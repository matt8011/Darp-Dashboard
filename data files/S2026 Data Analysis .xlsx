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Bulk Data" sheetId="2" r:id="rId6"/>
    <sheet state="visible" name="Bulk Data1" sheetId="3" r:id="rId7"/>
    <sheet state="visible" name="Diversion Data" sheetId="4" r:id="rId8"/>
    <sheet state="hidden" name="Period Data" sheetId="5" r:id="rId9"/>
    <sheet state="visible" name="Std Deviation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after hrs collected</t>
      </text>
    </comment>
    <comment authorId="0" ref="E4">
      <text>
        <t xml:space="preserve">after hrs collected</t>
      </text>
    </comment>
    <comment authorId="0" ref="H4">
      <text>
        <t xml:space="preserve">after hrs collected</t>
      </text>
    </comment>
    <comment authorId="0" ref="B5">
      <text>
        <t xml:space="preserve">given avg hour days in a workday</t>
      </text>
    </comment>
    <comment authorId="0" ref="E5">
      <text>
        <t xml:space="preserve">given avg hour days in a workday</t>
      </text>
    </comment>
    <comment authorId="0" ref="H5">
      <text>
        <t xml:space="preserve">given avg hour days in a workday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weighted</t>
      </text>
    </comment>
    <comment authorId="0" ref="X2">
      <text>
        <t xml:space="preserve">unweighted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2">
      <text>
        <t xml:space="preserve">weighted</t>
      </text>
    </comment>
    <comment authorId="0" ref="Y2">
      <text>
        <t xml:space="preserve">unweighted</t>
      </text>
    </comment>
  </commentList>
</comments>
</file>

<file path=xl/sharedStrings.xml><?xml version="1.0" encoding="utf-8"?>
<sst xmlns="http://schemas.openxmlformats.org/spreadsheetml/2006/main" count="26568" uniqueCount="243">
  <si>
    <t># of ambassadors</t>
  </si>
  <si>
    <t>Mainfare Total Data</t>
  </si>
  <si>
    <t>Butterfield Total Data</t>
  </si>
  <si>
    <t>Total Data</t>
  </si>
  <si>
    <t>custom period times</t>
  </si>
  <si>
    <t>The total lbs collected (since hrs data been collected)</t>
  </si>
  <si>
    <t>Total lbs</t>
  </si>
  <si>
    <t>Period</t>
  </si>
  <si>
    <t>start</t>
  </si>
  <si>
    <t>end</t>
  </si>
  <si>
    <t>The average of the total lbs collected each day (since hrs data been collected)</t>
  </si>
  <si>
    <t>avg lb p/wrkday</t>
  </si>
  <si>
    <t>Breakfast</t>
  </si>
  <si>
    <t>The total lbs collected over the total hours worked</t>
  </si>
  <si>
    <t>Total lbs/hr</t>
  </si>
  <si>
    <t>Lunch</t>
  </si>
  <si>
    <t>The average of the hourly rate of each ambassador</t>
  </si>
  <si>
    <t>avg ambassador lb p/hr</t>
  </si>
  <si>
    <t>Dinner</t>
  </si>
  <si>
    <t>The total hours worked</t>
  </si>
  <si>
    <t>Total hours</t>
  </si>
  <si>
    <t>The average of all of the hours worked each day</t>
  </si>
  <si>
    <t>avg hrs/day</t>
  </si>
  <si>
    <t>The number of lbs of CO2 not emitted due to diversion</t>
  </si>
  <si>
    <t>Impact [lbs of Co2e]</t>
  </si>
  <si>
    <t>Mainfare Weekday Data</t>
  </si>
  <si>
    <t>Butterfield Weekday Data</t>
  </si>
  <si>
    <t>Total Weekday Data</t>
  </si>
  <si>
    <r>
      <rPr>
        <rFont val="Arial"/>
        <b/>
        <color rgb="FFFFFFFF"/>
      </rPr>
      <t>Email Recipients</t>
    </r>
    <r>
      <rPr>
        <rFont val="Arial"/>
        <color rgb="FFFFFFFF"/>
      </rPr>
      <t xml:space="preserve"> [does not effect automations]</t>
    </r>
  </si>
  <si>
    <t>avg MF wkdy</t>
  </si>
  <si>
    <t>Avg lb's/WD</t>
  </si>
  <si>
    <t>weekdays</t>
  </si>
  <si>
    <t>avg BF wkdy</t>
  </si>
  <si>
    <t>avg wkdy</t>
  </si>
  <si>
    <t>Matt</t>
  </si>
  <si>
    <t>matt8011@uri.edu</t>
  </si>
  <si>
    <t>Mon</t>
  </si>
  <si>
    <t>Monday</t>
  </si>
  <si>
    <t>Dylan</t>
  </si>
  <si>
    <t>dylan_murdock@uri.edu</t>
  </si>
  <si>
    <t>Tues</t>
  </si>
  <si>
    <t>Tuesday</t>
  </si>
  <si>
    <t>Westin</t>
  </si>
  <si>
    <t>westin_palumbo@uri.edu</t>
  </si>
  <si>
    <t>Wed</t>
  </si>
  <si>
    <t>Wednesday</t>
  </si>
  <si>
    <t>Cailey</t>
  </si>
  <si>
    <t>cailey.mingolla@uri.edu</t>
  </si>
  <si>
    <t>Thur</t>
  </si>
  <si>
    <t>Thursday</t>
  </si>
  <si>
    <t>aryan</t>
  </si>
  <si>
    <t>aryan.gautam@uri.edu</t>
  </si>
  <si>
    <t>Fri</t>
  </si>
  <si>
    <t>Friday</t>
  </si>
  <si>
    <t>Avg lb's/hr/WD</t>
  </si>
  <si>
    <t>Saturday</t>
  </si>
  <si>
    <t>Avg hr/WD</t>
  </si>
  <si>
    <t>Sat</t>
  </si>
  <si>
    <t>Ambassador List:</t>
  </si>
  <si>
    <t>Ambassadors missing</t>
  </si>
  <si>
    <t>Alexis Sylvestre</t>
  </si>
  <si>
    <t>asylvestre914@uri.edu</t>
  </si>
  <si>
    <t>Arjya Aich</t>
  </si>
  <si>
    <t>arjyaaich@uri.edu</t>
  </si>
  <si>
    <t>[all time] shifts worked:</t>
  </si>
  <si>
    <t>[all time] shifts missed</t>
  </si>
  <si>
    <t>Brynn Hornig</t>
  </si>
  <si>
    <t>brynn.hornig@uri.edu</t>
  </si>
  <si>
    <t>Ambassador Data</t>
  </si>
  <si>
    <t>Denise Romanszysn</t>
  </si>
  <si>
    <t>denise.romanszysn@uri.edu</t>
  </si>
  <si>
    <t>Ambassador</t>
  </si>
  <si>
    <t>total lbs</t>
  </si>
  <si>
    <t>score</t>
  </si>
  <si>
    <t>avg period</t>
  </si>
  <si>
    <t>expected shifts as of 4/29/2026</t>
  </si>
  <si>
    <t>shifts worked</t>
  </si>
  <si>
    <t>Worked Shifts</t>
  </si>
  <si>
    <t>skipped shifts</t>
  </si>
  <si>
    <t>total hrs</t>
  </si>
  <si>
    <t>lb/hr</t>
  </si>
  <si>
    <t>lb/shift</t>
  </si>
  <si>
    <t>Emmett Khan</t>
  </si>
  <si>
    <t>emmettkhan@uri.edu</t>
  </si>
  <si>
    <t>Evan Morgan</t>
  </si>
  <si>
    <t>evan.morgan@uri.edu</t>
  </si>
  <si>
    <t>Kaylie Forgue</t>
  </si>
  <si>
    <t>kaylie.forgue@uri.edu</t>
  </si>
  <si>
    <t>Kyra Turner</t>
  </si>
  <si>
    <t>kyra.turner@uri.edu</t>
  </si>
  <si>
    <t>Laila Maisuria</t>
  </si>
  <si>
    <t>laila.maisuria@uri.edu</t>
  </si>
  <si>
    <t>Leah Bucci</t>
  </si>
  <si>
    <t>leah.bucci@uri.edu</t>
  </si>
  <si>
    <t>Maureen Surgot</t>
  </si>
  <si>
    <t>maureen.surgot@uri.edu</t>
  </si>
  <si>
    <t>Oluwatimilehin Shodipe</t>
  </si>
  <si>
    <t>oluwatimilehin.shodi@uri.edu</t>
  </si>
  <si>
    <t>Orpheus Wilson</t>
  </si>
  <si>
    <t>orpheus.wilson@uri.edu</t>
  </si>
  <si>
    <t>Sophia Kluck</t>
  </si>
  <si>
    <t>sophia.kluck@uri.edu</t>
  </si>
  <si>
    <t>auto</t>
  </si>
  <si>
    <t>&lt;=</t>
  </si>
  <si>
    <t>array&lt;=</t>
  </si>
  <si>
    <t>Timestamp</t>
  </si>
  <si>
    <t>Name</t>
  </si>
  <si>
    <t>Double Name</t>
  </si>
  <si>
    <t>Start hour</t>
  </si>
  <si>
    <t>hours worked</t>
  </si>
  <si>
    <t>End hour</t>
  </si>
  <si>
    <t>hours pp</t>
  </si>
  <si>
    <t>Derived Weight</t>
  </si>
  <si>
    <t>lb/hr per shift</t>
  </si>
  <si>
    <t>Date</t>
  </si>
  <si>
    <t>Weekday</t>
  </si>
  <si>
    <t>Dining Hall</t>
  </si>
  <si>
    <t>Effeciency Score</t>
  </si>
  <si>
    <t>MF lbs td</t>
  </si>
  <si>
    <t>BF lbs td</t>
  </si>
  <si>
    <t>MF hrs td</t>
  </si>
  <si>
    <t>BF hrs td</t>
  </si>
  <si>
    <t>MF lbs/hr td</t>
  </si>
  <si>
    <t>BF lbs/hr td</t>
  </si>
  <si>
    <t>lbs td</t>
  </si>
  <si>
    <t>hours td</t>
  </si>
  <si>
    <t>lbs/hr td</t>
  </si>
  <si>
    <t>Avg Ambassador lbs/hr</t>
  </si>
  <si>
    <t>Effeciency score td</t>
  </si>
  <si>
    <t>MF Diners td</t>
  </si>
  <si>
    <t>BF Diners td</t>
  </si>
  <si>
    <t>Diners Today</t>
  </si>
  <si>
    <t>N/A</t>
  </si>
  <si>
    <t/>
  </si>
  <si>
    <t>Breakfast/Lunch</t>
  </si>
  <si>
    <t>SHF</t>
  </si>
  <si>
    <t>Hall</t>
  </si>
  <si>
    <t>Time Start</t>
  </si>
  <si>
    <t>Duration</t>
  </si>
  <si>
    <t>Time End</t>
  </si>
  <si>
    <t>plate p/min</t>
  </si>
  <si>
    <t>plates diverted</t>
  </si>
  <si>
    <t>% diverted</t>
  </si>
  <si>
    <t>period</t>
  </si>
  <si>
    <t>Plate per Minute per Period</t>
  </si>
  <si>
    <t>avg p/min</t>
  </si>
  <si>
    <t>AVG</t>
  </si>
  <si>
    <t>avg plates / min</t>
  </si>
  <si>
    <t>MF</t>
  </si>
  <si>
    <t>BF</t>
  </si>
  <si>
    <t>avg lb / 10 plates</t>
  </si>
  <si>
    <t>Yields</t>
  </si>
  <si>
    <t>breakfast total</t>
  </si>
  <si>
    <t>average breakfast total</t>
  </si>
  <si>
    <t>Brunch total</t>
  </si>
  <si>
    <t>average Brunch total</t>
  </si>
  <si>
    <t>Lunch total</t>
  </si>
  <si>
    <t>average Lunch total</t>
  </si>
  <si>
    <t>L-D total</t>
  </si>
  <si>
    <t>average L-D total</t>
  </si>
  <si>
    <t>Dinner total</t>
  </si>
  <si>
    <t>average Dinner total</t>
  </si>
  <si>
    <t>lbs</t>
  </si>
  <si>
    <t>lbs/period</t>
  </si>
  <si>
    <t>Rates</t>
  </si>
  <si>
    <t>average breakfast rate</t>
  </si>
  <si>
    <t>*since recording hrs</t>
  </si>
  <si>
    <t>average Brunch rate</t>
  </si>
  <si>
    <t>average Lunch rate</t>
  </si>
  <si>
    <t>average L-D rate</t>
  </si>
  <si>
    <t>average Dinner rate</t>
  </si>
  <si>
    <t>lbs/hr</t>
  </si>
  <si>
    <t>rough effeciency:</t>
  </si>
  <si>
    <t>Hours</t>
  </si>
  <si>
    <t>total Breakfast hours</t>
  </si>
  <si>
    <t>average Breakfast hours</t>
  </si>
  <si>
    <t>total Brunch hours</t>
  </si>
  <si>
    <t>average Brunch hours</t>
  </si>
  <si>
    <t>total Lunch hours</t>
  </si>
  <si>
    <t>average Lunch hours</t>
  </si>
  <si>
    <t>total L-D hours</t>
  </si>
  <si>
    <t>average L-D hours</t>
  </si>
  <si>
    <t>total Dinner hours</t>
  </si>
  <si>
    <t>average Dinner hours</t>
  </si>
  <si>
    <t>hrs</t>
  </si>
  <si>
    <t>Breakfast lb/td</t>
  </si>
  <si>
    <t>Breakfast hr/td</t>
  </si>
  <si>
    <t>Breakfast/Lunch lb/td</t>
  </si>
  <si>
    <t>Breakfast/Lunch hr/td</t>
  </si>
  <si>
    <t>Lunch lb/td</t>
  </si>
  <si>
    <t>Lunch hr/td</t>
  </si>
  <si>
    <t>Lunch/Dinner lb/td</t>
  </si>
  <si>
    <t>Lunch/Dinner hr/td</t>
  </si>
  <si>
    <t>Dinner lb/td</t>
  </si>
  <si>
    <t>Dinner hr/td</t>
  </si>
  <si>
    <t>Mainfare</t>
  </si>
  <si>
    <t>Butterfield</t>
  </si>
  <si>
    <t>Combined</t>
  </si>
  <si>
    <t>MF Lunch lbs</t>
  </si>
  <si>
    <t>MF Lunch hrs</t>
  </si>
  <si>
    <t>MF Lunch lb/hr</t>
  </si>
  <si>
    <t>MF Dinner lbs</t>
  </si>
  <si>
    <t>MF Dinner hrs</t>
  </si>
  <si>
    <t>MF Dinner lb/hr</t>
  </si>
  <si>
    <t>BF brfkfst lbs</t>
  </si>
  <si>
    <t>BF brkfst hrs</t>
  </si>
  <si>
    <t>BF brkfst lb/hr</t>
  </si>
  <si>
    <t>BF Lunch lbs</t>
  </si>
  <si>
    <t>BF Lunch hrs</t>
  </si>
  <si>
    <t>BF Lunch lb/hr</t>
  </si>
  <si>
    <t>BF Dinner lbs</t>
  </si>
  <si>
    <t>BF Dinner hrs</t>
  </si>
  <si>
    <t>BF Dinner lb/hr</t>
  </si>
  <si>
    <t>T Lunch lbs</t>
  </si>
  <si>
    <t>T Lunch hrs</t>
  </si>
  <si>
    <t>T Lunch lb/hr</t>
  </si>
  <si>
    <t>T Dinner lbs</t>
  </si>
  <si>
    <t>T Dinner hrs</t>
  </si>
  <si>
    <t>T Dinner lb/hr</t>
  </si>
  <si>
    <t>BF Breakfast lb/hr Data</t>
  </si>
  <si>
    <t>BF Breakfast Std Deviation Data</t>
  </si>
  <si>
    <t>BF Weekday</t>
  </si>
  <si>
    <t>avg lbs/hr</t>
  </si>
  <si>
    <t>avg stdv (lbs/hr)</t>
  </si>
  <si>
    <t>min avg stdv (lbs/hr)</t>
  </si>
  <si>
    <t>Total</t>
  </si>
  <si>
    <t>Sunday</t>
  </si>
  <si>
    <t>MF Lunch lb/hr Data</t>
  </si>
  <si>
    <t>MF Lunch Std Deviation Data</t>
  </si>
  <si>
    <t>BF Lunch lb/hr Data</t>
  </si>
  <si>
    <t>BF Lunch Std Deviation Data</t>
  </si>
  <si>
    <t>Total Lunch lb/hr Data</t>
  </si>
  <si>
    <t>Total Lunch Std Deviation Data</t>
  </si>
  <si>
    <t>MF Weekday</t>
  </si>
  <si>
    <t>T Weekday</t>
  </si>
  <si>
    <t>T  Weekday</t>
  </si>
  <si>
    <t>MF Dinnner lb/hr Data</t>
  </si>
  <si>
    <t>MF Dinnner Std Deviation Data</t>
  </si>
  <si>
    <t>BF Dinnner lb/hr Data</t>
  </si>
  <si>
    <t>BF Dinnner Std Deviation Data</t>
  </si>
  <si>
    <t>Total Dinnner lb/hr Data</t>
  </si>
  <si>
    <t>Total Dinnner Std Deviation Data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</si>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</sst>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#"/>
    <numFmt numFmtId="165" formatCode="h:mm:ss am/pm"/>
    <numFmt numFmtId="166" formatCode="h:mm am/pm"/>
    <numFmt numFmtId="167" formatCode="#,#0#.00"/>
    <numFmt numFmtId="168" formatCode="m/d/yyyy"/>
    <numFmt numFmtId="169" formatCode="#,#0#"/>
    <numFmt numFmtId="170" formatCode="m/d/yyyy h:mm:ss"/>
    <numFmt numFmtId="171" formatCode="M/d/yyyy"/>
    <numFmt numFmtId="172" formatCode="0.0"/>
    <numFmt numFmtId="173" formatCode="0.000"/>
  </numFmts>
  <fonts count="1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/>
    <font>
      <color rgb="FFA4C2F4"/>
      <name val="Arial"/>
    </font>
    <font>
      <color rgb="FFEA9999"/>
      <name val="Arial"/>
    </font>
    <font>
      <color rgb="FFB4A7D6"/>
      <name val="Arial"/>
    </font>
    <font>
      <color rgb="FFF3F3F3"/>
      <name val="Arial"/>
    </font>
    <font>
      <color rgb="FF000000"/>
      <name val="Arial"/>
    </font>
    <font>
      <color theme="1"/>
      <name val="Arial"/>
      <scheme val="minor"/>
    </font>
    <font>
      <color rgb="FF666666"/>
      <name val="Arial"/>
    </font>
    <font>
      <color rgb="FFFFFFFF"/>
      <name val="Arial"/>
      <scheme val="minor"/>
    </font>
    <font>
      <color rgb="FF434343"/>
      <name val="Arial"/>
    </font>
    <font>
      <b/>
      <color theme="1"/>
      <name val="Arial"/>
      <scheme val="minor"/>
    </font>
    <font>
      <color rgb="FF999999"/>
      <name val="Arial"/>
    </font>
    <font>
      <color rgb="FFC9DAF8"/>
      <name val="Arial"/>
    </font>
    <font>
      <color rgb="FFCFE2F3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5F06"/>
        <bgColor rgb="FFB45F06"/>
      </patternFill>
    </fill>
    <fill>
      <patternFill patternType="solid">
        <fgColor rgb="FFBD8B6D"/>
        <bgColor rgb="FFBD8B6D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BBC04"/>
        <bgColor rgb="FFFBBC04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FF6D01"/>
        <bgColor rgb="FFFF6D01"/>
      </patternFill>
    </fill>
    <fill>
      <patternFill patternType="solid">
        <fgColor rgb="FFEA4335"/>
        <bgColor rgb="FFEA4335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1C4587"/>
        <bgColor rgb="FF1C4587"/>
      </patternFill>
    </fill>
    <fill>
      <patternFill patternType="solid">
        <fgColor rgb="FF990000"/>
        <bgColor rgb="FF990000"/>
      </patternFill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</fills>
  <borders count="2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3" fontId="2" numFmtId="1" xfId="0" applyAlignment="1" applyFill="1" applyFont="1" applyNumberFormat="1">
      <alignment horizontal="center"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2" fillId="4" fontId="1" numFmtId="2" xfId="0" applyAlignment="1" applyBorder="1" applyFill="1" applyFont="1" applyNumberFormat="1">
      <alignment horizontal="center" vertical="bottom"/>
    </xf>
    <xf borderId="3" fillId="0" fontId="3" numFmtId="0" xfId="0" applyBorder="1" applyFont="1"/>
    <xf borderId="0" fillId="4" fontId="1" numFmtId="0" xfId="0" applyAlignment="1" applyFont="1">
      <alignment horizontal="center" vertical="bottom"/>
    </xf>
    <xf borderId="4" fillId="2" fontId="4" numFmtId="4" xfId="0" applyAlignment="1" applyBorder="1" applyFont="1" applyNumberFormat="1">
      <alignment vertical="bottom"/>
    </xf>
    <xf borderId="1" fillId="5" fontId="2" numFmtId="164" xfId="0" applyAlignment="1" applyBorder="1" applyFill="1" applyFont="1" applyNumberFormat="1">
      <alignment horizontal="right" vertical="bottom"/>
    </xf>
    <xf borderId="4" fillId="2" fontId="5" numFmtId="2" xfId="0" applyAlignment="1" applyBorder="1" applyFont="1" applyNumberFormat="1">
      <alignment vertical="bottom"/>
    </xf>
    <xf borderId="1" fillId="6" fontId="2" numFmtId="164" xfId="0" applyAlignment="1" applyBorder="1" applyFill="1" applyFont="1" applyNumberFormat="1">
      <alignment horizontal="right" vertical="bottom"/>
    </xf>
    <xf borderId="4" fillId="2" fontId="6" numFmtId="2" xfId="0" applyAlignment="1" applyBorder="1" applyFont="1" applyNumberFormat="1">
      <alignment vertical="bottom"/>
    </xf>
    <xf borderId="1" fillId="7" fontId="2" numFmtId="164" xfId="0" applyAlignment="1" applyBorder="1" applyFill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1" fillId="5" fontId="2" numFmtId="4" xfId="0" applyAlignment="1" applyBorder="1" applyFont="1" applyNumberFormat="1">
      <alignment horizontal="right" vertical="bottom"/>
    </xf>
    <xf borderId="4" fillId="2" fontId="5" numFmtId="4" xfId="0" applyAlignment="1" applyBorder="1" applyFont="1" applyNumberFormat="1">
      <alignment vertical="bottom"/>
    </xf>
    <xf borderId="1" fillId="6" fontId="2" numFmtId="4" xfId="0" applyAlignment="1" applyBorder="1" applyFont="1" applyNumberFormat="1">
      <alignment horizontal="right" vertical="bottom"/>
    </xf>
    <xf borderId="4" fillId="2" fontId="6" numFmtId="4" xfId="0" applyAlignment="1" applyBorder="1" applyFont="1" applyNumberFormat="1">
      <alignment vertical="bottom"/>
    </xf>
    <xf borderId="1" fillId="7" fontId="2" numFmtId="4" xfId="0" applyAlignment="1" applyBorder="1" applyFont="1" applyNumberFormat="1">
      <alignment horizontal="right" vertical="bottom"/>
    </xf>
    <xf borderId="0" fillId="9" fontId="1" numFmtId="0" xfId="0" applyAlignment="1" applyFill="1" applyFont="1">
      <alignment vertical="bottom"/>
    </xf>
    <xf borderId="0" fillId="10" fontId="2" numFmtId="165" xfId="0" applyAlignment="1" applyFill="1" applyFont="1" applyNumberFormat="1">
      <alignment horizontal="right" vertical="bottom"/>
    </xf>
    <xf borderId="1" fillId="11" fontId="2" numFmtId="4" xfId="0" applyAlignment="1" applyBorder="1" applyFill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1" fillId="12" fontId="2" numFmtId="4" xfId="0" applyAlignment="1" applyBorder="1" applyFill="1" applyFont="1" applyNumberFormat="1">
      <alignment horizontal="right" vertical="bottom"/>
    </xf>
    <xf borderId="1" fillId="13" fontId="2" numFmtId="4" xfId="0" applyAlignment="1" applyBorder="1" applyFill="1" applyFont="1" applyNumberFormat="1">
      <alignment horizontal="right" vertical="bottom"/>
    </xf>
    <xf borderId="0" fillId="14" fontId="1" numFmtId="0" xfId="0" applyAlignment="1" applyFill="1" applyFont="1">
      <alignment vertical="bottom"/>
    </xf>
    <xf borderId="0" fillId="15" fontId="2" numFmtId="165" xfId="0" applyAlignment="1" applyFill="1" applyFont="1" applyNumberFormat="1">
      <alignment horizontal="right" vertical="bottom"/>
    </xf>
    <xf borderId="0" fillId="16" fontId="1" numFmtId="0" xfId="0" applyAlignment="1" applyFill="1" applyFont="1">
      <alignment vertical="bottom"/>
    </xf>
    <xf borderId="0" fillId="17" fontId="2" numFmtId="165" xfId="0" applyAlignment="1" applyFill="1" applyFont="1" applyNumberFormat="1">
      <alignment horizontal="right" vertical="bottom"/>
    </xf>
    <xf borderId="0" fillId="17" fontId="2" numFmtId="166" xfId="0" applyAlignment="1" applyFont="1" applyNumberFormat="1">
      <alignment horizontal="right" vertical="bottom"/>
    </xf>
    <xf borderId="1" fillId="11" fontId="2" numFmtId="4" xfId="0" applyAlignment="1" applyBorder="1" applyFont="1" applyNumberFormat="1">
      <alignment horizontal="right" vertical="bottom"/>
    </xf>
    <xf borderId="1" fillId="12" fontId="2" numFmtId="4" xfId="0" applyAlignment="1" applyBorder="1" applyFont="1" applyNumberFormat="1">
      <alignment horizontal="right" vertical="bottom"/>
    </xf>
    <xf borderId="1" fillId="13" fontId="2" numFmtId="4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2" fontId="4" numFmtId="4" xfId="0" applyAlignment="1" applyFont="1" applyNumberFormat="1">
      <alignment vertical="bottom"/>
    </xf>
    <xf borderId="1" fillId="11" fontId="2" numFmtId="46" xfId="0" applyAlignment="1" applyBorder="1" applyFont="1" applyNumberFormat="1">
      <alignment horizontal="right" vertical="bottom"/>
    </xf>
    <xf borderId="0" fillId="2" fontId="5" numFmtId="4" xfId="0" applyAlignment="1" applyFont="1" applyNumberFormat="1">
      <alignment vertical="bottom"/>
    </xf>
    <xf borderId="1" fillId="12" fontId="2" numFmtId="46" xfId="0" applyAlignment="1" applyBorder="1" applyFont="1" applyNumberFormat="1">
      <alignment horizontal="right" vertical="bottom"/>
    </xf>
    <xf borderId="0" fillId="2" fontId="6" numFmtId="4" xfId="0" applyAlignment="1" applyFont="1" applyNumberFormat="1">
      <alignment vertical="bottom"/>
    </xf>
    <xf borderId="1" fillId="13" fontId="2" numFmtId="46" xfId="0" applyAlignment="1" applyBorder="1" applyFont="1" applyNumberFormat="1">
      <alignment horizontal="right" vertical="bottom"/>
    </xf>
    <xf borderId="5" fillId="2" fontId="4" numFmtId="4" xfId="0" applyAlignment="1" applyBorder="1" applyFont="1" applyNumberFormat="1">
      <alignment vertical="bottom"/>
    </xf>
    <xf borderId="6" fillId="11" fontId="2" numFmtId="4" xfId="0" applyAlignment="1" applyBorder="1" applyFont="1" applyNumberFormat="1">
      <alignment horizontal="right" vertical="bottom"/>
    </xf>
    <xf borderId="5" fillId="2" fontId="5" numFmtId="4" xfId="0" applyAlignment="1" applyBorder="1" applyFont="1" applyNumberFormat="1">
      <alignment vertical="bottom"/>
    </xf>
    <xf borderId="6" fillId="12" fontId="2" numFmtId="4" xfId="0" applyAlignment="1" applyBorder="1" applyFont="1" applyNumberFormat="1">
      <alignment horizontal="right" vertical="bottom"/>
    </xf>
    <xf borderId="5" fillId="2" fontId="6" numFmtId="4" xfId="0" applyAlignment="1" applyBorder="1" applyFont="1" applyNumberFormat="1">
      <alignment vertical="bottom"/>
    </xf>
    <xf borderId="6" fillId="13" fontId="2" numFmtId="4" xfId="0" applyAlignment="1" applyBorder="1" applyFont="1" applyNumberFormat="1">
      <alignment horizontal="right" vertical="bottom"/>
    </xf>
    <xf borderId="4" fillId="4" fontId="1" numFmtId="4" xfId="0" applyAlignment="1" applyBorder="1" applyFont="1" applyNumberFormat="1">
      <alignment horizontal="center" vertical="bottom"/>
    </xf>
    <xf borderId="1" fillId="0" fontId="3" numFmtId="0" xfId="0" applyBorder="1" applyFont="1"/>
    <xf borderId="0" fillId="18" fontId="1" numFmtId="0" xfId="0" applyAlignment="1" applyFill="1" applyFont="1">
      <alignment horizontal="center" vertical="bottom"/>
    </xf>
    <xf borderId="0" fillId="18" fontId="2" numFmtId="0" xfId="0" applyAlignment="1" applyFont="1">
      <alignment vertical="bottom"/>
    </xf>
    <xf borderId="4" fillId="19" fontId="2" numFmtId="4" xfId="0" applyAlignment="1" applyBorder="1" applyFill="1" applyFont="1" applyNumberFormat="1">
      <alignment vertical="bottom"/>
    </xf>
    <xf borderId="1" fillId="19" fontId="2" numFmtId="4" xfId="0" applyAlignment="1" applyBorder="1" applyFont="1" applyNumberFormat="1">
      <alignment vertical="bottom"/>
    </xf>
    <xf borderId="4" fillId="6" fontId="2" numFmtId="4" xfId="0" applyAlignment="1" applyBorder="1" applyFont="1" applyNumberFormat="1">
      <alignment vertical="bottom"/>
    </xf>
    <xf borderId="1" fillId="6" fontId="2" numFmtId="4" xfId="0" applyAlignment="1" applyBorder="1" applyFont="1" applyNumberFormat="1">
      <alignment vertical="bottom"/>
    </xf>
    <xf borderId="4" fillId="7" fontId="2" numFmtId="4" xfId="0" applyAlignment="1" applyBorder="1" applyFont="1" applyNumberFormat="1">
      <alignment vertical="bottom"/>
    </xf>
    <xf borderId="1" fillId="7" fontId="2" numFmtId="4" xfId="0" applyAlignment="1" applyBorder="1" applyFont="1" applyNumberFormat="1">
      <alignment vertical="bottom"/>
    </xf>
    <xf borderId="0" fillId="20" fontId="7" numFmtId="0" xfId="0" applyAlignment="1" applyFill="1" applyFont="1">
      <alignment horizontal="center" readingOrder="0"/>
    </xf>
    <xf borderId="4" fillId="0" fontId="2" numFmtId="4" xfId="0" applyAlignment="1" applyBorder="1" applyFont="1" applyNumberFormat="1">
      <alignment vertical="bottom"/>
    </xf>
    <xf borderId="1" fillId="11" fontId="2" numFmtId="3" xfId="0" applyAlignment="1" applyBorder="1" applyFont="1" applyNumberFormat="1">
      <alignment horizontal="right" vertical="bottom"/>
    </xf>
    <xf borderId="1" fillId="12" fontId="2" numFmtId="3" xfId="0" applyAlignment="1" applyBorder="1" applyFont="1" applyNumberFormat="1">
      <alignment horizontal="right" vertical="bottom"/>
    </xf>
    <xf borderId="1" fillId="13" fontId="2" numFmtId="3" xfId="0" applyAlignment="1" applyBorder="1" applyFont="1" applyNumberFormat="1">
      <alignment horizontal="right" vertical="bottom"/>
    </xf>
    <xf borderId="0" fillId="20" fontId="7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5" fillId="0" fontId="2" numFmtId="4" xfId="0" applyAlignment="1" applyBorder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6" fillId="11" fontId="2" numFmtId="46" xfId="0" applyAlignment="1" applyBorder="1" applyFont="1" applyNumberFormat="1">
      <alignment horizontal="right" vertical="bottom"/>
    </xf>
    <xf borderId="6" fillId="12" fontId="2" numFmtId="46" xfId="0" applyAlignment="1" applyBorder="1" applyFont="1" applyNumberFormat="1">
      <alignment horizontal="right" vertical="bottom"/>
    </xf>
    <xf borderId="6" fillId="13" fontId="2" numFmtId="46" xfId="0" applyAlignment="1" applyBorder="1" applyFont="1" applyNumberFormat="1">
      <alignment horizontal="right" vertical="bottom"/>
    </xf>
    <xf borderId="0" fillId="0" fontId="2" numFmtId="46" xfId="0" applyAlignment="1" applyFont="1" applyNumberFormat="1">
      <alignment horizontal="right" vertical="bottom"/>
    </xf>
    <xf borderId="1" fillId="3" fontId="8" numFmtId="2" xfId="0" applyAlignment="1" applyBorder="1" applyFont="1" applyNumberFormat="1">
      <alignment horizontal="center" readingOrder="0" vertical="bottom"/>
    </xf>
    <xf borderId="0" fillId="0" fontId="2" numFmtId="10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3" fontId="2" numFmtId="0" xfId="0" applyAlignment="1" applyFont="1">
      <alignment readingOrder="0" vertical="bottom"/>
    </xf>
    <xf borderId="0" fillId="0" fontId="2" numFmtId="14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center"/>
    </xf>
    <xf borderId="7" fillId="0" fontId="3" numFmtId="0" xfId="0" applyBorder="1" applyFont="1"/>
    <xf borderId="4" fillId="2" fontId="1" numFmtId="2" xfId="0" applyAlignment="1" applyBorder="1" applyFont="1" applyNumberFormat="1">
      <alignment vertical="bottom"/>
    </xf>
    <xf borderId="0" fillId="2" fontId="1" numFmtId="2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2" fontId="1" numFmtId="2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9" fillId="0" fontId="2" numFmtId="2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 vertical="bottom"/>
    </xf>
    <xf borderId="8" fillId="0" fontId="2" numFmtId="14" xfId="0" applyAlignment="1" applyBorder="1" applyFont="1" applyNumberFormat="1">
      <alignment vertical="bottom"/>
    </xf>
    <xf borderId="0" fillId="0" fontId="2" numFmtId="4" xfId="0" applyAlignment="1" applyFont="1" applyNumberFormat="1">
      <alignment horizontal="center"/>
    </xf>
    <xf borderId="10" fillId="0" fontId="2" numFmtId="0" xfId="0" applyAlignment="1" applyBorder="1" applyFont="1">
      <alignment vertical="bottom"/>
    </xf>
    <xf borderId="11" fillId="0" fontId="8" numFmtId="164" xfId="0" applyAlignment="1" applyBorder="1" applyFont="1" applyNumberFormat="1">
      <alignment horizontal="right" vertical="bottom"/>
    </xf>
    <xf borderId="11" fillId="0" fontId="2" numFmtId="10" xfId="0" applyAlignment="1" applyBorder="1" applyFont="1" applyNumberFormat="1">
      <alignment horizontal="right" vertical="bottom"/>
    </xf>
    <xf borderId="11" fillId="0" fontId="2" numFmtId="0" xfId="0" applyAlignment="1" applyBorder="1" applyFont="1">
      <alignment vertical="bottom"/>
    </xf>
    <xf borderId="11" fillId="0" fontId="10" numFmtId="0" xfId="0" applyAlignment="1" applyBorder="1" applyFont="1">
      <alignment horizontal="right" readingOrder="0" vertical="bottom"/>
    </xf>
    <xf borderId="11" fillId="0" fontId="2" numFmtId="1" xfId="0" applyAlignment="1" applyBorder="1" applyFont="1" applyNumberFormat="1">
      <alignment horizontal="right" vertical="bottom"/>
    </xf>
    <xf borderId="11" fillId="0" fontId="2" numFmtId="46" xfId="0" applyAlignment="1" applyBorder="1" applyFont="1" applyNumberFormat="1">
      <alignment horizontal="right" vertical="bottom"/>
    </xf>
    <xf borderId="12" fillId="0" fontId="2" numFmtId="2" xfId="0" applyAlignment="1" applyBorder="1" applyFont="1" applyNumberFormat="1">
      <alignment horizontal="right" vertical="bottom"/>
    </xf>
    <xf borderId="6" fillId="0" fontId="2" numFmtId="4" xfId="0" applyAlignment="1" applyBorder="1" applyFont="1" applyNumberFormat="1">
      <alignment horizontal="right" vertical="bottom"/>
    </xf>
    <xf borderId="0" fillId="0" fontId="9" numFmtId="46" xfId="0" applyFont="1" applyNumberFormat="1"/>
    <xf borderId="0" fillId="21" fontId="2" numFmtId="0" xfId="0" applyAlignment="1" applyFill="1" applyFont="1">
      <alignment vertical="bottom"/>
    </xf>
    <xf borderId="0" fillId="21" fontId="2" numFmtId="46" xfId="0" applyAlignment="1" applyFont="1" applyNumberFormat="1">
      <alignment vertical="bottom"/>
    </xf>
    <xf borderId="0" fillId="21" fontId="2" numFmtId="46" xfId="0" applyAlignment="1" applyFont="1" applyNumberFormat="1">
      <alignment readingOrder="0" vertical="bottom"/>
    </xf>
    <xf borderId="0" fillId="21" fontId="2" numFmtId="1" xfId="0" applyAlignment="1" applyFont="1" applyNumberFormat="1">
      <alignment vertical="bottom"/>
    </xf>
    <xf borderId="0" fillId="21" fontId="2" numFmtId="167" xfId="0" applyAlignment="1" applyFont="1" applyNumberFormat="1">
      <alignment readingOrder="0" vertical="bottom"/>
    </xf>
    <xf borderId="0" fillId="21" fontId="2" numFmtId="10" xfId="0" applyAlignment="1" applyFont="1" applyNumberFormat="1">
      <alignment vertical="bottom"/>
    </xf>
    <xf borderId="0" fillId="21" fontId="2" numFmtId="0" xfId="0" applyAlignment="1" applyFont="1">
      <alignment readingOrder="0" vertical="bottom"/>
    </xf>
    <xf borderId="0" fillId="21" fontId="2" numFmtId="167" xfId="0" applyAlignment="1" applyFont="1" applyNumberFormat="1">
      <alignment vertical="bottom"/>
    </xf>
    <xf borderId="0" fillId="21" fontId="2" numFmtId="164" xfId="0" applyAlignment="1" applyFont="1" applyNumberFormat="1">
      <alignment vertical="bottom"/>
    </xf>
    <xf borderId="0" fillId="21" fontId="2" numFmtId="4" xfId="0" applyAlignment="1" applyFont="1" applyNumberFormat="1">
      <alignment vertical="bottom"/>
    </xf>
    <xf borderId="0" fillId="0" fontId="2" numFmtId="46" xfId="0" applyAlignment="1" applyFont="1" applyNumberFormat="1">
      <alignment readingOrder="0" vertical="bottom"/>
    </xf>
    <xf borderId="0" fillId="22" fontId="2" numFmtId="1" xfId="0" applyAlignment="1" applyFill="1" applyFont="1" applyNumberFormat="1">
      <alignment vertical="bottom"/>
    </xf>
    <xf borderId="0" fillId="22" fontId="2" numFmtId="167" xfId="0" applyAlignment="1" applyFont="1" applyNumberFormat="1">
      <alignment readingOrder="0" vertical="bottom"/>
    </xf>
    <xf borderId="0" fillId="22" fontId="2" numFmtId="0" xfId="0" applyAlignment="1" applyFon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11" fontId="2" numFmtId="0" xfId="0" applyAlignment="1" applyFont="1">
      <alignment vertical="bottom"/>
    </xf>
    <xf borderId="0" fillId="12" fontId="2" numFmtId="0" xfId="0" applyAlignment="1" applyFont="1">
      <alignment vertical="bottom"/>
    </xf>
    <xf borderId="0" fillId="11" fontId="2" numFmtId="46" xfId="0" applyAlignment="1" applyFont="1" applyNumberFormat="1">
      <alignment vertical="bottom"/>
    </xf>
    <xf borderId="0" fillId="12" fontId="2" numFmtId="46" xfId="0" applyAlignment="1" applyFont="1" applyNumberFormat="1">
      <alignment vertical="bottom"/>
    </xf>
    <xf borderId="0" fillId="11" fontId="2" numFmtId="167" xfId="0" applyAlignment="1" applyFont="1" applyNumberFormat="1">
      <alignment vertical="bottom"/>
    </xf>
    <xf borderId="0" fillId="12" fontId="2" numFmtId="167" xfId="0" applyAlignment="1" applyFont="1" applyNumberFormat="1">
      <alignment vertical="bottom"/>
    </xf>
    <xf borderId="0" fillId="13" fontId="2" numFmtId="0" xfId="0" applyAlignment="1" applyFont="1">
      <alignment vertical="bottom"/>
    </xf>
    <xf borderId="0" fillId="13" fontId="2" numFmtId="46" xfId="0" applyAlignment="1" applyFont="1" applyNumberFormat="1">
      <alignment vertical="bottom"/>
    </xf>
    <xf borderId="0" fillId="23" fontId="2" numFmtId="167" xfId="0" applyAlignment="1" applyFill="1" applyFont="1" applyNumberFormat="1">
      <alignment readingOrder="0" vertical="bottom"/>
    </xf>
    <xf borderId="0" fillId="11" fontId="2" numFmtId="164" xfId="0" applyAlignment="1" applyFont="1" applyNumberFormat="1">
      <alignment horizontal="center" readingOrder="0" vertical="bottom"/>
    </xf>
    <xf borderId="0" fillId="12" fontId="2" numFmtId="164" xfId="0" applyAlignment="1" applyFont="1" applyNumberFormat="1">
      <alignment horizontal="center" readingOrder="0" vertical="bottom"/>
    </xf>
    <xf borderId="0" fillId="13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168" xfId="0" applyAlignment="1" applyFont="1" applyNumberFormat="1">
      <alignment readingOrder="0"/>
    </xf>
    <xf borderId="0" fillId="0" fontId="9" numFmtId="0" xfId="0" applyFont="1"/>
    <xf borderId="0" fillId="0" fontId="9" numFmtId="19" xfId="0" applyFont="1" applyNumberFormat="1"/>
    <xf borderId="0" fillId="0" fontId="9" numFmtId="169" xfId="0" applyAlignment="1" applyFont="1" applyNumberFormat="1">
      <alignment readingOrder="0"/>
    </xf>
    <xf borderId="0" fillId="0" fontId="9" numFmtId="167" xfId="0" applyFont="1" applyNumberFormat="1"/>
    <xf borderId="0" fillId="0" fontId="9" numFmtId="14" xfId="0" applyAlignment="1" applyFont="1" applyNumberFormat="1">
      <alignment readingOrder="0"/>
    </xf>
    <xf borderId="0" fillId="0" fontId="9" numFmtId="10" xfId="0" applyFont="1" applyNumberFormat="1"/>
    <xf borderId="0" fillId="0" fontId="9" numFmtId="46" xfId="0" applyAlignment="1" applyFont="1" applyNumberFormat="1">
      <alignment readingOrder="0"/>
    </xf>
    <xf borderId="0" fillId="0" fontId="9" numFmtId="4" xfId="0" applyFont="1" applyNumberFormat="1"/>
    <xf borderId="0" fillId="0" fontId="9" numFmtId="170" xfId="0" applyFont="1" applyNumberFormat="1"/>
    <xf borderId="0" fillId="0" fontId="9" numFmtId="169" xfId="0" applyFont="1" applyNumberFormat="1"/>
    <xf borderId="0" fillId="0" fontId="9" numFmtId="14" xfId="0" applyFont="1" applyNumberFormat="1"/>
    <xf borderId="0" fillId="21" fontId="2" numFmtId="165" xfId="0" applyAlignment="1" applyFont="1" applyNumberFormat="1">
      <alignment vertical="bottom"/>
    </xf>
    <xf borderId="0" fillId="21" fontId="2" numFmtId="171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0" fillId="0" fontId="2" numFmtId="171" xfId="0" applyAlignment="1" applyFont="1" applyNumberFormat="1">
      <alignment vertical="bottom"/>
    </xf>
    <xf borderId="0" fillId="0" fontId="9" numFmtId="170" xfId="0" applyFont="1" applyNumberFormat="1"/>
    <xf borderId="0" fillId="0" fontId="9" numFmtId="165" xfId="0" applyFont="1" applyNumberFormat="1"/>
    <xf borderId="0" fillId="0" fontId="9" numFmtId="171" xfId="0" applyFont="1" applyNumberFormat="1"/>
    <xf borderId="0" fillId="21" fontId="2" numFmtId="172" xfId="0" applyAlignment="1" applyFont="1" applyNumberFormat="1">
      <alignment vertical="bottom"/>
    </xf>
    <xf borderId="0" fillId="0" fontId="2" numFmtId="46" xfId="0" applyAlignment="1" applyFont="1" applyNumberFormat="1">
      <alignment vertical="bottom"/>
    </xf>
    <xf borderId="0" fillId="0" fontId="2" numFmtId="172" xfId="0" applyAlignment="1" applyFont="1" applyNumberFormat="1">
      <alignment vertical="bottom"/>
    </xf>
    <xf borderId="0" fillId="2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9" numFmtId="172" xfId="0" applyFont="1" applyNumberFormat="1"/>
    <xf borderId="0" fillId="8" fontId="1" numFmtId="0" xfId="0" applyAlignment="1" applyFont="1">
      <alignment vertical="bottom"/>
    </xf>
    <xf borderId="0" fillId="8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24" fontId="12" numFmtId="0" xfId="0" applyAlignment="1" applyFill="1" applyFont="1">
      <alignment vertical="bottom"/>
    </xf>
    <xf borderId="0" fillId="0" fontId="9" numFmtId="173" xfId="0" applyFont="1" applyNumberFormat="1"/>
    <xf borderId="0" fillId="9" fontId="1" numFmtId="0" xfId="0" applyAlignment="1" applyFont="1">
      <alignment readingOrder="0" vertical="bottom"/>
    </xf>
    <xf borderId="2" fillId="4" fontId="11" numFmtId="0" xfId="0" applyAlignment="1" applyBorder="1" applyFont="1">
      <alignment horizontal="center" readingOrder="0"/>
    </xf>
    <xf borderId="7" fillId="4" fontId="11" numFmtId="0" xfId="0" applyAlignment="1" applyBorder="1" applyFont="1">
      <alignment horizontal="center" readingOrder="0"/>
    </xf>
    <xf borderId="4" fillId="20" fontId="9" numFmtId="0" xfId="0" applyBorder="1" applyFont="1"/>
    <xf borderId="0" fillId="20" fontId="9" numFmtId="0" xfId="0" applyFont="1"/>
    <xf borderId="0" fillId="3" fontId="9" numFmtId="0" xfId="0" applyAlignment="1" applyFont="1">
      <alignment readingOrder="0"/>
    </xf>
    <xf borderId="0" fillId="8" fontId="9" numFmtId="0" xfId="0" applyAlignment="1" applyFont="1">
      <alignment readingOrder="0"/>
    </xf>
    <xf borderId="1" fillId="20" fontId="9" numFmtId="0" xfId="0" applyAlignment="1" applyBorder="1" applyFont="1">
      <alignment readingOrder="0"/>
    </xf>
    <xf borderId="13" fillId="2" fontId="11" numFmtId="173" xfId="0" applyAlignment="1" applyBorder="1" applyFont="1" applyNumberFormat="1">
      <alignment horizontal="center" readingOrder="0"/>
    </xf>
    <xf borderId="14" fillId="0" fontId="3" numFmtId="0" xfId="0" applyBorder="1" applyFont="1"/>
    <xf borderId="15" fillId="0" fontId="3" numFmtId="0" xfId="0" applyBorder="1" applyFont="1"/>
    <xf borderId="16" fillId="11" fontId="9" numFmtId="0" xfId="0" applyAlignment="1" applyBorder="1" applyFont="1">
      <alignment horizontal="center" readingOrder="0" vertical="center"/>
    </xf>
    <xf borderId="16" fillId="14" fontId="1" numFmtId="0" xfId="0" applyAlignment="1" applyBorder="1" applyFont="1">
      <alignment vertical="bottom"/>
    </xf>
    <xf borderId="17" fillId="11" fontId="9" numFmtId="173" xfId="0" applyAlignment="1" applyBorder="1" applyFont="1" applyNumberFormat="1">
      <alignment horizontal="right"/>
    </xf>
    <xf borderId="9" fillId="5" fontId="9" numFmtId="173" xfId="0" applyAlignment="1" applyBorder="1" applyFont="1" applyNumberFormat="1">
      <alignment horizontal="right"/>
    </xf>
    <xf borderId="9" fillId="11" fontId="9" numFmtId="173" xfId="0" applyAlignment="1" applyBorder="1" applyFont="1" applyNumberFormat="1">
      <alignment horizontal="right"/>
    </xf>
    <xf borderId="18" fillId="5" fontId="13" numFmtId="173" xfId="0" applyAlignment="1" applyBorder="1" applyFont="1" applyNumberFormat="1">
      <alignment horizontal="right"/>
    </xf>
    <xf borderId="16" fillId="0" fontId="3" numFmtId="0" xfId="0" applyBorder="1" applyFont="1"/>
    <xf borderId="16" fillId="16" fontId="1" numFmtId="0" xfId="0" applyAlignment="1" applyBorder="1" applyFont="1">
      <alignment vertical="bottom"/>
    </xf>
    <xf borderId="19" fillId="12" fontId="9" numFmtId="0" xfId="0" applyAlignment="1" applyBorder="1" applyFont="1">
      <alignment horizontal="center" readingOrder="0" vertical="center"/>
    </xf>
    <xf borderId="19" fillId="24" fontId="12" numFmtId="0" xfId="0" applyAlignment="1" applyBorder="1" applyFont="1">
      <alignment vertical="bottom"/>
    </xf>
    <xf borderId="20" fillId="12" fontId="9" numFmtId="173" xfId="0" applyAlignment="1" applyBorder="1" applyFont="1" applyNumberFormat="1">
      <alignment horizontal="right"/>
    </xf>
    <xf borderId="21" fillId="6" fontId="9" numFmtId="173" xfId="0" applyAlignment="1" applyBorder="1" applyFont="1" applyNumberFormat="1">
      <alignment horizontal="right"/>
    </xf>
    <xf borderId="21" fillId="12" fontId="9" numFmtId="173" xfId="0" applyAlignment="1" applyBorder="1" applyFont="1" applyNumberFormat="1">
      <alignment horizontal="right"/>
    </xf>
    <xf borderId="22" fillId="6" fontId="13" numFmtId="173" xfId="0" applyAlignment="1" applyBorder="1" applyFont="1" applyNumberFormat="1">
      <alignment horizontal="right"/>
    </xf>
    <xf borderId="16" fillId="9" fontId="1" numFmtId="0" xfId="0" applyAlignment="1" applyBorder="1" applyFont="1">
      <alignment readingOrder="0" vertical="bottom"/>
    </xf>
    <xf borderId="17" fillId="12" fontId="9" numFmtId="173" xfId="0" applyAlignment="1" applyBorder="1" applyFont="1" applyNumberFormat="1">
      <alignment horizontal="right"/>
    </xf>
    <xf borderId="9" fillId="6" fontId="9" numFmtId="173" xfId="0" applyAlignment="1" applyBorder="1" applyFont="1" applyNumberFormat="1">
      <alignment horizontal="right"/>
    </xf>
    <xf borderId="9" fillId="12" fontId="9" numFmtId="173" xfId="0" applyAlignment="1" applyBorder="1" applyFont="1" applyNumberFormat="1">
      <alignment horizontal="right"/>
    </xf>
    <xf borderId="18" fillId="6" fontId="13" numFmtId="173" xfId="0" applyAlignment="1" applyBorder="1" applyFont="1" applyNumberFormat="1">
      <alignment horizontal="right"/>
    </xf>
    <xf borderId="23" fillId="0" fontId="3" numFmtId="0" xfId="0" applyBorder="1" applyFont="1"/>
    <xf borderId="23" fillId="16" fontId="1" numFmtId="0" xfId="0" applyAlignment="1" applyBorder="1" applyFont="1">
      <alignment vertical="bottom"/>
    </xf>
    <xf borderId="24" fillId="12" fontId="9" numFmtId="173" xfId="0" applyAlignment="1" applyBorder="1" applyFont="1" applyNumberFormat="1">
      <alignment horizontal="right"/>
    </xf>
    <xf borderId="12" fillId="6" fontId="9" numFmtId="173" xfId="0" applyAlignment="1" applyBorder="1" applyFont="1" applyNumberFormat="1">
      <alignment horizontal="right"/>
    </xf>
    <xf borderId="12" fillId="12" fontId="9" numFmtId="173" xfId="0" applyAlignment="1" applyBorder="1" applyFont="1" applyNumberFormat="1">
      <alignment horizontal="right"/>
    </xf>
    <xf borderId="25" fillId="6" fontId="13" numFmtId="173" xfId="0" applyAlignment="1" applyBorder="1" applyFont="1" applyNumberFormat="1">
      <alignment horizontal="right"/>
    </xf>
    <xf borderId="0" fillId="25" fontId="2" numFmtId="0" xfId="0" applyAlignment="1" applyFill="1" applyFont="1">
      <alignment vertical="bottom"/>
    </xf>
    <xf borderId="0" fillId="26" fontId="2" numFmtId="0" xfId="0" applyAlignment="1" applyFill="1" applyFont="1">
      <alignment vertical="bottom"/>
    </xf>
    <xf borderId="0" fillId="26" fontId="2" numFmtId="4" xfId="0" applyAlignment="1" applyFont="1" applyNumberFormat="1">
      <alignment vertical="bottom"/>
    </xf>
    <xf borderId="0" fillId="26" fontId="2" numFmtId="46" xfId="0" applyAlignment="1" applyFont="1" applyNumberFormat="1">
      <alignment vertical="bottom"/>
    </xf>
    <xf borderId="0" fillId="27" fontId="1" numFmtId="0" xfId="0" applyAlignment="1" applyFill="1" applyFont="1">
      <alignment vertical="bottom"/>
    </xf>
    <xf borderId="0" fillId="27" fontId="2" numFmtId="4" xfId="0" applyAlignment="1" applyFont="1" applyNumberFormat="1">
      <alignment vertical="bottom"/>
    </xf>
    <xf borderId="0" fillId="27" fontId="2" numFmtId="46" xfId="0" applyAlignment="1" applyFont="1" applyNumberFormat="1">
      <alignment vertical="bottom"/>
    </xf>
    <xf borderId="0" fillId="27" fontId="2" numFmtId="0" xfId="0" applyAlignment="1" applyFont="1">
      <alignment vertical="bottom"/>
    </xf>
    <xf borderId="0" fillId="28" fontId="2" numFmtId="0" xfId="0" applyAlignment="1" applyFill="1" applyFont="1">
      <alignment vertical="bottom"/>
    </xf>
    <xf borderId="0" fillId="28" fontId="2" numFmtId="4" xfId="0" applyAlignment="1" applyFont="1" applyNumberFormat="1">
      <alignment vertical="bottom"/>
    </xf>
    <xf borderId="0" fillId="29" fontId="1" numFmtId="0" xfId="0" applyAlignment="1" applyFill="1" applyFont="1">
      <alignment vertical="bottom"/>
    </xf>
    <xf borderId="0" fillId="29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25" fontId="2" numFmtId="10" xfId="0" applyAlignment="1" applyFont="1" applyNumberFormat="1">
      <alignment horizontal="right" vertical="bottom"/>
    </xf>
    <xf borderId="0" fillId="26" fontId="2" numFmtId="10" xfId="0" applyAlignment="1" applyFont="1" applyNumberFormat="1">
      <alignment horizontal="right" vertical="bottom"/>
    </xf>
    <xf borderId="0" fillId="27" fontId="1" numFmtId="10" xfId="0" applyAlignment="1" applyFont="1" applyNumberFormat="1">
      <alignment horizontal="right" vertical="bottom"/>
    </xf>
    <xf borderId="0" fillId="28" fontId="2" numFmtId="10" xfId="0" applyAlignment="1" applyFont="1" applyNumberFormat="1">
      <alignment horizontal="right" vertical="bottom"/>
    </xf>
    <xf borderId="0" fillId="29" fontId="1" numFmtId="10" xfId="0" applyAlignment="1" applyFont="1" applyNumberFormat="1">
      <alignment horizontal="right" vertical="bottom"/>
    </xf>
    <xf borderId="0" fillId="22" fontId="2" numFmtId="10" xfId="0" applyAlignment="1" applyFont="1" applyNumberFormat="1">
      <alignment horizontal="right" vertical="bottom"/>
    </xf>
    <xf borderId="0" fillId="11" fontId="2" numFmtId="4" xfId="0" applyAlignment="1" applyFont="1" applyNumberFormat="1">
      <alignment vertical="bottom"/>
    </xf>
    <xf borderId="0" fillId="12" fontId="2" numFmtId="4" xfId="0" applyAlignment="1" applyFont="1" applyNumberFormat="1">
      <alignment horizontal="right" vertical="bottom"/>
    </xf>
    <xf borderId="0" fillId="11" fontId="2" numFmtId="4" xfId="0" applyAlignment="1" applyFont="1" applyNumberFormat="1">
      <alignment horizontal="right" vertical="bottom"/>
    </xf>
    <xf borderId="0" fillId="27" fontId="2" numFmtId="10" xfId="0" applyAlignment="1" applyFont="1" applyNumberFormat="1">
      <alignment horizontal="right" vertical="bottom"/>
    </xf>
    <xf borderId="0" fillId="3" fontId="9" numFmtId="0" xfId="0" applyFont="1"/>
    <xf borderId="0" fillId="23" fontId="2" numFmtId="0" xfId="0" applyAlignment="1" applyFont="1">
      <alignment vertical="bottom"/>
    </xf>
    <xf borderId="0" fillId="3" fontId="2" numFmtId="46" xfId="0" applyAlignment="1" applyFont="1" applyNumberFormat="1">
      <alignment vertical="bottom"/>
    </xf>
    <xf borderId="0" fillId="3" fontId="2" numFmtId="4" xfId="0" applyAlignment="1" applyFont="1" applyNumberFormat="1">
      <alignment vertical="bottom"/>
    </xf>
    <xf borderId="0" fillId="30" fontId="2" numFmtId="0" xfId="0" applyAlignment="1" applyFill="1" applyFont="1">
      <alignment vertical="bottom"/>
    </xf>
    <xf borderId="0" fillId="15" fontId="2" numFmtId="0" xfId="0" applyAlignment="1" applyFont="1">
      <alignment vertical="bottom"/>
    </xf>
    <xf borderId="0" fillId="10" fontId="2" numFmtId="4" xfId="0" applyAlignment="1" applyFont="1" applyNumberFormat="1">
      <alignment vertical="bottom"/>
    </xf>
    <xf borderId="0" fillId="31" fontId="2" numFmtId="0" xfId="0" applyAlignment="1" applyFill="1" applyFont="1">
      <alignment vertical="bottom"/>
    </xf>
    <xf borderId="0" fillId="0" fontId="9" numFmtId="4" xfId="0" applyFont="1" applyNumberFormat="1"/>
    <xf borderId="0" fillId="0" fontId="9" numFmtId="0" xfId="0" applyFont="1"/>
    <xf borderId="0" fillId="32" fontId="11" numFmtId="0" xfId="0" applyAlignment="1" applyFill="1" applyFont="1">
      <alignment horizontal="center" readingOrder="0"/>
    </xf>
    <xf borderId="0" fillId="33" fontId="11" numFmtId="0" xfId="0" applyAlignment="1" applyFill="1" applyFont="1">
      <alignment horizontal="center" readingOrder="0"/>
    </xf>
    <xf borderId="0" fillId="34" fontId="11" numFmtId="0" xfId="0" applyAlignment="1" applyFill="1" applyFont="1">
      <alignment horizontal="center" readingOrder="0"/>
    </xf>
    <xf borderId="0" fillId="35" fontId="2" numFmtId="0" xfId="0" applyAlignment="1" applyFill="1" applyFont="1">
      <alignment readingOrder="0" vertical="bottom"/>
    </xf>
    <xf borderId="0" fillId="22" fontId="2" numFmtId="172" xfId="0" applyAlignment="1" applyFont="1" applyNumberFormat="1">
      <alignment readingOrder="0" vertical="bottom"/>
    </xf>
    <xf borderId="0" fillId="36" fontId="2" numFmtId="0" xfId="0" applyAlignment="1" applyFill="1" applyFont="1">
      <alignment readingOrder="0" vertical="bottom"/>
    </xf>
    <xf borderId="0" fillId="37" fontId="2" numFmtId="0" xfId="0" applyAlignment="1" applyFill="1" applyFont="1">
      <alignment readingOrder="0" vertical="bottom"/>
    </xf>
    <xf borderId="0" fillId="35" fontId="2" numFmtId="46" xfId="0" applyAlignment="1" applyFont="1" applyNumberFormat="1">
      <alignment readingOrder="0" vertical="bottom"/>
    </xf>
    <xf borderId="0" fillId="36" fontId="2" numFmtId="46" xfId="0" applyAlignment="1" applyFont="1" applyNumberFormat="1">
      <alignment readingOrder="0" vertical="bottom"/>
    </xf>
    <xf borderId="0" fillId="0" fontId="2" numFmtId="14" xfId="0" applyAlignment="1" applyFont="1" applyNumberFormat="1">
      <alignment horizontal="right" vertical="bottom"/>
    </xf>
    <xf borderId="0" fillId="15" fontId="2" numFmtId="0" xfId="0" applyAlignment="1" applyFont="1">
      <alignment vertical="bottom"/>
    </xf>
    <xf borderId="0" fillId="15" fontId="2" numFmtId="46" xfId="0" applyAlignment="1" applyFont="1" applyNumberFormat="1">
      <alignment vertical="bottom"/>
    </xf>
    <xf borderId="0" fillId="35" fontId="2" numFmtId="172" xfId="0" applyAlignment="1" applyFont="1" applyNumberFormat="1">
      <alignment vertical="bottom"/>
    </xf>
    <xf borderId="0" fillId="31" fontId="2" numFmtId="0" xfId="0" applyAlignment="1" applyFont="1">
      <alignment vertical="bottom"/>
    </xf>
    <xf borderId="0" fillId="31" fontId="2" numFmtId="46" xfId="0" applyAlignment="1" applyFont="1" applyNumberFormat="1">
      <alignment vertical="bottom"/>
    </xf>
    <xf borderId="0" fillId="38" fontId="2" numFmtId="172" xfId="0" applyAlignment="1" applyFill="1" applyFont="1" applyNumberFormat="1">
      <alignment vertical="bottom"/>
    </xf>
    <xf borderId="0" fillId="23" fontId="2" numFmtId="172" xfId="0" applyAlignment="1" applyFont="1" applyNumberFormat="1">
      <alignment vertical="bottom"/>
    </xf>
    <xf borderId="0" fillId="23" fontId="2" numFmtId="46" xfId="0" applyAlignment="1" applyFont="1" applyNumberFormat="1">
      <alignment vertical="bottom"/>
    </xf>
    <xf borderId="0" fillId="37" fontId="2" numFmtId="172" xfId="0" applyAlignment="1" applyFont="1" applyNumberFormat="1">
      <alignment vertical="bottom"/>
    </xf>
    <xf borderId="0" fillId="15" fontId="2" numFmtId="172" xfId="0" applyAlignment="1" applyFont="1" applyNumberFormat="1">
      <alignment vertical="bottom"/>
    </xf>
    <xf borderId="0" fillId="31" fontId="2" numFmtId="172" xfId="0" applyAlignment="1" applyFont="1" applyNumberFormat="1">
      <alignment vertical="bottom"/>
    </xf>
    <xf borderId="0" fillId="15" fontId="9" numFmtId="0" xfId="0" applyFont="1"/>
    <xf borderId="0" fillId="15" fontId="9" numFmtId="46" xfId="0" applyFont="1" applyNumberFormat="1"/>
    <xf borderId="0" fillId="31" fontId="9" numFmtId="0" xfId="0" applyFont="1"/>
    <xf borderId="0" fillId="31" fontId="9" numFmtId="46" xfId="0" applyFont="1" applyNumberFormat="1"/>
    <xf borderId="0" fillId="0" fontId="1" numFmtId="169" xfId="0" applyAlignment="1" applyFont="1" applyNumberFormat="1">
      <alignment horizontal="center" vertical="bottom"/>
    </xf>
    <xf borderId="0" fillId="0" fontId="2" numFmtId="169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2" fillId="4" fontId="1" numFmtId="169" xfId="0" applyAlignment="1" applyBorder="1" applyFont="1" applyNumberFormat="1">
      <alignment horizontal="center" readingOrder="0" vertical="bottom"/>
    </xf>
    <xf borderId="7" fillId="4" fontId="1" numFmtId="169" xfId="0" applyAlignment="1" applyBorder="1" applyFont="1" applyNumberFormat="1">
      <alignment horizontal="center" readingOrder="0" vertical="bottom"/>
    </xf>
    <xf borderId="4" fillId="37" fontId="2" numFmtId="169" xfId="0" applyAlignment="1" applyBorder="1" applyFont="1" applyNumberFormat="1">
      <alignment readingOrder="0" vertical="bottom"/>
    </xf>
    <xf borderId="0" fillId="37" fontId="2" numFmtId="169" xfId="0" applyAlignment="1" applyFont="1" applyNumberFormat="1">
      <alignment readingOrder="0" vertical="bottom"/>
    </xf>
    <xf borderId="4" fillId="3" fontId="2" numFmtId="169" xfId="0" applyAlignment="1" applyBorder="1" applyFont="1" applyNumberFormat="1">
      <alignment vertical="bottom"/>
    </xf>
    <xf borderId="0" fillId="3" fontId="2" numFmtId="169" xfId="0" applyAlignment="1" applyFont="1" applyNumberFormat="1">
      <alignment vertical="bottom"/>
    </xf>
    <xf borderId="4" fillId="39" fontId="2" numFmtId="169" xfId="0" applyAlignment="1" applyBorder="1" applyFill="1" applyFont="1" applyNumberFormat="1">
      <alignment vertical="bottom"/>
    </xf>
    <xf borderId="0" fillId="39" fontId="2" numFmtId="169" xfId="0" applyAlignment="1" applyFont="1" applyNumberFormat="1">
      <alignment vertical="bottom"/>
    </xf>
    <xf borderId="4" fillId="39" fontId="8" numFmtId="169" xfId="0" applyAlignment="1" applyBorder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39" fontId="8" numFmtId="169" xfId="0" applyAlignment="1" applyFont="1" applyNumberFormat="1">
      <alignment vertical="bottom"/>
    </xf>
    <xf borderId="1" fillId="0" fontId="8" numFmtId="4" xfId="0" applyAlignment="1" applyBorder="1" applyFont="1" applyNumberFormat="1">
      <alignment horizontal="right" vertical="bottom"/>
    </xf>
    <xf borderId="4" fillId="0" fontId="14" numFmtId="169" xfId="0" applyAlignment="1" applyBorder="1" applyFont="1" applyNumberFormat="1">
      <alignment vertical="bottom"/>
    </xf>
    <xf borderId="0" fillId="12" fontId="14" numFmtId="4" xfId="0" applyAlignment="1" applyFont="1" applyNumberFormat="1">
      <alignment horizontal="right" vertical="bottom"/>
    </xf>
    <xf borderId="0" fillId="0" fontId="14" numFmtId="169" xfId="0" applyAlignment="1" applyFont="1" applyNumberFormat="1">
      <alignment vertical="bottom"/>
    </xf>
    <xf borderId="1" fillId="12" fontId="14" numFmtId="4" xfId="0" applyAlignment="1" applyBorder="1" applyFont="1" applyNumberFormat="1">
      <alignment horizontal="right" vertical="bottom"/>
    </xf>
    <xf borderId="5" fillId="0" fontId="14" numFmtId="169" xfId="0" applyAlignment="1" applyBorder="1" applyFont="1" applyNumberFormat="1">
      <alignment vertical="bottom"/>
    </xf>
    <xf borderId="11" fillId="12" fontId="14" numFmtId="4" xfId="0" applyAlignment="1" applyBorder="1" applyFont="1" applyNumberFormat="1">
      <alignment horizontal="right" vertical="bottom"/>
    </xf>
    <xf borderId="11" fillId="0" fontId="14" numFmtId="169" xfId="0" applyAlignment="1" applyBorder="1" applyFont="1" applyNumberFormat="1">
      <alignment vertical="bottom"/>
    </xf>
    <xf borderId="6" fillId="12" fontId="14" numFmtId="4" xfId="0" applyAlignment="1" applyBorder="1" applyFont="1" applyNumberFormat="1">
      <alignment horizontal="right" vertical="bottom"/>
    </xf>
    <xf borderId="0" fillId="27" fontId="2" numFmtId="4" xfId="0" applyAlignment="1" applyFont="1" applyNumberFormat="1">
      <alignment readingOrder="0" vertical="bottom"/>
    </xf>
    <xf borderId="0" fillId="27" fontId="2" numFmtId="169" xfId="0" applyAlignment="1" applyFont="1" applyNumberFormat="1">
      <alignment readingOrder="0" vertical="bottom"/>
    </xf>
    <xf borderId="1" fillId="27" fontId="2" numFmtId="169" xfId="0" applyAlignment="1" applyBorder="1" applyFont="1" applyNumberFormat="1">
      <alignment readingOrder="0" vertical="bottom"/>
    </xf>
    <xf borderId="4" fillId="27" fontId="2" numFmtId="169" xfId="0" applyAlignment="1" applyBorder="1" applyFont="1" applyNumberFormat="1">
      <alignment readingOrder="0" vertical="bottom"/>
    </xf>
    <xf borderId="0" fillId="13" fontId="2" numFmtId="4" xfId="0" applyAlignment="1" applyFont="1" applyNumberFormat="1">
      <alignment horizontal="right" vertical="bottom"/>
    </xf>
    <xf borderId="4" fillId="13" fontId="2" numFmtId="4" xfId="0" applyAlignment="1" applyBorder="1" applyFont="1" applyNumberFormat="1">
      <alignment horizontal="right" vertical="bottom"/>
    </xf>
    <xf borderId="0" fillId="11" fontId="14" numFmtId="4" xfId="0" applyAlignment="1" applyFont="1" applyNumberFormat="1">
      <alignment horizontal="right" vertical="bottom"/>
    </xf>
    <xf borderId="1" fillId="11" fontId="14" numFmtId="4" xfId="0" applyAlignment="1" applyBorder="1" applyFont="1" applyNumberFormat="1">
      <alignment horizontal="right" vertical="bottom"/>
    </xf>
    <xf borderId="0" fillId="13" fontId="14" numFmtId="4" xfId="0" applyAlignment="1" applyFont="1" applyNumberFormat="1">
      <alignment horizontal="right" vertical="bottom"/>
    </xf>
    <xf borderId="1" fillId="13" fontId="14" numFmtId="4" xfId="0" applyAlignment="1" applyBorder="1" applyFont="1" applyNumberFormat="1">
      <alignment horizontal="right" vertical="bottom"/>
    </xf>
    <xf borderId="11" fillId="11" fontId="14" numFmtId="4" xfId="0" applyAlignment="1" applyBorder="1" applyFont="1" applyNumberFormat="1">
      <alignment horizontal="right" vertical="bottom"/>
    </xf>
    <xf borderId="6" fillId="11" fontId="14" numFmtId="4" xfId="0" applyAlignment="1" applyBorder="1" applyFont="1" applyNumberFormat="1">
      <alignment horizontal="right" vertical="bottom"/>
    </xf>
    <xf borderId="4" fillId="4" fontId="1" numFmtId="169" xfId="0" applyAlignment="1" applyBorder="1" applyFont="1" applyNumberFormat="1">
      <alignment horizontal="center" readingOrder="0" vertical="bottom"/>
    </xf>
    <xf borderId="0" fillId="4" fontId="1" numFmtId="169" xfId="0" applyAlignment="1" applyFont="1" applyNumberFormat="1">
      <alignment horizontal="center" readingOrder="0" vertical="bottom"/>
    </xf>
    <xf borderId="0" fillId="29" fontId="2" numFmtId="4" xfId="0" applyAlignment="1" applyFont="1" applyNumberFormat="1">
      <alignment readingOrder="0" vertical="bottom"/>
    </xf>
    <xf borderId="0" fillId="29" fontId="2" numFmtId="169" xfId="0" applyAlignment="1" applyFont="1" applyNumberFormat="1">
      <alignment readingOrder="0" vertical="bottom"/>
    </xf>
    <xf borderId="1" fillId="29" fontId="2" numFmtId="4" xfId="0" applyAlignment="1" applyBorder="1" applyFont="1" applyNumberFormat="1">
      <alignment readingOrder="0" vertical="bottom"/>
    </xf>
    <xf borderId="4" fillId="29" fontId="2" numFmtId="169" xfId="0" applyAlignment="1" applyBorder="1" applyFont="1" applyNumberFormat="1">
      <alignment readingOrder="0" vertical="bottom"/>
    </xf>
    <xf borderId="4" fillId="39" fontId="2" numFmtId="4" xfId="0" applyAlignment="1" applyBorder="1" applyFont="1" applyNumberFormat="1">
      <alignment vertical="bottom"/>
    </xf>
    <xf borderId="0" fillId="39" fontId="2" numFmtId="4" xfId="0" applyAlignment="1" applyFont="1" applyNumberFormat="1">
      <alignment vertical="bottom"/>
    </xf>
    <xf borderId="4" fillId="0" fontId="14" numFmtId="4" xfId="0" applyAlignment="1" applyBorder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1" fillId="0" fontId="14" numFmtId="4" xfId="0" applyAlignment="1" applyBorder="1" applyFont="1" applyNumberFormat="1">
      <alignment horizontal="right" vertical="bottom"/>
    </xf>
    <xf borderId="4" fillId="39" fontId="4" numFmtId="4" xfId="0" applyAlignment="1" applyBorder="1" applyFont="1" applyNumberFormat="1">
      <alignment vertical="bottom"/>
    </xf>
    <xf borderId="0" fillId="13" fontId="15" numFmtId="4" xfId="0" applyAlignment="1" applyFont="1" applyNumberFormat="1">
      <alignment horizontal="right" vertical="bottom"/>
    </xf>
    <xf borderId="0" fillId="39" fontId="4" numFmtId="4" xfId="0" applyAlignment="1" applyFont="1" applyNumberFormat="1">
      <alignment vertical="bottom"/>
    </xf>
    <xf borderId="4" fillId="13" fontId="16" numFmtId="4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vertical="bottom"/>
    </xf>
    <xf borderId="11" fillId="0" fontId="14" numFmtId="4" xfId="0" applyAlignment="1" applyBorder="1" applyFont="1" applyNumberFormat="1">
      <alignment vertical="bottom"/>
    </xf>
    <xf borderId="11" fillId="13" fontId="14" numFmtId="4" xfId="0" applyAlignment="1" applyBorder="1" applyFont="1" applyNumberFormat="1">
      <alignment horizontal="right" vertical="bottom"/>
    </xf>
    <xf borderId="6" fillId="13" fontId="14" numFmtId="4" xfId="0" applyAlignment="1" applyBorder="1" applyFont="1" applyNumberFormat="1">
      <alignment horizontal="right" vertical="bottom"/>
    </xf>
    <xf borderId="0" fillId="11" fontId="9" numFmtId="4" xfId="0" applyAlignment="1" applyFont="1" applyNumberFormat="1">
      <alignment horizontal="right"/>
    </xf>
    <xf borderId="0" fillId="11" fontId="9" numFmtId="4" xfId="0" applyFont="1" applyNumberFormat="1"/>
    <xf borderId="0" fillId="23" fontId="9" numFmtId="172" xfId="0" applyFont="1" applyNumberFormat="1"/>
    <xf borderId="0" fillId="23" fontId="9" numFmtId="46" xfId="0" applyFont="1" applyNumberFormat="1"/>
    <xf borderId="0" fillId="15" fontId="9" numFmtId="172" xfId="0" applyFont="1" applyNumberFormat="1"/>
    <xf borderId="0" fillId="31" fontId="9" numFmtId="172" xfId="0" applyFont="1" applyNumberFormat="1"/>
  </cellXfs>
  <cellStyles count="1">
    <cellStyle xfId="0" name="Normal" builtinId="0"/>
  </cellStyles>
  <dxfs count="2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BD8B6D"/>
          <bgColor rgb="FFBD8B6D"/>
        </patternFill>
      </fill>
      <border/>
    </dxf>
    <dxf>
      <font>
        <color rgb="FFFFFFFF"/>
      </font>
      <fill>
        <patternFill patternType="solid">
          <fgColor rgb="FF7C421F"/>
          <bgColor rgb="FF7C421F"/>
        </patternFill>
      </fill>
      <border/>
    </dxf>
    <dxf>
      <font/>
      <fill>
        <patternFill patternType="solid">
          <fgColor rgb="FFFFEFEF"/>
          <bgColor rgb="FFFFEFEF"/>
        </patternFill>
      </fill>
      <border/>
    </dxf>
    <dxf>
      <font/>
      <fill>
        <patternFill patternType="solid">
          <fgColor rgb="FFFFF8F1"/>
          <bgColor rgb="FFFFF8F1"/>
        </patternFill>
      </fill>
      <border/>
    </dxf>
    <dxf>
      <font/>
      <fill>
        <patternFill patternType="solid">
          <fgColor rgb="FFF0FFEA"/>
          <bgColor rgb="FFF0FFEA"/>
        </patternFill>
      </fill>
      <border/>
    </dxf>
    <dxf>
      <font/>
      <fill>
        <patternFill patternType="solid">
          <fgColor rgb="FFE8FBFF"/>
          <bgColor rgb="FFE8FBFF"/>
        </patternFill>
      </fill>
      <border/>
    </dxf>
    <dxf>
      <font/>
      <fill>
        <patternFill patternType="solid">
          <fgColor rgb="FFEEEAFF"/>
          <bgColor rgb="FFEEEA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solid">
          <fgColor rgb="FFBD8B6D"/>
          <bgColor rgb="FFBD8B6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Mainefare avg Plates per Minute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Monday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'Diversion Data'!$O$13:$O$14</c:f>
            </c:strRef>
          </c:cat>
          <c:val>
            <c:numRef>
              <c:f>'Diversion Data'!$P$13:$P$14</c:f>
              <c:numCache/>
            </c:numRef>
          </c:val>
        </c:ser>
        <c:ser>
          <c:idx val="1"/>
          <c:order val="1"/>
          <c:tx>
            <c:v>Tuesday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'Diversion Data'!$O$13:$O$14</c:f>
            </c:strRef>
          </c:cat>
          <c:val>
            <c:numRef>
              <c:f>'Diversion Data'!$Q$13:$Q$14</c:f>
              <c:numCache/>
            </c:numRef>
          </c:val>
        </c:ser>
        <c:ser>
          <c:idx val="2"/>
          <c:order val="2"/>
          <c:tx>
            <c:v>Wednesday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'Diversion Data'!$O$13:$O$14</c:f>
            </c:strRef>
          </c:cat>
          <c:val>
            <c:numRef>
              <c:f>'Diversion Data'!$R$13:$R$14</c:f>
              <c:numCache/>
            </c:numRef>
          </c:val>
        </c:ser>
        <c:ser>
          <c:idx val="3"/>
          <c:order val="3"/>
          <c:tx>
            <c:v>Thursday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'Diversion Data'!$O$13:$O$14</c:f>
            </c:strRef>
          </c:cat>
          <c:val>
            <c:numRef>
              <c:f>'Diversion Data'!$S$13:$S$14</c:f>
              <c:numCache/>
            </c:numRef>
          </c:val>
        </c:ser>
        <c:ser>
          <c:idx val="4"/>
          <c:order val="4"/>
          <c:tx>
            <c:v>Friday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Data'!$O$13:$O$14</c:f>
            </c:strRef>
          </c:cat>
          <c:val>
            <c:numRef>
              <c:f>'Diversion Data'!$T$13:$T$14</c:f>
              <c:numCache/>
            </c:numRef>
          </c:val>
        </c:ser>
        <c:ser>
          <c:idx val="5"/>
          <c:order val="5"/>
          <c:tx>
            <c:v>Average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Data'!$O$13:$O$14</c:f>
            </c:strRef>
          </c:cat>
          <c:val>
            <c:numRef>
              <c:f>'Diversion Data'!$U$13:$U$14</c:f>
              <c:numCache/>
            </c:numRef>
          </c:val>
        </c:ser>
        <c:ser>
          <c:idx val="6"/>
          <c:order val="6"/>
          <c:cat>
            <c:strRef>
              <c:f>'Diversion Data'!$O$13:$O$14</c:f>
            </c:strRef>
          </c:cat>
          <c:val>
            <c:numRef>
              <c:f>'Diversion Data'!$P$11</c:f>
              <c:numCache/>
            </c:numRef>
          </c:val>
        </c:ser>
        <c:ser>
          <c:idx val="7"/>
          <c:order val="7"/>
          <c:cat>
            <c:strRef>
              <c:f>'Diversion Data'!$O$13:$O$14</c:f>
            </c:strRef>
          </c:cat>
          <c:val>
            <c:numRef>
              <c:f>'Diversion Data'!$Q$11</c:f>
              <c:numCache/>
            </c:numRef>
          </c:val>
        </c:ser>
        <c:ser>
          <c:idx val="8"/>
          <c:order val="8"/>
          <c:cat>
            <c:strRef>
              <c:f>'Diversion Data'!$O$13:$O$14</c:f>
            </c:strRef>
          </c:cat>
          <c:val>
            <c:numRef>
              <c:f>'Diversion Data'!$R$11</c:f>
              <c:numCache/>
            </c:numRef>
          </c:val>
        </c:ser>
        <c:ser>
          <c:idx val="9"/>
          <c:order val="9"/>
          <c:cat>
            <c:strRef>
              <c:f>'Diversion Data'!$O$13:$O$14</c:f>
            </c:strRef>
          </c:cat>
          <c:val>
            <c:numRef>
              <c:f>'Diversion Data'!$S$11</c:f>
              <c:numCache/>
            </c:numRef>
          </c:val>
        </c:ser>
        <c:ser>
          <c:idx val="10"/>
          <c:order val="10"/>
          <c:cat>
            <c:strRef>
              <c:f>'Diversion Data'!$O$13:$O$14</c:f>
            </c:strRef>
          </c:cat>
          <c:val>
            <c:numRef>
              <c:f>'Diversion Data'!$T$11</c:f>
              <c:numCache/>
            </c:numRef>
          </c:val>
        </c:ser>
        <c:ser>
          <c:idx val="11"/>
          <c:order val="11"/>
          <c:cat>
            <c:strRef>
              <c:f>'Diversion Data'!$O$13:$O$14</c:f>
            </c:strRef>
          </c:cat>
          <c:val>
            <c:numRef>
              <c:f>'Diversion Data'!$U$11</c:f>
              <c:numCache/>
            </c:numRef>
          </c:val>
        </c:ser>
        <c:axId val="176793253"/>
        <c:axId val="1614959712"/>
      </c:barChart>
      <c:catAx>
        <c:axId val="176793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959712"/>
      </c:catAx>
      <c:valAx>
        <c:axId val="1614959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93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Butterfield avg Plates per Minute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Monday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Data'!$O$15:$O$18</c:f>
            </c:strRef>
          </c:cat>
          <c:val>
            <c:numRef>
              <c:f>'Diversion Data'!$P$15:$P$18</c:f>
              <c:numCache/>
            </c:numRef>
          </c:val>
        </c:ser>
        <c:ser>
          <c:idx val="1"/>
          <c:order val="1"/>
          <c:tx>
            <c:v>Tuesday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Data'!$O$15:$O$18</c:f>
            </c:strRef>
          </c:cat>
          <c:val>
            <c:numRef>
              <c:f>'Diversion Data'!$Q$15:$Q$18</c:f>
              <c:numCache/>
            </c:numRef>
          </c:val>
        </c:ser>
        <c:ser>
          <c:idx val="2"/>
          <c:order val="2"/>
          <c:tx>
            <c:v>Wednesday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Data'!$O$15:$O$18</c:f>
            </c:strRef>
          </c:cat>
          <c:val>
            <c:numRef>
              <c:f>'Diversion Data'!$R$15:$R$18</c:f>
              <c:numCache/>
            </c:numRef>
          </c:val>
        </c:ser>
        <c:ser>
          <c:idx val="3"/>
          <c:order val="3"/>
          <c:tx>
            <c:v>Thursday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Data'!$O$15:$O$18</c:f>
            </c:strRef>
          </c:cat>
          <c:val>
            <c:numRef>
              <c:f>'Diversion Data'!$S$15:$S$18</c:f>
              <c:numCache/>
            </c:numRef>
          </c:val>
        </c:ser>
        <c:ser>
          <c:idx val="4"/>
          <c:order val="4"/>
          <c:tx>
            <c:v>Friday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Data'!$O$15:$O$18</c:f>
            </c:strRef>
          </c:cat>
          <c:val>
            <c:numRef>
              <c:f>'Diversion Data'!$T$15:$T$18</c:f>
              <c:numCache/>
            </c:numRef>
          </c:val>
        </c:ser>
        <c:ser>
          <c:idx val="5"/>
          <c:order val="5"/>
          <c:tx>
            <c:v>Average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Data'!$O$15:$O$18</c:f>
            </c:strRef>
          </c:cat>
          <c:val>
            <c:numRef>
              <c:f>'Diversion Data'!$U$15:$U$18</c:f>
              <c:numCache/>
            </c:numRef>
          </c:val>
        </c:ser>
        <c:ser>
          <c:idx val="6"/>
          <c:order val="6"/>
          <c:cat>
            <c:strRef>
              <c:f>'Diversion Data'!$O$15:$O$18</c:f>
            </c:strRef>
          </c:cat>
          <c:val>
            <c:numRef>
              <c:f>'Diversion Data'!$P$11</c:f>
              <c:numCache/>
            </c:numRef>
          </c:val>
        </c:ser>
        <c:ser>
          <c:idx val="7"/>
          <c:order val="7"/>
          <c:cat>
            <c:strRef>
              <c:f>'Diversion Data'!$O$15:$O$18</c:f>
            </c:strRef>
          </c:cat>
          <c:val>
            <c:numRef>
              <c:f>'Diversion Data'!$Q$11</c:f>
              <c:numCache/>
            </c:numRef>
          </c:val>
        </c:ser>
        <c:ser>
          <c:idx val="8"/>
          <c:order val="8"/>
          <c:cat>
            <c:strRef>
              <c:f>'Diversion Data'!$O$15:$O$18</c:f>
            </c:strRef>
          </c:cat>
          <c:val>
            <c:numRef>
              <c:f>'Diversion Data'!$R$11</c:f>
              <c:numCache/>
            </c:numRef>
          </c:val>
        </c:ser>
        <c:ser>
          <c:idx val="9"/>
          <c:order val="9"/>
          <c:cat>
            <c:strRef>
              <c:f>'Diversion Data'!$O$15:$O$18</c:f>
            </c:strRef>
          </c:cat>
          <c:val>
            <c:numRef>
              <c:f>'Diversion Data'!$S$11</c:f>
              <c:numCache/>
            </c:numRef>
          </c:val>
        </c:ser>
        <c:ser>
          <c:idx val="10"/>
          <c:order val="10"/>
          <c:cat>
            <c:strRef>
              <c:f>'Diversion Data'!$O$15:$O$18</c:f>
            </c:strRef>
          </c:cat>
          <c:val>
            <c:numRef>
              <c:f>'Diversion Data'!$T$11</c:f>
              <c:numCache/>
            </c:numRef>
          </c:val>
        </c:ser>
        <c:ser>
          <c:idx val="11"/>
          <c:order val="11"/>
          <c:cat>
            <c:strRef>
              <c:f>'Diversion Data'!$O$15:$O$18</c:f>
            </c:strRef>
          </c:cat>
          <c:val>
            <c:numRef>
              <c:f>'Diversion Data'!$U$11</c:f>
              <c:numCache/>
            </c:numRef>
          </c:val>
        </c:ser>
        <c:axId val="1019295729"/>
        <c:axId val="1603039052"/>
      </c:barChart>
      <c:catAx>
        <c:axId val="1019295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039052"/>
      </c:catAx>
      <c:valAx>
        <c:axId val="1603039052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295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Mainefare avg Pounds per 10 Plates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Monday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Data'!$O$20:$O$21</c:f>
            </c:strRef>
          </c:cat>
          <c:val>
            <c:numRef>
              <c:f>'Diversion Data'!$P$20:$P$21</c:f>
              <c:numCache/>
            </c:numRef>
          </c:val>
        </c:ser>
        <c:ser>
          <c:idx val="1"/>
          <c:order val="1"/>
          <c:tx>
            <c:v>Tuesday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Data'!$O$20:$O$21</c:f>
            </c:strRef>
          </c:cat>
          <c:val>
            <c:numRef>
              <c:f>'Diversion Data'!$Q$20:$Q$21</c:f>
              <c:numCache/>
            </c:numRef>
          </c:val>
        </c:ser>
        <c:ser>
          <c:idx val="2"/>
          <c:order val="2"/>
          <c:tx>
            <c:v>Wednesday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Data'!$O$20:$O$21</c:f>
            </c:strRef>
          </c:cat>
          <c:val>
            <c:numRef>
              <c:f>'Diversion Data'!$R$20:$R$21</c:f>
              <c:numCache/>
            </c:numRef>
          </c:val>
        </c:ser>
        <c:ser>
          <c:idx val="3"/>
          <c:order val="3"/>
          <c:tx>
            <c:v>Thursday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Data'!$O$20:$O$21</c:f>
            </c:strRef>
          </c:cat>
          <c:val>
            <c:numRef>
              <c:f>'Diversion Data'!$S$20:$S$21</c:f>
              <c:numCache/>
            </c:numRef>
          </c:val>
        </c:ser>
        <c:ser>
          <c:idx val="4"/>
          <c:order val="4"/>
          <c:tx>
            <c:v>Friday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Data'!$O$20:$O$21</c:f>
            </c:strRef>
          </c:cat>
          <c:val>
            <c:numRef>
              <c:f>'Diversion Data'!$T$20:$T$21</c:f>
              <c:numCache/>
            </c:numRef>
          </c:val>
        </c:ser>
        <c:ser>
          <c:idx val="5"/>
          <c:order val="5"/>
          <c:tx>
            <c:v>Average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Data'!$O$20:$O$21</c:f>
            </c:strRef>
          </c:cat>
          <c:val>
            <c:numRef>
              <c:f>'Diversion Data'!$U$20:$U$21</c:f>
              <c:numCache/>
            </c:numRef>
          </c:val>
        </c:ser>
        <c:ser>
          <c:idx val="6"/>
          <c:order val="6"/>
          <c:cat>
            <c:strRef>
              <c:f>'Diversion Data'!$O$20:$O$21</c:f>
            </c:strRef>
          </c:cat>
          <c:val>
            <c:numRef>
              <c:f>'Diversion Data'!$P$11</c:f>
              <c:numCache/>
            </c:numRef>
          </c:val>
        </c:ser>
        <c:ser>
          <c:idx val="7"/>
          <c:order val="7"/>
          <c:cat>
            <c:strRef>
              <c:f>'Diversion Data'!$O$20:$O$21</c:f>
            </c:strRef>
          </c:cat>
          <c:val>
            <c:numRef>
              <c:f>'Diversion Data'!$Q$11</c:f>
              <c:numCache/>
            </c:numRef>
          </c:val>
        </c:ser>
        <c:ser>
          <c:idx val="8"/>
          <c:order val="8"/>
          <c:cat>
            <c:strRef>
              <c:f>'Diversion Data'!$O$20:$O$21</c:f>
            </c:strRef>
          </c:cat>
          <c:val>
            <c:numRef>
              <c:f>'Diversion Data'!$R$11</c:f>
              <c:numCache/>
            </c:numRef>
          </c:val>
        </c:ser>
        <c:ser>
          <c:idx val="9"/>
          <c:order val="9"/>
          <c:cat>
            <c:strRef>
              <c:f>'Diversion Data'!$O$20:$O$21</c:f>
            </c:strRef>
          </c:cat>
          <c:val>
            <c:numRef>
              <c:f>'Diversion Data'!$S$11</c:f>
              <c:numCache/>
            </c:numRef>
          </c:val>
        </c:ser>
        <c:ser>
          <c:idx val="10"/>
          <c:order val="10"/>
          <c:cat>
            <c:strRef>
              <c:f>'Diversion Data'!$O$20:$O$21</c:f>
            </c:strRef>
          </c:cat>
          <c:val>
            <c:numRef>
              <c:f>'Diversion Data'!$T$11</c:f>
              <c:numCache/>
            </c:numRef>
          </c:val>
        </c:ser>
        <c:ser>
          <c:idx val="11"/>
          <c:order val="11"/>
          <c:cat>
            <c:strRef>
              <c:f>'Diversion Data'!$O$20:$O$21</c:f>
            </c:strRef>
          </c:cat>
          <c:val>
            <c:numRef>
              <c:f>'Diversion Data'!$U$11</c:f>
              <c:numCache/>
            </c:numRef>
          </c:val>
        </c:ser>
        <c:axId val="1553325928"/>
        <c:axId val="606613591"/>
      </c:barChart>
      <c:catAx>
        <c:axId val="1553325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613591"/>
      </c:catAx>
      <c:valAx>
        <c:axId val="606613591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325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Butterfield avg Pounds per 10 Plates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Monday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Data'!$O$22:$O$25</c:f>
            </c:strRef>
          </c:cat>
          <c:val>
            <c:numRef>
              <c:f>'Diversion Data'!$P$22:$P$25</c:f>
              <c:numCache/>
            </c:numRef>
          </c:val>
        </c:ser>
        <c:ser>
          <c:idx val="1"/>
          <c:order val="1"/>
          <c:tx>
            <c:v>Tuesday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Data'!$O$22:$O$25</c:f>
            </c:strRef>
          </c:cat>
          <c:val>
            <c:numRef>
              <c:f>'Diversion Data'!$Q$22:$Q$25</c:f>
              <c:numCache/>
            </c:numRef>
          </c:val>
        </c:ser>
        <c:ser>
          <c:idx val="2"/>
          <c:order val="2"/>
          <c:tx>
            <c:v>Wednesday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Data'!$O$22:$O$25</c:f>
            </c:strRef>
          </c:cat>
          <c:val>
            <c:numRef>
              <c:f>'Diversion Data'!$R$22:$R$25</c:f>
              <c:numCache/>
            </c:numRef>
          </c:val>
        </c:ser>
        <c:ser>
          <c:idx val="3"/>
          <c:order val="3"/>
          <c:tx>
            <c:v>Thursday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Data'!$O$22:$O$25</c:f>
            </c:strRef>
          </c:cat>
          <c:val>
            <c:numRef>
              <c:f>'Diversion Data'!$S$22:$S$25</c:f>
              <c:numCache/>
            </c:numRef>
          </c:val>
        </c:ser>
        <c:ser>
          <c:idx val="4"/>
          <c:order val="4"/>
          <c:tx>
            <c:v>Friday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Data'!$O$22:$O$25</c:f>
            </c:strRef>
          </c:cat>
          <c:val>
            <c:numRef>
              <c:f>'Diversion Data'!$T$22:$T$25</c:f>
              <c:numCache/>
            </c:numRef>
          </c:val>
        </c:ser>
        <c:ser>
          <c:idx val="5"/>
          <c:order val="5"/>
          <c:tx>
            <c:v>Average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'Diversion Data'!$O$22:$O$25</c:f>
            </c:strRef>
          </c:cat>
          <c:val>
            <c:numRef>
              <c:f>'Diversion Data'!$U$22:$U$25</c:f>
              <c:numCache/>
            </c:numRef>
          </c:val>
        </c:ser>
        <c:ser>
          <c:idx val="6"/>
          <c:order val="6"/>
          <c:cat>
            <c:strRef>
              <c:f>'Diversion Data'!$O$22:$O$25</c:f>
            </c:strRef>
          </c:cat>
          <c:val>
            <c:numRef>
              <c:f>'Diversion Data'!$P$11</c:f>
              <c:numCache/>
            </c:numRef>
          </c:val>
        </c:ser>
        <c:ser>
          <c:idx val="7"/>
          <c:order val="7"/>
          <c:cat>
            <c:strRef>
              <c:f>'Diversion Data'!$O$22:$O$25</c:f>
            </c:strRef>
          </c:cat>
          <c:val>
            <c:numRef>
              <c:f>'Diversion Data'!$Q$11</c:f>
              <c:numCache/>
            </c:numRef>
          </c:val>
        </c:ser>
        <c:ser>
          <c:idx val="8"/>
          <c:order val="8"/>
          <c:cat>
            <c:strRef>
              <c:f>'Diversion Data'!$O$22:$O$25</c:f>
            </c:strRef>
          </c:cat>
          <c:val>
            <c:numRef>
              <c:f>'Diversion Data'!$R$11</c:f>
              <c:numCache/>
            </c:numRef>
          </c:val>
        </c:ser>
        <c:ser>
          <c:idx val="9"/>
          <c:order val="9"/>
          <c:cat>
            <c:strRef>
              <c:f>'Diversion Data'!$O$22:$O$25</c:f>
            </c:strRef>
          </c:cat>
          <c:val>
            <c:numRef>
              <c:f>'Diversion Data'!$S$11</c:f>
              <c:numCache/>
            </c:numRef>
          </c:val>
        </c:ser>
        <c:ser>
          <c:idx val="10"/>
          <c:order val="10"/>
          <c:cat>
            <c:strRef>
              <c:f>'Diversion Data'!$O$22:$O$25</c:f>
            </c:strRef>
          </c:cat>
          <c:val>
            <c:numRef>
              <c:f>'Diversion Data'!$T$11</c:f>
              <c:numCache/>
            </c:numRef>
          </c:val>
        </c:ser>
        <c:ser>
          <c:idx val="11"/>
          <c:order val="11"/>
          <c:cat>
            <c:strRef>
              <c:f>'Diversion Data'!$O$22:$O$25</c:f>
            </c:strRef>
          </c:cat>
          <c:val>
            <c:numRef>
              <c:f>'Diversion Data'!$U$11</c:f>
              <c:numCache/>
            </c:numRef>
          </c:val>
        </c:ser>
        <c:axId val="647884892"/>
        <c:axId val="451480179"/>
      </c:barChart>
      <c:catAx>
        <c:axId val="647884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480179"/>
      </c:catAx>
      <c:valAx>
        <c:axId val="451480179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884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0000"/>
                </a:solidFill>
                <a:latin typeface="+mn-lt"/>
              </a:defRPr>
            </a:pPr>
            <a:r>
              <a:rPr b="0">
                <a:solidFill>
                  <a:srgbClr val="990000"/>
                </a:solidFill>
                <a:latin typeface="+mn-lt"/>
              </a:rPr>
              <a:t>Butterfield Breakfast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Deviations'!$AF$21:$AF$26</c:f>
            </c:strRef>
          </c:cat>
          <c:val>
            <c:numRef>
              <c:f>'Std Deviations'!$AJ$21:$AJ$26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chemeClr val="accent3">
                <a:alpha val="30000"/>
              </a:schemeClr>
            </a:solidFill>
            <a:ln cmpd="sng" w="38100">
              <a:solidFill>
                <a:schemeClr val="accent3"/>
              </a:solidFill>
              <a:prstDash val="solid"/>
            </a:ln>
          </c:spPr>
          <c:cat>
            <c:strRef>
              <c:f>'Std Deviations'!$AF$21:$AF$26</c:f>
            </c:strRef>
          </c:cat>
          <c:val>
            <c:numRef>
              <c:f>'Std Deviations'!$AI$21:$AI$26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>
                  <a:alpha val="0"/>
                </a:srgbClr>
              </a:solidFill>
            </a:ln>
          </c:spPr>
          <c:cat>
            <c:strRef>
              <c:f>'Std Deviations'!$AF$21:$AF$26</c:f>
            </c:strRef>
          </c:cat>
          <c:val>
            <c:numRef>
              <c:f>'Std Deviations'!$AI$21:$AI$26</c:f>
              <c:numCache/>
            </c:numRef>
          </c:val>
        </c:ser>
        <c:axId val="851468008"/>
        <c:axId val="1699008529"/>
      </c:areaChart>
      <c:catAx>
        <c:axId val="851468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008529"/>
      </c:catAx>
      <c:valAx>
        <c:axId val="1699008529"/>
        <c:scaling>
          <c:orientation val="minMax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468008"/>
        <c:majorUnit val="15.0"/>
        <c:minorUnit val="5.0"/>
      </c:valAx>
    </c:plotArea>
    <c:plotVisOnly val="0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0000"/>
                </a:solidFill>
                <a:latin typeface="+mn-lt"/>
              </a:defRPr>
            </a:pPr>
            <a:r>
              <a:rPr b="0">
                <a:solidFill>
                  <a:srgbClr val="990000"/>
                </a:solidFill>
                <a:latin typeface="+mn-lt"/>
              </a:rPr>
              <a:t>Butterfield Lunch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Deviations'!$AF$31:$AF$36</c:f>
            </c:strRef>
          </c:cat>
          <c:val>
            <c:numRef>
              <c:f>'Std Deviations'!$AJ$31:$AJ$36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chemeClr val="accent4">
                <a:alpha val="30000"/>
              </a:schemeClr>
            </a:solidFill>
            <a:ln cmpd="sng" w="38100">
              <a:solidFill>
                <a:schemeClr val="accent4"/>
              </a:solidFill>
              <a:prstDash val="solid"/>
            </a:ln>
          </c:spPr>
          <c:cat>
            <c:strRef>
              <c:f>'Std Deviations'!$AF$31:$AF$36</c:f>
            </c:strRef>
          </c:cat>
          <c:val>
            <c:numRef>
              <c:f>'Std Deviations'!$AI$31:$AI$36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>
                  <a:alpha val="0"/>
                </a:srgbClr>
              </a:solidFill>
            </a:ln>
          </c:spPr>
          <c:cat>
            <c:strRef>
              <c:f>'Std Deviations'!$AF$31:$AF$36</c:f>
            </c:strRef>
          </c:cat>
          <c:val>
            <c:numRef>
              <c:f>'Std Deviations'!$AI$31:$AI$36</c:f>
              <c:numCache/>
            </c:numRef>
          </c:val>
        </c:ser>
        <c:axId val="12865215"/>
        <c:axId val="2017428379"/>
      </c:areaChart>
      <c:catAx>
        <c:axId val="12865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428379"/>
      </c:catAx>
      <c:valAx>
        <c:axId val="201742837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5215"/>
        <c:majorUnit val="20.0"/>
        <c:minorUnit val="6.666666666666667"/>
      </c:valAx>
    </c:plotArea>
    <c:plotVisOnly val="0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0000"/>
                </a:solidFill>
                <a:latin typeface="+mn-lt"/>
              </a:defRPr>
            </a:pPr>
            <a:r>
              <a:rPr b="0">
                <a:solidFill>
                  <a:srgbClr val="990000"/>
                </a:solidFill>
                <a:latin typeface="+mn-lt"/>
              </a:rPr>
              <a:t>Butterfield Dinner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Deviations'!$AF$41:$AF$46</c:f>
            </c:strRef>
          </c:cat>
          <c:val>
            <c:numRef>
              <c:f>'Std Deviations'!$AJ$41:$AJ$46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CC4125">
                <a:alpha val="30000"/>
              </a:srgbClr>
            </a:solidFill>
            <a:ln cmpd="sng" w="38100">
              <a:solidFill>
                <a:srgbClr val="CC4125">
                  <a:alpha val="100000"/>
                </a:srgbClr>
              </a:solidFill>
              <a:prstDash val="solid"/>
            </a:ln>
          </c:spPr>
          <c:cat>
            <c:strRef>
              <c:f>'Std Deviations'!$AF$41:$AF$46</c:f>
            </c:strRef>
          </c:cat>
          <c:val>
            <c:numRef>
              <c:f>'Std Deviations'!$AI$41:$AI$46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CC4125">
                <a:alpha val="30000"/>
              </a:srgbClr>
            </a:solidFill>
            <a:ln cmpd="sng">
              <a:solidFill>
                <a:srgbClr val="CC4125">
                  <a:alpha val="0"/>
                </a:srgbClr>
              </a:solidFill>
            </a:ln>
          </c:spPr>
          <c:cat>
            <c:strRef>
              <c:f>'Std Deviations'!$AF$41:$AF$46</c:f>
            </c:strRef>
          </c:cat>
          <c:val>
            <c:numRef>
              <c:f>'Std Deviations'!$AI$41:$AI$46</c:f>
              <c:numCache/>
            </c:numRef>
          </c:val>
        </c:ser>
        <c:axId val="254737273"/>
        <c:axId val="1739639205"/>
      </c:areaChart>
      <c:catAx>
        <c:axId val="254737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639205"/>
      </c:catAx>
      <c:valAx>
        <c:axId val="1739639205"/>
        <c:scaling>
          <c:orientation val="minMax"/>
          <c:max val="1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737273"/>
        <c:majorUnit val="30.0"/>
        <c:minorUnit val="10.0"/>
      </c:valAx>
    </c:plotArea>
    <c:plotVisOnly val="0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Mainfare Lunch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Deviations'!$AB$31:$AB$36</c:f>
            </c:strRef>
          </c:cat>
          <c:val>
            <c:numRef>
              <c:f>'Std Deviations'!$AA$31:$AA$36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chemeClr val="accent4">
                <a:alpha val="30000"/>
              </a:schemeClr>
            </a:solidFill>
            <a:ln cmpd="sng" w="38100">
              <a:solidFill>
                <a:schemeClr val="accent4"/>
              </a:solidFill>
              <a:prstDash val="solid"/>
            </a:ln>
          </c:spPr>
          <c:cat>
            <c:strRef>
              <c:f>'Std Deviations'!$AB$31:$AB$36</c:f>
            </c:strRef>
          </c:cat>
          <c:val>
            <c:numRef>
              <c:f>'Std Deviations'!$AE$31:$AE$36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>
                  <a:alpha val="0"/>
                </a:srgbClr>
              </a:solidFill>
            </a:ln>
          </c:spPr>
          <c:cat>
            <c:strRef>
              <c:f>'Std Deviations'!$AB$31:$AB$36</c:f>
            </c:strRef>
          </c:cat>
          <c:val>
            <c:numRef>
              <c:f>'Std Deviations'!$AE$31:$AE$36</c:f>
              <c:numCache/>
            </c:numRef>
          </c:val>
        </c:ser>
        <c:axId val="1193582618"/>
        <c:axId val="468395798"/>
      </c:areaChart>
      <c:catAx>
        <c:axId val="1193582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395798"/>
      </c:catAx>
      <c:valAx>
        <c:axId val="46839579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582618"/>
        <c:majorUnit val="20.0"/>
        <c:minorUnit val="6.666666666666667"/>
      </c:valAx>
    </c:plotArea>
    <c:plotVisOnly val="0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Mainfare Dinner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Deviations'!$AB$41:$AB$46</c:f>
            </c:strRef>
          </c:cat>
          <c:val>
            <c:numRef>
              <c:f>'Std Deviations'!$AA$41:$AA$46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CC4125">
                <a:alpha val="30000"/>
              </a:srgbClr>
            </a:solidFill>
            <a:ln cmpd="sng" w="38100">
              <a:solidFill>
                <a:srgbClr val="CC4125">
                  <a:alpha val="100000"/>
                </a:srgbClr>
              </a:solidFill>
              <a:prstDash val="solid"/>
            </a:ln>
          </c:spPr>
          <c:cat>
            <c:strRef>
              <c:f>'Std Deviations'!$AB$41:$AB$46</c:f>
            </c:strRef>
          </c:cat>
          <c:val>
            <c:numRef>
              <c:f>'Std Deviations'!$AE$41:$AE$46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CC4125">
                <a:alpha val="30000"/>
              </a:srgbClr>
            </a:solidFill>
            <a:ln cmpd="sng">
              <a:solidFill>
                <a:srgbClr val="CC4125">
                  <a:alpha val="0"/>
                </a:srgbClr>
              </a:solidFill>
            </a:ln>
          </c:spPr>
          <c:cat>
            <c:strRef>
              <c:f>'Std Deviations'!$AB$41:$AB$46</c:f>
            </c:strRef>
          </c:cat>
          <c:val>
            <c:numRef>
              <c:f>'Std Deviations'!$AE$41:$AE$46</c:f>
              <c:numCache/>
            </c:numRef>
          </c:val>
        </c:ser>
        <c:axId val="1200827434"/>
        <c:axId val="1252369003"/>
      </c:areaChart>
      <c:catAx>
        <c:axId val="1200827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369003"/>
      </c:catAx>
      <c:valAx>
        <c:axId val="1252369003"/>
        <c:scaling>
          <c:orientation val="minMax"/>
          <c:min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827434"/>
        <c:majorUnit val="30.0"/>
        <c:minorUnit val="10.0"/>
      </c:valAx>
    </c:plotArea>
    <c:plotVisOnly val="0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Comparison Lunch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Deviations'!$AB$31:$AB$36</c:f>
            </c:strRef>
          </c:cat>
          <c:val>
            <c:numRef>
              <c:f>'Std Deviations'!$AA$31:$AA$36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3C78D8">
                <a:alpha val="30000"/>
              </a:srgbClr>
            </a:solidFill>
            <a:ln cmpd="sng" w="38100">
              <a:solidFill>
                <a:srgbClr val="3C78D8">
                  <a:alpha val="100000"/>
                </a:srgbClr>
              </a:solidFill>
              <a:prstDash val="solid"/>
            </a:ln>
          </c:spPr>
          <c:cat>
            <c:strRef>
              <c:f>'Std Deviations'!$AB$31:$AB$36</c:f>
            </c:strRef>
          </c:cat>
          <c:val>
            <c:numRef>
              <c:f>'Std Deviations'!$AE$31:$AE$36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3C78D8">
                <a:alpha val="30000"/>
              </a:srgbClr>
            </a:solidFill>
            <a:ln cmpd="sng">
              <a:solidFill>
                <a:srgbClr val="3C78D8">
                  <a:alpha val="0"/>
                </a:srgbClr>
              </a:solidFill>
            </a:ln>
          </c:spPr>
          <c:cat>
            <c:strRef>
              <c:f>'Std Deviations'!$AB$31:$AB$36</c:f>
            </c:strRef>
          </c:cat>
          <c:val>
            <c:numRef>
              <c:f>'Std Deviations'!$AE$31:$AE$36</c:f>
              <c:numCache/>
            </c:numRef>
          </c:val>
        </c:ser>
        <c:axId val="1343294734"/>
        <c:axId val="691403683"/>
      </c:areaChart>
      <c:catAx>
        <c:axId val="1343294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403683"/>
      </c:catAx>
      <c:valAx>
        <c:axId val="69140368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294734"/>
        <c:majorUnit val="20.0"/>
        <c:minorUnit val="6.666666666666667"/>
      </c:valAx>
    </c:plotArea>
    <c:plotVisOnly val="0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Deviations'!$AF$31:$AF$36</c:f>
            </c:strRef>
          </c:cat>
          <c:val>
            <c:numRef>
              <c:f>'Std Deviations'!$AJ$31:$AJ$36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CC0000">
                <a:alpha val="30000"/>
              </a:srgbClr>
            </a:solidFill>
            <a:ln cmpd="sng" w="38100">
              <a:solidFill>
                <a:srgbClr val="CC0000">
                  <a:alpha val="100000"/>
                </a:srgbClr>
              </a:solidFill>
              <a:prstDash val="solid"/>
            </a:ln>
          </c:spPr>
          <c:cat>
            <c:strRef>
              <c:f>'Std Deviations'!$AF$31:$AF$36</c:f>
            </c:strRef>
          </c:cat>
          <c:val>
            <c:numRef>
              <c:f>'Std Deviations'!$AI$31:$AI$36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0"/>
                </a:srgbClr>
              </a:solidFill>
            </a:ln>
          </c:spPr>
          <c:cat>
            <c:strRef>
              <c:f>'Std Deviations'!$AF$31:$AF$36</c:f>
            </c:strRef>
          </c:cat>
          <c:val>
            <c:numRef>
              <c:f>'Std Deviations'!$AI$31:$AI$36</c:f>
              <c:numCache/>
            </c:numRef>
          </c:val>
        </c:ser>
        <c:axId val="210619928"/>
        <c:axId val="1486324512"/>
      </c:areaChart>
      <c:catAx>
        <c:axId val="210619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324512"/>
      </c:catAx>
      <c:valAx>
        <c:axId val="1486324512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19928"/>
        <c:majorUnit val="20.0"/>
        <c:minorUnit val="6.666666666666667"/>
      </c:valAx>
    </c:plotArea>
    <c:plotVisOnly val="0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Comparison Dinner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Deviations'!$AB$41:$AB$46</c:f>
            </c:strRef>
          </c:cat>
          <c:val>
            <c:numRef>
              <c:f>'Std Deviations'!$AA$41:$AA$46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3C78D8">
                <a:alpha val="30000"/>
              </a:srgbClr>
            </a:solidFill>
            <a:ln cmpd="sng" w="38100">
              <a:solidFill>
                <a:srgbClr val="3C78D8">
                  <a:alpha val="100000"/>
                </a:srgbClr>
              </a:solidFill>
              <a:prstDash val="solid"/>
            </a:ln>
          </c:spPr>
          <c:cat>
            <c:strRef>
              <c:f>'Std Deviations'!$AB$41:$AB$46</c:f>
            </c:strRef>
          </c:cat>
          <c:val>
            <c:numRef>
              <c:f>'Std Deviations'!$AE$41:$AE$46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3C78D8">
                <a:alpha val="30000"/>
              </a:srgbClr>
            </a:solidFill>
            <a:ln cmpd="sng">
              <a:solidFill>
                <a:srgbClr val="3C78D8">
                  <a:alpha val="0"/>
                </a:srgbClr>
              </a:solidFill>
            </a:ln>
          </c:spPr>
          <c:cat>
            <c:strRef>
              <c:f>'Std Deviations'!$AB$41:$AB$46</c:f>
            </c:strRef>
          </c:cat>
          <c:val>
            <c:numRef>
              <c:f>'Std Deviations'!$AE$41:$AE$46</c:f>
              <c:numCache/>
            </c:numRef>
          </c:val>
        </c:ser>
        <c:axId val="99552058"/>
        <c:axId val="1636700051"/>
      </c:areaChart>
      <c:catAx>
        <c:axId val="99552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700051"/>
      </c:catAx>
      <c:valAx>
        <c:axId val="1636700051"/>
        <c:scaling>
          <c:orientation val="minMax"/>
          <c:max val="1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52058"/>
        <c:majorUnit val="30.0"/>
        <c:minorUnit val="10.0"/>
      </c:valAx>
    </c:plotArea>
    <c:plotVisOnly val="0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Deviations'!$AF$41:$AF$46</c:f>
            </c:strRef>
          </c:cat>
          <c:val>
            <c:numRef>
              <c:f>'Std Deviations'!$AJ$41:$AJ$46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CC0000">
                <a:alpha val="30000"/>
              </a:srgbClr>
            </a:solidFill>
            <a:ln cmpd="sng" w="38100">
              <a:solidFill>
                <a:srgbClr val="CC0000">
                  <a:alpha val="100000"/>
                </a:srgbClr>
              </a:solidFill>
              <a:prstDash val="solid"/>
            </a:ln>
          </c:spPr>
          <c:cat>
            <c:strRef>
              <c:f>'Std Deviations'!$AF$41:$AF$46</c:f>
            </c:strRef>
          </c:cat>
          <c:val>
            <c:numRef>
              <c:f>'Std Deviations'!$AI$41:$AI$46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0"/>
                </a:srgbClr>
              </a:solidFill>
            </a:ln>
          </c:spPr>
          <c:cat>
            <c:strRef>
              <c:f>'Std Deviations'!$AF$41:$AF$46</c:f>
            </c:strRef>
          </c:cat>
          <c:val>
            <c:numRef>
              <c:f>'Std Deviations'!$AI$41:$AI$46</c:f>
              <c:numCache/>
            </c:numRef>
          </c:val>
        </c:ser>
        <c:axId val="1014203481"/>
        <c:axId val="330388096"/>
      </c:areaChart>
      <c:catAx>
        <c:axId val="1014203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388096"/>
      </c:catAx>
      <c:valAx>
        <c:axId val="330388096"/>
        <c:scaling>
          <c:orientation val="minMax"/>
          <c:max val="17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203481"/>
        <c:majorUnit val="30.0"/>
        <c:minorUnit val="10.0"/>
      </c:valAx>
    </c:plotArea>
    <c:plotVisOnly val="0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Total Dinner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Deviations'!$AL$41:$AL$45</c:f>
            </c:strRef>
          </c:cat>
          <c:val>
            <c:numRef>
              <c:f>'Std Deviations'!$AP$41:$AP$45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CC4125">
                <a:alpha val="30000"/>
              </a:srgbClr>
            </a:solidFill>
            <a:ln cmpd="sng" w="38100">
              <a:solidFill>
                <a:srgbClr val="CC4125">
                  <a:alpha val="100000"/>
                </a:srgbClr>
              </a:solidFill>
              <a:prstDash val="solid"/>
            </a:ln>
          </c:spPr>
          <c:cat>
            <c:strRef>
              <c:f>'Std Deviations'!$AL$41:$AL$45</c:f>
            </c:strRef>
          </c:cat>
          <c:val>
            <c:numRef>
              <c:f>'Std Deviations'!$AO$41:$AO$45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CC4125">
                <a:alpha val="30000"/>
              </a:srgbClr>
            </a:solidFill>
            <a:ln cmpd="sng">
              <a:solidFill>
                <a:srgbClr val="CC4125">
                  <a:alpha val="0"/>
                </a:srgbClr>
              </a:solidFill>
            </a:ln>
          </c:spPr>
          <c:cat>
            <c:strRef>
              <c:f>'Std Deviations'!$AL$41:$AL$45</c:f>
            </c:strRef>
          </c:cat>
          <c:val>
            <c:numRef>
              <c:f>'Std Deviations'!$AO$41:$AO$45</c:f>
              <c:numCache/>
            </c:numRef>
          </c:val>
        </c:ser>
        <c:axId val="231431727"/>
        <c:axId val="1424283240"/>
      </c:areaChart>
      <c:catAx>
        <c:axId val="231431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283240"/>
      </c:catAx>
      <c:valAx>
        <c:axId val="1424283240"/>
        <c:scaling>
          <c:orientation val="minMax"/>
          <c:max val="1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431727"/>
        <c:majorUnit val="30.0"/>
        <c:minorUnit val="10.0"/>
      </c:valAx>
    </c:plotArea>
    <c:plotVisOnly val="0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Total Lunch Average Deviation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 </c:v>
          </c:tx>
          <c:spPr>
            <a:solidFill>
              <a:srgbClr val="4285F4">
                <a:alpha val="0"/>
              </a:srgbClr>
            </a:solidFill>
            <a:ln cmpd="sng" w="38100">
              <a:solidFill>
                <a:srgbClr val="4285F4">
                  <a:alpha val="0"/>
                </a:srgbClr>
              </a:solidFill>
            </a:ln>
          </c:spPr>
          <c:cat>
            <c:strRef>
              <c:f>'Std Deviations'!$AL$31:$AL$36</c:f>
            </c:strRef>
          </c:cat>
          <c:val>
            <c:numRef>
              <c:f>'Std Deviations'!$AP$31:$AP$36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chemeClr val="accent4">
                <a:alpha val="30000"/>
              </a:schemeClr>
            </a:solidFill>
            <a:ln cmpd="sng" w="38100">
              <a:solidFill>
                <a:schemeClr val="accent4"/>
              </a:solidFill>
              <a:prstDash val="solid"/>
            </a:ln>
          </c:spPr>
          <c:cat>
            <c:strRef>
              <c:f>'Std Deviations'!$AL$31:$AL$36</c:f>
            </c:strRef>
          </c:cat>
          <c:val>
            <c:numRef>
              <c:f>'Std Deviations'!$AO$31:$AO$36</c:f>
              <c:numCache/>
            </c:numRef>
          </c:val>
        </c:ser>
        <c:ser>
          <c:idx val="2"/>
          <c:order val="2"/>
          <c:tx>
            <c:v> </c:v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>
                  <a:alpha val="0"/>
                </a:srgbClr>
              </a:solidFill>
            </a:ln>
          </c:spPr>
          <c:cat>
            <c:strRef>
              <c:f>'Std Deviations'!$AL$31:$AL$36</c:f>
            </c:strRef>
          </c:cat>
          <c:val>
            <c:numRef>
              <c:f>'Std Deviations'!$AO$31:$AO$36</c:f>
              <c:numCache/>
            </c:numRef>
          </c:val>
        </c:ser>
        <c:axId val="2042550874"/>
        <c:axId val="550198820"/>
      </c:areaChart>
      <c:catAx>
        <c:axId val="2042550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198820"/>
      </c:catAx>
      <c:valAx>
        <c:axId val="55019882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lb/hr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550874"/>
        <c:majorUnit val="20.0"/>
        <c:minorUnit val="6.666666666666667"/>
      </c:valAx>
    </c:plotArea>
    <c:plotVisOnly val="0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11" Type="http://schemas.openxmlformats.org/officeDocument/2006/relationships/chart" Target="../charts/chart15.xml"/><Relationship Id="rId10" Type="http://schemas.openxmlformats.org/officeDocument/2006/relationships/chart" Target="../charts/chart14.xml"/><Relationship Id="rId9" Type="http://schemas.openxmlformats.org/officeDocument/2006/relationships/chart" Target="../charts/chart13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57150</xdr:colOff>
      <xdr:row>5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57150</xdr:colOff>
      <xdr:row>22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952500</xdr:colOff>
      <xdr:row>5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952500</xdr:colOff>
      <xdr:row>22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952500</xdr:colOff>
      <xdr:row>1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48</xdr:col>
      <xdr:colOff>952500</xdr:colOff>
      <xdr:row>18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48</xdr:col>
      <xdr:colOff>952500</xdr:colOff>
      <xdr:row>36</xdr:row>
      <xdr:rowOff>104775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43</xdr:col>
      <xdr:colOff>47625</xdr:colOff>
      <xdr:row>18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43</xdr:col>
      <xdr:colOff>47625</xdr:colOff>
      <xdr:row>36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54</xdr:col>
      <xdr:colOff>895350</xdr:colOff>
      <xdr:row>18</xdr:row>
      <xdr:rowOff>171450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54</xdr:col>
      <xdr:colOff>895350</xdr:colOff>
      <xdr:row>18</xdr:row>
      <xdr:rowOff>171450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54</xdr:col>
      <xdr:colOff>895350</xdr:colOff>
      <xdr:row>36</xdr:row>
      <xdr:rowOff>104775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54</xdr:col>
      <xdr:colOff>895350</xdr:colOff>
      <xdr:row>36</xdr:row>
      <xdr:rowOff>104775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60</xdr:col>
      <xdr:colOff>838200</xdr:colOff>
      <xdr:row>36</xdr:row>
      <xdr:rowOff>104775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60</xdr:col>
      <xdr:colOff>838200</xdr:colOff>
      <xdr:row>18</xdr:row>
      <xdr:rowOff>171450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55</xdr:col>
      <xdr:colOff>552450</xdr:colOff>
      <xdr:row>28</xdr:row>
      <xdr:rowOff>104775</xdr:rowOff>
    </xdr:from>
    <xdr:ext cx="5048250" cy="19050"/>
    <xdr:grpSp>
      <xdr:nvGrpSpPr>
        <xdr:cNvPr id="2" name="Shape 2" title="Drawing"/>
        <xdr:cNvGrpSpPr/>
      </xdr:nvGrpSpPr>
      <xdr:grpSpPr>
        <a:xfrm>
          <a:off x="416900" y="2113425"/>
          <a:ext cx="5025000" cy="0"/>
          <a:chOff x="416900" y="2113425"/>
          <a:chExt cx="5025000" cy="0"/>
        </a:xfrm>
      </xdr:grpSpPr>
      <xdr:cxnSp>
        <xdr:nvCxnSpPr>
          <xdr:cNvPr id="3" name="Shape 3"/>
          <xdr:cNvCxnSpPr/>
        </xdr:nvCxnSpPr>
        <xdr:spPr>
          <a:xfrm>
            <a:off x="416900" y="2113425"/>
            <a:ext cx="5025000" cy="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>
        <f>counta(B38:B1001)</f>
        <v>14</v>
      </c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/>
      <c r="B3" s="6" t="s">
        <v>1</v>
      </c>
      <c r="C3" s="7"/>
      <c r="E3" s="6" t="s">
        <v>2</v>
      </c>
      <c r="F3" s="7"/>
      <c r="G3" s="2"/>
      <c r="H3" s="6" t="s">
        <v>3</v>
      </c>
      <c r="I3" s="7"/>
      <c r="J3" s="2"/>
      <c r="K3" s="8" t="s">
        <v>4</v>
      </c>
      <c r="N3" s="2"/>
    </row>
    <row r="4">
      <c r="A4" s="2" t="s">
        <v>5</v>
      </c>
      <c r="B4" s="9" t="s">
        <v>6</v>
      </c>
      <c r="C4" s="10">
        <f>sum('Bulk Data'!O4:O1001)</f>
        <v>17917</v>
      </c>
      <c r="D4" s="2"/>
      <c r="E4" s="11" t="s">
        <v>6</v>
      </c>
      <c r="F4" s="12">
        <f>sum('Bulk Data'!P4:P1001)</f>
        <v>16092</v>
      </c>
      <c r="G4" s="2"/>
      <c r="H4" s="13" t="s">
        <v>6</v>
      </c>
      <c r="I4" s="14">
        <f>sum('Bulk Data'!U4:U1001)</f>
        <v>34009</v>
      </c>
      <c r="J4" s="2"/>
      <c r="K4" s="15" t="s">
        <v>7</v>
      </c>
      <c r="L4" s="16" t="s">
        <v>8</v>
      </c>
      <c r="M4" s="16" t="s">
        <v>9</v>
      </c>
      <c r="N4" s="2"/>
    </row>
    <row r="5">
      <c r="A5" s="2" t="s">
        <v>10</v>
      </c>
      <c r="B5" s="9" t="s">
        <v>11</v>
      </c>
      <c r="C5" s="17">
        <f>C6*(C9*24)</f>
        <v>267.4179104</v>
      </c>
      <c r="D5" s="4"/>
      <c r="E5" s="18" t="s">
        <v>11</v>
      </c>
      <c r="F5" s="19">
        <f>F6*(F9*24)</f>
        <v>255.4285714</v>
      </c>
      <c r="G5" s="2"/>
      <c r="H5" s="20" t="s">
        <v>11</v>
      </c>
      <c r="I5" s="21">
        <f>I6*(I9*24)</f>
        <v>507.5970149</v>
      </c>
      <c r="J5" s="2"/>
      <c r="K5" s="22" t="s">
        <v>12</v>
      </c>
      <c r="L5" s="23">
        <v>0.25</v>
      </c>
      <c r="M5" s="23">
        <v>0.4583333333333333</v>
      </c>
      <c r="N5" s="2"/>
    </row>
    <row r="6">
      <c r="A6" s="2" t="s">
        <v>13</v>
      </c>
      <c r="B6" s="9" t="s">
        <v>14</v>
      </c>
      <c r="C6" s="24">
        <f>C4/C8</f>
        <v>60.99058209</v>
      </c>
      <c r="D6" s="25"/>
      <c r="E6" s="18" t="s">
        <v>14</v>
      </c>
      <c r="F6" s="26">
        <f>F4/F8</f>
        <v>42.43484376</v>
      </c>
      <c r="G6" s="25"/>
      <c r="H6" s="20" t="s">
        <v>14</v>
      </c>
      <c r="I6" s="27">
        <f>I4/I8</f>
        <v>50.53468387</v>
      </c>
      <c r="J6" s="2"/>
      <c r="K6" s="28" t="s">
        <v>15</v>
      </c>
      <c r="L6" s="29">
        <v>0.4583333333333333</v>
      </c>
      <c r="M6" s="29">
        <v>0.6666666666666666</v>
      </c>
      <c r="N6" s="2"/>
    </row>
    <row r="7">
      <c r="A7" s="2" t="s">
        <v>16</v>
      </c>
      <c r="B7" s="9" t="s">
        <v>17</v>
      </c>
      <c r="C7" s="24">
        <f>averageif('Bulk Data'!M:M,"MF",'Bulk Data'!I:I)</f>
        <v>58.96661339</v>
      </c>
      <c r="D7" s="25"/>
      <c r="E7" s="18" t="s">
        <v>17</v>
      </c>
      <c r="F7" s="26">
        <f>averageif('Bulk Data'!M:M,"BF",'Bulk Data'!I:I)</f>
        <v>42.6965133</v>
      </c>
      <c r="G7" s="25"/>
      <c r="H7" s="20" t="s">
        <v>17</v>
      </c>
      <c r="I7" s="27">
        <f>AVERAGE('Bulk Data'!X:X)</f>
        <v>51.29753597</v>
      </c>
      <c r="J7" s="2"/>
      <c r="K7" s="30" t="s">
        <v>18</v>
      </c>
      <c r="L7" s="31">
        <v>0.6666666666666666</v>
      </c>
      <c r="M7" s="32">
        <v>0.9166666666666666</v>
      </c>
      <c r="N7" s="2"/>
    </row>
    <row r="8">
      <c r="A8" s="2" t="s">
        <v>19</v>
      </c>
      <c r="B8" s="9" t="s">
        <v>20</v>
      </c>
      <c r="C8" s="33">
        <f>sum('Bulk Data'!Q:Q)*24</f>
        <v>293.7666667</v>
      </c>
      <c r="D8" s="4"/>
      <c r="E8" s="18" t="s">
        <v>20</v>
      </c>
      <c r="F8" s="34">
        <f>sum('Bulk Data'!R:R)*24</f>
        <v>379.2166667</v>
      </c>
      <c r="G8" s="2"/>
      <c r="H8" s="20" t="s">
        <v>20</v>
      </c>
      <c r="I8" s="35">
        <f>sum('Bulk Data'!V:V)*24</f>
        <v>672.9833333</v>
      </c>
      <c r="J8" s="36"/>
      <c r="K8" s="2"/>
      <c r="L8" s="2"/>
      <c r="M8" s="2"/>
      <c r="N8" s="2"/>
    </row>
    <row r="9">
      <c r="A9" s="2" t="s">
        <v>21</v>
      </c>
      <c r="B9" s="37" t="s">
        <v>22</v>
      </c>
      <c r="C9" s="38">
        <f>average('Bulk Data'!Q:Q)</f>
        <v>0.1826907131</v>
      </c>
      <c r="D9" s="4"/>
      <c r="E9" s="39" t="s">
        <v>22</v>
      </c>
      <c r="F9" s="40">
        <f>average('Bulk Data'!R:R)</f>
        <v>0.2508046737</v>
      </c>
      <c r="G9" s="2"/>
      <c r="H9" s="41" t="s">
        <v>22</v>
      </c>
      <c r="I9" s="42">
        <f>AVERAGE('Bulk Data'!V:V)</f>
        <v>0.4185219735</v>
      </c>
      <c r="J9" s="2"/>
      <c r="K9" s="2"/>
      <c r="L9" s="2"/>
      <c r="M9" s="2"/>
      <c r="N9" s="2"/>
    </row>
    <row r="10">
      <c r="A10" s="2" t="s">
        <v>23</v>
      </c>
      <c r="B10" s="43" t="s">
        <v>24</v>
      </c>
      <c r="C10" s="44">
        <f>IFERROR(__xludf.DUMMYFUNCTION("(C4*IMPORTRANGE(""https://docs.google.com/spreadsheets/d/1yb3w4clrvBHRll4AUNyFaSjmuILrbD-EHJuFlOIIIuI/edit?gid=0#gid=0"",""'Impact Calculations'!G5""))*2000"),11386.791009999997)</f>
        <v>11386.79101</v>
      </c>
      <c r="D10" s="4"/>
      <c r="E10" s="45" t="s">
        <v>24</v>
      </c>
      <c r="F10" s="46">
        <f>IFERROR(__xludf.DUMMYFUNCTION("(F4*IMPORTRANGE(""https://docs.google.com/spreadsheets/d/1yb3w4clrvBHRll4AUNyFaSjmuILrbD-EHJuFlOIIIuI/edit?gid=0#gid=0"",""'Impact Calculations'!G5""))*2000"),10226.94876)</f>
        <v>10226.94876</v>
      </c>
      <c r="G10" s="2"/>
      <c r="H10" s="47" t="s">
        <v>24</v>
      </c>
      <c r="I10" s="48">
        <f>IFERROR(__xludf.DUMMYFUNCTION("(I4*IMPORTRANGE(""https://docs.google.com/spreadsheets/d/1yb3w4clrvBHRll4AUNyFaSjmuILrbD-EHJuFlOIIIuI/edit?gid=0#gid=0"",""'Impact Calculations'!G5""))*2000"),21613.73977)</f>
        <v>21613.73977</v>
      </c>
      <c r="J10" s="2"/>
      <c r="K10" s="2"/>
      <c r="L10" s="2"/>
      <c r="M10" s="2"/>
      <c r="N10" s="2"/>
    </row>
    <row r="11">
      <c r="A11" s="2"/>
      <c r="B11" s="36"/>
      <c r="C11" s="25"/>
      <c r="D11" s="4"/>
      <c r="E11" s="36"/>
      <c r="F11" s="25"/>
      <c r="G11" s="2"/>
      <c r="H11" s="36"/>
      <c r="I11" s="25"/>
      <c r="J11" s="2"/>
      <c r="K11" s="2"/>
      <c r="L11" s="2"/>
      <c r="M11" s="2"/>
      <c r="N11" s="2"/>
    </row>
    <row r="12">
      <c r="A12" s="2"/>
      <c r="B12" s="2"/>
      <c r="C12" s="2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49" t="s">
        <v>25</v>
      </c>
      <c r="C13" s="50"/>
      <c r="D13" s="2"/>
      <c r="E13" s="49" t="s">
        <v>26</v>
      </c>
      <c r="F13" s="50"/>
      <c r="G13" s="2"/>
      <c r="H13" s="49" t="s">
        <v>27</v>
      </c>
      <c r="I13" s="50"/>
      <c r="J13" s="2"/>
      <c r="K13" s="51" t="s">
        <v>28</v>
      </c>
      <c r="N13" s="52"/>
    </row>
    <row r="14">
      <c r="A14" s="2"/>
      <c r="B14" s="53" t="s">
        <v>29</v>
      </c>
      <c r="C14" s="54" t="s">
        <v>30</v>
      </c>
      <c r="D14" s="2" t="s">
        <v>31</v>
      </c>
      <c r="E14" s="55" t="s">
        <v>32</v>
      </c>
      <c r="F14" s="56" t="s">
        <v>30</v>
      </c>
      <c r="G14" s="2"/>
      <c r="H14" s="57" t="s">
        <v>33</v>
      </c>
      <c r="I14" s="58" t="s">
        <v>30</v>
      </c>
      <c r="J14" s="2"/>
      <c r="K14" s="59" t="b">
        <v>0</v>
      </c>
      <c r="L14" s="2" t="s">
        <v>34</v>
      </c>
      <c r="M14" s="2" t="s">
        <v>35</v>
      </c>
      <c r="N14" s="2"/>
    </row>
    <row r="15">
      <c r="A15" s="2"/>
      <c r="B15" s="60" t="s">
        <v>36</v>
      </c>
      <c r="C15" s="61">
        <f>AVERAGEif('Bulk Data'!L:L,"Monday",'Bulk Data'!O:O)</f>
        <v>312.25</v>
      </c>
      <c r="D15" s="2" t="s">
        <v>37</v>
      </c>
      <c r="E15" s="60" t="s">
        <v>36</v>
      </c>
      <c r="F15" s="62">
        <f>AVERAGEif('Bulk Data'!L:L,"Monday",'Bulk Data'!P:P)</f>
        <v>205.75</v>
      </c>
      <c r="G15" s="36"/>
      <c r="H15" s="60" t="s">
        <v>36</v>
      </c>
      <c r="I15" s="63">
        <f t="shared" ref="I15:I19" si="1">C15+F15</f>
        <v>518</v>
      </c>
      <c r="J15" s="2"/>
      <c r="K15" s="59" t="b">
        <v>0</v>
      </c>
      <c r="L15" s="2" t="s">
        <v>38</v>
      </c>
      <c r="M15" s="2" t="s">
        <v>39</v>
      </c>
      <c r="N15" s="2"/>
    </row>
    <row r="16">
      <c r="A16" s="2"/>
      <c r="B16" s="60" t="s">
        <v>40</v>
      </c>
      <c r="C16" s="61">
        <f>AVERAGEif('Bulk Data'!L:L,"Tuesday",'Bulk Data'!O:O)</f>
        <v>316.7142857</v>
      </c>
      <c r="D16" s="2" t="s">
        <v>41</v>
      </c>
      <c r="E16" s="60" t="s">
        <v>40</v>
      </c>
      <c r="F16" s="62">
        <f>AVERAGEif('Bulk Data'!L:L,"Tuesday",'Bulk Data'!P:P)</f>
        <v>281.1538462</v>
      </c>
      <c r="G16" s="36"/>
      <c r="H16" s="60" t="s">
        <v>40</v>
      </c>
      <c r="I16" s="63">
        <f t="shared" si="1"/>
        <v>597.8681319</v>
      </c>
      <c r="J16" s="2"/>
      <c r="K16" s="59" t="b">
        <v>0</v>
      </c>
      <c r="L16" s="2" t="s">
        <v>42</v>
      </c>
      <c r="M16" s="2" t="s">
        <v>43</v>
      </c>
      <c r="N16" s="2"/>
    </row>
    <row r="17">
      <c r="A17" s="2"/>
      <c r="B17" s="60" t="s">
        <v>44</v>
      </c>
      <c r="C17" s="61">
        <f>AVERAGEif('Bulk Data'!L:L,"Wednesday",'Bulk Data'!O:O)</f>
        <v>231.7692308</v>
      </c>
      <c r="D17" s="2" t="s">
        <v>45</v>
      </c>
      <c r="E17" s="60" t="s">
        <v>44</v>
      </c>
      <c r="F17" s="62">
        <f>AVERAGEif('Bulk Data'!L:L,"Wednesday",'Bulk Data'!P:P)</f>
        <v>299.1666667</v>
      </c>
      <c r="G17" s="36"/>
      <c r="H17" s="60" t="s">
        <v>44</v>
      </c>
      <c r="I17" s="63">
        <f t="shared" si="1"/>
        <v>530.9358974</v>
      </c>
      <c r="J17" s="2"/>
      <c r="K17" s="64" t="b">
        <v>0</v>
      </c>
      <c r="L17" s="2" t="s">
        <v>46</v>
      </c>
      <c r="M17" s="2" t="s">
        <v>47</v>
      </c>
      <c r="N17" s="2"/>
    </row>
    <row r="18">
      <c r="A18" s="2"/>
      <c r="B18" s="60" t="s">
        <v>48</v>
      </c>
      <c r="C18" s="61">
        <f>AVERAGEif('Bulk Data'!L:L,"Thursday",'Bulk Data'!O:O)</f>
        <v>178</v>
      </c>
      <c r="D18" s="2" t="s">
        <v>49</v>
      </c>
      <c r="E18" s="60" t="s">
        <v>48</v>
      </c>
      <c r="F18" s="62">
        <f>AVERAGEif('Bulk Data'!L:L,"Thursday",'Bulk Data'!P:P)</f>
        <v>373.7692308</v>
      </c>
      <c r="G18" s="36"/>
      <c r="H18" s="60" t="s">
        <v>48</v>
      </c>
      <c r="I18" s="63">
        <f t="shared" si="1"/>
        <v>551.7692308</v>
      </c>
      <c r="J18" s="2"/>
      <c r="K18" s="59" t="b">
        <v>1</v>
      </c>
      <c r="L18" s="65" t="s">
        <v>50</v>
      </c>
      <c r="M18" s="65" t="s">
        <v>51</v>
      </c>
      <c r="N18" s="2"/>
    </row>
    <row r="19">
      <c r="A19" s="2"/>
      <c r="B19" s="60" t="s">
        <v>52</v>
      </c>
      <c r="C19" s="61">
        <f>AVERAGEif('Bulk Data'!L:L,"Friday",'Bulk Data'!O:O)</f>
        <v>302.2142857</v>
      </c>
      <c r="D19" s="2" t="s">
        <v>53</v>
      </c>
      <c r="E19" s="60" t="s">
        <v>52</v>
      </c>
      <c r="F19" s="62">
        <f>AVERAGEif('Bulk Data'!L:L,"Friday",'Bulk Data'!P:P)</f>
        <v>116.8461538</v>
      </c>
      <c r="G19" s="36"/>
      <c r="H19" s="60" t="s">
        <v>52</v>
      </c>
      <c r="I19" s="63">
        <f t="shared" si="1"/>
        <v>419.0604396</v>
      </c>
      <c r="J19" s="2"/>
      <c r="K19" s="64" t="b">
        <v>0</v>
      </c>
      <c r="L19" s="2"/>
      <c r="M19" s="2"/>
      <c r="N19" s="2"/>
    </row>
    <row r="20">
      <c r="A20" s="2"/>
      <c r="B20" s="53" t="s">
        <v>29</v>
      </c>
      <c r="C20" s="54" t="s">
        <v>54</v>
      </c>
      <c r="D20" s="4" t="s">
        <v>55</v>
      </c>
      <c r="E20" s="55" t="s">
        <v>32</v>
      </c>
      <c r="F20" s="56" t="s">
        <v>54</v>
      </c>
      <c r="G20" s="2"/>
      <c r="H20" s="57" t="s">
        <v>33</v>
      </c>
      <c r="I20" s="58" t="s">
        <v>54</v>
      </c>
      <c r="J20" s="2"/>
      <c r="K20" s="2"/>
      <c r="L20" s="2"/>
      <c r="M20" s="2"/>
      <c r="N20" s="2"/>
    </row>
    <row r="21">
      <c r="A21" s="2"/>
      <c r="B21" s="60" t="s">
        <v>36</v>
      </c>
      <c r="C21" s="24">
        <f>AVERAGEif('Bulk Data'!L:L,"Monday",'Bulk Data'!S:S)</f>
        <v>61.12431431</v>
      </c>
      <c r="D21" s="2"/>
      <c r="E21" s="60" t="s">
        <v>36</v>
      </c>
      <c r="F21" s="26">
        <f>AVERAGEif('Bulk Data'!L:L,"Monday",'Bulk Data'!T:T)</f>
        <v>40.78021093</v>
      </c>
      <c r="G21" s="36"/>
      <c r="H21" s="60" t="s">
        <v>36</v>
      </c>
      <c r="I21" s="27">
        <f>AVERAGEif('Bulk Data'!L:L,"Monday",'Bulk Data'!W:W)</f>
        <v>48.94093929</v>
      </c>
      <c r="J21" s="2"/>
      <c r="K21" s="2"/>
      <c r="L21" s="2"/>
      <c r="M21" s="2"/>
      <c r="N21" s="2"/>
    </row>
    <row r="22">
      <c r="A22" s="2"/>
      <c r="B22" s="60" t="s">
        <v>40</v>
      </c>
      <c r="C22" s="24">
        <f>AVERAGEif('Bulk Data'!L:L,"Tuesday",'Bulk Data'!S:S)</f>
        <v>73.63230351</v>
      </c>
      <c r="D22" s="4"/>
      <c r="E22" s="60" t="s">
        <v>40</v>
      </c>
      <c r="F22" s="26">
        <f>AVERAGEif('Bulk Data'!L:L,"Tuesday",'Bulk Data'!T:T)</f>
        <v>51.97143692</v>
      </c>
      <c r="G22" s="36"/>
      <c r="H22" s="60" t="s">
        <v>40</v>
      </c>
      <c r="I22" s="27">
        <f>AVERAGEif('Bulk Data'!L:L,"Tuesday",'Bulk Data'!W:W)</f>
        <v>60.59120429</v>
      </c>
      <c r="J22" s="2"/>
      <c r="K22" s="2"/>
      <c r="L22" s="2"/>
      <c r="M22" s="2"/>
      <c r="N22" s="2"/>
    </row>
    <row r="23">
      <c r="A23" s="2"/>
      <c r="B23" s="60" t="s">
        <v>44</v>
      </c>
      <c r="C23" s="24">
        <f>AVERAGEif('Bulk Data'!L:L,"Wednesday",'Bulk Data'!S:S)</f>
        <v>46.19515125</v>
      </c>
      <c r="D23" s="4"/>
      <c r="E23" s="60" t="s">
        <v>44</v>
      </c>
      <c r="F23" s="26">
        <f>AVERAGEif('Bulk Data'!L:L,"Wednesday",'Bulk Data'!T:T)</f>
        <v>43.89706077</v>
      </c>
      <c r="G23" s="36"/>
      <c r="H23" s="60" t="s">
        <v>44</v>
      </c>
      <c r="I23" s="27">
        <f>AVERAGEif('Bulk Data'!L:L,"Wednesday",'Bulk Data'!W:W)</f>
        <v>37.62302576</v>
      </c>
      <c r="J23" s="2"/>
      <c r="K23" s="2"/>
      <c r="L23" s="2"/>
      <c r="M23" s="2"/>
      <c r="N23" s="2"/>
    </row>
    <row r="24">
      <c r="A24" s="2"/>
      <c r="B24" s="60" t="s">
        <v>48</v>
      </c>
      <c r="C24" s="24">
        <f>AVERAGEif('Bulk Data'!L:L,"Thursday",'Bulk Data'!S:S)</f>
        <v>56.62021952</v>
      </c>
      <c r="D24" s="4"/>
      <c r="E24" s="60" t="s">
        <v>48</v>
      </c>
      <c r="F24" s="26">
        <f>AVERAGEif('Bulk Data'!L:L,"Thursday",'Bulk Data'!T:T)</f>
        <v>41.00314411</v>
      </c>
      <c r="G24" s="36"/>
      <c r="H24" s="60" t="s">
        <v>48</v>
      </c>
      <c r="I24" s="27">
        <f>AVERAGEif('Bulk Data'!L:L,"Thursday",'Bulk Data'!W:W)</f>
        <v>47.03720748</v>
      </c>
      <c r="J24" s="2"/>
      <c r="K24" s="2"/>
      <c r="L24" s="2"/>
      <c r="M24" s="2"/>
      <c r="N24" s="2"/>
    </row>
    <row r="25">
      <c r="A25" s="2"/>
      <c r="B25" s="66" t="s">
        <v>52</v>
      </c>
      <c r="C25" s="44">
        <f>AVERAGEif('Bulk Data'!L:L,"Friday",'Bulk Data'!S:S)</f>
        <v>61.19405969</v>
      </c>
      <c r="D25" s="4"/>
      <c r="E25" s="66" t="s">
        <v>52</v>
      </c>
      <c r="F25" s="46">
        <f>AVERAGEif('Bulk Data'!L:L,"Friday",'Bulk Data'!T:T)</f>
        <v>34.51982304</v>
      </c>
      <c r="G25" s="36"/>
      <c r="H25" s="66" t="s">
        <v>52</v>
      </c>
      <c r="I25" s="48">
        <f>AVERAGEif('Bulk Data'!L:L,"Friday",'Bulk Data'!W:W)</f>
        <v>48.32327831</v>
      </c>
      <c r="J25" s="2"/>
      <c r="K25" s="2"/>
      <c r="L25" s="2"/>
      <c r="M25" s="2"/>
      <c r="N25" s="2"/>
    </row>
    <row r="26">
      <c r="A26" s="2"/>
      <c r="B26" s="53" t="s">
        <v>29</v>
      </c>
      <c r="C26" s="54" t="s">
        <v>56</v>
      </c>
      <c r="D26" s="4"/>
      <c r="E26" s="55" t="s">
        <v>32</v>
      </c>
      <c r="F26" s="56" t="s">
        <v>56</v>
      </c>
      <c r="G26" s="2"/>
      <c r="H26" s="57" t="s">
        <v>33</v>
      </c>
      <c r="I26" s="58" t="s">
        <v>56</v>
      </c>
      <c r="J26" s="2"/>
      <c r="K26" s="67"/>
      <c r="L26" s="68"/>
      <c r="M26" s="65"/>
      <c r="N26" s="68"/>
    </row>
    <row r="27">
      <c r="A27" s="2"/>
      <c r="B27" s="60" t="s">
        <v>36</v>
      </c>
      <c r="C27" s="38">
        <f>AVERAGEif('Bulk Data'!L:L,"Monday",'Bulk Data'!Q:Q)</f>
        <v>0.2201967593</v>
      </c>
      <c r="D27" s="4"/>
      <c r="E27" s="60" t="s">
        <v>36</v>
      </c>
      <c r="F27" s="40">
        <f>AVERAGEif('Bulk Data'!L:L,"Monday",'Bulk Data'!R:R)</f>
        <v>0.2267361111</v>
      </c>
      <c r="G27" s="2"/>
      <c r="H27" s="60" t="s">
        <v>36</v>
      </c>
      <c r="I27" s="42">
        <f>AVERAGEif('Bulk Data'!L:L,"Monday",'Bulk Data'!V:V)</f>
        <v>0.4469328704</v>
      </c>
      <c r="J27" s="2"/>
      <c r="K27" s="67"/>
      <c r="L27" s="69"/>
      <c r="M27" s="65"/>
      <c r="N27" s="68"/>
    </row>
    <row r="28">
      <c r="A28" s="2"/>
      <c r="B28" s="60" t="s">
        <v>40</v>
      </c>
      <c r="C28" s="38">
        <f>AVERAGEif('Bulk Data'!L:L,"Tuesday",'Bulk Data'!Q:Q)</f>
        <v>0.1892857143</v>
      </c>
      <c r="D28" s="4"/>
      <c r="E28" s="60" t="s">
        <v>40</v>
      </c>
      <c r="F28" s="40">
        <f>AVERAGEif('Bulk Data'!L:L,"Tuesday",'Bulk Data'!R:R)</f>
        <v>0.2397435897</v>
      </c>
      <c r="G28" s="2"/>
      <c r="H28" s="60" t="s">
        <v>40</v>
      </c>
      <c r="I28" s="42">
        <f>AVERAGEif('Bulk Data'!L:L,"Tuesday",'Bulk Data'!V:V)</f>
        <v>0.4119047619</v>
      </c>
      <c r="J28" s="2"/>
      <c r="K28" s="2"/>
      <c r="L28" s="2"/>
      <c r="M28" s="65"/>
      <c r="N28" s="68"/>
    </row>
    <row r="29">
      <c r="A29" s="2"/>
      <c r="B29" s="60" t="s">
        <v>44</v>
      </c>
      <c r="C29" s="38">
        <f>AVERAGEif('Bulk Data'!L:L,"Wednesday",'Bulk Data'!Q:Q)</f>
        <v>0.1620726496</v>
      </c>
      <c r="D29" s="4"/>
      <c r="E29" s="60" t="s">
        <v>44</v>
      </c>
      <c r="F29" s="40">
        <f>AVERAGEif('Bulk Data'!L:L,"Wednesday",'Bulk Data'!R:R)</f>
        <v>0.2867476852</v>
      </c>
      <c r="G29" s="2"/>
      <c r="H29" s="60" t="s">
        <v>44</v>
      </c>
      <c r="I29" s="42">
        <f>AVERAGEif('Bulk Data'!L:L,"Wednesday",'Bulk Data'!V:V)</f>
        <v>0.4267628205</v>
      </c>
      <c r="J29" s="2"/>
      <c r="K29" s="2"/>
      <c r="L29" s="2"/>
      <c r="M29" s="2"/>
      <c r="N29" s="2"/>
    </row>
    <row r="30">
      <c r="A30" s="2"/>
      <c r="B30" s="60" t="s">
        <v>48</v>
      </c>
      <c r="C30" s="38">
        <f>AVERAGEif('Bulk Data'!L:L,"Thursday",'Bulk Data'!Q:Q)</f>
        <v>0.1322916667</v>
      </c>
      <c r="D30" s="4"/>
      <c r="E30" s="60" t="s">
        <v>48</v>
      </c>
      <c r="F30" s="40">
        <f>AVERAGEif('Bulk Data'!L:L,"Thursday",'Bulk Data'!R:R)</f>
        <v>0.3547542735</v>
      </c>
      <c r="G30" s="2"/>
      <c r="H30" s="60" t="s">
        <v>48</v>
      </c>
      <c r="I30" s="42">
        <f>AVERAGEif('Bulk Data'!L:L,"Thursday",'Bulk Data'!V:V)</f>
        <v>0.4617063492</v>
      </c>
      <c r="J30" s="2"/>
      <c r="K30" s="2"/>
      <c r="L30" s="2"/>
      <c r="M30" s="2"/>
      <c r="N30" s="2"/>
    </row>
    <row r="31">
      <c r="A31" s="2"/>
      <c r="B31" s="66" t="s">
        <v>52</v>
      </c>
      <c r="C31" s="70">
        <f>AVERAGEif('Bulk Data'!L:L,"Friday",'Bulk Data'!Q:Q)</f>
        <v>0.2134920635</v>
      </c>
      <c r="D31" s="4"/>
      <c r="E31" s="66" t="s">
        <v>52</v>
      </c>
      <c r="F31" s="71">
        <f>AVERAGEif('Bulk Data'!L:L,"Friday",'Bulk Data'!R:R)</f>
        <v>0.1469551282</v>
      </c>
      <c r="G31" s="2"/>
      <c r="H31" s="66" t="s">
        <v>52</v>
      </c>
      <c r="I31" s="72">
        <f>AVERAGEif('Bulk Data'!L:L,"Friday",'Bulk Data'!V:V)</f>
        <v>0.3499503968</v>
      </c>
      <c r="J31" s="2"/>
      <c r="K31" s="2"/>
      <c r="L31" s="2"/>
      <c r="M31" s="2"/>
      <c r="N31" s="2"/>
    </row>
    <row r="32">
      <c r="A32" s="2"/>
      <c r="B32" s="2" t="s">
        <v>57</v>
      </c>
      <c r="C32" s="73">
        <v>1.1574074074074074E-6</v>
      </c>
      <c r="D32" s="4"/>
      <c r="E32" s="2" t="s">
        <v>57</v>
      </c>
      <c r="F32" s="73">
        <v>1.1574074074074074E-6</v>
      </c>
      <c r="G32" s="2"/>
      <c r="H32" s="65" t="s">
        <v>57</v>
      </c>
      <c r="I32" s="73">
        <v>1.1574074074074074E-6</v>
      </c>
      <c r="J32" s="2"/>
      <c r="K32" s="2"/>
      <c r="L32" s="2"/>
      <c r="M32" s="2"/>
      <c r="N32" s="2"/>
      <c r="O32" s="1" t="s">
        <v>58</v>
      </c>
      <c r="P32" s="2"/>
      <c r="R32" s="74" t="s">
        <v>59</v>
      </c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 t="s">
        <v>60</v>
      </c>
      <c r="P33" s="65" t="s">
        <v>61</v>
      </c>
      <c r="R33" s="2">
        <f>IFERROR(__xludf.DUMMYFUNCTION("COUNTUNIQUE('Bulk Data'!B4:B1001)-COUNTA(O33:O55)"),0.0)</f>
        <v>0</v>
      </c>
    </row>
    <row r="34">
      <c r="A34" s="2"/>
      <c r="B34" s="2"/>
      <c r="C34" s="2"/>
      <c r="D34" s="2"/>
      <c r="E34" s="2"/>
      <c r="F34" s="75"/>
      <c r="G34" s="2"/>
      <c r="H34" s="2"/>
      <c r="I34" s="2"/>
      <c r="J34" s="2"/>
      <c r="K34" s="2"/>
      <c r="L34" s="2"/>
      <c r="M34" s="2"/>
      <c r="N34" s="2"/>
      <c r="O34" s="2" t="s">
        <v>62</v>
      </c>
      <c r="P34" s="65" t="s">
        <v>63</v>
      </c>
    </row>
    <row r="35">
      <c r="A35" s="2"/>
      <c r="B35" s="76" t="s">
        <v>64</v>
      </c>
      <c r="D35" s="77">
        <f>COUNTIF('Bulk Data'!C:C,False)</f>
        <v>273</v>
      </c>
      <c r="E35" s="78">
        <f>average('Bulk Data'!N4:N1001)</f>
        <v>1.25584384</v>
      </c>
      <c r="F35" s="75"/>
      <c r="G35" s="2"/>
      <c r="H35" s="2"/>
      <c r="I35" s="2"/>
      <c r="J35" s="76" t="s">
        <v>65</v>
      </c>
      <c r="L35" s="79">
        <f>sum(F38:F51)-D35</f>
        <v>102</v>
      </c>
      <c r="N35" s="2"/>
      <c r="O35" s="80" t="s">
        <v>66</v>
      </c>
      <c r="P35" s="81" t="s">
        <v>67</v>
      </c>
    </row>
    <row r="36">
      <c r="A36" s="82"/>
      <c r="B36" s="6" t="s">
        <v>68</v>
      </c>
      <c r="C36" s="83"/>
      <c r="D36" s="83"/>
      <c r="E36" s="83"/>
      <c r="F36" s="83"/>
      <c r="G36" s="83"/>
      <c r="H36" s="83"/>
      <c r="I36" s="83"/>
      <c r="J36" s="83"/>
      <c r="K36" s="83"/>
      <c r="L36" s="7"/>
      <c r="N36" s="2"/>
      <c r="O36" s="2" t="s">
        <v>69</v>
      </c>
      <c r="P36" s="65" t="s">
        <v>70</v>
      </c>
    </row>
    <row r="37">
      <c r="A37" s="82"/>
      <c r="B37" s="84" t="s">
        <v>71</v>
      </c>
      <c r="C37" s="85" t="s">
        <v>72</v>
      </c>
      <c r="D37" s="85" t="s">
        <v>73</v>
      </c>
      <c r="E37" s="85" t="s">
        <v>74</v>
      </c>
      <c r="F37" s="86" t="s">
        <v>75</v>
      </c>
      <c r="G37" s="85" t="s">
        <v>76</v>
      </c>
      <c r="H37" s="87" t="s">
        <v>77</v>
      </c>
      <c r="I37" s="85" t="s">
        <v>78</v>
      </c>
      <c r="J37" s="85" t="s">
        <v>79</v>
      </c>
      <c r="K37" s="85" t="s">
        <v>80</v>
      </c>
      <c r="L37" s="85" t="s">
        <v>81</v>
      </c>
      <c r="M37" s="2"/>
      <c r="O37" s="2" t="s">
        <v>82</v>
      </c>
      <c r="P37" s="81" t="s">
        <v>83</v>
      </c>
    </row>
    <row r="38">
      <c r="A38" s="88" t="b">
        <v>0</v>
      </c>
      <c r="B38" s="89" t="s">
        <v>60</v>
      </c>
      <c r="C38" s="90">
        <f t="array" ref="C38">SUMIF('Bulk Data'!B:B,INDIRECT("RC[-1]", FALSE),'Bulk Data'!H:H)</f>
        <v>193</v>
      </c>
      <c r="D38" s="78">
        <f t="array" ref="D38">AverageIF('Bulk Data'!B:B,INDIRECT("RC[-2]", FALSE),'Bulk Data'!N:N)</f>
        <v>0.8168182335</v>
      </c>
      <c r="E38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38" s="91">
        <v>24.0</v>
      </c>
      <c r="G38" s="92">
        <f t="array" ref="G38">COUNTIFS('Bulk Data'!B$4:B1001,INDIRECT("RC[-5]", FALSE),'Bulk Data'!C$4:C1001,False)</f>
        <v>3</v>
      </c>
      <c r="H38" s="78">
        <f t="shared" ref="H38:H51" si="2">G38/F38</f>
        <v>0.125</v>
      </c>
      <c r="I38" s="92">
        <f t="shared" ref="I38:I51" si="3">(F38-G38)</f>
        <v>21</v>
      </c>
      <c r="J38" s="73">
        <f>sumif('Bulk Data'!B:B,B38,'Bulk Data'!E:E)</f>
        <v>0.2013888889</v>
      </c>
      <c r="K38" s="93">
        <f t="shared" ref="K38:K51" si="4">C38/(J38*24)</f>
        <v>39.93103448</v>
      </c>
      <c r="L38" s="94">
        <f t="shared" ref="L38:L51" si="5">C38/G38</f>
        <v>64.33333333</v>
      </c>
      <c r="M38" s="2"/>
      <c r="O38" s="2" t="s">
        <v>84</v>
      </c>
      <c r="P38" s="81" t="s">
        <v>85</v>
      </c>
    </row>
    <row r="39">
      <c r="A39" s="88" t="b">
        <v>1</v>
      </c>
      <c r="B39" s="89" t="s">
        <v>62</v>
      </c>
      <c r="C39" s="90">
        <f t="array" ref="C39">SUMIF('Bulk Data'!B:B,INDIRECT("RC[-1]", FALSE),'Bulk Data'!H:H)</f>
        <v>837</v>
      </c>
      <c r="D39" s="78">
        <f t="array" ref="D39">AverageIF('Bulk Data'!B:B,INDIRECT("RC[-2]", FALSE),'Bulk Data'!N:N)</f>
        <v>0.7212173274</v>
      </c>
      <c r="E39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39" s="91">
        <v>43.0</v>
      </c>
      <c r="G39" s="92">
        <f t="array" ref="G39">COUNTIFS('Bulk Data'!B$4:B1001,INDIRECT("RC[-5]", FALSE),'Bulk Data'!C$4:C1001,False)</f>
        <v>11</v>
      </c>
      <c r="H39" s="78">
        <f t="shared" si="2"/>
        <v>0.2558139535</v>
      </c>
      <c r="I39" s="92">
        <f t="shared" si="3"/>
        <v>32</v>
      </c>
      <c r="J39" s="73">
        <f>sumif('Bulk Data'!B:B,B39,'Bulk Data'!E:E)</f>
        <v>1.28125</v>
      </c>
      <c r="K39" s="93">
        <f t="shared" si="4"/>
        <v>27.21951219</v>
      </c>
      <c r="L39" s="94">
        <f t="shared" si="5"/>
        <v>76.09090909</v>
      </c>
      <c r="M39" s="2"/>
      <c r="O39" s="2" t="s">
        <v>86</v>
      </c>
      <c r="P39" s="81" t="s">
        <v>87</v>
      </c>
    </row>
    <row r="40">
      <c r="A40" s="88" t="b">
        <v>0</v>
      </c>
      <c r="B40" s="95" t="s">
        <v>66</v>
      </c>
      <c r="C40" s="90">
        <f t="array" ref="C40">SUMIF('Bulk Data'!B:B,INDIRECT("RC[-1]", FALSE),'Bulk Data'!H:H)</f>
        <v>3497</v>
      </c>
      <c r="D40" s="78">
        <f t="array" ref="D40">AverageIF('Bulk Data'!B:B,INDIRECT("RC[-2]", FALSE),'Bulk Data'!N:N)</f>
        <v>1.132529522</v>
      </c>
      <c r="E40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)"),"Lunch")</f>
        <v>Lunch</v>
      </c>
      <c r="F40" s="91">
        <v>33.0</v>
      </c>
      <c r="G40" s="92">
        <f t="array" ref="G40">COUNTIFS('Bulk Data'!B$4:B1001,INDIRECT("RC[-5]", FALSE),'Bulk Data'!C$4:C1001,False)</f>
        <v>34</v>
      </c>
      <c r="H40" s="78">
        <f t="shared" si="2"/>
        <v>1.03030303</v>
      </c>
      <c r="I40" s="92">
        <f t="shared" si="3"/>
        <v>-1</v>
      </c>
      <c r="J40" s="73">
        <f>sumif('Bulk Data'!B:B,B40,'Bulk Data'!E:E)</f>
        <v>3.765277778</v>
      </c>
      <c r="K40" s="93">
        <f t="shared" si="4"/>
        <v>38.69789745</v>
      </c>
      <c r="L40" s="94">
        <f t="shared" si="5"/>
        <v>102.8529412</v>
      </c>
      <c r="M40" s="2"/>
      <c r="O40" s="2" t="s">
        <v>88</v>
      </c>
      <c r="P40" s="81" t="s">
        <v>89</v>
      </c>
    </row>
    <row r="41">
      <c r="A41" s="96" t="b">
        <v>0</v>
      </c>
      <c r="B41" s="89" t="s">
        <v>69</v>
      </c>
      <c r="C41" s="90">
        <f t="array" ref="C41">SUMIF('Bulk Data'!B:B,INDIRECT("RC[-1]", FALSE),'Bulk Data'!H:H)</f>
        <v>1347</v>
      </c>
      <c r="D41" s="78">
        <f t="array" ref="D41">AverageIF('Bulk Data'!B:B,INDIRECT("RC[-2]", FALSE),'Bulk Data'!N:N)</f>
        <v>1.580253304</v>
      </c>
      <c r="E41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)"),"Breakfast")</f>
        <v>Breakfast</v>
      </c>
      <c r="F41" s="91">
        <v>31.0</v>
      </c>
      <c r="G41" s="92">
        <f t="array" ref="G41">COUNTIFS('Bulk Data'!B$4:B1001,INDIRECT("RC[-5]", FALSE),'Bulk Data'!C$4:C1001,False)</f>
        <v>12</v>
      </c>
      <c r="H41" s="78">
        <f t="shared" si="2"/>
        <v>0.3870967742</v>
      </c>
      <c r="I41" s="92">
        <f t="shared" si="3"/>
        <v>19</v>
      </c>
      <c r="J41" s="73">
        <f>sumif('Bulk Data'!B:B,B41,'Bulk Data'!E:E)</f>
        <v>0.9847222222</v>
      </c>
      <c r="K41" s="93">
        <f t="shared" si="4"/>
        <v>56.99576869</v>
      </c>
      <c r="L41" s="94">
        <f t="shared" si="5"/>
        <v>112.25</v>
      </c>
      <c r="M41" s="2"/>
      <c r="O41" s="2" t="s">
        <v>90</v>
      </c>
      <c r="P41" s="81" t="s">
        <v>91</v>
      </c>
    </row>
    <row r="42">
      <c r="A42" s="82" t="b">
        <v>0</v>
      </c>
      <c r="B42" s="89" t="s">
        <v>82</v>
      </c>
      <c r="C42" s="90">
        <f t="array" ref="C42">SUMIF('Bulk Data'!B:B,INDIRECT("RC[-1]", FALSE),'Bulk Data'!H:H)</f>
        <v>2083</v>
      </c>
      <c r="D42" s="78">
        <f t="array" ref="D42">AverageIF('Bulk Data'!B:B,INDIRECT("RC[-2]", FALSE),'Bulk Data'!N:N)</f>
        <v>1.247543846</v>
      </c>
      <c r="E42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42" s="91">
        <v>22.0</v>
      </c>
      <c r="G42" s="92">
        <f t="array" ref="G42">COUNTIFS('Bulk Data'!B$4:B1001,INDIRECT("RC[-5]", FALSE),'Bulk Data'!C$4:C1001,False)</f>
        <v>22</v>
      </c>
      <c r="H42" s="78">
        <f t="shared" si="2"/>
        <v>1</v>
      </c>
      <c r="I42" s="92">
        <f t="shared" si="3"/>
        <v>0</v>
      </c>
      <c r="J42" s="73">
        <f>sumif('Bulk Data'!B:B,B42,'Bulk Data'!E:E)</f>
        <v>1.36875</v>
      </c>
      <c r="K42" s="93">
        <f t="shared" si="4"/>
        <v>63.40943683</v>
      </c>
      <c r="L42" s="94">
        <f t="shared" si="5"/>
        <v>94.68181818</v>
      </c>
      <c r="M42" s="2"/>
      <c r="O42" s="2" t="s">
        <v>92</v>
      </c>
      <c r="P42" s="65" t="s">
        <v>93</v>
      </c>
    </row>
    <row r="43">
      <c r="A43" s="82" t="b">
        <v>0</v>
      </c>
      <c r="B43" s="89" t="s">
        <v>84</v>
      </c>
      <c r="C43" s="90">
        <f t="array" ref="C43">SUMIF('Bulk Data'!B:B,INDIRECT("RC[-1]", FALSE),'Bulk Data'!H:H)</f>
        <v>1475</v>
      </c>
      <c r="D43" s="78">
        <f t="array" ref="D43">AverageIF('Bulk Data'!B:B,INDIRECT("RC[-2]", FALSE),'Bulk Data'!N:N)</f>
        <v>0.7187400011</v>
      </c>
      <c r="E43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)"),"Lunch")</f>
        <v>Lunch</v>
      </c>
      <c r="F43" s="91">
        <v>32.0</v>
      </c>
      <c r="G43" s="92">
        <f t="array" ref="G43">COUNTIFS('Bulk Data'!B$4:B1001,INDIRECT("RC[-5]", FALSE),'Bulk Data'!C$4:C1001,False)</f>
        <v>25</v>
      </c>
      <c r="H43" s="78">
        <f t="shared" si="2"/>
        <v>0.78125</v>
      </c>
      <c r="I43" s="92">
        <f t="shared" si="3"/>
        <v>7</v>
      </c>
      <c r="J43" s="73">
        <f>sumif('Bulk Data'!B:B,B43,'Bulk Data'!E:E)</f>
        <v>1.276388889</v>
      </c>
      <c r="K43" s="93">
        <f t="shared" si="4"/>
        <v>48.15016322</v>
      </c>
      <c r="L43" s="94">
        <f t="shared" si="5"/>
        <v>59</v>
      </c>
      <c r="M43" s="2"/>
      <c r="O43" s="2" t="s">
        <v>94</v>
      </c>
      <c r="P43" s="81" t="s">
        <v>95</v>
      </c>
    </row>
    <row r="44">
      <c r="A44" s="88" t="b">
        <v>0</v>
      </c>
      <c r="B44" s="89" t="s">
        <v>86</v>
      </c>
      <c r="C44" s="90">
        <f t="array" ref="C44">SUMIF('Bulk Data'!B:B,INDIRECT("RC[-1]", FALSE),'Bulk Data'!H:H)</f>
        <v>2702</v>
      </c>
      <c r="D44" s="78">
        <f t="array" ref="D44">AverageIF('Bulk Data'!B:B,INDIRECT("RC[-2]", FALSE),'Bulk Data'!N:N)</f>
        <v>1.798250829</v>
      </c>
      <c r="E44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)"),"Breakfast")</f>
        <v>Breakfast</v>
      </c>
      <c r="F44" s="91">
        <v>30.0</v>
      </c>
      <c r="G44" s="92">
        <f t="array" ref="G44">COUNTIFS('Bulk Data'!B$4:B1001,INDIRECT("RC[-5]", FALSE),'Bulk Data'!C$4:C1001,False)</f>
        <v>29</v>
      </c>
      <c r="H44" s="78">
        <f t="shared" si="2"/>
        <v>0.9666666667</v>
      </c>
      <c r="I44" s="92">
        <f t="shared" si="3"/>
        <v>1</v>
      </c>
      <c r="J44" s="73">
        <f>sumif('Bulk Data'!B:B,B44,'Bulk Data'!E:E)</f>
        <v>2.176388889</v>
      </c>
      <c r="K44" s="93">
        <f t="shared" si="4"/>
        <v>51.72941927</v>
      </c>
      <c r="L44" s="94">
        <f t="shared" si="5"/>
        <v>93.17241379</v>
      </c>
      <c r="M44" s="2"/>
      <c r="O44" s="2" t="s">
        <v>96</v>
      </c>
      <c r="P44" s="81" t="s">
        <v>97</v>
      </c>
    </row>
    <row r="45">
      <c r="A45" s="88" t="b">
        <v>0</v>
      </c>
      <c r="B45" s="89" t="s">
        <v>88</v>
      </c>
      <c r="C45" s="90">
        <f t="array" ref="C45">SUMIF('Bulk Data'!B:B,INDIRECT("RC[-1]", FALSE),'Bulk Data'!H:H)</f>
        <v>4226</v>
      </c>
      <c r="D45" s="78">
        <f t="array" ref="D45">AverageIF('Bulk Data'!B:B,INDIRECT("RC[-2]", FALSE),'Bulk Data'!N:N)</f>
        <v>1.805651832</v>
      </c>
      <c r="E45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)"),"Lunch")</f>
        <v>Lunch</v>
      </c>
      <c r="F45" s="91">
        <v>23.0</v>
      </c>
      <c r="G45" s="92">
        <f t="array" ref="G45">COUNTIFS('Bulk Data'!B$4:B1001,INDIRECT("RC[-5]", FALSE),'Bulk Data'!C$4:C1001,False)</f>
        <v>23</v>
      </c>
      <c r="H45" s="78">
        <f t="shared" si="2"/>
        <v>1</v>
      </c>
      <c r="I45" s="92">
        <f t="shared" si="3"/>
        <v>0</v>
      </c>
      <c r="J45" s="73">
        <f>sumif('Bulk Data'!B:B,B45,'Bulk Data'!E:E)</f>
        <v>2.583333333</v>
      </c>
      <c r="K45" s="93">
        <f t="shared" si="4"/>
        <v>68.16129032</v>
      </c>
      <c r="L45" s="94">
        <f t="shared" si="5"/>
        <v>183.7391304</v>
      </c>
      <c r="M45" s="2"/>
      <c r="O45" s="2" t="s">
        <v>98</v>
      </c>
      <c r="P45" s="81" t="s">
        <v>99</v>
      </c>
    </row>
    <row r="46">
      <c r="A46" s="88" t="b">
        <v>0</v>
      </c>
      <c r="B46" s="89" t="s">
        <v>90</v>
      </c>
      <c r="C46" s="90">
        <f t="array" ref="C46">SUMIF('Bulk Data'!B:B,INDIRECT("RC[-1]", FALSE),'Bulk Data'!H:H)</f>
        <v>769</v>
      </c>
      <c r="D46" s="78">
        <f t="array" ref="D46">AverageIF('Bulk Data'!B:B,INDIRECT("RC[-2]", FALSE),'Bulk Data'!N:N)</f>
        <v>0.9563401028</v>
      </c>
      <c r="E46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46" s="91">
        <v>13.0</v>
      </c>
      <c r="G46" s="92">
        <f t="array" ref="G46">COUNTIFS('Bulk Data'!B$4:B1001,INDIRECT("RC[-5]", FALSE),'Bulk Data'!C$4:C1001,False)</f>
        <v>6</v>
      </c>
      <c r="H46" s="78">
        <f t="shared" si="2"/>
        <v>0.4615384615</v>
      </c>
      <c r="I46" s="92">
        <f t="shared" si="3"/>
        <v>7</v>
      </c>
      <c r="J46" s="73">
        <f>sumif('Bulk Data'!B:B,B46,'Bulk Data'!E:E)</f>
        <v>0.7006944444</v>
      </c>
      <c r="K46" s="93">
        <f t="shared" si="4"/>
        <v>45.728444</v>
      </c>
      <c r="L46" s="94">
        <f t="shared" si="5"/>
        <v>128.1666667</v>
      </c>
      <c r="M46" s="2"/>
      <c r="O46" s="2" t="s">
        <v>100</v>
      </c>
      <c r="P46" s="65" t="s">
        <v>101</v>
      </c>
    </row>
    <row r="47">
      <c r="A47" s="82" t="b">
        <v>0</v>
      </c>
      <c r="B47" s="89" t="s">
        <v>92</v>
      </c>
      <c r="C47" s="90">
        <f t="array" ref="C47">SUMIF('Bulk Data'!B:B,INDIRECT("RC[-1]", FALSE),'Bulk Data'!H:H)</f>
        <v>4062</v>
      </c>
      <c r="D47" s="78">
        <f t="array" ref="D47">AverageIF('Bulk Data'!B:B,INDIRECT("RC[-2]", FALSE),'Bulk Data'!N:N)</f>
        <v>1.159932918</v>
      </c>
      <c r="E47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47" s="91">
        <v>29.0</v>
      </c>
      <c r="G47" s="92">
        <f t="array" ref="G47">COUNTIFS('Bulk Data'!B$4:B1001,INDIRECT("RC[-5]", FALSE),'Bulk Data'!C$4:C1001,False)</f>
        <v>26</v>
      </c>
      <c r="H47" s="78">
        <f t="shared" si="2"/>
        <v>0.8965517241</v>
      </c>
      <c r="I47" s="92">
        <f t="shared" si="3"/>
        <v>3</v>
      </c>
      <c r="J47" s="73">
        <f>sumif('Bulk Data'!B:B,B47,'Bulk Data'!E:E)</f>
        <v>3.136111111</v>
      </c>
      <c r="K47" s="93">
        <f t="shared" si="4"/>
        <v>53.96811337</v>
      </c>
      <c r="L47" s="94">
        <f t="shared" si="5"/>
        <v>156.2307692</v>
      </c>
      <c r="M47" s="2"/>
    </row>
    <row r="48">
      <c r="A48" s="82" t="b">
        <v>0</v>
      </c>
      <c r="B48" s="89" t="s">
        <v>94</v>
      </c>
      <c r="C48" s="90">
        <f t="array" ref="C48">SUMIF('Bulk Data'!B:B,INDIRECT("RC[-1]", FALSE),'Bulk Data'!H:H)</f>
        <v>3159</v>
      </c>
      <c r="D48" s="78">
        <f t="array" ref="D48">AverageIF('Bulk Data'!B:B,INDIRECT("RC[-2]", FALSE),'Bulk Data'!N:N)</f>
        <v>1.040518772</v>
      </c>
      <c r="E48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48" s="91">
        <v>21.0</v>
      </c>
      <c r="G48" s="92">
        <f t="array" ref="G48">COUNTIFS('Bulk Data'!B$4:B1001,INDIRECT("RC[-5]", FALSE),'Bulk Data'!C$4:C1001,False)</f>
        <v>19</v>
      </c>
      <c r="H48" s="78">
        <f t="shared" si="2"/>
        <v>0.9047619048</v>
      </c>
      <c r="I48" s="92">
        <f t="shared" si="3"/>
        <v>2</v>
      </c>
      <c r="J48" s="73">
        <f>sumif('Bulk Data'!B:B,B48,'Bulk Data'!E:E)</f>
        <v>2.798611111</v>
      </c>
      <c r="K48" s="93">
        <f t="shared" si="4"/>
        <v>47.03225806</v>
      </c>
      <c r="L48" s="94">
        <f t="shared" si="5"/>
        <v>166.2631579</v>
      </c>
      <c r="M48" s="2"/>
    </row>
    <row r="49">
      <c r="A49" s="82" t="b">
        <v>0</v>
      </c>
      <c r="B49" s="89" t="s">
        <v>96</v>
      </c>
      <c r="C49" s="90">
        <f t="array" ref="C49">SUMIF('Bulk Data'!B:B,INDIRECT("RC[-1]", FALSE),'Bulk Data'!H:H)</f>
        <v>2591</v>
      </c>
      <c r="D49" s="78">
        <f t="array" ref="D49">AverageIF('Bulk Data'!B:B,INDIRECT("RC[-2]", FALSE),'Bulk Data'!N:N)</f>
        <v>1.100327005</v>
      </c>
      <c r="E49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)"),"Lunch")</f>
        <v>Lunch</v>
      </c>
      <c r="F49" s="91">
        <v>32.0</v>
      </c>
      <c r="G49" s="92">
        <f t="array" ref="G49">COUNTIFS('Bulk Data'!B$4:B1001,INDIRECT("RC[-5]", FALSE),'Bulk Data'!C$4:C1001,False)</f>
        <v>26</v>
      </c>
      <c r="H49" s="78">
        <f t="shared" si="2"/>
        <v>0.8125</v>
      </c>
      <c r="I49" s="92">
        <f t="shared" si="3"/>
        <v>6</v>
      </c>
      <c r="J49" s="73">
        <f>sumif('Bulk Data'!B:B,B49,'Bulk Data'!E:E)</f>
        <v>2.225</v>
      </c>
      <c r="K49" s="93">
        <f t="shared" si="4"/>
        <v>48.52059925</v>
      </c>
      <c r="L49" s="94">
        <f t="shared" si="5"/>
        <v>99.65384615</v>
      </c>
      <c r="M49" s="2"/>
    </row>
    <row r="50">
      <c r="A50" s="82" t="b">
        <v>0</v>
      </c>
      <c r="B50" s="89" t="s">
        <v>98</v>
      </c>
      <c r="C50" s="90">
        <f t="array" ref="C50">SUMIF('Bulk Data'!B:B,INDIRECT("RC[-1]", FALSE),'Bulk Data'!H:H)</f>
        <v>2477</v>
      </c>
      <c r="D50" s="78">
        <f t="array" ref="D50">AverageIF('Bulk Data'!B:B,INDIRECT("RC[-2]", FALSE),'Bulk Data'!N:N)</f>
        <v>1.658302215</v>
      </c>
      <c r="E50" s="2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)"),"Dinner")</f>
        <v>Dinner</v>
      </c>
      <c r="F50" s="91">
        <v>20.0</v>
      </c>
      <c r="G50" s="92">
        <f t="array" ref="G50">COUNTIFS('Bulk Data'!B$4:B1001,INDIRECT("RC[-5]", FALSE),'Bulk Data'!C$4:C1001,False)</f>
        <v>19</v>
      </c>
      <c r="H50" s="78">
        <f t="shared" si="2"/>
        <v>0.95</v>
      </c>
      <c r="I50" s="92">
        <f t="shared" si="3"/>
        <v>1</v>
      </c>
      <c r="J50" s="73">
        <f>sumif('Bulk Data'!B:B,B50,'Bulk Data'!E:E)</f>
        <v>1.363888889</v>
      </c>
      <c r="K50" s="93">
        <f t="shared" si="4"/>
        <v>75.67209776</v>
      </c>
      <c r="L50" s="94">
        <f t="shared" si="5"/>
        <v>130.3684211</v>
      </c>
      <c r="M50" s="2"/>
    </row>
    <row r="51">
      <c r="A51" s="82" t="b">
        <v>0</v>
      </c>
      <c r="B51" s="97" t="s">
        <v>100</v>
      </c>
      <c r="C51" s="98">
        <f t="array" ref="C51">SUMIF('Bulk Data'!B:B,INDIRECT("RC[-1]", FALSE),'Bulk Data'!H:H)</f>
        <v>1261</v>
      </c>
      <c r="D51" s="99">
        <f t="array" ref="D51">AverageIF('Bulk Data'!B:B,INDIRECT("RC[-2]", FALSE),'Bulk Data'!N:N)</f>
        <v>1.109441616</v>
      </c>
      <c r="E51" s="100" t="str">
        <f>IFERROR(__xludf.DUMMYFUNCTION("LET(
  name, INDIRECT(""RC[-3]"", FALSE),
  periods, FILTER('Bulk Data'!J:J,'Bulk Data'!B:B = name, 'Bulk Data'!J:J &lt;&gt; """"),
  uniquePeriods, UNIQUE(periods),
  counts, COUNTIF(periods, uniquePeriods),
  INDEX(uniquePeriods, MATCH(MAX(counts), counts, 0)"&amp;")
)"),"Breakfast")</f>
        <v>Breakfast</v>
      </c>
      <c r="F51" s="101">
        <v>22.0</v>
      </c>
      <c r="G51" s="102">
        <f t="array" ref="G51">COUNTIFS('Bulk Data'!B$4:B1001,INDIRECT("RC[-5]", FALSE),'Bulk Data'!C$4:C1001,False)</f>
        <v>17</v>
      </c>
      <c r="H51" s="78">
        <f t="shared" si="2"/>
        <v>0.7727272727</v>
      </c>
      <c r="I51" s="102">
        <f t="shared" si="3"/>
        <v>5</v>
      </c>
      <c r="J51" s="103">
        <f>sumif('Bulk Data'!B:B,B51,'Bulk Data'!E:E)</f>
        <v>1.495138889</v>
      </c>
      <c r="K51" s="104">
        <f t="shared" si="4"/>
        <v>35.1416628</v>
      </c>
      <c r="L51" s="105">
        <f t="shared" si="5"/>
        <v>74.17647059</v>
      </c>
      <c r="M51" s="2"/>
    </row>
    <row r="52">
      <c r="J52" s="106">
        <f>sumif('Bulk Data'!B:B,not(B51),'Bulk Data'!E:E)</f>
        <v>0</v>
      </c>
      <c r="N52" s="2"/>
    </row>
    <row r="53">
      <c r="N53" s="2"/>
    </row>
  </sheetData>
  <mergeCells count="11">
    <mergeCell ref="B13:C13"/>
    <mergeCell ref="B35:C35"/>
    <mergeCell ref="J35:K35"/>
    <mergeCell ref="B36:L36"/>
    <mergeCell ref="B3:C3"/>
    <mergeCell ref="E3:F3"/>
    <mergeCell ref="H3:I3"/>
    <mergeCell ref="K3:M3"/>
    <mergeCell ref="E13:F13"/>
    <mergeCell ref="H13:I13"/>
    <mergeCell ref="K13:M13"/>
  </mergeCells>
  <conditionalFormatting sqref="D38:D51">
    <cfRule type="colorScale" priority="1">
      <colorScale>
        <cfvo type="min"/>
        <cfvo type="formula" val="1"/>
        <cfvo type="max"/>
        <color rgb="FFE06666"/>
        <color rgb="FFD9EAD3"/>
        <color rgb="FF57BB8A"/>
      </colorScale>
    </cfRule>
  </conditionalFormatting>
  <conditionalFormatting sqref="K38:K51">
    <cfRule type="colorScale" priority="2">
      <colorScale>
        <cfvo type="min"/>
        <cfvo type="formula" val="50"/>
        <cfvo type="max"/>
        <color rgb="FFE06666"/>
        <color rgb="FFFFFFFF"/>
        <color rgb="FF6AA84F"/>
      </colorScale>
    </cfRule>
  </conditionalFormatting>
  <conditionalFormatting sqref="J38:J51">
    <cfRule type="colorScale" priority="3">
      <colorScale>
        <cfvo type="min"/>
        <cfvo type="percentile" val="50"/>
        <cfvo type="max"/>
        <color rgb="FFF4CCCC"/>
        <color rgb="FFFFFFFF"/>
        <color rgb="FF93C47D"/>
      </colorScale>
    </cfRule>
  </conditionalFormatting>
  <conditionalFormatting sqref="L38:L51">
    <cfRule type="colorScale" priority="4">
      <colorScale>
        <cfvo type="min"/>
        <cfvo type="percentile" val="50"/>
        <cfvo type="max"/>
        <color rgb="FFF4CCCC"/>
        <color rgb="FFFFFFFF"/>
        <color rgb="FFB6D7A8"/>
      </colorScale>
    </cfRule>
  </conditionalFormatting>
  <conditionalFormatting sqref="I38:I51">
    <cfRule type="colorScale" priority="5">
      <colorScale>
        <cfvo type="formula" val="0"/>
        <cfvo type="formula" val="2"/>
        <cfvo type="max"/>
        <color rgb="FF34A853"/>
        <color rgb="FFF4CCCC"/>
        <color rgb="FFCC0000"/>
      </colorScale>
    </cfRule>
  </conditionalFormatting>
  <conditionalFormatting sqref="H38:H51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3" max="3" width="9.5"/>
    <col customWidth="1" min="4" max="4" width="10.88"/>
    <col customWidth="1" min="5" max="5" width="7.63"/>
    <col customWidth="1" min="6" max="6" width="10.88"/>
    <col customWidth="1" min="7" max="7" width="7.63"/>
    <col customWidth="1" min="8" max="8" width="6.5"/>
    <col customWidth="1" min="9" max="9" width="8.5"/>
    <col customWidth="1" min="10" max="10" width="11.0"/>
    <col customWidth="1" min="11" max="11" width="9.63"/>
    <col customWidth="1" min="13" max="13" width="5.63"/>
    <col customWidth="1" min="14" max="14" width="9.13"/>
    <col customWidth="1" min="15" max="23" width="6.75"/>
    <col customWidth="1" min="24" max="24" width="7.38"/>
    <col customWidth="1" min="25" max="25" width="9.75"/>
  </cols>
  <sheetData>
    <row r="1">
      <c r="A1" s="107" t="s">
        <v>102</v>
      </c>
      <c r="B1" s="2" t="s">
        <v>102</v>
      </c>
      <c r="C1" s="107" t="s">
        <v>103</v>
      </c>
      <c r="D1" s="107" t="s">
        <v>102</v>
      </c>
      <c r="E1" s="108" t="s">
        <v>102</v>
      </c>
      <c r="F1" s="107" t="s">
        <v>102</v>
      </c>
      <c r="G1" s="109" t="s">
        <v>104</v>
      </c>
      <c r="H1" s="110" t="s">
        <v>102</v>
      </c>
      <c r="I1" s="111" t="s">
        <v>104</v>
      </c>
      <c r="J1" s="107" t="s">
        <v>104</v>
      </c>
      <c r="K1" s="107" t="s">
        <v>102</v>
      </c>
      <c r="L1" s="107" t="s">
        <v>103</v>
      </c>
      <c r="M1" s="107" t="s">
        <v>102</v>
      </c>
      <c r="N1" s="112" t="s">
        <v>104</v>
      </c>
      <c r="O1" s="107" t="s">
        <v>104</v>
      </c>
      <c r="P1" s="107" t="s">
        <v>104</v>
      </c>
      <c r="Q1" s="108" t="s">
        <v>104</v>
      </c>
      <c r="R1" s="108" t="s">
        <v>104</v>
      </c>
      <c r="S1" s="111" t="s">
        <v>104</v>
      </c>
      <c r="T1" s="111" t="s">
        <v>104</v>
      </c>
      <c r="U1" s="107" t="s">
        <v>104</v>
      </c>
      <c r="V1" s="108" t="s">
        <v>104</v>
      </c>
      <c r="W1" s="113" t="s">
        <v>103</v>
      </c>
      <c r="X1" s="114" t="s">
        <v>104</v>
      </c>
      <c r="Y1" s="112" t="s">
        <v>104</v>
      </c>
      <c r="Z1" s="115" t="s">
        <v>102</v>
      </c>
      <c r="AA1" s="115" t="s">
        <v>102</v>
      </c>
      <c r="AB1" s="116" t="s">
        <v>103</v>
      </c>
      <c r="AC1" s="36"/>
      <c r="AD1" s="36"/>
      <c r="AE1" s="36"/>
      <c r="AF1" s="36"/>
      <c r="AG1" s="36"/>
      <c r="AH1" s="36"/>
    </row>
    <row r="2">
      <c r="A2" s="2" t="s">
        <v>105</v>
      </c>
      <c r="B2" s="2" t="s">
        <v>106</v>
      </c>
      <c r="C2" s="65" t="s">
        <v>107</v>
      </c>
      <c r="D2" s="65" t="s">
        <v>108</v>
      </c>
      <c r="E2" s="65" t="s">
        <v>109</v>
      </c>
      <c r="F2" s="65" t="s">
        <v>110</v>
      </c>
      <c r="G2" s="117" t="s">
        <v>111</v>
      </c>
      <c r="H2" s="118" t="s">
        <v>112</v>
      </c>
      <c r="I2" s="119" t="s">
        <v>113</v>
      </c>
      <c r="J2" s="120" t="s">
        <v>7</v>
      </c>
      <c r="K2" s="2" t="s">
        <v>114</v>
      </c>
      <c r="L2" s="2" t="s">
        <v>115</v>
      </c>
      <c r="M2" s="65" t="s">
        <v>116</v>
      </c>
      <c r="N2" s="121" t="s">
        <v>117</v>
      </c>
      <c r="O2" s="122" t="s">
        <v>118</v>
      </c>
      <c r="P2" s="123" t="s">
        <v>119</v>
      </c>
      <c r="Q2" s="124" t="s">
        <v>120</v>
      </c>
      <c r="R2" s="125" t="s">
        <v>121</v>
      </c>
      <c r="S2" s="126" t="s">
        <v>122</v>
      </c>
      <c r="T2" s="127" t="s">
        <v>123</v>
      </c>
      <c r="U2" s="128" t="s">
        <v>124</v>
      </c>
      <c r="V2" s="129" t="s">
        <v>125</v>
      </c>
      <c r="W2" s="128" t="s">
        <v>126</v>
      </c>
      <c r="X2" s="130" t="s">
        <v>127</v>
      </c>
      <c r="Y2" s="65" t="s">
        <v>128</v>
      </c>
      <c r="Z2" s="131" t="s">
        <v>129</v>
      </c>
      <c r="AA2" s="132" t="s">
        <v>130</v>
      </c>
      <c r="AB2" s="133" t="s">
        <v>131</v>
      </c>
      <c r="AC2" s="134"/>
      <c r="AD2" s="134"/>
      <c r="AE2" s="134"/>
      <c r="AF2" s="134"/>
      <c r="AG2" s="134"/>
      <c r="AH2" s="134"/>
    </row>
    <row r="3" hidden="1">
      <c r="A3" s="135">
        <v>46041.0</v>
      </c>
      <c r="B3" s="81" t="s">
        <v>132</v>
      </c>
      <c r="C3" s="136" t="b">
        <v>0</v>
      </c>
      <c r="D3" s="137"/>
      <c r="E3" s="106"/>
      <c r="F3" s="137"/>
      <c r="G3" s="106"/>
      <c r="H3" s="138">
        <v>0.0</v>
      </c>
      <c r="I3" s="139"/>
      <c r="K3" s="140">
        <v>46041.0</v>
      </c>
      <c r="L3" s="136" t="str">
        <f t="shared" ref="L3:L1001" si="1">IFS( K3="","",
  WEEKDAY(K3)=1, "Sunday",
  WEEKDAY(K3)=2, "Monday",
  WEEKDAY(K3)=3, "Tuesday",
  WEEKDAY(K3)=4, "Wednesday",
  WEEKDAY(K3)=5, "Thursday",
  WEEKDAY(K3)=6, "Friday",
  WEEKDAY(K3)=7, "Saturday"
)</f>
        <v>Monday</v>
      </c>
      <c r="N3" s="141"/>
      <c r="P3" s="136" t="s">
        <v>133</v>
      </c>
      <c r="Q3" s="106"/>
      <c r="R3" s="106" t="s">
        <v>133</v>
      </c>
      <c r="S3" s="139"/>
      <c r="T3" s="139" t="s">
        <v>133</v>
      </c>
      <c r="V3" s="142"/>
      <c r="W3" s="143"/>
      <c r="X3" s="139"/>
      <c r="Y3" s="141"/>
    </row>
    <row r="4">
      <c r="A4" s="144">
        <f>IFERROR(__xludf.DUMMYFUNCTION("IMPORTRANGE(""https://docs.google.com/spreadsheets/d/1jmXuuYb2rWIX1PbFVp-yzH3IqJm3OKXaoMXcca97_l4/edit?gid=1259547262#gid=1259547262"",""S2026 Bin Weight!A2:A500"")"),46043.62020392361)</f>
        <v>46043.6202</v>
      </c>
      <c r="B4" s="136" t="str">
        <f>IFERROR(__xludf.DUMMYFUNCTION("IMPORTRANGE(""https://docs.google.com/spreadsheets/d/1jmXuuYb2rWIX1PbFVp-yzH3IqJm3OKXaoMXcca97_l4/edit?gid=1259547262#gid=1259547262"",""S2026 Bin Weight!B2:B500"")"),"Brynn Hornig")</f>
        <v>Brynn Hornig</v>
      </c>
      <c r="C4" s="136" t="b">
        <f>false</f>
        <v>0</v>
      </c>
      <c r="D4" s="137">
        <f>IFERROR(__xludf.DUMMYFUNCTION("IMPORTRANGE(""https://docs.google.com/spreadsheets/d/1jmXuuYb2rWIX1PbFVp-yzH3IqJm3OKXaoMXcca97_l4/edit?gid=1259547262#gid=1259547262"",""S2026 Bin Weight!E2:E500"")"),0.5208333333357587)</f>
        <v>0.5208333333</v>
      </c>
      <c r="E4" s="106">
        <f>IFERROR(__xludf.DUMMYFUNCTION("arrayformula(IMPORTRANGE(""https://docs.google.com/spreadsheets/d/1jmXuuYb2rWIX1PbFVp-yzH3IqJm3OKXaoMXcca97_l4/edit?gid=1259547262#gid=1259547262"",""S2026 Bin Weight!F2:F500"") - IMPORTRANGE(""https://docs.google.com/spreadsheets/d/1jmXuuYb2rWIX1PbFVp-yz"&amp;"H3IqJm3OKXaoMXcca97_l4/edit?gid=1259547262#gid=1259547262"",""S2026 Bin Weight!E2:E500""))"),0.10416666666424135)</f>
        <v>0.1041666667</v>
      </c>
      <c r="F4" s="137">
        <f>IFERROR(__xludf.DUMMYFUNCTION("IMPORTRANGE(""https://docs.google.com/spreadsheets/d/1jmXuuYb2rWIX1PbFVp-yzH3IqJm3OKXaoMXcca97_l4/edit?gid=1259547262#gid=1259547262"",""S2026 Bin Weight!F2:F500"")"),0.625)</f>
        <v>0.625</v>
      </c>
      <c r="G4" s="106">
        <f t="array" ref="G4:G1001">IF(C4:C1001="","",
    IF(C4:C1001=TRUE,"",
      SUMIF(
        SCAN(0,C4:C1001,LAMBDA(a,c,a+(c=FALSE))),
        SCAN(0,C4:C1001,LAMBDA(a,c,a+(c=FALSE))),
        E4:E1001
      )
    )
  )
</f>
        <v>0.1041666667</v>
      </c>
      <c r="H4" s="145">
        <f>IFERROR(__xludf.DUMMYFUNCTION("arrayformula(IMPORTRANGE(""https://docs.google.com/spreadsheets/d/1jmXuuYb2rWIX1PbFVp-yzH3IqJm3OKXaoMXcca97_l4/edit?gid=1259547262#gid=1259547262"",""S2026 Bin Weight!H2:H500"") - IMPORTRANGE(""https://docs.google.com/spreadsheets/d/1jmXuuYb2rWIX1PbFVp-yz"&amp;"H3IqJm3OKXaoMXcca97_l4/edit?gid=1259547262#gid=1259547262"",""S2026 Bin Weight!G2:G500""))"),129.0)</f>
        <v>129</v>
      </c>
      <c r="I4" s="139">
        <f t="array" ref="I4:I1001">IF(C4:C1001="","",
    IF(C4:C1001=TRUE,"",
      IFERROR(
        SUMIF(
          SCAN(0,C4:C1001,LAMBDA(a,c,a+(c=FALSE))),
          SCAN(0,C4:C1001,LAMBDA(a,c,a+(c=FALSE))),
          H4:H1001
        ) / (24 * G4:G1001),
        ""
      )
    )
  )
</f>
        <v>51.6</v>
      </c>
      <c r="J4" s="136" t="str">
        <f t="array" ref="J4:J1001">IF(D4:D1001="","",
    IF(
      (D4:D1001 &lt; 'Master Sheet'!M5) * (F4:F1001 &gt; 'Master Sheet'!L6), "Breakfast/Lunch",
      IF(
        (D4:D1001 &lt; ('Master Sheet'!M6-0.01)) * (F4:F1001 &gt; 'Master Sheet'!L7), "Lunch/Dinner",
        IF(
          (D4:D1001 &gt;= 'Master Sheet'!L5) * (F4:F1001 &lt;= 'Master Sheet'!M5), "Breakfast",
          IF(
            (D4:D1001 &gt;= 'Master Sheet'!L6) * (F4:F1001 &lt;= 'Master Sheet'!M6), "Lunch",
            IF(
              (D4:D1001 &gt;= ('Master Sheet'!L7-0.01)) * (F4:F1001 &lt;= 'Master Sheet'!M7), "Dinner",
              ""
            )
          )
        )
      )
    )
  )
</f>
        <v>Lunch</v>
      </c>
      <c r="K4" s="146">
        <f>IFERROR(__xludf.DUMMYFUNCTION("IMPORTRANGE(""https://docs.google.com/spreadsheets/d/1jmXuuYb2rWIX1PbFVp-yzH3IqJm3OKXaoMXcca97_l4/edit?gid=1259547262#gid=1259547262"",""S2026 Bin Weight!C2:C500"")"),46043.0)</f>
        <v>46043</v>
      </c>
      <c r="L4" s="136" t="str">
        <f t="shared" si="1"/>
        <v>Wednesday</v>
      </c>
      <c r="M4" s="136" t="str">
        <f>IFERROR(__xludf.DUMMYFUNCTION("ARRAYFORMULA(
  iferror(IFs(
    IMPORTRANGE(
      ""https://docs.google.com/spreadsheets/d/1jmXuuYb2rWIX1PbFVp-yzH3IqJm3OKXaoMXcca97_l4"",
      ""S2026 Bin Weight!D2:D500""
    ) = ""Mainfare"",
    ""MF"",
    IMPORTRANGE(
      ""https://docs.google."&amp;"com/spreadsheets/d/1jmXuuYb2rWIX1PbFVp-yzH3IqJm3OKXaoMXcca97_l4"",
      ""S2026 Bin Weight!D2:D500""
    ) = ""Butterfield"", ""BF""
  ),"""")
)"),"MF")</f>
        <v>MF</v>
      </c>
      <c r="N4" s="141">
        <f t="array" ref="N4:N1001">IF(I4:I1001="","",
 IF(J4:J1001="", "",
  IF(J4:J1001="Breakfast",
    IF(M4:M1001="MF",
      I4:I1001 /
        INDEX('Std Deviations'!AG22:AG26,
              MATCH(L4:L1001, {"Monday","Tuesday","Wednesday","Thursday","Friday"},0)),
    IF(M4:M1001="BF",
      I4:I1001 /
        INDEX('Std Deviations'!AG32:AG36,
              MATCH(L4:L1001, {"Monday","Tuesday","Wednesday","Thursday","Friday"},0)),
    "")),
  IF(J4:J1001="Breakfast/Lunch",
    I4:I1001 / (
      (INDEX('Std Deviations'!AG22:AG26,
              MATCH(L4:L1001, {"Monday","Tuesday","Wednesday","Thursday","Friday"},0))
        * ( 'Master Sheet'!L6 - D4:D1001 ) / E4:E1001 )
      +
      (INDEX('Std Deviations'!AG32:AG36,
              MATCH(L4:L1001, {"Monday","Tuesday","Wednesday","Thursday","Friday"},0))
        * ( F4:F1001 - 'Master Sheet'!L6 ) / E4:E1001 )
    ),
  IF(J4:J1001="Lunch",
    IF(M4:M1001="MF",
      I4:I1001 /
        INDEX('Std Deviations'!AC32:AC36,
              MATCH(L4:L1001, {"Monday","Tuesday","Wednesday","Thursday","Friday"},0)),
    IF(M4:M1001="BF",
      I4:I1001 /
        INDEX('Std Deviations'!AG32:AG36,
              MATCH(L4:L1001, {"Monday","Tuesday","Wednesday","Thursday","Friday"},0)),
    "")),
  IF(J4:J1001="Lunch/Dinner",
    I4:I1001 / (
      (INDEX('Std Deviations'!AC32:AC36,
              MATCH(L4:L1001, {"Monday","Tuesday","Wednesday","Thursday","Friday"},0))
        * ( 'Master Sheet'!L7 - D4:D1001 ) / E4:E1001 )
      +
      (INDEX('Std Deviations'!AC42:AC46,
              MATCH(L4:L1001, {"Monday","Tuesday","Wednesday","Thursday","Friday"},0))
        * ( F4:F1001 - 'Master Sheet'!L7 ) / E4:E1001 )
    ),
  IF(J4:J1001="Dinner",
    IF(M4:M1001="MF",
      I4:I1001 /
        INDEX('Std Deviations'!AC42:AC46,
              MATCH(L4:L1001, {"Monday","Tuesday","Wednesday","Thursday","Friday"},0)),
    IF(M4:M1001="BF",
      I4:I1001 /
        INDEX('Std Deviations'!AG42:AG45,
              MATCH(L4:L1001, {"Monday","Tuesday","Wednesday","Thursday"},0)),
    "")),
  "")))))))</f>
        <v>1.026304128</v>
      </c>
      <c r="O4" s="136">
        <f>IFERROR(__xludf.DUMMYFUNCTION("BYROW('Bulk Data'!K4:K1001, LAMBDA(r,
  IF(r="""","""",
    LET(
      nextVal, IFERROR(INDEX('Bulk Data'!K4:K1001, ROW(r)-ROW('Bulk Data'!K4)+2), """"),
      IF(r &lt;&gt; nextVal,
         IFERROR(
           SUM(FILTER('Bulk Data'!H4:H1001, 'Bulk Data'!K4:K"&amp;"1001 = r, 'Bulk Data'!M4:M1001 = ""MF"")),
           """"
         ),
         """"
      )
    )
  )
))"),129.0)</f>
        <v>129</v>
      </c>
      <c r="P4" s="136" t="str">
        <f>IFERROR(__xludf.DUMMYFUNCTION("BYROW('Bulk Data'!K4:K1001, LAMBDA(r,
  IF(r="""","""",
    LET(
      nextVal, IFERROR(INDEX('Bulk Data'!K4:K1001, ROW(r)-ROW('Bulk Data'!K4)+2), """"),
      IF(r &lt;&gt; nextVal,
         IFERROR(
           IF(SUM(FILTER('Bulk Data'!H4:H1001, 'Bulk Data'!K"&amp;"4:K1001 = r, 'Bulk Data'!M4:M1001 = ""BF""))=0,"""",
             SUM(FILTER('Bulk Data'!H4:H1001, 'Bulk Data'!K4:K1001 = r, 'Bulk Data'!M4:M1001 = ""BF""))
           ),
           """"
         ),
         """"
      )
    )
  )
))
"),"")</f>
        <v/>
      </c>
      <c r="Q4" s="106">
        <f>IFERROR(__xludf.DUMMYFUNCTION("BYROW('Bulk Data'!K4:K1001, LAMBDA(r,
  IF(r="""","""",
    LET(
      nextVal, IFERROR(INDEX('Bulk Data'!K4:K1001, ROW(r)-ROW('Bulk Data'!K4)+2), """"),
      IF(r &lt;&gt; nextVal,
         IFERROR(
           IF(SUM(FILTER('Bulk Data'!E4:E1001, 'Bulk Data'!K"&amp;"4:K1001=r, 'Bulk Data'!M4:M1001=""MF""))=0,"""",
             SUM(FILTER('Bulk Data'!E4:E1001, 'Bulk Data'!K4:K1001=r, 'Bulk Data'!M4:M1001=""MF""))
           ),
           """"
         ),
         """"
      )
    )
  )
))
"),0.10416666666424135)</f>
        <v>0.1041666667</v>
      </c>
      <c r="R4" s="106" t="str">
        <f>IFERROR(__xludf.DUMMYFUNCTION("BYROW('Bulk Data'!K4:K1001, LAMBDA(r,
  IF(r="""","""",
    LET(
      nextVal, IFERROR(INDEX('Bulk Data'!K4:K1001, ROW(r)-ROW('Bulk Data'!K4)+2), """"),
      IF(r &lt;&gt; nextVal,
         IFERROR(
           IF(SUM(FILTER('Bulk Data'!E4:E1001, 'Bulk Data'!K"&amp;"4:K1001=r, 'Bulk Data'!M4:M1001=""BF""))=0,"""",
             SUM(FILTER('Bulk Data'!E4:E1001, 'Bulk Data'!K4:K1001=r, 'Bulk Data'!M4:M1001=""BF""))
           ),
           """"
         ),
         """"
      )
    )
  )
))"),"")</f>
        <v/>
      </c>
      <c r="S4" s="139">
        <f>IFERROR(__xludf.DUMMYFUNCTION("BYROW('Bulk Data'!K4:K1001, LAMBDA(r,
  IF(r="""","""",
    LET(
      nextVal, IFERROR(INDEX('Bulk Data'!K4:K1001, ROW(r)-ROW('Bulk Data'!K4)+2), """"),
      IF(r &lt;&gt; nextVal,
         IFERROR(
           IF(AVERAGE(FILTER('Bulk Data'!I4:I1001, 'Bulk Dat"&amp;"a'!K4:K1001=r, 'Bulk Data'!M4:M1001=""MF""))=0,"""",
             AVERAGE(FILTER('Bulk Data'!I4:I1001, 'Bulk Data'!K4:K1001=r, 'Bulk Data'!M4:M1001=""MF""))
           ),
           """"
         ),
         """"
      )
    )
  )
))
"),51.60000000120141)</f>
        <v>51.6</v>
      </c>
      <c r="T4" s="139" t="str">
        <f>IFERROR(__xludf.DUMMYFUNCTION("BYROW('Bulk Data'!K4:K1001, LAMBDA(r,
  IF(r="""","""",
    LET(
      nextVal, IFERROR(INDEX('Bulk Data'!K4:K1001, ROW(r)-ROW('Bulk Data'!K4)+2), """"),
      IF(r &lt;&gt; nextVal,
         IFERROR(
           IF(AVERAGE(FILTER('Bulk Data'!I4:I1001, 'Bulk Dat"&amp;"a'!K4:K1001=r, 'Bulk Data'!M4:M1001=""BF""))=0,"""",
             AVERAGE(FILTER('Bulk Data'!I4:I1001, 'Bulk Data'!K4:K1001=r, 'Bulk Data'!M4:M1001=""BF""))
           ),
           """"
         ),
         """"
      )
    )
  )
))
"),"")</f>
        <v/>
      </c>
      <c r="U4" s="136">
        <f>IFERROR(__xludf.DUMMYFUNCTION("BYROW('Bulk Data'!K4:K1001, LAMBDA(r,
  IF(r="""","""",
    LET(
      nextVal, IFERROR(INDEX('Bulk Data'!K4:K1001, ROW(r)-ROW('Bulk Data'!K4)+2), """"),
      IF(r &lt;&gt; nextVal,
         IFERROR(
           SUM(FILTER('Bulk Data'!H4:H1001, 'Bulk Data'!K4:K"&amp;"1001 = r)),
           """"
         ),
         """"
      )
    )
  )
))
"),129.0)</f>
        <v>129</v>
      </c>
      <c r="V4" s="142">
        <f>IFERROR(__xludf.DUMMYFUNCTION("BYROW('Bulk Data'!K4:K1001, LAMBDA(r,
  IF(r="""","""",
    LET(
      nextVal, IFERROR(INDEX('Bulk Data'!K4:K1001, ROW(r)-ROW('Bulk Data'!K4)+2), """"),
      IF(r &lt;&gt; nextVal,
         IFERROR(
           SUM(FILTER('Bulk Data'!E4:E1001, 'Bulk Data'!K4:K"&amp;"1001 = r)),
           """"
         ),
         """"
      )
    )
  )
))
"),0.10416666666424135)</f>
        <v>0.1041666667</v>
      </c>
      <c r="W4" s="143">
        <f t="shared" ref="W4:W1001" si="2">iferror(if(U4/(V4*24)=0,"",U4/(V4*24)),"")</f>
        <v>51.6</v>
      </c>
      <c r="X4" s="139">
        <f>IFERROR(__xludf.DUMMYFUNCTION("BYROW('Bulk Data'!K4:K1001, LAMBDA(r,
  IF(r="""","""",
    LET(
      nextVal, IFERROR(INDEX('Bulk Data'!K4:K1001, ROW(r)-ROW('Bulk Data'!K4)+2), """"),
      IF(r &lt;&gt; nextVal,
         IFERROR(
           AVERAGE(FILTER('Bulk Data'!I4:I1001, 'Bulk Data'!"&amp;"K4:K1001 = r)),
           """"
         ),
         """"
      )
    )
  )
))
"),51.60000000120141)</f>
        <v>51.6</v>
      </c>
      <c r="Y4" s="141">
        <f>IFERROR(__xludf.DUMMYFUNCTION("BYROW('Bulk Data'!K4:K1001, LAMBDA(r,
  IF(r="""","""",
    LET(
      nextVal, IFERROR(INDEX('Bulk Data'!K4:K1001, ROW(r)-ROW('Bulk Data'!K4)+2), """"),
      IF(r &lt;&gt; nextVal,
         LET(
           filteredVals,
             FILTER(
               IF("&amp;"
                 'Bulk Data'!J4:J1001="""","""",
                 IF('Bulk Data'!J4:J1001=""Breakfast"",
                    'Bulk Data'!I4:I1001/'Period Data'!A30,
                 IF('Bulk Data'!J4:J1001=""Breakfast/Lunch"",
                    'Bulk D"&amp;"ata'!I4:I1001/'Period Data'!G30,
                 IF('Bulk Data'!J4:J1001=""Lunch"",
                    'Bulk Data'!I4:I1001/'Period Data'!M30,
                 IF('Bulk Data'!J4:J1001=""Lunch/Dinner"",
                    'Bulk Data'!I4:I1001/'Period Da"&amp;"ta'!S30,
                 IF('Bulk Data'!J4:J1001=""Dinner"",
                    'Bulk Data'!I4:I1001/'Period Data'!Y30,
                    """"
                 )))))
               ),
               'Bulk Data'!K4:K1001 = r
             ),
           "&amp;"IFERROR(AVERAGE(filteredVals),"""")
         ),
         """"
      )
    )
  )
))
"),1.0184732700553483)</f>
        <v>1.01847327</v>
      </c>
    </row>
    <row r="5">
      <c r="A5" s="144">
        <f>IFERROR(__xludf.DUMMYFUNCTION("""COMPUTED_VALUE"""),46044.77925564814)</f>
        <v>46044.77926</v>
      </c>
      <c r="B5" s="136" t="str">
        <f>IFERROR(__xludf.DUMMYFUNCTION("""COMPUTED_VALUE"""),"Emmett Khan")</f>
        <v>Emmett Khan</v>
      </c>
      <c r="C5" s="136" t="b">
        <f t="shared" ref="C5:C1001" si="3">IF(
  B5="",
  "",
  AND(
    B5=B4,
    K5=K4,
    M5=M4,
    ABS(D5 - F4) &lt;= TIME(0,25,0)
  )
)</f>
        <v>0</v>
      </c>
      <c r="D5" s="137">
        <f>IFERROR(__xludf.DUMMYFUNCTION("""COMPUTED_VALUE"""),0.7083333333357587)</f>
        <v>0.7083333333</v>
      </c>
      <c r="E5" s="106">
        <f>IFERROR(__xludf.DUMMYFUNCTION("""COMPUTED_VALUE"""),0.07291666666424135)</f>
        <v>0.07291666666</v>
      </c>
      <c r="F5" s="137">
        <f>IFERROR(__xludf.DUMMYFUNCTION("""COMPUTED_VALUE"""),0.78125)</f>
        <v>0.78125</v>
      </c>
      <c r="G5" s="106">
        <v>0.07291666666424135</v>
      </c>
      <c r="H5" s="136">
        <f>IFERROR(__xludf.DUMMYFUNCTION("""COMPUTED_VALUE"""),114.0)</f>
        <v>114</v>
      </c>
      <c r="I5" s="139">
        <v>65.1428571450239</v>
      </c>
      <c r="J5" s="136" t="s">
        <v>18</v>
      </c>
      <c r="K5" s="146">
        <f>IFERROR(__xludf.DUMMYFUNCTION("""COMPUTED_VALUE"""),46044.0)</f>
        <v>46044</v>
      </c>
      <c r="L5" s="136" t="str">
        <f t="shared" si="1"/>
        <v>Thursday</v>
      </c>
      <c r="M5" s="136" t="str">
        <f>IFERROR(__xludf.DUMMYFUNCTION("""COMPUTED_VALUE"""),"BF")</f>
        <v>BF</v>
      </c>
      <c r="N5" s="141">
        <v>1.4661308001735762</v>
      </c>
      <c r="O5" s="136" t="str">
        <f>IFERROR(__xludf.DUMMYFUNCTION("""COMPUTED_VALUE"""),"")</f>
        <v/>
      </c>
      <c r="P5" s="136" t="str">
        <f>IFERROR(__xludf.DUMMYFUNCTION("""COMPUTED_VALUE"""),"")</f>
        <v/>
      </c>
      <c r="Q5" s="106" t="str">
        <f>IFERROR(__xludf.DUMMYFUNCTION("""COMPUTED_VALUE"""),"")</f>
        <v/>
      </c>
      <c r="R5" s="106" t="str">
        <f>IFERROR(__xludf.DUMMYFUNCTION("""COMPUTED_VALUE"""),"")</f>
        <v/>
      </c>
      <c r="S5" s="139" t="str">
        <f>IFERROR(__xludf.DUMMYFUNCTION("""COMPUTED_VALUE"""),"")</f>
        <v/>
      </c>
      <c r="T5" s="139" t="str">
        <f>IFERROR(__xludf.DUMMYFUNCTION("""COMPUTED_VALUE"""),"")</f>
        <v/>
      </c>
      <c r="U5" s="136" t="str">
        <f>IFERROR(__xludf.DUMMYFUNCTION("""COMPUTED_VALUE"""),"")</f>
        <v/>
      </c>
      <c r="V5" s="106" t="str">
        <f>IFERROR(__xludf.DUMMYFUNCTION("""COMPUTED_VALUE"""),"")</f>
        <v/>
      </c>
      <c r="W5" s="143" t="str">
        <f t="shared" si="2"/>
        <v/>
      </c>
      <c r="X5" s="139" t="str">
        <f>IFERROR(__xludf.DUMMYFUNCTION("""COMPUTED_VALUE"""),"")</f>
        <v/>
      </c>
      <c r="Y5" s="141" t="str">
        <f>IFERROR(__xludf.DUMMYFUNCTION("""COMPUTED_VALUE"""),"")</f>
        <v/>
      </c>
    </row>
    <row r="6">
      <c r="A6" s="144">
        <f>IFERROR(__xludf.DUMMYFUNCTION("""COMPUTED_VALUE"""),46044.79840002315)</f>
        <v>46044.7984</v>
      </c>
      <c r="B6" s="136" t="str">
        <f>IFERROR(__xludf.DUMMYFUNCTION("""COMPUTED_VALUE"""),"Orpheus Wilson")</f>
        <v>Orpheus Wilson</v>
      </c>
      <c r="C6" s="136" t="b">
        <f t="shared" si="3"/>
        <v>0</v>
      </c>
      <c r="D6" s="137">
        <f>IFERROR(__xludf.DUMMYFUNCTION("""COMPUTED_VALUE"""),0.7118055555547471)</f>
        <v>0.7118055556</v>
      </c>
      <c r="E6" s="106">
        <f>IFERROR(__xludf.DUMMYFUNCTION("""COMPUTED_VALUE"""),0.07708333332993789)</f>
        <v>0.07708333333</v>
      </c>
      <c r="F6" s="137">
        <f>IFERROR(__xludf.DUMMYFUNCTION("""COMPUTED_VALUE"""),0.788888888884685)</f>
        <v>0.7888888889</v>
      </c>
      <c r="G6" s="106">
        <v>0.07708333332993789</v>
      </c>
      <c r="H6" s="136">
        <f>IFERROR(__xludf.DUMMYFUNCTION("""COMPUTED_VALUE"""),104.0)</f>
        <v>104</v>
      </c>
      <c r="I6" s="139">
        <v>56.21621621869249</v>
      </c>
      <c r="J6" s="136" t="s">
        <v>18</v>
      </c>
      <c r="K6" s="146">
        <f>IFERROR(__xludf.DUMMYFUNCTION("""COMPUTED_VALUE"""),46044.0)</f>
        <v>46044</v>
      </c>
      <c r="L6" s="136" t="str">
        <f t="shared" si="1"/>
        <v>Thursday</v>
      </c>
      <c r="M6" s="136" t="str">
        <f>IFERROR(__xludf.DUMMYFUNCTION("""COMPUTED_VALUE"""),"MF")</f>
        <v>MF</v>
      </c>
      <c r="N6" s="141">
        <v>1.1758389290568247</v>
      </c>
      <c r="O6" s="136">
        <f>IFERROR(__xludf.DUMMYFUNCTION("""COMPUTED_VALUE"""),104.0)</f>
        <v>104</v>
      </c>
      <c r="P6" s="136">
        <f>IFERROR(__xludf.DUMMYFUNCTION("""COMPUTED_VALUE"""),114.0)</f>
        <v>114</v>
      </c>
      <c r="Q6" s="106">
        <f>IFERROR(__xludf.DUMMYFUNCTION("""COMPUTED_VALUE"""),0.07708333332993789)</f>
        <v>0.07708333333</v>
      </c>
      <c r="R6" s="106">
        <f>IFERROR(__xludf.DUMMYFUNCTION("""COMPUTED_VALUE"""),0.07291666666424135)</f>
        <v>0.07291666666</v>
      </c>
      <c r="S6" s="139">
        <f>IFERROR(__xludf.DUMMYFUNCTION("""COMPUTED_VALUE"""),56.21621621869249)</f>
        <v>56.21621622</v>
      </c>
      <c r="T6" s="139">
        <f>IFERROR(__xludf.DUMMYFUNCTION("""COMPUTED_VALUE"""),65.1428571450239)</f>
        <v>65.14285715</v>
      </c>
      <c r="U6" s="136">
        <f>IFERROR(__xludf.DUMMYFUNCTION("""COMPUTED_VALUE"""),218.0)</f>
        <v>218</v>
      </c>
      <c r="V6" s="106">
        <f>IFERROR(__xludf.DUMMYFUNCTION("""COMPUTED_VALUE"""),0.14999999999417923)</f>
        <v>0.15</v>
      </c>
      <c r="W6" s="143">
        <f t="shared" si="2"/>
        <v>60.55555556</v>
      </c>
      <c r="X6" s="139">
        <f>IFERROR(__xludf.DUMMYFUNCTION("""COMPUTED_VALUE"""),60.679536681858195)</f>
        <v>60.67953668</v>
      </c>
      <c r="Y6" s="141">
        <f>IFERROR(__xludf.DUMMYFUNCTION("""COMPUTED_VALUE"""),1.0807181040721305)</f>
        <v>1.080718104</v>
      </c>
    </row>
    <row r="7">
      <c r="A7" s="144">
        <f>IFERROR(__xludf.DUMMYFUNCTION("""COMPUTED_VALUE"""),46045.61947065972)</f>
        <v>46045.61947</v>
      </c>
      <c r="B7" s="136" t="str">
        <f>IFERROR(__xludf.DUMMYFUNCTION("""COMPUTED_VALUE"""),"Oluwatimilehin Shodipe")</f>
        <v>Oluwatimilehin Shodipe</v>
      </c>
      <c r="C7" s="136" t="b">
        <f t="shared" si="3"/>
        <v>0</v>
      </c>
      <c r="D7" s="137">
        <f>IFERROR(__xludf.DUMMYFUNCTION("""COMPUTED_VALUE"""),0.5048611111124046)</f>
        <v>0.5048611111</v>
      </c>
      <c r="E7" s="106">
        <f>IFERROR(__xludf.DUMMYFUNCTION("""COMPUTED_VALUE"""),0.12013888888759539)</f>
        <v>0.1201388889</v>
      </c>
      <c r="F7" s="137">
        <f>IFERROR(__xludf.DUMMYFUNCTION("""COMPUTED_VALUE"""),0.625)</f>
        <v>0.625</v>
      </c>
      <c r="G7" s="106">
        <v>0.12013888888759539</v>
      </c>
      <c r="H7" s="136">
        <f>IFERROR(__xludf.DUMMYFUNCTION("""COMPUTED_VALUE"""),143.0)</f>
        <v>143</v>
      </c>
      <c r="I7" s="139">
        <v>49.59537572307733</v>
      </c>
      <c r="J7" s="136" t="s">
        <v>15</v>
      </c>
      <c r="K7" s="146">
        <f>IFERROR(__xludf.DUMMYFUNCTION("""COMPUTED_VALUE"""),46045.0)</f>
        <v>46045</v>
      </c>
      <c r="L7" s="136" t="str">
        <f t="shared" si="1"/>
        <v>Friday</v>
      </c>
      <c r="M7" s="136" t="str">
        <f>IFERROR(__xludf.DUMMYFUNCTION("""COMPUTED_VALUE"""),"MF")</f>
        <v>MF</v>
      </c>
      <c r="N7" s="141">
        <v>0.9864329231607731</v>
      </c>
      <c r="O7" s="136">
        <f>IFERROR(__xludf.DUMMYFUNCTION("""COMPUTED_VALUE"""),143.0)</f>
        <v>143</v>
      </c>
      <c r="P7" s="136" t="str">
        <f>IFERROR(__xludf.DUMMYFUNCTION("""COMPUTED_VALUE"""),"")</f>
        <v/>
      </c>
      <c r="Q7" s="106">
        <f>IFERROR(__xludf.DUMMYFUNCTION("""COMPUTED_VALUE"""),0.12013888888759539)</f>
        <v>0.1201388889</v>
      </c>
      <c r="R7" s="106" t="str">
        <f>IFERROR(__xludf.DUMMYFUNCTION("""COMPUTED_VALUE"""),"")</f>
        <v/>
      </c>
      <c r="S7" s="139">
        <f>IFERROR(__xludf.DUMMYFUNCTION("""COMPUTED_VALUE"""),49.59537572307733)</f>
        <v>49.59537572</v>
      </c>
      <c r="T7" s="139" t="str">
        <f>IFERROR(__xludf.DUMMYFUNCTION("""COMPUTED_VALUE"""),"")</f>
        <v/>
      </c>
      <c r="U7" s="136">
        <f>IFERROR(__xludf.DUMMYFUNCTION("""COMPUTED_VALUE"""),143.0)</f>
        <v>143</v>
      </c>
      <c r="V7" s="106">
        <f>IFERROR(__xludf.DUMMYFUNCTION("""COMPUTED_VALUE"""),0.12013888888759539)</f>
        <v>0.1201388889</v>
      </c>
      <c r="W7" s="143">
        <f t="shared" si="2"/>
        <v>49.59537572</v>
      </c>
      <c r="X7" s="139">
        <f>IFERROR(__xludf.DUMMYFUNCTION("""COMPUTED_VALUE"""),49.59537572307733)</f>
        <v>49.59537572</v>
      </c>
      <c r="Y7" s="141">
        <f>IFERROR(__xludf.DUMMYFUNCTION("""COMPUTED_VALUE"""),0.9789062885877934)</f>
        <v>0.9789062886</v>
      </c>
    </row>
    <row r="8">
      <c r="A8" s="144">
        <f>IFERROR(__xludf.DUMMYFUNCTION("""COMPUTED_VALUE"""),46049.86973208333)</f>
        <v>46049.86973</v>
      </c>
      <c r="B8" s="136" t="str">
        <f>IFERROR(__xludf.DUMMYFUNCTION("""COMPUTED_VALUE"""),"Laila Maisuria")</f>
        <v>Laila Maisuria</v>
      </c>
      <c r="C8" s="136" t="b">
        <f t="shared" si="3"/>
        <v>0</v>
      </c>
      <c r="D8" s="137">
        <f>IFERROR(__xludf.DUMMYFUNCTION("""COMPUTED_VALUE"""),0.7527777777795563)</f>
        <v>0.7527777778</v>
      </c>
      <c r="E8" s="106">
        <f>IFERROR(__xludf.DUMMYFUNCTION("""COMPUTED_VALUE"""),0.11458333333575865)</f>
        <v>0.1145833333</v>
      </c>
      <c r="F8" s="137">
        <f>IFERROR(__xludf.DUMMYFUNCTION("""COMPUTED_VALUE"""),0.867361111115315)</f>
        <v>0.8673611111</v>
      </c>
      <c r="G8" s="106">
        <v>0.11458333333575865</v>
      </c>
      <c r="H8" s="136">
        <f>IFERROR(__xludf.DUMMYFUNCTION("""COMPUTED_VALUE"""),134.0)</f>
        <v>134</v>
      </c>
      <c r="I8" s="139">
        <v>48.727272726241345</v>
      </c>
      <c r="J8" s="136" t="s">
        <v>18</v>
      </c>
      <c r="K8" s="146">
        <f>IFERROR(__xludf.DUMMYFUNCTION("""COMPUTED_VALUE"""),46049.0)</f>
        <v>46049</v>
      </c>
      <c r="L8" s="136" t="str">
        <f t="shared" si="1"/>
        <v>Tuesday</v>
      </c>
      <c r="M8" s="136" t="str">
        <f>IFERROR(__xludf.DUMMYFUNCTION("""COMPUTED_VALUE"""),"MF")</f>
        <v>MF</v>
      </c>
      <c r="N8" s="141">
        <v>1.0191974492803397</v>
      </c>
      <c r="O8" s="136">
        <f>IFERROR(__xludf.DUMMYFUNCTION("""COMPUTED_VALUE"""),134.0)</f>
        <v>134</v>
      </c>
      <c r="P8" s="136" t="str">
        <f>IFERROR(__xludf.DUMMYFUNCTION("""COMPUTED_VALUE"""),"")</f>
        <v/>
      </c>
      <c r="Q8" s="106">
        <f>IFERROR(__xludf.DUMMYFUNCTION("""COMPUTED_VALUE"""),0.11458333333575865)</f>
        <v>0.1145833333</v>
      </c>
      <c r="R8" s="106" t="str">
        <f>IFERROR(__xludf.DUMMYFUNCTION("""COMPUTED_VALUE"""),"")</f>
        <v/>
      </c>
      <c r="S8" s="139">
        <f>IFERROR(__xludf.DUMMYFUNCTION("""COMPUTED_VALUE"""),48.727272726241345)</f>
        <v>48.72727273</v>
      </c>
      <c r="T8" s="139" t="str">
        <f>IFERROR(__xludf.DUMMYFUNCTION("""COMPUTED_VALUE"""),"")</f>
        <v/>
      </c>
      <c r="U8" s="136">
        <f>IFERROR(__xludf.DUMMYFUNCTION("""COMPUTED_VALUE"""),134.0)</f>
        <v>134</v>
      </c>
      <c r="V8" s="106">
        <f>IFERROR(__xludf.DUMMYFUNCTION("""COMPUTED_VALUE"""),0.11458333333575865)</f>
        <v>0.1145833333</v>
      </c>
      <c r="W8" s="143">
        <f t="shared" si="2"/>
        <v>48.72727273</v>
      </c>
      <c r="X8" s="139">
        <f>IFERROR(__xludf.DUMMYFUNCTION("""COMPUTED_VALUE"""),48.727272726241345)</f>
        <v>48.72727273</v>
      </c>
      <c r="Y8" s="141">
        <f>IFERROR(__xludf.DUMMYFUNCTION("""COMPUTED_VALUE"""),0.8678452189476501)</f>
        <v>0.8678452189</v>
      </c>
    </row>
    <row r="9">
      <c r="A9" s="144">
        <f>IFERROR(__xludf.DUMMYFUNCTION("""COMPUTED_VALUE"""),46050.47128442129)</f>
        <v>46050.47128</v>
      </c>
      <c r="B9" s="136" t="str">
        <f>IFERROR(__xludf.DUMMYFUNCTION("""COMPUTED_VALUE"""),"Kaylie Forgue")</f>
        <v>Kaylie Forgue</v>
      </c>
      <c r="C9" s="136" t="b">
        <f t="shared" si="3"/>
        <v>0</v>
      </c>
      <c r="D9" s="137">
        <f>IFERROR(__xludf.DUMMYFUNCTION("""COMPUTED_VALUE"""),0.30902777778101154)</f>
        <v>0.3090277778</v>
      </c>
      <c r="E9" s="106">
        <f>IFERROR(__xludf.DUMMYFUNCTION("""COMPUTED_VALUE"""),0.11597222222189885)</f>
        <v>0.1159722222</v>
      </c>
      <c r="F9" s="137">
        <f>IFERROR(__xludf.DUMMYFUNCTION("""COMPUTED_VALUE"""),0.4250000000029104)</f>
        <v>0.425</v>
      </c>
      <c r="G9" s="106">
        <v>0.11597222222189885</v>
      </c>
      <c r="H9" s="136">
        <f>IFERROR(__xludf.DUMMYFUNCTION("""COMPUTED_VALUE"""),115.0)</f>
        <v>115</v>
      </c>
      <c r="I9" s="139">
        <v>41.317365269576285</v>
      </c>
      <c r="J9" s="136" t="s">
        <v>12</v>
      </c>
      <c r="K9" s="146">
        <f>IFERROR(__xludf.DUMMYFUNCTION("""COMPUTED_VALUE"""),46050.0)</f>
        <v>46050</v>
      </c>
      <c r="L9" s="136" t="str">
        <f t="shared" si="1"/>
        <v>Wednesday</v>
      </c>
      <c r="M9" s="136" t="str">
        <f>IFERROR(__xludf.DUMMYFUNCTION("""COMPUTED_VALUE"""),"BF")</f>
        <v>BF</v>
      </c>
      <c r="N9" s="141">
        <v>1.457369274312108</v>
      </c>
      <c r="O9" s="136" t="str">
        <f>IFERROR(__xludf.DUMMYFUNCTION("""COMPUTED_VALUE"""),"")</f>
        <v/>
      </c>
      <c r="P9" s="136" t="str">
        <f>IFERROR(__xludf.DUMMYFUNCTION("""COMPUTED_VALUE"""),"")</f>
        <v/>
      </c>
      <c r="Q9" s="106" t="str">
        <f>IFERROR(__xludf.DUMMYFUNCTION("""COMPUTED_VALUE"""),"")</f>
        <v/>
      </c>
      <c r="R9" s="106" t="str">
        <f>IFERROR(__xludf.DUMMYFUNCTION("""COMPUTED_VALUE"""),"")</f>
        <v/>
      </c>
      <c r="S9" s="139" t="str">
        <f>IFERROR(__xludf.DUMMYFUNCTION("""COMPUTED_VALUE"""),"")</f>
        <v/>
      </c>
      <c r="T9" s="139" t="str">
        <f>IFERROR(__xludf.DUMMYFUNCTION("""COMPUTED_VALUE"""),"")</f>
        <v/>
      </c>
      <c r="U9" s="136" t="str">
        <f>IFERROR(__xludf.DUMMYFUNCTION("""COMPUTED_VALUE"""),"")</f>
        <v/>
      </c>
      <c r="V9" s="106" t="str">
        <f>IFERROR(__xludf.DUMMYFUNCTION("""COMPUTED_VALUE"""),"")</f>
        <v/>
      </c>
      <c r="W9" s="143" t="str">
        <f t="shared" si="2"/>
        <v/>
      </c>
      <c r="X9" s="139" t="str">
        <f>IFERROR(__xludf.DUMMYFUNCTION("""COMPUTED_VALUE"""),"")</f>
        <v/>
      </c>
      <c r="Y9" s="141" t="str">
        <f>IFERROR(__xludf.DUMMYFUNCTION("""COMPUTED_VALUE"""),"")</f>
        <v/>
      </c>
    </row>
    <row r="10">
      <c r="A10" s="144">
        <f>IFERROR(__xludf.DUMMYFUNCTION("""COMPUTED_VALUE"""),46050.50898162037)</f>
        <v>46050.50898</v>
      </c>
      <c r="B10" s="136" t="str">
        <f>IFERROR(__xludf.DUMMYFUNCTION("""COMPUTED_VALUE"""),"Oluwatimilehin Shodipe")</f>
        <v>Oluwatimilehin Shodipe</v>
      </c>
      <c r="C10" s="136" t="b">
        <f t="shared" si="3"/>
        <v>0</v>
      </c>
      <c r="D10" s="137">
        <f>IFERROR(__xludf.DUMMYFUNCTION("""COMPUTED_VALUE"""),0.4437499999985448)</f>
        <v>0.44375</v>
      </c>
      <c r="E10" s="106">
        <f>IFERROR(__xludf.DUMMYFUNCTION("""COMPUTED_VALUE"""),0.06666666666569654)</f>
        <v>0.06666666667</v>
      </c>
      <c r="F10" s="137">
        <f>IFERROR(__xludf.DUMMYFUNCTION("""COMPUTED_VALUE"""),0.5104166666642413)</f>
        <v>0.5104166667</v>
      </c>
      <c r="G10" s="106">
        <v>0.06666666666569654</v>
      </c>
      <c r="H10" s="136">
        <f>IFERROR(__xludf.DUMMYFUNCTION("""COMPUTED_VALUE"""),72.0)</f>
        <v>72</v>
      </c>
      <c r="I10" s="139">
        <v>45.000000000654836</v>
      </c>
      <c r="J10" s="136" t="s">
        <v>134</v>
      </c>
      <c r="K10" s="146">
        <f>IFERROR(__xludf.DUMMYFUNCTION("""COMPUTED_VALUE"""),46050.0)</f>
        <v>46050</v>
      </c>
      <c r="L10" s="136" t="str">
        <f t="shared" si="1"/>
        <v>Wednesday</v>
      </c>
      <c r="M10" s="136" t="str">
        <f>IFERROR(__xludf.DUMMYFUNCTION("""COMPUTED_VALUE"""),"BF")</f>
        <v>BF</v>
      </c>
      <c r="N10" s="141">
        <v>1.40858370706353</v>
      </c>
      <c r="O10" s="136" t="str">
        <f>IFERROR(__xludf.DUMMYFUNCTION("""COMPUTED_VALUE"""),"")</f>
        <v/>
      </c>
      <c r="P10" s="136" t="str">
        <f>IFERROR(__xludf.DUMMYFUNCTION("""COMPUTED_VALUE"""),"")</f>
        <v/>
      </c>
      <c r="Q10" s="106" t="str">
        <f>IFERROR(__xludf.DUMMYFUNCTION("""COMPUTED_VALUE"""),"")</f>
        <v/>
      </c>
      <c r="R10" s="106" t="str">
        <f>IFERROR(__xludf.DUMMYFUNCTION("""COMPUTED_VALUE"""),"")</f>
        <v/>
      </c>
      <c r="S10" s="139" t="str">
        <f>IFERROR(__xludf.DUMMYFUNCTION("""COMPUTED_VALUE"""),"")</f>
        <v/>
      </c>
      <c r="T10" s="139" t="str">
        <f>IFERROR(__xludf.DUMMYFUNCTION("""COMPUTED_VALUE"""),"")</f>
        <v/>
      </c>
      <c r="U10" s="136" t="str">
        <f>IFERROR(__xludf.DUMMYFUNCTION("""COMPUTED_VALUE"""),"")</f>
        <v/>
      </c>
      <c r="V10" s="106" t="str">
        <f>IFERROR(__xludf.DUMMYFUNCTION("""COMPUTED_VALUE"""),"")</f>
        <v/>
      </c>
      <c r="W10" s="143" t="str">
        <f t="shared" si="2"/>
        <v/>
      </c>
      <c r="X10" s="139" t="str">
        <f>IFERROR(__xludf.DUMMYFUNCTION("""COMPUTED_VALUE"""),"")</f>
        <v/>
      </c>
      <c r="Y10" s="141" t="str">
        <f>IFERROR(__xludf.DUMMYFUNCTION("""COMPUTED_VALUE"""),"")</f>
        <v/>
      </c>
    </row>
    <row r="11">
      <c r="A11" s="144">
        <f>IFERROR(__xludf.DUMMYFUNCTION("""COMPUTED_VALUE"""),46050.84860915509)</f>
        <v>46050.84861</v>
      </c>
      <c r="B11" s="136" t="str">
        <f>IFERROR(__xludf.DUMMYFUNCTION("""COMPUTED_VALUE"""),"Maureen Surgot")</f>
        <v>Maureen Surgot</v>
      </c>
      <c r="C11" s="136" t="b">
        <f t="shared" si="3"/>
        <v>0</v>
      </c>
      <c r="D11" s="137">
        <f>IFERROR(__xludf.DUMMYFUNCTION("""COMPUTED_VALUE"""),0.6875)</f>
        <v>0.6875</v>
      </c>
      <c r="E11" s="106">
        <f>IFERROR(__xludf.DUMMYFUNCTION("""COMPUTED_VALUE"""),0.16666666666424135)</f>
        <v>0.1666666667</v>
      </c>
      <c r="F11" s="137">
        <f>IFERROR(__xludf.DUMMYFUNCTION("""COMPUTED_VALUE"""),0.8541666666642413)</f>
        <v>0.8541666667</v>
      </c>
      <c r="G11" s="106">
        <v>0.16666666666424135</v>
      </c>
      <c r="H11" s="136">
        <f>IFERROR(__xludf.DUMMYFUNCTION("""COMPUTED_VALUE"""),258.0)</f>
        <v>258</v>
      </c>
      <c r="I11" s="139">
        <v>64.5000000009386</v>
      </c>
      <c r="J11" s="136" t="s">
        <v>18</v>
      </c>
      <c r="K11" s="146">
        <f>IFERROR(__xludf.DUMMYFUNCTION("""COMPUTED_VALUE"""),46050.0)</f>
        <v>46050</v>
      </c>
      <c r="L11" s="136" t="str">
        <f t="shared" si="1"/>
        <v>Wednesday</v>
      </c>
      <c r="M11" s="136" t="str">
        <f>IFERROR(__xludf.DUMMYFUNCTION("""COMPUTED_VALUE"""),"BF")</f>
        <v>BF</v>
      </c>
      <c r="N11" s="141">
        <v>1.4516624040920716</v>
      </c>
      <c r="O11" s="136" t="str">
        <f>IFERROR(__xludf.DUMMYFUNCTION("""COMPUTED_VALUE"""),"")</f>
        <v/>
      </c>
      <c r="P11" s="136" t="str">
        <f>IFERROR(__xludf.DUMMYFUNCTION("""COMPUTED_VALUE"""),"")</f>
        <v/>
      </c>
      <c r="Q11" s="106" t="str">
        <f>IFERROR(__xludf.DUMMYFUNCTION("""COMPUTED_VALUE"""),"")</f>
        <v/>
      </c>
      <c r="R11" s="106" t="str">
        <f>IFERROR(__xludf.DUMMYFUNCTION("""COMPUTED_VALUE"""),"")</f>
        <v/>
      </c>
      <c r="S11" s="139" t="str">
        <f>IFERROR(__xludf.DUMMYFUNCTION("""COMPUTED_VALUE"""),"")</f>
        <v/>
      </c>
      <c r="T11" s="139" t="str">
        <f>IFERROR(__xludf.DUMMYFUNCTION("""COMPUTED_VALUE"""),"")</f>
        <v/>
      </c>
      <c r="U11" s="136" t="str">
        <f>IFERROR(__xludf.DUMMYFUNCTION("""COMPUTED_VALUE"""),"")</f>
        <v/>
      </c>
      <c r="V11" s="106" t="str">
        <f>IFERROR(__xludf.DUMMYFUNCTION("""COMPUTED_VALUE"""),"")</f>
        <v/>
      </c>
      <c r="W11" s="143" t="str">
        <f t="shared" si="2"/>
        <v/>
      </c>
      <c r="X11" s="139" t="str">
        <f>IFERROR(__xludf.DUMMYFUNCTION("""COMPUTED_VALUE"""),"")</f>
        <v/>
      </c>
      <c r="Y11" s="141" t="str">
        <f>IFERROR(__xludf.DUMMYFUNCTION("""COMPUTED_VALUE"""),"")</f>
        <v/>
      </c>
    </row>
    <row r="12">
      <c r="A12" s="144">
        <f>IFERROR(__xludf.DUMMYFUNCTION("""COMPUTED_VALUE"""),46050.87090170139)</f>
        <v>46050.8709</v>
      </c>
      <c r="B12" s="136" t="str">
        <f>IFERROR(__xludf.DUMMYFUNCTION("""COMPUTED_VALUE"""),"Brynn Hornig")</f>
        <v>Brynn Hornig</v>
      </c>
      <c r="C12" s="136" t="b">
        <f t="shared" si="3"/>
        <v>0</v>
      </c>
      <c r="D12" s="137">
        <f>IFERROR(__xludf.DUMMYFUNCTION("""COMPUTED_VALUE"""),0.75)</f>
        <v>0.75</v>
      </c>
      <c r="E12" s="106">
        <f>IFERROR(__xludf.DUMMYFUNCTION("""COMPUTED_VALUE"""),0.125)</f>
        <v>0.125</v>
      </c>
      <c r="F12" s="137">
        <f>IFERROR(__xludf.DUMMYFUNCTION("""COMPUTED_VALUE"""),0.875)</f>
        <v>0.875</v>
      </c>
      <c r="G12" s="106">
        <v>0.125</v>
      </c>
      <c r="H12" s="136">
        <f>IFERROR(__xludf.DUMMYFUNCTION("""COMPUTED_VALUE"""),130.0)</f>
        <v>130</v>
      </c>
      <c r="I12" s="139">
        <v>43.333333333333336</v>
      </c>
      <c r="J12" s="136" t="s">
        <v>18</v>
      </c>
      <c r="K12" s="146">
        <f>IFERROR(__xludf.DUMMYFUNCTION("""COMPUTED_VALUE"""),46050.0)</f>
        <v>46050</v>
      </c>
      <c r="L12" s="136" t="str">
        <f t="shared" si="1"/>
        <v>Wednesday</v>
      </c>
      <c r="M12" s="136" t="str">
        <f>IFERROR(__xludf.DUMMYFUNCTION("""COMPUTED_VALUE"""),"MF")</f>
        <v>MF</v>
      </c>
      <c r="N12" s="141">
        <v>0.9063758411080441</v>
      </c>
      <c r="O12" s="136">
        <f>IFERROR(__xludf.DUMMYFUNCTION("""COMPUTED_VALUE"""),130.0)</f>
        <v>130</v>
      </c>
      <c r="P12" s="136">
        <f>IFERROR(__xludf.DUMMYFUNCTION("""COMPUTED_VALUE"""),445.0)</f>
        <v>445</v>
      </c>
      <c r="Q12" s="106">
        <f>IFERROR(__xludf.DUMMYFUNCTION("""COMPUTED_VALUE"""),0.125)</f>
        <v>0.125</v>
      </c>
      <c r="R12" s="106">
        <f>IFERROR(__xludf.DUMMYFUNCTION("""COMPUTED_VALUE"""),0.34930555555183673)</f>
        <v>0.3493055556</v>
      </c>
      <c r="S12" s="139">
        <f>IFERROR(__xludf.DUMMYFUNCTION("""COMPUTED_VALUE"""),43.333333333333336)</f>
        <v>43.33333333</v>
      </c>
      <c r="T12" s="139">
        <f>IFERROR(__xludf.DUMMYFUNCTION("""COMPUTED_VALUE"""),50.272455090389904)</f>
        <v>50.27245509</v>
      </c>
      <c r="U12" s="136">
        <f>IFERROR(__xludf.DUMMYFUNCTION("""COMPUTED_VALUE"""),575.0)</f>
        <v>575</v>
      </c>
      <c r="V12" s="106">
        <f>IFERROR(__xludf.DUMMYFUNCTION("""COMPUTED_VALUE"""),0.47430555555183673)</f>
        <v>0.4743055556</v>
      </c>
      <c r="W12" s="143">
        <f t="shared" si="2"/>
        <v>50.5124451</v>
      </c>
      <c r="X12" s="139">
        <f>IFERROR(__xludf.DUMMYFUNCTION("""COMPUTED_VALUE"""),48.53767465112576)</f>
        <v>48.53767465</v>
      </c>
      <c r="Y12" s="141">
        <f>IFERROR(__xludf.DUMMYFUNCTION("""COMPUTED_VALUE"""),0.9878734855096749)</f>
        <v>0.9878734855</v>
      </c>
    </row>
    <row r="13">
      <c r="A13" s="144">
        <f>IFERROR(__xludf.DUMMYFUNCTION("""COMPUTED_VALUE"""),46051.53061296296)</f>
        <v>46051.53061</v>
      </c>
      <c r="B13" s="136" t="str">
        <f>IFERROR(__xludf.DUMMYFUNCTION("""COMPUTED_VALUE"""),"Emmett Khan")</f>
        <v>Emmett Khan</v>
      </c>
      <c r="C13" s="136" t="b">
        <f t="shared" si="3"/>
        <v>0</v>
      </c>
      <c r="D13" s="137">
        <f>IFERROR(__xludf.DUMMYFUNCTION("""COMPUTED_VALUE"""),0.47916666666424135)</f>
        <v>0.4791666667</v>
      </c>
      <c r="E13" s="106">
        <f>IFERROR(__xludf.DUMMYFUNCTION("""COMPUTED_VALUE"""),0.04930555555620231)</f>
        <v>0.04930555556</v>
      </c>
      <c r="F13" s="137">
        <f>IFERROR(__xludf.DUMMYFUNCTION("""COMPUTED_VALUE"""),0.5284722222204437)</f>
        <v>0.5284722222</v>
      </c>
      <c r="G13" s="106">
        <v>0.04930555555620231</v>
      </c>
      <c r="H13" s="136">
        <f>IFERROR(__xludf.DUMMYFUNCTION("""COMPUTED_VALUE"""),33.0)</f>
        <v>33</v>
      </c>
      <c r="I13" s="139">
        <v>27.887323943296167</v>
      </c>
      <c r="J13" s="136" t="s">
        <v>15</v>
      </c>
      <c r="K13" s="146">
        <f>IFERROR(__xludf.DUMMYFUNCTION("""COMPUTED_VALUE"""),46051.0)</f>
        <v>46051</v>
      </c>
      <c r="L13" s="136" t="str">
        <f t="shared" si="1"/>
        <v>Thursday</v>
      </c>
      <c r="M13" s="136" t="str">
        <f>IFERROR(__xludf.DUMMYFUNCTION("""COMPUTED_VALUE"""),"BF")</f>
        <v>BF</v>
      </c>
      <c r="N13" s="141">
        <v>0.9836573264673951</v>
      </c>
      <c r="O13" s="136" t="str">
        <f>IFERROR(__xludf.DUMMYFUNCTION("""COMPUTED_VALUE"""),"")</f>
        <v/>
      </c>
      <c r="P13" s="136" t="str">
        <f>IFERROR(__xludf.DUMMYFUNCTION("""COMPUTED_VALUE"""),"")</f>
        <v/>
      </c>
      <c r="Q13" s="106" t="str">
        <f>IFERROR(__xludf.DUMMYFUNCTION("""COMPUTED_VALUE"""),"")</f>
        <v/>
      </c>
      <c r="R13" s="106" t="str">
        <f>IFERROR(__xludf.DUMMYFUNCTION("""COMPUTED_VALUE"""),"")</f>
        <v/>
      </c>
      <c r="S13" s="139" t="str">
        <f>IFERROR(__xludf.DUMMYFUNCTION("""COMPUTED_VALUE"""),"")</f>
        <v/>
      </c>
      <c r="T13" s="139" t="str">
        <f>IFERROR(__xludf.DUMMYFUNCTION("""COMPUTED_VALUE"""),"")</f>
        <v/>
      </c>
      <c r="U13" s="136" t="str">
        <f>IFERROR(__xludf.DUMMYFUNCTION("""COMPUTED_VALUE"""),"")</f>
        <v/>
      </c>
      <c r="V13" s="106" t="str">
        <f>IFERROR(__xludf.DUMMYFUNCTION("""COMPUTED_VALUE"""),"")</f>
        <v/>
      </c>
      <c r="W13" s="143" t="str">
        <f t="shared" si="2"/>
        <v/>
      </c>
      <c r="X13" s="139" t="str">
        <f>IFERROR(__xludf.DUMMYFUNCTION("""COMPUTED_VALUE"""),"")</f>
        <v/>
      </c>
      <c r="Y13" s="141" t="str">
        <f>IFERROR(__xludf.DUMMYFUNCTION("""COMPUTED_VALUE"""),"")</f>
        <v/>
      </c>
    </row>
    <row r="14">
      <c r="A14" s="144">
        <f>IFERROR(__xludf.DUMMYFUNCTION("""COMPUTED_VALUE"""),46051.54014075232)</f>
        <v>46051.54014</v>
      </c>
      <c r="B14" s="136" t="str">
        <f>IFERROR(__xludf.DUMMYFUNCTION("""COMPUTED_VALUE"""),"Kyra Turner")</f>
        <v>Kyra Turner</v>
      </c>
      <c r="C14" s="136" t="b">
        <f t="shared" si="3"/>
        <v>0</v>
      </c>
      <c r="D14" s="137">
        <f>IFERROR(__xludf.DUMMYFUNCTION("""COMPUTED_VALUE"""),0.5)</f>
        <v>0.5</v>
      </c>
      <c r="E14" s="106">
        <f>IFERROR(__xludf.DUMMYFUNCTION("""COMPUTED_VALUE"""),0.03749999999854481)</f>
        <v>0.0375</v>
      </c>
      <c r="F14" s="137">
        <f>IFERROR(__xludf.DUMMYFUNCTION("""COMPUTED_VALUE"""),0.5374999999985448)</f>
        <v>0.5375</v>
      </c>
      <c r="G14" s="106">
        <v>0.1416666666700621</v>
      </c>
      <c r="H14" s="136">
        <f>IFERROR(__xludf.DUMMYFUNCTION("""COMPUTED_VALUE"""),28.0)</f>
        <v>28</v>
      </c>
      <c r="I14" s="139">
        <v>31.76470588159161</v>
      </c>
      <c r="J14" s="136" t="s">
        <v>15</v>
      </c>
      <c r="K14" s="146">
        <f>IFERROR(__xludf.DUMMYFUNCTION("""COMPUTED_VALUE"""),46051.0)</f>
        <v>46051</v>
      </c>
      <c r="L14" s="136" t="str">
        <f t="shared" si="1"/>
        <v>Thursday</v>
      </c>
      <c r="M14" s="136" t="str">
        <f>IFERROR(__xludf.DUMMYFUNCTION("""COMPUTED_VALUE"""),"BF")</f>
        <v>BF</v>
      </c>
      <c r="N14" s="75">
        <v>1.1204225162314532</v>
      </c>
      <c r="O14" s="136" t="str">
        <f>IFERROR(__xludf.DUMMYFUNCTION("""COMPUTED_VALUE"""),"")</f>
        <v/>
      </c>
      <c r="P14" s="136" t="str">
        <f>IFERROR(__xludf.DUMMYFUNCTION("""COMPUTED_VALUE"""),"")</f>
        <v/>
      </c>
      <c r="Q14" s="106" t="str">
        <f>IFERROR(__xludf.DUMMYFUNCTION("""COMPUTED_VALUE"""),"")</f>
        <v/>
      </c>
      <c r="R14" s="106" t="str">
        <f>IFERROR(__xludf.DUMMYFUNCTION("""COMPUTED_VALUE"""),"")</f>
        <v/>
      </c>
      <c r="S14" s="139" t="str">
        <f>IFERROR(__xludf.DUMMYFUNCTION("""COMPUTED_VALUE"""),"")</f>
        <v/>
      </c>
      <c r="T14" s="139" t="str">
        <f>IFERROR(__xludf.DUMMYFUNCTION("""COMPUTED_VALUE"""),"")</f>
        <v/>
      </c>
      <c r="U14" s="136" t="str">
        <f>IFERROR(__xludf.DUMMYFUNCTION("""COMPUTED_VALUE"""),"")</f>
        <v/>
      </c>
      <c r="V14" s="106" t="str">
        <f>IFERROR(__xludf.DUMMYFUNCTION("""COMPUTED_VALUE"""),"")</f>
        <v/>
      </c>
      <c r="W14" s="143" t="str">
        <f t="shared" si="2"/>
        <v/>
      </c>
      <c r="X14" s="139" t="str">
        <f>IFERROR(__xludf.DUMMYFUNCTION("""COMPUTED_VALUE"""),"")</f>
        <v/>
      </c>
      <c r="Y14" s="141" t="str">
        <f>IFERROR(__xludf.DUMMYFUNCTION("""COMPUTED_VALUE"""),"")</f>
        <v/>
      </c>
    </row>
    <row r="15">
      <c r="A15" s="144">
        <f>IFERROR(__xludf.DUMMYFUNCTION("""COMPUTED_VALUE"""),46051.644792499996)</f>
        <v>46051.64479</v>
      </c>
      <c r="B15" s="136" t="str">
        <f>IFERROR(__xludf.DUMMYFUNCTION("""COMPUTED_VALUE"""),"Kyra Turner")</f>
        <v>Kyra Turner</v>
      </c>
      <c r="C15" s="136" t="b">
        <f t="shared" si="3"/>
        <v>1</v>
      </c>
      <c r="D15" s="137">
        <f>IFERROR(__xludf.DUMMYFUNCTION("""COMPUTED_VALUE"""),0.5395833333313931)</f>
        <v>0.5395833333</v>
      </c>
      <c r="E15" s="106">
        <f>IFERROR(__xludf.DUMMYFUNCTION("""COMPUTED_VALUE"""),0.1041666666715173)</f>
        <v>0.1041666667</v>
      </c>
      <c r="F15" s="137">
        <f>IFERROR(__xludf.DUMMYFUNCTION("""COMPUTED_VALUE"""),0.6437500000029104)</f>
        <v>0.64375</v>
      </c>
      <c r="G15" s="106" t="s">
        <v>133</v>
      </c>
      <c r="H15" s="136">
        <f>IFERROR(__xludf.DUMMYFUNCTION("""COMPUTED_VALUE"""),80.0)</f>
        <v>80</v>
      </c>
      <c r="I15" s="139" t="s">
        <v>133</v>
      </c>
      <c r="J15" s="136" t="s">
        <v>15</v>
      </c>
      <c r="K15" s="146">
        <f>IFERROR(__xludf.DUMMYFUNCTION("""COMPUTED_VALUE"""),46051.0)</f>
        <v>46051</v>
      </c>
      <c r="L15" s="136" t="str">
        <f t="shared" si="1"/>
        <v>Thursday</v>
      </c>
      <c r="M15" s="136" t="str">
        <f>IFERROR(__xludf.DUMMYFUNCTION("""COMPUTED_VALUE"""),"BF")</f>
        <v>BF</v>
      </c>
      <c r="N15" s="75" t="s">
        <v>133</v>
      </c>
      <c r="O15" s="136" t="str">
        <f>IFERROR(__xludf.DUMMYFUNCTION("""COMPUTED_VALUE"""),"")</f>
        <v/>
      </c>
      <c r="P15" s="136" t="str">
        <f>IFERROR(__xludf.DUMMYFUNCTION("""COMPUTED_VALUE"""),"")</f>
        <v/>
      </c>
      <c r="Q15" s="106" t="str">
        <f>IFERROR(__xludf.DUMMYFUNCTION("""COMPUTED_VALUE"""),"")</f>
        <v/>
      </c>
      <c r="R15" s="106" t="str">
        <f>IFERROR(__xludf.DUMMYFUNCTION("""COMPUTED_VALUE"""),"")</f>
        <v/>
      </c>
      <c r="S15" s="139" t="str">
        <f>IFERROR(__xludf.DUMMYFUNCTION("""COMPUTED_VALUE"""),"")</f>
        <v/>
      </c>
      <c r="T15" s="139" t="str">
        <f>IFERROR(__xludf.DUMMYFUNCTION("""COMPUTED_VALUE"""),"")</f>
        <v/>
      </c>
      <c r="U15" s="136" t="str">
        <f>IFERROR(__xludf.DUMMYFUNCTION("""COMPUTED_VALUE"""),"")</f>
        <v/>
      </c>
      <c r="V15" s="106" t="str">
        <f>IFERROR(__xludf.DUMMYFUNCTION("""COMPUTED_VALUE"""),"")</f>
        <v/>
      </c>
      <c r="W15" s="143" t="str">
        <f t="shared" si="2"/>
        <v/>
      </c>
      <c r="X15" s="139" t="str">
        <f>IFERROR(__xludf.DUMMYFUNCTION("""COMPUTED_VALUE"""),"")</f>
        <v/>
      </c>
      <c r="Y15" s="141" t="str">
        <f>IFERROR(__xludf.DUMMYFUNCTION("""COMPUTED_VALUE"""),"")</f>
        <v/>
      </c>
    </row>
    <row r="16">
      <c r="A16" s="144">
        <f>IFERROR(__xludf.DUMMYFUNCTION("""COMPUTED_VALUE"""),46051.779202060185)</f>
        <v>46051.7792</v>
      </c>
      <c r="B16" s="136" t="str">
        <f>IFERROR(__xludf.DUMMYFUNCTION("""COMPUTED_VALUE"""),"Emmett Khan")</f>
        <v>Emmett Khan</v>
      </c>
      <c r="C16" s="136" t="b">
        <f t="shared" si="3"/>
        <v>0</v>
      </c>
      <c r="D16" s="137">
        <f>IFERROR(__xludf.DUMMYFUNCTION("""COMPUTED_VALUE"""),0.7083333333357587)</f>
        <v>0.7083333333</v>
      </c>
      <c r="E16" s="106">
        <f>IFERROR(__xludf.DUMMYFUNCTION("""COMPUTED_VALUE"""),0.07291666666424135)</f>
        <v>0.07291666666</v>
      </c>
      <c r="F16" s="137">
        <f>IFERROR(__xludf.DUMMYFUNCTION("""COMPUTED_VALUE"""),0.78125)</f>
        <v>0.78125</v>
      </c>
      <c r="G16" s="106">
        <v>0.07291666666424135</v>
      </c>
      <c r="H16" s="136">
        <f>IFERROR(__xludf.DUMMYFUNCTION("""COMPUTED_VALUE"""),93.0)</f>
        <v>93</v>
      </c>
      <c r="I16" s="139">
        <v>53.142857144624756</v>
      </c>
      <c r="J16" s="136" t="s">
        <v>18</v>
      </c>
      <c r="K16" s="146">
        <f>IFERROR(__xludf.DUMMYFUNCTION("""COMPUTED_VALUE"""),46051.0)</f>
        <v>46051</v>
      </c>
      <c r="L16" s="136" t="str">
        <f t="shared" si="1"/>
        <v>Thursday</v>
      </c>
      <c r="M16" s="136" t="str">
        <f>IFERROR(__xludf.DUMMYFUNCTION("""COMPUTED_VALUE"""),"MF")</f>
        <v>MF</v>
      </c>
      <c r="N16" s="75">
        <v>1.11155542715409</v>
      </c>
      <c r="O16" s="136">
        <f>IFERROR(__xludf.DUMMYFUNCTION("""COMPUTED_VALUE"""),93.0)</f>
        <v>93</v>
      </c>
      <c r="P16" s="136">
        <f>IFERROR(__xludf.DUMMYFUNCTION("""COMPUTED_VALUE"""),141.0)</f>
        <v>141</v>
      </c>
      <c r="Q16" s="106">
        <f>IFERROR(__xludf.DUMMYFUNCTION("""COMPUTED_VALUE"""),0.07291666666424135)</f>
        <v>0.07291666666</v>
      </c>
      <c r="R16" s="106">
        <f>IFERROR(__xludf.DUMMYFUNCTION("""COMPUTED_VALUE"""),0.19097222222626442)</f>
        <v>0.1909722222</v>
      </c>
      <c r="S16" s="139">
        <f>IFERROR(__xludf.DUMMYFUNCTION("""COMPUTED_VALUE"""),53.142857144624756)</f>
        <v>53.14285714</v>
      </c>
      <c r="T16" s="139">
        <f>IFERROR(__xludf.DUMMYFUNCTION("""COMPUTED_VALUE"""),29.82601491244389)</f>
        <v>29.82601491</v>
      </c>
      <c r="U16" s="136">
        <f>IFERROR(__xludf.DUMMYFUNCTION("""COMPUTED_VALUE"""),234.0)</f>
        <v>234</v>
      </c>
      <c r="V16" s="106">
        <f>IFERROR(__xludf.DUMMYFUNCTION("""COMPUTED_VALUE"""),0.26388888889050577)</f>
        <v>0.2638888889</v>
      </c>
      <c r="W16" s="143">
        <f t="shared" si="2"/>
        <v>36.94736842</v>
      </c>
      <c r="X16" s="139">
        <f>IFERROR(__xludf.DUMMYFUNCTION("""COMPUTED_VALUE"""),37.59829565650418)</f>
        <v>37.59829566</v>
      </c>
      <c r="Y16" s="141">
        <f>IFERROR(__xludf.DUMMYFUNCTION("""COMPUTED_VALUE"""),0.530972742275288)</f>
        <v>0.5309727423</v>
      </c>
    </row>
    <row r="17">
      <c r="A17" s="144">
        <f>IFERROR(__xludf.DUMMYFUNCTION("""COMPUTED_VALUE"""),46052.58172553241)</f>
        <v>46052.58173</v>
      </c>
      <c r="B17" s="136" t="str">
        <f>IFERROR(__xludf.DUMMYFUNCTION("""COMPUTED_VALUE"""),"Brynn Hornig")</f>
        <v>Brynn Hornig</v>
      </c>
      <c r="C17" s="136" t="b">
        <f t="shared" si="3"/>
        <v>0</v>
      </c>
      <c r="D17" s="137">
        <f>IFERROR(__xludf.DUMMYFUNCTION("""COMPUTED_VALUE"""),0.5208333333357587)</f>
        <v>0.5208333333</v>
      </c>
      <c r="E17" s="106">
        <f>IFERROR(__xludf.DUMMYFUNCTION("""COMPUTED_VALUE"""),0.0625)</f>
        <v>0.0625</v>
      </c>
      <c r="F17" s="137">
        <f>IFERROR(__xludf.DUMMYFUNCTION("""COMPUTED_VALUE"""),0.5833333333357587)</f>
        <v>0.5833333333</v>
      </c>
      <c r="G17" s="106">
        <v>0.0625</v>
      </c>
      <c r="H17" s="136">
        <f>IFERROR(__xludf.DUMMYFUNCTION("""COMPUTED_VALUE"""),76.0)</f>
        <v>76</v>
      </c>
      <c r="I17" s="139">
        <v>50.666666666666664</v>
      </c>
      <c r="J17" s="136" t="s">
        <v>15</v>
      </c>
      <c r="K17" s="146">
        <f>IFERROR(__xludf.DUMMYFUNCTION("""COMPUTED_VALUE"""),46052.0)</f>
        <v>46052</v>
      </c>
      <c r="L17" s="136" t="str">
        <f t="shared" si="1"/>
        <v>Friday</v>
      </c>
      <c r="M17" s="136" t="str">
        <f>IFERROR(__xludf.DUMMYFUNCTION("""COMPUTED_VALUE"""),"BF")</f>
        <v>BF</v>
      </c>
      <c r="N17" s="75">
        <v>1.7871430753157198</v>
      </c>
      <c r="O17" s="136" t="str">
        <f>IFERROR(__xludf.DUMMYFUNCTION("""COMPUTED_VALUE"""),"")</f>
        <v/>
      </c>
      <c r="P17" s="136" t="str">
        <f>IFERROR(__xludf.DUMMYFUNCTION("""COMPUTED_VALUE"""),"")</f>
        <v/>
      </c>
      <c r="Q17" s="106" t="str">
        <f>IFERROR(__xludf.DUMMYFUNCTION("""COMPUTED_VALUE"""),"")</f>
        <v/>
      </c>
      <c r="R17" s="106" t="str">
        <f>IFERROR(__xludf.DUMMYFUNCTION("""COMPUTED_VALUE"""),"")</f>
        <v/>
      </c>
      <c r="S17" s="139" t="str">
        <f>IFERROR(__xludf.DUMMYFUNCTION("""COMPUTED_VALUE"""),"")</f>
        <v/>
      </c>
      <c r="T17" s="139" t="str">
        <f>IFERROR(__xludf.DUMMYFUNCTION("""COMPUTED_VALUE"""),"")</f>
        <v/>
      </c>
      <c r="U17" s="136" t="str">
        <f>IFERROR(__xludf.DUMMYFUNCTION("""COMPUTED_VALUE"""),"")</f>
        <v/>
      </c>
      <c r="V17" s="106" t="str">
        <f>IFERROR(__xludf.DUMMYFUNCTION("""COMPUTED_VALUE"""),"")</f>
        <v/>
      </c>
      <c r="W17" s="143" t="str">
        <f t="shared" si="2"/>
        <v/>
      </c>
      <c r="X17" s="139" t="str">
        <f>IFERROR(__xludf.DUMMYFUNCTION("""COMPUTED_VALUE"""),"")</f>
        <v/>
      </c>
      <c r="Y17" s="141" t="str">
        <f>IFERROR(__xludf.DUMMYFUNCTION("""COMPUTED_VALUE"""),"")</f>
        <v/>
      </c>
    </row>
    <row r="18">
      <c r="A18" s="144">
        <f>IFERROR(__xludf.DUMMYFUNCTION("""COMPUTED_VALUE"""),46052.6284697338)</f>
        <v>46052.62847</v>
      </c>
      <c r="B18" s="136" t="str">
        <f>IFERROR(__xludf.DUMMYFUNCTION("""COMPUTED_VALUE"""),"Oluwatimilehin Shodipe")</f>
        <v>Oluwatimilehin Shodipe</v>
      </c>
      <c r="C18" s="136" t="b">
        <f t="shared" si="3"/>
        <v>0</v>
      </c>
      <c r="D18" s="137">
        <f>IFERROR(__xludf.DUMMYFUNCTION("""COMPUTED_VALUE"""),0.48263888889050577)</f>
        <v>0.4826388889</v>
      </c>
      <c r="E18" s="106">
        <f>IFERROR(__xludf.DUMMYFUNCTION("""COMPUTED_VALUE"""),0.14236111110949423)</f>
        <v>0.1423611111</v>
      </c>
      <c r="F18" s="137">
        <f>IFERROR(__xludf.DUMMYFUNCTION("""COMPUTED_VALUE"""),0.625)</f>
        <v>0.625</v>
      </c>
      <c r="G18" s="106">
        <v>0.14236111110949423</v>
      </c>
      <c r="H18" s="136">
        <f>IFERROR(__xludf.DUMMYFUNCTION("""COMPUTED_VALUE"""),144.0)</f>
        <v>144</v>
      </c>
      <c r="I18" s="139">
        <v>42.146341463893314</v>
      </c>
      <c r="J18" s="136" t="s">
        <v>15</v>
      </c>
      <c r="K18" s="146">
        <f>IFERROR(__xludf.DUMMYFUNCTION("""COMPUTED_VALUE"""),46052.0)</f>
        <v>46052</v>
      </c>
      <c r="L18" s="136" t="str">
        <f t="shared" si="1"/>
        <v>Friday</v>
      </c>
      <c r="M18" s="136" t="str">
        <f>IFERROR(__xludf.DUMMYFUNCTION("""COMPUTED_VALUE"""),"MF")</f>
        <v>MF</v>
      </c>
      <c r="N18" s="75">
        <v>0.8382745004876582</v>
      </c>
      <c r="O18" s="136" t="str">
        <f>IFERROR(__xludf.DUMMYFUNCTION("""COMPUTED_VALUE"""),"")</f>
        <v/>
      </c>
      <c r="P18" s="136" t="str">
        <f>IFERROR(__xludf.DUMMYFUNCTION("""COMPUTED_VALUE"""),"")</f>
        <v/>
      </c>
      <c r="Q18" s="106" t="str">
        <f>IFERROR(__xludf.DUMMYFUNCTION("""COMPUTED_VALUE"""),"")</f>
        <v/>
      </c>
      <c r="R18" s="106" t="str">
        <f>IFERROR(__xludf.DUMMYFUNCTION("""COMPUTED_VALUE"""),"")</f>
        <v/>
      </c>
      <c r="S18" s="139" t="str">
        <f>IFERROR(__xludf.DUMMYFUNCTION("""COMPUTED_VALUE"""),"")</f>
        <v/>
      </c>
      <c r="T18" s="139" t="str">
        <f>IFERROR(__xludf.DUMMYFUNCTION("""COMPUTED_VALUE"""),"")</f>
        <v/>
      </c>
      <c r="U18" s="136" t="str">
        <f>IFERROR(__xludf.DUMMYFUNCTION("""COMPUTED_VALUE"""),"")</f>
        <v/>
      </c>
      <c r="V18" s="106" t="str">
        <f>IFERROR(__xludf.DUMMYFUNCTION("""COMPUTED_VALUE"""),"")</f>
        <v/>
      </c>
      <c r="W18" s="143" t="str">
        <f t="shared" si="2"/>
        <v/>
      </c>
      <c r="X18" s="139" t="str">
        <f>IFERROR(__xludf.DUMMYFUNCTION("""COMPUTED_VALUE"""),"")</f>
        <v/>
      </c>
      <c r="Y18" s="141" t="str">
        <f>IFERROR(__xludf.DUMMYFUNCTION("""COMPUTED_VALUE"""),"")</f>
        <v/>
      </c>
    </row>
    <row r="19">
      <c r="A19" s="144">
        <f>IFERROR(__xludf.DUMMYFUNCTION("""COMPUTED_VALUE"""),46052.80948892361)</f>
        <v>46052.80949</v>
      </c>
      <c r="B19" s="136" t="str">
        <f>IFERROR(__xludf.DUMMYFUNCTION("""COMPUTED_VALUE"""),"Orpheus Wilson")</f>
        <v>Orpheus Wilson</v>
      </c>
      <c r="C19" s="136" t="b">
        <f t="shared" si="3"/>
        <v>0</v>
      </c>
      <c r="D19" s="137">
        <f>IFERROR(__xludf.DUMMYFUNCTION("""COMPUTED_VALUE"""),0.7472222222204437)</f>
        <v>0.7472222222</v>
      </c>
      <c r="E19" s="106">
        <f>IFERROR(__xludf.DUMMYFUNCTION("""COMPUTED_VALUE"""),0.061111111113859806)</f>
        <v>0.06111111111</v>
      </c>
      <c r="F19" s="137">
        <f>IFERROR(__xludf.DUMMYFUNCTION("""COMPUTED_VALUE"""),0.8083333333343035)</f>
        <v>0.8083333333</v>
      </c>
      <c r="G19" s="106">
        <v>0.0743055555576575</v>
      </c>
      <c r="H19" s="136">
        <f>IFERROR(__xludf.DUMMYFUNCTION("""COMPUTED_VALUE"""),158.0)</f>
        <v>158</v>
      </c>
      <c r="I19" s="139">
        <v>107.10280373528805</v>
      </c>
      <c r="J19" s="136" t="s">
        <v>18</v>
      </c>
      <c r="K19" s="146">
        <f>IFERROR(__xludf.DUMMYFUNCTION("""COMPUTED_VALUE"""),46052.0)</f>
        <v>46052</v>
      </c>
      <c r="L19" s="136" t="str">
        <f t="shared" si="1"/>
        <v>Friday</v>
      </c>
      <c r="M19" s="136" t="str">
        <f>IFERROR(__xludf.DUMMYFUNCTION("""COMPUTED_VALUE"""),"MF")</f>
        <v>MF</v>
      </c>
      <c r="N19" s="75">
        <v>2.240201395860034</v>
      </c>
      <c r="O19" s="136" t="str">
        <f>IFERROR(__xludf.DUMMYFUNCTION("""COMPUTED_VALUE"""),"")</f>
        <v/>
      </c>
      <c r="P19" s="136" t="str">
        <f>IFERROR(__xludf.DUMMYFUNCTION("""COMPUTED_VALUE"""),"")</f>
        <v/>
      </c>
      <c r="Q19" s="106" t="str">
        <f>IFERROR(__xludf.DUMMYFUNCTION("""COMPUTED_VALUE"""),"")</f>
        <v/>
      </c>
      <c r="R19" s="106" t="str">
        <f>IFERROR(__xludf.DUMMYFUNCTION("""COMPUTED_VALUE"""),"")</f>
        <v/>
      </c>
      <c r="S19" s="139" t="str">
        <f>IFERROR(__xludf.DUMMYFUNCTION("""COMPUTED_VALUE"""),"")</f>
        <v/>
      </c>
      <c r="T19" s="139" t="str">
        <f>IFERROR(__xludf.DUMMYFUNCTION("""COMPUTED_VALUE"""),"")</f>
        <v/>
      </c>
      <c r="U19" s="136" t="str">
        <f>IFERROR(__xludf.DUMMYFUNCTION("""COMPUTED_VALUE"""),"")</f>
        <v/>
      </c>
      <c r="V19" s="106" t="str">
        <f>IFERROR(__xludf.DUMMYFUNCTION("""COMPUTED_VALUE"""),"")</f>
        <v/>
      </c>
      <c r="W19" s="143" t="str">
        <f t="shared" si="2"/>
        <v/>
      </c>
      <c r="X19" s="139" t="str">
        <f>IFERROR(__xludf.DUMMYFUNCTION("""COMPUTED_VALUE"""),"")</f>
        <v/>
      </c>
      <c r="Y19" s="141" t="str">
        <f>IFERROR(__xludf.DUMMYFUNCTION("""COMPUTED_VALUE"""),"")</f>
        <v/>
      </c>
    </row>
    <row r="20">
      <c r="A20" s="144">
        <f>IFERROR(__xludf.DUMMYFUNCTION("""COMPUTED_VALUE"""),46052.83015725695)</f>
        <v>46052.83016</v>
      </c>
      <c r="B20" s="136" t="str">
        <f>IFERROR(__xludf.DUMMYFUNCTION("""COMPUTED_VALUE"""),"Orpheus Wilson")</f>
        <v>Orpheus Wilson</v>
      </c>
      <c r="C20" s="136" t="b">
        <f t="shared" si="3"/>
        <v>1</v>
      </c>
      <c r="D20" s="137">
        <f>IFERROR(__xludf.DUMMYFUNCTION("""COMPUTED_VALUE"""),0.8145833333328483)</f>
        <v>0.8145833333</v>
      </c>
      <c r="E20" s="106">
        <f>IFERROR(__xludf.DUMMYFUNCTION("""COMPUTED_VALUE"""),0.013194444443797693)</f>
        <v>0.01319444444</v>
      </c>
      <c r="F20" s="137">
        <f>IFERROR(__xludf.DUMMYFUNCTION("""COMPUTED_VALUE"""),0.827777777776646)</f>
        <v>0.8277777778</v>
      </c>
      <c r="G20" s="106" t="s">
        <v>133</v>
      </c>
      <c r="H20" s="136">
        <f>IFERROR(__xludf.DUMMYFUNCTION("""COMPUTED_VALUE"""),33.0)</f>
        <v>33</v>
      </c>
      <c r="I20" s="139" t="s">
        <v>133</v>
      </c>
      <c r="J20" s="136" t="s">
        <v>18</v>
      </c>
      <c r="K20" s="146">
        <f>IFERROR(__xludf.DUMMYFUNCTION("""COMPUTED_VALUE"""),46052.0)</f>
        <v>46052</v>
      </c>
      <c r="L20" s="136" t="str">
        <f t="shared" si="1"/>
        <v>Friday</v>
      </c>
      <c r="M20" s="136" t="str">
        <f>IFERROR(__xludf.DUMMYFUNCTION("""COMPUTED_VALUE"""),"MF")</f>
        <v>MF</v>
      </c>
      <c r="N20" s="75" t="s">
        <v>133</v>
      </c>
      <c r="O20" s="136">
        <f>IFERROR(__xludf.DUMMYFUNCTION("""COMPUTED_VALUE"""),335.0)</f>
        <v>335</v>
      </c>
      <c r="P20" s="136">
        <f>IFERROR(__xludf.DUMMYFUNCTION("""COMPUTED_VALUE"""),76.0)</f>
        <v>76</v>
      </c>
      <c r="Q20" s="106">
        <f>IFERROR(__xludf.DUMMYFUNCTION("""COMPUTED_VALUE"""),0.21666666666715173)</f>
        <v>0.2166666667</v>
      </c>
      <c r="R20" s="106">
        <f>IFERROR(__xludf.DUMMYFUNCTION("""COMPUTED_VALUE"""),0.0625)</f>
        <v>0.0625</v>
      </c>
      <c r="S20" s="139">
        <f>IFERROR(__xludf.DUMMYFUNCTION("""COMPUTED_VALUE"""),74.62457259959068)</f>
        <v>74.6245726</v>
      </c>
      <c r="T20" s="139">
        <f>IFERROR(__xludf.DUMMYFUNCTION("""COMPUTED_VALUE"""),50.666666666666664)</f>
        <v>50.66666667</v>
      </c>
      <c r="U20" s="136">
        <f>IFERROR(__xludf.DUMMYFUNCTION("""COMPUTED_VALUE"""),411.0)</f>
        <v>411</v>
      </c>
      <c r="V20" s="106">
        <f>IFERROR(__xludf.DUMMYFUNCTION("""COMPUTED_VALUE"""),0.27916666666715173)</f>
        <v>0.2791666667</v>
      </c>
      <c r="W20" s="143">
        <f t="shared" si="2"/>
        <v>61.34328358</v>
      </c>
      <c r="X20" s="139">
        <f>IFERROR(__xludf.DUMMYFUNCTION("""COMPUTED_VALUE"""),66.63860395528268)</f>
        <v>66.63860396</v>
      </c>
      <c r="Y20" s="141">
        <f>IFERROR(__xludf.DUMMYFUNCTION("""COMPUTED_VALUE"""),0.9348645004118957)</f>
        <v>0.9348645004</v>
      </c>
    </row>
    <row r="21">
      <c r="A21" s="144">
        <f>IFERROR(__xludf.DUMMYFUNCTION("""COMPUTED_VALUE"""),46055.643042905096)</f>
        <v>46055.64304</v>
      </c>
      <c r="B21" s="136" t="str">
        <f>IFERROR(__xludf.DUMMYFUNCTION("""COMPUTED_VALUE"""),"Brynn Hornig")</f>
        <v>Brynn Hornig</v>
      </c>
      <c r="C21" s="136" t="b">
        <f t="shared" si="3"/>
        <v>0</v>
      </c>
      <c r="D21" s="137">
        <f>IFERROR(__xludf.DUMMYFUNCTION("""COMPUTED_VALUE"""),0.5208333333357587)</f>
        <v>0.5208333333</v>
      </c>
      <c r="E21" s="106">
        <f>IFERROR(__xludf.DUMMYFUNCTION("""COMPUTED_VALUE"""),0.125)</f>
        <v>0.125</v>
      </c>
      <c r="F21" s="137">
        <f>IFERROR(__xludf.DUMMYFUNCTION("""COMPUTED_VALUE"""),0.6458333333357587)</f>
        <v>0.6458333333</v>
      </c>
      <c r="G21" s="106">
        <v>0.125</v>
      </c>
      <c r="H21" s="136">
        <f>IFERROR(__xludf.DUMMYFUNCTION("""COMPUTED_VALUE"""),106.0)</f>
        <v>106</v>
      </c>
      <c r="I21" s="139">
        <v>35.333333333333336</v>
      </c>
      <c r="J21" s="136" t="s">
        <v>15</v>
      </c>
      <c r="K21" s="146">
        <f>IFERROR(__xludf.DUMMYFUNCTION("""COMPUTED_VALUE"""),46055.0)</f>
        <v>46055</v>
      </c>
      <c r="L21" s="136" t="str">
        <f t="shared" si="1"/>
        <v>Monday</v>
      </c>
      <c r="M21" s="136" t="str">
        <f>IFERROR(__xludf.DUMMYFUNCTION("""COMPUTED_VALUE"""),"BF")</f>
        <v>BF</v>
      </c>
      <c r="N21" s="75">
        <v>1.246297144628068</v>
      </c>
      <c r="O21" s="136" t="str">
        <f>IFERROR(__xludf.DUMMYFUNCTION("""COMPUTED_VALUE"""),"")</f>
        <v/>
      </c>
      <c r="P21" s="136" t="str">
        <f>IFERROR(__xludf.DUMMYFUNCTION("""COMPUTED_VALUE"""),"")</f>
        <v/>
      </c>
      <c r="Q21" s="106" t="str">
        <f>IFERROR(__xludf.DUMMYFUNCTION("""COMPUTED_VALUE"""),"")</f>
        <v/>
      </c>
      <c r="R21" s="106" t="str">
        <f>IFERROR(__xludf.DUMMYFUNCTION("""COMPUTED_VALUE"""),"")</f>
        <v/>
      </c>
      <c r="S21" s="139" t="str">
        <f>IFERROR(__xludf.DUMMYFUNCTION("""COMPUTED_VALUE"""),"")</f>
        <v/>
      </c>
      <c r="T21" s="139" t="str">
        <f>IFERROR(__xludf.DUMMYFUNCTION("""COMPUTED_VALUE"""),"")</f>
        <v/>
      </c>
      <c r="U21" s="136" t="str">
        <f>IFERROR(__xludf.DUMMYFUNCTION("""COMPUTED_VALUE"""),"")</f>
        <v/>
      </c>
      <c r="V21" s="106" t="str">
        <f>IFERROR(__xludf.DUMMYFUNCTION("""COMPUTED_VALUE"""),"")</f>
        <v/>
      </c>
      <c r="W21" s="143" t="str">
        <f t="shared" si="2"/>
        <v/>
      </c>
      <c r="X21" s="139" t="str">
        <f>IFERROR(__xludf.DUMMYFUNCTION("""COMPUTED_VALUE"""),"")</f>
        <v/>
      </c>
      <c r="Y21" s="141" t="str">
        <f>IFERROR(__xludf.DUMMYFUNCTION("""COMPUTED_VALUE"""),"")</f>
        <v/>
      </c>
    </row>
    <row r="22">
      <c r="A22" s="144">
        <f>IFERROR(__xludf.DUMMYFUNCTION("""COMPUTED_VALUE"""),46055.7456662037)</f>
        <v>46055.74567</v>
      </c>
      <c r="B22" s="136" t="str">
        <f>IFERROR(__xludf.DUMMYFUNCTION("""COMPUTED_VALUE"""),"Orpheus Wilson")</f>
        <v>Orpheus Wilson</v>
      </c>
      <c r="C22" s="136" t="b">
        <f t="shared" si="3"/>
        <v>0</v>
      </c>
      <c r="D22" s="137">
        <f>IFERROR(__xludf.DUMMYFUNCTION("""COMPUTED_VALUE"""),0.6666666666642413)</f>
        <v>0.6666666667</v>
      </c>
      <c r="E22" s="106">
        <f>IFERROR(__xludf.DUMMYFUNCTION("""COMPUTED_VALUE"""),0.07638888889050577)</f>
        <v>0.07638888889</v>
      </c>
      <c r="F22" s="137">
        <f>IFERROR(__xludf.DUMMYFUNCTION("""COMPUTED_VALUE"""),0.7430555555547471)</f>
        <v>0.7430555556</v>
      </c>
      <c r="G22" s="106">
        <v>0.07638888889050577</v>
      </c>
      <c r="H22" s="136">
        <f>IFERROR(__xludf.DUMMYFUNCTION("""COMPUTED_VALUE"""),99.0)</f>
        <v>99</v>
      </c>
      <c r="I22" s="139">
        <v>53.999999998857014</v>
      </c>
      <c r="J22" s="136" t="s">
        <v>18</v>
      </c>
      <c r="K22" s="146">
        <f>IFERROR(__xludf.DUMMYFUNCTION("""COMPUTED_VALUE"""),46055.0)</f>
        <v>46055</v>
      </c>
      <c r="L22" s="136" t="str">
        <f t="shared" si="1"/>
        <v>Monday</v>
      </c>
      <c r="M22" s="136" t="str">
        <f>IFERROR(__xludf.DUMMYFUNCTION("""COMPUTED_VALUE"""),"MF")</f>
        <v>MF</v>
      </c>
      <c r="N22" s="75">
        <v>1.1294837404338094</v>
      </c>
      <c r="O22" s="136" t="str">
        <f>IFERROR(__xludf.DUMMYFUNCTION("""COMPUTED_VALUE"""),"")</f>
        <v/>
      </c>
      <c r="P22" s="136" t="str">
        <f>IFERROR(__xludf.DUMMYFUNCTION("""COMPUTED_VALUE"""),"")</f>
        <v/>
      </c>
      <c r="Q22" s="106" t="str">
        <f>IFERROR(__xludf.DUMMYFUNCTION("""COMPUTED_VALUE"""),"")</f>
        <v/>
      </c>
      <c r="R22" s="106" t="str">
        <f>IFERROR(__xludf.DUMMYFUNCTION("""COMPUTED_VALUE"""),"")</f>
        <v/>
      </c>
      <c r="S22" s="139" t="str">
        <f>IFERROR(__xludf.DUMMYFUNCTION("""COMPUTED_VALUE"""),"")</f>
        <v/>
      </c>
      <c r="T22" s="139" t="str">
        <f>IFERROR(__xludf.DUMMYFUNCTION("""COMPUTED_VALUE"""),"")</f>
        <v/>
      </c>
      <c r="U22" s="136" t="str">
        <f>IFERROR(__xludf.DUMMYFUNCTION("""COMPUTED_VALUE"""),"")</f>
        <v/>
      </c>
      <c r="V22" s="106" t="str">
        <f>IFERROR(__xludf.DUMMYFUNCTION("""COMPUTED_VALUE"""),"")</f>
        <v/>
      </c>
      <c r="W22" s="143" t="str">
        <f t="shared" si="2"/>
        <v/>
      </c>
      <c r="X22" s="139" t="str">
        <f>IFERROR(__xludf.DUMMYFUNCTION("""COMPUTED_VALUE"""),"")</f>
        <v/>
      </c>
      <c r="Y22" s="141" t="str">
        <f>IFERROR(__xludf.DUMMYFUNCTION("""COMPUTED_VALUE"""),"")</f>
        <v/>
      </c>
    </row>
    <row r="23">
      <c r="A23" s="144">
        <f>IFERROR(__xludf.DUMMYFUNCTION("""COMPUTED_VALUE"""),46055.86231668982)</f>
        <v>46055.86232</v>
      </c>
      <c r="B23" s="136" t="str">
        <f>IFERROR(__xludf.DUMMYFUNCTION("""COMPUTED_VALUE"""),"Arjya Aich")</f>
        <v>Arjya Aich</v>
      </c>
      <c r="C23" s="136" t="b">
        <f t="shared" si="3"/>
        <v>0</v>
      </c>
      <c r="D23" s="137">
        <f>IFERROR(__xludf.DUMMYFUNCTION("""COMPUTED_VALUE"""),0.6875)</f>
        <v>0.6875</v>
      </c>
      <c r="E23" s="106">
        <f>IFERROR(__xludf.DUMMYFUNCTION("""COMPUTED_VALUE"""),0.17013888889050577)</f>
        <v>0.1701388889</v>
      </c>
      <c r="F23" s="137">
        <f>IFERROR(__xludf.DUMMYFUNCTION("""COMPUTED_VALUE"""),0.8576388888905058)</f>
        <v>0.8576388889</v>
      </c>
      <c r="G23" s="106">
        <v>0.17013888889050577</v>
      </c>
      <c r="H23" s="136">
        <f>IFERROR(__xludf.DUMMYFUNCTION("""COMPUTED_VALUE"""),171.0)</f>
        <v>171</v>
      </c>
      <c r="I23" s="139">
        <v>41.87755102001019</v>
      </c>
      <c r="J23" s="136" t="s">
        <v>18</v>
      </c>
      <c r="K23" s="146">
        <f>IFERROR(__xludf.DUMMYFUNCTION("""COMPUTED_VALUE"""),46055.0)</f>
        <v>46055</v>
      </c>
      <c r="L23" s="136" t="str">
        <f t="shared" si="1"/>
        <v>Monday</v>
      </c>
      <c r="M23" s="136" t="str">
        <f>IFERROR(__xludf.DUMMYFUNCTION("""COMPUTED_VALUE"""),"BF")</f>
        <v>BF</v>
      </c>
      <c r="N23" s="75">
        <v>0.9425126572141354</v>
      </c>
      <c r="O23" s="136" t="str">
        <f>IFERROR(__xludf.DUMMYFUNCTION("""COMPUTED_VALUE"""),"")</f>
        <v/>
      </c>
      <c r="P23" s="136" t="str">
        <f>IFERROR(__xludf.DUMMYFUNCTION("""COMPUTED_VALUE"""),"")</f>
        <v/>
      </c>
      <c r="Q23" s="106" t="str">
        <f>IFERROR(__xludf.DUMMYFUNCTION("""COMPUTED_VALUE"""),"")</f>
        <v/>
      </c>
      <c r="R23" s="106" t="str">
        <f>IFERROR(__xludf.DUMMYFUNCTION("""COMPUTED_VALUE"""),"")</f>
        <v/>
      </c>
      <c r="S23" s="139" t="str">
        <f>IFERROR(__xludf.DUMMYFUNCTION("""COMPUTED_VALUE"""),"")</f>
        <v/>
      </c>
      <c r="T23" s="139" t="str">
        <f>IFERROR(__xludf.DUMMYFUNCTION("""COMPUTED_VALUE"""),"")</f>
        <v/>
      </c>
      <c r="U23" s="136" t="str">
        <f>IFERROR(__xludf.DUMMYFUNCTION("""COMPUTED_VALUE"""),"")</f>
        <v/>
      </c>
      <c r="V23" s="106" t="str">
        <f>IFERROR(__xludf.DUMMYFUNCTION("""COMPUTED_VALUE"""),"")</f>
        <v/>
      </c>
      <c r="W23" s="143" t="str">
        <f t="shared" si="2"/>
        <v/>
      </c>
      <c r="X23" s="139" t="str">
        <f>IFERROR(__xludf.DUMMYFUNCTION("""COMPUTED_VALUE"""),"")</f>
        <v/>
      </c>
      <c r="Y23" s="141" t="str">
        <f>IFERROR(__xludf.DUMMYFUNCTION("""COMPUTED_VALUE"""),"")</f>
        <v/>
      </c>
    </row>
    <row r="24">
      <c r="A24" s="144">
        <f>IFERROR(__xludf.DUMMYFUNCTION("""COMPUTED_VALUE"""),46055.86573452546)</f>
        <v>46055.86573</v>
      </c>
      <c r="B24" s="136" t="str">
        <f>IFERROR(__xludf.DUMMYFUNCTION("""COMPUTED_VALUE"""),"Maureen Surgot")</f>
        <v>Maureen Surgot</v>
      </c>
      <c r="C24" s="136" t="b">
        <f t="shared" si="3"/>
        <v>0</v>
      </c>
      <c r="D24" s="137">
        <f>IFERROR(__xludf.DUMMYFUNCTION("""COMPUTED_VALUE"""),0.75)</f>
        <v>0.75</v>
      </c>
      <c r="E24" s="106">
        <f>IFERROR(__xludf.DUMMYFUNCTION("""COMPUTED_VALUE"""),0.125)</f>
        <v>0.125</v>
      </c>
      <c r="F24" s="137">
        <f>IFERROR(__xludf.DUMMYFUNCTION("""COMPUTED_VALUE"""),0.875)</f>
        <v>0.875</v>
      </c>
      <c r="G24" s="106">
        <v>0.125</v>
      </c>
      <c r="H24" s="136">
        <f>IFERROR(__xludf.DUMMYFUNCTION("""COMPUTED_VALUE"""),144.0)</f>
        <v>144</v>
      </c>
      <c r="I24" s="139">
        <v>48.0</v>
      </c>
      <c r="J24" s="136" t="s">
        <v>18</v>
      </c>
      <c r="K24" s="146">
        <f>IFERROR(__xludf.DUMMYFUNCTION("""COMPUTED_VALUE"""),46055.0)</f>
        <v>46055</v>
      </c>
      <c r="L24" s="136" t="str">
        <f t="shared" si="1"/>
        <v>Monday</v>
      </c>
      <c r="M24" s="136" t="str">
        <f>IFERROR(__xludf.DUMMYFUNCTION("""COMPUTED_VALUE"""),"MF")</f>
        <v>MF</v>
      </c>
      <c r="N24" s="75">
        <v>1.0039855470735257</v>
      </c>
      <c r="O24" s="136">
        <f>IFERROR(__xludf.DUMMYFUNCTION("""COMPUTED_VALUE"""),243.0)</f>
        <v>243</v>
      </c>
      <c r="P24" s="136">
        <f>IFERROR(__xludf.DUMMYFUNCTION("""COMPUTED_VALUE"""),277.0)</f>
        <v>277</v>
      </c>
      <c r="Q24" s="106">
        <f>IFERROR(__xludf.DUMMYFUNCTION("""COMPUTED_VALUE"""),0.20138888889050577)</f>
        <v>0.2013888889</v>
      </c>
      <c r="R24" s="106">
        <f>IFERROR(__xludf.DUMMYFUNCTION("""COMPUTED_VALUE"""),0.29513888889050577)</f>
        <v>0.2951388889</v>
      </c>
      <c r="S24" s="139">
        <f>IFERROR(__xludf.DUMMYFUNCTION("""COMPUTED_VALUE"""),50.99999999942851)</f>
        <v>51</v>
      </c>
      <c r="T24" s="139">
        <f>IFERROR(__xludf.DUMMYFUNCTION("""COMPUTED_VALUE"""),38.60544217667176)</f>
        <v>38.60544218</v>
      </c>
      <c r="U24" s="136">
        <f>IFERROR(__xludf.DUMMYFUNCTION("""COMPUTED_VALUE"""),520.0)</f>
        <v>520</v>
      </c>
      <c r="V24" s="106">
        <f>IFERROR(__xludf.DUMMYFUNCTION("""COMPUTED_VALUE"""),0.49652777778101154)</f>
        <v>0.4965277778</v>
      </c>
      <c r="W24" s="143">
        <f t="shared" si="2"/>
        <v>43.63636364</v>
      </c>
      <c r="X24" s="139">
        <f>IFERROR(__xludf.DUMMYFUNCTION("""COMPUTED_VALUE"""),44.802721088050134)</f>
        <v>44.80272109</v>
      </c>
      <c r="Y24" s="141">
        <f>IFERROR(__xludf.DUMMYFUNCTION("""COMPUTED_VALUE"""),0.8149750612897129)</f>
        <v>0.8149750613</v>
      </c>
    </row>
    <row r="25">
      <c r="A25" s="144">
        <f>IFERROR(__xludf.DUMMYFUNCTION("""COMPUTED_VALUE"""),46056.33595287037)</f>
        <v>46056.33595</v>
      </c>
      <c r="B25" s="136" t="str">
        <f>IFERROR(__xludf.DUMMYFUNCTION("""COMPUTED_VALUE"""),"Denise Romanszysn")</f>
        <v>Denise Romanszysn</v>
      </c>
      <c r="C25" s="136" t="b">
        <f t="shared" si="3"/>
        <v>0</v>
      </c>
      <c r="D25" s="137">
        <f>IFERROR(__xludf.DUMMYFUNCTION("""COMPUTED_VALUE"""),0.29861111110949423)</f>
        <v>0.2986111111</v>
      </c>
      <c r="E25" s="106">
        <f>IFERROR(__xludf.DUMMYFUNCTION("""COMPUTED_VALUE"""),0.02916666666715173)</f>
        <v>0.02916666667</v>
      </c>
      <c r="F25" s="137">
        <f>IFERROR(__xludf.DUMMYFUNCTION("""COMPUTED_VALUE"""),0.32777777777664596)</f>
        <v>0.3277777778</v>
      </c>
      <c r="G25" s="106">
        <v>0.14513888888905058</v>
      </c>
      <c r="H25" s="136">
        <f>IFERROR(__xludf.DUMMYFUNCTION("""COMPUTED_VALUE"""),34.0)</f>
        <v>34</v>
      </c>
      <c r="I25" s="139">
        <v>39.04306220091344</v>
      </c>
      <c r="J25" s="136" t="s">
        <v>12</v>
      </c>
      <c r="K25" s="146">
        <f>IFERROR(__xludf.DUMMYFUNCTION("""COMPUTED_VALUE"""),46056.0)</f>
        <v>46056</v>
      </c>
      <c r="L25" s="136" t="str">
        <f t="shared" si="1"/>
        <v>Tuesday</v>
      </c>
      <c r="M25" s="136" t="str">
        <f>IFERROR(__xludf.DUMMYFUNCTION("""COMPUTED_VALUE"""),"BF")</f>
        <v>BF</v>
      </c>
      <c r="N25" s="75">
        <v>1.3771487812792773</v>
      </c>
      <c r="O25" s="136" t="str">
        <f>IFERROR(__xludf.DUMMYFUNCTION("""COMPUTED_VALUE"""),"")</f>
        <v/>
      </c>
      <c r="P25" s="136" t="str">
        <f>IFERROR(__xludf.DUMMYFUNCTION("""COMPUTED_VALUE"""),"")</f>
        <v/>
      </c>
      <c r="Q25" s="106" t="str">
        <f>IFERROR(__xludf.DUMMYFUNCTION("""COMPUTED_VALUE"""),"")</f>
        <v/>
      </c>
      <c r="R25" s="106" t="str">
        <f>IFERROR(__xludf.DUMMYFUNCTION("""COMPUTED_VALUE"""),"")</f>
        <v/>
      </c>
      <c r="S25" s="139" t="str">
        <f>IFERROR(__xludf.DUMMYFUNCTION("""COMPUTED_VALUE"""),"")</f>
        <v/>
      </c>
      <c r="T25" s="139" t="str">
        <f>IFERROR(__xludf.DUMMYFUNCTION("""COMPUTED_VALUE"""),"")</f>
        <v/>
      </c>
      <c r="U25" s="136" t="str">
        <f>IFERROR(__xludf.DUMMYFUNCTION("""COMPUTED_VALUE"""),"")</f>
        <v/>
      </c>
      <c r="V25" s="106" t="str">
        <f>IFERROR(__xludf.DUMMYFUNCTION("""COMPUTED_VALUE"""),"")</f>
        <v/>
      </c>
      <c r="W25" s="143" t="str">
        <f t="shared" si="2"/>
        <v/>
      </c>
      <c r="X25" s="139" t="str">
        <f>IFERROR(__xludf.DUMMYFUNCTION("""COMPUTED_VALUE"""),"")</f>
        <v/>
      </c>
      <c r="Y25" s="141" t="str">
        <f>IFERROR(__xludf.DUMMYFUNCTION("""COMPUTED_VALUE"""),"")</f>
        <v/>
      </c>
    </row>
    <row r="26">
      <c r="A26" s="144">
        <f>IFERROR(__xludf.DUMMYFUNCTION("""COMPUTED_VALUE"""),46056.49120446759)</f>
        <v>46056.4912</v>
      </c>
      <c r="B26" s="136" t="str">
        <f>IFERROR(__xludf.DUMMYFUNCTION("""COMPUTED_VALUE"""),"Denise Romanszysn")</f>
        <v>Denise Romanszysn</v>
      </c>
      <c r="C26" s="136" t="b">
        <f t="shared" si="3"/>
        <v>1</v>
      </c>
      <c r="D26" s="137">
        <f>IFERROR(__xludf.DUMMYFUNCTION("""COMPUTED_VALUE"""),0.3312500000029104)</f>
        <v>0.33125</v>
      </c>
      <c r="E26" s="106">
        <f>IFERROR(__xludf.DUMMYFUNCTION("""COMPUTED_VALUE"""),0.11597222222189885)</f>
        <v>0.1159722222</v>
      </c>
      <c r="F26" s="137">
        <f>IFERROR(__xludf.DUMMYFUNCTION("""COMPUTED_VALUE"""),0.44722222222480923)</f>
        <v>0.4472222222</v>
      </c>
      <c r="G26" s="106" t="s">
        <v>133</v>
      </c>
      <c r="H26" s="136">
        <f>IFERROR(__xludf.DUMMYFUNCTION("""COMPUTED_VALUE"""),102.0)</f>
        <v>102</v>
      </c>
      <c r="I26" s="139" t="s">
        <v>133</v>
      </c>
      <c r="J26" s="136" t="s">
        <v>12</v>
      </c>
      <c r="K26" s="146">
        <f>IFERROR(__xludf.DUMMYFUNCTION("""COMPUTED_VALUE"""),46056.0)</f>
        <v>46056</v>
      </c>
      <c r="L26" s="136" t="str">
        <f t="shared" si="1"/>
        <v>Tuesday</v>
      </c>
      <c r="M26" s="136" t="str">
        <f>IFERROR(__xludf.DUMMYFUNCTION("""COMPUTED_VALUE"""),"BF")</f>
        <v>BF</v>
      </c>
      <c r="N26" s="75" t="s">
        <v>133</v>
      </c>
      <c r="O26" s="136" t="str">
        <f>IFERROR(__xludf.DUMMYFUNCTION("""COMPUTED_VALUE"""),"")</f>
        <v/>
      </c>
      <c r="P26" s="136" t="str">
        <f>IFERROR(__xludf.DUMMYFUNCTION("""COMPUTED_VALUE"""),"")</f>
        <v/>
      </c>
      <c r="Q26" s="106" t="str">
        <f>IFERROR(__xludf.DUMMYFUNCTION("""COMPUTED_VALUE"""),"")</f>
        <v/>
      </c>
      <c r="R26" s="106" t="str">
        <f>IFERROR(__xludf.DUMMYFUNCTION("""COMPUTED_VALUE"""),"")</f>
        <v/>
      </c>
      <c r="S26" s="139" t="str">
        <f>IFERROR(__xludf.DUMMYFUNCTION("""COMPUTED_VALUE"""),"")</f>
        <v/>
      </c>
      <c r="T26" s="139" t="str">
        <f>IFERROR(__xludf.DUMMYFUNCTION("""COMPUTED_VALUE"""),"")</f>
        <v/>
      </c>
      <c r="U26" s="136" t="str">
        <f>IFERROR(__xludf.DUMMYFUNCTION("""COMPUTED_VALUE"""),"")</f>
        <v/>
      </c>
      <c r="V26" s="106" t="str">
        <f>IFERROR(__xludf.DUMMYFUNCTION("""COMPUTED_VALUE"""),"")</f>
        <v/>
      </c>
      <c r="W26" s="143" t="str">
        <f t="shared" si="2"/>
        <v/>
      </c>
      <c r="X26" s="139" t="str">
        <f>IFERROR(__xludf.DUMMYFUNCTION("""COMPUTED_VALUE"""),"")</f>
        <v/>
      </c>
      <c r="Y26" s="141" t="str">
        <f>IFERROR(__xludf.DUMMYFUNCTION("""COMPUTED_VALUE"""),"")</f>
        <v/>
      </c>
    </row>
    <row r="27">
      <c r="A27" s="144">
        <f>IFERROR(__xludf.DUMMYFUNCTION("""COMPUTED_VALUE"""),46056.59429493056)</f>
        <v>46056.59429</v>
      </c>
      <c r="B27" s="136" t="str">
        <f>IFERROR(__xludf.DUMMYFUNCTION("""COMPUTED_VALUE"""),"Kaylie Forgue")</f>
        <v>Kaylie Forgue</v>
      </c>
      <c r="C27" s="136" t="b">
        <f t="shared" si="3"/>
        <v>0</v>
      </c>
      <c r="D27" s="137">
        <f>IFERROR(__xludf.DUMMYFUNCTION("""COMPUTED_VALUE"""),0.4444444444452529)</f>
        <v>0.4444444444</v>
      </c>
      <c r="E27" s="106">
        <f>IFERROR(__xludf.DUMMYFUNCTION("""COMPUTED_VALUE"""),0.07499999999708962)</f>
        <v>0.075</v>
      </c>
      <c r="F27" s="137">
        <f>IFERROR(__xludf.DUMMYFUNCTION("""COMPUTED_VALUE"""),0.5194444444423425)</f>
        <v>0.5194444444</v>
      </c>
      <c r="G27" s="106">
        <v>0.07499999999708962</v>
      </c>
      <c r="H27" s="136">
        <f>IFERROR(__xludf.DUMMYFUNCTION("""COMPUTED_VALUE"""),73.0)</f>
        <v>73</v>
      </c>
      <c r="I27" s="139">
        <v>40.55555555712932</v>
      </c>
      <c r="J27" s="136" t="s">
        <v>134</v>
      </c>
      <c r="K27" s="146">
        <f>IFERROR(__xludf.DUMMYFUNCTION("""COMPUTED_VALUE"""),46056.0)</f>
        <v>46056</v>
      </c>
      <c r="L27" s="136" t="str">
        <f t="shared" si="1"/>
        <v>Tuesday</v>
      </c>
      <c r="M27" s="136" t="str">
        <f>IFERROR(__xludf.DUMMYFUNCTION("""COMPUTED_VALUE"""),"BF")</f>
        <v>BF</v>
      </c>
      <c r="N27" s="75">
        <v>1.2917771211858127</v>
      </c>
      <c r="O27" s="136" t="str">
        <f>IFERROR(__xludf.DUMMYFUNCTION("""COMPUTED_VALUE"""),"")</f>
        <v/>
      </c>
      <c r="P27" s="136" t="str">
        <f>IFERROR(__xludf.DUMMYFUNCTION("""COMPUTED_VALUE"""),"")</f>
        <v/>
      </c>
      <c r="Q27" s="106" t="str">
        <f>IFERROR(__xludf.DUMMYFUNCTION("""COMPUTED_VALUE"""),"")</f>
        <v/>
      </c>
      <c r="R27" s="106" t="str">
        <f>IFERROR(__xludf.DUMMYFUNCTION("""COMPUTED_VALUE"""),"")</f>
        <v/>
      </c>
      <c r="S27" s="139" t="str">
        <f>IFERROR(__xludf.DUMMYFUNCTION("""COMPUTED_VALUE"""),"")</f>
        <v/>
      </c>
      <c r="T27" s="139" t="str">
        <f>IFERROR(__xludf.DUMMYFUNCTION("""COMPUTED_VALUE"""),"")</f>
        <v/>
      </c>
      <c r="U27" s="136" t="str">
        <f>IFERROR(__xludf.DUMMYFUNCTION("""COMPUTED_VALUE"""),"")</f>
        <v/>
      </c>
      <c r="V27" s="106" t="str">
        <f>IFERROR(__xludf.DUMMYFUNCTION("""COMPUTED_VALUE"""),"")</f>
        <v/>
      </c>
      <c r="W27" s="143" t="str">
        <f t="shared" si="2"/>
        <v/>
      </c>
      <c r="X27" s="139" t="str">
        <f>IFERROR(__xludf.DUMMYFUNCTION("""COMPUTED_VALUE"""),"")</f>
        <v/>
      </c>
      <c r="Y27" s="141" t="str">
        <f>IFERROR(__xludf.DUMMYFUNCTION("""COMPUTED_VALUE"""),"")</f>
        <v/>
      </c>
    </row>
    <row r="28">
      <c r="A28" s="144">
        <f>IFERROR(__xludf.DUMMYFUNCTION("""COMPUTED_VALUE"""),46056.55673972222)</f>
        <v>46056.55674</v>
      </c>
      <c r="B28" s="136" t="str">
        <f>IFERROR(__xludf.DUMMYFUNCTION("""COMPUTED_VALUE"""),"Kyra Turner")</f>
        <v>Kyra Turner</v>
      </c>
      <c r="C28" s="136" t="b">
        <f t="shared" si="3"/>
        <v>0</v>
      </c>
      <c r="D28" s="137">
        <f>IFERROR(__xludf.DUMMYFUNCTION("""COMPUTED_VALUE"""),0.48402777777664596)</f>
        <v>0.4840277778</v>
      </c>
      <c r="E28" s="106">
        <f>IFERROR(__xludf.DUMMYFUNCTION("""COMPUTED_VALUE"""),0.07013888889196096)</f>
        <v>0.07013888889</v>
      </c>
      <c r="F28" s="137">
        <f>IFERROR(__xludf.DUMMYFUNCTION("""COMPUTED_VALUE"""),0.5541666666686069)</f>
        <v>0.5541666667</v>
      </c>
      <c r="G28" s="106">
        <v>0.13263888889196096</v>
      </c>
      <c r="H28" s="136">
        <f>IFERROR(__xludf.DUMMYFUNCTION("""COMPUTED_VALUE"""),109.0)</f>
        <v>109</v>
      </c>
      <c r="I28" s="139">
        <v>61.25654450119903</v>
      </c>
      <c r="J28" s="136" t="s">
        <v>15</v>
      </c>
      <c r="K28" s="146">
        <f>IFERROR(__xludf.DUMMYFUNCTION("""COMPUTED_VALUE"""),46056.0)</f>
        <v>46056</v>
      </c>
      <c r="L28" s="136" t="str">
        <f t="shared" si="1"/>
        <v>Tuesday</v>
      </c>
      <c r="M28" s="136" t="str">
        <f>IFERROR(__xludf.DUMMYFUNCTION("""COMPUTED_VALUE"""),"MF")</f>
        <v>MF</v>
      </c>
      <c r="N28" s="75">
        <v>1.218369079255287</v>
      </c>
      <c r="O28" s="136" t="str">
        <f>IFERROR(__xludf.DUMMYFUNCTION("""COMPUTED_VALUE"""),"")</f>
        <v/>
      </c>
      <c r="P28" s="136" t="str">
        <f>IFERROR(__xludf.DUMMYFUNCTION("""COMPUTED_VALUE"""),"")</f>
        <v/>
      </c>
      <c r="Q28" s="106" t="str">
        <f>IFERROR(__xludf.DUMMYFUNCTION("""COMPUTED_VALUE"""),"")</f>
        <v/>
      </c>
      <c r="R28" s="106" t="str">
        <f>IFERROR(__xludf.DUMMYFUNCTION("""COMPUTED_VALUE"""),"")</f>
        <v/>
      </c>
      <c r="S28" s="139" t="str">
        <f>IFERROR(__xludf.DUMMYFUNCTION("""COMPUTED_VALUE"""),"")</f>
        <v/>
      </c>
      <c r="T28" s="139" t="str">
        <f>IFERROR(__xludf.DUMMYFUNCTION("""COMPUTED_VALUE"""),"")</f>
        <v/>
      </c>
      <c r="U28" s="136" t="str">
        <f>IFERROR(__xludf.DUMMYFUNCTION("""COMPUTED_VALUE"""),"")</f>
        <v/>
      </c>
      <c r="V28" s="106" t="str">
        <f>IFERROR(__xludf.DUMMYFUNCTION("""COMPUTED_VALUE"""),"")</f>
        <v/>
      </c>
      <c r="W28" s="143" t="str">
        <f t="shared" si="2"/>
        <v/>
      </c>
      <c r="X28" s="139" t="str">
        <f>IFERROR(__xludf.DUMMYFUNCTION("""COMPUTED_VALUE"""),"")</f>
        <v/>
      </c>
      <c r="Y28" s="141" t="str">
        <f>IFERROR(__xludf.DUMMYFUNCTION("""COMPUTED_VALUE"""),"")</f>
        <v/>
      </c>
    </row>
    <row r="29">
      <c r="A29" s="144">
        <f>IFERROR(__xludf.DUMMYFUNCTION("""COMPUTED_VALUE"""),46056.62460309028)</f>
        <v>46056.6246</v>
      </c>
      <c r="B29" s="136" t="str">
        <f>IFERROR(__xludf.DUMMYFUNCTION("""COMPUTED_VALUE"""),"Kyra Turner")</f>
        <v>Kyra Turner</v>
      </c>
      <c r="C29" s="136" t="b">
        <f t="shared" si="3"/>
        <v>1</v>
      </c>
      <c r="D29" s="137">
        <f>IFERROR(__xludf.DUMMYFUNCTION("""COMPUTED_VALUE"""),0.5597222222204437)</f>
        <v>0.5597222222</v>
      </c>
      <c r="E29" s="106">
        <f>IFERROR(__xludf.DUMMYFUNCTION("""COMPUTED_VALUE"""),0.0625)</f>
        <v>0.0625</v>
      </c>
      <c r="F29" s="137">
        <f>IFERROR(__xludf.DUMMYFUNCTION("""COMPUTED_VALUE"""),0.6222222222204437)</f>
        <v>0.6222222222</v>
      </c>
      <c r="G29" s="106" t="s">
        <v>133</v>
      </c>
      <c r="H29" s="136">
        <f>IFERROR(__xludf.DUMMYFUNCTION("""COMPUTED_VALUE"""),86.0)</f>
        <v>86</v>
      </c>
      <c r="I29" s="139" t="s">
        <v>133</v>
      </c>
      <c r="J29" s="136" t="s">
        <v>15</v>
      </c>
      <c r="K29" s="146">
        <f>IFERROR(__xludf.DUMMYFUNCTION("""COMPUTED_VALUE"""),46056.0)</f>
        <v>46056</v>
      </c>
      <c r="L29" s="136" t="str">
        <f t="shared" si="1"/>
        <v>Tuesday</v>
      </c>
      <c r="M29" s="136" t="str">
        <f>IFERROR(__xludf.DUMMYFUNCTION("""COMPUTED_VALUE"""),"MF")</f>
        <v>MF</v>
      </c>
      <c r="N29" s="75" t="s">
        <v>133</v>
      </c>
      <c r="O29" s="136" t="str">
        <f>IFERROR(__xludf.DUMMYFUNCTION("""COMPUTED_VALUE"""),"")</f>
        <v/>
      </c>
      <c r="P29" s="136" t="str">
        <f>IFERROR(__xludf.DUMMYFUNCTION("""COMPUTED_VALUE"""),"")</f>
        <v/>
      </c>
      <c r="Q29" s="106" t="str">
        <f>IFERROR(__xludf.DUMMYFUNCTION("""COMPUTED_VALUE"""),"")</f>
        <v/>
      </c>
      <c r="R29" s="106" t="str">
        <f>IFERROR(__xludf.DUMMYFUNCTION("""COMPUTED_VALUE"""),"")</f>
        <v/>
      </c>
      <c r="S29" s="139" t="str">
        <f>IFERROR(__xludf.DUMMYFUNCTION("""COMPUTED_VALUE"""),"")</f>
        <v/>
      </c>
      <c r="T29" s="139" t="str">
        <f>IFERROR(__xludf.DUMMYFUNCTION("""COMPUTED_VALUE"""),"")</f>
        <v/>
      </c>
      <c r="U29" s="136" t="str">
        <f>IFERROR(__xludf.DUMMYFUNCTION("""COMPUTED_VALUE"""),"")</f>
        <v/>
      </c>
      <c r="V29" s="106" t="str">
        <f>IFERROR(__xludf.DUMMYFUNCTION("""COMPUTED_VALUE"""),"")</f>
        <v/>
      </c>
      <c r="W29" s="143" t="str">
        <f t="shared" si="2"/>
        <v/>
      </c>
      <c r="X29" s="139" t="str">
        <f>IFERROR(__xludf.DUMMYFUNCTION("""COMPUTED_VALUE"""),"")</f>
        <v/>
      </c>
      <c r="Y29" s="141" t="str">
        <f>IFERROR(__xludf.DUMMYFUNCTION("""COMPUTED_VALUE"""),"")</f>
        <v/>
      </c>
    </row>
    <row r="30">
      <c r="A30" s="144">
        <f>IFERROR(__xludf.DUMMYFUNCTION("""COMPUTED_VALUE"""),46056.83776568287)</f>
        <v>46056.83777</v>
      </c>
      <c r="B30" s="136" t="str">
        <f>IFERROR(__xludf.DUMMYFUNCTION("""COMPUTED_VALUE"""),"Leah Bucci")</f>
        <v>Leah Bucci</v>
      </c>
      <c r="C30" s="136" t="b">
        <f t="shared" si="3"/>
        <v>0</v>
      </c>
      <c r="D30" s="137">
        <f>IFERROR(__xludf.DUMMYFUNCTION("""COMPUTED_VALUE"""),0.6875)</f>
        <v>0.6875</v>
      </c>
      <c r="E30" s="106">
        <f>IFERROR(__xludf.DUMMYFUNCTION("""COMPUTED_VALUE"""),0.0625)</f>
        <v>0.0625</v>
      </c>
      <c r="F30" s="137">
        <f>IFERROR(__xludf.DUMMYFUNCTION("""COMPUTED_VALUE"""),0.75)</f>
        <v>0.75</v>
      </c>
      <c r="G30" s="106">
        <v>0.14930555556202307</v>
      </c>
      <c r="H30" s="136">
        <f>IFERROR(__xludf.DUMMYFUNCTION("""COMPUTED_VALUE"""),154.0)</f>
        <v>154</v>
      </c>
      <c r="I30" s="139">
        <v>60.558139532260505</v>
      </c>
      <c r="J30" s="136" t="s">
        <v>18</v>
      </c>
      <c r="K30" s="146">
        <f>IFERROR(__xludf.DUMMYFUNCTION("""COMPUTED_VALUE"""),46056.0)</f>
        <v>46056</v>
      </c>
      <c r="L30" s="136" t="str">
        <f t="shared" si="1"/>
        <v>Tuesday</v>
      </c>
      <c r="M30" s="136" t="str">
        <f>IFERROR(__xludf.DUMMYFUNCTION("""COMPUTED_VALUE"""),"BF")</f>
        <v>BF</v>
      </c>
      <c r="N30" s="75">
        <v>1.3629453398366689</v>
      </c>
      <c r="O30" s="136" t="str">
        <f>IFERROR(__xludf.DUMMYFUNCTION("""COMPUTED_VALUE"""),"")</f>
        <v/>
      </c>
      <c r="P30" s="136" t="str">
        <f>IFERROR(__xludf.DUMMYFUNCTION("""COMPUTED_VALUE"""),"")</f>
        <v/>
      </c>
      <c r="Q30" s="106" t="str">
        <f>IFERROR(__xludf.DUMMYFUNCTION("""COMPUTED_VALUE"""),"")</f>
        <v/>
      </c>
      <c r="R30" s="106" t="str">
        <f>IFERROR(__xludf.DUMMYFUNCTION("""COMPUTED_VALUE"""),"")</f>
        <v/>
      </c>
      <c r="S30" s="139" t="str">
        <f>IFERROR(__xludf.DUMMYFUNCTION("""COMPUTED_VALUE"""),"")</f>
        <v/>
      </c>
      <c r="T30" s="139" t="str">
        <f>IFERROR(__xludf.DUMMYFUNCTION("""COMPUTED_VALUE"""),"")</f>
        <v/>
      </c>
      <c r="U30" s="136" t="str">
        <f>IFERROR(__xludf.DUMMYFUNCTION("""COMPUTED_VALUE"""),"")</f>
        <v/>
      </c>
      <c r="V30" s="106" t="str">
        <f>IFERROR(__xludf.DUMMYFUNCTION("""COMPUTED_VALUE"""),"")</f>
        <v/>
      </c>
      <c r="W30" s="143" t="str">
        <f t="shared" si="2"/>
        <v/>
      </c>
      <c r="X30" s="139" t="str">
        <f>IFERROR(__xludf.DUMMYFUNCTION("""COMPUTED_VALUE"""),"")</f>
        <v/>
      </c>
      <c r="Y30" s="141" t="str">
        <f>IFERROR(__xludf.DUMMYFUNCTION("""COMPUTED_VALUE"""),"")</f>
        <v/>
      </c>
    </row>
    <row r="31">
      <c r="A31" s="144">
        <f>IFERROR(__xludf.DUMMYFUNCTION("""COMPUTED_VALUE"""),46056.83851019676)</f>
        <v>46056.83851</v>
      </c>
      <c r="B31" s="136" t="str">
        <f>IFERROR(__xludf.DUMMYFUNCTION("""COMPUTED_VALUE"""),"Leah Bucci")</f>
        <v>Leah Bucci</v>
      </c>
      <c r="C31" s="136" t="b">
        <f t="shared" si="3"/>
        <v>1</v>
      </c>
      <c r="D31" s="137">
        <f>IFERROR(__xludf.DUMMYFUNCTION("""COMPUTED_VALUE"""),0.7534722222189885)</f>
        <v>0.7534722222</v>
      </c>
      <c r="E31" s="106">
        <f>IFERROR(__xludf.DUMMYFUNCTION("""COMPUTED_VALUE"""),0.08680555556202307)</f>
        <v>0.08680555556</v>
      </c>
      <c r="F31" s="137">
        <f>IFERROR(__xludf.DUMMYFUNCTION("""COMPUTED_VALUE"""),0.8402777777810115)</f>
        <v>0.8402777778</v>
      </c>
      <c r="G31" s="106" t="s">
        <v>133</v>
      </c>
      <c r="H31" s="136">
        <f>IFERROR(__xludf.DUMMYFUNCTION("""COMPUTED_VALUE"""),63.0)</f>
        <v>63</v>
      </c>
      <c r="I31" s="139" t="s">
        <v>133</v>
      </c>
      <c r="J31" s="136" t="s">
        <v>18</v>
      </c>
      <c r="K31" s="146">
        <f>IFERROR(__xludf.DUMMYFUNCTION("""COMPUTED_VALUE"""),46056.0)</f>
        <v>46056</v>
      </c>
      <c r="L31" s="136" t="str">
        <f t="shared" si="1"/>
        <v>Tuesday</v>
      </c>
      <c r="M31" s="136" t="str">
        <f>IFERROR(__xludf.DUMMYFUNCTION("""COMPUTED_VALUE"""),"BF")</f>
        <v>BF</v>
      </c>
      <c r="N31" s="75" t="s">
        <v>133</v>
      </c>
      <c r="O31" s="136" t="str">
        <f>IFERROR(__xludf.DUMMYFUNCTION("""COMPUTED_VALUE"""),"")</f>
        <v/>
      </c>
      <c r="P31" s="136" t="str">
        <f>IFERROR(__xludf.DUMMYFUNCTION("""COMPUTED_VALUE"""),"")</f>
        <v/>
      </c>
      <c r="Q31" s="106" t="str">
        <f>IFERROR(__xludf.DUMMYFUNCTION("""COMPUTED_VALUE"""),"")</f>
        <v/>
      </c>
      <c r="R31" s="106" t="str">
        <f>IFERROR(__xludf.DUMMYFUNCTION("""COMPUTED_VALUE"""),"")</f>
        <v/>
      </c>
      <c r="S31" s="139" t="str">
        <f>IFERROR(__xludf.DUMMYFUNCTION("""COMPUTED_VALUE"""),"")</f>
        <v/>
      </c>
      <c r="T31" s="139" t="str">
        <f>IFERROR(__xludf.DUMMYFUNCTION("""COMPUTED_VALUE"""),"")</f>
        <v/>
      </c>
      <c r="U31" s="136" t="str">
        <f>IFERROR(__xludf.DUMMYFUNCTION("""COMPUTED_VALUE"""),"")</f>
        <v/>
      </c>
      <c r="V31" s="106" t="str">
        <f>IFERROR(__xludf.DUMMYFUNCTION("""COMPUTED_VALUE"""),"")</f>
        <v/>
      </c>
      <c r="W31" s="143" t="str">
        <f t="shared" si="2"/>
        <v/>
      </c>
      <c r="X31" s="139" t="str">
        <f>IFERROR(__xludf.DUMMYFUNCTION("""COMPUTED_VALUE"""),"")</f>
        <v/>
      </c>
      <c r="Y31" s="141" t="str">
        <f>IFERROR(__xludf.DUMMYFUNCTION("""COMPUTED_VALUE"""),"")</f>
        <v/>
      </c>
    </row>
    <row r="32">
      <c r="A32" s="144">
        <f>IFERROR(__xludf.DUMMYFUNCTION("""COMPUTED_VALUE"""),46056.84040743056)</f>
        <v>46056.84041</v>
      </c>
      <c r="B32" s="136" t="str">
        <f>IFERROR(__xludf.DUMMYFUNCTION("""COMPUTED_VALUE"""),"Alexis Sylvestre")</f>
        <v>Alexis Sylvestre</v>
      </c>
      <c r="C32" s="136" t="b">
        <f t="shared" si="3"/>
        <v>0</v>
      </c>
      <c r="D32" s="137">
        <f>IFERROR(__xludf.DUMMYFUNCTION("""COMPUTED_VALUE"""),0.6666666666642413)</f>
        <v>0.6666666667</v>
      </c>
      <c r="E32" s="106">
        <f>IFERROR(__xludf.DUMMYFUNCTION("""COMPUTED_VALUE"""),0.0847222222291748)</f>
        <v>0.08472222223</v>
      </c>
      <c r="F32" s="137">
        <f>IFERROR(__xludf.DUMMYFUNCTION("""COMPUTED_VALUE"""),0.7513888888934162)</f>
        <v>0.7513888889</v>
      </c>
      <c r="G32" s="106">
        <v>0.0847222222291748</v>
      </c>
      <c r="H32" s="136">
        <f>IFERROR(__xludf.DUMMYFUNCTION("""COMPUTED_VALUE"""),99.0)</f>
        <v>99</v>
      </c>
      <c r="I32" s="139">
        <v>48.6885245861684</v>
      </c>
      <c r="J32" s="136" t="s">
        <v>18</v>
      </c>
      <c r="K32" s="146">
        <f>IFERROR(__xludf.DUMMYFUNCTION("""COMPUTED_VALUE"""),46056.0)</f>
        <v>46056</v>
      </c>
      <c r="L32" s="136" t="str">
        <f t="shared" si="1"/>
        <v>Tuesday</v>
      </c>
      <c r="M32" s="136" t="str">
        <f>IFERROR(__xludf.DUMMYFUNCTION("""COMPUTED_VALUE"""),"MF")</f>
        <v>MF</v>
      </c>
      <c r="N32" s="75">
        <v>1.0183869790176476</v>
      </c>
      <c r="O32" s="136" t="str">
        <f>IFERROR(__xludf.DUMMYFUNCTION("""COMPUTED_VALUE"""),"")</f>
        <v/>
      </c>
      <c r="P32" s="136" t="str">
        <f>IFERROR(__xludf.DUMMYFUNCTION("""COMPUTED_VALUE"""),"")</f>
        <v/>
      </c>
      <c r="Q32" s="106" t="str">
        <f>IFERROR(__xludf.DUMMYFUNCTION("""COMPUTED_VALUE"""),"")</f>
        <v/>
      </c>
      <c r="R32" s="106" t="str">
        <f>IFERROR(__xludf.DUMMYFUNCTION("""COMPUTED_VALUE"""),"")</f>
        <v/>
      </c>
      <c r="S32" s="139" t="str">
        <f>IFERROR(__xludf.DUMMYFUNCTION("""COMPUTED_VALUE"""),"")</f>
        <v/>
      </c>
      <c r="T32" s="139" t="str">
        <f>IFERROR(__xludf.DUMMYFUNCTION("""COMPUTED_VALUE"""),"")</f>
        <v/>
      </c>
      <c r="U32" s="136" t="str">
        <f>IFERROR(__xludf.DUMMYFUNCTION("""COMPUTED_VALUE"""),"")</f>
        <v/>
      </c>
      <c r="V32" s="106" t="str">
        <f>IFERROR(__xludf.DUMMYFUNCTION("""COMPUTED_VALUE"""),"")</f>
        <v/>
      </c>
      <c r="W32" s="143" t="str">
        <f t="shared" si="2"/>
        <v/>
      </c>
      <c r="X32" s="139" t="str">
        <f>IFERROR(__xludf.DUMMYFUNCTION("""COMPUTED_VALUE"""),"")</f>
        <v/>
      </c>
      <c r="Y32" s="141" t="str">
        <f>IFERROR(__xludf.DUMMYFUNCTION("""COMPUTED_VALUE"""),"")</f>
        <v/>
      </c>
    </row>
    <row r="33">
      <c r="A33" s="144">
        <f>IFERROR(__xludf.DUMMYFUNCTION("""COMPUTED_VALUE"""),46057.062216307866)</f>
        <v>46057.06222</v>
      </c>
      <c r="B33" s="136" t="str">
        <f>IFERROR(__xludf.DUMMYFUNCTION("""COMPUTED_VALUE"""),"Arjya Aich")</f>
        <v>Arjya Aich</v>
      </c>
      <c r="C33" s="136" t="b">
        <f t="shared" si="3"/>
        <v>0</v>
      </c>
      <c r="D33" s="137">
        <f>IFERROR(__xludf.DUMMYFUNCTION("""COMPUTED_VALUE"""),0.7916666666642413)</f>
        <v>0.7916666667</v>
      </c>
      <c r="E33" s="106">
        <f>IFERROR(__xludf.DUMMYFUNCTION("""COMPUTED_VALUE"""),0.08333333333575865)</f>
        <v>0.08333333334</v>
      </c>
      <c r="F33" s="137">
        <f>IFERROR(__xludf.DUMMYFUNCTION("""COMPUTED_VALUE"""),0.875)</f>
        <v>0.875</v>
      </c>
      <c r="G33" s="106">
        <v>0.08333333333575865</v>
      </c>
      <c r="H33" s="136">
        <f>IFERROR(__xludf.DUMMYFUNCTION("""COMPUTED_VALUE"""),89.0)</f>
        <v>89</v>
      </c>
      <c r="I33" s="139">
        <v>44.49999999870488</v>
      </c>
      <c r="J33" s="136" t="s">
        <v>18</v>
      </c>
      <c r="K33" s="146">
        <f>IFERROR(__xludf.DUMMYFUNCTION("""COMPUTED_VALUE"""),46056.0)</f>
        <v>46056</v>
      </c>
      <c r="L33" s="136" t="str">
        <f t="shared" si="1"/>
        <v>Tuesday</v>
      </c>
      <c r="M33" s="136" t="str">
        <f>IFERROR(__xludf.DUMMYFUNCTION("""COMPUTED_VALUE"""),"MF")</f>
        <v>MF</v>
      </c>
      <c r="N33" s="141">
        <v>0.9307782675723253</v>
      </c>
      <c r="O33" s="136" t="str">
        <f>IFERROR(__xludf.DUMMYFUNCTION("""COMPUTED_VALUE"""),"")</f>
        <v/>
      </c>
      <c r="P33" s="136" t="str">
        <f>IFERROR(__xludf.DUMMYFUNCTION("""COMPUTED_VALUE"""),"")</f>
        <v/>
      </c>
      <c r="Q33" s="106" t="str">
        <f>IFERROR(__xludf.DUMMYFUNCTION("""COMPUTED_VALUE"""),"")</f>
        <v/>
      </c>
      <c r="R33" s="106" t="str">
        <f>IFERROR(__xludf.DUMMYFUNCTION("""COMPUTED_VALUE"""),"")</f>
        <v/>
      </c>
      <c r="S33" s="139" t="str">
        <f>IFERROR(__xludf.DUMMYFUNCTION("""COMPUTED_VALUE"""),"")</f>
        <v/>
      </c>
      <c r="T33" s="139" t="str">
        <f>IFERROR(__xludf.DUMMYFUNCTION("""COMPUTED_VALUE"""),"")</f>
        <v/>
      </c>
      <c r="U33" s="136" t="str">
        <f>IFERROR(__xludf.DUMMYFUNCTION("""COMPUTED_VALUE"""),"")</f>
        <v/>
      </c>
      <c r="V33" s="106" t="str">
        <f>IFERROR(__xludf.DUMMYFUNCTION("""COMPUTED_VALUE"""),"")</f>
        <v/>
      </c>
      <c r="W33" s="143" t="str">
        <f t="shared" si="2"/>
        <v/>
      </c>
      <c r="X33" s="139" t="str">
        <f>IFERROR(__xludf.DUMMYFUNCTION("""COMPUTED_VALUE"""),"")</f>
        <v/>
      </c>
      <c r="Y33" s="141" t="str">
        <f>IFERROR(__xludf.DUMMYFUNCTION("""COMPUTED_VALUE"""),"")</f>
        <v/>
      </c>
    </row>
    <row r="34">
      <c r="A34" s="144">
        <f>IFERROR(__xludf.DUMMYFUNCTION("""COMPUTED_VALUE"""),46057.37776274305)</f>
        <v>46057.37776</v>
      </c>
      <c r="B34" s="136" t="str">
        <f>IFERROR(__xludf.DUMMYFUNCTION("""COMPUTED_VALUE"""),"Oluwatimilehin Shodipe")</f>
        <v>Oluwatimilehin Shodipe</v>
      </c>
      <c r="C34" s="136" t="b">
        <f t="shared" si="3"/>
        <v>0</v>
      </c>
      <c r="D34" s="137">
        <f>IFERROR(__xludf.DUMMYFUNCTION("""COMPUTED_VALUE"""),0.5243055555547471)</f>
        <v>0.5243055556</v>
      </c>
      <c r="E34" s="106">
        <f>IFERROR(__xludf.DUMMYFUNCTION("""COMPUTED_VALUE"""),0.12152777777858625)</f>
        <v>0.1215277778</v>
      </c>
      <c r="F34" s="137">
        <f>IFERROR(__xludf.DUMMYFUNCTION("""COMPUTED_VALUE"""),0.6458333333333334)</f>
        <v>0.6458333333</v>
      </c>
      <c r="G34" s="106">
        <v>0.12152777777858625</v>
      </c>
      <c r="H34" s="136">
        <f>IFERROR(__xludf.DUMMYFUNCTION("""COMPUTED_VALUE"""),81.0)</f>
        <v>81</v>
      </c>
      <c r="I34" s="139">
        <v>27.77142857124382</v>
      </c>
      <c r="J34" s="136" t="s">
        <v>15</v>
      </c>
      <c r="K34" s="146">
        <f>IFERROR(__xludf.DUMMYFUNCTION("""COMPUTED_VALUE"""),46056.0)</f>
        <v>46056</v>
      </c>
      <c r="L34" s="136" t="str">
        <f t="shared" si="1"/>
        <v>Tuesday</v>
      </c>
      <c r="M34" s="136" t="str">
        <f>IFERROR(__xludf.DUMMYFUNCTION("""COMPUTED_VALUE"""),"BF")</f>
        <v>BF</v>
      </c>
      <c r="N34" s="141">
        <v>0.979569399922175</v>
      </c>
      <c r="O34" s="136">
        <f>IFERROR(__xludf.DUMMYFUNCTION("""COMPUTED_VALUE"""),383.0)</f>
        <v>383</v>
      </c>
      <c r="P34" s="136">
        <f>IFERROR(__xludf.DUMMYFUNCTION("""COMPUTED_VALUE"""),507.0)</f>
        <v>507</v>
      </c>
      <c r="Q34" s="106">
        <f>IFERROR(__xludf.DUMMYFUNCTION("""COMPUTED_VALUE"""),0.3006944444568944)</f>
        <v>0.3006944445</v>
      </c>
      <c r="R34" s="106">
        <f>IFERROR(__xludf.DUMMYFUNCTION("""COMPUTED_VALUE"""),0.4909722222267495)</f>
        <v>0.4909722222</v>
      </c>
      <c r="S34" s="139">
        <f>IFERROR(__xludf.DUMMYFUNCTION("""COMPUTED_VALUE"""),51.48168969535743)</f>
        <v>51.4816897</v>
      </c>
      <c r="T34" s="139">
        <f>IFERROR(__xludf.DUMMYFUNCTION("""COMPUTED_VALUE"""),41.98204646538677)</f>
        <v>41.98204647</v>
      </c>
      <c r="U34" s="136">
        <f>IFERROR(__xludf.DUMMYFUNCTION("""COMPUTED_VALUE"""),890.0)</f>
        <v>890</v>
      </c>
      <c r="V34" s="106">
        <f>IFERROR(__xludf.DUMMYFUNCTION("""COMPUTED_VALUE"""),0.7916666666836439)</f>
        <v>0.7916666667</v>
      </c>
      <c r="W34" s="143">
        <f t="shared" si="2"/>
        <v>46.84210526</v>
      </c>
      <c r="X34" s="139">
        <f>IFERROR(__xludf.DUMMYFUNCTION("""COMPUTED_VALUE"""),46.053322135374195)</f>
        <v>46.05332214</v>
      </c>
      <c r="Y34" s="141">
        <f>IFERROR(__xludf.DUMMYFUNCTION("""COMPUTED_VALUE"""),0.638093783355412)</f>
        <v>0.6380937834</v>
      </c>
    </row>
    <row r="35">
      <c r="A35" s="144">
        <f>IFERROR(__xludf.DUMMYFUNCTION("""COMPUTED_VALUE"""),46057.389669236116)</f>
        <v>46057.38967</v>
      </c>
      <c r="B35" s="136" t="str">
        <f>IFERROR(__xludf.DUMMYFUNCTION("""COMPUTED_VALUE"""),"Kaylie Forgue")</f>
        <v>Kaylie Forgue</v>
      </c>
      <c r="C35" s="136" t="b">
        <f t="shared" si="3"/>
        <v>0</v>
      </c>
      <c r="D35" s="137">
        <f>IFERROR(__xludf.DUMMYFUNCTION("""COMPUTED_VALUE"""),0.3118055555532919)</f>
        <v>0.3118055556</v>
      </c>
      <c r="E35" s="106">
        <f>IFERROR(__xludf.DUMMYFUNCTION("""COMPUTED_VALUE"""),0.05625000000145519)</f>
        <v>0.05625</v>
      </c>
      <c r="F35" s="137">
        <f>IFERROR(__xludf.DUMMYFUNCTION("""COMPUTED_VALUE"""),0.3680555555547471)</f>
        <v>0.3680555556</v>
      </c>
      <c r="G35" s="106">
        <v>0.05625000000145519</v>
      </c>
      <c r="H35" s="136">
        <f>IFERROR(__xludf.DUMMYFUNCTION("""COMPUTED_VALUE"""),92.0)</f>
        <v>92</v>
      </c>
      <c r="I35" s="139">
        <v>68.14814814638515</v>
      </c>
      <c r="J35" s="136" t="s">
        <v>12</v>
      </c>
      <c r="K35" s="146">
        <f>IFERROR(__xludf.DUMMYFUNCTION("""COMPUTED_VALUE"""),46057.0)</f>
        <v>46057</v>
      </c>
      <c r="L35" s="136" t="str">
        <f t="shared" si="1"/>
        <v>Wednesday</v>
      </c>
      <c r="M35" s="136" t="str">
        <f>IFERROR(__xludf.DUMMYFUNCTION("""COMPUTED_VALUE"""),"BF")</f>
        <v>BF</v>
      </c>
      <c r="N35" s="141">
        <v>2.403759691882935</v>
      </c>
      <c r="O35" s="136" t="str">
        <f>IFERROR(__xludf.DUMMYFUNCTION("""COMPUTED_VALUE"""),"")</f>
        <v/>
      </c>
      <c r="P35" s="136" t="str">
        <f>IFERROR(__xludf.DUMMYFUNCTION("""COMPUTED_VALUE"""),"")</f>
        <v/>
      </c>
      <c r="Q35" s="106" t="str">
        <f>IFERROR(__xludf.DUMMYFUNCTION("""COMPUTED_VALUE"""),"")</f>
        <v/>
      </c>
      <c r="R35" s="106" t="str">
        <f>IFERROR(__xludf.DUMMYFUNCTION("""COMPUTED_VALUE"""),"")</f>
        <v/>
      </c>
      <c r="S35" s="139" t="str">
        <f>IFERROR(__xludf.DUMMYFUNCTION("""COMPUTED_VALUE"""),"")</f>
        <v/>
      </c>
      <c r="T35" s="139" t="str">
        <f>IFERROR(__xludf.DUMMYFUNCTION("""COMPUTED_VALUE"""),"")</f>
        <v/>
      </c>
      <c r="U35" s="136" t="str">
        <f>IFERROR(__xludf.DUMMYFUNCTION("""COMPUTED_VALUE"""),"")</f>
        <v/>
      </c>
      <c r="V35" s="106" t="str">
        <f>IFERROR(__xludf.DUMMYFUNCTION("""COMPUTED_VALUE"""),"")</f>
        <v/>
      </c>
      <c r="W35" s="143" t="str">
        <f t="shared" si="2"/>
        <v/>
      </c>
      <c r="X35" s="139" t="str">
        <f>IFERROR(__xludf.DUMMYFUNCTION("""COMPUTED_VALUE"""),"")</f>
        <v/>
      </c>
      <c r="Y35" s="141" t="str">
        <f>IFERROR(__xludf.DUMMYFUNCTION("""COMPUTED_VALUE"""),"")</f>
        <v/>
      </c>
    </row>
    <row r="36">
      <c r="A36" s="144">
        <f>IFERROR(__xludf.DUMMYFUNCTION("""COMPUTED_VALUE"""),46057.537840868055)</f>
        <v>46057.53784</v>
      </c>
      <c r="B36" s="136" t="str">
        <f>IFERROR(__xludf.DUMMYFUNCTION("""COMPUTED_VALUE"""),"Oluwatimilehin Shodipe")</f>
        <v>Oluwatimilehin Shodipe</v>
      </c>
      <c r="C36" s="136" t="b">
        <f t="shared" si="3"/>
        <v>0</v>
      </c>
      <c r="D36" s="137">
        <f>IFERROR(__xludf.DUMMYFUNCTION("""COMPUTED_VALUE"""),0.47916666666424135)</f>
        <v>0.4791666667</v>
      </c>
      <c r="E36" s="106">
        <f>IFERROR(__xludf.DUMMYFUNCTION("""COMPUTED_VALUE"""),0.05902777778101154)</f>
        <v>0.05902777778</v>
      </c>
      <c r="F36" s="137">
        <f>IFERROR(__xludf.DUMMYFUNCTION("""COMPUTED_VALUE"""),0.5381944444452529)</f>
        <v>0.5381944444</v>
      </c>
      <c r="G36" s="106">
        <v>0.05902777778101154</v>
      </c>
      <c r="H36" s="136">
        <f>IFERROR(__xludf.DUMMYFUNCTION("""COMPUTED_VALUE"""),65.0)</f>
        <v>65</v>
      </c>
      <c r="I36" s="139">
        <v>45.88235293866287</v>
      </c>
      <c r="J36" s="136" t="s">
        <v>15</v>
      </c>
      <c r="K36" s="146">
        <f>IFERROR(__xludf.DUMMYFUNCTION("""COMPUTED_VALUE"""),46057.0)</f>
        <v>46057</v>
      </c>
      <c r="L36" s="136" t="str">
        <f t="shared" si="1"/>
        <v>Wednesday</v>
      </c>
      <c r="M36" s="136" t="str">
        <f>IFERROR(__xludf.DUMMYFUNCTION("""COMPUTED_VALUE"""),"MF")</f>
        <v>MF</v>
      </c>
      <c r="N36" s="141">
        <v>0.9125823299231411</v>
      </c>
      <c r="O36" s="136" t="str">
        <f>IFERROR(__xludf.DUMMYFUNCTION("""COMPUTED_VALUE"""),"")</f>
        <v/>
      </c>
      <c r="P36" s="136" t="str">
        <f>IFERROR(__xludf.DUMMYFUNCTION("""COMPUTED_VALUE"""),"")</f>
        <v/>
      </c>
      <c r="Q36" s="106" t="str">
        <f>IFERROR(__xludf.DUMMYFUNCTION("""COMPUTED_VALUE"""),"")</f>
        <v/>
      </c>
      <c r="R36" s="106" t="str">
        <f>IFERROR(__xludf.DUMMYFUNCTION("""COMPUTED_VALUE"""),"")</f>
        <v/>
      </c>
      <c r="S36" s="139" t="str">
        <f>IFERROR(__xludf.DUMMYFUNCTION("""COMPUTED_VALUE"""),"")</f>
        <v/>
      </c>
      <c r="T36" s="139" t="str">
        <f>IFERROR(__xludf.DUMMYFUNCTION("""COMPUTED_VALUE"""),"")</f>
        <v/>
      </c>
      <c r="U36" s="136" t="str">
        <f>IFERROR(__xludf.DUMMYFUNCTION("""COMPUTED_VALUE"""),"")</f>
        <v/>
      </c>
      <c r="V36" s="106" t="str">
        <f>IFERROR(__xludf.DUMMYFUNCTION("""COMPUTED_VALUE"""),"")</f>
        <v/>
      </c>
      <c r="W36" s="143" t="str">
        <f t="shared" si="2"/>
        <v/>
      </c>
      <c r="X36" s="139" t="str">
        <f>IFERROR(__xludf.DUMMYFUNCTION("""COMPUTED_VALUE"""),"")</f>
        <v/>
      </c>
      <c r="Y36" s="141" t="str">
        <f>IFERROR(__xludf.DUMMYFUNCTION("""COMPUTED_VALUE"""),"")</f>
        <v/>
      </c>
    </row>
    <row r="37">
      <c r="A37" s="144">
        <f>IFERROR(__xludf.DUMMYFUNCTION("""COMPUTED_VALUE"""),46057.62108427084)</f>
        <v>46057.62108</v>
      </c>
      <c r="B37" s="136" t="str">
        <f>IFERROR(__xludf.DUMMYFUNCTION("""COMPUTED_VALUE"""),"Evan Morgan")</f>
        <v>Evan Morgan</v>
      </c>
      <c r="C37" s="136" t="b">
        <f t="shared" si="3"/>
        <v>0</v>
      </c>
      <c r="D37" s="137">
        <f>IFERROR(__xludf.DUMMYFUNCTION("""COMPUTED_VALUE"""),0.5416666666642413)</f>
        <v>0.5416666667</v>
      </c>
      <c r="E37" s="106">
        <f>IFERROR(__xludf.DUMMYFUNCTION("""COMPUTED_VALUE"""),0.07916666667006211)</f>
        <v>0.07916666667</v>
      </c>
      <c r="F37" s="137">
        <f>IFERROR(__xludf.DUMMYFUNCTION("""COMPUTED_VALUE"""),0.6208333333343035)</f>
        <v>0.6208333333</v>
      </c>
      <c r="G37" s="106">
        <v>0.07916666667006211</v>
      </c>
      <c r="H37" s="136">
        <f>IFERROR(__xludf.DUMMYFUNCTION("""COMPUTED_VALUE"""),90.0)</f>
        <v>90</v>
      </c>
      <c r="I37" s="139">
        <v>47.368421050599956</v>
      </c>
      <c r="J37" s="136" t="s">
        <v>15</v>
      </c>
      <c r="K37" s="146">
        <f>IFERROR(__xludf.DUMMYFUNCTION("""COMPUTED_VALUE"""),46057.0)</f>
        <v>46057</v>
      </c>
      <c r="L37" s="136" t="str">
        <f t="shared" si="1"/>
        <v>Wednesday</v>
      </c>
      <c r="M37" s="136" t="str">
        <f>IFERROR(__xludf.DUMMYFUNCTION("""COMPUTED_VALUE"""),"MF")</f>
        <v>MF</v>
      </c>
      <c r="N37" s="141">
        <v>0.9421396523610073</v>
      </c>
      <c r="O37" s="136" t="str">
        <f>IFERROR(__xludf.DUMMYFUNCTION("""COMPUTED_VALUE"""),"")</f>
        <v/>
      </c>
      <c r="P37" s="136" t="str">
        <f>IFERROR(__xludf.DUMMYFUNCTION("""COMPUTED_VALUE"""),"")</f>
        <v/>
      </c>
      <c r="Q37" s="106" t="str">
        <f>IFERROR(__xludf.DUMMYFUNCTION("""COMPUTED_VALUE"""),"")</f>
        <v/>
      </c>
      <c r="R37" s="106" t="str">
        <f>IFERROR(__xludf.DUMMYFUNCTION("""COMPUTED_VALUE"""),"")</f>
        <v/>
      </c>
      <c r="S37" s="139" t="str">
        <f>IFERROR(__xludf.DUMMYFUNCTION("""COMPUTED_VALUE"""),"")</f>
        <v/>
      </c>
      <c r="T37" s="139" t="str">
        <f>IFERROR(__xludf.DUMMYFUNCTION("""COMPUTED_VALUE"""),"")</f>
        <v/>
      </c>
      <c r="U37" s="136" t="str">
        <f>IFERROR(__xludf.DUMMYFUNCTION("""COMPUTED_VALUE"""),"")</f>
        <v/>
      </c>
      <c r="V37" s="106" t="str">
        <f>IFERROR(__xludf.DUMMYFUNCTION("""COMPUTED_VALUE"""),"")</f>
        <v/>
      </c>
      <c r="W37" s="143" t="str">
        <f t="shared" si="2"/>
        <v/>
      </c>
      <c r="X37" s="139" t="str">
        <f>IFERROR(__xludf.DUMMYFUNCTION("""COMPUTED_VALUE"""),"")</f>
        <v/>
      </c>
      <c r="Y37" s="141" t="str">
        <f>IFERROR(__xludf.DUMMYFUNCTION("""COMPUTED_VALUE"""),"")</f>
        <v/>
      </c>
    </row>
    <row r="38">
      <c r="A38" s="144">
        <f>IFERROR(__xludf.DUMMYFUNCTION("""COMPUTED_VALUE"""),46057.642263553236)</f>
        <v>46057.64226</v>
      </c>
      <c r="B38" s="136" t="str">
        <f>IFERROR(__xludf.DUMMYFUNCTION("""COMPUTED_VALUE"""),"Arjya Aich")</f>
        <v>Arjya Aich</v>
      </c>
      <c r="C38" s="136" t="b">
        <f t="shared" si="3"/>
        <v>0</v>
      </c>
      <c r="D38" s="137">
        <f>IFERROR(__xludf.DUMMYFUNCTION("""COMPUTED_VALUE"""),0.5)</f>
        <v>0.5</v>
      </c>
      <c r="E38" s="106">
        <f>IFERROR(__xludf.DUMMYFUNCTION("""COMPUTED_VALUE"""),0.14583333333575865)</f>
        <v>0.1458333333</v>
      </c>
      <c r="F38" s="137">
        <f>IFERROR(__xludf.DUMMYFUNCTION("""COMPUTED_VALUE"""),0.6458333333357587)</f>
        <v>0.6458333333</v>
      </c>
      <c r="G38" s="106">
        <v>0.14583333333575865</v>
      </c>
      <c r="H38" s="136">
        <f>IFERROR(__xludf.DUMMYFUNCTION("""COMPUTED_VALUE"""),19.0)</f>
        <v>19</v>
      </c>
      <c r="I38" s="139">
        <v>5.428571428481147</v>
      </c>
      <c r="J38" s="136" t="s">
        <v>15</v>
      </c>
      <c r="K38" s="146">
        <f>IFERROR(__xludf.DUMMYFUNCTION("""COMPUTED_VALUE"""),46057.0)</f>
        <v>46057</v>
      </c>
      <c r="L38" s="136" t="str">
        <f t="shared" si="1"/>
        <v>Wednesday</v>
      </c>
      <c r="M38" s="136" t="str">
        <f>IFERROR(__xludf.DUMMYFUNCTION("""COMPUTED_VALUE"""),"BF")</f>
        <v>BF</v>
      </c>
      <c r="N38" s="141">
        <v>0.1914796152092141</v>
      </c>
      <c r="O38" s="136" t="str">
        <f>IFERROR(__xludf.DUMMYFUNCTION("""COMPUTED_VALUE"""),"")</f>
        <v/>
      </c>
      <c r="P38" s="136" t="str">
        <f>IFERROR(__xludf.DUMMYFUNCTION("""COMPUTED_VALUE"""),"")</f>
        <v/>
      </c>
      <c r="Q38" s="106" t="str">
        <f>IFERROR(__xludf.DUMMYFUNCTION("""COMPUTED_VALUE"""),"")</f>
        <v/>
      </c>
      <c r="R38" s="106" t="str">
        <f>IFERROR(__xludf.DUMMYFUNCTION("""COMPUTED_VALUE"""),"")</f>
        <v/>
      </c>
      <c r="S38" s="139" t="str">
        <f>IFERROR(__xludf.DUMMYFUNCTION("""COMPUTED_VALUE"""),"")</f>
        <v/>
      </c>
      <c r="T38" s="139" t="str">
        <f>IFERROR(__xludf.DUMMYFUNCTION("""COMPUTED_VALUE"""),"")</f>
        <v/>
      </c>
      <c r="U38" s="136" t="str">
        <f>IFERROR(__xludf.DUMMYFUNCTION("""COMPUTED_VALUE"""),"")</f>
        <v/>
      </c>
      <c r="V38" s="106" t="str">
        <f>IFERROR(__xludf.DUMMYFUNCTION("""COMPUTED_VALUE"""),"")</f>
        <v/>
      </c>
      <c r="W38" s="143" t="str">
        <f t="shared" si="2"/>
        <v/>
      </c>
      <c r="X38" s="139" t="str">
        <f>IFERROR(__xludf.DUMMYFUNCTION("""COMPUTED_VALUE"""),"")</f>
        <v/>
      </c>
      <c r="Y38" s="141" t="str">
        <f>IFERROR(__xludf.DUMMYFUNCTION("""COMPUTED_VALUE"""),"")</f>
        <v/>
      </c>
      <c r="AF38" s="139"/>
    </row>
    <row r="39">
      <c r="A39" s="144">
        <f>IFERROR(__xludf.DUMMYFUNCTION("""COMPUTED_VALUE"""),46057.736328935185)</f>
        <v>46057.73633</v>
      </c>
      <c r="B39" s="136" t="str">
        <f>IFERROR(__xludf.DUMMYFUNCTION("""COMPUTED_VALUE"""),"Evan Morgan")</f>
        <v>Evan Morgan</v>
      </c>
      <c r="C39" s="136" t="b">
        <f t="shared" si="3"/>
        <v>0</v>
      </c>
      <c r="D39" s="137">
        <f>IFERROR(__xludf.DUMMYFUNCTION("""COMPUTED_VALUE"""),0.6666666666642413)</f>
        <v>0.6666666667</v>
      </c>
      <c r="E39" s="106">
        <f>IFERROR(__xludf.DUMMYFUNCTION("""COMPUTED_VALUE"""),0.0729166666715173)</f>
        <v>0.07291666667</v>
      </c>
      <c r="F39" s="137">
        <f>IFERROR(__xludf.DUMMYFUNCTION("""COMPUTED_VALUE"""),0.7395833333357587)</f>
        <v>0.7395833333</v>
      </c>
      <c r="G39" s="106">
        <v>0.0729166666715173</v>
      </c>
      <c r="H39" s="136">
        <f>IFERROR(__xludf.DUMMYFUNCTION("""COMPUTED_VALUE"""),58.0)</f>
        <v>58</v>
      </c>
      <c r="I39" s="139">
        <v>33.14285714065238</v>
      </c>
      <c r="J39" s="136" t="s">
        <v>18</v>
      </c>
      <c r="K39" s="146">
        <f>IFERROR(__xludf.DUMMYFUNCTION("""COMPUTED_VALUE"""),46057.0)</f>
        <v>46057</v>
      </c>
      <c r="L39" s="136" t="str">
        <f t="shared" si="1"/>
        <v>Wednesday</v>
      </c>
      <c r="M39" s="136" t="str">
        <f>IFERROR(__xludf.DUMMYFUNCTION("""COMPUTED_VALUE"""),"MF")</f>
        <v>MF</v>
      </c>
      <c r="N39" s="141">
        <v>0.6932281157903665</v>
      </c>
      <c r="O39" s="136" t="str">
        <f>IFERROR(__xludf.DUMMYFUNCTION("""COMPUTED_VALUE"""),"")</f>
        <v/>
      </c>
      <c r="P39" s="136" t="str">
        <f>IFERROR(__xludf.DUMMYFUNCTION("""COMPUTED_VALUE"""),"")</f>
        <v/>
      </c>
      <c r="Q39" s="106" t="str">
        <f>IFERROR(__xludf.DUMMYFUNCTION("""COMPUTED_VALUE"""),"")</f>
        <v/>
      </c>
      <c r="R39" s="106" t="str">
        <f>IFERROR(__xludf.DUMMYFUNCTION("""COMPUTED_VALUE"""),"")</f>
        <v/>
      </c>
      <c r="S39" s="139" t="str">
        <f>IFERROR(__xludf.DUMMYFUNCTION("""COMPUTED_VALUE"""),"")</f>
        <v/>
      </c>
      <c r="T39" s="139" t="str">
        <f>IFERROR(__xludf.DUMMYFUNCTION("""COMPUTED_VALUE"""),"")</f>
        <v/>
      </c>
      <c r="U39" s="136" t="str">
        <f>IFERROR(__xludf.DUMMYFUNCTION("""COMPUTED_VALUE"""),"")</f>
        <v/>
      </c>
      <c r="V39" s="106" t="str">
        <f>IFERROR(__xludf.DUMMYFUNCTION("""COMPUTED_VALUE"""),"")</f>
        <v/>
      </c>
      <c r="W39" s="143" t="str">
        <f t="shared" si="2"/>
        <v/>
      </c>
      <c r="X39" s="139" t="str">
        <f>IFERROR(__xludf.DUMMYFUNCTION("""COMPUTED_VALUE"""),"")</f>
        <v/>
      </c>
      <c r="Y39" s="141" t="str">
        <f>IFERROR(__xludf.DUMMYFUNCTION("""COMPUTED_VALUE"""),"")</f>
        <v/>
      </c>
      <c r="AF39" s="139"/>
    </row>
    <row r="40">
      <c r="A40" s="144">
        <f>IFERROR(__xludf.DUMMYFUNCTION("""COMPUTED_VALUE"""),46057.84896283565)</f>
        <v>46057.84896</v>
      </c>
      <c r="B40" s="136" t="str">
        <f>IFERROR(__xludf.DUMMYFUNCTION("""COMPUTED_VALUE"""),"Maureen Surgot")</f>
        <v>Maureen Surgot</v>
      </c>
      <c r="C40" s="136" t="b">
        <f t="shared" si="3"/>
        <v>0</v>
      </c>
      <c r="D40" s="137">
        <f>IFERROR(__xludf.DUMMYFUNCTION("""COMPUTED_VALUE"""),0.6875)</f>
        <v>0.6875</v>
      </c>
      <c r="E40" s="106">
        <f>IFERROR(__xludf.DUMMYFUNCTION("""COMPUTED_VALUE"""),0.16666666666424135)</f>
        <v>0.1666666667</v>
      </c>
      <c r="F40" s="137">
        <f>IFERROR(__xludf.DUMMYFUNCTION("""COMPUTED_VALUE"""),0.8541666666642413)</f>
        <v>0.8541666667</v>
      </c>
      <c r="G40" s="106">
        <v>0.16666666666424135</v>
      </c>
      <c r="H40" s="136">
        <f>IFERROR(__xludf.DUMMYFUNCTION("""COMPUTED_VALUE"""),210.0)</f>
        <v>210</v>
      </c>
      <c r="I40" s="139">
        <v>52.500000000763976</v>
      </c>
      <c r="J40" s="136" t="s">
        <v>18</v>
      </c>
      <c r="K40" s="146">
        <f>IFERROR(__xludf.DUMMYFUNCTION("""COMPUTED_VALUE"""),46057.0)</f>
        <v>46057</v>
      </c>
      <c r="L40" s="136" t="str">
        <f t="shared" si="1"/>
        <v>Wednesday</v>
      </c>
      <c r="M40" s="136" t="str">
        <f>IFERROR(__xludf.DUMMYFUNCTION("""COMPUTED_VALUE"""),"BF")</f>
        <v>BF</v>
      </c>
      <c r="N40" s="141">
        <v>1.1815856777493605</v>
      </c>
      <c r="O40" s="136" t="str">
        <f>IFERROR(__xludf.DUMMYFUNCTION("""COMPUTED_VALUE"""),"")</f>
        <v/>
      </c>
      <c r="P40" s="136" t="str">
        <f>IFERROR(__xludf.DUMMYFUNCTION("""COMPUTED_VALUE"""),"")</f>
        <v/>
      </c>
      <c r="Q40" s="106" t="str">
        <f>IFERROR(__xludf.DUMMYFUNCTION("""COMPUTED_VALUE"""),"")</f>
        <v/>
      </c>
      <c r="R40" s="106" t="str">
        <f>IFERROR(__xludf.DUMMYFUNCTION("""COMPUTED_VALUE"""),"")</f>
        <v/>
      </c>
      <c r="S40" s="139" t="str">
        <f>IFERROR(__xludf.DUMMYFUNCTION("""COMPUTED_VALUE"""),"")</f>
        <v/>
      </c>
      <c r="T40" s="139" t="str">
        <f>IFERROR(__xludf.DUMMYFUNCTION("""COMPUTED_VALUE"""),"")</f>
        <v/>
      </c>
      <c r="U40" s="136" t="str">
        <f>IFERROR(__xludf.DUMMYFUNCTION("""COMPUTED_VALUE"""),"")</f>
        <v/>
      </c>
      <c r="V40" s="106" t="str">
        <f>IFERROR(__xludf.DUMMYFUNCTION("""COMPUTED_VALUE"""),"")</f>
        <v/>
      </c>
      <c r="W40" s="143" t="str">
        <f t="shared" si="2"/>
        <v/>
      </c>
      <c r="X40" s="139" t="str">
        <f>IFERROR(__xludf.DUMMYFUNCTION("""COMPUTED_VALUE"""),"")</f>
        <v/>
      </c>
      <c r="Y40" s="141" t="str">
        <f>IFERROR(__xludf.DUMMYFUNCTION("""COMPUTED_VALUE"""),"")</f>
        <v/>
      </c>
      <c r="AF40" s="139"/>
    </row>
    <row r="41">
      <c r="A41" s="144">
        <f>IFERROR(__xludf.DUMMYFUNCTION("""COMPUTED_VALUE"""),46057.97156842593)</f>
        <v>46057.97157</v>
      </c>
      <c r="B41" s="136" t="str">
        <f>IFERROR(__xludf.DUMMYFUNCTION("""COMPUTED_VALUE"""),"Oluwatimilehin Shodipe")</f>
        <v>Oluwatimilehin Shodipe</v>
      </c>
      <c r="C41" s="136" t="b">
        <f t="shared" si="3"/>
        <v>0</v>
      </c>
      <c r="D41" s="137">
        <f>IFERROR(__xludf.DUMMYFUNCTION("""COMPUTED_VALUE"""),0.42708333333575865)</f>
        <v>0.4270833333</v>
      </c>
      <c r="E41" s="106">
        <f>IFERROR(__xludf.DUMMYFUNCTION("""COMPUTED_VALUE"""),0.04513888888322981)</f>
        <v>0.04513888888</v>
      </c>
      <c r="F41" s="137">
        <f>IFERROR(__xludf.DUMMYFUNCTION("""COMPUTED_VALUE"""),0.47222222221898846)</f>
        <v>0.4722222222</v>
      </c>
      <c r="G41" s="106">
        <v>0.04513888888322981</v>
      </c>
      <c r="H41" s="136">
        <f>IFERROR(__xludf.DUMMYFUNCTION("""COMPUTED_VALUE"""),68.0)</f>
        <v>68</v>
      </c>
      <c r="I41" s="139">
        <v>62.76923077710017</v>
      </c>
      <c r="J41" s="136" t="s">
        <v>134</v>
      </c>
      <c r="K41" s="146">
        <f>IFERROR(__xludf.DUMMYFUNCTION("""COMPUTED_VALUE"""),46057.0)</f>
        <v>46057</v>
      </c>
      <c r="L41" s="136" t="str">
        <f t="shared" si="1"/>
        <v>Wednesday</v>
      </c>
      <c r="M41" s="136" t="str">
        <f>IFERROR(__xludf.DUMMYFUNCTION("""COMPUTED_VALUE"""),"BF")</f>
        <v>BF</v>
      </c>
      <c r="N41" s="141">
        <v>1.5797975165822569</v>
      </c>
      <c r="O41" s="136">
        <f>IFERROR(__xludf.DUMMYFUNCTION("""COMPUTED_VALUE"""),213.0)</f>
        <v>213</v>
      </c>
      <c r="P41" s="136">
        <f>IFERROR(__xludf.DUMMYFUNCTION("""COMPUTED_VALUE"""),389.0)</f>
        <v>389</v>
      </c>
      <c r="Q41" s="106">
        <f>IFERROR(__xludf.DUMMYFUNCTION("""COMPUTED_VALUE"""),0.21111111112259096)</f>
        <v>0.2111111111</v>
      </c>
      <c r="R41" s="106">
        <f>IFERROR(__xludf.DUMMYFUNCTION("""COMPUTED_VALUE"""),0.413888888884685)</f>
        <v>0.4138888889</v>
      </c>
      <c r="S41" s="139">
        <f>IFERROR(__xludf.DUMMYFUNCTION("""COMPUTED_VALUE"""),42.1312103766384)</f>
        <v>42.13121038</v>
      </c>
      <c r="T41" s="139">
        <f>IFERROR(__xludf.DUMMYFUNCTION("""COMPUTED_VALUE"""),47.211487588182614)</f>
        <v>47.21148759</v>
      </c>
      <c r="U41" s="136">
        <f>IFERROR(__xludf.DUMMYFUNCTION("""COMPUTED_VALUE"""),602.0)</f>
        <v>602</v>
      </c>
      <c r="V41" s="106">
        <f>IFERROR(__xludf.DUMMYFUNCTION("""COMPUTED_VALUE"""),0.625000000007276)</f>
        <v>0.625</v>
      </c>
      <c r="W41" s="143">
        <f t="shared" si="2"/>
        <v>40.13333333</v>
      </c>
      <c r="X41" s="139">
        <f>IFERROR(__xludf.DUMMYFUNCTION("""COMPUTED_VALUE"""),45.03422592609223)</f>
        <v>45.03422593</v>
      </c>
      <c r="Y41" s="141">
        <f>IFERROR(__xludf.DUMMYFUNCTION("""COMPUTED_VALUE"""),0.9466590446671714)</f>
        <v>0.9466590447</v>
      </c>
      <c r="AF41" s="139"/>
    </row>
    <row r="42">
      <c r="A42" s="144">
        <f>IFERROR(__xludf.DUMMYFUNCTION("""COMPUTED_VALUE"""),46058.36293699074)</f>
        <v>46058.36294</v>
      </c>
      <c r="B42" s="136" t="str">
        <f>IFERROR(__xludf.DUMMYFUNCTION("""COMPUTED_VALUE"""),"Evan Morgan")</f>
        <v>Evan Morgan</v>
      </c>
      <c r="C42" s="136" t="b">
        <f t="shared" si="3"/>
        <v>0</v>
      </c>
      <c r="D42" s="137">
        <f>IFERROR(__xludf.DUMMYFUNCTION("""COMPUTED_VALUE"""),0.29166666666424135)</f>
        <v>0.2916666667</v>
      </c>
      <c r="E42" s="106">
        <f>IFERROR(__xludf.DUMMYFUNCTION("""COMPUTED_VALUE"""),0.06944444444525288)</f>
        <v>0.06944444445</v>
      </c>
      <c r="F42" s="137">
        <f>IFERROR(__xludf.DUMMYFUNCTION("""COMPUTED_VALUE"""),0.36111111110949423)</f>
        <v>0.3611111111</v>
      </c>
      <c r="G42" s="106">
        <v>0.06944444444525288</v>
      </c>
      <c r="H42" s="136">
        <f>IFERROR(__xludf.DUMMYFUNCTION("""COMPUTED_VALUE"""),18.0)</f>
        <v>18</v>
      </c>
      <c r="I42" s="139">
        <v>10.799999999874272</v>
      </c>
      <c r="J42" s="136" t="s">
        <v>12</v>
      </c>
      <c r="K42" s="146">
        <f>IFERROR(__xludf.DUMMYFUNCTION("""COMPUTED_VALUE"""),46058.0)</f>
        <v>46058</v>
      </c>
      <c r="L42" s="136" t="str">
        <f t="shared" si="1"/>
        <v>Thursday</v>
      </c>
      <c r="M42" s="136" t="str">
        <f>IFERROR(__xludf.DUMMYFUNCTION("""COMPUTED_VALUE"""),"BF")</f>
        <v>BF</v>
      </c>
      <c r="N42" s="141">
        <v>0.38094365552338977</v>
      </c>
      <c r="O42" s="136" t="str">
        <f>IFERROR(__xludf.DUMMYFUNCTION("""COMPUTED_VALUE"""),"")</f>
        <v/>
      </c>
      <c r="P42" s="136" t="str">
        <f>IFERROR(__xludf.DUMMYFUNCTION("""COMPUTED_VALUE"""),"")</f>
        <v/>
      </c>
      <c r="Q42" s="106" t="str">
        <f>IFERROR(__xludf.DUMMYFUNCTION("""COMPUTED_VALUE"""),"")</f>
        <v/>
      </c>
      <c r="R42" s="106" t="str">
        <f>IFERROR(__xludf.DUMMYFUNCTION("""COMPUTED_VALUE"""),"")</f>
        <v/>
      </c>
      <c r="S42" s="139" t="str">
        <f>IFERROR(__xludf.DUMMYFUNCTION("""COMPUTED_VALUE"""),"")</f>
        <v/>
      </c>
      <c r="T42" s="139" t="str">
        <f>IFERROR(__xludf.DUMMYFUNCTION("""COMPUTED_VALUE"""),"")</f>
        <v/>
      </c>
      <c r="U42" s="136" t="str">
        <f>IFERROR(__xludf.DUMMYFUNCTION("""COMPUTED_VALUE"""),"")</f>
        <v/>
      </c>
      <c r="V42" s="106" t="str">
        <f>IFERROR(__xludf.DUMMYFUNCTION("""COMPUTED_VALUE"""),"")</f>
        <v/>
      </c>
      <c r="W42" s="143" t="str">
        <f t="shared" si="2"/>
        <v/>
      </c>
      <c r="X42" s="139" t="str">
        <f>IFERROR(__xludf.DUMMYFUNCTION("""COMPUTED_VALUE"""),"")</f>
        <v/>
      </c>
      <c r="Y42" s="141" t="str">
        <f>IFERROR(__xludf.DUMMYFUNCTION("""COMPUTED_VALUE"""),"")</f>
        <v/>
      </c>
      <c r="AF42" s="139"/>
    </row>
    <row r="43">
      <c r="A43" s="144">
        <f>IFERROR(__xludf.DUMMYFUNCTION("""COMPUTED_VALUE"""),46058.4093524537)</f>
        <v>46058.40935</v>
      </c>
      <c r="B43" s="136" t="str">
        <f>IFERROR(__xludf.DUMMYFUNCTION("""COMPUTED_VALUE"""),"Sophia Kluck")</f>
        <v>Sophia Kluck</v>
      </c>
      <c r="C43" s="136" t="b">
        <f t="shared" si="3"/>
        <v>0</v>
      </c>
      <c r="D43" s="137">
        <f>IFERROR(__xludf.DUMMYFUNCTION("""COMPUTED_VALUE"""),0.36597222222189885)</f>
        <v>0.3659722222</v>
      </c>
      <c r="E43" s="106">
        <f>IFERROR(__xludf.DUMMYFUNCTION("""COMPUTED_VALUE"""),0.0430555555576575)</f>
        <v>0.04305555556</v>
      </c>
      <c r="F43" s="137">
        <f>IFERROR(__xludf.DUMMYFUNCTION("""COMPUTED_VALUE"""),0.40902777777955635)</f>
        <v>0.4090277778</v>
      </c>
      <c r="G43" s="106">
        <v>0.10277777777810115</v>
      </c>
      <c r="H43" s="136">
        <f>IFERROR(__xludf.DUMMYFUNCTION("""COMPUTED_VALUE"""),32.0)</f>
        <v>32</v>
      </c>
      <c r="I43" s="139">
        <v>38.918918918796464</v>
      </c>
      <c r="J43" s="136" t="s">
        <v>12</v>
      </c>
      <c r="K43" s="146">
        <f>IFERROR(__xludf.DUMMYFUNCTION("""COMPUTED_VALUE"""),46058.0)</f>
        <v>46058</v>
      </c>
      <c r="L43" s="136" t="str">
        <f t="shared" si="1"/>
        <v>Thursday</v>
      </c>
      <c r="M43" s="136" t="str">
        <f>IFERROR(__xludf.DUMMYFUNCTION("""COMPUTED_VALUE"""),"BF")</f>
        <v>BF</v>
      </c>
      <c r="N43" s="141">
        <v>1.3727699298256788</v>
      </c>
      <c r="O43" s="136" t="str">
        <f>IFERROR(__xludf.DUMMYFUNCTION("""COMPUTED_VALUE"""),"")</f>
        <v/>
      </c>
      <c r="P43" s="136" t="str">
        <f>IFERROR(__xludf.DUMMYFUNCTION("""COMPUTED_VALUE"""),"")</f>
        <v/>
      </c>
      <c r="Q43" s="106" t="str">
        <f>IFERROR(__xludf.DUMMYFUNCTION("""COMPUTED_VALUE"""),"")</f>
        <v/>
      </c>
      <c r="R43" s="106" t="str">
        <f>IFERROR(__xludf.DUMMYFUNCTION("""COMPUTED_VALUE"""),"")</f>
        <v/>
      </c>
      <c r="S43" s="139" t="str">
        <f>IFERROR(__xludf.DUMMYFUNCTION("""COMPUTED_VALUE"""),"")</f>
        <v/>
      </c>
      <c r="T43" s="139" t="str">
        <f>IFERROR(__xludf.DUMMYFUNCTION("""COMPUTED_VALUE"""),"")</f>
        <v/>
      </c>
      <c r="U43" s="136" t="str">
        <f>IFERROR(__xludf.DUMMYFUNCTION("""COMPUTED_VALUE"""),"")</f>
        <v/>
      </c>
      <c r="V43" s="106" t="str">
        <f>IFERROR(__xludf.DUMMYFUNCTION("""COMPUTED_VALUE"""),"")</f>
        <v/>
      </c>
      <c r="W43" s="143" t="str">
        <f t="shared" si="2"/>
        <v/>
      </c>
      <c r="X43" s="139" t="str">
        <f>IFERROR(__xludf.DUMMYFUNCTION("""COMPUTED_VALUE"""),"")</f>
        <v/>
      </c>
      <c r="Y43" s="141" t="str">
        <f>IFERROR(__xludf.DUMMYFUNCTION("""COMPUTED_VALUE"""),"")</f>
        <v/>
      </c>
      <c r="AF43" s="139"/>
    </row>
    <row r="44">
      <c r="A44" s="144">
        <f>IFERROR(__xludf.DUMMYFUNCTION("""COMPUTED_VALUE"""),46058.47202248842)</f>
        <v>46058.47202</v>
      </c>
      <c r="B44" s="136" t="str">
        <f>IFERROR(__xludf.DUMMYFUNCTION("""COMPUTED_VALUE"""),"Sophia Kluck")</f>
        <v>Sophia Kluck</v>
      </c>
      <c r="C44" s="136" t="b">
        <f t="shared" si="3"/>
        <v>1</v>
      </c>
      <c r="D44" s="137">
        <f>IFERROR(__xludf.DUMMYFUNCTION("""COMPUTED_VALUE"""),0.4118055555591127)</f>
        <v>0.4118055556</v>
      </c>
      <c r="E44" s="106">
        <f>IFERROR(__xludf.DUMMYFUNCTION("""COMPUTED_VALUE"""),0.059722222220443655)</f>
        <v>0.05972222222</v>
      </c>
      <c r="F44" s="137">
        <f>IFERROR(__xludf.DUMMYFUNCTION("""COMPUTED_VALUE"""),0.47152777777955635)</f>
        <v>0.4715277778</v>
      </c>
      <c r="G44" s="106" t="s">
        <v>133</v>
      </c>
      <c r="H44" s="136">
        <f>IFERROR(__xludf.DUMMYFUNCTION("""COMPUTED_VALUE"""),64.0)</f>
        <v>64</v>
      </c>
      <c r="I44" s="139" t="s">
        <v>133</v>
      </c>
      <c r="J44" s="136" t="s">
        <v>134</v>
      </c>
      <c r="K44" s="146">
        <f>IFERROR(__xludf.DUMMYFUNCTION("""COMPUTED_VALUE"""),46058.0)</f>
        <v>46058</v>
      </c>
      <c r="L44" s="136" t="str">
        <f t="shared" si="1"/>
        <v>Thursday</v>
      </c>
      <c r="M44" s="136" t="str">
        <f>IFERROR(__xludf.DUMMYFUNCTION("""COMPUTED_VALUE"""),"BF")</f>
        <v>BF</v>
      </c>
      <c r="N44" s="141" t="s">
        <v>133</v>
      </c>
      <c r="O44" s="136" t="str">
        <f>IFERROR(__xludf.DUMMYFUNCTION("""COMPUTED_VALUE"""),"")</f>
        <v/>
      </c>
      <c r="P44" s="136" t="str">
        <f>IFERROR(__xludf.DUMMYFUNCTION("""COMPUTED_VALUE"""),"")</f>
        <v/>
      </c>
      <c r="Q44" s="106" t="str">
        <f>IFERROR(__xludf.DUMMYFUNCTION("""COMPUTED_VALUE"""),"")</f>
        <v/>
      </c>
      <c r="R44" s="106" t="str">
        <f>IFERROR(__xludf.DUMMYFUNCTION("""COMPUTED_VALUE"""),"")</f>
        <v/>
      </c>
      <c r="S44" s="139" t="str">
        <f>IFERROR(__xludf.DUMMYFUNCTION("""COMPUTED_VALUE"""),"")</f>
        <v/>
      </c>
      <c r="T44" s="139" t="str">
        <f>IFERROR(__xludf.DUMMYFUNCTION("""COMPUTED_VALUE"""),"")</f>
        <v/>
      </c>
      <c r="U44" s="136" t="str">
        <f>IFERROR(__xludf.DUMMYFUNCTION("""COMPUTED_VALUE"""),"")</f>
        <v/>
      </c>
      <c r="V44" s="106" t="str">
        <f>IFERROR(__xludf.DUMMYFUNCTION("""COMPUTED_VALUE"""),"")</f>
        <v/>
      </c>
      <c r="W44" s="143" t="str">
        <f t="shared" si="2"/>
        <v/>
      </c>
      <c r="X44" s="139" t="str">
        <f>IFERROR(__xludf.DUMMYFUNCTION("""COMPUTED_VALUE"""),"")</f>
        <v/>
      </c>
      <c r="Y44" s="141" t="str">
        <f>IFERROR(__xludf.DUMMYFUNCTION("""COMPUTED_VALUE"""),"")</f>
        <v/>
      </c>
      <c r="AF44" s="139"/>
    </row>
    <row r="45">
      <c r="A45" s="144">
        <f>IFERROR(__xludf.DUMMYFUNCTION("""COMPUTED_VALUE"""),46058.526926481485)</f>
        <v>46058.52693</v>
      </c>
      <c r="B45" s="136" t="str">
        <f>IFERROR(__xludf.DUMMYFUNCTION("""COMPUTED_VALUE"""),"Emmett Khan")</f>
        <v>Emmett Khan</v>
      </c>
      <c r="C45" s="136" t="b">
        <f t="shared" si="3"/>
        <v>0</v>
      </c>
      <c r="D45" s="137">
        <f>IFERROR(__xludf.DUMMYFUNCTION("""COMPUTED_VALUE"""),0.47916666666424135)</f>
        <v>0.4791666667</v>
      </c>
      <c r="E45" s="106">
        <f>IFERROR(__xludf.DUMMYFUNCTION("""COMPUTED_VALUE"""),0.05208333333575865)</f>
        <v>0.05208333334</v>
      </c>
      <c r="F45" s="137">
        <f>IFERROR(__xludf.DUMMYFUNCTION("""COMPUTED_VALUE"""),0.53125)</f>
        <v>0.53125</v>
      </c>
      <c r="G45" s="106">
        <v>0.05208333333575865</v>
      </c>
      <c r="H45" s="136">
        <f>IFERROR(__xludf.DUMMYFUNCTION("""COMPUTED_VALUE"""),50.0)</f>
        <v>50</v>
      </c>
      <c r="I45" s="139">
        <v>39.999999998137355</v>
      </c>
      <c r="J45" s="136" t="s">
        <v>15</v>
      </c>
      <c r="K45" s="146">
        <f>IFERROR(__xludf.DUMMYFUNCTION("""COMPUTED_VALUE"""),46058.0)</f>
        <v>46058</v>
      </c>
      <c r="L45" s="136" t="str">
        <f t="shared" si="1"/>
        <v>Thursday</v>
      </c>
      <c r="M45" s="136" t="str">
        <f>IFERROR(__xludf.DUMMYFUNCTION("""COMPUTED_VALUE"""),"MF")</f>
        <v>MF</v>
      </c>
      <c r="N45" s="141">
        <v>0.7955845953241479</v>
      </c>
      <c r="O45" s="136" t="str">
        <f>IFERROR(__xludf.DUMMYFUNCTION("""COMPUTED_VALUE"""),"")</f>
        <v/>
      </c>
      <c r="P45" s="136" t="str">
        <f>IFERROR(__xludf.DUMMYFUNCTION("""COMPUTED_VALUE"""),"")</f>
        <v/>
      </c>
      <c r="Q45" s="106" t="str">
        <f>IFERROR(__xludf.DUMMYFUNCTION("""COMPUTED_VALUE"""),"")</f>
        <v/>
      </c>
      <c r="R45" s="106" t="str">
        <f>IFERROR(__xludf.DUMMYFUNCTION("""COMPUTED_VALUE"""),"")</f>
        <v/>
      </c>
      <c r="S45" s="139" t="str">
        <f>IFERROR(__xludf.DUMMYFUNCTION("""COMPUTED_VALUE"""),"")</f>
        <v/>
      </c>
      <c r="T45" s="139" t="str">
        <f>IFERROR(__xludf.DUMMYFUNCTION("""COMPUTED_VALUE"""),"")</f>
        <v/>
      </c>
      <c r="U45" s="136" t="str">
        <f>IFERROR(__xludf.DUMMYFUNCTION("""COMPUTED_VALUE"""),"")</f>
        <v/>
      </c>
      <c r="V45" s="106" t="str">
        <f>IFERROR(__xludf.DUMMYFUNCTION("""COMPUTED_VALUE"""),"")</f>
        <v/>
      </c>
      <c r="W45" s="143" t="str">
        <f t="shared" si="2"/>
        <v/>
      </c>
      <c r="X45" s="139" t="str">
        <f>IFERROR(__xludf.DUMMYFUNCTION("""COMPUTED_VALUE"""),"")</f>
        <v/>
      </c>
      <c r="Y45" s="141" t="str">
        <f>IFERROR(__xludf.DUMMYFUNCTION("""COMPUTED_VALUE"""),"")</f>
        <v/>
      </c>
      <c r="AF45" s="139"/>
    </row>
    <row r="46">
      <c r="A46" s="144">
        <f>IFERROR(__xludf.DUMMYFUNCTION("""COMPUTED_VALUE"""),46058.777276967594)</f>
        <v>46058.77728</v>
      </c>
      <c r="B46" s="136" t="str">
        <f>IFERROR(__xludf.DUMMYFUNCTION("""COMPUTED_VALUE"""),"Emmett Khan")</f>
        <v>Emmett Khan</v>
      </c>
      <c r="C46" s="136" t="b">
        <f t="shared" si="3"/>
        <v>0</v>
      </c>
      <c r="D46" s="137">
        <f>IFERROR(__xludf.DUMMYFUNCTION("""COMPUTED_VALUE"""),0.7083333333357587)</f>
        <v>0.7083333333</v>
      </c>
      <c r="E46" s="106">
        <f>IFERROR(__xludf.DUMMYFUNCTION("""COMPUTED_VALUE"""),0.07291666666424135)</f>
        <v>0.07291666666</v>
      </c>
      <c r="F46" s="137">
        <f>IFERROR(__xludf.DUMMYFUNCTION("""COMPUTED_VALUE"""),0.78125)</f>
        <v>0.78125</v>
      </c>
      <c r="G46" s="106">
        <v>0.07291666666424135</v>
      </c>
      <c r="H46" s="136">
        <f>IFERROR(__xludf.DUMMYFUNCTION("""COMPUTED_VALUE"""),155.0)</f>
        <v>155</v>
      </c>
      <c r="I46" s="139">
        <v>88.5714285743746</v>
      </c>
      <c r="J46" s="136" t="s">
        <v>18</v>
      </c>
      <c r="K46" s="146">
        <f>IFERROR(__xludf.DUMMYFUNCTION("""COMPUTED_VALUE"""),46058.0)</f>
        <v>46058</v>
      </c>
      <c r="L46" s="136" t="str">
        <f t="shared" si="1"/>
        <v>Thursday</v>
      </c>
      <c r="M46" s="136" t="str">
        <f>IFERROR(__xludf.DUMMYFUNCTION("""COMPUTED_VALUE"""),"MF")</f>
        <v>MF</v>
      </c>
      <c r="N46" s="141">
        <v>1.8525923785901497</v>
      </c>
      <c r="O46" s="136" t="str">
        <f>IFERROR(__xludf.DUMMYFUNCTION("""COMPUTED_VALUE"""),"")</f>
        <v/>
      </c>
      <c r="P46" s="136" t="str">
        <f>IFERROR(__xludf.DUMMYFUNCTION("""COMPUTED_VALUE"""),"")</f>
        <v/>
      </c>
      <c r="Q46" s="106" t="str">
        <f>IFERROR(__xludf.DUMMYFUNCTION("""COMPUTED_VALUE"""),"")</f>
        <v/>
      </c>
      <c r="R46" s="106" t="str">
        <f>IFERROR(__xludf.DUMMYFUNCTION("""COMPUTED_VALUE"""),"")</f>
        <v/>
      </c>
      <c r="S46" s="139" t="str">
        <f>IFERROR(__xludf.DUMMYFUNCTION("""COMPUTED_VALUE"""),"")</f>
        <v/>
      </c>
      <c r="T46" s="139" t="str">
        <f>IFERROR(__xludf.DUMMYFUNCTION("""COMPUTED_VALUE"""),"")</f>
        <v/>
      </c>
      <c r="U46" s="136" t="str">
        <f>IFERROR(__xludf.DUMMYFUNCTION("""COMPUTED_VALUE"""),"")</f>
        <v/>
      </c>
      <c r="V46" s="106" t="str">
        <f>IFERROR(__xludf.DUMMYFUNCTION("""COMPUTED_VALUE"""),"")</f>
        <v/>
      </c>
      <c r="W46" s="143" t="str">
        <f t="shared" si="2"/>
        <v/>
      </c>
      <c r="X46" s="139" t="str">
        <f>IFERROR(__xludf.DUMMYFUNCTION("""COMPUTED_VALUE"""),"")</f>
        <v/>
      </c>
      <c r="Y46" s="141" t="str">
        <f>IFERROR(__xludf.DUMMYFUNCTION("""COMPUTED_VALUE"""),"")</f>
        <v/>
      </c>
    </row>
    <row r="47">
      <c r="A47" s="144">
        <f>IFERROR(__xludf.DUMMYFUNCTION("""COMPUTED_VALUE"""),46058.855831469904)</f>
        <v>46058.85583</v>
      </c>
      <c r="B47" s="136" t="str">
        <f>IFERROR(__xludf.DUMMYFUNCTION("""COMPUTED_VALUE"""),"Leah Bucci")</f>
        <v>Leah Bucci</v>
      </c>
      <c r="C47" s="136" t="b">
        <f t="shared" si="3"/>
        <v>0</v>
      </c>
      <c r="D47" s="137">
        <f>IFERROR(__xludf.DUMMYFUNCTION("""COMPUTED_VALUE"""),0.6875)</f>
        <v>0.6875</v>
      </c>
      <c r="E47" s="106">
        <f>IFERROR(__xludf.DUMMYFUNCTION("""COMPUTED_VALUE"""),0.04166666666424135)</f>
        <v>0.04166666666</v>
      </c>
      <c r="F47" s="137">
        <f>IFERROR(__xludf.DUMMYFUNCTION("""COMPUTED_VALUE"""),0.7291666666642413)</f>
        <v>0.7291666667</v>
      </c>
      <c r="G47" s="106">
        <v>0.1701388888832298</v>
      </c>
      <c r="H47" s="136">
        <f>IFERROR(__xludf.DUMMYFUNCTION("""COMPUTED_VALUE"""),77.0)</f>
        <v>77</v>
      </c>
      <c r="I47" s="139">
        <v>103.10204081975586</v>
      </c>
      <c r="J47" s="136" t="s">
        <v>18</v>
      </c>
      <c r="K47" s="146">
        <f>IFERROR(__xludf.DUMMYFUNCTION("""COMPUTED_VALUE"""),46058.0)</f>
        <v>46058</v>
      </c>
      <c r="L47" s="136" t="str">
        <f t="shared" si="1"/>
        <v>Thursday</v>
      </c>
      <c r="M47" s="136" t="str">
        <f>IFERROR(__xludf.DUMMYFUNCTION("""COMPUTED_VALUE"""),"BF")</f>
        <v>BF</v>
      </c>
      <c r="N47" s="141">
        <v>2.3204551386205847</v>
      </c>
      <c r="O47" s="136" t="str">
        <f>IFERROR(__xludf.DUMMYFUNCTION("""COMPUTED_VALUE"""),"")</f>
        <v/>
      </c>
      <c r="P47" s="136" t="str">
        <f>IFERROR(__xludf.DUMMYFUNCTION("""COMPUTED_VALUE"""),"")</f>
        <v/>
      </c>
      <c r="Q47" s="106" t="str">
        <f>IFERROR(__xludf.DUMMYFUNCTION("""COMPUTED_VALUE"""),"")</f>
        <v/>
      </c>
      <c r="R47" s="106" t="str">
        <f>IFERROR(__xludf.DUMMYFUNCTION("""COMPUTED_VALUE"""),"")</f>
        <v/>
      </c>
      <c r="S47" s="139" t="str">
        <f>IFERROR(__xludf.DUMMYFUNCTION("""COMPUTED_VALUE"""),"")</f>
        <v/>
      </c>
      <c r="T47" s="139" t="str">
        <f>IFERROR(__xludf.DUMMYFUNCTION("""COMPUTED_VALUE"""),"")</f>
        <v/>
      </c>
      <c r="U47" s="136" t="str">
        <f>IFERROR(__xludf.DUMMYFUNCTION("""COMPUTED_VALUE"""),"")</f>
        <v/>
      </c>
      <c r="V47" s="106" t="str">
        <f>IFERROR(__xludf.DUMMYFUNCTION("""COMPUTED_VALUE"""),"")</f>
        <v/>
      </c>
      <c r="W47" s="143" t="str">
        <f t="shared" si="2"/>
        <v/>
      </c>
      <c r="X47" s="139" t="str">
        <f>IFERROR(__xludf.DUMMYFUNCTION("""COMPUTED_VALUE"""),"")</f>
        <v/>
      </c>
      <c r="Y47" s="141" t="str">
        <f>IFERROR(__xludf.DUMMYFUNCTION("""COMPUTED_VALUE"""),"")</f>
        <v/>
      </c>
    </row>
    <row r="48">
      <c r="A48" s="144">
        <f>IFERROR(__xludf.DUMMYFUNCTION("""COMPUTED_VALUE"""),46058.85662983796)</f>
        <v>46058.85663</v>
      </c>
      <c r="B48" s="136" t="str">
        <f>IFERROR(__xludf.DUMMYFUNCTION("""COMPUTED_VALUE"""),"Leah Bucci")</f>
        <v>Leah Bucci</v>
      </c>
      <c r="C48" s="136" t="b">
        <f t="shared" si="3"/>
        <v>1</v>
      </c>
      <c r="D48" s="137">
        <f>IFERROR(__xludf.DUMMYFUNCTION("""COMPUTED_VALUE"""),0.7326388888905058)</f>
        <v>0.7326388889</v>
      </c>
      <c r="E48" s="106">
        <f>IFERROR(__xludf.DUMMYFUNCTION("""COMPUTED_VALUE"""),0.038194444445252884)</f>
        <v>0.03819444445</v>
      </c>
      <c r="F48" s="137">
        <f>IFERROR(__xludf.DUMMYFUNCTION("""COMPUTED_VALUE"""),0.7708333333357587)</f>
        <v>0.7708333333</v>
      </c>
      <c r="G48" s="106" t="s">
        <v>133</v>
      </c>
      <c r="H48" s="136">
        <f>IFERROR(__xludf.DUMMYFUNCTION("""COMPUTED_VALUE"""),79.0)</f>
        <v>79</v>
      </c>
      <c r="I48" s="139" t="s">
        <v>133</v>
      </c>
      <c r="J48" s="136" t="s">
        <v>18</v>
      </c>
      <c r="K48" s="146">
        <f>IFERROR(__xludf.DUMMYFUNCTION("""COMPUTED_VALUE"""),46058.0)</f>
        <v>46058</v>
      </c>
      <c r="L48" s="136" t="str">
        <f t="shared" si="1"/>
        <v>Thursday</v>
      </c>
      <c r="M48" s="136" t="str">
        <f>IFERROR(__xludf.DUMMYFUNCTION("""COMPUTED_VALUE"""),"BF")</f>
        <v>BF</v>
      </c>
      <c r="N48" s="141" t="s">
        <v>133</v>
      </c>
      <c r="O48" s="136" t="str">
        <f>IFERROR(__xludf.DUMMYFUNCTION("""COMPUTED_VALUE"""),"")</f>
        <v/>
      </c>
      <c r="P48" s="136" t="str">
        <f>IFERROR(__xludf.DUMMYFUNCTION("""COMPUTED_VALUE"""),"")</f>
        <v/>
      </c>
      <c r="Q48" s="106" t="str">
        <f>IFERROR(__xludf.DUMMYFUNCTION("""COMPUTED_VALUE"""),"")</f>
        <v/>
      </c>
      <c r="R48" s="106" t="str">
        <f>IFERROR(__xludf.DUMMYFUNCTION("""COMPUTED_VALUE"""),"")</f>
        <v/>
      </c>
      <c r="S48" s="139" t="str">
        <f>IFERROR(__xludf.DUMMYFUNCTION("""COMPUTED_VALUE"""),"")</f>
        <v/>
      </c>
      <c r="T48" s="139" t="str">
        <f>IFERROR(__xludf.DUMMYFUNCTION("""COMPUTED_VALUE"""),"")</f>
        <v/>
      </c>
      <c r="U48" s="136" t="str">
        <f>IFERROR(__xludf.DUMMYFUNCTION("""COMPUTED_VALUE"""),"")</f>
        <v/>
      </c>
      <c r="V48" s="106" t="str">
        <f>IFERROR(__xludf.DUMMYFUNCTION("""COMPUTED_VALUE"""),"")</f>
        <v/>
      </c>
      <c r="W48" s="143" t="str">
        <f t="shared" si="2"/>
        <v/>
      </c>
      <c r="X48" s="139" t="str">
        <f>IFERROR(__xludf.DUMMYFUNCTION("""COMPUTED_VALUE"""),"")</f>
        <v/>
      </c>
      <c r="Y48" s="141" t="str">
        <f>IFERROR(__xludf.DUMMYFUNCTION("""COMPUTED_VALUE"""),"")</f>
        <v/>
      </c>
    </row>
    <row r="49">
      <c r="A49" s="144">
        <f>IFERROR(__xludf.DUMMYFUNCTION("""COMPUTED_VALUE"""),46058.8581721875)</f>
        <v>46058.85817</v>
      </c>
      <c r="B49" s="136" t="str">
        <f>IFERROR(__xludf.DUMMYFUNCTION("""COMPUTED_VALUE"""),"Leah Bucci")</f>
        <v>Leah Bucci</v>
      </c>
      <c r="C49" s="136" t="b">
        <f t="shared" si="3"/>
        <v>1</v>
      </c>
      <c r="D49" s="137">
        <f>IFERROR(__xludf.DUMMYFUNCTION("""COMPUTED_VALUE"""),0.7638888888905058)</f>
        <v>0.7638888889</v>
      </c>
      <c r="E49" s="106">
        <f>IFERROR(__xludf.DUMMYFUNCTION("""COMPUTED_VALUE"""),0.02777777777373558)</f>
        <v>0.02777777777</v>
      </c>
      <c r="F49" s="137">
        <f>IFERROR(__xludf.DUMMYFUNCTION("""COMPUTED_VALUE"""),0.7916666666642413)</f>
        <v>0.7916666667</v>
      </c>
      <c r="G49" s="106" t="s">
        <v>133</v>
      </c>
      <c r="H49" s="136">
        <f>IFERROR(__xludf.DUMMYFUNCTION("""COMPUTED_VALUE"""),199.0)</f>
        <v>199</v>
      </c>
      <c r="I49" s="139" t="s">
        <v>133</v>
      </c>
      <c r="J49" s="136" t="s">
        <v>18</v>
      </c>
      <c r="K49" s="146">
        <f>IFERROR(__xludf.DUMMYFUNCTION("""COMPUTED_VALUE"""),46058.0)</f>
        <v>46058</v>
      </c>
      <c r="L49" s="136" t="str">
        <f t="shared" si="1"/>
        <v>Thursday</v>
      </c>
      <c r="M49" s="136" t="str">
        <f>IFERROR(__xludf.DUMMYFUNCTION("""COMPUTED_VALUE"""),"BF")</f>
        <v>BF</v>
      </c>
      <c r="N49" s="141" t="s">
        <v>133</v>
      </c>
      <c r="O49" s="136" t="str">
        <f>IFERROR(__xludf.DUMMYFUNCTION("""COMPUTED_VALUE"""),"")</f>
        <v/>
      </c>
      <c r="P49" s="136" t="str">
        <f>IFERROR(__xludf.DUMMYFUNCTION("""COMPUTED_VALUE"""),"")</f>
        <v/>
      </c>
      <c r="Q49" s="106" t="str">
        <f>IFERROR(__xludf.DUMMYFUNCTION("""COMPUTED_VALUE"""),"")</f>
        <v/>
      </c>
      <c r="R49" s="106" t="str">
        <f>IFERROR(__xludf.DUMMYFUNCTION("""COMPUTED_VALUE"""),"")</f>
        <v/>
      </c>
      <c r="S49" s="139" t="str">
        <f>IFERROR(__xludf.DUMMYFUNCTION("""COMPUTED_VALUE"""),"")</f>
        <v/>
      </c>
      <c r="T49" s="139" t="str">
        <f>IFERROR(__xludf.DUMMYFUNCTION("""COMPUTED_VALUE"""),"")</f>
        <v/>
      </c>
      <c r="U49" s="136" t="str">
        <f>IFERROR(__xludf.DUMMYFUNCTION("""COMPUTED_VALUE"""),"")</f>
        <v/>
      </c>
      <c r="V49" s="106" t="str">
        <f>IFERROR(__xludf.DUMMYFUNCTION("""COMPUTED_VALUE"""),"")</f>
        <v/>
      </c>
      <c r="W49" s="143" t="str">
        <f t="shared" si="2"/>
        <v/>
      </c>
      <c r="X49" s="139" t="str">
        <f>IFERROR(__xludf.DUMMYFUNCTION("""COMPUTED_VALUE"""),"")</f>
        <v/>
      </c>
      <c r="Y49" s="141" t="str">
        <f>IFERROR(__xludf.DUMMYFUNCTION("""COMPUTED_VALUE"""),"")</f>
        <v/>
      </c>
    </row>
    <row r="50">
      <c r="A50" s="144">
        <f>IFERROR(__xludf.DUMMYFUNCTION("""COMPUTED_VALUE"""),46058.85883106482)</f>
        <v>46058.85883</v>
      </c>
      <c r="B50" s="136" t="str">
        <f>IFERROR(__xludf.DUMMYFUNCTION("""COMPUTED_VALUE"""),"Leah Bucci")</f>
        <v>Leah Bucci</v>
      </c>
      <c r="C50" s="136" t="b">
        <f t="shared" si="3"/>
        <v>1</v>
      </c>
      <c r="D50" s="137">
        <f>IFERROR(__xludf.DUMMYFUNCTION("""COMPUTED_VALUE"""),0.7916666666642413)</f>
        <v>0.7916666667</v>
      </c>
      <c r="E50" s="106">
        <f>IFERROR(__xludf.DUMMYFUNCTION("""COMPUTED_VALUE"""),0.0625)</f>
        <v>0.0625</v>
      </c>
      <c r="F50" s="137">
        <f>IFERROR(__xludf.DUMMYFUNCTION("""COMPUTED_VALUE"""),0.8541666666642413)</f>
        <v>0.8541666667</v>
      </c>
      <c r="G50" s="106" t="s">
        <v>133</v>
      </c>
      <c r="H50" s="136">
        <f>IFERROR(__xludf.DUMMYFUNCTION("""COMPUTED_VALUE"""),66.0)</f>
        <v>66</v>
      </c>
      <c r="I50" s="139" t="s">
        <v>133</v>
      </c>
      <c r="J50" s="136" t="s">
        <v>18</v>
      </c>
      <c r="K50" s="146">
        <f>IFERROR(__xludf.DUMMYFUNCTION("""COMPUTED_VALUE"""),46058.0)</f>
        <v>46058</v>
      </c>
      <c r="L50" s="136" t="str">
        <f t="shared" si="1"/>
        <v>Thursday</v>
      </c>
      <c r="M50" s="136" t="str">
        <f>IFERROR(__xludf.DUMMYFUNCTION("""COMPUTED_VALUE"""),"BF")</f>
        <v>BF</v>
      </c>
      <c r="N50" s="141" t="s">
        <v>133</v>
      </c>
      <c r="O50" s="136" t="str">
        <f>IFERROR(__xludf.DUMMYFUNCTION("""COMPUTED_VALUE"""),"")</f>
        <v/>
      </c>
      <c r="P50" s="136" t="str">
        <f>IFERROR(__xludf.DUMMYFUNCTION("""COMPUTED_VALUE"""),"")</f>
        <v/>
      </c>
      <c r="Q50" s="106" t="str">
        <f>IFERROR(__xludf.DUMMYFUNCTION("""COMPUTED_VALUE"""),"")</f>
        <v/>
      </c>
      <c r="R50" s="106" t="str">
        <f>IFERROR(__xludf.DUMMYFUNCTION("""COMPUTED_VALUE"""),"")</f>
        <v/>
      </c>
      <c r="S50" s="139" t="str">
        <f>IFERROR(__xludf.DUMMYFUNCTION("""COMPUTED_VALUE"""),"")</f>
        <v/>
      </c>
      <c r="T50" s="139" t="str">
        <f>IFERROR(__xludf.DUMMYFUNCTION("""COMPUTED_VALUE"""),"")</f>
        <v/>
      </c>
      <c r="U50" s="136" t="str">
        <f>IFERROR(__xludf.DUMMYFUNCTION("""COMPUTED_VALUE"""),"")</f>
        <v/>
      </c>
      <c r="V50" s="106" t="str">
        <f>IFERROR(__xludf.DUMMYFUNCTION("""COMPUTED_VALUE"""),"")</f>
        <v/>
      </c>
      <c r="W50" s="143" t="str">
        <f t="shared" si="2"/>
        <v/>
      </c>
      <c r="X50" s="139" t="str">
        <f>IFERROR(__xludf.DUMMYFUNCTION("""COMPUTED_VALUE"""),"")</f>
        <v/>
      </c>
      <c r="Y50" s="141" t="str">
        <f>IFERROR(__xludf.DUMMYFUNCTION("""COMPUTED_VALUE"""),"")</f>
        <v/>
      </c>
    </row>
    <row r="51">
      <c r="A51" s="144">
        <f>IFERROR(__xludf.DUMMYFUNCTION("""COMPUTED_VALUE"""),46059.05051597222)</f>
        <v>46059.05052</v>
      </c>
      <c r="B51" s="136" t="str">
        <f>IFERROR(__xludf.DUMMYFUNCTION("""COMPUTED_VALUE"""),"Arjya Aich")</f>
        <v>Arjya Aich</v>
      </c>
      <c r="C51" s="136" t="b">
        <f t="shared" si="3"/>
        <v>0</v>
      </c>
      <c r="D51" s="137">
        <f>IFERROR(__xludf.DUMMYFUNCTION("""COMPUTED_VALUE"""),0.7916666666642413)</f>
        <v>0.7916666667</v>
      </c>
      <c r="E51" s="106">
        <f>IFERROR(__xludf.DUMMYFUNCTION("""COMPUTED_VALUE"""),0.08333333333575865)</f>
        <v>0.08333333334</v>
      </c>
      <c r="F51" s="137">
        <f>IFERROR(__xludf.DUMMYFUNCTION("""COMPUTED_VALUE"""),0.875)</f>
        <v>0.875</v>
      </c>
      <c r="G51" s="106">
        <v>0.08333333333575865</v>
      </c>
      <c r="H51" s="136">
        <f>IFERROR(__xludf.DUMMYFUNCTION("""COMPUTED_VALUE"""),76.0)</f>
        <v>76</v>
      </c>
      <c r="I51" s="139">
        <v>37.999999998894054</v>
      </c>
      <c r="J51" s="136" t="s">
        <v>18</v>
      </c>
      <c r="K51" s="146">
        <f>IFERROR(__xludf.DUMMYFUNCTION("""COMPUTED_VALUE"""),46058.0)</f>
        <v>46058</v>
      </c>
      <c r="L51" s="136" t="str">
        <f t="shared" si="1"/>
        <v>Thursday</v>
      </c>
      <c r="M51" s="136" t="str">
        <f>IFERROR(__xludf.DUMMYFUNCTION("""COMPUTED_VALUE"""),"MF")</f>
        <v>MF</v>
      </c>
      <c r="N51" s="141">
        <v>0.7948218914100755</v>
      </c>
      <c r="O51" s="136">
        <f>IFERROR(__xludf.DUMMYFUNCTION("""COMPUTED_VALUE"""),281.0)</f>
        <v>281</v>
      </c>
      <c r="P51" s="136">
        <f>IFERROR(__xludf.DUMMYFUNCTION("""COMPUTED_VALUE"""),535.0)</f>
        <v>535</v>
      </c>
      <c r="Q51" s="106">
        <f>IFERROR(__xludf.DUMMYFUNCTION("""COMPUTED_VALUE"""),0.20833333333575865)</f>
        <v>0.2083333333</v>
      </c>
      <c r="R51" s="106">
        <f>IFERROR(__xludf.DUMMYFUNCTION("""COMPUTED_VALUE"""),0.34236111110658385)</f>
        <v>0.3423611111</v>
      </c>
      <c r="S51" s="139">
        <f>IFERROR(__xludf.DUMMYFUNCTION("""COMPUTED_VALUE"""),55.523809523801994)</f>
        <v>55.52380952</v>
      </c>
      <c r="T51" s="139">
        <f>IFERROR(__xludf.DUMMYFUNCTION("""COMPUTED_VALUE"""),50.94031991280887)</f>
        <v>50.94031991</v>
      </c>
      <c r="U51" s="136">
        <f>IFERROR(__xludf.DUMMYFUNCTION("""COMPUTED_VALUE"""),816.0)</f>
        <v>816</v>
      </c>
      <c r="V51" s="106">
        <f>IFERROR(__xludf.DUMMYFUNCTION("""COMPUTED_VALUE"""),0.5506944444423425)</f>
        <v>0.5506944444</v>
      </c>
      <c r="W51" s="143">
        <f t="shared" si="2"/>
        <v>61.74022699</v>
      </c>
      <c r="X51" s="139">
        <f>IFERROR(__xludf.DUMMYFUNCTION("""COMPUTED_VALUE"""),53.23206471830543)</f>
        <v>53.23206472</v>
      </c>
      <c r="Y51" s="141">
        <f>IFERROR(__xludf.DUMMYFUNCTION("""COMPUTED_VALUE"""),0.6396119263928568)</f>
        <v>0.6396119264</v>
      </c>
    </row>
    <row r="52">
      <c r="A52" s="144">
        <f>IFERROR(__xludf.DUMMYFUNCTION("""COMPUTED_VALUE"""),46059.579424606476)</f>
        <v>46059.57942</v>
      </c>
      <c r="B52" s="136" t="str">
        <f>IFERROR(__xludf.DUMMYFUNCTION("""COMPUTED_VALUE"""),"Brynn Hornig")</f>
        <v>Brynn Hornig</v>
      </c>
      <c r="C52" s="136" t="b">
        <f t="shared" si="3"/>
        <v>0</v>
      </c>
      <c r="D52" s="137">
        <f>IFERROR(__xludf.DUMMYFUNCTION("""COMPUTED_VALUE"""),0.5208333333357587)</f>
        <v>0.5208333333</v>
      </c>
      <c r="E52" s="106">
        <f>IFERROR(__xludf.DUMMYFUNCTION("""COMPUTED_VALUE"""),0.0625)</f>
        <v>0.0625</v>
      </c>
      <c r="F52" s="137">
        <f>IFERROR(__xludf.DUMMYFUNCTION("""COMPUTED_VALUE"""),0.5833333333357587)</f>
        <v>0.5833333333</v>
      </c>
      <c r="G52" s="106">
        <v>0.0625</v>
      </c>
      <c r="H52" s="136">
        <f>IFERROR(__xludf.DUMMYFUNCTION("""COMPUTED_VALUE"""),50.0)</f>
        <v>50</v>
      </c>
      <c r="I52" s="139">
        <v>33.333333333333336</v>
      </c>
      <c r="J52" s="136" t="s">
        <v>15</v>
      </c>
      <c r="K52" s="146">
        <f>IFERROR(__xludf.DUMMYFUNCTION("""COMPUTED_VALUE"""),46059.0)</f>
        <v>46059</v>
      </c>
      <c r="L52" s="136" t="str">
        <f t="shared" si="1"/>
        <v>Friday</v>
      </c>
      <c r="M52" s="136" t="str">
        <f>IFERROR(__xludf.DUMMYFUNCTION("""COMPUTED_VALUE"""),"BF")</f>
        <v>BF</v>
      </c>
      <c r="N52" s="141">
        <v>1.1757520232340264</v>
      </c>
      <c r="O52" s="136" t="str">
        <f>IFERROR(__xludf.DUMMYFUNCTION("""COMPUTED_VALUE"""),"")</f>
        <v/>
      </c>
      <c r="P52" s="136" t="str">
        <f>IFERROR(__xludf.DUMMYFUNCTION("""COMPUTED_VALUE"""),"")</f>
        <v/>
      </c>
      <c r="Q52" s="106" t="str">
        <f>IFERROR(__xludf.DUMMYFUNCTION("""COMPUTED_VALUE"""),"")</f>
        <v/>
      </c>
      <c r="R52" s="106" t="str">
        <f>IFERROR(__xludf.DUMMYFUNCTION("""COMPUTED_VALUE"""),"")</f>
        <v/>
      </c>
      <c r="S52" s="139" t="str">
        <f>IFERROR(__xludf.DUMMYFUNCTION("""COMPUTED_VALUE"""),"")</f>
        <v/>
      </c>
      <c r="T52" s="139" t="str">
        <f>IFERROR(__xludf.DUMMYFUNCTION("""COMPUTED_VALUE"""),"")</f>
        <v/>
      </c>
      <c r="U52" s="136" t="str">
        <f>IFERROR(__xludf.DUMMYFUNCTION("""COMPUTED_VALUE"""),"")</f>
        <v/>
      </c>
      <c r="V52" s="106" t="str">
        <f>IFERROR(__xludf.DUMMYFUNCTION("""COMPUTED_VALUE"""),"")</f>
        <v/>
      </c>
      <c r="W52" s="143" t="str">
        <f t="shared" si="2"/>
        <v/>
      </c>
      <c r="X52" s="139" t="str">
        <f>IFERROR(__xludf.DUMMYFUNCTION("""COMPUTED_VALUE"""),"")</f>
        <v/>
      </c>
      <c r="Y52" s="141" t="str">
        <f>IFERROR(__xludf.DUMMYFUNCTION("""COMPUTED_VALUE"""),"")</f>
        <v/>
      </c>
    </row>
    <row r="53">
      <c r="A53" s="144">
        <f>IFERROR(__xludf.DUMMYFUNCTION("""COMPUTED_VALUE"""),46059.62125418981)</f>
        <v>46059.62125</v>
      </c>
      <c r="B53" s="136" t="str">
        <f>IFERROR(__xludf.DUMMYFUNCTION("""COMPUTED_VALUE"""),"Oluwatimilehin Shodipe")</f>
        <v>Oluwatimilehin Shodipe</v>
      </c>
      <c r="C53" s="136" t="b">
        <f t="shared" si="3"/>
        <v>0</v>
      </c>
      <c r="D53" s="137">
        <f>IFERROR(__xludf.DUMMYFUNCTION("""COMPUTED_VALUE"""),0.47916666666424135)</f>
        <v>0.4791666667</v>
      </c>
      <c r="E53" s="106">
        <f>IFERROR(__xludf.DUMMYFUNCTION("""COMPUTED_VALUE"""),0.14375000000291038)</f>
        <v>0.14375</v>
      </c>
      <c r="F53" s="137">
        <f>IFERROR(__xludf.DUMMYFUNCTION("""COMPUTED_VALUE"""),0.6229166666671517)</f>
        <v>0.6229166667</v>
      </c>
      <c r="G53" s="106">
        <v>0.14375000000291038</v>
      </c>
      <c r="H53" s="136">
        <f>IFERROR(__xludf.DUMMYFUNCTION("""COMPUTED_VALUE"""),191.0)</f>
        <v>191</v>
      </c>
      <c r="I53" s="139">
        <v>55.36231883945884</v>
      </c>
      <c r="J53" s="136" t="s">
        <v>15</v>
      </c>
      <c r="K53" s="146">
        <f>IFERROR(__xludf.DUMMYFUNCTION("""COMPUTED_VALUE"""),46059.0)</f>
        <v>46059</v>
      </c>
      <c r="L53" s="136" t="str">
        <f t="shared" si="1"/>
        <v>Friday</v>
      </c>
      <c r="M53" s="136" t="str">
        <f>IFERROR(__xludf.DUMMYFUNCTION("""COMPUTED_VALUE"""),"MF")</f>
        <v>MF</v>
      </c>
      <c r="N53" s="141">
        <v>1.1011352008037083</v>
      </c>
      <c r="O53" s="136" t="str">
        <f>IFERROR(__xludf.DUMMYFUNCTION("""COMPUTED_VALUE"""),"")</f>
        <v/>
      </c>
      <c r="P53" s="136" t="str">
        <f>IFERROR(__xludf.DUMMYFUNCTION("""COMPUTED_VALUE"""),"")</f>
        <v/>
      </c>
      <c r="Q53" s="106" t="str">
        <f>IFERROR(__xludf.DUMMYFUNCTION("""COMPUTED_VALUE"""),"")</f>
        <v/>
      </c>
      <c r="R53" s="106" t="str">
        <f>IFERROR(__xludf.DUMMYFUNCTION("""COMPUTED_VALUE"""),"")</f>
        <v/>
      </c>
      <c r="S53" s="139" t="str">
        <f>IFERROR(__xludf.DUMMYFUNCTION("""COMPUTED_VALUE"""),"")</f>
        <v/>
      </c>
      <c r="T53" s="139" t="str">
        <f>IFERROR(__xludf.DUMMYFUNCTION("""COMPUTED_VALUE"""),"")</f>
        <v/>
      </c>
      <c r="U53" s="136" t="str">
        <f>IFERROR(__xludf.DUMMYFUNCTION("""COMPUTED_VALUE"""),"")</f>
        <v/>
      </c>
      <c r="V53" s="106" t="str">
        <f>IFERROR(__xludf.DUMMYFUNCTION("""COMPUTED_VALUE"""),"")</f>
        <v/>
      </c>
      <c r="W53" s="143" t="str">
        <f t="shared" si="2"/>
        <v/>
      </c>
      <c r="X53" s="139" t="str">
        <f>IFERROR(__xludf.DUMMYFUNCTION("""COMPUTED_VALUE"""),"")</f>
        <v/>
      </c>
      <c r="Y53" s="141" t="str">
        <f>IFERROR(__xludf.DUMMYFUNCTION("""COMPUTED_VALUE"""),"")</f>
        <v/>
      </c>
    </row>
    <row r="54">
      <c r="A54" s="144">
        <f>IFERROR(__xludf.DUMMYFUNCTION("""COMPUTED_VALUE"""),46059.78689563657)</f>
        <v>46059.7869</v>
      </c>
      <c r="B54" s="136" t="str">
        <f>IFERROR(__xludf.DUMMYFUNCTION("""COMPUTED_VALUE"""),"Leah Bucci")</f>
        <v>Leah Bucci</v>
      </c>
      <c r="C54" s="136" t="b">
        <f t="shared" si="3"/>
        <v>0</v>
      </c>
      <c r="D54" s="137">
        <f>IFERROR(__xludf.DUMMYFUNCTION("""COMPUTED_VALUE"""),0.6666666666642413)</f>
        <v>0.6666666667</v>
      </c>
      <c r="E54" s="106">
        <f>IFERROR(__xludf.DUMMYFUNCTION("""COMPUTED_VALUE"""),0.08333333333575865)</f>
        <v>0.08333333334</v>
      </c>
      <c r="F54" s="137">
        <f>IFERROR(__xludf.DUMMYFUNCTION("""COMPUTED_VALUE"""),0.75)</f>
        <v>0.75</v>
      </c>
      <c r="G54" s="106">
        <v>0.08333333333575865</v>
      </c>
      <c r="H54" s="136">
        <f>IFERROR(__xludf.DUMMYFUNCTION("""COMPUTED_VALUE"""),124.0)</f>
        <v>124</v>
      </c>
      <c r="I54" s="139">
        <v>61.99999999819556</v>
      </c>
      <c r="J54" s="136" t="s">
        <v>18</v>
      </c>
      <c r="K54" s="146">
        <f>IFERROR(__xludf.DUMMYFUNCTION("""COMPUTED_VALUE"""),46059.0)</f>
        <v>46059</v>
      </c>
      <c r="L54" s="136" t="str">
        <f t="shared" si="1"/>
        <v>Friday</v>
      </c>
      <c r="M54" s="136" t="str">
        <f>IFERROR(__xludf.DUMMYFUNCTION("""COMPUTED_VALUE"""),"MF")</f>
        <v>MF</v>
      </c>
      <c r="N54" s="141">
        <v>1.2968146649322285</v>
      </c>
      <c r="O54" s="136" t="str">
        <f>IFERROR(__xludf.DUMMYFUNCTION("""COMPUTED_VALUE"""),"")</f>
        <v/>
      </c>
      <c r="P54" s="136" t="str">
        <f>IFERROR(__xludf.DUMMYFUNCTION("""COMPUTED_VALUE"""),"")</f>
        <v/>
      </c>
      <c r="Q54" s="106" t="str">
        <f>IFERROR(__xludf.DUMMYFUNCTION("""COMPUTED_VALUE"""),"")</f>
        <v/>
      </c>
      <c r="R54" s="106" t="str">
        <f>IFERROR(__xludf.DUMMYFUNCTION("""COMPUTED_VALUE"""),"")</f>
        <v/>
      </c>
      <c r="S54" s="139" t="str">
        <f>IFERROR(__xludf.DUMMYFUNCTION("""COMPUTED_VALUE"""),"")</f>
        <v/>
      </c>
      <c r="T54" s="139" t="str">
        <f>IFERROR(__xludf.DUMMYFUNCTION("""COMPUTED_VALUE"""),"")</f>
        <v/>
      </c>
      <c r="U54" s="136" t="str">
        <f>IFERROR(__xludf.DUMMYFUNCTION("""COMPUTED_VALUE"""),"")</f>
        <v/>
      </c>
      <c r="V54" s="106" t="str">
        <f>IFERROR(__xludf.DUMMYFUNCTION("""COMPUTED_VALUE"""),"")</f>
        <v/>
      </c>
      <c r="W54" s="143" t="str">
        <f t="shared" si="2"/>
        <v/>
      </c>
      <c r="X54" s="139" t="str">
        <f>IFERROR(__xludf.DUMMYFUNCTION("""COMPUTED_VALUE"""),"")</f>
        <v/>
      </c>
      <c r="Y54" s="141" t="str">
        <f>IFERROR(__xludf.DUMMYFUNCTION("""COMPUTED_VALUE"""),"")</f>
        <v/>
      </c>
    </row>
    <row r="55">
      <c r="A55" s="144">
        <f>IFERROR(__xludf.DUMMYFUNCTION("""COMPUTED_VALUE"""),46059.79432734953)</f>
        <v>46059.79433</v>
      </c>
      <c r="B55" s="136" t="str">
        <f>IFERROR(__xludf.DUMMYFUNCTION("""COMPUTED_VALUE"""),"Orpheus Wilson")</f>
        <v>Orpheus Wilson</v>
      </c>
      <c r="C55" s="136" t="b">
        <f t="shared" si="3"/>
        <v>0</v>
      </c>
      <c r="D55" s="137">
        <f>IFERROR(__xludf.DUMMYFUNCTION("""COMPUTED_VALUE"""),0.7493055555532919)</f>
        <v>0.7493055556</v>
      </c>
      <c r="E55" s="106">
        <f>IFERROR(__xludf.DUMMYFUNCTION("""COMPUTED_VALUE"""),0.04652777778392192)</f>
        <v>0.04652777778</v>
      </c>
      <c r="F55" s="137">
        <f>IFERROR(__xludf.DUMMYFUNCTION("""COMPUTED_VALUE"""),0.7958333333372138)</f>
        <v>0.7958333333</v>
      </c>
      <c r="G55" s="106">
        <v>0.08055555556347826</v>
      </c>
      <c r="H55" s="136">
        <f>IFERROR(__xludf.DUMMYFUNCTION("""COMPUTED_VALUE"""),150.0)</f>
        <v>150</v>
      </c>
      <c r="I55" s="139">
        <v>129.8275861941279</v>
      </c>
      <c r="J55" s="136" t="s">
        <v>18</v>
      </c>
      <c r="K55" s="146">
        <f>IFERROR(__xludf.DUMMYFUNCTION("""COMPUTED_VALUE"""),46059.0)</f>
        <v>46059</v>
      </c>
      <c r="L55" s="136" t="str">
        <f t="shared" si="1"/>
        <v>Friday</v>
      </c>
      <c r="M55" s="136" t="str">
        <f>IFERROR(__xludf.DUMMYFUNCTION("""COMPUTED_VALUE"""),"MF")</f>
        <v>MF</v>
      </c>
      <c r="N55" s="141">
        <v>2.7155212531322253</v>
      </c>
      <c r="O55" s="136" t="str">
        <f>IFERROR(__xludf.DUMMYFUNCTION("""COMPUTED_VALUE"""),"")</f>
        <v/>
      </c>
      <c r="P55" s="136" t="str">
        <f>IFERROR(__xludf.DUMMYFUNCTION("""COMPUTED_VALUE"""),"")</f>
        <v/>
      </c>
      <c r="Q55" s="106" t="str">
        <f>IFERROR(__xludf.DUMMYFUNCTION("""COMPUTED_VALUE"""),"")</f>
        <v/>
      </c>
      <c r="R55" s="106" t="str">
        <f>IFERROR(__xludf.DUMMYFUNCTION("""COMPUTED_VALUE"""),"")</f>
        <v/>
      </c>
      <c r="S55" s="139" t="str">
        <f>IFERROR(__xludf.DUMMYFUNCTION("""COMPUTED_VALUE"""),"")</f>
        <v/>
      </c>
      <c r="T55" s="139" t="str">
        <f>IFERROR(__xludf.DUMMYFUNCTION("""COMPUTED_VALUE"""),"")</f>
        <v/>
      </c>
      <c r="U55" s="136" t="str">
        <f>IFERROR(__xludf.DUMMYFUNCTION("""COMPUTED_VALUE"""),"")</f>
        <v/>
      </c>
      <c r="V55" s="106" t="str">
        <f>IFERROR(__xludf.DUMMYFUNCTION("""COMPUTED_VALUE"""),"")</f>
        <v/>
      </c>
      <c r="W55" s="143" t="str">
        <f t="shared" si="2"/>
        <v/>
      </c>
      <c r="X55" s="139" t="str">
        <f>IFERROR(__xludf.DUMMYFUNCTION("""COMPUTED_VALUE"""),"")</f>
        <v/>
      </c>
      <c r="Y55" s="141" t="str">
        <f>IFERROR(__xludf.DUMMYFUNCTION("""COMPUTED_VALUE"""),"")</f>
        <v/>
      </c>
    </row>
    <row r="56">
      <c r="A56" s="144">
        <f>IFERROR(__xludf.DUMMYFUNCTION("""COMPUTED_VALUE"""),46060.02027628472)</f>
        <v>46060.02028</v>
      </c>
      <c r="B56" s="136" t="str">
        <f>IFERROR(__xludf.DUMMYFUNCTION("""COMPUTED_VALUE"""),"Orpheus Wilson")</f>
        <v>Orpheus Wilson</v>
      </c>
      <c r="C56" s="136" t="b">
        <f t="shared" si="3"/>
        <v>1</v>
      </c>
      <c r="D56" s="137">
        <f>IFERROR(__xludf.DUMMYFUNCTION("""COMPUTED_VALUE"""),0.7937499999970896)</f>
        <v>0.79375</v>
      </c>
      <c r="E56" s="106">
        <f>IFERROR(__xludf.DUMMYFUNCTION("""COMPUTED_VALUE"""),0.034027777779556345)</f>
        <v>0.03402777778</v>
      </c>
      <c r="F56" s="137">
        <f>IFERROR(__xludf.DUMMYFUNCTION("""COMPUTED_VALUE"""),0.827777777776646)</f>
        <v>0.8277777778</v>
      </c>
      <c r="G56" s="106" t="s">
        <v>133</v>
      </c>
      <c r="H56" s="136">
        <f>IFERROR(__xludf.DUMMYFUNCTION("""COMPUTED_VALUE"""),101.0)</f>
        <v>101</v>
      </c>
      <c r="I56" s="139" t="s">
        <v>133</v>
      </c>
      <c r="J56" s="136" t="s">
        <v>18</v>
      </c>
      <c r="K56" s="146">
        <f>IFERROR(__xludf.DUMMYFUNCTION("""COMPUTED_VALUE"""),46059.0)</f>
        <v>46059</v>
      </c>
      <c r="L56" s="136" t="str">
        <f t="shared" si="1"/>
        <v>Friday</v>
      </c>
      <c r="M56" s="136" t="str">
        <f>IFERROR(__xludf.DUMMYFUNCTION("""COMPUTED_VALUE"""),"MF")</f>
        <v>MF</v>
      </c>
      <c r="N56" s="141" t="s">
        <v>133</v>
      </c>
      <c r="O56" s="136">
        <f>IFERROR(__xludf.DUMMYFUNCTION("""COMPUTED_VALUE"""),566.0)</f>
        <v>566</v>
      </c>
      <c r="P56" s="136">
        <f>IFERROR(__xludf.DUMMYFUNCTION("""COMPUTED_VALUE"""),50.0)</f>
        <v>50</v>
      </c>
      <c r="Q56" s="106">
        <f>IFERROR(__xludf.DUMMYFUNCTION("""COMPUTED_VALUE"""),0.3076388889021473)</f>
        <v>0.3076388889</v>
      </c>
      <c r="R56" s="106">
        <f>IFERROR(__xludf.DUMMYFUNCTION("""COMPUTED_VALUE"""),0.0625)</f>
        <v>0.0625</v>
      </c>
      <c r="S56" s="139">
        <f>IFERROR(__xludf.DUMMYFUNCTION("""COMPUTED_VALUE"""),82.3966350105941)</f>
        <v>82.39663501</v>
      </c>
      <c r="T56" s="139">
        <f>IFERROR(__xludf.DUMMYFUNCTION("""COMPUTED_VALUE"""),33.333333333333336)</f>
        <v>33.33333333</v>
      </c>
      <c r="U56" s="136">
        <f>IFERROR(__xludf.DUMMYFUNCTION("""COMPUTED_VALUE"""),616.0)</f>
        <v>616</v>
      </c>
      <c r="V56" s="106">
        <f>IFERROR(__xludf.DUMMYFUNCTION("""COMPUTED_VALUE"""),0.3701388889021473)</f>
        <v>0.3701388889</v>
      </c>
      <c r="W56" s="143">
        <f t="shared" si="2"/>
        <v>69.34333958</v>
      </c>
      <c r="X56" s="139">
        <f>IFERROR(__xludf.DUMMYFUNCTION("""COMPUTED_VALUE"""),70.1308095912789)</f>
        <v>70.13080959</v>
      </c>
      <c r="Y56" s="141">
        <f>IFERROR(__xludf.DUMMYFUNCTION("""COMPUTED_VALUE"""),1.033432065229924)</f>
        <v>1.033432065</v>
      </c>
    </row>
    <row r="57">
      <c r="A57" s="144">
        <f>IFERROR(__xludf.DUMMYFUNCTION("""COMPUTED_VALUE"""),46062.437844444445)</f>
        <v>46062.43784</v>
      </c>
      <c r="B57" s="136" t="str">
        <f>IFERROR(__xludf.DUMMYFUNCTION("""COMPUTED_VALUE"""),"Sophia Kluck")</f>
        <v>Sophia Kluck</v>
      </c>
      <c r="C57" s="136" t="b">
        <f t="shared" si="3"/>
        <v>0</v>
      </c>
      <c r="D57" s="137">
        <f>IFERROR(__xludf.DUMMYFUNCTION("""COMPUTED_VALUE"""),0.3694444444408873)</f>
        <v>0.3694444444</v>
      </c>
      <c r="E57" s="106">
        <f>IFERROR(__xludf.DUMMYFUNCTION("""COMPUTED_VALUE"""),0.06527777777955635)</f>
        <v>0.06527777778</v>
      </c>
      <c r="F57" s="137">
        <f>IFERROR(__xludf.DUMMYFUNCTION("""COMPUTED_VALUE"""),0.43472222222044365)</f>
        <v>0.4347222222</v>
      </c>
      <c r="G57" s="106">
        <v>0.06527777777955635</v>
      </c>
      <c r="H57" s="136">
        <f>IFERROR(__xludf.DUMMYFUNCTION("""COMPUTED_VALUE"""),51.0)</f>
        <v>51</v>
      </c>
      <c r="I57" s="139">
        <v>32.55319148847475</v>
      </c>
      <c r="J57" s="136" t="s">
        <v>12</v>
      </c>
      <c r="K57" s="146">
        <f>IFERROR(__xludf.DUMMYFUNCTION("""COMPUTED_VALUE"""),46062.0)</f>
        <v>46062</v>
      </c>
      <c r="L57" s="136" t="str">
        <f t="shared" si="1"/>
        <v>Monday</v>
      </c>
      <c r="M57" s="136" t="str">
        <f>IFERROR(__xludf.DUMMYFUNCTION("""COMPUTED_VALUE"""),"BF")</f>
        <v>BF</v>
      </c>
      <c r="N57" s="141">
        <v>1.148234422658966</v>
      </c>
      <c r="O57" s="136" t="str">
        <f>IFERROR(__xludf.DUMMYFUNCTION("""COMPUTED_VALUE"""),"")</f>
        <v/>
      </c>
      <c r="P57" s="136" t="str">
        <f>IFERROR(__xludf.DUMMYFUNCTION("""COMPUTED_VALUE"""),"")</f>
        <v/>
      </c>
      <c r="Q57" s="106" t="str">
        <f>IFERROR(__xludf.DUMMYFUNCTION("""COMPUTED_VALUE"""),"")</f>
        <v/>
      </c>
      <c r="R57" s="106" t="str">
        <f>IFERROR(__xludf.DUMMYFUNCTION("""COMPUTED_VALUE"""),"")</f>
        <v/>
      </c>
      <c r="S57" s="139" t="str">
        <f>IFERROR(__xludf.DUMMYFUNCTION("""COMPUTED_VALUE"""),"")</f>
        <v/>
      </c>
      <c r="T57" s="139" t="str">
        <f>IFERROR(__xludf.DUMMYFUNCTION("""COMPUTED_VALUE"""),"")</f>
        <v/>
      </c>
      <c r="U57" s="136" t="str">
        <f>IFERROR(__xludf.DUMMYFUNCTION("""COMPUTED_VALUE"""),"")</f>
        <v/>
      </c>
      <c r="V57" s="106" t="str">
        <f>IFERROR(__xludf.DUMMYFUNCTION("""COMPUTED_VALUE"""),"")</f>
        <v/>
      </c>
      <c r="W57" s="143" t="str">
        <f t="shared" si="2"/>
        <v/>
      </c>
      <c r="X57" s="139" t="str">
        <f>IFERROR(__xludf.DUMMYFUNCTION("""COMPUTED_VALUE"""),"")</f>
        <v/>
      </c>
      <c r="Y57" s="141" t="str">
        <f>IFERROR(__xludf.DUMMYFUNCTION("""COMPUTED_VALUE"""),"")</f>
        <v/>
      </c>
    </row>
    <row r="58">
      <c r="A58" s="144">
        <f>IFERROR(__xludf.DUMMYFUNCTION("""COMPUTED_VALUE"""),46062.642289062496)</f>
        <v>46062.64229</v>
      </c>
      <c r="B58" s="136" t="str">
        <f>IFERROR(__xludf.DUMMYFUNCTION("""COMPUTED_VALUE"""),"Brynn Hornig")</f>
        <v>Brynn Hornig</v>
      </c>
      <c r="C58" s="136" t="b">
        <f t="shared" si="3"/>
        <v>0</v>
      </c>
      <c r="D58" s="137">
        <f>IFERROR(__xludf.DUMMYFUNCTION("""COMPUTED_VALUE"""),0.5208333333357587)</f>
        <v>0.5208333333</v>
      </c>
      <c r="E58" s="106">
        <f>IFERROR(__xludf.DUMMYFUNCTION("""COMPUTED_VALUE"""),0.125)</f>
        <v>0.125</v>
      </c>
      <c r="F58" s="137">
        <f>IFERROR(__xludf.DUMMYFUNCTION("""COMPUTED_VALUE"""),0.6458333333357587)</f>
        <v>0.6458333333</v>
      </c>
      <c r="G58" s="106">
        <v>0.125</v>
      </c>
      <c r="H58" s="136">
        <f>IFERROR(__xludf.DUMMYFUNCTION("""COMPUTED_VALUE"""),69.0)</f>
        <v>69</v>
      </c>
      <c r="I58" s="139">
        <v>23.0</v>
      </c>
      <c r="J58" s="136" t="s">
        <v>15</v>
      </c>
      <c r="K58" s="146">
        <f>IFERROR(__xludf.DUMMYFUNCTION("""COMPUTED_VALUE"""),46062.0)</f>
        <v>46062</v>
      </c>
      <c r="L58" s="136" t="str">
        <f t="shared" si="1"/>
        <v>Monday</v>
      </c>
      <c r="M58" s="136" t="str">
        <f>IFERROR(__xludf.DUMMYFUNCTION("""COMPUTED_VALUE"""),"BF")</f>
        <v>BF</v>
      </c>
      <c r="N58" s="141">
        <v>0.8112688960314781</v>
      </c>
      <c r="O58" s="136" t="str">
        <f>IFERROR(__xludf.DUMMYFUNCTION("""COMPUTED_VALUE"""),"")</f>
        <v/>
      </c>
      <c r="P58" s="136" t="str">
        <f>IFERROR(__xludf.DUMMYFUNCTION("""COMPUTED_VALUE"""),"")</f>
        <v/>
      </c>
      <c r="Q58" s="106" t="str">
        <f>IFERROR(__xludf.DUMMYFUNCTION("""COMPUTED_VALUE"""),"")</f>
        <v/>
      </c>
      <c r="R58" s="106" t="str">
        <f>IFERROR(__xludf.DUMMYFUNCTION("""COMPUTED_VALUE"""),"")</f>
        <v/>
      </c>
      <c r="S58" s="139" t="str">
        <f>IFERROR(__xludf.DUMMYFUNCTION("""COMPUTED_VALUE"""),"")</f>
        <v/>
      </c>
      <c r="T58" s="139" t="str">
        <f>IFERROR(__xludf.DUMMYFUNCTION("""COMPUTED_VALUE"""),"")</f>
        <v/>
      </c>
      <c r="U58" s="136" t="str">
        <f>IFERROR(__xludf.DUMMYFUNCTION("""COMPUTED_VALUE"""),"")</f>
        <v/>
      </c>
      <c r="V58" s="106" t="str">
        <f>IFERROR(__xludf.DUMMYFUNCTION("""COMPUTED_VALUE"""),"")</f>
        <v/>
      </c>
      <c r="W58" s="143" t="str">
        <f t="shared" si="2"/>
        <v/>
      </c>
      <c r="X58" s="139" t="str">
        <f>IFERROR(__xludf.DUMMYFUNCTION("""COMPUTED_VALUE"""),"")</f>
        <v/>
      </c>
      <c r="Y58" s="141" t="str">
        <f>IFERROR(__xludf.DUMMYFUNCTION("""COMPUTED_VALUE"""),"")</f>
        <v/>
      </c>
    </row>
    <row r="59">
      <c r="A59" s="144">
        <f>IFERROR(__xludf.DUMMYFUNCTION("""COMPUTED_VALUE"""),46062.748181724535)</f>
        <v>46062.74818</v>
      </c>
      <c r="B59" s="136" t="str">
        <f>IFERROR(__xludf.DUMMYFUNCTION("""COMPUTED_VALUE"""),"Orpheus Wilson")</f>
        <v>Orpheus Wilson</v>
      </c>
      <c r="C59" s="136" t="b">
        <f t="shared" si="3"/>
        <v>0</v>
      </c>
      <c r="D59" s="137">
        <f>IFERROR(__xludf.DUMMYFUNCTION("""COMPUTED_VALUE"""),0.6652777777781012)</f>
        <v>0.6652777778</v>
      </c>
      <c r="E59" s="106">
        <f>IFERROR(__xludf.DUMMYFUNCTION("""COMPUTED_VALUE"""),0.08125000000291038)</f>
        <v>0.08125</v>
      </c>
      <c r="F59" s="137">
        <f>IFERROR(__xludf.DUMMYFUNCTION("""COMPUTED_VALUE"""),0.7465277777810115)</f>
        <v>0.7465277778</v>
      </c>
      <c r="G59" s="106">
        <v>0.08125000000291038</v>
      </c>
      <c r="H59" s="136">
        <f>IFERROR(__xludf.DUMMYFUNCTION("""COMPUTED_VALUE"""),122.0)</f>
        <v>122</v>
      </c>
      <c r="I59" s="139">
        <v>62.56410256186151</v>
      </c>
      <c r="J59" s="136" t="s">
        <v>18</v>
      </c>
      <c r="K59" s="146">
        <f>IFERROR(__xludf.DUMMYFUNCTION("""COMPUTED_VALUE"""),46062.0)</f>
        <v>46062</v>
      </c>
      <c r="L59" s="136" t="str">
        <f t="shared" si="1"/>
        <v>Monday</v>
      </c>
      <c r="M59" s="136" t="str">
        <f>IFERROR(__xludf.DUMMYFUNCTION("""COMPUTED_VALUE"""),"MF")</f>
        <v>MF</v>
      </c>
      <c r="N59" s="141">
        <v>1.308613640369473</v>
      </c>
      <c r="O59" s="136" t="str">
        <f>IFERROR(__xludf.DUMMYFUNCTION("""COMPUTED_VALUE"""),"")</f>
        <v/>
      </c>
      <c r="P59" s="136" t="str">
        <f>IFERROR(__xludf.DUMMYFUNCTION("""COMPUTED_VALUE"""),"")</f>
        <v/>
      </c>
      <c r="Q59" s="106" t="str">
        <f>IFERROR(__xludf.DUMMYFUNCTION("""COMPUTED_VALUE"""),"")</f>
        <v/>
      </c>
      <c r="R59" s="106" t="str">
        <f>IFERROR(__xludf.DUMMYFUNCTION("""COMPUTED_VALUE"""),"")</f>
        <v/>
      </c>
      <c r="S59" s="139" t="str">
        <f>IFERROR(__xludf.DUMMYFUNCTION("""COMPUTED_VALUE"""),"")</f>
        <v/>
      </c>
      <c r="T59" s="139" t="str">
        <f>IFERROR(__xludf.DUMMYFUNCTION("""COMPUTED_VALUE"""),"")</f>
        <v/>
      </c>
      <c r="U59" s="136" t="str">
        <f>IFERROR(__xludf.DUMMYFUNCTION("""COMPUTED_VALUE"""),"")</f>
        <v/>
      </c>
      <c r="V59" s="106" t="str">
        <f>IFERROR(__xludf.DUMMYFUNCTION("""COMPUTED_VALUE"""),"")</f>
        <v/>
      </c>
      <c r="W59" s="143" t="str">
        <f t="shared" si="2"/>
        <v/>
      </c>
      <c r="X59" s="139" t="str">
        <f>IFERROR(__xludf.DUMMYFUNCTION("""COMPUTED_VALUE"""),"")</f>
        <v/>
      </c>
      <c r="Y59" s="141" t="str">
        <f>IFERROR(__xludf.DUMMYFUNCTION("""COMPUTED_VALUE"""),"")</f>
        <v/>
      </c>
    </row>
    <row r="60">
      <c r="A60" s="144">
        <f>IFERROR(__xludf.DUMMYFUNCTION("""COMPUTED_VALUE"""),46062.8551894213)</f>
        <v>46062.85519</v>
      </c>
      <c r="B60" s="136" t="str">
        <f>IFERROR(__xludf.DUMMYFUNCTION("""COMPUTED_VALUE"""),"Arjya Aich")</f>
        <v>Arjya Aich</v>
      </c>
      <c r="C60" s="136" t="b">
        <f t="shared" si="3"/>
        <v>0</v>
      </c>
      <c r="D60" s="137">
        <f>IFERROR(__xludf.DUMMYFUNCTION("""COMPUTED_VALUE"""),0.6875)</f>
        <v>0.6875</v>
      </c>
      <c r="E60" s="106">
        <f>IFERROR(__xludf.DUMMYFUNCTION("""COMPUTED_VALUE"""),0.16666666666424135)</f>
        <v>0.1666666667</v>
      </c>
      <c r="F60" s="137">
        <f>IFERROR(__xludf.DUMMYFUNCTION("""COMPUTED_VALUE"""),0.8541666666642413)</f>
        <v>0.8541666667</v>
      </c>
      <c r="G60" s="106">
        <v>0.16666666666424135</v>
      </c>
      <c r="H60" s="136">
        <f>IFERROR(__xludf.DUMMYFUNCTION("""COMPUTED_VALUE"""),130.0)</f>
        <v>130</v>
      </c>
      <c r="I60" s="139">
        <v>32.50000000047294</v>
      </c>
      <c r="J60" s="136" t="s">
        <v>18</v>
      </c>
      <c r="K60" s="146">
        <f>IFERROR(__xludf.DUMMYFUNCTION("""COMPUTED_VALUE"""),46062.0)</f>
        <v>46062</v>
      </c>
      <c r="L60" s="136" t="str">
        <f t="shared" si="1"/>
        <v>Monday</v>
      </c>
      <c r="M60" s="136" t="str">
        <f>IFERROR(__xludf.DUMMYFUNCTION("""COMPUTED_VALUE"""),"BF")</f>
        <v>BF</v>
      </c>
      <c r="N60" s="141">
        <v>0.7314578005115089</v>
      </c>
      <c r="O60" s="136" t="str">
        <f>IFERROR(__xludf.DUMMYFUNCTION("""COMPUTED_VALUE"""),"")</f>
        <v/>
      </c>
      <c r="P60" s="136" t="str">
        <f>IFERROR(__xludf.DUMMYFUNCTION("""COMPUTED_VALUE"""),"")</f>
        <v/>
      </c>
      <c r="Q60" s="106" t="str">
        <f>IFERROR(__xludf.DUMMYFUNCTION("""COMPUTED_VALUE"""),"")</f>
        <v/>
      </c>
      <c r="R60" s="106" t="str">
        <f>IFERROR(__xludf.DUMMYFUNCTION("""COMPUTED_VALUE"""),"")</f>
        <v/>
      </c>
      <c r="S60" s="139" t="str">
        <f>IFERROR(__xludf.DUMMYFUNCTION("""COMPUTED_VALUE"""),"")</f>
        <v/>
      </c>
      <c r="T60" s="139" t="str">
        <f>IFERROR(__xludf.DUMMYFUNCTION("""COMPUTED_VALUE"""),"")</f>
        <v/>
      </c>
      <c r="U60" s="136" t="str">
        <f>IFERROR(__xludf.DUMMYFUNCTION("""COMPUTED_VALUE"""),"")</f>
        <v/>
      </c>
      <c r="V60" s="106" t="str">
        <f>IFERROR(__xludf.DUMMYFUNCTION("""COMPUTED_VALUE"""),"")</f>
        <v/>
      </c>
      <c r="W60" s="143" t="str">
        <f t="shared" si="2"/>
        <v/>
      </c>
      <c r="X60" s="139" t="str">
        <f>IFERROR(__xludf.DUMMYFUNCTION("""COMPUTED_VALUE"""),"")</f>
        <v/>
      </c>
      <c r="Y60" s="141" t="str">
        <f>IFERROR(__xludf.DUMMYFUNCTION("""COMPUTED_VALUE"""),"")</f>
        <v/>
      </c>
    </row>
    <row r="61">
      <c r="A61" s="144">
        <f>IFERROR(__xludf.DUMMYFUNCTION("""COMPUTED_VALUE"""),46062.86871931713)</f>
        <v>46062.86872</v>
      </c>
      <c r="B61" s="136" t="str">
        <f>IFERROR(__xludf.DUMMYFUNCTION("""COMPUTED_VALUE"""),"Maureen Surgot")</f>
        <v>Maureen Surgot</v>
      </c>
      <c r="C61" s="136" t="b">
        <f t="shared" si="3"/>
        <v>0</v>
      </c>
      <c r="D61" s="137">
        <f>IFERROR(__xludf.DUMMYFUNCTION("""COMPUTED_VALUE"""),0.75)</f>
        <v>0.75</v>
      </c>
      <c r="E61" s="106">
        <f>IFERROR(__xludf.DUMMYFUNCTION("""COMPUTED_VALUE"""),0.125)</f>
        <v>0.125</v>
      </c>
      <c r="F61" s="137">
        <f>IFERROR(__xludf.DUMMYFUNCTION("""COMPUTED_VALUE"""),0.875)</f>
        <v>0.875</v>
      </c>
      <c r="G61" s="106">
        <v>0.125</v>
      </c>
      <c r="H61" s="136">
        <f>IFERROR(__xludf.DUMMYFUNCTION("""COMPUTED_VALUE"""),86.0)</f>
        <v>86</v>
      </c>
      <c r="I61" s="139">
        <v>28.666666666666668</v>
      </c>
      <c r="J61" s="136" t="s">
        <v>18</v>
      </c>
      <c r="K61" s="146">
        <f>IFERROR(__xludf.DUMMYFUNCTION("""COMPUTED_VALUE"""),46062.0)</f>
        <v>46062</v>
      </c>
      <c r="L61" s="136" t="str">
        <f t="shared" si="1"/>
        <v>Monday</v>
      </c>
      <c r="M61" s="136" t="str">
        <f>IFERROR(__xludf.DUMMYFUNCTION("""COMPUTED_VALUE"""),"MF")</f>
        <v>MF</v>
      </c>
      <c r="N61" s="141">
        <v>0.5996024795022445</v>
      </c>
      <c r="O61" s="136" t="str">
        <f>IFERROR(__xludf.DUMMYFUNCTION("""COMPUTED_VALUE"""),"")</f>
        <v/>
      </c>
      <c r="P61" s="136" t="str">
        <f>IFERROR(__xludf.DUMMYFUNCTION("""COMPUTED_VALUE"""),"")</f>
        <v/>
      </c>
      <c r="Q61" s="106" t="str">
        <f>IFERROR(__xludf.DUMMYFUNCTION("""COMPUTED_VALUE"""),"")</f>
        <v/>
      </c>
      <c r="R61" s="106" t="str">
        <f>IFERROR(__xludf.DUMMYFUNCTION("""COMPUTED_VALUE"""),"")</f>
        <v/>
      </c>
      <c r="S61" s="139" t="str">
        <f>IFERROR(__xludf.DUMMYFUNCTION("""COMPUTED_VALUE"""),"")</f>
        <v/>
      </c>
      <c r="T61" s="139" t="str">
        <f>IFERROR(__xludf.DUMMYFUNCTION("""COMPUTED_VALUE"""),"")</f>
        <v/>
      </c>
      <c r="U61" s="136" t="str">
        <f>IFERROR(__xludf.DUMMYFUNCTION("""COMPUTED_VALUE"""),"")</f>
        <v/>
      </c>
      <c r="V61" s="106" t="str">
        <f>IFERROR(__xludf.DUMMYFUNCTION("""COMPUTED_VALUE"""),"")</f>
        <v/>
      </c>
      <c r="W61" s="143" t="str">
        <f t="shared" si="2"/>
        <v/>
      </c>
      <c r="X61" s="139" t="str">
        <f>IFERROR(__xludf.DUMMYFUNCTION("""COMPUTED_VALUE"""),"")</f>
        <v/>
      </c>
      <c r="Y61" s="141" t="str">
        <f>IFERROR(__xludf.DUMMYFUNCTION("""COMPUTED_VALUE"""),"")</f>
        <v/>
      </c>
    </row>
    <row r="62">
      <c r="A62" s="144">
        <f>IFERROR(__xludf.DUMMYFUNCTION("""COMPUTED_VALUE"""),46062.987411759255)</f>
        <v>46062.98741</v>
      </c>
      <c r="B62" s="136" t="str">
        <f>IFERROR(__xludf.DUMMYFUNCTION("""COMPUTED_VALUE"""),"Denise Romanszysn")</f>
        <v>Denise Romanszysn</v>
      </c>
      <c r="C62" s="136" t="b">
        <f t="shared" si="3"/>
        <v>0</v>
      </c>
      <c r="D62" s="137">
        <f>IFERROR(__xludf.DUMMYFUNCTION("""COMPUTED_VALUE"""),0.4437499999985448)</f>
        <v>0.44375</v>
      </c>
      <c r="E62" s="106">
        <f>IFERROR(__xludf.DUMMYFUNCTION("""COMPUTED_VALUE"""),0.04236111111094942)</f>
        <v>0.04236111111</v>
      </c>
      <c r="F62" s="137">
        <f>IFERROR(__xludf.DUMMYFUNCTION("""COMPUTED_VALUE"""),0.48611111110949423)</f>
        <v>0.4861111111</v>
      </c>
      <c r="G62" s="106">
        <v>0.04236111111094942</v>
      </c>
      <c r="H62" s="136">
        <f>IFERROR(__xludf.DUMMYFUNCTION("""COMPUTED_VALUE"""),53.0)</f>
        <v>53</v>
      </c>
      <c r="I62" s="139">
        <v>52.131147541182585</v>
      </c>
      <c r="J62" s="136" t="s">
        <v>134</v>
      </c>
      <c r="K62" s="146">
        <f>IFERROR(__xludf.DUMMYFUNCTION("""COMPUTED_VALUE"""),46062.0)</f>
        <v>46062</v>
      </c>
      <c r="L62" s="136" t="str">
        <f t="shared" si="1"/>
        <v>Monday</v>
      </c>
      <c r="M62" s="136" t="str">
        <f>IFERROR(__xludf.DUMMYFUNCTION("""COMPUTED_VALUE"""),"BF")</f>
        <v>BF</v>
      </c>
      <c r="N62" s="141">
        <v>1.5327977815064826</v>
      </c>
      <c r="O62" s="136" t="str">
        <f>IFERROR(__xludf.DUMMYFUNCTION("""COMPUTED_VALUE"""),"")</f>
        <v/>
      </c>
      <c r="P62" s="136" t="str">
        <f>IFERROR(__xludf.DUMMYFUNCTION("""COMPUTED_VALUE"""),"")</f>
        <v/>
      </c>
      <c r="Q62" s="106" t="str">
        <f>IFERROR(__xludf.DUMMYFUNCTION("""COMPUTED_VALUE"""),"")</f>
        <v/>
      </c>
      <c r="R62" s="106" t="str">
        <f>IFERROR(__xludf.DUMMYFUNCTION("""COMPUTED_VALUE"""),"")</f>
        <v/>
      </c>
      <c r="S62" s="139" t="str">
        <f>IFERROR(__xludf.DUMMYFUNCTION("""COMPUTED_VALUE"""),"")</f>
        <v/>
      </c>
      <c r="T62" s="139" t="str">
        <f>IFERROR(__xludf.DUMMYFUNCTION("""COMPUTED_VALUE"""),"")</f>
        <v/>
      </c>
      <c r="U62" s="136" t="str">
        <f>IFERROR(__xludf.DUMMYFUNCTION("""COMPUTED_VALUE"""),"")</f>
        <v/>
      </c>
      <c r="V62" s="106" t="str">
        <f>IFERROR(__xludf.DUMMYFUNCTION("""COMPUTED_VALUE"""),"")</f>
        <v/>
      </c>
      <c r="W62" s="143" t="str">
        <f t="shared" si="2"/>
        <v/>
      </c>
      <c r="X62" s="139" t="str">
        <f>IFERROR(__xludf.DUMMYFUNCTION("""COMPUTED_VALUE"""),"")</f>
        <v/>
      </c>
      <c r="Y62" s="141" t="str">
        <f>IFERROR(__xludf.DUMMYFUNCTION("""COMPUTED_VALUE"""),"")</f>
        <v/>
      </c>
    </row>
    <row r="63">
      <c r="A63" s="144">
        <f>IFERROR(__xludf.DUMMYFUNCTION("""COMPUTED_VALUE"""),46062.98841665509)</f>
        <v>46062.98842</v>
      </c>
      <c r="B63" s="136" t="str">
        <f>IFERROR(__xludf.DUMMYFUNCTION("""COMPUTED_VALUE"""),"Denise Romanszysn")</f>
        <v>Denise Romanszysn</v>
      </c>
      <c r="C63" s="136" t="b">
        <f t="shared" si="3"/>
        <v>0</v>
      </c>
      <c r="D63" s="137">
        <f>IFERROR(__xludf.DUMMYFUNCTION("""COMPUTED_VALUE"""),0.5479166666627862)</f>
        <v>0.5479166667</v>
      </c>
      <c r="E63" s="106">
        <f>IFERROR(__xludf.DUMMYFUNCTION("""COMPUTED_VALUE"""),0.0743055555576575)</f>
        <v>0.07430555556</v>
      </c>
      <c r="F63" s="137">
        <f>IFERROR(__xludf.DUMMYFUNCTION("""COMPUTED_VALUE"""),0.6222222222204437)</f>
        <v>0.6222222222</v>
      </c>
      <c r="G63" s="106">
        <v>0.0743055555576575</v>
      </c>
      <c r="H63" s="136">
        <f>IFERROR(__xludf.DUMMYFUNCTION("""COMPUTED_VALUE"""),117.0)</f>
        <v>117</v>
      </c>
      <c r="I63" s="139">
        <v>65.60747663365812</v>
      </c>
      <c r="J63" s="136" t="s">
        <v>15</v>
      </c>
      <c r="K63" s="146">
        <f>IFERROR(__xludf.DUMMYFUNCTION("""COMPUTED_VALUE"""),46062.0)</f>
        <v>46062</v>
      </c>
      <c r="L63" s="136" t="str">
        <f t="shared" si="1"/>
        <v>Monday</v>
      </c>
      <c r="M63" s="136" t="str">
        <f>IFERROR(__xludf.DUMMYFUNCTION("""COMPUTED_VALUE"""),"MF")</f>
        <v>MF</v>
      </c>
      <c r="N63" s="141">
        <v>1.3049074437564494</v>
      </c>
      <c r="O63" s="136">
        <f>IFERROR(__xludf.DUMMYFUNCTION("""COMPUTED_VALUE"""),325.0)</f>
        <v>325</v>
      </c>
      <c r="P63" s="136">
        <f>IFERROR(__xludf.DUMMYFUNCTION("""COMPUTED_VALUE"""),303.0)</f>
        <v>303</v>
      </c>
      <c r="Q63" s="106">
        <f>IFERROR(__xludf.DUMMYFUNCTION("""COMPUTED_VALUE"""),0.2805555555605679)</f>
        <v>0.2805555556</v>
      </c>
      <c r="R63" s="106">
        <f>IFERROR(__xludf.DUMMYFUNCTION("""COMPUTED_VALUE"""),0.3993055555547471)</f>
        <v>0.3993055556</v>
      </c>
      <c r="S63" s="139">
        <f>IFERROR(__xludf.DUMMYFUNCTION("""COMPUTED_VALUE"""),52.27941528739543)</f>
        <v>52.27941529</v>
      </c>
      <c r="T63" s="139">
        <f>IFERROR(__xludf.DUMMYFUNCTION("""COMPUTED_VALUE"""),35.04608475753257)</f>
        <v>35.04608476</v>
      </c>
      <c r="U63" s="136">
        <f>IFERROR(__xludf.DUMMYFUNCTION("""COMPUTED_VALUE"""),628.0)</f>
        <v>628</v>
      </c>
      <c r="V63" s="106">
        <f>IFERROR(__xludf.DUMMYFUNCTION("""COMPUTED_VALUE"""),0.679861111115315)</f>
        <v>0.6798611111</v>
      </c>
      <c r="W63" s="143">
        <f t="shared" si="2"/>
        <v>38.48825332</v>
      </c>
      <c r="X63" s="139">
        <f>IFERROR(__xludf.DUMMYFUNCTION("""COMPUTED_VALUE"""),42.43179784175951)</f>
        <v>42.43179784</v>
      </c>
      <c r="Y63" s="141">
        <f>IFERROR(__xludf.DUMMYFUNCTION("""COMPUTED_VALUE"""),0.8340718089648462)</f>
        <v>0.834071809</v>
      </c>
    </row>
    <row r="64">
      <c r="A64" s="144">
        <f>IFERROR(__xludf.DUMMYFUNCTION("""COMPUTED_VALUE"""),46063.52036556713)</f>
        <v>46063.52037</v>
      </c>
      <c r="B64" s="136" t="str">
        <f>IFERROR(__xludf.DUMMYFUNCTION("""COMPUTED_VALUE"""),"Kaylie Forgue")</f>
        <v>Kaylie Forgue</v>
      </c>
      <c r="C64" s="136" t="b">
        <f t="shared" si="3"/>
        <v>0</v>
      </c>
      <c r="D64" s="137">
        <f>IFERROR(__xludf.DUMMYFUNCTION("""COMPUTED_VALUE"""),0.44583333333333336)</f>
        <v>0.4458333333</v>
      </c>
      <c r="E64" s="106">
        <f>IFERROR(__xludf.DUMMYFUNCTION("""COMPUTED_VALUE"""),0.07361111110900914)</f>
        <v>0.07361111111</v>
      </c>
      <c r="F64" s="137">
        <f>IFERROR(__xludf.DUMMYFUNCTION("""COMPUTED_VALUE"""),0.5194444444423425)</f>
        <v>0.5194444444</v>
      </c>
      <c r="G64" s="106">
        <v>0.07361111110900914</v>
      </c>
      <c r="H64" s="136">
        <f>IFERROR(__xludf.DUMMYFUNCTION("""COMPUTED_VALUE"""),101.0)</f>
        <v>101</v>
      </c>
      <c r="I64" s="139">
        <v>57.169811322387204</v>
      </c>
      <c r="J64" s="136" t="s">
        <v>134</v>
      </c>
      <c r="K64" s="146">
        <f>IFERROR(__xludf.DUMMYFUNCTION("""COMPUTED_VALUE"""),46063.0)</f>
        <v>46063</v>
      </c>
      <c r="L64" s="136" t="str">
        <f t="shared" si="1"/>
        <v>Tuesday</v>
      </c>
      <c r="M64" s="136" t="str">
        <f>IFERROR(__xludf.DUMMYFUNCTION("""COMPUTED_VALUE"""),"BF")</f>
        <v>BF</v>
      </c>
      <c r="N64" s="141">
        <v>1.8357540941339474</v>
      </c>
      <c r="O64" s="136" t="str">
        <f>IFERROR(__xludf.DUMMYFUNCTION("""COMPUTED_VALUE"""),"")</f>
        <v/>
      </c>
      <c r="P64" s="136" t="str">
        <f>IFERROR(__xludf.DUMMYFUNCTION("""COMPUTED_VALUE"""),"")</f>
        <v/>
      </c>
      <c r="Q64" s="106" t="str">
        <f>IFERROR(__xludf.DUMMYFUNCTION("""COMPUTED_VALUE"""),"")</f>
        <v/>
      </c>
      <c r="R64" s="106" t="str">
        <f>IFERROR(__xludf.DUMMYFUNCTION("""COMPUTED_VALUE"""),"")</f>
        <v/>
      </c>
      <c r="S64" s="139" t="str">
        <f>IFERROR(__xludf.DUMMYFUNCTION("""COMPUTED_VALUE"""),"")</f>
        <v/>
      </c>
      <c r="T64" s="139" t="str">
        <f>IFERROR(__xludf.DUMMYFUNCTION("""COMPUTED_VALUE"""),"")</f>
        <v/>
      </c>
      <c r="U64" s="136" t="str">
        <f>IFERROR(__xludf.DUMMYFUNCTION("""COMPUTED_VALUE"""),"")</f>
        <v/>
      </c>
      <c r="V64" s="106" t="str">
        <f>IFERROR(__xludf.DUMMYFUNCTION("""COMPUTED_VALUE"""),"")</f>
        <v/>
      </c>
      <c r="W64" s="143" t="str">
        <f t="shared" si="2"/>
        <v/>
      </c>
      <c r="X64" s="139" t="str">
        <f>IFERROR(__xludf.DUMMYFUNCTION("""COMPUTED_VALUE"""),"")</f>
        <v/>
      </c>
      <c r="Y64" s="141" t="str">
        <f>IFERROR(__xludf.DUMMYFUNCTION("""COMPUTED_VALUE"""),"")</f>
        <v/>
      </c>
    </row>
    <row r="65">
      <c r="A65" s="144">
        <f>IFERROR(__xludf.DUMMYFUNCTION("""COMPUTED_VALUE"""),46063.57693978009)</f>
        <v>46063.57694</v>
      </c>
      <c r="B65" s="136" t="str">
        <f>IFERROR(__xludf.DUMMYFUNCTION("""COMPUTED_VALUE"""),"Kyra Turner")</f>
        <v>Kyra Turner</v>
      </c>
      <c r="C65" s="136" t="b">
        <f t="shared" si="3"/>
        <v>0</v>
      </c>
      <c r="D65" s="137">
        <f>IFERROR(__xludf.DUMMYFUNCTION("""COMPUTED_VALUE"""),0.48541666666278616)</f>
        <v>0.4854166667</v>
      </c>
      <c r="E65" s="106">
        <f>IFERROR(__xludf.DUMMYFUNCTION("""COMPUTED_VALUE"""),0.08402777778246673)</f>
        <v>0.08402777778</v>
      </c>
      <c r="F65" s="137">
        <f>IFERROR(__xludf.DUMMYFUNCTION("""COMPUTED_VALUE"""),0.5694444444452529)</f>
        <v>0.5694444444</v>
      </c>
      <c r="G65" s="106">
        <v>0.1270833333344652</v>
      </c>
      <c r="H65" s="136">
        <f>IFERROR(__xludf.DUMMYFUNCTION("""COMPUTED_VALUE"""),126.0)</f>
        <v>126</v>
      </c>
      <c r="I65" s="139">
        <v>59.672131147009516</v>
      </c>
      <c r="J65" s="136" t="s">
        <v>15</v>
      </c>
      <c r="K65" s="146">
        <f>IFERROR(__xludf.DUMMYFUNCTION("""COMPUTED_VALUE"""),46063.0)</f>
        <v>46063</v>
      </c>
      <c r="L65" s="136" t="str">
        <f t="shared" si="1"/>
        <v>Tuesday</v>
      </c>
      <c r="M65" s="136" t="str">
        <f>IFERROR(__xludf.DUMMYFUNCTION("""COMPUTED_VALUE"""),"MF")</f>
        <v>MF</v>
      </c>
      <c r="N65" s="141">
        <v>1.1868557078233435</v>
      </c>
      <c r="O65" s="136" t="str">
        <f>IFERROR(__xludf.DUMMYFUNCTION("""COMPUTED_VALUE"""),"")</f>
        <v/>
      </c>
      <c r="P65" s="136" t="str">
        <f>IFERROR(__xludf.DUMMYFUNCTION("""COMPUTED_VALUE"""),"")</f>
        <v/>
      </c>
      <c r="Q65" s="106" t="str">
        <f>IFERROR(__xludf.DUMMYFUNCTION("""COMPUTED_VALUE"""),"")</f>
        <v/>
      </c>
      <c r="R65" s="106" t="str">
        <f>IFERROR(__xludf.DUMMYFUNCTION("""COMPUTED_VALUE"""),"")</f>
        <v/>
      </c>
      <c r="S65" s="139" t="str">
        <f>IFERROR(__xludf.DUMMYFUNCTION("""COMPUTED_VALUE"""),"")</f>
        <v/>
      </c>
      <c r="T65" s="139" t="str">
        <f>IFERROR(__xludf.DUMMYFUNCTION("""COMPUTED_VALUE"""),"")</f>
        <v/>
      </c>
      <c r="U65" s="136" t="str">
        <f>IFERROR(__xludf.DUMMYFUNCTION("""COMPUTED_VALUE"""),"")</f>
        <v/>
      </c>
      <c r="V65" s="106" t="str">
        <f>IFERROR(__xludf.DUMMYFUNCTION("""COMPUTED_VALUE"""),"")</f>
        <v/>
      </c>
      <c r="W65" s="143" t="str">
        <f t="shared" si="2"/>
        <v/>
      </c>
      <c r="X65" s="139" t="str">
        <f>IFERROR(__xludf.DUMMYFUNCTION("""COMPUTED_VALUE"""),"")</f>
        <v/>
      </c>
      <c r="Y65" s="141" t="str">
        <f>IFERROR(__xludf.DUMMYFUNCTION("""COMPUTED_VALUE"""),"")</f>
        <v/>
      </c>
    </row>
    <row r="66">
      <c r="A66" s="144">
        <f>IFERROR(__xludf.DUMMYFUNCTION("""COMPUTED_VALUE"""),46063.62017760417)</f>
        <v>46063.62018</v>
      </c>
      <c r="B66" s="136" t="str">
        <f>IFERROR(__xludf.DUMMYFUNCTION("""COMPUTED_VALUE"""),"Kyra Turner")</f>
        <v>Kyra Turner</v>
      </c>
      <c r="C66" s="136" t="b">
        <f t="shared" si="3"/>
        <v>1</v>
      </c>
      <c r="D66" s="137">
        <f>IFERROR(__xludf.DUMMYFUNCTION("""COMPUTED_VALUE"""),0.5763888888888888)</f>
        <v>0.5763888889</v>
      </c>
      <c r="E66" s="106">
        <f>IFERROR(__xludf.DUMMYFUNCTION("""COMPUTED_VALUE"""),0.04305555555199847)</f>
        <v>0.04305555555</v>
      </c>
      <c r="F66" s="137">
        <f>IFERROR(__xludf.DUMMYFUNCTION("""COMPUTED_VALUE"""),0.6194444444408873)</f>
        <v>0.6194444444</v>
      </c>
      <c r="G66" s="106" t="s">
        <v>133</v>
      </c>
      <c r="H66" s="136">
        <f>IFERROR(__xludf.DUMMYFUNCTION("""COMPUTED_VALUE"""),56.0)</f>
        <v>56</v>
      </c>
      <c r="I66" s="139" t="s">
        <v>133</v>
      </c>
      <c r="J66" s="136" t="s">
        <v>15</v>
      </c>
      <c r="K66" s="146">
        <f>IFERROR(__xludf.DUMMYFUNCTION("""COMPUTED_VALUE"""),46063.0)</f>
        <v>46063</v>
      </c>
      <c r="L66" s="136" t="str">
        <f t="shared" si="1"/>
        <v>Tuesday</v>
      </c>
      <c r="M66" s="136" t="str">
        <f>IFERROR(__xludf.DUMMYFUNCTION("""COMPUTED_VALUE"""),"MF")</f>
        <v>MF</v>
      </c>
      <c r="N66" s="141" t="s">
        <v>133</v>
      </c>
      <c r="O66" s="136" t="str">
        <f>IFERROR(__xludf.DUMMYFUNCTION("""COMPUTED_VALUE"""),"")</f>
        <v/>
      </c>
      <c r="P66" s="136" t="str">
        <f>IFERROR(__xludf.DUMMYFUNCTION("""COMPUTED_VALUE"""),"")</f>
        <v/>
      </c>
      <c r="Q66" s="106" t="str">
        <f>IFERROR(__xludf.DUMMYFUNCTION("""COMPUTED_VALUE"""),"")</f>
        <v/>
      </c>
      <c r="R66" s="106" t="str">
        <f>IFERROR(__xludf.DUMMYFUNCTION("""COMPUTED_VALUE"""),"")</f>
        <v/>
      </c>
      <c r="S66" s="139" t="str">
        <f>IFERROR(__xludf.DUMMYFUNCTION("""COMPUTED_VALUE"""),"")</f>
        <v/>
      </c>
      <c r="T66" s="139" t="str">
        <f>IFERROR(__xludf.DUMMYFUNCTION("""COMPUTED_VALUE"""),"")</f>
        <v/>
      </c>
      <c r="U66" s="136" t="str">
        <f>IFERROR(__xludf.DUMMYFUNCTION("""COMPUTED_VALUE"""),"")</f>
        <v/>
      </c>
      <c r="V66" s="106" t="str">
        <f>IFERROR(__xludf.DUMMYFUNCTION("""COMPUTED_VALUE"""),"")</f>
        <v/>
      </c>
      <c r="W66" s="143" t="str">
        <f t="shared" si="2"/>
        <v/>
      </c>
      <c r="X66" s="139" t="str">
        <f>IFERROR(__xludf.DUMMYFUNCTION("""COMPUTED_VALUE"""),"")</f>
        <v/>
      </c>
      <c r="Y66" s="141" t="str">
        <f>IFERROR(__xludf.DUMMYFUNCTION("""COMPUTED_VALUE"""),"")</f>
        <v/>
      </c>
    </row>
    <row r="67">
      <c r="A67" s="144">
        <f>IFERROR(__xludf.DUMMYFUNCTION("""COMPUTED_VALUE"""),46063.64648833333)</f>
        <v>46063.64649</v>
      </c>
      <c r="B67" s="136" t="str">
        <f>IFERROR(__xludf.DUMMYFUNCTION("""COMPUTED_VALUE"""),"Arjya Aich")</f>
        <v>Arjya Aich</v>
      </c>
      <c r="C67" s="136" t="b">
        <f t="shared" si="3"/>
        <v>0</v>
      </c>
      <c r="D67" s="137">
        <f>IFERROR(__xludf.DUMMYFUNCTION("""COMPUTED_VALUE"""),0.5138888888905058)</f>
        <v>0.5138888889</v>
      </c>
      <c r="E67" s="106">
        <f>IFERROR(__xludf.DUMMYFUNCTION("""COMPUTED_VALUE"""),0.13194444444525288)</f>
        <v>0.1319444444</v>
      </c>
      <c r="F67" s="137">
        <f>IFERROR(__xludf.DUMMYFUNCTION("""COMPUTED_VALUE"""),0.6458333333357587)</f>
        <v>0.6458333333</v>
      </c>
      <c r="G67" s="106">
        <v>0.13194444444525288</v>
      </c>
      <c r="H67" s="136">
        <f>IFERROR(__xludf.DUMMYFUNCTION("""COMPUTED_VALUE"""),40.0)</f>
        <v>40</v>
      </c>
      <c r="I67" s="139">
        <v>12.631578947291025</v>
      </c>
      <c r="J67" s="136" t="s">
        <v>15</v>
      </c>
      <c r="K67" s="146">
        <f>IFERROR(__xludf.DUMMYFUNCTION("""COMPUTED_VALUE"""),46063.0)</f>
        <v>46063</v>
      </c>
      <c r="L67" s="136" t="str">
        <f t="shared" si="1"/>
        <v>Tuesday</v>
      </c>
      <c r="M67" s="136" t="str">
        <f>IFERROR(__xludf.DUMMYFUNCTION("""COMPUTED_VALUE"""),"BF")</f>
        <v>BF</v>
      </c>
      <c r="N67" s="141">
        <v>0.4455481351175326</v>
      </c>
      <c r="O67" s="136" t="str">
        <f>IFERROR(__xludf.DUMMYFUNCTION("""COMPUTED_VALUE"""),"")</f>
        <v/>
      </c>
      <c r="P67" s="136" t="str">
        <f>IFERROR(__xludf.DUMMYFUNCTION("""COMPUTED_VALUE"""),"")</f>
        <v/>
      </c>
      <c r="Q67" s="106" t="str">
        <f>IFERROR(__xludf.DUMMYFUNCTION("""COMPUTED_VALUE"""),"")</f>
        <v/>
      </c>
      <c r="R67" s="106" t="str">
        <f>IFERROR(__xludf.DUMMYFUNCTION("""COMPUTED_VALUE"""),"")</f>
        <v/>
      </c>
      <c r="S67" s="139" t="str">
        <f>IFERROR(__xludf.DUMMYFUNCTION("""COMPUTED_VALUE"""),"")</f>
        <v/>
      </c>
      <c r="T67" s="139" t="str">
        <f>IFERROR(__xludf.DUMMYFUNCTION("""COMPUTED_VALUE"""),"")</f>
        <v/>
      </c>
      <c r="U67" s="136" t="str">
        <f>IFERROR(__xludf.DUMMYFUNCTION("""COMPUTED_VALUE"""),"")</f>
        <v/>
      </c>
      <c r="V67" s="106" t="str">
        <f>IFERROR(__xludf.DUMMYFUNCTION("""COMPUTED_VALUE"""),"")</f>
        <v/>
      </c>
      <c r="W67" s="143" t="str">
        <f t="shared" si="2"/>
        <v/>
      </c>
      <c r="X67" s="139" t="str">
        <f>IFERROR(__xludf.DUMMYFUNCTION("""COMPUTED_VALUE"""),"")</f>
        <v/>
      </c>
      <c r="Y67" s="141" t="str">
        <f>IFERROR(__xludf.DUMMYFUNCTION("""COMPUTED_VALUE"""),"")</f>
        <v/>
      </c>
    </row>
    <row r="68">
      <c r="A68" s="144">
        <f>IFERROR(__xludf.DUMMYFUNCTION("""COMPUTED_VALUE"""),46063.86804144676)</f>
        <v>46063.86804</v>
      </c>
      <c r="B68" s="136" t="str">
        <f>IFERROR(__xludf.DUMMYFUNCTION("""COMPUTED_VALUE"""),"Laila Maisuria")</f>
        <v>Laila Maisuria</v>
      </c>
      <c r="C68" s="136" t="b">
        <f t="shared" si="3"/>
        <v>0</v>
      </c>
      <c r="D68" s="137">
        <f>IFERROR(__xludf.DUMMYFUNCTION("""COMPUTED_VALUE"""),0.7548611111124046)</f>
        <v>0.7548611111</v>
      </c>
      <c r="E68" s="106">
        <f>IFERROR(__xludf.DUMMYFUNCTION("""COMPUTED_VALUE"""),0.11180555555620231)</f>
        <v>0.1118055556</v>
      </c>
      <c r="F68" s="137">
        <f>IFERROR(__xludf.DUMMYFUNCTION("""COMPUTED_VALUE"""),0.8666666666686069)</f>
        <v>0.8666666667</v>
      </c>
      <c r="G68" s="106">
        <v>0.11180555555620231</v>
      </c>
      <c r="H68" s="136">
        <f>IFERROR(__xludf.DUMMYFUNCTION("""COMPUTED_VALUE"""),123.0)</f>
        <v>123</v>
      </c>
      <c r="I68" s="139">
        <v>45.838509316505025</v>
      </c>
      <c r="J68" s="136" t="s">
        <v>18</v>
      </c>
      <c r="K68" s="146">
        <f>IFERROR(__xludf.DUMMYFUNCTION("""COMPUTED_VALUE"""),46063.0)</f>
        <v>46063</v>
      </c>
      <c r="L68" s="136" t="str">
        <f t="shared" si="1"/>
        <v>Tuesday</v>
      </c>
      <c r="M68" s="136" t="str">
        <f>IFERROR(__xludf.DUMMYFUNCTION("""COMPUTED_VALUE"""),"MF")</f>
        <v>MF</v>
      </c>
      <c r="N68" s="141">
        <v>0.958775017774296</v>
      </c>
      <c r="O68" s="136" t="str">
        <f>IFERROR(__xludf.DUMMYFUNCTION("""COMPUTED_VALUE"""),"")</f>
        <v/>
      </c>
      <c r="P68" s="136" t="str">
        <f>IFERROR(__xludf.DUMMYFUNCTION("""COMPUTED_VALUE"""),"")</f>
        <v/>
      </c>
      <c r="Q68" s="106" t="str">
        <f>IFERROR(__xludf.DUMMYFUNCTION("""COMPUTED_VALUE"""),"")</f>
        <v/>
      </c>
      <c r="R68" s="106" t="str">
        <f>IFERROR(__xludf.DUMMYFUNCTION("""COMPUTED_VALUE"""),"")</f>
        <v/>
      </c>
      <c r="S68" s="139" t="str">
        <f>IFERROR(__xludf.DUMMYFUNCTION("""COMPUTED_VALUE"""),"")</f>
        <v/>
      </c>
      <c r="T68" s="139" t="str">
        <f>IFERROR(__xludf.DUMMYFUNCTION("""COMPUTED_VALUE"""),"")</f>
        <v/>
      </c>
      <c r="U68" s="136" t="str">
        <f>IFERROR(__xludf.DUMMYFUNCTION("""COMPUTED_VALUE"""),"")</f>
        <v/>
      </c>
      <c r="V68" s="106" t="str">
        <f>IFERROR(__xludf.DUMMYFUNCTION("""COMPUTED_VALUE"""),"")</f>
        <v/>
      </c>
      <c r="W68" s="143" t="str">
        <f t="shared" si="2"/>
        <v/>
      </c>
      <c r="X68" s="139" t="str">
        <f>IFERROR(__xludf.DUMMYFUNCTION("""COMPUTED_VALUE"""),"")</f>
        <v/>
      </c>
      <c r="Y68" s="141" t="str">
        <f>IFERROR(__xludf.DUMMYFUNCTION("""COMPUTED_VALUE"""),"")</f>
        <v/>
      </c>
    </row>
    <row r="69">
      <c r="A69" s="144">
        <f>IFERROR(__xludf.DUMMYFUNCTION("""COMPUTED_VALUE"""),46064.42201444444)</f>
        <v>46064.42201</v>
      </c>
      <c r="B69" s="136" t="str">
        <f>IFERROR(__xludf.DUMMYFUNCTION("""COMPUTED_VALUE"""),"Leah Bucci")</f>
        <v>Leah Bucci</v>
      </c>
      <c r="C69" s="136" t="b">
        <f t="shared" si="3"/>
        <v>0</v>
      </c>
      <c r="D69" s="137">
        <f>IFERROR(__xludf.DUMMYFUNCTION("""COMPUTED_VALUE"""),0.6875)</f>
        <v>0.6875</v>
      </c>
      <c r="E69" s="106">
        <f>IFERROR(__xludf.DUMMYFUNCTION("""COMPUTED_VALUE"""),0.10416666666424135)</f>
        <v>0.1041666667</v>
      </c>
      <c r="F69" s="137">
        <f>IFERROR(__xludf.DUMMYFUNCTION("""COMPUTED_VALUE"""),0.7916666666642413)</f>
        <v>0.7916666667</v>
      </c>
      <c r="G69" s="106">
        <v>0.10416666666424135</v>
      </c>
      <c r="H69" s="136">
        <f>IFERROR(__xludf.DUMMYFUNCTION("""COMPUTED_VALUE"""),117.0)</f>
        <v>117</v>
      </c>
      <c r="I69" s="139">
        <v>46.80000000108965</v>
      </c>
      <c r="J69" s="136" t="s">
        <v>18</v>
      </c>
      <c r="K69" s="146">
        <f>IFERROR(__xludf.DUMMYFUNCTION("""COMPUTED_VALUE"""),46063.0)</f>
        <v>46063</v>
      </c>
      <c r="L69" s="136" t="str">
        <f t="shared" si="1"/>
        <v>Tuesday</v>
      </c>
      <c r="M69" s="136" t="str">
        <f>IFERROR(__xludf.DUMMYFUNCTION("""COMPUTED_VALUE"""),"BF")</f>
        <v>BF</v>
      </c>
      <c r="N69" s="141">
        <v>1.0532992327457693</v>
      </c>
      <c r="O69" s="136">
        <f>IFERROR(__xludf.DUMMYFUNCTION("""COMPUTED_VALUE"""),305.0)</f>
        <v>305</v>
      </c>
      <c r="P69" s="136">
        <f>IFERROR(__xludf.DUMMYFUNCTION("""COMPUTED_VALUE"""),258.0)</f>
        <v>258</v>
      </c>
      <c r="Q69" s="106">
        <f>IFERROR(__xludf.DUMMYFUNCTION("""COMPUTED_VALUE"""),0.2388888888906675)</f>
        <v>0.2388888889</v>
      </c>
      <c r="R69" s="106">
        <f>IFERROR(__xludf.DUMMYFUNCTION("""COMPUTED_VALUE"""),0.3097222222185034)</f>
        <v>0.3097222222</v>
      </c>
      <c r="S69" s="139">
        <f>IFERROR(__xludf.DUMMYFUNCTION("""COMPUTED_VALUE"""),52.75532023175727)</f>
        <v>52.75532023</v>
      </c>
      <c r="T69" s="139">
        <f>IFERROR(__xludf.DUMMYFUNCTION("""COMPUTED_VALUE"""),38.867130090255955)</f>
        <v>38.86713009</v>
      </c>
      <c r="U69" s="136">
        <f>IFERROR(__xludf.DUMMYFUNCTION("""COMPUTED_VALUE"""),563.0)</f>
        <v>563</v>
      </c>
      <c r="V69" s="106">
        <f>IFERROR(__xludf.DUMMYFUNCTION("""COMPUTED_VALUE"""),0.5486111111091709)</f>
        <v>0.5486111111</v>
      </c>
      <c r="W69" s="143">
        <f t="shared" si="2"/>
        <v>42.75949367</v>
      </c>
      <c r="X69" s="139">
        <f>IFERROR(__xludf.DUMMYFUNCTION("""COMPUTED_VALUE"""),44.42240614685648)</f>
        <v>44.42240615</v>
      </c>
      <c r="Y69" s="141">
        <f>IFERROR(__xludf.DUMMYFUNCTION("""COMPUTED_VALUE"""),0.6761074857868024)</f>
        <v>0.6761074858</v>
      </c>
    </row>
    <row r="70">
      <c r="A70" s="144">
        <f>IFERROR(__xludf.DUMMYFUNCTION("""COMPUTED_VALUE"""),46064.62069019676)</f>
        <v>46064.62069</v>
      </c>
      <c r="B70" s="136" t="str">
        <f>IFERROR(__xludf.DUMMYFUNCTION("""COMPUTED_VALUE"""),"Evan Morgan")</f>
        <v>Evan Morgan</v>
      </c>
      <c r="C70" s="136" t="b">
        <f t="shared" si="3"/>
        <v>0</v>
      </c>
      <c r="D70" s="137">
        <f>IFERROR(__xludf.DUMMYFUNCTION("""COMPUTED_VALUE"""),0.5416666666642413)</f>
        <v>0.5416666667</v>
      </c>
      <c r="E70" s="106">
        <f>IFERROR(__xludf.DUMMYFUNCTION("""COMPUTED_VALUE"""),0.08333333333575865)</f>
        <v>0.08333333334</v>
      </c>
      <c r="F70" s="137">
        <f>IFERROR(__xludf.DUMMYFUNCTION("""COMPUTED_VALUE"""),0.625)</f>
        <v>0.625</v>
      </c>
      <c r="G70" s="106">
        <v>0.08333333333575865</v>
      </c>
      <c r="H70" s="136">
        <f>IFERROR(__xludf.DUMMYFUNCTION("""COMPUTED_VALUE"""),128.0)</f>
        <v>128</v>
      </c>
      <c r="I70" s="139">
        <v>63.999999998137355</v>
      </c>
      <c r="J70" s="136" t="s">
        <v>15</v>
      </c>
      <c r="K70" s="146">
        <f>IFERROR(__xludf.DUMMYFUNCTION("""COMPUTED_VALUE"""),46064.0)</f>
        <v>46064</v>
      </c>
      <c r="L70" s="136" t="str">
        <f t="shared" si="1"/>
        <v>Wednesday</v>
      </c>
      <c r="M70" s="136" t="str">
        <f>IFERROR(__xludf.DUMMYFUNCTION("""COMPUTED_VALUE"""),"MF")</f>
        <v>MF</v>
      </c>
      <c r="N70" s="141">
        <v>1.272935352540865</v>
      </c>
      <c r="O70" s="136" t="str">
        <f>IFERROR(__xludf.DUMMYFUNCTION("""COMPUTED_VALUE"""),"")</f>
        <v/>
      </c>
      <c r="P70" s="136" t="str">
        <f>IFERROR(__xludf.DUMMYFUNCTION("""COMPUTED_VALUE"""),"")</f>
        <v/>
      </c>
      <c r="Q70" s="106" t="str">
        <f>IFERROR(__xludf.DUMMYFUNCTION("""COMPUTED_VALUE"""),"")</f>
        <v/>
      </c>
      <c r="R70" s="106" t="str">
        <f>IFERROR(__xludf.DUMMYFUNCTION("""COMPUTED_VALUE"""),"")</f>
        <v/>
      </c>
      <c r="S70" s="139" t="str">
        <f>IFERROR(__xludf.DUMMYFUNCTION("""COMPUTED_VALUE"""),"")</f>
        <v/>
      </c>
      <c r="T70" s="139" t="str">
        <f>IFERROR(__xludf.DUMMYFUNCTION("""COMPUTED_VALUE"""),"")</f>
        <v/>
      </c>
      <c r="U70" s="136" t="str">
        <f>IFERROR(__xludf.DUMMYFUNCTION("""COMPUTED_VALUE"""),"")</f>
        <v/>
      </c>
      <c r="V70" s="106" t="str">
        <f>IFERROR(__xludf.DUMMYFUNCTION("""COMPUTED_VALUE"""),"")</f>
        <v/>
      </c>
      <c r="W70" s="143" t="str">
        <f t="shared" si="2"/>
        <v/>
      </c>
      <c r="X70" s="139" t="str">
        <f>IFERROR(__xludf.DUMMYFUNCTION("""COMPUTED_VALUE"""),"")</f>
        <v/>
      </c>
      <c r="Y70" s="141" t="str">
        <f>IFERROR(__xludf.DUMMYFUNCTION("""COMPUTED_VALUE"""),"")</f>
        <v/>
      </c>
    </row>
    <row r="71">
      <c r="A71" s="144">
        <f>IFERROR(__xludf.DUMMYFUNCTION("""COMPUTED_VALUE"""),46064.739611620374)</f>
        <v>46064.73961</v>
      </c>
      <c r="B71" s="136" t="str">
        <f>IFERROR(__xludf.DUMMYFUNCTION("""COMPUTED_VALUE"""),"Evan Morgan")</f>
        <v>Evan Morgan</v>
      </c>
      <c r="C71" s="136" t="b">
        <f t="shared" si="3"/>
        <v>0</v>
      </c>
      <c r="D71" s="137">
        <f>IFERROR(__xludf.DUMMYFUNCTION("""COMPUTED_VALUE"""),0.6666666666642413)</f>
        <v>0.6666666667</v>
      </c>
      <c r="E71" s="106">
        <f>IFERROR(__xludf.DUMMYFUNCTION("""COMPUTED_VALUE"""),0.06597222222626442)</f>
        <v>0.06597222223</v>
      </c>
      <c r="F71" s="137">
        <f>IFERROR(__xludf.DUMMYFUNCTION("""COMPUTED_VALUE"""),0.7326388888905058)</f>
        <v>0.7326388889</v>
      </c>
      <c r="G71" s="106">
        <v>0.06597222222626442</v>
      </c>
      <c r="H71" s="136">
        <f>IFERROR(__xludf.DUMMYFUNCTION("""COMPUTED_VALUE"""),94.0)</f>
        <v>94</v>
      </c>
      <c r="I71" s="139">
        <v>59.368421048994</v>
      </c>
      <c r="J71" s="136" t="s">
        <v>18</v>
      </c>
      <c r="K71" s="146">
        <f>IFERROR(__xludf.DUMMYFUNCTION("""COMPUTED_VALUE"""),46064.0)</f>
        <v>46064</v>
      </c>
      <c r="L71" s="136" t="str">
        <f t="shared" si="1"/>
        <v>Wednesday</v>
      </c>
      <c r="M71" s="136" t="str">
        <f>IFERROR(__xludf.DUMMYFUNCTION("""COMPUTED_VALUE"""),"MF")</f>
        <v>MF</v>
      </c>
      <c r="N71" s="141">
        <v>1.241771597620118</v>
      </c>
      <c r="O71" s="136" t="str">
        <f>IFERROR(__xludf.DUMMYFUNCTION("""COMPUTED_VALUE"""),"")</f>
        <v/>
      </c>
      <c r="P71" s="136" t="str">
        <f>IFERROR(__xludf.DUMMYFUNCTION("""COMPUTED_VALUE"""),"")</f>
        <v/>
      </c>
      <c r="Q71" s="106" t="str">
        <f>IFERROR(__xludf.DUMMYFUNCTION("""COMPUTED_VALUE"""),"")</f>
        <v/>
      </c>
      <c r="R71" s="106" t="str">
        <f>IFERROR(__xludf.DUMMYFUNCTION("""COMPUTED_VALUE"""),"")</f>
        <v/>
      </c>
      <c r="S71" s="139" t="str">
        <f>IFERROR(__xludf.DUMMYFUNCTION("""COMPUTED_VALUE"""),"")</f>
        <v/>
      </c>
      <c r="T71" s="139" t="str">
        <f>IFERROR(__xludf.DUMMYFUNCTION("""COMPUTED_VALUE"""),"")</f>
        <v/>
      </c>
      <c r="U71" s="136" t="str">
        <f>IFERROR(__xludf.DUMMYFUNCTION("""COMPUTED_VALUE"""),"")</f>
        <v/>
      </c>
      <c r="V71" s="106" t="str">
        <f>IFERROR(__xludf.DUMMYFUNCTION("""COMPUTED_VALUE"""),"")</f>
        <v/>
      </c>
      <c r="W71" s="143" t="str">
        <f t="shared" si="2"/>
        <v/>
      </c>
      <c r="X71" s="139" t="str">
        <f>IFERROR(__xludf.DUMMYFUNCTION("""COMPUTED_VALUE"""),"")</f>
        <v/>
      </c>
      <c r="Y71" s="141" t="str">
        <f>IFERROR(__xludf.DUMMYFUNCTION("""COMPUTED_VALUE"""),"")</f>
        <v/>
      </c>
    </row>
    <row r="72">
      <c r="A72" s="144">
        <f>IFERROR(__xludf.DUMMYFUNCTION("""COMPUTED_VALUE"""),46064.79300583333)</f>
        <v>46064.79301</v>
      </c>
      <c r="B72" s="136" t="str">
        <f>IFERROR(__xludf.DUMMYFUNCTION("""COMPUTED_VALUE"""),"Brynn Hornig")</f>
        <v>Brynn Hornig</v>
      </c>
      <c r="C72" s="136" t="b">
        <f t="shared" si="3"/>
        <v>0</v>
      </c>
      <c r="D72" s="137">
        <f>IFERROR(__xludf.DUMMYFUNCTION("""COMPUTED_VALUE"""),0.75)</f>
        <v>0.75</v>
      </c>
      <c r="E72" s="106">
        <f>IFERROR(__xludf.DUMMYFUNCTION("""COMPUTED_VALUE"""),0.04166666666424135)</f>
        <v>0.04166666666</v>
      </c>
      <c r="F72" s="137">
        <f>IFERROR(__xludf.DUMMYFUNCTION("""COMPUTED_VALUE"""),0.7916666666642413)</f>
        <v>0.7916666667</v>
      </c>
      <c r="G72" s="106">
        <v>0.04166666666424135</v>
      </c>
      <c r="H72" s="136">
        <f>IFERROR(__xludf.DUMMYFUNCTION("""COMPUTED_VALUE"""),116.0)</f>
        <v>116</v>
      </c>
      <c r="I72" s="139">
        <v>116.00000000675209</v>
      </c>
      <c r="J72" s="136" t="s">
        <v>18</v>
      </c>
      <c r="K72" s="146">
        <f>IFERROR(__xludf.DUMMYFUNCTION("""COMPUTED_VALUE"""),46064.0)</f>
        <v>46064</v>
      </c>
      <c r="L72" s="136" t="str">
        <f t="shared" si="1"/>
        <v>Wednesday</v>
      </c>
      <c r="M72" s="136" t="str">
        <f>IFERROR(__xludf.DUMMYFUNCTION("""COMPUTED_VALUE"""),"MF")</f>
        <v>MF</v>
      </c>
      <c r="N72" s="141">
        <v>2.4262984055689163</v>
      </c>
      <c r="O72" s="136" t="str">
        <f>IFERROR(__xludf.DUMMYFUNCTION("""COMPUTED_VALUE"""),"")</f>
        <v/>
      </c>
      <c r="P72" s="136" t="str">
        <f>IFERROR(__xludf.DUMMYFUNCTION("""COMPUTED_VALUE"""),"")</f>
        <v/>
      </c>
      <c r="Q72" s="106" t="str">
        <f>IFERROR(__xludf.DUMMYFUNCTION("""COMPUTED_VALUE"""),"")</f>
        <v/>
      </c>
      <c r="R72" s="106" t="str">
        <f>IFERROR(__xludf.DUMMYFUNCTION("""COMPUTED_VALUE"""),"")</f>
        <v/>
      </c>
      <c r="S72" s="139" t="str">
        <f>IFERROR(__xludf.DUMMYFUNCTION("""COMPUTED_VALUE"""),"")</f>
        <v/>
      </c>
      <c r="T72" s="139" t="str">
        <f>IFERROR(__xludf.DUMMYFUNCTION("""COMPUTED_VALUE"""),"")</f>
        <v/>
      </c>
      <c r="U72" s="136" t="str">
        <f>IFERROR(__xludf.DUMMYFUNCTION("""COMPUTED_VALUE"""),"")</f>
        <v/>
      </c>
      <c r="V72" s="106" t="str">
        <f>IFERROR(__xludf.DUMMYFUNCTION("""COMPUTED_VALUE"""),"")</f>
        <v/>
      </c>
      <c r="W72" s="143" t="str">
        <f t="shared" si="2"/>
        <v/>
      </c>
      <c r="X72" s="139" t="str">
        <f>IFERROR(__xludf.DUMMYFUNCTION("""COMPUTED_VALUE"""),"")</f>
        <v/>
      </c>
      <c r="Y72" s="141" t="str">
        <f>IFERROR(__xludf.DUMMYFUNCTION("""COMPUTED_VALUE"""),"")</f>
        <v/>
      </c>
    </row>
    <row r="73">
      <c r="A73" s="144">
        <f>IFERROR(__xludf.DUMMYFUNCTION("""COMPUTED_VALUE"""),46064.847970601855)</f>
        <v>46064.84797</v>
      </c>
      <c r="B73" s="136" t="str">
        <f>IFERROR(__xludf.DUMMYFUNCTION("""COMPUTED_VALUE"""),"Maureen Surgot")</f>
        <v>Maureen Surgot</v>
      </c>
      <c r="C73" s="136" t="b">
        <f t="shared" si="3"/>
        <v>0</v>
      </c>
      <c r="D73" s="137">
        <f>IFERROR(__xludf.DUMMYFUNCTION("""COMPUTED_VALUE"""),0.6875)</f>
        <v>0.6875</v>
      </c>
      <c r="E73" s="106">
        <f>IFERROR(__xludf.DUMMYFUNCTION("""COMPUTED_VALUE"""),0.16666666666424135)</f>
        <v>0.1666666667</v>
      </c>
      <c r="F73" s="137">
        <f>IFERROR(__xludf.DUMMYFUNCTION("""COMPUTED_VALUE"""),0.8541666666642413)</f>
        <v>0.8541666667</v>
      </c>
      <c r="G73" s="106">
        <v>0.16666666666424135</v>
      </c>
      <c r="H73" s="136">
        <f>IFERROR(__xludf.DUMMYFUNCTION("""COMPUTED_VALUE"""),149.0)</f>
        <v>149</v>
      </c>
      <c r="I73" s="139">
        <v>37.25000000054206</v>
      </c>
      <c r="J73" s="136" t="s">
        <v>18</v>
      </c>
      <c r="K73" s="146">
        <f>IFERROR(__xludf.DUMMYFUNCTION("""COMPUTED_VALUE"""),46064.0)</f>
        <v>46064</v>
      </c>
      <c r="L73" s="136" t="str">
        <f t="shared" si="1"/>
        <v>Wednesday</v>
      </c>
      <c r="M73" s="136" t="str">
        <f>IFERROR(__xludf.DUMMYFUNCTION("""COMPUTED_VALUE"""),"BF")</f>
        <v>BF</v>
      </c>
      <c r="N73" s="141">
        <v>0.8383631713554986</v>
      </c>
      <c r="O73" s="136" t="str">
        <f>IFERROR(__xludf.DUMMYFUNCTION("""COMPUTED_VALUE"""),"")</f>
        <v/>
      </c>
      <c r="P73" s="136" t="str">
        <f>IFERROR(__xludf.DUMMYFUNCTION("""COMPUTED_VALUE"""),"")</f>
        <v/>
      </c>
      <c r="Q73" s="106" t="str">
        <f>IFERROR(__xludf.DUMMYFUNCTION("""COMPUTED_VALUE"""),"")</f>
        <v/>
      </c>
      <c r="R73" s="106" t="str">
        <f>IFERROR(__xludf.DUMMYFUNCTION("""COMPUTED_VALUE"""),"")</f>
        <v/>
      </c>
      <c r="S73" s="139" t="str">
        <f>IFERROR(__xludf.DUMMYFUNCTION("""COMPUTED_VALUE"""),"")</f>
        <v/>
      </c>
      <c r="T73" s="139" t="str">
        <f>IFERROR(__xludf.DUMMYFUNCTION("""COMPUTED_VALUE"""),"")</f>
        <v/>
      </c>
      <c r="U73" s="136" t="str">
        <f>IFERROR(__xludf.DUMMYFUNCTION("""COMPUTED_VALUE"""),"")</f>
        <v/>
      </c>
      <c r="V73" s="106" t="str">
        <f>IFERROR(__xludf.DUMMYFUNCTION("""COMPUTED_VALUE"""),"")</f>
        <v/>
      </c>
      <c r="W73" s="143" t="str">
        <f t="shared" si="2"/>
        <v/>
      </c>
      <c r="X73" s="139" t="str">
        <f>IFERROR(__xludf.DUMMYFUNCTION("""COMPUTED_VALUE"""),"")</f>
        <v/>
      </c>
      <c r="Y73" s="141" t="str">
        <f>IFERROR(__xludf.DUMMYFUNCTION("""COMPUTED_VALUE"""),"")</f>
        <v/>
      </c>
    </row>
    <row r="74">
      <c r="A74" s="144">
        <f>IFERROR(__xludf.DUMMYFUNCTION("""COMPUTED_VALUE"""),46064.853610833336)</f>
        <v>46064.85361</v>
      </c>
      <c r="B74" s="136" t="str">
        <f>IFERROR(__xludf.DUMMYFUNCTION("""COMPUTED_VALUE"""),"Brynn Hornig")</f>
        <v>Brynn Hornig</v>
      </c>
      <c r="C74" s="136" t="b">
        <f t="shared" si="3"/>
        <v>0</v>
      </c>
      <c r="D74" s="137">
        <f>IFERROR(__xludf.DUMMYFUNCTION("""COMPUTED_VALUE"""),0.7916666666642413)</f>
        <v>0.7916666667</v>
      </c>
      <c r="E74" s="106">
        <f>IFERROR(__xludf.DUMMYFUNCTION("""COMPUTED_VALUE"""),0.061111111113859806)</f>
        <v>0.06111111111</v>
      </c>
      <c r="F74" s="137">
        <f>IFERROR(__xludf.DUMMYFUNCTION("""COMPUTED_VALUE"""),0.8527777777781012)</f>
        <v>0.8527777778</v>
      </c>
      <c r="G74" s="106">
        <v>0.08194444444961846</v>
      </c>
      <c r="H74" s="136">
        <f>IFERROR(__xludf.DUMMYFUNCTION("""COMPUTED_VALUE"""),140.0)</f>
        <v>140</v>
      </c>
      <c r="I74" s="139">
        <v>79.83050846953573</v>
      </c>
      <c r="J74" s="136" t="s">
        <v>18</v>
      </c>
      <c r="K74" s="146">
        <f>IFERROR(__xludf.DUMMYFUNCTION("""COMPUTED_VALUE"""),46064.0)</f>
        <v>46064</v>
      </c>
      <c r="L74" s="136" t="str">
        <f t="shared" si="1"/>
        <v>Wednesday</v>
      </c>
      <c r="M74" s="136" t="str">
        <f>IFERROR(__xludf.DUMMYFUNCTION("""COMPUTED_VALUE"""),"MF")</f>
        <v>MF</v>
      </c>
      <c r="N74" s="141">
        <v>1.669764098311345</v>
      </c>
      <c r="O74" s="136" t="str">
        <f>IFERROR(__xludf.DUMMYFUNCTION("""COMPUTED_VALUE"""),"")</f>
        <v/>
      </c>
      <c r="P74" s="136" t="str">
        <f>IFERROR(__xludf.DUMMYFUNCTION("""COMPUTED_VALUE"""),"")</f>
        <v/>
      </c>
      <c r="Q74" s="106" t="str">
        <f>IFERROR(__xludf.DUMMYFUNCTION("""COMPUTED_VALUE"""),"")</f>
        <v/>
      </c>
      <c r="R74" s="106" t="str">
        <f>IFERROR(__xludf.DUMMYFUNCTION("""COMPUTED_VALUE"""),"")</f>
        <v/>
      </c>
      <c r="S74" s="139" t="str">
        <f>IFERROR(__xludf.DUMMYFUNCTION("""COMPUTED_VALUE"""),"")</f>
        <v/>
      </c>
      <c r="T74" s="139" t="str">
        <f>IFERROR(__xludf.DUMMYFUNCTION("""COMPUTED_VALUE"""),"")</f>
        <v/>
      </c>
      <c r="U74" s="136" t="str">
        <f>IFERROR(__xludf.DUMMYFUNCTION("""COMPUTED_VALUE"""),"")</f>
        <v/>
      </c>
      <c r="V74" s="106" t="str">
        <f>IFERROR(__xludf.DUMMYFUNCTION("""COMPUTED_VALUE"""),"")</f>
        <v/>
      </c>
      <c r="W74" s="143" t="str">
        <f t="shared" si="2"/>
        <v/>
      </c>
      <c r="X74" s="139" t="str">
        <f>IFERROR(__xludf.DUMMYFUNCTION("""COMPUTED_VALUE"""),"")</f>
        <v/>
      </c>
      <c r="Y74" s="141" t="str">
        <f>IFERROR(__xludf.DUMMYFUNCTION("""COMPUTED_VALUE"""),"")</f>
        <v/>
      </c>
    </row>
    <row r="75">
      <c r="A75" s="144">
        <f>IFERROR(__xludf.DUMMYFUNCTION("""COMPUTED_VALUE"""),46064.87220533565)</f>
        <v>46064.87221</v>
      </c>
      <c r="B75" s="136" t="str">
        <f>IFERROR(__xludf.DUMMYFUNCTION("""COMPUTED_VALUE"""),"Brynn Hornig")</f>
        <v>Brynn Hornig</v>
      </c>
      <c r="C75" s="136" t="b">
        <f t="shared" si="3"/>
        <v>1</v>
      </c>
      <c r="D75" s="137">
        <f>IFERROR(__xludf.DUMMYFUNCTION("""COMPUTED_VALUE"""),0.8541666666642413)</f>
        <v>0.8541666667</v>
      </c>
      <c r="E75" s="106">
        <f>IFERROR(__xludf.DUMMYFUNCTION("""COMPUTED_VALUE"""),0.020833333335758653)</f>
        <v>0.02083333334</v>
      </c>
      <c r="F75" s="137">
        <f>IFERROR(__xludf.DUMMYFUNCTION("""COMPUTED_VALUE"""),0.875)</f>
        <v>0.875</v>
      </c>
      <c r="G75" s="106" t="s">
        <v>133</v>
      </c>
      <c r="H75" s="136">
        <f>IFERROR(__xludf.DUMMYFUNCTION("""COMPUTED_VALUE"""),17.0)</f>
        <v>17</v>
      </c>
      <c r="I75" s="139" t="s">
        <v>133</v>
      </c>
      <c r="J75" s="136" t="s">
        <v>18</v>
      </c>
      <c r="K75" s="146">
        <f>IFERROR(__xludf.DUMMYFUNCTION("""COMPUTED_VALUE"""),46064.0)</f>
        <v>46064</v>
      </c>
      <c r="L75" s="136" t="str">
        <f t="shared" si="1"/>
        <v>Wednesday</v>
      </c>
      <c r="M75" s="136" t="str">
        <f>IFERROR(__xludf.DUMMYFUNCTION("""COMPUTED_VALUE"""),"MF")</f>
        <v>MF</v>
      </c>
      <c r="N75" s="141" t="s">
        <v>133</v>
      </c>
      <c r="O75" s="136">
        <f>IFERROR(__xludf.DUMMYFUNCTION("""COMPUTED_VALUE"""),495.0)</f>
        <v>495</v>
      </c>
      <c r="P75" s="136">
        <f>IFERROR(__xludf.DUMMYFUNCTION("""COMPUTED_VALUE"""),149.0)</f>
        <v>149</v>
      </c>
      <c r="Q75" s="106">
        <f>IFERROR(__xludf.DUMMYFUNCTION("""COMPUTED_VALUE"""),0.2729166666758829)</f>
        <v>0.2729166667</v>
      </c>
      <c r="R75" s="106">
        <f>IFERROR(__xludf.DUMMYFUNCTION("""COMPUTED_VALUE"""),0.16666666666424135)</f>
        <v>0.1666666667</v>
      </c>
      <c r="S75" s="139">
        <f>IFERROR(__xludf.DUMMYFUNCTION("""COMPUTED_VALUE"""),79.79973238085479)</f>
        <v>79.79973238</v>
      </c>
      <c r="T75" s="139">
        <f>IFERROR(__xludf.DUMMYFUNCTION("""COMPUTED_VALUE"""),37.25000000054206)</f>
        <v>37.25</v>
      </c>
      <c r="U75" s="136">
        <f>IFERROR(__xludf.DUMMYFUNCTION("""COMPUTED_VALUE"""),644.0)</f>
        <v>644</v>
      </c>
      <c r="V75" s="106">
        <f>IFERROR(__xludf.DUMMYFUNCTION("""COMPUTED_VALUE"""),0.4395833333401242)</f>
        <v>0.4395833333</v>
      </c>
      <c r="W75" s="143">
        <f t="shared" si="2"/>
        <v>61.04265403</v>
      </c>
      <c r="X75" s="139">
        <f>IFERROR(__xludf.DUMMYFUNCTION("""COMPUTED_VALUE"""),71.28978590479225)</f>
        <v>71.2897859</v>
      </c>
      <c r="Y75" s="141">
        <f>IFERROR(__xludf.DUMMYFUNCTION("""COMPUTED_VALUE"""),1.078635511224661)</f>
        <v>1.078635511</v>
      </c>
    </row>
    <row r="76">
      <c r="A76" s="144">
        <f>IFERROR(__xludf.DUMMYFUNCTION("""COMPUTED_VALUE"""),46065.36223013889)</f>
        <v>46065.36223</v>
      </c>
      <c r="B76" s="136" t="str">
        <f>IFERROR(__xludf.DUMMYFUNCTION("""COMPUTED_VALUE"""),"Evan Morgan")</f>
        <v>Evan Morgan</v>
      </c>
      <c r="C76" s="136" t="b">
        <f t="shared" si="3"/>
        <v>0</v>
      </c>
      <c r="D76" s="137">
        <f>IFERROR(__xludf.DUMMYFUNCTION("""COMPUTED_VALUE"""),0.29166666666424135)</f>
        <v>0.2916666667</v>
      </c>
      <c r="E76" s="106">
        <f>IFERROR(__xludf.DUMMYFUNCTION("""COMPUTED_VALUE"""),0.06944444444525288)</f>
        <v>0.06944444445</v>
      </c>
      <c r="F76" s="137">
        <f>IFERROR(__xludf.DUMMYFUNCTION("""COMPUTED_VALUE"""),0.36111111110949423)</f>
        <v>0.3611111111</v>
      </c>
      <c r="G76" s="106">
        <v>0.06944444444525288</v>
      </c>
      <c r="H76" s="136">
        <f>IFERROR(__xludf.DUMMYFUNCTION("""COMPUTED_VALUE"""),17.0)</f>
        <v>17</v>
      </c>
      <c r="I76" s="139">
        <v>10.199999999881257</v>
      </c>
      <c r="J76" s="136" t="s">
        <v>12</v>
      </c>
      <c r="K76" s="146">
        <f>IFERROR(__xludf.DUMMYFUNCTION("""COMPUTED_VALUE"""),46065.0)</f>
        <v>46065</v>
      </c>
      <c r="L76" s="136" t="str">
        <f t="shared" si="1"/>
        <v>Thursday</v>
      </c>
      <c r="M76" s="136" t="str">
        <f>IFERROR(__xludf.DUMMYFUNCTION("""COMPUTED_VALUE"""),"BF")</f>
        <v>BF</v>
      </c>
      <c r="N76" s="141">
        <v>0.3597801191054236</v>
      </c>
      <c r="O76" s="136" t="str">
        <f>IFERROR(__xludf.DUMMYFUNCTION("""COMPUTED_VALUE"""),"")</f>
        <v/>
      </c>
      <c r="P76" s="136" t="str">
        <f>IFERROR(__xludf.DUMMYFUNCTION("""COMPUTED_VALUE"""),"")</f>
        <v/>
      </c>
      <c r="Q76" s="106" t="str">
        <f>IFERROR(__xludf.DUMMYFUNCTION("""COMPUTED_VALUE"""),"")</f>
        <v/>
      </c>
      <c r="R76" s="106" t="str">
        <f>IFERROR(__xludf.DUMMYFUNCTION("""COMPUTED_VALUE"""),"")</f>
        <v/>
      </c>
      <c r="S76" s="139" t="str">
        <f>IFERROR(__xludf.DUMMYFUNCTION("""COMPUTED_VALUE"""),"")</f>
        <v/>
      </c>
      <c r="T76" s="139" t="str">
        <f>IFERROR(__xludf.DUMMYFUNCTION("""COMPUTED_VALUE"""),"")</f>
        <v/>
      </c>
      <c r="U76" s="136" t="str">
        <f>IFERROR(__xludf.DUMMYFUNCTION("""COMPUTED_VALUE"""),"")</f>
        <v/>
      </c>
      <c r="V76" s="106" t="str">
        <f>IFERROR(__xludf.DUMMYFUNCTION("""COMPUTED_VALUE"""),"")</f>
        <v/>
      </c>
      <c r="W76" s="143" t="str">
        <f t="shared" si="2"/>
        <v/>
      </c>
      <c r="X76" s="139" t="str">
        <f>IFERROR(__xludf.DUMMYFUNCTION("""COMPUTED_VALUE"""),"")</f>
        <v/>
      </c>
      <c r="Y76" s="141" t="str">
        <f>IFERROR(__xludf.DUMMYFUNCTION("""COMPUTED_VALUE"""),"")</f>
        <v/>
      </c>
    </row>
    <row r="77">
      <c r="A77" s="144">
        <f>IFERROR(__xludf.DUMMYFUNCTION("""COMPUTED_VALUE"""),46065.45889394676)</f>
        <v>46065.45889</v>
      </c>
      <c r="B77" s="136" t="str">
        <f>IFERROR(__xludf.DUMMYFUNCTION("""COMPUTED_VALUE"""),"Sophia Kluck")</f>
        <v>Sophia Kluck</v>
      </c>
      <c r="C77" s="136" t="b">
        <f t="shared" si="3"/>
        <v>0</v>
      </c>
      <c r="D77" s="137">
        <f>IFERROR(__xludf.DUMMYFUNCTION("""COMPUTED_VALUE"""),0.36597222222189885)</f>
        <v>0.3659722222</v>
      </c>
      <c r="E77" s="106">
        <f>IFERROR(__xludf.DUMMYFUNCTION("""COMPUTED_VALUE"""),0.08125000000291038)</f>
        <v>0.08125</v>
      </c>
      <c r="F77" s="137">
        <f>IFERROR(__xludf.DUMMYFUNCTION("""COMPUTED_VALUE"""),0.44722222222480923)</f>
        <v>0.4472222222</v>
      </c>
      <c r="G77" s="106">
        <v>0.10833333332993789</v>
      </c>
      <c r="H77" s="136">
        <f>IFERROR(__xludf.DUMMYFUNCTION("""COMPUTED_VALUE"""),87.0)</f>
        <v>87</v>
      </c>
      <c r="I77" s="139">
        <v>42.69230769364578</v>
      </c>
      <c r="J77" s="136" t="s">
        <v>12</v>
      </c>
      <c r="K77" s="146">
        <f>IFERROR(__xludf.DUMMYFUNCTION("""COMPUTED_VALUE"""),46065.0)</f>
        <v>46065</v>
      </c>
      <c r="L77" s="136" t="str">
        <f t="shared" si="1"/>
        <v>Thursday</v>
      </c>
      <c r="M77" s="136" t="str">
        <f>IFERROR(__xludf.DUMMYFUNCTION("""COMPUTED_VALUE"""),"BF")</f>
        <v>BF</v>
      </c>
      <c r="N77" s="141">
        <v>1.5058670144200084</v>
      </c>
      <c r="O77" s="136" t="str">
        <f>IFERROR(__xludf.DUMMYFUNCTION("""COMPUTED_VALUE"""),"")</f>
        <v/>
      </c>
      <c r="P77" s="136" t="str">
        <f>IFERROR(__xludf.DUMMYFUNCTION("""COMPUTED_VALUE"""),"")</f>
        <v/>
      </c>
      <c r="Q77" s="106" t="str">
        <f>IFERROR(__xludf.DUMMYFUNCTION("""COMPUTED_VALUE"""),"")</f>
        <v/>
      </c>
      <c r="R77" s="106" t="str">
        <f>IFERROR(__xludf.DUMMYFUNCTION("""COMPUTED_VALUE"""),"")</f>
        <v/>
      </c>
      <c r="S77" s="139" t="str">
        <f>IFERROR(__xludf.DUMMYFUNCTION("""COMPUTED_VALUE"""),"")</f>
        <v/>
      </c>
      <c r="T77" s="139" t="str">
        <f>IFERROR(__xludf.DUMMYFUNCTION("""COMPUTED_VALUE"""),"")</f>
        <v/>
      </c>
      <c r="U77" s="136" t="str">
        <f>IFERROR(__xludf.DUMMYFUNCTION("""COMPUTED_VALUE"""),"")</f>
        <v/>
      </c>
      <c r="V77" s="106" t="str">
        <f>IFERROR(__xludf.DUMMYFUNCTION("""COMPUTED_VALUE"""),"")</f>
        <v/>
      </c>
      <c r="W77" s="143" t="str">
        <f t="shared" si="2"/>
        <v/>
      </c>
      <c r="X77" s="139" t="str">
        <f>IFERROR(__xludf.DUMMYFUNCTION("""COMPUTED_VALUE"""),"")</f>
        <v/>
      </c>
      <c r="Y77" s="141" t="str">
        <f>IFERROR(__xludf.DUMMYFUNCTION("""COMPUTED_VALUE"""),"")</f>
        <v/>
      </c>
    </row>
    <row r="78">
      <c r="A78" s="144">
        <f>IFERROR(__xludf.DUMMYFUNCTION("""COMPUTED_VALUE"""),46065.479420972224)</f>
        <v>46065.47942</v>
      </c>
      <c r="B78" s="136" t="str">
        <f>IFERROR(__xludf.DUMMYFUNCTION("""COMPUTED_VALUE"""),"Sophia Kluck")</f>
        <v>Sophia Kluck</v>
      </c>
      <c r="C78" s="136" t="b">
        <f t="shared" si="3"/>
        <v>1</v>
      </c>
      <c r="D78" s="137">
        <f>IFERROR(__xludf.DUMMYFUNCTION("""COMPUTED_VALUE"""),0.4493055555576575)</f>
        <v>0.4493055556</v>
      </c>
      <c r="E78" s="106">
        <f>IFERROR(__xludf.DUMMYFUNCTION("""COMPUTED_VALUE"""),0.027083333327027503)</f>
        <v>0.02708333333</v>
      </c>
      <c r="F78" s="137">
        <f>IFERROR(__xludf.DUMMYFUNCTION("""COMPUTED_VALUE"""),0.476388888884685)</f>
        <v>0.4763888889</v>
      </c>
      <c r="G78" s="106" t="s">
        <v>133</v>
      </c>
      <c r="H78" s="136">
        <f>IFERROR(__xludf.DUMMYFUNCTION("""COMPUTED_VALUE"""),24.0)</f>
        <v>24</v>
      </c>
      <c r="I78" s="139" t="s">
        <v>133</v>
      </c>
      <c r="J78" s="136" t="s">
        <v>134</v>
      </c>
      <c r="K78" s="146">
        <f>IFERROR(__xludf.DUMMYFUNCTION("""COMPUTED_VALUE"""),46065.0)</f>
        <v>46065</v>
      </c>
      <c r="L78" s="136" t="str">
        <f t="shared" si="1"/>
        <v>Thursday</v>
      </c>
      <c r="M78" s="136" t="str">
        <f>IFERROR(__xludf.DUMMYFUNCTION("""COMPUTED_VALUE"""),"BF")</f>
        <v>BF</v>
      </c>
      <c r="N78" s="141" t="s">
        <v>133</v>
      </c>
      <c r="O78" s="136" t="str">
        <f>IFERROR(__xludf.DUMMYFUNCTION("""COMPUTED_VALUE"""),"")</f>
        <v/>
      </c>
      <c r="P78" s="136" t="str">
        <f>IFERROR(__xludf.DUMMYFUNCTION("""COMPUTED_VALUE"""),"")</f>
        <v/>
      </c>
      <c r="Q78" s="106" t="str">
        <f>IFERROR(__xludf.DUMMYFUNCTION("""COMPUTED_VALUE"""),"")</f>
        <v/>
      </c>
      <c r="R78" s="106" t="str">
        <f>IFERROR(__xludf.DUMMYFUNCTION("""COMPUTED_VALUE"""),"")</f>
        <v/>
      </c>
      <c r="S78" s="139" t="str">
        <f>IFERROR(__xludf.DUMMYFUNCTION("""COMPUTED_VALUE"""),"")</f>
        <v/>
      </c>
      <c r="T78" s="139" t="str">
        <f>IFERROR(__xludf.DUMMYFUNCTION("""COMPUTED_VALUE"""),"")</f>
        <v/>
      </c>
      <c r="U78" s="136" t="str">
        <f>IFERROR(__xludf.DUMMYFUNCTION("""COMPUTED_VALUE"""),"")</f>
        <v/>
      </c>
      <c r="V78" s="106" t="str">
        <f>IFERROR(__xludf.DUMMYFUNCTION("""COMPUTED_VALUE"""),"")</f>
        <v/>
      </c>
      <c r="W78" s="143" t="str">
        <f t="shared" si="2"/>
        <v/>
      </c>
      <c r="X78" s="139" t="str">
        <f>IFERROR(__xludf.DUMMYFUNCTION("""COMPUTED_VALUE"""),"")</f>
        <v/>
      </c>
      <c r="Y78" s="141" t="str">
        <f>IFERROR(__xludf.DUMMYFUNCTION("""COMPUTED_VALUE"""),"")</f>
        <v/>
      </c>
    </row>
    <row r="79">
      <c r="A79" s="144">
        <f>IFERROR(__xludf.DUMMYFUNCTION("""COMPUTED_VALUE"""),46065.529068749995)</f>
        <v>46065.52907</v>
      </c>
      <c r="B79" s="136" t="str">
        <f>IFERROR(__xludf.DUMMYFUNCTION("""COMPUTED_VALUE"""),"Emmett Khan")</f>
        <v>Emmett Khan</v>
      </c>
      <c r="C79" s="136" t="b">
        <f t="shared" si="3"/>
        <v>0</v>
      </c>
      <c r="D79" s="137">
        <f>IFERROR(__xludf.DUMMYFUNCTION("""COMPUTED_VALUE"""),0.47916666666424135)</f>
        <v>0.4791666667</v>
      </c>
      <c r="E79" s="106">
        <f>IFERROR(__xludf.DUMMYFUNCTION("""COMPUTED_VALUE"""),0.05208333333575865)</f>
        <v>0.05208333334</v>
      </c>
      <c r="F79" s="137">
        <f>IFERROR(__xludf.DUMMYFUNCTION("""COMPUTED_VALUE"""),0.53125)</f>
        <v>0.53125</v>
      </c>
      <c r="G79" s="106">
        <v>0.05208333333575865</v>
      </c>
      <c r="H79" s="136">
        <f>IFERROR(__xludf.DUMMYFUNCTION("""COMPUTED_VALUE"""),69.0)</f>
        <v>69</v>
      </c>
      <c r="I79" s="139">
        <v>55.19999999742955</v>
      </c>
      <c r="J79" s="136" t="s">
        <v>15</v>
      </c>
      <c r="K79" s="146">
        <f>IFERROR(__xludf.DUMMYFUNCTION("""COMPUTED_VALUE"""),46065.0)</f>
        <v>46065</v>
      </c>
      <c r="L79" s="136" t="str">
        <f t="shared" si="1"/>
        <v>Thursday</v>
      </c>
      <c r="M79" s="136" t="str">
        <f>IFERROR(__xludf.DUMMYFUNCTION("""COMPUTED_VALUE"""),"MF")</f>
        <v>MF</v>
      </c>
      <c r="N79" s="141">
        <v>1.0979067415473243</v>
      </c>
      <c r="O79" s="136" t="str">
        <f>IFERROR(__xludf.DUMMYFUNCTION("""COMPUTED_VALUE"""),"")</f>
        <v/>
      </c>
      <c r="P79" s="136" t="str">
        <f>IFERROR(__xludf.DUMMYFUNCTION("""COMPUTED_VALUE"""),"")</f>
        <v/>
      </c>
      <c r="Q79" s="106" t="str">
        <f>IFERROR(__xludf.DUMMYFUNCTION("""COMPUTED_VALUE"""),"")</f>
        <v/>
      </c>
      <c r="R79" s="106" t="str">
        <f>IFERROR(__xludf.DUMMYFUNCTION("""COMPUTED_VALUE"""),"")</f>
        <v/>
      </c>
      <c r="S79" s="139" t="str">
        <f>IFERROR(__xludf.DUMMYFUNCTION("""COMPUTED_VALUE"""),"")</f>
        <v/>
      </c>
      <c r="T79" s="139" t="str">
        <f>IFERROR(__xludf.DUMMYFUNCTION("""COMPUTED_VALUE"""),"")</f>
        <v/>
      </c>
      <c r="U79" s="136" t="str">
        <f>IFERROR(__xludf.DUMMYFUNCTION("""COMPUTED_VALUE"""),"")</f>
        <v/>
      </c>
      <c r="V79" s="106" t="str">
        <f>IFERROR(__xludf.DUMMYFUNCTION("""COMPUTED_VALUE"""),"")</f>
        <v/>
      </c>
      <c r="W79" s="143" t="str">
        <f t="shared" si="2"/>
        <v/>
      </c>
      <c r="X79" s="139" t="str">
        <f>IFERROR(__xludf.DUMMYFUNCTION("""COMPUTED_VALUE"""),"")</f>
        <v/>
      </c>
      <c r="Y79" s="141" t="str">
        <f>IFERROR(__xludf.DUMMYFUNCTION("""COMPUTED_VALUE"""),"")</f>
        <v/>
      </c>
    </row>
    <row r="80">
      <c r="A80" s="144">
        <f>IFERROR(__xludf.DUMMYFUNCTION("""COMPUTED_VALUE"""),46065.5833193287)</f>
        <v>46065.58332</v>
      </c>
      <c r="B80" s="136" t="str">
        <f>IFERROR(__xludf.DUMMYFUNCTION("""COMPUTED_VALUE"""),"Kyra Turner")</f>
        <v>Kyra Turner</v>
      </c>
      <c r="C80" s="136" t="b">
        <f t="shared" si="3"/>
        <v>0</v>
      </c>
      <c r="D80" s="137">
        <f>IFERROR(__xludf.DUMMYFUNCTION("""COMPUTED_VALUE"""),0.5027777777795563)</f>
        <v>0.5027777778</v>
      </c>
      <c r="E80" s="106">
        <f>IFERROR(__xludf.DUMMYFUNCTION("""COMPUTED_VALUE"""),0.07986111110949423)</f>
        <v>0.07986111111</v>
      </c>
      <c r="F80" s="137">
        <f>IFERROR(__xludf.DUMMYFUNCTION("""COMPUTED_VALUE"""),0.5826388888890506)</f>
        <v>0.5826388889</v>
      </c>
      <c r="G80" s="106">
        <v>0.13749999999708962</v>
      </c>
      <c r="H80" s="136">
        <f>IFERROR(__xludf.DUMMYFUNCTION("""COMPUTED_VALUE"""),104.0)</f>
        <v>104</v>
      </c>
      <c r="I80" s="139">
        <v>50.00000000105832</v>
      </c>
      <c r="J80" s="136" t="s">
        <v>15</v>
      </c>
      <c r="K80" s="146">
        <f>IFERROR(__xludf.DUMMYFUNCTION("""COMPUTED_VALUE"""),46065.0)</f>
        <v>46065</v>
      </c>
      <c r="L80" s="136" t="str">
        <f t="shared" si="1"/>
        <v>Thursday</v>
      </c>
      <c r="M80" s="136" t="str">
        <f>IFERROR(__xludf.DUMMYFUNCTION("""COMPUTED_VALUE"""),"BF")</f>
        <v>BF</v>
      </c>
      <c r="N80" s="141">
        <v>1.7636280348883688</v>
      </c>
      <c r="O80" s="136" t="str">
        <f>IFERROR(__xludf.DUMMYFUNCTION("""COMPUTED_VALUE"""),"")</f>
        <v/>
      </c>
      <c r="P80" s="136" t="str">
        <f>IFERROR(__xludf.DUMMYFUNCTION("""COMPUTED_VALUE"""),"")</f>
        <v/>
      </c>
      <c r="Q80" s="106" t="str">
        <f>IFERROR(__xludf.DUMMYFUNCTION("""COMPUTED_VALUE"""),"")</f>
        <v/>
      </c>
      <c r="R80" s="106" t="str">
        <f>IFERROR(__xludf.DUMMYFUNCTION("""COMPUTED_VALUE"""),"")</f>
        <v/>
      </c>
      <c r="S80" s="139" t="str">
        <f>IFERROR(__xludf.DUMMYFUNCTION("""COMPUTED_VALUE"""),"")</f>
        <v/>
      </c>
      <c r="T80" s="139" t="str">
        <f>IFERROR(__xludf.DUMMYFUNCTION("""COMPUTED_VALUE"""),"")</f>
        <v/>
      </c>
      <c r="U80" s="136" t="str">
        <f>IFERROR(__xludf.DUMMYFUNCTION("""COMPUTED_VALUE"""),"")</f>
        <v/>
      </c>
      <c r="V80" s="106" t="str">
        <f>IFERROR(__xludf.DUMMYFUNCTION("""COMPUTED_VALUE"""),"")</f>
        <v/>
      </c>
      <c r="W80" s="143" t="str">
        <f t="shared" si="2"/>
        <v/>
      </c>
      <c r="X80" s="139" t="str">
        <f>IFERROR(__xludf.DUMMYFUNCTION("""COMPUTED_VALUE"""),"")</f>
        <v/>
      </c>
      <c r="Y80" s="141" t="str">
        <f>IFERROR(__xludf.DUMMYFUNCTION("""COMPUTED_VALUE"""),"")</f>
        <v/>
      </c>
    </row>
    <row r="81">
      <c r="A81" s="144">
        <f>IFERROR(__xludf.DUMMYFUNCTION("""COMPUTED_VALUE"""),46065.64349488426)</f>
        <v>46065.64349</v>
      </c>
      <c r="B81" s="136" t="str">
        <f>IFERROR(__xludf.DUMMYFUNCTION("""COMPUTED_VALUE"""),"Kyra Turner")</f>
        <v>Kyra Turner</v>
      </c>
      <c r="C81" s="136" t="b">
        <f t="shared" si="3"/>
        <v>1</v>
      </c>
      <c r="D81" s="137">
        <f>IFERROR(__xludf.DUMMYFUNCTION("""COMPUTED_VALUE"""),0.5847222222218988)</f>
        <v>0.5847222222</v>
      </c>
      <c r="E81" s="106">
        <f>IFERROR(__xludf.DUMMYFUNCTION("""COMPUTED_VALUE"""),0.057638888887595385)</f>
        <v>0.05763888889</v>
      </c>
      <c r="F81" s="137">
        <f>IFERROR(__xludf.DUMMYFUNCTION("""COMPUTED_VALUE"""),0.6423611111094942)</f>
        <v>0.6423611111</v>
      </c>
      <c r="G81" s="106" t="s">
        <v>133</v>
      </c>
      <c r="H81" s="136">
        <f>IFERROR(__xludf.DUMMYFUNCTION("""COMPUTED_VALUE"""),61.0)</f>
        <v>61</v>
      </c>
      <c r="I81" s="139" t="s">
        <v>133</v>
      </c>
      <c r="J81" s="136" t="s">
        <v>15</v>
      </c>
      <c r="K81" s="146">
        <f>IFERROR(__xludf.DUMMYFUNCTION("""COMPUTED_VALUE"""),46065.0)</f>
        <v>46065</v>
      </c>
      <c r="L81" s="136" t="str">
        <f t="shared" si="1"/>
        <v>Thursday</v>
      </c>
      <c r="M81" s="136" t="str">
        <f>IFERROR(__xludf.DUMMYFUNCTION("""COMPUTED_VALUE"""),"BF")</f>
        <v>BF</v>
      </c>
      <c r="N81" s="141" t="s">
        <v>133</v>
      </c>
      <c r="O81" s="136" t="str">
        <f>IFERROR(__xludf.DUMMYFUNCTION("""COMPUTED_VALUE"""),"")</f>
        <v/>
      </c>
      <c r="P81" s="136" t="str">
        <f>IFERROR(__xludf.DUMMYFUNCTION("""COMPUTED_VALUE"""),"")</f>
        <v/>
      </c>
      <c r="Q81" s="106" t="str">
        <f>IFERROR(__xludf.DUMMYFUNCTION("""COMPUTED_VALUE"""),"")</f>
        <v/>
      </c>
      <c r="R81" s="106" t="str">
        <f>IFERROR(__xludf.DUMMYFUNCTION("""COMPUTED_VALUE"""),"")</f>
        <v/>
      </c>
      <c r="S81" s="139" t="str">
        <f>IFERROR(__xludf.DUMMYFUNCTION("""COMPUTED_VALUE"""),"")</f>
        <v/>
      </c>
      <c r="T81" s="139" t="str">
        <f>IFERROR(__xludf.DUMMYFUNCTION("""COMPUTED_VALUE"""),"")</f>
        <v/>
      </c>
      <c r="U81" s="136" t="str">
        <f>IFERROR(__xludf.DUMMYFUNCTION("""COMPUTED_VALUE"""),"")</f>
        <v/>
      </c>
      <c r="V81" s="106" t="str">
        <f>IFERROR(__xludf.DUMMYFUNCTION("""COMPUTED_VALUE"""),"")</f>
        <v/>
      </c>
      <c r="W81" s="143" t="str">
        <f t="shared" si="2"/>
        <v/>
      </c>
      <c r="X81" s="139" t="str">
        <f>IFERROR(__xludf.DUMMYFUNCTION("""COMPUTED_VALUE"""),"")</f>
        <v/>
      </c>
      <c r="Y81" s="141" t="str">
        <f>IFERROR(__xludf.DUMMYFUNCTION("""COMPUTED_VALUE"""),"")</f>
        <v/>
      </c>
    </row>
    <row r="82">
      <c r="A82" s="144">
        <f>IFERROR(__xludf.DUMMYFUNCTION("""COMPUTED_VALUE"""),46065.777530879626)</f>
        <v>46065.77753</v>
      </c>
      <c r="B82" s="136" t="str">
        <f>IFERROR(__xludf.DUMMYFUNCTION("""COMPUTED_VALUE"""),"Emmett Khan")</f>
        <v>Emmett Khan</v>
      </c>
      <c r="C82" s="136" t="b">
        <f t="shared" si="3"/>
        <v>0</v>
      </c>
      <c r="D82" s="137">
        <f>IFERROR(__xludf.DUMMYFUNCTION("""COMPUTED_VALUE"""),0.7083333333357587)</f>
        <v>0.7083333333</v>
      </c>
      <c r="E82" s="106">
        <f>IFERROR(__xludf.DUMMYFUNCTION("""COMPUTED_VALUE"""),0.07291666666424135)</f>
        <v>0.07291666666</v>
      </c>
      <c r="F82" s="137">
        <f>IFERROR(__xludf.DUMMYFUNCTION("""COMPUTED_VALUE"""),0.78125)</f>
        <v>0.78125</v>
      </c>
      <c r="G82" s="106">
        <v>0.07291666666424135</v>
      </c>
      <c r="H82" s="136">
        <f>IFERROR(__xludf.DUMMYFUNCTION("""COMPUTED_VALUE"""),115.0)</f>
        <v>115</v>
      </c>
      <c r="I82" s="139">
        <v>65.71428571647147</v>
      </c>
      <c r="J82" s="136" t="s">
        <v>18</v>
      </c>
      <c r="K82" s="146">
        <f>IFERROR(__xludf.DUMMYFUNCTION("""COMPUTED_VALUE"""),46065.0)</f>
        <v>46065</v>
      </c>
      <c r="L82" s="136" t="str">
        <f t="shared" si="1"/>
        <v>Thursday</v>
      </c>
      <c r="M82" s="136" t="str">
        <f>IFERROR(__xludf.DUMMYFUNCTION("""COMPUTED_VALUE"""),"MF")</f>
        <v>MF</v>
      </c>
      <c r="N82" s="141">
        <v>1.3745040228249497</v>
      </c>
      <c r="O82" s="136" t="str">
        <f>IFERROR(__xludf.DUMMYFUNCTION("""COMPUTED_VALUE"""),"")</f>
        <v/>
      </c>
      <c r="P82" s="136" t="str">
        <f>IFERROR(__xludf.DUMMYFUNCTION("""COMPUTED_VALUE"""),"")</f>
        <v/>
      </c>
      <c r="Q82" s="106" t="str">
        <f>IFERROR(__xludf.DUMMYFUNCTION("""COMPUTED_VALUE"""),"")</f>
        <v/>
      </c>
      <c r="R82" s="106" t="str">
        <f>IFERROR(__xludf.DUMMYFUNCTION("""COMPUTED_VALUE"""),"")</f>
        <v/>
      </c>
      <c r="S82" s="139" t="str">
        <f>IFERROR(__xludf.DUMMYFUNCTION("""COMPUTED_VALUE"""),"")</f>
        <v/>
      </c>
      <c r="T82" s="139" t="str">
        <f>IFERROR(__xludf.DUMMYFUNCTION("""COMPUTED_VALUE"""),"")</f>
        <v/>
      </c>
      <c r="U82" s="136" t="str">
        <f>IFERROR(__xludf.DUMMYFUNCTION("""COMPUTED_VALUE"""),"")</f>
        <v/>
      </c>
      <c r="V82" s="106" t="str">
        <f>IFERROR(__xludf.DUMMYFUNCTION("""COMPUTED_VALUE"""),"")</f>
        <v/>
      </c>
      <c r="W82" s="143" t="str">
        <f t="shared" si="2"/>
        <v/>
      </c>
      <c r="X82" s="139" t="str">
        <f>IFERROR(__xludf.DUMMYFUNCTION("""COMPUTED_VALUE"""),"")</f>
        <v/>
      </c>
      <c r="Y82" s="141" t="str">
        <f>IFERROR(__xludf.DUMMYFUNCTION("""COMPUTED_VALUE"""),"")</f>
        <v/>
      </c>
    </row>
    <row r="83">
      <c r="A83" s="144">
        <f>IFERROR(__xludf.DUMMYFUNCTION("""COMPUTED_VALUE"""),46065.85007502315)</f>
        <v>46065.85008</v>
      </c>
      <c r="B83" s="136" t="str">
        <f>IFERROR(__xludf.DUMMYFUNCTION("""COMPUTED_VALUE"""),"Leah Bucci")</f>
        <v>Leah Bucci</v>
      </c>
      <c r="C83" s="136" t="b">
        <f t="shared" si="3"/>
        <v>0</v>
      </c>
      <c r="D83" s="137">
        <f>IFERROR(__xludf.DUMMYFUNCTION("""COMPUTED_VALUE"""),0.6875)</f>
        <v>0.6875</v>
      </c>
      <c r="E83" s="106">
        <f>IFERROR(__xludf.DUMMYFUNCTION("""COMPUTED_VALUE"""),0.08333333333575865)</f>
        <v>0.08333333334</v>
      </c>
      <c r="F83" s="137">
        <f>IFERROR(__xludf.DUMMYFUNCTION("""COMPUTED_VALUE"""),0.7708333333357587)</f>
        <v>0.7708333333</v>
      </c>
      <c r="G83" s="106">
        <v>0.15972222221898846</v>
      </c>
      <c r="H83" s="136">
        <f>IFERROR(__xludf.DUMMYFUNCTION("""COMPUTED_VALUE"""),64.0)</f>
        <v>64</v>
      </c>
      <c r="I83" s="139">
        <v>44.34782608785439</v>
      </c>
      <c r="J83" s="136" t="s">
        <v>18</v>
      </c>
      <c r="K83" s="146">
        <f>IFERROR(__xludf.DUMMYFUNCTION("""COMPUTED_VALUE"""),46065.0)</f>
        <v>46065</v>
      </c>
      <c r="L83" s="136" t="str">
        <f t="shared" si="1"/>
        <v>Thursday</v>
      </c>
      <c r="M83" s="136" t="str">
        <f>IFERROR(__xludf.DUMMYFUNCTION("""COMPUTED_VALUE"""),"BF")</f>
        <v>BF</v>
      </c>
      <c r="N83" s="141">
        <v>0.9981096408374415</v>
      </c>
      <c r="O83" s="136" t="str">
        <f>IFERROR(__xludf.DUMMYFUNCTION("""COMPUTED_VALUE"""),"")</f>
        <v/>
      </c>
      <c r="P83" s="136" t="str">
        <f>IFERROR(__xludf.DUMMYFUNCTION("""COMPUTED_VALUE"""),"")</f>
        <v/>
      </c>
      <c r="Q83" s="106" t="str">
        <f>IFERROR(__xludf.DUMMYFUNCTION("""COMPUTED_VALUE"""),"")</f>
        <v/>
      </c>
      <c r="R83" s="106" t="str">
        <f>IFERROR(__xludf.DUMMYFUNCTION("""COMPUTED_VALUE"""),"")</f>
        <v/>
      </c>
      <c r="S83" s="139" t="str">
        <f>IFERROR(__xludf.DUMMYFUNCTION("""COMPUTED_VALUE"""),"")</f>
        <v/>
      </c>
      <c r="T83" s="139" t="str">
        <f>IFERROR(__xludf.DUMMYFUNCTION("""COMPUTED_VALUE"""),"")</f>
        <v/>
      </c>
      <c r="U83" s="136" t="str">
        <f>IFERROR(__xludf.DUMMYFUNCTION("""COMPUTED_VALUE"""),"")</f>
        <v/>
      </c>
      <c r="V83" s="106" t="str">
        <f>IFERROR(__xludf.DUMMYFUNCTION("""COMPUTED_VALUE"""),"")</f>
        <v/>
      </c>
      <c r="W83" s="143" t="str">
        <f t="shared" si="2"/>
        <v/>
      </c>
      <c r="X83" s="139" t="str">
        <f>IFERROR(__xludf.DUMMYFUNCTION("""COMPUTED_VALUE"""),"")</f>
        <v/>
      </c>
      <c r="Y83" s="141" t="str">
        <f>IFERROR(__xludf.DUMMYFUNCTION("""COMPUTED_VALUE"""),"")</f>
        <v/>
      </c>
    </row>
    <row r="84">
      <c r="A84" s="144">
        <f>IFERROR(__xludf.DUMMYFUNCTION("""COMPUTED_VALUE"""),46065.850830462965)</f>
        <v>46065.85083</v>
      </c>
      <c r="B84" s="136" t="str">
        <f>IFERROR(__xludf.DUMMYFUNCTION("""COMPUTED_VALUE"""),"Leah Bucci")</f>
        <v>Leah Bucci</v>
      </c>
      <c r="C84" s="136" t="b">
        <f t="shared" si="3"/>
        <v>1</v>
      </c>
      <c r="D84" s="137">
        <f>IFERROR(__xludf.DUMMYFUNCTION("""COMPUTED_VALUE"""),0.7708333333357587)</f>
        <v>0.7708333333</v>
      </c>
      <c r="E84" s="106">
        <f>IFERROR(__xludf.DUMMYFUNCTION("""COMPUTED_VALUE"""),0.07638888888322981)</f>
        <v>0.07638888888</v>
      </c>
      <c r="F84" s="137">
        <f>IFERROR(__xludf.DUMMYFUNCTION("""COMPUTED_VALUE"""),0.8472222222189885)</f>
        <v>0.8472222222</v>
      </c>
      <c r="G84" s="106" t="s">
        <v>133</v>
      </c>
      <c r="H84" s="136">
        <f>IFERROR(__xludf.DUMMYFUNCTION("""COMPUTED_VALUE"""),106.0)</f>
        <v>106</v>
      </c>
      <c r="I84" s="139" t="s">
        <v>133</v>
      </c>
      <c r="J84" s="136" t="s">
        <v>18</v>
      </c>
      <c r="K84" s="146">
        <f>IFERROR(__xludf.DUMMYFUNCTION("""COMPUTED_VALUE"""),46065.0)</f>
        <v>46065</v>
      </c>
      <c r="L84" s="136" t="str">
        <f t="shared" si="1"/>
        <v>Thursday</v>
      </c>
      <c r="M84" s="136" t="str">
        <f>IFERROR(__xludf.DUMMYFUNCTION("""COMPUTED_VALUE"""),"BF")</f>
        <v>BF</v>
      </c>
      <c r="N84" s="141" t="s">
        <v>133</v>
      </c>
      <c r="O84" s="136">
        <f>IFERROR(__xludf.DUMMYFUNCTION("""COMPUTED_VALUE"""),184.0)</f>
        <v>184</v>
      </c>
      <c r="P84" s="136">
        <f>IFERROR(__xludf.DUMMYFUNCTION("""COMPUTED_VALUE"""),463.0)</f>
        <v>463</v>
      </c>
      <c r="Q84" s="106">
        <f>IFERROR(__xludf.DUMMYFUNCTION("""COMPUTED_VALUE"""),0.125)</f>
        <v>0.125</v>
      </c>
      <c r="R84" s="106">
        <f>IFERROR(__xludf.DUMMYFUNCTION("""COMPUTED_VALUE"""),0.47499999999126885)</f>
        <v>0.475</v>
      </c>
      <c r="S84" s="139">
        <f>IFERROR(__xludf.DUMMYFUNCTION("""COMPUTED_VALUE"""),60.45714285695051)</f>
        <v>60.45714286</v>
      </c>
      <c r="T84" s="139">
        <f>IFERROR(__xludf.DUMMYFUNCTION("""COMPUTED_VALUE"""),36.81003344560994)</f>
        <v>36.81003345</v>
      </c>
      <c r="U84" s="136">
        <f>IFERROR(__xludf.DUMMYFUNCTION("""COMPUTED_VALUE"""),647.0)</f>
        <v>647</v>
      </c>
      <c r="V84" s="106">
        <f>IFERROR(__xludf.DUMMYFUNCTION("""COMPUTED_VALUE"""),0.5999999999912689)</f>
        <v>0.6</v>
      </c>
      <c r="W84" s="143">
        <f t="shared" si="2"/>
        <v>44.93055556</v>
      </c>
      <c r="X84" s="139">
        <f>IFERROR(__xludf.DUMMYFUNCTION("""COMPUTED_VALUE"""),44.69240324939013)</f>
        <v>44.69240325</v>
      </c>
      <c r="Y84" s="141">
        <f>IFERROR(__xludf.DUMMYFUNCTION("""COMPUTED_VALUE"""),0.6277203832551241)</f>
        <v>0.6277203833</v>
      </c>
    </row>
    <row r="85">
      <c r="A85" s="144">
        <f>IFERROR(__xludf.DUMMYFUNCTION("""COMPUTED_VALUE"""),46066.580171932874)</f>
        <v>46066.58017</v>
      </c>
      <c r="B85" s="136" t="str">
        <f>IFERROR(__xludf.DUMMYFUNCTION("""COMPUTED_VALUE"""),"Brynn Hornig")</f>
        <v>Brynn Hornig</v>
      </c>
      <c r="C85" s="136" t="b">
        <f t="shared" si="3"/>
        <v>0</v>
      </c>
      <c r="D85" s="137">
        <f>IFERROR(__xludf.DUMMYFUNCTION("""COMPUTED_VALUE"""),0.5208333333357587)</f>
        <v>0.5208333333</v>
      </c>
      <c r="E85" s="106">
        <f>IFERROR(__xludf.DUMMYFUNCTION("""COMPUTED_VALUE"""),0.0625)</f>
        <v>0.0625</v>
      </c>
      <c r="F85" s="137">
        <f>IFERROR(__xludf.DUMMYFUNCTION("""COMPUTED_VALUE"""),0.5833333333357587)</f>
        <v>0.5833333333</v>
      </c>
      <c r="G85" s="106">
        <v>0.0625</v>
      </c>
      <c r="H85" s="136">
        <f>IFERROR(__xludf.DUMMYFUNCTION("""COMPUTED_VALUE"""),30.0)</f>
        <v>30</v>
      </c>
      <c r="I85" s="139">
        <v>20.0</v>
      </c>
      <c r="J85" s="136" t="s">
        <v>15</v>
      </c>
      <c r="K85" s="146">
        <f>IFERROR(__xludf.DUMMYFUNCTION("""COMPUTED_VALUE"""),46066.0)</f>
        <v>46066</v>
      </c>
      <c r="L85" s="136" t="str">
        <f t="shared" si="1"/>
        <v>Friday</v>
      </c>
      <c r="M85" s="136" t="str">
        <f>IFERROR(__xludf.DUMMYFUNCTION("""COMPUTED_VALUE"""),"BF")</f>
        <v>BF</v>
      </c>
      <c r="N85" s="141">
        <v>0.7054512139404158</v>
      </c>
      <c r="O85" s="136" t="str">
        <f>IFERROR(__xludf.DUMMYFUNCTION("""COMPUTED_VALUE"""),"")</f>
        <v/>
      </c>
      <c r="P85" s="136" t="str">
        <f>IFERROR(__xludf.DUMMYFUNCTION("""COMPUTED_VALUE"""),"")</f>
        <v/>
      </c>
      <c r="Q85" s="106" t="str">
        <f>IFERROR(__xludf.DUMMYFUNCTION("""COMPUTED_VALUE"""),"")</f>
        <v/>
      </c>
      <c r="R85" s="106" t="str">
        <f>IFERROR(__xludf.DUMMYFUNCTION("""COMPUTED_VALUE"""),"")</f>
        <v/>
      </c>
      <c r="S85" s="139" t="str">
        <f>IFERROR(__xludf.DUMMYFUNCTION("""COMPUTED_VALUE"""),"")</f>
        <v/>
      </c>
      <c r="T85" s="139" t="str">
        <f>IFERROR(__xludf.DUMMYFUNCTION("""COMPUTED_VALUE"""),"")</f>
        <v/>
      </c>
      <c r="U85" s="136" t="str">
        <f>IFERROR(__xludf.DUMMYFUNCTION("""COMPUTED_VALUE"""),"")</f>
        <v/>
      </c>
      <c r="V85" s="106" t="str">
        <f>IFERROR(__xludf.DUMMYFUNCTION("""COMPUTED_VALUE"""),"")</f>
        <v/>
      </c>
      <c r="W85" s="143" t="str">
        <f t="shared" si="2"/>
        <v/>
      </c>
      <c r="X85" s="139" t="str">
        <f>IFERROR(__xludf.DUMMYFUNCTION("""COMPUTED_VALUE"""),"")</f>
        <v/>
      </c>
      <c r="Y85" s="141" t="str">
        <f>IFERROR(__xludf.DUMMYFUNCTION("""COMPUTED_VALUE"""),"")</f>
        <v/>
      </c>
    </row>
    <row r="86">
      <c r="A86" s="144">
        <f>IFERROR(__xludf.DUMMYFUNCTION("""COMPUTED_VALUE"""),46066.75173322917)</f>
        <v>46066.75173</v>
      </c>
      <c r="B86" s="136" t="str">
        <f>IFERROR(__xludf.DUMMYFUNCTION("""COMPUTED_VALUE"""),"Leah Bucci")</f>
        <v>Leah Bucci</v>
      </c>
      <c r="C86" s="136" t="b">
        <f t="shared" si="3"/>
        <v>0</v>
      </c>
      <c r="D86" s="137">
        <f>IFERROR(__xludf.DUMMYFUNCTION("""COMPUTED_VALUE"""),0.6666666666642413)</f>
        <v>0.6666666667</v>
      </c>
      <c r="E86" s="106">
        <f>IFERROR(__xludf.DUMMYFUNCTION("""COMPUTED_VALUE"""),0.08333333333575865)</f>
        <v>0.08333333334</v>
      </c>
      <c r="F86" s="137">
        <f>IFERROR(__xludf.DUMMYFUNCTION("""COMPUTED_VALUE"""),0.75)</f>
        <v>0.75</v>
      </c>
      <c r="G86" s="106">
        <v>0.08333333333575865</v>
      </c>
      <c r="H86" s="136">
        <f>IFERROR(__xludf.DUMMYFUNCTION("""COMPUTED_VALUE"""),89.0)</f>
        <v>89</v>
      </c>
      <c r="I86" s="139">
        <v>44.49999999870488</v>
      </c>
      <c r="J86" s="136" t="s">
        <v>18</v>
      </c>
      <c r="K86" s="146">
        <f>IFERROR(__xludf.DUMMYFUNCTION("""COMPUTED_VALUE"""),46066.0)</f>
        <v>46066</v>
      </c>
      <c r="L86" s="136" t="str">
        <f t="shared" si="1"/>
        <v>Friday</v>
      </c>
      <c r="M86" s="136" t="str">
        <f>IFERROR(__xludf.DUMMYFUNCTION("""COMPUTED_VALUE"""),"MF")</f>
        <v>MF</v>
      </c>
      <c r="N86" s="141">
        <v>0.9307782675723253</v>
      </c>
      <c r="O86" s="136">
        <f>IFERROR(__xludf.DUMMYFUNCTION("""COMPUTED_VALUE"""),89.0)</f>
        <v>89</v>
      </c>
      <c r="P86" s="136">
        <f>IFERROR(__xludf.DUMMYFUNCTION("""COMPUTED_VALUE"""),30.0)</f>
        <v>30</v>
      </c>
      <c r="Q86" s="106">
        <f>IFERROR(__xludf.DUMMYFUNCTION("""COMPUTED_VALUE"""),0.08333333333575865)</f>
        <v>0.08333333334</v>
      </c>
      <c r="R86" s="106">
        <f>IFERROR(__xludf.DUMMYFUNCTION("""COMPUTED_VALUE"""),0.0625)</f>
        <v>0.0625</v>
      </c>
      <c r="S86" s="139">
        <f>IFERROR(__xludf.DUMMYFUNCTION("""COMPUTED_VALUE"""),44.49999999870488)</f>
        <v>44.5</v>
      </c>
      <c r="T86" s="139">
        <f>IFERROR(__xludf.DUMMYFUNCTION("""COMPUTED_VALUE"""),20.0)</f>
        <v>20</v>
      </c>
      <c r="U86" s="136">
        <f>IFERROR(__xludf.DUMMYFUNCTION("""COMPUTED_VALUE"""),119.0)</f>
        <v>119</v>
      </c>
      <c r="V86" s="106">
        <f>IFERROR(__xludf.DUMMYFUNCTION("""COMPUTED_VALUE"""),0.14583333333575865)</f>
        <v>0.1458333333</v>
      </c>
      <c r="W86" s="143">
        <f t="shared" si="2"/>
        <v>34</v>
      </c>
      <c r="X86" s="139">
        <f>IFERROR(__xludf.DUMMYFUNCTION("""COMPUTED_VALUE"""),32.24999999935244)</f>
        <v>32.25</v>
      </c>
      <c r="Y86" s="141">
        <f>IFERROR(__xludf.DUMMYFUNCTION("""COMPUTED_VALUE"""),0.5936567446884161)</f>
        <v>0.5936567447</v>
      </c>
    </row>
    <row r="87">
      <c r="A87" s="144">
        <f>IFERROR(__xludf.DUMMYFUNCTION("""COMPUTED_VALUE"""),46070.55385986112)</f>
        <v>46070.55386</v>
      </c>
      <c r="B87" s="136" t="str">
        <f>IFERROR(__xludf.DUMMYFUNCTION("""COMPUTED_VALUE"""),"Kaylie Forgue")</f>
        <v>Kaylie Forgue</v>
      </c>
      <c r="C87" s="136" t="b">
        <f t="shared" si="3"/>
        <v>0</v>
      </c>
      <c r="D87" s="137">
        <f>IFERROR(__xludf.DUMMYFUNCTION("""COMPUTED_VALUE"""),0.44722222222480923)</f>
        <v>0.4472222222</v>
      </c>
      <c r="E87" s="106">
        <f>IFERROR(__xludf.DUMMYFUNCTION("""COMPUTED_VALUE"""),0.07222222221753327)</f>
        <v>0.07222222222</v>
      </c>
      <c r="F87" s="137">
        <f>IFERROR(__xludf.DUMMYFUNCTION("""COMPUTED_VALUE"""),0.5194444444423425)</f>
        <v>0.5194444444</v>
      </c>
      <c r="G87" s="106">
        <v>0.07222222221753327</v>
      </c>
      <c r="H87" s="136">
        <f>IFERROR(__xludf.DUMMYFUNCTION("""COMPUTED_VALUE"""),146.0)</f>
        <v>146</v>
      </c>
      <c r="I87" s="139">
        <v>84.23076923623782</v>
      </c>
      <c r="J87" s="136" t="s">
        <v>134</v>
      </c>
      <c r="K87" s="146">
        <f>IFERROR(__xludf.DUMMYFUNCTION("""COMPUTED_VALUE"""),46070.0)</f>
        <v>46070</v>
      </c>
      <c r="L87" s="136" t="str">
        <f t="shared" si="1"/>
        <v>Tuesday</v>
      </c>
      <c r="M87" s="136" t="str">
        <f>IFERROR(__xludf.DUMMYFUNCTION("""COMPUTED_VALUE"""),"BF")</f>
        <v>BF</v>
      </c>
      <c r="N87" s="141">
        <v>2.727685732296327</v>
      </c>
      <c r="O87" s="136" t="str">
        <f>IFERROR(__xludf.DUMMYFUNCTION("""COMPUTED_VALUE"""),"")</f>
        <v/>
      </c>
      <c r="P87" s="136" t="str">
        <f>IFERROR(__xludf.DUMMYFUNCTION("""COMPUTED_VALUE"""),"")</f>
        <v/>
      </c>
      <c r="Q87" s="106" t="str">
        <f>IFERROR(__xludf.DUMMYFUNCTION("""COMPUTED_VALUE"""),"")</f>
        <v/>
      </c>
      <c r="R87" s="106" t="str">
        <f>IFERROR(__xludf.DUMMYFUNCTION("""COMPUTED_VALUE"""),"")</f>
        <v/>
      </c>
      <c r="S87" s="139" t="str">
        <f>IFERROR(__xludf.DUMMYFUNCTION("""COMPUTED_VALUE"""),"")</f>
        <v/>
      </c>
      <c r="T87" s="139" t="str">
        <f>IFERROR(__xludf.DUMMYFUNCTION("""COMPUTED_VALUE"""),"")</f>
        <v/>
      </c>
      <c r="U87" s="136" t="str">
        <f>IFERROR(__xludf.DUMMYFUNCTION("""COMPUTED_VALUE"""),"")</f>
        <v/>
      </c>
      <c r="V87" s="106" t="str">
        <f>IFERROR(__xludf.DUMMYFUNCTION("""COMPUTED_VALUE"""),"")</f>
        <v/>
      </c>
      <c r="W87" s="143" t="str">
        <f t="shared" si="2"/>
        <v/>
      </c>
      <c r="X87" s="139" t="str">
        <f>IFERROR(__xludf.DUMMYFUNCTION("""COMPUTED_VALUE"""),"")</f>
        <v/>
      </c>
      <c r="Y87" s="141" t="str">
        <f>IFERROR(__xludf.DUMMYFUNCTION("""COMPUTED_VALUE"""),"")</f>
        <v/>
      </c>
    </row>
    <row r="88">
      <c r="A88" s="144">
        <f>IFERROR(__xludf.DUMMYFUNCTION("""COMPUTED_VALUE"""),46070.55487229167)</f>
        <v>46070.55487</v>
      </c>
      <c r="B88" s="136" t="str">
        <f>IFERROR(__xludf.DUMMYFUNCTION("""COMPUTED_VALUE"""),"Kyra Turner")</f>
        <v>Kyra Turner</v>
      </c>
      <c r="C88" s="136" t="b">
        <f t="shared" si="3"/>
        <v>0</v>
      </c>
      <c r="D88" s="137">
        <f>IFERROR(__xludf.DUMMYFUNCTION("""COMPUTED_VALUE"""),0.48333333333721384)</f>
        <v>0.4833333333</v>
      </c>
      <c r="E88" s="106">
        <f>IFERROR(__xludf.DUMMYFUNCTION("""COMPUTED_VALUE"""),0.06944444443797693)</f>
        <v>0.06944444444</v>
      </c>
      <c r="F88" s="137">
        <f>IFERROR(__xludf.DUMMYFUNCTION("""COMPUTED_VALUE"""),0.5527777777751908)</f>
        <v>0.5527777778</v>
      </c>
      <c r="G88" s="106">
        <v>0.10347222221025731</v>
      </c>
      <c r="H88" s="136">
        <f>IFERROR(__xludf.DUMMYFUNCTION("""COMPUTED_VALUE"""),146.0)</f>
        <v>146</v>
      </c>
      <c r="I88" s="139">
        <v>84.5637583990402</v>
      </c>
      <c r="J88" s="136" t="s">
        <v>15</v>
      </c>
      <c r="K88" s="146">
        <f>IFERROR(__xludf.DUMMYFUNCTION("""COMPUTED_VALUE"""),46070.0)</f>
        <v>46070</v>
      </c>
      <c r="L88" s="136" t="str">
        <f t="shared" si="1"/>
        <v>Tuesday</v>
      </c>
      <c r="M88" s="136" t="str">
        <f>IFERROR(__xludf.DUMMYFUNCTION("""COMPUTED_VALUE"""),"MF")</f>
        <v>MF</v>
      </c>
      <c r="N88" s="141">
        <v>1.6819405877030569</v>
      </c>
      <c r="O88" s="136" t="str">
        <f>IFERROR(__xludf.DUMMYFUNCTION("""COMPUTED_VALUE"""),"")</f>
        <v/>
      </c>
      <c r="P88" s="136" t="str">
        <f>IFERROR(__xludf.DUMMYFUNCTION("""COMPUTED_VALUE"""),"")</f>
        <v/>
      </c>
      <c r="Q88" s="106" t="str">
        <f>IFERROR(__xludf.DUMMYFUNCTION("""COMPUTED_VALUE"""),"")</f>
        <v/>
      </c>
      <c r="R88" s="106" t="str">
        <f>IFERROR(__xludf.DUMMYFUNCTION("""COMPUTED_VALUE"""),"")</f>
        <v/>
      </c>
      <c r="S88" s="139" t="str">
        <f>IFERROR(__xludf.DUMMYFUNCTION("""COMPUTED_VALUE"""),"")</f>
        <v/>
      </c>
      <c r="T88" s="139" t="str">
        <f>IFERROR(__xludf.DUMMYFUNCTION("""COMPUTED_VALUE"""),"")</f>
        <v/>
      </c>
      <c r="U88" s="136" t="str">
        <f>IFERROR(__xludf.DUMMYFUNCTION("""COMPUTED_VALUE"""),"")</f>
        <v/>
      </c>
      <c r="V88" s="106" t="str">
        <f>IFERROR(__xludf.DUMMYFUNCTION("""COMPUTED_VALUE"""),"")</f>
        <v/>
      </c>
      <c r="W88" s="143" t="str">
        <f t="shared" si="2"/>
        <v/>
      </c>
      <c r="X88" s="139" t="str">
        <f>IFERROR(__xludf.DUMMYFUNCTION("""COMPUTED_VALUE"""),"")</f>
        <v/>
      </c>
      <c r="Y88" s="141" t="str">
        <f>IFERROR(__xludf.DUMMYFUNCTION("""COMPUTED_VALUE"""),"")</f>
        <v/>
      </c>
    </row>
    <row r="89">
      <c r="A89" s="144">
        <f>IFERROR(__xludf.DUMMYFUNCTION("""COMPUTED_VALUE"""),46070.59340195602)</f>
        <v>46070.5934</v>
      </c>
      <c r="B89" s="136" t="str">
        <f>IFERROR(__xludf.DUMMYFUNCTION("""COMPUTED_VALUE"""),"Kyra Turner")</f>
        <v>Kyra Turner</v>
      </c>
      <c r="C89" s="136" t="b">
        <f t="shared" si="3"/>
        <v>1</v>
      </c>
      <c r="D89" s="137">
        <f>IFERROR(__xludf.DUMMYFUNCTION("""COMPUTED_VALUE"""),0.5590277777810115)</f>
        <v>0.5590277778</v>
      </c>
      <c r="E89" s="106">
        <f>IFERROR(__xludf.DUMMYFUNCTION("""COMPUTED_VALUE"""),0.03402777777228039)</f>
        <v>0.03402777777</v>
      </c>
      <c r="F89" s="137">
        <f>IFERROR(__xludf.DUMMYFUNCTION("""COMPUTED_VALUE"""),0.5930555555532919)</f>
        <v>0.5930555556</v>
      </c>
      <c r="G89" s="106" t="s">
        <v>133</v>
      </c>
      <c r="H89" s="136">
        <f>IFERROR(__xludf.DUMMYFUNCTION("""COMPUTED_VALUE"""),64.0)</f>
        <v>64</v>
      </c>
      <c r="I89" s="139" t="s">
        <v>133</v>
      </c>
      <c r="J89" s="136" t="s">
        <v>15</v>
      </c>
      <c r="K89" s="146">
        <f>IFERROR(__xludf.DUMMYFUNCTION("""COMPUTED_VALUE"""),46070.0)</f>
        <v>46070</v>
      </c>
      <c r="L89" s="136" t="str">
        <f t="shared" si="1"/>
        <v>Tuesday</v>
      </c>
      <c r="M89" s="136" t="str">
        <f>IFERROR(__xludf.DUMMYFUNCTION("""COMPUTED_VALUE"""),"MF")</f>
        <v>MF</v>
      </c>
      <c r="N89" s="141" t="s">
        <v>133</v>
      </c>
      <c r="O89" s="136" t="str">
        <f>IFERROR(__xludf.DUMMYFUNCTION("""COMPUTED_VALUE"""),"")</f>
        <v/>
      </c>
      <c r="P89" s="136" t="str">
        <f>IFERROR(__xludf.DUMMYFUNCTION("""COMPUTED_VALUE"""),"")</f>
        <v/>
      </c>
      <c r="Q89" s="106" t="str">
        <f>IFERROR(__xludf.DUMMYFUNCTION("""COMPUTED_VALUE"""),"")</f>
        <v/>
      </c>
      <c r="R89" s="106" t="str">
        <f>IFERROR(__xludf.DUMMYFUNCTION("""COMPUTED_VALUE"""),"")</f>
        <v/>
      </c>
      <c r="S89" s="139" t="str">
        <f>IFERROR(__xludf.DUMMYFUNCTION("""COMPUTED_VALUE"""),"")</f>
        <v/>
      </c>
      <c r="T89" s="139" t="str">
        <f>IFERROR(__xludf.DUMMYFUNCTION("""COMPUTED_VALUE"""),"")</f>
        <v/>
      </c>
      <c r="U89" s="136" t="str">
        <f>IFERROR(__xludf.DUMMYFUNCTION("""COMPUTED_VALUE"""),"")</f>
        <v/>
      </c>
      <c r="V89" s="106" t="str">
        <f>IFERROR(__xludf.DUMMYFUNCTION("""COMPUTED_VALUE"""),"")</f>
        <v/>
      </c>
      <c r="W89" s="143" t="str">
        <f t="shared" si="2"/>
        <v/>
      </c>
      <c r="X89" s="139" t="str">
        <f>IFERROR(__xludf.DUMMYFUNCTION("""COMPUTED_VALUE"""),"")</f>
        <v/>
      </c>
      <c r="Y89" s="141" t="str">
        <f>IFERROR(__xludf.DUMMYFUNCTION("""COMPUTED_VALUE"""),"")</f>
        <v/>
      </c>
    </row>
    <row r="90">
      <c r="A90" s="144">
        <f>IFERROR(__xludf.DUMMYFUNCTION("""COMPUTED_VALUE"""),46070.82210877315)</f>
        <v>46070.82211</v>
      </c>
      <c r="B90" s="136" t="str">
        <f>IFERROR(__xludf.DUMMYFUNCTION("""COMPUTED_VALUE"""),"Leah Bucci")</f>
        <v>Leah Bucci</v>
      </c>
      <c r="C90" s="136" t="b">
        <f t="shared" si="3"/>
        <v>0</v>
      </c>
      <c r="D90" s="137">
        <f>IFERROR(__xludf.DUMMYFUNCTION("""COMPUTED_VALUE"""),0.6875)</f>
        <v>0.6875</v>
      </c>
      <c r="E90" s="106">
        <f>IFERROR(__xludf.DUMMYFUNCTION("""COMPUTED_VALUE"""),0.07291666666424135)</f>
        <v>0.07291666666</v>
      </c>
      <c r="F90" s="137">
        <f>IFERROR(__xludf.DUMMYFUNCTION("""COMPUTED_VALUE"""),0.7604166666642413)</f>
        <v>0.7604166667</v>
      </c>
      <c r="G90" s="106">
        <v>0.15624999999272404</v>
      </c>
      <c r="H90" s="136">
        <f>IFERROR(__xludf.DUMMYFUNCTION("""COMPUTED_VALUE"""),188.0)</f>
        <v>188</v>
      </c>
      <c r="I90" s="139">
        <v>84.00000000391155</v>
      </c>
      <c r="J90" s="136" t="s">
        <v>18</v>
      </c>
      <c r="K90" s="146">
        <f>IFERROR(__xludf.DUMMYFUNCTION("""COMPUTED_VALUE"""),46070.0)</f>
        <v>46070</v>
      </c>
      <c r="L90" s="136" t="str">
        <f t="shared" si="1"/>
        <v>Tuesday</v>
      </c>
      <c r="M90" s="136" t="str">
        <f>IFERROR(__xludf.DUMMYFUNCTION("""COMPUTED_VALUE"""),"BF")</f>
        <v>BF</v>
      </c>
      <c r="N90" s="141">
        <v>1.8905370844595009</v>
      </c>
      <c r="O90" s="136" t="str">
        <f>IFERROR(__xludf.DUMMYFUNCTION("""COMPUTED_VALUE"""),"")</f>
        <v/>
      </c>
      <c r="P90" s="136" t="str">
        <f>IFERROR(__xludf.DUMMYFUNCTION("""COMPUTED_VALUE"""),"")</f>
        <v/>
      </c>
      <c r="Q90" s="106" t="str">
        <f>IFERROR(__xludf.DUMMYFUNCTION("""COMPUTED_VALUE"""),"")</f>
        <v/>
      </c>
      <c r="R90" s="106" t="str">
        <f>IFERROR(__xludf.DUMMYFUNCTION("""COMPUTED_VALUE"""),"")</f>
        <v/>
      </c>
      <c r="S90" s="139" t="str">
        <f>IFERROR(__xludf.DUMMYFUNCTION("""COMPUTED_VALUE"""),"")</f>
        <v/>
      </c>
      <c r="T90" s="139" t="str">
        <f>IFERROR(__xludf.DUMMYFUNCTION("""COMPUTED_VALUE"""),"")</f>
        <v/>
      </c>
      <c r="U90" s="136" t="str">
        <f>IFERROR(__xludf.DUMMYFUNCTION("""COMPUTED_VALUE"""),"")</f>
        <v/>
      </c>
      <c r="V90" s="106" t="str">
        <f>IFERROR(__xludf.DUMMYFUNCTION("""COMPUTED_VALUE"""),"")</f>
        <v/>
      </c>
      <c r="W90" s="143" t="str">
        <f t="shared" si="2"/>
        <v/>
      </c>
      <c r="X90" s="139" t="str">
        <f>IFERROR(__xludf.DUMMYFUNCTION("""COMPUTED_VALUE"""),"")</f>
        <v/>
      </c>
      <c r="Y90" s="141" t="str">
        <f>IFERROR(__xludf.DUMMYFUNCTION("""COMPUTED_VALUE"""),"")</f>
        <v/>
      </c>
    </row>
    <row r="91">
      <c r="A91" s="144">
        <f>IFERROR(__xludf.DUMMYFUNCTION("""COMPUTED_VALUE"""),46070.85394734953)</f>
        <v>46070.85395</v>
      </c>
      <c r="B91" s="136" t="str">
        <f>IFERROR(__xludf.DUMMYFUNCTION("""COMPUTED_VALUE"""),"Leah Bucci")</f>
        <v>Leah Bucci</v>
      </c>
      <c r="C91" s="136" t="b">
        <f t="shared" si="3"/>
        <v>1</v>
      </c>
      <c r="D91" s="137">
        <f>IFERROR(__xludf.DUMMYFUNCTION("""COMPUTED_VALUE"""),0.7708333333357587)</f>
        <v>0.7708333333</v>
      </c>
      <c r="E91" s="106">
        <f>IFERROR(__xludf.DUMMYFUNCTION("""COMPUTED_VALUE"""),0.0833333333284827)</f>
        <v>0.08333333333</v>
      </c>
      <c r="F91" s="137">
        <f>IFERROR(__xludf.DUMMYFUNCTION("""COMPUTED_VALUE"""),0.8541666666642413)</f>
        <v>0.8541666667</v>
      </c>
      <c r="G91" s="106" t="s">
        <v>133</v>
      </c>
      <c r="H91" s="136">
        <f>IFERROR(__xludf.DUMMYFUNCTION("""COMPUTED_VALUE"""),127.0)</f>
        <v>127</v>
      </c>
      <c r="I91" s="139" t="s">
        <v>133</v>
      </c>
      <c r="J91" s="136" t="s">
        <v>18</v>
      </c>
      <c r="K91" s="146">
        <f>IFERROR(__xludf.DUMMYFUNCTION("""COMPUTED_VALUE"""),46070.0)</f>
        <v>46070</v>
      </c>
      <c r="L91" s="136" t="str">
        <f t="shared" si="1"/>
        <v>Tuesday</v>
      </c>
      <c r="M91" s="136" t="str">
        <f>IFERROR(__xludf.DUMMYFUNCTION("""COMPUTED_VALUE"""),"BF")</f>
        <v>BF</v>
      </c>
      <c r="N91" s="141" t="s">
        <v>133</v>
      </c>
      <c r="O91" s="136" t="str">
        <f>IFERROR(__xludf.DUMMYFUNCTION("""COMPUTED_VALUE"""),"")</f>
        <v/>
      </c>
      <c r="P91" s="136" t="str">
        <f>IFERROR(__xludf.DUMMYFUNCTION("""COMPUTED_VALUE"""),"")</f>
        <v/>
      </c>
      <c r="Q91" s="106" t="str">
        <f>IFERROR(__xludf.DUMMYFUNCTION("""COMPUTED_VALUE"""),"")</f>
        <v/>
      </c>
      <c r="R91" s="106" t="str">
        <f>IFERROR(__xludf.DUMMYFUNCTION("""COMPUTED_VALUE"""),"")</f>
        <v/>
      </c>
      <c r="S91" s="139" t="str">
        <f>IFERROR(__xludf.DUMMYFUNCTION("""COMPUTED_VALUE"""),"")</f>
        <v/>
      </c>
      <c r="T91" s="139" t="str">
        <f>IFERROR(__xludf.DUMMYFUNCTION("""COMPUTED_VALUE"""),"")</f>
        <v/>
      </c>
      <c r="U91" s="136" t="str">
        <f>IFERROR(__xludf.DUMMYFUNCTION("""COMPUTED_VALUE"""),"")</f>
        <v/>
      </c>
      <c r="V91" s="106" t="str">
        <f>IFERROR(__xludf.DUMMYFUNCTION("""COMPUTED_VALUE"""),"")</f>
        <v/>
      </c>
      <c r="W91" s="143" t="str">
        <f t="shared" si="2"/>
        <v/>
      </c>
      <c r="X91" s="139" t="str">
        <f>IFERROR(__xludf.DUMMYFUNCTION("""COMPUTED_VALUE"""),"")</f>
        <v/>
      </c>
      <c r="Y91" s="141" t="str">
        <f>IFERROR(__xludf.DUMMYFUNCTION("""COMPUTED_VALUE"""),"")</f>
        <v/>
      </c>
    </row>
    <row r="92">
      <c r="A92" s="144">
        <f>IFERROR(__xludf.DUMMYFUNCTION("""COMPUTED_VALUE"""),46070.86607668981)</f>
        <v>46070.86608</v>
      </c>
      <c r="B92" s="136" t="str">
        <f>IFERROR(__xludf.DUMMYFUNCTION("""COMPUTED_VALUE"""),"Sophia Kluck")</f>
        <v>Sophia Kluck</v>
      </c>
      <c r="C92" s="136" t="b">
        <f t="shared" si="3"/>
        <v>0</v>
      </c>
      <c r="D92" s="137">
        <f>IFERROR(__xludf.DUMMYFUNCTION("""COMPUTED_VALUE"""),0.7513888888934162)</f>
        <v>0.7513888889</v>
      </c>
      <c r="E92" s="106">
        <f>IFERROR(__xludf.DUMMYFUNCTION("""COMPUTED_VALUE"""),0.1131944444423425)</f>
        <v>0.1131944444</v>
      </c>
      <c r="F92" s="137">
        <f>IFERROR(__xludf.DUMMYFUNCTION("""COMPUTED_VALUE"""),0.8645833333357587)</f>
        <v>0.8645833333</v>
      </c>
      <c r="G92" s="106">
        <v>0.1131944444423425</v>
      </c>
      <c r="H92" s="136">
        <f>IFERROR(__xludf.DUMMYFUNCTION("""COMPUTED_VALUE"""),117.0)</f>
        <v>117</v>
      </c>
      <c r="I92" s="139">
        <v>43.06748466337642</v>
      </c>
      <c r="J92" s="136" t="s">
        <v>18</v>
      </c>
      <c r="K92" s="146">
        <f>IFERROR(__xludf.DUMMYFUNCTION("""COMPUTED_VALUE"""),46070.0)</f>
        <v>46070</v>
      </c>
      <c r="L92" s="136" t="str">
        <f t="shared" si="1"/>
        <v>Tuesday</v>
      </c>
      <c r="M92" s="136" t="str">
        <f>IFERROR(__xludf.DUMMYFUNCTION("""COMPUTED_VALUE"""),"MF")</f>
        <v>MF</v>
      </c>
      <c r="N92" s="141">
        <v>0.9008152531425136</v>
      </c>
      <c r="O92" s="136">
        <f>IFERROR(__xludf.DUMMYFUNCTION("""COMPUTED_VALUE"""),327.0)</f>
        <v>327</v>
      </c>
      <c r="P92" s="136">
        <f>IFERROR(__xludf.DUMMYFUNCTION("""COMPUTED_VALUE"""),461.0)</f>
        <v>461</v>
      </c>
      <c r="Q92" s="106">
        <f>IFERROR(__xludf.DUMMYFUNCTION("""COMPUTED_VALUE"""),0.21666666665259982)</f>
        <v>0.2166666667</v>
      </c>
      <c r="R92" s="106">
        <f>IFERROR(__xludf.DUMMYFUNCTION("""COMPUTED_VALUE"""),0.22847222221025731)</f>
        <v>0.2284722222</v>
      </c>
      <c r="S92" s="139">
        <f>IFERROR(__xludf.DUMMYFUNCTION("""COMPUTED_VALUE"""),63.81562153120831)</f>
        <v>63.81562153</v>
      </c>
      <c r="T92" s="139">
        <f>IFERROR(__xludf.DUMMYFUNCTION("""COMPUTED_VALUE"""),84.11538462007468)</f>
        <v>84.11538462</v>
      </c>
      <c r="U92" s="136">
        <f>IFERROR(__xludf.DUMMYFUNCTION("""COMPUTED_VALUE"""),788.0)</f>
        <v>788</v>
      </c>
      <c r="V92" s="106">
        <f>IFERROR(__xludf.DUMMYFUNCTION("""COMPUTED_VALUE"""),0.44513888886285713)</f>
        <v>0.4451388889</v>
      </c>
      <c r="W92" s="143">
        <f t="shared" si="2"/>
        <v>73.75975039</v>
      </c>
      <c r="X92" s="139">
        <f>IFERROR(__xludf.DUMMYFUNCTION("""COMPUTED_VALUE"""),73.96550307564151)</f>
        <v>73.96550308</v>
      </c>
      <c r="Y92" s="141">
        <f>IFERROR(__xludf.DUMMYFUNCTION("""COMPUTED_VALUE"""),0.8959187482198633)</f>
        <v>0.8959187482</v>
      </c>
    </row>
    <row r="93">
      <c r="A93" s="144">
        <f>IFERROR(__xludf.DUMMYFUNCTION("""COMPUTED_VALUE"""),46071.41592960648)</f>
        <v>46071.41593</v>
      </c>
      <c r="B93" s="136" t="str">
        <f>IFERROR(__xludf.DUMMYFUNCTION("""COMPUTED_VALUE"""),"Kaylie Forgue")</f>
        <v>Kaylie Forgue</v>
      </c>
      <c r="C93" s="136" t="b">
        <f t="shared" si="3"/>
        <v>0</v>
      </c>
      <c r="D93" s="137">
        <f>IFERROR(__xludf.DUMMYFUNCTION("""COMPUTED_VALUE"""),0.3125)</f>
        <v>0.3125</v>
      </c>
      <c r="E93" s="106">
        <f>IFERROR(__xludf.DUMMYFUNCTION("""COMPUTED_VALUE"""),0.09027777778101154)</f>
        <v>0.09027777778</v>
      </c>
      <c r="F93" s="137">
        <f>IFERROR(__xludf.DUMMYFUNCTION("""COMPUTED_VALUE"""),0.40277777778101154)</f>
        <v>0.4027777778</v>
      </c>
      <c r="G93" s="106">
        <v>0.09027777778101154</v>
      </c>
      <c r="H93" s="136">
        <f>IFERROR(__xludf.DUMMYFUNCTION("""COMPUTED_VALUE"""),47.0)</f>
        <v>47</v>
      </c>
      <c r="I93" s="139">
        <v>21.692307691530672</v>
      </c>
      <c r="J93" s="136" t="s">
        <v>12</v>
      </c>
      <c r="K93" s="146">
        <f>IFERROR(__xludf.DUMMYFUNCTION("""COMPUTED_VALUE"""),46071.0)</f>
        <v>46071</v>
      </c>
      <c r="L93" s="136" t="str">
        <f t="shared" si="1"/>
        <v>Wednesday</v>
      </c>
      <c r="M93" s="136" t="str">
        <f>IFERROR(__xludf.DUMMYFUNCTION("""COMPUTED_VALUE"""),"BF")</f>
        <v>BF</v>
      </c>
      <c r="N93" s="141">
        <v>0.7651432397079665</v>
      </c>
      <c r="O93" s="136" t="str">
        <f>IFERROR(__xludf.DUMMYFUNCTION("""COMPUTED_VALUE"""),"")</f>
        <v/>
      </c>
      <c r="P93" s="136" t="str">
        <f>IFERROR(__xludf.DUMMYFUNCTION("""COMPUTED_VALUE"""),"")</f>
        <v/>
      </c>
      <c r="Q93" s="106" t="str">
        <f>IFERROR(__xludf.DUMMYFUNCTION("""COMPUTED_VALUE"""),"")</f>
        <v/>
      </c>
      <c r="R93" s="106" t="str">
        <f>IFERROR(__xludf.DUMMYFUNCTION("""COMPUTED_VALUE"""),"")</f>
        <v/>
      </c>
      <c r="S93" s="139" t="str">
        <f>IFERROR(__xludf.DUMMYFUNCTION("""COMPUTED_VALUE"""),"")</f>
        <v/>
      </c>
      <c r="T93" s="139" t="str">
        <f>IFERROR(__xludf.DUMMYFUNCTION("""COMPUTED_VALUE"""),"")</f>
        <v/>
      </c>
      <c r="U93" s="136" t="str">
        <f>IFERROR(__xludf.DUMMYFUNCTION("""COMPUTED_VALUE"""),"")</f>
        <v/>
      </c>
      <c r="V93" s="106" t="str">
        <f>IFERROR(__xludf.DUMMYFUNCTION("""COMPUTED_VALUE"""),"")</f>
        <v/>
      </c>
      <c r="W93" s="143" t="str">
        <f t="shared" si="2"/>
        <v/>
      </c>
      <c r="X93" s="139" t="str">
        <f>IFERROR(__xludf.DUMMYFUNCTION("""COMPUTED_VALUE"""),"")</f>
        <v/>
      </c>
      <c r="Y93" s="141" t="str">
        <f>IFERROR(__xludf.DUMMYFUNCTION("""COMPUTED_VALUE"""),"")</f>
        <v/>
      </c>
    </row>
    <row r="94">
      <c r="A94" s="144">
        <f>IFERROR(__xludf.DUMMYFUNCTION("""COMPUTED_VALUE"""),46071.57600097222)</f>
        <v>46071.576</v>
      </c>
      <c r="B94" s="136" t="str">
        <f>IFERROR(__xludf.DUMMYFUNCTION("""COMPUTED_VALUE"""),"Oluwatimilehin Shodipe")</f>
        <v>Oluwatimilehin Shodipe</v>
      </c>
      <c r="C94" s="136" t="b">
        <f t="shared" si="3"/>
        <v>0</v>
      </c>
      <c r="D94" s="137">
        <f>IFERROR(__xludf.DUMMYFUNCTION("""COMPUTED_VALUE"""),0.5)</f>
        <v>0.5</v>
      </c>
      <c r="E94" s="106">
        <f>IFERROR(__xludf.DUMMYFUNCTION("""COMPUTED_VALUE"""),0.07638888889050577)</f>
        <v>0.07638888889</v>
      </c>
      <c r="F94" s="137">
        <f>IFERROR(__xludf.DUMMYFUNCTION("""COMPUTED_VALUE"""),0.5763888888905058)</f>
        <v>0.5763888889</v>
      </c>
      <c r="G94" s="106">
        <v>0.07638888889050577</v>
      </c>
      <c r="H94" s="136">
        <f>IFERROR(__xludf.DUMMYFUNCTION("""COMPUTED_VALUE"""),94.0)</f>
        <v>94</v>
      </c>
      <c r="I94" s="139">
        <v>51.27272727164201</v>
      </c>
      <c r="J94" s="136" t="s">
        <v>15</v>
      </c>
      <c r="K94" s="146">
        <f>IFERROR(__xludf.DUMMYFUNCTION("""COMPUTED_VALUE"""),46071.0)</f>
        <v>46071</v>
      </c>
      <c r="L94" s="136" t="str">
        <f t="shared" si="1"/>
        <v>Wednesday</v>
      </c>
      <c r="M94" s="136" t="str">
        <f>IFERROR(__xludf.DUMMYFUNCTION("""COMPUTED_VALUE"""),"BF")</f>
        <v>BF</v>
      </c>
      <c r="N94" s="141">
        <v>1.8085203847907858</v>
      </c>
      <c r="O94" s="136" t="str">
        <f>IFERROR(__xludf.DUMMYFUNCTION("""COMPUTED_VALUE"""),"")</f>
        <v/>
      </c>
      <c r="P94" s="136" t="str">
        <f>IFERROR(__xludf.DUMMYFUNCTION("""COMPUTED_VALUE"""),"")</f>
        <v/>
      </c>
      <c r="Q94" s="106" t="str">
        <f>IFERROR(__xludf.DUMMYFUNCTION("""COMPUTED_VALUE"""),"")</f>
        <v/>
      </c>
      <c r="R94" s="106" t="str">
        <f>IFERROR(__xludf.DUMMYFUNCTION("""COMPUTED_VALUE"""),"")</f>
        <v/>
      </c>
      <c r="S94" s="139" t="str">
        <f>IFERROR(__xludf.DUMMYFUNCTION("""COMPUTED_VALUE"""),"")</f>
        <v/>
      </c>
      <c r="T94" s="139" t="str">
        <f>IFERROR(__xludf.DUMMYFUNCTION("""COMPUTED_VALUE"""),"")</f>
        <v/>
      </c>
      <c r="U94" s="136" t="str">
        <f>IFERROR(__xludf.DUMMYFUNCTION("""COMPUTED_VALUE"""),"")</f>
        <v/>
      </c>
      <c r="V94" s="106" t="str">
        <f>IFERROR(__xludf.DUMMYFUNCTION("""COMPUTED_VALUE"""),"")</f>
        <v/>
      </c>
      <c r="W94" s="143" t="str">
        <f t="shared" si="2"/>
        <v/>
      </c>
      <c r="X94" s="139" t="str">
        <f>IFERROR(__xludf.DUMMYFUNCTION("""COMPUTED_VALUE"""),"")</f>
        <v/>
      </c>
      <c r="Y94" s="141" t="str">
        <f>IFERROR(__xludf.DUMMYFUNCTION("""COMPUTED_VALUE"""),"")</f>
        <v/>
      </c>
    </row>
    <row r="95">
      <c r="A95" s="144">
        <f>IFERROR(__xludf.DUMMYFUNCTION("""COMPUTED_VALUE"""),46071.62035236111)</f>
        <v>46071.62035</v>
      </c>
      <c r="B95" s="136" t="str">
        <f>IFERROR(__xludf.DUMMYFUNCTION("""COMPUTED_VALUE"""),"Evan Morgan")</f>
        <v>Evan Morgan</v>
      </c>
      <c r="C95" s="136" t="b">
        <f t="shared" si="3"/>
        <v>0</v>
      </c>
      <c r="D95" s="137">
        <f>IFERROR(__xludf.DUMMYFUNCTION("""COMPUTED_VALUE"""),0.5416666666642413)</f>
        <v>0.5416666667</v>
      </c>
      <c r="E95" s="106">
        <f>IFERROR(__xludf.DUMMYFUNCTION("""COMPUTED_VALUE"""),0.07638888889050577)</f>
        <v>0.07638888889</v>
      </c>
      <c r="F95" s="137">
        <f>IFERROR(__xludf.DUMMYFUNCTION("""COMPUTED_VALUE"""),0.6180555555547471)</f>
        <v>0.6180555556</v>
      </c>
      <c r="G95" s="106">
        <v>0.07638888889050577</v>
      </c>
      <c r="H95" s="136">
        <f>IFERROR(__xludf.DUMMYFUNCTION("""COMPUTED_VALUE"""),99.0)</f>
        <v>99</v>
      </c>
      <c r="I95" s="139">
        <v>53.999999998857014</v>
      </c>
      <c r="J95" s="136" t="s">
        <v>15</v>
      </c>
      <c r="K95" s="146">
        <f>IFERROR(__xludf.DUMMYFUNCTION("""COMPUTED_VALUE"""),46071.0)</f>
        <v>46071</v>
      </c>
      <c r="L95" s="136" t="str">
        <f t="shared" si="1"/>
        <v>Wednesday</v>
      </c>
      <c r="M95" s="136" t="str">
        <f>IFERROR(__xludf.DUMMYFUNCTION("""COMPUTED_VALUE"""),"MF")</f>
        <v>MF</v>
      </c>
      <c r="N95" s="141">
        <v>1.07403920371488</v>
      </c>
      <c r="O95" s="136" t="str">
        <f>IFERROR(__xludf.DUMMYFUNCTION("""COMPUTED_VALUE"""),"")</f>
        <v/>
      </c>
      <c r="P95" s="136" t="str">
        <f>IFERROR(__xludf.DUMMYFUNCTION("""COMPUTED_VALUE"""),"")</f>
        <v/>
      </c>
      <c r="Q95" s="106" t="str">
        <f>IFERROR(__xludf.DUMMYFUNCTION("""COMPUTED_VALUE"""),"")</f>
        <v/>
      </c>
      <c r="R95" s="106" t="str">
        <f>IFERROR(__xludf.DUMMYFUNCTION("""COMPUTED_VALUE"""),"")</f>
        <v/>
      </c>
      <c r="S95" s="139" t="str">
        <f>IFERROR(__xludf.DUMMYFUNCTION("""COMPUTED_VALUE"""),"")</f>
        <v/>
      </c>
      <c r="T95" s="139" t="str">
        <f>IFERROR(__xludf.DUMMYFUNCTION("""COMPUTED_VALUE"""),"")</f>
        <v/>
      </c>
      <c r="U95" s="136" t="str">
        <f>IFERROR(__xludf.DUMMYFUNCTION("""COMPUTED_VALUE"""),"")</f>
        <v/>
      </c>
      <c r="V95" s="106" t="str">
        <f>IFERROR(__xludf.DUMMYFUNCTION("""COMPUTED_VALUE"""),"")</f>
        <v/>
      </c>
      <c r="W95" s="143" t="str">
        <f t="shared" si="2"/>
        <v/>
      </c>
      <c r="X95" s="139" t="str">
        <f>IFERROR(__xludf.DUMMYFUNCTION("""COMPUTED_VALUE"""),"")</f>
        <v/>
      </c>
      <c r="Y95" s="141" t="str">
        <f>IFERROR(__xludf.DUMMYFUNCTION("""COMPUTED_VALUE"""),"")</f>
        <v/>
      </c>
    </row>
    <row r="96">
      <c r="A96" s="144">
        <f>IFERROR(__xludf.DUMMYFUNCTION("""COMPUTED_VALUE"""),46071.69685313657)</f>
        <v>46071.69685</v>
      </c>
      <c r="B96" s="136" t="str">
        <f>IFERROR(__xludf.DUMMYFUNCTION("""COMPUTED_VALUE"""),"Evan Morgan")</f>
        <v>Evan Morgan</v>
      </c>
      <c r="C96" s="136" t="b">
        <f t="shared" si="3"/>
        <v>0</v>
      </c>
      <c r="D96" s="137">
        <f>IFERROR(__xludf.DUMMYFUNCTION("""COMPUTED_VALUE"""),0.6666666666642413)</f>
        <v>0.6666666667</v>
      </c>
      <c r="E96" s="106">
        <f>IFERROR(__xludf.DUMMYFUNCTION("""COMPUTED_VALUE"""),0.027777777781011537)</f>
        <v>0.02777777778</v>
      </c>
      <c r="F96" s="137">
        <f>IFERROR(__xludf.DUMMYFUNCTION("""COMPUTED_VALUE"""),0.6944444444452529)</f>
        <v>0.6944444444</v>
      </c>
      <c r="G96" s="106">
        <v>0.027777777781011537</v>
      </c>
      <c r="H96" s="136">
        <f>IFERROR(__xludf.DUMMYFUNCTION("""COMPUTED_VALUE"""),35.0)</f>
        <v>35</v>
      </c>
      <c r="I96" s="139">
        <v>52.499999993888196</v>
      </c>
      <c r="J96" s="136" t="s">
        <v>18</v>
      </c>
      <c r="K96" s="146">
        <f>IFERROR(__xludf.DUMMYFUNCTION("""COMPUTED_VALUE"""),46071.0)</f>
        <v>46071</v>
      </c>
      <c r="L96" s="136" t="str">
        <f t="shared" si="1"/>
        <v>Wednesday</v>
      </c>
      <c r="M96" s="136" t="str">
        <f>IFERROR(__xludf.DUMMYFUNCTION("""COMPUTED_VALUE"""),"MF")</f>
        <v>MF</v>
      </c>
      <c r="N96" s="141">
        <v>1.098109191983832</v>
      </c>
      <c r="O96" s="136" t="str">
        <f>IFERROR(__xludf.DUMMYFUNCTION("""COMPUTED_VALUE"""),"")</f>
        <v/>
      </c>
      <c r="P96" s="136" t="str">
        <f>IFERROR(__xludf.DUMMYFUNCTION("""COMPUTED_VALUE"""),"")</f>
        <v/>
      </c>
      <c r="Q96" s="106" t="str">
        <f>IFERROR(__xludf.DUMMYFUNCTION("""COMPUTED_VALUE"""),"")</f>
        <v/>
      </c>
      <c r="R96" s="106" t="str">
        <f>IFERROR(__xludf.DUMMYFUNCTION("""COMPUTED_VALUE"""),"")</f>
        <v/>
      </c>
      <c r="S96" s="139" t="str">
        <f>IFERROR(__xludf.DUMMYFUNCTION("""COMPUTED_VALUE"""),"")</f>
        <v/>
      </c>
      <c r="T96" s="139" t="str">
        <f>IFERROR(__xludf.DUMMYFUNCTION("""COMPUTED_VALUE"""),"")</f>
        <v/>
      </c>
      <c r="U96" s="136" t="str">
        <f>IFERROR(__xludf.DUMMYFUNCTION("""COMPUTED_VALUE"""),"")</f>
        <v/>
      </c>
      <c r="V96" s="106" t="str">
        <f>IFERROR(__xludf.DUMMYFUNCTION("""COMPUTED_VALUE"""),"")</f>
        <v/>
      </c>
      <c r="W96" s="143" t="str">
        <f t="shared" si="2"/>
        <v/>
      </c>
      <c r="X96" s="139" t="str">
        <f>IFERROR(__xludf.DUMMYFUNCTION("""COMPUTED_VALUE"""),"")</f>
        <v/>
      </c>
      <c r="Y96" s="141" t="str">
        <f>IFERROR(__xludf.DUMMYFUNCTION("""COMPUTED_VALUE"""),"")</f>
        <v/>
      </c>
    </row>
    <row r="97">
      <c r="A97" s="144">
        <f>IFERROR(__xludf.DUMMYFUNCTION("""COMPUTED_VALUE"""),46071.84832153935)</f>
        <v>46071.84832</v>
      </c>
      <c r="B97" s="136" t="str">
        <f>IFERROR(__xludf.DUMMYFUNCTION("""COMPUTED_VALUE"""),"Maureen Surgot")</f>
        <v>Maureen Surgot</v>
      </c>
      <c r="C97" s="136" t="b">
        <f t="shared" si="3"/>
        <v>0</v>
      </c>
      <c r="D97" s="137">
        <f>IFERROR(__xludf.DUMMYFUNCTION("""COMPUTED_VALUE"""),0.6875)</f>
        <v>0.6875</v>
      </c>
      <c r="E97" s="106">
        <f>IFERROR(__xludf.DUMMYFUNCTION("""COMPUTED_VALUE"""),0.16666666666424135)</f>
        <v>0.1666666667</v>
      </c>
      <c r="F97" s="137">
        <f>IFERROR(__xludf.DUMMYFUNCTION("""COMPUTED_VALUE"""),0.8541666666642413)</f>
        <v>0.8541666667</v>
      </c>
      <c r="G97" s="106">
        <v>0.16666666666424135</v>
      </c>
      <c r="H97" s="136">
        <f>IFERROR(__xludf.DUMMYFUNCTION("""COMPUTED_VALUE"""),109.0)</f>
        <v>109</v>
      </c>
      <c r="I97" s="139">
        <v>27.25000000039654</v>
      </c>
      <c r="J97" s="136" t="s">
        <v>18</v>
      </c>
      <c r="K97" s="146">
        <f>IFERROR(__xludf.DUMMYFUNCTION("""COMPUTED_VALUE"""),46071.0)</f>
        <v>46071</v>
      </c>
      <c r="L97" s="136" t="str">
        <f t="shared" si="1"/>
        <v>Wednesday</v>
      </c>
      <c r="M97" s="136" t="str">
        <f>IFERROR(__xludf.DUMMYFUNCTION("""COMPUTED_VALUE"""),"BF")</f>
        <v>BF</v>
      </c>
      <c r="N97" s="141">
        <v>0.6132992327365728</v>
      </c>
      <c r="O97" s="136" t="str">
        <f>IFERROR(__xludf.DUMMYFUNCTION("""COMPUTED_VALUE"""),"")</f>
        <v/>
      </c>
      <c r="P97" s="136" t="str">
        <f>IFERROR(__xludf.DUMMYFUNCTION("""COMPUTED_VALUE"""),"")</f>
        <v/>
      </c>
      <c r="Q97" s="106" t="str">
        <f>IFERROR(__xludf.DUMMYFUNCTION("""COMPUTED_VALUE"""),"")</f>
        <v/>
      </c>
      <c r="R97" s="106" t="str">
        <f>IFERROR(__xludf.DUMMYFUNCTION("""COMPUTED_VALUE"""),"")</f>
        <v/>
      </c>
      <c r="S97" s="139" t="str">
        <f>IFERROR(__xludf.DUMMYFUNCTION("""COMPUTED_VALUE"""),"")</f>
        <v/>
      </c>
      <c r="T97" s="139" t="str">
        <f>IFERROR(__xludf.DUMMYFUNCTION("""COMPUTED_VALUE"""),"")</f>
        <v/>
      </c>
      <c r="U97" s="136" t="str">
        <f>IFERROR(__xludf.DUMMYFUNCTION("""COMPUTED_VALUE"""),"")</f>
        <v/>
      </c>
      <c r="V97" s="106" t="str">
        <f>IFERROR(__xludf.DUMMYFUNCTION("""COMPUTED_VALUE"""),"")</f>
        <v/>
      </c>
      <c r="W97" s="143" t="str">
        <f t="shared" si="2"/>
        <v/>
      </c>
      <c r="X97" s="139" t="str">
        <f>IFERROR(__xludf.DUMMYFUNCTION("""COMPUTED_VALUE"""),"")</f>
        <v/>
      </c>
      <c r="Y97" s="141" t="str">
        <f>IFERROR(__xludf.DUMMYFUNCTION("""COMPUTED_VALUE"""),"")</f>
        <v/>
      </c>
    </row>
    <row r="98">
      <c r="A98" s="144">
        <f>IFERROR(__xludf.DUMMYFUNCTION("""COMPUTED_VALUE"""),46071.86939287037)</f>
        <v>46071.86939</v>
      </c>
      <c r="B98" s="136" t="str">
        <f>IFERROR(__xludf.DUMMYFUNCTION("""COMPUTED_VALUE"""),"Brynn Hornig")</f>
        <v>Brynn Hornig</v>
      </c>
      <c r="C98" s="136" t="b">
        <f t="shared" si="3"/>
        <v>0</v>
      </c>
      <c r="D98" s="137">
        <f>IFERROR(__xludf.DUMMYFUNCTION("""COMPUTED_VALUE"""),0.75)</f>
        <v>0.75</v>
      </c>
      <c r="E98" s="106">
        <f>IFERROR(__xludf.DUMMYFUNCTION("""COMPUTED_VALUE"""),0.125)</f>
        <v>0.125</v>
      </c>
      <c r="F98" s="137">
        <f>IFERROR(__xludf.DUMMYFUNCTION("""COMPUTED_VALUE"""),0.875)</f>
        <v>0.875</v>
      </c>
      <c r="G98" s="106">
        <v>0.125</v>
      </c>
      <c r="H98" s="136">
        <f>IFERROR(__xludf.DUMMYFUNCTION("""COMPUTED_VALUE"""),209.0)</f>
        <v>209</v>
      </c>
      <c r="I98" s="139">
        <v>69.66666666666667</v>
      </c>
      <c r="J98" s="136" t="s">
        <v>18</v>
      </c>
      <c r="K98" s="146">
        <f>IFERROR(__xludf.DUMMYFUNCTION("""COMPUTED_VALUE"""),46071.0)</f>
        <v>46071</v>
      </c>
      <c r="L98" s="136" t="str">
        <f t="shared" si="1"/>
        <v>Wednesday</v>
      </c>
      <c r="M98" s="136" t="str">
        <f>IFERROR(__xludf.DUMMYFUNCTION("""COMPUTED_VALUE"""),"MF")</f>
        <v>MF</v>
      </c>
      <c r="N98" s="141">
        <v>1.4571734676275478</v>
      </c>
      <c r="O98" s="136">
        <f>IFERROR(__xludf.DUMMYFUNCTION("""COMPUTED_VALUE"""),343.0)</f>
        <v>343</v>
      </c>
      <c r="P98" s="136">
        <f>IFERROR(__xludf.DUMMYFUNCTION("""COMPUTED_VALUE"""),250.0)</f>
        <v>250</v>
      </c>
      <c r="Q98" s="106">
        <f>IFERROR(__xludf.DUMMYFUNCTION("""COMPUTED_VALUE"""),0.2291666666715173)</f>
        <v>0.2291666667</v>
      </c>
      <c r="R98" s="106">
        <f>IFERROR(__xludf.DUMMYFUNCTION("""COMPUTED_VALUE"""),0.33333333333575865)</f>
        <v>0.3333333333</v>
      </c>
      <c r="S98" s="139">
        <f>IFERROR(__xludf.DUMMYFUNCTION("""COMPUTED_VALUE"""),58.72222221980396)</f>
        <v>58.72222222</v>
      </c>
      <c r="T98" s="139">
        <f>IFERROR(__xludf.DUMMYFUNCTION("""COMPUTED_VALUE"""),33.40501165452307)</f>
        <v>33.40501165</v>
      </c>
      <c r="U98" s="136">
        <f>IFERROR(__xludf.DUMMYFUNCTION("""COMPUTED_VALUE"""),593.0)</f>
        <v>593</v>
      </c>
      <c r="V98" s="106">
        <f>IFERROR(__xludf.DUMMYFUNCTION("""COMPUTED_VALUE"""),0.562500000007276)</f>
        <v>0.5625</v>
      </c>
      <c r="W98" s="143">
        <f t="shared" si="2"/>
        <v>43.92592593</v>
      </c>
      <c r="X98" s="139">
        <f>IFERROR(__xludf.DUMMYFUNCTION("""COMPUTED_VALUE"""),46.063616937163516)</f>
        <v>46.06361694</v>
      </c>
      <c r="Y98" s="141">
        <f>IFERROR(__xludf.DUMMYFUNCTION("""COMPUTED_VALUE"""),0.9000771454964142)</f>
        <v>0.9000771455</v>
      </c>
    </row>
    <row r="99">
      <c r="A99" s="144">
        <f>IFERROR(__xludf.DUMMYFUNCTION("""COMPUTED_VALUE"""),46072.362981122686)</f>
        <v>46072.36298</v>
      </c>
      <c r="B99" s="136" t="str">
        <f>IFERROR(__xludf.DUMMYFUNCTION("""COMPUTED_VALUE"""),"Evan Morgan")</f>
        <v>Evan Morgan</v>
      </c>
      <c r="C99" s="136" t="b">
        <f t="shared" si="3"/>
        <v>0</v>
      </c>
      <c r="D99" s="137">
        <f>IFERROR(__xludf.DUMMYFUNCTION("""COMPUTED_VALUE"""),0.29166666666424135)</f>
        <v>0.2916666667</v>
      </c>
      <c r="E99" s="106">
        <f>IFERROR(__xludf.DUMMYFUNCTION("""COMPUTED_VALUE"""),0.0729166666715173)</f>
        <v>0.07291666667</v>
      </c>
      <c r="F99" s="137">
        <f>IFERROR(__xludf.DUMMYFUNCTION("""COMPUTED_VALUE"""),0.36458333333575865)</f>
        <v>0.3645833333</v>
      </c>
      <c r="G99" s="106">
        <v>0.0729166666715173</v>
      </c>
      <c r="H99" s="136">
        <f>IFERROR(__xludf.DUMMYFUNCTION("""COMPUTED_VALUE"""),16.0)</f>
        <v>16</v>
      </c>
      <c r="I99" s="139">
        <v>9.142857142248932</v>
      </c>
      <c r="J99" s="136" t="s">
        <v>12</v>
      </c>
      <c r="K99" s="146">
        <f>IFERROR(__xludf.DUMMYFUNCTION("""COMPUTED_VALUE"""),46072.0)</f>
        <v>46072</v>
      </c>
      <c r="L99" s="136" t="str">
        <f t="shared" si="1"/>
        <v>Thursday</v>
      </c>
      <c r="M99" s="136" t="str">
        <f>IFERROR(__xludf.DUMMYFUNCTION("""COMPUTED_VALUE"""),"BF")</f>
        <v>BF</v>
      </c>
      <c r="N99" s="141">
        <v>0.32249198349416547</v>
      </c>
      <c r="O99" s="136" t="str">
        <f>IFERROR(__xludf.DUMMYFUNCTION("""COMPUTED_VALUE"""),"")</f>
        <v/>
      </c>
      <c r="P99" s="136" t="str">
        <f>IFERROR(__xludf.DUMMYFUNCTION("""COMPUTED_VALUE"""),"")</f>
        <v/>
      </c>
      <c r="Q99" s="106" t="str">
        <f>IFERROR(__xludf.DUMMYFUNCTION("""COMPUTED_VALUE"""),"")</f>
        <v/>
      </c>
      <c r="R99" s="106" t="str">
        <f>IFERROR(__xludf.DUMMYFUNCTION("""COMPUTED_VALUE"""),"")</f>
        <v/>
      </c>
      <c r="S99" s="139" t="str">
        <f>IFERROR(__xludf.DUMMYFUNCTION("""COMPUTED_VALUE"""),"")</f>
        <v/>
      </c>
      <c r="T99" s="139" t="str">
        <f>IFERROR(__xludf.DUMMYFUNCTION("""COMPUTED_VALUE"""),"")</f>
        <v/>
      </c>
      <c r="U99" s="136" t="str">
        <f>IFERROR(__xludf.DUMMYFUNCTION("""COMPUTED_VALUE"""),"")</f>
        <v/>
      </c>
      <c r="V99" s="106" t="str">
        <f>IFERROR(__xludf.DUMMYFUNCTION("""COMPUTED_VALUE"""),"")</f>
        <v/>
      </c>
      <c r="W99" s="143" t="str">
        <f t="shared" si="2"/>
        <v/>
      </c>
      <c r="X99" s="139" t="str">
        <f>IFERROR(__xludf.DUMMYFUNCTION("""COMPUTED_VALUE"""),"")</f>
        <v/>
      </c>
      <c r="Y99" s="141" t="str">
        <f>IFERROR(__xludf.DUMMYFUNCTION("""COMPUTED_VALUE"""),"")</f>
        <v/>
      </c>
    </row>
    <row r="100">
      <c r="A100" s="144">
        <f>IFERROR(__xludf.DUMMYFUNCTION("""COMPUTED_VALUE"""),46072.4230256713)</f>
        <v>46072.42303</v>
      </c>
      <c r="B100" s="136" t="str">
        <f>IFERROR(__xludf.DUMMYFUNCTION("""COMPUTED_VALUE"""),"Sophia Kluck")</f>
        <v>Sophia Kluck</v>
      </c>
      <c r="C100" s="136" t="b">
        <f t="shared" si="3"/>
        <v>0</v>
      </c>
      <c r="D100" s="137">
        <f>IFERROR(__xludf.DUMMYFUNCTION("""COMPUTED_VALUE"""),0.36458333333575865)</f>
        <v>0.3645833333</v>
      </c>
      <c r="E100" s="106">
        <f>IFERROR(__xludf.DUMMYFUNCTION("""COMPUTED_VALUE"""),0.05277777777519077)</f>
        <v>0.05277777778</v>
      </c>
      <c r="F100" s="137">
        <f>IFERROR(__xludf.DUMMYFUNCTION("""COMPUTED_VALUE"""),0.4173611111109494)</f>
        <v>0.4173611111</v>
      </c>
      <c r="G100" s="106">
        <v>0.10763888888322981</v>
      </c>
      <c r="H100" s="136">
        <f>IFERROR(__xludf.DUMMYFUNCTION("""COMPUTED_VALUE"""),64.0)</f>
        <v>64</v>
      </c>
      <c r="I100" s="139">
        <v>45.29032258302628</v>
      </c>
      <c r="J100" s="136" t="s">
        <v>12</v>
      </c>
      <c r="K100" s="146">
        <f>IFERROR(__xludf.DUMMYFUNCTION("""COMPUTED_VALUE"""),46072.0)</f>
        <v>46072</v>
      </c>
      <c r="L100" s="136" t="str">
        <f t="shared" si="1"/>
        <v>Thursday</v>
      </c>
      <c r="M100" s="136" t="str">
        <f>IFERROR(__xludf.DUMMYFUNCTION("""COMPUTED_VALUE"""),"BF")</f>
        <v>BF</v>
      </c>
      <c r="N100" s="141">
        <v>1.5975056522974458</v>
      </c>
      <c r="O100" s="136" t="str">
        <f>IFERROR(__xludf.DUMMYFUNCTION("""COMPUTED_VALUE"""),"")</f>
        <v/>
      </c>
      <c r="P100" s="136" t="str">
        <f>IFERROR(__xludf.DUMMYFUNCTION("""COMPUTED_VALUE"""),"")</f>
        <v/>
      </c>
      <c r="Q100" s="106" t="str">
        <f>IFERROR(__xludf.DUMMYFUNCTION("""COMPUTED_VALUE"""),"")</f>
        <v/>
      </c>
      <c r="R100" s="106" t="str">
        <f>IFERROR(__xludf.DUMMYFUNCTION("""COMPUTED_VALUE"""),"")</f>
        <v/>
      </c>
      <c r="S100" s="139" t="str">
        <f>IFERROR(__xludf.DUMMYFUNCTION("""COMPUTED_VALUE"""),"")</f>
        <v/>
      </c>
      <c r="T100" s="139" t="str">
        <f>IFERROR(__xludf.DUMMYFUNCTION("""COMPUTED_VALUE"""),"")</f>
        <v/>
      </c>
      <c r="U100" s="136" t="str">
        <f>IFERROR(__xludf.DUMMYFUNCTION("""COMPUTED_VALUE"""),"")</f>
        <v/>
      </c>
      <c r="V100" s="106" t="str">
        <f>IFERROR(__xludf.DUMMYFUNCTION("""COMPUTED_VALUE"""),"")</f>
        <v/>
      </c>
      <c r="W100" s="143" t="str">
        <f t="shared" si="2"/>
        <v/>
      </c>
      <c r="X100" s="139" t="str">
        <f>IFERROR(__xludf.DUMMYFUNCTION("""COMPUTED_VALUE"""),"")</f>
        <v/>
      </c>
      <c r="Y100" s="141" t="str">
        <f>IFERROR(__xludf.DUMMYFUNCTION("""COMPUTED_VALUE"""),"")</f>
        <v/>
      </c>
    </row>
    <row r="101">
      <c r="A101" s="144">
        <f>IFERROR(__xludf.DUMMYFUNCTION("""COMPUTED_VALUE"""),46072.48012951389)</f>
        <v>46072.48013</v>
      </c>
      <c r="B101" s="136" t="str">
        <f>IFERROR(__xludf.DUMMYFUNCTION("""COMPUTED_VALUE"""),"Sophia Kluck")</f>
        <v>Sophia Kluck</v>
      </c>
      <c r="C101" s="136" t="b">
        <f t="shared" si="3"/>
        <v>1</v>
      </c>
      <c r="D101" s="137">
        <f>IFERROR(__xludf.DUMMYFUNCTION("""COMPUTED_VALUE"""),0.42013888889050577)</f>
        <v>0.4201388889</v>
      </c>
      <c r="E101" s="106">
        <f>IFERROR(__xludf.DUMMYFUNCTION("""COMPUTED_VALUE"""),0.05486111110803904)</f>
        <v>0.05486111111</v>
      </c>
      <c r="F101" s="137">
        <f>IFERROR(__xludf.DUMMYFUNCTION("""COMPUTED_VALUE"""),0.4749999999985448)</f>
        <v>0.475</v>
      </c>
      <c r="G101" s="106" t="s">
        <v>133</v>
      </c>
      <c r="H101" s="136">
        <f>IFERROR(__xludf.DUMMYFUNCTION("""COMPUTED_VALUE"""),53.0)</f>
        <v>53</v>
      </c>
      <c r="I101" s="139" t="s">
        <v>133</v>
      </c>
      <c r="J101" s="136" t="s">
        <v>134</v>
      </c>
      <c r="K101" s="146">
        <f>IFERROR(__xludf.DUMMYFUNCTION("""COMPUTED_VALUE"""),46072.0)</f>
        <v>46072</v>
      </c>
      <c r="L101" s="136" t="str">
        <f t="shared" si="1"/>
        <v>Thursday</v>
      </c>
      <c r="M101" s="136" t="str">
        <f>IFERROR(__xludf.DUMMYFUNCTION("""COMPUTED_VALUE"""),"BF")</f>
        <v>BF</v>
      </c>
      <c r="N101" s="141" t="s">
        <v>133</v>
      </c>
      <c r="O101" s="136" t="str">
        <f>IFERROR(__xludf.DUMMYFUNCTION("""COMPUTED_VALUE"""),"")</f>
        <v/>
      </c>
      <c r="P101" s="136" t="str">
        <f>IFERROR(__xludf.DUMMYFUNCTION("""COMPUTED_VALUE"""),"")</f>
        <v/>
      </c>
      <c r="Q101" s="106" t="str">
        <f>IFERROR(__xludf.DUMMYFUNCTION("""COMPUTED_VALUE"""),"")</f>
        <v/>
      </c>
      <c r="R101" s="106" t="str">
        <f>IFERROR(__xludf.DUMMYFUNCTION("""COMPUTED_VALUE"""),"")</f>
        <v/>
      </c>
      <c r="S101" s="139" t="str">
        <f>IFERROR(__xludf.DUMMYFUNCTION("""COMPUTED_VALUE"""),"")</f>
        <v/>
      </c>
      <c r="T101" s="139" t="str">
        <f>IFERROR(__xludf.DUMMYFUNCTION("""COMPUTED_VALUE"""),"")</f>
        <v/>
      </c>
      <c r="U101" s="136" t="str">
        <f>IFERROR(__xludf.DUMMYFUNCTION("""COMPUTED_VALUE"""),"")</f>
        <v/>
      </c>
      <c r="V101" s="106" t="str">
        <f>IFERROR(__xludf.DUMMYFUNCTION("""COMPUTED_VALUE"""),"")</f>
        <v/>
      </c>
      <c r="W101" s="143" t="str">
        <f t="shared" si="2"/>
        <v/>
      </c>
      <c r="X101" s="139" t="str">
        <f>IFERROR(__xludf.DUMMYFUNCTION("""COMPUTED_VALUE"""),"")</f>
        <v/>
      </c>
      <c r="Y101" s="141" t="str">
        <f>IFERROR(__xludf.DUMMYFUNCTION("""COMPUTED_VALUE"""),"")</f>
        <v/>
      </c>
    </row>
    <row r="102">
      <c r="A102" s="144">
        <f>IFERROR(__xludf.DUMMYFUNCTION("""COMPUTED_VALUE"""),46072.52297233796)</f>
        <v>46072.52297</v>
      </c>
      <c r="B102" s="136" t="str">
        <f>IFERROR(__xludf.DUMMYFUNCTION("""COMPUTED_VALUE"""),"Emmett Khan")</f>
        <v>Emmett Khan</v>
      </c>
      <c r="C102" s="136" t="b">
        <f t="shared" si="3"/>
        <v>0</v>
      </c>
      <c r="D102" s="137">
        <f>IFERROR(__xludf.DUMMYFUNCTION("""COMPUTED_VALUE"""),0.47916666666424135)</f>
        <v>0.4791666667</v>
      </c>
      <c r="E102" s="106">
        <f>IFERROR(__xludf.DUMMYFUNCTION("""COMPUTED_VALUE"""),0.05208333333575865)</f>
        <v>0.05208333334</v>
      </c>
      <c r="F102" s="137">
        <f>IFERROR(__xludf.DUMMYFUNCTION("""COMPUTED_VALUE"""),0.53125)</f>
        <v>0.53125</v>
      </c>
      <c r="G102" s="106">
        <v>0.05208333333575865</v>
      </c>
      <c r="H102" s="136">
        <f>IFERROR(__xludf.DUMMYFUNCTION("""COMPUTED_VALUE"""),36.0)</f>
        <v>36</v>
      </c>
      <c r="I102" s="139">
        <v>28.799999998658894</v>
      </c>
      <c r="J102" s="136" t="s">
        <v>15</v>
      </c>
      <c r="K102" s="146">
        <f>IFERROR(__xludf.DUMMYFUNCTION("""COMPUTED_VALUE"""),46072.0)</f>
        <v>46072</v>
      </c>
      <c r="L102" s="136" t="str">
        <f t="shared" si="1"/>
        <v>Thursday</v>
      </c>
      <c r="M102" s="136" t="str">
        <f>IFERROR(__xludf.DUMMYFUNCTION("""COMPUTED_VALUE"""),"MF")</f>
        <v>MF</v>
      </c>
      <c r="N102" s="141">
        <v>0.5728209086333865</v>
      </c>
      <c r="O102" s="136" t="str">
        <f>IFERROR(__xludf.DUMMYFUNCTION("""COMPUTED_VALUE"""),"")</f>
        <v/>
      </c>
      <c r="P102" s="136" t="str">
        <f>IFERROR(__xludf.DUMMYFUNCTION("""COMPUTED_VALUE"""),"")</f>
        <v/>
      </c>
      <c r="Q102" s="106" t="str">
        <f>IFERROR(__xludf.DUMMYFUNCTION("""COMPUTED_VALUE"""),"")</f>
        <v/>
      </c>
      <c r="R102" s="106" t="str">
        <f>IFERROR(__xludf.DUMMYFUNCTION("""COMPUTED_VALUE"""),"")</f>
        <v/>
      </c>
      <c r="S102" s="139" t="str">
        <f>IFERROR(__xludf.DUMMYFUNCTION("""COMPUTED_VALUE"""),"")</f>
        <v/>
      </c>
      <c r="T102" s="139" t="str">
        <f>IFERROR(__xludf.DUMMYFUNCTION("""COMPUTED_VALUE"""),"")</f>
        <v/>
      </c>
      <c r="U102" s="136" t="str">
        <f>IFERROR(__xludf.DUMMYFUNCTION("""COMPUTED_VALUE"""),"")</f>
        <v/>
      </c>
      <c r="V102" s="106" t="str">
        <f>IFERROR(__xludf.DUMMYFUNCTION("""COMPUTED_VALUE"""),"")</f>
        <v/>
      </c>
      <c r="W102" s="143" t="str">
        <f t="shared" si="2"/>
        <v/>
      </c>
      <c r="X102" s="139" t="str">
        <f>IFERROR(__xludf.DUMMYFUNCTION("""COMPUTED_VALUE"""),"")</f>
        <v/>
      </c>
      <c r="Y102" s="141" t="str">
        <f>IFERROR(__xludf.DUMMYFUNCTION("""COMPUTED_VALUE"""),"")</f>
        <v/>
      </c>
    </row>
    <row r="103">
      <c r="A103" s="144">
        <f>IFERROR(__xludf.DUMMYFUNCTION("""COMPUTED_VALUE"""),46072.54057175926)</f>
        <v>46072.54057</v>
      </c>
      <c r="B103" s="136" t="str">
        <f>IFERROR(__xludf.DUMMYFUNCTION("""COMPUTED_VALUE"""),"Kyra Turner")</f>
        <v>Kyra Turner</v>
      </c>
      <c r="C103" s="136" t="b">
        <f t="shared" si="3"/>
        <v>0</v>
      </c>
      <c r="D103" s="137">
        <f>IFERROR(__xludf.DUMMYFUNCTION("""COMPUTED_VALUE"""),0.5034722222189885)</f>
        <v>0.5034722222</v>
      </c>
      <c r="E103" s="106">
        <f>IFERROR(__xludf.DUMMYFUNCTION("""COMPUTED_VALUE"""),0.03333333334012423)</f>
        <v>0.03333333334</v>
      </c>
      <c r="F103" s="137">
        <f>IFERROR(__xludf.DUMMYFUNCTION("""COMPUTED_VALUE"""),0.5368055555591127)</f>
        <v>0.5368055556</v>
      </c>
      <c r="G103" s="106">
        <v>0.1263888889006921</v>
      </c>
      <c r="H103" s="136">
        <f>IFERROR(__xludf.DUMMYFUNCTION("""COMPUTED_VALUE"""),42.0)</f>
        <v>42</v>
      </c>
      <c r="I103" s="139">
        <v>41.2087912049428</v>
      </c>
      <c r="J103" s="136" t="s">
        <v>15</v>
      </c>
      <c r="K103" s="146">
        <f>IFERROR(__xludf.DUMMYFUNCTION("""COMPUTED_VALUE"""),46072.0)</f>
        <v>46072</v>
      </c>
      <c r="L103" s="136" t="str">
        <f t="shared" si="1"/>
        <v>Thursday</v>
      </c>
      <c r="M103" s="136" t="str">
        <f>IFERROR(__xludf.DUMMYFUNCTION("""COMPUTED_VALUE"""),"BF")</f>
        <v>BF</v>
      </c>
      <c r="N103" s="141">
        <v>1.4535395890272012</v>
      </c>
      <c r="O103" s="136" t="str">
        <f>IFERROR(__xludf.DUMMYFUNCTION("""COMPUTED_VALUE"""),"")</f>
        <v/>
      </c>
      <c r="P103" s="136" t="str">
        <f>IFERROR(__xludf.DUMMYFUNCTION("""COMPUTED_VALUE"""),"")</f>
        <v/>
      </c>
      <c r="Q103" s="106" t="str">
        <f>IFERROR(__xludf.DUMMYFUNCTION("""COMPUTED_VALUE"""),"")</f>
        <v/>
      </c>
      <c r="R103" s="106" t="str">
        <f>IFERROR(__xludf.DUMMYFUNCTION("""COMPUTED_VALUE"""),"")</f>
        <v/>
      </c>
      <c r="S103" s="139" t="str">
        <f>IFERROR(__xludf.DUMMYFUNCTION("""COMPUTED_VALUE"""),"")</f>
        <v/>
      </c>
      <c r="T103" s="139" t="str">
        <f>IFERROR(__xludf.DUMMYFUNCTION("""COMPUTED_VALUE"""),"")</f>
        <v/>
      </c>
      <c r="U103" s="136" t="str">
        <f>IFERROR(__xludf.DUMMYFUNCTION("""COMPUTED_VALUE"""),"")</f>
        <v/>
      </c>
      <c r="V103" s="106" t="str">
        <f>IFERROR(__xludf.DUMMYFUNCTION("""COMPUTED_VALUE"""),"")</f>
        <v/>
      </c>
      <c r="W103" s="143" t="str">
        <f t="shared" si="2"/>
        <v/>
      </c>
      <c r="X103" s="139" t="str">
        <f>IFERROR(__xludf.DUMMYFUNCTION("""COMPUTED_VALUE"""),"")</f>
        <v/>
      </c>
      <c r="Y103" s="141" t="str">
        <f>IFERROR(__xludf.DUMMYFUNCTION("""COMPUTED_VALUE"""),"")</f>
        <v/>
      </c>
    </row>
    <row r="104">
      <c r="A104" s="144">
        <f>IFERROR(__xludf.DUMMYFUNCTION("""COMPUTED_VALUE"""),46072.57008070602)</f>
        <v>46072.57008</v>
      </c>
      <c r="B104" s="136" t="str">
        <f>IFERROR(__xludf.DUMMYFUNCTION("""COMPUTED_VALUE"""),"Kyra Turner")</f>
        <v>Kyra Turner</v>
      </c>
      <c r="C104" s="136" t="b">
        <f t="shared" si="3"/>
        <v>1</v>
      </c>
      <c r="D104" s="137">
        <f>IFERROR(__xludf.DUMMYFUNCTION("""COMPUTED_VALUE"""),0.538888888884685)</f>
        <v>0.5388888889</v>
      </c>
      <c r="E104" s="106">
        <f>IFERROR(__xludf.DUMMYFUNCTION("""COMPUTED_VALUE"""),0.030555555560567882)</f>
        <v>0.03055555556</v>
      </c>
      <c r="F104" s="137">
        <f>IFERROR(__xludf.DUMMYFUNCTION("""COMPUTED_VALUE"""),0.5694444444452529)</f>
        <v>0.5694444444</v>
      </c>
      <c r="G104" s="106" t="s">
        <v>133</v>
      </c>
      <c r="H104" s="136">
        <f>IFERROR(__xludf.DUMMYFUNCTION("""COMPUTED_VALUE"""),37.0)</f>
        <v>37</v>
      </c>
      <c r="I104" s="139" t="s">
        <v>133</v>
      </c>
      <c r="J104" s="136" t="s">
        <v>15</v>
      </c>
      <c r="K104" s="146">
        <f>IFERROR(__xludf.DUMMYFUNCTION("""COMPUTED_VALUE"""),46072.0)</f>
        <v>46072</v>
      </c>
      <c r="L104" s="136" t="str">
        <f t="shared" si="1"/>
        <v>Thursday</v>
      </c>
      <c r="M104" s="136" t="str">
        <f>IFERROR(__xludf.DUMMYFUNCTION("""COMPUTED_VALUE"""),"BF")</f>
        <v>BF</v>
      </c>
      <c r="N104" s="141" t="s">
        <v>133</v>
      </c>
      <c r="O104" s="136" t="str">
        <f>IFERROR(__xludf.DUMMYFUNCTION("""COMPUTED_VALUE"""),"")</f>
        <v/>
      </c>
      <c r="P104" s="136" t="str">
        <f>IFERROR(__xludf.DUMMYFUNCTION("""COMPUTED_VALUE"""),"")</f>
        <v/>
      </c>
      <c r="Q104" s="106" t="str">
        <f>IFERROR(__xludf.DUMMYFUNCTION("""COMPUTED_VALUE"""),"")</f>
        <v/>
      </c>
      <c r="R104" s="106" t="str">
        <f>IFERROR(__xludf.DUMMYFUNCTION("""COMPUTED_VALUE"""),"")</f>
        <v/>
      </c>
      <c r="S104" s="139" t="str">
        <f>IFERROR(__xludf.DUMMYFUNCTION("""COMPUTED_VALUE"""),"")</f>
        <v/>
      </c>
      <c r="T104" s="139" t="str">
        <f>IFERROR(__xludf.DUMMYFUNCTION("""COMPUTED_VALUE"""),"")</f>
        <v/>
      </c>
      <c r="U104" s="136" t="str">
        <f>IFERROR(__xludf.DUMMYFUNCTION("""COMPUTED_VALUE"""),"")</f>
        <v/>
      </c>
      <c r="V104" s="106" t="str">
        <f>IFERROR(__xludf.DUMMYFUNCTION("""COMPUTED_VALUE"""),"")</f>
        <v/>
      </c>
      <c r="W104" s="143" t="str">
        <f t="shared" si="2"/>
        <v/>
      </c>
      <c r="X104" s="139" t="str">
        <f>IFERROR(__xludf.DUMMYFUNCTION("""COMPUTED_VALUE"""),"")</f>
        <v/>
      </c>
      <c r="Y104" s="141" t="str">
        <f>IFERROR(__xludf.DUMMYFUNCTION("""COMPUTED_VALUE"""),"")</f>
        <v/>
      </c>
    </row>
    <row r="105">
      <c r="A105" s="144">
        <f>IFERROR(__xludf.DUMMYFUNCTION("""COMPUTED_VALUE"""),46072.64471570602)</f>
        <v>46072.64472</v>
      </c>
      <c r="B105" s="136" t="str">
        <f>IFERROR(__xludf.DUMMYFUNCTION("""COMPUTED_VALUE"""),"Kyra Turner")</f>
        <v>Kyra Turner</v>
      </c>
      <c r="C105" s="136" t="b">
        <f t="shared" si="3"/>
        <v>1</v>
      </c>
      <c r="D105" s="137">
        <f>IFERROR(__xludf.DUMMYFUNCTION("""COMPUTED_VALUE"""),0.5819444444423425)</f>
        <v>0.5819444444</v>
      </c>
      <c r="E105" s="106">
        <f>IFERROR(__xludf.DUMMYFUNCTION("""COMPUTED_VALUE"""),0.0625)</f>
        <v>0.0625</v>
      </c>
      <c r="F105" s="137">
        <f>IFERROR(__xludf.DUMMYFUNCTION("""COMPUTED_VALUE"""),0.6444444444423425)</f>
        <v>0.6444444444</v>
      </c>
      <c r="G105" s="106" t="s">
        <v>133</v>
      </c>
      <c r="H105" s="136">
        <f>IFERROR(__xludf.DUMMYFUNCTION("""COMPUTED_VALUE"""),46.0)</f>
        <v>46</v>
      </c>
      <c r="I105" s="139" t="s">
        <v>133</v>
      </c>
      <c r="J105" s="136" t="s">
        <v>15</v>
      </c>
      <c r="K105" s="146">
        <f>IFERROR(__xludf.DUMMYFUNCTION("""COMPUTED_VALUE"""),46072.0)</f>
        <v>46072</v>
      </c>
      <c r="L105" s="136" t="str">
        <f t="shared" si="1"/>
        <v>Thursday</v>
      </c>
      <c r="M105" s="136" t="str">
        <f>IFERROR(__xludf.DUMMYFUNCTION("""COMPUTED_VALUE"""),"BF")</f>
        <v>BF</v>
      </c>
      <c r="N105" s="141" t="s">
        <v>133</v>
      </c>
      <c r="O105" s="136" t="str">
        <f>IFERROR(__xludf.DUMMYFUNCTION("""COMPUTED_VALUE"""),"")</f>
        <v/>
      </c>
      <c r="P105" s="136" t="str">
        <f>IFERROR(__xludf.DUMMYFUNCTION("""COMPUTED_VALUE"""),"")</f>
        <v/>
      </c>
      <c r="Q105" s="106" t="str">
        <f>IFERROR(__xludf.DUMMYFUNCTION("""COMPUTED_VALUE"""),"")</f>
        <v/>
      </c>
      <c r="R105" s="106" t="str">
        <f>IFERROR(__xludf.DUMMYFUNCTION("""COMPUTED_VALUE"""),"")</f>
        <v/>
      </c>
      <c r="S105" s="139" t="str">
        <f>IFERROR(__xludf.DUMMYFUNCTION("""COMPUTED_VALUE"""),"")</f>
        <v/>
      </c>
      <c r="T105" s="139" t="str">
        <f>IFERROR(__xludf.DUMMYFUNCTION("""COMPUTED_VALUE"""),"")</f>
        <v/>
      </c>
      <c r="U105" s="136" t="str">
        <f>IFERROR(__xludf.DUMMYFUNCTION("""COMPUTED_VALUE"""),"")</f>
        <v/>
      </c>
      <c r="V105" s="106" t="str">
        <f>IFERROR(__xludf.DUMMYFUNCTION("""COMPUTED_VALUE"""),"")</f>
        <v/>
      </c>
      <c r="W105" s="143" t="str">
        <f t="shared" si="2"/>
        <v/>
      </c>
      <c r="X105" s="139" t="str">
        <f>IFERROR(__xludf.DUMMYFUNCTION("""COMPUTED_VALUE"""),"")</f>
        <v/>
      </c>
      <c r="Y105" s="141" t="str">
        <f>IFERROR(__xludf.DUMMYFUNCTION("""COMPUTED_VALUE"""),"")</f>
        <v/>
      </c>
    </row>
    <row r="106">
      <c r="A106" s="144">
        <f>IFERROR(__xludf.DUMMYFUNCTION("""COMPUTED_VALUE"""),46072.79366790509)</f>
        <v>46072.79367</v>
      </c>
      <c r="B106" s="136" t="str">
        <f>IFERROR(__xludf.DUMMYFUNCTION("""COMPUTED_VALUE"""),"Emmett Khan")</f>
        <v>Emmett Khan</v>
      </c>
      <c r="C106" s="136" t="b">
        <f t="shared" si="3"/>
        <v>0</v>
      </c>
      <c r="D106" s="137">
        <f>IFERROR(__xludf.DUMMYFUNCTION("""COMPUTED_VALUE"""),0.7083333333357587)</f>
        <v>0.7083333333</v>
      </c>
      <c r="E106" s="106">
        <f>IFERROR(__xludf.DUMMYFUNCTION("""COMPUTED_VALUE"""),0.0625)</f>
        <v>0.0625</v>
      </c>
      <c r="F106" s="137">
        <f>IFERROR(__xludf.DUMMYFUNCTION("""COMPUTED_VALUE"""),0.7708333333357587)</f>
        <v>0.7708333333</v>
      </c>
      <c r="G106" s="106">
        <v>0.09027777778101154</v>
      </c>
      <c r="H106" s="136">
        <f>IFERROR(__xludf.DUMMYFUNCTION("""COMPUTED_VALUE"""),306.0)</f>
        <v>306</v>
      </c>
      <c r="I106" s="139">
        <v>178.15384614746466</v>
      </c>
      <c r="J106" s="136" t="s">
        <v>18</v>
      </c>
      <c r="K106" s="146">
        <f>IFERROR(__xludf.DUMMYFUNCTION("""COMPUTED_VALUE"""),46072.0)</f>
        <v>46072</v>
      </c>
      <c r="L106" s="136" t="str">
        <f t="shared" si="1"/>
        <v>Thursday</v>
      </c>
      <c r="M106" s="136" t="str">
        <f>IFERROR(__xludf.DUMMYFUNCTION("""COMPUTED_VALUE"""),"MF")</f>
        <v>MF</v>
      </c>
      <c r="N106" s="141">
        <v>3.726330972658647</v>
      </c>
      <c r="O106" s="136" t="str">
        <f>IFERROR(__xludf.DUMMYFUNCTION("""COMPUTED_VALUE"""),"")</f>
        <v/>
      </c>
      <c r="P106" s="136" t="str">
        <f>IFERROR(__xludf.DUMMYFUNCTION("""COMPUTED_VALUE"""),"")</f>
        <v/>
      </c>
      <c r="Q106" s="106" t="str">
        <f>IFERROR(__xludf.DUMMYFUNCTION("""COMPUTED_VALUE"""),"")</f>
        <v/>
      </c>
      <c r="R106" s="106" t="str">
        <f>IFERROR(__xludf.DUMMYFUNCTION("""COMPUTED_VALUE"""),"")</f>
        <v/>
      </c>
      <c r="S106" s="139" t="str">
        <f>IFERROR(__xludf.DUMMYFUNCTION("""COMPUTED_VALUE"""),"")</f>
        <v/>
      </c>
      <c r="T106" s="139" t="str">
        <f>IFERROR(__xludf.DUMMYFUNCTION("""COMPUTED_VALUE"""),"")</f>
        <v/>
      </c>
      <c r="U106" s="136" t="str">
        <f>IFERROR(__xludf.DUMMYFUNCTION("""COMPUTED_VALUE"""),"")</f>
        <v/>
      </c>
      <c r="V106" s="106" t="str">
        <f>IFERROR(__xludf.DUMMYFUNCTION("""COMPUTED_VALUE"""),"")</f>
        <v/>
      </c>
      <c r="W106" s="143" t="str">
        <f t="shared" si="2"/>
        <v/>
      </c>
      <c r="X106" s="139" t="str">
        <f>IFERROR(__xludf.DUMMYFUNCTION("""COMPUTED_VALUE"""),"")</f>
        <v/>
      </c>
      <c r="Y106" s="141" t="str">
        <f>IFERROR(__xludf.DUMMYFUNCTION("""COMPUTED_VALUE"""),"")</f>
        <v/>
      </c>
    </row>
    <row r="107">
      <c r="A107" s="144">
        <f>IFERROR(__xludf.DUMMYFUNCTION("""COMPUTED_VALUE"""),46072.794255659726)</f>
        <v>46072.79426</v>
      </c>
      <c r="B107" s="136" t="str">
        <f>IFERROR(__xludf.DUMMYFUNCTION("""COMPUTED_VALUE"""),"Emmett Khan")</f>
        <v>Emmett Khan</v>
      </c>
      <c r="C107" s="136" t="b">
        <f t="shared" si="3"/>
        <v>1</v>
      </c>
      <c r="D107" s="137">
        <f>IFERROR(__xludf.DUMMYFUNCTION("""COMPUTED_VALUE"""),0.7604166666642413)</f>
        <v>0.7604166667</v>
      </c>
      <c r="E107" s="106">
        <f>IFERROR(__xludf.DUMMYFUNCTION("""COMPUTED_VALUE"""),0.027777777781011537)</f>
        <v>0.02777777778</v>
      </c>
      <c r="F107" s="137">
        <f>IFERROR(__xludf.DUMMYFUNCTION("""COMPUTED_VALUE"""),0.7881944444452529)</f>
        <v>0.7881944444</v>
      </c>
      <c r="G107" s="106" t="s">
        <v>133</v>
      </c>
      <c r="H107" s="136">
        <f>IFERROR(__xludf.DUMMYFUNCTION("""COMPUTED_VALUE"""),80.0)</f>
        <v>80</v>
      </c>
      <c r="I107" s="139" t="s">
        <v>133</v>
      </c>
      <c r="J107" s="136" t="s">
        <v>18</v>
      </c>
      <c r="K107" s="146">
        <f>IFERROR(__xludf.DUMMYFUNCTION("""COMPUTED_VALUE"""),46072.0)</f>
        <v>46072</v>
      </c>
      <c r="L107" s="136" t="str">
        <f t="shared" si="1"/>
        <v>Thursday</v>
      </c>
      <c r="M107" s="136" t="str">
        <f>IFERROR(__xludf.DUMMYFUNCTION("""COMPUTED_VALUE"""),"MF")</f>
        <v>MF</v>
      </c>
      <c r="N107" s="141" t="s">
        <v>133</v>
      </c>
      <c r="O107" s="136">
        <f>IFERROR(__xludf.DUMMYFUNCTION("""COMPUTED_VALUE"""),422.0)</f>
        <v>422</v>
      </c>
      <c r="P107" s="136">
        <f>IFERROR(__xludf.DUMMYFUNCTION("""COMPUTED_VALUE"""),258.0)</f>
        <v>258</v>
      </c>
      <c r="Q107" s="106">
        <f>IFERROR(__xludf.DUMMYFUNCTION("""COMPUTED_VALUE"""),0.1423611111167702)</f>
        <v>0.1423611111</v>
      </c>
      <c r="R107" s="106">
        <f>IFERROR(__xludf.DUMMYFUNCTION("""COMPUTED_VALUE"""),0.3069444444554392)</f>
        <v>0.3069444445</v>
      </c>
      <c r="S107" s="139">
        <f>IFERROR(__xludf.DUMMYFUNCTION("""COMPUTED_VALUE"""),103.47692307306178)</f>
        <v>103.4769231</v>
      </c>
      <c r="T107" s="139">
        <f>IFERROR(__xludf.DUMMYFUNCTION("""COMPUTED_VALUE"""),31.880656976739335)</f>
        <v>31.88065698</v>
      </c>
      <c r="U107" s="136">
        <f>IFERROR(__xludf.DUMMYFUNCTION("""COMPUTED_VALUE"""),680.0)</f>
        <v>680</v>
      </c>
      <c r="V107" s="106">
        <f>IFERROR(__xludf.DUMMYFUNCTION("""COMPUTED_VALUE"""),0.4493055555722094)</f>
        <v>0.4493055556</v>
      </c>
      <c r="W107" s="143">
        <f t="shared" si="2"/>
        <v>63.0602782</v>
      </c>
      <c r="X107" s="139">
        <f>IFERROR(__xludf.DUMMYFUNCTION("""COMPUTED_VALUE"""),60.519163415268316)</f>
        <v>60.51916342</v>
      </c>
      <c r="Y107" s="141">
        <f>IFERROR(__xludf.DUMMYFUNCTION("""COMPUTED_VALUE"""),0.6905112251139742)</f>
        <v>0.6905112251</v>
      </c>
    </row>
    <row r="108">
      <c r="A108" s="144">
        <f>IFERROR(__xludf.DUMMYFUNCTION("""COMPUTED_VALUE"""),46073.580546921294)</f>
        <v>46073.58055</v>
      </c>
      <c r="B108" s="136" t="str">
        <f>IFERROR(__xludf.DUMMYFUNCTION("""COMPUTED_VALUE"""),"Brynn Hornig")</f>
        <v>Brynn Hornig</v>
      </c>
      <c r="C108" s="136" t="b">
        <f t="shared" si="3"/>
        <v>0</v>
      </c>
      <c r="D108" s="137">
        <f>IFERROR(__xludf.DUMMYFUNCTION("""COMPUTED_VALUE"""),0.4618055555555556)</f>
        <v>0.4618055556</v>
      </c>
      <c r="E108" s="106">
        <f>IFERROR(__xludf.DUMMYFUNCTION("""COMPUTED_VALUE"""),0.12152777778020307)</f>
        <v>0.1215277778</v>
      </c>
      <c r="F108" s="137">
        <f>IFERROR(__xludf.DUMMYFUNCTION("""COMPUTED_VALUE"""),0.5833333333357587)</f>
        <v>0.5833333333</v>
      </c>
      <c r="G108" s="106">
        <v>0.12152777778020307</v>
      </c>
      <c r="H108" s="136">
        <f>IFERROR(__xludf.DUMMYFUNCTION("""COMPUTED_VALUE"""),82.0)</f>
        <v>82</v>
      </c>
      <c r="I108" s="139">
        <v>28.114285713724644</v>
      </c>
      <c r="J108" s="136" t="s">
        <v>15</v>
      </c>
      <c r="K108" s="146">
        <f>IFERROR(__xludf.DUMMYFUNCTION("""COMPUTED_VALUE"""),46073.0)</f>
        <v>46073</v>
      </c>
      <c r="L108" s="136" t="str">
        <f t="shared" si="1"/>
        <v>Friday</v>
      </c>
      <c r="M108" s="136" t="str">
        <f>IFERROR(__xludf.DUMMYFUNCTION("""COMPUTED_VALUE"""),"BF")</f>
        <v>BF</v>
      </c>
      <c r="N108" s="141">
        <v>0.9916628492907369</v>
      </c>
      <c r="O108" s="136" t="str">
        <f>IFERROR(__xludf.DUMMYFUNCTION("""COMPUTED_VALUE"""),"")</f>
        <v/>
      </c>
      <c r="P108" s="136" t="str">
        <f>IFERROR(__xludf.DUMMYFUNCTION("""COMPUTED_VALUE"""),"")</f>
        <v/>
      </c>
      <c r="Q108" s="106" t="str">
        <f>IFERROR(__xludf.DUMMYFUNCTION("""COMPUTED_VALUE"""),"")</f>
        <v/>
      </c>
      <c r="R108" s="106" t="str">
        <f>IFERROR(__xludf.DUMMYFUNCTION("""COMPUTED_VALUE"""),"")</f>
        <v/>
      </c>
      <c r="S108" s="139" t="str">
        <f>IFERROR(__xludf.DUMMYFUNCTION("""COMPUTED_VALUE"""),"")</f>
        <v/>
      </c>
      <c r="T108" s="139" t="str">
        <f>IFERROR(__xludf.DUMMYFUNCTION("""COMPUTED_VALUE"""),"")</f>
        <v/>
      </c>
      <c r="U108" s="136" t="str">
        <f>IFERROR(__xludf.DUMMYFUNCTION("""COMPUTED_VALUE"""),"")</f>
        <v/>
      </c>
      <c r="V108" s="106" t="str">
        <f>IFERROR(__xludf.DUMMYFUNCTION("""COMPUTED_VALUE"""),"")</f>
        <v/>
      </c>
      <c r="W108" s="143" t="str">
        <f t="shared" si="2"/>
        <v/>
      </c>
      <c r="X108" s="139" t="str">
        <f>IFERROR(__xludf.DUMMYFUNCTION("""COMPUTED_VALUE"""),"")</f>
        <v/>
      </c>
      <c r="Y108" s="141" t="str">
        <f>IFERROR(__xludf.DUMMYFUNCTION("""COMPUTED_VALUE"""),"")</f>
        <v/>
      </c>
    </row>
    <row r="109">
      <c r="A109" s="144">
        <f>IFERROR(__xludf.DUMMYFUNCTION("""COMPUTED_VALUE"""),46073.620064710645)</f>
        <v>46073.62006</v>
      </c>
      <c r="B109" s="136" t="str">
        <f>IFERROR(__xludf.DUMMYFUNCTION("""COMPUTED_VALUE"""),"Oluwatimilehin Shodipe")</f>
        <v>Oluwatimilehin Shodipe</v>
      </c>
      <c r="C109" s="136" t="b">
        <f t="shared" si="3"/>
        <v>0</v>
      </c>
      <c r="D109" s="137">
        <f>IFERROR(__xludf.DUMMYFUNCTION("""COMPUTED_VALUE"""),0.48263888889050577)</f>
        <v>0.4826388889</v>
      </c>
      <c r="E109" s="106">
        <f>IFERROR(__xludf.DUMMYFUNCTION("""COMPUTED_VALUE"""),0.14236111110949423)</f>
        <v>0.1423611111</v>
      </c>
      <c r="F109" s="137">
        <f>IFERROR(__xludf.DUMMYFUNCTION("""COMPUTED_VALUE"""),0.625)</f>
        <v>0.625</v>
      </c>
      <c r="G109" s="106">
        <v>0.14236111110949423</v>
      </c>
      <c r="H109" s="136">
        <f>IFERROR(__xludf.DUMMYFUNCTION("""COMPUTED_VALUE"""),173.0)</f>
        <v>173</v>
      </c>
      <c r="I109" s="139">
        <v>50.6341463420385</v>
      </c>
      <c r="J109" s="136" t="s">
        <v>15</v>
      </c>
      <c r="K109" s="146">
        <f>IFERROR(__xludf.DUMMYFUNCTION("""COMPUTED_VALUE"""),46073.0)</f>
        <v>46073</v>
      </c>
      <c r="L109" s="136" t="str">
        <f t="shared" si="1"/>
        <v>Friday</v>
      </c>
      <c r="M109" s="136" t="str">
        <f>IFERROR(__xludf.DUMMYFUNCTION("""COMPUTED_VALUE"""),"MF")</f>
        <v>MF</v>
      </c>
      <c r="N109" s="141">
        <v>1.0070936707247562</v>
      </c>
      <c r="O109" s="136" t="str">
        <f>IFERROR(__xludf.DUMMYFUNCTION("""COMPUTED_VALUE"""),"")</f>
        <v/>
      </c>
      <c r="P109" s="136" t="str">
        <f>IFERROR(__xludf.DUMMYFUNCTION("""COMPUTED_VALUE"""),"")</f>
        <v/>
      </c>
      <c r="Q109" s="106" t="str">
        <f>IFERROR(__xludf.DUMMYFUNCTION("""COMPUTED_VALUE"""),"")</f>
        <v/>
      </c>
      <c r="R109" s="106" t="str">
        <f>IFERROR(__xludf.DUMMYFUNCTION("""COMPUTED_VALUE"""),"")</f>
        <v/>
      </c>
      <c r="S109" s="139" t="str">
        <f>IFERROR(__xludf.DUMMYFUNCTION("""COMPUTED_VALUE"""),"")</f>
        <v/>
      </c>
      <c r="T109" s="139" t="str">
        <f>IFERROR(__xludf.DUMMYFUNCTION("""COMPUTED_VALUE"""),"")</f>
        <v/>
      </c>
      <c r="U109" s="136" t="str">
        <f>IFERROR(__xludf.DUMMYFUNCTION("""COMPUTED_VALUE"""),"")</f>
        <v/>
      </c>
      <c r="V109" s="106" t="str">
        <f>IFERROR(__xludf.DUMMYFUNCTION("""COMPUTED_VALUE"""),"")</f>
        <v/>
      </c>
      <c r="W109" s="143" t="str">
        <f t="shared" si="2"/>
        <v/>
      </c>
      <c r="X109" s="139" t="str">
        <f>IFERROR(__xludf.DUMMYFUNCTION("""COMPUTED_VALUE"""),"")</f>
        <v/>
      </c>
      <c r="Y109" s="141" t="str">
        <f>IFERROR(__xludf.DUMMYFUNCTION("""COMPUTED_VALUE"""),"")</f>
        <v/>
      </c>
    </row>
    <row r="110">
      <c r="A110" s="144">
        <f>IFERROR(__xludf.DUMMYFUNCTION("""COMPUTED_VALUE"""),46073.75015707176)</f>
        <v>46073.75016</v>
      </c>
      <c r="B110" s="136" t="str">
        <f>IFERROR(__xludf.DUMMYFUNCTION("""COMPUTED_VALUE"""),"Leah Bucci")</f>
        <v>Leah Bucci</v>
      </c>
      <c r="C110" s="136" t="b">
        <f t="shared" si="3"/>
        <v>0</v>
      </c>
      <c r="D110" s="137">
        <f>IFERROR(__xludf.DUMMYFUNCTION("""COMPUTED_VALUE"""),0.6666666666642413)</f>
        <v>0.6666666667</v>
      </c>
      <c r="E110" s="106">
        <f>IFERROR(__xludf.DUMMYFUNCTION("""COMPUTED_VALUE"""),0.08333333333575865)</f>
        <v>0.08333333334</v>
      </c>
      <c r="F110" s="137">
        <f>IFERROR(__xludf.DUMMYFUNCTION("""COMPUTED_VALUE"""),0.75)</f>
        <v>0.75</v>
      </c>
      <c r="G110" s="106">
        <v>0.08333333333575865</v>
      </c>
      <c r="H110" s="136">
        <f>IFERROR(__xludf.DUMMYFUNCTION("""COMPUTED_VALUE"""),146.0)</f>
        <v>146</v>
      </c>
      <c r="I110" s="139">
        <v>72.99999999787542</v>
      </c>
      <c r="J110" s="136" t="s">
        <v>18</v>
      </c>
      <c r="K110" s="146">
        <f>IFERROR(__xludf.DUMMYFUNCTION("""COMPUTED_VALUE"""),46073.0)</f>
        <v>46073</v>
      </c>
      <c r="L110" s="136" t="str">
        <f t="shared" si="1"/>
        <v>Friday</v>
      </c>
      <c r="M110" s="136" t="str">
        <f>IFERROR(__xludf.DUMMYFUNCTION("""COMPUTED_VALUE"""),"MF")</f>
        <v>MF</v>
      </c>
      <c r="N110" s="141">
        <v>1.526894686129882</v>
      </c>
      <c r="O110" s="136" t="str">
        <f>IFERROR(__xludf.DUMMYFUNCTION("""COMPUTED_VALUE"""),"")</f>
        <v/>
      </c>
      <c r="P110" s="136" t="str">
        <f>IFERROR(__xludf.DUMMYFUNCTION("""COMPUTED_VALUE"""),"")</f>
        <v/>
      </c>
      <c r="Q110" s="106" t="str">
        <f>IFERROR(__xludf.DUMMYFUNCTION("""COMPUTED_VALUE"""),"")</f>
        <v/>
      </c>
      <c r="R110" s="106" t="str">
        <f>IFERROR(__xludf.DUMMYFUNCTION("""COMPUTED_VALUE"""),"")</f>
        <v/>
      </c>
      <c r="S110" s="139" t="str">
        <f>IFERROR(__xludf.DUMMYFUNCTION("""COMPUTED_VALUE"""),"")</f>
        <v/>
      </c>
      <c r="T110" s="139" t="str">
        <f>IFERROR(__xludf.DUMMYFUNCTION("""COMPUTED_VALUE"""),"")</f>
        <v/>
      </c>
      <c r="U110" s="136" t="str">
        <f>IFERROR(__xludf.DUMMYFUNCTION("""COMPUTED_VALUE"""),"")</f>
        <v/>
      </c>
      <c r="V110" s="106" t="str">
        <f>IFERROR(__xludf.DUMMYFUNCTION("""COMPUTED_VALUE"""),"")</f>
        <v/>
      </c>
      <c r="W110" s="143" t="str">
        <f t="shared" si="2"/>
        <v/>
      </c>
      <c r="X110" s="139" t="str">
        <f>IFERROR(__xludf.DUMMYFUNCTION("""COMPUTED_VALUE"""),"")</f>
        <v/>
      </c>
      <c r="Y110" s="141" t="str">
        <f>IFERROR(__xludf.DUMMYFUNCTION("""COMPUTED_VALUE"""),"")</f>
        <v/>
      </c>
    </row>
    <row r="111">
      <c r="A111" s="144">
        <f>IFERROR(__xludf.DUMMYFUNCTION("""COMPUTED_VALUE"""),46073.807364884255)</f>
        <v>46073.80736</v>
      </c>
      <c r="B111" s="136" t="str">
        <f>IFERROR(__xludf.DUMMYFUNCTION("""COMPUTED_VALUE"""),"Orpheus Wilson")</f>
        <v>Orpheus Wilson</v>
      </c>
      <c r="C111" s="136" t="b">
        <f t="shared" si="3"/>
        <v>0</v>
      </c>
      <c r="D111" s="137">
        <f>IFERROR(__xludf.DUMMYFUNCTION("""COMPUTED_VALUE"""),0.7562499999985448)</f>
        <v>0.75625</v>
      </c>
      <c r="E111" s="106">
        <f>IFERROR(__xludf.DUMMYFUNCTION("""COMPUTED_VALUE"""),0.04513888889050577)</f>
        <v>0.04513888889</v>
      </c>
      <c r="F111" s="137">
        <f>IFERROR(__xludf.DUMMYFUNCTION("""COMPUTED_VALUE"""),0.8013888888890506)</f>
        <v>0.8013888889</v>
      </c>
      <c r="G111" s="106">
        <v>0.06458333334012423</v>
      </c>
      <c r="H111" s="136">
        <f>IFERROR(__xludf.DUMMYFUNCTION("""COMPUTED_VALUE"""),151.0)</f>
        <v>151</v>
      </c>
      <c r="I111" s="139">
        <v>135.4838709534959</v>
      </c>
      <c r="J111" s="136" t="s">
        <v>18</v>
      </c>
      <c r="K111" s="146">
        <f>IFERROR(__xludf.DUMMYFUNCTION("""COMPUTED_VALUE"""),46073.0)</f>
        <v>46073</v>
      </c>
      <c r="L111" s="136" t="str">
        <f t="shared" si="1"/>
        <v>Friday</v>
      </c>
      <c r="M111" s="136" t="str">
        <f>IFERROR(__xludf.DUMMYFUNCTION("""COMPUTED_VALUE"""),"MF")</f>
        <v>MF</v>
      </c>
      <c r="N111" s="141">
        <v>2.8338301728934283</v>
      </c>
      <c r="O111" s="136" t="str">
        <f>IFERROR(__xludf.DUMMYFUNCTION("""COMPUTED_VALUE"""),"")</f>
        <v/>
      </c>
      <c r="P111" s="136" t="str">
        <f>IFERROR(__xludf.DUMMYFUNCTION("""COMPUTED_VALUE"""),"")</f>
        <v/>
      </c>
      <c r="Q111" s="106" t="str">
        <f>IFERROR(__xludf.DUMMYFUNCTION("""COMPUTED_VALUE"""),"")</f>
        <v/>
      </c>
      <c r="R111" s="106" t="str">
        <f>IFERROR(__xludf.DUMMYFUNCTION("""COMPUTED_VALUE"""),"")</f>
        <v/>
      </c>
      <c r="S111" s="139" t="str">
        <f>IFERROR(__xludf.DUMMYFUNCTION("""COMPUTED_VALUE"""),"")</f>
        <v/>
      </c>
      <c r="T111" s="139" t="str">
        <f>IFERROR(__xludf.DUMMYFUNCTION("""COMPUTED_VALUE"""),"")</f>
        <v/>
      </c>
      <c r="U111" s="136" t="str">
        <f>IFERROR(__xludf.DUMMYFUNCTION("""COMPUTED_VALUE"""),"")</f>
        <v/>
      </c>
      <c r="V111" s="106" t="str">
        <f>IFERROR(__xludf.DUMMYFUNCTION("""COMPUTED_VALUE"""),"")</f>
        <v/>
      </c>
      <c r="W111" s="143" t="str">
        <f t="shared" si="2"/>
        <v/>
      </c>
      <c r="X111" s="139" t="str">
        <f>IFERROR(__xludf.DUMMYFUNCTION("""COMPUTED_VALUE"""),"")</f>
        <v/>
      </c>
      <c r="Y111" s="141" t="str">
        <f>IFERROR(__xludf.DUMMYFUNCTION("""COMPUTED_VALUE"""),"")</f>
        <v/>
      </c>
    </row>
    <row r="112">
      <c r="A112" s="144">
        <f>IFERROR(__xludf.DUMMYFUNCTION("""COMPUTED_VALUE"""),46073.8303446412)</f>
        <v>46073.83034</v>
      </c>
      <c r="B112" s="136" t="str">
        <f>IFERROR(__xludf.DUMMYFUNCTION("""COMPUTED_VALUE"""),"Orpheus Wilson")</f>
        <v>Orpheus Wilson</v>
      </c>
      <c r="C112" s="136" t="b">
        <f t="shared" si="3"/>
        <v>1</v>
      </c>
      <c r="D112" s="137">
        <f>IFERROR(__xludf.DUMMYFUNCTION("""COMPUTED_VALUE"""),0.8076388888875954)</f>
        <v>0.8076388889</v>
      </c>
      <c r="E112" s="106">
        <f>IFERROR(__xludf.DUMMYFUNCTION("""COMPUTED_VALUE"""),0.01944444444961846)</f>
        <v>0.01944444445</v>
      </c>
      <c r="F112" s="137">
        <f>IFERROR(__xludf.DUMMYFUNCTION("""COMPUTED_VALUE"""),0.8270833333372138)</f>
        <v>0.8270833333</v>
      </c>
      <c r="G112" s="106" t="s">
        <v>133</v>
      </c>
      <c r="H112" s="136">
        <f>IFERROR(__xludf.DUMMYFUNCTION("""COMPUTED_VALUE"""),59.0)</f>
        <v>59</v>
      </c>
      <c r="I112" s="139" t="s">
        <v>133</v>
      </c>
      <c r="J112" s="136" t="s">
        <v>18</v>
      </c>
      <c r="K112" s="146">
        <f>IFERROR(__xludf.DUMMYFUNCTION("""COMPUTED_VALUE"""),46073.0)</f>
        <v>46073</v>
      </c>
      <c r="L112" s="136" t="str">
        <f t="shared" si="1"/>
        <v>Friday</v>
      </c>
      <c r="M112" s="136" t="str">
        <f>IFERROR(__xludf.DUMMYFUNCTION("""COMPUTED_VALUE"""),"MF")</f>
        <v>MF</v>
      </c>
      <c r="N112" s="141" t="s">
        <v>133</v>
      </c>
      <c r="O112" s="136">
        <f>IFERROR(__xludf.DUMMYFUNCTION("""COMPUTED_VALUE"""),529.0)</f>
        <v>529</v>
      </c>
      <c r="P112" s="136">
        <f>IFERROR(__xludf.DUMMYFUNCTION("""COMPUTED_VALUE"""),82.0)</f>
        <v>82</v>
      </c>
      <c r="Q112" s="106">
        <f>IFERROR(__xludf.DUMMYFUNCTION("""COMPUTED_VALUE"""),0.2902777777853771)</f>
        <v>0.2902777778</v>
      </c>
      <c r="R112" s="106">
        <f>IFERROR(__xludf.DUMMYFUNCTION("""COMPUTED_VALUE"""),0.12152777778020307)</f>
        <v>0.1215277778</v>
      </c>
      <c r="S112" s="139">
        <f>IFERROR(__xludf.DUMMYFUNCTION("""COMPUTED_VALUE"""),86.3726724311366)</f>
        <v>86.37267243</v>
      </c>
      <c r="T112" s="139">
        <f>IFERROR(__xludf.DUMMYFUNCTION("""COMPUTED_VALUE"""),28.114285713724644)</f>
        <v>28.11428571</v>
      </c>
      <c r="U112" s="136">
        <f>IFERROR(__xludf.DUMMYFUNCTION("""COMPUTED_VALUE"""),611.0)</f>
        <v>611</v>
      </c>
      <c r="V112" s="106">
        <f>IFERROR(__xludf.DUMMYFUNCTION("""COMPUTED_VALUE"""),0.4118055555655802)</f>
        <v>0.4118055556</v>
      </c>
      <c r="W112" s="143">
        <f t="shared" si="2"/>
        <v>61.82124789</v>
      </c>
      <c r="X112" s="139">
        <f>IFERROR(__xludf.DUMMYFUNCTION("""COMPUTED_VALUE"""),71.80807575178362)</f>
        <v>71.80807575</v>
      </c>
      <c r="Y112" s="141">
        <f>IFERROR(__xludf.DUMMYFUNCTION("""COMPUTED_VALUE"""),1.0534952497254357)</f>
        <v>1.05349525</v>
      </c>
    </row>
    <row r="113">
      <c r="A113" s="144">
        <f>IFERROR(__xludf.DUMMYFUNCTION("""COMPUTED_VALUE"""),46079.52288072917)</f>
        <v>46079.52288</v>
      </c>
      <c r="B113" s="136" t="str">
        <f>IFERROR(__xludf.DUMMYFUNCTION("""COMPUTED_VALUE"""),"Emmett Khan")</f>
        <v>Emmett Khan</v>
      </c>
      <c r="C113" s="136" t="b">
        <f t="shared" si="3"/>
        <v>0</v>
      </c>
      <c r="D113" s="137">
        <f>IFERROR(__xludf.DUMMYFUNCTION("""COMPUTED_VALUE"""),0.4791666666666667)</f>
        <v>0.4791666667</v>
      </c>
      <c r="E113" s="106">
        <f>IFERROR(__xludf.DUMMYFUNCTION("""COMPUTED_VALUE"""),0.052083333333333315)</f>
        <v>0.05208333333</v>
      </c>
      <c r="F113" s="137">
        <f>IFERROR(__xludf.DUMMYFUNCTION("""COMPUTED_VALUE"""),0.53125)</f>
        <v>0.53125</v>
      </c>
      <c r="G113" s="106">
        <v>0.052083333333333315</v>
      </c>
      <c r="H113" s="136">
        <f>IFERROR(__xludf.DUMMYFUNCTION("""COMPUTED_VALUE"""),29.0)</f>
        <v>29</v>
      </c>
      <c r="I113" s="139">
        <v>23.20000000000001</v>
      </c>
      <c r="J113" s="136" t="s">
        <v>15</v>
      </c>
      <c r="K113" s="146">
        <f>IFERROR(__xludf.DUMMYFUNCTION("""COMPUTED_VALUE"""),46079.0)</f>
        <v>46079</v>
      </c>
      <c r="L113" s="136" t="str">
        <f t="shared" si="1"/>
        <v>Thursday</v>
      </c>
      <c r="M113" s="136" t="str">
        <f>IFERROR(__xludf.DUMMYFUNCTION("""COMPUTED_VALUE"""),"MF")</f>
        <v>MF</v>
      </c>
      <c r="N113" s="141">
        <v>0.46143906530949347</v>
      </c>
      <c r="O113" s="136" t="str">
        <f>IFERROR(__xludf.DUMMYFUNCTION("""COMPUTED_VALUE"""),"")</f>
        <v/>
      </c>
      <c r="P113" s="136" t="str">
        <f>IFERROR(__xludf.DUMMYFUNCTION("""COMPUTED_VALUE"""),"")</f>
        <v/>
      </c>
      <c r="Q113" s="106" t="str">
        <f>IFERROR(__xludf.DUMMYFUNCTION("""COMPUTED_VALUE"""),"")</f>
        <v/>
      </c>
      <c r="R113" s="106" t="str">
        <f>IFERROR(__xludf.DUMMYFUNCTION("""COMPUTED_VALUE"""),"")</f>
        <v/>
      </c>
      <c r="S113" s="139" t="str">
        <f>IFERROR(__xludf.DUMMYFUNCTION("""COMPUTED_VALUE"""),"")</f>
        <v/>
      </c>
      <c r="T113" s="139" t="str">
        <f>IFERROR(__xludf.DUMMYFUNCTION("""COMPUTED_VALUE"""),"")</f>
        <v/>
      </c>
      <c r="U113" s="136" t="str">
        <f>IFERROR(__xludf.DUMMYFUNCTION("""COMPUTED_VALUE"""),"")</f>
        <v/>
      </c>
      <c r="V113" s="106" t="str">
        <f>IFERROR(__xludf.DUMMYFUNCTION("""COMPUTED_VALUE"""),"")</f>
        <v/>
      </c>
      <c r="W113" s="143" t="str">
        <f t="shared" si="2"/>
        <v/>
      </c>
      <c r="X113" s="139" t="str">
        <f>IFERROR(__xludf.DUMMYFUNCTION("""COMPUTED_VALUE"""),"")</f>
        <v/>
      </c>
      <c r="Y113" s="141" t="str">
        <f>IFERROR(__xludf.DUMMYFUNCTION("""COMPUTED_VALUE"""),"")</f>
        <v/>
      </c>
    </row>
    <row r="114">
      <c r="A114" s="144">
        <f>IFERROR(__xludf.DUMMYFUNCTION("""COMPUTED_VALUE"""),46080.52350431713)</f>
        <v>46080.5235</v>
      </c>
      <c r="B114" s="136" t="str">
        <f>IFERROR(__xludf.DUMMYFUNCTION("""COMPUTED_VALUE"""),"Brynn Hornig")</f>
        <v>Brynn Hornig</v>
      </c>
      <c r="C114" s="136" t="b">
        <f t="shared" si="3"/>
        <v>0</v>
      </c>
      <c r="D114" s="137">
        <f>IFERROR(__xludf.DUMMYFUNCTION("""COMPUTED_VALUE"""),0.7083333333357587)</f>
        <v>0.7083333333</v>
      </c>
      <c r="E114" s="106">
        <f>IFERROR(__xludf.DUMMYFUNCTION("""COMPUTED_VALUE"""),0.0833333333284827)</f>
        <v>0.08333333333</v>
      </c>
      <c r="F114" s="137">
        <f>IFERROR(__xludf.DUMMYFUNCTION("""COMPUTED_VALUE"""),0.7916666666642413)</f>
        <v>0.7916666667</v>
      </c>
      <c r="G114" s="106">
        <v>0.0833333333284827</v>
      </c>
      <c r="H114" s="136">
        <f>IFERROR(__xludf.DUMMYFUNCTION("""COMPUTED_VALUE"""),74.0)</f>
        <v>74</v>
      </c>
      <c r="I114" s="139">
        <v>37.00000000215368</v>
      </c>
      <c r="J114" s="136" t="s">
        <v>18</v>
      </c>
      <c r="K114" s="146">
        <f>IFERROR(__xludf.DUMMYFUNCTION("""COMPUTED_VALUE"""),46079.0)</f>
        <v>46079</v>
      </c>
      <c r="L114" s="136" t="str">
        <f t="shared" si="1"/>
        <v>Thursday</v>
      </c>
      <c r="M114" s="136" t="str">
        <f>IFERROR(__xludf.DUMMYFUNCTION("""COMPUTED_VALUE"""),"MF")</f>
        <v>MF</v>
      </c>
      <c r="N114" s="141">
        <v>0.7739055259142233</v>
      </c>
      <c r="O114" s="136" t="str">
        <f>IFERROR(__xludf.DUMMYFUNCTION("""COMPUTED_VALUE"""),"")</f>
        <v/>
      </c>
      <c r="P114" s="136" t="str">
        <f>IFERROR(__xludf.DUMMYFUNCTION("""COMPUTED_VALUE"""),"")</f>
        <v/>
      </c>
      <c r="Q114" s="106" t="str">
        <f>IFERROR(__xludf.DUMMYFUNCTION("""COMPUTED_VALUE"""),"")</f>
        <v/>
      </c>
      <c r="R114" s="106" t="str">
        <f>IFERROR(__xludf.DUMMYFUNCTION("""COMPUTED_VALUE"""),"")</f>
        <v/>
      </c>
      <c r="S114" s="139" t="str">
        <f>IFERROR(__xludf.DUMMYFUNCTION("""COMPUTED_VALUE"""),"")</f>
        <v/>
      </c>
      <c r="T114" s="139" t="str">
        <f>IFERROR(__xludf.DUMMYFUNCTION("""COMPUTED_VALUE"""),"")</f>
        <v/>
      </c>
      <c r="U114" s="136" t="str">
        <f>IFERROR(__xludf.DUMMYFUNCTION("""COMPUTED_VALUE"""),"")</f>
        <v/>
      </c>
      <c r="V114" s="106" t="str">
        <f>IFERROR(__xludf.DUMMYFUNCTION("""COMPUTED_VALUE"""),"")</f>
        <v/>
      </c>
      <c r="W114" s="143" t="str">
        <f t="shared" si="2"/>
        <v/>
      </c>
      <c r="X114" s="139" t="str">
        <f>IFERROR(__xludf.DUMMYFUNCTION("""COMPUTED_VALUE"""),"")</f>
        <v/>
      </c>
      <c r="Y114" s="141" t="str">
        <f>IFERROR(__xludf.DUMMYFUNCTION("""COMPUTED_VALUE"""),"")</f>
        <v/>
      </c>
    </row>
    <row r="115">
      <c r="A115" s="144">
        <f>IFERROR(__xludf.DUMMYFUNCTION("""COMPUTED_VALUE"""),46079.86478696759)</f>
        <v>46079.86479</v>
      </c>
      <c r="B115" s="136" t="str">
        <f>IFERROR(__xludf.DUMMYFUNCTION("""COMPUTED_VALUE"""),"Arjya Aich")</f>
        <v>Arjya Aich</v>
      </c>
      <c r="C115" s="136" t="b">
        <f t="shared" si="3"/>
        <v>0</v>
      </c>
      <c r="D115" s="137">
        <f>IFERROR(__xludf.DUMMYFUNCTION("""COMPUTED_VALUE"""),0.7916666666642413)</f>
        <v>0.7916666667</v>
      </c>
      <c r="E115" s="106">
        <f>IFERROR(__xludf.DUMMYFUNCTION("""COMPUTED_VALUE"""),0.08333333333575865)</f>
        <v>0.08333333334</v>
      </c>
      <c r="F115" s="137">
        <f>IFERROR(__xludf.DUMMYFUNCTION("""COMPUTED_VALUE"""),0.875)</f>
        <v>0.875</v>
      </c>
      <c r="G115" s="106">
        <v>0.08333333333575865</v>
      </c>
      <c r="H115" s="136">
        <f>IFERROR(__xludf.DUMMYFUNCTION("""COMPUTED_VALUE"""),41.0)</f>
        <v>41</v>
      </c>
      <c r="I115" s="139">
        <v>20.49999999940337</v>
      </c>
      <c r="J115" s="136" t="s">
        <v>18</v>
      </c>
      <c r="K115" s="146">
        <f>IFERROR(__xludf.DUMMYFUNCTION("""COMPUTED_VALUE"""),46079.0)</f>
        <v>46079</v>
      </c>
      <c r="L115" s="136" t="str">
        <f t="shared" si="1"/>
        <v>Thursday</v>
      </c>
      <c r="M115" s="136" t="str">
        <f>IFERROR(__xludf.DUMMYFUNCTION("""COMPUTED_VALUE"""),"MF")</f>
        <v>MF</v>
      </c>
      <c r="N115" s="141">
        <v>0.4287854940501723</v>
      </c>
      <c r="O115" s="136">
        <f>IFERROR(__xludf.DUMMYFUNCTION("""COMPUTED_VALUE"""),144.0)</f>
        <v>144</v>
      </c>
      <c r="P115" s="136" t="str">
        <f>IFERROR(__xludf.DUMMYFUNCTION("""COMPUTED_VALUE"""),"")</f>
        <v/>
      </c>
      <c r="Q115" s="106">
        <f>IFERROR(__xludf.DUMMYFUNCTION("""COMPUTED_VALUE"""),0.21874999999757466)</f>
        <v>0.21875</v>
      </c>
      <c r="R115" s="106" t="str">
        <f>IFERROR(__xludf.DUMMYFUNCTION("""COMPUTED_VALUE"""),"")</f>
        <v/>
      </c>
      <c r="S115" s="139">
        <f>IFERROR(__xludf.DUMMYFUNCTION("""COMPUTED_VALUE"""),26.900000000519025)</f>
        <v>26.9</v>
      </c>
      <c r="T115" s="139" t="str">
        <f>IFERROR(__xludf.DUMMYFUNCTION("""COMPUTED_VALUE"""),"")</f>
        <v/>
      </c>
      <c r="U115" s="136">
        <f>IFERROR(__xludf.DUMMYFUNCTION("""COMPUTED_VALUE"""),144.0)</f>
        <v>144</v>
      </c>
      <c r="V115" s="106">
        <f>IFERROR(__xludf.DUMMYFUNCTION("""COMPUTED_VALUE"""),0.21874999999757466)</f>
        <v>0.21875</v>
      </c>
      <c r="W115" s="143">
        <f t="shared" si="2"/>
        <v>27.42857143</v>
      </c>
      <c r="X115" s="139">
        <f>IFERROR(__xludf.DUMMYFUNCTION("""COMPUTED_VALUE"""),26.900000000519025)</f>
        <v>26.9</v>
      </c>
      <c r="Y115" s="141">
        <f>IFERROR(__xludf.DUMMYFUNCTION("""COMPUTED_VALUE"""),0.4940026517082508)</f>
        <v>0.4940026517</v>
      </c>
    </row>
    <row r="116">
      <c r="A116" s="144">
        <f>IFERROR(__xludf.DUMMYFUNCTION("""COMPUTED_VALUE"""),46080.44051408565)</f>
        <v>46080.44051</v>
      </c>
      <c r="B116" s="136" t="str">
        <f>IFERROR(__xludf.DUMMYFUNCTION("""COMPUTED_VALUE"""),"Kaylie Forgue")</f>
        <v>Kaylie Forgue</v>
      </c>
      <c r="C116" s="136" t="b">
        <f t="shared" si="3"/>
        <v>0</v>
      </c>
      <c r="D116" s="137">
        <f>IFERROR(__xludf.DUMMYFUNCTION("""COMPUTED_VALUE"""),0.3743055555532919)</f>
        <v>0.3743055556</v>
      </c>
      <c r="E116" s="106">
        <f>IFERROR(__xludf.DUMMYFUNCTION("""COMPUTED_VALUE"""),0.06041666666715173)</f>
        <v>0.06041666667</v>
      </c>
      <c r="F116" s="137">
        <f>IFERROR(__xludf.DUMMYFUNCTION("""COMPUTED_VALUE"""),0.43472222222044365)</f>
        <v>0.4347222222</v>
      </c>
      <c r="G116" s="106">
        <v>0.06041666666715173</v>
      </c>
      <c r="H116" s="136">
        <f>IFERROR(__xludf.DUMMYFUNCTION("""COMPUTED_VALUE"""),110.0)</f>
        <v>110</v>
      </c>
      <c r="I116" s="139">
        <v>75.86206896490818</v>
      </c>
      <c r="J116" s="136" t="s">
        <v>12</v>
      </c>
      <c r="K116" s="146">
        <f>IFERROR(__xludf.DUMMYFUNCTION("""COMPUTED_VALUE"""),46080.0)</f>
        <v>46080</v>
      </c>
      <c r="L116" s="136" t="str">
        <f t="shared" si="1"/>
        <v>Friday</v>
      </c>
      <c r="M116" s="136" t="str">
        <f>IFERROR(__xludf.DUMMYFUNCTION("""COMPUTED_VALUE"""),"BF")</f>
        <v>BF</v>
      </c>
      <c r="N116" s="141">
        <v>2.6758494321663004</v>
      </c>
      <c r="O116" s="136" t="str">
        <f>IFERROR(__xludf.DUMMYFUNCTION("""COMPUTED_VALUE"""),"")</f>
        <v/>
      </c>
      <c r="P116" s="136" t="str">
        <f>IFERROR(__xludf.DUMMYFUNCTION("""COMPUTED_VALUE"""),"")</f>
        <v/>
      </c>
      <c r="Q116" s="106" t="str">
        <f>IFERROR(__xludf.DUMMYFUNCTION("""COMPUTED_VALUE"""),"")</f>
        <v/>
      </c>
      <c r="R116" s="106" t="str">
        <f>IFERROR(__xludf.DUMMYFUNCTION("""COMPUTED_VALUE"""),"")</f>
        <v/>
      </c>
      <c r="S116" s="139" t="str">
        <f>IFERROR(__xludf.DUMMYFUNCTION("""COMPUTED_VALUE"""),"")</f>
        <v/>
      </c>
      <c r="T116" s="139" t="str">
        <f>IFERROR(__xludf.DUMMYFUNCTION("""COMPUTED_VALUE"""),"")</f>
        <v/>
      </c>
      <c r="U116" s="136" t="str">
        <f>IFERROR(__xludf.DUMMYFUNCTION("""COMPUTED_VALUE"""),"")</f>
        <v/>
      </c>
      <c r="V116" s="106" t="str">
        <f>IFERROR(__xludf.DUMMYFUNCTION("""COMPUTED_VALUE"""),"")</f>
        <v/>
      </c>
      <c r="W116" s="143" t="str">
        <f t="shared" si="2"/>
        <v/>
      </c>
      <c r="X116" s="139" t="str">
        <f>IFERROR(__xludf.DUMMYFUNCTION("""COMPUTED_VALUE"""),"")</f>
        <v/>
      </c>
      <c r="Y116" s="141" t="str">
        <f>IFERROR(__xludf.DUMMYFUNCTION("""COMPUTED_VALUE"""),"")</f>
        <v/>
      </c>
    </row>
    <row r="117">
      <c r="A117" s="144">
        <f>IFERROR(__xludf.DUMMYFUNCTION("""COMPUTED_VALUE"""),46080.58051659723)</f>
        <v>46080.58052</v>
      </c>
      <c r="B117" s="136" t="str">
        <f>IFERROR(__xludf.DUMMYFUNCTION("""COMPUTED_VALUE"""),"Brynn Hornig")</f>
        <v>Brynn Hornig</v>
      </c>
      <c r="C117" s="136" t="b">
        <f t="shared" si="3"/>
        <v>0</v>
      </c>
      <c r="D117" s="137">
        <f>IFERROR(__xludf.DUMMYFUNCTION("""COMPUTED_VALUE"""),0.45833333333575865)</f>
        <v>0.4583333333</v>
      </c>
      <c r="E117" s="106">
        <f>IFERROR(__xludf.DUMMYFUNCTION("""COMPUTED_VALUE"""),0.125)</f>
        <v>0.125</v>
      </c>
      <c r="F117" s="137">
        <f>IFERROR(__xludf.DUMMYFUNCTION("""COMPUTED_VALUE"""),0.5833333333357587)</f>
        <v>0.5833333333</v>
      </c>
      <c r="G117" s="106">
        <v>0.125</v>
      </c>
      <c r="H117" s="136">
        <f>IFERROR(__xludf.DUMMYFUNCTION("""COMPUTED_VALUE"""),96.0)</f>
        <v>96</v>
      </c>
      <c r="I117" s="139">
        <v>32.0</v>
      </c>
      <c r="J117" s="136" t="s">
        <v>15</v>
      </c>
      <c r="K117" s="146">
        <f>IFERROR(__xludf.DUMMYFUNCTION("""COMPUTED_VALUE"""),46080.0)</f>
        <v>46080</v>
      </c>
      <c r="L117" s="136" t="str">
        <f t="shared" si="1"/>
        <v>Friday</v>
      </c>
      <c r="M117" s="136" t="str">
        <f>IFERROR(__xludf.DUMMYFUNCTION("""COMPUTED_VALUE"""),"BF")</f>
        <v>BF</v>
      </c>
      <c r="N117" s="141">
        <v>1.1287219423046653</v>
      </c>
      <c r="O117" s="136" t="str">
        <f>IFERROR(__xludf.DUMMYFUNCTION("""COMPUTED_VALUE"""),"")</f>
        <v/>
      </c>
      <c r="P117" s="136" t="str">
        <f>IFERROR(__xludf.DUMMYFUNCTION("""COMPUTED_VALUE"""),"")</f>
        <v/>
      </c>
      <c r="Q117" s="106" t="str">
        <f>IFERROR(__xludf.DUMMYFUNCTION("""COMPUTED_VALUE"""),"")</f>
        <v/>
      </c>
      <c r="R117" s="106" t="str">
        <f>IFERROR(__xludf.DUMMYFUNCTION("""COMPUTED_VALUE"""),"")</f>
        <v/>
      </c>
      <c r="S117" s="139" t="str">
        <f>IFERROR(__xludf.DUMMYFUNCTION("""COMPUTED_VALUE"""),"")</f>
        <v/>
      </c>
      <c r="T117" s="139" t="str">
        <f>IFERROR(__xludf.DUMMYFUNCTION("""COMPUTED_VALUE"""),"")</f>
        <v/>
      </c>
      <c r="U117" s="136" t="str">
        <f>IFERROR(__xludf.DUMMYFUNCTION("""COMPUTED_VALUE"""),"")</f>
        <v/>
      </c>
      <c r="V117" s="106" t="str">
        <f>IFERROR(__xludf.DUMMYFUNCTION("""COMPUTED_VALUE"""),"")</f>
        <v/>
      </c>
      <c r="W117" s="143" t="str">
        <f t="shared" si="2"/>
        <v/>
      </c>
      <c r="X117" s="139" t="str">
        <f>IFERROR(__xludf.DUMMYFUNCTION("""COMPUTED_VALUE"""),"")</f>
        <v/>
      </c>
      <c r="Y117" s="141" t="str">
        <f>IFERROR(__xludf.DUMMYFUNCTION("""COMPUTED_VALUE"""),"")</f>
        <v/>
      </c>
    </row>
    <row r="118">
      <c r="A118" s="144">
        <f>IFERROR(__xludf.DUMMYFUNCTION("""COMPUTED_VALUE"""),46080.617279178245)</f>
        <v>46080.61728</v>
      </c>
      <c r="B118" s="136" t="str">
        <f>IFERROR(__xludf.DUMMYFUNCTION("""COMPUTED_VALUE"""),"Oluwatimilehin Shodipe")</f>
        <v>Oluwatimilehin Shodipe</v>
      </c>
      <c r="C118" s="136" t="b">
        <f t="shared" si="3"/>
        <v>0</v>
      </c>
      <c r="D118" s="137">
        <f>IFERROR(__xludf.DUMMYFUNCTION("""COMPUTED_VALUE"""),0.48263888889050577)</f>
        <v>0.4826388889</v>
      </c>
      <c r="E118" s="106">
        <f>IFERROR(__xludf.DUMMYFUNCTION("""COMPUTED_VALUE"""),0.14861111110803904)</f>
        <v>0.1486111111</v>
      </c>
      <c r="F118" s="137">
        <f>IFERROR(__xludf.DUMMYFUNCTION("""COMPUTED_VALUE"""),0.6312499999985448)</f>
        <v>0.63125</v>
      </c>
      <c r="G118" s="106">
        <v>0.14861111110803904</v>
      </c>
      <c r="H118" s="136">
        <f>IFERROR(__xludf.DUMMYFUNCTION("""COMPUTED_VALUE"""),145.0)</f>
        <v>145</v>
      </c>
      <c r="I118" s="139">
        <v>40.654205608317035</v>
      </c>
      <c r="J118" s="136" t="s">
        <v>15</v>
      </c>
      <c r="K118" s="146">
        <f>IFERROR(__xludf.DUMMYFUNCTION("""COMPUTED_VALUE"""),46080.0)</f>
        <v>46080</v>
      </c>
      <c r="L118" s="136" t="str">
        <f t="shared" si="1"/>
        <v>Friday</v>
      </c>
      <c r="M118" s="136" t="str">
        <f>IFERROR(__xludf.DUMMYFUNCTION("""COMPUTED_VALUE"""),"MF")</f>
        <v>MF</v>
      </c>
      <c r="N118" s="141">
        <v>0.8085964929655935</v>
      </c>
      <c r="O118" s="136" t="str">
        <f>IFERROR(__xludf.DUMMYFUNCTION("""COMPUTED_VALUE"""),"")</f>
        <v/>
      </c>
      <c r="P118" s="136" t="str">
        <f>IFERROR(__xludf.DUMMYFUNCTION("""COMPUTED_VALUE"""),"")</f>
        <v/>
      </c>
      <c r="Q118" s="106" t="str">
        <f>IFERROR(__xludf.DUMMYFUNCTION("""COMPUTED_VALUE"""),"")</f>
        <v/>
      </c>
      <c r="R118" s="106" t="str">
        <f>IFERROR(__xludf.DUMMYFUNCTION("""COMPUTED_VALUE"""),"")</f>
        <v/>
      </c>
      <c r="S118" s="139" t="str">
        <f>IFERROR(__xludf.DUMMYFUNCTION("""COMPUTED_VALUE"""),"")</f>
        <v/>
      </c>
      <c r="T118" s="139" t="str">
        <f>IFERROR(__xludf.DUMMYFUNCTION("""COMPUTED_VALUE"""),"")</f>
        <v/>
      </c>
      <c r="U118" s="136" t="str">
        <f>IFERROR(__xludf.DUMMYFUNCTION("""COMPUTED_VALUE"""),"")</f>
        <v/>
      </c>
      <c r="V118" s="106" t="str">
        <f>IFERROR(__xludf.DUMMYFUNCTION("""COMPUTED_VALUE"""),"")</f>
        <v/>
      </c>
      <c r="W118" s="143" t="str">
        <f t="shared" si="2"/>
        <v/>
      </c>
      <c r="X118" s="139" t="str">
        <f>IFERROR(__xludf.DUMMYFUNCTION("""COMPUTED_VALUE"""),"")</f>
        <v/>
      </c>
      <c r="Y118" s="141" t="str">
        <f>IFERROR(__xludf.DUMMYFUNCTION("""COMPUTED_VALUE"""),"")</f>
        <v/>
      </c>
    </row>
    <row r="119">
      <c r="A119" s="144">
        <f>IFERROR(__xludf.DUMMYFUNCTION("""COMPUTED_VALUE"""),46080.78070474537)</f>
        <v>46080.7807</v>
      </c>
      <c r="B119" s="136" t="str">
        <f>IFERROR(__xludf.DUMMYFUNCTION("""COMPUTED_VALUE"""),"Leah Bucci")</f>
        <v>Leah Bucci</v>
      </c>
      <c r="C119" s="136" t="b">
        <f t="shared" si="3"/>
        <v>0</v>
      </c>
      <c r="D119" s="137">
        <f>IFERROR(__xludf.DUMMYFUNCTION("""COMPUTED_VALUE"""),0.6666666666642413)</f>
        <v>0.6666666667</v>
      </c>
      <c r="E119" s="106">
        <f>IFERROR(__xludf.DUMMYFUNCTION("""COMPUTED_VALUE"""),0.07638888889050577)</f>
        <v>0.07638888889</v>
      </c>
      <c r="F119" s="137">
        <f>IFERROR(__xludf.DUMMYFUNCTION("""COMPUTED_VALUE"""),0.7430555555547471)</f>
        <v>0.7430555556</v>
      </c>
      <c r="G119" s="106">
        <v>0.07638888889050577</v>
      </c>
      <c r="H119" s="136">
        <f>IFERROR(__xludf.DUMMYFUNCTION("""COMPUTED_VALUE"""),121.0)</f>
        <v>121</v>
      </c>
      <c r="I119" s="139">
        <v>65.99999999860302</v>
      </c>
      <c r="J119" s="136" t="s">
        <v>18</v>
      </c>
      <c r="K119" s="146">
        <f>IFERROR(__xludf.DUMMYFUNCTION("""COMPUTED_VALUE"""),46080.0)</f>
        <v>46080</v>
      </c>
      <c r="L119" s="136" t="str">
        <f t="shared" si="1"/>
        <v>Friday</v>
      </c>
      <c r="M119" s="136" t="str">
        <f>IFERROR(__xludf.DUMMYFUNCTION("""COMPUTED_VALUE"""),"MF")</f>
        <v>MF</v>
      </c>
      <c r="N119" s="141">
        <v>1.380480127196878</v>
      </c>
      <c r="O119" s="136">
        <f>IFERROR(__xludf.DUMMYFUNCTION("""COMPUTED_VALUE"""),266.0)</f>
        <v>266</v>
      </c>
      <c r="P119" s="136">
        <f>IFERROR(__xludf.DUMMYFUNCTION("""COMPUTED_VALUE"""),206.0)</f>
        <v>206</v>
      </c>
      <c r="Q119" s="106">
        <f>IFERROR(__xludf.DUMMYFUNCTION("""COMPUTED_VALUE"""),0.2249999999985448)</f>
        <v>0.225</v>
      </c>
      <c r="R119" s="106">
        <f>IFERROR(__xludf.DUMMYFUNCTION("""COMPUTED_VALUE"""),0.18541666666715173)</f>
        <v>0.1854166667</v>
      </c>
      <c r="S119" s="139">
        <f>IFERROR(__xludf.DUMMYFUNCTION("""COMPUTED_VALUE"""),53.32710280346002)</f>
        <v>53.3271028</v>
      </c>
      <c r="T119" s="139">
        <f>IFERROR(__xludf.DUMMYFUNCTION("""COMPUTED_VALUE"""),53.93103448245409)</f>
        <v>53.93103448</v>
      </c>
      <c r="U119" s="136">
        <f>IFERROR(__xludf.DUMMYFUNCTION("""COMPUTED_VALUE"""),472.0)</f>
        <v>472</v>
      </c>
      <c r="V119" s="106">
        <f>IFERROR(__xludf.DUMMYFUNCTION("""COMPUTED_VALUE"""),0.41041666666569654)</f>
        <v>0.4104166667</v>
      </c>
      <c r="W119" s="143">
        <f t="shared" si="2"/>
        <v>47.91878173</v>
      </c>
      <c r="X119" s="139">
        <f>IFERROR(__xludf.DUMMYFUNCTION("""COMPUTED_VALUE"""),53.62906864295706)</f>
        <v>53.62906864</v>
      </c>
      <c r="Y119" s="141">
        <f>IFERROR(__xludf.DUMMYFUNCTION("""COMPUTED_VALUE"""),1.2306876893580105)</f>
        <v>1.230687689</v>
      </c>
    </row>
    <row r="120">
      <c r="A120" s="144">
        <f>IFERROR(__xludf.DUMMYFUNCTION("""COMPUTED_VALUE"""),46083.437874247684)</f>
        <v>46083.43787</v>
      </c>
      <c r="B120" s="136" t="str">
        <f>IFERROR(__xludf.DUMMYFUNCTION("""COMPUTED_VALUE"""),"Sophia Kluck")</f>
        <v>Sophia Kluck</v>
      </c>
      <c r="C120" s="136" t="b">
        <f t="shared" si="3"/>
        <v>0</v>
      </c>
      <c r="D120" s="137">
        <f>IFERROR(__xludf.DUMMYFUNCTION("""COMPUTED_VALUE"""),0.37083333333430346)</f>
        <v>0.3708333333</v>
      </c>
      <c r="E120" s="106">
        <f>IFERROR(__xludf.DUMMYFUNCTION("""COMPUTED_VALUE"""),0.0625)</f>
        <v>0.0625</v>
      </c>
      <c r="F120" s="137">
        <f>IFERROR(__xludf.DUMMYFUNCTION("""COMPUTED_VALUE"""),0.43333333333430346)</f>
        <v>0.4333333333</v>
      </c>
      <c r="G120" s="106">
        <v>0.0625</v>
      </c>
      <c r="H120" s="136">
        <f>IFERROR(__xludf.DUMMYFUNCTION("""COMPUTED_VALUE"""),39.0)</f>
        <v>39</v>
      </c>
      <c r="I120" s="139">
        <v>26.0</v>
      </c>
      <c r="J120" s="136" t="s">
        <v>12</v>
      </c>
      <c r="K120" s="146">
        <f>IFERROR(__xludf.DUMMYFUNCTION("""COMPUTED_VALUE"""),46083.0)</f>
        <v>46083</v>
      </c>
      <c r="L120" s="136" t="str">
        <f t="shared" si="1"/>
        <v>Monday</v>
      </c>
      <c r="M120" s="136" t="str">
        <f>IFERROR(__xludf.DUMMYFUNCTION("""COMPUTED_VALUE"""),"BF")</f>
        <v>BF</v>
      </c>
      <c r="N120" s="141">
        <v>0.9170865781225405</v>
      </c>
      <c r="O120" s="136" t="str">
        <f>IFERROR(__xludf.DUMMYFUNCTION("""COMPUTED_VALUE"""),"")</f>
        <v/>
      </c>
      <c r="P120" s="136" t="str">
        <f>IFERROR(__xludf.DUMMYFUNCTION("""COMPUTED_VALUE"""),"")</f>
        <v/>
      </c>
      <c r="Q120" s="106" t="str">
        <f>IFERROR(__xludf.DUMMYFUNCTION("""COMPUTED_VALUE"""),"")</f>
        <v/>
      </c>
      <c r="R120" s="106" t="str">
        <f>IFERROR(__xludf.DUMMYFUNCTION("""COMPUTED_VALUE"""),"")</f>
        <v/>
      </c>
      <c r="S120" s="139" t="str">
        <f>IFERROR(__xludf.DUMMYFUNCTION("""COMPUTED_VALUE"""),"")</f>
        <v/>
      </c>
      <c r="T120" s="139" t="str">
        <f>IFERROR(__xludf.DUMMYFUNCTION("""COMPUTED_VALUE"""),"")</f>
        <v/>
      </c>
      <c r="U120" s="136" t="str">
        <f>IFERROR(__xludf.DUMMYFUNCTION("""COMPUTED_VALUE"""),"")</f>
        <v/>
      </c>
      <c r="V120" s="106" t="str">
        <f>IFERROR(__xludf.DUMMYFUNCTION("""COMPUTED_VALUE"""),"")</f>
        <v/>
      </c>
      <c r="W120" s="143" t="str">
        <f t="shared" si="2"/>
        <v/>
      </c>
      <c r="X120" s="139" t="str">
        <f>IFERROR(__xludf.DUMMYFUNCTION("""COMPUTED_VALUE"""),"")</f>
        <v/>
      </c>
      <c r="Y120" s="141" t="str">
        <f>IFERROR(__xludf.DUMMYFUNCTION("""COMPUTED_VALUE"""),"")</f>
        <v/>
      </c>
    </row>
    <row r="121">
      <c r="A121" s="144">
        <f>IFERROR(__xludf.DUMMYFUNCTION("""COMPUTED_VALUE"""),46083.641478425925)</f>
        <v>46083.64148</v>
      </c>
      <c r="B121" s="136" t="str">
        <f>IFERROR(__xludf.DUMMYFUNCTION("""COMPUTED_VALUE"""),"Brynn Hornig")</f>
        <v>Brynn Hornig</v>
      </c>
      <c r="C121" s="136" t="b">
        <f t="shared" si="3"/>
        <v>0</v>
      </c>
      <c r="D121" s="137">
        <f>IFERROR(__xludf.DUMMYFUNCTION("""COMPUTED_VALUE"""),0.5208333333357587)</f>
        <v>0.5208333333</v>
      </c>
      <c r="E121" s="106">
        <f>IFERROR(__xludf.DUMMYFUNCTION("""COMPUTED_VALUE"""),0.125)</f>
        <v>0.125</v>
      </c>
      <c r="F121" s="137">
        <f>IFERROR(__xludf.DUMMYFUNCTION("""COMPUTED_VALUE"""),0.6458333333357587)</f>
        <v>0.6458333333</v>
      </c>
      <c r="G121" s="106">
        <v>0.125</v>
      </c>
      <c r="H121" s="136">
        <f>IFERROR(__xludf.DUMMYFUNCTION("""COMPUTED_VALUE"""),90.0)</f>
        <v>90</v>
      </c>
      <c r="I121" s="139">
        <v>30.0</v>
      </c>
      <c r="J121" s="136" t="s">
        <v>15</v>
      </c>
      <c r="K121" s="146">
        <f>IFERROR(__xludf.DUMMYFUNCTION("""COMPUTED_VALUE"""),46083.0)</f>
        <v>46083</v>
      </c>
      <c r="L121" s="136" t="str">
        <f t="shared" si="1"/>
        <v>Monday</v>
      </c>
      <c r="M121" s="136" t="str">
        <f>IFERROR(__xludf.DUMMYFUNCTION("""COMPUTED_VALUE"""),"BF")</f>
        <v>BF</v>
      </c>
      <c r="N121" s="141">
        <v>1.0581768209106235</v>
      </c>
      <c r="O121" s="136" t="str">
        <f>IFERROR(__xludf.DUMMYFUNCTION("""COMPUTED_VALUE"""),"")</f>
        <v/>
      </c>
      <c r="P121" s="136" t="str">
        <f>IFERROR(__xludf.DUMMYFUNCTION("""COMPUTED_VALUE"""),"")</f>
        <v/>
      </c>
      <c r="Q121" s="106" t="str">
        <f>IFERROR(__xludf.DUMMYFUNCTION("""COMPUTED_VALUE"""),"")</f>
        <v/>
      </c>
      <c r="R121" s="106" t="str">
        <f>IFERROR(__xludf.DUMMYFUNCTION("""COMPUTED_VALUE"""),"")</f>
        <v/>
      </c>
      <c r="S121" s="139" t="str">
        <f>IFERROR(__xludf.DUMMYFUNCTION("""COMPUTED_VALUE"""),"")</f>
        <v/>
      </c>
      <c r="T121" s="139" t="str">
        <f>IFERROR(__xludf.DUMMYFUNCTION("""COMPUTED_VALUE"""),"")</f>
        <v/>
      </c>
      <c r="U121" s="136" t="str">
        <f>IFERROR(__xludf.DUMMYFUNCTION("""COMPUTED_VALUE"""),"")</f>
        <v/>
      </c>
      <c r="V121" s="106" t="str">
        <f>IFERROR(__xludf.DUMMYFUNCTION("""COMPUTED_VALUE"""),"")</f>
        <v/>
      </c>
      <c r="W121" s="143" t="str">
        <f t="shared" si="2"/>
        <v/>
      </c>
      <c r="X121" s="139" t="str">
        <f>IFERROR(__xludf.DUMMYFUNCTION("""COMPUTED_VALUE"""),"")</f>
        <v/>
      </c>
      <c r="Y121" s="141" t="str">
        <f>IFERROR(__xludf.DUMMYFUNCTION("""COMPUTED_VALUE"""),"")</f>
        <v/>
      </c>
    </row>
    <row r="122">
      <c r="A122" s="144">
        <f>IFERROR(__xludf.DUMMYFUNCTION("""COMPUTED_VALUE"""),46083.748098449076)</f>
        <v>46083.7481</v>
      </c>
      <c r="B122" s="136" t="str">
        <f>IFERROR(__xludf.DUMMYFUNCTION("""COMPUTED_VALUE"""),"Orpheus Wilson")</f>
        <v>Orpheus Wilson</v>
      </c>
      <c r="C122" s="136" t="b">
        <f t="shared" si="3"/>
        <v>0</v>
      </c>
      <c r="D122" s="137">
        <f>IFERROR(__xludf.DUMMYFUNCTION("""COMPUTED_VALUE"""),0.6708333333372138)</f>
        <v>0.6708333333</v>
      </c>
      <c r="E122" s="106">
        <f>IFERROR(__xludf.DUMMYFUNCTION("""COMPUTED_VALUE"""),0.07569444444379769)</f>
        <v>0.07569444444</v>
      </c>
      <c r="F122" s="137">
        <f>IFERROR(__xludf.DUMMYFUNCTION("""COMPUTED_VALUE"""),0.7465277777810115)</f>
        <v>0.7465277778</v>
      </c>
      <c r="G122" s="106">
        <v>0.07569444444379769</v>
      </c>
      <c r="H122" s="136">
        <f>IFERROR(__xludf.DUMMYFUNCTION("""COMPUTED_VALUE"""),95.0)</f>
        <v>95</v>
      </c>
      <c r="I122" s="139">
        <v>52.293577982098185</v>
      </c>
      <c r="J122" s="136" t="s">
        <v>18</v>
      </c>
      <c r="K122" s="146">
        <f>IFERROR(__xludf.DUMMYFUNCTION("""COMPUTED_VALUE"""),46083.0)</f>
        <v>46083</v>
      </c>
      <c r="L122" s="136" t="str">
        <f t="shared" si="1"/>
        <v>Monday</v>
      </c>
      <c r="M122" s="136" t="str">
        <f>IFERROR(__xludf.DUMMYFUNCTION("""COMPUTED_VALUE"""),"MF")</f>
        <v>MF</v>
      </c>
      <c r="N122" s="141">
        <v>1.0937915937247693</v>
      </c>
      <c r="O122" s="136" t="str">
        <f>IFERROR(__xludf.DUMMYFUNCTION("""COMPUTED_VALUE"""),"")</f>
        <v/>
      </c>
      <c r="P122" s="136" t="str">
        <f>IFERROR(__xludf.DUMMYFUNCTION("""COMPUTED_VALUE"""),"")</f>
        <v/>
      </c>
      <c r="Q122" s="106" t="str">
        <f>IFERROR(__xludf.DUMMYFUNCTION("""COMPUTED_VALUE"""),"")</f>
        <v/>
      </c>
      <c r="R122" s="106" t="str">
        <f>IFERROR(__xludf.DUMMYFUNCTION("""COMPUTED_VALUE"""),"")</f>
        <v/>
      </c>
      <c r="S122" s="139" t="str">
        <f>IFERROR(__xludf.DUMMYFUNCTION("""COMPUTED_VALUE"""),"")</f>
        <v/>
      </c>
      <c r="T122" s="139" t="str">
        <f>IFERROR(__xludf.DUMMYFUNCTION("""COMPUTED_VALUE"""),"")</f>
        <v/>
      </c>
      <c r="U122" s="136" t="str">
        <f>IFERROR(__xludf.DUMMYFUNCTION("""COMPUTED_VALUE"""),"")</f>
        <v/>
      </c>
      <c r="V122" s="106" t="str">
        <f>IFERROR(__xludf.DUMMYFUNCTION("""COMPUTED_VALUE"""),"")</f>
        <v/>
      </c>
      <c r="W122" s="143" t="str">
        <f t="shared" si="2"/>
        <v/>
      </c>
      <c r="X122" s="139" t="str">
        <f>IFERROR(__xludf.DUMMYFUNCTION("""COMPUTED_VALUE"""),"")</f>
        <v/>
      </c>
      <c r="Y122" s="141" t="str">
        <f>IFERROR(__xludf.DUMMYFUNCTION("""COMPUTED_VALUE"""),"")</f>
        <v/>
      </c>
    </row>
    <row r="123">
      <c r="A123" s="144">
        <f>IFERROR(__xludf.DUMMYFUNCTION("""COMPUTED_VALUE"""),46083.843096770834)</f>
        <v>46083.8431</v>
      </c>
      <c r="B123" s="136" t="str">
        <f>IFERROR(__xludf.DUMMYFUNCTION("""COMPUTED_VALUE"""),"Maureen Surgot")</f>
        <v>Maureen Surgot</v>
      </c>
      <c r="C123" s="136" t="b">
        <f t="shared" si="3"/>
        <v>0</v>
      </c>
      <c r="D123" s="137">
        <f>IFERROR(__xludf.DUMMYFUNCTION("""COMPUTED_VALUE"""),0.75)</f>
        <v>0.75</v>
      </c>
      <c r="E123" s="106">
        <f>IFERROR(__xludf.DUMMYFUNCTION("""COMPUTED_VALUE"""),0.09027777778101154)</f>
        <v>0.09027777778</v>
      </c>
      <c r="F123" s="137">
        <f>IFERROR(__xludf.DUMMYFUNCTION("""COMPUTED_VALUE"""),0.8402777777810115)</f>
        <v>0.8402777778</v>
      </c>
      <c r="G123" s="106">
        <v>0.09027777778101154</v>
      </c>
      <c r="H123" s="136">
        <f>IFERROR(__xludf.DUMMYFUNCTION("""COMPUTED_VALUE"""),140.0)</f>
        <v>140</v>
      </c>
      <c r="I123" s="139">
        <v>64.61538461307009</v>
      </c>
      <c r="J123" s="136" t="s">
        <v>18</v>
      </c>
      <c r="K123" s="146">
        <f>IFERROR(__xludf.DUMMYFUNCTION("""COMPUTED_VALUE"""),46083.0)</f>
        <v>46083</v>
      </c>
      <c r="L123" s="136" t="str">
        <f t="shared" si="1"/>
        <v>Monday</v>
      </c>
      <c r="M123" s="136" t="str">
        <f>IFERROR(__xludf.DUMMYFUNCTION("""COMPUTED_VALUE"""),"MF")</f>
        <v>MF</v>
      </c>
      <c r="N123" s="141">
        <v>1.3515190056274886</v>
      </c>
      <c r="O123" s="136" t="str">
        <f>IFERROR(__xludf.DUMMYFUNCTION("""COMPUTED_VALUE"""),"")</f>
        <v/>
      </c>
      <c r="P123" s="136" t="str">
        <f>IFERROR(__xludf.DUMMYFUNCTION("""COMPUTED_VALUE"""),"")</f>
        <v/>
      </c>
      <c r="Q123" s="106" t="str">
        <f>IFERROR(__xludf.DUMMYFUNCTION("""COMPUTED_VALUE"""),"")</f>
        <v/>
      </c>
      <c r="R123" s="106" t="str">
        <f>IFERROR(__xludf.DUMMYFUNCTION("""COMPUTED_VALUE"""),"")</f>
        <v/>
      </c>
      <c r="S123" s="139" t="str">
        <f>IFERROR(__xludf.DUMMYFUNCTION("""COMPUTED_VALUE"""),"")</f>
        <v/>
      </c>
      <c r="T123" s="139" t="str">
        <f>IFERROR(__xludf.DUMMYFUNCTION("""COMPUTED_VALUE"""),"")</f>
        <v/>
      </c>
      <c r="U123" s="136" t="str">
        <f>IFERROR(__xludf.DUMMYFUNCTION("""COMPUTED_VALUE"""),"")</f>
        <v/>
      </c>
      <c r="V123" s="106" t="str">
        <f>IFERROR(__xludf.DUMMYFUNCTION("""COMPUTED_VALUE"""),"")</f>
        <v/>
      </c>
      <c r="W123" s="143" t="str">
        <f t="shared" si="2"/>
        <v/>
      </c>
      <c r="X123" s="139" t="str">
        <f>IFERROR(__xludf.DUMMYFUNCTION("""COMPUTED_VALUE"""),"")</f>
        <v/>
      </c>
      <c r="Y123" s="141" t="str">
        <f>IFERROR(__xludf.DUMMYFUNCTION("""COMPUTED_VALUE"""),"")</f>
        <v/>
      </c>
    </row>
    <row r="124">
      <c r="A124" s="144">
        <f>IFERROR(__xludf.DUMMYFUNCTION("""COMPUTED_VALUE"""),46083.95738878472)</f>
        <v>46083.95739</v>
      </c>
      <c r="B124" s="136" t="str">
        <f>IFERROR(__xludf.DUMMYFUNCTION("""COMPUTED_VALUE"""),"Denise Romanszysn")</f>
        <v>Denise Romanszysn</v>
      </c>
      <c r="C124" s="136" t="b">
        <f t="shared" si="3"/>
        <v>0</v>
      </c>
      <c r="D124" s="137">
        <f>IFERROR(__xludf.DUMMYFUNCTION("""COMPUTED_VALUE"""),0.44097222221898846)</f>
        <v>0.4409722222</v>
      </c>
      <c r="E124" s="106">
        <f>IFERROR(__xludf.DUMMYFUNCTION("""COMPUTED_VALUE"""),0.045833333337213844)</f>
        <v>0.04583333334</v>
      </c>
      <c r="F124" s="137">
        <f>IFERROR(__xludf.DUMMYFUNCTION("""COMPUTED_VALUE"""),0.4868055555562023)</f>
        <v>0.4868055556</v>
      </c>
      <c r="G124" s="106">
        <v>0.045833333337213844</v>
      </c>
      <c r="H124" s="136">
        <f>IFERROR(__xludf.DUMMYFUNCTION("""COMPUTED_VALUE"""),61.0)</f>
        <v>61</v>
      </c>
      <c r="I124" s="139">
        <v>55.45454544985036</v>
      </c>
      <c r="J124" s="136" t="s">
        <v>134</v>
      </c>
      <c r="K124" s="146">
        <f>IFERROR(__xludf.DUMMYFUNCTION("""COMPUTED_VALUE"""),46083.0)</f>
        <v>46083</v>
      </c>
      <c r="L124" s="136" t="str">
        <f t="shared" si="1"/>
        <v>Monday</v>
      </c>
      <c r="M124" s="136" t="str">
        <f>IFERROR(__xludf.DUMMYFUNCTION("""COMPUTED_VALUE"""),"BF")</f>
        <v>BF</v>
      </c>
      <c r="N124" s="141">
        <v>1.6037491356123734</v>
      </c>
      <c r="O124" s="136" t="str">
        <f>IFERROR(__xludf.DUMMYFUNCTION("""COMPUTED_VALUE"""),"")</f>
        <v/>
      </c>
      <c r="P124" s="136" t="str">
        <f>IFERROR(__xludf.DUMMYFUNCTION("""COMPUTED_VALUE"""),"")</f>
        <v/>
      </c>
      <c r="Q124" s="106" t="str">
        <f>IFERROR(__xludf.DUMMYFUNCTION("""COMPUTED_VALUE"""),"")</f>
        <v/>
      </c>
      <c r="R124" s="106" t="str">
        <f>IFERROR(__xludf.DUMMYFUNCTION("""COMPUTED_VALUE"""),"")</f>
        <v/>
      </c>
      <c r="S124" s="139" t="str">
        <f>IFERROR(__xludf.DUMMYFUNCTION("""COMPUTED_VALUE"""),"")</f>
        <v/>
      </c>
      <c r="T124" s="139" t="str">
        <f>IFERROR(__xludf.DUMMYFUNCTION("""COMPUTED_VALUE"""),"")</f>
        <v/>
      </c>
      <c r="U124" s="136" t="str">
        <f>IFERROR(__xludf.DUMMYFUNCTION("""COMPUTED_VALUE"""),"")</f>
        <v/>
      </c>
      <c r="V124" s="106" t="str">
        <f>IFERROR(__xludf.DUMMYFUNCTION("""COMPUTED_VALUE"""),"")</f>
        <v/>
      </c>
      <c r="W124" s="143" t="str">
        <f t="shared" si="2"/>
        <v/>
      </c>
      <c r="X124" s="139" t="str">
        <f>IFERROR(__xludf.DUMMYFUNCTION("""COMPUTED_VALUE"""),"")</f>
        <v/>
      </c>
      <c r="Y124" s="141" t="str">
        <f>IFERROR(__xludf.DUMMYFUNCTION("""COMPUTED_VALUE"""),"")</f>
        <v/>
      </c>
    </row>
    <row r="125">
      <c r="A125" s="144">
        <f>IFERROR(__xludf.DUMMYFUNCTION("""COMPUTED_VALUE"""),46083.958136064815)</f>
        <v>46083.95814</v>
      </c>
      <c r="B125" s="136" t="str">
        <f>IFERROR(__xludf.DUMMYFUNCTION("""COMPUTED_VALUE"""),"Denise Romanszysn")</f>
        <v>Denise Romanszysn</v>
      </c>
      <c r="C125" s="136" t="b">
        <f t="shared" si="3"/>
        <v>0</v>
      </c>
      <c r="D125" s="137">
        <f>IFERROR(__xludf.DUMMYFUNCTION("""COMPUTED_VALUE"""),0.5451388888905058)</f>
        <v>0.5451388889</v>
      </c>
      <c r="E125" s="106">
        <f>IFERROR(__xludf.DUMMYFUNCTION("""COMPUTED_VALUE"""),0.07638888889050577)</f>
        <v>0.07638888889</v>
      </c>
      <c r="F125" s="137">
        <f>IFERROR(__xludf.DUMMYFUNCTION("""COMPUTED_VALUE"""),0.6215277777810115)</f>
        <v>0.6215277778</v>
      </c>
      <c r="G125" s="106">
        <v>0.07638888889050577</v>
      </c>
      <c r="H125" s="136">
        <f>IFERROR(__xludf.DUMMYFUNCTION("""COMPUTED_VALUE"""),103.0)</f>
        <v>103</v>
      </c>
      <c r="I125" s="139">
        <v>56.181818180629016</v>
      </c>
      <c r="J125" s="136" t="s">
        <v>15</v>
      </c>
      <c r="K125" s="146">
        <f>IFERROR(__xludf.DUMMYFUNCTION("""COMPUTED_VALUE"""),46083.0)</f>
        <v>46083</v>
      </c>
      <c r="L125" s="136" t="str">
        <f t="shared" si="1"/>
        <v>Monday</v>
      </c>
      <c r="M125" s="136" t="str">
        <f>IFERROR(__xludf.DUMMYFUNCTION("""COMPUTED_VALUE"""),"MF")</f>
        <v>MF</v>
      </c>
      <c r="N125" s="141">
        <v>1.1174347270972995</v>
      </c>
      <c r="O125" s="136">
        <f>IFERROR(__xludf.DUMMYFUNCTION("""COMPUTED_VALUE"""),338.0)</f>
        <v>338</v>
      </c>
      <c r="P125" s="136">
        <f>IFERROR(__xludf.DUMMYFUNCTION("""COMPUTED_VALUE"""),190.0)</f>
        <v>190</v>
      </c>
      <c r="Q125" s="106">
        <f>IFERROR(__xludf.DUMMYFUNCTION("""COMPUTED_VALUE"""),0.242361111115315)</f>
        <v>0.2423611111</v>
      </c>
      <c r="R125" s="106">
        <f>IFERROR(__xludf.DUMMYFUNCTION("""COMPUTED_VALUE"""),0.23333333333721384)</f>
        <v>0.2333333333</v>
      </c>
      <c r="S125" s="139">
        <f>IFERROR(__xludf.DUMMYFUNCTION("""COMPUTED_VALUE"""),57.696926925265764)</f>
        <v>57.69692693</v>
      </c>
      <c r="T125" s="139">
        <f>IFERROR(__xludf.DUMMYFUNCTION("""COMPUTED_VALUE"""),37.15151514995012)</f>
        <v>37.15151515</v>
      </c>
      <c r="U125" s="136">
        <f>IFERROR(__xludf.DUMMYFUNCTION("""COMPUTED_VALUE"""),528.0)</f>
        <v>528</v>
      </c>
      <c r="V125" s="106">
        <f>IFERROR(__xludf.DUMMYFUNCTION("""COMPUTED_VALUE"""),0.47569444445252884)</f>
        <v>0.4756944445</v>
      </c>
      <c r="W125" s="143">
        <f t="shared" si="2"/>
        <v>46.24817518</v>
      </c>
      <c r="X125" s="139">
        <f>IFERROR(__xludf.DUMMYFUNCTION("""COMPUTED_VALUE"""),47.42422103760794)</f>
        <v>47.42422104</v>
      </c>
      <c r="Y125" s="141">
        <f>IFERROR(__xludf.DUMMYFUNCTION("""COMPUTED_VALUE"""),0.9210416230469348)</f>
        <v>0.921041623</v>
      </c>
    </row>
    <row r="126">
      <c r="A126" s="144">
        <f>IFERROR(__xludf.DUMMYFUNCTION("""COMPUTED_VALUE"""),46084.52628614583)</f>
        <v>46084.52629</v>
      </c>
      <c r="B126" s="136" t="str">
        <f>IFERROR(__xludf.DUMMYFUNCTION("""COMPUTED_VALUE"""),"Kaylie Forgue")</f>
        <v>Kaylie Forgue</v>
      </c>
      <c r="C126" s="136" t="b">
        <f t="shared" si="3"/>
        <v>0</v>
      </c>
      <c r="D126" s="137">
        <f>IFERROR(__xludf.DUMMYFUNCTION("""COMPUTED_VALUE"""),0.44652777777810115)</f>
        <v>0.4465277778</v>
      </c>
      <c r="E126" s="106">
        <f>IFERROR(__xludf.DUMMYFUNCTION("""COMPUTED_VALUE"""),0.07291666666424135)</f>
        <v>0.07291666666</v>
      </c>
      <c r="F126" s="137">
        <f>IFERROR(__xludf.DUMMYFUNCTION("""COMPUTED_VALUE"""),0.5194444444423425)</f>
        <v>0.5194444444</v>
      </c>
      <c r="G126" s="106">
        <v>0.07291666666424135</v>
      </c>
      <c r="H126" s="136">
        <f>IFERROR(__xludf.DUMMYFUNCTION("""COMPUTED_VALUE"""),60.0)</f>
        <v>60</v>
      </c>
      <c r="I126" s="139">
        <v>34.28571428685468</v>
      </c>
      <c r="J126" s="136" t="s">
        <v>134</v>
      </c>
      <c r="K126" s="146">
        <f>IFERROR(__xludf.DUMMYFUNCTION("""COMPUTED_VALUE"""),46084.0)</f>
        <v>46084</v>
      </c>
      <c r="L126" s="136" t="str">
        <f t="shared" si="1"/>
        <v>Tuesday</v>
      </c>
      <c r="M126" s="136" t="str">
        <f>IFERROR(__xludf.DUMMYFUNCTION("""COMPUTED_VALUE"""),"BF")</f>
        <v>BF</v>
      </c>
      <c r="N126" s="141">
        <v>1.1055476484636906</v>
      </c>
      <c r="O126" s="136" t="str">
        <f>IFERROR(__xludf.DUMMYFUNCTION("""COMPUTED_VALUE"""),"")</f>
        <v/>
      </c>
      <c r="P126" s="136" t="str">
        <f>IFERROR(__xludf.DUMMYFUNCTION("""COMPUTED_VALUE"""),"")</f>
        <v/>
      </c>
      <c r="Q126" s="106" t="str">
        <f>IFERROR(__xludf.DUMMYFUNCTION("""COMPUTED_VALUE"""),"")</f>
        <v/>
      </c>
      <c r="R126" s="106" t="str">
        <f>IFERROR(__xludf.DUMMYFUNCTION("""COMPUTED_VALUE"""),"")</f>
        <v/>
      </c>
      <c r="S126" s="139" t="str">
        <f>IFERROR(__xludf.DUMMYFUNCTION("""COMPUTED_VALUE"""),"")</f>
        <v/>
      </c>
      <c r="T126" s="139" t="str">
        <f>IFERROR(__xludf.DUMMYFUNCTION("""COMPUTED_VALUE"""),"")</f>
        <v/>
      </c>
      <c r="U126" s="136" t="str">
        <f>IFERROR(__xludf.DUMMYFUNCTION("""COMPUTED_VALUE"""),"")</f>
        <v/>
      </c>
      <c r="V126" s="106" t="str">
        <f>IFERROR(__xludf.DUMMYFUNCTION("""COMPUTED_VALUE"""),"")</f>
        <v/>
      </c>
      <c r="W126" s="143" t="str">
        <f t="shared" si="2"/>
        <v/>
      </c>
      <c r="X126" s="139" t="str">
        <f>IFERROR(__xludf.DUMMYFUNCTION("""COMPUTED_VALUE"""),"")</f>
        <v/>
      </c>
      <c r="Y126" s="141" t="str">
        <f>IFERROR(__xludf.DUMMYFUNCTION("""COMPUTED_VALUE"""),"")</f>
        <v/>
      </c>
    </row>
    <row r="127">
      <c r="A127" s="144">
        <f>IFERROR(__xludf.DUMMYFUNCTION("""COMPUTED_VALUE"""),46084.54326319444)</f>
        <v>46084.54326</v>
      </c>
      <c r="B127" s="136" t="str">
        <f>IFERROR(__xludf.DUMMYFUNCTION("""COMPUTED_VALUE"""),"Kyra Turner")</f>
        <v>Kyra Turner</v>
      </c>
      <c r="C127" s="136" t="b">
        <f t="shared" si="3"/>
        <v>0</v>
      </c>
      <c r="D127" s="137">
        <f>IFERROR(__xludf.DUMMYFUNCTION("""COMPUTED_VALUE"""),0.4812499999970896)</f>
        <v>0.48125</v>
      </c>
      <c r="E127" s="106">
        <f>IFERROR(__xludf.DUMMYFUNCTION("""COMPUTED_VALUE"""),0.05972222222771961)</f>
        <v>0.05972222223</v>
      </c>
      <c r="F127" s="137">
        <f>IFERROR(__xludf.DUMMYFUNCTION("""COMPUTED_VALUE"""),0.5409722222248092)</f>
        <v>0.5409722222</v>
      </c>
      <c r="G127" s="106">
        <v>0.13263888889196096</v>
      </c>
      <c r="H127" s="136">
        <f>IFERROR(__xludf.DUMMYFUNCTION("""COMPUTED_VALUE"""),109.0)</f>
        <v>109</v>
      </c>
      <c r="I127" s="139">
        <v>77.5916230348521</v>
      </c>
      <c r="J127" s="136" t="s">
        <v>15</v>
      </c>
      <c r="K127" s="146">
        <f>IFERROR(__xludf.DUMMYFUNCTION("""COMPUTED_VALUE"""),46084.0)</f>
        <v>46084</v>
      </c>
      <c r="L127" s="136" t="str">
        <f t="shared" si="1"/>
        <v>Tuesday</v>
      </c>
      <c r="M127" s="136" t="str">
        <f>IFERROR(__xludf.DUMMYFUNCTION("""COMPUTED_VALUE"""),"MF")</f>
        <v>MF</v>
      </c>
      <c r="N127" s="141">
        <v>1.5432675003900302</v>
      </c>
      <c r="O127" s="136" t="str">
        <f>IFERROR(__xludf.DUMMYFUNCTION("""COMPUTED_VALUE"""),"")</f>
        <v/>
      </c>
      <c r="P127" s="136" t="str">
        <f>IFERROR(__xludf.DUMMYFUNCTION("""COMPUTED_VALUE"""),"")</f>
        <v/>
      </c>
      <c r="Q127" s="106" t="str">
        <f>IFERROR(__xludf.DUMMYFUNCTION("""COMPUTED_VALUE"""),"")</f>
        <v/>
      </c>
      <c r="R127" s="106" t="str">
        <f>IFERROR(__xludf.DUMMYFUNCTION("""COMPUTED_VALUE"""),"")</f>
        <v/>
      </c>
      <c r="S127" s="139" t="str">
        <f>IFERROR(__xludf.DUMMYFUNCTION("""COMPUTED_VALUE"""),"")</f>
        <v/>
      </c>
      <c r="T127" s="139" t="str">
        <f>IFERROR(__xludf.DUMMYFUNCTION("""COMPUTED_VALUE"""),"")</f>
        <v/>
      </c>
      <c r="U127" s="136" t="str">
        <f>IFERROR(__xludf.DUMMYFUNCTION("""COMPUTED_VALUE"""),"")</f>
        <v/>
      </c>
      <c r="V127" s="106" t="str">
        <f>IFERROR(__xludf.DUMMYFUNCTION("""COMPUTED_VALUE"""),"")</f>
        <v/>
      </c>
      <c r="W127" s="143" t="str">
        <f t="shared" si="2"/>
        <v/>
      </c>
      <c r="X127" s="139" t="str">
        <f>IFERROR(__xludf.DUMMYFUNCTION("""COMPUTED_VALUE"""),"")</f>
        <v/>
      </c>
      <c r="Y127" s="141" t="str">
        <f>IFERROR(__xludf.DUMMYFUNCTION("""COMPUTED_VALUE"""),"")</f>
        <v/>
      </c>
    </row>
    <row r="128">
      <c r="A128" s="144">
        <f>IFERROR(__xludf.DUMMYFUNCTION("""COMPUTED_VALUE"""),46084.620962835645)</f>
        <v>46084.62096</v>
      </c>
      <c r="B128" s="136" t="str">
        <f>IFERROR(__xludf.DUMMYFUNCTION("""COMPUTED_VALUE"""),"Kyra Turner")</f>
        <v>Kyra Turner</v>
      </c>
      <c r="C128" s="136" t="b">
        <f t="shared" si="3"/>
        <v>1</v>
      </c>
      <c r="D128" s="137">
        <f>IFERROR(__xludf.DUMMYFUNCTION("""COMPUTED_VALUE"""),0.546527777776646)</f>
        <v>0.5465277778</v>
      </c>
      <c r="E128" s="106">
        <f>IFERROR(__xludf.DUMMYFUNCTION("""COMPUTED_VALUE"""),0.07291666666424135)</f>
        <v>0.07291666666</v>
      </c>
      <c r="F128" s="137">
        <f>IFERROR(__xludf.DUMMYFUNCTION("""COMPUTED_VALUE"""),0.6194444444408873)</f>
        <v>0.6194444444</v>
      </c>
      <c r="G128" s="106" t="s">
        <v>133</v>
      </c>
      <c r="H128" s="136">
        <f>IFERROR(__xludf.DUMMYFUNCTION("""COMPUTED_VALUE"""),138.0)</f>
        <v>138</v>
      </c>
      <c r="I128" s="139" t="s">
        <v>133</v>
      </c>
      <c r="J128" s="136" t="s">
        <v>15</v>
      </c>
      <c r="K128" s="146">
        <f>IFERROR(__xludf.DUMMYFUNCTION("""COMPUTED_VALUE"""),46084.0)</f>
        <v>46084</v>
      </c>
      <c r="L128" s="136" t="str">
        <f t="shared" si="1"/>
        <v>Tuesday</v>
      </c>
      <c r="M128" s="136" t="str">
        <f>IFERROR(__xludf.DUMMYFUNCTION("""COMPUTED_VALUE"""),"MF")</f>
        <v>MF</v>
      </c>
      <c r="N128" s="141" t="s">
        <v>133</v>
      </c>
      <c r="O128" s="136" t="str">
        <f>IFERROR(__xludf.DUMMYFUNCTION("""COMPUTED_VALUE"""),"")</f>
        <v/>
      </c>
      <c r="P128" s="136" t="str">
        <f>IFERROR(__xludf.DUMMYFUNCTION("""COMPUTED_VALUE"""),"")</f>
        <v/>
      </c>
      <c r="Q128" s="106" t="str">
        <f>IFERROR(__xludf.DUMMYFUNCTION("""COMPUTED_VALUE"""),"")</f>
        <v/>
      </c>
      <c r="R128" s="106" t="str">
        <f>IFERROR(__xludf.DUMMYFUNCTION("""COMPUTED_VALUE"""),"")</f>
        <v/>
      </c>
      <c r="S128" s="139" t="str">
        <f>IFERROR(__xludf.DUMMYFUNCTION("""COMPUTED_VALUE"""),"")</f>
        <v/>
      </c>
      <c r="T128" s="139" t="str">
        <f>IFERROR(__xludf.DUMMYFUNCTION("""COMPUTED_VALUE"""),"")</f>
        <v/>
      </c>
      <c r="U128" s="136" t="str">
        <f>IFERROR(__xludf.DUMMYFUNCTION("""COMPUTED_VALUE"""),"")</f>
        <v/>
      </c>
      <c r="V128" s="106" t="str">
        <f>IFERROR(__xludf.DUMMYFUNCTION("""COMPUTED_VALUE"""),"")</f>
        <v/>
      </c>
      <c r="W128" s="143" t="str">
        <f t="shared" si="2"/>
        <v/>
      </c>
      <c r="X128" s="139" t="str">
        <f>IFERROR(__xludf.DUMMYFUNCTION("""COMPUTED_VALUE"""),"")</f>
        <v/>
      </c>
      <c r="Y128" s="141" t="str">
        <f>IFERROR(__xludf.DUMMYFUNCTION("""COMPUTED_VALUE"""),"")</f>
        <v/>
      </c>
    </row>
    <row r="129">
      <c r="A129" s="144">
        <f>IFERROR(__xludf.DUMMYFUNCTION("""COMPUTED_VALUE"""),46084.93031916667)</f>
        <v>46084.93032</v>
      </c>
      <c r="B129" s="136" t="str">
        <f>IFERROR(__xludf.DUMMYFUNCTION("""COMPUTED_VALUE"""),"Laila Maisuria")</f>
        <v>Laila Maisuria</v>
      </c>
      <c r="C129" s="136" t="b">
        <f t="shared" si="3"/>
        <v>0</v>
      </c>
      <c r="D129" s="137">
        <f>IFERROR(__xludf.DUMMYFUNCTION("""COMPUTED_VALUE"""),0.7527777777795563)</f>
        <v>0.7527777778</v>
      </c>
      <c r="E129" s="106">
        <f>IFERROR(__xludf.DUMMYFUNCTION("""COMPUTED_VALUE"""),0.11944444444088731)</f>
        <v>0.1194444444</v>
      </c>
      <c r="F129" s="137">
        <f>IFERROR(__xludf.DUMMYFUNCTION("""COMPUTED_VALUE"""),0.8722222222204437)</f>
        <v>0.8722222222</v>
      </c>
      <c r="G129" s="106">
        <v>0.11944444444088731</v>
      </c>
      <c r="H129" s="136">
        <f>IFERROR(__xludf.DUMMYFUNCTION("""COMPUTED_VALUE"""),124.0)</f>
        <v>124</v>
      </c>
      <c r="I129" s="139">
        <v>43.255813954776556</v>
      </c>
      <c r="J129" s="136" t="s">
        <v>18</v>
      </c>
      <c r="K129" s="146">
        <f>IFERROR(__xludf.DUMMYFUNCTION("""COMPUTED_VALUE"""),46084.0)</f>
        <v>46084</v>
      </c>
      <c r="L129" s="136" t="str">
        <f t="shared" si="1"/>
        <v>Tuesday</v>
      </c>
      <c r="M129" s="136" t="str">
        <f>IFERROR(__xludf.DUMMYFUNCTION("""COMPUTED_VALUE"""),"MF")</f>
        <v>MF</v>
      </c>
      <c r="N129" s="141">
        <v>0.904754417447854</v>
      </c>
      <c r="O129" s="136">
        <f>IFERROR(__xludf.DUMMYFUNCTION("""COMPUTED_VALUE"""),371.0)</f>
        <v>371</v>
      </c>
      <c r="P129" s="136">
        <f>IFERROR(__xludf.DUMMYFUNCTION("""COMPUTED_VALUE"""),60.0)</f>
        <v>60</v>
      </c>
      <c r="Q129" s="106">
        <f>IFERROR(__xludf.DUMMYFUNCTION("""COMPUTED_VALUE"""),0.25208333333284827)</f>
        <v>0.2520833333</v>
      </c>
      <c r="R129" s="106">
        <f>IFERROR(__xludf.DUMMYFUNCTION("""COMPUTED_VALUE"""),0.07291666666424135)</f>
        <v>0.07291666666</v>
      </c>
      <c r="S129" s="139">
        <f>IFERROR(__xludf.DUMMYFUNCTION("""COMPUTED_VALUE"""),60.42371849481433)</f>
        <v>60.42371849</v>
      </c>
      <c r="T129" s="139">
        <f>IFERROR(__xludf.DUMMYFUNCTION("""COMPUTED_VALUE"""),34.28571428685468)</f>
        <v>34.28571429</v>
      </c>
      <c r="U129" s="136">
        <f>IFERROR(__xludf.DUMMYFUNCTION("""COMPUTED_VALUE"""),431.0)</f>
        <v>431</v>
      </c>
      <c r="V129" s="106">
        <f>IFERROR(__xludf.DUMMYFUNCTION("""COMPUTED_VALUE"""),0.3249999999970896)</f>
        <v>0.325</v>
      </c>
      <c r="W129" s="143">
        <f t="shared" si="2"/>
        <v>55.25641026</v>
      </c>
      <c r="X129" s="139">
        <f>IFERROR(__xludf.DUMMYFUNCTION("""COMPUTED_VALUE"""),51.71105042549445)</f>
        <v>51.71105043</v>
      </c>
      <c r="Y129" s="141">
        <f>IFERROR(__xludf.DUMMYFUNCTION("""COMPUTED_VALUE"""),0.722344423199148)</f>
        <v>0.7223444232</v>
      </c>
    </row>
    <row r="130">
      <c r="A130" s="144">
        <f>IFERROR(__xludf.DUMMYFUNCTION("""COMPUTED_VALUE"""),46085.41310872685)</f>
        <v>46085.41311</v>
      </c>
      <c r="B130" s="136" t="str">
        <f>IFERROR(__xludf.DUMMYFUNCTION("""COMPUTED_VALUE"""),"Kaylie Forgue")</f>
        <v>Kaylie Forgue</v>
      </c>
      <c r="C130" s="136" t="b">
        <f t="shared" si="3"/>
        <v>0</v>
      </c>
      <c r="D130" s="137">
        <f>IFERROR(__xludf.DUMMYFUNCTION("""COMPUTED_VALUE"""),0.3118055555532919)</f>
        <v>0.3118055556</v>
      </c>
      <c r="E130" s="106">
        <f>IFERROR(__xludf.DUMMYFUNCTION("""COMPUTED_VALUE"""),0.09791666666569654)</f>
        <v>0.09791666667</v>
      </c>
      <c r="F130" s="137">
        <f>IFERROR(__xludf.DUMMYFUNCTION("""COMPUTED_VALUE"""),0.40972222221898846)</f>
        <v>0.4097222222</v>
      </c>
      <c r="G130" s="106">
        <v>0.09791666666569654</v>
      </c>
      <c r="H130" s="136">
        <f>IFERROR(__xludf.DUMMYFUNCTION("""COMPUTED_VALUE"""),71.0)</f>
        <v>71</v>
      </c>
      <c r="I130" s="139">
        <v>30.212765957746146</v>
      </c>
      <c r="J130" s="136" t="s">
        <v>12</v>
      </c>
      <c r="K130" s="146">
        <f>IFERROR(__xludf.DUMMYFUNCTION("""COMPUTED_VALUE"""),46085.0)</f>
        <v>46085</v>
      </c>
      <c r="L130" s="136" t="str">
        <f t="shared" si="1"/>
        <v>Wednesday</v>
      </c>
      <c r="M130" s="136" t="str">
        <f>IFERROR(__xludf.DUMMYFUNCTION("""COMPUTED_VALUE"""),"BF")</f>
        <v>BF</v>
      </c>
      <c r="N130" s="141">
        <v>1.0656816210694844</v>
      </c>
      <c r="O130" s="136" t="str">
        <f>IFERROR(__xludf.DUMMYFUNCTION("""COMPUTED_VALUE"""),"")</f>
        <v/>
      </c>
      <c r="P130" s="136" t="str">
        <f>IFERROR(__xludf.DUMMYFUNCTION("""COMPUTED_VALUE"""),"")</f>
        <v/>
      </c>
      <c r="Q130" s="106" t="str">
        <f>IFERROR(__xludf.DUMMYFUNCTION("""COMPUTED_VALUE"""),"")</f>
        <v/>
      </c>
      <c r="R130" s="106" t="str">
        <f>IFERROR(__xludf.DUMMYFUNCTION("""COMPUTED_VALUE"""),"")</f>
        <v/>
      </c>
      <c r="S130" s="139" t="str">
        <f>IFERROR(__xludf.DUMMYFUNCTION("""COMPUTED_VALUE"""),"")</f>
        <v/>
      </c>
      <c r="T130" s="139" t="str">
        <f>IFERROR(__xludf.DUMMYFUNCTION("""COMPUTED_VALUE"""),"")</f>
        <v/>
      </c>
      <c r="U130" s="136" t="str">
        <f>IFERROR(__xludf.DUMMYFUNCTION("""COMPUTED_VALUE"""),"")</f>
        <v/>
      </c>
      <c r="V130" s="106" t="str">
        <f>IFERROR(__xludf.DUMMYFUNCTION("""COMPUTED_VALUE"""),"")</f>
        <v/>
      </c>
      <c r="W130" s="143" t="str">
        <f t="shared" si="2"/>
        <v/>
      </c>
      <c r="X130" s="139" t="str">
        <f>IFERROR(__xludf.DUMMYFUNCTION("""COMPUTED_VALUE"""),"")</f>
        <v/>
      </c>
      <c r="Y130" s="141" t="str">
        <f>IFERROR(__xludf.DUMMYFUNCTION("""COMPUTED_VALUE"""),"")</f>
        <v/>
      </c>
    </row>
    <row r="131">
      <c r="A131" s="144">
        <f>IFERROR(__xludf.DUMMYFUNCTION("""COMPUTED_VALUE"""),46085.473465393516)</f>
        <v>46085.47347</v>
      </c>
      <c r="B131" s="136" t="str">
        <f>IFERROR(__xludf.DUMMYFUNCTION("""COMPUTED_VALUE"""),"Oluwatimilehin Shodipe")</f>
        <v>Oluwatimilehin Shodipe</v>
      </c>
      <c r="C131" s="136" t="b">
        <f t="shared" si="3"/>
        <v>0</v>
      </c>
      <c r="D131" s="137">
        <f>IFERROR(__xludf.DUMMYFUNCTION("""COMPUTED_VALUE"""),0.42708333333575865)</f>
        <v>0.4270833333</v>
      </c>
      <c r="E131" s="106">
        <f>IFERROR(__xludf.DUMMYFUNCTION("""COMPUTED_VALUE"""),0.052083333328482695)</f>
        <v>0.05208333333</v>
      </c>
      <c r="F131" s="137">
        <f>IFERROR(__xludf.DUMMYFUNCTION("""COMPUTED_VALUE"""),0.47916666666424135)</f>
        <v>0.4791666667</v>
      </c>
      <c r="G131" s="106">
        <v>0.052083333328482695</v>
      </c>
      <c r="H131" s="136">
        <f>IFERROR(__xludf.DUMMYFUNCTION("""COMPUTED_VALUE"""),46.0)</f>
        <v>46</v>
      </c>
      <c r="I131" s="139">
        <v>36.800000003427265</v>
      </c>
      <c r="J131" s="136" t="s">
        <v>134</v>
      </c>
      <c r="K131" s="146">
        <f>IFERROR(__xludf.DUMMYFUNCTION("""COMPUTED_VALUE"""),46085.0)</f>
        <v>46085</v>
      </c>
      <c r="L131" s="136" t="str">
        <f t="shared" si="1"/>
        <v>Wednesday</v>
      </c>
      <c r="M131" s="136" t="str">
        <f>IFERROR(__xludf.DUMMYFUNCTION("""COMPUTED_VALUE"""),"BF")</f>
        <v>BF</v>
      </c>
      <c r="N131" s="141">
        <v>0.9629756965799802</v>
      </c>
      <c r="O131" s="136" t="str">
        <f>IFERROR(__xludf.DUMMYFUNCTION("""COMPUTED_VALUE"""),"")</f>
        <v/>
      </c>
      <c r="P131" s="136" t="str">
        <f>IFERROR(__xludf.DUMMYFUNCTION("""COMPUTED_VALUE"""),"")</f>
        <v/>
      </c>
      <c r="Q131" s="106" t="str">
        <f>IFERROR(__xludf.DUMMYFUNCTION("""COMPUTED_VALUE"""),"")</f>
        <v/>
      </c>
      <c r="R131" s="106" t="str">
        <f>IFERROR(__xludf.DUMMYFUNCTION("""COMPUTED_VALUE"""),"")</f>
        <v/>
      </c>
      <c r="S131" s="139" t="str">
        <f>IFERROR(__xludf.DUMMYFUNCTION("""COMPUTED_VALUE"""),"")</f>
        <v/>
      </c>
      <c r="T131" s="139" t="str">
        <f>IFERROR(__xludf.DUMMYFUNCTION("""COMPUTED_VALUE"""),"")</f>
        <v/>
      </c>
      <c r="U131" s="136" t="str">
        <f>IFERROR(__xludf.DUMMYFUNCTION("""COMPUTED_VALUE"""),"")</f>
        <v/>
      </c>
      <c r="V131" s="106" t="str">
        <f>IFERROR(__xludf.DUMMYFUNCTION("""COMPUTED_VALUE"""),"")</f>
        <v/>
      </c>
      <c r="W131" s="143" t="str">
        <f t="shared" si="2"/>
        <v/>
      </c>
      <c r="X131" s="139" t="str">
        <f>IFERROR(__xludf.DUMMYFUNCTION("""COMPUTED_VALUE"""),"")</f>
        <v/>
      </c>
      <c r="Y131" s="141" t="str">
        <f>IFERROR(__xludf.DUMMYFUNCTION("""COMPUTED_VALUE"""),"")</f>
        <v/>
      </c>
    </row>
    <row r="132">
      <c r="A132" s="144">
        <f>IFERROR(__xludf.DUMMYFUNCTION("""COMPUTED_VALUE"""),46085.51341814815)</f>
        <v>46085.51342</v>
      </c>
      <c r="B132" s="136" t="str">
        <f>IFERROR(__xludf.DUMMYFUNCTION("""COMPUTED_VALUE"""),"Oluwatimilehin Shodipe")</f>
        <v>Oluwatimilehin Shodipe</v>
      </c>
      <c r="C132" s="136" t="b">
        <f t="shared" si="3"/>
        <v>0</v>
      </c>
      <c r="D132" s="137">
        <f>IFERROR(__xludf.DUMMYFUNCTION("""COMPUTED_VALUE"""),0.48611111110949423)</f>
        <v>0.4861111111</v>
      </c>
      <c r="E132" s="106">
        <f>IFERROR(__xludf.DUMMYFUNCTION("""COMPUTED_VALUE"""),0.024305555554747116)</f>
        <v>0.02430555555</v>
      </c>
      <c r="F132" s="137">
        <f>IFERROR(__xludf.DUMMYFUNCTION("""COMPUTED_VALUE"""),0.5104166666642413)</f>
        <v>0.5104166667</v>
      </c>
      <c r="G132" s="106">
        <v>0.024305555554747116</v>
      </c>
      <c r="H132" s="136">
        <f>IFERROR(__xludf.DUMMYFUNCTION("""COMPUTED_VALUE"""),29.0)</f>
        <v>29</v>
      </c>
      <c r="I132" s="139">
        <v>49.71428571593929</v>
      </c>
      <c r="J132" s="136" t="s">
        <v>15</v>
      </c>
      <c r="K132" s="146">
        <f>IFERROR(__xludf.DUMMYFUNCTION("""COMPUTED_VALUE"""),46085.0)</f>
        <v>46085</v>
      </c>
      <c r="L132" s="136" t="str">
        <f t="shared" si="1"/>
        <v>Wednesday</v>
      </c>
      <c r="M132" s="136" t="str">
        <f>IFERROR(__xludf.DUMMYFUNCTION("""COMPUTED_VALUE"""),"MF")</f>
        <v>MF</v>
      </c>
      <c r="N132" s="141">
        <v>0.9887979971246602</v>
      </c>
      <c r="O132" s="136" t="str">
        <f>IFERROR(__xludf.DUMMYFUNCTION("""COMPUTED_VALUE"""),"")</f>
        <v/>
      </c>
      <c r="P132" s="136" t="str">
        <f>IFERROR(__xludf.DUMMYFUNCTION("""COMPUTED_VALUE"""),"")</f>
        <v/>
      </c>
      <c r="Q132" s="106" t="str">
        <f>IFERROR(__xludf.DUMMYFUNCTION("""COMPUTED_VALUE"""),"")</f>
        <v/>
      </c>
      <c r="R132" s="106" t="str">
        <f>IFERROR(__xludf.DUMMYFUNCTION("""COMPUTED_VALUE"""),"")</f>
        <v/>
      </c>
      <c r="S132" s="139" t="str">
        <f>IFERROR(__xludf.DUMMYFUNCTION("""COMPUTED_VALUE"""),"")</f>
        <v/>
      </c>
      <c r="T132" s="139" t="str">
        <f>IFERROR(__xludf.DUMMYFUNCTION("""COMPUTED_VALUE"""),"")</f>
        <v/>
      </c>
      <c r="U132" s="136" t="str">
        <f>IFERROR(__xludf.DUMMYFUNCTION("""COMPUTED_VALUE"""),"")</f>
        <v/>
      </c>
      <c r="V132" s="106" t="str">
        <f>IFERROR(__xludf.DUMMYFUNCTION("""COMPUTED_VALUE"""),"")</f>
        <v/>
      </c>
      <c r="W132" s="143" t="str">
        <f t="shared" si="2"/>
        <v/>
      </c>
      <c r="X132" s="139" t="str">
        <f>IFERROR(__xludf.DUMMYFUNCTION("""COMPUTED_VALUE"""),"")</f>
        <v/>
      </c>
      <c r="Y132" s="141" t="str">
        <f>IFERROR(__xludf.DUMMYFUNCTION("""COMPUTED_VALUE"""),"")</f>
        <v/>
      </c>
    </row>
    <row r="133">
      <c r="A133" s="144">
        <f>IFERROR(__xludf.DUMMYFUNCTION("""COMPUTED_VALUE"""),46085.621953553244)</f>
        <v>46085.62195</v>
      </c>
      <c r="B133" s="136" t="str">
        <f>IFERROR(__xludf.DUMMYFUNCTION("""COMPUTED_VALUE"""),"Evan Morgan")</f>
        <v>Evan Morgan</v>
      </c>
      <c r="C133" s="136" t="b">
        <f t="shared" si="3"/>
        <v>0</v>
      </c>
      <c r="D133" s="137">
        <f>IFERROR(__xludf.DUMMYFUNCTION("""COMPUTED_VALUE"""),0.5416666666642413)</f>
        <v>0.5416666667</v>
      </c>
      <c r="E133" s="106">
        <f>IFERROR(__xludf.DUMMYFUNCTION("""COMPUTED_VALUE"""),0.07847222222335404)</f>
        <v>0.07847222222</v>
      </c>
      <c r="F133" s="137">
        <f>IFERROR(__xludf.DUMMYFUNCTION("""COMPUTED_VALUE"""),0.6201388888875954)</f>
        <v>0.6201388889</v>
      </c>
      <c r="G133" s="106">
        <v>0.07847222222335404</v>
      </c>
      <c r="H133" s="136">
        <f>IFERROR(__xludf.DUMMYFUNCTION("""COMPUTED_VALUE"""),134.0)</f>
        <v>134</v>
      </c>
      <c r="I133" s="139">
        <v>71.15044247684989</v>
      </c>
      <c r="J133" s="136" t="s">
        <v>15</v>
      </c>
      <c r="K133" s="146">
        <f>IFERROR(__xludf.DUMMYFUNCTION("""COMPUTED_VALUE"""),46085.0)</f>
        <v>46085</v>
      </c>
      <c r="L133" s="136" t="str">
        <f t="shared" si="1"/>
        <v>Wednesday</v>
      </c>
      <c r="M133" s="136" t="str">
        <f>IFERROR(__xludf.DUMMYFUNCTION("""COMPUTED_VALUE"""),"MF")</f>
        <v>MF</v>
      </c>
      <c r="N133" s="141">
        <v>1.4151548996928656</v>
      </c>
      <c r="O133" s="136" t="str">
        <f>IFERROR(__xludf.DUMMYFUNCTION("""COMPUTED_VALUE"""),"")</f>
        <v/>
      </c>
      <c r="P133" s="136" t="str">
        <f>IFERROR(__xludf.DUMMYFUNCTION("""COMPUTED_VALUE"""),"")</f>
        <v/>
      </c>
      <c r="Q133" s="106" t="str">
        <f>IFERROR(__xludf.DUMMYFUNCTION("""COMPUTED_VALUE"""),"")</f>
        <v/>
      </c>
      <c r="R133" s="106" t="str">
        <f>IFERROR(__xludf.DUMMYFUNCTION("""COMPUTED_VALUE"""),"")</f>
        <v/>
      </c>
      <c r="S133" s="139" t="str">
        <f>IFERROR(__xludf.DUMMYFUNCTION("""COMPUTED_VALUE"""),"")</f>
        <v/>
      </c>
      <c r="T133" s="139" t="str">
        <f>IFERROR(__xludf.DUMMYFUNCTION("""COMPUTED_VALUE"""),"")</f>
        <v/>
      </c>
      <c r="U133" s="136" t="str">
        <f>IFERROR(__xludf.DUMMYFUNCTION("""COMPUTED_VALUE"""),"")</f>
        <v/>
      </c>
      <c r="V133" s="106" t="str">
        <f>IFERROR(__xludf.DUMMYFUNCTION("""COMPUTED_VALUE"""),"")</f>
        <v/>
      </c>
      <c r="W133" s="143" t="str">
        <f t="shared" si="2"/>
        <v/>
      </c>
      <c r="X133" s="139" t="str">
        <f>IFERROR(__xludf.DUMMYFUNCTION("""COMPUTED_VALUE"""),"")</f>
        <v/>
      </c>
      <c r="Y133" s="141" t="str">
        <f>IFERROR(__xludf.DUMMYFUNCTION("""COMPUTED_VALUE"""),"")</f>
        <v/>
      </c>
    </row>
    <row r="134">
      <c r="A134" s="144">
        <f>IFERROR(__xludf.DUMMYFUNCTION("""COMPUTED_VALUE"""),46085.733698298616)</f>
        <v>46085.7337</v>
      </c>
      <c r="B134" s="136" t="str">
        <f>IFERROR(__xludf.DUMMYFUNCTION("""COMPUTED_VALUE"""),"Evan Morgan")</f>
        <v>Evan Morgan</v>
      </c>
      <c r="C134" s="136" t="b">
        <f t="shared" si="3"/>
        <v>0</v>
      </c>
      <c r="D134" s="137">
        <f>IFERROR(__xludf.DUMMYFUNCTION("""COMPUTED_VALUE"""),0.6666666666642413)</f>
        <v>0.6666666667</v>
      </c>
      <c r="E134" s="106">
        <f>IFERROR(__xludf.DUMMYFUNCTION("""COMPUTED_VALUE"""),0.0666666666729725)</f>
        <v>0.06666666667</v>
      </c>
      <c r="F134" s="137">
        <f>IFERROR(__xludf.DUMMYFUNCTION("""COMPUTED_VALUE"""),0.7333333333372138)</f>
        <v>0.7333333333</v>
      </c>
      <c r="G134" s="106">
        <v>0.0666666666729725</v>
      </c>
      <c r="H134" s="136">
        <f>IFERROR(__xludf.DUMMYFUNCTION("""COMPUTED_VALUE"""),48.0)</f>
        <v>48</v>
      </c>
      <c r="I134" s="139">
        <v>29.999999997162377</v>
      </c>
      <c r="J134" s="136" t="s">
        <v>18</v>
      </c>
      <c r="K134" s="146">
        <f>IFERROR(__xludf.DUMMYFUNCTION("""COMPUTED_VALUE"""),46085.0)</f>
        <v>46085</v>
      </c>
      <c r="L134" s="136" t="str">
        <f t="shared" si="1"/>
        <v>Wednesday</v>
      </c>
      <c r="M134" s="136" t="str">
        <f>IFERROR(__xludf.DUMMYFUNCTION("""COMPUTED_VALUE"""),"MF")</f>
        <v>MF</v>
      </c>
      <c r="N134" s="141">
        <v>0.6274909668616008</v>
      </c>
      <c r="O134" s="136" t="str">
        <f>IFERROR(__xludf.DUMMYFUNCTION("""COMPUTED_VALUE"""),"")</f>
        <v/>
      </c>
      <c r="P134" s="136" t="str">
        <f>IFERROR(__xludf.DUMMYFUNCTION("""COMPUTED_VALUE"""),"")</f>
        <v/>
      </c>
      <c r="Q134" s="106" t="str">
        <f>IFERROR(__xludf.DUMMYFUNCTION("""COMPUTED_VALUE"""),"")</f>
        <v/>
      </c>
      <c r="R134" s="106" t="str">
        <f>IFERROR(__xludf.DUMMYFUNCTION("""COMPUTED_VALUE"""),"")</f>
        <v/>
      </c>
      <c r="S134" s="139" t="str">
        <f>IFERROR(__xludf.DUMMYFUNCTION("""COMPUTED_VALUE"""),"")</f>
        <v/>
      </c>
      <c r="T134" s="139" t="str">
        <f>IFERROR(__xludf.DUMMYFUNCTION("""COMPUTED_VALUE"""),"")</f>
        <v/>
      </c>
      <c r="U134" s="136" t="str">
        <f>IFERROR(__xludf.DUMMYFUNCTION("""COMPUTED_VALUE"""),"")</f>
        <v/>
      </c>
      <c r="V134" s="106" t="str">
        <f>IFERROR(__xludf.DUMMYFUNCTION("""COMPUTED_VALUE"""),"")</f>
        <v/>
      </c>
      <c r="W134" s="143" t="str">
        <f t="shared" si="2"/>
        <v/>
      </c>
      <c r="X134" s="139" t="str">
        <f>IFERROR(__xludf.DUMMYFUNCTION("""COMPUTED_VALUE"""),"")</f>
        <v/>
      </c>
      <c r="Y134" s="141" t="str">
        <f>IFERROR(__xludf.DUMMYFUNCTION("""COMPUTED_VALUE"""),"")</f>
        <v/>
      </c>
    </row>
    <row r="135">
      <c r="A135" s="144">
        <f>IFERROR(__xludf.DUMMYFUNCTION("""COMPUTED_VALUE"""),46085.84603962963)</f>
        <v>46085.84604</v>
      </c>
      <c r="B135" s="136" t="str">
        <f>IFERROR(__xludf.DUMMYFUNCTION("""COMPUTED_VALUE"""),"Maureen Surgot")</f>
        <v>Maureen Surgot</v>
      </c>
      <c r="C135" s="136" t="b">
        <f t="shared" si="3"/>
        <v>0</v>
      </c>
      <c r="D135" s="137">
        <f>IFERROR(__xludf.DUMMYFUNCTION("""COMPUTED_VALUE"""),0.6875)</f>
        <v>0.6875</v>
      </c>
      <c r="E135" s="106">
        <f>IFERROR(__xludf.DUMMYFUNCTION("""COMPUTED_VALUE"""),0.16666666666424135)</f>
        <v>0.1666666667</v>
      </c>
      <c r="F135" s="137">
        <f>IFERROR(__xludf.DUMMYFUNCTION("""COMPUTED_VALUE"""),0.8541666666642413)</f>
        <v>0.8541666667</v>
      </c>
      <c r="G135" s="106">
        <v>0.16666666666424135</v>
      </c>
      <c r="H135" s="136">
        <f>IFERROR(__xludf.DUMMYFUNCTION("""COMPUTED_VALUE"""),258.0)</f>
        <v>258</v>
      </c>
      <c r="I135" s="139">
        <v>64.5000000009386</v>
      </c>
      <c r="J135" s="136" t="s">
        <v>18</v>
      </c>
      <c r="K135" s="146">
        <f>IFERROR(__xludf.DUMMYFUNCTION("""COMPUTED_VALUE"""),46085.0)</f>
        <v>46085</v>
      </c>
      <c r="L135" s="136" t="str">
        <f t="shared" si="1"/>
        <v>Wednesday</v>
      </c>
      <c r="M135" s="136" t="str">
        <f>IFERROR(__xludf.DUMMYFUNCTION("""COMPUTED_VALUE"""),"BF")</f>
        <v>BF</v>
      </c>
      <c r="N135" s="141">
        <v>1.4516624040920716</v>
      </c>
      <c r="O135" s="136" t="str">
        <f>IFERROR(__xludf.DUMMYFUNCTION("""COMPUTED_VALUE"""),"")</f>
        <v/>
      </c>
      <c r="P135" s="136" t="str">
        <f>IFERROR(__xludf.DUMMYFUNCTION("""COMPUTED_VALUE"""),"")</f>
        <v/>
      </c>
      <c r="Q135" s="106" t="str">
        <f>IFERROR(__xludf.DUMMYFUNCTION("""COMPUTED_VALUE"""),"")</f>
        <v/>
      </c>
      <c r="R135" s="106" t="str">
        <f>IFERROR(__xludf.DUMMYFUNCTION("""COMPUTED_VALUE"""),"")</f>
        <v/>
      </c>
      <c r="S135" s="139" t="str">
        <f>IFERROR(__xludf.DUMMYFUNCTION("""COMPUTED_VALUE"""),"")</f>
        <v/>
      </c>
      <c r="T135" s="139" t="str">
        <f>IFERROR(__xludf.DUMMYFUNCTION("""COMPUTED_VALUE"""),"")</f>
        <v/>
      </c>
      <c r="U135" s="136" t="str">
        <f>IFERROR(__xludf.DUMMYFUNCTION("""COMPUTED_VALUE"""),"")</f>
        <v/>
      </c>
      <c r="V135" s="106" t="str">
        <f>IFERROR(__xludf.DUMMYFUNCTION("""COMPUTED_VALUE"""),"")</f>
        <v/>
      </c>
      <c r="W135" s="143" t="str">
        <f t="shared" si="2"/>
        <v/>
      </c>
      <c r="X135" s="139" t="str">
        <f>IFERROR(__xludf.DUMMYFUNCTION("""COMPUTED_VALUE"""),"")</f>
        <v/>
      </c>
      <c r="Y135" s="141" t="str">
        <f>IFERROR(__xludf.DUMMYFUNCTION("""COMPUTED_VALUE"""),"")</f>
        <v/>
      </c>
    </row>
    <row r="136">
      <c r="A136" s="144">
        <f>IFERROR(__xludf.DUMMYFUNCTION("""COMPUTED_VALUE"""),46085.86977341435)</f>
        <v>46085.86977</v>
      </c>
      <c r="B136" s="136" t="str">
        <f>IFERROR(__xludf.DUMMYFUNCTION("""COMPUTED_VALUE"""),"Brynn Hornig")</f>
        <v>Brynn Hornig</v>
      </c>
      <c r="C136" s="136" t="b">
        <f t="shared" si="3"/>
        <v>0</v>
      </c>
      <c r="D136" s="137">
        <f>IFERROR(__xludf.DUMMYFUNCTION("""COMPUTED_VALUE"""),0.75)</f>
        <v>0.75</v>
      </c>
      <c r="E136" s="106">
        <f>IFERROR(__xludf.DUMMYFUNCTION("""COMPUTED_VALUE"""),0.125)</f>
        <v>0.125</v>
      </c>
      <c r="F136" s="137">
        <f>IFERROR(__xludf.DUMMYFUNCTION("""COMPUTED_VALUE"""),0.875)</f>
        <v>0.875</v>
      </c>
      <c r="G136" s="106">
        <v>0.125</v>
      </c>
      <c r="H136" s="136">
        <f>IFERROR(__xludf.DUMMYFUNCTION("""COMPUTED_VALUE"""),112.0)</f>
        <v>112</v>
      </c>
      <c r="I136" s="139">
        <v>37.333333333333336</v>
      </c>
      <c r="J136" s="136" t="s">
        <v>18</v>
      </c>
      <c r="K136" s="146">
        <f>IFERROR(__xludf.DUMMYFUNCTION("""COMPUTED_VALUE"""),46085.0)</f>
        <v>46085</v>
      </c>
      <c r="L136" s="136" t="str">
        <f t="shared" si="1"/>
        <v>Wednesday</v>
      </c>
      <c r="M136" s="136" t="str">
        <f>IFERROR(__xludf.DUMMYFUNCTION("""COMPUTED_VALUE"""),"MF")</f>
        <v>MF</v>
      </c>
      <c r="N136" s="141">
        <v>0.7808776477238534</v>
      </c>
      <c r="O136" s="136">
        <f>IFERROR(__xludf.DUMMYFUNCTION("""COMPUTED_VALUE"""),323.0)</f>
        <v>323</v>
      </c>
      <c r="P136" s="136">
        <f>IFERROR(__xludf.DUMMYFUNCTION("""COMPUTED_VALUE"""),375.0)</f>
        <v>375</v>
      </c>
      <c r="Q136" s="106">
        <f>IFERROR(__xludf.DUMMYFUNCTION("""COMPUTED_VALUE"""),0.29444444445107365)</f>
        <v>0.2944444445</v>
      </c>
      <c r="R136" s="106">
        <f>IFERROR(__xludf.DUMMYFUNCTION("""COMPUTED_VALUE"""),0.3166666666584206)</f>
        <v>0.3166666667</v>
      </c>
      <c r="S136" s="139">
        <f>IFERROR(__xludf.DUMMYFUNCTION("""COMPUTED_VALUE"""),47.04951538082123)</f>
        <v>47.04951538</v>
      </c>
      <c r="T136" s="139">
        <f>IFERROR(__xludf.DUMMYFUNCTION("""COMPUTED_VALUE"""),43.83758865403734)</f>
        <v>43.83758865</v>
      </c>
      <c r="U136" s="136">
        <f>IFERROR(__xludf.DUMMYFUNCTION("""COMPUTED_VALUE"""),698.0)</f>
        <v>698</v>
      </c>
      <c r="V136" s="106">
        <f>IFERROR(__xludf.DUMMYFUNCTION("""COMPUTED_VALUE"""),0.6111111111094942)</f>
        <v>0.6111111111</v>
      </c>
      <c r="W136" s="143">
        <f t="shared" si="2"/>
        <v>47.59090909</v>
      </c>
      <c r="X136" s="139">
        <f>IFERROR(__xludf.DUMMYFUNCTION("""COMPUTED_VALUE"""),45.6729753550567)</f>
        <v>45.67297536</v>
      </c>
      <c r="Y136" s="141">
        <f>IFERROR(__xludf.DUMMYFUNCTION("""COMPUTED_VALUE"""),0.8979191603465022)</f>
        <v>0.8979191603</v>
      </c>
    </row>
    <row r="137">
      <c r="A137" s="144">
        <f>IFERROR(__xludf.DUMMYFUNCTION("""COMPUTED_VALUE"""),46086.362480104166)</f>
        <v>46086.36248</v>
      </c>
      <c r="B137" s="136" t="str">
        <f>IFERROR(__xludf.DUMMYFUNCTION("""COMPUTED_VALUE"""),"Evan Morgan")</f>
        <v>Evan Morgan</v>
      </c>
      <c r="C137" s="136" t="b">
        <f t="shared" si="3"/>
        <v>0</v>
      </c>
      <c r="D137" s="137">
        <f>IFERROR(__xludf.DUMMYFUNCTION("""COMPUTED_VALUE"""),0.29166666666424135)</f>
        <v>0.2916666667</v>
      </c>
      <c r="E137" s="106">
        <f>IFERROR(__xludf.DUMMYFUNCTION("""COMPUTED_VALUE"""),0.07013888889196096)</f>
        <v>0.07013888889</v>
      </c>
      <c r="F137" s="137">
        <f>IFERROR(__xludf.DUMMYFUNCTION("""COMPUTED_VALUE"""),0.3618055555562023)</f>
        <v>0.3618055556</v>
      </c>
      <c r="G137" s="106">
        <v>0.07013888889196096</v>
      </c>
      <c r="H137" s="136">
        <f>IFERROR(__xludf.DUMMYFUNCTION("""COMPUTED_VALUE"""),18.0)</f>
        <v>18</v>
      </c>
      <c r="I137" s="139">
        <v>10.693069306462338</v>
      </c>
      <c r="J137" s="136" t="s">
        <v>12</v>
      </c>
      <c r="K137" s="146">
        <f>IFERROR(__xludf.DUMMYFUNCTION("""COMPUTED_VALUE"""),46086.0)</f>
        <v>46086</v>
      </c>
      <c r="L137" s="136" t="str">
        <f t="shared" si="1"/>
        <v>Thursday</v>
      </c>
      <c r="M137" s="136" t="str">
        <f>IFERROR(__xludf.DUMMYFUNCTION("""COMPUTED_VALUE"""),"MF")</f>
        <v>MF</v>
      </c>
      <c r="N137" s="141">
        <v>0.23873236873649836</v>
      </c>
      <c r="O137" s="136" t="str">
        <f>IFERROR(__xludf.DUMMYFUNCTION("""COMPUTED_VALUE"""),"")</f>
        <v/>
      </c>
      <c r="P137" s="136" t="str">
        <f>IFERROR(__xludf.DUMMYFUNCTION("""COMPUTED_VALUE"""),"")</f>
        <v/>
      </c>
      <c r="Q137" s="106" t="str">
        <f>IFERROR(__xludf.DUMMYFUNCTION("""COMPUTED_VALUE"""),"")</f>
        <v/>
      </c>
      <c r="R137" s="106" t="str">
        <f>IFERROR(__xludf.DUMMYFUNCTION("""COMPUTED_VALUE"""),"")</f>
        <v/>
      </c>
      <c r="S137" s="139" t="str">
        <f>IFERROR(__xludf.DUMMYFUNCTION("""COMPUTED_VALUE"""),"")</f>
        <v/>
      </c>
      <c r="T137" s="139" t="str">
        <f>IFERROR(__xludf.DUMMYFUNCTION("""COMPUTED_VALUE"""),"")</f>
        <v/>
      </c>
      <c r="U137" s="136" t="str">
        <f>IFERROR(__xludf.DUMMYFUNCTION("""COMPUTED_VALUE"""),"")</f>
        <v/>
      </c>
      <c r="V137" s="106" t="str">
        <f>IFERROR(__xludf.DUMMYFUNCTION("""COMPUTED_VALUE"""),"")</f>
        <v/>
      </c>
      <c r="W137" s="143" t="str">
        <f t="shared" si="2"/>
        <v/>
      </c>
      <c r="X137" s="139" t="str">
        <f>IFERROR(__xludf.DUMMYFUNCTION("""COMPUTED_VALUE"""),"")</f>
        <v/>
      </c>
      <c r="Y137" s="141" t="str">
        <f>IFERROR(__xludf.DUMMYFUNCTION("""COMPUTED_VALUE"""),"")</f>
        <v/>
      </c>
    </row>
    <row r="138">
      <c r="A138" s="144">
        <f>IFERROR(__xludf.DUMMYFUNCTION("""COMPUTED_VALUE"""),46086.47893978009)</f>
        <v>46086.47894</v>
      </c>
      <c r="B138" s="136" t="str">
        <f>IFERROR(__xludf.DUMMYFUNCTION("""COMPUTED_VALUE"""),"Sophia Kluck")</f>
        <v>Sophia Kluck</v>
      </c>
      <c r="C138" s="136" t="b">
        <f t="shared" si="3"/>
        <v>0</v>
      </c>
      <c r="D138" s="137">
        <f>IFERROR(__xludf.DUMMYFUNCTION("""COMPUTED_VALUE"""),0.367361111115315)</f>
        <v>0.3673611111</v>
      </c>
      <c r="E138" s="106">
        <f>IFERROR(__xludf.DUMMYFUNCTION("""COMPUTED_VALUE"""),0.10763888888322981)</f>
        <v>0.1076388889</v>
      </c>
      <c r="F138" s="137">
        <f>IFERROR(__xludf.DUMMYFUNCTION("""COMPUTED_VALUE"""),0.4749999999985448)</f>
        <v>0.475</v>
      </c>
      <c r="G138" s="106">
        <v>0.10763888888322981</v>
      </c>
      <c r="H138" s="136">
        <f>IFERROR(__xludf.DUMMYFUNCTION("""COMPUTED_VALUE"""),92.0)</f>
        <v>92</v>
      </c>
      <c r="I138" s="139">
        <v>35.612903227678785</v>
      </c>
      <c r="J138" s="136" t="s">
        <v>134</v>
      </c>
      <c r="K138" s="146">
        <f>IFERROR(__xludf.DUMMYFUNCTION("""COMPUTED_VALUE"""),46086.0)</f>
        <v>46086</v>
      </c>
      <c r="L138" s="136" t="str">
        <f t="shared" si="1"/>
        <v>Thursday</v>
      </c>
      <c r="M138" s="136" t="str">
        <f>IFERROR(__xludf.DUMMYFUNCTION("""COMPUTED_VALUE"""),"BF")</f>
        <v>BF</v>
      </c>
      <c r="N138" s="141">
        <v>0.8430002384677543</v>
      </c>
      <c r="O138" s="136" t="str">
        <f>IFERROR(__xludf.DUMMYFUNCTION("""COMPUTED_VALUE"""),"")</f>
        <v/>
      </c>
      <c r="P138" s="136" t="str">
        <f>IFERROR(__xludf.DUMMYFUNCTION("""COMPUTED_VALUE"""),"")</f>
        <v/>
      </c>
      <c r="Q138" s="106" t="str">
        <f>IFERROR(__xludf.DUMMYFUNCTION("""COMPUTED_VALUE"""),"")</f>
        <v/>
      </c>
      <c r="R138" s="106" t="str">
        <f>IFERROR(__xludf.DUMMYFUNCTION("""COMPUTED_VALUE"""),"")</f>
        <v/>
      </c>
      <c r="S138" s="139" t="str">
        <f>IFERROR(__xludf.DUMMYFUNCTION("""COMPUTED_VALUE"""),"")</f>
        <v/>
      </c>
      <c r="T138" s="139" t="str">
        <f>IFERROR(__xludf.DUMMYFUNCTION("""COMPUTED_VALUE"""),"")</f>
        <v/>
      </c>
      <c r="U138" s="136" t="str">
        <f>IFERROR(__xludf.DUMMYFUNCTION("""COMPUTED_VALUE"""),"")</f>
        <v/>
      </c>
      <c r="V138" s="106" t="str">
        <f>IFERROR(__xludf.DUMMYFUNCTION("""COMPUTED_VALUE"""),"")</f>
        <v/>
      </c>
      <c r="W138" s="143" t="str">
        <f t="shared" si="2"/>
        <v/>
      </c>
      <c r="X138" s="139" t="str">
        <f>IFERROR(__xludf.DUMMYFUNCTION("""COMPUTED_VALUE"""),"")</f>
        <v/>
      </c>
      <c r="Y138" s="141" t="str">
        <f>IFERROR(__xludf.DUMMYFUNCTION("""COMPUTED_VALUE"""),"")</f>
        <v/>
      </c>
    </row>
    <row r="139">
      <c r="A139" s="144">
        <f>IFERROR(__xludf.DUMMYFUNCTION("""COMPUTED_VALUE"""),46086.527243159726)</f>
        <v>46086.52724</v>
      </c>
      <c r="B139" s="136" t="str">
        <f>IFERROR(__xludf.DUMMYFUNCTION("""COMPUTED_VALUE"""),"Emmett Khan")</f>
        <v>Emmett Khan</v>
      </c>
      <c r="C139" s="136" t="b">
        <f t="shared" si="3"/>
        <v>0</v>
      </c>
      <c r="D139" s="137">
        <f>IFERROR(__xludf.DUMMYFUNCTION("""COMPUTED_VALUE"""),0.47916666666424135)</f>
        <v>0.4791666667</v>
      </c>
      <c r="E139" s="106">
        <f>IFERROR(__xludf.DUMMYFUNCTION("""COMPUTED_VALUE"""),0.05208333333575865)</f>
        <v>0.05208333334</v>
      </c>
      <c r="F139" s="137">
        <f>IFERROR(__xludf.DUMMYFUNCTION("""COMPUTED_VALUE"""),0.53125)</f>
        <v>0.53125</v>
      </c>
      <c r="G139" s="106">
        <v>0.05208333333575865</v>
      </c>
      <c r="H139" s="136">
        <f>IFERROR(__xludf.DUMMYFUNCTION("""COMPUTED_VALUE"""),72.0)</f>
        <v>72</v>
      </c>
      <c r="I139" s="139">
        <v>57.59999999731779</v>
      </c>
      <c r="J139" s="136" t="s">
        <v>15</v>
      </c>
      <c r="K139" s="146">
        <f>IFERROR(__xludf.DUMMYFUNCTION("""COMPUTED_VALUE"""),46086.0)</f>
        <v>46086</v>
      </c>
      <c r="L139" s="136" t="str">
        <f t="shared" si="1"/>
        <v>Thursday</v>
      </c>
      <c r="M139" s="136" t="str">
        <f>IFERROR(__xludf.DUMMYFUNCTION("""COMPUTED_VALUE"""),"MF")</f>
        <v>MF</v>
      </c>
      <c r="N139" s="141">
        <v>1.145641817266773</v>
      </c>
      <c r="O139" s="136" t="str">
        <f>IFERROR(__xludf.DUMMYFUNCTION("""COMPUTED_VALUE"""),"")</f>
        <v/>
      </c>
      <c r="P139" s="136" t="str">
        <f>IFERROR(__xludf.DUMMYFUNCTION("""COMPUTED_VALUE"""),"")</f>
        <v/>
      </c>
      <c r="Q139" s="106" t="str">
        <f>IFERROR(__xludf.DUMMYFUNCTION("""COMPUTED_VALUE"""),"")</f>
        <v/>
      </c>
      <c r="R139" s="106" t="str">
        <f>IFERROR(__xludf.DUMMYFUNCTION("""COMPUTED_VALUE"""),"")</f>
        <v/>
      </c>
      <c r="S139" s="139" t="str">
        <f>IFERROR(__xludf.DUMMYFUNCTION("""COMPUTED_VALUE"""),"")</f>
        <v/>
      </c>
      <c r="T139" s="139" t="str">
        <f>IFERROR(__xludf.DUMMYFUNCTION("""COMPUTED_VALUE"""),"")</f>
        <v/>
      </c>
      <c r="U139" s="136" t="str">
        <f>IFERROR(__xludf.DUMMYFUNCTION("""COMPUTED_VALUE"""),"")</f>
        <v/>
      </c>
      <c r="V139" s="106" t="str">
        <f>IFERROR(__xludf.DUMMYFUNCTION("""COMPUTED_VALUE"""),"")</f>
        <v/>
      </c>
      <c r="W139" s="143" t="str">
        <f t="shared" si="2"/>
        <v/>
      </c>
      <c r="X139" s="139" t="str">
        <f>IFERROR(__xludf.DUMMYFUNCTION("""COMPUTED_VALUE"""),"")</f>
        <v/>
      </c>
      <c r="Y139" s="141" t="str">
        <f>IFERROR(__xludf.DUMMYFUNCTION("""COMPUTED_VALUE"""),"")</f>
        <v/>
      </c>
    </row>
    <row r="140">
      <c r="A140" s="144">
        <f>IFERROR(__xludf.DUMMYFUNCTION("""COMPUTED_VALUE"""),46086.64518774305)</f>
        <v>46086.64519</v>
      </c>
      <c r="B140" s="136" t="str">
        <f>IFERROR(__xludf.DUMMYFUNCTION("""COMPUTED_VALUE"""),"Kyra Turner")</f>
        <v>Kyra Turner</v>
      </c>
      <c r="C140" s="136" t="b">
        <f t="shared" si="3"/>
        <v>0</v>
      </c>
      <c r="D140" s="137">
        <f>IFERROR(__xludf.DUMMYFUNCTION("""COMPUTED_VALUE"""),0.5006944444467081)</f>
        <v>0.5006944444</v>
      </c>
      <c r="E140" s="106">
        <f>IFERROR(__xludf.DUMMYFUNCTION("""COMPUTED_VALUE"""),0.1430555555562023)</f>
        <v>0.1430555556</v>
      </c>
      <c r="F140" s="137">
        <f>IFERROR(__xludf.DUMMYFUNCTION("""COMPUTED_VALUE"""),0.6437500000029104)</f>
        <v>0.64375</v>
      </c>
      <c r="G140" s="106">
        <v>0.1430555555562023</v>
      </c>
      <c r="H140" s="136">
        <f>IFERROR(__xludf.DUMMYFUNCTION("""COMPUTED_VALUE"""),146.0)</f>
        <v>146</v>
      </c>
      <c r="I140" s="139">
        <v>42.52427184446794</v>
      </c>
      <c r="J140" s="136" t="s">
        <v>15</v>
      </c>
      <c r="K140" s="146">
        <f>IFERROR(__xludf.DUMMYFUNCTION("""COMPUTED_VALUE"""),46086.0)</f>
        <v>46086</v>
      </c>
      <c r="L140" s="136" t="str">
        <f t="shared" si="1"/>
        <v>Thursday</v>
      </c>
      <c r="M140" s="136" t="str">
        <f>IFERROR(__xludf.DUMMYFUNCTION("""COMPUTED_VALUE"""),"BF")</f>
        <v>BF</v>
      </c>
      <c r="N140" s="141">
        <v>1.4999399597306076</v>
      </c>
      <c r="O140" s="136" t="str">
        <f>IFERROR(__xludf.DUMMYFUNCTION("""COMPUTED_VALUE"""),"")</f>
        <v/>
      </c>
      <c r="P140" s="136" t="str">
        <f>IFERROR(__xludf.DUMMYFUNCTION("""COMPUTED_VALUE"""),"")</f>
        <v/>
      </c>
      <c r="Q140" s="106" t="str">
        <f>IFERROR(__xludf.DUMMYFUNCTION("""COMPUTED_VALUE"""),"")</f>
        <v/>
      </c>
      <c r="R140" s="106" t="str">
        <f>IFERROR(__xludf.DUMMYFUNCTION("""COMPUTED_VALUE"""),"")</f>
        <v/>
      </c>
      <c r="S140" s="139" t="str">
        <f>IFERROR(__xludf.DUMMYFUNCTION("""COMPUTED_VALUE"""),"")</f>
        <v/>
      </c>
      <c r="T140" s="139" t="str">
        <f>IFERROR(__xludf.DUMMYFUNCTION("""COMPUTED_VALUE"""),"")</f>
        <v/>
      </c>
      <c r="U140" s="136" t="str">
        <f>IFERROR(__xludf.DUMMYFUNCTION("""COMPUTED_VALUE"""),"")</f>
        <v/>
      </c>
      <c r="V140" s="106" t="str">
        <f>IFERROR(__xludf.DUMMYFUNCTION("""COMPUTED_VALUE"""),"")</f>
        <v/>
      </c>
      <c r="W140" s="143" t="str">
        <f t="shared" si="2"/>
        <v/>
      </c>
      <c r="X140" s="139" t="str">
        <f>IFERROR(__xludf.DUMMYFUNCTION("""COMPUTED_VALUE"""),"")</f>
        <v/>
      </c>
      <c r="Y140" s="141" t="str">
        <f>IFERROR(__xludf.DUMMYFUNCTION("""COMPUTED_VALUE"""),"")</f>
        <v/>
      </c>
    </row>
    <row r="141">
      <c r="A141" s="144">
        <f>IFERROR(__xludf.DUMMYFUNCTION("""COMPUTED_VALUE"""),46086.77599821759)</f>
        <v>46086.776</v>
      </c>
      <c r="B141" s="136" t="str">
        <f>IFERROR(__xludf.DUMMYFUNCTION("""COMPUTED_VALUE"""),"Emmett Khan")</f>
        <v>Emmett Khan</v>
      </c>
      <c r="C141" s="136" t="b">
        <f t="shared" si="3"/>
        <v>0</v>
      </c>
      <c r="D141" s="137">
        <f>IFERROR(__xludf.DUMMYFUNCTION("""COMPUTED_VALUE"""),0.7083333333357587)</f>
        <v>0.7083333333</v>
      </c>
      <c r="E141" s="106">
        <f>IFERROR(__xludf.DUMMYFUNCTION("""COMPUTED_VALUE"""),0.07291666666424135)</f>
        <v>0.07291666666</v>
      </c>
      <c r="F141" s="137">
        <f>IFERROR(__xludf.DUMMYFUNCTION("""COMPUTED_VALUE"""),0.78125)</f>
        <v>0.78125</v>
      </c>
      <c r="G141" s="106">
        <v>0.07291666666424135</v>
      </c>
      <c r="H141" s="136">
        <f>IFERROR(__xludf.DUMMYFUNCTION("""COMPUTED_VALUE"""),111.0)</f>
        <v>111</v>
      </c>
      <c r="I141" s="139">
        <v>63.42857143068116</v>
      </c>
      <c r="J141" s="136" t="s">
        <v>18</v>
      </c>
      <c r="K141" s="146">
        <f>IFERROR(__xludf.DUMMYFUNCTION("""COMPUTED_VALUE"""),46086.0)</f>
        <v>46086</v>
      </c>
      <c r="L141" s="136" t="str">
        <f t="shared" si="1"/>
        <v>Thursday</v>
      </c>
      <c r="M141" s="136" t="str">
        <f>IFERROR(__xludf.DUMMYFUNCTION("""COMPUTED_VALUE"""),"MF")</f>
        <v>MF</v>
      </c>
      <c r="N141" s="141">
        <v>1.3266951872484298</v>
      </c>
      <c r="O141" s="136" t="str">
        <f>IFERROR(__xludf.DUMMYFUNCTION("""COMPUTED_VALUE"""),"")</f>
        <v/>
      </c>
      <c r="P141" s="136" t="str">
        <f>IFERROR(__xludf.DUMMYFUNCTION("""COMPUTED_VALUE"""),"")</f>
        <v/>
      </c>
      <c r="Q141" s="106" t="str">
        <f>IFERROR(__xludf.DUMMYFUNCTION("""COMPUTED_VALUE"""),"")</f>
        <v/>
      </c>
      <c r="R141" s="106" t="str">
        <f>IFERROR(__xludf.DUMMYFUNCTION("""COMPUTED_VALUE"""),"")</f>
        <v/>
      </c>
      <c r="S141" s="139" t="str">
        <f>IFERROR(__xludf.DUMMYFUNCTION("""COMPUTED_VALUE"""),"")</f>
        <v/>
      </c>
      <c r="T141" s="139" t="str">
        <f>IFERROR(__xludf.DUMMYFUNCTION("""COMPUTED_VALUE"""),"")</f>
        <v/>
      </c>
      <c r="U141" s="136" t="str">
        <f>IFERROR(__xludf.DUMMYFUNCTION("""COMPUTED_VALUE"""),"")</f>
        <v/>
      </c>
      <c r="V141" s="106" t="str">
        <f>IFERROR(__xludf.DUMMYFUNCTION("""COMPUTED_VALUE"""),"")</f>
        <v/>
      </c>
      <c r="W141" s="143" t="str">
        <f t="shared" si="2"/>
        <v/>
      </c>
      <c r="X141" s="139" t="str">
        <f>IFERROR(__xludf.DUMMYFUNCTION("""COMPUTED_VALUE"""),"")</f>
        <v/>
      </c>
      <c r="Y141" s="141" t="str">
        <f>IFERROR(__xludf.DUMMYFUNCTION("""COMPUTED_VALUE"""),"")</f>
        <v/>
      </c>
    </row>
    <row r="142">
      <c r="A142" s="144">
        <f>IFERROR(__xludf.DUMMYFUNCTION("""COMPUTED_VALUE"""),46086.77661519676)</f>
        <v>46086.77662</v>
      </c>
      <c r="B142" s="136" t="str">
        <f>IFERROR(__xludf.DUMMYFUNCTION("""COMPUTED_VALUE"""),"Leah Bucci")</f>
        <v>Leah Bucci</v>
      </c>
      <c r="C142" s="136" t="b">
        <f t="shared" si="3"/>
        <v>0</v>
      </c>
      <c r="D142" s="137">
        <f>IFERROR(__xludf.DUMMYFUNCTION("""COMPUTED_VALUE"""),0.6875)</f>
        <v>0.6875</v>
      </c>
      <c r="E142" s="106">
        <f>IFERROR(__xludf.DUMMYFUNCTION("""COMPUTED_VALUE"""),0.07638888889050577)</f>
        <v>0.07638888889</v>
      </c>
      <c r="F142" s="137">
        <f>IFERROR(__xludf.DUMMYFUNCTION("""COMPUTED_VALUE"""),0.7638888888905058)</f>
        <v>0.7638888889</v>
      </c>
      <c r="G142" s="106">
        <v>0.07638888889050577</v>
      </c>
      <c r="H142" s="136">
        <f>IFERROR(__xludf.DUMMYFUNCTION("""COMPUTED_VALUE"""),92.0)</f>
        <v>92</v>
      </c>
      <c r="I142" s="139">
        <v>50.18181818075601</v>
      </c>
      <c r="J142" s="136" t="s">
        <v>18</v>
      </c>
      <c r="K142" s="146">
        <f>IFERROR(__xludf.DUMMYFUNCTION("""COMPUTED_VALUE"""),46086.0)</f>
        <v>46086</v>
      </c>
      <c r="L142" s="136" t="str">
        <f t="shared" si="1"/>
        <v>Thursday</v>
      </c>
      <c r="M142" s="136" t="str">
        <f>IFERROR(__xludf.DUMMYFUNCTION("""COMPUTED_VALUE"""),"BF")</f>
        <v>BF</v>
      </c>
      <c r="N142" s="141">
        <v>1.1294117646655415</v>
      </c>
      <c r="O142" s="136" t="str">
        <f>IFERROR(__xludf.DUMMYFUNCTION("""COMPUTED_VALUE"""),"")</f>
        <v/>
      </c>
      <c r="P142" s="136" t="str">
        <f>IFERROR(__xludf.DUMMYFUNCTION("""COMPUTED_VALUE"""),"")</f>
        <v/>
      </c>
      <c r="Q142" s="106" t="str">
        <f>IFERROR(__xludf.DUMMYFUNCTION("""COMPUTED_VALUE"""),"")</f>
        <v/>
      </c>
      <c r="R142" s="106" t="str">
        <f>IFERROR(__xludf.DUMMYFUNCTION("""COMPUTED_VALUE"""),"")</f>
        <v/>
      </c>
      <c r="S142" s="139" t="str">
        <f>IFERROR(__xludf.DUMMYFUNCTION("""COMPUTED_VALUE"""),"")</f>
        <v/>
      </c>
      <c r="T142" s="139" t="str">
        <f>IFERROR(__xludf.DUMMYFUNCTION("""COMPUTED_VALUE"""),"")</f>
        <v/>
      </c>
      <c r="U142" s="136" t="str">
        <f>IFERROR(__xludf.DUMMYFUNCTION("""COMPUTED_VALUE"""),"")</f>
        <v/>
      </c>
      <c r="V142" s="106" t="str">
        <f>IFERROR(__xludf.DUMMYFUNCTION("""COMPUTED_VALUE"""),"")</f>
        <v/>
      </c>
      <c r="W142" s="143" t="str">
        <f t="shared" si="2"/>
        <v/>
      </c>
      <c r="X142" s="139" t="str">
        <f>IFERROR(__xludf.DUMMYFUNCTION("""COMPUTED_VALUE"""),"")</f>
        <v/>
      </c>
      <c r="Y142" s="141" t="str">
        <f>IFERROR(__xludf.DUMMYFUNCTION("""COMPUTED_VALUE"""),"")</f>
        <v/>
      </c>
    </row>
    <row r="143">
      <c r="A143" s="144">
        <f>IFERROR(__xludf.DUMMYFUNCTION("""COMPUTED_VALUE"""),46087.60271386574)</f>
        <v>46087.60271</v>
      </c>
      <c r="B143" s="136" t="str">
        <f>IFERROR(__xludf.DUMMYFUNCTION("""COMPUTED_VALUE"""),"Arjya Aich")</f>
        <v>Arjya Aich</v>
      </c>
      <c r="C143" s="136" t="b">
        <f t="shared" si="3"/>
        <v>0</v>
      </c>
      <c r="D143" s="137">
        <f>IFERROR(__xludf.DUMMYFUNCTION("""COMPUTED_VALUE"""),0.7916666666642413)</f>
        <v>0.7916666667</v>
      </c>
      <c r="E143" s="106">
        <f>IFERROR(__xludf.DUMMYFUNCTION("""COMPUTED_VALUE"""),0.08333333333575865)</f>
        <v>0.08333333334</v>
      </c>
      <c r="F143" s="137">
        <f>IFERROR(__xludf.DUMMYFUNCTION("""COMPUTED_VALUE"""),0.875)</f>
        <v>0.875</v>
      </c>
      <c r="G143" s="106">
        <v>0.08333333333575865</v>
      </c>
      <c r="H143" s="136">
        <f>IFERROR(__xludf.DUMMYFUNCTION("""COMPUTED_VALUE"""),62.0)</f>
        <v>62</v>
      </c>
      <c r="I143" s="139">
        <v>30.99999999909778</v>
      </c>
      <c r="J143" s="136" t="s">
        <v>18</v>
      </c>
      <c r="K143" s="146">
        <f>IFERROR(__xludf.DUMMYFUNCTION("""COMPUTED_VALUE"""),46086.0)</f>
        <v>46086</v>
      </c>
      <c r="L143" s="136" t="str">
        <f t="shared" si="1"/>
        <v>Thursday</v>
      </c>
      <c r="M143" s="136" t="str">
        <f>IFERROR(__xludf.DUMMYFUNCTION("""COMPUTED_VALUE"""),"MF")</f>
        <v>MF</v>
      </c>
      <c r="N143" s="141">
        <v>0.6484073324661143</v>
      </c>
      <c r="O143" s="136">
        <f>IFERROR(__xludf.DUMMYFUNCTION("""COMPUTED_VALUE"""),263.0)</f>
        <v>263</v>
      </c>
      <c r="P143" s="136">
        <f>IFERROR(__xludf.DUMMYFUNCTION("""COMPUTED_VALUE"""),330.0)</f>
        <v>330</v>
      </c>
      <c r="Q143" s="106">
        <f>IFERROR(__xludf.DUMMYFUNCTION("""COMPUTED_VALUE"""),0.2784722222277196)</f>
        <v>0.2784722222</v>
      </c>
      <c r="R143" s="106">
        <f>IFERROR(__xludf.DUMMYFUNCTION("""COMPUTED_VALUE"""),0.3270833333299379)</f>
        <v>0.3270833333</v>
      </c>
      <c r="S143" s="139">
        <f>IFERROR(__xludf.DUMMYFUNCTION("""COMPUTED_VALUE"""),40.68041018338977)</f>
        <v>40.68041018</v>
      </c>
      <c r="T143" s="139">
        <f>IFERROR(__xludf.DUMMYFUNCTION("""COMPUTED_VALUE"""),42.77299775096758)</f>
        <v>42.77299775</v>
      </c>
      <c r="U143" s="136">
        <f>IFERROR(__xludf.DUMMYFUNCTION("""COMPUTED_VALUE"""),593.0)</f>
        <v>593</v>
      </c>
      <c r="V143" s="106">
        <f>IFERROR(__xludf.DUMMYFUNCTION("""COMPUTED_VALUE"""),0.6055555555576575)</f>
        <v>0.6055555556</v>
      </c>
      <c r="W143" s="143">
        <f t="shared" si="2"/>
        <v>40.80275229</v>
      </c>
      <c r="X143" s="139">
        <f>IFERROR(__xludf.DUMMYFUNCTION("""COMPUTED_VALUE"""),41.5772334266374)</f>
        <v>41.57723343</v>
      </c>
      <c r="Y143" s="141">
        <f>IFERROR(__xludf.DUMMYFUNCTION("""COMPUTED_VALUE"""),0.7840109056525693)</f>
        <v>0.7840109057</v>
      </c>
    </row>
    <row r="144">
      <c r="A144" s="144">
        <f>IFERROR(__xludf.DUMMYFUNCTION("""COMPUTED_VALUE"""),46087.43973273148)</f>
        <v>46087.43973</v>
      </c>
      <c r="B144" s="136" t="str">
        <f>IFERROR(__xludf.DUMMYFUNCTION("""COMPUTED_VALUE"""),"Kaylie Forgue")</f>
        <v>Kaylie Forgue</v>
      </c>
      <c r="C144" s="136" t="b">
        <f t="shared" si="3"/>
        <v>0</v>
      </c>
      <c r="D144" s="137">
        <f>IFERROR(__xludf.DUMMYFUNCTION("""COMPUTED_VALUE"""),0.3701388888875954)</f>
        <v>0.3701388889</v>
      </c>
      <c r="E144" s="106">
        <f>IFERROR(__xludf.DUMMYFUNCTION("""COMPUTED_VALUE"""),0.06388888889341615)</f>
        <v>0.06388888889</v>
      </c>
      <c r="F144" s="137">
        <f>IFERROR(__xludf.DUMMYFUNCTION("""COMPUTED_VALUE"""),0.43402777778101154)</f>
        <v>0.4340277778</v>
      </c>
      <c r="G144" s="106">
        <v>0.06388888889341615</v>
      </c>
      <c r="H144" s="136">
        <f>IFERROR(__xludf.DUMMYFUNCTION("""COMPUTED_VALUE"""),52.0)</f>
        <v>52</v>
      </c>
      <c r="I144" s="139">
        <v>33.91304347585774</v>
      </c>
      <c r="J144" s="136" t="s">
        <v>12</v>
      </c>
      <c r="K144" s="146">
        <f>IFERROR(__xludf.DUMMYFUNCTION("""COMPUTED_VALUE"""),46087.0)</f>
        <v>46087</v>
      </c>
      <c r="L144" s="136" t="str">
        <f t="shared" si="1"/>
        <v>Friday</v>
      </c>
      <c r="M144" s="136" t="str">
        <f>IFERROR(__xludf.DUMMYFUNCTION("""COMPUTED_VALUE"""),"BF")</f>
        <v>BF</v>
      </c>
      <c r="N144" s="141">
        <v>1.196199884422897</v>
      </c>
      <c r="O144" s="136" t="str">
        <f>IFERROR(__xludf.DUMMYFUNCTION("""COMPUTED_VALUE"""),"")</f>
        <v/>
      </c>
      <c r="P144" s="136" t="str">
        <f>IFERROR(__xludf.DUMMYFUNCTION("""COMPUTED_VALUE"""),"")</f>
        <v/>
      </c>
      <c r="Q144" s="106" t="str">
        <f>IFERROR(__xludf.DUMMYFUNCTION("""COMPUTED_VALUE"""),"")</f>
        <v/>
      </c>
      <c r="R144" s="106" t="str">
        <f>IFERROR(__xludf.DUMMYFUNCTION("""COMPUTED_VALUE"""),"")</f>
        <v/>
      </c>
      <c r="S144" s="139" t="str">
        <f>IFERROR(__xludf.DUMMYFUNCTION("""COMPUTED_VALUE"""),"")</f>
        <v/>
      </c>
      <c r="T144" s="139" t="str">
        <f>IFERROR(__xludf.DUMMYFUNCTION("""COMPUTED_VALUE"""),"")</f>
        <v/>
      </c>
      <c r="U144" s="136" t="str">
        <f>IFERROR(__xludf.DUMMYFUNCTION("""COMPUTED_VALUE"""),"")</f>
        <v/>
      </c>
      <c r="V144" s="106" t="str">
        <f>IFERROR(__xludf.DUMMYFUNCTION("""COMPUTED_VALUE"""),"")</f>
        <v/>
      </c>
      <c r="W144" s="143" t="str">
        <f t="shared" si="2"/>
        <v/>
      </c>
      <c r="X144" s="139" t="str">
        <f>IFERROR(__xludf.DUMMYFUNCTION("""COMPUTED_VALUE"""),"")</f>
        <v/>
      </c>
      <c r="Y144" s="141" t="str">
        <f>IFERROR(__xludf.DUMMYFUNCTION("""COMPUTED_VALUE"""),"")</f>
        <v/>
      </c>
    </row>
    <row r="145">
      <c r="A145" s="144">
        <f>IFERROR(__xludf.DUMMYFUNCTION("""COMPUTED_VALUE"""),46087.577416608794)</f>
        <v>46087.57742</v>
      </c>
      <c r="B145" s="136" t="str">
        <f>IFERROR(__xludf.DUMMYFUNCTION("""COMPUTED_VALUE"""),"Brynn Hornig")</f>
        <v>Brynn Hornig</v>
      </c>
      <c r="C145" s="136" t="b">
        <f t="shared" si="3"/>
        <v>0</v>
      </c>
      <c r="D145" s="137">
        <f>IFERROR(__xludf.DUMMYFUNCTION("""COMPUTED_VALUE"""),0.4583333333333333)</f>
        <v>0.4583333333</v>
      </c>
      <c r="E145" s="106">
        <f>IFERROR(__xludf.DUMMYFUNCTION("""COMPUTED_VALUE"""),0.12500000000242534)</f>
        <v>0.125</v>
      </c>
      <c r="F145" s="137">
        <f>IFERROR(__xludf.DUMMYFUNCTION("""COMPUTED_VALUE"""),0.5833333333357587)</f>
        <v>0.5833333333</v>
      </c>
      <c r="G145" s="106">
        <v>0.12500000000242534</v>
      </c>
      <c r="H145" s="136">
        <f>IFERROR(__xludf.DUMMYFUNCTION("""COMPUTED_VALUE"""),126.0)</f>
        <v>126</v>
      </c>
      <c r="I145" s="139">
        <v>41.999999999185086</v>
      </c>
      <c r="J145" s="136" t="s">
        <v>15</v>
      </c>
      <c r="K145" s="146">
        <f>IFERROR(__xludf.DUMMYFUNCTION("""COMPUTED_VALUE"""),46087.0)</f>
        <v>46087</v>
      </c>
      <c r="L145" s="136" t="str">
        <f t="shared" si="1"/>
        <v>Friday</v>
      </c>
      <c r="M145" s="136" t="str">
        <f>IFERROR(__xludf.DUMMYFUNCTION("""COMPUTED_VALUE"""),"BF")</f>
        <v>BF</v>
      </c>
      <c r="N145" s="141">
        <v>1.481447549246129</v>
      </c>
      <c r="O145" s="136" t="str">
        <f>IFERROR(__xludf.DUMMYFUNCTION("""COMPUTED_VALUE"""),"")</f>
        <v/>
      </c>
      <c r="P145" s="136" t="str">
        <f>IFERROR(__xludf.DUMMYFUNCTION("""COMPUTED_VALUE"""),"")</f>
        <v/>
      </c>
      <c r="Q145" s="106" t="str">
        <f>IFERROR(__xludf.DUMMYFUNCTION("""COMPUTED_VALUE"""),"")</f>
        <v/>
      </c>
      <c r="R145" s="106" t="str">
        <f>IFERROR(__xludf.DUMMYFUNCTION("""COMPUTED_VALUE"""),"")</f>
        <v/>
      </c>
      <c r="S145" s="139" t="str">
        <f>IFERROR(__xludf.DUMMYFUNCTION("""COMPUTED_VALUE"""),"")</f>
        <v/>
      </c>
      <c r="T145" s="139" t="str">
        <f>IFERROR(__xludf.DUMMYFUNCTION("""COMPUTED_VALUE"""),"")</f>
        <v/>
      </c>
      <c r="U145" s="136" t="str">
        <f>IFERROR(__xludf.DUMMYFUNCTION("""COMPUTED_VALUE"""),"")</f>
        <v/>
      </c>
      <c r="V145" s="106" t="str">
        <f>IFERROR(__xludf.DUMMYFUNCTION("""COMPUTED_VALUE"""),"")</f>
        <v/>
      </c>
      <c r="W145" s="143" t="str">
        <f t="shared" si="2"/>
        <v/>
      </c>
      <c r="X145" s="139" t="str">
        <f>IFERROR(__xludf.DUMMYFUNCTION("""COMPUTED_VALUE"""),"")</f>
        <v/>
      </c>
      <c r="Y145" s="141" t="str">
        <f>IFERROR(__xludf.DUMMYFUNCTION("""COMPUTED_VALUE"""),"")</f>
        <v/>
      </c>
    </row>
    <row r="146">
      <c r="A146" s="144">
        <f>IFERROR(__xludf.DUMMYFUNCTION("""COMPUTED_VALUE"""),46087.6254491088)</f>
        <v>46087.62545</v>
      </c>
      <c r="B146" s="136" t="str">
        <f>IFERROR(__xludf.DUMMYFUNCTION("""COMPUTED_VALUE"""),"Oluwatimilehin Shodipe")</f>
        <v>Oluwatimilehin Shodipe</v>
      </c>
      <c r="C146" s="136" t="b">
        <f t="shared" si="3"/>
        <v>0</v>
      </c>
      <c r="D146" s="137">
        <f>IFERROR(__xludf.DUMMYFUNCTION("""COMPUTED_VALUE"""),0.48263888889050577)</f>
        <v>0.4826388889</v>
      </c>
      <c r="E146" s="106">
        <f>IFERROR(__xludf.DUMMYFUNCTION("""COMPUTED_VALUE"""),0.14236111110949423)</f>
        <v>0.1423611111</v>
      </c>
      <c r="F146" s="137">
        <f>IFERROR(__xludf.DUMMYFUNCTION("""COMPUTED_VALUE"""),0.625)</f>
        <v>0.625</v>
      </c>
      <c r="G146" s="106">
        <v>0.14236111110949423</v>
      </c>
      <c r="H146" s="136">
        <f>IFERROR(__xludf.DUMMYFUNCTION("""COMPUTED_VALUE"""),199.0)</f>
        <v>199</v>
      </c>
      <c r="I146" s="139">
        <v>58.243902439685904</v>
      </c>
      <c r="J146" s="136" t="s">
        <v>15</v>
      </c>
      <c r="K146" s="146">
        <f>IFERROR(__xludf.DUMMYFUNCTION("""COMPUTED_VALUE"""),46087.0)</f>
        <v>46087</v>
      </c>
      <c r="L146" s="136" t="str">
        <f t="shared" si="1"/>
        <v>Friday</v>
      </c>
      <c r="M146" s="136" t="str">
        <f>IFERROR(__xludf.DUMMYFUNCTION("""COMPUTED_VALUE"""),"MF")</f>
        <v>MF</v>
      </c>
      <c r="N146" s="141">
        <v>1.158448788868361</v>
      </c>
      <c r="O146" s="136">
        <f>IFERROR(__xludf.DUMMYFUNCTION("""COMPUTED_VALUE"""),199.0)</f>
        <v>199</v>
      </c>
      <c r="P146" s="136">
        <f>IFERROR(__xludf.DUMMYFUNCTION("""COMPUTED_VALUE"""),178.0)</f>
        <v>178</v>
      </c>
      <c r="Q146" s="106">
        <f>IFERROR(__xludf.DUMMYFUNCTION("""COMPUTED_VALUE"""),0.14236111110949423)</f>
        <v>0.1423611111</v>
      </c>
      <c r="R146" s="106">
        <f>IFERROR(__xludf.DUMMYFUNCTION("""COMPUTED_VALUE"""),0.1888888888958415)</f>
        <v>0.1888888889</v>
      </c>
      <c r="S146" s="139">
        <f>IFERROR(__xludf.DUMMYFUNCTION("""COMPUTED_VALUE"""),58.243902439685904)</f>
        <v>58.24390244</v>
      </c>
      <c r="T146" s="139">
        <f>IFERROR(__xludf.DUMMYFUNCTION("""COMPUTED_VALUE"""),37.95652173752141)</f>
        <v>37.95652174</v>
      </c>
      <c r="U146" s="136">
        <f>IFERROR(__xludf.DUMMYFUNCTION("""COMPUTED_VALUE"""),377.0)</f>
        <v>377</v>
      </c>
      <c r="V146" s="106">
        <f>IFERROR(__xludf.DUMMYFUNCTION("""COMPUTED_VALUE"""),0.3312500000053357)</f>
        <v>0.33125</v>
      </c>
      <c r="W146" s="143">
        <f t="shared" si="2"/>
        <v>47.42138365</v>
      </c>
      <c r="X146" s="139">
        <f>IFERROR(__xludf.DUMMYFUNCTION("""COMPUTED_VALUE"""),44.71898197157625)</f>
        <v>44.71898197</v>
      </c>
      <c r="Y146" s="141">
        <f>IFERROR(__xludf.DUMMYFUNCTION("""COMPUTED_VALUE"""),1.0042327259920645)</f>
        <v>1.004232726</v>
      </c>
    </row>
    <row r="147">
      <c r="A147" s="144">
        <f>IFERROR(__xludf.DUMMYFUNCTION("""COMPUTED_VALUE"""),46096.38285166667)</f>
        <v>46096.38285</v>
      </c>
      <c r="B147" s="136" t="str">
        <f>IFERROR(__xludf.DUMMYFUNCTION("""COMPUTED_VALUE"""),"Denise Romanszysn")</f>
        <v>Denise Romanszysn</v>
      </c>
      <c r="C147" s="136" t="b">
        <f t="shared" si="3"/>
        <v>0</v>
      </c>
      <c r="D147" s="137">
        <f>IFERROR(__xludf.DUMMYFUNCTION("""COMPUTED_VALUE"""),0.546527777776646)</f>
        <v>0.5465277778</v>
      </c>
      <c r="E147" s="106">
        <f>IFERROR(__xludf.DUMMYFUNCTION("""COMPUTED_VALUE"""),0.07500000000436557)</f>
        <v>0.075</v>
      </c>
      <c r="F147" s="137">
        <f>IFERROR(__xludf.DUMMYFUNCTION("""COMPUTED_VALUE"""),0.6215277777810115)</f>
        <v>0.6215277778</v>
      </c>
      <c r="G147" s="106">
        <v>0.07500000000436557</v>
      </c>
      <c r="H147" s="136">
        <f>IFERROR(__xludf.DUMMYFUNCTION("""COMPUTED_VALUE"""),127.0)</f>
        <v>127</v>
      </c>
      <c r="I147" s="139">
        <v>70.55555555144868</v>
      </c>
      <c r="J147" s="136" t="s">
        <v>15</v>
      </c>
      <c r="K147" s="146">
        <f>IFERROR(__xludf.DUMMYFUNCTION("""COMPUTED_VALUE"""),46090.0)</f>
        <v>46090</v>
      </c>
      <c r="L147" s="136" t="str">
        <f t="shared" si="1"/>
        <v>Monday</v>
      </c>
      <c r="M147" s="136" t="str">
        <f>IFERROR(__xludf.DUMMYFUNCTION("""COMPUTED_VALUE"""),"MF")</f>
        <v>MF</v>
      </c>
      <c r="N147" s="141">
        <v>1.4033228278470908</v>
      </c>
      <c r="O147" s="136" t="str">
        <f>IFERROR(__xludf.DUMMYFUNCTION("""COMPUTED_VALUE"""),"")</f>
        <v/>
      </c>
      <c r="P147" s="136" t="str">
        <f>IFERROR(__xludf.DUMMYFUNCTION("""COMPUTED_VALUE"""),"")</f>
        <v/>
      </c>
      <c r="Q147" s="106" t="str">
        <f>IFERROR(__xludf.DUMMYFUNCTION("""COMPUTED_VALUE"""),"")</f>
        <v/>
      </c>
      <c r="R147" s="106" t="str">
        <f>IFERROR(__xludf.DUMMYFUNCTION("""COMPUTED_VALUE"""),"")</f>
        <v/>
      </c>
      <c r="S147" s="139" t="str">
        <f>IFERROR(__xludf.DUMMYFUNCTION("""COMPUTED_VALUE"""),"")</f>
        <v/>
      </c>
      <c r="T147" s="139" t="str">
        <f>IFERROR(__xludf.DUMMYFUNCTION("""COMPUTED_VALUE"""),"")</f>
        <v/>
      </c>
      <c r="U147" s="136" t="str">
        <f>IFERROR(__xludf.DUMMYFUNCTION("""COMPUTED_VALUE"""),"")</f>
        <v/>
      </c>
      <c r="V147" s="106" t="str">
        <f>IFERROR(__xludf.DUMMYFUNCTION("""COMPUTED_VALUE"""),"")</f>
        <v/>
      </c>
      <c r="W147" s="143" t="str">
        <f t="shared" si="2"/>
        <v/>
      </c>
      <c r="X147" s="139" t="str">
        <f>IFERROR(__xludf.DUMMYFUNCTION("""COMPUTED_VALUE"""),"")</f>
        <v/>
      </c>
      <c r="Y147" s="141" t="str">
        <f>IFERROR(__xludf.DUMMYFUNCTION("""COMPUTED_VALUE"""),"")</f>
        <v/>
      </c>
    </row>
    <row r="148">
      <c r="A148" s="144">
        <f>IFERROR(__xludf.DUMMYFUNCTION("""COMPUTED_VALUE"""),46090.64105922454)</f>
        <v>46090.64106</v>
      </c>
      <c r="B148" s="136" t="str">
        <f>IFERROR(__xludf.DUMMYFUNCTION("""COMPUTED_VALUE"""),"Brynn Hornig")</f>
        <v>Brynn Hornig</v>
      </c>
      <c r="C148" s="136" t="b">
        <f t="shared" si="3"/>
        <v>0</v>
      </c>
      <c r="D148" s="137">
        <f>IFERROR(__xludf.DUMMYFUNCTION("""COMPUTED_VALUE"""),0.5208333333357587)</f>
        <v>0.5208333333</v>
      </c>
      <c r="E148" s="106">
        <f>IFERROR(__xludf.DUMMYFUNCTION("""COMPUTED_VALUE"""),0.125)</f>
        <v>0.125</v>
      </c>
      <c r="F148" s="137">
        <f>IFERROR(__xludf.DUMMYFUNCTION("""COMPUTED_VALUE"""),0.6458333333357587)</f>
        <v>0.6458333333</v>
      </c>
      <c r="G148" s="106">
        <v>0.125</v>
      </c>
      <c r="H148" s="136">
        <f>IFERROR(__xludf.DUMMYFUNCTION("""COMPUTED_VALUE"""),113.0)</f>
        <v>113</v>
      </c>
      <c r="I148" s="139">
        <v>37.666666666666664</v>
      </c>
      <c r="J148" s="136" t="s">
        <v>15</v>
      </c>
      <c r="K148" s="146">
        <f>IFERROR(__xludf.DUMMYFUNCTION("""COMPUTED_VALUE"""),46090.0)</f>
        <v>46090</v>
      </c>
      <c r="L148" s="136" t="str">
        <f t="shared" si="1"/>
        <v>Monday</v>
      </c>
      <c r="M148" s="136" t="str">
        <f>IFERROR(__xludf.DUMMYFUNCTION("""COMPUTED_VALUE"""),"BF")</f>
        <v>BF</v>
      </c>
      <c r="N148" s="141">
        <v>1.3285997862544496</v>
      </c>
      <c r="O148" s="136" t="str">
        <f>IFERROR(__xludf.DUMMYFUNCTION("""COMPUTED_VALUE"""),"")</f>
        <v/>
      </c>
      <c r="P148" s="136" t="str">
        <f>IFERROR(__xludf.DUMMYFUNCTION("""COMPUTED_VALUE"""),"")</f>
        <v/>
      </c>
      <c r="Q148" s="106" t="str">
        <f>IFERROR(__xludf.DUMMYFUNCTION("""COMPUTED_VALUE"""),"")</f>
        <v/>
      </c>
      <c r="R148" s="106" t="str">
        <f>IFERROR(__xludf.DUMMYFUNCTION("""COMPUTED_VALUE"""),"")</f>
        <v/>
      </c>
      <c r="S148" s="139" t="str">
        <f>IFERROR(__xludf.DUMMYFUNCTION("""COMPUTED_VALUE"""),"")</f>
        <v/>
      </c>
      <c r="T148" s="139" t="str">
        <f>IFERROR(__xludf.DUMMYFUNCTION("""COMPUTED_VALUE"""),"")</f>
        <v/>
      </c>
      <c r="U148" s="136" t="str">
        <f>IFERROR(__xludf.DUMMYFUNCTION("""COMPUTED_VALUE"""),"")</f>
        <v/>
      </c>
      <c r="V148" s="106" t="str">
        <f>IFERROR(__xludf.DUMMYFUNCTION("""COMPUTED_VALUE"""),"")</f>
        <v/>
      </c>
      <c r="W148" s="143" t="str">
        <f t="shared" si="2"/>
        <v/>
      </c>
      <c r="X148" s="139" t="str">
        <f>IFERROR(__xludf.DUMMYFUNCTION("""COMPUTED_VALUE"""),"")</f>
        <v/>
      </c>
      <c r="Y148" s="141" t="str">
        <f>IFERROR(__xludf.DUMMYFUNCTION("""COMPUTED_VALUE"""),"")</f>
        <v/>
      </c>
    </row>
    <row r="149">
      <c r="A149" s="144">
        <f>IFERROR(__xludf.DUMMYFUNCTION("""COMPUTED_VALUE"""),46090.74854377315)</f>
        <v>46090.74854</v>
      </c>
      <c r="B149" s="136" t="str">
        <f>IFERROR(__xludf.DUMMYFUNCTION("""COMPUTED_VALUE"""),"Orpheus Wilson")</f>
        <v>Orpheus Wilson</v>
      </c>
      <c r="C149" s="136" t="b">
        <f t="shared" si="3"/>
        <v>0</v>
      </c>
      <c r="D149" s="137">
        <f>IFERROR(__xludf.DUMMYFUNCTION("""COMPUTED_VALUE"""),0.6708333333372138)</f>
        <v>0.6708333333</v>
      </c>
      <c r="E149" s="106">
        <f>IFERROR(__xludf.DUMMYFUNCTION("""COMPUTED_VALUE"""),0.07499999999708962)</f>
        <v>0.075</v>
      </c>
      <c r="F149" s="137">
        <f>IFERROR(__xludf.DUMMYFUNCTION("""COMPUTED_VALUE"""),0.7458333333343035)</f>
        <v>0.7458333333</v>
      </c>
      <c r="G149" s="106">
        <v>0.07499999999708962</v>
      </c>
      <c r="H149" s="136">
        <f>IFERROR(__xludf.DUMMYFUNCTION("""COMPUTED_VALUE"""),113.0)</f>
        <v>113</v>
      </c>
      <c r="I149" s="139">
        <v>62.777777780213874</v>
      </c>
      <c r="J149" s="136" t="s">
        <v>18</v>
      </c>
      <c r="K149" s="146">
        <f>IFERROR(__xludf.DUMMYFUNCTION("""COMPUTED_VALUE"""),46090.0)</f>
        <v>46090</v>
      </c>
      <c r="L149" s="136" t="str">
        <f t="shared" si="1"/>
        <v>Monday</v>
      </c>
      <c r="M149" s="136" t="str">
        <f>IFERROR(__xludf.DUMMYFUNCTION("""COMPUTED_VALUE"""),"MF")</f>
        <v>MF</v>
      </c>
      <c r="N149" s="141">
        <v>1.3130829493485052</v>
      </c>
      <c r="O149" s="136" t="str">
        <f>IFERROR(__xludf.DUMMYFUNCTION("""COMPUTED_VALUE"""),"")</f>
        <v/>
      </c>
      <c r="P149" s="136" t="str">
        <f>IFERROR(__xludf.DUMMYFUNCTION("""COMPUTED_VALUE"""),"")</f>
        <v/>
      </c>
      <c r="Q149" s="106" t="str">
        <f>IFERROR(__xludf.DUMMYFUNCTION("""COMPUTED_VALUE"""),"")</f>
        <v/>
      </c>
      <c r="R149" s="106" t="str">
        <f>IFERROR(__xludf.DUMMYFUNCTION("""COMPUTED_VALUE"""),"")</f>
        <v/>
      </c>
      <c r="S149" s="139" t="str">
        <f>IFERROR(__xludf.DUMMYFUNCTION("""COMPUTED_VALUE"""),"")</f>
        <v/>
      </c>
      <c r="T149" s="139" t="str">
        <f>IFERROR(__xludf.DUMMYFUNCTION("""COMPUTED_VALUE"""),"")</f>
        <v/>
      </c>
      <c r="U149" s="136" t="str">
        <f>IFERROR(__xludf.DUMMYFUNCTION("""COMPUTED_VALUE"""),"")</f>
        <v/>
      </c>
      <c r="V149" s="106" t="str">
        <f>IFERROR(__xludf.DUMMYFUNCTION("""COMPUTED_VALUE"""),"")</f>
        <v/>
      </c>
      <c r="W149" s="143" t="str">
        <f t="shared" si="2"/>
        <v/>
      </c>
      <c r="X149" s="139" t="str">
        <f>IFERROR(__xludf.DUMMYFUNCTION("""COMPUTED_VALUE"""),"")</f>
        <v/>
      </c>
      <c r="Y149" s="141" t="str">
        <f>IFERROR(__xludf.DUMMYFUNCTION("""COMPUTED_VALUE"""),"")</f>
        <v/>
      </c>
    </row>
    <row r="150">
      <c r="A150" s="144">
        <f>IFERROR(__xludf.DUMMYFUNCTION("""COMPUTED_VALUE"""),46091.53825715277)</f>
        <v>46091.53826</v>
      </c>
      <c r="B150" s="136" t="str">
        <f>IFERROR(__xludf.DUMMYFUNCTION("""COMPUTED_VALUE"""),"Arjya Aich")</f>
        <v>Arjya Aich</v>
      </c>
      <c r="C150" s="136" t="b">
        <f t="shared" si="3"/>
        <v>0</v>
      </c>
      <c r="D150" s="137">
        <f>IFERROR(__xludf.DUMMYFUNCTION("""COMPUTED_VALUE"""),0.6875)</f>
        <v>0.6875</v>
      </c>
      <c r="E150" s="106">
        <f>IFERROR(__xludf.DUMMYFUNCTION("""COMPUTED_VALUE"""),0.16666666666424135)</f>
        <v>0.1666666667</v>
      </c>
      <c r="F150" s="137">
        <f>IFERROR(__xludf.DUMMYFUNCTION("""COMPUTED_VALUE"""),0.8541666666642413)</f>
        <v>0.8541666667</v>
      </c>
      <c r="G150" s="106">
        <v>0.16666666666424135</v>
      </c>
      <c r="H150" s="136">
        <f>IFERROR(__xludf.DUMMYFUNCTION("""COMPUTED_VALUE"""),102.0)</f>
        <v>102</v>
      </c>
      <c r="I150" s="139">
        <v>25.500000000371074</v>
      </c>
      <c r="J150" s="136" t="s">
        <v>18</v>
      </c>
      <c r="K150" s="146">
        <f>IFERROR(__xludf.DUMMYFUNCTION("""COMPUTED_VALUE"""),46090.0)</f>
        <v>46090</v>
      </c>
      <c r="L150" s="136" t="str">
        <f t="shared" si="1"/>
        <v>Monday</v>
      </c>
      <c r="M150" s="136" t="str">
        <f>IFERROR(__xludf.DUMMYFUNCTION("""COMPUTED_VALUE"""),"BF")</f>
        <v>BF</v>
      </c>
      <c r="N150" s="141">
        <v>0.5739130434782609</v>
      </c>
      <c r="O150" s="136">
        <f>IFERROR(__xludf.DUMMYFUNCTION("""COMPUTED_VALUE"""),240.0)</f>
        <v>240</v>
      </c>
      <c r="P150" s="136">
        <f>IFERROR(__xludf.DUMMYFUNCTION("""COMPUTED_VALUE"""),215.0)</f>
        <v>215</v>
      </c>
      <c r="Q150" s="106">
        <f>IFERROR(__xludf.DUMMYFUNCTION("""COMPUTED_VALUE"""),0.1500000000014552)</f>
        <v>0.15</v>
      </c>
      <c r="R150" s="106">
        <f>IFERROR(__xludf.DUMMYFUNCTION("""COMPUTED_VALUE"""),0.29166666666424135)</f>
        <v>0.2916666667</v>
      </c>
      <c r="S150" s="139">
        <f>IFERROR(__xludf.DUMMYFUNCTION("""COMPUTED_VALUE"""),66.66666666583127)</f>
        <v>66.66666667</v>
      </c>
      <c r="T150" s="139">
        <f>IFERROR(__xludf.DUMMYFUNCTION("""COMPUTED_VALUE"""),31.58333333351887)</f>
        <v>31.58333333</v>
      </c>
      <c r="U150" s="136">
        <f>IFERROR(__xludf.DUMMYFUNCTION("""COMPUTED_VALUE"""),455.0)</f>
        <v>455</v>
      </c>
      <c r="V150" s="106">
        <f>IFERROR(__xludf.DUMMYFUNCTION("""COMPUTED_VALUE"""),0.44166666666569654)</f>
        <v>0.4416666667</v>
      </c>
      <c r="W150" s="143">
        <f t="shared" si="2"/>
        <v>42.9245283</v>
      </c>
      <c r="X150" s="139">
        <f>IFERROR(__xludf.DUMMYFUNCTION("""COMPUTED_VALUE"""),49.124999999675076)</f>
        <v>49.125</v>
      </c>
      <c r="Y150" s="141">
        <f>IFERROR(__xludf.DUMMYFUNCTION("""COMPUTED_VALUE"""),0.9270810706054524)</f>
        <v>0.9270810706</v>
      </c>
    </row>
    <row r="151">
      <c r="A151" s="144">
        <f>IFERROR(__xludf.DUMMYFUNCTION("""COMPUTED_VALUE"""),46091.497951736106)</f>
        <v>46091.49795</v>
      </c>
      <c r="B151" s="136" t="str">
        <f>IFERROR(__xludf.DUMMYFUNCTION("""COMPUTED_VALUE"""),"Kaylie Forgue")</f>
        <v>Kaylie Forgue</v>
      </c>
      <c r="C151" s="136" t="b">
        <f t="shared" si="3"/>
        <v>0</v>
      </c>
      <c r="D151" s="137">
        <f>IFERROR(__xludf.DUMMYFUNCTION("""COMPUTED_VALUE"""),0.4493055555576575)</f>
        <v>0.4493055556</v>
      </c>
      <c r="E151" s="106">
        <f>IFERROR(__xludf.DUMMYFUNCTION("""COMPUTED_VALUE"""),0.04374999999708962)</f>
        <v>0.04375</v>
      </c>
      <c r="F151" s="137">
        <f>IFERROR(__xludf.DUMMYFUNCTION("""COMPUTED_VALUE"""),0.4930555555547471)</f>
        <v>0.4930555556</v>
      </c>
      <c r="G151" s="106">
        <v>0.04374999999708962</v>
      </c>
      <c r="H151" s="136">
        <f>IFERROR(__xludf.DUMMYFUNCTION("""COMPUTED_VALUE"""),86.0)</f>
        <v>86</v>
      </c>
      <c r="I151" s="139">
        <v>81.90476191021045</v>
      </c>
      <c r="J151" s="136" t="s">
        <v>134</v>
      </c>
      <c r="K151" s="146">
        <f>IFERROR(__xludf.DUMMYFUNCTION("""COMPUTED_VALUE"""),46091.0)</f>
        <v>46091</v>
      </c>
      <c r="L151" s="136" t="str">
        <f t="shared" si="1"/>
        <v>Tuesday</v>
      </c>
      <c r="M151" s="136" t="str">
        <f>IFERROR(__xludf.DUMMYFUNCTION("""COMPUTED_VALUE"""),"BF")</f>
        <v>BF</v>
      </c>
      <c r="N151" s="141">
        <v>2.5802375226028422</v>
      </c>
      <c r="O151" s="136" t="str">
        <f>IFERROR(__xludf.DUMMYFUNCTION("""COMPUTED_VALUE"""),"")</f>
        <v/>
      </c>
      <c r="P151" s="136" t="str">
        <f>IFERROR(__xludf.DUMMYFUNCTION("""COMPUTED_VALUE"""),"")</f>
        <v/>
      </c>
      <c r="Q151" s="106" t="str">
        <f>IFERROR(__xludf.DUMMYFUNCTION("""COMPUTED_VALUE"""),"")</f>
        <v/>
      </c>
      <c r="R151" s="106" t="str">
        <f>IFERROR(__xludf.DUMMYFUNCTION("""COMPUTED_VALUE"""),"")</f>
        <v/>
      </c>
      <c r="S151" s="139" t="str">
        <f>IFERROR(__xludf.DUMMYFUNCTION("""COMPUTED_VALUE"""),"")</f>
        <v/>
      </c>
      <c r="T151" s="139" t="str">
        <f>IFERROR(__xludf.DUMMYFUNCTION("""COMPUTED_VALUE"""),"")</f>
        <v/>
      </c>
      <c r="U151" s="136" t="str">
        <f>IFERROR(__xludf.DUMMYFUNCTION("""COMPUTED_VALUE"""),"")</f>
        <v/>
      </c>
      <c r="V151" s="106" t="str">
        <f>IFERROR(__xludf.DUMMYFUNCTION("""COMPUTED_VALUE"""),"")</f>
        <v/>
      </c>
      <c r="W151" s="143" t="str">
        <f t="shared" si="2"/>
        <v/>
      </c>
      <c r="X151" s="139" t="str">
        <f>IFERROR(__xludf.DUMMYFUNCTION("""COMPUTED_VALUE"""),"")</f>
        <v/>
      </c>
      <c r="Y151" s="141" t="str">
        <f>IFERROR(__xludf.DUMMYFUNCTION("""COMPUTED_VALUE"""),"")</f>
        <v/>
      </c>
    </row>
    <row r="152">
      <c r="A152" s="144">
        <f>IFERROR(__xludf.DUMMYFUNCTION("""COMPUTED_VALUE"""),46096.38374815972)</f>
        <v>46096.38375</v>
      </c>
      <c r="B152" s="136" t="str">
        <f>IFERROR(__xludf.DUMMYFUNCTION("""COMPUTED_VALUE"""),"Denise Romanszysn")</f>
        <v>Denise Romanszysn</v>
      </c>
      <c r="C152" s="136" t="b">
        <f t="shared" si="3"/>
        <v>0</v>
      </c>
      <c r="D152" s="137">
        <f>IFERROR(__xludf.DUMMYFUNCTION("""COMPUTED_VALUE"""),0.29861111110949423)</f>
        <v>0.2986111111</v>
      </c>
      <c r="E152" s="106">
        <f>IFERROR(__xludf.DUMMYFUNCTION("""COMPUTED_VALUE"""),0.14583333333575865)</f>
        <v>0.1458333333</v>
      </c>
      <c r="F152" s="137">
        <f>IFERROR(__xludf.DUMMYFUNCTION("""COMPUTED_VALUE"""),0.4444444444452529)</f>
        <v>0.4444444444</v>
      </c>
      <c r="G152" s="106">
        <v>0.14583333333575865</v>
      </c>
      <c r="H152" s="136">
        <f>IFERROR(__xludf.DUMMYFUNCTION("""COMPUTED_VALUE"""),149.0)</f>
        <v>149</v>
      </c>
      <c r="I152" s="139">
        <v>42.57142857072058</v>
      </c>
      <c r="J152" s="136" t="s">
        <v>12</v>
      </c>
      <c r="K152" s="146">
        <f>IFERROR(__xludf.DUMMYFUNCTION("""COMPUTED_VALUE"""),46091.0)</f>
        <v>46091</v>
      </c>
      <c r="L152" s="136" t="str">
        <f t="shared" si="1"/>
        <v>Tuesday</v>
      </c>
      <c r="M152" s="136" t="str">
        <f>IFERROR(__xludf.DUMMYFUNCTION("""COMPUTED_VALUE"""),"BF")</f>
        <v>BF</v>
      </c>
      <c r="N152" s="141">
        <v>1.5016032982196263</v>
      </c>
      <c r="O152" s="136" t="str">
        <f>IFERROR(__xludf.DUMMYFUNCTION("""COMPUTED_VALUE"""),"")</f>
        <v/>
      </c>
      <c r="P152" s="136" t="str">
        <f>IFERROR(__xludf.DUMMYFUNCTION("""COMPUTED_VALUE"""),"")</f>
        <v/>
      </c>
      <c r="Q152" s="106" t="str">
        <f>IFERROR(__xludf.DUMMYFUNCTION("""COMPUTED_VALUE"""),"")</f>
        <v/>
      </c>
      <c r="R152" s="106" t="str">
        <f>IFERROR(__xludf.DUMMYFUNCTION("""COMPUTED_VALUE"""),"")</f>
        <v/>
      </c>
      <c r="S152" s="139" t="str">
        <f>IFERROR(__xludf.DUMMYFUNCTION("""COMPUTED_VALUE"""),"")</f>
        <v/>
      </c>
      <c r="T152" s="139" t="str">
        <f>IFERROR(__xludf.DUMMYFUNCTION("""COMPUTED_VALUE"""),"")</f>
        <v/>
      </c>
      <c r="U152" s="136" t="str">
        <f>IFERROR(__xludf.DUMMYFUNCTION("""COMPUTED_VALUE"""),"")</f>
        <v/>
      </c>
      <c r="V152" s="106" t="str">
        <f>IFERROR(__xludf.DUMMYFUNCTION("""COMPUTED_VALUE"""),"")</f>
        <v/>
      </c>
      <c r="W152" s="143" t="str">
        <f t="shared" si="2"/>
        <v/>
      </c>
      <c r="X152" s="139" t="str">
        <f>IFERROR(__xludf.DUMMYFUNCTION("""COMPUTED_VALUE"""),"")</f>
        <v/>
      </c>
      <c r="Y152" s="141" t="str">
        <f>IFERROR(__xludf.DUMMYFUNCTION("""COMPUTED_VALUE"""),"")</f>
        <v/>
      </c>
    </row>
    <row r="153">
      <c r="A153" s="144">
        <f>IFERROR(__xludf.DUMMYFUNCTION("""COMPUTED_VALUE"""),46091.524804456014)</f>
        <v>46091.5248</v>
      </c>
      <c r="B153" s="136" t="str">
        <f>IFERROR(__xludf.DUMMYFUNCTION("""COMPUTED_VALUE"""),"Kaylie Forgue")</f>
        <v>Kaylie Forgue</v>
      </c>
      <c r="C153" s="136" t="b">
        <f t="shared" si="3"/>
        <v>0</v>
      </c>
      <c r="D153" s="137">
        <f>IFERROR(__xludf.DUMMYFUNCTION("""COMPUTED_VALUE"""),0.4937500000014552)</f>
        <v>0.49375</v>
      </c>
      <c r="E153" s="106">
        <f>IFERROR(__xludf.DUMMYFUNCTION("""COMPUTED_VALUE"""),0.02708333333430346)</f>
        <v>0.02708333333</v>
      </c>
      <c r="F153" s="137">
        <f>IFERROR(__xludf.DUMMYFUNCTION("""COMPUTED_VALUE"""),0.5208333333357587)</f>
        <v>0.5208333333</v>
      </c>
      <c r="G153" s="106">
        <v>0.02708333333430346</v>
      </c>
      <c r="H153" s="136">
        <f>IFERROR(__xludf.DUMMYFUNCTION("""COMPUTED_VALUE"""),32.0)</f>
        <v>32</v>
      </c>
      <c r="I153" s="139">
        <v>49.23076922900578</v>
      </c>
      <c r="J153" s="136" t="s">
        <v>15</v>
      </c>
      <c r="K153" s="146">
        <f>IFERROR(__xludf.DUMMYFUNCTION("""COMPUTED_VALUE"""),46091.0)</f>
        <v>46091</v>
      </c>
      <c r="L153" s="136" t="str">
        <f t="shared" si="1"/>
        <v>Tuesday</v>
      </c>
      <c r="M153" s="136" t="str">
        <f>IFERROR(__xludf.DUMMYFUNCTION("""COMPUTED_VALUE"""),"BF")</f>
        <v>BF</v>
      </c>
      <c r="N153" s="141">
        <v>1.7364952957911295</v>
      </c>
      <c r="O153" s="136" t="str">
        <f>IFERROR(__xludf.DUMMYFUNCTION("""COMPUTED_VALUE"""),"")</f>
        <v/>
      </c>
      <c r="P153" s="136" t="str">
        <f>IFERROR(__xludf.DUMMYFUNCTION("""COMPUTED_VALUE"""),"")</f>
        <v/>
      </c>
      <c r="Q153" s="106" t="str">
        <f>IFERROR(__xludf.DUMMYFUNCTION("""COMPUTED_VALUE"""),"")</f>
        <v/>
      </c>
      <c r="R153" s="106" t="str">
        <f>IFERROR(__xludf.DUMMYFUNCTION("""COMPUTED_VALUE"""),"")</f>
        <v/>
      </c>
      <c r="S153" s="139" t="str">
        <f>IFERROR(__xludf.DUMMYFUNCTION("""COMPUTED_VALUE"""),"")</f>
        <v/>
      </c>
      <c r="T153" s="139" t="str">
        <f>IFERROR(__xludf.DUMMYFUNCTION("""COMPUTED_VALUE"""),"")</f>
        <v/>
      </c>
      <c r="U153" s="136" t="str">
        <f>IFERROR(__xludf.DUMMYFUNCTION("""COMPUTED_VALUE"""),"")</f>
        <v/>
      </c>
      <c r="V153" s="106" t="str">
        <f>IFERROR(__xludf.DUMMYFUNCTION("""COMPUTED_VALUE"""),"")</f>
        <v/>
      </c>
      <c r="W153" s="143" t="str">
        <f t="shared" si="2"/>
        <v/>
      </c>
      <c r="X153" s="139" t="str">
        <f>IFERROR(__xludf.DUMMYFUNCTION("""COMPUTED_VALUE"""),"")</f>
        <v/>
      </c>
      <c r="Y153" s="141" t="str">
        <f>IFERROR(__xludf.DUMMYFUNCTION("""COMPUTED_VALUE"""),"")</f>
        <v/>
      </c>
    </row>
    <row r="154">
      <c r="A154" s="144">
        <f>IFERROR(__xludf.DUMMYFUNCTION("""COMPUTED_VALUE"""),46091.62092269676)</f>
        <v>46091.62092</v>
      </c>
      <c r="B154" s="136" t="str">
        <f>IFERROR(__xludf.DUMMYFUNCTION("""COMPUTED_VALUE"""),"Kyra Turner")</f>
        <v>Kyra Turner</v>
      </c>
      <c r="C154" s="136" t="b">
        <f t="shared" si="3"/>
        <v>0</v>
      </c>
      <c r="D154" s="137">
        <f>IFERROR(__xludf.DUMMYFUNCTION("""COMPUTED_VALUE"""),0.577777777776646)</f>
        <v>0.5777777778</v>
      </c>
      <c r="E154" s="106">
        <f>IFERROR(__xludf.DUMMYFUNCTION("""COMPUTED_VALUE"""),0.04236111111094942)</f>
        <v>0.04236111111</v>
      </c>
      <c r="F154" s="137">
        <f>IFERROR(__xludf.DUMMYFUNCTION("""COMPUTED_VALUE"""),0.6201388888875954)</f>
        <v>0.6201388889</v>
      </c>
      <c r="G154" s="106">
        <v>0.04236111111094942</v>
      </c>
      <c r="H154" s="136">
        <f>IFERROR(__xludf.DUMMYFUNCTION("""COMPUTED_VALUE"""),76.0)</f>
        <v>76</v>
      </c>
      <c r="I154" s="139">
        <v>74.75409836094107</v>
      </c>
      <c r="J154" s="136" t="s">
        <v>15</v>
      </c>
      <c r="K154" s="146">
        <f>IFERROR(__xludf.DUMMYFUNCTION("""COMPUTED_VALUE"""),46091.0)</f>
        <v>46091</v>
      </c>
      <c r="L154" s="136" t="str">
        <f t="shared" si="1"/>
        <v>Tuesday</v>
      </c>
      <c r="M154" s="136" t="str">
        <f>IFERROR(__xludf.DUMMYFUNCTION("""COMPUTED_VALUE"""),"MF")</f>
        <v>MF</v>
      </c>
      <c r="N154" s="141">
        <v>1.4868302274020073</v>
      </c>
      <c r="O154" s="136" t="str">
        <f>IFERROR(__xludf.DUMMYFUNCTION("""COMPUTED_VALUE"""),"")</f>
        <v/>
      </c>
      <c r="P154" s="136" t="str">
        <f>IFERROR(__xludf.DUMMYFUNCTION("""COMPUTED_VALUE"""),"")</f>
        <v/>
      </c>
      <c r="Q154" s="106" t="str">
        <f>IFERROR(__xludf.DUMMYFUNCTION("""COMPUTED_VALUE"""),"")</f>
        <v/>
      </c>
      <c r="R154" s="106" t="str">
        <f>IFERROR(__xludf.DUMMYFUNCTION("""COMPUTED_VALUE"""),"")</f>
        <v/>
      </c>
      <c r="S154" s="139" t="str">
        <f>IFERROR(__xludf.DUMMYFUNCTION("""COMPUTED_VALUE"""),"")</f>
        <v/>
      </c>
      <c r="T154" s="139" t="str">
        <f>IFERROR(__xludf.DUMMYFUNCTION("""COMPUTED_VALUE"""),"")</f>
        <v/>
      </c>
      <c r="U154" s="136" t="str">
        <f>IFERROR(__xludf.DUMMYFUNCTION("""COMPUTED_VALUE"""),"")</f>
        <v/>
      </c>
      <c r="V154" s="106" t="str">
        <f>IFERROR(__xludf.DUMMYFUNCTION("""COMPUTED_VALUE"""),"")</f>
        <v/>
      </c>
      <c r="W154" s="143" t="str">
        <f t="shared" si="2"/>
        <v/>
      </c>
      <c r="X154" s="139" t="str">
        <f>IFERROR(__xludf.DUMMYFUNCTION("""COMPUTED_VALUE"""),"")</f>
        <v/>
      </c>
      <c r="Y154" s="141" t="str">
        <f>IFERROR(__xludf.DUMMYFUNCTION("""COMPUTED_VALUE"""),"")</f>
        <v/>
      </c>
    </row>
    <row r="155">
      <c r="A155" s="144">
        <f>IFERROR(__xludf.DUMMYFUNCTION("""COMPUTED_VALUE"""),46091.572925127315)</f>
        <v>46091.57293</v>
      </c>
      <c r="B155" s="136" t="str">
        <f>IFERROR(__xludf.DUMMYFUNCTION("""COMPUTED_VALUE"""),"Kyra Turner")</f>
        <v>Kyra Turner</v>
      </c>
      <c r="C155" s="136" t="b">
        <f t="shared" si="3"/>
        <v>0</v>
      </c>
      <c r="D155" s="137">
        <f>IFERROR(__xludf.DUMMYFUNCTION("""COMPUTED_VALUE"""),0.48402777777664596)</f>
        <v>0.4840277778</v>
      </c>
      <c r="E155" s="106">
        <f>IFERROR(__xludf.DUMMYFUNCTION("""COMPUTED_VALUE"""),0.08541666666860692)</f>
        <v>0.08541666667</v>
      </c>
      <c r="F155" s="137">
        <f>IFERROR(__xludf.DUMMYFUNCTION("""COMPUTED_VALUE"""),0.5694444444452529)</f>
        <v>0.5694444444</v>
      </c>
      <c r="G155" s="106">
        <v>0.08541666666860692</v>
      </c>
      <c r="H155" s="136">
        <f>IFERROR(__xludf.DUMMYFUNCTION("""COMPUTED_VALUE"""),189.0)</f>
        <v>189</v>
      </c>
      <c r="I155" s="139">
        <v>92.19512194912528</v>
      </c>
      <c r="J155" s="136" t="s">
        <v>15</v>
      </c>
      <c r="K155" s="146">
        <f>IFERROR(__xludf.DUMMYFUNCTION("""COMPUTED_VALUE"""),46091.0)</f>
        <v>46091</v>
      </c>
      <c r="L155" s="136" t="str">
        <f t="shared" si="1"/>
        <v>Tuesday</v>
      </c>
      <c r="M155" s="136" t="str">
        <f>IFERROR(__xludf.DUMMYFUNCTION("""COMPUTED_VALUE"""),"MF")</f>
        <v>MF</v>
      </c>
      <c r="N155" s="141">
        <v>1.8337254697542722</v>
      </c>
      <c r="O155" s="136" t="str">
        <f>IFERROR(__xludf.DUMMYFUNCTION("""COMPUTED_VALUE"""),"")</f>
        <v/>
      </c>
      <c r="P155" s="136" t="str">
        <f>IFERROR(__xludf.DUMMYFUNCTION("""COMPUTED_VALUE"""),"")</f>
        <v/>
      </c>
      <c r="Q155" s="106" t="str">
        <f>IFERROR(__xludf.DUMMYFUNCTION("""COMPUTED_VALUE"""),"")</f>
        <v/>
      </c>
      <c r="R155" s="106" t="str">
        <f>IFERROR(__xludf.DUMMYFUNCTION("""COMPUTED_VALUE"""),"")</f>
        <v/>
      </c>
      <c r="S155" s="139" t="str">
        <f>IFERROR(__xludf.DUMMYFUNCTION("""COMPUTED_VALUE"""),"")</f>
        <v/>
      </c>
      <c r="T155" s="139" t="str">
        <f>IFERROR(__xludf.DUMMYFUNCTION("""COMPUTED_VALUE"""),"")</f>
        <v/>
      </c>
      <c r="U155" s="136" t="str">
        <f>IFERROR(__xludf.DUMMYFUNCTION("""COMPUTED_VALUE"""),"")</f>
        <v/>
      </c>
      <c r="V155" s="106" t="str">
        <f>IFERROR(__xludf.DUMMYFUNCTION("""COMPUTED_VALUE"""),"")</f>
        <v/>
      </c>
      <c r="W155" s="143" t="str">
        <f t="shared" si="2"/>
        <v/>
      </c>
      <c r="X155" s="139" t="str">
        <f>IFERROR(__xludf.DUMMYFUNCTION("""COMPUTED_VALUE"""),"")</f>
        <v/>
      </c>
      <c r="Y155" s="141" t="str">
        <f>IFERROR(__xludf.DUMMYFUNCTION("""COMPUTED_VALUE"""),"")</f>
        <v/>
      </c>
    </row>
    <row r="156">
      <c r="A156" s="144">
        <f>IFERROR(__xludf.DUMMYFUNCTION("""COMPUTED_VALUE"""),46091.80620065972)</f>
        <v>46091.8062</v>
      </c>
      <c r="B156" s="136" t="str">
        <f>IFERROR(__xludf.DUMMYFUNCTION("""COMPUTED_VALUE"""),"Arjya Aich")</f>
        <v>Arjya Aich</v>
      </c>
      <c r="C156" s="136" t="b">
        <f t="shared" si="3"/>
        <v>0</v>
      </c>
      <c r="D156" s="137">
        <f>IFERROR(__xludf.DUMMYFUNCTION("""COMPUTED_VALUE"""),0.5208333333357587)</f>
        <v>0.5208333333</v>
      </c>
      <c r="E156" s="106">
        <f>IFERROR(__xludf.DUMMYFUNCTION("""COMPUTED_VALUE"""),0.125)</f>
        <v>0.125</v>
      </c>
      <c r="F156" s="137">
        <f>IFERROR(__xludf.DUMMYFUNCTION("""COMPUTED_VALUE"""),0.6458333333357587)</f>
        <v>0.6458333333</v>
      </c>
      <c r="G156" s="106">
        <v>0.125</v>
      </c>
      <c r="H156" s="136">
        <f>IFERROR(__xludf.DUMMYFUNCTION("""COMPUTED_VALUE"""),65.0)</f>
        <v>65</v>
      </c>
      <c r="I156" s="139">
        <v>21.666666666666668</v>
      </c>
      <c r="J156" s="136" t="s">
        <v>15</v>
      </c>
      <c r="K156" s="146">
        <f>IFERROR(__xludf.DUMMYFUNCTION("""COMPUTED_VALUE"""),46091.0)</f>
        <v>46091</v>
      </c>
      <c r="L156" s="136" t="str">
        <f t="shared" si="1"/>
        <v>Tuesday</v>
      </c>
      <c r="M156" s="136" t="str">
        <f>IFERROR(__xludf.DUMMYFUNCTION("""COMPUTED_VALUE"""),"BF")</f>
        <v>BF</v>
      </c>
      <c r="N156" s="141">
        <v>0.7642388151021171</v>
      </c>
      <c r="O156" s="136" t="str">
        <f>IFERROR(__xludf.DUMMYFUNCTION("""COMPUTED_VALUE"""),"")</f>
        <v/>
      </c>
      <c r="P156" s="136" t="str">
        <f>IFERROR(__xludf.DUMMYFUNCTION("""COMPUTED_VALUE"""),"")</f>
        <v/>
      </c>
      <c r="Q156" s="106" t="str">
        <f>IFERROR(__xludf.DUMMYFUNCTION("""COMPUTED_VALUE"""),"")</f>
        <v/>
      </c>
      <c r="R156" s="106" t="str">
        <f>IFERROR(__xludf.DUMMYFUNCTION("""COMPUTED_VALUE"""),"")</f>
        <v/>
      </c>
      <c r="S156" s="139" t="str">
        <f>IFERROR(__xludf.DUMMYFUNCTION("""COMPUTED_VALUE"""),"")</f>
        <v/>
      </c>
      <c r="T156" s="139" t="str">
        <f>IFERROR(__xludf.DUMMYFUNCTION("""COMPUTED_VALUE"""),"")</f>
        <v/>
      </c>
      <c r="U156" s="136" t="str">
        <f>IFERROR(__xludf.DUMMYFUNCTION("""COMPUTED_VALUE"""),"")</f>
        <v/>
      </c>
      <c r="V156" s="106" t="str">
        <f>IFERROR(__xludf.DUMMYFUNCTION("""COMPUTED_VALUE"""),"")</f>
        <v/>
      </c>
      <c r="W156" s="143" t="str">
        <f t="shared" si="2"/>
        <v/>
      </c>
      <c r="X156" s="139" t="str">
        <f>IFERROR(__xludf.DUMMYFUNCTION("""COMPUTED_VALUE"""),"")</f>
        <v/>
      </c>
      <c r="Y156" s="141" t="str">
        <f>IFERROR(__xludf.DUMMYFUNCTION("""COMPUTED_VALUE"""),"")</f>
        <v/>
      </c>
    </row>
    <row r="157">
      <c r="A157" s="144">
        <f>IFERROR(__xludf.DUMMYFUNCTION("""COMPUTED_VALUE"""),46094.240200138884)</f>
        <v>46094.2402</v>
      </c>
      <c r="B157" s="136" t="str">
        <f>IFERROR(__xludf.DUMMYFUNCTION("""COMPUTED_VALUE"""),"Alexis Sylvestre")</f>
        <v>Alexis Sylvestre</v>
      </c>
      <c r="C157" s="136" t="b">
        <f t="shared" si="3"/>
        <v>0</v>
      </c>
      <c r="D157" s="137">
        <f>IFERROR(__xludf.DUMMYFUNCTION("""COMPUTED_VALUE"""),0.6701388888905058)</f>
        <v>0.6701388889</v>
      </c>
      <c r="E157" s="106">
        <f>IFERROR(__xludf.DUMMYFUNCTION("""COMPUTED_VALUE"""),0.07986111110949423)</f>
        <v>0.07986111111</v>
      </c>
      <c r="F157" s="137">
        <f>IFERROR(__xludf.DUMMYFUNCTION("""COMPUTED_VALUE"""),0.75)</f>
        <v>0.75</v>
      </c>
      <c r="G157" s="106">
        <v>0.07986111110949423</v>
      </c>
      <c r="H157" s="136">
        <f>IFERROR(__xludf.DUMMYFUNCTION("""COMPUTED_VALUE"""),80.0)</f>
        <v>80</v>
      </c>
      <c r="I157" s="139">
        <v>41.739130435627665</v>
      </c>
      <c r="J157" s="136" t="s">
        <v>18</v>
      </c>
      <c r="K157" s="146">
        <f>IFERROR(__xludf.DUMMYFUNCTION("""COMPUTED_VALUE"""),46091.0)</f>
        <v>46091</v>
      </c>
      <c r="L157" s="136" t="str">
        <f t="shared" si="1"/>
        <v>Tuesday</v>
      </c>
      <c r="M157" s="136" t="str">
        <f>IFERROR(__xludf.DUMMYFUNCTION("""COMPUTED_VALUE"""),"MF")</f>
        <v>MF</v>
      </c>
      <c r="N157" s="141">
        <v>0.8730309105163936</v>
      </c>
      <c r="O157" s="136" t="str">
        <f>IFERROR(__xludf.DUMMYFUNCTION("""COMPUTED_VALUE"""),"")</f>
        <v/>
      </c>
      <c r="P157" s="136" t="str">
        <f>IFERROR(__xludf.DUMMYFUNCTION("""COMPUTED_VALUE"""),"")</f>
        <v/>
      </c>
      <c r="Q157" s="106" t="str">
        <f>IFERROR(__xludf.DUMMYFUNCTION("""COMPUTED_VALUE"""),"")</f>
        <v/>
      </c>
      <c r="R157" s="106" t="str">
        <f>IFERROR(__xludf.DUMMYFUNCTION("""COMPUTED_VALUE"""),"")</f>
        <v/>
      </c>
      <c r="S157" s="139" t="str">
        <f>IFERROR(__xludf.DUMMYFUNCTION("""COMPUTED_VALUE"""),"")</f>
        <v/>
      </c>
      <c r="T157" s="139" t="str">
        <f>IFERROR(__xludf.DUMMYFUNCTION("""COMPUTED_VALUE"""),"")</f>
        <v/>
      </c>
      <c r="U157" s="136" t="str">
        <f>IFERROR(__xludf.DUMMYFUNCTION("""COMPUTED_VALUE"""),"")</f>
        <v/>
      </c>
      <c r="V157" s="106" t="str">
        <f>IFERROR(__xludf.DUMMYFUNCTION("""COMPUTED_VALUE"""),"")</f>
        <v/>
      </c>
      <c r="W157" s="143" t="str">
        <f t="shared" si="2"/>
        <v/>
      </c>
      <c r="X157" s="139" t="str">
        <f>IFERROR(__xludf.DUMMYFUNCTION("""COMPUTED_VALUE"""),"")</f>
        <v/>
      </c>
      <c r="Y157" s="141" t="str">
        <f>IFERROR(__xludf.DUMMYFUNCTION("""COMPUTED_VALUE"""),"")</f>
        <v/>
      </c>
    </row>
    <row r="158">
      <c r="A158" s="144">
        <f>IFERROR(__xludf.DUMMYFUNCTION("""COMPUTED_VALUE"""),46091.84601603009)</f>
        <v>46091.84602</v>
      </c>
      <c r="B158" s="136" t="str">
        <f>IFERROR(__xludf.DUMMYFUNCTION("""COMPUTED_VALUE"""),"Leah Bucci")</f>
        <v>Leah Bucci</v>
      </c>
      <c r="C158" s="136" t="b">
        <f t="shared" si="3"/>
        <v>0</v>
      </c>
      <c r="D158" s="137">
        <f>IFERROR(__xludf.DUMMYFUNCTION("""COMPUTED_VALUE"""),0.6875)</f>
        <v>0.6875</v>
      </c>
      <c r="E158" s="106">
        <f>IFERROR(__xludf.DUMMYFUNCTION("""COMPUTED_VALUE"""),0.10416666666424135)</f>
        <v>0.1041666667</v>
      </c>
      <c r="F158" s="137">
        <f>IFERROR(__xludf.DUMMYFUNCTION("""COMPUTED_VALUE"""),0.7916666666642413)</f>
        <v>0.7916666667</v>
      </c>
      <c r="G158" s="106">
        <v>0.15972222221898846</v>
      </c>
      <c r="H158" s="136">
        <f>IFERROR(__xludf.DUMMYFUNCTION("""COMPUTED_VALUE"""),130.0)</f>
        <v>130</v>
      </c>
      <c r="I158" s="139">
        <v>54.26086956631597</v>
      </c>
      <c r="J158" s="136" t="s">
        <v>18</v>
      </c>
      <c r="K158" s="146">
        <f>IFERROR(__xludf.DUMMYFUNCTION("""COMPUTED_VALUE"""),46091.0)</f>
        <v>46091</v>
      </c>
      <c r="L158" s="136" t="str">
        <f t="shared" si="1"/>
        <v>Tuesday</v>
      </c>
      <c r="M158" s="136" t="str">
        <f>IFERROR(__xludf.DUMMYFUNCTION("""COMPUTED_VALUE"""),"BF")</f>
        <v>BF</v>
      </c>
      <c r="N158" s="141">
        <v>1.2212165017305168</v>
      </c>
      <c r="O158" s="136" t="str">
        <f>IFERROR(__xludf.DUMMYFUNCTION("""COMPUTED_VALUE"""),"")</f>
        <v/>
      </c>
      <c r="P158" s="136" t="str">
        <f>IFERROR(__xludf.DUMMYFUNCTION("""COMPUTED_VALUE"""),"")</f>
        <v/>
      </c>
      <c r="Q158" s="106" t="str">
        <f>IFERROR(__xludf.DUMMYFUNCTION("""COMPUTED_VALUE"""),"")</f>
        <v/>
      </c>
      <c r="R158" s="106" t="str">
        <f>IFERROR(__xludf.DUMMYFUNCTION("""COMPUTED_VALUE"""),"")</f>
        <v/>
      </c>
      <c r="S158" s="139" t="str">
        <f>IFERROR(__xludf.DUMMYFUNCTION("""COMPUTED_VALUE"""),"")</f>
        <v/>
      </c>
      <c r="T158" s="139" t="str">
        <f>IFERROR(__xludf.DUMMYFUNCTION("""COMPUTED_VALUE"""),"")</f>
        <v/>
      </c>
      <c r="U158" s="136" t="str">
        <f>IFERROR(__xludf.DUMMYFUNCTION("""COMPUTED_VALUE"""),"")</f>
        <v/>
      </c>
      <c r="V158" s="106" t="str">
        <f>IFERROR(__xludf.DUMMYFUNCTION("""COMPUTED_VALUE"""),"")</f>
        <v/>
      </c>
      <c r="W158" s="143" t="str">
        <f t="shared" si="2"/>
        <v/>
      </c>
      <c r="X158" s="139" t="str">
        <f>IFERROR(__xludf.DUMMYFUNCTION("""COMPUTED_VALUE"""),"")</f>
        <v/>
      </c>
      <c r="Y158" s="141" t="str">
        <f>IFERROR(__xludf.DUMMYFUNCTION("""COMPUTED_VALUE"""),"")</f>
        <v/>
      </c>
    </row>
    <row r="159">
      <c r="A159" s="144">
        <f>IFERROR(__xludf.DUMMYFUNCTION("""COMPUTED_VALUE"""),46091.84948510416)</f>
        <v>46091.84949</v>
      </c>
      <c r="B159" s="136" t="str">
        <f>IFERROR(__xludf.DUMMYFUNCTION("""COMPUTED_VALUE"""),"Leah Bucci")</f>
        <v>Leah Bucci</v>
      </c>
      <c r="C159" s="136" t="b">
        <f t="shared" si="3"/>
        <v>1</v>
      </c>
      <c r="D159" s="137">
        <f>IFERROR(__xludf.DUMMYFUNCTION("""COMPUTED_VALUE"""),0.7916666666642413)</f>
        <v>0.7916666667</v>
      </c>
      <c r="E159" s="106">
        <f>IFERROR(__xludf.DUMMYFUNCTION("""COMPUTED_VALUE"""),0.055555555554747116)</f>
        <v>0.05555555555</v>
      </c>
      <c r="F159" s="137">
        <f>IFERROR(__xludf.DUMMYFUNCTION("""COMPUTED_VALUE"""),0.8472222222189885)</f>
        <v>0.8472222222</v>
      </c>
      <c r="G159" s="106" t="s">
        <v>133</v>
      </c>
      <c r="H159" s="136">
        <f>IFERROR(__xludf.DUMMYFUNCTION("""COMPUTED_VALUE"""),78.0)</f>
        <v>78</v>
      </c>
      <c r="I159" s="139" t="s">
        <v>133</v>
      </c>
      <c r="J159" s="136" t="s">
        <v>18</v>
      </c>
      <c r="K159" s="146">
        <f>IFERROR(__xludf.DUMMYFUNCTION("""COMPUTED_VALUE"""),46091.0)</f>
        <v>46091</v>
      </c>
      <c r="L159" s="136" t="str">
        <f t="shared" si="1"/>
        <v>Tuesday</v>
      </c>
      <c r="M159" s="136" t="str">
        <f>IFERROR(__xludf.DUMMYFUNCTION("""COMPUTED_VALUE"""),"BF")</f>
        <v>BF</v>
      </c>
      <c r="N159" s="141" t="s">
        <v>133</v>
      </c>
      <c r="O159" s="136">
        <f>IFERROR(__xludf.DUMMYFUNCTION("""COMPUTED_VALUE"""),345.0)</f>
        <v>345</v>
      </c>
      <c r="P159" s="136">
        <f>IFERROR(__xludf.DUMMYFUNCTION("""COMPUTED_VALUE"""),540.0)</f>
        <v>540</v>
      </c>
      <c r="Q159" s="106">
        <f>IFERROR(__xludf.DUMMYFUNCTION("""COMPUTED_VALUE"""),0.20763888888905058)</f>
        <v>0.2076388889</v>
      </c>
      <c r="R159" s="106">
        <f>IFERROR(__xludf.DUMMYFUNCTION("""COMPUTED_VALUE"""),0.5013888888861402)</f>
        <v>0.5013888889</v>
      </c>
      <c r="S159" s="139">
        <f>IFERROR(__xludf.DUMMYFUNCTION("""COMPUTED_VALUE"""),69.562783581898)</f>
        <v>69.56278358</v>
      </c>
      <c r="T159" s="139">
        <f>IFERROR(__xludf.DUMMYFUNCTION("""COMPUTED_VALUE"""),49.92689918858388)</f>
        <v>49.92689919</v>
      </c>
      <c r="U159" s="136">
        <f>IFERROR(__xludf.DUMMYFUNCTION("""COMPUTED_VALUE"""),885.0)</f>
        <v>885</v>
      </c>
      <c r="V159" s="106">
        <f>IFERROR(__xludf.DUMMYFUNCTION("""COMPUTED_VALUE"""),0.7090277777751908)</f>
        <v>0.7090277778</v>
      </c>
      <c r="W159" s="143">
        <f t="shared" si="2"/>
        <v>52.00783546</v>
      </c>
      <c r="X159" s="139">
        <f>IFERROR(__xludf.DUMMYFUNCTION("""COMPUTED_VALUE"""),57.290355836076685)</f>
        <v>57.29035584</v>
      </c>
      <c r="Y159" s="141">
        <f>IFERROR(__xludf.DUMMYFUNCTION("""COMPUTED_VALUE"""),1.0117697291883903)</f>
        <v>1.011769729</v>
      </c>
    </row>
    <row r="160">
      <c r="A160" s="144">
        <f>IFERROR(__xludf.DUMMYFUNCTION("""COMPUTED_VALUE"""),46092.41099399306)</f>
        <v>46092.41099</v>
      </c>
      <c r="B160" s="136" t="str">
        <f>IFERROR(__xludf.DUMMYFUNCTION("""COMPUTED_VALUE"""),"Kaylie Forgue")</f>
        <v>Kaylie Forgue</v>
      </c>
      <c r="C160" s="136" t="b">
        <f t="shared" si="3"/>
        <v>0</v>
      </c>
      <c r="D160" s="137">
        <f>IFERROR(__xludf.DUMMYFUNCTION("""COMPUTED_VALUE"""),0.3125)</f>
        <v>0.3125</v>
      </c>
      <c r="E160" s="106">
        <f>IFERROR(__xludf.DUMMYFUNCTION("""COMPUTED_VALUE"""),0.09305555555329192)</f>
        <v>0.09305555555</v>
      </c>
      <c r="F160" s="137">
        <f>IFERROR(__xludf.DUMMYFUNCTION("""COMPUTED_VALUE"""),0.4055555555532919)</f>
        <v>0.4055555556</v>
      </c>
      <c r="G160" s="106">
        <v>0.11388888888905058</v>
      </c>
      <c r="H160" s="136">
        <f>IFERROR(__xludf.DUMMYFUNCTION("""COMPUTED_VALUE"""),96.0)</f>
        <v>96</v>
      </c>
      <c r="I160" s="139">
        <v>43.90243902432792</v>
      </c>
      <c r="J160" s="136" t="s">
        <v>12</v>
      </c>
      <c r="K160" s="146">
        <f>IFERROR(__xludf.DUMMYFUNCTION("""COMPUTED_VALUE"""),46092.0)</f>
        <v>46092</v>
      </c>
      <c r="L160" s="136" t="str">
        <f t="shared" si="1"/>
        <v>Wednesday</v>
      </c>
      <c r="M160" s="136" t="str">
        <f>IFERROR(__xludf.DUMMYFUNCTION("""COMPUTED_VALUE"""),"BF")</f>
        <v>BF</v>
      </c>
      <c r="N160" s="141">
        <v>1.5485514452328606</v>
      </c>
      <c r="O160" s="136" t="str">
        <f>IFERROR(__xludf.DUMMYFUNCTION("""COMPUTED_VALUE"""),"")</f>
        <v/>
      </c>
      <c r="P160" s="136" t="str">
        <f>IFERROR(__xludf.DUMMYFUNCTION("""COMPUTED_VALUE"""),"")</f>
        <v/>
      </c>
      <c r="Q160" s="106" t="str">
        <f>IFERROR(__xludf.DUMMYFUNCTION("""COMPUTED_VALUE"""),"")</f>
        <v/>
      </c>
      <c r="R160" s="106" t="str">
        <f>IFERROR(__xludf.DUMMYFUNCTION("""COMPUTED_VALUE"""),"")</f>
        <v/>
      </c>
      <c r="S160" s="139" t="str">
        <f>IFERROR(__xludf.DUMMYFUNCTION("""COMPUTED_VALUE"""),"")</f>
        <v/>
      </c>
      <c r="T160" s="139" t="str">
        <f>IFERROR(__xludf.DUMMYFUNCTION("""COMPUTED_VALUE"""),"")</f>
        <v/>
      </c>
      <c r="U160" s="136" t="str">
        <f>IFERROR(__xludf.DUMMYFUNCTION("""COMPUTED_VALUE"""),"")</f>
        <v/>
      </c>
      <c r="V160" s="106" t="str">
        <f>IFERROR(__xludf.DUMMYFUNCTION("""COMPUTED_VALUE"""),"")</f>
        <v/>
      </c>
      <c r="W160" s="143" t="str">
        <f t="shared" si="2"/>
        <v/>
      </c>
      <c r="X160" s="139" t="str">
        <f>IFERROR(__xludf.DUMMYFUNCTION("""COMPUTED_VALUE"""),"")</f>
        <v/>
      </c>
      <c r="Y160" s="141" t="str">
        <f>IFERROR(__xludf.DUMMYFUNCTION("""COMPUTED_VALUE"""),"")</f>
        <v/>
      </c>
    </row>
    <row r="161">
      <c r="A161" s="144">
        <f>IFERROR(__xludf.DUMMYFUNCTION("""COMPUTED_VALUE"""),46092.43117778935)</f>
        <v>46092.43118</v>
      </c>
      <c r="B161" s="136" t="str">
        <f>IFERROR(__xludf.DUMMYFUNCTION("""COMPUTED_VALUE"""),"Kaylie Forgue")</f>
        <v>Kaylie Forgue</v>
      </c>
      <c r="C161" s="136" t="b">
        <f t="shared" si="3"/>
        <v>1</v>
      </c>
      <c r="D161" s="137">
        <f>IFERROR(__xludf.DUMMYFUNCTION("""COMPUTED_VALUE"""),0.40625)</f>
        <v>0.40625</v>
      </c>
      <c r="E161" s="106">
        <f>IFERROR(__xludf.DUMMYFUNCTION("""COMPUTED_VALUE"""),0.020833333335758653)</f>
        <v>0.02083333334</v>
      </c>
      <c r="F161" s="137">
        <f>IFERROR(__xludf.DUMMYFUNCTION("""COMPUTED_VALUE"""),0.42708333333575865)</f>
        <v>0.4270833333</v>
      </c>
      <c r="G161" s="106" t="s">
        <v>133</v>
      </c>
      <c r="H161" s="136">
        <f>IFERROR(__xludf.DUMMYFUNCTION("""COMPUTED_VALUE"""),24.0)</f>
        <v>24</v>
      </c>
      <c r="I161" s="139" t="s">
        <v>133</v>
      </c>
      <c r="J161" s="136" t="s">
        <v>12</v>
      </c>
      <c r="K161" s="146">
        <f>IFERROR(__xludf.DUMMYFUNCTION("""COMPUTED_VALUE"""),46092.0)</f>
        <v>46092</v>
      </c>
      <c r="L161" s="136" t="str">
        <f t="shared" si="1"/>
        <v>Wednesday</v>
      </c>
      <c r="M161" s="136" t="str">
        <f>IFERROR(__xludf.DUMMYFUNCTION("""COMPUTED_VALUE"""),"BF")</f>
        <v>BF</v>
      </c>
      <c r="N161" s="141" t="s">
        <v>133</v>
      </c>
      <c r="O161" s="136" t="str">
        <f>IFERROR(__xludf.DUMMYFUNCTION("""COMPUTED_VALUE"""),"")</f>
        <v/>
      </c>
      <c r="P161" s="136" t="str">
        <f>IFERROR(__xludf.DUMMYFUNCTION("""COMPUTED_VALUE"""),"")</f>
        <v/>
      </c>
      <c r="Q161" s="106" t="str">
        <f>IFERROR(__xludf.DUMMYFUNCTION("""COMPUTED_VALUE"""),"")</f>
        <v/>
      </c>
      <c r="R161" s="106" t="str">
        <f>IFERROR(__xludf.DUMMYFUNCTION("""COMPUTED_VALUE"""),"")</f>
        <v/>
      </c>
      <c r="S161" s="139" t="str">
        <f>IFERROR(__xludf.DUMMYFUNCTION("""COMPUTED_VALUE"""),"")</f>
        <v/>
      </c>
      <c r="T161" s="139" t="str">
        <f>IFERROR(__xludf.DUMMYFUNCTION("""COMPUTED_VALUE"""),"")</f>
        <v/>
      </c>
      <c r="U161" s="136" t="str">
        <f>IFERROR(__xludf.DUMMYFUNCTION("""COMPUTED_VALUE"""),"")</f>
        <v/>
      </c>
      <c r="V161" s="106" t="str">
        <f>IFERROR(__xludf.DUMMYFUNCTION("""COMPUTED_VALUE"""),"")</f>
        <v/>
      </c>
      <c r="W161" s="143" t="str">
        <f t="shared" si="2"/>
        <v/>
      </c>
      <c r="X161" s="139" t="str">
        <f>IFERROR(__xludf.DUMMYFUNCTION("""COMPUTED_VALUE"""),"")</f>
        <v/>
      </c>
      <c r="Y161" s="141" t="str">
        <f>IFERROR(__xludf.DUMMYFUNCTION("""COMPUTED_VALUE"""),"")</f>
        <v/>
      </c>
    </row>
    <row r="162">
      <c r="A162" s="144">
        <f>IFERROR(__xludf.DUMMYFUNCTION("""COMPUTED_VALUE"""),46092.84666267361)</f>
        <v>46092.84666</v>
      </c>
      <c r="B162" s="136" t="str">
        <f>IFERROR(__xludf.DUMMYFUNCTION("""COMPUTED_VALUE"""),"Maureen Surgot")</f>
        <v>Maureen Surgot</v>
      </c>
      <c r="C162" s="136" t="b">
        <f t="shared" si="3"/>
        <v>0</v>
      </c>
      <c r="D162" s="137">
        <f>IFERROR(__xludf.DUMMYFUNCTION("""COMPUTED_VALUE"""),0.6875)</f>
        <v>0.6875</v>
      </c>
      <c r="E162" s="106">
        <f>IFERROR(__xludf.DUMMYFUNCTION("""COMPUTED_VALUE"""),0.16666666666424135)</f>
        <v>0.1666666667</v>
      </c>
      <c r="F162" s="137">
        <f>IFERROR(__xludf.DUMMYFUNCTION("""COMPUTED_VALUE"""),0.8541666666642413)</f>
        <v>0.8541666667</v>
      </c>
      <c r="G162" s="106">
        <v>0.16666666666424135</v>
      </c>
      <c r="H162" s="136">
        <f>IFERROR(__xludf.DUMMYFUNCTION("""COMPUTED_VALUE"""),137.0)</f>
        <v>137</v>
      </c>
      <c r="I162" s="139">
        <v>34.2500000004984</v>
      </c>
      <c r="J162" s="136" t="s">
        <v>18</v>
      </c>
      <c r="K162" s="146">
        <f>IFERROR(__xludf.DUMMYFUNCTION("""COMPUTED_VALUE"""),46092.0)</f>
        <v>46092</v>
      </c>
      <c r="L162" s="136" t="str">
        <f t="shared" si="1"/>
        <v>Wednesday</v>
      </c>
      <c r="M162" s="136" t="str">
        <f>IFERROR(__xludf.DUMMYFUNCTION("""COMPUTED_VALUE"""),"BF")</f>
        <v>BF</v>
      </c>
      <c r="N162" s="141">
        <v>0.7708439897698209</v>
      </c>
      <c r="O162" s="136" t="str">
        <f>IFERROR(__xludf.DUMMYFUNCTION("""COMPUTED_VALUE"""),"")</f>
        <v/>
      </c>
      <c r="P162" s="136" t="str">
        <f>IFERROR(__xludf.DUMMYFUNCTION("""COMPUTED_VALUE"""),"")</f>
        <v/>
      </c>
      <c r="Q162" s="106" t="str">
        <f>IFERROR(__xludf.DUMMYFUNCTION("""COMPUTED_VALUE"""),"")</f>
        <v/>
      </c>
      <c r="R162" s="106" t="str">
        <f>IFERROR(__xludf.DUMMYFUNCTION("""COMPUTED_VALUE"""),"")</f>
        <v/>
      </c>
      <c r="S162" s="139" t="str">
        <f>IFERROR(__xludf.DUMMYFUNCTION("""COMPUTED_VALUE"""),"")</f>
        <v/>
      </c>
      <c r="T162" s="139" t="str">
        <f>IFERROR(__xludf.DUMMYFUNCTION("""COMPUTED_VALUE"""),"")</f>
        <v/>
      </c>
      <c r="U162" s="136" t="str">
        <f>IFERROR(__xludf.DUMMYFUNCTION("""COMPUTED_VALUE"""),"")</f>
        <v/>
      </c>
      <c r="V162" s="106" t="str">
        <f>IFERROR(__xludf.DUMMYFUNCTION("""COMPUTED_VALUE"""),"")</f>
        <v/>
      </c>
      <c r="W162" s="143" t="str">
        <f t="shared" si="2"/>
        <v/>
      </c>
      <c r="X162" s="139" t="str">
        <f>IFERROR(__xludf.DUMMYFUNCTION("""COMPUTED_VALUE"""),"")</f>
        <v/>
      </c>
      <c r="Y162" s="141" t="str">
        <f>IFERROR(__xludf.DUMMYFUNCTION("""COMPUTED_VALUE"""),"")</f>
        <v/>
      </c>
    </row>
    <row r="163">
      <c r="A163" s="144">
        <f>IFERROR(__xludf.DUMMYFUNCTION("""COMPUTED_VALUE"""),46092.869192812504)</f>
        <v>46092.86919</v>
      </c>
      <c r="B163" s="136" t="str">
        <f>IFERROR(__xludf.DUMMYFUNCTION("""COMPUTED_VALUE"""),"Brynn Hornig")</f>
        <v>Brynn Hornig</v>
      </c>
      <c r="C163" s="136" t="b">
        <f t="shared" si="3"/>
        <v>0</v>
      </c>
      <c r="D163" s="137">
        <f>IFERROR(__xludf.DUMMYFUNCTION("""COMPUTED_VALUE"""),0.75)</f>
        <v>0.75</v>
      </c>
      <c r="E163" s="106">
        <f>IFERROR(__xludf.DUMMYFUNCTION("""COMPUTED_VALUE"""),0.125)</f>
        <v>0.125</v>
      </c>
      <c r="F163" s="137">
        <f>IFERROR(__xludf.DUMMYFUNCTION("""COMPUTED_VALUE"""),0.875)</f>
        <v>0.875</v>
      </c>
      <c r="G163" s="106">
        <v>0.125</v>
      </c>
      <c r="H163" s="136">
        <f>IFERROR(__xludf.DUMMYFUNCTION("""COMPUTED_VALUE"""),134.0)</f>
        <v>134</v>
      </c>
      <c r="I163" s="139">
        <v>44.666666666666664</v>
      </c>
      <c r="J163" s="136" t="s">
        <v>18</v>
      </c>
      <c r="K163" s="146">
        <f>IFERROR(__xludf.DUMMYFUNCTION("""COMPUTED_VALUE"""),46092.0)</f>
        <v>46092</v>
      </c>
      <c r="L163" s="136" t="str">
        <f t="shared" si="1"/>
        <v>Wednesday</v>
      </c>
      <c r="M163" s="136" t="str">
        <f>IFERROR(__xludf.DUMMYFUNCTION("""COMPUTED_VALUE"""),"MF")</f>
        <v>MF</v>
      </c>
      <c r="N163" s="141">
        <v>0.9342643285267531</v>
      </c>
      <c r="O163" s="136">
        <f>IFERROR(__xludf.DUMMYFUNCTION("""COMPUTED_VALUE"""),134.0)</f>
        <v>134</v>
      </c>
      <c r="P163" s="136">
        <f>IFERROR(__xludf.DUMMYFUNCTION("""COMPUTED_VALUE"""),257.0)</f>
        <v>257</v>
      </c>
      <c r="Q163" s="106">
        <f>IFERROR(__xludf.DUMMYFUNCTION("""COMPUTED_VALUE"""),0.125)</f>
        <v>0.125</v>
      </c>
      <c r="R163" s="106">
        <f>IFERROR(__xludf.DUMMYFUNCTION("""COMPUTED_VALUE"""),0.2805555555532919)</f>
        <v>0.2805555556</v>
      </c>
      <c r="S163" s="139">
        <f>IFERROR(__xludf.DUMMYFUNCTION("""COMPUTED_VALUE"""),44.666666666666664)</f>
        <v>44.66666667</v>
      </c>
      <c r="T163" s="139">
        <f>IFERROR(__xludf.DUMMYFUNCTION("""COMPUTED_VALUE"""),39.07621951241316)</f>
        <v>39.07621951</v>
      </c>
      <c r="U163" s="136">
        <f>IFERROR(__xludf.DUMMYFUNCTION("""COMPUTED_VALUE"""),391.0)</f>
        <v>391</v>
      </c>
      <c r="V163" s="106">
        <f>IFERROR(__xludf.DUMMYFUNCTION("""COMPUTED_VALUE"""),0.4055555555532919)</f>
        <v>0.4055555556</v>
      </c>
      <c r="W163" s="143">
        <f t="shared" si="2"/>
        <v>40.17123288</v>
      </c>
      <c r="X163" s="139">
        <f>IFERROR(__xludf.DUMMYFUNCTION("""COMPUTED_VALUE"""),40.939701897164326)</f>
        <v>40.9397019</v>
      </c>
      <c r="Y163" s="141">
        <f>IFERROR(__xludf.DUMMYFUNCTION("""COMPUTED_VALUE"""),0.6860569736825984)</f>
        <v>0.6860569737</v>
      </c>
    </row>
    <row r="164">
      <c r="A164" s="144">
        <f>IFERROR(__xludf.DUMMYFUNCTION("""COMPUTED_VALUE"""),46093.36201489583)</f>
        <v>46093.36201</v>
      </c>
      <c r="B164" s="136" t="str">
        <f>IFERROR(__xludf.DUMMYFUNCTION("""COMPUTED_VALUE"""),"Evan Morgan")</f>
        <v>Evan Morgan</v>
      </c>
      <c r="C164" s="136" t="b">
        <f t="shared" si="3"/>
        <v>0</v>
      </c>
      <c r="D164" s="137">
        <f>IFERROR(__xludf.DUMMYFUNCTION("""COMPUTED_VALUE"""),0.29166666666424135)</f>
        <v>0.2916666667</v>
      </c>
      <c r="E164" s="106">
        <f>IFERROR(__xludf.DUMMYFUNCTION("""COMPUTED_VALUE"""),0.06944444444525288)</f>
        <v>0.06944444445</v>
      </c>
      <c r="F164" s="137">
        <f>IFERROR(__xludf.DUMMYFUNCTION("""COMPUTED_VALUE"""),0.36111111110949423)</f>
        <v>0.3611111111</v>
      </c>
      <c r="G164" s="106">
        <v>0.06944444444525288</v>
      </c>
      <c r="H164" s="136">
        <f>IFERROR(__xludf.DUMMYFUNCTION("""COMPUTED_VALUE"""),27.0)</f>
        <v>27</v>
      </c>
      <c r="I164" s="139">
        <v>16.199999999811407</v>
      </c>
      <c r="J164" s="136" t="s">
        <v>12</v>
      </c>
      <c r="K164" s="146">
        <f>IFERROR(__xludf.DUMMYFUNCTION("""COMPUTED_VALUE"""),46093.0)</f>
        <v>46093</v>
      </c>
      <c r="L164" s="136" t="str">
        <f t="shared" si="1"/>
        <v>Thursday</v>
      </c>
      <c r="M164" s="136" t="str">
        <f>IFERROR(__xludf.DUMMYFUNCTION("""COMPUTED_VALUE"""),"BF")</f>
        <v>BF</v>
      </c>
      <c r="N164" s="141">
        <v>0.5714154832850846</v>
      </c>
      <c r="O164" s="136" t="str">
        <f>IFERROR(__xludf.DUMMYFUNCTION("""COMPUTED_VALUE"""),"")</f>
        <v/>
      </c>
      <c r="P164" s="136" t="str">
        <f>IFERROR(__xludf.DUMMYFUNCTION("""COMPUTED_VALUE"""),"")</f>
        <v/>
      </c>
      <c r="Q164" s="106" t="str">
        <f>IFERROR(__xludf.DUMMYFUNCTION("""COMPUTED_VALUE"""),"")</f>
        <v/>
      </c>
      <c r="R164" s="106" t="str">
        <f>IFERROR(__xludf.DUMMYFUNCTION("""COMPUTED_VALUE"""),"")</f>
        <v/>
      </c>
      <c r="S164" s="139" t="str">
        <f>IFERROR(__xludf.DUMMYFUNCTION("""COMPUTED_VALUE"""),"")</f>
        <v/>
      </c>
      <c r="T164" s="139" t="str">
        <f>IFERROR(__xludf.DUMMYFUNCTION("""COMPUTED_VALUE"""),"")</f>
        <v/>
      </c>
      <c r="U164" s="136" t="str">
        <f>IFERROR(__xludf.DUMMYFUNCTION("""COMPUTED_VALUE"""),"")</f>
        <v/>
      </c>
      <c r="V164" s="106" t="str">
        <f>IFERROR(__xludf.DUMMYFUNCTION("""COMPUTED_VALUE"""),"")</f>
        <v/>
      </c>
      <c r="W164" s="143" t="str">
        <f t="shared" si="2"/>
        <v/>
      </c>
      <c r="X164" s="139" t="str">
        <f>IFERROR(__xludf.DUMMYFUNCTION("""COMPUTED_VALUE"""),"")</f>
        <v/>
      </c>
      <c r="Y164" s="141" t="str">
        <f>IFERROR(__xludf.DUMMYFUNCTION("""COMPUTED_VALUE"""),"")</f>
        <v/>
      </c>
    </row>
    <row r="165">
      <c r="A165" s="144">
        <f>IFERROR(__xludf.DUMMYFUNCTION("""COMPUTED_VALUE"""),46093.45978293981)</f>
        <v>46093.45978</v>
      </c>
      <c r="B165" s="136" t="str">
        <f>IFERROR(__xludf.DUMMYFUNCTION("""COMPUTED_VALUE"""),"Sophia Kluck")</f>
        <v>Sophia Kluck</v>
      </c>
      <c r="C165" s="136" t="b">
        <f t="shared" si="3"/>
        <v>0</v>
      </c>
      <c r="D165" s="137">
        <f>IFERROR(__xludf.DUMMYFUNCTION("""COMPUTED_VALUE"""),0.3694444444408873)</f>
        <v>0.3694444444</v>
      </c>
      <c r="E165" s="106">
        <f>IFERROR(__xludf.DUMMYFUNCTION("""COMPUTED_VALUE"""),0.08402777778246673)</f>
        <v>0.08402777778</v>
      </c>
      <c r="F165" s="137">
        <f>IFERROR(__xludf.DUMMYFUNCTION("""COMPUTED_VALUE"""),0.45347222222335404)</f>
        <v>0.4534722222</v>
      </c>
      <c r="G165" s="106">
        <v>0.10347222222480923</v>
      </c>
      <c r="H165" s="136">
        <f>IFERROR(__xludf.DUMMYFUNCTION("""COMPUTED_VALUE"""),71.0)</f>
        <v>71</v>
      </c>
      <c r="I165" s="139">
        <v>35.43624160985228</v>
      </c>
      <c r="J165" s="136" t="s">
        <v>12</v>
      </c>
      <c r="K165" s="146">
        <f>IFERROR(__xludf.DUMMYFUNCTION("""COMPUTED_VALUE"""),46093.0)</f>
        <v>46093</v>
      </c>
      <c r="L165" s="136" t="str">
        <f t="shared" si="1"/>
        <v>Thursday</v>
      </c>
      <c r="M165" s="136" t="str">
        <f>IFERROR(__xludf.DUMMYFUNCTION("""COMPUTED_VALUE"""),"BF")</f>
        <v>BF</v>
      </c>
      <c r="N165" s="141">
        <v>1.2499269830578081</v>
      </c>
      <c r="O165" s="136" t="str">
        <f>IFERROR(__xludf.DUMMYFUNCTION("""COMPUTED_VALUE"""),"")</f>
        <v/>
      </c>
      <c r="P165" s="136" t="str">
        <f>IFERROR(__xludf.DUMMYFUNCTION("""COMPUTED_VALUE"""),"")</f>
        <v/>
      </c>
      <c r="Q165" s="106" t="str">
        <f>IFERROR(__xludf.DUMMYFUNCTION("""COMPUTED_VALUE"""),"")</f>
        <v/>
      </c>
      <c r="R165" s="106" t="str">
        <f>IFERROR(__xludf.DUMMYFUNCTION("""COMPUTED_VALUE"""),"")</f>
        <v/>
      </c>
      <c r="S165" s="139" t="str">
        <f>IFERROR(__xludf.DUMMYFUNCTION("""COMPUTED_VALUE"""),"")</f>
        <v/>
      </c>
      <c r="T165" s="139" t="str">
        <f>IFERROR(__xludf.DUMMYFUNCTION("""COMPUTED_VALUE"""),"")</f>
        <v/>
      </c>
      <c r="U165" s="136" t="str">
        <f>IFERROR(__xludf.DUMMYFUNCTION("""COMPUTED_VALUE"""),"")</f>
        <v/>
      </c>
      <c r="V165" s="106" t="str">
        <f>IFERROR(__xludf.DUMMYFUNCTION("""COMPUTED_VALUE"""),"")</f>
        <v/>
      </c>
      <c r="W165" s="143" t="str">
        <f t="shared" si="2"/>
        <v/>
      </c>
      <c r="X165" s="139" t="str">
        <f>IFERROR(__xludf.DUMMYFUNCTION("""COMPUTED_VALUE"""),"")</f>
        <v/>
      </c>
      <c r="Y165" s="141" t="str">
        <f>IFERROR(__xludf.DUMMYFUNCTION("""COMPUTED_VALUE"""),"")</f>
        <v/>
      </c>
    </row>
    <row r="166">
      <c r="A166" s="144">
        <f>IFERROR(__xludf.DUMMYFUNCTION("""COMPUTED_VALUE"""),46093.4793055787)</f>
        <v>46093.47931</v>
      </c>
      <c r="B166" s="136" t="str">
        <f>IFERROR(__xludf.DUMMYFUNCTION("""COMPUTED_VALUE"""),"Sophia Kluck")</f>
        <v>Sophia Kluck</v>
      </c>
      <c r="C166" s="136" t="b">
        <f t="shared" si="3"/>
        <v>1</v>
      </c>
      <c r="D166" s="137">
        <f>IFERROR(__xludf.DUMMYFUNCTION("""COMPUTED_VALUE"""),0.4562500000029104)</f>
        <v>0.45625</v>
      </c>
      <c r="E166" s="106">
        <f>IFERROR(__xludf.DUMMYFUNCTION("""COMPUTED_VALUE"""),0.0194444444423425)</f>
        <v>0.01944444444</v>
      </c>
      <c r="F166" s="137">
        <f>IFERROR(__xludf.DUMMYFUNCTION("""COMPUTED_VALUE"""),0.4756944444452529)</f>
        <v>0.4756944444</v>
      </c>
      <c r="G166" s="106" t="s">
        <v>133</v>
      </c>
      <c r="H166" s="136">
        <f>IFERROR(__xludf.DUMMYFUNCTION("""COMPUTED_VALUE"""),17.0)</f>
        <v>17</v>
      </c>
      <c r="I166" s="139" t="s">
        <v>133</v>
      </c>
      <c r="J166" s="136" t="s">
        <v>134</v>
      </c>
      <c r="K166" s="146">
        <f>IFERROR(__xludf.DUMMYFUNCTION("""COMPUTED_VALUE"""),46093.0)</f>
        <v>46093</v>
      </c>
      <c r="L166" s="136" t="str">
        <f t="shared" si="1"/>
        <v>Thursday</v>
      </c>
      <c r="M166" s="136" t="str">
        <f>IFERROR(__xludf.DUMMYFUNCTION("""COMPUTED_VALUE"""),"BF")</f>
        <v>BF</v>
      </c>
      <c r="N166" s="141" t="s">
        <v>133</v>
      </c>
      <c r="O166" s="136" t="str">
        <f>IFERROR(__xludf.DUMMYFUNCTION("""COMPUTED_VALUE"""),"")</f>
        <v/>
      </c>
      <c r="P166" s="136" t="str">
        <f>IFERROR(__xludf.DUMMYFUNCTION("""COMPUTED_VALUE"""),"")</f>
        <v/>
      </c>
      <c r="Q166" s="106" t="str">
        <f>IFERROR(__xludf.DUMMYFUNCTION("""COMPUTED_VALUE"""),"")</f>
        <v/>
      </c>
      <c r="R166" s="106" t="str">
        <f>IFERROR(__xludf.DUMMYFUNCTION("""COMPUTED_VALUE"""),"")</f>
        <v/>
      </c>
      <c r="S166" s="139" t="str">
        <f>IFERROR(__xludf.DUMMYFUNCTION("""COMPUTED_VALUE"""),"")</f>
        <v/>
      </c>
      <c r="T166" s="139" t="str">
        <f>IFERROR(__xludf.DUMMYFUNCTION("""COMPUTED_VALUE"""),"")</f>
        <v/>
      </c>
      <c r="U166" s="136" t="str">
        <f>IFERROR(__xludf.DUMMYFUNCTION("""COMPUTED_VALUE"""),"")</f>
        <v/>
      </c>
      <c r="V166" s="106" t="str">
        <f>IFERROR(__xludf.DUMMYFUNCTION("""COMPUTED_VALUE"""),"")</f>
        <v/>
      </c>
      <c r="W166" s="143" t="str">
        <f t="shared" si="2"/>
        <v/>
      </c>
      <c r="X166" s="139" t="str">
        <f>IFERROR(__xludf.DUMMYFUNCTION("""COMPUTED_VALUE"""),"")</f>
        <v/>
      </c>
      <c r="Y166" s="141" t="str">
        <f>IFERROR(__xludf.DUMMYFUNCTION("""COMPUTED_VALUE"""),"")</f>
        <v/>
      </c>
    </row>
    <row r="167">
      <c r="A167" s="144">
        <f>IFERROR(__xludf.DUMMYFUNCTION("""COMPUTED_VALUE"""),46093.52927782407)</f>
        <v>46093.52928</v>
      </c>
      <c r="B167" s="136" t="str">
        <f>IFERROR(__xludf.DUMMYFUNCTION("""COMPUTED_VALUE"""),"Emmett Khan")</f>
        <v>Emmett Khan</v>
      </c>
      <c r="C167" s="136" t="b">
        <f t="shared" si="3"/>
        <v>0</v>
      </c>
      <c r="D167" s="137">
        <f>IFERROR(__xludf.DUMMYFUNCTION("""COMPUTED_VALUE"""),0.47916666666424135)</f>
        <v>0.4791666667</v>
      </c>
      <c r="E167" s="106">
        <f>IFERROR(__xludf.DUMMYFUNCTION("""COMPUTED_VALUE"""),0.05208333333575865)</f>
        <v>0.05208333334</v>
      </c>
      <c r="F167" s="137">
        <f>IFERROR(__xludf.DUMMYFUNCTION("""COMPUTED_VALUE"""),0.53125)</f>
        <v>0.53125</v>
      </c>
      <c r="G167" s="106">
        <v>0.05208333333575865</v>
      </c>
      <c r="H167" s="136">
        <f>IFERROR(__xludf.DUMMYFUNCTION("""COMPUTED_VALUE"""),64.0)</f>
        <v>64</v>
      </c>
      <c r="I167" s="139">
        <v>51.19999999761581</v>
      </c>
      <c r="J167" s="136" t="s">
        <v>15</v>
      </c>
      <c r="K167" s="146">
        <f>IFERROR(__xludf.DUMMYFUNCTION("""COMPUTED_VALUE"""),46093.0)</f>
        <v>46093</v>
      </c>
      <c r="L167" s="136" t="str">
        <f t="shared" si="1"/>
        <v>Thursday</v>
      </c>
      <c r="M167" s="136" t="str">
        <f>IFERROR(__xludf.DUMMYFUNCTION("""COMPUTED_VALUE"""),"MF")</f>
        <v>MF</v>
      </c>
      <c r="N167" s="141">
        <v>1.0183482820149095</v>
      </c>
      <c r="O167" s="136" t="str">
        <f>IFERROR(__xludf.DUMMYFUNCTION("""COMPUTED_VALUE"""),"")</f>
        <v/>
      </c>
      <c r="P167" s="136" t="str">
        <f>IFERROR(__xludf.DUMMYFUNCTION("""COMPUTED_VALUE"""),"")</f>
        <v/>
      </c>
      <c r="Q167" s="106" t="str">
        <f>IFERROR(__xludf.DUMMYFUNCTION("""COMPUTED_VALUE"""),"")</f>
        <v/>
      </c>
      <c r="R167" s="106" t="str">
        <f>IFERROR(__xludf.DUMMYFUNCTION("""COMPUTED_VALUE"""),"")</f>
        <v/>
      </c>
      <c r="S167" s="139" t="str">
        <f>IFERROR(__xludf.DUMMYFUNCTION("""COMPUTED_VALUE"""),"")</f>
        <v/>
      </c>
      <c r="T167" s="139" t="str">
        <f>IFERROR(__xludf.DUMMYFUNCTION("""COMPUTED_VALUE"""),"")</f>
        <v/>
      </c>
      <c r="U167" s="136" t="str">
        <f>IFERROR(__xludf.DUMMYFUNCTION("""COMPUTED_VALUE"""),"")</f>
        <v/>
      </c>
      <c r="V167" s="106" t="str">
        <f>IFERROR(__xludf.DUMMYFUNCTION("""COMPUTED_VALUE"""),"")</f>
        <v/>
      </c>
      <c r="W167" s="143" t="str">
        <f t="shared" si="2"/>
        <v/>
      </c>
      <c r="X167" s="139" t="str">
        <f>IFERROR(__xludf.DUMMYFUNCTION("""COMPUTED_VALUE"""),"")</f>
        <v/>
      </c>
      <c r="Y167" s="141" t="str">
        <f>IFERROR(__xludf.DUMMYFUNCTION("""COMPUTED_VALUE"""),"")</f>
        <v/>
      </c>
    </row>
    <row r="168">
      <c r="A168" s="144">
        <f>IFERROR(__xludf.DUMMYFUNCTION("""COMPUTED_VALUE"""),46093.57959949074)</f>
        <v>46093.5796</v>
      </c>
      <c r="B168" s="136" t="str">
        <f>IFERROR(__xludf.DUMMYFUNCTION("""COMPUTED_VALUE"""),"Kyra Turner")</f>
        <v>Kyra Turner</v>
      </c>
      <c r="C168" s="136" t="b">
        <f t="shared" si="3"/>
        <v>0</v>
      </c>
      <c r="D168" s="137">
        <f>IFERROR(__xludf.DUMMYFUNCTION("""COMPUTED_VALUE"""),0.5006944444467081)</f>
        <v>0.5006944444</v>
      </c>
      <c r="E168" s="106">
        <f>IFERROR(__xludf.DUMMYFUNCTION("""COMPUTED_VALUE"""),0.07708333332993789)</f>
        <v>0.07708333333</v>
      </c>
      <c r="F168" s="137">
        <f>IFERROR(__xludf.DUMMYFUNCTION("""COMPUTED_VALUE"""),0.577777777776646)</f>
        <v>0.5777777778</v>
      </c>
      <c r="G168" s="106">
        <v>0.1388888888832298</v>
      </c>
      <c r="H168" s="136">
        <f>IFERROR(__xludf.DUMMYFUNCTION("""COMPUTED_VALUE"""),111.0)</f>
        <v>111</v>
      </c>
      <c r="I168" s="139">
        <v>57.30000000233471</v>
      </c>
      <c r="J168" s="136" t="s">
        <v>15</v>
      </c>
      <c r="K168" s="146">
        <f>IFERROR(__xludf.DUMMYFUNCTION("""COMPUTED_VALUE"""),46093.0)</f>
        <v>46093</v>
      </c>
      <c r="L168" s="136" t="str">
        <f t="shared" si="1"/>
        <v>Thursday</v>
      </c>
      <c r="M168" s="136" t="str">
        <f>IFERROR(__xludf.DUMMYFUNCTION("""COMPUTED_VALUE"""),"BF")</f>
        <v>BF</v>
      </c>
      <c r="N168" s="141">
        <v>2.0211177280216424</v>
      </c>
      <c r="O168" s="136" t="str">
        <f>IFERROR(__xludf.DUMMYFUNCTION("""COMPUTED_VALUE"""),"")</f>
        <v/>
      </c>
      <c r="P168" s="136" t="str">
        <f>IFERROR(__xludf.DUMMYFUNCTION("""COMPUTED_VALUE"""),"")</f>
        <v/>
      </c>
      <c r="Q168" s="106" t="str">
        <f>IFERROR(__xludf.DUMMYFUNCTION("""COMPUTED_VALUE"""),"")</f>
        <v/>
      </c>
      <c r="R168" s="106" t="str">
        <f>IFERROR(__xludf.DUMMYFUNCTION("""COMPUTED_VALUE"""),"")</f>
        <v/>
      </c>
      <c r="S168" s="139" t="str">
        <f>IFERROR(__xludf.DUMMYFUNCTION("""COMPUTED_VALUE"""),"")</f>
        <v/>
      </c>
      <c r="T168" s="139" t="str">
        <f>IFERROR(__xludf.DUMMYFUNCTION("""COMPUTED_VALUE"""),"")</f>
        <v/>
      </c>
      <c r="U168" s="136" t="str">
        <f>IFERROR(__xludf.DUMMYFUNCTION("""COMPUTED_VALUE"""),"")</f>
        <v/>
      </c>
      <c r="V168" s="106" t="str">
        <f>IFERROR(__xludf.DUMMYFUNCTION("""COMPUTED_VALUE"""),"")</f>
        <v/>
      </c>
      <c r="W168" s="143" t="str">
        <f t="shared" si="2"/>
        <v/>
      </c>
      <c r="X168" s="139" t="str">
        <f>IFERROR(__xludf.DUMMYFUNCTION("""COMPUTED_VALUE"""),"")</f>
        <v/>
      </c>
      <c r="Y168" s="141" t="str">
        <f>IFERROR(__xludf.DUMMYFUNCTION("""COMPUTED_VALUE"""),"")</f>
        <v/>
      </c>
    </row>
    <row r="169">
      <c r="A169" s="144">
        <f>IFERROR(__xludf.DUMMYFUNCTION("""COMPUTED_VALUE"""),46093.64554915509)</f>
        <v>46093.64555</v>
      </c>
      <c r="B169" s="136" t="str">
        <f>IFERROR(__xludf.DUMMYFUNCTION("""COMPUTED_VALUE"""),"Kyra Turner")</f>
        <v>Kyra Turner</v>
      </c>
      <c r="C169" s="136" t="b">
        <f t="shared" si="3"/>
        <v>1</v>
      </c>
      <c r="D169" s="137">
        <f>IFERROR(__xludf.DUMMYFUNCTION("""COMPUTED_VALUE"""),0.5798611111094942)</f>
        <v>0.5798611111</v>
      </c>
      <c r="E169" s="106">
        <f>IFERROR(__xludf.DUMMYFUNCTION("""COMPUTED_VALUE"""),0.061805555553291924)</f>
        <v>0.06180555555</v>
      </c>
      <c r="F169" s="137">
        <f>IFERROR(__xludf.DUMMYFUNCTION("""COMPUTED_VALUE"""),0.6416666666627862)</f>
        <v>0.6416666667</v>
      </c>
      <c r="G169" s="106" t="s">
        <v>133</v>
      </c>
      <c r="H169" s="136">
        <f>IFERROR(__xludf.DUMMYFUNCTION("""COMPUTED_VALUE"""),80.0)</f>
        <v>80</v>
      </c>
      <c r="I169" s="139" t="s">
        <v>133</v>
      </c>
      <c r="J169" s="136" t="s">
        <v>15</v>
      </c>
      <c r="K169" s="146">
        <f>IFERROR(__xludf.DUMMYFUNCTION("""COMPUTED_VALUE"""),46093.0)</f>
        <v>46093</v>
      </c>
      <c r="L169" s="136" t="str">
        <f t="shared" si="1"/>
        <v>Thursday</v>
      </c>
      <c r="M169" s="136" t="str">
        <f>IFERROR(__xludf.DUMMYFUNCTION("""COMPUTED_VALUE"""),"BF")</f>
        <v>BF</v>
      </c>
      <c r="N169" s="141" t="s">
        <v>133</v>
      </c>
      <c r="O169" s="136" t="str">
        <f>IFERROR(__xludf.DUMMYFUNCTION("""COMPUTED_VALUE"""),"")</f>
        <v/>
      </c>
      <c r="P169" s="136" t="str">
        <f>IFERROR(__xludf.DUMMYFUNCTION("""COMPUTED_VALUE"""),"")</f>
        <v/>
      </c>
      <c r="Q169" s="106" t="str">
        <f>IFERROR(__xludf.DUMMYFUNCTION("""COMPUTED_VALUE"""),"")</f>
        <v/>
      </c>
      <c r="R169" s="106" t="str">
        <f>IFERROR(__xludf.DUMMYFUNCTION("""COMPUTED_VALUE"""),"")</f>
        <v/>
      </c>
      <c r="S169" s="139" t="str">
        <f>IFERROR(__xludf.DUMMYFUNCTION("""COMPUTED_VALUE"""),"")</f>
        <v/>
      </c>
      <c r="T169" s="139" t="str">
        <f>IFERROR(__xludf.DUMMYFUNCTION("""COMPUTED_VALUE"""),"")</f>
        <v/>
      </c>
      <c r="U169" s="136" t="str">
        <f>IFERROR(__xludf.DUMMYFUNCTION("""COMPUTED_VALUE"""),"")</f>
        <v/>
      </c>
      <c r="V169" s="106" t="str">
        <f>IFERROR(__xludf.DUMMYFUNCTION("""COMPUTED_VALUE"""),"")</f>
        <v/>
      </c>
      <c r="W169" s="143" t="str">
        <f t="shared" si="2"/>
        <v/>
      </c>
      <c r="X169" s="139" t="str">
        <f>IFERROR(__xludf.DUMMYFUNCTION("""COMPUTED_VALUE"""),"")</f>
        <v/>
      </c>
      <c r="Y169" s="141" t="str">
        <f>IFERROR(__xludf.DUMMYFUNCTION("""COMPUTED_VALUE"""),"")</f>
        <v/>
      </c>
    </row>
    <row r="170">
      <c r="A170" s="144">
        <f>IFERROR(__xludf.DUMMYFUNCTION("""COMPUTED_VALUE"""),46093.7770591088)</f>
        <v>46093.77706</v>
      </c>
      <c r="B170" s="136" t="str">
        <f>IFERROR(__xludf.DUMMYFUNCTION("""COMPUTED_VALUE"""),"Emmett Khan")</f>
        <v>Emmett Khan</v>
      </c>
      <c r="C170" s="136" t="b">
        <f t="shared" si="3"/>
        <v>0</v>
      </c>
      <c r="D170" s="137">
        <f>IFERROR(__xludf.DUMMYFUNCTION("""COMPUTED_VALUE"""),0.7083333333357587)</f>
        <v>0.7083333333</v>
      </c>
      <c r="E170" s="106">
        <f>IFERROR(__xludf.DUMMYFUNCTION("""COMPUTED_VALUE"""),0.07291666666424135)</f>
        <v>0.07291666666</v>
      </c>
      <c r="F170" s="137">
        <f>IFERROR(__xludf.DUMMYFUNCTION("""COMPUTED_VALUE"""),0.78125)</f>
        <v>0.78125</v>
      </c>
      <c r="G170" s="106">
        <v>0.07291666666424135</v>
      </c>
      <c r="H170" s="136">
        <f>IFERROR(__xludf.DUMMYFUNCTION("""COMPUTED_VALUE"""),90.0)</f>
        <v>90</v>
      </c>
      <c r="I170" s="139">
        <v>51.42857143028202</v>
      </c>
      <c r="J170" s="136" t="s">
        <v>18</v>
      </c>
      <c r="K170" s="146">
        <f>IFERROR(__xludf.DUMMYFUNCTION("""COMPUTED_VALUE"""),46093.0)</f>
        <v>46093</v>
      </c>
      <c r="L170" s="136" t="str">
        <f t="shared" si="1"/>
        <v>Thursday</v>
      </c>
      <c r="M170" s="136" t="str">
        <f>IFERROR(__xludf.DUMMYFUNCTION("""COMPUTED_VALUE"""),"MF")</f>
        <v>MF</v>
      </c>
      <c r="N170" s="141">
        <v>1.0756988004716999</v>
      </c>
      <c r="O170" s="136" t="str">
        <f>IFERROR(__xludf.DUMMYFUNCTION("""COMPUTED_VALUE"""),"")</f>
        <v/>
      </c>
      <c r="P170" s="136" t="str">
        <f>IFERROR(__xludf.DUMMYFUNCTION("""COMPUTED_VALUE"""),"")</f>
        <v/>
      </c>
      <c r="Q170" s="106" t="str">
        <f>IFERROR(__xludf.DUMMYFUNCTION("""COMPUTED_VALUE"""),"")</f>
        <v/>
      </c>
      <c r="R170" s="106" t="str">
        <f>IFERROR(__xludf.DUMMYFUNCTION("""COMPUTED_VALUE"""),"")</f>
        <v/>
      </c>
      <c r="S170" s="139" t="str">
        <f>IFERROR(__xludf.DUMMYFUNCTION("""COMPUTED_VALUE"""),"")</f>
        <v/>
      </c>
      <c r="T170" s="139" t="str">
        <f>IFERROR(__xludf.DUMMYFUNCTION("""COMPUTED_VALUE"""),"")</f>
        <v/>
      </c>
      <c r="U170" s="136" t="str">
        <f>IFERROR(__xludf.DUMMYFUNCTION("""COMPUTED_VALUE"""),"")</f>
        <v/>
      </c>
      <c r="V170" s="106" t="str">
        <f>IFERROR(__xludf.DUMMYFUNCTION("""COMPUTED_VALUE"""),"")</f>
        <v/>
      </c>
      <c r="W170" s="143" t="str">
        <f t="shared" si="2"/>
        <v/>
      </c>
      <c r="X170" s="139" t="str">
        <f>IFERROR(__xludf.DUMMYFUNCTION("""COMPUTED_VALUE"""),"")</f>
        <v/>
      </c>
      <c r="Y170" s="141" t="str">
        <f>IFERROR(__xludf.DUMMYFUNCTION("""COMPUTED_VALUE"""),"")</f>
        <v/>
      </c>
    </row>
    <row r="171">
      <c r="A171" s="144">
        <f>IFERROR(__xludf.DUMMYFUNCTION("""COMPUTED_VALUE"""),46093.84711077546)</f>
        <v>46093.84711</v>
      </c>
      <c r="B171" s="136" t="str">
        <f>IFERROR(__xludf.DUMMYFUNCTION("""COMPUTED_VALUE"""),"Leah Bucci")</f>
        <v>Leah Bucci</v>
      </c>
      <c r="C171" s="136" t="b">
        <f t="shared" si="3"/>
        <v>0</v>
      </c>
      <c r="D171" s="137">
        <f>IFERROR(__xludf.DUMMYFUNCTION("""COMPUTED_VALUE"""),0.6875)</f>
        <v>0.6875</v>
      </c>
      <c r="E171" s="106">
        <f>IFERROR(__xludf.DUMMYFUNCTION("""COMPUTED_VALUE"""),0.09722222221898846)</f>
        <v>0.09722222222</v>
      </c>
      <c r="F171" s="137">
        <f>IFERROR(__xludf.DUMMYFUNCTION("""COMPUTED_VALUE"""),0.7847222222189885)</f>
        <v>0.7847222222</v>
      </c>
      <c r="G171" s="106">
        <v>0.15972222221898846</v>
      </c>
      <c r="H171" s="136">
        <f>IFERROR(__xludf.DUMMYFUNCTION("""COMPUTED_VALUE"""),215.0)</f>
        <v>215</v>
      </c>
      <c r="I171" s="139">
        <v>105.39130434995985</v>
      </c>
      <c r="J171" s="136" t="s">
        <v>18</v>
      </c>
      <c r="K171" s="146">
        <f>IFERROR(__xludf.DUMMYFUNCTION("""COMPUTED_VALUE"""),46093.0)</f>
        <v>46093</v>
      </c>
      <c r="L171" s="136" t="str">
        <f t="shared" si="1"/>
        <v>Thursday</v>
      </c>
      <c r="M171" s="136" t="str">
        <f>IFERROR(__xludf.DUMMYFUNCTION("""COMPUTED_VALUE"""),"BF")</f>
        <v>BF</v>
      </c>
      <c r="N171" s="141">
        <v>2.3719782052842726</v>
      </c>
      <c r="O171" s="136" t="str">
        <f>IFERROR(__xludf.DUMMYFUNCTION("""COMPUTED_VALUE"""),"")</f>
        <v/>
      </c>
      <c r="P171" s="136" t="str">
        <f>IFERROR(__xludf.DUMMYFUNCTION("""COMPUTED_VALUE"""),"")</f>
        <v/>
      </c>
      <c r="Q171" s="106" t="str">
        <f>IFERROR(__xludf.DUMMYFUNCTION("""COMPUTED_VALUE"""),"")</f>
        <v/>
      </c>
      <c r="R171" s="106" t="str">
        <f>IFERROR(__xludf.DUMMYFUNCTION("""COMPUTED_VALUE"""),"")</f>
        <v/>
      </c>
      <c r="S171" s="139" t="str">
        <f>IFERROR(__xludf.DUMMYFUNCTION("""COMPUTED_VALUE"""),"")</f>
        <v/>
      </c>
      <c r="T171" s="139" t="str">
        <f>IFERROR(__xludf.DUMMYFUNCTION("""COMPUTED_VALUE"""),"")</f>
        <v/>
      </c>
      <c r="U171" s="136" t="str">
        <f>IFERROR(__xludf.DUMMYFUNCTION("""COMPUTED_VALUE"""),"")</f>
        <v/>
      </c>
      <c r="V171" s="106" t="str">
        <f>IFERROR(__xludf.DUMMYFUNCTION("""COMPUTED_VALUE"""),"")</f>
        <v/>
      </c>
      <c r="W171" s="143" t="str">
        <f t="shared" si="2"/>
        <v/>
      </c>
      <c r="X171" s="139" t="str">
        <f>IFERROR(__xludf.DUMMYFUNCTION("""COMPUTED_VALUE"""),"")</f>
        <v/>
      </c>
      <c r="Y171" s="141" t="str">
        <f>IFERROR(__xludf.DUMMYFUNCTION("""COMPUTED_VALUE"""),"")</f>
        <v/>
      </c>
    </row>
    <row r="172">
      <c r="A172" s="144">
        <f>IFERROR(__xludf.DUMMYFUNCTION("""COMPUTED_VALUE"""),46093.85554021991)</f>
        <v>46093.85554</v>
      </c>
      <c r="B172" s="136" t="str">
        <f>IFERROR(__xludf.DUMMYFUNCTION("""COMPUTED_VALUE"""),"Leah Bucci")</f>
        <v>Leah Bucci</v>
      </c>
      <c r="C172" s="136" t="b">
        <f t="shared" si="3"/>
        <v>1</v>
      </c>
      <c r="D172" s="137">
        <f>IFERROR(__xludf.DUMMYFUNCTION("""COMPUTED_VALUE"""),0.7881944444452529)</f>
        <v>0.7881944444</v>
      </c>
      <c r="E172" s="106">
        <f>IFERROR(__xludf.DUMMYFUNCTION("""COMPUTED_VALUE"""),0.0625)</f>
        <v>0.0625</v>
      </c>
      <c r="F172" s="137">
        <f>IFERROR(__xludf.DUMMYFUNCTION("""COMPUTED_VALUE"""),0.8506944444452529)</f>
        <v>0.8506944444</v>
      </c>
      <c r="G172" s="106" t="s">
        <v>133</v>
      </c>
      <c r="H172" s="136">
        <f>IFERROR(__xludf.DUMMYFUNCTION("""COMPUTED_VALUE"""),189.0)</f>
        <v>189</v>
      </c>
      <c r="I172" s="139" t="s">
        <v>133</v>
      </c>
      <c r="J172" s="136" t="s">
        <v>18</v>
      </c>
      <c r="K172" s="146">
        <f>IFERROR(__xludf.DUMMYFUNCTION("""COMPUTED_VALUE"""),46093.0)</f>
        <v>46093</v>
      </c>
      <c r="L172" s="136" t="str">
        <f t="shared" si="1"/>
        <v>Thursday</v>
      </c>
      <c r="M172" s="136" t="str">
        <f>IFERROR(__xludf.DUMMYFUNCTION("""COMPUTED_VALUE"""),"BF")</f>
        <v>BF</v>
      </c>
      <c r="N172" s="141" t="s">
        <v>133</v>
      </c>
      <c r="O172" s="136">
        <f>IFERROR(__xludf.DUMMYFUNCTION("""COMPUTED_VALUE"""),154.0)</f>
        <v>154</v>
      </c>
      <c r="P172" s="136">
        <f>IFERROR(__xludf.DUMMYFUNCTION("""COMPUTED_VALUE"""),710.0)</f>
        <v>710</v>
      </c>
      <c r="Q172" s="106">
        <f>IFERROR(__xludf.DUMMYFUNCTION("""COMPUTED_VALUE"""),0.125)</f>
        <v>0.125</v>
      </c>
      <c r="R172" s="106">
        <f>IFERROR(__xludf.DUMMYFUNCTION("""COMPUTED_VALUE"""),0.4715277777722804)</f>
        <v>0.4715277778</v>
      </c>
      <c r="S172" s="139">
        <f>IFERROR(__xludf.DUMMYFUNCTION("""COMPUTED_VALUE"""),51.31428571394892)</f>
        <v>51.31428571</v>
      </c>
      <c r="T172" s="139">
        <f>IFERROR(__xludf.DUMMYFUNCTION("""COMPUTED_VALUE"""),53.581886490489566)</f>
        <v>53.58188649</v>
      </c>
      <c r="U172" s="136">
        <f>IFERROR(__xludf.DUMMYFUNCTION("""COMPUTED_VALUE"""),864.0)</f>
        <v>864</v>
      </c>
      <c r="V172" s="106">
        <f>IFERROR(__xludf.DUMMYFUNCTION("""COMPUTED_VALUE"""),0.5965277777722804)</f>
        <v>0.5965277778</v>
      </c>
      <c r="W172" s="143">
        <f t="shared" si="2"/>
        <v>60.34924331</v>
      </c>
      <c r="X172" s="139">
        <f>IFERROR(__xludf.DUMMYFUNCTION("""COMPUTED_VALUE"""),52.826019564976015)</f>
        <v>52.82601956</v>
      </c>
      <c r="Y172" s="141">
        <f>IFERROR(__xludf.DUMMYFUNCTION("""COMPUTED_VALUE"""),0.7232317048852296)</f>
        <v>0.7232317049</v>
      </c>
    </row>
    <row r="173">
      <c r="A173" s="144">
        <f>IFERROR(__xludf.DUMMYFUNCTION("""COMPUTED_VALUE"""),46094.37842328704)</f>
        <v>46094.37842</v>
      </c>
      <c r="B173" s="136" t="str">
        <f>IFERROR(__xludf.DUMMYFUNCTION("""COMPUTED_VALUE"""),"Alexis Sylvestre")</f>
        <v>Alexis Sylvestre</v>
      </c>
      <c r="C173" s="136" t="b">
        <f t="shared" si="3"/>
        <v>0</v>
      </c>
      <c r="D173" s="137">
        <f>IFERROR(__xludf.DUMMYFUNCTION("""COMPUTED_VALUE"""),0.34027777778101154)</f>
        <v>0.3402777778</v>
      </c>
      <c r="E173" s="106">
        <f>IFERROR(__xludf.DUMMYFUNCTION("""COMPUTED_VALUE"""),0.03680555555183673)</f>
        <v>0.03680555555</v>
      </c>
      <c r="F173" s="137">
        <f>IFERROR(__xludf.DUMMYFUNCTION("""COMPUTED_VALUE"""),0.37708333333284827)</f>
        <v>0.3770833333</v>
      </c>
      <c r="G173" s="106">
        <v>0.03680555555183673</v>
      </c>
      <c r="H173" s="136">
        <f>IFERROR(__xludf.DUMMYFUNCTION("""COMPUTED_VALUE"""),14.0)</f>
        <v>14</v>
      </c>
      <c r="I173" s="139">
        <v>15.849056605374969</v>
      </c>
      <c r="J173" s="136" t="s">
        <v>12</v>
      </c>
      <c r="K173" s="146">
        <f>IFERROR(__xludf.DUMMYFUNCTION("""COMPUTED_VALUE"""),46094.0)</f>
        <v>46094</v>
      </c>
      <c r="L173" s="136" t="str">
        <f t="shared" si="1"/>
        <v>Friday</v>
      </c>
      <c r="M173" s="136" t="str">
        <f>IFERROR(__xludf.DUMMYFUNCTION("""COMPUTED_VALUE"""),"BF")</f>
        <v>BF</v>
      </c>
      <c r="N173" s="141">
        <v>0.5590368111036068</v>
      </c>
      <c r="O173" s="136" t="str">
        <f>IFERROR(__xludf.DUMMYFUNCTION("""COMPUTED_VALUE"""),"")</f>
        <v/>
      </c>
      <c r="P173" s="136" t="str">
        <f>IFERROR(__xludf.DUMMYFUNCTION("""COMPUTED_VALUE"""),"")</f>
        <v/>
      </c>
      <c r="Q173" s="106" t="str">
        <f>IFERROR(__xludf.DUMMYFUNCTION("""COMPUTED_VALUE"""),"")</f>
        <v/>
      </c>
      <c r="R173" s="106" t="str">
        <f>IFERROR(__xludf.DUMMYFUNCTION("""COMPUTED_VALUE"""),"")</f>
        <v/>
      </c>
      <c r="S173" s="139" t="str">
        <f>IFERROR(__xludf.DUMMYFUNCTION("""COMPUTED_VALUE"""),"")</f>
        <v/>
      </c>
      <c r="T173" s="139" t="str">
        <f>IFERROR(__xludf.DUMMYFUNCTION("""COMPUTED_VALUE"""),"")</f>
        <v/>
      </c>
      <c r="U173" s="136" t="str">
        <f>IFERROR(__xludf.DUMMYFUNCTION("""COMPUTED_VALUE"""),"")</f>
        <v/>
      </c>
      <c r="V173" s="106" t="str">
        <f>IFERROR(__xludf.DUMMYFUNCTION("""COMPUTED_VALUE"""),"")</f>
        <v/>
      </c>
      <c r="W173" s="143" t="str">
        <f t="shared" si="2"/>
        <v/>
      </c>
      <c r="X173" s="139" t="str">
        <f>IFERROR(__xludf.DUMMYFUNCTION("""COMPUTED_VALUE"""),"")</f>
        <v/>
      </c>
      <c r="Y173" s="141" t="str">
        <f>IFERROR(__xludf.DUMMYFUNCTION("""COMPUTED_VALUE"""),"")</f>
        <v/>
      </c>
    </row>
    <row r="174">
      <c r="A174" s="144">
        <f>IFERROR(__xludf.DUMMYFUNCTION("""COMPUTED_VALUE"""),46094.43871113426)</f>
        <v>46094.43871</v>
      </c>
      <c r="B174" s="136" t="str">
        <f>IFERROR(__xludf.DUMMYFUNCTION("""COMPUTED_VALUE"""),"Kaylie Forgue")</f>
        <v>Kaylie Forgue</v>
      </c>
      <c r="C174" s="136" t="b">
        <f t="shared" si="3"/>
        <v>0</v>
      </c>
      <c r="D174" s="137">
        <f>IFERROR(__xludf.DUMMYFUNCTION("""COMPUTED_VALUE"""),0.3701388888875954)</f>
        <v>0.3701388889</v>
      </c>
      <c r="E174" s="106">
        <f>IFERROR(__xludf.DUMMYFUNCTION("""COMPUTED_VALUE"""),0.0625)</f>
        <v>0.0625</v>
      </c>
      <c r="F174" s="137">
        <f>IFERROR(__xludf.DUMMYFUNCTION("""COMPUTED_VALUE"""),0.4326388888875954)</f>
        <v>0.4326388889</v>
      </c>
      <c r="G174" s="106">
        <v>0.0625</v>
      </c>
      <c r="H174" s="136">
        <f>IFERROR(__xludf.DUMMYFUNCTION("""COMPUTED_VALUE"""),58.0)</f>
        <v>58</v>
      </c>
      <c r="I174" s="139">
        <v>38.666666666666664</v>
      </c>
      <c r="J174" s="136" t="s">
        <v>12</v>
      </c>
      <c r="K174" s="146">
        <f>IFERROR(__xludf.DUMMYFUNCTION("""COMPUTED_VALUE"""),46094.0)</f>
        <v>46094</v>
      </c>
      <c r="L174" s="136" t="str">
        <f t="shared" si="1"/>
        <v>Friday</v>
      </c>
      <c r="M174" s="136" t="str">
        <f>IFERROR(__xludf.DUMMYFUNCTION("""COMPUTED_VALUE"""),"BF")</f>
        <v>BF</v>
      </c>
      <c r="N174" s="141">
        <v>1.3638723469514704</v>
      </c>
      <c r="O174" s="136" t="str">
        <f>IFERROR(__xludf.DUMMYFUNCTION("""COMPUTED_VALUE"""),"")</f>
        <v/>
      </c>
      <c r="P174" s="136" t="str">
        <f>IFERROR(__xludf.DUMMYFUNCTION("""COMPUTED_VALUE"""),"")</f>
        <v/>
      </c>
      <c r="Q174" s="106" t="str">
        <f>IFERROR(__xludf.DUMMYFUNCTION("""COMPUTED_VALUE"""),"")</f>
        <v/>
      </c>
      <c r="R174" s="106" t="str">
        <f>IFERROR(__xludf.DUMMYFUNCTION("""COMPUTED_VALUE"""),"")</f>
        <v/>
      </c>
      <c r="S174" s="139" t="str">
        <f>IFERROR(__xludf.DUMMYFUNCTION("""COMPUTED_VALUE"""),"")</f>
        <v/>
      </c>
      <c r="T174" s="139" t="str">
        <f>IFERROR(__xludf.DUMMYFUNCTION("""COMPUTED_VALUE"""),"")</f>
        <v/>
      </c>
      <c r="U174" s="136" t="str">
        <f>IFERROR(__xludf.DUMMYFUNCTION("""COMPUTED_VALUE"""),"")</f>
        <v/>
      </c>
      <c r="V174" s="106" t="str">
        <f>IFERROR(__xludf.DUMMYFUNCTION("""COMPUTED_VALUE"""),"")</f>
        <v/>
      </c>
      <c r="W174" s="143" t="str">
        <f t="shared" si="2"/>
        <v/>
      </c>
      <c r="X174" s="139" t="str">
        <f>IFERROR(__xludf.DUMMYFUNCTION("""COMPUTED_VALUE"""),"")</f>
        <v/>
      </c>
      <c r="Y174" s="141" t="str">
        <f>IFERROR(__xludf.DUMMYFUNCTION("""COMPUTED_VALUE"""),"")</f>
        <v/>
      </c>
    </row>
    <row r="175">
      <c r="A175" s="144">
        <f>IFERROR(__xludf.DUMMYFUNCTION("""COMPUTED_VALUE"""),46094.750007546296)</f>
        <v>46094.75001</v>
      </c>
      <c r="B175" s="136" t="str">
        <f>IFERROR(__xludf.DUMMYFUNCTION("""COMPUTED_VALUE"""),"Leah Bucci")</f>
        <v>Leah Bucci</v>
      </c>
      <c r="C175" s="136" t="b">
        <f t="shared" si="3"/>
        <v>0</v>
      </c>
      <c r="D175" s="137">
        <f>IFERROR(__xludf.DUMMYFUNCTION("""COMPUTED_VALUE"""),0.6666666666642413)</f>
        <v>0.6666666667</v>
      </c>
      <c r="E175" s="106">
        <f>IFERROR(__xludf.DUMMYFUNCTION("""COMPUTED_VALUE"""),0.08333333333575865)</f>
        <v>0.08333333334</v>
      </c>
      <c r="F175" s="137">
        <f>IFERROR(__xludf.DUMMYFUNCTION("""COMPUTED_VALUE"""),0.75)</f>
        <v>0.75</v>
      </c>
      <c r="G175" s="106">
        <v>0.08333333333575865</v>
      </c>
      <c r="H175" s="136">
        <f>IFERROR(__xludf.DUMMYFUNCTION("""COMPUTED_VALUE"""),63.0)</f>
        <v>63</v>
      </c>
      <c r="I175" s="139">
        <v>31.49999999908323</v>
      </c>
      <c r="J175" s="136" t="s">
        <v>18</v>
      </c>
      <c r="K175" s="146">
        <f>IFERROR(__xludf.DUMMYFUNCTION("""COMPUTED_VALUE"""),46094.0)</f>
        <v>46094</v>
      </c>
      <c r="L175" s="136" t="str">
        <f t="shared" si="1"/>
        <v>Friday</v>
      </c>
      <c r="M175" s="136" t="str">
        <f>IFERROR(__xludf.DUMMYFUNCTION("""COMPUTED_VALUE"""),"MF")</f>
        <v>MF</v>
      </c>
      <c r="N175" s="141">
        <v>0.6588655152478258</v>
      </c>
      <c r="O175" s="136">
        <f>IFERROR(__xludf.DUMMYFUNCTION("""COMPUTED_VALUE"""),63.0)</f>
        <v>63</v>
      </c>
      <c r="P175" s="136">
        <f>IFERROR(__xludf.DUMMYFUNCTION("""COMPUTED_VALUE"""),72.0)</f>
        <v>72</v>
      </c>
      <c r="Q175" s="106">
        <f>IFERROR(__xludf.DUMMYFUNCTION("""COMPUTED_VALUE"""),0.08333333333575865)</f>
        <v>0.08333333334</v>
      </c>
      <c r="R175" s="106">
        <f>IFERROR(__xludf.DUMMYFUNCTION("""COMPUTED_VALUE"""),0.09930555555183673)</f>
        <v>0.09930555555</v>
      </c>
      <c r="S175" s="139">
        <f>IFERROR(__xludf.DUMMYFUNCTION("""COMPUTED_VALUE"""),31.49999999908323)</f>
        <v>31.5</v>
      </c>
      <c r="T175" s="139">
        <f>IFERROR(__xludf.DUMMYFUNCTION("""COMPUTED_VALUE"""),27.257861636020817)</f>
        <v>27.25786164</v>
      </c>
      <c r="U175" s="136">
        <f>IFERROR(__xludf.DUMMYFUNCTION("""COMPUTED_VALUE"""),135.0)</f>
        <v>135</v>
      </c>
      <c r="V175" s="106">
        <f>IFERROR(__xludf.DUMMYFUNCTION("""COMPUTED_VALUE"""),0.18263888888759539)</f>
        <v>0.1826388889</v>
      </c>
      <c r="W175" s="143">
        <f t="shared" si="2"/>
        <v>30.79847909</v>
      </c>
      <c r="X175" s="139">
        <f>IFERROR(__xludf.DUMMYFUNCTION("""COMPUTED_VALUE"""),28.671907757041623)</f>
        <v>28.67190776</v>
      </c>
      <c r="Y175" s="141">
        <f>IFERROR(__xludf.DUMMYFUNCTION("""COMPUTED_VALUE"""),0.7411173657755487)</f>
        <v>0.7411173658</v>
      </c>
    </row>
    <row r="176">
      <c r="A176" s="144">
        <f>IFERROR(__xludf.DUMMYFUNCTION("""COMPUTED_VALUE"""),46104.435831689814)</f>
        <v>46104.43583</v>
      </c>
      <c r="B176" s="136" t="str">
        <f>IFERROR(__xludf.DUMMYFUNCTION("""COMPUTED_VALUE"""),"Sophia Kluck")</f>
        <v>Sophia Kluck</v>
      </c>
      <c r="C176" s="136" t="b">
        <f t="shared" si="3"/>
        <v>0</v>
      </c>
      <c r="D176" s="137">
        <f>IFERROR(__xludf.DUMMYFUNCTION("""COMPUTED_VALUE"""),0.3680555555547471)</f>
        <v>0.3680555556</v>
      </c>
      <c r="E176" s="106">
        <f>IFERROR(__xludf.DUMMYFUNCTION("""COMPUTED_VALUE"""),0.06458333333284827)</f>
        <v>0.06458333333</v>
      </c>
      <c r="F176" s="137">
        <f>IFERROR(__xludf.DUMMYFUNCTION("""COMPUTED_VALUE"""),0.4326388888875954)</f>
        <v>0.4326388889</v>
      </c>
      <c r="G176" s="106">
        <v>0.06458333333284827</v>
      </c>
      <c r="H176" s="136">
        <f>IFERROR(__xludf.DUMMYFUNCTION("""COMPUTED_VALUE"""),43.0)</f>
        <v>43</v>
      </c>
      <c r="I176" s="139">
        <v>27.741935484079328</v>
      </c>
      <c r="J176" s="136" t="s">
        <v>12</v>
      </c>
      <c r="K176" s="146">
        <f>IFERROR(__xludf.DUMMYFUNCTION("""COMPUTED_VALUE"""),46104.0)</f>
        <v>46104</v>
      </c>
      <c r="L176" s="136" t="str">
        <f t="shared" si="1"/>
        <v>Monday</v>
      </c>
      <c r="M176" s="136" t="str">
        <f>IFERROR(__xludf.DUMMYFUNCTION("""COMPUTED_VALUE"""),"BF")</f>
        <v>BF</v>
      </c>
      <c r="N176" s="141">
        <v>0.9785291032150228</v>
      </c>
      <c r="O176" s="136" t="str">
        <f>IFERROR(__xludf.DUMMYFUNCTION("""COMPUTED_VALUE"""),"")</f>
        <v/>
      </c>
      <c r="P176" s="136" t="str">
        <f>IFERROR(__xludf.DUMMYFUNCTION("""COMPUTED_VALUE"""),"")</f>
        <v/>
      </c>
      <c r="Q176" s="106" t="str">
        <f>IFERROR(__xludf.DUMMYFUNCTION("""COMPUTED_VALUE"""),"")</f>
        <v/>
      </c>
      <c r="R176" s="106" t="str">
        <f>IFERROR(__xludf.DUMMYFUNCTION("""COMPUTED_VALUE"""),"")</f>
        <v/>
      </c>
      <c r="S176" s="139" t="str">
        <f>IFERROR(__xludf.DUMMYFUNCTION("""COMPUTED_VALUE"""),"")</f>
        <v/>
      </c>
      <c r="T176" s="139" t="str">
        <f>IFERROR(__xludf.DUMMYFUNCTION("""COMPUTED_VALUE"""),"")</f>
        <v/>
      </c>
      <c r="U176" s="136" t="str">
        <f>IFERROR(__xludf.DUMMYFUNCTION("""COMPUTED_VALUE"""),"")</f>
        <v/>
      </c>
      <c r="V176" s="106" t="str">
        <f>IFERROR(__xludf.DUMMYFUNCTION("""COMPUTED_VALUE"""),"")</f>
        <v/>
      </c>
      <c r="W176" s="143" t="str">
        <f t="shared" si="2"/>
        <v/>
      </c>
      <c r="X176" s="139" t="str">
        <f>IFERROR(__xludf.DUMMYFUNCTION("""COMPUTED_VALUE"""),"")</f>
        <v/>
      </c>
      <c r="Y176" s="141" t="str">
        <f>IFERROR(__xludf.DUMMYFUNCTION("""COMPUTED_VALUE"""),"")</f>
        <v/>
      </c>
    </row>
    <row r="177">
      <c r="A177" s="144">
        <f>IFERROR(__xludf.DUMMYFUNCTION("""COMPUTED_VALUE"""),46104.64171866898)</f>
        <v>46104.64172</v>
      </c>
      <c r="B177" s="136" t="str">
        <f>IFERROR(__xludf.DUMMYFUNCTION("""COMPUTED_VALUE"""),"Brynn Hornig")</f>
        <v>Brynn Hornig</v>
      </c>
      <c r="C177" s="136" t="b">
        <f t="shared" si="3"/>
        <v>0</v>
      </c>
      <c r="D177" s="137">
        <f>IFERROR(__xludf.DUMMYFUNCTION("""COMPUTED_VALUE"""),0.5208333333357587)</f>
        <v>0.5208333333</v>
      </c>
      <c r="E177" s="106">
        <f>IFERROR(__xludf.DUMMYFUNCTION("""COMPUTED_VALUE"""),0.125)</f>
        <v>0.125</v>
      </c>
      <c r="F177" s="137">
        <f>IFERROR(__xludf.DUMMYFUNCTION("""COMPUTED_VALUE"""),0.6458333333357587)</f>
        <v>0.6458333333</v>
      </c>
      <c r="G177" s="106">
        <v>0.125</v>
      </c>
      <c r="H177" s="136">
        <f>IFERROR(__xludf.DUMMYFUNCTION("""COMPUTED_VALUE"""),135.0)</f>
        <v>135</v>
      </c>
      <c r="I177" s="139">
        <v>45.0</v>
      </c>
      <c r="J177" s="136" t="s">
        <v>15</v>
      </c>
      <c r="K177" s="146">
        <f>IFERROR(__xludf.DUMMYFUNCTION("""COMPUTED_VALUE"""),46104.0)</f>
        <v>46104</v>
      </c>
      <c r="L177" s="136" t="str">
        <f t="shared" si="1"/>
        <v>Monday</v>
      </c>
      <c r="M177" s="136" t="str">
        <f>IFERROR(__xludf.DUMMYFUNCTION("""COMPUTED_VALUE"""),"BF")</f>
        <v>BF</v>
      </c>
      <c r="N177" s="141">
        <v>1.5872652313659354</v>
      </c>
      <c r="O177" s="136" t="str">
        <f>IFERROR(__xludf.DUMMYFUNCTION("""COMPUTED_VALUE"""),"")</f>
        <v/>
      </c>
      <c r="P177" s="136" t="str">
        <f>IFERROR(__xludf.DUMMYFUNCTION("""COMPUTED_VALUE"""),"")</f>
        <v/>
      </c>
      <c r="Q177" s="106" t="str">
        <f>IFERROR(__xludf.DUMMYFUNCTION("""COMPUTED_VALUE"""),"")</f>
        <v/>
      </c>
      <c r="R177" s="106" t="str">
        <f>IFERROR(__xludf.DUMMYFUNCTION("""COMPUTED_VALUE"""),"")</f>
        <v/>
      </c>
      <c r="S177" s="139" t="str">
        <f>IFERROR(__xludf.DUMMYFUNCTION("""COMPUTED_VALUE"""),"")</f>
        <v/>
      </c>
      <c r="T177" s="139" t="str">
        <f>IFERROR(__xludf.DUMMYFUNCTION("""COMPUTED_VALUE"""),"")</f>
        <v/>
      </c>
      <c r="U177" s="136" t="str">
        <f>IFERROR(__xludf.DUMMYFUNCTION("""COMPUTED_VALUE"""),"")</f>
        <v/>
      </c>
      <c r="V177" s="106" t="str">
        <f>IFERROR(__xludf.DUMMYFUNCTION("""COMPUTED_VALUE"""),"")</f>
        <v/>
      </c>
      <c r="W177" s="143" t="str">
        <f t="shared" si="2"/>
        <v/>
      </c>
      <c r="X177" s="139" t="str">
        <f>IFERROR(__xludf.DUMMYFUNCTION("""COMPUTED_VALUE"""),"")</f>
        <v/>
      </c>
      <c r="Y177" s="141" t="str">
        <f>IFERROR(__xludf.DUMMYFUNCTION("""COMPUTED_VALUE"""),"")</f>
        <v/>
      </c>
    </row>
    <row r="178">
      <c r="A178" s="144">
        <f>IFERROR(__xludf.DUMMYFUNCTION("""COMPUTED_VALUE"""),46104.746832696765)</f>
        <v>46104.74683</v>
      </c>
      <c r="B178" s="136" t="str">
        <f>IFERROR(__xludf.DUMMYFUNCTION("""COMPUTED_VALUE"""),"Orpheus Wilson")</f>
        <v>Orpheus Wilson</v>
      </c>
      <c r="C178" s="136" t="b">
        <f t="shared" si="3"/>
        <v>0</v>
      </c>
      <c r="D178" s="137">
        <f>IFERROR(__xludf.DUMMYFUNCTION("""COMPUTED_VALUE"""),0.6687499999970896)</f>
        <v>0.66875</v>
      </c>
      <c r="E178" s="106">
        <f>IFERROR(__xludf.DUMMYFUNCTION("""COMPUTED_VALUE"""),0.07777777778392192)</f>
        <v>0.07777777778</v>
      </c>
      <c r="F178" s="137">
        <f>IFERROR(__xludf.DUMMYFUNCTION("""COMPUTED_VALUE"""),0.7465277777810115)</f>
        <v>0.7465277778</v>
      </c>
      <c r="G178" s="106">
        <v>0.07777777778392192</v>
      </c>
      <c r="H178" s="136">
        <f>IFERROR(__xludf.DUMMYFUNCTION("""COMPUTED_VALUE"""),98.0)</f>
        <v>98</v>
      </c>
      <c r="I178" s="139">
        <v>52.499999995852704</v>
      </c>
      <c r="J178" s="136" t="s">
        <v>18</v>
      </c>
      <c r="K178" s="146">
        <f>IFERROR(__xludf.DUMMYFUNCTION("""COMPUTED_VALUE"""),46104.0)</f>
        <v>46104</v>
      </c>
      <c r="L178" s="136" t="str">
        <f t="shared" si="1"/>
        <v>Monday</v>
      </c>
      <c r="M178" s="136" t="str">
        <f>IFERROR(__xludf.DUMMYFUNCTION("""COMPUTED_VALUE"""),"MF")</f>
        <v>MF</v>
      </c>
      <c r="N178" s="141">
        <v>1.0981091920249224</v>
      </c>
      <c r="O178" s="136" t="str">
        <f>IFERROR(__xludf.DUMMYFUNCTION("""COMPUTED_VALUE"""),"")</f>
        <v/>
      </c>
      <c r="P178" s="136" t="str">
        <f>IFERROR(__xludf.DUMMYFUNCTION("""COMPUTED_VALUE"""),"")</f>
        <v/>
      </c>
      <c r="Q178" s="106" t="str">
        <f>IFERROR(__xludf.DUMMYFUNCTION("""COMPUTED_VALUE"""),"")</f>
        <v/>
      </c>
      <c r="R178" s="106" t="str">
        <f>IFERROR(__xludf.DUMMYFUNCTION("""COMPUTED_VALUE"""),"")</f>
        <v/>
      </c>
      <c r="S178" s="139" t="str">
        <f>IFERROR(__xludf.DUMMYFUNCTION("""COMPUTED_VALUE"""),"")</f>
        <v/>
      </c>
      <c r="T178" s="139" t="str">
        <f>IFERROR(__xludf.DUMMYFUNCTION("""COMPUTED_VALUE"""),"")</f>
        <v/>
      </c>
      <c r="U178" s="136" t="str">
        <f>IFERROR(__xludf.DUMMYFUNCTION("""COMPUTED_VALUE"""),"")</f>
        <v/>
      </c>
      <c r="V178" s="106" t="str">
        <f>IFERROR(__xludf.DUMMYFUNCTION("""COMPUTED_VALUE"""),"")</f>
        <v/>
      </c>
      <c r="W178" s="143" t="str">
        <f t="shared" si="2"/>
        <v/>
      </c>
      <c r="X178" s="139" t="str">
        <f>IFERROR(__xludf.DUMMYFUNCTION("""COMPUTED_VALUE"""),"")</f>
        <v/>
      </c>
      <c r="Y178" s="141" t="str">
        <f>IFERROR(__xludf.DUMMYFUNCTION("""COMPUTED_VALUE"""),"")</f>
        <v/>
      </c>
    </row>
    <row r="179">
      <c r="A179" s="144">
        <f>IFERROR(__xludf.DUMMYFUNCTION("""COMPUTED_VALUE"""),46104.866352060184)</f>
        <v>46104.86635</v>
      </c>
      <c r="B179" s="136" t="str">
        <f>IFERROR(__xludf.DUMMYFUNCTION("""COMPUTED_VALUE"""),"Maureen Surgot")</f>
        <v>Maureen Surgot</v>
      </c>
      <c r="C179" s="136" t="b">
        <f t="shared" si="3"/>
        <v>0</v>
      </c>
      <c r="D179" s="137">
        <f>IFERROR(__xludf.DUMMYFUNCTION("""COMPUTED_VALUE"""),0.75)</f>
        <v>0.75</v>
      </c>
      <c r="E179" s="106">
        <f>IFERROR(__xludf.DUMMYFUNCTION("""COMPUTED_VALUE"""),0.125)</f>
        <v>0.125</v>
      </c>
      <c r="F179" s="137">
        <f>IFERROR(__xludf.DUMMYFUNCTION("""COMPUTED_VALUE"""),0.875)</f>
        <v>0.875</v>
      </c>
      <c r="G179" s="106">
        <v>0.125</v>
      </c>
      <c r="H179" s="136">
        <f>IFERROR(__xludf.DUMMYFUNCTION("""COMPUTED_VALUE"""),201.0)</f>
        <v>201</v>
      </c>
      <c r="I179" s="139">
        <v>67.0</v>
      </c>
      <c r="J179" s="136" t="s">
        <v>18</v>
      </c>
      <c r="K179" s="146">
        <f>IFERROR(__xludf.DUMMYFUNCTION("""COMPUTED_VALUE"""),46104.0)</f>
        <v>46104</v>
      </c>
      <c r="L179" s="136" t="str">
        <f t="shared" si="1"/>
        <v>Monday</v>
      </c>
      <c r="M179" s="136" t="str">
        <f>IFERROR(__xludf.DUMMYFUNCTION("""COMPUTED_VALUE"""),"MF")</f>
        <v>MF</v>
      </c>
      <c r="N179" s="141">
        <v>1.4013964927901297</v>
      </c>
      <c r="O179" s="136">
        <f>IFERROR(__xludf.DUMMYFUNCTION("""COMPUTED_VALUE"""),299.0)</f>
        <v>299</v>
      </c>
      <c r="P179" s="136">
        <f>IFERROR(__xludf.DUMMYFUNCTION("""COMPUTED_VALUE"""),178.0)</f>
        <v>178</v>
      </c>
      <c r="Q179" s="106">
        <f>IFERROR(__xludf.DUMMYFUNCTION("""COMPUTED_VALUE"""),0.20277777778392192)</f>
        <v>0.2027777778</v>
      </c>
      <c r="R179" s="106">
        <f>IFERROR(__xludf.DUMMYFUNCTION("""COMPUTED_VALUE"""),0.18958333333284827)</f>
        <v>0.1895833333</v>
      </c>
      <c r="S179" s="139">
        <f>IFERROR(__xludf.DUMMYFUNCTION("""COMPUTED_VALUE"""),59.74999999792635)</f>
        <v>59.75</v>
      </c>
      <c r="T179" s="139">
        <f>IFERROR(__xludf.DUMMYFUNCTION("""COMPUTED_VALUE"""),36.37096774203967)</f>
        <v>36.37096774</v>
      </c>
      <c r="U179" s="136">
        <f>IFERROR(__xludf.DUMMYFUNCTION("""COMPUTED_VALUE"""),477.0)</f>
        <v>477</v>
      </c>
      <c r="V179" s="106">
        <f>IFERROR(__xludf.DUMMYFUNCTION("""COMPUTED_VALUE"""),0.3923611111167702)</f>
        <v>0.3923611111</v>
      </c>
      <c r="W179" s="143">
        <f t="shared" si="2"/>
        <v>50.65486726</v>
      </c>
      <c r="X179" s="139">
        <f>IFERROR(__xludf.DUMMYFUNCTION("""COMPUTED_VALUE"""),48.06048386998301)</f>
        <v>48.06048387</v>
      </c>
      <c r="Y179" s="141">
        <f>IFERROR(__xludf.DUMMYFUNCTION("""COMPUTED_VALUE"""),0.9656135687074634)</f>
        <v>0.9656135687</v>
      </c>
    </row>
    <row r="180">
      <c r="A180" s="144">
        <f>IFERROR(__xludf.DUMMYFUNCTION("""COMPUTED_VALUE"""),46105.55902210648)</f>
        <v>46105.55902</v>
      </c>
      <c r="B180" s="136" t="str">
        <f>IFERROR(__xludf.DUMMYFUNCTION("""COMPUTED_VALUE"""),"Kyra Turner")</f>
        <v>Kyra Turner</v>
      </c>
      <c r="C180" s="136" t="b">
        <f t="shared" si="3"/>
        <v>0</v>
      </c>
      <c r="D180" s="137">
        <f>IFERROR(__xludf.DUMMYFUNCTION("""COMPUTED_VALUE"""),0.4868055555562023)</f>
        <v>0.4868055556</v>
      </c>
      <c r="E180" s="106">
        <f>IFERROR(__xludf.DUMMYFUNCTION("""COMPUTED_VALUE"""),0.070138888884685)</f>
        <v>0.07013888888</v>
      </c>
      <c r="F180" s="137">
        <f>IFERROR(__xludf.DUMMYFUNCTION("""COMPUTED_VALUE"""),0.5569444444408873)</f>
        <v>0.5569444444</v>
      </c>
      <c r="G180" s="106">
        <v>0.070138888884685</v>
      </c>
      <c r="H180" s="136">
        <f>IFERROR(__xludf.DUMMYFUNCTION("""COMPUTED_VALUE"""),203.0)</f>
        <v>203</v>
      </c>
      <c r="I180" s="139">
        <v>120.5940594131686</v>
      </c>
      <c r="J180" s="136" t="s">
        <v>15</v>
      </c>
      <c r="K180" s="146">
        <f>IFERROR(__xludf.DUMMYFUNCTION("""COMPUTED_VALUE"""),46105.0)</f>
        <v>46105</v>
      </c>
      <c r="L180" s="136" t="str">
        <f t="shared" si="1"/>
        <v>Tuesday</v>
      </c>
      <c r="M180" s="136" t="str">
        <f>IFERROR(__xludf.DUMMYFUNCTION("""COMPUTED_VALUE"""),"MF")</f>
        <v>MF</v>
      </c>
      <c r="N180" s="141">
        <v>2.398569399029742</v>
      </c>
      <c r="O180" s="136" t="str">
        <f>IFERROR(__xludf.DUMMYFUNCTION("""COMPUTED_VALUE"""),"")</f>
        <v/>
      </c>
      <c r="P180" s="136" t="str">
        <f>IFERROR(__xludf.DUMMYFUNCTION("""COMPUTED_VALUE"""),"")</f>
        <v/>
      </c>
      <c r="Q180" s="106" t="str">
        <f>IFERROR(__xludf.DUMMYFUNCTION("""COMPUTED_VALUE"""),"")</f>
        <v/>
      </c>
      <c r="R180" s="106" t="str">
        <f>IFERROR(__xludf.DUMMYFUNCTION("""COMPUTED_VALUE"""),"")</f>
        <v/>
      </c>
      <c r="S180" s="139" t="str">
        <f>IFERROR(__xludf.DUMMYFUNCTION("""COMPUTED_VALUE"""),"")</f>
        <v/>
      </c>
      <c r="T180" s="139" t="str">
        <f>IFERROR(__xludf.DUMMYFUNCTION("""COMPUTED_VALUE"""),"")</f>
        <v/>
      </c>
      <c r="U180" s="136" t="str">
        <f>IFERROR(__xludf.DUMMYFUNCTION("""COMPUTED_VALUE"""),"")</f>
        <v/>
      </c>
      <c r="V180" s="106" t="str">
        <f>IFERROR(__xludf.DUMMYFUNCTION("""COMPUTED_VALUE"""),"")</f>
        <v/>
      </c>
      <c r="W180" s="143" t="str">
        <f t="shared" si="2"/>
        <v/>
      </c>
      <c r="X180" s="139" t="str">
        <f>IFERROR(__xludf.DUMMYFUNCTION("""COMPUTED_VALUE"""),"")</f>
        <v/>
      </c>
      <c r="Y180" s="141" t="str">
        <f>IFERROR(__xludf.DUMMYFUNCTION("""COMPUTED_VALUE"""),"")</f>
        <v/>
      </c>
    </row>
    <row r="181">
      <c r="A181" s="144">
        <f>IFERROR(__xludf.DUMMYFUNCTION("""COMPUTED_VALUE"""),46105.57778489584)</f>
        <v>46105.57778</v>
      </c>
      <c r="B181" s="136" t="str">
        <f>IFERROR(__xludf.DUMMYFUNCTION("""COMPUTED_VALUE"""),"Kaylie Forgue")</f>
        <v>Kaylie Forgue</v>
      </c>
      <c r="C181" s="136" t="b">
        <f t="shared" si="3"/>
        <v>0</v>
      </c>
      <c r="D181" s="137">
        <f>IFERROR(__xludf.DUMMYFUNCTION("""COMPUTED_VALUE"""),0.4458333333313931)</f>
        <v>0.4458333333</v>
      </c>
      <c r="E181" s="106">
        <f>IFERROR(__xludf.DUMMYFUNCTION("""COMPUTED_VALUE"""),0.07152777777810115)</f>
        <v>0.07152777778</v>
      </c>
      <c r="F181" s="137">
        <f>IFERROR(__xludf.DUMMYFUNCTION("""COMPUTED_VALUE"""),0.5173611111094942)</f>
        <v>0.5173611111</v>
      </c>
      <c r="G181" s="106">
        <v>0.07152777777810115</v>
      </c>
      <c r="H181" s="136">
        <f>IFERROR(__xludf.DUMMYFUNCTION("""COMPUTED_VALUE"""),110.0)</f>
        <v>110</v>
      </c>
      <c r="I181" s="139">
        <v>64.07766990262293</v>
      </c>
      <c r="J181" s="136" t="s">
        <v>134</v>
      </c>
      <c r="K181" s="146">
        <f>IFERROR(__xludf.DUMMYFUNCTION("""COMPUTED_VALUE"""),46105.0)</f>
        <v>46105</v>
      </c>
      <c r="L181" s="136" t="str">
        <f t="shared" si="1"/>
        <v>Tuesday</v>
      </c>
      <c r="M181" s="136" t="str">
        <f>IFERROR(__xludf.DUMMYFUNCTION("""COMPUTED_VALUE"""),"BF")</f>
        <v>BF</v>
      </c>
      <c r="N181" s="141">
        <v>2.05221086802204</v>
      </c>
      <c r="O181" s="136" t="str">
        <f>IFERROR(__xludf.DUMMYFUNCTION("""COMPUTED_VALUE"""),"")</f>
        <v/>
      </c>
      <c r="P181" s="136" t="str">
        <f>IFERROR(__xludf.DUMMYFUNCTION("""COMPUTED_VALUE"""),"")</f>
        <v/>
      </c>
      <c r="Q181" s="106" t="str">
        <f>IFERROR(__xludf.DUMMYFUNCTION("""COMPUTED_VALUE"""),"")</f>
        <v/>
      </c>
      <c r="R181" s="106" t="str">
        <f>IFERROR(__xludf.DUMMYFUNCTION("""COMPUTED_VALUE"""),"")</f>
        <v/>
      </c>
      <c r="S181" s="139" t="str">
        <f>IFERROR(__xludf.DUMMYFUNCTION("""COMPUTED_VALUE"""),"")</f>
        <v/>
      </c>
      <c r="T181" s="139" t="str">
        <f>IFERROR(__xludf.DUMMYFUNCTION("""COMPUTED_VALUE"""),"")</f>
        <v/>
      </c>
      <c r="U181" s="136" t="str">
        <f>IFERROR(__xludf.DUMMYFUNCTION("""COMPUTED_VALUE"""),"")</f>
        <v/>
      </c>
      <c r="V181" s="106" t="str">
        <f>IFERROR(__xludf.DUMMYFUNCTION("""COMPUTED_VALUE"""),"")</f>
        <v/>
      </c>
      <c r="W181" s="143" t="str">
        <f t="shared" si="2"/>
        <v/>
      </c>
      <c r="X181" s="139" t="str">
        <f>IFERROR(__xludf.DUMMYFUNCTION("""COMPUTED_VALUE"""),"")</f>
        <v/>
      </c>
      <c r="Y181" s="141" t="str">
        <f>IFERROR(__xludf.DUMMYFUNCTION("""COMPUTED_VALUE"""),"")</f>
        <v/>
      </c>
    </row>
    <row r="182">
      <c r="A182" s="144">
        <f>IFERROR(__xludf.DUMMYFUNCTION("""COMPUTED_VALUE"""),46105.610018946754)</f>
        <v>46105.61002</v>
      </c>
      <c r="B182" s="136" t="str">
        <f>IFERROR(__xludf.DUMMYFUNCTION("""COMPUTED_VALUE"""),"Kyra Turner")</f>
        <v>Kyra Turner</v>
      </c>
      <c r="C182" s="136" t="b">
        <f t="shared" si="3"/>
        <v>0</v>
      </c>
      <c r="D182" s="137">
        <f>IFERROR(__xludf.DUMMYFUNCTION("""COMPUTED_VALUE"""),0.5625)</f>
        <v>0.5625</v>
      </c>
      <c r="E182" s="106">
        <f>IFERROR(__xludf.DUMMYFUNCTION("""COMPUTED_VALUE"""),0.04513888889050577)</f>
        <v>0.04513888889</v>
      </c>
      <c r="F182" s="137">
        <f>IFERROR(__xludf.DUMMYFUNCTION("""COMPUTED_VALUE"""),0.6076388888905058)</f>
        <v>0.6076388889</v>
      </c>
      <c r="G182" s="106">
        <v>0.04930555555620231</v>
      </c>
      <c r="H182" s="136">
        <f>IFERROR(__xludf.DUMMYFUNCTION("""COMPUTED_VALUE"""),120.0)</f>
        <v>120</v>
      </c>
      <c r="I182" s="139">
        <v>105.63380281551579</v>
      </c>
      <c r="J182" s="136" t="s">
        <v>15</v>
      </c>
      <c r="K182" s="146">
        <f>IFERROR(__xludf.DUMMYFUNCTION("""COMPUTED_VALUE"""),46105.0)</f>
        <v>46105</v>
      </c>
      <c r="L182" s="136" t="str">
        <f t="shared" si="1"/>
        <v>Tuesday</v>
      </c>
      <c r="M182" s="136" t="str">
        <f>IFERROR(__xludf.DUMMYFUNCTION("""COMPUTED_VALUE"""),"MF")</f>
        <v>MF</v>
      </c>
      <c r="N182" s="141">
        <v>2.1010156567361604</v>
      </c>
      <c r="O182" s="136" t="str">
        <f>IFERROR(__xludf.DUMMYFUNCTION("""COMPUTED_VALUE"""),"")</f>
        <v/>
      </c>
      <c r="P182" s="136" t="str">
        <f>IFERROR(__xludf.DUMMYFUNCTION("""COMPUTED_VALUE"""),"")</f>
        <v/>
      </c>
      <c r="Q182" s="106" t="str">
        <f>IFERROR(__xludf.DUMMYFUNCTION("""COMPUTED_VALUE"""),"")</f>
        <v/>
      </c>
      <c r="R182" s="106" t="str">
        <f>IFERROR(__xludf.DUMMYFUNCTION("""COMPUTED_VALUE"""),"")</f>
        <v/>
      </c>
      <c r="S182" s="139" t="str">
        <f>IFERROR(__xludf.DUMMYFUNCTION("""COMPUTED_VALUE"""),"")</f>
        <v/>
      </c>
      <c r="T182" s="139" t="str">
        <f>IFERROR(__xludf.DUMMYFUNCTION("""COMPUTED_VALUE"""),"")</f>
        <v/>
      </c>
      <c r="U182" s="136" t="str">
        <f>IFERROR(__xludf.DUMMYFUNCTION("""COMPUTED_VALUE"""),"")</f>
        <v/>
      </c>
      <c r="V182" s="106" t="str">
        <f>IFERROR(__xludf.DUMMYFUNCTION("""COMPUTED_VALUE"""),"")</f>
        <v/>
      </c>
      <c r="W182" s="143" t="str">
        <f t="shared" si="2"/>
        <v/>
      </c>
      <c r="X182" s="139" t="str">
        <f>IFERROR(__xludf.DUMMYFUNCTION("""COMPUTED_VALUE"""),"")</f>
        <v/>
      </c>
      <c r="Y182" s="141" t="str">
        <f>IFERROR(__xludf.DUMMYFUNCTION("""COMPUTED_VALUE"""),"")</f>
        <v/>
      </c>
    </row>
    <row r="183">
      <c r="A183" s="144">
        <f>IFERROR(__xludf.DUMMYFUNCTION("""COMPUTED_VALUE"""),46105.620956238425)</f>
        <v>46105.62096</v>
      </c>
      <c r="B183" s="136" t="str">
        <f>IFERROR(__xludf.DUMMYFUNCTION("""COMPUTED_VALUE"""),"Kyra Turner")</f>
        <v>Kyra Turner</v>
      </c>
      <c r="C183" s="136" t="b">
        <f t="shared" si="3"/>
        <v>1</v>
      </c>
      <c r="D183" s="137">
        <f>IFERROR(__xludf.DUMMYFUNCTION("""COMPUTED_VALUE"""),0.6159722222218988)</f>
        <v>0.6159722222</v>
      </c>
      <c r="E183" s="106">
        <f>IFERROR(__xludf.DUMMYFUNCTION("""COMPUTED_VALUE"""),0.004166666665696539)</f>
        <v>0.004166666666</v>
      </c>
      <c r="F183" s="137">
        <f>IFERROR(__xludf.DUMMYFUNCTION("""COMPUTED_VALUE"""),0.6201388888875954)</f>
        <v>0.6201388889</v>
      </c>
      <c r="G183" s="106" t="s">
        <v>133</v>
      </c>
      <c r="H183" s="136">
        <f>IFERROR(__xludf.DUMMYFUNCTION("""COMPUTED_VALUE"""),5.0)</f>
        <v>5</v>
      </c>
      <c r="I183" s="139" t="s">
        <v>133</v>
      </c>
      <c r="J183" s="136" t="s">
        <v>15</v>
      </c>
      <c r="K183" s="146">
        <f>IFERROR(__xludf.DUMMYFUNCTION("""COMPUTED_VALUE"""),46105.0)</f>
        <v>46105</v>
      </c>
      <c r="L183" s="136" t="str">
        <f t="shared" si="1"/>
        <v>Tuesday</v>
      </c>
      <c r="M183" s="136" t="str">
        <f>IFERROR(__xludf.DUMMYFUNCTION("""COMPUTED_VALUE"""),"MF")</f>
        <v>MF</v>
      </c>
      <c r="N183" s="141" t="s">
        <v>133</v>
      </c>
      <c r="O183" s="136" t="str">
        <f>IFERROR(__xludf.DUMMYFUNCTION("""COMPUTED_VALUE"""),"")</f>
        <v/>
      </c>
      <c r="P183" s="136" t="str">
        <f>IFERROR(__xludf.DUMMYFUNCTION("""COMPUTED_VALUE"""),"")</f>
        <v/>
      </c>
      <c r="Q183" s="106" t="str">
        <f>IFERROR(__xludf.DUMMYFUNCTION("""COMPUTED_VALUE"""),"")</f>
        <v/>
      </c>
      <c r="R183" s="106" t="str">
        <f>IFERROR(__xludf.DUMMYFUNCTION("""COMPUTED_VALUE"""),"")</f>
        <v/>
      </c>
      <c r="S183" s="139" t="str">
        <f>IFERROR(__xludf.DUMMYFUNCTION("""COMPUTED_VALUE"""),"")</f>
        <v/>
      </c>
      <c r="T183" s="139" t="str">
        <f>IFERROR(__xludf.DUMMYFUNCTION("""COMPUTED_VALUE"""),"")</f>
        <v/>
      </c>
      <c r="U183" s="136" t="str">
        <f>IFERROR(__xludf.DUMMYFUNCTION("""COMPUTED_VALUE"""),"")</f>
        <v/>
      </c>
      <c r="V183" s="106" t="str">
        <f>IFERROR(__xludf.DUMMYFUNCTION("""COMPUTED_VALUE"""),"")</f>
        <v/>
      </c>
      <c r="W183" s="143" t="str">
        <f t="shared" si="2"/>
        <v/>
      </c>
      <c r="X183" s="139" t="str">
        <f>IFERROR(__xludf.DUMMYFUNCTION("""COMPUTED_VALUE"""),"")</f>
        <v/>
      </c>
      <c r="Y183" s="141" t="str">
        <f>IFERROR(__xludf.DUMMYFUNCTION("""COMPUTED_VALUE"""),"")</f>
        <v/>
      </c>
    </row>
    <row r="184">
      <c r="A184" s="144">
        <f>IFERROR(__xludf.DUMMYFUNCTION("""COMPUTED_VALUE"""),46105.85172893519)</f>
        <v>46105.85173</v>
      </c>
      <c r="B184" s="136" t="str">
        <f>IFERROR(__xludf.DUMMYFUNCTION("""COMPUTED_VALUE"""),"Leah Bucci")</f>
        <v>Leah Bucci</v>
      </c>
      <c r="C184" s="136" t="b">
        <f t="shared" si="3"/>
        <v>0</v>
      </c>
      <c r="D184" s="137">
        <f>IFERROR(__xludf.DUMMYFUNCTION("""COMPUTED_VALUE"""),0.7916666666642413)</f>
        <v>0.7916666667</v>
      </c>
      <c r="E184" s="106">
        <f>IFERROR(__xludf.DUMMYFUNCTION("""COMPUTED_VALUE"""),0.05833333333430346)</f>
        <v>0.05833333333</v>
      </c>
      <c r="F184" s="137">
        <f>IFERROR(__xludf.DUMMYFUNCTION("""COMPUTED_VALUE"""),0.8499999999985448)</f>
        <v>0.85</v>
      </c>
      <c r="G184" s="106">
        <v>0.05833333333430346</v>
      </c>
      <c r="H184" s="136">
        <f>IFERROR(__xludf.DUMMYFUNCTION("""COMPUTED_VALUE"""),57.0)</f>
        <v>57</v>
      </c>
      <c r="I184" s="139">
        <v>40.714285713608604</v>
      </c>
      <c r="J184" s="136" t="s">
        <v>18</v>
      </c>
      <c r="K184" s="146">
        <f>IFERROR(__xludf.DUMMYFUNCTION("""COMPUTED_VALUE"""),46105.0)</f>
        <v>46105</v>
      </c>
      <c r="L184" s="136" t="str">
        <f t="shared" si="1"/>
        <v>Tuesday</v>
      </c>
      <c r="M184" s="136" t="str">
        <f>IFERROR(__xludf.DUMMYFUNCTION("""COMPUTED_VALUE"""),"BF")</f>
        <v>BF</v>
      </c>
      <c r="N184" s="141">
        <v>0.9163317500627671</v>
      </c>
      <c r="O184" s="136">
        <f>IFERROR(__xludf.DUMMYFUNCTION("""COMPUTED_VALUE"""),328.0)</f>
        <v>328</v>
      </c>
      <c r="P184" s="136">
        <f>IFERROR(__xludf.DUMMYFUNCTION("""COMPUTED_VALUE"""),167.0)</f>
        <v>167</v>
      </c>
      <c r="Q184" s="106">
        <f>IFERROR(__xludf.DUMMYFUNCTION("""COMPUTED_VALUE"""),0.11944444444088731)</f>
        <v>0.1194444444</v>
      </c>
      <c r="R184" s="106">
        <f>IFERROR(__xludf.DUMMYFUNCTION("""COMPUTED_VALUE"""),0.12986111111240461)</f>
        <v>0.1298611111</v>
      </c>
      <c r="S184" s="139">
        <f>IFERROR(__xludf.DUMMYFUNCTION("""COMPUTED_VALUE"""),113.1139311143422)</f>
        <v>113.1139311</v>
      </c>
      <c r="T184" s="139">
        <f>IFERROR(__xludf.DUMMYFUNCTION("""COMPUTED_VALUE"""),52.39597780811577)</f>
        <v>52.39597781</v>
      </c>
      <c r="U184" s="136">
        <f>IFERROR(__xludf.DUMMYFUNCTION("""COMPUTED_VALUE"""),495.0)</f>
        <v>495</v>
      </c>
      <c r="V184" s="106">
        <f>IFERROR(__xludf.DUMMYFUNCTION("""COMPUTED_VALUE"""),0.24930555555329192)</f>
        <v>0.2493055556</v>
      </c>
      <c r="W184" s="143">
        <f t="shared" si="2"/>
        <v>82.72980501</v>
      </c>
      <c r="X184" s="139">
        <f>IFERROR(__xludf.DUMMYFUNCTION("""COMPUTED_VALUE"""),82.75495446122899)</f>
        <v>82.75495446</v>
      </c>
      <c r="Y184" s="141">
        <f>IFERROR(__xludf.DUMMYFUNCTION("""COMPUTED_VALUE"""),1.2576720673329473)</f>
        <v>1.257672067</v>
      </c>
    </row>
    <row r="185">
      <c r="A185" s="144">
        <f>IFERROR(__xludf.DUMMYFUNCTION("""COMPUTED_VALUE"""),46106.42815921296)</f>
        <v>46106.42816</v>
      </c>
      <c r="B185" s="136" t="str">
        <f>IFERROR(__xludf.DUMMYFUNCTION("""COMPUTED_VALUE"""),"Kaylie Forgue")</f>
        <v>Kaylie Forgue</v>
      </c>
      <c r="C185" s="136" t="b">
        <f t="shared" si="3"/>
        <v>0</v>
      </c>
      <c r="D185" s="137">
        <f>IFERROR(__xludf.DUMMYFUNCTION("""COMPUTED_VALUE"""),0.3069444444408873)</f>
        <v>0.3069444444</v>
      </c>
      <c r="E185" s="106">
        <f>IFERROR(__xludf.DUMMYFUNCTION("""COMPUTED_VALUE"""),0.11666666666860692)</f>
        <v>0.1166666667</v>
      </c>
      <c r="F185" s="137">
        <f>IFERROR(__xludf.DUMMYFUNCTION("""COMPUTED_VALUE"""),0.42361111110949423)</f>
        <v>0.4236111111</v>
      </c>
      <c r="G185" s="106">
        <v>0.11666666666860692</v>
      </c>
      <c r="H185" s="136">
        <f>IFERROR(__xludf.DUMMYFUNCTION("""COMPUTED_VALUE"""),128.0)</f>
        <v>128</v>
      </c>
      <c r="I185" s="139">
        <v>45.71428571352545</v>
      </c>
      <c r="J185" s="136" t="s">
        <v>12</v>
      </c>
      <c r="K185" s="146">
        <f>IFERROR(__xludf.DUMMYFUNCTION("""COMPUTED_VALUE"""),46106.0)</f>
        <v>46106</v>
      </c>
      <c r="L185" s="136" t="str">
        <f t="shared" si="1"/>
        <v>Wednesday</v>
      </c>
      <c r="M185" s="136" t="str">
        <f>IFERROR(__xludf.DUMMYFUNCTION("""COMPUTED_VALUE"""),"BF")</f>
        <v>BF</v>
      </c>
      <c r="N185" s="141">
        <v>1.6124599175512766</v>
      </c>
      <c r="O185" s="136" t="str">
        <f>IFERROR(__xludf.DUMMYFUNCTION("""COMPUTED_VALUE"""),"")</f>
        <v/>
      </c>
      <c r="P185" s="136" t="str">
        <f>IFERROR(__xludf.DUMMYFUNCTION("""COMPUTED_VALUE"""),"")</f>
        <v/>
      </c>
      <c r="Q185" s="106" t="str">
        <f>IFERROR(__xludf.DUMMYFUNCTION("""COMPUTED_VALUE"""),"")</f>
        <v/>
      </c>
      <c r="R185" s="106" t="str">
        <f>IFERROR(__xludf.DUMMYFUNCTION("""COMPUTED_VALUE"""),"")</f>
        <v/>
      </c>
      <c r="S185" s="139" t="str">
        <f>IFERROR(__xludf.DUMMYFUNCTION("""COMPUTED_VALUE"""),"")</f>
        <v/>
      </c>
      <c r="T185" s="139" t="str">
        <f>IFERROR(__xludf.DUMMYFUNCTION("""COMPUTED_VALUE"""),"")</f>
        <v/>
      </c>
      <c r="U185" s="136" t="str">
        <f>IFERROR(__xludf.DUMMYFUNCTION("""COMPUTED_VALUE"""),"")</f>
        <v/>
      </c>
      <c r="V185" s="106" t="str">
        <f>IFERROR(__xludf.DUMMYFUNCTION("""COMPUTED_VALUE"""),"")</f>
        <v/>
      </c>
      <c r="W185" s="143" t="str">
        <f t="shared" si="2"/>
        <v/>
      </c>
      <c r="X185" s="139" t="str">
        <f>IFERROR(__xludf.DUMMYFUNCTION("""COMPUTED_VALUE"""),"")</f>
        <v/>
      </c>
      <c r="Y185" s="141" t="str">
        <f>IFERROR(__xludf.DUMMYFUNCTION("""COMPUTED_VALUE"""),"")</f>
        <v/>
      </c>
    </row>
    <row r="186">
      <c r="A186" s="144">
        <f>IFERROR(__xludf.DUMMYFUNCTION("""COMPUTED_VALUE"""),46106.49942357639)</f>
        <v>46106.49942</v>
      </c>
      <c r="B186" s="136" t="str">
        <f>IFERROR(__xludf.DUMMYFUNCTION("""COMPUTED_VALUE"""),"Oluwatimilehin Shodipe")</f>
        <v>Oluwatimilehin Shodipe</v>
      </c>
      <c r="C186" s="136" t="b">
        <f t="shared" si="3"/>
        <v>0</v>
      </c>
      <c r="D186" s="137">
        <f>IFERROR(__xludf.DUMMYFUNCTION("""COMPUTED_VALUE"""),0.4305555555547471)</f>
        <v>0.4305555556</v>
      </c>
      <c r="E186" s="106">
        <f>IFERROR(__xludf.DUMMYFUNCTION("""COMPUTED_VALUE"""),0.05555555555636399)</f>
        <v>0.05555555556</v>
      </c>
      <c r="F186" s="137">
        <f>IFERROR(__xludf.DUMMYFUNCTION("""COMPUTED_VALUE"""),0.4861111111111111)</f>
        <v>0.4861111111</v>
      </c>
      <c r="G186" s="106">
        <v>0.05555555555636399</v>
      </c>
      <c r="H186" s="136">
        <f>IFERROR(__xludf.DUMMYFUNCTION("""COMPUTED_VALUE"""),65.0)</f>
        <v>65</v>
      </c>
      <c r="I186" s="139">
        <v>48.7499999992906</v>
      </c>
      <c r="J186" s="136" t="s">
        <v>134</v>
      </c>
      <c r="K186" s="146">
        <f>IFERROR(__xludf.DUMMYFUNCTION("""COMPUTED_VALUE"""),46106.0)</f>
        <v>46106</v>
      </c>
      <c r="L186" s="136" t="str">
        <f t="shared" si="1"/>
        <v>Wednesday</v>
      </c>
      <c r="M186" s="136" t="str">
        <f>IFERROR(__xludf.DUMMYFUNCTION("""COMPUTED_VALUE"""),"BF")</f>
        <v>BF</v>
      </c>
      <c r="N186" s="141">
        <v>1.333029230702989</v>
      </c>
      <c r="O186" s="136" t="str">
        <f>IFERROR(__xludf.DUMMYFUNCTION("""COMPUTED_VALUE"""),"")</f>
        <v/>
      </c>
      <c r="P186" s="136" t="str">
        <f>IFERROR(__xludf.DUMMYFUNCTION("""COMPUTED_VALUE"""),"")</f>
        <v/>
      </c>
      <c r="Q186" s="106" t="str">
        <f>IFERROR(__xludf.DUMMYFUNCTION("""COMPUTED_VALUE"""),"")</f>
        <v/>
      </c>
      <c r="R186" s="106" t="str">
        <f>IFERROR(__xludf.DUMMYFUNCTION("""COMPUTED_VALUE"""),"")</f>
        <v/>
      </c>
      <c r="S186" s="139" t="str">
        <f>IFERROR(__xludf.DUMMYFUNCTION("""COMPUTED_VALUE"""),"")</f>
        <v/>
      </c>
      <c r="T186" s="139" t="str">
        <f>IFERROR(__xludf.DUMMYFUNCTION("""COMPUTED_VALUE"""),"")</f>
        <v/>
      </c>
      <c r="U186" s="136" t="str">
        <f>IFERROR(__xludf.DUMMYFUNCTION("""COMPUTED_VALUE"""),"")</f>
        <v/>
      </c>
      <c r="V186" s="106" t="str">
        <f>IFERROR(__xludf.DUMMYFUNCTION("""COMPUTED_VALUE"""),"")</f>
        <v/>
      </c>
      <c r="W186" s="143" t="str">
        <f t="shared" si="2"/>
        <v/>
      </c>
      <c r="X186" s="139" t="str">
        <f>IFERROR(__xludf.DUMMYFUNCTION("""COMPUTED_VALUE"""),"")</f>
        <v/>
      </c>
      <c r="Y186" s="141" t="str">
        <f>IFERROR(__xludf.DUMMYFUNCTION("""COMPUTED_VALUE"""),"")</f>
        <v/>
      </c>
    </row>
    <row r="187">
      <c r="A187" s="144">
        <f>IFERROR(__xludf.DUMMYFUNCTION("""COMPUTED_VALUE"""),46106.84354508102)</f>
        <v>46106.84355</v>
      </c>
      <c r="B187" s="136" t="str">
        <f>IFERROR(__xludf.DUMMYFUNCTION("""COMPUTED_VALUE"""),"Maureen Surgot")</f>
        <v>Maureen Surgot</v>
      </c>
      <c r="C187" s="136" t="b">
        <f t="shared" si="3"/>
        <v>0</v>
      </c>
      <c r="D187" s="137">
        <f>IFERROR(__xludf.DUMMYFUNCTION("""COMPUTED_VALUE"""),0.6875)</f>
        <v>0.6875</v>
      </c>
      <c r="E187" s="106">
        <f>IFERROR(__xludf.DUMMYFUNCTION("""COMPUTED_VALUE"""),0.16666666666424135)</f>
        <v>0.1666666667</v>
      </c>
      <c r="F187" s="137">
        <f>IFERROR(__xludf.DUMMYFUNCTION("""COMPUTED_VALUE"""),0.8541666666642413)</f>
        <v>0.8541666667</v>
      </c>
      <c r="G187" s="106">
        <v>0.16666666666424135</v>
      </c>
      <c r="H187" s="136">
        <f>IFERROR(__xludf.DUMMYFUNCTION("""COMPUTED_VALUE"""),230.0)</f>
        <v>230</v>
      </c>
      <c r="I187" s="139">
        <v>57.500000000836735</v>
      </c>
      <c r="J187" s="136" t="s">
        <v>18</v>
      </c>
      <c r="K187" s="146">
        <f>IFERROR(__xludf.DUMMYFUNCTION("""COMPUTED_VALUE"""),46106.0)</f>
        <v>46106</v>
      </c>
      <c r="L187" s="136" t="str">
        <f t="shared" si="1"/>
        <v>Wednesday</v>
      </c>
      <c r="M187" s="136" t="str">
        <f>IFERROR(__xludf.DUMMYFUNCTION("""COMPUTED_VALUE"""),"BF")</f>
        <v>BF</v>
      </c>
      <c r="N187" s="141">
        <v>1.2941176470588234</v>
      </c>
      <c r="O187" s="136" t="str">
        <f>IFERROR(__xludf.DUMMYFUNCTION("""COMPUTED_VALUE"""),"")</f>
        <v/>
      </c>
      <c r="P187" s="136" t="str">
        <f>IFERROR(__xludf.DUMMYFUNCTION("""COMPUTED_VALUE"""),"")</f>
        <v/>
      </c>
      <c r="Q187" s="106" t="str">
        <f>IFERROR(__xludf.DUMMYFUNCTION("""COMPUTED_VALUE"""),"")</f>
        <v/>
      </c>
      <c r="R187" s="106" t="str">
        <f>IFERROR(__xludf.DUMMYFUNCTION("""COMPUTED_VALUE"""),"")</f>
        <v/>
      </c>
      <c r="S187" s="139" t="str">
        <f>IFERROR(__xludf.DUMMYFUNCTION("""COMPUTED_VALUE"""),"")</f>
        <v/>
      </c>
      <c r="T187" s="139" t="str">
        <f>IFERROR(__xludf.DUMMYFUNCTION("""COMPUTED_VALUE"""),"")</f>
        <v/>
      </c>
      <c r="U187" s="136" t="str">
        <f>IFERROR(__xludf.DUMMYFUNCTION("""COMPUTED_VALUE"""),"")</f>
        <v/>
      </c>
      <c r="V187" s="106" t="str">
        <f>IFERROR(__xludf.DUMMYFUNCTION("""COMPUTED_VALUE"""),"")</f>
        <v/>
      </c>
      <c r="W187" s="143" t="str">
        <f t="shared" si="2"/>
        <v/>
      </c>
      <c r="X187" s="139" t="str">
        <f>IFERROR(__xludf.DUMMYFUNCTION("""COMPUTED_VALUE"""),"")</f>
        <v/>
      </c>
      <c r="Y187" s="141" t="str">
        <f>IFERROR(__xludf.DUMMYFUNCTION("""COMPUTED_VALUE"""),"")</f>
        <v/>
      </c>
    </row>
    <row r="188">
      <c r="A188" s="144">
        <f>IFERROR(__xludf.DUMMYFUNCTION("""COMPUTED_VALUE"""),46106.86914738426)</f>
        <v>46106.86915</v>
      </c>
      <c r="B188" s="136" t="str">
        <f>IFERROR(__xludf.DUMMYFUNCTION("""COMPUTED_VALUE"""),"Brynn Hornig")</f>
        <v>Brynn Hornig</v>
      </c>
      <c r="C188" s="136" t="b">
        <f t="shared" si="3"/>
        <v>0</v>
      </c>
      <c r="D188" s="137">
        <f>IFERROR(__xludf.DUMMYFUNCTION("""COMPUTED_VALUE"""),0.75)</f>
        <v>0.75</v>
      </c>
      <c r="E188" s="106">
        <f>IFERROR(__xludf.DUMMYFUNCTION("""COMPUTED_VALUE"""),0.125)</f>
        <v>0.125</v>
      </c>
      <c r="F188" s="137">
        <f>IFERROR(__xludf.DUMMYFUNCTION("""COMPUTED_VALUE"""),0.875)</f>
        <v>0.875</v>
      </c>
      <c r="G188" s="106">
        <v>0.125</v>
      </c>
      <c r="H188" s="136">
        <f>IFERROR(__xludf.DUMMYFUNCTION("""COMPUTED_VALUE"""),129.0)</f>
        <v>129</v>
      </c>
      <c r="I188" s="139">
        <v>43.0</v>
      </c>
      <c r="J188" s="136" t="s">
        <v>18</v>
      </c>
      <c r="K188" s="146">
        <f>IFERROR(__xludf.DUMMYFUNCTION("""COMPUTED_VALUE"""),46106.0)</f>
        <v>46106</v>
      </c>
      <c r="L188" s="136" t="str">
        <f t="shared" si="1"/>
        <v>Wednesday</v>
      </c>
      <c r="M188" s="136" t="str">
        <f>IFERROR(__xludf.DUMMYFUNCTION("""COMPUTED_VALUE"""),"MF")</f>
        <v>MF</v>
      </c>
      <c r="N188" s="141">
        <v>0.8994037192533668</v>
      </c>
      <c r="O188" s="136">
        <f>IFERROR(__xludf.DUMMYFUNCTION("""COMPUTED_VALUE"""),129.0)</f>
        <v>129</v>
      </c>
      <c r="P188" s="136">
        <f>IFERROR(__xludf.DUMMYFUNCTION("""COMPUTED_VALUE"""),423.0)</f>
        <v>423</v>
      </c>
      <c r="Q188" s="106">
        <f>IFERROR(__xludf.DUMMYFUNCTION("""COMPUTED_VALUE"""),0.125)</f>
        <v>0.125</v>
      </c>
      <c r="R188" s="106">
        <f>IFERROR(__xludf.DUMMYFUNCTION("""COMPUTED_VALUE"""),0.33888888888921226)</f>
        <v>0.3388888889</v>
      </c>
      <c r="S188" s="139">
        <f>IFERROR(__xludf.DUMMYFUNCTION("""COMPUTED_VALUE"""),43.0)</f>
        <v>43</v>
      </c>
      <c r="T188" s="139">
        <f>IFERROR(__xludf.DUMMYFUNCTION("""COMPUTED_VALUE"""),50.654761904550924)</f>
        <v>50.6547619</v>
      </c>
      <c r="U188" s="136">
        <f>IFERROR(__xludf.DUMMYFUNCTION("""COMPUTED_VALUE"""),552.0)</f>
        <v>552</v>
      </c>
      <c r="V188" s="106">
        <f>IFERROR(__xludf.DUMMYFUNCTION("""COMPUTED_VALUE"""),0.46388888888921226)</f>
        <v>0.4638888889</v>
      </c>
      <c r="W188" s="143">
        <f t="shared" si="2"/>
        <v>49.58083832</v>
      </c>
      <c r="X188" s="139">
        <f>IFERROR(__xludf.DUMMYFUNCTION("""COMPUTED_VALUE"""),48.74107142841319)</f>
        <v>48.74107143</v>
      </c>
      <c r="Y188" s="141">
        <f>IFERROR(__xludf.DUMMYFUNCTION("""COMPUTED_VALUE"""),1.0048039275810114)</f>
        <v>1.004803928</v>
      </c>
    </row>
    <row r="189">
      <c r="A189" s="144">
        <f>IFERROR(__xludf.DUMMYFUNCTION("""COMPUTED_VALUE"""),46107.36238027777)</f>
        <v>46107.36238</v>
      </c>
      <c r="B189" s="136" t="str">
        <f>IFERROR(__xludf.DUMMYFUNCTION("""COMPUTED_VALUE"""),"Evan Morgan")</f>
        <v>Evan Morgan</v>
      </c>
      <c r="C189" s="136" t="b">
        <f t="shared" si="3"/>
        <v>0</v>
      </c>
      <c r="D189" s="137">
        <f>IFERROR(__xludf.DUMMYFUNCTION("""COMPUTED_VALUE"""),0.29166666666424135)</f>
        <v>0.2916666667</v>
      </c>
      <c r="E189" s="106">
        <f>IFERROR(__xludf.DUMMYFUNCTION("""COMPUTED_VALUE"""),0.07013888889196096)</f>
        <v>0.07013888889</v>
      </c>
      <c r="F189" s="137">
        <f>IFERROR(__xludf.DUMMYFUNCTION("""COMPUTED_VALUE"""),0.3618055555562023)</f>
        <v>0.3618055556</v>
      </c>
      <c r="G189" s="106">
        <v>0.07013888889196096</v>
      </c>
      <c r="H189" s="136">
        <f>IFERROR(__xludf.DUMMYFUNCTION("""COMPUTED_VALUE"""),10.0)</f>
        <v>10</v>
      </c>
      <c r="I189" s="139">
        <v>5.940594059145743</v>
      </c>
      <c r="J189" s="136" t="s">
        <v>12</v>
      </c>
      <c r="K189" s="146">
        <f>IFERROR(__xludf.DUMMYFUNCTION("""COMPUTED_VALUE"""),46107.0)</f>
        <v>46107</v>
      </c>
      <c r="L189" s="136" t="str">
        <f t="shared" si="1"/>
        <v>Thursday</v>
      </c>
      <c r="M189" s="136" t="str">
        <f>IFERROR(__xludf.DUMMYFUNCTION("""COMPUTED_VALUE"""),"BF")</f>
        <v>BF</v>
      </c>
      <c r="N189" s="141">
        <v>0.20953996452757934</v>
      </c>
      <c r="O189" s="136" t="str">
        <f>IFERROR(__xludf.DUMMYFUNCTION("""COMPUTED_VALUE"""),"")</f>
        <v/>
      </c>
      <c r="P189" s="136" t="str">
        <f>IFERROR(__xludf.DUMMYFUNCTION("""COMPUTED_VALUE"""),"")</f>
        <v/>
      </c>
      <c r="Q189" s="106" t="str">
        <f>IFERROR(__xludf.DUMMYFUNCTION("""COMPUTED_VALUE"""),"")</f>
        <v/>
      </c>
      <c r="R189" s="106" t="str">
        <f>IFERROR(__xludf.DUMMYFUNCTION("""COMPUTED_VALUE"""),"")</f>
        <v/>
      </c>
      <c r="S189" s="139" t="str">
        <f>IFERROR(__xludf.DUMMYFUNCTION("""COMPUTED_VALUE"""),"")</f>
        <v/>
      </c>
      <c r="T189" s="139" t="str">
        <f>IFERROR(__xludf.DUMMYFUNCTION("""COMPUTED_VALUE"""),"")</f>
        <v/>
      </c>
      <c r="U189" s="136" t="str">
        <f>IFERROR(__xludf.DUMMYFUNCTION("""COMPUTED_VALUE"""),"")</f>
        <v/>
      </c>
      <c r="V189" s="106" t="str">
        <f>IFERROR(__xludf.DUMMYFUNCTION("""COMPUTED_VALUE"""),"")</f>
        <v/>
      </c>
      <c r="W189" s="143" t="str">
        <f t="shared" si="2"/>
        <v/>
      </c>
      <c r="X189" s="139" t="str">
        <f>IFERROR(__xludf.DUMMYFUNCTION("""COMPUTED_VALUE"""),"")</f>
        <v/>
      </c>
      <c r="Y189" s="141" t="str">
        <f>IFERROR(__xludf.DUMMYFUNCTION("""COMPUTED_VALUE"""),"")</f>
        <v/>
      </c>
    </row>
    <row r="190">
      <c r="A190" s="144">
        <f>IFERROR(__xludf.DUMMYFUNCTION("""COMPUTED_VALUE"""),46107.47617815972)</f>
        <v>46107.47618</v>
      </c>
      <c r="B190" s="136" t="str">
        <f>IFERROR(__xludf.DUMMYFUNCTION("""COMPUTED_VALUE"""),"Sophia Kluck")</f>
        <v>Sophia Kluck</v>
      </c>
      <c r="C190" s="136" t="b">
        <f t="shared" si="3"/>
        <v>0</v>
      </c>
      <c r="D190" s="137">
        <f>IFERROR(__xludf.DUMMYFUNCTION("""COMPUTED_VALUE"""),0.3687500000014552)</f>
        <v>0.36875</v>
      </c>
      <c r="E190" s="106">
        <f>IFERROR(__xludf.DUMMYFUNCTION("""COMPUTED_VALUE"""),0.10694444444379769)</f>
        <v>0.1069444444</v>
      </c>
      <c r="F190" s="137">
        <f>IFERROR(__xludf.DUMMYFUNCTION("""COMPUTED_VALUE"""),0.4756944444452529)</f>
        <v>0.4756944444</v>
      </c>
      <c r="G190" s="106">
        <v>0.10694444444379769</v>
      </c>
      <c r="H190" s="136">
        <f>IFERROR(__xludf.DUMMYFUNCTION("""COMPUTED_VALUE"""),86.0)</f>
        <v>86</v>
      </c>
      <c r="I190" s="139">
        <v>33.50649350669614</v>
      </c>
      <c r="J190" s="136" t="s">
        <v>134</v>
      </c>
      <c r="K190" s="146">
        <f>IFERROR(__xludf.DUMMYFUNCTION("""COMPUTED_VALUE"""),46107.0)</f>
        <v>46107</v>
      </c>
      <c r="L190" s="136" t="str">
        <f t="shared" si="1"/>
        <v>Thursday</v>
      </c>
      <c r="M190" s="136" t="str">
        <f>IFERROR(__xludf.DUMMYFUNCTION("""COMPUTED_VALUE"""),"BF")</f>
        <v>BF</v>
      </c>
      <c r="N190" s="141">
        <v>0.7954603954832733</v>
      </c>
      <c r="O190" s="136" t="str">
        <f>IFERROR(__xludf.DUMMYFUNCTION("""COMPUTED_VALUE"""),"")</f>
        <v/>
      </c>
      <c r="P190" s="136" t="str">
        <f>IFERROR(__xludf.DUMMYFUNCTION("""COMPUTED_VALUE"""),"")</f>
        <v/>
      </c>
      <c r="Q190" s="106" t="str">
        <f>IFERROR(__xludf.DUMMYFUNCTION("""COMPUTED_VALUE"""),"")</f>
        <v/>
      </c>
      <c r="R190" s="106" t="str">
        <f>IFERROR(__xludf.DUMMYFUNCTION("""COMPUTED_VALUE"""),"")</f>
        <v/>
      </c>
      <c r="S190" s="139" t="str">
        <f>IFERROR(__xludf.DUMMYFUNCTION("""COMPUTED_VALUE"""),"")</f>
        <v/>
      </c>
      <c r="T190" s="139" t="str">
        <f>IFERROR(__xludf.DUMMYFUNCTION("""COMPUTED_VALUE"""),"")</f>
        <v/>
      </c>
      <c r="U190" s="136" t="str">
        <f>IFERROR(__xludf.DUMMYFUNCTION("""COMPUTED_VALUE"""),"")</f>
        <v/>
      </c>
      <c r="V190" s="106" t="str">
        <f>IFERROR(__xludf.DUMMYFUNCTION("""COMPUTED_VALUE"""),"")</f>
        <v/>
      </c>
      <c r="W190" s="143" t="str">
        <f t="shared" si="2"/>
        <v/>
      </c>
      <c r="X190" s="139" t="str">
        <f>IFERROR(__xludf.DUMMYFUNCTION("""COMPUTED_VALUE"""),"")</f>
        <v/>
      </c>
      <c r="Y190" s="141" t="str">
        <f>IFERROR(__xludf.DUMMYFUNCTION("""COMPUTED_VALUE"""),"")</f>
        <v/>
      </c>
    </row>
    <row r="191">
      <c r="A191" s="144">
        <f>IFERROR(__xludf.DUMMYFUNCTION("""COMPUTED_VALUE"""),46107.52642025463)</f>
        <v>46107.52642</v>
      </c>
      <c r="B191" s="136" t="str">
        <f>IFERROR(__xludf.DUMMYFUNCTION("""COMPUTED_VALUE"""),"Emmett Khan")</f>
        <v>Emmett Khan</v>
      </c>
      <c r="C191" s="136" t="b">
        <f t="shared" si="3"/>
        <v>0</v>
      </c>
      <c r="D191" s="137">
        <f>IFERROR(__xludf.DUMMYFUNCTION("""COMPUTED_VALUE"""),0.47916666666424135)</f>
        <v>0.4791666667</v>
      </c>
      <c r="E191" s="106">
        <f>IFERROR(__xludf.DUMMYFUNCTION("""COMPUTED_VALUE"""),0.05208333333575865)</f>
        <v>0.05208333334</v>
      </c>
      <c r="F191" s="137">
        <f>IFERROR(__xludf.DUMMYFUNCTION("""COMPUTED_VALUE"""),0.53125)</f>
        <v>0.53125</v>
      </c>
      <c r="G191" s="106">
        <v>0.05208333333575865</v>
      </c>
      <c r="H191" s="136">
        <f>IFERROR(__xludf.DUMMYFUNCTION("""COMPUTED_VALUE"""),60.0)</f>
        <v>60</v>
      </c>
      <c r="I191" s="139">
        <v>47.999999997764824</v>
      </c>
      <c r="J191" s="136" t="s">
        <v>15</v>
      </c>
      <c r="K191" s="146">
        <f>IFERROR(__xludf.DUMMYFUNCTION("""COMPUTED_VALUE"""),46107.0)</f>
        <v>46107</v>
      </c>
      <c r="L191" s="136" t="str">
        <f t="shared" si="1"/>
        <v>Thursday</v>
      </c>
      <c r="M191" s="136" t="str">
        <f>IFERROR(__xludf.DUMMYFUNCTION("""COMPUTED_VALUE"""),"MF")</f>
        <v>MF</v>
      </c>
      <c r="N191" s="141">
        <v>0.9547015143889775</v>
      </c>
      <c r="O191" s="136" t="str">
        <f>IFERROR(__xludf.DUMMYFUNCTION("""COMPUTED_VALUE"""),"")</f>
        <v/>
      </c>
      <c r="P191" s="136" t="str">
        <f>IFERROR(__xludf.DUMMYFUNCTION("""COMPUTED_VALUE"""),"")</f>
        <v/>
      </c>
      <c r="Q191" s="106" t="str">
        <f>IFERROR(__xludf.DUMMYFUNCTION("""COMPUTED_VALUE"""),"")</f>
        <v/>
      </c>
      <c r="R191" s="106" t="str">
        <f>IFERROR(__xludf.DUMMYFUNCTION("""COMPUTED_VALUE"""),"")</f>
        <v/>
      </c>
      <c r="S191" s="139" t="str">
        <f>IFERROR(__xludf.DUMMYFUNCTION("""COMPUTED_VALUE"""),"")</f>
        <v/>
      </c>
      <c r="T191" s="139" t="str">
        <f>IFERROR(__xludf.DUMMYFUNCTION("""COMPUTED_VALUE"""),"")</f>
        <v/>
      </c>
      <c r="U191" s="136" t="str">
        <f>IFERROR(__xludf.DUMMYFUNCTION("""COMPUTED_VALUE"""),"")</f>
        <v/>
      </c>
      <c r="V191" s="106" t="str">
        <f>IFERROR(__xludf.DUMMYFUNCTION("""COMPUTED_VALUE"""),"")</f>
        <v/>
      </c>
      <c r="W191" s="143" t="str">
        <f t="shared" si="2"/>
        <v/>
      </c>
      <c r="X191" s="139" t="str">
        <f>IFERROR(__xludf.DUMMYFUNCTION("""COMPUTED_VALUE"""),"")</f>
        <v/>
      </c>
      <c r="Y191" s="141" t="str">
        <f>IFERROR(__xludf.DUMMYFUNCTION("""COMPUTED_VALUE"""),"")</f>
        <v/>
      </c>
    </row>
    <row r="192">
      <c r="A192" s="144">
        <f>IFERROR(__xludf.DUMMYFUNCTION("""COMPUTED_VALUE"""),46107.58079944445)</f>
        <v>46107.5808</v>
      </c>
      <c r="B192" s="136" t="str">
        <f>IFERROR(__xludf.DUMMYFUNCTION("""COMPUTED_VALUE"""),"Kyra Turner")</f>
        <v>Kyra Turner</v>
      </c>
      <c r="C192" s="136" t="b">
        <f t="shared" si="3"/>
        <v>0</v>
      </c>
      <c r="D192" s="137">
        <f>IFERROR(__xludf.DUMMYFUNCTION("""COMPUTED_VALUE"""),0.5020833333328483)</f>
        <v>0.5020833333</v>
      </c>
      <c r="E192" s="106">
        <f>IFERROR(__xludf.DUMMYFUNCTION("""COMPUTED_VALUE"""),0.07569444444379769)</f>
        <v>0.07569444444</v>
      </c>
      <c r="F192" s="137">
        <f>IFERROR(__xludf.DUMMYFUNCTION("""COMPUTED_VALUE"""),0.577777777776646)</f>
        <v>0.5777777778</v>
      </c>
      <c r="G192" s="106">
        <v>0.07569444444379769</v>
      </c>
      <c r="H192" s="136">
        <f>IFERROR(__xludf.DUMMYFUNCTION("""COMPUTED_VALUE"""),111.0)</f>
        <v>111</v>
      </c>
      <c r="I192" s="139">
        <v>61.10091743171472</v>
      </c>
      <c r="J192" s="136" t="s">
        <v>15</v>
      </c>
      <c r="K192" s="146">
        <f>IFERROR(__xludf.DUMMYFUNCTION("""COMPUTED_VALUE"""),46107.0)</f>
        <v>46107</v>
      </c>
      <c r="L192" s="136" t="str">
        <f t="shared" si="1"/>
        <v>Thursday</v>
      </c>
      <c r="M192" s="136" t="str">
        <f>IFERROR(__xludf.DUMMYFUNCTION("""COMPUTED_VALUE"""),"BF")</f>
        <v>BF</v>
      </c>
      <c r="N192" s="141">
        <v>2.1551858187538127</v>
      </c>
      <c r="O192" s="136" t="str">
        <f>IFERROR(__xludf.DUMMYFUNCTION("""COMPUTED_VALUE"""),"")</f>
        <v/>
      </c>
      <c r="P192" s="136" t="str">
        <f>IFERROR(__xludf.DUMMYFUNCTION("""COMPUTED_VALUE"""),"")</f>
        <v/>
      </c>
      <c r="Q192" s="106" t="str">
        <f>IFERROR(__xludf.DUMMYFUNCTION("""COMPUTED_VALUE"""),"")</f>
        <v/>
      </c>
      <c r="R192" s="106" t="str">
        <f>IFERROR(__xludf.DUMMYFUNCTION("""COMPUTED_VALUE"""),"")</f>
        <v/>
      </c>
      <c r="S192" s="139" t="str">
        <f>IFERROR(__xludf.DUMMYFUNCTION("""COMPUTED_VALUE"""),"")</f>
        <v/>
      </c>
      <c r="T192" s="139" t="str">
        <f>IFERROR(__xludf.DUMMYFUNCTION("""COMPUTED_VALUE"""),"")</f>
        <v/>
      </c>
      <c r="U192" s="136" t="str">
        <f>IFERROR(__xludf.DUMMYFUNCTION("""COMPUTED_VALUE"""),"")</f>
        <v/>
      </c>
      <c r="V192" s="106" t="str">
        <f>IFERROR(__xludf.DUMMYFUNCTION("""COMPUTED_VALUE"""),"")</f>
        <v/>
      </c>
      <c r="W192" s="143" t="str">
        <f t="shared" si="2"/>
        <v/>
      </c>
      <c r="X192" s="139" t="str">
        <f>IFERROR(__xludf.DUMMYFUNCTION("""COMPUTED_VALUE"""),"")</f>
        <v/>
      </c>
      <c r="Y192" s="141" t="str">
        <f>IFERROR(__xludf.DUMMYFUNCTION("""COMPUTED_VALUE"""),"")</f>
        <v/>
      </c>
    </row>
    <row r="193">
      <c r="A193" s="144">
        <f>IFERROR(__xludf.DUMMYFUNCTION("""COMPUTED_VALUE"""),46107.850718229165)</f>
        <v>46107.85072</v>
      </c>
      <c r="B193" s="136" t="str">
        <f>IFERROR(__xludf.DUMMYFUNCTION("""COMPUTED_VALUE"""),"Leah Bucci")</f>
        <v>Leah Bucci</v>
      </c>
      <c r="C193" s="136" t="b">
        <f t="shared" si="3"/>
        <v>0</v>
      </c>
      <c r="D193" s="137">
        <f>IFERROR(__xludf.DUMMYFUNCTION("""COMPUTED_VALUE"""),0.6875)</f>
        <v>0.6875</v>
      </c>
      <c r="E193" s="106">
        <f>IFERROR(__xludf.DUMMYFUNCTION("""COMPUTED_VALUE"""),0.15972222221898846)</f>
        <v>0.1597222222</v>
      </c>
      <c r="F193" s="137">
        <f>IFERROR(__xludf.DUMMYFUNCTION("""COMPUTED_VALUE"""),0.8472222222189885)</f>
        <v>0.8472222222</v>
      </c>
      <c r="G193" s="106">
        <v>0.15972222221898846</v>
      </c>
      <c r="H193" s="136">
        <f>IFERROR(__xludf.DUMMYFUNCTION("""COMPUTED_VALUE"""),146.0)</f>
        <v>146</v>
      </c>
      <c r="I193" s="139">
        <v>38.08695652251024</v>
      </c>
      <c r="J193" s="136" t="s">
        <v>18</v>
      </c>
      <c r="K193" s="146">
        <f>IFERROR(__xludf.DUMMYFUNCTION("""COMPUTED_VALUE"""),46107.0)</f>
        <v>46107</v>
      </c>
      <c r="L193" s="136" t="str">
        <f t="shared" si="1"/>
        <v>Thursday</v>
      </c>
      <c r="M193" s="136" t="str">
        <f>IFERROR(__xludf.DUMMYFUNCTION("""COMPUTED_VALUE"""),"BF")</f>
        <v>BF</v>
      </c>
      <c r="N193" s="141">
        <v>0.8572000444839203</v>
      </c>
      <c r="O193" s="136">
        <f>IFERROR(__xludf.DUMMYFUNCTION("""COMPUTED_VALUE"""),60.0)</f>
        <v>60</v>
      </c>
      <c r="P193" s="136">
        <f>IFERROR(__xludf.DUMMYFUNCTION("""COMPUTED_VALUE"""),353.0)</f>
        <v>353</v>
      </c>
      <c r="Q193" s="106">
        <f>IFERROR(__xludf.DUMMYFUNCTION("""COMPUTED_VALUE"""),0.05208333333575865)</f>
        <v>0.05208333334</v>
      </c>
      <c r="R193" s="106">
        <f>IFERROR(__xludf.DUMMYFUNCTION("""COMPUTED_VALUE"""),0.4124999999985448)</f>
        <v>0.4125</v>
      </c>
      <c r="S193" s="139">
        <f>IFERROR(__xludf.DUMMYFUNCTION("""COMPUTED_VALUE"""),47.999999997764824)</f>
        <v>48</v>
      </c>
      <c r="T193" s="139">
        <f>IFERROR(__xludf.DUMMYFUNCTION("""COMPUTED_VALUE"""),34.65874038001671)</f>
        <v>34.65874038</v>
      </c>
      <c r="U193" s="136">
        <f>IFERROR(__xludf.DUMMYFUNCTION("""COMPUTED_VALUE"""),413.0)</f>
        <v>413</v>
      </c>
      <c r="V193" s="106">
        <f>IFERROR(__xludf.DUMMYFUNCTION("""COMPUTED_VALUE"""),0.46458333333430346)</f>
        <v>0.4645833333</v>
      </c>
      <c r="W193" s="143">
        <f t="shared" si="2"/>
        <v>37.04035874</v>
      </c>
      <c r="X193" s="139">
        <f>IFERROR(__xludf.DUMMYFUNCTION("""COMPUTED_VALUE"""),37.326992303566335)</f>
        <v>37.3269923</v>
      </c>
      <c r="Y193" s="141">
        <f>IFERROR(__xludf.DUMMYFUNCTION("""COMPUTED_VALUE"""),0.7174074667769)</f>
        <v>0.7174074668</v>
      </c>
    </row>
    <row r="194">
      <c r="A194" s="144">
        <f>IFERROR(__xludf.DUMMYFUNCTION("""COMPUTED_VALUE"""),46107.64389478009)</f>
        <v>46107.64389</v>
      </c>
      <c r="B194" s="136" t="str">
        <f>IFERROR(__xludf.DUMMYFUNCTION("""COMPUTED_VALUE"""),"Kyra Turner")</f>
        <v>Kyra Turner</v>
      </c>
      <c r="C194" s="136" t="b">
        <f t="shared" si="3"/>
        <v>0</v>
      </c>
      <c r="D194" s="137">
        <f>IFERROR(__xludf.DUMMYFUNCTION("""COMPUTED_VALUE"""),0.5805555555562023)</f>
        <v>0.5805555556</v>
      </c>
      <c r="E194" s="106">
        <f>IFERROR(__xludf.DUMMYFUNCTION("""COMPUTED_VALUE"""),0.061805555553291924)</f>
        <v>0.06180555555</v>
      </c>
      <c r="F194" s="137">
        <f>IFERROR(__xludf.DUMMYFUNCTION("""COMPUTED_VALUE"""),0.6423611111094942)</f>
        <v>0.6423611111</v>
      </c>
      <c r="G194" s="106">
        <v>0.061805555553291924</v>
      </c>
      <c r="H194" s="136">
        <f>IFERROR(__xludf.DUMMYFUNCTION("""COMPUTED_VALUE"""),80.0)</f>
        <v>80</v>
      </c>
      <c r="I194" s="139">
        <v>53.932584271638206</v>
      </c>
      <c r="J194" s="136" t="s">
        <v>15</v>
      </c>
      <c r="K194" s="146">
        <f>IFERROR(__xludf.DUMMYFUNCTION("""COMPUTED_VALUE"""),46108.0)</f>
        <v>46108</v>
      </c>
      <c r="L194" s="136" t="str">
        <f t="shared" si="1"/>
        <v>Friday</v>
      </c>
      <c r="M194" s="136" t="str">
        <f>IFERROR(__xludf.DUMMYFUNCTION("""COMPUTED_VALUE"""),"BF")</f>
        <v>BF</v>
      </c>
      <c r="N194" s="141">
        <v>1.9023403522685471</v>
      </c>
      <c r="O194" s="136" t="str">
        <f>IFERROR(__xludf.DUMMYFUNCTION("""COMPUTED_VALUE"""),"")</f>
        <v/>
      </c>
      <c r="P194" s="136" t="str">
        <f>IFERROR(__xludf.DUMMYFUNCTION("""COMPUTED_VALUE"""),"")</f>
        <v/>
      </c>
      <c r="Q194" s="106" t="str">
        <f>IFERROR(__xludf.DUMMYFUNCTION("""COMPUTED_VALUE"""),"")</f>
        <v/>
      </c>
      <c r="R194" s="106" t="str">
        <f>IFERROR(__xludf.DUMMYFUNCTION("""COMPUTED_VALUE"""),"")</f>
        <v/>
      </c>
      <c r="S194" s="139" t="str">
        <f>IFERROR(__xludf.DUMMYFUNCTION("""COMPUTED_VALUE"""),"")</f>
        <v/>
      </c>
      <c r="T194" s="139" t="str">
        <f>IFERROR(__xludf.DUMMYFUNCTION("""COMPUTED_VALUE"""),"")</f>
        <v/>
      </c>
      <c r="U194" s="136" t="str">
        <f>IFERROR(__xludf.DUMMYFUNCTION("""COMPUTED_VALUE"""),"")</f>
        <v/>
      </c>
      <c r="V194" s="106" t="str">
        <f>IFERROR(__xludf.DUMMYFUNCTION("""COMPUTED_VALUE"""),"")</f>
        <v/>
      </c>
      <c r="W194" s="143" t="str">
        <f t="shared" si="2"/>
        <v/>
      </c>
      <c r="X194" s="139" t="str">
        <f>IFERROR(__xludf.DUMMYFUNCTION("""COMPUTED_VALUE"""),"")</f>
        <v/>
      </c>
      <c r="Y194" s="141" t="str">
        <f>IFERROR(__xludf.DUMMYFUNCTION("""COMPUTED_VALUE"""),"")</f>
        <v/>
      </c>
    </row>
    <row r="195">
      <c r="A195" s="144">
        <f>IFERROR(__xludf.DUMMYFUNCTION("""COMPUTED_VALUE"""),46108.43467488426)</f>
        <v>46108.43467</v>
      </c>
      <c r="B195" s="136" t="str">
        <f>IFERROR(__xludf.DUMMYFUNCTION("""COMPUTED_VALUE"""),"Kaylie Forgue")</f>
        <v>Kaylie Forgue</v>
      </c>
      <c r="C195" s="136" t="b">
        <f t="shared" si="3"/>
        <v>0</v>
      </c>
      <c r="D195" s="137">
        <f>IFERROR(__xludf.DUMMYFUNCTION("""COMPUTED_VALUE"""),0.3694444444408873)</f>
        <v>0.3694444444</v>
      </c>
      <c r="E195" s="106">
        <f>IFERROR(__xludf.DUMMYFUNCTION("""COMPUTED_VALUE"""),0.0625)</f>
        <v>0.0625</v>
      </c>
      <c r="F195" s="137">
        <f>IFERROR(__xludf.DUMMYFUNCTION("""COMPUTED_VALUE"""),0.4319444444408873)</f>
        <v>0.4319444444</v>
      </c>
      <c r="G195" s="106">
        <v>0.0625</v>
      </c>
      <c r="H195" s="136">
        <f>IFERROR(__xludf.DUMMYFUNCTION("""COMPUTED_VALUE"""),56.0)</f>
        <v>56</v>
      </c>
      <c r="I195" s="139">
        <v>37.333333333333336</v>
      </c>
      <c r="J195" s="136" t="s">
        <v>12</v>
      </c>
      <c r="K195" s="146">
        <f>IFERROR(__xludf.DUMMYFUNCTION("""COMPUTED_VALUE"""),46108.0)</f>
        <v>46108</v>
      </c>
      <c r="L195" s="136" t="str">
        <f t="shared" si="1"/>
        <v>Friday</v>
      </c>
      <c r="M195" s="136" t="str">
        <f>IFERROR(__xludf.DUMMYFUNCTION("""COMPUTED_VALUE"""),"BF")</f>
        <v>BF</v>
      </c>
      <c r="N195" s="141">
        <v>1.3168422660221095</v>
      </c>
      <c r="O195" s="136" t="str">
        <f>IFERROR(__xludf.DUMMYFUNCTION("""COMPUTED_VALUE"""),"")</f>
        <v/>
      </c>
      <c r="P195" s="136" t="str">
        <f>IFERROR(__xludf.DUMMYFUNCTION("""COMPUTED_VALUE"""),"")</f>
        <v/>
      </c>
      <c r="Q195" s="106" t="str">
        <f>IFERROR(__xludf.DUMMYFUNCTION("""COMPUTED_VALUE"""),"")</f>
        <v/>
      </c>
      <c r="R195" s="106" t="str">
        <f>IFERROR(__xludf.DUMMYFUNCTION("""COMPUTED_VALUE"""),"")</f>
        <v/>
      </c>
      <c r="S195" s="139" t="str">
        <f>IFERROR(__xludf.DUMMYFUNCTION("""COMPUTED_VALUE"""),"")</f>
        <v/>
      </c>
      <c r="T195" s="139" t="str">
        <f>IFERROR(__xludf.DUMMYFUNCTION("""COMPUTED_VALUE"""),"")</f>
        <v/>
      </c>
      <c r="U195" s="136" t="str">
        <f>IFERROR(__xludf.DUMMYFUNCTION("""COMPUTED_VALUE"""),"")</f>
        <v/>
      </c>
      <c r="V195" s="106" t="str">
        <f>IFERROR(__xludf.DUMMYFUNCTION("""COMPUTED_VALUE"""),"")</f>
        <v/>
      </c>
      <c r="W195" s="143" t="str">
        <f t="shared" si="2"/>
        <v/>
      </c>
      <c r="X195" s="139" t="str">
        <f>IFERROR(__xludf.DUMMYFUNCTION("""COMPUTED_VALUE"""),"")</f>
        <v/>
      </c>
      <c r="Y195" s="141" t="str">
        <f>IFERROR(__xludf.DUMMYFUNCTION("""COMPUTED_VALUE"""),"")</f>
        <v/>
      </c>
    </row>
    <row r="196">
      <c r="A196" s="144">
        <f>IFERROR(__xludf.DUMMYFUNCTION("""COMPUTED_VALUE"""),46108.53129159722)</f>
        <v>46108.53129</v>
      </c>
      <c r="B196" s="136" t="str">
        <f>IFERROR(__xludf.DUMMYFUNCTION("""COMPUTED_VALUE"""),"Oluwatimilehin Shodipe")</f>
        <v>Oluwatimilehin Shodipe</v>
      </c>
      <c r="C196" s="136" t="b">
        <f t="shared" si="3"/>
        <v>0</v>
      </c>
      <c r="D196" s="137">
        <f>IFERROR(__xludf.DUMMYFUNCTION("""COMPUTED_VALUE"""),0.48263888889050577)</f>
        <v>0.4826388889</v>
      </c>
      <c r="E196" s="106">
        <f>IFERROR(__xludf.DUMMYFUNCTION("""COMPUTED_VALUE"""),0.052083333328482695)</f>
        <v>0.05208333333</v>
      </c>
      <c r="F196" s="137">
        <f>IFERROR(__xludf.DUMMYFUNCTION("""COMPUTED_VALUE"""),0.5347222222189885)</f>
        <v>0.5347222222</v>
      </c>
      <c r="G196" s="106">
        <v>0.052083333328482695</v>
      </c>
      <c r="H196" s="136">
        <f>IFERROR(__xludf.DUMMYFUNCTION("""COMPUTED_VALUE"""),60.0)</f>
        <v>60</v>
      </c>
      <c r="I196" s="139">
        <v>48.00000000447035</v>
      </c>
      <c r="J196" s="136" t="s">
        <v>15</v>
      </c>
      <c r="K196" s="146">
        <f>IFERROR(__xludf.DUMMYFUNCTION("""COMPUTED_VALUE"""),46108.0)</f>
        <v>46108</v>
      </c>
      <c r="L196" s="136" t="str">
        <f t="shared" si="1"/>
        <v>Friday</v>
      </c>
      <c r="M196" s="136" t="str">
        <f>IFERROR(__xludf.DUMMYFUNCTION("""COMPUTED_VALUE"""),"MF")</f>
        <v>MF</v>
      </c>
      <c r="N196" s="141">
        <v>0.9547015145223479</v>
      </c>
      <c r="O196" s="136" t="str">
        <f>IFERROR(__xludf.DUMMYFUNCTION("""COMPUTED_VALUE"""),"")</f>
        <v/>
      </c>
      <c r="P196" s="136" t="str">
        <f>IFERROR(__xludf.DUMMYFUNCTION("""COMPUTED_VALUE"""),"")</f>
        <v/>
      </c>
      <c r="Q196" s="106" t="str">
        <f>IFERROR(__xludf.DUMMYFUNCTION("""COMPUTED_VALUE"""),"")</f>
        <v/>
      </c>
      <c r="R196" s="106" t="str">
        <f>IFERROR(__xludf.DUMMYFUNCTION("""COMPUTED_VALUE"""),"")</f>
        <v/>
      </c>
      <c r="S196" s="139" t="str">
        <f>IFERROR(__xludf.DUMMYFUNCTION("""COMPUTED_VALUE"""),"")</f>
        <v/>
      </c>
      <c r="T196" s="139" t="str">
        <f>IFERROR(__xludf.DUMMYFUNCTION("""COMPUTED_VALUE"""),"")</f>
        <v/>
      </c>
      <c r="U196" s="136" t="str">
        <f>IFERROR(__xludf.DUMMYFUNCTION("""COMPUTED_VALUE"""),"")</f>
        <v/>
      </c>
      <c r="V196" s="106" t="str">
        <f>IFERROR(__xludf.DUMMYFUNCTION("""COMPUTED_VALUE"""),"")</f>
        <v/>
      </c>
      <c r="W196" s="143" t="str">
        <f t="shared" si="2"/>
        <v/>
      </c>
      <c r="X196" s="139" t="str">
        <f>IFERROR(__xludf.DUMMYFUNCTION("""COMPUTED_VALUE"""),"")</f>
        <v/>
      </c>
      <c r="Y196" s="141" t="str">
        <f>IFERROR(__xludf.DUMMYFUNCTION("""COMPUTED_VALUE"""),"")</f>
        <v/>
      </c>
    </row>
    <row r="197">
      <c r="A197" s="144">
        <f>IFERROR(__xludf.DUMMYFUNCTION("""COMPUTED_VALUE"""),46108.57750953703)</f>
        <v>46108.57751</v>
      </c>
      <c r="B197" s="136" t="str">
        <f>IFERROR(__xludf.DUMMYFUNCTION("""COMPUTED_VALUE"""),"Brynn Hornig")</f>
        <v>Brynn Hornig</v>
      </c>
      <c r="C197" s="136" t="b">
        <f t="shared" si="3"/>
        <v>0</v>
      </c>
      <c r="D197" s="137">
        <f>IFERROR(__xludf.DUMMYFUNCTION("""COMPUTED_VALUE"""),0.45833333333575865)</f>
        <v>0.4583333333</v>
      </c>
      <c r="E197" s="106">
        <f>IFERROR(__xludf.DUMMYFUNCTION("""COMPUTED_VALUE"""),0.125)</f>
        <v>0.125</v>
      </c>
      <c r="F197" s="137">
        <f>IFERROR(__xludf.DUMMYFUNCTION("""COMPUTED_VALUE"""),0.5833333333357587)</f>
        <v>0.5833333333</v>
      </c>
      <c r="G197" s="106">
        <v>0.125</v>
      </c>
      <c r="H197" s="136">
        <f>IFERROR(__xludf.DUMMYFUNCTION("""COMPUTED_VALUE"""),85.0)</f>
        <v>85</v>
      </c>
      <c r="I197" s="139">
        <v>28.333333333333332</v>
      </c>
      <c r="J197" s="136" t="s">
        <v>15</v>
      </c>
      <c r="K197" s="146">
        <f>IFERROR(__xludf.DUMMYFUNCTION("""COMPUTED_VALUE"""),46108.0)</f>
        <v>46108</v>
      </c>
      <c r="L197" s="136" t="str">
        <f t="shared" si="1"/>
        <v>Friday</v>
      </c>
      <c r="M197" s="136" t="str">
        <f>IFERROR(__xludf.DUMMYFUNCTION("""COMPUTED_VALUE"""),"BF")</f>
        <v>BF</v>
      </c>
      <c r="N197" s="141">
        <v>0.9993892197489223</v>
      </c>
      <c r="O197" s="136" t="str">
        <f>IFERROR(__xludf.DUMMYFUNCTION("""COMPUTED_VALUE"""),"")</f>
        <v/>
      </c>
      <c r="P197" s="136" t="str">
        <f>IFERROR(__xludf.DUMMYFUNCTION("""COMPUTED_VALUE"""),"")</f>
        <v/>
      </c>
      <c r="Q197" s="106" t="str">
        <f>IFERROR(__xludf.DUMMYFUNCTION("""COMPUTED_VALUE"""),"")</f>
        <v/>
      </c>
      <c r="R197" s="106" t="str">
        <f>IFERROR(__xludf.DUMMYFUNCTION("""COMPUTED_VALUE"""),"")</f>
        <v/>
      </c>
      <c r="S197" s="139" t="str">
        <f>IFERROR(__xludf.DUMMYFUNCTION("""COMPUTED_VALUE"""),"")</f>
        <v/>
      </c>
      <c r="T197" s="139" t="str">
        <f>IFERROR(__xludf.DUMMYFUNCTION("""COMPUTED_VALUE"""),"")</f>
        <v/>
      </c>
      <c r="U197" s="136" t="str">
        <f>IFERROR(__xludf.DUMMYFUNCTION("""COMPUTED_VALUE"""),"")</f>
        <v/>
      </c>
      <c r="V197" s="106" t="str">
        <f>IFERROR(__xludf.DUMMYFUNCTION("""COMPUTED_VALUE"""),"")</f>
        <v/>
      </c>
      <c r="W197" s="143" t="str">
        <f t="shared" si="2"/>
        <v/>
      </c>
      <c r="X197" s="139" t="str">
        <f>IFERROR(__xludf.DUMMYFUNCTION("""COMPUTED_VALUE"""),"")</f>
        <v/>
      </c>
      <c r="Y197" s="141" t="str">
        <f>IFERROR(__xludf.DUMMYFUNCTION("""COMPUTED_VALUE"""),"")</f>
        <v/>
      </c>
    </row>
    <row r="198">
      <c r="A198" s="144">
        <f>IFERROR(__xludf.DUMMYFUNCTION("""COMPUTED_VALUE"""),46108.80097010417)</f>
        <v>46108.80097</v>
      </c>
      <c r="B198" s="136" t="str">
        <f>IFERROR(__xludf.DUMMYFUNCTION("""COMPUTED_VALUE"""),"Orpheus Wilson")</f>
        <v>Orpheus Wilson</v>
      </c>
      <c r="C198" s="136" t="b">
        <f t="shared" si="3"/>
        <v>0</v>
      </c>
      <c r="D198" s="137">
        <f>IFERROR(__xludf.DUMMYFUNCTION("""COMPUTED_VALUE"""),0.7541666666656965)</f>
        <v>0.7541666667</v>
      </c>
      <c r="E198" s="106">
        <f>IFERROR(__xludf.DUMMYFUNCTION("""COMPUTED_VALUE"""),0.04305555555652574)</f>
        <v>0.04305555556</v>
      </c>
      <c r="F198" s="137">
        <f>IFERROR(__xludf.DUMMYFUNCTION("""COMPUTED_VALUE"""),0.7972222222222223)</f>
        <v>0.7972222222</v>
      </c>
      <c r="G198" s="106">
        <v>0.06805555555798093</v>
      </c>
      <c r="H198" s="136">
        <f>IFERROR(__xludf.DUMMYFUNCTION("""COMPUTED_VALUE"""),160.0)</f>
        <v>160</v>
      </c>
      <c r="I198" s="139">
        <v>145.71428570909274</v>
      </c>
      <c r="J198" s="136" t="s">
        <v>18</v>
      </c>
      <c r="K198" s="146">
        <f>IFERROR(__xludf.DUMMYFUNCTION("""COMPUTED_VALUE"""),46108.0)</f>
        <v>46108</v>
      </c>
      <c r="L198" s="136" t="str">
        <f t="shared" si="1"/>
        <v>Friday</v>
      </c>
      <c r="M198" s="136" t="str">
        <f>IFERROR(__xludf.DUMMYFUNCTION("""COMPUTED_VALUE"""),"MF")</f>
        <v>MF</v>
      </c>
      <c r="N198" s="141">
        <v>3.047813267793156</v>
      </c>
      <c r="O198" s="136" t="str">
        <f>IFERROR(__xludf.DUMMYFUNCTION("""COMPUTED_VALUE"""),"")</f>
        <v/>
      </c>
      <c r="P198" s="136" t="str">
        <f>IFERROR(__xludf.DUMMYFUNCTION("""COMPUTED_VALUE"""),"")</f>
        <v/>
      </c>
      <c r="Q198" s="106" t="str">
        <f>IFERROR(__xludf.DUMMYFUNCTION("""COMPUTED_VALUE"""),"")</f>
        <v/>
      </c>
      <c r="R198" s="106" t="str">
        <f>IFERROR(__xludf.DUMMYFUNCTION("""COMPUTED_VALUE"""),"")</f>
        <v/>
      </c>
      <c r="S198" s="139" t="str">
        <f>IFERROR(__xludf.DUMMYFUNCTION("""COMPUTED_VALUE"""),"")</f>
        <v/>
      </c>
      <c r="T198" s="139" t="str">
        <f>IFERROR(__xludf.DUMMYFUNCTION("""COMPUTED_VALUE"""),"")</f>
        <v/>
      </c>
      <c r="U198" s="136" t="str">
        <f>IFERROR(__xludf.DUMMYFUNCTION("""COMPUTED_VALUE"""),"")</f>
        <v/>
      </c>
      <c r="V198" s="106" t="str">
        <f>IFERROR(__xludf.DUMMYFUNCTION("""COMPUTED_VALUE"""),"")</f>
        <v/>
      </c>
      <c r="W198" s="143" t="str">
        <f t="shared" si="2"/>
        <v/>
      </c>
      <c r="X198" s="139" t="str">
        <f>IFERROR(__xludf.DUMMYFUNCTION("""COMPUTED_VALUE"""),"")</f>
        <v/>
      </c>
      <c r="Y198" s="141" t="str">
        <f>IFERROR(__xludf.DUMMYFUNCTION("""COMPUTED_VALUE"""),"")</f>
        <v/>
      </c>
    </row>
    <row r="199">
      <c r="A199" s="144">
        <f>IFERROR(__xludf.DUMMYFUNCTION("""COMPUTED_VALUE"""),46108.82824131944)</f>
        <v>46108.82824</v>
      </c>
      <c r="B199" s="136" t="str">
        <f>IFERROR(__xludf.DUMMYFUNCTION("""COMPUTED_VALUE"""),"Orpheus Wilson")</f>
        <v>Orpheus Wilson</v>
      </c>
      <c r="C199" s="136" t="b">
        <f t="shared" si="3"/>
        <v>1</v>
      </c>
      <c r="D199" s="137">
        <f>IFERROR(__xludf.DUMMYFUNCTION("""COMPUTED_VALUE"""),0.8027777777751908)</f>
        <v>0.8027777778</v>
      </c>
      <c r="E199" s="106">
        <f>IFERROR(__xludf.DUMMYFUNCTION("""COMPUTED_VALUE"""),0.02500000000145519)</f>
        <v>0.025</v>
      </c>
      <c r="F199" s="137">
        <f>IFERROR(__xludf.DUMMYFUNCTION("""COMPUTED_VALUE"""),0.827777777776646)</f>
        <v>0.8277777778</v>
      </c>
      <c r="G199" s="106" t="s">
        <v>133</v>
      </c>
      <c r="H199" s="136">
        <f>IFERROR(__xludf.DUMMYFUNCTION("""COMPUTED_VALUE"""),78.0)</f>
        <v>78</v>
      </c>
      <c r="I199" s="139" t="s">
        <v>133</v>
      </c>
      <c r="J199" s="136" t="s">
        <v>18</v>
      </c>
      <c r="K199" s="146">
        <f>IFERROR(__xludf.DUMMYFUNCTION("""COMPUTED_VALUE"""),46108.0)</f>
        <v>46108</v>
      </c>
      <c r="L199" s="136" t="str">
        <f t="shared" si="1"/>
        <v>Friday</v>
      </c>
      <c r="M199" s="136" t="str">
        <f>IFERROR(__xludf.DUMMYFUNCTION("""COMPUTED_VALUE"""),"MF")</f>
        <v>MF</v>
      </c>
      <c r="N199" s="141" t="s">
        <v>133</v>
      </c>
      <c r="O199" s="136">
        <f>IFERROR(__xludf.DUMMYFUNCTION("""COMPUTED_VALUE"""),298.0)</f>
        <v>298</v>
      </c>
      <c r="P199" s="136">
        <f>IFERROR(__xludf.DUMMYFUNCTION("""COMPUTED_VALUE"""),221.0)</f>
        <v>221</v>
      </c>
      <c r="Q199" s="106">
        <f>IFERROR(__xludf.DUMMYFUNCTION("""COMPUTED_VALUE"""),0.12013888888646362)</f>
        <v>0.1201388889</v>
      </c>
      <c r="R199" s="106">
        <f>IFERROR(__xludf.DUMMYFUNCTION("""COMPUTED_VALUE"""),0.24930555555329192)</f>
        <v>0.2493055556</v>
      </c>
      <c r="S199" s="139">
        <f>IFERROR(__xludf.DUMMYFUNCTION("""COMPUTED_VALUE"""),96.85714285678154)</f>
        <v>96.85714286</v>
      </c>
      <c r="T199" s="139">
        <f>IFERROR(__xludf.DUMMYFUNCTION("""COMPUTED_VALUE"""),39.86641697943496)</f>
        <v>39.86641698</v>
      </c>
      <c r="U199" s="136">
        <f>IFERROR(__xludf.DUMMYFUNCTION("""COMPUTED_VALUE"""),519.0)</f>
        <v>519</v>
      </c>
      <c r="V199" s="106">
        <f>IFERROR(__xludf.DUMMYFUNCTION("""COMPUTED_VALUE"""),0.36944444443975555)</f>
        <v>0.3694444444</v>
      </c>
      <c r="W199" s="143">
        <f t="shared" si="2"/>
        <v>58.53383459</v>
      </c>
      <c r="X199" s="139">
        <f>IFERROR(__xludf.DUMMYFUNCTION("""COMPUTED_VALUE"""),62.662707330373586)</f>
        <v>62.66270733</v>
      </c>
      <c r="Y199" s="141">
        <f>IFERROR(__xludf.DUMMYFUNCTION("""COMPUTED_VALUE"""),1.050795137853794)</f>
        <v>1.050795138</v>
      </c>
    </row>
    <row r="200">
      <c r="A200" s="144">
        <f>IFERROR(__xludf.DUMMYFUNCTION("""COMPUTED_VALUE"""),46111.64096983796)</f>
        <v>46111.64097</v>
      </c>
      <c r="B200" s="136" t="str">
        <f>IFERROR(__xludf.DUMMYFUNCTION("""COMPUTED_VALUE"""),"Brynn Hornig")</f>
        <v>Brynn Hornig</v>
      </c>
      <c r="C200" s="136" t="b">
        <f t="shared" si="3"/>
        <v>0</v>
      </c>
      <c r="D200" s="137">
        <f>IFERROR(__xludf.DUMMYFUNCTION("""COMPUTED_VALUE"""),0.5208333333357587)</f>
        <v>0.5208333333</v>
      </c>
      <c r="E200" s="106">
        <f>IFERROR(__xludf.DUMMYFUNCTION("""COMPUTED_VALUE"""),0.125)</f>
        <v>0.125</v>
      </c>
      <c r="F200" s="137">
        <f>IFERROR(__xludf.DUMMYFUNCTION("""COMPUTED_VALUE"""),0.6458333333357587)</f>
        <v>0.6458333333</v>
      </c>
      <c r="G200" s="106">
        <v>0.125</v>
      </c>
      <c r="H200" s="136">
        <f>IFERROR(__xludf.DUMMYFUNCTION("""COMPUTED_VALUE"""),93.0)</f>
        <v>93</v>
      </c>
      <c r="I200" s="139">
        <v>31.0</v>
      </c>
      <c r="J200" s="136" t="s">
        <v>15</v>
      </c>
      <c r="K200" s="146">
        <f>IFERROR(__xludf.DUMMYFUNCTION("""COMPUTED_VALUE"""),46111.0)</f>
        <v>46111</v>
      </c>
      <c r="L200" s="136" t="str">
        <f t="shared" si="1"/>
        <v>Monday</v>
      </c>
      <c r="M200" s="136" t="str">
        <f>IFERROR(__xludf.DUMMYFUNCTION("""COMPUTED_VALUE"""),"BF")</f>
        <v>BF</v>
      </c>
      <c r="N200" s="141">
        <v>1.0934493816076443</v>
      </c>
      <c r="O200" s="136" t="str">
        <f>IFERROR(__xludf.DUMMYFUNCTION("""COMPUTED_VALUE"""),"")</f>
        <v/>
      </c>
      <c r="P200" s="136" t="str">
        <f>IFERROR(__xludf.DUMMYFUNCTION("""COMPUTED_VALUE"""),"")</f>
        <v/>
      </c>
      <c r="Q200" s="106" t="str">
        <f>IFERROR(__xludf.DUMMYFUNCTION("""COMPUTED_VALUE"""),"")</f>
        <v/>
      </c>
      <c r="R200" s="106" t="str">
        <f>IFERROR(__xludf.DUMMYFUNCTION("""COMPUTED_VALUE"""),"")</f>
        <v/>
      </c>
      <c r="S200" s="139" t="str">
        <f>IFERROR(__xludf.DUMMYFUNCTION("""COMPUTED_VALUE"""),"")</f>
        <v/>
      </c>
      <c r="T200" s="139" t="str">
        <f>IFERROR(__xludf.DUMMYFUNCTION("""COMPUTED_VALUE"""),"")</f>
        <v/>
      </c>
      <c r="U200" s="136" t="str">
        <f>IFERROR(__xludf.DUMMYFUNCTION("""COMPUTED_VALUE"""),"")</f>
        <v/>
      </c>
      <c r="V200" s="106" t="str">
        <f>IFERROR(__xludf.DUMMYFUNCTION("""COMPUTED_VALUE"""),"")</f>
        <v/>
      </c>
      <c r="W200" s="143" t="str">
        <f t="shared" si="2"/>
        <v/>
      </c>
      <c r="X200" s="139" t="str">
        <f>IFERROR(__xludf.DUMMYFUNCTION("""COMPUTED_VALUE"""),"")</f>
        <v/>
      </c>
      <c r="Y200" s="141" t="str">
        <f>IFERROR(__xludf.DUMMYFUNCTION("""COMPUTED_VALUE"""),"")</f>
        <v/>
      </c>
    </row>
    <row r="201">
      <c r="A201" s="144">
        <f>IFERROR(__xludf.DUMMYFUNCTION("""COMPUTED_VALUE"""),46111.74912800926)</f>
        <v>46111.74913</v>
      </c>
      <c r="B201" s="136" t="str">
        <f>IFERROR(__xludf.DUMMYFUNCTION("""COMPUTED_VALUE"""),"Orpheus Wilson")</f>
        <v>Orpheus Wilson</v>
      </c>
      <c r="C201" s="136" t="b">
        <f t="shared" si="3"/>
        <v>0</v>
      </c>
      <c r="D201" s="137">
        <f>IFERROR(__xludf.DUMMYFUNCTION("""COMPUTED_VALUE"""),0.6729166666627862)</f>
        <v>0.6729166667</v>
      </c>
      <c r="E201" s="106">
        <f>IFERROR(__xludf.DUMMYFUNCTION("""COMPUTED_VALUE"""),0.07569444444379769)</f>
        <v>0.07569444444</v>
      </c>
      <c r="F201" s="137">
        <f>IFERROR(__xludf.DUMMYFUNCTION("""COMPUTED_VALUE"""),0.7486111111065838)</f>
        <v>0.7486111111</v>
      </c>
      <c r="G201" s="106">
        <v>0.07569444444379769</v>
      </c>
      <c r="H201" s="136">
        <f>IFERROR(__xludf.DUMMYFUNCTION("""COMPUTED_VALUE"""),131.0)</f>
        <v>131</v>
      </c>
      <c r="I201" s="139">
        <v>72.1100917437354</v>
      </c>
      <c r="J201" s="136" t="s">
        <v>18</v>
      </c>
      <c r="K201" s="146">
        <f>IFERROR(__xludf.DUMMYFUNCTION("""COMPUTED_VALUE"""),46111.0)</f>
        <v>46111</v>
      </c>
      <c r="L201" s="136" t="str">
        <f t="shared" si="1"/>
        <v>Monday</v>
      </c>
      <c r="M201" s="136" t="str">
        <f>IFERROR(__xludf.DUMMYFUNCTION("""COMPUTED_VALUE"""),"MF")</f>
        <v>MF</v>
      </c>
      <c r="N201" s="141">
        <v>1.50828103976784</v>
      </c>
      <c r="O201" s="136" t="str">
        <f>IFERROR(__xludf.DUMMYFUNCTION("""COMPUTED_VALUE"""),"")</f>
        <v/>
      </c>
      <c r="P201" s="136" t="str">
        <f>IFERROR(__xludf.DUMMYFUNCTION("""COMPUTED_VALUE"""),"")</f>
        <v/>
      </c>
      <c r="Q201" s="106" t="str">
        <f>IFERROR(__xludf.DUMMYFUNCTION("""COMPUTED_VALUE"""),"")</f>
        <v/>
      </c>
      <c r="R201" s="106" t="str">
        <f>IFERROR(__xludf.DUMMYFUNCTION("""COMPUTED_VALUE"""),"")</f>
        <v/>
      </c>
      <c r="S201" s="139" t="str">
        <f>IFERROR(__xludf.DUMMYFUNCTION("""COMPUTED_VALUE"""),"")</f>
        <v/>
      </c>
      <c r="T201" s="139" t="str">
        <f>IFERROR(__xludf.DUMMYFUNCTION("""COMPUTED_VALUE"""),"")</f>
        <v/>
      </c>
      <c r="U201" s="136" t="str">
        <f>IFERROR(__xludf.DUMMYFUNCTION("""COMPUTED_VALUE"""),"")</f>
        <v/>
      </c>
      <c r="V201" s="106" t="str">
        <f>IFERROR(__xludf.DUMMYFUNCTION("""COMPUTED_VALUE"""),"")</f>
        <v/>
      </c>
      <c r="W201" s="143" t="str">
        <f t="shared" si="2"/>
        <v/>
      </c>
      <c r="X201" s="139" t="str">
        <f>IFERROR(__xludf.DUMMYFUNCTION("""COMPUTED_VALUE"""),"")</f>
        <v/>
      </c>
      <c r="Y201" s="141" t="str">
        <f>IFERROR(__xludf.DUMMYFUNCTION("""COMPUTED_VALUE"""),"")</f>
        <v/>
      </c>
    </row>
    <row r="202">
      <c r="A202" s="144">
        <f>IFERROR(__xludf.DUMMYFUNCTION("""COMPUTED_VALUE"""),46111.87155268519)</f>
        <v>46111.87155</v>
      </c>
      <c r="B202" s="136" t="str">
        <f>IFERROR(__xludf.DUMMYFUNCTION("""COMPUTED_VALUE"""),"Maureen Surgot")</f>
        <v>Maureen Surgot</v>
      </c>
      <c r="C202" s="136" t="b">
        <f t="shared" si="3"/>
        <v>0</v>
      </c>
      <c r="D202" s="137">
        <f>IFERROR(__xludf.DUMMYFUNCTION("""COMPUTED_VALUE"""),0.75)</f>
        <v>0.75</v>
      </c>
      <c r="E202" s="106">
        <f>IFERROR(__xludf.DUMMYFUNCTION("""COMPUTED_VALUE"""),0.125)</f>
        <v>0.125</v>
      </c>
      <c r="F202" s="137">
        <f>IFERROR(__xludf.DUMMYFUNCTION("""COMPUTED_VALUE"""),0.875)</f>
        <v>0.875</v>
      </c>
      <c r="G202" s="106">
        <v>0.125</v>
      </c>
      <c r="H202" s="136">
        <f>IFERROR(__xludf.DUMMYFUNCTION("""COMPUTED_VALUE"""),186.0)</f>
        <v>186</v>
      </c>
      <c r="I202" s="139">
        <v>62.0</v>
      </c>
      <c r="J202" s="136" t="s">
        <v>18</v>
      </c>
      <c r="K202" s="146">
        <f>IFERROR(__xludf.DUMMYFUNCTION("""COMPUTED_VALUE"""),46111.0)</f>
        <v>46111</v>
      </c>
      <c r="L202" s="136" t="str">
        <f t="shared" si="1"/>
        <v>Monday</v>
      </c>
      <c r="M202" s="136" t="str">
        <f>IFERROR(__xludf.DUMMYFUNCTION("""COMPUTED_VALUE"""),"MF")</f>
        <v>MF</v>
      </c>
      <c r="N202" s="141">
        <v>1.2968146649699708</v>
      </c>
      <c r="O202" s="136">
        <f>IFERROR(__xludf.DUMMYFUNCTION("""COMPUTED_VALUE"""),494.0)</f>
        <v>494</v>
      </c>
      <c r="P202" s="136">
        <f>IFERROR(__xludf.DUMMYFUNCTION("""COMPUTED_VALUE"""),179.0)</f>
        <v>179</v>
      </c>
      <c r="Q202" s="106">
        <f>IFERROR(__xludf.DUMMYFUNCTION("""COMPUTED_VALUE"""),0.2750000000014552)</f>
        <v>0.275</v>
      </c>
      <c r="R202" s="106">
        <f>IFERROR(__xludf.DUMMYFUNCTION("""COMPUTED_VALUE"""),0.17013888889050577)</f>
        <v>0.1701388889</v>
      </c>
      <c r="S202" s="139">
        <f>IFERROR(__xludf.DUMMYFUNCTION("""COMPUTED_VALUE"""),77.78747606317529)</f>
        <v>77.78747606</v>
      </c>
      <c r="T202" s="139">
        <f>IFERROR(__xludf.DUMMYFUNCTION("""COMPUTED_VALUE"""),55.19230769088591)</f>
        <v>55.19230769</v>
      </c>
      <c r="U202" s="136">
        <f>IFERROR(__xludf.DUMMYFUNCTION("""COMPUTED_VALUE"""),673.0)</f>
        <v>673</v>
      </c>
      <c r="V202" s="106">
        <f>IFERROR(__xludf.DUMMYFUNCTION("""COMPUTED_VALUE"""),0.44513888889196096)</f>
        <v>0.4451388889</v>
      </c>
      <c r="W202" s="143">
        <f t="shared" si="2"/>
        <v>62.99531981</v>
      </c>
      <c r="X202" s="139">
        <f>IFERROR(__xludf.DUMMYFUNCTION("""COMPUTED_VALUE"""),68.74940871425954)</f>
        <v>68.74940871</v>
      </c>
      <c r="Y202" s="141">
        <f>IFERROR(__xludf.DUMMYFUNCTION("""COMPUTED_VALUE"""),1.2639396767122661)</f>
        <v>1.263939677</v>
      </c>
    </row>
    <row r="203">
      <c r="A203" s="144">
        <f>IFERROR(__xludf.DUMMYFUNCTION("""COMPUTED_VALUE"""),46112.53181204861)</f>
        <v>46112.53181</v>
      </c>
      <c r="B203" s="136" t="str">
        <f>IFERROR(__xludf.DUMMYFUNCTION("""COMPUTED_VALUE"""),"Kaylie Forgue")</f>
        <v>Kaylie Forgue</v>
      </c>
      <c r="C203" s="136" t="b">
        <f t="shared" si="3"/>
        <v>0</v>
      </c>
      <c r="D203" s="137">
        <f>IFERROR(__xludf.DUMMYFUNCTION("""COMPUTED_VALUE"""),0.445138888884685)</f>
        <v>0.4451388889</v>
      </c>
      <c r="E203" s="106">
        <f>IFERROR(__xludf.DUMMYFUNCTION("""COMPUTED_VALUE"""),0.05555555556202307)</f>
        <v>0.05555555556</v>
      </c>
      <c r="F203" s="137">
        <f>IFERROR(__xludf.DUMMYFUNCTION("""COMPUTED_VALUE"""),0.5006944444467081)</f>
        <v>0.5006944444</v>
      </c>
      <c r="G203" s="106">
        <v>0.0743055555576575</v>
      </c>
      <c r="H203" s="136">
        <f>IFERROR(__xludf.DUMMYFUNCTION("""COMPUTED_VALUE"""),107.0)</f>
        <v>107</v>
      </c>
      <c r="I203" s="139">
        <v>70.65420560547798</v>
      </c>
      <c r="J203" s="136" t="s">
        <v>134</v>
      </c>
      <c r="K203" s="146">
        <f>IFERROR(__xludf.DUMMYFUNCTION("""COMPUTED_VALUE"""),46112.0)</f>
        <v>46112</v>
      </c>
      <c r="L203" s="136" t="str">
        <f t="shared" si="1"/>
        <v>Tuesday</v>
      </c>
      <c r="M203" s="136" t="str">
        <f>IFERROR(__xludf.DUMMYFUNCTION("""COMPUTED_VALUE"""),"BF")</f>
        <v>BF</v>
      </c>
      <c r="N203" s="141">
        <v>2.190472146491895</v>
      </c>
      <c r="O203" s="136" t="str">
        <f>IFERROR(__xludf.DUMMYFUNCTION("""COMPUTED_VALUE"""),"")</f>
        <v/>
      </c>
      <c r="P203" s="136" t="str">
        <f>IFERROR(__xludf.DUMMYFUNCTION("""COMPUTED_VALUE"""),"")</f>
        <v/>
      </c>
      <c r="Q203" s="106" t="str">
        <f>IFERROR(__xludf.DUMMYFUNCTION("""COMPUTED_VALUE"""),"")</f>
        <v/>
      </c>
      <c r="R203" s="106" t="str">
        <f>IFERROR(__xludf.DUMMYFUNCTION("""COMPUTED_VALUE"""),"")</f>
        <v/>
      </c>
      <c r="S203" s="139" t="str">
        <f>IFERROR(__xludf.DUMMYFUNCTION("""COMPUTED_VALUE"""),"")</f>
        <v/>
      </c>
      <c r="T203" s="139" t="str">
        <f>IFERROR(__xludf.DUMMYFUNCTION("""COMPUTED_VALUE"""),"")</f>
        <v/>
      </c>
      <c r="U203" s="136" t="str">
        <f>IFERROR(__xludf.DUMMYFUNCTION("""COMPUTED_VALUE"""),"")</f>
        <v/>
      </c>
      <c r="V203" s="106" t="str">
        <f>IFERROR(__xludf.DUMMYFUNCTION("""COMPUTED_VALUE"""),"")</f>
        <v/>
      </c>
      <c r="W203" s="143" t="str">
        <f t="shared" si="2"/>
        <v/>
      </c>
      <c r="X203" s="139" t="str">
        <f>IFERROR(__xludf.DUMMYFUNCTION("""COMPUTED_VALUE"""),"")</f>
        <v/>
      </c>
      <c r="Y203" s="141" t="str">
        <f>IFERROR(__xludf.DUMMYFUNCTION("""COMPUTED_VALUE"""),"")</f>
        <v/>
      </c>
    </row>
    <row r="204">
      <c r="A204" s="144">
        <f>IFERROR(__xludf.DUMMYFUNCTION("""COMPUTED_VALUE"""),46112.53349332176)</f>
        <v>46112.53349</v>
      </c>
      <c r="B204" s="136" t="str">
        <f>IFERROR(__xludf.DUMMYFUNCTION("""COMPUTED_VALUE"""),"Kaylie Forgue")</f>
        <v>Kaylie Forgue</v>
      </c>
      <c r="C204" s="136" t="b">
        <f t="shared" si="3"/>
        <v>1</v>
      </c>
      <c r="D204" s="137">
        <f>IFERROR(__xludf.DUMMYFUNCTION("""COMPUTED_VALUE"""),0.5013888888934162)</f>
        <v>0.5013888889</v>
      </c>
      <c r="E204" s="106">
        <f>IFERROR(__xludf.DUMMYFUNCTION("""COMPUTED_VALUE"""),0.018749999995634425)</f>
        <v>0.01875</v>
      </c>
      <c r="F204" s="137">
        <f>IFERROR(__xludf.DUMMYFUNCTION("""COMPUTED_VALUE"""),0.5201388888890506)</f>
        <v>0.5201388889</v>
      </c>
      <c r="G204" s="106" t="s">
        <v>133</v>
      </c>
      <c r="H204" s="136">
        <f>IFERROR(__xludf.DUMMYFUNCTION("""COMPUTED_VALUE"""),19.0)</f>
        <v>19</v>
      </c>
      <c r="I204" s="139" t="s">
        <v>133</v>
      </c>
      <c r="J204" s="136" t="s">
        <v>15</v>
      </c>
      <c r="K204" s="146">
        <f>IFERROR(__xludf.DUMMYFUNCTION("""COMPUTED_VALUE"""),46112.0)</f>
        <v>46112</v>
      </c>
      <c r="L204" s="136" t="str">
        <f t="shared" si="1"/>
        <v>Tuesday</v>
      </c>
      <c r="M204" s="136" t="str">
        <f>IFERROR(__xludf.DUMMYFUNCTION("""COMPUTED_VALUE"""),"BF")</f>
        <v>BF</v>
      </c>
      <c r="N204" s="141" t="s">
        <v>133</v>
      </c>
      <c r="O204" s="136" t="str">
        <f>IFERROR(__xludf.DUMMYFUNCTION("""COMPUTED_VALUE"""),"")</f>
        <v/>
      </c>
      <c r="P204" s="136" t="str">
        <f>IFERROR(__xludf.DUMMYFUNCTION("""COMPUTED_VALUE"""),"")</f>
        <v/>
      </c>
      <c r="Q204" s="106" t="str">
        <f>IFERROR(__xludf.DUMMYFUNCTION("""COMPUTED_VALUE"""),"")</f>
        <v/>
      </c>
      <c r="R204" s="106" t="str">
        <f>IFERROR(__xludf.DUMMYFUNCTION("""COMPUTED_VALUE"""),"")</f>
        <v/>
      </c>
      <c r="S204" s="139" t="str">
        <f>IFERROR(__xludf.DUMMYFUNCTION("""COMPUTED_VALUE"""),"")</f>
        <v/>
      </c>
      <c r="T204" s="139" t="str">
        <f>IFERROR(__xludf.DUMMYFUNCTION("""COMPUTED_VALUE"""),"")</f>
        <v/>
      </c>
      <c r="U204" s="136" t="str">
        <f>IFERROR(__xludf.DUMMYFUNCTION("""COMPUTED_VALUE"""),"")</f>
        <v/>
      </c>
      <c r="V204" s="106" t="str">
        <f>IFERROR(__xludf.DUMMYFUNCTION("""COMPUTED_VALUE"""),"")</f>
        <v/>
      </c>
      <c r="W204" s="143" t="str">
        <f t="shared" si="2"/>
        <v/>
      </c>
      <c r="X204" s="139" t="str">
        <f>IFERROR(__xludf.DUMMYFUNCTION("""COMPUTED_VALUE"""),"")</f>
        <v/>
      </c>
      <c r="Y204" s="141" t="str">
        <f>IFERROR(__xludf.DUMMYFUNCTION("""COMPUTED_VALUE"""),"")</f>
        <v/>
      </c>
    </row>
    <row r="205">
      <c r="A205" s="144">
        <f>IFERROR(__xludf.DUMMYFUNCTION("""COMPUTED_VALUE"""),46112.57281380787)</f>
        <v>46112.57281</v>
      </c>
      <c r="B205" s="136" t="str">
        <f>IFERROR(__xludf.DUMMYFUNCTION("""COMPUTED_VALUE"""),"Kyra Turner")</f>
        <v>Kyra Turner</v>
      </c>
      <c r="C205" s="136" t="b">
        <f t="shared" si="3"/>
        <v>0</v>
      </c>
      <c r="D205" s="137">
        <f>IFERROR(__xludf.DUMMYFUNCTION("""COMPUTED_VALUE"""),0.48263888889050577)</f>
        <v>0.4826388889</v>
      </c>
      <c r="E205" s="106">
        <f>IFERROR(__xludf.DUMMYFUNCTION("""COMPUTED_VALUE"""),0.08611111110803904)</f>
        <v>0.08611111111</v>
      </c>
      <c r="F205" s="137">
        <f>IFERROR(__xludf.DUMMYFUNCTION("""COMPUTED_VALUE"""),0.5687499999985448)</f>
        <v>0.56875</v>
      </c>
      <c r="G205" s="106">
        <v>0.13055555555183673</v>
      </c>
      <c r="H205" s="136">
        <f>IFERROR(__xludf.DUMMYFUNCTION("""COMPUTED_VALUE"""),187.0)</f>
        <v>187</v>
      </c>
      <c r="I205" s="139">
        <v>92.87234042817735</v>
      </c>
      <c r="J205" s="136" t="s">
        <v>15</v>
      </c>
      <c r="K205" s="146">
        <f>IFERROR(__xludf.DUMMYFUNCTION("""COMPUTED_VALUE"""),46112.0)</f>
        <v>46112</v>
      </c>
      <c r="L205" s="136" t="str">
        <f t="shared" si="1"/>
        <v>Tuesday</v>
      </c>
      <c r="M205" s="136" t="str">
        <f>IFERROR(__xludf.DUMMYFUNCTION("""COMPUTED_VALUE"""),"MF")</f>
        <v>MF</v>
      </c>
      <c r="N205" s="141">
        <v>1.8471950844949665</v>
      </c>
      <c r="O205" s="136" t="str">
        <f>IFERROR(__xludf.DUMMYFUNCTION("""COMPUTED_VALUE"""),"")</f>
        <v/>
      </c>
      <c r="P205" s="136" t="str">
        <f>IFERROR(__xludf.DUMMYFUNCTION("""COMPUTED_VALUE"""),"")</f>
        <v/>
      </c>
      <c r="Q205" s="106" t="str">
        <f>IFERROR(__xludf.DUMMYFUNCTION("""COMPUTED_VALUE"""),"")</f>
        <v/>
      </c>
      <c r="R205" s="106" t="str">
        <f>IFERROR(__xludf.DUMMYFUNCTION("""COMPUTED_VALUE"""),"")</f>
        <v/>
      </c>
      <c r="S205" s="139" t="str">
        <f>IFERROR(__xludf.DUMMYFUNCTION("""COMPUTED_VALUE"""),"")</f>
        <v/>
      </c>
      <c r="T205" s="139" t="str">
        <f>IFERROR(__xludf.DUMMYFUNCTION("""COMPUTED_VALUE"""),"")</f>
        <v/>
      </c>
      <c r="U205" s="136" t="str">
        <f>IFERROR(__xludf.DUMMYFUNCTION("""COMPUTED_VALUE"""),"")</f>
        <v/>
      </c>
      <c r="V205" s="106" t="str">
        <f>IFERROR(__xludf.DUMMYFUNCTION("""COMPUTED_VALUE"""),"")</f>
        <v/>
      </c>
      <c r="W205" s="143" t="str">
        <f t="shared" si="2"/>
        <v/>
      </c>
      <c r="X205" s="139" t="str">
        <f>IFERROR(__xludf.DUMMYFUNCTION("""COMPUTED_VALUE"""),"")</f>
        <v/>
      </c>
      <c r="Y205" s="141" t="str">
        <f>IFERROR(__xludf.DUMMYFUNCTION("""COMPUTED_VALUE"""),"")</f>
        <v/>
      </c>
    </row>
    <row r="206">
      <c r="A206" s="144">
        <f>IFERROR(__xludf.DUMMYFUNCTION("""COMPUTED_VALUE"""),46112.622651655096)</f>
        <v>46112.62265</v>
      </c>
      <c r="B206" s="136" t="str">
        <f>IFERROR(__xludf.DUMMYFUNCTION("""COMPUTED_VALUE"""),"Kyra Turner")</f>
        <v>Kyra Turner</v>
      </c>
      <c r="C206" s="136" t="b">
        <f t="shared" si="3"/>
        <v>1</v>
      </c>
      <c r="D206" s="137">
        <f>IFERROR(__xludf.DUMMYFUNCTION("""COMPUTED_VALUE"""),0.5756944444437977)</f>
        <v>0.5756944444</v>
      </c>
      <c r="E206" s="106">
        <f>IFERROR(__xludf.DUMMYFUNCTION("""COMPUTED_VALUE"""),0.04444444444379769)</f>
        <v>0.04444444444</v>
      </c>
      <c r="F206" s="137">
        <f>IFERROR(__xludf.DUMMYFUNCTION("""COMPUTED_VALUE"""),0.6201388888875954)</f>
        <v>0.6201388889</v>
      </c>
      <c r="G206" s="106" t="s">
        <v>133</v>
      </c>
      <c r="H206" s="136">
        <f>IFERROR(__xludf.DUMMYFUNCTION("""COMPUTED_VALUE"""),104.0)</f>
        <v>104</v>
      </c>
      <c r="I206" s="139" t="s">
        <v>133</v>
      </c>
      <c r="J206" s="136" t="s">
        <v>15</v>
      </c>
      <c r="K206" s="146">
        <f>IFERROR(__xludf.DUMMYFUNCTION("""COMPUTED_VALUE"""),46112.0)</f>
        <v>46112</v>
      </c>
      <c r="L206" s="136" t="str">
        <f t="shared" si="1"/>
        <v>Tuesday</v>
      </c>
      <c r="M206" s="136" t="str">
        <f>IFERROR(__xludf.DUMMYFUNCTION("""COMPUTED_VALUE"""),"MF")</f>
        <v>MF</v>
      </c>
      <c r="N206" s="141" t="s">
        <v>133</v>
      </c>
      <c r="O206" s="136" t="str">
        <f>IFERROR(__xludf.DUMMYFUNCTION("""COMPUTED_VALUE"""),"")</f>
        <v/>
      </c>
      <c r="P206" s="136" t="str">
        <f>IFERROR(__xludf.DUMMYFUNCTION("""COMPUTED_VALUE"""),"")</f>
        <v/>
      </c>
      <c r="Q206" s="106" t="str">
        <f>IFERROR(__xludf.DUMMYFUNCTION("""COMPUTED_VALUE"""),"")</f>
        <v/>
      </c>
      <c r="R206" s="106" t="str">
        <f>IFERROR(__xludf.DUMMYFUNCTION("""COMPUTED_VALUE"""),"")</f>
        <v/>
      </c>
      <c r="S206" s="139" t="str">
        <f>IFERROR(__xludf.DUMMYFUNCTION("""COMPUTED_VALUE"""),"")</f>
        <v/>
      </c>
      <c r="T206" s="139" t="str">
        <f>IFERROR(__xludf.DUMMYFUNCTION("""COMPUTED_VALUE"""),"")</f>
        <v/>
      </c>
      <c r="U206" s="136" t="str">
        <f>IFERROR(__xludf.DUMMYFUNCTION("""COMPUTED_VALUE"""),"")</f>
        <v/>
      </c>
      <c r="V206" s="106" t="str">
        <f>IFERROR(__xludf.DUMMYFUNCTION("""COMPUTED_VALUE"""),"")</f>
        <v/>
      </c>
      <c r="W206" s="143" t="str">
        <f t="shared" si="2"/>
        <v/>
      </c>
      <c r="X206" s="139" t="str">
        <f>IFERROR(__xludf.DUMMYFUNCTION("""COMPUTED_VALUE"""),"")</f>
        <v/>
      </c>
      <c r="Y206" s="141" t="str">
        <f>IFERROR(__xludf.DUMMYFUNCTION("""COMPUTED_VALUE"""),"")</f>
        <v/>
      </c>
    </row>
    <row r="207">
      <c r="A207" s="144">
        <f>IFERROR(__xludf.DUMMYFUNCTION("""COMPUTED_VALUE"""),46112.76164568287)</f>
        <v>46112.76165</v>
      </c>
      <c r="B207" s="136" t="str">
        <f>IFERROR(__xludf.DUMMYFUNCTION("""COMPUTED_VALUE"""),"Arjya Aich")</f>
        <v>Arjya Aich</v>
      </c>
      <c r="C207" s="136" t="b">
        <f t="shared" si="3"/>
        <v>0</v>
      </c>
      <c r="D207" s="137">
        <f>IFERROR(__xludf.DUMMYFUNCTION("""COMPUTED_VALUE"""),0.5208333333357587)</f>
        <v>0.5208333333</v>
      </c>
      <c r="E207" s="106">
        <f>IFERROR(__xludf.DUMMYFUNCTION("""COMPUTED_VALUE"""),0.04166666666424135)</f>
        <v>0.04166666666</v>
      </c>
      <c r="F207" s="137">
        <f>IFERROR(__xludf.DUMMYFUNCTION("""COMPUTED_VALUE"""),0.5625)</f>
        <v>0.5625</v>
      </c>
      <c r="G207" s="106">
        <v>0.04166666666424135</v>
      </c>
      <c r="H207" s="136">
        <f>IFERROR(__xludf.DUMMYFUNCTION("""COMPUTED_VALUE"""),42.0)</f>
        <v>42</v>
      </c>
      <c r="I207" s="139">
        <v>42.00000000244472</v>
      </c>
      <c r="J207" s="136" t="s">
        <v>15</v>
      </c>
      <c r="K207" s="146">
        <f>IFERROR(__xludf.DUMMYFUNCTION("""COMPUTED_VALUE"""),46112.0)</f>
        <v>46112</v>
      </c>
      <c r="L207" s="136" t="str">
        <f t="shared" si="1"/>
        <v>Tuesday</v>
      </c>
      <c r="M207" s="136" t="str">
        <f>IFERROR(__xludf.DUMMYFUNCTION("""COMPUTED_VALUE"""),"BF")</f>
        <v>BF</v>
      </c>
      <c r="N207" s="141">
        <v>1.4814475493611046</v>
      </c>
      <c r="O207" s="136" t="str">
        <f>IFERROR(__xludf.DUMMYFUNCTION("""COMPUTED_VALUE"""),"")</f>
        <v/>
      </c>
      <c r="P207" s="136" t="str">
        <f>IFERROR(__xludf.DUMMYFUNCTION("""COMPUTED_VALUE"""),"")</f>
        <v/>
      </c>
      <c r="Q207" s="106" t="str">
        <f>IFERROR(__xludf.DUMMYFUNCTION("""COMPUTED_VALUE"""),"")</f>
        <v/>
      </c>
      <c r="R207" s="106" t="str">
        <f>IFERROR(__xludf.DUMMYFUNCTION("""COMPUTED_VALUE"""),"")</f>
        <v/>
      </c>
      <c r="S207" s="139" t="str">
        <f>IFERROR(__xludf.DUMMYFUNCTION("""COMPUTED_VALUE"""),"")</f>
        <v/>
      </c>
      <c r="T207" s="139" t="str">
        <f>IFERROR(__xludf.DUMMYFUNCTION("""COMPUTED_VALUE"""),"")</f>
        <v/>
      </c>
      <c r="U207" s="136" t="str">
        <f>IFERROR(__xludf.DUMMYFUNCTION("""COMPUTED_VALUE"""),"")</f>
        <v/>
      </c>
      <c r="V207" s="106" t="str">
        <f>IFERROR(__xludf.DUMMYFUNCTION("""COMPUTED_VALUE"""),"")</f>
        <v/>
      </c>
      <c r="W207" s="143" t="str">
        <f t="shared" si="2"/>
        <v/>
      </c>
      <c r="X207" s="139" t="str">
        <f>IFERROR(__xludf.DUMMYFUNCTION("""COMPUTED_VALUE"""),"")</f>
        <v/>
      </c>
      <c r="Y207" s="141" t="str">
        <f>IFERROR(__xludf.DUMMYFUNCTION("""COMPUTED_VALUE"""),"")</f>
        <v/>
      </c>
    </row>
    <row r="208">
      <c r="A208" s="144">
        <f>IFERROR(__xludf.DUMMYFUNCTION("""COMPUTED_VALUE"""),46112.88765017361)</f>
        <v>46112.88765</v>
      </c>
      <c r="B208" s="136" t="str">
        <f>IFERROR(__xludf.DUMMYFUNCTION("""COMPUTED_VALUE"""),"Laila Maisuria")</f>
        <v>Laila Maisuria</v>
      </c>
      <c r="C208" s="136" t="b">
        <f t="shared" si="3"/>
        <v>0</v>
      </c>
      <c r="D208" s="137">
        <f>IFERROR(__xludf.DUMMYFUNCTION("""COMPUTED_VALUE"""),0.7513888888934162)</f>
        <v>0.7513888889</v>
      </c>
      <c r="E208" s="106">
        <f>IFERROR(__xludf.DUMMYFUNCTION("""COMPUTED_VALUE"""),0.11944444444088731)</f>
        <v>0.1194444444</v>
      </c>
      <c r="F208" s="137">
        <f>IFERROR(__xludf.DUMMYFUNCTION("""COMPUTED_VALUE"""),0.8708333333343035)</f>
        <v>0.8708333333</v>
      </c>
      <c r="G208" s="106">
        <v>0.11944444444088731</v>
      </c>
      <c r="H208" s="136">
        <f>IFERROR(__xludf.DUMMYFUNCTION("""COMPUTED_VALUE"""),123.0)</f>
        <v>123</v>
      </c>
      <c r="I208" s="139">
        <v>42.906976745463844</v>
      </c>
      <c r="J208" s="136" t="s">
        <v>18</v>
      </c>
      <c r="K208" s="146">
        <f>IFERROR(__xludf.DUMMYFUNCTION("""COMPUTED_VALUE"""),46112.0)</f>
        <v>46112</v>
      </c>
      <c r="L208" s="136" t="str">
        <f t="shared" si="1"/>
        <v>Tuesday</v>
      </c>
      <c r="M208" s="136" t="str">
        <f>IFERROR(__xludf.DUMMYFUNCTION("""COMPUTED_VALUE"""),"MF")</f>
        <v>MF</v>
      </c>
      <c r="N208" s="141">
        <v>0.8974580108555326</v>
      </c>
      <c r="O208" s="136">
        <f>IFERROR(__xludf.DUMMYFUNCTION("""COMPUTED_VALUE"""),414.0)</f>
        <v>414</v>
      </c>
      <c r="P208" s="136">
        <f>IFERROR(__xludf.DUMMYFUNCTION("""COMPUTED_VALUE"""),325.0)</f>
        <v>325</v>
      </c>
      <c r="Q208" s="106">
        <f>IFERROR(__xludf.DUMMYFUNCTION("""COMPUTED_VALUE"""),0.24999999999272404)</f>
        <v>0.25</v>
      </c>
      <c r="R208" s="106">
        <f>IFERROR(__xludf.DUMMYFUNCTION("""COMPUTED_VALUE"""),0.2618055555576575)</f>
        <v>0.2618055556</v>
      </c>
      <c r="S208" s="139">
        <f>IFERROR(__xludf.DUMMYFUNCTION("""COMPUTED_VALUE"""),67.8896585868206)</f>
        <v>67.88965859</v>
      </c>
      <c r="T208" s="139">
        <f>IFERROR(__xludf.DUMMYFUNCTION("""COMPUTED_VALUE"""),52.50378282143985)</f>
        <v>52.50378282</v>
      </c>
      <c r="U208" s="136">
        <f>IFERROR(__xludf.DUMMYFUNCTION("""COMPUTED_VALUE"""),739.0)</f>
        <v>739</v>
      </c>
      <c r="V208" s="106">
        <f>IFERROR(__xludf.DUMMYFUNCTION("""COMPUTED_VALUE"""),0.5118055555503815)</f>
        <v>0.5118055556</v>
      </c>
      <c r="W208" s="143">
        <f t="shared" si="2"/>
        <v>60.16282225</v>
      </c>
      <c r="X208" s="139">
        <f>IFERROR(__xludf.DUMMYFUNCTION("""COMPUTED_VALUE"""),58.658133127592144)</f>
        <v>58.65813313</v>
      </c>
      <c r="Y208" s="141">
        <f>IFERROR(__xludf.DUMMYFUNCTION("""COMPUTED_VALUE"""),0.8578219300411227)</f>
        <v>0.85782193</v>
      </c>
    </row>
    <row r="209">
      <c r="A209" s="144">
        <f>IFERROR(__xludf.DUMMYFUNCTION("""COMPUTED_VALUE"""),46113.41686265046)</f>
        <v>46113.41686</v>
      </c>
      <c r="B209" s="136" t="str">
        <f>IFERROR(__xludf.DUMMYFUNCTION("""COMPUTED_VALUE"""),"Kaylie Forgue")</f>
        <v>Kaylie Forgue</v>
      </c>
      <c r="C209" s="136" t="b">
        <f t="shared" si="3"/>
        <v>0</v>
      </c>
      <c r="D209" s="137">
        <f>IFERROR(__xludf.DUMMYFUNCTION("""COMPUTED_VALUE"""),0.35416666666424135)</f>
        <v>0.3541666667</v>
      </c>
      <c r="E209" s="106">
        <f>IFERROR(__xludf.DUMMYFUNCTION("""COMPUTED_VALUE"""),0.041666666671517305)</f>
        <v>0.04166666667</v>
      </c>
      <c r="F209" s="137">
        <f>IFERROR(__xludf.DUMMYFUNCTION("""COMPUTED_VALUE"""),0.39583333333575865)</f>
        <v>0.3958333333</v>
      </c>
      <c r="G209" s="106">
        <v>0.07013888889196096</v>
      </c>
      <c r="H209" s="136">
        <f>IFERROR(__xludf.DUMMYFUNCTION("""COMPUTED_VALUE"""),64.0)</f>
        <v>64</v>
      </c>
      <c r="I209" s="139">
        <v>52.87128712639712</v>
      </c>
      <c r="J209" s="136" t="s">
        <v>12</v>
      </c>
      <c r="K209" s="146">
        <f>IFERROR(__xludf.DUMMYFUNCTION("""COMPUTED_VALUE"""),46113.0)</f>
        <v>46113</v>
      </c>
      <c r="L209" s="136" t="str">
        <f t="shared" si="1"/>
        <v>Wednesday</v>
      </c>
      <c r="M209" s="136" t="str">
        <f>IFERROR(__xludf.DUMMYFUNCTION("""COMPUTED_VALUE"""),"BF")</f>
        <v>BF</v>
      </c>
      <c r="N209" s="141">
        <v>1.8649056842954561</v>
      </c>
      <c r="O209" s="136" t="str">
        <f>IFERROR(__xludf.DUMMYFUNCTION("""COMPUTED_VALUE"""),"")</f>
        <v/>
      </c>
      <c r="P209" s="136" t="str">
        <f>IFERROR(__xludf.DUMMYFUNCTION("""COMPUTED_VALUE"""),"")</f>
        <v/>
      </c>
      <c r="Q209" s="106" t="str">
        <f>IFERROR(__xludf.DUMMYFUNCTION("""COMPUTED_VALUE"""),"")</f>
        <v/>
      </c>
      <c r="R209" s="106" t="str">
        <f>IFERROR(__xludf.DUMMYFUNCTION("""COMPUTED_VALUE"""),"")</f>
        <v/>
      </c>
      <c r="S209" s="139" t="str">
        <f>IFERROR(__xludf.DUMMYFUNCTION("""COMPUTED_VALUE"""),"")</f>
        <v/>
      </c>
      <c r="T209" s="139" t="str">
        <f>IFERROR(__xludf.DUMMYFUNCTION("""COMPUTED_VALUE"""),"")</f>
        <v/>
      </c>
      <c r="U209" s="136" t="str">
        <f>IFERROR(__xludf.DUMMYFUNCTION("""COMPUTED_VALUE"""),"")</f>
        <v/>
      </c>
      <c r="V209" s="106" t="str">
        <f>IFERROR(__xludf.DUMMYFUNCTION("""COMPUTED_VALUE"""),"")</f>
        <v/>
      </c>
      <c r="W209" s="143" t="str">
        <f t="shared" si="2"/>
        <v/>
      </c>
      <c r="X209" s="139" t="str">
        <f>IFERROR(__xludf.DUMMYFUNCTION("""COMPUTED_VALUE"""),"")</f>
        <v/>
      </c>
      <c r="Y209" s="141" t="str">
        <f>IFERROR(__xludf.DUMMYFUNCTION("""COMPUTED_VALUE"""),"")</f>
        <v/>
      </c>
    </row>
    <row r="210">
      <c r="A210" s="144">
        <f>IFERROR(__xludf.DUMMYFUNCTION("""COMPUTED_VALUE"""),46113.429830925925)</f>
        <v>46113.42983</v>
      </c>
      <c r="B210" s="136" t="str">
        <f>IFERROR(__xludf.DUMMYFUNCTION("""COMPUTED_VALUE"""),"Kaylie Forgue")</f>
        <v>Kaylie Forgue</v>
      </c>
      <c r="C210" s="136" t="b">
        <f t="shared" si="3"/>
        <v>1</v>
      </c>
      <c r="D210" s="137">
        <f>IFERROR(__xludf.DUMMYFUNCTION("""COMPUTED_VALUE"""),0.39722222222189885)</f>
        <v>0.3972222222</v>
      </c>
      <c r="E210" s="106">
        <f>IFERROR(__xludf.DUMMYFUNCTION("""COMPUTED_VALUE"""),0.028472222220443655)</f>
        <v>0.02847222222</v>
      </c>
      <c r="F210" s="137">
        <f>IFERROR(__xludf.DUMMYFUNCTION("""COMPUTED_VALUE"""),0.4256944444423425)</f>
        <v>0.4256944444</v>
      </c>
      <c r="G210" s="106" t="s">
        <v>133</v>
      </c>
      <c r="H210" s="136">
        <f>IFERROR(__xludf.DUMMYFUNCTION("""COMPUTED_VALUE"""),25.0)</f>
        <v>25</v>
      </c>
      <c r="I210" s="139" t="s">
        <v>133</v>
      </c>
      <c r="J210" s="136" t="s">
        <v>12</v>
      </c>
      <c r="K210" s="146">
        <f>IFERROR(__xludf.DUMMYFUNCTION("""COMPUTED_VALUE"""),46113.0)</f>
        <v>46113</v>
      </c>
      <c r="L210" s="136" t="str">
        <f t="shared" si="1"/>
        <v>Wednesday</v>
      </c>
      <c r="M210" s="136" t="str">
        <f>IFERROR(__xludf.DUMMYFUNCTION("""COMPUTED_VALUE"""),"BF")</f>
        <v>BF</v>
      </c>
      <c r="N210" s="141" t="s">
        <v>133</v>
      </c>
      <c r="O210" s="136" t="str">
        <f>IFERROR(__xludf.DUMMYFUNCTION("""COMPUTED_VALUE"""),"")</f>
        <v/>
      </c>
      <c r="P210" s="136" t="str">
        <f>IFERROR(__xludf.DUMMYFUNCTION("""COMPUTED_VALUE"""),"")</f>
        <v/>
      </c>
      <c r="Q210" s="106" t="str">
        <f>IFERROR(__xludf.DUMMYFUNCTION("""COMPUTED_VALUE"""),"")</f>
        <v/>
      </c>
      <c r="R210" s="106" t="str">
        <f>IFERROR(__xludf.DUMMYFUNCTION("""COMPUTED_VALUE"""),"")</f>
        <v/>
      </c>
      <c r="S210" s="139" t="str">
        <f>IFERROR(__xludf.DUMMYFUNCTION("""COMPUTED_VALUE"""),"")</f>
        <v/>
      </c>
      <c r="T210" s="139" t="str">
        <f>IFERROR(__xludf.DUMMYFUNCTION("""COMPUTED_VALUE"""),"")</f>
        <v/>
      </c>
      <c r="U210" s="136" t="str">
        <f>IFERROR(__xludf.DUMMYFUNCTION("""COMPUTED_VALUE"""),"")</f>
        <v/>
      </c>
      <c r="V210" s="106" t="str">
        <f>IFERROR(__xludf.DUMMYFUNCTION("""COMPUTED_VALUE"""),"")</f>
        <v/>
      </c>
      <c r="W210" s="143" t="str">
        <f t="shared" si="2"/>
        <v/>
      </c>
      <c r="X210" s="139" t="str">
        <f>IFERROR(__xludf.DUMMYFUNCTION("""COMPUTED_VALUE"""),"")</f>
        <v/>
      </c>
      <c r="Y210" s="141" t="str">
        <f>IFERROR(__xludf.DUMMYFUNCTION("""COMPUTED_VALUE"""),"")</f>
        <v/>
      </c>
    </row>
    <row r="211">
      <c r="A211" s="144">
        <f>IFERROR(__xludf.DUMMYFUNCTION("""COMPUTED_VALUE"""),46113.47961943287)</f>
        <v>46113.47962</v>
      </c>
      <c r="B211" s="136" t="str">
        <f>IFERROR(__xludf.DUMMYFUNCTION("""COMPUTED_VALUE"""),"Oluwatimilehin Shodipe")</f>
        <v>Oluwatimilehin Shodipe</v>
      </c>
      <c r="C211" s="136" t="b">
        <f t="shared" si="3"/>
        <v>0</v>
      </c>
      <c r="D211" s="137">
        <f>IFERROR(__xludf.DUMMYFUNCTION("""COMPUTED_VALUE"""),0.4305555555547471)</f>
        <v>0.4305555556</v>
      </c>
      <c r="E211" s="106">
        <f>IFERROR(__xludf.DUMMYFUNCTION("""COMPUTED_VALUE"""),0.04861111110949423)</f>
        <v>0.04861111111</v>
      </c>
      <c r="F211" s="137">
        <f>IFERROR(__xludf.DUMMYFUNCTION("""COMPUTED_VALUE"""),0.47916666666424135)</f>
        <v>0.4791666667</v>
      </c>
      <c r="G211" s="106">
        <v>0.04861111110949423</v>
      </c>
      <c r="H211" s="136">
        <f>IFERROR(__xludf.DUMMYFUNCTION("""COMPUTED_VALUE"""),39.0)</f>
        <v>39</v>
      </c>
      <c r="I211" s="139">
        <v>33.428571429683316</v>
      </c>
      <c r="J211" s="136" t="s">
        <v>134</v>
      </c>
      <c r="K211" s="146">
        <f>IFERROR(__xludf.DUMMYFUNCTION("""COMPUTED_VALUE"""),46113.0)</f>
        <v>46113</v>
      </c>
      <c r="L211" s="136" t="str">
        <f t="shared" si="1"/>
        <v>Wednesday</v>
      </c>
      <c r="M211" s="136" t="str">
        <f>IFERROR(__xludf.DUMMYFUNCTION("""COMPUTED_VALUE"""),"BF")</f>
        <v>BF</v>
      </c>
      <c r="N211" s="141">
        <v>0.8856387599133927</v>
      </c>
      <c r="O211" s="136" t="str">
        <f>IFERROR(__xludf.DUMMYFUNCTION("""COMPUTED_VALUE"""),"")</f>
        <v/>
      </c>
      <c r="P211" s="136" t="str">
        <f>IFERROR(__xludf.DUMMYFUNCTION("""COMPUTED_VALUE"""),"")</f>
        <v/>
      </c>
      <c r="Q211" s="106" t="str">
        <f>IFERROR(__xludf.DUMMYFUNCTION("""COMPUTED_VALUE"""),"")</f>
        <v/>
      </c>
      <c r="R211" s="106" t="str">
        <f>IFERROR(__xludf.DUMMYFUNCTION("""COMPUTED_VALUE"""),"")</f>
        <v/>
      </c>
      <c r="S211" s="139" t="str">
        <f>IFERROR(__xludf.DUMMYFUNCTION("""COMPUTED_VALUE"""),"")</f>
        <v/>
      </c>
      <c r="T211" s="139" t="str">
        <f>IFERROR(__xludf.DUMMYFUNCTION("""COMPUTED_VALUE"""),"")</f>
        <v/>
      </c>
      <c r="U211" s="136" t="str">
        <f>IFERROR(__xludf.DUMMYFUNCTION("""COMPUTED_VALUE"""),"")</f>
        <v/>
      </c>
      <c r="V211" s="106" t="str">
        <f>IFERROR(__xludf.DUMMYFUNCTION("""COMPUTED_VALUE"""),"")</f>
        <v/>
      </c>
      <c r="W211" s="143" t="str">
        <f t="shared" si="2"/>
        <v/>
      </c>
      <c r="X211" s="139" t="str">
        <f>IFERROR(__xludf.DUMMYFUNCTION("""COMPUTED_VALUE"""),"")</f>
        <v/>
      </c>
      <c r="Y211" s="141" t="str">
        <f>IFERROR(__xludf.DUMMYFUNCTION("""COMPUTED_VALUE"""),"")</f>
        <v/>
      </c>
    </row>
    <row r="212">
      <c r="A212" s="144">
        <f>IFERROR(__xludf.DUMMYFUNCTION("""COMPUTED_VALUE"""),46113.5069692824)</f>
        <v>46113.50697</v>
      </c>
      <c r="B212" s="136" t="str">
        <f>IFERROR(__xludf.DUMMYFUNCTION("""COMPUTED_VALUE"""),"Oluwatimilehin Shodipe")</f>
        <v>Oluwatimilehin Shodipe</v>
      </c>
      <c r="C212" s="136" t="b">
        <f t="shared" si="3"/>
        <v>0</v>
      </c>
      <c r="D212" s="137">
        <f>IFERROR(__xludf.DUMMYFUNCTION("""COMPUTED_VALUE"""),0.48611111110949423)</f>
        <v>0.4861111111</v>
      </c>
      <c r="E212" s="106">
        <f>IFERROR(__xludf.DUMMYFUNCTION("""COMPUTED_VALUE"""),0.020833333335758653)</f>
        <v>0.02083333334</v>
      </c>
      <c r="F212" s="137">
        <f>IFERROR(__xludf.DUMMYFUNCTION("""COMPUTED_VALUE"""),0.5069444444452529)</f>
        <v>0.5069444444</v>
      </c>
      <c r="G212" s="106">
        <v>0.020833333335758653</v>
      </c>
      <c r="H212" s="136">
        <f>IFERROR(__xludf.DUMMYFUNCTION("""COMPUTED_VALUE"""),10.0)</f>
        <v>10</v>
      </c>
      <c r="I212" s="139">
        <v>19.999999997671694</v>
      </c>
      <c r="J212" s="136" t="s">
        <v>15</v>
      </c>
      <c r="K212" s="146">
        <f>IFERROR(__xludf.DUMMYFUNCTION("""COMPUTED_VALUE"""),46113.0)</f>
        <v>46113</v>
      </c>
      <c r="L212" s="136" t="str">
        <f t="shared" si="1"/>
        <v>Wednesday</v>
      </c>
      <c r="M212" s="136" t="str">
        <f>IFERROR(__xludf.DUMMYFUNCTION("""COMPUTED_VALUE"""),"MF")</f>
        <v>MF</v>
      </c>
      <c r="N212" s="141">
        <v>0.3977922976342885</v>
      </c>
      <c r="O212" s="136" t="str">
        <f>IFERROR(__xludf.DUMMYFUNCTION("""COMPUTED_VALUE"""),"")</f>
        <v/>
      </c>
      <c r="P212" s="136" t="str">
        <f>IFERROR(__xludf.DUMMYFUNCTION("""COMPUTED_VALUE"""),"")</f>
        <v/>
      </c>
      <c r="Q212" s="106" t="str">
        <f>IFERROR(__xludf.DUMMYFUNCTION("""COMPUTED_VALUE"""),"")</f>
        <v/>
      </c>
      <c r="R212" s="106" t="str">
        <f>IFERROR(__xludf.DUMMYFUNCTION("""COMPUTED_VALUE"""),"")</f>
        <v/>
      </c>
      <c r="S212" s="139" t="str">
        <f>IFERROR(__xludf.DUMMYFUNCTION("""COMPUTED_VALUE"""),"")</f>
        <v/>
      </c>
      <c r="T212" s="139" t="str">
        <f>IFERROR(__xludf.DUMMYFUNCTION("""COMPUTED_VALUE"""),"")</f>
        <v/>
      </c>
      <c r="U212" s="136" t="str">
        <f>IFERROR(__xludf.DUMMYFUNCTION("""COMPUTED_VALUE"""),"")</f>
        <v/>
      </c>
      <c r="V212" s="106" t="str">
        <f>IFERROR(__xludf.DUMMYFUNCTION("""COMPUTED_VALUE"""),"")</f>
        <v/>
      </c>
      <c r="W212" s="143" t="str">
        <f t="shared" si="2"/>
        <v/>
      </c>
      <c r="X212" s="139" t="str">
        <f>IFERROR(__xludf.DUMMYFUNCTION("""COMPUTED_VALUE"""),"")</f>
        <v/>
      </c>
      <c r="Y212" s="141" t="str">
        <f>IFERROR(__xludf.DUMMYFUNCTION("""COMPUTED_VALUE"""),"")</f>
        <v/>
      </c>
    </row>
    <row r="213">
      <c r="A213" s="144">
        <f>IFERROR(__xludf.DUMMYFUNCTION("""COMPUTED_VALUE"""),46113.620969375)</f>
        <v>46113.62097</v>
      </c>
      <c r="B213" s="136" t="str">
        <f>IFERROR(__xludf.DUMMYFUNCTION("""COMPUTED_VALUE"""),"Evan Morgan")</f>
        <v>Evan Morgan</v>
      </c>
      <c r="C213" s="136" t="b">
        <f t="shared" si="3"/>
        <v>0</v>
      </c>
      <c r="D213" s="137">
        <f>IFERROR(__xludf.DUMMYFUNCTION("""COMPUTED_VALUE"""),0.5416666666642413)</f>
        <v>0.5416666667</v>
      </c>
      <c r="E213" s="106">
        <f>IFERROR(__xludf.DUMMYFUNCTION("""COMPUTED_VALUE"""),0.07986111111677019)</f>
        <v>0.07986111112</v>
      </c>
      <c r="F213" s="137">
        <f>IFERROR(__xludf.DUMMYFUNCTION("""COMPUTED_VALUE"""),0.6215277777810115)</f>
        <v>0.6215277778</v>
      </c>
      <c r="G213" s="106">
        <v>0.07986111111677019</v>
      </c>
      <c r="H213" s="136">
        <f>IFERROR(__xludf.DUMMYFUNCTION("""COMPUTED_VALUE"""),85.0)</f>
        <v>85</v>
      </c>
      <c r="I213" s="139">
        <v>44.34782608381397</v>
      </c>
      <c r="J213" s="136" t="s">
        <v>15</v>
      </c>
      <c r="K213" s="146">
        <f>IFERROR(__xludf.DUMMYFUNCTION("""COMPUTED_VALUE"""),46113.0)</f>
        <v>46113</v>
      </c>
      <c r="L213" s="136" t="str">
        <f t="shared" si="1"/>
        <v>Wednesday</v>
      </c>
      <c r="M213" s="136" t="str">
        <f>IFERROR(__xludf.DUMMYFUNCTION("""COMPUTED_VALUE"""),"MF")</f>
        <v>MF</v>
      </c>
      <c r="N213" s="141">
        <v>0.882061181750995</v>
      </c>
      <c r="O213" s="136" t="str">
        <f>IFERROR(__xludf.DUMMYFUNCTION("""COMPUTED_VALUE"""),"")</f>
        <v/>
      </c>
      <c r="P213" s="136" t="str">
        <f>IFERROR(__xludf.DUMMYFUNCTION("""COMPUTED_VALUE"""),"")</f>
        <v/>
      </c>
      <c r="Q213" s="106" t="str">
        <f>IFERROR(__xludf.DUMMYFUNCTION("""COMPUTED_VALUE"""),"")</f>
        <v/>
      </c>
      <c r="R213" s="106" t="str">
        <f>IFERROR(__xludf.DUMMYFUNCTION("""COMPUTED_VALUE"""),"")</f>
        <v/>
      </c>
      <c r="S213" s="139" t="str">
        <f>IFERROR(__xludf.DUMMYFUNCTION("""COMPUTED_VALUE"""),"")</f>
        <v/>
      </c>
      <c r="T213" s="139" t="str">
        <f>IFERROR(__xludf.DUMMYFUNCTION("""COMPUTED_VALUE"""),"")</f>
        <v/>
      </c>
      <c r="U213" s="136" t="str">
        <f>IFERROR(__xludf.DUMMYFUNCTION("""COMPUTED_VALUE"""),"")</f>
        <v/>
      </c>
      <c r="V213" s="106" t="str">
        <f>IFERROR(__xludf.DUMMYFUNCTION("""COMPUTED_VALUE"""),"")</f>
        <v/>
      </c>
      <c r="W213" s="143" t="str">
        <f t="shared" si="2"/>
        <v/>
      </c>
      <c r="X213" s="139" t="str">
        <f>IFERROR(__xludf.DUMMYFUNCTION("""COMPUTED_VALUE"""),"")</f>
        <v/>
      </c>
      <c r="Y213" s="141" t="str">
        <f>IFERROR(__xludf.DUMMYFUNCTION("""COMPUTED_VALUE"""),"")</f>
        <v/>
      </c>
    </row>
    <row r="214">
      <c r="A214" s="144">
        <f>IFERROR(__xludf.DUMMYFUNCTION("""COMPUTED_VALUE"""),46113.74422075231)</f>
        <v>46113.74422</v>
      </c>
      <c r="B214" s="136" t="str">
        <f>IFERROR(__xludf.DUMMYFUNCTION("""COMPUTED_VALUE"""),"Evan Morgan")</f>
        <v>Evan Morgan</v>
      </c>
      <c r="C214" s="136" t="b">
        <f t="shared" si="3"/>
        <v>0</v>
      </c>
      <c r="D214" s="137">
        <f>IFERROR(__xludf.DUMMYFUNCTION("""COMPUTED_VALUE"""),0.6666666666642413)</f>
        <v>0.6666666667</v>
      </c>
      <c r="E214" s="106">
        <f>IFERROR(__xludf.DUMMYFUNCTION("""COMPUTED_VALUE"""),0.06944444444525288)</f>
        <v>0.06944444445</v>
      </c>
      <c r="F214" s="137">
        <f>IFERROR(__xludf.DUMMYFUNCTION("""COMPUTED_VALUE"""),0.7361111111094942)</f>
        <v>0.7361111111</v>
      </c>
      <c r="G214" s="106">
        <v>0.06944444444525288</v>
      </c>
      <c r="H214" s="136">
        <f>IFERROR(__xludf.DUMMYFUNCTION("""COMPUTED_VALUE"""),53.0)</f>
        <v>53</v>
      </c>
      <c r="I214" s="139">
        <v>31.7999999996298</v>
      </c>
      <c r="J214" s="136" t="s">
        <v>18</v>
      </c>
      <c r="K214" s="146">
        <f>IFERROR(__xludf.DUMMYFUNCTION("""COMPUTED_VALUE"""),46113.0)</f>
        <v>46113</v>
      </c>
      <c r="L214" s="136" t="str">
        <f t="shared" si="1"/>
        <v>Wednesday</v>
      </c>
      <c r="M214" s="136" t="str">
        <f>IFERROR(__xludf.DUMMYFUNCTION("""COMPUTED_VALUE"""),"MF")</f>
        <v>MF</v>
      </c>
      <c r="N214" s="141">
        <v>0.6651404249284676</v>
      </c>
      <c r="O214" s="136" t="str">
        <f>IFERROR(__xludf.DUMMYFUNCTION("""COMPUTED_VALUE"""),"")</f>
        <v/>
      </c>
      <c r="P214" s="136" t="str">
        <f>IFERROR(__xludf.DUMMYFUNCTION("""COMPUTED_VALUE"""),"")</f>
        <v/>
      </c>
      <c r="Q214" s="106" t="str">
        <f>IFERROR(__xludf.DUMMYFUNCTION("""COMPUTED_VALUE"""),"")</f>
        <v/>
      </c>
      <c r="R214" s="106" t="str">
        <f>IFERROR(__xludf.DUMMYFUNCTION("""COMPUTED_VALUE"""),"")</f>
        <v/>
      </c>
      <c r="S214" s="139" t="str">
        <f>IFERROR(__xludf.DUMMYFUNCTION("""COMPUTED_VALUE"""),"")</f>
        <v/>
      </c>
      <c r="T214" s="139" t="str">
        <f>IFERROR(__xludf.DUMMYFUNCTION("""COMPUTED_VALUE"""),"")</f>
        <v/>
      </c>
      <c r="U214" s="136" t="str">
        <f>IFERROR(__xludf.DUMMYFUNCTION("""COMPUTED_VALUE"""),"")</f>
        <v/>
      </c>
      <c r="V214" s="106" t="str">
        <f>IFERROR(__xludf.DUMMYFUNCTION("""COMPUTED_VALUE"""),"")</f>
        <v/>
      </c>
      <c r="W214" s="143" t="str">
        <f t="shared" si="2"/>
        <v/>
      </c>
      <c r="X214" s="139" t="str">
        <f>IFERROR(__xludf.DUMMYFUNCTION("""COMPUTED_VALUE"""),"")</f>
        <v/>
      </c>
      <c r="Y214" s="141" t="str">
        <f>IFERROR(__xludf.DUMMYFUNCTION("""COMPUTED_VALUE"""),"")</f>
        <v/>
      </c>
    </row>
    <row r="215">
      <c r="A215" s="144">
        <f>IFERROR(__xludf.DUMMYFUNCTION("""COMPUTED_VALUE"""),46113.84846659722)</f>
        <v>46113.84847</v>
      </c>
      <c r="B215" s="136" t="str">
        <f>IFERROR(__xludf.DUMMYFUNCTION("""COMPUTED_VALUE"""),"Maureen Surgot")</f>
        <v>Maureen Surgot</v>
      </c>
      <c r="C215" s="136" t="b">
        <f t="shared" si="3"/>
        <v>0</v>
      </c>
      <c r="D215" s="137">
        <f>IFERROR(__xludf.DUMMYFUNCTION("""COMPUTED_VALUE"""),0.6875)</f>
        <v>0.6875</v>
      </c>
      <c r="E215" s="106">
        <f>IFERROR(__xludf.DUMMYFUNCTION("""COMPUTED_VALUE"""),0.16666666666424135)</f>
        <v>0.1666666667</v>
      </c>
      <c r="F215" s="137">
        <f>IFERROR(__xludf.DUMMYFUNCTION("""COMPUTED_VALUE"""),0.8541666666642413)</f>
        <v>0.8541666667</v>
      </c>
      <c r="G215" s="106">
        <v>0.16666666666424135</v>
      </c>
      <c r="H215" s="136">
        <f>IFERROR(__xludf.DUMMYFUNCTION("""COMPUTED_VALUE"""),157.0)</f>
        <v>157</v>
      </c>
      <c r="I215" s="139">
        <v>39.25000000057116</v>
      </c>
      <c r="J215" s="136" t="s">
        <v>18</v>
      </c>
      <c r="K215" s="146">
        <f>IFERROR(__xludf.DUMMYFUNCTION("""COMPUTED_VALUE"""),46113.0)</f>
        <v>46113</v>
      </c>
      <c r="L215" s="136" t="str">
        <f t="shared" si="1"/>
        <v>Wednesday</v>
      </c>
      <c r="M215" s="136" t="str">
        <f>IFERROR(__xludf.DUMMYFUNCTION("""COMPUTED_VALUE"""),"BF")</f>
        <v>BF</v>
      </c>
      <c r="N215" s="141">
        <v>0.8833759590792838</v>
      </c>
      <c r="O215" s="136" t="str">
        <f>IFERROR(__xludf.DUMMYFUNCTION("""COMPUTED_VALUE"""),"")</f>
        <v/>
      </c>
      <c r="P215" s="136" t="str">
        <f>IFERROR(__xludf.DUMMYFUNCTION("""COMPUTED_VALUE"""),"")</f>
        <v/>
      </c>
      <c r="Q215" s="106" t="str">
        <f>IFERROR(__xludf.DUMMYFUNCTION("""COMPUTED_VALUE"""),"")</f>
        <v/>
      </c>
      <c r="R215" s="106" t="str">
        <f>IFERROR(__xludf.DUMMYFUNCTION("""COMPUTED_VALUE"""),"")</f>
        <v/>
      </c>
      <c r="S215" s="139" t="str">
        <f>IFERROR(__xludf.DUMMYFUNCTION("""COMPUTED_VALUE"""),"")</f>
        <v/>
      </c>
      <c r="T215" s="139" t="str">
        <f>IFERROR(__xludf.DUMMYFUNCTION("""COMPUTED_VALUE"""),"")</f>
        <v/>
      </c>
      <c r="U215" s="136" t="str">
        <f>IFERROR(__xludf.DUMMYFUNCTION("""COMPUTED_VALUE"""),"")</f>
        <v/>
      </c>
      <c r="V215" s="106" t="str">
        <f>IFERROR(__xludf.DUMMYFUNCTION("""COMPUTED_VALUE"""),"")</f>
        <v/>
      </c>
      <c r="W215" s="143" t="str">
        <f t="shared" si="2"/>
        <v/>
      </c>
      <c r="X215" s="139" t="str">
        <f>IFERROR(__xludf.DUMMYFUNCTION("""COMPUTED_VALUE"""),"")</f>
        <v/>
      </c>
      <c r="Y215" s="141" t="str">
        <f>IFERROR(__xludf.DUMMYFUNCTION("""COMPUTED_VALUE"""),"")</f>
        <v/>
      </c>
    </row>
    <row r="216">
      <c r="A216" s="144">
        <f>IFERROR(__xludf.DUMMYFUNCTION("""COMPUTED_VALUE"""),46113.87115238426)</f>
        <v>46113.87115</v>
      </c>
      <c r="B216" s="136" t="str">
        <f>IFERROR(__xludf.DUMMYFUNCTION("""COMPUTED_VALUE"""),"Brynn Hornig")</f>
        <v>Brynn Hornig</v>
      </c>
      <c r="C216" s="136" t="b">
        <f t="shared" si="3"/>
        <v>0</v>
      </c>
      <c r="D216" s="137">
        <f>IFERROR(__xludf.DUMMYFUNCTION("""COMPUTED_VALUE"""),0.75)</f>
        <v>0.75</v>
      </c>
      <c r="E216" s="106">
        <f>IFERROR(__xludf.DUMMYFUNCTION("""COMPUTED_VALUE"""),0.125)</f>
        <v>0.125</v>
      </c>
      <c r="F216" s="137">
        <f>IFERROR(__xludf.DUMMYFUNCTION("""COMPUTED_VALUE"""),0.875)</f>
        <v>0.875</v>
      </c>
      <c r="G216" s="106">
        <v>0.125</v>
      </c>
      <c r="H216" s="136">
        <f>IFERROR(__xludf.DUMMYFUNCTION("""COMPUTED_VALUE"""),114.0)</f>
        <v>114</v>
      </c>
      <c r="I216" s="139">
        <v>38.0</v>
      </c>
      <c r="J216" s="136" t="s">
        <v>18</v>
      </c>
      <c r="K216" s="146">
        <f>IFERROR(__xludf.DUMMYFUNCTION("""COMPUTED_VALUE"""),46113.0)</f>
        <v>46113</v>
      </c>
      <c r="L216" s="136" t="str">
        <f t="shared" si="1"/>
        <v>Wednesday</v>
      </c>
      <c r="M216" s="136" t="str">
        <f>IFERROR(__xludf.DUMMYFUNCTION("""COMPUTED_VALUE"""),"MF")</f>
        <v>MF</v>
      </c>
      <c r="N216" s="141">
        <v>0.7948218914332079</v>
      </c>
      <c r="O216" s="136">
        <f>IFERROR(__xludf.DUMMYFUNCTION("""COMPUTED_VALUE"""),262.0)</f>
        <v>262</v>
      </c>
      <c r="P216" s="136">
        <f>IFERROR(__xludf.DUMMYFUNCTION("""COMPUTED_VALUE"""),285.0)</f>
        <v>285</v>
      </c>
      <c r="Q216" s="106">
        <f>IFERROR(__xludf.DUMMYFUNCTION("""COMPUTED_VALUE"""),0.2951388888977817)</f>
        <v>0.2951388889</v>
      </c>
      <c r="R216" s="106">
        <f>IFERROR(__xludf.DUMMYFUNCTION("""COMPUTED_VALUE"""),0.28541666666569654)</f>
        <v>0.2854166667</v>
      </c>
      <c r="S216" s="139">
        <f>IFERROR(__xludf.DUMMYFUNCTION("""COMPUTED_VALUE"""),33.53695652027886)</f>
        <v>33.53695652</v>
      </c>
      <c r="T216" s="139">
        <f>IFERROR(__xludf.DUMMYFUNCTION("""COMPUTED_VALUE"""),41.8499528522172)</f>
        <v>41.84995285</v>
      </c>
      <c r="U216" s="136">
        <f>IFERROR(__xludf.DUMMYFUNCTION("""COMPUTED_VALUE"""),547.0)</f>
        <v>547</v>
      </c>
      <c r="V216" s="106">
        <f>IFERROR(__xludf.DUMMYFUNCTION("""COMPUTED_VALUE"""),0.5805555555634783)</f>
        <v>0.5805555556</v>
      </c>
      <c r="W216" s="143">
        <f t="shared" si="2"/>
        <v>39.25837321</v>
      </c>
      <c r="X216" s="139">
        <f>IFERROR(__xludf.DUMMYFUNCTION("""COMPUTED_VALUE"""),37.09966923396672)</f>
        <v>37.09966923</v>
      </c>
      <c r="Y216" s="141">
        <f>IFERROR(__xludf.DUMMYFUNCTION("""COMPUTED_VALUE"""),0.6746604340723796)</f>
        <v>0.6746604341</v>
      </c>
    </row>
    <row r="217">
      <c r="A217" s="144">
        <f>IFERROR(__xludf.DUMMYFUNCTION("""COMPUTED_VALUE"""),46114.36220990741)</f>
        <v>46114.36221</v>
      </c>
      <c r="B217" s="136" t="str">
        <f>IFERROR(__xludf.DUMMYFUNCTION("""COMPUTED_VALUE"""),"Evan Morgan")</f>
        <v>Evan Morgan</v>
      </c>
      <c r="C217" s="136" t="b">
        <f t="shared" si="3"/>
        <v>0</v>
      </c>
      <c r="D217" s="137">
        <f>IFERROR(__xludf.DUMMYFUNCTION("""COMPUTED_VALUE"""),0.29166666666424135)</f>
        <v>0.2916666667</v>
      </c>
      <c r="E217" s="106">
        <f>IFERROR(__xludf.DUMMYFUNCTION("""COMPUTED_VALUE"""),0.07013888889196096)</f>
        <v>0.07013888889</v>
      </c>
      <c r="F217" s="137">
        <f>IFERROR(__xludf.DUMMYFUNCTION("""COMPUTED_VALUE"""),0.3618055555562023)</f>
        <v>0.3618055556</v>
      </c>
      <c r="G217" s="106">
        <v>0.07013888889196096</v>
      </c>
      <c r="H217" s="136">
        <f>IFERROR(__xludf.DUMMYFUNCTION("""COMPUTED_VALUE"""),13.0)</f>
        <v>13</v>
      </c>
      <c r="I217" s="139">
        <v>7.722772276889467</v>
      </c>
      <c r="J217" s="136" t="s">
        <v>12</v>
      </c>
      <c r="K217" s="146">
        <f>IFERROR(__xludf.DUMMYFUNCTION("""COMPUTED_VALUE"""),46114.0)</f>
        <v>46114</v>
      </c>
      <c r="L217" s="136" t="str">
        <f t="shared" si="1"/>
        <v>Thursday</v>
      </c>
      <c r="M217" s="136" t="str">
        <f>IFERROR(__xludf.DUMMYFUNCTION("""COMPUTED_VALUE"""),"BF")</f>
        <v>BF</v>
      </c>
      <c r="N217" s="141">
        <v>0.27240195388585314</v>
      </c>
      <c r="O217" s="136" t="str">
        <f>IFERROR(__xludf.DUMMYFUNCTION("""COMPUTED_VALUE"""),"")</f>
        <v/>
      </c>
      <c r="P217" s="136" t="str">
        <f>IFERROR(__xludf.DUMMYFUNCTION("""COMPUTED_VALUE"""),"")</f>
        <v/>
      </c>
      <c r="Q217" s="106" t="str">
        <f>IFERROR(__xludf.DUMMYFUNCTION("""COMPUTED_VALUE"""),"")</f>
        <v/>
      </c>
      <c r="R217" s="106" t="str">
        <f>IFERROR(__xludf.DUMMYFUNCTION("""COMPUTED_VALUE"""),"")</f>
        <v/>
      </c>
      <c r="S217" s="139" t="str">
        <f>IFERROR(__xludf.DUMMYFUNCTION("""COMPUTED_VALUE"""),"")</f>
        <v/>
      </c>
      <c r="T217" s="139" t="str">
        <f>IFERROR(__xludf.DUMMYFUNCTION("""COMPUTED_VALUE"""),"")</f>
        <v/>
      </c>
      <c r="U217" s="136" t="str">
        <f>IFERROR(__xludf.DUMMYFUNCTION("""COMPUTED_VALUE"""),"")</f>
        <v/>
      </c>
      <c r="V217" s="106" t="str">
        <f>IFERROR(__xludf.DUMMYFUNCTION("""COMPUTED_VALUE"""),"")</f>
        <v/>
      </c>
      <c r="W217" s="143" t="str">
        <f t="shared" si="2"/>
        <v/>
      </c>
      <c r="X217" s="139" t="str">
        <f>IFERROR(__xludf.DUMMYFUNCTION("""COMPUTED_VALUE"""),"")</f>
        <v/>
      </c>
      <c r="Y217" s="141" t="str">
        <f>IFERROR(__xludf.DUMMYFUNCTION("""COMPUTED_VALUE"""),"")</f>
        <v/>
      </c>
    </row>
    <row r="218">
      <c r="A218" s="144">
        <f>IFERROR(__xludf.DUMMYFUNCTION("""COMPUTED_VALUE"""),46114.41925032408)</f>
        <v>46114.41925</v>
      </c>
      <c r="B218" s="136" t="str">
        <f>IFERROR(__xludf.DUMMYFUNCTION("""COMPUTED_VALUE"""),"Sophia Kluck")</f>
        <v>Sophia Kluck</v>
      </c>
      <c r="C218" s="136" t="b">
        <f t="shared" si="3"/>
        <v>0</v>
      </c>
      <c r="D218" s="137">
        <f>IFERROR(__xludf.DUMMYFUNCTION("""COMPUTED_VALUE"""),0.367361111115315)</f>
        <v>0.3673611111</v>
      </c>
      <c r="E218" s="106">
        <f>IFERROR(__xludf.DUMMYFUNCTION("""COMPUTED_VALUE"""),0.047916666662786156)</f>
        <v>0.04791666666</v>
      </c>
      <c r="F218" s="137">
        <f>IFERROR(__xludf.DUMMYFUNCTION("""COMPUTED_VALUE"""),0.41527777777810115)</f>
        <v>0.4152777778</v>
      </c>
      <c r="G218" s="106">
        <v>0.10833333332993789</v>
      </c>
      <c r="H218" s="136">
        <f>IFERROR(__xludf.DUMMYFUNCTION("""COMPUTED_VALUE"""),51.0)</f>
        <v>51</v>
      </c>
      <c r="I218" s="139">
        <v>36.153846154979306</v>
      </c>
      <c r="J218" s="136" t="s">
        <v>12</v>
      </c>
      <c r="K218" s="146">
        <f>IFERROR(__xludf.DUMMYFUNCTION("""COMPUTED_VALUE"""),46114.0)</f>
        <v>46114</v>
      </c>
      <c r="L218" s="136" t="str">
        <f t="shared" si="1"/>
        <v>Thursday</v>
      </c>
      <c r="M218" s="136" t="str">
        <f>IFERROR(__xludf.DUMMYFUNCTION("""COMPUTED_VALUE"""),"BF")</f>
        <v>BF</v>
      </c>
      <c r="N218" s="141">
        <v>1.2752387329322592</v>
      </c>
      <c r="O218" s="136" t="str">
        <f>IFERROR(__xludf.DUMMYFUNCTION("""COMPUTED_VALUE"""),"")</f>
        <v/>
      </c>
      <c r="P218" s="136" t="str">
        <f>IFERROR(__xludf.DUMMYFUNCTION("""COMPUTED_VALUE"""),"")</f>
        <v/>
      </c>
      <c r="Q218" s="106" t="str">
        <f>IFERROR(__xludf.DUMMYFUNCTION("""COMPUTED_VALUE"""),"")</f>
        <v/>
      </c>
      <c r="R218" s="106" t="str">
        <f>IFERROR(__xludf.DUMMYFUNCTION("""COMPUTED_VALUE"""),"")</f>
        <v/>
      </c>
      <c r="S218" s="139" t="str">
        <f>IFERROR(__xludf.DUMMYFUNCTION("""COMPUTED_VALUE"""),"")</f>
        <v/>
      </c>
      <c r="T218" s="139" t="str">
        <f>IFERROR(__xludf.DUMMYFUNCTION("""COMPUTED_VALUE"""),"")</f>
        <v/>
      </c>
      <c r="U218" s="136" t="str">
        <f>IFERROR(__xludf.DUMMYFUNCTION("""COMPUTED_VALUE"""),"")</f>
        <v/>
      </c>
      <c r="V218" s="106" t="str">
        <f>IFERROR(__xludf.DUMMYFUNCTION("""COMPUTED_VALUE"""),"")</f>
        <v/>
      </c>
      <c r="W218" s="143" t="str">
        <f t="shared" si="2"/>
        <v/>
      </c>
      <c r="X218" s="139" t="str">
        <f>IFERROR(__xludf.DUMMYFUNCTION("""COMPUTED_VALUE"""),"")</f>
        <v/>
      </c>
      <c r="Y218" s="141" t="str">
        <f>IFERROR(__xludf.DUMMYFUNCTION("""COMPUTED_VALUE"""),"")</f>
        <v/>
      </c>
    </row>
    <row r="219">
      <c r="A219" s="144">
        <f>IFERROR(__xludf.DUMMYFUNCTION("""COMPUTED_VALUE"""),46114.47944314815)</f>
        <v>46114.47944</v>
      </c>
      <c r="B219" s="136" t="str">
        <f>IFERROR(__xludf.DUMMYFUNCTION("""COMPUTED_VALUE"""),"Sophia Kluck")</f>
        <v>Sophia Kluck</v>
      </c>
      <c r="C219" s="136" t="b">
        <f t="shared" si="3"/>
        <v>1</v>
      </c>
      <c r="D219" s="137">
        <f>IFERROR(__xludf.DUMMYFUNCTION("""COMPUTED_VALUE"""),0.4173611111109494)</f>
        <v>0.4173611111</v>
      </c>
      <c r="E219" s="106">
        <f>IFERROR(__xludf.DUMMYFUNCTION("""COMPUTED_VALUE"""),0.06041666666715173)</f>
        <v>0.06041666667</v>
      </c>
      <c r="F219" s="137">
        <f>IFERROR(__xludf.DUMMYFUNCTION("""COMPUTED_VALUE"""),0.47777777777810115)</f>
        <v>0.4777777778</v>
      </c>
      <c r="G219" s="106" t="s">
        <v>133</v>
      </c>
      <c r="H219" s="136">
        <f>IFERROR(__xludf.DUMMYFUNCTION("""COMPUTED_VALUE"""),43.0)</f>
        <v>43</v>
      </c>
      <c r="I219" s="139" t="s">
        <v>133</v>
      </c>
      <c r="J219" s="136" t="s">
        <v>134</v>
      </c>
      <c r="K219" s="146">
        <f>IFERROR(__xludf.DUMMYFUNCTION("""COMPUTED_VALUE"""),46114.0)</f>
        <v>46114</v>
      </c>
      <c r="L219" s="136" t="str">
        <f t="shared" si="1"/>
        <v>Thursday</v>
      </c>
      <c r="M219" s="136" t="str">
        <f>IFERROR(__xludf.DUMMYFUNCTION("""COMPUTED_VALUE"""),"BF")</f>
        <v>BF</v>
      </c>
      <c r="N219" s="141" t="s">
        <v>133</v>
      </c>
      <c r="O219" s="136" t="str">
        <f>IFERROR(__xludf.DUMMYFUNCTION("""COMPUTED_VALUE"""),"")</f>
        <v/>
      </c>
      <c r="P219" s="136" t="str">
        <f>IFERROR(__xludf.DUMMYFUNCTION("""COMPUTED_VALUE"""),"")</f>
        <v/>
      </c>
      <c r="Q219" s="106" t="str">
        <f>IFERROR(__xludf.DUMMYFUNCTION("""COMPUTED_VALUE"""),"")</f>
        <v/>
      </c>
      <c r="R219" s="106" t="str">
        <f>IFERROR(__xludf.DUMMYFUNCTION("""COMPUTED_VALUE"""),"")</f>
        <v/>
      </c>
      <c r="S219" s="139" t="str">
        <f>IFERROR(__xludf.DUMMYFUNCTION("""COMPUTED_VALUE"""),"")</f>
        <v/>
      </c>
      <c r="T219" s="139" t="str">
        <f>IFERROR(__xludf.DUMMYFUNCTION("""COMPUTED_VALUE"""),"")</f>
        <v/>
      </c>
      <c r="U219" s="136" t="str">
        <f>IFERROR(__xludf.DUMMYFUNCTION("""COMPUTED_VALUE"""),"")</f>
        <v/>
      </c>
      <c r="V219" s="106" t="str">
        <f>IFERROR(__xludf.DUMMYFUNCTION("""COMPUTED_VALUE"""),"")</f>
        <v/>
      </c>
      <c r="W219" s="143" t="str">
        <f t="shared" si="2"/>
        <v/>
      </c>
      <c r="X219" s="139" t="str">
        <f>IFERROR(__xludf.DUMMYFUNCTION("""COMPUTED_VALUE"""),"")</f>
        <v/>
      </c>
      <c r="Y219" s="141" t="str">
        <f>IFERROR(__xludf.DUMMYFUNCTION("""COMPUTED_VALUE"""),"")</f>
        <v/>
      </c>
    </row>
    <row r="220">
      <c r="A220" s="144">
        <f>IFERROR(__xludf.DUMMYFUNCTION("""COMPUTED_VALUE"""),46114.53133385417)</f>
        <v>46114.53133</v>
      </c>
      <c r="B220" s="136" t="str">
        <f>IFERROR(__xludf.DUMMYFUNCTION("""COMPUTED_VALUE"""),"Emmett Khan")</f>
        <v>Emmett Khan</v>
      </c>
      <c r="C220" s="136" t="b">
        <f t="shared" si="3"/>
        <v>0</v>
      </c>
      <c r="D220" s="137">
        <f>IFERROR(__xludf.DUMMYFUNCTION("""COMPUTED_VALUE"""),0.47916666666424135)</f>
        <v>0.4791666667</v>
      </c>
      <c r="E220" s="106">
        <f>IFERROR(__xludf.DUMMYFUNCTION("""COMPUTED_VALUE"""),0.05208333333575865)</f>
        <v>0.05208333334</v>
      </c>
      <c r="F220" s="137">
        <f>IFERROR(__xludf.DUMMYFUNCTION("""COMPUTED_VALUE"""),0.53125)</f>
        <v>0.53125</v>
      </c>
      <c r="G220" s="106">
        <v>0.05208333333575865</v>
      </c>
      <c r="H220" s="136">
        <f>IFERROR(__xludf.DUMMYFUNCTION("""COMPUTED_VALUE"""),70.0)</f>
        <v>70</v>
      </c>
      <c r="I220" s="139">
        <v>55.999999997392294</v>
      </c>
      <c r="J220" s="136" t="s">
        <v>15</v>
      </c>
      <c r="K220" s="146">
        <f>IFERROR(__xludf.DUMMYFUNCTION("""COMPUTED_VALUE"""),46114.0)</f>
        <v>46114</v>
      </c>
      <c r="L220" s="136" t="str">
        <f t="shared" si="1"/>
        <v>Thursday</v>
      </c>
      <c r="M220" s="136" t="str">
        <f>IFERROR(__xludf.DUMMYFUNCTION("""COMPUTED_VALUE"""),"MF")</f>
        <v>MF</v>
      </c>
      <c r="N220" s="141">
        <v>1.113818433453807</v>
      </c>
      <c r="O220" s="136" t="str">
        <f>IFERROR(__xludf.DUMMYFUNCTION("""COMPUTED_VALUE"""),"")</f>
        <v/>
      </c>
      <c r="P220" s="136" t="str">
        <f>IFERROR(__xludf.DUMMYFUNCTION("""COMPUTED_VALUE"""),"")</f>
        <v/>
      </c>
      <c r="Q220" s="106" t="str">
        <f>IFERROR(__xludf.DUMMYFUNCTION("""COMPUTED_VALUE"""),"")</f>
        <v/>
      </c>
      <c r="R220" s="106" t="str">
        <f>IFERROR(__xludf.DUMMYFUNCTION("""COMPUTED_VALUE"""),"")</f>
        <v/>
      </c>
      <c r="S220" s="139" t="str">
        <f>IFERROR(__xludf.DUMMYFUNCTION("""COMPUTED_VALUE"""),"")</f>
        <v/>
      </c>
      <c r="T220" s="139" t="str">
        <f>IFERROR(__xludf.DUMMYFUNCTION("""COMPUTED_VALUE"""),"")</f>
        <v/>
      </c>
      <c r="U220" s="136" t="str">
        <f>IFERROR(__xludf.DUMMYFUNCTION("""COMPUTED_VALUE"""),"")</f>
        <v/>
      </c>
      <c r="V220" s="106" t="str">
        <f>IFERROR(__xludf.DUMMYFUNCTION("""COMPUTED_VALUE"""),"")</f>
        <v/>
      </c>
      <c r="W220" s="143" t="str">
        <f t="shared" si="2"/>
        <v/>
      </c>
      <c r="X220" s="139" t="str">
        <f>IFERROR(__xludf.DUMMYFUNCTION("""COMPUTED_VALUE"""),"")</f>
        <v/>
      </c>
      <c r="Y220" s="141" t="str">
        <f>IFERROR(__xludf.DUMMYFUNCTION("""COMPUTED_VALUE"""),"")</f>
        <v/>
      </c>
    </row>
    <row r="221">
      <c r="A221" s="144">
        <f>IFERROR(__xludf.DUMMYFUNCTION("""COMPUTED_VALUE"""),46114.5503271875)</f>
        <v>46114.55033</v>
      </c>
      <c r="B221" s="136" t="str">
        <f>IFERROR(__xludf.DUMMYFUNCTION("""COMPUTED_VALUE"""),"Kyra Turner")</f>
        <v>Kyra Turner</v>
      </c>
      <c r="C221" s="136" t="b">
        <f t="shared" si="3"/>
        <v>0</v>
      </c>
      <c r="D221" s="137">
        <f>IFERROR(__xludf.DUMMYFUNCTION("""COMPUTED_VALUE"""),0.5027777777795563)</f>
        <v>0.5027777778</v>
      </c>
      <c r="E221" s="106">
        <f>IFERROR(__xludf.DUMMYFUNCTION("""COMPUTED_VALUE"""),0.045833333329937886)</f>
        <v>0.04583333333</v>
      </c>
      <c r="F221" s="137">
        <f>IFERROR(__xludf.DUMMYFUNCTION("""COMPUTED_VALUE"""),0.5486111111094942)</f>
        <v>0.5486111111</v>
      </c>
      <c r="G221" s="106">
        <v>0.13749999999708962</v>
      </c>
      <c r="H221" s="136">
        <f>IFERROR(__xludf.DUMMYFUNCTION("""COMPUTED_VALUE"""),76.0)</f>
        <v>76</v>
      </c>
      <c r="I221" s="139">
        <v>57.57575757697625</v>
      </c>
      <c r="J221" s="136" t="s">
        <v>15</v>
      </c>
      <c r="K221" s="146">
        <f>IFERROR(__xludf.DUMMYFUNCTION("""COMPUTED_VALUE"""),46114.0)</f>
        <v>46114</v>
      </c>
      <c r="L221" s="136" t="str">
        <f t="shared" si="1"/>
        <v>Thursday</v>
      </c>
      <c r="M221" s="136" t="str">
        <f>IFERROR(__xludf.DUMMYFUNCTION("""COMPUTED_VALUE"""),"BF")</f>
        <v>BF</v>
      </c>
      <c r="N221" s="141">
        <v>2.0308444038108493</v>
      </c>
      <c r="O221" s="136" t="str">
        <f>IFERROR(__xludf.DUMMYFUNCTION("""COMPUTED_VALUE"""),"")</f>
        <v/>
      </c>
      <c r="P221" s="136" t="str">
        <f>IFERROR(__xludf.DUMMYFUNCTION("""COMPUTED_VALUE"""),"")</f>
        <v/>
      </c>
      <c r="Q221" s="106" t="str">
        <f>IFERROR(__xludf.DUMMYFUNCTION("""COMPUTED_VALUE"""),"")</f>
        <v/>
      </c>
      <c r="R221" s="106" t="str">
        <f>IFERROR(__xludf.DUMMYFUNCTION("""COMPUTED_VALUE"""),"")</f>
        <v/>
      </c>
      <c r="S221" s="139" t="str">
        <f>IFERROR(__xludf.DUMMYFUNCTION("""COMPUTED_VALUE"""),"")</f>
        <v/>
      </c>
      <c r="T221" s="139" t="str">
        <f>IFERROR(__xludf.DUMMYFUNCTION("""COMPUTED_VALUE"""),"")</f>
        <v/>
      </c>
      <c r="U221" s="136" t="str">
        <f>IFERROR(__xludf.DUMMYFUNCTION("""COMPUTED_VALUE"""),"")</f>
        <v/>
      </c>
      <c r="V221" s="106" t="str">
        <f>IFERROR(__xludf.DUMMYFUNCTION("""COMPUTED_VALUE"""),"")</f>
        <v/>
      </c>
      <c r="W221" s="143" t="str">
        <f t="shared" si="2"/>
        <v/>
      </c>
      <c r="X221" s="139" t="str">
        <f>IFERROR(__xludf.DUMMYFUNCTION("""COMPUTED_VALUE"""),"")</f>
        <v/>
      </c>
      <c r="Y221" s="141" t="str">
        <f>IFERROR(__xludf.DUMMYFUNCTION("""COMPUTED_VALUE"""),"")</f>
        <v/>
      </c>
    </row>
    <row r="222">
      <c r="A222" s="144">
        <f>IFERROR(__xludf.DUMMYFUNCTION("""COMPUTED_VALUE"""),46114.64534847222)</f>
        <v>46114.64535</v>
      </c>
      <c r="B222" s="136" t="str">
        <f>IFERROR(__xludf.DUMMYFUNCTION("""COMPUTED_VALUE"""),"Kyra Turner")</f>
        <v>Kyra Turner</v>
      </c>
      <c r="C222" s="136" t="b">
        <f t="shared" si="3"/>
        <v>1</v>
      </c>
      <c r="D222" s="137">
        <f>IFERROR(__xludf.DUMMYFUNCTION("""COMPUTED_VALUE"""),0.5513888888890506)</f>
        <v>0.5513888889</v>
      </c>
      <c r="E222" s="106">
        <f>IFERROR(__xludf.DUMMYFUNCTION("""COMPUTED_VALUE"""),0.09166666666715173)</f>
        <v>0.09166666667</v>
      </c>
      <c r="F222" s="137">
        <f>IFERROR(__xludf.DUMMYFUNCTION("""COMPUTED_VALUE"""),0.6430555555562023)</f>
        <v>0.6430555556</v>
      </c>
      <c r="G222" s="106" t="s">
        <v>133</v>
      </c>
      <c r="H222" s="136">
        <f>IFERROR(__xludf.DUMMYFUNCTION("""COMPUTED_VALUE"""),114.0)</f>
        <v>114</v>
      </c>
      <c r="I222" s="139" t="s">
        <v>133</v>
      </c>
      <c r="J222" s="136" t="s">
        <v>15</v>
      </c>
      <c r="K222" s="146">
        <f>IFERROR(__xludf.DUMMYFUNCTION("""COMPUTED_VALUE"""),46114.0)</f>
        <v>46114</v>
      </c>
      <c r="L222" s="136" t="str">
        <f t="shared" si="1"/>
        <v>Thursday</v>
      </c>
      <c r="M222" s="136" t="str">
        <f>IFERROR(__xludf.DUMMYFUNCTION("""COMPUTED_VALUE"""),"BF")</f>
        <v>BF</v>
      </c>
      <c r="N222" s="141" t="s">
        <v>133</v>
      </c>
      <c r="O222" s="136" t="str">
        <f>IFERROR(__xludf.DUMMYFUNCTION("""COMPUTED_VALUE"""),"")</f>
        <v/>
      </c>
      <c r="P222" s="136" t="str">
        <f>IFERROR(__xludf.DUMMYFUNCTION("""COMPUTED_VALUE"""),"")</f>
        <v/>
      </c>
      <c r="Q222" s="106" t="str">
        <f>IFERROR(__xludf.DUMMYFUNCTION("""COMPUTED_VALUE"""),"")</f>
        <v/>
      </c>
      <c r="R222" s="106" t="str">
        <f>IFERROR(__xludf.DUMMYFUNCTION("""COMPUTED_VALUE"""),"")</f>
        <v/>
      </c>
      <c r="S222" s="139" t="str">
        <f>IFERROR(__xludf.DUMMYFUNCTION("""COMPUTED_VALUE"""),"")</f>
        <v/>
      </c>
      <c r="T222" s="139" t="str">
        <f>IFERROR(__xludf.DUMMYFUNCTION("""COMPUTED_VALUE"""),"")</f>
        <v/>
      </c>
      <c r="U222" s="136" t="str">
        <f>IFERROR(__xludf.DUMMYFUNCTION("""COMPUTED_VALUE"""),"")</f>
        <v/>
      </c>
      <c r="V222" s="106" t="str">
        <f>IFERROR(__xludf.DUMMYFUNCTION("""COMPUTED_VALUE"""),"")</f>
        <v/>
      </c>
      <c r="W222" s="143" t="str">
        <f t="shared" si="2"/>
        <v/>
      </c>
      <c r="X222" s="139" t="str">
        <f>IFERROR(__xludf.DUMMYFUNCTION("""COMPUTED_VALUE"""),"")</f>
        <v/>
      </c>
      <c r="Y222" s="141" t="str">
        <f>IFERROR(__xludf.DUMMYFUNCTION("""COMPUTED_VALUE"""),"")</f>
        <v/>
      </c>
    </row>
    <row r="223">
      <c r="A223" s="144">
        <f>IFERROR(__xludf.DUMMYFUNCTION("""COMPUTED_VALUE"""),46114.85563789352)</f>
        <v>46114.85564</v>
      </c>
      <c r="B223" s="136" t="str">
        <f>IFERROR(__xludf.DUMMYFUNCTION("""COMPUTED_VALUE"""),"Leah Bucci")</f>
        <v>Leah Bucci</v>
      </c>
      <c r="C223" s="136" t="b">
        <f t="shared" si="3"/>
        <v>0</v>
      </c>
      <c r="D223" s="137">
        <f>IFERROR(__xludf.DUMMYFUNCTION("""COMPUTED_VALUE"""),0.6875)</f>
        <v>0.6875</v>
      </c>
      <c r="E223" s="106">
        <f>IFERROR(__xludf.DUMMYFUNCTION("""COMPUTED_VALUE"""),0.16666666666424135)</f>
        <v>0.1666666667</v>
      </c>
      <c r="F223" s="137">
        <f>IFERROR(__xludf.DUMMYFUNCTION("""COMPUTED_VALUE"""),0.8541666666642413)</f>
        <v>0.8541666667</v>
      </c>
      <c r="G223" s="106">
        <v>0.16666666666424135</v>
      </c>
      <c r="H223" s="136">
        <f>IFERROR(__xludf.DUMMYFUNCTION("""COMPUTED_VALUE"""),160.0)</f>
        <v>160</v>
      </c>
      <c r="I223" s="139">
        <v>40.00000000058208</v>
      </c>
      <c r="J223" s="136" t="s">
        <v>18</v>
      </c>
      <c r="K223" s="146">
        <f>IFERROR(__xludf.DUMMYFUNCTION("""COMPUTED_VALUE"""),46114.0)</f>
        <v>46114</v>
      </c>
      <c r="L223" s="136" t="str">
        <f t="shared" si="1"/>
        <v>Thursday</v>
      </c>
      <c r="M223" s="136" t="str">
        <f>IFERROR(__xludf.DUMMYFUNCTION("""COMPUTED_VALUE"""),"BF")</f>
        <v>BF</v>
      </c>
      <c r="N223" s="141">
        <v>0.9002557544757033</v>
      </c>
      <c r="O223" s="136">
        <f>IFERROR(__xludf.DUMMYFUNCTION("""COMPUTED_VALUE"""),70.0)</f>
        <v>70</v>
      </c>
      <c r="P223" s="136">
        <f>IFERROR(__xludf.DUMMYFUNCTION("""COMPUTED_VALUE"""),457.0)</f>
        <v>457</v>
      </c>
      <c r="Q223" s="106">
        <f>IFERROR(__xludf.DUMMYFUNCTION("""COMPUTED_VALUE"""),0.05208333333575865)</f>
        <v>0.05208333334</v>
      </c>
      <c r="R223" s="106">
        <f>IFERROR(__xludf.DUMMYFUNCTION("""COMPUTED_VALUE"""),0.4826388888832298)</f>
        <v>0.4826388889</v>
      </c>
      <c r="S223" s="139">
        <f>IFERROR(__xludf.DUMMYFUNCTION("""COMPUTED_VALUE"""),55.999999997392294)</f>
        <v>56</v>
      </c>
      <c r="T223" s="139">
        <f>IFERROR(__xludf.DUMMYFUNCTION("""COMPUTED_VALUE"""),35.363094002356775)</f>
        <v>35.363094</v>
      </c>
      <c r="U223" s="136">
        <f>IFERROR(__xludf.DUMMYFUNCTION("""COMPUTED_VALUE"""),527.0)</f>
        <v>527</v>
      </c>
      <c r="V223" s="106">
        <f>IFERROR(__xludf.DUMMYFUNCTION("""COMPUTED_VALUE"""),0.5347222222189885)</f>
        <v>0.5347222222</v>
      </c>
      <c r="W223" s="143">
        <f t="shared" si="2"/>
        <v>41.06493507</v>
      </c>
      <c r="X223" s="139">
        <f>IFERROR(__xludf.DUMMYFUNCTION("""COMPUTED_VALUE"""),39.49047520136388)</f>
        <v>39.4904752</v>
      </c>
      <c r="Y223" s="141">
        <f>IFERROR(__xludf.DUMMYFUNCTION("""COMPUTED_VALUE"""),0.6131523536172719)</f>
        <v>0.6131523536</v>
      </c>
    </row>
    <row r="224">
      <c r="A224" s="144">
        <f>IFERROR(__xludf.DUMMYFUNCTION("""COMPUTED_VALUE"""),46115.438240937496)</f>
        <v>46115.43824</v>
      </c>
      <c r="B224" s="136" t="str">
        <f>IFERROR(__xludf.DUMMYFUNCTION("""COMPUTED_VALUE"""),"Kaylie Forgue")</f>
        <v>Kaylie Forgue</v>
      </c>
      <c r="C224" s="136" t="b">
        <f t="shared" si="3"/>
        <v>0</v>
      </c>
      <c r="D224" s="137">
        <f>IFERROR(__xludf.DUMMYFUNCTION("""COMPUTED_VALUE"""),0.37152777778101154)</f>
        <v>0.3715277778</v>
      </c>
      <c r="E224" s="106">
        <f>IFERROR(__xludf.DUMMYFUNCTION("""COMPUTED_VALUE"""),0.0625)</f>
        <v>0.0625</v>
      </c>
      <c r="F224" s="137">
        <f>IFERROR(__xludf.DUMMYFUNCTION("""COMPUTED_VALUE"""),0.43402777778101154)</f>
        <v>0.4340277778</v>
      </c>
      <c r="G224" s="106">
        <v>0.0625</v>
      </c>
      <c r="H224" s="136">
        <f>IFERROR(__xludf.DUMMYFUNCTION("""COMPUTED_VALUE"""),53.0)</f>
        <v>53</v>
      </c>
      <c r="I224" s="139">
        <v>35.333333333333336</v>
      </c>
      <c r="J224" s="136" t="s">
        <v>12</v>
      </c>
      <c r="K224" s="146">
        <f>IFERROR(__xludf.DUMMYFUNCTION("""COMPUTED_VALUE"""),46115.0)</f>
        <v>46115</v>
      </c>
      <c r="L224" s="136" t="str">
        <f t="shared" si="1"/>
        <v>Friday</v>
      </c>
      <c r="M224" s="136" t="str">
        <f>IFERROR(__xludf.DUMMYFUNCTION("""COMPUTED_VALUE"""),"BF")</f>
        <v>BF</v>
      </c>
      <c r="N224" s="141">
        <v>1.246297144628068</v>
      </c>
      <c r="O224" s="136" t="str">
        <f>IFERROR(__xludf.DUMMYFUNCTION("""COMPUTED_VALUE"""),"")</f>
        <v/>
      </c>
      <c r="P224" s="136" t="str">
        <f>IFERROR(__xludf.DUMMYFUNCTION("""COMPUTED_VALUE"""),"")</f>
        <v/>
      </c>
      <c r="Q224" s="106" t="str">
        <f>IFERROR(__xludf.DUMMYFUNCTION("""COMPUTED_VALUE"""),"")</f>
        <v/>
      </c>
      <c r="R224" s="106" t="str">
        <f>IFERROR(__xludf.DUMMYFUNCTION("""COMPUTED_VALUE"""),"")</f>
        <v/>
      </c>
      <c r="S224" s="139" t="str">
        <f>IFERROR(__xludf.DUMMYFUNCTION("""COMPUTED_VALUE"""),"")</f>
        <v/>
      </c>
      <c r="T224" s="139" t="str">
        <f>IFERROR(__xludf.DUMMYFUNCTION("""COMPUTED_VALUE"""),"")</f>
        <v/>
      </c>
      <c r="U224" s="136" t="str">
        <f>IFERROR(__xludf.DUMMYFUNCTION("""COMPUTED_VALUE"""),"")</f>
        <v/>
      </c>
      <c r="V224" s="106" t="str">
        <f>IFERROR(__xludf.DUMMYFUNCTION("""COMPUTED_VALUE"""),"")</f>
        <v/>
      </c>
      <c r="W224" s="143" t="str">
        <f t="shared" si="2"/>
        <v/>
      </c>
      <c r="X224" s="139" t="str">
        <f>IFERROR(__xludf.DUMMYFUNCTION("""COMPUTED_VALUE"""),"")</f>
        <v/>
      </c>
      <c r="Y224" s="141" t="str">
        <f>IFERROR(__xludf.DUMMYFUNCTION("""COMPUTED_VALUE"""),"")</f>
        <v/>
      </c>
    </row>
    <row r="225">
      <c r="A225" s="144">
        <f>IFERROR(__xludf.DUMMYFUNCTION("""COMPUTED_VALUE"""),46115.57690940972)</f>
        <v>46115.57691</v>
      </c>
      <c r="B225" s="136" t="str">
        <f>IFERROR(__xludf.DUMMYFUNCTION("""COMPUTED_VALUE"""),"Brynn Hornig")</f>
        <v>Brynn Hornig</v>
      </c>
      <c r="C225" s="136" t="b">
        <f t="shared" si="3"/>
        <v>0</v>
      </c>
      <c r="D225" s="137">
        <f>IFERROR(__xludf.DUMMYFUNCTION("""COMPUTED_VALUE"""),0.45833333333575865)</f>
        <v>0.4583333333</v>
      </c>
      <c r="E225" s="106">
        <f>IFERROR(__xludf.DUMMYFUNCTION("""COMPUTED_VALUE"""),0.125)</f>
        <v>0.125</v>
      </c>
      <c r="F225" s="137">
        <f>IFERROR(__xludf.DUMMYFUNCTION("""COMPUTED_VALUE"""),0.5833333333357587)</f>
        <v>0.5833333333</v>
      </c>
      <c r="G225" s="106">
        <v>0.125</v>
      </c>
      <c r="H225" s="136">
        <f>IFERROR(__xludf.DUMMYFUNCTION("""COMPUTED_VALUE"""),44.0)</f>
        <v>44</v>
      </c>
      <c r="I225" s="139">
        <v>14.666666666666666</v>
      </c>
      <c r="J225" s="136" t="s">
        <v>15</v>
      </c>
      <c r="K225" s="146">
        <f>IFERROR(__xludf.DUMMYFUNCTION("""COMPUTED_VALUE"""),46115.0)</f>
        <v>46115</v>
      </c>
      <c r="L225" s="136" t="str">
        <f t="shared" si="1"/>
        <v>Friday</v>
      </c>
      <c r="M225" s="136" t="str">
        <f>IFERROR(__xludf.DUMMYFUNCTION("""COMPUTED_VALUE"""),"BF")</f>
        <v>BF</v>
      </c>
      <c r="N225" s="141">
        <v>0.5173308902229715</v>
      </c>
      <c r="O225" s="136" t="str">
        <f>IFERROR(__xludf.DUMMYFUNCTION("""COMPUTED_VALUE"""),"")</f>
        <v/>
      </c>
      <c r="P225" s="136" t="str">
        <f>IFERROR(__xludf.DUMMYFUNCTION("""COMPUTED_VALUE"""),"")</f>
        <v/>
      </c>
      <c r="Q225" s="106" t="str">
        <f>IFERROR(__xludf.DUMMYFUNCTION("""COMPUTED_VALUE"""),"")</f>
        <v/>
      </c>
      <c r="R225" s="106" t="str">
        <f>IFERROR(__xludf.DUMMYFUNCTION("""COMPUTED_VALUE"""),"")</f>
        <v/>
      </c>
      <c r="S225" s="139" t="str">
        <f>IFERROR(__xludf.DUMMYFUNCTION("""COMPUTED_VALUE"""),"")</f>
        <v/>
      </c>
      <c r="T225" s="139" t="str">
        <f>IFERROR(__xludf.DUMMYFUNCTION("""COMPUTED_VALUE"""),"")</f>
        <v/>
      </c>
      <c r="U225" s="136" t="str">
        <f>IFERROR(__xludf.DUMMYFUNCTION("""COMPUTED_VALUE"""),"")</f>
        <v/>
      </c>
      <c r="V225" s="106" t="str">
        <f>IFERROR(__xludf.DUMMYFUNCTION("""COMPUTED_VALUE"""),"")</f>
        <v/>
      </c>
      <c r="W225" s="143" t="str">
        <f t="shared" si="2"/>
        <v/>
      </c>
      <c r="X225" s="139" t="str">
        <f>IFERROR(__xludf.DUMMYFUNCTION("""COMPUTED_VALUE"""),"")</f>
        <v/>
      </c>
      <c r="Y225" s="141" t="str">
        <f>IFERROR(__xludf.DUMMYFUNCTION("""COMPUTED_VALUE"""),"")</f>
        <v/>
      </c>
    </row>
    <row r="226">
      <c r="A226" s="144">
        <f>IFERROR(__xludf.DUMMYFUNCTION("""COMPUTED_VALUE"""),46115.621983136574)</f>
        <v>46115.62198</v>
      </c>
      <c r="B226" s="136" t="str">
        <f>IFERROR(__xludf.DUMMYFUNCTION("""COMPUTED_VALUE"""),"Oluwatimilehin Shodipe")</f>
        <v>Oluwatimilehin Shodipe</v>
      </c>
      <c r="C226" s="136" t="b">
        <f t="shared" si="3"/>
        <v>0</v>
      </c>
      <c r="D226" s="137">
        <f>IFERROR(__xludf.DUMMYFUNCTION("""COMPUTED_VALUE"""),0.48263888889050577)</f>
        <v>0.4826388889</v>
      </c>
      <c r="E226" s="106">
        <f>IFERROR(__xludf.DUMMYFUNCTION("""COMPUTED_VALUE"""),0.13888888889050577)</f>
        <v>0.1388888889</v>
      </c>
      <c r="F226" s="137">
        <f>IFERROR(__xludf.DUMMYFUNCTION("""COMPUTED_VALUE"""),0.6215277777810115)</f>
        <v>0.6215277778</v>
      </c>
      <c r="G226" s="106">
        <v>0.13888888889050577</v>
      </c>
      <c r="H226" s="136">
        <f>IFERROR(__xludf.DUMMYFUNCTION("""COMPUTED_VALUE"""),127.0)</f>
        <v>127</v>
      </c>
      <c r="I226" s="139">
        <v>38.09999999955646</v>
      </c>
      <c r="J226" s="136" t="s">
        <v>15</v>
      </c>
      <c r="K226" s="146">
        <f>IFERROR(__xludf.DUMMYFUNCTION("""COMPUTED_VALUE"""),46115.0)</f>
        <v>46115</v>
      </c>
      <c r="L226" s="136" t="str">
        <f t="shared" si="1"/>
        <v>Friday</v>
      </c>
      <c r="M226" s="136" t="str">
        <f>IFERROR(__xludf.DUMMYFUNCTION("""COMPUTED_VALUE"""),"MF")</f>
        <v>MF</v>
      </c>
      <c r="N226" s="141">
        <v>0.7577943270727167</v>
      </c>
      <c r="O226" s="136">
        <f>IFERROR(__xludf.DUMMYFUNCTION("""COMPUTED_VALUE"""),283.0)</f>
        <v>283</v>
      </c>
      <c r="P226" s="136">
        <f>IFERROR(__xludf.DUMMYFUNCTION("""COMPUTED_VALUE"""),97.0)</f>
        <v>97</v>
      </c>
      <c r="Q226" s="106">
        <f>IFERROR(__xludf.DUMMYFUNCTION("""COMPUTED_VALUE"""),0.28680555555183673)</f>
        <v>0.2868055556</v>
      </c>
      <c r="R226" s="106">
        <f>IFERROR(__xludf.DUMMYFUNCTION("""COMPUTED_VALUE"""),0.1875)</f>
        <v>0.1875</v>
      </c>
      <c r="S226" s="139">
        <f>IFERROR(__xludf.DUMMYFUNCTION("""COMPUTED_VALUE"""),41.911640212561515)</f>
        <v>41.91164021</v>
      </c>
      <c r="T226" s="139">
        <f>IFERROR(__xludf.DUMMYFUNCTION("""COMPUTED_VALUE"""),25.0)</f>
        <v>25</v>
      </c>
      <c r="U226" s="136">
        <f>IFERROR(__xludf.DUMMYFUNCTION("""COMPUTED_VALUE"""),380.0)</f>
        <v>380</v>
      </c>
      <c r="V226" s="106">
        <f>IFERROR(__xludf.DUMMYFUNCTION("""COMPUTED_VALUE"""),0.47430555555183673)</f>
        <v>0.4743055556</v>
      </c>
      <c r="W226" s="143">
        <f t="shared" si="2"/>
        <v>33.38213763</v>
      </c>
      <c r="X226" s="139">
        <f>IFERROR(__xludf.DUMMYFUNCTION("""COMPUTED_VALUE"""),35.1469841275369)</f>
        <v>35.14698413</v>
      </c>
      <c r="Y226" s="141">
        <f>IFERROR(__xludf.DUMMYFUNCTION("""COMPUTED_VALUE"""),0.7359416469465131)</f>
        <v>0.7359416469</v>
      </c>
    </row>
    <row r="227">
      <c r="A227" s="144">
        <f>IFERROR(__xludf.DUMMYFUNCTION("""COMPUTED_VALUE"""),46115.746811516205)</f>
        <v>46115.74681</v>
      </c>
      <c r="B227" s="136" t="str">
        <f>IFERROR(__xludf.DUMMYFUNCTION("""COMPUTED_VALUE"""),"Denise Romanszysn")</f>
        <v>Denise Romanszysn</v>
      </c>
      <c r="C227" s="136" t="b">
        <f t="shared" si="3"/>
        <v>0</v>
      </c>
      <c r="D227" s="137">
        <f>IFERROR(__xludf.DUMMYFUNCTION("""COMPUTED_VALUE"""),0.44097222221898846)</f>
        <v>0.4409722222</v>
      </c>
      <c r="E227" s="106">
        <f>IFERROR(__xludf.DUMMYFUNCTION("""COMPUTED_VALUE"""),0.04513888889050577)</f>
        <v>0.04513888889</v>
      </c>
      <c r="F227" s="137">
        <f>IFERROR(__xludf.DUMMYFUNCTION("""COMPUTED_VALUE"""),0.48611111110949423)</f>
        <v>0.4861111111</v>
      </c>
      <c r="G227" s="106">
        <v>0.04513888889050577</v>
      </c>
      <c r="H227" s="136">
        <f>IFERROR(__xludf.DUMMYFUNCTION("""COMPUTED_VALUE"""),86.0)</f>
        <v>86</v>
      </c>
      <c r="I227" s="139">
        <v>79.38461538177182</v>
      </c>
      <c r="J227" s="136" t="s">
        <v>134</v>
      </c>
      <c r="K227" s="146">
        <f>IFERROR(__xludf.DUMMYFUNCTION("""COMPUTED_VALUE"""),46111.0)</f>
        <v>46111</v>
      </c>
      <c r="L227" s="136" t="str">
        <f t="shared" si="1"/>
        <v>Monday</v>
      </c>
      <c r="M227" s="136" t="str">
        <f>IFERROR(__xludf.DUMMYFUNCTION("""COMPUTED_VALUE"""),"BF")</f>
        <v>BF</v>
      </c>
      <c r="N227" s="141">
        <v>2.289464861497788</v>
      </c>
      <c r="O227" s="136" t="str">
        <f>IFERROR(__xludf.DUMMYFUNCTION("""COMPUTED_VALUE"""),"")</f>
        <v/>
      </c>
      <c r="P227" s="136" t="str">
        <f>IFERROR(__xludf.DUMMYFUNCTION("""COMPUTED_VALUE"""),"")</f>
        <v/>
      </c>
      <c r="Q227" s="106" t="str">
        <f>IFERROR(__xludf.DUMMYFUNCTION("""COMPUTED_VALUE"""),"")</f>
        <v/>
      </c>
      <c r="R227" s="106" t="str">
        <f>IFERROR(__xludf.DUMMYFUNCTION("""COMPUTED_VALUE"""),"")</f>
        <v/>
      </c>
      <c r="S227" s="139" t="str">
        <f>IFERROR(__xludf.DUMMYFUNCTION("""COMPUTED_VALUE"""),"")</f>
        <v/>
      </c>
      <c r="T227" s="139" t="str">
        <f>IFERROR(__xludf.DUMMYFUNCTION("""COMPUTED_VALUE"""),"")</f>
        <v/>
      </c>
      <c r="U227" s="136" t="str">
        <f>IFERROR(__xludf.DUMMYFUNCTION("""COMPUTED_VALUE"""),"")</f>
        <v/>
      </c>
      <c r="V227" s="106" t="str">
        <f>IFERROR(__xludf.DUMMYFUNCTION("""COMPUTED_VALUE"""),"")</f>
        <v/>
      </c>
      <c r="W227" s="143" t="str">
        <f t="shared" si="2"/>
        <v/>
      </c>
      <c r="X227" s="139" t="str">
        <f>IFERROR(__xludf.DUMMYFUNCTION("""COMPUTED_VALUE"""),"")</f>
        <v/>
      </c>
      <c r="Y227" s="141" t="str">
        <f>IFERROR(__xludf.DUMMYFUNCTION("""COMPUTED_VALUE"""),"")</f>
        <v/>
      </c>
    </row>
    <row r="228">
      <c r="A228" s="144">
        <f>IFERROR(__xludf.DUMMYFUNCTION("""COMPUTED_VALUE"""),46115.74763619213)</f>
        <v>46115.74764</v>
      </c>
      <c r="B228" s="136" t="str">
        <f>IFERROR(__xludf.DUMMYFUNCTION("""COMPUTED_VALUE"""),"Denise Romanszysn")</f>
        <v>Denise Romanszysn</v>
      </c>
      <c r="C228" s="136" t="b">
        <f t="shared" si="3"/>
        <v>0</v>
      </c>
      <c r="D228" s="137">
        <f>IFERROR(__xludf.DUMMYFUNCTION("""COMPUTED_VALUE"""),0.547222222223354)</f>
        <v>0.5472222222</v>
      </c>
      <c r="E228" s="106">
        <f>IFERROR(__xludf.DUMMYFUNCTION("""COMPUTED_VALUE"""),0.0743055555576575)</f>
        <v>0.07430555556</v>
      </c>
      <c r="F228" s="137">
        <f>IFERROR(__xludf.DUMMYFUNCTION("""COMPUTED_VALUE"""),0.6215277777810115)</f>
        <v>0.6215277778</v>
      </c>
      <c r="G228" s="106">
        <v>0.0743055555576575</v>
      </c>
      <c r="H228" s="136">
        <f>IFERROR(__xludf.DUMMYFUNCTION("""COMPUTED_VALUE"""),177.0)</f>
        <v>177</v>
      </c>
      <c r="I228" s="139">
        <v>99.25233644579049</v>
      </c>
      <c r="J228" s="136" t="s">
        <v>15</v>
      </c>
      <c r="K228" s="146">
        <f>IFERROR(__xludf.DUMMYFUNCTION("""COMPUTED_VALUE"""),46111.0)</f>
        <v>46111</v>
      </c>
      <c r="L228" s="136" t="str">
        <f t="shared" si="1"/>
        <v>Monday</v>
      </c>
      <c r="M228" s="136" t="str">
        <f>IFERROR(__xludf.DUMMYFUNCTION("""COMPUTED_VALUE"""),"MF")</f>
        <v>MF</v>
      </c>
      <c r="N228" s="141">
        <v>1.974090748246936</v>
      </c>
      <c r="O228" s="136">
        <f>IFERROR(__xludf.DUMMYFUNCTION("""COMPUTED_VALUE"""),494.0)</f>
        <v>494</v>
      </c>
      <c r="P228" s="136">
        <f>IFERROR(__xludf.DUMMYFUNCTION("""COMPUTED_VALUE"""),179.0)</f>
        <v>179</v>
      </c>
      <c r="Q228" s="106">
        <f>IFERROR(__xludf.DUMMYFUNCTION("""COMPUTED_VALUE"""),0.2750000000014552)</f>
        <v>0.275</v>
      </c>
      <c r="R228" s="106">
        <f>IFERROR(__xludf.DUMMYFUNCTION("""COMPUTED_VALUE"""),0.17013888889050577)</f>
        <v>0.1701388889</v>
      </c>
      <c r="S228" s="139">
        <f>IFERROR(__xludf.DUMMYFUNCTION("""COMPUTED_VALUE"""),77.78747606317529)</f>
        <v>77.78747606</v>
      </c>
      <c r="T228" s="139">
        <f>IFERROR(__xludf.DUMMYFUNCTION("""COMPUTED_VALUE"""),55.19230769088591)</f>
        <v>55.19230769</v>
      </c>
      <c r="U228" s="136">
        <f>IFERROR(__xludf.DUMMYFUNCTION("""COMPUTED_VALUE"""),673.0)</f>
        <v>673</v>
      </c>
      <c r="V228" s="106">
        <f>IFERROR(__xludf.DUMMYFUNCTION("""COMPUTED_VALUE"""),0.44513888889196096)</f>
        <v>0.4451388889</v>
      </c>
      <c r="W228" s="143">
        <f t="shared" si="2"/>
        <v>62.99531981</v>
      </c>
      <c r="X228" s="139">
        <f>IFERROR(__xludf.DUMMYFUNCTION("""COMPUTED_VALUE"""),68.74940871425954)</f>
        <v>68.74940871</v>
      </c>
      <c r="Y228" s="141">
        <f>IFERROR(__xludf.DUMMYFUNCTION("""COMPUTED_VALUE"""),1.2639396767122661)</f>
        <v>1.263939677</v>
      </c>
    </row>
    <row r="229">
      <c r="A229" s="144">
        <f>IFERROR(__xludf.DUMMYFUNCTION("""COMPUTED_VALUE"""),46115.74847489584)</f>
        <v>46115.74847</v>
      </c>
      <c r="B229" s="136" t="str">
        <f>IFERROR(__xludf.DUMMYFUNCTION("""COMPUTED_VALUE"""),"Denise Romanszysn")</f>
        <v>Denise Romanszysn</v>
      </c>
      <c r="C229" s="136" t="b">
        <f t="shared" si="3"/>
        <v>0</v>
      </c>
      <c r="D229" s="137">
        <f>IFERROR(__xludf.DUMMYFUNCTION("""COMPUTED_VALUE"""),0.29861111110949423)</f>
        <v>0.2986111111</v>
      </c>
      <c r="E229" s="106">
        <f>IFERROR(__xludf.DUMMYFUNCTION("""COMPUTED_VALUE"""),0.14583333333575865)</f>
        <v>0.1458333333</v>
      </c>
      <c r="F229" s="137">
        <f>IFERROR(__xludf.DUMMYFUNCTION("""COMPUTED_VALUE"""),0.4444444444452529)</f>
        <v>0.4444444444</v>
      </c>
      <c r="G229" s="106">
        <v>0.14583333333575865</v>
      </c>
      <c r="H229" s="136">
        <f>IFERROR(__xludf.DUMMYFUNCTION("""COMPUTED_VALUE"""),157.0)</f>
        <v>157</v>
      </c>
      <c r="I229" s="139">
        <v>44.85714285639685</v>
      </c>
      <c r="J229" s="136" t="s">
        <v>12</v>
      </c>
      <c r="K229" s="146">
        <f>IFERROR(__xludf.DUMMYFUNCTION("""COMPUTED_VALUE"""),46112.0)</f>
        <v>46112</v>
      </c>
      <c r="L229" s="136" t="str">
        <f t="shared" si="1"/>
        <v>Tuesday</v>
      </c>
      <c r="M229" s="136" t="str">
        <f>IFERROR(__xludf.DUMMYFUNCTION("""COMPUTED_VALUE"""),"BF")</f>
        <v>BF</v>
      </c>
      <c r="N229" s="141">
        <v>1.5822262940971903</v>
      </c>
      <c r="O229" s="136">
        <f>IFERROR(__xludf.DUMMYFUNCTION("""COMPUTED_VALUE"""),414.0)</f>
        <v>414</v>
      </c>
      <c r="P229" s="136">
        <f>IFERROR(__xludf.DUMMYFUNCTION("""COMPUTED_VALUE"""),325.0)</f>
        <v>325</v>
      </c>
      <c r="Q229" s="106">
        <f>IFERROR(__xludf.DUMMYFUNCTION("""COMPUTED_VALUE"""),0.24999999999272404)</f>
        <v>0.25</v>
      </c>
      <c r="R229" s="106">
        <f>IFERROR(__xludf.DUMMYFUNCTION("""COMPUTED_VALUE"""),0.2618055555576575)</f>
        <v>0.2618055556</v>
      </c>
      <c r="S229" s="139">
        <f>IFERROR(__xludf.DUMMYFUNCTION("""COMPUTED_VALUE"""),67.8896585868206)</f>
        <v>67.88965859</v>
      </c>
      <c r="T229" s="139">
        <f>IFERROR(__xludf.DUMMYFUNCTION("""COMPUTED_VALUE"""),52.50378282143985)</f>
        <v>52.50378282</v>
      </c>
      <c r="U229" s="136">
        <f>IFERROR(__xludf.DUMMYFUNCTION("""COMPUTED_VALUE"""),739.0)</f>
        <v>739</v>
      </c>
      <c r="V229" s="106">
        <f>IFERROR(__xludf.DUMMYFUNCTION("""COMPUTED_VALUE"""),0.5118055555503815)</f>
        <v>0.5118055556</v>
      </c>
      <c r="W229" s="143">
        <f t="shared" si="2"/>
        <v>60.16282225</v>
      </c>
      <c r="X229" s="139">
        <f>IFERROR(__xludf.DUMMYFUNCTION("""COMPUTED_VALUE"""),58.658133127592144)</f>
        <v>58.65813313</v>
      </c>
      <c r="Y229" s="141">
        <f>IFERROR(__xludf.DUMMYFUNCTION("""COMPUTED_VALUE"""),0.8578219300411227)</f>
        <v>0.85782193</v>
      </c>
    </row>
    <row r="230">
      <c r="A230" s="144">
        <f>IFERROR(__xludf.DUMMYFUNCTION("""COMPUTED_VALUE"""),46115.749628958336)</f>
        <v>46115.74963</v>
      </c>
      <c r="B230" s="136" t="str">
        <f>IFERROR(__xludf.DUMMYFUNCTION("""COMPUTED_VALUE"""),"Leah Bucci")</f>
        <v>Leah Bucci</v>
      </c>
      <c r="C230" s="136" t="b">
        <f t="shared" si="3"/>
        <v>0</v>
      </c>
      <c r="D230" s="137">
        <f>IFERROR(__xludf.DUMMYFUNCTION("""COMPUTED_VALUE"""),0.6701388888905058)</f>
        <v>0.6701388889</v>
      </c>
      <c r="E230" s="106">
        <f>IFERROR(__xludf.DUMMYFUNCTION("""COMPUTED_VALUE"""),0.07291666666424135)</f>
        <v>0.07291666666</v>
      </c>
      <c r="F230" s="137">
        <f>IFERROR(__xludf.DUMMYFUNCTION("""COMPUTED_VALUE"""),0.7430555555547471)</f>
        <v>0.7430555556</v>
      </c>
      <c r="G230" s="106">
        <v>0.07291666666424135</v>
      </c>
      <c r="H230" s="136">
        <f>IFERROR(__xludf.DUMMYFUNCTION("""COMPUTED_VALUE"""),61.0)</f>
        <v>61</v>
      </c>
      <c r="I230" s="139">
        <v>34.85714285830226</v>
      </c>
      <c r="J230" s="136" t="s">
        <v>18</v>
      </c>
      <c r="K230" s="146">
        <f>IFERROR(__xludf.DUMMYFUNCTION("""COMPUTED_VALUE"""),46115.0)</f>
        <v>46115</v>
      </c>
      <c r="L230" s="136" t="str">
        <f t="shared" si="1"/>
        <v>Friday</v>
      </c>
      <c r="M230" s="136" t="str">
        <f>IFERROR(__xludf.DUMMYFUNCTION("""COMPUTED_VALUE"""),"MF")</f>
        <v>MF</v>
      </c>
      <c r="N230" s="141">
        <v>0.7290847425419299</v>
      </c>
      <c r="O230" s="136" t="str">
        <f>IFERROR(__xludf.DUMMYFUNCTION("""COMPUTED_VALUE"""),"")</f>
        <v/>
      </c>
      <c r="P230" s="136" t="str">
        <f>IFERROR(__xludf.DUMMYFUNCTION("""COMPUTED_VALUE"""),"")</f>
        <v/>
      </c>
      <c r="Q230" s="106" t="str">
        <f>IFERROR(__xludf.DUMMYFUNCTION("""COMPUTED_VALUE"""),"")</f>
        <v/>
      </c>
      <c r="R230" s="106" t="str">
        <f>IFERROR(__xludf.DUMMYFUNCTION("""COMPUTED_VALUE"""),"")</f>
        <v/>
      </c>
      <c r="S230" s="139" t="str">
        <f>IFERROR(__xludf.DUMMYFUNCTION("""COMPUTED_VALUE"""),"")</f>
        <v/>
      </c>
      <c r="T230" s="139" t="str">
        <f>IFERROR(__xludf.DUMMYFUNCTION("""COMPUTED_VALUE"""),"")</f>
        <v/>
      </c>
      <c r="U230" s="136" t="str">
        <f>IFERROR(__xludf.DUMMYFUNCTION("""COMPUTED_VALUE"""),"")</f>
        <v/>
      </c>
      <c r="V230" s="106" t="str">
        <f>IFERROR(__xludf.DUMMYFUNCTION("""COMPUTED_VALUE"""),"")</f>
        <v/>
      </c>
      <c r="W230" s="143" t="str">
        <f t="shared" si="2"/>
        <v/>
      </c>
      <c r="X230" s="139" t="str">
        <f>IFERROR(__xludf.DUMMYFUNCTION("""COMPUTED_VALUE"""),"")</f>
        <v/>
      </c>
      <c r="Y230" s="141" t="str">
        <f>IFERROR(__xludf.DUMMYFUNCTION("""COMPUTED_VALUE"""),"")</f>
        <v/>
      </c>
    </row>
    <row r="231">
      <c r="A231" s="144">
        <f>IFERROR(__xludf.DUMMYFUNCTION("""COMPUTED_VALUE"""),46115.83054920139)</f>
        <v>46115.83055</v>
      </c>
      <c r="B231" s="136" t="str">
        <f>IFERROR(__xludf.DUMMYFUNCTION("""COMPUTED_VALUE"""),"Orpheus Wilson")</f>
        <v>Orpheus Wilson</v>
      </c>
      <c r="C231" s="136" t="b">
        <f t="shared" si="3"/>
        <v>0</v>
      </c>
      <c r="D231" s="137">
        <f>IFERROR(__xludf.DUMMYFUNCTION("""COMPUTED_VALUE"""),0.7548611111124046)</f>
        <v>0.7548611111</v>
      </c>
      <c r="E231" s="106">
        <f>IFERROR(__xludf.DUMMYFUNCTION("""COMPUTED_VALUE"""),0.07499999999708962)</f>
        <v>0.075</v>
      </c>
      <c r="F231" s="137">
        <f>IFERROR(__xludf.DUMMYFUNCTION("""COMPUTED_VALUE"""),0.8298611111094942)</f>
        <v>0.8298611111</v>
      </c>
      <c r="G231" s="106">
        <v>0.07499999999708962</v>
      </c>
      <c r="H231" s="136">
        <f>IFERROR(__xludf.DUMMYFUNCTION("""COMPUTED_VALUE"""),95.0)</f>
        <v>95</v>
      </c>
      <c r="I231" s="139">
        <v>52.777777779825826</v>
      </c>
      <c r="J231" s="136" t="s">
        <v>18</v>
      </c>
      <c r="K231" s="146">
        <f>IFERROR(__xludf.DUMMYFUNCTION("""COMPUTED_VALUE"""),46115.0)</f>
        <v>46115</v>
      </c>
      <c r="L231" s="136" t="str">
        <f t="shared" si="1"/>
        <v>Friday</v>
      </c>
      <c r="M231" s="136" t="str">
        <f>IFERROR(__xludf.DUMMYFUNCTION("""COMPUTED_VALUE"""),"MF")</f>
        <v>MF</v>
      </c>
      <c r="N231" s="141">
        <v>1.1039192937000708</v>
      </c>
      <c r="O231" s="136">
        <f>IFERROR(__xludf.DUMMYFUNCTION("""COMPUTED_VALUE"""),283.0)</f>
        <v>283</v>
      </c>
      <c r="P231" s="136">
        <f>IFERROR(__xludf.DUMMYFUNCTION("""COMPUTED_VALUE"""),97.0)</f>
        <v>97</v>
      </c>
      <c r="Q231" s="106">
        <f>IFERROR(__xludf.DUMMYFUNCTION("""COMPUTED_VALUE"""),0.28680555555183673)</f>
        <v>0.2868055556</v>
      </c>
      <c r="R231" s="106">
        <f>IFERROR(__xludf.DUMMYFUNCTION("""COMPUTED_VALUE"""),0.1875)</f>
        <v>0.1875</v>
      </c>
      <c r="S231" s="139">
        <f>IFERROR(__xludf.DUMMYFUNCTION("""COMPUTED_VALUE"""),41.911640212561515)</f>
        <v>41.91164021</v>
      </c>
      <c r="T231" s="139">
        <f>IFERROR(__xludf.DUMMYFUNCTION("""COMPUTED_VALUE"""),25.0)</f>
        <v>25</v>
      </c>
      <c r="U231" s="136">
        <f>IFERROR(__xludf.DUMMYFUNCTION("""COMPUTED_VALUE"""),380.0)</f>
        <v>380</v>
      </c>
      <c r="V231" s="106">
        <f>IFERROR(__xludf.DUMMYFUNCTION("""COMPUTED_VALUE"""),0.47430555555183673)</f>
        <v>0.4743055556</v>
      </c>
      <c r="W231" s="143">
        <f t="shared" si="2"/>
        <v>33.38213763</v>
      </c>
      <c r="X231" s="139">
        <f>IFERROR(__xludf.DUMMYFUNCTION("""COMPUTED_VALUE"""),35.1469841275369)</f>
        <v>35.14698413</v>
      </c>
      <c r="Y231" s="141">
        <f>IFERROR(__xludf.DUMMYFUNCTION("""COMPUTED_VALUE"""),0.7359416469465131)</f>
        <v>0.7359416469</v>
      </c>
    </row>
    <row r="232">
      <c r="A232" s="144">
        <f>IFERROR(__xludf.DUMMYFUNCTION("""COMPUTED_VALUE"""),46118.43577488426)</f>
        <v>46118.43577</v>
      </c>
      <c r="B232" s="136" t="str">
        <f>IFERROR(__xludf.DUMMYFUNCTION("""COMPUTED_VALUE"""),"Sophia Kluck")</f>
        <v>Sophia Kluck</v>
      </c>
      <c r="C232" s="136" t="b">
        <f t="shared" si="3"/>
        <v>0</v>
      </c>
      <c r="D232" s="137">
        <f>IFERROR(__xludf.DUMMYFUNCTION("""COMPUTED_VALUE"""),0.3687500000014552)</f>
        <v>0.36875</v>
      </c>
      <c r="E232" s="106">
        <f>IFERROR(__xludf.DUMMYFUNCTION("""COMPUTED_VALUE"""),0.06458333333284827)</f>
        <v>0.06458333333</v>
      </c>
      <c r="F232" s="137">
        <f>IFERROR(__xludf.DUMMYFUNCTION("""COMPUTED_VALUE"""),0.43333333333430346)</f>
        <v>0.4333333333</v>
      </c>
      <c r="G232" s="106">
        <v>0.06458333333284827</v>
      </c>
      <c r="H232" s="136">
        <f>IFERROR(__xludf.DUMMYFUNCTION("""COMPUTED_VALUE"""),48.0)</f>
        <v>48</v>
      </c>
      <c r="I232" s="139">
        <v>30.96774193571646</v>
      </c>
      <c r="J232" s="136" t="s">
        <v>12</v>
      </c>
      <c r="K232" s="146">
        <f>IFERROR(__xludf.DUMMYFUNCTION("""COMPUTED_VALUE"""),46118.0)</f>
        <v>46118</v>
      </c>
      <c r="L232" s="136" t="str">
        <f t="shared" si="1"/>
        <v>Monday</v>
      </c>
      <c r="M232" s="136" t="str">
        <f>IFERROR(__xludf.DUMMYFUNCTION("""COMPUTED_VALUE"""),"BF")</f>
        <v>BF</v>
      </c>
      <c r="N232" s="141">
        <v>1.0923115570772348</v>
      </c>
      <c r="O232" s="136" t="str">
        <f>IFERROR(__xludf.DUMMYFUNCTION("""COMPUTED_VALUE"""),"")</f>
        <v/>
      </c>
      <c r="P232" s="136" t="str">
        <f>IFERROR(__xludf.DUMMYFUNCTION("""COMPUTED_VALUE"""),"")</f>
        <v/>
      </c>
      <c r="Q232" s="106" t="str">
        <f>IFERROR(__xludf.DUMMYFUNCTION("""COMPUTED_VALUE"""),"")</f>
        <v/>
      </c>
      <c r="R232" s="106" t="str">
        <f>IFERROR(__xludf.DUMMYFUNCTION("""COMPUTED_VALUE"""),"")</f>
        <v/>
      </c>
      <c r="S232" s="139" t="str">
        <f>IFERROR(__xludf.DUMMYFUNCTION("""COMPUTED_VALUE"""),"")</f>
        <v/>
      </c>
      <c r="T232" s="139" t="str">
        <f>IFERROR(__xludf.DUMMYFUNCTION("""COMPUTED_VALUE"""),"")</f>
        <v/>
      </c>
      <c r="U232" s="136" t="str">
        <f>IFERROR(__xludf.DUMMYFUNCTION("""COMPUTED_VALUE"""),"")</f>
        <v/>
      </c>
      <c r="V232" s="106" t="str">
        <f>IFERROR(__xludf.DUMMYFUNCTION("""COMPUTED_VALUE"""),"")</f>
        <v/>
      </c>
      <c r="W232" s="143" t="str">
        <f t="shared" si="2"/>
        <v/>
      </c>
      <c r="X232" s="139" t="str">
        <f>IFERROR(__xludf.DUMMYFUNCTION("""COMPUTED_VALUE"""),"")</f>
        <v/>
      </c>
      <c r="Y232" s="141" t="str">
        <f>IFERROR(__xludf.DUMMYFUNCTION("""COMPUTED_VALUE"""),"")</f>
        <v/>
      </c>
    </row>
    <row r="233">
      <c r="A233" s="144">
        <f>IFERROR(__xludf.DUMMYFUNCTION("""COMPUTED_VALUE"""),46118.64190699074)</f>
        <v>46118.64191</v>
      </c>
      <c r="B233" s="136" t="str">
        <f>IFERROR(__xludf.DUMMYFUNCTION("""COMPUTED_VALUE"""),"Brynn Hornig")</f>
        <v>Brynn Hornig</v>
      </c>
      <c r="C233" s="136" t="b">
        <f t="shared" si="3"/>
        <v>0</v>
      </c>
      <c r="D233" s="137">
        <f>IFERROR(__xludf.DUMMYFUNCTION("""COMPUTED_VALUE"""),0.5208333333357587)</f>
        <v>0.5208333333</v>
      </c>
      <c r="E233" s="106">
        <f>IFERROR(__xludf.DUMMYFUNCTION("""COMPUTED_VALUE"""),0.125)</f>
        <v>0.125</v>
      </c>
      <c r="F233" s="137">
        <f>IFERROR(__xludf.DUMMYFUNCTION("""COMPUTED_VALUE"""),0.6458333333357587)</f>
        <v>0.6458333333</v>
      </c>
      <c r="G233" s="106">
        <v>0.125</v>
      </c>
      <c r="H233" s="136">
        <f>IFERROR(__xludf.DUMMYFUNCTION("""COMPUTED_VALUE"""),111.0)</f>
        <v>111</v>
      </c>
      <c r="I233" s="139">
        <v>37.0</v>
      </c>
      <c r="J233" s="136" t="s">
        <v>15</v>
      </c>
      <c r="K233" s="146">
        <f>IFERROR(__xludf.DUMMYFUNCTION("""COMPUTED_VALUE"""),46118.0)</f>
        <v>46118</v>
      </c>
      <c r="L233" s="136" t="str">
        <f t="shared" si="1"/>
        <v>Monday</v>
      </c>
      <c r="M233" s="136" t="str">
        <f>IFERROR(__xludf.DUMMYFUNCTION("""COMPUTED_VALUE"""),"BF")</f>
        <v>BF</v>
      </c>
      <c r="N233" s="141">
        <v>1.3050847457897692</v>
      </c>
      <c r="O233" s="136" t="str">
        <f>IFERROR(__xludf.DUMMYFUNCTION("""COMPUTED_VALUE"""),"")</f>
        <v/>
      </c>
      <c r="P233" s="136" t="str">
        <f>IFERROR(__xludf.DUMMYFUNCTION("""COMPUTED_VALUE"""),"")</f>
        <v/>
      </c>
      <c r="Q233" s="106" t="str">
        <f>IFERROR(__xludf.DUMMYFUNCTION("""COMPUTED_VALUE"""),"")</f>
        <v/>
      </c>
      <c r="R233" s="106" t="str">
        <f>IFERROR(__xludf.DUMMYFUNCTION("""COMPUTED_VALUE"""),"")</f>
        <v/>
      </c>
      <c r="S233" s="139" t="str">
        <f>IFERROR(__xludf.DUMMYFUNCTION("""COMPUTED_VALUE"""),"")</f>
        <v/>
      </c>
      <c r="T233" s="139" t="str">
        <f>IFERROR(__xludf.DUMMYFUNCTION("""COMPUTED_VALUE"""),"")</f>
        <v/>
      </c>
      <c r="U233" s="136" t="str">
        <f>IFERROR(__xludf.DUMMYFUNCTION("""COMPUTED_VALUE"""),"")</f>
        <v/>
      </c>
      <c r="V233" s="106" t="str">
        <f>IFERROR(__xludf.DUMMYFUNCTION("""COMPUTED_VALUE"""),"")</f>
        <v/>
      </c>
      <c r="W233" s="143" t="str">
        <f t="shared" si="2"/>
        <v/>
      </c>
      <c r="X233" s="139" t="str">
        <f>IFERROR(__xludf.DUMMYFUNCTION("""COMPUTED_VALUE"""),"")</f>
        <v/>
      </c>
      <c r="Y233" s="141" t="str">
        <f>IFERROR(__xludf.DUMMYFUNCTION("""COMPUTED_VALUE"""),"")</f>
        <v/>
      </c>
    </row>
    <row r="234">
      <c r="A234" s="144">
        <f>IFERROR(__xludf.DUMMYFUNCTION("""COMPUTED_VALUE"""),46118.74560559027)</f>
        <v>46118.74561</v>
      </c>
      <c r="B234" s="136" t="str">
        <f>IFERROR(__xludf.DUMMYFUNCTION("""COMPUTED_VALUE"""),"Orpheus Wilson")</f>
        <v>Orpheus Wilson</v>
      </c>
      <c r="C234" s="136" t="b">
        <f t="shared" si="3"/>
        <v>0</v>
      </c>
      <c r="D234" s="137">
        <f>IFERROR(__xludf.DUMMYFUNCTION("""COMPUTED_VALUE"""),0.6701388888905058)</f>
        <v>0.6701388889</v>
      </c>
      <c r="E234" s="106">
        <f>IFERROR(__xludf.DUMMYFUNCTION("""COMPUTED_VALUE"""),0.07638888889050577)</f>
        <v>0.07638888889</v>
      </c>
      <c r="F234" s="137">
        <f>IFERROR(__xludf.DUMMYFUNCTION("""COMPUTED_VALUE"""),0.7465277777810115)</f>
        <v>0.7465277778</v>
      </c>
      <c r="G234" s="106">
        <v>0.07638888889050577</v>
      </c>
      <c r="H234" s="136">
        <f>IFERROR(__xludf.DUMMYFUNCTION("""COMPUTED_VALUE"""),89.0)</f>
        <v>89</v>
      </c>
      <c r="I234" s="139">
        <v>48.54545454442701</v>
      </c>
      <c r="J234" s="136" t="s">
        <v>18</v>
      </c>
      <c r="K234" s="146">
        <f>IFERROR(__xludf.DUMMYFUNCTION("""COMPUTED_VALUE"""),46118.0)</f>
        <v>46118</v>
      </c>
      <c r="L234" s="136" t="str">
        <f t="shared" si="1"/>
        <v>Monday</v>
      </c>
      <c r="M234" s="136" t="str">
        <f>IFERROR(__xludf.DUMMYFUNCTION("""COMPUTED_VALUE"""),"MF")</f>
        <v>MF</v>
      </c>
      <c r="N234" s="141">
        <v>1.0153944737233236</v>
      </c>
      <c r="O234" s="136" t="str">
        <f>IFERROR(__xludf.DUMMYFUNCTION("""COMPUTED_VALUE"""),"")</f>
        <v/>
      </c>
      <c r="P234" s="136" t="str">
        <f>IFERROR(__xludf.DUMMYFUNCTION("""COMPUTED_VALUE"""),"")</f>
        <v/>
      </c>
      <c r="Q234" s="106" t="str">
        <f>IFERROR(__xludf.DUMMYFUNCTION("""COMPUTED_VALUE"""),"")</f>
        <v/>
      </c>
      <c r="R234" s="106" t="str">
        <f>IFERROR(__xludf.DUMMYFUNCTION("""COMPUTED_VALUE"""),"")</f>
        <v/>
      </c>
      <c r="S234" s="139" t="str">
        <f>IFERROR(__xludf.DUMMYFUNCTION("""COMPUTED_VALUE"""),"")</f>
        <v/>
      </c>
      <c r="T234" s="139" t="str">
        <f>IFERROR(__xludf.DUMMYFUNCTION("""COMPUTED_VALUE"""),"")</f>
        <v/>
      </c>
      <c r="U234" s="136" t="str">
        <f>IFERROR(__xludf.DUMMYFUNCTION("""COMPUTED_VALUE"""),"")</f>
        <v/>
      </c>
      <c r="V234" s="106" t="str">
        <f>IFERROR(__xludf.DUMMYFUNCTION("""COMPUTED_VALUE"""),"")</f>
        <v/>
      </c>
      <c r="W234" s="143" t="str">
        <f t="shared" si="2"/>
        <v/>
      </c>
      <c r="X234" s="139" t="str">
        <f>IFERROR(__xludf.DUMMYFUNCTION("""COMPUTED_VALUE"""),"")</f>
        <v/>
      </c>
      <c r="Y234" s="141" t="str">
        <f>IFERROR(__xludf.DUMMYFUNCTION("""COMPUTED_VALUE"""),"")</f>
        <v/>
      </c>
    </row>
    <row r="235">
      <c r="A235" s="144">
        <f>IFERROR(__xludf.DUMMYFUNCTION("""COMPUTED_VALUE"""),46118.86647631944)</f>
        <v>46118.86648</v>
      </c>
      <c r="B235" s="136" t="str">
        <f>IFERROR(__xludf.DUMMYFUNCTION("""COMPUTED_VALUE"""),"Maureen Surgot")</f>
        <v>Maureen Surgot</v>
      </c>
      <c r="C235" s="136" t="b">
        <f t="shared" si="3"/>
        <v>0</v>
      </c>
      <c r="D235" s="137">
        <f>IFERROR(__xludf.DUMMYFUNCTION("""COMPUTED_VALUE"""),0.75)</f>
        <v>0.75</v>
      </c>
      <c r="E235" s="106">
        <f>IFERROR(__xludf.DUMMYFUNCTION("""COMPUTED_VALUE"""),0.125)</f>
        <v>0.125</v>
      </c>
      <c r="F235" s="137">
        <f>IFERROR(__xludf.DUMMYFUNCTION("""COMPUTED_VALUE"""),0.875)</f>
        <v>0.875</v>
      </c>
      <c r="G235" s="106">
        <v>0.125</v>
      </c>
      <c r="H235" s="136">
        <f>IFERROR(__xludf.DUMMYFUNCTION("""COMPUTED_VALUE"""),134.0)</f>
        <v>134</v>
      </c>
      <c r="I235" s="139">
        <v>44.666666666666664</v>
      </c>
      <c r="J235" s="136" t="s">
        <v>18</v>
      </c>
      <c r="K235" s="146">
        <f>IFERROR(__xludf.DUMMYFUNCTION("""COMPUTED_VALUE"""),46118.0)</f>
        <v>46118</v>
      </c>
      <c r="L235" s="136" t="str">
        <f t="shared" si="1"/>
        <v>Monday</v>
      </c>
      <c r="M235" s="136" t="str">
        <f>IFERROR(__xludf.DUMMYFUNCTION("""COMPUTED_VALUE"""),"MF")</f>
        <v>MF</v>
      </c>
      <c r="N235" s="141">
        <v>0.9342643285267531</v>
      </c>
      <c r="O235" s="136">
        <f>IFERROR(__xludf.DUMMYFUNCTION("""COMPUTED_VALUE"""),328.0)</f>
        <v>328</v>
      </c>
      <c r="P235" s="136">
        <f>IFERROR(__xludf.DUMMYFUNCTION("""COMPUTED_VALUE"""),235.0)</f>
        <v>235</v>
      </c>
      <c r="Q235" s="106">
        <f>IFERROR(__xludf.DUMMYFUNCTION("""COMPUTED_VALUE"""),0.27083333333575865)</f>
        <v>0.2708333333</v>
      </c>
      <c r="R235" s="106">
        <f>IFERROR(__xludf.DUMMYFUNCTION("""COMPUTED_VALUE"""),0.23472222222335404)</f>
        <v>0.2347222222</v>
      </c>
      <c r="S235" s="139">
        <f>IFERROR(__xludf.DUMMYFUNCTION("""COMPUTED_VALUE"""),52.070707070120086)</f>
        <v>52.07070707</v>
      </c>
      <c r="T235" s="139">
        <f>IFERROR(__xludf.DUMMYFUNCTION("""COMPUTED_VALUE"""),46.0405293623499)</f>
        <v>46.04052936</v>
      </c>
      <c r="U235" s="136">
        <f>IFERROR(__xludf.DUMMYFUNCTION("""COMPUTED_VALUE"""),563.0)</f>
        <v>563</v>
      </c>
      <c r="V235" s="106">
        <f>IFERROR(__xludf.DUMMYFUNCTION("""COMPUTED_VALUE"""),0.5055555555591127)</f>
        <v>0.5055555556</v>
      </c>
      <c r="W235" s="143">
        <f t="shared" si="2"/>
        <v>46.4010989</v>
      </c>
      <c r="X235" s="139">
        <f>IFERROR(__xludf.DUMMYFUNCTION("""COMPUTED_VALUE"""),49.055618216235)</f>
        <v>49.05561822</v>
      </c>
      <c r="Y235" s="141">
        <f>IFERROR(__xludf.DUMMYFUNCTION("""COMPUTED_VALUE"""),0.9633829140293567)</f>
        <v>0.963382914</v>
      </c>
    </row>
    <row r="236">
      <c r="A236" s="144">
        <f>IFERROR(__xludf.DUMMYFUNCTION("""COMPUTED_VALUE"""),46119.49595016203)</f>
        <v>46119.49595</v>
      </c>
      <c r="B236" s="136" t="str">
        <f>IFERROR(__xludf.DUMMYFUNCTION("""COMPUTED_VALUE"""),"Kaylie Forgue")</f>
        <v>Kaylie Forgue</v>
      </c>
      <c r="C236" s="136" t="b">
        <f t="shared" si="3"/>
        <v>0</v>
      </c>
      <c r="D236" s="137">
        <f>IFERROR(__xludf.DUMMYFUNCTION("""COMPUTED_VALUE"""),0.4430555555591127)</f>
        <v>0.4430555556</v>
      </c>
      <c r="E236" s="106">
        <f>IFERROR(__xludf.DUMMYFUNCTION("""COMPUTED_VALUE"""),0.049999999995634425)</f>
        <v>0.05</v>
      </c>
      <c r="F236" s="137">
        <f>IFERROR(__xludf.DUMMYFUNCTION("""COMPUTED_VALUE"""),0.4930555555547471)</f>
        <v>0.4930555556</v>
      </c>
      <c r="G236" s="106">
        <v>0.049999999995634425</v>
      </c>
      <c r="H236" s="136">
        <f>IFERROR(__xludf.DUMMYFUNCTION("""COMPUTED_VALUE"""),142.0)</f>
        <v>142</v>
      </c>
      <c r="I236" s="139">
        <v>118.33333334366519</v>
      </c>
      <c r="J236" s="136" t="s">
        <v>134</v>
      </c>
      <c r="K236" s="146">
        <f>IFERROR(__xludf.DUMMYFUNCTION("""COMPUTED_VALUE"""),46119.0)</f>
        <v>46119</v>
      </c>
      <c r="L236" s="136" t="str">
        <f t="shared" si="1"/>
        <v>Tuesday</v>
      </c>
      <c r="M236" s="136" t="str">
        <f>IFERROR(__xludf.DUMMYFUNCTION("""COMPUTED_VALUE"""),"BF")</f>
        <v>BF</v>
      </c>
      <c r="N236" s="141">
        <v>3.545663676893902</v>
      </c>
      <c r="O236" s="136" t="str">
        <f>IFERROR(__xludf.DUMMYFUNCTION("""COMPUTED_VALUE"""),"")</f>
        <v/>
      </c>
      <c r="P236" s="136" t="str">
        <f>IFERROR(__xludf.DUMMYFUNCTION("""COMPUTED_VALUE"""),"")</f>
        <v/>
      </c>
      <c r="Q236" s="106" t="str">
        <f>IFERROR(__xludf.DUMMYFUNCTION("""COMPUTED_VALUE"""),"")</f>
        <v/>
      </c>
      <c r="R236" s="106" t="str">
        <f>IFERROR(__xludf.DUMMYFUNCTION("""COMPUTED_VALUE"""),"")</f>
        <v/>
      </c>
      <c r="S236" s="139" t="str">
        <f>IFERROR(__xludf.DUMMYFUNCTION("""COMPUTED_VALUE"""),"")</f>
        <v/>
      </c>
      <c r="T236" s="139" t="str">
        <f>IFERROR(__xludf.DUMMYFUNCTION("""COMPUTED_VALUE"""),"")</f>
        <v/>
      </c>
      <c r="U236" s="136" t="str">
        <f>IFERROR(__xludf.DUMMYFUNCTION("""COMPUTED_VALUE"""),"")</f>
        <v/>
      </c>
      <c r="V236" s="106" t="str">
        <f>IFERROR(__xludf.DUMMYFUNCTION("""COMPUTED_VALUE"""),"")</f>
        <v/>
      </c>
      <c r="W236" s="143" t="str">
        <f t="shared" si="2"/>
        <v/>
      </c>
      <c r="X236" s="139" t="str">
        <f>IFERROR(__xludf.DUMMYFUNCTION("""COMPUTED_VALUE"""),"")</f>
        <v/>
      </c>
      <c r="Y236" s="141" t="str">
        <f>IFERROR(__xludf.DUMMYFUNCTION("""COMPUTED_VALUE"""),"")</f>
        <v/>
      </c>
    </row>
    <row r="237">
      <c r="A237" s="144">
        <f>IFERROR(__xludf.DUMMYFUNCTION("""COMPUTED_VALUE"""),46119.54399613426)</f>
        <v>46119.544</v>
      </c>
      <c r="B237" s="136" t="str">
        <f>IFERROR(__xludf.DUMMYFUNCTION("""COMPUTED_VALUE"""),"Kyra Turner")</f>
        <v>Kyra Turner</v>
      </c>
      <c r="C237" s="136" t="b">
        <f t="shared" si="3"/>
        <v>0</v>
      </c>
      <c r="D237" s="137">
        <f>IFERROR(__xludf.DUMMYFUNCTION("""COMPUTED_VALUE"""),0.48333333333721384)</f>
        <v>0.4833333333</v>
      </c>
      <c r="E237" s="106">
        <f>IFERROR(__xludf.DUMMYFUNCTION("""COMPUTED_VALUE"""),0.0583333333270275)</f>
        <v>0.05833333333</v>
      </c>
      <c r="F237" s="137">
        <f>IFERROR(__xludf.DUMMYFUNCTION("""COMPUTED_VALUE"""),0.5416666666642413)</f>
        <v>0.5416666667</v>
      </c>
      <c r="G237" s="106">
        <v>0.1312499999985448</v>
      </c>
      <c r="H237" s="136">
        <f>IFERROR(__xludf.DUMMYFUNCTION("""COMPUTED_VALUE"""),183.0)</f>
        <v>183</v>
      </c>
      <c r="I237" s="139">
        <v>110.1587301599515</v>
      </c>
      <c r="J237" s="136" t="s">
        <v>15</v>
      </c>
      <c r="K237" s="146">
        <f>IFERROR(__xludf.DUMMYFUNCTION("""COMPUTED_VALUE"""),46119.0)</f>
        <v>46119</v>
      </c>
      <c r="L237" s="136" t="str">
        <f t="shared" si="1"/>
        <v>Tuesday</v>
      </c>
      <c r="M237" s="136" t="str">
        <f>IFERROR(__xludf.DUMMYFUNCTION("""COMPUTED_VALUE"""),"MF")</f>
        <v>MF</v>
      </c>
      <c r="N237" s="141">
        <v>2.191014718995203</v>
      </c>
      <c r="O237" s="136" t="str">
        <f>IFERROR(__xludf.DUMMYFUNCTION("""COMPUTED_VALUE"""),"")</f>
        <v/>
      </c>
      <c r="P237" s="136" t="str">
        <f>IFERROR(__xludf.DUMMYFUNCTION("""COMPUTED_VALUE"""),"")</f>
        <v/>
      </c>
      <c r="Q237" s="106" t="str">
        <f>IFERROR(__xludf.DUMMYFUNCTION("""COMPUTED_VALUE"""),"")</f>
        <v/>
      </c>
      <c r="R237" s="106" t="str">
        <f>IFERROR(__xludf.DUMMYFUNCTION("""COMPUTED_VALUE"""),"")</f>
        <v/>
      </c>
      <c r="S237" s="139" t="str">
        <f>IFERROR(__xludf.DUMMYFUNCTION("""COMPUTED_VALUE"""),"")</f>
        <v/>
      </c>
      <c r="T237" s="139" t="str">
        <f>IFERROR(__xludf.DUMMYFUNCTION("""COMPUTED_VALUE"""),"")</f>
        <v/>
      </c>
      <c r="U237" s="136" t="str">
        <f>IFERROR(__xludf.DUMMYFUNCTION("""COMPUTED_VALUE"""),"")</f>
        <v/>
      </c>
      <c r="V237" s="106" t="str">
        <f>IFERROR(__xludf.DUMMYFUNCTION("""COMPUTED_VALUE"""),"")</f>
        <v/>
      </c>
      <c r="W237" s="143" t="str">
        <f t="shared" si="2"/>
        <v/>
      </c>
      <c r="X237" s="139" t="str">
        <f>IFERROR(__xludf.DUMMYFUNCTION("""COMPUTED_VALUE"""),"")</f>
        <v/>
      </c>
      <c r="Y237" s="141" t="str">
        <f>IFERROR(__xludf.DUMMYFUNCTION("""COMPUTED_VALUE"""),"")</f>
        <v/>
      </c>
    </row>
    <row r="238">
      <c r="A238" s="144">
        <f>IFERROR(__xludf.DUMMYFUNCTION("""COMPUTED_VALUE"""),46119.62545090278)</f>
        <v>46119.62545</v>
      </c>
      <c r="B238" s="136" t="str">
        <f>IFERROR(__xludf.DUMMYFUNCTION("""COMPUTED_VALUE"""),"Kyra Turner")</f>
        <v>Kyra Turner</v>
      </c>
      <c r="C238" s="136" t="b">
        <f t="shared" si="3"/>
        <v>1</v>
      </c>
      <c r="D238" s="137">
        <f>IFERROR(__xludf.DUMMYFUNCTION("""COMPUTED_VALUE"""),0.5486111111094942)</f>
        <v>0.5486111111</v>
      </c>
      <c r="E238" s="106">
        <f>IFERROR(__xludf.DUMMYFUNCTION("""COMPUTED_VALUE"""),0.0729166666715173)</f>
        <v>0.07291666667</v>
      </c>
      <c r="F238" s="137">
        <f>IFERROR(__xludf.DUMMYFUNCTION("""COMPUTED_VALUE"""),0.6215277777810115)</f>
        <v>0.6215277778</v>
      </c>
      <c r="G238" s="106" t="s">
        <v>133</v>
      </c>
      <c r="H238" s="136">
        <f>IFERROR(__xludf.DUMMYFUNCTION("""COMPUTED_VALUE"""),164.0)</f>
        <v>164</v>
      </c>
      <c r="I238" s="139" t="s">
        <v>133</v>
      </c>
      <c r="J238" s="136" t="s">
        <v>15</v>
      </c>
      <c r="K238" s="146">
        <f>IFERROR(__xludf.DUMMYFUNCTION("""COMPUTED_VALUE"""),46119.0)</f>
        <v>46119</v>
      </c>
      <c r="L238" s="136" t="str">
        <f t="shared" si="1"/>
        <v>Tuesday</v>
      </c>
      <c r="M238" s="136" t="str">
        <f>IFERROR(__xludf.DUMMYFUNCTION("""COMPUTED_VALUE"""),"MF")</f>
        <v>MF</v>
      </c>
      <c r="N238" s="141" t="s">
        <v>133</v>
      </c>
      <c r="O238" s="136" t="str">
        <f>IFERROR(__xludf.DUMMYFUNCTION("""COMPUTED_VALUE"""),"")</f>
        <v/>
      </c>
      <c r="P238" s="136" t="str">
        <f>IFERROR(__xludf.DUMMYFUNCTION("""COMPUTED_VALUE"""),"")</f>
        <v/>
      </c>
      <c r="Q238" s="106" t="str">
        <f>IFERROR(__xludf.DUMMYFUNCTION("""COMPUTED_VALUE"""),"")</f>
        <v/>
      </c>
      <c r="R238" s="106" t="str">
        <f>IFERROR(__xludf.DUMMYFUNCTION("""COMPUTED_VALUE"""),"")</f>
        <v/>
      </c>
      <c r="S238" s="139" t="str">
        <f>IFERROR(__xludf.DUMMYFUNCTION("""COMPUTED_VALUE"""),"")</f>
        <v/>
      </c>
      <c r="T238" s="139" t="str">
        <f>IFERROR(__xludf.DUMMYFUNCTION("""COMPUTED_VALUE"""),"")</f>
        <v/>
      </c>
      <c r="U238" s="136" t="str">
        <f>IFERROR(__xludf.DUMMYFUNCTION("""COMPUTED_VALUE"""),"")</f>
        <v/>
      </c>
      <c r="V238" s="106" t="str">
        <f>IFERROR(__xludf.DUMMYFUNCTION("""COMPUTED_VALUE"""),"")</f>
        <v/>
      </c>
      <c r="W238" s="143" t="str">
        <f t="shared" si="2"/>
        <v/>
      </c>
      <c r="X238" s="139" t="str">
        <f>IFERROR(__xludf.DUMMYFUNCTION("""COMPUTED_VALUE"""),"")</f>
        <v/>
      </c>
      <c r="Y238" s="141" t="str">
        <f>IFERROR(__xludf.DUMMYFUNCTION("""COMPUTED_VALUE"""),"")</f>
        <v/>
      </c>
    </row>
    <row r="239">
      <c r="A239" s="144">
        <f>IFERROR(__xludf.DUMMYFUNCTION("""COMPUTED_VALUE"""),46119.85352056713)</f>
        <v>46119.85352</v>
      </c>
      <c r="B239" s="136" t="str">
        <f>IFERROR(__xludf.DUMMYFUNCTION("""COMPUTED_VALUE"""),"Leah Bucci")</f>
        <v>Leah Bucci</v>
      </c>
      <c r="C239" s="136" t="b">
        <f t="shared" si="3"/>
        <v>0</v>
      </c>
      <c r="D239" s="137">
        <f>IFERROR(__xludf.DUMMYFUNCTION("""COMPUTED_VALUE"""),0.6875)</f>
        <v>0.6875</v>
      </c>
      <c r="E239" s="106">
        <f>IFERROR(__xludf.DUMMYFUNCTION("""COMPUTED_VALUE"""),0.16111111111240461)</f>
        <v>0.1611111111</v>
      </c>
      <c r="F239" s="137">
        <f>IFERROR(__xludf.DUMMYFUNCTION("""COMPUTED_VALUE"""),0.8486111111124046)</f>
        <v>0.8486111111</v>
      </c>
      <c r="G239" s="106">
        <v>0.16111111111240461</v>
      </c>
      <c r="H239" s="136">
        <f>IFERROR(__xludf.DUMMYFUNCTION("""COMPUTED_VALUE"""),173.0)</f>
        <v>173</v>
      </c>
      <c r="I239" s="139">
        <v>44.74137930998562</v>
      </c>
      <c r="J239" s="136" t="s">
        <v>18</v>
      </c>
      <c r="K239" s="146">
        <f>IFERROR(__xludf.DUMMYFUNCTION("""COMPUTED_VALUE"""),46119.0)</f>
        <v>46119</v>
      </c>
      <c r="L239" s="136" t="str">
        <f t="shared" si="1"/>
        <v>Tuesday</v>
      </c>
      <c r="M239" s="136" t="str">
        <f>IFERROR(__xludf.DUMMYFUNCTION("""COMPUTED_VALUE"""),"BF")</f>
        <v>BF</v>
      </c>
      <c r="N239" s="141">
        <v>1.0069671046602147</v>
      </c>
      <c r="O239" s="136" t="str">
        <f>IFERROR(__xludf.DUMMYFUNCTION("""COMPUTED_VALUE"""),"")</f>
        <v/>
      </c>
      <c r="P239" s="136" t="str">
        <f>IFERROR(__xludf.DUMMYFUNCTION("""COMPUTED_VALUE"""),"")</f>
        <v/>
      </c>
      <c r="Q239" s="106" t="str">
        <f>IFERROR(__xludf.DUMMYFUNCTION("""COMPUTED_VALUE"""),"")</f>
        <v/>
      </c>
      <c r="R239" s="106" t="str">
        <f>IFERROR(__xludf.DUMMYFUNCTION("""COMPUTED_VALUE"""),"")</f>
        <v/>
      </c>
      <c r="S239" s="139" t="str">
        <f>IFERROR(__xludf.DUMMYFUNCTION("""COMPUTED_VALUE"""),"")</f>
        <v/>
      </c>
      <c r="T239" s="139" t="str">
        <f>IFERROR(__xludf.DUMMYFUNCTION("""COMPUTED_VALUE"""),"")</f>
        <v/>
      </c>
      <c r="U239" s="136" t="str">
        <f>IFERROR(__xludf.DUMMYFUNCTION("""COMPUTED_VALUE"""),"")</f>
        <v/>
      </c>
      <c r="V239" s="106" t="str">
        <f>IFERROR(__xludf.DUMMYFUNCTION("""COMPUTED_VALUE"""),"")</f>
        <v/>
      </c>
      <c r="W239" s="143" t="str">
        <f t="shared" si="2"/>
        <v/>
      </c>
      <c r="X239" s="139" t="str">
        <f>IFERROR(__xludf.DUMMYFUNCTION("""COMPUTED_VALUE"""),"")</f>
        <v/>
      </c>
      <c r="Y239" s="141" t="str">
        <f>IFERROR(__xludf.DUMMYFUNCTION("""COMPUTED_VALUE"""),"")</f>
        <v/>
      </c>
    </row>
    <row r="240">
      <c r="A240" s="144">
        <f>IFERROR(__xludf.DUMMYFUNCTION("""COMPUTED_VALUE"""),46119.87106096065)</f>
        <v>46119.87106</v>
      </c>
      <c r="B240" s="136" t="str">
        <f>IFERROR(__xludf.DUMMYFUNCTION("""COMPUTED_VALUE"""),"Laila Maisuria")</f>
        <v>Laila Maisuria</v>
      </c>
      <c r="C240" s="136" t="b">
        <f t="shared" si="3"/>
        <v>0</v>
      </c>
      <c r="D240" s="137">
        <f>IFERROR(__xludf.DUMMYFUNCTION("""COMPUTED_VALUE"""),0.75)</f>
        <v>0.75</v>
      </c>
      <c r="E240" s="106">
        <f>IFERROR(__xludf.DUMMYFUNCTION("""COMPUTED_VALUE"""),0.12013888888759539)</f>
        <v>0.1201388889</v>
      </c>
      <c r="F240" s="137">
        <f>IFERROR(__xludf.DUMMYFUNCTION("""COMPUTED_VALUE"""),0.8701388888875954)</f>
        <v>0.8701388889</v>
      </c>
      <c r="G240" s="106">
        <v>0.12013888888759539</v>
      </c>
      <c r="H240" s="136">
        <f>IFERROR(__xludf.DUMMYFUNCTION("""COMPUTED_VALUE"""),149.0)</f>
        <v>149</v>
      </c>
      <c r="I240" s="139">
        <v>51.67630057859107</v>
      </c>
      <c r="J240" s="136" t="s">
        <v>18</v>
      </c>
      <c r="K240" s="146">
        <f>IFERROR(__xludf.DUMMYFUNCTION("""COMPUTED_VALUE"""),46119.0)</f>
        <v>46119</v>
      </c>
      <c r="L240" s="136" t="str">
        <f t="shared" si="1"/>
        <v>Tuesday</v>
      </c>
      <c r="M240" s="136" t="str">
        <f>IFERROR(__xludf.DUMMYFUNCTION("""COMPUTED_VALUE"""),"MF")</f>
        <v>MF</v>
      </c>
      <c r="N240" s="141">
        <v>1.080880393898598</v>
      </c>
      <c r="O240" s="136">
        <f>IFERROR(__xludf.DUMMYFUNCTION("""COMPUTED_VALUE"""),496.0)</f>
        <v>496</v>
      </c>
      <c r="P240" s="136">
        <f>IFERROR(__xludf.DUMMYFUNCTION("""COMPUTED_VALUE"""),315.0)</f>
        <v>315</v>
      </c>
      <c r="Q240" s="106">
        <f>IFERROR(__xludf.DUMMYFUNCTION("""COMPUTED_VALUE"""),0.2513888888861402)</f>
        <v>0.2513888889</v>
      </c>
      <c r="R240" s="106">
        <f>IFERROR(__xludf.DUMMYFUNCTION("""COMPUTED_VALUE"""),0.21111111110803904)</f>
        <v>0.2111111111</v>
      </c>
      <c r="S240" s="139">
        <f>IFERROR(__xludf.DUMMYFUNCTION("""COMPUTED_VALUE"""),80.91751536927129)</f>
        <v>80.91751537</v>
      </c>
      <c r="T240" s="139">
        <f>IFERROR(__xludf.DUMMYFUNCTION("""COMPUTED_VALUE"""),81.5373563268254)</f>
        <v>81.53735633</v>
      </c>
      <c r="U240" s="136">
        <f>IFERROR(__xludf.DUMMYFUNCTION("""COMPUTED_VALUE"""),811.0)</f>
        <v>811</v>
      </c>
      <c r="V240" s="106">
        <f>IFERROR(__xludf.DUMMYFUNCTION("""COMPUTED_VALUE"""),0.46249999999417923)</f>
        <v>0.4625</v>
      </c>
      <c r="W240" s="143">
        <f t="shared" si="2"/>
        <v>73.06306306</v>
      </c>
      <c r="X240" s="139">
        <f>IFERROR(__xludf.DUMMYFUNCTION("""COMPUTED_VALUE"""),81.22743584804834)</f>
        <v>81.22743585</v>
      </c>
      <c r="Y240" s="141">
        <f>IFERROR(__xludf.DUMMYFUNCTION("""COMPUTED_VALUE"""),1.1838343116554904)</f>
        <v>1.183834312</v>
      </c>
    </row>
    <row r="241">
      <c r="A241" s="144">
        <f>IFERROR(__xludf.DUMMYFUNCTION("""COMPUTED_VALUE"""),46120.39920733796)</f>
        <v>46120.39921</v>
      </c>
      <c r="B241" s="136" t="str">
        <f>IFERROR(__xludf.DUMMYFUNCTION("""COMPUTED_VALUE"""),"Kaylie Forgue")</f>
        <v>Kaylie Forgue</v>
      </c>
      <c r="C241" s="136" t="b">
        <f t="shared" si="3"/>
        <v>0</v>
      </c>
      <c r="D241" s="137">
        <f>IFERROR(__xludf.DUMMYFUNCTION("""COMPUTED_VALUE"""),0.31597222221898846)</f>
        <v>0.3159722222</v>
      </c>
      <c r="E241" s="106">
        <f>IFERROR(__xludf.DUMMYFUNCTION("""COMPUTED_VALUE"""),0.07986111111677019)</f>
        <v>0.07986111112</v>
      </c>
      <c r="F241" s="137">
        <f>IFERROR(__xludf.DUMMYFUNCTION("""COMPUTED_VALUE"""),0.39583333333575865)</f>
        <v>0.3958333333</v>
      </c>
      <c r="G241" s="106">
        <v>0.11111111111677019</v>
      </c>
      <c r="H241" s="136">
        <f>IFERROR(__xludf.DUMMYFUNCTION("""COMPUTED_VALUE"""),156.0)</f>
        <v>156</v>
      </c>
      <c r="I241" s="139">
        <v>74.24999999621832</v>
      </c>
      <c r="J241" s="136" t="s">
        <v>12</v>
      </c>
      <c r="K241" s="146">
        <f>IFERROR(__xludf.DUMMYFUNCTION("""COMPUTED_VALUE"""),46120.0)</f>
        <v>46120</v>
      </c>
      <c r="L241" s="136" t="str">
        <f t="shared" si="1"/>
        <v>Wednesday</v>
      </c>
      <c r="M241" s="136" t="str">
        <f>IFERROR(__xludf.DUMMYFUNCTION("""COMPUTED_VALUE"""),"BF")</f>
        <v>BF</v>
      </c>
      <c r="N241" s="141">
        <v>2.6189876316204037</v>
      </c>
      <c r="O241" s="136" t="str">
        <f>IFERROR(__xludf.DUMMYFUNCTION("""COMPUTED_VALUE"""),"")</f>
        <v/>
      </c>
      <c r="P241" s="136" t="str">
        <f>IFERROR(__xludf.DUMMYFUNCTION("""COMPUTED_VALUE"""),"")</f>
        <v/>
      </c>
      <c r="Q241" s="106" t="str">
        <f>IFERROR(__xludf.DUMMYFUNCTION("""COMPUTED_VALUE"""),"")</f>
        <v/>
      </c>
      <c r="R241" s="106" t="str">
        <f>IFERROR(__xludf.DUMMYFUNCTION("""COMPUTED_VALUE"""),"")</f>
        <v/>
      </c>
      <c r="S241" s="139" t="str">
        <f>IFERROR(__xludf.DUMMYFUNCTION("""COMPUTED_VALUE"""),"")</f>
        <v/>
      </c>
      <c r="T241" s="139" t="str">
        <f>IFERROR(__xludf.DUMMYFUNCTION("""COMPUTED_VALUE"""),"")</f>
        <v/>
      </c>
      <c r="U241" s="136" t="str">
        <f>IFERROR(__xludf.DUMMYFUNCTION("""COMPUTED_VALUE"""),"")</f>
        <v/>
      </c>
      <c r="V241" s="106" t="str">
        <f>IFERROR(__xludf.DUMMYFUNCTION("""COMPUTED_VALUE"""),"")</f>
        <v/>
      </c>
      <c r="W241" s="143" t="str">
        <f t="shared" si="2"/>
        <v/>
      </c>
      <c r="X241" s="139" t="str">
        <f>IFERROR(__xludf.DUMMYFUNCTION("""COMPUTED_VALUE"""),"")</f>
        <v/>
      </c>
      <c r="Y241" s="141" t="str">
        <f>IFERROR(__xludf.DUMMYFUNCTION("""COMPUTED_VALUE"""),"")</f>
        <v/>
      </c>
    </row>
    <row r="242">
      <c r="A242" s="144">
        <f>IFERROR(__xludf.DUMMYFUNCTION("""COMPUTED_VALUE"""),46120.4317004051)</f>
        <v>46120.4317</v>
      </c>
      <c r="B242" s="136" t="str">
        <f>IFERROR(__xludf.DUMMYFUNCTION("""COMPUTED_VALUE"""),"Kaylie Forgue")</f>
        <v>Kaylie Forgue</v>
      </c>
      <c r="C242" s="136" t="b">
        <f t="shared" si="3"/>
        <v>1</v>
      </c>
      <c r="D242" s="137">
        <f>IFERROR(__xludf.DUMMYFUNCTION("""COMPUTED_VALUE"""),0.39722222222189885)</f>
        <v>0.3972222222</v>
      </c>
      <c r="E242" s="106">
        <f>IFERROR(__xludf.DUMMYFUNCTION("""COMPUTED_VALUE"""),0.03125)</f>
        <v>0.03125</v>
      </c>
      <c r="F242" s="137">
        <f>IFERROR(__xludf.DUMMYFUNCTION("""COMPUTED_VALUE"""),0.42847222222189885)</f>
        <v>0.4284722222</v>
      </c>
      <c r="G242" s="106" t="s">
        <v>133</v>
      </c>
      <c r="H242" s="136">
        <f>IFERROR(__xludf.DUMMYFUNCTION("""COMPUTED_VALUE"""),42.0)</f>
        <v>42</v>
      </c>
      <c r="I242" s="139" t="s">
        <v>133</v>
      </c>
      <c r="J242" s="136" t="s">
        <v>12</v>
      </c>
      <c r="K242" s="146">
        <f>IFERROR(__xludf.DUMMYFUNCTION("""COMPUTED_VALUE"""),46120.0)</f>
        <v>46120</v>
      </c>
      <c r="L242" s="136" t="str">
        <f t="shared" si="1"/>
        <v>Wednesday</v>
      </c>
      <c r="M242" s="136" t="str">
        <f>IFERROR(__xludf.DUMMYFUNCTION("""COMPUTED_VALUE"""),"BF")</f>
        <v>BF</v>
      </c>
      <c r="N242" s="141" t="s">
        <v>133</v>
      </c>
      <c r="O242" s="136" t="str">
        <f>IFERROR(__xludf.DUMMYFUNCTION("""COMPUTED_VALUE"""),"")</f>
        <v/>
      </c>
      <c r="P242" s="136" t="str">
        <f>IFERROR(__xludf.DUMMYFUNCTION("""COMPUTED_VALUE"""),"")</f>
        <v/>
      </c>
      <c r="Q242" s="106" t="str">
        <f>IFERROR(__xludf.DUMMYFUNCTION("""COMPUTED_VALUE"""),"")</f>
        <v/>
      </c>
      <c r="R242" s="106" t="str">
        <f>IFERROR(__xludf.DUMMYFUNCTION("""COMPUTED_VALUE"""),"")</f>
        <v/>
      </c>
      <c r="S242" s="139" t="str">
        <f>IFERROR(__xludf.DUMMYFUNCTION("""COMPUTED_VALUE"""),"")</f>
        <v/>
      </c>
      <c r="T242" s="139" t="str">
        <f>IFERROR(__xludf.DUMMYFUNCTION("""COMPUTED_VALUE"""),"")</f>
        <v/>
      </c>
      <c r="U242" s="136" t="str">
        <f>IFERROR(__xludf.DUMMYFUNCTION("""COMPUTED_VALUE"""),"")</f>
        <v/>
      </c>
      <c r="V242" s="106" t="str">
        <f>IFERROR(__xludf.DUMMYFUNCTION("""COMPUTED_VALUE"""),"")</f>
        <v/>
      </c>
      <c r="W242" s="143" t="str">
        <f t="shared" si="2"/>
        <v/>
      </c>
      <c r="X242" s="139" t="str">
        <f>IFERROR(__xludf.DUMMYFUNCTION("""COMPUTED_VALUE"""),"")</f>
        <v/>
      </c>
      <c r="Y242" s="141" t="str">
        <f>IFERROR(__xludf.DUMMYFUNCTION("""COMPUTED_VALUE"""),"")</f>
        <v/>
      </c>
    </row>
    <row r="243">
      <c r="A243" s="144">
        <f>IFERROR(__xludf.DUMMYFUNCTION("""COMPUTED_VALUE"""),46120.47689122685)</f>
        <v>46120.47689</v>
      </c>
      <c r="B243" s="136" t="str">
        <f>IFERROR(__xludf.DUMMYFUNCTION("""COMPUTED_VALUE"""),"Oluwatimilehin Shodipe")</f>
        <v>Oluwatimilehin Shodipe</v>
      </c>
      <c r="C243" s="136" t="b">
        <f t="shared" si="3"/>
        <v>0</v>
      </c>
      <c r="D243" s="137">
        <f>IFERROR(__xludf.DUMMYFUNCTION("""COMPUTED_VALUE"""),0.4305555555547471)</f>
        <v>0.4305555556</v>
      </c>
      <c r="E243" s="106">
        <f>IFERROR(__xludf.DUMMYFUNCTION("""COMPUTED_VALUE"""),0.04861111110949423)</f>
        <v>0.04861111111</v>
      </c>
      <c r="F243" s="137">
        <f>IFERROR(__xludf.DUMMYFUNCTION("""COMPUTED_VALUE"""),0.47916666666424135)</f>
        <v>0.4791666667</v>
      </c>
      <c r="G243" s="106">
        <v>0.04861111110949423</v>
      </c>
      <c r="H243" s="136">
        <f>IFERROR(__xludf.DUMMYFUNCTION("""COMPUTED_VALUE"""),84.0)</f>
        <v>84</v>
      </c>
      <c r="I243" s="139">
        <v>72.00000000239483</v>
      </c>
      <c r="J243" s="136" t="s">
        <v>134</v>
      </c>
      <c r="K243" s="146">
        <f>IFERROR(__xludf.DUMMYFUNCTION("""COMPUTED_VALUE"""),46120.0)</f>
        <v>46120</v>
      </c>
      <c r="L243" s="136" t="str">
        <f t="shared" si="1"/>
        <v>Wednesday</v>
      </c>
      <c r="M243" s="136" t="str">
        <f>IFERROR(__xludf.DUMMYFUNCTION("""COMPUTED_VALUE"""),"BF")</f>
        <v>BF</v>
      </c>
      <c r="N243" s="141">
        <v>1.907529636736538</v>
      </c>
      <c r="O243" s="136" t="str">
        <f>IFERROR(__xludf.DUMMYFUNCTION("""COMPUTED_VALUE"""),"")</f>
        <v/>
      </c>
      <c r="P243" s="136" t="str">
        <f>IFERROR(__xludf.DUMMYFUNCTION("""COMPUTED_VALUE"""),"")</f>
        <v/>
      </c>
      <c r="Q243" s="106" t="str">
        <f>IFERROR(__xludf.DUMMYFUNCTION("""COMPUTED_VALUE"""),"")</f>
        <v/>
      </c>
      <c r="R243" s="106" t="str">
        <f>IFERROR(__xludf.DUMMYFUNCTION("""COMPUTED_VALUE"""),"")</f>
        <v/>
      </c>
      <c r="S243" s="139" t="str">
        <f>IFERROR(__xludf.DUMMYFUNCTION("""COMPUTED_VALUE"""),"")</f>
        <v/>
      </c>
      <c r="T243" s="139" t="str">
        <f>IFERROR(__xludf.DUMMYFUNCTION("""COMPUTED_VALUE"""),"")</f>
        <v/>
      </c>
      <c r="U243" s="136" t="str">
        <f>IFERROR(__xludf.DUMMYFUNCTION("""COMPUTED_VALUE"""),"")</f>
        <v/>
      </c>
      <c r="V243" s="106" t="str">
        <f>IFERROR(__xludf.DUMMYFUNCTION("""COMPUTED_VALUE"""),"")</f>
        <v/>
      </c>
      <c r="W243" s="143" t="str">
        <f t="shared" si="2"/>
        <v/>
      </c>
      <c r="X243" s="139" t="str">
        <f>IFERROR(__xludf.DUMMYFUNCTION("""COMPUTED_VALUE"""),"")</f>
        <v/>
      </c>
      <c r="Y243" s="141" t="str">
        <f>IFERROR(__xludf.DUMMYFUNCTION("""COMPUTED_VALUE"""),"")</f>
        <v/>
      </c>
    </row>
    <row r="244">
      <c r="A244" s="144">
        <f>IFERROR(__xludf.DUMMYFUNCTION("""COMPUTED_VALUE"""),46120.50712494213)</f>
        <v>46120.50712</v>
      </c>
      <c r="B244" s="136" t="str">
        <f>IFERROR(__xludf.DUMMYFUNCTION("""COMPUTED_VALUE"""),"Oluwatimilehin Shodipe")</f>
        <v>Oluwatimilehin Shodipe</v>
      </c>
      <c r="C244" s="136" t="b">
        <f t="shared" si="3"/>
        <v>0</v>
      </c>
      <c r="D244" s="137">
        <f>IFERROR(__xludf.DUMMYFUNCTION("""COMPUTED_VALUE"""),0.48402777777664596)</f>
        <v>0.4840277778</v>
      </c>
      <c r="E244" s="106">
        <f>IFERROR(__xludf.DUMMYFUNCTION("""COMPUTED_VALUE"""),0.026388888887595385)</f>
        <v>0.02638888889</v>
      </c>
      <c r="F244" s="137">
        <f>IFERROR(__xludf.DUMMYFUNCTION("""COMPUTED_VALUE"""),0.5104166666642413)</f>
        <v>0.5104166667</v>
      </c>
      <c r="G244" s="106">
        <v>0.026388888887595385</v>
      </c>
      <c r="H244" s="136">
        <f>IFERROR(__xludf.DUMMYFUNCTION("""COMPUTED_VALUE"""),22.0)</f>
        <v>22</v>
      </c>
      <c r="I244" s="139">
        <v>34.73684210696585</v>
      </c>
      <c r="J244" s="136" t="s">
        <v>15</v>
      </c>
      <c r="K244" s="146">
        <f>IFERROR(__xludf.DUMMYFUNCTION("""COMPUTED_VALUE"""),46120.0)</f>
        <v>46120</v>
      </c>
      <c r="L244" s="136" t="str">
        <f t="shared" si="1"/>
        <v>Wednesday</v>
      </c>
      <c r="M244" s="136" t="str">
        <f>IFERROR(__xludf.DUMMYFUNCTION("""COMPUTED_VALUE"""),"MF")</f>
        <v>MF</v>
      </c>
      <c r="N244" s="141">
        <v>0.690902411794904</v>
      </c>
      <c r="O244" s="136" t="str">
        <f>IFERROR(__xludf.DUMMYFUNCTION("""COMPUTED_VALUE"""),"")</f>
        <v/>
      </c>
      <c r="P244" s="136" t="str">
        <f>IFERROR(__xludf.DUMMYFUNCTION("""COMPUTED_VALUE"""),"")</f>
        <v/>
      </c>
      <c r="Q244" s="106" t="str">
        <f>IFERROR(__xludf.DUMMYFUNCTION("""COMPUTED_VALUE"""),"")</f>
        <v/>
      </c>
      <c r="R244" s="106" t="str">
        <f>IFERROR(__xludf.DUMMYFUNCTION("""COMPUTED_VALUE"""),"")</f>
        <v/>
      </c>
      <c r="S244" s="139" t="str">
        <f>IFERROR(__xludf.DUMMYFUNCTION("""COMPUTED_VALUE"""),"")</f>
        <v/>
      </c>
      <c r="T244" s="139" t="str">
        <f>IFERROR(__xludf.DUMMYFUNCTION("""COMPUTED_VALUE"""),"")</f>
        <v/>
      </c>
      <c r="U244" s="136" t="str">
        <f>IFERROR(__xludf.DUMMYFUNCTION("""COMPUTED_VALUE"""),"")</f>
        <v/>
      </c>
      <c r="V244" s="106" t="str">
        <f>IFERROR(__xludf.DUMMYFUNCTION("""COMPUTED_VALUE"""),"")</f>
        <v/>
      </c>
      <c r="W244" s="143" t="str">
        <f t="shared" si="2"/>
        <v/>
      </c>
      <c r="X244" s="139" t="str">
        <f>IFERROR(__xludf.DUMMYFUNCTION("""COMPUTED_VALUE"""),"")</f>
        <v/>
      </c>
      <c r="Y244" s="141" t="str">
        <f>IFERROR(__xludf.DUMMYFUNCTION("""COMPUTED_VALUE"""),"")</f>
        <v/>
      </c>
    </row>
    <row r="245">
      <c r="A245" s="144">
        <f>IFERROR(__xludf.DUMMYFUNCTION("""COMPUTED_VALUE"""),46120.61914134259)</f>
        <v>46120.61914</v>
      </c>
      <c r="B245" s="136" t="str">
        <f>IFERROR(__xludf.DUMMYFUNCTION("""COMPUTED_VALUE"""),"Evan Morgan")</f>
        <v>Evan Morgan</v>
      </c>
      <c r="C245" s="136" t="b">
        <f t="shared" si="3"/>
        <v>0</v>
      </c>
      <c r="D245" s="137">
        <f>IFERROR(__xludf.DUMMYFUNCTION("""COMPUTED_VALUE"""),0.5416666666642413)</f>
        <v>0.5416666667</v>
      </c>
      <c r="E245" s="106">
        <f>IFERROR(__xludf.DUMMYFUNCTION("""COMPUTED_VALUE"""),0.08333333333575865)</f>
        <v>0.08333333334</v>
      </c>
      <c r="F245" s="137">
        <f>IFERROR(__xludf.DUMMYFUNCTION("""COMPUTED_VALUE"""),0.625)</f>
        <v>0.625</v>
      </c>
      <c r="G245" s="106">
        <v>0.08333333333575865</v>
      </c>
      <c r="H245" s="136">
        <f>IFERROR(__xludf.DUMMYFUNCTION("""COMPUTED_VALUE"""),75.0)</f>
        <v>75</v>
      </c>
      <c r="I245" s="139">
        <v>37.499999998908606</v>
      </c>
      <c r="J245" s="136" t="s">
        <v>15</v>
      </c>
      <c r="K245" s="146">
        <f>IFERROR(__xludf.DUMMYFUNCTION("""COMPUTED_VALUE"""),46120.0)</f>
        <v>46120</v>
      </c>
      <c r="L245" s="136" t="str">
        <f t="shared" si="1"/>
        <v>Wednesday</v>
      </c>
      <c r="M245" s="136" t="str">
        <f>IFERROR(__xludf.DUMMYFUNCTION("""COMPUTED_VALUE"""),"MF")</f>
        <v>MF</v>
      </c>
      <c r="N245" s="141">
        <v>0.7458605581294132</v>
      </c>
      <c r="O245" s="136" t="str">
        <f>IFERROR(__xludf.DUMMYFUNCTION("""COMPUTED_VALUE"""),"")</f>
        <v/>
      </c>
      <c r="P245" s="136" t="str">
        <f>IFERROR(__xludf.DUMMYFUNCTION("""COMPUTED_VALUE"""),"")</f>
        <v/>
      </c>
      <c r="Q245" s="106" t="str">
        <f>IFERROR(__xludf.DUMMYFUNCTION("""COMPUTED_VALUE"""),"")</f>
        <v/>
      </c>
      <c r="R245" s="106" t="str">
        <f>IFERROR(__xludf.DUMMYFUNCTION("""COMPUTED_VALUE"""),"")</f>
        <v/>
      </c>
      <c r="S245" s="139" t="str">
        <f>IFERROR(__xludf.DUMMYFUNCTION("""COMPUTED_VALUE"""),"")</f>
        <v/>
      </c>
      <c r="T245" s="139" t="str">
        <f>IFERROR(__xludf.DUMMYFUNCTION("""COMPUTED_VALUE"""),"")</f>
        <v/>
      </c>
      <c r="U245" s="136" t="str">
        <f>IFERROR(__xludf.DUMMYFUNCTION("""COMPUTED_VALUE"""),"")</f>
        <v/>
      </c>
      <c r="V245" s="106" t="str">
        <f>IFERROR(__xludf.DUMMYFUNCTION("""COMPUTED_VALUE"""),"")</f>
        <v/>
      </c>
      <c r="W245" s="143" t="str">
        <f t="shared" si="2"/>
        <v/>
      </c>
      <c r="X245" s="139" t="str">
        <f>IFERROR(__xludf.DUMMYFUNCTION("""COMPUTED_VALUE"""),"")</f>
        <v/>
      </c>
      <c r="Y245" s="141" t="str">
        <f>IFERROR(__xludf.DUMMYFUNCTION("""COMPUTED_VALUE"""),"")</f>
        <v/>
      </c>
    </row>
    <row r="246">
      <c r="A246" s="144">
        <f>IFERROR(__xludf.DUMMYFUNCTION("""COMPUTED_VALUE"""),46120.7420675926)</f>
        <v>46120.74207</v>
      </c>
      <c r="B246" s="136" t="str">
        <f>IFERROR(__xludf.DUMMYFUNCTION("""COMPUTED_VALUE"""),"Evan Morgan")</f>
        <v>Evan Morgan</v>
      </c>
      <c r="C246" s="136" t="b">
        <f t="shared" si="3"/>
        <v>0</v>
      </c>
      <c r="D246" s="137">
        <f>IFERROR(__xludf.DUMMYFUNCTION("""COMPUTED_VALUE"""),0.6666666666642413)</f>
        <v>0.6666666667</v>
      </c>
      <c r="E246" s="106">
        <f>IFERROR(__xludf.DUMMYFUNCTION("""COMPUTED_VALUE"""),0.06944444444525288)</f>
        <v>0.06944444445</v>
      </c>
      <c r="F246" s="137">
        <f>IFERROR(__xludf.DUMMYFUNCTION("""COMPUTED_VALUE"""),0.7361111111094942)</f>
        <v>0.7361111111</v>
      </c>
      <c r="G246" s="106">
        <v>0.06944444444525288</v>
      </c>
      <c r="H246" s="136">
        <f>IFERROR(__xludf.DUMMYFUNCTION("""COMPUTED_VALUE"""),115.0)</f>
        <v>115</v>
      </c>
      <c r="I246" s="139">
        <v>68.99999999919673</v>
      </c>
      <c r="J246" s="136" t="s">
        <v>18</v>
      </c>
      <c r="K246" s="146">
        <f>IFERROR(__xludf.DUMMYFUNCTION("""COMPUTED_VALUE"""),46120.0)</f>
        <v>46120</v>
      </c>
      <c r="L246" s="136" t="str">
        <f t="shared" si="1"/>
        <v>Wednesday</v>
      </c>
      <c r="M246" s="136" t="str">
        <f>IFERROR(__xludf.DUMMYFUNCTION("""COMPUTED_VALUE"""),"MF")</f>
        <v>MF</v>
      </c>
      <c r="N246" s="141">
        <v>1.4432292239013917</v>
      </c>
      <c r="O246" s="136" t="str">
        <f>IFERROR(__xludf.DUMMYFUNCTION("""COMPUTED_VALUE"""),"")</f>
        <v/>
      </c>
      <c r="P246" s="136" t="str">
        <f>IFERROR(__xludf.DUMMYFUNCTION("""COMPUTED_VALUE"""),"")</f>
        <v/>
      </c>
      <c r="Q246" s="106" t="str">
        <f>IFERROR(__xludf.DUMMYFUNCTION("""COMPUTED_VALUE"""),"")</f>
        <v/>
      </c>
      <c r="R246" s="106" t="str">
        <f>IFERROR(__xludf.DUMMYFUNCTION("""COMPUTED_VALUE"""),"")</f>
        <v/>
      </c>
      <c r="S246" s="139" t="str">
        <f>IFERROR(__xludf.DUMMYFUNCTION("""COMPUTED_VALUE"""),"")</f>
        <v/>
      </c>
      <c r="T246" s="139" t="str">
        <f>IFERROR(__xludf.DUMMYFUNCTION("""COMPUTED_VALUE"""),"")</f>
        <v/>
      </c>
      <c r="U246" s="136" t="str">
        <f>IFERROR(__xludf.DUMMYFUNCTION("""COMPUTED_VALUE"""),"")</f>
        <v/>
      </c>
      <c r="V246" s="106" t="str">
        <f>IFERROR(__xludf.DUMMYFUNCTION("""COMPUTED_VALUE"""),"")</f>
        <v/>
      </c>
      <c r="W246" s="143" t="str">
        <f t="shared" si="2"/>
        <v/>
      </c>
      <c r="X246" s="139" t="str">
        <f>IFERROR(__xludf.DUMMYFUNCTION("""COMPUTED_VALUE"""),"")</f>
        <v/>
      </c>
      <c r="Y246" s="141" t="str">
        <f>IFERROR(__xludf.DUMMYFUNCTION("""COMPUTED_VALUE"""),"")</f>
        <v/>
      </c>
    </row>
    <row r="247">
      <c r="A247" s="144">
        <f>IFERROR(__xludf.DUMMYFUNCTION("""COMPUTED_VALUE"""),46120.84776052083)</f>
        <v>46120.84776</v>
      </c>
      <c r="B247" s="136" t="str">
        <f>IFERROR(__xludf.DUMMYFUNCTION("""COMPUTED_VALUE"""),"Maureen Surgot")</f>
        <v>Maureen Surgot</v>
      </c>
      <c r="C247" s="136" t="b">
        <f t="shared" si="3"/>
        <v>0</v>
      </c>
      <c r="D247" s="137">
        <f>IFERROR(__xludf.DUMMYFUNCTION("""COMPUTED_VALUE"""),0.6875)</f>
        <v>0.6875</v>
      </c>
      <c r="E247" s="106">
        <f>IFERROR(__xludf.DUMMYFUNCTION("""COMPUTED_VALUE"""),0.16666666666424135)</f>
        <v>0.1666666667</v>
      </c>
      <c r="F247" s="137">
        <f>IFERROR(__xludf.DUMMYFUNCTION("""COMPUTED_VALUE"""),0.8541666666642413)</f>
        <v>0.8541666667</v>
      </c>
      <c r="G247" s="106">
        <v>0.16666666666424135</v>
      </c>
      <c r="H247" s="136">
        <f>IFERROR(__xludf.DUMMYFUNCTION("""COMPUTED_VALUE"""),135.0)</f>
        <v>135</v>
      </c>
      <c r="I247" s="139">
        <v>33.75000000049113</v>
      </c>
      <c r="J247" s="136" t="s">
        <v>18</v>
      </c>
      <c r="K247" s="146">
        <f>IFERROR(__xludf.DUMMYFUNCTION("""COMPUTED_VALUE"""),46120.0)</f>
        <v>46120</v>
      </c>
      <c r="L247" s="136" t="str">
        <f t="shared" si="1"/>
        <v>Wednesday</v>
      </c>
      <c r="M247" s="136" t="str">
        <f>IFERROR(__xludf.DUMMYFUNCTION("""COMPUTED_VALUE"""),"BF")</f>
        <v>BF</v>
      </c>
      <c r="N247" s="141">
        <v>0.7595907928388747</v>
      </c>
      <c r="O247" s="136">
        <f>IFERROR(__xludf.DUMMYFUNCTION("""COMPUTED_VALUE"""),212.0)</f>
        <v>212</v>
      </c>
      <c r="P247" s="136">
        <f>IFERROR(__xludf.DUMMYFUNCTION("""COMPUTED_VALUE"""),417.0)</f>
        <v>417</v>
      </c>
      <c r="Q247" s="106">
        <f>IFERROR(__xludf.DUMMYFUNCTION("""COMPUTED_VALUE"""),0.17916666666860692)</f>
        <v>0.1791666667</v>
      </c>
      <c r="R247" s="106">
        <f>IFERROR(__xludf.DUMMYFUNCTION("""COMPUTED_VALUE"""),0.32638888889050577)</f>
        <v>0.3263888889</v>
      </c>
      <c r="S247" s="139">
        <f>IFERROR(__xludf.DUMMYFUNCTION("""COMPUTED_VALUE"""),47.07894736835706)</f>
        <v>47.07894737</v>
      </c>
      <c r="T247" s="139">
        <f>IFERROR(__xludf.DUMMYFUNCTION("""COMPUTED_VALUE"""),59.99999999970142)</f>
        <v>60</v>
      </c>
      <c r="U247" s="136">
        <f>IFERROR(__xludf.DUMMYFUNCTION("""COMPUTED_VALUE"""),629.0)</f>
        <v>629</v>
      </c>
      <c r="V247" s="106">
        <f>IFERROR(__xludf.DUMMYFUNCTION("""COMPUTED_VALUE"""),0.5055555555591127)</f>
        <v>0.5055555556</v>
      </c>
      <c r="W247" s="143">
        <f t="shared" si="2"/>
        <v>51.84065934</v>
      </c>
      <c r="X247" s="139">
        <f>IFERROR(__xludf.DUMMYFUNCTION("""COMPUTED_VALUE"""),53.53947368402925)</f>
        <v>53.53947368</v>
      </c>
      <c r="Y247" s="141">
        <f>IFERROR(__xludf.DUMMYFUNCTION("""COMPUTED_VALUE"""),0.9648013216043095)</f>
        <v>0.9648013216</v>
      </c>
    </row>
    <row r="248">
      <c r="A248" s="144">
        <f>IFERROR(__xludf.DUMMYFUNCTION("""COMPUTED_VALUE"""),46121.377390208334)</f>
        <v>46121.37739</v>
      </c>
      <c r="B248" s="136" t="str">
        <f>IFERROR(__xludf.DUMMYFUNCTION("""COMPUTED_VALUE"""),"Evan Morgan")</f>
        <v>Evan Morgan</v>
      </c>
      <c r="C248" s="136" t="b">
        <f t="shared" si="3"/>
        <v>0</v>
      </c>
      <c r="D248" s="137">
        <f>IFERROR(__xludf.DUMMYFUNCTION("""COMPUTED_VALUE"""),0.29166666666424135)</f>
        <v>0.2916666667</v>
      </c>
      <c r="E248" s="106">
        <f>IFERROR(__xludf.DUMMYFUNCTION("""COMPUTED_VALUE"""),0.0729166666715173)</f>
        <v>0.07291666667</v>
      </c>
      <c r="F248" s="137">
        <f>IFERROR(__xludf.DUMMYFUNCTION("""COMPUTED_VALUE"""),0.36458333333575865)</f>
        <v>0.3645833333</v>
      </c>
      <c r="G248" s="106">
        <v>0.0729166666715173</v>
      </c>
      <c r="H248" s="136">
        <f>IFERROR(__xludf.DUMMYFUNCTION("""COMPUTED_VALUE"""),15.0)</f>
        <v>15</v>
      </c>
      <c r="I248" s="139">
        <v>8.571428570858373</v>
      </c>
      <c r="J248" s="136" t="s">
        <v>12</v>
      </c>
      <c r="K248" s="146">
        <f>IFERROR(__xludf.DUMMYFUNCTION("""COMPUTED_VALUE"""),46121.0)</f>
        <v>46121</v>
      </c>
      <c r="L248" s="136" t="str">
        <f t="shared" si="1"/>
        <v>Thursday</v>
      </c>
      <c r="M248" s="136" t="str">
        <f>IFERROR(__xludf.DUMMYFUNCTION("""COMPUTED_VALUE"""),"BF")</f>
        <v>BF</v>
      </c>
      <c r="N248" s="141">
        <v>0.3023362345257801</v>
      </c>
      <c r="O248" s="136" t="str">
        <f>IFERROR(__xludf.DUMMYFUNCTION("""COMPUTED_VALUE"""),"")</f>
        <v/>
      </c>
      <c r="P248" s="136" t="str">
        <f>IFERROR(__xludf.DUMMYFUNCTION("""COMPUTED_VALUE"""),"")</f>
        <v/>
      </c>
      <c r="Q248" s="106" t="str">
        <f>IFERROR(__xludf.DUMMYFUNCTION("""COMPUTED_VALUE"""),"")</f>
        <v/>
      </c>
      <c r="R248" s="106" t="str">
        <f>IFERROR(__xludf.DUMMYFUNCTION("""COMPUTED_VALUE"""),"")</f>
        <v/>
      </c>
      <c r="S248" s="139" t="str">
        <f>IFERROR(__xludf.DUMMYFUNCTION("""COMPUTED_VALUE"""),"")</f>
        <v/>
      </c>
      <c r="T248" s="139" t="str">
        <f>IFERROR(__xludf.DUMMYFUNCTION("""COMPUTED_VALUE"""),"")</f>
        <v/>
      </c>
      <c r="U248" s="136" t="str">
        <f>IFERROR(__xludf.DUMMYFUNCTION("""COMPUTED_VALUE"""),"")</f>
        <v/>
      </c>
      <c r="V248" s="106" t="str">
        <f>IFERROR(__xludf.DUMMYFUNCTION("""COMPUTED_VALUE"""),"")</f>
        <v/>
      </c>
      <c r="W248" s="143" t="str">
        <f t="shared" si="2"/>
        <v/>
      </c>
      <c r="X248" s="139" t="str">
        <f>IFERROR(__xludf.DUMMYFUNCTION("""COMPUTED_VALUE"""),"")</f>
        <v/>
      </c>
      <c r="Y248" s="141" t="str">
        <f>IFERROR(__xludf.DUMMYFUNCTION("""COMPUTED_VALUE"""),"")</f>
        <v/>
      </c>
    </row>
    <row r="249">
      <c r="A249" s="144">
        <f>IFERROR(__xludf.DUMMYFUNCTION("""COMPUTED_VALUE"""),46121.45251400463)</f>
        <v>46121.45251</v>
      </c>
      <c r="B249" s="136" t="str">
        <f>IFERROR(__xludf.DUMMYFUNCTION("""COMPUTED_VALUE"""),"Sophia Kluck")</f>
        <v>Sophia Kluck</v>
      </c>
      <c r="C249" s="136" t="b">
        <f t="shared" si="3"/>
        <v>0</v>
      </c>
      <c r="D249" s="137">
        <f>IFERROR(__xludf.DUMMYFUNCTION("""COMPUTED_VALUE"""),0.35972222222335404)</f>
        <v>0.3597222222</v>
      </c>
      <c r="E249" s="106">
        <f>IFERROR(__xludf.DUMMYFUNCTION("""COMPUTED_VALUE"""),0.08958333333430346)</f>
        <v>0.08958333333</v>
      </c>
      <c r="F249" s="137">
        <f>IFERROR(__xludf.DUMMYFUNCTION("""COMPUTED_VALUE"""),0.4493055555576575)</f>
        <v>0.4493055556</v>
      </c>
      <c r="G249" s="106">
        <v>0.1131944444423425</v>
      </c>
      <c r="H249" s="136">
        <f>IFERROR(__xludf.DUMMYFUNCTION("""COMPUTED_VALUE"""),54.0)</f>
        <v>54</v>
      </c>
      <c r="I249" s="139">
        <v>26.50306748515472</v>
      </c>
      <c r="J249" s="136" t="s">
        <v>12</v>
      </c>
      <c r="K249" s="146">
        <f>IFERROR(__xludf.DUMMYFUNCTION("""COMPUTED_VALUE"""),46121.0)</f>
        <v>46121</v>
      </c>
      <c r="L249" s="136" t="str">
        <f t="shared" si="1"/>
        <v>Thursday</v>
      </c>
      <c r="M249" s="136" t="str">
        <f>IFERROR(__xludf.DUMMYFUNCTION("""COMPUTED_VALUE"""),"BF")</f>
        <v>BF</v>
      </c>
      <c r="N249" s="141">
        <v>0.9348310565273579</v>
      </c>
      <c r="O249" s="136" t="str">
        <f>IFERROR(__xludf.DUMMYFUNCTION("""COMPUTED_VALUE"""),"")</f>
        <v/>
      </c>
      <c r="P249" s="136" t="str">
        <f>IFERROR(__xludf.DUMMYFUNCTION("""COMPUTED_VALUE"""),"")</f>
        <v/>
      </c>
      <c r="Q249" s="106" t="str">
        <f>IFERROR(__xludf.DUMMYFUNCTION("""COMPUTED_VALUE"""),"")</f>
        <v/>
      </c>
      <c r="R249" s="106" t="str">
        <f>IFERROR(__xludf.DUMMYFUNCTION("""COMPUTED_VALUE"""),"")</f>
        <v/>
      </c>
      <c r="S249" s="139" t="str">
        <f>IFERROR(__xludf.DUMMYFUNCTION("""COMPUTED_VALUE"""),"")</f>
        <v/>
      </c>
      <c r="T249" s="139" t="str">
        <f>IFERROR(__xludf.DUMMYFUNCTION("""COMPUTED_VALUE"""),"")</f>
        <v/>
      </c>
      <c r="U249" s="136" t="str">
        <f>IFERROR(__xludf.DUMMYFUNCTION("""COMPUTED_VALUE"""),"")</f>
        <v/>
      </c>
      <c r="V249" s="106" t="str">
        <f>IFERROR(__xludf.DUMMYFUNCTION("""COMPUTED_VALUE"""),"")</f>
        <v/>
      </c>
      <c r="W249" s="143" t="str">
        <f t="shared" si="2"/>
        <v/>
      </c>
      <c r="X249" s="139" t="str">
        <f>IFERROR(__xludf.DUMMYFUNCTION("""COMPUTED_VALUE"""),"")</f>
        <v/>
      </c>
      <c r="Y249" s="141" t="str">
        <f>IFERROR(__xludf.DUMMYFUNCTION("""COMPUTED_VALUE"""),"")</f>
        <v/>
      </c>
    </row>
    <row r="250">
      <c r="A250" s="144">
        <f>IFERROR(__xludf.DUMMYFUNCTION("""COMPUTED_VALUE"""),46121.47539706019)</f>
        <v>46121.4754</v>
      </c>
      <c r="B250" s="136" t="str">
        <f>IFERROR(__xludf.DUMMYFUNCTION("""COMPUTED_VALUE"""),"Sophia Kluck")</f>
        <v>Sophia Kluck</v>
      </c>
      <c r="C250" s="136" t="b">
        <f t="shared" si="3"/>
        <v>1</v>
      </c>
      <c r="D250" s="137">
        <f>IFERROR(__xludf.DUMMYFUNCTION("""COMPUTED_VALUE"""),0.45138888889050577)</f>
        <v>0.4513888889</v>
      </c>
      <c r="E250" s="106">
        <f>IFERROR(__xludf.DUMMYFUNCTION("""COMPUTED_VALUE"""),0.02361111110803904)</f>
        <v>0.02361111111</v>
      </c>
      <c r="F250" s="137">
        <f>IFERROR(__xludf.DUMMYFUNCTION("""COMPUTED_VALUE"""),0.4749999999985448)</f>
        <v>0.475</v>
      </c>
      <c r="G250" s="106" t="s">
        <v>133</v>
      </c>
      <c r="H250" s="136">
        <f>IFERROR(__xludf.DUMMYFUNCTION("""COMPUTED_VALUE"""),18.0)</f>
        <v>18</v>
      </c>
      <c r="I250" s="139" t="s">
        <v>133</v>
      </c>
      <c r="J250" s="136" t="s">
        <v>134</v>
      </c>
      <c r="K250" s="146">
        <f>IFERROR(__xludf.DUMMYFUNCTION("""COMPUTED_VALUE"""),46121.0)</f>
        <v>46121</v>
      </c>
      <c r="L250" s="136" t="str">
        <f t="shared" si="1"/>
        <v>Thursday</v>
      </c>
      <c r="M250" s="136" t="str">
        <f>IFERROR(__xludf.DUMMYFUNCTION("""COMPUTED_VALUE"""),"BF")</f>
        <v>BF</v>
      </c>
      <c r="N250" s="141" t="s">
        <v>133</v>
      </c>
      <c r="O250" s="136" t="str">
        <f>IFERROR(__xludf.DUMMYFUNCTION("""COMPUTED_VALUE"""),"")</f>
        <v/>
      </c>
      <c r="P250" s="136" t="str">
        <f>IFERROR(__xludf.DUMMYFUNCTION("""COMPUTED_VALUE"""),"")</f>
        <v/>
      </c>
      <c r="Q250" s="106" t="str">
        <f>IFERROR(__xludf.DUMMYFUNCTION("""COMPUTED_VALUE"""),"")</f>
        <v/>
      </c>
      <c r="R250" s="106" t="str">
        <f>IFERROR(__xludf.DUMMYFUNCTION("""COMPUTED_VALUE"""),"")</f>
        <v/>
      </c>
      <c r="S250" s="139" t="str">
        <f>IFERROR(__xludf.DUMMYFUNCTION("""COMPUTED_VALUE"""),"")</f>
        <v/>
      </c>
      <c r="T250" s="139" t="str">
        <f>IFERROR(__xludf.DUMMYFUNCTION("""COMPUTED_VALUE"""),"")</f>
        <v/>
      </c>
      <c r="U250" s="136" t="str">
        <f>IFERROR(__xludf.DUMMYFUNCTION("""COMPUTED_VALUE"""),"")</f>
        <v/>
      </c>
      <c r="V250" s="106" t="str">
        <f>IFERROR(__xludf.DUMMYFUNCTION("""COMPUTED_VALUE"""),"")</f>
        <v/>
      </c>
      <c r="W250" s="143" t="str">
        <f t="shared" si="2"/>
        <v/>
      </c>
      <c r="X250" s="139" t="str">
        <f>IFERROR(__xludf.DUMMYFUNCTION("""COMPUTED_VALUE"""),"")</f>
        <v/>
      </c>
      <c r="Y250" s="141" t="str">
        <f>IFERROR(__xludf.DUMMYFUNCTION("""COMPUTED_VALUE"""),"")</f>
        <v/>
      </c>
    </row>
    <row r="251">
      <c r="A251" s="144">
        <f>IFERROR(__xludf.DUMMYFUNCTION("""COMPUTED_VALUE"""),46121.527727719906)</f>
        <v>46121.52773</v>
      </c>
      <c r="B251" s="136" t="str">
        <f>IFERROR(__xludf.DUMMYFUNCTION("""COMPUTED_VALUE"""),"Emmett Khan")</f>
        <v>Emmett Khan</v>
      </c>
      <c r="C251" s="136" t="b">
        <f t="shared" si="3"/>
        <v>0</v>
      </c>
      <c r="D251" s="137">
        <f>IFERROR(__xludf.DUMMYFUNCTION("""COMPUTED_VALUE"""),0.47916666666424135)</f>
        <v>0.4791666667</v>
      </c>
      <c r="E251" s="106">
        <f>IFERROR(__xludf.DUMMYFUNCTION("""COMPUTED_VALUE"""),0.05208333333575865)</f>
        <v>0.05208333334</v>
      </c>
      <c r="F251" s="137">
        <f>IFERROR(__xludf.DUMMYFUNCTION("""COMPUTED_VALUE"""),0.53125)</f>
        <v>0.53125</v>
      </c>
      <c r="G251" s="106">
        <v>0.05208333333575865</v>
      </c>
      <c r="H251" s="136">
        <f>IFERROR(__xludf.DUMMYFUNCTION("""COMPUTED_VALUE"""),61.0)</f>
        <v>61</v>
      </c>
      <c r="I251" s="139">
        <v>48.799999997727575</v>
      </c>
      <c r="J251" s="136" t="s">
        <v>15</v>
      </c>
      <c r="K251" s="146">
        <f>IFERROR(__xludf.DUMMYFUNCTION("""COMPUTED_VALUE"""),46121.0)</f>
        <v>46121</v>
      </c>
      <c r="L251" s="136" t="str">
        <f t="shared" si="1"/>
        <v>Thursday</v>
      </c>
      <c r="M251" s="136" t="str">
        <f>IFERROR(__xludf.DUMMYFUNCTION("""COMPUTED_VALUE"""),"MF")</f>
        <v>MF</v>
      </c>
      <c r="N251" s="141">
        <v>0.9706132062954606</v>
      </c>
      <c r="O251" s="136" t="str">
        <f>IFERROR(__xludf.DUMMYFUNCTION("""COMPUTED_VALUE"""),"")</f>
        <v/>
      </c>
      <c r="P251" s="136" t="str">
        <f>IFERROR(__xludf.DUMMYFUNCTION("""COMPUTED_VALUE"""),"")</f>
        <v/>
      </c>
      <c r="Q251" s="106" t="str">
        <f>IFERROR(__xludf.DUMMYFUNCTION("""COMPUTED_VALUE"""),"")</f>
        <v/>
      </c>
      <c r="R251" s="106" t="str">
        <f>IFERROR(__xludf.DUMMYFUNCTION("""COMPUTED_VALUE"""),"")</f>
        <v/>
      </c>
      <c r="S251" s="139" t="str">
        <f>IFERROR(__xludf.DUMMYFUNCTION("""COMPUTED_VALUE"""),"")</f>
        <v/>
      </c>
      <c r="T251" s="139" t="str">
        <f>IFERROR(__xludf.DUMMYFUNCTION("""COMPUTED_VALUE"""),"")</f>
        <v/>
      </c>
      <c r="U251" s="136" t="str">
        <f>IFERROR(__xludf.DUMMYFUNCTION("""COMPUTED_VALUE"""),"")</f>
        <v/>
      </c>
      <c r="V251" s="106" t="str">
        <f>IFERROR(__xludf.DUMMYFUNCTION("""COMPUTED_VALUE"""),"")</f>
        <v/>
      </c>
      <c r="W251" s="143" t="str">
        <f t="shared" si="2"/>
        <v/>
      </c>
      <c r="X251" s="139" t="str">
        <f>IFERROR(__xludf.DUMMYFUNCTION("""COMPUTED_VALUE"""),"")</f>
        <v/>
      </c>
      <c r="Y251" s="141" t="str">
        <f>IFERROR(__xludf.DUMMYFUNCTION("""COMPUTED_VALUE"""),"")</f>
        <v/>
      </c>
    </row>
    <row r="252">
      <c r="A252" s="144">
        <f>IFERROR(__xludf.DUMMYFUNCTION("""COMPUTED_VALUE"""),46121.56785319444)</f>
        <v>46121.56785</v>
      </c>
      <c r="B252" s="136" t="str">
        <f>IFERROR(__xludf.DUMMYFUNCTION("""COMPUTED_VALUE"""),"Kyra Turner")</f>
        <v>Kyra Turner</v>
      </c>
      <c r="C252" s="136" t="b">
        <f t="shared" si="3"/>
        <v>0</v>
      </c>
      <c r="D252" s="137">
        <f>IFERROR(__xludf.DUMMYFUNCTION("""COMPUTED_VALUE"""),0.5020833333328483)</f>
        <v>0.5020833333</v>
      </c>
      <c r="E252" s="106">
        <f>IFERROR(__xludf.DUMMYFUNCTION("""COMPUTED_VALUE"""),0.06180555556056788)</f>
        <v>0.06180555556</v>
      </c>
      <c r="F252" s="137">
        <f>IFERROR(__xludf.DUMMYFUNCTION("""COMPUTED_VALUE"""),0.5638888888934162)</f>
        <v>0.5638888889</v>
      </c>
      <c r="G252" s="106">
        <v>0.13750000000436557</v>
      </c>
      <c r="H252" s="136">
        <f>IFERROR(__xludf.DUMMYFUNCTION("""COMPUTED_VALUE"""),94.0)</f>
        <v>94</v>
      </c>
      <c r="I252" s="139">
        <v>46.06060605914365</v>
      </c>
      <c r="J252" s="136" t="s">
        <v>15</v>
      </c>
      <c r="K252" s="146">
        <f>IFERROR(__xludf.DUMMYFUNCTION("""COMPUTED_VALUE"""),46121.0)</f>
        <v>46121</v>
      </c>
      <c r="L252" s="136" t="str">
        <f t="shared" si="1"/>
        <v>Thursday</v>
      </c>
      <c r="M252" s="136" t="str">
        <f>IFERROR(__xludf.DUMMYFUNCTION("""COMPUTED_VALUE"""),"BF")</f>
        <v>BF</v>
      </c>
      <c r="N252" s="141">
        <v>1.624675522962708</v>
      </c>
      <c r="O252" s="136" t="str">
        <f>IFERROR(__xludf.DUMMYFUNCTION("""COMPUTED_VALUE"""),"")</f>
        <v/>
      </c>
      <c r="P252" s="136" t="str">
        <f>IFERROR(__xludf.DUMMYFUNCTION("""COMPUTED_VALUE"""),"")</f>
        <v/>
      </c>
      <c r="Q252" s="106" t="str">
        <f>IFERROR(__xludf.DUMMYFUNCTION("""COMPUTED_VALUE"""),"")</f>
        <v/>
      </c>
      <c r="R252" s="106" t="str">
        <f>IFERROR(__xludf.DUMMYFUNCTION("""COMPUTED_VALUE"""),"")</f>
        <v/>
      </c>
      <c r="S252" s="139" t="str">
        <f>IFERROR(__xludf.DUMMYFUNCTION("""COMPUTED_VALUE"""),"")</f>
        <v/>
      </c>
      <c r="T252" s="139" t="str">
        <f>IFERROR(__xludf.DUMMYFUNCTION("""COMPUTED_VALUE"""),"")</f>
        <v/>
      </c>
      <c r="U252" s="136" t="str">
        <f>IFERROR(__xludf.DUMMYFUNCTION("""COMPUTED_VALUE"""),"")</f>
        <v/>
      </c>
      <c r="V252" s="106" t="str">
        <f>IFERROR(__xludf.DUMMYFUNCTION("""COMPUTED_VALUE"""),"")</f>
        <v/>
      </c>
      <c r="W252" s="143" t="str">
        <f t="shared" si="2"/>
        <v/>
      </c>
      <c r="X252" s="139" t="str">
        <f>IFERROR(__xludf.DUMMYFUNCTION("""COMPUTED_VALUE"""),"")</f>
        <v/>
      </c>
      <c r="Y252" s="141" t="str">
        <f>IFERROR(__xludf.DUMMYFUNCTION("""COMPUTED_VALUE"""),"")</f>
        <v/>
      </c>
    </row>
    <row r="253">
      <c r="A253" s="144">
        <f>IFERROR(__xludf.DUMMYFUNCTION("""COMPUTED_VALUE"""),46121.64300228009)</f>
        <v>46121.643</v>
      </c>
      <c r="B253" s="136" t="str">
        <f>IFERROR(__xludf.DUMMYFUNCTION("""COMPUTED_VALUE"""),"Kyra Turner")</f>
        <v>Kyra Turner</v>
      </c>
      <c r="C253" s="136" t="b">
        <f t="shared" si="3"/>
        <v>1</v>
      </c>
      <c r="D253" s="137">
        <f>IFERROR(__xludf.DUMMYFUNCTION("""COMPUTED_VALUE"""),0.5666666666656965)</f>
        <v>0.5666666667</v>
      </c>
      <c r="E253" s="106">
        <f>IFERROR(__xludf.DUMMYFUNCTION("""COMPUTED_VALUE"""),0.07569444444379769)</f>
        <v>0.07569444444</v>
      </c>
      <c r="F253" s="137">
        <f>IFERROR(__xludf.DUMMYFUNCTION("""COMPUTED_VALUE"""),0.6423611111094942)</f>
        <v>0.6423611111</v>
      </c>
      <c r="G253" s="106" t="s">
        <v>133</v>
      </c>
      <c r="H253" s="136">
        <f>IFERROR(__xludf.DUMMYFUNCTION("""COMPUTED_VALUE"""),58.0)</f>
        <v>58</v>
      </c>
      <c r="I253" s="139" t="s">
        <v>133</v>
      </c>
      <c r="J253" s="136" t="s">
        <v>15</v>
      </c>
      <c r="K253" s="146">
        <f>IFERROR(__xludf.DUMMYFUNCTION("""COMPUTED_VALUE"""),46121.0)</f>
        <v>46121</v>
      </c>
      <c r="L253" s="136" t="str">
        <f t="shared" si="1"/>
        <v>Thursday</v>
      </c>
      <c r="M253" s="136" t="str">
        <f>IFERROR(__xludf.DUMMYFUNCTION("""COMPUTED_VALUE"""),"BF")</f>
        <v>BF</v>
      </c>
      <c r="N253" s="141" t="s">
        <v>133</v>
      </c>
      <c r="O253" s="136" t="str">
        <f>IFERROR(__xludf.DUMMYFUNCTION("""COMPUTED_VALUE"""),"")</f>
        <v/>
      </c>
      <c r="P253" s="136" t="str">
        <f>IFERROR(__xludf.DUMMYFUNCTION("""COMPUTED_VALUE"""),"")</f>
        <v/>
      </c>
      <c r="Q253" s="106" t="str">
        <f>IFERROR(__xludf.DUMMYFUNCTION("""COMPUTED_VALUE"""),"")</f>
        <v/>
      </c>
      <c r="R253" s="106" t="str">
        <f>IFERROR(__xludf.DUMMYFUNCTION("""COMPUTED_VALUE"""),"")</f>
        <v/>
      </c>
      <c r="S253" s="139" t="str">
        <f>IFERROR(__xludf.DUMMYFUNCTION("""COMPUTED_VALUE"""),"")</f>
        <v/>
      </c>
      <c r="T253" s="139" t="str">
        <f>IFERROR(__xludf.DUMMYFUNCTION("""COMPUTED_VALUE"""),"")</f>
        <v/>
      </c>
      <c r="U253" s="136" t="str">
        <f>IFERROR(__xludf.DUMMYFUNCTION("""COMPUTED_VALUE"""),"")</f>
        <v/>
      </c>
      <c r="V253" s="106" t="str">
        <f>IFERROR(__xludf.DUMMYFUNCTION("""COMPUTED_VALUE"""),"")</f>
        <v/>
      </c>
      <c r="W253" s="143" t="str">
        <f t="shared" si="2"/>
        <v/>
      </c>
      <c r="X253" s="139" t="str">
        <f>IFERROR(__xludf.DUMMYFUNCTION("""COMPUTED_VALUE"""),"")</f>
        <v/>
      </c>
      <c r="Y253" s="141" t="str">
        <f>IFERROR(__xludf.DUMMYFUNCTION("""COMPUTED_VALUE"""),"")</f>
        <v/>
      </c>
    </row>
    <row r="254">
      <c r="A254" s="144">
        <f>IFERROR(__xludf.DUMMYFUNCTION("""COMPUTED_VALUE"""),46121.777981458334)</f>
        <v>46121.77798</v>
      </c>
      <c r="B254" s="136" t="str">
        <f>IFERROR(__xludf.DUMMYFUNCTION("""COMPUTED_VALUE"""),"Emmett Khan")</f>
        <v>Emmett Khan</v>
      </c>
      <c r="C254" s="136" t="b">
        <f t="shared" si="3"/>
        <v>0</v>
      </c>
      <c r="D254" s="137">
        <f>IFERROR(__xludf.DUMMYFUNCTION("""COMPUTED_VALUE"""),0.7083333333357587)</f>
        <v>0.7083333333</v>
      </c>
      <c r="E254" s="106">
        <f>IFERROR(__xludf.DUMMYFUNCTION("""COMPUTED_VALUE"""),0.07291666666424135)</f>
        <v>0.07291666666</v>
      </c>
      <c r="F254" s="137">
        <f>IFERROR(__xludf.DUMMYFUNCTION("""COMPUTED_VALUE"""),0.78125)</f>
        <v>0.78125</v>
      </c>
      <c r="G254" s="106">
        <v>0.07291666666424135</v>
      </c>
      <c r="H254" s="136">
        <f>IFERROR(__xludf.DUMMYFUNCTION("""COMPUTED_VALUE"""),83.0)</f>
        <v>83</v>
      </c>
      <c r="I254" s="139">
        <v>47.42857143014898</v>
      </c>
      <c r="J254" s="136" t="s">
        <v>18</v>
      </c>
      <c r="K254" s="146">
        <f>IFERROR(__xludf.DUMMYFUNCTION("""COMPUTED_VALUE"""),46121.0)</f>
        <v>46121</v>
      </c>
      <c r="L254" s="136" t="str">
        <f t="shared" si="1"/>
        <v>Thursday</v>
      </c>
      <c r="M254" s="136" t="str">
        <f>IFERROR(__xludf.DUMMYFUNCTION("""COMPUTED_VALUE"""),"MF")</f>
        <v>MF</v>
      </c>
      <c r="N254" s="141">
        <v>0.9920333382127899</v>
      </c>
      <c r="O254" s="136" t="str">
        <f>IFERROR(__xludf.DUMMYFUNCTION("""COMPUTED_VALUE"""),"")</f>
        <v/>
      </c>
      <c r="P254" s="136" t="str">
        <f>IFERROR(__xludf.DUMMYFUNCTION("""COMPUTED_VALUE"""),"")</f>
        <v/>
      </c>
      <c r="Q254" s="106" t="str">
        <f>IFERROR(__xludf.DUMMYFUNCTION("""COMPUTED_VALUE"""),"")</f>
        <v/>
      </c>
      <c r="R254" s="106" t="str">
        <f>IFERROR(__xludf.DUMMYFUNCTION("""COMPUTED_VALUE"""),"")</f>
        <v/>
      </c>
      <c r="S254" s="139" t="str">
        <f>IFERROR(__xludf.DUMMYFUNCTION("""COMPUTED_VALUE"""),"")</f>
        <v/>
      </c>
      <c r="T254" s="139" t="str">
        <f>IFERROR(__xludf.DUMMYFUNCTION("""COMPUTED_VALUE"""),"")</f>
        <v/>
      </c>
      <c r="U254" s="136" t="str">
        <f>IFERROR(__xludf.DUMMYFUNCTION("""COMPUTED_VALUE"""),"")</f>
        <v/>
      </c>
      <c r="V254" s="106" t="str">
        <f>IFERROR(__xludf.DUMMYFUNCTION("""COMPUTED_VALUE"""),"")</f>
        <v/>
      </c>
      <c r="W254" s="143" t="str">
        <f t="shared" si="2"/>
        <v/>
      </c>
      <c r="X254" s="139" t="str">
        <f>IFERROR(__xludf.DUMMYFUNCTION("""COMPUTED_VALUE"""),"")</f>
        <v/>
      </c>
      <c r="Y254" s="141" t="str">
        <f>IFERROR(__xludf.DUMMYFUNCTION("""COMPUTED_VALUE"""),"")</f>
        <v/>
      </c>
    </row>
    <row r="255">
      <c r="A255" s="144">
        <f>IFERROR(__xludf.DUMMYFUNCTION("""COMPUTED_VALUE"""),46121.84658378472)</f>
        <v>46121.84658</v>
      </c>
      <c r="B255" s="136" t="str">
        <f>IFERROR(__xludf.DUMMYFUNCTION("""COMPUTED_VALUE"""),"Leah Bucci")</f>
        <v>Leah Bucci</v>
      </c>
      <c r="C255" s="136" t="b">
        <f t="shared" si="3"/>
        <v>0</v>
      </c>
      <c r="D255" s="137">
        <f>IFERROR(__xludf.DUMMYFUNCTION("""COMPUTED_VALUE"""),0.6875)</f>
        <v>0.6875</v>
      </c>
      <c r="E255" s="106">
        <f>IFERROR(__xludf.DUMMYFUNCTION("""COMPUTED_VALUE"""),0.13541666666424135)</f>
        <v>0.1354166667</v>
      </c>
      <c r="F255" s="137">
        <f>IFERROR(__xludf.DUMMYFUNCTION("""COMPUTED_VALUE"""),0.8229166666642413)</f>
        <v>0.8229166667</v>
      </c>
      <c r="G255" s="106">
        <v>0.15972222221898846</v>
      </c>
      <c r="H255" s="136">
        <f>IFERROR(__xludf.DUMMYFUNCTION("""COMPUTED_VALUE"""),162.0)</f>
        <v>162</v>
      </c>
      <c r="I255" s="139">
        <v>49.043478261862504</v>
      </c>
      <c r="J255" s="136" t="s">
        <v>18</v>
      </c>
      <c r="K255" s="146">
        <f>IFERROR(__xludf.DUMMYFUNCTION("""COMPUTED_VALUE"""),46121.0)</f>
        <v>46121</v>
      </c>
      <c r="L255" s="136" t="str">
        <f t="shared" si="1"/>
        <v>Thursday</v>
      </c>
      <c r="M255" s="136" t="str">
        <f>IFERROR(__xludf.DUMMYFUNCTION("""COMPUTED_VALUE"""),"BF")</f>
        <v>BF</v>
      </c>
      <c r="N255" s="141">
        <v>1.1037918381025822</v>
      </c>
      <c r="O255" s="136" t="str">
        <f>IFERROR(__xludf.DUMMYFUNCTION("""COMPUTED_VALUE"""),"")</f>
        <v/>
      </c>
      <c r="P255" s="136" t="str">
        <f>IFERROR(__xludf.DUMMYFUNCTION("""COMPUTED_VALUE"""),"")</f>
        <v/>
      </c>
      <c r="Q255" s="106" t="str">
        <f>IFERROR(__xludf.DUMMYFUNCTION("""COMPUTED_VALUE"""),"")</f>
        <v/>
      </c>
      <c r="R255" s="106" t="str">
        <f>IFERROR(__xludf.DUMMYFUNCTION("""COMPUTED_VALUE"""),"")</f>
        <v/>
      </c>
      <c r="S255" s="139" t="str">
        <f>IFERROR(__xludf.DUMMYFUNCTION("""COMPUTED_VALUE"""),"")</f>
        <v/>
      </c>
      <c r="T255" s="139" t="str">
        <f>IFERROR(__xludf.DUMMYFUNCTION("""COMPUTED_VALUE"""),"")</f>
        <v/>
      </c>
      <c r="U255" s="136" t="str">
        <f>IFERROR(__xludf.DUMMYFUNCTION("""COMPUTED_VALUE"""),"")</f>
        <v/>
      </c>
      <c r="V255" s="106" t="str">
        <f>IFERROR(__xludf.DUMMYFUNCTION("""COMPUTED_VALUE"""),"")</f>
        <v/>
      </c>
      <c r="W255" s="143" t="str">
        <f t="shared" si="2"/>
        <v/>
      </c>
      <c r="X255" s="139" t="str">
        <f>IFERROR(__xludf.DUMMYFUNCTION("""COMPUTED_VALUE"""),"")</f>
        <v/>
      </c>
      <c r="Y255" s="141" t="str">
        <f>IFERROR(__xludf.DUMMYFUNCTION("""COMPUTED_VALUE"""),"")</f>
        <v/>
      </c>
    </row>
    <row r="256">
      <c r="A256" s="144">
        <f>IFERROR(__xludf.DUMMYFUNCTION("""COMPUTED_VALUE"""),46121.850836412035)</f>
        <v>46121.85084</v>
      </c>
      <c r="B256" s="136" t="str">
        <f>IFERROR(__xludf.DUMMYFUNCTION("""COMPUTED_VALUE"""),"Leah Bucci")</f>
        <v>Leah Bucci</v>
      </c>
      <c r="C256" s="136" t="b">
        <f t="shared" si="3"/>
        <v>1</v>
      </c>
      <c r="D256" s="137">
        <f>IFERROR(__xludf.DUMMYFUNCTION("""COMPUTED_VALUE"""),0.8263888888905058)</f>
        <v>0.8263888889</v>
      </c>
      <c r="E256" s="106">
        <f>IFERROR(__xludf.DUMMYFUNCTION("""COMPUTED_VALUE"""),0.024305555554747116)</f>
        <v>0.02430555555</v>
      </c>
      <c r="F256" s="137">
        <f>IFERROR(__xludf.DUMMYFUNCTION("""COMPUTED_VALUE"""),0.8506944444452529)</f>
        <v>0.8506944444</v>
      </c>
      <c r="G256" s="106" t="s">
        <v>133</v>
      </c>
      <c r="H256" s="136">
        <f>IFERROR(__xludf.DUMMYFUNCTION("""COMPUTED_VALUE"""),26.0)</f>
        <v>26</v>
      </c>
      <c r="I256" s="139" t="s">
        <v>133</v>
      </c>
      <c r="J256" s="136" t="s">
        <v>18</v>
      </c>
      <c r="K256" s="146">
        <f>IFERROR(__xludf.DUMMYFUNCTION("""COMPUTED_VALUE"""),46121.0)</f>
        <v>46121</v>
      </c>
      <c r="L256" s="136" t="str">
        <f t="shared" si="1"/>
        <v>Thursday</v>
      </c>
      <c r="M256" s="136" t="str">
        <f>IFERROR(__xludf.DUMMYFUNCTION("""COMPUTED_VALUE"""),"BF")</f>
        <v>BF</v>
      </c>
      <c r="N256" s="141" t="s">
        <v>133</v>
      </c>
      <c r="O256" s="136">
        <f>IFERROR(__xludf.DUMMYFUNCTION("""COMPUTED_VALUE"""),144.0)</f>
        <v>144</v>
      </c>
      <c r="P256" s="136">
        <f>IFERROR(__xludf.DUMMYFUNCTION("""COMPUTED_VALUE"""),427.0)</f>
        <v>427</v>
      </c>
      <c r="Q256" s="106">
        <f>IFERROR(__xludf.DUMMYFUNCTION("""COMPUTED_VALUE"""),0.125)</f>
        <v>0.125</v>
      </c>
      <c r="R256" s="106">
        <f>IFERROR(__xludf.DUMMYFUNCTION("""COMPUTED_VALUE"""),0.48333333333721384)</f>
        <v>0.4833333333</v>
      </c>
      <c r="S256" s="139">
        <f>IFERROR(__xludf.DUMMYFUNCTION("""COMPUTED_VALUE"""),48.11428571393827)</f>
        <v>48.11428571</v>
      </c>
      <c r="T256" s="139">
        <f>IFERROR(__xludf.DUMMYFUNCTION("""COMPUTED_VALUE"""),32.54464509425481)</f>
        <v>32.54464509</v>
      </c>
      <c r="U256" s="136">
        <f>IFERROR(__xludf.DUMMYFUNCTION("""COMPUTED_VALUE"""),571.0)</f>
        <v>571</v>
      </c>
      <c r="V256" s="106">
        <f>IFERROR(__xludf.DUMMYFUNCTION("""COMPUTED_VALUE"""),0.6083333333372138)</f>
        <v>0.6083333333</v>
      </c>
      <c r="W256" s="143">
        <f t="shared" si="2"/>
        <v>39.10958904</v>
      </c>
      <c r="X256" s="139">
        <f>IFERROR(__xludf.DUMMYFUNCTION("""COMPUTED_VALUE"""),37.73452530081597)</f>
        <v>37.7345253</v>
      </c>
      <c r="Y256" s="141">
        <f>IFERROR(__xludf.DUMMYFUNCTION("""COMPUTED_VALUE"""),0.5177834629303847)</f>
        <v>0.5177834629</v>
      </c>
    </row>
    <row r="257">
      <c r="A257" s="144">
        <f>IFERROR(__xludf.DUMMYFUNCTION("""COMPUTED_VALUE"""),46121.97298421296)</f>
        <v>46121.97298</v>
      </c>
      <c r="B257" s="136" t="str">
        <f>IFERROR(__xludf.DUMMYFUNCTION("""COMPUTED_VALUE"""),"Denise Romanszysn")</f>
        <v>Denise Romanszysn</v>
      </c>
      <c r="C257" s="136" t="b">
        <f t="shared" si="3"/>
        <v>0</v>
      </c>
      <c r="D257" s="137">
        <f>IFERROR(__xludf.DUMMYFUNCTION("""COMPUTED_VALUE"""),0.44097222221898846)</f>
        <v>0.4409722222</v>
      </c>
      <c r="E257" s="106">
        <f>IFERROR(__xludf.DUMMYFUNCTION("""COMPUTED_VALUE"""),0.04513888889050577)</f>
        <v>0.04513888889</v>
      </c>
      <c r="F257" s="137">
        <f>IFERROR(__xludf.DUMMYFUNCTION("""COMPUTED_VALUE"""),0.48611111110949423)</f>
        <v>0.4861111111</v>
      </c>
      <c r="G257" s="106">
        <v>0.04513888889050577</v>
      </c>
      <c r="H257" s="136">
        <f>IFERROR(__xludf.DUMMYFUNCTION("""COMPUTED_VALUE"""),76.0)</f>
        <v>76</v>
      </c>
      <c r="I257" s="139">
        <v>70.15384615133324</v>
      </c>
      <c r="J257" s="136" t="s">
        <v>134</v>
      </c>
      <c r="K257" s="146">
        <f>IFERROR(__xludf.DUMMYFUNCTION("""COMPUTED_VALUE"""),46118.0)</f>
        <v>46118</v>
      </c>
      <c r="L257" s="136" t="str">
        <f t="shared" si="1"/>
        <v>Monday</v>
      </c>
      <c r="M257" s="136" t="str">
        <f>IFERROR(__xludf.DUMMYFUNCTION("""COMPUTED_VALUE"""),"BF")</f>
        <v>BF</v>
      </c>
      <c r="N257" s="141">
        <v>2.0232480171375804</v>
      </c>
      <c r="O257" s="136" t="str">
        <f>IFERROR(__xludf.DUMMYFUNCTION("""COMPUTED_VALUE"""),"")</f>
        <v/>
      </c>
      <c r="P257" s="136" t="str">
        <f>IFERROR(__xludf.DUMMYFUNCTION("""COMPUTED_VALUE"""),"")</f>
        <v/>
      </c>
      <c r="Q257" s="106" t="str">
        <f>IFERROR(__xludf.DUMMYFUNCTION("""COMPUTED_VALUE"""),"")</f>
        <v/>
      </c>
      <c r="R257" s="106" t="str">
        <f>IFERROR(__xludf.DUMMYFUNCTION("""COMPUTED_VALUE"""),"")</f>
        <v/>
      </c>
      <c r="S257" s="139" t="str">
        <f>IFERROR(__xludf.DUMMYFUNCTION("""COMPUTED_VALUE"""),"")</f>
        <v/>
      </c>
      <c r="T257" s="139" t="str">
        <f>IFERROR(__xludf.DUMMYFUNCTION("""COMPUTED_VALUE"""),"")</f>
        <v/>
      </c>
      <c r="U257" s="136" t="str">
        <f>IFERROR(__xludf.DUMMYFUNCTION("""COMPUTED_VALUE"""),"")</f>
        <v/>
      </c>
      <c r="V257" s="106" t="str">
        <f>IFERROR(__xludf.DUMMYFUNCTION("""COMPUTED_VALUE"""),"")</f>
        <v/>
      </c>
      <c r="W257" s="143" t="str">
        <f t="shared" si="2"/>
        <v/>
      </c>
      <c r="X257" s="139" t="str">
        <f>IFERROR(__xludf.DUMMYFUNCTION("""COMPUTED_VALUE"""),"")</f>
        <v/>
      </c>
      <c r="Y257" s="141" t="str">
        <f>IFERROR(__xludf.DUMMYFUNCTION("""COMPUTED_VALUE"""),"")</f>
        <v/>
      </c>
    </row>
    <row r="258">
      <c r="A258" s="144">
        <f>IFERROR(__xludf.DUMMYFUNCTION("""COMPUTED_VALUE"""),46121.97365222222)</f>
        <v>46121.97365</v>
      </c>
      <c r="B258" s="136" t="str">
        <f>IFERROR(__xludf.DUMMYFUNCTION("""COMPUTED_VALUE"""),"Denise Romanszysn")</f>
        <v>Denise Romanszysn</v>
      </c>
      <c r="C258" s="136" t="b">
        <f t="shared" si="3"/>
        <v>0</v>
      </c>
      <c r="D258" s="137">
        <f>IFERROR(__xludf.DUMMYFUNCTION("""COMPUTED_VALUE"""),0.5520833333357587)</f>
        <v>0.5520833333</v>
      </c>
      <c r="E258" s="106">
        <f>IFERROR(__xludf.DUMMYFUNCTION("""COMPUTED_VALUE"""),0.06944444444525288)</f>
        <v>0.06944444445</v>
      </c>
      <c r="F258" s="137">
        <f>IFERROR(__xludf.DUMMYFUNCTION("""COMPUTED_VALUE"""),0.6215277777810115)</f>
        <v>0.6215277778</v>
      </c>
      <c r="G258" s="106">
        <v>0.06944444444525288</v>
      </c>
      <c r="H258" s="136">
        <f>IFERROR(__xludf.DUMMYFUNCTION("""COMPUTED_VALUE"""),105.0)</f>
        <v>105</v>
      </c>
      <c r="I258" s="139">
        <v>62.999999999266585</v>
      </c>
      <c r="J258" s="136" t="s">
        <v>15</v>
      </c>
      <c r="K258" s="146">
        <f>IFERROR(__xludf.DUMMYFUNCTION("""COMPUTED_VALUE"""),46118.0)</f>
        <v>46118</v>
      </c>
      <c r="L258" s="136" t="str">
        <f t="shared" si="1"/>
        <v>Monday</v>
      </c>
      <c r="M258" s="136" t="str">
        <f>IFERROR(__xludf.DUMMYFUNCTION("""COMPUTED_VALUE"""),"MF")</f>
        <v>MF</v>
      </c>
      <c r="N258" s="141">
        <v>1.2530457376792952</v>
      </c>
      <c r="O258" s="136">
        <f>IFERROR(__xludf.DUMMYFUNCTION("""COMPUTED_VALUE"""),328.0)</f>
        <v>328</v>
      </c>
      <c r="P258" s="136">
        <f>IFERROR(__xludf.DUMMYFUNCTION("""COMPUTED_VALUE"""),235.0)</f>
        <v>235</v>
      </c>
      <c r="Q258" s="106">
        <f>IFERROR(__xludf.DUMMYFUNCTION("""COMPUTED_VALUE"""),0.27083333333575865)</f>
        <v>0.2708333333</v>
      </c>
      <c r="R258" s="106">
        <f>IFERROR(__xludf.DUMMYFUNCTION("""COMPUTED_VALUE"""),0.23472222222335404)</f>
        <v>0.2347222222</v>
      </c>
      <c r="S258" s="139">
        <f>IFERROR(__xludf.DUMMYFUNCTION("""COMPUTED_VALUE"""),52.070707070120086)</f>
        <v>52.07070707</v>
      </c>
      <c r="T258" s="139">
        <f>IFERROR(__xludf.DUMMYFUNCTION("""COMPUTED_VALUE"""),46.0405293623499)</f>
        <v>46.04052936</v>
      </c>
      <c r="U258" s="136">
        <f>IFERROR(__xludf.DUMMYFUNCTION("""COMPUTED_VALUE"""),563.0)</f>
        <v>563</v>
      </c>
      <c r="V258" s="106">
        <f>IFERROR(__xludf.DUMMYFUNCTION("""COMPUTED_VALUE"""),0.5055555555591127)</f>
        <v>0.5055555556</v>
      </c>
      <c r="W258" s="143">
        <f t="shared" si="2"/>
        <v>46.4010989</v>
      </c>
      <c r="X258" s="139">
        <f>IFERROR(__xludf.DUMMYFUNCTION("""COMPUTED_VALUE"""),49.055618216235)</f>
        <v>49.05561822</v>
      </c>
      <c r="Y258" s="141">
        <f>IFERROR(__xludf.DUMMYFUNCTION("""COMPUTED_VALUE"""),0.9633829140293567)</f>
        <v>0.963382914</v>
      </c>
    </row>
    <row r="259">
      <c r="A259" s="144">
        <f>IFERROR(__xludf.DUMMYFUNCTION("""COMPUTED_VALUE"""),46122.440165196764)</f>
        <v>46122.44017</v>
      </c>
      <c r="B259" s="136" t="str">
        <f>IFERROR(__xludf.DUMMYFUNCTION("""COMPUTED_VALUE"""),"Kaylie Forgue")</f>
        <v>Kaylie Forgue</v>
      </c>
      <c r="C259" s="136" t="b">
        <f t="shared" si="3"/>
        <v>0</v>
      </c>
      <c r="D259" s="137">
        <f>IFERROR(__xludf.DUMMYFUNCTION("""COMPUTED_VALUE"""),0.37361111110658385)</f>
        <v>0.3736111111</v>
      </c>
      <c r="E259" s="106">
        <f>IFERROR(__xludf.DUMMYFUNCTION("""COMPUTED_VALUE"""),0.0625)</f>
        <v>0.0625</v>
      </c>
      <c r="F259" s="137">
        <f>IFERROR(__xludf.DUMMYFUNCTION("""COMPUTED_VALUE"""),0.43611111110658385)</f>
        <v>0.4361111111</v>
      </c>
      <c r="G259" s="106">
        <v>0.0625</v>
      </c>
      <c r="H259" s="136">
        <f>IFERROR(__xludf.DUMMYFUNCTION("""COMPUTED_VALUE"""),69.0)</f>
        <v>69</v>
      </c>
      <c r="I259" s="139">
        <v>46.0</v>
      </c>
      <c r="J259" s="136" t="s">
        <v>12</v>
      </c>
      <c r="K259" s="146">
        <f>IFERROR(__xludf.DUMMYFUNCTION("""COMPUTED_VALUE"""),46122.0)</f>
        <v>46122</v>
      </c>
      <c r="L259" s="136" t="str">
        <f t="shared" si="1"/>
        <v>Friday</v>
      </c>
      <c r="M259" s="136" t="str">
        <f>IFERROR(__xludf.DUMMYFUNCTION("""COMPUTED_VALUE"""),"BF")</f>
        <v>BF</v>
      </c>
      <c r="N259" s="141">
        <v>1.6225377920629562</v>
      </c>
      <c r="O259" s="136" t="str">
        <f>IFERROR(__xludf.DUMMYFUNCTION("""COMPUTED_VALUE"""),"")</f>
        <v/>
      </c>
      <c r="P259" s="136" t="str">
        <f>IFERROR(__xludf.DUMMYFUNCTION("""COMPUTED_VALUE"""),"")</f>
        <v/>
      </c>
      <c r="Q259" s="106" t="str">
        <f>IFERROR(__xludf.DUMMYFUNCTION("""COMPUTED_VALUE"""),"")</f>
        <v/>
      </c>
      <c r="R259" s="106" t="str">
        <f>IFERROR(__xludf.DUMMYFUNCTION("""COMPUTED_VALUE"""),"")</f>
        <v/>
      </c>
      <c r="S259" s="139" t="str">
        <f>IFERROR(__xludf.DUMMYFUNCTION("""COMPUTED_VALUE"""),"")</f>
        <v/>
      </c>
      <c r="T259" s="139" t="str">
        <f>IFERROR(__xludf.DUMMYFUNCTION("""COMPUTED_VALUE"""),"")</f>
        <v/>
      </c>
      <c r="U259" s="136" t="str">
        <f>IFERROR(__xludf.DUMMYFUNCTION("""COMPUTED_VALUE"""),"")</f>
        <v/>
      </c>
      <c r="V259" s="106" t="str">
        <f>IFERROR(__xludf.DUMMYFUNCTION("""COMPUTED_VALUE"""),"")</f>
        <v/>
      </c>
      <c r="W259" s="143" t="str">
        <f t="shared" si="2"/>
        <v/>
      </c>
      <c r="X259" s="139" t="str">
        <f>IFERROR(__xludf.DUMMYFUNCTION("""COMPUTED_VALUE"""),"")</f>
        <v/>
      </c>
      <c r="Y259" s="141" t="str">
        <f>IFERROR(__xludf.DUMMYFUNCTION("""COMPUTED_VALUE"""),"")</f>
        <v/>
      </c>
    </row>
    <row r="260">
      <c r="A260" s="144">
        <f>IFERROR(__xludf.DUMMYFUNCTION("""COMPUTED_VALUE"""),46122.57991917824)</f>
        <v>46122.57992</v>
      </c>
      <c r="B260" s="136" t="str">
        <f>IFERROR(__xludf.DUMMYFUNCTION("""COMPUTED_VALUE"""),"Brynn Hornig")</f>
        <v>Brynn Hornig</v>
      </c>
      <c r="C260" s="136" t="b">
        <f t="shared" si="3"/>
        <v>0</v>
      </c>
      <c r="D260" s="137">
        <f>IFERROR(__xludf.DUMMYFUNCTION("""COMPUTED_VALUE"""),0.45833333333575865)</f>
        <v>0.4583333333</v>
      </c>
      <c r="E260" s="106">
        <f>IFERROR(__xludf.DUMMYFUNCTION("""COMPUTED_VALUE"""),0.125)</f>
        <v>0.125</v>
      </c>
      <c r="F260" s="137">
        <f>IFERROR(__xludf.DUMMYFUNCTION("""COMPUTED_VALUE"""),0.5833333333357587)</f>
        <v>0.5833333333</v>
      </c>
      <c r="G260" s="106">
        <v>0.125</v>
      </c>
      <c r="H260" s="136">
        <f>IFERROR(__xludf.DUMMYFUNCTION("""COMPUTED_VALUE"""),76.0)</f>
        <v>76</v>
      </c>
      <c r="I260" s="139">
        <v>25.333333333333332</v>
      </c>
      <c r="J260" s="136" t="s">
        <v>15</v>
      </c>
      <c r="K260" s="146">
        <f>IFERROR(__xludf.DUMMYFUNCTION("""COMPUTED_VALUE"""),46122.0)</f>
        <v>46122</v>
      </c>
      <c r="L260" s="136" t="str">
        <f t="shared" si="1"/>
        <v>Friday</v>
      </c>
      <c r="M260" s="136" t="str">
        <f>IFERROR(__xludf.DUMMYFUNCTION("""COMPUTED_VALUE"""),"BF")</f>
        <v>BF</v>
      </c>
      <c r="N260" s="141">
        <v>0.8935715376578599</v>
      </c>
      <c r="O260" s="136" t="str">
        <f>IFERROR(__xludf.DUMMYFUNCTION("""COMPUTED_VALUE"""),"")</f>
        <v/>
      </c>
      <c r="P260" s="136" t="str">
        <f>IFERROR(__xludf.DUMMYFUNCTION("""COMPUTED_VALUE"""),"")</f>
        <v/>
      </c>
      <c r="Q260" s="106" t="str">
        <f>IFERROR(__xludf.DUMMYFUNCTION("""COMPUTED_VALUE"""),"")</f>
        <v/>
      </c>
      <c r="R260" s="106" t="str">
        <f>IFERROR(__xludf.DUMMYFUNCTION("""COMPUTED_VALUE"""),"")</f>
        <v/>
      </c>
      <c r="S260" s="139" t="str">
        <f>IFERROR(__xludf.DUMMYFUNCTION("""COMPUTED_VALUE"""),"")</f>
        <v/>
      </c>
      <c r="T260" s="139" t="str">
        <f>IFERROR(__xludf.DUMMYFUNCTION("""COMPUTED_VALUE"""),"")</f>
        <v/>
      </c>
      <c r="U260" s="136" t="str">
        <f>IFERROR(__xludf.DUMMYFUNCTION("""COMPUTED_VALUE"""),"")</f>
        <v/>
      </c>
      <c r="V260" s="106" t="str">
        <f>IFERROR(__xludf.DUMMYFUNCTION("""COMPUTED_VALUE"""),"")</f>
        <v/>
      </c>
      <c r="W260" s="143" t="str">
        <f t="shared" si="2"/>
        <v/>
      </c>
      <c r="X260" s="139" t="str">
        <f>IFERROR(__xludf.DUMMYFUNCTION("""COMPUTED_VALUE"""),"")</f>
        <v/>
      </c>
      <c r="Y260" s="141" t="str">
        <f>IFERROR(__xludf.DUMMYFUNCTION("""COMPUTED_VALUE"""),"")</f>
        <v/>
      </c>
    </row>
    <row r="261">
      <c r="A261" s="144">
        <f>IFERROR(__xludf.DUMMYFUNCTION("""COMPUTED_VALUE"""),46122.62504946759)</f>
        <v>46122.62505</v>
      </c>
      <c r="B261" s="136" t="str">
        <f>IFERROR(__xludf.DUMMYFUNCTION("""COMPUTED_VALUE"""),"Oluwatimilehin Shodipe")</f>
        <v>Oluwatimilehin Shodipe</v>
      </c>
      <c r="C261" s="136" t="b">
        <f t="shared" si="3"/>
        <v>0</v>
      </c>
      <c r="D261" s="137">
        <f>IFERROR(__xludf.DUMMYFUNCTION("""COMPUTED_VALUE"""),0.48611111110949423)</f>
        <v>0.4861111111</v>
      </c>
      <c r="E261" s="106">
        <f>IFERROR(__xludf.DUMMYFUNCTION("""COMPUTED_VALUE"""),0.13888888889050577)</f>
        <v>0.1388888889</v>
      </c>
      <c r="F261" s="137">
        <f>IFERROR(__xludf.DUMMYFUNCTION("""COMPUTED_VALUE"""),0.625)</f>
        <v>0.625</v>
      </c>
      <c r="G261" s="106">
        <v>0.13888888889050577</v>
      </c>
      <c r="H261" s="136">
        <f>IFERROR(__xludf.DUMMYFUNCTION("""COMPUTED_VALUE"""),182.0)</f>
        <v>182</v>
      </c>
      <c r="I261" s="139">
        <v>54.59999999936437</v>
      </c>
      <c r="J261" s="136" t="s">
        <v>15</v>
      </c>
      <c r="K261" s="146">
        <f>IFERROR(__xludf.DUMMYFUNCTION("""COMPUTED_VALUE"""),46122.0)</f>
        <v>46122</v>
      </c>
      <c r="L261" s="136" t="str">
        <f t="shared" si="1"/>
        <v>Friday</v>
      </c>
      <c r="M261" s="136" t="str">
        <f>IFERROR(__xludf.DUMMYFUNCTION("""COMPUTED_VALUE"""),"MF")</f>
        <v>MF</v>
      </c>
      <c r="N261" s="141">
        <v>1.085972972655389</v>
      </c>
      <c r="O261" s="136" t="str">
        <f>IFERROR(__xludf.DUMMYFUNCTION("""COMPUTED_VALUE"""),"")</f>
        <v/>
      </c>
      <c r="P261" s="136" t="str">
        <f>IFERROR(__xludf.DUMMYFUNCTION("""COMPUTED_VALUE"""),"")</f>
        <v/>
      </c>
      <c r="Q261" s="106" t="str">
        <f>IFERROR(__xludf.DUMMYFUNCTION("""COMPUTED_VALUE"""),"")</f>
        <v/>
      </c>
      <c r="R261" s="106" t="str">
        <f>IFERROR(__xludf.DUMMYFUNCTION("""COMPUTED_VALUE"""),"")</f>
        <v/>
      </c>
      <c r="S261" s="139" t="str">
        <f>IFERROR(__xludf.DUMMYFUNCTION("""COMPUTED_VALUE"""),"")</f>
        <v/>
      </c>
      <c r="T261" s="139" t="str">
        <f>IFERROR(__xludf.DUMMYFUNCTION("""COMPUTED_VALUE"""),"")</f>
        <v/>
      </c>
      <c r="U261" s="136" t="str">
        <f>IFERROR(__xludf.DUMMYFUNCTION("""COMPUTED_VALUE"""),"")</f>
        <v/>
      </c>
      <c r="V261" s="106" t="str">
        <f>IFERROR(__xludf.DUMMYFUNCTION("""COMPUTED_VALUE"""),"")</f>
        <v/>
      </c>
      <c r="W261" s="143" t="str">
        <f t="shared" si="2"/>
        <v/>
      </c>
      <c r="X261" s="139" t="str">
        <f>IFERROR(__xludf.DUMMYFUNCTION("""COMPUTED_VALUE"""),"")</f>
        <v/>
      </c>
      <c r="Y261" s="141" t="str">
        <f>IFERROR(__xludf.DUMMYFUNCTION("""COMPUTED_VALUE"""),"")</f>
        <v/>
      </c>
    </row>
    <row r="262">
      <c r="A262" s="144">
        <f>IFERROR(__xludf.DUMMYFUNCTION("""COMPUTED_VALUE"""),46122.74988512731)</f>
        <v>46122.74989</v>
      </c>
      <c r="B262" s="136" t="str">
        <f>IFERROR(__xludf.DUMMYFUNCTION("""COMPUTED_VALUE"""),"Leah Bucci")</f>
        <v>Leah Bucci</v>
      </c>
      <c r="C262" s="136" t="b">
        <f t="shared" si="3"/>
        <v>0</v>
      </c>
      <c r="D262" s="137">
        <f>IFERROR(__xludf.DUMMYFUNCTION("""COMPUTED_VALUE"""),0.6666666666642413)</f>
        <v>0.6666666667</v>
      </c>
      <c r="E262" s="106">
        <f>IFERROR(__xludf.DUMMYFUNCTION("""COMPUTED_VALUE"""),0.07986111111677019)</f>
        <v>0.07986111112</v>
      </c>
      <c r="F262" s="137">
        <f>IFERROR(__xludf.DUMMYFUNCTION("""COMPUTED_VALUE"""),0.7465277777810115)</f>
        <v>0.7465277778</v>
      </c>
      <c r="G262" s="106">
        <v>0.07986111111677019</v>
      </c>
      <c r="H262" s="136">
        <f>IFERROR(__xludf.DUMMYFUNCTION("""COMPUTED_VALUE"""),101.0)</f>
        <v>101</v>
      </c>
      <c r="I262" s="139">
        <v>52.69565217017895</v>
      </c>
      <c r="J262" s="136" t="s">
        <v>18</v>
      </c>
      <c r="K262" s="146">
        <f>IFERROR(__xludf.DUMMYFUNCTION("""COMPUTED_VALUE"""),46122.0)</f>
        <v>46122</v>
      </c>
      <c r="L262" s="136" t="str">
        <f t="shared" si="1"/>
        <v>Friday</v>
      </c>
      <c r="M262" s="136" t="str">
        <f>IFERROR(__xludf.DUMMYFUNCTION("""COMPUTED_VALUE"""),"MF")</f>
        <v>MF</v>
      </c>
      <c r="N262" s="141">
        <v>1.102201524426528</v>
      </c>
      <c r="O262" s="136" t="str">
        <f>IFERROR(__xludf.DUMMYFUNCTION("""COMPUTED_VALUE"""),"")</f>
        <v/>
      </c>
      <c r="P262" s="136" t="str">
        <f>IFERROR(__xludf.DUMMYFUNCTION("""COMPUTED_VALUE"""),"")</f>
        <v/>
      </c>
      <c r="Q262" s="106" t="str">
        <f>IFERROR(__xludf.DUMMYFUNCTION("""COMPUTED_VALUE"""),"")</f>
        <v/>
      </c>
      <c r="R262" s="106" t="str">
        <f>IFERROR(__xludf.DUMMYFUNCTION("""COMPUTED_VALUE"""),"")</f>
        <v/>
      </c>
      <c r="S262" s="139" t="str">
        <f>IFERROR(__xludf.DUMMYFUNCTION("""COMPUTED_VALUE"""),"")</f>
        <v/>
      </c>
      <c r="T262" s="139" t="str">
        <f>IFERROR(__xludf.DUMMYFUNCTION("""COMPUTED_VALUE"""),"")</f>
        <v/>
      </c>
      <c r="U262" s="136" t="str">
        <f>IFERROR(__xludf.DUMMYFUNCTION("""COMPUTED_VALUE"""),"")</f>
        <v/>
      </c>
      <c r="V262" s="106" t="str">
        <f>IFERROR(__xludf.DUMMYFUNCTION("""COMPUTED_VALUE"""),"")</f>
        <v/>
      </c>
      <c r="W262" s="143" t="str">
        <f t="shared" si="2"/>
        <v/>
      </c>
      <c r="X262" s="139" t="str">
        <f>IFERROR(__xludf.DUMMYFUNCTION("""COMPUTED_VALUE"""),"")</f>
        <v/>
      </c>
      <c r="Y262" s="141" t="str">
        <f>IFERROR(__xludf.DUMMYFUNCTION("""COMPUTED_VALUE"""),"")</f>
        <v/>
      </c>
    </row>
    <row r="263">
      <c r="A263" s="144">
        <f>IFERROR(__xludf.DUMMYFUNCTION("""COMPUTED_VALUE"""),46122.7889766088)</f>
        <v>46122.78898</v>
      </c>
      <c r="B263" s="136" t="str">
        <f>IFERROR(__xludf.DUMMYFUNCTION("""COMPUTED_VALUE"""),"Orpheus Wilson")</f>
        <v>Orpheus Wilson</v>
      </c>
      <c r="C263" s="136" t="b">
        <f t="shared" si="3"/>
        <v>0</v>
      </c>
      <c r="D263" s="137">
        <f>IFERROR(__xludf.DUMMYFUNCTION("""COMPUTED_VALUE"""),0.7513888888934162)</f>
        <v>0.7513888889</v>
      </c>
      <c r="E263" s="106">
        <f>IFERROR(__xludf.DUMMYFUNCTION("""COMPUTED_VALUE"""),0.03402777777228039)</f>
        <v>0.03402777777</v>
      </c>
      <c r="F263" s="137">
        <f>IFERROR(__xludf.DUMMYFUNCTION("""COMPUTED_VALUE"""),0.7854166666656965)</f>
        <v>0.7854166667</v>
      </c>
      <c r="G263" s="106">
        <v>0.070138888884685</v>
      </c>
      <c r="H263" s="136">
        <f>IFERROR(__xludf.DUMMYFUNCTION("""COMPUTED_VALUE"""),59.0)</f>
        <v>59</v>
      </c>
      <c r="I263" s="139">
        <v>73.6633663410488</v>
      </c>
      <c r="J263" s="136" t="s">
        <v>18</v>
      </c>
      <c r="K263" s="146">
        <f>IFERROR(__xludf.DUMMYFUNCTION("""COMPUTED_VALUE"""),46122.0)</f>
        <v>46122</v>
      </c>
      <c r="L263" s="136" t="str">
        <f t="shared" si="1"/>
        <v>Friday</v>
      </c>
      <c r="M263" s="136" t="str">
        <f>IFERROR(__xludf.DUMMYFUNCTION("""COMPUTED_VALUE"""),"MF")</f>
        <v>MF</v>
      </c>
      <c r="N263" s="141">
        <v>1.5407698990665712</v>
      </c>
      <c r="O263" s="136" t="str">
        <f>IFERROR(__xludf.DUMMYFUNCTION("""COMPUTED_VALUE"""),"")</f>
        <v/>
      </c>
      <c r="P263" s="136" t="str">
        <f>IFERROR(__xludf.DUMMYFUNCTION("""COMPUTED_VALUE"""),"")</f>
        <v/>
      </c>
      <c r="Q263" s="106" t="str">
        <f>IFERROR(__xludf.DUMMYFUNCTION("""COMPUTED_VALUE"""),"")</f>
        <v/>
      </c>
      <c r="R263" s="106" t="str">
        <f>IFERROR(__xludf.DUMMYFUNCTION("""COMPUTED_VALUE"""),"")</f>
        <v/>
      </c>
      <c r="S263" s="139" t="str">
        <f>IFERROR(__xludf.DUMMYFUNCTION("""COMPUTED_VALUE"""),"")</f>
        <v/>
      </c>
      <c r="T263" s="139" t="str">
        <f>IFERROR(__xludf.DUMMYFUNCTION("""COMPUTED_VALUE"""),"")</f>
        <v/>
      </c>
      <c r="U263" s="136" t="str">
        <f>IFERROR(__xludf.DUMMYFUNCTION("""COMPUTED_VALUE"""),"")</f>
        <v/>
      </c>
      <c r="V263" s="106" t="str">
        <f>IFERROR(__xludf.DUMMYFUNCTION("""COMPUTED_VALUE"""),"")</f>
        <v/>
      </c>
      <c r="W263" s="143" t="str">
        <f t="shared" si="2"/>
        <v/>
      </c>
      <c r="X263" s="139" t="str">
        <f>IFERROR(__xludf.DUMMYFUNCTION("""COMPUTED_VALUE"""),"")</f>
        <v/>
      </c>
      <c r="Y263" s="141" t="str">
        <f>IFERROR(__xludf.DUMMYFUNCTION("""COMPUTED_VALUE"""),"")</f>
        <v/>
      </c>
    </row>
    <row r="264">
      <c r="A264" s="144">
        <f>IFERROR(__xludf.DUMMYFUNCTION("""COMPUTED_VALUE"""),46122.83097618056)</f>
        <v>46122.83098</v>
      </c>
      <c r="B264" s="136" t="str">
        <f>IFERROR(__xludf.DUMMYFUNCTION("""COMPUTED_VALUE"""),"Orpheus Wilson")</f>
        <v>Orpheus Wilson</v>
      </c>
      <c r="C264" s="136" t="b">
        <f t="shared" si="3"/>
        <v>1</v>
      </c>
      <c r="D264" s="137">
        <f>IFERROR(__xludf.DUMMYFUNCTION("""COMPUTED_VALUE"""),0.7909722222248092)</f>
        <v>0.7909722222</v>
      </c>
      <c r="E264" s="106">
        <f>IFERROR(__xludf.DUMMYFUNCTION("""COMPUTED_VALUE"""),0.036111111112404615)</f>
        <v>0.03611111111</v>
      </c>
      <c r="F264" s="137">
        <f>IFERROR(__xludf.DUMMYFUNCTION("""COMPUTED_VALUE"""),0.8270833333372138)</f>
        <v>0.8270833333</v>
      </c>
      <c r="G264" s="106" t="s">
        <v>133</v>
      </c>
      <c r="H264" s="136">
        <f>IFERROR(__xludf.DUMMYFUNCTION("""COMPUTED_VALUE"""),65.0)</f>
        <v>65</v>
      </c>
      <c r="I264" s="139" t="s">
        <v>133</v>
      </c>
      <c r="J264" s="136" t="s">
        <v>18</v>
      </c>
      <c r="K264" s="146">
        <f>IFERROR(__xludf.DUMMYFUNCTION("""COMPUTED_VALUE"""),46122.0)</f>
        <v>46122</v>
      </c>
      <c r="L264" s="136" t="str">
        <f t="shared" si="1"/>
        <v>Friday</v>
      </c>
      <c r="M264" s="136" t="str">
        <f>IFERROR(__xludf.DUMMYFUNCTION("""COMPUTED_VALUE"""),"MF")</f>
        <v>MF</v>
      </c>
      <c r="N264" s="141" t="s">
        <v>133</v>
      </c>
      <c r="O264" s="136">
        <f>IFERROR(__xludf.DUMMYFUNCTION("""COMPUTED_VALUE"""),407.0)</f>
        <v>407</v>
      </c>
      <c r="P264" s="136">
        <f>IFERROR(__xludf.DUMMYFUNCTION("""COMPUTED_VALUE"""),145.0)</f>
        <v>145</v>
      </c>
      <c r="Q264" s="106">
        <f>IFERROR(__xludf.DUMMYFUNCTION("""COMPUTED_VALUE"""),0.28888888889196096)</f>
        <v>0.2888888889</v>
      </c>
      <c r="R264" s="106">
        <f>IFERROR(__xludf.DUMMYFUNCTION("""COMPUTED_VALUE"""),0.1875)</f>
        <v>0.1875</v>
      </c>
      <c r="S264" s="139">
        <f>IFERROR(__xludf.DUMMYFUNCTION("""COMPUTED_VALUE"""),60.319672836864044)</f>
        <v>60.31967284</v>
      </c>
      <c r="T264" s="139">
        <f>IFERROR(__xludf.DUMMYFUNCTION("""COMPUTED_VALUE"""),35.666666666666664)</f>
        <v>35.66666667</v>
      </c>
      <c r="U264" s="136">
        <f>IFERROR(__xludf.DUMMYFUNCTION("""COMPUTED_VALUE"""),552.0)</f>
        <v>552</v>
      </c>
      <c r="V264" s="106">
        <f>IFERROR(__xludf.DUMMYFUNCTION("""COMPUTED_VALUE"""),0.47638888889196096)</f>
        <v>0.4763888889</v>
      </c>
      <c r="W264" s="143">
        <f t="shared" si="2"/>
        <v>48.27988338</v>
      </c>
      <c r="X264" s="139">
        <f>IFERROR(__xludf.DUMMYFUNCTION("""COMPUTED_VALUE"""),50.458470368785086)</f>
        <v>50.45847037</v>
      </c>
      <c r="Y264" s="141">
        <f>IFERROR(__xludf.DUMMYFUNCTION("""COMPUTED_VALUE"""),0.8718101684347438)</f>
        <v>0.8718101684</v>
      </c>
    </row>
    <row r="265">
      <c r="A265" s="144">
        <f>IFERROR(__xludf.DUMMYFUNCTION("""COMPUTED_VALUE"""),46125.43694049769)</f>
        <v>46125.43694</v>
      </c>
      <c r="B265" s="136" t="str">
        <f>IFERROR(__xludf.DUMMYFUNCTION("""COMPUTED_VALUE"""),"Sophia Kluck")</f>
        <v>Sophia Kluck</v>
      </c>
      <c r="C265" s="136" t="b">
        <f t="shared" si="3"/>
        <v>0</v>
      </c>
      <c r="D265" s="137">
        <f>IFERROR(__xludf.DUMMYFUNCTION("""COMPUTED_VALUE"""),0.3687500000014552)</f>
        <v>0.36875</v>
      </c>
      <c r="E265" s="106">
        <f>IFERROR(__xludf.DUMMYFUNCTION("""COMPUTED_VALUE"""),0.06597222221898846)</f>
        <v>0.06597222222</v>
      </c>
      <c r="F265" s="137">
        <f>IFERROR(__xludf.DUMMYFUNCTION("""COMPUTED_VALUE"""),0.43472222222044365)</f>
        <v>0.4347222222</v>
      </c>
      <c r="G265" s="106">
        <v>0.06597222221898846</v>
      </c>
      <c r="H265" s="136">
        <f>IFERROR(__xludf.DUMMYFUNCTION("""COMPUTED_VALUE"""),49.0)</f>
        <v>49</v>
      </c>
      <c r="I265" s="139">
        <v>30.94736842256958</v>
      </c>
      <c r="J265" s="136" t="s">
        <v>12</v>
      </c>
      <c r="K265" s="146">
        <f>IFERROR(__xludf.DUMMYFUNCTION("""COMPUTED_VALUE"""),46125.0)</f>
        <v>46125</v>
      </c>
      <c r="L265" s="136" t="str">
        <f t="shared" si="1"/>
        <v>Monday</v>
      </c>
      <c r="M265" s="136" t="str">
        <f>IFERROR(__xludf.DUMMYFUNCTION("""COMPUTED_VALUE"""),"BF")</f>
        <v>BF</v>
      </c>
      <c r="N265" s="141">
        <v>1.0915929310981498</v>
      </c>
      <c r="O265" s="136" t="str">
        <f>IFERROR(__xludf.DUMMYFUNCTION("""COMPUTED_VALUE"""),"")</f>
        <v/>
      </c>
      <c r="P265" s="136" t="str">
        <f>IFERROR(__xludf.DUMMYFUNCTION("""COMPUTED_VALUE"""),"")</f>
        <v/>
      </c>
      <c r="Q265" s="106" t="str">
        <f>IFERROR(__xludf.DUMMYFUNCTION("""COMPUTED_VALUE"""),"")</f>
        <v/>
      </c>
      <c r="R265" s="106" t="str">
        <f>IFERROR(__xludf.DUMMYFUNCTION("""COMPUTED_VALUE"""),"")</f>
        <v/>
      </c>
      <c r="S265" s="139" t="str">
        <f>IFERROR(__xludf.DUMMYFUNCTION("""COMPUTED_VALUE"""),"")</f>
        <v/>
      </c>
      <c r="T265" s="139" t="str">
        <f>IFERROR(__xludf.DUMMYFUNCTION("""COMPUTED_VALUE"""),"")</f>
        <v/>
      </c>
      <c r="U265" s="136" t="str">
        <f>IFERROR(__xludf.DUMMYFUNCTION("""COMPUTED_VALUE"""),"")</f>
        <v/>
      </c>
      <c r="V265" s="106" t="str">
        <f>IFERROR(__xludf.DUMMYFUNCTION("""COMPUTED_VALUE"""),"")</f>
        <v/>
      </c>
      <c r="W265" s="143" t="str">
        <f t="shared" si="2"/>
        <v/>
      </c>
      <c r="X265" s="139" t="str">
        <f>IFERROR(__xludf.DUMMYFUNCTION("""COMPUTED_VALUE"""),"")</f>
        <v/>
      </c>
      <c r="Y265" s="141" t="str">
        <f>IFERROR(__xludf.DUMMYFUNCTION("""COMPUTED_VALUE"""),"")</f>
        <v/>
      </c>
    </row>
    <row r="266">
      <c r="A266" s="144">
        <f>IFERROR(__xludf.DUMMYFUNCTION("""COMPUTED_VALUE"""),46125.6412055324)</f>
        <v>46125.64121</v>
      </c>
      <c r="B266" s="136" t="str">
        <f>IFERROR(__xludf.DUMMYFUNCTION("""COMPUTED_VALUE"""),"Brynn Hornig")</f>
        <v>Brynn Hornig</v>
      </c>
      <c r="C266" s="136" t="b">
        <f t="shared" si="3"/>
        <v>0</v>
      </c>
      <c r="D266" s="137">
        <f>IFERROR(__xludf.DUMMYFUNCTION("""COMPUTED_VALUE"""),0.5208333333357587)</f>
        <v>0.5208333333</v>
      </c>
      <c r="E266" s="106">
        <f>IFERROR(__xludf.DUMMYFUNCTION("""COMPUTED_VALUE"""),0.125)</f>
        <v>0.125</v>
      </c>
      <c r="F266" s="137">
        <f>IFERROR(__xludf.DUMMYFUNCTION("""COMPUTED_VALUE"""),0.6458333333357587)</f>
        <v>0.6458333333</v>
      </c>
      <c r="G266" s="106">
        <v>0.125</v>
      </c>
      <c r="H266" s="136">
        <f>IFERROR(__xludf.DUMMYFUNCTION("""COMPUTED_VALUE"""),144.0)</f>
        <v>144</v>
      </c>
      <c r="I266" s="139">
        <v>48.0</v>
      </c>
      <c r="J266" s="136" t="s">
        <v>15</v>
      </c>
      <c r="K266" s="146">
        <f>IFERROR(__xludf.DUMMYFUNCTION("""COMPUTED_VALUE"""),46125.0)</f>
        <v>46125</v>
      </c>
      <c r="L266" s="136" t="str">
        <f t="shared" si="1"/>
        <v>Monday</v>
      </c>
      <c r="M266" s="136" t="str">
        <f>IFERROR(__xludf.DUMMYFUNCTION("""COMPUTED_VALUE"""),"BF")</f>
        <v>BF</v>
      </c>
      <c r="N266" s="141">
        <v>1.6930829134569978</v>
      </c>
      <c r="O266" s="136" t="str">
        <f>IFERROR(__xludf.DUMMYFUNCTION("""COMPUTED_VALUE"""),"")</f>
        <v/>
      </c>
      <c r="P266" s="136" t="str">
        <f>IFERROR(__xludf.DUMMYFUNCTION("""COMPUTED_VALUE"""),"")</f>
        <v/>
      </c>
      <c r="Q266" s="106" t="str">
        <f>IFERROR(__xludf.DUMMYFUNCTION("""COMPUTED_VALUE"""),"")</f>
        <v/>
      </c>
      <c r="R266" s="106" t="str">
        <f>IFERROR(__xludf.DUMMYFUNCTION("""COMPUTED_VALUE"""),"")</f>
        <v/>
      </c>
      <c r="S266" s="139" t="str">
        <f>IFERROR(__xludf.DUMMYFUNCTION("""COMPUTED_VALUE"""),"")</f>
        <v/>
      </c>
      <c r="T266" s="139" t="str">
        <f>IFERROR(__xludf.DUMMYFUNCTION("""COMPUTED_VALUE"""),"")</f>
        <v/>
      </c>
      <c r="U266" s="136" t="str">
        <f>IFERROR(__xludf.DUMMYFUNCTION("""COMPUTED_VALUE"""),"")</f>
        <v/>
      </c>
      <c r="V266" s="106" t="str">
        <f>IFERROR(__xludf.DUMMYFUNCTION("""COMPUTED_VALUE"""),"")</f>
        <v/>
      </c>
      <c r="W266" s="143" t="str">
        <f t="shared" si="2"/>
        <v/>
      </c>
      <c r="X266" s="139" t="str">
        <f>IFERROR(__xludf.DUMMYFUNCTION("""COMPUTED_VALUE"""),"")</f>
        <v/>
      </c>
      <c r="Y266" s="141" t="str">
        <f>IFERROR(__xludf.DUMMYFUNCTION("""COMPUTED_VALUE"""),"")</f>
        <v/>
      </c>
    </row>
    <row r="267">
      <c r="A267" s="144">
        <f>IFERROR(__xludf.DUMMYFUNCTION("""COMPUTED_VALUE"""),46125.75994054398)</f>
        <v>46125.75994</v>
      </c>
      <c r="B267" s="136" t="str">
        <f>IFERROR(__xludf.DUMMYFUNCTION("""COMPUTED_VALUE"""),"Orpheus Wilson")</f>
        <v>Orpheus Wilson</v>
      </c>
      <c r="C267" s="136" t="b">
        <f t="shared" si="3"/>
        <v>0</v>
      </c>
      <c r="D267" s="137">
        <f>IFERROR(__xludf.DUMMYFUNCTION("""COMPUTED_VALUE"""),0.6687499999970896)</f>
        <v>0.66875</v>
      </c>
      <c r="E267" s="106">
        <f>IFERROR(__xludf.DUMMYFUNCTION("""COMPUTED_VALUE"""),0.07638888889050577)</f>
        <v>0.07638888889</v>
      </c>
      <c r="F267" s="137">
        <f>IFERROR(__xludf.DUMMYFUNCTION("""COMPUTED_VALUE"""),0.7451388888875954)</f>
        <v>0.7451388889</v>
      </c>
      <c r="G267" s="106">
        <v>0.07638888889050577</v>
      </c>
      <c r="H267" s="136">
        <f>IFERROR(__xludf.DUMMYFUNCTION("""COMPUTED_VALUE"""),110.0)</f>
        <v>110</v>
      </c>
      <c r="I267" s="139">
        <v>59.99999999873001</v>
      </c>
      <c r="J267" s="136" t="s">
        <v>18</v>
      </c>
      <c r="K267" s="146">
        <f>IFERROR(__xludf.DUMMYFUNCTION("""COMPUTED_VALUE"""),46125.0)</f>
        <v>46125</v>
      </c>
      <c r="L267" s="136" t="str">
        <f t="shared" si="1"/>
        <v>Monday</v>
      </c>
      <c r="M267" s="136" t="str">
        <f>IFERROR(__xludf.DUMMYFUNCTION("""COMPUTED_VALUE"""),"MF")</f>
        <v>MF</v>
      </c>
      <c r="N267" s="141">
        <v>1.2549819338153436</v>
      </c>
      <c r="O267" s="136" t="str">
        <f>IFERROR(__xludf.DUMMYFUNCTION("""COMPUTED_VALUE"""),"")</f>
        <v/>
      </c>
      <c r="P267" s="136" t="str">
        <f>IFERROR(__xludf.DUMMYFUNCTION("""COMPUTED_VALUE"""),"")</f>
        <v/>
      </c>
      <c r="Q267" s="106" t="str">
        <f>IFERROR(__xludf.DUMMYFUNCTION("""COMPUTED_VALUE"""),"")</f>
        <v/>
      </c>
      <c r="R267" s="106" t="str">
        <f>IFERROR(__xludf.DUMMYFUNCTION("""COMPUTED_VALUE"""),"")</f>
        <v/>
      </c>
      <c r="S267" s="139" t="str">
        <f>IFERROR(__xludf.DUMMYFUNCTION("""COMPUTED_VALUE"""),"")</f>
        <v/>
      </c>
      <c r="T267" s="139" t="str">
        <f>IFERROR(__xludf.DUMMYFUNCTION("""COMPUTED_VALUE"""),"")</f>
        <v/>
      </c>
      <c r="U267" s="136" t="str">
        <f>IFERROR(__xludf.DUMMYFUNCTION("""COMPUTED_VALUE"""),"")</f>
        <v/>
      </c>
      <c r="V267" s="106" t="str">
        <f>IFERROR(__xludf.DUMMYFUNCTION("""COMPUTED_VALUE"""),"")</f>
        <v/>
      </c>
      <c r="W267" s="143" t="str">
        <f t="shared" si="2"/>
        <v/>
      </c>
      <c r="X267" s="139" t="str">
        <f>IFERROR(__xludf.DUMMYFUNCTION("""COMPUTED_VALUE"""),"")</f>
        <v/>
      </c>
      <c r="Y267" s="141" t="str">
        <f>IFERROR(__xludf.DUMMYFUNCTION("""COMPUTED_VALUE"""),"")</f>
        <v/>
      </c>
    </row>
    <row r="268">
      <c r="A268" s="144">
        <f>IFERROR(__xludf.DUMMYFUNCTION("""COMPUTED_VALUE"""),46125.866670358795)</f>
        <v>46125.86667</v>
      </c>
      <c r="B268" s="136" t="str">
        <f>IFERROR(__xludf.DUMMYFUNCTION("""COMPUTED_VALUE"""),"Maureen Surgot")</f>
        <v>Maureen Surgot</v>
      </c>
      <c r="C268" s="136" t="b">
        <f t="shared" si="3"/>
        <v>0</v>
      </c>
      <c r="D268" s="137">
        <f>IFERROR(__xludf.DUMMYFUNCTION("""COMPUTED_VALUE"""),0.75)</f>
        <v>0.75</v>
      </c>
      <c r="E268" s="106">
        <f>IFERROR(__xludf.DUMMYFUNCTION("""COMPUTED_VALUE"""),0.125)</f>
        <v>0.125</v>
      </c>
      <c r="F268" s="137">
        <f>IFERROR(__xludf.DUMMYFUNCTION("""COMPUTED_VALUE"""),0.875)</f>
        <v>0.875</v>
      </c>
      <c r="G268" s="106">
        <v>0.125</v>
      </c>
      <c r="H268" s="136">
        <f>IFERROR(__xludf.DUMMYFUNCTION("""COMPUTED_VALUE"""),164.0)</f>
        <v>164</v>
      </c>
      <c r="I268" s="139">
        <v>54.666666666666664</v>
      </c>
      <c r="J268" s="136" t="s">
        <v>18</v>
      </c>
      <c r="K268" s="146">
        <f>IFERROR(__xludf.DUMMYFUNCTION("""COMPUTED_VALUE"""),46125.0)</f>
        <v>46125</v>
      </c>
      <c r="L268" s="136" t="str">
        <f t="shared" si="1"/>
        <v>Monday</v>
      </c>
      <c r="M268" s="136" t="str">
        <f>IFERROR(__xludf.DUMMYFUNCTION("""COMPUTED_VALUE"""),"MF")</f>
        <v>MF</v>
      </c>
      <c r="N268" s="141">
        <v>1.143427984167071</v>
      </c>
      <c r="O268" s="136">
        <f>IFERROR(__xludf.DUMMYFUNCTION("""COMPUTED_VALUE"""),274.0)</f>
        <v>274</v>
      </c>
      <c r="P268" s="136">
        <f>IFERROR(__xludf.DUMMYFUNCTION("""COMPUTED_VALUE"""),193.0)</f>
        <v>193</v>
      </c>
      <c r="Q268" s="106">
        <f>IFERROR(__xludf.DUMMYFUNCTION("""COMPUTED_VALUE"""),0.20138888889050577)</f>
        <v>0.2013888889</v>
      </c>
      <c r="R268" s="106">
        <f>IFERROR(__xludf.DUMMYFUNCTION("""COMPUTED_VALUE"""),0.19097222221898846)</f>
        <v>0.1909722222</v>
      </c>
      <c r="S268" s="139">
        <f>IFERROR(__xludf.DUMMYFUNCTION("""COMPUTED_VALUE"""),57.33333333269834)</f>
        <v>57.33333333</v>
      </c>
      <c r="T268" s="139">
        <f>IFERROR(__xludf.DUMMYFUNCTION("""COMPUTED_VALUE"""),39.47368421128479)</f>
        <v>39.47368421</v>
      </c>
      <c r="U268" s="136">
        <f>IFERROR(__xludf.DUMMYFUNCTION("""COMPUTED_VALUE"""),467.0)</f>
        <v>467</v>
      </c>
      <c r="V268" s="106">
        <f>IFERROR(__xludf.DUMMYFUNCTION("""COMPUTED_VALUE"""),0.39236111110949423)</f>
        <v>0.3923611111</v>
      </c>
      <c r="W268" s="143">
        <f t="shared" si="2"/>
        <v>49.59292035</v>
      </c>
      <c r="X268" s="139">
        <f>IFERROR(__xludf.DUMMYFUNCTION("""COMPUTED_VALUE"""),48.40350877199156)</f>
        <v>48.40350877</v>
      </c>
      <c r="Y268" s="141">
        <f>IFERROR(__xludf.DUMMYFUNCTION("""COMPUTED_VALUE"""),0.9833317712577454)</f>
        <v>0.9833317713</v>
      </c>
    </row>
    <row r="269">
      <c r="A269" s="144">
        <f>IFERROR(__xludf.DUMMYFUNCTION("""COMPUTED_VALUE"""),46126.513314861106)</f>
        <v>46126.51331</v>
      </c>
      <c r="B269" s="136" t="str">
        <f>IFERROR(__xludf.DUMMYFUNCTION("""COMPUTED_VALUE"""),"Kaylie Forgue")</f>
        <v>Kaylie Forgue</v>
      </c>
      <c r="C269" s="136" t="b">
        <f t="shared" si="3"/>
        <v>0</v>
      </c>
      <c r="D269" s="137">
        <f>IFERROR(__xludf.DUMMYFUNCTION("""COMPUTED_VALUE"""),0.4444444444452529)</f>
        <v>0.4444444444</v>
      </c>
      <c r="E269" s="106">
        <f>IFERROR(__xludf.DUMMYFUNCTION("""COMPUTED_VALUE"""),0.05625000000145519)</f>
        <v>0.05625</v>
      </c>
      <c r="F269" s="137">
        <f>IFERROR(__xludf.DUMMYFUNCTION("""COMPUTED_VALUE"""),0.5006944444467081)</f>
        <v>0.5006944444</v>
      </c>
      <c r="G269" s="106">
        <v>0.07569444444379769</v>
      </c>
      <c r="H269" s="136">
        <f>IFERROR(__xludf.DUMMYFUNCTION("""COMPUTED_VALUE"""),133.0)</f>
        <v>133</v>
      </c>
      <c r="I269" s="139">
        <v>86.9724770649633</v>
      </c>
      <c r="J269" s="136" t="s">
        <v>134</v>
      </c>
      <c r="K269" s="146">
        <f>IFERROR(__xludf.DUMMYFUNCTION("""COMPUTED_VALUE"""),46126.0)</f>
        <v>46126</v>
      </c>
      <c r="L269" s="136" t="str">
        <f t="shared" si="1"/>
        <v>Tuesday</v>
      </c>
      <c r="M269" s="136" t="str">
        <f>IFERROR(__xludf.DUMMYFUNCTION("""COMPUTED_VALUE"""),"BF")</f>
        <v>BF</v>
      </c>
      <c r="N269" s="141">
        <v>2.6835072010514702</v>
      </c>
      <c r="O269" s="136" t="str">
        <f>IFERROR(__xludf.DUMMYFUNCTION("""COMPUTED_VALUE"""),"")</f>
        <v/>
      </c>
      <c r="P269" s="136" t="str">
        <f>IFERROR(__xludf.DUMMYFUNCTION("""COMPUTED_VALUE"""),"")</f>
        <v/>
      </c>
      <c r="Q269" s="106" t="str">
        <f>IFERROR(__xludf.DUMMYFUNCTION("""COMPUTED_VALUE"""),"")</f>
        <v/>
      </c>
      <c r="R269" s="106" t="str">
        <f>IFERROR(__xludf.DUMMYFUNCTION("""COMPUTED_VALUE"""),"")</f>
        <v/>
      </c>
      <c r="S269" s="139" t="str">
        <f>IFERROR(__xludf.DUMMYFUNCTION("""COMPUTED_VALUE"""),"")</f>
        <v/>
      </c>
      <c r="T269" s="139" t="str">
        <f>IFERROR(__xludf.DUMMYFUNCTION("""COMPUTED_VALUE"""),"")</f>
        <v/>
      </c>
      <c r="U269" s="136" t="str">
        <f>IFERROR(__xludf.DUMMYFUNCTION("""COMPUTED_VALUE"""),"")</f>
        <v/>
      </c>
      <c r="V269" s="106" t="str">
        <f>IFERROR(__xludf.DUMMYFUNCTION("""COMPUTED_VALUE"""),"")</f>
        <v/>
      </c>
      <c r="W269" s="143" t="str">
        <f t="shared" si="2"/>
        <v/>
      </c>
      <c r="X269" s="139" t="str">
        <f>IFERROR(__xludf.DUMMYFUNCTION("""COMPUTED_VALUE"""),"")</f>
        <v/>
      </c>
      <c r="Y269" s="141" t="str">
        <f>IFERROR(__xludf.DUMMYFUNCTION("""COMPUTED_VALUE"""),"")</f>
        <v/>
      </c>
    </row>
    <row r="270">
      <c r="A270" s="144">
        <f>IFERROR(__xludf.DUMMYFUNCTION("""COMPUTED_VALUE"""),46126.60215520833)</f>
        <v>46126.60216</v>
      </c>
      <c r="B270" s="136" t="str">
        <f>IFERROR(__xludf.DUMMYFUNCTION("""COMPUTED_VALUE"""),"Kaylie Forgue")</f>
        <v>Kaylie Forgue</v>
      </c>
      <c r="C270" s="136" t="b">
        <f t="shared" si="3"/>
        <v>1</v>
      </c>
      <c r="D270" s="137">
        <f>IFERROR(__xludf.DUMMYFUNCTION("""COMPUTED_VALUE"""),0.5020833333328483)</f>
        <v>0.5020833333</v>
      </c>
      <c r="E270" s="106">
        <f>IFERROR(__xludf.DUMMYFUNCTION("""COMPUTED_VALUE"""),0.0194444444423425)</f>
        <v>0.01944444444</v>
      </c>
      <c r="F270" s="137">
        <f>IFERROR(__xludf.DUMMYFUNCTION("""COMPUTED_VALUE"""),0.5215277777751908)</f>
        <v>0.5215277778</v>
      </c>
      <c r="G270" s="106" t="s">
        <v>133</v>
      </c>
      <c r="H270" s="136">
        <f>IFERROR(__xludf.DUMMYFUNCTION("""COMPUTED_VALUE"""),25.0)</f>
        <v>25</v>
      </c>
      <c r="I270" s="139" t="s">
        <v>133</v>
      </c>
      <c r="J270" s="136" t="s">
        <v>15</v>
      </c>
      <c r="K270" s="146">
        <f>IFERROR(__xludf.DUMMYFUNCTION("""COMPUTED_VALUE"""),46126.0)</f>
        <v>46126</v>
      </c>
      <c r="L270" s="136" t="str">
        <f t="shared" si="1"/>
        <v>Tuesday</v>
      </c>
      <c r="M270" s="136" t="str">
        <f>IFERROR(__xludf.DUMMYFUNCTION("""COMPUTED_VALUE"""),"BF")</f>
        <v>BF</v>
      </c>
      <c r="N270" s="141" t="s">
        <v>133</v>
      </c>
      <c r="O270" s="136" t="str">
        <f>IFERROR(__xludf.DUMMYFUNCTION("""COMPUTED_VALUE"""),"")</f>
        <v/>
      </c>
      <c r="P270" s="136" t="str">
        <f>IFERROR(__xludf.DUMMYFUNCTION("""COMPUTED_VALUE"""),"")</f>
        <v/>
      </c>
      <c r="Q270" s="106" t="str">
        <f>IFERROR(__xludf.DUMMYFUNCTION("""COMPUTED_VALUE"""),"")</f>
        <v/>
      </c>
      <c r="R270" s="106" t="str">
        <f>IFERROR(__xludf.DUMMYFUNCTION("""COMPUTED_VALUE"""),"")</f>
        <v/>
      </c>
      <c r="S270" s="139" t="str">
        <f>IFERROR(__xludf.DUMMYFUNCTION("""COMPUTED_VALUE"""),"")</f>
        <v/>
      </c>
      <c r="T270" s="139" t="str">
        <f>IFERROR(__xludf.DUMMYFUNCTION("""COMPUTED_VALUE"""),"")</f>
        <v/>
      </c>
      <c r="U270" s="136" t="str">
        <f>IFERROR(__xludf.DUMMYFUNCTION("""COMPUTED_VALUE"""),"")</f>
        <v/>
      </c>
      <c r="V270" s="106" t="str">
        <f>IFERROR(__xludf.DUMMYFUNCTION("""COMPUTED_VALUE"""),"")</f>
        <v/>
      </c>
      <c r="W270" s="143" t="str">
        <f t="shared" si="2"/>
        <v/>
      </c>
      <c r="X270" s="139" t="str">
        <f>IFERROR(__xludf.DUMMYFUNCTION("""COMPUTED_VALUE"""),"")</f>
        <v/>
      </c>
      <c r="Y270" s="141" t="str">
        <f>IFERROR(__xludf.DUMMYFUNCTION("""COMPUTED_VALUE"""),"")</f>
        <v/>
      </c>
    </row>
    <row r="271">
      <c r="A271" s="144">
        <f>IFERROR(__xludf.DUMMYFUNCTION("""COMPUTED_VALUE"""),46126.85281292824)</f>
        <v>46126.85281</v>
      </c>
      <c r="B271" s="136" t="str">
        <f>IFERROR(__xludf.DUMMYFUNCTION("""COMPUTED_VALUE"""),"Leah Bucci")</f>
        <v>Leah Bucci</v>
      </c>
      <c r="C271" s="136" t="b">
        <f t="shared" si="3"/>
        <v>0</v>
      </c>
      <c r="D271" s="137">
        <f>IFERROR(__xludf.DUMMYFUNCTION("""COMPUTED_VALUE"""),0.6875)</f>
        <v>0.6875</v>
      </c>
      <c r="E271" s="106">
        <f>IFERROR(__xludf.DUMMYFUNCTION("""COMPUTED_VALUE"""),0.15972222221898846)</f>
        <v>0.1597222222</v>
      </c>
      <c r="F271" s="137">
        <f>IFERROR(__xludf.DUMMYFUNCTION("""COMPUTED_VALUE"""),0.8472222222189885)</f>
        <v>0.8472222222</v>
      </c>
      <c r="G271" s="106">
        <v>0.15972222221898846</v>
      </c>
      <c r="H271" s="136">
        <f>IFERROR(__xludf.DUMMYFUNCTION("""COMPUTED_VALUE"""),128.0)</f>
        <v>128</v>
      </c>
      <c r="I271" s="139">
        <v>33.39130434850213</v>
      </c>
      <c r="J271" s="136" t="s">
        <v>18</v>
      </c>
      <c r="K271" s="146">
        <f>IFERROR(__xludf.DUMMYFUNCTION("""COMPUTED_VALUE"""),46126.0)</f>
        <v>46126</v>
      </c>
      <c r="L271" s="136" t="str">
        <f t="shared" si="1"/>
        <v>Tuesday</v>
      </c>
      <c r="M271" s="136" t="str">
        <f>IFERROR(__xludf.DUMMYFUNCTION("""COMPUTED_VALUE"""),"BF")</f>
        <v>BF</v>
      </c>
      <c r="N271" s="141">
        <v>0.7515178472187795</v>
      </c>
      <c r="O271" s="136" t="str">
        <f>IFERROR(__xludf.DUMMYFUNCTION("""COMPUTED_VALUE"""),"")</f>
        <v/>
      </c>
      <c r="P271" s="136" t="str">
        <f>IFERROR(__xludf.DUMMYFUNCTION("""COMPUTED_VALUE"""),"")</f>
        <v/>
      </c>
      <c r="Q271" s="106" t="str">
        <f>IFERROR(__xludf.DUMMYFUNCTION("""COMPUTED_VALUE"""),"")</f>
        <v/>
      </c>
      <c r="R271" s="106" t="str">
        <f>IFERROR(__xludf.DUMMYFUNCTION("""COMPUTED_VALUE"""),"")</f>
        <v/>
      </c>
      <c r="S271" s="139" t="str">
        <f>IFERROR(__xludf.DUMMYFUNCTION("""COMPUTED_VALUE"""),"")</f>
        <v/>
      </c>
      <c r="T271" s="139" t="str">
        <f>IFERROR(__xludf.DUMMYFUNCTION("""COMPUTED_VALUE"""),"")</f>
        <v/>
      </c>
      <c r="U271" s="136" t="str">
        <f>IFERROR(__xludf.DUMMYFUNCTION("""COMPUTED_VALUE"""),"")</f>
        <v/>
      </c>
      <c r="V271" s="106" t="str">
        <f>IFERROR(__xludf.DUMMYFUNCTION("""COMPUTED_VALUE"""),"")</f>
        <v/>
      </c>
      <c r="W271" s="143" t="str">
        <f t="shared" si="2"/>
        <v/>
      </c>
      <c r="X271" s="139" t="str">
        <f>IFERROR(__xludf.DUMMYFUNCTION("""COMPUTED_VALUE"""),"")</f>
        <v/>
      </c>
      <c r="Y271" s="141" t="str">
        <f>IFERROR(__xludf.DUMMYFUNCTION("""COMPUTED_VALUE"""),"")</f>
        <v/>
      </c>
    </row>
    <row r="272">
      <c r="A272" s="144">
        <f>IFERROR(__xludf.DUMMYFUNCTION("""COMPUTED_VALUE"""),46126.86870979167)</f>
        <v>46126.86871</v>
      </c>
      <c r="B272" s="136" t="str">
        <f>IFERROR(__xludf.DUMMYFUNCTION("""COMPUTED_VALUE"""),"Laila Maisuria")</f>
        <v>Laila Maisuria</v>
      </c>
      <c r="C272" s="136" t="b">
        <f t="shared" si="3"/>
        <v>0</v>
      </c>
      <c r="D272" s="137">
        <f>IFERROR(__xludf.DUMMYFUNCTION("""COMPUTED_VALUE"""),0.7527777777795563)</f>
        <v>0.7527777778</v>
      </c>
      <c r="E272" s="106">
        <f>IFERROR(__xludf.DUMMYFUNCTION("""COMPUTED_VALUE"""),0.11527777777519077)</f>
        <v>0.1152777778</v>
      </c>
      <c r="F272" s="137">
        <f>IFERROR(__xludf.DUMMYFUNCTION("""COMPUTED_VALUE"""),0.8680555555547471)</f>
        <v>0.8680555556</v>
      </c>
      <c r="G272" s="106">
        <v>0.11527777777519077</v>
      </c>
      <c r="H272" s="136">
        <f>IFERROR(__xludf.DUMMYFUNCTION("""COMPUTED_VALUE"""),116.0)</f>
        <v>116</v>
      </c>
      <c r="I272" s="139">
        <v>41.92771084431441</v>
      </c>
      <c r="J272" s="136" t="s">
        <v>18</v>
      </c>
      <c r="K272" s="146">
        <f>IFERROR(__xludf.DUMMYFUNCTION("""COMPUTED_VALUE"""),46126.0)</f>
        <v>46126</v>
      </c>
      <c r="L272" s="136" t="str">
        <f t="shared" si="1"/>
        <v>Tuesday</v>
      </c>
      <c r="M272" s="136" t="str">
        <f>IFERROR(__xludf.DUMMYFUNCTION("""COMPUTED_VALUE"""),"MF")</f>
        <v>MF</v>
      </c>
      <c r="N272" s="141">
        <v>0.8769753272827001</v>
      </c>
      <c r="O272" s="136">
        <f>IFERROR(__xludf.DUMMYFUNCTION("""COMPUTED_VALUE"""),116.0)</f>
        <v>116</v>
      </c>
      <c r="P272" s="136">
        <f>IFERROR(__xludf.DUMMYFUNCTION("""COMPUTED_VALUE"""),286.0)</f>
        <v>286</v>
      </c>
      <c r="Q272" s="106">
        <f>IFERROR(__xludf.DUMMYFUNCTION("""COMPUTED_VALUE"""),0.11527777777519077)</f>
        <v>0.1152777778</v>
      </c>
      <c r="R272" s="106">
        <f>IFERROR(__xludf.DUMMYFUNCTION("""COMPUTED_VALUE"""),0.23541666666278616)</f>
        <v>0.2354166667</v>
      </c>
      <c r="S272" s="139">
        <f>IFERROR(__xludf.DUMMYFUNCTION("""COMPUTED_VALUE"""),41.92771084431441)</f>
        <v>41.92771084</v>
      </c>
      <c r="T272" s="139">
        <f>IFERROR(__xludf.DUMMYFUNCTION("""COMPUTED_VALUE"""),60.181890706732716)</f>
        <v>60.18189071</v>
      </c>
      <c r="U272" s="136">
        <f>IFERROR(__xludf.DUMMYFUNCTION("""COMPUTED_VALUE"""),402.0)</f>
        <v>402</v>
      </c>
      <c r="V272" s="106">
        <f>IFERROR(__xludf.DUMMYFUNCTION("""COMPUTED_VALUE"""),0.3506944444379769)</f>
        <v>0.3506944444</v>
      </c>
      <c r="W272" s="143">
        <f t="shared" si="2"/>
        <v>47.76237624</v>
      </c>
      <c r="X272" s="139">
        <f>IFERROR(__xludf.DUMMYFUNCTION("""COMPUTED_VALUE"""),54.097164085926615)</f>
        <v>54.09716409</v>
      </c>
      <c r="Y272" s="141">
        <f>IFERROR(__xludf.DUMMYFUNCTION("""COMPUTED_VALUE"""),0.7079328098087017)</f>
        <v>0.7079328098</v>
      </c>
    </row>
    <row r="273">
      <c r="A273" s="144">
        <f>IFERROR(__xludf.DUMMYFUNCTION("""COMPUTED_VALUE"""),46127.40096619213)</f>
        <v>46127.40097</v>
      </c>
      <c r="B273" s="136" t="str">
        <f>IFERROR(__xludf.DUMMYFUNCTION("""COMPUTED_VALUE"""),"Kaylie Forgue")</f>
        <v>Kaylie Forgue</v>
      </c>
      <c r="C273" s="136" t="b">
        <f t="shared" si="3"/>
        <v>0</v>
      </c>
      <c r="D273" s="137">
        <f>IFERROR(__xludf.DUMMYFUNCTION("""COMPUTED_VALUE"""),0.31388888889341615)</f>
        <v>0.3138888889</v>
      </c>
      <c r="E273" s="106">
        <f>IFERROR(__xludf.DUMMYFUNCTION("""COMPUTED_VALUE"""),0.0819444444423425)</f>
        <v>0.08194444444</v>
      </c>
      <c r="F273" s="137">
        <f>IFERROR(__xludf.DUMMYFUNCTION("""COMPUTED_VALUE"""),0.39583333333575865)</f>
        <v>0.3958333333</v>
      </c>
      <c r="G273" s="106">
        <v>0.0819444444423425</v>
      </c>
      <c r="H273" s="136">
        <f>IFERROR(__xludf.DUMMYFUNCTION("""COMPUTED_VALUE"""),69.0)</f>
        <v>69</v>
      </c>
      <c r="I273" s="139">
        <v>35.08474576361182</v>
      </c>
      <c r="J273" s="136" t="s">
        <v>12</v>
      </c>
      <c r="K273" s="146">
        <f>IFERROR(__xludf.DUMMYFUNCTION("""COMPUTED_VALUE"""),46127.0)</f>
        <v>46127</v>
      </c>
      <c r="L273" s="136" t="str">
        <f t="shared" si="1"/>
        <v>Wednesday</v>
      </c>
      <c r="M273" s="136" t="str">
        <f>IFERROR(__xludf.DUMMYFUNCTION("""COMPUTED_VALUE"""),"BF")</f>
        <v>BF</v>
      </c>
      <c r="N273" s="141">
        <v>1.2375288244865408</v>
      </c>
      <c r="O273" s="136" t="str">
        <f>IFERROR(__xludf.DUMMYFUNCTION("""COMPUTED_VALUE"""),"")</f>
        <v/>
      </c>
      <c r="P273" s="136" t="str">
        <f>IFERROR(__xludf.DUMMYFUNCTION("""COMPUTED_VALUE"""),"")</f>
        <v/>
      </c>
      <c r="Q273" s="106" t="str">
        <f>IFERROR(__xludf.DUMMYFUNCTION("""COMPUTED_VALUE"""),"")</f>
        <v/>
      </c>
      <c r="R273" s="106" t="str">
        <f>IFERROR(__xludf.DUMMYFUNCTION("""COMPUTED_VALUE"""),"")</f>
        <v/>
      </c>
      <c r="S273" s="139" t="str">
        <f>IFERROR(__xludf.DUMMYFUNCTION("""COMPUTED_VALUE"""),"")</f>
        <v/>
      </c>
      <c r="T273" s="139" t="str">
        <f>IFERROR(__xludf.DUMMYFUNCTION("""COMPUTED_VALUE"""),"")</f>
        <v/>
      </c>
      <c r="U273" s="136" t="str">
        <f>IFERROR(__xludf.DUMMYFUNCTION("""COMPUTED_VALUE"""),"")</f>
        <v/>
      </c>
      <c r="V273" s="106" t="str">
        <f>IFERROR(__xludf.DUMMYFUNCTION("""COMPUTED_VALUE"""),"")</f>
        <v/>
      </c>
      <c r="W273" s="143" t="str">
        <f t="shared" si="2"/>
        <v/>
      </c>
      <c r="X273" s="139" t="str">
        <f>IFERROR(__xludf.DUMMYFUNCTION("""COMPUTED_VALUE"""),"")</f>
        <v/>
      </c>
      <c r="Y273" s="141" t="str">
        <f>IFERROR(__xludf.DUMMYFUNCTION("""COMPUTED_VALUE"""),"")</f>
        <v/>
      </c>
    </row>
    <row r="274">
      <c r="A274" s="144">
        <f>IFERROR(__xludf.DUMMYFUNCTION("""COMPUTED_VALUE"""),46127.48048266204)</f>
        <v>46127.48048</v>
      </c>
      <c r="B274" s="136" t="str">
        <f>IFERROR(__xludf.DUMMYFUNCTION("""COMPUTED_VALUE"""),"Oluwatimilehin Shodipe")</f>
        <v>Oluwatimilehin Shodipe</v>
      </c>
      <c r="C274" s="136" t="b">
        <f t="shared" si="3"/>
        <v>0</v>
      </c>
      <c r="D274" s="137">
        <f>IFERROR(__xludf.DUMMYFUNCTION("""COMPUTED_VALUE"""),0.43402777778101154)</f>
        <v>0.4340277778</v>
      </c>
      <c r="E274" s="106">
        <f>IFERROR(__xludf.DUMMYFUNCTION("""COMPUTED_VALUE"""),0.04513888888322981)</f>
        <v>0.04513888888</v>
      </c>
      <c r="F274" s="137">
        <f>IFERROR(__xludf.DUMMYFUNCTION("""COMPUTED_VALUE"""),0.47916666666424135)</f>
        <v>0.4791666667</v>
      </c>
      <c r="G274" s="106">
        <v>0.04513888888322981</v>
      </c>
      <c r="H274" s="136">
        <f>IFERROR(__xludf.DUMMYFUNCTION("""COMPUTED_VALUE"""),59.0)</f>
        <v>59</v>
      </c>
      <c r="I274" s="139">
        <v>54.46153846836632</v>
      </c>
      <c r="J274" s="136" t="s">
        <v>134</v>
      </c>
      <c r="K274" s="146">
        <f>IFERROR(__xludf.DUMMYFUNCTION("""COMPUTED_VALUE"""),46127.0)</f>
        <v>46127</v>
      </c>
      <c r="L274" s="136" t="str">
        <f t="shared" si="1"/>
        <v>Wednesday</v>
      </c>
      <c r="M274" s="136" t="str">
        <f>IFERROR(__xludf.DUMMYFUNCTION("""COMPUTED_VALUE"""),"BF")</f>
        <v>BF</v>
      </c>
      <c r="N274" s="141">
        <v>1.4638953651808606</v>
      </c>
      <c r="O274" s="136" t="str">
        <f>IFERROR(__xludf.DUMMYFUNCTION("""COMPUTED_VALUE"""),"")</f>
        <v/>
      </c>
      <c r="P274" s="136" t="str">
        <f>IFERROR(__xludf.DUMMYFUNCTION("""COMPUTED_VALUE"""),"")</f>
        <v/>
      </c>
      <c r="Q274" s="106" t="str">
        <f>IFERROR(__xludf.DUMMYFUNCTION("""COMPUTED_VALUE"""),"")</f>
        <v/>
      </c>
      <c r="R274" s="106" t="str">
        <f>IFERROR(__xludf.DUMMYFUNCTION("""COMPUTED_VALUE"""),"")</f>
        <v/>
      </c>
      <c r="S274" s="139" t="str">
        <f>IFERROR(__xludf.DUMMYFUNCTION("""COMPUTED_VALUE"""),"")</f>
        <v/>
      </c>
      <c r="T274" s="139" t="str">
        <f>IFERROR(__xludf.DUMMYFUNCTION("""COMPUTED_VALUE"""),"")</f>
        <v/>
      </c>
      <c r="U274" s="136" t="str">
        <f>IFERROR(__xludf.DUMMYFUNCTION("""COMPUTED_VALUE"""),"")</f>
        <v/>
      </c>
      <c r="V274" s="106" t="str">
        <f>IFERROR(__xludf.DUMMYFUNCTION("""COMPUTED_VALUE"""),"")</f>
        <v/>
      </c>
      <c r="W274" s="143" t="str">
        <f t="shared" si="2"/>
        <v/>
      </c>
      <c r="X274" s="139" t="str">
        <f>IFERROR(__xludf.DUMMYFUNCTION("""COMPUTED_VALUE"""),"")</f>
        <v/>
      </c>
      <c r="Y274" s="141" t="str">
        <f>IFERROR(__xludf.DUMMYFUNCTION("""COMPUTED_VALUE"""),"")</f>
        <v/>
      </c>
    </row>
    <row r="275">
      <c r="A275" s="144">
        <f>IFERROR(__xludf.DUMMYFUNCTION("""COMPUTED_VALUE"""),46127.510647187504)</f>
        <v>46127.51065</v>
      </c>
      <c r="B275" s="136" t="str">
        <f>IFERROR(__xludf.DUMMYFUNCTION("""COMPUTED_VALUE"""),"Oluwatimilehin Shodipe")</f>
        <v>Oluwatimilehin Shodipe</v>
      </c>
      <c r="C275" s="136" t="b">
        <f t="shared" si="3"/>
        <v>0</v>
      </c>
      <c r="D275" s="137">
        <f>IFERROR(__xludf.DUMMYFUNCTION("""COMPUTED_VALUE"""),0.48611111110949423)</f>
        <v>0.4861111111</v>
      </c>
      <c r="E275" s="106">
        <f>IFERROR(__xludf.DUMMYFUNCTION("""COMPUTED_VALUE"""),0.024305555554747116)</f>
        <v>0.02430555555</v>
      </c>
      <c r="F275" s="137">
        <f>IFERROR(__xludf.DUMMYFUNCTION("""COMPUTED_VALUE"""),0.5104166666642413)</f>
        <v>0.5104166667</v>
      </c>
      <c r="G275" s="106">
        <v>0.024305555554747116</v>
      </c>
      <c r="H275" s="136">
        <f>IFERROR(__xludf.DUMMYFUNCTION("""COMPUTED_VALUE"""),27.0)</f>
        <v>27</v>
      </c>
      <c r="I275" s="139">
        <v>46.28571428725382</v>
      </c>
      <c r="J275" s="136" t="s">
        <v>15</v>
      </c>
      <c r="K275" s="146">
        <f>IFERROR(__xludf.DUMMYFUNCTION("""COMPUTED_VALUE"""),46127.0)</f>
        <v>46127</v>
      </c>
      <c r="L275" s="136" t="str">
        <f t="shared" si="1"/>
        <v>Wednesday</v>
      </c>
      <c r="M275" s="136" t="str">
        <f>IFERROR(__xludf.DUMMYFUNCTION("""COMPUTED_VALUE"""),"MF")</f>
        <v>MF</v>
      </c>
      <c r="N275" s="141">
        <v>0.9206050318057181</v>
      </c>
      <c r="O275" s="136" t="str">
        <f>IFERROR(__xludf.DUMMYFUNCTION("""COMPUTED_VALUE"""),"")</f>
        <v/>
      </c>
      <c r="P275" s="136" t="str">
        <f>IFERROR(__xludf.DUMMYFUNCTION("""COMPUTED_VALUE"""),"")</f>
        <v/>
      </c>
      <c r="Q275" s="106" t="str">
        <f>IFERROR(__xludf.DUMMYFUNCTION("""COMPUTED_VALUE"""),"")</f>
        <v/>
      </c>
      <c r="R275" s="106" t="str">
        <f>IFERROR(__xludf.DUMMYFUNCTION("""COMPUTED_VALUE"""),"")</f>
        <v/>
      </c>
      <c r="S275" s="139" t="str">
        <f>IFERROR(__xludf.DUMMYFUNCTION("""COMPUTED_VALUE"""),"")</f>
        <v/>
      </c>
      <c r="T275" s="139" t="str">
        <f>IFERROR(__xludf.DUMMYFUNCTION("""COMPUTED_VALUE"""),"")</f>
        <v/>
      </c>
      <c r="U275" s="136" t="str">
        <f>IFERROR(__xludf.DUMMYFUNCTION("""COMPUTED_VALUE"""),"")</f>
        <v/>
      </c>
      <c r="V275" s="106" t="str">
        <f>IFERROR(__xludf.DUMMYFUNCTION("""COMPUTED_VALUE"""),"")</f>
        <v/>
      </c>
      <c r="W275" s="143" t="str">
        <f t="shared" si="2"/>
        <v/>
      </c>
      <c r="X275" s="139" t="str">
        <f>IFERROR(__xludf.DUMMYFUNCTION("""COMPUTED_VALUE"""),"")</f>
        <v/>
      </c>
      <c r="Y275" s="141" t="str">
        <f>IFERROR(__xludf.DUMMYFUNCTION("""COMPUTED_VALUE"""),"")</f>
        <v/>
      </c>
    </row>
    <row r="276">
      <c r="A276" s="144">
        <f>IFERROR(__xludf.DUMMYFUNCTION("""COMPUTED_VALUE"""),46127.623428182866)</f>
        <v>46127.62343</v>
      </c>
      <c r="B276" s="136" t="str">
        <f>IFERROR(__xludf.DUMMYFUNCTION("""COMPUTED_VALUE"""),"Brynn Hornig")</f>
        <v>Brynn Hornig</v>
      </c>
      <c r="C276" s="136" t="b">
        <f t="shared" si="3"/>
        <v>0</v>
      </c>
      <c r="D276" s="137">
        <f>IFERROR(__xludf.DUMMYFUNCTION("""COMPUTED_VALUE"""),0.5416666666642413)</f>
        <v>0.5416666667</v>
      </c>
      <c r="E276" s="106">
        <f>IFERROR(__xludf.DUMMYFUNCTION("""COMPUTED_VALUE"""),0.08333333333575865)</f>
        <v>0.08333333334</v>
      </c>
      <c r="F276" s="137">
        <f>IFERROR(__xludf.DUMMYFUNCTION("""COMPUTED_VALUE"""),0.625)</f>
        <v>0.625</v>
      </c>
      <c r="G276" s="106">
        <v>0.08333333333575865</v>
      </c>
      <c r="H276" s="136">
        <f>IFERROR(__xludf.DUMMYFUNCTION("""COMPUTED_VALUE"""),84.0)</f>
        <v>84</v>
      </c>
      <c r="I276" s="139">
        <v>41.99999999877764</v>
      </c>
      <c r="J276" s="136" t="s">
        <v>15</v>
      </c>
      <c r="K276" s="146">
        <f>IFERROR(__xludf.DUMMYFUNCTION("""COMPUTED_VALUE"""),46127.0)</f>
        <v>46127</v>
      </c>
      <c r="L276" s="136" t="str">
        <f t="shared" si="1"/>
        <v>Wednesday</v>
      </c>
      <c r="M276" s="136" t="str">
        <f>IFERROR(__xludf.DUMMYFUNCTION("""COMPUTED_VALUE"""),"MF")</f>
        <v>MF</v>
      </c>
      <c r="N276" s="141">
        <v>0.8353638251049428</v>
      </c>
      <c r="O276" s="136" t="str">
        <f>IFERROR(__xludf.DUMMYFUNCTION("""COMPUTED_VALUE"""),"")</f>
        <v/>
      </c>
      <c r="P276" s="136" t="str">
        <f>IFERROR(__xludf.DUMMYFUNCTION("""COMPUTED_VALUE"""),"")</f>
        <v/>
      </c>
      <c r="Q276" s="106" t="str">
        <f>IFERROR(__xludf.DUMMYFUNCTION("""COMPUTED_VALUE"""),"")</f>
        <v/>
      </c>
      <c r="R276" s="106" t="str">
        <f>IFERROR(__xludf.DUMMYFUNCTION("""COMPUTED_VALUE"""),"")</f>
        <v/>
      </c>
      <c r="S276" s="139" t="str">
        <f>IFERROR(__xludf.DUMMYFUNCTION("""COMPUTED_VALUE"""),"")</f>
        <v/>
      </c>
      <c r="T276" s="139" t="str">
        <f>IFERROR(__xludf.DUMMYFUNCTION("""COMPUTED_VALUE"""),"")</f>
        <v/>
      </c>
      <c r="U276" s="136" t="str">
        <f>IFERROR(__xludf.DUMMYFUNCTION("""COMPUTED_VALUE"""),"")</f>
        <v/>
      </c>
      <c r="V276" s="106" t="str">
        <f>IFERROR(__xludf.DUMMYFUNCTION("""COMPUTED_VALUE"""),"")</f>
        <v/>
      </c>
      <c r="W276" s="143" t="str">
        <f t="shared" si="2"/>
        <v/>
      </c>
      <c r="X276" s="139" t="str">
        <f>IFERROR(__xludf.DUMMYFUNCTION("""COMPUTED_VALUE"""),"")</f>
        <v/>
      </c>
      <c r="Y276" s="141" t="str">
        <f>IFERROR(__xludf.DUMMYFUNCTION("""COMPUTED_VALUE"""),"")</f>
        <v/>
      </c>
    </row>
    <row r="277">
      <c r="A277" s="144">
        <f>IFERROR(__xludf.DUMMYFUNCTION("""COMPUTED_VALUE"""),46127.848144386575)</f>
        <v>46127.84814</v>
      </c>
      <c r="B277" s="136" t="str">
        <f>IFERROR(__xludf.DUMMYFUNCTION("""COMPUTED_VALUE"""),"Maureen Surgot")</f>
        <v>Maureen Surgot</v>
      </c>
      <c r="C277" s="136" t="b">
        <f t="shared" si="3"/>
        <v>0</v>
      </c>
      <c r="D277" s="137">
        <f>IFERROR(__xludf.DUMMYFUNCTION("""COMPUTED_VALUE"""),0.6875)</f>
        <v>0.6875</v>
      </c>
      <c r="E277" s="106">
        <f>IFERROR(__xludf.DUMMYFUNCTION("""COMPUTED_VALUE"""),0.16666666666424135)</f>
        <v>0.1666666667</v>
      </c>
      <c r="F277" s="137">
        <f>IFERROR(__xludf.DUMMYFUNCTION("""COMPUTED_VALUE"""),0.8541666666642413)</f>
        <v>0.8541666667</v>
      </c>
      <c r="G277" s="106">
        <v>0.16666666666424135</v>
      </c>
      <c r="H277" s="136">
        <f>IFERROR(__xludf.DUMMYFUNCTION("""COMPUTED_VALUE"""),156.0)</f>
        <v>156</v>
      </c>
      <c r="I277" s="139">
        <v>39.000000000567525</v>
      </c>
      <c r="J277" s="136" t="s">
        <v>18</v>
      </c>
      <c r="K277" s="146">
        <f>IFERROR(__xludf.DUMMYFUNCTION("""COMPUTED_VALUE"""),46127.0)</f>
        <v>46127</v>
      </c>
      <c r="L277" s="136" t="str">
        <f t="shared" si="1"/>
        <v>Wednesday</v>
      </c>
      <c r="M277" s="136" t="str">
        <f>IFERROR(__xludf.DUMMYFUNCTION("""COMPUTED_VALUE"""),"BF")</f>
        <v>BF</v>
      </c>
      <c r="N277" s="141">
        <v>0.8777493606138107</v>
      </c>
      <c r="O277" s="136" t="str">
        <f>IFERROR(__xludf.DUMMYFUNCTION("""COMPUTED_VALUE"""),"")</f>
        <v/>
      </c>
      <c r="P277" s="136" t="str">
        <f>IFERROR(__xludf.DUMMYFUNCTION("""COMPUTED_VALUE"""),"")</f>
        <v/>
      </c>
      <c r="Q277" s="106" t="str">
        <f>IFERROR(__xludf.DUMMYFUNCTION("""COMPUTED_VALUE"""),"")</f>
        <v/>
      </c>
      <c r="R277" s="106" t="str">
        <f>IFERROR(__xludf.DUMMYFUNCTION("""COMPUTED_VALUE"""),"")</f>
        <v/>
      </c>
      <c r="S277" s="139" t="str">
        <f>IFERROR(__xludf.DUMMYFUNCTION("""COMPUTED_VALUE"""),"")</f>
        <v/>
      </c>
      <c r="T277" s="139" t="str">
        <f>IFERROR(__xludf.DUMMYFUNCTION("""COMPUTED_VALUE"""),"")</f>
        <v/>
      </c>
      <c r="U277" s="136" t="str">
        <f>IFERROR(__xludf.DUMMYFUNCTION("""COMPUTED_VALUE"""),"")</f>
        <v/>
      </c>
      <c r="V277" s="106" t="str">
        <f>IFERROR(__xludf.DUMMYFUNCTION("""COMPUTED_VALUE"""),"")</f>
        <v/>
      </c>
      <c r="W277" s="143" t="str">
        <f t="shared" si="2"/>
        <v/>
      </c>
      <c r="X277" s="139" t="str">
        <f>IFERROR(__xludf.DUMMYFUNCTION("""COMPUTED_VALUE"""),"")</f>
        <v/>
      </c>
      <c r="Y277" s="141" t="str">
        <f>IFERROR(__xludf.DUMMYFUNCTION("""COMPUTED_VALUE"""),"")</f>
        <v/>
      </c>
    </row>
    <row r="278">
      <c r="A278" s="144">
        <f>IFERROR(__xludf.DUMMYFUNCTION("""COMPUTED_VALUE"""),46127.87145489584)</f>
        <v>46127.87145</v>
      </c>
      <c r="B278" s="136" t="str">
        <f>IFERROR(__xludf.DUMMYFUNCTION("""COMPUTED_VALUE"""),"Brynn Hornig")</f>
        <v>Brynn Hornig</v>
      </c>
      <c r="C278" s="136" t="b">
        <f t="shared" si="3"/>
        <v>0</v>
      </c>
      <c r="D278" s="137">
        <f>IFERROR(__xludf.DUMMYFUNCTION("""COMPUTED_VALUE"""),0.75)</f>
        <v>0.75</v>
      </c>
      <c r="E278" s="106">
        <f>IFERROR(__xludf.DUMMYFUNCTION("""COMPUTED_VALUE"""),0.125)</f>
        <v>0.125</v>
      </c>
      <c r="F278" s="137">
        <f>IFERROR(__xludf.DUMMYFUNCTION("""COMPUTED_VALUE"""),0.875)</f>
        <v>0.875</v>
      </c>
      <c r="G278" s="106">
        <v>0.125</v>
      </c>
      <c r="H278" s="136">
        <f>IFERROR(__xludf.DUMMYFUNCTION("""COMPUTED_VALUE"""),100.0)</f>
        <v>100</v>
      </c>
      <c r="I278" s="139">
        <v>33.333333333333336</v>
      </c>
      <c r="J278" s="136" t="s">
        <v>18</v>
      </c>
      <c r="K278" s="146">
        <f>IFERROR(__xludf.DUMMYFUNCTION("""COMPUTED_VALUE"""),46127.0)</f>
        <v>46127</v>
      </c>
      <c r="L278" s="136" t="str">
        <f t="shared" si="1"/>
        <v>Wednesday</v>
      </c>
      <c r="M278" s="136" t="str">
        <f>IFERROR(__xludf.DUMMYFUNCTION("""COMPUTED_VALUE"""),"MF")</f>
        <v>MF</v>
      </c>
      <c r="N278" s="141">
        <v>0.6972121854677262</v>
      </c>
      <c r="O278" s="136">
        <f>IFERROR(__xludf.DUMMYFUNCTION("""COMPUTED_VALUE"""),211.0)</f>
        <v>211</v>
      </c>
      <c r="P278" s="136">
        <f>IFERROR(__xludf.DUMMYFUNCTION("""COMPUTED_VALUE"""),284.0)</f>
        <v>284</v>
      </c>
      <c r="Q278" s="106">
        <f>IFERROR(__xludf.DUMMYFUNCTION("""COMPUTED_VALUE"""),0.23263888889050577)</f>
        <v>0.2326388889</v>
      </c>
      <c r="R278" s="106">
        <f>IFERROR(__xludf.DUMMYFUNCTION("""COMPUTED_VALUE"""),0.29374999998981366)</f>
        <v>0.29375</v>
      </c>
      <c r="S278" s="139">
        <f>IFERROR(__xludf.DUMMYFUNCTION("""COMPUTED_VALUE"""),40.53968253978827)</f>
        <v>40.53968254</v>
      </c>
      <c r="T278" s="139">
        <f>IFERROR(__xludf.DUMMYFUNCTION("""COMPUTED_VALUE"""),42.84876141084856)</f>
        <v>42.84876141</v>
      </c>
      <c r="U278" s="136">
        <f>IFERROR(__xludf.DUMMYFUNCTION("""COMPUTED_VALUE"""),495.0)</f>
        <v>495</v>
      </c>
      <c r="V278" s="106">
        <f>IFERROR(__xludf.DUMMYFUNCTION("""COMPUTED_VALUE"""),0.5263888888803194)</f>
        <v>0.5263888889</v>
      </c>
      <c r="W278" s="143">
        <f t="shared" si="2"/>
        <v>39.18205805</v>
      </c>
      <c r="X278" s="139">
        <f>IFERROR(__xludf.DUMMYFUNCTION("""COMPUTED_VALUE"""),41.69422197531841)</f>
        <v>41.69422198</v>
      </c>
      <c r="Y278" s="141">
        <f>IFERROR(__xludf.DUMMYFUNCTION("""COMPUTED_VALUE"""),0.8389792488847682)</f>
        <v>0.8389792489</v>
      </c>
    </row>
    <row r="279">
      <c r="A279" s="144">
        <f>IFERROR(__xludf.DUMMYFUNCTION("""COMPUTED_VALUE"""),46128.362814039356)</f>
        <v>46128.36281</v>
      </c>
      <c r="B279" s="136" t="str">
        <f>IFERROR(__xludf.DUMMYFUNCTION("""COMPUTED_VALUE"""),"Evan Morgan")</f>
        <v>Evan Morgan</v>
      </c>
      <c r="C279" s="136" t="b">
        <f t="shared" si="3"/>
        <v>0</v>
      </c>
      <c r="D279" s="137">
        <f>IFERROR(__xludf.DUMMYFUNCTION("""COMPUTED_VALUE"""),0.29166666666424135)</f>
        <v>0.2916666667</v>
      </c>
      <c r="E279" s="106">
        <f>IFERROR(__xludf.DUMMYFUNCTION("""COMPUTED_VALUE"""),0.07083333333866904)</f>
        <v>0.07083333334</v>
      </c>
      <c r="F279" s="137">
        <f>IFERROR(__xludf.DUMMYFUNCTION("""COMPUTED_VALUE"""),0.3625000000029104)</f>
        <v>0.3625</v>
      </c>
      <c r="G279" s="106">
        <v>0.07083333333866904</v>
      </c>
      <c r="H279" s="136">
        <f>IFERROR(__xludf.DUMMYFUNCTION("""COMPUTED_VALUE"""),18.0)</f>
        <v>18</v>
      </c>
      <c r="I279" s="139">
        <v>10.58823529332006</v>
      </c>
      <c r="J279" s="136" t="s">
        <v>12</v>
      </c>
      <c r="K279" s="146">
        <f>IFERROR(__xludf.DUMMYFUNCTION("""COMPUTED_VALUE"""),46128.0)</f>
        <v>46128</v>
      </c>
      <c r="L279" s="136" t="str">
        <f t="shared" si="1"/>
        <v>Thursday</v>
      </c>
      <c r="M279" s="136" t="str">
        <f>IFERROR(__xludf.DUMMYFUNCTION("""COMPUTED_VALUE"""),"BF")</f>
        <v>BF</v>
      </c>
      <c r="N279" s="141">
        <v>0.3734741720579695</v>
      </c>
      <c r="O279" s="136" t="str">
        <f>IFERROR(__xludf.DUMMYFUNCTION("""COMPUTED_VALUE"""),"")</f>
        <v/>
      </c>
      <c r="P279" s="136" t="str">
        <f>IFERROR(__xludf.DUMMYFUNCTION("""COMPUTED_VALUE"""),"")</f>
        <v/>
      </c>
      <c r="Q279" s="106" t="str">
        <f>IFERROR(__xludf.DUMMYFUNCTION("""COMPUTED_VALUE"""),"")</f>
        <v/>
      </c>
      <c r="R279" s="106" t="str">
        <f>IFERROR(__xludf.DUMMYFUNCTION("""COMPUTED_VALUE"""),"")</f>
        <v/>
      </c>
      <c r="S279" s="139" t="str">
        <f>IFERROR(__xludf.DUMMYFUNCTION("""COMPUTED_VALUE"""),"")</f>
        <v/>
      </c>
      <c r="T279" s="139" t="str">
        <f>IFERROR(__xludf.DUMMYFUNCTION("""COMPUTED_VALUE"""),"")</f>
        <v/>
      </c>
      <c r="U279" s="136" t="str">
        <f>IFERROR(__xludf.DUMMYFUNCTION("""COMPUTED_VALUE"""),"")</f>
        <v/>
      </c>
      <c r="V279" s="106" t="str">
        <f>IFERROR(__xludf.DUMMYFUNCTION("""COMPUTED_VALUE"""),"")</f>
        <v/>
      </c>
      <c r="W279" s="143" t="str">
        <f t="shared" si="2"/>
        <v/>
      </c>
      <c r="X279" s="139" t="str">
        <f>IFERROR(__xludf.DUMMYFUNCTION("""COMPUTED_VALUE"""),"")</f>
        <v/>
      </c>
      <c r="Y279" s="141" t="str">
        <f>IFERROR(__xludf.DUMMYFUNCTION("""COMPUTED_VALUE"""),"")</f>
        <v/>
      </c>
    </row>
    <row r="280">
      <c r="A280" s="144">
        <f>IFERROR(__xludf.DUMMYFUNCTION("""COMPUTED_VALUE"""),46128.40876547454)</f>
        <v>46128.40877</v>
      </c>
      <c r="B280" s="136" t="str">
        <f>IFERROR(__xludf.DUMMYFUNCTION("""COMPUTED_VALUE"""),"Sophia Kluck")</f>
        <v>Sophia Kluck</v>
      </c>
      <c r="C280" s="136" t="b">
        <f t="shared" si="3"/>
        <v>0</v>
      </c>
      <c r="D280" s="137">
        <f>IFERROR(__xludf.DUMMYFUNCTION("""COMPUTED_VALUE"""),0.3687500000014552)</f>
        <v>0.36875</v>
      </c>
      <c r="E280" s="106">
        <f>IFERROR(__xludf.DUMMYFUNCTION("""COMPUTED_VALUE"""),0.03749999999854481)</f>
        <v>0.0375</v>
      </c>
      <c r="F280" s="137">
        <f>IFERROR(__xludf.DUMMYFUNCTION("""COMPUTED_VALUE"""),0.40625)</f>
        <v>0.40625</v>
      </c>
      <c r="G280" s="106">
        <v>0.03749999999854481</v>
      </c>
      <c r="H280" s="136">
        <f>IFERROR(__xludf.DUMMYFUNCTION("""COMPUTED_VALUE"""),32.0)</f>
        <v>32</v>
      </c>
      <c r="I280" s="139">
        <v>35.555555556935296</v>
      </c>
      <c r="J280" s="136" t="s">
        <v>12</v>
      </c>
      <c r="K280" s="146">
        <f>IFERROR(__xludf.DUMMYFUNCTION("""COMPUTED_VALUE"""),46128.0)</f>
        <v>46128</v>
      </c>
      <c r="L280" s="136" t="str">
        <f t="shared" si="1"/>
        <v>Thursday</v>
      </c>
      <c r="M280" s="136" t="str">
        <f>IFERROR(__xludf.DUMMYFUNCTION("""COMPUTED_VALUE"""),"BF")</f>
        <v>BF</v>
      </c>
      <c r="N280" s="141">
        <v>1.254135491498295</v>
      </c>
      <c r="O280" s="136" t="str">
        <f>IFERROR(__xludf.DUMMYFUNCTION("""COMPUTED_VALUE"""),"")</f>
        <v/>
      </c>
      <c r="P280" s="136" t="str">
        <f>IFERROR(__xludf.DUMMYFUNCTION("""COMPUTED_VALUE"""),"")</f>
        <v/>
      </c>
      <c r="Q280" s="106" t="str">
        <f>IFERROR(__xludf.DUMMYFUNCTION("""COMPUTED_VALUE"""),"")</f>
        <v/>
      </c>
      <c r="R280" s="106" t="str">
        <f>IFERROR(__xludf.DUMMYFUNCTION("""COMPUTED_VALUE"""),"")</f>
        <v/>
      </c>
      <c r="S280" s="139" t="str">
        <f>IFERROR(__xludf.DUMMYFUNCTION("""COMPUTED_VALUE"""),"")</f>
        <v/>
      </c>
      <c r="T280" s="139" t="str">
        <f>IFERROR(__xludf.DUMMYFUNCTION("""COMPUTED_VALUE"""),"")</f>
        <v/>
      </c>
      <c r="U280" s="136" t="str">
        <f>IFERROR(__xludf.DUMMYFUNCTION("""COMPUTED_VALUE"""),"")</f>
        <v/>
      </c>
      <c r="V280" s="106" t="str">
        <f>IFERROR(__xludf.DUMMYFUNCTION("""COMPUTED_VALUE"""),"")</f>
        <v/>
      </c>
      <c r="W280" s="143" t="str">
        <f t="shared" si="2"/>
        <v/>
      </c>
      <c r="X280" s="139" t="str">
        <f>IFERROR(__xludf.DUMMYFUNCTION("""COMPUTED_VALUE"""),"")</f>
        <v/>
      </c>
      <c r="Y280" s="141" t="str">
        <f>IFERROR(__xludf.DUMMYFUNCTION("""COMPUTED_VALUE"""),"")</f>
        <v/>
      </c>
    </row>
    <row r="281">
      <c r="A281" s="144">
        <f>IFERROR(__xludf.DUMMYFUNCTION("""COMPUTED_VALUE"""),46128.52912063657)</f>
        <v>46128.52912</v>
      </c>
      <c r="B281" s="136" t="str">
        <f>IFERROR(__xludf.DUMMYFUNCTION("""COMPUTED_VALUE"""),"Emmett Khan")</f>
        <v>Emmett Khan</v>
      </c>
      <c r="C281" s="136" t="b">
        <f t="shared" si="3"/>
        <v>0</v>
      </c>
      <c r="D281" s="137">
        <f>IFERROR(__xludf.DUMMYFUNCTION("""COMPUTED_VALUE"""),0.47916666666424135)</f>
        <v>0.4791666667</v>
      </c>
      <c r="E281" s="106">
        <f>IFERROR(__xludf.DUMMYFUNCTION("""COMPUTED_VALUE"""),0.05208333333575865)</f>
        <v>0.05208333334</v>
      </c>
      <c r="F281" s="137">
        <f>IFERROR(__xludf.DUMMYFUNCTION("""COMPUTED_VALUE"""),0.53125)</f>
        <v>0.53125</v>
      </c>
      <c r="G281" s="106">
        <v>0.05208333333575865</v>
      </c>
      <c r="H281" s="136">
        <f>IFERROR(__xludf.DUMMYFUNCTION("""COMPUTED_VALUE"""),109.0)</f>
        <v>109</v>
      </c>
      <c r="I281" s="139">
        <v>87.19999999593944</v>
      </c>
      <c r="J281" s="136" t="s">
        <v>15</v>
      </c>
      <c r="K281" s="146">
        <f>IFERROR(__xludf.DUMMYFUNCTION("""COMPUTED_VALUE"""),46128.0)</f>
        <v>46128</v>
      </c>
      <c r="L281" s="136" t="str">
        <f t="shared" si="1"/>
        <v>Thursday</v>
      </c>
      <c r="M281" s="136" t="str">
        <f>IFERROR(__xludf.DUMMYFUNCTION("""COMPUTED_VALUE"""),"MF")</f>
        <v>MF</v>
      </c>
      <c r="N281" s="141">
        <v>1.7343744178066427</v>
      </c>
      <c r="O281" s="136" t="str">
        <f>IFERROR(__xludf.DUMMYFUNCTION("""COMPUTED_VALUE"""),"")</f>
        <v/>
      </c>
      <c r="P281" s="136" t="str">
        <f>IFERROR(__xludf.DUMMYFUNCTION("""COMPUTED_VALUE"""),"")</f>
        <v/>
      </c>
      <c r="Q281" s="106" t="str">
        <f>IFERROR(__xludf.DUMMYFUNCTION("""COMPUTED_VALUE"""),"")</f>
        <v/>
      </c>
      <c r="R281" s="106" t="str">
        <f>IFERROR(__xludf.DUMMYFUNCTION("""COMPUTED_VALUE"""),"")</f>
        <v/>
      </c>
      <c r="S281" s="139" t="str">
        <f>IFERROR(__xludf.DUMMYFUNCTION("""COMPUTED_VALUE"""),"")</f>
        <v/>
      </c>
      <c r="T281" s="139" t="str">
        <f>IFERROR(__xludf.DUMMYFUNCTION("""COMPUTED_VALUE"""),"")</f>
        <v/>
      </c>
      <c r="U281" s="136" t="str">
        <f>IFERROR(__xludf.DUMMYFUNCTION("""COMPUTED_VALUE"""),"")</f>
        <v/>
      </c>
      <c r="V281" s="106" t="str">
        <f>IFERROR(__xludf.DUMMYFUNCTION("""COMPUTED_VALUE"""),"")</f>
        <v/>
      </c>
      <c r="W281" s="143" t="str">
        <f t="shared" si="2"/>
        <v/>
      </c>
      <c r="X281" s="139" t="str">
        <f>IFERROR(__xludf.DUMMYFUNCTION("""COMPUTED_VALUE"""),"")</f>
        <v/>
      </c>
      <c r="Y281" s="141" t="str">
        <f>IFERROR(__xludf.DUMMYFUNCTION("""COMPUTED_VALUE"""),"")</f>
        <v/>
      </c>
    </row>
    <row r="282">
      <c r="A282" s="144">
        <f>IFERROR(__xludf.DUMMYFUNCTION("""COMPUTED_VALUE"""),46128.568252384255)</f>
        <v>46128.56825</v>
      </c>
      <c r="B282" s="136" t="str">
        <f>IFERROR(__xludf.DUMMYFUNCTION("""COMPUTED_VALUE"""),"Kyra Turner")</f>
        <v>Kyra Turner</v>
      </c>
      <c r="C282" s="136" t="b">
        <f t="shared" si="3"/>
        <v>0</v>
      </c>
      <c r="D282" s="137">
        <f>IFERROR(__xludf.DUMMYFUNCTION("""COMPUTED_VALUE"""),0.5006944444467081)</f>
        <v>0.5006944444</v>
      </c>
      <c r="E282" s="106">
        <f>IFERROR(__xludf.DUMMYFUNCTION("""COMPUTED_VALUE"""),0.06527777777228039)</f>
        <v>0.06527777777</v>
      </c>
      <c r="F282" s="137">
        <f>IFERROR(__xludf.DUMMYFUNCTION("""COMPUTED_VALUE"""),0.5659722222189885)</f>
        <v>0.5659722222</v>
      </c>
      <c r="G282" s="106">
        <v>0.13819444443652174</v>
      </c>
      <c r="H282" s="136">
        <f>IFERROR(__xludf.DUMMYFUNCTION("""COMPUTED_VALUE"""),114.0)</f>
        <v>114</v>
      </c>
      <c r="I282" s="139">
        <v>59.39698492802835</v>
      </c>
      <c r="J282" s="136" t="s">
        <v>15</v>
      </c>
      <c r="K282" s="146">
        <f>IFERROR(__xludf.DUMMYFUNCTION("""COMPUTED_VALUE"""),46128.0)</f>
        <v>46128</v>
      </c>
      <c r="L282" s="136" t="str">
        <f t="shared" si="1"/>
        <v>Thursday</v>
      </c>
      <c r="M282" s="136" t="str">
        <f>IFERROR(__xludf.DUMMYFUNCTION("""COMPUTED_VALUE"""),"BF")</f>
        <v>BF</v>
      </c>
      <c r="N282" s="141">
        <v>2.095083756093909</v>
      </c>
      <c r="O282" s="136" t="str">
        <f>IFERROR(__xludf.DUMMYFUNCTION("""COMPUTED_VALUE"""),"")</f>
        <v/>
      </c>
      <c r="P282" s="136" t="str">
        <f>IFERROR(__xludf.DUMMYFUNCTION("""COMPUTED_VALUE"""),"")</f>
        <v/>
      </c>
      <c r="Q282" s="106" t="str">
        <f>IFERROR(__xludf.DUMMYFUNCTION("""COMPUTED_VALUE"""),"")</f>
        <v/>
      </c>
      <c r="R282" s="106" t="str">
        <f>IFERROR(__xludf.DUMMYFUNCTION("""COMPUTED_VALUE"""),"")</f>
        <v/>
      </c>
      <c r="S282" s="139" t="str">
        <f>IFERROR(__xludf.DUMMYFUNCTION("""COMPUTED_VALUE"""),"")</f>
        <v/>
      </c>
      <c r="T282" s="139" t="str">
        <f>IFERROR(__xludf.DUMMYFUNCTION("""COMPUTED_VALUE"""),"")</f>
        <v/>
      </c>
      <c r="U282" s="136" t="str">
        <f>IFERROR(__xludf.DUMMYFUNCTION("""COMPUTED_VALUE"""),"")</f>
        <v/>
      </c>
      <c r="V282" s="106" t="str">
        <f>IFERROR(__xludf.DUMMYFUNCTION("""COMPUTED_VALUE"""),"")</f>
        <v/>
      </c>
      <c r="W282" s="143" t="str">
        <f t="shared" si="2"/>
        <v/>
      </c>
      <c r="X282" s="139" t="str">
        <f>IFERROR(__xludf.DUMMYFUNCTION("""COMPUTED_VALUE"""),"")</f>
        <v/>
      </c>
      <c r="Y282" s="141" t="str">
        <f>IFERROR(__xludf.DUMMYFUNCTION("""COMPUTED_VALUE"""),"")</f>
        <v/>
      </c>
    </row>
    <row r="283">
      <c r="A283" s="144">
        <f>IFERROR(__xludf.DUMMYFUNCTION("""COMPUTED_VALUE"""),46128.643501886574)</f>
        <v>46128.6435</v>
      </c>
      <c r="B283" s="136" t="str">
        <f>IFERROR(__xludf.DUMMYFUNCTION("""COMPUTED_VALUE"""),"Kyra Turner")</f>
        <v>Kyra Turner</v>
      </c>
      <c r="C283" s="136" t="b">
        <f t="shared" si="3"/>
        <v>1</v>
      </c>
      <c r="D283" s="137">
        <f>IFERROR(__xludf.DUMMYFUNCTION("""COMPUTED_VALUE"""),0.5694444444452529)</f>
        <v>0.5694444444</v>
      </c>
      <c r="E283" s="106">
        <f>IFERROR(__xludf.DUMMYFUNCTION("""COMPUTED_VALUE"""),0.07291666666424135)</f>
        <v>0.07291666666</v>
      </c>
      <c r="F283" s="137">
        <f>IFERROR(__xludf.DUMMYFUNCTION("""COMPUTED_VALUE"""),0.6423611111094942)</f>
        <v>0.6423611111</v>
      </c>
      <c r="G283" s="106" t="s">
        <v>133</v>
      </c>
      <c r="H283" s="136">
        <f>IFERROR(__xludf.DUMMYFUNCTION("""COMPUTED_VALUE"""),83.0)</f>
        <v>83</v>
      </c>
      <c r="I283" s="139" t="s">
        <v>133</v>
      </c>
      <c r="J283" s="136" t="s">
        <v>15</v>
      </c>
      <c r="K283" s="146">
        <f>IFERROR(__xludf.DUMMYFUNCTION("""COMPUTED_VALUE"""),46128.0)</f>
        <v>46128</v>
      </c>
      <c r="L283" s="136" t="str">
        <f t="shared" si="1"/>
        <v>Thursday</v>
      </c>
      <c r="M283" s="136" t="str">
        <f>IFERROR(__xludf.DUMMYFUNCTION("""COMPUTED_VALUE"""),"BF")</f>
        <v>BF</v>
      </c>
      <c r="N283" s="141" t="s">
        <v>133</v>
      </c>
      <c r="O283" s="136" t="str">
        <f>IFERROR(__xludf.DUMMYFUNCTION("""COMPUTED_VALUE"""),"")</f>
        <v/>
      </c>
      <c r="P283" s="136" t="str">
        <f>IFERROR(__xludf.DUMMYFUNCTION("""COMPUTED_VALUE"""),"")</f>
        <v/>
      </c>
      <c r="Q283" s="106" t="str">
        <f>IFERROR(__xludf.DUMMYFUNCTION("""COMPUTED_VALUE"""),"")</f>
        <v/>
      </c>
      <c r="R283" s="106" t="str">
        <f>IFERROR(__xludf.DUMMYFUNCTION("""COMPUTED_VALUE"""),"")</f>
        <v/>
      </c>
      <c r="S283" s="139" t="str">
        <f>IFERROR(__xludf.DUMMYFUNCTION("""COMPUTED_VALUE"""),"")</f>
        <v/>
      </c>
      <c r="T283" s="139" t="str">
        <f>IFERROR(__xludf.DUMMYFUNCTION("""COMPUTED_VALUE"""),"")</f>
        <v/>
      </c>
      <c r="U283" s="136" t="str">
        <f>IFERROR(__xludf.DUMMYFUNCTION("""COMPUTED_VALUE"""),"")</f>
        <v/>
      </c>
      <c r="V283" s="106" t="str">
        <f>IFERROR(__xludf.DUMMYFUNCTION("""COMPUTED_VALUE"""),"")</f>
        <v/>
      </c>
      <c r="W283" s="143" t="str">
        <f t="shared" si="2"/>
        <v/>
      </c>
      <c r="X283" s="139" t="str">
        <f>IFERROR(__xludf.DUMMYFUNCTION("""COMPUTED_VALUE"""),"")</f>
        <v/>
      </c>
      <c r="Y283" s="141" t="str">
        <f>IFERROR(__xludf.DUMMYFUNCTION("""COMPUTED_VALUE"""),"")</f>
        <v/>
      </c>
    </row>
    <row r="284">
      <c r="A284" s="144">
        <f>IFERROR(__xludf.DUMMYFUNCTION("""COMPUTED_VALUE"""),46128.774886087966)</f>
        <v>46128.77489</v>
      </c>
      <c r="B284" s="136" t="str">
        <f>IFERROR(__xludf.DUMMYFUNCTION("""COMPUTED_VALUE"""),"Emmett Khan")</f>
        <v>Emmett Khan</v>
      </c>
      <c r="C284" s="136" t="b">
        <f t="shared" si="3"/>
        <v>0</v>
      </c>
      <c r="D284" s="137">
        <f>IFERROR(__xludf.DUMMYFUNCTION("""COMPUTED_VALUE"""),0.7083333333357587)</f>
        <v>0.7083333333</v>
      </c>
      <c r="E284" s="106">
        <f>IFERROR(__xludf.DUMMYFUNCTION("""COMPUTED_VALUE"""),0.07291666666424135)</f>
        <v>0.07291666666</v>
      </c>
      <c r="F284" s="137">
        <f>IFERROR(__xludf.DUMMYFUNCTION("""COMPUTED_VALUE"""),0.78125)</f>
        <v>0.78125</v>
      </c>
      <c r="G284" s="106">
        <v>0.07291666666424135</v>
      </c>
      <c r="H284" s="136">
        <f>IFERROR(__xludf.DUMMYFUNCTION("""COMPUTED_VALUE"""),102.0)</f>
        <v>102</v>
      </c>
      <c r="I284" s="139">
        <v>58.28571428765296</v>
      </c>
      <c r="J284" s="136" t="s">
        <v>18</v>
      </c>
      <c r="K284" s="146">
        <f>IFERROR(__xludf.DUMMYFUNCTION("""COMPUTED_VALUE"""),46128.0)</f>
        <v>46128</v>
      </c>
      <c r="L284" s="136" t="str">
        <f t="shared" si="1"/>
        <v>Thursday</v>
      </c>
      <c r="M284" s="136" t="str">
        <f>IFERROR(__xludf.DUMMYFUNCTION("""COMPUTED_VALUE"""),"MF")</f>
        <v>MF</v>
      </c>
      <c r="N284" s="141">
        <v>1.2191253072012598</v>
      </c>
      <c r="O284" s="136">
        <f>IFERROR(__xludf.DUMMYFUNCTION("""COMPUTED_VALUE"""),211.0)</f>
        <v>211</v>
      </c>
      <c r="P284" s="136">
        <f>IFERROR(__xludf.DUMMYFUNCTION("""COMPUTED_VALUE"""),247.0)</f>
        <v>247</v>
      </c>
      <c r="Q284" s="106">
        <f>IFERROR(__xludf.DUMMYFUNCTION("""COMPUTED_VALUE"""),0.125)</f>
        <v>0.125</v>
      </c>
      <c r="R284" s="106">
        <f>IFERROR(__xludf.DUMMYFUNCTION("""COMPUTED_VALUE"""),0.24652777777373558)</f>
        <v>0.2465277778</v>
      </c>
      <c r="S284" s="139">
        <f>IFERROR(__xludf.DUMMYFUNCTION("""COMPUTED_VALUE"""),72.7428571417962)</f>
        <v>72.74285714</v>
      </c>
      <c r="T284" s="139">
        <f>IFERROR(__xludf.DUMMYFUNCTION("""COMPUTED_VALUE"""),35.18025859276124)</f>
        <v>35.18025859</v>
      </c>
      <c r="U284" s="136">
        <f>IFERROR(__xludf.DUMMYFUNCTION("""COMPUTED_VALUE"""),458.0)</f>
        <v>458</v>
      </c>
      <c r="V284" s="106">
        <f>IFERROR(__xludf.DUMMYFUNCTION("""COMPUTED_VALUE"""),0.3715277777737356)</f>
        <v>0.3715277778</v>
      </c>
      <c r="W284" s="143">
        <f t="shared" si="2"/>
        <v>51.36448598</v>
      </c>
      <c r="X284" s="139">
        <f>IFERROR(__xludf.DUMMYFUNCTION("""COMPUTED_VALUE"""),50.20529801237522)</f>
        <v>50.20529801</v>
      </c>
      <c r="Y284" s="141">
        <f>IFERROR(__xludf.DUMMYFUNCTION("""COMPUTED_VALUE"""),0.8897733337561563)</f>
        <v>0.8897733338</v>
      </c>
    </row>
    <row r="285">
      <c r="A285" s="144">
        <f>IFERROR(__xludf.DUMMYFUNCTION("""COMPUTED_VALUE"""),46129.571754143515)</f>
        <v>46129.57175</v>
      </c>
      <c r="B285" s="136" t="str">
        <f>IFERROR(__xludf.DUMMYFUNCTION("""COMPUTED_VALUE"""),"Kaylie Forgue")</f>
        <v>Kaylie Forgue</v>
      </c>
      <c r="C285" s="136" t="b">
        <f t="shared" si="3"/>
        <v>0</v>
      </c>
      <c r="D285" s="137">
        <f>IFERROR(__xludf.DUMMYFUNCTION("""COMPUTED_VALUE"""),0.3680555555547471)</f>
        <v>0.3680555556</v>
      </c>
      <c r="E285" s="106">
        <f>IFERROR(__xludf.DUMMYFUNCTION("""COMPUTED_VALUE"""),0.06597222222626442)</f>
        <v>0.06597222223</v>
      </c>
      <c r="F285" s="137">
        <f>IFERROR(__xludf.DUMMYFUNCTION("""COMPUTED_VALUE"""),0.43402777778101154)</f>
        <v>0.4340277778</v>
      </c>
      <c r="G285" s="106">
        <v>0.06597222222626442</v>
      </c>
      <c r="H285" s="136">
        <f>IFERROR(__xludf.DUMMYFUNCTION("""COMPUTED_VALUE"""),78.0)</f>
        <v>78</v>
      </c>
      <c r="I285" s="139">
        <v>49.26315789171843</v>
      </c>
      <c r="J285" s="136" t="s">
        <v>12</v>
      </c>
      <c r="K285" s="146">
        <f>IFERROR(__xludf.DUMMYFUNCTION("""COMPUTED_VALUE"""),46129.0)</f>
        <v>46129</v>
      </c>
      <c r="L285" s="136" t="str">
        <f t="shared" si="1"/>
        <v>Friday</v>
      </c>
      <c r="M285" s="136" t="str">
        <f>IFERROR(__xludf.DUMMYFUNCTION("""COMPUTED_VALUE"""),"BF")</f>
        <v>BF</v>
      </c>
      <c r="N285" s="141">
        <v>1.737637726862557</v>
      </c>
      <c r="O285" s="136" t="str">
        <f>IFERROR(__xludf.DUMMYFUNCTION("""COMPUTED_VALUE"""),"")</f>
        <v/>
      </c>
      <c r="P285" s="136" t="str">
        <f>IFERROR(__xludf.DUMMYFUNCTION("""COMPUTED_VALUE"""),"")</f>
        <v/>
      </c>
      <c r="Q285" s="106" t="str">
        <f>IFERROR(__xludf.DUMMYFUNCTION("""COMPUTED_VALUE"""),"")</f>
        <v/>
      </c>
      <c r="R285" s="106" t="str">
        <f>IFERROR(__xludf.DUMMYFUNCTION("""COMPUTED_VALUE"""),"")</f>
        <v/>
      </c>
      <c r="S285" s="139" t="str">
        <f>IFERROR(__xludf.DUMMYFUNCTION("""COMPUTED_VALUE"""),"")</f>
        <v/>
      </c>
      <c r="T285" s="139" t="str">
        <f>IFERROR(__xludf.DUMMYFUNCTION("""COMPUTED_VALUE"""),"")</f>
        <v/>
      </c>
      <c r="U285" s="136" t="str">
        <f>IFERROR(__xludf.DUMMYFUNCTION("""COMPUTED_VALUE"""),"")</f>
        <v/>
      </c>
      <c r="V285" s="106" t="str">
        <f>IFERROR(__xludf.DUMMYFUNCTION("""COMPUTED_VALUE"""),"")</f>
        <v/>
      </c>
      <c r="W285" s="143" t="str">
        <f t="shared" si="2"/>
        <v/>
      </c>
      <c r="X285" s="139" t="str">
        <f>IFERROR(__xludf.DUMMYFUNCTION("""COMPUTED_VALUE"""),"")</f>
        <v/>
      </c>
      <c r="Y285" s="141" t="str">
        <f>IFERROR(__xludf.DUMMYFUNCTION("""COMPUTED_VALUE"""),"")</f>
        <v/>
      </c>
    </row>
    <row r="286">
      <c r="A286" s="144">
        <f>IFERROR(__xludf.DUMMYFUNCTION("""COMPUTED_VALUE"""),46129.57908763889)</f>
        <v>46129.57909</v>
      </c>
      <c r="B286" s="136" t="str">
        <f>IFERROR(__xludf.DUMMYFUNCTION("""COMPUTED_VALUE"""),"Brynn Hornig")</f>
        <v>Brynn Hornig</v>
      </c>
      <c r="C286" s="136" t="b">
        <f t="shared" si="3"/>
        <v>0</v>
      </c>
      <c r="D286" s="137">
        <f>IFERROR(__xludf.DUMMYFUNCTION("""COMPUTED_VALUE"""),0.45833333333575865)</f>
        <v>0.4583333333</v>
      </c>
      <c r="E286" s="106">
        <f>IFERROR(__xludf.DUMMYFUNCTION("""COMPUTED_VALUE"""),0.125)</f>
        <v>0.125</v>
      </c>
      <c r="F286" s="137">
        <f>IFERROR(__xludf.DUMMYFUNCTION("""COMPUTED_VALUE"""),0.5833333333357587)</f>
        <v>0.5833333333</v>
      </c>
      <c r="G286" s="106">
        <v>0.125</v>
      </c>
      <c r="H286" s="136">
        <f>IFERROR(__xludf.DUMMYFUNCTION("""COMPUTED_VALUE"""),90.0)</f>
        <v>90</v>
      </c>
      <c r="I286" s="139">
        <v>30.0</v>
      </c>
      <c r="J286" s="136" t="s">
        <v>15</v>
      </c>
      <c r="K286" s="146">
        <f>IFERROR(__xludf.DUMMYFUNCTION("""COMPUTED_VALUE"""),46129.0)</f>
        <v>46129</v>
      </c>
      <c r="L286" s="136" t="str">
        <f t="shared" si="1"/>
        <v>Friday</v>
      </c>
      <c r="M286" s="136" t="str">
        <f>IFERROR(__xludf.DUMMYFUNCTION("""COMPUTED_VALUE"""),"BF")</f>
        <v>BF</v>
      </c>
      <c r="N286" s="141">
        <v>1.0581768209106235</v>
      </c>
      <c r="O286" s="136" t="str">
        <f>IFERROR(__xludf.DUMMYFUNCTION("""COMPUTED_VALUE"""),"")</f>
        <v/>
      </c>
      <c r="P286" s="136" t="str">
        <f>IFERROR(__xludf.DUMMYFUNCTION("""COMPUTED_VALUE"""),"")</f>
        <v/>
      </c>
      <c r="Q286" s="106" t="str">
        <f>IFERROR(__xludf.DUMMYFUNCTION("""COMPUTED_VALUE"""),"")</f>
        <v/>
      </c>
      <c r="R286" s="106" t="str">
        <f>IFERROR(__xludf.DUMMYFUNCTION("""COMPUTED_VALUE"""),"")</f>
        <v/>
      </c>
      <c r="S286" s="139" t="str">
        <f>IFERROR(__xludf.DUMMYFUNCTION("""COMPUTED_VALUE"""),"")</f>
        <v/>
      </c>
      <c r="T286" s="139" t="str">
        <f>IFERROR(__xludf.DUMMYFUNCTION("""COMPUTED_VALUE"""),"")</f>
        <v/>
      </c>
      <c r="U286" s="136" t="str">
        <f>IFERROR(__xludf.DUMMYFUNCTION("""COMPUTED_VALUE"""),"")</f>
        <v/>
      </c>
      <c r="V286" s="106" t="str">
        <f>IFERROR(__xludf.DUMMYFUNCTION("""COMPUTED_VALUE"""),"")</f>
        <v/>
      </c>
      <c r="W286" s="143" t="str">
        <f t="shared" si="2"/>
        <v/>
      </c>
      <c r="X286" s="139" t="str">
        <f>IFERROR(__xludf.DUMMYFUNCTION("""COMPUTED_VALUE"""),"")</f>
        <v/>
      </c>
      <c r="Y286" s="141" t="str">
        <f>IFERROR(__xludf.DUMMYFUNCTION("""COMPUTED_VALUE"""),"")</f>
        <v/>
      </c>
    </row>
    <row r="287">
      <c r="A287" s="144">
        <f>IFERROR(__xludf.DUMMYFUNCTION("""COMPUTED_VALUE"""),46129.621306064815)</f>
        <v>46129.62131</v>
      </c>
      <c r="B287" s="136" t="str">
        <f>IFERROR(__xludf.DUMMYFUNCTION("""COMPUTED_VALUE"""),"Oluwatimilehin Shodipe")</f>
        <v>Oluwatimilehin Shodipe</v>
      </c>
      <c r="C287" s="136" t="b">
        <f t="shared" si="3"/>
        <v>0</v>
      </c>
      <c r="D287" s="137">
        <f>IFERROR(__xludf.DUMMYFUNCTION("""COMPUTED_VALUE"""),0.48402777777664596)</f>
        <v>0.4840277778</v>
      </c>
      <c r="E287" s="106">
        <f>IFERROR(__xludf.DUMMYFUNCTION("""COMPUTED_VALUE"""),0.14097222222335404)</f>
        <v>0.1409722222</v>
      </c>
      <c r="F287" s="137">
        <f>IFERROR(__xludf.DUMMYFUNCTION("""COMPUTED_VALUE"""),0.625)</f>
        <v>0.625</v>
      </c>
      <c r="G287" s="106">
        <v>0.14097222222335404</v>
      </c>
      <c r="H287" s="136">
        <f>IFERROR(__xludf.DUMMYFUNCTION("""COMPUTED_VALUE"""),172.0)</f>
        <v>172</v>
      </c>
      <c r="I287" s="139">
        <v>50.83743842323717</v>
      </c>
      <c r="J287" s="136" t="s">
        <v>15</v>
      </c>
      <c r="K287" s="146">
        <f>IFERROR(__xludf.DUMMYFUNCTION("""COMPUTED_VALUE"""),46129.0)</f>
        <v>46129</v>
      </c>
      <c r="L287" s="136" t="str">
        <f t="shared" si="1"/>
        <v>Friday</v>
      </c>
      <c r="M287" s="136" t="str">
        <f>IFERROR(__xludf.DUMMYFUNCTION("""COMPUTED_VALUE"""),"MF")</f>
        <v>MF</v>
      </c>
      <c r="N287" s="141">
        <v>1.0111370719287704</v>
      </c>
      <c r="O287" s="136" t="str">
        <f>IFERROR(__xludf.DUMMYFUNCTION("""COMPUTED_VALUE"""),"")</f>
        <v/>
      </c>
      <c r="P287" s="136" t="str">
        <f>IFERROR(__xludf.DUMMYFUNCTION("""COMPUTED_VALUE"""),"")</f>
        <v/>
      </c>
      <c r="Q287" s="106" t="str">
        <f>IFERROR(__xludf.DUMMYFUNCTION("""COMPUTED_VALUE"""),"")</f>
        <v/>
      </c>
      <c r="R287" s="106" t="str">
        <f>IFERROR(__xludf.DUMMYFUNCTION("""COMPUTED_VALUE"""),"")</f>
        <v/>
      </c>
      <c r="S287" s="139" t="str">
        <f>IFERROR(__xludf.DUMMYFUNCTION("""COMPUTED_VALUE"""),"")</f>
        <v/>
      </c>
      <c r="T287" s="139" t="str">
        <f>IFERROR(__xludf.DUMMYFUNCTION("""COMPUTED_VALUE"""),"")</f>
        <v/>
      </c>
      <c r="U287" s="136" t="str">
        <f>IFERROR(__xludf.DUMMYFUNCTION("""COMPUTED_VALUE"""),"")</f>
        <v/>
      </c>
      <c r="V287" s="106" t="str">
        <f>IFERROR(__xludf.DUMMYFUNCTION("""COMPUTED_VALUE"""),"")</f>
        <v/>
      </c>
      <c r="W287" s="143" t="str">
        <f t="shared" si="2"/>
        <v/>
      </c>
      <c r="X287" s="139" t="str">
        <f>IFERROR(__xludf.DUMMYFUNCTION("""COMPUTED_VALUE"""),"")</f>
        <v/>
      </c>
      <c r="Y287" s="141" t="str">
        <f>IFERROR(__xludf.DUMMYFUNCTION("""COMPUTED_VALUE"""),"")</f>
        <v/>
      </c>
    </row>
    <row r="288">
      <c r="A288" s="144">
        <f>IFERROR(__xludf.DUMMYFUNCTION("""COMPUTED_VALUE"""),46129.7489105787)</f>
        <v>46129.74891</v>
      </c>
      <c r="B288" s="136" t="str">
        <f>IFERROR(__xludf.DUMMYFUNCTION("""COMPUTED_VALUE"""),"Leah Bucci")</f>
        <v>Leah Bucci</v>
      </c>
      <c r="C288" s="136" t="b">
        <f t="shared" si="3"/>
        <v>0</v>
      </c>
      <c r="D288" s="137">
        <f>IFERROR(__xludf.DUMMYFUNCTION("""COMPUTED_VALUE"""),0.6666666666642413)</f>
        <v>0.6666666667</v>
      </c>
      <c r="E288" s="106">
        <f>IFERROR(__xludf.DUMMYFUNCTION("""COMPUTED_VALUE"""),0.07986111111677019)</f>
        <v>0.07986111112</v>
      </c>
      <c r="F288" s="137">
        <f>IFERROR(__xludf.DUMMYFUNCTION("""COMPUTED_VALUE"""),0.7465277777810115)</f>
        <v>0.7465277778</v>
      </c>
      <c r="G288" s="106">
        <v>0.07986111111677019</v>
      </c>
      <c r="H288" s="136">
        <f>IFERROR(__xludf.DUMMYFUNCTION("""COMPUTED_VALUE"""),109.0)</f>
        <v>109</v>
      </c>
      <c r="I288" s="139">
        <v>56.86956521336144</v>
      </c>
      <c r="J288" s="136" t="s">
        <v>18</v>
      </c>
      <c r="K288" s="146">
        <f>IFERROR(__xludf.DUMMYFUNCTION("""COMPUTED_VALUE"""),46129.0)</f>
        <v>46129</v>
      </c>
      <c r="L288" s="136" t="str">
        <f t="shared" si="1"/>
        <v>Friday</v>
      </c>
      <c r="M288" s="136" t="str">
        <f>IFERROR(__xludf.DUMMYFUNCTION("""COMPUTED_VALUE"""),"MF")</f>
        <v>MF</v>
      </c>
      <c r="N288" s="141">
        <v>1.1895046154702131</v>
      </c>
      <c r="O288" s="136" t="str">
        <f>IFERROR(__xludf.DUMMYFUNCTION("""COMPUTED_VALUE"""),"")</f>
        <v/>
      </c>
      <c r="P288" s="136" t="str">
        <f>IFERROR(__xludf.DUMMYFUNCTION("""COMPUTED_VALUE"""),"")</f>
        <v/>
      </c>
      <c r="Q288" s="106" t="str">
        <f>IFERROR(__xludf.DUMMYFUNCTION("""COMPUTED_VALUE"""),"")</f>
        <v/>
      </c>
      <c r="R288" s="106" t="str">
        <f>IFERROR(__xludf.DUMMYFUNCTION("""COMPUTED_VALUE"""),"")</f>
        <v/>
      </c>
      <c r="S288" s="139" t="str">
        <f>IFERROR(__xludf.DUMMYFUNCTION("""COMPUTED_VALUE"""),"")</f>
        <v/>
      </c>
      <c r="T288" s="139" t="str">
        <f>IFERROR(__xludf.DUMMYFUNCTION("""COMPUTED_VALUE"""),"")</f>
        <v/>
      </c>
      <c r="U288" s="136" t="str">
        <f>IFERROR(__xludf.DUMMYFUNCTION("""COMPUTED_VALUE"""),"")</f>
        <v/>
      </c>
      <c r="V288" s="106" t="str">
        <f>IFERROR(__xludf.DUMMYFUNCTION("""COMPUTED_VALUE"""),"")</f>
        <v/>
      </c>
      <c r="W288" s="143" t="str">
        <f t="shared" si="2"/>
        <v/>
      </c>
      <c r="X288" s="139" t="str">
        <f>IFERROR(__xludf.DUMMYFUNCTION("""COMPUTED_VALUE"""),"")</f>
        <v/>
      </c>
      <c r="Y288" s="141" t="str">
        <f>IFERROR(__xludf.DUMMYFUNCTION("""COMPUTED_VALUE"""),"")</f>
        <v/>
      </c>
    </row>
    <row r="289">
      <c r="A289" s="144">
        <f>IFERROR(__xludf.DUMMYFUNCTION("""COMPUTED_VALUE"""),46129.77611946759)</f>
        <v>46129.77612</v>
      </c>
      <c r="B289" s="136" t="str">
        <f>IFERROR(__xludf.DUMMYFUNCTION("""COMPUTED_VALUE"""),"Orpheus Wilson")</f>
        <v>Orpheus Wilson</v>
      </c>
      <c r="C289" s="136" t="b">
        <f t="shared" si="3"/>
        <v>0</v>
      </c>
      <c r="D289" s="137">
        <f>IFERROR(__xludf.DUMMYFUNCTION("""COMPUTED_VALUE"""),0.7534722222189885)</f>
        <v>0.7534722222</v>
      </c>
      <c r="E289" s="106">
        <f>IFERROR(__xludf.DUMMYFUNCTION("""COMPUTED_VALUE"""),0.018750000002910383)</f>
        <v>0.01875</v>
      </c>
      <c r="F289" s="137">
        <f>IFERROR(__xludf.DUMMYFUNCTION("""COMPUTED_VALUE"""),0.7722222222218988)</f>
        <v>0.7722222222</v>
      </c>
      <c r="G289" s="106">
        <v>0.018750000002910383</v>
      </c>
      <c r="H289" s="136">
        <f>IFERROR(__xludf.DUMMYFUNCTION("""COMPUTED_VALUE"""),67.0)</f>
        <v>67</v>
      </c>
      <c r="I289" s="139">
        <v>148.88888886577828</v>
      </c>
      <c r="J289" s="136" t="s">
        <v>18</v>
      </c>
      <c r="K289" s="146">
        <f>IFERROR(__xludf.DUMMYFUNCTION("""COMPUTED_VALUE"""),46129.0)</f>
        <v>46129</v>
      </c>
      <c r="L289" s="136" t="str">
        <f t="shared" si="1"/>
        <v>Friday</v>
      </c>
      <c r="M289" s="136" t="str">
        <f>IFERROR(__xludf.DUMMYFUNCTION("""COMPUTED_VALUE"""),"MF")</f>
        <v>MF</v>
      </c>
      <c r="N289" s="141">
        <v>3.1142144279391206</v>
      </c>
      <c r="O289" s="136" t="str">
        <f>IFERROR(__xludf.DUMMYFUNCTION("""COMPUTED_VALUE"""),"")</f>
        <v/>
      </c>
      <c r="P289" s="136" t="str">
        <f>IFERROR(__xludf.DUMMYFUNCTION("""COMPUTED_VALUE"""),"")</f>
        <v/>
      </c>
      <c r="Q289" s="106" t="str">
        <f>IFERROR(__xludf.DUMMYFUNCTION("""COMPUTED_VALUE"""),"")</f>
        <v/>
      </c>
      <c r="R289" s="106" t="str">
        <f>IFERROR(__xludf.DUMMYFUNCTION("""COMPUTED_VALUE"""),"")</f>
        <v/>
      </c>
      <c r="S289" s="139" t="str">
        <f>IFERROR(__xludf.DUMMYFUNCTION("""COMPUTED_VALUE"""),"")</f>
        <v/>
      </c>
      <c r="T289" s="139" t="str">
        <f>IFERROR(__xludf.DUMMYFUNCTION("""COMPUTED_VALUE"""),"")</f>
        <v/>
      </c>
      <c r="U289" s="136" t="str">
        <f>IFERROR(__xludf.DUMMYFUNCTION("""COMPUTED_VALUE"""),"")</f>
        <v/>
      </c>
      <c r="V289" s="106" t="str">
        <f>IFERROR(__xludf.DUMMYFUNCTION("""COMPUTED_VALUE"""),"")</f>
        <v/>
      </c>
      <c r="W289" s="143" t="str">
        <f t="shared" si="2"/>
        <v/>
      </c>
      <c r="X289" s="139" t="str">
        <f>IFERROR(__xludf.DUMMYFUNCTION("""COMPUTED_VALUE"""),"")</f>
        <v/>
      </c>
      <c r="Y289" s="141" t="str">
        <f>IFERROR(__xludf.DUMMYFUNCTION("""COMPUTED_VALUE"""),"")</f>
        <v/>
      </c>
    </row>
    <row r="290">
      <c r="A290" s="144">
        <f>IFERROR(__xludf.DUMMYFUNCTION("""COMPUTED_VALUE"""),46129.83102940972)</f>
        <v>46129.83103</v>
      </c>
      <c r="B290" s="136" t="str">
        <f>IFERROR(__xludf.DUMMYFUNCTION("""COMPUTED_VALUE"""),"Orpheus Wilson")</f>
        <v>Orpheus Wilson</v>
      </c>
      <c r="C290" s="136" t="b">
        <f t="shared" si="3"/>
        <v>0</v>
      </c>
      <c r="D290" s="137">
        <f>IFERROR(__xludf.DUMMYFUNCTION("""COMPUTED_VALUE"""),0.7534722222189885)</f>
        <v>0.7534722222</v>
      </c>
      <c r="E290" s="106">
        <f>IFERROR(__xludf.DUMMYFUNCTION("""COMPUTED_VALUE"""),0.07361111111822538)</f>
        <v>0.07361111112</v>
      </c>
      <c r="F290" s="137">
        <f>IFERROR(__xludf.DUMMYFUNCTION("""COMPUTED_VALUE"""),0.8270833333372138)</f>
        <v>0.8270833333</v>
      </c>
      <c r="G290" s="106">
        <v>0.07361111111822538</v>
      </c>
      <c r="H290" s="136">
        <f>IFERROR(__xludf.DUMMYFUNCTION("""COMPUTED_VALUE"""),105.0)</f>
        <v>105</v>
      </c>
      <c r="I290" s="139">
        <v>59.43396225840685</v>
      </c>
      <c r="J290" s="136" t="s">
        <v>18</v>
      </c>
      <c r="K290" s="146">
        <f>IFERROR(__xludf.DUMMYFUNCTION("""COMPUTED_VALUE"""),46129.0)</f>
        <v>46129</v>
      </c>
      <c r="L290" s="136" t="str">
        <f t="shared" si="1"/>
        <v>Friday</v>
      </c>
      <c r="M290" s="136" t="str">
        <f>IFERROR(__xludf.DUMMYFUNCTION("""COMPUTED_VALUE"""),"MF")</f>
        <v>MF</v>
      </c>
      <c r="N290" s="141">
        <v>1.243142481515706</v>
      </c>
      <c r="O290" s="136">
        <f>IFERROR(__xludf.DUMMYFUNCTION("""COMPUTED_VALUE"""),453.0)</f>
        <v>453</v>
      </c>
      <c r="P290" s="136">
        <f>IFERROR(__xludf.DUMMYFUNCTION("""COMPUTED_VALUE"""),168.0)</f>
        <v>168</v>
      </c>
      <c r="Q290" s="106">
        <f>IFERROR(__xludf.DUMMYFUNCTION("""COMPUTED_VALUE"""),0.31319444446126)</f>
        <v>0.3131944445</v>
      </c>
      <c r="R290" s="106">
        <f>IFERROR(__xludf.DUMMYFUNCTION("""COMPUTED_VALUE"""),0.19097222222626442)</f>
        <v>0.1909722222</v>
      </c>
      <c r="S290" s="139">
        <f>IFERROR(__xludf.DUMMYFUNCTION("""COMPUTED_VALUE"""),79.00746369019593)</f>
        <v>79.00746369</v>
      </c>
      <c r="T290" s="139">
        <f>IFERROR(__xludf.DUMMYFUNCTION("""COMPUTED_VALUE"""),39.63157894585922)</f>
        <v>39.63157895</v>
      </c>
      <c r="U290" s="136">
        <f>IFERROR(__xludf.DUMMYFUNCTION("""COMPUTED_VALUE"""),621.0)</f>
        <v>621</v>
      </c>
      <c r="V290" s="106">
        <f>IFERROR(__xludf.DUMMYFUNCTION("""COMPUTED_VALUE"""),0.5041666666875244)</f>
        <v>0.5041666667</v>
      </c>
      <c r="W290" s="143">
        <f t="shared" si="2"/>
        <v>51.32231405</v>
      </c>
      <c r="X290" s="139">
        <f>IFERROR(__xludf.DUMMYFUNCTION("""COMPUTED_VALUE"""),65.88216877541703)</f>
        <v>65.88216878</v>
      </c>
      <c r="Y290" s="141">
        <f>IFERROR(__xludf.DUMMYFUNCTION("""COMPUTED_VALUE"""),1.3034778086854226)</f>
        <v>1.303477809</v>
      </c>
    </row>
    <row r="291">
      <c r="A291" s="144">
        <f>IFERROR(__xludf.DUMMYFUNCTION("""COMPUTED_VALUE"""),46132.64133358796)</f>
        <v>46132.64133</v>
      </c>
      <c r="B291" s="136" t="str">
        <f>IFERROR(__xludf.DUMMYFUNCTION("""COMPUTED_VALUE"""),"Brynn Hornig")</f>
        <v>Brynn Hornig</v>
      </c>
      <c r="C291" s="136" t="b">
        <f t="shared" si="3"/>
        <v>0</v>
      </c>
      <c r="D291" s="137">
        <f>IFERROR(__xludf.DUMMYFUNCTION("""COMPUTED_VALUE"""),0.5208333333357587)</f>
        <v>0.5208333333</v>
      </c>
      <c r="E291" s="106">
        <f>IFERROR(__xludf.DUMMYFUNCTION("""COMPUTED_VALUE"""),0.125)</f>
        <v>0.125</v>
      </c>
      <c r="F291" s="137">
        <f>IFERROR(__xludf.DUMMYFUNCTION("""COMPUTED_VALUE"""),0.6458333333357587)</f>
        <v>0.6458333333</v>
      </c>
      <c r="G291" s="106">
        <v>0.125</v>
      </c>
      <c r="H291" s="136">
        <f>IFERROR(__xludf.DUMMYFUNCTION("""COMPUTED_VALUE"""),76.0)</f>
        <v>76</v>
      </c>
      <c r="I291" s="139">
        <v>25.333333333333332</v>
      </c>
      <c r="J291" s="136" t="s">
        <v>15</v>
      </c>
      <c r="K291" s="146">
        <f>IFERROR(__xludf.DUMMYFUNCTION("""COMPUTED_VALUE"""),46132.0)</f>
        <v>46132</v>
      </c>
      <c r="L291" s="136" t="str">
        <f t="shared" si="1"/>
        <v>Monday</v>
      </c>
      <c r="M291" s="136" t="str">
        <f>IFERROR(__xludf.DUMMYFUNCTION("""COMPUTED_VALUE"""),"BF")</f>
        <v>BF</v>
      </c>
      <c r="N291" s="141">
        <v>0.8935715376578599</v>
      </c>
      <c r="O291" s="136" t="str">
        <f>IFERROR(__xludf.DUMMYFUNCTION("""COMPUTED_VALUE"""),"")</f>
        <v/>
      </c>
      <c r="P291" s="136" t="str">
        <f>IFERROR(__xludf.DUMMYFUNCTION("""COMPUTED_VALUE"""),"")</f>
        <v/>
      </c>
      <c r="Q291" s="106" t="str">
        <f>IFERROR(__xludf.DUMMYFUNCTION("""COMPUTED_VALUE"""),"")</f>
        <v/>
      </c>
      <c r="R291" s="106" t="str">
        <f>IFERROR(__xludf.DUMMYFUNCTION("""COMPUTED_VALUE"""),"")</f>
        <v/>
      </c>
      <c r="S291" s="139" t="str">
        <f>IFERROR(__xludf.DUMMYFUNCTION("""COMPUTED_VALUE"""),"")</f>
        <v/>
      </c>
      <c r="T291" s="139" t="str">
        <f>IFERROR(__xludf.DUMMYFUNCTION("""COMPUTED_VALUE"""),"")</f>
        <v/>
      </c>
      <c r="U291" s="136" t="str">
        <f>IFERROR(__xludf.DUMMYFUNCTION("""COMPUTED_VALUE"""),"")</f>
        <v/>
      </c>
      <c r="V291" s="106" t="str">
        <f>IFERROR(__xludf.DUMMYFUNCTION("""COMPUTED_VALUE"""),"")</f>
        <v/>
      </c>
      <c r="W291" s="143" t="str">
        <f t="shared" si="2"/>
        <v/>
      </c>
      <c r="X291" s="139" t="str">
        <f>IFERROR(__xludf.DUMMYFUNCTION("""COMPUTED_VALUE"""),"")</f>
        <v/>
      </c>
      <c r="Y291" s="141" t="str">
        <f>IFERROR(__xludf.DUMMYFUNCTION("""COMPUTED_VALUE"""),"")</f>
        <v/>
      </c>
    </row>
    <row r="292">
      <c r="A292" s="144">
        <f>IFERROR(__xludf.DUMMYFUNCTION("""COMPUTED_VALUE"""),46132.74785409722)</f>
        <v>46132.74785</v>
      </c>
      <c r="B292" s="136" t="str">
        <f>IFERROR(__xludf.DUMMYFUNCTION("""COMPUTED_VALUE"""),"Orpheus Wilson")</f>
        <v>Orpheus Wilson</v>
      </c>
      <c r="C292" s="136" t="b">
        <f t="shared" si="3"/>
        <v>0</v>
      </c>
      <c r="D292" s="137">
        <f>IFERROR(__xludf.DUMMYFUNCTION("""COMPUTED_VALUE"""),0.6756944444423425)</f>
        <v>0.6756944444</v>
      </c>
      <c r="E292" s="106">
        <f>IFERROR(__xludf.DUMMYFUNCTION("""COMPUTED_VALUE"""),0.07152777777810115)</f>
        <v>0.07152777778</v>
      </c>
      <c r="F292" s="137">
        <f>IFERROR(__xludf.DUMMYFUNCTION("""COMPUTED_VALUE"""),0.7472222222204437)</f>
        <v>0.7472222222</v>
      </c>
      <c r="G292" s="106">
        <v>0.07152777777810115</v>
      </c>
      <c r="H292" s="136">
        <f>IFERROR(__xludf.DUMMYFUNCTION("""COMPUTED_VALUE"""),97.0)</f>
        <v>97</v>
      </c>
      <c r="I292" s="139">
        <v>56.50485436867658</v>
      </c>
      <c r="J292" s="136" t="s">
        <v>18</v>
      </c>
      <c r="K292" s="146">
        <f>IFERROR(__xludf.DUMMYFUNCTION("""COMPUTED_VALUE"""),46132.0)</f>
        <v>46132</v>
      </c>
      <c r="L292" s="136" t="str">
        <f t="shared" si="1"/>
        <v>Monday</v>
      </c>
      <c r="M292" s="136" t="str">
        <f>IFERROR(__xludf.DUMMYFUNCTION("""COMPUTED_VALUE"""),"MF")</f>
        <v>MF</v>
      </c>
      <c r="N292" s="141">
        <v>1.181876190117618</v>
      </c>
      <c r="O292" s="136" t="str">
        <f>IFERROR(__xludf.DUMMYFUNCTION("""COMPUTED_VALUE"""),"")</f>
        <v/>
      </c>
      <c r="P292" s="136" t="str">
        <f>IFERROR(__xludf.DUMMYFUNCTION("""COMPUTED_VALUE"""),"")</f>
        <v/>
      </c>
      <c r="Q292" s="106" t="str">
        <f>IFERROR(__xludf.DUMMYFUNCTION("""COMPUTED_VALUE"""),"")</f>
        <v/>
      </c>
      <c r="R292" s="106" t="str">
        <f>IFERROR(__xludf.DUMMYFUNCTION("""COMPUTED_VALUE"""),"")</f>
        <v/>
      </c>
      <c r="S292" s="139" t="str">
        <f>IFERROR(__xludf.DUMMYFUNCTION("""COMPUTED_VALUE"""),"")</f>
        <v/>
      </c>
      <c r="T292" s="139" t="str">
        <f>IFERROR(__xludf.DUMMYFUNCTION("""COMPUTED_VALUE"""),"")</f>
        <v/>
      </c>
      <c r="U292" s="136" t="str">
        <f>IFERROR(__xludf.DUMMYFUNCTION("""COMPUTED_VALUE"""),"")</f>
        <v/>
      </c>
      <c r="V292" s="106" t="str">
        <f>IFERROR(__xludf.DUMMYFUNCTION("""COMPUTED_VALUE"""),"")</f>
        <v/>
      </c>
      <c r="W292" s="143" t="str">
        <f t="shared" si="2"/>
        <v/>
      </c>
      <c r="X292" s="139" t="str">
        <f>IFERROR(__xludf.DUMMYFUNCTION("""COMPUTED_VALUE"""),"")</f>
        <v/>
      </c>
      <c r="Y292" s="141" t="str">
        <f>IFERROR(__xludf.DUMMYFUNCTION("""COMPUTED_VALUE"""),"")</f>
        <v/>
      </c>
    </row>
    <row r="293">
      <c r="A293" s="144">
        <f>IFERROR(__xludf.DUMMYFUNCTION("""COMPUTED_VALUE"""),46132.86673144676)</f>
        <v>46132.86673</v>
      </c>
      <c r="B293" s="136" t="str">
        <f>IFERROR(__xludf.DUMMYFUNCTION("""COMPUTED_VALUE"""),"Maureen Surgot")</f>
        <v>Maureen Surgot</v>
      </c>
      <c r="C293" s="136" t="b">
        <f t="shared" si="3"/>
        <v>0</v>
      </c>
      <c r="D293" s="137">
        <f>IFERROR(__xludf.DUMMYFUNCTION("""COMPUTED_VALUE"""),0.75)</f>
        <v>0.75</v>
      </c>
      <c r="E293" s="106">
        <f>IFERROR(__xludf.DUMMYFUNCTION("""COMPUTED_VALUE"""),0.125)</f>
        <v>0.125</v>
      </c>
      <c r="F293" s="137">
        <f>IFERROR(__xludf.DUMMYFUNCTION("""COMPUTED_VALUE"""),0.875)</f>
        <v>0.875</v>
      </c>
      <c r="G293" s="106">
        <v>0.125</v>
      </c>
      <c r="H293" s="136">
        <f>IFERROR(__xludf.DUMMYFUNCTION("""COMPUTED_VALUE"""),149.0)</f>
        <v>149</v>
      </c>
      <c r="I293" s="139">
        <v>49.666666666666664</v>
      </c>
      <c r="J293" s="136" t="s">
        <v>18</v>
      </c>
      <c r="K293" s="146">
        <f>IFERROR(__xludf.DUMMYFUNCTION("""COMPUTED_VALUE"""),46132.0)</f>
        <v>46132</v>
      </c>
      <c r="L293" s="136" t="str">
        <f t="shared" si="1"/>
        <v>Monday</v>
      </c>
      <c r="M293" s="136" t="str">
        <f>IFERROR(__xludf.DUMMYFUNCTION("""COMPUTED_VALUE"""),"MF")</f>
        <v>MF</v>
      </c>
      <c r="N293" s="141">
        <v>1.038846156346912</v>
      </c>
      <c r="O293" s="136">
        <f>IFERROR(__xludf.DUMMYFUNCTION("""COMPUTED_VALUE"""),246.0)</f>
        <v>246</v>
      </c>
      <c r="P293" s="136">
        <f>IFERROR(__xludf.DUMMYFUNCTION("""COMPUTED_VALUE"""),76.0)</f>
        <v>76</v>
      </c>
      <c r="Q293" s="106">
        <f>IFERROR(__xludf.DUMMYFUNCTION("""COMPUTED_VALUE"""),0.19652777777810115)</f>
        <v>0.1965277778</v>
      </c>
      <c r="R293" s="106">
        <f>IFERROR(__xludf.DUMMYFUNCTION("""COMPUTED_VALUE"""),0.125)</f>
        <v>0.125</v>
      </c>
      <c r="S293" s="139">
        <f>IFERROR(__xludf.DUMMYFUNCTION("""COMPUTED_VALUE"""),53.08576051767162)</f>
        <v>53.08576052</v>
      </c>
      <c r="T293" s="139">
        <f>IFERROR(__xludf.DUMMYFUNCTION("""COMPUTED_VALUE"""),25.333333333333332)</f>
        <v>25.33333333</v>
      </c>
      <c r="U293" s="136">
        <f>IFERROR(__xludf.DUMMYFUNCTION("""COMPUTED_VALUE"""),322.0)</f>
        <v>322</v>
      </c>
      <c r="V293" s="106">
        <f>IFERROR(__xludf.DUMMYFUNCTION("""COMPUTED_VALUE"""),0.32152777777810115)</f>
        <v>0.3215277778</v>
      </c>
      <c r="W293" s="143">
        <f t="shared" si="2"/>
        <v>41.72786177</v>
      </c>
      <c r="X293" s="139">
        <f>IFERROR(__xludf.DUMMYFUNCTION("""COMPUTED_VALUE"""),43.834951456225525)</f>
        <v>43.83495146</v>
      </c>
      <c r="Y293" s="141">
        <f>IFERROR(__xludf.DUMMYFUNCTION("""COMPUTED_VALUE"""),0.7969892147180396)</f>
        <v>0.7969892147</v>
      </c>
    </row>
    <row r="294">
      <c r="A294" s="144">
        <f>IFERROR(__xludf.DUMMYFUNCTION("""COMPUTED_VALUE"""),46133.56072796296)</f>
        <v>46133.56073</v>
      </c>
      <c r="B294" s="136" t="str">
        <f>IFERROR(__xludf.DUMMYFUNCTION("""COMPUTED_VALUE"""),"Kyra Turner")</f>
        <v>Kyra Turner</v>
      </c>
      <c r="C294" s="136" t="b">
        <f t="shared" si="3"/>
        <v>0</v>
      </c>
      <c r="D294" s="137">
        <f>IFERROR(__xludf.DUMMYFUNCTION("""COMPUTED_VALUE"""),0.48333333333721384)</f>
        <v>0.4833333333</v>
      </c>
      <c r="E294" s="106">
        <f>IFERROR(__xludf.DUMMYFUNCTION("""COMPUTED_VALUE"""),0.07499999999708962)</f>
        <v>0.075</v>
      </c>
      <c r="F294" s="137">
        <f>IFERROR(__xludf.DUMMYFUNCTION("""COMPUTED_VALUE"""),0.5583333333343035)</f>
        <v>0.5583333333</v>
      </c>
      <c r="G294" s="106">
        <v>0.13194444443797693</v>
      </c>
      <c r="H294" s="136">
        <f>IFERROR(__xludf.DUMMYFUNCTION("""COMPUTED_VALUE"""),172.0)</f>
        <v>172</v>
      </c>
      <c r="I294" s="139">
        <v>93.47368421510811</v>
      </c>
      <c r="J294" s="136" t="s">
        <v>15</v>
      </c>
      <c r="K294" s="146">
        <f>IFERROR(__xludf.DUMMYFUNCTION("""COMPUTED_VALUE"""),46133.0)</f>
        <v>46133</v>
      </c>
      <c r="L294" s="136" t="str">
        <f t="shared" si="1"/>
        <v>Tuesday</v>
      </c>
      <c r="M294" s="136" t="str">
        <f>IFERROR(__xludf.DUMMYFUNCTION("""COMPUTED_VALUE"""),"MF")</f>
        <v>MF</v>
      </c>
      <c r="N294" s="141">
        <v>1.8591555808299232</v>
      </c>
      <c r="O294" s="136" t="str">
        <f>IFERROR(__xludf.DUMMYFUNCTION("""COMPUTED_VALUE"""),"")</f>
        <v/>
      </c>
      <c r="P294" s="136" t="str">
        <f>IFERROR(__xludf.DUMMYFUNCTION("""COMPUTED_VALUE"""),"")</f>
        <v/>
      </c>
      <c r="Q294" s="106" t="str">
        <f>IFERROR(__xludf.DUMMYFUNCTION("""COMPUTED_VALUE"""),"")</f>
        <v/>
      </c>
      <c r="R294" s="106" t="str">
        <f>IFERROR(__xludf.DUMMYFUNCTION("""COMPUTED_VALUE"""),"")</f>
        <v/>
      </c>
      <c r="S294" s="139" t="str">
        <f>IFERROR(__xludf.DUMMYFUNCTION("""COMPUTED_VALUE"""),"")</f>
        <v/>
      </c>
      <c r="T294" s="139" t="str">
        <f>IFERROR(__xludf.DUMMYFUNCTION("""COMPUTED_VALUE"""),"")</f>
        <v/>
      </c>
      <c r="U294" s="136" t="str">
        <f>IFERROR(__xludf.DUMMYFUNCTION("""COMPUTED_VALUE"""),"")</f>
        <v/>
      </c>
      <c r="V294" s="106" t="str">
        <f>IFERROR(__xludf.DUMMYFUNCTION("""COMPUTED_VALUE"""),"")</f>
        <v/>
      </c>
      <c r="W294" s="143" t="str">
        <f t="shared" si="2"/>
        <v/>
      </c>
      <c r="X294" s="139" t="str">
        <f>IFERROR(__xludf.DUMMYFUNCTION("""COMPUTED_VALUE"""),"")</f>
        <v/>
      </c>
      <c r="Y294" s="141" t="str">
        <f>IFERROR(__xludf.DUMMYFUNCTION("""COMPUTED_VALUE"""),"")</f>
        <v/>
      </c>
    </row>
    <row r="295">
      <c r="A295" s="144">
        <f>IFERROR(__xludf.DUMMYFUNCTION("""COMPUTED_VALUE"""),46133.622259282405)</f>
        <v>46133.62226</v>
      </c>
      <c r="B295" s="136" t="str">
        <f>IFERROR(__xludf.DUMMYFUNCTION("""COMPUTED_VALUE"""),"Kyra Turner")</f>
        <v>Kyra Turner</v>
      </c>
      <c r="C295" s="136" t="b">
        <f t="shared" si="3"/>
        <v>1</v>
      </c>
      <c r="D295" s="137">
        <f>IFERROR(__xludf.DUMMYFUNCTION("""COMPUTED_VALUE"""),0.5631944444467081)</f>
        <v>0.5631944444</v>
      </c>
      <c r="E295" s="106">
        <f>IFERROR(__xludf.DUMMYFUNCTION("""COMPUTED_VALUE"""),0.05694444444088731)</f>
        <v>0.05694444444</v>
      </c>
      <c r="F295" s="137">
        <f>IFERROR(__xludf.DUMMYFUNCTION("""COMPUTED_VALUE"""),0.6201388888875954)</f>
        <v>0.6201388889</v>
      </c>
      <c r="G295" s="106" t="s">
        <v>133</v>
      </c>
      <c r="H295" s="136">
        <f>IFERROR(__xludf.DUMMYFUNCTION("""COMPUTED_VALUE"""),124.0)</f>
        <v>124</v>
      </c>
      <c r="I295" s="139" t="s">
        <v>133</v>
      </c>
      <c r="J295" s="136" t="s">
        <v>15</v>
      </c>
      <c r="K295" s="146">
        <f>IFERROR(__xludf.DUMMYFUNCTION("""COMPUTED_VALUE"""),46133.0)</f>
        <v>46133</v>
      </c>
      <c r="L295" s="136" t="str">
        <f t="shared" si="1"/>
        <v>Tuesday</v>
      </c>
      <c r="M295" s="136" t="str">
        <f>IFERROR(__xludf.DUMMYFUNCTION("""COMPUTED_VALUE"""),"MF")</f>
        <v>MF</v>
      </c>
      <c r="N295" s="141" t="s">
        <v>133</v>
      </c>
      <c r="O295" s="136">
        <f>IFERROR(__xludf.DUMMYFUNCTION("""COMPUTED_VALUE"""),296.0)</f>
        <v>296</v>
      </c>
      <c r="P295" s="136">
        <f>IFERROR(__xludf.DUMMYFUNCTION("""COMPUTED_VALUE"""),86.0)</f>
        <v>86</v>
      </c>
      <c r="Q295" s="106">
        <f>IFERROR(__xludf.DUMMYFUNCTION("""COMPUTED_VALUE"""),0.13194444443797693)</f>
        <v>0.1319444444</v>
      </c>
      <c r="R295" s="106">
        <f>IFERROR(__xludf.DUMMYFUNCTION("""COMPUTED_VALUE"""),0.09027777778101154)</f>
        <v>0.09027777778</v>
      </c>
      <c r="S295" s="139">
        <f>IFERROR(__xludf.DUMMYFUNCTION("""COMPUTED_VALUE"""),93.47368421510811)</f>
        <v>93.47368422</v>
      </c>
      <c r="T295" s="139">
        <f>IFERROR(__xludf.DUMMYFUNCTION("""COMPUTED_VALUE"""),39.69230769088591)</f>
        <v>39.69230769</v>
      </c>
      <c r="U295" s="136">
        <f>IFERROR(__xludf.DUMMYFUNCTION("""COMPUTED_VALUE"""),382.0)</f>
        <v>382</v>
      </c>
      <c r="V295" s="106">
        <f>IFERROR(__xludf.DUMMYFUNCTION("""COMPUTED_VALUE"""),0.22222222221898846)</f>
        <v>0.2222222222</v>
      </c>
      <c r="W295" s="143">
        <f t="shared" si="2"/>
        <v>71.625</v>
      </c>
      <c r="X295" s="139">
        <f>IFERROR(__xludf.DUMMYFUNCTION("""COMPUTED_VALUE"""),66.58299595299701)</f>
        <v>66.58299595</v>
      </c>
      <c r="Y295" s="141">
        <f>IFERROR(__xludf.DUMMYFUNCTION("""COMPUTED_VALUE"""),0.8506333713095318)</f>
        <v>0.8506333713</v>
      </c>
    </row>
    <row r="296">
      <c r="A296" s="144">
        <f>IFERROR(__xludf.DUMMYFUNCTION("""COMPUTED_VALUE"""),46134.622194525466)</f>
        <v>46134.62219</v>
      </c>
      <c r="B296" s="136" t="str">
        <f>IFERROR(__xludf.DUMMYFUNCTION("""COMPUTED_VALUE"""),"Evan Morgan")</f>
        <v>Evan Morgan</v>
      </c>
      <c r="C296" s="136" t="b">
        <f t="shared" si="3"/>
        <v>0</v>
      </c>
      <c r="D296" s="137">
        <f>IFERROR(__xludf.DUMMYFUNCTION("""COMPUTED_VALUE"""),0.5416666666642413)</f>
        <v>0.5416666667</v>
      </c>
      <c r="E296" s="106">
        <f>IFERROR(__xludf.DUMMYFUNCTION("""COMPUTED_VALUE"""),0.07986111111677019)</f>
        <v>0.07986111112</v>
      </c>
      <c r="F296" s="137">
        <f>IFERROR(__xludf.DUMMYFUNCTION("""COMPUTED_VALUE"""),0.6215277777810115)</f>
        <v>0.6215277778</v>
      </c>
      <c r="G296" s="106">
        <v>0.07986111111677019</v>
      </c>
      <c r="H296" s="136">
        <f>IFERROR(__xludf.DUMMYFUNCTION("""COMPUTED_VALUE"""),91.0)</f>
        <v>91</v>
      </c>
      <c r="I296" s="139">
        <v>47.478260866200834</v>
      </c>
      <c r="J296" s="136" t="s">
        <v>15</v>
      </c>
      <c r="K296" s="146">
        <f>IFERROR(__xludf.DUMMYFUNCTION("""COMPUTED_VALUE"""),46134.0)</f>
        <v>46134</v>
      </c>
      <c r="L296" s="136" t="str">
        <f t="shared" si="1"/>
        <v>Wednesday</v>
      </c>
      <c r="M296" s="136" t="str">
        <f>IFERROR(__xludf.DUMMYFUNCTION("""COMPUTED_VALUE"""),"MF")</f>
        <v>MF</v>
      </c>
      <c r="N296" s="141">
        <v>0.9443243239922415</v>
      </c>
      <c r="O296" s="136" t="str">
        <f>IFERROR(__xludf.DUMMYFUNCTION("""COMPUTED_VALUE"""),"")</f>
        <v/>
      </c>
      <c r="P296" s="136" t="str">
        <f>IFERROR(__xludf.DUMMYFUNCTION("""COMPUTED_VALUE"""),"")</f>
        <v/>
      </c>
      <c r="Q296" s="106" t="str">
        <f>IFERROR(__xludf.DUMMYFUNCTION("""COMPUTED_VALUE"""),"")</f>
        <v/>
      </c>
      <c r="R296" s="106" t="str">
        <f>IFERROR(__xludf.DUMMYFUNCTION("""COMPUTED_VALUE"""),"")</f>
        <v/>
      </c>
      <c r="S296" s="139" t="str">
        <f>IFERROR(__xludf.DUMMYFUNCTION("""COMPUTED_VALUE"""),"")</f>
        <v/>
      </c>
      <c r="T296" s="139" t="str">
        <f>IFERROR(__xludf.DUMMYFUNCTION("""COMPUTED_VALUE"""),"")</f>
        <v/>
      </c>
      <c r="U296" s="136" t="str">
        <f>IFERROR(__xludf.DUMMYFUNCTION("""COMPUTED_VALUE"""),"")</f>
        <v/>
      </c>
      <c r="V296" s="106" t="str">
        <f>IFERROR(__xludf.DUMMYFUNCTION("""COMPUTED_VALUE"""),"")</f>
        <v/>
      </c>
      <c r="W296" s="143" t="str">
        <f t="shared" si="2"/>
        <v/>
      </c>
      <c r="X296" s="139" t="str">
        <f>IFERROR(__xludf.DUMMYFUNCTION("""COMPUTED_VALUE"""),"")</f>
        <v/>
      </c>
      <c r="Y296" s="141" t="str">
        <f>IFERROR(__xludf.DUMMYFUNCTION("""COMPUTED_VALUE"""),"")</f>
        <v/>
      </c>
    </row>
    <row r="297">
      <c r="A297" s="144">
        <f>IFERROR(__xludf.DUMMYFUNCTION("""COMPUTED_VALUE"""),46134.73584836806)</f>
        <v>46134.73585</v>
      </c>
      <c r="B297" s="136" t="str">
        <f>IFERROR(__xludf.DUMMYFUNCTION("""COMPUTED_VALUE"""),"Evan Morgan")</f>
        <v>Evan Morgan</v>
      </c>
      <c r="C297" s="136" t="b">
        <f t="shared" si="3"/>
        <v>0</v>
      </c>
      <c r="D297" s="137">
        <f>IFERROR(__xludf.DUMMYFUNCTION("""COMPUTED_VALUE"""),0.6666666666642413)</f>
        <v>0.6666666667</v>
      </c>
      <c r="E297" s="106">
        <f>IFERROR(__xludf.DUMMYFUNCTION("""COMPUTED_VALUE"""),0.06805555555911269)</f>
        <v>0.06805555556</v>
      </c>
      <c r="F297" s="137">
        <f>IFERROR(__xludf.DUMMYFUNCTION("""COMPUTED_VALUE"""),0.734722222223354)</f>
        <v>0.7347222222</v>
      </c>
      <c r="G297" s="106">
        <v>0.06805555555911269</v>
      </c>
      <c r="H297" s="136">
        <f>IFERROR(__xludf.DUMMYFUNCTION("""COMPUTED_VALUE"""),70.0)</f>
        <v>70</v>
      </c>
      <c r="I297" s="139">
        <v>42.8571428549028</v>
      </c>
      <c r="J297" s="136" t="s">
        <v>18</v>
      </c>
      <c r="K297" s="146">
        <f>IFERROR(__xludf.DUMMYFUNCTION("""COMPUTED_VALUE"""),46134.0)</f>
        <v>46134</v>
      </c>
      <c r="L297" s="136" t="str">
        <f t="shared" si="1"/>
        <v>Wednesday</v>
      </c>
      <c r="M297" s="136" t="str">
        <f>IFERROR(__xludf.DUMMYFUNCTION("""COMPUTED_VALUE"""),"MF")</f>
        <v>MF</v>
      </c>
      <c r="N297" s="141">
        <v>0.8964156669830798</v>
      </c>
      <c r="O297" s="136" t="str">
        <f>IFERROR(__xludf.DUMMYFUNCTION("""COMPUTED_VALUE"""),"")</f>
        <v/>
      </c>
      <c r="P297" s="136" t="str">
        <f>IFERROR(__xludf.DUMMYFUNCTION("""COMPUTED_VALUE"""),"")</f>
        <v/>
      </c>
      <c r="Q297" s="106" t="str">
        <f>IFERROR(__xludf.DUMMYFUNCTION("""COMPUTED_VALUE"""),"")</f>
        <v/>
      </c>
      <c r="R297" s="106" t="str">
        <f>IFERROR(__xludf.DUMMYFUNCTION("""COMPUTED_VALUE"""),"")</f>
        <v/>
      </c>
      <c r="S297" s="139" t="str">
        <f>IFERROR(__xludf.DUMMYFUNCTION("""COMPUTED_VALUE"""),"")</f>
        <v/>
      </c>
      <c r="T297" s="139" t="str">
        <f>IFERROR(__xludf.DUMMYFUNCTION("""COMPUTED_VALUE"""),"")</f>
        <v/>
      </c>
      <c r="U297" s="136" t="str">
        <f>IFERROR(__xludf.DUMMYFUNCTION("""COMPUTED_VALUE"""),"")</f>
        <v/>
      </c>
      <c r="V297" s="106" t="str">
        <f>IFERROR(__xludf.DUMMYFUNCTION("""COMPUTED_VALUE"""),"")</f>
        <v/>
      </c>
      <c r="W297" s="143" t="str">
        <f t="shared" si="2"/>
        <v/>
      </c>
      <c r="X297" s="139" t="str">
        <f>IFERROR(__xludf.DUMMYFUNCTION("""COMPUTED_VALUE"""),"")</f>
        <v/>
      </c>
      <c r="Y297" s="141" t="str">
        <f>IFERROR(__xludf.DUMMYFUNCTION("""COMPUTED_VALUE"""),"")</f>
        <v/>
      </c>
    </row>
    <row r="298">
      <c r="A298" s="144">
        <f>IFERROR(__xludf.DUMMYFUNCTION("""COMPUTED_VALUE"""),46134.852159305556)</f>
        <v>46134.85216</v>
      </c>
      <c r="B298" s="136" t="str">
        <f>IFERROR(__xludf.DUMMYFUNCTION("""COMPUTED_VALUE"""),"Maureen Surgot")</f>
        <v>Maureen Surgot</v>
      </c>
      <c r="C298" s="136" t="b">
        <f t="shared" si="3"/>
        <v>0</v>
      </c>
      <c r="D298" s="137">
        <f>IFERROR(__xludf.DUMMYFUNCTION("""COMPUTED_VALUE"""),0.6875)</f>
        <v>0.6875</v>
      </c>
      <c r="E298" s="106">
        <f>IFERROR(__xludf.DUMMYFUNCTION("""COMPUTED_VALUE"""),0.16666666666424135)</f>
        <v>0.1666666667</v>
      </c>
      <c r="F298" s="137">
        <f>IFERROR(__xludf.DUMMYFUNCTION("""COMPUTED_VALUE"""),0.8541666666642413)</f>
        <v>0.8541666667</v>
      </c>
      <c r="G298" s="106">
        <v>0.16666666666424135</v>
      </c>
      <c r="H298" s="136">
        <f>IFERROR(__xludf.DUMMYFUNCTION("""COMPUTED_VALUE"""),156.0)</f>
        <v>156</v>
      </c>
      <c r="I298" s="139">
        <v>39.000000000567525</v>
      </c>
      <c r="J298" s="136" t="s">
        <v>18</v>
      </c>
      <c r="K298" s="146">
        <f>IFERROR(__xludf.DUMMYFUNCTION("""COMPUTED_VALUE"""),46134.0)</f>
        <v>46134</v>
      </c>
      <c r="L298" s="136" t="str">
        <f t="shared" si="1"/>
        <v>Wednesday</v>
      </c>
      <c r="M298" s="136" t="str">
        <f>IFERROR(__xludf.DUMMYFUNCTION("""COMPUTED_VALUE"""),"BF")</f>
        <v>BF</v>
      </c>
      <c r="N298" s="141">
        <v>0.8777493606138107</v>
      </c>
      <c r="O298" s="136" t="str">
        <f>IFERROR(__xludf.DUMMYFUNCTION("""COMPUTED_VALUE"""),"")</f>
        <v/>
      </c>
      <c r="P298" s="136" t="str">
        <f>IFERROR(__xludf.DUMMYFUNCTION("""COMPUTED_VALUE"""),"")</f>
        <v/>
      </c>
      <c r="Q298" s="106" t="str">
        <f>IFERROR(__xludf.DUMMYFUNCTION("""COMPUTED_VALUE"""),"")</f>
        <v/>
      </c>
      <c r="R298" s="106" t="str">
        <f>IFERROR(__xludf.DUMMYFUNCTION("""COMPUTED_VALUE"""),"")</f>
        <v/>
      </c>
      <c r="S298" s="139" t="str">
        <f>IFERROR(__xludf.DUMMYFUNCTION("""COMPUTED_VALUE"""),"")</f>
        <v/>
      </c>
      <c r="T298" s="139" t="str">
        <f>IFERROR(__xludf.DUMMYFUNCTION("""COMPUTED_VALUE"""),"")</f>
        <v/>
      </c>
      <c r="U298" s="136" t="str">
        <f>IFERROR(__xludf.DUMMYFUNCTION("""COMPUTED_VALUE"""),"")</f>
        <v/>
      </c>
      <c r="V298" s="106" t="str">
        <f>IFERROR(__xludf.DUMMYFUNCTION("""COMPUTED_VALUE"""),"")</f>
        <v/>
      </c>
      <c r="W298" s="143" t="str">
        <f t="shared" si="2"/>
        <v/>
      </c>
      <c r="X298" s="139" t="str">
        <f>IFERROR(__xludf.DUMMYFUNCTION("""COMPUTED_VALUE"""),"")</f>
        <v/>
      </c>
      <c r="Y298" s="141" t="str">
        <f>IFERROR(__xludf.DUMMYFUNCTION("""COMPUTED_VALUE"""),"")</f>
        <v/>
      </c>
    </row>
    <row r="299">
      <c r="A299" s="144">
        <f>IFERROR(__xludf.DUMMYFUNCTION("""COMPUTED_VALUE"""),46134.86991646991)</f>
        <v>46134.86992</v>
      </c>
      <c r="B299" s="136" t="str">
        <f>IFERROR(__xludf.DUMMYFUNCTION("""COMPUTED_VALUE"""),"Brynn Hornig")</f>
        <v>Brynn Hornig</v>
      </c>
      <c r="C299" s="136" t="b">
        <f t="shared" si="3"/>
        <v>0</v>
      </c>
      <c r="D299" s="137">
        <f>IFERROR(__xludf.DUMMYFUNCTION("""COMPUTED_VALUE"""),0.75)</f>
        <v>0.75</v>
      </c>
      <c r="E299" s="106">
        <f>IFERROR(__xludf.DUMMYFUNCTION("""COMPUTED_VALUE"""),0.125)</f>
        <v>0.125</v>
      </c>
      <c r="F299" s="137">
        <f>IFERROR(__xludf.DUMMYFUNCTION("""COMPUTED_VALUE"""),0.875)</f>
        <v>0.875</v>
      </c>
      <c r="G299" s="106">
        <v>0.125</v>
      </c>
      <c r="H299" s="136">
        <f>IFERROR(__xludf.DUMMYFUNCTION("""COMPUTED_VALUE"""),123.0)</f>
        <v>123</v>
      </c>
      <c r="I299" s="139">
        <v>41.0</v>
      </c>
      <c r="J299" s="136" t="s">
        <v>18</v>
      </c>
      <c r="K299" s="146">
        <f>IFERROR(__xludf.DUMMYFUNCTION("""COMPUTED_VALUE"""),46134.0)</f>
        <v>46134</v>
      </c>
      <c r="L299" s="136" t="str">
        <f t="shared" si="1"/>
        <v>Wednesday</v>
      </c>
      <c r="M299" s="136" t="str">
        <f>IFERROR(__xludf.DUMMYFUNCTION("""COMPUTED_VALUE"""),"MF")</f>
        <v>MF</v>
      </c>
      <c r="N299" s="141">
        <v>0.8575709881253032</v>
      </c>
      <c r="O299" s="136">
        <f>IFERROR(__xludf.DUMMYFUNCTION("""COMPUTED_VALUE"""),284.0)</f>
        <v>284</v>
      </c>
      <c r="P299" s="136">
        <f>IFERROR(__xludf.DUMMYFUNCTION("""COMPUTED_VALUE"""),156.0)</f>
        <v>156</v>
      </c>
      <c r="Q299" s="106">
        <f>IFERROR(__xludf.DUMMYFUNCTION("""COMPUTED_VALUE"""),0.2729166666758829)</f>
        <v>0.2729166667</v>
      </c>
      <c r="R299" s="106">
        <f>IFERROR(__xludf.DUMMYFUNCTION("""COMPUTED_VALUE"""),0.16666666666424135)</f>
        <v>0.1666666667</v>
      </c>
      <c r="S299" s="139">
        <f>IFERROR(__xludf.DUMMYFUNCTION("""COMPUTED_VALUE"""),43.778467907034546)</f>
        <v>43.77846791</v>
      </c>
      <c r="T299" s="139">
        <f>IFERROR(__xludf.DUMMYFUNCTION("""COMPUTED_VALUE"""),39.000000000567525)</f>
        <v>39</v>
      </c>
      <c r="U299" s="136">
        <f>IFERROR(__xludf.DUMMYFUNCTION("""COMPUTED_VALUE"""),440.0)</f>
        <v>440</v>
      </c>
      <c r="V299" s="106">
        <f>IFERROR(__xludf.DUMMYFUNCTION("""COMPUTED_VALUE"""),0.4395833333401242)</f>
        <v>0.4395833333</v>
      </c>
      <c r="W299" s="143">
        <f t="shared" si="2"/>
        <v>41.70616114</v>
      </c>
      <c r="X299" s="139">
        <f>IFERROR(__xludf.DUMMYFUNCTION("""COMPUTED_VALUE"""),42.58385093041779)</f>
        <v>42.58385093</v>
      </c>
      <c r="Y299" s="141">
        <f>IFERROR(__xludf.DUMMYFUNCTION("""COMPUTED_VALUE"""),0.7813090485822729)</f>
        <v>0.7813090486</v>
      </c>
    </row>
    <row r="300">
      <c r="A300" s="144">
        <f>IFERROR(__xludf.DUMMYFUNCTION("""COMPUTED_VALUE"""),46135.47293178241)</f>
        <v>46135.47293</v>
      </c>
      <c r="B300" s="136" t="str">
        <f>IFERROR(__xludf.DUMMYFUNCTION("""COMPUTED_VALUE"""),"Sophia Kluck")</f>
        <v>Sophia Kluck</v>
      </c>
      <c r="C300" s="136" t="b">
        <f t="shared" si="3"/>
        <v>0</v>
      </c>
      <c r="D300" s="137">
        <f>IFERROR(__xludf.DUMMYFUNCTION("""COMPUTED_VALUE"""),0.3687500000014552)</f>
        <v>0.36875</v>
      </c>
      <c r="E300" s="106">
        <f>IFERROR(__xludf.DUMMYFUNCTION("""COMPUTED_VALUE"""),0.10138888889196096)</f>
        <v>0.1013888889</v>
      </c>
      <c r="F300" s="137">
        <f>IFERROR(__xludf.DUMMYFUNCTION("""COMPUTED_VALUE"""),0.47013888889341615)</f>
        <v>0.4701388889</v>
      </c>
      <c r="G300" s="106">
        <v>0.10138888889196096</v>
      </c>
      <c r="H300" s="136">
        <f>IFERROR(__xludf.DUMMYFUNCTION("""COMPUTED_VALUE"""),77.0)</f>
        <v>77</v>
      </c>
      <c r="I300" s="139">
        <v>31.643835615479553</v>
      </c>
      <c r="J300" s="136" t="s">
        <v>134</v>
      </c>
      <c r="K300" s="146">
        <f>IFERROR(__xludf.DUMMYFUNCTION("""COMPUTED_VALUE"""),46135.0)</f>
        <v>46135</v>
      </c>
      <c r="L300" s="136" t="str">
        <f t="shared" si="1"/>
        <v>Thursday</v>
      </c>
      <c r="M300" s="136" t="str">
        <f>IFERROR(__xludf.DUMMYFUNCTION("""COMPUTED_VALUE"""),"BF")</f>
        <v>BF</v>
      </c>
      <c r="N300" s="141">
        <v>0.7380186692065691</v>
      </c>
      <c r="O300" s="136" t="str">
        <f>IFERROR(__xludf.DUMMYFUNCTION("""COMPUTED_VALUE"""),"")</f>
        <v/>
      </c>
      <c r="P300" s="136" t="str">
        <f>IFERROR(__xludf.DUMMYFUNCTION("""COMPUTED_VALUE"""),"")</f>
        <v/>
      </c>
      <c r="Q300" s="106" t="str">
        <f>IFERROR(__xludf.DUMMYFUNCTION("""COMPUTED_VALUE"""),"")</f>
        <v/>
      </c>
      <c r="R300" s="106" t="str">
        <f>IFERROR(__xludf.DUMMYFUNCTION("""COMPUTED_VALUE"""),"")</f>
        <v/>
      </c>
      <c r="S300" s="139" t="str">
        <f>IFERROR(__xludf.DUMMYFUNCTION("""COMPUTED_VALUE"""),"")</f>
        <v/>
      </c>
      <c r="T300" s="139" t="str">
        <f>IFERROR(__xludf.DUMMYFUNCTION("""COMPUTED_VALUE"""),"")</f>
        <v/>
      </c>
      <c r="U300" s="136" t="str">
        <f>IFERROR(__xludf.DUMMYFUNCTION("""COMPUTED_VALUE"""),"")</f>
        <v/>
      </c>
      <c r="V300" s="106" t="str">
        <f>IFERROR(__xludf.DUMMYFUNCTION("""COMPUTED_VALUE"""),"")</f>
        <v/>
      </c>
      <c r="W300" s="143" t="str">
        <f t="shared" si="2"/>
        <v/>
      </c>
      <c r="X300" s="139" t="str">
        <f>IFERROR(__xludf.DUMMYFUNCTION("""COMPUTED_VALUE"""),"")</f>
        <v/>
      </c>
      <c r="Y300" s="141" t="str">
        <f>IFERROR(__xludf.DUMMYFUNCTION("""COMPUTED_VALUE"""),"")</f>
        <v/>
      </c>
    </row>
    <row r="301">
      <c r="A301" s="144">
        <f>IFERROR(__xludf.DUMMYFUNCTION("""COMPUTED_VALUE"""),46135.52734347222)</f>
        <v>46135.52734</v>
      </c>
      <c r="B301" s="136" t="str">
        <f>IFERROR(__xludf.DUMMYFUNCTION("""COMPUTED_VALUE"""),"Emmett Khan")</f>
        <v>Emmett Khan</v>
      </c>
      <c r="C301" s="136" t="b">
        <f t="shared" si="3"/>
        <v>0</v>
      </c>
      <c r="D301" s="137">
        <f>IFERROR(__xludf.DUMMYFUNCTION("""COMPUTED_VALUE"""),0.47916666666424135)</f>
        <v>0.4791666667</v>
      </c>
      <c r="E301" s="106">
        <f>IFERROR(__xludf.DUMMYFUNCTION("""COMPUTED_VALUE"""),0.05208333333575865)</f>
        <v>0.05208333334</v>
      </c>
      <c r="F301" s="137">
        <f>IFERROR(__xludf.DUMMYFUNCTION("""COMPUTED_VALUE"""),0.53125)</f>
        <v>0.53125</v>
      </c>
      <c r="G301" s="106">
        <v>0.05208333333575865</v>
      </c>
      <c r="H301" s="136">
        <f>IFERROR(__xludf.DUMMYFUNCTION("""COMPUTED_VALUE"""),73.0)</f>
        <v>73</v>
      </c>
      <c r="I301" s="139">
        <v>58.39999999728054</v>
      </c>
      <c r="J301" s="136" t="s">
        <v>15</v>
      </c>
      <c r="K301" s="146">
        <f>IFERROR(__xludf.DUMMYFUNCTION("""COMPUTED_VALUE"""),46135.0)</f>
        <v>46135</v>
      </c>
      <c r="L301" s="136" t="str">
        <f t="shared" si="1"/>
        <v>Thursday</v>
      </c>
      <c r="M301" s="136" t="str">
        <f>IFERROR(__xludf.DUMMYFUNCTION("""COMPUTED_VALUE"""),"MF")</f>
        <v>MF</v>
      </c>
      <c r="N301" s="141">
        <v>1.161553509173256</v>
      </c>
      <c r="O301" s="136" t="str">
        <f>IFERROR(__xludf.DUMMYFUNCTION("""COMPUTED_VALUE"""),"")</f>
        <v/>
      </c>
      <c r="P301" s="136" t="str">
        <f>IFERROR(__xludf.DUMMYFUNCTION("""COMPUTED_VALUE"""),"")</f>
        <v/>
      </c>
      <c r="Q301" s="106" t="str">
        <f>IFERROR(__xludf.DUMMYFUNCTION("""COMPUTED_VALUE"""),"")</f>
        <v/>
      </c>
      <c r="R301" s="106" t="str">
        <f>IFERROR(__xludf.DUMMYFUNCTION("""COMPUTED_VALUE"""),"")</f>
        <v/>
      </c>
      <c r="S301" s="139" t="str">
        <f>IFERROR(__xludf.DUMMYFUNCTION("""COMPUTED_VALUE"""),"")</f>
        <v/>
      </c>
      <c r="T301" s="139" t="str">
        <f>IFERROR(__xludf.DUMMYFUNCTION("""COMPUTED_VALUE"""),"")</f>
        <v/>
      </c>
      <c r="U301" s="136" t="str">
        <f>IFERROR(__xludf.DUMMYFUNCTION("""COMPUTED_VALUE"""),"")</f>
        <v/>
      </c>
      <c r="V301" s="106" t="str">
        <f>IFERROR(__xludf.DUMMYFUNCTION("""COMPUTED_VALUE"""),"")</f>
        <v/>
      </c>
      <c r="W301" s="143" t="str">
        <f t="shared" si="2"/>
        <v/>
      </c>
      <c r="X301" s="139" t="str">
        <f>IFERROR(__xludf.DUMMYFUNCTION("""COMPUTED_VALUE"""),"")</f>
        <v/>
      </c>
      <c r="Y301" s="141" t="str">
        <f>IFERROR(__xludf.DUMMYFUNCTION("""COMPUTED_VALUE"""),"")</f>
        <v/>
      </c>
    </row>
    <row r="302">
      <c r="A302" s="144">
        <f>IFERROR(__xludf.DUMMYFUNCTION("""COMPUTED_VALUE"""),46135.58316501157)</f>
        <v>46135.58317</v>
      </c>
      <c r="B302" s="136" t="str">
        <f>IFERROR(__xludf.DUMMYFUNCTION("""COMPUTED_VALUE"""),"Kyra Turner")</f>
        <v>Kyra Turner</v>
      </c>
      <c r="C302" s="136" t="b">
        <f t="shared" si="3"/>
        <v>0</v>
      </c>
      <c r="D302" s="137">
        <f>IFERROR(__xludf.DUMMYFUNCTION("""COMPUTED_VALUE"""),0.5006944444467081)</f>
        <v>0.5006944444</v>
      </c>
      <c r="E302" s="106">
        <f>IFERROR(__xludf.DUMMYFUNCTION("""COMPUTED_VALUE"""),0.07986111110949423)</f>
        <v>0.07986111111</v>
      </c>
      <c r="F302" s="137">
        <f>IFERROR(__xludf.DUMMYFUNCTION("""COMPUTED_VALUE"""),0.5805555555562023)</f>
        <v>0.5805555556</v>
      </c>
      <c r="G302" s="106">
        <v>0.1388888888832298</v>
      </c>
      <c r="H302" s="136">
        <f>IFERROR(__xludf.DUMMYFUNCTION("""COMPUTED_VALUE"""),128.0)</f>
        <v>128</v>
      </c>
      <c r="I302" s="139">
        <v>57.30000000233471</v>
      </c>
      <c r="J302" s="136" t="s">
        <v>15</v>
      </c>
      <c r="K302" s="146">
        <f>IFERROR(__xludf.DUMMYFUNCTION("""COMPUTED_VALUE"""),46135.0)</f>
        <v>46135</v>
      </c>
      <c r="L302" s="136" t="str">
        <f t="shared" si="1"/>
        <v>Thursday</v>
      </c>
      <c r="M302" s="136" t="str">
        <f>IFERROR(__xludf.DUMMYFUNCTION("""COMPUTED_VALUE"""),"BF")</f>
        <v>BF</v>
      </c>
      <c r="N302" s="141">
        <v>2.0211177280216424</v>
      </c>
      <c r="O302" s="136" t="str">
        <f>IFERROR(__xludf.DUMMYFUNCTION("""COMPUTED_VALUE"""),"")</f>
        <v/>
      </c>
      <c r="P302" s="136" t="str">
        <f>IFERROR(__xludf.DUMMYFUNCTION("""COMPUTED_VALUE"""),"")</f>
        <v/>
      </c>
      <c r="Q302" s="106" t="str">
        <f>IFERROR(__xludf.DUMMYFUNCTION("""COMPUTED_VALUE"""),"")</f>
        <v/>
      </c>
      <c r="R302" s="106" t="str">
        <f>IFERROR(__xludf.DUMMYFUNCTION("""COMPUTED_VALUE"""),"")</f>
        <v/>
      </c>
      <c r="S302" s="139" t="str">
        <f>IFERROR(__xludf.DUMMYFUNCTION("""COMPUTED_VALUE"""),"")</f>
        <v/>
      </c>
      <c r="T302" s="139" t="str">
        <f>IFERROR(__xludf.DUMMYFUNCTION("""COMPUTED_VALUE"""),"")</f>
        <v/>
      </c>
      <c r="U302" s="136" t="str">
        <f>IFERROR(__xludf.DUMMYFUNCTION("""COMPUTED_VALUE"""),"")</f>
        <v/>
      </c>
      <c r="V302" s="106" t="str">
        <f>IFERROR(__xludf.DUMMYFUNCTION("""COMPUTED_VALUE"""),"")</f>
        <v/>
      </c>
      <c r="W302" s="143" t="str">
        <f t="shared" si="2"/>
        <v/>
      </c>
      <c r="X302" s="139" t="str">
        <f>IFERROR(__xludf.DUMMYFUNCTION("""COMPUTED_VALUE"""),"")</f>
        <v/>
      </c>
      <c r="Y302" s="141" t="str">
        <f>IFERROR(__xludf.DUMMYFUNCTION("""COMPUTED_VALUE"""),"")</f>
        <v/>
      </c>
    </row>
    <row r="303">
      <c r="A303" s="144">
        <f>IFERROR(__xludf.DUMMYFUNCTION("""COMPUTED_VALUE"""),46135.643426423616)</f>
        <v>46135.64343</v>
      </c>
      <c r="B303" s="136" t="str">
        <f>IFERROR(__xludf.DUMMYFUNCTION("""COMPUTED_VALUE"""),"Kyra Turner")</f>
        <v>Kyra Turner</v>
      </c>
      <c r="C303" s="136" t="b">
        <f t="shared" si="3"/>
        <v>1</v>
      </c>
      <c r="D303" s="137">
        <f>IFERROR(__xludf.DUMMYFUNCTION("""COMPUTED_VALUE"""),0.5833333333357587)</f>
        <v>0.5833333333</v>
      </c>
      <c r="E303" s="106">
        <f>IFERROR(__xludf.DUMMYFUNCTION("""COMPUTED_VALUE"""),0.05902777777373558)</f>
        <v>0.05902777777</v>
      </c>
      <c r="F303" s="137">
        <f>IFERROR(__xludf.DUMMYFUNCTION("""COMPUTED_VALUE"""),0.6423611111094942)</f>
        <v>0.6423611111</v>
      </c>
      <c r="G303" s="106" t="s">
        <v>133</v>
      </c>
      <c r="H303" s="136">
        <f>IFERROR(__xludf.DUMMYFUNCTION("""COMPUTED_VALUE"""),63.0)</f>
        <v>63</v>
      </c>
      <c r="I303" s="139" t="s">
        <v>133</v>
      </c>
      <c r="J303" s="136" t="s">
        <v>15</v>
      </c>
      <c r="K303" s="146">
        <f>IFERROR(__xludf.DUMMYFUNCTION("""COMPUTED_VALUE"""),46135.0)</f>
        <v>46135</v>
      </c>
      <c r="L303" s="136" t="str">
        <f t="shared" si="1"/>
        <v>Thursday</v>
      </c>
      <c r="M303" s="136" t="str">
        <f>IFERROR(__xludf.DUMMYFUNCTION("""COMPUTED_VALUE"""),"BF")</f>
        <v>BF</v>
      </c>
      <c r="N303" s="141" t="s">
        <v>133</v>
      </c>
      <c r="O303" s="136" t="str">
        <f>IFERROR(__xludf.DUMMYFUNCTION("""COMPUTED_VALUE"""),"")</f>
        <v/>
      </c>
      <c r="P303" s="136" t="str">
        <f>IFERROR(__xludf.DUMMYFUNCTION("""COMPUTED_VALUE"""),"")</f>
        <v/>
      </c>
      <c r="Q303" s="106" t="str">
        <f>IFERROR(__xludf.DUMMYFUNCTION("""COMPUTED_VALUE"""),"")</f>
        <v/>
      </c>
      <c r="R303" s="106" t="str">
        <f>IFERROR(__xludf.DUMMYFUNCTION("""COMPUTED_VALUE"""),"")</f>
        <v/>
      </c>
      <c r="S303" s="139" t="str">
        <f>IFERROR(__xludf.DUMMYFUNCTION("""COMPUTED_VALUE"""),"")</f>
        <v/>
      </c>
      <c r="T303" s="139" t="str">
        <f>IFERROR(__xludf.DUMMYFUNCTION("""COMPUTED_VALUE"""),"")</f>
        <v/>
      </c>
      <c r="U303" s="136" t="str">
        <f>IFERROR(__xludf.DUMMYFUNCTION("""COMPUTED_VALUE"""),"")</f>
        <v/>
      </c>
      <c r="V303" s="106" t="str">
        <f>IFERROR(__xludf.DUMMYFUNCTION("""COMPUTED_VALUE"""),"")</f>
        <v/>
      </c>
      <c r="W303" s="143" t="str">
        <f t="shared" si="2"/>
        <v/>
      </c>
      <c r="X303" s="139" t="str">
        <f>IFERROR(__xludf.DUMMYFUNCTION("""COMPUTED_VALUE"""),"")</f>
        <v/>
      </c>
      <c r="Y303" s="141" t="str">
        <f>IFERROR(__xludf.DUMMYFUNCTION("""COMPUTED_VALUE"""),"")</f>
        <v/>
      </c>
    </row>
    <row r="304">
      <c r="A304" s="144">
        <f>IFERROR(__xludf.DUMMYFUNCTION("""COMPUTED_VALUE"""),46135.77624934028)</f>
        <v>46135.77625</v>
      </c>
      <c r="B304" s="136" t="str">
        <f>IFERROR(__xludf.DUMMYFUNCTION("""COMPUTED_VALUE"""),"Emmett Khan")</f>
        <v>Emmett Khan</v>
      </c>
      <c r="C304" s="136" t="b">
        <f t="shared" si="3"/>
        <v>0</v>
      </c>
      <c r="D304" s="137">
        <f>IFERROR(__xludf.DUMMYFUNCTION("""COMPUTED_VALUE"""),0.7083333333357587)</f>
        <v>0.7083333333</v>
      </c>
      <c r="E304" s="106">
        <f>IFERROR(__xludf.DUMMYFUNCTION("""COMPUTED_VALUE"""),0.07291666666424135)</f>
        <v>0.07291666666</v>
      </c>
      <c r="F304" s="137">
        <f>IFERROR(__xludf.DUMMYFUNCTION("""COMPUTED_VALUE"""),0.78125)</f>
        <v>0.78125</v>
      </c>
      <c r="G304" s="106">
        <v>0.07291666666424135</v>
      </c>
      <c r="H304" s="136">
        <f>IFERROR(__xludf.DUMMYFUNCTION("""COMPUTED_VALUE"""),108.0)</f>
        <v>108</v>
      </c>
      <c r="I304" s="139">
        <v>61.71428571633842</v>
      </c>
      <c r="J304" s="136" t="s">
        <v>18</v>
      </c>
      <c r="K304" s="146">
        <f>IFERROR(__xludf.DUMMYFUNCTION("""COMPUTED_VALUE"""),46135.0)</f>
        <v>46135</v>
      </c>
      <c r="L304" s="136" t="str">
        <f t="shared" si="1"/>
        <v>Thursday</v>
      </c>
      <c r="M304" s="136" t="str">
        <f>IFERROR(__xludf.DUMMYFUNCTION("""COMPUTED_VALUE"""),"MF")</f>
        <v>MF</v>
      </c>
      <c r="N304" s="141">
        <v>1.2908385605660397</v>
      </c>
      <c r="O304" s="136">
        <f>IFERROR(__xludf.DUMMYFUNCTION("""COMPUTED_VALUE"""),181.0)</f>
        <v>181</v>
      </c>
      <c r="P304" s="136">
        <f>IFERROR(__xludf.DUMMYFUNCTION("""COMPUTED_VALUE"""),412.0)</f>
        <v>412</v>
      </c>
      <c r="Q304" s="106">
        <f>IFERROR(__xludf.DUMMYFUNCTION("""COMPUTED_VALUE"""),0.125)</f>
        <v>0.125</v>
      </c>
      <c r="R304" s="106">
        <f>IFERROR(__xludf.DUMMYFUNCTION("""COMPUTED_VALUE"""),0.39999999999417923)</f>
        <v>0.4</v>
      </c>
      <c r="S304" s="139">
        <f>IFERROR(__xludf.DUMMYFUNCTION("""COMPUTED_VALUE"""),60.05714285680948)</f>
        <v>60.05714286</v>
      </c>
      <c r="T304" s="139">
        <f>IFERROR(__xludf.DUMMYFUNCTION("""COMPUTED_VALUE"""),42.169684336626396)</f>
        <v>42.16968434</v>
      </c>
      <c r="U304" s="136">
        <f>IFERROR(__xludf.DUMMYFUNCTION("""COMPUTED_VALUE"""),593.0)</f>
        <v>593</v>
      </c>
      <c r="V304" s="106">
        <f>IFERROR(__xludf.DUMMYFUNCTION("""COMPUTED_VALUE"""),0.5249999999941792)</f>
        <v>0.525</v>
      </c>
      <c r="W304" s="143">
        <f t="shared" si="2"/>
        <v>47.06349206</v>
      </c>
      <c r="X304" s="139">
        <f>IFERROR(__xludf.DUMMYFUNCTION("""COMPUTED_VALUE"""),49.324667744699624)</f>
        <v>49.32466774</v>
      </c>
      <c r="Y304" s="141">
        <f>IFERROR(__xludf.DUMMYFUNCTION("""COMPUTED_VALUE"""),0.7656804570547852)</f>
        <v>0.7656804571</v>
      </c>
    </row>
    <row r="305">
      <c r="A305" s="144">
        <f>IFERROR(__xludf.DUMMYFUNCTION("""COMPUTED_VALUE"""),46135.85003760416)</f>
        <v>46135.85004</v>
      </c>
      <c r="B305" s="136" t="str">
        <f>IFERROR(__xludf.DUMMYFUNCTION("""COMPUTED_VALUE"""),"Leah Bucci")</f>
        <v>Leah Bucci</v>
      </c>
      <c r="C305" s="136" t="b">
        <f t="shared" si="3"/>
        <v>0</v>
      </c>
      <c r="D305" s="137">
        <f>IFERROR(__xludf.DUMMYFUNCTION("""COMPUTED_VALUE"""),0.6875)</f>
        <v>0.6875</v>
      </c>
      <c r="E305" s="106">
        <f>IFERROR(__xludf.DUMMYFUNCTION("""COMPUTED_VALUE"""),0.09027777778101154)</f>
        <v>0.09027777778</v>
      </c>
      <c r="F305" s="137">
        <f>IFERROR(__xludf.DUMMYFUNCTION("""COMPUTED_VALUE"""),0.7777777777810115)</f>
        <v>0.7777777778</v>
      </c>
      <c r="G305" s="106">
        <v>0.09027777778101154</v>
      </c>
      <c r="H305" s="136">
        <f>IFERROR(__xludf.DUMMYFUNCTION("""COMPUTED_VALUE"""),86.0)</f>
        <v>86</v>
      </c>
      <c r="I305" s="139">
        <v>39.69230769088591</v>
      </c>
      <c r="J305" s="136" t="s">
        <v>18</v>
      </c>
      <c r="K305" s="146">
        <f>IFERROR(__xludf.DUMMYFUNCTION("""COMPUTED_VALUE"""),46133.0)</f>
        <v>46133</v>
      </c>
      <c r="L305" s="136" t="str">
        <f t="shared" si="1"/>
        <v>Tuesday</v>
      </c>
      <c r="M305" s="136" t="str">
        <f>IFERROR(__xludf.DUMMYFUNCTION("""COMPUTED_VALUE"""),"BF")</f>
        <v>BF</v>
      </c>
      <c r="N305" s="141">
        <v>0.8933307101655067</v>
      </c>
      <c r="O305" s="136">
        <f>IFERROR(__xludf.DUMMYFUNCTION("""COMPUTED_VALUE"""),296.0)</f>
        <v>296</v>
      </c>
      <c r="P305" s="136">
        <f>IFERROR(__xludf.DUMMYFUNCTION("""COMPUTED_VALUE"""),86.0)</f>
        <v>86</v>
      </c>
      <c r="Q305" s="106">
        <f>IFERROR(__xludf.DUMMYFUNCTION("""COMPUTED_VALUE"""),0.13194444443797693)</f>
        <v>0.1319444444</v>
      </c>
      <c r="R305" s="106">
        <f>IFERROR(__xludf.DUMMYFUNCTION("""COMPUTED_VALUE"""),0.09027777778101154)</f>
        <v>0.09027777778</v>
      </c>
      <c r="S305" s="139">
        <f>IFERROR(__xludf.DUMMYFUNCTION("""COMPUTED_VALUE"""),93.47368421510811)</f>
        <v>93.47368422</v>
      </c>
      <c r="T305" s="139">
        <f>IFERROR(__xludf.DUMMYFUNCTION("""COMPUTED_VALUE"""),39.69230769088591)</f>
        <v>39.69230769</v>
      </c>
      <c r="U305" s="136">
        <f>IFERROR(__xludf.DUMMYFUNCTION("""COMPUTED_VALUE"""),382.0)</f>
        <v>382</v>
      </c>
      <c r="V305" s="106">
        <f>IFERROR(__xludf.DUMMYFUNCTION("""COMPUTED_VALUE"""),0.22222222221898846)</f>
        <v>0.2222222222</v>
      </c>
      <c r="W305" s="143">
        <f t="shared" si="2"/>
        <v>71.625</v>
      </c>
      <c r="X305" s="139">
        <f>IFERROR(__xludf.DUMMYFUNCTION("""COMPUTED_VALUE"""),66.58299595299701)</f>
        <v>66.58299595</v>
      </c>
      <c r="Y305" s="141">
        <f>IFERROR(__xludf.DUMMYFUNCTION("""COMPUTED_VALUE"""),0.8506333713095318)</f>
        <v>0.8506333713</v>
      </c>
    </row>
    <row r="306">
      <c r="A306" s="144">
        <f>IFERROR(__xludf.DUMMYFUNCTION("""COMPUTED_VALUE"""),46135.85072886574)</f>
        <v>46135.85073</v>
      </c>
      <c r="B306" s="136" t="str">
        <f>IFERROR(__xludf.DUMMYFUNCTION("""COMPUTED_VALUE"""),"Leah Bucci")</f>
        <v>Leah Bucci</v>
      </c>
      <c r="C306" s="136" t="b">
        <f t="shared" si="3"/>
        <v>0</v>
      </c>
      <c r="D306" s="137">
        <f>IFERROR(__xludf.DUMMYFUNCTION("""COMPUTED_VALUE"""),0.6875)</f>
        <v>0.6875</v>
      </c>
      <c r="E306" s="106">
        <f>IFERROR(__xludf.DUMMYFUNCTION("""COMPUTED_VALUE"""),0.15972222221898846)</f>
        <v>0.1597222222</v>
      </c>
      <c r="F306" s="137">
        <f>IFERROR(__xludf.DUMMYFUNCTION("""COMPUTED_VALUE"""),0.8472222222189885)</f>
        <v>0.8472222222</v>
      </c>
      <c r="G306" s="106">
        <v>0.15972222221898846</v>
      </c>
      <c r="H306" s="136">
        <f>IFERROR(__xludf.DUMMYFUNCTION("""COMPUTED_VALUE"""),144.0)</f>
        <v>144</v>
      </c>
      <c r="I306" s="139">
        <v>37.5652173920649</v>
      </c>
      <c r="J306" s="136" t="s">
        <v>18</v>
      </c>
      <c r="K306" s="146">
        <f>IFERROR(__xludf.DUMMYFUNCTION("""COMPUTED_VALUE"""),46135.0)</f>
        <v>46135</v>
      </c>
      <c r="L306" s="136" t="str">
        <f t="shared" si="1"/>
        <v>Thursday</v>
      </c>
      <c r="M306" s="136" t="str">
        <f>IFERROR(__xludf.DUMMYFUNCTION("""COMPUTED_VALUE"""),"BF")</f>
        <v>BF</v>
      </c>
      <c r="N306" s="141">
        <v>0.845457578121127</v>
      </c>
      <c r="O306" s="136">
        <f>IFERROR(__xludf.DUMMYFUNCTION("""COMPUTED_VALUE"""),181.0)</f>
        <v>181</v>
      </c>
      <c r="P306" s="136">
        <f>IFERROR(__xludf.DUMMYFUNCTION("""COMPUTED_VALUE"""),412.0)</f>
        <v>412</v>
      </c>
      <c r="Q306" s="106">
        <f>IFERROR(__xludf.DUMMYFUNCTION("""COMPUTED_VALUE"""),0.125)</f>
        <v>0.125</v>
      </c>
      <c r="R306" s="106">
        <f>IFERROR(__xludf.DUMMYFUNCTION("""COMPUTED_VALUE"""),0.39999999999417923)</f>
        <v>0.4</v>
      </c>
      <c r="S306" s="139">
        <f>IFERROR(__xludf.DUMMYFUNCTION("""COMPUTED_VALUE"""),60.05714285680948)</f>
        <v>60.05714286</v>
      </c>
      <c r="T306" s="139">
        <f>IFERROR(__xludf.DUMMYFUNCTION("""COMPUTED_VALUE"""),42.169684336626396)</f>
        <v>42.16968434</v>
      </c>
      <c r="U306" s="136">
        <f>IFERROR(__xludf.DUMMYFUNCTION("""COMPUTED_VALUE"""),593.0)</f>
        <v>593</v>
      </c>
      <c r="V306" s="106">
        <f>IFERROR(__xludf.DUMMYFUNCTION("""COMPUTED_VALUE"""),0.5249999999941792)</f>
        <v>0.525</v>
      </c>
      <c r="W306" s="143">
        <f t="shared" si="2"/>
        <v>47.06349206</v>
      </c>
      <c r="X306" s="139">
        <f>IFERROR(__xludf.DUMMYFUNCTION("""COMPUTED_VALUE"""),49.324667744699624)</f>
        <v>49.32466774</v>
      </c>
      <c r="Y306" s="141">
        <f>IFERROR(__xludf.DUMMYFUNCTION("""COMPUTED_VALUE"""),0.7656804570547852)</f>
        <v>0.7656804571</v>
      </c>
    </row>
    <row r="307">
      <c r="A307" s="144">
        <f>IFERROR(__xludf.DUMMYFUNCTION("""COMPUTED_VALUE"""),46136.4378341088)</f>
        <v>46136.43783</v>
      </c>
      <c r="B307" s="136" t="str">
        <f>IFERROR(__xludf.DUMMYFUNCTION("""COMPUTED_VALUE"""),"Kaylie Forgue")</f>
        <v>Kaylie Forgue</v>
      </c>
      <c r="C307" s="136" t="b">
        <f t="shared" si="3"/>
        <v>0</v>
      </c>
      <c r="D307" s="137">
        <f>IFERROR(__xludf.DUMMYFUNCTION("""COMPUTED_VALUE"""),0.37222222222044365)</f>
        <v>0.3722222222</v>
      </c>
      <c r="E307" s="106">
        <f>IFERROR(__xludf.DUMMYFUNCTION("""COMPUTED_VALUE"""),0.0625)</f>
        <v>0.0625</v>
      </c>
      <c r="F307" s="137">
        <f>IFERROR(__xludf.DUMMYFUNCTION("""COMPUTED_VALUE"""),0.43472222222044365)</f>
        <v>0.4347222222</v>
      </c>
      <c r="G307" s="106">
        <v>0.0625</v>
      </c>
      <c r="H307" s="136">
        <f>IFERROR(__xludf.DUMMYFUNCTION("""COMPUTED_VALUE"""),63.0)</f>
        <v>63</v>
      </c>
      <c r="I307" s="139">
        <v>42.0</v>
      </c>
      <c r="J307" s="136" t="s">
        <v>12</v>
      </c>
      <c r="K307" s="146">
        <f>IFERROR(__xludf.DUMMYFUNCTION("""COMPUTED_VALUE"""),46136.0)</f>
        <v>46136</v>
      </c>
      <c r="L307" s="136" t="str">
        <f t="shared" si="1"/>
        <v>Friday</v>
      </c>
      <c r="M307" s="136" t="str">
        <f>IFERROR(__xludf.DUMMYFUNCTION("""COMPUTED_VALUE"""),"BF")</f>
        <v>BF</v>
      </c>
      <c r="N307" s="141">
        <v>1.481447549274873</v>
      </c>
      <c r="O307" s="136" t="str">
        <f>IFERROR(__xludf.DUMMYFUNCTION("""COMPUTED_VALUE"""),"")</f>
        <v/>
      </c>
      <c r="P307" s="136" t="str">
        <f>IFERROR(__xludf.DUMMYFUNCTION("""COMPUTED_VALUE"""),"")</f>
        <v/>
      </c>
      <c r="Q307" s="106" t="str">
        <f>IFERROR(__xludf.DUMMYFUNCTION("""COMPUTED_VALUE"""),"")</f>
        <v/>
      </c>
      <c r="R307" s="106" t="str">
        <f>IFERROR(__xludf.DUMMYFUNCTION("""COMPUTED_VALUE"""),"")</f>
        <v/>
      </c>
      <c r="S307" s="139" t="str">
        <f>IFERROR(__xludf.DUMMYFUNCTION("""COMPUTED_VALUE"""),"")</f>
        <v/>
      </c>
      <c r="T307" s="139" t="str">
        <f>IFERROR(__xludf.DUMMYFUNCTION("""COMPUTED_VALUE"""),"")</f>
        <v/>
      </c>
      <c r="U307" s="136" t="str">
        <f>IFERROR(__xludf.DUMMYFUNCTION("""COMPUTED_VALUE"""),"")</f>
        <v/>
      </c>
      <c r="V307" s="106" t="str">
        <f>IFERROR(__xludf.DUMMYFUNCTION("""COMPUTED_VALUE"""),"")</f>
        <v/>
      </c>
      <c r="W307" s="143" t="str">
        <f t="shared" si="2"/>
        <v/>
      </c>
      <c r="X307" s="139" t="str">
        <f>IFERROR(__xludf.DUMMYFUNCTION("""COMPUTED_VALUE"""),"")</f>
        <v/>
      </c>
      <c r="Y307" s="141" t="str">
        <f>IFERROR(__xludf.DUMMYFUNCTION("""COMPUTED_VALUE"""),"")</f>
        <v/>
      </c>
    </row>
    <row r="308">
      <c r="A308" s="144">
        <f>IFERROR(__xludf.DUMMYFUNCTION("""COMPUTED_VALUE"""),46136.57847449074)</f>
        <v>46136.57847</v>
      </c>
      <c r="B308" s="136" t="str">
        <f>IFERROR(__xludf.DUMMYFUNCTION("""COMPUTED_VALUE"""),"Brynn Hornig")</f>
        <v>Brynn Hornig</v>
      </c>
      <c r="C308" s="136" t="b">
        <f t="shared" si="3"/>
        <v>0</v>
      </c>
      <c r="D308" s="137">
        <f>IFERROR(__xludf.DUMMYFUNCTION("""COMPUTED_VALUE"""),0.5208333333357587)</f>
        <v>0.5208333333</v>
      </c>
      <c r="E308" s="106">
        <f>IFERROR(__xludf.DUMMYFUNCTION("""COMPUTED_VALUE"""),0.0625)</f>
        <v>0.0625</v>
      </c>
      <c r="F308" s="137">
        <f>IFERROR(__xludf.DUMMYFUNCTION("""COMPUTED_VALUE"""),0.5833333333357587)</f>
        <v>0.5833333333</v>
      </c>
      <c r="G308" s="106">
        <v>0.0625</v>
      </c>
      <c r="H308" s="136">
        <f>IFERROR(__xludf.DUMMYFUNCTION("""COMPUTED_VALUE"""),34.0)</f>
        <v>34</v>
      </c>
      <c r="I308" s="139">
        <v>22.666666666666668</v>
      </c>
      <c r="J308" s="136" t="s">
        <v>15</v>
      </c>
      <c r="K308" s="146">
        <f>IFERROR(__xludf.DUMMYFUNCTION("""COMPUTED_VALUE"""),46136.0)</f>
        <v>46136</v>
      </c>
      <c r="L308" s="136" t="str">
        <f t="shared" si="1"/>
        <v>Friday</v>
      </c>
      <c r="M308" s="136" t="str">
        <f>IFERROR(__xludf.DUMMYFUNCTION("""COMPUTED_VALUE"""),"BF")</f>
        <v>BF</v>
      </c>
      <c r="N308" s="141">
        <v>0.7995113757991379</v>
      </c>
      <c r="O308" s="136" t="str">
        <f>IFERROR(__xludf.DUMMYFUNCTION("""COMPUTED_VALUE"""),"")</f>
        <v/>
      </c>
      <c r="P308" s="136" t="str">
        <f>IFERROR(__xludf.DUMMYFUNCTION("""COMPUTED_VALUE"""),"")</f>
        <v/>
      </c>
      <c r="Q308" s="106" t="str">
        <f>IFERROR(__xludf.DUMMYFUNCTION("""COMPUTED_VALUE"""),"")</f>
        <v/>
      </c>
      <c r="R308" s="106" t="str">
        <f>IFERROR(__xludf.DUMMYFUNCTION("""COMPUTED_VALUE"""),"")</f>
        <v/>
      </c>
      <c r="S308" s="139" t="str">
        <f>IFERROR(__xludf.DUMMYFUNCTION("""COMPUTED_VALUE"""),"")</f>
        <v/>
      </c>
      <c r="T308" s="139" t="str">
        <f>IFERROR(__xludf.DUMMYFUNCTION("""COMPUTED_VALUE"""),"")</f>
        <v/>
      </c>
      <c r="U308" s="136" t="str">
        <f>IFERROR(__xludf.DUMMYFUNCTION("""COMPUTED_VALUE"""),"")</f>
        <v/>
      </c>
      <c r="V308" s="106" t="str">
        <f>IFERROR(__xludf.DUMMYFUNCTION("""COMPUTED_VALUE"""),"")</f>
        <v/>
      </c>
      <c r="W308" s="143" t="str">
        <f t="shared" si="2"/>
        <v/>
      </c>
      <c r="X308" s="139" t="str">
        <f>IFERROR(__xludf.DUMMYFUNCTION("""COMPUTED_VALUE"""),"")</f>
        <v/>
      </c>
      <c r="Y308" s="141" t="str">
        <f>IFERROR(__xludf.DUMMYFUNCTION("""COMPUTED_VALUE"""),"")</f>
        <v/>
      </c>
    </row>
    <row r="309">
      <c r="A309" s="144">
        <f>IFERROR(__xludf.DUMMYFUNCTION("""COMPUTED_VALUE"""),46136.74971325231)</f>
        <v>46136.74971</v>
      </c>
      <c r="B309" s="136" t="str">
        <f>IFERROR(__xludf.DUMMYFUNCTION("""COMPUTED_VALUE"""),"Leah Bucci")</f>
        <v>Leah Bucci</v>
      </c>
      <c r="C309" s="136" t="b">
        <f t="shared" si="3"/>
        <v>0</v>
      </c>
      <c r="D309" s="137">
        <f>IFERROR(__xludf.DUMMYFUNCTION("""COMPUTED_VALUE"""),0.6631944444452529)</f>
        <v>0.6631944444</v>
      </c>
      <c r="E309" s="106">
        <f>IFERROR(__xludf.DUMMYFUNCTION("""COMPUTED_VALUE"""),0.08333333333575865)</f>
        <v>0.08333333334</v>
      </c>
      <c r="F309" s="137">
        <f>IFERROR(__xludf.DUMMYFUNCTION("""COMPUTED_VALUE"""),0.7465277777810115)</f>
        <v>0.7465277778</v>
      </c>
      <c r="G309" s="106">
        <v>0.08333333333575865</v>
      </c>
      <c r="H309" s="136">
        <f>IFERROR(__xludf.DUMMYFUNCTION("""COMPUTED_VALUE"""),91.0)</f>
        <v>91</v>
      </c>
      <c r="I309" s="139">
        <v>45.499999998675776</v>
      </c>
      <c r="J309" s="136" t="s">
        <v>18</v>
      </c>
      <c r="K309" s="146">
        <f>IFERROR(__xludf.DUMMYFUNCTION("""COMPUTED_VALUE"""),46136.0)</f>
        <v>46136</v>
      </c>
      <c r="L309" s="136" t="str">
        <f t="shared" si="1"/>
        <v>Friday</v>
      </c>
      <c r="M309" s="136" t="str">
        <f>IFERROR(__xludf.DUMMYFUNCTION("""COMPUTED_VALUE"""),"MF")</f>
        <v>MF</v>
      </c>
      <c r="N309" s="141">
        <v>0.9516946331357483</v>
      </c>
      <c r="O309" s="136" t="str">
        <f>IFERROR(__xludf.DUMMYFUNCTION("""COMPUTED_VALUE"""),"")</f>
        <v/>
      </c>
      <c r="P309" s="136" t="str">
        <f>IFERROR(__xludf.DUMMYFUNCTION("""COMPUTED_VALUE"""),"")</f>
        <v/>
      </c>
      <c r="Q309" s="106" t="str">
        <f>IFERROR(__xludf.DUMMYFUNCTION("""COMPUTED_VALUE"""),"")</f>
        <v/>
      </c>
      <c r="R309" s="106" t="str">
        <f>IFERROR(__xludf.DUMMYFUNCTION("""COMPUTED_VALUE"""),"")</f>
        <v/>
      </c>
      <c r="S309" s="139" t="str">
        <f>IFERROR(__xludf.DUMMYFUNCTION("""COMPUTED_VALUE"""),"")</f>
        <v/>
      </c>
      <c r="T309" s="139" t="str">
        <f>IFERROR(__xludf.DUMMYFUNCTION("""COMPUTED_VALUE"""),"")</f>
        <v/>
      </c>
      <c r="U309" s="136" t="str">
        <f>IFERROR(__xludf.DUMMYFUNCTION("""COMPUTED_VALUE"""),"")</f>
        <v/>
      </c>
      <c r="V309" s="106" t="str">
        <f>IFERROR(__xludf.DUMMYFUNCTION("""COMPUTED_VALUE"""),"")</f>
        <v/>
      </c>
      <c r="W309" s="143" t="str">
        <f t="shared" si="2"/>
        <v/>
      </c>
      <c r="X309" s="139" t="str">
        <f>IFERROR(__xludf.DUMMYFUNCTION("""COMPUTED_VALUE"""),"")</f>
        <v/>
      </c>
      <c r="Y309" s="141" t="str">
        <f>IFERROR(__xludf.DUMMYFUNCTION("""COMPUTED_VALUE"""),"")</f>
        <v/>
      </c>
    </row>
    <row r="310">
      <c r="A310" s="144">
        <f>IFERROR(__xludf.DUMMYFUNCTION("""COMPUTED_VALUE"""),46137.98223)</f>
        <v>46137.98223</v>
      </c>
      <c r="B310" s="136" t="str">
        <f>IFERROR(__xludf.DUMMYFUNCTION("""COMPUTED_VALUE"""),"Oluwatimilehin Shodipe")</f>
        <v>Oluwatimilehin Shodipe</v>
      </c>
      <c r="C310" s="136" t="b">
        <f t="shared" si="3"/>
        <v>0</v>
      </c>
      <c r="D310" s="137">
        <f>IFERROR(__xludf.DUMMYFUNCTION("""COMPUTED_VALUE"""),0.48402777777664596)</f>
        <v>0.4840277778</v>
      </c>
      <c r="E310" s="106">
        <f>IFERROR(__xludf.DUMMYFUNCTION("""COMPUTED_VALUE"""),0.14097222222335404)</f>
        <v>0.1409722222</v>
      </c>
      <c r="F310" s="137">
        <f>IFERROR(__xludf.DUMMYFUNCTION("""COMPUTED_VALUE"""),0.625)</f>
        <v>0.625</v>
      </c>
      <c r="G310" s="106">
        <v>0.14097222222335404</v>
      </c>
      <c r="H310" s="136">
        <f>IFERROR(__xludf.DUMMYFUNCTION("""COMPUTED_VALUE"""),226.0)</f>
        <v>226</v>
      </c>
      <c r="I310" s="139">
        <v>66.79802955611395</v>
      </c>
      <c r="J310" s="136" t="s">
        <v>15</v>
      </c>
      <c r="K310" s="146">
        <f>IFERROR(__xludf.DUMMYFUNCTION("""COMPUTED_VALUE"""),46136.0)</f>
        <v>46136</v>
      </c>
      <c r="L310" s="136" t="str">
        <f t="shared" si="1"/>
        <v>Friday</v>
      </c>
      <c r="M310" s="136" t="str">
        <f>IFERROR(__xludf.DUMMYFUNCTION("""COMPUTED_VALUE"""),"MF")</f>
        <v>MF</v>
      </c>
      <c r="N310" s="141">
        <v>1.3285870828831519</v>
      </c>
      <c r="O310" s="136">
        <f>IFERROR(__xludf.DUMMYFUNCTION("""COMPUTED_VALUE"""),317.0)</f>
        <v>317</v>
      </c>
      <c r="P310" s="136">
        <f>IFERROR(__xludf.DUMMYFUNCTION("""COMPUTED_VALUE"""),97.0)</f>
        <v>97</v>
      </c>
      <c r="Q310" s="106">
        <f>IFERROR(__xludf.DUMMYFUNCTION("""COMPUTED_VALUE"""),0.2243055555591127)</f>
        <v>0.2243055556</v>
      </c>
      <c r="R310" s="106">
        <f>IFERROR(__xludf.DUMMYFUNCTION("""COMPUTED_VALUE"""),0.125)</f>
        <v>0.125</v>
      </c>
      <c r="S310" s="139">
        <f>IFERROR(__xludf.DUMMYFUNCTION("""COMPUTED_VALUE"""),56.14901477739486)</f>
        <v>56.14901478</v>
      </c>
      <c r="T310" s="139">
        <f>IFERROR(__xludf.DUMMYFUNCTION("""COMPUTED_VALUE"""),32.333333333333336)</f>
        <v>32.33333333</v>
      </c>
      <c r="U310" s="136">
        <f>IFERROR(__xludf.DUMMYFUNCTION("""COMPUTED_VALUE"""),414.0)</f>
        <v>414</v>
      </c>
      <c r="V310" s="106">
        <f>IFERROR(__xludf.DUMMYFUNCTION("""COMPUTED_VALUE"""),0.3493055555591127)</f>
        <v>0.3493055556</v>
      </c>
      <c r="W310" s="143">
        <f t="shared" si="2"/>
        <v>49.38369781</v>
      </c>
      <c r="X310" s="139">
        <f>IFERROR(__xludf.DUMMYFUNCTION("""COMPUTED_VALUE"""),44.2411740553641)</f>
        <v>44.24117406</v>
      </c>
      <c r="Y310" s="141">
        <f>IFERROR(__xludf.DUMMYFUNCTION("""COMPUTED_VALUE"""),0.9642248001344413)</f>
        <v>0.9642248001</v>
      </c>
    </row>
    <row r="311">
      <c r="A311" s="144">
        <f>IFERROR(__xludf.DUMMYFUNCTION("""COMPUTED_VALUE"""),46139.43303828704)</f>
        <v>46139.43304</v>
      </c>
      <c r="B311" s="136" t="str">
        <f>IFERROR(__xludf.DUMMYFUNCTION("""COMPUTED_VALUE"""),"Sophia Kluck")</f>
        <v>Sophia Kluck</v>
      </c>
      <c r="C311" s="136" t="b">
        <f t="shared" si="3"/>
        <v>0</v>
      </c>
      <c r="D311" s="137">
        <f>IFERROR(__xludf.DUMMYFUNCTION("""COMPUTED_VALUE"""),0.3687500000014552)</f>
        <v>0.36875</v>
      </c>
      <c r="E311" s="106">
        <f>IFERROR(__xludf.DUMMYFUNCTION("""COMPUTED_VALUE"""),0.061805555553291924)</f>
        <v>0.06180555555</v>
      </c>
      <c r="F311" s="137">
        <f>IFERROR(__xludf.DUMMYFUNCTION("""COMPUTED_VALUE"""),0.4305555555547471)</f>
        <v>0.4305555556</v>
      </c>
      <c r="G311" s="106">
        <v>0.061805555553291924</v>
      </c>
      <c r="H311" s="136">
        <f>IFERROR(__xludf.DUMMYFUNCTION("""COMPUTED_VALUE"""),49.0)</f>
        <v>49</v>
      </c>
      <c r="I311" s="139">
        <v>33.0337078663784</v>
      </c>
      <c r="J311" s="136" t="s">
        <v>12</v>
      </c>
      <c r="K311" s="146">
        <f>IFERROR(__xludf.DUMMYFUNCTION("""COMPUTED_VALUE"""),46139.0)</f>
        <v>46139</v>
      </c>
      <c r="L311" s="136" t="str">
        <f t="shared" si="1"/>
        <v>Monday</v>
      </c>
      <c r="M311" s="136" t="str">
        <f>IFERROR(__xludf.DUMMYFUNCTION("""COMPUTED_VALUE"""),"BF")</f>
        <v>BF</v>
      </c>
      <c r="N311" s="141">
        <v>1.165183465764485</v>
      </c>
      <c r="O311" s="136" t="str">
        <f>IFERROR(__xludf.DUMMYFUNCTION("""COMPUTED_VALUE"""),"")</f>
        <v/>
      </c>
      <c r="P311" s="136" t="str">
        <f>IFERROR(__xludf.DUMMYFUNCTION("""COMPUTED_VALUE"""),"")</f>
        <v/>
      </c>
      <c r="Q311" s="106" t="str">
        <f>IFERROR(__xludf.DUMMYFUNCTION("""COMPUTED_VALUE"""),"")</f>
        <v/>
      </c>
      <c r="R311" s="106" t="str">
        <f>IFERROR(__xludf.DUMMYFUNCTION("""COMPUTED_VALUE"""),"")</f>
        <v/>
      </c>
      <c r="S311" s="139" t="str">
        <f>IFERROR(__xludf.DUMMYFUNCTION("""COMPUTED_VALUE"""),"")</f>
        <v/>
      </c>
      <c r="T311" s="139" t="str">
        <f>IFERROR(__xludf.DUMMYFUNCTION("""COMPUTED_VALUE"""),"")</f>
        <v/>
      </c>
      <c r="U311" s="136" t="str">
        <f>IFERROR(__xludf.DUMMYFUNCTION("""COMPUTED_VALUE"""),"")</f>
        <v/>
      </c>
      <c r="V311" s="106" t="str">
        <f>IFERROR(__xludf.DUMMYFUNCTION("""COMPUTED_VALUE"""),"")</f>
        <v/>
      </c>
      <c r="W311" s="143" t="str">
        <f t="shared" si="2"/>
        <v/>
      </c>
      <c r="X311" s="139" t="str">
        <f>IFERROR(__xludf.DUMMYFUNCTION("""COMPUTED_VALUE"""),"")</f>
        <v/>
      </c>
      <c r="Y311" s="141" t="str">
        <f>IFERROR(__xludf.DUMMYFUNCTION("""COMPUTED_VALUE"""),"")</f>
        <v/>
      </c>
    </row>
    <row r="312">
      <c r="A312" s="144">
        <f>IFERROR(__xludf.DUMMYFUNCTION("""COMPUTED_VALUE"""),46139.6145587963)</f>
        <v>46139.61456</v>
      </c>
      <c r="B312" s="136" t="str">
        <f>IFERROR(__xludf.DUMMYFUNCTION("""COMPUTED_VALUE"""),"Brynn Hornig")</f>
        <v>Brynn Hornig</v>
      </c>
      <c r="C312" s="136" t="b">
        <f t="shared" si="3"/>
        <v>0</v>
      </c>
      <c r="D312" s="137">
        <f>IFERROR(__xludf.DUMMYFUNCTION("""COMPUTED_VALUE"""),0.5208333333357587)</f>
        <v>0.5208333333</v>
      </c>
      <c r="E312" s="106">
        <f>IFERROR(__xludf.DUMMYFUNCTION("""COMPUTED_VALUE"""),0.09305555555329192)</f>
        <v>0.09305555555</v>
      </c>
      <c r="F312" s="137">
        <f>IFERROR(__xludf.DUMMYFUNCTION("""COMPUTED_VALUE"""),0.6138888888890506)</f>
        <v>0.6138888889</v>
      </c>
      <c r="G312" s="106">
        <v>0.12430555555329192</v>
      </c>
      <c r="H312" s="136">
        <f>IFERROR(__xludf.DUMMYFUNCTION("""COMPUTED_VALUE"""),141.0)</f>
        <v>141</v>
      </c>
      <c r="I312" s="139">
        <v>53.63128491717775</v>
      </c>
      <c r="J312" s="136" t="s">
        <v>15</v>
      </c>
      <c r="K312" s="146">
        <f>IFERROR(__xludf.DUMMYFUNCTION("""COMPUTED_VALUE"""),46139.0)</f>
        <v>46139</v>
      </c>
      <c r="L312" s="136" t="str">
        <f t="shared" si="1"/>
        <v>Monday</v>
      </c>
      <c r="M312" s="136" t="str">
        <f>IFERROR(__xludf.DUMMYFUNCTION("""COMPUTED_VALUE"""),"BF")</f>
        <v>BF</v>
      </c>
      <c r="N312" s="141">
        <v>1.8917127525003676</v>
      </c>
      <c r="O312" s="136" t="str">
        <f>IFERROR(__xludf.DUMMYFUNCTION("""COMPUTED_VALUE"""),"")</f>
        <v/>
      </c>
      <c r="P312" s="136" t="str">
        <f>IFERROR(__xludf.DUMMYFUNCTION("""COMPUTED_VALUE"""),"")</f>
        <v/>
      </c>
      <c r="Q312" s="106" t="str">
        <f>IFERROR(__xludf.DUMMYFUNCTION("""COMPUTED_VALUE"""),"")</f>
        <v/>
      </c>
      <c r="R312" s="106" t="str">
        <f>IFERROR(__xludf.DUMMYFUNCTION("""COMPUTED_VALUE"""),"")</f>
        <v/>
      </c>
      <c r="S312" s="139" t="str">
        <f>IFERROR(__xludf.DUMMYFUNCTION("""COMPUTED_VALUE"""),"")</f>
        <v/>
      </c>
      <c r="T312" s="139" t="str">
        <f>IFERROR(__xludf.DUMMYFUNCTION("""COMPUTED_VALUE"""),"")</f>
        <v/>
      </c>
      <c r="U312" s="136" t="str">
        <f>IFERROR(__xludf.DUMMYFUNCTION("""COMPUTED_VALUE"""),"")</f>
        <v/>
      </c>
      <c r="V312" s="106" t="str">
        <f>IFERROR(__xludf.DUMMYFUNCTION("""COMPUTED_VALUE"""),"")</f>
        <v/>
      </c>
      <c r="W312" s="143" t="str">
        <f t="shared" si="2"/>
        <v/>
      </c>
      <c r="X312" s="139" t="str">
        <f>IFERROR(__xludf.DUMMYFUNCTION("""COMPUTED_VALUE"""),"")</f>
        <v/>
      </c>
      <c r="Y312" s="141" t="str">
        <f>IFERROR(__xludf.DUMMYFUNCTION("""COMPUTED_VALUE"""),"")</f>
        <v/>
      </c>
    </row>
    <row r="313">
      <c r="A313" s="144">
        <f>IFERROR(__xludf.DUMMYFUNCTION("""COMPUTED_VALUE"""),46139.64123692129)</f>
        <v>46139.64124</v>
      </c>
      <c r="B313" s="136" t="str">
        <f>IFERROR(__xludf.DUMMYFUNCTION("""COMPUTED_VALUE"""),"Brynn Hornig")</f>
        <v>Brynn Hornig</v>
      </c>
      <c r="C313" s="136" t="b">
        <f t="shared" si="3"/>
        <v>1</v>
      </c>
      <c r="D313" s="137">
        <f>IFERROR(__xludf.DUMMYFUNCTION("""COMPUTED_VALUE"""),0.6145833333357587)</f>
        <v>0.6145833333</v>
      </c>
      <c r="E313" s="106">
        <f>IFERROR(__xludf.DUMMYFUNCTION("""COMPUTED_VALUE"""),0.03125)</f>
        <v>0.03125</v>
      </c>
      <c r="F313" s="137">
        <f>IFERROR(__xludf.DUMMYFUNCTION("""COMPUTED_VALUE"""),0.6458333333357587)</f>
        <v>0.6458333333</v>
      </c>
      <c r="G313" s="106" t="s">
        <v>133</v>
      </c>
      <c r="H313" s="136">
        <f>IFERROR(__xludf.DUMMYFUNCTION("""COMPUTED_VALUE"""),19.0)</f>
        <v>19</v>
      </c>
      <c r="I313" s="139" t="s">
        <v>133</v>
      </c>
      <c r="J313" s="136" t="s">
        <v>15</v>
      </c>
      <c r="K313" s="146">
        <f>IFERROR(__xludf.DUMMYFUNCTION("""COMPUTED_VALUE"""),46139.0)</f>
        <v>46139</v>
      </c>
      <c r="L313" s="136" t="str">
        <f t="shared" si="1"/>
        <v>Monday</v>
      </c>
      <c r="M313" s="136" t="str">
        <f>IFERROR(__xludf.DUMMYFUNCTION("""COMPUTED_VALUE"""),"BF")</f>
        <v>BF</v>
      </c>
      <c r="N313" s="141" t="s">
        <v>133</v>
      </c>
      <c r="O313" s="136" t="str">
        <f>IFERROR(__xludf.DUMMYFUNCTION("""COMPUTED_VALUE"""),"")</f>
        <v/>
      </c>
      <c r="P313" s="136" t="str">
        <f>IFERROR(__xludf.DUMMYFUNCTION("""COMPUTED_VALUE"""),"")</f>
        <v/>
      </c>
      <c r="Q313" s="106" t="str">
        <f>IFERROR(__xludf.DUMMYFUNCTION("""COMPUTED_VALUE"""),"")</f>
        <v/>
      </c>
      <c r="R313" s="106" t="str">
        <f>IFERROR(__xludf.DUMMYFUNCTION("""COMPUTED_VALUE"""),"")</f>
        <v/>
      </c>
      <c r="S313" s="139" t="str">
        <f>IFERROR(__xludf.DUMMYFUNCTION("""COMPUTED_VALUE"""),"")</f>
        <v/>
      </c>
      <c r="T313" s="139" t="str">
        <f>IFERROR(__xludf.DUMMYFUNCTION("""COMPUTED_VALUE"""),"")</f>
        <v/>
      </c>
      <c r="U313" s="136" t="str">
        <f>IFERROR(__xludf.DUMMYFUNCTION("""COMPUTED_VALUE"""),"")</f>
        <v/>
      </c>
      <c r="V313" s="106" t="str">
        <f>IFERROR(__xludf.DUMMYFUNCTION("""COMPUTED_VALUE"""),"")</f>
        <v/>
      </c>
      <c r="W313" s="143" t="str">
        <f t="shared" si="2"/>
        <v/>
      </c>
      <c r="X313" s="139" t="str">
        <f>IFERROR(__xludf.DUMMYFUNCTION("""COMPUTED_VALUE"""),"")</f>
        <v/>
      </c>
      <c r="Y313" s="141" t="str">
        <f>IFERROR(__xludf.DUMMYFUNCTION("""COMPUTED_VALUE"""),"")</f>
        <v/>
      </c>
    </row>
    <row r="314">
      <c r="A314" s="144">
        <f>IFERROR(__xludf.DUMMYFUNCTION("""COMPUTED_VALUE"""),46139.749684386574)</f>
        <v>46139.74968</v>
      </c>
      <c r="B314" s="136" t="str">
        <f>IFERROR(__xludf.DUMMYFUNCTION("""COMPUTED_VALUE"""),"Orpheus Wilson")</f>
        <v>Orpheus Wilson</v>
      </c>
      <c r="C314" s="136" t="b">
        <f t="shared" si="3"/>
        <v>0</v>
      </c>
      <c r="D314" s="137">
        <f>IFERROR(__xludf.DUMMYFUNCTION("""COMPUTED_VALUE"""),0.6708333333372138)</f>
        <v>0.6708333333</v>
      </c>
      <c r="E314" s="106">
        <f>IFERROR(__xludf.DUMMYFUNCTION("""COMPUTED_VALUE"""),0.07569444444379769)</f>
        <v>0.07569444444</v>
      </c>
      <c r="F314" s="137">
        <f>IFERROR(__xludf.DUMMYFUNCTION("""COMPUTED_VALUE"""),0.7465277777810115)</f>
        <v>0.7465277778</v>
      </c>
      <c r="G314" s="106">
        <v>0.07569444444379769</v>
      </c>
      <c r="H314" s="136">
        <f>IFERROR(__xludf.DUMMYFUNCTION("""COMPUTED_VALUE"""),138.0)</f>
        <v>138</v>
      </c>
      <c r="I314" s="139">
        <v>75.96330275294262</v>
      </c>
      <c r="J314" s="136" t="s">
        <v>18</v>
      </c>
      <c r="K314" s="146">
        <f>IFERROR(__xludf.DUMMYFUNCTION("""COMPUTED_VALUE"""),46139.0)</f>
        <v>46139</v>
      </c>
      <c r="L314" s="136" t="str">
        <f t="shared" si="1"/>
        <v>Monday</v>
      </c>
      <c r="M314" s="136" t="str">
        <f>IFERROR(__xludf.DUMMYFUNCTION("""COMPUTED_VALUE"""),"MF")</f>
        <v>MF</v>
      </c>
      <c r="N314" s="141">
        <v>1.5888762098317701</v>
      </c>
      <c r="O314" s="136">
        <f>IFERROR(__xludf.DUMMYFUNCTION("""COMPUTED_VALUE"""),138.0)</f>
        <v>138</v>
      </c>
      <c r="P314" s="136">
        <f>IFERROR(__xludf.DUMMYFUNCTION("""COMPUTED_VALUE"""),209.0)</f>
        <v>209</v>
      </c>
      <c r="Q314" s="106">
        <f>IFERROR(__xludf.DUMMYFUNCTION("""COMPUTED_VALUE"""),0.07569444444379769)</f>
        <v>0.07569444444</v>
      </c>
      <c r="R314" s="106">
        <f>IFERROR(__xludf.DUMMYFUNCTION("""COMPUTED_VALUE"""),0.18611111110658385)</f>
        <v>0.1861111111</v>
      </c>
      <c r="S314" s="139">
        <f>IFERROR(__xludf.DUMMYFUNCTION("""COMPUTED_VALUE"""),75.96330275294262)</f>
        <v>75.96330275</v>
      </c>
      <c r="T314" s="139">
        <f>IFERROR(__xludf.DUMMYFUNCTION("""COMPUTED_VALUE"""),43.33249639177808)</f>
        <v>43.33249639</v>
      </c>
      <c r="U314" s="136">
        <f>IFERROR(__xludf.DUMMYFUNCTION("""COMPUTED_VALUE"""),347.0)</f>
        <v>347</v>
      </c>
      <c r="V314" s="106">
        <f>IFERROR(__xludf.DUMMYFUNCTION("""COMPUTED_VALUE"""),0.26180555555038154)</f>
        <v>0.2618055556</v>
      </c>
      <c r="W314" s="143">
        <f t="shared" si="2"/>
        <v>55.22546419</v>
      </c>
      <c r="X314" s="139">
        <f>IFERROR(__xludf.DUMMYFUNCTION("""COMPUTED_VALUE"""),54.2094318454996)</f>
        <v>54.20943185</v>
      </c>
      <c r="Y314" s="141">
        <f>IFERROR(__xludf.DUMMYFUNCTION("""COMPUTED_VALUE"""),0.854694438998135)</f>
        <v>0.854694439</v>
      </c>
    </row>
    <row r="315">
      <c r="A315" s="144">
        <f>IFERROR(__xludf.DUMMYFUNCTION("""COMPUTED_VALUE"""),46140.5553296412)</f>
        <v>46140.55533</v>
      </c>
      <c r="B315" s="136" t="str">
        <f>IFERROR(__xludf.DUMMYFUNCTION("""COMPUTED_VALUE"""),"Kyra Turner")</f>
        <v>Kyra Turner</v>
      </c>
      <c r="C315" s="136" t="b">
        <f t="shared" si="3"/>
        <v>0</v>
      </c>
      <c r="D315" s="137">
        <f>IFERROR(__xludf.DUMMYFUNCTION("""COMPUTED_VALUE"""),0.48333333333721384)</f>
        <v>0.4833333333</v>
      </c>
      <c r="E315" s="106">
        <f>IFERROR(__xludf.DUMMYFUNCTION("""COMPUTED_VALUE"""),0.06944444443797693)</f>
        <v>0.06944444444</v>
      </c>
      <c r="F315" s="137">
        <f>IFERROR(__xludf.DUMMYFUNCTION("""COMPUTED_VALUE"""),0.5527777777751908)</f>
        <v>0.5527777778</v>
      </c>
      <c r="G315" s="106">
        <v>0.06944444443797693</v>
      </c>
      <c r="H315" s="136">
        <f>IFERROR(__xludf.DUMMYFUNCTION("""COMPUTED_VALUE"""),209.0)</f>
        <v>209</v>
      </c>
      <c r="I315" s="139">
        <v>125.40000001167878</v>
      </c>
      <c r="J315" s="136" t="s">
        <v>15</v>
      </c>
      <c r="K315" s="146">
        <f>IFERROR(__xludf.DUMMYFUNCTION("""COMPUTED_VALUE"""),46140.0)</f>
        <v>46140</v>
      </c>
      <c r="L315" s="136" t="str">
        <f t="shared" si="1"/>
        <v>Tuesday</v>
      </c>
      <c r="M315" s="136" t="str">
        <f>IFERROR(__xludf.DUMMYFUNCTION("""COMPUTED_VALUE"""),"MF")</f>
        <v>MF</v>
      </c>
      <c r="N315" s="141">
        <v>2.494157706689634</v>
      </c>
      <c r="O315" s="136" t="str">
        <f>IFERROR(__xludf.DUMMYFUNCTION("""COMPUTED_VALUE"""),"")</f>
        <v/>
      </c>
      <c r="P315" s="136" t="str">
        <f>IFERROR(__xludf.DUMMYFUNCTION("""COMPUTED_VALUE"""),"")</f>
        <v/>
      </c>
      <c r="Q315" s="106" t="str">
        <f>IFERROR(__xludf.DUMMYFUNCTION("""COMPUTED_VALUE"""),"")</f>
        <v/>
      </c>
      <c r="R315" s="106" t="str">
        <f>IFERROR(__xludf.DUMMYFUNCTION("""COMPUTED_VALUE"""),"")</f>
        <v/>
      </c>
      <c r="S315" s="139" t="str">
        <f>IFERROR(__xludf.DUMMYFUNCTION("""COMPUTED_VALUE"""),"")</f>
        <v/>
      </c>
      <c r="T315" s="139" t="str">
        <f>IFERROR(__xludf.DUMMYFUNCTION("""COMPUTED_VALUE"""),"")</f>
        <v/>
      </c>
      <c r="U315" s="136" t="str">
        <f>IFERROR(__xludf.DUMMYFUNCTION("""COMPUTED_VALUE"""),"")</f>
        <v/>
      </c>
      <c r="V315" s="106" t="str">
        <f>IFERROR(__xludf.DUMMYFUNCTION("""COMPUTED_VALUE"""),"")</f>
        <v/>
      </c>
      <c r="W315" s="143" t="str">
        <f t="shared" si="2"/>
        <v/>
      </c>
      <c r="X315" s="139" t="str">
        <f>IFERROR(__xludf.DUMMYFUNCTION("""COMPUTED_VALUE"""),"")</f>
        <v/>
      </c>
      <c r="Y315" s="141" t="str">
        <f>IFERROR(__xludf.DUMMYFUNCTION("""COMPUTED_VALUE"""),"")</f>
        <v/>
      </c>
    </row>
    <row r="316">
      <c r="A316" s="144">
        <f>IFERROR(__xludf.DUMMYFUNCTION("""COMPUTED_VALUE"""),46140.85169846065)</f>
        <v>46140.8517</v>
      </c>
      <c r="B316" s="136" t="str">
        <f>IFERROR(__xludf.DUMMYFUNCTION("""COMPUTED_VALUE"""),"Leah Bucci")</f>
        <v>Leah Bucci</v>
      </c>
      <c r="C316" s="136" t="b">
        <f t="shared" si="3"/>
        <v>0</v>
      </c>
      <c r="D316" s="137">
        <f>IFERROR(__xludf.DUMMYFUNCTION("""COMPUTED_VALUE"""),0.6875)</f>
        <v>0.6875</v>
      </c>
      <c r="E316" s="106">
        <f>IFERROR(__xludf.DUMMYFUNCTION("""COMPUTED_VALUE"""),0.15972222221898846)</f>
        <v>0.1597222222</v>
      </c>
      <c r="F316" s="137">
        <f>IFERROR(__xludf.DUMMYFUNCTION("""COMPUTED_VALUE"""),0.8472222222189885)</f>
        <v>0.8472222222</v>
      </c>
      <c r="G316" s="106">
        <v>0.15972222221898846</v>
      </c>
      <c r="H316" s="136">
        <f>IFERROR(__xludf.DUMMYFUNCTION("""COMPUTED_VALUE"""),131.0)</f>
        <v>131</v>
      </c>
      <c r="I316" s="139">
        <v>34.17391304417015</v>
      </c>
      <c r="J316" s="136" t="s">
        <v>18</v>
      </c>
      <c r="K316" s="146">
        <f>IFERROR(__xludf.DUMMYFUNCTION("""COMPUTED_VALUE"""),46140.0)</f>
        <v>46140</v>
      </c>
      <c r="L316" s="136" t="str">
        <f t="shared" si="1"/>
        <v>Tuesday</v>
      </c>
      <c r="M316" s="136" t="str">
        <f>IFERROR(__xludf.DUMMYFUNCTION("""COMPUTED_VALUE"""),"BF")</f>
        <v>BF</v>
      </c>
      <c r="N316" s="141">
        <v>0.7691315467629696</v>
      </c>
      <c r="O316" s="136" t="str">
        <f>IFERROR(__xludf.DUMMYFUNCTION("""COMPUTED_VALUE"""),"")</f>
        <v/>
      </c>
      <c r="P316" s="136" t="str">
        <f>IFERROR(__xludf.DUMMYFUNCTION("""COMPUTED_VALUE"""),"")</f>
        <v/>
      </c>
      <c r="Q316" s="106" t="str">
        <f>IFERROR(__xludf.DUMMYFUNCTION("""COMPUTED_VALUE"""),"")</f>
        <v/>
      </c>
      <c r="R316" s="106" t="str">
        <f>IFERROR(__xludf.DUMMYFUNCTION("""COMPUTED_VALUE"""),"")</f>
        <v/>
      </c>
      <c r="S316" s="139" t="str">
        <f>IFERROR(__xludf.DUMMYFUNCTION("""COMPUTED_VALUE"""),"")</f>
        <v/>
      </c>
      <c r="T316" s="139" t="str">
        <f>IFERROR(__xludf.DUMMYFUNCTION("""COMPUTED_VALUE"""),"")</f>
        <v/>
      </c>
      <c r="U316" s="136" t="str">
        <f>IFERROR(__xludf.DUMMYFUNCTION("""COMPUTED_VALUE"""),"")</f>
        <v/>
      </c>
      <c r="V316" s="106" t="str">
        <f>IFERROR(__xludf.DUMMYFUNCTION("""COMPUTED_VALUE"""),"")</f>
        <v/>
      </c>
      <c r="W316" s="143" t="str">
        <f t="shared" si="2"/>
        <v/>
      </c>
      <c r="X316" s="139" t="str">
        <f>IFERROR(__xludf.DUMMYFUNCTION("""COMPUTED_VALUE"""),"")</f>
        <v/>
      </c>
      <c r="Y316" s="141" t="str">
        <f>IFERROR(__xludf.DUMMYFUNCTION("""COMPUTED_VALUE"""),"")</f>
        <v/>
      </c>
    </row>
    <row r="317">
      <c r="A317" s="144">
        <f>IFERROR(__xludf.DUMMYFUNCTION("""COMPUTED_VALUE"""),46140.97557547454)</f>
        <v>46140.97558</v>
      </c>
      <c r="B317" s="136" t="str">
        <f>IFERROR(__xludf.DUMMYFUNCTION("""COMPUTED_VALUE"""),"Kaylie Forgue")</f>
        <v>Kaylie Forgue</v>
      </c>
      <c r="C317" s="136" t="b">
        <f t="shared" si="3"/>
        <v>0</v>
      </c>
      <c r="D317" s="137">
        <f>IFERROR(__xludf.DUMMYFUNCTION("""COMPUTED_VALUE"""),0.4444444444452529)</f>
        <v>0.4444444444</v>
      </c>
      <c r="E317" s="106">
        <f>IFERROR(__xludf.DUMMYFUNCTION("""COMPUTED_VALUE"""),0.07291666666424135)</f>
        <v>0.07291666666</v>
      </c>
      <c r="F317" s="137">
        <f>IFERROR(__xludf.DUMMYFUNCTION("""COMPUTED_VALUE"""),0.5173611111094942)</f>
        <v>0.5173611111</v>
      </c>
      <c r="G317" s="106">
        <v>0.07291666666424135</v>
      </c>
      <c r="H317" s="136">
        <f>IFERROR(__xludf.DUMMYFUNCTION("""COMPUTED_VALUE"""),108.0)</f>
        <v>108</v>
      </c>
      <c r="I317" s="139">
        <v>61.71428571633842</v>
      </c>
      <c r="J317" s="136" t="s">
        <v>134</v>
      </c>
      <c r="K317" s="146">
        <f>IFERROR(__xludf.DUMMYFUNCTION("""COMPUTED_VALUE"""),46140.0)</f>
        <v>46140</v>
      </c>
      <c r="L317" s="136" t="str">
        <f t="shared" si="1"/>
        <v>Tuesday</v>
      </c>
      <c r="M317" s="136" t="str">
        <f>IFERROR(__xludf.DUMMYFUNCTION("""COMPUTED_VALUE"""),"BF")</f>
        <v>BF</v>
      </c>
      <c r="N317" s="141">
        <v>1.9602944499289705</v>
      </c>
      <c r="O317" s="136">
        <f>IFERROR(__xludf.DUMMYFUNCTION("""COMPUTED_VALUE"""),209.0)</f>
        <v>209</v>
      </c>
      <c r="P317" s="136">
        <f>IFERROR(__xludf.DUMMYFUNCTION("""COMPUTED_VALUE"""),239.0)</f>
        <v>239</v>
      </c>
      <c r="Q317" s="106">
        <f>IFERROR(__xludf.DUMMYFUNCTION("""COMPUTED_VALUE"""),0.06944444443797693)</f>
        <v>0.06944444444</v>
      </c>
      <c r="R317" s="106">
        <f>IFERROR(__xludf.DUMMYFUNCTION("""COMPUTED_VALUE"""),0.2326388888832298)</f>
        <v>0.2326388889</v>
      </c>
      <c r="S317" s="139">
        <f>IFERROR(__xludf.DUMMYFUNCTION("""COMPUTED_VALUE"""),125.40000001167878)</f>
        <v>125.4</v>
      </c>
      <c r="T317" s="139">
        <f>IFERROR(__xludf.DUMMYFUNCTION("""COMPUTED_VALUE"""),47.944099380254286)</f>
        <v>47.94409938</v>
      </c>
      <c r="U317" s="136">
        <f>IFERROR(__xludf.DUMMYFUNCTION("""COMPUTED_VALUE"""),448.0)</f>
        <v>448</v>
      </c>
      <c r="V317" s="106">
        <f>IFERROR(__xludf.DUMMYFUNCTION("""COMPUTED_VALUE"""),0.30208333332120674)</f>
        <v>0.3020833333</v>
      </c>
      <c r="W317" s="143">
        <f t="shared" si="2"/>
        <v>61.79310345</v>
      </c>
      <c r="X317" s="139">
        <f>IFERROR(__xludf.DUMMYFUNCTION("""COMPUTED_VALUE"""),73.76273292406246)</f>
        <v>73.76273292</v>
      </c>
      <c r="Y317" s="141">
        <f>IFERROR(__xludf.DUMMYFUNCTION("""COMPUTED_VALUE"""),1.380417405734887)</f>
        <v>1.380417406</v>
      </c>
    </row>
    <row r="318">
      <c r="A318" s="144">
        <f>IFERROR(__xludf.DUMMYFUNCTION("""COMPUTED_VALUE"""),46141.3854802662)</f>
        <v>46141.38548</v>
      </c>
      <c r="B318" s="136" t="str">
        <f>IFERROR(__xludf.DUMMYFUNCTION("""COMPUTED_VALUE"""),"Kaylie Forgue")</f>
        <v>Kaylie Forgue</v>
      </c>
      <c r="C318" s="136" t="b">
        <f t="shared" si="3"/>
        <v>0</v>
      </c>
      <c r="D318" s="137">
        <f>IFERROR(__xludf.DUMMYFUNCTION("""COMPUTED_VALUE"""),0.31597222221898846)</f>
        <v>0.3159722222</v>
      </c>
      <c r="E318" s="106">
        <f>IFERROR(__xludf.DUMMYFUNCTION("""COMPUTED_VALUE"""),0.06805555555911269)</f>
        <v>0.06805555556</v>
      </c>
      <c r="F318" s="137">
        <f>IFERROR(__xludf.DUMMYFUNCTION("""COMPUTED_VALUE"""),0.38402777777810115)</f>
        <v>0.3840277778</v>
      </c>
      <c r="G318" s="106">
        <v>0.11041666667006211</v>
      </c>
      <c r="H318" s="136">
        <f>IFERROR(__xludf.DUMMYFUNCTION("""COMPUTED_VALUE"""),67.0)</f>
        <v>67</v>
      </c>
      <c r="I318" s="139">
        <v>34.716981131007884</v>
      </c>
      <c r="J318" s="136" t="s">
        <v>12</v>
      </c>
      <c r="K318" s="146">
        <f>IFERROR(__xludf.DUMMYFUNCTION("""COMPUTED_VALUE"""),46141.0)</f>
        <v>46141</v>
      </c>
      <c r="L318" s="136" t="str">
        <f t="shared" si="1"/>
        <v>Wednesday</v>
      </c>
      <c r="M318" s="136" t="str">
        <f>IFERROR(__xludf.DUMMYFUNCTION("""COMPUTED_VALUE"""),"BF")</f>
        <v>BF</v>
      </c>
      <c r="N318" s="141">
        <v>1.224556824160801</v>
      </c>
      <c r="O318" s="136" t="str">
        <f>IFERROR(__xludf.DUMMYFUNCTION("""COMPUTED_VALUE"""),"")</f>
        <v/>
      </c>
      <c r="P318" s="136" t="str">
        <f>IFERROR(__xludf.DUMMYFUNCTION("""COMPUTED_VALUE"""),"")</f>
        <v/>
      </c>
      <c r="Q318" s="106" t="str">
        <f>IFERROR(__xludf.DUMMYFUNCTION("""COMPUTED_VALUE"""),"")</f>
        <v/>
      </c>
      <c r="R318" s="106" t="str">
        <f>IFERROR(__xludf.DUMMYFUNCTION("""COMPUTED_VALUE"""),"")</f>
        <v/>
      </c>
      <c r="S318" s="139" t="str">
        <f>IFERROR(__xludf.DUMMYFUNCTION("""COMPUTED_VALUE"""),"")</f>
        <v/>
      </c>
      <c r="T318" s="139" t="str">
        <f>IFERROR(__xludf.DUMMYFUNCTION("""COMPUTED_VALUE"""),"")</f>
        <v/>
      </c>
      <c r="U318" s="136" t="str">
        <f>IFERROR(__xludf.DUMMYFUNCTION("""COMPUTED_VALUE"""),"")</f>
        <v/>
      </c>
      <c r="V318" s="106" t="str">
        <f>IFERROR(__xludf.DUMMYFUNCTION("""COMPUTED_VALUE"""),"")</f>
        <v/>
      </c>
      <c r="W318" s="143" t="str">
        <f t="shared" si="2"/>
        <v/>
      </c>
      <c r="X318" s="139" t="str">
        <f>IFERROR(__xludf.DUMMYFUNCTION("""COMPUTED_VALUE"""),"")</f>
        <v/>
      </c>
      <c r="Y318" s="141" t="str">
        <f>IFERROR(__xludf.DUMMYFUNCTION("""COMPUTED_VALUE"""),"")</f>
        <v/>
      </c>
    </row>
    <row r="319">
      <c r="A319" s="144">
        <f>IFERROR(__xludf.DUMMYFUNCTION("""COMPUTED_VALUE"""),46141.42913446759)</f>
        <v>46141.42913</v>
      </c>
      <c r="B319" s="136" t="str">
        <f>IFERROR(__xludf.DUMMYFUNCTION("""COMPUTED_VALUE"""),"Kaylie Forgue")</f>
        <v>Kaylie Forgue</v>
      </c>
      <c r="C319" s="136" t="b">
        <f t="shared" si="3"/>
        <v>1</v>
      </c>
      <c r="D319" s="137">
        <f>IFERROR(__xludf.DUMMYFUNCTION("""COMPUTED_VALUE"""),0.38472222222480923)</f>
        <v>0.3847222222</v>
      </c>
      <c r="E319" s="106">
        <f>IFERROR(__xludf.DUMMYFUNCTION("""COMPUTED_VALUE"""),0.04236111111094942)</f>
        <v>0.04236111111</v>
      </c>
      <c r="F319" s="137">
        <f>IFERROR(__xludf.DUMMYFUNCTION("""COMPUTED_VALUE"""),0.42708333333575865)</f>
        <v>0.4270833333</v>
      </c>
      <c r="G319" s="106" t="s">
        <v>133</v>
      </c>
      <c r="H319" s="136">
        <f>IFERROR(__xludf.DUMMYFUNCTION("""COMPUTED_VALUE"""),25.0)</f>
        <v>25</v>
      </c>
      <c r="I319" s="139" t="s">
        <v>133</v>
      </c>
      <c r="J319" s="136" t="s">
        <v>12</v>
      </c>
      <c r="K319" s="146">
        <f>IFERROR(__xludf.DUMMYFUNCTION("""COMPUTED_VALUE"""),46141.0)</f>
        <v>46141</v>
      </c>
      <c r="L319" s="136" t="str">
        <f t="shared" si="1"/>
        <v>Wednesday</v>
      </c>
      <c r="M319" s="136" t="str">
        <f>IFERROR(__xludf.DUMMYFUNCTION("""COMPUTED_VALUE"""),"BF")</f>
        <v>BF</v>
      </c>
      <c r="N319" s="141" t="s">
        <v>133</v>
      </c>
      <c r="O319" s="136" t="str">
        <f>IFERROR(__xludf.DUMMYFUNCTION("""COMPUTED_VALUE"""),"")</f>
        <v/>
      </c>
      <c r="P319" s="136" t="str">
        <f>IFERROR(__xludf.DUMMYFUNCTION("""COMPUTED_VALUE"""),"")</f>
        <v/>
      </c>
      <c r="Q319" s="106" t="str">
        <f>IFERROR(__xludf.DUMMYFUNCTION("""COMPUTED_VALUE"""),"")</f>
        <v/>
      </c>
      <c r="R319" s="106" t="str">
        <f>IFERROR(__xludf.DUMMYFUNCTION("""COMPUTED_VALUE"""),"")</f>
        <v/>
      </c>
      <c r="S319" s="139" t="str">
        <f>IFERROR(__xludf.DUMMYFUNCTION("""COMPUTED_VALUE"""),"")</f>
        <v/>
      </c>
      <c r="T319" s="139" t="str">
        <f>IFERROR(__xludf.DUMMYFUNCTION("""COMPUTED_VALUE"""),"")</f>
        <v/>
      </c>
      <c r="U319" s="136" t="str">
        <f>IFERROR(__xludf.DUMMYFUNCTION("""COMPUTED_VALUE"""),"")</f>
        <v/>
      </c>
      <c r="V319" s="106" t="str">
        <f>IFERROR(__xludf.DUMMYFUNCTION("""COMPUTED_VALUE"""),"")</f>
        <v/>
      </c>
      <c r="W319" s="143" t="str">
        <f t="shared" si="2"/>
        <v/>
      </c>
      <c r="X319" s="139" t="str">
        <f>IFERROR(__xludf.DUMMYFUNCTION("""COMPUTED_VALUE"""),"")</f>
        <v/>
      </c>
      <c r="Y319" s="141" t="str">
        <f>IFERROR(__xludf.DUMMYFUNCTION("""COMPUTED_VALUE"""),"")</f>
        <v/>
      </c>
    </row>
    <row r="320">
      <c r="A320" s="144">
        <f>IFERROR(__xludf.DUMMYFUNCTION("""COMPUTED_VALUE"""),46141.489812314816)</f>
        <v>46141.48981</v>
      </c>
      <c r="B320" s="136" t="str">
        <f>IFERROR(__xludf.DUMMYFUNCTION("""COMPUTED_VALUE"""),"Oluwatimilehin Shodipe")</f>
        <v>Oluwatimilehin Shodipe</v>
      </c>
      <c r="C320" s="136" t="b">
        <f t="shared" si="3"/>
        <v>0</v>
      </c>
      <c r="D320" s="137">
        <f>IFERROR(__xludf.DUMMYFUNCTION("""COMPUTED_VALUE"""),0.4305555555547471)</f>
        <v>0.4305555556</v>
      </c>
      <c r="E320" s="106">
        <f>IFERROR(__xludf.DUMMYFUNCTION("""COMPUTED_VALUE"""),0.05902777778101154)</f>
        <v>0.05902777778</v>
      </c>
      <c r="F320" s="137">
        <f>IFERROR(__xludf.DUMMYFUNCTION("""COMPUTED_VALUE"""),0.48958333333575865)</f>
        <v>0.4895833333</v>
      </c>
      <c r="G320" s="106">
        <v>0.05902777778101154</v>
      </c>
      <c r="H320" s="136">
        <f>IFERROR(__xludf.DUMMYFUNCTION("""COMPUTED_VALUE"""),68.0)</f>
        <v>68</v>
      </c>
      <c r="I320" s="139">
        <v>47.99999999737038</v>
      </c>
      <c r="J320" s="136" t="s">
        <v>134</v>
      </c>
      <c r="K320" s="146">
        <f>IFERROR(__xludf.DUMMYFUNCTION("""COMPUTED_VALUE"""),46141.0)</f>
        <v>46141</v>
      </c>
      <c r="L320" s="136" t="str">
        <f t="shared" si="1"/>
        <v>Wednesday</v>
      </c>
      <c r="M320" s="136" t="str">
        <f>IFERROR(__xludf.DUMMYFUNCTION("""COMPUTED_VALUE"""),"BF")</f>
        <v>BF</v>
      </c>
      <c r="N320" s="141">
        <v>1.3301078113780065</v>
      </c>
      <c r="O320" s="136" t="str">
        <f>IFERROR(__xludf.DUMMYFUNCTION("""COMPUTED_VALUE"""),"")</f>
        <v/>
      </c>
      <c r="P320" s="136" t="str">
        <f>IFERROR(__xludf.DUMMYFUNCTION("""COMPUTED_VALUE"""),"")</f>
        <v/>
      </c>
      <c r="Q320" s="106" t="str">
        <f>IFERROR(__xludf.DUMMYFUNCTION("""COMPUTED_VALUE"""),"")</f>
        <v/>
      </c>
      <c r="R320" s="106" t="str">
        <f>IFERROR(__xludf.DUMMYFUNCTION("""COMPUTED_VALUE"""),"")</f>
        <v/>
      </c>
      <c r="S320" s="139" t="str">
        <f>IFERROR(__xludf.DUMMYFUNCTION("""COMPUTED_VALUE"""),"")</f>
        <v/>
      </c>
      <c r="T320" s="139" t="str">
        <f>IFERROR(__xludf.DUMMYFUNCTION("""COMPUTED_VALUE"""),"")</f>
        <v/>
      </c>
      <c r="U320" s="136" t="str">
        <f>IFERROR(__xludf.DUMMYFUNCTION("""COMPUTED_VALUE"""),"")</f>
        <v/>
      </c>
      <c r="V320" s="106" t="str">
        <f>IFERROR(__xludf.DUMMYFUNCTION("""COMPUTED_VALUE"""),"")</f>
        <v/>
      </c>
      <c r="W320" s="143" t="str">
        <f t="shared" si="2"/>
        <v/>
      </c>
      <c r="X320" s="139" t="str">
        <f>IFERROR(__xludf.DUMMYFUNCTION("""COMPUTED_VALUE"""),"")</f>
        <v/>
      </c>
      <c r="Y320" s="141" t="str">
        <f>IFERROR(__xludf.DUMMYFUNCTION("""COMPUTED_VALUE"""),"")</f>
        <v/>
      </c>
    </row>
    <row r="321">
      <c r="A321" s="144">
        <f>IFERROR(__xludf.DUMMYFUNCTION("""COMPUTED_VALUE"""),46141.62022989584)</f>
        <v>46141.62023</v>
      </c>
      <c r="B321" s="136" t="str">
        <f>IFERROR(__xludf.DUMMYFUNCTION("""COMPUTED_VALUE"""),"Evan Morgan")</f>
        <v>Evan Morgan</v>
      </c>
      <c r="C321" s="136" t="b">
        <f t="shared" si="3"/>
        <v>0</v>
      </c>
      <c r="D321" s="137">
        <f>IFERROR(__xludf.DUMMYFUNCTION("""COMPUTED_VALUE"""),0.5416666666642413)</f>
        <v>0.5416666667</v>
      </c>
      <c r="E321" s="106">
        <f>IFERROR(__xludf.DUMMYFUNCTION("""COMPUTED_VALUE"""),0.07638888889050577)</f>
        <v>0.07638888889</v>
      </c>
      <c r="F321" s="137">
        <f>IFERROR(__xludf.DUMMYFUNCTION("""COMPUTED_VALUE"""),0.6180555555547471)</f>
        <v>0.6180555556</v>
      </c>
      <c r="G321" s="106">
        <v>0.07638888889050577</v>
      </c>
      <c r="H321" s="136">
        <f>IFERROR(__xludf.DUMMYFUNCTION("""COMPUTED_VALUE"""),101.0)</f>
        <v>101</v>
      </c>
      <c r="I321" s="139">
        <v>55.090909089743015</v>
      </c>
      <c r="J321" s="136" t="s">
        <v>15</v>
      </c>
      <c r="K321" s="146">
        <f>IFERROR(__xludf.DUMMYFUNCTION("""COMPUTED_VALUE"""),46141.0)</f>
        <v>46141</v>
      </c>
      <c r="L321" s="136" t="str">
        <f t="shared" si="1"/>
        <v>Wednesday</v>
      </c>
      <c r="M321" s="136" t="str">
        <f>IFERROR(__xludf.DUMMYFUNCTION("""COMPUTED_VALUE"""),"MF")</f>
        <v>MF</v>
      </c>
      <c r="N321" s="141">
        <v>1.0957369654060898</v>
      </c>
      <c r="O321" s="136" t="str">
        <f>IFERROR(__xludf.DUMMYFUNCTION("""COMPUTED_VALUE"""),"")</f>
        <v/>
      </c>
      <c r="P321" s="136" t="str">
        <f>IFERROR(__xludf.DUMMYFUNCTION("""COMPUTED_VALUE"""),"")</f>
        <v/>
      </c>
      <c r="Q321" s="106" t="str">
        <f>IFERROR(__xludf.DUMMYFUNCTION("""COMPUTED_VALUE"""),"")</f>
        <v/>
      </c>
      <c r="R321" s="106" t="str">
        <f>IFERROR(__xludf.DUMMYFUNCTION("""COMPUTED_VALUE"""),"")</f>
        <v/>
      </c>
      <c r="S321" s="139" t="str">
        <f>IFERROR(__xludf.DUMMYFUNCTION("""COMPUTED_VALUE"""),"")</f>
        <v/>
      </c>
      <c r="T321" s="139" t="str">
        <f>IFERROR(__xludf.DUMMYFUNCTION("""COMPUTED_VALUE"""),"")</f>
        <v/>
      </c>
      <c r="U321" s="136" t="str">
        <f>IFERROR(__xludf.DUMMYFUNCTION("""COMPUTED_VALUE"""),"")</f>
        <v/>
      </c>
      <c r="V321" s="106" t="str">
        <f>IFERROR(__xludf.DUMMYFUNCTION("""COMPUTED_VALUE"""),"")</f>
        <v/>
      </c>
      <c r="W321" s="143" t="str">
        <f t="shared" si="2"/>
        <v/>
      </c>
      <c r="X321" s="139" t="str">
        <f>IFERROR(__xludf.DUMMYFUNCTION("""COMPUTED_VALUE"""),"")</f>
        <v/>
      </c>
      <c r="Y321" s="141" t="str">
        <f>IFERROR(__xludf.DUMMYFUNCTION("""COMPUTED_VALUE"""),"")</f>
        <v/>
      </c>
    </row>
    <row r="322">
      <c r="A322" s="144">
        <f>IFERROR(__xludf.DUMMYFUNCTION("""COMPUTED_VALUE"""),46141.73091672454)</f>
        <v>46141.73092</v>
      </c>
      <c r="B322" s="136" t="str">
        <f>IFERROR(__xludf.DUMMYFUNCTION("""COMPUTED_VALUE"""),"Evan Morgan")</f>
        <v>Evan Morgan</v>
      </c>
      <c r="C322" s="136" t="b">
        <f t="shared" si="3"/>
        <v>0</v>
      </c>
      <c r="D322" s="137">
        <f>IFERROR(__xludf.DUMMYFUNCTION("""COMPUTED_VALUE"""),0.6666666666642413)</f>
        <v>0.6666666667</v>
      </c>
      <c r="E322" s="106">
        <f>IFERROR(__xludf.DUMMYFUNCTION("""COMPUTED_VALUE"""),-0.43611111110658385)</f>
        <v>-0.4361111111</v>
      </c>
      <c r="F322" s="137">
        <f>IFERROR(__xludf.DUMMYFUNCTION("""COMPUTED_VALUE"""),0.2305555555576575)</f>
        <v>0.2305555556</v>
      </c>
      <c r="G322" s="106">
        <v>-0.43611111110658385</v>
      </c>
      <c r="H322" s="136">
        <f>IFERROR(__xludf.DUMMYFUNCTION("""COMPUTED_VALUE"""),47.0)</f>
        <v>47</v>
      </c>
      <c r="I322" s="139">
        <v>-4.490445859919227</v>
      </c>
      <c r="J322" s="136" t="s">
        <v>12</v>
      </c>
      <c r="K322" s="146">
        <f>IFERROR(__xludf.DUMMYFUNCTION("""COMPUTED_VALUE"""),46141.0)</f>
        <v>46141</v>
      </c>
      <c r="L322" s="136" t="str">
        <f t="shared" si="1"/>
        <v>Wednesday</v>
      </c>
      <c r="M322" s="136" t="str">
        <f>IFERROR(__xludf.DUMMYFUNCTION("""COMPUTED_VALUE"""),"MF")</f>
        <v>MF</v>
      </c>
      <c r="N322" s="141">
        <v>-0.10025323376269983</v>
      </c>
      <c r="O322" s="136">
        <f>IFERROR(__xludf.DUMMYFUNCTION("""COMPUTED_VALUE"""),148.0)</f>
        <v>148</v>
      </c>
      <c r="P322" s="136">
        <f>IFERROR(__xludf.DUMMYFUNCTION("""COMPUTED_VALUE"""),160.0)</f>
        <v>160</v>
      </c>
      <c r="Q322" s="106">
        <f>IFERROR(__xludf.DUMMYFUNCTION("""COMPUTED_VALUE"""),-0.3597222222160781)</f>
        <v>-0.3597222222</v>
      </c>
      <c r="R322" s="106">
        <f>IFERROR(__xludf.DUMMYFUNCTION("""COMPUTED_VALUE"""),0.16944444445107365)</f>
        <v>0.1694444445</v>
      </c>
      <c r="S322" s="139">
        <f>IFERROR(__xludf.DUMMYFUNCTION("""COMPUTED_VALUE"""),25.300231614911894)</f>
        <v>25.30023161</v>
      </c>
      <c r="T322" s="139">
        <f>IFERROR(__xludf.DUMMYFUNCTION("""COMPUTED_VALUE"""),41.35849056418913)</f>
        <v>41.35849056</v>
      </c>
      <c r="U322" s="136">
        <f>IFERROR(__xludf.DUMMYFUNCTION("""COMPUTED_VALUE"""),308.0)</f>
        <v>308</v>
      </c>
      <c r="V322" s="106">
        <f>IFERROR(__xludf.DUMMYFUNCTION("""COMPUTED_VALUE"""),-0.19027777776500443)</f>
        <v>-0.1902777778</v>
      </c>
      <c r="W322" s="143">
        <f t="shared" si="2"/>
        <v>-67.44525548</v>
      </c>
      <c r="X322" s="139">
        <f>IFERROR(__xludf.DUMMYFUNCTION("""COMPUTED_VALUE"""),33.32936108955052)</f>
        <v>33.32936109</v>
      </c>
      <c r="Y322" s="141">
        <f>IFERROR(__xludf.DUMMYFUNCTION("""COMPUTED_VALUE"""),0.5663094728302275)</f>
        <v>0.5663094728</v>
      </c>
    </row>
    <row r="323">
      <c r="A323" s="136"/>
      <c r="B323" s="136"/>
      <c r="C323" s="136" t="str">
        <f t="shared" si="3"/>
        <v/>
      </c>
      <c r="D323" s="136"/>
      <c r="E323" s="106">
        <f>IFERROR(__xludf.DUMMYFUNCTION("""COMPUTED_VALUE"""),0.0)</f>
        <v>0</v>
      </c>
      <c r="F323" s="136"/>
      <c r="G323" s="106" t="s">
        <v>133</v>
      </c>
      <c r="H323" s="136">
        <f>IFERROR(__xludf.DUMMYFUNCTION("""COMPUTED_VALUE"""),0.0)</f>
        <v>0</v>
      </c>
      <c r="I323" s="139" t="s">
        <v>133</v>
      </c>
      <c r="J323" s="136" t="s">
        <v>133</v>
      </c>
      <c r="K323" s="136"/>
      <c r="L323" s="136" t="str">
        <f t="shared" si="1"/>
        <v/>
      </c>
      <c r="M323" s="136" t="str">
        <f>IFERROR(__xludf.DUMMYFUNCTION("""COMPUTED_VALUE"""),"")</f>
        <v/>
      </c>
      <c r="N323" s="141" t="s">
        <v>133</v>
      </c>
      <c r="O323" s="136" t="str">
        <f>IFERROR(__xludf.DUMMYFUNCTION("""COMPUTED_VALUE"""),"")</f>
        <v/>
      </c>
      <c r="P323" s="136" t="str">
        <f>IFERROR(__xludf.DUMMYFUNCTION("""COMPUTED_VALUE"""),"")</f>
        <v/>
      </c>
      <c r="Q323" s="106" t="str">
        <f>IFERROR(__xludf.DUMMYFUNCTION("""COMPUTED_VALUE"""),"")</f>
        <v/>
      </c>
      <c r="R323" s="106" t="str">
        <f>IFERROR(__xludf.DUMMYFUNCTION("""COMPUTED_VALUE"""),"")</f>
        <v/>
      </c>
      <c r="S323" s="139" t="str">
        <f>IFERROR(__xludf.DUMMYFUNCTION("""COMPUTED_VALUE"""),"")</f>
        <v/>
      </c>
      <c r="T323" s="139" t="str">
        <f>IFERROR(__xludf.DUMMYFUNCTION("""COMPUTED_VALUE"""),"")</f>
        <v/>
      </c>
      <c r="U323" s="136" t="str">
        <f>IFERROR(__xludf.DUMMYFUNCTION("""COMPUTED_VALUE"""),"")</f>
        <v/>
      </c>
      <c r="V323" s="106" t="str">
        <f>IFERROR(__xludf.DUMMYFUNCTION("""COMPUTED_VALUE"""),"")</f>
        <v/>
      </c>
      <c r="W323" s="143" t="str">
        <f t="shared" si="2"/>
        <v/>
      </c>
      <c r="X323" s="139" t="str">
        <f>IFERROR(__xludf.DUMMYFUNCTION("""COMPUTED_VALUE"""),"")</f>
        <v/>
      </c>
      <c r="Y323" s="141" t="str">
        <f>IFERROR(__xludf.DUMMYFUNCTION("""COMPUTED_VALUE"""),"")</f>
        <v/>
      </c>
    </row>
    <row r="324">
      <c r="A324" s="136"/>
      <c r="B324" s="136"/>
      <c r="C324" s="136" t="str">
        <f t="shared" si="3"/>
        <v/>
      </c>
      <c r="D324" s="136"/>
      <c r="E324" s="106">
        <f>IFERROR(__xludf.DUMMYFUNCTION("""COMPUTED_VALUE"""),0.0)</f>
        <v>0</v>
      </c>
      <c r="F324" s="136"/>
      <c r="G324" s="106" t="s">
        <v>133</v>
      </c>
      <c r="H324" s="136">
        <f>IFERROR(__xludf.DUMMYFUNCTION("""COMPUTED_VALUE"""),0.0)</f>
        <v>0</v>
      </c>
      <c r="I324" s="139" t="s">
        <v>133</v>
      </c>
      <c r="J324" s="136" t="s">
        <v>133</v>
      </c>
      <c r="K324" s="136"/>
      <c r="L324" s="136" t="str">
        <f t="shared" si="1"/>
        <v/>
      </c>
      <c r="M324" s="136" t="str">
        <f>IFERROR(__xludf.DUMMYFUNCTION("""COMPUTED_VALUE"""),"")</f>
        <v/>
      </c>
      <c r="N324" s="141" t="s">
        <v>133</v>
      </c>
      <c r="O324" s="136" t="str">
        <f>IFERROR(__xludf.DUMMYFUNCTION("""COMPUTED_VALUE"""),"")</f>
        <v/>
      </c>
      <c r="P324" s="136" t="str">
        <f>IFERROR(__xludf.DUMMYFUNCTION("""COMPUTED_VALUE"""),"")</f>
        <v/>
      </c>
      <c r="Q324" s="106" t="str">
        <f>IFERROR(__xludf.DUMMYFUNCTION("""COMPUTED_VALUE"""),"")</f>
        <v/>
      </c>
      <c r="R324" s="106" t="str">
        <f>IFERROR(__xludf.DUMMYFUNCTION("""COMPUTED_VALUE"""),"")</f>
        <v/>
      </c>
      <c r="S324" s="139" t="str">
        <f>IFERROR(__xludf.DUMMYFUNCTION("""COMPUTED_VALUE"""),"")</f>
        <v/>
      </c>
      <c r="T324" s="139" t="str">
        <f>IFERROR(__xludf.DUMMYFUNCTION("""COMPUTED_VALUE"""),"")</f>
        <v/>
      </c>
      <c r="U324" s="136" t="str">
        <f>IFERROR(__xludf.DUMMYFUNCTION("""COMPUTED_VALUE"""),"")</f>
        <v/>
      </c>
      <c r="V324" s="106" t="str">
        <f>IFERROR(__xludf.DUMMYFUNCTION("""COMPUTED_VALUE"""),"")</f>
        <v/>
      </c>
      <c r="W324" s="143" t="str">
        <f t="shared" si="2"/>
        <v/>
      </c>
      <c r="X324" s="139" t="str">
        <f>IFERROR(__xludf.DUMMYFUNCTION("""COMPUTED_VALUE"""),"")</f>
        <v/>
      </c>
      <c r="Y324" s="141" t="str">
        <f>IFERROR(__xludf.DUMMYFUNCTION("""COMPUTED_VALUE"""),"")</f>
        <v/>
      </c>
    </row>
    <row r="325">
      <c r="A325" s="136"/>
      <c r="B325" s="136"/>
      <c r="C325" s="136" t="str">
        <f t="shared" si="3"/>
        <v/>
      </c>
      <c r="D325" s="136"/>
      <c r="E325" s="106">
        <f>IFERROR(__xludf.DUMMYFUNCTION("""COMPUTED_VALUE"""),0.0)</f>
        <v>0</v>
      </c>
      <c r="F325" s="136"/>
      <c r="G325" s="106" t="s">
        <v>133</v>
      </c>
      <c r="H325" s="136">
        <f>IFERROR(__xludf.DUMMYFUNCTION("""COMPUTED_VALUE"""),0.0)</f>
        <v>0</v>
      </c>
      <c r="I325" s="139" t="s">
        <v>133</v>
      </c>
      <c r="J325" s="136" t="s">
        <v>133</v>
      </c>
      <c r="K325" s="136"/>
      <c r="L325" s="136" t="str">
        <f t="shared" si="1"/>
        <v/>
      </c>
      <c r="M325" s="136" t="str">
        <f>IFERROR(__xludf.DUMMYFUNCTION("""COMPUTED_VALUE"""),"")</f>
        <v/>
      </c>
      <c r="N325" s="141" t="s">
        <v>133</v>
      </c>
      <c r="O325" s="136" t="str">
        <f>IFERROR(__xludf.DUMMYFUNCTION("""COMPUTED_VALUE"""),"")</f>
        <v/>
      </c>
      <c r="P325" s="136" t="str">
        <f>IFERROR(__xludf.DUMMYFUNCTION("""COMPUTED_VALUE"""),"")</f>
        <v/>
      </c>
      <c r="Q325" s="106" t="str">
        <f>IFERROR(__xludf.DUMMYFUNCTION("""COMPUTED_VALUE"""),"")</f>
        <v/>
      </c>
      <c r="R325" s="106" t="str">
        <f>IFERROR(__xludf.DUMMYFUNCTION("""COMPUTED_VALUE"""),"")</f>
        <v/>
      </c>
      <c r="S325" s="139" t="str">
        <f>IFERROR(__xludf.DUMMYFUNCTION("""COMPUTED_VALUE"""),"")</f>
        <v/>
      </c>
      <c r="T325" s="139" t="str">
        <f>IFERROR(__xludf.DUMMYFUNCTION("""COMPUTED_VALUE"""),"")</f>
        <v/>
      </c>
      <c r="U325" s="136" t="str">
        <f>IFERROR(__xludf.DUMMYFUNCTION("""COMPUTED_VALUE"""),"")</f>
        <v/>
      </c>
      <c r="V325" s="106" t="str">
        <f>IFERROR(__xludf.DUMMYFUNCTION("""COMPUTED_VALUE"""),"")</f>
        <v/>
      </c>
      <c r="W325" s="143" t="str">
        <f t="shared" si="2"/>
        <v/>
      </c>
      <c r="X325" s="139" t="str">
        <f>IFERROR(__xludf.DUMMYFUNCTION("""COMPUTED_VALUE"""),"")</f>
        <v/>
      </c>
      <c r="Y325" s="141" t="str">
        <f>IFERROR(__xludf.DUMMYFUNCTION("""COMPUTED_VALUE"""),"")</f>
        <v/>
      </c>
    </row>
    <row r="326">
      <c r="A326" s="136"/>
      <c r="B326" s="136"/>
      <c r="C326" s="136" t="str">
        <f t="shared" si="3"/>
        <v/>
      </c>
      <c r="D326" s="136"/>
      <c r="E326" s="106">
        <f>IFERROR(__xludf.DUMMYFUNCTION("""COMPUTED_VALUE"""),0.0)</f>
        <v>0</v>
      </c>
      <c r="F326" s="136"/>
      <c r="G326" s="106" t="s">
        <v>133</v>
      </c>
      <c r="H326" s="136">
        <f>IFERROR(__xludf.DUMMYFUNCTION("""COMPUTED_VALUE"""),0.0)</f>
        <v>0</v>
      </c>
      <c r="I326" s="139" t="s">
        <v>133</v>
      </c>
      <c r="J326" s="136" t="s">
        <v>133</v>
      </c>
      <c r="K326" s="136"/>
      <c r="L326" s="136" t="str">
        <f t="shared" si="1"/>
        <v/>
      </c>
      <c r="M326" s="136" t="str">
        <f>IFERROR(__xludf.DUMMYFUNCTION("""COMPUTED_VALUE"""),"")</f>
        <v/>
      </c>
      <c r="N326" s="141" t="s">
        <v>133</v>
      </c>
      <c r="O326" s="136" t="str">
        <f>IFERROR(__xludf.DUMMYFUNCTION("""COMPUTED_VALUE"""),"")</f>
        <v/>
      </c>
      <c r="P326" s="136" t="str">
        <f>IFERROR(__xludf.DUMMYFUNCTION("""COMPUTED_VALUE"""),"")</f>
        <v/>
      </c>
      <c r="Q326" s="106" t="str">
        <f>IFERROR(__xludf.DUMMYFUNCTION("""COMPUTED_VALUE"""),"")</f>
        <v/>
      </c>
      <c r="R326" s="106" t="str">
        <f>IFERROR(__xludf.DUMMYFUNCTION("""COMPUTED_VALUE"""),"")</f>
        <v/>
      </c>
      <c r="S326" s="139" t="str">
        <f>IFERROR(__xludf.DUMMYFUNCTION("""COMPUTED_VALUE"""),"")</f>
        <v/>
      </c>
      <c r="T326" s="139" t="str">
        <f>IFERROR(__xludf.DUMMYFUNCTION("""COMPUTED_VALUE"""),"")</f>
        <v/>
      </c>
      <c r="U326" s="136" t="str">
        <f>IFERROR(__xludf.DUMMYFUNCTION("""COMPUTED_VALUE"""),"")</f>
        <v/>
      </c>
      <c r="V326" s="106" t="str">
        <f>IFERROR(__xludf.DUMMYFUNCTION("""COMPUTED_VALUE"""),"")</f>
        <v/>
      </c>
      <c r="W326" s="143" t="str">
        <f t="shared" si="2"/>
        <v/>
      </c>
      <c r="X326" s="139" t="str">
        <f>IFERROR(__xludf.DUMMYFUNCTION("""COMPUTED_VALUE"""),"")</f>
        <v/>
      </c>
      <c r="Y326" s="141" t="str">
        <f>IFERROR(__xludf.DUMMYFUNCTION("""COMPUTED_VALUE"""),"")</f>
        <v/>
      </c>
    </row>
    <row r="327">
      <c r="A327" s="136"/>
      <c r="B327" s="136"/>
      <c r="C327" s="136" t="str">
        <f t="shared" si="3"/>
        <v/>
      </c>
      <c r="D327" s="136"/>
      <c r="E327" s="106">
        <f>IFERROR(__xludf.DUMMYFUNCTION("""COMPUTED_VALUE"""),0.0)</f>
        <v>0</v>
      </c>
      <c r="F327" s="136"/>
      <c r="G327" s="106" t="s">
        <v>133</v>
      </c>
      <c r="H327" s="136">
        <f>IFERROR(__xludf.DUMMYFUNCTION("""COMPUTED_VALUE"""),0.0)</f>
        <v>0</v>
      </c>
      <c r="I327" s="139" t="s">
        <v>133</v>
      </c>
      <c r="J327" s="136" t="s">
        <v>133</v>
      </c>
      <c r="K327" s="136"/>
      <c r="L327" s="136" t="str">
        <f t="shared" si="1"/>
        <v/>
      </c>
      <c r="M327" s="136" t="str">
        <f>IFERROR(__xludf.DUMMYFUNCTION("""COMPUTED_VALUE"""),"")</f>
        <v/>
      </c>
      <c r="N327" s="141" t="s">
        <v>133</v>
      </c>
      <c r="O327" s="136" t="str">
        <f>IFERROR(__xludf.DUMMYFUNCTION("""COMPUTED_VALUE"""),"")</f>
        <v/>
      </c>
      <c r="P327" s="136" t="str">
        <f>IFERROR(__xludf.DUMMYFUNCTION("""COMPUTED_VALUE"""),"")</f>
        <v/>
      </c>
      <c r="Q327" s="106" t="str">
        <f>IFERROR(__xludf.DUMMYFUNCTION("""COMPUTED_VALUE"""),"")</f>
        <v/>
      </c>
      <c r="R327" s="106" t="str">
        <f>IFERROR(__xludf.DUMMYFUNCTION("""COMPUTED_VALUE"""),"")</f>
        <v/>
      </c>
      <c r="S327" s="139" t="str">
        <f>IFERROR(__xludf.DUMMYFUNCTION("""COMPUTED_VALUE"""),"")</f>
        <v/>
      </c>
      <c r="T327" s="139" t="str">
        <f>IFERROR(__xludf.DUMMYFUNCTION("""COMPUTED_VALUE"""),"")</f>
        <v/>
      </c>
      <c r="U327" s="136" t="str">
        <f>IFERROR(__xludf.DUMMYFUNCTION("""COMPUTED_VALUE"""),"")</f>
        <v/>
      </c>
      <c r="V327" s="106" t="str">
        <f>IFERROR(__xludf.DUMMYFUNCTION("""COMPUTED_VALUE"""),"")</f>
        <v/>
      </c>
      <c r="W327" s="143" t="str">
        <f t="shared" si="2"/>
        <v/>
      </c>
      <c r="X327" s="139" t="str">
        <f>IFERROR(__xludf.DUMMYFUNCTION("""COMPUTED_VALUE"""),"")</f>
        <v/>
      </c>
      <c r="Y327" s="141" t="str">
        <f>IFERROR(__xludf.DUMMYFUNCTION("""COMPUTED_VALUE"""),"")</f>
        <v/>
      </c>
    </row>
    <row r="328">
      <c r="A328" s="136"/>
      <c r="B328" s="136"/>
      <c r="C328" s="136" t="str">
        <f t="shared" si="3"/>
        <v/>
      </c>
      <c r="D328" s="136"/>
      <c r="E328" s="106">
        <f>IFERROR(__xludf.DUMMYFUNCTION("""COMPUTED_VALUE"""),0.0)</f>
        <v>0</v>
      </c>
      <c r="F328" s="136"/>
      <c r="G328" s="106" t="s">
        <v>133</v>
      </c>
      <c r="H328" s="136">
        <f>IFERROR(__xludf.DUMMYFUNCTION("""COMPUTED_VALUE"""),0.0)</f>
        <v>0</v>
      </c>
      <c r="I328" s="139" t="s">
        <v>133</v>
      </c>
      <c r="J328" s="136" t="s">
        <v>133</v>
      </c>
      <c r="K328" s="136"/>
      <c r="L328" s="136" t="str">
        <f t="shared" si="1"/>
        <v/>
      </c>
      <c r="M328" s="136" t="str">
        <f>IFERROR(__xludf.DUMMYFUNCTION("""COMPUTED_VALUE"""),"")</f>
        <v/>
      </c>
      <c r="N328" s="141" t="s">
        <v>133</v>
      </c>
      <c r="O328" s="136" t="str">
        <f>IFERROR(__xludf.DUMMYFUNCTION("""COMPUTED_VALUE"""),"")</f>
        <v/>
      </c>
      <c r="P328" s="136" t="str">
        <f>IFERROR(__xludf.DUMMYFUNCTION("""COMPUTED_VALUE"""),"")</f>
        <v/>
      </c>
      <c r="Q328" s="106" t="str">
        <f>IFERROR(__xludf.DUMMYFUNCTION("""COMPUTED_VALUE"""),"")</f>
        <v/>
      </c>
      <c r="R328" s="106" t="str">
        <f>IFERROR(__xludf.DUMMYFUNCTION("""COMPUTED_VALUE"""),"")</f>
        <v/>
      </c>
      <c r="S328" s="139" t="str">
        <f>IFERROR(__xludf.DUMMYFUNCTION("""COMPUTED_VALUE"""),"")</f>
        <v/>
      </c>
      <c r="T328" s="139" t="str">
        <f>IFERROR(__xludf.DUMMYFUNCTION("""COMPUTED_VALUE"""),"")</f>
        <v/>
      </c>
      <c r="U328" s="136" t="str">
        <f>IFERROR(__xludf.DUMMYFUNCTION("""COMPUTED_VALUE"""),"")</f>
        <v/>
      </c>
      <c r="V328" s="106" t="str">
        <f>IFERROR(__xludf.DUMMYFUNCTION("""COMPUTED_VALUE"""),"")</f>
        <v/>
      </c>
      <c r="W328" s="143" t="str">
        <f t="shared" si="2"/>
        <v/>
      </c>
      <c r="X328" s="139" t="str">
        <f>IFERROR(__xludf.DUMMYFUNCTION("""COMPUTED_VALUE"""),"")</f>
        <v/>
      </c>
      <c r="Y328" s="141" t="str">
        <f>IFERROR(__xludf.DUMMYFUNCTION("""COMPUTED_VALUE"""),"")</f>
        <v/>
      </c>
    </row>
    <row r="329">
      <c r="A329" s="136"/>
      <c r="B329" s="136"/>
      <c r="C329" s="136" t="str">
        <f t="shared" si="3"/>
        <v/>
      </c>
      <c r="D329" s="136"/>
      <c r="E329" s="106">
        <f>IFERROR(__xludf.DUMMYFUNCTION("""COMPUTED_VALUE"""),0.0)</f>
        <v>0</v>
      </c>
      <c r="F329" s="136"/>
      <c r="G329" s="106" t="s">
        <v>133</v>
      </c>
      <c r="H329" s="136">
        <f>IFERROR(__xludf.DUMMYFUNCTION("""COMPUTED_VALUE"""),0.0)</f>
        <v>0</v>
      </c>
      <c r="I329" s="139" t="s">
        <v>133</v>
      </c>
      <c r="J329" s="136" t="s">
        <v>133</v>
      </c>
      <c r="K329" s="136"/>
      <c r="L329" s="136" t="str">
        <f t="shared" si="1"/>
        <v/>
      </c>
      <c r="M329" s="136" t="str">
        <f>IFERROR(__xludf.DUMMYFUNCTION("""COMPUTED_VALUE"""),"")</f>
        <v/>
      </c>
      <c r="N329" s="141" t="s">
        <v>133</v>
      </c>
      <c r="O329" s="136" t="str">
        <f>IFERROR(__xludf.DUMMYFUNCTION("""COMPUTED_VALUE"""),"")</f>
        <v/>
      </c>
      <c r="P329" s="136" t="str">
        <f>IFERROR(__xludf.DUMMYFUNCTION("""COMPUTED_VALUE"""),"")</f>
        <v/>
      </c>
      <c r="Q329" s="106" t="str">
        <f>IFERROR(__xludf.DUMMYFUNCTION("""COMPUTED_VALUE"""),"")</f>
        <v/>
      </c>
      <c r="R329" s="106" t="str">
        <f>IFERROR(__xludf.DUMMYFUNCTION("""COMPUTED_VALUE"""),"")</f>
        <v/>
      </c>
      <c r="S329" s="139" t="str">
        <f>IFERROR(__xludf.DUMMYFUNCTION("""COMPUTED_VALUE"""),"")</f>
        <v/>
      </c>
      <c r="T329" s="139" t="str">
        <f>IFERROR(__xludf.DUMMYFUNCTION("""COMPUTED_VALUE"""),"")</f>
        <v/>
      </c>
      <c r="U329" s="136" t="str">
        <f>IFERROR(__xludf.DUMMYFUNCTION("""COMPUTED_VALUE"""),"")</f>
        <v/>
      </c>
      <c r="V329" s="106" t="str">
        <f>IFERROR(__xludf.DUMMYFUNCTION("""COMPUTED_VALUE"""),"")</f>
        <v/>
      </c>
      <c r="W329" s="143" t="str">
        <f t="shared" si="2"/>
        <v/>
      </c>
      <c r="X329" s="139" t="str">
        <f>IFERROR(__xludf.DUMMYFUNCTION("""COMPUTED_VALUE"""),"")</f>
        <v/>
      </c>
      <c r="Y329" s="141" t="str">
        <f>IFERROR(__xludf.DUMMYFUNCTION("""COMPUTED_VALUE"""),"")</f>
        <v/>
      </c>
    </row>
    <row r="330">
      <c r="A330" s="136"/>
      <c r="B330" s="136"/>
      <c r="C330" s="136" t="str">
        <f t="shared" si="3"/>
        <v/>
      </c>
      <c r="D330" s="136"/>
      <c r="E330" s="106">
        <f>IFERROR(__xludf.DUMMYFUNCTION("""COMPUTED_VALUE"""),0.0)</f>
        <v>0</v>
      </c>
      <c r="F330" s="136"/>
      <c r="G330" s="106" t="s">
        <v>133</v>
      </c>
      <c r="H330" s="136">
        <f>IFERROR(__xludf.DUMMYFUNCTION("""COMPUTED_VALUE"""),0.0)</f>
        <v>0</v>
      </c>
      <c r="I330" s="139" t="s">
        <v>133</v>
      </c>
      <c r="J330" s="136" t="s">
        <v>133</v>
      </c>
      <c r="K330" s="136"/>
      <c r="L330" s="136" t="str">
        <f t="shared" si="1"/>
        <v/>
      </c>
      <c r="M330" s="136" t="str">
        <f>IFERROR(__xludf.DUMMYFUNCTION("""COMPUTED_VALUE"""),"")</f>
        <v/>
      </c>
      <c r="N330" s="141" t="s">
        <v>133</v>
      </c>
      <c r="O330" s="136" t="str">
        <f>IFERROR(__xludf.DUMMYFUNCTION("""COMPUTED_VALUE"""),"")</f>
        <v/>
      </c>
      <c r="P330" s="136" t="str">
        <f>IFERROR(__xludf.DUMMYFUNCTION("""COMPUTED_VALUE"""),"")</f>
        <v/>
      </c>
      <c r="Q330" s="106" t="str">
        <f>IFERROR(__xludf.DUMMYFUNCTION("""COMPUTED_VALUE"""),"")</f>
        <v/>
      </c>
      <c r="R330" s="106" t="str">
        <f>IFERROR(__xludf.DUMMYFUNCTION("""COMPUTED_VALUE"""),"")</f>
        <v/>
      </c>
      <c r="S330" s="139" t="str">
        <f>IFERROR(__xludf.DUMMYFUNCTION("""COMPUTED_VALUE"""),"")</f>
        <v/>
      </c>
      <c r="T330" s="139" t="str">
        <f>IFERROR(__xludf.DUMMYFUNCTION("""COMPUTED_VALUE"""),"")</f>
        <v/>
      </c>
      <c r="U330" s="136" t="str">
        <f>IFERROR(__xludf.DUMMYFUNCTION("""COMPUTED_VALUE"""),"")</f>
        <v/>
      </c>
      <c r="V330" s="106" t="str">
        <f>IFERROR(__xludf.DUMMYFUNCTION("""COMPUTED_VALUE"""),"")</f>
        <v/>
      </c>
      <c r="W330" s="143" t="str">
        <f t="shared" si="2"/>
        <v/>
      </c>
      <c r="X330" s="139" t="str">
        <f>IFERROR(__xludf.DUMMYFUNCTION("""COMPUTED_VALUE"""),"")</f>
        <v/>
      </c>
      <c r="Y330" s="141" t="str">
        <f>IFERROR(__xludf.DUMMYFUNCTION("""COMPUTED_VALUE"""),"")</f>
        <v/>
      </c>
    </row>
    <row r="331">
      <c r="A331" s="136"/>
      <c r="B331" s="136"/>
      <c r="C331" s="136" t="str">
        <f t="shared" si="3"/>
        <v/>
      </c>
      <c r="D331" s="136"/>
      <c r="E331" s="106">
        <f>IFERROR(__xludf.DUMMYFUNCTION("""COMPUTED_VALUE"""),0.0)</f>
        <v>0</v>
      </c>
      <c r="F331" s="136"/>
      <c r="G331" s="106" t="s">
        <v>133</v>
      </c>
      <c r="H331" s="136">
        <f>IFERROR(__xludf.DUMMYFUNCTION("""COMPUTED_VALUE"""),0.0)</f>
        <v>0</v>
      </c>
      <c r="I331" s="139" t="s">
        <v>133</v>
      </c>
      <c r="J331" s="136" t="s">
        <v>133</v>
      </c>
      <c r="K331" s="136"/>
      <c r="L331" s="136" t="str">
        <f t="shared" si="1"/>
        <v/>
      </c>
      <c r="M331" s="136" t="str">
        <f>IFERROR(__xludf.DUMMYFUNCTION("""COMPUTED_VALUE"""),"")</f>
        <v/>
      </c>
      <c r="N331" s="141" t="s">
        <v>133</v>
      </c>
      <c r="O331" s="136" t="str">
        <f>IFERROR(__xludf.DUMMYFUNCTION("""COMPUTED_VALUE"""),"")</f>
        <v/>
      </c>
      <c r="P331" s="136" t="str">
        <f>IFERROR(__xludf.DUMMYFUNCTION("""COMPUTED_VALUE"""),"")</f>
        <v/>
      </c>
      <c r="Q331" s="106" t="str">
        <f>IFERROR(__xludf.DUMMYFUNCTION("""COMPUTED_VALUE"""),"")</f>
        <v/>
      </c>
      <c r="R331" s="106" t="str">
        <f>IFERROR(__xludf.DUMMYFUNCTION("""COMPUTED_VALUE"""),"")</f>
        <v/>
      </c>
      <c r="S331" s="139" t="str">
        <f>IFERROR(__xludf.DUMMYFUNCTION("""COMPUTED_VALUE"""),"")</f>
        <v/>
      </c>
      <c r="T331" s="139" t="str">
        <f>IFERROR(__xludf.DUMMYFUNCTION("""COMPUTED_VALUE"""),"")</f>
        <v/>
      </c>
      <c r="U331" s="136" t="str">
        <f>IFERROR(__xludf.DUMMYFUNCTION("""COMPUTED_VALUE"""),"")</f>
        <v/>
      </c>
      <c r="V331" s="106" t="str">
        <f>IFERROR(__xludf.DUMMYFUNCTION("""COMPUTED_VALUE"""),"")</f>
        <v/>
      </c>
      <c r="W331" s="143" t="str">
        <f t="shared" si="2"/>
        <v/>
      </c>
      <c r="X331" s="139" t="str">
        <f>IFERROR(__xludf.DUMMYFUNCTION("""COMPUTED_VALUE"""),"")</f>
        <v/>
      </c>
      <c r="Y331" s="141" t="str">
        <f>IFERROR(__xludf.DUMMYFUNCTION("""COMPUTED_VALUE"""),"")</f>
        <v/>
      </c>
    </row>
    <row r="332">
      <c r="A332" s="136"/>
      <c r="B332" s="136"/>
      <c r="C332" s="136" t="str">
        <f t="shared" si="3"/>
        <v/>
      </c>
      <c r="D332" s="136"/>
      <c r="E332" s="106">
        <f>IFERROR(__xludf.DUMMYFUNCTION("""COMPUTED_VALUE"""),0.0)</f>
        <v>0</v>
      </c>
      <c r="F332" s="136"/>
      <c r="G332" s="106" t="s">
        <v>133</v>
      </c>
      <c r="H332" s="136">
        <f>IFERROR(__xludf.DUMMYFUNCTION("""COMPUTED_VALUE"""),0.0)</f>
        <v>0</v>
      </c>
      <c r="I332" s="139" t="s">
        <v>133</v>
      </c>
      <c r="J332" s="136" t="s">
        <v>133</v>
      </c>
      <c r="K332" s="136"/>
      <c r="L332" s="136" t="str">
        <f t="shared" si="1"/>
        <v/>
      </c>
      <c r="M332" s="136" t="str">
        <f>IFERROR(__xludf.DUMMYFUNCTION("""COMPUTED_VALUE"""),"")</f>
        <v/>
      </c>
      <c r="N332" s="141" t="s">
        <v>133</v>
      </c>
      <c r="O332" s="136" t="str">
        <f>IFERROR(__xludf.DUMMYFUNCTION("""COMPUTED_VALUE"""),"")</f>
        <v/>
      </c>
      <c r="P332" s="136" t="str">
        <f>IFERROR(__xludf.DUMMYFUNCTION("""COMPUTED_VALUE"""),"")</f>
        <v/>
      </c>
      <c r="Q332" s="106" t="str">
        <f>IFERROR(__xludf.DUMMYFUNCTION("""COMPUTED_VALUE"""),"")</f>
        <v/>
      </c>
      <c r="R332" s="106" t="str">
        <f>IFERROR(__xludf.DUMMYFUNCTION("""COMPUTED_VALUE"""),"")</f>
        <v/>
      </c>
      <c r="S332" s="139" t="str">
        <f>IFERROR(__xludf.DUMMYFUNCTION("""COMPUTED_VALUE"""),"")</f>
        <v/>
      </c>
      <c r="T332" s="139" t="str">
        <f>IFERROR(__xludf.DUMMYFUNCTION("""COMPUTED_VALUE"""),"")</f>
        <v/>
      </c>
      <c r="U332" s="136" t="str">
        <f>IFERROR(__xludf.DUMMYFUNCTION("""COMPUTED_VALUE"""),"")</f>
        <v/>
      </c>
      <c r="V332" s="106" t="str">
        <f>IFERROR(__xludf.DUMMYFUNCTION("""COMPUTED_VALUE"""),"")</f>
        <v/>
      </c>
      <c r="W332" s="143" t="str">
        <f t="shared" si="2"/>
        <v/>
      </c>
      <c r="X332" s="139" t="str">
        <f>IFERROR(__xludf.DUMMYFUNCTION("""COMPUTED_VALUE"""),"")</f>
        <v/>
      </c>
      <c r="Y332" s="141" t="str">
        <f>IFERROR(__xludf.DUMMYFUNCTION("""COMPUTED_VALUE"""),"")</f>
        <v/>
      </c>
    </row>
    <row r="333">
      <c r="A333" s="136"/>
      <c r="B333" s="136"/>
      <c r="C333" s="136" t="str">
        <f t="shared" si="3"/>
        <v/>
      </c>
      <c r="D333" s="136"/>
      <c r="E333" s="106">
        <f>IFERROR(__xludf.DUMMYFUNCTION("""COMPUTED_VALUE"""),0.0)</f>
        <v>0</v>
      </c>
      <c r="F333" s="136"/>
      <c r="G333" s="106" t="s">
        <v>133</v>
      </c>
      <c r="H333" s="136">
        <f>IFERROR(__xludf.DUMMYFUNCTION("""COMPUTED_VALUE"""),0.0)</f>
        <v>0</v>
      </c>
      <c r="I333" s="139" t="s">
        <v>133</v>
      </c>
      <c r="J333" s="136" t="s">
        <v>133</v>
      </c>
      <c r="K333" s="136"/>
      <c r="L333" s="136" t="str">
        <f t="shared" si="1"/>
        <v/>
      </c>
      <c r="M333" s="136" t="str">
        <f>IFERROR(__xludf.DUMMYFUNCTION("""COMPUTED_VALUE"""),"")</f>
        <v/>
      </c>
      <c r="N333" s="141" t="s">
        <v>133</v>
      </c>
      <c r="O333" s="136" t="str">
        <f>IFERROR(__xludf.DUMMYFUNCTION("""COMPUTED_VALUE"""),"")</f>
        <v/>
      </c>
      <c r="P333" s="136" t="str">
        <f>IFERROR(__xludf.DUMMYFUNCTION("""COMPUTED_VALUE"""),"")</f>
        <v/>
      </c>
      <c r="Q333" s="106" t="str">
        <f>IFERROR(__xludf.DUMMYFUNCTION("""COMPUTED_VALUE"""),"")</f>
        <v/>
      </c>
      <c r="R333" s="106" t="str">
        <f>IFERROR(__xludf.DUMMYFUNCTION("""COMPUTED_VALUE"""),"")</f>
        <v/>
      </c>
      <c r="S333" s="139" t="str">
        <f>IFERROR(__xludf.DUMMYFUNCTION("""COMPUTED_VALUE"""),"")</f>
        <v/>
      </c>
      <c r="T333" s="139" t="str">
        <f>IFERROR(__xludf.DUMMYFUNCTION("""COMPUTED_VALUE"""),"")</f>
        <v/>
      </c>
      <c r="U333" s="136" t="str">
        <f>IFERROR(__xludf.DUMMYFUNCTION("""COMPUTED_VALUE"""),"")</f>
        <v/>
      </c>
      <c r="V333" s="106" t="str">
        <f>IFERROR(__xludf.DUMMYFUNCTION("""COMPUTED_VALUE"""),"")</f>
        <v/>
      </c>
      <c r="W333" s="143" t="str">
        <f t="shared" si="2"/>
        <v/>
      </c>
      <c r="X333" s="139" t="str">
        <f>IFERROR(__xludf.DUMMYFUNCTION("""COMPUTED_VALUE"""),"")</f>
        <v/>
      </c>
      <c r="Y333" s="141" t="str">
        <f>IFERROR(__xludf.DUMMYFUNCTION("""COMPUTED_VALUE"""),"")</f>
        <v/>
      </c>
    </row>
    <row r="334">
      <c r="A334" s="136"/>
      <c r="B334" s="136"/>
      <c r="C334" s="136" t="str">
        <f t="shared" si="3"/>
        <v/>
      </c>
      <c r="D334" s="136"/>
      <c r="E334" s="106">
        <f>IFERROR(__xludf.DUMMYFUNCTION("""COMPUTED_VALUE"""),0.0)</f>
        <v>0</v>
      </c>
      <c r="F334" s="136"/>
      <c r="G334" s="106" t="s">
        <v>133</v>
      </c>
      <c r="H334" s="136">
        <f>IFERROR(__xludf.DUMMYFUNCTION("""COMPUTED_VALUE"""),0.0)</f>
        <v>0</v>
      </c>
      <c r="I334" s="139" t="s">
        <v>133</v>
      </c>
      <c r="J334" s="136" t="s">
        <v>133</v>
      </c>
      <c r="K334" s="136"/>
      <c r="L334" s="136" t="str">
        <f t="shared" si="1"/>
        <v/>
      </c>
      <c r="M334" s="136" t="str">
        <f>IFERROR(__xludf.DUMMYFUNCTION("""COMPUTED_VALUE"""),"")</f>
        <v/>
      </c>
      <c r="N334" s="141" t="s">
        <v>133</v>
      </c>
      <c r="O334" s="136" t="str">
        <f>IFERROR(__xludf.DUMMYFUNCTION("""COMPUTED_VALUE"""),"")</f>
        <v/>
      </c>
      <c r="P334" s="136" t="str">
        <f>IFERROR(__xludf.DUMMYFUNCTION("""COMPUTED_VALUE"""),"")</f>
        <v/>
      </c>
      <c r="Q334" s="106" t="str">
        <f>IFERROR(__xludf.DUMMYFUNCTION("""COMPUTED_VALUE"""),"")</f>
        <v/>
      </c>
      <c r="R334" s="106" t="str">
        <f>IFERROR(__xludf.DUMMYFUNCTION("""COMPUTED_VALUE"""),"")</f>
        <v/>
      </c>
      <c r="S334" s="139" t="str">
        <f>IFERROR(__xludf.DUMMYFUNCTION("""COMPUTED_VALUE"""),"")</f>
        <v/>
      </c>
      <c r="T334" s="139" t="str">
        <f>IFERROR(__xludf.DUMMYFUNCTION("""COMPUTED_VALUE"""),"")</f>
        <v/>
      </c>
      <c r="U334" s="136" t="str">
        <f>IFERROR(__xludf.DUMMYFUNCTION("""COMPUTED_VALUE"""),"")</f>
        <v/>
      </c>
      <c r="V334" s="106" t="str">
        <f>IFERROR(__xludf.DUMMYFUNCTION("""COMPUTED_VALUE"""),"")</f>
        <v/>
      </c>
      <c r="W334" s="143" t="str">
        <f t="shared" si="2"/>
        <v/>
      </c>
      <c r="X334" s="139" t="str">
        <f>IFERROR(__xludf.DUMMYFUNCTION("""COMPUTED_VALUE"""),"")</f>
        <v/>
      </c>
      <c r="Y334" s="141" t="str">
        <f>IFERROR(__xludf.DUMMYFUNCTION("""COMPUTED_VALUE"""),"")</f>
        <v/>
      </c>
    </row>
    <row r="335">
      <c r="A335" s="136"/>
      <c r="B335" s="136"/>
      <c r="C335" s="136" t="str">
        <f t="shared" si="3"/>
        <v/>
      </c>
      <c r="D335" s="136"/>
      <c r="E335" s="106">
        <f>IFERROR(__xludf.DUMMYFUNCTION("""COMPUTED_VALUE"""),0.0)</f>
        <v>0</v>
      </c>
      <c r="F335" s="136"/>
      <c r="G335" s="106" t="s">
        <v>133</v>
      </c>
      <c r="H335" s="136">
        <f>IFERROR(__xludf.DUMMYFUNCTION("""COMPUTED_VALUE"""),0.0)</f>
        <v>0</v>
      </c>
      <c r="I335" s="139" t="s">
        <v>133</v>
      </c>
      <c r="J335" s="136" t="s">
        <v>133</v>
      </c>
      <c r="K335" s="136"/>
      <c r="L335" s="136" t="str">
        <f t="shared" si="1"/>
        <v/>
      </c>
      <c r="M335" s="136" t="str">
        <f>IFERROR(__xludf.DUMMYFUNCTION("""COMPUTED_VALUE"""),"")</f>
        <v/>
      </c>
      <c r="N335" s="141" t="s">
        <v>133</v>
      </c>
      <c r="O335" s="136" t="str">
        <f>IFERROR(__xludf.DUMMYFUNCTION("""COMPUTED_VALUE"""),"")</f>
        <v/>
      </c>
      <c r="P335" s="136" t="str">
        <f>IFERROR(__xludf.DUMMYFUNCTION("""COMPUTED_VALUE"""),"")</f>
        <v/>
      </c>
      <c r="Q335" s="106" t="str">
        <f>IFERROR(__xludf.DUMMYFUNCTION("""COMPUTED_VALUE"""),"")</f>
        <v/>
      </c>
      <c r="R335" s="106" t="str">
        <f>IFERROR(__xludf.DUMMYFUNCTION("""COMPUTED_VALUE"""),"")</f>
        <v/>
      </c>
      <c r="S335" s="139" t="str">
        <f>IFERROR(__xludf.DUMMYFUNCTION("""COMPUTED_VALUE"""),"")</f>
        <v/>
      </c>
      <c r="T335" s="139" t="str">
        <f>IFERROR(__xludf.DUMMYFUNCTION("""COMPUTED_VALUE"""),"")</f>
        <v/>
      </c>
      <c r="U335" s="136" t="str">
        <f>IFERROR(__xludf.DUMMYFUNCTION("""COMPUTED_VALUE"""),"")</f>
        <v/>
      </c>
      <c r="V335" s="106" t="str">
        <f>IFERROR(__xludf.DUMMYFUNCTION("""COMPUTED_VALUE"""),"")</f>
        <v/>
      </c>
      <c r="W335" s="143" t="str">
        <f t="shared" si="2"/>
        <v/>
      </c>
      <c r="X335" s="139" t="str">
        <f>IFERROR(__xludf.DUMMYFUNCTION("""COMPUTED_VALUE"""),"")</f>
        <v/>
      </c>
      <c r="Y335" s="141" t="str">
        <f>IFERROR(__xludf.DUMMYFUNCTION("""COMPUTED_VALUE"""),"")</f>
        <v/>
      </c>
    </row>
    <row r="336">
      <c r="A336" s="136"/>
      <c r="B336" s="136"/>
      <c r="C336" s="136" t="str">
        <f t="shared" si="3"/>
        <v/>
      </c>
      <c r="D336" s="136"/>
      <c r="E336" s="106">
        <f>IFERROR(__xludf.DUMMYFUNCTION("""COMPUTED_VALUE"""),0.0)</f>
        <v>0</v>
      </c>
      <c r="F336" s="136"/>
      <c r="G336" s="106" t="s">
        <v>133</v>
      </c>
      <c r="H336" s="136">
        <f>IFERROR(__xludf.DUMMYFUNCTION("""COMPUTED_VALUE"""),0.0)</f>
        <v>0</v>
      </c>
      <c r="I336" s="139" t="s">
        <v>133</v>
      </c>
      <c r="J336" s="136" t="s">
        <v>133</v>
      </c>
      <c r="K336" s="136"/>
      <c r="L336" s="136" t="str">
        <f t="shared" si="1"/>
        <v/>
      </c>
      <c r="M336" s="136" t="str">
        <f>IFERROR(__xludf.DUMMYFUNCTION("""COMPUTED_VALUE"""),"")</f>
        <v/>
      </c>
      <c r="N336" s="141" t="s">
        <v>133</v>
      </c>
      <c r="O336" s="136" t="str">
        <f>IFERROR(__xludf.DUMMYFUNCTION("""COMPUTED_VALUE"""),"")</f>
        <v/>
      </c>
      <c r="P336" s="136" t="str">
        <f>IFERROR(__xludf.DUMMYFUNCTION("""COMPUTED_VALUE"""),"")</f>
        <v/>
      </c>
      <c r="Q336" s="106" t="str">
        <f>IFERROR(__xludf.DUMMYFUNCTION("""COMPUTED_VALUE"""),"")</f>
        <v/>
      </c>
      <c r="R336" s="106" t="str">
        <f>IFERROR(__xludf.DUMMYFUNCTION("""COMPUTED_VALUE"""),"")</f>
        <v/>
      </c>
      <c r="S336" s="139" t="str">
        <f>IFERROR(__xludf.DUMMYFUNCTION("""COMPUTED_VALUE"""),"")</f>
        <v/>
      </c>
      <c r="T336" s="139" t="str">
        <f>IFERROR(__xludf.DUMMYFUNCTION("""COMPUTED_VALUE"""),"")</f>
        <v/>
      </c>
      <c r="U336" s="136" t="str">
        <f>IFERROR(__xludf.DUMMYFUNCTION("""COMPUTED_VALUE"""),"")</f>
        <v/>
      </c>
      <c r="V336" s="106" t="str">
        <f>IFERROR(__xludf.DUMMYFUNCTION("""COMPUTED_VALUE"""),"")</f>
        <v/>
      </c>
      <c r="W336" s="143" t="str">
        <f t="shared" si="2"/>
        <v/>
      </c>
      <c r="X336" s="139" t="str">
        <f>IFERROR(__xludf.DUMMYFUNCTION("""COMPUTED_VALUE"""),"")</f>
        <v/>
      </c>
      <c r="Y336" s="141" t="str">
        <f>IFERROR(__xludf.DUMMYFUNCTION("""COMPUTED_VALUE"""),"")</f>
        <v/>
      </c>
    </row>
    <row r="337">
      <c r="A337" s="136"/>
      <c r="B337" s="136"/>
      <c r="C337" s="136" t="str">
        <f t="shared" si="3"/>
        <v/>
      </c>
      <c r="D337" s="136"/>
      <c r="E337" s="106">
        <f>IFERROR(__xludf.DUMMYFUNCTION("""COMPUTED_VALUE"""),0.0)</f>
        <v>0</v>
      </c>
      <c r="F337" s="136"/>
      <c r="G337" s="106" t="s">
        <v>133</v>
      </c>
      <c r="H337" s="136">
        <f>IFERROR(__xludf.DUMMYFUNCTION("""COMPUTED_VALUE"""),0.0)</f>
        <v>0</v>
      </c>
      <c r="I337" s="139" t="s">
        <v>133</v>
      </c>
      <c r="J337" s="136" t="s">
        <v>133</v>
      </c>
      <c r="K337" s="136"/>
      <c r="L337" s="136" t="str">
        <f t="shared" si="1"/>
        <v/>
      </c>
      <c r="M337" s="136" t="str">
        <f>IFERROR(__xludf.DUMMYFUNCTION("""COMPUTED_VALUE"""),"")</f>
        <v/>
      </c>
      <c r="N337" s="141" t="s">
        <v>133</v>
      </c>
      <c r="O337" s="136" t="str">
        <f>IFERROR(__xludf.DUMMYFUNCTION("""COMPUTED_VALUE"""),"")</f>
        <v/>
      </c>
      <c r="P337" s="136" t="str">
        <f>IFERROR(__xludf.DUMMYFUNCTION("""COMPUTED_VALUE"""),"")</f>
        <v/>
      </c>
      <c r="Q337" s="106" t="str">
        <f>IFERROR(__xludf.DUMMYFUNCTION("""COMPUTED_VALUE"""),"")</f>
        <v/>
      </c>
      <c r="R337" s="106" t="str">
        <f>IFERROR(__xludf.DUMMYFUNCTION("""COMPUTED_VALUE"""),"")</f>
        <v/>
      </c>
      <c r="S337" s="139" t="str">
        <f>IFERROR(__xludf.DUMMYFUNCTION("""COMPUTED_VALUE"""),"")</f>
        <v/>
      </c>
      <c r="T337" s="139" t="str">
        <f>IFERROR(__xludf.DUMMYFUNCTION("""COMPUTED_VALUE"""),"")</f>
        <v/>
      </c>
      <c r="U337" s="136" t="str">
        <f>IFERROR(__xludf.DUMMYFUNCTION("""COMPUTED_VALUE"""),"")</f>
        <v/>
      </c>
      <c r="V337" s="106" t="str">
        <f>IFERROR(__xludf.DUMMYFUNCTION("""COMPUTED_VALUE"""),"")</f>
        <v/>
      </c>
      <c r="W337" s="143" t="str">
        <f t="shared" si="2"/>
        <v/>
      </c>
      <c r="X337" s="139" t="str">
        <f>IFERROR(__xludf.DUMMYFUNCTION("""COMPUTED_VALUE"""),"")</f>
        <v/>
      </c>
      <c r="Y337" s="141" t="str">
        <f>IFERROR(__xludf.DUMMYFUNCTION("""COMPUTED_VALUE"""),"")</f>
        <v/>
      </c>
    </row>
    <row r="338">
      <c r="A338" s="136"/>
      <c r="B338" s="136"/>
      <c r="C338" s="136" t="str">
        <f t="shared" si="3"/>
        <v/>
      </c>
      <c r="D338" s="136"/>
      <c r="E338" s="106">
        <f>IFERROR(__xludf.DUMMYFUNCTION("""COMPUTED_VALUE"""),0.0)</f>
        <v>0</v>
      </c>
      <c r="F338" s="136"/>
      <c r="G338" s="106" t="s">
        <v>133</v>
      </c>
      <c r="H338" s="136">
        <f>IFERROR(__xludf.DUMMYFUNCTION("""COMPUTED_VALUE"""),0.0)</f>
        <v>0</v>
      </c>
      <c r="I338" s="139" t="s">
        <v>133</v>
      </c>
      <c r="J338" s="136" t="s">
        <v>133</v>
      </c>
      <c r="K338" s="136"/>
      <c r="L338" s="136" t="str">
        <f t="shared" si="1"/>
        <v/>
      </c>
      <c r="M338" s="136" t="str">
        <f>IFERROR(__xludf.DUMMYFUNCTION("""COMPUTED_VALUE"""),"")</f>
        <v/>
      </c>
      <c r="N338" s="141" t="s">
        <v>133</v>
      </c>
      <c r="O338" s="136" t="str">
        <f>IFERROR(__xludf.DUMMYFUNCTION("""COMPUTED_VALUE"""),"")</f>
        <v/>
      </c>
      <c r="P338" s="136" t="str">
        <f>IFERROR(__xludf.DUMMYFUNCTION("""COMPUTED_VALUE"""),"")</f>
        <v/>
      </c>
      <c r="Q338" s="106" t="str">
        <f>IFERROR(__xludf.DUMMYFUNCTION("""COMPUTED_VALUE"""),"")</f>
        <v/>
      </c>
      <c r="R338" s="106" t="str">
        <f>IFERROR(__xludf.DUMMYFUNCTION("""COMPUTED_VALUE"""),"")</f>
        <v/>
      </c>
      <c r="S338" s="139" t="str">
        <f>IFERROR(__xludf.DUMMYFUNCTION("""COMPUTED_VALUE"""),"")</f>
        <v/>
      </c>
      <c r="T338" s="139" t="str">
        <f>IFERROR(__xludf.DUMMYFUNCTION("""COMPUTED_VALUE"""),"")</f>
        <v/>
      </c>
      <c r="U338" s="136" t="str">
        <f>IFERROR(__xludf.DUMMYFUNCTION("""COMPUTED_VALUE"""),"")</f>
        <v/>
      </c>
      <c r="V338" s="106" t="str">
        <f>IFERROR(__xludf.DUMMYFUNCTION("""COMPUTED_VALUE"""),"")</f>
        <v/>
      </c>
      <c r="W338" s="143" t="str">
        <f t="shared" si="2"/>
        <v/>
      </c>
      <c r="X338" s="139" t="str">
        <f>IFERROR(__xludf.DUMMYFUNCTION("""COMPUTED_VALUE"""),"")</f>
        <v/>
      </c>
      <c r="Y338" s="141" t="str">
        <f>IFERROR(__xludf.DUMMYFUNCTION("""COMPUTED_VALUE"""),"")</f>
        <v/>
      </c>
    </row>
    <row r="339">
      <c r="A339" s="136"/>
      <c r="B339" s="136"/>
      <c r="C339" s="136" t="str">
        <f t="shared" si="3"/>
        <v/>
      </c>
      <c r="D339" s="136"/>
      <c r="E339" s="106">
        <f>IFERROR(__xludf.DUMMYFUNCTION("""COMPUTED_VALUE"""),0.0)</f>
        <v>0</v>
      </c>
      <c r="F339" s="136"/>
      <c r="G339" s="106" t="s">
        <v>133</v>
      </c>
      <c r="H339" s="136">
        <f>IFERROR(__xludf.DUMMYFUNCTION("""COMPUTED_VALUE"""),0.0)</f>
        <v>0</v>
      </c>
      <c r="I339" s="139" t="s">
        <v>133</v>
      </c>
      <c r="J339" s="136" t="s">
        <v>133</v>
      </c>
      <c r="K339" s="136"/>
      <c r="L339" s="136" t="str">
        <f t="shared" si="1"/>
        <v/>
      </c>
      <c r="M339" s="136" t="str">
        <f>IFERROR(__xludf.DUMMYFUNCTION("""COMPUTED_VALUE"""),"")</f>
        <v/>
      </c>
      <c r="N339" s="141" t="s">
        <v>133</v>
      </c>
      <c r="O339" s="136" t="str">
        <f>IFERROR(__xludf.DUMMYFUNCTION("""COMPUTED_VALUE"""),"")</f>
        <v/>
      </c>
      <c r="P339" s="136" t="str">
        <f>IFERROR(__xludf.DUMMYFUNCTION("""COMPUTED_VALUE"""),"")</f>
        <v/>
      </c>
      <c r="Q339" s="106" t="str">
        <f>IFERROR(__xludf.DUMMYFUNCTION("""COMPUTED_VALUE"""),"")</f>
        <v/>
      </c>
      <c r="R339" s="106" t="str">
        <f>IFERROR(__xludf.DUMMYFUNCTION("""COMPUTED_VALUE"""),"")</f>
        <v/>
      </c>
      <c r="S339" s="139" t="str">
        <f>IFERROR(__xludf.DUMMYFUNCTION("""COMPUTED_VALUE"""),"")</f>
        <v/>
      </c>
      <c r="T339" s="139" t="str">
        <f>IFERROR(__xludf.DUMMYFUNCTION("""COMPUTED_VALUE"""),"")</f>
        <v/>
      </c>
      <c r="U339" s="136" t="str">
        <f>IFERROR(__xludf.DUMMYFUNCTION("""COMPUTED_VALUE"""),"")</f>
        <v/>
      </c>
      <c r="V339" s="106" t="str">
        <f>IFERROR(__xludf.DUMMYFUNCTION("""COMPUTED_VALUE"""),"")</f>
        <v/>
      </c>
      <c r="W339" s="143" t="str">
        <f t="shared" si="2"/>
        <v/>
      </c>
      <c r="X339" s="139" t="str">
        <f>IFERROR(__xludf.DUMMYFUNCTION("""COMPUTED_VALUE"""),"")</f>
        <v/>
      </c>
      <c r="Y339" s="141" t="str">
        <f>IFERROR(__xludf.DUMMYFUNCTION("""COMPUTED_VALUE"""),"")</f>
        <v/>
      </c>
    </row>
    <row r="340">
      <c r="A340" s="136"/>
      <c r="B340" s="136"/>
      <c r="C340" s="136" t="str">
        <f t="shared" si="3"/>
        <v/>
      </c>
      <c r="D340" s="136"/>
      <c r="E340" s="106">
        <f>IFERROR(__xludf.DUMMYFUNCTION("""COMPUTED_VALUE"""),0.0)</f>
        <v>0</v>
      </c>
      <c r="F340" s="136"/>
      <c r="G340" s="106" t="s">
        <v>133</v>
      </c>
      <c r="H340" s="136">
        <f>IFERROR(__xludf.DUMMYFUNCTION("""COMPUTED_VALUE"""),0.0)</f>
        <v>0</v>
      </c>
      <c r="I340" s="139" t="s">
        <v>133</v>
      </c>
      <c r="J340" s="136" t="s">
        <v>133</v>
      </c>
      <c r="K340" s="136"/>
      <c r="L340" s="136" t="str">
        <f t="shared" si="1"/>
        <v/>
      </c>
      <c r="M340" s="136" t="str">
        <f>IFERROR(__xludf.DUMMYFUNCTION("""COMPUTED_VALUE"""),"")</f>
        <v/>
      </c>
      <c r="N340" s="141" t="s">
        <v>133</v>
      </c>
      <c r="O340" s="136" t="str">
        <f>IFERROR(__xludf.DUMMYFUNCTION("""COMPUTED_VALUE"""),"")</f>
        <v/>
      </c>
      <c r="P340" s="136" t="str">
        <f>IFERROR(__xludf.DUMMYFUNCTION("""COMPUTED_VALUE"""),"")</f>
        <v/>
      </c>
      <c r="Q340" s="106" t="str">
        <f>IFERROR(__xludf.DUMMYFUNCTION("""COMPUTED_VALUE"""),"")</f>
        <v/>
      </c>
      <c r="R340" s="106" t="str">
        <f>IFERROR(__xludf.DUMMYFUNCTION("""COMPUTED_VALUE"""),"")</f>
        <v/>
      </c>
      <c r="S340" s="139" t="str">
        <f>IFERROR(__xludf.DUMMYFUNCTION("""COMPUTED_VALUE"""),"")</f>
        <v/>
      </c>
      <c r="T340" s="139" t="str">
        <f>IFERROR(__xludf.DUMMYFUNCTION("""COMPUTED_VALUE"""),"")</f>
        <v/>
      </c>
      <c r="U340" s="136" t="str">
        <f>IFERROR(__xludf.DUMMYFUNCTION("""COMPUTED_VALUE"""),"")</f>
        <v/>
      </c>
      <c r="V340" s="106" t="str">
        <f>IFERROR(__xludf.DUMMYFUNCTION("""COMPUTED_VALUE"""),"")</f>
        <v/>
      </c>
      <c r="W340" s="143" t="str">
        <f t="shared" si="2"/>
        <v/>
      </c>
      <c r="X340" s="139" t="str">
        <f>IFERROR(__xludf.DUMMYFUNCTION("""COMPUTED_VALUE"""),"")</f>
        <v/>
      </c>
      <c r="Y340" s="141" t="str">
        <f>IFERROR(__xludf.DUMMYFUNCTION("""COMPUTED_VALUE"""),"")</f>
        <v/>
      </c>
    </row>
    <row r="341">
      <c r="A341" s="136"/>
      <c r="B341" s="136"/>
      <c r="C341" s="136" t="str">
        <f t="shared" si="3"/>
        <v/>
      </c>
      <c r="D341" s="136"/>
      <c r="E341" s="106">
        <f>IFERROR(__xludf.DUMMYFUNCTION("""COMPUTED_VALUE"""),0.0)</f>
        <v>0</v>
      </c>
      <c r="F341" s="136"/>
      <c r="G341" s="106" t="s">
        <v>133</v>
      </c>
      <c r="H341" s="136">
        <f>IFERROR(__xludf.DUMMYFUNCTION("""COMPUTED_VALUE"""),0.0)</f>
        <v>0</v>
      </c>
      <c r="I341" s="139" t="s">
        <v>133</v>
      </c>
      <c r="J341" s="136" t="s">
        <v>133</v>
      </c>
      <c r="K341" s="136"/>
      <c r="L341" s="136" t="str">
        <f t="shared" si="1"/>
        <v/>
      </c>
      <c r="M341" s="136" t="str">
        <f>IFERROR(__xludf.DUMMYFUNCTION("""COMPUTED_VALUE"""),"")</f>
        <v/>
      </c>
      <c r="N341" s="141" t="s">
        <v>133</v>
      </c>
      <c r="O341" s="136" t="str">
        <f>IFERROR(__xludf.DUMMYFUNCTION("""COMPUTED_VALUE"""),"")</f>
        <v/>
      </c>
      <c r="P341" s="136" t="str">
        <f>IFERROR(__xludf.DUMMYFUNCTION("""COMPUTED_VALUE"""),"")</f>
        <v/>
      </c>
      <c r="Q341" s="106" t="str">
        <f>IFERROR(__xludf.DUMMYFUNCTION("""COMPUTED_VALUE"""),"")</f>
        <v/>
      </c>
      <c r="R341" s="106" t="str">
        <f>IFERROR(__xludf.DUMMYFUNCTION("""COMPUTED_VALUE"""),"")</f>
        <v/>
      </c>
      <c r="S341" s="139" t="str">
        <f>IFERROR(__xludf.DUMMYFUNCTION("""COMPUTED_VALUE"""),"")</f>
        <v/>
      </c>
      <c r="T341" s="139" t="str">
        <f>IFERROR(__xludf.DUMMYFUNCTION("""COMPUTED_VALUE"""),"")</f>
        <v/>
      </c>
      <c r="U341" s="136" t="str">
        <f>IFERROR(__xludf.DUMMYFUNCTION("""COMPUTED_VALUE"""),"")</f>
        <v/>
      </c>
      <c r="V341" s="106" t="str">
        <f>IFERROR(__xludf.DUMMYFUNCTION("""COMPUTED_VALUE"""),"")</f>
        <v/>
      </c>
      <c r="W341" s="143" t="str">
        <f t="shared" si="2"/>
        <v/>
      </c>
      <c r="X341" s="139" t="str">
        <f>IFERROR(__xludf.DUMMYFUNCTION("""COMPUTED_VALUE"""),"")</f>
        <v/>
      </c>
      <c r="Y341" s="141" t="str">
        <f>IFERROR(__xludf.DUMMYFUNCTION("""COMPUTED_VALUE"""),"")</f>
        <v/>
      </c>
    </row>
    <row r="342">
      <c r="A342" s="136"/>
      <c r="B342" s="136"/>
      <c r="C342" s="136" t="str">
        <f t="shared" si="3"/>
        <v/>
      </c>
      <c r="D342" s="136"/>
      <c r="E342" s="106">
        <f>IFERROR(__xludf.DUMMYFUNCTION("""COMPUTED_VALUE"""),0.0)</f>
        <v>0</v>
      </c>
      <c r="F342" s="136"/>
      <c r="G342" s="106" t="s">
        <v>133</v>
      </c>
      <c r="H342" s="136">
        <f>IFERROR(__xludf.DUMMYFUNCTION("""COMPUTED_VALUE"""),0.0)</f>
        <v>0</v>
      </c>
      <c r="I342" s="139" t="s">
        <v>133</v>
      </c>
      <c r="J342" s="136" t="s">
        <v>133</v>
      </c>
      <c r="K342" s="136"/>
      <c r="L342" s="136" t="str">
        <f t="shared" si="1"/>
        <v/>
      </c>
      <c r="M342" s="136" t="str">
        <f>IFERROR(__xludf.DUMMYFUNCTION("""COMPUTED_VALUE"""),"")</f>
        <v/>
      </c>
      <c r="N342" s="141" t="s">
        <v>133</v>
      </c>
      <c r="O342" s="136" t="str">
        <f>IFERROR(__xludf.DUMMYFUNCTION("""COMPUTED_VALUE"""),"")</f>
        <v/>
      </c>
      <c r="P342" s="136" t="str">
        <f>IFERROR(__xludf.DUMMYFUNCTION("""COMPUTED_VALUE"""),"")</f>
        <v/>
      </c>
      <c r="Q342" s="106" t="str">
        <f>IFERROR(__xludf.DUMMYFUNCTION("""COMPUTED_VALUE"""),"")</f>
        <v/>
      </c>
      <c r="R342" s="106" t="str">
        <f>IFERROR(__xludf.DUMMYFUNCTION("""COMPUTED_VALUE"""),"")</f>
        <v/>
      </c>
      <c r="S342" s="139" t="str">
        <f>IFERROR(__xludf.DUMMYFUNCTION("""COMPUTED_VALUE"""),"")</f>
        <v/>
      </c>
      <c r="T342" s="139" t="str">
        <f>IFERROR(__xludf.DUMMYFUNCTION("""COMPUTED_VALUE"""),"")</f>
        <v/>
      </c>
      <c r="U342" s="136" t="str">
        <f>IFERROR(__xludf.DUMMYFUNCTION("""COMPUTED_VALUE"""),"")</f>
        <v/>
      </c>
      <c r="V342" s="106" t="str">
        <f>IFERROR(__xludf.DUMMYFUNCTION("""COMPUTED_VALUE"""),"")</f>
        <v/>
      </c>
      <c r="W342" s="143" t="str">
        <f t="shared" si="2"/>
        <v/>
      </c>
      <c r="X342" s="139" t="str">
        <f>IFERROR(__xludf.DUMMYFUNCTION("""COMPUTED_VALUE"""),"")</f>
        <v/>
      </c>
      <c r="Y342" s="141" t="str">
        <f>IFERROR(__xludf.DUMMYFUNCTION("""COMPUTED_VALUE"""),"")</f>
        <v/>
      </c>
    </row>
    <row r="343">
      <c r="A343" s="136"/>
      <c r="B343" s="136"/>
      <c r="C343" s="136" t="str">
        <f t="shared" si="3"/>
        <v/>
      </c>
      <c r="D343" s="136"/>
      <c r="E343" s="106">
        <f>IFERROR(__xludf.DUMMYFUNCTION("""COMPUTED_VALUE"""),0.0)</f>
        <v>0</v>
      </c>
      <c r="F343" s="136"/>
      <c r="G343" s="106" t="s">
        <v>133</v>
      </c>
      <c r="H343" s="136">
        <f>IFERROR(__xludf.DUMMYFUNCTION("""COMPUTED_VALUE"""),0.0)</f>
        <v>0</v>
      </c>
      <c r="I343" s="139" t="s">
        <v>133</v>
      </c>
      <c r="J343" s="136" t="s">
        <v>133</v>
      </c>
      <c r="K343" s="136"/>
      <c r="L343" s="136" t="str">
        <f t="shared" si="1"/>
        <v/>
      </c>
      <c r="M343" s="136" t="str">
        <f>IFERROR(__xludf.DUMMYFUNCTION("""COMPUTED_VALUE"""),"")</f>
        <v/>
      </c>
      <c r="N343" s="141" t="s">
        <v>133</v>
      </c>
      <c r="O343" s="136" t="str">
        <f>IFERROR(__xludf.DUMMYFUNCTION("""COMPUTED_VALUE"""),"")</f>
        <v/>
      </c>
      <c r="P343" s="136" t="str">
        <f>IFERROR(__xludf.DUMMYFUNCTION("""COMPUTED_VALUE"""),"")</f>
        <v/>
      </c>
      <c r="Q343" s="106" t="str">
        <f>IFERROR(__xludf.DUMMYFUNCTION("""COMPUTED_VALUE"""),"")</f>
        <v/>
      </c>
      <c r="R343" s="106" t="str">
        <f>IFERROR(__xludf.DUMMYFUNCTION("""COMPUTED_VALUE"""),"")</f>
        <v/>
      </c>
      <c r="S343" s="139" t="str">
        <f>IFERROR(__xludf.DUMMYFUNCTION("""COMPUTED_VALUE"""),"")</f>
        <v/>
      </c>
      <c r="T343" s="139" t="str">
        <f>IFERROR(__xludf.DUMMYFUNCTION("""COMPUTED_VALUE"""),"")</f>
        <v/>
      </c>
      <c r="U343" s="136" t="str">
        <f>IFERROR(__xludf.DUMMYFUNCTION("""COMPUTED_VALUE"""),"")</f>
        <v/>
      </c>
      <c r="V343" s="106" t="str">
        <f>IFERROR(__xludf.DUMMYFUNCTION("""COMPUTED_VALUE"""),"")</f>
        <v/>
      </c>
      <c r="W343" s="143" t="str">
        <f t="shared" si="2"/>
        <v/>
      </c>
      <c r="X343" s="139" t="str">
        <f>IFERROR(__xludf.DUMMYFUNCTION("""COMPUTED_VALUE"""),"")</f>
        <v/>
      </c>
      <c r="Y343" s="141" t="str">
        <f>IFERROR(__xludf.DUMMYFUNCTION("""COMPUTED_VALUE"""),"")</f>
        <v/>
      </c>
    </row>
    <row r="344">
      <c r="A344" s="136"/>
      <c r="B344" s="136"/>
      <c r="C344" s="136" t="str">
        <f t="shared" si="3"/>
        <v/>
      </c>
      <c r="D344" s="136"/>
      <c r="E344" s="106">
        <f>IFERROR(__xludf.DUMMYFUNCTION("""COMPUTED_VALUE"""),0.0)</f>
        <v>0</v>
      </c>
      <c r="F344" s="136"/>
      <c r="G344" s="106" t="s">
        <v>133</v>
      </c>
      <c r="H344" s="136">
        <f>IFERROR(__xludf.DUMMYFUNCTION("""COMPUTED_VALUE"""),0.0)</f>
        <v>0</v>
      </c>
      <c r="I344" s="139" t="s">
        <v>133</v>
      </c>
      <c r="J344" s="136" t="s">
        <v>133</v>
      </c>
      <c r="K344" s="136"/>
      <c r="L344" s="136" t="str">
        <f t="shared" si="1"/>
        <v/>
      </c>
      <c r="M344" s="136" t="str">
        <f>IFERROR(__xludf.DUMMYFUNCTION("""COMPUTED_VALUE"""),"")</f>
        <v/>
      </c>
      <c r="N344" s="141" t="s">
        <v>133</v>
      </c>
      <c r="O344" s="136" t="str">
        <f>IFERROR(__xludf.DUMMYFUNCTION("""COMPUTED_VALUE"""),"")</f>
        <v/>
      </c>
      <c r="P344" s="136" t="str">
        <f>IFERROR(__xludf.DUMMYFUNCTION("""COMPUTED_VALUE"""),"")</f>
        <v/>
      </c>
      <c r="Q344" s="106" t="str">
        <f>IFERROR(__xludf.DUMMYFUNCTION("""COMPUTED_VALUE"""),"")</f>
        <v/>
      </c>
      <c r="R344" s="106" t="str">
        <f>IFERROR(__xludf.DUMMYFUNCTION("""COMPUTED_VALUE"""),"")</f>
        <v/>
      </c>
      <c r="S344" s="139" t="str">
        <f>IFERROR(__xludf.DUMMYFUNCTION("""COMPUTED_VALUE"""),"")</f>
        <v/>
      </c>
      <c r="T344" s="139" t="str">
        <f>IFERROR(__xludf.DUMMYFUNCTION("""COMPUTED_VALUE"""),"")</f>
        <v/>
      </c>
      <c r="U344" s="136" t="str">
        <f>IFERROR(__xludf.DUMMYFUNCTION("""COMPUTED_VALUE"""),"")</f>
        <v/>
      </c>
      <c r="V344" s="106" t="str">
        <f>IFERROR(__xludf.DUMMYFUNCTION("""COMPUTED_VALUE"""),"")</f>
        <v/>
      </c>
      <c r="W344" s="143" t="str">
        <f t="shared" si="2"/>
        <v/>
      </c>
      <c r="X344" s="139" t="str">
        <f>IFERROR(__xludf.DUMMYFUNCTION("""COMPUTED_VALUE"""),"")</f>
        <v/>
      </c>
      <c r="Y344" s="141" t="str">
        <f>IFERROR(__xludf.DUMMYFUNCTION("""COMPUTED_VALUE"""),"")</f>
        <v/>
      </c>
    </row>
    <row r="345">
      <c r="A345" s="136"/>
      <c r="B345" s="136"/>
      <c r="C345" s="136" t="str">
        <f t="shared" si="3"/>
        <v/>
      </c>
      <c r="D345" s="136"/>
      <c r="E345" s="106">
        <f>IFERROR(__xludf.DUMMYFUNCTION("""COMPUTED_VALUE"""),0.0)</f>
        <v>0</v>
      </c>
      <c r="F345" s="136"/>
      <c r="G345" s="106" t="s">
        <v>133</v>
      </c>
      <c r="H345" s="136">
        <f>IFERROR(__xludf.DUMMYFUNCTION("""COMPUTED_VALUE"""),0.0)</f>
        <v>0</v>
      </c>
      <c r="I345" s="139" t="s">
        <v>133</v>
      </c>
      <c r="J345" s="136" t="s">
        <v>133</v>
      </c>
      <c r="K345" s="136"/>
      <c r="L345" s="136" t="str">
        <f t="shared" si="1"/>
        <v/>
      </c>
      <c r="M345" s="136" t="str">
        <f>IFERROR(__xludf.DUMMYFUNCTION("""COMPUTED_VALUE"""),"")</f>
        <v/>
      </c>
      <c r="N345" s="141" t="s">
        <v>133</v>
      </c>
      <c r="O345" s="136" t="str">
        <f>IFERROR(__xludf.DUMMYFUNCTION("""COMPUTED_VALUE"""),"")</f>
        <v/>
      </c>
      <c r="P345" s="136" t="str">
        <f>IFERROR(__xludf.DUMMYFUNCTION("""COMPUTED_VALUE"""),"")</f>
        <v/>
      </c>
      <c r="Q345" s="106" t="str">
        <f>IFERROR(__xludf.DUMMYFUNCTION("""COMPUTED_VALUE"""),"")</f>
        <v/>
      </c>
      <c r="R345" s="106" t="str">
        <f>IFERROR(__xludf.DUMMYFUNCTION("""COMPUTED_VALUE"""),"")</f>
        <v/>
      </c>
      <c r="S345" s="139" t="str">
        <f>IFERROR(__xludf.DUMMYFUNCTION("""COMPUTED_VALUE"""),"")</f>
        <v/>
      </c>
      <c r="T345" s="139" t="str">
        <f>IFERROR(__xludf.DUMMYFUNCTION("""COMPUTED_VALUE"""),"")</f>
        <v/>
      </c>
      <c r="U345" s="136" t="str">
        <f>IFERROR(__xludf.DUMMYFUNCTION("""COMPUTED_VALUE"""),"")</f>
        <v/>
      </c>
      <c r="V345" s="106" t="str">
        <f>IFERROR(__xludf.DUMMYFUNCTION("""COMPUTED_VALUE"""),"")</f>
        <v/>
      </c>
      <c r="W345" s="143" t="str">
        <f t="shared" si="2"/>
        <v/>
      </c>
      <c r="X345" s="139" t="str">
        <f>IFERROR(__xludf.DUMMYFUNCTION("""COMPUTED_VALUE"""),"")</f>
        <v/>
      </c>
      <c r="Y345" s="141" t="str">
        <f>IFERROR(__xludf.DUMMYFUNCTION("""COMPUTED_VALUE"""),"")</f>
        <v/>
      </c>
    </row>
    <row r="346">
      <c r="A346" s="136"/>
      <c r="B346" s="136"/>
      <c r="C346" s="136" t="str">
        <f t="shared" si="3"/>
        <v/>
      </c>
      <c r="D346" s="136"/>
      <c r="E346" s="106">
        <f>IFERROR(__xludf.DUMMYFUNCTION("""COMPUTED_VALUE"""),0.0)</f>
        <v>0</v>
      </c>
      <c r="F346" s="136"/>
      <c r="G346" s="106" t="s">
        <v>133</v>
      </c>
      <c r="H346" s="136">
        <f>IFERROR(__xludf.DUMMYFUNCTION("""COMPUTED_VALUE"""),0.0)</f>
        <v>0</v>
      </c>
      <c r="I346" s="139" t="s">
        <v>133</v>
      </c>
      <c r="J346" s="136" t="s">
        <v>133</v>
      </c>
      <c r="K346" s="136"/>
      <c r="L346" s="136" t="str">
        <f t="shared" si="1"/>
        <v/>
      </c>
      <c r="M346" s="136" t="str">
        <f>IFERROR(__xludf.DUMMYFUNCTION("""COMPUTED_VALUE"""),"")</f>
        <v/>
      </c>
      <c r="N346" s="141" t="s">
        <v>133</v>
      </c>
      <c r="O346" s="136" t="str">
        <f>IFERROR(__xludf.DUMMYFUNCTION("""COMPUTED_VALUE"""),"")</f>
        <v/>
      </c>
      <c r="P346" s="136" t="str">
        <f>IFERROR(__xludf.DUMMYFUNCTION("""COMPUTED_VALUE"""),"")</f>
        <v/>
      </c>
      <c r="Q346" s="106" t="str">
        <f>IFERROR(__xludf.DUMMYFUNCTION("""COMPUTED_VALUE"""),"")</f>
        <v/>
      </c>
      <c r="R346" s="106" t="str">
        <f>IFERROR(__xludf.DUMMYFUNCTION("""COMPUTED_VALUE"""),"")</f>
        <v/>
      </c>
      <c r="S346" s="139" t="str">
        <f>IFERROR(__xludf.DUMMYFUNCTION("""COMPUTED_VALUE"""),"")</f>
        <v/>
      </c>
      <c r="T346" s="139" t="str">
        <f>IFERROR(__xludf.DUMMYFUNCTION("""COMPUTED_VALUE"""),"")</f>
        <v/>
      </c>
      <c r="U346" s="136" t="str">
        <f>IFERROR(__xludf.DUMMYFUNCTION("""COMPUTED_VALUE"""),"")</f>
        <v/>
      </c>
      <c r="V346" s="106" t="str">
        <f>IFERROR(__xludf.DUMMYFUNCTION("""COMPUTED_VALUE"""),"")</f>
        <v/>
      </c>
      <c r="W346" s="143" t="str">
        <f t="shared" si="2"/>
        <v/>
      </c>
      <c r="X346" s="139" t="str">
        <f>IFERROR(__xludf.DUMMYFUNCTION("""COMPUTED_VALUE"""),"")</f>
        <v/>
      </c>
      <c r="Y346" s="141" t="str">
        <f>IFERROR(__xludf.DUMMYFUNCTION("""COMPUTED_VALUE"""),"")</f>
        <v/>
      </c>
    </row>
    <row r="347">
      <c r="A347" s="136"/>
      <c r="B347" s="136"/>
      <c r="C347" s="136" t="str">
        <f t="shared" si="3"/>
        <v/>
      </c>
      <c r="D347" s="136"/>
      <c r="E347" s="106">
        <f>IFERROR(__xludf.DUMMYFUNCTION("""COMPUTED_VALUE"""),0.0)</f>
        <v>0</v>
      </c>
      <c r="F347" s="136"/>
      <c r="G347" s="106" t="s">
        <v>133</v>
      </c>
      <c r="H347" s="136">
        <f>IFERROR(__xludf.DUMMYFUNCTION("""COMPUTED_VALUE"""),0.0)</f>
        <v>0</v>
      </c>
      <c r="I347" s="139" t="s">
        <v>133</v>
      </c>
      <c r="J347" s="136" t="s">
        <v>133</v>
      </c>
      <c r="K347" s="136"/>
      <c r="L347" s="136" t="str">
        <f t="shared" si="1"/>
        <v/>
      </c>
      <c r="M347" s="136" t="str">
        <f>IFERROR(__xludf.DUMMYFUNCTION("""COMPUTED_VALUE"""),"")</f>
        <v/>
      </c>
      <c r="N347" s="141" t="s">
        <v>133</v>
      </c>
      <c r="O347" s="136" t="str">
        <f>IFERROR(__xludf.DUMMYFUNCTION("""COMPUTED_VALUE"""),"")</f>
        <v/>
      </c>
      <c r="P347" s="136" t="str">
        <f>IFERROR(__xludf.DUMMYFUNCTION("""COMPUTED_VALUE"""),"")</f>
        <v/>
      </c>
      <c r="Q347" s="106" t="str">
        <f>IFERROR(__xludf.DUMMYFUNCTION("""COMPUTED_VALUE"""),"")</f>
        <v/>
      </c>
      <c r="R347" s="106" t="str">
        <f>IFERROR(__xludf.DUMMYFUNCTION("""COMPUTED_VALUE"""),"")</f>
        <v/>
      </c>
      <c r="S347" s="139" t="str">
        <f>IFERROR(__xludf.DUMMYFUNCTION("""COMPUTED_VALUE"""),"")</f>
        <v/>
      </c>
      <c r="T347" s="139" t="str">
        <f>IFERROR(__xludf.DUMMYFUNCTION("""COMPUTED_VALUE"""),"")</f>
        <v/>
      </c>
      <c r="U347" s="136" t="str">
        <f>IFERROR(__xludf.DUMMYFUNCTION("""COMPUTED_VALUE"""),"")</f>
        <v/>
      </c>
      <c r="V347" s="106" t="str">
        <f>IFERROR(__xludf.DUMMYFUNCTION("""COMPUTED_VALUE"""),"")</f>
        <v/>
      </c>
      <c r="W347" s="143" t="str">
        <f t="shared" si="2"/>
        <v/>
      </c>
      <c r="X347" s="139" t="str">
        <f>IFERROR(__xludf.DUMMYFUNCTION("""COMPUTED_VALUE"""),"")</f>
        <v/>
      </c>
      <c r="Y347" s="141" t="str">
        <f>IFERROR(__xludf.DUMMYFUNCTION("""COMPUTED_VALUE"""),"")</f>
        <v/>
      </c>
    </row>
    <row r="348">
      <c r="A348" s="136"/>
      <c r="B348" s="136"/>
      <c r="C348" s="136" t="str">
        <f t="shared" si="3"/>
        <v/>
      </c>
      <c r="D348" s="136"/>
      <c r="E348" s="106">
        <f>IFERROR(__xludf.DUMMYFUNCTION("""COMPUTED_VALUE"""),0.0)</f>
        <v>0</v>
      </c>
      <c r="F348" s="136"/>
      <c r="G348" s="106" t="s">
        <v>133</v>
      </c>
      <c r="H348" s="136">
        <f>IFERROR(__xludf.DUMMYFUNCTION("""COMPUTED_VALUE"""),0.0)</f>
        <v>0</v>
      </c>
      <c r="I348" s="139" t="s">
        <v>133</v>
      </c>
      <c r="J348" s="136" t="s">
        <v>133</v>
      </c>
      <c r="K348" s="136"/>
      <c r="L348" s="136" t="str">
        <f t="shared" si="1"/>
        <v/>
      </c>
      <c r="M348" s="136" t="str">
        <f>IFERROR(__xludf.DUMMYFUNCTION("""COMPUTED_VALUE"""),"")</f>
        <v/>
      </c>
      <c r="N348" s="141" t="s">
        <v>133</v>
      </c>
      <c r="O348" s="136" t="str">
        <f>IFERROR(__xludf.DUMMYFUNCTION("""COMPUTED_VALUE"""),"")</f>
        <v/>
      </c>
      <c r="P348" s="136" t="str">
        <f>IFERROR(__xludf.DUMMYFUNCTION("""COMPUTED_VALUE"""),"")</f>
        <v/>
      </c>
      <c r="Q348" s="106" t="str">
        <f>IFERROR(__xludf.DUMMYFUNCTION("""COMPUTED_VALUE"""),"")</f>
        <v/>
      </c>
      <c r="R348" s="106" t="str">
        <f>IFERROR(__xludf.DUMMYFUNCTION("""COMPUTED_VALUE"""),"")</f>
        <v/>
      </c>
      <c r="S348" s="139" t="str">
        <f>IFERROR(__xludf.DUMMYFUNCTION("""COMPUTED_VALUE"""),"")</f>
        <v/>
      </c>
      <c r="T348" s="139" t="str">
        <f>IFERROR(__xludf.DUMMYFUNCTION("""COMPUTED_VALUE"""),"")</f>
        <v/>
      </c>
      <c r="U348" s="136" t="str">
        <f>IFERROR(__xludf.DUMMYFUNCTION("""COMPUTED_VALUE"""),"")</f>
        <v/>
      </c>
      <c r="V348" s="106" t="str">
        <f>IFERROR(__xludf.DUMMYFUNCTION("""COMPUTED_VALUE"""),"")</f>
        <v/>
      </c>
      <c r="W348" s="143" t="str">
        <f t="shared" si="2"/>
        <v/>
      </c>
      <c r="X348" s="139" t="str">
        <f>IFERROR(__xludf.DUMMYFUNCTION("""COMPUTED_VALUE"""),"")</f>
        <v/>
      </c>
      <c r="Y348" s="141" t="str">
        <f>IFERROR(__xludf.DUMMYFUNCTION("""COMPUTED_VALUE"""),"")</f>
        <v/>
      </c>
    </row>
    <row r="349">
      <c r="A349" s="136"/>
      <c r="B349" s="136"/>
      <c r="C349" s="136" t="str">
        <f t="shared" si="3"/>
        <v/>
      </c>
      <c r="D349" s="136"/>
      <c r="E349" s="106">
        <f>IFERROR(__xludf.DUMMYFUNCTION("""COMPUTED_VALUE"""),0.0)</f>
        <v>0</v>
      </c>
      <c r="F349" s="136"/>
      <c r="G349" s="106" t="s">
        <v>133</v>
      </c>
      <c r="H349" s="136">
        <f>IFERROR(__xludf.DUMMYFUNCTION("""COMPUTED_VALUE"""),0.0)</f>
        <v>0</v>
      </c>
      <c r="I349" s="139" t="s">
        <v>133</v>
      </c>
      <c r="J349" s="136" t="s">
        <v>133</v>
      </c>
      <c r="K349" s="136"/>
      <c r="L349" s="136" t="str">
        <f t="shared" si="1"/>
        <v/>
      </c>
      <c r="M349" s="136" t="str">
        <f>IFERROR(__xludf.DUMMYFUNCTION("""COMPUTED_VALUE"""),"")</f>
        <v/>
      </c>
      <c r="N349" s="141" t="s">
        <v>133</v>
      </c>
      <c r="O349" s="136" t="str">
        <f>IFERROR(__xludf.DUMMYFUNCTION("""COMPUTED_VALUE"""),"")</f>
        <v/>
      </c>
      <c r="P349" s="136" t="str">
        <f>IFERROR(__xludf.DUMMYFUNCTION("""COMPUTED_VALUE"""),"")</f>
        <v/>
      </c>
      <c r="Q349" s="106" t="str">
        <f>IFERROR(__xludf.DUMMYFUNCTION("""COMPUTED_VALUE"""),"")</f>
        <v/>
      </c>
      <c r="R349" s="106" t="str">
        <f>IFERROR(__xludf.DUMMYFUNCTION("""COMPUTED_VALUE"""),"")</f>
        <v/>
      </c>
      <c r="S349" s="139" t="str">
        <f>IFERROR(__xludf.DUMMYFUNCTION("""COMPUTED_VALUE"""),"")</f>
        <v/>
      </c>
      <c r="T349" s="139" t="str">
        <f>IFERROR(__xludf.DUMMYFUNCTION("""COMPUTED_VALUE"""),"")</f>
        <v/>
      </c>
      <c r="U349" s="136" t="str">
        <f>IFERROR(__xludf.DUMMYFUNCTION("""COMPUTED_VALUE"""),"")</f>
        <v/>
      </c>
      <c r="V349" s="106" t="str">
        <f>IFERROR(__xludf.DUMMYFUNCTION("""COMPUTED_VALUE"""),"")</f>
        <v/>
      </c>
      <c r="W349" s="143" t="str">
        <f t="shared" si="2"/>
        <v/>
      </c>
      <c r="X349" s="139" t="str">
        <f>IFERROR(__xludf.DUMMYFUNCTION("""COMPUTED_VALUE"""),"")</f>
        <v/>
      </c>
      <c r="Y349" s="141" t="str">
        <f>IFERROR(__xludf.DUMMYFUNCTION("""COMPUTED_VALUE"""),"")</f>
        <v/>
      </c>
    </row>
    <row r="350">
      <c r="A350" s="136"/>
      <c r="B350" s="136"/>
      <c r="C350" s="136" t="str">
        <f t="shared" si="3"/>
        <v/>
      </c>
      <c r="D350" s="136"/>
      <c r="E350" s="106">
        <f>IFERROR(__xludf.DUMMYFUNCTION("""COMPUTED_VALUE"""),0.0)</f>
        <v>0</v>
      </c>
      <c r="F350" s="136"/>
      <c r="G350" s="106" t="s">
        <v>133</v>
      </c>
      <c r="H350" s="136">
        <f>IFERROR(__xludf.DUMMYFUNCTION("""COMPUTED_VALUE"""),0.0)</f>
        <v>0</v>
      </c>
      <c r="I350" s="139" t="s">
        <v>133</v>
      </c>
      <c r="J350" s="136" t="s">
        <v>133</v>
      </c>
      <c r="K350" s="136"/>
      <c r="L350" s="136" t="str">
        <f t="shared" si="1"/>
        <v/>
      </c>
      <c r="M350" s="136" t="str">
        <f>IFERROR(__xludf.DUMMYFUNCTION("""COMPUTED_VALUE"""),"")</f>
        <v/>
      </c>
      <c r="N350" s="141" t="s">
        <v>133</v>
      </c>
      <c r="O350" s="136" t="str">
        <f>IFERROR(__xludf.DUMMYFUNCTION("""COMPUTED_VALUE"""),"")</f>
        <v/>
      </c>
      <c r="P350" s="136" t="str">
        <f>IFERROR(__xludf.DUMMYFUNCTION("""COMPUTED_VALUE"""),"")</f>
        <v/>
      </c>
      <c r="Q350" s="106" t="str">
        <f>IFERROR(__xludf.DUMMYFUNCTION("""COMPUTED_VALUE"""),"")</f>
        <v/>
      </c>
      <c r="R350" s="106" t="str">
        <f>IFERROR(__xludf.DUMMYFUNCTION("""COMPUTED_VALUE"""),"")</f>
        <v/>
      </c>
      <c r="S350" s="139" t="str">
        <f>IFERROR(__xludf.DUMMYFUNCTION("""COMPUTED_VALUE"""),"")</f>
        <v/>
      </c>
      <c r="T350" s="139" t="str">
        <f>IFERROR(__xludf.DUMMYFUNCTION("""COMPUTED_VALUE"""),"")</f>
        <v/>
      </c>
      <c r="U350" s="136" t="str">
        <f>IFERROR(__xludf.DUMMYFUNCTION("""COMPUTED_VALUE"""),"")</f>
        <v/>
      </c>
      <c r="V350" s="106" t="str">
        <f>IFERROR(__xludf.DUMMYFUNCTION("""COMPUTED_VALUE"""),"")</f>
        <v/>
      </c>
      <c r="W350" s="143" t="str">
        <f t="shared" si="2"/>
        <v/>
      </c>
      <c r="X350" s="139" t="str">
        <f>IFERROR(__xludf.DUMMYFUNCTION("""COMPUTED_VALUE"""),"")</f>
        <v/>
      </c>
      <c r="Y350" s="141" t="str">
        <f>IFERROR(__xludf.DUMMYFUNCTION("""COMPUTED_VALUE"""),"")</f>
        <v/>
      </c>
    </row>
    <row r="351">
      <c r="A351" s="136"/>
      <c r="B351" s="136"/>
      <c r="C351" s="136" t="str">
        <f t="shared" si="3"/>
        <v/>
      </c>
      <c r="D351" s="136"/>
      <c r="E351" s="106">
        <f>IFERROR(__xludf.DUMMYFUNCTION("""COMPUTED_VALUE"""),0.0)</f>
        <v>0</v>
      </c>
      <c r="F351" s="136"/>
      <c r="G351" s="106" t="s">
        <v>133</v>
      </c>
      <c r="H351" s="136">
        <f>IFERROR(__xludf.DUMMYFUNCTION("""COMPUTED_VALUE"""),0.0)</f>
        <v>0</v>
      </c>
      <c r="I351" s="139" t="s">
        <v>133</v>
      </c>
      <c r="J351" s="136" t="s">
        <v>133</v>
      </c>
      <c r="K351" s="136"/>
      <c r="L351" s="136" t="str">
        <f t="shared" si="1"/>
        <v/>
      </c>
      <c r="M351" s="136" t="str">
        <f>IFERROR(__xludf.DUMMYFUNCTION("""COMPUTED_VALUE"""),"")</f>
        <v/>
      </c>
      <c r="N351" s="141" t="s">
        <v>133</v>
      </c>
      <c r="O351" s="136" t="str">
        <f>IFERROR(__xludf.DUMMYFUNCTION("""COMPUTED_VALUE"""),"")</f>
        <v/>
      </c>
      <c r="P351" s="136" t="str">
        <f>IFERROR(__xludf.DUMMYFUNCTION("""COMPUTED_VALUE"""),"")</f>
        <v/>
      </c>
      <c r="Q351" s="106" t="str">
        <f>IFERROR(__xludf.DUMMYFUNCTION("""COMPUTED_VALUE"""),"")</f>
        <v/>
      </c>
      <c r="R351" s="106" t="str">
        <f>IFERROR(__xludf.DUMMYFUNCTION("""COMPUTED_VALUE"""),"")</f>
        <v/>
      </c>
      <c r="S351" s="139" t="str">
        <f>IFERROR(__xludf.DUMMYFUNCTION("""COMPUTED_VALUE"""),"")</f>
        <v/>
      </c>
      <c r="T351" s="139" t="str">
        <f>IFERROR(__xludf.DUMMYFUNCTION("""COMPUTED_VALUE"""),"")</f>
        <v/>
      </c>
      <c r="U351" s="136" t="str">
        <f>IFERROR(__xludf.DUMMYFUNCTION("""COMPUTED_VALUE"""),"")</f>
        <v/>
      </c>
      <c r="V351" s="106" t="str">
        <f>IFERROR(__xludf.DUMMYFUNCTION("""COMPUTED_VALUE"""),"")</f>
        <v/>
      </c>
      <c r="W351" s="143" t="str">
        <f t="shared" si="2"/>
        <v/>
      </c>
      <c r="X351" s="139" t="str">
        <f>IFERROR(__xludf.DUMMYFUNCTION("""COMPUTED_VALUE"""),"")</f>
        <v/>
      </c>
      <c r="Y351" s="141" t="str">
        <f>IFERROR(__xludf.DUMMYFUNCTION("""COMPUTED_VALUE"""),"")</f>
        <v/>
      </c>
    </row>
    <row r="352">
      <c r="A352" s="136"/>
      <c r="B352" s="136"/>
      <c r="C352" s="136" t="str">
        <f t="shared" si="3"/>
        <v/>
      </c>
      <c r="D352" s="136"/>
      <c r="E352" s="106">
        <f>IFERROR(__xludf.DUMMYFUNCTION("""COMPUTED_VALUE"""),0.0)</f>
        <v>0</v>
      </c>
      <c r="F352" s="136"/>
      <c r="G352" s="106" t="s">
        <v>133</v>
      </c>
      <c r="H352" s="136">
        <f>IFERROR(__xludf.DUMMYFUNCTION("""COMPUTED_VALUE"""),0.0)</f>
        <v>0</v>
      </c>
      <c r="I352" s="139" t="s">
        <v>133</v>
      </c>
      <c r="J352" s="136" t="s">
        <v>133</v>
      </c>
      <c r="K352" s="136"/>
      <c r="L352" s="136" t="str">
        <f t="shared" si="1"/>
        <v/>
      </c>
      <c r="M352" s="136" t="str">
        <f>IFERROR(__xludf.DUMMYFUNCTION("""COMPUTED_VALUE"""),"")</f>
        <v/>
      </c>
      <c r="N352" s="141" t="s">
        <v>133</v>
      </c>
      <c r="O352" s="136" t="str">
        <f>IFERROR(__xludf.DUMMYFUNCTION("""COMPUTED_VALUE"""),"")</f>
        <v/>
      </c>
      <c r="P352" s="136" t="str">
        <f>IFERROR(__xludf.DUMMYFUNCTION("""COMPUTED_VALUE"""),"")</f>
        <v/>
      </c>
      <c r="Q352" s="106" t="str">
        <f>IFERROR(__xludf.DUMMYFUNCTION("""COMPUTED_VALUE"""),"")</f>
        <v/>
      </c>
      <c r="R352" s="106" t="str">
        <f>IFERROR(__xludf.DUMMYFUNCTION("""COMPUTED_VALUE"""),"")</f>
        <v/>
      </c>
      <c r="S352" s="139" t="str">
        <f>IFERROR(__xludf.DUMMYFUNCTION("""COMPUTED_VALUE"""),"")</f>
        <v/>
      </c>
      <c r="T352" s="139" t="str">
        <f>IFERROR(__xludf.DUMMYFUNCTION("""COMPUTED_VALUE"""),"")</f>
        <v/>
      </c>
      <c r="U352" s="136" t="str">
        <f>IFERROR(__xludf.DUMMYFUNCTION("""COMPUTED_VALUE"""),"")</f>
        <v/>
      </c>
      <c r="V352" s="106" t="str">
        <f>IFERROR(__xludf.DUMMYFUNCTION("""COMPUTED_VALUE"""),"")</f>
        <v/>
      </c>
      <c r="W352" s="143" t="str">
        <f t="shared" si="2"/>
        <v/>
      </c>
      <c r="X352" s="139" t="str">
        <f>IFERROR(__xludf.DUMMYFUNCTION("""COMPUTED_VALUE"""),"")</f>
        <v/>
      </c>
      <c r="Y352" s="141" t="str">
        <f>IFERROR(__xludf.DUMMYFUNCTION("""COMPUTED_VALUE"""),"")</f>
        <v/>
      </c>
    </row>
    <row r="353">
      <c r="A353" s="136"/>
      <c r="B353" s="136"/>
      <c r="C353" s="136" t="str">
        <f t="shared" si="3"/>
        <v/>
      </c>
      <c r="D353" s="136"/>
      <c r="E353" s="106">
        <f>IFERROR(__xludf.DUMMYFUNCTION("""COMPUTED_VALUE"""),0.0)</f>
        <v>0</v>
      </c>
      <c r="F353" s="136"/>
      <c r="G353" s="106" t="s">
        <v>133</v>
      </c>
      <c r="H353" s="136">
        <f>IFERROR(__xludf.DUMMYFUNCTION("""COMPUTED_VALUE"""),0.0)</f>
        <v>0</v>
      </c>
      <c r="I353" s="139" t="s">
        <v>133</v>
      </c>
      <c r="J353" s="136" t="s">
        <v>133</v>
      </c>
      <c r="K353" s="136"/>
      <c r="L353" s="136" t="str">
        <f t="shared" si="1"/>
        <v/>
      </c>
      <c r="M353" s="136" t="str">
        <f>IFERROR(__xludf.DUMMYFUNCTION("""COMPUTED_VALUE"""),"")</f>
        <v/>
      </c>
      <c r="N353" s="141" t="s">
        <v>133</v>
      </c>
      <c r="O353" s="136" t="str">
        <f>IFERROR(__xludf.DUMMYFUNCTION("""COMPUTED_VALUE"""),"")</f>
        <v/>
      </c>
      <c r="P353" s="136" t="str">
        <f>IFERROR(__xludf.DUMMYFUNCTION("""COMPUTED_VALUE"""),"")</f>
        <v/>
      </c>
      <c r="Q353" s="106" t="str">
        <f>IFERROR(__xludf.DUMMYFUNCTION("""COMPUTED_VALUE"""),"")</f>
        <v/>
      </c>
      <c r="R353" s="106" t="str">
        <f>IFERROR(__xludf.DUMMYFUNCTION("""COMPUTED_VALUE"""),"")</f>
        <v/>
      </c>
      <c r="S353" s="139" t="str">
        <f>IFERROR(__xludf.DUMMYFUNCTION("""COMPUTED_VALUE"""),"")</f>
        <v/>
      </c>
      <c r="T353" s="139" t="str">
        <f>IFERROR(__xludf.DUMMYFUNCTION("""COMPUTED_VALUE"""),"")</f>
        <v/>
      </c>
      <c r="U353" s="136" t="str">
        <f>IFERROR(__xludf.DUMMYFUNCTION("""COMPUTED_VALUE"""),"")</f>
        <v/>
      </c>
      <c r="V353" s="106" t="str">
        <f>IFERROR(__xludf.DUMMYFUNCTION("""COMPUTED_VALUE"""),"")</f>
        <v/>
      </c>
      <c r="W353" s="143" t="str">
        <f t="shared" si="2"/>
        <v/>
      </c>
      <c r="X353" s="139" t="str">
        <f>IFERROR(__xludf.DUMMYFUNCTION("""COMPUTED_VALUE"""),"")</f>
        <v/>
      </c>
      <c r="Y353" s="141" t="str">
        <f>IFERROR(__xludf.DUMMYFUNCTION("""COMPUTED_VALUE"""),"")</f>
        <v/>
      </c>
    </row>
    <row r="354">
      <c r="A354" s="136"/>
      <c r="B354" s="136"/>
      <c r="C354" s="136" t="str">
        <f t="shared" si="3"/>
        <v/>
      </c>
      <c r="D354" s="136"/>
      <c r="E354" s="106">
        <f>IFERROR(__xludf.DUMMYFUNCTION("""COMPUTED_VALUE"""),0.0)</f>
        <v>0</v>
      </c>
      <c r="F354" s="136"/>
      <c r="G354" s="106" t="s">
        <v>133</v>
      </c>
      <c r="H354" s="136">
        <f>IFERROR(__xludf.DUMMYFUNCTION("""COMPUTED_VALUE"""),0.0)</f>
        <v>0</v>
      </c>
      <c r="I354" s="139" t="s">
        <v>133</v>
      </c>
      <c r="J354" s="136" t="s">
        <v>133</v>
      </c>
      <c r="K354" s="136"/>
      <c r="L354" s="136" t="str">
        <f t="shared" si="1"/>
        <v/>
      </c>
      <c r="M354" s="136" t="str">
        <f>IFERROR(__xludf.DUMMYFUNCTION("""COMPUTED_VALUE"""),"")</f>
        <v/>
      </c>
      <c r="N354" s="141" t="s">
        <v>133</v>
      </c>
      <c r="O354" s="136" t="str">
        <f>IFERROR(__xludf.DUMMYFUNCTION("""COMPUTED_VALUE"""),"")</f>
        <v/>
      </c>
      <c r="P354" s="136" t="str">
        <f>IFERROR(__xludf.DUMMYFUNCTION("""COMPUTED_VALUE"""),"")</f>
        <v/>
      </c>
      <c r="Q354" s="106" t="str">
        <f>IFERROR(__xludf.DUMMYFUNCTION("""COMPUTED_VALUE"""),"")</f>
        <v/>
      </c>
      <c r="R354" s="106" t="str">
        <f>IFERROR(__xludf.DUMMYFUNCTION("""COMPUTED_VALUE"""),"")</f>
        <v/>
      </c>
      <c r="S354" s="139" t="str">
        <f>IFERROR(__xludf.DUMMYFUNCTION("""COMPUTED_VALUE"""),"")</f>
        <v/>
      </c>
      <c r="T354" s="139" t="str">
        <f>IFERROR(__xludf.DUMMYFUNCTION("""COMPUTED_VALUE"""),"")</f>
        <v/>
      </c>
      <c r="U354" s="136" t="str">
        <f>IFERROR(__xludf.DUMMYFUNCTION("""COMPUTED_VALUE"""),"")</f>
        <v/>
      </c>
      <c r="V354" s="106" t="str">
        <f>IFERROR(__xludf.DUMMYFUNCTION("""COMPUTED_VALUE"""),"")</f>
        <v/>
      </c>
      <c r="W354" s="143" t="str">
        <f t="shared" si="2"/>
        <v/>
      </c>
      <c r="X354" s="139" t="str">
        <f>IFERROR(__xludf.DUMMYFUNCTION("""COMPUTED_VALUE"""),"")</f>
        <v/>
      </c>
      <c r="Y354" s="141" t="str">
        <f>IFERROR(__xludf.DUMMYFUNCTION("""COMPUTED_VALUE"""),"")</f>
        <v/>
      </c>
    </row>
    <row r="355">
      <c r="A355" s="136"/>
      <c r="B355" s="136"/>
      <c r="C355" s="136" t="str">
        <f t="shared" si="3"/>
        <v/>
      </c>
      <c r="D355" s="136"/>
      <c r="E355" s="106">
        <f>IFERROR(__xludf.DUMMYFUNCTION("""COMPUTED_VALUE"""),0.0)</f>
        <v>0</v>
      </c>
      <c r="F355" s="136"/>
      <c r="G355" s="106" t="s">
        <v>133</v>
      </c>
      <c r="H355" s="136">
        <f>IFERROR(__xludf.DUMMYFUNCTION("""COMPUTED_VALUE"""),0.0)</f>
        <v>0</v>
      </c>
      <c r="I355" s="139" t="s">
        <v>133</v>
      </c>
      <c r="J355" s="136" t="s">
        <v>133</v>
      </c>
      <c r="K355" s="136"/>
      <c r="L355" s="136" t="str">
        <f t="shared" si="1"/>
        <v/>
      </c>
      <c r="M355" s="136" t="str">
        <f>IFERROR(__xludf.DUMMYFUNCTION("""COMPUTED_VALUE"""),"")</f>
        <v/>
      </c>
      <c r="N355" s="141" t="s">
        <v>133</v>
      </c>
      <c r="O355" s="136" t="str">
        <f>IFERROR(__xludf.DUMMYFUNCTION("""COMPUTED_VALUE"""),"")</f>
        <v/>
      </c>
      <c r="P355" s="136" t="str">
        <f>IFERROR(__xludf.DUMMYFUNCTION("""COMPUTED_VALUE"""),"")</f>
        <v/>
      </c>
      <c r="Q355" s="106" t="str">
        <f>IFERROR(__xludf.DUMMYFUNCTION("""COMPUTED_VALUE"""),"")</f>
        <v/>
      </c>
      <c r="R355" s="106" t="str">
        <f>IFERROR(__xludf.DUMMYFUNCTION("""COMPUTED_VALUE"""),"")</f>
        <v/>
      </c>
      <c r="S355" s="139" t="str">
        <f>IFERROR(__xludf.DUMMYFUNCTION("""COMPUTED_VALUE"""),"")</f>
        <v/>
      </c>
      <c r="T355" s="139" t="str">
        <f>IFERROR(__xludf.DUMMYFUNCTION("""COMPUTED_VALUE"""),"")</f>
        <v/>
      </c>
      <c r="U355" s="136" t="str">
        <f>IFERROR(__xludf.DUMMYFUNCTION("""COMPUTED_VALUE"""),"")</f>
        <v/>
      </c>
      <c r="V355" s="106" t="str">
        <f>IFERROR(__xludf.DUMMYFUNCTION("""COMPUTED_VALUE"""),"")</f>
        <v/>
      </c>
      <c r="W355" s="143" t="str">
        <f t="shared" si="2"/>
        <v/>
      </c>
      <c r="X355" s="139" t="str">
        <f>IFERROR(__xludf.DUMMYFUNCTION("""COMPUTED_VALUE"""),"")</f>
        <v/>
      </c>
      <c r="Y355" s="141" t="str">
        <f>IFERROR(__xludf.DUMMYFUNCTION("""COMPUTED_VALUE"""),"")</f>
        <v/>
      </c>
    </row>
    <row r="356">
      <c r="A356" s="136"/>
      <c r="B356" s="136"/>
      <c r="C356" s="136" t="str">
        <f t="shared" si="3"/>
        <v/>
      </c>
      <c r="D356" s="136"/>
      <c r="E356" s="106">
        <f>IFERROR(__xludf.DUMMYFUNCTION("""COMPUTED_VALUE"""),0.0)</f>
        <v>0</v>
      </c>
      <c r="F356" s="136"/>
      <c r="G356" s="106" t="s">
        <v>133</v>
      </c>
      <c r="H356" s="136">
        <f>IFERROR(__xludf.DUMMYFUNCTION("""COMPUTED_VALUE"""),0.0)</f>
        <v>0</v>
      </c>
      <c r="I356" s="139" t="s">
        <v>133</v>
      </c>
      <c r="J356" s="136" t="s">
        <v>133</v>
      </c>
      <c r="K356" s="136"/>
      <c r="L356" s="136" t="str">
        <f t="shared" si="1"/>
        <v/>
      </c>
      <c r="M356" s="136" t="str">
        <f>IFERROR(__xludf.DUMMYFUNCTION("""COMPUTED_VALUE"""),"")</f>
        <v/>
      </c>
      <c r="N356" s="141" t="s">
        <v>133</v>
      </c>
      <c r="O356" s="136" t="str">
        <f>IFERROR(__xludf.DUMMYFUNCTION("""COMPUTED_VALUE"""),"")</f>
        <v/>
      </c>
      <c r="P356" s="136" t="str">
        <f>IFERROR(__xludf.DUMMYFUNCTION("""COMPUTED_VALUE"""),"")</f>
        <v/>
      </c>
      <c r="Q356" s="106" t="str">
        <f>IFERROR(__xludf.DUMMYFUNCTION("""COMPUTED_VALUE"""),"")</f>
        <v/>
      </c>
      <c r="R356" s="106" t="str">
        <f>IFERROR(__xludf.DUMMYFUNCTION("""COMPUTED_VALUE"""),"")</f>
        <v/>
      </c>
      <c r="S356" s="139" t="str">
        <f>IFERROR(__xludf.DUMMYFUNCTION("""COMPUTED_VALUE"""),"")</f>
        <v/>
      </c>
      <c r="T356" s="139" t="str">
        <f>IFERROR(__xludf.DUMMYFUNCTION("""COMPUTED_VALUE"""),"")</f>
        <v/>
      </c>
      <c r="U356" s="136" t="str">
        <f>IFERROR(__xludf.DUMMYFUNCTION("""COMPUTED_VALUE"""),"")</f>
        <v/>
      </c>
      <c r="V356" s="106" t="str">
        <f>IFERROR(__xludf.DUMMYFUNCTION("""COMPUTED_VALUE"""),"")</f>
        <v/>
      </c>
      <c r="W356" s="143" t="str">
        <f t="shared" si="2"/>
        <v/>
      </c>
      <c r="X356" s="139" t="str">
        <f>IFERROR(__xludf.DUMMYFUNCTION("""COMPUTED_VALUE"""),"")</f>
        <v/>
      </c>
      <c r="Y356" s="141" t="str">
        <f>IFERROR(__xludf.DUMMYFUNCTION("""COMPUTED_VALUE"""),"")</f>
        <v/>
      </c>
    </row>
    <row r="357">
      <c r="A357" s="136"/>
      <c r="B357" s="136"/>
      <c r="C357" s="136" t="str">
        <f t="shared" si="3"/>
        <v/>
      </c>
      <c r="D357" s="136"/>
      <c r="E357" s="106">
        <f>IFERROR(__xludf.DUMMYFUNCTION("""COMPUTED_VALUE"""),0.0)</f>
        <v>0</v>
      </c>
      <c r="F357" s="136"/>
      <c r="G357" s="106" t="s">
        <v>133</v>
      </c>
      <c r="H357" s="136">
        <f>IFERROR(__xludf.DUMMYFUNCTION("""COMPUTED_VALUE"""),0.0)</f>
        <v>0</v>
      </c>
      <c r="I357" s="139" t="s">
        <v>133</v>
      </c>
      <c r="J357" s="136" t="s">
        <v>133</v>
      </c>
      <c r="K357" s="136"/>
      <c r="L357" s="136" t="str">
        <f t="shared" si="1"/>
        <v/>
      </c>
      <c r="M357" s="136" t="str">
        <f>IFERROR(__xludf.DUMMYFUNCTION("""COMPUTED_VALUE"""),"")</f>
        <v/>
      </c>
      <c r="N357" s="141" t="s">
        <v>133</v>
      </c>
      <c r="O357" s="136" t="str">
        <f>IFERROR(__xludf.DUMMYFUNCTION("""COMPUTED_VALUE"""),"")</f>
        <v/>
      </c>
      <c r="P357" s="136" t="str">
        <f>IFERROR(__xludf.DUMMYFUNCTION("""COMPUTED_VALUE"""),"")</f>
        <v/>
      </c>
      <c r="Q357" s="106" t="str">
        <f>IFERROR(__xludf.DUMMYFUNCTION("""COMPUTED_VALUE"""),"")</f>
        <v/>
      </c>
      <c r="R357" s="106" t="str">
        <f>IFERROR(__xludf.DUMMYFUNCTION("""COMPUTED_VALUE"""),"")</f>
        <v/>
      </c>
      <c r="S357" s="139" t="str">
        <f>IFERROR(__xludf.DUMMYFUNCTION("""COMPUTED_VALUE"""),"")</f>
        <v/>
      </c>
      <c r="T357" s="139" t="str">
        <f>IFERROR(__xludf.DUMMYFUNCTION("""COMPUTED_VALUE"""),"")</f>
        <v/>
      </c>
      <c r="U357" s="136" t="str">
        <f>IFERROR(__xludf.DUMMYFUNCTION("""COMPUTED_VALUE"""),"")</f>
        <v/>
      </c>
      <c r="V357" s="106" t="str">
        <f>IFERROR(__xludf.DUMMYFUNCTION("""COMPUTED_VALUE"""),"")</f>
        <v/>
      </c>
      <c r="W357" s="143" t="str">
        <f t="shared" si="2"/>
        <v/>
      </c>
      <c r="X357" s="139" t="str">
        <f>IFERROR(__xludf.DUMMYFUNCTION("""COMPUTED_VALUE"""),"")</f>
        <v/>
      </c>
      <c r="Y357" s="141" t="str">
        <f>IFERROR(__xludf.DUMMYFUNCTION("""COMPUTED_VALUE"""),"")</f>
        <v/>
      </c>
    </row>
    <row r="358">
      <c r="A358" s="136"/>
      <c r="B358" s="136"/>
      <c r="C358" s="136" t="str">
        <f t="shared" si="3"/>
        <v/>
      </c>
      <c r="D358" s="136"/>
      <c r="E358" s="106">
        <f>IFERROR(__xludf.DUMMYFUNCTION("""COMPUTED_VALUE"""),0.0)</f>
        <v>0</v>
      </c>
      <c r="F358" s="136"/>
      <c r="G358" s="106" t="s">
        <v>133</v>
      </c>
      <c r="H358" s="136">
        <f>IFERROR(__xludf.DUMMYFUNCTION("""COMPUTED_VALUE"""),0.0)</f>
        <v>0</v>
      </c>
      <c r="I358" s="139" t="s">
        <v>133</v>
      </c>
      <c r="J358" s="136" t="s">
        <v>133</v>
      </c>
      <c r="K358" s="136"/>
      <c r="L358" s="136" t="str">
        <f t="shared" si="1"/>
        <v/>
      </c>
      <c r="M358" s="136" t="str">
        <f>IFERROR(__xludf.DUMMYFUNCTION("""COMPUTED_VALUE"""),"")</f>
        <v/>
      </c>
      <c r="N358" s="141" t="s">
        <v>133</v>
      </c>
      <c r="O358" s="136" t="str">
        <f>IFERROR(__xludf.DUMMYFUNCTION("""COMPUTED_VALUE"""),"")</f>
        <v/>
      </c>
      <c r="P358" s="136" t="str">
        <f>IFERROR(__xludf.DUMMYFUNCTION("""COMPUTED_VALUE"""),"")</f>
        <v/>
      </c>
      <c r="Q358" s="106" t="str">
        <f>IFERROR(__xludf.DUMMYFUNCTION("""COMPUTED_VALUE"""),"")</f>
        <v/>
      </c>
      <c r="R358" s="106" t="str">
        <f>IFERROR(__xludf.DUMMYFUNCTION("""COMPUTED_VALUE"""),"")</f>
        <v/>
      </c>
      <c r="S358" s="139" t="str">
        <f>IFERROR(__xludf.DUMMYFUNCTION("""COMPUTED_VALUE"""),"")</f>
        <v/>
      </c>
      <c r="T358" s="139" t="str">
        <f>IFERROR(__xludf.DUMMYFUNCTION("""COMPUTED_VALUE"""),"")</f>
        <v/>
      </c>
      <c r="U358" s="136" t="str">
        <f>IFERROR(__xludf.DUMMYFUNCTION("""COMPUTED_VALUE"""),"")</f>
        <v/>
      </c>
      <c r="V358" s="106" t="str">
        <f>IFERROR(__xludf.DUMMYFUNCTION("""COMPUTED_VALUE"""),"")</f>
        <v/>
      </c>
      <c r="W358" s="143" t="str">
        <f t="shared" si="2"/>
        <v/>
      </c>
      <c r="X358" s="139" t="str">
        <f>IFERROR(__xludf.DUMMYFUNCTION("""COMPUTED_VALUE"""),"")</f>
        <v/>
      </c>
      <c r="Y358" s="141" t="str">
        <f>IFERROR(__xludf.DUMMYFUNCTION("""COMPUTED_VALUE"""),"")</f>
        <v/>
      </c>
    </row>
    <row r="359">
      <c r="A359" s="136"/>
      <c r="B359" s="136"/>
      <c r="C359" s="136" t="str">
        <f t="shared" si="3"/>
        <v/>
      </c>
      <c r="D359" s="136"/>
      <c r="E359" s="106">
        <f>IFERROR(__xludf.DUMMYFUNCTION("""COMPUTED_VALUE"""),0.0)</f>
        <v>0</v>
      </c>
      <c r="F359" s="136"/>
      <c r="G359" s="106" t="s">
        <v>133</v>
      </c>
      <c r="H359" s="136">
        <f>IFERROR(__xludf.DUMMYFUNCTION("""COMPUTED_VALUE"""),0.0)</f>
        <v>0</v>
      </c>
      <c r="I359" s="139" t="s">
        <v>133</v>
      </c>
      <c r="J359" s="136" t="s">
        <v>133</v>
      </c>
      <c r="K359" s="136"/>
      <c r="L359" s="136" t="str">
        <f t="shared" si="1"/>
        <v/>
      </c>
      <c r="M359" s="136" t="str">
        <f>IFERROR(__xludf.DUMMYFUNCTION("""COMPUTED_VALUE"""),"")</f>
        <v/>
      </c>
      <c r="N359" s="141" t="s">
        <v>133</v>
      </c>
      <c r="O359" s="136" t="str">
        <f>IFERROR(__xludf.DUMMYFUNCTION("""COMPUTED_VALUE"""),"")</f>
        <v/>
      </c>
      <c r="P359" s="136" t="str">
        <f>IFERROR(__xludf.DUMMYFUNCTION("""COMPUTED_VALUE"""),"")</f>
        <v/>
      </c>
      <c r="Q359" s="106" t="str">
        <f>IFERROR(__xludf.DUMMYFUNCTION("""COMPUTED_VALUE"""),"")</f>
        <v/>
      </c>
      <c r="R359" s="106" t="str">
        <f>IFERROR(__xludf.DUMMYFUNCTION("""COMPUTED_VALUE"""),"")</f>
        <v/>
      </c>
      <c r="S359" s="139" t="str">
        <f>IFERROR(__xludf.DUMMYFUNCTION("""COMPUTED_VALUE"""),"")</f>
        <v/>
      </c>
      <c r="T359" s="139" t="str">
        <f>IFERROR(__xludf.DUMMYFUNCTION("""COMPUTED_VALUE"""),"")</f>
        <v/>
      </c>
      <c r="U359" s="136" t="str">
        <f>IFERROR(__xludf.DUMMYFUNCTION("""COMPUTED_VALUE"""),"")</f>
        <v/>
      </c>
      <c r="V359" s="106" t="str">
        <f>IFERROR(__xludf.DUMMYFUNCTION("""COMPUTED_VALUE"""),"")</f>
        <v/>
      </c>
      <c r="W359" s="143" t="str">
        <f t="shared" si="2"/>
        <v/>
      </c>
      <c r="X359" s="139" t="str">
        <f>IFERROR(__xludf.DUMMYFUNCTION("""COMPUTED_VALUE"""),"")</f>
        <v/>
      </c>
      <c r="Y359" s="141" t="str">
        <f>IFERROR(__xludf.DUMMYFUNCTION("""COMPUTED_VALUE"""),"")</f>
        <v/>
      </c>
    </row>
    <row r="360">
      <c r="A360" s="136"/>
      <c r="B360" s="136"/>
      <c r="C360" s="136" t="str">
        <f t="shared" si="3"/>
        <v/>
      </c>
      <c r="D360" s="136"/>
      <c r="E360" s="106">
        <f>IFERROR(__xludf.DUMMYFUNCTION("""COMPUTED_VALUE"""),0.0)</f>
        <v>0</v>
      </c>
      <c r="F360" s="136"/>
      <c r="G360" s="106" t="s">
        <v>133</v>
      </c>
      <c r="H360" s="136">
        <f>IFERROR(__xludf.DUMMYFUNCTION("""COMPUTED_VALUE"""),0.0)</f>
        <v>0</v>
      </c>
      <c r="I360" s="139" t="s">
        <v>133</v>
      </c>
      <c r="J360" s="136" t="s">
        <v>133</v>
      </c>
      <c r="K360" s="136"/>
      <c r="L360" s="136" t="str">
        <f t="shared" si="1"/>
        <v/>
      </c>
      <c r="M360" s="136" t="str">
        <f>IFERROR(__xludf.DUMMYFUNCTION("""COMPUTED_VALUE"""),"")</f>
        <v/>
      </c>
      <c r="N360" s="141" t="s">
        <v>133</v>
      </c>
      <c r="O360" s="136" t="str">
        <f>IFERROR(__xludf.DUMMYFUNCTION("""COMPUTED_VALUE"""),"")</f>
        <v/>
      </c>
      <c r="P360" s="136" t="str">
        <f>IFERROR(__xludf.DUMMYFUNCTION("""COMPUTED_VALUE"""),"")</f>
        <v/>
      </c>
      <c r="Q360" s="106" t="str">
        <f>IFERROR(__xludf.DUMMYFUNCTION("""COMPUTED_VALUE"""),"")</f>
        <v/>
      </c>
      <c r="R360" s="106" t="str">
        <f>IFERROR(__xludf.DUMMYFUNCTION("""COMPUTED_VALUE"""),"")</f>
        <v/>
      </c>
      <c r="S360" s="139" t="str">
        <f>IFERROR(__xludf.DUMMYFUNCTION("""COMPUTED_VALUE"""),"")</f>
        <v/>
      </c>
      <c r="T360" s="139" t="str">
        <f>IFERROR(__xludf.DUMMYFUNCTION("""COMPUTED_VALUE"""),"")</f>
        <v/>
      </c>
      <c r="U360" s="136" t="str">
        <f>IFERROR(__xludf.DUMMYFUNCTION("""COMPUTED_VALUE"""),"")</f>
        <v/>
      </c>
      <c r="V360" s="106" t="str">
        <f>IFERROR(__xludf.DUMMYFUNCTION("""COMPUTED_VALUE"""),"")</f>
        <v/>
      </c>
      <c r="W360" s="143" t="str">
        <f t="shared" si="2"/>
        <v/>
      </c>
      <c r="X360" s="139" t="str">
        <f>IFERROR(__xludf.DUMMYFUNCTION("""COMPUTED_VALUE"""),"")</f>
        <v/>
      </c>
      <c r="Y360" s="141" t="str">
        <f>IFERROR(__xludf.DUMMYFUNCTION("""COMPUTED_VALUE"""),"")</f>
        <v/>
      </c>
    </row>
    <row r="361">
      <c r="A361" s="136"/>
      <c r="B361" s="136"/>
      <c r="C361" s="136" t="str">
        <f t="shared" si="3"/>
        <v/>
      </c>
      <c r="D361" s="136"/>
      <c r="E361" s="106">
        <f>IFERROR(__xludf.DUMMYFUNCTION("""COMPUTED_VALUE"""),0.0)</f>
        <v>0</v>
      </c>
      <c r="F361" s="136"/>
      <c r="G361" s="106" t="s">
        <v>133</v>
      </c>
      <c r="H361" s="136">
        <f>IFERROR(__xludf.DUMMYFUNCTION("""COMPUTED_VALUE"""),0.0)</f>
        <v>0</v>
      </c>
      <c r="I361" s="139" t="s">
        <v>133</v>
      </c>
      <c r="J361" s="136" t="s">
        <v>133</v>
      </c>
      <c r="K361" s="136"/>
      <c r="L361" s="136" t="str">
        <f t="shared" si="1"/>
        <v/>
      </c>
      <c r="M361" s="136" t="str">
        <f>IFERROR(__xludf.DUMMYFUNCTION("""COMPUTED_VALUE"""),"")</f>
        <v/>
      </c>
      <c r="N361" s="141" t="s">
        <v>133</v>
      </c>
      <c r="O361" s="136" t="str">
        <f>IFERROR(__xludf.DUMMYFUNCTION("""COMPUTED_VALUE"""),"")</f>
        <v/>
      </c>
      <c r="P361" s="136" t="str">
        <f>IFERROR(__xludf.DUMMYFUNCTION("""COMPUTED_VALUE"""),"")</f>
        <v/>
      </c>
      <c r="Q361" s="106" t="str">
        <f>IFERROR(__xludf.DUMMYFUNCTION("""COMPUTED_VALUE"""),"")</f>
        <v/>
      </c>
      <c r="R361" s="106" t="str">
        <f>IFERROR(__xludf.DUMMYFUNCTION("""COMPUTED_VALUE"""),"")</f>
        <v/>
      </c>
      <c r="S361" s="139" t="str">
        <f>IFERROR(__xludf.DUMMYFUNCTION("""COMPUTED_VALUE"""),"")</f>
        <v/>
      </c>
      <c r="T361" s="139" t="str">
        <f>IFERROR(__xludf.DUMMYFUNCTION("""COMPUTED_VALUE"""),"")</f>
        <v/>
      </c>
      <c r="U361" s="136" t="str">
        <f>IFERROR(__xludf.DUMMYFUNCTION("""COMPUTED_VALUE"""),"")</f>
        <v/>
      </c>
      <c r="V361" s="106" t="str">
        <f>IFERROR(__xludf.DUMMYFUNCTION("""COMPUTED_VALUE"""),"")</f>
        <v/>
      </c>
      <c r="W361" s="143" t="str">
        <f t="shared" si="2"/>
        <v/>
      </c>
      <c r="X361" s="139" t="str">
        <f>IFERROR(__xludf.DUMMYFUNCTION("""COMPUTED_VALUE"""),"")</f>
        <v/>
      </c>
      <c r="Y361" s="141" t="str">
        <f>IFERROR(__xludf.DUMMYFUNCTION("""COMPUTED_VALUE"""),"")</f>
        <v/>
      </c>
    </row>
    <row r="362">
      <c r="A362" s="136"/>
      <c r="B362" s="136"/>
      <c r="C362" s="136" t="str">
        <f t="shared" si="3"/>
        <v/>
      </c>
      <c r="D362" s="136"/>
      <c r="E362" s="106">
        <f>IFERROR(__xludf.DUMMYFUNCTION("""COMPUTED_VALUE"""),0.0)</f>
        <v>0</v>
      </c>
      <c r="F362" s="136"/>
      <c r="G362" s="106" t="s">
        <v>133</v>
      </c>
      <c r="H362" s="136">
        <f>IFERROR(__xludf.DUMMYFUNCTION("""COMPUTED_VALUE"""),0.0)</f>
        <v>0</v>
      </c>
      <c r="I362" s="139" t="s">
        <v>133</v>
      </c>
      <c r="J362" s="136" t="s">
        <v>133</v>
      </c>
      <c r="K362" s="136"/>
      <c r="L362" s="136" t="str">
        <f t="shared" si="1"/>
        <v/>
      </c>
      <c r="M362" s="136" t="str">
        <f>IFERROR(__xludf.DUMMYFUNCTION("""COMPUTED_VALUE"""),"")</f>
        <v/>
      </c>
      <c r="N362" s="141" t="s">
        <v>133</v>
      </c>
      <c r="O362" s="136" t="str">
        <f>IFERROR(__xludf.DUMMYFUNCTION("""COMPUTED_VALUE"""),"")</f>
        <v/>
      </c>
      <c r="P362" s="136" t="str">
        <f>IFERROR(__xludf.DUMMYFUNCTION("""COMPUTED_VALUE"""),"")</f>
        <v/>
      </c>
      <c r="Q362" s="106" t="str">
        <f>IFERROR(__xludf.DUMMYFUNCTION("""COMPUTED_VALUE"""),"")</f>
        <v/>
      </c>
      <c r="R362" s="106" t="str">
        <f>IFERROR(__xludf.DUMMYFUNCTION("""COMPUTED_VALUE"""),"")</f>
        <v/>
      </c>
      <c r="S362" s="139" t="str">
        <f>IFERROR(__xludf.DUMMYFUNCTION("""COMPUTED_VALUE"""),"")</f>
        <v/>
      </c>
      <c r="T362" s="139" t="str">
        <f>IFERROR(__xludf.DUMMYFUNCTION("""COMPUTED_VALUE"""),"")</f>
        <v/>
      </c>
      <c r="U362" s="136" t="str">
        <f>IFERROR(__xludf.DUMMYFUNCTION("""COMPUTED_VALUE"""),"")</f>
        <v/>
      </c>
      <c r="V362" s="106" t="str">
        <f>IFERROR(__xludf.DUMMYFUNCTION("""COMPUTED_VALUE"""),"")</f>
        <v/>
      </c>
      <c r="W362" s="143" t="str">
        <f t="shared" si="2"/>
        <v/>
      </c>
      <c r="X362" s="139" t="str">
        <f>IFERROR(__xludf.DUMMYFUNCTION("""COMPUTED_VALUE"""),"")</f>
        <v/>
      </c>
      <c r="Y362" s="141" t="str">
        <f>IFERROR(__xludf.DUMMYFUNCTION("""COMPUTED_VALUE"""),"")</f>
        <v/>
      </c>
    </row>
    <row r="363">
      <c r="A363" s="136"/>
      <c r="B363" s="136"/>
      <c r="C363" s="136" t="str">
        <f t="shared" si="3"/>
        <v/>
      </c>
      <c r="D363" s="136"/>
      <c r="E363" s="106">
        <f>IFERROR(__xludf.DUMMYFUNCTION("""COMPUTED_VALUE"""),0.0)</f>
        <v>0</v>
      </c>
      <c r="F363" s="136"/>
      <c r="G363" s="106" t="s">
        <v>133</v>
      </c>
      <c r="H363" s="136">
        <f>IFERROR(__xludf.DUMMYFUNCTION("""COMPUTED_VALUE"""),0.0)</f>
        <v>0</v>
      </c>
      <c r="I363" s="139" t="s">
        <v>133</v>
      </c>
      <c r="J363" s="136" t="s">
        <v>133</v>
      </c>
      <c r="K363" s="136"/>
      <c r="L363" s="136" t="str">
        <f t="shared" si="1"/>
        <v/>
      </c>
      <c r="M363" s="136" t="str">
        <f>IFERROR(__xludf.DUMMYFUNCTION("""COMPUTED_VALUE"""),"")</f>
        <v/>
      </c>
      <c r="N363" s="141" t="s">
        <v>133</v>
      </c>
      <c r="O363" s="136" t="str">
        <f>IFERROR(__xludf.DUMMYFUNCTION("""COMPUTED_VALUE"""),"")</f>
        <v/>
      </c>
      <c r="P363" s="136" t="str">
        <f>IFERROR(__xludf.DUMMYFUNCTION("""COMPUTED_VALUE"""),"")</f>
        <v/>
      </c>
      <c r="Q363" s="106" t="str">
        <f>IFERROR(__xludf.DUMMYFUNCTION("""COMPUTED_VALUE"""),"")</f>
        <v/>
      </c>
      <c r="R363" s="106" t="str">
        <f>IFERROR(__xludf.DUMMYFUNCTION("""COMPUTED_VALUE"""),"")</f>
        <v/>
      </c>
      <c r="S363" s="139" t="str">
        <f>IFERROR(__xludf.DUMMYFUNCTION("""COMPUTED_VALUE"""),"")</f>
        <v/>
      </c>
      <c r="T363" s="139" t="str">
        <f>IFERROR(__xludf.DUMMYFUNCTION("""COMPUTED_VALUE"""),"")</f>
        <v/>
      </c>
      <c r="U363" s="136" t="str">
        <f>IFERROR(__xludf.DUMMYFUNCTION("""COMPUTED_VALUE"""),"")</f>
        <v/>
      </c>
      <c r="V363" s="106" t="str">
        <f>IFERROR(__xludf.DUMMYFUNCTION("""COMPUTED_VALUE"""),"")</f>
        <v/>
      </c>
      <c r="W363" s="143" t="str">
        <f t="shared" si="2"/>
        <v/>
      </c>
      <c r="X363" s="139" t="str">
        <f>IFERROR(__xludf.DUMMYFUNCTION("""COMPUTED_VALUE"""),"")</f>
        <v/>
      </c>
      <c r="Y363" s="141" t="str">
        <f>IFERROR(__xludf.DUMMYFUNCTION("""COMPUTED_VALUE"""),"")</f>
        <v/>
      </c>
    </row>
    <row r="364">
      <c r="A364" s="136"/>
      <c r="B364" s="136"/>
      <c r="C364" s="136" t="str">
        <f t="shared" si="3"/>
        <v/>
      </c>
      <c r="D364" s="136"/>
      <c r="E364" s="106">
        <f>IFERROR(__xludf.DUMMYFUNCTION("""COMPUTED_VALUE"""),0.0)</f>
        <v>0</v>
      </c>
      <c r="F364" s="136"/>
      <c r="G364" s="106" t="s">
        <v>133</v>
      </c>
      <c r="H364" s="136">
        <f>IFERROR(__xludf.DUMMYFUNCTION("""COMPUTED_VALUE"""),0.0)</f>
        <v>0</v>
      </c>
      <c r="I364" s="139" t="s">
        <v>133</v>
      </c>
      <c r="J364" s="136" t="s">
        <v>133</v>
      </c>
      <c r="K364" s="136"/>
      <c r="L364" s="136" t="str">
        <f t="shared" si="1"/>
        <v/>
      </c>
      <c r="M364" s="136" t="str">
        <f>IFERROR(__xludf.DUMMYFUNCTION("""COMPUTED_VALUE"""),"")</f>
        <v/>
      </c>
      <c r="N364" s="141" t="s">
        <v>133</v>
      </c>
      <c r="O364" s="136" t="str">
        <f>IFERROR(__xludf.DUMMYFUNCTION("""COMPUTED_VALUE"""),"")</f>
        <v/>
      </c>
      <c r="P364" s="136" t="str">
        <f>IFERROR(__xludf.DUMMYFUNCTION("""COMPUTED_VALUE"""),"")</f>
        <v/>
      </c>
      <c r="Q364" s="106" t="str">
        <f>IFERROR(__xludf.DUMMYFUNCTION("""COMPUTED_VALUE"""),"")</f>
        <v/>
      </c>
      <c r="R364" s="106" t="str">
        <f>IFERROR(__xludf.DUMMYFUNCTION("""COMPUTED_VALUE"""),"")</f>
        <v/>
      </c>
      <c r="S364" s="139" t="str">
        <f>IFERROR(__xludf.DUMMYFUNCTION("""COMPUTED_VALUE"""),"")</f>
        <v/>
      </c>
      <c r="T364" s="139" t="str">
        <f>IFERROR(__xludf.DUMMYFUNCTION("""COMPUTED_VALUE"""),"")</f>
        <v/>
      </c>
      <c r="U364" s="136" t="str">
        <f>IFERROR(__xludf.DUMMYFUNCTION("""COMPUTED_VALUE"""),"")</f>
        <v/>
      </c>
      <c r="V364" s="106" t="str">
        <f>IFERROR(__xludf.DUMMYFUNCTION("""COMPUTED_VALUE"""),"")</f>
        <v/>
      </c>
      <c r="W364" s="143" t="str">
        <f t="shared" si="2"/>
        <v/>
      </c>
      <c r="X364" s="139" t="str">
        <f>IFERROR(__xludf.DUMMYFUNCTION("""COMPUTED_VALUE"""),"")</f>
        <v/>
      </c>
      <c r="Y364" s="141" t="str">
        <f>IFERROR(__xludf.DUMMYFUNCTION("""COMPUTED_VALUE"""),"")</f>
        <v/>
      </c>
    </row>
    <row r="365">
      <c r="A365" s="136"/>
      <c r="B365" s="136"/>
      <c r="C365" s="136" t="str">
        <f t="shared" si="3"/>
        <v/>
      </c>
      <c r="D365" s="136"/>
      <c r="E365" s="106">
        <f>IFERROR(__xludf.DUMMYFUNCTION("""COMPUTED_VALUE"""),0.0)</f>
        <v>0</v>
      </c>
      <c r="F365" s="136"/>
      <c r="G365" s="106" t="s">
        <v>133</v>
      </c>
      <c r="H365" s="136">
        <f>IFERROR(__xludf.DUMMYFUNCTION("""COMPUTED_VALUE"""),0.0)</f>
        <v>0</v>
      </c>
      <c r="I365" s="139" t="s">
        <v>133</v>
      </c>
      <c r="J365" s="136" t="s">
        <v>133</v>
      </c>
      <c r="K365" s="136"/>
      <c r="L365" s="136" t="str">
        <f t="shared" si="1"/>
        <v/>
      </c>
      <c r="M365" s="136" t="str">
        <f>IFERROR(__xludf.DUMMYFUNCTION("""COMPUTED_VALUE"""),"")</f>
        <v/>
      </c>
      <c r="N365" s="141" t="s">
        <v>133</v>
      </c>
      <c r="O365" s="136" t="str">
        <f>IFERROR(__xludf.DUMMYFUNCTION("""COMPUTED_VALUE"""),"")</f>
        <v/>
      </c>
      <c r="P365" s="136" t="str">
        <f>IFERROR(__xludf.DUMMYFUNCTION("""COMPUTED_VALUE"""),"")</f>
        <v/>
      </c>
      <c r="Q365" s="106" t="str">
        <f>IFERROR(__xludf.DUMMYFUNCTION("""COMPUTED_VALUE"""),"")</f>
        <v/>
      </c>
      <c r="R365" s="106" t="str">
        <f>IFERROR(__xludf.DUMMYFUNCTION("""COMPUTED_VALUE"""),"")</f>
        <v/>
      </c>
      <c r="S365" s="139" t="str">
        <f>IFERROR(__xludf.DUMMYFUNCTION("""COMPUTED_VALUE"""),"")</f>
        <v/>
      </c>
      <c r="T365" s="139" t="str">
        <f>IFERROR(__xludf.DUMMYFUNCTION("""COMPUTED_VALUE"""),"")</f>
        <v/>
      </c>
      <c r="U365" s="136" t="str">
        <f>IFERROR(__xludf.DUMMYFUNCTION("""COMPUTED_VALUE"""),"")</f>
        <v/>
      </c>
      <c r="V365" s="106" t="str">
        <f>IFERROR(__xludf.DUMMYFUNCTION("""COMPUTED_VALUE"""),"")</f>
        <v/>
      </c>
      <c r="W365" s="143" t="str">
        <f t="shared" si="2"/>
        <v/>
      </c>
      <c r="X365" s="139" t="str">
        <f>IFERROR(__xludf.DUMMYFUNCTION("""COMPUTED_VALUE"""),"")</f>
        <v/>
      </c>
      <c r="Y365" s="141" t="str">
        <f>IFERROR(__xludf.DUMMYFUNCTION("""COMPUTED_VALUE"""),"")</f>
        <v/>
      </c>
    </row>
    <row r="366">
      <c r="A366" s="136"/>
      <c r="B366" s="136"/>
      <c r="C366" s="136" t="str">
        <f t="shared" si="3"/>
        <v/>
      </c>
      <c r="D366" s="136"/>
      <c r="E366" s="106">
        <f>IFERROR(__xludf.DUMMYFUNCTION("""COMPUTED_VALUE"""),0.0)</f>
        <v>0</v>
      </c>
      <c r="F366" s="136"/>
      <c r="G366" s="106" t="s">
        <v>133</v>
      </c>
      <c r="H366" s="136">
        <f>IFERROR(__xludf.DUMMYFUNCTION("""COMPUTED_VALUE"""),0.0)</f>
        <v>0</v>
      </c>
      <c r="I366" s="139" t="s">
        <v>133</v>
      </c>
      <c r="J366" s="136" t="s">
        <v>133</v>
      </c>
      <c r="K366" s="136"/>
      <c r="L366" s="136" t="str">
        <f t="shared" si="1"/>
        <v/>
      </c>
      <c r="M366" s="136" t="str">
        <f>IFERROR(__xludf.DUMMYFUNCTION("""COMPUTED_VALUE"""),"")</f>
        <v/>
      </c>
      <c r="N366" s="141" t="s">
        <v>133</v>
      </c>
      <c r="O366" s="136" t="str">
        <f>IFERROR(__xludf.DUMMYFUNCTION("""COMPUTED_VALUE"""),"")</f>
        <v/>
      </c>
      <c r="P366" s="136" t="str">
        <f>IFERROR(__xludf.DUMMYFUNCTION("""COMPUTED_VALUE"""),"")</f>
        <v/>
      </c>
      <c r="Q366" s="106" t="str">
        <f>IFERROR(__xludf.DUMMYFUNCTION("""COMPUTED_VALUE"""),"")</f>
        <v/>
      </c>
      <c r="R366" s="106" t="str">
        <f>IFERROR(__xludf.DUMMYFUNCTION("""COMPUTED_VALUE"""),"")</f>
        <v/>
      </c>
      <c r="S366" s="139" t="str">
        <f>IFERROR(__xludf.DUMMYFUNCTION("""COMPUTED_VALUE"""),"")</f>
        <v/>
      </c>
      <c r="T366" s="139" t="str">
        <f>IFERROR(__xludf.DUMMYFUNCTION("""COMPUTED_VALUE"""),"")</f>
        <v/>
      </c>
      <c r="U366" s="136" t="str">
        <f>IFERROR(__xludf.DUMMYFUNCTION("""COMPUTED_VALUE"""),"")</f>
        <v/>
      </c>
      <c r="V366" s="106" t="str">
        <f>IFERROR(__xludf.DUMMYFUNCTION("""COMPUTED_VALUE"""),"")</f>
        <v/>
      </c>
      <c r="W366" s="143" t="str">
        <f t="shared" si="2"/>
        <v/>
      </c>
      <c r="X366" s="139" t="str">
        <f>IFERROR(__xludf.DUMMYFUNCTION("""COMPUTED_VALUE"""),"")</f>
        <v/>
      </c>
      <c r="Y366" s="141" t="str">
        <f>IFERROR(__xludf.DUMMYFUNCTION("""COMPUTED_VALUE"""),"")</f>
        <v/>
      </c>
    </row>
    <row r="367">
      <c r="A367" s="136"/>
      <c r="B367" s="136"/>
      <c r="C367" s="136" t="str">
        <f t="shared" si="3"/>
        <v/>
      </c>
      <c r="D367" s="136"/>
      <c r="E367" s="106">
        <f>IFERROR(__xludf.DUMMYFUNCTION("""COMPUTED_VALUE"""),0.0)</f>
        <v>0</v>
      </c>
      <c r="F367" s="136"/>
      <c r="G367" s="106" t="s">
        <v>133</v>
      </c>
      <c r="H367" s="136">
        <f>IFERROR(__xludf.DUMMYFUNCTION("""COMPUTED_VALUE"""),0.0)</f>
        <v>0</v>
      </c>
      <c r="I367" s="139" t="s">
        <v>133</v>
      </c>
      <c r="J367" s="136" t="s">
        <v>133</v>
      </c>
      <c r="K367" s="136"/>
      <c r="L367" s="136" t="str">
        <f t="shared" si="1"/>
        <v/>
      </c>
      <c r="M367" s="136" t="str">
        <f>IFERROR(__xludf.DUMMYFUNCTION("""COMPUTED_VALUE"""),"")</f>
        <v/>
      </c>
      <c r="N367" s="141" t="s">
        <v>133</v>
      </c>
      <c r="O367" s="136" t="str">
        <f>IFERROR(__xludf.DUMMYFUNCTION("""COMPUTED_VALUE"""),"")</f>
        <v/>
      </c>
      <c r="P367" s="136" t="str">
        <f>IFERROR(__xludf.DUMMYFUNCTION("""COMPUTED_VALUE"""),"")</f>
        <v/>
      </c>
      <c r="Q367" s="106" t="str">
        <f>IFERROR(__xludf.DUMMYFUNCTION("""COMPUTED_VALUE"""),"")</f>
        <v/>
      </c>
      <c r="R367" s="106" t="str">
        <f>IFERROR(__xludf.DUMMYFUNCTION("""COMPUTED_VALUE"""),"")</f>
        <v/>
      </c>
      <c r="S367" s="139" t="str">
        <f>IFERROR(__xludf.DUMMYFUNCTION("""COMPUTED_VALUE"""),"")</f>
        <v/>
      </c>
      <c r="T367" s="139" t="str">
        <f>IFERROR(__xludf.DUMMYFUNCTION("""COMPUTED_VALUE"""),"")</f>
        <v/>
      </c>
      <c r="U367" s="136" t="str">
        <f>IFERROR(__xludf.DUMMYFUNCTION("""COMPUTED_VALUE"""),"")</f>
        <v/>
      </c>
      <c r="V367" s="106" t="str">
        <f>IFERROR(__xludf.DUMMYFUNCTION("""COMPUTED_VALUE"""),"")</f>
        <v/>
      </c>
      <c r="W367" s="143" t="str">
        <f t="shared" si="2"/>
        <v/>
      </c>
      <c r="X367" s="139" t="str">
        <f>IFERROR(__xludf.DUMMYFUNCTION("""COMPUTED_VALUE"""),"")</f>
        <v/>
      </c>
      <c r="Y367" s="141" t="str">
        <f>IFERROR(__xludf.DUMMYFUNCTION("""COMPUTED_VALUE"""),"")</f>
        <v/>
      </c>
    </row>
    <row r="368">
      <c r="A368" s="136"/>
      <c r="B368" s="136"/>
      <c r="C368" s="136" t="str">
        <f t="shared" si="3"/>
        <v/>
      </c>
      <c r="D368" s="136"/>
      <c r="E368" s="106">
        <f>IFERROR(__xludf.DUMMYFUNCTION("""COMPUTED_VALUE"""),0.0)</f>
        <v>0</v>
      </c>
      <c r="F368" s="136"/>
      <c r="G368" s="106" t="s">
        <v>133</v>
      </c>
      <c r="H368" s="136">
        <f>IFERROR(__xludf.DUMMYFUNCTION("""COMPUTED_VALUE"""),0.0)</f>
        <v>0</v>
      </c>
      <c r="I368" s="139" t="s">
        <v>133</v>
      </c>
      <c r="J368" s="136" t="s">
        <v>133</v>
      </c>
      <c r="K368" s="136"/>
      <c r="L368" s="136" t="str">
        <f t="shared" si="1"/>
        <v/>
      </c>
      <c r="M368" s="136" t="str">
        <f>IFERROR(__xludf.DUMMYFUNCTION("""COMPUTED_VALUE"""),"")</f>
        <v/>
      </c>
      <c r="N368" s="141" t="s">
        <v>133</v>
      </c>
      <c r="O368" s="136" t="str">
        <f>IFERROR(__xludf.DUMMYFUNCTION("""COMPUTED_VALUE"""),"")</f>
        <v/>
      </c>
      <c r="P368" s="136" t="str">
        <f>IFERROR(__xludf.DUMMYFUNCTION("""COMPUTED_VALUE"""),"")</f>
        <v/>
      </c>
      <c r="Q368" s="106" t="str">
        <f>IFERROR(__xludf.DUMMYFUNCTION("""COMPUTED_VALUE"""),"")</f>
        <v/>
      </c>
      <c r="R368" s="106" t="str">
        <f>IFERROR(__xludf.DUMMYFUNCTION("""COMPUTED_VALUE"""),"")</f>
        <v/>
      </c>
      <c r="S368" s="139" t="str">
        <f>IFERROR(__xludf.DUMMYFUNCTION("""COMPUTED_VALUE"""),"")</f>
        <v/>
      </c>
      <c r="T368" s="139" t="str">
        <f>IFERROR(__xludf.DUMMYFUNCTION("""COMPUTED_VALUE"""),"")</f>
        <v/>
      </c>
      <c r="U368" s="136" t="str">
        <f>IFERROR(__xludf.DUMMYFUNCTION("""COMPUTED_VALUE"""),"")</f>
        <v/>
      </c>
      <c r="V368" s="106" t="str">
        <f>IFERROR(__xludf.DUMMYFUNCTION("""COMPUTED_VALUE"""),"")</f>
        <v/>
      </c>
      <c r="W368" s="143" t="str">
        <f t="shared" si="2"/>
        <v/>
      </c>
      <c r="X368" s="139" t="str">
        <f>IFERROR(__xludf.DUMMYFUNCTION("""COMPUTED_VALUE"""),"")</f>
        <v/>
      </c>
      <c r="Y368" s="141" t="str">
        <f>IFERROR(__xludf.DUMMYFUNCTION("""COMPUTED_VALUE"""),"")</f>
        <v/>
      </c>
    </row>
    <row r="369">
      <c r="A369" s="136"/>
      <c r="B369" s="136"/>
      <c r="C369" s="136" t="str">
        <f t="shared" si="3"/>
        <v/>
      </c>
      <c r="D369" s="136"/>
      <c r="E369" s="106">
        <f>IFERROR(__xludf.DUMMYFUNCTION("""COMPUTED_VALUE"""),0.0)</f>
        <v>0</v>
      </c>
      <c r="F369" s="136"/>
      <c r="G369" s="106" t="s">
        <v>133</v>
      </c>
      <c r="H369" s="136">
        <f>IFERROR(__xludf.DUMMYFUNCTION("""COMPUTED_VALUE"""),0.0)</f>
        <v>0</v>
      </c>
      <c r="I369" s="139" t="s">
        <v>133</v>
      </c>
      <c r="J369" s="136" t="s">
        <v>133</v>
      </c>
      <c r="K369" s="136"/>
      <c r="L369" s="136" t="str">
        <f t="shared" si="1"/>
        <v/>
      </c>
      <c r="M369" s="136" t="str">
        <f>IFERROR(__xludf.DUMMYFUNCTION("""COMPUTED_VALUE"""),"")</f>
        <v/>
      </c>
      <c r="N369" s="141" t="s">
        <v>133</v>
      </c>
      <c r="O369" s="136" t="str">
        <f>IFERROR(__xludf.DUMMYFUNCTION("""COMPUTED_VALUE"""),"")</f>
        <v/>
      </c>
      <c r="P369" s="136" t="str">
        <f>IFERROR(__xludf.DUMMYFUNCTION("""COMPUTED_VALUE"""),"")</f>
        <v/>
      </c>
      <c r="Q369" s="106" t="str">
        <f>IFERROR(__xludf.DUMMYFUNCTION("""COMPUTED_VALUE"""),"")</f>
        <v/>
      </c>
      <c r="R369" s="106" t="str">
        <f>IFERROR(__xludf.DUMMYFUNCTION("""COMPUTED_VALUE"""),"")</f>
        <v/>
      </c>
      <c r="S369" s="139" t="str">
        <f>IFERROR(__xludf.DUMMYFUNCTION("""COMPUTED_VALUE"""),"")</f>
        <v/>
      </c>
      <c r="T369" s="139" t="str">
        <f>IFERROR(__xludf.DUMMYFUNCTION("""COMPUTED_VALUE"""),"")</f>
        <v/>
      </c>
      <c r="U369" s="136" t="str">
        <f>IFERROR(__xludf.DUMMYFUNCTION("""COMPUTED_VALUE"""),"")</f>
        <v/>
      </c>
      <c r="V369" s="106" t="str">
        <f>IFERROR(__xludf.DUMMYFUNCTION("""COMPUTED_VALUE"""),"")</f>
        <v/>
      </c>
      <c r="W369" s="143" t="str">
        <f t="shared" si="2"/>
        <v/>
      </c>
      <c r="X369" s="139" t="str">
        <f>IFERROR(__xludf.DUMMYFUNCTION("""COMPUTED_VALUE"""),"")</f>
        <v/>
      </c>
      <c r="Y369" s="141" t="str">
        <f>IFERROR(__xludf.DUMMYFUNCTION("""COMPUTED_VALUE"""),"")</f>
        <v/>
      </c>
    </row>
    <row r="370">
      <c r="A370" s="136"/>
      <c r="B370" s="136"/>
      <c r="C370" s="136" t="str">
        <f t="shared" si="3"/>
        <v/>
      </c>
      <c r="D370" s="136"/>
      <c r="E370" s="106">
        <f>IFERROR(__xludf.DUMMYFUNCTION("""COMPUTED_VALUE"""),0.0)</f>
        <v>0</v>
      </c>
      <c r="F370" s="136"/>
      <c r="G370" s="106" t="s">
        <v>133</v>
      </c>
      <c r="H370" s="136">
        <f>IFERROR(__xludf.DUMMYFUNCTION("""COMPUTED_VALUE"""),0.0)</f>
        <v>0</v>
      </c>
      <c r="I370" s="139" t="s">
        <v>133</v>
      </c>
      <c r="J370" s="136" t="s">
        <v>133</v>
      </c>
      <c r="K370" s="136"/>
      <c r="L370" s="136" t="str">
        <f t="shared" si="1"/>
        <v/>
      </c>
      <c r="M370" s="136" t="str">
        <f>IFERROR(__xludf.DUMMYFUNCTION("""COMPUTED_VALUE"""),"")</f>
        <v/>
      </c>
      <c r="N370" s="141" t="s">
        <v>133</v>
      </c>
      <c r="O370" s="136" t="str">
        <f>IFERROR(__xludf.DUMMYFUNCTION("""COMPUTED_VALUE"""),"")</f>
        <v/>
      </c>
      <c r="P370" s="136" t="str">
        <f>IFERROR(__xludf.DUMMYFUNCTION("""COMPUTED_VALUE"""),"")</f>
        <v/>
      </c>
      <c r="Q370" s="106" t="str">
        <f>IFERROR(__xludf.DUMMYFUNCTION("""COMPUTED_VALUE"""),"")</f>
        <v/>
      </c>
      <c r="R370" s="106" t="str">
        <f>IFERROR(__xludf.DUMMYFUNCTION("""COMPUTED_VALUE"""),"")</f>
        <v/>
      </c>
      <c r="S370" s="139" t="str">
        <f>IFERROR(__xludf.DUMMYFUNCTION("""COMPUTED_VALUE"""),"")</f>
        <v/>
      </c>
      <c r="T370" s="139" t="str">
        <f>IFERROR(__xludf.DUMMYFUNCTION("""COMPUTED_VALUE"""),"")</f>
        <v/>
      </c>
      <c r="U370" s="136" t="str">
        <f>IFERROR(__xludf.DUMMYFUNCTION("""COMPUTED_VALUE"""),"")</f>
        <v/>
      </c>
      <c r="V370" s="106" t="str">
        <f>IFERROR(__xludf.DUMMYFUNCTION("""COMPUTED_VALUE"""),"")</f>
        <v/>
      </c>
      <c r="W370" s="143" t="str">
        <f t="shared" si="2"/>
        <v/>
      </c>
      <c r="X370" s="139" t="str">
        <f>IFERROR(__xludf.DUMMYFUNCTION("""COMPUTED_VALUE"""),"")</f>
        <v/>
      </c>
      <c r="Y370" s="141" t="str">
        <f>IFERROR(__xludf.DUMMYFUNCTION("""COMPUTED_VALUE"""),"")</f>
        <v/>
      </c>
    </row>
    <row r="371">
      <c r="A371" s="136"/>
      <c r="B371" s="136"/>
      <c r="C371" s="136" t="str">
        <f t="shared" si="3"/>
        <v/>
      </c>
      <c r="D371" s="136"/>
      <c r="E371" s="106">
        <f>IFERROR(__xludf.DUMMYFUNCTION("""COMPUTED_VALUE"""),0.0)</f>
        <v>0</v>
      </c>
      <c r="F371" s="136"/>
      <c r="G371" s="106" t="s">
        <v>133</v>
      </c>
      <c r="H371" s="136">
        <f>IFERROR(__xludf.DUMMYFUNCTION("""COMPUTED_VALUE"""),0.0)</f>
        <v>0</v>
      </c>
      <c r="I371" s="139" t="s">
        <v>133</v>
      </c>
      <c r="J371" s="136" t="s">
        <v>133</v>
      </c>
      <c r="K371" s="136"/>
      <c r="L371" s="136" t="str">
        <f t="shared" si="1"/>
        <v/>
      </c>
      <c r="M371" s="136" t="str">
        <f>IFERROR(__xludf.DUMMYFUNCTION("""COMPUTED_VALUE"""),"")</f>
        <v/>
      </c>
      <c r="N371" s="141" t="s">
        <v>133</v>
      </c>
      <c r="O371" s="136" t="str">
        <f>IFERROR(__xludf.DUMMYFUNCTION("""COMPUTED_VALUE"""),"")</f>
        <v/>
      </c>
      <c r="P371" s="136" t="str">
        <f>IFERROR(__xludf.DUMMYFUNCTION("""COMPUTED_VALUE"""),"")</f>
        <v/>
      </c>
      <c r="Q371" s="106" t="str">
        <f>IFERROR(__xludf.DUMMYFUNCTION("""COMPUTED_VALUE"""),"")</f>
        <v/>
      </c>
      <c r="R371" s="106" t="str">
        <f>IFERROR(__xludf.DUMMYFUNCTION("""COMPUTED_VALUE"""),"")</f>
        <v/>
      </c>
      <c r="S371" s="139" t="str">
        <f>IFERROR(__xludf.DUMMYFUNCTION("""COMPUTED_VALUE"""),"")</f>
        <v/>
      </c>
      <c r="T371" s="139" t="str">
        <f>IFERROR(__xludf.DUMMYFUNCTION("""COMPUTED_VALUE"""),"")</f>
        <v/>
      </c>
      <c r="U371" s="136" t="str">
        <f>IFERROR(__xludf.DUMMYFUNCTION("""COMPUTED_VALUE"""),"")</f>
        <v/>
      </c>
      <c r="V371" s="106" t="str">
        <f>IFERROR(__xludf.DUMMYFUNCTION("""COMPUTED_VALUE"""),"")</f>
        <v/>
      </c>
      <c r="W371" s="143" t="str">
        <f t="shared" si="2"/>
        <v/>
      </c>
      <c r="X371" s="139" t="str">
        <f>IFERROR(__xludf.DUMMYFUNCTION("""COMPUTED_VALUE"""),"")</f>
        <v/>
      </c>
      <c r="Y371" s="141" t="str">
        <f>IFERROR(__xludf.DUMMYFUNCTION("""COMPUTED_VALUE"""),"")</f>
        <v/>
      </c>
    </row>
    <row r="372">
      <c r="A372" s="136"/>
      <c r="B372" s="136"/>
      <c r="C372" s="136" t="str">
        <f t="shared" si="3"/>
        <v/>
      </c>
      <c r="D372" s="136"/>
      <c r="E372" s="106">
        <f>IFERROR(__xludf.DUMMYFUNCTION("""COMPUTED_VALUE"""),0.0)</f>
        <v>0</v>
      </c>
      <c r="F372" s="136"/>
      <c r="G372" s="106" t="s">
        <v>133</v>
      </c>
      <c r="H372" s="136">
        <f>IFERROR(__xludf.DUMMYFUNCTION("""COMPUTED_VALUE"""),0.0)</f>
        <v>0</v>
      </c>
      <c r="I372" s="139" t="s">
        <v>133</v>
      </c>
      <c r="J372" s="136" t="s">
        <v>133</v>
      </c>
      <c r="K372" s="136"/>
      <c r="L372" s="136" t="str">
        <f t="shared" si="1"/>
        <v/>
      </c>
      <c r="M372" s="136" t="str">
        <f>IFERROR(__xludf.DUMMYFUNCTION("""COMPUTED_VALUE"""),"")</f>
        <v/>
      </c>
      <c r="N372" s="141" t="s">
        <v>133</v>
      </c>
      <c r="O372" s="136" t="str">
        <f>IFERROR(__xludf.DUMMYFUNCTION("""COMPUTED_VALUE"""),"")</f>
        <v/>
      </c>
      <c r="P372" s="136" t="str">
        <f>IFERROR(__xludf.DUMMYFUNCTION("""COMPUTED_VALUE"""),"")</f>
        <v/>
      </c>
      <c r="Q372" s="106" t="str">
        <f>IFERROR(__xludf.DUMMYFUNCTION("""COMPUTED_VALUE"""),"")</f>
        <v/>
      </c>
      <c r="R372" s="106" t="str">
        <f>IFERROR(__xludf.DUMMYFUNCTION("""COMPUTED_VALUE"""),"")</f>
        <v/>
      </c>
      <c r="S372" s="139" t="str">
        <f>IFERROR(__xludf.DUMMYFUNCTION("""COMPUTED_VALUE"""),"")</f>
        <v/>
      </c>
      <c r="T372" s="139" t="str">
        <f>IFERROR(__xludf.DUMMYFUNCTION("""COMPUTED_VALUE"""),"")</f>
        <v/>
      </c>
      <c r="U372" s="136" t="str">
        <f>IFERROR(__xludf.DUMMYFUNCTION("""COMPUTED_VALUE"""),"")</f>
        <v/>
      </c>
      <c r="V372" s="106" t="str">
        <f>IFERROR(__xludf.DUMMYFUNCTION("""COMPUTED_VALUE"""),"")</f>
        <v/>
      </c>
      <c r="W372" s="143" t="str">
        <f t="shared" si="2"/>
        <v/>
      </c>
      <c r="X372" s="139" t="str">
        <f>IFERROR(__xludf.DUMMYFUNCTION("""COMPUTED_VALUE"""),"")</f>
        <v/>
      </c>
      <c r="Y372" s="141" t="str">
        <f>IFERROR(__xludf.DUMMYFUNCTION("""COMPUTED_VALUE"""),"")</f>
        <v/>
      </c>
    </row>
    <row r="373">
      <c r="A373" s="136"/>
      <c r="B373" s="136"/>
      <c r="C373" s="136" t="str">
        <f t="shared" si="3"/>
        <v/>
      </c>
      <c r="D373" s="136"/>
      <c r="E373" s="106">
        <f>IFERROR(__xludf.DUMMYFUNCTION("""COMPUTED_VALUE"""),0.0)</f>
        <v>0</v>
      </c>
      <c r="F373" s="136"/>
      <c r="G373" s="106" t="s">
        <v>133</v>
      </c>
      <c r="H373" s="136">
        <f>IFERROR(__xludf.DUMMYFUNCTION("""COMPUTED_VALUE"""),0.0)</f>
        <v>0</v>
      </c>
      <c r="I373" s="139" t="s">
        <v>133</v>
      </c>
      <c r="J373" s="136" t="s">
        <v>133</v>
      </c>
      <c r="K373" s="136"/>
      <c r="L373" s="136" t="str">
        <f t="shared" si="1"/>
        <v/>
      </c>
      <c r="M373" s="136" t="str">
        <f>IFERROR(__xludf.DUMMYFUNCTION("""COMPUTED_VALUE"""),"")</f>
        <v/>
      </c>
      <c r="N373" s="141" t="s">
        <v>133</v>
      </c>
      <c r="O373" s="136" t="str">
        <f>IFERROR(__xludf.DUMMYFUNCTION("""COMPUTED_VALUE"""),"")</f>
        <v/>
      </c>
      <c r="P373" s="136" t="str">
        <f>IFERROR(__xludf.DUMMYFUNCTION("""COMPUTED_VALUE"""),"")</f>
        <v/>
      </c>
      <c r="Q373" s="106" t="str">
        <f>IFERROR(__xludf.DUMMYFUNCTION("""COMPUTED_VALUE"""),"")</f>
        <v/>
      </c>
      <c r="R373" s="106" t="str">
        <f>IFERROR(__xludf.DUMMYFUNCTION("""COMPUTED_VALUE"""),"")</f>
        <v/>
      </c>
      <c r="S373" s="139" t="str">
        <f>IFERROR(__xludf.DUMMYFUNCTION("""COMPUTED_VALUE"""),"")</f>
        <v/>
      </c>
      <c r="T373" s="139" t="str">
        <f>IFERROR(__xludf.DUMMYFUNCTION("""COMPUTED_VALUE"""),"")</f>
        <v/>
      </c>
      <c r="U373" s="136" t="str">
        <f>IFERROR(__xludf.DUMMYFUNCTION("""COMPUTED_VALUE"""),"")</f>
        <v/>
      </c>
      <c r="V373" s="106" t="str">
        <f>IFERROR(__xludf.DUMMYFUNCTION("""COMPUTED_VALUE"""),"")</f>
        <v/>
      </c>
      <c r="W373" s="143" t="str">
        <f t="shared" si="2"/>
        <v/>
      </c>
      <c r="X373" s="139" t="str">
        <f>IFERROR(__xludf.DUMMYFUNCTION("""COMPUTED_VALUE"""),"")</f>
        <v/>
      </c>
      <c r="Y373" s="141" t="str">
        <f>IFERROR(__xludf.DUMMYFUNCTION("""COMPUTED_VALUE"""),"")</f>
        <v/>
      </c>
    </row>
    <row r="374">
      <c r="A374" s="136"/>
      <c r="B374" s="136"/>
      <c r="C374" s="136" t="str">
        <f t="shared" si="3"/>
        <v/>
      </c>
      <c r="D374" s="136"/>
      <c r="E374" s="106">
        <f>IFERROR(__xludf.DUMMYFUNCTION("""COMPUTED_VALUE"""),0.0)</f>
        <v>0</v>
      </c>
      <c r="F374" s="136"/>
      <c r="G374" s="106" t="s">
        <v>133</v>
      </c>
      <c r="H374" s="136">
        <f>IFERROR(__xludf.DUMMYFUNCTION("""COMPUTED_VALUE"""),0.0)</f>
        <v>0</v>
      </c>
      <c r="I374" s="139" t="s">
        <v>133</v>
      </c>
      <c r="J374" s="136" t="s">
        <v>133</v>
      </c>
      <c r="K374" s="136"/>
      <c r="L374" s="136" t="str">
        <f t="shared" si="1"/>
        <v/>
      </c>
      <c r="M374" s="136" t="str">
        <f>IFERROR(__xludf.DUMMYFUNCTION("""COMPUTED_VALUE"""),"")</f>
        <v/>
      </c>
      <c r="N374" s="141" t="s">
        <v>133</v>
      </c>
      <c r="O374" s="136" t="str">
        <f>IFERROR(__xludf.DUMMYFUNCTION("""COMPUTED_VALUE"""),"")</f>
        <v/>
      </c>
      <c r="P374" s="136" t="str">
        <f>IFERROR(__xludf.DUMMYFUNCTION("""COMPUTED_VALUE"""),"")</f>
        <v/>
      </c>
      <c r="Q374" s="106" t="str">
        <f>IFERROR(__xludf.DUMMYFUNCTION("""COMPUTED_VALUE"""),"")</f>
        <v/>
      </c>
      <c r="R374" s="106" t="str">
        <f>IFERROR(__xludf.DUMMYFUNCTION("""COMPUTED_VALUE"""),"")</f>
        <v/>
      </c>
      <c r="S374" s="139" t="str">
        <f>IFERROR(__xludf.DUMMYFUNCTION("""COMPUTED_VALUE"""),"")</f>
        <v/>
      </c>
      <c r="T374" s="139" t="str">
        <f>IFERROR(__xludf.DUMMYFUNCTION("""COMPUTED_VALUE"""),"")</f>
        <v/>
      </c>
      <c r="U374" s="136" t="str">
        <f>IFERROR(__xludf.DUMMYFUNCTION("""COMPUTED_VALUE"""),"")</f>
        <v/>
      </c>
      <c r="V374" s="106" t="str">
        <f>IFERROR(__xludf.DUMMYFUNCTION("""COMPUTED_VALUE"""),"")</f>
        <v/>
      </c>
      <c r="W374" s="143" t="str">
        <f t="shared" si="2"/>
        <v/>
      </c>
      <c r="X374" s="139" t="str">
        <f>IFERROR(__xludf.DUMMYFUNCTION("""COMPUTED_VALUE"""),"")</f>
        <v/>
      </c>
      <c r="Y374" s="141" t="str">
        <f>IFERROR(__xludf.DUMMYFUNCTION("""COMPUTED_VALUE"""),"")</f>
        <v/>
      </c>
    </row>
    <row r="375">
      <c r="A375" s="136"/>
      <c r="B375" s="136"/>
      <c r="C375" s="136" t="str">
        <f t="shared" si="3"/>
        <v/>
      </c>
      <c r="D375" s="136"/>
      <c r="E375" s="106">
        <f>IFERROR(__xludf.DUMMYFUNCTION("""COMPUTED_VALUE"""),0.0)</f>
        <v>0</v>
      </c>
      <c r="F375" s="136"/>
      <c r="G375" s="106" t="s">
        <v>133</v>
      </c>
      <c r="H375" s="136">
        <f>IFERROR(__xludf.DUMMYFUNCTION("""COMPUTED_VALUE"""),0.0)</f>
        <v>0</v>
      </c>
      <c r="I375" s="139" t="s">
        <v>133</v>
      </c>
      <c r="J375" s="136" t="s">
        <v>133</v>
      </c>
      <c r="K375" s="136"/>
      <c r="L375" s="136" t="str">
        <f t="shared" si="1"/>
        <v/>
      </c>
      <c r="M375" s="136" t="str">
        <f>IFERROR(__xludf.DUMMYFUNCTION("""COMPUTED_VALUE"""),"")</f>
        <v/>
      </c>
      <c r="N375" s="141" t="s">
        <v>133</v>
      </c>
      <c r="O375" s="136" t="str">
        <f>IFERROR(__xludf.DUMMYFUNCTION("""COMPUTED_VALUE"""),"")</f>
        <v/>
      </c>
      <c r="P375" s="136" t="str">
        <f>IFERROR(__xludf.DUMMYFUNCTION("""COMPUTED_VALUE"""),"")</f>
        <v/>
      </c>
      <c r="Q375" s="106" t="str">
        <f>IFERROR(__xludf.DUMMYFUNCTION("""COMPUTED_VALUE"""),"")</f>
        <v/>
      </c>
      <c r="R375" s="106" t="str">
        <f>IFERROR(__xludf.DUMMYFUNCTION("""COMPUTED_VALUE"""),"")</f>
        <v/>
      </c>
      <c r="S375" s="139" t="str">
        <f>IFERROR(__xludf.DUMMYFUNCTION("""COMPUTED_VALUE"""),"")</f>
        <v/>
      </c>
      <c r="T375" s="139" t="str">
        <f>IFERROR(__xludf.DUMMYFUNCTION("""COMPUTED_VALUE"""),"")</f>
        <v/>
      </c>
      <c r="U375" s="136" t="str">
        <f>IFERROR(__xludf.DUMMYFUNCTION("""COMPUTED_VALUE"""),"")</f>
        <v/>
      </c>
      <c r="V375" s="106" t="str">
        <f>IFERROR(__xludf.DUMMYFUNCTION("""COMPUTED_VALUE"""),"")</f>
        <v/>
      </c>
      <c r="W375" s="143" t="str">
        <f t="shared" si="2"/>
        <v/>
      </c>
      <c r="X375" s="139" t="str">
        <f>IFERROR(__xludf.DUMMYFUNCTION("""COMPUTED_VALUE"""),"")</f>
        <v/>
      </c>
      <c r="Y375" s="141" t="str">
        <f>IFERROR(__xludf.DUMMYFUNCTION("""COMPUTED_VALUE"""),"")</f>
        <v/>
      </c>
    </row>
    <row r="376">
      <c r="A376" s="136"/>
      <c r="B376" s="136"/>
      <c r="C376" s="136" t="str">
        <f t="shared" si="3"/>
        <v/>
      </c>
      <c r="D376" s="136"/>
      <c r="E376" s="106">
        <f>IFERROR(__xludf.DUMMYFUNCTION("""COMPUTED_VALUE"""),0.0)</f>
        <v>0</v>
      </c>
      <c r="F376" s="136"/>
      <c r="G376" s="106" t="s">
        <v>133</v>
      </c>
      <c r="H376" s="136">
        <f>IFERROR(__xludf.DUMMYFUNCTION("""COMPUTED_VALUE"""),0.0)</f>
        <v>0</v>
      </c>
      <c r="I376" s="139" t="s">
        <v>133</v>
      </c>
      <c r="J376" s="136" t="s">
        <v>133</v>
      </c>
      <c r="K376" s="136"/>
      <c r="L376" s="136" t="str">
        <f t="shared" si="1"/>
        <v/>
      </c>
      <c r="M376" s="136" t="str">
        <f>IFERROR(__xludf.DUMMYFUNCTION("""COMPUTED_VALUE"""),"")</f>
        <v/>
      </c>
      <c r="N376" s="141" t="s">
        <v>133</v>
      </c>
      <c r="O376" s="136" t="str">
        <f>IFERROR(__xludf.DUMMYFUNCTION("""COMPUTED_VALUE"""),"")</f>
        <v/>
      </c>
      <c r="P376" s="136" t="str">
        <f>IFERROR(__xludf.DUMMYFUNCTION("""COMPUTED_VALUE"""),"")</f>
        <v/>
      </c>
      <c r="Q376" s="106" t="str">
        <f>IFERROR(__xludf.DUMMYFUNCTION("""COMPUTED_VALUE"""),"")</f>
        <v/>
      </c>
      <c r="R376" s="106" t="str">
        <f>IFERROR(__xludf.DUMMYFUNCTION("""COMPUTED_VALUE"""),"")</f>
        <v/>
      </c>
      <c r="S376" s="139" t="str">
        <f>IFERROR(__xludf.DUMMYFUNCTION("""COMPUTED_VALUE"""),"")</f>
        <v/>
      </c>
      <c r="T376" s="139" t="str">
        <f>IFERROR(__xludf.DUMMYFUNCTION("""COMPUTED_VALUE"""),"")</f>
        <v/>
      </c>
      <c r="U376" s="136" t="str">
        <f>IFERROR(__xludf.DUMMYFUNCTION("""COMPUTED_VALUE"""),"")</f>
        <v/>
      </c>
      <c r="V376" s="106" t="str">
        <f>IFERROR(__xludf.DUMMYFUNCTION("""COMPUTED_VALUE"""),"")</f>
        <v/>
      </c>
      <c r="W376" s="143" t="str">
        <f t="shared" si="2"/>
        <v/>
      </c>
      <c r="X376" s="139" t="str">
        <f>IFERROR(__xludf.DUMMYFUNCTION("""COMPUTED_VALUE"""),"")</f>
        <v/>
      </c>
      <c r="Y376" s="141" t="str">
        <f>IFERROR(__xludf.DUMMYFUNCTION("""COMPUTED_VALUE"""),"")</f>
        <v/>
      </c>
    </row>
    <row r="377">
      <c r="A377" s="136"/>
      <c r="B377" s="136"/>
      <c r="C377" s="136" t="str">
        <f t="shared" si="3"/>
        <v/>
      </c>
      <c r="D377" s="136"/>
      <c r="E377" s="106">
        <f>IFERROR(__xludf.DUMMYFUNCTION("""COMPUTED_VALUE"""),0.0)</f>
        <v>0</v>
      </c>
      <c r="F377" s="136"/>
      <c r="G377" s="106" t="s">
        <v>133</v>
      </c>
      <c r="H377" s="136">
        <f>IFERROR(__xludf.DUMMYFUNCTION("""COMPUTED_VALUE"""),0.0)</f>
        <v>0</v>
      </c>
      <c r="I377" s="139" t="s">
        <v>133</v>
      </c>
      <c r="J377" s="136" t="s">
        <v>133</v>
      </c>
      <c r="K377" s="136"/>
      <c r="L377" s="136" t="str">
        <f t="shared" si="1"/>
        <v/>
      </c>
      <c r="M377" s="136" t="str">
        <f>IFERROR(__xludf.DUMMYFUNCTION("""COMPUTED_VALUE"""),"")</f>
        <v/>
      </c>
      <c r="N377" s="141" t="s">
        <v>133</v>
      </c>
      <c r="O377" s="136" t="str">
        <f>IFERROR(__xludf.DUMMYFUNCTION("""COMPUTED_VALUE"""),"")</f>
        <v/>
      </c>
      <c r="P377" s="136" t="str">
        <f>IFERROR(__xludf.DUMMYFUNCTION("""COMPUTED_VALUE"""),"")</f>
        <v/>
      </c>
      <c r="Q377" s="106" t="str">
        <f>IFERROR(__xludf.DUMMYFUNCTION("""COMPUTED_VALUE"""),"")</f>
        <v/>
      </c>
      <c r="R377" s="106" t="str">
        <f>IFERROR(__xludf.DUMMYFUNCTION("""COMPUTED_VALUE"""),"")</f>
        <v/>
      </c>
      <c r="S377" s="139" t="str">
        <f>IFERROR(__xludf.DUMMYFUNCTION("""COMPUTED_VALUE"""),"")</f>
        <v/>
      </c>
      <c r="T377" s="139" t="str">
        <f>IFERROR(__xludf.DUMMYFUNCTION("""COMPUTED_VALUE"""),"")</f>
        <v/>
      </c>
      <c r="U377" s="136" t="str">
        <f>IFERROR(__xludf.DUMMYFUNCTION("""COMPUTED_VALUE"""),"")</f>
        <v/>
      </c>
      <c r="V377" s="106" t="str">
        <f>IFERROR(__xludf.DUMMYFUNCTION("""COMPUTED_VALUE"""),"")</f>
        <v/>
      </c>
      <c r="W377" s="143" t="str">
        <f t="shared" si="2"/>
        <v/>
      </c>
      <c r="X377" s="139" t="str">
        <f>IFERROR(__xludf.DUMMYFUNCTION("""COMPUTED_VALUE"""),"")</f>
        <v/>
      </c>
      <c r="Y377" s="141" t="str">
        <f>IFERROR(__xludf.DUMMYFUNCTION("""COMPUTED_VALUE"""),"")</f>
        <v/>
      </c>
    </row>
    <row r="378">
      <c r="A378" s="136"/>
      <c r="B378" s="136"/>
      <c r="C378" s="136" t="str">
        <f t="shared" si="3"/>
        <v/>
      </c>
      <c r="D378" s="136"/>
      <c r="E378" s="106">
        <f>IFERROR(__xludf.DUMMYFUNCTION("""COMPUTED_VALUE"""),0.0)</f>
        <v>0</v>
      </c>
      <c r="F378" s="136"/>
      <c r="G378" s="106" t="s">
        <v>133</v>
      </c>
      <c r="H378" s="136">
        <f>IFERROR(__xludf.DUMMYFUNCTION("""COMPUTED_VALUE"""),0.0)</f>
        <v>0</v>
      </c>
      <c r="I378" s="139" t="s">
        <v>133</v>
      </c>
      <c r="J378" s="136" t="s">
        <v>133</v>
      </c>
      <c r="K378" s="136"/>
      <c r="L378" s="136" t="str">
        <f t="shared" si="1"/>
        <v/>
      </c>
      <c r="M378" s="136" t="str">
        <f>IFERROR(__xludf.DUMMYFUNCTION("""COMPUTED_VALUE"""),"")</f>
        <v/>
      </c>
      <c r="N378" s="141" t="s">
        <v>133</v>
      </c>
      <c r="O378" s="136" t="str">
        <f>IFERROR(__xludf.DUMMYFUNCTION("""COMPUTED_VALUE"""),"")</f>
        <v/>
      </c>
      <c r="P378" s="136" t="str">
        <f>IFERROR(__xludf.DUMMYFUNCTION("""COMPUTED_VALUE"""),"")</f>
        <v/>
      </c>
      <c r="Q378" s="106" t="str">
        <f>IFERROR(__xludf.DUMMYFUNCTION("""COMPUTED_VALUE"""),"")</f>
        <v/>
      </c>
      <c r="R378" s="106" t="str">
        <f>IFERROR(__xludf.DUMMYFUNCTION("""COMPUTED_VALUE"""),"")</f>
        <v/>
      </c>
      <c r="S378" s="139" t="str">
        <f>IFERROR(__xludf.DUMMYFUNCTION("""COMPUTED_VALUE"""),"")</f>
        <v/>
      </c>
      <c r="T378" s="139" t="str">
        <f>IFERROR(__xludf.DUMMYFUNCTION("""COMPUTED_VALUE"""),"")</f>
        <v/>
      </c>
      <c r="U378" s="136" t="str">
        <f>IFERROR(__xludf.DUMMYFUNCTION("""COMPUTED_VALUE"""),"")</f>
        <v/>
      </c>
      <c r="V378" s="106" t="str">
        <f>IFERROR(__xludf.DUMMYFUNCTION("""COMPUTED_VALUE"""),"")</f>
        <v/>
      </c>
      <c r="W378" s="143" t="str">
        <f t="shared" si="2"/>
        <v/>
      </c>
      <c r="X378" s="139" t="str">
        <f>IFERROR(__xludf.DUMMYFUNCTION("""COMPUTED_VALUE"""),"")</f>
        <v/>
      </c>
      <c r="Y378" s="141" t="str">
        <f>IFERROR(__xludf.DUMMYFUNCTION("""COMPUTED_VALUE"""),"")</f>
        <v/>
      </c>
    </row>
    <row r="379">
      <c r="A379" s="136"/>
      <c r="B379" s="136"/>
      <c r="C379" s="136" t="str">
        <f t="shared" si="3"/>
        <v/>
      </c>
      <c r="D379" s="136"/>
      <c r="E379" s="106">
        <f>IFERROR(__xludf.DUMMYFUNCTION("""COMPUTED_VALUE"""),0.0)</f>
        <v>0</v>
      </c>
      <c r="F379" s="136"/>
      <c r="G379" s="106" t="s">
        <v>133</v>
      </c>
      <c r="H379" s="136">
        <f>IFERROR(__xludf.DUMMYFUNCTION("""COMPUTED_VALUE"""),0.0)</f>
        <v>0</v>
      </c>
      <c r="I379" s="139" t="s">
        <v>133</v>
      </c>
      <c r="J379" s="136" t="s">
        <v>133</v>
      </c>
      <c r="K379" s="136"/>
      <c r="L379" s="136" t="str">
        <f t="shared" si="1"/>
        <v/>
      </c>
      <c r="M379" s="136" t="str">
        <f>IFERROR(__xludf.DUMMYFUNCTION("""COMPUTED_VALUE"""),"")</f>
        <v/>
      </c>
      <c r="N379" s="141" t="s">
        <v>133</v>
      </c>
      <c r="O379" s="136" t="str">
        <f>IFERROR(__xludf.DUMMYFUNCTION("""COMPUTED_VALUE"""),"")</f>
        <v/>
      </c>
      <c r="P379" s="136" t="str">
        <f>IFERROR(__xludf.DUMMYFUNCTION("""COMPUTED_VALUE"""),"")</f>
        <v/>
      </c>
      <c r="Q379" s="106" t="str">
        <f>IFERROR(__xludf.DUMMYFUNCTION("""COMPUTED_VALUE"""),"")</f>
        <v/>
      </c>
      <c r="R379" s="106" t="str">
        <f>IFERROR(__xludf.DUMMYFUNCTION("""COMPUTED_VALUE"""),"")</f>
        <v/>
      </c>
      <c r="S379" s="139" t="str">
        <f>IFERROR(__xludf.DUMMYFUNCTION("""COMPUTED_VALUE"""),"")</f>
        <v/>
      </c>
      <c r="T379" s="139" t="str">
        <f>IFERROR(__xludf.DUMMYFUNCTION("""COMPUTED_VALUE"""),"")</f>
        <v/>
      </c>
      <c r="U379" s="136" t="str">
        <f>IFERROR(__xludf.DUMMYFUNCTION("""COMPUTED_VALUE"""),"")</f>
        <v/>
      </c>
      <c r="V379" s="106" t="str">
        <f>IFERROR(__xludf.DUMMYFUNCTION("""COMPUTED_VALUE"""),"")</f>
        <v/>
      </c>
      <c r="W379" s="143" t="str">
        <f t="shared" si="2"/>
        <v/>
      </c>
      <c r="X379" s="139" t="str">
        <f>IFERROR(__xludf.DUMMYFUNCTION("""COMPUTED_VALUE"""),"")</f>
        <v/>
      </c>
      <c r="Y379" s="141" t="str">
        <f>IFERROR(__xludf.DUMMYFUNCTION("""COMPUTED_VALUE"""),"")</f>
        <v/>
      </c>
    </row>
    <row r="380">
      <c r="A380" s="136"/>
      <c r="B380" s="136"/>
      <c r="C380" s="136" t="str">
        <f t="shared" si="3"/>
        <v/>
      </c>
      <c r="D380" s="136"/>
      <c r="E380" s="106">
        <f>IFERROR(__xludf.DUMMYFUNCTION("""COMPUTED_VALUE"""),0.0)</f>
        <v>0</v>
      </c>
      <c r="F380" s="136"/>
      <c r="G380" s="106" t="s">
        <v>133</v>
      </c>
      <c r="H380" s="136">
        <f>IFERROR(__xludf.DUMMYFUNCTION("""COMPUTED_VALUE"""),0.0)</f>
        <v>0</v>
      </c>
      <c r="I380" s="139" t="s">
        <v>133</v>
      </c>
      <c r="J380" s="136" t="s">
        <v>133</v>
      </c>
      <c r="K380" s="136"/>
      <c r="L380" s="136" t="str">
        <f t="shared" si="1"/>
        <v/>
      </c>
      <c r="M380" s="136" t="str">
        <f>IFERROR(__xludf.DUMMYFUNCTION("""COMPUTED_VALUE"""),"")</f>
        <v/>
      </c>
      <c r="N380" s="141" t="s">
        <v>133</v>
      </c>
      <c r="O380" s="136" t="str">
        <f>IFERROR(__xludf.DUMMYFUNCTION("""COMPUTED_VALUE"""),"")</f>
        <v/>
      </c>
      <c r="P380" s="136" t="str">
        <f>IFERROR(__xludf.DUMMYFUNCTION("""COMPUTED_VALUE"""),"")</f>
        <v/>
      </c>
      <c r="Q380" s="106" t="str">
        <f>IFERROR(__xludf.DUMMYFUNCTION("""COMPUTED_VALUE"""),"")</f>
        <v/>
      </c>
      <c r="R380" s="106" t="str">
        <f>IFERROR(__xludf.DUMMYFUNCTION("""COMPUTED_VALUE"""),"")</f>
        <v/>
      </c>
      <c r="S380" s="139" t="str">
        <f>IFERROR(__xludf.DUMMYFUNCTION("""COMPUTED_VALUE"""),"")</f>
        <v/>
      </c>
      <c r="T380" s="139" t="str">
        <f>IFERROR(__xludf.DUMMYFUNCTION("""COMPUTED_VALUE"""),"")</f>
        <v/>
      </c>
      <c r="U380" s="136" t="str">
        <f>IFERROR(__xludf.DUMMYFUNCTION("""COMPUTED_VALUE"""),"")</f>
        <v/>
      </c>
      <c r="V380" s="106" t="str">
        <f>IFERROR(__xludf.DUMMYFUNCTION("""COMPUTED_VALUE"""),"")</f>
        <v/>
      </c>
      <c r="W380" s="143" t="str">
        <f t="shared" si="2"/>
        <v/>
      </c>
      <c r="X380" s="139" t="str">
        <f>IFERROR(__xludf.DUMMYFUNCTION("""COMPUTED_VALUE"""),"")</f>
        <v/>
      </c>
      <c r="Y380" s="141" t="str">
        <f>IFERROR(__xludf.DUMMYFUNCTION("""COMPUTED_VALUE"""),"")</f>
        <v/>
      </c>
    </row>
    <row r="381">
      <c r="A381" s="136"/>
      <c r="B381" s="136"/>
      <c r="C381" s="136" t="str">
        <f t="shared" si="3"/>
        <v/>
      </c>
      <c r="D381" s="136"/>
      <c r="E381" s="106">
        <f>IFERROR(__xludf.DUMMYFUNCTION("""COMPUTED_VALUE"""),0.0)</f>
        <v>0</v>
      </c>
      <c r="F381" s="136"/>
      <c r="G381" s="106" t="s">
        <v>133</v>
      </c>
      <c r="H381" s="136">
        <f>IFERROR(__xludf.DUMMYFUNCTION("""COMPUTED_VALUE"""),0.0)</f>
        <v>0</v>
      </c>
      <c r="I381" s="139" t="s">
        <v>133</v>
      </c>
      <c r="J381" s="136" t="s">
        <v>133</v>
      </c>
      <c r="K381" s="136"/>
      <c r="L381" s="136" t="str">
        <f t="shared" si="1"/>
        <v/>
      </c>
      <c r="M381" s="136" t="str">
        <f>IFERROR(__xludf.DUMMYFUNCTION("""COMPUTED_VALUE"""),"")</f>
        <v/>
      </c>
      <c r="N381" s="141" t="s">
        <v>133</v>
      </c>
      <c r="O381" s="136" t="str">
        <f>IFERROR(__xludf.DUMMYFUNCTION("""COMPUTED_VALUE"""),"")</f>
        <v/>
      </c>
      <c r="P381" s="136" t="str">
        <f>IFERROR(__xludf.DUMMYFUNCTION("""COMPUTED_VALUE"""),"")</f>
        <v/>
      </c>
      <c r="Q381" s="106" t="str">
        <f>IFERROR(__xludf.DUMMYFUNCTION("""COMPUTED_VALUE"""),"")</f>
        <v/>
      </c>
      <c r="R381" s="106" t="str">
        <f>IFERROR(__xludf.DUMMYFUNCTION("""COMPUTED_VALUE"""),"")</f>
        <v/>
      </c>
      <c r="S381" s="139" t="str">
        <f>IFERROR(__xludf.DUMMYFUNCTION("""COMPUTED_VALUE"""),"")</f>
        <v/>
      </c>
      <c r="T381" s="139" t="str">
        <f>IFERROR(__xludf.DUMMYFUNCTION("""COMPUTED_VALUE"""),"")</f>
        <v/>
      </c>
      <c r="U381" s="136" t="str">
        <f>IFERROR(__xludf.DUMMYFUNCTION("""COMPUTED_VALUE"""),"")</f>
        <v/>
      </c>
      <c r="V381" s="106" t="str">
        <f>IFERROR(__xludf.DUMMYFUNCTION("""COMPUTED_VALUE"""),"")</f>
        <v/>
      </c>
      <c r="W381" s="143" t="str">
        <f t="shared" si="2"/>
        <v/>
      </c>
      <c r="X381" s="139" t="str">
        <f>IFERROR(__xludf.DUMMYFUNCTION("""COMPUTED_VALUE"""),"")</f>
        <v/>
      </c>
      <c r="Y381" s="141" t="str">
        <f>IFERROR(__xludf.DUMMYFUNCTION("""COMPUTED_VALUE"""),"")</f>
        <v/>
      </c>
    </row>
    <row r="382">
      <c r="A382" s="136"/>
      <c r="B382" s="136"/>
      <c r="C382" s="136" t="str">
        <f t="shared" si="3"/>
        <v/>
      </c>
      <c r="D382" s="136"/>
      <c r="E382" s="106">
        <f>IFERROR(__xludf.DUMMYFUNCTION("""COMPUTED_VALUE"""),0.0)</f>
        <v>0</v>
      </c>
      <c r="F382" s="136"/>
      <c r="G382" s="106" t="s">
        <v>133</v>
      </c>
      <c r="H382" s="136">
        <f>IFERROR(__xludf.DUMMYFUNCTION("""COMPUTED_VALUE"""),0.0)</f>
        <v>0</v>
      </c>
      <c r="I382" s="139" t="s">
        <v>133</v>
      </c>
      <c r="J382" s="136" t="s">
        <v>133</v>
      </c>
      <c r="K382" s="136"/>
      <c r="L382" s="136" t="str">
        <f t="shared" si="1"/>
        <v/>
      </c>
      <c r="M382" s="136" t="str">
        <f>IFERROR(__xludf.DUMMYFUNCTION("""COMPUTED_VALUE"""),"")</f>
        <v/>
      </c>
      <c r="N382" s="141" t="s">
        <v>133</v>
      </c>
      <c r="O382" s="136" t="str">
        <f>IFERROR(__xludf.DUMMYFUNCTION("""COMPUTED_VALUE"""),"")</f>
        <v/>
      </c>
      <c r="P382" s="136" t="str">
        <f>IFERROR(__xludf.DUMMYFUNCTION("""COMPUTED_VALUE"""),"")</f>
        <v/>
      </c>
      <c r="Q382" s="106" t="str">
        <f>IFERROR(__xludf.DUMMYFUNCTION("""COMPUTED_VALUE"""),"")</f>
        <v/>
      </c>
      <c r="R382" s="106" t="str">
        <f>IFERROR(__xludf.DUMMYFUNCTION("""COMPUTED_VALUE"""),"")</f>
        <v/>
      </c>
      <c r="S382" s="139" t="str">
        <f>IFERROR(__xludf.DUMMYFUNCTION("""COMPUTED_VALUE"""),"")</f>
        <v/>
      </c>
      <c r="T382" s="139" t="str">
        <f>IFERROR(__xludf.DUMMYFUNCTION("""COMPUTED_VALUE"""),"")</f>
        <v/>
      </c>
      <c r="U382" s="136" t="str">
        <f>IFERROR(__xludf.DUMMYFUNCTION("""COMPUTED_VALUE"""),"")</f>
        <v/>
      </c>
      <c r="V382" s="106" t="str">
        <f>IFERROR(__xludf.DUMMYFUNCTION("""COMPUTED_VALUE"""),"")</f>
        <v/>
      </c>
      <c r="W382" s="143" t="str">
        <f t="shared" si="2"/>
        <v/>
      </c>
      <c r="X382" s="139" t="str">
        <f>IFERROR(__xludf.DUMMYFUNCTION("""COMPUTED_VALUE"""),"")</f>
        <v/>
      </c>
      <c r="Y382" s="141" t="str">
        <f>IFERROR(__xludf.DUMMYFUNCTION("""COMPUTED_VALUE"""),"")</f>
        <v/>
      </c>
    </row>
    <row r="383">
      <c r="A383" s="136"/>
      <c r="B383" s="136"/>
      <c r="C383" s="136" t="str">
        <f t="shared" si="3"/>
        <v/>
      </c>
      <c r="D383" s="136"/>
      <c r="E383" s="106">
        <f>IFERROR(__xludf.DUMMYFUNCTION("""COMPUTED_VALUE"""),0.0)</f>
        <v>0</v>
      </c>
      <c r="F383" s="136"/>
      <c r="G383" s="106" t="s">
        <v>133</v>
      </c>
      <c r="H383" s="136">
        <f>IFERROR(__xludf.DUMMYFUNCTION("""COMPUTED_VALUE"""),0.0)</f>
        <v>0</v>
      </c>
      <c r="I383" s="139" t="s">
        <v>133</v>
      </c>
      <c r="J383" s="136" t="s">
        <v>133</v>
      </c>
      <c r="K383" s="136"/>
      <c r="L383" s="136" t="str">
        <f t="shared" si="1"/>
        <v/>
      </c>
      <c r="M383" s="136" t="str">
        <f>IFERROR(__xludf.DUMMYFUNCTION("""COMPUTED_VALUE"""),"")</f>
        <v/>
      </c>
      <c r="N383" s="141" t="s">
        <v>133</v>
      </c>
      <c r="O383" s="136" t="str">
        <f>IFERROR(__xludf.DUMMYFUNCTION("""COMPUTED_VALUE"""),"")</f>
        <v/>
      </c>
      <c r="P383" s="136" t="str">
        <f>IFERROR(__xludf.DUMMYFUNCTION("""COMPUTED_VALUE"""),"")</f>
        <v/>
      </c>
      <c r="Q383" s="106" t="str">
        <f>IFERROR(__xludf.DUMMYFUNCTION("""COMPUTED_VALUE"""),"")</f>
        <v/>
      </c>
      <c r="R383" s="106" t="str">
        <f>IFERROR(__xludf.DUMMYFUNCTION("""COMPUTED_VALUE"""),"")</f>
        <v/>
      </c>
      <c r="S383" s="139" t="str">
        <f>IFERROR(__xludf.DUMMYFUNCTION("""COMPUTED_VALUE"""),"")</f>
        <v/>
      </c>
      <c r="T383" s="139" t="str">
        <f>IFERROR(__xludf.DUMMYFUNCTION("""COMPUTED_VALUE"""),"")</f>
        <v/>
      </c>
      <c r="U383" s="136" t="str">
        <f>IFERROR(__xludf.DUMMYFUNCTION("""COMPUTED_VALUE"""),"")</f>
        <v/>
      </c>
      <c r="V383" s="106" t="str">
        <f>IFERROR(__xludf.DUMMYFUNCTION("""COMPUTED_VALUE"""),"")</f>
        <v/>
      </c>
      <c r="W383" s="143" t="str">
        <f t="shared" si="2"/>
        <v/>
      </c>
      <c r="X383" s="139" t="str">
        <f>IFERROR(__xludf.DUMMYFUNCTION("""COMPUTED_VALUE"""),"")</f>
        <v/>
      </c>
      <c r="Y383" s="141" t="str">
        <f>IFERROR(__xludf.DUMMYFUNCTION("""COMPUTED_VALUE"""),"")</f>
        <v/>
      </c>
    </row>
    <row r="384">
      <c r="A384" s="136"/>
      <c r="B384" s="136"/>
      <c r="C384" s="136" t="str">
        <f t="shared" si="3"/>
        <v/>
      </c>
      <c r="D384" s="136"/>
      <c r="E384" s="106">
        <f>IFERROR(__xludf.DUMMYFUNCTION("""COMPUTED_VALUE"""),0.0)</f>
        <v>0</v>
      </c>
      <c r="F384" s="136"/>
      <c r="G384" s="106" t="s">
        <v>133</v>
      </c>
      <c r="H384" s="136">
        <f>IFERROR(__xludf.DUMMYFUNCTION("""COMPUTED_VALUE"""),0.0)</f>
        <v>0</v>
      </c>
      <c r="I384" s="139" t="s">
        <v>133</v>
      </c>
      <c r="J384" s="136" t="s">
        <v>133</v>
      </c>
      <c r="K384" s="136"/>
      <c r="L384" s="136" t="str">
        <f t="shared" si="1"/>
        <v/>
      </c>
      <c r="M384" s="136" t="str">
        <f>IFERROR(__xludf.DUMMYFUNCTION("""COMPUTED_VALUE"""),"")</f>
        <v/>
      </c>
      <c r="N384" s="141" t="s">
        <v>133</v>
      </c>
      <c r="O384" s="136" t="str">
        <f>IFERROR(__xludf.DUMMYFUNCTION("""COMPUTED_VALUE"""),"")</f>
        <v/>
      </c>
      <c r="P384" s="136" t="str">
        <f>IFERROR(__xludf.DUMMYFUNCTION("""COMPUTED_VALUE"""),"")</f>
        <v/>
      </c>
      <c r="Q384" s="106" t="str">
        <f>IFERROR(__xludf.DUMMYFUNCTION("""COMPUTED_VALUE"""),"")</f>
        <v/>
      </c>
      <c r="R384" s="106" t="str">
        <f>IFERROR(__xludf.DUMMYFUNCTION("""COMPUTED_VALUE"""),"")</f>
        <v/>
      </c>
      <c r="S384" s="139" t="str">
        <f>IFERROR(__xludf.DUMMYFUNCTION("""COMPUTED_VALUE"""),"")</f>
        <v/>
      </c>
      <c r="T384" s="139" t="str">
        <f>IFERROR(__xludf.DUMMYFUNCTION("""COMPUTED_VALUE"""),"")</f>
        <v/>
      </c>
      <c r="U384" s="136" t="str">
        <f>IFERROR(__xludf.DUMMYFUNCTION("""COMPUTED_VALUE"""),"")</f>
        <v/>
      </c>
      <c r="V384" s="106" t="str">
        <f>IFERROR(__xludf.DUMMYFUNCTION("""COMPUTED_VALUE"""),"")</f>
        <v/>
      </c>
      <c r="W384" s="143" t="str">
        <f t="shared" si="2"/>
        <v/>
      </c>
      <c r="X384" s="139" t="str">
        <f>IFERROR(__xludf.DUMMYFUNCTION("""COMPUTED_VALUE"""),"")</f>
        <v/>
      </c>
      <c r="Y384" s="141" t="str">
        <f>IFERROR(__xludf.DUMMYFUNCTION("""COMPUTED_VALUE"""),"")</f>
        <v/>
      </c>
    </row>
    <row r="385">
      <c r="A385" s="136"/>
      <c r="B385" s="136"/>
      <c r="C385" s="136" t="str">
        <f t="shared" si="3"/>
        <v/>
      </c>
      <c r="D385" s="136"/>
      <c r="E385" s="106">
        <f>IFERROR(__xludf.DUMMYFUNCTION("""COMPUTED_VALUE"""),0.0)</f>
        <v>0</v>
      </c>
      <c r="F385" s="136"/>
      <c r="G385" s="106" t="s">
        <v>133</v>
      </c>
      <c r="H385" s="136">
        <f>IFERROR(__xludf.DUMMYFUNCTION("""COMPUTED_VALUE"""),0.0)</f>
        <v>0</v>
      </c>
      <c r="I385" s="139" t="s">
        <v>133</v>
      </c>
      <c r="J385" s="136" t="s">
        <v>133</v>
      </c>
      <c r="K385" s="136"/>
      <c r="L385" s="136" t="str">
        <f t="shared" si="1"/>
        <v/>
      </c>
      <c r="M385" s="136" t="str">
        <f>IFERROR(__xludf.DUMMYFUNCTION("""COMPUTED_VALUE"""),"")</f>
        <v/>
      </c>
      <c r="N385" s="141" t="s">
        <v>133</v>
      </c>
      <c r="O385" s="136" t="str">
        <f>IFERROR(__xludf.DUMMYFUNCTION("""COMPUTED_VALUE"""),"")</f>
        <v/>
      </c>
      <c r="P385" s="136" t="str">
        <f>IFERROR(__xludf.DUMMYFUNCTION("""COMPUTED_VALUE"""),"")</f>
        <v/>
      </c>
      <c r="Q385" s="106" t="str">
        <f>IFERROR(__xludf.DUMMYFUNCTION("""COMPUTED_VALUE"""),"")</f>
        <v/>
      </c>
      <c r="R385" s="106" t="str">
        <f>IFERROR(__xludf.DUMMYFUNCTION("""COMPUTED_VALUE"""),"")</f>
        <v/>
      </c>
      <c r="S385" s="139" t="str">
        <f>IFERROR(__xludf.DUMMYFUNCTION("""COMPUTED_VALUE"""),"")</f>
        <v/>
      </c>
      <c r="T385" s="139" t="str">
        <f>IFERROR(__xludf.DUMMYFUNCTION("""COMPUTED_VALUE"""),"")</f>
        <v/>
      </c>
      <c r="U385" s="136" t="str">
        <f>IFERROR(__xludf.DUMMYFUNCTION("""COMPUTED_VALUE"""),"")</f>
        <v/>
      </c>
      <c r="V385" s="106" t="str">
        <f>IFERROR(__xludf.DUMMYFUNCTION("""COMPUTED_VALUE"""),"")</f>
        <v/>
      </c>
      <c r="W385" s="143" t="str">
        <f t="shared" si="2"/>
        <v/>
      </c>
      <c r="X385" s="139" t="str">
        <f>IFERROR(__xludf.DUMMYFUNCTION("""COMPUTED_VALUE"""),"")</f>
        <v/>
      </c>
      <c r="Y385" s="141" t="str">
        <f>IFERROR(__xludf.DUMMYFUNCTION("""COMPUTED_VALUE"""),"")</f>
        <v/>
      </c>
    </row>
    <row r="386">
      <c r="A386" s="136"/>
      <c r="B386" s="136"/>
      <c r="C386" s="136" t="str">
        <f t="shared" si="3"/>
        <v/>
      </c>
      <c r="D386" s="136"/>
      <c r="E386" s="106">
        <f>IFERROR(__xludf.DUMMYFUNCTION("""COMPUTED_VALUE"""),0.0)</f>
        <v>0</v>
      </c>
      <c r="F386" s="136"/>
      <c r="G386" s="106" t="s">
        <v>133</v>
      </c>
      <c r="H386" s="136">
        <f>IFERROR(__xludf.DUMMYFUNCTION("""COMPUTED_VALUE"""),0.0)</f>
        <v>0</v>
      </c>
      <c r="I386" s="139" t="s">
        <v>133</v>
      </c>
      <c r="J386" s="136" t="s">
        <v>133</v>
      </c>
      <c r="K386" s="136"/>
      <c r="L386" s="136" t="str">
        <f t="shared" si="1"/>
        <v/>
      </c>
      <c r="M386" s="136" t="str">
        <f>IFERROR(__xludf.DUMMYFUNCTION("""COMPUTED_VALUE"""),"")</f>
        <v/>
      </c>
      <c r="N386" s="141" t="s">
        <v>133</v>
      </c>
      <c r="O386" s="136" t="str">
        <f>IFERROR(__xludf.DUMMYFUNCTION("""COMPUTED_VALUE"""),"")</f>
        <v/>
      </c>
      <c r="P386" s="136" t="str">
        <f>IFERROR(__xludf.DUMMYFUNCTION("""COMPUTED_VALUE"""),"")</f>
        <v/>
      </c>
      <c r="Q386" s="106" t="str">
        <f>IFERROR(__xludf.DUMMYFUNCTION("""COMPUTED_VALUE"""),"")</f>
        <v/>
      </c>
      <c r="R386" s="106" t="str">
        <f>IFERROR(__xludf.DUMMYFUNCTION("""COMPUTED_VALUE"""),"")</f>
        <v/>
      </c>
      <c r="S386" s="139" t="str">
        <f>IFERROR(__xludf.DUMMYFUNCTION("""COMPUTED_VALUE"""),"")</f>
        <v/>
      </c>
      <c r="T386" s="139" t="str">
        <f>IFERROR(__xludf.DUMMYFUNCTION("""COMPUTED_VALUE"""),"")</f>
        <v/>
      </c>
      <c r="U386" s="136" t="str">
        <f>IFERROR(__xludf.DUMMYFUNCTION("""COMPUTED_VALUE"""),"")</f>
        <v/>
      </c>
      <c r="V386" s="106" t="str">
        <f>IFERROR(__xludf.DUMMYFUNCTION("""COMPUTED_VALUE"""),"")</f>
        <v/>
      </c>
      <c r="W386" s="143" t="str">
        <f t="shared" si="2"/>
        <v/>
      </c>
      <c r="X386" s="139" t="str">
        <f>IFERROR(__xludf.DUMMYFUNCTION("""COMPUTED_VALUE"""),"")</f>
        <v/>
      </c>
      <c r="Y386" s="141" t="str">
        <f>IFERROR(__xludf.DUMMYFUNCTION("""COMPUTED_VALUE"""),"")</f>
        <v/>
      </c>
    </row>
    <row r="387">
      <c r="A387" s="136"/>
      <c r="B387" s="136"/>
      <c r="C387" s="136" t="str">
        <f t="shared" si="3"/>
        <v/>
      </c>
      <c r="D387" s="136"/>
      <c r="E387" s="106">
        <f>IFERROR(__xludf.DUMMYFUNCTION("""COMPUTED_VALUE"""),0.0)</f>
        <v>0</v>
      </c>
      <c r="F387" s="136"/>
      <c r="G387" s="106" t="s">
        <v>133</v>
      </c>
      <c r="H387" s="136">
        <f>IFERROR(__xludf.DUMMYFUNCTION("""COMPUTED_VALUE"""),0.0)</f>
        <v>0</v>
      </c>
      <c r="I387" s="139" t="s">
        <v>133</v>
      </c>
      <c r="J387" s="136" t="s">
        <v>133</v>
      </c>
      <c r="K387" s="136"/>
      <c r="L387" s="136" t="str">
        <f t="shared" si="1"/>
        <v/>
      </c>
      <c r="M387" s="136" t="str">
        <f>IFERROR(__xludf.DUMMYFUNCTION("""COMPUTED_VALUE"""),"")</f>
        <v/>
      </c>
      <c r="N387" s="141" t="s">
        <v>133</v>
      </c>
      <c r="O387" s="136" t="str">
        <f>IFERROR(__xludf.DUMMYFUNCTION("""COMPUTED_VALUE"""),"")</f>
        <v/>
      </c>
      <c r="P387" s="136" t="str">
        <f>IFERROR(__xludf.DUMMYFUNCTION("""COMPUTED_VALUE"""),"")</f>
        <v/>
      </c>
      <c r="Q387" s="106" t="str">
        <f>IFERROR(__xludf.DUMMYFUNCTION("""COMPUTED_VALUE"""),"")</f>
        <v/>
      </c>
      <c r="R387" s="106" t="str">
        <f>IFERROR(__xludf.DUMMYFUNCTION("""COMPUTED_VALUE"""),"")</f>
        <v/>
      </c>
      <c r="S387" s="139" t="str">
        <f>IFERROR(__xludf.DUMMYFUNCTION("""COMPUTED_VALUE"""),"")</f>
        <v/>
      </c>
      <c r="T387" s="139" t="str">
        <f>IFERROR(__xludf.DUMMYFUNCTION("""COMPUTED_VALUE"""),"")</f>
        <v/>
      </c>
      <c r="U387" s="136" t="str">
        <f>IFERROR(__xludf.DUMMYFUNCTION("""COMPUTED_VALUE"""),"")</f>
        <v/>
      </c>
      <c r="V387" s="106" t="str">
        <f>IFERROR(__xludf.DUMMYFUNCTION("""COMPUTED_VALUE"""),"")</f>
        <v/>
      </c>
      <c r="W387" s="143" t="str">
        <f t="shared" si="2"/>
        <v/>
      </c>
      <c r="X387" s="139" t="str">
        <f>IFERROR(__xludf.DUMMYFUNCTION("""COMPUTED_VALUE"""),"")</f>
        <v/>
      </c>
      <c r="Y387" s="141" t="str">
        <f>IFERROR(__xludf.DUMMYFUNCTION("""COMPUTED_VALUE"""),"")</f>
        <v/>
      </c>
    </row>
    <row r="388">
      <c r="A388" s="136"/>
      <c r="B388" s="136"/>
      <c r="C388" s="136" t="str">
        <f t="shared" si="3"/>
        <v/>
      </c>
      <c r="D388" s="136"/>
      <c r="E388" s="106">
        <f>IFERROR(__xludf.DUMMYFUNCTION("""COMPUTED_VALUE"""),0.0)</f>
        <v>0</v>
      </c>
      <c r="F388" s="136"/>
      <c r="G388" s="106" t="s">
        <v>133</v>
      </c>
      <c r="H388" s="136">
        <f>IFERROR(__xludf.DUMMYFUNCTION("""COMPUTED_VALUE"""),0.0)</f>
        <v>0</v>
      </c>
      <c r="I388" s="139" t="s">
        <v>133</v>
      </c>
      <c r="J388" s="136" t="s">
        <v>133</v>
      </c>
      <c r="K388" s="136"/>
      <c r="L388" s="136" t="str">
        <f t="shared" si="1"/>
        <v/>
      </c>
      <c r="M388" s="136" t="str">
        <f>IFERROR(__xludf.DUMMYFUNCTION("""COMPUTED_VALUE"""),"")</f>
        <v/>
      </c>
      <c r="N388" s="141" t="s">
        <v>133</v>
      </c>
      <c r="O388" s="136" t="str">
        <f>IFERROR(__xludf.DUMMYFUNCTION("""COMPUTED_VALUE"""),"")</f>
        <v/>
      </c>
      <c r="P388" s="136" t="str">
        <f>IFERROR(__xludf.DUMMYFUNCTION("""COMPUTED_VALUE"""),"")</f>
        <v/>
      </c>
      <c r="Q388" s="106" t="str">
        <f>IFERROR(__xludf.DUMMYFUNCTION("""COMPUTED_VALUE"""),"")</f>
        <v/>
      </c>
      <c r="R388" s="106" t="str">
        <f>IFERROR(__xludf.DUMMYFUNCTION("""COMPUTED_VALUE"""),"")</f>
        <v/>
      </c>
      <c r="S388" s="139" t="str">
        <f>IFERROR(__xludf.DUMMYFUNCTION("""COMPUTED_VALUE"""),"")</f>
        <v/>
      </c>
      <c r="T388" s="139" t="str">
        <f>IFERROR(__xludf.DUMMYFUNCTION("""COMPUTED_VALUE"""),"")</f>
        <v/>
      </c>
      <c r="U388" s="136" t="str">
        <f>IFERROR(__xludf.DUMMYFUNCTION("""COMPUTED_VALUE"""),"")</f>
        <v/>
      </c>
      <c r="V388" s="106" t="str">
        <f>IFERROR(__xludf.DUMMYFUNCTION("""COMPUTED_VALUE"""),"")</f>
        <v/>
      </c>
      <c r="W388" s="143" t="str">
        <f t="shared" si="2"/>
        <v/>
      </c>
      <c r="X388" s="139" t="str">
        <f>IFERROR(__xludf.DUMMYFUNCTION("""COMPUTED_VALUE"""),"")</f>
        <v/>
      </c>
      <c r="Y388" s="141" t="str">
        <f>IFERROR(__xludf.DUMMYFUNCTION("""COMPUTED_VALUE"""),"")</f>
        <v/>
      </c>
    </row>
    <row r="389">
      <c r="A389" s="136"/>
      <c r="B389" s="136"/>
      <c r="C389" s="136" t="str">
        <f t="shared" si="3"/>
        <v/>
      </c>
      <c r="D389" s="136"/>
      <c r="E389" s="106">
        <f>IFERROR(__xludf.DUMMYFUNCTION("""COMPUTED_VALUE"""),0.0)</f>
        <v>0</v>
      </c>
      <c r="F389" s="136"/>
      <c r="G389" s="106" t="s">
        <v>133</v>
      </c>
      <c r="H389" s="136">
        <f>IFERROR(__xludf.DUMMYFUNCTION("""COMPUTED_VALUE"""),0.0)</f>
        <v>0</v>
      </c>
      <c r="I389" s="139" t="s">
        <v>133</v>
      </c>
      <c r="J389" s="136" t="s">
        <v>133</v>
      </c>
      <c r="K389" s="136"/>
      <c r="L389" s="136" t="str">
        <f t="shared" si="1"/>
        <v/>
      </c>
      <c r="M389" s="136" t="str">
        <f>IFERROR(__xludf.DUMMYFUNCTION("""COMPUTED_VALUE"""),"")</f>
        <v/>
      </c>
      <c r="N389" s="141" t="s">
        <v>133</v>
      </c>
      <c r="O389" s="136" t="str">
        <f>IFERROR(__xludf.DUMMYFUNCTION("""COMPUTED_VALUE"""),"")</f>
        <v/>
      </c>
      <c r="P389" s="136" t="str">
        <f>IFERROR(__xludf.DUMMYFUNCTION("""COMPUTED_VALUE"""),"")</f>
        <v/>
      </c>
      <c r="Q389" s="106" t="str">
        <f>IFERROR(__xludf.DUMMYFUNCTION("""COMPUTED_VALUE"""),"")</f>
        <v/>
      </c>
      <c r="R389" s="106" t="str">
        <f>IFERROR(__xludf.DUMMYFUNCTION("""COMPUTED_VALUE"""),"")</f>
        <v/>
      </c>
      <c r="S389" s="139" t="str">
        <f>IFERROR(__xludf.DUMMYFUNCTION("""COMPUTED_VALUE"""),"")</f>
        <v/>
      </c>
      <c r="T389" s="139" t="str">
        <f>IFERROR(__xludf.DUMMYFUNCTION("""COMPUTED_VALUE"""),"")</f>
        <v/>
      </c>
      <c r="U389" s="136" t="str">
        <f>IFERROR(__xludf.DUMMYFUNCTION("""COMPUTED_VALUE"""),"")</f>
        <v/>
      </c>
      <c r="V389" s="106" t="str">
        <f>IFERROR(__xludf.DUMMYFUNCTION("""COMPUTED_VALUE"""),"")</f>
        <v/>
      </c>
      <c r="W389" s="143" t="str">
        <f t="shared" si="2"/>
        <v/>
      </c>
      <c r="X389" s="139" t="str">
        <f>IFERROR(__xludf.DUMMYFUNCTION("""COMPUTED_VALUE"""),"")</f>
        <v/>
      </c>
      <c r="Y389" s="141" t="str">
        <f>IFERROR(__xludf.DUMMYFUNCTION("""COMPUTED_VALUE"""),"")</f>
        <v/>
      </c>
    </row>
    <row r="390">
      <c r="A390" s="136"/>
      <c r="B390" s="136"/>
      <c r="C390" s="136" t="str">
        <f t="shared" si="3"/>
        <v/>
      </c>
      <c r="D390" s="136"/>
      <c r="E390" s="106">
        <f>IFERROR(__xludf.DUMMYFUNCTION("""COMPUTED_VALUE"""),0.0)</f>
        <v>0</v>
      </c>
      <c r="F390" s="136"/>
      <c r="G390" s="106" t="s">
        <v>133</v>
      </c>
      <c r="H390" s="136">
        <f>IFERROR(__xludf.DUMMYFUNCTION("""COMPUTED_VALUE"""),0.0)</f>
        <v>0</v>
      </c>
      <c r="I390" s="139" t="s">
        <v>133</v>
      </c>
      <c r="J390" s="136" t="s">
        <v>133</v>
      </c>
      <c r="K390" s="136"/>
      <c r="L390" s="136" t="str">
        <f t="shared" si="1"/>
        <v/>
      </c>
      <c r="M390" s="136" t="str">
        <f>IFERROR(__xludf.DUMMYFUNCTION("""COMPUTED_VALUE"""),"")</f>
        <v/>
      </c>
      <c r="N390" s="141" t="s">
        <v>133</v>
      </c>
      <c r="O390" s="136" t="str">
        <f>IFERROR(__xludf.DUMMYFUNCTION("""COMPUTED_VALUE"""),"")</f>
        <v/>
      </c>
      <c r="P390" s="136" t="str">
        <f>IFERROR(__xludf.DUMMYFUNCTION("""COMPUTED_VALUE"""),"")</f>
        <v/>
      </c>
      <c r="Q390" s="106" t="str">
        <f>IFERROR(__xludf.DUMMYFUNCTION("""COMPUTED_VALUE"""),"")</f>
        <v/>
      </c>
      <c r="R390" s="106" t="str">
        <f>IFERROR(__xludf.DUMMYFUNCTION("""COMPUTED_VALUE"""),"")</f>
        <v/>
      </c>
      <c r="S390" s="139" t="str">
        <f>IFERROR(__xludf.DUMMYFUNCTION("""COMPUTED_VALUE"""),"")</f>
        <v/>
      </c>
      <c r="T390" s="139" t="str">
        <f>IFERROR(__xludf.DUMMYFUNCTION("""COMPUTED_VALUE"""),"")</f>
        <v/>
      </c>
      <c r="U390" s="136" t="str">
        <f>IFERROR(__xludf.DUMMYFUNCTION("""COMPUTED_VALUE"""),"")</f>
        <v/>
      </c>
      <c r="V390" s="106" t="str">
        <f>IFERROR(__xludf.DUMMYFUNCTION("""COMPUTED_VALUE"""),"")</f>
        <v/>
      </c>
      <c r="W390" s="143" t="str">
        <f t="shared" si="2"/>
        <v/>
      </c>
      <c r="X390" s="139" t="str">
        <f>IFERROR(__xludf.DUMMYFUNCTION("""COMPUTED_VALUE"""),"")</f>
        <v/>
      </c>
      <c r="Y390" s="141" t="str">
        <f>IFERROR(__xludf.DUMMYFUNCTION("""COMPUTED_VALUE"""),"")</f>
        <v/>
      </c>
    </row>
    <row r="391">
      <c r="A391" s="136"/>
      <c r="B391" s="136"/>
      <c r="C391" s="136" t="str">
        <f t="shared" si="3"/>
        <v/>
      </c>
      <c r="D391" s="136"/>
      <c r="E391" s="106">
        <f>IFERROR(__xludf.DUMMYFUNCTION("""COMPUTED_VALUE"""),0.0)</f>
        <v>0</v>
      </c>
      <c r="F391" s="136"/>
      <c r="G391" s="106" t="s">
        <v>133</v>
      </c>
      <c r="H391" s="136">
        <f>IFERROR(__xludf.DUMMYFUNCTION("""COMPUTED_VALUE"""),0.0)</f>
        <v>0</v>
      </c>
      <c r="I391" s="139" t="s">
        <v>133</v>
      </c>
      <c r="J391" s="136" t="s">
        <v>133</v>
      </c>
      <c r="K391" s="136"/>
      <c r="L391" s="136" t="str">
        <f t="shared" si="1"/>
        <v/>
      </c>
      <c r="M391" s="136" t="str">
        <f>IFERROR(__xludf.DUMMYFUNCTION("""COMPUTED_VALUE"""),"")</f>
        <v/>
      </c>
      <c r="N391" s="141" t="s">
        <v>133</v>
      </c>
      <c r="O391" s="136" t="str">
        <f>IFERROR(__xludf.DUMMYFUNCTION("""COMPUTED_VALUE"""),"")</f>
        <v/>
      </c>
      <c r="P391" s="136" t="str">
        <f>IFERROR(__xludf.DUMMYFUNCTION("""COMPUTED_VALUE"""),"")</f>
        <v/>
      </c>
      <c r="Q391" s="106" t="str">
        <f>IFERROR(__xludf.DUMMYFUNCTION("""COMPUTED_VALUE"""),"")</f>
        <v/>
      </c>
      <c r="R391" s="106" t="str">
        <f>IFERROR(__xludf.DUMMYFUNCTION("""COMPUTED_VALUE"""),"")</f>
        <v/>
      </c>
      <c r="S391" s="139" t="str">
        <f>IFERROR(__xludf.DUMMYFUNCTION("""COMPUTED_VALUE"""),"")</f>
        <v/>
      </c>
      <c r="T391" s="139" t="str">
        <f>IFERROR(__xludf.DUMMYFUNCTION("""COMPUTED_VALUE"""),"")</f>
        <v/>
      </c>
      <c r="U391" s="136" t="str">
        <f>IFERROR(__xludf.DUMMYFUNCTION("""COMPUTED_VALUE"""),"")</f>
        <v/>
      </c>
      <c r="V391" s="106" t="str">
        <f>IFERROR(__xludf.DUMMYFUNCTION("""COMPUTED_VALUE"""),"")</f>
        <v/>
      </c>
      <c r="W391" s="143" t="str">
        <f t="shared" si="2"/>
        <v/>
      </c>
      <c r="X391" s="139" t="str">
        <f>IFERROR(__xludf.DUMMYFUNCTION("""COMPUTED_VALUE"""),"")</f>
        <v/>
      </c>
      <c r="Y391" s="141" t="str">
        <f>IFERROR(__xludf.DUMMYFUNCTION("""COMPUTED_VALUE"""),"")</f>
        <v/>
      </c>
    </row>
    <row r="392">
      <c r="A392" s="136"/>
      <c r="B392" s="136"/>
      <c r="C392" s="136" t="str">
        <f t="shared" si="3"/>
        <v/>
      </c>
      <c r="D392" s="136"/>
      <c r="E392" s="106">
        <f>IFERROR(__xludf.DUMMYFUNCTION("""COMPUTED_VALUE"""),0.0)</f>
        <v>0</v>
      </c>
      <c r="F392" s="136"/>
      <c r="G392" s="106" t="s">
        <v>133</v>
      </c>
      <c r="H392" s="136">
        <f>IFERROR(__xludf.DUMMYFUNCTION("""COMPUTED_VALUE"""),0.0)</f>
        <v>0</v>
      </c>
      <c r="I392" s="139" t="s">
        <v>133</v>
      </c>
      <c r="J392" s="136" t="s">
        <v>133</v>
      </c>
      <c r="K392" s="136"/>
      <c r="L392" s="136" t="str">
        <f t="shared" si="1"/>
        <v/>
      </c>
      <c r="M392" s="136" t="str">
        <f>IFERROR(__xludf.DUMMYFUNCTION("""COMPUTED_VALUE"""),"")</f>
        <v/>
      </c>
      <c r="N392" s="141" t="s">
        <v>133</v>
      </c>
      <c r="O392" s="136" t="str">
        <f>IFERROR(__xludf.DUMMYFUNCTION("""COMPUTED_VALUE"""),"")</f>
        <v/>
      </c>
      <c r="P392" s="136" t="str">
        <f>IFERROR(__xludf.DUMMYFUNCTION("""COMPUTED_VALUE"""),"")</f>
        <v/>
      </c>
      <c r="Q392" s="106" t="str">
        <f>IFERROR(__xludf.DUMMYFUNCTION("""COMPUTED_VALUE"""),"")</f>
        <v/>
      </c>
      <c r="R392" s="106" t="str">
        <f>IFERROR(__xludf.DUMMYFUNCTION("""COMPUTED_VALUE"""),"")</f>
        <v/>
      </c>
      <c r="S392" s="139" t="str">
        <f>IFERROR(__xludf.DUMMYFUNCTION("""COMPUTED_VALUE"""),"")</f>
        <v/>
      </c>
      <c r="T392" s="139" t="str">
        <f>IFERROR(__xludf.DUMMYFUNCTION("""COMPUTED_VALUE"""),"")</f>
        <v/>
      </c>
      <c r="U392" s="136" t="str">
        <f>IFERROR(__xludf.DUMMYFUNCTION("""COMPUTED_VALUE"""),"")</f>
        <v/>
      </c>
      <c r="V392" s="106" t="str">
        <f>IFERROR(__xludf.DUMMYFUNCTION("""COMPUTED_VALUE"""),"")</f>
        <v/>
      </c>
      <c r="W392" s="143" t="str">
        <f t="shared" si="2"/>
        <v/>
      </c>
      <c r="X392" s="139" t="str">
        <f>IFERROR(__xludf.DUMMYFUNCTION("""COMPUTED_VALUE"""),"")</f>
        <v/>
      </c>
      <c r="Y392" s="141" t="str">
        <f>IFERROR(__xludf.DUMMYFUNCTION("""COMPUTED_VALUE"""),"")</f>
        <v/>
      </c>
    </row>
    <row r="393">
      <c r="A393" s="136"/>
      <c r="B393" s="136"/>
      <c r="C393" s="136" t="str">
        <f t="shared" si="3"/>
        <v/>
      </c>
      <c r="D393" s="136"/>
      <c r="E393" s="106">
        <f>IFERROR(__xludf.DUMMYFUNCTION("""COMPUTED_VALUE"""),0.0)</f>
        <v>0</v>
      </c>
      <c r="F393" s="136"/>
      <c r="G393" s="106" t="s">
        <v>133</v>
      </c>
      <c r="H393" s="136">
        <f>IFERROR(__xludf.DUMMYFUNCTION("""COMPUTED_VALUE"""),0.0)</f>
        <v>0</v>
      </c>
      <c r="I393" s="139" t="s">
        <v>133</v>
      </c>
      <c r="J393" s="136" t="s">
        <v>133</v>
      </c>
      <c r="K393" s="136"/>
      <c r="L393" s="136" t="str">
        <f t="shared" si="1"/>
        <v/>
      </c>
      <c r="M393" s="136" t="str">
        <f>IFERROR(__xludf.DUMMYFUNCTION("""COMPUTED_VALUE"""),"")</f>
        <v/>
      </c>
      <c r="N393" s="141" t="s">
        <v>133</v>
      </c>
      <c r="O393" s="136" t="str">
        <f>IFERROR(__xludf.DUMMYFUNCTION("""COMPUTED_VALUE"""),"")</f>
        <v/>
      </c>
      <c r="P393" s="136" t="str">
        <f>IFERROR(__xludf.DUMMYFUNCTION("""COMPUTED_VALUE"""),"")</f>
        <v/>
      </c>
      <c r="Q393" s="106" t="str">
        <f>IFERROR(__xludf.DUMMYFUNCTION("""COMPUTED_VALUE"""),"")</f>
        <v/>
      </c>
      <c r="R393" s="106" t="str">
        <f>IFERROR(__xludf.DUMMYFUNCTION("""COMPUTED_VALUE"""),"")</f>
        <v/>
      </c>
      <c r="S393" s="139" t="str">
        <f>IFERROR(__xludf.DUMMYFUNCTION("""COMPUTED_VALUE"""),"")</f>
        <v/>
      </c>
      <c r="T393" s="139" t="str">
        <f>IFERROR(__xludf.DUMMYFUNCTION("""COMPUTED_VALUE"""),"")</f>
        <v/>
      </c>
      <c r="U393" s="136" t="str">
        <f>IFERROR(__xludf.DUMMYFUNCTION("""COMPUTED_VALUE"""),"")</f>
        <v/>
      </c>
      <c r="V393" s="106" t="str">
        <f>IFERROR(__xludf.DUMMYFUNCTION("""COMPUTED_VALUE"""),"")</f>
        <v/>
      </c>
      <c r="W393" s="143" t="str">
        <f t="shared" si="2"/>
        <v/>
      </c>
      <c r="X393" s="139" t="str">
        <f>IFERROR(__xludf.DUMMYFUNCTION("""COMPUTED_VALUE"""),"")</f>
        <v/>
      </c>
      <c r="Y393" s="141" t="str">
        <f>IFERROR(__xludf.DUMMYFUNCTION("""COMPUTED_VALUE"""),"")</f>
        <v/>
      </c>
    </row>
    <row r="394">
      <c r="A394" s="136"/>
      <c r="B394" s="136"/>
      <c r="C394" s="136" t="str">
        <f t="shared" si="3"/>
        <v/>
      </c>
      <c r="D394" s="136"/>
      <c r="E394" s="106">
        <f>IFERROR(__xludf.DUMMYFUNCTION("""COMPUTED_VALUE"""),0.0)</f>
        <v>0</v>
      </c>
      <c r="F394" s="136"/>
      <c r="G394" s="106" t="s">
        <v>133</v>
      </c>
      <c r="H394" s="136">
        <f>IFERROR(__xludf.DUMMYFUNCTION("""COMPUTED_VALUE"""),0.0)</f>
        <v>0</v>
      </c>
      <c r="I394" s="139" t="s">
        <v>133</v>
      </c>
      <c r="J394" s="136" t="s">
        <v>133</v>
      </c>
      <c r="K394" s="136"/>
      <c r="L394" s="136" t="str">
        <f t="shared" si="1"/>
        <v/>
      </c>
      <c r="M394" s="136" t="str">
        <f>IFERROR(__xludf.DUMMYFUNCTION("""COMPUTED_VALUE"""),"")</f>
        <v/>
      </c>
      <c r="N394" s="141" t="s">
        <v>133</v>
      </c>
      <c r="O394" s="136" t="str">
        <f>IFERROR(__xludf.DUMMYFUNCTION("""COMPUTED_VALUE"""),"")</f>
        <v/>
      </c>
      <c r="P394" s="136" t="str">
        <f>IFERROR(__xludf.DUMMYFUNCTION("""COMPUTED_VALUE"""),"")</f>
        <v/>
      </c>
      <c r="Q394" s="106" t="str">
        <f>IFERROR(__xludf.DUMMYFUNCTION("""COMPUTED_VALUE"""),"")</f>
        <v/>
      </c>
      <c r="R394" s="106" t="str">
        <f>IFERROR(__xludf.DUMMYFUNCTION("""COMPUTED_VALUE"""),"")</f>
        <v/>
      </c>
      <c r="S394" s="139" t="str">
        <f>IFERROR(__xludf.DUMMYFUNCTION("""COMPUTED_VALUE"""),"")</f>
        <v/>
      </c>
      <c r="T394" s="139" t="str">
        <f>IFERROR(__xludf.DUMMYFUNCTION("""COMPUTED_VALUE"""),"")</f>
        <v/>
      </c>
      <c r="U394" s="136" t="str">
        <f>IFERROR(__xludf.DUMMYFUNCTION("""COMPUTED_VALUE"""),"")</f>
        <v/>
      </c>
      <c r="V394" s="106" t="str">
        <f>IFERROR(__xludf.DUMMYFUNCTION("""COMPUTED_VALUE"""),"")</f>
        <v/>
      </c>
      <c r="W394" s="143" t="str">
        <f t="shared" si="2"/>
        <v/>
      </c>
      <c r="X394" s="139" t="str">
        <f>IFERROR(__xludf.DUMMYFUNCTION("""COMPUTED_VALUE"""),"")</f>
        <v/>
      </c>
      <c r="Y394" s="141" t="str">
        <f>IFERROR(__xludf.DUMMYFUNCTION("""COMPUTED_VALUE"""),"")</f>
        <v/>
      </c>
    </row>
    <row r="395">
      <c r="A395" s="136"/>
      <c r="B395" s="136"/>
      <c r="C395" s="136" t="str">
        <f t="shared" si="3"/>
        <v/>
      </c>
      <c r="D395" s="136"/>
      <c r="E395" s="106">
        <f>IFERROR(__xludf.DUMMYFUNCTION("""COMPUTED_VALUE"""),0.0)</f>
        <v>0</v>
      </c>
      <c r="F395" s="136"/>
      <c r="G395" s="106" t="s">
        <v>133</v>
      </c>
      <c r="H395" s="136">
        <f>IFERROR(__xludf.DUMMYFUNCTION("""COMPUTED_VALUE"""),0.0)</f>
        <v>0</v>
      </c>
      <c r="I395" s="139" t="s">
        <v>133</v>
      </c>
      <c r="J395" s="136" t="s">
        <v>133</v>
      </c>
      <c r="K395" s="136"/>
      <c r="L395" s="136" t="str">
        <f t="shared" si="1"/>
        <v/>
      </c>
      <c r="M395" s="136" t="str">
        <f>IFERROR(__xludf.DUMMYFUNCTION("""COMPUTED_VALUE"""),"")</f>
        <v/>
      </c>
      <c r="N395" s="141" t="s">
        <v>133</v>
      </c>
      <c r="O395" s="136" t="str">
        <f>IFERROR(__xludf.DUMMYFUNCTION("""COMPUTED_VALUE"""),"")</f>
        <v/>
      </c>
      <c r="P395" s="136" t="str">
        <f>IFERROR(__xludf.DUMMYFUNCTION("""COMPUTED_VALUE"""),"")</f>
        <v/>
      </c>
      <c r="Q395" s="106" t="str">
        <f>IFERROR(__xludf.DUMMYFUNCTION("""COMPUTED_VALUE"""),"")</f>
        <v/>
      </c>
      <c r="R395" s="106" t="str">
        <f>IFERROR(__xludf.DUMMYFUNCTION("""COMPUTED_VALUE"""),"")</f>
        <v/>
      </c>
      <c r="S395" s="139" t="str">
        <f>IFERROR(__xludf.DUMMYFUNCTION("""COMPUTED_VALUE"""),"")</f>
        <v/>
      </c>
      <c r="T395" s="139" t="str">
        <f>IFERROR(__xludf.DUMMYFUNCTION("""COMPUTED_VALUE"""),"")</f>
        <v/>
      </c>
      <c r="U395" s="136" t="str">
        <f>IFERROR(__xludf.DUMMYFUNCTION("""COMPUTED_VALUE"""),"")</f>
        <v/>
      </c>
      <c r="V395" s="106" t="str">
        <f>IFERROR(__xludf.DUMMYFUNCTION("""COMPUTED_VALUE"""),"")</f>
        <v/>
      </c>
      <c r="W395" s="143" t="str">
        <f t="shared" si="2"/>
        <v/>
      </c>
      <c r="X395" s="139" t="str">
        <f>IFERROR(__xludf.DUMMYFUNCTION("""COMPUTED_VALUE"""),"")</f>
        <v/>
      </c>
      <c r="Y395" s="141" t="str">
        <f>IFERROR(__xludf.DUMMYFUNCTION("""COMPUTED_VALUE"""),"")</f>
        <v/>
      </c>
    </row>
    <row r="396">
      <c r="A396" s="136"/>
      <c r="B396" s="136"/>
      <c r="C396" s="136" t="str">
        <f t="shared" si="3"/>
        <v/>
      </c>
      <c r="D396" s="136"/>
      <c r="E396" s="106">
        <f>IFERROR(__xludf.DUMMYFUNCTION("""COMPUTED_VALUE"""),0.0)</f>
        <v>0</v>
      </c>
      <c r="F396" s="136"/>
      <c r="G396" s="106" t="s">
        <v>133</v>
      </c>
      <c r="H396" s="136">
        <f>IFERROR(__xludf.DUMMYFUNCTION("""COMPUTED_VALUE"""),0.0)</f>
        <v>0</v>
      </c>
      <c r="I396" s="139" t="s">
        <v>133</v>
      </c>
      <c r="J396" s="136" t="s">
        <v>133</v>
      </c>
      <c r="K396" s="136"/>
      <c r="L396" s="136" t="str">
        <f t="shared" si="1"/>
        <v/>
      </c>
      <c r="M396" s="136" t="str">
        <f>IFERROR(__xludf.DUMMYFUNCTION("""COMPUTED_VALUE"""),"")</f>
        <v/>
      </c>
      <c r="N396" s="141" t="s">
        <v>133</v>
      </c>
      <c r="O396" s="136" t="str">
        <f>IFERROR(__xludf.DUMMYFUNCTION("""COMPUTED_VALUE"""),"")</f>
        <v/>
      </c>
      <c r="P396" s="136" t="str">
        <f>IFERROR(__xludf.DUMMYFUNCTION("""COMPUTED_VALUE"""),"")</f>
        <v/>
      </c>
      <c r="Q396" s="106" t="str">
        <f>IFERROR(__xludf.DUMMYFUNCTION("""COMPUTED_VALUE"""),"")</f>
        <v/>
      </c>
      <c r="R396" s="106" t="str">
        <f>IFERROR(__xludf.DUMMYFUNCTION("""COMPUTED_VALUE"""),"")</f>
        <v/>
      </c>
      <c r="S396" s="139" t="str">
        <f>IFERROR(__xludf.DUMMYFUNCTION("""COMPUTED_VALUE"""),"")</f>
        <v/>
      </c>
      <c r="T396" s="139" t="str">
        <f>IFERROR(__xludf.DUMMYFUNCTION("""COMPUTED_VALUE"""),"")</f>
        <v/>
      </c>
      <c r="U396" s="136" t="str">
        <f>IFERROR(__xludf.DUMMYFUNCTION("""COMPUTED_VALUE"""),"")</f>
        <v/>
      </c>
      <c r="V396" s="106" t="str">
        <f>IFERROR(__xludf.DUMMYFUNCTION("""COMPUTED_VALUE"""),"")</f>
        <v/>
      </c>
      <c r="W396" s="143" t="str">
        <f t="shared" si="2"/>
        <v/>
      </c>
      <c r="X396" s="139" t="str">
        <f>IFERROR(__xludf.DUMMYFUNCTION("""COMPUTED_VALUE"""),"")</f>
        <v/>
      </c>
      <c r="Y396" s="141" t="str">
        <f>IFERROR(__xludf.DUMMYFUNCTION("""COMPUTED_VALUE"""),"")</f>
        <v/>
      </c>
    </row>
    <row r="397">
      <c r="A397" s="136"/>
      <c r="B397" s="136"/>
      <c r="C397" s="136" t="str">
        <f t="shared" si="3"/>
        <v/>
      </c>
      <c r="D397" s="136"/>
      <c r="E397" s="106">
        <f>IFERROR(__xludf.DUMMYFUNCTION("""COMPUTED_VALUE"""),0.0)</f>
        <v>0</v>
      </c>
      <c r="F397" s="136"/>
      <c r="G397" s="106" t="s">
        <v>133</v>
      </c>
      <c r="H397" s="136">
        <f>IFERROR(__xludf.DUMMYFUNCTION("""COMPUTED_VALUE"""),0.0)</f>
        <v>0</v>
      </c>
      <c r="I397" s="139" t="s">
        <v>133</v>
      </c>
      <c r="J397" s="136" t="s">
        <v>133</v>
      </c>
      <c r="K397" s="136"/>
      <c r="L397" s="136" t="str">
        <f t="shared" si="1"/>
        <v/>
      </c>
      <c r="M397" s="136" t="str">
        <f>IFERROR(__xludf.DUMMYFUNCTION("""COMPUTED_VALUE"""),"")</f>
        <v/>
      </c>
      <c r="N397" s="141" t="s">
        <v>133</v>
      </c>
      <c r="O397" s="136" t="str">
        <f>IFERROR(__xludf.DUMMYFUNCTION("""COMPUTED_VALUE"""),"")</f>
        <v/>
      </c>
      <c r="P397" s="136" t="str">
        <f>IFERROR(__xludf.DUMMYFUNCTION("""COMPUTED_VALUE"""),"")</f>
        <v/>
      </c>
      <c r="Q397" s="106" t="str">
        <f>IFERROR(__xludf.DUMMYFUNCTION("""COMPUTED_VALUE"""),"")</f>
        <v/>
      </c>
      <c r="R397" s="106" t="str">
        <f>IFERROR(__xludf.DUMMYFUNCTION("""COMPUTED_VALUE"""),"")</f>
        <v/>
      </c>
      <c r="S397" s="139" t="str">
        <f>IFERROR(__xludf.DUMMYFUNCTION("""COMPUTED_VALUE"""),"")</f>
        <v/>
      </c>
      <c r="T397" s="139" t="str">
        <f>IFERROR(__xludf.DUMMYFUNCTION("""COMPUTED_VALUE"""),"")</f>
        <v/>
      </c>
      <c r="U397" s="136" t="str">
        <f>IFERROR(__xludf.DUMMYFUNCTION("""COMPUTED_VALUE"""),"")</f>
        <v/>
      </c>
      <c r="V397" s="106" t="str">
        <f>IFERROR(__xludf.DUMMYFUNCTION("""COMPUTED_VALUE"""),"")</f>
        <v/>
      </c>
      <c r="W397" s="143" t="str">
        <f t="shared" si="2"/>
        <v/>
      </c>
      <c r="X397" s="139" t="str">
        <f>IFERROR(__xludf.DUMMYFUNCTION("""COMPUTED_VALUE"""),"")</f>
        <v/>
      </c>
      <c r="Y397" s="141" t="str">
        <f>IFERROR(__xludf.DUMMYFUNCTION("""COMPUTED_VALUE"""),"")</f>
        <v/>
      </c>
    </row>
    <row r="398">
      <c r="A398" s="136"/>
      <c r="B398" s="136"/>
      <c r="C398" s="136" t="str">
        <f t="shared" si="3"/>
        <v/>
      </c>
      <c r="D398" s="136"/>
      <c r="E398" s="106">
        <f>IFERROR(__xludf.DUMMYFUNCTION("""COMPUTED_VALUE"""),0.0)</f>
        <v>0</v>
      </c>
      <c r="F398" s="136"/>
      <c r="G398" s="106" t="s">
        <v>133</v>
      </c>
      <c r="H398" s="136">
        <f>IFERROR(__xludf.DUMMYFUNCTION("""COMPUTED_VALUE"""),0.0)</f>
        <v>0</v>
      </c>
      <c r="I398" s="139" t="s">
        <v>133</v>
      </c>
      <c r="J398" s="136" t="s">
        <v>133</v>
      </c>
      <c r="K398" s="136"/>
      <c r="L398" s="136" t="str">
        <f t="shared" si="1"/>
        <v/>
      </c>
      <c r="M398" s="136" t="str">
        <f>IFERROR(__xludf.DUMMYFUNCTION("""COMPUTED_VALUE"""),"")</f>
        <v/>
      </c>
      <c r="N398" s="141" t="s">
        <v>133</v>
      </c>
      <c r="O398" s="136" t="str">
        <f>IFERROR(__xludf.DUMMYFUNCTION("""COMPUTED_VALUE"""),"")</f>
        <v/>
      </c>
      <c r="P398" s="136" t="str">
        <f>IFERROR(__xludf.DUMMYFUNCTION("""COMPUTED_VALUE"""),"")</f>
        <v/>
      </c>
      <c r="Q398" s="106" t="str">
        <f>IFERROR(__xludf.DUMMYFUNCTION("""COMPUTED_VALUE"""),"")</f>
        <v/>
      </c>
      <c r="R398" s="106" t="str">
        <f>IFERROR(__xludf.DUMMYFUNCTION("""COMPUTED_VALUE"""),"")</f>
        <v/>
      </c>
      <c r="S398" s="139" t="str">
        <f>IFERROR(__xludf.DUMMYFUNCTION("""COMPUTED_VALUE"""),"")</f>
        <v/>
      </c>
      <c r="T398" s="139" t="str">
        <f>IFERROR(__xludf.DUMMYFUNCTION("""COMPUTED_VALUE"""),"")</f>
        <v/>
      </c>
      <c r="U398" s="136" t="str">
        <f>IFERROR(__xludf.DUMMYFUNCTION("""COMPUTED_VALUE"""),"")</f>
        <v/>
      </c>
      <c r="V398" s="106" t="str">
        <f>IFERROR(__xludf.DUMMYFUNCTION("""COMPUTED_VALUE"""),"")</f>
        <v/>
      </c>
      <c r="W398" s="143" t="str">
        <f t="shared" si="2"/>
        <v/>
      </c>
      <c r="X398" s="139" t="str">
        <f>IFERROR(__xludf.DUMMYFUNCTION("""COMPUTED_VALUE"""),"")</f>
        <v/>
      </c>
      <c r="Y398" s="141" t="str">
        <f>IFERROR(__xludf.DUMMYFUNCTION("""COMPUTED_VALUE"""),"")</f>
        <v/>
      </c>
    </row>
    <row r="399">
      <c r="A399" s="136"/>
      <c r="B399" s="136"/>
      <c r="C399" s="136" t="str">
        <f t="shared" si="3"/>
        <v/>
      </c>
      <c r="D399" s="136"/>
      <c r="E399" s="106">
        <f>IFERROR(__xludf.DUMMYFUNCTION("""COMPUTED_VALUE"""),0.0)</f>
        <v>0</v>
      </c>
      <c r="F399" s="136"/>
      <c r="G399" s="106" t="s">
        <v>133</v>
      </c>
      <c r="H399" s="136">
        <f>IFERROR(__xludf.DUMMYFUNCTION("""COMPUTED_VALUE"""),0.0)</f>
        <v>0</v>
      </c>
      <c r="I399" s="139" t="s">
        <v>133</v>
      </c>
      <c r="J399" s="136" t="s">
        <v>133</v>
      </c>
      <c r="K399" s="136"/>
      <c r="L399" s="136" t="str">
        <f t="shared" si="1"/>
        <v/>
      </c>
      <c r="M399" s="136" t="str">
        <f>IFERROR(__xludf.DUMMYFUNCTION("""COMPUTED_VALUE"""),"")</f>
        <v/>
      </c>
      <c r="N399" s="141" t="s">
        <v>133</v>
      </c>
      <c r="O399" s="136" t="str">
        <f>IFERROR(__xludf.DUMMYFUNCTION("""COMPUTED_VALUE"""),"")</f>
        <v/>
      </c>
      <c r="P399" s="136" t="str">
        <f>IFERROR(__xludf.DUMMYFUNCTION("""COMPUTED_VALUE"""),"")</f>
        <v/>
      </c>
      <c r="Q399" s="106" t="str">
        <f>IFERROR(__xludf.DUMMYFUNCTION("""COMPUTED_VALUE"""),"")</f>
        <v/>
      </c>
      <c r="R399" s="106" t="str">
        <f>IFERROR(__xludf.DUMMYFUNCTION("""COMPUTED_VALUE"""),"")</f>
        <v/>
      </c>
      <c r="S399" s="139" t="str">
        <f>IFERROR(__xludf.DUMMYFUNCTION("""COMPUTED_VALUE"""),"")</f>
        <v/>
      </c>
      <c r="T399" s="139" t="str">
        <f>IFERROR(__xludf.DUMMYFUNCTION("""COMPUTED_VALUE"""),"")</f>
        <v/>
      </c>
      <c r="U399" s="136" t="str">
        <f>IFERROR(__xludf.DUMMYFUNCTION("""COMPUTED_VALUE"""),"")</f>
        <v/>
      </c>
      <c r="V399" s="106" t="str">
        <f>IFERROR(__xludf.DUMMYFUNCTION("""COMPUTED_VALUE"""),"")</f>
        <v/>
      </c>
      <c r="W399" s="143" t="str">
        <f t="shared" si="2"/>
        <v/>
      </c>
      <c r="X399" s="139" t="str">
        <f>IFERROR(__xludf.DUMMYFUNCTION("""COMPUTED_VALUE"""),"")</f>
        <v/>
      </c>
      <c r="Y399" s="141" t="str">
        <f>IFERROR(__xludf.DUMMYFUNCTION("""COMPUTED_VALUE"""),"")</f>
        <v/>
      </c>
    </row>
    <row r="400">
      <c r="A400" s="136"/>
      <c r="B400" s="136"/>
      <c r="C400" s="136" t="str">
        <f t="shared" si="3"/>
        <v/>
      </c>
      <c r="D400" s="136"/>
      <c r="E400" s="106">
        <f>IFERROR(__xludf.DUMMYFUNCTION("""COMPUTED_VALUE"""),0.0)</f>
        <v>0</v>
      </c>
      <c r="F400" s="136"/>
      <c r="G400" s="106" t="s">
        <v>133</v>
      </c>
      <c r="H400" s="136">
        <f>IFERROR(__xludf.DUMMYFUNCTION("""COMPUTED_VALUE"""),0.0)</f>
        <v>0</v>
      </c>
      <c r="I400" s="139" t="s">
        <v>133</v>
      </c>
      <c r="J400" s="136" t="s">
        <v>133</v>
      </c>
      <c r="K400" s="136"/>
      <c r="L400" s="136" t="str">
        <f t="shared" si="1"/>
        <v/>
      </c>
      <c r="M400" s="136" t="str">
        <f>IFERROR(__xludf.DUMMYFUNCTION("""COMPUTED_VALUE"""),"")</f>
        <v/>
      </c>
      <c r="N400" s="141" t="s">
        <v>133</v>
      </c>
      <c r="O400" s="136" t="str">
        <f>IFERROR(__xludf.DUMMYFUNCTION("""COMPUTED_VALUE"""),"")</f>
        <v/>
      </c>
      <c r="P400" s="136" t="str">
        <f>IFERROR(__xludf.DUMMYFUNCTION("""COMPUTED_VALUE"""),"")</f>
        <v/>
      </c>
      <c r="Q400" s="106" t="str">
        <f>IFERROR(__xludf.DUMMYFUNCTION("""COMPUTED_VALUE"""),"")</f>
        <v/>
      </c>
      <c r="R400" s="106" t="str">
        <f>IFERROR(__xludf.DUMMYFUNCTION("""COMPUTED_VALUE"""),"")</f>
        <v/>
      </c>
      <c r="S400" s="139" t="str">
        <f>IFERROR(__xludf.DUMMYFUNCTION("""COMPUTED_VALUE"""),"")</f>
        <v/>
      </c>
      <c r="T400" s="139" t="str">
        <f>IFERROR(__xludf.DUMMYFUNCTION("""COMPUTED_VALUE"""),"")</f>
        <v/>
      </c>
      <c r="U400" s="136" t="str">
        <f>IFERROR(__xludf.DUMMYFUNCTION("""COMPUTED_VALUE"""),"")</f>
        <v/>
      </c>
      <c r="V400" s="106" t="str">
        <f>IFERROR(__xludf.DUMMYFUNCTION("""COMPUTED_VALUE"""),"")</f>
        <v/>
      </c>
      <c r="W400" s="143" t="str">
        <f t="shared" si="2"/>
        <v/>
      </c>
      <c r="X400" s="139" t="str">
        <f>IFERROR(__xludf.DUMMYFUNCTION("""COMPUTED_VALUE"""),"")</f>
        <v/>
      </c>
      <c r="Y400" s="141" t="str">
        <f>IFERROR(__xludf.DUMMYFUNCTION("""COMPUTED_VALUE"""),"")</f>
        <v/>
      </c>
    </row>
    <row r="401">
      <c r="A401" s="136"/>
      <c r="B401" s="136"/>
      <c r="C401" s="136" t="str">
        <f t="shared" si="3"/>
        <v/>
      </c>
      <c r="D401" s="136"/>
      <c r="E401" s="106">
        <f>IFERROR(__xludf.DUMMYFUNCTION("""COMPUTED_VALUE"""),0.0)</f>
        <v>0</v>
      </c>
      <c r="F401" s="136"/>
      <c r="G401" s="106" t="s">
        <v>133</v>
      </c>
      <c r="H401" s="136">
        <f>IFERROR(__xludf.DUMMYFUNCTION("""COMPUTED_VALUE"""),0.0)</f>
        <v>0</v>
      </c>
      <c r="I401" s="139" t="s">
        <v>133</v>
      </c>
      <c r="J401" s="136" t="s">
        <v>133</v>
      </c>
      <c r="K401" s="136"/>
      <c r="L401" s="136" t="str">
        <f t="shared" si="1"/>
        <v/>
      </c>
      <c r="M401" s="136" t="str">
        <f>IFERROR(__xludf.DUMMYFUNCTION("""COMPUTED_VALUE"""),"")</f>
        <v/>
      </c>
      <c r="N401" s="141" t="s">
        <v>133</v>
      </c>
      <c r="O401" s="136" t="str">
        <f>IFERROR(__xludf.DUMMYFUNCTION("""COMPUTED_VALUE"""),"")</f>
        <v/>
      </c>
      <c r="P401" s="136" t="str">
        <f>IFERROR(__xludf.DUMMYFUNCTION("""COMPUTED_VALUE"""),"")</f>
        <v/>
      </c>
      <c r="Q401" s="106" t="str">
        <f>IFERROR(__xludf.DUMMYFUNCTION("""COMPUTED_VALUE"""),"")</f>
        <v/>
      </c>
      <c r="R401" s="106" t="str">
        <f>IFERROR(__xludf.DUMMYFUNCTION("""COMPUTED_VALUE"""),"")</f>
        <v/>
      </c>
      <c r="S401" s="139" t="str">
        <f>IFERROR(__xludf.DUMMYFUNCTION("""COMPUTED_VALUE"""),"")</f>
        <v/>
      </c>
      <c r="T401" s="139" t="str">
        <f>IFERROR(__xludf.DUMMYFUNCTION("""COMPUTED_VALUE"""),"")</f>
        <v/>
      </c>
      <c r="U401" s="136" t="str">
        <f>IFERROR(__xludf.DUMMYFUNCTION("""COMPUTED_VALUE"""),"")</f>
        <v/>
      </c>
      <c r="V401" s="106" t="str">
        <f>IFERROR(__xludf.DUMMYFUNCTION("""COMPUTED_VALUE"""),"")</f>
        <v/>
      </c>
      <c r="W401" s="143" t="str">
        <f t="shared" si="2"/>
        <v/>
      </c>
      <c r="X401" s="139" t="str">
        <f>IFERROR(__xludf.DUMMYFUNCTION("""COMPUTED_VALUE"""),"")</f>
        <v/>
      </c>
      <c r="Y401" s="141" t="str">
        <f>IFERROR(__xludf.DUMMYFUNCTION("""COMPUTED_VALUE"""),"")</f>
        <v/>
      </c>
    </row>
    <row r="402">
      <c r="A402" s="136"/>
      <c r="B402" s="136"/>
      <c r="C402" s="136" t="str">
        <f t="shared" si="3"/>
        <v/>
      </c>
      <c r="D402" s="136"/>
      <c r="E402" s="106">
        <f>IFERROR(__xludf.DUMMYFUNCTION("""COMPUTED_VALUE"""),0.0)</f>
        <v>0</v>
      </c>
      <c r="F402" s="136"/>
      <c r="G402" s="106" t="s">
        <v>133</v>
      </c>
      <c r="H402" s="136">
        <f>IFERROR(__xludf.DUMMYFUNCTION("""COMPUTED_VALUE"""),0.0)</f>
        <v>0</v>
      </c>
      <c r="I402" s="139" t="s">
        <v>133</v>
      </c>
      <c r="J402" s="136" t="s">
        <v>133</v>
      </c>
      <c r="K402" s="136"/>
      <c r="L402" s="136" t="str">
        <f t="shared" si="1"/>
        <v/>
      </c>
      <c r="M402" s="136" t="str">
        <f>IFERROR(__xludf.DUMMYFUNCTION("""COMPUTED_VALUE"""),"")</f>
        <v/>
      </c>
      <c r="N402" s="141" t="s">
        <v>133</v>
      </c>
      <c r="O402" s="136" t="str">
        <f>IFERROR(__xludf.DUMMYFUNCTION("""COMPUTED_VALUE"""),"")</f>
        <v/>
      </c>
      <c r="P402" s="136" t="str">
        <f>IFERROR(__xludf.DUMMYFUNCTION("""COMPUTED_VALUE"""),"")</f>
        <v/>
      </c>
      <c r="Q402" s="106" t="str">
        <f>IFERROR(__xludf.DUMMYFUNCTION("""COMPUTED_VALUE"""),"")</f>
        <v/>
      </c>
      <c r="R402" s="106" t="str">
        <f>IFERROR(__xludf.DUMMYFUNCTION("""COMPUTED_VALUE"""),"")</f>
        <v/>
      </c>
      <c r="S402" s="139" t="str">
        <f>IFERROR(__xludf.DUMMYFUNCTION("""COMPUTED_VALUE"""),"")</f>
        <v/>
      </c>
      <c r="T402" s="139" t="str">
        <f>IFERROR(__xludf.DUMMYFUNCTION("""COMPUTED_VALUE"""),"")</f>
        <v/>
      </c>
      <c r="U402" s="136" t="str">
        <f>IFERROR(__xludf.DUMMYFUNCTION("""COMPUTED_VALUE"""),"")</f>
        <v/>
      </c>
      <c r="V402" s="106" t="str">
        <f>IFERROR(__xludf.DUMMYFUNCTION("""COMPUTED_VALUE"""),"")</f>
        <v/>
      </c>
      <c r="W402" s="143" t="str">
        <f t="shared" si="2"/>
        <v/>
      </c>
      <c r="X402" s="139" t="str">
        <f>IFERROR(__xludf.DUMMYFUNCTION("""COMPUTED_VALUE"""),"")</f>
        <v/>
      </c>
      <c r="Y402" s="141" t="str">
        <f>IFERROR(__xludf.DUMMYFUNCTION("""COMPUTED_VALUE"""),"")</f>
        <v/>
      </c>
    </row>
    <row r="403">
      <c r="A403" s="136"/>
      <c r="B403" s="136"/>
      <c r="C403" s="136" t="str">
        <f t="shared" si="3"/>
        <v/>
      </c>
      <c r="D403" s="136"/>
      <c r="E403" s="106">
        <f>IFERROR(__xludf.DUMMYFUNCTION("""COMPUTED_VALUE"""),0.0)</f>
        <v>0</v>
      </c>
      <c r="F403" s="136"/>
      <c r="G403" s="106" t="s">
        <v>133</v>
      </c>
      <c r="H403" s="136">
        <f>IFERROR(__xludf.DUMMYFUNCTION("""COMPUTED_VALUE"""),0.0)</f>
        <v>0</v>
      </c>
      <c r="I403" s="139" t="s">
        <v>133</v>
      </c>
      <c r="J403" s="136" t="s">
        <v>133</v>
      </c>
      <c r="K403" s="136"/>
      <c r="L403" s="136" t="str">
        <f t="shared" si="1"/>
        <v/>
      </c>
      <c r="M403" s="136" t="str">
        <f>IFERROR(__xludf.DUMMYFUNCTION("""COMPUTED_VALUE"""),"")</f>
        <v/>
      </c>
      <c r="N403" s="141" t="s">
        <v>133</v>
      </c>
      <c r="O403" s="136" t="str">
        <f>IFERROR(__xludf.DUMMYFUNCTION("""COMPUTED_VALUE"""),"")</f>
        <v/>
      </c>
      <c r="P403" s="136" t="str">
        <f>IFERROR(__xludf.DUMMYFUNCTION("""COMPUTED_VALUE"""),"")</f>
        <v/>
      </c>
      <c r="Q403" s="106" t="str">
        <f>IFERROR(__xludf.DUMMYFUNCTION("""COMPUTED_VALUE"""),"")</f>
        <v/>
      </c>
      <c r="R403" s="106" t="str">
        <f>IFERROR(__xludf.DUMMYFUNCTION("""COMPUTED_VALUE"""),"")</f>
        <v/>
      </c>
      <c r="S403" s="139" t="str">
        <f>IFERROR(__xludf.DUMMYFUNCTION("""COMPUTED_VALUE"""),"")</f>
        <v/>
      </c>
      <c r="T403" s="139" t="str">
        <f>IFERROR(__xludf.DUMMYFUNCTION("""COMPUTED_VALUE"""),"")</f>
        <v/>
      </c>
      <c r="U403" s="136" t="str">
        <f>IFERROR(__xludf.DUMMYFUNCTION("""COMPUTED_VALUE"""),"")</f>
        <v/>
      </c>
      <c r="V403" s="106" t="str">
        <f>IFERROR(__xludf.DUMMYFUNCTION("""COMPUTED_VALUE"""),"")</f>
        <v/>
      </c>
      <c r="W403" s="143" t="str">
        <f t="shared" si="2"/>
        <v/>
      </c>
      <c r="X403" s="139" t="str">
        <f>IFERROR(__xludf.DUMMYFUNCTION("""COMPUTED_VALUE"""),"")</f>
        <v/>
      </c>
      <c r="Y403" s="141" t="str">
        <f>IFERROR(__xludf.DUMMYFUNCTION("""COMPUTED_VALUE"""),"")</f>
        <v/>
      </c>
    </row>
    <row r="404">
      <c r="A404" s="136"/>
      <c r="B404" s="136"/>
      <c r="C404" s="136" t="str">
        <f t="shared" si="3"/>
        <v/>
      </c>
      <c r="D404" s="136"/>
      <c r="E404" s="106">
        <f>IFERROR(__xludf.DUMMYFUNCTION("""COMPUTED_VALUE"""),0.0)</f>
        <v>0</v>
      </c>
      <c r="F404" s="136"/>
      <c r="G404" s="106" t="s">
        <v>133</v>
      </c>
      <c r="H404" s="136">
        <f>IFERROR(__xludf.DUMMYFUNCTION("""COMPUTED_VALUE"""),0.0)</f>
        <v>0</v>
      </c>
      <c r="I404" s="139" t="s">
        <v>133</v>
      </c>
      <c r="J404" s="136" t="s">
        <v>133</v>
      </c>
      <c r="K404" s="136"/>
      <c r="L404" s="136" t="str">
        <f t="shared" si="1"/>
        <v/>
      </c>
      <c r="M404" s="136" t="str">
        <f>IFERROR(__xludf.DUMMYFUNCTION("""COMPUTED_VALUE"""),"")</f>
        <v/>
      </c>
      <c r="N404" s="141" t="s">
        <v>133</v>
      </c>
      <c r="O404" s="136" t="str">
        <f>IFERROR(__xludf.DUMMYFUNCTION("""COMPUTED_VALUE"""),"")</f>
        <v/>
      </c>
      <c r="P404" s="136" t="str">
        <f>IFERROR(__xludf.DUMMYFUNCTION("""COMPUTED_VALUE"""),"")</f>
        <v/>
      </c>
      <c r="Q404" s="106" t="str">
        <f>IFERROR(__xludf.DUMMYFUNCTION("""COMPUTED_VALUE"""),"")</f>
        <v/>
      </c>
      <c r="R404" s="106" t="str">
        <f>IFERROR(__xludf.DUMMYFUNCTION("""COMPUTED_VALUE"""),"")</f>
        <v/>
      </c>
      <c r="S404" s="139" t="str">
        <f>IFERROR(__xludf.DUMMYFUNCTION("""COMPUTED_VALUE"""),"")</f>
        <v/>
      </c>
      <c r="T404" s="139" t="str">
        <f>IFERROR(__xludf.DUMMYFUNCTION("""COMPUTED_VALUE"""),"")</f>
        <v/>
      </c>
      <c r="U404" s="136" t="str">
        <f>IFERROR(__xludf.DUMMYFUNCTION("""COMPUTED_VALUE"""),"")</f>
        <v/>
      </c>
      <c r="V404" s="106" t="str">
        <f>IFERROR(__xludf.DUMMYFUNCTION("""COMPUTED_VALUE"""),"")</f>
        <v/>
      </c>
      <c r="W404" s="143" t="str">
        <f t="shared" si="2"/>
        <v/>
      </c>
      <c r="X404" s="139" t="str">
        <f>IFERROR(__xludf.DUMMYFUNCTION("""COMPUTED_VALUE"""),"")</f>
        <v/>
      </c>
      <c r="Y404" s="141" t="str">
        <f>IFERROR(__xludf.DUMMYFUNCTION("""COMPUTED_VALUE"""),"")</f>
        <v/>
      </c>
    </row>
    <row r="405">
      <c r="A405" s="136"/>
      <c r="B405" s="136"/>
      <c r="C405" s="136" t="str">
        <f t="shared" si="3"/>
        <v/>
      </c>
      <c r="D405" s="136"/>
      <c r="E405" s="106">
        <f>IFERROR(__xludf.DUMMYFUNCTION("""COMPUTED_VALUE"""),0.0)</f>
        <v>0</v>
      </c>
      <c r="F405" s="136"/>
      <c r="G405" s="106" t="s">
        <v>133</v>
      </c>
      <c r="H405" s="136">
        <f>IFERROR(__xludf.DUMMYFUNCTION("""COMPUTED_VALUE"""),0.0)</f>
        <v>0</v>
      </c>
      <c r="I405" s="139" t="s">
        <v>133</v>
      </c>
      <c r="J405" s="136" t="s">
        <v>133</v>
      </c>
      <c r="K405" s="136"/>
      <c r="L405" s="136" t="str">
        <f t="shared" si="1"/>
        <v/>
      </c>
      <c r="M405" s="136" t="str">
        <f>IFERROR(__xludf.DUMMYFUNCTION("""COMPUTED_VALUE"""),"")</f>
        <v/>
      </c>
      <c r="N405" s="141" t="s">
        <v>133</v>
      </c>
      <c r="O405" s="136" t="str">
        <f>IFERROR(__xludf.DUMMYFUNCTION("""COMPUTED_VALUE"""),"")</f>
        <v/>
      </c>
      <c r="P405" s="136" t="str">
        <f>IFERROR(__xludf.DUMMYFUNCTION("""COMPUTED_VALUE"""),"")</f>
        <v/>
      </c>
      <c r="Q405" s="106" t="str">
        <f>IFERROR(__xludf.DUMMYFUNCTION("""COMPUTED_VALUE"""),"")</f>
        <v/>
      </c>
      <c r="R405" s="106" t="str">
        <f>IFERROR(__xludf.DUMMYFUNCTION("""COMPUTED_VALUE"""),"")</f>
        <v/>
      </c>
      <c r="S405" s="139" t="str">
        <f>IFERROR(__xludf.DUMMYFUNCTION("""COMPUTED_VALUE"""),"")</f>
        <v/>
      </c>
      <c r="T405" s="139" t="str">
        <f>IFERROR(__xludf.DUMMYFUNCTION("""COMPUTED_VALUE"""),"")</f>
        <v/>
      </c>
      <c r="U405" s="136" t="str">
        <f>IFERROR(__xludf.DUMMYFUNCTION("""COMPUTED_VALUE"""),"")</f>
        <v/>
      </c>
      <c r="V405" s="106" t="str">
        <f>IFERROR(__xludf.DUMMYFUNCTION("""COMPUTED_VALUE"""),"")</f>
        <v/>
      </c>
      <c r="W405" s="143" t="str">
        <f t="shared" si="2"/>
        <v/>
      </c>
      <c r="X405" s="139" t="str">
        <f>IFERROR(__xludf.DUMMYFUNCTION("""COMPUTED_VALUE"""),"")</f>
        <v/>
      </c>
      <c r="Y405" s="141" t="str">
        <f>IFERROR(__xludf.DUMMYFUNCTION("""COMPUTED_VALUE"""),"")</f>
        <v/>
      </c>
    </row>
    <row r="406">
      <c r="A406" s="136"/>
      <c r="B406" s="136"/>
      <c r="C406" s="136" t="str">
        <f t="shared" si="3"/>
        <v/>
      </c>
      <c r="D406" s="136"/>
      <c r="E406" s="106">
        <f>IFERROR(__xludf.DUMMYFUNCTION("""COMPUTED_VALUE"""),0.0)</f>
        <v>0</v>
      </c>
      <c r="F406" s="136"/>
      <c r="G406" s="106" t="s">
        <v>133</v>
      </c>
      <c r="H406" s="136">
        <f>IFERROR(__xludf.DUMMYFUNCTION("""COMPUTED_VALUE"""),0.0)</f>
        <v>0</v>
      </c>
      <c r="I406" s="139" t="s">
        <v>133</v>
      </c>
      <c r="J406" s="136" t="s">
        <v>133</v>
      </c>
      <c r="K406" s="136"/>
      <c r="L406" s="136" t="str">
        <f t="shared" si="1"/>
        <v/>
      </c>
      <c r="M406" s="136" t="str">
        <f>IFERROR(__xludf.DUMMYFUNCTION("""COMPUTED_VALUE"""),"")</f>
        <v/>
      </c>
      <c r="N406" s="141" t="s">
        <v>133</v>
      </c>
      <c r="O406" s="136" t="str">
        <f>IFERROR(__xludf.DUMMYFUNCTION("""COMPUTED_VALUE"""),"")</f>
        <v/>
      </c>
      <c r="P406" s="136" t="str">
        <f>IFERROR(__xludf.DUMMYFUNCTION("""COMPUTED_VALUE"""),"")</f>
        <v/>
      </c>
      <c r="Q406" s="106" t="str">
        <f>IFERROR(__xludf.DUMMYFUNCTION("""COMPUTED_VALUE"""),"")</f>
        <v/>
      </c>
      <c r="R406" s="106" t="str">
        <f>IFERROR(__xludf.DUMMYFUNCTION("""COMPUTED_VALUE"""),"")</f>
        <v/>
      </c>
      <c r="S406" s="139" t="str">
        <f>IFERROR(__xludf.DUMMYFUNCTION("""COMPUTED_VALUE"""),"")</f>
        <v/>
      </c>
      <c r="T406" s="139" t="str">
        <f>IFERROR(__xludf.DUMMYFUNCTION("""COMPUTED_VALUE"""),"")</f>
        <v/>
      </c>
      <c r="U406" s="136" t="str">
        <f>IFERROR(__xludf.DUMMYFUNCTION("""COMPUTED_VALUE"""),"")</f>
        <v/>
      </c>
      <c r="V406" s="106" t="str">
        <f>IFERROR(__xludf.DUMMYFUNCTION("""COMPUTED_VALUE"""),"")</f>
        <v/>
      </c>
      <c r="W406" s="143" t="str">
        <f t="shared" si="2"/>
        <v/>
      </c>
      <c r="X406" s="139" t="str">
        <f>IFERROR(__xludf.DUMMYFUNCTION("""COMPUTED_VALUE"""),"")</f>
        <v/>
      </c>
      <c r="Y406" s="141" t="str">
        <f>IFERROR(__xludf.DUMMYFUNCTION("""COMPUTED_VALUE"""),"")</f>
        <v/>
      </c>
    </row>
    <row r="407">
      <c r="A407" s="136"/>
      <c r="B407" s="136"/>
      <c r="C407" s="136" t="str">
        <f t="shared" si="3"/>
        <v/>
      </c>
      <c r="D407" s="136"/>
      <c r="E407" s="106">
        <f>IFERROR(__xludf.DUMMYFUNCTION("""COMPUTED_VALUE"""),0.0)</f>
        <v>0</v>
      </c>
      <c r="F407" s="136"/>
      <c r="G407" s="106" t="s">
        <v>133</v>
      </c>
      <c r="H407" s="136">
        <f>IFERROR(__xludf.DUMMYFUNCTION("""COMPUTED_VALUE"""),0.0)</f>
        <v>0</v>
      </c>
      <c r="I407" s="139" t="s">
        <v>133</v>
      </c>
      <c r="J407" s="136" t="s">
        <v>133</v>
      </c>
      <c r="K407" s="136"/>
      <c r="L407" s="136" t="str">
        <f t="shared" si="1"/>
        <v/>
      </c>
      <c r="M407" s="136" t="str">
        <f>IFERROR(__xludf.DUMMYFUNCTION("""COMPUTED_VALUE"""),"")</f>
        <v/>
      </c>
      <c r="N407" s="141" t="s">
        <v>133</v>
      </c>
      <c r="O407" s="136" t="str">
        <f>IFERROR(__xludf.DUMMYFUNCTION("""COMPUTED_VALUE"""),"")</f>
        <v/>
      </c>
      <c r="P407" s="136" t="str">
        <f>IFERROR(__xludf.DUMMYFUNCTION("""COMPUTED_VALUE"""),"")</f>
        <v/>
      </c>
      <c r="Q407" s="106" t="str">
        <f>IFERROR(__xludf.DUMMYFUNCTION("""COMPUTED_VALUE"""),"")</f>
        <v/>
      </c>
      <c r="R407" s="106" t="str">
        <f>IFERROR(__xludf.DUMMYFUNCTION("""COMPUTED_VALUE"""),"")</f>
        <v/>
      </c>
      <c r="S407" s="139" t="str">
        <f>IFERROR(__xludf.DUMMYFUNCTION("""COMPUTED_VALUE"""),"")</f>
        <v/>
      </c>
      <c r="T407" s="139" t="str">
        <f>IFERROR(__xludf.DUMMYFUNCTION("""COMPUTED_VALUE"""),"")</f>
        <v/>
      </c>
      <c r="U407" s="136" t="str">
        <f>IFERROR(__xludf.DUMMYFUNCTION("""COMPUTED_VALUE"""),"")</f>
        <v/>
      </c>
      <c r="V407" s="106" t="str">
        <f>IFERROR(__xludf.DUMMYFUNCTION("""COMPUTED_VALUE"""),"")</f>
        <v/>
      </c>
      <c r="W407" s="143" t="str">
        <f t="shared" si="2"/>
        <v/>
      </c>
      <c r="X407" s="139" t="str">
        <f>IFERROR(__xludf.DUMMYFUNCTION("""COMPUTED_VALUE"""),"")</f>
        <v/>
      </c>
      <c r="Y407" s="141" t="str">
        <f>IFERROR(__xludf.DUMMYFUNCTION("""COMPUTED_VALUE"""),"")</f>
        <v/>
      </c>
    </row>
    <row r="408">
      <c r="A408" s="136"/>
      <c r="B408" s="136"/>
      <c r="C408" s="136" t="str">
        <f t="shared" si="3"/>
        <v/>
      </c>
      <c r="D408" s="136"/>
      <c r="E408" s="106">
        <f>IFERROR(__xludf.DUMMYFUNCTION("""COMPUTED_VALUE"""),0.0)</f>
        <v>0</v>
      </c>
      <c r="F408" s="136"/>
      <c r="G408" s="106" t="s">
        <v>133</v>
      </c>
      <c r="H408" s="136">
        <f>IFERROR(__xludf.DUMMYFUNCTION("""COMPUTED_VALUE"""),0.0)</f>
        <v>0</v>
      </c>
      <c r="I408" s="139" t="s">
        <v>133</v>
      </c>
      <c r="J408" s="136" t="s">
        <v>133</v>
      </c>
      <c r="K408" s="136"/>
      <c r="L408" s="136" t="str">
        <f t="shared" si="1"/>
        <v/>
      </c>
      <c r="M408" s="136" t="str">
        <f>IFERROR(__xludf.DUMMYFUNCTION("""COMPUTED_VALUE"""),"")</f>
        <v/>
      </c>
      <c r="N408" s="141" t="s">
        <v>133</v>
      </c>
      <c r="O408" s="136" t="str">
        <f>IFERROR(__xludf.DUMMYFUNCTION("""COMPUTED_VALUE"""),"")</f>
        <v/>
      </c>
      <c r="P408" s="136" t="str">
        <f>IFERROR(__xludf.DUMMYFUNCTION("""COMPUTED_VALUE"""),"")</f>
        <v/>
      </c>
      <c r="Q408" s="106" t="str">
        <f>IFERROR(__xludf.DUMMYFUNCTION("""COMPUTED_VALUE"""),"")</f>
        <v/>
      </c>
      <c r="R408" s="106" t="str">
        <f>IFERROR(__xludf.DUMMYFUNCTION("""COMPUTED_VALUE"""),"")</f>
        <v/>
      </c>
      <c r="S408" s="139" t="str">
        <f>IFERROR(__xludf.DUMMYFUNCTION("""COMPUTED_VALUE"""),"")</f>
        <v/>
      </c>
      <c r="T408" s="139" t="str">
        <f>IFERROR(__xludf.DUMMYFUNCTION("""COMPUTED_VALUE"""),"")</f>
        <v/>
      </c>
      <c r="U408" s="136" t="str">
        <f>IFERROR(__xludf.DUMMYFUNCTION("""COMPUTED_VALUE"""),"")</f>
        <v/>
      </c>
      <c r="V408" s="106" t="str">
        <f>IFERROR(__xludf.DUMMYFUNCTION("""COMPUTED_VALUE"""),"")</f>
        <v/>
      </c>
      <c r="W408" s="143" t="str">
        <f t="shared" si="2"/>
        <v/>
      </c>
      <c r="X408" s="139" t="str">
        <f>IFERROR(__xludf.DUMMYFUNCTION("""COMPUTED_VALUE"""),"")</f>
        <v/>
      </c>
      <c r="Y408" s="141" t="str">
        <f>IFERROR(__xludf.DUMMYFUNCTION("""COMPUTED_VALUE"""),"")</f>
        <v/>
      </c>
    </row>
    <row r="409">
      <c r="A409" s="136"/>
      <c r="B409" s="136"/>
      <c r="C409" s="136" t="str">
        <f t="shared" si="3"/>
        <v/>
      </c>
      <c r="D409" s="136"/>
      <c r="E409" s="106">
        <f>IFERROR(__xludf.DUMMYFUNCTION("""COMPUTED_VALUE"""),0.0)</f>
        <v>0</v>
      </c>
      <c r="F409" s="136"/>
      <c r="G409" s="106" t="s">
        <v>133</v>
      </c>
      <c r="H409" s="136">
        <f>IFERROR(__xludf.DUMMYFUNCTION("""COMPUTED_VALUE"""),0.0)</f>
        <v>0</v>
      </c>
      <c r="I409" s="139" t="s">
        <v>133</v>
      </c>
      <c r="J409" s="136" t="s">
        <v>133</v>
      </c>
      <c r="K409" s="136"/>
      <c r="L409" s="136" t="str">
        <f t="shared" si="1"/>
        <v/>
      </c>
      <c r="M409" s="136" t="str">
        <f>IFERROR(__xludf.DUMMYFUNCTION("""COMPUTED_VALUE"""),"")</f>
        <v/>
      </c>
      <c r="N409" s="141" t="s">
        <v>133</v>
      </c>
      <c r="O409" s="136" t="str">
        <f>IFERROR(__xludf.DUMMYFUNCTION("""COMPUTED_VALUE"""),"")</f>
        <v/>
      </c>
      <c r="P409" s="136" t="str">
        <f>IFERROR(__xludf.DUMMYFUNCTION("""COMPUTED_VALUE"""),"")</f>
        <v/>
      </c>
      <c r="Q409" s="106" t="str">
        <f>IFERROR(__xludf.DUMMYFUNCTION("""COMPUTED_VALUE"""),"")</f>
        <v/>
      </c>
      <c r="R409" s="106" t="str">
        <f>IFERROR(__xludf.DUMMYFUNCTION("""COMPUTED_VALUE"""),"")</f>
        <v/>
      </c>
      <c r="S409" s="139" t="str">
        <f>IFERROR(__xludf.DUMMYFUNCTION("""COMPUTED_VALUE"""),"")</f>
        <v/>
      </c>
      <c r="T409" s="139" t="str">
        <f>IFERROR(__xludf.DUMMYFUNCTION("""COMPUTED_VALUE"""),"")</f>
        <v/>
      </c>
      <c r="U409" s="136" t="str">
        <f>IFERROR(__xludf.DUMMYFUNCTION("""COMPUTED_VALUE"""),"")</f>
        <v/>
      </c>
      <c r="V409" s="106" t="str">
        <f>IFERROR(__xludf.DUMMYFUNCTION("""COMPUTED_VALUE"""),"")</f>
        <v/>
      </c>
      <c r="W409" s="143" t="str">
        <f t="shared" si="2"/>
        <v/>
      </c>
      <c r="X409" s="139" t="str">
        <f>IFERROR(__xludf.DUMMYFUNCTION("""COMPUTED_VALUE"""),"")</f>
        <v/>
      </c>
      <c r="Y409" s="141" t="str">
        <f>IFERROR(__xludf.DUMMYFUNCTION("""COMPUTED_VALUE"""),"")</f>
        <v/>
      </c>
    </row>
    <row r="410">
      <c r="A410" s="136"/>
      <c r="B410" s="136"/>
      <c r="C410" s="136" t="str">
        <f t="shared" si="3"/>
        <v/>
      </c>
      <c r="D410" s="136"/>
      <c r="E410" s="106">
        <f>IFERROR(__xludf.DUMMYFUNCTION("""COMPUTED_VALUE"""),0.0)</f>
        <v>0</v>
      </c>
      <c r="F410" s="136"/>
      <c r="G410" s="106" t="s">
        <v>133</v>
      </c>
      <c r="H410" s="136">
        <f>IFERROR(__xludf.DUMMYFUNCTION("""COMPUTED_VALUE"""),0.0)</f>
        <v>0</v>
      </c>
      <c r="I410" s="139" t="s">
        <v>133</v>
      </c>
      <c r="J410" s="136" t="s">
        <v>133</v>
      </c>
      <c r="K410" s="136"/>
      <c r="L410" s="136" t="str">
        <f t="shared" si="1"/>
        <v/>
      </c>
      <c r="M410" s="136" t="str">
        <f>IFERROR(__xludf.DUMMYFUNCTION("""COMPUTED_VALUE"""),"")</f>
        <v/>
      </c>
      <c r="N410" s="141" t="s">
        <v>133</v>
      </c>
      <c r="O410" s="136" t="str">
        <f>IFERROR(__xludf.DUMMYFUNCTION("""COMPUTED_VALUE"""),"")</f>
        <v/>
      </c>
      <c r="P410" s="136" t="str">
        <f>IFERROR(__xludf.DUMMYFUNCTION("""COMPUTED_VALUE"""),"")</f>
        <v/>
      </c>
      <c r="Q410" s="106" t="str">
        <f>IFERROR(__xludf.DUMMYFUNCTION("""COMPUTED_VALUE"""),"")</f>
        <v/>
      </c>
      <c r="R410" s="106" t="str">
        <f>IFERROR(__xludf.DUMMYFUNCTION("""COMPUTED_VALUE"""),"")</f>
        <v/>
      </c>
      <c r="S410" s="139" t="str">
        <f>IFERROR(__xludf.DUMMYFUNCTION("""COMPUTED_VALUE"""),"")</f>
        <v/>
      </c>
      <c r="T410" s="139" t="str">
        <f>IFERROR(__xludf.DUMMYFUNCTION("""COMPUTED_VALUE"""),"")</f>
        <v/>
      </c>
      <c r="U410" s="136" t="str">
        <f>IFERROR(__xludf.DUMMYFUNCTION("""COMPUTED_VALUE"""),"")</f>
        <v/>
      </c>
      <c r="V410" s="106" t="str">
        <f>IFERROR(__xludf.DUMMYFUNCTION("""COMPUTED_VALUE"""),"")</f>
        <v/>
      </c>
      <c r="W410" s="143" t="str">
        <f t="shared" si="2"/>
        <v/>
      </c>
      <c r="X410" s="139" t="str">
        <f>IFERROR(__xludf.DUMMYFUNCTION("""COMPUTED_VALUE"""),"")</f>
        <v/>
      </c>
      <c r="Y410" s="141" t="str">
        <f>IFERROR(__xludf.DUMMYFUNCTION("""COMPUTED_VALUE"""),"")</f>
        <v/>
      </c>
    </row>
    <row r="411">
      <c r="A411" s="136"/>
      <c r="B411" s="136"/>
      <c r="C411" s="136" t="str">
        <f t="shared" si="3"/>
        <v/>
      </c>
      <c r="D411" s="136"/>
      <c r="E411" s="106">
        <f>IFERROR(__xludf.DUMMYFUNCTION("""COMPUTED_VALUE"""),0.0)</f>
        <v>0</v>
      </c>
      <c r="F411" s="136"/>
      <c r="G411" s="106" t="s">
        <v>133</v>
      </c>
      <c r="H411" s="136">
        <f>IFERROR(__xludf.DUMMYFUNCTION("""COMPUTED_VALUE"""),0.0)</f>
        <v>0</v>
      </c>
      <c r="I411" s="139" t="s">
        <v>133</v>
      </c>
      <c r="J411" s="136" t="s">
        <v>133</v>
      </c>
      <c r="K411" s="136"/>
      <c r="L411" s="136" t="str">
        <f t="shared" si="1"/>
        <v/>
      </c>
      <c r="M411" s="136" t="str">
        <f>IFERROR(__xludf.DUMMYFUNCTION("""COMPUTED_VALUE"""),"")</f>
        <v/>
      </c>
      <c r="N411" s="141" t="s">
        <v>133</v>
      </c>
      <c r="O411" s="136" t="str">
        <f>IFERROR(__xludf.DUMMYFUNCTION("""COMPUTED_VALUE"""),"")</f>
        <v/>
      </c>
      <c r="P411" s="136" t="str">
        <f>IFERROR(__xludf.DUMMYFUNCTION("""COMPUTED_VALUE"""),"")</f>
        <v/>
      </c>
      <c r="Q411" s="106" t="str">
        <f>IFERROR(__xludf.DUMMYFUNCTION("""COMPUTED_VALUE"""),"")</f>
        <v/>
      </c>
      <c r="R411" s="106" t="str">
        <f>IFERROR(__xludf.DUMMYFUNCTION("""COMPUTED_VALUE"""),"")</f>
        <v/>
      </c>
      <c r="S411" s="139" t="str">
        <f>IFERROR(__xludf.DUMMYFUNCTION("""COMPUTED_VALUE"""),"")</f>
        <v/>
      </c>
      <c r="T411" s="139" t="str">
        <f>IFERROR(__xludf.DUMMYFUNCTION("""COMPUTED_VALUE"""),"")</f>
        <v/>
      </c>
      <c r="U411" s="136" t="str">
        <f>IFERROR(__xludf.DUMMYFUNCTION("""COMPUTED_VALUE"""),"")</f>
        <v/>
      </c>
      <c r="V411" s="106" t="str">
        <f>IFERROR(__xludf.DUMMYFUNCTION("""COMPUTED_VALUE"""),"")</f>
        <v/>
      </c>
      <c r="W411" s="143" t="str">
        <f t="shared" si="2"/>
        <v/>
      </c>
      <c r="X411" s="139" t="str">
        <f>IFERROR(__xludf.DUMMYFUNCTION("""COMPUTED_VALUE"""),"")</f>
        <v/>
      </c>
      <c r="Y411" s="141" t="str">
        <f>IFERROR(__xludf.DUMMYFUNCTION("""COMPUTED_VALUE"""),"")</f>
        <v/>
      </c>
    </row>
    <row r="412">
      <c r="A412" s="136"/>
      <c r="B412" s="136"/>
      <c r="C412" s="136" t="str">
        <f t="shared" si="3"/>
        <v/>
      </c>
      <c r="D412" s="136"/>
      <c r="E412" s="106">
        <f>IFERROR(__xludf.DUMMYFUNCTION("""COMPUTED_VALUE"""),0.0)</f>
        <v>0</v>
      </c>
      <c r="F412" s="136"/>
      <c r="G412" s="106" t="s">
        <v>133</v>
      </c>
      <c r="H412" s="136">
        <f>IFERROR(__xludf.DUMMYFUNCTION("""COMPUTED_VALUE"""),0.0)</f>
        <v>0</v>
      </c>
      <c r="I412" s="139" t="s">
        <v>133</v>
      </c>
      <c r="J412" s="136" t="s">
        <v>133</v>
      </c>
      <c r="K412" s="136"/>
      <c r="L412" s="136" t="str">
        <f t="shared" si="1"/>
        <v/>
      </c>
      <c r="M412" s="136" t="str">
        <f>IFERROR(__xludf.DUMMYFUNCTION("""COMPUTED_VALUE"""),"")</f>
        <v/>
      </c>
      <c r="N412" s="141" t="s">
        <v>133</v>
      </c>
      <c r="O412" s="136" t="str">
        <f>IFERROR(__xludf.DUMMYFUNCTION("""COMPUTED_VALUE"""),"")</f>
        <v/>
      </c>
      <c r="P412" s="136" t="str">
        <f>IFERROR(__xludf.DUMMYFUNCTION("""COMPUTED_VALUE"""),"")</f>
        <v/>
      </c>
      <c r="Q412" s="106" t="str">
        <f>IFERROR(__xludf.DUMMYFUNCTION("""COMPUTED_VALUE"""),"")</f>
        <v/>
      </c>
      <c r="R412" s="106" t="str">
        <f>IFERROR(__xludf.DUMMYFUNCTION("""COMPUTED_VALUE"""),"")</f>
        <v/>
      </c>
      <c r="S412" s="139" t="str">
        <f>IFERROR(__xludf.DUMMYFUNCTION("""COMPUTED_VALUE"""),"")</f>
        <v/>
      </c>
      <c r="T412" s="139" t="str">
        <f>IFERROR(__xludf.DUMMYFUNCTION("""COMPUTED_VALUE"""),"")</f>
        <v/>
      </c>
      <c r="U412" s="136" t="str">
        <f>IFERROR(__xludf.DUMMYFUNCTION("""COMPUTED_VALUE"""),"")</f>
        <v/>
      </c>
      <c r="V412" s="106" t="str">
        <f>IFERROR(__xludf.DUMMYFUNCTION("""COMPUTED_VALUE"""),"")</f>
        <v/>
      </c>
      <c r="W412" s="143" t="str">
        <f t="shared" si="2"/>
        <v/>
      </c>
      <c r="X412" s="139" t="str">
        <f>IFERROR(__xludf.DUMMYFUNCTION("""COMPUTED_VALUE"""),"")</f>
        <v/>
      </c>
      <c r="Y412" s="141" t="str">
        <f>IFERROR(__xludf.DUMMYFUNCTION("""COMPUTED_VALUE"""),"")</f>
        <v/>
      </c>
    </row>
    <row r="413">
      <c r="A413" s="136"/>
      <c r="B413" s="136"/>
      <c r="C413" s="136" t="str">
        <f t="shared" si="3"/>
        <v/>
      </c>
      <c r="D413" s="136"/>
      <c r="E413" s="106">
        <f>IFERROR(__xludf.DUMMYFUNCTION("""COMPUTED_VALUE"""),0.0)</f>
        <v>0</v>
      </c>
      <c r="F413" s="136"/>
      <c r="G413" s="106" t="s">
        <v>133</v>
      </c>
      <c r="H413" s="136">
        <f>IFERROR(__xludf.DUMMYFUNCTION("""COMPUTED_VALUE"""),0.0)</f>
        <v>0</v>
      </c>
      <c r="I413" s="139" t="s">
        <v>133</v>
      </c>
      <c r="J413" s="136" t="s">
        <v>133</v>
      </c>
      <c r="K413" s="136"/>
      <c r="L413" s="136" t="str">
        <f t="shared" si="1"/>
        <v/>
      </c>
      <c r="M413" s="136" t="str">
        <f>IFERROR(__xludf.DUMMYFUNCTION("""COMPUTED_VALUE"""),"")</f>
        <v/>
      </c>
      <c r="N413" s="141" t="s">
        <v>133</v>
      </c>
      <c r="O413" s="136" t="str">
        <f>IFERROR(__xludf.DUMMYFUNCTION("""COMPUTED_VALUE"""),"")</f>
        <v/>
      </c>
      <c r="P413" s="136" t="str">
        <f>IFERROR(__xludf.DUMMYFUNCTION("""COMPUTED_VALUE"""),"")</f>
        <v/>
      </c>
      <c r="Q413" s="106" t="str">
        <f>IFERROR(__xludf.DUMMYFUNCTION("""COMPUTED_VALUE"""),"")</f>
        <v/>
      </c>
      <c r="R413" s="106" t="str">
        <f>IFERROR(__xludf.DUMMYFUNCTION("""COMPUTED_VALUE"""),"")</f>
        <v/>
      </c>
      <c r="S413" s="139" t="str">
        <f>IFERROR(__xludf.DUMMYFUNCTION("""COMPUTED_VALUE"""),"")</f>
        <v/>
      </c>
      <c r="T413" s="139" t="str">
        <f>IFERROR(__xludf.DUMMYFUNCTION("""COMPUTED_VALUE"""),"")</f>
        <v/>
      </c>
      <c r="U413" s="136" t="str">
        <f>IFERROR(__xludf.DUMMYFUNCTION("""COMPUTED_VALUE"""),"")</f>
        <v/>
      </c>
      <c r="V413" s="106" t="str">
        <f>IFERROR(__xludf.DUMMYFUNCTION("""COMPUTED_VALUE"""),"")</f>
        <v/>
      </c>
      <c r="W413" s="143" t="str">
        <f t="shared" si="2"/>
        <v/>
      </c>
      <c r="X413" s="139" t="str">
        <f>IFERROR(__xludf.DUMMYFUNCTION("""COMPUTED_VALUE"""),"")</f>
        <v/>
      </c>
      <c r="Y413" s="141" t="str">
        <f>IFERROR(__xludf.DUMMYFUNCTION("""COMPUTED_VALUE"""),"")</f>
        <v/>
      </c>
    </row>
    <row r="414">
      <c r="A414" s="136"/>
      <c r="B414" s="136"/>
      <c r="C414" s="136" t="str">
        <f t="shared" si="3"/>
        <v/>
      </c>
      <c r="D414" s="136"/>
      <c r="E414" s="106">
        <f>IFERROR(__xludf.DUMMYFUNCTION("""COMPUTED_VALUE"""),0.0)</f>
        <v>0</v>
      </c>
      <c r="F414" s="136"/>
      <c r="G414" s="106" t="s">
        <v>133</v>
      </c>
      <c r="H414" s="136">
        <f>IFERROR(__xludf.DUMMYFUNCTION("""COMPUTED_VALUE"""),0.0)</f>
        <v>0</v>
      </c>
      <c r="I414" s="139" t="s">
        <v>133</v>
      </c>
      <c r="J414" s="136" t="s">
        <v>133</v>
      </c>
      <c r="K414" s="136"/>
      <c r="L414" s="136" t="str">
        <f t="shared" si="1"/>
        <v/>
      </c>
      <c r="M414" s="136" t="str">
        <f>IFERROR(__xludf.DUMMYFUNCTION("""COMPUTED_VALUE"""),"")</f>
        <v/>
      </c>
      <c r="N414" s="141" t="s">
        <v>133</v>
      </c>
      <c r="O414" s="136" t="str">
        <f>IFERROR(__xludf.DUMMYFUNCTION("""COMPUTED_VALUE"""),"")</f>
        <v/>
      </c>
      <c r="P414" s="136" t="str">
        <f>IFERROR(__xludf.DUMMYFUNCTION("""COMPUTED_VALUE"""),"")</f>
        <v/>
      </c>
      <c r="Q414" s="106" t="str">
        <f>IFERROR(__xludf.DUMMYFUNCTION("""COMPUTED_VALUE"""),"")</f>
        <v/>
      </c>
      <c r="R414" s="106" t="str">
        <f>IFERROR(__xludf.DUMMYFUNCTION("""COMPUTED_VALUE"""),"")</f>
        <v/>
      </c>
      <c r="S414" s="139" t="str">
        <f>IFERROR(__xludf.DUMMYFUNCTION("""COMPUTED_VALUE"""),"")</f>
        <v/>
      </c>
      <c r="T414" s="139" t="str">
        <f>IFERROR(__xludf.DUMMYFUNCTION("""COMPUTED_VALUE"""),"")</f>
        <v/>
      </c>
      <c r="U414" s="136" t="str">
        <f>IFERROR(__xludf.DUMMYFUNCTION("""COMPUTED_VALUE"""),"")</f>
        <v/>
      </c>
      <c r="V414" s="106" t="str">
        <f>IFERROR(__xludf.DUMMYFUNCTION("""COMPUTED_VALUE"""),"")</f>
        <v/>
      </c>
      <c r="W414" s="143" t="str">
        <f t="shared" si="2"/>
        <v/>
      </c>
      <c r="X414" s="139" t="str">
        <f>IFERROR(__xludf.DUMMYFUNCTION("""COMPUTED_VALUE"""),"")</f>
        <v/>
      </c>
      <c r="Y414" s="141" t="str">
        <f>IFERROR(__xludf.DUMMYFUNCTION("""COMPUTED_VALUE"""),"")</f>
        <v/>
      </c>
    </row>
    <row r="415">
      <c r="A415" s="136"/>
      <c r="B415" s="136"/>
      <c r="C415" s="136" t="str">
        <f t="shared" si="3"/>
        <v/>
      </c>
      <c r="D415" s="136"/>
      <c r="E415" s="106">
        <f>IFERROR(__xludf.DUMMYFUNCTION("""COMPUTED_VALUE"""),0.0)</f>
        <v>0</v>
      </c>
      <c r="F415" s="136"/>
      <c r="G415" s="106" t="s">
        <v>133</v>
      </c>
      <c r="H415" s="136">
        <f>IFERROR(__xludf.DUMMYFUNCTION("""COMPUTED_VALUE"""),0.0)</f>
        <v>0</v>
      </c>
      <c r="I415" s="139" t="s">
        <v>133</v>
      </c>
      <c r="J415" s="136" t="s">
        <v>133</v>
      </c>
      <c r="K415" s="136"/>
      <c r="L415" s="136" t="str">
        <f t="shared" si="1"/>
        <v/>
      </c>
      <c r="M415" s="136" t="str">
        <f>IFERROR(__xludf.DUMMYFUNCTION("""COMPUTED_VALUE"""),"")</f>
        <v/>
      </c>
      <c r="N415" s="141" t="s">
        <v>133</v>
      </c>
      <c r="O415" s="136" t="str">
        <f>IFERROR(__xludf.DUMMYFUNCTION("""COMPUTED_VALUE"""),"")</f>
        <v/>
      </c>
      <c r="P415" s="136" t="str">
        <f>IFERROR(__xludf.DUMMYFUNCTION("""COMPUTED_VALUE"""),"")</f>
        <v/>
      </c>
      <c r="Q415" s="106" t="str">
        <f>IFERROR(__xludf.DUMMYFUNCTION("""COMPUTED_VALUE"""),"")</f>
        <v/>
      </c>
      <c r="R415" s="106" t="str">
        <f>IFERROR(__xludf.DUMMYFUNCTION("""COMPUTED_VALUE"""),"")</f>
        <v/>
      </c>
      <c r="S415" s="139" t="str">
        <f>IFERROR(__xludf.DUMMYFUNCTION("""COMPUTED_VALUE"""),"")</f>
        <v/>
      </c>
      <c r="T415" s="139" t="str">
        <f>IFERROR(__xludf.DUMMYFUNCTION("""COMPUTED_VALUE"""),"")</f>
        <v/>
      </c>
      <c r="U415" s="136" t="str">
        <f>IFERROR(__xludf.DUMMYFUNCTION("""COMPUTED_VALUE"""),"")</f>
        <v/>
      </c>
      <c r="V415" s="106" t="str">
        <f>IFERROR(__xludf.DUMMYFUNCTION("""COMPUTED_VALUE"""),"")</f>
        <v/>
      </c>
      <c r="W415" s="143" t="str">
        <f t="shared" si="2"/>
        <v/>
      </c>
      <c r="X415" s="139" t="str">
        <f>IFERROR(__xludf.DUMMYFUNCTION("""COMPUTED_VALUE"""),"")</f>
        <v/>
      </c>
      <c r="Y415" s="141" t="str">
        <f>IFERROR(__xludf.DUMMYFUNCTION("""COMPUTED_VALUE"""),"")</f>
        <v/>
      </c>
    </row>
    <row r="416">
      <c r="A416" s="136"/>
      <c r="B416" s="136"/>
      <c r="C416" s="136" t="str">
        <f t="shared" si="3"/>
        <v/>
      </c>
      <c r="D416" s="136"/>
      <c r="E416" s="106">
        <f>IFERROR(__xludf.DUMMYFUNCTION("""COMPUTED_VALUE"""),0.0)</f>
        <v>0</v>
      </c>
      <c r="F416" s="136"/>
      <c r="G416" s="106" t="s">
        <v>133</v>
      </c>
      <c r="H416" s="136">
        <f>IFERROR(__xludf.DUMMYFUNCTION("""COMPUTED_VALUE"""),0.0)</f>
        <v>0</v>
      </c>
      <c r="I416" s="139" t="s">
        <v>133</v>
      </c>
      <c r="J416" s="136" t="s">
        <v>133</v>
      </c>
      <c r="K416" s="136"/>
      <c r="L416" s="136" t="str">
        <f t="shared" si="1"/>
        <v/>
      </c>
      <c r="M416" s="136" t="str">
        <f>IFERROR(__xludf.DUMMYFUNCTION("""COMPUTED_VALUE"""),"")</f>
        <v/>
      </c>
      <c r="N416" s="141" t="s">
        <v>133</v>
      </c>
      <c r="O416" s="136" t="str">
        <f>IFERROR(__xludf.DUMMYFUNCTION("""COMPUTED_VALUE"""),"")</f>
        <v/>
      </c>
      <c r="P416" s="136" t="str">
        <f>IFERROR(__xludf.DUMMYFUNCTION("""COMPUTED_VALUE"""),"")</f>
        <v/>
      </c>
      <c r="Q416" s="106" t="str">
        <f>IFERROR(__xludf.DUMMYFUNCTION("""COMPUTED_VALUE"""),"")</f>
        <v/>
      </c>
      <c r="R416" s="106" t="str">
        <f>IFERROR(__xludf.DUMMYFUNCTION("""COMPUTED_VALUE"""),"")</f>
        <v/>
      </c>
      <c r="S416" s="139" t="str">
        <f>IFERROR(__xludf.DUMMYFUNCTION("""COMPUTED_VALUE"""),"")</f>
        <v/>
      </c>
      <c r="T416" s="139" t="str">
        <f>IFERROR(__xludf.DUMMYFUNCTION("""COMPUTED_VALUE"""),"")</f>
        <v/>
      </c>
      <c r="U416" s="136" t="str">
        <f>IFERROR(__xludf.DUMMYFUNCTION("""COMPUTED_VALUE"""),"")</f>
        <v/>
      </c>
      <c r="V416" s="106" t="str">
        <f>IFERROR(__xludf.DUMMYFUNCTION("""COMPUTED_VALUE"""),"")</f>
        <v/>
      </c>
      <c r="W416" s="143" t="str">
        <f t="shared" si="2"/>
        <v/>
      </c>
      <c r="X416" s="139" t="str">
        <f>IFERROR(__xludf.DUMMYFUNCTION("""COMPUTED_VALUE"""),"")</f>
        <v/>
      </c>
      <c r="Y416" s="141" t="str">
        <f>IFERROR(__xludf.DUMMYFUNCTION("""COMPUTED_VALUE"""),"")</f>
        <v/>
      </c>
    </row>
    <row r="417">
      <c r="A417" s="136"/>
      <c r="B417" s="136"/>
      <c r="C417" s="136" t="str">
        <f t="shared" si="3"/>
        <v/>
      </c>
      <c r="D417" s="136"/>
      <c r="E417" s="106">
        <f>IFERROR(__xludf.DUMMYFUNCTION("""COMPUTED_VALUE"""),0.0)</f>
        <v>0</v>
      </c>
      <c r="F417" s="136"/>
      <c r="G417" s="106" t="s">
        <v>133</v>
      </c>
      <c r="H417" s="136">
        <f>IFERROR(__xludf.DUMMYFUNCTION("""COMPUTED_VALUE"""),0.0)</f>
        <v>0</v>
      </c>
      <c r="I417" s="139" t="s">
        <v>133</v>
      </c>
      <c r="J417" s="136" t="s">
        <v>133</v>
      </c>
      <c r="K417" s="136"/>
      <c r="L417" s="136" t="str">
        <f t="shared" si="1"/>
        <v/>
      </c>
      <c r="M417" s="136" t="str">
        <f>IFERROR(__xludf.DUMMYFUNCTION("""COMPUTED_VALUE"""),"")</f>
        <v/>
      </c>
      <c r="N417" s="141" t="s">
        <v>133</v>
      </c>
      <c r="O417" s="136" t="str">
        <f>IFERROR(__xludf.DUMMYFUNCTION("""COMPUTED_VALUE"""),"")</f>
        <v/>
      </c>
      <c r="P417" s="136" t="str">
        <f>IFERROR(__xludf.DUMMYFUNCTION("""COMPUTED_VALUE"""),"")</f>
        <v/>
      </c>
      <c r="Q417" s="106" t="str">
        <f>IFERROR(__xludf.DUMMYFUNCTION("""COMPUTED_VALUE"""),"")</f>
        <v/>
      </c>
      <c r="R417" s="106" t="str">
        <f>IFERROR(__xludf.DUMMYFUNCTION("""COMPUTED_VALUE"""),"")</f>
        <v/>
      </c>
      <c r="S417" s="139" t="str">
        <f>IFERROR(__xludf.DUMMYFUNCTION("""COMPUTED_VALUE"""),"")</f>
        <v/>
      </c>
      <c r="T417" s="139" t="str">
        <f>IFERROR(__xludf.DUMMYFUNCTION("""COMPUTED_VALUE"""),"")</f>
        <v/>
      </c>
      <c r="U417" s="136" t="str">
        <f>IFERROR(__xludf.DUMMYFUNCTION("""COMPUTED_VALUE"""),"")</f>
        <v/>
      </c>
      <c r="V417" s="106" t="str">
        <f>IFERROR(__xludf.DUMMYFUNCTION("""COMPUTED_VALUE"""),"")</f>
        <v/>
      </c>
      <c r="W417" s="143" t="str">
        <f t="shared" si="2"/>
        <v/>
      </c>
      <c r="X417" s="139" t="str">
        <f>IFERROR(__xludf.DUMMYFUNCTION("""COMPUTED_VALUE"""),"")</f>
        <v/>
      </c>
      <c r="Y417" s="141" t="str">
        <f>IFERROR(__xludf.DUMMYFUNCTION("""COMPUTED_VALUE"""),"")</f>
        <v/>
      </c>
    </row>
    <row r="418">
      <c r="A418" s="136"/>
      <c r="B418" s="136"/>
      <c r="C418" s="136" t="str">
        <f t="shared" si="3"/>
        <v/>
      </c>
      <c r="D418" s="136"/>
      <c r="E418" s="106">
        <f>IFERROR(__xludf.DUMMYFUNCTION("""COMPUTED_VALUE"""),0.0)</f>
        <v>0</v>
      </c>
      <c r="F418" s="136"/>
      <c r="G418" s="106" t="s">
        <v>133</v>
      </c>
      <c r="H418" s="136">
        <f>IFERROR(__xludf.DUMMYFUNCTION("""COMPUTED_VALUE"""),0.0)</f>
        <v>0</v>
      </c>
      <c r="I418" s="139" t="s">
        <v>133</v>
      </c>
      <c r="J418" s="136" t="s">
        <v>133</v>
      </c>
      <c r="K418" s="136"/>
      <c r="L418" s="136" t="str">
        <f t="shared" si="1"/>
        <v/>
      </c>
      <c r="M418" s="136" t="str">
        <f>IFERROR(__xludf.DUMMYFUNCTION("""COMPUTED_VALUE"""),"")</f>
        <v/>
      </c>
      <c r="N418" s="141" t="s">
        <v>133</v>
      </c>
      <c r="O418" s="136" t="str">
        <f>IFERROR(__xludf.DUMMYFUNCTION("""COMPUTED_VALUE"""),"")</f>
        <v/>
      </c>
      <c r="P418" s="136" t="str">
        <f>IFERROR(__xludf.DUMMYFUNCTION("""COMPUTED_VALUE"""),"")</f>
        <v/>
      </c>
      <c r="Q418" s="106" t="str">
        <f>IFERROR(__xludf.DUMMYFUNCTION("""COMPUTED_VALUE"""),"")</f>
        <v/>
      </c>
      <c r="R418" s="106" t="str">
        <f>IFERROR(__xludf.DUMMYFUNCTION("""COMPUTED_VALUE"""),"")</f>
        <v/>
      </c>
      <c r="S418" s="139" t="str">
        <f>IFERROR(__xludf.DUMMYFUNCTION("""COMPUTED_VALUE"""),"")</f>
        <v/>
      </c>
      <c r="T418" s="139" t="str">
        <f>IFERROR(__xludf.DUMMYFUNCTION("""COMPUTED_VALUE"""),"")</f>
        <v/>
      </c>
      <c r="U418" s="136" t="str">
        <f>IFERROR(__xludf.DUMMYFUNCTION("""COMPUTED_VALUE"""),"")</f>
        <v/>
      </c>
      <c r="V418" s="106" t="str">
        <f>IFERROR(__xludf.DUMMYFUNCTION("""COMPUTED_VALUE"""),"")</f>
        <v/>
      </c>
      <c r="W418" s="143" t="str">
        <f t="shared" si="2"/>
        <v/>
      </c>
      <c r="X418" s="139" t="str">
        <f>IFERROR(__xludf.DUMMYFUNCTION("""COMPUTED_VALUE"""),"")</f>
        <v/>
      </c>
      <c r="Y418" s="141" t="str">
        <f>IFERROR(__xludf.DUMMYFUNCTION("""COMPUTED_VALUE"""),"")</f>
        <v/>
      </c>
    </row>
    <row r="419">
      <c r="A419" s="136"/>
      <c r="B419" s="136"/>
      <c r="C419" s="136" t="str">
        <f t="shared" si="3"/>
        <v/>
      </c>
      <c r="D419" s="136"/>
      <c r="E419" s="106">
        <f>IFERROR(__xludf.DUMMYFUNCTION("""COMPUTED_VALUE"""),0.0)</f>
        <v>0</v>
      </c>
      <c r="F419" s="136"/>
      <c r="G419" s="106" t="s">
        <v>133</v>
      </c>
      <c r="H419" s="136">
        <f>IFERROR(__xludf.DUMMYFUNCTION("""COMPUTED_VALUE"""),0.0)</f>
        <v>0</v>
      </c>
      <c r="I419" s="139" t="s">
        <v>133</v>
      </c>
      <c r="J419" s="136" t="s">
        <v>133</v>
      </c>
      <c r="K419" s="136"/>
      <c r="L419" s="136" t="str">
        <f t="shared" si="1"/>
        <v/>
      </c>
      <c r="M419" s="136" t="str">
        <f>IFERROR(__xludf.DUMMYFUNCTION("""COMPUTED_VALUE"""),"")</f>
        <v/>
      </c>
      <c r="N419" s="141" t="s">
        <v>133</v>
      </c>
      <c r="O419" s="136" t="str">
        <f>IFERROR(__xludf.DUMMYFUNCTION("""COMPUTED_VALUE"""),"")</f>
        <v/>
      </c>
      <c r="P419" s="136" t="str">
        <f>IFERROR(__xludf.DUMMYFUNCTION("""COMPUTED_VALUE"""),"")</f>
        <v/>
      </c>
      <c r="Q419" s="106" t="str">
        <f>IFERROR(__xludf.DUMMYFUNCTION("""COMPUTED_VALUE"""),"")</f>
        <v/>
      </c>
      <c r="R419" s="106" t="str">
        <f>IFERROR(__xludf.DUMMYFUNCTION("""COMPUTED_VALUE"""),"")</f>
        <v/>
      </c>
      <c r="S419" s="139" t="str">
        <f>IFERROR(__xludf.DUMMYFUNCTION("""COMPUTED_VALUE"""),"")</f>
        <v/>
      </c>
      <c r="T419" s="139" t="str">
        <f>IFERROR(__xludf.DUMMYFUNCTION("""COMPUTED_VALUE"""),"")</f>
        <v/>
      </c>
      <c r="U419" s="136" t="str">
        <f>IFERROR(__xludf.DUMMYFUNCTION("""COMPUTED_VALUE"""),"")</f>
        <v/>
      </c>
      <c r="V419" s="106" t="str">
        <f>IFERROR(__xludf.DUMMYFUNCTION("""COMPUTED_VALUE"""),"")</f>
        <v/>
      </c>
      <c r="W419" s="143" t="str">
        <f t="shared" si="2"/>
        <v/>
      </c>
      <c r="X419" s="139" t="str">
        <f>IFERROR(__xludf.DUMMYFUNCTION("""COMPUTED_VALUE"""),"")</f>
        <v/>
      </c>
      <c r="Y419" s="141" t="str">
        <f>IFERROR(__xludf.DUMMYFUNCTION("""COMPUTED_VALUE"""),"")</f>
        <v/>
      </c>
    </row>
    <row r="420">
      <c r="A420" s="136"/>
      <c r="B420" s="136"/>
      <c r="C420" s="136" t="str">
        <f t="shared" si="3"/>
        <v/>
      </c>
      <c r="D420" s="136"/>
      <c r="E420" s="106">
        <f>IFERROR(__xludf.DUMMYFUNCTION("""COMPUTED_VALUE"""),0.0)</f>
        <v>0</v>
      </c>
      <c r="F420" s="136"/>
      <c r="G420" s="106" t="s">
        <v>133</v>
      </c>
      <c r="H420" s="136">
        <f>IFERROR(__xludf.DUMMYFUNCTION("""COMPUTED_VALUE"""),0.0)</f>
        <v>0</v>
      </c>
      <c r="I420" s="139" t="s">
        <v>133</v>
      </c>
      <c r="J420" s="136" t="s">
        <v>133</v>
      </c>
      <c r="K420" s="136"/>
      <c r="L420" s="136" t="str">
        <f t="shared" si="1"/>
        <v/>
      </c>
      <c r="M420" s="136" t="str">
        <f>IFERROR(__xludf.DUMMYFUNCTION("""COMPUTED_VALUE"""),"")</f>
        <v/>
      </c>
      <c r="N420" s="141" t="s">
        <v>133</v>
      </c>
      <c r="O420" s="136" t="str">
        <f>IFERROR(__xludf.DUMMYFUNCTION("""COMPUTED_VALUE"""),"")</f>
        <v/>
      </c>
      <c r="P420" s="136" t="str">
        <f>IFERROR(__xludf.DUMMYFUNCTION("""COMPUTED_VALUE"""),"")</f>
        <v/>
      </c>
      <c r="Q420" s="106" t="str">
        <f>IFERROR(__xludf.DUMMYFUNCTION("""COMPUTED_VALUE"""),"")</f>
        <v/>
      </c>
      <c r="R420" s="106" t="str">
        <f>IFERROR(__xludf.DUMMYFUNCTION("""COMPUTED_VALUE"""),"")</f>
        <v/>
      </c>
      <c r="S420" s="139" t="str">
        <f>IFERROR(__xludf.DUMMYFUNCTION("""COMPUTED_VALUE"""),"")</f>
        <v/>
      </c>
      <c r="T420" s="139" t="str">
        <f>IFERROR(__xludf.DUMMYFUNCTION("""COMPUTED_VALUE"""),"")</f>
        <v/>
      </c>
      <c r="U420" s="136" t="str">
        <f>IFERROR(__xludf.DUMMYFUNCTION("""COMPUTED_VALUE"""),"")</f>
        <v/>
      </c>
      <c r="V420" s="106" t="str">
        <f>IFERROR(__xludf.DUMMYFUNCTION("""COMPUTED_VALUE"""),"")</f>
        <v/>
      </c>
      <c r="W420" s="143" t="str">
        <f t="shared" si="2"/>
        <v/>
      </c>
      <c r="X420" s="139" t="str">
        <f>IFERROR(__xludf.DUMMYFUNCTION("""COMPUTED_VALUE"""),"")</f>
        <v/>
      </c>
      <c r="Y420" s="141" t="str">
        <f>IFERROR(__xludf.DUMMYFUNCTION("""COMPUTED_VALUE"""),"")</f>
        <v/>
      </c>
    </row>
    <row r="421">
      <c r="A421" s="136"/>
      <c r="B421" s="136"/>
      <c r="C421" s="136" t="str">
        <f t="shared" si="3"/>
        <v/>
      </c>
      <c r="D421" s="136"/>
      <c r="E421" s="106">
        <f>IFERROR(__xludf.DUMMYFUNCTION("""COMPUTED_VALUE"""),0.0)</f>
        <v>0</v>
      </c>
      <c r="F421" s="136"/>
      <c r="G421" s="106" t="s">
        <v>133</v>
      </c>
      <c r="H421" s="136">
        <f>IFERROR(__xludf.DUMMYFUNCTION("""COMPUTED_VALUE"""),0.0)</f>
        <v>0</v>
      </c>
      <c r="I421" s="139" t="s">
        <v>133</v>
      </c>
      <c r="J421" s="136" t="s">
        <v>133</v>
      </c>
      <c r="K421" s="136"/>
      <c r="L421" s="136" t="str">
        <f t="shared" si="1"/>
        <v/>
      </c>
      <c r="M421" s="136" t="str">
        <f>IFERROR(__xludf.DUMMYFUNCTION("""COMPUTED_VALUE"""),"")</f>
        <v/>
      </c>
      <c r="N421" s="141" t="s">
        <v>133</v>
      </c>
      <c r="O421" s="136" t="str">
        <f>IFERROR(__xludf.DUMMYFUNCTION("""COMPUTED_VALUE"""),"")</f>
        <v/>
      </c>
      <c r="P421" s="136" t="str">
        <f>IFERROR(__xludf.DUMMYFUNCTION("""COMPUTED_VALUE"""),"")</f>
        <v/>
      </c>
      <c r="Q421" s="106" t="str">
        <f>IFERROR(__xludf.DUMMYFUNCTION("""COMPUTED_VALUE"""),"")</f>
        <v/>
      </c>
      <c r="R421" s="106" t="str">
        <f>IFERROR(__xludf.DUMMYFUNCTION("""COMPUTED_VALUE"""),"")</f>
        <v/>
      </c>
      <c r="S421" s="139" t="str">
        <f>IFERROR(__xludf.DUMMYFUNCTION("""COMPUTED_VALUE"""),"")</f>
        <v/>
      </c>
      <c r="T421" s="139" t="str">
        <f>IFERROR(__xludf.DUMMYFUNCTION("""COMPUTED_VALUE"""),"")</f>
        <v/>
      </c>
      <c r="U421" s="136" t="str">
        <f>IFERROR(__xludf.DUMMYFUNCTION("""COMPUTED_VALUE"""),"")</f>
        <v/>
      </c>
      <c r="V421" s="106" t="str">
        <f>IFERROR(__xludf.DUMMYFUNCTION("""COMPUTED_VALUE"""),"")</f>
        <v/>
      </c>
      <c r="W421" s="143" t="str">
        <f t="shared" si="2"/>
        <v/>
      </c>
      <c r="X421" s="139" t="str">
        <f>IFERROR(__xludf.DUMMYFUNCTION("""COMPUTED_VALUE"""),"")</f>
        <v/>
      </c>
      <c r="Y421" s="141" t="str">
        <f>IFERROR(__xludf.DUMMYFUNCTION("""COMPUTED_VALUE"""),"")</f>
        <v/>
      </c>
    </row>
    <row r="422">
      <c r="A422" s="136"/>
      <c r="B422" s="136"/>
      <c r="C422" s="136" t="str">
        <f t="shared" si="3"/>
        <v/>
      </c>
      <c r="D422" s="136"/>
      <c r="E422" s="106">
        <f>IFERROR(__xludf.DUMMYFUNCTION("""COMPUTED_VALUE"""),0.0)</f>
        <v>0</v>
      </c>
      <c r="F422" s="136"/>
      <c r="G422" s="106" t="s">
        <v>133</v>
      </c>
      <c r="H422" s="136">
        <f>IFERROR(__xludf.DUMMYFUNCTION("""COMPUTED_VALUE"""),0.0)</f>
        <v>0</v>
      </c>
      <c r="I422" s="139" t="s">
        <v>133</v>
      </c>
      <c r="J422" s="136" t="s">
        <v>133</v>
      </c>
      <c r="K422" s="136"/>
      <c r="L422" s="136" t="str">
        <f t="shared" si="1"/>
        <v/>
      </c>
      <c r="M422" s="136" t="str">
        <f>IFERROR(__xludf.DUMMYFUNCTION("""COMPUTED_VALUE"""),"")</f>
        <v/>
      </c>
      <c r="N422" s="141" t="s">
        <v>133</v>
      </c>
      <c r="O422" s="136" t="str">
        <f>IFERROR(__xludf.DUMMYFUNCTION("""COMPUTED_VALUE"""),"")</f>
        <v/>
      </c>
      <c r="P422" s="136" t="str">
        <f>IFERROR(__xludf.DUMMYFUNCTION("""COMPUTED_VALUE"""),"")</f>
        <v/>
      </c>
      <c r="Q422" s="106" t="str">
        <f>IFERROR(__xludf.DUMMYFUNCTION("""COMPUTED_VALUE"""),"")</f>
        <v/>
      </c>
      <c r="R422" s="106" t="str">
        <f>IFERROR(__xludf.DUMMYFUNCTION("""COMPUTED_VALUE"""),"")</f>
        <v/>
      </c>
      <c r="S422" s="139" t="str">
        <f>IFERROR(__xludf.DUMMYFUNCTION("""COMPUTED_VALUE"""),"")</f>
        <v/>
      </c>
      <c r="T422" s="139" t="str">
        <f>IFERROR(__xludf.DUMMYFUNCTION("""COMPUTED_VALUE"""),"")</f>
        <v/>
      </c>
      <c r="U422" s="136" t="str">
        <f>IFERROR(__xludf.DUMMYFUNCTION("""COMPUTED_VALUE"""),"")</f>
        <v/>
      </c>
      <c r="V422" s="106" t="str">
        <f>IFERROR(__xludf.DUMMYFUNCTION("""COMPUTED_VALUE"""),"")</f>
        <v/>
      </c>
      <c r="W422" s="143" t="str">
        <f t="shared" si="2"/>
        <v/>
      </c>
      <c r="X422" s="139" t="str">
        <f>IFERROR(__xludf.DUMMYFUNCTION("""COMPUTED_VALUE"""),"")</f>
        <v/>
      </c>
      <c r="Y422" s="141" t="str">
        <f>IFERROR(__xludf.DUMMYFUNCTION("""COMPUTED_VALUE"""),"")</f>
        <v/>
      </c>
    </row>
    <row r="423">
      <c r="C423" s="136" t="str">
        <f t="shared" si="3"/>
        <v/>
      </c>
      <c r="E423" s="106"/>
      <c r="G423" s="106" t="s">
        <v>133</v>
      </c>
      <c r="I423" s="139" t="s">
        <v>133</v>
      </c>
      <c r="J423" s="136" t="s">
        <v>133</v>
      </c>
      <c r="L423" s="136" t="str">
        <f t="shared" si="1"/>
        <v/>
      </c>
      <c r="N423" s="141" t="s">
        <v>133</v>
      </c>
      <c r="O423" s="136" t="str">
        <f>IFERROR(__xludf.DUMMYFUNCTION("""COMPUTED_VALUE"""),"")</f>
        <v/>
      </c>
      <c r="P423" s="136" t="str">
        <f>IFERROR(__xludf.DUMMYFUNCTION("""COMPUTED_VALUE"""),"")</f>
        <v/>
      </c>
      <c r="Q423" s="106" t="str">
        <f>IFERROR(__xludf.DUMMYFUNCTION("""COMPUTED_VALUE"""),"")</f>
        <v/>
      </c>
      <c r="R423" s="106" t="str">
        <f>IFERROR(__xludf.DUMMYFUNCTION("""COMPUTED_VALUE"""),"")</f>
        <v/>
      </c>
      <c r="S423" s="139" t="str">
        <f>IFERROR(__xludf.DUMMYFUNCTION("""COMPUTED_VALUE"""),"")</f>
        <v/>
      </c>
      <c r="T423" s="139" t="str">
        <f>IFERROR(__xludf.DUMMYFUNCTION("""COMPUTED_VALUE"""),"")</f>
        <v/>
      </c>
      <c r="U423" s="136" t="str">
        <f>IFERROR(__xludf.DUMMYFUNCTION("""COMPUTED_VALUE"""),"")</f>
        <v/>
      </c>
      <c r="V423" s="106" t="str">
        <f>IFERROR(__xludf.DUMMYFUNCTION("""COMPUTED_VALUE"""),"")</f>
        <v/>
      </c>
      <c r="W423" s="143" t="str">
        <f t="shared" si="2"/>
        <v/>
      </c>
      <c r="X423" s="139" t="str">
        <f>IFERROR(__xludf.DUMMYFUNCTION("""COMPUTED_VALUE"""),"")</f>
        <v/>
      </c>
      <c r="Y423" s="141" t="str">
        <f>IFERROR(__xludf.DUMMYFUNCTION("""COMPUTED_VALUE"""),"")</f>
        <v/>
      </c>
    </row>
    <row r="424">
      <c r="C424" s="136" t="str">
        <f t="shared" si="3"/>
        <v/>
      </c>
      <c r="E424" s="106"/>
      <c r="G424" s="106" t="s">
        <v>133</v>
      </c>
      <c r="I424" s="139" t="s">
        <v>133</v>
      </c>
      <c r="J424" s="136" t="s">
        <v>133</v>
      </c>
      <c r="L424" s="136" t="str">
        <f t="shared" si="1"/>
        <v/>
      </c>
      <c r="N424" s="141" t="s">
        <v>133</v>
      </c>
      <c r="O424" s="136" t="str">
        <f>IFERROR(__xludf.DUMMYFUNCTION("""COMPUTED_VALUE"""),"")</f>
        <v/>
      </c>
      <c r="P424" s="136" t="str">
        <f>IFERROR(__xludf.DUMMYFUNCTION("""COMPUTED_VALUE"""),"")</f>
        <v/>
      </c>
      <c r="Q424" s="106" t="str">
        <f>IFERROR(__xludf.DUMMYFUNCTION("""COMPUTED_VALUE"""),"")</f>
        <v/>
      </c>
      <c r="R424" s="106" t="str">
        <f>IFERROR(__xludf.DUMMYFUNCTION("""COMPUTED_VALUE"""),"")</f>
        <v/>
      </c>
      <c r="S424" s="139" t="str">
        <f>IFERROR(__xludf.DUMMYFUNCTION("""COMPUTED_VALUE"""),"")</f>
        <v/>
      </c>
      <c r="T424" s="139" t="str">
        <f>IFERROR(__xludf.DUMMYFUNCTION("""COMPUTED_VALUE"""),"")</f>
        <v/>
      </c>
      <c r="U424" s="136" t="str">
        <f>IFERROR(__xludf.DUMMYFUNCTION("""COMPUTED_VALUE"""),"")</f>
        <v/>
      </c>
      <c r="V424" s="106" t="str">
        <f>IFERROR(__xludf.DUMMYFUNCTION("""COMPUTED_VALUE"""),"")</f>
        <v/>
      </c>
      <c r="W424" s="143" t="str">
        <f t="shared" si="2"/>
        <v/>
      </c>
      <c r="X424" s="139" t="str">
        <f>IFERROR(__xludf.DUMMYFUNCTION("""COMPUTED_VALUE"""),"")</f>
        <v/>
      </c>
      <c r="Y424" s="141" t="str">
        <f>IFERROR(__xludf.DUMMYFUNCTION("""COMPUTED_VALUE"""),"")</f>
        <v/>
      </c>
    </row>
    <row r="425">
      <c r="C425" s="136" t="str">
        <f t="shared" si="3"/>
        <v/>
      </c>
      <c r="E425" s="106"/>
      <c r="G425" s="106" t="s">
        <v>133</v>
      </c>
      <c r="I425" s="139" t="s">
        <v>133</v>
      </c>
      <c r="J425" s="136" t="s">
        <v>133</v>
      </c>
      <c r="L425" s="136" t="str">
        <f t="shared" si="1"/>
        <v/>
      </c>
      <c r="N425" s="141" t="s">
        <v>133</v>
      </c>
      <c r="O425" s="136" t="str">
        <f>IFERROR(__xludf.DUMMYFUNCTION("""COMPUTED_VALUE"""),"")</f>
        <v/>
      </c>
      <c r="P425" s="136" t="str">
        <f>IFERROR(__xludf.DUMMYFUNCTION("""COMPUTED_VALUE"""),"")</f>
        <v/>
      </c>
      <c r="Q425" s="106" t="str">
        <f>IFERROR(__xludf.DUMMYFUNCTION("""COMPUTED_VALUE"""),"")</f>
        <v/>
      </c>
      <c r="R425" s="106" t="str">
        <f>IFERROR(__xludf.DUMMYFUNCTION("""COMPUTED_VALUE"""),"")</f>
        <v/>
      </c>
      <c r="S425" s="139" t="str">
        <f>IFERROR(__xludf.DUMMYFUNCTION("""COMPUTED_VALUE"""),"")</f>
        <v/>
      </c>
      <c r="T425" s="139" t="str">
        <f>IFERROR(__xludf.DUMMYFUNCTION("""COMPUTED_VALUE"""),"")</f>
        <v/>
      </c>
      <c r="U425" s="136" t="str">
        <f>IFERROR(__xludf.DUMMYFUNCTION("""COMPUTED_VALUE"""),"")</f>
        <v/>
      </c>
      <c r="V425" s="106" t="str">
        <f>IFERROR(__xludf.DUMMYFUNCTION("""COMPUTED_VALUE"""),"")</f>
        <v/>
      </c>
      <c r="W425" s="143" t="str">
        <f t="shared" si="2"/>
        <v/>
      </c>
      <c r="X425" s="139" t="str">
        <f>IFERROR(__xludf.DUMMYFUNCTION("""COMPUTED_VALUE"""),"")</f>
        <v/>
      </c>
      <c r="Y425" s="141" t="str">
        <f>IFERROR(__xludf.DUMMYFUNCTION("""COMPUTED_VALUE"""),"")</f>
        <v/>
      </c>
    </row>
    <row r="426">
      <c r="C426" s="136" t="str">
        <f t="shared" si="3"/>
        <v/>
      </c>
      <c r="E426" s="106"/>
      <c r="G426" s="106" t="s">
        <v>133</v>
      </c>
      <c r="I426" s="139" t="s">
        <v>133</v>
      </c>
      <c r="J426" s="136" t="s">
        <v>133</v>
      </c>
      <c r="L426" s="136" t="str">
        <f t="shared" si="1"/>
        <v/>
      </c>
      <c r="N426" s="141" t="s">
        <v>133</v>
      </c>
      <c r="O426" s="136" t="str">
        <f>IFERROR(__xludf.DUMMYFUNCTION("""COMPUTED_VALUE"""),"")</f>
        <v/>
      </c>
      <c r="P426" s="136" t="str">
        <f>IFERROR(__xludf.DUMMYFUNCTION("""COMPUTED_VALUE"""),"")</f>
        <v/>
      </c>
      <c r="Q426" s="106" t="str">
        <f>IFERROR(__xludf.DUMMYFUNCTION("""COMPUTED_VALUE"""),"")</f>
        <v/>
      </c>
      <c r="R426" s="106" t="str">
        <f>IFERROR(__xludf.DUMMYFUNCTION("""COMPUTED_VALUE"""),"")</f>
        <v/>
      </c>
      <c r="S426" s="139" t="str">
        <f>IFERROR(__xludf.DUMMYFUNCTION("""COMPUTED_VALUE"""),"")</f>
        <v/>
      </c>
      <c r="T426" s="139" t="str">
        <f>IFERROR(__xludf.DUMMYFUNCTION("""COMPUTED_VALUE"""),"")</f>
        <v/>
      </c>
      <c r="U426" s="136" t="str">
        <f>IFERROR(__xludf.DUMMYFUNCTION("""COMPUTED_VALUE"""),"")</f>
        <v/>
      </c>
      <c r="V426" s="106" t="str">
        <f>IFERROR(__xludf.DUMMYFUNCTION("""COMPUTED_VALUE"""),"")</f>
        <v/>
      </c>
      <c r="W426" s="143" t="str">
        <f t="shared" si="2"/>
        <v/>
      </c>
      <c r="X426" s="139" t="str">
        <f>IFERROR(__xludf.DUMMYFUNCTION("""COMPUTED_VALUE"""),"")</f>
        <v/>
      </c>
      <c r="Y426" s="141" t="str">
        <f>IFERROR(__xludf.DUMMYFUNCTION("""COMPUTED_VALUE"""),"")</f>
        <v/>
      </c>
    </row>
    <row r="427">
      <c r="C427" s="136" t="str">
        <f t="shared" si="3"/>
        <v/>
      </c>
      <c r="E427" s="106"/>
      <c r="G427" s="106" t="s">
        <v>133</v>
      </c>
      <c r="I427" s="139" t="s">
        <v>133</v>
      </c>
      <c r="J427" s="136" t="s">
        <v>133</v>
      </c>
      <c r="L427" s="136" t="str">
        <f t="shared" si="1"/>
        <v/>
      </c>
      <c r="N427" s="141" t="s">
        <v>133</v>
      </c>
      <c r="O427" s="136" t="str">
        <f>IFERROR(__xludf.DUMMYFUNCTION("""COMPUTED_VALUE"""),"")</f>
        <v/>
      </c>
      <c r="P427" s="136" t="str">
        <f>IFERROR(__xludf.DUMMYFUNCTION("""COMPUTED_VALUE"""),"")</f>
        <v/>
      </c>
      <c r="Q427" s="106" t="str">
        <f>IFERROR(__xludf.DUMMYFUNCTION("""COMPUTED_VALUE"""),"")</f>
        <v/>
      </c>
      <c r="R427" s="106" t="str">
        <f>IFERROR(__xludf.DUMMYFUNCTION("""COMPUTED_VALUE"""),"")</f>
        <v/>
      </c>
      <c r="S427" s="139" t="str">
        <f>IFERROR(__xludf.DUMMYFUNCTION("""COMPUTED_VALUE"""),"")</f>
        <v/>
      </c>
      <c r="T427" s="139" t="str">
        <f>IFERROR(__xludf.DUMMYFUNCTION("""COMPUTED_VALUE"""),"")</f>
        <v/>
      </c>
      <c r="U427" s="136" t="str">
        <f>IFERROR(__xludf.DUMMYFUNCTION("""COMPUTED_VALUE"""),"")</f>
        <v/>
      </c>
      <c r="V427" s="106" t="str">
        <f>IFERROR(__xludf.DUMMYFUNCTION("""COMPUTED_VALUE"""),"")</f>
        <v/>
      </c>
      <c r="W427" s="143" t="str">
        <f t="shared" si="2"/>
        <v/>
      </c>
      <c r="X427" s="139" t="str">
        <f>IFERROR(__xludf.DUMMYFUNCTION("""COMPUTED_VALUE"""),"")</f>
        <v/>
      </c>
      <c r="Y427" s="141" t="str">
        <f>IFERROR(__xludf.DUMMYFUNCTION("""COMPUTED_VALUE"""),"")</f>
        <v/>
      </c>
    </row>
    <row r="428">
      <c r="C428" s="136" t="str">
        <f t="shared" si="3"/>
        <v/>
      </c>
      <c r="E428" s="106"/>
      <c r="G428" s="106" t="s">
        <v>133</v>
      </c>
      <c r="I428" s="139" t="s">
        <v>133</v>
      </c>
      <c r="J428" s="136" t="s">
        <v>133</v>
      </c>
      <c r="L428" s="136" t="str">
        <f t="shared" si="1"/>
        <v/>
      </c>
      <c r="N428" s="141" t="s">
        <v>133</v>
      </c>
      <c r="O428" s="136" t="str">
        <f>IFERROR(__xludf.DUMMYFUNCTION("""COMPUTED_VALUE"""),"")</f>
        <v/>
      </c>
      <c r="P428" s="136" t="str">
        <f>IFERROR(__xludf.DUMMYFUNCTION("""COMPUTED_VALUE"""),"")</f>
        <v/>
      </c>
      <c r="Q428" s="106" t="str">
        <f>IFERROR(__xludf.DUMMYFUNCTION("""COMPUTED_VALUE"""),"")</f>
        <v/>
      </c>
      <c r="R428" s="106" t="str">
        <f>IFERROR(__xludf.DUMMYFUNCTION("""COMPUTED_VALUE"""),"")</f>
        <v/>
      </c>
      <c r="S428" s="139" t="str">
        <f>IFERROR(__xludf.DUMMYFUNCTION("""COMPUTED_VALUE"""),"")</f>
        <v/>
      </c>
      <c r="T428" s="139" t="str">
        <f>IFERROR(__xludf.DUMMYFUNCTION("""COMPUTED_VALUE"""),"")</f>
        <v/>
      </c>
      <c r="U428" s="136" t="str">
        <f>IFERROR(__xludf.DUMMYFUNCTION("""COMPUTED_VALUE"""),"")</f>
        <v/>
      </c>
      <c r="V428" s="106" t="str">
        <f>IFERROR(__xludf.DUMMYFUNCTION("""COMPUTED_VALUE"""),"")</f>
        <v/>
      </c>
      <c r="W428" s="143" t="str">
        <f t="shared" si="2"/>
        <v/>
      </c>
      <c r="X428" s="139" t="str">
        <f>IFERROR(__xludf.DUMMYFUNCTION("""COMPUTED_VALUE"""),"")</f>
        <v/>
      </c>
      <c r="Y428" s="141" t="str">
        <f>IFERROR(__xludf.DUMMYFUNCTION("""COMPUTED_VALUE"""),"")</f>
        <v/>
      </c>
    </row>
    <row r="429">
      <c r="C429" s="136" t="str">
        <f t="shared" si="3"/>
        <v/>
      </c>
      <c r="E429" s="106"/>
      <c r="G429" s="106" t="s">
        <v>133</v>
      </c>
      <c r="I429" s="139" t="s">
        <v>133</v>
      </c>
      <c r="J429" s="136" t="s">
        <v>133</v>
      </c>
      <c r="L429" s="136" t="str">
        <f t="shared" si="1"/>
        <v/>
      </c>
      <c r="N429" s="141" t="s">
        <v>133</v>
      </c>
      <c r="O429" s="136" t="str">
        <f>IFERROR(__xludf.DUMMYFUNCTION("""COMPUTED_VALUE"""),"")</f>
        <v/>
      </c>
      <c r="P429" s="136" t="str">
        <f>IFERROR(__xludf.DUMMYFUNCTION("""COMPUTED_VALUE"""),"")</f>
        <v/>
      </c>
      <c r="Q429" s="106" t="str">
        <f>IFERROR(__xludf.DUMMYFUNCTION("""COMPUTED_VALUE"""),"")</f>
        <v/>
      </c>
      <c r="R429" s="106" t="str">
        <f>IFERROR(__xludf.DUMMYFUNCTION("""COMPUTED_VALUE"""),"")</f>
        <v/>
      </c>
      <c r="S429" s="139" t="str">
        <f>IFERROR(__xludf.DUMMYFUNCTION("""COMPUTED_VALUE"""),"")</f>
        <v/>
      </c>
      <c r="T429" s="139" t="str">
        <f>IFERROR(__xludf.DUMMYFUNCTION("""COMPUTED_VALUE"""),"")</f>
        <v/>
      </c>
      <c r="U429" s="136" t="str">
        <f>IFERROR(__xludf.DUMMYFUNCTION("""COMPUTED_VALUE"""),"")</f>
        <v/>
      </c>
      <c r="V429" s="106" t="str">
        <f>IFERROR(__xludf.DUMMYFUNCTION("""COMPUTED_VALUE"""),"")</f>
        <v/>
      </c>
      <c r="W429" s="143" t="str">
        <f t="shared" si="2"/>
        <v/>
      </c>
      <c r="X429" s="139" t="str">
        <f>IFERROR(__xludf.DUMMYFUNCTION("""COMPUTED_VALUE"""),"")</f>
        <v/>
      </c>
      <c r="Y429" s="141" t="str">
        <f>IFERROR(__xludf.DUMMYFUNCTION("""COMPUTED_VALUE"""),"")</f>
        <v/>
      </c>
    </row>
    <row r="430">
      <c r="C430" s="136" t="str">
        <f t="shared" si="3"/>
        <v/>
      </c>
      <c r="E430" s="106"/>
      <c r="G430" s="106" t="s">
        <v>133</v>
      </c>
      <c r="I430" s="139" t="s">
        <v>133</v>
      </c>
      <c r="J430" s="136" t="s">
        <v>133</v>
      </c>
      <c r="L430" s="136" t="str">
        <f t="shared" si="1"/>
        <v/>
      </c>
      <c r="N430" s="141" t="s">
        <v>133</v>
      </c>
      <c r="O430" s="136" t="str">
        <f>IFERROR(__xludf.DUMMYFUNCTION("""COMPUTED_VALUE"""),"")</f>
        <v/>
      </c>
      <c r="P430" s="136" t="str">
        <f>IFERROR(__xludf.DUMMYFUNCTION("""COMPUTED_VALUE"""),"")</f>
        <v/>
      </c>
      <c r="Q430" s="106" t="str">
        <f>IFERROR(__xludf.DUMMYFUNCTION("""COMPUTED_VALUE"""),"")</f>
        <v/>
      </c>
      <c r="R430" s="106" t="str">
        <f>IFERROR(__xludf.DUMMYFUNCTION("""COMPUTED_VALUE"""),"")</f>
        <v/>
      </c>
      <c r="S430" s="139" t="str">
        <f>IFERROR(__xludf.DUMMYFUNCTION("""COMPUTED_VALUE"""),"")</f>
        <v/>
      </c>
      <c r="T430" s="139" t="str">
        <f>IFERROR(__xludf.DUMMYFUNCTION("""COMPUTED_VALUE"""),"")</f>
        <v/>
      </c>
      <c r="U430" s="136" t="str">
        <f>IFERROR(__xludf.DUMMYFUNCTION("""COMPUTED_VALUE"""),"")</f>
        <v/>
      </c>
      <c r="V430" s="106" t="str">
        <f>IFERROR(__xludf.DUMMYFUNCTION("""COMPUTED_VALUE"""),"")</f>
        <v/>
      </c>
      <c r="W430" s="143" t="str">
        <f t="shared" si="2"/>
        <v/>
      </c>
      <c r="X430" s="139" t="str">
        <f>IFERROR(__xludf.DUMMYFUNCTION("""COMPUTED_VALUE"""),"")</f>
        <v/>
      </c>
      <c r="Y430" s="141" t="str">
        <f>IFERROR(__xludf.DUMMYFUNCTION("""COMPUTED_VALUE"""),"")</f>
        <v/>
      </c>
    </row>
    <row r="431">
      <c r="C431" s="136" t="str">
        <f t="shared" si="3"/>
        <v/>
      </c>
      <c r="E431" s="106"/>
      <c r="G431" s="106" t="s">
        <v>133</v>
      </c>
      <c r="I431" s="139" t="s">
        <v>133</v>
      </c>
      <c r="J431" s="136" t="s">
        <v>133</v>
      </c>
      <c r="L431" s="136" t="str">
        <f t="shared" si="1"/>
        <v/>
      </c>
      <c r="N431" s="141" t="s">
        <v>133</v>
      </c>
      <c r="O431" s="136" t="str">
        <f>IFERROR(__xludf.DUMMYFUNCTION("""COMPUTED_VALUE"""),"")</f>
        <v/>
      </c>
      <c r="P431" s="136" t="str">
        <f>IFERROR(__xludf.DUMMYFUNCTION("""COMPUTED_VALUE"""),"")</f>
        <v/>
      </c>
      <c r="Q431" s="106" t="str">
        <f>IFERROR(__xludf.DUMMYFUNCTION("""COMPUTED_VALUE"""),"")</f>
        <v/>
      </c>
      <c r="R431" s="106" t="str">
        <f>IFERROR(__xludf.DUMMYFUNCTION("""COMPUTED_VALUE"""),"")</f>
        <v/>
      </c>
      <c r="S431" s="139" t="str">
        <f>IFERROR(__xludf.DUMMYFUNCTION("""COMPUTED_VALUE"""),"")</f>
        <v/>
      </c>
      <c r="T431" s="139" t="str">
        <f>IFERROR(__xludf.DUMMYFUNCTION("""COMPUTED_VALUE"""),"")</f>
        <v/>
      </c>
      <c r="U431" s="136" t="str">
        <f>IFERROR(__xludf.DUMMYFUNCTION("""COMPUTED_VALUE"""),"")</f>
        <v/>
      </c>
      <c r="V431" s="106" t="str">
        <f>IFERROR(__xludf.DUMMYFUNCTION("""COMPUTED_VALUE"""),"")</f>
        <v/>
      </c>
      <c r="W431" s="143" t="str">
        <f t="shared" si="2"/>
        <v/>
      </c>
      <c r="X431" s="139" t="str">
        <f>IFERROR(__xludf.DUMMYFUNCTION("""COMPUTED_VALUE"""),"")</f>
        <v/>
      </c>
      <c r="Y431" s="141" t="str">
        <f>IFERROR(__xludf.DUMMYFUNCTION("""COMPUTED_VALUE"""),"")</f>
        <v/>
      </c>
    </row>
    <row r="432">
      <c r="C432" s="136" t="str">
        <f t="shared" si="3"/>
        <v/>
      </c>
      <c r="E432" s="106"/>
      <c r="G432" s="106" t="s">
        <v>133</v>
      </c>
      <c r="I432" s="139" t="s">
        <v>133</v>
      </c>
      <c r="J432" s="136" t="s">
        <v>133</v>
      </c>
      <c r="L432" s="136" t="str">
        <f t="shared" si="1"/>
        <v/>
      </c>
      <c r="N432" s="141" t="s">
        <v>133</v>
      </c>
      <c r="O432" s="136" t="str">
        <f>IFERROR(__xludf.DUMMYFUNCTION("""COMPUTED_VALUE"""),"")</f>
        <v/>
      </c>
      <c r="P432" s="136" t="str">
        <f>IFERROR(__xludf.DUMMYFUNCTION("""COMPUTED_VALUE"""),"")</f>
        <v/>
      </c>
      <c r="Q432" s="106" t="str">
        <f>IFERROR(__xludf.DUMMYFUNCTION("""COMPUTED_VALUE"""),"")</f>
        <v/>
      </c>
      <c r="R432" s="106" t="str">
        <f>IFERROR(__xludf.DUMMYFUNCTION("""COMPUTED_VALUE"""),"")</f>
        <v/>
      </c>
      <c r="S432" s="139" t="str">
        <f>IFERROR(__xludf.DUMMYFUNCTION("""COMPUTED_VALUE"""),"")</f>
        <v/>
      </c>
      <c r="T432" s="139" t="str">
        <f>IFERROR(__xludf.DUMMYFUNCTION("""COMPUTED_VALUE"""),"")</f>
        <v/>
      </c>
      <c r="U432" s="136" t="str">
        <f>IFERROR(__xludf.DUMMYFUNCTION("""COMPUTED_VALUE"""),"")</f>
        <v/>
      </c>
      <c r="V432" s="106" t="str">
        <f>IFERROR(__xludf.DUMMYFUNCTION("""COMPUTED_VALUE"""),"")</f>
        <v/>
      </c>
      <c r="W432" s="143" t="str">
        <f t="shared" si="2"/>
        <v/>
      </c>
      <c r="X432" s="139" t="str">
        <f>IFERROR(__xludf.DUMMYFUNCTION("""COMPUTED_VALUE"""),"")</f>
        <v/>
      </c>
      <c r="Y432" s="141" t="str">
        <f>IFERROR(__xludf.DUMMYFUNCTION("""COMPUTED_VALUE"""),"")</f>
        <v/>
      </c>
    </row>
    <row r="433">
      <c r="C433" s="136" t="str">
        <f t="shared" si="3"/>
        <v/>
      </c>
      <c r="E433" s="106"/>
      <c r="G433" s="106" t="s">
        <v>133</v>
      </c>
      <c r="I433" s="139" t="s">
        <v>133</v>
      </c>
      <c r="J433" s="136" t="s">
        <v>133</v>
      </c>
      <c r="L433" s="136" t="str">
        <f t="shared" si="1"/>
        <v/>
      </c>
      <c r="N433" s="141" t="s">
        <v>133</v>
      </c>
      <c r="O433" s="136" t="str">
        <f>IFERROR(__xludf.DUMMYFUNCTION("""COMPUTED_VALUE"""),"")</f>
        <v/>
      </c>
      <c r="P433" s="136" t="str">
        <f>IFERROR(__xludf.DUMMYFUNCTION("""COMPUTED_VALUE"""),"")</f>
        <v/>
      </c>
      <c r="Q433" s="106" t="str">
        <f>IFERROR(__xludf.DUMMYFUNCTION("""COMPUTED_VALUE"""),"")</f>
        <v/>
      </c>
      <c r="R433" s="106" t="str">
        <f>IFERROR(__xludf.DUMMYFUNCTION("""COMPUTED_VALUE"""),"")</f>
        <v/>
      </c>
      <c r="S433" s="139" t="str">
        <f>IFERROR(__xludf.DUMMYFUNCTION("""COMPUTED_VALUE"""),"")</f>
        <v/>
      </c>
      <c r="T433" s="139" t="str">
        <f>IFERROR(__xludf.DUMMYFUNCTION("""COMPUTED_VALUE"""),"")</f>
        <v/>
      </c>
      <c r="U433" s="136" t="str">
        <f>IFERROR(__xludf.DUMMYFUNCTION("""COMPUTED_VALUE"""),"")</f>
        <v/>
      </c>
      <c r="V433" s="106" t="str">
        <f>IFERROR(__xludf.DUMMYFUNCTION("""COMPUTED_VALUE"""),"")</f>
        <v/>
      </c>
      <c r="W433" s="143" t="str">
        <f t="shared" si="2"/>
        <v/>
      </c>
      <c r="X433" s="139" t="str">
        <f>IFERROR(__xludf.DUMMYFUNCTION("""COMPUTED_VALUE"""),"")</f>
        <v/>
      </c>
      <c r="Y433" s="141" t="str">
        <f>IFERROR(__xludf.DUMMYFUNCTION("""COMPUTED_VALUE"""),"")</f>
        <v/>
      </c>
    </row>
    <row r="434">
      <c r="C434" s="136" t="str">
        <f t="shared" si="3"/>
        <v/>
      </c>
      <c r="E434" s="106"/>
      <c r="G434" s="106" t="s">
        <v>133</v>
      </c>
      <c r="I434" s="139" t="s">
        <v>133</v>
      </c>
      <c r="J434" s="136" t="s">
        <v>133</v>
      </c>
      <c r="L434" s="136" t="str">
        <f t="shared" si="1"/>
        <v/>
      </c>
      <c r="N434" s="141" t="s">
        <v>133</v>
      </c>
      <c r="O434" s="136" t="str">
        <f>IFERROR(__xludf.DUMMYFUNCTION("""COMPUTED_VALUE"""),"")</f>
        <v/>
      </c>
      <c r="P434" s="136" t="str">
        <f>IFERROR(__xludf.DUMMYFUNCTION("""COMPUTED_VALUE"""),"")</f>
        <v/>
      </c>
      <c r="Q434" s="106" t="str">
        <f>IFERROR(__xludf.DUMMYFUNCTION("""COMPUTED_VALUE"""),"")</f>
        <v/>
      </c>
      <c r="R434" s="106" t="str">
        <f>IFERROR(__xludf.DUMMYFUNCTION("""COMPUTED_VALUE"""),"")</f>
        <v/>
      </c>
      <c r="S434" s="139" t="str">
        <f>IFERROR(__xludf.DUMMYFUNCTION("""COMPUTED_VALUE"""),"")</f>
        <v/>
      </c>
      <c r="T434" s="139" t="str">
        <f>IFERROR(__xludf.DUMMYFUNCTION("""COMPUTED_VALUE"""),"")</f>
        <v/>
      </c>
      <c r="U434" s="136" t="str">
        <f>IFERROR(__xludf.DUMMYFUNCTION("""COMPUTED_VALUE"""),"")</f>
        <v/>
      </c>
      <c r="V434" s="106" t="str">
        <f>IFERROR(__xludf.DUMMYFUNCTION("""COMPUTED_VALUE"""),"")</f>
        <v/>
      </c>
      <c r="W434" s="143" t="str">
        <f t="shared" si="2"/>
        <v/>
      </c>
      <c r="X434" s="139" t="str">
        <f>IFERROR(__xludf.DUMMYFUNCTION("""COMPUTED_VALUE"""),"")</f>
        <v/>
      </c>
      <c r="Y434" s="141" t="str">
        <f>IFERROR(__xludf.DUMMYFUNCTION("""COMPUTED_VALUE"""),"")</f>
        <v/>
      </c>
    </row>
    <row r="435">
      <c r="C435" s="136" t="str">
        <f t="shared" si="3"/>
        <v/>
      </c>
      <c r="E435" s="106"/>
      <c r="G435" s="106" t="s">
        <v>133</v>
      </c>
      <c r="I435" s="139" t="s">
        <v>133</v>
      </c>
      <c r="J435" s="136" t="s">
        <v>133</v>
      </c>
      <c r="L435" s="136" t="str">
        <f t="shared" si="1"/>
        <v/>
      </c>
      <c r="N435" s="141" t="s">
        <v>133</v>
      </c>
      <c r="O435" s="136" t="str">
        <f>IFERROR(__xludf.DUMMYFUNCTION("""COMPUTED_VALUE"""),"")</f>
        <v/>
      </c>
      <c r="P435" s="136" t="str">
        <f>IFERROR(__xludf.DUMMYFUNCTION("""COMPUTED_VALUE"""),"")</f>
        <v/>
      </c>
      <c r="Q435" s="106" t="str">
        <f>IFERROR(__xludf.DUMMYFUNCTION("""COMPUTED_VALUE"""),"")</f>
        <v/>
      </c>
      <c r="R435" s="106" t="str">
        <f>IFERROR(__xludf.DUMMYFUNCTION("""COMPUTED_VALUE"""),"")</f>
        <v/>
      </c>
      <c r="S435" s="139" t="str">
        <f>IFERROR(__xludf.DUMMYFUNCTION("""COMPUTED_VALUE"""),"")</f>
        <v/>
      </c>
      <c r="T435" s="139" t="str">
        <f>IFERROR(__xludf.DUMMYFUNCTION("""COMPUTED_VALUE"""),"")</f>
        <v/>
      </c>
      <c r="U435" s="136" t="str">
        <f>IFERROR(__xludf.DUMMYFUNCTION("""COMPUTED_VALUE"""),"")</f>
        <v/>
      </c>
      <c r="V435" s="106" t="str">
        <f>IFERROR(__xludf.DUMMYFUNCTION("""COMPUTED_VALUE"""),"")</f>
        <v/>
      </c>
      <c r="W435" s="143" t="str">
        <f t="shared" si="2"/>
        <v/>
      </c>
      <c r="X435" s="139" t="str">
        <f>IFERROR(__xludf.DUMMYFUNCTION("""COMPUTED_VALUE"""),"")</f>
        <v/>
      </c>
      <c r="Y435" s="141" t="str">
        <f>IFERROR(__xludf.DUMMYFUNCTION("""COMPUTED_VALUE"""),"")</f>
        <v/>
      </c>
    </row>
    <row r="436">
      <c r="C436" s="136" t="str">
        <f t="shared" si="3"/>
        <v/>
      </c>
      <c r="E436" s="106"/>
      <c r="G436" s="106" t="s">
        <v>133</v>
      </c>
      <c r="I436" s="139" t="s">
        <v>133</v>
      </c>
      <c r="J436" s="136" t="s">
        <v>133</v>
      </c>
      <c r="L436" s="136" t="str">
        <f t="shared" si="1"/>
        <v/>
      </c>
      <c r="N436" s="141" t="s">
        <v>133</v>
      </c>
      <c r="O436" s="136" t="str">
        <f>IFERROR(__xludf.DUMMYFUNCTION("""COMPUTED_VALUE"""),"")</f>
        <v/>
      </c>
      <c r="P436" s="136" t="str">
        <f>IFERROR(__xludf.DUMMYFUNCTION("""COMPUTED_VALUE"""),"")</f>
        <v/>
      </c>
      <c r="Q436" s="106" t="str">
        <f>IFERROR(__xludf.DUMMYFUNCTION("""COMPUTED_VALUE"""),"")</f>
        <v/>
      </c>
      <c r="R436" s="106" t="str">
        <f>IFERROR(__xludf.DUMMYFUNCTION("""COMPUTED_VALUE"""),"")</f>
        <v/>
      </c>
      <c r="S436" s="139" t="str">
        <f>IFERROR(__xludf.DUMMYFUNCTION("""COMPUTED_VALUE"""),"")</f>
        <v/>
      </c>
      <c r="T436" s="139" t="str">
        <f>IFERROR(__xludf.DUMMYFUNCTION("""COMPUTED_VALUE"""),"")</f>
        <v/>
      </c>
      <c r="U436" s="136" t="str">
        <f>IFERROR(__xludf.DUMMYFUNCTION("""COMPUTED_VALUE"""),"")</f>
        <v/>
      </c>
      <c r="V436" s="106" t="str">
        <f>IFERROR(__xludf.DUMMYFUNCTION("""COMPUTED_VALUE"""),"")</f>
        <v/>
      </c>
      <c r="W436" s="143" t="str">
        <f t="shared" si="2"/>
        <v/>
      </c>
      <c r="X436" s="139" t="str">
        <f>IFERROR(__xludf.DUMMYFUNCTION("""COMPUTED_VALUE"""),"")</f>
        <v/>
      </c>
      <c r="Y436" s="141" t="str">
        <f>IFERROR(__xludf.DUMMYFUNCTION("""COMPUTED_VALUE"""),"")</f>
        <v/>
      </c>
    </row>
    <row r="437">
      <c r="C437" s="136" t="str">
        <f t="shared" si="3"/>
        <v/>
      </c>
      <c r="E437" s="106"/>
      <c r="G437" s="106" t="s">
        <v>133</v>
      </c>
      <c r="I437" s="139" t="s">
        <v>133</v>
      </c>
      <c r="J437" s="136" t="s">
        <v>133</v>
      </c>
      <c r="L437" s="136" t="str">
        <f t="shared" si="1"/>
        <v/>
      </c>
      <c r="N437" s="141" t="s">
        <v>133</v>
      </c>
      <c r="O437" s="136" t="str">
        <f>IFERROR(__xludf.DUMMYFUNCTION("""COMPUTED_VALUE"""),"")</f>
        <v/>
      </c>
      <c r="P437" s="136" t="str">
        <f>IFERROR(__xludf.DUMMYFUNCTION("""COMPUTED_VALUE"""),"")</f>
        <v/>
      </c>
      <c r="Q437" s="106" t="str">
        <f>IFERROR(__xludf.DUMMYFUNCTION("""COMPUTED_VALUE"""),"")</f>
        <v/>
      </c>
      <c r="R437" s="106" t="str">
        <f>IFERROR(__xludf.DUMMYFUNCTION("""COMPUTED_VALUE"""),"")</f>
        <v/>
      </c>
      <c r="S437" s="139" t="str">
        <f>IFERROR(__xludf.DUMMYFUNCTION("""COMPUTED_VALUE"""),"")</f>
        <v/>
      </c>
      <c r="T437" s="139" t="str">
        <f>IFERROR(__xludf.DUMMYFUNCTION("""COMPUTED_VALUE"""),"")</f>
        <v/>
      </c>
      <c r="U437" s="136" t="str">
        <f>IFERROR(__xludf.DUMMYFUNCTION("""COMPUTED_VALUE"""),"")</f>
        <v/>
      </c>
      <c r="V437" s="106" t="str">
        <f>IFERROR(__xludf.DUMMYFUNCTION("""COMPUTED_VALUE"""),"")</f>
        <v/>
      </c>
      <c r="W437" s="143" t="str">
        <f t="shared" si="2"/>
        <v/>
      </c>
      <c r="X437" s="139" t="str">
        <f>IFERROR(__xludf.DUMMYFUNCTION("""COMPUTED_VALUE"""),"")</f>
        <v/>
      </c>
      <c r="Y437" s="141" t="str">
        <f>IFERROR(__xludf.DUMMYFUNCTION("""COMPUTED_VALUE"""),"")</f>
        <v/>
      </c>
    </row>
    <row r="438">
      <c r="C438" s="136" t="str">
        <f t="shared" si="3"/>
        <v/>
      </c>
      <c r="E438" s="106"/>
      <c r="G438" s="106" t="s">
        <v>133</v>
      </c>
      <c r="I438" s="139" t="s">
        <v>133</v>
      </c>
      <c r="J438" s="136" t="s">
        <v>133</v>
      </c>
      <c r="L438" s="136" t="str">
        <f t="shared" si="1"/>
        <v/>
      </c>
      <c r="N438" s="141" t="s">
        <v>133</v>
      </c>
      <c r="O438" s="136" t="str">
        <f>IFERROR(__xludf.DUMMYFUNCTION("""COMPUTED_VALUE"""),"")</f>
        <v/>
      </c>
      <c r="P438" s="136" t="str">
        <f>IFERROR(__xludf.DUMMYFUNCTION("""COMPUTED_VALUE"""),"")</f>
        <v/>
      </c>
      <c r="Q438" s="106" t="str">
        <f>IFERROR(__xludf.DUMMYFUNCTION("""COMPUTED_VALUE"""),"")</f>
        <v/>
      </c>
      <c r="R438" s="106" t="str">
        <f>IFERROR(__xludf.DUMMYFUNCTION("""COMPUTED_VALUE"""),"")</f>
        <v/>
      </c>
      <c r="S438" s="139" t="str">
        <f>IFERROR(__xludf.DUMMYFUNCTION("""COMPUTED_VALUE"""),"")</f>
        <v/>
      </c>
      <c r="T438" s="139" t="str">
        <f>IFERROR(__xludf.DUMMYFUNCTION("""COMPUTED_VALUE"""),"")</f>
        <v/>
      </c>
      <c r="U438" s="136" t="str">
        <f>IFERROR(__xludf.DUMMYFUNCTION("""COMPUTED_VALUE"""),"")</f>
        <v/>
      </c>
      <c r="V438" s="106" t="str">
        <f>IFERROR(__xludf.DUMMYFUNCTION("""COMPUTED_VALUE"""),"")</f>
        <v/>
      </c>
      <c r="W438" s="143" t="str">
        <f t="shared" si="2"/>
        <v/>
      </c>
      <c r="X438" s="139" t="str">
        <f>IFERROR(__xludf.DUMMYFUNCTION("""COMPUTED_VALUE"""),"")</f>
        <v/>
      </c>
      <c r="Y438" s="141" t="str">
        <f>IFERROR(__xludf.DUMMYFUNCTION("""COMPUTED_VALUE"""),"")</f>
        <v/>
      </c>
    </row>
    <row r="439">
      <c r="C439" s="136" t="str">
        <f t="shared" si="3"/>
        <v/>
      </c>
      <c r="E439" s="106"/>
      <c r="G439" s="106" t="s">
        <v>133</v>
      </c>
      <c r="I439" s="139" t="s">
        <v>133</v>
      </c>
      <c r="J439" s="136" t="s">
        <v>133</v>
      </c>
      <c r="L439" s="136" t="str">
        <f t="shared" si="1"/>
        <v/>
      </c>
      <c r="N439" s="141" t="s">
        <v>133</v>
      </c>
      <c r="O439" s="136" t="str">
        <f>IFERROR(__xludf.DUMMYFUNCTION("""COMPUTED_VALUE"""),"")</f>
        <v/>
      </c>
      <c r="P439" s="136" t="str">
        <f>IFERROR(__xludf.DUMMYFUNCTION("""COMPUTED_VALUE"""),"")</f>
        <v/>
      </c>
      <c r="Q439" s="106" t="str">
        <f>IFERROR(__xludf.DUMMYFUNCTION("""COMPUTED_VALUE"""),"")</f>
        <v/>
      </c>
      <c r="R439" s="106" t="str">
        <f>IFERROR(__xludf.DUMMYFUNCTION("""COMPUTED_VALUE"""),"")</f>
        <v/>
      </c>
      <c r="S439" s="139" t="str">
        <f>IFERROR(__xludf.DUMMYFUNCTION("""COMPUTED_VALUE"""),"")</f>
        <v/>
      </c>
      <c r="T439" s="139" t="str">
        <f>IFERROR(__xludf.DUMMYFUNCTION("""COMPUTED_VALUE"""),"")</f>
        <v/>
      </c>
      <c r="U439" s="136" t="str">
        <f>IFERROR(__xludf.DUMMYFUNCTION("""COMPUTED_VALUE"""),"")</f>
        <v/>
      </c>
      <c r="V439" s="106" t="str">
        <f>IFERROR(__xludf.DUMMYFUNCTION("""COMPUTED_VALUE"""),"")</f>
        <v/>
      </c>
      <c r="W439" s="143" t="str">
        <f t="shared" si="2"/>
        <v/>
      </c>
      <c r="X439" s="139" t="str">
        <f>IFERROR(__xludf.DUMMYFUNCTION("""COMPUTED_VALUE"""),"")</f>
        <v/>
      </c>
      <c r="Y439" s="141" t="str">
        <f>IFERROR(__xludf.DUMMYFUNCTION("""COMPUTED_VALUE"""),"")</f>
        <v/>
      </c>
    </row>
    <row r="440">
      <c r="C440" s="136" t="str">
        <f t="shared" si="3"/>
        <v/>
      </c>
      <c r="E440" s="106"/>
      <c r="G440" s="106" t="s">
        <v>133</v>
      </c>
      <c r="I440" s="139" t="s">
        <v>133</v>
      </c>
      <c r="J440" s="136" t="s">
        <v>133</v>
      </c>
      <c r="L440" s="136" t="str">
        <f t="shared" si="1"/>
        <v/>
      </c>
      <c r="N440" s="141" t="s">
        <v>133</v>
      </c>
      <c r="O440" s="136" t="str">
        <f>IFERROR(__xludf.DUMMYFUNCTION("""COMPUTED_VALUE"""),"")</f>
        <v/>
      </c>
      <c r="P440" s="136" t="str">
        <f>IFERROR(__xludf.DUMMYFUNCTION("""COMPUTED_VALUE"""),"")</f>
        <v/>
      </c>
      <c r="Q440" s="106" t="str">
        <f>IFERROR(__xludf.DUMMYFUNCTION("""COMPUTED_VALUE"""),"")</f>
        <v/>
      </c>
      <c r="R440" s="106" t="str">
        <f>IFERROR(__xludf.DUMMYFUNCTION("""COMPUTED_VALUE"""),"")</f>
        <v/>
      </c>
      <c r="S440" s="139" t="str">
        <f>IFERROR(__xludf.DUMMYFUNCTION("""COMPUTED_VALUE"""),"")</f>
        <v/>
      </c>
      <c r="T440" s="139" t="str">
        <f>IFERROR(__xludf.DUMMYFUNCTION("""COMPUTED_VALUE"""),"")</f>
        <v/>
      </c>
      <c r="U440" s="136" t="str">
        <f>IFERROR(__xludf.DUMMYFUNCTION("""COMPUTED_VALUE"""),"")</f>
        <v/>
      </c>
      <c r="V440" s="106" t="str">
        <f>IFERROR(__xludf.DUMMYFUNCTION("""COMPUTED_VALUE"""),"")</f>
        <v/>
      </c>
      <c r="W440" s="143" t="str">
        <f t="shared" si="2"/>
        <v/>
      </c>
      <c r="X440" s="139" t="str">
        <f>IFERROR(__xludf.DUMMYFUNCTION("""COMPUTED_VALUE"""),"")</f>
        <v/>
      </c>
      <c r="Y440" s="141" t="str">
        <f>IFERROR(__xludf.DUMMYFUNCTION("""COMPUTED_VALUE"""),"")</f>
        <v/>
      </c>
    </row>
    <row r="441">
      <c r="C441" s="136" t="str">
        <f t="shared" si="3"/>
        <v/>
      </c>
      <c r="E441" s="106"/>
      <c r="G441" s="106" t="s">
        <v>133</v>
      </c>
      <c r="I441" s="139" t="s">
        <v>133</v>
      </c>
      <c r="J441" s="136" t="s">
        <v>133</v>
      </c>
      <c r="L441" s="136" t="str">
        <f t="shared" si="1"/>
        <v/>
      </c>
      <c r="N441" s="141" t="s">
        <v>133</v>
      </c>
      <c r="O441" s="136" t="str">
        <f>IFERROR(__xludf.DUMMYFUNCTION("""COMPUTED_VALUE"""),"")</f>
        <v/>
      </c>
      <c r="P441" s="136" t="str">
        <f>IFERROR(__xludf.DUMMYFUNCTION("""COMPUTED_VALUE"""),"")</f>
        <v/>
      </c>
      <c r="Q441" s="106" t="str">
        <f>IFERROR(__xludf.DUMMYFUNCTION("""COMPUTED_VALUE"""),"")</f>
        <v/>
      </c>
      <c r="R441" s="106" t="str">
        <f>IFERROR(__xludf.DUMMYFUNCTION("""COMPUTED_VALUE"""),"")</f>
        <v/>
      </c>
      <c r="S441" s="139" t="str">
        <f>IFERROR(__xludf.DUMMYFUNCTION("""COMPUTED_VALUE"""),"")</f>
        <v/>
      </c>
      <c r="T441" s="139" t="str">
        <f>IFERROR(__xludf.DUMMYFUNCTION("""COMPUTED_VALUE"""),"")</f>
        <v/>
      </c>
      <c r="U441" s="136" t="str">
        <f>IFERROR(__xludf.DUMMYFUNCTION("""COMPUTED_VALUE"""),"")</f>
        <v/>
      </c>
      <c r="V441" s="106" t="str">
        <f>IFERROR(__xludf.DUMMYFUNCTION("""COMPUTED_VALUE"""),"")</f>
        <v/>
      </c>
      <c r="W441" s="143" t="str">
        <f t="shared" si="2"/>
        <v/>
      </c>
      <c r="X441" s="139" t="str">
        <f>IFERROR(__xludf.DUMMYFUNCTION("""COMPUTED_VALUE"""),"")</f>
        <v/>
      </c>
      <c r="Y441" s="141" t="str">
        <f>IFERROR(__xludf.DUMMYFUNCTION("""COMPUTED_VALUE"""),"")</f>
        <v/>
      </c>
    </row>
    <row r="442">
      <c r="C442" s="136" t="str">
        <f t="shared" si="3"/>
        <v/>
      </c>
      <c r="E442" s="106"/>
      <c r="G442" s="106" t="s">
        <v>133</v>
      </c>
      <c r="I442" s="139" t="s">
        <v>133</v>
      </c>
      <c r="J442" s="136" t="s">
        <v>133</v>
      </c>
      <c r="L442" s="136" t="str">
        <f t="shared" si="1"/>
        <v/>
      </c>
      <c r="N442" s="141" t="s">
        <v>133</v>
      </c>
      <c r="O442" s="136" t="str">
        <f>IFERROR(__xludf.DUMMYFUNCTION("""COMPUTED_VALUE"""),"")</f>
        <v/>
      </c>
      <c r="P442" s="136" t="str">
        <f>IFERROR(__xludf.DUMMYFUNCTION("""COMPUTED_VALUE"""),"")</f>
        <v/>
      </c>
      <c r="Q442" s="106" t="str">
        <f>IFERROR(__xludf.DUMMYFUNCTION("""COMPUTED_VALUE"""),"")</f>
        <v/>
      </c>
      <c r="R442" s="106" t="str">
        <f>IFERROR(__xludf.DUMMYFUNCTION("""COMPUTED_VALUE"""),"")</f>
        <v/>
      </c>
      <c r="S442" s="139" t="str">
        <f>IFERROR(__xludf.DUMMYFUNCTION("""COMPUTED_VALUE"""),"")</f>
        <v/>
      </c>
      <c r="T442" s="139" t="str">
        <f>IFERROR(__xludf.DUMMYFUNCTION("""COMPUTED_VALUE"""),"")</f>
        <v/>
      </c>
      <c r="U442" s="136" t="str">
        <f>IFERROR(__xludf.DUMMYFUNCTION("""COMPUTED_VALUE"""),"")</f>
        <v/>
      </c>
      <c r="V442" s="106" t="str">
        <f>IFERROR(__xludf.DUMMYFUNCTION("""COMPUTED_VALUE"""),"")</f>
        <v/>
      </c>
      <c r="W442" s="143" t="str">
        <f t="shared" si="2"/>
        <v/>
      </c>
      <c r="X442" s="139" t="str">
        <f>IFERROR(__xludf.DUMMYFUNCTION("""COMPUTED_VALUE"""),"")</f>
        <v/>
      </c>
      <c r="Y442" s="141" t="str">
        <f>IFERROR(__xludf.DUMMYFUNCTION("""COMPUTED_VALUE"""),"")</f>
        <v/>
      </c>
    </row>
    <row r="443">
      <c r="C443" s="136" t="str">
        <f t="shared" si="3"/>
        <v/>
      </c>
      <c r="E443" s="106"/>
      <c r="G443" s="106" t="s">
        <v>133</v>
      </c>
      <c r="I443" s="139" t="s">
        <v>133</v>
      </c>
      <c r="J443" s="136" t="s">
        <v>133</v>
      </c>
      <c r="L443" s="136" t="str">
        <f t="shared" si="1"/>
        <v/>
      </c>
      <c r="N443" s="141" t="s">
        <v>133</v>
      </c>
      <c r="O443" s="136" t="str">
        <f>IFERROR(__xludf.DUMMYFUNCTION("""COMPUTED_VALUE"""),"")</f>
        <v/>
      </c>
      <c r="P443" s="136" t="str">
        <f>IFERROR(__xludf.DUMMYFUNCTION("""COMPUTED_VALUE"""),"")</f>
        <v/>
      </c>
      <c r="Q443" s="106" t="str">
        <f>IFERROR(__xludf.DUMMYFUNCTION("""COMPUTED_VALUE"""),"")</f>
        <v/>
      </c>
      <c r="R443" s="106" t="str">
        <f>IFERROR(__xludf.DUMMYFUNCTION("""COMPUTED_VALUE"""),"")</f>
        <v/>
      </c>
      <c r="S443" s="139" t="str">
        <f>IFERROR(__xludf.DUMMYFUNCTION("""COMPUTED_VALUE"""),"")</f>
        <v/>
      </c>
      <c r="T443" s="139" t="str">
        <f>IFERROR(__xludf.DUMMYFUNCTION("""COMPUTED_VALUE"""),"")</f>
        <v/>
      </c>
      <c r="U443" s="136" t="str">
        <f>IFERROR(__xludf.DUMMYFUNCTION("""COMPUTED_VALUE"""),"")</f>
        <v/>
      </c>
      <c r="V443" s="106" t="str">
        <f>IFERROR(__xludf.DUMMYFUNCTION("""COMPUTED_VALUE"""),"")</f>
        <v/>
      </c>
      <c r="W443" s="143" t="str">
        <f t="shared" si="2"/>
        <v/>
      </c>
      <c r="X443" s="139" t="str">
        <f>IFERROR(__xludf.DUMMYFUNCTION("""COMPUTED_VALUE"""),"")</f>
        <v/>
      </c>
      <c r="Y443" s="141" t="str">
        <f>IFERROR(__xludf.DUMMYFUNCTION("""COMPUTED_VALUE"""),"")</f>
        <v/>
      </c>
    </row>
    <row r="444">
      <c r="C444" s="136" t="str">
        <f t="shared" si="3"/>
        <v/>
      </c>
      <c r="E444" s="106"/>
      <c r="G444" s="106" t="s">
        <v>133</v>
      </c>
      <c r="I444" s="139" t="s">
        <v>133</v>
      </c>
      <c r="J444" s="136" t="s">
        <v>133</v>
      </c>
      <c r="L444" s="136" t="str">
        <f t="shared" si="1"/>
        <v/>
      </c>
      <c r="N444" s="141" t="s">
        <v>133</v>
      </c>
      <c r="O444" s="136" t="str">
        <f>IFERROR(__xludf.DUMMYFUNCTION("""COMPUTED_VALUE"""),"")</f>
        <v/>
      </c>
      <c r="P444" s="136" t="str">
        <f>IFERROR(__xludf.DUMMYFUNCTION("""COMPUTED_VALUE"""),"")</f>
        <v/>
      </c>
      <c r="Q444" s="106" t="str">
        <f>IFERROR(__xludf.DUMMYFUNCTION("""COMPUTED_VALUE"""),"")</f>
        <v/>
      </c>
      <c r="R444" s="106" t="str">
        <f>IFERROR(__xludf.DUMMYFUNCTION("""COMPUTED_VALUE"""),"")</f>
        <v/>
      </c>
      <c r="S444" s="139" t="str">
        <f>IFERROR(__xludf.DUMMYFUNCTION("""COMPUTED_VALUE"""),"")</f>
        <v/>
      </c>
      <c r="T444" s="139" t="str">
        <f>IFERROR(__xludf.DUMMYFUNCTION("""COMPUTED_VALUE"""),"")</f>
        <v/>
      </c>
      <c r="U444" s="136" t="str">
        <f>IFERROR(__xludf.DUMMYFUNCTION("""COMPUTED_VALUE"""),"")</f>
        <v/>
      </c>
      <c r="V444" s="106" t="str">
        <f>IFERROR(__xludf.DUMMYFUNCTION("""COMPUTED_VALUE"""),"")</f>
        <v/>
      </c>
      <c r="W444" s="143" t="str">
        <f t="shared" si="2"/>
        <v/>
      </c>
      <c r="X444" s="139" t="str">
        <f>IFERROR(__xludf.DUMMYFUNCTION("""COMPUTED_VALUE"""),"")</f>
        <v/>
      </c>
      <c r="Y444" s="141" t="str">
        <f>IFERROR(__xludf.DUMMYFUNCTION("""COMPUTED_VALUE"""),"")</f>
        <v/>
      </c>
    </row>
    <row r="445">
      <c r="C445" s="136" t="str">
        <f t="shared" si="3"/>
        <v/>
      </c>
      <c r="E445" s="106"/>
      <c r="G445" s="106" t="s">
        <v>133</v>
      </c>
      <c r="I445" s="139" t="s">
        <v>133</v>
      </c>
      <c r="J445" s="136" t="s">
        <v>133</v>
      </c>
      <c r="L445" s="136" t="str">
        <f t="shared" si="1"/>
        <v/>
      </c>
      <c r="N445" s="141" t="s">
        <v>133</v>
      </c>
      <c r="O445" s="136" t="str">
        <f>IFERROR(__xludf.DUMMYFUNCTION("""COMPUTED_VALUE"""),"")</f>
        <v/>
      </c>
      <c r="P445" s="136" t="str">
        <f>IFERROR(__xludf.DUMMYFUNCTION("""COMPUTED_VALUE"""),"")</f>
        <v/>
      </c>
      <c r="Q445" s="106" t="str">
        <f>IFERROR(__xludf.DUMMYFUNCTION("""COMPUTED_VALUE"""),"")</f>
        <v/>
      </c>
      <c r="R445" s="106" t="str">
        <f>IFERROR(__xludf.DUMMYFUNCTION("""COMPUTED_VALUE"""),"")</f>
        <v/>
      </c>
      <c r="S445" s="139" t="str">
        <f>IFERROR(__xludf.DUMMYFUNCTION("""COMPUTED_VALUE"""),"")</f>
        <v/>
      </c>
      <c r="T445" s="139" t="str">
        <f>IFERROR(__xludf.DUMMYFUNCTION("""COMPUTED_VALUE"""),"")</f>
        <v/>
      </c>
      <c r="U445" s="136" t="str">
        <f>IFERROR(__xludf.DUMMYFUNCTION("""COMPUTED_VALUE"""),"")</f>
        <v/>
      </c>
      <c r="V445" s="106" t="str">
        <f>IFERROR(__xludf.DUMMYFUNCTION("""COMPUTED_VALUE"""),"")</f>
        <v/>
      </c>
      <c r="W445" s="143" t="str">
        <f t="shared" si="2"/>
        <v/>
      </c>
      <c r="X445" s="139" t="str">
        <f>IFERROR(__xludf.DUMMYFUNCTION("""COMPUTED_VALUE"""),"")</f>
        <v/>
      </c>
      <c r="Y445" s="141" t="str">
        <f>IFERROR(__xludf.DUMMYFUNCTION("""COMPUTED_VALUE"""),"")</f>
        <v/>
      </c>
    </row>
    <row r="446">
      <c r="C446" s="136" t="str">
        <f t="shared" si="3"/>
        <v/>
      </c>
      <c r="E446" s="106"/>
      <c r="G446" s="106" t="s">
        <v>133</v>
      </c>
      <c r="I446" s="139" t="s">
        <v>133</v>
      </c>
      <c r="J446" s="136" t="s">
        <v>133</v>
      </c>
      <c r="L446" s="136" t="str">
        <f t="shared" si="1"/>
        <v/>
      </c>
      <c r="N446" s="141" t="s">
        <v>133</v>
      </c>
      <c r="O446" s="136" t="str">
        <f>IFERROR(__xludf.DUMMYFUNCTION("""COMPUTED_VALUE"""),"")</f>
        <v/>
      </c>
      <c r="P446" s="136" t="str">
        <f>IFERROR(__xludf.DUMMYFUNCTION("""COMPUTED_VALUE"""),"")</f>
        <v/>
      </c>
      <c r="Q446" s="106" t="str">
        <f>IFERROR(__xludf.DUMMYFUNCTION("""COMPUTED_VALUE"""),"")</f>
        <v/>
      </c>
      <c r="R446" s="106" t="str">
        <f>IFERROR(__xludf.DUMMYFUNCTION("""COMPUTED_VALUE"""),"")</f>
        <v/>
      </c>
      <c r="S446" s="139" t="str">
        <f>IFERROR(__xludf.DUMMYFUNCTION("""COMPUTED_VALUE"""),"")</f>
        <v/>
      </c>
      <c r="T446" s="139" t="str">
        <f>IFERROR(__xludf.DUMMYFUNCTION("""COMPUTED_VALUE"""),"")</f>
        <v/>
      </c>
      <c r="U446" s="136" t="str">
        <f>IFERROR(__xludf.DUMMYFUNCTION("""COMPUTED_VALUE"""),"")</f>
        <v/>
      </c>
      <c r="V446" s="106" t="str">
        <f>IFERROR(__xludf.DUMMYFUNCTION("""COMPUTED_VALUE"""),"")</f>
        <v/>
      </c>
      <c r="W446" s="143" t="str">
        <f t="shared" si="2"/>
        <v/>
      </c>
      <c r="X446" s="139" t="str">
        <f>IFERROR(__xludf.DUMMYFUNCTION("""COMPUTED_VALUE"""),"")</f>
        <v/>
      </c>
      <c r="Y446" s="141" t="str">
        <f>IFERROR(__xludf.DUMMYFUNCTION("""COMPUTED_VALUE"""),"")</f>
        <v/>
      </c>
    </row>
    <row r="447">
      <c r="C447" s="136" t="str">
        <f t="shared" si="3"/>
        <v/>
      </c>
      <c r="E447" s="106"/>
      <c r="G447" s="106" t="s">
        <v>133</v>
      </c>
      <c r="I447" s="139" t="s">
        <v>133</v>
      </c>
      <c r="J447" s="136" t="s">
        <v>133</v>
      </c>
      <c r="L447" s="136" t="str">
        <f t="shared" si="1"/>
        <v/>
      </c>
      <c r="N447" s="141" t="s">
        <v>133</v>
      </c>
      <c r="O447" s="136" t="str">
        <f>IFERROR(__xludf.DUMMYFUNCTION("""COMPUTED_VALUE"""),"")</f>
        <v/>
      </c>
      <c r="P447" s="136" t="str">
        <f>IFERROR(__xludf.DUMMYFUNCTION("""COMPUTED_VALUE"""),"")</f>
        <v/>
      </c>
      <c r="Q447" s="106" t="str">
        <f>IFERROR(__xludf.DUMMYFUNCTION("""COMPUTED_VALUE"""),"")</f>
        <v/>
      </c>
      <c r="R447" s="106" t="str">
        <f>IFERROR(__xludf.DUMMYFUNCTION("""COMPUTED_VALUE"""),"")</f>
        <v/>
      </c>
      <c r="S447" s="139" t="str">
        <f>IFERROR(__xludf.DUMMYFUNCTION("""COMPUTED_VALUE"""),"")</f>
        <v/>
      </c>
      <c r="T447" s="139" t="str">
        <f>IFERROR(__xludf.DUMMYFUNCTION("""COMPUTED_VALUE"""),"")</f>
        <v/>
      </c>
      <c r="U447" s="136" t="str">
        <f>IFERROR(__xludf.DUMMYFUNCTION("""COMPUTED_VALUE"""),"")</f>
        <v/>
      </c>
      <c r="V447" s="106" t="str">
        <f>IFERROR(__xludf.DUMMYFUNCTION("""COMPUTED_VALUE"""),"")</f>
        <v/>
      </c>
      <c r="W447" s="143" t="str">
        <f t="shared" si="2"/>
        <v/>
      </c>
      <c r="X447" s="139" t="str">
        <f>IFERROR(__xludf.DUMMYFUNCTION("""COMPUTED_VALUE"""),"")</f>
        <v/>
      </c>
      <c r="Y447" s="141" t="str">
        <f>IFERROR(__xludf.DUMMYFUNCTION("""COMPUTED_VALUE"""),"")</f>
        <v/>
      </c>
    </row>
    <row r="448">
      <c r="C448" s="136" t="str">
        <f t="shared" si="3"/>
        <v/>
      </c>
      <c r="E448" s="106"/>
      <c r="G448" s="106" t="s">
        <v>133</v>
      </c>
      <c r="I448" s="139" t="s">
        <v>133</v>
      </c>
      <c r="J448" s="136" t="s">
        <v>133</v>
      </c>
      <c r="L448" s="136" t="str">
        <f t="shared" si="1"/>
        <v/>
      </c>
      <c r="N448" s="141" t="s">
        <v>133</v>
      </c>
      <c r="O448" s="136" t="str">
        <f>IFERROR(__xludf.DUMMYFUNCTION("""COMPUTED_VALUE"""),"")</f>
        <v/>
      </c>
      <c r="P448" s="136" t="str">
        <f>IFERROR(__xludf.DUMMYFUNCTION("""COMPUTED_VALUE"""),"")</f>
        <v/>
      </c>
      <c r="Q448" s="106" t="str">
        <f>IFERROR(__xludf.DUMMYFUNCTION("""COMPUTED_VALUE"""),"")</f>
        <v/>
      </c>
      <c r="R448" s="106" t="str">
        <f>IFERROR(__xludf.DUMMYFUNCTION("""COMPUTED_VALUE"""),"")</f>
        <v/>
      </c>
      <c r="S448" s="139" t="str">
        <f>IFERROR(__xludf.DUMMYFUNCTION("""COMPUTED_VALUE"""),"")</f>
        <v/>
      </c>
      <c r="T448" s="139" t="str">
        <f>IFERROR(__xludf.DUMMYFUNCTION("""COMPUTED_VALUE"""),"")</f>
        <v/>
      </c>
      <c r="U448" s="136" t="str">
        <f>IFERROR(__xludf.DUMMYFUNCTION("""COMPUTED_VALUE"""),"")</f>
        <v/>
      </c>
      <c r="V448" s="106" t="str">
        <f>IFERROR(__xludf.DUMMYFUNCTION("""COMPUTED_VALUE"""),"")</f>
        <v/>
      </c>
      <c r="W448" s="143" t="str">
        <f t="shared" si="2"/>
        <v/>
      </c>
      <c r="X448" s="139" t="str">
        <f>IFERROR(__xludf.DUMMYFUNCTION("""COMPUTED_VALUE"""),"")</f>
        <v/>
      </c>
      <c r="Y448" s="141" t="str">
        <f>IFERROR(__xludf.DUMMYFUNCTION("""COMPUTED_VALUE"""),"")</f>
        <v/>
      </c>
    </row>
    <row r="449">
      <c r="C449" s="136" t="str">
        <f t="shared" si="3"/>
        <v/>
      </c>
      <c r="E449" s="106"/>
      <c r="G449" s="106" t="s">
        <v>133</v>
      </c>
      <c r="I449" s="139" t="s">
        <v>133</v>
      </c>
      <c r="J449" s="136" t="s">
        <v>133</v>
      </c>
      <c r="L449" s="136" t="str">
        <f t="shared" si="1"/>
        <v/>
      </c>
      <c r="N449" s="141" t="s">
        <v>133</v>
      </c>
      <c r="O449" s="136" t="str">
        <f>IFERROR(__xludf.DUMMYFUNCTION("""COMPUTED_VALUE"""),"")</f>
        <v/>
      </c>
      <c r="P449" s="136" t="str">
        <f>IFERROR(__xludf.DUMMYFUNCTION("""COMPUTED_VALUE"""),"")</f>
        <v/>
      </c>
      <c r="Q449" s="106" t="str">
        <f>IFERROR(__xludf.DUMMYFUNCTION("""COMPUTED_VALUE"""),"")</f>
        <v/>
      </c>
      <c r="R449" s="106" t="str">
        <f>IFERROR(__xludf.DUMMYFUNCTION("""COMPUTED_VALUE"""),"")</f>
        <v/>
      </c>
      <c r="S449" s="139" t="str">
        <f>IFERROR(__xludf.DUMMYFUNCTION("""COMPUTED_VALUE"""),"")</f>
        <v/>
      </c>
      <c r="T449" s="139" t="str">
        <f>IFERROR(__xludf.DUMMYFUNCTION("""COMPUTED_VALUE"""),"")</f>
        <v/>
      </c>
      <c r="U449" s="136" t="str">
        <f>IFERROR(__xludf.DUMMYFUNCTION("""COMPUTED_VALUE"""),"")</f>
        <v/>
      </c>
      <c r="V449" s="106" t="str">
        <f>IFERROR(__xludf.DUMMYFUNCTION("""COMPUTED_VALUE"""),"")</f>
        <v/>
      </c>
      <c r="W449" s="143" t="str">
        <f t="shared" si="2"/>
        <v/>
      </c>
      <c r="X449" s="139" t="str">
        <f>IFERROR(__xludf.DUMMYFUNCTION("""COMPUTED_VALUE"""),"")</f>
        <v/>
      </c>
      <c r="Y449" s="141" t="str">
        <f>IFERROR(__xludf.DUMMYFUNCTION("""COMPUTED_VALUE"""),"")</f>
        <v/>
      </c>
    </row>
    <row r="450">
      <c r="C450" s="136" t="str">
        <f t="shared" si="3"/>
        <v/>
      </c>
      <c r="E450" s="106"/>
      <c r="G450" s="106" t="s">
        <v>133</v>
      </c>
      <c r="I450" s="139" t="s">
        <v>133</v>
      </c>
      <c r="J450" s="136" t="s">
        <v>133</v>
      </c>
      <c r="L450" s="136" t="str">
        <f t="shared" si="1"/>
        <v/>
      </c>
      <c r="N450" s="141" t="s">
        <v>133</v>
      </c>
      <c r="O450" s="136" t="str">
        <f>IFERROR(__xludf.DUMMYFUNCTION("""COMPUTED_VALUE"""),"")</f>
        <v/>
      </c>
      <c r="P450" s="136" t="str">
        <f>IFERROR(__xludf.DUMMYFUNCTION("""COMPUTED_VALUE"""),"")</f>
        <v/>
      </c>
      <c r="Q450" s="106" t="str">
        <f>IFERROR(__xludf.DUMMYFUNCTION("""COMPUTED_VALUE"""),"")</f>
        <v/>
      </c>
      <c r="R450" s="106" t="str">
        <f>IFERROR(__xludf.DUMMYFUNCTION("""COMPUTED_VALUE"""),"")</f>
        <v/>
      </c>
      <c r="S450" s="139" t="str">
        <f>IFERROR(__xludf.DUMMYFUNCTION("""COMPUTED_VALUE"""),"")</f>
        <v/>
      </c>
      <c r="T450" s="139" t="str">
        <f>IFERROR(__xludf.DUMMYFUNCTION("""COMPUTED_VALUE"""),"")</f>
        <v/>
      </c>
      <c r="U450" s="136" t="str">
        <f>IFERROR(__xludf.DUMMYFUNCTION("""COMPUTED_VALUE"""),"")</f>
        <v/>
      </c>
      <c r="V450" s="106" t="str">
        <f>IFERROR(__xludf.DUMMYFUNCTION("""COMPUTED_VALUE"""),"")</f>
        <v/>
      </c>
      <c r="W450" s="143" t="str">
        <f t="shared" si="2"/>
        <v/>
      </c>
      <c r="X450" s="139" t="str">
        <f>IFERROR(__xludf.DUMMYFUNCTION("""COMPUTED_VALUE"""),"")</f>
        <v/>
      </c>
      <c r="Y450" s="141" t="str">
        <f>IFERROR(__xludf.DUMMYFUNCTION("""COMPUTED_VALUE"""),"")</f>
        <v/>
      </c>
    </row>
    <row r="451">
      <c r="C451" s="136" t="str">
        <f t="shared" si="3"/>
        <v/>
      </c>
      <c r="E451" s="106"/>
      <c r="G451" s="106" t="s">
        <v>133</v>
      </c>
      <c r="I451" s="139" t="s">
        <v>133</v>
      </c>
      <c r="J451" s="136" t="s">
        <v>133</v>
      </c>
      <c r="L451" s="136" t="str">
        <f t="shared" si="1"/>
        <v/>
      </c>
      <c r="N451" s="141" t="s">
        <v>133</v>
      </c>
      <c r="O451" s="136" t="str">
        <f>IFERROR(__xludf.DUMMYFUNCTION("""COMPUTED_VALUE"""),"")</f>
        <v/>
      </c>
      <c r="P451" s="136" t="str">
        <f>IFERROR(__xludf.DUMMYFUNCTION("""COMPUTED_VALUE"""),"")</f>
        <v/>
      </c>
      <c r="Q451" s="106" t="str">
        <f>IFERROR(__xludf.DUMMYFUNCTION("""COMPUTED_VALUE"""),"")</f>
        <v/>
      </c>
      <c r="R451" s="106" t="str">
        <f>IFERROR(__xludf.DUMMYFUNCTION("""COMPUTED_VALUE"""),"")</f>
        <v/>
      </c>
      <c r="S451" s="139" t="str">
        <f>IFERROR(__xludf.DUMMYFUNCTION("""COMPUTED_VALUE"""),"")</f>
        <v/>
      </c>
      <c r="T451" s="139" t="str">
        <f>IFERROR(__xludf.DUMMYFUNCTION("""COMPUTED_VALUE"""),"")</f>
        <v/>
      </c>
      <c r="U451" s="136" t="str">
        <f>IFERROR(__xludf.DUMMYFUNCTION("""COMPUTED_VALUE"""),"")</f>
        <v/>
      </c>
      <c r="V451" s="106" t="str">
        <f>IFERROR(__xludf.DUMMYFUNCTION("""COMPUTED_VALUE"""),"")</f>
        <v/>
      </c>
      <c r="W451" s="143" t="str">
        <f t="shared" si="2"/>
        <v/>
      </c>
      <c r="X451" s="139" t="str">
        <f>IFERROR(__xludf.DUMMYFUNCTION("""COMPUTED_VALUE"""),"")</f>
        <v/>
      </c>
      <c r="Y451" s="141" t="str">
        <f>IFERROR(__xludf.DUMMYFUNCTION("""COMPUTED_VALUE"""),"")</f>
        <v/>
      </c>
    </row>
    <row r="452">
      <c r="C452" s="136" t="str">
        <f t="shared" si="3"/>
        <v/>
      </c>
      <c r="E452" s="106"/>
      <c r="G452" s="106" t="s">
        <v>133</v>
      </c>
      <c r="I452" s="139" t="s">
        <v>133</v>
      </c>
      <c r="J452" s="136" t="s">
        <v>133</v>
      </c>
      <c r="L452" s="136" t="str">
        <f t="shared" si="1"/>
        <v/>
      </c>
      <c r="N452" s="141" t="s">
        <v>133</v>
      </c>
      <c r="O452" s="136" t="str">
        <f>IFERROR(__xludf.DUMMYFUNCTION("""COMPUTED_VALUE"""),"")</f>
        <v/>
      </c>
      <c r="P452" s="136" t="str">
        <f>IFERROR(__xludf.DUMMYFUNCTION("""COMPUTED_VALUE"""),"")</f>
        <v/>
      </c>
      <c r="Q452" s="106" t="str">
        <f>IFERROR(__xludf.DUMMYFUNCTION("""COMPUTED_VALUE"""),"")</f>
        <v/>
      </c>
      <c r="R452" s="106" t="str">
        <f>IFERROR(__xludf.DUMMYFUNCTION("""COMPUTED_VALUE"""),"")</f>
        <v/>
      </c>
      <c r="S452" s="139" t="str">
        <f>IFERROR(__xludf.DUMMYFUNCTION("""COMPUTED_VALUE"""),"")</f>
        <v/>
      </c>
      <c r="T452" s="139" t="str">
        <f>IFERROR(__xludf.DUMMYFUNCTION("""COMPUTED_VALUE"""),"")</f>
        <v/>
      </c>
      <c r="U452" s="136" t="str">
        <f>IFERROR(__xludf.DUMMYFUNCTION("""COMPUTED_VALUE"""),"")</f>
        <v/>
      </c>
      <c r="V452" s="106" t="str">
        <f>IFERROR(__xludf.DUMMYFUNCTION("""COMPUTED_VALUE"""),"")</f>
        <v/>
      </c>
      <c r="W452" s="143" t="str">
        <f t="shared" si="2"/>
        <v/>
      </c>
      <c r="X452" s="139" t="str">
        <f>IFERROR(__xludf.DUMMYFUNCTION("""COMPUTED_VALUE"""),"")</f>
        <v/>
      </c>
      <c r="Y452" s="141" t="str">
        <f>IFERROR(__xludf.DUMMYFUNCTION("""COMPUTED_VALUE"""),"")</f>
        <v/>
      </c>
    </row>
    <row r="453">
      <c r="C453" s="136" t="str">
        <f t="shared" si="3"/>
        <v/>
      </c>
      <c r="E453" s="106"/>
      <c r="G453" s="106" t="s">
        <v>133</v>
      </c>
      <c r="I453" s="139" t="s">
        <v>133</v>
      </c>
      <c r="J453" s="136" t="s">
        <v>133</v>
      </c>
      <c r="L453" s="136" t="str">
        <f t="shared" si="1"/>
        <v/>
      </c>
      <c r="N453" s="141" t="s">
        <v>133</v>
      </c>
      <c r="O453" s="136" t="str">
        <f>IFERROR(__xludf.DUMMYFUNCTION("""COMPUTED_VALUE"""),"")</f>
        <v/>
      </c>
      <c r="P453" s="136" t="str">
        <f>IFERROR(__xludf.DUMMYFUNCTION("""COMPUTED_VALUE"""),"")</f>
        <v/>
      </c>
      <c r="Q453" s="106" t="str">
        <f>IFERROR(__xludf.DUMMYFUNCTION("""COMPUTED_VALUE"""),"")</f>
        <v/>
      </c>
      <c r="R453" s="106" t="str">
        <f>IFERROR(__xludf.DUMMYFUNCTION("""COMPUTED_VALUE"""),"")</f>
        <v/>
      </c>
      <c r="S453" s="139" t="str">
        <f>IFERROR(__xludf.DUMMYFUNCTION("""COMPUTED_VALUE"""),"")</f>
        <v/>
      </c>
      <c r="T453" s="139" t="str">
        <f>IFERROR(__xludf.DUMMYFUNCTION("""COMPUTED_VALUE"""),"")</f>
        <v/>
      </c>
      <c r="U453" s="136" t="str">
        <f>IFERROR(__xludf.DUMMYFUNCTION("""COMPUTED_VALUE"""),"")</f>
        <v/>
      </c>
      <c r="V453" s="106" t="str">
        <f>IFERROR(__xludf.DUMMYFUNCTION("""COMPUTED_VALUE"""),"")</f>
        <v/>
      </c>
      <c r="W453" s="143" t="str">
        <f t="shared" si="2"/>
        <v/>
      </c>
      <c r="X453" s="139" t="str">
        <f>IFERROR(__xludf.DUMMYFUNCTION("""COMPUTED_VALUE"""),"")</f>
        <v/>
      </c>
      <c r="Y453" s="141" t="str">
        <f>IFERROR(__xludf.DUMMYFUNCTION("""COMPUTED_VALUE"""),"")</f>
        <v/>
      </c>
    </row>
    <row r="454">
      <c r="C454" s="136" t="str">
        <f t="shared" si="3"/>
        <v/>
      </c>
      <c r="E454" s="106"/>
      <c r="G454" s="106" t="s">
        <v>133</v>
      </c>
      <c r="I454" s="139" t="s">
        <v>133</v>
      </c>
      <c r="J454" s="136" t="s">
        <v>133</v>
      </c>
      <c r="L454" s="136" t="str">
        <f t="shared" si="1"/>
        <v/>
      </c>
      <c r="N454" s="141" t="s">
        <v>133</v>
      </c>
      <c r="O454" s="136" t="str">
        <f>IFERROR(__xludf.DUMMYFUNCTION("""COMPUTED_VALUE"""),"")</f>
        <v/>
      </c>
      <c r="P454" s="136" t="str">
        <f>IFERROR(__xludf.DUMMYFUNCTION("""COMPUTED_VALUE"""),"")</f>
        <v/>
      </c>
      <c r="Q454" s="106" t="str">
        <f>IFERROR(__xludf.DUMMYFUNCTION("""COMPUTED_VALUE"""),"")</f>
        <v/>
      </c>
      <c r="R454" s="106" t="str">
        <f>IFERROR(__xludf.DUMMYFUNCTION("""COMPUTED_VALUE"""),"")</f>
        <v/>
      </c>
      <c r="S454" s="139" t="str">
        <f>IFERROR(__xludf.DUMMYFUNCTION("""COMPUTED_VALUE"""),"")</f>
        <v/>
      </c>
      <c r="T454" s="139" t="str">
        <f>IFERROR(__xludf.DUMMYFUNCTION("""COMPUTED_VALUE"""),"")</f>
        <v/>
      </c>
      <c r="U454" s="136" t="str">
        <f>IFERROR(__xludf.DUMMYFUNCTION("""COMPUTED_VALUE"""),"")</f>
        <v/>
      </c>
      <c r="V454" s="106" t="str">
        <f>IFERROR(__xludf.DUMMYFUNCTION("""COMPUTED_VALUE"""),"")</f>
        <v/>
      </c>
      <c r="W454" s="143" t="str">
        <f t="shared" si="2"/>
        <v/>
      </c>
      <c r="X454" s="139" t="str">
        <f>IFERROR(__xludf.DUMMYFUNCTION("""COMPUTED_VALUE"""),"")</f>
        <v/>
      </c>
      <c r="Y454" s="141" t="str">
        <f>IFERROR(__xludf.DUMMYFUNCTION("""COMPUTED_VALUE"""),"")</f>
        <v/>
      </c>
    </row>
    <row r="455">
      <c r="C455" s="136" t="str">
        <f t="shared" si="3"/>
        <v/>
      </c>
      <c r="E455" s="106"/>
      <c r="G455" s="106" t="s">
        <v>133</v>
      </c>
      <c r="I455" s="139" t="s">
        <v>133</v>
      </c>
      <c r="J455" s="136" t="s">
        <v>133</v>
      </c>
      <c r="L455" s="136" t="str">
        <f t="shared" si="1"/>
        <v/>
      </c>
      <c r="N455" s="141" t="s">
        <v>133</v>
      </c>
      <c r="O455" s="136" t="str">
        <f>IFERROR(__xludf.DUMMYFUNCTION("""COMPUTED_VALUE"""),"")</f>
        <v/>
      </c>
      <c r="P455" s="136" t="str">
        <f>IFERROR(__xludf.DUMMYFUNCTION("""COMPUTED_VALUE"""),"")</f>
        <v/>
      </c>
      <c r="Q455" s="106" t="str">
        <f>IFERROR(__xludf.DUMMYFUNCTION("""COMPUTED_VALUE"""),"")</f>
        <v/>
      </c>
      <c r="R455" s="106" t="str">
        <f>IFERROR(__xludf.DUMMYFUNCTION("""COMPUTED_VALUE"""),"")</f>
        <v/>
      </c>
      <c r="S455" s="139" t="str">
        <f>IFERROR(__xludf.DUMMYFUNCTION("""COMPUTED_VALUE"""),"")</f>
        <v/>
      </c>
      <c r="T455" s="139" t="str">
        <f>IFERROR(__xludf.DUMMYFUNCTION("""COMPUTED_VALUE"""),"")</f>
        <v/>
      </c>
      <c r="U455" s="136" t="str">
        <f>IFERROR(__xludf.DUMMYFUNCTION("""COMPUTED_VALUE"""),"")</f>
        <v/>
      </c>
      <c r="V455" s="106" t="str">
        <f>IFERROR(__xludf.DUMMYFUNCTION("""COMPUTED_VALUE"""),"")</f>
        <v/>
      </c>
      <c r="W455" s="143" t="str">
        <f t="shared" si="2"/>
        <v/>
      </c>
      <c r="X455" s="139" t="str">
        <f>IFERROR(__xludf.DUMMYFUNCTION("""COMPUTED_VALUE"""),"")</f>
        <v/>
      </c>
      <c r="Y455" s="141" t="str">
        <f>IFERROR(__xludf.DUMMYFUNCTION("""COMPUTED_VALUE"""),"")</f>
        <v/>
      </c>
    </row>
    <row r="456">
      <c r="C456" s="136" t="str">
        <f t="shared" si="3"/>
        <v/>
      </c>
      <c r="E456" s="106"/>
      <c r="G456" s="106" t="s">
        <v>133</v>
      </c>
      <c r="I456" s="139" t="s">
        <v>133</v>
      </c>
      <c r="J456" s="136" t="s">
        <v>133</v>
      </c>
      <c r="L456" s="136" t="str">
        <f t="shared" si="1"/>
        <v/>
      </c>
      <c r="N456" s="141" t="s">
        <v>133</v>
      </c>
      <c r="O456" s="136" t="str">
        <f>IFERROR(__xludf.DUMMYFUNCTION("""COMPUTED_VALUE"""),"")</f>
        <v/>
      </c>
      <c r="P456" s="136" t="str">
        <f>IFERROR(__xludf.DUMMYFUNCTION("""COMPUTED_VALUE"""),"")</f>
        <v/>
      </c>
      <c r="Q456" s="106" t="str">
        <f>IFERROR(__xludf.DUMMYFUNCTION("""COMPUTED_VALUE"""),"")</f>
        <v/>
      </c>
      <c r="R456" s="106" t="str">
        <f>IFERROR(__xludf.DUMMYFUNCTION("""COMPUTED_VALUE"""),"")</f>
        <v/>
      </c>
      <c r="S456" s="139" t="str">
        <f>IFERROR(__xludf.DUMMYFUNCTION("""COMPUTED_VALUE"""),"")</f>
        <v/>
      </c>
      <c r="T456" s="139" t="str">
        <f>IFERROR(__xludf.DUMMYFUNCTION("""COMPUTED_VALUE"""),"")</f>
        <v/>
      </c>
      <c r="U456" s="136" t="str">
        <f>IFERROR(__xludf.DUMMYFUNCTION("""COMPUTED_VALUE"""),"")</f>
        <v/>
      </c>
      <c r="V456" s="106" t="str">
        <f>IFERROR(__xludf.DUMMYFUNCTION("""COMPUTED_VALUE"""),"")</f>
        <v/>
      </c>
      <c r="W456" s="143" t="str">
        <f t="shared" si="2"/>
        <v/>
      </c>
      <c r="X456" s="139" t="str">
        <f>IFERROR(__xludf.DUMMYFUNCTION("""COMPUTED_VALUE"""),"")</f>
        <v/>
      </c>
      <c r="Y456" s="141" t="str">
        <f>IFERROR(__xludf.DUMMYFUNCTION("""COMPUTED_VALUE"""),"")</f>
        <v/>
      </c>
    </row>
    <row r="457">
      <c r="C457" s="136" t="str">
        <f t="shared" si="3"/>
        <v/>
      </c>
      <c r="E457" s="106"/>
      <c r="G457" s="106" t="s">
        <v>133</v>
      </c>
      <c r="I457" s="139" t="s">
        <v>133</v>
      </c>
      <c r="J457" s="136" t="s">
        <v>133</v>
      </c>
      <c r="L457" s="136" t="str">
        <f t="shared" si="1"/>
        <v/>
      </c>
      <c r="N457" s="141" t="s">
        <v>133</v>
      </c>
      <c r="O457" s="136" t="str">
        <f>IFERROR(__xludf.DUMMYFUNCTION("""COMPUTED_VALUE"""),"")</f>
        <v/>
      </c>
      <c r="P457" s="136" t="str">
        <f>IFERROR(__xludf.DUMMYFUNCTION("""COMPUTED_VALUE"""),"")</f>
        <v/>
      </c>
      <c r="Q457" s="106" t="str">
        <f>IFERROR(__xludf.DUMMYFUNCTION("""COMPUTED_VALUE"""),"")</f>
        <v/>
      </c>
      <c r="R457" s="106" t="str">
        <f>IFERROR(__xludf.DUMMYFUNCTION("""COMPUTED_VALUE"""),"")</f>
        <v/>
      </c>
      <c r="S457" s="139" t="str">
        <f>IFERROR(__xludf.DUMMYFUNCTION("""COMPUTED_VALUE"""),"")</f>
        <v/>
      </c>
      <c r="T457" s="139" t="str">
        <f>IFERROR(__xludf.DUMMYFUNCTION("""COMPUTED_VALUE"""),"")</f>
        <v/>
      </c>
      <c r="U457" s="136" t="str">
        <f>IFERROR(__xludf.DUMMYFUNCTION("""COMPUTED_VALUE"""),"")</f>
        <v/>
      </c>
      <c r="V457" s="106" t="str">
        <f>IFERROR(__xludf.DUMMYFUNCTION("""COMPUTED_VALUE"""),"")</f>
        <v/>
      </c>
      <c r="W457" s="143" t="str">
        <f t="shared" si="2"/>
        <v/>
      </c>
      <c r="X457" s="139" t="str">
        <f>IFERROR(__xludf.DUMMYFUNCTION("""COMPUTED_VALUE"""),"")</f>
        <v/>
      </c>
      <c r="Y457" s="141" t="str">
        <f>IFERROR(__xludf.DUMMYFUNCTION("""COMPUTED_VALUE"""),"")</f>
        <v/>
      </c>
    </row>
    <row r="458">
      <c r="C458" s="136" t="str">
        <f t="shared" si="3"/>
        <v/>
      </c>
      <c r="E458" s="106"/>
      <c r="G458" s="106" t="s">
        <v>133</v>
      </c>
      <c r="I458" s="139" t="s">
        <v>133</v>
      </c>
      <c r="J458" s="136" t="s">
        <v>133</v>
      </c>
      <c r="L458" s="136" t="str">
        <f t="shared" si="1"/>
        <v/>
      </c>
      <c r="N458" s="141" t="s">
        <v>133</v>
      </c>
      <c r="O458" s="136" t="str">
        <f>IFERROR(__xludf.DUMMYFUNCTION("""COMPUTED_VALUE"""),"")</f>
        <v/>
      </c>
      <c r="P458" s="136" t="str">
        <f>IFERROR(__xludf.DUMMYFUNCTION("""COMPUTED_VALUE"""),"")</f>
        <v/>
      </c>
      <c r="Q458" s="106" t="str">
        <f>IFERROR(__xludf.DUMMYFUNCTION("""COMPUTED_VALUE"""),"")</f>
        <v/>
      </c>
      <c r="R458" s="106" t="str">
        <f>IFERROR(__xludf.DUMMYFUNCTION("""COMPUTED_VALUE"""),"")</f>
        <v/>
      </c>
      <c r="S458" s="139" t="str">
        <f>IFERROR(__xludf.DUMMYFUNCTION("""COMPUTED_VALUE"""),"")</f>
        <v/>
      </c>
      <c r="T458" s="139" t="str">
        <f>IFERROR(__xludf.DUMMYFUNCTION("""COMPUTED_VALUE"""),"")</f>
        <v/>
      </c>
      <c r="U458" s="136" t="str">
        <f>IFERROR(__xludf.DUMMYFUNCTION("""COMPUTED_VALUE"""),"")</f>
        <v/>
      </c>
      <c r="V458" s="106" t="str">
        <f>IFERROR(__xludf.DUMMYFUNCTION("""COMPUTED_VALUE"""),"")</f>
        <v/>
      </c>
      <c r="W458" s="143" t="str">
        <f t="shared" si="2"/>
        <v/>
      </c>
      <c r="X458" s="139" t="str">
        <f>IFERROR(__xludf.DUMMYFUNCTION("""COMPUTED_VALUE"""),"")</f>
        <v/>
      </c>
      <c r="Y458" s="141" t="str">
        <f>IFERROR(__xludf.DUMMYFUNCTION("""COMPUTED_VALUE"""),"")</f>
        <v/>
      </c>
    </row>
    <row r="459">
      <c r="C459" s="136" t="str">
        <f t="shared" si="3"/>
        <v/>
      </c>
      <c r="E459" s="106"/>
      <c r="G459" s="106" t="s">
        <v>133</v>
      </c>
      <c r="I459" s="139" t="s">
        <v>133</v>
      </c>
      <c r="J459" s="136" t="s">
        <v>133</v>
      </c>
      <c r="L459" s="136" t="str">
        <f t="shared" si="1"/>
        <v/>
      </c>
      <c r="N459" s="141" t="s">
        <v>133</v>
      </c>
      <c r="O459" s="136" t="str">
        <f>IFERROR(__xludf.DUMMYFUNCTION("""COMPUTED_VALUE"""),"")</f>
        <v/>
      </c>
      <c r="P459" s="136" t="str">
        <f>IFERROR(__xludf.DUMMYFUNCTION("""COMPUTED_VALUE"""),"")</f>
        <v/>
      </c>
      <c r="Q459" s="106" t="str">
        <f>IFERROR(__xludf.DUMMYFUNCTION("""COMPUTED_VALUE"""),"")</f>
        <v/>
      </c>
      <c r="R459" s="106" t="str">
        <f>IFERROR(__xludf.DUMMYFUNCTION("""COMPUTED_VALUE"""),"")</f>
        <v/>
      </c>
      <c r="S459" s="139" t="str">
        <f>IFERROR(__xludf.DUMMYFUNCTION("""COMPUTED_VALUE"""),"")</f>
        <v/>
      </c>
      <c r="T459" s="139" t="str">
        <f>IFERROR(__xludf.DUMMYFUNCTION("""COMPUTED_VALUE"""),"")</f>
        <v/>
      </c>
      <c r="U459" s="136" t="str">
        <f>IFERROR(__xludf.DUMMYFUNCTION("""COMPUTED_VALUE"""),"")</f>
        <v/>
      </c>
      <c r="V459" s="106" t="str">
        <f>IFERROR(__xludf.DUMMYFUNCTION("""COMPUTED_VALUE"""),"")</f>
        <v/>
      </c>
      <c r="W459" s="143" t="str">
        <f t="shared" si="2"/>
        <v/>
      </c>
      <c r="X459" s="139" t="str">
        <f>IFERROR(__xludf.DUMMYFUNCTION("""COMPUTED_VALUE"""),"")</f>
        <v/>
      </c>
      <c r="Y459" s="141" t="str">
        <f>IFERROR(__xludf.DUMMYFUNCTION("""COMPUTED_VALUE"""),"")</f>
        <v/>
      </c>
    </row>
    <row r="460">
      <c r="C460" s="136" t="str">
        <f t="shared" si="3"/>
        <v/>
      </c>
      <c r="E460" s="106"/>
      <c r="G460" s="106" t="s">
        <v>133</v>
      </c>
      <c r="I460" s="139" t="s">
        <v>133</v>
      </c>
      <c r="J460" s="136" t="s">
        <v>133</v>
      </c>
      <c r="L460" s="136" t="str">
        <f t="shared" si="1"/>
        <v/>
      </c>
      <c r="N460" s="141" t="s">
        <v>133</v>
      </c>
      <c r="O460" s="136" t="str">
        <f>IFERROR(__xludf.DUMMYFUNCTION("""COMPUTED_VALUE"""),"")</f>
        <v/>
      </c>
      <c r="P460" s="136" t="str">
        <f>IFERROR(__xludf.DUMMYFUNCTION("""COMPUTED_VALUE"""),"")</f>
        <v/>
      </c>
      <c r="Q460" s="106" t="str">
        <f>IFERROR(__xludf.DUMMYFUNCTION("""COMPUTED_VALUE"""),"")</f>
        <v/>
      </c>
      <c r="R460" s="106" t="str">
        <f>IFERROR(__xludf.DUMMYFUNCTION("""COMPUTED_VALUE"""),"")</f>
        <v/>
      </c>
      <c r="S460" s="139" t="str">
        <f>IFERROR(__xludf.DUMMYFUNCTION("""COMPUTED_VALUE"""),"")</f>
        <v/>
      </c>
      <c r="T460" s="139" t="str">
        <f>IFERROR(__xludf.DUMMYFUNCTION("""COMPUTED_VALUE"""),"")</f>
        <v/>
      </c>
      <c r="U460" s="136" t="str">
        <f>IFERROR(__xludf.DUMMYFUNCTION("""COMPUTED_VALUE"""),"")</f>
        <v/>
      </c>
      <c r="V460" s="106" t="str">
        <f>IFERROR(__xludf.DUMMYFUNCTION("""COMPUTED_VALUE"""),"")</f>
        <v/>
      </c>
      <c r="W460" s="143" t="str">
        <f t="shared" si="2"/>
        <v/>
      </c>
      <c r="X460" s="139" t="str">
        <f>IFERROR(__xludf.DUMMYFUNCTION("""COMPUTED_VALUE"""),"")</f>
        <v/>
      </c>
      <c r="Y460" s="141" t="str">
        <f>IFERROR(__xludf.DUMMYFUNCTION("""COMPUTED_VALUE"""),"")</f>
        <v/>
      </c>
    </row>
    <row r="461">
      <c r="C461" s="136" t="str">
        <f t="shared" si="3"/>
        <v/>
      </c>
      <c r="E461" s="106"/>
      <c r="G461" s="106" t="s">
        <v>133</v>
      </c>
      <c r="I461" s="139" t="s">
        <v>133</v>
      </c>
      <c r="J461" s="136" t="s">
        <v>133</v>
      </c>
      <c r="L461" s="136" t="str">
        <f t="shared" si="1"/>
        <v/>
      </c>
      <c r="N461" s="141" t="s">
        <v>133</v>
      </c>
      <c r="O461" s="136" t="str">
        <f>IFERROR(__xludf.DUMMYFUNCTION("""COMPUTED_VALUE"""),"")</f>
        <v/>
      </c>
      <c r="P461" s="136" t="str">
        <f>IFERROR(__xludf.DUMMYFUNCTION("""COMPUTED_VALUE"""),"")</f>
        <v/>
      </c>
      <c r="Q461" s="106" t="str">
        <f>IFERROR(__xludf.DUMMYFUNCTION("""COMPUTED_VALUE"""),"")</f>
        <v/>
      </c>
      <c r="R461" s="106" t="str">
        <f>IFERROR(__xludf.DUMMYFUNCTION("""COMPUTED_VALUE"""),"")</f>
        <v/>
      </c>
      <c r="S461" s="139" t="str">
        <f>IFERROR(__xludf.DUMMYFUNCTION("""COMPUTED_VALUE"""),"")</f>
        <v/>
      </c>
      <c r="T461" s="139" t="str">
        <f>IFERROR(__xludf.DUMMYFUNCTION("""COMPUTED_VALUE"""),"")</f>
        <v/>
      </c>
      <c r="U461" s="136" t="str">
        <f>IFERROR(__xludf.DUMMYFUNCTION("""COMPUTED_VALUE"""),"")</f>
        <v/>
      </c>
      <c r="V461" s="106" t="str">
        <f>IFERROR(__xludf.DUMMYFUNCTION("""COMPUTED_VALUE"""),"")</f>
        <v/>
      </c>
      <c r="W461" s="143" t="str">
        <f t="shared" si="2"/>
        <v/>
      </c>
      <c r="X461" s="139" t="str">
        <f>IFERROR(__xludf.DUMMYFUNCTION("""COMPUTED_VALUE"""),"")</f>
        <v/>
      </c>
      <c r="Y461" s="141" t="str">
        <f>IFERROR(__xludf.DUMMYFUNCTION("""COMPUTED_VALUE"""),"")</f>
        <v/>
      </c>
    </row>
    <row r="462">
      <c r="C462" s="136" t="str">
        <f t="shared" si="3"/>
        <v/>
      </c>
      <c r="E462" s="106"/>
      <c r="G462" s="106" t="s">
        <v>133</v>
      </c>
      <c r="I462" s="139" t="s">
        <v>133</v>
      </c>
      <c r="J462" s="136" t="s">
        <v>133</v>
      </c>
      <c r="L462" s="136" t="str">
        <f t="shared" si="1"/>
        <v/>
      </c>
      <c r="N462" s="141" t="s">
        <v>133</v>
      </c>
      <c r="O462" s="136" t="str">
        <f>IFERROR(__xludf.DUMMYFUNCTION("""COMPUTED_VALUE"""),"")</f>
        <v/>
      </c>
      <c r="P462" s="136" t="str">
        <f>IFERROR(__xludf.DUMMYFUNCTION("""COMPUTED_VALUE"""),"")</f>
        <v/>
      </c>
      <c r="Q462" s="106" t="str">
        <f>IFERROR(__xludf.DUMMYFUNCTION("""COMPUTED_VALUE"""),"")</f>
        <v/>
      </c>
      <c r="R462" s="106" t="str">
        <f>IFERROR(__xludf.DUMMYFUNCTION("""COMPUTED_VALUE"""),"")</f>
        <v/>
      </c>
      <c r="S462" s="139" t="str">
        <f>IFERROR(__xludf.DUMMYFUNCTION("""COMPUTED_VALUE"""),"")</f>
        <v/>
      </c>
      <c r="T462" s="139" t="str">
        <f>IFERROR(__xludf.DUMMYFUNCTION("""COMPUTED_VALUE"""),"")</f>
        <v/>
      </c>
      <c r="U462" s="136" t="str">
        <f>IFERROR(__xludf.DUMMYFUNCTION("""COMPUTED_VALUE"""),"")</f>
        <v/>
      </c>
      <c r="V462" s="106" t="str">
        <f>IFERROR(__xludf.DUMMYFUNCTION("""COMPUTED_VALUE"""),"")</f>
        <v/>
      </c>
      <c r="W462" s="143" t="str">
        <f t="shared" si="2"/>
        <v/>
      </c>
      <c r="X462" s="139" t="str">
        <f>IFERROR(__xludf.DUMMYFUNCTION("""COMPUTED_VALUE"""),"")</f>
        <v/>
      </c>
      <c r="Y462" s="141" t="str">
        <f>IFERROR(__xludf.DUMMYFUNCTION("""COMPUTED_VALUE"""),"")</f>
        <v/>
      </c>
    </row>
    <row r="463">
      <c r="C463" s="136" t="str">
        <f t="shared" si="3"/>
        <v/>
      </c>
      <c r="E463" s="106"/>
      <c r="G463" s="106" t="s">
        <v>133</v>
      </c>
      <c r="I463" s="139" t="s">
        <v>133</v>
      </c>
      <c r="J463" s="136" t="s">
        <v>133</v>
      </c>
      <c r="L463" s="136" t="str">
        <f t="shared" si="1"/>
        <v/>
      </c>
      <c r="N463" s="141" t="s">
        <v>133</v>
      </c>
      <c r="O463" s="136" t="str">
        <f>IFERROR(__xludf.DUMMYFUNCTION("""COMPUTED_VALUE"""),"")</f>
        <v/>
      </c>
      <c r="P463" s="136" t="str">
        <f>IFERROR(__xludf.DUMMYFUNCTION("""COMPUTED_VALUE"""),"")</f>
        <v/>
      </c>
      <c r="Q463" s="106" t="str">
        <f>IFERROR(__xludf.DUMMYFUNCTION("""COMPUTED_VALUE"""),"")</f>
        <v/>
      </c>
      <c r="R463" s="106" t="str">
        <f>IFERROR(__xludf.DUMMYFUNCTION("""COMPUTED_VALUE"""),"")</f>
        <v/>
      </c>
      <c r="S463" s="139" t="str">
        <f>IFERROR(__xludf.DUMMYFUNCTION("""COMPUTED_VALUE"""),"")</f>
        <v/>
      </c>
      <c r="T463" s="139" t="str">
        <f>IFERROR(__xludf.DUMMYFUNCTION("""COMPUTED_VALUE"""),"")</f>
        <v/>
      </c>
      <c r="U463" s="136" t="str">
        <f>IFERROR(__xludf.DUMMYFUNCTION("""COMPUTED_VALUE"""),"")</f>
        <v/>
      </c>
      <c r="V463" s="106" t="str">
        <f>IFERROR(__xludf.DUMMYFUNCTION("""COMPUTED_VALUE"""),"")</f>
        <v/>
      </c>
      <c r="W463" s="143" t="str">
        <f t="shared" si="2"/>
        <v/>
      </c>
      <c r="X463" s="139" t="str">
        <f>IFERROR(__xludf.DUMMYFUNCTION("""COMPUTED_VALUE"""),"")</f>
        <v/>
      </c>
      <c r="Y463" s="141" t="str">
        <f>IFERROR(__xludf.DUMMYFUNCTION("""COMPUTED_VALUE"""),"")</f>
        <v/>
      </c>
    </row>
    <row r="464">
      <c r="C464" s="136" t="str">
        <f t="shared" si="3"/>
        <v/>
      </c>
      <c r="E464" s="106"/>
      <c r="G464" s="106" t="s">
        <v>133</v>
      </c>
      <c r="I464" s="139" t="s">
        <v>133</v>
      </c>
      <c r="J464" s="136" t="s">
        <v>133</v>
      </c>
      <c r="L464" s="136" t="str">
        <f t="shared" si="1"/>
        <v/>
      </c>
      <c r="N464" s="141" t="s">
        <v>133</v>
      </c>
      <c r="O464" s="136" t="str">
        <f>IFERROR(__xludf.DUMMYFUNCTION("""COMPUTED_VALUE"""),"")</f>
        <v/>
      </c>
      <c r="P464" s="136" t="str">
        <f>IFERROR(__xludf.DUMMYFUNCTION("""COMPUTED_VALUE"""),"")</f>
        <v/>
      </c>
      <c r="Q464" s="106" t="str">
        <f>IFERROR(__xludf.DUMMYFUNCTION("""COMPUTED_VALUE"""),"")</f>
        <v/>
      </c>
      <c r="R464" s="106" t="str">
        <f>IFERROR(__xludf.DUMMYFUNCTION("""COMPUTED_VALUE"""),"")</f>
        <v/>
      </c>
      <c r="S464" s="139" t="str">
        <f>IFERROR(__xludf.DUMMYFUNCTION("""COMPUTED_VALUE"""),"")</f>
        <v/>
      </c>
      <c r="T464" s="139" t="str">
        <f>IFERROR(__xludf.DUMMYFUNCTION("""COMPUTED_VALUE"""),"")</f>
        <v/>
      </c>
      <c r="U464" s="136" t="str">
        <f>IFERROR(__xludf.DUMMYFUNCTION("""COMPUTED_VALUE"""),"")</f>
        <v/>
      </c>
      <c r="V464" s="106" t="str">
        <f>IFERROR(__xludf.DUMMYFUNCTION("""COMPUTED_VALUE"""),"")</f>
        <v/>
      </c>
      <c r="W464" s="143" t="str">
        <f t="shared" si="2"/>
        <v/>
      </c>
      <c r="X464" s="139" t="str">
        <f>IFERROR(__xludf.DUMMYFUNCTION("""COMPUTED_VALUE"""),"")</f>
        <v/>
      </c>
      <c r="Y464" s="141" t="str">
        <f>IFERROR(__xludf.DUMMYFUNCTION("""COMPUTED_VALUE"""),"")</f>
        <v/>
      </c>
    </row>
    <row r="465">
      <c r="C465" s="136" t="str">
        <f t="shared" si="3"/>
        <v/>
      </c>
      <c r="E465" s="106"/>
      <c r="G465" s="106" t="s">
        <v>133</v>
      </c>
      <c r="I465" s="139" t="s">
        <v>133</v>
      </c>
      <c r="J465" s="136" t="s">
        <v>133</v>
      </c>
      <c r="L465" s="136" t="str">
        <f t="shared" si="1"/>
        <v/>
      </c>
      <c r="N465" s="141" t="s">
        <v>133</v>
      </c>
      <c r="O465" s="136" t="str">
        <f>IFERROR(__xludf.DUMMYFUNCTION("""COMPUTED_VALUE"""),"")</f>
        <v/>
      </c>
      <c r="P465" s="136" t="str">
        <f>IFERROR(__xludf.DUMMYFUNCTION("""COMPUTED_VALUE"""),"")</f>
        <v/>
      </c>
      <c r="Q465" s="106" t="str">
        <f>IFERROR(__xludf.DUMMYFUNCTION("""COMPUTED_VALUE"""),"")</f>
        <v/>
      </c>
      <c r="R465" s="106" t="str">
        <f>IFERROR(__xludf.DUMMYFUNCTION("""COMPUTED_VALUE"""),"")</f>
        <v/>
      </c>
      <c r="S465" s="139" t="str">
        <f>IFERROR(__xludf.DUMMYFUNCTION("""COMPUTED_VALUE"""),"")</f>
        <v/>
      </c>
      <c r="T465" s="139" t="str">
        <f>IFERROR(__xludf.DUMMYFUNCTION("""COMPUTED_VALUE"""),"")</f>
        <v/>
      </c>
      <c r="U465" s="136" t="str">
        <f>IFERROR(__xludf.DUMMYFUNCTION("""COMPUTED_VALUE"""),"")</f>
        <v/>
      </c>
      <c r="V465" s="106" t="str">
        <f>IFERROR(__xludf.DUMMYFUNCTION("""COMPUTED_VALUE"""),"")</f>
        <v/>
      </c>
      <c r="W465" s="143" t="str">
        <f t="shared" si="2"/>
        <v/>
      </c>
      <c r="X465" s="139" t="str">
        <f>IFERROR(__xludf.DUMMYFUNCTION("""COMPUTED_VALUE"""),"")</f>
        <v/>
      </c>
      <c r="Y465" s="141" t="str">
        <f>IFERROR(__xludf.DUMMYFUNCTION("""COMPUTED_VALUE"""),"")</f>
        <v/>
      </c>
    </row>
    <row r="466">
      <c r="C466" s="136" t="str">
        <f t="shared" si="3"/>
        <v/>
      </c>
      <c r="E466" s="106"/>
      <c r="G466" s="106" t="s">
        <v>133</v>
      </c>
      <c r="I466" s="139" t="s">
        <v>133</v>
      </c>
      <c r="J466" s="136" t="s">
        <v>133</v>
      </c>
      <c r="L466" s="136" t="str">
        <f t="shared" si="1"/>
        <v/>
      </c>
      <c r="N466" s="141" t="s">
        <v>133</v>
      </c>
      <c r="O466" s="136" t="str">
        <f>IFERROR(__xludf.DUMMYFUNCTION("""COMPUTED_VALUE"""),"")</f>
        <v/>
      </c>
      <c r="P466" s="136" t="str">
        <f>IFERROR(__xludf.DUMMYFUNCTION("""COMPUTED_VALUE"""),"")</f>
        <v/>
      </c>
      <c r="Q466" s="106" t="str">
        <f>IFERROR(__xludf.DUMMYFUNCTION("""COMPUTED_VALUE"""),"")</f>
        <v/>
      </c>
      <c r="R466" s="106" t="str">
        <f>IFERROR(__xludf.DUMMYFUNCTION("""COMPUTED_VALUE"""),"")</f>
        <v/>
      </c>
      <c r="S466" s="139" t="str">
        <f>IFERROR(__xludf.DUMMYFUNCTION("""COMPUTED_VALUE"""),"")</f>
        <v/>
      </c>
      <c r="T466" s="139" t="str">
        <f>IFERROR(__xludf.DUMMYFUNCTION("""COMPUTED_VALUE"""),"")</f>
        <v/>
      </c>
      <c r="U466" s="136" t="str">
        <f>IFERROR(__xludf.DUMMYFUNCTION("""COMPUTED_VALUE"""),"")</f>
        <v/>
      </c>
      <c r="V466" s="106" t="str">
        <f>IFERROR(__xludf.DUMMYFUNCTION("""COMPUTED_VALUE"""),"")</f>
        <v/>
      </c>
      <c r="W466" s="143" t="str">
        <f t="shared" si="2"/>
        <v/>
      </c>
      <c r="X466" s="139" t="str">
        <f>IFERROR(__xludf.DUMMYFUNCTION("""COMPUTED_VALUE"""),"")</f>
        <v/>
      </c>
      <c r="Y466" s="141" t="str">
        <f>IFERROR(__xludf.DUMMYFUNCTION("""COMPUTED_VALUE"""),"")</f>
        <v/>
      </c>
    </row>
    <row r="467">
      <c r="C467" s="136" t="str">
        <f t="shared" si="3"/>
        <v/>
      </c>
      <c r="E467" s="106"/>
      <c r="G467" s="106" t="s">
        <v>133</v>
      </c>
      <c r="I467" s="139" t="s">
        <v>133</v>
      </c>
      <c r="J467" s="136" t="s">
        <v>133</v>
      </c>
      <c r="L467" s="136" t="str">
        <f t="shared" si="1"/>
        <v/>
      </c>
      <c r="N467" s="141" t="s">
        <v>133</v>
      </c>
      <c r="O467" s="136" t="str">
        <f>IFERROR(__xludf.DUMMYFUNCTION("""COMPUTED_VALUE"""),"")</f>
        <v/>
      </c>
      <c r="P467" s="136" t="str">
        <f>IFERROR(__xludf.DUMMYFUNCTION("""COMPUTED_VALUE"""),"")</f>
        <v/>
      </c>
      <c r="Q467" s="106" t="str">
        <f>IFERROR(__xludf.DUMMYFUNCTION("""COMPUTED_VALUE"""),"")</f>
        <v/>
      </c>
      <c r="R467" s="106" t="str">
        <f>IFERROR(__xludf.DUMMYFUNCTION("""COMPUTED_VALUE"""),"")</f>
        <v/>
      </c>
      <c r="S467" s="139" t="str">
        <f>IFERROR(__xludf.DUMMYFUNCTION("""COMPUTED_VALUE"""),"")</f>
        <v/>
      </c>
      <c r="T467" s="139" t="str">
        <f>IFERROR(__xludf.DUMMYFUNCTION("""COMPUTED_VALUE"""),"")</f>
        <v/>
      </c>
      <c r="U467" s="136" t="str">
        <f>IFERROR(__xludf.DUMMYFUNCTION("""COMPUTED_VALUE"""),"")</f>
        <v/>
      </c>
      <c r="V467" s="106" t="str">
        <f>IFERROR(__xludf.DUMMYFUNCTION("""COMPUTED_VALUE"""),"")</f>
        <v/>
      </c>
      <c r="W467" s="143" t="str">
        <f t="shared" si="2"/>
        <v/>
      </c>
      <c r="X467" s="139" t="str">
        <f>IFERROR(__xludf.DUMMYFUNCTION("""COMPUTED_VALUE"""),"")</f>
        <v/>
      </c>
      <c r="Y467" s="141" t="str">
        <f>IFERROR(__xludf.DUMMYFUNCTION("""COMPUTED_VALUE"""),"")</f>
        <v/>
      </c>
    </row>
    <row r="468">
      <c r="C468" s="136" t="str">
        <f t="shared" si="3"/>
        <v/>
      </c>
      <c r="E468" s="106"/>
      <c r="G468" s="106" t="s">
        <v>133</v>
      </c>
      <c r="I468" s="139" t="s">
        <v>133</v>
      </c>
      <c r="J468" s="136" t="s">
        <v>133</v>
      </c>
      <c r="L468" s="136" t="str">
        <f t="shared" si="1"/>
        <v/>
      </c>
      <c r="N468" s="141" t="s">
        <v>133</v>
      </c>
      <c r="O468" s="136" t="str">
        <f>IFERROR(__xludf.DUMMYFUNCTION("""COMPUTED_VALUE"""),"")</f>
        <v/>
      </c>
      <c r="P468" s="136" t="str">
        <f>IFERROR(__xludf.DUMMYFUNCTION("""COMPUTED_VALUE"""),"")</f>
        <v/>
      </c>
      <c r="Q468" s="106" t="str">
        <f>IFERROR(__xludf.DUMMYFUNCTION("""COMPUTED_VALUE"""),"")</f>
        <v/>
      </c>
      <c r="R468" s="106" t="str">
        <f>IFERROR(__xludf.DUMMYFUNCTION("""COMPUTED_VALUE"""),"")</f>
        <v/>
      </c>
      <c r="S468" s="139" t="str">
        <f>IFERROR(__xludf.DUMMYFUNCTION("""COMPUTED_VALUE"""),"")</f>
        <v/>
      </c>
      <c r="T468" s="139" t="str">
        <f>IFERROR(__xludf.DUMMYFUNCTION("""COMPUTED_VALUE"""),"")</f>
        <v/>
      </c>
      <c r="U468" s="136" t="str">
        <f>IFERROR(__xludf.DUMMYFUNCTION("""COMPUTED_VALUE"""),"")</f>
        <v/>
      </c>
      <c r="V468" s="106" t="str">
        <f>IFERROR(__xludf.DUMMYFUNCTION("""COMPUTED_VALUE"""),"")</f>
        <v/>
      </c>
      <c r="W468" s="143" t="str">
        <f t="shared" si="2"/>
        <v/>
      </c>
      <c r="X468" s="139" t="str">
        <f>IFERROR(__xludf.DUMMYFUNCTION("""COMPUTED_VALUE"""),"")</f>
        <v/>
      </c>
      <c r="Y468" s="141" t="str">
        <f>IFERROR(__xludf.DUMMYFUNCTION("""COMPUTED_VALUE"""),"")</f>
        <v/>
      </c>
    </row>
    <row r="469">
      <c r="C469" s="136" t="str">
        <f t="shared" si="3"/>
        <v/>
      </c>
      <c r="E469" s="106"/>
      <c r="G469" s="106" t="s">
        <v>133</v>
      </c>
      <c r="I469" s="139" t="s">
        <v>133</v>
      </c>
      <c r="J469" s="136" t="s">
        <v>133</v>
      </c>
      <c r="L469" s="136" t="str">
        <f t="shared" si="1"/>
        <v/>
      </c>
      <c r="N469" s="141" t="s">
        <v>133</v>
      </c>
      <c r="O469" s="136" t="str">
        <f>IFERROR(__xludf.DUMMYFUNCTION("""COMPUTED_VALUE"""),"")</f>
        <v/>
      </c>
      <c r="P469" s="136" t="str">
        <f>IFERROR(__xludf.DUMMYFUNCTION("""COMPUTED_VALUE"""),"")</f>
        <v/>
      </c>
      <c r="Q469" s="106" t="str">
        <f>IFERROR(__xludf.DUMMYFUNCTION("""COMPUTED_VALUE"""),"")</f>
        <v/>
      </c>
      <c r="R469" s="106" t="str">
        <f>IFERROR(__xludf.DUMMYFUNCTION("""COMPUTED_VALUE"""),"")</f>
        <v/>
      </c>
      <c r="S469" s="139" t="str">
        <f>IFERROR(__xludf.DUMMYFUNCTION("""COMPUTED_VALUE"""),"")</f>
        <v/>
      </c>
      <c r="T469" s="139" t="str">
        <f>IFERROR(__xludf.DUMMYFUNCTION("""COMPUTED_VALUE"""),"")</f>
        <v/>
      </c>
      <c r="U469" s="136" t="str">
        <f>IFERROR(__xludf.DUMMYFUNCTION("""COMPUTED_VALUE"""),"")</f>
        <v/>
      </c>
      <c r="V469" s="106" t="str">
        <f>IFERROR(__xludf.DUMMYFUNCTION("""COMPUTED_VALUE"""),"")</f>
        <v/>
      </c>
      <c r="W469" s="143" t="str">
        <f t="shared" si="2"/>
        <v/>
      </c>
      <c r="X469" s="139" t="str">
        <f>IFERROR(__xludf.DUMMYFUNCTION("""COMPUTED_VALUE"""),"")</f>
        <v/>
      </c>
      <c r="Y469" s="141" t="str">
        <f>IFERROR(__xludf.DUMMYFUNCTION("""COMPUTED_VALUE"""),"")</f>
        <v/>
      </c>
    </row>
    <row r="470">
      <c r="C470" s="136" t="str">
        <f t="shared" si="3"/>
        <v/>
      </c>
      <c r="E470" s="106"/>
      <c r="G470" s="106" t="s">
        <v>133</v>
      </c>
      <c r="I470" s="139" t="s">
        <v>133</v>
      </c>
      <c r="J470" s="136" t="s">
        <v>133</v>
      </c>
      <c r="L470" s="136" t="str">
        <f t="shared" si="1"/>
        <v/>
      </c>
      <c r="N470" s="141" t="s">
        <v>133</v>
      </c>
      <c r="O470" s="136" t="str">
        <f>IFERROR(__xludf.DUMMYFUNCTION("""COMPUTED_VALUE"""),"")</f>
        <v/>
      </c>
      <c r="P470" s="136" t="str">
        <f>IFERROR(__xludf.DUMMYFUNCTION("""COMPUTED_VALUE"""),"")</f>
        <v/>
      </c>
      <c r="Q470" s="106" t="str">
        <f>IFERROR(__xludf.DUMMYFUNCTION("""COMPUTED_VALUE"""),"")</f>
        <v/>
      </c>
      <c r="R470" s="106" t="str">
        <f>IFERROR(__xludf.DUMMYFUNCTION("""COMPUTED_VALUE"""),"")</f>
        <v/>
      </c>
      <c r="S470" s="139" t="str">
        <f>IFERROR(__xludf.DUMMYFUNCTION("""COMPUTED_VALUE"""),"")</f>
        <v/>
      </c>
      <c r="T470" s="139" t="str">
        <f>IFERROR(__xludf.DUMMYFUNCTION("""COMPUTED_VALUE"""),"")</f>
        <v/>
      </c>
      <c r="U470" s="136" t="str">
        <f>IFERROR(__xludf.DUMMYFUNCTION("""COMPUTED_VALUE"""),"")</f>
        <v/>
      </c>
      <c r="V470" s="106" t="str">
        <f>IFERROR(__xludf.DUMMYFUNCTION("""COMPUTED_VALUE"""),"")</f>
        <v/>
      </c>
      <c r="W470" s="143" t="str">
        <f t="shared" si="2"/>
        <v/>
      </c>
      <c r="X470" s="139" t="str">
        <f>IFERROR(__xludf.DUMMYFUNCTION("""COMPUTED_VALUE"""),"")</f>
        <v/>
      </c>
      <c r="Y470" s="141" t="str">
        <f>IFERROR(__xludf.DUMMYFUNCTION("""COMPUTED_VALUE"""),"")</f>
        <v/>
      </c>
    </row>
    <row r="471">
      <c r="C471" s="136" t="str">
        <f t="shared" si="3"/>
        <v/>
      </c>
      <c r="E471" s="106"/>
      <c r="G471" s="106" t="s">
        <v>133</v>
      </c>
      <c r="I471" s="139" t="s">
        <v>133</v>
      </c>
      <c r="J471" s="136" t="s">
        <v>133</v>
      </c>
      <c r="L471" s="136" t="str">
        <f t="shared" si="1"/>
        <v/>
      </c>
      <c r="N471" s="141" t="s">
        <v>133</v>
      </c>
      <c r="O471" s="136" t="str">
        <f>IFERROR(__xludf.DUMMYFUNCTION("""COMPUTED_VALUE"""),"")</f>
        <v/>
      </c>
      <c r="P471" s="136" t="str">
        <f>IFERROR(__xludf.DUMMYFUNCTION("""COMPUTED_VALUE"""),"")</f>
        <v/>
      </c>
      <c r="Q471" s="106" t="str">
        <f>IFERROR(__xludf.DUMMYFUNCTION("""COMPUTED_VALUE"""),"")</f>
        <v/>
      </c>
      <c r="R471" s="106" t="str">
        <f>IFERROR(__xludf.DUMMYFUNCTION("""COMPUTED_VALUE"""),"")</f>
        <v/>
      </c>
      <c r="S471" s="139" t="str">
        <f>IFERROR(__xludf.DUMMYFUNCTION("""COMPUTED_VALUE"""),"")</f>
        <v/>
      </c>
      <c r="T471" s="139" t="str">
        <f>IFERROR(__xludf.DUMMYFUNCTION("""COMPUTED_VALUE"""),"")</f>
        <v/>
      </c>
      <c r="U471" s="136" t="str">
        <f>IFERROR(__xludf.DUMMYFUNCTION("""COMPUTED_VALUE"""),"")</f>
        <v/>
      </c>
      <c r="V471" s="106" t="str">
        <f>IFERROR(__xludf.DUMMYFUNCTION("""COMPUTED_VALUE"""),"")</f>
        <v/>
      </c>
      <c r="W471" s="143" t="str">
        <f t="shared" si="2"/>
        <v/>
      </c>
      <c r="X471" s="139" t="str">
        <f>IFERROR(__xludf.DUMMYFUNCTION("""COMPUTED_VALUE"""),"")</f>
        <v/>
      </c>
      <c r="Y471" s="141" t="str">
        <f>IFERROR(__xludf.DUMMYFUNCTION("""COMPUTED_VALUE"""),"")</f>
        <v/>
      </c>
    </row>
    <row r="472">
      <c r="C472" s="136" t="str">
        <f t="shared" si="3"/>
        <v/>
      </c>
      <c r="E472" s="106"/>
      <c r="G472" s="106" t="s">
        <v>133</v>
      </c>
      <c r="I472" s="139" t="s">
        <v>133</v>
      </c>
      <c r="J472" s="136" t="s">
        <v>133</v>
      </c>
      <c r="L472" s="136" t="str">
        <f t="shared" si="1"/>
        <v/>
      </c>
      <c r="N472" s="141" t="s">
        <v>133</v>
      </c>
      <c r="O472" s="136" t="str">
        <f>IFERROR(__xludf.DUMMYFUNCTION("""COMPUTED_VALUE"""),"")</f>
        <v/>
      </c>
      <c r="P472" s="136" t="str">
        <f>IFERROR(__xludf.DUMMYFUNCTION("""COMPUTED_VALUE"""),"")</f>
        <v/>
      </c>
      <c r="Q472" s="106" t="str">
        <f>IFERROR(__xludf.DUMMYFUNCTION("""COMPUTED_VALUE"""),"")</f>
        <v/>
      </c>
      <c r="R472" s="106" t="str">
        <f>IFERROR(__xludf.DUMMYFUNCTION("""COMPUTED_VALUE"""),"")</f>
        <v/>
      </c>
      <c r="S472" s="139" t="str">
        <f>IFERROR(__xludf.DUMMYFUNCTION("""COMPUTED_VALUE"""),"")</f>
        <v/>
      </c>
      <c r="T472" s="139" t="str">
        <f>IFERROR(__xludf.DUMMYFUNCTION("""COMPUTED_VALUE"""),"")</f>
        <v/>
      </c>
      <c r="U472" s="136" t="str">
        <f>IFERROR(__xludf.DUMMYFUNCTION("""COMPUTED_VALUE"""),"")</f>
        <v/>
      </c>
      <c r="V472" s="106" t="str">
        <f>IFERROR(__xludf.DUMMYFUNCTION("""COMPUTED_VALUE"""),"")</f>
        <v/>
      </c>
      <c r="W472" s="143" t="str">
        <f t="shared" si="2"/>
        <v/>
      </c>
      <c r="X472" s="139" t="str">
        <f>IFERROR(__xludf.DUMMYFUNCTION("""COMPUTED_VALUE"""),"")</f>
        <v/>
      </c>
      <c r="Y472" s="141" t="str">
        <f>IFERROR(__xludf.DUMMYFUNCTION("""COMPUTED_VALUE"""),"")</f>
        <v/>
      </c>
    </row>
    <row r="473">
      <c r="C473" s="136" t="str">
        <f t="shared" si="3"/>
        <v/>
      </c>
      <c r="E473" s="106"/>
      <c r="G473" s="106" t="s">
        <v>133</v>
      </c>
      <c r="I473" s="139" t="s">
        <v>133</v>
      </c>
      <c r="J473" s="136" t="s">
        <v>133</v>
      </c>
      <c r="L473" s="136" t="str">
        <f t="shared" si="1"/>
        <v/>
      </c>
      <c r="N473" s="141" t="s">
        <v>133</v>
      </c>
      <c r="O473" s="136" t="str">
        <f>IFERROR(__xludf.DUMMYFUNCTION("""COMPUTED_VALUE"""),"")</f>
        <v/>
      </c>
      <c r="P473" s="136" t="str">
        <f>IFERROR(__xludf.DUMMYFUNCTION("""COMPUTED_VALUE"""),"")</f>
        <v/>
      </c>
      <c r="Q473" s="106" t="str">
        <f>IFERROR(__xludf.DUMMYFUNCTION("""COMPUTED_VALUE"""),"")</f>
        <v/>
      </c>
      <c r="R473" s="106" t="str">
        <f>IFERROR(__xludf.DUMMYFUNCTION("""COMPUTED_VALUE"""),"")</f>
        <v/>
      </c>
      <c r="S473" s="139" t="str">
        <f>IFERROR(__xludf.DUMMYFUNCTION("""COMPUTED_VALUE"""),"")</f>
        <v/>
      </c>
      <c r="T473" s="139" t="str">
        <f>IFERROR(__xludf.DUMMYFUNCTION("""COMPUTED_VALUE"""),"")</f>
        <v/>
      </c>
      <c r="U473" s="136" t="str">
        <f>IFERROR(__xludf.DUMMYFUNCTION("""COMPUTED_VALUE"""),"")</f>
        <v/>
      </c>
      <c r="V473" s="106" t="str">
        <f>IFERROR(__xludf.DUMMYFUNCTION("""COMPUTED_VALUE"""),"")</f>
        <v/>
      </c>
      <c r="W473" s="143" t="str">
        <f t="shared" si="2"/>
        <v/>
      </c>
      <c r="X473" s="139" t="str">
        <f>IFERROR(__xludf.DUMMYFUNCTION("""COMPUTED_VALUE"""),"")</f>
        <v/>
      </c>
      <c r="Y473" s="141" t="str">
        <f>IFERROR(__xludf.DUMMYFUNCTION("""COMPUTED_VALUE"""),"")</f>
        <v/>
      </c>
    </row>
    <row r="474">
      <c r="C474" s="136" t="str">
        <f t="shared" si="3"/>
        <v/>
      </c>
      <c r="E474" s="106"/>
      <c r="G474" s="106" t="s">
        <v>133</v>
      </c>
      <c r="I474" s="139" t="s">
        <v>133</v>
      </c>
      <c r="J474" s="136" t="s">
        <v>133</v>
      </c>
      <c r="L474" s="136" t="str">
        <f t="shared" si="1"/>
        <v/>
      </c>
      <c r="N474" s="141" t="s">
        <v>133</v>
      </c>
      <c r="O474" s="136" t="str">
        <f>IFERROR(__xludf.DUMMYFUNCTION("""COMPUTED_VALUE"""),"")</f>
        <v/>
      </c>
      <c r="P474" s="136" t="str">
        <f>IFERROR(__xludf.DUMMYFUNCTION("""COMPUTED_VALUE"""),"")</f>
        <v/>
      </c>
      <c r="Q474" s="106" t="str">
        <f>IFERROR(__xludf.DUMMYFUNCTION("""COMPUTED_VALUE"""),"")</f>
        <v/>
      </c>
      <c r="R474" s="106" t="str">
        <f>IFERROR(__xludf.DUMMYFUNCTION("""COMPUTED_VALUE"""),"")</f>
        <v/>
      </c>
      <c r="S474" s="139" t="str">
        <f>IFERROR(__xludf.DUMMYFUNCTION("""COMPUTED_VALUE"""),"")</f>
        <v/>
      </c>
      <c r="T474" s="139" t="str">
        <f>IFERROR(__xludf.DUMMYFUNCTION("""COMPUTED_VALUE"""),"")</f>
        <v/>
      </c>
      <c r="U474" s="136" t="str">
        <f>IFERROR(__xludf.DUMMYFUNCTION("""COMPUTED_VALUE"""),"")</f>
        <v/>
      </c>
      <c r="V474" s="106" t="str">
        <f>IFERROR(__xludf.DUMMYFUNCTION("""COMPUTED_VALUE"""),"")</f>
        <v/>
      </c>
      <c r="W474" s="143" t="str">
        <f t="shared" si="2"/>
        <v/>
      </c>
      <c r="X474" s="139" t="str">
        <f>IFERROR(__xludf.DUMMYFUNCTION("""COMPUTED_VALUE"""),"")</f>
        <v/>
      </c>
      <c r="Y474" s="141" t="str">
        <f>IFERROR(__xludf.DUMMYFUNCTION("""COMPUTED_VALUE"""),"")</f>
        <v/>
      </c>
    </row>
    <row r="475">
      <c r="C475" s="136" t="str">
        <f t="shared" si="3"/>
        <v/>
      </c>
      <c r="E475" s="106"/>
      <c r="G475" s="106" t="s">
        <v>133</v>
      </c>
      <c r="I475" s="139" t="s">
        <v>133</v>
      </c>
      <c r="J475" s="136" t="s">
        <v>133</v>
      </c>
      <c r="L475" s="136" t="str">
        <f t="shared" si="1"/>
        <v/>
      </c>
      <c r="N475" s="141" t="s">
        <v>133</v>
      </c>
      <c r="O475" s="136" t="str">
        <f>IFERROR(__xludf.DUMMYFUNCTION("""COMPUTED_VALUE"""),"")</f>
        <v/>
      </c>
      <c r="P475" s="136" t="str">
        <f>IFERROR(__xludf.DUMMYFUNCTION("""COMPUTED_VALUE"""),"")</f>
        <v/>
      </c>
      <c r="Q475" s="106" t="str">
        <f>IFERROR(__xludf.DUMMYFUNCTION("""COMPUTED_VALUE"""),"")</f>
        <v/>
      </c>
      <c r="R475" s="106" t="str">
        <f>IFERROR(__xludf.DUMMYFUNCTION("""COMPUTED_VALUE"""),"")</f>
        <v/>
      </c>
      <c r="S475" s="139" t="str">
        <f>IFERROR(__xludf.DUMMYFUNCTION("""COMPUTED_VALUE"""),"")</f>
        <v/>
      </c>
      <c r="T475" s="139" t="str">
        <f>IFERROR(__xludf.DUMMYFUNCTION("""COMPUTED_VALUE"""),"")</f>
        <v/>
      </c>
      <c r="U475" s="136" t="str">
        <f>IFERROR(__xludf.DUMMYFUNCTION("""COMPUTED_VALUE"""),"")</f>
        <v/>
      </c>
      <c r="V475" s="106" t="str">
        <f>IFERROR(__xludf.DUMMYFUNCTION("""COMPUTED_VALUE"""),"")</f>
        <v/>
      </c>
      <c r="W475" s="143" t="str">
        <f t="shared" si="2"/>
        <v/>
      </c>
      <c r="X475" s="139" t="str">
        <f>IFERROR(__xludf.DUMMYFUNCTION("""COMPUTED_VALUE"""),"")</f>
        <v/>
      </c>
      <c r="Y475" s="141" t="str">
        <f>IFERROR(__xludf.DUMMYFUNCTION("""COMPUTED_VALUE"""),"")</f>
        <v/>
      </c>
    </row>
    <row r="476">
      <c r="C476" s="136" t="str">
        <f t="shared" si="3"/>
        <v/>
      </c>
      <c r="E476" s="106"/>
      <c r="G476" s="106" t="s">
        <v>133</v>
      </c>
      <c r="I476" s="139" t="s">
        <v>133</v>
      </c>
      <c r="J476" s="136" t="s">
        <v>133</v>
      </c>
      <c r="L476" s="136" t="str">
        <f t="shared" si="1"/>
        <v/>
      </c>
      <c r="N476" s="141" t="s">
        <v>133</v>
      </c>
      <c r="O476" s="136" t="str">
        <f>IFERROR(__xludf.DUMMYFUNCTION("""COMPUTED_VALUE"""),"")</f>
        <v/>
      </c>
      <c r="P476" s="136" t="str">
        <f>IFERROR(__xludf.DUMMYFUNCTION("""COMPUTED_VALUE"""),"")</f>
        <v/>
      </c>
      <c r="Q476" s="106" t="str">
        <f>IFERROR(__xludf.DUMMYFUNCTION("""COMPUTED_VALUE"""),"")</f>
        <v/>
      </c>
      <c r="R476" s="106" t="str">
        <f>IFERROR(__xludf.DUMMYFUNCTION("""COMPUTED_VALUE"""),"")</f>
        <v/>
      </c>
      <c r="S476" s="139" t="str">
        <f>IFERROR(__xludf.DUMMYFUNCTION("""COMPUTED_VALUE"""),"")</f>
        <v/>
      </c>
      <c r="T476" s="139" t="str">
        <f>IFERROR(__xludf.DUMMYFUNCTION("""COMPUTED_VALUE"""),"")</f>
        <v/>
      </c>
      <c r="U476" s="136" t="str">
        <f>IFERROR(__xludf.DUMMYFUNCTION("""COMPUTED_VALUE"""),"")</f>
        <v/>
      </c>
      <c r="V476" s="106" t="str">
        <f>IFERROR(__xludf.DUMMYFUNCTION("""COMPUTED_VALUE"""),"")</f>
        <v/>
      </c>
      <c r="W476" s="143" t="str">
        <f t="shared" si="2"/>
        <v/>
      </c>
      <c r="X476" s="139" t="str">
        <f>IFERROR(__xludf.DUMMYFUNCTION("""COMPUTED_VALUE"""),"")</f>
        <v/>
      </c>
      <c r="Y476" s="141" t="str">
        <f>IFERROR(__xludf.DUMMYFUNCTION("""COMPUTED_VALUE"""),"")</f>
        <v/>
      </c>
    </row>
    <row r="477">
      <c r="C477" s="136" t="str">
        <f t="shared" si="3"/>
        <v/>
      </c>
      <c r="E477" s="106"/>
      <c r="G477" s="106" t="s">
        <v>133</v>
      </c>
      <c r="I477" s="139" t="s">
        <v>133</v>
      </c>
      <c r="J477" s="136" t="s">
        <v>133</v>
      </c>
      <c r="L477" s="136" t="str">
        <f t="shared" si="1"/>
        <v/>
      </c>
      <c r="N477" s="141" t="s">
        <v>133</v>
      </c>
      <c r="O477" s="136" t="str">
        <f>IFERROR(__xludf.DUMMYFUNCTION("""COMPUTED_VALUE"""),"")</f>
        <v/>
      </c>
      <c r="P477" s="136" t="str">
        <f>IFERROR(__xludf.DUMMYFUNCTION("""COMPUTED_VALUE"""),"")</f>
        <v/>
      </c>
      <c r="Q477" s="106" t="str">
        <f>IFERROR(__xludf.DUMMYFUNCTION("""COMPUTED_VALUE"""),"")</f>
        <v/>
      </c>
      <c r="R477" s="106" t="str">
        <f>IFERROR(__xludf.DUMMYFUNCTION("""COMPUTED_VALUE"""),"")</f>
        <v/>
      </c>
      <c r="S477" s="139" t="str">
        <f>IFERROR(__xludf.DUMMYFUNCTION("""COMPUTED_VALUE"""),"")</f>
        <v/>
      </c>
      <c r="T477" s="139" t="str">
        <f>IFERROR(__xludf.DUMMYFUNCTION("""COMPUTED_VALUE"""),"")</f>
        <v/>
      </c>
      <c r="U477" s="136" t="str">
        <f>IFERROR(__xludf.DUMMYFUNCTION("""COMPUTED_VALUE"""),"")</f>
        <v/>
      </c>
      <c r="V477" s="106" t="str">
        <f>IFERROR(__xludf.DUMMYFUNCTION("""COMPUTED_VALUE"""),"")</f>
        <v/>
      </c>
      <c r="W477" s="143" t="str">
        <f t="shared" si="2"/>
        <v/>
      </c>
      <c r="X477" s="139" t="str">
        <f>IFERROR(__xludf.DUMMYFUNCTION("""COMPUTED_VALUE"""),"")</f>
        <v/>
      </c>
      <c r="Y477" s="141" t="str">
        <f>IFERROR(__xludf.DUMMYFUNCTION("""COMPUTED_VALUE"""),"")</f>
        <v/>
      </c>
    </row>
    <row r="478">
      <c r="C478" s="136" t="str">
        <f t="shared" si="3"/>
        <v/>
      </c>
      <c r="E478" s="106"/>
      <c r="G478" s="106" t="s">
        <v>133</v>
      </c>
      <c r="I478" s="139" t="s">
        <v>133</v>
      </c>
      <c r="J478" s="136" t="s">
        <v>133</v>
      </c>
      <c r="L478" s="136" t="str">
        <f t="shared" si="1"/>
        <v/>
      </c>
      <c r="N478" s="141" t="s">
        <v>133</v>
      </c>
      <c r="O478" s="136" t="str">
        <f>IFERROR(__xludf.DUMMYFUNCTION("""COMPUTED_VALUE"""),"")</f>
        <v/>
      </c>
      <c r="P478" s="136" t="str">
        <f>IFERROR(__xludf.DUMMYFUNCTION("""COMPUTED_VALUE"""),"")</f>
        <v/>
      </c>
      <c r="Q478" s="106" t="str">
        <f>IFERROR(__xludf.DUMMYFUNCTION("""COMPUTED_VALUE"""),"")</f>
        <v/>
      </c>
      <c r="R478" s="106" t="str">
        <f>IFERROR(__xludf.DUMMYFUNCTION("""COMPUTED_VALUE"""),"")</f>
        <v/>
      </c>
      <c r="S478" s="139" t="str">
        <f>IFERROR(__xludf.DUMMYFUNCTION("""COMPUTED_VALUE"""),"")</f>
        <v/>
      </c>
      <c r="T478" s="139" t="str">
        <f>IFERROR(__xludf.DUMMYFUNCTION("""COMPUTED_VALUE"""),"")</f>
        <v/>
      </c>
      <c r="U478" s="136" t="str">
        <f>IFERROR(__xludf.DUMMYFUNCTION("""COMPUTED_VALUE"""),"")</f>
        <v/>
      </c>
      <c r="V478" s="106" t="str">
        <f>IFERROR(__xludf.DUMMYFUNCTION("""COMPUTED_VALUE"""),"")</f>
        <v/>
      </c>
      <c r="W478" s="143" t="str">
        <f t="shared" si="2"/>
        <v/>
      </c>
      <c r="X478" s="139" t="str">
        <f>IFERROR(__xludf.DUMMYFUNCTION("""COMPUTED_VALUE"""),"")</f>
        <v/>
      </c>
      <c r="Y478" s="141" t="str">
        <f>IFERROR(__xludf.DUMMYFUNCTION("""COMPUTED_VALUE"""),"")</f>
        <v/>
      </c>
    </row>
    <row r="479">
      <c r="C479" s="136" t="str">
        <f t="shared" si="3"/>
        <v/>
      </c>
      <c r="E479" s="106"/>
      <c r="G479" s="106" t="s">
        <v>133</v>
      </c>
      <c r="I479" s="139" t="s">
        <v>133</v>
      </c>
      <c r="J479" s="136" t="s">
        <v>133</v>
      </c>
      <c r="L479" s="136" t="str">
        <f t="shared" si="1"/>
        <v/>
      </c>
      <c r="N479" s="141" t="s">
        <v>133</v>
      </c>
      <c r="O479" s="136" t="str">
        <f>IFERROR(__xludf.DUMMYFUNCTION("""COMPUTED_VALUE"""),"")</f>
        <v/>
      </c>
      <c r="P479" s="136" t="str">
        <f>IFERROR(__xludf.DUMMYFUNCTION("""COMPUTED_VALUE"""),"")</f>
        <v/>
      </c>
      <c r="Q479" s="106" t="str">
        <f>IFERROR(__xludf.DUMMYFUNCTION("""COMPUTED_VALUE"""),"")</f>
        <v/>
      </c>
      <c r="R479" s="106" t="str">
        <f>IFERROR(__xludf.DUMMYFUNCTION("""COMPUTED_VALUE"""),"")</f>
        <v/>
      </c>
      <c r="S479" s="139" t="str">
        <f>IFERROR(__xludf.DUMMYFUNCTION("""COMPUTED_VALUE"""),"")</f>
        <v/>
      </c>
      <c r="T479" s="139" t="str">
        <f>IFERROR(__xludf.DUMMYFUNCTION("""COMPUTED_VALUE"""),"")</f>
        <v/>
      </c>
      <c r="U479" s="136" t="str">
        <f>IFERROR(__xludf.DUMMYFUNCTION("""COMPUTED_VALUE"""),"")</f>
        <v/>
      </c>
      <c r="V479" s="106" t="str">
        <f>IFERROR(__xludf.DUMMYFUNCTION("""COMPUTED_VALUE"""),"")</f>
        <v/>
      </c>
      <c r="W479" s="143" t="str">
        <f t="shared" si="2"/>
        <v/>
      </c>
      <c r="X479" s="139" t="str">
        <f>IFERROR(__xludf.DUMMYFUNCTION("""COMPUTED_VALUE"""),"")</f>
        <v/>
      </c>
      <c r="Y479" s="141" t="str">
        <f>IFERROR(__xludf.DUMMYFUNCTION("""COMPUTED_VALUE"""),"")</f>
        <v/>
      </c>
    </row>
    <row r="480">
      <c r="C480" s="136" t="str">
        <f t="shared" si="3"/>
        <v/>
      </c>
      <c r="E480" s="106"/>
      <c r="G480" s="106" t="s">
        <v>133</v>
      </c>
      <c r="I480" s="139" t="s">
        <v>133</v>
      </c>
      <c r="J480" s="136" t="s">
        <v>133</v>
      </c>
      <c r="L480" s="136" t="str">
        <f t="shared" si="1"/>
        <v/>
      </c>
      <c r="N480" s="141" t="s">
        <v>133</v>
      </c>
      <c r="O480" s="136" t="str">
        <f>IFERROR(__xludf.DUMMYFUNCTION("""COMPUTED_VALUE"""),"")</f>
        <v/>
      </c>
      <c r="P480" s="136" t="str">
        <f>IFERROR(__xludf.DUMMYFUNCTION("""COMPUTED_VALUE"""),"")</f>
        <v/>
      </c>
      <c r="Q480" s="106" t="str">
        <f>IFERROR(__xludf.DUMMYFUNCTION("""COMPUTED_VALUE"""),"")</f>
        <v/>
      </c>
      <c r="R480" s="106" t="str">
        <f>IFERROR(__xludf.DUMMYFUNCTION("""COMPUTED_VALUE"""),"")</f>
        <v/>
      </c>
      <c r="S480" s="139" t="str">
        <f>IFERROR(__xludf.DUMMYFUNCTION("""COMPUTED_VALUE"""),"")</f>
        <v/>
      </c>
      <c r="T480" s="139" t="str">
        <f>IFERROR(__xludf.DUMMYFUNCTION("""COMPUTED_VALUE"""),"")</f>
        <v/>
      </c>
      <c r="U480" s="136" t="str">
        <f>IFERROR(__xludf.DUMMYFUNCTION("""COMPUTED_VALUE"""),"")</f>
        <v/>
      </c>
      <c r="V480" s="106" t="str">
        <f>IFERROR(__xludf.DUMMYFUNCTION("""COMPUTED_VALUE"""),"")</f>
        <v/>
      </c>
      <c r="W480" s="143" t="str">
        <f t="shared" si="2"/>
        <v/>
      </c>
      <c r="X480" s="139" t="str">
        <f>IFERROR(__xludf.DUMMYFUNCTION("""COMPUTED_VALUE"""),"")</f>
        <v/>
      </c>
      <c r="Y480" s="141" t="str">
        <f>IFERROR(__xludf.DUMMYFUNCTION("""COMPUTED_VALUE"""),"")</f>
        <v/>
      </c>
    </row>
    <row r="481">
      <c r="C481" s="136" t="str">
        <f t="shared" si="3"/>
        <v/>
      </c>
      <c r="E481" s="106"/>
      <c r="G481" s="106" t="s">
        <v>133</v>
      </c>
      <c r="I481" s="139" t="s">
        <v>133</v>
      </c>
      <c r="J481" s="136" t="s">
        <v>133</v>
      </c>
      <c r="L481" s="136" t="str">
        <f t="shared" si="1"/>
        <v/>
      </c>
      <c r="N481" s="141" t="s">
        <v>133</v>
      </c>
      <c r="O481" s="136" t="str">
        <f>IFERROR(__xludf.DUMMYFUNCTION("""COMPUTED_VALUE"""),"")</f>
        <v/>
      </c>
      <c r="P481" s="136" t="str">
        <f>IFERROR(__xludf.DUMMYFUNCTION("""COMPUTED_VALUE"""),"")</f>
        <v/>
      </c>
      <c r="Q481" s="106" t="str">
        <f>IFERROR(__xludf.DUMMYFUNCTION("""COMPUTED_VALUE"""),"")</f>
        <v/>
      </c>
      <c r="R481" s="106" t="str">
        <f>IFERROR(__xludf.DUMMYFUNCTION("""COMPUTED_VALUE"""),"")</f>
        <v/>
      </c>
      <c r="S481" s="139" t="str">
        <f>IFERROR(__xludf.DUMMYFUNCTION("""COMPUTED_VALUE"""),"")</f>
        <v/>
      </c>
      <c r="T481" s="139" t="str">
        <f>IFERROR(__xludf.DUMMYFUNCTION("""COMPUTED_VALUE"""),"")</f>
        <v/>
      </c>
      <c r="U481" s="136" t="str">
        <f>IFERROR(__xludf.DUMMYFUNCTION("""COMPUTED_VALUE"""),"")</f>
        <v/>
      </c>
      <c r="V481" s="106" t="str">
        <f>IFERROR(__xludf.DUMMYFUNCTION("""COMPUTED_VALUE"""),"")</f>
        <v/>
      </c>
      <c r="W481" s="143" t="str">
        <f t="shared" si="2"/>
        <v/>
      </c>
      <c r="X481" s="139" t="str">
        <f>IFERROR(__xludf.DUMMYFUNCTION("""COMPUTED_VALUE"""),"")</f>
        <v/>
      </c>
      <c r="Y481" s="141" t="str">
        <f>IFERROR(__xludf.DUMMYFUNCTION("""COMPUTED_VALUE"""),"")</f>
        <v/>
      </c>
    </row>
    <row r="482">
      <c r="C482" s="136" t="str">
        <f t="shared" si="3"/>
        <v/>
      </c>
      <c r="E482" s="106"/>
      <c r="G482" s="106" t="s">
        <v>133</v>
      </c>
      <c r="I482" s="139" t="s">
        <v>133</v>
      </c>
      <c r="J482" s="136" t="s">
        <v>133</v>
      </c>
      <c r="L482" s="136" t="str">
        <f t="shared" si="1"/>
        <v/>
      </c>
      <c r="N482" s="141" t="s">
        <v>133</v>
      </c>
      <c r="O482" s="136" t="str">
        <f>IFERROR(__xludf.DUMMYFUNCTION("""COMPUTED_VALUE"""),"")</f>
        <v/>
      </c>
      <c r="P482" s="136" t="str">
        <f>IFERROR(__xludf.DUMMYFUNCTION("""COMPUTED_VALUE"""),"")</f>
        <v/>
      </c>
      <c r="Q482" s="106" t="str">
        <f>IFERROR(__xludf.DUMMYFUNCTION("""COMPUTED_VALUE"""),"")</f>
        <v/>
      </c>
      <c r="R482" s="106" t="str">
        <f>IFERROR(__xludf.DUMMYFUNCTION("""COMPUTED_VALUE"""),"")</f>
        <v/>
      </c>
      <c r="S482" s="139" t="str">
        <f>IFERROR(__xludf.DUMMYFUNCTION("""COMPUTED_VALUE"""),"")</f>
        <v/>
      </c>
      <c r="T482" s="139" t="str">
        <f>IFERROR(__xludf.DUMMYFUNCTION("""COMPUTED_VALUE"""),"")</f>
        <v/>
      </c>
      <c r="U482" s="136" t="str">
        <f>IFERROR(__xludf.DUMMYFUNCTION("""COMPUTED_VALUE"""),"")</f>
        <v/>
      </c>
      <c r="V482" s="106" t="str">
        <f>IFERROR(__xludf.DUMMYFUNCTION("""COMPUTED_VALUE"""),"")</f>
        <v/>
      </c>
      <c r="W482" s="143" t="str">
        <f t="shared" si="2"/>
        <v/>
      </c>
      <c r="X482" s="139" t="str">
        <f>IFERROR(__xludf.DUMMYFUNCTION("""COMPUTED_VALUE"""),"")</f>
        <v/>
      </c>
      <c r="Y482" s="141" t="str">
        <f>IFERROR(__xludf.DUMMYFUNCTION("""COMPUTED_VALUE"""),"")</f>
        <v/>
      </c>
    </row>
    <row r="483">
      <c r="C483" s="136" t="str">
        <f t="shared" si="3"/>
        <v/>
      </c>
      <c r="E483" s="106"/>
      <c r="G483" s="106" t="s">
        <v>133</v>
      </c>
      <c r="I483" s="139" t="s">
        <v>133</v>
      </c>
      <c r="J483" s="136" t="s">
        <v>133</v>
      </c>
      <c r="L483" s="136" t="str">
        <f t="shared" si="1"/>
        <v/>
      </c>
      <c r="N483" s="141" t="s">
        <v>133</v>
      </c>
      <c r="O483" s="136" t="str">
        <f>IFERROR(__xludf.DUMMYFUNCTION("""COMPUTED_VALUE"""),"")</f>
        <v/>
      </c>
      <c r="P483" s="136" t="str">
        <f>IFERROR(__xludf.DUMMYFUNCTION("""COMPUTED_VALUE"""),"")</f>
        <v/>
      </c>
      <c r="Q483" s="106" t="str">
        <f>IFERROR(__xludf.DUMMYFUNCTION("""COMPUTED_VALUE"""),"")</f>
        <v/>
      </c>
      <c r="R483" s="106" t="str">
        <f>IFERROR(__xludf.DUMMYFUNCTION("""COMPUTED_VALUE"""),"")</f>
        <v/>
      </c>
      <c r="S483" s="139" t="str">
        <f>IFERROR(__xludf.DUMMYFUNCTION("""COMPUTED_VALUE"""),"")</f>
        <v/>
      </c>
      <c r="T483" s="139" t="str">
        <f>IFERROR(__xludf.DUMMYFUNCTION("""COMPUTED_VALUE"""),"")</f>
        <v/>
      </c>
      <c r="U483" s="136" t="str">
        <f>IFERROR(__xludf.DUMMYFUNCTION("""COMPUTED_VALUE"""),"")</f>
        <v/>
      </c>
      <c r="V483" s="106" t="str">
        <f>IFERROR(__xludf.DUMMYFUNCTION("""COMPUTED_VALUE"""),"")</f>
        <v/>
      </c>
      <c r="W483" s="143" t="str">
        <f t="shared" si="2"/>
        <v/>
      </c>
      <c r="X483" s="139" t="str">
        <f>IFERROR(__xludf.DUMMYFUNCTION("""COMPUTED_VALUE"""),"")</f>
        <v/>
      </c>
      <c r="Y483" s="141" t="str">
        <f>IFERROR(__xludf.DUMMYFUNCTION("""COMPUTED_VALUE"""),"")</f>
        <v/>
      </c>
    </row>
    <row r="484">
      <c r="C484" s="136" t="str">
        <f t="shared" si="3"/>
        <v/>
      </c>
      <c r="E484" s="106"/>
      <c r="G484" s="106" t="s">
        <v>133</v>
      </c>
      <c r="I484" s="139" t="s">
        <v>133</v>
      </c>
      <c r="J484" s="136" t="s">
        <v>133</v>
      </c>
      <c r="L484" s="136" t="str">
        <f t="shared" si="1"/>
        <v/>
      </c>
      <c r="N484" s="141" t="s">
        <v>133</v>
      </c>
      <c r="O484" s="136" t="str">
        <f>IFERROR(__xludf.DUMMYFUNCTION("""COMPUTED_VALUE"""),"")</f>
        <v/>
      </c>
      <c r="P484" s="136" t="str">
        <f>IFERROR(__xludf.DUMMYFUNCTION("""COMPUTED_VALUE"""),"")</f>
        <v/>
      </c>
      <c r="Q484" s="106" t="str">
        <f>IFERROR(__xludf.DUMMYFUNCTION("""COMPUTED_VALUE"""),"")</f>
        <v/>
      </c>
      <c r="R484" s="106" t="str">
        <f>IFERROR(__xludf.DUMMYFUNCTION("""COMPUTED_VALUE"""),"")</f>
        <v/>
      </c>
      <c r="S484" s="139" t="str">
        <f>IFERROR(__xludf.DUMMYFUNCTION("""COMPUTED_VALUE"""),"")</f>
        <v/>
      </c>
      <c r="T484" s="139" t="str">
        <f>IFERROR(__xludf.DUMMYFUNCTION("""COMPUTED_VALUE"""),"")</f>
        <v/>
      </c>
      <c r="U484" s="136" t="str">
        <f>IFERROR(__xludf.DUMMYFUNCTION("""COMPUTED_VALUE"""),"")</f>
        <v/>
      </c>
      <c r="V484" s="106" t="str">
        <f>IFERROR(__xludf.DUMMYFUNCTION("""COMPUTED_VALUE"""),"")</f>
        <v/>
      </c>
      <c r="W484" s="143" t="str">
        <f t="shared" si="2"/>
        <v/>
      </c>
      <c r="X484" s="139" t="str">
        <f>IFERROR(__xludf.DUMMYFUNCTION("""COMPUTED_VALUE"""),"")</f>
        <v/>
      </c>
      <c r="Y484" s="141" t="str">
        <f>IFERROR(__xludf.DUMMYFUNCTION("""COMPUTED_VALUE"""),"")</f>
        <v/>
      </c>
    </row>
    <row r="485">
      <c r="C485" s="136" t="str">
        <f t="shared" si="3"/>
        <v/>
      </c>
      <c r="E485" s="106"/>
      <c r="G485" s="106" t="s">
        <v>133</v>
      </c>
      <c r="I485" s="139" t="s">
        <v>133</v>
      </c>
      <c r="J485" s="136" t="s">
        <v>133</v>
      </c>
      <c r="L485" s="136" t="str">
        <f t="shared" si="1"/>
        <v/>
      </c>
      <c r="N485" s="141" t="s">
        <v>133</v>
      </c>
      <c r="O485" s="136" t="str">
        <f>IFERROR(__xludf.DUMMYFUNCTION("""COMPUTED_VALUE"""),"")</f>
        <v/>
      </c>
      <c r="P485" s="136" t="str">
        <f>IFERROR(__xludf.DUMMYFUNCTION("""COMPUTED_VALUE"""),"")</f>
        <v/>
      </c>
      <c r="Q485" s="106" t="str">
        <f>IFERROR(__xludf.DUMMYFUNCTION("""COMPUTED_VALUE"""),"")</f>
        <v/>
      </c>
      <c r="R485" s="106" t="str">
        <f>IFERROR(__xludf.DUMMYFUNCTION("""COMPUTED_VALUE"""),"")</f>
        <v/>
      </c>
      <c r="S485" s="139" t="str">
        <f>IFERROR(__xludf.DUMMYFUNCTION("""COMPUTED_VALUE"""),"")</f>
        <v/>
      </c>
      <c r="T485" s="139" t="str">
        <f>IFERROR(__xludf.DUMMYFUNCTION("""COMPUTED_VALUE"""),"")</f>
        <v/>
      </c>
      <c r="U485" s="136" t="str">
        <f>IFERROR(__xludf.DUMMYFUNCTION("""COMPUTED_VALUE"""),"")</f>
        <v/>
      </c>
      <c r="V485" s="106" t="str">
        <f>IFERROR(__xludf.DUMMYFUNCTION("""COMPUTED_VALUE"""),"")</f>
        <v/>
      </c>
      <c r="W485" s="143" t="str">
        <f t="shared" si="2"/>
        <v/>
      </c>
      <c r="X485" s="139" t="str">
        <f>IFERROR(__xludf.DUMMYFUNCTION("""COMPUTED_VALUE"""),"")</f>
        <v/>
      </c>
      <c r="Y485" s="141" t="str">
        <f>IFERROR(__xludf.DUMMYFUNCTION("""COMPUTED_VALUE"""),"")</f>
        <v/>
      </c>
    </row>
    <row r="486">
      <c r="C486" s="136" t="str">
        <f t="shared" si="3"/>
        <v/>
      </c>
      <c r="E486" s="106"/>
      <c r="G486" s="106" t="s">
        <v>133</v>
      </c>
      <c r="I486" s="139" t="s">
        <v>133</v>
      </c>
      <c r="J486" s="136" t="s">
        <v>133</v>
      </c>
      <c r="L486" s="136" t="str">
        <f t="shared" si="1"/>
        <v/>
      </c>
      <c r="N486" s="141" t="s">
        <v>133</v>
      </c>
      <c r="O486" s="136" t="str">
        <f>IFERROR(__xludf.DUMMYFUNCTION("""COMPUTED_VALUE"""),"")</f>
        <v/>
      </c>
      <c r="P486" s="136" t="str">
        <f>IFERROR(__xludf.DUMMYFUNCTION("""COMPUTED_VALUE"""),"")</f>
        <v/>
      </c>
      <c r="Q486" s="106" t="str">
        <f>IFERROR(__xludf.DUMMYFUNCTION("""COMPUTED_VALUE"""),"")</f>
        <v/>
      </c>
      <c r="R486" s="106" t="str">
        <f>IFERROR(__xludf.DUMMYFUNCTION("""COMPUTED_VALUE"""),"")</f>
        <v/>
      </c>
      <c r="S486" s="139" t="str">
        <f>IFERROR(__xludf.DUMMYFUNCTION("""COMPUTED_VALUE"""),"")</f>
        <v/>
      </c>
      <c r="T486" s="139" t="str">
        <f>IFERROR(__xludf.DUMMYFUNCTION("""COMPUTED_VALUE"""),"")</f>
        <v/>
      </c>
      <c r="U486" s="136" t="str">
        <f>IFERROR(__xludf.DUMMYFUNCTION("""COMPUTED_VALUE"""),"")</f>
        <v/>
      </c>
      <c r="V486" s="106" t="str">
        <f>IFERROR(__xludf.DUMMYFUNCTION("""COMPUTED_VALUE"""),"")</f>
        <v/>
      </c>
      <c r="W486" s="143" t="str">
        <f t="shared" si="2"/>
        <v/>
      </c>
      <c r="X486" s="139" t="str">
        <f>IFERROR(__xludf.DUMMYFUNCTION("""COMPUTED_VALUE"""),"")</f>
        <v/>
      </c>
      <c r="Y486" s="141" t="str">
        <f>IFERROR(__xludf.DUMMYFUNCTION("""COMPUTED_VALUE"""),"")</f>
        <v/>
      </c>
    </row>
    <row r="487">
      <c r="C487" s="136" t="str">
        <f t="shared" si="3"/>
        <v/>
      </c>
      <c r="E487" s="106"/>
      <c r="G487" s="106" t="s">
        <v>133</v>
      </c>
      <c r="I487" s="139" t="s">
        <v>133</v>
      </c>
      <c r="J487" s="136" t="s">
        <v>133</v>
      </c>
      <c r="L487" s="136" t="str">
        <f t="shared" si="1"/>
        <v/>
      </c>
      <c r="N487" s="141" t="s">
        <v>133</v>
      </c>
      <c r="O487" s="136" t="str">
        <f>IFERROR(__xludf.DUMMYFUNCTION("""COMPUTED_VALUE"""),"")</f>
        <v/>
      </c>
      <c r="P487" s="136" t="str">
        <f>IFERROR(__xludf.DUMMYFUNCTION("""COMPUTED_VALUE"""),"")</f>
        <v/>
      </c>
      <c r="Q487" s="106" t="str">
        <f>IFERROR(__xludf.DUMMYFUNCTION("""COMPUTED_VALUE"""),"")</f>
        <v/>
      </c>
      <c r="R487" s="106" t="str">
        <f>IFERROR(__xludf.DUMMYFUNCTION("""COMPUTED_VALUE"""),"")</f>
        <v/>
      </c>
      <c r="S487" s="139" t="str">
        <f>IFERROR(__xludf.DUMMYFUNCTION("""COMPUTED_VALUE"""),"")</f>
        <v/>
      </c>
      <c r="T487" s="139" t="str">
        <f>IFERROR(__xludf.DUMMYFUNCTION("""COMPUTED_VALUE"""),"")</f>
        <v/>
      </c>
      <c r="U487" s="136" t="str">
        <f>IFERROR(__xludf.DUMMYFUNCTION("""COMPUTED_VALUE"""),"")</f>
        <v/>
      </c>
      <c r="V487" s="106" t="str">
        <f>IFERROR(__xludf.DUMMYFUNCTION("""COMPUTED_VALUE"""),"")</f>
        <v/>
      </c>
      <c r="W487" s="143" t="str">
        <f t="shared" si="2"/>
        <v/>
      </c>
      <c r="X487" s="139" t="str">
        <f>IFERROR(__xludf.DUMMYFUNCTION("""COMPUTED_VALUE"""),"")</f>
        <v/>
      </c>
      <c r="Y487" s="141" t="str">
        <f>IFERROR(__xludf.DUMMYFUNCTION("""COMPUTED_VALUE"""),"")</f>
        <v/>
      </c>
    </row>
    <row r="488">
      <c r="C488" s="136" t="str">
        <f t="shared" si="3"/>
        <v/>
      </c>
      <c r="E488" s="106"/>
      <c r="G488" s="106" t="s">
        <v>133</v>
      </c>
      <c r="I488" s="139" t="s">
        <v>133</v>
      </c>
      <c r="J488" s="136" t="s">
        <v>133</v>
      </c>
      <c r="L488" s="136" t="str">
        <f t="shared" si="1"/>
        <v/>
      </c>
      <c r="N488" s="141" t="s">
        <v>133</v>
      </c>
      <c r="O488" s="136" t="str">
        <f>IFERROR(__xludf.DUMMYFUNCTION("""COMPUTED_VALUE"""),"")</f>
        <v/>
      </c>
      <c r="P488" s="136" t="str">
        <f>IFERROR(__xludf.DUMMYFUNCTION("""COMPUTED_VALUE"""),"")</f>
        <v/>
      </c>
      <c r="Q488" s="106" t="str">
        <f>IFERROR(__xludf.DUMMYFUNCTION("""COMPUTED_VALUE"""),"")</f>
        <v/>
      </c>
      <c r="R488" s="106" t="str">
        <f>IFERROR(__xludf.DUMMYFUNCTION("""COMPUTED_VALUE"""),"")</f>
        <v/>
      </c>
      <c r="S488" s="139" t="str">
        <f>IFERROR(__xludf.DUMMYFUNCTION("""COMPUTED_VALUE"""),"")</f>
        <v/>
      </c>
      <c r="T488" s="139" t="str">
        <f>IFERROR(__xludf.DUMMYFUNCTION("""COMPUTED_VALUE"""),"")</f>
        <v/>
      </c>
      <c r="U488" s="136" t="str">
        <f>IFERROR(__xludf.DUMMYFUNCTION("""COMPUTED_VALUE"""),"")</f>
        <v/>
      </c>
      <c r="V488" s="106" t="str">
        <f>IFERROR(__xludf.DUMMYFUNCTION("""COMPUTED_VALUE"""),"")</f>
        <v/>
      </c>
      <c r="W488" s="143" t="str">
        <f t="shared" si="2"/>
        <v/>
      </c>
      <c r="X488" s="139" t="str">
        <f>IFERROR(__xludf.DUMMYFUNCTION("""COMPUTED_VALUE"""),"")</f>
        <v/>
      </c>
      <c r="Y488" s="141" t="str">
        <f>IFERROR(__xludf.DUMMYFUNCTION("""COMPUTED_VALUE"""),"")</f>
        <v/>
      </c>
    </row>
    <row r="489">
      <c r="C489" s="136" t="str">
        <f t="shared" si="3"/>
        <v/>
      </c>
      <c r="E489" s="106"/>
      <c r="G489" s="106" t="s">
        <v>133</v>
      </c>
      <c r="I489" s="139" t="s">
        <v>133</v>
      </c>
      <c r="J489" s="136" t="s">
        <v>133</v>
      </c>
      <c r="L489" s="136" t="str">
        <f t="shared" si="1"/>
        <v/>
      </c>
      <c r="N489" s="141" t="s">
        <v>133</v>
      </c>
      <c r="O489" s="136" t="str">
        <f>IFERROR(__xludf.DUMMYFUNCTION("""COMPUTED_VALUE"""),"")</f>
        <v/>
      </c>
      <c r="P489" s="136" t="str">
        <f>IFERROR(__xludf.DUMMYFUNCTION("""COMPUTED_VALUE"""),"")</f>
        <v/>
      </c>
      <c r="Q489" s="106" t="str">
        <f>IFERROR(__xludf.DUMMYFUNCTION("""COMPUTED_VALUE"""),"")</f>
        <v/>
      </c>
      <c r="R489" s="106" t="str">
        <f>IFERROR(__xludf.DUMMYFUNCTION("""COMPUTED_VALUE"""),"")</f>
        <v/>
      </c>
      <c r="S489" s="139" t="str">
        <f>IFERROR(__xludf.DUMMYFUNCTION("""COMPUTED_VALUE"""),"")</f>
        <v/>
      </c>
      <c r="T489" s="139" t="str">
        <f>IFERROR(__xludf.DUMMYFUNCTION("""COMPUTED_VALUE"""),"")</f>
        <v/>
      </c>
      <c r="U489" s="136" t="str">
        <f>IFERROR(__xludf.DUMMYFUNCTION("""COMPUTED_VALUE"""),"")</f>
        <v/>
      </c>
      <c r="V489" s="106" t="str">
        <f>IFERROR(__xludf.DUMMYFUNCTION("""COMPUTED_VALUE"""),"")</f>
        <v/>
      </c>
      <c r="W489" s="143" t="str">
        <f t="shared" si="2"/>
        <v/>
      </c>
      <c r="X489" s="139" t="str">
        <f>IFERROR(__xludf.DUMMYFUNCTION("""COMPUTED_VALUE"""),"")</f>
        <v/>
      </c>
      <c r="Y489" s="141" t="str">
        <f>IFERROR(__xludf.DUMMYFUNCTION("""COMPUTED_VALUE"""),"")</f>
        <v/>
      </c>
    </row>
    <row r="490">
      <c r="C490" s="136" t="str">
        <f t="shared" si="3"/>
        <v/>
      </c>
      <c r="E490" s="106"/>
      <c r="G490" s="106" t="s">
        <v>133</v>
      </c>
      <c r="I490" s="139" t="s">
        <v>133</v>
      </c>
      <c r="J490" s="136" t="s">
        <v>133</v>
      </c>
      <c r="L490" s="136" t="str">
        <f t="shared" si="1"/>
        <v/>
      </c>
      <c r="N490" s="141" t="s">
        <v>133</v>
      </c>
      <c r="O490" s="136" t="str">
        <f>IFERROR(__xludf.DUMMYFUNCTION("""COMPUTED_VALUE"""),"")</f>
        <v/>
      </c>
      <c r="P490" s="136" t="str">
        <f>IFERROR(__xludf.DUMMYFUNCTION("""COMPUTED_VALUE"""),"")</f>
        <v/>
      </c>
      <c r="Q490" s="106" t="str">
        <f>IFERROR(__xludf.DUMMYFUNCTION("""COMPUTED_VALUE"""),"")</f>
        <v/>
      </c>
      <c r="R490" s="106" t="str">
        <f>IFERROR(__xludf.DUMMYFUNCTION("""COMPUTED_VALUE"""),"")</f>
        <v/>
      </c>
      <c r="S490" s="139" t="str">
        <f>IFERROR(__xludf.DUMMYFUNCTION("""COMPUTED_VALUE"""),"")</f>
        <v/>
      </c>
      <c r="T490" s="139" t="str">
        <f>IFERROR(__xludf.DUMMYFUNCTION("""COMPUTED_VALUE"""),"")</f>
        <v/>
      </c>
      <c r="U490" s="136" t="str">
        <f>IFERROR(__xludf.DUMMYFUNCTION("""COMPUTED_VALUE"""),"")</f>
        <v/>
      </c>
      <c r="V490" s="106" t="str">
        <f>IFERROR(__xludf.DUMMYFUNCTION("""COMPUTED_VALUE"""),"")</f>
        <v/>
      </c>
      <c r="W490" s="143" t="str">
        <f t="shared" si="2"/>
        <v/>
      </c>
      <c r="X490" s="139" t="str">
        <f>IFERROR(__xludf.DUMMYFUNCTION("""COMPUTED_VALUE"""),"")</f>
        <v/>
      </c>
      <c r="Y490" s="141" t="str">
        <f>IFERROR(__xludf.DUMMYFUNCTION("""COMPUTED_VALUE"""),"")</f>
        <v/>
      </c>
    </row>
    <row r="491">
      <c r="C491" s="136" t="str">
        <f t="shared" si="3"/>
        <v/>
      </c>
      <c r="E491" s="106"/>
      <c r="G491" s="106" t="s">
        <v>133</v>
      </c>
      <c r="I491" s="139" t="s">
        <v>133</v>
      </c>
      <c r="J491" s="136" t="s">
        <v>133</v>
      </c>
      <c r="L491" s="136" t="str">
        <f t="shared" si="1"/>
        <v/>
      </c>
      <c r="N491" s="141" t="s">
        <v>133</v>
      </c>
      <c r="O491" s="136" t="str">
        <f>IFERROR(__xludf.DUMMYFUNCTION("""COMPUTED_VALUE"""),"")</f>
        <v/>
      </c>
      <c r="P491" s="136" t="str">
        <f>IFERROR(__xludf.DUMMYFUNCTION("""COMPUTED_VALUE"""),"")</f>
        <v/>
      </c>
      <c r="Q491" s="106" t="str">
        <f>IFERROR(__xludf.DUMMYFUNCTION("""COMPUTED_VALUE"""),"")</f>
        <v/>
      </c>
      <c r="R491" s="106" t="str">
        <f>IFERROR(__xludf.DUMMYFUNCTION("""COMPUTED_VALUE"""),"")</f>
        <v/>
      </c>
      <c r="S491" s="139" t="str">
        <f>IFERROR(__xludf.DUMMYFUNCTION("""COMPUTED_VALUE"""),"")</f>
        <v/>
      </c>
      <c r="T491" s="139" t="str">
        <f>IFERROR(__xludf.DUMMYFUNCTION("""COMPUTED_VALUE"""),"")</f>
        <v/>
      </c>
      <c r="U491" s="136" t="str">
        <f>IFERROR(__xludf.DUMMYFUNCTION("""COMPUTED_VALUE"""),"")</f>
        <v/>
      </c>
      <c r="V491" s="106" t="str">
        <f>IFERROR(__xludf.DUMMYFUNCTION("""COMPUTED_VALUE"""),"")</f>
        <v/>
      </c>
      <c r="W491" s="143" t="str">
        <f t="shared" si="2"/>
        <v/>
      </c>
      <c r="X491" s="139" t="str">
        <f>IFERROR(__xludf.DUMMYFUNCTION("""COMPUTED_VALUE"""),"")</f>
        <v/>
      </c>
      <c r="Y491" s="141" t="str">
        <f>IFERROR(__xludf.DUMMYFUNCTION("""COMPUTED_VALUE"""),"")</f>
        <v/>
      </c>
    </row>
    <row r="492">
      <c r="C492" s="136" t="str">
        <f t="shared" si="3"/>
        <v/>
      </c>
      <c r="E492" s="106"/>
      <c r="G492" s="106" t="s">
        <v>133</v>
      </c>
      <c r="I492" s="139" t="s">
        <v>133</v>
      </c>
      <c r="J492" s="136" t="s">
        <v>133</v>
      </c>
      <c r="L492" s="136" t="str">
        <f t="shared" si="1"/>
        <v/>
      </c>
      <c r="N492" s="141" t="s">
        <v>133</v>
      </c>
      <c r="O492" s="136" t="str">
        <f>IFERROR(__xludf.DUMMYFUNCTION("""COMPUTED_VALUE"""),"")</f>
        <v/>
      </c>
      <c r="P492" s="136" t="str">
        <f>IFERROR(__xludf.DUMMYFUNCTION("""COMPUTED_VALUE"""),"")</f>
        <v/>
      </c>
      <c r="Q492" s="106" t="str">
        <f>IFERROR(__xludf.DUMMYFUNCTION("""COMPUTED_VALUE"""),"")</f>
        <v/>
      </c>
      <c r="R492" s="106" t="str">
        <f>IFERROR(__xludf.DUMMYFUNCTION("""COMPUTED_VALUE"""),"")</f>
        <v/>
      </c>
      <c r="S492" s="139" t="str">
        <f>IFERROR(__xludf.DUMMYFUNCTION("""COMPUTED_VALUE"""),"")</f>
        <v/>
      </c>
      <c r="T492" s="139" t="str">
        <f>IFERROR(__xludf.DUMMYFUNCTION("""COMPUTED_VALUE"""),"")</f>
        <v/>
      </c>
      <c r="U492" s="136" t="str">
        <f>IFERROR(__xludf.DUMMYFUNCTION("""COMPUTED_VALUE"""),"")</f>
        <v/>
      </c>
      <c r="V492" s="106" t="str">
        <f>IFERROR(__xludf.DUMMYFUNCTION("""COMPUTED_VALUE"""),"")</f>
        <v/>
      </c>
      <c r="W492" s="143" t="str">
        <f t="shared" si="2"/>
        <v/>
      </c>
      <c r="X492" s="139" t="str">
        <f>IFERROR(__xludf.DUMMYFUNCTION("""COMPUTED_VALUE"""),"")</f>
        <v/>
      </c>
      <c r="Y492" s="141" t="str">
        <f>IFERROR(__xludf.DUMMYFUNCTION("""COMPUTED_VALUE"""),"")</f>
        <v/>
      </c>
    </row>
    <row r="493">
      <c r="C493" s="136" t="str">
        <f t="shared" si="3"/>
        <v/>
      </c>
      <c r="E493" s="106"/>
      <c r="G493" s="106" t="s">
        <v>133</v>
      </c>
      <c r="I493" s="139" t="s">
        <v>133</v>
      </c>
      <c r="J493" s="136" t="s">
        <v>133</v>
      </c>
      <c r="L493" s="136" t="str">
        <f t="shared" si="1"/>
        <v/>
      </c>
      <c r="N493" s="141" t="s">
        <v>133</v>
      </c>
      <c r="O493" s="136" t="str">
        <f>IFERROR(__xludf.DUMMYFUNCTION("""COMPUTED_VALUE"""),"")</f>
        <v/>
      </c>
      <c r="P493" s="136" t="str">
        <f>IFERROR(__xludf.DUMMYFUNCTION("""COMPUTED_VALUE"""),"")</f>
        <v/>
      </c>
      <c r="Q493" s="106" t="str">
        <f>IFERROR(__xludf.DUMMYFUNCTION("""COMPUTED_VALUE"""),"")</f>
        <v/>
      </c>
      <c r="R493" s="106" t="str">
        <f>IFERROR(__xludf.DUMMYFUNCTION("""COMPUTED_VALUE"""),"")</f>
        <v/>
      </c>
      <c r="S493" s="139" t="str">
        <f>IFERROR(__xludf.DUMMYFUNCTION("""COMPUTED_VALUE"""),"")</f>
        <v/>
      </c>
      <c r="T493" s="139" t="str">
        <f>IFERROR(__xludf.DUMMYFUNCTION("""COMPUTED_VALUE"""),"")</f>
        <v/>
      </c>
      <c r="U493" s="136" t="str">
        <f>IFERROR(__xludf.DUMMYFUNCTION("""COMPUTED_VALUE"""),"")</f>
        <v/>
      </c>
      <c r="V493" s="106" t="str">
        <f>IFERROR(__xludf.DUMMYFUNCTION("""COMPUTED_VALUE"""),"")</f>
        <v/>
      </c>
      <c r="W493" s="143" t="str">
        <f t="shared" si="2"/>
        <v/>
      </c>
      <c r="X493" s="139" t="str">
        <f>IFERROR(__xludf.DUMMYFUNCTION("""COMPUTED_VALUE"""),"")</f>
        <v/>
      </c>
      <c r="Y493" s="141" t="str">
        <f>IFERROR(__xludf.DUMMYFUNCTION("""COMPUTED_VALUE"""),"")</f>
        <v/>
      </c>
    </row>
    <row r="494">
      <c r="C494" s="136" t="str">
        <f t="shared" si="3"/>
        <v/>
      </c>
      <c r="E494" s="106"/>
      <c r="G494" s="106" t="s">
        <v>133</v>
      </c>
      <c r="I494" s="139" t="s">
        <v>133</v>
      </c>
      <c r="J494" s="136" t="s">
        <v>133</v>
      </c>
      <c r="L494" s="136" t="str">
        <f t="shared" si="1"/>
        <v/>
      </c>
      <c r="N494" s="141" t="s">
        <v>133</v>
      </c>
      <c r="O494" s="136" t="str">
        <f>IFERROR(__xludf.DUMMYFUNCTION("""COMPUTED_VALUE"""),"")</f>
        <v/>
      </c>
      <c r="P494" s="136" t="str">
        <f>IFERROR(__xludf.DUMMYFUNCTION("""COMPUTED_VALUE"""),"")</f>
        <v/>
      </c>
      <c r="Q494" s="106" t="str">
        <f>IFERROR(__xludf.DUMMYFUNCTION("""COMPUTED_VALUE"""),"")</f>
        <v/>
      </c>
      <c r="R494" s="106" t="str">
        <f>IFERROR(__xludf.DUMMYFUNCTION("""COMPUTED_VALUE"""),"")</f>
        <v/>
      </c>
      <c r="S494" s="139" t="str">
        <f>IFERROR(__xludf.DUMMYFUNCTION("""COMPUTED_VALUE"""),"")</f>
        <v/>
      </c>
      <c r="T494" s="139" t="str">
        <f>IFERROR(__xludf.DUMMYFUNCTION("""COMPUTED_VALUE"""),"")</f>
        <v/>
      </c>
      <c r="U494" s="136" t="str">
        <f>IFERROR(__xludf.DUMMYFUNCTION("""COMPUTED_VALUE"""),"")</f>
        <v/>
      </c>
      <c r="V494" s="106" t="str">
        <f>IFERROR(__xludf.DUMMYFUNCTION("""COMPUTED_VALUE"""),"")</f>
        <v/>
      </c>
      <c r="W494" s="143" t="str">
        <f t="shared" si="2"/>
        <v/>
      </c>
      <c r="X494" s="139" t="str">
        <f>IFERROR(__xludf.DUMMYFUNCTION("""COMPUTED_VALUE"""),"")</f>
        <v/>
      </c>
      <c r="Y494" s="141" t="str">
        <f>IFERROR(__xludf.DUMMYFUNCTION("""COMPUTED_VALUE"""),"")</f>
        <v/>
      </c>
    </row>
    <row r="495">
      <c r="C495" s="136" t="str">
        <f t="shared" si="3"/>
        <v/>
      </c>
      <c r="E495" s="106"/>
      <c r="G495" s="106" t="s">
        <v>133</v>
      </c>
      <c r="I495" s="139" t="s">
        <v>133</v>
      </c>
      <c r="J495" s="136" t="s">
        <v>133</v>
      </c>
      <c r="L495" s="136" t="str">
        <f t="shared" si="1"/>
        <v/>
      </c>
      <c r="N495" s="141" t="s">
        <v>133</v>
      </c>
      <c r="O495" s="136" t="str">
        <f>IFERROR(__xludf.DUMMYFUNCTION("""COMPUTED_VALUE"""),"")</f>
        <v/>
      </c>
      <c r="P495" s="136" t="str">
        <f>IFERROR(__xludf.DUMMYFUNCTION("""COMPUTED_VALUE"""),"")</f>
        <v/>
      </c>
      <c r="Q495" s="106" t="str">
        <f>IFERROR(__xludf.DUMMYFUNCTION("""COMPUTED_VALUE"""),"")</f>
        <v/>
      </c>
      <c r="R495" s="106" t="str">
        <f>IFERROR(__xludf.DUMMYFUNCTION("""COMPUTED_VALUE"""),"")</f>
        <v/>
      </c>
      <c r="S495" s="139" t="str">
        <f>IFERROR(__xludf.DUMMYFUNCTION("""COMPUTED_VALUE"""),"")</f>
        <v/>
      </c>
      <c r="T495" s="139" t="str">
        <f>IFERROR(__xludf.DUMMYFUNCTION("""COMPUTED_VALUE"""),"")</f>
        <v/>
      </c>
      <c r="U495" s="136" t="str">
        <f>IFERROR(__xludf.DUMMYFUNCTION("""COMPUTED_VALUE"""),"")</f>
        <v/>
      </c>
      <c r="V495" s="106" t="str">
        <f>IFERROR(__xludf.DUMMYFUNCTION("""COMPUTED_VALUE"""),"")</f>
        <v/>
      </c>
      <c r="W495" s="143" t="str">
        <f t="shared" si="2"/>
        <v/>
      </c>
      <c r="X495" s="139" t="str">
        <f>IFERROR(__xludf.DUMMYFUNCTION("""COMPUTED_VALUE"""),"")</f>
        <v/>
      </c>
      <c r="Y495" s="141" t="str">
        <f>IFERROR(__xludf.DUMMYFUNCTION("""COMPUTED_VALUE"""),"")</f>
        <v/>
      </c>
    </row>
    <row r="496">
      <c r="C496" s="136" t="str">
        <f t="shared" si="3"/>
        <v/>
      </c>
      <c r="E496" s="106"/>
      <c r="G496" s="106" t="s">
        <v>133</v>
      </c>
      <c r="I496" s="139" t="s">
        <v>133</v>
      </c>
      <c r="J496" s="136" t="s">
        <v>133</v>
      </c>
      <c r="L496" s="136" t="str">
        <f t="shared" si="1"/>
        <v/>
      </c>
      <c r="N496" s="141" t="s">
        <v>133</v>
      </c>
      <c r="O496" s="136" t="str">
        <f>IFERROR(__xludf.DUMMYFUNCTION("""COMPUTED_VALUE"""),"")</f>
        <v/>
      </c>
      <c r="P496" s="136" t="str">
        <f>IFERROR(__xludf.DUMMYFUNCTION("""COMPUTED_VALUE"""),"")</f>
        <v/>
      </c>
      <c r="Q496" s="106" t="str">
        <f>IFERROR(__xludf.DUMMYFUNCTION("""COMPUTED_VALUE"""),"")</f>
        <v/>
      </c>
      <c r="R496" s="106" t="str">
        <f>IFERROR(__xludf.DUMMYFUNCTION("""COMPUTED_VALUE"""),"")</f>
        <v/>
      </c>
      <c r="S496" s="139" t="str">
        <f>IFERROR(__xludf.DUMMYFUNCTION("""COMPUTED_VALUE"""),"")</f>
        <v/>
      </c>
      <c r="T496" s="139" t="str">
        <f>IFERROR(__xludf.DUMMYFUNCTION("""COMPUTED_VALUE"""),"")</f>
        <v/>
      </c>
      <c r="U496" s="136" t="str">
        <f>IFERROR(__xludf.DUMMYFUNCTION("""COMPUTED_VALUE"""),"")</f>
        <v/>
      </c>
      <c r="V496" s="106" t="str">
        <f>IFERROR(__xludf.DUMMYFUNCTION("""COMPUTED_VALUE"""),"")</f>
        <v/>
      </c>
      <c r="W496" s="143" t="str">
        <f t="shared" si="2"/>
        <v/>
      </c>
      <c r="X496" s="139" t="str">
        <f>IFERROR(__xludf.DUMMYFUNCTION("""COMPUTED_VALUE"""),"")</f>
        <v/>
      </c>
      <c r="Y496" s="141" t="str">
        <f>IFERROR(__xludf.DUMMYFUNCTION("""COMPUTED_VALUE"""),"")</f>
        <v/>
      </c>
    </row>
    <row r="497">
      <c r="C497" s="136" t="str">
        <f t="shared" si="3"/>
        <v/>
      </c>
      <c r="E497" s="106"/>
      <c r="G497" s="106" t="s">
        <v>133</v>
      </c>
      <c r="I497" s="139" t="s">
        <v>133</v>
      </c>
      <c r="J497" s="136" t="s">
        <v>133</v>
      </c>
      <c r="L497" s="136" t="str">
        <f t="shared" si="1"/>
        <v/>
      </c>
      <c r="N497" s="141" t="s">
        <v>133</v>
      </c>
      <c r="O497" s="136" t="str">
        <f>IFERROR(__xludf.DUMMYFUNCTION("""COMPUTED_VALUE"""),"")</f>
        <v/>
      </c>
      <c r="P497" s="136" t="str">
        <f>IFERROR(__xludf.DUMMYFUNCTION("""COMPUTED_VALUE"""),"")</f>
        <v/>
      </c>
      <c r="Q497" s="106" t="str">
        <f>IFERROR(__xludf.DUMMYFUNCTION("""COMPUTED_VALUE"""),"")</f>
        <v/>
      </c>
      <c r="R497" s="106" t="str">
        <f>IFERROR(__xludf.DUMMYFUNCTION("""COMPUTED_VALUE"""),"")</f>
        <v/>
      </c>
      <c r="S497" s="139" t="str">
        <f>IFERROR(__xludf.DUMMYFUNCTION("""COMPUTED_VALUE"""),"")</f>
        <v/>
      </c>
      <c r="T497" s="139" t="str">
        <f>IFERROR(__xludf.DUMMYFUNCTION("""COMPUTED_VALUE"""),"")</f>
        <v/>
      </c>
      <c r="U497" s="136" t="str">
        <f>IFERROR(__xludf.DUMMYFUNCTION("""COMPUTED_VALUE"""),"")</f>
        <v/>
      </c>
      <c r="V497" s="106" t="str">
        <f>IFERROR(__xludf.DUMMYFUNCTION("""COMPUTED_VALUE"""),"")</f>
        <v/>
      </c>
      <c r="W497" s="143" t="str">
        <f t="shared" si="2"/>
        <v/>
      </c>
      <c r="X497" s="139" t="str">
        <f>IFERROR(__xludf.DUMMYFUNCTION("""COMPUTED_VALUE"""),"")</f>
        <v/>
      </c>
      <c r="Y497" s="141" t="str">
        <f>IFERROR(__xludf.DUMMYFUNCTION("""COMPUTED_VALUE"""),"")</f>
        <v/>
      </c>
    </row>
    <row r="498">
      <c r="C498" s="136" t="str">
        <f t="shared" si="3"/>
        <v/>
      </c>
      <c r="E498" s="106"/>
      <c r="G498" s="106" t="s">
        <v>133</v>
      </c>
      <c r="I498" s="139" t="s">
        <v>133</v>
      </c>
      <c r="J498" s="136" t="s">
        <v>133</v>
      </c>
      <c r="L498" s="136" t="str">
        <f t="shared" si="1"/>
        <v/>
      </c>
      <c r="N498" s="141" t="s">
        <v>133</v>
      </c>
      <c r="O498" s="136" t="str">
        <f>IFERROR(__xludf.DUMMYFUNCTION("""COMPUTED_VALUE"""),"")</f>
        <v/>
      </c>
      <c r="P498" s="136" t="str">
        <f>IFERROR(__xludf.DUMMYFUNCTION("""COMPUTED_VALUE"""),"")</f>
        <v/>
      </c>
      <c r="Q498" s="106" t="str">
        <f>IFERROR(__xludf.DUMMYFUNCTION("""COMPUTED_VALUE"""),"")</f>
        <v/>
      </c>
      <c r="R498" s="106" t="str">
        <f>IFERROR(__xludf.DUMMYFUNCTION("""COMPUTED_VALUE"""),"")</f>
        <v/>
      </c>
      <c r="S498" s="139" t="str">
        <f>IFERROR(__xludf.DUMMYFUNCTION("""COMPUTED_VALUE"""),"")</f>
        <v/>
      </c>
      <c r="T498" s="139" t="str">
        <f>IFERROR(__xludf.DUMMYFUNCTION("""COMPUTED_VALUE"""),"")</f>
        <v/>
      </c>
      <c r="U498" s="136" t="str">
        <f>IFERROR(__xludf.DUMMYFUNCTION("""COMPUTED_VALUE"""),"")</f>
        <v/>
      </c>
      <c r="V498" s="106" t="str">
        <f>IFERROR(__xludf.DUMMYFUNCTION("""COMPUTED_VALUE"""),"")</f>
        <v/>
      </c>
      <c r="W498" s="143" t="str">
        <f t="shared" si="2"/>
        <v/>
      </c>
      <c r="X498" s="139" t="str">
        <f>IFERROR(__xludf.DUMMYFUNCTION("""COMPUTED_VALUE"""),"")</f>
        <v/>
      </c>
      <c r="Y498" s="141" t="str">
        <f>IFERROR(__xludf.DUMMYFUNCTION("""COMPUTED_VALUE"""),"")</f>
        <v/>
      </c>
    </row>
    <row r="499">
      <c r="C499" s="136" t="str">
        <f t="shared" si="3"/>
        <v/>
      </c>
      <c r="E499" s="106"/>
      <c r="G499" s="106" t="s">
        <v>133</v>
      </c>
      <c r="I499" s="139" t="s">
        <v>133</v>
      </c>
      <c r="J499" s="136" t="s">
        <v>133</v>
      </c>
      <c r="L499" s="136" t="str">
        <f t="shared" si="1"/>
        <v/>
      </c>
      <c r="N499" s="141" t="s">
        <v>133</v>
      </c>
      <c r="O499" s="136" t="str">
        <f>IFERROR(__xludf.DUMMYFUNCTION("""COMPUTED_VALUE"""),"")</f>
        <v/>
      </c>
      <c r="P499" s="136" t="str">
        <f>IFERROR(__xludf.DUMMYFUNCTION("""COMPUTED_VALUE"""),"")</f>
        <v/>
      </c>
      <c r="Q499" s="106" t="str">
        <f>IFERROR(__xludf.DUMMYFUNCTION("""COMPUTED_VALUE"""),"")</f>
        <v/>
      </c>
      <c r="R499" s="106" t="str">
        <f>IFERROR(__xludf.DUMMYFUNCTION("""COMPUTED_VALUE"""),"")</f>
        <v/>
      </c>
      <c r="S499" s="139" t="str">
        <f>IFERROR(__xludf.DUMMYFUNCTION("""COMPUTED_VALUE"""),"")</f>
        <v/>
      </c>
      <c r="T499" s="139" t="str">
        <f>IFERROR(__xludf.DUMMYFUNCTION("""COMPUTED_VALUE"""),"")</f>
        <v/>
      </c>
      <c r="U499" s="136" t="str">
        <f>IFERROR(__xludf.DUMMYFUNCTION("""COMPUTED_VALUE"""),"")</f>
        <v/>
      </c>
      <c r="V499" s="106" t="str">
        <f>IFERROR(__xludf.DUMMYFUNCTION("""COMPUTED_VALUE"""),"")</f>
        <v/>
      </c>
      <c r="W499" s="143" t="str">
        <f t="shared" si="2"/>
        <v/>
      </c>
      <c r="X499" s="139" t="str">
        <f>IFERROR(__xludf.DUMMYFUNCTION("""COMPUTED_VALUE"""),"")</f>
        <v/>
      </c>
      <c r="Y499" s="141" t="str">
        <f>IFERROR(__xludf.DUMMYFUNCTION("""COMPUTED_VALUE"""),"")</f>
        <v/>
      </c>
    </row>
    <row r="500">
      <c r="C500" s="136" t="str">
        <f t="shared" si="3"/>
        <v/>
      </c>
      <c r="E500" s="106"/>
      <c r="G500" s="106" t="s">
        <v>133</v>
      </c>
      <c r="I500" s="139" t="s">
        <v>133</v>
      </c>
      <c r="J500" s="136" t="s">
        <v>133</v>
      </c>
      <c r="L500" s="136" t="str">
        <f t="shared" si="1"/>
        <v/>
      </c>
      <c r="N500" s="141" t="s">
        <v>133</v>
      </c>
      <c r="O500" s="136" t="str">
        <f>IFERROR(__xludf.DUMMYFUNCTION("""COMPUTED_VALUE"""),"")</f>
        <v/>
      </c>
      <c r="P500" s="136" t="str">
        <f>IFERROR(__xludf.DUMMYFUNCTION("""COMPUTED_VALUE"""),"")</f>
        <v/>
      </c>
      <c r="Q500" s="106" t="str">
        <f>IFERROR(__xludf.DUMMYFUNCTION("""COMPUTED_VALUE"""),"")</f>
        <v/>
      </c>
      <c r="R500" s="106" t="str">
        <f>IFERROR(__xludf.DUMMYFUNCTION("""COMPUTED_VALUE"""),"")</f>
        <v/>
      </c>
      <c r="S500" s="139" t="str">
        <f>IFERROR(__xludf.DUMMYFUNCTION("""COMPUTED_VALUE"""),"")</f>
        <v/>
      </c>
      <c r="T500" s="139" t="str">
        <f>IFERROR(__xludf.DUMMYFUNCTION("""COMPUTED_VALUE"""),"")</f>
        <v/>
      </c>
      <c r="U500" s="136" t="str">
        <f>IFERROR(__xludf.DUMMYFUNCTION("""COMPUTED_VALUE"""),"")</f>
        <v/>
      </c>
      <c r="V500" s="106" t="str">
        <f>IFERROR(__xludf.DUMMYFUNCTION("""COMPUTED_VALUE"""),"")</f>
        <v/>
      </c>
      <c r="W500" s="143" t="str">
        <f t="shared" si="2"/>
        <v/>
      </c>
      <c r="X500" s="139" t="str">
        <f>IFERROR(__xludf.DUMMYFUNCTION("""COMPUTED_VALUE"""),"")</f>
        <v/>
      </c>
      <c r="Y500" s="141" t="str">
        <f>IFERROR(__xludf.DUMMYFUNCTION("""COMPUTED_VALUE"""),"")</f>
        <v/>
      </c>
    </row>
    <row r="501">
      <c r="C501" s="136" t="str">
        <f t="shared" si="3"/>
        <v/>
      </c>
      <c r="E501" s="106"/>
      <c r="G501" s="106" t="s">
        <v>133</v>
      </c>
      <c r="I501" s="139" t="s">
        <v>133</v>
      </c>
      <c r="J501" s="136" t="s">
        <v>133</v>
      </c>
      <c r="L501" s="136" t="str">
        <f t="shared" si="1"/>
        <v/>
      </c>
      <c r="N501" s="141" t="s">
        <v>133</v>
      </c>
      <c r="O501" s="136" t="str">
        <f>IFERROR(__xludf.DUMMYFUNCTION("""COMPUTED_VALUE"""),"")</f>
        <v/>
      </c>
      <c r="P501" s="136" t="str">
        <f>IFERROR(__xludf.DUMMYFUNCTION("""COMPUTED_VALUE"""),"")</f>
        <v/>
      </c>
      <c r="Q501" s="106" t="str">
        <f>IFERROR(__xludf.DUMMYFUNCTION("""COMPUTED_VALUE"""),"")</f>
        <v/>
      </c>
      <c r="R501" s="106" t="str">
        <f>IFERROR(__xludf.DUMMYFUNCTION("""COMPUTED_VALUE"""),"")</f>
        <v/>
      </c>
      <c r="S501" s="139" t="str">
        <f>IFERROR(__xludf.DUMMYFUNCTION("""COMPUTED_VALUE"""),"")</f>
        <v/>
      </c>
      <c r="T501" s="139" t="str">
        <f>IFERROR(__xludf.DUMMYFUNCTION("""COMPUTED_VALUE"""),"")</f>
        <v/>
      </c>
      <c r="U501" s="136" t="str">
        <f>IFERROR(__xludf.DUMMYFUNCTION("""COMPUTED_VALUE"""),"")</f>
        <v/>
      </c>
      <c r="V501" s="106" t="str">
        <f>IFERROR(__xludf.DUMMYFUNCTION("""COMPUTED_VALUE"""),"")</f>
        <v/>
      </c>
      <c r="W501" s="143" t="str">
        <f t="shared" si="2"/>
        <v/>
      </c>
      <c r="X501" s="139" t="str">
        <f>IFERROR(__xludf.DUMMYFUNCTION("""COMPUTED_VALUE"""),"")</f>
        <v/>
      </c>
      <c r="Y501" s="141" t="str">
        <f>IFERROR(__xludf.DUMMYFUNCTION("""COMPUTED_VALUE"""),"")</f>
        <v/>
      </c>
    </row>
    <row r="502">
      <c r="C502" s="136" t="str">
        <f t="shared" si="3"/>
        <v/>
      </c>
      <c r="E502" s="106"/>
      <c r="G502" s="106" t="s">
        <v>133</v>
      </c>
      <c r="I502" s="139" t="s">
        <v>133</v>
      </c>
      <c r="J502" s="136" t="s">
        <v>133</v>
      </c>
      <c r="L502" s="136" t="str">
        <f t="shared" si="1"/>
        <v/>
      </c>
      <c r="N502" s="141" t="s">
        <v>133</v>
      </c>
      <c r="O502" s="136" t="str">
        <f>IFERROR(__xludf.DUMMYFUNCTION("""COMPUTED_VALUE"""),"")</f>
        <v/>
      </c>
      <c r="P502" s="136" t="str">
        <f>IFERROR(__xludf.DUMMYFUNCTION("""COMPUTED_VALUE"""),"")</f>
        <v/>
      </c>
      <c r="Q502" s="106" t="str">
        <f>IFERROR(__xludf.DUMMYFUNCTION("""COMPUTED_VALUE"""),"")</f>
        <v/>
      </c>
      <c r="R502" s="106" t="str">
        <f>IFERROR(__xludf.DUMMYFUNCTION("""COMPUTED_VALUE"""),"")</f>
        <v/>
      </c>
      <c r="S502" s="139" t="str">
        <f>IFERROR(__xludf.DUMMYFUNCTION("""COMPUTED_VALUE"""),"")</f>
        <v/>
      </c>
      <c r="T502" s="139" t="str">
        <f>IFERROR(__xludf.DUMMYFUNCTION("""COMPUTED_VALUE"""),"")</f>
        <v/>
      </c>
      <c r="U502" s="136" t="str">
        <f>IFERROR(__xludf.DUMMYFUNCTION("""COMPUTED_VALUE"""),"")</f>
        <v/>
      </c>
      <c r="V502" s="106" t="str">
        <f>IFERROR(__xludf.DUMMYFUNCTION("""COMPUTED_VALUE"""),"")</f>
        <v/>
      </c>
      <c r="W502" s="143" t="str">
        <f t="shared" si="2"/>
        <v/>
      </c>
      <c r="X502" s="139" t="str">
        <f>IFERROR(__xludf.DUMMYFUNCTION("""COMPUTED_VALUE"""),"")</f>
        <v/>
      </c>
      <c r="Y502" s="141" t="str">
        <f>IFERROR(__xludf.DUMMYFUNCTION("""COMPUTED_VALUE"""),"")</f>
        <v/>
      </c>
    </row>
    <row r="503">
      <c r="C503" s="136" t="str">
        <f t="shared" si="3"/>
        <v/>
      </c>
      <c r="E503" s="106"/>
      <c r="G503" s="106" t="s">
        <v>133</v>
      </c>
      <c r="I503" s="139" t="s">
        <v>133</v>
      </c>
      <c r="J503" s="136" t="s">
        <v>133</v>
      </c>
      <c r="L503" s="136" t="str">
        <f t="shared" si="1"/>
        <v/>
      </c>
      <c r="N503" s="141" t="s">
        <v>133</v>
      </c>
      <c r="O503" s="136" t="str">
        <f>IFERROR(__xludf.DUMMYFUNCTION("""COMPUTED_VALUE"""),"")</f>
        <v/>
      </c>
      <c r="P503" s="136" t="str">
        <f>IFERROR(__xludf.DUMMYFUNCTION("""COMPUTED_VALUE"""),"")</f>
        <v/>
      </c>
      <c r="Q503" s="106" t="str">
        <f>IFERROR(__xludf.DUMMYFUNCTION("""COMPUTED_VALUE"""),"")</f>
        <v/>
      </c>
      <c r="R503" s="106" t="str">
        <f>IFERROR(__xludf.DUMMYFUNCTION("""COMPUTED_VALUE"""),"")</f>
        <v/>
      </c>
      <c r="S503" s="139" t="str">
        <f>IFERROR(__xludf.DUMMYFUNCTION("""COMPUTED_VALUE"""),"")</f>
        <v/>
      </c>
      <c r="T503" s="139" t="str">
        <f>IFERROR(__xludf.DUMMYFUNCTION("""COMPUTED_VALUE"""),"")</f>
        <v/>
      </c>
      <c r="U503" s="136" t="str">
        <f>IFERROR(__xludf.DUMMYFUNCTION("""COMPUTED_VALUE"""),"")</f>
        <v/>
      </c>
      <c r="V503" s="106" t="str">
        <f>IFERROR(__xludf.DUMMYFUNCTION("""COMPUTED_VALUE"""),"")</f>
        <v/>
      </c>
      <c r="W503" s="143" t="str">
        <f t="shared" si="2"/>
        <v/>
      </c>
      <c r="X503" s="139" t="str">
        <f>IFERROR(__xludf.DUMMYFUNCTION("""COMPUTED_VALUE"""),"")</f>
        <v/>
      </c>
      <c r="Y503" s="141" t="str">
        <f>IFERROR(__xludf.DUMMYFUNCTION("""COMPUTED_VALUE"""),"")</f>
        <v/>
      </c>
    </row>
    <row r="504">
      <c r="C504" s="136" t="str">
        <f t="shared" si="3"/>
        <v/>
      </c>
      <c r="E504" s="106"/>
      <c r="G504" s="106" t="s">
        <v>133</v>
      </c>
      <c r="I504" s="139" t="s">
        <v>133</v>
      </c>
      <c r="J504" s="136" t="s">
        <v>133</v>
      </c>
      <c r="L504" s="136" t="str">
        <f t="shared" si="1"/>
        <v/>
      </c>
      <c r="N504" s="141" t="s">
        <v>133</v>
      </c>
      <c r="O504" s="136" t="str">
        <f>IFERROR(__xludf.DUMMYFUNCTION("""COMPUTED_VALUE"""),"")</f>
        <v/>
      </c>
      <c r="P504" s="136" t="str">
        <f>IFERROR(__xludf.DUMMYFUNCTION("""COMPUTED_VALUE"""),"")</f>
        <v/>
      </c>
      <c r="Q504" s="106" t="str">
        <f>IFERROR(__xludf.DUMMYFUNCTION("""COMPUTED_VALUE"""),"")</f>
        <v/>
      </c>
      <c r="R504" s="106" t="str">
        <f>IFERROR(__xludf.DUMMYFUNCTION("""COMPUTED_VALUE"""),"")</f>
        <v/>
      </c>
      <c r="S504" s="139" t="str">
        <f>IFERROR(__xludf.DUMMYFUNCTION("""COMPUTED_VALUE"""),"")</f>
        <v/>
      </c>
      <c r="T504" s="139" t="str">
        <f>IFERROR(__xludf.DUMMYFUNCTION("""COMPUTED_VALUE"""),"")</f>
        <v/>
      </c>
      <c r="U504" s="136" t="str">
        <f>IFERROR(__xludf.DUMMYFUNCTION("""COMPUTED_VALUE"""),"")</f>
        <v/>
      </c>
      <c r="V504" s="106" t="str">
        <f>IFERROR(__xludf.DUMMYFUNCTION("""COMPUTED_VALUE"""),"")</f>
        <v/>
      </c>
      <c r="W504" s="143" t="str">
        <f t="shared" si="2"/>
        <v/>
      </c>
      <c r="X504" s="139" t="str">
        <f>IFERROR(__xludf.DUMMYFUNCTION("""COMPUTED_VALUE"""),"")</f>
        <v/>
      </c>
      <c r="Y504" s="141" t="str">
        <f>IFERROR(__xludf.DUMMYFUNCTION("""COMPUTED_VALUE"""),"")</f>
        <v/>
      </c>
    </row>
    <row r="505">
      <c r="C505" s="136" t="str">
        <f t="shared" si="3"/>
        <v/>
      </c>
      <c r="E505" s="106"/>
      <c r="G505" s="106" t="s">
        <v>133</v>
      </c>
      <c r="I505" s="139" t="s">
        <v>133</v>
      </c>
      <c r="J505" s="136" t="s">
        <v>133</v>
      </c>
      <c r="L505" s="136" t="str">
        <f t="shared" si="1"/>
        <v/>
      </c>
      <c r="N505" s="141" t="s">
        <v>133</v>
      </c>
      <c r="O505" s="136" t="str">
        <f>IFERROR(__xludf.DUMMYFUNCTION("""COMPUTED_VALUE"""),"")</f>
        <v/>
      </c>
      <c r="P505" s="136" t="str">
        <f>IFERROR(__xludf.DUMMYFUNCTION("""COMPUTED_VALUE"""),"")</f>
        <v/>
      </c>
      <c r="Q505" s="106" t="str">
        <f>IFERROR(__xludf.DUMMYFUNCTION("""COMPUTED_VALUE"""),"")</f>
        <v/>
      </c>
      <c r="R505" s="106" t="str">
        <f>IFERROR(__xludf.DUMMYFUNCTION("""COMPUTED_VALUE"""),"")</f>
        <v/>
      </c>
      <c r="S505" s="139" t="str">
        <f>IFERROR(__xludf.DUMMYFUNCTION("""COMPUTED_VALUE"""),"")</f>
        <v/>
      </c>
      <c r="T505" s="139" t="str">
        <f>IFERROR(__xludf.DUMMYFUNCTION("""COMPUTED_VALUE"""),"")</f>
        <v/>
      </c>
      <c r="U505" s="136" t="str">
        <f>IFERROR(__xludf.DUMMYFUNCTION("""COMPUTED_VALUE"""),"")</f>
        <v/>
      </c>
      <c r="V505" s="106" t="str">
        <f>IFERROR(__xludf.DUMMYFUNCTION("""COMPUTED_VALUE"""),"")</f>
        <v/>
      </c>
      <c r="W505" s="143" t="str">
        <f t="shared" si="2"/>
        <v/>
      </c>
      <c r="X505" s="139" t="str">
        <f>IFERROR(__xludf.DUMMYFUNCTION("""COMPUTED_VALUE"""),"")</f>
        <v/>
      </c>
      <c r="Y505" s="141" t="str">
        <f>IFERROR(__xludf.DUMMYFUNCTION("""COMPUTED_VALUE"""),"")</f>
        <v/>
      </c>
    </row>
    <row r="506">
      <c r="C506" s="136" t="str">
        <f t="shared" si="3"/>
        <v/>
      </c>
      <c r="E506" s="106"/>
      <c r="G506" s="106" t="s">
        <v>133</v>
      </c>
      <c r="I506" s="139" t="s">
        <v>133</v>
      </c>
      <c r="J506" s="136" t="s">
        <v>133</v>
      </c>
      <c r="L506" s="136" t="str">
        <f t="shared" si="1"/>
        <v/>
      </c>
      <c r="N506" s="141" t="s">
        <v>133</v>
      </c>
      <c r="O506" s="136" t="str">
        <f>IFERROR(__xludf.DUMMYFUNCTION("""COMPUTED_VALUE"""),"")</f>
        <v/>
      </c>
      <c r="P506" s="136" t="str">
        <f>IFERROR(__xludf.DUMMYFUNCTION("""COMPUTED_VALUE"""),"")</f>
        <v/>
      </c>
      <c r="Q506" s="106" t="str">
        <f>IFERROR(__xludf.DUMMYFUNCTION("""COMPUTED_VALUE"""),"")</f>
        <v/>
      </c>
      <c r="R506" s="106" t="str">
        <f>IFERROR(__xludf.DUMMYFUNCTION("""COMPUTED_VALUE"""),"")</f>
        <v/>
      </c>
      <c r="S506" s="139" t="str">
        <f>IFERROR(__xludf.DUMMYFUNCTION("""COMPUTED_VALUE"""),"")</f>
        <v/>
      </c>
      <c r="T506" s="139" t="str">
        <f>IFERROR(__xludf.DUMMYFUNCTION("""COMPUTED_VALUE"""),"")</f>
        <v/>
      </c>
      <c r="U506" s="136" t="str">
        <f>IFERROR(__xludf.DUMMYFUNCTION("""COMPUTED_VALUE"""),"")</f>
        <v/>
      </c>
      <c r="V506" s="106" t="str">
        <f>IFERROR(__xludf.DUMMYFUNCTION("""COMPUTED_VALUE"""),"")</f>
        <v/>
      </c>
      <c r="W506" s="143" t="str">
        <f t="shared" si="2"/>
        <v/>
      </c>
      <c r="X506" s="139" t="str">
        <f>IFERROR(__xludf.DUMMYFUNCTION("""COMPUTED_VALUE"""),"")</f>
        <v/>
      </c>
      <c r="Y506" s="141" t="str">
        <f>IFERROR(__xludf.DUMMYFUNCTION("""COMPUTED_VALUE"""),"")</f>
        <v/>
      </c>
    </row>
    <row r="507">
      <c r="C507" s="136" t="str">
        <f t="shared" si="3"/>
        <v/>
      </c>
      <c r="E507" s="106"/>
      <c r="G507" s="106" t="s">
        <v>133</v>
      </c>
      <c r="I507" s="139" t="s">
        <v>133</v>
      </c>
      <c r="J507" s="136" t="s">
        <v>133</v>
      </c>
      <c r="L507" s="136" t="str">
        <f t="shared" si="1"/>
        <v/>
      </c>
      <c r="N507" s="141" t="s">
        <v>133</v>
      </c>
      <c r="O507" s="136" t="str">
        <f>IFERROR(__xludf.DUMMYFUNCTION("""COMPUTED_VALUE"""),"")</f>
        <v/>
      </c>
      <c r="P507" s="136" t="str">
        <f>IFERROR(__xludf.DUMMYFUNCTION("""COMPUTED_VALUE"""),"")</f>
        <v/>
      </c>
      <c r="Q507" s="106" t="str">
        <f>IFERROR(__xludf.DUMMYFUNCTION("""COMPUTED_VALUE"""),"")</f>
        <v/>
      </c>
      <c r="R507" s="106" t="str">
        <f>IFERROR(__xludf.DUMMYFUNCTION("""COMPUTED_VALUE"""),"")</f>
        <v/>
      </c>
      <c r="S507" s="139" t="str">
        <f>IFERROR(__xludf.DUMMYFUNCTION("""COMPUTED_VALUE"""),"")</f>
        <v/>
      </c>
      <c r="T507" s="139" t="str">
        <f>IFERROR(__xludf.DUMMYFUNCTION("""COMPUTED_VALUE"""),"")</f>
        <v/>
      </c>
      <c r="U507" s="136" t="str">
        <f>IFERROR(__xludf.DUMMYFUNCTION("""COMPUTED_VALUE"""),"")</f>
        <v/>
      </c>
      <c r="V507" s="106" t="str">
        <f>IFERROR(__xludf.DUMMYFUNCTION("""COMPUTED_VALUE"""),"")</f>
        <v/>
      </c>
      <c r="W507" s="143" t="str">
        <f t="shared" si="2"/>
        <v/>
      </c>
      <c r="X507" s="139" t="str">
        <f>IFERROR(__xludf.DUMMYFUNCTION("""COMPUTED_VALUE"""),"")</f>
        <v/>
      </c>
      <c r="Y507" s="141" t="str">
        <f>IFERROR(__xludf.DUMMYFUNCTION("""COMPUTED_VALUE"""),"")</f>
        <v/>
      </c>
    </row>
    <row r="508">
      <c r="C508" s="136" t="str">
        <f t="shared" si="3"/>
        <v/>
      </c>
      <c r="E508" s="106"/>
      <c r="G508" s="106" t="s">
        <v>133</v>
      </c>
      <c r="I508" s="139" t="s">
        <v>133</v>
      </c>
      <c r="J508" s="136" t="s">
        <v>133</v>
      </c>
      <c r="L508" s="136" t="str">
        <f t="shared" si="1"/>
        <v/>
      </c>
      <c r="N508" s="141" t="s">
        <v>133</v>
      </c>
      <c r="O508" s="136" t="str">
        <f>IFERROR(__xludf.DUMMYFUNCTION("""COMPUTED_VALUE"""),"")</f>
        <v/>
      </c>
      <c r="P508" s="136" t="str">
        <f>IFERROR(__xludf.DUMMYFUNCTION("""COMPUTED_VALUE"""),"")</f>
        <v/>
      </c>
      <c r="Q508" s="106" t="str">
        <f>IFERROR(__xludf.DUMMYFUNCTION("""COMPUTED_VALUE"""),"")</f>
        <v/>
      </c>
      <c r="R508" s="106" t="str">
        <f>IFERROR(__xludf.DUMMYFUNCTION("""COMPUTED_VALUE"""),"")</f>
        <v/>
      </c>
      <c r="S508" s="139" t="str">
        <f>IFERROR(__xludf.DUMMYFUNCTION("""COMPUTED_VALUE"""),"")</f>
        <v/>
      </c>
      <c r="T508" s="139" t="str">
        <f>IFERROR(__xludf.DUMMYFUNCTION("""COMPUTED_VALUE"""),"")</f>
        <v/>
      </c>
      <c r="U508" s="136" t="str">
        <f>IFERROR(__xludf.DUMMYFUNCTION("""COMPUTED_VALUE"""),"")</f>
        <v/>
      </c>
      <c r="V508" s="106" t="str">
        <f>IFERROR(__xludf.DUMMYFUNCTION("""COMPUTED_VALUE"""),"")</f>
        <v/>
      </c>
      <c r="W508" s="143" t="str">
        <f t="shared" si="2"/>
        <v/>
      </c>
      <c r="X508" s="139" t="str">
        <f>IFERROR(__xludf.DUMMYFUNCTION("""COMPUTED_VALUE"""),"")</f>
        <v/>
      </c>
      <c r="Y508" s="141" t="str">
        <f>IFERROR(__xludf.DUMMYFUNCTION("""COMPUTED_VALUE"""),"")</f>
        <v/>
      </c>
    </row>
    <row r="509">
      <c r="C509" s="136" t="str">
        <f t="shared" si="3"/>
        <v/>
      </c>
      <c r="E509" s="106"/>
      <c r="G509" s="106" t="s">
        <v>133</v>
      </c>
      <c r="I509" s="139" t="s">
        <v>133</v>
      </c>
      <c r="J509" s="136" t="s">
        <v>133</v>
      </c>
      <c r="L509" s="136" t="str">
        <f t="shared" si="1"/>
        <v/>
      </c>
      <c r="N509" s="141" t="s">
        <v>133</v>
      </c>
      <c r="O509" s="136" t="str">
        <f>IFERROR(__xludf.DUMMYFUNCTION("""COMPUTED_VALUE"""),"")</f>
        <v/>
      </c>
      <c r="P509" s="136" t="str">
        <f>IFERROR(__xludf.DUMMYFUNCTION("""COMPUTED_VALUE"""),"")</f>
        <v/>
      </c>
      <c r="Q509" s="106" t="str">
        <f>IFERROR(__xludf.DUMMYFUNCTION("""COMPUTED_VALUE"""),"")</f>
        <v/>
      </c>
      <c r="R509" s="106" t="str">
        <f>IFERROR(__xludf.DUMMYFUNCTION("""COMPUTED_VALUE"""),"")</f>
        <v/>
      </c>
      <c r="S509" s="139" t="str">
        <f>IFERROR(__xludf.DUMMYFUNCTION("""COMPUTED_VALUE"""),"")</f>
        <v/>
      </c>
      <c r="T509" s="139" t="str">
        <f>IFERROR(__xludf.DUMMYFUNCTION("""COMPUTED_VALUE"""),"")</f>
        <v/>
      </c>
      <c r="U509" s="136" t="str">
        <f>IFERROR(__xludf.DUMMYFUNCTION("""COMPUTED_VALUE"""),"")</f>
        <v/>
      </c>
      <c r="V509" s="106" t="str">
        <f>IFERROR(__xludf.DUMMYFUNCTION("""COMPUTED_VALUE"""),"")</f>
        <v/>
      </c>
      <c r="W509" s="143" t="str">
        <f t="shared" si="2"/>
        <v/>
      </c>
      <c r="X509" s="139" t="str">
        <f>IFERROR(__xludf.DUMMYFUNCTION("""COMPUTED_VALUE"""),"")</f>
        <v/>
      </c>
      <c r="Y509" s="141" t="str">
        <f>IFERROR(__xludf.DUMMYFUNCTION("""COMPUTED_VALUE"""),"")</f>
        <v/>
      </c>
    </row>
    <row r="510">
      <c r="C510" s="136" t="str">
        <f t="shared" si="3"/>
        <v/>
      </c>
      <c r="E510" s="106"/>
      <c r="G510" s="106" t="s">
        <v>133</v>
      </c>
      <c r="I510" s="139" t="s">
        <v>133</v>
      </c>
      <c r="J510" s="136" t="s">
        <v>133</v>
      </c>
      <c r="L510" s="136" t="str">
        <f t="shared" si="1"/>
        <v/>
      </c>
      <c r="N510" s="141" t="s">
        <v>133</v>
      </c>
      <c r="O510" s="136" t="str">
        <f>IFERROR(__xludf.DUMMYFUNCTION("""COMPUTED_VALUE"""),"")</f>
        <v/>
      </c>
      <c r="P510" s="136" t="str">
        <f>IFERROR(__xludf.DUMMYFUNCTION("""COMPUTED_VALUE"""),"")</f>
        <v/>
      </c>
      <c r="Q510" s="106" t="str">
        <f>IFERROR(__xludf.DUMMYFUNCTION("""COMPUTED_VALUE"""),"")</f>
        <v/>
      </c>
      <c r="R510" s="106" t="str">
        <f>IFERROR(__xludf.DUMMYFUNCTION("""COMPUTED_VALUE"""),"")</f>
        <v/>
      </c>
      <c r="S510" s="139" t="str">
        <f>IFERROR(__xludf.DUMMYFUNCTION("""COMPUTED_VALUE"""),"")</f>
        <v/>
      </c>
      <c r="T510" s="139" t="str">
        <f>IFERROR(__xludf.DUMMYFUNCTION("""COMPUTED_VALUE"""),"")</f>
        <v/>
      </c>
      <c r="U510" s="136" t="str">
        <f>IFERROR(__xludf.DUMMYFUNCTION("""COMPUTED_VALUE"""),"")</f>
        <v/>
      </c>
      <c r="V510" s="106" t="str">
        <f>IFERROR(__xludf.DUMMYFUNCTION("""COMPUTED_VALUE"""),"")</f>
        <v/>
      </c>
      <c r="W510" s="143" t="str">
        <f t="shared" si="2"/>
        <v/>
      </c>
      <c r="X510" s="139" t="str">
        <f>IFERROR(__xludf.DUMMYFUNCTION("""COMPUTED_VALUE"""),"")</f>
        <v/>
      </c>
      <c r="Y510" s="141" t="str">
        <f>IFERROR(__xludf.DUMMYFUNCTION("""COMPUTED_VALUE"""),"")</f>
        <v/>
      </c>
    </row>
    <row r="511">
      <c r="C511" s="136" t="str">
        <f t="shared" si="3"/>
        <v/>
      </c>
      <c r="E511" s="106"/>
      <c r="G511" s="106" t="s">
        <v>133</v>
      </c>
      <c r="I511" s="139" t="s">
        <v>133</v>
      </c>
      <c r="J511" s="136" t="s">
        <v>133</v>
      </c>
      <c r="L511" s="136" t="str">
        <f t="shared" si="1"/>
        <v/>
      </c>
      <c r="N511" s="141" t="s">
        <v>133</v>
      </c>
      <c r="O511" s="136" t="str">
        <f>IFERROR(__xludf.DUMMYFUNCTION("""COMPUTED_VALUE"""),"")</f>
        <v/>
      </c>
      <c r="P511" s="136" t="str">
        <f>IFERROR(__xludf.DUMMYFUNCTION("""COMPUTED_VALUE"""),"")</f>
        <v/>
      </c>
      <c r="Q511" s="106" t="str">
        <f>IFERROR(__xludf.DUMMYFUNCTION("""COMPUTED_VALUE"""),"")</f>
        <v/>
      </c>
      <c r="R511" s="106" t="str">
        <f>IFERROR(__xludf.DUMMYFUNCTION("""COMPUTED_VALUE"""),"")</f>
        <v/>
      </c>
      <c r="S511" s="139" t="str">
        <f>IFERROR(__xludf.DUMMYFUNCTION("""COMPUTED_VALUE"""),"")</f>
        <v/>
      </c>
      <c r="T511" s="139" t="str">
        <f>IFERROR(__xludf.DUMMYFUNCTION("""COMPUTED_VALUE"""),"")</f>
        <v/>
      </c>
      <c r="U511" s="136" t="str">
        <f>IFERROR(__xludf.DUMMYFUNCTION("""COMPUTED_VALUE"""),"")</f>
        <v/>
      </c>
      <c r="V511" s="106" t="str">
        <f>IFERROR(__xludf.DUMMYFUNCTION("""COMPUTED_VALUE"""),"")</f>
        <v/>
      </c>
      <c r="W511" s="143" t="str">
        <f t="shared" si="2"/>
        <v/>
      </c>
      <c r="X511" s="139" t="str">
        <f>IFERROR(__xludf.DUMMYFUNCTION("""COMPUTED_VALUE"""),"")</f>
        <v/>
      </c>
      <c r="Y511" s="141" t="str">
        <f>IFERROR(__xludf.DUMMYFUNCTION("""COMPUTED_VALUE"""),"")</f>
        <v/>
      </c>
    </row>
    <row r="512">
      <c r="C512" s="136" t="str">
        <f t="shared" si="3"/>
        <v/>
      </c>
      <c r="E512" s="106"/>
      <c r="G512" s="106" t="s">
        <v>133</v>
      </c>
      <c r="I512" s="139" t="s">
        <v>133</v>
      </c>
      <c r="J512" s="136" t="s">
        <v>133</v>
      </c>
      <c r="L512" s="136" t="str">
        <f t="shared" si="1"/>
        <v/>
      </c>
      <c r="N512" s="141" t="s">
        <v>133</v>
      </c>
      <c r="O512" s="136" t="str">
        <f>IFERROR(__xludf.DUMMYFUNCTION("""COMPUTED_VALUE"""),"")</f>
        <v/>
      </c>
      <c r="P512" s="136" t="str">
        <f>IFERROR(__xludf.DUMMYFUNCTION("""COMPUTED_VALUE"""),"")</f>
        <v/>
      </c>
      <c r="Q512" s="106" t="str">
        <f>IFERROR(__xludf.DUMMYFUNCTION("""COMPUTED_VALUE"""),"")</f>
        <v/>
      </c>
      <c r="R512" s="106" t="str">
        <f>IFERROR(__xludf.DUMMYFUNCTION("""COMPUTED_VALUE"""),"")</f>
        <v/>
      </c>
      <c r="S512" s="139" t="str">
        <f>IFERROR(__xludf.DUMMYFUNCTION("""COMPUTED_VALUE"""),"")</f>
        <v/>
      </c>
      <c r="T512" s="139" t="str">
        <f>IFERROR(__xludf.DUMMYFUNCTION("""COMPUTED_VALUE"""),"")</f>
        <v/>
      </c>
      <c r="U512" s="136" t="str">
        <f>IFERROR(__xludf.DUMMYFUNCTION("""COMPUTED_VALUE"""),"")</f>
        <v/>
      </c>
      <c r="V512" s="106" t="str">
        <f>IFERROR(__xludf.DUMMYFUNCTION("""COMPUTED_VALUE"""),"")</f>
        <v/>
      </c>
      <c r="W512" s="143" t="str">
        <f t="shared" si="2"/>
        <v/>
      </c>
      <c r="X512" s="139" t="str">
        <f>IFERROR(__xludf.DUMMYFUNCTION("""COMPUTED_VALUE"""),"")</f>
        <v/>
      </c>
      <c r="Y512" s="141" t="str">
        <f>IFERROR(__xludf.DUMMYFUNCTION("""COMPUTED_VALUE"""),"")</f>
        <v/>
      </c>
    </row>
    <row r="513">
      <c r="C513" s="136" t="str">
        <f t="shared" si="3"/>
        <v/>
      </c>
      <c r="E513" s="106"/>
      <c r="G513" s="106" t="s">
        <v>133</v>
      </c>
      <c r="I513" s="139" t="s">
        <v>133</v>
      </c>
      <c r="J513" s="136" t="s">
        <v>133</v>
      </c>
      <c r="L513" s="136" t="str">
        <f t="shared" si="1"/>
        <v/>
      </c>
      <c r="N513" s="141" t="s">
        <v>133</v>
      </c>
      <c r="O513" s="136" t="str">
        <f>IFERROR(__xludf.DUMMYFUNCTION("""COMPUTED_VALUE"""),"")</f>
        <v/>
      </c>
      <c r="P513" s="136" t="str">
        <f>IFERROR(__xludf.DUMMYFUNCTION("""COMPUTED_VALUE"""),"")</f>
        <v/>
      </c>
      <c r="Q513" s="106" t="str">
        <f>IFERROR(__xludf.DUMMYFUNCTION("""COMPUTED_VALUE"""),"")</f>
        <v/>
      </c>
      <c r="R513" s="106" t="str">
        <f>IFERROR(__xludf.DUMMYFUNCTION("""COMPUTED_VALUE"""),"")</f>
        <v/>
      </c>
      <c r="S513" s="139" t="str">
        <f>IFERROR(__xludf.DUMMYFUNCTION("""COMPUTED_VALUE"""),"")</f>
        <v/>
      </c>
      <c r="T513" s="139" t="str">
        <f>IFERROR(__xludf.DUMMYFUNCTION("""COMPUTED_VALUE"""),"")</f>
        <v/>
      </c>
      <c r="U513" s="136" t="str">
        <f>IFERROR(__xludf.DUMMYFUNCTION("""COMPUTED_VALUE"""),"")</f>
        <v/>
      </c>
      <c r="V513" s="106" t="str">
        <f>IFERROR(__xludf.DUMMYFUNCTION("""COMPUTED_VALUE"""),"")</f>
        <v/>
      </c>
      <c r="W513" s="143" t="str">
        <f t="shared" si="2"/>
        <v/>
      </c>
      <c r="X513" s="139" t="str">
        <f>IFERROR(__xludf.DUMMYFUNCTION("""COMPUTED_VALUE"""),"")</f>
        <v/>
      </c>
      <c r="Y513" s="141" t="str">
        <f>IFERROR(__xludf.DUMMYFUNCTION("""COMPUTED_VALUE"""),"")</f>
        <v/>
      </c>
    </row>
    <row r="514">
      <c r="C514" s="136" t="str">
        <f t="shared" si="3"/>
        <v/>
      </c>
      <c r="E514" s="106"/>
      <c r="G514" s="106" t="s">
        <v>133</v>
      </c>
      <c r="I514" s="139" t="s">
        <v>133</v>
      </c>
      <c r="J514" s="136" t="s">
        <v>133</v>
      </c>
      <c r="L514" s="136" t="str">
        <f t="shared" si="1"/>
        <v/>
      </c>
      <c r="N514" s="141" t="s">
        <v>133</v>
      </c>
      <c r="O514" s="136" t="str">
        <f>IFERROR(__xludf.DUMMYFUNCTION("""COMPUTED_VALUE"""),"")</f>
        <v/>
      </c>
      <c r="P514" s="136" t="str">
        <f>IFERROR(__xludf.DUMMYFUNCTION("""COMPUTED_VALUE"""),"")</f>
        <v/>
      </c>
      <c r="Q514" s="106" t="str">
        <f>IFERROR(__xludf.DUMMYFUNCTION("""COMPUTED_VALUE"""),"")</f>
        <v/>
      </c>
      <c r="R514" s="106" t="str">
        <f>IFERROR(__xludf.DUMMYFUNCTION("""COMPUTED_VALUE"""),"")</f>
        <v/>
      </c>
      <c r="S514" s="139" t="str">
        <f>IFERROR(__xludf.DUMMYFUNCTION("""COMPUTED_VALUE"""),"")</f>
        <v/>
      </c>
      <c r="T514" s="139" t="str">
        <f>IFERROR(__xludf.DUMMYFUNCTION("""COMPUTED_VALUE"""),"")</f>
        <v/>
      </c>
      <c r="U514" s="136" t="str">
        <f>IFERROR(__xludf.DUMMYFUNCTION("""COMPUTED_VALUE"""),"")</f>
        <v/>
      </c>
      <c r="V514" s="106" t="str">
        <f>IFERROR(__xludf.DUMMYFUNCTION("""COMPUTED_VALUE"""),"")</f>
        <v/>
      </c>
      <c r="W514" s="143" t="str">
        <f t="shared" si="2"/>
        <v/>
      </c>
      <c r="X514" s="139" t="str">
        <f>IFERROR(__xludf.DUMMYFUNCTION("""COMPUTED_VALUE"""),"")</f>
        <v/>
      </c>
      <c r="Y514" s="141" t="str">
        <f>IFERROR(__xludf.DUMMYFUNCTION("""COMPUTED_VALUE"""),"")</f>
        <v/>
      </c>
    </row>
    <row r="515">
      <c r="C515" s="136" t="str">
        <f t="shared" si="3"/>
        <v/>
      </c>
      <c r="E515" s="106"/>
      <c r="G515" s="106" t="s">
        <v>133</v>
      </c>
      <c r="I515" s="139" t="s">
        <v>133</v>
      </c>
      <c r="J515" s="136" t="s">
        <v>133</v>
      </c>
      <c r="L515" s="136" t="str">
        <f t="shared" si="1"/>
        <v/>
      </c>
      <c r="N515" s="141" t="s">
        <v>133</v>
      </c>
      <c r="O515" s="136" t="str">
        <f>IFERROR(__xludf.DUMMYFUNCTION("""COMPUTED_VALUE"""),"")</f>
        <v/>
      </c>
      <c r="P515" s="136" t="str">
        <f>IFERROR(__xludf.DUMMYFUNCTION("""COMPUTED_VALUE"""),"")</f>
        <v/>
      </c>
      <c r="Q515" s="106" t="str">
        <f>IFERROR(__xludf.DUMMYFUNCTION("""COMPUTED_VALUE"""),"")</f>
        <v/>
      </c>
      <c r="R515" s="106" t="str">
        <f>IFERROR(__xludf.DUMMYFUNCTION("""COMPUTED_VALUE"""),"")</f>
        <v/>
      </c>
      <c r="S515" s="139" t="str">
        <f>IFERROR(__xludf.DUMMYFUNCTION("""COMPUTED_VALUE"""),"")</f>
        <v/>
      </c>
      <c r="T515" s="139" t="str">
        <f>IFERROR(__xludf.DUMMYFUNCTION("""COMPUTED_VALUE"""),"")</f>
        <v/>
      </c>
      <c r="U515" s="136" t="str">
        <f>IFERROR(__xludf.DUMMYFUNCTION("""COMPUTED_VALUE"""),"")</f>
        <v/>
      </c>
      <c r="V515" s="106" t="str">
        <f>IFERROR(__xludf.DUMMYFUNCTION("""COMPUTED_VALUE"""),"")</f>
        <v/>
      </c>
      <c r="W515" s="143" t="str">
        <f t="shared" si="2"/>
        <v/>
      </c>
      <c r="X515" s="139" t="str">
        <f>IFERROR(__xludf.DUMMYFUNCTION("""COMPUTED_VALUE"""),"")</f>
        <v/>
      </c>
      <c r="Y515" s="141" t="str">
        <f>IFERROR(__xludf.DUMMYFUNCTION("""COMPUTED_VALUE"""),"")</f>
        <v/>
      </c>
    </row>
    <row r="516">
      <c r="C516" s="136" t="str">
        <f t="shared" si="3"/>
        <v/>
      </c>
      <c r="E516" s="106"/>
      <c r="G516" s="106" t="s">
        <v>133</v>
      </c>
      <c r="I516" s="139" t="s">
        <v>133</v>
      </c>
      <c r="J516" s="136" t="s">
        <v>133</v>
      </c>
      <c r="L516" s="136" t="str">
        <f t="shared" si="1"/>
        <v/>
      </c>
      <c r="N516" s="141" t="s">
        <v>133</v>
      </c>
      <c r="O516" s="136" t="str">
        <f>IFERROR(__xludf.DUMMYFUNCTION("""COMPUTED_VALUE"""),"")</f>
        <v/>
      </c>
      <c r="P516" s="136" t="str">
        <f>IFERROR(__xludf.DUMMYFUNCTION("""COMPUTED_VALUE"""),"")</f>
        <v/>
      </c>
      <c r="Q516" s="106" t="str">
        <f>IFERROR(__xludf.DUMMYFUNCTION("""COMPUTED_VALUE"""),"")</f>
        <v/>
      </c>
      <c r="R516" s="106" t="str">
        <f>IFERROR(__xludf.DUMMYFUNCTION("""COMPUTED_VALUE"""),"")</f>
        <v/>
      </c>
      <c r="S516" s="139" t="str">
        <f>IFERROR(__xludf.DUMMYFUNCTION("""COMPUTED_VALUE"""),"")</f>
        <v/>
      </c>
      <c r="T516" s="139" t="str">
        <f>IFERROR(__xludf.DUMMYFUNCTION("""COMPUTED_VALUE"""),"")</f>
        <v/>
      </c>
      <c r="U516" s="136" t="str">
        <f>IFERROR(__xludf.DUMMYFUNCTION("""COMPUTED_VALUE"""),"")</f>
        <v/>
      </c>
      <c r="V516" s="106" t="str">
        <f>IFERROR(__xludf.DUMMYFUNCTION("""COMPUTED_VALUE"""),"")</f>
        <v/>
      </c>
      <c r="W516" s="143" t="str">
        <f t="shared" si="2"/>
        <v/>
      </c>
      <c r="X516" s="139" t="str">
        <f>IFERROR(__xludf.DUMMYFUNCTION("""COMPUTED_VALUE"""),"")</f>
        <v/>
      </c>
      <c r="Y516" s="141" t="str">
        <f>IFERROR(__xludf.DUMMYFUNCTION("""COMPUTED_VALUE"""),"")</f>
        <v/>
      </c>
    </row>
    <row r="517">
      <c r="C517" s="136" t="str">
        <f t="shared" si="3"/>
        <v/>
      </c>
      <c r="E517" s="106"/>
      <c r="G517" s="106" t="s">
        <v>133</v>
      </c>
      <c r="I517" s="139" t="s">
        <v>133</v>
      </c>
      <c r="J517" s="136" t="s">
        <v>133</v>
      </c>
      <c r="L517" s="136" t="str">
        <f t="shared" si="1"/>
        <v/>
      </c>
      <c r="N517" s="141" t="s">
        <v>133</v>
      </c>
      <c r="O517" s="136" t="str">
        <f>IFERROR(__xludf.DUMMYFUNCTION("""COMPUTED_VALUE"""),"")</f>
        <v/>
      </c>
      <c r="P517" s="136" t="str">
        <f>IFERROR(__xludf.DUMMYFUNCTION("""COMPUTED_VALUE"""),"")</f>
        <v/>
      </c>
      <c r="Q517" s="106" t="str">
        <f>IFERROR(__xludf.DUMMYFUNCTION("""COMPUTED_VALUE"""),"")</f>
        <v/>
      </c>
      <c r="R517" s="106" t="str">
        <f>IFERROR(__xludf.DUMMYFUNCTION("""COMPUTED_VALUE"""),"")</f>
        <v/>
      </c>
      <c r="S517" s="139" t="str">
        <f>IFERROR(__xludf.DUMMYFUNCTION("""COMPUTED_VALUE"""),"")</f>
        <v/>
      </c>
      <c r="T517" s="139" t="str">
        <f>IFERROR(__xludf.DUMMYFUNCTION("""COMPUTED_VALUE"""),"")</f>
        <v/>
      </c>
      <c r="U517" s="136" t="str">
        <f>IFERROR(__xludf.DUMMYFUNCTION("""COMPUTED_VALUE"""),"")</f>
        <v/>
      </c>
      <c r="V517" s="106" t="str">
        <f>IFERROR(__xludf.DUMMYFUNCTION("""COMPUTED_VALUE"""),"")</f>
        <v/>
      </c>
      <c r="W517" s="143" t="str">
        <f t="shared" si="2"/>
        <v/>
      </c>
      <c r="X517" s="139" t="str">
        <f>IFERROR(__xludf.DUMMYFUNCTION("""COMPUTED_VALUE"""),"")</f>
        <v/>
      </c>
      <c r="Y517" s="141" t="str">
        <f>IFERROR(__xludf.DUMMYFUNCTION("""COMPUTED_VALUE"""),"")</f>
        <v/>
      </c>
    </row>
    <row r="518">
      <c r="C518" s="136" t="str">
        <f t="shared" si="3"/>
        <v/>
      </c>
      <c r="E518" s="106"/>
      <c r="G518" s="106" t="s">
        <v>133</v>
      </c>
      <c r="I518" s="139" t="s">
        <v>133</v>
      </c>
      <c r="J518" s="136" t="s">
        <v>133</v>
      </c>
      <c r="L518" s="136" t="str">
        <f t="shared" si="1"/>
        <v/>
      </c>
      <c r="N518" s="141" t="s">
        <v>133</v>
      </c>
      <c r="O518" s="136" t="str">
        <f>IFERROR(__xludf.DUMMYFUNCTION("""COMPUTED_VALUE"""),"")</f>
        <v/>
      </c>
      <c r="P518" s="136" t="str">
        <f>IFERROR(__xludf.DUMMYFUNCTION("""COMPUTED_VALUE"""),"")</f>
        <v/>
      </c>
      <c r="Q518" s="106" t="str">
        <f>IFERROR(__xludf.DUMMYFUNCTION("""COMPUTED_VALUE"""),"")</f>
        <v/>
      </c>
      <c r="R518" s="106" t="str">
        <f>IFERROR(__xludf.DUMMYFUNCTION("""COMPUTED_VALUE"""),"")</f>
        <v/>
      </c>
      <c r="S518" s="139" t="str">
        <f>IFERROR(__xludf.DUMMYFUNCTION("""COMPUTED_VALUE"""),"")</f>
        <v/>
      </c>
      <c r="T518" s="139" t="str">
        <f>IFERROR(__xludf.DUMMYFUNCTION("""COMPUTED_VALUE"""),"")</f>
        <v/>
      </c>
      <c r="U518" s="136" t="str">
        <f>IFERROR(__xludf.DUMMYFUNCTION("""COMPUTED_VALUE"""),"")</f>
        <v/>
      </c>
      <c r="V518" s="106" t="str">
        <f>IFERROR(__xludf.DUMMYFUNCTION("""COMPUTED_VALUE"""),"")</f>
        <v/>
      </c>
      <c r="W518" s="143" t="str">
        <f t="shared" si="2"/>
        <v/>
      </c>
      <c r="X518" s="139" t="str">
        <f>IFERROR(__xludf.DUMMYFUNCTION("""COMPUTED_VALUE"""),"")</f>
        <v/>
      </c>
      <c r="Y518" s="141" t="str">
        <f>IFERROR(__xludf.DUMMYFUNCTION("""COMPUTED_VALUE"""),"")</f>
        <v/>
      </c>
    </row>
    <row r="519">
      <c r="C519" s="136" t="str">
        <f t="shared" si="3"/>
        <v/>
      </c>
      <c r="E519" s="106"/>
      <c r="G519" s="106" t="s">
        <v>133</v>
      </c>
      <c r="I519" s="139" t="s">
        <v>133</v>
      </c>
      <c r="J519" s="136" t="s">
        <v>133</v>
      </c>
      <c r="L519" s="136" t="str">
        <f t="shared" si="1"/>
        <v/>
      </c>
      <c r="N519" s="141" t="s">
        <v>133</v>
      </c>
      <c r="O519" s="136" t="str">
        <f>IFERROR(__xludf.DUMMYFUNCTION("""COMPUTED_VALUE"""),"")</f>
        <v/>
      </c>
      <c r="P519" s="136" t="str">
        <f>IFERROR(__xludf.DUMMYFUNCTION("""COMPUTED_VALUE"""),"")</f>
        <v/>
      </c>
      <c r="Q519" s="106" t="str">
        <f>IFERROR(__xludf.DUMMYFUNCTION("""COMPUTED_VALUE"""),"")</f>
        <v/>
      </c>
      <c r="R519" s="106" t="str">
        <f>IFERROR(__xludf.DUMMYFUNCTION("""COMPUTED_VALUE"""),"")</f>
        <v/>
      </c>
      <c r="S519" s="139" t="str">
        <f>IFERROR(__xludf.DUMMYFUNCTION("""COMPUTED_VALUE"""),"")</f>
        <v/>
      </c>
      <c r="T519" s="139" t="str">
        <f>IFERROR(__xludf.DUMMYFUNCTION("""COMPUTED_VALUE"""),"")</f>
        <v/>
      </c>
      <c r="U519" s="136" t="str">
        <f>IFERROR(__xludf.DUMMYFUNCTION("""COMPUTED_VALUE"""),"")</f>
        <v/>
      </c>
      <c r="V519" s="106" t="str">
        <f>IFERROR(__xludf.DUMMYFUNCTION("""COMPUTED_VALUE"""),"")</f>
        <v/>
      </c>
      <c r="W519" s="143" t="str">
        <f t="shared" si="2"/>
        <v/>
      </c>
      <c r="X519" s="139" t="str">
        <f>IFERROR(__xludf.DUMMYFUNCTION("""COMPUTED_VALUE"""),"")</f>
        <v/>
      </c>
      <c r="Y519" s="141" t="str">
        <f>IFERROR(__xludf.DUMMYFUNCTION("""COMPUTED_VALUE"""),"")</f>
        <v/>
      </c>
    </row>
    <row r="520">
      <c r="C520" s="136" t="str">
        <f t="shared" si="3"/>
        <v/>
      </c>
      <c r="E520" s="106"/>
      <c r="G520" s="106" t="s">
        <v>133</v>
      </c>
      <c r="I520" s="139" t="s">
        <v>133</v>
      </c>
      <c r="J520" s="136" t="s">
        <v>133</v>
      </c>
      <c r="L520" s="136" t="str">
        <f t="shared" si="1"/>
        <v/>
      </c>
      <c r="N520" s="141" t="s">
        <v>133</v>
      </c>
      <c r="O520" s="136" t="str">
        <f>IFERROR(__xludf.DUMMYFUNCTION("""COMPUTED_VALUE"""),"")</f>
        <v/>
      </c>
      <c r="P520" s="136" t="str">
        <f>IFERROR(__xludf.DUMMYFUNCTION("""COMPUTED_VALUE"""),"")</f>
        <v/>
      </c>
      <c r="Q520" s="106" t="str">
        <f>IFERROR(__xludf.DUMMYFUNCTION("""COMPUTED_VALUE"""),"")</f>
        <v/>
      </c>
      <c r="R520" s="106" t="str">
        <f>IFERROR(__xludf.DUMMYFUNCTION("""COMPUTED_VALUE"""),"")</f>
        <v/>
      </c>
      <c r="S520" s="139" t="str">
        <f>IFERROR(__xludf.DUMMYFUNCTION("""COMPUTED_VALUE"""),"")</f>
        <v/>
      </c>
      <c r="T520" s="139" t="str">
        <f>IFERROR(__xludf.DUMMYFUNCTION("""COMPUTED_VALUE"""),"")</f>
        <v/>
      </c>
      <c r="U520" s="136" t="str">
        <f>IFERROR(__xludf.DUMMYFUNCTION("""COMPUTED_VALUE"""),"")</f>
        <v/>
      </c>
      <c r="V520" s="106" t="str">
        <f>IFERROR(__xludf.DUMMYFUNCTION("""COMPUTED_VALUE"""),"")</f>
        <v/>
      </c>
      <c r="W520" s="143" t="str">
        <f t="shared" si="2"/>
        <v/>
      </c>
      <c r="X520" s="139" t="str">
        <f>IFERROR(__xludf.DUMMYFUNCTION("""COMPUTED_VALUE"""),"")</f>
        <v/>
      </c>
      <c r="Y520" s="141" t="str">
        <f>IFERROR(__xludf.DUMMYFUNCTION("""COMPUTED_VALUE"""),"")</f>
        <v/>
      </c>
    </row>
    <row r="521">
      <c r="C521" s="136" t="str">
        <f t="shared" si="3"/>
        <v/>
      </c>
      <c r="E521" s="106"/>
      <c r="G521" s="106" t="s">
        <v>133</v>
      </c>
      <c r="I521" s="139" t="s">
        <v>133</v>
      </c>
      <c r="J521" s="136" t="s">
        <v>133</v>
      </c>
      <c r="L521" s="136" t="str">
        <f t="shared" si="1"/>
        <v/>
      </c>
      <c r="N521" s="141" t="s">
        <v>133</v>
      </c>
      <c r="O521" s="136" t="str">
        <f>IFERROR(__xludf.DUMMYFUNCTION("""COMPUTED_VALUE"""),"")</f>
        <v/>
      </c>
      <c r="P521" s="136" t="str">
        <f>IFERROR(__xludf.DUMMYFUNCTION("""COMPUTED_VALUE"""),"")</f>
        <v/>
      </c>
      <c r="Q521" s="106" t="str">
        <f>IFERROR(__xludf.DUMMYFUNCTION("""COMPUTED_VALUE"""),"")</f>
        <v/>
      </c>
      <c r="R521" s="106" t="str">
        <f>IFERROR(__xludf.DUMMYFUNCTION("""COMPUTED_VALUE"""),"")</f>
        <v/>
      </c>
      <c r="S521" s="139" t="str">
        <f>IFERROR(__xludf.DUMMYFUNCTION("""COMPUTED_VALUE"""),"")</f>
        <v/>
      </c>
      <c r="T521" s="139" t="str">
        <f>IFERROR(__xludf.DUMMYFUNCTION("""COMPUTED_VALUE"""),"")</f>
        <v/>
      </c>
      <c r="U521" s="136" t="str">
        <f>IFERROR(__xludf.DUMMYFUNCTION("""COMPUTED_VALUE"""),"")</f>
        <v/>
      </c>
      <c r="V521" s="106" t="str">
        <f>IFERROR(__xludf.DUMMYFUNCTION("""COMPUTED_VALUE"""),"")</f>
        <v/>
      </c>
      <c r="W521" s="143" t="str">
        <f t="shared" si="2"/>
        <v/>
      </c>
      <c r="X521" s="139" t="str">
        <f>IFERROR(__xludf.DUMMYFUNCTION("""COMPUTED_VALUE"""),"")</f>
        <v/>
      </c>
      <c r="Y521" s="141" t="str">
        <f>IFERROR(__xludf.DUMMYFUNCTION("""COMPUTED_VALUE"""),"")</f>
        <v/>
      </c>
    </row>
    <row r="522">
      <c r="C522" s="136" t="str">
        <f t="shared" si="3"/>
        <v/>
      </c>
      <c r="E522" s="106"/>
      <c r="G522" s="106" t="s">
        <v>133</v>
      </c>
      <c r="I522" s="139" t="s">
        <v>133</v>
      </c>
      <c r="J522" s="136" t="s">
        <v>133</v>
      </c>
      <c r="L522" s="136" t="str">
        <f t="shared" si="1"/>
        <v/>
      </c>
      <c r="N522" s="141" t="s">
        <v>133</v>
      </c>
      <c r="O522" s="136" t="str">
        <f>IFERROR(__xludf.DUMMYFUNCTION("""COMPUTED_VALUE"""),"")</f>
        <v/>
      </c>
      <c r="P522" s="136" t="str">
        <f>IFERROR(__xludf.DUMMYFUNCTION("""COMPUTED_VALUE"""),"")</f>
        <v/>
      </c>
      <c r="Q522" s="106" t="str">
        <f>IFERROR(__xludf.DUMMYFUNCTION("""COMPUTED_VALUE"""),"")</f>
        <v/>
      </c>
      <c r="R522" s="106" t="str">
        <f>IFERROR(__xludf.DUMMYFUNCTION("""COMPUTED_VALUE"""),"")</f>
        <v/>
      </c>
      <c r="S522" s="139" t="str">
        <f>IFERROR(__xludf.DUMMYFUNCTION("""COMPUTED_VALUE"""),"")</f>
        <v/>
      </c>
      <c r="T522" s="139" t="str">
        <f>IFERROR(__xludf.DUMMYFUNCTION("""COMPUTED_VALUE"""),"")</f>
        <v/>
      </c>
      <c r="U522" s="136" t="str">
        <f>IFERROR(__xludf.DUMMYFUNCTION("""COMPUTED_VALUE"""),"")</f>
        <v/>
      </c>
      <c r="V522" s="106" t="str">
        <f>IFERROR(__xludf.DUMMYFUNCTION("""COMPUTED_VALUE"""),"")</f>
        <v/>
      </c>
      <c r="W522" s="143" t="str">
        <f t="shared" si="2"/>
        <v/>
      </c>
      <c r="X522" s="139" t="str">
        <f>IFERROR(__xludf.DUMMYFUNCTION("""COMPUTED_VALUE"""),"")</f>
        <v/>
      </c>
      <c r="Y522" s="141" t="str">
        <f>IFERROR(__xludf.DUMMYFUNCTION("""COMPUTED_VALUE"""),"")</f>
        <v/>
      </c>
    </row>
    <row r="523">
      <c r="C523" s="136" t="str">
        <f t="shared" si="3"/>
        <v/>
      </c>
      <c r="E523" s="106"/>
      <c r="G523" s="106" t="s">
        <v>133</v>
      </c>
      <c r="I523" s="139" t="s">
        <v>133</v>
      </c>
      <c r="J523" s="136" t="s">
        <v>133</v>
      </c>
      <c r="L523" s="136" t="str">
        <f t="shared" si="1"/>
        <v/>
      </c>
      <c r="N523" s="141" t="s">
        <v>133</v>
      </c>
      <c r="O523" s="136" t="str">
        <f>IFERROR(__xludf.DUMMYFUNCTION("""COMPUTED_VALUE"""),"")</f>
        <v/>
      </c>
      <c r="P523" s="136" t="str">
        <f>IFERROR(__xludf.DUMMYFUNCTION("""COMPUTED_VALUE"""),"")</f>
        <v/>
      </c>
      <c r="Q523" s="106" t="str">
        <f>IFERROR(__xludf.DUMMYFUNCTION("""COMPUTED_VALUE"""),"")</f>
        <v/>
      </c>
      <c r="R523" s="106" t="str">
        <f>IFERROR(__xludf.DUMMYFUNCTION("""COMPUTED_VALUE"""),"")</f>
        <v/>
      </c>
      <c r="S523" s="139" t="str">
        <f>IFERROR(__xludf.DUMMYFUNCTION("""COMPUTED_VALUE"""),"")</f>
        <v/>
      </c>
      <c r="T523" s="139" t="str">
        <f>IFERROR(__xludf.DUMMYFUNCTION("""COMPUTED_VALUE"""),"")</f>
        <v/>
      </c>
      <c r="U523" s="136" t="str">
        <f>IFERROR(__xludf.DUMMYFUNCTION("""COMPUTED_VALUE"""),"")</f>
        <v/>
      </c>
      <c r="V523" s="106" t="str">
        <f>IFERROR(__xludf.DUMMYFUNCTION("""COMPUTED_VALUE"""),"")</f>
        <v/>
      </c>
      <c r="W523" s="143" t="str">
        <f t="shared" si="2"/>
        <v/>
      </c>
      <c r="X523" s="139" t="str">
        <f>IFERROR(__xludf.DUMMYFUNCTION("""COMPUTED_VALUE"""),"")</f>
        <v/>
      </c>
      <c r="Y523" s="141" t="str">
        <f>IFERROR(__xludf.DUMMYFUNCTION("""COMPUTED_VALUE"""),"")</f>
        <v/>
      </c>
    </row>
    <row r="524">
      <c r="C524" s="136" t="str">
        <f t="shared" si="3"/>
        <v/>
      </c>
      <c r="E524" s="106"/>
      <c r="G524" s="106" t="s">
        <v>133</v>
      </c>
      <c r="I524" s="139" t="s">
        <v>133</v>
      </c>
      <c r="J524" s="136" t="s">
        <v>133</v>
      </c>
      <c r="L524" s="136" t="str">
        <f t="shared" si="1"/>
        <v/>
      </c>
      <c r="N524" s="141" t="s">
        <v>133</v>
      </c>
      <c r="O524" s="136" t="str">
        <f>IFERROR(__xludf.DUMMYFUNCTION("""COMPUTED_VALUE"""),"")</f>
        <v/>
      </c>
      <c r="P524" s="136" t="str">
        <f>IFERROR(__xludf.DUMMYFUNCTION("""COMPUTED_VALUE"""),"")</f>
        <v/>
      </c>
      <c r="Q524" s="106" t="str">
        <f>IFERROR(__xludf.DUMMYFUNCTION("""COMPUTED_VALUE"""),"")</f>
        <v/>
      </c>
      <c r="R524" s="106" t="str">
        <f>IFERROR(__xludf.DUMMYFUNCTION("""COMPUTED_VALUE"""),"")</f>
        <v/>
      </c>
      <c r="S524" s="139" t="str">
        <f>IFERROR(__xludf.DUMMYFUNCTION("""COMPUTED_VALUE"""),"")</f>
        <v/>
      </c>
      <c r="T524" s="139" t="str">
        <f>IFERROR(__xludf.DUMMYFUNCTION("""COMPUTED_VALUE"""),"")</f>
        <v/>
      </c>
      <c r="U524" s="136" t="str">
        <f>IFERROR(__xludf.DUMMYFUNCTION("""COMPUTED_VALUE"""),"")</f>
        <v/>
      </c>
      <c r="V524" s="106" t="str">
        <f>IFERROR(__xludf.DUMMYFUNCTION("""COMPUTED_VALUE"""),"")</f>
        <v/>
      </c>
      <c r="W524" s="143" t="str">
        <f t="shared" si="2"/>
        <v/>
      </c>
      <c r="X524" s="139" t="str">
        <f>IFERROR(__xludf.DUMMYFUNCTION("""COMPUTED_VALUE"""),"")</f>
        <v/>
      </c>
      <c r="Y524" s="141" t="str">
        <f>IFERROR(__xludf.DUMMYFUNCTION("""COMPUTED_VALUE"""),"")</f>
        <v/>
      </c>
    </row>
    <row r="525">
      <c r="C525" s="136" t="str">
        <f t="shared" si="3"/>
        <v/>
      </c>
      <c r="E525" s="106"/>
      <c r="G525" s="106" t="s">
        <v>133</v>
      </c>
      <c r="I525" s="139" t="s">
        <v>133</v>
      </c>
      <c r="J525" s="136" t="s">
        <v>133</v>
      </c>
      <c r="L525" s="136" t="str">
        <f t="shared" si="1"/>
        <v/>
      </c>
      <c r="N525" s="141" t="s">
        <v>133</v>
      </c>
      <c r="O525" s="136" t="str">
        <f>IFERROR(__xludf.DUMMYFUNCTION("""COMPUTED_VALUE"""),"")</f>
        <v/>
      </c>
      <c r="P525" s="136" t="str">
        <f>IFERROR(__xludf.DUMMYFUNCTION("""COMPUTED_VALUE"""),"")</f>
        <v/>
      </c>
      <c r="Q525" s="106" t="str">
        <f>IFERROR(__xludf.DUMMYFUNCTION("""COMPUTED_VALUE"""),"")</f>
        <v/>
      </c>
      <c r="R525" s="106" t="str">
        <f>IFERROR(__xludf.DUMMYFUNCTION("""COMPUTED_VALUE"""),"")</f>
        <v/>
      </c>
      <c r="S525" s="139" t="str">
        <f>IFERROR(__xludf.DUMMYFUNCTION("""COMPUTED_VALUE"""),"")</f>
        <v/>
      </c>
      <c r="T525" s="139" t="str">
        <f>IFERROR(__xludf.DUMMYFUNCTION("""COMPUTED_VALUE"""),"")</f>
        <v/>
      </c>
      <c r="U525" s="136" t="str">
        <f>IFERROR(__xludf.DUMMYFUNCTION("""COMPUTED_VALUE"""),"")</f>
        <v/>
      </c>
      <c r="V525" s="106" t="str">
        <f>IFERROR(__xludf.DUMMYFUNCTION("""COMPUTED_VALUE"""),"")</f>
        <v/>
      </c>
      <c r="W525" s="143" t="str">
        <f t="shared" si="2"/>
        <v/>
      </c>
      <c r="X525" s="139" t="str">
        <f>IFERROR(__xludf.DUMMYFUNCTION("""COMPUTED_VALUE"""),"")</f>
        <v/>
      </c>
      <c r="Y525" s="141" t="str">
        <f>IFERROR(__xludf.DUMMYFUNCTION("""COMPUTED_VALUE"""),"")</f>
        <v/>
      </c>
    </row>
    <row r="526">
      <c r="C526" s="136" t="str">
        <f t="shared" si="3"/>
        <v/>
      </c>
      <c r="E526" s="106"/>
      <c r="G526" s="106" t="s">
        <v>133</v>
      </c>
      <c r="I526" s="139" t="s">
        <v>133</v>
      </c>
      <c r="J526" s="136" t="s">
        <v>133</v>
      </c>
      <c r="L526" s="136" t="str">
        <f t="shared" si="1"/>
        <v/>
      </c>
      <c r="N526" s="141" t="s">
        <v>133</v>
      </c>
      <c r="O526" s="136" t="str">
        <f>IFERROR(__xludf.DUMMYFUNCTION("""COMPUTED_VALUE"""),"")</f>
        <v/>
      </c>
      <c r="P526" s="136" t="str">
        <f>IFERROR(__xludf.DUMMYFUNCTION("""COMPUTED_VALUE"""),"")</f>
        <v/>
      </c>
      <c r="Q526" s="106" t="str">
        <f>IFERROR(__xludf.DUMMYFUNCTION("""COMPUTED_VALUE"""),"")</f>
        <v/>
      </c>
      <c r="R526" s="106" t="str">
        <f>IFERROR(__xludf.DUMMYFUNCTION("""COMPUTED_VALUE"""),"")</f>
        <v/>
      </c>
      <c r="S526" s="139" t="str">
        <f>IFERROR(__xludf.DUMMYFUNCTION("""COMPUTED_VALUE"""),"")</f>
        <v/>
      </c>
      <c r="T526" s="139" t="str">
        <f>IFERROR(__xludf.DUMMYFUNCTION("""COMPUTED_VALUE"""),"")</f>
        <v/>
      </c>
      <c r="U526" s="136" t="str">
        <f>IFERROR(__xludf.DUMMYFUNCTION("""COMPUTED_VALUE"""),"")</f>
        <v/>
      </c>
      <c r="V526" s="106" t="str">
        <f>IFERROR(__xludf.DUMMYFUNCTION("""COMPUTED_VALUE"""),"")</f>
        <v/>
      </c>
      <c r="W526" s="143" t="str">
        <f t="shared" si="2"/>
        <v/>
      </c>
      <c r="X526" s="139" t="str">
        <f>IFERROR(__xludf.DUMMYFUNCTION("""COMPUTED_VALUE"""),"")</f>
        <v/>
      </c>
      <c r="Y526" s="141" t="str">
        <f>IFERROR(__xludf.DUMMYFUNCTION("""COMPUTED_VALUE"""),"")</f>
        <v/>
      </c>
    </row>
    <row r="527">
      <c r="C527" s="136" t="str">
        <f t="shared" si="3"/>
        <v/>
      </c>
      <c r="E527" s="106"/>
      <c r="G527" s="106" t="s">
        <v>133</v>
      </c>
      <c r="I527" s="139" t="s">
        <v>133</v>
      </c>
      <c r="J527" s="136" t="s">
        <v>133</v>
      </c>
      <c r="L527" s="136" t="str">
        <f t="shared" si="1"/>
        <v/>
      </c>
      <c r="N527" s="141" t="s">
        <v>133</v>
      </c>
      <c r="O527" s="136" t="str">
        <f>IFERROR(__xludf.DUMMYFUNCTION("""COMPUTED_VALUE"""),"")</f>
        <v/>
      </c>
      <c r="P527" s="136" t="str">
        <f>IFERROR(__xludf.DUMMYFUNCTION("""COMPUTED_VALUE"""),"")</f>
        <v/>
      </c>
      <c r="Q527" s="106" t="str">
        <f>IFERROR(__xludf.DUMMYFUNCTION("""COMPUTED_VALUE"""),"")</f>
        <v/>
      </c>
      <c r="R527" s="106" t="str">
        <f>IFERROR(__xludf.DUMMYFUNCTION("""COMPUTED_VALUE"""),"")</f>
        <v/>
      </c>
      <c r="S527" s="139" t="str">
        <f>IFERROR(__xludf.DUMMYFUNCTION("""COMPUTED_VALUE"""),"")</f>
        <v/>
      </c>
      <c r="T527" s="139" t="str">
        <f>IFERROR(__xludf.DUMMYFUNCTION("""COMPUTED_VALUE"""),"")</f>
        <v/>
      </c>
      <c r="U527" s="136" t="str">
        <f>IFERROR(__xludf.DUMMYFUNCTION("""COMPUTED_VALUE"""),"")</f>
        <v/>
      </c>
      <c r="V527" s="106" t="str">
        <f>IFERROR(__xludf.DUMMYFUNCTION("""COMPUTED_VALUE"""),"")</f>
        <v/>
      </c>
      <c r="W527" s="143" t="str">
        <f t="shared" si="2"/>
        <v/>
      </c>
      <c r="X527" s="139" t="str">
        <f>IFERROR(__xludf.DUMMYFUNCTION("""COMPUTED_VALUE"""),"")</f>
        <v/>
      </c>
      <c r="Y527" s="141" t="str">
        <f>IFERROR(__xludf.DUMMYFUNCTION("""COMPUTED_VALUE"""),"")</f>
        <v/>
      </c>
    </row>
    <row r="528">
      <c r="C528" s="136" t="str">
        <f t="shared" si="3"/>
        <v/>
      </c>
      <c r="E528" s="106"/>
      <c r="G528" s="106" t="s">
        <v>133</v>
      </c>
      <c r="I528" s="139" t="s">
        <v>133</v>
      </c>
      <c r="J528" s="136" t="s">
        <v>133</v>
      </c>
      <c r="L528" s="136" t="str">
        <f t="shared" si="1"/>
        <v/>
      </c>
      <c r="N528" s="141" t="s">
        <v>133</v>
      </c>
      <c r="O528" s="136" t="str">
        <f>IFERROR(__xludf.DUMMYFUNCTION("""COMPUTED_VALUE"""),"")</f>
        <v/>
      </c>
      <c r="P528" s="136" t="str">
        <f>IFERROR(__xludf.DUMMYFUNCTION("""COMPUTED_VALUE"""),"")</f>
        <v/>
      </c>
      <c r="Q528" s="106" t="str">
        <f>IFERROR(__xludf.DUMMYFUNCTION("""COMPUTED_VALUE"""),"")</f>
        <v/>
      </c>
      <c r="R528" s="106" t="str">
        <f>IFERROR(__xludf.DUMMYFUNCTION("""COMPUTED_VALUE"""),"")</f>
        <v/>
      </c>
      <c r="S528" s="139" t="str">
        <f>IFERROR(__xludf.DUMMYFUNCTION("""COMPUTED_VALUE"""),"")</f>
        <v/>
      </c>
      <c r="T528" s="139" t="str">
        <f>IFERROR(__xludf.DUMMYFUNCTION("""COMPUTED_VALUE"""),"")</f>
        <v/>
      </c>
      <c r="U528" s="136" t="str">
        <f>IFERROR(__xludf.DUMMYFUNCTION("""COMPUTED_VALUE"""),"")</f>
        <v/>
      </c>
      <c r="V528" s="106" t="str">
        <f>IFERROR(__xludf.DUMMYFUNCTION("""COMPUTED_VALUE"""),"")</f>
        <v/>
      </c>
      <c r="W528" s="143" t="str">
        <f t="shared" si="2"/>
        <v/>
      </c>
      <c r="X528" s="139" t="str">
        <f>IFERROR(__xludf.DUMMYFUNCTION("""COMPUTED_VALUE"""),"")</f>
        <v/>
      </c>
      <c r="Y528" s="141" t="str">
        <f>IFERROR(__xludf.DUMMYFUNCTION("""COMPUTED_VALUE"""),"")</f>
        <v/>
      </c>
    </row>
    <row r="529">
      <c r="C529" s="136" t="str">
        <f t="shared" si="3"/>
        <v/>
      </c>
      <c r="E529" s="106"/>
      <c r="G529" s="106" t="s">
        <v>133</v>
      </c>
      <c r="I529" s="139" t="s">
        <v>133</v>
      </c>
      <c r="J529" s="136" t="s">
        <v>133</v>
      </c>
      <c r="L529" s="136" t="str">
        <f t="shared" si="1"/>
        <v/>
      </c>
      <c r="N529" s="141" t="s">
        <v>133</v>
      </c>
      <c r="O529" s="136" t="str">
        <f>IFERROR(__xludf.DUMMYFUNCTION("""COMPUTED_VALUE"""),"")</f>
        <v/>
      </c>
      <c r="P529" s="136" t="str">
        <f>IFERROR(__xludf.DUMMYFUNCTION("""COMPUTED_VALUE"""),"")</f>
        <v/>
      </c>
      <c r="Q529" s="106" t="str">
        <f>IFERROR(__xludf.DUMMYFUNCTION("""COMPUTED_VALUE"""),"")</f>
        <v/>
      </c>
      <c r="R529" s="106" t="str">
        <f>IFERROR(__xludf.DUMMYFUNCTION("""COMPUTED_VALUE"""),"")</f>
        <v/>
      </c>
      <c r="S529" s="139" t="str">
        <f>IFERROR(__xludf.DUMMYFUNCTION("""COMPUTED_VALUE"""),"")</f>
        <v/>
      </c>
      <c r="T529" s="139" t="str">
        <f>IFERROR(__xludf.DUMMYFUNCTION("""COMPUTED_VALUE"""),"")</f>
        <v/>
      </c>
      <c r="U529" s="136" t="str">
        <f>IFERROR(__xludf.DUMMYFUNCTION("""COMPUTED_VALUE"""),"")</f>
        <v/>
      </c>
      <c r="V529" s="106" t="str">
        <f>IFERROR(__xludf.DUMMYFUNCTION("""COMPUTED_VALUE"""),"")</f>
        <v/>
      </c>
      <c r="W529" s="143" t="str">
        <f t="shared" si="2"/>
        <v/>
      </c>
      <c r="X529" s="139" t="str">
        <f>IFERROR(__xludf.DUMMYFUNCTION("""COMPUTED_VALUE"""),"")</f>
        <v/>
      </c>
      <c r="Y529" s="141" t="str">
        <f>IFERROR(__xludf.DUMMYFUNCTION("""COMPUTED_VALUE"""),"")</f>
        <v/>
      </c>
    </row>
    <row r="530">
      <c r="C530" s="136" t="str">
        <f t="shared" si="3"/>
        <v/>
      </c>
      <c r="E530" s="106"/>
      <c r="G530" s="106" t="s">
        <v>133</v>
      </c>
      <c r="I530" s="139" t="s">
        <v>133</v>
      </c>
      <c r="J530" s="136" t="s">
        <v>133</v>
      </c>
      <c r="L530" s="136" t="str">
        <f t="shared" si="1"/>
        <v/>
      </c>
      <c r="N530" s="141" t="s">
        <v>133</v>
      </c>
      <c r="O530" s="136" t="str">
        <f>IFERROR(__xludf.DUMMYFUNCTION("""COMPUTED_VALUE"""),"")</f>
        <v/>
      </c>
      <c r="P530" s="136" t="str">
        <f>IFERROR(__xludf.DUMMYFUNCTION("""COMPUTED_VALUE"""),"")</f>
        <v/>
      </c>
      <c r="Q530" s="106" t="str">
        <f>IFERROR(__xludf.DUMMYFUNCTION("""COMPUTED_VALUE"""),"")</f>
        <v/>
      </c>
      <c r="R530" s="106" t="str">
        <f>IFERROR(__xludf.DUMMYFUNCTION("""COMPUTED_VALUE"""),"")</f>
        <v/>
      </c>
      <c r="S530" s="139" t="str">
        <f>IFERROR(__xludf.DUMMYFUNCTION("""COMPUTED_VALUE"""),"")</f>
        <v/>
      </c>
      <c r="T530" s="139" t="str">
        <f>IFERROR(__xludf.DUMMYFUNCTION("""COMPUTED_VALUE"""),"")</f>
        <v/>
      </c>
      <c r="U530" s="136" t="str">
        <f>IFERROR(__xludf.DUMMYFUNCTION("""COMPUTED_VALUE"""),"")</f>
        <v/>
      </c>
      <c r="V530" s="106" t="str">
        <f>IFERROR(__xludf.DUMMYFUNCTION("""COMPUTED_VALUE"""),"")</f>
        <v/>
      </c>
      <c r="W530" s="143" t="str">
        <f t="shared" si="2"/>
        <v/>
      </c>
      <c r="X530" s="139" t="str">
        <f>IFERROR(__xludf.DUMMYFUNCTION("""COMPUTED_VALUE"""),"")</f>
        <v/>
      </c>
      <c r="Y530" s="141" t="str">
        <f>IFERROR(__xludf.DUMMYFUNCTION("""COMPUTED_VALUE"""),"")</f>
        <v/>
      </c>
    </row>
    <row r="531">
      <c r="C531" s="136" t="str">
        <f t="shared" si="3"/>
        <v/>
      </c>
      <c r="E531" s="106"/>
      <c r="G531" s="106" t="s">
        <v>133</v>
      </c>
      <c r="I531" s="139" t="s">
        <v>133</v>
      </c>
      <c r="J531" s="136" t="s">
        <v>133</v>
      </c>
      <c r="L531" s="136" t="str">
        <f t="shared" si="1"/>
        <v/>
      </c>
      <c r="N531" s="141" t="s">
        <v>133</v>
      </c>
      <c r="O531" s="136" t="str">
        <f>IFERROR(__xludf.DUMMYFUNCTION("""COMPUTED_VALUE"""),"")</f>
        <v/>
      </c>
      <c r="P531" s="136" t="str">
        <f>IFERROR(__xludf.DUMMYFUNCTION("""COMPUTED_VALUE"""),"")</f>
        <v/>
      </c>
      <c r="Q531" s="106" t="str">
        <f>IFERROR(__xludf.DUMMYFUNCTION("""COMPUTED_VALUE"""),"")</f>
        <v/>
      </c>
      <c r="R531" s="106" t="str">
        <f>IFERROR(__xludf.DUMMYFUNCTION("""COMPUTED_VALUE"""),"")</f>
        <v/>
      </c>
      <c r="S531" s="139" t="str">
        <f>IFERROR(__xludf.DUMMYFUNCTION("""COMPUTED_VALUE"""),"")</f>
        <v/>
      </c>
      <c r="T531" s="139" t="str">
        <f>IFERROR(__xludf.DUMMYFUNCTION("""COMPUTED_VALUE"""),"")</f>
        <v/>
      </c>
      <c r="U531" s="136" t="str">
        <f>IFERROR(__xludf.DUMMYFUNCTION("""COMPUTED_VALUE"""),"")</f>
        <v/>
      </c>
      <c r="V531" s="106" t="str">
        <f>IFERROR(__xludf.DUMMYFUNCTION("""COMPUTED_VALUE"""),"")</f>
        <v/>
      </c>
      <c r="W531" s="143" t="str">
        <f t="shared" si="2"/>
        <v/>
      </c>
      <c r="X531" s="139" t="str">
        <f>IFERROR(__xludf.DUMMYFUNCTION("""COMPUTED_VALUE"""),"")</f>
        <v/>
      </c>
      <c r="Y531" s="141" t="str">
        <f>IFERROR(__xludf.DUMMYFUNCTION("""COMPUTED_VALUE"""),"")</f>
        <v/>
      </c>
    </row>
    <row r="532">
      <c r="C532" s="136" t="str">
        <f t="shared" si="3"/>
        <v/>
      </c>
      <c r="E532" s="106"/>
      <c r="G532" s="106" t="s">
        <v>133</v>
      </c>
      <c r="I532" s="139" t="s">
        <v>133</v>
      </c>
      <c r="J532" s="136" t="s">
        <v>133</v>
      </c>
      <c r="L532" s="136" t="str">
        <f t="shared" si="1"/>
        <v/>
      </c>
      <c r="N532" s="141" t="s">
        <v>133</v>
      </c>
      <c r="O532" s="136" t="str">
        <f>IFERROR(__xludf.DUMMYFUNCTION("""COMPUTED_VALUE"""),"")</f>
        <v/>
      </c>
      <c r="P532" s="136" t="str">
        <f>IFERROR(__xludf.DUMMYFUNCTION("""COMPUTED_VALUE"""),"")</f>
        <v/>
      </c>
      <c r="Q532" s="106" t="str">
        <f>IFERROR(__xludf.DUMMYFUNCTION("""COMPUTED_VALUE"""),"")</f>
        <v/>
      </c>
      <c r="R532" s="106" t="str">
        <f>IFERROR(__xludf.DUMMYFUNCTION("""COMPUTED_VALUE"""),"")</f>
        <v/>
      </c>
      <c r="S532" s="139" t="str">
        <f>IFERROR(__xludf.DUMMYFUNCTION("""COMPUTED_VALUE"""),"")</f>
        <v/>
      </c>
      <c r="T532" s="139" t="str">
        <f>IFERROR(__xludf.DUMMYFUNCTION("""COMPUTED_VALUE"""),"")</f>
        <v/>
      </c>
      <c r="U532" s="136" t="str">
        <f>IFERROR(__xludf.DUMMYFUNCTION("""COMPUTED_VALUE"""),"")</f>
        <v/>
      </c>
      <c r="V532" s="106" t="str">
        <f>IFERROR(__xludf.DUMMYFUNCTION("""COMPUTED_VALUE"""),"")</f>
        <v/>
      </c>
      <c r="W532" s="143" t="str">
        <f t="shared" si="2"/>
        <v/>
      </c>
      <c r="X532" s="139" t="str">
        <f>IFERROR(__xludf.DUMMYFUNCTION("""COMPUTED_VALUE"""),"")</f>
        <v/>
      </c>
      <c r="Y532" s="141" t="str">
        <f>IFERROR(__xludf.DUMMYFUNCTION("""COMPUTED_VALUE"""),"")</f>
        <v/>
      </c>
    </row>
    <row r="533">
      <c r="C533" s="136" t="str">
        <f t="shared" si="3"/>
        <v/>
      </c>
      <c r="E533" s="106"/>
      <c r="G533" s="106" t="s">
        <v>133</v>
      </c>
      <c r="I533" s="139" t="s">
        <v>133</v>
      </c>
      <c r="J533" s="136" t="s">
        <v>133</v>
      </c>
      <c r="L533" s="136" t="str">
        <f t="shared" si="1"/>
        <v/>
      </c>
      <c r="N533" s="141" t="s">
        <v>133</v>
      </c>
      <c r="O533" s="136" t="str">
        <f>IFERROR(__xludf.DUMMYFUNCTION("""COMPUTED_VALUE"""),"")</f>
        <v/>
      </c>
      <c r="P533" s="136" t="str">
        <f>IFERROR(__xludf.DUMMYFUNCTION("""COMPUTED_VALUE"""),"")</f>
        <v/>
      </c>
      <c r="Q533" s="106" t="str">
        <f>IFERROR(__xludf.DUMMYFUNCTION("""COMPUTED_VALUE"""),"")</f>
        <v/>
      </c>
      <c r="R533" s="106" t="str">
        <f>IFERROR(__xludf.DUMMYFUNCTION("""COMPUTED_VALUE"""),"")</f>
        <v/>
      </c>
      <c r="S533" s="139" t="str">
        <f>IFERROR(__xludf.DUMMYFUNCTION("""COMPUTED_VALUE"""),"")</f>
        <v/>
      </c>
      <c r="T533" s="139" t="str">
        <f>IFERROR(__xludf.DUMMYFUNCTION("""COMPUTED_VALUE"""),"")</f>
        <v/>
      </c>
      <c r="U533" s="136" t="str">
        <f>IFERROR(__xludf.DUMMYFUNCTION("""COMPUTED_VALUE"""),"")</f>
        <v/>
      </c>
      <c r="V533" s="106" t="str">
        <f>IFERROR(__xludf.DUMMYFUNCTION("""COMPUTED_VALUE"""),"")</f>
        <v/>
      </c>
      <c r="W533" s="143" t="str">
        <f t="shared" si="2"/>
        <v/>
      </c>
      <c r="X533" s="139" t="str">
        <f>IFERROR(__xludf.DUMMYFUNCTION("""COMPUTED_VALUE"""),"")</f>
        <v/>
      </c>
      <c r="Y533" s="141" t="str">
        <f>IFERROR(__xludf.DUMMYFUNCTION("""COMPUTED_VALUE"""),"")</f>
        <v/>
      </c>
    </row>
    <row r="534">
      <c r="C534" s="136" t="str">
        <f t="shared" si="3"/>
        <v/>
      </c>
      <c r="E534" s="106"/>
      <c r="G534" s="106" t="s">
        <v>133</v>
      </c>
      <c r="I534" s="139" t="s">
        <v>133</v>
      </c>
      <c r="J534" s="136" t="s">
        <v>133</v>
      </c>
      <c r="L534" s="136" t="str">
        <f t="shared" si="1"/>
        <v/>
      </c>
      <c r="N534" s="141" t="s">
        <v>133</v>
      </c>
      <c r="O534" s="136" t="str">
        <f>IFERROR(__xludf.DUMMYFUNCTION("""COMPUTED_VALUE"""),"")</f>
        <v/>
      </c>
      <c r="P534" s="136" t="str">
        <f>IFERROR(__xludf.DUMMYFUNCTION("""COMPUTED_VALUE"""),"")</f>
        <v/>
      </c>
      <c r="Q534" s="106" t="str">
        <f>IFERROR(__xludf.DUMMYFUNCTION("""COMPUTED_VALUE"""),"")</f>
        <v/>
      </c>
      <c r="R534" s="106" t="str">
        <f>IFERROR(__xludf.DUMMYFUNCTION("""COMPUTED_VALUE"""),"")</f>
        <v/>
      </c>
      <c r="S534" s="139" t="str">
        <f>IFERROR(__xludf.DUMMYFUNCTION("""COMPUTED_VALUE"""),"")</f>
        <v/>
      </c>
      <c r="T534" s="139" t="str">
        <f>IFERROR(__xludf.DUMMYFUNCTION("""COMPUTED_VALUE"""),"")</f>
        <v/>
      </c>
      <c r="U534" s="136" t="str">
        <f>IFERROR(__xludf.DUMMYFUNCTION("""COMPUTED_VALUE"""),"")</f>
        <v/>
      </c>
      <c r="V534" s="106" t="str">
        <f>IFERROR(__xludf.DUMMYFUNCTION("""COMPUTED_VALUE"""),"")</f>
        <v/>
      </c>
      <c r="W534" s="143" t="str">
        <f t="shared" si="2"/>
        <v/>
      </c>
      <c r="X534" s="139" t="str">
        <f>IFERROR(__xludf.DUMMYFUNCTION("""COMPUTED_VALUE"""),"")</f>
        <v/>
      </c>
      <c r="Y534" s="141" t="str">
        <f>IFERROR(__xludf.DUMMYFUNCTION("""COMPUTED_VALUE"""),"")</f>
        <v/>
      </c>
    </row>
    <row r="535">
      <c r="C535" s="136" t="str">
        <f t="shared" si="3"/>
        <v/>
      </c>
      <c r="E535" s="106"/>
      <c r="G535" s="106" t="s">
        <v>133</v>
      </c>
      <c r="I535" s="139" t="s">
        <v>133</v>
      </c>
      <c r="J535" s="136" t="s">
        <v>133</v>
      </c>
      <c r="L535" s="136" t="str">
        <f t="shared" si="1"/>
        <v/>
      </c>
      <c r="N535" s="141" t="s">
        <v>133</v>
      </c>
      <c r="O535" s="136" t="str">
        <f>IFERROR(__xludf.DUMMYFUNCTION("""COMPUTED_VALUE"""),"")</f>
        <v/>
      </c>
      <c r="P535" s="136" t="str">
        <f>IFERROR(__xludf.DUMMYFUNCTION("""COMPUTED_VALUE"""),"")</f>
        <v/>
      </c>
      <c r="Q535" s="106" t="str">
        <f>IFERROR(__xludf.DUMMYFUNCTION("""COMPUTED_VALUE"""),"")</f>
        <v/>
      </c>
      <c r="R535" s="106" t="str">
        <f>IFERROR(__xludf.DUMMYFUNCTION("""COMPUTED_VALUE"""),"")</f>
        <v/>
      </c>
      <c r="S535" s="139" t="str">
        <f>IFERROR(__xludf.DUMMYFUNCTION("""COMPUTED_VALUE"""),"")</f>
        <v/>
      </c>
      <c r="T535" s="139" t="str">
        <f>IFERROR(__xludf.DUMMYFUNCTION("""COMPUTED_VALUE"""),"")</f>
        <v/>
      </c>
      <c r="U535" s="136" t="str">
        <f>IFERROR(__xludf.DUMMYFUNCTION("""COMPUTED_VALUE"""),"")</f>
        <v/>
      </c>
      <c r="V535" s="106" t="str">
        <f>IFERROR(__xludf.DUMMYFUNCTION("""COMPUTED_VALUE"""),"")</f>
        <v/>
      </c>
      <c r="W535" s="143" t="str">
        <f t="shared" si="2"/>
        <v/>
      </c>
      <c r="X535" s="139" t="str">
        <f>IFERROR(__xludf.DUMMYFUNCTION("""COMPUTED_VALUE"""),"")</f>
        <v/>
      </c>
      <c r="Y535" s="141" t="str">
        <f>IFERROR(__xludf.DUMMYFUNCTION("""COMPUTED_VALUE"""),"")</f>
        <v/>
      </c>
    </row>
    <row r="536">
      <c r="C536" s="136" t="str">
        <f t="shared" si="3"/>
        <v/>
      </c>
      <c r="E536" s="106"/>
      <c r="G536" s="106" t="s">
        <v>133</v>
      </c>
      <c r="I536" s="139" t="s">
        <v>133</v>
      </c>
      <c r="J536" s="136" t="s">
        <v>133</v>
      </c>
      <c r="L536" s="136" t="str">
        <f t="shared" si="1"/>
        <v/>
      </c>
      <c r="N536" s="141" t="s">
        <v>133</v>
      </c>
      <c r="O536" s="136" t="str">
        <f>IFERROR(__xludf.DUMMYFUNCTION("""COMPUTED_VALUE"""),"")</f>
        <v/>
      </c>
      <c r="P536" s="136" t="str">
        <f>IFERROR(__xludf.DUMMYFUNCTION("""COMPUTED_VALUE"""),"")</f>
        <v/>
      </c>
      <c r="Q536" s="106" t="str">
        <f>IFERROR(__xludf.DUMMYFUNCTION("""COMPUTED_VALUE"""),"")</f>
        <v/>
      </c>
      <c r="R536" s="106" t="str">
        <f>IFERROR(__xludf.DUMMYFUNCTION("""COMPUTED_VALUE"""),"")</f>
        <v/>
      </c>
      <c r="S536" s="139" t="str">
        <f>IFERROR(__xludf.DUMMYFUNCTION("""COMPUTED_VALUE"""),"")</f>
        <v/>
      </c>
      <c r="T536" s="139" t="str">
        <f>IFERROR(__xludf.DUMMYFUNCTION("""COMPUTED_VALUE"""),"")</f>
        <v/>
      </c>
      <c r="U536" s="136" t="str">
        <f>IFERROR(__xludf.DUMMYFUNCTION("""COMPUTED_VALUE"""),"")</f>
        <v/>
      </c>
      <c r="V536" s="106" t="str">
        <f>IFERROR(__xludf.DUMMYFUNCTION("""COMPUTED_VALUE"""),"")</f>
        <v/>
      </c>
      <c r="W536" s="143" t="str">
        <f t="shared" si="2"/>
        <v/>
      </c>
      <c r="X536" s="139" t="str">
        <f>IFERROR(__xludf.DUMMYFUNCTION("""COMPUTED_VALUE"""),"")</f>
        <v/>
      </c>
      <c r="Y536" s="141" t="str">
        <f>IFERROR(__xludf.DUMMYFUNCTION("""COMPUTED_VALUE"""),"")</f>
        <v/>
      </c>
    </row>
    <row r="537">
      <c r="C537" s="136" t="str">
        <f t="shared" si="3"/>
        <v/>
      </c>
      <c r="E537" s="106"/>
      <c r="G537" s="106" t="s">
        <v>133</v>
      </c>
      <c r="I537" s="139" t="s">
        <v>133</v>
      </c>
      <c r="J537" s="136" t="s">
        <v>133</v>
      </c>
      <c r="L537" s="136" t="str">
        <f t="shared" si="1"/>
        <v/>
      </c>
      <c r="N537" s="141" t="s">
        <v>133</v>
      </c>
      <c r="O537" s="136" t="str">
        <f>IFERROR(__xludf.DUMMYFUNCTION("""COMPUTED_VALUE"""),"")</f>
        <v/>
      </c>
      <c r="P537" s="136" t="str">
        <f>IFERROR(__xludf.DUMMYFUNCTION("""COMPUTED_VALUE"""),"")</f>
        <v/>
      </c>
      <c r="Q537" s="106" t="str">
        <f>IFERROR(__xludf.DUMMYFUNCTION("""COMPUTED_VALUE"""),"")</f>
        <v/>
      </c>
      <c r="R537" s="106" t="str">
        <f>IFERROR(__xludf.DUMMYFUNCTION("""COMPUTED_VALUE"""),"")</f>
        <v/>
      </c>
      <c r="S537" s="139" t="str">
        <f>IFERROR(__xludf.DUMMYFUNCTION("""COMPUTED_VALUE"""),"")</f>
        <v/>
      </c>
      <c r="T537" s="139" t="str">
        <f>IFERROR(__xludf.DUMMYFUNCTION("""COMPUTED_VALUE"""),"")</f>
        <v/>
      </c>
      <c r="U537" s="136" t="str">
        <f>IFERROR(__xludf.DUMMYFUNCTION("""COMPUTED_VALUE"""),"")</f>
        <v/>
      </c>
      <c r="V537" s="106" t="str">
        <f>IFERROR(__xludf.DUMMYFUNCTION("""COMPUTED_VALUE"""),"")</f>
        <v/>
      </c>
      <c r="W537" s="143" t="str">
        <f t="shared" si="2"/>
        <v/>
      </c>
      <c r="X537" s="139" t="str">
        <f>IFERROR(__xludf.DUMMYFUNCTION("""COMPUTED_VALUE"""),"")</f>
        <v/>
      </c>
      <c r="Y537" s="141" t="str">
        <f>IFERROR(__xludf.DUMMYFUNCTION("""COMPUTED_VALUE"""),"")</f>
        <v/>
      </c>
    </row>
    <row r="538">
      <c r="C538" s="136" t="str">
        <f t="shared" si="3"/>
        <v/>
      </c>
      <c r="E538" s="106"/>
      <c r="G538" s="106" t="s">
        <v>133</v>
      </c>
      <c r="I538" s="139" t="s">
        <v>133</v>
      </c>
      <c r="J538" s="136" t="s">
        <v>133</v>
      </c>
      <c r="L538" s="136" t="str">
        <f t="shared" si="1"/>
        <v/>
      </c>
      <c r="N538" s="141" t="s">
        <v>133</v>
      </c>
      <c r="O538" s="136" t="str">
        <f>IFERROR(__xludf.DUMMYFUNCTION("""COMPUTED_VALUE"""),"")</f>
        <v/>
      </c>
      <c r="P538" s="136" t="str">
        <f>IFERROR(__xludf.DUMMYFUNCTION("""COMPUTED_VALUE"""),"")</f>
        <v/>
      </c>
      <c r="Q538" s="106" t="str">
        <f>IFERROR(__xludf.DUMMYFUNCTION("""COMPUTED_VALUE"""),"")</f>
        <v/>
      </c>
      <c r="R538" s="106" t="str">
        <f>IFERROR(__xludf.DUMMYFUNCTION("""COMPUTED_VALUE"""),"")</f>
        <v/>
      </c>
      <c r="S538" s="139" t="str">
        <f>IFERROR(__xludf.DUMMYFUNCTION("""COMPUTED_VALUE"""),"")</f>
        <v/>
      </c>
      <c r="T538" s="139" t="str">
        <f>IFERROR(__xludf.DUMMYFUNCTION("""COMPUTED_VALUE"""),"")</f>
        <v/>
      </c>
      <c r="U538" s="136" t="str">
        <f>IFERROR(__xludf.DUMMYFUNCTION("""COMPUTED_VALUE"""),"")</f>
        <v/>
      </c>
      <c r="V538" s="106" t="str">
        <f>IFERROR(__xludf.DUMMYFUNCTION("""COMPUTED_VALUE"""),"")</f>
        <v/>
      </c>
      <c r="W538" s="143" t="str">
        <f t="shared" si="2"/>
        <v/>
      </c>
      <c r="X538" s="139" t="str">
        <f>IFERROR(__xludf.DUMMYFUNCTION("""COMPUTED_VALUE"""),"")</f>
        <v/>
      </c>
      <c r="Y538" s="141" t="str">
        <f>IFERROR(__xludf.DUMMYFUNCTION("""COMPUTED_VALUE"""),"")</f>
        <v/>
      </c>
    </row>
    <row r="539">
      <c r="C539" s="136" t="str">
        <f t="shared" si="3"/>
        <v/>
      </c>
      <c r="E539" s="106"/>
      <c r="G539" s="106" t="s">
        <v>133</v>
      </c>
      <c r="I539" s="139" t="s">
        <v>133</v>
      </c>
      <c r="J539" s="136" t="s">
        <v>133</v>
      </c>
      <c r="L539" s="136" t="str">
        <f t="shared" si="1"/>
        <v/>
      </c>
      <c r="N539" s="141" t="s">
        <v>133</v>
      </c>
      <c r="O539" s="136" t="str">
        <f>IFERROR(__xludf.DUMMYFUNCTION("""COMPUTED_VALUE"""),"")</f>
        <v/>
      </c>
      <c r="P539" s="136" t="str">
        <f>IFERROR(__xludf.DUMMYFUNCTION("""COMPUTED_VALUE"""),"")</f>
        <v/>
      </c>
      <c r="Q539" s="106" t="str">
        <f>IFERROR(__xludf.DUMMYFUNCTION("""COMPUTED_VALUE"""),"")</f>
        <v/>
      </c>
      <c r="R539" s="106" t="str">
        <f>IFERROR(__xludf.DUMMYFUNCTION("""COMPUTED_VALUE"""),"")</f>
        <v/>
      </c>
      <c r="S539" s="139" t="str">
        <f>IFERROR(__xludf.DUMMYFUNCTION("""COMPUTED_VALUE"""),"")</f>
        <v/>
      </c>
      <c r="T539" s="139" t="str">
        <f>IFERROR(__xludf.DUMMYFUNCTION("""COMPUTED_VALUE"""),"")</f>
        <v/>
      </c>
      <c r="U539" s="136" t="str">
        <f>IFERROR(__xludf.DUMMYFUNCTION("""COMPUTED_VALUE"""),"")</f>
        <v/>
      </c>
      <c r="V539" s="106" t="str">
        <f>IFERROR(__xludf.DUMMYFUNCTION("""COMPUTED_VALUE"""),"")</f>
        <v/>
      </c>
      <c r="W539" s="143" t="str">
        <f t="shared" si="2"/>
        <v/>
      </c>
      <c r="X539" s="139" t="str">
        <f>IFERROR(__xludf.DUMMYFUNCTION("""COMPUTED_VALUE"""),"")</f>
        <v/>
      </c>
      <c r="Y539" s="141" t="str">
        <f>IFERROR(__xludf.DUMMYFUNCTION("""COMPUTED_VALUE"""),"")</f>
        <v/>
      </c>
    </row>
    <row r="540">
      <c r="C540" s="136" t="str">
        <f t="shared" si="3"/>
        <v/>
      </c>
      <c r="E540" s="106"/>
      <c r="G540" s="106" t="s">
        <v>133</v>
      </c>
      <c r="I540" s="139" t="s">
        <v>133</v>
      </c>
      <c r="J540" s="136" t="s">
        <v>133</v>
      </c>
      <c r="L540" s="136" t="str">
        <f t="shared" si="1"/>
        <v/>
      </c>
      <c r="N540" s="141" t="s">
        <v>133</v>
      </c>
      <c r="O540" s="136" t="str">
        <f>IFERROR(__xludf.DUMMYFUNCTION("""COMPUTED_VALUE"""),"")</f>
        <v/>
      </c>
      <c r="P540" s="136" t="str">
        <f>IFERROR(__xludf.DUMMYFUNCTION("""COMPUTED_VALUE"""),"")</f>
        <v/>
      </c>
      <c r="Q540" s="106" t="str">
        <f>IFERROR(__xludf.DUMMYFUNCTION("""COMPUTED_VALUE"""),"")</f>
        <v/>
      </c>
      <c r="R540" s="106" t="str">
        <f>IFERROR(__xludf.DUMMYFUNCTION("""COMPUTED_VALUE"""),"")</f>
        <v/>
      </c>
      <c r="S540" s="139" t="str">
        <f>IFERROR(__xludf.DUMMYFUNCTION("""COMPUTED_VALUE"""),"")</f>
        <v/>
      </c>
      <c r="T540" s="139" t="str">
        <f>IFERROR(__xludf.DUMMYFUNCTION("""COMPUTED_VALUE"""),"")</f>
        <v/>
      </c>
      <c r="U540" s="136" t="str">
        <f>IFERROR(__xludf.DUMMYFUNCTION("""COMPUTED_VALUE"""),"")</f>
        <v/>
      </c>
      <c r="V540" s="106" t="str">
        <f>IFERROR(__xludf.DUMMYFUNCTION("""COMPUTED_VALUE"""),"")</f>
        <v/>
      </c>
      <c r="W540" s="143" t="str">
        <f t="shared" si="2"/>
        <v/>
      </c>
      <c r="X540" s="139" t="str">
        <f>IFERROR(__xludf.DUMMYFUNCTION("""COMPUTED_VALUE"""),"")</f>
        <v/>
      </c>
      <c r="Y540" s="141" t="str">
        <f>IFERROR(__xludf.DUMMYFUNCTION("""COMPUTED_VALUE"""),"")</f>
        <v/>
      </c>
    </row>
    <row r="541">
      <c r="C541" s="136" t="str">
        <f t="shared" si="3"/>
        <v/>
      </c>
      <c r="E541" s="106"/>
      <c r="G541" s="106" t="s">
        <v>133</v>
      </c>
      <c r="I541" s="139" t="s">
        <v>133</v>
      </c>
      <c r="J541" s="136" t="s">
        <v>133</v>
      </c>
      <c r="L541" s="136" t="str">
        <f t="shared" si="1"/>
        <v/>
      </c>
      <c r="N541" s="141" t="s">
        <v>133</v>
      </c>
      <c r="O541" s="136" t="str">
        <f>IFERROR(__xludf.DUMMYFUNCTION("""COMPUTED_VALUE"""),"")</f>
        <v/>
      </c>
      <c r="P541" s="136" t="str">
        <f>IFERROR(__xludf.DUMMYFUNCTION("""COMPUTED_VALUE"""),"")</f>
        <v/>
      </c>
      <c r="Q541" s="106" t="str">
        <f>IFERROR(__xludf.DUMMYFUNCTION("""COMPUTED_VALUE"""),"")</f>
        <v/>
      </c>
      <c r="R541" s="106" t="str">
        <f>IFERROR(__xludf.DUMMYFUNCTION("""COMPUTED_VALUE"""),"")</f>
        <v/>
      </c>
      <c r="S541" s="139" t="str">
        <f>IFERROR(__xludf.DUMMYFUNCTION("""COMPUTED_VALUE"""),"")</f>
        <v/>
      </c>
      <c r="T541" s="139" t="str">
        <f>IFERROR(__xludf.DUMMYFUNCTION("""COMPUTED_VALUE"""),"")</f>
        <v/>
      </c>
      <c r="U541" s="136" t="str">
        <f>IFERROR(__xludf.DUMMYFUNCTION("""COMPUTED_VALUE"""),"")</f>
        <v/>
      </c>
      <c r="V541" s="106" t="str">
        <f>IFERROR(__xludf.DUMMYFUNCTION("""COMPUTED_VALUE"""),"")</f>
        <v/>
      </c>
      <c r="W541" s="143" t="str">
        <f t="shared" si="2"/>
        <v/>
      </c>
      <c r="X541" s="139" t="str">
        <f>IFERROR(__xludf.DUMMYFUNCTION("""COMPUTED_VALUE"""),"")</f>
        <v/>
      </c>
      <c r="Y541" s="141" t="str">
        <f>IFERROR(__xludf.DUMMYFUNCTION("""COMPUTED_VALUE"""),"")</f>
        <v/>
      </c>
    </row>
    <row r="542">
      <c r="C542" s="136" t="str">
        <f t="shared" si="3"/>
        <v/>
      </c>
      <c r="E542" s="106"/>
      <c r="G542" s="106" t="s">
        <v>133</v>
      </c>
      <c r="I542" s="139" t="s">
        <v>133</v>
      </c>
      <c r="J542" s="136" t="s">
        <v>133</v>
      </c>
      <c r="L542" s="136" t="str">
        <f t="shared" si="1"/>
        <v/>
      </c>
      <c r="N542" s="141" t="s">
        <v>133</v>
      </c>
      <c r="O542" s="136" t="str">
        <f>IFERROR(__xludf.DUMMYFUNCTION("""COMPUTED_VALUE"""),"")</f>
        <v/>
      </c>
      <c r="P542" s="136" t="str">
        <f>IFERROR(__xludf.DUMMYFUNCTION("""COMPUTED_VALUE"""),"")</f>
        <v/>
      </c>
      <c r="Q542" s="106" t="str">
        <f>IFERROR(__xludf.DUMMYFUNCTION("""COMPUTED_VALUE"""),"")</f>
        <v/>
      </c>
      <c r="R542" s="106" t="str">
        <f>IFERROR(__xludf.DUMMYFUNCTION("""COMPUTED_VALUE"""),"")</f>
        <v/>
      </c>
      <c r="S542" s="139" t="str">
        <f>IFERROR(__xludf.DUMMYFUNCTION("""COMPUTED_VALUE"""),"")</f>
        <v/>
      </c>
      <c r="T542" s="139" t="str">
        <f>IFERROR(__xludf.DUMMYFUNCTION("""COMPUTED_VALUE"""),"")</f>
        <v/>
      </c>
      <c r="U542" s="136" t="str">
        <f>IFERROR(__xludf.DUMMYFUNCTION("""COMPUTED_VALUE"""),"")</f>
        <v/>
      </c>
      <c r="V542" s="106" t="str">
        <f>IFERROR(__xludf.DUMMYFUNCTION("""COMPUTED_VALUE"""),"")</f>
        <v/>
      </c>
      <c r="W542" s="143" t="str">
        <f t="shared" si="2"/>
        <v/>
      </c>
      <c r="X542" s="139" t="str">
        <f>IFERROR(__xludf.DUMMYFUNCTION("""COMPUTED_VALUE"""),"")</f>
        <v/>
      </c>
      <c r="Y542" s="141" t="str">
        <f>IFERROR(__xludf.DUMMYFUNCTION("""COMPUTED_VALUE"""),"")</f>
        <v/>
      </c>
    </row>
    <row r="543">
      <c r="C543" s="136" t="str">
        <f t="shared" si="3"/>
        <v/>
      </c>
      <c r="E543" s="106"/>
      <c r="G543" s="106" t="s">
        <v>133</v>
      </c>
      <c r="I543" s="139" t="s">
        <v>133</v>
      </c>
      <c r="J543" s="136" t="s">
        <v>133</v>
      </c>
      <c r="L543" s="136" t="str">
        <f t="shared" si="1"/>
        <v/>
      </c>
      <c r="N543" s="141" t="s">
        <v>133</v>
      </c>
      <c r="O543" s="136" t="str">
        <f>IFERROR(__xludf.DUMMYFUNCTION("""COMPUTED_VALUE"""),"")</f>
        <v/>
      </c>
      <c r="P543" s="136" t="str">
        <f>IFERROR(__xludf.DUMMYFUNCTION("""COMPUTED_VALUE"""),"")</f>
        <v/>
      </c>
      <c r="Q543" s="106" t="str">
        <f>IFERROR(__xludf.DUMMYFUNCTION("""COMPUTED_VALUE"""),"")</f>
        <v/>
      </c>
      <c r="R543" s="106" t="str">
        <f>IFERROR(__xludf.DUMMYFUNCTION("""COMPUTED_VALUE"""),"")</f>
        <v/>
      </c>
      <c r="S543" s="139" t="str">
        <f>IFERROR(__xludf.DUMMYFUNCTION("""COMPUTED_VALUE"""),"")</f>
        <v/>
      </c>
      <c r="T543" s="139" t="str">
        <f>IFERROR(__xludf.DUMMYFUNCTION("""COMPUTED_VALUE"""),"")</f>
        <v/>
      </c>
      <c r="U543" s="136" t="str">
        <f>IFERROR(__xludf.DUMMYFUNCTION("""COMPUTED_VALUE"""),"")</f>
        <v/>
      </c>
      <c r="V543" s="106" t="str">
        <f>IFERROR(__xludf.DUMMYFUNCTION("""COMPUTED_VALUE"""),"")</f>
        <v/>
      </c>
      <c r="W543" s="143" t="str">
        <f t="shared" si="2"/>
        <v/>
      </c>
      <c r="X543" s="139" t="str">
        <f>IFERROR(__xludf.DUMMYFUNCTION("""COMPUTED_VALUE"""),"")</f>
        <v/>
      </c>
      <c r="Y543" s="141" t="str">
        <f>IFERROR(__xludf.DUMMYFUNCTION("""COMPUTED_VALUE"""),"")</f>
        <v/>
      </c>
    </row>
    <row r="544">
      <c r="C544" s="136" t="str">
        <f t="shared" si="3"/>
        <v/>
      </c>
      <c r="E544" s="106"/>
      <c r="G544" s="106" t="s">
        <v>133</v>
      </c>
      <c r="I544" s="139" t="s">
        <v>133</v>
      </c>
      <c r="J544" s="136" t="s">
        <v>133</v>
      </c>
      <c r="L544" s="136" t="str">
        <f t="shared" si="1"/>
        <v/>
      </c>
      <c r="N544" s="141" t="s">
        <v>133</v>
      </c>
      <c r="O544" s="136" t="str">
        <f>IFERROR(__xludf.DUMMYFUNCTION("""COMPUTED_VALUE"""),"")</f>
        <v/>
      </c>
      <c r="P544" s="136" t="str">
        <f>IFERROR(__xludf.DUMMYFUNCTION("""COMPUTED_VALUE"""),"")</f>
        <v/>
      </c>
      <c r="Q544" s="106" t="str">
        <f>IFERROR(__xludf.DUMMYFUNCTION("""COMPUTED_VALUE"""),"")</f>
        <v/>
      </c>
      <c r="R544" s="106" t="str">
        <f>IFERROR(__xludf.DUMMYFUNCTION("""COMPUTED_VALUE"""),"")</f>
        <v/>
      </c>
      <c r="S544" s="139" t="str">
        <f>IFERROR(__xludf.DUMMYFUNCTION("""COMPUTED_VALUE"""),"")</f>
        <v/>
      </c>
      <c r="T544" s="139" t="str">
        <f>IFERROR(__xludf.DUMMYFUNCTION("""COMPUTED_VALUE"""),"")</f>
        <v/>
      </c>
      <c r="U544" s="136" t="str">
        <f>IFERROR(__xludf.DUMMYFUNCTION("""COMPUTED_VALUE"""),"")</f>
        <v/>
      </c>
      <c r="V544" s="106" t="str">
        <f>IFERROR(__xludf.DUMMYFUNCTION("""COMPUTED_VALUE"""),"")</f>
        <v/>
      </c>
      <c r="W544" s="143" t="str">
        <f t="shared" si="2"/>
        <v/>
      </c>
      <c r="X544" s="139" t="str">
        <f>IFERROR(__xludf.DUMMYFUNCTION("""COMPUTED_VALUE"""),"")</f>
        <v/>
      </c>
      <c r="Y544" s="141" t="str">
        <f>IFERROR(__xludf.DUMMYFUNCTION("""COMPUTED_VALUE"""),"")</f>
        <v/>
      </c>
    </row>
    <row r="545">
      <c r="C545" s="136" t="str">
        <f t="shared" si="3"/>
        <v/>
      </c>
      <c r="E545" s="106"/>
      <c r="G545" s="106" t="s">
        <v>133</v>
      </c>
      <c r="I545" s="139" t="s">
        <v>133</v>
      </c>
      <c r="J545" s="136" t="s">
        <v>133</v>
      </c>
      <c r="L545" s="136" t="str">
        <f t="shared" si="1"/>
        <v/>
      </c>
      <c r="N545" s="141" t="s">
        <v>133</v>
      </c>
      <c r="O545" s="136" t="str">
        <f>IFERROR(__xludf.DUMMYFUNCTION("""COMPUTED_VALUE"""),"")</f>
        <v/>
      </c>
      <c r="P545" s="136" t="str">
        <f>IFERROR(__xludf.DUMMYFUNCTION("""COMPUTED_VALUE"""),"")</f>
        <v/>
      </c>
      <c r="Q545" s="106" t="str">
        <f>IFERROR(__xludf.DUMMYFUNCTION("""COMPUTED_VALUE"""),"")</f>
        <v/>
      </c>
      <c r="R545" s="106" t="str">
        <f>IFERROR(__xludf.DUMMYFUNCTION("""COMPUTED_VALUE"""),"")</f>
        <v/>
      </c>
      <c r="S545" s="139" t="str">
        <f>IFERROR(__xludf.DUMMYFUNCTION("""COMPUTED_VALUE"""),"")</f>
        <v/>
      </c>
      <c r="T545" s="139" t="str">
        <f>IFERROR(__xludf.DUMMYFUNCTION("""COMPUTED_VALUE"""),"")</f>
        <v/>
      </c>
      <c r="U545" s="136" t="str">
        <f>IFERROR(__xludf.DUMMYFUNCTION("""COMPUTED_VALUE"""),"")</f>
        <v/>
      </c>
      <c r="V545" s="106" t="str">
        <f>IFERROR(__xludf.DUMMYFUNCTION("""COMPUTED_VALUE"""),"")</f>
        <v/>
      </c>
      <c r="W545" s="143" t="str">
        <f t="shared" si="2"/>
        <v/>
      </c>
      <c r="X545" s="139" t="str">
        <f>IFERROR(__xludf.DUMMYFUNCTION("""COMPUTED_VALUE"""),"")</f>
        <v/>
      </c>
      <c r="Y545" s="141" t="str">
        <f>IFERROR(__xludf.DUMMYFUNCTION("""COMPUTED_VALUE"""),"")</f>
        <v/>
      </c>
    </row>
    <row r="546">
      <c r="C546" s="136" t="str">
        <f t="shared" si="3"/>
        <v/>
      </c>
      <c r="E546" s="106"/>
      <c r="G546" s="106" t="s">
        <v>133</v>
      </c>
      <c r="I546" s="139" t="s">
        <v>133</v>
      </c>
      <c r="J546" s="136" t="s">
        <v>133</v>
      </c>
      <c r="L546" s="136" t="str">
        <f t="shared" si="1"/>
        <v/>
      </c>
      <c r="N546" s="141" t="s">
        <v>133</v>
      </c>
      <c r="O546" s="136" t="str">
        <f>IFERROR(__xludf.DUMMYFUNCTION("""COMPUTED_VALUE"""),"")</f>
        <v/>
      </c>
      <c r="P546" s="136" t="str">
        <f>IFERROR(__xludf.DUMMYFUNCTION("""COMPUTED_VALUE"""),"")</f>
        <v/>
      </c>
      <c r="Q546" s="106" t="str">
        <f>IFERROR(__xludf.DUMMYFUNCTION("""COMPUTED_VALUE"""),"")</f>
        <v/>
      </c>
      <c r="R546" s="106" t="str">
        <f>IFERROR(__xludf.DUMMYFUNCTION("""COMPUTED_VALUE"""),"")</f>
        <v/>
      </c>
      <c r="S546" s="139" t="str">
        <f>IFERROR(__xludf.DUMMYFUNCTION("""COMPUTED_VALUE"""),"")</f>
        <v/>
      </c>
      <c r="T546" s="139" t="str">
        <f>IFERROR(__xludf.DUMMYFUNCTION("""COMPUTED_VALUE"""),"")</f>
        <v/>
      </c>
      <c r="U546" s="136" t="str">
        <f>IFERROR(__xludf.DUMMYFUNCTION("""COMPUTED_VALUE"""),"")</f>
        <v/>
      </c>
      <c r="V546" s="106" t="str">
        <f>IFERROR(__xludf.DUMMYFUNCTION("""COMPUTED_VALUE"""),"")</f>
        <v/>
      </c>
      <c r="W546" s="143" t="str">
        <f t="shared" si="2"/>
        <v/>
      </c>
      <c r="X546" s="139" t="str">
        <f>IFERROR(__xludf.DUMMYFUNCTION("""COMPUTED_VALUE"""),"")</f>
        <v/>
      </c>
      <c r="Y546" s="141" t="str">
        <f>IFERROR(__xludf.DUMMYFUNCTION("""COMPUTED_VALUE"""),"")</f>
        <v/>
      </c>
    </row>
    <row r="547">
      <c r="C547" s="136" t="str">
        <f t="shared" si="3"/>
        <v/>
      </c>
      <c r="E547" s="106"/>
      <c r="G547" s="106" t="s">
        <v>133</v>
      </c>
      <c r="I547" s="139" t="s">
        <v>133</v>
      </c>
      <c r="J547" s="136" t="s">
        <v>133</v>
      </c>
      <c r="L547" s="136" t="str">
        <f t="shared" si="1"/>
        <v/>
      </c>
      <c r="N547" s="141" t="s">
        <v>133</v>
      </c>
      <c r="O547" s="136" t="str">
        <f>IFERROR(__xludf.DUMMYFUNCTION("""COMPUTED_VALUE"""),"")</f>
        <v/>
      </c>
      <c r="P547" s="136" t="str">
        <f>IFERROR(__xludf.DUMMYFUNCTION("""COMPUTED_VALUE"""),"")</f>
        <v/>
      </c>
      <c r="Q547" s="106" t="str">
        <f>IFERROR(__xludf.DUMMYFUNCTION("""COMPUTED_VALUE"""),"")</f>
        <v/>
      </c>
      <c r="R547" s="106" t="str">
        <f>IFERROR(__xludf.DUMMYFUNCTION("""COMPUTED_VALUE"""),"")</f>
        <v/>
      </c>
      <c r="S547" s="139" t="str">
        <f>IFERROR(__xludf.DUMMYFUNCTION("""COMPUTED_VALUE"""),"")</f>
        <v/>
      </c>
      <c r="T547" s="139" t="str">
        <f>IFERROR(__xludf.DUMMYFUNCTION("""COMPUTED_VALUE"""),"")</f>
        <v/>
      </c>
      <c r="U547" s="136" t="str">
        <f>IFERROR(__xludf.DUMMYFUNCTION("""COMPUTED_VALUE"""),"")</f>
        <v/>
      </c>
      <c r="V547" s="106" t="str">
        <f>IFERROR(__xludf.DUMMYFUNCTION("""COMPUTED_VALUE"""),"")</f>
        <v/>
      </c>
      <c r="W547" s="143" t="str">
        <f t="shared" si="2"/>
        <v/>
      </c>
      <c r="X547" s="139" t="str">
        <f>IFERROR(__xludf.DUMMYFUNCTION("""COMPUTED_VALUE"""),"")</f>
        <v/>
      </c>
      <c r="Y547" s="141" t="str">
        <f>IFERROR(__xludf.DUMMYFUNCTION("""COMPUTED_VALUE"""),"")</f>
        <v/>
      </c>
    </row>
    <row r="548">
      <c r="C548" s="136" t="str">
        <f t="shared" si="3"/>
        <v/>
      </c>
      <c r="E548" s="106"/>
      <c r="G548" s="106" t="s">
        <v>133</v>
      </c>
      <c r="I548" s="139" t="s">
        <v>133</v>
      </c>
      <c r="J548" s="136" t="s">
        <v>133</v>
      </c>
      <c r="L548" s="136" t="str">
        <f t="shared" si="1"/>
        <v/>
      </c>
      <c r="N548" s="141" t="s">
        <v>133</v>
      </c>
      <c r="O548" s="136" t="str">
        <f>IFERROR(__xludf.DUMMYFUNCTION("""COMPUTED_VALUE"""),"")</f>
        <v/>
      </c>
      <c r="P548" s="136" t="str">
        <f>IFERROR(__xludf.DUMMYFUNCTION("""COMPUTED_VALUE"""),"")</f>
        <v/>
      </c>
      <c r="Q548" s="106" t="str">
        <f>IFERROR(__xludf.DUMMYFUNCTION("""COMPUTED_VALUE"""),"")</f>
        <v/>
      </c>
      <c r="R548" s="106" t="str">
        <f>IFERROR(__xludf.DUMMYFUNCTION("""COMPUTED_VALUE"""),"")</f>
        <v/>
      </c>
      <c r="S548" s="139" t="str">
        <f>IFERROR(__xludf.DUMMYFUNCTION("""COMPUTED_VALUE"""),"")</f>
        <v/>
      </c>
      <c r="T548" s="139" t="str">
        <f>IFERROR(__xludf.DUMMYFUNCTION("""COMPUTED_VALUE"""),"")</f>
        <v/>
      </c>
      <c r="U548" s="136" t="str">
        <f>IFERROR(__xludf.DUMMYFUNCTION("""COMPUTED_VALUE"""),"")</f>
        <v/>
      </c>
      <c r="V548" s="106" t="str">
        <f>IFERROR(__xludf.DUMMYFUNCTION("""COMPUTED_VALUE"""),"")</f>
        <v/>
      </c>
      <c r="W548" s="143" t="str">
        <f t="shared" si="2"/>
        <v/>
      </c>
      <c r="X548" s="139" t="str">
        <f>IFERROR(__xludf.DUMMYFUNCTION("""COMPUTED_VALUE"""),"")</f>
        <v/>
      </c>
      <c r="Y548" s="141" t="str">
        <f>IFERROR(__xludf.DUMMYFUNCTION("""COMPUTED_VALUE"""),"")</f>
        <v/>
      </c>
    </row>
    <row r="549">
      <c r="C549" s="136" t="str">
        <f t="shared" si="3"/>
        <v/>
      </c>
      <c r="E549" s="106"/>
      <c r="G549" s="106" t="s">
        <v>133</v>
      </c>
      <c r="I549" s="139" t="s">
        <v>133</v>
      </c>
      <c r="J549" s="136" t="s">
        <v>133</v>
      </c>
      <c r="L549" s="136" t="str">
        <f t="shared" si="1"/>
        <v/>
      </c>
      <c r="N549" s="141" t="s">
        <v>133</v>
      </c>
      <c r="O549" s="136" t="str">
        <f>IFERROR(__xludf.DUMMYFUNCTION("""COMPUTED_VALUE"""),"")</f>
        <v/>
      </c>
      <c r="P549" s="136" t="str">
        <f>IFERROR(__xludf.DUMMYFUNCTION("""COMPUTED_VALUE"""),"")</f>
        <v/>
      </c>
      <c r="Q549" s="106" t="str">
        <f>IFERROR(__xludf.DUMMYFUNCTION("""COMPUTED_VALUE"""),"")</f>
        <v/>
      </c>
      <c r="R549" s="106" t="str">
        <f>IFERROR(__xludf.DUMMYFUNCTION("""COMPUTED_VALUE"""),"")</f>
        <v/>
      </c>
      <c r="S549" s="139" t="str">
        <f>IFERROR(__xludf.DUMMYFUNCTION("""COMPUTED_VALUE"""),"")</f>
        <v/>
      </c>
      <c r="T549" s="139" t="str">
        <f>IFERROR(__xludf.DUMMYFUNCTION("""COMPUTED_VALUE"""),"")</f>
        <v/>
      </c>
      <c r="U549" s="136" t="str">
        <f>IFERROR(__xludf.DUMMYFUNCTION("""COMPUTED_VALUE"""),"")</f>
        <v/>
      </c>
      <c r="V549" s="106" t="str">
        <f>IFERROR(__xludf.DUMMYFUNCTION("""COMPUTED_VALUE"""),"")</f>
        <v/>
      </c>
      <c r="W549" s="143" t="str">
        <f t="shared" si="2"/>
        <v/>
      </c>
      <c r="X549" s="139" t="str">
        <f>IFERROR(__xludf.DUMMYFUNCTION("""COMPUTED_VALUE"""),"")</f>
        <v/>
      </c>
      <c r="Y549" s="141" t="str">
        <f>IFERROR(__xludf.DUMMYFUNCTION("""COMPUTED_VALUE"""),"")</f>
        <v/>
      </c>
    </row>
    <row r="550">
      <c r="C550" s="136" t="str">
        <f t="shared" si="3"/>
        <v/>
      </c>
      <c r="E550" s="106"/>
      <c r="G550" s="106" t="s">
        <v>133</v>
      </c>
      <c r="I550" s="139" t="s">
        <v>133</v>
      </c>
      <c r="J550" s="136" t="s">
        <v>133</v>
      </c>
      <c r="L550" s="136" t="str">
        <f t="shared" si="1"/>
        <v/>
      </c>
      <c r="N550" s="141" t="s">
        <v>133</v>
      </c>
      <c r="O550" s="136" t="str">
        <f>IFERROR(__xludf.DUMMYFUNCTION("""COMPUTED_VALUE"""),"")</f>
        <v/>
      </c>
      <c r="P550" s="136" t="str">
        <f>IFERROR(__xludf.DUMMYFUNCTION("""COMPUTED_VALUE"""),"")</f>
        <v/>
      </c>
      <c r="Q550" s="106" t="str">
        <f>IFERROR(__xludf.DUMMYFUNCTION("""COMPUTED_VALUE"""),"")</f>
        <v/>
      </c>
      <c r="R550" s="106" t="str">
        <f>IFERROR(__xludf.DUMMYFUNCTION("""COMPUTED_VALUE"""),"")</f>
        <v/>
      </c>
      <c r="S550" s="139" t="str">
        <f>IFERROR(__xludf.DUMMYFUNCTION("""COMPUTED_VALUE"""),"")</f>
        <v/>
      </c>
      <c r="T550" s="139" t="str">
        <f>IFERROR(__xludf.DUMMYFUNCTION("""COMPUTED_VALUE"""),"")</f>
        <v/>
      </c>
      <c r="U550" s="136" t="str">
        <f>IFERROR(__xludf.DUMMYFUNCTION("""COMPUTED_VALUE"""),"")</f>
        <v/>
      </c>
      <c r="V550" s="106" t="str">
        <f>IFERROR(__xludf.DUMMYFUNCTION("""COMPUTED_VALUE"""),"")</f>
        <v/>
      </c>
      <c r="W550" s="143" t="str">
        <f t="shared" si="2"/>
        <v/>
      </c>
      <c r="X550" s="139" t="str">
        <f>IFERROR(__xludf.DUMMYFUNCTION("""COMPUTED_VALUE"""),"")</f>
        <v/>
      </c>
      <c r="Y550" s="141" t="str">
        <f>IFERROR(__xludf.DUMMYFUNCTION("""COMPUTED_VALUE"""),"")</f>
        <v/>
      </c>
    </row>
    <row r="551">
      <c r="C551" s="136" t="str">
        <f t="shared" si="3"/>
        <v/>
      </c>
      <c r="E551" s="106"/>
      <c r="G551" s="106" t="s">
        <v>133</v>
      </c>
      <c r="I551" s="139" t="s">
        <v>133</v>
      </c>
      <c r="J551" s="136" t="s">
        <v>133</v>
      </c>
      <c r="L551" s="136" t="str">
        <f t="shared" si="1"/>
        <v/>
      </c>
      <c r="N551" s="141" t="s">
        <v>133</v>
      </c>
      <c r="O551" s="136" t="str">
        <f>IFERROR(__xludf.DUMMYFUNCTION("""COMPUTED_VALUE"""),"")</f>
        <v/>
      </c>
      <c r="P551" s="136" t="str">
        <f>IFERROR(__xludf.DUMMYFUNCTION("""COMPUTED_VALUE"""),"")</f>
        <v/>
      </c>
      <c r="Q551" s="106" t="str">
        <f>IFERROR(__xludf.DUMMYFUNCTION("""COMPUTED_VALUE"""),"")</f>
        <v/>
      </c>
      <c r="R551" s="106" t="str">
        <f>IFERROR(__xludf.DUMMYFUNCTION("""COMPUTED_VALUE"""),"")</f>
        <v/>
      </c>
      <c r="S551" s="139" t="str">
        <f>IFERROR(__xludf.DUMMYFUNCTION("""COMPUTED_VALUE"""),"")</f>
        <v/>
      </c>
      <c r="T551" s="139" t="str">
        <f>IFERROR(__xludf.DUMMYFUNCTION("""COMPUTED_VALUE"""),"")</f>
        <v/>
      </c>
      <c r="U551" s="136" t="str">
        <f>IFERROR(__xludf.DUMMYFUNCTION("""COMPUTED_VALUE"""),"")</f>
        <v/>
      </c>
      <c r="V551" s="106" t="str">
        <f>IFERROR(__xludf.DUMMYFUNCTION("""COMPUTED_VALUE"""),"")</f>
        <v/>
      </c>
      <c r="W551" s="143" t="str">
        <f t="shared" si="2"/>
        <v/>
      </c>
      <c r="X551" s="139" t="str">
        <f>IFERROR(__xludf.DUMMYFUNCTION("""COMPUTED_VALUE"""),"")</f>
        <v/>
      </c>
      <c r="Y551" s="141" t="str">
        <f>IFERROR(__xludf.DUMMYFUNCTION("""COMPUTED_VALUE"""),"")</f>
        <v/>
      </c>
    </row>
    <row r="552">
      <c r="C552" s="136" t="str">
        <f t="shared" si="3"/>
        <v/>
      </c>
      <c r="E552" s="106"/>
      <c r="G552" s="106" t="s">
        <v>133</v>
      </c>
      <c r="I552" s="139" t="s">
        <v>133</v>
      </c>
      <c r="J552" s="136" t="s">
        <v>133</v>
      </c>
      <c r="L552" s="136" t="str">
        <f t="shared" si="1"/>
        <v/>
      </c>
      <c r="N552" s="141" t="s">
        <v>133</v>
      </c>
      <c r="O552" s="136" t="str">
        <f>IFERROR(__xludf.DUMMYFUNCTION("""COMPUTED_VALUE"""),"")</f>
        <v/>
      </c>
      <c r="P552" s="136" t="str">
        <f>IFERROR(__xludf.DUMMYFUNCTION("""COMPUTED_VALUE"""),"")</f>
        <v/>
      </c>
      <c r="Q552" s="106" t="str">
        <f>IFERROR(__xludf.DUMMYFUNCTION("""COMPUTED_VALUE"""),"")</f>
        <v/>
      </c>
      <c r="R552" s="106" t="str">
        <f>IFERROR(__xludf.DUMMYFUNCTION("""COMPUTED_VALUE"""),"")</f>
        <v/>
      </c>
      <c r="S552" s="139" t="str">
        <f>IFERROR(__xludf.DUMMYFUNCTION("""COMPUTED_VALUE"""),"")</f>
        <v/>
      </c>
      <c r="T552" s="139" t="str">
        <f>IFERROR(__xludf.DUMMYFUNCTION("""COMPUTED_VALUE"""),"")</f>
        <v/>
      </c>
      <c r="U552" s="136" t="str">
        <f>IFERROR(__xludf.DUMMYFUNCTION("""COMPUTED_VALUE"""),"")</f>
        <v/>
      </c>
      <c r="V552" s="106" t="str">
        <f>IFERROR(__xludf.DUMMYFUNCTION("""COMPUTED_VALUE"""),"")</f>
        <v/>
      </c>
      <c r="W552" s="143" t="str">
        <f t="shared" si="2"/>
        <v/>
      </c>
      <c r="X552" s="139" t="str">
        <f>IFERROR(__xludf.DUMMYFUNCTION("""COMPUTED_VALUE"""),"")</f>
        <v/>
      </c>
      <c r="Y552" s="141" t="str">
        <f>IFERROR(__xludf.DUMMYFUNCTION("""COMPUTED_VALUE"""),"")</f>
        <v/>
      </c>
    </row>
    <row r="553">
      <c r="C553" s="136" t="str">
        <f t="shared" si="3"/>
        <v/>
      </c>
      <c r="E553" s="106"/>
      <c r="G553" s="106" t="s">
        <v>133</v>
      </c>
      <c r="I553" s="139" t="s">
        <v>133</v>
      </c>
      <c r="J553" s="136" t="s">
        <v>133</v>
      </c>
      <c r="L553" s="136" t="str">
        <f t="shared" si="1"/>
        <v/>
      </c>
      <c r="N553" s="141" t="s">
        <v>133</v>
      </c>
      <c r="O553" s="136" t="str">
        <f>IFERROR(__xludf.DUMMYFUNCTION("""COMPUTED_VALUE"""),"")</f>
        <v/>
      </c>
      <c r="P553" s="136" t="str">
        <f>IFERROR(__xludf.DUMMYFUNCTION("""COMPUTED_VALUE"""),"")</f>
        <v/>
      </c>
      <c r="Q553" s="106" t="str">
        <f>IFERROR(__xludf.DUMMYFUNCTION("""COMPUTED_VALUE"""),"")</f>
        <v/>
      </c>
      <c r="R553" s="106" t="str">
        <f>IFERROR(__xludf.DUMMYFUNCTION("""COMPUTED_VALUE"""),"")</f>
        <v/>
      </c>
      <c r="S553" s="139" t="str">
        <f>IFERROR(__xludf.DUMMYFUNCTION("""COMPUTED_VALUE"""),"")</f>
        <v/>
      </c>
      <c r="T553" s="139" t="str">
        <f>IFERROR(__xludf.DUMMYFUNCTION("""COMPUTED_VALUE"""),"")</f>
        <v/>
      </c>
      <c r="U553" s="136" t="str">
        <f>IFERROR(__xludf.DUMMYFUNCTION("""COMPUTED_VALUE"""),"")</f>
        <v/>
      </c>
      <c r="V553" s="106" t="str">
        <f>IFERROR(__xludf.DUMMYFUNCTION("""COMPUTED_VALUE"""),"")</f>
        <v/>
      </c>
      <c r="W553" s="143" t="str">
        <f t="shared" si="2"/>
        <v/>
      </c>
      <c r="X553" s="139" t="str">
        <f>IFERROR(__xludf.DUMMYFUNCTION("""COMPUTED_VALUE"""),"")</f>
        <v/>
      </c>
      <c r="Y553" s="141" t="str">
        <f>IFERROR(__xludf.DUMMYFUNCTION("""COMPUTED_VALUE"""),"")</f>
        <v/>
      </c>
    </row>
    <row r="554">
      <c r="C554" s="136" t="str">
        <f t="shared" si="3"/>
        <v/>
      </c>
      <c r="E554" s="106"/>
      <c r="G554" s="106" t="s">
        <v>133</v>
      </c>
      <c r="I554" s="139" t="s">
        <v>133</v>
      </c>
      <c r="J554" s="136" t="s">
        <v>133</v>
      </c>
      <c r="L554" s="136" t="str">
        <f t="shared" si="1"/>
        <v/>
      </c>
      <c r="N554" s="141" t="s">
        <v>133</v>
      </c>
      <c r="O554" s="136" t="str">
        <f>IFERROR(__xludf.DUMMYFUNCTION("""COMPUTED_VALUE"""),"")</f>
        <v/>
      </c>
      <c r="P554" s="136" t="str">
        <f>IFERROR(__xludf.DUMMYFUNCTION("""COMPUTED_VALUE"""),"")</f>
        <v/>
      </c>
      <c r="Q554" s="106" t="str">
        <f>IFERROR(__xludf.DUMMYFUNCTION("""COMPUTED_VALUE"""),"")</f>
        <v/>
      </c>
      <c r="R554" s="106" t="str">
        <f>IFERROR(__xludf.DUMMYFUNCTION("""COMPUTED_VALUE"""),"")</f>
        <v/>
      </c>
      <c r="S554" s="139" t="str">
        <f>IFERROR(__xludf.DUMMYFUNCTION("""COMPUTED_VALUE"""),"")</f>
        <v/>
      </c>
      <c r="T554" s="139" t="str">
        <f>IFERROR(__xludf.DUMMYFUNCTION("""COMPUTED_VALUE"""),"")</f>
        <v/>
      </c>
      <c r="U554" s="136" t="str">
        <f>IFERROR(__xludf.DUMMYFUNCTION("""COMPUTED_VALUE"""),"")</f>
        <v/>
      </c>
      <c r="V554" s="106" t="str">
        <f>IFERROR(__xludf.DUMMYFUNCTION("""COMPUTED_VALUE"""),"")</f>
        <v/>
      </c>
      <c r="W554" s="143" t="str">
        <f t="shared" si="2"/>
        <v/>
      </c>
      <c r="X554" s="139" t="str">
        <f>IFERROR(__xludf.DUMMYFUNCTION("""COMPUTED_VALUE"""),"")</f>
        <v/>
      </c>
      <c r="Y554" s="141" t="str">
        <f>IFERROR(__xludf.DUMMYFUNCTION("""COMPUTED_VALUE"""),"")</f>
        <v/>
      </c>
    </row>
    <row r="555">
      <c r="C555" s="136" t="str">
        <f t="shared" si="3"/>
        <v/>
      </c>
      <c r="E555" s="106"/>
      <c r="G555" s="106" t="s">
        <v>133</v>
      </c>
      <c r="I555" s="139" t="s">
        <v>133</v>
      </c>
      <c r="J555" s="136" t="s">
        <v>133</v>
      </c>
      <c r="L555" s="136" t="str">
        <f t="shared" si="1"/>
        <v/>
      </c>
      <c r="N555" s="141" t="s">
        <v>133</v>
      </c>
      <c r="O555" s="136" t="str">
        <f>IFERROR(__xludf.DUMMYFUNCTION("""COMPUTED_VALUE"""),"")</f>
        <v/>
      </c>
      <c r="P555" s="136" t="str">
        <f>IFERROR(__xludf.DUMMYFUNCTION("""COMPUTED_VALUE"""),"")</f>
        <v/>
      </c>
      <c r="Q555" s="106" t="str">
        <f>IFERROR(__xludf.DUMMYFUNCTION("""COMPUTED_VALUE"""),"")</f>
        <v/>
      </c>
      <c r="R555" s="106" t="str">
        <f>IFERROR(__xludf.DUMMYFUNCTION("""COMPUTED_VALUE"""),"")</f>
        <v/>
      </c>
      <c r="S555" s="139" t="str">
        <f>IFERROR(__xludf.DUMMYFUNCTION("""COMPUTED_VALUE"""),"")</f>
        <v/>
      </c>
      <c r="T555" s="139" t="str">
        <f>IFERROR(__xludf.DUMMYFUNCTION("""COMPUTED_VALUE"""),"")</f>
        <v/>
      </c>
      <c r="U555" s="136" t="str">
        <f>IFERROR(__xludf.DUMMYFUNCTION("""COMPUTED_VALUE"""),"")</f>
        <v/>
      </c>
      <c r="V555" s="106" t="str">
        <f>IFERROR(__xludf.DUMMYFUNCTION("""COMPUTED_VALUE"""),"")</f>
        <v/>
      </c>
      <c r="W555" s="143" t="str">
        <f t="shared" si="2"/>
        <v/>
      </c>
      <c r="X555" s="139" t="str">
        <f>IFERROR(__xludf.DUMMYFUNCTION("""COMPUTED_VALUE"""),"")</f>
        <v/>
      </c>
      <c r="Y555" s="141" t="str">
        <f>IFERROR(__xludf.DUMMYFUNCTION("""COMPUTED_VALUE"""),"")</f>
        <v/>
      </c>
    </row>
    <row r="556">
      <c r="C556" s="136" t="str">
        <f t="shared" si="3"/>
        <v/>
      </c>
      <c r="E556" s="106"/>
      <c r="G556" s="106" t="s">
        <v>133</v>
      </c>
      <c r="I556" s="139" t="s">
        <v>133</v>
      </c>
      <c r="J556" s="136" t="s">
        <v>133</v>
      </c>
      <c r="L556" s="136" t="str">
        <f t="shared" si="1"/>
        <v/>
      </c>
      <c r="N556" s="141" t="s">
        <v>133</v>
      </c>
      <c r="O556" s="136" t="str">
        <f>IFERROR(__xludf.DUMMYFUNCTION("""COMPUTED_VALUE"""),"")</f>
        <v/>
      </c>
      <c r="P556" s="136" t="str">
        <f>IFERROR(__xludf.DUMMYFUNCTION("""COMPUTED_VALUE"""),"")</f>
        <v/>
      </c>
      <c r="Q556" s="106" t="str">
        <f>IFERROR(__xludf.DUMMYFUNCTION("""COMPUTED_VALUE"""),"")</f>
        <v/>
      </c>
      <c r="R556" s="106" t="str">
        <f>IFERROR(__xludf.DUMMYFUNCTION("""COMPUTED_VALUE"""),"")</f>
        <v/>
      </c>
      <c r="S556" s="139" t="str">
        <f>IFERROR(__xludf.DUMMYFUNCTION("""COMPUTED_VALUE"""),"")</f>
        <v/>
      </c>
      <c r="T556" s="139" t="str">
        <f>IFERROR(__xludf.DUMMYFUNCTION("""COMPUTED_VALUE"""),"")</f>
        <v/>
      </c>
      <c r="U556" s="136" t="str">
        <f>IFERROR(__xludf.DUMMYFUNCTION("""COMPUTED_VALUE"""),"")</f>
        <v/>
      </c>
      <c r="V556" s="106" t="str">
        <f>IFERROR(__xludf.DUMMYFUNCTION("""COMPUTED_VALUE"""),"")</f>
        <v/>
      </c>
      <c r="W556" s="143" t="str">
        <f t="shared" si="2"/>
        <v/>
      </c>
      <c r="X556" s="139" t="str">
        <f>IFERROR(__xludf.DUMMYFUNCTION("""COMPUTED_VALUE"""),"")</f>
        <v/>
      </c>
      <c r="Y556" s="141" t="str">
        <f>IFERROR(__xludf.DUMMYFUNCTION("""COMPUTED_VALUE"""),"")</f>
        <v/>
      </c>
    </row>
    <row r="557">
      <c r="C557" s="136" t="str">
        <f t="shared" si="3"/>
        <v/>
      </c>
      <c r="E557" s="106"/>
      <c r="G557" s="106" t="s">
        <v>133</v>
      </c>
      <c r="I557" s="139" t="s">
        <v>133</v>
      </c>
      <c r="J557" s="136" t="s">
        <v>133</v>
      </c>
      <c r="L557" s="136" t="str">
        <f t="shared" si="1"/>
        <v/>
      </c>
      <c r="N557" s="141" t="s">
        <v>133</v>
      </c>
      <c r="O557" s="136" t="str">
        <f>IFERROR(__xludf.DUMMYFUNCTION("""COMPUTED_VALUE"""),"")</f>
        <v/>
      </c>
      <c r="P557" s="136" t="str">
        <f>IFERROR(__xludf.DUMMYFUNCTION("""COMPUTED_VALUE"""),"")</f>
        <v/>
      </c>
      <c r="Q557" s="106" t="str">
        <f>IFERROR(__xludf.DUMMYFUNCTION("""COMPUTED_VALUE"""),"")</f>
        <v/>
      </c>
      <c r="R557" s="106" t="str">
        <f>IFERROR(__xludf.DUMMYFUNCTION("""COMPUTED_VALUE"""),"")</f>
        <v/>
      </c>
      <c r="S557" s="139" t="str">
        <f>IFERROR(__xludf.DUMMYFUNCTION("""COMPUTED_VALUE"""),"")</f>
        <v/>
      </c>
      <c r="T557" s="139" t="str">
        <f>IFERROR(__xludf.DUMMYFUNCTION("""COMPUTED_VALUE"""),"")</f>
        <v/>
      </c>
      <c r="U557" s="136" t="str">
        <f>IFERROR(__xludf.DUMMYFUNCTION("""COMPUTED_VALUE"""),"")</f>
        <v/>
      </c>
      <c r="V557" s="106" t="str">
        <f>IFERROR(__xludf.DUMMYFUNCTION("""COMPUTED_VALUE"""),"")</f>
        <v/>
      </c>
      <c r="W557" s="143" t="str">
        <f t="shared" si="2"/>
        <v/>
      </c>
      <c r="X557" s="139" t="str">
        <f>IFERROR(__xludf.DUMMYFUNCTION("""COMPUTED_VALUE"""),"")</f>
        <v/>
      </c>
      <c r="Y557" s="141" t="str">
        <f>IFERROR(__xludf.DUMMYFUNCTION("""COMPUTED_VALUE"""),"")</f>
        <v/>
      </c>
    </row>
    <row r="558">
      <c r="C558" s="136" t="str">
        <f t="shared" si="3"/>
        <v/>
      </c>
      <c r="E558" s="106"/>
      <c r="G558" s="106" t="s">
        <v>133</v>
      </c>
      <c r="I558" s="139" t="s">
        <v>133</v>
      </c>
      <c r="J558" s="136" t="s">
        <v>133</v>
      </c>
      <c r="L558" s="136" t="str">
        <f t="shared" si="1"/>
        <v/>
      </c>
      <c r="N558" s="141" t="s">
        <v>133</v>
      </c>
      <c r="O558" s="136" t="str">
        <f>IFERROR(__xludf.DUMMYFUNCTION("""COMPUTED_VALUE"""),"")</f>
        <v/>
      </c>
      <c r="P558" s="136" t="str">
        <f>IFERROR(__xludf.DUMMYFUNCTION("""COMPUTED_VALUE"""),"")</f>
        <v/>
      </c>
      <c r="Q558" s="106" t="str">
        <f>IFERROR(__xludf.DUMMYFUNCTION("""COMPUTED_VALUE"""),"")</f>
        <v/>
      </c>
      <c r="R558" s="106" t="str">
        <f>IFERROR(__xludf.DUMMYFUNCTION("""COMPUTED_VALUE"""),"")</f>
        <v/>
      </c>
      <c r="S558" s="139" t="str">
        <f>IFERROR(__xludf.DUMMYFUNCTION("""COMPUTED_VALUE"""),"")</f>
        <v/>
      </c>
      <c r="T558" s="139" t="str">
        <f>IFERROR(__xludf.DUMMYFUNCTION("""COMPUTED_VALUE"""),"")</f>
        <v/>
      </c>
      <c r="U558" s="136" t="str">
        <f>IFERROR(__xludf.DUMMYFUNCTION("""COMPUTED_VALUE"""),"")</f>
        <v/>
      </c>
      <c r="V558" s="106" t="str">
        <f>IFERROR(__xludf.DUMMYFUNCTION("""COMPUTED_VALUE"""),"")</f>
        <v/>
      </c>
      <c r="W558" s="143" t="str">
        <f t="shared" si="2"/>
        <v/>
      </c>
      <c r="X558" s="139" t="str">
        <f>IFERROR(__xludf.DUMMYFUNCTION("""COMPUTED_VALUE"""),"")</f>
        <v/>
      </c>
      <c r="Y558" s="141" t="str">
        <f>IFERROR(__xludf.DUMMYFUNCTION("""COMPUTED_VALUE"""),"")</f>
        <v/>
      </c>
    </row>
    <row r="559">
      <c r="C559" s="136" t="str">
        <f t="shared" si="3"/>
        <v/>
      </c>
      <c r="E559" s="106"/>
      <c r="G559" s="106" t="s">
        <v>133</v>
      </c>
      <c r="I559" s="139" t="s">
        <v>133</v>
      </c>
      <c r="J559" s="136" t="s">
        <v>133</v>
      </c>
      <c r="L559" s="136" t="str">
        <f t="shared" si="1"/>
        <v/>
      </c>
      <c r="N559" s="141" t="s">
        <v>133</v>
      </c>
      <c r="O559" s="136" t="str">
        <f>IFERROR(__xludf.DUMMYFUNCTION("""COMPUTED_VALUE"""),"")</f>
        <v/>
      </c>
      <c r="P559" s="136" t="str">
        <f>IFERROR(__xludf.DUMMYFUNCTION("""COMPUTED_VALUE"""),"")</f>
        <v/>
      </c>
      <c r="Q559" s="106" t="str">
        <f>IFERROR(__xludf.DUMMYFUNCTION("""COMPUTED_VALUE"""),"")</f>
        <v/>
      </c>
      <c r="R559" s="106" t="str">
        <f>IFERROR(__xludf.DUMMYFUNCTION("""COMPUTED_VALUE"""),"")</f>
        <v/>
      </c>
      <c r="S559" s="139" t="str">
        <f>IFERROR(__xludf.DUMMYFUNCTION("""COMPUTED_VALUE"""),"")</f>
        <v/>
      </c>
      <c r="T559" s="139" t="str">
        <f>IFERROR(__xludf.DUMMYFUNCTION("""COMPUTED_VALUE"""),"")</f>
        <v/>
      </c>
      <c r="U559" s="136" t="str">
        <f>IFERROR(__xludf.DUMMYFUNCTION("""COMPUTED_VALUE"""),"")</f>
        <v/>
      </c>
      <c r="V559" s="106" t="str">
        <f>IFERROR(__xludf.DUMMYFUNCTION("""COMPUTED_VALUE"""),"")</f>
        <v/>
      </c>
      <c r="W559" s="143" t="str">
        <f t="shared" si="2"/>
        <v/>
      </c>
      <c r="X559" s="139" t="str">
        <f>IFERROR(__xludf.DUMMYFUNCTION("""COMPUTED_VALUE"""),"")</f>
        <v/>
      </c>
      <c r="Y559" s="141" t="str">
        <f>IFERROR(__xludf.DUMMYFUNCTION("""COMPUTED_VALUE"""),"")</f>
        <v/>
      </c>
    </row>
    <row r="560">
      <c r="C560" s="136" t="str">
        <f t="shared" si="3"/>
        <v/>
      </c>
      <c r="E560" s="106"/>
      <c r="G560" s="106" t="s">
        <v>133</v>
      </c>
      <c r="I560" s="139" t="s">
        <v>133</v>
      </c>
      <c r="J560" s="136" t="s">
        <v>133</v>
      </c>
      <c r="L560" s="136" t="str">
        <f t="shared" si="1"/>
        <v/>
      </c>
      <c r="N560" s="141" t="s">
        <v>133</v>
      </c>
      <c r="O560" s="136" t="str">
        <f>IFERROR(__xludf.DUMMYFUNCTION("""COMPUTED_VALUE"""),"")</f>
        <v/>
      </c>
      <c r="P560" s="136" t="str">
        <f>IFERROR(__xludf.DUMMYFUNCTION("""COMPUTED_VALUE"""),"")</f>
        <v/>
      </c>
      <c r="Q560" s="106" t="str">
        <f>IFERROR(__xludf.DUMMYFUNCTION("""COMPUTED_VALUE"""),"")</f>
        <v/>
      </c>
      <c r="R560" s="106" t="str">
        <f>IFERROR(__xludf.DUMMYFUNCTION("""COMPUTED_VALUE"""),"")</f>
        <v/>
      </c>
      <c r="S560" s="139" t="str">
        <f>IFERROR(__xludf.DUMMYFUNCTION("""COMPUTED_VALUE"""),"")</f>
        <v/>
      </c>
      <c r="T560" s="139" t="str">
        <f>IFERROR(__xludf.DUMMYFUNCTION("""COMPUTED_VALUE"""),"")</f>
        <v/>
      </c>
      <c r="U560" s="136" t="str">
        <f>IFERROR(__xludf.DUMMYFUNCTION("""COMPUTED_VALUE"""),"")</f>
        <v/>
      </c>
      <c r="V560" s="106" t="str">
        <f>IFERROR(__xludf.DUMMYFUNCTION("""COMPUTED_VALUE"""),"")</f>
        <v/>
      </c>
      <c r="W560" s="143" t="str">
        <f t="shared" si="2"/>
        <v/>
      </c>
      <c r="X560" s="139" t="str">
        <f>IFERROR(__xludf.DUMMYFUNCTION("""COMPUTED_VALUE"""),"")</f>
        <v/>
      </c>
      <c r="Y560" s="141" t="str">
        <f>IFERROR(__xludf.DUMMYFUNCTION("""COMPUTED_VALUE"""),"")</f>
        <v/>
      </c>
    </row>
    <row r="561">
      <c r="C561" s="136" t="str">
        <f t="shared" si="3"/>
        <v/>
      </c>
      <c r="E561" s="106"/>
      <c r="G561" s="106" t="s">
        <v>133</v>
      </c>
      <c r="I561" s="139" t="s">
        <v>133</v>
      </c>
      <c r="J561" s="136" t="s">
        <v>133</v>
      </c>
      <c r="L561" s="136" t="str">
        <f t="shared" si="1"/>
        <v/>
      </c>
      <c r="N561" s="141" t="s">
        <v>133</v>
      </c>
      <c r="O561" s="136" t="str">
        <f>IFERROR(__xludf.DUMMYFUNCTION("""COMPUTED_VALUE"""),"")</f>
        <v/>
      </c>
      <c r="P561" s="136" t="str">
        <f>IFERROR(__xludf.DUMMYFUNCTION("""COMPUTED_VALUE"""),"")</f>
        <v/>
      </c>
      <c r="Q561" s="106" t="str">
        <f>IFERROR(__xludf.DUMMYFUNCTION("""COMPUTED_VALUE"""),"")</f>
        <v/>
      </c>
      <c r="R561" s="106" t="str">
        <f>IFERROR(__xludf.DUMMYFUNCTION("""COMPUTED_VALUE"""),"")</f>
        <v/>
      </c>
      <c r="S561" s="139" t="str">
        <f>IFERROR(__xludf.DUMMYFUNCTION("""COMPUTED_VALUE"""),"")</f>
        <v/>
      </c>
      <c r="T561" s="139" t="str">
        <f>IFERROR(__xludf.DUMMYFUNCTION("""COMPUTED_VALUE"""),"")</f>
        <v/>
      </c>
      <c r="U561" s="136" t="str">
        <f>IFERROR(__xludf.DUMMYFUNCTION("""COMPUTED_VALUE"""),"")</f>
        <v/>
      </c>
      <c r="V561" s="106" t="str">
        <f>IFERROR(__xludf.DUMMYFUNCTION("""COMPUTED_VALUE"""),"")</f>
        <v/>
      </c>
      <c r="W561" s="143" t="str">
        <f t="shared" si="2"/>
        <v/>
      </c>
      <c r="X561" s="139" t="str">
        <f>IFERROR(__xludf.DUMMYFUNCTION("""COMPUTED_VALUE"""),"")</f>
        <v/>
      </c>
      <c r="Y561" s="141" t="str">
        <f>IFERROR(__xludf.DUMMYFUNCTION("""COMPUTED_VALUE"""),"")</f>
        <v/>
      </c>
    </row>
    <row r="562">
      <c r="C562" s="136" t="str">
        <f t="shared" si="3"/>
        <v/>
      </c>
      <c r="E562" s="106"/>
      <c r="G562" s="106" t="s">
        <v>133</v>
      </c>
      <c r="I562" s="139" t="s">
        <v>133</v>
      </c>
      <c r="J562" s="136" t="s">
        <v>133</v>
      </c>
      <c r="L562" s="136" t="str">
        <f t="shared" si="1"/>
        <v/>
      </c>
      <c r="N562" s="141" t="s">
        <v>133</v>
      </c>
      <c r="O562" s="136" t="str">
        <f>IFERROR(__xludf.DUMMYFUNCTION("""COMPUTED_VALUE"""),"")</f>
        <v/>
      </c>
      <c r="P562" s="136" t="str">
        <f>IFERROR(__xludf.DUMMYFUNCTION("""COMPUTED_VALUE"""),"")</f>
        <v/>
      </c>
      <c r="Q562" s="106" t="str">
        <f>IFERROR(__xludf.DUMMYFUNCTION("""COMPUTED_VALUE"""),"")</f>
        <v/>
      </c>
      <c r="R562" s="106" t="str">
        <f>IFERROR(__xludf.DUMMYFUNCTION("""COMPUTED_VALUE"""),"")</f>
        <v/>
      </c>
      <c r="S562" s="139" t="str">
        <f>IFERROR(__xludf.DUMMYFUNCTION("""COMPUTED_VALUE"""),"")</f>
        <v/>
      </c>
      <c r="T562" s="139" t="str">
        <f>IFERROR(__xludf.DUMMYFUNCTION("""COMPUTED_VALUE"""),"")</f>
        <v/>
      </c>
      <c r="U562" s="136" t="str">
        <f>IFERROR(__xludf.DUMMYFUNCTION("""COMPUTED_VALUE"""),"")</f>
        <v/>
      </c>
      <c r="V562" s="106" t="str">
        <f>IFERROR(__xludf.DUMMYFUNCTION("""COMPUTED_VALUE"""),"")</f>
        <v/>
      </c>
      <c r="W562" s="143" t="str">
        <f t="shared" si="2"/>
        <v/>
      </c>
      <c r="X562" s="139" t="str">
        <f>IFERROR(__xludf.DUMMYFUNCTION("""COMPUTED_VALUE"""),"")</f>
        <v/>
      </c>
      <c r="Y562" s="141" t="str">
        <f>IFERROR(__xludf.DUMMYFUNCTION("""COMPUTED_VALUE"""),"")</f>
        <v/>
      </c>
    </row>
    <row r="563">
      <c r="C563" s="136" t="str">
        <f t="shared" si="3"/>
        <v/>
      </c>
      <c r="E563" s="106"/>
      <c r="G563" s="106" t="s">
        <v>133</v>
      </c>
      <c r="I563" s="139" t="s">
        <v>133</v>
      </c>
      <c r="J563" s="136" t="s">
        <v>133</v>
      </c>
      <c r="L563" s="136" t="str">
        <f t="shared" si="1"/>
        <v/>
      </c>
      <c r="N563" s="141" t="s">
        <v>133</v>
      </c>
      <c r="O563" s="136" t="str">
        <f>IFERROR(__xludf.DUMMYFUNCTION("""COMPUTED_VALUE"""),"")</f>
        <v/>
      </c>
      <c r="P563" s="136" t="str">
        <f>IFERROR(__xludf.DUMMYFUNCTION("""COMPUTED_VALUE"""),"")</f>
        <v/>
      </c>
      <c r="Q563" s="106" t="str">
        <f>IFERROR(__xludf.DUMMYFUNCTION("""COMPUTED_VALUE"""),"")</f>
        <v/>
      </c>
      <c r="R563" s="106" t="str">
        <f>IFERROR(__xludf.DUMMYFUNCTION("""COMPUTED_VALUE"""),"")</f>
        <v/>
      </c>
      <c r="S563" s="139" t="str">
        <f>IFERROR(__xludf.DUMMYFUNCTION("""COMPUTED_VALUE"""),"")</f>
        <v/>
      </c>
      <c r="T563" s="139" t="str">
        <f>IFERROR(__xludf.DUMMYFUNCTION("""COMPUTED_VALUE"""),"")</f>
        <v/>
      </c>
      <c r="U563" s="136" t="str">
        <f>IFERROR(__xludf.DUMMYFUNCTION("""COMPUTED_VALUE"""),"")</f>
        <v/>
      </c>
      <c r="V563" s="106" t="str">
        <f>IFERROR(__xludf.DUMMYFUNCTION("""COMPUTED_VALUE"""),"")</f>
        <v/>
      </c>
      <c r="W563" s="143" t="str">
        <f t="shared" si="2"/>
        <v/>
      </c>
      <c r="X563" s="139" t="str">
        <f>IFERROR(__xludf.DUMMYFUNCTION("""COMPUTED_VALUE"""),"")</f>
        <v/>
      </c>
      <c r="Y563" s="141" t="str">
        <f>IFERROR(__xludf.DUMMYFUNCTION("""COMPUTED_VALUE"""),"")</f>
        <v/>
      </c>
    </row>
    <row r="564">
      <c r="C564" s="136" t="str">
        <f t="shared" si="3"/>
        <v/>
      </c>
      <c r="E564" s="106"/>
      <c r="G564" s="106" t="s">
        <v>133</v>
      </c>
      <c r="I564" s="139" t="s">
        <v>133</v>
      </c>
      <c r="J564" s="136" t="s">
        <v>133</v>
      </c>
      <c r="L564" s="136" t="str">
        <f t="shared" si="1"/>
        <v/>
      </c>
      <c r="N564" s="141" t="s">
        <v>133</v>
      </c>
      <c r="O564" s="136" t="str">
        <f>IFERROR(__xludf.DUMMYFUNCTION("""COMPUTED_VALUE"""),"")</f>
        <v/>
      </c>
      <c r="P564" s="136" t="str">
        <f>IFERROR(__xludf.DUMMYFUNCTION("""COMPUTED_VALUE"""),"")</f>
        <v/>
      </c>
      <c r="Q564" s="106" t="str">
        <f>IFERROR(__xludf.DUMMYFUNCTION("""COMPUTED_VALUE"""),"")</f>
        <v/>
      </c>
      <c r="R564" s="106" t="str">
        <f>IFERROR(__xludf.DUMMYFUNCTION("""COMPUTED_VALUE"""),"")</f>
        <v/>
      </c>
      <c r="S564" s="139" t="str">
        <f>IFERROR(__xludf.DUMMYFUNCTION("""COMPUTED_VALUE"""),"")</f>
        <v/>
      </c>
      <c r="T564" s="139" t="str">
        <f>IFERROR(__xludf.DUMMYFUNCTION("""COMPUTED_VALUE"""),"")</f>
        <v/>
      </c>
      <c r="U564" s="136" t="str">
        <f>IFERROR(__xludf.DUMMYFUNCTION("""COMPUTED_VALUE"""),"")</f>
        <v/>
      </c>
      <c r="V564" s="106" t="str">
        <f>IFERROR(__xludf.DUMMYFUNCTION("""COMPUTED_VALUE"""),"")</f>
        <v/>
      </c>
      <c r="W564" s="143" t="str">
        <f t="shared" si="2"/>
        <v/>
      </c>
      <c r="X564" s="139" t="str">
        <f>IFERROR(__xludf.DUMMYFUNCTION("""COMPUTED_VALUE"""),"")</f>
        <v/>
      </c>
      <c r="Y564" s="141" t="str">
        <f>IFERROR(__xludf.DUMMYFUNCTION("""COMPUTED_VALUE"""),"")</f>
        <v/>
      </c>
    </row>
    <row r="565">
      <c r="C565" s="136" t="str">
        <f t="shared" si="3"/>
        <v/>
      </c>
      <c r="E565" s="106"/>
      <c r="G565" s="106" t="s">
        <v>133</v>
      </c>
      <c r="I565" s="139" t="s">
        <v>133</v>
      </c>
      <c r="J565" s="136" t="s">
        <v>133</v>
      </c>
      <c r="L565" s="136" t="str">
        <f t="shared" si="1"/>
        <v/>
      </c>
      <c r="N565" s="141" t="s">
        <v>133</v>
      </c>
      <c r="O565" s="136" t="str">
        <f>IFERROR(__xludf.DUMMYFUNCTION("""COMPUTED_VALUE"""),"")</f>
        <v/>
      </c>
      <c r="P565" s="136" t="str">
        <f>IFERROR(__xludf.DUMMYFUNCTION("""COMPUTED_VALUE"""),"")</f>
        <v/>
      </c>
      <c r="Q565" s="106" t="str">
        <f>IFERROR(__xludf.DUMMYFUNCTION("""COMPUTED_VALUE"""),"")</f>
        <v/>
      </c>
      <c r="R565" s="106" t="str">
        <f>IFERROR(__xludf.DUMMYFUNCTION("""COMPUTED_VALUE"""),"")</f>
        <v/>
      </c>
      <c r="S565" s="139" t="str">
        <f>IFERROR(__xludf.DUMMYFUNCTION("""COMPUTED_VALUE"""),"")</f>
        <v/>
      </c>
      <c r="T565" s="139" t="str">
        <f>IFERROR(__xludf.DUMMYFUNCTION("""COMPUTED_VALUE"""),"")</f>
        <v/>
      </c>
      <c r="U565" s="136" t="str">
        <f>IFERROR(__xludf.DUMMYFUNCTION("""COMPUTED_VALUE"""),"")</f>
        <v/>
      </c>
      <c r="V565" s="106" t="str">
        <f>IFERROR(__xludf.DUMMYFUNCTION("""COMPUTED_VALUE"""),"")</f>
        <v/>
      </c>
      <c r="W565" s="143" t="str">
        <f t="shared" si="2"/>
        <v/>
      </c>
      <c r="X565" s="139" t="str">
        <f>IFERROR(__xludf.DUMMYFUNCTION("""COMPUTED_VALUE"""),"")</f>
        <v/>
      </c>
      <c r="Y565" s="141" t="str">
        <f>IFERROR(__xludf.DUMMYFUNCTION("""COMPUTED_VALUE"""),"")</f>
        <v/>
      </c>
    </row>
    <row r="566">
      <c r="C566" s="136" t="str">
        <f t="shared" si="3"/>
        <v/>
      </c>
      <c r="E566" s="106"/>
      <c r="G566" s="106" t="s">
        <v>133</v>
      </c>
      <c r="I566" s="139" t="s">
        <v>133</v>
      </c>
      <c r="J566" s="136" t="s">
        <v>133</v>
      </c>
      <c r="L566" s="136" t="str">
        <f t="shared" si="1"/>
        <v/>
      </c>
      <c r="N566" s="141" t="s">
        <v>133</v>
      </c>
      <c r="O566" s="136" t="str">
        <f>IFERROR(__xludf.DUMMYFUNCTION("""COMPUTED_VALUE"""),"")</f>
        <v/>
      </c>
      <c r="P566" s="136" t="str">
        <f>IFERROR(__xludf.DUMMYFUNCTION("""COMPUTED_VALUE"""),"")</f>
        <v/>
      </c>
      <c r="Q566" s="106" t="str">
        <f>IFERROR(__xludf.DUMMYFUNCTION("""COMPUTED_VALUE"""),"")</f>
        <v/>
      </c>
      <c r="R566" s="106" t="str">
        <f>IFERROR(__xludf.DUMMYFUNCTION("""COMPUTED_VALUE"""),"")</f>
        <v/>
      </c>
      <c r="S566" s="139" t="str">
        <f>IFERROR(__xludf.DUMMYFUNCTION("""COMPUTED_VALUE"""),"")</f>
        <v/>
      </c>
      <c r="T566" s="139" t="str">
        <f>IFERROR(__xludf.DUMMYFUNCTION("""COMPUTED_VALUE"""),"")</f>
        <v/>
      </c>
      <c r="U566" s="136" t="str">
        <f>IFERROR(__xludf.DUMMYFUNCTION("""COMPUTED_VALUE"""),"")</f>
        <v/>
      </c>
      <c r="V566" s="106" t="str">
        <f>IFERROR(__xludf.DUMMYFUNCTION("""COMPUTED_VALUE"""),"")</f>
        <v/>
      </c>
      <c r="W566" s="143" t="str">
        <f t="shared" si="2"/>
        <v/>
      </c>
      <c r="X566" s="139" t="str">
        <f>IFERROR(__xludf.DUMMYFUNCTION("""COMPUTED_VALUE"""),"")</f>
        <v/>
      </c>
      <c r="Y566" s="141" t="str">
        <f>IFERROR(__xludf.DUMMYFUNCTION("""COMPUTED_VALUE"""),"")</f>
        <v/>
      </c>
    </row>
    <row r="567">
      <c r="C567" s="136" t="str">
        <f t="shared" si="3"/>
        <v/>
      </c>
      <c r="E567" s="106"/>
      <c r="G567" s="106" t="s">
        <v>133</v>
      </c>
      <c r="I567" s="139" t="s">
        <v>133</v>
      </c>
      <c r="J567" s="136" t="s">
        <v>133</v>
      </c>
      <c r="L567" s="136" t="str">
        <f t="shared" si="1"/>
        <v/>
      </c>
      <c r="N567" s="141" t="s">
        <v>133</v>
      </c>
      <c r="O567" s="136" t="str">
        <f>IFERROR(__xludf.DUMMYFUNCTION("""COMPUTED_VALUE"""),"")</f>
        <v/>
      </c>
      <c r="P567" s="136" t="str">
        <f>IFERROR(__xludf.DUMMYFUNCTION("""COMPUTED_VALUE"""),"")</f>
        <v/>
      </c>
      <c r="Q567" s="106" t="str">
        <f>IFERROR(__xludf.DUMMYFUNCTION("""COMPUTED_VALUE"""),"")</f>
        <v/>
      </c>
      <c r="R567" s="106" t="str">
        <f>IFERROR(__xludf.DUMMYFUNCTION("""COMPUTED_VALUE"""),"")</f>
        <v/>
      </c>
      <c r="S567" s="139" t="str">
        <f>IFERROR(__xludf.DUMMYFUNCTION("""COMPUTED_VALUE"""),"")</f>
        <v/>
      </c>
      <c r="T567" s="139" t="str">
        <f>IFERROR(__xludf.DUMMYFUNCTION("""COMPUTED_VALUE"""),"")</f>
        <v/>
      </c>
      <c r="U567" s="136" t="str">
        <f>IFERROR(__xludf.DUMMYFUNCTION("""COMPUTED_VALUE"""),"")</f>
        <v/>
      </c>
      <c r="V567" s="106" t="str">
        <f>IFERROR(__xludf.DUMMYFUNCTION("""COMPUTED_VALUE"""),"")</f>
        <v/>
      </c>
      <c r="W567" s="143" t="str">
        <f t="shared" si="2"/>
        <v/>
      </c>
      <c r="X567" s="139" t="str">
        <f>IFERROR(__xludf.DUMMYFUNCTION("""COMPUTED_VALUE"""),"")</f>
        <v/>
      </c>
      <c r="Y567" s="141" t="str">
        <f>IFERROR(__xludf.DUMMYFUNCTION("""COMPUTED_VALUE"""),"")</f>
        <v/>
      </c>
    </row>
    <row r="568">
      <c r="C568" s="136" t="str">
        <f t="shared" si="3"/>
        <v/>
      </c>
      <c r="E568" s="106"/>
      <c r="G568" s="106" t="s">
        <v>133</v>
      </c>
      <c r="I568" s="139" t="s">
        <v>133</v>
      </c>
      <c r="J568" s="136" t="s">
        <v>133</v>
      </c>
      <c r="L568" s="136" t="str">
        <f t="shared" si="1"/>
        <v/>
      </c>
      <c r="N568" s="141" t="s">
        <v>133</v>
      </c>
      <c r="O568" s="136" t="str">
        <f>IFERROR(__xludf.DUMMYFUNCTION("""COMPUTED_VALUE"""),"")</f>
        <v/>
      </c>
      <c r="P568" s="136" t="str">
        <f>IFERROR(__xludf.DUMMYFUNCTION("""COMPUTED_VALUE"""),"")</f>
        <v/>
      </c>
      <c r="Q568" s="106" t="str">
        <f>IFERROR(__xludf.DUMMYFUNCTION("""COMPUTED_VALUE"""),"")</f>
        <v/>
      </c>
      <c r="R568" s="106" t="str">
        <f>IFERROR(__xludf.DUMMYFUNCTION("""COMPUTED_VALUE"""),"")</f>
        <v/>
      </c>
      <c r="S568" s="139" t="str">
        <f>IFERROR(__xludf.DUMMYFUNCTION("""COMPUTED_VALUE"""),"")</f>
        <v/>
      </c>
      <c r="T568" s="139" t="str">
        <f>IFERROR(__xludf.DUMMYFUNCTION("""COMPUTED_VALUE"""),"")</f>
        <v/>
      </c>
      <c r="U568" s="136" t="str">
        <f>IFERROR(__xludf.DUMMYFUNCTION("""COMPUTED_VALUE"""),"")</f>
        <v/>
      </c>
      <c r="V568" s="106" t="str">
        <f>IFERROR(__xludf.DUMMYFUNCTION("""COMPUTED_VALUE"""),"")</f>
        <v/>
      </c>
      <c r="W568" s="143" t="str">
        <f t="shared" si="2"/>
        <v/>
      </c>
      <c r="X568" s="139" t="str">
        <f>IFERROR(__xludf.DUMMYFUNCTION("""COMPUTED_VALUE"""),"")</f>
        <v/>
      </c>
      <c r="Y568" s="141" t="str">
        <f>IFERROR(__xludf.DUMMYFUNCTION("""COMPUTED_VALUE"""),"")</f>
        <v/>
      </c>
    </row>
    <row r="569">
      <c r="C569" s="136" t="str">
        <f t="shared" si="3"/>
        <v/>
      </c>
      <c r="E569" s="106"/>
      <c r="G569" s="106" t="s">
        <v>133</v>
      </c>
      <c r="I569" s="139" t="s">
        <v>133</v>
      </c>
      <c r="J569" s="136" t="s">
        <v>133</v>
      </c>
      <c r="L569" s="136" t="str">
        <f t="shared" si="1"/>
        <v/>
      </c>
      <c r="N569" s="141" t="s">
        <v>133</v>
      </c>
      <c r="O569" s="136" t="str">
        <f>IFERROR(__xludf.DUMMYFUNCTION("""COMPUTED_VALUE"""),"")</f>
        <v/>
      </c>
      <c r="P569" s="136" t="str">
        <f>IFERROR(__xludf.DUMMYFUNCTION("""COMPUTED_VALUE"""),"")</f>
        <v/>
      </c>
      <c r="Q569" s="106" t="str">
        <f>IFERROR(__xludf.DUMMYFUNCTION("""COMPUTED_VALUE"""),"")</f>
        <v/>
      </c>
      <c r="R569" s="106" t="str">
        <f>IFERROR(__xludf.DUMMYFUNCTION("""COMPUTED_VALUE"""),"")</f>
        <v/>
      </c>
      <c r="S569" s="139" t="str">
        <f>IFERROR(__xludf.DUMMYFUNCTION("""COMPUTED_VALUE"""),"")</f>
        <v/>
      </c>
      <c r="T569" s="139" t="str">
        <f>IFERROR(__xludf.DUMMYFUNCTION("""COMPUTED_VALUE"""),"")</f>
        <v/>
      </c>
      <c r="U569" s="136" t="str">
        <f>IFERROR(__xludf.DUMMYFUNCTION("""COMPUTED_VALUE"""),"")</f>
        <v/>
      </c>
      <c r="V569" s="106" t="str">
        <f>IFERROR(__xludf.DUMMYFUNCTION("""COMPUTED_VALUE"""),"")</f>
        <v/>
      </c>
      <c r="W569" s="143" t="str">
        <f t="shared" si="2"/>
        <v/>
      </c>
      <c r="X569" s="139" t="str">
        <f>IFERROR(__xludf.DUMMYFUNCTION("""COMPUTED_VALUE"""),"")</f>
        <v/>
      </c>
      <c r="Y569" s="141" t="str">
        <f>IFERROR(__xludf.DUMMYFUNCTION("""COMPUTED_VALUE"""),"")</f>
        <v/>
      </c>
    </row>
    <row r="570">
      <c r="C570" s="136" t="str">
        <f t="shared" si="3"/>
        <v/>
      </c>
      <c r="E570" s="106"/>
      <c r="G570" s="106" t="s">
        <v>133</v>
      </c>
      <c r="I570" s="139" t="s">
        <v>133</v>
      </c>
      <c r="J570" s="136" t="s">
        <v>133</v>
      </c>
      <c r="L570" s="136" t="str">
        <f t="shared" si="1"/>
        <v/>
      </c>
      <c r="N570" s="141" t="s">
        <v>133</v>
      </c>
      <c r="O570" s="136" t="str">
        <f>IFERROR(__xludf.DUMMYFUNCTION("""COMPUTED_VALUE"""),"")</f>
        <v/>
      </c>
      <c r="P570" s="136" t="str">
        <f>IFERROR(__xludf.DUMMYFUNCTION("""COMPUTED_VALUE"""),"")</f>
        <v/>
      </c>
      <c r="Q570" s="106" t="str">
        <f>IFERROR(__xludf.DUMMYFUNCTION("""COMPUTED_VALUE"""),"")</f>
        <v/>
      </c>
      <c r="R570" s="106" t="str">
        <f>IFERROR(__xludf.DUMMYFUNCTION("""COMPUTED_VALUE"""),"")</f>
        <v/>
      </c>
      <c r="S570" s="139" t="str">
        <f>IFERROR(__xludf.DUMMYFUNCTION("""COMPUTED_VALUE"""),"")</f>
        <v/>
      </c>
      <c r="T570" s="139" t="str">
        <f>IFERROR(__xludf.DUMMYFUNCTION("""COMPUTED_VALUE"""),"")</f>
        <v/>
      </c>
      <c r="U570" s="136" t="str">
        <f>IFERROR(__xludf.DUMMYFUNCTION("""COMPUTED_VALUE"""),"")</f>
        <v/>
      </c>
      <c r="V570" s="106" t="str">
        <f>IFERROR(__xludf.DUMMYFUNCTION("""COMPUTED_VALUE"""),"")</f>
        <v/>
      </c>
      <c r="W570" s="143" t="str">
        <f t="shared" si="2"/>
        <v/>
      </c>
      <c r="X570" s="139" t="str">
        <f>IFERROR(__xludf.DUMMYFUNCTION("""COMPUTED_VALUE"""),"")</f>
        <v/>
      </c>
      <c r="Y570" s="141" t="str">
        <f>IFERROR(__xludf.DUMMYFUNCTION("""COMPUTED_VALUE"""),"")</f>
        <v/>
      </c>
    </row>
    <row r="571">
      <c r="C571" s="136" t="str">
        <f t="shared" si="3"/>
        <v/>
      </c>
      <c r="E571" s="106"/>
      <c r="G571" s="106" t="s">
        <v>133</v>
      </c>
      <c r="I571" s="139" t="s">
        <v>133</v>
      </c>
      <c r="J571" s="136" t="s">
        <v>133</v>
      </c>
      <c r="L571" s="136" t="str">
        <f t="shared" si="1"/>
        <v/>
      </c>
      <c r="N571" s="141" t="s">
        <v>133</v>
      </c>
      <c r="O571" s="136" t="str">
        <f>IFERROR(__xludf.DUMMYFUNCTION("""COMPUTED_VALUE"""),"")</f>
        <v/>
      </c>
      <c r="P571" s="136" t="str">
        <f>IFERROR(__xludf.DUMMYFUNCTION("""COMPUTED_VALUE"""),"")</f>
        <v/>
      </c>
      <c r="Q571" s="106" t="str">
        <f>IFERROR(__xludf.DUMMYFUNCTION("""COMPUTED_VALUE"""),"")</f>
        <v/>
      </c>
      <c r="R571" s="106" t="str">
        <f>IFERROR(__xludf.DUMMYFUNCTION("""COMPUTED_VALUE"""),"")</f>
        <v/>
      </c>
      <c r="S571" s="139" t="str">
        <f>IFERROR(__xludf.DUMMYFUNCTION("""COMPUTED_VALUE"""),"")</f>
        <v/>
      </c>
      <c r="T571" s="139" t="str">
        <f>IFERROR(__xludf.DUMMYFUNCTION("""COMPUTED_VALUE"""),"")</f>
        <v/>
      </c>
      <c r="U571" s="136" t="str">
        <f>IFERROR(__xludf.DUMMYFUNCTION("""COMPUTED_VALUE"""),"")</f>
        <v/>
      </c>
      <c r="V571" s="106" t="str">
        <f>IFERROR(__xludf.DUMMYFUNCTION("""COMPUTED_VALUE"""),"")</f>
        <v/>
      </c>
      <c r="W571" s="143" t="str">
        <f t="shared" si="2"/>
        <v/>
      </c>
      <c r="X571" s="139" t="str">
        <f>IFERROR(__xludf.DUMMYFUNCTION("""COMPUTED_VALUE"""),"")</f>
        <v/>
      </c>
      <c r="Y571" s="141" t="str">
        <f>IFERROR(__xludf.DUMMYFUNCTION("""COMPUTED_VALUE"""),"")</f>
        <v/>
      </c>
    </row>
    <row r="572">
      <c r="C572" s="136" t="str">
        <f t="shared" si="3"/>
        <v/>
      </c>
      <c r="E572" s="106"/>
      <c r="G572" s="106" t="s">
        <v>133</v>
      </c>
      <c r="I572" s="139" t="s">
        <v>133</v>
      </c>
      <c r="J572" s="136" t="s">
        <v>133</v>
      </c>
      <c r="L572" s="136" t="str">
        <f t="shared" si="1"/>
        <v/>
      </c>
      <c r="N572" s="141" t="s">
        <v>133</v>
      </c>
      <c r="O572" s="136" t="str">
        <f>IFERROR(__xludf.DUMMYFUNCTION("""COMPUTED_VALUE"""),"")</f>
        <v/>
      </c>
      <c r="P572" s="136" t="str">
        <f>IFERROR(__xludf.DUMMYFUNCTION("""COMPUTED_VALUE"""),"")</f>
        <v/>
      </c>
      <c r="Q572" s="106" t="str">
        <f>IFERROR(__xludf.DUMMYFUNCTION("""COMPUTED_VALUE"""),"")</f>
        <v/>
      </c>
      <c r="R572" s="106" t="str">
        <f>IFERROR(__xludf.DUMMYFUNCTION("""COMPUTED_VALUE"""),"")</f>
        <v/>
      </c>
      <c r="S572" s="139" t="str">
        <f>IFERROR(__xludf.DUMMYFUNCTION("""COMPUTED_VALUE"""),"")</f>
        <v/>
      </c>
      <c r="T572" s="139" t="str">
        <f>IFERROR(__xludf.DUMMYFUNCTION("""COMPUTED_VALUE"""),"")</f>
        <v/>
      </c>
      <c r="U572" s="136" t="str">
        <f>IFERROR(__xludf.DUMMYFUNCTION("""COMPUTED_VALUE"""),"")</f>
        <v/>
      </c>
      <c r="V572" s="106" t="str">
        <f>IFERROR(__xludf.DUMMYFUNCTION("""COMPUTED_VALUE"""),"")</f>
        <v/>
      </c>
      <c r="W572" s="143" t="str">
        <f t="shared" si="2"/>
        <v/>
      </c>
      <c r="X572" s="139" t="str">
        <f>IFERROR(__xludf.DUMMYFUNCTION("""COMPUTED_VALUE"""),"")</f>
        <v/>
      </c>
      <c r="Y572" s="141" t="str">
        <f>IFERROR(__xludf.DUMMYFUNCTION("""COMPUTED_VALUE"""),"")</f>
        <v/>
      </c>
    </row>
    <row r="573">
      <c r="C573" s="136" t="str">
        <f t="shared" si="3"/>
        <v/>
      </c>
      <c r="E573" s="106"/>
      <c r="G573" s="106" t="s">
        <v>133</v>
      </c>
      <c r="I573" s="139" t="s">
        <v>133</v>
      </c>
      <c r="J573" s="136" t="s">
        <v>133</v>
      </c>
      <c r="L573" s="136" t="str">
        <f t="shared" si="1"/>
        <v/>
      </c>
      <c r="N573" s="141" t="s">
        <v>133</v>
      </c>
      <c r="O573" s="136" t="str">
        <f>IFERROR(__xludf.DUMMYFUNCTION("""COMPUTED_VALUE"""),"")</f>
        <v/>
      </c>
      <c r="P573" s="136" t="str">
        <f>IFERROR(__xludf.DUMMYFUNCTION("""COMPUTED_VALUE"""),"")</f>
        <v/>
      </c>
      <c r="Q573" s="106" t="str">
        <f>IFERROR(__xludf.DUMMYFUNCTION("""COMPUTED_VALUE"""),"")</f>
        <v/>
      </c>
      <c r="R573" s="106" t="str">
        <f>IFERROR(__xludf.DUMMYFUNCTION("""COMPUTED_VALUE"""),"")</f>
        <v/>
      </c>
      <c r="S573" s="139" t="str">
        <f>IFERROR(__xludf.DUMMYFUNCTION("""COMPUTED_VALUE"""),"")</f>
        <v/>
      </c>
      <c r="T573" s="139" t="str">
        <f>IFERROR(__xludf.DUMMYFUNCTION("""COMPUTED_VALUE"""),"")</f>
        <v/>
      </c>
      <c r="U573" s="136" t="str">
        <f>IFERROR(__xludf.DUMMYFUNCTION("""COMPUTED_VALUE"""),"")</f>
        <v/>
      </c>
      <c r="V573" s="106" t="str">
        <f>IFERROR(__xludf.DUMMYFUNCTION("""COMPUTED_VALUE"""),"")</f>
        <v/>
      </c>
      <c r="W573" s="143" t="str">
        <f t="shared" si="2"/>
        <v/>
      </c>
      <c r="X573" s="139" t="str">
        <f>IFERROR(__xludf.DUMMYFUNCTION("""COMPUTED_VALUE"""),"")</f>
        <v/>
      </c>
      <c r="Y573" s="141" t="str">
        <f>IFERROR(__xludf.DUMMYFUNCTION("""COMPUTED_VALUE"""),"")</f>
        <v/>
      </c>
    </row>
    <row r="574">
      <c r="C574" s="136" t="str">
        <f t="shared" si="3"/>
        <v/>
      </c>
      <c r="E574" s="106"/>
      <c r="G574" s="106" t="s">
        <v>133</v>
      </c>
      <c r="I574" s="139" t="s">
        <v>133</v>
      </c>
      <c r="J574" s="136" t="s">
        <v>133</v>
      </c>
      <c r="L574" s="136" t="str">
        <f t="shared" si="1"/>
        <v/>
      </c>
      <c r="N574" s="141" t="s">
        <v>133</v>
      </c>
      <c r="O574" s="136" t="str">
        <f>IFERROR(__xludf.DUMMYFUNCTION("""COMPUTED_VALUE"""),"")</f>
        <v/>
      </c>
      <c r="P574" s="136" t="str">
        <f>IFERROR(__xludf.DUMMYFUNCTION("""COMPUTED_VALUE"""),"")</f>
        <v/>
      </c>
      <c r="Q574" s="106" t="str">
        <f>IFERROR(__xludf.DUMMYFUNCTION("""COMPUTED_VALUE"""),"")</f>
        <v/>
      </c>
      <c r="R574" s="106" t="str">
        <f>IFERROR(__xludf.DUMMYFUNCTION("""COMPUTED_VALUE"""),"")</f>
        <v/>
      </c>
      <c r="S574" s="139" t="str">
        <f>IFERROR(__xludf.DUMMYFUNCTION("""COMPUTED_VALUE"""),"")</f>
        <v/>
      </c>
      <c r="T574" s="139" t="str">
        <f>IFERROR(__xludf.DUMMYFUNCTION("""COMPUTED_VALUE"""),"")</f>
        <v/>
      </c>
      <c r="U574" s="136" t="str">
        <f>IFERROR(__xludf.DUMMYFUNCTION("""COMPUTED_VALUE"""),"")</f>
        <v/>
      </c>
      <c r="V574" s="106" t="str">
        <f>IFERROR(__xludf.DUMMYFUNCTION("""COMPUTED_VALUE"""),"")</f>
        <v/>
      </c>
      <c r="W574" s="143" t="str">
        <f t="shared" si="2"/>
        <v/>
      </c>
      <c r="X574" s="139" t="str">
        <f>IFERROR(__xludf.DUMMYFUNCTION("""COMPUTED_VALUE"""),"")</f>
        <v/>
      </c>
      <c r="Y574" s="141" t="str">
        <f>IFERROR(__xludf.DUMMYFUNCTION("""COMPUTED_VALUE"""),"")</f>
        <v/>
      </c>
    </row>
    <row r="575">
      <c r="C575" s="136" t="str">
        <f t="shared" si="3"/>
        <v/>
      </c>
      <c r="E575" s="106"/>
      <c r="G575" s="106" t="s">
        <v>133</v>
      </c>
      <c r="I575" s="139" t="s">
        <v>133</v>
      </c>
      <c r="J575" s="136" t="s">
        <v>133</v>
      </c>
      <c r="L575" s="136" t="str">
        <f t="shared" si="1"/>
        <v/>
      </c>
      <c r="N575" s="141" t="s">
        <v>133</v>
      </c>
      <c r="O575" s="136" t="str">
        <f>IFERROR(__xludf.DUMMYFUNCTION("""COMPUTED_VALUE"""),"")</f>
        <v/>
      </c>
      <c r="P575" s="136" t="str">
        <f>IFERROR(__xludf.DUMMYFUNCTION("""COMPUTED_VALUE"""),"")</f>
        <v/>
      </c>
      <c r="Q575" s="106" t="str">
        <f>IFERROR(__xludf.DUMMYFUNCTION("""COMPUTED_VALUE"""),"")</f>
        <v/>
      </c>
      <c r="R575" s="106" t="str">
        <f>IFERROR(__xludf.DUMMYFUNCTION("""COMPUTED_VALUE"""),"")</f>
        <v/>
      </c>
      <c r="S575" s="139" t="str">
        <f>IFERROR(__xludf.DUMMYFUNCTION("""COMPUTED_VALUE"""),"")</f>
        <v/>
      </c>
      <c r="T575" s="139" t="str">
        <f>IFERROR(__xludf.DUMMYFUNCTION("""COMPUTED_VALUE"""),"")</f>
        <v/>
      </c>
      <c r="U575" s="136" t="str">
        <f>IFERROR(__xludf.DUMMYFUNCTION("""COMPUTED_VALUE"""),"")</f>
        <v/>
      </c>
      <c r="V575" s="106" t="str">
        <f>IFERROR(__xludf.DUMMYFUNCTION("""COMPUTED_VALUE"""),"")</f>
        <v/>
      </c>
      <c r="W575" s="143" t="str">
        <f t="shared" si="2"/>
        <v/>
      </c>
      <c r="X575" s="139" t="str">
        <f>IFERROR(__xludf.DUMMYFUNCTION("""COMPUTED_VALUE"""),"")</f>
        <v/>
      </c>
      <c r="Y575" s="141" t="str">
        <f>IFERROR(__xludf.DUMMYFUNCTION("""COMPUTED_VALUE"""),"")</f>
        <v/>
      </c>
    </row>
    <row r="576">
      <c r="C576" s="136" t="str">
        <f t="shared" si="3"/>
        <v/>
      </c>
      <c r="E576" s="106"/>
      <c r="G576" s="106" t="s">
        <v>133</v>
      </c>
      <c r="I576" s="139" t="s">
        <v>133</v>
      </c>
      <c r="J576" s="136" t="s">
        <v>133</v>
      </c>
      <c r="L576" s="136" t="str">
        <f t="shared" si="1"/>
        <v/>
      </c>
      <c r="N576" s="141" t="s">
        <v>133</v>
      </c>
      <c r="O576" s="136" t="str">
        <f>IFERROR(__xludf.DUMMYFUNCTION("""COMPUTED_VALUE"""),"")</f>
        <v/>
      </c>
      <c r="P576" s="136" t="str">
        <f>IFERROR(__xludf.DUMMYFUNCTION("""COMPUTED_VALUE"""),"")</f>
        <v/>
      </c>
      <c r="Q576" s="106" t="str">
        <f>IFERROR(__xludf.DUMMYFUNCTION("""COMPUTED_VALUE"""),"")</f>
        <v/>
      </c>
      <c r="R576" s="106" t="str">
        <f>IFERROR(__xludf.DUMMYFUNCTION("""COMPUTED_VALUE"""),"")</f>
        <v/>
      </c>
      <c r="S576" s="139" t="str">
        <f>IFERROR(__xludf.DUMMYFUNCTION("""COMPUTED_VALUE"""),"")</f>
        <v/>
      </c>
      <c r="T576" s="139" t="str">
        <f>IFERROR(__xludf.DUMMYFUNCTION("""COMPUTED_VALUE"""),"")</f>
        <v/>
      </c>
      <c r="U576" s="136" t="str">
        <f>IFERROR(__xludf.DUMMYFUNCTION("""COMPUTED_VALUE"""),"")</f>
        <v/>
      </c>
      <c r="V576" s="106" t="str">
        <f>IFERROR(__xludf.DUMMYFUNCTION("""COMPUTED_VALUE"""),"")</f>
        <v/>
      </c>
      <c r="W576" s="143" t="str">
        <f t="shared" si="2"/>
        <v/>
      </c>
      <c r="X576" s="139" t="str">
        <f>IFERROR(__xludf.DUMMYFUNCTION("""COMPUTED_VALUE"""),"")</f>
        <v/>
      </c>
      <c r="Y576" s="141" t="str">
        <f>IFERROR(__xludf.DUMMYFUNCTION("""COMPUTED_VALUE"""),"")</f>
        <v/>
      </c>
    </row>
    <row r="577">
      <c r="C577" s="136" t="str">
        <f t="shared" si="3"/>
        <v/>
      </c>
      <c r="E577" s="106"/>
      <c r="G577" s="106" t="s">
        <v>133</v>
      </c>
      <c r="I577" s="139" t="s">
        <v>133</v>
      </c>
      <c r="J577" s="136" t="s">
        <v>133</v>
      </c>
      <c r="L577" s="136" t="str">
        <f t="shared" si="1"/>
        <v/>
      </c>
      <c r="N577" s="141" t="s">
        <v>133</v>
      </c>
      <c r="O577" s="136" t="str">
        <f>IFERROR(__xludf.DUMMYFUNCTION("""COMPUTED_VALUE"""),"")</f>
        <v/>
      </c>
      <c r="P577" s="136" t="str">
        <f>IFERROR(__xludf.DUMMYFUNCTION("""COMPUTED_VALUE"""),"")</f>
        <v/>
      </c>
      <c r="Q577" s="106" t="str">
        <f>IFERROR(__xludf.DUMMYFUNCTION("""COMPUTED_VALUE"""),"")</f>
        <v/>
      </c>
      <c r="R577" s="106" t="str">
        <f>IFERROR(__xludf.DUMMYFUNCTION("""COMPUTED_VALUE"""),"")</f>
        <v/>
      </c>
      <c r="S577" s="139" t="str">
        <f>IFERROR(__xludf.DUMMYFUNCTION("""COMPUTED_VALUE"""),"")</f>
        <v/>
      </c>
      <c r="T577" s="139" t="str">
        <f>IFERROR(__xludf.DUMMYFUNCTION("""COMPUTED_VALUE"""),"")</f>
        <v/>
      </c>
      <c r="U577" s="136" t="str">
        <f>IFERROR(__xludf.DUMMYFUNCTION("""COMPUTED_VALUE"""),"")</f>
        <v/>
      </c>
      <c r="V577" s="106" t="str">
        <f>IFERROR(__xludf.DUMMYFUNCTION("""COMPUTED_VALUE"""),"")</f>
        <v/>
      </c>
      <c r="W577" s="143" t="str">
        <f t="shared" si="2"/>
        <v/>
      </c>
      <c r="X577" s="139" t="str">
        <f>IFERROR(__xludf.DUMMYFUNCTION("""COMPUTED_VALUE"""),"")</f>
        <v/>
      </c>
      <c r="Y577" s="141" t="str">
        <f>IFERROR(__xludf.DUMMYFUNCTION("""COMPUTED_VALUE"""),"")</f>
        <v/>
      </c>
    </row>
    <row r="578">
      <c r="C578" s="136" t="str">
        <f t="shared" si="3"/>
        <v/>
      </c>
      <c r="E578" s="106"/>
      <c r="G578" s="106" t="s">
        <v>133</v>
      </c>
      <c r="I578" s="139" t="s">
        <v>133</v>
      </c>
      <c r="J578" s="136" t="s">
        <v>133</v>
      </c>
      <c r="L578" s="136" t="str">
        <f t="shared" si="1"/>
        <v/>
      </c>
      <c r="N578" s="141" t="s">
        <v>133</v>
      </c>
      <c r="O578" s="136" t="str">
        <f>IFERROR(__xludf.DUMMYFUNCTION("""COMPUTED_VALUE"""),"")</f>
        <v/>
      </c>
      <c r="P578" s="136" t="str">
        <f>IFERROR(__xludf.DUMMYFUNCTION("""COMPUTED_VALUE"""),"")</f>
        <v/>
      </c>
      <c r="Q578" s="106" t="str">
        <f>IFERROR(__xludf.DUMMYFUNCTION("""COMPUTED_VALUE"""),"")</f>
        <v/>
      </c>
      <c r="R578" s="106" t="str">
        <f>IFERROR(__xludf.DUMMYFUNCTION("""COMPUTED_VALUE"""),"")</f>
        <v/>
      </c>
      <c r="S578" s="139" t="str">
        <f>IFERROR(__xludf.DUMMYFUNCTION("""COMPUTED_VALUE"""),"")</f>
        <v/>
      </c>
      <c r="T578" s="139" t="str">
        <f>IFERROR(__xludf.DUMMYFUNCTION("""COMPUTED_VALUE"""),"")</f>
        <v/>
      </c>
      <c r="U578" s="136" t="str">
        <f>IFERROR(__xludf.DUMMYFUNCTION("""COMPUTED_VALUE"""),"")</f>
        <v/>
      </c>
      <c r="V578" s="106" t="str">
        <f>IFERROR(__xludf.DUMMYFUNCTION("""COMPUTED_VALUE"""),"")</f>
        <v/>
      </c>
      <c r="W578" s="143" t="str">
        <f t="shared" si="2"/>
        <v/>
      </c>
      <c r="X578" s="139" t="str">
        <f>IFERROR(__xludf.DUMMYFUNCTION("""COMPUTED_VALUE"""),"")</f>
        <v/>
      </c>
      <c r="Y578" s="141" t="str">
        <f>IFERROR(__xludf.DUMMYFUNCTION("""COMPUTED_VALUE"""),"")</f>
        <v/>
      </c>
    </row>
    <row r="579">
      <c r="C579" s="136" t="str">
        <f t="shared" si="3"/>
        <v/>
      </c>
      <c r="E579" s="106"/>
      <c r="G579" s="106" t="s">
        <v>133</v>
      </c>
      <c r="I579" s="139" t="s">
        <v>133</v>
      </c>
      <c r="J579" s="136" t="s">
        <v>133</v>
      </c>
      <c r="L579" s="136" t="str">
        <f t="shared" si="1"/>
        <v/>
      </c>
      <c r="N579" s="141" t="s">
        <v>133</v>
      </c>
      <c r="O579" s="136" t="str">
        <f>IFERROR(__xludf.DUMMYFUNCTION("""COMPUTED_VALUE"""),"")</f>
        <v/>
      </c>
      <c r="P579" s="136" t="str">
        <f>IFERROR(__xludf.DUMMYFUNCTION("""COMPUTED_VALUE"""),"")</f>
        <v/>
      </c>
      <c r="Q579" s="106" t="str">
        <f>IFERROR(__xludf.DUMMYFUNCTION("""COMPUTED_VALUE"""),"")</f>
        <v/>
      </c>
      <c r="R579" s="106" t="str">
        <f>IFERROR(__xludf.DUMMYFUNCTION("""COMPUTED_VALUE"""),"")</f>
        <v/>
      </c>
      <c r="S579" s="139" t="str">
        <f>IFERROR(__xludf.DUMMYFUNCTION("""COMPUTED_VALUE"""),"")</f>
        <v/>
      </c>
      <c r="T579" s="139" t="str">
        <f>IFERROR(__xludf.DUMMYFUNCTION("""COMPUTED_VALUE"""),"")</f>
        <v/>
      </c>
      <c r="U579" s="136" t="str">
        <f>IFERROR(__xludf.DUMMYFUNCTION("""COMPUTED_VALUE"""),"")</f>
        <v/>
      </c>
      <c r="V579" s="106" t="str">
        <f>IFERROR(__xludf.DUMMYFUNCTION("""COMPUTED_VALUE"""),"")</f>
        <v/>
      </c>
      <c r="W579" s="143" t="str">
        <f t="shared" si="2"/>
        <v/>
      </c>
      <c r="X579" s="139" t="str">
        <f>IFERROR(__xludf.DUMMYFUNCTION("""COMPUTED_VALUE"""),"")</f>
        <v/>
      </c>
      <c r="Y579" s="141" t="str">
        <f>IFERROR(__xludf.DUMMYFUNCTION("""COMPUTED_VALUE"""),"")</f>
        <v/>
      </c>
    </row>
    <row r="580">
      <c r="C580" s="136" t="str">
        <f t="shared" si="3"/>
        <v/>
      </c>
      <c r="E580" s="106"/>
      <c r="G580" s="106" t="s">
        <v>133</v>
      </c>
      <c r="I580" s="139" t="s">
        <v>133</v>
      </c>
      <c r="J580" s="136" t="s">
        <v>133</v>
      </c>
      <c r="L580" s="136" t="str">
        <f t="shared" si="1"/>
        <v/>
      </c>
      <c r="N580" s="141" t="s">
        <v>133</v>
      </c>
      <c r="O580" s="136" t="str">
        <f>IFERROR(__xludf.DUMMYFUNCTION("""COMPUTED_VALUE"""),"")</f>
        <v/>
      </c>
      <c r="P580" s="136" t="str">
        <f>IFERROR(__xludf.DUMMYFUNCTION("""COMPUTED_VALUE"""),"")</f>
        <v/>
      </c>
      <c r="Q580" s="106" t="str">
        <f>IFERROR(__xludf.DUMMYFUNCTION("""COMPUTED_VALUE"""),"")</f>
        <v/>
      </c>
      <c r="R580" s="106" t="str">
        <f>IFERROR(__xludf.DUMMYFUNCTION("""COMPUTED_VALUE"""),"")</f>
        <v/>
      </c>
      <c r="S580" s="139" t="str">
        <f>IFERROR(__xludf.DUMMYFUNCTION("""COMPUTED_VALUE"""),"")</f>
        <v/>
      </c>
      <c r="T580" s="139" t="str">
        <f>IFERROR(__xludf.DUMMYFUNCTION("""COMPUTED_VALUE"""),"")</f>
        <v/>
      </c>
      <c r="U580" s="136" t="str">
        <f>IFERROR(__xludf.DUMMYFUNCTION("""COMPUTED_VALUE"""),"")</f>
        <v/>
      </c>
      <c r="V580" s="106" t="str">
        <f>IFERROR(__xludf.DUMMYFUNCTION("""COMPUTED_VALUE"""),"")</f>
        <v/>
      </c>
      <c r="W580" s="143" t="str">
        <f t="shared" si="2"/>
        <v/>
      </c>
      <c r="X580" s="139" t="str">
        <f>IFERROR(__xludf.DUMMYFUNCTION("""COMPUTED_VALUE"""),"")</f>
        <v/>
      </c>
      <c r="Y580" s="141" t="str">
        <f>IFERROR(__xludf.DUMMYFUNCTION("""COMPUTED_VALUE"""),"")</f>
        <v/>
      </c>
    </row>
    <row r="581">
      <c r="C581" s="136" t="str">
        <f t="shared" si="3"/>
        <v/>
      </c>
      <c r="E581" s="106"/>
      <c r="G581" s="106" t="s">
        <v>133</v>
      </c>
      <c r="I581" s="139" t="s">
        <v>133</v>
      </c>
      <c r="J581" s="136" t="s">
        <v>133</v>
      </c>
      <c r="L581" s="136" t="str">
        <f t="shared" si="1"/>
        <v/>
      </c>
      <c r="N581" s="141" t="s">
        <v>133</v>
      </c>
      <c r="O581" s="136" t="str">
        <f>IFERROR(__xludf.DUMMYFUNCTION("""COMPUTED_VALUE"""),"")</f>
        <v/>
      </c>
      <c r="P581" s="136" t="str">
        <f>IFERROR(__xludf.DUMMYFUNCTION("""COMPUTED_VALUE"""),"")</f>
        <v/>
      </c>
      <c r="Q581" s="106" t="str">
        <f>IFERROR(__xludf.DUMMYFUNCTION("""COMPUTED_VALUE"""),"")</f>
        <v/>
      </c>
      <c r="R581" s="106" t="str">
        <f>IFERROR(__xludf.DUMMYFUNCTION("""COMPUTED_VALUE"""),"")</f>
        <v/>
      </c>
      <c r="S581" s="139" t="str">
        <f>IFERROR(__xludf.DUMMYFUNCTION("""COMPUTED_VALUE"""),"")</f>
        <v/>
      </c>
      <c r="T581" s="139" t="str">
        <f>IFERROR(__xludf.DUMMYFUNCTION("""COMPUTED_VALUE"""),"")</f>
        <v/>
      </c>
      <c r="U581" s="136" t="str">
        <f>IFERROR(__xludf.DUMMYFUNCTION("""COMPUTED_VALUE"""),"")</f>
        <v/>
      </c>
      <c r="V581" s="106" t="str">
        <f>IFERROR(__xludf.DUMMYFUNCTION("""COMPUTED_VALUE"""),"")</f>
        <v/>
      </c>
      <c r="W581" s="143" t="str">
        <f t="shared" si="2"/>
        <v/>
      </c>
      <c r="X581" s="139" t="str">
        <f>IFERROR(__xludf.DUMMYFUNCTION("""COMPUTED_VALUE"""),"")</f>
        <v/>
      </c>
      <c r="Y581" s="141" t="str">
        <f>IFERROR(__xludf.DUMMYFUNCTION("""COMPUTED_VALUE"""),"")</f>
        <v/>
      </c>
    </row>
    <row r="582">
      <c r="C582" s="136" t="str">
        <f t="shared" si="3"/>
        <v/>
      </c>
      <c r="E582" s="106"/>
      <c r="G582" s="106" t="s">
        <v>133</v>
      </c>
      <c r="I582" s="139" t="s">
        <v>133</v>
      </c>
      <c r="J582" s="136" t="s">
        <v>133</v>
      </c>
      <c r="L582" s="136" t="str">
        <f t="shared" si="1"/>
        <v/>
      </c>
      <c r="N582" s="141" t="s">
        <v>133</v>
      </c>
      <c r="O582" s="136" t="str">
        <f>IFERROR(__xludf.DUMMYFUNCTION("""COMPUTED_VALUE"""),"")</f>
        <v/>
      </c>
      <c r="P582" s="136" t="str">
        <f>IFERROR(__xludf.DUMMYFUNCTION("""COMPUTED_VALUE"""),"")</f>
        <v/>
      </c>
      <c r="Q582" s="106" t="str">
        <f>IFERROR(__xludf.DUMMYFUNCTION("""COMPUTED_VALUE"""),"")</f>
        <v/>
      </c>
      <c r="R582" s="106" t="str">
        <f>IFERROR(__xludf.DUMMYFUNCTION("""COMPUTED_VALUE"""),"")</f>
        <v/>
      </c>
      <c r="S582" s="139" t="str">
        <f>IFERROR(__xludf.DUMMYFUNCTION("""COMPUTED_VALUE"""),"")</f>
        <v/>
      </c>
      <c r="T582" s="139" t="str">
        <f>IFERROR(__xludf.DUMMYFUNCTION("""COMPUTED_VALUE"""),"")</f>
        <v/>
      </c>
      <c r="U582" s="136" t="str">
        <f>IFERROR(__xludf.DUMMYFUNCTION("""COMPUTED_VALUE"""),"")</f>
        <v/>
      </c>
      <c r="V582" s="106" t="str">
        <f>IFERROR(__xludf.DUMMYFUNCTION("""COMPUTED_VALUE"""),"")</f>
        <v/>
      </c>
      <c r="W582" s="143" t="str">
        <f t="shared" si="2"/>
        <v/>
      </c>
      <c r="X582" s="139" t="str">
        <f>IFERROR(__xludf.DUMMYFUNCTION("""COMPUTED_VALUE"""),"")</f>
        <v/>
      </c>
      <c r="Y582" s="141" t="str">
        <f>IFERROR(__xludf.DUMMYFUNCTION("""COMPUTED_VALUE"""),"")</f>
        <v/>
      </c>
    </row>
    <row r="583">
      <c r="C583" s="136" t="str">
        <f t="shared" si="3"/>
        <v/>
      </c>
      <c r="E583" s="106"/>
      <c r="G583" s="106" t="s">
        <v>133</v>
      </c>
      <c r="I583" s="139" t="s">
        <v>133</v>
      </c>
      <c r="J583" s="136" t="s">
        <v>133</v>
      </c>
      <c r="L583" s="136" t="str">
        <f t="shared" si="1"/>
        <v/>
      </c>
      <c r="N583" s="141" t="s">
        <v>133</v>
      </c>
      <c r="O583" s="136" t="str">
        <f>IFERROR(__xludf.DUMMYFUNCTION("""COMPUTED_VALUE"""),"")</f>
        <v/>
      </c>
      <c r="P583" s="136" t="str">
        <f>IFERROR(__xludf.DUMMYFUNCTION("""COMPUTED_VALUE"""),"")</f>
        <v/>
      </c>
      <c r="Q583" s="106" t="str">
        <f>IFERROR(__xludf.DUMMYFUNCTION("""COMPUTED_VALUE"""),"")</f>
        <v/>
      </c>
      <c r="R583" s="106" t="str">
        <f>IFERROR(__xludf.DUMMYFUNCTION("""COMPUTED_VALUE"""),"")</f>
        <v/>
      </c>
      <c r="S583" s="139" t="str">
        <f>IFERROR(__xludf.DUMMYFUNCTION("""COMPUTED_VALUE"""),"")</f>
        <v/>
      </c>
      <c r="T583" s="139" t="str">
        <f>IFERROR(__xludf.DUMMYFUNCTION("""COMPUTED_VALUE"""),"")</f>
        <v/>
      </c>
      <c r="U583" s="136" t="str">
        <f>IFERROR(__xludf.DUMMYFUNCTION("""COMPUTED_VALUE"""),"")</f>
        <v/>
      </c>
      <c r="V583" s="106" t="str">
        <f>IFERROR(__xludf.DUMMYFUNCTION("""COMPUTED_VALUE"""),"")</f>
        <v/>
      </c>
      <c r="W583" s="143" t="str">
        <f t="shared" si="2"/>
        <v/>
      </c>
      <c r="X583" s="139" t="str">
        <f>IFERROR(__xludf.DUMMYFUNCTION("""COMPUTED_VALUE"""),"")</f>
        <v/>
      </c>
      <c r="Y583" s="141" t="str">
        <f>IFERROR(__xludf.DUMMYFUNCTION("""COMPUTED_VALUE"""),"")</f>
        <v/>
      </c>
    </row>
    <row r="584">
      <c r="C584" s="136" t="str">
        <f t="shared" si="3"/>
        <v/>
      </c>
      <c r="E584" s="106"/>
      <c r="G584" s="106" t="s">
        <v>133</v>
      </c>
      <c r="I584" s="139" t="s">
        <v>133</v>
      </c>
      <c r="J584" s="136" t="s">
        <v>133</v>
      </c>
      <c r="L584" s="136" t="str">
        <f t="shared" si="1"/>
        <v/>
      </c>
      <c r="N584" s="141" t="s">
        <v>133</v>
      </c>
      <c r="O584" s="136" t="str">
        <f>IFERROR(__xludf.DUMMYFUNCTION("""COMPUTED_VALUE"""),"")</f>
        <v/>
      </c>
      <c r="P584" s="136" t="str">
        <f>IFERROR(__xludf.DUMMYFUNCTION("""COMPUTED_VALUE"""),"")</f>
        <v/>
      </c>
      <c r="Q584" s="106" t="str">
        <f>IFERROR(__xludf.DUMMYFUNCTION("""COMPUTED_VALUE"""),"")</f>
        <v/>
      </c>
      <c r="R584" s="106" t="str">
        <f>IFERROR(__xludf.DUMMYFUNCTION("""COMPUTED_VALUE"""),"")</f>
        <v/>
      </c>
      <c r="S584" s="139" t="str">
        <f>IFERROR(__xludf.DUMMYFUNCTION("""COMPUTED_VALUE"""),"")</f>
        <v/>
      </c>
      <c r="T584" s="139" t="str">
        <f>IFERROR(__xludf.DUMMYFUNCTION("""COMPUTED_VALUE"""),"")</f>
        <v/>
      </c>
      <c r="U584" s="136" t="str">
        <f>IFERROR(__xludf.DUMMYFUNCTION("""COMPUTED_VALUE"""),"")</f>
        <v/>
      </c>
      <c r="V584" s="106" t="str">
        <f>IFERROR(__xludf.DUMMYFUNCTION("""COMPUTED_VALUE"""),"")</f>
        <v/>
      </c>
      <c r="W584" s="143" t="str">
        <f t="shared" si="2"/>
        <v/>
      </c>
      <c r="X584" s="139" t="str">
        <f>IFERROR(__xludf.DUMMYFUNCTION("""COMPUTED_VALUE"""),"")</f>
        <v/>
      </c>
      <c r="Y584" s="141" t="str">
        <f>IFERROR(__xludf.DUMMYFUNCTION("""COMPUTED_VALUE"""),"")</f>
        <v/>
      </c>
    </row>
    <row r="585">
      <c r="C585" s="136" t="str">
        <f t="shared" si="3"/>
        <v/>
      </c>
      <c r="E585" s="106"/>
      <c r="G585" s="106" t="s">
        <v>133</v>
      </c>
      <c r="I585" s="139" t="s">
        <v>133</v>
      </c>
      <c r="J585" s="136" t="s">
        <v>133</v>
      </c>
      <c r="L585" s="136" t="str">
        <f t="shared" si="1"/>
        <v/>
      </c>
      <c r="N585" s="141" t="s">
        <v>133</v>
      </c>
      <c r="O585" s="136" t="str">
        <f>IFERROR(__xludf.DUMMYFUNCTION("""COMPUTED_VALUE"""),"")</f>
        <v/>
      </c>
      <c r="P585" s="136" t="str">
        <f>IFERROR(__xludf.DUMMYFUNCTION("""COMPUTED_VALUE"""),"")</f>
        <v/>
      </c>
      <c r="Q585" s="106" t="str">
        <f>IFERROR(__xludf.DUMMYFUNCTION("""COMPUTED_VALUE"""),"")</f>
        <v/>
      </c>
      <c r="R585" s="106" t="str">
        <f>IFERROR(__xludf.DUMMYFUNCTION("""COMPUTED_VALUE"""),"")</f>
        <v/>
      </c>
      <c r="S585" s="139" t="str">
        <f>IFERROR(__xludf.DUMMYFUNCTION("""COMPUTED_VALUE"""),"")</f>
        <v/>
      </c>
      <c r="T585" s="139" t="str">
        <f>IFERROR(__xludf.DUMMYFUNCTION("""COMPUTED_VALUE"""),"")</f>
        <v/>
      </c>
      <c r="U585" s="136" t="str">
        <f>IFERROR(__xludf.DUMMYFUNCTION("""COMPUTED_VALUE"""),"")</f>
        <v/>
      </c>
      <c r="V585" s="106" t="str">
        <f>IFERROR(__xludf.DUMMYFUNCTION("""COMPUTED_VALUE"""),"")</f>
        <v/>
      </c>
      <c r="W585" s="143" t="str">
        <f t="shared" si="2"/>
        <v/>
      </c>
      <c r="X585" s="139" t="str">
        <f>IFERROR(__xludf.DUMMYFUNCTION("""COMPUTED_VALUE"""),"")</f>
        <v/>
      </c>
      <c r="Y585" s="141" t="str">
        <f>IFERROR(__xludf.DUMMYFUNCTION("""COMPUTED_VALUE"""),"")</f>
        <v/>
      </c>
    </row>
    <row r="586">
      <c r="C586" s="136" t="str">
        <f t="shared" si="3"/>
        <v/>
      </c>
      <c r="E586" s="106"/>
      <c r="G586" s="106" t="s">
        <v>133</v>
      </c>
      <c r="I586" s="139" t="s">
        <v>133</v>
      </c>
      <c r="J586" s="136" t="s">
        <v>133</v>
      </c>
      <c r="L586" s="136" t="str">
        <f t="shared" si="1"/>
        <v/>
      </c>
      <c r="N586" s="141" t="s">
        <v>133</v>
      </c>
      <c r="O586" s="136" t="str">
        <f>IFERROR(__xludf.DUMMYFUNCTION("""COMPUTED_VALUE"""),"")</f>
        <v/>
      </c>
      <c r="P586" s="136" t="str">
        <f>IFERROR(__xludf.DUMMYFUNCTION("""COMPUTED_VALUE"""),"")</f>
        <v/>
      </c>
      <c r="Q586" s="106" t="str">
        <f>IFERROR(__xludf.DUMMYFUNCTION("""COMPUTED_VALUE"""),"")</f>
        <v/>
      </c>
      <c r="R586" s="106" t="str">
        <f>IFERROR(__xludf.DUMMYFUNCTION("""COMPUTED_VALUE"""),"")</f>
        <v/>
      </c>
      <c r="S586" s="139" t="str">
        <f>IFERROR(__xludf.DUMMYFUNCTION("""COMPUTED_VALUE"""),"")</f>
        <v/>
      </c>
      <c r="T586" s="139" t="str">
        <f>IFERROR(__xludf.DUMMYFUNCTION("""COMPUTED_VALUE"""),"")</f>
        <v/>
      </c>
      <c r="U586" s="136" t="str">
        <f>IFERROR(__xludf.DUMMYFUNCTION("""COMPUTED_VALUE"""),"")</f>
        <v/>
      </c>
      <c r="V586" s="106" t="str">
        <f>IFERROR(__xludf.DUMMYFUNCTION("""COMPUTED_VALUE"""),"")</f>
        <v/>
      </c>
      <c r="W586" s="143" t="str">
        <f t="shared" si="2"/>
        <v/>
      </c>
      <c r="X586" s="139" t="str">
        <f>IFERROR(__xludf.DUMMYFUNCTION("""COMPUTED_VALUE"""),"")</f>
        <v/>
      </c>
      <c r="Y586" s="141" t="str">
        <f>IFERROR(__xludf.DUMMYFUNCTION("""COMPUTED_VALUE"""),"")</f>
        <v/>
      </c>
    </row>
    <row r="587">
      <c r="C587" s="136" t="str">
        <f t="shared" si="3"/>
        <v/>
      </c>
      <c r="E587" s="106"/>
      <c r="G587" s="106" t="s">
        <v>133</v>
      </c>
      <c r="I587" s="139" t="s">
        <v>133</v>
      </c>
      <c r="J587" s="136" t="s">
        <v>133</v>
      </c>
      <c r="L587" s="136" t="str">
        <f t="shared" si="1"/>
        <v/>
      </c>
      <c r="N587" s="141" t="s">
        <v>133</v>
      </c>
      <c r="O587" s="136" t="str">
        <f>IFERROR(__xludf.DUMMYFUNCTION("""COMPUTED_VALUE"""),"")</f>
        <v/>
      </c>
      <c r="P587" s="136" t="str">
        <f>IFERROR(__xludf.DUMMYFUNCTION("""COMPUTED_VALUE"""),"")</f>
        <v/>
      </c>
      <c r="Q587" s="106" t="str">
        <f>IFERROR(__xludf.DUMMYFUNCTION("""COMPUTED_VALUE"""),"")</f>
        <v/>
      </c>
      <c r="R587" s="106" t="str">
        <f>IFERROR(__xludf.DUMMYFUNCTION("""COMPUTED_VALUE"""),"")</f>
        <v/>
      </c>
      <c r="S587" s="139" t="str">
        <f>IFERROR(__xludf.DUMMYFUNCTION("""COMPUTED_VALUE"""),"")</f>
        <v/>
      </c>
      <c r="T587" s="139" t="str">
        <f>IFERROR(__xludf.DUMMYFUNCTION("""COMPUTED_VALUE"""),"")</f>
        <v/>
      </c>
      <c r="U587" s="136" t="str">
        <f>IFERROR(__xludf.DUMMYFUNCTION("""COMPUTED_VALUE"""),"")</f>
        <v/>
      </c>
      <c r="V587" s="106" t="str">
        <f>IFERROR(__xludf.DUMMYFUNCTION("""COMPUTED_VALUE"""),"")</f>
        <v/>
      </c>
      <c r="W587" s="143" t="str">
        <f t="shared" si="2"/>
        <v/>
      </c>
      <c r="X587" s="139" t="str">
        <f>IFERROR(__xludf.DUMMYFUNCTION("""COMPUTED_VALUE"""),"")</f>
        <v/>
      </c>
      <c r="Y587" s="141" t="str">
        <f>IFERROR(__xludf.DUMMYFUNCTION("""COMPUTED_VALUE"""),"")</f>
        <v/>
      </c>
    </row>
    <row r="588">
      <c r="C588" s="136" t="str">
        <f t="shared" si="3"/>
        <v/>
      </c>
      <c r="E588" s="106"/>
      <c r="G588" s="106" t="s">
        <v>133</v>
      </c>
      <c r="I588" s="139" t="s">
        <v>133</v>
      </c>
      <c r="J588" s="136" t="s">
        <v>133</v>
      </c>
      <c r="L588" s="136" t="str">
        <f t="shared" si="1"/>
        <v/>
      </c>
      <c r="N588" s="141" t="s">
        <v>133</v>
      </c>
      <c r="O588" s="136" t="str">
        <f>IFERROR(__xludf.DUMMYFUNCTION("""COMPUTED_VALUE"""),"")</f>
        <v/>
      </c>
      <c r="P588" s="136" t="str">
        <f>IFERROR(__xludf.DUMMYFUNCTION("""COMPUTED_VALUE"""),"")</f>
        <v/>
      </c>
      <c r="Q588" s="106" t="str">
        <f>IFERROR(__xludf.DUMMYFUNCTION("""COMPUTED_VALUE"""),"")</f>
        <v/>
      </c>
      <c r="R588" s="106" t="str">
        <f>IFERROR(__xludf.DUMMYFUNCTION("""COMPUTED_VALUE"""),"")</f>
        <v/>
      </c>
      <c r="S588" s="139" t="str">
        <f>IFERROR(__xludf.DUMMYFUNCTION("""COMPUTED_VALUE"""),"")</f>
        <v/>
      </c>
      <c r="T588" s="139" t="str">
        <f>IFERROR(__xludf.DUMMYFUNCTION("""COMPUTED_VALUE"""),"")</f>
        <v/>
      </c>
      <c r="U588" s="136" t="str">
        <f>IFERROR(__xludf.DUMMYFUNCTION("""COMPUTED_VALUE"""),"")</f>
        <v/>
      </c>
      <c r="V588" s="106" t="str">
        <f>IFERROR(__xludf.DUMMYFUNCTION("""COMPUTED_VALUE"""),"")</f>
        <v/>
      </c>
      <c r="W588" s="143" t="str">
        <f t="shared" si="2"/>
        <v/>
      </c>
      <c r="X588" s="139" t="str">
        <f>IFERROR(__xludf.DUMMYFUNCTION("""COMPUTED_VALUE"""),"")</f>
        <v/>
      </c>
      <c r="Y588" s="141" t="str">
        <f>IFERROR(__xludf.DUMMYFUNCTION("""COMPUTED_VALUE"""),"")</f>
        <v/>
      </c>
    </row>
    <row r="589">
      <c r="C589" s="136" t="str">
        <f t="shared" si="3"/>
        <v/>
      </c>
      <c r="E589" s="106"/>
      <c r="G589" s="106" t="s">
        <v>133</v>
      </c>
      <c r="I589" s="139" t="s">
        <v>133</v>
      </c>
      <c r="J589" s="136" t="s">
        <v>133</v>
      </c>
      <c r="L589" s="136" t="str">
        <f t="shared" si="1"/>
        <v/>
      </c>
      <c r="N589" s="141" t="s">
        <v>133</v>
      </c>
      <c r="O589" s="136" t="str">
        <f>IFERROR(__xludf.DUMMYFUNCTION("""COMPUTED_VALUE"""),"")</f>
        <v/>
      </c>
      <c r="P589" s="136" t="str">
        <f>IFERROR(__xludf.DUMMYFUNCTION("""COMPUTED_VALUE"""),"")</f>
        <v/>
      </c>
      <c r="Q589" s="106" t="str">
        <f>IFERROR(__xludf.DUMMYFUNCTION("""COMPUTED_VALUE"""),"")</f>
        <v/>
      </c>
      <c r="R589" s="106" t="str">
        <f>IFERROR(__xludf.DUMMYFUNCTION("""COMPUTED_VALUE"""),"")</f>
        <v/>
      </c>
      <c r="S589" s="139" t="str">
        <f>IFERROR(__xludf.DUMMYFUNCTION("""COMPUTED_VALUE"""),"")</f>
        <v/>
      </c>
      <c r="T589" s="139" t="str">
        <f>IFERROR(__xludf.DUMMYFUNCTION("""COMPUTED_VALUE"""),"")</f>
        <v/>
      </c>
      <c r="U589" s="136" t="str">
        <f>IFERROR(__xludf.DUMMYFUNCTION("""COMPUTED_VALUE"""),"")</f>
        <v/>
      </c>
      <c r="V589" s="106" t="str">
        <f>IFERROR(__xludf.DUMMYFUNCTION("""COMPUTED_VALUE"""),"")</f>
        <v/>
      </c>
      <c r="W589" s="143" t="str">
        <f t="shared" si="2"/>
        <v/>
      </c>
      <c r="X589" s="139" t="str">
        <f>IFERROR(__xludf.DUMMYFUNCTION("""COMPUTED_VALUE"""),"")</f>
        <v/>
      </c>
      <c r="Y589" s="141" t="str">
        <f>IFERROR(__xludf.DUMMYFUNCTION("""COMPUTED_VALUE"""),"")</f>
        <v/>
      </c>
    </row>
    <row r="590">
      <c r="C590" s="136" t="str">
        <f t="shared" si="3"/>
        <v/>
      </c>
      <c r="E590" s="106"/>
      <c r="G590" s="106" t="s">
        <v>133</v>
      </c>
      <c r="I590" s="139" t="s">
        <v>133</v>
      </c>
      <c r="J590" s="136" t="s">
        <v>133</v>
      </c>
      <c r="L590" s="136" t="str">
        <f t="shared" si="1"/>
        <v/>
      </c>
      <c r="N590" s="141" t="s">
        <v>133</v>
      </c>
      <c r="O590" s="136" t="str">
        <f>IFERROR(__xludf.DUMMYFUNCTION("""COMPUTED_VALUE"""),"")</f>
        <v/>
      </c>
      <c r="P590" s="136" t="str">
        <f>IFERROR(__xludf.DUMMYFUNCTION("""COMPUTED_VALUE"""),"")</f>
        <v/>
      </c>
      <c r="Q590" s="106" t="str">
        <f>IFERROR(__xludf.DUMMYFUNCTION("""COMPUTED_VALUE"""),"")</f>
        <v/>
      </c>
      <c r="R590" s="106" t="str">
        <f>IFERROR(__xludf.DUMMYFUNCTION("""COMPUTED_VALUE"""),"")</f>
        <v/>
      </c>
      <c r="S590" s="139" t="str">
        <f>IFERROR(__xludf.DUMMYFUNCTION("""COMPUTED_VALUE"""),"")</f>
        <v/>
      </c>
      <c r="T590" s="139" t="str">
        <f>IFERROR(__xludf.DUMMYFUNCTION("""COMPUTED_VALUE"""),"")</f>
        <v/>
      </c>
      <c r="U590" s="136" t="str">
        <f>IFERROR(__xludf.DUMMYFUNCTION("""COMPUTED_VALUE"""),"")</f>
        <v/>
      </c>
      <c r="V590" s="106" t="str">
        <f>IFERROR(__xludf.DUMMYFUNCTION("""COMPUTED_VALUE"""),"")</f>
        <v/>
      </c>
      <c r="W590" s="143" t="str">
        <f t="shared" si="2"/>
        <v/>
      </c>
      <c r="X590" s="139" t="str">
        <f>IFERROR(__xludf.DUMMYFUNCTION("""COMPUTED_VALUE"""),"")</f>
        <v/>
      </c>
      <c r="Y590" s="141" t="str">
        <f>IFERROR(__xludf.DUMMYFUNCTION("""COMPUTED_VALUE"""),"")</f>
        <v/>
      </c>
    </row>
    <row r="591">
      <c r="C591" s="136" t="str">
        <f t="shared" si="3"/>
        <v/>
      </c>
      <c r="E591" s="106"/>
      <c r="G591" s="106" t="s">
        <v>133</v>
      </c>
      <c r="I591" s="139" t="s">
        <v>133</v>
      </c>
      <c r="J591" s="136" t="s">
        <v>133</v>
      </c>
      <c r="L591" s="136" t="str">
        <f t="shared" si="1"/>
        <v/>
      </c>
      <c r="N591" s="141" t="s">
        <v>133</v>
      </c>
      <c r="O591" s="136" t="str">
        <f>IFERROR(__xludf.DUMMYFUNCTION("""COMPUTED_VALUE"""),"")</f>
        <v/>
      </c>
      <c r="P591" s="136" t="str">
        <f>IFERROR(__xludf.DUMMYFUNCTION("""COMPUTED_VALUE"""),"")</f>
        <v/>
      </c>
      <c r="Q591" s="106" t="str">
        <f>IFERROR(__xludf.DUMMYFUNCTION("""COMPUTED_VALUE"""),"")</f>
        <v/>
      </c>
      <c r="R591" s="106" t="str">
        <f>IFERROR(__xludf.DUMMYFUNCTION("""COMPUTED_VALUE"""),"")</f>
        <v/>
      </c>
      <c r="S591" s="139" t="str">
        <f>IFERROR(__xludf.DUMMYFUNCTION("""COMPUTED_VALUE"""),"")</f>
        <v/>
      </c>
      <c r="T591" s="139" t="str">
        <f>IFERROR(__xludf.DUMMYFUNCTION("""COMPUTED_VALUE"""),"")</f>
        <v/>
      </c>
      <c r="U591" s="136" t="str">
        <f>IFERROR(__xludf.DUMMYFUNCTION("""COMPUTED_VALUE"""),"")</f>
        <v/>
      </c>
      <c r="V591" s="106" t="str">
        <f>IFERROR(__xludf.DUMMYFUNCTION("""COMPUTED_VALUE"""),"")</f>
        <v/>
      </c>
      <c r="W591" s="143" t="str">
        <f t="shared" si="2"/>
        <v/>
      </c>
      <c r="X591" s="139" t="str">
        <f>IFERROR(__xludf.DUMMYFUNCTION("""COMPUTED_VALUE"""),"")</f>
        <v/>
      </c>
      <c r="Y591" s="141" t="str">
        <f>IFERROR(__xludf.DUMMYFUNCTION("""COMPUTED_VALUE"""),"")</f>
        <v/>
      </c>
    </row>
    <row r="592">
      <c r="C592" s="136" t="str">
        <f t="shared" si="3"/>
        <v/>
      </c>
      <c r="E592" s="106"/>
      <c r="G592" s="106" t="s">
        <v>133</v>
      </c>
      <c r="I592" s="139" t="s">
        <v>133</v>
      </c>
      <c r="J592" s="136" t="s">
        <v>133</v>
      </c>
      <c r="L592" s="136" t="str">
        <f t="shared" si="1"/>
        <v/>
      </c>
      <c r="N592" s="141" t="s">
        <v>133</v>
      </c>
      <c r="O592" s="136" t="str">
        <f>IFERROR(__xludf.DUMMYFUNCTION("""COMPUTED_VALUE"""),"")</f>
        <v/>
      </c>
      <c r="P592" s="136" t="str">
        <f>IFERROR(__xludf.DUMMYFUNCTION("""COMPUTED_VALUE"""),"")</f>
        <v/>
      </c>
      <c r="Q592" s="106" t="str">
        <f>IFERROR(__xludf.DUMMYFUNCTION("""COMPUTED_VALUE"""),"")</f>
        <v/>
      </c>
      <c r="R592" s="106" t="str">
        <f>IFERROR(__xludf.DUMMYFUNCTION("""COMPUTED_VALUE"""),"")</f>
        <v/>
      </c>
      <c r="S592" s="139" t="str">
        <f>IFERROR(__xludf.DUMMYFUNCTION("""COMPUTED_VALUE"""),"")</f>
        <v/>
      </c>
      <c r="T592" s="139" t="str">
        <f>IFERROR(__xludf.DUMMYFUNCTION("""COMPUTED_VALUE"""),"")</f>
        <v/>
      </c>
      <c r="U592" s="136" t="str">
        <f>IFERROR(__xludf.DUMMYFUNCTION("""COMPUTED_VALUE"""),"")</f>
        <v/>
      </c>
      <c r="V592" s="106" t="str">
        <f>IFERROR(__xludf.DUMMYFUNCTION("""COMPUTED_VALUE"""),"")</f>
        <v/>
      </c>
      <c r="W592" s="143" t="str">
        <f t="shared" si="2"/>
        <v/>
      </c>
      <c r="X592" s="139" t="str">
        <f>IFERROR(__xludf.DUMMYFUNCTION("""COMPUTED_VALUE"""),"")</f>
        <v/>
      </c>
      <c r="Y592" s="141" t="str">
        <f>IFERROR(__xludf.DUMMYFUNCTION("""COMPUTED_VALUE"""),"")</f>
        <v/>
      </c>
    </row>
    <row r="593">
      <c r="C593" s="136" t="str">
        <f t="shared" si="3"/>
        <v/>
      </c>
      <c r="E593" s="106"/>
      <c r="G593" s="106" t="s">
        <v>133</v>
      </c>
      <c r="I593" s="139" t="s">
        <v>133</v>
      </c>
      <c r="J593" s="136" t="s">
        <v>133</v>
      </c>
      <c r="L593" s="136" t="str">
        <f t="shared" si="1"/>
        <v/>
      </c>
      <c r="N593" s="141" t="s">
        <v>133</v>
      </c>
      <c r="O593" s="136" t="str">
        <f>IFERROR(__xludf.DUMMYFUNCTION("""COMPUTED_VALUE"""),"")</f>
        <v/>
      </c>
      <c r="P593" s="136" t="str">
        <f>IFERROR(__xludf.DUMMYFUNCTION("""COMPUTED_VALUE"""),"")</f>
        <v/>
      </c>
      <c r="Q593" s="106" t="str">
        <f>IFERROR(__xludf.DUMMYFUNCTION("""COMPUTED_VALUE"""),"")</f>
        <v/>
      </c>
      <c r="R593" s="106" t="str">
        <f>IFERROR(__xludf.DUMMYFUNCTION("""COMPUTED_VALUE"""),"")</f>
        <v/>
      </c>
      <c r="S593" s="139" t="str">
        <f>IFERROR(__xludf.DUMMYFUNCTION("""COMPUTED_VALUE"""),"")</f>
        <v/>
      </c>
      <c r="T593" s="139" t="str">
        <f>IFERROR(__xludf.DUMMYFUNCTION("""COMPUTED_VALUE"""),"")</f>
        <v/>
      </c>
      <c r="U593" s="136" t="str">
        <f>IFERROR(__xludf.DUMMYFUNCTION("""COMPUTED_VALUE"""),"")</f>
        <v/>
      </c>
      <c r="V593" s="106" t="str">
        <f>IFERROR(__xludf.DUMMYFUNCTION("""COMPUTED_VALUE"""),"")</f>
        <v/>
      </c>
      <c r="W593" s="143" t="str">
        <f t="shared" si="2"/>
        <v/>
      </c>
      <c r="X593" s="139" t="str">
        <f>IFERROR(__xludf.DUMMYFUNCTION("""COMPUTED_VALUE"""),"")</f>
        <v/>
      </c>
      <c r="Y593" s="141" t="str">
        <f>IFERROR(__xludf.DUMMYFUNCTION("""COMPUTED_VALUE"""),"")</f>
        <v/>
      </c>
    </row>
    <row r="594">
      <c r="C594" s="136" t="str">
        <f t="shared" si="3"/>
        <v/>
      </c>
      <c r="E594" s="106"/>
      <c r="G594" s="106" t="s">
        <v>133</v>
      </c>
      <c r="I594" s="139" t="s">
        <v>133</v>
      </c>
      <c r="J594" s="136" t="s">
        <v>133</v>
      </c>
      <c r="L594" s="136" t="str">
        <f t="shared" si="1"/>
        <v/>
      </c>
      <c r="N594" s="141" t="s">
        <v>133</v>
      </c>
      <c r="O594" s="136" t="str">
        <f>IFERROR(__xludf.DUMMYFUNCTION("""COMPUTED_VALUE"""),"")</f>
        <v/>
      </c>
      <c r="P594" s="136" t="str">
        <f>IFERROR(__xludf.DUMMYFUNCTION("""COMPUTED_VALUE"""),"")</f>
        <v/>
      </c>
      <c r="Q594" s="106" t="str">
        <f>IFERROR(__xludf.DUMMYFUNCTION("""COMPUTED_VALUE"""),"")</f>
        <v/>
      </c>
      <c r="R594" s="106" t="str">
        <f>IFERROR(__xludf.DUMMYFUNCTION("""COMPUTED_VALUE"""),"")</f>
        <v/>
      </c>
      <c r="S594" s="139" t="str">
        <f>IFERROR(__xludf.DUMMYFUNCTION("""COMPUTED_VALUE"""),"")</f>
        <v/>
      </c>
      <c r="T594" s="139" t="str">
        <f>IFERROR(__xludf.DUMMYFUNCTION("""COMPUTED_VALUE"""),"")</f>
        <v/>
      </c>
      <c r="U594" s="136" t="str">
        <f>IFERROR(__xludf.DUMMYFUNCTION("""COMPUTED_VALUE"""),"")</f>
        <v/>
      </c>
      <c r="V594" s="106" t="str">
        <f>IFERROR(__xludf.DUMMYFUNCTION("""COMPUTED_VALUE"""),"")</f>
        <v/>
      </c>
      <c r="W594" s="143" t="str">
        <f t="shared" si="2"/>
        <v/>
      </c>
      <c r="X594" s="139" t="str">
        <f>IFERROR(__xludf.DUMMYFUNCTION("""COMPUTED_VALUE"""),"")</f>
        <v/>
      </c>
      <c r="Y594" s="141" t="str">
        <f>IFERROR(__xludf.DUMMYFUNCTION("""COMPUTED_VALUE"""),"")</f>
        <v/>
      </c>
    </row>
    <row r="595">
      <c r="C595" s="136" t="str">
        <f t="shared" si="3"/>
        <v/>
      </c>
      <c r="E595" s="106"/>
      <c r="G595" s="106" t="s">
        <v>133</v>
      </c>
      <c r="I595" s="139" t="s">
        <v>133</v>
      </c>
      <c r="J595" s="136" t="s">
        <v>133</v>
      </c>
      <c r="L595" s="136" t="str">
        <f t="shared" si="1"/>
        <v/>
      </c>
      <c r="N595" s="141" t="s">
        <v>133</v>
      </c>
      <c r="O595" s="136" t="str">
        <f>IFERROR(__xludf.DUMMYFUNCTION("""COMPUTED_VALUE"""),"")</f>
        <v/>
      </c>
      <c r="P595" s="136" t="str">
        <f>IFERROR(__xludf.DUMMYFUNCTION("""COMPUTED_VALUE"""),"")</f>
        <v/>
      </c>
      <c r="Q595" s="106" t="str">
        <f>IFERROR(__xludf.DUMMYFUNCTION("""COMPUTED_VALUE"""),"")</f>
        <v/>
      </c>
      <c r="R595" s="106" t="str">
        <f>IFERROR(__xludf.DUMMYFUNCTION("""COMPUTED_VALUE"""),"")</f>
        <v/>
      </c>
      <c r="S595" s="139" t="str">
        <f>IFERROR(__xludf.DUMMYFUNCTION("""COMPUTED_VALUE"""),"")</f>
        <v/>
      </c>
      <c r="T595" s="139" t="str">
        <f>IFERROR(__xludf.DUMMYFUNCTION("""COMPUTED_VALUE"""),"")</f>
        <v/>
      </c>
      <c r="U595" s="136" t="str">
        <f>IFERROR(__xludf.DUMMYFUNCTION("""COMPUTED_VALUE"""),"")</f>
        <v/>
      </c>
      <c r="V595" s="106" t="str">
        <f>IFERROR(__xludf.DUMMYFUNCTION("""COMPUTED_VALUE"""),"")</f>
        <v/>
      </c>
      <c r="W595" s="143" t="str">
        <f t="shared" si="2"/>
        <v/>
      </c>
      <c r="X595" s="139" t="str">
        <f>IFERROR(__xludf.DUMMYFUNCTION("""COMPUTED_VALUE"""),"")</f>
        <v/>
      </c>
      <c r="Y595" s="141" t="str">
        <f>IFERROR(__xludf.DUMMYFUNCTION("""COMPUTED_VALUE"""),"")</f>
        <v/>
      </c>
    </row>
    <row r="596">
      <c r="C596" s="136" t="str">
        <f t="shared" si="3"/>
        <v/>
      </c>
      <c r="E596" s="106"/>
      <c r="G596" s="106" t="s">
        <v>133</v>
      </c>
      <c r="I596" s="139" t="s">
        <v>133</v>
      </c>
      <c r="J596" s="136" t="s">
        <v>133</v>
      </c>
      <c r="L596" s="136" t="str">
        <f t="shared" si="1"/>
        <v/>
      </c>
      <c r="N596" s="141" t="s">
        <v>133</v>
      </c>
      <c r="O596" s="136" t="str">
        <f>IFERROR(__xludf.DUMMYFUNCTION("""COMPUTED_VALUE"""),"")</f>
        <v/>
      </c>
      <c r="P596" s="136" t="str">
        <f>IFERROR(__xludf.DUMMYFUNCTION("""COMPUTED_VALUE"""),"")</f>
        <v/>
      </c>
      <c r="Q596" s="106" t="str">
        <f>IFERROR(__xludf.DUMMYFUNCTION("""COMPUTED_VALUE"""),"")</f>
        <v/>
      </c>
      <c r="R596" s="106" t="str">
        <f>IFERROR(__xludf.DUMMYFUNCTION("""COMPUTED_VALUE"""),"")</f>
        <v/>
      </c>
      <c r="S596" s="139" t="str">
        <f>IFERROR(__xludf.DUMMYFUNCTION("""COMPUTED_VALUE"""),"")</f>
        <v/>
      </c>
      <c r="T596" s="139" t="str">
        <f>IFERROR(__xludf.DUMMYFUNCTION("""COMPUTED_VALUE"""),"")</f>
        <v/>
      </c>
      <c r="U596" s="136" t="str">
        <f>IFERROR(__xludf.DUMMYFUNCTION("""COMPUTED_VALUE"""),"")</f>
        <v/>
      </c>
      <c r="V596" s="106" t="str">
        <f>IFERROR(__xludf.DUMMYFUNCTION("""COMPUTED_VALUE"""),"")</f>
        <v/>
      </c>
      <c r="W596" s="143" t="str">
        <f t="shared" si="2"/>
        <v/>
      </c>
      <c r="X596" s="139" t="str">
        <f>IFERROR(__xludf.DUMMYFUNCTION("""COMPUTED_VALUE"""),"")</f>
        <v/>
      </c>
      <c r="Y596" s="141" t="str">
        <f>IFERROR(__xludf.DUMMYFUNCTION("""COMPUTED_VALUE"""),"")</f>
        <v/>
      </c>
    </row>
    <row r="597">
      <c r="C597" s="136" t="str">
        <f t="shared" si="3"/>
        <v/>
      </c>
      <c r="E597" s="106"/>
      <c r="G597" s="106" t="s">
        <v>133</v>
      </c>
      <c r="I597" s="139" t="s">
        <v>133</v>
      </c>
      <c r="J597" s="136" t="s">
        <v>133</v>
      </c>
      <c r="L597" s="136" t="str">
        <f t="shared" si="1"/>
        <v/>
      </c>
      <c r="N597" s="141" t="s">
        <v>133</v>
      </c>
      <c r="O597" s="136" t="str">
        <f>IFERROR(__xludf.DUMMYFUNCTION("""COMPUTED_VALUE"""),"")</f>
        <v/>
      </c>
      <c r="P597" s="136" t="str">
        <f>IFERROR(__xludf.DUMMYFUNCTION("""COMPUTED_VALUE"""),"")</f>
        <v/>
      </c>
      <c r="Q597" s="106" t="str">
        <f>IFERROR(__xludf.DUMMYFUNCTION("""COMPUTED_VALUE"""),"")</f>
        <v/>
      </c>
      <c r="R597" s="106" t="str">
        <f>IFERROR(__xludf.DUMMYFUNCTION("""COMPUTED_VALUE"""),"")</f>
        <v/>
      </c>
      <c r="S597" s="139" t="str">
        <f>IFERROR(__xludf.DUMMYFUNCTION("""COMPUTED_VALUE"""),"")</f>
        <v/>
      </c>
      <c r="T597" s="139" t="str">
        <f>IFERROR(__xludf.DUMMYFUNCTION("""COMPUTED_VALUE"""),"")</f>
        <v/>
      </c>
      <c r="U597" s="136" t="str">
        <f>IFERROR(__xludf.DUMMYFUNCTION("""COMPUTED_VALUE"""),"")</f>
        <v/>
      </c>
      <c r="V597" s="106" t="str">
        <f>IFERROR(__xludf.DUMMYFUNCTION("""COMPUTED_VALUE"""),"")</f>
        <v/>
      </c>
      <c r="W597" s="143" t="str">
        <f t="shared" si="2"/>
        <v/>
      </c>
      <c r="X597" s="139" t="str">
        <f>IFERROR(__xludf.DUMMYFUNCTION("""COMPUTED_VALUE"""),"")</f>
        <v/>
      </c>
      <c r="Y597" s="141" t="str">
        <f>IFERROR(__xludf.DUMMYFUNCTION("""COMPUTED_VALUE"""),"")</f>
        <v/>
      </c>
    </row>
    <row r="598">
      <c r="C598" s="136" t="str">
        <f t="shared" si="3"/>
        <v/>
      </c>
      <c r="E598" s="106"/>
      <c r="G598" s="106" t="s">
        <v>133</v>
      </c>
      <c r="I598" s="139" t="s">
        <v>133</v>
      </c>
      <c r="J598" s="136" t="s">
        <v>133</v>
      </c>
      <c r="L598" s="136" t="str">
        <f t="shared" si="1"/>
        <v/>
      </c>
      <c r="N598" s="141" t="s">
        <v>133</v>
      </c>
      <c r="O598" s="136" t="str">
        <f>IFERROR(__xludf.DUMMYFUNCTION("""COMPUTED_VALUE"""),"")</f>
        <v/>
      </c>
      <c r="P598" s="136" t="str">
        <f>IFERROR(__xludf.DUMMYFUNCTION("""COMPUTED_VALUE"""),"")</f>
        <v/>
      </c>
      <c r="Q598" s="106" t="str">
        <f>IFERROR(__xludf.DUMMYFUNCTION("""COMPUTED_VALUE"""),"")</f>
        <v/>
      </c>
      <c r="R598" s="106" t="str">
        <f>IFERROR(__xludf.DUMMYFUNCTION("""COMPUTED_VALUE"""),"")</f>
        <v/>
      </c>
      <c r="S598" s="139" t="str">
        <f>IFERROR(__xludf.DUMMYFUNCTION("""COMPUTED_VALUE"""),"")</f>
        <v/>
      </c>
      <c r="T598" s="139" t="str">
        <f>IFERROR(__xludf.DUMMYFUNCTION("""COMPUTED_VALUE"""),"")</f>
        <v/>
      </c>
      <c r="U598" s="136" t="str">
        <f>IFERROR(__xludf.DUMMYFUNCTION("""COMPUTED_VALUE"""),"")</f>
        <v/>
      </c>
      <c r="V598" s="106" t="str">
        <f>IFERROR(__xludf.DUMMYFUNCTION("""COMPUTED_VALUE"""),"")</f>
        <v/>
      </c>
      <c r="W598" s="143" t="str">
        <f t="shared" si="2"/>
        <v/>
      </c>
      <c r="X598" s="139" t="str">
        <f>IFERROR(__xludf.DUMMYFUNCTION("""COMPUTED_VALUE"""),"")</f>
        <v/>
      </c>
      <c r="Y598" s="141" t="str">
        <f>IFERROR(__xludf.DUMMYFUNCTION("""COMPUTED_VALUE"""),"")</f>
        <v/>
      </c>
    </row>
    <row r="599">
      <c r="C599" s="136" t="str">
        <f t="shared" si="3"/>
        <v/>
      </c>
      <c r="E599" s="106"/>
      <c r="G599" s="106" t="s">
        <v>133</v>
      </c>
      <c r="I599" s="139" t="s">
        <v>133</v>
      </c>
      <c r="J599" s="136" t="s">
        <v>133</v>
      </c>
      <c r="L599" s="136" t="str">
        <f t="shared" si="1"/>
        <v/>
      </c>
      <c r="N599" s="141" t="s">
        <v>133</v>
      </c>
      <c r="O599" s="136" t="str">
        <f>IFERROR(__xludf.DUMMYFUNCTION("""COMPUTED_VALUE"""),"")</f>
        <v/>
      </c>
      <c r="P599" s="136" t="str">
        <f>IFERROR(__xludf.DUMMYFUNCTION("""COMPUTED_VALUE"""),"")</f>
        <v/>
      </c>
      <c r="Q599" s="106" t="str">
        <f>IFERROR(__xludf.DUMMYFUNCTION("""COMPUTED_VALUE"""),"")</f>
        <v/>
      </c>
      <c r="R599" s="106" t="str">
        <f>IFERROR(__xludf.DUMMYFUNCTION("""COMPUTED_VALUE"""),"")</f>
        <v/>
      </c>
      <c r="S599" s="139" t="str">
        <f>IFERROR(__xludf.DUMMYFUNCTION("""COMPUTED_VALUE"""),"")</f>
        <v/>
      </c>
      <c r="T599" s="139" t="str">
        <f>IFERROR(__xludf.DUMMYFUNCTION("""COMPUTED_VALUE"""),"")</f>
        <v/>
      </c>
      <c r="U599" s="136" t="str">
        <f>IFERROR(__xludf.DUMMYFUNCTION("""COMPUTED_VALUE"""),"")</f>
        <v/>
      </c>
      <c r="V599" s="106" t="str">
        <f>IFERROR(__xludf.DUMMYFUNCTION("""COMPUTED_VALUE"""),"")</f>
        <v/>
      </c>
      <c r="W599" s="143" t="str">
        <f t="shared" si="2"/>
        <v/>
      </c>
      <c r="X599" s="139" t="str">
        <f>IFERROR(__xludf.DUMMYFUNCTION("""COMPUTED_VALUE"""),"")</f>
        <v/>
      </c>
      <c r="Y599" s="141" t="str">
        <f>IFERROR(__xludf.DUMMYFUNCTION("""COMPUTED_VALUE"""),"")</f>
        <v/>
      </c>
    </row>
    <row r="600">
      <c r="C600" s="136" t="str">
        <f t="shared" si="3"/>
        <v/>
      </c>
      <c r="E600" s="106"/>
      <c r="G600" s="106" t="s">
        <v>133</v>
      </c>
      <c r="I600" s="139" t="s">
        <v>133</v>
      </c>
      <c r="J600" s="136" t="s">
        <v>133</v>
      </c>
      <c r="L600" s="136" t="str">
        <f t="shared" si="1"/>
        <v/>
      </c>
      <c r="N600" s="141" t="s">
        <v>133</v>
      </c>
      <c r="O600" s="136" t="str">
        <f>IFERROR(__xludf.DUMMYFUNCTION("""COMPUTED_VALUE"""),"")</f>
        <v/>
      </c>
      <c r="P600" s="136" t="str">
        <f>IFERROR(__xludf.DUMMYFUNCTION("""COMPUTED_VALUE"""),"")</f>
        <v/>
      </c>
      <c r="Q600" s="106" t="str">
        <f>IFERROR(__xludf.DUMMYFUNCTION("""COMPUTED_VALUE"""),"")</f>
        <v/>
      </c>
      <c r="R600" s="106" t="str">
        <f>IFERROR(__xludf.DUMMYFUNCTION("""COMPUTED_VALUE"""),"")</f>
        <v/>
      </c>
      <c r="S600" s="139" t="str">
        <f>IFERROR(__xludf.DUMMYFUNCTION("""COMPUTED_VALUE"""),"")</f>
        <v/>
      </c>
      <c r="T600" s="139" t="str">
        <f>IFERROR(__xludf.DUMMYFUNCTION("""COMPUTED_VALUE"""),"")</f>
        <v/>
      </c>
      <c r="U600" s="136" t="str">
        <f>IFERROR(__xludf.DUMMYFUNCTION("""COMPUTED_VALUE"""),"")</f>
        <v/>
      </c>
      <c r="V600" s="106" t="str">
        <f>IFERROR(__xludf.DUMMYFUNCTION("""COMPUTED_VALUE"""),"")</f>
        <v/>
      </c>
      <c r="W600" s="143" t="str">
        <f t="shared" si="2"/>
        <v/>
      </c>
      <c r="X600" s="139" t="str">
        <f>IFERROR(__xludf.DUMMYFUNCTION("""COMPUTED_VALUE"""),"")</f>
        <v/>
      </c>
      <c r="Y600" s="141" t="str">
        <f>IFERROR(__xludf.DUMMYFUNCTION("""COMPUTED_VALUE"""),"")</f>
        <v/>
      </c>
    </row>
    <row r="601">
      <c r="C601" s="136" t="str">
        <f t="shared" si="3"/>
        <v/>
      </c>
      <c r="E601" s="106"/>
      <c r="G601" s="106" t="s">
        <v>133</v>
      </c>
      <c r="I601" s="139" t="s">
        <v>133</v>
      </c>
      <c r="J601" s="136" t="s">
        <v>133</v>
      </c>
      <c r="L601" s="136" t="str">
        <f t="shared" si="1"/>
        <v/>
      </c>
      <c r="N601" s="141" t="s">
        <v>133</v>
      </c>
      <c r="O601" s="136" t="str">
        <f>IFERROR(__xludf.DUMMYFUNCTION("""COMPUTED_VALUE"""),"")</f>
        <v/>
      </c>
      <c r="P601" s="136" t="str">
        <f>IFERROR(__xludf.DUMMYFUNCTION("""COMPUTED_VALUE"""),"")</f>
        <v/>
      </c>
      <c r="Q601" s="106" t="str">
        <f>IFERROR(__xludf.DUMMYFUNCTION("""COMPUTED_VALUE"""),"")</f>
        <v/>
      </c>
      <c r="R601" s="106" t="str">
        <f>IFERROR(__xludf.DUMMYFUNCTION("""COMPUTED_VALUE"""),"")</f>
        <v/>
      </c>
      <c r="S601" s="139" t="str">
        <f>IFERROR(__xludf.DUMMYFUNCTION("""COMPUTED_VALUE"""),"")</f>
        <v/>
      </c>
      <c r="T601" s="139" t="str">
        <f>IFERROR(__xludf.DUMMYFUNCTION("""COMPUTED_VALUE"""),"")</f>
        <v/>
      </c>
      <c r="U601" s="136" t="str">
        <f>IFERROR(__xludf.DUMMYFUNCTION("""COMPUTED_VALUE"""),"")</f>
        <v/>
      </c>
      <c r="V601" s="106" t="str">
        <f>IFERROR(__xludf.DUMMYFUNCTION("""COMPUTED_VALUE"""),"")</f>
        <v/>
      </c>
      <c r="W601" s="143" t="str">
        <f t="shared" si="2"/>
        <v/>
      </c>
      <c r="X601" s="139" t="str">
        <f>IFERROR(__xludf.DUMMYFUNCTION("""COMPUTED_VALUE"""),"")</f>
        <v/>
      </c>
      <c r="Y601" s="141" t="str">
        <f>IFERROR(__xludf.DUMMYFUNCTION("""COMPUTED_VALUE"""),"")</f>
        <v/>
      </c>
    </row>
    <row r="602">
      <c r="C602" s="136" t="str">
        <f t="shared" si="3"/>
        <v/>
      </c>
      <c r="E602" s="106"/>
      <c r="G602" s="106" t="s">
        <v>133</v>
      </c>
      <c r="I602" s="139" t="s">
        <v>133</v>
      </c>
      <c r="J602" s="136" t="s">
        <v>133</v>
      </c>
      <c r="L602" s="136" t="str">
        <f t="shared" si="1"/>
        <v/>
      </c>
      <c r="N602" s="141" t="s">
        <v>133</v>
      </c>
      <c r="O602" s="136" t="str">
        <f>IFERROR(__xludf.DUMMYFUNCTION("""COMPUTED_VALUE"""),"")</f>
        <v/>
      </c>
      <c r="P602" s="136" t="str">
        <f>IFERROR(__xludf.DUMMYFUNCTION("""COMPUTED_VALUE"""),"")</f>
        <v/>
      </c>
      <c r="Q602" s="106" t="str">
        <f>IFERROR(__xludf.DUMMYFUNCTION("""COMPUTED_VALUE"""),"")</f>
        <v/>
      </c>
      <c r="R602" s="106" t="str">
        <f>IFERROR(__xludf.DUMMYFUNCTION("""COMPUTED_VALUE"""),"")</f>
        <v/>
      </c>
      <c r="S602" s="139" t="str">
        <f>IFERROR(__xludf.DUMMYFUNCTION("""COMPUTED_VALUE"""),"")</f>
        <v/>
      </c>
      <c r="T602" s="139" t="str">
        <f>IFERROR(__xludf.DUMMYFUNCTION("""COMPUTED_VALUE"""),"")</f>
        <v/>
      </c>
      <c r="U602" s="136" t="str">
        <f>IFERROR(__xludf.DUMMYFUNCTION("""COMPUTED_VALUE"""),"")</f>
        <v/>
      </c>
      <c r="V602" s="106" t="str">
        <f>IFERROR(__xludf.DUMMYFUNCTION("""COMPUTED_VALUE"""),"")</f>
        <v/>
      </c>
      <c r="W602" s="143" t="str">
        <f t="shared" si="2"/>
        <v/>
      </c>
      <c r="X602" s="139" t="str">
        <f>IFERROR(__xludf.DUMMYFUNCTION("""COMPUTED_VALUE"""),"")</f>
        <v/>
      </c>
      <c r="Y602" s="141" t="str">
        <f>IFERROR(__xludf.DUMMYFUNCTION("""COMPUTED_VALUE"""),"")</f>
        <v/>
      </c>
    </row>
    <row r="603">
      <c r="C603" s="136" t="str">
        <f t="shared" si="3"/>
        <v/>
      </c>
      <c r="E603" s="106"/>
      <c r="G603" s="106" t="s">
        <v>133</v>
      </c>
      <c r="I603" s="139" t="s">
        <v>133</v>
      </c>
      <c r="J603" s="136" t="s">
        <v>133</v>
      </c>
      <c r="L603" s="136" t="str">
        <f t="shared" si="1"/>
        <v/>
      </c>
      <c r="N603" s="141" t="s">
        <v>133</v>
      </c>
      <c r="O603" s="136" t="str">
        <f>IFERROR(__xludf.DUMMYFUNCTION("""COMPUTED_VALUE"""),"")</f>
        <v/>
      </c>
      <c r="P603" s="136" t="str">
        <f>IFERROR(__xludf.DUMMYFUNCTION("""COMPUTED_VALUE"""),"")</f>
        <v/>
      </c>
      <c r="Q603" s="106" t="str">
        <f>IFERROR(__xludf.DUMMYFUNCTION("""COMPUTED_VALUE"""),"")</f>
        <v/>
      </c>
      <c r="R603" s="106" t="str">
        <f>IFERROR(__xludf.DUMMYFUNCTION("""COMPUTED_VALUE"""),"")</f>
        <v/>
      </c>
      <c r="S603" s="139" t="str">
        <f>IFERROR(__xludf.DUMMYFUNCTION("""COMPUTED_VALUE"""),"")</f>
        <v/>
      </c>
      <c r="T603" s="139" t="str">
        <f>IFERROR(__xludf.DUMMYFUNCTION("""COMPUTED_VALUE"""),"")</f>
        <v/>
      </c>
      <c r="U603" s="136" t="str">
        <f>IFERROR(__xludf.DUMMYFUNCTION("""COMPUTED_VALUE"""),"")</f>
        <v/>
      </c>
      <c r="V603" s="106" t="str">
        <f>IFERROR(__xludf.DUMMYFUNCTION("""COMPUTED_VALUE"""),"")</f>
        <v/>
      </c>
      <c r="W603" s="143" t="str">
        <f t="shared" si="2"/>
        <v/>
      </c>
      <c r="X603" s="139" t="str">
        <f>IFERROR(__xludf.DUMMYFUNCTION("""COMPUTED_VALUE"""),"")</f>
        <v/>
      </c>
      <c r="Y603" s="141" t="str">
        <f>IFERROR(__xludf.DUMMYFUNCTION("""COMPUTED_VALUE"""),"")</f>
        <v/>
      </c>
    </row>
    <row r="604">
      <c r="C604" s="136" t="str">
        <f t="shared" si="3"/>
        <v/>
      </c>
      <c r="E604" s="106"/>
      <c r="G604" s="106" t="s">
        <v>133</v>
      </c>
      <c r="I604" s="139" t="s">
        <v>133</v>
      </c>
      <c r="J604" s="136" t="s">
        <v>133</v>
      </c>
      <c r="L604" s="136" t="str">
        <f t="shared" si="1"/>
        <v/>
      </c>
      <c r="N604" s="141" t="s">
        <v>133</v>
      </c>
      <c r="O604" s="136" t="str">
        <f>IFERROR(__xludf.DUMMYFUNCTION("""COMPUTED_VALUE"""),"")</f>
        <v/>
      </c>
      <c r="P604" s="136" t="str">
        <f>IFERROR(__xludf.DUMMYFUNCTION("""COMPUTED_VALUE"""),"")</f>
        <v/>
      </c>
      <c r="Q604" s="106" t="str">
        <f>IFERROR(__xludf.DUMMYFUNCTION("""COMPUTED_VALUE"""),"")</f>
        <v/>
      </c>
      <c r="R604" s="106" t="str">
        <f>IFERROR(__xludf.DUMMYFUNCTION("""COMPUTED_VALUE"""),"")</f>
        <v/>
      </c>
      <c r="S604" s="139" t="str">
        <f>IFERROR(__xludf.DUMMYFUNCTION("""COMPUTED_VALUE"""),"")</f>
        <v/>
      </c>
      <c r="T604" s="139" t="str">
        <f>IFERROR(__xludf.DUMMYFUNCTION("""COMPUTED_VALUE"""),"")</f>
        <v/>
      </c>
      <c r="U604" s="136" t="str">
        <f>IFERROR(__xludf.DUMMYFUNCTION("""COMPUTED_VALUE"""),"")</f>
        <v/>
      </c>
      <c r="V604" s="106" t="str">
        <f>IFERROR(__xludf.DUMMYFUNCTION("""COMPUTED_VALUE"""),"")</f>
        <v/>
      </c>
      <c r="W604" s="143" t="str">
        <f t="shared" si="2"/>
        <v/>
      </c>
      <c r="X604" s="139" t="str">
        <f>IFERROR(__xludf.DUMMYFUNCTION("""COMPUTED_VALUE"""),"")</f>
        <v/>
      </c>
      <c r="Y604" s="141" t="str">
        <f>IFERROR(__xludf.DUMMYFUNCTION("""COMPUTED_VALUE"""),"")</f>
        <v/>
      </c>
    </row>
    <row r="605">
      <c r="C605" s="136" t="str">
        <f t="shared" si="3"/>
        <v/>
      </c>
      <c r="E605" s="106"/>
      <c r="G605" s="106" t="s">
        <v>133</v>
      </c>
      <c r="I605" s="139" t="s">
        <v>133</v>
      </c>
      <c r="J605" s="136" t="s">
        <v>133</v>
      </c>
      <c r="L605" s="136" t="str">
        <f t="shared" si="1"/>
        <v/>
      </c>
      <c r="N605" s="141" t="s">
        <v>133</v>
      </c>
      <c r="O605" s="136" t="str">
        <f>IFERROR(__xludf.DUMMYFUNCTION("""COMPUTED_VALUE"""),"")</f>
        <v/>
      </c>
      <c r="P605" s="136" t="str">
        <f>IFERROR(__xludf.DUMMYFUNCTION("""COMPUTED_VALUE"""),"")</f>
        <v/>
      </c>
      <c r="Q605" s="106" t="str">
        <f>IFERROR(__xludf.DUMMYFUNCTION("""COMPUTED_VALUE"""),"")</f>
        <v/>
      </c>
      <c r="R605" s="106" t="str">
        <f>IFERROR(__xludf.DUMMYFUNCTION("""COMPUTED_VALUE"""),"")</f>
        <v/>
      </c>
      <c r="S605" s="139" t="str">
        <f>IFERROR(__xludf.DUMMYFUNCTION("""COMPUTED_VALUE"""),"")</f>
        <v/>
      </c>
      <c r="T605" s="139" t="str">
        <f>IFERROR(__xludf.DUMMYFUNCTION("""COMPUTED_VALUE"""),"")</f>
        <v/>
      </c>
      <c r="U605" s="136" t="str">
        <f>IFERROR(__xludf.DUMMYFUNCTION("""COMPUTED_VALUE"""),"")</f>
        <v/>
      </c>
      <c r="V605" s="106" t="str">
        <f>IFERROR(__xludf.DUMMYFUNCTION("""COMPUTED_VALUE"""),"")</f>
        <v/>
      </c>
      <c r="W605" s="143" t="str">
        <f t="shared" si="2"/>
        <v/>
      </c>
      <c r="X605" s="139" t="str">
        <f>IFERROR(__xludf.DUMMYFUNCTION("""COMPUTED_VALUE"""),"")</f>
        <v/>
      </c>
      <c r="Y605" s="141" t="str">
        <f>IFERROR(__xludf.DUMMYFUNCTION("""COMPUTED_VALUE"""),"")</f>
        <v/>
      </c>
    </row>
    <row r="606">
      <c r="C606" s="136" t="str">
        <f t="shared" si="3"/>
        <v/>
      </c>
      <c r="E606" s="106"/>
      <c r="G606" s="106" t="s">
        <v>133</v>
      </c>
      <c r="I606" s="139" t="s">
        <v>133</v>
      </c>
      <c r="J606" s="136" t="s">
        <v>133</v>
      </c>
      <c r="L606" s="136" t="str">
        <f t="shared" si="1"/>
        <v/>
      </c>
      <c r="N606" s="141" t="s">
        <v>133</v>
      </c>
      <c r="O606" s="136" t="str">
        <f>IFERROR(__xludf.DUMMYFUNCTION("""COMPUTED_VALUE"""),"")</f>
        <v/>
      </c>
      <c r="P606" s="136" t="str">
        <f>IFERROR(__xludf.DUMMYFUNCTION("""COMPUTED_VALUE"""),"")</f>
        <v/>
      </c>
      <c r="Q606" s="106" t="str">
        <f>IFERROR(__xludf.DUMMYFUNCTION("""COMPUTED_VALUE"""),"")</f>
        <v/>
      </c>
      <c r="R606" s="106" t="str">
        <f>IFERROR(__xludf.DUMMYFUNCTION("""COMPUTED_VALUE"""),"")</f>
        <v/>
      </c>
      <c r="S606" s="139" t="str">
        <f>IFERROR(__xludf.DUMMYFUNCTION("""COMPUTED_VALUE"""),"")</f>
        <v/>
      </c>
      <c r="T606" s="139" t="str">
        <f>IFERROR(__xludf.DUMMYFUNCTION("""COMPUTED_VALUE"""),"")</f>
        <v/>
      </c>
      <c r="U606" s="136" t="str">
        <f>IFERROR(__xludf.DUMMYFUNCTION("""COMPUTED_VALUE"""),"")</f>
        <v/>
      </c>
      <c r="V606" s="106" t="str">
        <f>IFERROR(__xludf.DUMMYFUNCTION("""COMPUTED_VALUE"""),"")</f>
        <v/>
      </c>
      <c r="W606" s="143" t="str">
        <f t="shared" si="2"/>
        <v/>
      </c>
      <c r="X606" s="139" t="str">
        <f>IFERROR(__xludf.DUMMYFUNCTION("""COMPUTED_VALUE"""),"")</f>
        <v/>
      </c>
      <c r="Y606" s="141" t="str">
        <f>IFERROR(__xludf.DUMMYFUNCTION("""COMPUTED_VALUE"""),"")</f>
        <v/>
      </c>
    </row>
    <row r="607">
      <c r="C607" s="136" t="str">
        <f t="shared" si="3"/>
        <v/>
      </c>
      <c r="E607" s="106"/>
      <c r="G607" s="106" t="s">
        <v>133</v>
      </c>
      <c r="I607" s="139" t="s">
        <v>133</v>
      </c>
      <c r="J607" s="136" t="s">
        <v>133</v>
      </c>
      <c r="L607" s="136" t="str">
        <f t="shared" si="1"/>
        <v/>
      </c>
      <c r="N607" s="141" t="s">
        <v>133</v>
      </c>
      <c r="O607" s="136" t="str">
        <f>IFERROR(__xludf.DUMMYFUNCTION("""COMPUTED_VALUE"""),"")</f>
        <v/>
      </c>
      <c r="P607" s="136" t="str">
        <f>IFERROR(__xludf.DUMMYFUNCTION("""COMPUTED_VALUE"""),"")</f>
        <v/>
      </c>
      <c r="Q607" s="106" t="str">
        <f>IFERROR(__xludf.DUMMYFUNCTION("""COMPUTED_VALUE"""),"")</f>
        <v/>
      </c>
      <c r="R607" s="106" t="str">
        <f>IFERROR(__xludf.DUMMYFUNCTION("""COMPUTED_VALUE"""),"")</f>
        <v/>
      </c>
      <c r="S607" s="139" t="str">
        <f>IFERROR(__xludf.DUMMYFUNCTION("""COMPUTED_VALUE"""),"")</f>
        <v/>
      </c>
      <c r="T607" s="139" t="str">
        <f>IFERROR(__xludf.DUMMYFUNCTION("""COMPUTED_VALUE"""),"")</f>
        <v/>
      </c>
      <c r="U607" s="136" t="str">
        <f>IFERROR(__xludf.DUMMYFUNCTION("""COMPUTED_VALUE"""),"")</f>
        <v/>
      </c>
      <c r="V607" s="106" t="str">
        <f>IFERROR(__xludf.DUMMYFUNCTION("""COMPUTED_VALUE"""),"")</f>
        <v/>
      </c>
      <c r="W607" s="143" t="str">
        <f t="shared" si="2"/>
        <v/>
      </c>
      <c r="X607" s="139" t="str">
        <f>IFERROR(__xludf.DUMMYFUNCTION("""COMPUTED_VALUE"""),"")</f>
        <v/>
      </c>
      <c r="Y607" s="141" t="str">
        <f>IFERROR(__xludf.DUMMYFUNCTION("""COMPUTED_VALUE"""),"")</f>
        <v/>
      </c>
    </row>
    <row r="608">
      <c r="C608" s="136" t="str">
        <f t="shared" si="3"/>
        <v/>
      </c>
      <c r="E608" s="106"/>
      <c r="G608" s="106" t="s">
        <v>133</v>
      </c>
      <c r="I608" s="139" t="s">
        <v>133</v>
      </c>
      <c r="J608" s="136" t="s">
        <v>133</v>
      </c>
      <c r="L608" s="136" t="str">
        <f t="shared" si="1"/>
        <v/>
      </c>
      <c r="N608" s="141" t="s">
        <v>133</v>
      </c>
      <c r="O608" s="136" t="str">
        <f>IFERROR(__xludf.DUMMYFUNCTION("""COMPUTED_VALUE"""),"")</f>
        <v/>
      </c>
      <c r="P608" s="136" t="str">
        <f>IFERROR(__xludf.DUMMYFUNCTION("""COMPUTED_VALUE"""),"")</f>
        <v/>
      </c>
      <c r="Q608" s="106" t="str">
        <f>IFERROR(__xludf.DUMMYFUNCTION("""COMPUTED_VALUE"""),"")</f>
        <v/>
      </c>
      <c r="R608" s="106" t="str">
        <f>IFERROR(__xludf.DUMMYFUNCTION("""COMPUTED_VALUE"""),"")</f>
        <v/>
      </c>
      <c r="S608" s="139" t="str">
        <f>IFERROR(__xludf.DUMMYFUNCTION("""COMPUTED_VALUE"""),"")</f>
        <v/>
      </c>
      <c r="T608" s="139" t="str">
        <f>IFERROR(__xludf.DUMMYFUNCTION("""COMPUTED_VALUE"""),"")</f>
        <v/>
      </c>
      <c r="U608" s="136" t="str">
        <f>IFERROR(__xludf.DUMMYFUNCTION("""COMPUTED_VALUE"""),"")</f>
        <v/>
      </c>
      <c r="V608" s="106" t="str">
        <f>IFERROR(__xludf.DUMMYFUNCTION("""COMPUTED_VALUE"""),"")</f>
        <v/>
      </c>
      <c r="W608" s="143" t="str">
        <f t="shared" si="2"/>
        <v/>
      </c>
      <c r="X608" s="139" t="str">
        <f>IFERROR(__xludf.DUMMYFUNCTION("""COMPUTED_VALUE"""),"")</f>
        <v/>
      </c>
      <c r="Y608" s="141" t="str">
        <f>IFERROR(__xludf.DUMMYFUNCTION("""COMPUTED_VALUE"""),"")</f>
        <v/>
      </c>
    </row>
    <row r="609">
      <c r="C609" s="136" t="str">
        <f t="shared" si="3"/>
        <v/>
      </c>
      <c r="E609" s="106"/>
      <c r="G609" s="106" t="s">
        <v>133</v>
      </c>
      <c r="I609" s="139" t="s">
        <v>133</v>
      </c>
      <c r="J609" s="136" t="s">
        <v>133</v>
      </c>
      <c r="L609" s="136" t="str">
        <f t="shared" si="1"/>
        <v/>
      </c>
      <c r="N609" s="141" t="s">
        <v>133</v>
      </c>
      <c r="O609" s="136" t="str">
        <f>IFERROR(__xludf.DUMMYFUNCTION("""COMPUTED_VALUE"""),"")</f>
        <v/>
      </c>
      <c r="P609" s="136" t="str">
        <f>IFERROR(__xludf.DUMMYFUNCTION("""COMPUTED_VALUE"""),"")</f>
        <v/>
      </c>
      <c r="Q609" s="106" t="str">
        <f>IFERROR(__xludf.DUMMYFUNCTION("""COMPUTED_VALUE"""),"")</f>
        <v/>
      </c>
      <c r="R609" s="106" t="str">
        <f>IFERROR(__xludf.DUMMYFUNCTION("""COMPUTED_VALUE"""),"")</f>
        <v/>
      </c>
      <c r="S609" s="139" t="str">
        <f>IFERROR(__xludf.DUMMYFUNCTION("""COMPUTED_VALUE"""),"")</f>
        <v/>
      </c>
      <c r="T609" s="139" t="str">
        <f>IFERROR(__xludf.DUMMYFUNCTION("""COMPUTED_VALUE"""),"")</f>
        <v/>
      </c>
      <c r="U609" s="136" t="str">
        <f>IFERROR(__xludf.DUMMYFUNCTION("""COMPUTED_VALUE"""),"")</f>
        <v/>
      </c>
      <c r="V609" s="106" t="str">
        <f>IFERROR(__xludf.DUMMYFUNCTION("""COMPUTED_VALUE"""),"")</f>
        <v/>
      </c>
      <c r="W609" s="143" t="str">
        <f t="shared" si="2"/>
        <v/>
      </c>
      <c r="X609" s="139" t="str">
        <f>IFERROR(__xludf.DUMMYFUNCTION("""COMPUTED_VALUE"""),"")</f>
        <v/>
      </c>
      <c r="Y609" s="141" t="str">
        <f>IFERROR(__xludf.DUMMYFUNCTION("""COMPUTED_VALUE"""),"")</f>
        <v/>
      </c>
    </row>
    <row r="610">
      <c r="C610" s="136" t="str">
        <f t="shared" si="3"/>
        <v/>
      </c>
      <c r="E610" s="106"/>
      <c r="G610" s="106" t="s">
        <v>133</v>
      </c>
      <c r="I610" s="139" t="s">
        <v>133</v>
      </c>
      <c r="J610" s="136" t="s">
        <v>133</v>
      </c>
      <c r="L610" s="136" t="str">
        <f t="shared" si="1"/>
        <v/>
      </c>
      <c r="N610" s="141" t="s">
        <v>133</v>
      </c>
      <c r="O610" s="136" t="str">
        <f>IFERROR(__xludf.DUMMYFUNCTION("""COMPUTED_VALUE"""),"")</f>
        <v/>
      </c>
      <c r="P610" s="136" t="str">
        <f>IFERROR(__xludf.DUMMYFUNCTION("""COMPUTED_VALUE"""),"")</f>
        <v/>
      </c>
      <c r="Q610" s="106" t="str">
        <f>IFERROR(__xludf.DUMMYFUNCTION("""COMPUTED_VALUE"""),"")</f>
        <v/>
      </c>
      <c r="R610" s="106" t="str">
        <f>IFERROR(__xludf.DUMMYFUNCTION("""COMPUTED_VALUE"""),"")</f>
        <v/>
      </c>
      <c r="S610" s="139" t="str">
        <f>IFERROR(__xludf.DUMMYFUNCTION("""COMPUTED_VALUE"""),"")</f>
        <v/>
      </c>
      <c r="T610" s="139" t="str">
        <f>IFERROR(__xludf.DUMMYFUNCTION("""COMPUTED_VALUE"""),"")</f>
        <v/>
      </c>
      <c r="U610" s="136" t="str">
        <f>IFERROR(__xludf.DUMMYFUNCTION("""COMPUTED_VALUE"""),"")</f>
        <v/>
      </c>
      <c r="V610" s="106" t="str">
        <f>IFERROR(__xludf.DUMMYFUNCTION("""COMPUTED_VALUE"""),"")</f>
        <v/>
      </c>
      <c r="W610" s="143" t="str">
        <f t="shared" si="2"/>
        <v/>
      </c>
      <c r="X610" s="139" t="str">
        <f>IFERROR(__xludf.DUMMYFUNCTION("""COMPUTED_VALUE"""),"")</f>
        <v/>
      </c>
      <c r="Y610" s="141" t="str">
        <f>IFERROR(__xludf.DUMMYFUNCTION("""COMPUTED_VALUE"""),"")</f>
        <v/>
      </c>
    </row>
    <row r="611">
      <c r="C611" s="136" t="str">
        <f t="shared" si="3"/>
        <v/>
      </c>
      <c r="E611" s="106"/>
      <c r="G611" s="106" t="s">
        <v>133</v>
      </c>
      <c r="I611" s="139" t="s">
        <v>133</v>
      </c>
      <c r="J611" s="136" t="s">
        <v>133</v>
      </c>
      <c r="L611" s="136" t="str">
        <f t="shared" si="1"/>
        <v/>
      </c>
      <c r="N611" s="141" t="s">
        <v>133</v>
      </c>
      <c r="O611" s="136" t="str">
        <f>IFERROR(__xludf.DUMMYFUNCTION("""COMPUTED_VALUE"""),"")</f>
        <v/>
      </c>
      <c r="P611" s="136" t="str">
        <f>IFERROR(__xludf.DUMMYFUNCTION("""COMPUTED_VALUE"""),"")</f>
        <v/>
      </c>
      <c r="Q611" s="106" t="str">
        <f>IFERROR(__xludf.DUMMYFUNCTION("""COMPUTED_VALUE"""),"")</f>
        <v/>
      </c>
      <c r="R611" s="106" t="str">
        <f>IFERROR(__xludf.DUMMYFUNCTION("""COMPUTED_VALUE"""),"")</f>
        <v/>
      </c>
      <c r="S611" s="139" t="str">
        <f>IFERROR(__xludf.DUMMYFUNCTION("""COMPUTED_VALUE"""),"")</f>
        <v/>
      </c>
      <c r="T611" s="139" t="str">
        <f>IFERROR(__xludf.DUMMYFUNCTION("""COMPUTED_VALUE"""),"")</f>
        <v/>
      </c>
      <c r="U611" s="136" t="str">
        <f>IFERROR(__xludf.DUMMYFUNCTION("""COMPUTED_VALUE"""),"")</f>
        <v/>
      </c>
      <c r="V611" s="106" t="str">
        <f>IFERROR(__xludf.DUMMYFUNCTION("""COMPUTED_VALUE"""),"")</f>
        <v/>
      </c>
      <c r="W611" s="143" t="str">
        <f t="shared" si="2"/>
        <v/>
      </c>
      <c r="X611" s="139" t="str">
        <f>IFERROR(__xludf.DUMMYFUNCTION("""COMPUTED_VALUE"""),"")</f>
        <v/>
      </c>
      <c r="Y611" s="141" t="str">
        <f>IFERROR(__xludf.DUMMYFUNCTION("""COMPUTED_VALUE"""),"")</f>
        <v/>
      </c>
    </row>
    <row r="612">
      <c r="C612" s="136" t="str">
        <f t="shared" si="3"/>
        <v/>
      </c>
      <c r="E612" s="106"/>
      <c r="G612" s="106" t="s">
        <v>133</v>
      </c>
      <c r="I612" s="139" t="s">
        <v>133</v>
      </c>
      <c r="J612" s="136" t="s">
        <v>133</v>
      </c>
      <c r="L612" s="136" t="str">
        <f t="shared" si="1"/>
        <v/>
      </c>
      <c r="N612" s="141" t="s">
        <v>133</v>
      </c>
      <c r="O612" s="136" t="str">
        <f>IFERROR(__xludf.DUMMYFUNCTION("""COMPUTED_VALUE"""),"")</f>
        <v/>
      </c>
      <c r="P612" s="136" t="str">
        <f>IFERROR(__xludf.DUMMYFUNCTION("""COMPUTED_VALUE"""),"")</f>
        <v/>
      </c>
      <c r="Q612" s="106" t="str">
        <f>IFERROR(__xludf.DUMMYFUNCTION("""COMPUTED_VALUE"""),"")</f>
        <v/>
      </c>
      <c r="R612" s="106" t="str">
        <f>IFERROR(__xludf.DUMMYFUNCTION("""COMPUTED_VALUE"""),"")</f>
        <v/>
      </c>
      <c r="S612" s="139" t="str">
        <f>IFERROR(__xludf.DUMMYFUNCTION("""COMPUTED_VALUE"""),"")</f>
        <v/>
      </c>
      <c r="T612" s="139" t="str">
        <f>IFERROR(__xludf.DUMMYFUNCTION("""COMPUTED_VALUE"""),"")</f>
        <v/>
      </c>
      <c r="U612" s="136" t="str">
        <f>IFERROR(__xludf.DUMMYFUNCTION("""COMPUTED_VALUE"""),"")</f>
        <v/>
      </c>
      <c r="V612" s="106" t="str">
        <f>IFERROR(__xludf.DUMMYFUNCTION("""COMPUTED_VALUE"""),"")</f>
        <v/>
      </c>
      <c r="W612" s="143" t="str">
        <f t="shared" si="2"/>
        <v/>
      </c>
      <c r="X612" s="139" t="str">
        <f>IFERROR(__xludf.DUMMYFUNCTION("""COMPUTED_VALUE"""),"")</f>
        <v/>
      </c>
      <c r="Y612" s="141" t="str">
        <f>IFERROR(__xludf.DUMMYFUNCTION("""COMPUTED_VALUE"""),"")</f>
        <v/>
      </c>
    </row>
    <row r="613">
      <c r="C613" s="136" t="str">
        <f t="shared" si="3"/>
        <v/>
      </c>
      <c r="E613" s="106"/>
      <c r="G613" s="106" t="s">
        <v>133</v>
      </c>
      <c r="I613" s="139" t="s">
        <v>133</v>
      </c>
      <c r="J613" s="136" t="s">
        <v>133</v>
      </c>
      <c r="L613" s="136" t="str">
        <f t="shared" si="1"/>
        <v/>
      </c>
      <c r="N613" s="141" t="s">
        <v>133</v>
      </c>
      <c r="O613" s="136" t="str">
        <f>IFERROR(__xludf.DUMMYFUNCTION("""COMPUTED_VALUE"""),"")</f>
        <v/>
      </c>
      <c r="P613" s="136" t="str">
        <f>IFERROR(__xludf.DUMMYFUNCTION("""COMPUTED_VALUE"""),"")</f>
        <v/>
      </c>
      <c r="Q613" s="106" t="str">
        <f>IFERROR(__xludf.DUMMYFUNCTION("""COMPUTED_VALUE"""),"")</f>
        <v/>
      </c>
      <c r="R613" s="106" t="str">
        <f>IFERROR(__xludf.DUMMYFUNCTION("""COMPUTED_VALUE"""),"")</f>
        <v/>
      </c>
      <c r="S613" s="139" t="str">
        <f>IFERROR(__xludf.DUMMYFUNCTION("""COMPUTED_VALUE"""),"")</f>
        <v/>
      </c>
      <c r="T613" s="139" t="str">
        <f>IFERROR(__xludf.DUMMYFUNCTION("""COMPUTED_VALUE"""),"")</f>
        <v/>
      </c>
      <c r="U613" s="136" t="str">
        <f>IFERROR(__xludf.DUMMYFUNCTION("""COMPUTED_VALUE"""),"")</f>
        <v/>
      </c>
      <c r="V613" s="106" t="str">
        <f>IFERROR(__xludf.DUMMYFUNCTION("""COMPUTED_VALUE"""),"")</f>
        <v/>
      </c>
      <c r="W613" s="143" t="str">
        <f t="shared" si="2"/>
        <v/>
      </c>
      <c r="X613" s="139" t="str">
        <f>IFERROR(__xludf.DUMMYFUNCTION("""COMPUTED_VALUE"""),"")</f>
        <v/>
      </c>
      <c r="Y613" s="141" t="str">
        <f>IFERROR(__xludf.DUMMYFUNCTION("""COMPUTED_VALUE"""),"")</f>
        <v/>
      </c>
    </row>
    <row r="614">
      <c r="C614" s="136" t="str">
        <f t="shared" si="3"/>
        <v/>
      </c>
      <c r="E614" s="106"/>
      <c r="G614" s="106" t="s">
        <v>133</v>
      </c>
      <c r="I614" s="139" t="s">
        <v>133</v>
      </c>
      <c r="J614" s="136" t="s">
        <v>133</v>
      </c>
      <c r="L614" s="136" t="str">
        <f t="shared" si="1"/>
        <v/>
      </c>
      <c r="N614" s="141" t="s">
        <v>133</v>
      </c>
      <c r="O614" s="136" t="str">
        <f>IFERROR(__xludf.DUMMYFUNCTION("""COMPUTED_VALUE"""),"")</f>
        <v/>
      </c>
      <c r="P614" s="136" t="str">
        <f>IFERROR(__xludf.DUMMYFUNCTION("""COMPUTED_VALUE"""),"")</f>
        <v/>
      </c>
      <c r="Q614" s="106" t="str">
        <f>IFERROR(__xludf.DUMMYFUNCTION("""COMPUTED_VALUE"""),"")</f>
        <v/>
      </c>
      <c r="R614" s="106" t="str">
        <f>IFERROR(__xludf.DUMMYFUNCTION("""COMPUTED_VALUE"""),"")</f>
        <v/>
      </c>
      <c r="S614" s="139" t="str">
        <f>IFERROR(__xludf.DUMMYFUNCTION("""COMPUTED_VALUE"""),"")</f>
        <v/>
      </c>
      <c r="T614" s="139" t="str">
        <f>IFERROR(__xludf.DUMMYFUNCTION("""COMPUTED_VALUE"""),"")</f>
        <v/>
      </c>
      <c r="U614" s="136" t="str">
        <f>IFERROR(__xludf.DUMMYFUNCTION("""COMPUTED_VALUE"""),"")</f>
        <v/>
      </c>
      <c r="V614" s="106" t="str">
        <f>IFERROR(__xludf.DUMMYFUNCTION("""COMPUTED_VALUE"""),"")</f>
        <v/>
      </c>
      <c r="W614" s="143" t="str">
        <f t="shared" si="2"/>
        <v/>
      </c>
      <c r="X614" s="139" t="str">
        <f>IFERROR(__xludf.DUMMYFUNCTION("""COMPUTED_VALUE"""),"")</f>
        <v/>
      </c>
      <c r="Y614" s="141" t="str">
        <f>IFERROR(__xludf.DUMMYFUNCTION("""COMPUTED_VALUE"""),"")</f>
        <v/>
      </c>
    </row>
    <row r="615">
      <c r="C615" s="136" t="str">
        <f t="shared" si="3"/>
        <v/>
      </c>
      <c r="E615" s="106"/>
      <c r="G615" s="106" t="s">
        <v>133</v>
      </c>
      <c r="I615" s="139" t="s">
        <v>133</v>
      </c>
      <c r="J615" s="136" t="s">
        <v>133</v>
      </c>
      <c r="L615" s="136" t="str">
        <f t="shared" si="1"/>
        <v/>
      </c>
      <c r="N615" s="141" t="s">
        <v>133</v>
      </c>
      <c r="O615" s="136" t="str">
        <f>IFERROR(__xludf.DUMMYFUNCTION("""COMPUTED_VALUE"""),"")</f>
        <v/>
      </c>
      <c r="P615" s="136" t="str">
        <f>IFERROR(__xludf.DUMMYFUNCTION("""COMPUTED_VALUE"""),"")</f>
        <v/>
      </c>
      <c r="Q615" s="106" t="str">
        <f>IFERROR(__xludf.DUMMYFUNCTION("""COMPUTED_VALUE"""),"")</f>
        <v/>
      </c>
      <c r="R615" s="106" t="str">
        <f>IFERROR(__xludf.DUMMYFUNCTION("""COMPUTED_VALUE"""),"")</f>
        <v/>
      </c>
      <c r="S615" s="139" t="str">
        <f>IFERROR(__xludf.DUMMYFUNCTION("""COMPUTED_VALUE"""),"")</f>
        <v/>
      </c>
      <c r="T615" s="139" t="str">
        <f>IFERROR(__xludf.DUMMYFUNCTION("""COMPUTED_VALUE"""),"")</f>
        <v/>
      </c>
      <c r="U615" s="136" t="str">
        <f>IFERROR(__xludf.DUMMYFUNCTION("""COMPUTED_VALUE"""),"")</f>
        <v/>
      </c>
      <c r="V615" s="106" t="str">
        <f>IFERROR(__xludf.DUMMYFUNCTION("""COMPUTED_VALUE"""),"")</f>
        <v/>
      </c>
      <c r="W615" s="143" t="str">
        <f t="shared" si="2"/>
        <v/>
      </c>
      <c r="X615" s="139" t="str">
        <f>IFERROR(__xludf.DUMMYFUNCTION("""COMPUTED_VALUE"""),"")</f>
        <v/>
      </c>
      <c r="Y615" s="141" t="str">
        <f>IFERROR(__xludf.DUMMYFUNCTION("""COMPUTED_VALUE"""),"")</f>
        <v/>
      </c>
    </row>
    <row r="616">
      <c r="C616" s="136" t="str">
        <f t="shared" si="3"/>
        <v/>
      </c>
      <c r="E616" s="106"/>
      <c r="G616" s="106" t="s">
        <v>133</v>
      </c>
      <c r="I616" s="139" t="s">
        <v>133</v>
      </c>
      <c r="J616" s="136" t="s">
        <v>133</v>
      </c>
      <c r="L616" s="136" t="str">
        <f t="shared" si="1"/>
        <v/>
      </c>
      <c r="N616" s="141" t="s">
        <v>133</v>
      </c>
      <c r="O616" s="136" t="str">
        <f>IFERROR(__xludf.DUMMYFUNCTION("""COMPUTED_VALUE"""),"")</f>
        <v/>
      </c>
      <c r="P616" s="136" t="str">
        <f>IFERROR(__xludf.DUMMYFUNCTION("""COMPUTED_VALUE"""),"")</f>
        <v/>
      </c>
      <c r="Q616" s="106" t="str">
        <f>IFERROR(__xludf.DUMMYFUNCTION("""COMPUTED_VALUE"""),"")</f>
        <v/>
      </c>
      <c r="R616" s="106" t="str">
        <f>IFERROR(__xludf.DUMMYFUNCTION("""COMPUTED_VALUE"""),"")</f>
        <v/>
      </c>
      <c r="S616" s="139" t="str">
        <f>IFERROR(__xludf.DUMMYFUNCTION("""COMPUTED_VALUE"""),"")</f>
        <v/>
      </c>
      <c r="T616" s="139" t="str">
        <f>IFERROR(__xludf.DUMMYFUNCTION("""COMPUTED_VALUE"""),"")</f>
        <v/>
      </c>
      <c r="U616" s="136" t="str">
        <f>IFERROR(__xludf.DUMMYFUNCTION("""COMPUTED_VALUE"""),"")</f>
        <v/>
      </c>
      <c r="V616" s="106" t="str">
        <f>IFERROR(__xludf.DUMMYFUNCTION("""COMPUTED_VALUE"""),"")</f>
        <v/>
      </c>
      <c r="W616" s="143" t="str">
        <f t="shared" si="2"/>
        <v/>
      </c>
      <c r="X616" s="139" t="str">
        <f>IFERROR(__xludf.DUMMYFUNCTION("""COMPUTED_VALUE"""),"")</f>
        <v/>
      </c>
      <c r="Y616" s="141" t="str">
        <f>IFERROR(__xludf.DUMMYFUNCTION("""COMPUTED_VALUE"""),"")</f>
        <v/>
      </c>
    </row>
    <row r="617">
      <c r="C617" s="136" t="str">
        <f t="shared" si="3"/>
        <v/>
      </c>
      <c r="E617" s="106"/>
      <c r="G617" s="106" t="s">
        <v>133</v>
      </c>
      <c r="I617" s="139" t="s">
        <v>133</v>
      </c>
      <c r="J617" s="136" t="s">
        <v>133</v>
      </c>
      <c r="L617" s="136" t="str">
        <f t="shared" si="1"/>
        <v/>
      </c>
      <c r="N617" s="141" t="s">
        <v>133</v>
      </c>
      <c r="O617" s="136" t="str">
        <f>IFERROR(__xludf.DUMMYFUNCTION("""COMPUTED_VALUE"""),"")</f>
        <v/>
      </c>
      <c r="P617" s="136" t="str">
        <f>IFERROR(__xludf.DUMMYFUNCTION("""COMPUTED_VALUE"""),"")</f>
        <v/>
      </c>
      <c r="Q617" s="106" t="str">
        <f>IFERROR(__xludf.DUMMYFUNCTION("""COMPUTED_VALUE"""),"")</f>
        <v/>
      </c>
      <c r="R617" s="106" t="str">
        <f>IFERROR(__xludf.DUMMYFUNCTION("""COMPUTED_VALUE"""),"")</f>
        <v/>
      </c>
      <c r="S617" s="139" t="str">
        <f>IFERROR(__xludf.DUMMYFUNCTION("""COMPUTED_VALUE"""),"")</f>
        <v/>
      </c>
      <c r="T617" s="139" t="str">
        <f>IFERROR(__xludf.DUMMYFUNCTION("""COMPUTED_VALUE"""),"")</f>
        <v/>
      </c>
      <c r="U617" s="136" t="str">
        <f>IFERROR(__xludf.DUMMYFUNCTION("""COMPUTED_VALUE"""),"")</f>
        <v/>
      </c>
      <c r="V617" s="106" t="str">
        <f>IFERROR(__xludf.DUMMYFUNCTION("""COMPUTED_VALUE"""),"")</f>
        <v/>
      </c>
      <c r="W617" s="143" t="str">
        <f t="shared" si="2"/>
        <v/>
      </c>
      <c r="X617" s="139" t="str">
        <f>IFERROR(__xludf.DUMMYFUNCTION("""COMPUTED_VALUE"""),"")</f>
        <v/>
      </c>
      <c r="Y617" s="141" t="str">
        <f>IFERROR(__xludf.DUMMYFUNCTION("""COMPUTED_VALUE"""),"")</f>
        <v/>
      </c>
    </row>
    <row r="618">
      <c r="C618" s="136" t="str">
        <f t="shared" si="3"/>
        <v/>
      </c>
      <c r="E618" s="106"/>
      <c r="G618" s="106" t="s">
        <v>133</v>
      </c>
      <c r="I618" s="139" t="s">
        <v>133</v>
      </c>
      <c r="J618" s="136" t="s">
        <v>133</v>
      </c>
      <c r="L618" s="136" t="str">
        <f t="shared" si="1"/>
        <v/>
      </c>
      <c r="N618" s="141" t="s">
        <v>133</v>
      </c>
      <c r="O618" s="136" t="str">
        <f>IFERROR(__xludf.DUMMYFUNCTION("""COMPUTED_VALUE"""),"")</f>
        <v/>
      </c>
      <c r="P618" s="136" t="str">
        <f>IFERROR(__xludf.DUMMYFUNCTION("""COMPUTED_VALUE"""),"")</f>
        <v/>
      </c>
      <c r="Q618" s="106" t="str">
        <f>IFERROR(__xludf.DUMMYFUNCTION("""COMPUTED_VALUE"""),"")</f>
        <v/>
      </c>
      <c r="R618" s="106" t="str">
        <f>IFERROR(__xludf.DUMMYFUNCTION("""COMPUTED_VALUE"""),"")</f>
        <v/>
      </c>
      <c r="S618" s="139" t="str">
        <f>IFERROR(__xludf.DUMMYFUNCTION("""COMPUTED_VALUE"""),"")</f>
        <v/>
      </c>
      <c r="T618" s="139" t="str">
        <f>IFERROR(__xludf.DUMMYFUNCTION("""COMPUTED_VALUE"""),"")</f>
        <v/>
      </c>
      <c r="U618" s="136" t="str">
        <f>IFERROR(__xludf.DUMMYFUNCTION("""COMPUTED_VALUE"""),"")</f>
        <v/>
      </c>
      <c r="V618" s="106" t="str">
        <f>IFERROR(__xludf.DUMMYFUNCTION("""COMPUTED_VALUE"""),"")</f>
        <v/>
      </c>
      <c r="W618" s="143" t="str">
        <f t="shared" si="2"/>
        <v/>
      </c>
      <c r="X618" s="139" t="str">
        <f>IFERROR(__xludf.DUMMYFUNCTION("""COMPUTED_VALUE"""),"")</f>
        <v/>
      </c>
      <c r="Y618" s="141" t="str">
        <f>IFERROR(__xludf.DUMMYFUNCTION("""COMPUTED_VALUE"""),"")</f>
        <v/>
      </c>
    </row>
    <row r="619">
      <c r="C619" s="136" t="str">
        <f t="shared" si="3"/>
        <v/>
      </c>
      <c r="E619" s="106"/>
      <c r="G619" s="106" t="s">
        <v>133</v>
      </c>
      <c r="I619" s="139" t="s">
        <v>133</v>
      </c>
      <c r="J619" s="136" t="s">
        <v>133</v>
      </c>
      <c r="L619" s="136" t="str">
        <f t="shared" si="1"/>
        <v/>
      </c>
      <c r="N619" s="141" t="s">
        <v>133</v>
      </c>
      <c r="O619" s="136" t="str">
        <f>IFERROR(__xludf.DUMMYFUNCTION("""COMPUTED_VALUE"""),"")</f>
        <v/>
      </c>
      <c r="P619" s="136" t="str">
        <f>IFERROR(__xludf.DUMMYFUNCTION("""COMPUTED_VALUE"""),"")</f>
        <v/>
      </c>
      <c r="Q619" s="106" t="str">
        <f>IFERROR(__xludf.DUMMYFUNCTION("""COMPUTED_VALUE"""),"")</f>
        <v/>
      </c>
      <c r="R619" s="106" t="str">
        <f>IFERROR(__xludf.DUMMYFUNCTION("""COMPUTED_VALUE"""),"")</f>
        <v/>
      </c>
      <c r="S619" s="139" t="str">
        <f>IFERROR(__xludf.DUMMYFUNCTION("""COMPUTED_VALUE"""),"")</f>
        <v/>
      </c>
      <c r="T619" s="139" t="str">
        <f>IFERROR(__xludf.DUMMYFUNCTION("""COMPUTED_VALUE"""),"")</f>
        <v/>
      </c>
      <c r="U619" s="136" t="str">
        <f>IFERROR(__xludf.DUMMYFUNCTION("""COMPUTED_VALUE"""),"")</f>
        <v/>
      </c>
      <c r="V619" s="106" t="str">
        <f>IFERROR(__xludf.DUMMYFUNCTION("""COMPUTED_VALUE"""),"")</f>
        <v/>
      </c>
      <c r="W619" s="143" t="str">
        <f t="shared" si="2"/>
        <v/>
      </c>
      <c r="X619" s="139" t="str">
        <f>IFERROR(__xludf.DUMMYFUNCTION("""COMPUTED_VALUE"""),"")</f>
        <v/>
      </c>
      <c r="Y619" s="141" t="str">
        <f>IFERROR(__xludf.DUMMYFUNCTION("""COMPUTED_VALUE"""),"")</f>
        <v/>
      </c>
    </row>
    <row r="620">
      <c r="C620" s="136" t="str">
        <f t="shared" si="3"/>
        <v/>
      </c>
      <c r="E620" s="106"/>
      <c r="G620" s="106" t="s">
        <v>133</v>
      </c>
      <c r="I620" s="139" t="s">
        <v>133</v>
      </c>
      <c r="J620" s="136" t="s">
        <v>133</v>
      </c>
      <c r="L620" s="136" t="str">
        <f t="shared" si="1"/>
        <v/>
      </c>
      <c r="N620" s="141" t="s">
        <v>133</v>
      </c>
      <c r="O620" s="136" t="str">
        <f>IFERROR(__xludf.DUMMYFUNCTION("""COMPUTED_VALUE"""),"")</f>
        <v/>
      </c>
      <c r="P620" s="136" t="str">
        <f>IFERROR(__xludf.DUMMYFUNCTION("""COMPUTED_VALUE"""),"")</f>
        <v/>
      </c>
      <c r="Q620" s="106" t="str">
        <f>IFERROR(__xludf.DUMMYFUNCTION("""COMPUTED_VALUE"""),"")</f>
        <v/>
      </c>
      <c r="R620" s="106" t="str">
        <f>IFERROR(__xludf.DUMMYFUNCTION("""COMPUTED_VALUE"""),"")</f>
        <v/>
      </c>
      <c r="S620" s="139" t="str">
        <f>IFERROR(__xludf.DUMMYFUNCTION("""COMPUTED_VALUE"""),"")</f>
        <v/>
      </c>
      <c r="T620" s="139" t="str">
        <f>IFERROR(__xludf.DUMMYFUNCTION("""COMPUTED_VALUE"""),"")</f>
        <v/>
      </c>
      <c r="U620" s="136" t="str">
        <f>IFERROR(__xludf.DUMMYFUNCTION("""COMPUTED_VALUE"""),"")</f>
        <v/>
      </c>
      <c r="V620" s="106" t="str">
        <f>IFERROR(__xludf.DUMMYFUNCTION("""COMPUTED_VALUE"""),"")</f>
        <v/>
      </c>
      <c r="W620" s="143" t="str">
        <f t="shared" si="2"/>
        <v/>
      </c>
      <c r="X620" s="139" t="str">
        <f>IFERROR(__xludf.DUMMYFUNCTION("""COMPUTED_VALUE"""),"")</f>
        <v/>
      </c>
      <c r="Y620" s="141" t="str">
        <f>IFERROR(__xludf.DUMMYFUNCTION("""COMPUTED_VALUE"""),"")</f>
        <v/>
      </c>
    </row>
    <row r="621">
      <c r="C621" s="136" t="str">
        <f t="shared" si="3"/>
        <v/>
      </c>
      <c r="E621" s="106"/>
      <c r="G621" s="106" t="s">
        <v>133</v>
      </c>
      <c r="I621" s="139" t="s">
        <v>133</v>
      </c>
      <c r="J621" s="136" t="s">
        <v>133</v>
      </c>
      <c r="L621" s="136" t="str">
        <f t="shared" si="1"/>
        <v/>
      </c>
      <c r="N621" s="141" t="s">
        <v>133</v>
      </c>
      <c r="O621" s="136" t="str">
        <f>IFERROR(__xludf.DUMMYFUNCTION("""COMPUTED_VALUE"""),"")</f>
        <v/>
      </c>
      <c r="P621" s="136" t="str">
        <f>IFERROR(__xludf.DUMMYFUNCTION("""COMPUTED_VALUE"""),"")</f>
        <v/>
      </c>
      <c r="Q621" s="106" t="str">
        <f>IFERROR(__xludf.DUMMYFUNCTION("""COMPUTED_VALUE"""),"")</f>
        <v/>
      </c>
      <c r="R621" s="106" t="str">
        <f>IFERROR(__xludf.DUMMYFUNCTION("""COMPUTED_VALUE"""),"")</f>
        <v/>
      </c>
      <c r="S621" s="139" t="str">
        <f>IFERROR(__xludf.DUMMYFUNCTION("""COMPUTED_VALUE"""),"")</f>
        <v/>
      </c>
      <c r="T621" s="139" t="str">
        <f>IFERROR(__xludf.DUMMYFUNCTION("""COMPUTED_VALUE"""),"")</f>
        <v/>
      </c>
      <c r="U621" s="136" t="str">
        <f>IFERROR(__xludf.DUMMYFUNCTION("""COMPUTED_VALUE"""),"")</f>
        <v/>
      </c>
      <c r="V621" s="106" t="str">
        <f>IFERROR(__xludf.DUMMYFUNCTION("""COMPUTED_VALUE"""),"")</f>
        <v/>
      </c>
      <c r="W621" s="143" t="str">
        <f t="shared" si="2"/>
        <v/>
      </c>
      <c r="X621" s="139" t="str">
        <f>IFERROR(__xludf.DUMMYFUNCTION("""COMPUTED_VALUE"""),"")</f>
        <v/>
      </c>
      <c r="Y621" s="141" t="str">
        <f>IFERROR(__xludf.DUMMYFUNCTION("""COMPUTED_VALUE"""),"")</f>
        <v/>
      </c>
    </row>
    <row r="622">
      <c r="C622" s="136" t="str">
        <f t="shared" si="3"/>
        <v/>
      </c>
      <c r="E622" s="106"/>
      <c r="G622" s="106" t="s">
        <v>133</v>
      </c>
      <c r="I622" s="139" t="s">
        <v>133</v>
      </c>
      <c r="J622" s="136" t="s">
        <v>133</v>
      </c>
      <c r="L622" s="136" t="str">
        <f t="shared" si="1"/>
        <v/>
      </c>
      <c r="N622" s="141" t="s">
        <v>133</v>
      </c>
      <c r="O622" s="136" t="str">
        <f>IFERROR(__xludf.DUMMYFUNCTION("""COMPUTED_VALUE"""),"")</f>
        <v/>
      </c>
      <c r="P622" s="136" t="str">
        <f>IFERROR(__xludf.DUMMYFUNCTION("""COMPUTED_VALUE"""),"")</f>
        <v/>
      </c>
      <c r="Q622" s="106" t="str">
        <f>IFERROR(__xludf.DUMMYFUNCTION("""COMPUTED_VALUE"""),"")</f>
        <v/>
      </c>
      <c r="R622" s="106" t="str">
        <f>IFERROR(__xludf.DUMMYFUNCTION("""COMPUTED_VALUE"""),"")</f>
        <v/>
      </c>
      <c r="S622" s="139" t="str">
        <f>IFERROR(__xludf.DUMMYFUNCTION("""COMPUTED_VALUE"""),"")</f>
        <v/>
      </c>
      <c r="T622" s="139" t="str">
        <f>IFERROR(__xludf.DUMMYFUNCTION("""COMPUTED_VALUE"""),"")</f>
        <v/>
      </c>
      <c r="U622" s="136" t="str">
        <f>IFERROR(__xludf.DUMMYFUNCTION("""COMPUTED_VALUE"""),"")</f>
        <v/>
      </c>
      <c r="V622" s="106" t="str">
        <f>IFERROR(__xludf.DUMMYFUNCTION("""COMPUTED_VALUE"""),"")</f>
        <v/>
      </c>
      <c r="W622" s="143" t="str">
        <f t="shared" si="2"/>
        <v/>
      </c>
      <c r="X622" s="139" t="str">
        <f>IFERROR(__xludf.DUMMYFUNCTION("""COMPUTED_VALUE"""),"")</f>
        <v/>
      </c>
      <c r="Y622" s="141" t="str">
        <f>IFERROR(__xludf.DUMMYFUNCTION("""COMPUTED_VALUE"""),"")</f>
        <v/>
      </c>
    </row>
    <row r="623">
      <c r="C623" s="136" t="str">
        <f t="shared" si="3"/>
        <v/>
      </c>
      <c r="E623" s="106"/>
      <c r="G623" s="106" t="s">
        <v>133</v>
      </c>
      <c r="I623" s="139" t="s">
        <v>133</v>
      </c>
      <c r="J623" s="136" t="s">
        <v>133</v>
      </c>
      <c r="L623" s="136" t="str">
        <f t="shared" si="1"/>
        <v/>
      </c>
      <c r="N623" s="141" t="s">
        <v>133</v>
      </c>
      <c r="O623" s="136" t="str">
        <f>IFERROR(__xludf.DUMMYFUNCTION("""COMPUTED_VALUE"""),"")</f>
        <v/>
      </c>
      <c r="P623" s="136" t="str">
        <f>IFERROR(__xludf.DUMMYFUNCTION("""COMPUTED_VALUE"""),"")</f>
        <v/>
      </c>
      <c r="Q623" s="106" t="str">
        <f>IFERROR(__xludf.DUMMYFUNCTION("""COMPUTED_VALUE"""),"")</f>
        <v/>
      </c>
      <c r="R623" s="106" t="str">
        <f>IFERROR(__xludf.DUMMYFUNCTION("""COMPUTED_VALUE"""),"")</f>
        <v/>
      </c>
      <c r="S623" s="139" t="str">
        <f>IFERROR(__xludf.DUMMYFUNCTION("""COMPUTED_VALUE"""),"")</f>
        <v/>
      </c>
      <c r="T623" s="139" t="str">
        <f>IFERROR(__xludf.DUMMYFUNCTION("""COMPUTED_VALUE"""),"")</f>
        <v/>
      </c>
      <c r="U623" s="136" t="str">
        <f>IFERROR(__xludf.DUMMYFUNCTION("""COMPUTED_VALUE"""),"")</f>
        <v/>
      </c>
      <c r="V623" s="106" t="str">
        <f>IFERROR(__xludf.DUMMYFUNCTION("""COMPUTED_VALUE"""),"")</f>
        <v/>
      </c>
      <c r="W623" s="143" t="str">
        <f t="shared" si="2"/>
        <v/>
      </c>
      <c r="X623" s="139" t="str">
        <f>IFERROR(__xludf.DUMMYFUNCTION("""COMPUTED_VALUE"""),"")</f>
        <v/>
      </c>
      <c r="Y623" s="141" t="str">
        <f>IFERROR(__xludf.DUMMYFUNCTION("""COMPUTED_VALUE"""),"")</f>
        <v/>
      </c>
    </row>
    <row r="624">
      <c r="C624" s="136" t="str">
        <f t="shared" si="3"/>
        <v/>
      </c>
      <c r="E624" s="106"/>
      <c r="G624" s="106" t="s">
        <v>133</v>
      </c>
      <c r="I624" s="139" t="s">
        <v>133</v>
      </c>
      <c r="J624" s="136" t="s">
        <v>133</v>
      </c>
      <c r="L624" s="136" t="str">
        <f t="shared" si="1"/>
        <v/>
      </c>
      <c r="N624" s="141" t="s">
        <v>133</v>
      </c>
      <c r="O624" s="136" t="str">
        <f>IFERROR(__xludf.DUMMYFUNCTION("""COMPUTED_VALUE"""),"")</f>
        <v/>
      </c>
      <c r="P624" s="136" t="str">
        <f>IFERROR(__xludf.DUMMYFUNCTION("""COMPUTED_VALUE"""),"")</f>
        <v/>
      </c>
      <c r="Q624" s="106" t="str">
        <f>IFERROR(__xludf.DUMMYFUNCTION("""COMPUTED_VALUE"""),"")</f>
        <v/>
      </c>
      <c r="R624" s="106" t="str">
        <f>IFERROR(__xludf.DUMMYFUNCTION("""COMPUTED_VALUE"""),"")</f>
        <v/>
      </c>
      <c r="S624" s="139" t="str">
        <f>IFERROR(__xludf.DUMMYFUNCTION("""COMPUTED_VALUE"""),"")</f>
        <v/>
      </c>
      <c r="T624" s="139" t="str">
        <f>IFERROR(__xludf.DUMMYFUNCTION("""COMPUTED_VALUE"""),"")</f>
        <v/>
      </c>
      <c r="U624" s="136" t="str">
        <f>IFERROR(__xludf.DUMMYFUNCTION("""COMPUTED_VALUE"""),"")</f>
        <v/>
      </c>
      <c r="V624" s="106" t="str">
        <f>IFERROR(__xludf.DUMMYFUNCTION("""COMPUTED_VALUE"""),"")</f>
        <v/>
      </c>
      <c r="W624" s="143" t="str">
        <f t="shared" si="2"/>
        <v/>
      </c>
      <c r="X624" s="139" t="str">
        <f>IFERROR(__xludf.DUMMYFUNCTION("""COMPUTED_VALUE"""),"")</f>
        <v/>
      </c>
      <c r="Y624" s="141" t="str">
        <f>IFERROR(__xludf.DUMMYFUNCTION("""COMPUTED_VALUE"""),"")</f>
        <v/>
      </c>
    </row>
    <row r="625">
      <c r="C625" s="136" t="str">
        <f t="shared" si="3"/>
        <v/>
      </c>
      <c r="E625" s="106"/>
      <c r="G625" s="106" t="s">
        <v>133</v>
      </c>
      <c r="I625" s="139" t="s">
        <v>133</v>
      </c>
      <c r="J625" s="136" t="s">
        <v>133</v>
      </c>
      <c r="L625" s="136" t="str">
        <f t="shared" si="1"/>
        <v/>
      </c>
      <c r="N625" s="141" t="s">
        <v>133</v>
      </c>
      <c r="O625" s="136" t="str">
        <f>IFERROR(__xludf.DUMMYFUNCTION("""COMPUTED_VALUE"""),"")</f>
        <v/>
      </c>
      <c r="P625" s="136" t="str">
        <f>IFERROR(__xludf.DUMMYFUNCTION("""COMPUTED_VALUE"""),"")</f>
        <v/>
      </c>
      <c r="Q625" s="106" t="str">
        <f>IFERROR(__xludf.DUMMYFUNCTION("""COMPUTED_VALUE"""),"")</f>
        <v/>
      </c>
      <c r="R625" s="106" t="str">
        <f>IFERROR(__xludf.DUMMYFUNCTION("""COMPUTED_VALUE"""),"")</f>
        <v/>
      </c>
      <c r="S625" s="139" t="str">
        <f>IFERROR(__xludf.DUMMYFUNCTION("""COMPUTED_VALUE"""),"")</f>
        <v/>
      </c>
      <c r="T625" s="139" t="str">
        <f>IFERROR(__xludf.DUMMYFUNCTION("""COMPUTED_VALUE"""),"")</f>
        <v/>
      </c>
      <c r="U625" s="136" t="str">
        <f>IFERROR(__xludf.DUMMYFUNCTION("""COMPUTED_VALUE"""),"")</f>
        <v/>
      </c>
      <c r="V625" s="106" t="str">
        <f>IFERROR(__xludf.DUMMYFUNCTION("""COMPUTED_VALUE"""),"")</f>
        <v/>
      </c>
      <c r="W625" s="143" t="str">
        <f t="shared" si="2"/>
        <v/>
      </c>
      <c r="X625" s="139" t="str">
        <f>IFERROR(__xludf.DUMMYFUNCTION("""COMPUTED_VALUE"""),"")</f>
        <v/>
      </c>
      <c r="Y625" s="141" t="str">
        <f>IFERROR(__xludf.DUMMYFUNCTION("""COMPUTED_VALUE"""),"")</f>
        <v/>
      </c>
    </row>
    <row r="626">
      <c r="C626" s="136" t="str">
        <f t="shared" si="3"/>
        <v/>
      </c>
      <c r="E626" s="106"/>
      <c r="G626" s="106" t="s">
        <v>133</v>
      </c>
      <c r="I626" s="139" t="s">
        <v>133</v>
      </c>
      <c r="J626" s="136" t="s">
        <v>133</v>
      </c>
      <c r="L626" s="136" t="str">
        <f t="shared" si="1"/>
        <v/>
      </c>
      <c r="N626" s="141" t="s">
        <v>133</v>
      </c>
      <c r="O626" s="136" t="str">
        <f>IFERROR(__xludf.DUMMYFUNCTION("""COMPUTED_VALUE"""),"")</f>
        <v/>
      </c>
      <c r="P626" s="136" t="str">
        <f>IFERROR(__xludf.DUMMYFUNCTION("""COMPUTED_VALUE"""),"")</f>
        <v/>
      </c>
      <c r="Q626" s="106" t="str">
        <f>IFERROR(__xludf.DUMMYFUNCTION("""COMPUTED_VALUE"""),"")</f>
        <v/>
      </c>
      <c r="R626" s="106" t="str">
        <f>IFERROR(__xludf.DUMMYFUNCTION("""COMPUTED_VALUE"""),"")</f>
        <v/>
      </c>
      <c r="S626" s="139" t="str">
        <f>IFERROR(__xludf.DUMMYFUNCTION("""COMPUTED_VALUE"""),"")</f>
        <v/>
      </c>
      <c r="T626" s="139" t="str">
        <f>IFERROR(__xludf.DUMMYFUNCTION("""COMPUTED_VALUE"""),"")</f>
        <v/>
      </c>
      <c r="U626" s="136" t="str">
        <f>IFERROR(__xludf.DUMMYFUNCTION("""COMPUTED_VALUE"""),"")</f>
        <v/>
      </c>
      <c r="V626" s="106" t="str">
        <f>IFERROR(__xludf.DUMMYFUNCTION("""COMPUTED_VALUE"""),"")</f>
        <v/>
      </c>
      <c r="W626" s="143" t="str">
        <f t="shared" si="2"/>
        <v/>
      </c>
      <c r="X626" s="139" t="str">
        <f>IFERROR(__xludf.DUMMYFUNCTION("""COMPUTED_VALUE"""),"")</f>
        <v/>
      </c>
      <c r="Y626" s="141" t="str">
        <f>IFERROR(__xludf.DUMMYFUNCTION("""COMPUTED_VALUE"""),"")</f>
        <v/>
      </c>
    </row>
    <row r="627">
      <c r="C627" s="136" t="str">
        <f t="shared" si="3"/>
        <v/>
      </c>
      <c r="E627" s="106"/>
      <c r="G627" s="106" t="s">
        <v>133</v>
      </c>
      <c r="I627" s="139" t="s">
        <v>133</v>
      </c>
      <c r="J627" s="136" t="s">
        <v>133</v>
      </c>
      <c r="L627" s="136" t="str">
        <f t="shared" si="1"/>
        <v/>
      </c>
      <c r="N627" s="141" t="s">
        <v>133</v>
      </c>
      <c r="O627" s="136" t="str">
        <f>IFERROR(__xludf.DUMMYFUNCTION("""COMPUTED_VALUE"""),"")</f>
        <v/>
      </c>
      <c r="P627" s="136" t="str">
        <f>IFERROR(__xludf.DUMMYFUNCTION("""COMPUTED_VALUE"""),"")</f>
        <v/>
      </c>
      <c r="Q627" s="106" t="str">
        <f>IFERROR(__xludf.DUMMYFUNCTION("""COMPUTED_VALUE"""),"")</f>
        <v/>
      </c>
      <c r="R627" s="106" t="str">
        <f>IFERROR(__xludf.DUMMYFUNCTION("""COMPUTED_VALUE"""),"")</f>
        <v/>
      </c>
      <c r="S627" s="139" t="str">
        <f>IFERROR(__xludf.DUMMYFUNCTION("""COMPUTED_VALUE"""),"")</f>
        <v/>
      </c>
      <c r="T627" s="139" t="str">
        <f>IFERROR(__xludf.DUMMYFUNCTION("""COMPUTED_VALUE"""),"")</f>
        <v/>
      </c>
      <c r="U627" s="136" t="str">
        <f>IFERROR(__xludf.DUMMYFUNCTION("""COMPUTED_VALUE"""),"")</f>
        <v/>
      </c>
      <c r="V627" s="106" t="str">
        <f>IFERROR(__xludf.DUMMYFUNCTION("""COMPUTED_VALUE"""),"")</f>
        <v/>
      </c>
      <c r="W627" s="143" t="str">
        <f t="shared" si="2"/>
        <v/>
      </c>
      <c r="X627" s="139" t="str">
        <f>IFERROR(__xludf.DUMMYFUNCTION("""COMPUTED_VALUE"""),"")</f>
        <v/>
      </c>
      <c r="Y627" s="141" t="str">
        <f>IFERROR(__xludf.DUMMYFUNCTION("""COMPUTED_VALUE"""),"")</f>
        <v/>
      </c>
    </row>
    <row r="628">
      <c r="C628" s="136" t="str">
        <f t="shared" si="3"/>
        <v/>
      </c>
      <c r="E628" s="106"/>
      <c r="G628" s="106" t="s">
        <v>133</v>
      </c>
      <c r="I628" s="139" t="s">
        <v>133</v>
      </c>
      <c r="J628" s="136" t="s">
        <v>133</v>
      </c>
      <c r="L628" s="136" t="str">
        <f t="shared" si="1"/>
        <v/>
      </c>
      <c r="N628" s="141" t="s">
        <v>133</v>
      </c>
      <c r="O628" s="136" t="str">
        <f>IFERROR(__xludf.DUMMYFUNCTION("""COMPUTED_VALUE"""),"")</f>
        <v/>
      </c>
      <c r="P628" s="136" t="str">
        <f>IFERROR(__xludf.DUMMYFUNCTION("""COMPUTED_VALUE"""),"")</f>
        <v/>
      </c>
      <c r="Q628" s="106" t="str">
        <f>IFERROR(__xludf.DUMMYFUNCTION("""COMPUTED_VALUE"""),"")</f>
        <v/>
      </c>
      <c r="R628" s="106" t="str">
        <f>IFERROR(__xludf.DUMMYFUNCTION("""COMPUTED_VALUE"""),"")</f>
        <v/>
      </c>
      <c r="S628" s="139" t="str">
        <f>IFERROR(__xludf.DUMMYFUNCTION("""COMPUTED_VALUE"""),"")</f>
        <v/>
      </c>
      <c r="T628" s="139" t="str">
        <f>IFERROR(__xludf.DUMMYFUNCTION("""COMPUTED_VALUE"""),"")</f>
        <v/>
      </c>
      <c r="U628" s="136" t="str">
        <f>IFERROR(__xludf.DUMMYFUNCTION("""COMPUTED_VALUE"""),"")</f>
        <v/>
      </c>
      <c r="V628" s="106" t="str">
        <f>IFERROR(__xludf.DUMMYFUNCTION("""COMPUTED_VALUE"""),"")</f>
        <v/>
      </c>
      <c r="W628" s="143" t="str">
        <f t="shared" si="2"/>
        <v/>
      </c>
      <c r="X628" s="139" t="str">
        <f>IFERROR(__xludf.DUMMYFUNCTION("""COMPUTED_VALUE"""),"")</f>
        <v/>
      </c>
      <c r="Y628" s="141" t="str">
        <f>IFERROR(__xludf.DUMMYFUNCTION("""COMPUTED_VALUE"""),"")</f>
        <v/>
      </c>
    </row>
    <row r="629">
      <c r="C629" s="136" t="str">
        <f t="shared" si="3"/>
        <v/>
      </c>
      <c r="E629" s="106"/>
      <c r="G629" s="106" t="s">
        <v>133</v>
      </c>
      <c r="I629" s="139" t="s">
        <v>133</v>
      </c>
      <c r="J629" s="136" t="s">
        <v>133</v>
      </c>
      <c r="L629" s="136" t="str">
        <f t="shared" si="1"/>
        <v/>
      </c>
      <c r="N629" s="141" t="s">
        <v>133</v>
      </c>
      <c r="O629" s="136" t="str">
        <f>IFERROR(__xludf.DUMMYFUNCTION("""COMPUTED_VALUE"""),"")</f>
        <v/>
      </c>
      <c r="P629" s="136" t="str">
        <f>IFERROR(__xludf.DUMMYFUNCTION("""COMPUTED_VALUE"""),"")</f>
        <v/>
      </c>
      <c r="Q629" s="106" t="str">
        <f>IFERROR(__xludf.DUMMYFUNCTION("""COMPUTED_VALUE"""),"")</f>
        <v/>
      </c>
      <c r="R629" s="106" t="str">
        <f>IFERROR(__xludf.DUMMYFUNCTION("""COMPUTED_VALUE"""),"")</f>
        <v/>
      </c>
      <c r="S629" s="139" t="str">
        <f>IFERROR(__xludf.DUMMYFUNCTION("""COMPUTED_VALUE"""),"")</f>
        <v/>
      </c>
      <c r="T629" s="139" t="str">
        <f>IFERROR(__xludf.DUMMYFUNCTION("""COMPUTED_VALUE"""),"")</f>
        <v/>
      </c>
      <c r="U629" s="136" t="str">
        <f>IFERROR(__xludf.DUMMYFUNCTION("""COMPUTED_VALUE"""),"")</f>
        <v/>
      </c>
      <c r="V629" s="106" t="str">
        <f>IFERROR(__xludf.DUMMYFUNCTION("""COMPUTED_VALUE"""),"")</f>
        <v/>
      </c>
      <c r="W629" s="143" t="str">
        <f t="shared" si="2"/>
        <v/>
      </c>
      <c r="X629" s="139" t="str">
        <f>IFERROR(__xludf.DUMMYFUNCTION("""COMPUTED_VALUE"""),"")</f>
        <v/>
      </c>
      <c r="Y629" s="141" t="str">
        <f>IFERROR(__xludf.DUMMYFUNCTION("""COMPUTED_VALUE"""),"")</f>
        <v/>
      </c>
    </row>
    <row r="630">
      <c r="C630" s="136" t="str">
        <f t="shared" si="3"/>
        <v/>
      </c>
      <c r="E630" s="106"/>
      <c r="G630" s="106" t="s">
        <v>133</v>
      </c>
      <c r="I630" s="139" t="s">
        <v>133</v>
      </c>
      <c r="J630" s="136" t="s">
        <v>133</v>
      </c>
      <c r="L630" s="136" t="str">
        <f t="shared" si="1"/>
        <v/>
      </c>
      <c r="N630" s="141" t="s">
        <v>133</v>
      </c>
      <c r="O630" s="136" t="str">
        <f>IFERROR(__xludf.DUMMYFUNCTION("""COMPUTED_VALUE"""),"")</f>
        <v/>
      </c>
      <c r="P630" s="136" t="str">
        <f>IFERROR(__xludf.DUMMYFUNCTION("""COMPUTED_VALUE"""),"")</f>
        <v/>
      </c>
      <c r="Q630" s="106" t="str">
        <f>IFERROR(__xludf.DUMMYFUNCTION("""COMPUTED_VALUE"""),"")</f>
        <v/>
      </c>
      <c r="R630" s="106" t="str">
        <f>IFERROR(__xludf.DUMMYFUNCTION("""COMPUTED_VALUE"""),"")</f>
        <v/>
      </c>
      <c r="S630" s="139" t="str">
        <f>IFERROR(__xludf.DUMMYFUNCTION("""COMPUTED_VALUE"""),"")</f>
        <v/>
      </c>
      <c r="T630" s="139" t="str">
        <f>IFERROR(__xludf.DUMMYFUNCTION("""COMPUTED_VALUE"""),"")</f>
        <v/>
      </c>
      <c r="U630" s="136" t="str">
        <f>IFERROR(__xludf.DUMMYFUNCTION("""COMPUTED_VALUE"""),"")</f>
        <v/>
      </c>
      <c r="V630" s="106" t="str">
        <f>IFERROR(__xludf.DUMMYFUNCTION("""COMPUTED_VALUE"""),"")</f>
        <v/>
      </c>
      <c r="W630" s="143" t="str">
        <f t="shared" si="2"/>
        <v/>
      </c>
      <c r="X630" s="139" t="str">
        <f>IFERROR(__xludf.DUMMYFUNCTION("""COMPUTED_VALUE"""),"")</f>
        <v/>
      </c>
      <c r="Y630" s="141" t="str">
        <f>IFERROR(__xludf.DUMMYFUNCTION("""COMPUTED_VALUE"""),"")</f>
        <v/>
      </c>
    </row>
    <row r="631">
      <c r="C631" s="136" t="str">
        <f t="shared" si="3"/>
        <v/>
      </c>
      <c r="E631" s="106"/>
      <c r="G631" s="106" t="s">
        <v>133</v>
      </c>
      <c r="I631" s="139" t="s">
        <v>133</v>
      </c>
      <c r="J631" s="136" t="s">
        <v>133</v>
      </c>
      <c r="L631" s="136" t="str">
        <f t="shared" si="1"/>
        <v/>
      </c>
      <c r="N631" s="141" t="s">
        <v>133</v>
      </c>
      <c r="O631" s="136" t="str">
        <f>IFERROR(__xludf.DUMMYFUNCTION("""COMPUTED_VALUE"""),"")</f>
        <v/>
      </c>
      <c r="P631" s="136" t="str">
        <f>IFERROR(__xludf.DUMMYFUNCTION("""COMPUTED_VALUE"""),"")</f>
        <v/>
      </c>
      <c r="Q631" s="106" t="str">
        <f>IFERROR(__xludf.DUMMYFUNCTION("""COMPUTED_VALUE"""),"")</f>
        <v/>
      </c>
      <c r="R631" s="106" t="str">
        <f>IFERROR(__xludf.DUMMYFUNCTION("""COMPUTED_VALUE"""),"")</f>
        <v/>
      </c>
      <c r="S631" s="139" t="str">
        <f>IFERROR(__xludf.DUMMYFUNCTION("""COMPUTED_VALUE"""),"")</f>
        <v/>
      </c>
      <c r="T631" s="139" t="str">
        <f>IFERROR(__xludf.DUMMYFUNCTION("""COMPUTED_VALUE"""),"")</f>
        <v/>
      </c>
      <c r="U631" s="136" t="str">
        <f>IFERROR(__xludf.DUMMYFUNCTION("""COMPUTED_VALUE"""),"")</f>
        <v/>
      </c>
      <c r="V631" s="106" t="str">
        <f>IFERROR(__xludf.DUMMYFUNCTION("""COMPUTED_VALUE"""),"")</f>
        <v/>
      </c>
      <c r="W631" s="143" t="str">
        <f t="shared" si="2"/>
        <v/>
      </c>
      <c r="X631" s="139" t="str">
        <f>IFERROR(__xludf.DUMMYFUNCTION("""COMPUTED_VALUE"""),"")</f>
        <v/>
      </c>
      <c r="Y631" s="141" t="str">
        <f>IFERROR(__xludf.DUMMYFUNCTION("""COMPUTED_VALUE"""),"")</f>
        <v/>
      </c>
    </row>
    <row r="632">
      <c r="C632" s="136" t="str">
        <f t="shared" si="3"/>
        <v/>
      </c>
      <c r="E632" s="106"/>
      <c r="G632" s="106" t="s">
        <v>133</v>
      </c>
      <c r="I632" s="139" t="s">
        <v>133</v>
      </c>
      <c r="J632" s="136" t="s">
        <v>133</v>
      </c>
      <c r="L632" s="136" t="str">
        <f t="shared" si="1"/>
        <v/>
      </c>
      <c r="N632" s="141" t="s">
        <v>133</v>
      </c>
      <c r="O632" s="136" t="str">
        <f>IFERROR(__xludf.DUMMYFUNCTION("""COMPUTED_VALUE"""),"")</f>
        <v/>
      </c>
      <c r="P632" s="136" t="str">
        <f>IFERROR(__xludf.DUMMYFUNCTION("""COMPUTED_VALUE"""),"")</f>
        <v/>
      </c>
      <c r="Q632" s="106" t="str">
        <f>IFERROR(__xludf.DUMMYFUNCTION("""COMPUTED_VALUE"""),"")</f>
        <v/>
      </c>
      <c r="R632" s="106" t="str">
        <f>IFERROR(__xludf.DUMMYFUNCTION("""COMPUTED_VALUE"""),"")</f>
        <v/>
      </c>
      <c r="S632" s="139" t="str">
        <f>IFERROR(__xludf.DUMMYFUNCTION("""COMPUTED_VALUE"""),"")</f>
        <v/>
      </c>
      <c r="T632" s="139" t="str">
        <f>IFERROR(__xludf.DUMMYFUNCTION("""COMPUTED_VALUE"""),"")</f>
        <v/>
      </c>
      <c r="U632" s="136" t="str">
        <f>IFERROR(__xludf.DUMMYFUNCTION("""COMPUTED_VALUE"""),"")</f>
        <v/>
      </c>
      <c r="V632" s="106" t="str">
        <f>IFERROR(__xludf.DUMMYFUNCTION("""COMPUTED_VALUE"""),"")</f>
        <v/>
      </c>
      <c r="W632" s="143" t="str">
        <f t="shared" si="2"/>
        <v/>
      </c>
      <c r="X632" s="139" t="str">
        <f>IFERROR(__xludf.DUMMYFUNCTION("""COMPUTED_VALUE"""),"")</f>
        <v/>
      </c>
      <c r="Y632" s="141" t="str">
        <f>IFERROR(__xludf.DUMMYFUNCTION("""COMPUTED_VALUE"""),"")</f>
        <v/>
      </c>
    </row>
    <row r="633">
      <c r="C633" s="136" t="str">
        <f t="shared" si="3"/>
        <v/>
      </c>
      <c r="E633" s="106"/>
      <c r="G633" s="106" t="s">
        <v>133</v>
      </c>
      <c r="I633" s="139" t="s">
        <v>133</v>
      </c>
      <c r="J633" s="136" t="s">
        <v>133</v>
      </c>
      <c r="L633" s="136" t="str">
        <f t="shared" si="1"/>
        <v/>
      </c>
      <c r="N633" s="141" t="s">
        <v>133</v>
      </c>
      <c r="O633" s="136" t="str">
        <f>IFERROR(__xludf.DUMMYFUNCTION("""COMPUTED_VALUE"""),"")</f>
        <v/>
      </c>
      <c r="P633" s="136" t="str">
        <f>IFERROR(__xludf.DUMMYFUNCTION("""COMPUTED_VALUE"""),"")</f>
        <v/>
      </c>
      <c r="Q633" s="106" t="str">
        <f>IFERROR(__xludf.DUMMYFUNCTION("""COMPUTED_VALUE"""),"")</f>
        <v/>
      </c>
      <c r="R633" s="106" t="str">
        <f>IFERROR(__xludf.DUMMYFUNCTION("""COMPUTED_VALUE"""),"")</f>
        <v/>
      </c>
      <c r="S633" s="139" t="str">
        <f>IFERROR(__xludf.DUMMYFUNCTION("""COMPUTED_VALUE"""),"")</f>
        <v/>
      </c>
      <c r="T633" s="139" t="str">
        <f>IFERROR(__xludf.DUMMYFUNCTION("""COMPUTED_VALUE"""),"")</f>
        <v/>
      </c>
      <c r="U633" s="136" t="str">
        <f>IFERROR(__xludf.DUMMYFUNCTION("""COMPUTED_VALUE"""),"")</f>
        <v/>
      </c>
      <c r="V633" s="106" t="str">
        <f>IFERROR(__xludf.DUMMYFUNCTION("""COMPUTED_VALUE"""),"")</f>
        <v/>
      </c>
      <c r="W633" s="143" t="str">
        <f t="shared" si="2"/>
        <v/>
      </c>
      <c r="X633" s="139" t="str">
        <f>IFERROR(__xludf.DUMMYFUNCTION("""COMPUTED_VALUE"""),"")</f>
        <v/>
      </c>
      <c r="Y633" s="141" t="str">
        <f>IFERROR(__xludf.DUMMYFUNCTION("""COMPUTED_VALUE"""),"")</f>
        <v/>
      </c>
    </row>
    <row r="634">
      <c r="C634" s="136" t="str">
        <f t="shared" si="3"/>
        <v/>
      </c>
      <c r="E634" s="106"/>
      <c r="G634" s="106" t="s">
        <v>133</v>
      </c>
      <c r="I634" s="139" t="s">
        <v>133</v>
      </c>
      <c r="J634" s="136" t="s">
        <v>133</v>
      </c>
      <c r="L634" s="136" t="str">
        <f t="shared" si="1"/>
        <v/>
      </c>
      <c r="N634" s="141" t="s">
        <v>133</v>
      </c>
      <c r="O634" s="136" t="str">
        <f>IFERROR(__xludf.DUMMYFUNCTION("""COMPUTED_VALUE"""),"")</f>
        <v/>
      </c>
      <c r="P634" s="136" t="str">
        <f>IFERROR(__xludf.DUMMYFUNCTION("""COMPUTED_VALUE"""),"")</f>
        <v/>
      </c>
      <c r="Q634" s="106" t="str">
        <f>IFERROR(__xludf.DUMMYFUNCTION("""COMPUTED_VALUE"""),"")</f>
        <v/>
      </c>
      <c r="R634" s="106" t="str">
        <f>IFERROR(__xludf.DUMMYFUNCTION("""COMPUTED_VALUE"""),"")</f>
        <v/>
      </c>
      <c r="S634" s="139" t="str">
        <f>IFERROR(__xludf.DUMMYFUNCTION("""COMPUTED_VALUE"""),"")</f>
        <v/>
      </c>
      <c r="T634" s="139" t="str">
        <f>IFERROR(__xludf.DUMMYFUNCTION("""COMPUTED_VALUE"""),"")</f>
        <v/>
      </c>
      <c r="U634" s="136" t="str">
        <f>IFERROR(__xludf.DUMMYFUNCTION("""COMPUTED_VALUE"""),"")</f>
        <v/>
      </c>
      <c r="V634" s="106" t="str">
        <f>IFERROR(__xludf.DUMMYFUNCTION("""COMPUTED_VALUE"""),"")</f>
        <v/>
      </c>
      <c r="W634" s="143" t="str">
        <f t="shared" si="2"/>
        <v/>
      </c>
      <c r="X634" s="139" t="str">
        <f>IFERROR(__xludf.DUMMYFUNCTION("""COMPUTED_VALUE"""),"")</f>
        <v/>
      </c>
      <c r="Y634" s="141" t="str">
        <f>IFERROR(__xludf.DUMMYFUNCTION("""COMPUTED_VALUE"""),"")</f>
        <v/>
      </c>
    </row>
    <row r="635">
      <c r="C635" s="136" t="str">
        <f t="shared" si="3"/>
        <v/>
      </c>
      <c r="E635" s="106"/>
      <c r="G635" s="106" t="s">
        <v>133</v>
      </c>
      <c r="I635" s="139" t="s">
        <v>133</v>
      </c>
      <c r="J635" s="136" t="s">
        <v>133</v>
      </c>
      <c r="L635" s="136" t="str">
        <f t="shared" si="1"/>
        <v/>
      </c>
      <c r="N635" s="141" t="s">
        <v>133</v>
      </c>
      <c r="O635" s="136" t="str">
        <f>IFERROR(__xludf.DUMMYFUNCTION("""COMPUTED_VALUE"""),"")</f>
        <v/>
      </c>
      <c r="P635" s="136" t="str">
        <f>IFERROR(__xludf.DUMMYFUNCTION("""COMPUTED_VALUE"""),"")</f>
        <v/>
      </c>
      <c r="Q635" s="106" t="str">
        <f>IFERROR(__xludf.DUMMYFUNCTION("""COMPUTED_VALUE"""),"")</f>
        <v/>
      </c>
      <c r="R635" s="106" t="str">
        <f>IFERROR(__xludf.DUMMYFUNCTION("""COMPUTED_VALUE"""),"")</f>
        <v/>
      </c>
      <c r="S635" s="139" t="str">
        <f>IFERROR(__xludf.DUMMYFUNCTION("""COMPUTED_VALUE"""),"")</f>
        <v/>
      </c>
      <c r="T635" s="139" t="str">
        <f>IFERROR(__xludf.DUMMYFUNCTION("""COMPUTED_VALUE"""),"")</f>
        <v/>
      </c>
      <c r="U635" s="136" t="str">
        <f>IFERROR(__xludf.DUMMYFUNCTION("""COMPUTED_VALUE"""),"")</f>
        <v/>
      </c>
      <c r="V635" s="106" t="str">
        <f>IFERROR(__xludf.DUMMYFUNCTION("""COMPUTED_VALUE"""),"")</f>
        <v/>
      </c>
      <c r="W635" s="143" t="str">
        <f t="shared" si="2"/>
        <v/>
      </c>
      <c r="X635" s="139" t="str">
        <f>IFERROR(__xludf.DUMMYFUNCTION("""COMPUTED_VALUE"""),"")</f>
        <v/>
      </c>
      <c r="Y635" s="141" t="str">
        <f>IFERROR(__xludf.DUMMYFUNCTION("""COMPUTED_VALUE"""),"")</f>
        <v/>
      </c>
    </row>
    <row r="636">
      <c r="C636" s="136" t="str">
        <f t="shared" si="3"/>
        <v/>
      </c>
      <c r="E636" s="106"/>
      <c r="G636" s="106" t="s">
        <v>133</v>
      </c>
      <c r="I636" s="139" t="s">
        <v>133</v>
      </c>
      <c r="J636" s="136" t="s">
        <v>133</v>
      </c>
      <c r="L636" s="136" t="str">
        <f t="shared" si="1"/>
        <v/>
      </c>
      <c r="N636" s="141" t="s">
        <v>133</v>
      </c>
      <c r="O636" s="136" t="str">
        <f>IFERROR(__xludf.DUMMYFUNCTION("""COMPUTED_VALUE"""),"")</f>
        <v/>
      </c>
      <c r="P636" s="136" t="str">
        <f>IFERROR(__xludf.DUMMYFUNCTION("""COMPUTED_VALUE"""),"")</f>
        <v/>
      </c>
      <c r="Q636" s="106" t="str">
        <f>IFERROR(__xludf.DUMMYFUNCTION("""COMPUTED_VALUE"""),"")</f>
        <v/>
      </c>
      <c r="R636" s="106" t="str">
        <f>IFERROR(__xludf.DUMMYFUNCTION("""COMPUTED_VALUE"""),"")</f>
        <v/>
      </c>
      <c r="S636" s="139" t="str">
        <f>IFERROR(__xludf.DUMMYFUNCTION("""COMPUTED_VALUE"""),"")</f>
        <v/>
      </c>
      <c r="T636" s="139" t="str">
        <f>IFERROR(__xludf.DUMMYFUNCTION("""COMPUTED_VALUE"""),"")</f>
        <v/>
      </c>
      <c r="U636" s="136" t="str">
        <f>IFERROR(__xludf.DUMMYFUNCTION("""COMPUTED_VALUE"""),"")</f>
        <v/>
      </c>
      <c r="V636" s="106" t="str">
        <f>IFERROR(__xludf.DUMMYFUNCTION("""COMPUTED_VALUE"""),"")</f>
        <v/>
      </c>
      <c r="W636" s="143" t="str">
        <f t="shared" si="2"/>
        <v/>
      </c>
      <c r="X636" s="139" t="str">
        <f>IFERROR(__xludf.DUMMYFUNCTION("""COMPUTED_VALUE"""),"")</f>
        <v/>
      </c>
      <c r="Y636" s="141" t="str">
        <f>IFERROR(__xludf.DUMMYFUNCTION("""COMPUTED_VALUE"""),"")</f>
        <v/>
      </c>
    </row>
    <row r="637">
      <c r="C637" s="136" t="str">
        <f t="shared" si="3"/>
        <v/>
      </c>
      <c r="E637" s="106"/>
      <c r="G637" s="106" t="s">
        <v>133</v>
      </c>
      <c r="I637" s="139" t="s">
        <v>133</v>
      </c>
      <c r="J637" s="136" t="s">
        <v>133</v>
      </c>
      <c r="L637" s="136" t="str">
        <f t="shared" si="1"/>
        <v/>
      </c>
      <c r="N637" s="141" t="s">
        <v>133</v>
      </c>
      <c r="O637" s="136" t="str">
        <f>IFERROR(__xludf.DUMMYFUNCTION("""COMPUTED_VALUE"""),"")</f>
        <v/>
      </c>
      <c r="P637" s="136" t="str">
        <f>IFERROR(__xludf.DUMMYFUNCTION("""COMPUTED_VALUE"""),"")</f>
        <v/>
      </c>
      <c r="Q637" s="106" t="str">
        <f>IFERROR(__xludf.DUMMYFUNCTION("""COMPUTED_VALUE"""),"")</f>
        <v/>
      </c>
      <c r="R637" s="106" t="str">
        <f>IFERROR(__xludf.DUMMYFUNCTION("""COMPUTED_VALUE"""),"")</f>
        <v/>
      </c>
      <c r="S637" s="139" t="str">
        <f>IFERROR(__xludf.DUMMYFUNCTION("""COMPUTED_VALUE"""),"")</f>
        <v/>
      </c>
      <c r="T637" s="139" t="str">
        <f>IFERROR(__xludf.DUMMYFUNCTION("""COMPUTED_VALUE"""),"")</f>
        <v/>
      </c>
      <c r="U637" s="136" t="str">
        <f>IFERROR(__xludf.DUMMYFUNCTION("""COMPUTED_VALUE"""),"")</f>
        <v/>
      </c>
      <c r="V637" s="106" t="str">
        <f>IFERROR(__xludf.DUMMYFUNCTION("""COMPUTED_VALUE"""),"")</f>
        <v/>
      </c>
      <c r="W637" s="143" t="str">
        <f t="shared" si="2"/>
        <v/>
      </c>
      <c r="X637" s="139" t="str">
        <f>IFERROR(__xludf.DUMMYFUNCTION("""COMPUTED_VALUE"""),"")</f>
        <v/>
      </c>
      <c r="Y637" s="141" t="str">
        <f>IFERROR(__xludf.DUMMYFUNCTION("""COMPUTED_VALUE"""),"")</f>
        <v/>
      </c>
    </row>
    <row r="638">
      <c r="C638" s="136" t="str">
        <f t="shared" si="3"/>
        <v/>
      </c>
      <c r="E638" s="106"/>
      <c r="G638" s="106" t="s">
        <v>133</v>
      </c>
      <c r="I638" s="139" t="s">
        <v>133</v>
      </c>
      <c r="J638" s="136" t="s">
        <v>133</v>
      </c>
      <c r="L638" s="136" t="str">
        <f t="shared" si="1"/>
        <v/>
      </c>
      <c r="N638" s="141" t="s">
        <v>133</v>
      </c>
      <c r="O638" s="136" t="str">
        <f>IFERROR(__xludf.DUMMYFUNCTION("""COMPUTED_VALUE"""),"")</f>
        <v/>
      </c>
      <c r="P638" s="136" t="str">
        <f>IFERROR(__xludf.DUMMYFUNCTION("""COMPUTED_VALUE"""),"")</f>
        <v/>
      </c>
      <c r="Q638" s="106" t="str">
        <f>IFERROR(__xludf.DUMMYFUNCTION("""COMPUTED_VALUE"""),"")</f>
        <v/>
      </c>
      <c r="R638" s="106" t="str">
        <f>IFERROR(__xludf.DUMMYFUNCTION("""COMPUTED_VALUE"""),"")</f>
        <v/>
      </c>
      <c r="S638" s="139" t="str">
        <f>IFERROR(__xludf.DUMMYFUNCTION("""COMPUTED_VALUE"""),"")</f>
        <v/>
      </c>
      <c r="T638" s="139" t="str">
        <f>IFERROR(__xludf.DUMMYFUNCTION("""COMPUTED_VALUE"""),"")</f>
        <v/>
      </c>
      <c r="U638" s="136" t="str">
        <f>IFERROR(__xludf.DUMMYFUNCTION("""COMPUTED_VALUE"""),"")</f>
        <v/>
      </c>
      <c r="V638" s="106" t="str">
        <f>IFERROR(__xludf.DUMMYFUNCTION("""COMPUTED_VALUE"""),"")</f>
        <v/>
      </c>
      <c r="W638" s="143" t="str">
        <f t="shared" si="2"/>
        <v/>
      </c>
      <c r="X638" s="139" t="str">
        <f>IFERROR(__xludf.DUMMYFUNCTION("""COMPUTED_VALUE"""),"")</f>
        <v/>
      </c>
      <c r="Y638" s="141" t="str">
        <f>IFERROR(__xludf.DUMMYFUNCTION("""COMPUTED_VALUE"""),"")</f>
        <v/>
      </c>
    </row>
    <row r="639">
      <c r="C639" s="136" t="str">
        <f t="shared" si="3"/>
        <v/>
      </c>
      <c r="E639" s="106"/>
      <c r="G639" s="106" t="s">
        <v>133</v>
      </c>
      <c r="I639" s="139" t="s">
        <v>133</v>
      </c>
      <c r="J639" s="136" t="s">
        <v>133</v>
      </c>
      <c r="L639" s="136" t="str">
        <f t="shared" si="1"/>
        <v/>
      </c>
      <c r="N639" s="141" t="s">
        <v>133</v>
      </c>
      <c r="O639" s="136" t="str">
        <f>IFERROR(__xludf.DUMMYFUNCTION("""COMPUTED_VALUE"""),"")</f>
        <v/>
      </c>
      <c r="P639" s="136" t="str">
        <f>IFERROR(__xludf.DUMMYFUNCTION("""COMPUTED_VALUE"""),"")</f>
        <v/>
      </c>
      <c r="Q639" s="106" t="str">
        <f>IFERROR(__xludf.DUMMYFUNCTION("""COMPUTED_VALUE"""),"")</f>
        <v/>
      </c>
      <c r="R639" s="106" t="str">
        <f>IFERROR(__xludf.DUMMYFUNCTION("""COMPUTED_VALUE"""),"")</f>
        <v/>
      </c>
      <c r="S639" s="139" t="str">
        <f>IFERROR(__xludf.DUMMYFUNCTION("""COMPUTED_VALUE"""),"")</f>
        <v/>
      </c>
      <c r="T639" s="139" t="str">
        <f>IFERROR(__xludf.DUMMYFUNCTION("""COMPUTED_VALUE"""),"")</f>
        <v/>
      </c>
      <c r="U639" s="136" t="str">
        <f>IFERROR(__xludf.DUMMYFUNCTION("""COMPUTED_VALUE"""),"")</f>
        <v/>
      </c>
      <c r="V639" s="106" t="str">
        <f>IFERROR(__xludf.DUMMYFUNCTION("""COMPUTED_VALUE"""),"")</f>
        <v/>
      </c>
      <c r="W639" s="143" t="str">
        <f t="shared" si="2"/>
        <v/>
      </c>
      <c r="X639" s="139" t="str">
        <f>IFERROR(__xludf.DUMMYFUNCTION("""COMPUTED_VALUE"""),"")</f>
        <v/>
      </c>
      <c r="Y639" s="141" t="str">
        <f>IFERROR(__xludf.DUMMYFUNCTION("""COMPUTED_VALUE"""),"")</f>
        <v/>
      </c>
    </row>
    <row r="640">
      <c r="C640" s="136" t="str">
        <f t="shared" si="3"/>
        <v/>
      </c>
      <c r="E640" s="106"/>
      <c r="G640" s="106" t="s">
        <v>133</v>
      </c>
      <c r="I640" s="139" t="s">
        <v>133</v>
      </c>
      <c r="J640" s="136" t="s">
        <v>133</v>
      </c>
      <c r="L640" s="136" t="str">
        <f t="shared" si="1"/>
        <v/>
      </c>
      <c r="N640" s="141" t="s">
        <v>133</v>
      </c>
      <c r="O640" s="136" t="str">
        <f>IFERROR(__xludf.DUMMYFUNCTION("""COMPUTED_VALUE"""),"")</f>
        <v/>
      </c>
      <c r="P640" s="136" t="str">
        <f>IFERROR(__xludf.DUMMYFUNCTION("""COMPUTED_VALUE"""),"")</f>
        <v/>
      </c>
      <c r="Q640" s="106" t="str">
        <f>IFERROR(__xludf.DUMMYFUNCTION("""COMPUTED_VALUE"""),"")</f>
        <v/>
      </c>
      <c r="R640" s="106" t="str">
        <f>IFERROR(__xludf.DUMMYFUNCTION("""COMPUTED_VALUE"""),"")</f>
        <v/>
      </c>
      <c r="S640" s="139" t="str">
        <f>IFERROR(__xludf.DUMMYFUNCTION("""COMPUTED_VALUE"""),"")</f>
        <v/>
      </c>
      <c r="T640" s="139" t="str">
        <f>IFERROR(__xludf.DUMMYFUNCTION("""COMPUTED_VALUE"""),"")</f>
        <v/>
      </c>
      <c r="U640" s="136" t="str">
        <f>IFERROR(__xludf.DUMMYFUNCTION("""COMPUTED_VALUE"""),"")</f>
        <v/>
      </c>
      <c r="V640" s="106" t="str">
        <f>IFERROR(__xludf.DUMMYFUNCTION("""COMPUTED_VALUE"""),"")</f>
        <v/>
      </c>
      <c r="W640" s="143" t="str">
        <f t="shared" si="2"/>
        <v/>
      </c>
      <c r="X640" s="139" t="str">
        <f>IFERROR(__xludf.DUMMYFUNCTION("""COMPUTED_VALUE"""),"")</f>
        <v/>
      </c>
      <c r="Y640" s="141" t="str">
        <f>IFERROR(__xludf.DUMMYFUNCTION("""COMPUTED_VALUE"""),"")</f>
        <v/>
      </c>
    </row>
    <row r="641">
      <c r="C641" s="136" t="str">
        <f t="shared" si="3"/>
        <v/>
      </c>
      <c r="E641" s="106"/>
      <c r="G641" s="106" t="s">
        <v>133</v>
      </c>
      <c r="I641" s="139" t="s">
        <v>133</v>
      </c>
      <c r="J641" s="136" t="s">
        <v>133</v>
      </c>
      <c r="L641" s="136" t="str">
        <f t="shared" si="1"/>
        <v/>
      </c>
      <c r="N641" s="141" t="s">
        <v>133</v>
      </c>
      <c r="O641" s="136" t="str">
        <f>IFERROR(__xludf.DUMMYFUNCTION("""COMPUTED_VALUE"""),"")</f>
        <v/>
      </c>
      <c r="P641" s="136" t="str">
        <f>IFERROR(__xludf.DUMMYFUNCTION("""COMPUTED_VALUE"""),"")</f>
        <v/>
      </c>
      <c r="Q641" s="106" t="str">
        <f>IFERROR(__xludf.DUMMYFUNCTION("""COMPUTED_VALUE"""),"")</f>
        <v/>
      </c>
      <c r="R641" s="106" t="str">
        <f>IFERROR(__xludf.DUMMYFUNCTION("""COMPUTED_VALUE"""),"")</f>
        <v/>
      </c>
      <c r="S641" s="139" t="str">
        <f>IFERROR(__xludf.DUMMYFUNCTION("""COMPUTED_VALUE"""),"")</f>
        <v/>
      </c>
      <c r="T641" s="139" t="str">
        <f>IFERROR(__xludf.DUMMYFUNCTION("""COMPUTED_VALUE"""),"")</f>
        <v/>
      </c>
      <c r="U641" s="136" t="str">
        <f>IFERROR(__xludf.DUMMYFUNCTION("""COMPUTED_VALUE"""),"")</f>
        <v/>
      </c>
      <c r="V641" s="106" t="str">
        <f>IFERROR(__xludf.DUMMYFUNCTION("""COMPUTED_VALUE"""),"")</f>
        <v/>
      </c>
      <c r="W641" s="143" t="str">
        <f t="shared" si="2"/>
        <v/>
      </c>
      <c r="X641" s="139" t="str">
        <f>IFERROR(__xludf.DUMMYFUNCTION("""COMPUTED_VALUE"""),"")</f>
        <v/>
      </c>
      <c r="Y641" s="141" t="str">
        <f>IFERROR(__xludf.DUMMYFUNCTION("""COMPUTED_VALUE"""),"")</f>
        <v/>
      </c>
    </row>
    <row r="642">
      <c r="C642" s="136" t="str">
        <f t="shared" si="3"/>
        <v/>
      </c>
      <c r="E642" s="106"/>
      <c r="G642" s="106" t="s">
        <v>133</v>
      </c>
      <c r="I642" s="139" t="s">
        <v>133</v>
      </c>
      <c r="J642" s="136" t="s">
        <v>133</v>
      </c>
      <c r="L642" s="136" t="str">
        <f t="shared" si="1"/>
        <v/>
      </c>
      <c r="N642" s="141" t="s">
        <v>133</v>
      </c>
      <c r="O642" s="136" t="str">
        <f>IFERROR(__xludf.DUMMYFUNCTION("""COMPUTED_VALUE"""),"")</f>
        <v/>
      </c>
      <c r="P642" s="136" t="str">
        <f>IFERROR(__xludf.DUMMYFUNCTION("""COMPUTED_VALUE"""),"")</f>
        <v/>
      </c>
      <c r="Q642" s="106" t="str">
        <f>IFERROR(__xludf.DUMMYFUNCTION("""COMPUTED_VALUE"""),"")</f>
        <v/>
      </c>
      <c r="R642" s="106" t="str">
        <f>IFERROR(__xludf.DUMMYFUNCTION("""COMPUTED_VALUE"""),"")</f>
        <v/>
      </c>
      <c r="S642" s="139" t="str">
        <f>IFERROR(__xludf.DUMMYFUNCTION("""COMPUTED_VALUE"""),"")</f>
        <v/>
      </c>
      <c r="T642" s="139" t="str">
        <f>IFERROR(__xludf.DUMMYFUNCTION("""COMPUTED_VALUE"""),"")</f>
        <v/>
      </c>
      <c r="U642" s="136" t="str">
        <f>IFERROR(__xludf.DUMMYFUNCTION("""COMPUTED_VALUE"""),"")</f>
        <v/>
      </c>
      <c r="V642" s="106" t="str">
        <f>IFERROR(__xludf.DUMMYFUNCTION("""COMPUTED_VALUE"""),"")</f>
        <v/>
      </c>
      <c r="W642" s="143" t="str">
        <f t="shared" si="2"/>
        <v/>
      </c>
      <c r="X642" s="139" t="str">
        <f>IFERROR(__xludf.DUMMYFUNCTION("""COMPUTED_VALUE"""),"")</f>
        <v/>
      </c>
      <c r="Y642" s="141" t="str">
        <f>IFERROR(__xludf.DUMMYFUNCTION("""COMPUTED_VALUE"""),"")</f>
        <v/>
      </c>
    </row>
    <row r="643">
      <c r="C643" s="136" t="str">
        <f t="shared" si="3"/>
        <v/>
      </c>
      <c r="E643" s="106"/>
      <c r="G643" s="106" t="s">
        <v>133</v>
      </c>
      <c r="I643" s="139" t="s">
        <v>133</v>
      </c>
      <c r="J643" s="136" t="s">
        <v>133</v>
      </c>
      <c r="L643" s="136" t="str">
        <f t="shared" si="1"/>
        <v/>
      </c>
      <c r="N643" s="141" t="s">
        <v>133</v>
      </c>
      <c r="O643" s="136" t="str">
        <f>IFERROR(__xludf.DUMMYFUNCTION("""COMPUTED_VALUE"""),"")</f>
        <v/>
      </c>
      <c r="P643" s="136" t="str">
        <f>IFERROR(__xludf.DUMMYFUNCTION("""COMPUTED_VALUE"""),"")</f>
        <v/>
      </c>
      <c r="Q643" s="106" t="str">
        <f>IFERROR(__xludf.DUMMYFUNCTION("""COMPUTED_VALUE"""),"")</f>
        <v/>
      </c>
      <c r="R643" s="106" t="str">
        <f>IFERROR(__xludf.DUMMYFUNCTION("""COMPUTED_VALUE"""),"")</f>
        <v/>
      </c>
      <c r="S643" s="139" t="str">
        <f>IFERROR(__xludf.DUMMYFUNCTION("""COMPUTED_VALUE"""),"")</f>
        <v/>
      </c>
      <c r="T643" s="139" t="str">
        <f>IFERROR(__xludf.DUMMYFUNCTION("""COMPUTED_VALUE"""),"")</f>
        <v/>
      </c>
      <c r="U643" s="136" t="str">
        <f>IFERROR(__xludf.DUMMYFUNCTION("""COMPUTED_VALUE"""),"")</f>
        <v/>
      </c>
      <c r="V643" s="106" t="str">
        <f>IFERROR(__xludf.DUMMYFUNCTION("""COMPUTED_VALUE"""),"")</f>
        <v/>
      </c>
      <c r="W643" s="143" t="str">
        <f t="shared" si="2"/>
        <v/>
      </c>
      <c r="X643" s="139" t="str">
        <f>IFERROR(__xludf.DUMMYFUNCTION("""COMPUTED_VALUE"""),"")</f>
        <v/>
      </c>
      <c r="Y643" s="141" t="str">
        <f>IFERROR(__xludf.DUMMYFUNCTION("""COMPUTED_VALUE"""),"")</f>
        <v/>
      </c>
    </row>
    <row r="644">
      <c r="C644" s="136" t="str">
        <f t="shared" si="3"/>
        <v/>
      </c>
      <c r="E644" s="106"/>
      <c r="G644" s="106" t="s">
        <v>133</v>
      </c>
      <c r="I644" s="139" t="s">
        <v>133</v>
      </c>
      <c r="J644" s="136" t="s">
        <v>133</v>
      </c>
      <c r="L644" s="136" t="str">
        <f t="shared" si="1"/>
        <v/>
      </c>
      <c r="N644" s="141" t="s">
        <v>133</v>
      </c>
      <c r="O644" s="136" t="str">
        <f>IFERROR(__xludf.DUMMYFUNCTION("""COMPUTED_VALUE"""),"")</f>
        <v/>
      </c>
      <c r="P644" s="136" t="str">
        <f>IFERROR(__xludf.DUMMYFUNCTION("""COMPUTED_VALUE"""),"")</f>
        <v/>
      </c>
      <c r="Q644" s="106" t="str">
        <f>IFERROR(__xludf.DUMMYFUNCTION("""COMPUTED_VALUE"""),"")</f>
        <v/>
      </c>
      <c r="R644" s="106" t="str">
        <f>IFERROR(__xludf.DUMMYFUNCTION("""COMPUTED_VALUE"""),"")</f>
        <v/>
      </c>
      <c r="S644" s="139" t="str">
        <f>IFERROR(__xludf.DUMMYFUNCTION("""COMPUTED_VALUE"""),"")</f>
        <v/>
      </c>
      <c r="T644" s="139" t="str">
        <f>IFERROR(__xludf.DUMMYFUNCTION("""COMPUTED_VALUE"""),"")</f>
        <v/>
      </c>
      <c r="U644" s="136" t="str">
        <f>IFERROR(__xludf.DUMMYFUNCTION("""COMPUTED_VALUE"""),"")</f>
        <v/>
      </c>
      <c r="V644" s="106" t="str">
        <f>IFERROR(__xludf.DUMMYFUNCTION("""COMPUTED_VALUE"""),"")</f>
        <v/>
      </c>
      <c r="W644" s="143" t="str">
        <f t="shared" si="2"/>
        <v/>
      </c>
      <c r="X644" s="139" t="str">
        <f>IFERROR(__xludf.DUMMYFUNCTION("""COMPUTED_VALUE"""),"")</f>
        <v/>
      </c>
      <c r="Y644" s="141" t="str">
        <f>IFERROR(__xludf.DUMMYFUNCTION("""COMPUTED_VALUE"""),"")</f>
        <v/>
      </c>
    </row>
    <row r="645">
      <c r="C645" s="136" t="str">
        <f t="shared" si="3"/>
        <v/>
      </c>
      <c r="E645" s="106"/>
      <c r="G645" s="106" t="s">
        <v>133</v>
      </c>
      <c r="I645" s="139" t="s">
        <v>133</v>
      </c>
      <c r="J645" s="136" t="s">
        <v>133</v>
      </c>
      <c r="L645" s="136" t="str">
        <f t="shared" si="1"/>
        <v/>
      </c>
      <c r="N645" s="141" t="s">
        <v>133</v>
      </c>
      <c r="O645" s="136" t="str">
        <f>IFERROR(__xludf.DUMMYFUNCTION("""COMPUTED_VALUE"""),"")</f>
        <v/>
      </c>
      <c r="P645" s="136" t="str">
        <f>IFERROR(__xludf.DUMMYFUNCTION("""COMPUTED_VALUE"""),"")</f>
        <v/>
      </c>
      <c r="Q645" s="106" t="str">
        <f>IFERROR(__xludf.DUMMYFUNCTION("""COMPUTED_VALUE"""),"")</f>
        <v/>
      </c>
      <c r="R645" s="106" t="str">
        <f>IFERROR(__xludf.DUMMYFUNCTION("""COMPUTED_VALUE"""),"")</f>
        <v/>
      </c>
      <c r="S645" s="139" t="str">
        <f>IFERROR(__xludf.DUMMYFUNCTION("""COMPUTED_VALUE"""),"")</f>
        <v/>
      </c>
      <c r="T645" s="139" t="str">
        <f>IFERROR(__xludf.DUMMYFUNCTION("""COMPUTED_VALUE"""),"")</f>
        <v/>
      </c>
      <c r="U645" s="136" t="str">
        <f>IFERROR(__xludf.DUMMYFUNCTION("""COMPUTED_VALUE"""),"")</f>
        <v/>
      </c>
      <c r="V645" s="106" t="str">
        <f>IFERROR(__xludf.DUMMYFUNCTION("""COMPUTED_VALUE"""),"")</f>
        <v/>
      </c>
      <c r="W645" s="143" t="str">
        <f t="shared" si="2"/>
        <v/>
      </c>
      <c r="X645" s="139" t="str">
        <f>IFERROR(__xludf.DUMMYFUNCTION("""COMPUTED_VALUE"""),"")</f>
        <v/>
      </c>
      <c r="Y645" s="141" t="str">
        <f>IFERROR(__xludf.DUMMYFUNCTION("""COMPUTED_VALUE"""),"")</f>
        <v/>
      </c>
    </row>
    <row r="646">
      <c r="C646" s="136" t="str">
        <f t="shared" si="3"/>
        <v/>
      </c>
      <c r="E646" s="106"/>
      <c r="G646" s="106" t="s">
        <v>133</v>
      </c>
      <c r="I646" s="139" t="s">
        <v>133</v>
      </c>
      <c r="J646" s="136" t="s">
        <v>133</v>
      </c>
      <c r="L646" s="136" t="str">
        <f t="shared" si="1"/>
        <v/>
      </c>
      <c r="N646" s="141" t="s">
        <v>133</v>
      </c>
      <c r="O646" s="136" t="str">
        <f>IFERROR(__xludf.DUMMYFUNCTION("""COMPUTED_VALUE"""),"")</f>
        <v/>
      </c>
      <c r="P646" s="136" t="str">
        <f>IFERROR(__xludf.DUMMYFUNCTION("""COMPUTED_VALUE"""),"")</f>
        <v/>
      </c>
      <c r="Q646" s="106" t="str">
        <f>IFERROR(__xludf.DUMMYFUNCTION("""COMPUTED_VALUE"""),"")</f>
        <v/>
      </c>
      <c r="R646" s="106" t="str">
        <f>IFERROR(__xludf.DUMMYFUNCTION("""COMPUTED_VALUE"""),"")</f>
        <v/>
      </c>
      <c r="S646" s="139" t="str">
        <f>IFERROR(__xludf.DUMMYFUNCTION("""COMPUTED_VALUE"""),"")</f>
        <v/>
      </c>
      <c r="T646" s="139" t="str">
        <f>IFERROR(__xludf.DUMMYFUNCTION("""COMPUTED_VALUE"""),"")</f>
        <v/>
      </c>
      <c r="U646" s="136" t="str">
        <f>IFERROR(__xludf.DUMMYFUNCTION("""COMPUTED_VALUE"""),"")</f>
        <v/>
      </c>
      <c r="V646" s="106" t="str">
        <f>IFERROR(__xludf.DUMMYFUNCTION("""COMPUTED_VALUE"""),"")</f>
        <v/>
      </c>
      <c r="W646" s="143" t="str">
        <f t="shared" si="2"/>
        <v/>
      </c>
      <c r="X646" s="139" t="str">
        <f>IFERROR(__xludf.DUMMYFUNCTION("""COMPUTED_VALUE"""),"")</f>
        <v/>
      </c>
      <c r="Y646" s="141" t="str">
        <f>IFERROR(__xludf.DUMMYFUNCTION("""COMPUTED_VALUE"""),"")</f>
        <v/>
      </c>
    </row>
    <row r="647">
      <c r="C647" s="136" t="str">
        <f t="shared" si="3"/>
        <v/>
      </c>
      <c r="E647" s="106"/>
      <c r="G647" s="106" t="s">
        <v>133</v>
      </c>
      <c r="I647" s="139" t="s">
        <v>133</v>
      </c>
      <c r="J647" s="136" t="s">
        <v>133</v>
      </c>
      <c r="L647" s="136" t="str">
        <f t="shared" si="1"/>
        <v/>
      </c>
      <c r="N647" s="141" t="s">
        <v>133</v>
      </c>
      <c r="O647" s="136" t="str">
        <f>IFERROR(__xludf.DUMMYFUNCTION("""COMPUTED_VALUE"""),"")</f>
        <v/>
      </c>
      <c r="P647" s="136" t="str">
        <f>IFERROR(__xludf.DUMMYFUNCTION("""COMPUTED_VALUE"""),"")</f>
        <v/>
      </c>
      <c r="Q647" s="106" t="str">
        <f>IFERROR(__xludf.DUMMYFUNCTION("""COMPUTED_VALUE"""),"")</f>
        <v/>
      </c>
      <c r="R647" s="106" t="str">
        <f>IFERROR(__xludf.DUMMYFUNCTION("""COMPUTED_VALUE"""),"")</f>
        <v/>
      </c>
      <c r="S647" s="139" t="str">
        <f>IFERROR(__xludf.DUMMYFUNCTION("""COMPUTED_VALUE"""),"")</f>
        <v/>
      </c>
      <c r="T647" s="139" t="str">
        <f>IFERROR(__xludf.DUMMYFUNCTION("""COMPUTED_VALUE"""),"")</f>
        <v/>
      </c>
      <c r="U647" s="136" t="str">
        <f>IFERROR(__xludf.DUMMYFUNCTION("""COMPUTED_VALUE"""),"")</f>
        <v/>
      </c>
      <c r="V647" s="106" t="str">
        <f>IFERROR(__xludf.DUMMYFUNCTION("""COMPUTED_VALUE"""),"")</f>
        <v/>
      </c>
      <c r="W647" s="143" t="str">
        <f t="shared" si="2"/>
        <v/>
      </c>
      <c r="X647" s="139" t="str">
        <f>IFERROR(__xludf.DUMMYFUNCTION("""COMPUTED_VALUE"""),"")</f>
        <v/>
      </c>
      <c r="Y647" s="141" t="str">
        <f>IFERROR(__xludf.DUMMYFUNCTION("""COMPUTED_VALUE"""),"")</f>
        <v/>
      </c>
    </row>
    <row r="648">
      <c r="C648" s="136" t="str">
        <f t="shared" si="3"/>
        <v/>
      </c>
      <c r="E648" s="106"/>
      <c r="G648" s="106" t="s">
        <v>133</v>
      </c>
      <c r="I648" s="139" t="s">
        <v>133</v>
      </c>
      <c r="J648" s="136" t="s">
        <v>133</v>
      </c>
      <c r="L648" s="136" t="str">
        <f t="shared" si="1"/>
        <v/>
      </c>
      <c r="N648" s="141" t="s">
        <v>133</v>
      </c>
      <c r="O648" s="136" t="str">
        <f>IFERROR(__xludf.DUMMYFUNCTION("""COMPUTED_VALUE"""),"")</f>
        <v/>
      </c>
      <c r="P648" s="136" t="str">
        <f>IFERROR(__xludf.DUMMYFUNCTION("""COMPUTED_VALUE"""),"")</f>
        <v/>
      </c>
      <c r="Q648" s="106" t="str">
        <f>IFERROR(__xludf.DUMMYFUNCTION("""COMPUTED_VALUE"""),"")</f>
        <v/>
      </c>
      <c r="R648" s="106" t="str">
        <f>IFERROR(__xludf.DUMMYFUNCTION("""COMPUTED_VALUE"""),"")</f>
        <v/>
      </c>
      <c r="S648" s="139" t="str">
        <f>IFERROR(__xludf.DUMMYFUNCTION("""COMPUTED_VALUE"""),"")</f>
        <v/>
      </c>
      <c r="T648" s="139" t="str">
        <f>IFERROR(__xludf.DUMMYFUNCTION("""COMPUTED_VALUE"""),"")</f>
        <v/>
      </c>
      <c r="U648" s="136" t="str">
        <f>IFERROR(__xludf.DUMMYFUNCTION("""COMPUTED_VALUE"""),"")</f>
        <v/>
      </c>
      <c r="V648" s="106" t="str">
        <f>IFERROR(__xludf.DUMMYFUNCTION("""COMPUTED_VALUE"""),"")</f>
        <v/>
      </c>
      <c r="W648" s="143" t="str">
        <f t="shared" si="2"/>
        <v/>
      </c>
      <c r="X648" s="139" t="str">
        <f>IFERROR(__xludf.DUMMYFUNCTION("""COMPUTED_VALUE"""),"")</f>
        <v/>
      </c>
      <c r="Y648" s="141" t="str">
        <f>IFERROR(__xludf.DUMMYFUNCTION("""COMPUTED_VALUE"""),"")</f>
        <v/>
      </c>
    </row>
    <row r="649">
      <c r="C649" s="136" t="str">
        <f t="shared" si="3"/>
        <v/>
      </c>
      <c r="E649" s="106"/>
      <c r="G649" s="106" t="s">
        <v>133</v>
      </c>
      <c r="I649" s="139" t="s">
        <v>133</v>
      </c>
      <c r="J649" s="136" t="s">
        <v>133</v>
      </c>
      <c r="L649" s="136" t="str">
        <f t="shared" si="1"/>
        <v/>
      </c>
      <c r="N649" s="141" t="s">
        <v>133</v>
      </c>
      <c r="O649" s="136" t="str">
        <f>IFERROR(__xludf.DUMMYFUNCTION("""COMPUTED_VALUE"""),"")</f>
        <v/>
      </c>
      <c r="P649" s="136" t="str">
        <f>IFERROR(__xludf.DUMMYFUNCTION("""COMPUTED_VALUE"""),"")</f>
        <v/>
      </c>
      <c r="Q649" s="106" t="str">
        <f>IFERROR(__xludf.DUMMYFUNCTION("""COMPUTED_VALUE"""),"")</f>
        <v/>
      </c>
      <c r="R649" s="106" t="str">
        <f>IFERROR(__xludf.DUMMYFUNCTION("""COMPUTED_VALUE"""),"")</f>
        <v/>
      </c>
      <c r="S649" s="139" t="str">
        <f>IFERROR(__xludf.DUMMYFUNCTION("""COMPUTED_VALUE"""),"")</f>
        <v/>
      </c>
      <c r="T649" s="139" t="str">
        <f>IFERROR(__xludf.DUMMYFUNCTION("""COMPUTED_VALUE"""),"")</f>
        <v/>
      </c>
      <c r="U649" s="136" t="str">
        <f>IFERROR(__xludf.DUMMYFUNCTION("""COMPUTED_VALUE"""),"")</f>
        <v/>
      </c>
      <c r="V649" s="106" t="str">
        <f>IFERROR(__xludf.DUMMYFUNCTION("""COMPUTED_VALUE"""),"")</f>
        <v/>
      </c>
      <c r="W649" s="143" t="str">
        <f t="shared" si="2"/>
        <v/>
      </c>
      <c r="X649" s="139" t="str">
        <f>IFERROR(__xludf.DUMMYFUNCTION("""COMPUTED_VALUE"""),"")</f>
        <v/>
      </c>
      <c r="Y649" s="141" t="str">
        <f>IFERROR(__xludf.DUMMYFUNCTION("""COMPUTED_VALUE"""),"")</f>
        <v/>
      </c>
    </row>
    <row r="650">
      <c r="C650" s="136" t="str">
        <f t="shared" si="3"/>
        <v/>
      </c>
      <c r="E650" s="106"/>
      <c r="G650" s="106" t="s">
        <v>133</v>
      </c>
      <c r="I650" s="139" t="s">
        <v>133</v>
      </c>
      <c r="J650" s="136" t="s">
        <v>133</v>
      </c>
      <c r="L650" s="136" t="str">
        <f t="shared" si="1"/>
        <v/>
      </c>
      <c r="N650" s="141" t="s">
        <v>133</v>
      </c>
      <c r="O650" s="136" t="str">
        <f>IFERROR(__xludf.DUMMYFUNCTION("""COMPUTED_VALUE"""),"")</f>
        <v/>
      </c>
      <c r="P650" s="136" t="str">
        <f>IFERROR(__xludf.DUMMYFUNCTION("""COMPUTED_VALUE"""),"")</f>
        <v/>
      </c>
      <c r="Q650" s="106" t="str">
        <f>IFERROR(__xludf.DUMMYFUNCTION("""COMPUTED_VALUE"""),"")</f>
        <v/>
      </c>
      <c r="R650" s="106" t="str">
        <f>IFERROR(__xludf.DUMMYFUNCTION("""COMPUTED_VALUE"""),"")</f>
        <v/>
      </c>
      <c r="S650" s="139" t="str">
        <f>IFERROR(__xludf.DUMMYFUNCTION("""COMPUTED_VALUE"""),"")</f>
        <v/>
      </c>
      <c r="T650" s="139" t="str">
        <f>IFERROR(__xludf.DUMMYFUNCTION("""COMPUTED_VALUE"""),"")</f>
        <v/>
      </c>
      <c r="U650" s="136" t="str">
        <f>IFERROR(__xludf.DUMMYFUNCTION("""COMPUTED_VALUE"""),"")</f>
        <v/>
      </c>
      <c r="V650" s="106" t="str">
        <f>IFERROR(__xludf.DUMMYFUNCTION("""COMPUTED_VALUE"""),"")</f>
        <v/>
      </c>
      <c r="W650" s="143" t="str">
        <f t="shared" si="2"/>
        <v/>
      </c>
      <c r="X650" s="139" t="str">
        <f>IFERROR(__xludf.DUMMYFUNCTION("""COMPUTED_VALUE"""),"")</f>
        <v/>
      </c>
      <c r="Y650" s="141" t="str">
        <f>IFERROR(__xludf.DUMMYFUNCTION("""COMPUTED_VALUE"""),"")</f>
        <v/>
      </c>
    </row>
    <row r="651">
      <c r="C651" s="136" t="str">
        <f t="shared" si="3"/>
        <v/>
      </c>
      <c r="E651" s="106"/>
      <c r="G651" s="106" t="s">
        <v>133</v>
      </c>
      <c r="I651" s="139" t="s">
        <v>133</v>
      </c>
      <c r="J651" s="136" t="s">
        <v>133</v>
      </c>
      <c r="L651" s="136" t="str">
        <f t="shared" si="1"/>
        <v/>
      </c>
      <c r="N651" s="141" t="s">
        <v>133</v>
      </c>
      <c r="O651" s="136" t="str">
        <f>IFERROR(__xludf.DUMMYFUNCTION("""COMPUTED_VALUE"""),"")</f>
        <v/>
      </c>
      <c r="P651" s="136" t="str">
        <f>IFERROR(__xludf.DUMMYFUNCTION("""COMPUTED_VALUE"""),"")</f>
        <v/>
      </c>
      <c r="Q651" s="106" t="str">
        <f>IFERROR(__xludf.DUMMYFUNCTION("""COMPUTED_VALUE"""),"")</f>
        <v/>
      </c>
      <c r="R651" s="106" t="str">
        <f>IFERROR(__xludf.DUMMYFUNCTION("""COMPUTED_VALUE"""),"")</f>
        <v/>
      </c>
      <c r="S651" s="139" t="str">
        <f>IFERROR(__xludf.DUMMYFUNCTION("""COMPUTED_VALUE"""),"")</f>
        <v/>
      </c>
      <c r="T651" s="139" t="str">
        <f>IFERROR(__xludf.DUMMYFUNCTION("""COMPUTED_VALUE"""),"")</f>
        <v/>
      </c>
      <c r="U651" s="136" t="str">
        <f>IFERROR(__xludf.DUMMYFUNCTION("""COMPUTED_VALUE"""),"")</f>
        <v/>
      </c>
      <c r="V651" s="106" t="str">
        <f>IFERROR(__xludf.DUMMYFUNCTION("""COMPUTED_VALUE"""),"")</f>
        <v/>
      </c>
      <c r="W651" s="143" t="str">
        <f t="shared" si="2"/>
        <v/>
      </c>
      <c r="X651" s="139" t="str">
        <f>IFERROR(__xludf.DUMMYFUNCTION("""COMPUTED_VALUE"""),"")</f>
        <v/>
      </c>
      <c r="Y651" s="141" t="str">
        <f>IFERROR(__xludf.DUMMYFUNCTION("""COMPUTED_VALUE"""),"")</f>
        <v/>
      </c>
    </row>
    <row r="652">
      <c r="C652" s="136" t="str">
        <f t="shared" si="3"/>
        <v/>
      </c>
      <c r="E652" s="106"/>
      <c r="G652" s="106" t="s">
        <v>133</v>
      </c>
      <c r="I652" s="139" t="s">
        <v>133</v>
      </c>
      <c r="J652" s="136" t="s">
        <v>133</v>
      </c>
      <c r="L652" s="136" t="str">
        <f t="shared" si="1"/>
        <v/>
      </c>
      <c r="N652" s="141" t="s">
        <v>133</v>
      </c>
      <c r="O652" s="136" t="str">
        <f>IFERROR(__xludf.DUMMYFUNCTION("""COMPUTED_VALUE"""),"")</f>
        <v/>
      </c>
      <c r="P652" s="136" t="str">
        <f>IFERROR(__xludf.DUMMYFUNCTION("""COMPUTED_VALUE"""),"")</f>
        <v/>
      </c>
      <c r="Q652" s="106" t="str">
        <f>IFERROR(__xludf.DUMMYFUNCTION("""COMPUTED_VALUE"""),"")</f>
        <v/>
      </c>
      <c r="R652" s="106" t="str">
        <f>IFERROR(__xludf.DUMMYFUNCTION("""COMPUTED_VALUE"""),"")</f>
        <v/>
      </c>
      <c r="S652" s="139" t="str">
        <f>IFERROR(__xludf.DUMMYFUNCTION("""COMPUTED_VALUE"""),"")</f>
        <v/>
      </c>
      <c r="T652" s="139" t="str">
        <f>IFERROR(__xludf.DUMMYFUNCTION("""COMPUTED_VALUE"""),"")</f>
        <v/>
      </c>
      <c r="U652" s="136" t="str">
        <f>IFERROR(__xludf.DUMMYFUNCTION("""COMPUTED_VALUE"""),"")</f>
        <v/>
      </c>
      <c r="V652" s="106" t="str">
        <f>IFERROR(__xludf.DUMMYFUNCTION("""COMPUTED_VALUE"""),"")</f>
        <v/>
      </c>
      <c r="W652" s="143" t="str">
        <f t="shared" si="2"/>
        <v/>
      </c>
      <c r="X652" s="139" t="str">
        <f>IFERROR(__xludf.DUMMYFUNCTION("""COMPUTED_VALUE"""),"")</f>
        <v/>
      </c>
      <c r="Y652" s="141" t="str">
        <f>IFERROR(__xludf.DUMMYFUNCTION("""COMPUTED_VALUE"""),"")</f>
        <v/>
      </c>
    </row>
    <row r="653">
      <c r="C653" s="136" t="str">
        <f t="shared" si="3"/>
        <v/>
      </c>
      <c r="E653" s="106"/>
      <c r="G653" s="106" t="s">
        <v>133</v>
      </c>
      <c r="I653" s="139" t="s">
        <v>133</v>
      </c>
      <c r="J653" s="136" t="s">
        <v>133</v>
      </c>
      <c r="L653" s="136" t="str">
        <f t="shared" si="1"/>
        <v/>
      </c>
      <c r="N653" s="141" t="s">
        <v>133</v>
      </c>
      <c r="O653" s="136" t="str">
        <f>IFERROR(__xludf.DUMMYFUNCTION("""COMPUTED_VALUE"""),"")</f>
        <v/>
      </c>
      <c r="P653" s="136" t="str">
        <f>IFERROR(__xludf.DUMMYFUNCTION("""COMPUTED_VALUE"""),"")</f>
        <v/>
      </c>
      <c r="Q653" s="106" t="str">
        <f>IFERROR(__xludf.DUMMYFUNCTION("""COMPUTED_VALUE"""),"")</f>
        <v/>
      </c>
      <c r="R653" s="106" t="str">
        <f>IFERROR(__xludf.DUMMYFUNCTION("""COMPUTED_VALUE"""),"")</f>
        <v/>
      </c>
      <c r="S653" s="139" t="str">
        <f>IFERROR(__xludf.DUMMYFUNCTION("""COMPUTED_VALUE"""),"")</f>
        <v/>
      </c>
      <c r="T653" s="139" t="str">
        <f>IFERROR(__xludf.DUMMYFUNCTION("""COMPUTED_VALUE"""),"")</f>
        <v/>
      </c>
      <c r="U653" s="136" t="str">
        <f>IFERROR(__xludf.DUMMYFUNCTION("""COMPUTED_VALUE"""),"")</f>
        <v/>
      </c>
      <c r="V653" s="106" t="str">
        <f>IFERROR(__xludf.DUMMYFUNCTION("""COMPUTED_VALUE"""),"")</f>
        <v/>
      </c>
      <c r="W653" s="143" t="str">
        <f t="shared" si="2"/>
        <v/>
      </c>
      <c r="X653" s="139" t="str">
        <f>IFERROR(__xludf.DUMMYFUNCTION("""COMPUTED_VALUE"""),"")</f>
        <v/>
      </c>
      <c r="Y653" s="141" t="str">
        <f>IFERROR(__xludf.DUMMYFUNCTION("""COMPUTED_VALUE"""),"")</f>
        <v/>
      </c>
    </row>
    <row r="654">
      <c r="C654" s="136" t="str">
        <f t="shared" si="3"/>
        <v/>
      </c>
      <c r="E654" s="106"/>
      <c r="G654" s="106" t="s">
        <v>133</v>
      </c>
      <c r="I654" s="139" t="s">
        <v>133</v>
      </c>
      <c r="J654" s="136" t="s">
        <v>133</v>
      </c>
      <c r="L654" s="136" t="str">
        <f t="shared" si="1"/>
        <v/>
      </c>
      <c r="N654" s="141" t="s">
        <v>133</v>
      </c>
      <c r="O654" s="136" t="str">
        <f>IFERROR(__xludf.DUMMYFUNCTION("""COMPUTED_VALUE"""),"")</f>
        <v/>
      </c>
      <c r="P654" s="136" t="str">
        <f>IFERROR(__xludf.DUMMYFUNCTION("""COMPUTED_VALUE"""),"")</f>
        <v/>
      </c>
      <c r="Q654" s="106" t="str">
        <f>IFERROR(__xludf.DUMMYFUNCTION("""COMPUTED_VALUE"""),"")</f>
        <v/>
      </c>
      <c r="R654" s="106" t="str">
        <f>IFERROR(__xludf.DUMMYFUNCTION("""COMPUTED_VALUE"""),"")</f>
        <v/>
      </c>
      <c r="S654" s="139" t="str">
        <f>IFERROR(__xludf.DUMMYFUNCTION("""COMPUTED_VALUE"""),"")</f>
        <v/>
      </c>
      <c r="T654" s="139" t="str">
        <f>IFERROR(__xludf.DUMMYFUNCTION("""COMPUTED_VALUE"""),"")</f>
        <v/>
      </c>
      <c r="U654" s="136" t="str">
        <f>IFERROR(__xludf.DUMMYFUNCTION("""COMPUTED_VALUE"""),"")</f>
        <v/>
      </c>
      <c r="V654" s="106" t="str">
        <f>IFERROR(__xludf.DUMMYFUNCTION("""COMPUTED_VALUE"""),"")</f>
        <v/>
      </c>
      <c r="W654" s="143" t="str">
        <f t="shared" si="2"/>
        <v/>
      </c>
      <c r="X654" s="139" t="str">
        <f>IFERROR(__xludf.DUMMYFUNCTION("""COMPUTED_VALUE"""),"")</f>
        <v/>
      </c>
      <c r="Y654" s="141" t="str">
        <f>IFERROR(__xludf.DUMMYFUNCTION("""COMPUTED_VALUE"""),"")</f>
        <v/>
      </c>
    </row>
    <row r="655">
      <c r="C655" s="136" t="str">
        <f t="shared" si="3"/>
        <v/>
      </c>
      <c r="E655" s="106"/>
      <c r="G655" s="106" t="s">
        <v>133</v>
      </c>
      <c r="I655" s="139" t="s">
        <v>133</v>
      </c>
      <c r="J655" s="136" t="s">
        <v>133</v>
      </c>
      <c r="L655" s="136" t="str">
        <f t="shared" si="1"/>
        <v/>
      </c>
      <c r="N655" s="141" t="s">
        <v>133</v>
      </c>
      <c r="O655" s="136" t="str">
        <f>IFERROR(__xludf.DUMMYFUNCTION("""COMPUTED_VALUE"""),"")</f>
        <v/>
      </c>
      <c r="P655" s="136" t="str">
        <f>IFERROR(__xludf.DUMMYFUNCTION("""COMPUTED_VALUE"""),"")</f>
        <v/>
      </c>
      <c r="Q655" s="106" t="str">
        <f>IFERROR(__xludf.DUMMYFUNCTION("""COMPUTED_VALUE"""),"")</f>
        <v/>
      </c>
      <c r="R655" s="106" t="str">
        <f>IFERROR(__xludf.DUMMYFUNCTION("""COMPUTED_VALUE"""),"")</f>
        <v/>
      </c>
      <c r="S655" s="139" t="str">
        <f>IFERROR(__xludf.DUMMYFUNCTION("""COMPUTED_VALUE"""),"")</f>
        <v/>
      </c>
      <c r="T655" s="139" t="str">
        <f>IFERROR(__xludf.DUMMYFUNCTION("""COMPUTED_VALUE"""),"")</f>
        <v/>
      </c>
      <c r="U655" s="136" t="str">
        <f>IFERROR(__xludf.DUMMYFUNCTION("""COMPUTED_VALUE"""),"")</f>
        <v/>
      </c>
      <c r="V655" s="106" t="str">
        <f>IFERROR(__xludf.DUMMYFUNCTION("""COMPUTED_VALUE"""),"")</f>
        <v/>
      </c>
      <c r="W655" s="143" t="str">
        <f t="shared" si="2"/>
        <v/>
      </c>
      <c r="X655" s="139" t="str">
        <f>IFERROR(__xludf.DUMMYFUNCTION("""COMPUTED_VALUE"""),"")</f>
        <v/>
      </c>
      <c r="Y655" s="141" t="str">
        <f>IFERROR(__xludf.DUMMYFUNCTION("""COMPUTED_VALUE"""),"")</f>
        <v/>
      </c>
    </row>
    <row r="656">
      <c r="C656" s="136" t="str">
        <f t="shared" si="3"/>
        <v/>
      </c>
      <c r="E656" s="106"/>
      <c r="G656" s="106" t="s">
        <v>133</v>
      </c>
      <c r="I656" s="139" t="s">
        <v>133</v>
      </c>
      <c r="J656" s="136" t="s">
        <v>133</v>
      </c>
      <c r="L656" s="136" t="str">
        <f t="shared" si="1"/>
        <v/>
      </c>
      <c r="N656" s="141" t="s">
        <v>133</v>
      </c>
      <c r="O656" s="136" t="str">
        <f>IFERROR(__xludf.DUMMYFUNCTION("""COMPUTED_VALUE"""),"")</f>
        <v/>
      </c>
      <c r="P656" s="136" t="str">
        <f>IFERROR(__xludf.DUMMYFUNCTION("""COMPUTED_VALUE"""),"")</f>
        <v/>
      </c>
      <c r="Q656" s="106" t="str">
        <f>IFERROR(__xludf.DUMMYFUNCTION("""COMPUTED_VALUE"""),"")</f>
        <v/>
      </c>
      <c r="R656" s="106" t="str">
        <f>IFERROR(__xludf.DUMMYFUNCTION("""COMPUTED_VALUE"""),"")</f>
        <v/>
      </c>
      <c r="S656" s="139" t="str">
        <f>IFERROR(__xludf.DUMMYFUNCTION("""COMPUTED_VALUE"""),"")</f>
        <v/>
      </c>
      <c r="T656" s="139" t="str">
        <f>IFERROR(__xludf.DUMMYFUNCTION("""COMPUTED_VALUE"""),"")</f>
        <v/>
      </c>
      <c r="U656" s="136" t="str">
        <f>IFERROR(__xludf.DUMMYFUNCTION("""COMPUTED_VALUE"""),"")</f>
        <v/>
      </c>
      <c r="V656" s="106" t="str">
        <f>IFERROR(__xludf.DUMMYFUNCTION("""COMPUTED_VALUE"""),"")</f>
        <v/>
      </c>
      <c r="W656" s="143" t="str">
        <f t="shared" si="2"/>
        <v/>
      </c>
      <c r="X656" s="139" t="str">
        <f>IFERROR(__xludf.DUMMYFUNCTION("""COMPUTED_VALUE"""),"")</f>
        <v/>
      </c>
      <c r="Y656" s="141" t="str">
        <f>IFERROR(__xludf.DUMMYFUNCTION("""COMPUTED_VALUE"""),"")</f>
        <v/>
      </c>
    </row>
    <row r="657">
      <c r="C657" s="136" t="str">
        <f t="shared" si="3"/>
        <v/>
      </c>
      <c r="E657" s="106"/>
      <c r="G657" s="106" t="s">
        <v>133</v>
      </c>
      <c r="I657" s="139" t="s">
        <v>133</v>
      </c>
      <c r="J657" s="136" t="s">
        <v>133</v>
      </c>
      <c r="L657" s="136" t="str">
        <f t="shared" si="1"/>
        <v/>
      </c>
      <c r="N657" s="141" t="s">
        <v>133</v>
      </c>
      <c r="O657" s="136" t="str">
        <f>IFERROR(__xludf.DUMMYFUNCTION("""COMPUTED_VALUE"""),"")</f>
        <v/>
      </c>
      <c r="P657" s="136" t="str">
        <f>IFERROR(__xludf.DUMMYFUNCTION("""COMPUTED_VALUE"""),"")</f>
        <v/>
      </c>
      <c r="Q657" s="106" t="str">
        <f>IFERROR(__xludf.DUMMYFUNCTION("""COMPUTED_VALUE"""),"")</f>
        <v/>
      </c>
      <c r="R657" s="106" t="str">
        <f>IFERROR(__xludf.DUMMYFUNCTION("""COMPUTED_VALUE"""),"")</f>
        <v/>
      </c>
      <c r="S657" s="139" t="str">
        <f>IFERROR(__xludf.DUMMYFUNCTION("""COMPUTED_VALUE"""),"")</f>
        <v/>
      </c>
      <c r="T657" s="139" t="str">
        <f>IFERROR(__xludf.DUMMYFUNCTION("""COMPUTED_VALUE"""),"")</f>
        <v/>
      </c>
      <c r="U657" s="136" t="str">
        <f>IFERROR(__xludf.DUMMYFUNCTION("""COMPUTED_VALUE"""),"")</f>
        <v/>
      </c>
      <c r="V657" s="106" t="str">
        <f>IFERROR(__xludf.DUMMYFUNCTION("""COMPUTED_VALUE"""),"")</f>
        <v/>
      </c>
      <c r="W657" s="143" t="str">
        <f t="shared" si="2"/>
        <v/>
      </c>
      <c r="X657" s="139" t="str">
        <f>IFERROR(__xludf.DUMMYFUNCTION("""COMPUTED_VALUE"""),"")</f>
        <v/>
      </c>
      <c r="Y657" s="141" t="str">
        <f>IFERROR(__xludf.DUMMYFUNCTION("""COMPUTED_VALUE"""),"")</f>
        <v/>
      </c>
    </row>
    <row r="658">
      <c r="C658" s="136" t="str">
        <f t="shared" si="3"/>
        <v/>
      </c>
      <c r="E658" s="106"/>
      <c r="G658" s="106" t="s">
        <v>133</v>
      </c>
      <c r="I658" s="139" t="s">
        <v>133</v>
      </c>
      <c r="J658" s="136" t="s">
        <v>133</v>
      </c>
      <c r="L658" s="136" t="str">
        <f t="shared" si="1"/>
        <v/>
      </c>
      <c r="N658" s="141" t="s">
        <v>133</v>
      </c>
      <c r="O658" s="136" t="str">
        <f>IFERROR(__xludf.DUMMYFUNCTION("""COMPUTED_VALUE"""),"")</f>
        <v/>
      </c>
      <c r="P658" s="136" t="str">
        <f>IFERROR(__xludf.DUMMYFUNCTION("""COMPUTED_VALUE"""),"")</f>
        <v/>
      </c>
      <c r="Q658" s="106" t="str">
        <f>IFERROR(__xludf.DUMMYFUNCTION("""COMPUTED_VALUE"""),"")</f>
        <v/>
      </c>
      <c r="R658" s="106" t="str">
        <f>IFERROR(__xludf.DUMMYFUNCTION("""COMPUTED_VALUE"""),"")</f>
        <v/>
      </c>
      <c r="S658" s="139" t="str">
        <f>IFERROR(__xludf.DUMMYFUNCTION("""COMPUTED_VALUE"""),"")</f>
        <v/>
      </c>
      <c r="T658" s="139" t="str">
        <f>IFERROR(__xludf.DUMMYFUNCTION("""COMPUTED_VALUE"""),"")</f>
        <v/>
      </c>
      <c r="U658" s="136" t="str">
        <f>IFERROR(__xludf.DUMMYFUNCTION("""COMPUTED_VALUE"""),"")</f>
        <v/>
      </c>
      <c r="V658" s="106" t="str">
        <f>IFERROR(__xludf.DUMMYFUNCTION("""COMPUTED_VALUE"""),"")</f>
        <v/>
      </c>
      <c r="W658" s="143" t="str">
        <f t="shared" si="2"/>
        <v/>
      </c>
      <c r="X658" s="139" t="str">
        <f>IFERROR(__xludf.DUMMYFUNCTION("""COMPUTED_VALUE"""),"")</f>
        <v/>
      </c>
      <c r="Y658" s="141" t="str">
        <f>IFERROR(__xludf.DUMMYFUNCTION("""COMPUTED_VALUE"""),"")</f>
        <v/>
      </c>
    </row>
    <row r="659">
      <c r="C659" s="136" t="str">
        <f t="shared" si="3"/>
        <v/>
      </c>
      <c r="E659" s="106"/>
      <c r="G659" s="106" t="s">
        <v>133</v>
      </c>
      <c r="I659" s="139" t="s">
        <v>133</v>
      </c>
      <c r="J659" s="136" t="s">
        <v>133</v>
      </c>
      <c r="L659" s="136" t="str">
        <f t="shared" si="1"/>
        <v/>
      </c>
      <c r="N659" s="141" t="s">
        <v>133</v>
      </c>
      <c r="O659" s="136" t="str">
        <f>IFERROR(__xludf.DUMMYFUNCTION("""COMPUTED_VALUE"""),"")</f>
        <v/>
      </c>
      <c r="P659" s="136" t="str">
        <f>IFERROR(__xludf.DUMMYFUNCTION("""COMPUTED_VALUE"""),"")</f>
        <v/>
      </c>
      <c r="Q659" s="106" t="str">
        <f>IFERROR(__xludf.DUMMYFUNCTION("""COMPUTED_VALUE"""),"")</f>
        <v/>
      </c>
      <c r="R659" s="106" t="str">
        <f>IFERROR(__xludf.DUMMYFUNCTION("""COMPUTED_VALUE"""),"")</f>
        <v/>
      </c>
      <c r="S659" s="139" t="str">
        <f>IFERROR(__xludf.DUMMYFUNCTION("""COMPUTED_VALUE"""),"")</f>
        <v/>
      </c>
      <c r="T659" s="139" t="str">
        <f>IFERROR(__xludf.DUMMYFUNCTION("""COMPUTED_VALUE"""),"")</f>
        <v/>
      </c>
      <c r="U659" s="136" t="str">
        <f>IFERROR(__xludf.DUMMYFUNCTION("""COMPUTED_VALUE"""),"")</f>
        <v/>
      </c>
      <c r="V659" s="106" t="str">
        <f>IFERROR(__xludf.DUMMYFUNCTION("""COMPUTED_VALUE"""),"")</f>
        <v/>
      </c>
      <c r="W659" s="143" t="str">
        <f t="shared" si="2"/>
        <v/>
      </c>
      <c r="X659" s="139" t="str">
        <f>IFERROR(__xludf.DUMMYFUNCTION("""COMPUTED_VALUE"""),"")</f>
        <v/>
      </c>
      <c r="Y659" s="141" t="str">
        <f>IFERROR(__xludf.DUMMYFUNCTION("""COMPUTED_VALUE"""),"")</f>
        <v/>
      </c>
    </row>
    <row r="660">
      <c r="C660" s="136" t="str">
        <f t="shared" si="3"/>
        <v/>
      </c>
      <c r="E660" s="106"/>
      <c r="G660" s="106" t="s">
        <v>133</v>
      </c>
      <c r="I660" s="139" t="s">
        <v>133</v>
      </c>
      <c r="J660" s="136" t="s">
        <v>133</v>
      </c>
      <c r="L660" s="136" t="str">
        <f t="shared" si="1"/>
        <v/>
      </c>
      <c r="N660" s="141" t="s">
        <v>133</v>
      </c>
      <c r="O660" s="136" t="str">
        <f>IFERROR(__xludf.DUMMYFUNCTION("""COMPUTED_VALUE"""),"")</f>
        <v/>
      </c>
      <c r="P660" s="136" t="str">
        <f>IFERROR(__xludf.DUMMYFUNCTION("""COMPUTED_VALUE"""),"")</f>
        <v/>
      </c>
      <c r="Q660" s="106" t="str">
        <f>IFERROR(__xludf.DUMMYFUNCTION("""COMPUTED_VALUE"""),"")</f>
        <v/>
      </c>
      <c r="R660" s="106" t="str">
        <f>IFERROR(__xludf.DUMMYFUNCTION("""COMPUTED_VALUE"""),"")</f>
        <v/>
      </c>
      <c r="S660" s="139" t="str">
        <f>IFERROR(__xludf.DUMMYFUNCTION("""COMPUTED_VALUE"""),"")</f>
        <v/>
      </c>
      <c r="T660" s="139" t="str">
        <f>IFERROR(__xludf.DUMMYFUNCTION("""COMPUTED_VALUE"""),"")</f>
        <v/>
      </c>
      <c r="U660" s="136" t="str">
        <f>IFERROR(__xludf.DUMMYFUNCTION("""COMPUTED_VALUE"""),"")</f>
        <v/>
      </c>
      <c r="V660" s="106" t="str">
        <f>IFERROR(__xludf.DUMMYFUNCTION("""COMPUTED_VALUE"""),"")</f>
        <v/>
      </c>
      <c r="W660" s="143" t="str">
        <f t="shared" si="2"/>
        <v/>
      </c>
      <c r="X660" s="139" t="str">
        <f>IFERROR(__xludf.DUMMYFUNCTION("""COMPUTED_VALUE"""),"")</f>
        <v/>
      </c>
      <c r="Y660" s="141" t="str">
        <f>IFERROR(__xludf.DUMMYFUNCTION("""COMPUTED_VALUE"""),"")</f>
        <v/>
      </c>
    </row>
    <row r="661">
      <c r="C661" s="136" t="str">
        <f t="shared" si="3"/>
        <v/>
      </c>
      <c r="E661" s="106"/>
      <c r="G661" s="106" t="s">
        <v>133</v>
      </c>
      <c r="I661" s="139" t="s">
        <v>133</v>
      </c>
      <c r="J661" s="136" t="s">
        <v>133</v>
      </c>
      <c r="L661" s="136" t="str">
        <f t="shared" si="1"/>
        <v/>
      </c>
      <c r="N661" s="141" t="s">
        <v>133</v>
      </c>
      <c r="O661" s="136" t="str">
        <f>IFERROR(__xludf.DUMMYFUNCTION("""COMPUTED_VALUE"""),"")</f>
        <v/>
      </c>
      <c r="P661" s="136" t="str">
        <f>IFERROR(__xludf.DUMMYFUNCTION("""COMPUTED_VALUE"""),"")</f>
        <v/>
      </c>
      <c r="Q661" s="106" t="str">
        <f>IFERROR(__xludf.DUMMYFUNCTION("""COMPUTED_VALUE"""),"")</f>
        <v/>
      </c>
      <c r="R661" s="106" t="str">
        <f>IFERROR(__xludf.DUMMYFUNCTION("""COMPUTED_VALUE"""),"")</f>
        <v/>
      </c>
      <c r="S661" s="139" t="str">
        <f>IFERROR(__xludf.DUMMYFUNCTION("""COMPUTED_VALUE"""),"")</f>
        <v/>
      </c>
      <c r="T661" s="139" t="str">
        <f>IFERROR(__xludf.DUMMYFUNCTION("""COMPUTED_VALUE"""),"")</f>
        <v/>
      </c>
      <c r="U661" s="136" t="str">
        <f>IFERROR(__xludf.DUMMYFUNCTION("""COMPUTED_VALUE"""),"")</f>
        <v/>
      </c>
      <c r="V661" s="106" t="str">
        <f>IFERROR(__xludf.DUMMYFUNCTION("""COMPUTED_VALUE"""),"")</f>
        <v/>
      </c>
      <c r="W661" s="143" t="str">
        <f t="shared" si="2"/>
        <v/>
      </c>
      <c r="X661" s="139" t="str">
        <f>IFERROR(__xludf.DUMMYFUNCTION("""COMPUTED_VALUE"""),"")</f>
        <v/>
      </c>
      <c r="Y661" s="141" t="str">
        <f>IFERROR(__xludf.DUMMYFUNCTION("""COMPUTED_VALUE"""),"")</f>
        <v/>
      </c>
    </row>
    <row r="662">
      <c r="C662" s="136" t="str">
        <f t="shared" si="3"/>
        <v/>
      </c>
      <c r="E662" s="106"/>
      <c r="G662" s="106" t="s">
        <v>133</v>
      </c>
      <c r="I662" s="139" t="s">
        <v>133</v>
      </c>
      <c r="J662" s="136" t="s">
        <v>133</v>
      </c>
      <c r="L662" s="136" t="str">
        <f t="shared" si="1"/>
        <v/>
      </c>
      <c r="N662" s="141" t="s">
        <v>133</v>
      </c>
      <c r="O662" s="136" t="str">
        <f>IFERROR(__xludf.DUMMYFUNCTION("""COMPUTED_VALUE"""),"")</f>
        <v/>
      </c>
      <c r="P662" s="136" t="str">
        <f>IFERROR(__xludf.DUMMYFUNCTION("""COMPUTED_VALUE"""),"")</f>
        <v/>
      </c>
      <c r="Q662" s="106" t="str">
        <f>IFERROR(__xludf.DUMMYFUNCTION("""COMPUTED_VALUE"""),"")</f>
        <v/>
      </c>
      <c r="R662" s="106" t="str">
        <f>IFERROR(__xludf.DUMMYFUNCTION("""COMPUTED_VALUE"""),"")</f>
        <v/>
      </c>
      <c r="S662" s="139" t="str">
        <f>IFERROR(__xludf.DUMMYFUNCTION("""COMPUTED_VALUE"""),"")</f>
        <v/>
      </c>
      <c r="T662" s="139" t="str">
        <f>IFERROR(__xludf.DUMMYFUNCTION("""COMPUTED_VALUE"""),"")</f>
        <v/>
      </c>
      <c r="U662" s="136" t="str">
        <f>IFERROR(__xludf.DUMMYFUNCTION("""COMPUTED_VALUE"""),"")</f>
        <v/>
      </c>
      <c r="V662" s="106" t="str">
        <f>IFERROR(__xludf.DUMMYFUNCTION("""COMPUTED_VALUE"""),"")</f>
        <v/>
      </c>
      <c r="W662" s="143" t="str">
        <f t="shared" si="2"/>
        <v/>
      </c>
      <c r="X662" s="139" t="str">
        <f>IFERROR(__xludf.DUMMYFUNCTION("""COMPUTED_VALUE"""),"")</f>
        <v/>
      </c>
      <c r="Y662" s="141" t="str">
        <f>IFERROR(__xludf.DUMMYFUNCTION("""COMPUTED_VALUE"""),"")</f>
        <v/>
      </c>
    </row>
    <row r="663">
      <c r="C663" s="136" t="str">
        <f t="shared" si="3"/>
        <v/>
      </c>
      <c r="E663" s="106"/>
      <c r="G663" s="106" t="s">
        <v>133</v>
      </c>
      <c r="I663" s="139" t="s">
        <v>133</v>
      </c>
      <c r="J663" s="136" t="s">
        <v>133</v>
      </c>
      <c r="L663" s="136" t="str">
        <f t="shared" si="1"/>
        <v/>
      </c>
      <c r="N663" s="141" t="s">
        <v>133</v>
      </c>
      <c r="O663" s="136" t="str">
        <f>IFERROR(__xludf.DUMMYFUNCTION("""COMPUTED_VALUE"""),"")</f>
        <v/>
      </c>
      <c r="P663" s="136" t="str">
        <f>IFERROR(__xludf.DUMMYFUNCTION("""COMPUTED_VALUE"""),"")</f>
        <v/>
      </c>
      <c r="Q663" s="106" t="str">
        <f>IFERROR(__xludf.DUMMYFUNCTION("""COMPUTED_VALUE"""),"")</f>
        <v/>
      </c>
      <c r="R663" s="106" t="str">
        <f>IFERROR(__xludf.DUMMYFUNCTION("""COMPUTED_VALUE"""),"")</f>
        <v/>
      </c>
      <c r="S663" s="139" t="str">
        <f>IFERROR(__xludf.DUMMYFUNCTION("""COMPUTED_VALUE"""),"")</f>
        <v/>
      </c>
      <c r="T663" s="139" t="str">
        <f>IFERROR(__xludf.DUMMYFUNCTION("""COMPUTED_VALUE"""),"")</f>
        <v/>
      </c>
      <c r="U663" s="136" t="str">
        <f>IFERROR(__xludf.DUMMYFUNCTION("""COMPUTED_VALUE"""),"")</f>
        <v/>
      </c>
      <c r="V663" s="106" t="str">
        <f>IFERROR(__xludf.DUMMYFUNCTION("""COMPUTED_VALUE"""),"")</f>
        <v/>
      </c>
      <c r="W663" s="143" t="str">
        <f t="shared" si="2"/>
        <v/>
      </c>
      <c r="X663" s="139" t="str">
        <f>IFERROR(__xludf.DUMMYFUNCTION("""COMPUTED_VALUE"""),"")</f>
        <v/>
      </c>
      <c r="Y663" s="141" t="str">
        <f>IFERROR(__xludf.DUMMYFUNCTION("""COMPUTED_VALUE"""),"")</f>
        <v/>
      </c>
    </row>
    <row r="664">
      <c r="C664" s="136" t="str">
        <f t="shared" si="3"/>
        <v/>
      </c>
      <c r="E664" s="106"/>
      <c r="G664" s="106" t="s">
        <v>133</v>
      </c>
      <c r="I664" s="139" t="s">
        <v>133</v>
      </c>
      <c r="J664" s="136" t="s">
        <v>133</v>
      </c>
      <c r="L664" s="136" t="str">
        <f t="shared" si="1"/>
        <v/>
      </c>
      <c r="N664" s="141" t="s">
        <v>133</v>
      </c>
      <c r="O664" s="136" t="str">
        <f>IFERROR(__xludf.DUMMYFUNCTION("""COMPUTED_VALUE"""),"")</f>
        <v/>
      </c>
      <c r="P664" s="136" t="str">
        <f>IFERROR(__xludf.DUMMYFUNCTION("""COMPUTED_VALUE"""),"")</f>
        <v/>
      </c>
      <c r="Q664" s="106" t="str">
        <f>IFERROR(__xludf.DUMMYFUNCTION("""COMPUTED_VALUE"""),"")</f>
        <v/>
      </c>
      <c r="R664" s="106" t="str">
        <f>IFERROR(__xludf.DUMMYFUNCTION("""COMPUTED_VALUE"""),"")</f>
        <v/>
      </c>
      <c r="S664" s="139" t="str">
        <f>IFERROR(__xludf.DUMMYFUNCTION("""COMPUTED_VALUE"""),"")</f>
        <v/>
      </c>
      <c r="T664" s="139" t="str">
        <f>IFERROR(__xludf.DUMMYFUNCTION("""COMPUTED_VALUE"""),"")</f>
        <v/>
      </c>
      <c r="U664" s="136" t="str">
        <f>IFERROR(__xludf.DUMMYFUNCTION("""COMPUTED_VALUE"""),"")</f>
        <v/>
      </c>
      <c r="V664" s="106" t="str">
        <f>IFERROR(__xludf.DUMMYFUNCTION("""COMPUTED_VALUE"""),"")</f>
        <v/>
      </c>
      <c r="W664" s="143" t="str">
        <f t="shared" si="2"/>
        <v/>
      </c>
      <c r="X664" s="139" t="str">
        <f>IFERROR(__xludf.DUMMYFUNCTION("""COMPUTED_VALUE"""),"")</f>
        <v/>
      </c>
      <c r="Y664" s="141" t="str">
        <f>IFERROR(__xludf.DUMMYFUNCTION("""COMPUTED_VALUE"""),"")</f>
        <v/>
      </c>
    </row>
    <row r="665">
      <c r="C665" s="136" t="str">
        <f t="shared" si="3"/>
        <v/>
      </c>
      <c r="E665" s="106"/>
      <c r="G665" s="106" t="s">
        <v>133</v>
      </c>
      <c r="I665" s="139" t="s">
        <v>133</v>
      </c>
      <c r="J665" s="136" t="s">
        <v>133</v>
      </c>
      <c r="L665" s="136" t="str">
        <f t="shared" si="1"/>
        <v/>
      </c>
      <c r="N665" s="141" t="s">
        <v>133</v>
      </c>
      <c r="O665" s="136" t="str">
        <f>IFERROR(__xludf.DUMMYFUNCTION("""COMPUTED_VALUE"""),"")</f>
        <v/>
      </c>
      <c r="P665" s="136" t="str">
        <f>IFERROR(__xludf.DUMMYFUNCTION("""COMPUTED_VALUE"""),"")</f>
        <v/>
      </c>
      <c r="Q665" s="106" t="str">
        <f>IFERROR(__xludf.DUMMYFUNCTION("""COMPUTED_VALUE"""),"")</f>
        <v/>
      </c>
      <c r="R665" s="106" t="str">
        <f>IFERROR(__xludf.DUMMYFUNCTION("""COMPUTED_VALUE"""),"")</f>
        <v/>
      </c>
      <c r="S665" s="139" t="str">
        <f>IFERROR(__xludf.DUMMYFUNCTION("""COMPUTED_VALUE"""),"")</f>
        <v/>
      </c>
      <c r="T665" s="139" t="str">
        <f>IFERROR(__xludf.DUMMYFUNCTION("""COMPUTED_VALUE"""),"")</f>
        <v/>
      </c>
      <c r="U665" s="136" t="str">
        <f>IFERROR(__xludf.DUMMYFUNCTION("""COMPUTED_VALUE"""),"")</f>
        <v/>
      </c>
      <c r="V665" s="106" t="str">
        <f>IFERROR(__xludf.DUMMYFUNCTION("""COMPUTED_VALUE"""),"")</f>
        <v/>
      </c>
      <c r="W665" s="143" t="str">
        <f t="shared" si="2"/>
        <v/>
      </c>
      <c r="X665" s="139" t="str">
        <f>IFERROR(__xludf.DUMMYFUNCTION("""COMPUTED_VALUE"""),"")</f>
        <v/>
      </c>
      <c r="Y665" s="141" t="str">
        <f>IFERROR(__xludf.DUMMYFUNCTION("""COMPUTED_VALUE"""),"")</f>
        <v/>
      </c>
    </row>
    <row r="666">
      <c r="C666" s="136" t="str">
        <f t="shared" si="3"/>
        <v/>
      </c>
      <c r="E666" s="106"/>
      <c r="G666" s="106" t="s">
        <v>133</v>
      </c>
      <c r="I666" s="139" t="s">
        <v>133</v>
      </c>
      <c r="J666" s="136" t="s">
        <v>133</v>
      </c>
      <c r="L666" s="136" t="str">
        <f t="shared" si="1"/>
        <v/>
      </c>
      <c r="N666" s="141" t="s">
        <v>133</v>
      </c>
      <c r="O666" s="136" t="str">
        <f>IFERROR(__xludf.DUMMYFUNCTION("""COMPUTED_VALUE"""),"")</f>
        <v/>
      </c>
      <c r="P666" s="136" t="str">
        <f>IFERROR(__xludf.DUMMYFUNCTION("""COMPUTED_VALUE"""),"")</f>
        <v/>
      </c>
      <c r="Q666" s="106" t="str">
        <f>IFERROR(__xludf.DUMMYFUNCTION("""COMPUTED_VALUE"""),"")</f>
        <v/>
      </c>
      <c r="R666" s="106" t="str">
        <f>IFERROR(__xludf.DUMMYFUNCTION("""COMPUTED_VALUE"""),"")</f>
        <v/>
      </c>
      <c r="S666" s="139" t="str">
        <f>IFERROR(__xludf.DUMMYFUNCTION("""COMPUTED_VALUE"""),"")</f>
        <v/>
      </c>
      <c r="T666" s="139" t="str">
        <f>IFERROR(__xludf.DUMMYFUNCTION("""COMPUTED_VALUE"""),"")</f>
        <v/>
      </c>
      <c r="U666" s="136" t="str">
        <f>IFERROR(__xludf.DUMMYFUNCTION("""COMPUTED_VALUE"""),"")</f>
        <v/>
      </c>
      <c r="V666" s="106" t="str">
        <f>IFERROR(__xludf.DUMMYFUNCTION("""COMPUTED_VALUE"""),"")</f>
        <v/>
      </c>
      <c r="W666" s="143" t="str">
        <f t="shared" si="2"/>
        <v/>
      </c>
      <c r="X666" s="139" t="str">
        <f>IFERROR(__xludf.DUMMYFUNCTION("""COMPUTED_VALUE"""),"")</f>
        <v/>
      </c>
      <c r="Y666" s="141" t="str">
        <f>IFERROR(__xludf.DUMMYFUNCTION("""COMPUTED_VALUE"""),"")</f>
        <v/>
      </c>
    </row>
    <row r="667">
      <c r="C667" s="136" t="str">
        <f t="shared" si="3"/>
        <v/>
      </c>
      <c r="E667" s="106"/>
      <c r="G667" s="106" t="s">
        <v>133</v>
      </c>
      <c r="I667" s="139" t="s">
        <v>133</v>
      </c>
      <c r="J667" s="136" t="s">
        <v>133</v>
      </c>
      <c r="L667" s="136" t="str">
        <f t="shared" si="1"/>
        <v/>
      </c>
      <c r="N667" s="141" t="s">
        <v>133</v>
      </c>
      <c r="O667" s="136" t="str">
        <f>IFERROR(__xludf.DUMMYFUNCTION("""COMPUTED_VALUE"""),"")</f>
        <v/>
      </c>
      <c r="P667" s="136" t="str">
        <f>IFERROR(__xludf.DUMMYFUNCTION("""COMPUTED_VALUE"""),"")</f>
        <v/>
      </c>
      <c r="Q667" s="106" t="str">
        <f>IFERROR(__xludf.DUMMYFUNCTION("""COMPUTED_VALUE"""),"")</f>
        <v/>
      </c>
      <c r="R667" s="106" t="str">
        <f>IFERROR(__xludf.DUMMYFUNCTION("""COMPUTED_VALUE"""),"")</f>
        <v/>
      </c>
      <c r="S667" s="139" t="str">
        <f>IFERROR(__xludf.DUMMYFUNCTION("""COMPUTED_VALUE"""),"")</f>
        <v/>
      </c>
      <c r="T667" s="139" t="str">
        <f>IFERROR(__xludf.DUMMYFUNCTION("""COMPUTED_VALUE"""),"")</f>
        <v/>
      </c>
      <c r="U667" s="136" t="str">
        <f>IFERROR(__xludf.DUMMYFUNCTION("""COMPUTED_VALUE"""),"")</f>
        <v/>
      </c>
      <c r="V667" s="106" t="str">
        <f>IFERROR(__xludf.DUMMYFUNCTION("""COMPUTED_VALUE"""),"")</f>
        <v/>
      </c>
      <c r="W667" s="143" t="str">
        <f t="shared" si="2"/>
        <v/>
      </c>
      <c r="X667" s="139" t="str">
        <f>IFERROR(__xludf.DUMMYFUNCTION("""COMPUTED_VALUE"""),"")</f>
        <v/>
      </c>
      <c r="Y667" s="141" t="str">
        <f>IFERROR(__xludf.DUMMYFUNCTION("""COMPUTED_VALUE"""),"")</f>
        <v/>
      </c>
    </row>
    <row r="668">
      <c r="C668" s="136" t="str">
        <f t="shared" si="3"/>
        <v/>
      </c>
      <c r="E668" s="106"/>
      <c r="G668" s="106" t="s">
        <v>133</v>
      </c>
      <c r="I668" s="139" t="s">
        <v>133</v>
      </c>
      <c r="J668" s="136" t="s">
        <v>133</v>
      </c>
      <c r="L668" s="136" t="str">
        <f t="shared" si="1"/>
        <v/>
      </c>
      <c r="N668" s="141" t="s">
        <v>133</v>
      </c>
      <c r="O668" s="136" t="str">
        <f>IFERROR(__xludf.DUMMYFUNCTION("""COMPUTED_VALUE"""),"")</f>
        <v/>
      </c>
      <c r="P668" s="136" t="str">
        <f>IFERROR(__xludf.DUMMYFUNCTION("""COMPUTED_VALUE"""),"")</f>
        <v/>
      </c>
      <c r="Q668" s="106" t="str">
        <f>IFERROR(__xludf.DUMMYFUNCTION("""COMPUTED_VALUE"""),"")</f>
        <v/>
      </c>
      <c r="R668" s="106" t="str">
        <f>IFERROR(__xludf.DUMMYFUNCTION("""COMPUTED_VALUE"""),"")</f>
        <v/>
      </c>
      <c r="S668" s="139" t="str">
        <f>IFERROR(__xludf.DUMMYFUNCTION("""COMPUTED_VALUE"""),"")</f>
        <v/>
      </c>
      <c r="T668" s="139" t="str">
        <f>IFERROR(__xludf.DUMMYFUNCTION("""COMPUTED_VALUE"""),"")</f>
        <v/>
      </c>
      <c r="U668" s="136" t="str">
        <f>IFERROR(__xludf.DUMMYFUNCTION("""COMPUTED_VALUE"""),"")</f>
        <v/>
      </c>
      <c r="V668" s="106" t="str">
        <f>IFERROR(__xludf.DUMMYFUNCTION("""COMPUTED_VALUE"""),"")</f>
        <v/>
      </c>
      <c r="W668" s="143" t="str">
        <f t="shared" si="2"/>
        <v/>
      </c>
      <c r="X668" s="139" t="str">
        <f>IFERROR(__xludf.DUMMYFUNCTION("""COMPUTED_VALUE"""),"")</f>
        <v/>
      </c>
      <c r="Y668" s="141" t="str">
        <f>IFERROR(__xludf.DUMMYFUNCTION("""COMPUTED_VALUE"""),"")</f>
        <v/>
      </c>
    </row>
    <row r="669">
      <c r="C669" s="136" t="str">
        <f t="shared" si="3"/>
        <v/>
      </c>
      <c r="E669" s="106"/>
      <c r="G669" s="106" t="s">
        <v>133</v>
      </c>
      <c r="I669" s="139" t="s">
        <v>133</v>
      </c>
      <c r="J669" s="136" t="s">
        <v>133</v>
      </c>
      <c r="L669" s="136" t="str">
        <f t="shared" si="1"/>
        <v/>
      </c>
      <c r="N669" s="141" t="s">
        <v>133</v>
      </c>
      <c r="O669" s="136" t="str">
        <f>IFERROR(__xludf.DUMMYFUNCTION("""COMPUTED_VALUE"""),"")</f>
        <v/>
      </c>
      <c r="P669" s="136" t="str">
        <f>IFERROR(__xludf.DUMMYFUNCTION("""COMPUTED_VALUE"""),"")</f>
        <v/>
      </c>
      <c r="Q669" s="106" t="str">
        <f>IFERROR(__xludf.DUMMYFUNCTION("""COMPUTED_VALUE"""),"")</f>
        <v/>
      </c>
      <c r="R669" s="106" t="str">
        <f>IFERROR(__xludf.DUMMYFUNCTION("""COMPUTED_VALUE"""),"")</f>
        <v/>
      </c>
      <c r="S669" s="139" t="str">
        <f>IFERROR(__xludf.DUMMYFUNCTION("""COMPUTED_VALUE"""),"")</f>
        <v/>
      </c>
      <c r="T669" s="139" t="str">
        <f>IFERROR(__xludf.DUMMYFUNCTION("""COMPUTED_VALUE"""),"")</f>
        <v/>
      </c>
      <c r="U669" s="136" t="str">
        <f>IFERROR(__xludf.DUMMYFUNCTION("""COMPUTED_VALUE"""),"")</f>
        <v/>
      </c>
      <c r="V669" s="106" t="str">
        <f>IFERROR(__xludf.DUMMYFUNCTION("""COMPUTED_VALUE"""),"")</f>
        <v/>
      </c>
      <c r="W669" s="143" t="str">
        <f t="shared" si="2"/>
        <v/>
      </c>
      <c r="X669" s="139" t="str">
        <f>IFERROR(__xludf.DUMMYFUNCTION("""COMPUTED_VALUE"""),"")</f>
        <v/>
      </c>
      <c r="Y669" s="141" t="str">
        <f>IFERROR(__xludf.DUMMYFUNCTION("""COMPUTED_VALUE"""),"")</f>
        <v/>
      </c>
    </row>
    <row r="670">
      <c r="C670" s="136" t="str">
        <f t="shared" si="3"/>
        <v/>
      </c>
      <c r="E670" s="106"/>
      <c r="G670" s="106" t="s">
        <v>133</v>
      </c>
      <c r="I670" s="139" t="s">
        <v>133</v>
      </c>
      <c r="J670" s="136" t="s">
        <v>133</v>
      </c>
      <c r="L670" s="136" t="str">
        <f t="shared" si="1"/>
        <v/>
      </c>
      <c r="N670" s="141" t="s">
        <v>133</v>
      </c>
      <c r="O670" s="136" t="str">
        <f>IFERROR(__xludf.DUMMYFUNCTION("""COMPUTED_VALUE"""),"")</f>
        <v/>
      </c>
      <c r="P670" s="136" t="str">
        <f>IFERROR(__xludf.DUMMYFUNCTION("""COMPUTED_VALUE"""),"")</f>
        <v/>
      </c>
      <c r="Q670" s="106" t="str">
        <f>IFERROR(__xludf.DUMMYFUNCTION("""COMPUTED_VALUE"""),"")</f>
        <v/>
      </c>
      <c r="R670" s="106" t="str">
        <f>IFERROR(__xludf.DUMMYFUNCTION("""COMPUTED_VALUE"""),"")</f>
        <v/>
      </c>
      <c r="S670" s="139" t="str">
        <f>IFERROR(__xludf.DUMMYFUNCTION("""COMPUTED_VALUE"""),"")</f>
        <v/>
      </c>
      <c r="T670" s="139" t="str">
        <f>IFERROR(__xludf.DUMMYFUNCTION("""COMPUTED_VALUE"""),"")</f>
        <v/>
      </c>
      <c r="U670" s="136" t="str">
        <f>IFERROR(__xludf.DUMMYFUNCTION("""COMPUTED_VALUE"""),"")</f>
        <v/>
      </c>
      <c r="V670" s="106" t="str">
        <f>IFERROR(__xludf.DUMMYFUNCTION("""COMPUTED_VALUE"""),"")</f>
        <v/>
      </c>
      <c r="W670" s="143" t="str">
        <f t="shared" si="2"/>
        <v/>
      </c>
      <c r="X670" s="139" t="str">
        <f>IFERROR(__xludf.DUMMYFUNCTION("""COMPUTED_VALUE"""),"")</f>
        <v/>
      </c>
      <c r="Y670" s="141" t="str">
        <f>IFERROR(__xludf.DUMMYFUNCTION("""COMPUTED_VALUE"""),"")</f>
        <v/>
      </c>
    </row>
    <row r="671">
      <c r="C671" s="136" t="str">
        <f t="shared" si="3"/>
        <v/>
      </c>
      <c r="E671" s="106"/>
      <c r="G671" s="106" t="s">
        <v>133</v>
      </c>
      <c r="I671" s="139" t="s">
        <v>133</v>
      </c>
      <c r="J671" s="136" t="s">
        <v>133</v>
      </c>
      <c r="L671" s="136" t="str">
        <f t="shared" si="1"/>
        <v/>
      </c>
      <c r="N671" s="141" t="s">
        <v>133</v>
      </c>
      <c r="O671" s="136" t="str">
        <f>IFERROR(__xludf.DUMMYFUNCTION("""COMPUTED_VALUE"""),"")</f>
        <v/>
      </c>
      <c r="P671" s="136" t="str">
        <f>IFERROR(__xludf.DUMMYFUNCTION("""COMPUTED_VALUE"""),"")</f>
        <v/>
      </c>
      <c r="Q671" s="106" t="str">
        <f>IFERROR(__xludf.DUMMYFUNCTION("""COMPUTED_VALUE"""),"")</f>
        <v/>
      </c>
      <c r="R671" s="106" t="str">
        <f>IFERROR(__xludf.DUMMYFUNCTION("""COMPUTED_VALUE"""),"")</f>
        <v/>
      </c>
      <c r="S671" s="139" t="str">
        <f>IFERROR(__xludf.DUMMYFUNCTION("""COMPUTED_VALUE"""),"")</f>
        <v/>
      </c>
      <c r="T671" s="139" t="str">
        <f>IFERROR(__xludf.DUMMYFUNCTION("""COMPUTED_VALUE"""),"")</f>
        <v/>
      </c>
      <c r="U671" s="136" t="str">
        <f>IFERROR(__xludf.DUMMYFUNCTION("""COMPUTED_VALUE"""),"")</f>
        <v/>
      </c>
      <c r="V671" s="106" t="str">
        <f>IFERROR(__xludf.DUMMYFUNCTION("""COMPUTED_VALUE"""),"")</f>
        <v/>
      </c>
      <c r="W671" s="143" t="str">
        <f t="shared" si="2"/>
        <v/>
      </c>
      <c r="X671" s="139" t="str">
        <f>IFERROR(__xludf.DUMMYFUNCTION("""COMPUTED_VALUE"""),"")</f>
        <v/>
      </c>
      <c r="Y671" s="141" t="str">
        <f>IFERROR(__xludf.DUMMYFUNCTION("""COMPUTED_VALUE"""),"")</f>
        <v/>
      </c>
    </row>
    <row r="672">
      <c r="C672" s="136" t="str">
        <f t="shared" si="3"/>
        <v/>
      </c>
      <c r="E672" s="106"/>
      <c r="G672" s="106" t="s">
        <v>133</v>
      </c>
      <c r="I672" s="139" t="s">
        <v>133</v>
      </c>
      <c r="J672" s="136" t="s">
        <v>133</v>
      </c>
      <c r="L672" s="136" t="str">
        <f t="shared" si="1"/>
        <v/>
      </c>
      <c r="N672" s="141" t="s">
        <v>133</v>
      </c>
      <c r="O672" s="136" t="str">
        <f>IFERROR(__xludf.DUMMYFUNCTION("""COMPUTED_VALUE"""),"")</f>
        <v/>
      </c>
      <c r="P672" s="136" t="str">
        <f>IFERROR(__xludf.DUMMYFUNCTION("""COMPUTED_VALUE"""),"")</f>
        <v/>
      </c>
      <c r="Q672" s="106" t="str">
        <f>IFERROR(__xludf.DUMMYFUNCTION("""COMPUTED_VALUE"""),"")</f>
        <v/>
      </c>
      <c r="R672" s="106" t="str">
        <f>IFERROR(__xludf.DUMMYFUNCTION("""COMPUTED_VALUE"""),"")</f>
        <v/>
      </c>
      <c r="S672" s="139" t="str">
        <f>IFERROR(__xludf.DUMMYFUNCTION("""COMPUTED_VALUE"""),"")</f>
        <v/>
      </c>
      <c r="T672" s="139" t="str">
        <f>IFERROR(__xludf.DUMMYFUNCTION("""COMPUTED_VALUE"""),"")</f>
        <v/>
      </c>
      <c r="U672" s="136" t="str">
        <f>IFERROR(__xludf.DUMMYFUNCTION("""COMPUTED_VALUE"""),"")</f>
        <v/>
      </c>
      <c r="V672" s="106" t="str">
        <f>IFERROR(__xludf.DUMMYFUNCTION("""COMPUTED_VALUE"""),"")</f>
        <v/>
      </c>
      <c r="W672" s="143" t="str">
        <f t="shared" si="2"/>
        <v/>
      </c>
      <c r="X672" s="139" t="str">
        <f>IFERROR(__xludf.DUMMYFUNCTION("""COMPUTED_VALUE"""),"")</f>
        <v/>
      </c>
      <c r="Y672" s="141" t="str">
        <f>IFERROR(__xludf.DUMMYFUNCTION("""COMPUTED_VALUE"""),"")</f>
        <v/>
      </c>
    </row>
    <row r="673">
      <c r="C673" s="136" t="str">
        <f t="shared" si="3"/>
        <v/>
      </c>
      <c r="E673" s="106"/>
      <c r="G673" s="106" t="s">
        <v>133</v>
      </c>
      <c r="I673" s="139" t="s">
        <v>133</v>
      </c>
      <c r="J673" s="136" t="s">
        <v>133</v>
      </c>
      <c r="L673" s="136" t="str">
        <f t="shared" si="1"/>
        <v/>
      </c>
      <c r="N673" s="141" t="s">
        <v>133</v>
      </c>
      <c r="O673" s="136" t="str">
        <f>IFERROR(__xludf.DUMMYFUNCTION("""COMPUTED_VALUE"""),"")</f>
        <v/>
      </c>
      <c r="P673" s="136" t="str">
        <f>IFERROR(__xludf.DUMMYFUNCTION("""COMPUTED_VALUE"""),"")</f>
        <v/>
      </c>
      <c r="Q673" s="106" t="str">
        <f>IFERROR(__xludf.DUMMYFUNCTION("""COMPUTED_VALUE"""),"")</f>
        <v/>
      </c>
      <c r="R673" s="106" t="str">
        <f>IFERROR(__xludf.DUMMYFUNCTION("""COMPUTED_VALUE"""),"")</f>
        <v/>
      </c>
      <c r="S673" s="139" t="str">
        <f>IFERROR(__xludf.DUMMYFUNCTION("""COMPUTED_VALUE"""),"")</f>
        <v/>
      </c>
      <c r="T673" s="139" t="str">
        <f>IFERROR(__xludf.DUMMYFUNCTION("""COMPUTED_VALUE"""),"")</f>
        <v/>
      </c>
      <c r="U673" s="136" t="str">
        <f>IFERROR(__xludf.DUMMYFUNCTION("""COMPUTED_VALUE"""),"")</f>
        <v/>
      </c>
      <c r="V673" s="106" t="str">
        <f>IFERROR(__xludf.DUMMYFUNCTION("""COMPUTED_VALUE"""),"")</f>
        <v/>
      </c>
      <c r="W673" s="143" t="str">
        <f t="shared" si="2"/>
        <v/>
      </c>
      <c r="X673" s="139" t="str">
        <f>IFERROR(__xludf.DUMMYFUNCTION("""COMPUTED_VALUE"""),"")</f>
        <v/>
      </c>
      <c r="Y673" s="141" t="str">
        <f>IFERROR(__xludf.DUMMYFUNCTION("""COMPUTED_VALUE"""),"")</f>
        <v/>
      </c>
    </row>
    <row r="674">
      <c r="C674" s="136" t="str">
        <f t="shared" si="3"/>
        <v/>
      </c>
      <c r="E674" s="106"/>
      <c r="G674" s="106" t="s">
        <v>133</v>
      </c>
      <c r="I674" s="139" t="s">
        <v>133</v>
      </c>
      <c r="J674" s="136" t="s">
        <v>133</v>
      </c>
      <c r="L674" s="136" t="str">
        <f t="shared" si="1"/>
        <v/>
      </c>
      <c r="N674" s="141" t="s">
        <v>133</v>
      </c>
      <c r="O674" s="136" t="str">
        <f>IFERROR(__xludf.DUMMYFUNCTION("""COMPUTED_VALUE"""),"")</f>
        <v/>
      </c>
      <c r="P674" s="136" t="str">
        <f>IFERROR(__xludf.DUMMYFUNCTION("""COMPUTED_VALUE"""),"")</f>
        <v/>
      </c>
      <c r="Q674" s="106" t="str">
        <f>IFERROR(__xludf.DUMMYFUNCTION("""COMPUTED_VALUE"""),"")</f>
        <v/>
      </c>
      <c r="R674" s="106" t="str">
        <f>IFERROR(__xludf.DUMMYFUNCTION("""COMPUTED_VALUE"""),"")</f>
        <v/>
      </c>
      <c r="S674" s="139" t="str">
        <f>IFERROR(__xludf.DUMMYFUNCTION("""COMPUTED_VALUE"""),"")</f>
        <v/>
      </c>
      <c r="T674" s="139" t="str">
        <f>IFERROR(__xludf.DUMMYFUNCTION("""COMPUTED_VALUE"""),"")</f>
        <v/>
      </c>
      <c r="U674" s="136" t="str">
        <f>IFERROR(__xludf.DUMMYFUNCTION("""COMPUTED_VALUE"""),"")</f>
        <v/>
      </c>
      <c r="V674" s="106" t="str">
        <f>IFERROR(__xludf.DUMMYFUNCTION("""COMPUTED_VALUE"""),"")</f>
        <v/>
      </c>
      <c r="W674" s="143" t="str">
        <f t="shared" si="2"/>
        <v/>
      </c>
      <c r="X674" s="139" t="str">
        <f>IFERROR(__xludf.DUMMYFUNCTION("""COMPUTED_VALUE"""),"")</f>
        <v/>
      </c>
      <c r="Y674" s="141" t="str">
        <f>IFERROR(__xludf.DUMMYFUNCTION("""COMPUTED_VALUE"""),"")</f>
        <v/>
      </c>
    </row>
    <row r="675">
      <c r="C675" s="136" t="str">
        <f t="shared" si="3"/>
        <v/>
      </c>
      <c r="E675" s="106"/>
      <c r="G675" s="106" t="s">
        <v>133</v>
      </c>
      <c r="I675" s="139" t="s">
        <v>133</v>
      </c>
      <c r="J675" s="136" t="s">
        <v>133</v>
      </c>
      <c r="L675" s="136" t="str">
        <f t="shared" si="1"/>
        <v/>
      </c>
      <c r="N675" s="141" t="s">
        <v>133</v>
      </c>
      <c r="O675" s="136" t="str">
        <f>IFERROR(__xludf.DUMMYFUNCTION("""COMPUTED_VALUE"""),"")</f>
        <v/>
      </c>
      <c r="P675" s="136" t="str">
        <f>IFERROR(__xludf.DUMMYFUNCTION("""COMPUTED_VALUE"""),"")</f>
        <v/>
      </c>
      <c r="Q675" s="106" t="str">
        <f>IFERROR(__xludf.DUMMYFUNCTION("""COMPUTED_VALUE"""),"")</f>
        <v/>
      </c>
      <c r="R675" s="106" t="str">
        <f>IFERROR(__xludf.DUMMYFUNCTION("""COMPUTED_VALUE"""),"")</f>
        <v/>
      </c>
      <c r="S675" s="139" t="str">
        <f>IFERROR(__xludf.DUMMYFUNCTION("""COMPUTED_VALUE"""),"")</f>
        <v/>
      </c>
      <c r="T675" s="139" t="str">
        <f>IFERROR(__xludf.DUMMYFUNCTION("""COMPUTED_VALUE"""),"")</f>
        <v/>
      </c>
      <c r="U675" s="136" t="str">
        <f>IFERROR(__xludf.DUMMYFUNCTION("""COMPUTED_VALUE"""),"")</f>
        <v/>
      </c>
      <c r="V675" s="106" t="str">
        <f>IFERROR(__xludf.DUMMYFUNCTION("""COMPUTED_VALUE"""),"")</f>
        <v/>
      </c>
      <c r="W675" s="143" t="str">
        <f t="shared" si="2"/>
        <v/>
      </c>
      <c r="X675" s="139" t="str">
        <f>IFERROR(__xludf.DUMMYFUNCTION("""COMPUTED_VALUE"""),"")</f>
        <v/>
      </c>
      <c r="Y675" s="141" t="str">
        <f>IFERROR(__xludf.DUMMYFUNCTION("""COMPUTED_VALUE"""),"")</f>
        <v/>
      </c>
    </row>
    <row r="676">
      <c r="C676" s="136" t="str">
        <f t="shared" si="3"/>
        <v/>
      </c>
      <c r="E676" s="106"/>
      <c r="G676" s="106" t="s">
        <v>133</v>
      </c>
      <c r="I676" s="139" t="s">
        <v>133</v>
      </c>
      <c r="J676" s="136" t="s">
        <v>133</v>
      </c>
      <c r="L676" s="136" t="str">
        <f t="shared" si="1"/>
        <v/>
      </c>
      <c r="N676" s="141" t="s">
        <v>133</v>
      </c>
      <c r="O676" s="136" t="str">
        <f>IFERROR(__xludf.DUMMYFUNCTION("""COMPUTED_VALUE"""),"")</f>
        <v/>
      </c>
      <c r="P676" s="136" t="str">
        <f>IFERROR(__xludf.DUMMYFUNCTION("""COMPUTED_VALUE"""),"")</f>
        <v/>
      </c>
      <c r="Q676" s="106" t="str">
        <f>IFERROR(__xludf.DUMMYFUNCTION("""COMPUTED_VALUE"""),"")</f>
        <v/>
      </c>
      <c r="R676" s="106" t="str">
        <f>IFERROR(__xludf.DUMMYFUNCTION("""COMPUTED_VALUE"""),"")</f>
        <v/>
      </c>
      <c r="S676" s="139" t="str">
        <f>IFERROR(__xludf.DUMMYFUNCTION("""COMPUTED_VALUE"""),"")</f>
        <v/>
      </c>
      <c r="T676" s="139" t="str">
        <f>IFERROR(__xludf.DUMMYFUNCTION("""COMPUTED_VALUE"""),"")</f>
        <v/>
      </c>
      <c r="U676" s="136" t="str">
        <f>IFERROR(__xludf.DUMMYFUNCTION("""COMPUTED_VALUE"""),"")</f>
        <v/>
      </c>
      <c r="V676" s="106" t="str">
        <f>IFERROR(__xludf.DUMMYFUNCTION("""COMPUTED_VALUE"""),"")</f>
        <v/>
      </c>
      <c r="W676" s="143" t="str">
        <f t="shared" si="2"/>
        <v/>
      </c>
      <c r="X676" s="139" t="str">
        <f>IFERROR(__xludf.DUMMYFUNCTION("""COMPUTED_VALUE"""),"")</f>
        <v/>
      </c>
      <c r="Y676" s="141" t="str">
        <f>IFERROR(__xludf.DUMMYFUNCTION("""COMPUTED_VALUE"""),"")</f>
        <v/>
      </c>
    </row>
    <row r="677">
      <c r="C677" s="136" t="str">
        <f t="shared" si="3"/>
        <v/>
      </c>
      <c r="E677" s="106"/>
      <c r="G677" s="106" t="s">
        <v>133</v>
      </c>
      <c r="I677" s="139" t="s">
        <v>133</v>
      </c>
      <c r="J677" s="136" t="s">
        <v>133</v>
      </c>
      <c r="L677" s="136" t="str">
        <f t="shared" si="1"/>
        <v/>
      </c>
      <c r="N677" s="141" t="s">
        <v>133</v>
      </c>
      <c r="O677" s="136" t="str">
        <f>IFERROR(__xludf.DUMMYFUNCTION("""COMPUTED_VALUE"""),"")</f>
        <v/>
      </c>
      <c r="P677" s="136" t="str">
        <f>IFERROR(__xludf.DUMMYFUNCTION("""COMPUTED_VALUE"""),"")</f>
        <v/>
      </c>
      <c r="Q677" s="106" t="str">
        <f>IFERROR(__xludf.DUMMYFUNCTION("""COMPUTED_VALUE"""),"")</f>
        <v/>
      </c>
      <c r="R677" s="106" t="str">
        <f>IFERROR(__xludf.DUMMYFUNCTION("""COMPUTED_VALUE"""),"")</f>
        <v/>
      </c>
      <c r="S677" s="139" t="str">
        <f>IFERROR(__xludf.DUMMYFUNCTION("""COMPUTED_VALUE"""),"")</f>
        <v/>
      </c>
      <c r="T677" s="139" t="str">
        <f>IFERROR(__xludf.DUMMYFUNCTION("""COMPUTED_VALUE"""),"")</f>
        <v/>
      </c>
      <c r="U677" s="136" t="str">
        <f>IFERROR(__xludf.DUMMYFUNCTION("""COMPUTED_VALUE"""),"")</f>
        <v/>
      </c>
      <c r="V677" s="106" t="str">
        <f>IFERROR(__xludf.DUMMYFUNCTION("""COMPUTED_VALUE"""),"")</f>
        <v/>
      </c>
      <c r="W677" s="143" t="str">
        <f t="shared" si="2"/>
        <v/>
      </c>
      <c r="X677" s="139" t="str">
        <f>IFERROR(__xludf.DUMMYFUNCTION("""COMPUTED_VALUE"""),"")</f>
        <v/>
      </c>
      <c r="Y677" s="141" t="str">
        <f>IFERROR(__xludf.DUMMYFUNCTION("""COMPUTED_VALUE"""),"")</f>
        <v/>
      </c>
    </row>
    <row r="678">
      <c r="C678" s="136" t="str">
        <f t="shared" si="3"/>
        <v/>
      </c>
      <c r="E678" s="106"/>
      <c r="G678" s="106" t="s">
        <v>133</v>
      </c>
      <c r="I678" s="139" t="s">
        <v>133</v>
      </c>
      <c r="J678" s="136" t="s">
        <v>133</v>
      </c>
      <c r="L678" s="136" t="str">
        <f t="shared" si="1"/>
        <v/>
      </c>
      <c r="N678" s="141" t="s">
        <v>133</v>
      </c>
      <c r="O678" s="136" t="str">
        <f>IFERROR(__xludf.DUMMYFUNCTION("""COMPUTED_VALUE"""),"")</f>
        <v/>
      </c>
      <c r="P678" s="136" t="str">
        <f>IFERROR(__xludf.DUMMYFUNCTION("""COMPUTED_VALUE"""),"")</f>
        <v/>
      </c>
      <c r="Q678" s="106" t="str">
        <f>IFERROR(__xludf.DUMMYFUNCTION("""COMPUTED_VALUE"""),"")</f>
        <v/>
      </c>
      <c r="R678" s="106" t="str">
        <f>IFERROR(__xludf.DUMMYFUNCTION("""COMPUTED_VALUE"""),"")</f>
        <v/>
      </c>
      <c r="S678" s="139" t="str">
        <f>IFERROR(__xludf.DUMMYFUNCTION("""COMPUTED_VALUE"""),"")</f>
        <v/>
      </c>
      <c r="T678" s="139" t="str">
        <f>IFERROR(__xludf.DUMMYFUNCTION("""COMPUTED_VALUE"""),"")</f>
        <v/>
      </c>
      <c r="U678" s="136" t="str">
        <f>IFERROR(__xludf.DUMMYFUNCTION("""COMPUTED_VALUE"""),"")</f>
        <v/>
      </c>
      <c r="V678" s="106" t="str">
        <f>IFERROR(__xludf.DUMMYFUNCTION("""COMPUTED_VALUE"""),"")</f>
        <v/>
      </c>
      <c r="W678" s="143" t="str">
        <f t="shared" si="2"/>
        <v/>
      </c>
      <c r="X678" s="139" t="str">
        <f>IFERROR(__xludf.DUMMYFUNCTION("""COMPUTED_VALUE"""),"")</f>
        <v/>
      </c>
      <c r="Y678" s="141" t="str">
        <f>IFERROR(__xludf.DUMMYFUNCTION("""COMPUTED_VALUE"""),"")</f>
        <v/>
      </c>
    </row>
    <row r="679">
      <c r="C679" s="136" t="str">
        <f t="shared" si="3"/>
        <v/>
      </c>
      <c r="E679" s="106"/>
      <c r="G679" s="106" t="s">
        <v>133</v>
      </c>
      <c r="I679" s="139" t="s">
        <v>133</v>
      </c>
      <c r="J679" s="136" t="s">
        <v>133</v>
      </c>
      <c r="L679" s="136" t="str">
        <f t="shared" si="1"/>
        <v/>
      </c>
      <c r="N679" s="141" t="s">
        <v>133</v>
      </c>
      <c r="O679" s="136" t="str">
        <f>IFERROR(__xludf.DUMMYFUNCTION("""COMPUTED_VALUE"""),"")</f>
        <v/>
      </c>
      <c r="P679" s="136" t="str">
        <f>IFERROR(__xludf.DUMMYFUNCTION("""COMPUTED_VALUE"""),"")</f>
        <v/>
      </c>
      <c r="Q679" s="106" t="str">
        <f>IFERROR(__xludf.DUMMYFUNCTION("""COMPUTED_VALUE"""),"")</f>
        <v/>
      </c>
      <c r="R679" s="106" t="str">
        <f>IFERROR(__xludf.DUMMYFUNCTION("""COMPUTED_VALUE"""),"")</f>
        <v/>
      </c>
      <c r="S679" s="139" t="str">
        <f>IFERROR(__xludf.DUMMYFUNCTION("""COMPUTED_VALUE"""),"")</f>
        <v/>
      </c>
      <c r="T679" s="139" t="str">
        <f>IFERROR(__xludf.DUMMYFUNCTION("""COMPUTED_VALUE"""),"")</f>
        <v/>
      </c>
      <c r="U679" s="136" t="str">
        <f>IFERROR(__xludf.DUMMYFUNCTION("""COMPUTED_VALUE"""),"")</f>
        <v/>
      </c>
      <c r="V679" s="106" t="str">
        <f>IFERROR(__xludf.DUMMYFUNCTION("""COMPUTED_VALUE"""),"")</f>
        <v/>
      </c>
      <c r="W679" s="143" t="str">
        <f t="shared" si="2"/>
        <v/>
      </c>
      <c r="X679" s="139" t="str">
        <f>IFERROR(__xludf.DUMMYFUNCTION("""COMPUTED_VALUE"""),"")</f>
        <v/>
      </c>
      <c r="Y679" s="141" t="str">
        <f>IFERROR(__xludf.DUMMYFUNCTION("""COMPUTED_VALUE"""),"")</f>
        <v/>
      </c>
    </row>
    <row r="680">
      <c r="C680" s="136" t="str">
        <f t="shared" si="3"/>
        <v/>
      </c>
      <c r="E680" s="106"/>
      <c r="G680" s="106" t="s">
        <v>133</v>
      </c>
      <c r="I680" s="139" t="s">
        <v>133</v>
      </c>
      <c r="J680" s="136" t="s">
        <v>133</v>
      </c>
      <c r="L680" s="136" t="str">
        <f t="shared" si="1"/>
        <v/>
      </c>
      <c r="N680" s="141" t="s">
        <v>133</v>
      </c>
      <c r="O680" s="136" t="str">
        <f>IFERROR(__xludf.DUMMYFUNCTION("""COMPUTED_VALUE"""),"")</f>
        <v/>
      </c>
      <c r="P680" s="136" t="str">
        <f>IFERROR(__xludf.DUMMYFUNCTION("""COMPUTED_VALUE"""),"")</f>
        <v/>
      </c>
      <c r="Q680" s="106" t="str">
        <f>IFERROR(__xludf.DUMMYFUNCTION("""COMPUTED_VALUE"""),"")</f>
        <v/>
      </c>
      <c r="R680" s="106" t="str">
        <f>IFERROR(__xludf.DUMMYFUNCTION("""COMPUTED_VALUE"""),"")</f>
        <v/>
      </c>
      <c r="S680" s="139" t="str">
        <f>IFERROR(__xludf.DUMMYFUNCTION("""COMPUTED_VALUE"""),"")</f>
        <v/>
      </c>
      <c r="T680" s="139" t="str">
        <f>IFERROR(__xludf.DUMMYFUNCTION("""COMPUTED_VALUE"""),"")</f>
        <v/>
      </c>
      <c r="U680" s="136" t="str">
        <f>IFERROR(__xludf.DUMMYFUNCTION("""COMPUTED_VALUE"""),"")</f>
        <v/>
      </c>
      <c r="V680" s="106" t="str">
        <f>IFERROR(__xludf.DUMMYFUNCTION("""COMPUTED_VALUE"""),"")</f>
        <v/>
      </c>
      <c r="W680" s="143" t="str">
        <f t="shared" si="2"/>
        <v/>
      </c>
      <c r="X680" s="139" t="str">
        <f>IFERROR(__xludf.DUMMYFUNCTION("""COMPUTED_VALUE"""),"")</f>
        <v/>
      </c>
      <c r="Y680" s="141" t="str">
        <f>IFERROR(__xludf.DUMMYFUNCTION("""COMPUTED_VALUE"""),"")</f>
        <v/>
      </c>
    </row>
    <row r="681">
      <c r="C681" s="136" t="str">
        <f t="shared" si="3"/>
        <v/>
      </c>
      <c r="E681" s="106"/>
      <c r="G681" s="106" t="s">
        <v>133</v>
      </c>
      <c r="I681" s="139" t="s">
        <v>133</v>
      </c>
      <c r="J681" s="136" t="s">
        <v>133</v>
      </c>
      <c r="L681" s="136" t="str">
        <f t="shared" si="1"/>
        <v/>
      </c>
      <c r="N681" s="141" t="s">
        <v>133</v>
      </c>
      <c r="O681" s="136" t="str">
        <f>IFERROR(__xludf.DUMMYFUNCTION("""COMPUTED_VALUE"""),"")</f>
        <v/>
      </c>
      <c r="P681" s="136" t="str">
        <f>IFERROR(__xludf.DUMMYFUNCTION("""COMPUTED_VALUE"""),"")</f>
        <v/>
      </c>
      <c r="Q681" s="106" t="str">
        <f>IFERROR(__xludf.DUMMYFUNCTION("""COMPUTED_VALUE"""),"")</f>
        <v/>
      </c>
      <c r="R681" s="106" t="str">
        <f>IFERROR(__xludf.DUMMYFUNCTION("""COMPUTED_VALUE"""),"")</f>
        <v/>
      </c>
      <c r="S681" s="139" t="str">
        <f>IFERROR(__xludf.DUMMYFUNCTION("""COMPUTED_VALUE"""),"")</f>
        <v/>
      </c>
      <c r="T681" s="139" t="str">
        <f>IFERROR(__xludf.DUMMYFUNCTION("""COMPUTED_VALUE"""),"")</f>
        <v/>
      </c>
      <c r="U681" s="136" t="str">
        <f>IFERROR(__xludf.DUMMYFUNCTION("""COMPUTED_VALUE"""),"")</f>
        <v/>
      </c>
      <c r="V681" s="106" t="str">
        <f>IFERROR(__xludf.DUMMYFUNCTION("""COMPUTED_VALUE"""),"")</f>
        <v/>
      </c>
      <c r="W681" s="143" t="str">
        <f t="shared" si="2"/>
        <v/>
      </c>
      <c r="X681" s="139" t="str">
        <f>IFERROR(__xludf.DUMMYFUNCTION("""COMPUTED_VALUE"""),"")</f>
        <v/>
      </c>
      <c r="Y681" s="141" t="str">
        <f>IFERROR(__xludf.DUMMYFUNCTION("""COMPUTED_VALUE"""),"")</f>
        <v/>
      </c>
    </row>
    <row r="682">
      <c r="C682" s="136" t="str">
        <f t="shared" si="3"/>
        <v/>
      </c>
      <c r="E682" s="106"/>
      <c r="G682" s="106" t="s">
        <v>133</v>
      </c>
      <c r="I682" s="139" t="s">
        <v>133</v>
      </c>
      <c r="J682" s="136" t="s">
        <v>133</v>
      </c>
      <c r="L682" s="136" t="str">
        <f t="shared" si="1"/>
        <v/>
      </c>
      <c r="N682" s="141" t="s">
        <v>133</v>
      </c>
      <c r="O682" s="136" t="str">
        <f>IFERROR(__xludf.DUMMYFUNCTION("""COMPUTED_VALUE"""),"")</f>
        <v/>
      </c>
      <c r="P682" s="136" t="str">
        <f>IFERROR(__xludf.DUMMYFUNCTION("""COMPUTED_VALUE"""),"")</f>
        <v/>
      </c>
      <c r="Q682" s="106" t="str">
        <f>IFERROR(__xludf.DUMMYFUNCTION("""COMPUTED_VALUE"""),"")</f>
        <v/>
      </c>
      <c r="R682" s="106" t="str">
        <f>IFERROR(__xludf.DUMMYFUNCTION("""COMPUTED_VALUE"""),"")</f>
        <v/>
      </c>
      <c r="S682" s="139" t="str">
        <f>IFERROR(__xludf.DUMMYFUNCTION("""COMPUTED_VALUE"""),"")</f>
        <v/>
      </c>
      <c r="T682" s="139" t="str">
        <f>IFERROR(__xludf.DUMMYFUNCTION("""COMPUTED_VALUE"""),"")</f>
        <v/>
      </c>
      <c r="U682" s="136" t="str">
        <f>IFERROR(__xludf.DUMMYFUNCTION("""COMPUTED_VALUE"""),"")</f>
        <v/>
      </c>
      <c r="V682" s="106" t="str">
        <f>IFERROR(__xludf.DUMMYFUNCTION("""COMPUTED_VALUE"""),"")</f>
        <v/>
      </c>
      <c r="W682" s="143" t="str">
        <f t="shared" si="2"/>
        <v/>
      </c>
      <c r="X682" s="139" t="str">
        <f>IFERROR(__xludf.DUMMYFUNCTION("""COMPUTED_VALUE"""),"")</f>
        <v/>
      </c>
      <c r="Y682" s="141" t="str">
        <f>IFERROR(__xludf.DUMMYFUNCTION("""COMPUTED_VALUE"""),"")</f>
        <v/>
      </c>
    </row>
    <row r="683">
      <c r="C683" s="136" t="str">
        <f t="shared" si="3"/>
        <v/>
      </c>
      <c r="E683" s="106"/>
      <c r="G683" s="106" t="s">
        <v>133</v>
      </c>
      <c r="I683" s="139" t="s">
        <v>133</v>
      </c>
      <c r="J683" s="136" t="s">
        <v>133</v>
      </c>
      <c r="L683" s="136" t="str">
        <f t="shared" si="1"/>
        <v/>
      </c>
      <c r="N683" s="141" t="s">
        <v>133</v>
      </c>
      <c r="O683" s="136" t="str">
        <f>IFERROR(__xludf.DUMMYFUNCTION("""COMPUTED_VALUE"""),"")</f>
        <v/>
      </c>
      <c r="P683" s="136" t="str">
        <f>IFERROR(__xludf.DUMMYFUNCTION("""COMPUTED_VALUE"""),"")</f>
        <v/>
      </c>
      <c r="Q683" s="106" t="str">
        <f>IFERROR(__xludf.DUMMYFUNCTION("""COMPUTED_VALUE"""),"")</f>
        <v/>
      </c>
      <c r="R683" s="106" t="str">
        <f>IFERROR(__xludf.DUMMYFUNCTION("""COMPUTED_VALUE"""),"")</f>
        <v/>
      </c>
      <c r="S683" s="139" t="str">
        <f>IFERROR(__xludf.DUMMYFUNCTION("""COMPUTED_VALUE"""),"")</f>
        <v/>
      </c>
      <c r="T683" s="139" t="str">
        <f>IFERROR(__xludf.DUMMYFUNCTION("""COMPUTED_VALUE"""),"")</f>
        <v/>
      </c>
      <c r="U683" s="136" t="str">
        <f>IFERROR(__xludf.DUMMYFUNCTION("""COMPUTED_VALUE"""),"")</f>
        <v/>
      </c>
      <c r="V683" s="106" t="str">
        <f>IFERROR(__xludf.DUMMYFUNCTION("""COMPUTED_VALUE"""),"")</f>
        <v/>
      </c>
      <c r="W683" s="143" t="str">
        <f t="shared" si="2"/>
        <v/>
      </c>
      <c r="X683" s="139" t="str">
        <f>IFERROR(__xludf.DUMMYFUNCTION("""COMPUTED_VALUE"""),"")</f>
        <v/>
      </c>
      <c r="Y683" s="141" t="str">
        <f>IFERROR(__xludf.DUMMYFUNCTION("""COMPUTED_VALUE"""),"")</f>
        <v/>
      </c>
    </row>
    <row r="684">
      <c r="C684" s="136" t="str">
        <f t="shared" si="3"/>
        <v/>
      </c>
      <c r="E684" s="106"/>
      <c r="G684" s="106" t="s">
        <v>133</v>
      </c>
      <c r="I684" s="139" t="s">
        <v>133</v>
      </c>
      <c r="J684" s="136" t="s">
        <v>133</v>
      </c>
      <c r="L684" s="136" t="str">
        <f t="shared" si="1"/>
        <v/>
      </c>
      <c r="N684" s="141" t="s">
        <v>133</v>
      </c>
      <c r="O684" s="136" t="str">
        <f>IFERROR(__xludf.DUMMYFUNCTION("""COMPUTED_VALUE"""),"")</f>
        <v/>
      </c>
      <c r="P684" s="136" t="str">
        <f>IFERROR(__xludf.DUMMYFUNCTION("""COMPUTED_VALUE"""),"")</f>
        <v/>
      </c>
      <c r="Q684" s="106" t="str">
        <f>IFERROR(__xludf.DUMMYFUNCTION("""COMPUTED_VALUE"""),"")</f>
        <v/>
      </c>
      <c r="R684" s="106" t="str">
        <f>IFERROR(__xludf.DUMMYFUNCTION("""COMPUTED_VALUE"""),"")</f>
        <v/>
      </c>
      <c r="S684" s="139" t="str">
        <f>IFERROR(__xludf.DUMMYFUNCTION("""COMPUTED_VALUE"""),"")</f>
        <v/>
      </c>
      <c r="T684" s="139" t="str">
        <f>IFERROR(__xludf.DUMMYFUNCTION("""COMPUTED_VALUE"""),"")</f>
        <v/>
      </c>
      <c r="U684" s="136" t="str">
        <f>IFERROR(__xludf.DUMMYFUNCTION("""COMPUTED_VALUE"""),"")</f>
        <v/>
      </c>
      <c r="V684" s="106" t="str">
        <f>IFERROR(__xludf.DUMMYFUNCTION("""COMPUTED_VALUE"""),"")</f>
        <v/>
      </c>
      <c r="W684" s="143" t="str">
        <f t="shared" si="2"/>
        <v/>
      </c>
      <c r="X684" s="139" t="str">
        <f>IFERROR(__xludf.DUMMYFUNCTION("""COMPUTED_VALUE"""),"")</f>
        <v/>
      </c>
      <c r="Y684" s="141" t="str">
        <f>IFERROR(__xludf.DUMMYFUNCTION("""COMPUTED_VALUE"""),"")</f>
        <v/>
      </c>
    </row>
    <row r="685">
      <c r="C685" s="136" t="str">
        <f t="shared" si="3"/>
        <v/>
      </c>
      <c r="E685" s="106"/>
      <c r="G685" s="106" t="s">
        <v>133</v>
      </c>
      <c r="I685" s="139" t="s">
        <v>133</v>
      </c>
      <c r="J685" s="136" t="s">
        <v>133</v>
      </c>
      <c r="L685" s="136" t="str">
        <f t="shared" si="1"/>
        <v/>
      </c>
      <c r="N685" s="141" t="s">
        <v>133</v>
      </c>
      <c r="O685" s="136" t="str">
        <f>IFERROR(__xludf.DUMMYFUNCTION("""COMPUTED_VALUE"""),"")</f>
        <v/>
      </c>
      <c r="P685" s="136" t="str">
        <f>IFERROR(__xludf.DUMMYFUNCTION("""COMPUTED_VALUE"""),"")</f>
        <v/>
      </c>
      <c r="Q685" s="106" t="str">
        <f>IFERROR(__xludf.DUMMYFUNCTION("""COMPUTED_VALUE"""),"")</f>
        <v/>
      </c>
      <c r="R685" s="106" t="str">
        <f>IFERROR(__xludf.DUMMYFUNCTION("""COMPUTED_VALUE"""),"")</f>
        <v/>
      </c>
      <c r="S685" s="139" t="str">
        <f>IFERROR(__xludf.DUMMYFUNCTION("""COMPUTED_VALUE"""),"")</f>
        <v/>
      </c>
      <c r="T685" s="139" t="str">
        <f>IFERROR(__xludf.DUMMYFUNCTION("""COMPUTED_VALUE"""),"")</f>
        <v/>
      </c>
      <c r="U685" s="136" t="str">
        <f>IFERROR(__xludf.DUMMYFUNCTION("""COMPUTED_VALUE"""),"")</f>
        <v/>
      </c>
      <c r="V685" s="106" t="str">
        <f>IFERROR(__xludf.DUMMYFUNCTION("""COMPUTED_VALUE"""),"")</f>
        <v/>
      </c>
      <c r="W685" s="143" t="str">
        <f t="shared" si="2"/>
        <v/>
      </c>
      <c r="X685" s="139" t="str">
        <f>IFERROR(__xludf.DUMMYFUNCTION("""COMPUTED_VALUE"""),"")</f>
        <v/>
      </c>
      <c r="Y685" s="141" t="str">
        <f>IFERROR(__xludf.DUMMYFUNCTION("""COMPUTED_VALUE"""),"")</f>
        <v/>
      </c>
    </row>
    <row r="686">
      <c r="C686" s="136" t="str">
        <f t="shared" si="3"/>
        <v/>
      </c>
      <c r="E686" s="106"/>
      <c r="G686" s="106" t="s">
        <v>133</v>
      </c>
      <c r="I686" s="139" t="s">
        <v>133</v>
      </c>
      <c r="J686" s="136" t="s">
        <v>133</v>
      </c>
      <c r="L686" s="136" t="str">
        <f t="shared" si="1"/>
        <v/>
      </c>
      <c r="N686" s="141" t="s">
        <v>133</v>
      </c>
      <c r="O686" s="136" t="str">
        <f>IFERROR(__xludf.DUMMYFUNCTION("""COMPUTED_VALUE"""),"")</f>
        <v/>
      </c>
      <c r="P686" s="136" t="str">
        <f>IFERROR(__xludf.DUMMYFUNCTION("""COMPUTED_VALUE"""),"")</f>
        <v/>
      </c>
      <c r="Q686" s="106" t="str">
        <f>IFERROR(__xludf.DUMMYFUNCTION("""COMPUTED_VALUE"""),"")</f>
        <v/>
      </c>
      <c r="R686" s="106" t="str">
        <f>IFERROR(__xludf.DUMMYFUNCTION("""COMPUTED_VALUE"""),"")</f>
        <v/>
      </c>
      <c r="S686" s="139" t="str">
        <f>IFERROR(__xludf.DUMMYFUNCTION("""COMPUTED_VALUE"""),"")</f>
        <v/>
      </c>
      <c r="T686" s="139" t="str">
        <f>IFERROR(__xludf.DUMMYFUNCTION("""COMPUTED_VALUE"""),"")</f>
        <v/>
      </c>
      <c r="U686" s="136" t="str">
        <f>IFERROR(__xludf.DUMMYFUNCTION("""COMPUTED_VALUE"""),"")</f>
        <v/>
      </c>
      <c r="V686" s="106" t="str">
        <f>IFERROR(__xludf.DUMMYFUNCTION("""COMPUTED_VALUE"""),"")</f>
        <v/>
      </c>
      <c r="W686" s="143" t="str">
        <f t="shared" si="2"/>
        <v/>
      </c>
      <c r="X686" s="139" t="str">
        <f>IFERROR(__xludf.DUMMYFUNCTION("""COMPUTED_VALUE"""),"")</f>
        <v/>
      </c>
      <c r="Y686" s="141" t="str">
        <f>IFERROR(__xludf.DUMMYFUNCTION("""COMPUTED_VALUE"""),"")</f>
        <v/>
      </c>
    </row>
    <row r="687">
      <c r="C687" s="136" t="str">
        <f t="shared" si="3"/>
        <v/>
      </c>
      <c r="E687" s="106"/>
      <c r="G687" s="106" t="s">
        <v>133</v>
      </c>
      <c r="I687" s="139" t="s">
        <v>133</v>
      </c>
      <c r="J687" s="136" t="s">
        <v>133</v>
      </c>
      <c r="L687" s="136" t="str">
        <f t="shared" si="1"/>
        <v/>
      </c>
      <c r="N687" s="141" t="s">
        <v>133</v>
      </c>
      <c r="O687" s="136" t="str">
        <f>IFERROR(__xludf.DUMMYFUNCTION("""COMPUTED_VALUE"""),"")</f>
        <v/>
      </c>
      <c r="P687" s="136" t="str">
        <f>IFERROR(__xludf.DUMMYFUNCTION("""COMPUTED_VALUE"""),"")</f>
        <v/>
      </c>
      <c r="Q687" s="106" t="str">
        <f>IFERROR(__xludf.DUMMYFUNCTION("""COMPUTED_VALUE"""),"")</f>
        <v/>
      </c>
      <c r="R687" s="106" t="str">
        <f>IFERROR(__xludf.DUMMYFUNCTION("""COMPUTED_VALUE"""),"")</f>
        <v/>
      </c>
      <c r="S687" s="139" t="str">
        <f>IFERROR(__xludf.DUMMYFUNCTION("""COMPUTED_VALUE"""),"")</f>
        <v/>
      </c>
      <c r="T687" s="139" t="str">
        <f>IFERROR(__xludf.DUMMYFUNCTION("""COMPUTED_VALUE"""),"")</f>
        <v/>
      </c>
      <c r="U687" s="136" t="str">
        <f>IFERROR(__xludf.DUMMYFUNCTION("""COMPUTED_VALUE"""),"")</f>
        <v/>
      </c>
      <c r="V687" s="106" t="str">
        <f>IFERROR(__xludf.DUMMYFUNCTION("""COMPUTED_VALUE"""),"")</f>
        <v/>
      </c>
      <c r="W687" s="143" t="str">
        <f t="shared" si="2"/>
        <v/>
      </c>
      <c r="X687" s="139" t="str">
        <f>IFERROR(__xludf.DUMMYFUNCTION("""COMPUTED_VALUE"""),"")</f>
        <v/>
      </c>
      <c r="Y687" s="141" t="str">
        <f>IFERROR(__xludf.DUMMYFUNCTION("""COMPUTED_VALUE"""),"")</f>
        <v/>
      </c>
    </row>
    <row r="688">
      <c r="C688" s="136" t="str">
        <f t="shared" si="3"/>
        <v/>
      </c>
      <c r="E688" s="106"/>
      <c r="G688" s="106" t="s">
        <v>133</v>
      </c>
      <c r="I688" s="139" t="s">
        <v>133</v>
      </c>
      <c r="J688" s="136" t="s">
        <v>133</v>
      </c>
      <c r="L688" s="136" t="str">
        <f t="shared" si="1"/>
        <v/>
      </c>
      <c r="N688" s="141" t="s">
        <v>133</v>
      </c>
      <c r="O688" s="136" t="str">
        <f>IFERROR(__xludf.DUMMYFUNCTION("""COMPUTED_VALUE"""),"")</f>
        <v/>
      </c>
      <c r="P688" s="136" t="str">
        <f>IFERROR(__xludf.DUMMYFUNCTION("""COMPUTED_VALUE"""),"")</f>
        <v/>
      </c>
      <c r="Q688" s="106" t="str">
        <f>IFERROR(__xludf.DUMMYFUNCTION("""COMPUTED_VALUE"""),"")</f>
        <v/>
      </c>
      <c r="R688" s="106" t="str">
        <f>IFERROR(__xludf.DUMMYFUNCTION("""COMPUTED_VALUE"""),"")</f>
        <v/>
      </c>
      <c r="S688" s="139" t="str">
        <f>IFERROR(__xludf.DUMMYFUNCTION("""COMPUTED_VALUE"""),"")</f>
        <v/>
      </c>
      <c r="T688" s="139" t="str">
        <f>IFERROR(__xludf.DUMMYFUNCTION("""COMPUTED_VALUE"""),"")</f>
        <v/>
      </c>
      <c r="U688" s="136" t="str">
        <f>IFERROR(__xludf.DUMMYFUNCTION("""COMPUTED_VALUE"""),"")</f>
        <v/>
      </c>
      <c r="V688" s="106" t="str">
        <f>IFERROR(__xludf.DUMMYFUNCTION("""COMPUTED_VALUE"""),"")</f>
        <v/>
      </c>
      <c r="W688" s="143" t="str">
        <f t="shared" si="2"/>
        <v/>
      </c>
      <c r="X688" s="139" t="str">
        <f>IFERROR(__xludf.DUMMYFUNCTION("""COMPUTED_VALUE"""),"")</f>
        <v/>
      </c>
      <c r="Y688" s="141" t="str">
        <f>IFERROR(__xludf.DUMMYFUNCTION("""COMPUTED_VALUE"""),"")</f>
        <v/>
      </c>
    </row>
    <row r="689">
      <c r="C689" s="136" t="str">
        <f t="shared" si="3"/>
        <v/>
      </c>
      <c r="E689" s="106"/>
      <c r="G689" s="106" t="s">
        <v>133</v>
      </c>
      <c r="I689" s="139" t="s">
        <v>133</v>
      </c>
      <c r="J689" s="136" t="s">
        <v>133</v>
      </c>
      <c r="L689" s="136" t="str">
        <f t="shared" si="1"/>
        <v/>
      </c>
      <c r="N689" s="141" t="s">
        <v>133</v>
      </c>
      <c r="O689" s="136" t="str">
        <f>IFERROR(__xludf.DUMMYFUNCTION("""COMPUTED_VALUE"""),"")</f>
        <v/>
      </c>
      <c r="P689" s="136" t="str">
        <f>IFERROR(__xludf.DUMMYFUNCTION("""COMPUTED_VALUE"""),"")</f>
        <v/>
      </c>
      <c r="Q689" s="106" t="str">
        <f>IFERROR(__xludf.DUMMYFUNCTION("""COMPUTED_VALUE"""),"")</f>
        <v/>
      </c>
      <c r="R689" s="106" t="str">
        <f>IFERROR(__xludf.DUMMYFUNCTION("""COMPUTED_VALUE"""),"")</f>
        <v/>
      </c>
      <c r="S689" s="139" t="str">
        <f>IFERROR(__xludf.DUMMYFUNCTION("""COMPUTED_VALUE"""),"")</f>
        <v/>
      </c>
      <c r="T689" s="139" t="str">
        <f>IFERROR(__xludf.DUMMYFUNCTION("""COMPUTED_VALUE"""),"")</f>
        <v/>
      </c>
      <c r="U689" s="136" t="str">
        <f>IFERROR(__xludf.DUMMYFUNCTION("""COMPUTED_VALUE"""),"")</f>
        <v/>
      </c>
      <c r="V689" s="106" t="str">
        <f>IFERROR(__xludf.DUMMYFUNCTION("""COMPUTED_VALUE"""),"")</f>
        <v/>
      </c>
      <c r="W689" s="143" t="str">
        <f t="shared" si="2"/>
        <v/>
      </c>
      <c r="X689" s="139" t="str">
        <f>IFERROR(__xludf.DUMMYFUNCTION("""COMPUTED_VALUE"""),"")</f>
        <v/>
      </c>
      <c r="Y689" s="141" t="str">
        <f>IFERROR(__xludf.DUMMYFUNCTION("""COMPUTED_VALUE"""),"")</f>
        <v/>
      </c>
    </row>
    <row r="690">
      <c r="C690" s="136" t="str">
        <f t="shared" si="3"/>
        <v/>
      </c>
      <c r="E690" s="106"/>
      <c r="G690" s="106" t="s">
        <v>133</v>
      </c>
      <c r="I690" s="139" t="s">
        <v>133</v>
      </c>
      <c r="J690" s="136" t="s">
        <v>133</v>
      </c>
      <c r="L690" s="136" t="str">
        <f t="shared" si="1"/>
        <v/>
      </c>
      <c r="N690" s="141" t="s">
        <v>133</v>
      </c>
      <c r="O690" s="136" t="str">
        <f>IFERROR(__xludf.DUMMYFUNCTION("""COMPUTED_VALUE"""),"")</f>
        <v/>
      </c>
      <c r="P690" s="136" t="str">
        <f>IFERROR(__xludf.DUMMYFUNCTION("""COMPUTED_VALUE"""),"")</f>
        <v/>
      </c>
      <c r="Q690" s="106" t="str">
        <f>IFERROR(__xludf.DUMMYFUNCTION("""COMPUTED_VALUE"""),"")</f>
        <v/>
      </c>
      <c r="R690" s="106" t="str">
        <f>IFERROR(__xludf.DUMMYFUNCTION("""COMPUTED_VALUE"""),"")</f>
        <v/>
      </c>
      <c r="S690" s="139" t="str">
        <f>IFERROR(__xludf.DUMMYFUNCTION("""COMPUTED_VALUE"""),"")</f>
        <v/>
      </c>
      <c r="T690" s="139" t="str">
        <f>IFERROR(__xludf.DUMMYFUNCTION("""COMPUTED_VALUE"""),"")</f>
        <v/>
      </c>
      <c r="U690" s="136" t="str">
        <f>IFERROR(__xludf.DUMMYFUNCTION("""COMPUTED_VALUE"""),"")</f>
        <v/>
      </c>
      <c r="V690" s="106" t="str">
        <f>IFERROR(__xludf.DUMMYFUNCTION("""COMPUTED_VALUE"""),"")</f>
        <v/>
      </c>
      <c r="W690" s="143" t="str">
        <f t="shared" si="2"/>
        <v/>
      </c>
      <c r="X690" s="139" t="str">
        <f>IFERROR(__xludf.DUMMYFUNCTION("""COMPUTED_VALUE"""),"")</f>
        <v/>
      </c>
      <c r="Y690" s="141" t="str">
        <f>IFERROR(__xludf.DUMMYFUNCTION("""COMPUTED_VALUE"""),"")</f>
        <v/>
      </c>
    </row>
    <row r="691">
      <c r="C691" s="136" t="str">
        <f t="shared" si="3"/>
        <v/>
      </c>
      <c r="E691" s="106"/>
      <c r="G691" s="106" t="s">
        <v>133</v>
      </c>
      <c r="I691" s="139" t="s">
        <v>133</v>
      </c>
      <c r="J691" s="136" t="s">
        <v>133</v>
      </c>
      <c r="L691" s="136" t="str">
        <f t="shared" si="1"/>
        <v/>
      </c>
      <c r="N691" s="141" t="s">
        <v>133</v>
      </c>
      <c r="O691" s="136" t="str">
        <f>IFERROR(__xludf.DUMMYFUNCTION("""COMPUTED_VALUE"""),"")</f>
        <v/>
      </c>
      <c r="P691" s="136" t="str">
        <f>IFERROR(__xludf.DUMMYFUNCTION("""COMPUTED_VALUE"""),"")</f>
        <v/>
      </c>
      <c r="Q691" s="106" t="str">
        <f>IFERROR(__xludf.DUMMYFUNCTION("""COMPUTED_VALUE"""),"")</f>
        <v/>
      </c>
      <c r="R691" s="106" t="str">
        <f>IFERROR(__xludf.DUMMYFUNCTION("""COMPUTED_VALUE"""),"")</f>
        <v/>
      </c>
      <c r="S691" s="139" t="str">
        <f>IFERROR(__xludf.DUMMYFUNCTION("""COMPUTED_VALUE"""),"")</f>
        <v/>
      </c>
      <c r="T691" s="139" t="str">
        <f>IFERROR(__xludf.DUMMYFUNCTION("""COMPUTED_VALUE"""),"")</f>
        <v/>
      </c>
      <c r="U691" s="136" t="str">
        <f>IFERROR(__xludf.DUMMYFUNCTION("""COMPUTED_VALUE"""),"")</f>
        <v/>
      </c>
      <c r="V691" s="106" t="str">
        <f>IFERROR(__xludf.DUMMYFUNCTION("""COMPUTED_VALUE"""),"")</f>
        <v/>
      </c>
      <c r="W691" s="143" t="str">
        <f t="shared" si="2"/>
        <v/>
      </c>
      <c r="X691" s="139" t="str">
        <f>IFERROR(__xludf.DUMMYFUNCTION("""COMPUTED_VALUE"""),"")</f>
        <v/>
      </c>
      <c r="Y691" s="141" t="str">
        <f>IFERROR(__xludf.DUMMYFUNCTION("""COMPUTED_VALUE"""),"")</f>
        <v/>
      </c>
    </row>
    <row r="692">
      <c r="C692" s="136" t="str">
        <f t="shared" si="3"/>
        <v/>
      </c>
      <c r="E692" s="106"/>
      <c r="G692" s="106" t="s">
        <v>133</v>
      </c>
      <c r="I692" s="139" t="s">
        <v>133</v>
      </c>
      <c r="J692" s="136" t="s">
        <v>133</v>
      </c>
      <c r="L692" s="136" t="str">
        <f t="shared" si="1"/>
        <v/>
      </c>
      <c r="N692" s="141" t="s">
        <v>133</v>
      </c>
      <c r="O692" s="136" t="str">
        <f>IFERROR(__xludf.DUMMYFUNCTION("""COMPUTED_VALUE"""),"")</f>
        <v/>
      </c>
      <c r="P692" s="136" t="str">
        <f>IFERROR(__xludf.DUMMYFUNCTION("""COMPUTED_VALUE"""),"")</f>
        <v/>
      </c>
      <c r="Q692" s="106" t="str">
        <f>IFERROR(__xludf.DUMMYFUNCTION("""COMPUTED_VALUE"""),"")</f>
        <v/>
      </c>
      <c r="R692" s="106" t="str">
        <f>IFERROR(__xludf.DUMMYFUNCTION("""COMPUTED_VALUE"""),"")</f>
        <v/>
      </c>
      <c r="S692" s="139" t="str">
        <f>IFERROR(__xludf.DUMMYFUNCTION("""COMPUTED_VALUE"""),"")</f>
        <v/>
      </c>
      <c r="T692" s="139" t="str">
        <f>IFERROR(__xludf.DUMMYFUNCTION("""COMPUTED_VALUE"""),"")</f>
        <v/>
      </c>
      <c r="U692" s="136" t="str">
        <f>IFERROR(__xludf.DUMMYFUNCTION("""COMPUTED_VALUE"""),"")</f>
        <v/>
      </c>
      <c r="V692" s="106" t="str">
        <f>IFERROR(__xludf.DUMMYFUNCTION("""COMPUTED_VALUE"""),"")</f>
        <v/>
      </c>
      <c r="W692" s="143" t="str">
        <f t="shared" si="2"/>
        <v/>
      </c>
      <c r="X692" s="139" t="str">
        <f>IFERROR(__xludf.DUMMYFUNCTION("""COMPUTED_VALUE"""),"")</f>
        <v/>
      </c>
      <c r="Y692" s="141" t="str">
        <f>IFERROR(__xludf.DUMMYFUNCTION("""COMPUTED_VALUE"""),"")</f>
        <v/>
      </c>
    </row>
    <row r="693">
      <c r="C693" s="136" t="str">
        <f t="shared" si="3"/>
        <v/>
      </c>
      <c r="E693" s="106"/>
      <c r="G693" s="106" t="s">
        <v>133</v>
      </c>
      <c r="I693" s="139" t="s">
        <v>133</v>
      </c>
      <c r="J693" s="136" t="s">
        <v>133</v>
      </c>
      <c r="L693" s="136" t="str">
        <f t="shared" si="1"/>
        <v/>
      </c>
      <c r="N693" s="141" t="s">
        <v>133</v>
      </c>
      <c r="O693" s="136" t="str">
        <f>IFERROR(__xludf.DUMMYFUNCTION("""COMPUTED_VALUE"""),"")</f>
        <v/>
      </c>
      <c r="P693" s="136" t="str">
        <f>IFERROR(__xludf.DUMMYFUNCTION("""COMPUTED_VALUE"""),"")</f>
        <v/>
      </c>
      <c r="Q693" s="106" t="str">
        <f>IFERROR(__xludf.DUMMYFUNCTION("""COMPUTED_VALUE"""),"")</f>
        <v/>
      </c>
      <c r="R693" s="106" t="str">
        <f>IFERROR(__xludf.DUMMYFUNCTION("""COMPUTED_VALUE"""),"")</f>
        <v/>
      </c>
      <c r="S693" s="139" t="str">
        <f>IFERROR(__xludf.DUMMYFUNCTION("""COMPUTED_VALUE"""),"")</f>
        <v/>
      </c>
      <c r="T693" s="139" t="str">
        <f>IFERROR(__xludf.DUMMYFUNCTION("""COMPUTED_VALUE"""),"")</f>
        <v/>
      </c>
      <c r="U693" s="136" t="str">
        <f>IFERROR(__xludf.DUMMYFUNCTION("""COMPUTED_VALUE"""),"")</f>
        <v/>
      </c>
      <c r="V693" s="106" t="str">
        <f>IFERROR(__xludf.DUMMYFUNCTION("""COMPUTED_VALUE"""),"")</f>
        <v/>
      </c>
      <c r="W693" s="143" t="str">
        <f t="shared" si="2"/>
        <v/>
      </c>
      <c r="X693" s="139" t="str">
        <f>IFERROR(__xludf.DUMMYFUNCTION("""COMPUTED_VALUE"""),"")</f>
        <v/>
      </c>
      <c r="Y693" s="141" t="str">
        <f>IFERROR(__xludf.DUMMYFUNCTION("""COMPUTED_VALUE"""),"")</f>
        <v/>
      </c>
    </row>
    <row r="694">
      <c r="C694" s="136" t="str">
        <f t="shared" si="3"/>
        <v/>
      </c>
      <c r="E694" s="106"/>
      <c r="G694" s="106" t="s">
        <v>133</v>
      </c>
      <c r="I694" s="139" t="s">
        <v>133</v>
      </c>
      <c r="J694" s="136" t="s">
        <v>133</v>
      </c>
      <c r="L694" s="136" t="str">
        <f t="shared" si="1"/>
        <v/>
      </c>
      <c r="N694" s="141" t="s">
        <v>133</v>
      </c>
      <c r="O694" s="136" t="str">
        <f>IFERROR(__xludf.DUMMYFUNCTION("""COMPUTED_VALUE"""),"")</f>
        <v/>
      </c>
      <c r="P694" s="136" t="str">
        <f>IFERROR(__xludf.DUMMYFUNCTION("""COMPUTED_VALUE"""),"")</f>
        <v/>
      </c>
      <c r="Q694" s="106" t="str">
        <f>IFERROR(__xludf.DUMMYFUNCTION("""COMPUTED_VALUE"""),"")</f>
        <v/>
      </c>
      <c r="R694" s="106" t="str">
        <f>IFERROR(__xludf.DUMMYFUNCTION("""COMPUTED_VALUE"""),"")</f>
        <v/>
      </c>
      <c r="S694" s="139" t="str">
        <f>IFERROR(__xludf.DUMMYFUNCTION("""COMPUTED_VALUE"""),"")</f>
        <v/>
      </c>
      <c r="T694" s="139" t="str">
        <f>IFERROR(__xludf.DUMMYFUNCTION("""COMPUTED_VALUE"""),"")</f>
        <v/>
      </c>
      <c r="U694" s="136" t="str">
        <f>IFERROR(__xludf.DUMMYFUNCTION("""COMPUTED_VALUE"""),"")</f>
        <v/>
      </c>
      <c r="V694" s="106" t="str">
        <f>IFERROR(__xludf.DUMMYFUNCTION("""COMPUTED_VALUE"""),"")</f>
        <v/>
      </c>
      <c r="W694" s="143" t="str">
        <f t="shared" si="2"/>
        <v/>
      </c>
      <c r="X694" s="139" t="str">
        <f>IFERROR(__xludf.DUMMYFUNCTION("""COMPUTED_VALUE"""),"")</f>
        <v/>
      </c>
      <c r="Y694" s="141" t="str">
        <f>IFERROR(__xludf.DUMMYFUNCTION("""COMPUTED_VALUE"""),"")</f>
        <v/>
      </c>
    </row>
    <row r="695">
      <c r="C695" s="136" t="str">
        <f t="shared" si="3"/>
        <v/>
      </c>
      <c r="E695" s="106"/>
      <c r="G695" s="106" t="s">
        <v>133</v>
      </c>
      <c r="I695" s="139" t="s">
        <v>133</v>
      </c>
      <c r="J695" s="136" t="s">
        <v>133</v>
      </c>
      <c r="L695" s="136" t="str">
        <f t="shared" si="1"/>
        <v/>
      </c>
      <c r="N695" s="141" t="s">
        <v>133</v>
      </c>
      <c r="O695" s="136" t="str">
        <f>IFERROR(__xludf.DUMMYFUNCTION("""COMPUTED_VALUE"""),"")</f>
        <v/>
      </c>
      <c r="P695" s="136" t="str">
        <f>IFERROR(__xludf.DUMMYFUNCTION("""COMPUTED_VALUE"""),"")</f>
        <v/>
      </c>
      <c r="Q695" s="106" t="str">
        <f>IFERROR(__xludf.DUMMYFUNCTION("""COMPUTED_VALUE"""),"")</f>
        <v/>
      </c>
      <c r="R695" s="106" t="str">
        <f>IFERROR(__xludf.DUMMYFUNCTION("""COMPUTED_VALUE"""),"")</f>
        <v/>
      </c>
      <c r="S695" s="139" t="str">
        <f>IFERROR(__xludf.DUMMYFUNCTION("""COMPUTED_VALUE"""),"")</f>
        <v/>
      </c>
      <c r="T695" s="139" t="str">
        <f>IFERROR(__xludf.DUMMYFUNCTION("""COMPUTED_VALUE"""),"")</f>
        <v/>
      </c>
      <c r="U695" s="136" t="str">
        <f>IFERROR(__xludf.DUMMYFUNCTION("""COMPUTED_VALUE"""),"")</f>
        <v/>
      </c>
      <c r="V695" s="106" t="str">
        <f>IFERROR(__xludf.DUMMYFUNCTION("""COMPUTED_VALUE"""),"")</f>
        <v/>
      </c>
      <c r="W695" s="143" t="str">
        <f t="shared" si="2"/>
        <v/>
      </c>
      <c r="X695" s="139" t="str">
        <f>IFERROR(__xludf.DUMMYFUNCTION("""COMPUTED_VALUE"""),"")</f>
        <v/>
      </c>
      <c r="Y695" s="141" t="str">
        <f>IFERROR(__xludf.DUMMYFUNCTION("""COMPUTED_VALUE"""),"")</f>
        <v/>
      </c>
    </row>
    <row r="696">
      <c r="C696" s="136" t="str">
        <f t="shared" si="3"/>
        <v/>
      </c>
      <c r="E696" s="106"/>
      <c r="G696" s="106" t="s">
        <v>133</v>
      </c>
      <c r="I696" s="139" t="s">
        <v>133</v>
      </c>
      <c r="J696" s="136" t="s">
        <v>133</v>
      </c>
      <c r="L696" s="136" t="str">
        <f t="shared" si="1"/>
        <v/>
      </c>
      <c r="N696" s="141" t="s">
        <v>133</v>
      </c>
      <c r="O696" s="136" t="str">
        <f>IFERROR(__xludf.DUMMYFUNCTION("""COMPUTED_VALUE"""),"")</f>
        <v/>
      </c>
      <c r="P696" s="136" t="str">
        <f>IFERROR(__xludf.DUMMYFUNCTION("""COMPUTED_VALUE"""),"")</f>
        <v/>
      </c>
      <c r="Q696" s="106" t="str">
        <f>IFERROR(__xludf.DUMMYFUNCTION("""COMPUTED_VALUE"""),"")</f>
        <v/>
      </c>
      <c r="R696" s="106" t="str">
        <f>IFERROR(__xludf.DUMMYFUNCTION("""COMPUTED_VALUE"""),"")</f>
        <v/>
      </c>
      <c r="S696" s="139" t="str">
        <f>IFERROR(__xludf.DUMMYFUNCTION("""COMPUTED_VALUE"""),"")</f>
        <v/>
      </c>
      <c r="T696" s="139" t="str">
        <f>IFERROR(__xludf.DUMMYFUNCTION("""COMPUTED_VALUE"""),"")</f>
        <v/>
      </c>
      <c r="U696" s="136" t="str">
        <f>IFERROR(__xludf.DUMMYFUNCTION("""COMPUTED_VALUE"""),"")</f>
        <v/>
      </c>
      <c r="V696" s="106" t="str">
        <f>IFERROR(__xludf.DUMMYFUNCTION("""COMPUTED_VALUE"""),"")</f>
        <v/>
      </c>
      <c r="W696" s="143" t="str">
        <f t="shared" si="2"/>
        <v/>
      </c>
      <c r="X696" s="139" t="str">
        <f>IFERROR(__xludf.DUMMYFUNCTION("""COMPUTED_VALUE"""),"")</f>
        <v/>
      </c>
      <c r="Y696" s="141" t="str">
        <f>IFERROR(__xludf.DUMMYFUNCTION("""COMPUTED_VALUE"""),"")</f>
        <v/>
      </c>
    </row>
    <row r="697">
      <c r="C697" s="136" t="str">
        <f t="shared" si="3"/>
        <v/>
      </c>
      <c r="E697" s="106"/>
      <c r="G697" s="106" t="s">
        <v>133</v>
      </c>
      <c r="I697" s="139" t="s">
        <v>133</v>
      </c>
      <c r="J697" s="136" t="s">
        <v>133</v>
      </c>
      <c r="L697" s="136" t="str">
        <f t="shared" si="1"/>
        <v/>
      </c>
      <c r="N697" s="141" t="s">
        <v>133</v>
      </c>
      <c r="O697" s="136" t="str">
        <f>IFERROR(__xludf.DUMMYFUNCTION("""COMPUTED_VALUE"""),"")</f>
        <v/>
      </c>
      <c r="P697" s="136" t="str">
        <f>IFERROR(__xludf.DUMMYFUNCTION("""COMPUTED_VALUE"""),"")</f>
        <v/>
      </c>
      <c r="Q697" s="106" t="str">
        <f>IFERROR(__xludf.DUMMYFUNCTION("""COMPUTED_VALUE"""),"")</f>
        <v/>
      </c>
      <c r="R697" s="106" t="str">
        <f>IFERROR(__xludf.DUMMYFUNCTION("""COMPUTED_VALUE"""),"")</f>
        <v/>
      </c>
      <c r="S697" s="139" t="str">
        <f>IFERROR(__xludf.DUMMYFUNCTION("""COMPUTED_VALUE"""),"")</f>
        <v/>
      </c>
      <c r="T697" s="139" t="str">
        <f>IFERROR(__xludf.DUMMYFUNCTION("""COMPUTED_VALUE"""),"")</f>
        <v/>
      </c>
      <c r="U697" s="136" t="str">
        <f>IFERROR(__xludf.DUMMYFUNCTION("""COMPUTED_VALUE"""),"")</f>
        <v/>
      </c>
      <c r="V697" s="106" t="str">
        <f>IFERROR(__xludf.DUMMYFUNCTION("""COMPUTED_VALUE"""),"")</f>
        <v/>
      </c>
      <c r="W697" s="143" t="str">
        <f t="shared" si="2"/>
        <v/>
      </c>
      <c r="X697" s="139" t="str">
        <f>IFERROR(__xludf.DUMMYFUNCTION("""COMPUTED_VALUE"""),"")</f>
        <v/>
      </c>
      <c r="Y697" s="141" t="str">
        <f>IFERROR(__xludf.DUMMYFUNCTION("""COMPUTED_VALUE"""),"")</f>
        <v/>
      </c>
    </row>
    <row r="698">
      <c r="C698" s="136" t="str">
        <f t="shared" si="3"/>
        <v/>
      </c>
      <c r="E698" s="106"/>
      <c r="G698" s="106" t="s">
        <v>133</v>
      </c>
      <c r="I698" s="139" t="s">
        <v>133</v>
      </c>
      <c r="J698" s="136" t="s">
        <v>133</v>
      </c>
      <c r="L698" s="136" t="str">
        <f t="shared" si="1"/>
        <v/>
      </c>
      <c r="N698" s="141" t="s">
        <v>133</v>
      </c>
      <c r="O698" s="136" t="str">
        <f>IFERROR(__xludf.DUMMYFUNCTION("""COMPUTED_VALUE"""),"")</f>
        <v/>
      </c>
      <c r="P698" s="136" t="str">
        <f>IFERROR(__xludf.DUMMYFUNCTION("""COMPUTED_VALUE"""),"")</f>
        <v/>
      </c>
      <c r="Q698" s="106" t="str">
        <f>IFERROR(__xludf.DUMMYFUNCTION("""COMPUTED_VALUE"""),"")</f>
        <v/>
      </c>
      <c r="R698" s="106" t="str">
        <f>IFERROR(__xludf.DUMMYFUNCTION("""COMPUTED_VALUE"""),"")</f>
        <v/>
      </c>
      <c r="S698" s="139" t="str">
        <f>IFERROR(__xludf.DUMMYFUNCTION("""COMPUTED_VALUE"""),"")</f>
        <v/>
      </c>
      <c r="T698" s="139" t="str">
        <f>IFERROR(__xludf.DUMMYFUNCTION("""COMPUTED_VALUE"""),"")</f>
        <v/>
      </c>
      <c r="U698" s="136" t="str">
        <f>IFERROR(__xludf.DUMMYFUNCTION("""COMPUTED_VALUE"""),"")</f>
        <v/>
      </c>
      <c r="V698" s="106" t="str">
        <f>IFERROR(__xludf.DUMMYFUNCTION("""COMPUTED_VALUE"""),"")</f>
        <v/>
      </c>
      <c r="W698" s="143" t="str">
        <f t="shared" si="2"/>
        <v/>
      </c>
      <c r="X698" s="139" t="str">
        <f>IFERROR(__xludf.DUMMYFUNCTION("""COMPUTED_VALUE"""),"")</f>
        <v/>
      </c>
      <c r="Y698" s="141" t="str">
        <f>IFERROR(__xludf.DUMMYFUNCTION("""COMPUTED_VALUE"""),"")</f>
        <v/>
      </c>
    </row>
    <row r="699">
      <c r="C699" s="136" t="str">
        <f t="shared" si="3"/>
        <v/>
      </c>
      <c r="E699" s="106"/>
      <c r="G699" s="106" t="s">
        <v>133</v>
      </c>
      <c r="I699" s="139" t="s">
        <v>133</v>
      </c>
      <c r="J699" s="136" t="s">
        <v>133</v>
      </c>
      <c r="L699" s="136" t="str">
        <f t="shared" si="1"/>
        <v/>
      </c>
      <c r="N699" s="141" t="s">
        <v>133</v>
      </c>
      <c r="O699" s="136" t="str">
        <f>IFERROR(__xludf.DUMMYFUNCTION("""COMPUTED_VALUE"""),"")</f>
        <v/>
      </c>
      <c r="P699" s="136" t="str">
        <f>IFERROR(__xludf.DUMMYFUNCTION("""COMPUTED_VALUE"""),"")</f>
        <v/>
      </c>
      <c r="Q699" s="106" t="str">
        <f>IFERROR(__xludf.DUMMYFUNCTION("""COMPUTED_VALUE"""),"")</f>
        <v/>
      </c>
      <c r="R699" s="106" t="str">
        <f>IFERROR(__xludf.DUMMYFUNCTION("""COMPUTED_VALUE"""),"")</f>
        <v/>
      </c>
      <c r="S699" s="139" t="str">
        <f>IFERROR(__xludf.DUMMYFUNCTION("""COMPUTED_VALUE"""),"")</f>
        <v/>
      </c>
      <c r="T699" s="139" t="str">
        <f>IFERROR(__xludf.DUMMYFUNCTION("""COMPUTED_VALUE"""),"")</f>
        <v/>
      </c>
      <c r="U699" s="136" t="str">
        <f>IFERROR(__xludf.DUMMYFUNCTION("""COMPUTED_VALUE"""),"")</f>
        <v/>
      </c>
      <c r="V699" s="106" t="str">
        <f>IFERROR(__xludf.DUMMYFUNCTION("""COMPUTED_VALUE"""),"")</f>
        <v/>
      </c>
      <c r="W699" s="143" t="str">
        <f t="shared" si="2"/>
        <v/>
      </c>
      <c r="X699" s="139" t="str">
        <f>IFERROR(__xludf.DUMMYFUNCTION("""COMPUTED_VALUE"""),"")</f>
        <v/>
      </c>
      <c r="Y699" s="141" t="str">
        <f>IFERROR(__xludf.DUMMYFUNCTION("""COMPUTED_VALUE"""),"")</f>
        <v/>
      </c>
    </row>
    <row r="700">
      <c r="C700" s="136" t="str">
        <f t="shared" si="3"/>
        <v/>
      </c>
      <c r="E700" s="106"/>
      <c r="G700" s="106" t="s">
        <v>133</v>
      </c>
      <c r="I700" s="139" t="s">
        <v>133</v>
      </c>
      <c r="J700" s="136" t="s">
        <v>133</v>
      </c>
      <c r="L700" s="136" t="str">
        <f t="shared" si="1"/>
        <v/>
      </c>
      <c r="N700" s="141" t="s">
        <v>133</v>
      </c>
      <c r="O700" s="136" t="str">
        <f>IFERROR(__xludf.DUMMYFUNCTION("""COMPUTED_VALUE"""),"")</f>
        <v/>
      </c>
      <c r="P700" s="136" t="str">
        <f>IFERROR(__xludf.DUMMYFUNCTION("""COMPUTED_VALUE"""),"")</f>
        <v/>
      </c>
      <c r="Q700" s="106" t="str">
        <f>IFERROR(__xludf.DUMMYFUNCTION("""COMPUTED_VALUE"""),"")</f>
        <v/>
      </c>
      <c r="R700" s="106" t="str">
        <f>IFERROR(__xludf.DUMMYFUNCTION("""COMPUTED_VALUE"""),"")</f>
        <v/>
      </c>
      <c r="S700" s="139" t="str">
        <f>IFERROR(__xludf.DUMMYFUNCTION("""COMPUTED_VALUE"""),"")</f>
        <v/>
      </c>
      <c r="T700" s="139" t="str">
        <f>IFERROR(__xludf.DUMMYFUNCTION("""COMPUTED_VALUE"""),"")</f>
        <v/>
      </c>
      <c r="U700" s="136" t="str">
        <f>IFERROR(__xludf.DUMMYFUNCTION("""COMPUTED_VALUE"""),"")</f>
        <v/>
      </c>
      <c r="V700" s="106" t="str">
        <f>IFERROR(__xludf.DUMMYFUNCTION("""COMPUTED_VALUE"""),"")</f>
        <v/>
      </c>
      <c r="W700" s="143" t="str">
        <f t="shared" si="2"/>
        <v/>
      </c>
      <c r="X700" s="139" t="str">
        <f>IFERROR(__xludf.DUMMYFUNCTION("""COMPUTED_VALUE"""),"")</f>
        <v/>
      </c>
      <c r="Y700" s="141" t="str">
        <f>IFERROR(__xludf.DUMMYFUNCTION("""COMPUTED_VALUE"""),"")</f>
        <v/>
      </c>
    </row>
    <row r="701">
      <c r="C701" s="136" t="str">
        <f t="shared" si="3"/>
        <v/>
      </c>
      <c r="E701" s="106"/>
      <c r="G701" s="106" t="s">
        <v>133</v>
      </c>
      <c r="I701" s="139" t="s">
        <v>133</v>
      </c>
      <c r="J701" s="136" t="s">
        <v>133</v>
      </c>
      <c r="L701" s="136" t="str">
        <f t="shared" si="1"/>
        <v/>
      </c>
      <c r="N701" s="141" t="s">
        <v>133</v>
      </c>
      <c r="O701" s="136" t="str">
        <f>IFERROR(__xludf.DUMMYFUNCTION("""COMPUTED_VALUE"""),"")</f>
        <v/>
      </c>
      <c r="P701" s="136" t="str">
        <f>IFERROR(__xludf.DUMMYFUNCTION("""COMPUTED_VALUE"""),"")</f>
        <v/>
      </c>
      <c r="Q701" s="106" t="str">
        <f>IFERROR(__xludf.DUMMYFUNCTION("""COMPUTED_VALUE"""),"")</f>
        <v/>
      </c>
      <c r="R701" s="106" t="str">
        <f>IFERROR(__xludf.DUMMYFUNCTION("""COMPUTED_VALUE"""),"")</f>
        <v/>
      </c>
      <c r="S701" s="139" t="str">
        <f>IFERROR(__xludf.DUMMYFUNCTION("""COMPUTED_VALUE"""),"")</f>
        <v/>
      </c>
      <c r="T701" s="139" t="str">
        <f>IFERROR(__xludf.DUMMYFUNCTION("""COMPUTED_VALUE"""),"")</f>
        <v/>
      </c>
      <c r="U701" s="136" t="str">
        <f>IFERROR(__xludf.DUMMYFUNCTION("""COMPUTED_VALUE"""),"")</f>
        <v/>
      </c>
      <c r="V701" s="106" t="str">
        <f>IFERROR(__xludf.DUMMYFUNCTION("""COMPUTED_VALUE"""),"")</f>
        <v/>
      </c>
      <c r="W701" s="143" t="str">
        <f t="shared" si="2"/>
        <v/>
      </c>
      <c r="X701" s="139" t="str">
        <f>IFERROR(__xludf.DUMMYFUNCTION("""COMPUTED_VALUE"""),"")</f>
        <v/>
      </c>
      <c r="Y701" s="141" t="str">
        <f>IFERROR(__xludf.DUMMYFUNCTION("""COMPUTED_VALUE"""),"")</f>
        <v/>
      </c>
    </row>
    <row r="702">
      <c r="C702" s="136" t="str">
        <f t="shared" si="3"/>
        <v/>
      </c>
      <c r="E702" s="106"/>
      <c r="G702" s="106" t="s">
        <v>133</v>
      </c>
      <c r="I702" s="139" t="s">
        <v>133</v>
      </c>
      <c r="J702" s="136" t="s">
        <v>133</v>
      </c>
      <c r="L702" s="136" t="str">
        <f t="shared" si="1"/>
        <v/>
      </c>
      <c r="N702" s="141" t="s">
        <v>133</v>
      </c>
      <c r="O702" s="136" t="str">
        <f>IFERROR(__xludf.DUMMYFUNCTION("""COMPUTED_VALUE"""),"")</f>
        <v/>
      </c>
      <c r="P702" s="136" t="str">
        <f>IFERROR(__xludf.DUMMYFUNCTION("""COMPUTED_VALUE"""),"")</f>
        <v/>
      </c>
      <c r="Q702" s="106" t="str">
        <f>IFERROR(__xludf.DUMMYFUNCTION("""COMPUTED_VALUE"""),"")</f>
        <v/>
      </c>
      <c r="R702" s="106" t="str">
        <f>IFERROR(__xludf.DUMMYFUNCTION("""COMPUTED_VALUE"""),"")</f>
        <v/>
      </c>
      <c r="S702" s="139" t="str">
        <f>IFERROR(__xludf.DUMMYFUNCTION("""COMPUTED_VALUE"""),"")</f>
        <v/>
      </c>
      <c r="T702" s="139" t="str">
        <f>IFERROR(__xludf.DUMMYFUNCTION("""COMPUTED_VALUE"""),"")</f>
        <v/>
      </c>
      <c r="U702" s="136" t="str">
        <f>IFERROR(__xludf.DUMMYFUNCTION("""COMPUTED_VALUE"""),"")</f>
        <v/>
      </c>
      <c r="V702" s="106" t="str">
        <f>IFERROR(__xludf.DUMMYFUNCTION("""COMPUTED_VALUE"""),"")</f>
        <v/>
      </c>
      <c r="W702" s="143" t="str">
        <f t="shared" si="2"/>
        <v/>
      </c>
      <c r="X702" s="139" t="str">
        <f>IFERROR(__xludf.DUMMYFUNCTION("""COMPUTED_VALUE"""),"")</f>
        <v/>
      </c>
      <c r="Y702" s="141" t="str">
        <f>IFERROR(__xludf.DUMMYFUNCTION("""COMPUTED_VALUE"""),"")</f>
        <v/>
      </c>
    </row>
    <row r="703">
      <c r="C703" s="136" t="str">
        <f t="shared" si="3"/>
        <v/>
      </c>
      <c r="E703" s="106"/>
      <c r="G703" s="106" t="s">
        <v>133</v>
      </c>
      <c r="I703" s="139" t="s">
        <v>133</v>
      </c>
      <c r="J703" s="136" t="s">
        <v>133</v>
      </c>
      <c r="L703" s="136" t="str">
        <f t="shared" si="1"/>
        <v/>
      </c>
      <c r="N703" s="141" t="s">
        <v>133</v>
      </c>
      <c r="O703" s="136" t="str">
        <f>IFERROR(__xludf.DUMMYFUNCTION("""COMPUTED_VALUE"""),"")</f>
        <v/>
      </c>
      <c r="P703" s="136" t="str">
        <f>IFERROR(__xludf.DUMMYFUNCTION("""COMPUTED_VALUE"""),"")</f>
        <v/>
      </c>
      <c r="Q703" s="106" t="str">
        <f>IFERROR(__xludf.DUMMYFUNCTION("""COMPUTED_VALUE"""),"")</f>
        <v/>
      </c>
      <c r="R703" s="106" t="str">
        <f>IFERROR(__xludf.DUMMYFUNCTION("""COMPUTED_VALUE"""),"")</f>
        <v/>
      </c>
      <c r="S703" s="139" t="str">
        <f>IFERROR(__xludf.DUMMYFUNCTION("""COMPUTED_VALUE"""),"")</f>
        <v/>
      </c>
      <c r="T703" s="139" t="str">
        <f>IFERROR(__xludf.DUMMYFUNCTION("""COMPUTED_VALUE"""),"")</f>
        <v/>
      </c>
      <c r="U703" s="136" t="str">
        <f>IFERROR(__xludf.DUMMYFUNCTION("""COMPUTED_VALUE"""),"")</f>
        <v/>
      </c>
      <c r="V703" s="106" t="str">
        <f>IFERROR(__xludf.DUMMYFUNCTION("""COMPUTED_VALUE"""),"")</f>
        <v/>
      </c>
      <c r="W703" s="143" t="str">
        <f t="shared" si="2"/>
        <v/>
      </c>
      <c r="X703" s="139" t="str">
        <f>IFERROR(__xludf.DUMMYFUNCTION("""COMPUTED_VALUE"""),"")</f>
        <v/>
      </c>
      <c r="Y703" s="141" t="str">
        <f>IFERROR(__xludf.DUMMYFUNCTION("""COMPUTED_VALUE"""),"")</f>
        <v/>
      </c>
    </row>
    <row r="704">
      <c r="C704" s="136" t="str">
        <f t="shared" si="3"/>
        <v/>
      </c>
      <c r="E704" s="106"/>
      <c r="G704" s="106" t="s">
        <v>133</v>
      </c>
      <c r="I704" s="139" t="s">
        <v>133</v>
      </c>
      <c r="J704" s="136" t="s">
        <v>133</v>
      </c>
      <c r="L704" s="136" t="str">
        <f t="shared" si="1"/>
        <v/>
      </c>
      <c r="N704" s="141" t="s">
        <v>133</v>
      </c>
      <c r="O704" s="136" t="str">
        <f>IFERROR(__xludf.DUMMYFUNCTION("""COMPUTED_VALUE"""),"")</f>
        <v/>
      </c>
      <c r="P704" s="136" t="str">
        <f>IFERROR(__xludf.DUMMYFUNCTION("""COMPUTED_VALUE"""),"")</f>
        <v/>
      </c>
      <c r="Q704" s="106" t="str">
        <f>IFERROR(__xludf.DUMMYFUNCTION("""COMPUTED_VALUE"""),"")</f>
        <v/>
      </c>
      <c r="R704" s="106" t="str">
        <f>IFERROR(__xludf.DUMMYFUNCTION("""COMPUTED_VALUE"""),"")</f>
        <v/>
      </c>
      <c r="S704" s="139" t="str">
        <f>IFERROR(__xludf.DUMMYFUNCTION("""COMPUTED_VALUE"""),"")</f>
        <v/>
      </c>
      <c r="T704" s="139" t="str">
        <f>IFERROR(__xludf.DUMMYFUNCTION("""COMPUTED_VALUE"""),"")</f>
        <v/>
      </c>
      <c r="U704" s="136" t="str">
        <f>IFERROR(__xludf.DUMMYFUNCTION("""COMPUTED_VALUE"""),"")</f>
        <v/>
      </c>
      <c r="V704" s="106" t="str">
        <f>IFERROR(__xludf.DUMMYFUNCTION("""COMPUTED_VALUE"""),"")</f>
        <v/>
      </c>
      <c r="W704" s="143" t="str">
        <f t="shared" si="2"/>
        <v/>
      </c>
      <c r="X704" s="139" t="str">
        <f>IFERROR(__xludf.DUMMYFUNCTION("""COMPUTED_VALUE"""),"")</f>
        <v/>
      </c>
      <c r="Y704" s="141" t="str">
        <f>IFERROR(__xludf.DUMMYFUNCTION("""COMPUTED_VALUE"""),"")</f>
        <v/>
      </c>
    </row>
    <row r="705">
      <c r="C705" s="136" t="str">
        <f t="shared" si="3"/>
        <v/>
      </c>
      <c r="E705" s="106"/>
      <c r="G705" s="106" t="s">
        <v>133</v>
      </c>
      <c r="I705" s="139" t="s">
        <v>133</v>
      </c>
      <c r="J705" s="136" t="s">
        <v>133</v>
      </c>
      <c r="L705" s="136" t="str">
        <f t="shared" si="1"/>
        <v/>
      </c>
      <c r="N705" s="141" t="s">
        <v>133</v>
      </c>
      <c r="O705" s="136" t="str">
        <f>IFERROR(__xludf.DUMMYFUNCTION("""COMPUTED_VALUE"""),"")</f>
        <v/>
      </c>
      <c r="P705" s="136" t="str">
        <f>IFERROR(__xludf.DUMMYFUNCTION("""COMPUTED_VALUE"""),"")</f>
        <v/>
      </c>
      <c r="Q705" s="106" t="str">
        <f>IFERROR(__xludf.DUMMYFUNCTION("""COMPUTED_VALUE"""),"")</f>
        <v/>
      </c>
      <c r="R705" s="106" t="str">
        <f>IFERROR(__xludf.DUMMYFUNCTION("""COMPUTED_VALUE"""),"")</f>
        <v/>
      </c>
      <c r="S705" s="139" t="str">
        <f>IFERROR(__xludf.DUMMYFUNCTION("""COMPUTED_VALUE"""),"")</f>
        <v/>
      </c>
      <c r="T705" s="139" t="str">
        <f>IFERROR(__xludf.DUMMYFUNCTION("""COMPUTED_VALUE"""),"")</f>
        <v/>
      </c>
      <c r="U705" s="136" t="str">
        <f>IFERROR(__xludf.DUMMYFUNCTION("""COMPUTED_VALUE"""),"")</f>
        <v/>
      </c>
      <c r="V705" s="106" t="str">
        <f>IFERROR(__xludf.DUMMYFUNCTION("""COMPUTED_VALUE"""),"")</f>
        <v/>
      </c>
      <c r="W705" s="143" t="str">
        <f t="shared" si="2"/>
        <v/>
      </c>
      <c r="X705" s="139" t="str">
        <f>IFERROR(__xludf.DUMMYFUNCTION("""COMPUTED_VALUE"""),"")</f>
        <v/>
      </c>
      <c r="Y705" s="141" t="str">
        <f>IFERROR(__xludf.DUMMYFUNCTION("""COMPUTED_VALUE"""),"")</f>
        <v/>
      </c>
    </row>
    <row r="706">
      <c r="C706" s="136" t="str">
        <f t="shared" si="3"/>
        <v/>
      </c>
      <c r="E706" s="106"/>
      <c r="G706" s="106" t="s">
        <v>133</v>
      </c>
      <c r="I706" s="139" t="s">
        <v>133</v>
      </c>
      <c r="J706" s="136" t="s">
        <v>133</v>
      </c>
      <c r="L706" s="136" t="str">
        <f t="shared" si="1"/>
        <v/>
      </c>
      <c r="N706" s="141" t="s">
        <v>133</v>
      </c>
      <c r="O706" s="136" t="str">
        <f>IFERROR(__xludf.DUMMYFUNCTION("""COMPUTED_VALUE"""),"")</f>
        <v/>
      </c>
      <c r="P706" s="136" t="str">
        <f>IFERROR(__xludf.DUMMYFUNCTION("""COMPUTED_VALUE"""),"")</f>
        <v/>
      </c>
      <c r="Q706" s="106" t="str">
        <f>IFERROR(__xludf.DUMMYFUNCTION("""COMPUTED_VALUE"""),"")</f>
        <v/>
      </c>
      <c r="R706" s="106" t="str">
        <f>IFERROR(__xludf.DUMMYFUNCTION("""COMPUTED_VALUE"""),"")</f>
        <v/>
      </c>
      <c r="S706" s="139" t="str">
        <f>IFERROR(__xludf.DUMMYFUNCTION("""COMPUTED_VALUE"""),"")</f>
        <v/>
      </c>
      <c r="T706" s="139" t="str">
        <f>IFERROR(__xludf.DUMMYFUNCTION("""COMPUTED_VALUE"""),"")</f>
        <v/>
      </c>
      <c r="U706" s="136" t="str">
        <f>IFERROR(__xludf.DUMMYFUNCTION("""COMPUTED_VALUE"""),"")</f>
        <v/>
      </c>
      <c r="V706" s="106" t="str">
        <f>IFERROR(__xludf.DUMMYFUNCTION("""COMPUTED_VALUE"""),"")</f>
        <v/>
      </c>
      <c r="W706" s="143" t="str">
        <f t="shared" si="2"/>
        <v/>
      </c>
      <c r="X706" s="139" t="str">
        <f>IFERROR(__xludf.DUMMYFUNCTION("""COMPUTED_VALUE"""),"")</f>
        <v/>
      </c>
      <c r="Y706" s="141" t="str">
        <f>IFERROR(__xludf.DUMMYFUNCTION("""COMPUTED_VALUE"""),"")</f>
        <v/>
      </c>
    </row>
    <row r="707">
      <c r="C707" s="136" t="str">
        <f t="shared" si="3"/>
        <v/>
      </c>
      <c r="E707" s="106"/>
      <c r="G707" s="106" t="s">
        <v>133</v>
      </c>
      <c r="I707" s="139" t="s">
        <v>133</v>
      </c>
      <c r="J707" s="136" t="s">
        <v>133</v>
      </c>
      <c r="L707" s="136" t="str">
        <f t="shared" si="1"/>
        <v/>
      </c>
      <c r="N707" s="141" t="s">
        <v>133</v>
      </c>
      <c r="O707" s="136" t="str">
        <f>IFERROR(__xludf.DUMMYFUNCTION("""COMPUTED_VALUE"""),"")</f>
        <v/>
      </c>
      <c r="P707" s="136" t="str">
        <f>IFERROR(__xludf.DUMMYFUNCTION("""COMPUTED_VALUE"""),"")</f>
        <v/>
      </c>
      <c r="Q707" s="106" t="str">
        <f>IFERROR(__xludf.DUMMYFUNCTION("""COMPUTED_VALUE"""),"")</f>
        <v/>
      </c>
      <c r="R707" s="106" t="str">
        <f>IFERROR(__xludf.DUMMYFUNCTION("""COMPUTED_VALUE"""),"")</f>
        <v/>
      </c>
      <c r="S707" s="139" t="str">
        <f>IFERROR(__xludf.DUMMYFUNCTION("""COMPUTED_VALUE"""),"")</f>
        <v/>
      </c>
      <c r="T707" s="139" t="str">
        <f>IFERROR(__xludf.DUMMYFUNCTION("""COMPUTED_VALUE"""),"")</f>
        <v/>
      </c>
      <c r="U707" s="136" t="str">
        <f>IFERROR(__xludf.DUMMYFUNCTION("""COMPUTED_VALUE"""),"")</f>
        <v/>
      </c>
      <c r="V707" s="106" t="str">
        <f>IFERROR(__xludf.DUMMYFUNCTION("""COMPUTED_VALUE"""),"")</f>
        <v/>
      </c>
      <c r="W707" s="143" t="str">
        <f t="shared" si="2"/>
        <v/>
      </c>
      <c r="X707" s="139" t="str">
        <f>IFERROR(__xludf.DUMMYFUNCTION("""COMPUTED_VALUE"""),"")</f>
        <v/>
      </c>
      <c r="Y707" s="141" t="str">
        <f>IFERROR(__xludf.DUMMYFUNCTION("""COMPUTED_VALUE"""),"")</f>
        <v/>
      </c>
    </row>
    <row r="708">
      <c r="C708" s="136" t="str">
        <f t="shared" si="3"/>
        <v/>
      </c>
      <c r="E708" s="106"/>
      <c r="G708" s="106" t="s">
        <v>133</v>
      </c>
      <c r="I708" s="139" t="s">
        <v>133</v>
      </c>
      <c r="J708" s="136" t="s">
        <v>133</v>
      </c>
      <c r="L708" s="136" t="str">
        <f t="shared" si="1"/>
        <v/>
      </c>
      <c r="N708" s="141" t="s">
        <v>133</v>
      </c>
      <c r="O708" s="136" t="str">
        <f>IFERROR(__xludf.DUMMYFUNCTION("""COMPUTED_VALUE"""),"")</f>
        <v/>
      </c>
      <c r="P708" s="136" t="str">
        <f>IFERROR(__xludf.DUMMYFUNCTION("""COMPUTED_VALUE"""),"")</f>
        <v/>
      </c>
      <c r="Q708" s="106" t="str">
        <f>IFERROR(__xludf.DUMMYFUNCTION("""COMPUTED_VALUE"""),"")</f>
        <v/>
      </c>
      <c r="R708" s="106" t="str">
        <f>IFERROR(__xludf.DUMMYFUNCTION("""COMPUTED_VALUE"""),"")</f>
        <v/>
      </c>
      <c r="S708" s="139" t="str">
        <f>IFERROR(__xludf.DUMMYFUNCTION("""COMPUTED_VALUE"""),"")</f>
        <v/>
      </c>
      <c r="T708" s="139" t="str">
        <f>IFERROR(__xludf.DUMMYFUNCTION("""COMPUTED_VALUE"""),"")</f>
        <v/>
      </c>
      <c r="U708" s="136" t="str">
        <f>IFERROR(__xludf.DUMMYFUNCTION("""COMPUTED_VALUE"""),"")</f>
        <v/>
      </c>
      <c r="V708" s="106" t="str">
        <f>IFERROR(__xludf.DUMMYFUNCTION("""COMPUTED_VALUE"""),"")</f>
        <v/>
      </c>
      <c r="W708" s="143" t="str">
        <f t="shared" si="2"/>
        <v/>
      </c>
      <c r="X708" s="139" t="str">
        <f>IFERROR(__xludf.DUMMYFUNCTION("""COMPUTED_VALUE"""),"")</f>
        <v/>
      </c>
      <c r="Y708" s="141" t="str">
        <f>IFERROR(__xludf.DUMMYFUNCTION("""COMPUTED_VALUE"""),"")</f>
        <v/>
      </c>
    </row>
    <row r="709">
      <c r="C709" s="136" t="str">
        <f t="shared" si="3"/>
        <v/>
      </c>
      <c r="E709" s="106"/>
      <c r="G709" s="106" t="s">
        <v>133</v>
      </c>
      <c r="I709" s="139" t="s">
        <v>133</v>
      </c>
      <c r="J709" s="136" t="s">
        <v>133</v>
      </c>
      <c r="L709" s="136" t="str">
        <f t="shared" si="1"/>
        <v/>
      </c>
      <c r="N709" s="141" t="s">
        <v>133</v>
      </c>
      <c r="O709" s="136" t="str">
        <f>IFERROR(__xludf.DUMMYFUNCTION("""COMPUTED_VALUE"""),"")</f>
        <v/>
      </c>
      <c r="P709" s="136" t="str">
        <f>IFERROR(__xludf.DUMMYFUNCTION("""COMPUTED_VALUE"""),"")</f>
        <v/>
      </c>
      <c r="Q709" s="106" t="str">
        <f>IFERROR(__xludf.DUMMYFUNCTION("""COMPUTED_VALUE"""),"")</f>
        <v/>
      </c>
      <c r="R709" s="106" t="str">
        <f>IFERROR(__xludf.DUMMYFUNCTION("""COMPUTED_VALUE"""),"")</f>
        <v/>
      </c>
      <c r="S709" s="139" t="str">
        <f>IFERROR(__xludf.DUMMYFUNCTION("""COMPUTED_VALUE"""),"")</f>
        <v/>
      </c>
      <c r="T709" s="139" t="str">
        <f>IFERROR(__xludf.DUMMYFUNCTION("""COMPUTED_VALUE"""),"")</f>
        <v/>
      </c>
      <c r="U709" s="136" t="str">
        <f>IFERROR(__xludf.DUMMYFUNCTION("""COMPUTED_VALUE"""),"")</f>
        <v/>
      </c>
      <c r="V709" s="106" t="str">
        <f>IFERROR(__xludf.DUMMYFUNCTION("""COMPUTED_VALUE"""),"")</f>
        <v/>
      </c>
      <c r="W709" s="143" t="str">
        <f t="shared" si="2"/>
        <v/>
      </c>
      <c r="X709" s="139" t="str">
        <f>IFERROR(__xludf.DUMMYFUNCTION("""COMPUTED_VALUE"""),"")</f>
        <v/>
      </c>
      <c r="Y709" s="141" t="str">
        <f>IFERROR(__xludf.DUMMYFUNCTION("""COMPUTED_VALUE"""),"")</f>
        <v/>
      </c>
    </row>
    <row r="710">
      <c r="C710" s="136" t="str">
        <f t="shared" si="3"/>
        <v/>
      </c>
      <c r="E710" s="106"/>
      <c r="G710" s="106" t="s">
        <v>133</v>
      </c>
      <c r="I710" s="139" t="s">
        <v>133</v>
      </c>
      <c r="J710" s="136" t="s">
        <v>133</v>
      </c>
      <c r="L710" s="136" t="str">
        <f t="shared" si="1"/>
        <v/>
      </c>
      <c r="N710" s="141" t="s">
        <v>133</v>
      </c>
      <c r="O710" s="136" t="str">
        <f>IFERROR(__xludf.DUMMYFUNCTION("""COMPUTED_VALUE"""),"")</f>
        <v/>
      </c>
      <c r="P710" s="136" t="str">
        <f>IFERROR(__xludf.DUMMYFUNCTION("""COMPUTED_VALUE"""),"")</f>
        <v/>
      </c>
      <c r="Q710" s="106" t="str">
        <f>IFERROR(__xludf.DUMMYFUNCTION("""COMPUTED_VALUE"""),"")</f>
        <v/>
      </c>
      <c r="R710" s="106" t="str">
        <f>IFERROR(__xludf.DUMMYFUNCTION("""COMPUTED_VALUE"""),"")</f>
        <v/>
      </c>
      <c r="S710" s="139" t="str">
        <f>IFERROR(__xludf.DUMMYFUNCTION("""COMPUTED_VALUE"""),"")</f>
        <v/>
      </c>
      <c r="T710" s="139" t="str">
        <f>IFERROR(__xludf.DUMMYFUNCTION("""COMPUTED_VALUE"""),"")</f>
        <v/>
      </c>
      <c r="U710" s="136" t="str">
        <f>IFERROR(__xludf.DUMMYFUNCTION("""COMPUTED_VALUE"""),"")</f>
        <v/>
      </c>
      <c r="V710" s="106" t="str">
        <f>IFERROR(__xludf.DUMMYFUNCTION("""COMPUTED_VALUE"""),"")</f>
        <v/>
      </c>
      <c r="W710" s="143" t="str">
        <f t="shared" si="2"/>
        <v/>
      </c>
      <c r="X710" s="139" t="str">
        <f>IFERROR(__xludf.DUMMYFUNCTION("""COMPUTED_VALUE"""),"")</f>
        <v/>
      </c>
      <c r="Y710" s="141" t="str">
        <f>IFERROR(__xludf.DUMMYFUNCTION("""COMPUTED_VALUE"""),"")</f>
        <v/>
      </c>
    </row>
    <row r="711">
      <c r="C711" s="136" t="str">
        <f t="shared" si="3"/>
        <v/>
      </c>
      <c r="E711" s="106"/>
      <c r="G711" s="106" t="s">
        <v>133</v>
      </c>
      <c r="I711" s="139" t="s">
        <v>133</v>
      </c>
      <c r="J711" s="136" t="s">
        <v>133</v>
      </c>
      <c r="L711" s="136" t="str">
        <f t="shared" si="1"/>
        <v/>
      </c>
      <c r="N711" s="141" t="s">
        <v>133</v>
      </c>
      <c r="O711" s="136" t="str">
        <f>IFERROR(__xludf.DUMMYFUNCTION("""COMPUTED_VALUE"""),"")</f>
        <v/>
      </c>
      <c r="P711" s="136" t="str">
        <f>IFERROR(__xludf.DUMMYFUNCTION("""COMPUTED_VALUE"""),"")</f>
        <v/>
      </c>
      <c r="Q711" s="106" t="str">
        <f>IFERROR(__xludf.DUMMYFUNCTION("""COMPUTED_VALUE"""),"")</f>
        <v/>
      </c>
      <c r="R711" s="106" t="str">
        <f>IFERROR(__xludf.DUMMYFUNCTION("""COMPUTED_VALUE"""),"")</f>
        <v/>
      </c>
      <c r="S711" s="139" t="str">
        <f>IFERROR(__xludf.DUMMYFUNCTION("""COMPUTED_VALUE"""),"")</f>
        <v/>
      </c>
      <c r="T711" s="139" t="str">
        <f>IFERROR(__xludf.DUMMYFUNCTION("""COMPUTED_VALUE"""),"")</f>
        <v/>
      </c>
      <c r="U711" s="136" t="str">
        <f>IFERROR(__xludf.DUMMYFUNCTION("""COMPUTED_VALUE"""),"")</f>
        <v/>
      </c>
      <c r="V711" s="106" t="str">
        <f>IFERROR(__xludf.DUMMYFUNCTION("""COMPUTED_VALUE"""),"")</f>
        <v/>
      </c>
      <c r="W711" s="143" t="str">
        <f t="shared" si="2"/>
        <v/>
      </c>
      <c r="X711" s="139" t="str">
        <f>IFERROR(__xludf.DUMMYFUNCTION("""COMPUTED_VALUE"""),"")</f>
        <v/>
      </c>
      <c r="Y711" s="141" t="str">
        <f>IFERROR(__xludf.DUMMYFUNCTION("""COMPUTED_VALUE"""),"")</f>
        <v/>
      </c>
    </row>
    <row r="712">
      <c r="C712" s="136" t="str">
        <f t="shared" si="3"/>
        <v/>
      </c>
      <c r="E712" s="106"/>
      <c r="G712" s="106" t="s">
        <v>133</v>
      </c>
      <c r="I712" s="139" t="s">
        <v>133</v>
      </c>
      <c r="J712" s="136" t="s">
        <v>133</v>
      </c>
      <c r="L712" s="136" t="str">
        <f t="shared" si="1"/>
        <v/>
      </c>
      <c r="N712" s="141" t="s">
        <v>133</v>
      </c>
      <c r="O712" s="136" t="str">
        <f>IFERROR(__xludf.DUMMYFUNCTION("""COMPUTED_VALUE"""),"")</f>
        <v/>
      </c>
      <c r="P712" s="136" t="str">
        <f>IFERROR(__xludf.DUMMYFUNCTION("""COMPUTED_VALUE"""),"")</f>
        <v/>
      </c>
      <c r="Q712" s="106" t="str">
        <f>IFERROR(__xludf.DUMMYFUNCTION("""COMPUTED_VALUE"""),"")</f>
        <v/>
      </c>
      <c r="R712" s="106" t="str">
        <f>IFERROR(__xludf.DUMMYFUNCTION("""COMPUTED_VALUE"""),"")</f>
        <v/>
      </c>
      <c r="S712" s="139" t="str">
        <f>IFERROR(__xludf.DUMMYFUNCTION("""COMPUTED_VALUE"""),"")</f>
        <v/>
      </c>
      <c r="T712" s="139" t="str">
        <f>IFERROR(__xludf.DUMMYFUNCTION("""COMPUTED_VALUE"""),"")</f>
        <v/>
      </c>
      <c r="U712" s="136" t="str">
        <f>IFERROR(__xludf.DUMMYFUNCTION("""COMPUTED_VALUE"""),"")</f>
        <v/>
      </c>
      <c r="V712" s="106" t="str">
        <f>IFERROR(__xludf.DUMMYFUNCTION("""COMPUTED_VALUE"""),"")</f>
        <v/>
      </c>
      <c r="W712" s="143" t="str">
        <f t="shared" si="2"/>
        <v/>
      </c>
      <c r="X712" s="139" t="str">
        <f>IFERROR(__xludf.DUMMYFUNCTION("""COMPUTED_VALUE"""),"")</f>
        <v/>
      </c>
      <c r="Y712" s="141" t="str">
        <f>IFERROR(__xludf.DUMMYFUNCTION("""COMPUTED_VALUE"""),"")</f>
        <v/>
      </c>
    </row>
    <row r="713">
      <c r="C713" s="136" t="str">
        <f t="shared" si="3"/>
        <v/>
      </c>
      <c r="E713" s="106"/>
      <c r="G713" s="106" t="s">
        <v>133</v>
      </c>
      <c r="I713" s="139" t="s">
        <v>133</v>
      </c>
      <c r="J713" s="136" t="s">
        <v>133</v>
      </c>
      <c r="L713" s="136" t="str">
        <f t="shared" si="1"/>
        <v/>
      </c>
      <c r="N713" s="141" t="s">
        <v>133</v>
      </c>
      <c r="O713" s="136" t="str">
        <f>IFERROR(__xludf.DUMMYFUNCTION("""COMPUTED_VALUE"""),"")</f>
        <v/>
      </c>
      <c r="P713" s="136" t="str">
        <f>IFERROR(__xludf.DUMMYFUNCTION("""COMPUTED_VALUE"""),"")</f>
        <v/>
      </c>
      <c r="Q713" s="106" t="str">
        <f>IFERROR(__xludf.DUMMYFUNCTION("""COMPUTED_VALUE"""),"")</f>
        <v/>
      </c>
      <c r="R713" s="106" t="str">
        <f>IFERROR(__xludf.DUMMYFUNCTION("""COMPUTED_VALUE"""),"")</f>
        <v/>
      </c>
      <c r="S713" s="139" t="str">
        <f>IFERROR(__xludf.DUMMYFUNCTION("""COMPUTED_VALUE"""),"")</f>
        <v/>
      </c>
      <c r="T713" s="139" t="str">
        <f>IFERROR(__xludf.DUMMYFUNCTION("""COMPUTED_VALUE"""),"")</f>
        <v/>
      </c>
      <c r="U713" s="136" t="str">
        <f>IFERROR(__xludf.DUMMYFUNCTION("""COMPUTED_VALUE"""),"")</f>
        <v/>
      </c>
      <c r="V713" s="106" t="str">
        <f>IFERROR(__xludf.DUMMYFUNCTION("""COMPUTED_VALUE"""),"")</f>
        <v/>
      </c>
      <c r="W713" s="143" t="str">
        <f t="shared" si="2"/>
        <v/>
      </c>
      <c r="X713" s="139" t="str">
        <f>IFERROR(__xludf.DUMMYFUNCTION("""COMPUTED_VALUE"""),"")</f>
        <v/>
      </c>
      <c r="Y713" s="141" t="str">
        <f>IFERROR(__xludf.DUMMYFUNCTION("""COMPUTED_VALUE"""),"")</f>
        <v/>
      </c>
    </row>
    <row r="714">
      <c r="C714" s="136" t="str">
        <f t="shared" si="3"/>
        <v/>
      </c>
      <c r="E714" s="106"/>
      <c r="G714" s="106" t="s">
        <v>133</v>
      </c>
      <c r="I714" s="139" t="s">
        <v>133</v>
      </c>
      <c r="J714" s="136" t="s">
        <v>133</v>
      </c>
      <c r="L714" s="136" t="str">
        <f t="shared" si="1"/>
        <v/>
      </c>
      <c r="N714" s="141" t="s">
        <v>133</v>
      </c>
      <c r="O714" s="136" t="str">
        <f>IFERROR(__xludf.DUMMYFUNCTION("""COMPUTED_VALUE"""),"")</f>
        <v/>
      </c>
      <c r="P714" s="136" t="str">
        <f>IFERROR(__xludf.DUMMYFUNCTION("""COMPUTED_VALUE"""),"")</f>
        <v/>
      </c>
      <c r="Q714" s="106" t="str">
        <f>IFERROR(__xludf.DUMMYFUNCTION("""COMPUTED_VALUE"""),"")</f>
        <v/>
      </c>
      <c r="R714" s="106" t="str">
        <f>IFERROR(__xludf.DUMMYFUNCTION("""COMPUTED_VALUE"""),"")</f>
        <v/>
      </c>
      <c r="S714" s="139" t="str">
        <f>IFERROR(__xludf.DUMMYFUNCTION("""COMPUTED_VALUE"""),"")</f>
        <v/>
      </c>
      <c r="T714" s="139" t="str">
        <f>IFERROR(__xludf.DUMMYFUNCTION("""COMPUTED_VALUE"""),"")</f>
        <v/>
      </c>
      <c r="U714" s="136" t="str">
        <f>IFERROR(__xludf.DUMMYFUNCTION("""COMPUTED_VALUE"""),"")</f>
        <v/>
      </c>
      <c r="V714" s="106" t="str">
        <f>IFERROR(__xludf.DUMMYFUNCTION("""COMPUTED_VALUE"""),"")</f>
        <v/>
      </c>
      <c r="W714" s="143" t="str">
        <f t="shared" si="2"/>
        <v/>
      </c>
      <c r="X714" s="139" t="str">
        <f>IFERROR(__xludf.DUMMYFUNCTION("""COMPUTED_VALUE"""),"")</f>
        <v/>
      </c>
      <c r="Y714" s="141" t="str">
        <f>IFERROR(__xludf.DUMMYFUNCTION("""COMPUTED_VALUE"""),"")</f>
        <v/>
      </c>
    </row>
    <row r="715">
      <c r="C715" s="136" t="str">
        <f t="shared" si="3"/>
        <v/>
      </c>
      <c r="E715" s="106"/>
      <c r="G715" s="106" t="s">
        <v>133</v>
      </c>
      <c r="I715" s="139" t="s">
        <v>133</v>
      </c>
      <c r="J715" s="136" t="s">
        <v>133</v>
      </c>
      <c r="L715" s="136" t="str">
        <f t="shared" si="1"/>
        <v/>
      </c>
      <c r="N715" s="141" t="s">
        <v>133</v>
      </c>
      <c r="O715" s="136" t="str">
        <f>IFERROR(__xludf.DUMMYFUNCTION("""COMPUTED_VALUE"""),"")</f>
        <v/>
      </c>
      <c r="P715" s="136" t="str">
        <f>IFERROR(__xludf.DUMMYFUNCTION("""COMPUTED_VALUE"""),"")</f>
        <v/>
      </c>
      <c r="Q715" s="106" t="str">
        <f>IFERROR(__xludf.DUMMYFUNCTION("""COMPUTED_VALUE"""),"")</f>
        <v/>
      </c>
      <c r="R715" s="106" t="str">
        <f>IFERROR(__xludf.DUMMYFUNCTION("""COMPUTED_VALUE"""),"")</f>
        <v/>
      </c>
      <c r="S715" s="139" t="str">
        <f>IFERROR(__xludf.DUMMYFUNCTION("""COMPUTED_VALUE"""),"")</f>
        <v/>
      </c>
      <c r="T715" s="139" t="str">
        <f>IFERROR(__xludf.DUMMYFUNCTION("""COMPUTED_VALUE"""),"")</f>
        <v/>
      </c>
      <c r="U715" s="136" t="str">
        <f>IFERROR(__xludf.DUMMYFUNCTION("""COMPUTED_VALUE"""),"")</f>
        <v/>
      </c>
      <c r="V715" s="106" t="str">
        <f>IFERROR(__xludf.DUMMYFUNCTION("""COMPUTED_VALUE"""),"")</f>
        <v/>
      </c>
      <c r="W715" s="143" t="str">
        <f t="shared" si="2"/>
        <v/>
      </c>
      <c r="X715" s="139" t="str">
        <f>IFERROR(__xludf.DUMMYFUNCTION("""COMPUTED_VALUE"""),"")</f>
        <v/>
      </c>
      <c r="Y715" s="141" t="str">
        <f>IFERROR(__xludf.DUMMYFUNCTION("""COMPUTED_VALUE"""),"")</f>
        <v/>
      </c>
    </row>
    <row r="716">
      <c r="C716" s="136" t="str">
        <f t="shared" si="3"/>
        <v/>
      </c>
      <c r="E716" s="106"/>
      <c r="G716" s="106" t="s">
        <v>133</v>
      </c>
      <c r="I716" s="139" t="s">
        <v>133</v>
      </c>
      <c r="J716" s="136" t="s">
        <v>133</v>
      </c>
      <c r="L716" s="136" t="str">
        <f t="shared" si="1"/>
        <v/>
      </c>
      <c r="N716" s="141" t="s">
        <v>133</v>
      </c>
      <c r="O716" s="136" t="str">
        <f>IFERROR(__xludf.DUMMYFUNCTION("""COMPUTED_VALUE"""),"")</f>
        <v/>
      </c>
      <c r="P716" s="136" t="str">
        <f>IFERROR(__xludf.DUMMYFUNCTION("""COMPUTED_VALUE"""),"")</f>
        <v/>
      </c>
      <c r="Q716" s="106" t="str">
        <f>IFERROR(__xludf.DUMMYFUNCTION("""COMPUTED_VALUE"""),"")</f>
        <v/>
      </c>
      <c r="R716" s="106" t="str">
        <f>IFERROR(__xludf.DUMMYFUNCTION("""COMPUTED_VALUE"""),"")</f>
        <v/>
      </c>
      <c r="S716" s="139" t="str">
        <f>IFERROR(__xludf.DUMMYFUNCTION("""COMPUTED_VALUE"""),"")</f>
        <v/>
      </c>
      <c r="T716" s="139" t="str">
        <f>IFERROR(__xludf.DUMMYFUNCTION("""COMPUTED_VALUE"""),"")</f>
        <v/>
      </c>
      <c r="U716" s="136" t="str">
        <f>IFERROR(__xludf.DUMMYFUNCTION("""COMPUTED_VALUE"""),"")</f>
        <v/>
      </c>
      <c r="V716" s="106" t="str">
        <f>IFERROR(__xludf.DUMMYFUNCTION("""COMPUTED_VALUE"""),"")</f>
        <v/>
      </c>
      <c r="W716" s="143" t="str">
        <f t="shared" si="2"/>
        <v/>
      </c>
      <c r="X716" s="139" t="str">
        <f>IFERROR(__xludf.DUMMYFUNCTION("""COMPUTED_VALUE"""),"")</f>
        <v/>
      </c>
      <c r="Y716" s="141" t="str">
        <f>IFERROR(__xludf.DUMMYFUNCTION("""COMPUTED_VALUE"""),"")</f>
        <v/>
      </c>
    </row>
    <row r="717">
      <c r="C717" s="136" t="str">
        <f t="shared" si="3"/>
        <v/>
      </c>
      <c r="E717" s="106"/>
      <c r="G717" s="106" t="s">
        <v>133</v>
      </c>
      <c r="I717" s="139" t="s">
        <v>133</v>
      </c>
      <c r="J717" s="136" t="s">
        <v>133</v>
      </c>
      <c r="L717" s="136" t="str">
        <f t="shared" si="1"/>
        <v/>
      </c>
      <c r="N717" s="141" t="s">
        <v>133</v>
      </c>
      <c r="O717" s="136" t="str">
        <f>IFERROR(__xludf.DUMMYFUNCTION("""COMPUTED_VALUE"""),"")</f>
        <v/>
      </c>
      <c r="P717" s="136" t="str">
        <f>IFERROR(__xludf.DUMMYFUNCTION("""COMPUTED_VALUE"""),"")</f>
        <v/>
      </c>
      <c r="Q717" s="106" t="str">
        <f>IFERROR(__xludf.DUMMYFUNCTION("""COMPUTED_VALUE"""),"")</f>
        <v/>
      </c>
      <c r="R717" s="106" t="str">
        <f>IFERROR(__xludf.DUMMYFUNCTION("""COMPUTED_VALUE"""),"")</f>
        <v/>
      </c>
      <c r="S717" s="139" t="str">
        <f>IFERROR(__xludf.DUMMYFUNCTION("""COMPUTED_VALUE"""),"")</f>
        <v/>
      </c>
      <c r="T717" s="139" t="str">
        <f>IFERROR(__xludf.DUMMYFUNCTION("""COMPUTED_VALUE"""),"")</f>
        <v/>
      </c>
      <c r="U717" s="136" t="str">
        <f>IFERROR(__xludf.DUMMYFUNCTION("""COMPUTED_VALUE"""),"")</f>
        <v/>
      </c>
      <c r="V717" s="106" t="str">
        <f>IFERROR(__xludf.DUMMYFUNCTION("""COMPUTED_VALUE"""),"")</f>
        <v/>
      </c>
      <c r="W717" s="143" t="str">
        <f t="shared" si="2"/>
        <v/>
      </c>
      <c r="X717" s="139" t="str">
        <f>IFERROR(__xludf.DUMMYFUNCTION("""COMPUTED_VALUE"""),"")</f>
        <v/>
      </c>
      <c r="Y717" s="141" t="str">
        <f>IFERROR(__xludf.DUMMYFUNCTION("""COMPUTED_VALUE"""),"")</f>
        <v/>
      </c>
    </row>
    <row r="718">
      <c r="C718" s="136" t="str">
        <f t="shared" si="3"/>
        <v/>
      </c>
      <c r="E718" s="106"/>
      <c r="G718" s="106" t="s">
        <v>133</v>
      </c>
      <c r="I718" s="139" t="s">
        <v>133</v>
      </c>
      <c r="J718" s="136" t="s">
        <v>133</v>
      </c>
      <c r="L718" s="136" t="str">
        <f t="shared" si="1"/>
        <v/>
      </c>
      <c r="N718" s="141" t="s">
        <v>133</v>
      </c>
      <c r="O718" s="136" t="str">
        <f>IFERROR(__xludf.DUMMYFUNCTION("""COMPUTED_VALUE"""),"")</f>
        <v/>
      </c>
      <c r="P718" s="136" t="str">
        <f>IFERROR(__xludf.DUMMYFUNCTION("""COMPUTED_VALUE"""),"")</f>
        <v/>
      </c>
      <c r="Q718" s="106" t="str">
        <f>IFERROR(__xludf.DUMMYFUNCTION("""COMPUTED_VALUE"""),"")</f>
        <v/>
      </c>
      <c r="R718" s="106" t="str">
        <f>IFERROR(__xludf.DUMMYFUNCTION("""COMPUTED_VALUE"""),"")</f>
        <v/>
      </c>
      <c r="S718" s="139" t="str">
        <f>IFERROR(__xludf.DUMMYFUNCTION("""COMPUTED_VALUE"""),"")</f>
        <v/>
      </c>
      <c r="T718" s="139" t="str">
        <f>IFERROR(__xludf.DUMMYFUNCTION("""COMPUTED_VALUE"""),"")</f>
        <v/>
      </c>
      <c r="U718" s="136" t="str">
        <f>IFERROR(__xludf.DUMMYFUNCTION("""COMPUTED_VALUE"""),"")</f>
        <v/>
      </c>
      <c r="V718" s="106" t="str">
        <f>IFERROR(__xludf.DUMMYFUNCTION("""COMPUTED_VALUE"""),"")</f>
        <v/>
      </c>
      <c r="W718" s="143" t="str">
        <f t="shared" si="2"/>
        <v/>
      </c>
      <c r="X718" s="139" t="str">
        <f>IFERROR(__xludf.DUMMYFUNCTION("""COMPUTED_VALUE"""),"")</f>
        <v/>
      </c>
      <c r="Y718" s="141" t="str">
        <f>IFERROR(__xludf.DUMMYFUNCTION("""COMPUTED_VALUE"""),"")</f>
        <v/>
      </c>
    </row>
    <row r="719">
      <c r="C719" s="136" t="str">
        <f t="shared" si="3"/>
        <v/>
      </c>
      <c r="E719" s="106"/>
      <c r="G719" s="106" t="s">
        <v>133</v>
      </c>
      <c r="I719" s="139" t="s">
        <v>133</v>
      </c>
      <c r="J719" s="136" t="s">
        <v>133</v>
      </c>
      <c r="L719" s="136" t="str">
        <f t="shared" si="1"/>
        <v/>
      </c>
      <c r="N719" s="141" t="s">
        <v>133</v>
      </c>
      <c r="O719" s="136" t="str">
        <f>IFERROR(__xludf.DUMMYFUNCTION("""COMPUTED_VALUE"""),"")</f>
        <v/>
      </c>
      <c r="P719" s="136" t="str">
        <f>IFERROR(__xludf.DUMMYFUNCTION("""COMPUTED_VALUE"""),"")</f>
        <v/>
      </c>
      <c r="Q719" s="106" t="str">
        <f>IFERROR(__xludf.DUMMYFUNCTION("""COMPUTED_VALUE"""),"")</f>
        <v/>
      </c>
      <c r="R719" s="106" t="str">
        <f>IFERROR(__xludf.DUMMYFUNCTION("""COMPUTED_VALUE"""),"")</f>
        <v/>
      </c>
      <c r="S719" s="139" t="str">
        <f>IFERROR(__xludf.DUMMYFUNCTION("""COMPUTED_VALUE"""),"")</f>
        <v/>
      </c>
      <c r="T719" s="139" t="str">
        <f>IFERROR(__xludf.DUMMYFUNCTION("""COMPUTED_VALUE"""),"")</f>
        <v/>
      </c>
      <c r="U719" s="136" t="str">
        <f>IFERROR(__xludf.DUMMYFUNCTION("""COMPUTED_VALUE"""),"")</f>
        <v/>
      </c>
      <c r="V719" s="106" t="str">
        <f>IFERROR(__xludf.DUMMYFUNCTION("""COMPUTED_VALUE"""),"")</f>
        <v/>
      </c>
      <c r="W719" s="143" t="str">
        <f t="shared" si="2"/>
        <v/>
      </c>
      <c r="X719" s="139" t="str">
        <f>IFERROR(__xludf.DUMMYFUNCTION("""COMPUTED_VALUE"""),"")</f>
        <v/>
      </c>
      <c r="Y719" s="141" t="str">
        <f>IFERROR(__xludf.DUMMYFUNCTION("""COMPUTED_VALUE"""),"")</f>
        <v/>
      </c>
    </row>
    <row r="720">
      <c r="C720" s="136" t="str">
        <f t="shared" si="3"/>
        <v/>
      </c>
      <c r="E720" s="106"/>
      <c r="G720" s="106" t="s">
        <v>133</v>
      </c>
      <c r="I720" s="139" t="s">
        <v>133</v>
      </c>
      <c r="J720" s="136" t="s">
        <v>133</v>
      </c>
      <c r="L720" s="136" t="str">
        <f t="shared" si="1"/>
        <v/>
      </c>
      <c r="N720" s="141" t="s">
        <v>133</v>
      </c>
      <c r="O720" s="136" t="str">
        <f>IFERROR(__xludf.DUMMYFUNCTION("""COMPUTED_VALUE"""),"")</f>
        <v/>
      </c>
      <c r="P720" s="136" t="str">
        <f>IFERROR(__xludf.DUMMYFUNCTION("""COMPUTED_VALUE"""),"")</f>
        <v/>
      </c>
      <c r="Q720" s="106" t="str">
        <f>IFERROR(__xludf.DUMMYFUNCTION("""COMPUTED_VALUE"""),"")</f>
        <v/>
      </c>
      <c r="R720" s="106" t="str">
        <f>IFERROR(__xludf.DUMMYFUNCTION("""COMPUTED_VALUE"""),"")</f>
        <v/>
      </c>
      <c r="S720" s="139" t="str">
        <f>IFERROR(__xludf.DUMMYFUNCTION("""COMPUTED_VALUE"""),"")</f>
        <v/>
      </c>
      <c r="T720" s="139" t="str">
        <f>IFERROR(__xludf.DUMMYFUNCTION("""COMPUTED_VALUE"""),"")</f>
        <v/>
      </c>
      <c r="U720" s="136" t="str">
        <f>IFERROR(__xludf.DUMMYFUNCTION("""COMPUTED_VALUE"""),"")</f>
        <v/>
      </c>
      <c r="V720" s="106" t="str">
        <f>IFERROR(__xludf.DUMMYFUNCTION("""COMPUTED_VALUE"""),"")</f>
        <v/>
      </c>
      <c r="W720" s="143" t="str">
        <f t="shared" si="2"/>
        <v/>
      </c>
      <c r="X720" s="139" t="str">
        <f>IFERROR(__xludf.DUMMYFUNCTION("""COMPUTED_VALUE"""),"")</f>
        <v/>
      </c>
      <c r="Y720" s="141" t="str">
        <f>IFERROR(__xludf.DUMMYFUNCTION("""COMPUTED_VALUE"""),"")</f>
        <v/>
      </c>
    </row>
    <row r="721">
      <c r="C721" s="136" t="str">
        <f t="shared" si="3"/>
        <v/>
      </c>
      <c r="E721" s="106"/>
      <c r="G721" s="106" t="s">
        <v>133</v>
      </c>
      <c r="I721" s="139" t="s">
        <v>133</v>
      </c>
      <c r="J721" s="136" t="s">
        <v>133</v>
      </c>
      <c r="L721" s="136" t="str">
        <f t="shared" si="1"/>
        <v/>
      </c>
      <c r="N721" s="141" t="s">
        <v>133</v>
      </c>
      <c r="O721" s="136" t="str">
        <f>IFERROR(__xludf.DUMMYFUNCTION("""COMPUTED_VALUE"""),"")</f>
        <v/>
      </c>
      <c r="P721" s="136" t="str">
        <f>IFERROR(__xludf.DUMMYFUNCTION("""COMPUTED_VALUE"""),"")</f>
        <v/>
      </c>
      <c r="Q721" s="106" t="str">
        <f>IFERROR(__xludf.DUMMYFUNCTION("""COMPUTED_VALUE"""),"")</f>
        <v/>
      </c>
      <c r="R721" s="106" t="str">
        <f>IFERROR(__xludf.DUMMYFUNCTION("""COMPUTED_VALUE"""),"")</f>
        <v/>
      </c>
      <c r="S721" s="139" t="str">
        <f>IFERROR(__xludf.DUMMYFUNCTION("""COMPUTED_VALUE"""),"")</f>
        <v/>
      </c>
      <c r="T721" s="139" t="str">
        <f>IFERROR(__xludf.DUMMYFUNCTION("""COMPUTED_VALUE"""),"")</f>
        <v/>
      </c>
      <c r="U721" s="136" t="str">
        <f>IFERROR(__xludf.DUMMYFUNCTION("""COMPUTED_VALUE"""),"")</f>
        <v/>
      </c>
      <c r="V721" s="106" t="str">
        <f>IFERROR(__xludf.DUMMYFUNCTION("""COMPUTED_VALUE"""),"")</f>
        <v/>
      </c>
      <c r="W721" s="143" t="str">
        <f t="shared" si="2"/>
        <v/>
      </c>
      <c r="X721" s="139" t="str">
        <f>IFERROR(__xludf.DUMMYFUNCTION("""COMPUTED_VALUE"""),"")</f>
        <v/>
      </c>
      <c r="Y721" s="141" t="str">
        <f>IFERROR(__xludf.DUMMYFUNCTION("""COMPUTED_VALUE"""),"")</f>
        <v/>
      </c>
    </row>
    <row r="722">
      <c r="C722" s="136" t="str">
        <f t="shared" si="3"/>
        <v/>
      </c>
      <c r="E722" s="106"/>
      <c r="G722" s="106" t="s">
        <v>133</v>
      </c>
      <c r="I722" s="139" t="s">
        <v>133</v>
      </c>
      <c r="J722" s="136" t="s">
        <v>133</v>
      </c>
      <c r="L722" s="136" t="str">
        <f t="shared" si="1"/>
        <v/>
      </c>
      <c r="N722" s="141" t="s">
        <v>133</v>
      </c>
      <c r="O722" s="136" t="str">
        <f>IFERROR(__xludf.DUMMYFUNCTION("""COMPUTED_VALUE"""),"")</f>
        <v/>
      </c>
      <c r="P722" s="136" t="str">
        <f>IFERROR(__xludf.DUMMYFUNCTION("""COMPUTED_VALUE"""),"")</f>
        <v/>
      </c>
      <c r="Q722" s="106" t="str">
        <f>IFERROR(__xludf.DUMMYFUNCTION("""COMPUTED_VALUE"""),"")</f>
        <v/>
      </c>
      <c r="R722" s="106" t="str">
        <f>IFERROR(__xludf.DUMMYFUNCTION("""COMPUTED_VALUE"""),"")</f>
        <v/>
      </c>
      <c r="S722" s="139" t="str">
        <f>IFERROR(__xludf.DUMMYFUNCTION("""COMPUTED_VALUE"""),"")</f>
        <v/>
      </c>
      <c r="T722" s="139" t="str">
        <f>IFERROR(__xludf.DUMMYFUNCTION("""COMPUTED_VALUE"""),"")</f>
        <v/>
      </c>
      <c r="U722" s="136" t="str">
        <f>IFERROR(__xludf.DUMMYFUNCTION("""COMPUTED_VALUE"""),"")</f>
        <v/>
      </c>
      <c r="V722" s="106" t="str">
        <f>IFERROR(__xludf.DUMMYFUNCTION("""COMPUTED_VALUE"""),"")</f>
        <v/>
      </c>
      <c r="W722" s="143" t="str">
        <f t="shared" si="2"/>
        <v/>
      </c>
      <c r="X722" s="139" t="str">
        <f>IFERROR(__xludf.DUMMYFUNCTION("""COMPUTED_VALUE"""),"")</f>
        <v/>
      </c>
      <c r="Y722" s="141" t="str">
        <f>IFERROR(__xludf.DUMMYFUNCTION("""COMPUTED_VALUE"""),"")</f>
        <v/>
      </c>
    </row>
    <row r="723">
      <c r="C723" s="136" t="str">
        <f t="shared" si="3"/>
        <v/>
      </c>
      <c r="E723" s="106"/>
      <c r="G723" s="106" t="s">
        <v>133</v>
      </c>
      <c r="I723" s="139" t="s">
        <v>133</v>
      </c>
      <c r="J723" s="136" t="s">
        <v>133</v>
      </c>
      <c r="L723" s="136" t="str">
        <f t="shared" si="1"/>
        <v/>
      </c>
      <c r="N723" s="141" t="s">
        <v>133</v>
      </c>
      <c r="O723" s="136" t="str">
        <f>IFERROR(__xludf.DUMMYFUNCTION("""COMPUTED_VALUE"""),"")</f>
        <v/>
      </c>
      <c r="P723" s="136" t="str">
        <f>IFERROR(__xludf.DUMMYFUNCTION("""COMPUTED_VALUE"""),"")</f>
        <v/>
      </c>
      <c r="Q723" s="106" t="str">
        <f>IFERROR(__xludf.DUMMYFUNCTION("""COMPUTED_VALUE"""),"")</f>
        <v/>
      </c>
      <c r="R723" s="106" t="str">
        <f>IFERROR(__xludf.DUMMYFUNCTION("""COMPUTED_VALUE"""),"")</f>
        <v/>
      </c>
      <c r="S723" s="139" t="str">
        <f>IFERROR(__xludf.DUMMYFUNCTION("""COMPUTED_VALUE"""),"")</f>
        <v/>
      </c>
      <c r="T723" s="139" t="str">
        <f>IFERROR(__xludf.DUMMYFUNCTION("""COMPUTED_VALUE"""),"")</f>
        <v/>
      </c>
      <c r="U723" s="136" t="str">
        <f>IFERROR(__xludf.DUMMYFUNCTION("""COMPUTED_VALUE"""),"")</f>
        <v/>
      </c>
      <c r="V723" s="106" t="str">
        <f>IFERROR(__xludf.DUMMYFUNCTION("""COMPUTED_VALUE"""),"")</f>
        <v/>
      </c>
      <c r="W723" s="143" t="str">
        <f t="shared" si="2"/>
        <v/>
      </c>
      <c r="X723" s="139" t="str">
        <f>IFERROR(__xludf.DUMMYFUNCTION("""COMPUTED_VALUE"""),"")</f>
        <v/>
      </c>
      <c r="Y723" s="141" t="str">
        <f>IFERROR(__xludf.DUMMYFUNCTION("""COMPUTED_VALUE"""),"")</f>
        <v/>
      </c>
    </row>
    <row r="724">
      <c r="C724" s="136" t="str">
        <f t="shared" si="3"/>
        <v/>
      </c>
      <c r="E724" s="106"/>
      <c r="G724" s="106" t="s">
        <v>133</v>
      </c>
      <c r="I724" s="139" t="s">
        <v>133</v>
      </c>
      <c r="J724" s="136" t="s">
        <v>133</v>
      </c>
      <c r="L724" s="136" t="str">
        <f t="shared" si="1"/>
        <v/>
      </c>
      <c r="N724" s="141" t="s">
        <v>133</v>
      </c>
      <c r="O724" s="136" t="str">
        <f>IFERROR(__xludf.DUMMYFUNCTION("""COMPUTED_VALUE"""),"")</f>
        <v/>
      </c>
      <c r="P724" s="136" t="str">
        <f>IFERROR(__xludf.DUMMYFUNCTION("""COMPUTED_VALUE"""),"")</f>
        <v/>
      </c>
      <c r="Q724" s="106" t="str">
        <f>IFERROR(__xludf.DUMMYFUNCTION("""COMPUTED_VALUE"""),"")</f>
        <v/>
      </c>
      <c r="R724" s="106" t="str">
        <f>IFERROR(__xludf.DUMMYFUNCTION("""COMPUTED_VALUE"""),"")</f>
        <v/>
      </c>
      <c r="S724" s="139" t="str">
        <f>IFERROR(__xludf.DUMMYFUNCTION("""COMPUTED_VALUE"""),"")</f>
        <v/>
      </c>
      <c r="T724" s="139" t="str">
        <f>IFERROR(__xludf.DUMMYFUNCTION("""COMPUTED_VALUE"""),"")</f>
        <v/>
      </c>
      <c r="U724" s="136" t="str">
        <f>IFERROR(__xludf.DUMMYFUNCTION("""COMPUTED_VALUE"""),"")</f>
        <v/>
      </c>
      <c r="V724" s="106" t="str">
        <f>IFERROR(__xludf.DUMMYFUNCTION("""COMPUTED_VALUE"""),"")</f>
        <v/>
      </c>
      <c r="W724" s="143" t="str">
        <f t="shared" si="2"/>
        <v/>
      </c>
      <c r="X724" s="139" t="str">
        <f>IFERROR(__xludf.DUMMYFUNCTION("""COMPUTED_VALUE"""),"")</f>
        <v/>
      </c>
      <c r="Y724" s="141" t="str">
        <f>IFERROR(__xludf.DUMMYFUNCTION("""COMPUTED_VALUE"""),"")</f>
        <v/>
      </c>
    </row>
    <row r="725">
      <c r="C725" s="136" t="str">
        <f t="shared" si="3"/>
        <v/>
      </c>
      <c r="E725" s="106"/>
      <c r="G725" s="106" t="s">
        <v>133</v>
      </c>
      <c r="I725" s="139" t="s">
        <v>133</v>
      </c>
      <c r="J725" s="136" t="s">
        <v>133</v>
      </c>
      <c r="L725" s="136" t="str">
        <f t="shared" si="1"/>
        <v/>
      </c>
      <c r="N725" s="141" t="s">
        <v>133</v>
      </c>
      <c r="O725" s="136" t="str">
        <f>IFERROR(__xludf.DUMMYFUNCTION("""COMPUTED_VALUE"""),"")</f>
        <v/>
      </c>
      <c r="P725" s="136" t="str">
        <f>IFERROR(__xludf.DUMMYFUNCTION("""COMPUTED_VALUE"""),"")</f>
        <v/>
      </c>
      <c r="Q725" s="106" t="str">
        <f>IFERROR(__xludf.DUMMYFUNCTION("""COMPUTED_VALUE"""),"")</f>
        <v/>
      </c>
      <c r="R725" s="106" t="str">
        <f>IFERROR(__xludf.DUMMYFUNCTION("""COMPUTED_VALUE"""),"")</f>
        <v/>
      </c>
      <c r="S725" s="139" t="str">
        <f>IFERROR(__xludf.DUMMYFUNCTION("""COMPUTED_VALUE"""),"")</f>
        <v/>
      </c>
      <c r="T725" s="139" t="str">
        <f>IFERROR(__xludf.DUMMYFUNCTION("""COMPUTED_VALUE"""),"")</f>
        <v/>
      </c>
      <c r="U725" s="136" t="str">
        <f>IFERROR(__xludf.DUMMYFUNCTION("""COMPUTED_VALUE"""),"")</f>
        <v/>
      </c>
      <c r="V725" s="106" t="str">
        <f>IFERROR(__xludf.DUMMYFUNCTION("""COMPUTED_VALUE"""),"")</f>
        <v/>
      </c>
      <c r="W725" s="143" t="str">
        <f t="shared" si="2"/>
        <v/>
      </c>
      <c r="X725" s="139" t="str">
        <f>IFERROR(__xludf.DUMMYFUNCTION("""COMPUTED_VALUE"""),"")</f>
        <v/>
      </c>
      <c r="Y725" s="141" t="str">
        <f>IFERROR(__xludf.DUMMYFUNCTION("""COMPUTED_VALUE"""),"")</f>
        <v/>
      </c>
    </row>
    <row r="726">
      <c r="C726" s="136" t="str">
        <f t="shared" si="3"/>
        <v/>
      </c>
      <c r="E726" s="106"/>
      <c r="G726" s="106" t="s">
        <v>133</v>
      </c>
      <c r="I726" s="139" t="s">
        <v>133</v>
      </c>
      <c r="J726" s="136" t="s">
        <v>133</v>
      </c>
      <c r="L726" s="136" t="str">
        <f t="shared" si="1"/>
        <v/>
      </c>
      <c r="N726" s="141" t="s">
        <v>133</v>
      </c>
      <c r="O726" s="136" t="str">
        <f>IFERROR(__xludf.DUMMYFUNCTION("""COMPUTED_VALUE"""),"")</f>
        <v/>
      </c>
      <c r="P726" s="136" t="str">
        <f>IFERROR(__xludf.DUMMYFUNCTION("""COMPUTED_VALUE"""),"")</f>
        <v/>
      </c>
      <c r="Q726" s="106" t="str">
        <f>IFERROR(__xludf.DUMMYFUNCTION("""COMPUTED_VALUE"""),"")</f>
        <v/>
      </c>
      <c r="R726" s="106" t="str">
        <f>IFERROR(__xludf.DUMMYFUNCTION("""COMPUTED_VALUE"""),"")</f>
        <v/>
      </c>
      <c r="S726" s="139" t="str">
        <f>IFERROR(__xludf.DUMMYFUNCTION("""COMPUTED_VALUE"""),"")</f>
        <v/>
      </c>
      <c r="T726" s="139" t="str">
        <f>IFERROR(__xludf.DUMMYFUNCTION("""COMPUTED_VALUE"""),"")</f>
        <v/>
      </c>
      <c r="U726" s="136" t="str">
        <f>IFERROR(__xludf.DUMMYFUNCTION("""COMPUTED_VALUE"""),"")</f>
        <v/>
      </c>
      <c r="V726" s="106" t="str">
        <f>IFERROR(__xludf.DUMMYFUNCTION("""COMPUTED_VALUE"""),"")</f>
        <v/>
      </c>
      <c r="W726" s="143" t="str">
        <f t="shared" si="2"/>
        <v/>
      </c>
      <c r="X726" s="139" t="str">
        <f>IFERROR(__xludf.DUMMYFUNCTION("""COMPUTED_VALUE"""),"")</f>
        <v/>
      </c>
      <c r="Y726" s="141" t="str">
        <f>IFERROR(__xludf.DUMMYFUNCTION("""COMPUTED_VALUE"""),"")</f>
        <v/>
      </c>
    </row>
    <row r="727">
      <c r="C727" s="136" t="str">
        <f t="shared" si="3"/>
        <v/>
      </c>
      <c r="E727" s="106"/>
      <c r="G727" s="106" t="s">
        <v>133</v>
      </c>
      <c r="I727" s="139" t="s">
        <v>133</v>
      </c>
      <c r="J727" s="136" t="s">
        <v>133</v>
      </c>
      <c r="L727" s="136" t="str">
        <f t="shared" si="1"/>
        <v/>
      </c>
      <c r="N727" s="141" t="s">
        <v>133</v>
      </c>
      <c r="O727" s="136" t="str">
        <f>IFERROR(__xludf.DUMMYFUNCTION("""COMPUTED_VALUE"""),"")</f>
        <v/>
      </c>
      <c r="P727" s="136" t="str">
        <f>IFERROR(__xludf.DUMMYFUNCTION("""COMPUTED_VALUE"""),"")</f>
        <v/>
      </c>
      <c r="Q727" s="106" t="str">
        <f>IFERROR(__xludf.DUMMYFUNCTION("""COMPUTED_VALUE"""),"")</f>
        <v/>
      </c>
      <c r="R727" s="106" t="str">
        <f>IFERROR(__xludf.DUMMYFUNCTION("""COMPUTED_VALUE"""),"")</f>
        <v/>
      </c>
      <c r="S727" s="139" t="str">
        <f>IFERROR(__xludf.DUMMYFUNCTION("""COMPUTED_VALUE"""),"")</f>
        <v/>
      </c>
      <c r="T727" s="139" t="str">
        <f>IFERROR(__xludf.DUMMYFUNCTION("""COMPUTED_VALUE"""),"")</f>
        <v/>
      </c>
      <c r="U727" s="136" t="str">
        <f>IFERROR(__xludf.DUMMYFUNCTION("""COMPUTED_VALUE"""),"")</f>
        <v/>
      </c>
      <c r="V727" s="106" t="str">
        <f>IFERROR(__xludf.DUMMYFUNCTION("""COMPUTED_VALUE"""),"")</f>
        <v/>
      </c>
      <c r="W727" s="143" t="str">
        <f t="shared" si="2"/>
        <v/>
      </c>
      <c r="X727" s="139" t="str">
        <f>IFERROR(__xludf.DUMMYFUNCTION("""COMPUTED_VALUE"""),"")</f>
        <v/>
      </c>
      <c r="Y727" s="141" t="str">
        <f>IFERROR(__xludf.DUMMYFUNCTION("""COMPUTED_VALUE"""),"")</f>
        <v/>
      </c>
    </row>
    <row r="728">
      <c r="C728" s="136" t="str">
        <f t="shared" si="3"/>
        <v/>
      </c>
      <c r="E728" s="106"/>
      <c r="G728" s="106" t="s">
        <v>133</v>
      </c>
      <c r="I728" s="139" t="s">
        <v>133</v>
      </c>
      <c r="J728" s="136" t="s">
        <v>133</v>
      </c>
      <c r="L728" s="136" t="str">
        <f t="shared" si="1"/>
        <v/>
      </c>
      <c r="N728" s="141" t="s">
        <v>133</v>
      </c>
      <c r="O728" s="136" t="str">
        <f>IFERROR(__xludf.DUMMYFUNCTION("""COMPUTED_VALUE"""),"")</f>
        <v/>
      </c>
      <c r="P728" s="136" t="str">
        <f>IFERROR(__xludf.DUMMYFUNCTION("""COMPUTED_VALUE"""),"")</f>
        <v/>
      </c>
      <c r="Q728" s="106" t="str">
        <f>IFERROR(__xludf.DUMMYFUNCTION("""COMPUTED_VALUE"""),"")</f>
        <v/>
      </c>
      <c r="R728" s="106" t="str">
        <f>IFERROR(__xludf.DUMMYFUNCTION("""COMPUTED_VALUE"""),"")</f>
        <v/>
      </c>
      <c r="S728" s="139" t="str">
        <f>IFERROR(__xludf.DUMMYFUNCTION("""COMPUTED_VALUE"""),"")</f>
        <v/>
      </c>
      <c r="T728" s="139" t="str">
        <f>IFERROR(__xludf.DUMMYFUNCTION("""COMPUTED_VALUE"""),"")</f>
        <v/>
      </c>
      <c r="U728" s="136" t="str">
        <f>IFERROR(__xludf.DUMMYFUNCTION("""COMPUTED_VALUE"""),"")</f>
        <v/>
      </c>
      <c r="V728" s="106" t="str">
        <f>IFERROR(__xludf.DUMMYFUNCTION("""COMPUTED_VALUE"""),"")</f>
        <v/>
      </c>
      <c r="W728" s="143" t="str">
        <f t="shared" si="2"/>
        <v/>
      </c>
      <c r="X728" s="139" t="str">
        <f>IFERROR(__xludf.DUMMYFUNCTION("""COMPUTED_VALUE"""),"")</f>
        <v/>
      </c>
      <c r="Y728" s="141" t="str">
        <f>IFERROR(__xludf.DUMMYFUNCTION("""COMPUTED_VALUE"""),"")</f>
        <v/>
      </c>
    </row>
    <row r="729">
      <c r="C729" s="136" t="str">
        <f t="shared" si="3"/>
        <v/>
      </c>
      <c r="E729" s="106"/>
      <c r="G729" s="106" t="s">
        <v>133</v>
      </c>
      <c r="I729" s="139" t="s">
        <v>133</v>
      </c>
      <c r="J729" s="136" t="s">
        <v>133</v>
      </c>
      <c r="L729" s="136" t="str">
        <f t="shared" si="1"/>
        <v/>
      </c>
      <c r="N729" s="141" t="s">
        <v>133</v>
      </c>
      <c r="O729" s="136" t="str">
        <f>IFERROR(__xludf.DUMMYFUNCTION("""COMPUTED_VALUE"""),"")</f>
        <v/>
      </c>
      <c r="P729" s="136" t="str">
        <f>IFERROR(__xludf.DUMMYFUNCTION("""COMPUTED_VALUE"""),"")</f>
        <v/>
      </c>
      <c r="Q729" s="106" t="str">
        <f>IFERROR(__xludf.DUMMYFUNCTION("""COMPUTED_VALUE"""),"")</f>
        <v/>
      </c>
      <c r="R729" s="106" t="str">
        <f>IFERROR(__xludf.DUMMYFUNCTION("""COMPUTED_VALUE"""),"")</f>
        <v/>
      </c>
      <c r="S729" s="139" t="str">
        <f>IFERROR(__xludf.DUMMYFUNCTION("""COMPUTED_VALUE"""),"")</f>
        <v/>
      </c>
      <c r="T729" s="139" t="str">
        <f>IFERROR(__xludf.DUMMYFUNCTION("""COMPUTED_VALUE"""),"")</f>
        <v/>
      </c>
      <c r="U729" s="136" t="str">
        <f>IFERROR(__xludf.DUMMYFUNCTION("""COMPUTED_VALUE"""),"")</f>
        <v/>
      </c>
      <c r="V729" s="106" t="str">
        <f>IFERROR(__xludf.DUMMYFUNCTION("""COMPUTED_VALUE"""),"")</f>
        <v/>
      </c>
      <c r="W729" s="143" t="str">
        <f t="shared" si="2"/>
        <v/>
      </c>
      <c r="X729" s="139" t="str">
        <f>IFERROR(__xludf.DUMMYFUNCTION("""COMPUTED_VALUE"""),"")</f>
        <v/>
      </c>
      <c r="Y729" s="141" t="str">
        <f>IFERROR(__xludf.DUMMYFUNCTION("""COMPUTED_VALUE"""),"")</f>
        <v/>
      </c>
    </row>
    <row r="730">
      <c r="C730" s="136" t="str">
        <f t="shared" si="3"/>
        <v/>
      </c>
      <c r="E730" s="106"/>
      <c r="G730" s="106" t="s">
        <v>133</v>
      </c>
      <c r="I730" s="139" t="s">
        <v>133</v>
      </c>
      <c r="J730" s="136" t="s">
        <v>133</v>
      </c>
      <c r="L730" s="136" t="str">
        <f t="shared" si="1"/>
        <v/>
      </c>
      <c r="N730" s="141" t="s">
        <v>133</v>
      </c>
      <c r="O730" s="136" t="str">
        <f>IFERROR(__xludf.DUMMYFUNCTION("""COMPUTED_VALUE"""),"")</f>
        <v/>
      </c>
      <c r="P730" s="136" t="str">
        <f>IFERROR(__xludf.DUMMYFUNCTION("""COMPUTED_VALUE"""),"")</f>
        <v/>
      </c>
      <c r="Q730" s="106" t="str">
        <f>IFERROR(__xludf.DUMMYFUNCTION("""COMPUTED_VALUE"""),"")</f>
        <v/>
      </c>
      <c r="R730" s="106" t="str">
        <f>IFERROR(__xludf.DUMMYFUNCTION("""COMPUTED_VALUE"""),"")</f>
        <v/>
      </c>
      <c r="S730" s="139" t="str">
        <f>IFERROR(__xludf.DUMMYFUNCTION("""COMPUTED_VALUE"""),"")</f>
        <v/>
      </c>
      <c r="T730" s="139" t="str">
        <f>IFERROR(__xludf.DUMMYFUNCTION("""COMPUTED_VALUE"""),"")</f>
        <v/>
      </c>
      <c r="U730" s="136" t="str">
        <f>IFERROR(__xludf.DUMMYFUNCTION("""COMPUTED_VALUE"""),"")</f>
        <v/>
      </c>
      <c r="V730" s="106" t="str">
        <f>IFERROR(__xludf.DUMMYFUNCTION("""COMPUTED_VALUE"""),"")</f>
        <v/>
      </c>
      <c r="W730" s="143" t="str">
        <f t="shared" si="2"/>
        <v/>
      </c>
      <c r="X730" s="139" t="str">
        <f>IFERROR(__xludf.DUMMYFUNCTION("""COMPUTED_VALUE"""),"")</f>
        <v/>
      </c>
      <c r="Y730" s="141" t="str">
        <f>IFERROR(__xludf.DUMMYFUNCTION("""COMPUTED_VALUE"""),"")</f>
        <v/>
      </c>
    </row>
    <row r="731">
      <c r="C731" s="136" t="str">
        <f t="shared" si="3"/>
        <v/>
      </c>
      <c r="E731" s="106"/>
      <c r="G731" s="106" t="s">
        <v>133</v>
      </c>
      <c r="I731" s="139" t="s">
        <v>133</v>
      </c>
      <c r="J731" s="136" t="s">
        <v>133</v>
      </c>
      <c r="L731" s="136" t="str">
        <f t="shared" si="1"/>
        <v/>
      </c>
      <c r="N731" s="141" t="s">
        <v>133</v>
      </c>
      <c r="O731" s="136" t="str">
        <f>IFERROR(__xludf.DUMMYFUNCTION("""COMPUTED_VALUE"""),"")</f>
        <v/>
      </c>
      <c r="P731" s="136" t="str">
        <f>IFERROR(__xludf.DUMMYFUNCTION("""COMPUTED_VALUE"""),"")</f>
        <v/>
      </c>
      <c r="Q731" s="106" t="str">
        <f>IFERROR(__xludf.DUMMYFUNCTION("""COMPUTED_VALUE"""),"")</f>
        <v/>
      </c>
      <c r="R731" s="106" t="str">
        <f>IFERROR(__xludf.DUMMYFUNCTION("""COMPUTED_VALUE"""),"")</f>
        <v/>
      </c>
      <c r="S731" s="139" t="str">
        <f>IFERROR(__xludf.DUMMYFUNCTION("""COMPUTED_VALUE"""),"")</f>
        <v/>
      </c>
      <c r="T731" s="139" t="str">
        <f>IFERROR(__xludf.DUMMYFUNCTION("""COMPUTED_VALUE"""),"")</f>
        <v/>
      </c>
      <c r="U731" s="136" t="str">
        <f>IFERROR(__xludf.DUMMYFUNCTION("""COMPUTED_VALUE"""),"")</f>
        <v/>
      </c>
      <c r="V731" s="106" t="str">
        <f>IFERROR(__xludf.DUMMYFUNCTION("""COMPUTED_VALUE"""),"")</f>
        <v/>
      </c>
      <c r="W731" s="143" t="str">
        <f t="shared" si="2"/>
        <v/>
      </c>
      <c r="X731" s="139" t="str">
        <f>IFERROR(__xludf.DUMMYFUNCTION("""COMPUTED_VALUE"""),"")</f>
        <v/>
      </c>
      <c r="Y731" s="141" t="str">
        <f>IFERROR(__xludf.DUMMYFUNCTION("""COMPUTED_VALUE"""),"")</f>
        <v/>
      </c>
    </row>
    <row r="732">
      <c r="C732" s="136" t="str">
        <f t="shared" si="3"/>
        <v/>
      </c>
      <c r="E732" s="106"/>
      <c r="G732" s="106" t="s">
        <v>133</v>
      </c>
      <c r="I732" s="139" t="s">
        <v>133</v>
      </c>
      <c r="J732" s="136" t="s">
        <v>133</v>
      </c>
      <c r="L732" s="136" t="str">
        <f t="shared" si="1"/>
        <v/>
      </c>
      <c r="N732" s="141" t="s">
        <v>133</v>
      </c>
      <c r="O732" s="136" t="str">
        <f>IFERROR(__xludf.DUMMYFUNCTION("""COMPUTED_VALUE"""),"")</f>
        <v/>
      </c>
      <c r="P732" s="136" t="str">
        <f>IFERROR(__xludf.DUMMYFUNCTION("""COMPUTED_VALUE"""),"")</f>
        <v/>
      </c>
      <c r="Q732" s="106" t="str">
        <f>IFERROR(__xludf.DUMMYFUNCTION("""COMPUTED_VALUE"""),"")</f>
        <v/>
      </c>
      <c r="R732" s="106" t="str">
        <f>IFERROR(__xludf.DUMMYFUNCTION("""COMPUTED_VALUE"""),"")</f>
        <v/>
      </c>
      <c r="S732" s="139" t="str">
        <f>IFERROR(__xludf.DUMMYFUNCTION("""COMPUTED_VALUE"""),"")</f>
        <v/>
      </c>
      <c r="T732" s="139" t="str">
        <f>IFERROR(__xludf.DUMMYFUNCTION("""COMPUTED_VALUE"""),"")</f>
        <v/>
      </c>
      <c r="U732" s="136" t="str">
        <f>IFERROR(__xludf.DUMMYFUNCTION("""COMPUTED_VALUE"""),"")</f>
        <v/>
      </c>
      <c r="V732" s="106" t="str">
        <f>IFERROR(__xludf.DUMMYFUNCTION("""COMPUTED_VALUE"""),"")</f>
        <v/>
      </c>
      <c r="W732" s="143" t="str">
        <f t="shared" si="2"/>
        <v/>
      </c>
      <c r="X732" s="139" t="str">
        <f>IFERROR(__xludf.DUMMYFUNCTION("""COMPUTED_VALUE"""),"")</f>
        <v/>
      </c>
      <c r="Y732" s="141" t="str">
        <f>IFERROR(__xludf.DUMMYFUNCTION("""COMPUTED_VALUE"""),"")</f>
        <v/>
      </c>
    </row>
    <row r="733">
      <c r="C733" s="136" t="str">
        <f t="shared" si="3"/>
        <v/>
      </c>
      <c r="E733" s="106"/>
      <c r="G733" s="106" t="s">
        <v>133</v>
      </c>
      <c r="I733" s="139" t="s">
        <v>133</v>
      </c>
      <c r="J733" s="136" t="s">
        <v>133</v>
      </c>
      <c r="L733" s="136" t="str">
        <f t="shared" si="1"/>
        <v/>
      </c>
      <c r="N733" s="141" t="s">
        <v>133</v>
      </c>
      <c r="O733" s="136" t="str">
        <f>IFERROR(__xludf.DUMMYFUNCTION("""COMPUTED_VALUE"""),"")</f>
        <v/>
      </c>
      <c r="P733" s="136" t="str">
        <f>IFERROR(__xludf.DUMMYFUNCTION("""COMPUTED_VALUE"""),"")</f>
        <v/>
      </c>
      <c r="Q733" s="106" t="str">
        <f>IFERROR(__xludf.DUMMYFUNCTION("""COMPUTED_VALUE"""),"")</f>
        <v/>
      </c>
      <c r="R733" s="106" t="str">
        <f>IFERROR(__xludf.DUMMYFUNCTION("""COMPUTED_VALUE"""),"")</f>
        <v/>
      </c>
      <c r="S733" s="139" t="str">
        <f>IFERROR(__xludf.DUMMYFUNCTION("""COMPUTED_VALUE"""),"")</f>
        <v/>
      </c>
      <c r="T733" s="139" t="str">
        <f>IFERROR(__xludf.DUMMYFUNCTION("""COMPUTED_VALUE"""),"")</f>
        <v/>
      </c>
      <c r="U733" s="136" t="str">
        <f>IFERROR(__xludf.DUMMYFUNCTION("""COMPUTED_VALUE"""),"")</f>
        <v/>
      </c>
      <c r="V733" s="106" t="str">
        <f>IFERROR(__xludf.DUMMYFUNCTION("""COMPUTED_VALUE"""),"")</f>
        <v/>
      </c>
      <c r="W733" s="143" t="str">
        <f t="shared" si="2"/>
        <v/>
      </c>
      <c r="X733" s="139" t="str">
        <f>IFERROR(__xludf.DUMMYFUNCTION("""COMPUTED_VALUE"""),"")</f>
        <v/>
      </c>
      <c r="Y733" s="141" t="str">
        <f>IFERROR(__xludf.DUMMYFUNCTION("""COMPUTED_VALUE"""),"")</f>
        <v/>
      </c>
    </row>
    <row r="734">
      <c r="C734" s="136" t="str">
        <f t="shared" si="3"/>
        <v/>
      </c>
      <c r="E734" s="106"/>
      <c r="G734" s="106" t="s">
        <v>133</v>
      </c>
      <c r="I734" s="139" t="s">
        <v>133</v>
      </c>
      <c r="J734" s="136" t="s">
        <v>133</v>
      </c>
      <c r="L734" s="136" t="str">
        <f t="shared" si="1"/>
        <v/>
      </c>
      <c r="N734" s="141" t="s">
        <v>133</v>
      </c>
      <c r="O734" s="136" t="str">
        <f>IFERROR(__xludf.DUMMYFUNCTION("""COMPUTED_VALUE"""),"")</f>
        <v/>
      </c>
      <c r="P734" s="136" t="str">
        <f>IFERROR(__xludf.DUMMYFUNCTION("""COMPUTED_VALUE"""),"")</f>
        <v/>
      </c>
      <c r="Q734" s="106" t="str">
        <f>IFERROR(__xludf.DUMMYFUNCTION("""COMPUTED_VALUE"""),"")</f>
        <v/>
      </c>
      <c r="R734" s="106" t="str">
        <f>IFERROR(__xludf.DUMMYFUNCTION("""COMPUTED_VALUE"""),"")</f>
        <v/>
      </c>
      <c r="S734" s="139" t="str">
        <f>IFERROR(__xludf.DUMMYFUNCTION("""COMPUTED_VALUE"""),"")</f>
        <v/>
      </c>
      <c r="T734" s="139" t="str">
        <f>IFERROR(__xludf.DUMMYFUNCTION("""COMPUTED_VALUE"""),"")</f>
        <v/>
      </c>
      <c r="U734" s="136" t="str">
        <f>IFERROR(__xludf.DUMMYFUNCTION("""COMPUTED_VALUE"""),"")</f>
        <v/>
      </c>
      <c r="V734" s="106" t="str">
        <f>IFERROR(__xludf.DUMMYFUNCTION("""COMPUTED_VALUE"""),"")</f>
        <v/>
      </c>
      <c r="W734" s="143" t="str">
        <f t="shared" si="2"/>
        <v/>
      </c>
      <c r="X734" s="139" t="str">
        <f>IFERROR(__xludf.DUMMYFUNCTION("""COMPUTED_VALUE"""),"")</f>
        <v/>
      </c>
      <c r="Y734" s="141" t="str">
        <f>IFERROR(__xludf.DUMMYFUNCTION("""COMPUTED_VALUE"""),"")</f>
        <v/>
      </c>
    </row>
    <row r="735">
      <c r="C735" s="136" t="str">
        <f t="shared" si="3"/>
        <v/>
      </c>
      <c r="E735" s="106"/>
      <c r="G735" s="106" t="s">
        <v>133</v>
      </c>
      <c r="I735" s="139" t="s">
        <v>133</v>
      </c>
      <c r="J735" s="136" t="s">
        <v>133</v>
      </c>
      <c r="L735" s="136" t="str">
        <f t="shared" si="1"/>
        <v/>
      </c>
      <c r="N735" s="141" t="s">
        <v>133</v>
      </c>
      <c r="O735" s="136" t="str">
        <f>IFERROR(__xludf.DUMMYFUNCTION("""COMPUTED_VALUE"""),"")</f>
        <v/>
      </c>
      <c r="P735" s="136" t="str">
        <f>IFERROR(__xludf.DUMMYFUNCTION("""COMPUTED_VALUE"""),"")</f>
        <v/>
      </c>
      <c r="Q735" s="106" t="str">
        <f>IFERROR(__xludf.DUMMYFUNCTION("""COMPUTED_VALUE"""),"")</f>
        <v/>
      </c>
      <c r="R735" s="106" t="str">
        <f>IFERROR(__xludf.DUMMYFUNCTION("""COMPUTED_VALUE"""),"")</f>
        <v/>
      </c>
      <c r="S735" s="139" t="str">
        <f>IFERROR(__xludf.DUMMYFUNCTION("""COMPUTED_VALUE"""),"")</f>
        <v/>
      </c>
      <c r="T735" s="139" t="str">
        <f>IFERROR(__xludf.DUMMYFUNCTION("""COMPUTED_VALUE"""),"")</f>
        <v/>
      </c>
      <c r="U735" s="136" t="str">
        <f>IFERROR(__xludf.DUMMYFUNCTION("""COMPUTED_VALUE"""),"")</f>
        <v/>
      </c>
      <c r="V735" s="106" t="str">
        <f>IFERROR(__xludf.DUMMYFUNCTION("""COMPUTED_VALUE"""),"")</f>
        <v/>
      </c>
      <c r="W735" s="143" t="str">
        <f t="shared" si="2"/>
        <v/>
      </c>
      <c r="X735" s="139" t="str">
        <f>IFERROR(__xludf.DUMMYFUNCTION("""COMPUTED_VALUE"""),"")</f>
        <v/>
      </c>
      <c r="Y735" s="141" t="str">
        <f>IFERROR(__xludf.DUMMYFUNCTION("""COMPUTED_VALUE"""),"")</f>
        <v/>
      </c>
    </row>
    <row r="736">
      <c r="C736" s="136" t="str">
        <f t="shared" si="3"/>
        <v/>
      </c>
      <c r="E736" s="106"/>
      <c r="G736" s="106" t="s">
        <v>133</v>
      </c>
      <c r="I736" s="139" t="s">
        <v>133</v>
      </c>
      <c r="J736" s="136" t="s">
        <v>133</v>
      </c>
      <c r="L736" s="136" t="str">
        <f t="shared" si="1"/>
        <v/>
      </c>
      <c r="N736" s="141" t="s">
        <v>133</v>
      </c>
      <c r="O736" s="136" t="str">
        <f>IFERROR(__xludf.DUMMYFUNCTION("""COMPUTED_VALUE"""),"")</f>
        <v/>
      </c>
      <c r="P736" s="136" t="str">
        <f>IFERROR(__xludf.DUMMYFUNCTION("""COMPUTED_VALUE"""),"")</f>
        <v/>
      </c>
      <c r="Q736" s="106" t="str">
        <f>IFERROR(__xludf.DUMMYFUNCTION("""COMPUTED_VALUE"""),"")</f>
        <v/>
      </c>
      <c r="R736" s="106" t="str">
        <f>IFERROR(__xludf.DUMMYFUNCTION("""COMPUTED_VALUE"""),"")</f>
        <v/>
      </c>
      <c r="S736" s="139" t="str">
        <f>IFERROR(__xludf.DUMMYFUNCTION("""COMPUTED_VALUE"""),"")</f>
        <v/>
      </c>
      <c r="T736" s="139" t="str">
        <f>IFERROR(__xludf.DUMMYFUNCTION("""COMPUTED_VALUE"""),"")</f>
        <v/>
      </c>
      <c r="U736" s="136" t="str">
        <f>IFERROR(__xludf.DUMMYFUNCTION("""COMPUTED_VALUE"""),"")</f>
        <v/>
      </c>
      <c r="V736" s="106" t="str">
        <f>IFERROR(__xludf.DUMMYFUNCTION("""COMPUTED_VALUE"""),"")</f>
        <v/>
      </c>
      <c r="W736" s="143" t="str">
        <f t="shared" si="2"/>
        <v/>
      </c>
      <c r="X736" s="139" t="str">
        <f>IFERROR(__xludf.DUMMYFUNCTION("""COMPUTED_VALUE"""),"")</f>
        <v/>
      </c>
      <c r="Y736" s="141" t="str">
        <f>IFERROR(__xludf.DUMMYFUNCTION("""COMPUTED_VALUE"""),"")</f>
        <v/>
      </c>
    </row>
    <row r="737">
      <c r="C737" s="136" t="str">
        <f t="shared" si="3"/>
        <v/>
      </c>
      <c r="E737" s="106"/>
      <c r="G737" s="106" t="s">
        <v>133</v>
      </c>
      <c r="I737" s="139" t="s">
        <v>133</v>
      </c>
      <c r="J737" s="136" t="s">
        <v>133</v>
      </c>
      <c r="L737" s="136" t="str">
        <f t="shared" si="1"/>
        <v/>
      </c>
      <c r="N737" s="141" t="s">
        <v>133</v>
      </c>
      <c r="O737" s="136" t="str">
        <f>IFERROR(__xludf.DUMMYFUNCTION("""COMPUTED_VALUE"""),"")</f>
        <v/>
      </c>
      <c r="P737" s="136" t="str">
        <f>IFERROR(__xludf.DUMMYFUNCTION("""COMPUTED_VALUE"""),"")</f>
        <v/>
      </c>
      <c r="Q737" s="106" t="str">
        <f>IFERROR(__xludf.DUMMYFUNCTION("""COMPUTED_VALUE"""),"")</f>
        <v/>
      </c>
      <c r="R737" s="106" t="str">
        <f>IFERROR(__xludf.DUMMYFUNCTION("""COMPUTED_VALUE"""),"")</f>
        <v/>
      </c>
      <c r="S737" s="139" t="str">
        <f>IFERROR(__xludf.DUMMYFUNCTION("""COMPUTED_VALUE"""),"")</f>
        <v/>
      </c>
      <c r="T737" s="139" t="str">
        <f>IFERROR(__xludf.DUMMYFUNCTION("""COMPUTED_VALUE"""),"")</f>
        <v/>
      </c>
      <c r="U737" s="136" t="str">
        <f>IFERROR(__xludf.DUMMYFUNCTION("""COMPUTED_VALUE"""),"")</f>
        <v/>
      </c>
      <c r="V737" s="106" t="str">
        <f>IFERROR(__xludf.DUMMYFUNCTION("""COMPUTED_VALUE"""),"")</f>
        <v/>
      </c>
      <c r="W737" s="143" t="str">
        <f t="shared" si="2"/>
        <v/>
      </c>
      <c r="X737" s="139" t="str">
        <f>IFERROR(__xludf.DUMMYFUNCTION("""COMPUTED_VALUE"""),"")</f>
        <v/>
      </c>
      <c r="Y737" s="141" t="str">
        <f>IFERROR(__xludf.DUMMYFUNCTION("""COMPUTED_VALUE"""),"")</f>
        <v/>
      </c>
    </row>
    <row r="738">
      <c r="C738" s="136" t="str">
        <f t="shared" si="3"/>
        <v/>
      </c>
      <c r="E738" s="106"/>
      <c r="G738" s="106" t="s">
        <v>133</v>
      </c>
      <c r="I738" s="139" t="s">
        <v>133</v>
      </c>
      <c r="J738" s="136" t="s">
        <v>133</v>
      </c>
      <c r="L738" s="136" t="str">
        <f t="shared" si="1"/>
        <v/>
      </c>
      <c r="N738" s="141" t="s">
        <v>133</v>
      </c>
      <c r="O738" s="136" t="str">
        <f>IFERROR(__xludf.DUMMYFUNCTION("""COMPUTED_VALUE"""),"")</f>
        <v/>
      </c>
      <c r="P738" s="136" t="str">
        <f>IFERROR(__xludf.DUMMYFUNCTION("""COMPUTED_VALUE"""),"")</f>
        <v/>
      </c>
      <c r="Q738" s="106" t="str">
        <f>IFERROR(__xludf.DUMMYFUNCTION("""COMPUTED_VALUE"""),"")</f>
        <v/>
      </c>
      <c r="R738" s="106" t="str">
        <f>IFERROR(__xludf.DUMMYFUNCTION("""COMPUTED_VALUE"""),"")</f>
        <v/>
      </c>
      <c r="S738" s="139" t="str">
        <f>IFERROR(__xludf.DUMMYFUNCTION("""COMPUTED_VALUE"""),"")</f>
        <v/>
      </c>
      <c r="T738" s="139" t="str">
        <f>IFERROR(__xludf.DUMMYFUNCTION("""COMPUTED_VALUE"""),"")</f>
        <v/>
      </c>
      <c r="U738" s="136" t="str">
        <f>IFERROR(__xludf.DUMMYFUNCTION("""COMPUTED_VALUE"""),"")</f>
        <v/>
      </c>
      <c r="V738" s="106" t="str">
        <f>IFERROR(__xludf.DUMMYFUNCTION("""COMPUTED_VALUE"""),"")</f>
        <v/>
      </c>
      <c r="W738" s="143" t="str">
        <f t="shared" si="2"/>
        <v/>
      </c>
      <c r="X738" s="139" t="str">
        <f>IFERROR(__xludf.DUMMYFUNCTION("""COMPUTED_VALUE"""),"")</f>
        <v/>
      </c>
      <c r="Y738" s="141" t="str">
        <f>IFERROR(__xludf.DUMMYFUNCTION("""COMPUTED_VALUE"""),"")</f>
        <v/>
      </c>
    </row>
    <row r="739">
      <c r="C739" s="136" t="str">
        <f t="shared" si="3"/>
        <v/>
      </c>
      <c r="E739" s="106"/>
      <c r="G739" s="106" t="s">
        <v>133</v>
      </c>
      <c r="I739" s="139" t="s">
        <v>133</v>
      </c>
      <c r="J739" s="136" t="s">
        <v>133</v>
      </c>
      <c r="L739" s="136" t="str">
        <f t="shared" si="1"/>
        <v/>
      </c>
      <c r="N739" s="141" t="s">
        <v>133</v>
      </c>
      <c r="O739" s="136" t="str">
        <f>IFERROR(__xludf.DUMMYFUNCTION("""COMPUTED_VALUE"""),"")</f>
        <v/>
      </c>
      <c r="P739" s="136" t="str">
        <f>IFERROR(__xludf.DUMMYFUNCTION("""COMPUTED_VALUE"""),"")</f>
        <v/>
      </c>
      <c r="Q739" s="106" t="str">
        <f>IFERROR(__xludf.DUMMYFUNCTION("""COMPUTED_VALUE"""),"")</f>
        <v/>
      </c>
      <c r="R739" s="106" t="str">
        <f>IFERROR(__xludf.DUMMYFUNCTION("""COMPUTED_VALUE"""),"")</f>
        <v/>
      </c>
      <c r="S739" s="139" t="str">
        <f>IFERROR(__xludf.DUMMYFUNCTION("""COMPUTED_VALUE"""),"")</f>
        <v/>
      </c>
      <c r="T739" s="139" t="str">
        <f>IFERROR(__xludf.DUMMYFUNCTION("""COMPUTED_VALUE"""),"")</f>
        <v/>
      </c>
      <c r="U739" s="136" t="str">
        <f>IFERROR(__xludf.DUMMYFUNCTION("""COMPUTED_VALUE"""),"")</f>
        <v/>
      </c>
      <c r="V739" s="106" t="str">
        <f>IFERROR(__xludf.DUMMYFUNCTION("""COMPUTED_VALUE"""),"")</f>
        <v/>
      </c>
      <c r="W739" s="143" t="str">
        <f t="shared" si="2"/>
        <v/>
      </c>
      <c r="X739" s="139" t="str">
        <f>IFERROR(__xludf.DUMMYFUNCTION("""COMPUTED_VALUE"""),"")</f>
        <v/>
      </c>
      <c r="Y739" s="141" t="str">
        <f>IFERROR(__xludf.DUMMYFUNCTION("""COMPUTED_VALUE"""),"")</f>
        <v/>
      </c>
    </row>
    <row r="740">
      <c r="C740" s="136" t="str">
        <f t="shared" si="3"/>
        <v/>
      </c>
      <c r="E740" s="106"/>
      <c r="G740" s="106" t="s">
        <v>133</v>
      </c>
      <c r="I740" s="139" t="s">
        <v>133</v>
      </c>
      <c r="J740" s="136" t="s">
        <v>133</v>
      </c>
      <c r="L740" s="136" t="str">
        <f t="shared" si="1"/>
        <v/>
      </c>
      <c r="N740" s="141" t="s">
        <v>133</v>
      </c>
      <c r="O740" s="136" t="str">
        <f>IFERROR(__xludf.DUMMYFUNCTION("""COMPUTED_VALUE"""),"")</f>
        <v/>
      </c>
      <c r="P740" s="136" t="str">
        <f>IFERROR(__xludf.DUMMYFUNCTION("""COMPUTED_VALUE"""),"")</f>
        <v/>
      </c>
      <c r="Q740" s="106" t="str">
        <f>IFERROR(__xludf.DUMMYFUNCTION("""COMPUTED_VALUE"""),"")</f>
        <v/>
      </c>
      <c r="R740" s="106" t="str">
        <f>IFERROR(__xludf.DUMMYFUNCTION("""COMPUTED_VALUE"""),"")</f>
        <v/>
      </c>
      <c r="S740" s="139" t="str">
        <f>IFERROR(__xludf.DUMMYFUNCTION("""COMPUTED_VALUE"""),"")</f>
        <v/>
      </c>
      <c r="T740" s="139" t="str">
        <f>IFERROR(__xludf.DUMMYFUNCTION("""COMPUTED_VALUE"""),"")</f>
        <v/>
      </c>
      <c r="U740" s="136" t="str">
        <f>IFERROR(__xludf.DUMMYFUNCTION("""COMPUTED_VALUE"""),"")</f>
        <v/>
      </c>
      <c r="V740" s="106" t="str">
        <f>IFERROR(__xludf.DUMMYFUNCTION("""COMPUTED_VALUE"""),"")</f>
        <v/>
      </c>
      <c r="W740" s="143" t="str">
        <f t="shared" si="2"/>
        <v/>
      </c>
      <c r="X740" s="139" t="str">
        <f>IFERROR(__xludf.DUMMYFUNCTION("""COMPUTED_VALUE"""),"")</f>
        <v/>
      </c>
      <c r="Y740" s="141" t="str">
        <f>IFERROR(__xludf.DUMMYFUNCTION("""COMPUTED_VALUE"""),"")</f>
        <v/>
      </c>
    </row>
    <row r="741">
      <c r="C741" s="136" t="str">
        <f t="shared" si="3"/>
        <v/>
      </c>
      <c r="E741" s="106"/>
      <c r="G741" s="106" t="s">
        <v>133</v>
      </c>
      <c r="I741" s="139" t="s">
        <v>133</v>
      </c>
      <c r="J741" s="136" t="s">
        <v>133</v>
      </c>
      <c r="L741" s="136" t="str">
        <f t="shared" si="1"/>
        <v/>
      </c>
      <c r="N741" s="141" t="s">
        <v>133</v>
      </c>
      <c r="O741" s="136" t="str">
        <f>IFERROR(__xludf.DUMMYFUNCTION("""COMPUTED_VALUE"""),"")</f>
        <v/>
      </c>
      <c r="P741" s="136" t="str">
        <f>IFERROR(__xludf.DUMMYFUNCTION("""COMPUTED_VALUE"""),"")</f>
        <v/>
      </c>
      <c r="Q741" s="106" t="str">
        <f>IFERROR(__xludf.DUMMYFUNCTION("""COMPUTED_VALUE"""),"")</f>
        <v/>
      </c>
      <c r="R741" s="106" t="str">
        <f>IFERROR(__xludf.DUMMYFUNCTION("""COMPUTED_VALUE"""),"")</f>
        <v/>
      </c>
      <c r="S741" s="139" t="str">
        <f>IFERROR(__xludf.DUMMYFUNCTION("""COMPUTED_VALUE"""),"")</f>
        <v/>
      </c>
      <c r="T741" s="139" t="str">
        <f>IFERROR(__xludf.DUMMYFUNCTION("""COMPUTED_VALUE"""),"")</f>
        <v/>
      </c>
      <c r="U741" s="136" t="str">
        <f>IFERROR(__xludf.DUMMYFUNCTION("""COMPUTED_VALUE"""),"")</f>
        <v/>
      </c>
      <c r="V741" s="106" t="str">
        <f>IFERROR(__xludf.DUMMYFUNCTION("""COMPUTED_VALUE"""),"")</f>
        <v/>
      </c>
      <c r="W741" s="143" t="str">
        <f t="shared" si="2"/>
        <v/>
      </c>
      <c r="X741" s="139" t="str">
        <f>IFERROR(__xludf.DUMMYFUNCTION("""COMPUTED_VALUE"""),"")</f>
        <v/>
      </c>
      <c r="Y741" s="141" t="str">
        <f>IFERROR(__xludf.DUMMYFUNCTION("""COMPUTED_VALUE"""),"")</f>
        <v/>
      </c>
    </row>
    <row r="742">
      <c r="C742" s="136" t="str">
        <f t="shared" si="3"/>
        <v/>
      </c>
      <c r="E742" s="106"/>
      <c r="G742" s="106" t="s">
        <v>133</v>
      </c>
      <c r="I742" s="139" t="s">
        <v>133</v>
      </c>
      <c r="J742" s="136" t="s">
        <v>133</v>
      </c>
      <c r="L742" s="136" t="str">
        <f t="shared" si="1"/>
        <v/>
      </c>
      <c r="N742" s="141" t="s">
        <v>133</v>
      </c>
      <c r="O742" s="136" t="str">
        <f>IFERROR(__xludf.DUMMYFUNCTION("""COMPUTED_VALUE"""),"")</f>
        <v/>
      </c>
      <c r="P742" s="136" t="str">
        <f>IFERROR(__xludf.DUMMYFUNCTION("""COMPUTED_VALUE"""),"")</f>
        <v/>
      </c>
      <c r="Q742" s="106" t="str">
        <f>IFERROR(__xludf.DUMMYFUNCTION("""COMPUTED_VALUE"""),"")</f>
        <v/>
      </c>
      <c r="R742" s="106" t="str">
        <f>IFERROR(__xludf.DUMMYFUNCTION("""COMPUTED_VALUE"""),"")</f>
        <v/>
      </c>
      <c r="S742" s="139" t="str">
        <f>IFERROR(__xludf.DUMMYFUNCTION("""COMPUTED_VALUE"""),"")</f>
        <v/>
      </c>
      <c r="T742" s="139" t="str">
        <f>IFERROR(__xludf.DUMMYFUNCTION("""COMPUTED_VALUE"""),"")</f>
        <v/>
      </c>
      <c r="U742" s="136" t="str">
        <f>IFERROR(__xludf.DUMMYFUNCTION("""COMPUTED_VALUE"""),"")</f>
        <v/>
      </c>
      <c r="V742" s="106" t="str">
        <f>IFERROR(__xludf.DUMMYFUNCTION("""COMPUTED_VALUE"""),"")</f>
        <v/>
      </c>
      <c r="W742" s="143" t="str">
        <f t="shared" si="2"/>
        <v/>
      </c>
      <c r="X742" s="139" t="str">
        <f>IFERROR(__xludf.DUMMYFUNCTION("""COMPUTED_VALUE"""),"")</f>
        <v/>
      </c>
      <c r="Y742" s="141" t="str">
        <f>IFERROR(__xludf.DUMMYFUNCTION("""COMPUTED_VALUE"""),"")</f>
        <v/>
      </c>
    </row>
    <row r="743">
      <c r="C743" s="136" t="str">
        <f t="shared" si="3"/>
        <v/>
      </c>
      <c r="E743" s="106"/>
      <c r="G743" s="106" t="s">
        <v>133</v>
      </c>
      <c r="I743" s="139" t="s">
        <v>133</v>
      </c>
      <c r="J743" s="136" t="s">
        <v>133</v>
      </c>
      <c r="L743" s="136" t="str">
        <f t="shared" si="1"/>
        <v/>
      </c>
      <c r="N743" s="141" t="s">
        <v>133</v>
      </c>
      <c r="O743" s="136" t="str">
        <f>IFERROR(__xludf.DUMMYFUNCTION("""COMPUTED_VALUE"""),"")</f>
        <v/>
      </c>
      <c r="P743" s="136" t="str">
        <f>IFERROR(__xludf.DUMMYFUNCTION("""COMPUTED_VALUE"""),"")</f>
        <v/>
      </c>
      <c r="Q743" s="106" t="str">
        <f>IFERROR(__xludf.DUMMYFUNCTION("""COMPUTED_VALUE"""),"")</f>
        <v/>
      </c>
      <c r="R743" s="106" t="str">
        <f>IFERROR(__xludf.DUMMYFUNCTION("""COMPUTED_VALUE"""),"")</f>
        <v/>
      </c>
      <c r="S743" s="139" t="str">
        <f>IFERROR(__xludf.DUMMYFUNCTION("""COMPUTED_VALUE"""),"")</f>
        <v/>
      </c>
      <c r="T743" s="139" t="str">
        <f>IFERROR(__xludf.DUMMYFUNCTION("""COMPUTED_VALUE"""),"")</f>
        <v/>
      </c>
      <c r="U743" s="136" t="str">
        <f>IFERROR(__xludf.DUMMYFUNCTION("""COMPUTED_VALUE"""),"")</f>
        <v/>
      </c>
      <c r="V743" s="106" t="str">
        <f>IFERROR(__xludf.DUMMYFUNCTION("""COMPUTED_VALUE"""),"")</f>
        <v/>
      </c>
      <c r="W743" s="143" t="str">
        <f t="shared" si="2"/>
        <v/>
      </c>
      <c r="X743" s="139" t="str">
        <f>IFERROR(__xludf.DUMMYFUNCTION("""COMPUTED_VALUE"""),"")</f>
        <v/>
      </c>
      <c r="Y743" s="141" t="str">
        <f>IFERROR(__xludf.DUMMYFUNCTION("""COMPUTED_VALUE"""),"")</f>
        <v/>
      </c>
    </row>
    <row r="744">
      <c r="C744" s="136" t="str">
        <f t="shared" si="3"/>
        <v/>
      </c>
      <c r="E744" s="106"/>
      <c r="G744" s="106" t="s">
        <v>133</v>
      </c>
      <c r="I744" s="139" t="s">
        <v>133</v>
      </c>
      <c r="J744" s="136" t="s">
        <v>133</v>
      </c>
      <c r="L744" s="136" t="str">
        <f t="shared" si="1"/>
        <v/>
      </c>
      <c r="N744" s="141" t="s">
        <v>133</v>
      </c>
      <c r="O744" s="136" t="str">
        <f>IFERROR(__xludf.DUMMYFUNCTION("""COMPUTED_VALUE"""),"")</f>
        <v/>
      </c>
      <c r="P744" s="136" t="str">
        <f>IFERROR(__xludf.DUMMYFUNCTION("""COMPUTED_VALUE"""),"")</f>
        <v/>
      </c>
      <c r="Q744" s="106" t="str">
        <f>IFERROR(__xludf.DUMMYFUNCTION("""COMPUTED_VALUE"""),"")</f>
        <v/>
      </c>
      <c r="R744" s="106" t="str">
        <f>IFERROR(__xludf.DUMMYFUNCTION("""COMPUTED_VALUE"""),"")</f>
        <v/>
      </c>
      <c r="S744" s="139" t="str">
        <f>IFERROR(__xludf.DUMMYFUNCTION("""COMPUTED_VALUE"""),"")</f>
        <v/>
      </c>
      <c r="T744" s="139" t="str">
        <f>IFERROR(__xludf.DUMMYFUNCTION("""COMPUTED_VALUE"""),"")</f>
        <v/>
      </c>
      <c r="U744" s="136" t="str">
        <f>IFERROR(__xludf.DUMMYFUNCTION("""COMPUTED_VALUE"""),"")</f>
        <v/>
      </c>
      <c r="V744" s="106" t="str">
        <f>IFERROR(__xludf.DUMMYFUNCTION("""COMPUTED_VALUE"""),"")</f>
        <v/>
      </c>
      <c r="W744" s="143" t="str">
        <f t="shared" si="2"/>
        <v/>
      </c>
      <c r="X744" s="139" t="str">
        <f>IFERROR(__xludf.DUMMYFUNCTION("""COMPUTED_VALUE"""),"")</f>
        <v/>
      </c>
      <c r="Y744" s="141" t="str">
        <f>IFERROR(__xludf.DUMMYFUNCTION("""COMPUTED_VALUE"""),"")</f>
        <v/>
      </c>
    </row>
    <row r="745">
      <c r="C745" s="136" t="str">
        <f t="shared" si="3"/>
        <v/>
      </c>
      <c r="E745" s="106"/>
      <c r="G745" s="106" t="s">
        <v>133</v>
      </c>
      <c r="I745" s="139" t="s">
        <v>133</v>
      </c>
      <c r="J745" s="136" t="s">
        <v>133</v>
      </c>
      <c r="L745" s="136" t="str">
        <f t="shared" si="1"/>
        <v/>
      </c>
      <c r="N745" s="141" t="s">
        <v>133</v>
      </c>
      <c r="O745" s="136" t="str">
        <f>IFERROR(__xludf.DUMMYFUNCTION("""COMPUTED_VALUE"""),"")</f>
        <v/>
      </c>
      <c r="P745" s="136" t="str">
        <f>IFERROR(__xludf.DUMMYFUNCTION("""COMPUTED_VALUE"""),"")</f>
        <v/>
      </c>
      <c r="Q745" s="106" t="str">
        <f>IFERROR(__xludf.DUMMYFUNCTION("""COMPUTED_VALUE"""),"")</f>
        <v/>
      </c>
      <c r="R745" s="106" t="str">
        <f>IFERROR(__xludf.DUMMYFUNCTION("""COMPUTED_VALUE"""),"")</f>
        <v/>
      </c>
      <c r="S745" s="139" t="str">
        <f>IFERROR(__xludf.DUMMYFUNCTION("""COMPUTED_VALUE"""),"")</f>
        <v/>
      </c>
      <c r="T745" s="139" t="str">
        <f>IFERROR(__xludf.DUMMYFUNCTION("""COMPUTED_VALUE"""),"")</f>
        <v/>
      </c>
      <c r="U745" s="136" t="str">
        <f>IFERROR(__xludf.DUMMYFUNCTION("""COMPUTED_VALUE"""),"")</f>
        <v/>
      </c>
      <c r="V745" s="106" t="str">
        <f>IFERROR(__xludf.DUMMYFUNCTION("""COMPUTED_VALUE"""),"")</f>
        <v/>
      </c>
      <c r="W745" s="143" t="str">
        <f t="shared" si="2"/>
        <v/>
      </c>
      <c r="X745" s="139" t="str">
        <f>IFERROR(__xludf.DUMMYFUNCTION("""COMPUTED_VALUE"""),"")</f>
        <v/>
      </c>
      <c r="Y745" s="141" t="str">
        <f>IFERROR(__xludf.DUMMYFUNCTION("""COMPUTED_VALUE"""),"")</f>
        <v/>
      </c>
    </row>
    <row r="746">
      <c r="C746" s="136" t="str">
        <f t="shared" si="3"/>
        <v/>
      </c>
      <c r="E746" s="106"/>
      <c r="G746" s="106" t="s">
        <v>133</v>
      </c>
      <c r="I746" s="139" t="s">
        <v>133</v>
      </c>
      <c r="J746" s="136" t="s">
        <v>133</v>
      </c>
      <c r="L746" s="136" t="str">
        <f t="shared" si="1"/>
        <v/>
      </c>
      <c r="N746" s="141" t="s">
        <v>133</v>
      </c>
      <c r="O746" s="136" t="str">
        <f>IFERROR(__xludf.DUMMYFUNCTION("""COMPUTED_VALUE"""),"")</f>
        <v/>
      </c>
      <c r="P746" s="136" t="str">
        <f>IFERROR(__xludf.DUMMYFUNCTION("""COMPUTED_VALUE"""),"")</f>
        <v/>
      </c>
      <c r="Q746" s="106" t="str">
        <f>IFERROR(__xludf.DUMMYFUNCTION("""COMPUTED_VALUE"""),"")</f>
        <v/>
      </c>
      <c r="R746" s="106" t="str">
        <f>IFERROR(__xludf.DUMMYFUNCTION("""COMPUTED_VALUE"""),"")</f>
        <v/>
      </c>
      <c r="S746" s="139" t="str">
        <f>IFERROR(__xludf.DUMMYFUNCTION("""COMPUTED_VALUE"""),"")</f>
        <v/>
      </c>
      <c r="T746" s="139" t="str">
        <f>IFERROR(__xludf.DUMMYFUNCTION("""COMPUTED_VALUE"""),"")</f>
        <v/>
      </c>
      <c r="U746" s="136" t="str">
        <f>IFERROR(__xludf.DUMMYFUNCTION("""COMPUTED_VALUE"""),"")</f>
        <v/>
      </c>
      <c r="V746" s="106" t="str">
        <f>IFERROR(__xludf.DUMMYFUNCTION("""COMPUTED_VALUE"""),"")</f>
        <v/>
      </c>
      <c r="W746" s="143" t="str">
        <f t="shared" si="2"/>
        <v/>
      </c>
      <c r="X746" s="139" t="str">
        <f>IFERROR(__xludf.DUMMYFUNCTION("""COMPUTED_VALUE"""),"")</f>
        <v/>
      </c>
      <c r="Y746" s="141" t="str">
        <f>IFERROR(__xludf.DUMMYFUNCTION("""COMPUTED_VALUE"""),"")</f>
        <v/>
      </c>
    </row>
    <row r="747">
      <c r="C747" s="136" t="str">
        <f t="shared" si="3"/>
        <v/>
      </c>
      <c r="E747" s="106"/>
      <c r="G747" s="106" t="s">
        <v>133</v>
      </c>
      <c r="I747" s="139" t="s">
        <v>133</v>
      </c>
      <c r="J747" s="136" t="s">
        <v>133</v>
      </c>
      <c r="L747" s="136" t="str">
        <f t="shared" si="1"/>
        <v/>
      </c>
      <c r="N747" s="141" t="s">
        <v>133</v>
      </c>
      <c r="O747" s="136" t="str">
        <f>IFERROR(__xludf.DUMMYFUNCTION("""COMPUTED_VALUE"""),"")</f>
        <v/>
      </c>
      <c r="P747" s="136" t="str">
        <f>IFERROR(__xludf.DUMMYFUNCTION("""COMPUTED_VALUE"""),"")</f>
        <v/>
      </c>
      <c r="Q747" s="106" t="str">
        <f>IFERROR(__xludf.DUMMYFUNCTION("""COMPUTED_VALUE"""),"")</f>
        <v/>
      </c>
      <c r="R747" s="106" t="str">
        <f>IFERROR(__xludf.DUMMYFUNCTION("""COMPUTED_VALUE"""),"")</f>
        <v/>
      </c>
      <c r="S747" s="139" t="str">
        <f>IFERROR(__xludf.DUMMYFUNCTION("""COMPUTED_VALUE"""),"")</f>
        <v/>
      </c>
      <c r="T747" s="139" t="str">
        <f>IFERROR(__xludf.DUMMYFUNCTION("""COMPUTED_VALUE"""),"")</f>
        <v/>
      </c>
      <c r="U747" s="136" t="str">
        <f>IFERROR(__xludf.DUMMYFUNCTION("""COMPUTED_VALUE"""),"")</f>
        <v/>
      </c>
      <c r="V747" s="106" t="str">
        <f>IFERROR(__xludf.DUMMYFUNCTION("""COMPUTED_VALUE"""),"")</f>
        <v/>
      </c>
      <c r="W747" s="143" t="str">
        <f t="shared" si="2"/>
        <v/>
      </c>
      <c r="X747" s="139" t="str">
        <f>IFERROR(__xludf.DUMMYFUNCTION("""COMPUTED_VALUE"""),"")</f>
        <v/>
      </c>
      <c r="Y747" s="141" t="str">
        <f>IFERROR(__xludf.DUMMYFUNCTION("""COMPUTED_VALUE"""),"")</f>
        <v/>
      </c>
    </row>
    <row r="748">
      <c r="C748" s="136" t="str">
        <f t="shared" si="3"/>
        <v/>
      </c>
      <c r="E748" s="106"/>
      <c r="G748" s="106" t="s">
        <v>133</v>
      </c>
      <c r="I748" s="139" t="s">
        <v>133</v>
      </c>
      <c r="J748" s="136" t="s">
        <v>133</v>
      </c>
      <c r="L748" s="136" t="str">
        <f t="shared" si="1"/>
        <v/>
      </c>
      <c r="N748" s="141" t="s">
        <v>133</v>
      </c>
      <c r="O748" s="136" t="str">
        <f>IFERROR(__xludf.DUMMYFUNCTION("""COMPUTED_VALUE"""),"")</f>
        <v/>
      </c>
      <c r="P748" s="136" t="str">
        <f>IFERROR(__xludf.DUMMYFUNCTION("""COMPUTED_VALUE"""),"")</f>
        <v/>
      </c>
      <c r="Q748" s="106" t="str">
        <f>IFERROR(__xludf.DUMMYFUNCTION("""COMPUTED_VALUE"""),"")</f>
        <v/>
      </c>
      <c r="R748" s="106" t="str">
        <f>IFERROR(__xludf.DUMMYFUNCTION("""COMPUTED_VALUE"""),"")</f>
        <v/>
      </c>
      <c r="S748" s="139" t="str">
        <f>IFERROR(__xludf.DUMMYFUNCTION("""COMPUTED_VALUE"""),"")</f>
        <v/>
      </c>
      <c r="T748" s="139" t="str">
        <f>IFERROR(__xludf.DUMMYFUNCTION("""COMPUTED_VALUE"""),"")</f>
        <v/>
      </c>
      <c r="U748" s="136" t="str">
        <f>IFERROR(__xludf.DUMMYFUNCTION("""COMPUTED_VALUE"""),"")</f>
        <v/>
      </c>
      <c r="V748" s="106" t="str">
        <f>IFERROR(__xludf.DUMMYFUNCTION("""COMPUTED_VALUE"""),"")</f>
        <v/>
      </c>
      <c r="W748" s="143" t="str">
        <f t="shared" si="2"/>
        <v/>
      </c>
      <c r="X748" s="139" t="str">
        <f>IFERROR(__xludf.DUMMYFUNCTION("""COMPUTED_VALUE"""),"")</f>
        <v/>
      </c>
      <c r="Y748" s="141" t="str">
        <f>IFERROR(__xludf.DUMMYFUNCTION("""COMPUTED_VALUE"""),"")</f>
        <v/>
      </c>
    </row>
    <row r="749">
      <c r="C749" s="136" t="str">
        <f t="shared" si="3"/>
        <v/>
      </c>
      <c r="E749" s="106"/>
      <c r="G749" s="106" t="s">
        <v>133</v>
      </c>
      <c r="I749" s="139" t="s">
        <v>133</v>
      </c>
      <c r="J749" s="136" t="s">
        <v>133</v>
      </c>
      <c r="L749" s="136" t="str">
        <f t="shared" si="1"/>
        <v/>
      </c>
      <c r="N749" s="141" t="s">
        <v>133</v>
      </c>
      <c r="O749" s="136" t="str">
        <f>IFERROR(__xludf.DUMMYFUNCTION("""COMPUTED_VALUE"""),"")</f>
        <v/>
      </c>
      <c r="P749" s="136" t="str">
        <f>IFERROR(__xludf.DUMMYFUNCTION("""COMPUTED_VALUE"""),"")</f>
        <v/>
      </c>
      <c r="Q749" s="106" t="str">
        <f>IFERROR(__xludf.DUMMYFUNCTION("""COMPUTED_VALUE"""),"")</f>
        <v/>
      </c>
      <c r="R749" s="106" t="str">
        <f>IFERROR(__xludf.DUMMYFUNCTION("""COMPUTED_VALUE"""),"")</f>
        <v/>
      </c>
      <c r="S749" s="139" t="str">
        <f>IFERROR(__xludf.DUMMYFUNCTION("""COMPUTED_VALUE"""),"")</f>
        <v/>
      </c>
      <c r="T749" s="139" t="str">
        <f>IFERROR(__xludf.DUMMYFUNCTION("""COMPUTED_VALUE"""),"")</f>
        <v/>
      </c>
      <c r="U749" s="136" t="str">
        <f>IFERROR(__xludf.DUMMYFUNCTION("""COMPUTED_VALUE"""),"")</f>
        <v/>
      </c>
      <c r="V749" s="106" t="str">
        <f>IFERROR(__xludf.DUMMYFUNCTION("""COMPUTED_VALUE"""),"")</f>
        <v/>
      </c>
      <c r="W749" s="143" t="str">
        <f t="shared" si="2"/>
        <v/>
      </c>
      <c r="X749" s="139" t="str">
        <f>IFERROR(__xludf.DUMMYFUNCTION("""COMPUTED_VALUE"""),"")</f>
        <v/>
      </c>
      <c r="Y749" s="141" t="str">
        <f>IFERROR(__xludf.DUMMYFUNCTION("""COMPUTED_VALUE"""),"")</f>
        <v/>
      </c>
    </row>
    <row r="750">
      <c r="C750" s="136" t="str">
        <f t="shared" si="3"/>
        <v/>
      </c>
      <c r="E750" s="106"/>
      <c r="G750" s="106" t="s">
        <v>133</v>
      </c>
      <c r="I750" s="139" t="s">
        <v>133</v>
      </c>
      <c r="J750" s="136" t="s">
        <v>133</v>
      </c>
      <c r="L750" s="136" t="str">
        <f t="shared" si="1"/>
        <v/>
      </c>
      <c r="N750" s="141" t="s">
        <v>133</v>
      </c>
      <c r="O750" s="136" t="str">
        <f>IFERROR(__xludf.DUMMYFUNCTION("""COMPUTED_VALUE"""),"")</f>
        <v/>
      </c>
      <c r="P750" s="136" t="str">
        <f>IFERROR(__xludf.DUMMYFUNCTION("""COMPUTED_VALUE"""),"")</f>
        <v/>
      </c>
      <c r="Q750" s="106" t="str">
        <f>IFERROR(__xludf.DUMMYFUNCTION("""COMPUTED_VALUE"""),"")</f>
        <v/>
      </c>
      <c r="R750" s="106" t="str">
        <f>IFERROR(__xludf.DUMMYFUNCTION("""COMPUTED_VALUE"""),"")</f>
        <v/>
      </c>
      <c r="S750" s="139" t="str">
        <f>IFERROR(__xludf.DUMMYFUNCTION("""COMPUTED_VALUE"""),"")</f>
        <v/>
      </c>
      <c r="T750" s="139" t="str">
        <f>IFERROR(__xludf.DUMMYFUNCTION("""COMPUTED_VALUE"""),"")</f>
        <v/>
      </c>
      <c r="U750" s="136" t="str">
        <f>IFERROR(__xludf.DUMMYFUNCTION("""COMPUTED_VALUE"""),"")</f>
        <v/>
      </c>
      <c r="V750" s="106" t="str">
        <f>IFERROR(__xludf.DUMMYFUNCTION("""COMPUTED_VALUE"""),"")</f>
        <v/>
      </c>
      <c r="W750" s="143" t="str">
        <f t="shared" si="2"/>
        <v/>
      </c>
      <c r="X750" s="139" t="str">
        <f>IFERROR(__xludf.DUMMYFUNCTION("""COMPUTED_VALUE"""),"")</f>
        <v/>
      </c>
      <c r="Y750" s="141" t="str">
        <f>IFERROR(__xludf.DUMMYFUNCTION("""COMPUTED_VALUE"""),"")</f>
        <v/>
      </c>
    </row>
    <row r="751">
      <c r="C751" s="136" t="str">
        <f t="shared" si="3"/>
        <v/>
      </c>
      <c r="E751" s="106"/>
      <c r="G751" s="106" t="s">
        <v>133</v>
      </c>
      <c r="I751" s="139" t="s">
        <v>133</v>
      </c>
      <c r="J751" s="136" t="s">
        <v>133</v>
      </c>
      <c r="L751" s="136" t="str">
        <f t="shared" si="1"/>
        <v/>
      </c>
      <c r="N751" s="141" t="s">
        <v>133</v>
      </c>
      <c r="O751" s="136" t="str">
        <f>IFERROR(__xludf.DUMMYFUNCTION("""COMPUTED_VALUE"""),"")</f>
        <v/>
      </c>
      <c r="P751" s="136" t="str">
        <f>IFERROR(__xludf.DUMMYFUNCTION("""COMPUTED_VALUE"""),"")</f>
        <v/>
      </c>
      <c r="Q751" s="106" t="str">
        <f>IFERROR(__xludf.DUMMYFUNCTION("""COMPUTED_VALUE"""),"")</f>
        <v/>
      </c>
      <c r="R751" s="106" t="str">
        <f>IFERROR(__xludf.DUMMYFUNCTION("""COMPUTED_VALUE"""),"")</f>
        <v/>
      </c>
      <c r="S751" s="139" t="str">
        <f>IFERROR(__xludf.DUMMYFUNCTION("""COMPUTED_VALUE"""),"")</f>
        <v/>
      </c>
      <c r="T751" s="139" t="str">
        <f>IFERROR(__xludf.DUMMYFUNCTION("""COMPUTED_VALUE"""),"")</f>
        <v/>
      </c>
      <c r="U751" s="136" t="str">
        <f>IFERROR(__xludf.DUMMYFUNCTION("""COMPUTED_VALUE"""),"")</f>
        <v/>
      </c>
      <c r="V751" s="106" t="str">
        <f>IFERROR(__xludf.DUMMYFUNCTION("""COMPUTED_VALUE"""),"")</f>
        <v/>
      </c>
      <c r="W751" s="143" t="str">
        <f t="shared" si="2"/>
        <v/>
      </c>
      <c r="X751" s="139" t="str">
        <f>IFERROR(__xludf.DUMMYFUNCTION("""COMPUTED_VALUE"""),"")</f>
        <v/>
      </c>
      <c r="Y751" s="141" t="str">
        <f>IFERROR(__xludf.DUMMYFUNCTION("""COMPUTED_VALUE"""),"")</f>
        <v/>
      </c>
    </row>
    <row r="752">
      <c r="C752" s="136" t="str">
        <f t="shared" si="3"/>
        <v/>
      </c>
      <c r="E752" s="106"/>
      <c r="G752" s="106" t="s">
        <v>133</v>
      </c>
      <c r="I752" s="139" t="s">
        <v>133</v>
      </c>
      <c r="J752" s="136" t="s">
        <v>133</v>
      </c>
      <c r="L752" s="136" t="str">
        <f t="shared" si="1"/>
        <v/>
      </c>
      <c r="N752" s="141" t="s">
        <v>133</v>
      </c>
      <c r="O752" s="136" t="str">
        <f>IFERROR(__xludf.DUMMYFUNCTION("""COMPUTED_VALUE"""),"")</f>
        <v/>
      </c>
      <c r="P752" s="136" t="str">
        <f>IFERROR(__xludf.DUMMYFUNCTION("""COMPUTED_VALUE"""),"")</f>
        <v/>
      </c>
      <c r="Q752" s="106" t="str">
        <f>IFERROR(__xludf.DUMMYFUNCTION("""COMPUTED_VALUE"""),"")</f>
        <v/>
      </c>
      <c r="R752" s="106" t="str">
        <f>IFERROR(__xludf.DUMMYFUNCTION("""COMPUTED_VALUE"""),"")</f>
        <v/>
      </c>
      <c r="S752" s="139" t="str">
        <f>IFERROR(__xludf.DUMMYFUNCTION("""COMPUTED_VALUE"""),"")</f>
        <v/>
      </c>
      <c r="T752" s="139" t="str">
        <f>IFERROR(__xludf.DUMMYFUNCTION("""COMPUTED_VALUE"""),"")</f>
        <v/>
      </c>
      <c r="U752" s="136" t="str">
        <f>IFERROR(__xludf.DUMMYFUNCTION("""COMPUTED_VALUE"""),"")</f>
        <v/>
      </c>
      <c r="V752" s="106" t="str">
        <f>IFERROR(__xludf.DUMMYFUNCTION("""COMPUTED_VALUE"""),"")</f>
        <v/>
      </c>
      <c r="W752" s="143" t="str">
        <f t="shared" si="2"/>
        <v/>
      </c>
      <c r="X752" s="139" t="str">
        <f>IFERROR(__xludf.DUMMYFUNCTION("""COMPUTED_VALUE"""),"")</f>
        <v/>
      </c>
      <c r="Y752" s="141" t="str">
        <f>IFERROR(__xludf.DUMMYFUNCTION("""COMPUTED_VALUE"""),"")</f>
        <v/>
      </c>
    </row>
    <row r="753">
      <c r="C753" s="136" t="str">
        <f t="shared" si="3"/>
        <v/>
      </c>
      <c r="E753" s="106"/>
      <c r="G753" s="106" t="s">
        <v>133</v>
      </c>
      <c r="I753" s="139" t="s">
        <v>133</v>
      </c>
      <c r="J753" s="136" t="s">
        <v>133</v>
      </c>
      <c r="L753" s="136" t="str">
        <f t="shared" si="1"/>
        <v/>
      </c>
      <c r="N753" s="141" t="s">
        <v>133</v>
      </c>
      <c r="O753" s="136" t="str">
        <f>IFERROR(__xludf.DUMMYFUNCTION("""COMPUTED_VALUE"""),"")</f>
        <v/>
      </c>
      <c r="P753" s="136" t="str">
        <f>IFERROR(__xludf.DUMMYFUNCTION("""COMPUTED_VALUE"""),"")</f>
        <v/>
      </c>
      <c r="Q753" s="106" t="str">
        <f>IFERROR(__xludf.DUMMYFUNCTION("""COMPUTED_VALUE"""),"")</f>
        <v/>
      </c>
      <c r="R753" s="106" t="str">
        <f>IFERROR(__xludf.DUMMYFUNCTION("""COMPUTED_VALUE"""),"")</f>
        <v/>
      </c>
      <c r="S753" s="139" t="str">
        <f>IFERROR(__xludf.DUMMYFUNCTION("""COMPUTED_VALUE"""),"")</f>
        <v/>
      </c>
      <c r="T753" s="139" t="str">
        <f>IFERROR(__xludf.DUMMYFUNCTION("""COMPUTED_VALUE"""),"")</f>
        <v/>
      </c>
      <c r="U753" s="136" t="str">
        <f>IFERROR(__xludf.DUMMYFUNCTION("""COMPUTED_VALUE"""),"")</f>
        <v/>
      </c>
      <c r="V753" s="106" t="str">
        <f>IFERROR(__xludf.DUMMYFUNCTION("""COMPUTED_VALUE"""),"")</f>
        <v/>
      </c>
      <c r="W753" s="143" t="str">
        <f t="shared" si="2"/>
        <v/>
      </c>
      <c r="X753" s="139" t="str">
        <f>IFERROR(__xludf.DUMMYFUNCTION("""COMPUTED_VALUE"""),"")</f>
        <v/>
      </c>
      <c r="Y753" s="141" t="str">
        <f>IFERROR(__xludf.DUMMYFUNCTION("""COMPUTED_VALUE"""),"")</f>
        <v/>
      </c>
    </row>
    <row r="754">
      <c r="C754" s="136" t="str">
        <f t="shared" si="3"/>
        <v/>
      </c>
      <c r="E754" s="106"/>
      <c r="G754" s="106" t="s">
        <v>133</v>
      </c>
      <c r="I754" s="139" t="s">
        <v>133</v>
      </c>
      <c r="J754" s="136" t="s">
        <v>133</v>
      </c>
      <c r="L754" s="136" t="str">
        <f t="shared" si="1"/>
        <v/>
      </c>
      <c r="N754" s="141" t="s">
        <v>133</v>
      </c>
      <c r="O754" s="136" t="str">
        <f>IFERROR(__xludf.DUMMYFUNCTION("""COMPUTED_VALUE"""),"")</f>
        <v/>
      </c>
      <c r="P754" s="136" t="str">
        <f>IFERROR(__xludf.DUMMYFUNCTION("""COMPUTED_VALUE"""),"")</f>
        <v/>
      </c>
      <c r="Q754" s="106" t="str">
        <f>IFERROR(__xludf.DUMMYFUNCTION("""COMPUTED_VALUE"""),"")</f>
        <v/>
      </c>
      <c r="R754" s="106" t="str">
        <f>IFERROR(__xludf.DUMMYFUNCTION("""COMPUTED_VALUE"""),"")</f>
        <v/>
      </c>
      <c r="S754" s="139" t="str">
        <f>IFERROR(__xludf.DUMMYFUNCTION("""COMPUTED_VALUE"""),"")</f>
        <v/>
      </c>
      <c r="T754" s="139" t="str">
        <f>IFERROR(__xludf.DUMMYFUNCTION("""COMPUTED_VALUE"""),"")</f>
        <v/>
      </c>
      <c r="U754" s="136" t="str">
        <f>IFERROR(__xludf.DUMMYFUNCTION("""COMPUTED_VALUE"""),"")</f>
        <v/>
      </c>
      <c r="V754" s="106" t="str">
        <f>IFERROR(__xludf.DUMMYFUNCTION("""COMPUTED_VALUE"""),"")</f>
        <v/>
      </c>
      <c r="W754" s="143" t="str">
        <f t="shared" si="2"/>
        <v/>
      </c>
      <c r="X754" s="139" t="str">
        <f>IFERROR(__xludf.DUMMYFUNCTION("""COMPUTED_VALUE"""),"")</f>
        <v/>
      </c>
      <c r="Y754" s="141" t="str">
        <f>IFERROR(__xludf.DUMMYFUNCTION("""COMPUTED_VALUE"""),"")</f>
        <v/>
      </c>
    </row>
    <row r="755">
      <c r="C755" s="136" t="str">
        <f t="shared" si="3"/>
        <v/>
      </c>
      <c r="E755" s="106"/>
      <c r="G755" s="106" t="s">
        <v>133</v>
      </c>
      <c r="I755" s="139" t="s">
        <v>133</v>
      </c>
      <c r="J755" s="136" t="s">
        <v>133</v>
      </c>
      <c r="L755" s="136" t="str">
        <f t="shared" si="1"/>
        <v/>
      </c>
      <c r="N755" s="141" t="s">
        <v>133</v>
      </c>
      <c r="O755" s="136" t="str">
        <f>IFERROR(__xludf.DUMMYFUNCTION("""COMPUTED_VALUE"""),"")</f>
        <v/>
      </c>
      <c r="P755" s="136" t="str">
        <f>IFERROR(__xludf.DUMMYFUNCTION("""COMPUTED_VALUE"""),"")</f>
        <v/>
      </c>
      <c r="Q755" s="106" t="str">
        <f>IFERROR(__xludf.DUMMYFUNCTION("""COMPUTED_VALUE"""),"")</f>
        <v/>
      </c>
      <c r="R755" s="106" t="str">
        <f>IFERROR(__xludf.DUMMYFUNCTION("""COMPUTED_VALUE"""),"")</f>
        <v/>
      </c>
      <c r="S755" s="139" t="str">
        <f>IFERROR(__xludf.DUMMYFUNCTION("""COMPUTED_VALUE"""),"")</f>
        <v/>
      </c>
      <c r="T755" s="139" t="str">
        <f>IFERROR(__xludf.DUMMYFUNCTION("""COMPUTED_VALUE"""),"")</f>
        <v/>
      </c>
      <c r="U755" s="136" t="str">
        <f>IFERROR(__xludf.DUMMYFUNCTION("""COMPUTED_VALUE"""),"")</f>
        <v/>
      </c>
      <c r="V755" s="106" t="str">
        <f>IFERROR(__xludf.DUMMYFUNCTION("""COMPUTED_VALUE"""),"")</f>
        <v/>
      </c>
      <c r="W755" s="143" t="str">
        <f t="shared" si="2"/>
        <v/>
      </c>
      <c r="X755" s="139" t="str">
        <f>IFERROR(__xludf.DUMMYFUNCTION("""COMPUTED_VALUE"""),"")</f>
        <v/>
      </c>
      <c r="Y755" s="141" t="str">
        <f>IFERROR(__xludf.DUMMYFUNCTION("""COMPUTED_VALUE"""),"")</f>
        <v/>
      </c>
    </row>
    <row r="756">
      <c r="C756" s="136" t="str">
        <f t="shared" si="3"/>
        <v/>
      </c>
      <c r="E756" s="106"/>
      <c r="G756" s="106" t="s">
        <v>133</v>
      </c>
      <c r="I756" s="139" t="s">
        <v>133</v>
      </c>
      <c r="J756" s="136" t="s">
        <v>133</v>
      </c>
      <c r="L756" s="136" t="str">
        <f t="shared" si="1"/>
        <v/>
      </c>
      <c r="N756" s="141" t="s">
        <v>133</v>
      </c>
      <c r="O756" s="136" t="str">
        <f>IFERROR(__xludf.DUMMYFUNCTION("""COMPUTED_VALUE"""),"")</f>
        <v/>
      </c>
      <c r="P756" s="136" t="str">
        <f>IFERROR(__xludf.DUMMYFUNCTION("""COMPUTED_VALUE"""),"")</f>
        <v/>
      </c>
      <c r="Q756" s="106" t="str">
        <f>IFERROR(__xludf.DUMMYFUNCTION("""COMPUTED_VALUE"""),"")</f>
        <v/>
      </c>
      <c r="R756" s="106" t="str">
        <f>IFERROR(__xludf.DUMMYFUNCTION("""COMPUTED_VALUE"""),"")</f>
        <v/>
      </c>
      <c r="S756" s="139" t="str">
        <f>IFERROR(__xludf.DUMMYFUNCTION("""COMPUTED_VALUE"""),"")</f>
        <v/>
      </c>
      <c r="T756" s="139" t="str">
        <f>IFERROR(__xludf.DUMMYFUNCTION("""COMPUTED_VALUE"""),"")</f>
        <v/>
      </c>
      <c r="U756" s="136" t="str">
        <f>IFERROR(__xludf.DUMMYFUNCTION("""COMPUTED_VALUE"""),"")</f>
        <v/>
      </c>
      <c r="V756" s="106" t="str">
        <f>IFERROR(__xludf.DUMMYFUNCTION("""COMPUTED_VALUE"""),"")</f>
        <v/>
      </c>
      <c r="W756" s="143" t="str">
        <f t="shared" si="2"/>
        <v/>
      </c>
      <c r="X756" s="139" t="str">
        <f>IFERROR(__xludf.DUMMYFUNCTION("""COMPUTED_VALUE"""),"")</f>
        <v/>
      </c>
      <c r="Y756" s="141" t="str">
        <f>IFERROR(__xludf.DUMMYFUNCTION("""COMPUTED_VALUE"""),"")</f>
        <v/>
      </c>
    </row>
    <row r="757">
      <c r="C757" s="136" t="str">
        <f t="shared" si="3"/>
        <v/>
      </c>
      <c r="E757" s="106"/>
      <c r="G757" s="106" t="s">
        <v>133</v>
      </c>
      <c r="I757" s="139" t="s">
        <v>133</v>
      </c>
      <c r="J757" s="136" t="s">
        <v>133</v>
      </c>
      <c r="L757" s="136" t="str">
        <f t="shared" si="1"/>
        <v/>
      </c>
      <c r="N757" s="141" t="s">
        <v>133</v>
      </c>
      <c r="O757" s="136" t="str">
        <f>IFERROR(__xludf.DUMMYFUNCTION("""COMPUTED_VALUE"""),"")</f>
        <v/>
      </c>
      <c r="P757" s="136" t="str">
        <f>IFERROR(__xludf.DUMMYFUNCTION("""COMPUTED_VALUE"""),"")</f>
        <v/>
      </c>
      <c r="Q757" s="106" t="str">
        <f>IFERROR(__xludf.DUMMYFUNCTION("""COMPUTED_VALUE"""),"")</f>
        <v/>
      </c>
      <c r="R757" s="106" t="str">
        <f>IFERROR(__xludf.DUMMYFUNCTION("""COMPUTED_VALUE"""),"")</f>
        <v/>
      </c>
      <c r="S757" s="139" t="str">
        <f>IFERROR(__xludf.DUMMYFUNCTION("""COMPUTED_VALUE"""),"")</f>
        <v/>
      </c>
      <c r="T757" s="139" t="str">
        <f>IFERROR(__xludf.DUMMYFUNCTION("""COMPUTED_VALUE"""),"")</f>
        <v/>
      </c>
      <c r="U757" s="136" t="str">
        <f>IFERROR(__xludf.DUMMYFUNCTION("""COMPUTED_VALUE"""),"")</f>
        <v/>
      </c>
      <c r="V757" s="106" t="str">
        <f>IFERROR(__xludf.DUMMYFUNCTION("""COMPUTED_VALUE"""),"")</f>
        <v/>
      </c>
      <c r="W757" s="143" t="str">
        <f t="shared" si="2"/>
        <v/>
      </c>
      <c r="X757" s="139" t="str">
        <f>IFERROR(__xludf.DUMMYFUNCTION("""COMPUTED_VALUE"""),"")</f>
        <v/>
      </c>
      <c r="Y757" s="141" t="str">
        <f>IFERROR(__xludf.DUMMYFUNCTION("""COMPUTED_VALUE"""),"")</f>
        <v/>
      </c>
    </row>
    <row r="758">
      <c r="C758" s="136" t="str">
        <f t="shared" si="3"/>
        <v/>
      </c>
      <c r="E758" s="106"/>
      <c r="G758" s="106" t="s">
        <v>133</v>
      </c>
      <c r="I758" s="139" t="s">
        <v>133</v>
      </c>
      <c r="J758" s="136" t="s">
        <v>133</v>
      </c>
      <c r="L758" s="136" t="str">
        <f t="shared" si="1"/>
        <v/>
      </c>
      <c r="N758" s="141" t="s">
        <v>133</v>
      </c>
      <c r="O758" s="136" t="str">
        <f>IFERROR(__xludf.DUMMYFUNCTION("""COMPUTED_VALUE"""),"")</f>
        <v/>
      </c>
      <c r="P758" s="136" t="str">
        <f>IFERROR(__xludf.DUMMYFUNCTION("""COMPUTED_VALUE"""),"")</f>
        <v/>
      </c>
      <c r="Q758" s="106" t="str">
        <f>IFERROR(__xludf.DUMMYFUNCTION("""COMPUTED_VALUE"""),"")</f>
        <v/>
      </c>
      <c r="R758" s="106" t="str">
        <f>IFERROR(__xludf.DUMMYFUNCTION("""COMPUTED_VALUE"""),"")</f>
        <v/>
      </c>
      <c r="S758" s="139" t="str">
        <f>IFERROR(__xludf.DUMMYFUNCTION("""COMPUTED_VALUE"""),"")</f>
        <v/>
      </c>
      <c r="T758" s="139" t="str">
        <f>IFERROR(__xludf.DUMMYFUNCTION("""COMPUTED_VALUE"""),"")</f>
        <v/>
      </c>
      <c r="U758" s="136" t="str">
        <f>IFERROR(__xludf.DUMMYFUNCTION("""COMPUTED_VALUE"""),"")</f>
        <v/>
      </c>
      <c r="V758" s="106" t="str">
        <f>IFERROR(__xludf.DUMMYFUNCTION("""COMPUTED_VALUE"""),"")</f>
        <v/>
      </c>
      <c r="W758" s="143" t="str">
        <f t="shared" si="2"/>
        <v/>
      </c>
      <c r="X758" s="139" t="str">
        <f>IFERROR(__xludf.DUMMYFUNCTION("""COMPUTED_VALUE"""),"")</f>
        <v/>
      </c>
      <c r="Y758" s="141" t="str">
        <f>IFERROR(__xludf.DUMMYFUNCTION("""COMPUTED_VALUE"""),"")</f>
        <v/>
      </c>
    </row>
    <row r="759">
      <c r="C759" s="136" t="str">
        <f t="shared" si="3"/>
        <v/>
      </c>
      <c r="E759" s="106"/>
      <c r="G759" s="106" t="s">
        <v>133</v>
      </c>
      <c r="I759" s="139" t="s">
        <v>133</v>
      </c>
      <c r="J759" s="136" t="s">
        <v>133</v>
      </c>
      <c r="L759" s="136" t="str">
        <f t="shared" si="1"/>
        <v/>
      </c>
      <c r="N759" s="141" t="s">
        <v>133</v>
      </c>
      <c r="O759" s="136" t="str">
        <f>IFERROR(__xludf.DUMMYFUNCTION("""COMPUTED_VALUE"""),"")</f>
        <v/>
      </c>
      <c r="P759" s="136" t="str">
        <f>IFERROR(__xludf.DUMMYFUNCTION("""COMPUTED_VALUE"""),"")</f>
        <v/>
      </c>
      <c r="Q759" s="106" t="str">
        <f>IFERROR(__xludf.DUMMYFUNCTION("""COMPUTED_VALUE"""),"")</f>
        <v/>
      </c>
      <c r="R759" s="106" t="str">
        <f>IFERROR(__xludf.DUMMYFUNCTION("""COMPUTED_VALUE"""),"")</f>
        <v/>
      </c>
      <c r="S759" s="139" t="str">
        <f>IFERROR(__xludf.DUMMYFUNCTION("""COMPUTED_VALUE"""),"")</f>
        <v/>
      </c>
      <c r="T759" s="139" t="str">
        <f>IFERROR(__xludf.DUMMYFUNCTION("""COMPUTED_VALUE"""),"")</f>
        <v/>
      </c>
      <c r="U759" s="136" t="str">
        <f>IFERROR(__xludf.DUMMYFUNCTION("""COMPUTED_VALUE"""),"")</f>
        <v/>
      </c>
      <c r="V759" s="106" t="str">
        <f>IFERROR(__xludf.DUMMYFUNCTION("""COMPUTED_VALUE"""),"")</f>
        <v/>
      </c>
      <c r="W759" s="143" t="str">
        <f t="shared" si="2"/>
        <v/>
      </c>
      <c r="X759" s="139" t="str">
        <f>IFERROR(__xludf.DUMMYFUNCTION("""COMPUTED_VALUE"""),"")</f>
        <v/>
      </c>
      <c r="Y759" s="141" t="str">
        <f>IFERROR(__xludf.DUMMYFUNCTION("""COMPUTED_VALUE"""),"")</f>
        <v/>
      </c>
    </row>
    <row r="760">
      <c r="C760" s="136" t="str">
        <f t="shared" si="3"/>
        <v/>
      </c>
      <c r="E760" s="106"/>
      <c r="G760" s="106" t="s">
        <v>133</v>
      </c>
      <c r="I760" s="139" t="s">
        <v>133</v>
      </c>
      <c r="J760" s="136" t="s">
        <v>133</v>
      </c>
      <c r="L760" s="136" t="str">
        <f t="shared" si="1"/>
        <v/>
      </c>
      <c r="N760" s="141" t="s">
        <v>133</v>
      </c>
      <c r="O760" s="136" t="str">
        <f>IFERROR(__xludf.DUMMYFUNCTION("""COMPUTED_VALUE"""),"")</f>
        <v/>
      </c>
      <c r="P760" s="136" t="str">
        <f>IFERROR(__xludf.DUMMYFUNCTION("""COMPUTED_VALUE"""),"")</f>
        <v/>
      </c>
      <c r="Q760" s="106" t="str">
        <f>IFERROR(__xludf.DUMMYFUNCTION("""COMPUTED_VALUE"""),"")</f>
        <v/>
      </c>
      <c r="R760" s="106" t="str">
        <f>IFERROR(__xludf.DUMMYFUNCTION("""COMPUTED_VALUE"""),"")</f>
        <v/>
      </c>
      <c r="S760" s="139" t="str">
        <f>IFERROR(__xludf.DUMMYFUNCTION("""COMPUTED_VALUE"""),"")</f>
        <v/>
      </c>
      <c r="T760" s="139" t="str">
        <f>IFERROR(__xludf.DUMMYFUNCTION("""COMPUTED_VALUE"""),"")</f>
        <v/>
      </c>
      <c r="U760" s="136" t="str">
        <f>IFERROR(__xludf.DUMMYFUNCTION("""COMPUTED_VALUE"""),"")</f>
        <v/>
      </c>
      <c r="V760" s="106" t="str">
        <f>IFERROR(__xludf.DUMMYFUNCTION("""COMPUTED_VALUE"""),"")</f>
        <v/>
      </c>
      <c r="W760" s="143" t="str">
        <f t="shared" si="2"/>
        <v/>
      </c>
      <c r="X760" s="139" t="str">
        <f>IFERROR(__xludf.DUMMYFUNCTION("""COMPUTED_VALUE"""),"")</f>
        <v/>
      </c>
      <c r="Y760" s="141" t="str">
        <f>IFERROR(__xludf.DUMMYFUNCTION("""COMPUTED_VALUE"""),"")</f>
        <v/>
      </c>
    </row>
    <row r="761">
      <c r="C761" s="136" t="str">
        <f t="shared" si="3"/>
        <v/>
      </c>
      <c r="E761" s="106"/>
      <c r="G761" s="106" t="s">
        <v>133</v>
      </c>
      <c r="I761" s="139" t="s">
        <v>133</v>
      </c>
      <c r="J761" s="136" t="s">
        <v>133</v>
      </c>
      <c r="L761" s="136" t="str">
        <f t="shared" si="1"/>
        <v/>
      </c>
      <c r="N761" s="141" t="s">
        <v>133</v>
      </c>
      <c r="O761" s="136" t="str">
        <f>IFERROR(__xludf.DUMMYFUNCTION("""COMPUTED_VALUE"""),"")</f>
        <v/>
      </c>
      <c r="P761" s="136" t="str">
        <f>IFERROR(__xludf.DUMMYFUNCTION("""COMPUTED_VALUE"""),"")</f>
        <v/>
      </c>
      <c r="Q761" s="106" t="str">
        <f>IFERROR(__xludf.DUMMYFUNCTION("""COMPUTED_VALUE"""),"")</f>
        <v/>
      </c>
      <c r="R761" s="106" t="str">
        <f>IFERROR(__xludf.DUMMYFUNCTION("""COMPUTED_VALUE"""),"")</f>
        <v/>
      </c>
      <c r="S761" s="139" t="str">
        <f>IFERROR(__xludf.DUMMYFUNCTION("""COMPUTED_VALUE"""),"")</f>
        <v/>
      </c>
      <c r="T761" s="139" t="str">
        <f>IFERROR(__xludf.DUMMYFUNCTION("""COMPUTED_VALUE"""),"")</f>
        <v/>
      </c>
      <c r="U761" s="136" t="str">
        <f>IFERROR(__xludf.DUMMYFUNCTION("""COMPUTED_VALUE"""),"")</f>
        <v/>
      </c>
      <c r="V761" s="106" t="str">
        <f>IFERROR(__xludf.DUMMYFUNCTION("""COMPUTED_VALUE"""),"")</f>
        <v/>
      </c>
      <c r="W761" s="143" t="str">
        <f t="shared" si="2"/>
        <v/>
      </c>
      <c r="X761" s="139" t="str">
        <f>IFERROR(__xludf.DUMMYFUNCTION("""COMPUTED_VALUE"""),"")</f>
        <v/>
      </c>
      <c r="Y761" s="141" t="str">
        <f>IFERROR(__xludf.DUMMYFUNCTION("""COMPUTED_VALUE"""),"")</f>
        <v/>
      </c>
    </row>
    <row r="762">
      <c r="C762" s="136" t="str">
        <f t="shared" si="3"/>
        <v/>
      </c>
      <c r="E762" s="106"/>
      <c r="G762" s="106" t="s">
        <v>133</v>
      </c>
      <c r="I762" s="139" t="s">
        <v>133</v>
      </c>
      <c r="J762" s="136" t="s">
        <v>133</v>
      </c>
      <c r="L762" s="136" t="str">
        <f t="shared" si="1"/>
        <v/>
      </c>
      <c r="N762" s="141" t="s">
        <v>133</v>
      </c>
      <c r="O762" s="136" t="str">
        <f>IFERROR(__xludf.DUMMYFUNCTION("""COMPUTED_VALUE"""),"")</f>
        <v/>
      </c>
      <c r="P762" s="136" t="str">
        <f>IFERROR(__xludf.DUMMYFUNCTION("""COMPUTED_VALUE"""),"")</f>
        <v/>
      </c>
      <c r="Q762" s="106" t="str">
        <f>IFERROR(__xludf.DUMMYFUNCTION("""COMPUTED_VALUE"""),"")</f>
        <v/>
      </c>
      <c r="R762" s="106" t="str">
        <f>IFERROR(__xludf.DUMMYFUNCTION("""COMPUTED_VALUE"""),"")</f>
        <v/>
      </c>
      <c r="S762" s="139" t="str">
        <f>IFERROR(__xludf.DUMMYFUNCTION("""COMPUTED_VALUE"""),"")</f>
        <v/>
      </c>
      <c r="T762" s="139" t="str">
        <f>IFERROR(__xludf.DUMMYFUNCTION("""COMPUTED_VALUE"""),"")</f>
        <v/>
      </c>
      <c r="U762" s="136" t="str">
        <f>IFERROR(__xludf.DUMMYFUNCTION("""COMPUTED_VALUE"""),"")</f>
        <v/>
      </c>
      <c r="V762" s="106" t="str">
        <f>IFERROR(__xludf.DUMMYFUNCTION("""COMPUTED_VALUE"""),"")</f>
        <v/>
      </c>
      <c r="W762" s="143" t="str">
        <f t="shared" si="2"/>
        <v/>
      </c>
      <c r="X762" s="139" t="str">
        <f>IFERROR(__xludf.DUMMYFUNCTION("""COMPUTED_VALUE"""),"")</f>
        <v/>
      </c>
      <c r="Y762" s="141" t="str">
        <f>IFERROR(__xludf.DUMMYFUNCTION("""COMPUTED_VALUE"""),"")</f>
        <v/>
      </c>
    </row>
    <row r="763">
      <c r="C763" s="136" t="str">
        <f t="shared" si="3"/>
        <v/>
      </c>
      <c r="E763" s="106"/>
      <c r="G763" s="106" t="s">
        <v>133</v>
      </c>
      <c r="I763" s="139" t="s">
        <v>133</v>
      </c>
      <c r="J763" s="136" t="s">
        <v>133</v>
      </c>
      <c r="L763" s="136" t="str">
        <f t="shared" si="1"/>
        <v/>
      </c>
      <c r="N763" s="141" t="s">
        <v>133</v>
      </c>
      <c r="O763" s="136" t="str">
        <f>IFERROR(__xludf.DUMMYFUNCTION("""COMPUTED_VALUE"""),"")</f>
        <v/>
      </c>
      <c r="P763" s="136" t="str">
        <f>IFERROR(__xludf.DUMMYFUNCTION("""COMPUTED_VALUE"""),"")</f>
        <v/>
      </c>
      <c r="Q763" s="106" t="str">
        <f>IFERROR(__xludf.DUMMYFUNCTION("""COMPUTED_VALUE"""),"")</f>
        <v/>
      </c>
      <c r="R763" s="106" t="str">
        <f>IFERROR(__xludf.DUMMYFUNCTION("""COMPUTED_VALUE"""),"")</f>
        <v/>
      </c>
      <c r="S763" s="139" t="str">
        <f>IFERROR(__xludf.DUMMYFUNCTION("""COMPUTED_VALUE"""),"")</f>
        <v/>
      </c>
      <c r="T763" s="139" t="str">
        <f>IFERROR(__xludf.DUMMYFUNCTION("""COMPUTED_VALUE"""),"")</f>
        <v/>
      </c>
      <c r="U763" s="136" t="str">
        <f>IFERROR(__xludf.DUMMYFUNCTION("""COMPUTED_VALUE"""),"")</f>
        <v/>
      </c>
      <c r="V763" s="106" t="str">
        <f>IFERROR(__xludf.DUMMYFUNCTION("""COMPUTED_VALUE"""),"")</f>
        <v/>
      </c>
      <c r="W763" s="143" t="str">
        <f t="shared" si="2"/>
        <v/>
      </c>
      <c r="X763" s="139" t="str">
        <f>IFERROR(__xludf.DUMMYFUNCTION("""COMPUTED_VALUE"""),"")</f>
        <v/>
      </c>
      <c r="Y763" s="141" t="str">
        <f>IFERROR(__xludf.DUMMYFUNCTION("""COMPUTED_VALUE"""),"")</f>
        <v/>
      </c>
    </row>
    <row r="764">
      <c r="C764" s="136" t="str">
        <f t="shared" si="3"/>
        <v/>
      </c>
      <c r="E764" s="106"/>
      <c r="G764" s="106" t="s">
        <v>133</v>
      </c>
      <c r="I764" s="139" t="s">
        <v>133</v>
      </c>
      <c r="J764" s="136" t="s">
        <v>133</v>
      </c>
      <c r="L764" s="136" t="str">
        <f t="shared" si="1"/>
        <v/>
      </c>
      <c r="N764" s="141" t="s">
        <v>133</v>
      </c>
      <c r="O764" s="136" t="str">
        <f>IFERROR(__xludf.DUMMYFUNCTION("""COMPUTED_VALUE"""),"")</f>
        <v/>
      </c>
      <c r="P764" s="136" t="str">
        <f>IFERROR(__xludf.DUMMYFUNCTION("""COMPUTED_VALUE"""),"")</f>
        <v/>
      </c>
      <c r="Q764" s="106" t="str">
        <f>IFERROR(__xludf.DUMMYFUNCTION("""COMPUTED_VALUE"""),"")</f>
        <v/>
      </c>
      <c r="R764" s="106" t="str">
        <f>IFERROR(__xludf.DUMMYFUNCTION("""COMPUTED_VALUE"""),"")</f>
        <v/>
      </c>
      <c r="S764" s="139" t="str">
        <f>IFERROR(__xludf.DUMMYFUNCTION("""COMPUTED_VALUE"""),"")</f>
        <v/>
      </c>
      <c r="T764" s="139" t="str">
        <f>IFERROR(__xludf.DUMMYFUNCTION("""COMPUTED_VALUE"""),"")</f>
        <v/>
      </c>
      <c r="U764" s="136" t="str">
        <f>IFERROR(__xludf.DUMMYFUNCTION("""COMPUTED_VALUE"""),"")</f>
        <v/>
      </c>
      <c r="V764" s="106" t="str">
        <f>IFERROR(__xludf.DUMMYFUNCTION("""COMPUTED_VALUE"""),"")</f>
        <v/>
      </c>
      <c r="W764" s="143" t="str">
        <f t="shared" si="2"/>
        <v/>
      </c>
      <c r="X764" s="139" t="str">
        <f>IFERROR(__xludf.DUMMYFUNCTION("""COMPUTED_VALUE"""),"")</f>
        <v/>
      </c>
      <c r="Y764" s="141" t="str">
        <f>IFERROR(__xludf.DUMMYFUNCTION("""COMPUTED_VALUE"""),"")</f>
        <v/>
      </c>
    </row>
    <row r="765">
      <c r="C765" s="136" t="str">
        <f t="shared" si="3"/>
        <v/>
      </c>
      <c r="E765" s="106"/>
      <c r="G765" s="106" t="s">
        <v>133</v>
      </c>
      <c r="I765" s="139" t="s">
        <v>133</v>
      </c>
      <c r="J765" s="136" t="s">
        <v>133</v>
      </c>
      <c r="L765" s="136" t="str">
        <f t="shared" si="1"/>
        <v/>
      </c>
      <c r="N765" s="141" t="s">
        <v>133</v>
      </c>
      <c r="O765" s="136" t="str">
        <f>IFERROR(__xludf.DUMMYFUNCTION("""COMPUTED_VALUE"""),"")</f>
        <v/>
      </c>
      <c r="P765" s="136" t="str">
        <f>IFERROR(__xludf.DUMMYFUNCTION("""COMPUTED_VALUE"""),"")</f>
        <v/>
      </c>
      <c r="Q765" s="106" t="str">
        <f>IFERROR(__xludf.DUMMYFUNCTION("""COMPUTED_VALUE"""),"")</f>
        <v/>
      </c>
      <c r="R765" s="106" t="str">
        <f>IFERROR(__xludf.DUMMYFUNCTION("""COMPUTED_VALUE"""),"")</f>
        <v/>
      </c>
      <c r="S765" s="139" t="str">
        <f>IFERROR(__xludf.DUMMYFUNCTION("""COMPUTED_VALUE"""),"")</f>
        <v/>
      </c>
      <c r="T765" s="139" t="str">
        <f>IFERROR(__xludf.DUMMYFUNCTION("""COMPUTED_VALUE"""),"")</f>
        <v/>
      </c>
      <c r="U765" s="136" t="str">
        <f>IFERROR(__xludf.DUMMYFUNCTION("""COMPUTED_VALUE"""),"")</f>
        <v/>
      </c>
      <c r="V765" s="106" t="str">
        <f>IFERROR(__xludf.DUMMYFUNCTION("""COMPUTED_VALUE"""),"")</f>
        <v/>
      </c>
      <c r="W765" s="143" t="str">
        <f t="shared" si="2"/>
        <v/>
      </c>
      <c r="X765" s="139" t="str">
        <f>IFERROR(__xludf.DUMMYFUNCTION("""COMPUTED_VALUE"""),"")</f>
        <v/>
      </c>
      <c r="Y765" s="141" t="str">
        <f>IFERROR(__xludf.DUMMYFUNCTION("""COMPUTED_VALUE"""),"")</f>
        <v/>
      </c>
    </row>
    <row r="766">
      <c r="C766" s="136" t="str">
        <f t="shared" si="3"/>
        <v/>
      </c>
      <c r="E766" s="106"/>
      <c r="G766" s="106" t="s">
        <v>133</v>
      </c>
      <c r="I766" s="139" t="s">
        <v>133</v>
      </c>
      <c r="J766" s="136" t="s">
        <v>133</v>
      </c>
      <c r="L766" s="136" t="str">
        <f t="shared" si="1"/>
        <v/>
      </c>
      <c r="N766" s="141" t="s">
        <v>133</v>
      </c>
      <c r="O766" s="136" t="str">
        <f>IFERROR(__xludf.DUMMYFUNCTION("""COMPUTED_VALUE"""),"")</f>
        <v/>
      </c>
      <c r="P766" s="136" t="str">
        <f>IFERROR(__xludf.DUMMYFUNCTION("""COMPUTED_VALUE"""),"")</f>
        <v/>
      </c>
      <c r="Q766" s="106" t="str">
        <f>IFERROR(__xludf.DUMMYFUNCTION("""COMPUTED_VALUE"""),"")</f>
        <v/>
      </c>
      <c r="R766" s="106" t="str">
        <f>IFERROR(__xludf.DUMMYFUNCTION("""COMPUTED_VALUE"""),"")</f>
        <v/>
      </c>
      <c r="S766" s="139" t="str">
        <f>IFERROR(__xludf.DUMMYFUNCTION("""COMPUTED_VALUE"""),"")</f>
        <v/>
      </c>
      <c r="T766" s="139" t="str">
        <f>IFERROR(__xludf.DUMMYFUNCTION("""COMPUTED_VALUE"""),"")</f>
        <v/>
      </c>
      <c r="U766" s="136" t="str">
        <f>IFERROR(__xludf.DUMMYFUNCTION("""COMPUTED_VALUE"""),"")</f>
        <v/>
      </c>
      <c r="V766" s="106" t="str">
        <f>IFERROR(__xludf.DUMMYFUNCTION("""COMPUTED_VALUE"""),"")</f>
        <v/>
      </c>
      <c r="W766" s="143" t="str">
        <f t="shared" si="2"/>
        <v/>
      </c>
      <c r="X766" s="139" t="str">
        <f>IFERROR(__xludf.DUMMYFUNCTION("""COMPUTED_VALUE"""),"")</f>
        <v/>
      </c>
      <c r="Y766" s="141" t="str">
        <f>IFERROR(__xludf.DUMMYFUNCTION("""COMPUTED_VALUE"""),"")</f>
        <v/>
      </c>
    </row>
    <row r="767">
      <c r="C767" s="136" t="str">
        <f t="shared" si="3"/>
        <v/>
      </c>
      <c r="E767" s="106"/>
      <c r="G767" s="106" t="s">
        <v>133</v>
      </c>
      <c r="I767" s="139" t="s">
        <v>133</v>
      </c>
      <c r="J767" s="136" t="s">
        <v>133</v>
      </c>
      <c r="L767" s="136" t="str">
        <f t="shared" si="1"/>
        <v/>
      </c>
      <c r="N767" s="141" t="s">
        <v>133</v>
      </c>
      <c r="O767" s="136" t="str">
        <f>IFERROR(__xludf.DUMMYFUNCTION("""COMPUTED_VALUE"""),"")</f>
        <v/>
      </c>
      <c r="P767" s="136" t="str">
        <f>IFERROR(__xludf.DUMMYFUNCTION("""COMPUTED_VALUE"""),"")</f>
        <v/>
      </c>
      <c r="Q767" s="106" t="str">
        <f>IFERROR(__xludf.DUMMYFUNCTION("""COMPUTED_VALUE"""),"")</f>
        <v/>
      </c>
      <c r="R767" s="106" t="str">
        <f>IFERROR(__xludf.DUMMYFUNCTION("""COMPUTED_VALUE"""),"")</f>
        <v/>
      </c>
      <c r="S767" s="139" t="str">
        <f>IFERROR(__xludf.DUMMYFUNCTION("""COMPUTED_VALUE"""),"")</f>
        <v/>
      </c>
      <c r="T767" s="139" t="str">
        <f>IFERROR(__xludf.DUMMYFUNCTION("""COMPUTED_VALUE"""),"")</f>
        <v/>
      </c>
      <c r="U767" s="136" t="str">
        <f>IFERROR(__xludf.DUMMYFUNCTION("""COMPUTED_VALUE"""),"")</f>
        <v/>
      </c>
      <c r="V767" s="106" t="str">
        <f>IFERROR(__xludf.DUMMYFUNCTION("""COMPUTED_VALUE"""),"")</f>
        <v/>
      </c>
      <c r="W767" s="143" t="str">
        <f t="shared" si="2"/>
        <v/>
      </c>
      <c r="X767" s="139" t="str">
        <f>IFERROR(__xludf.DUMMYFUNCTION("""COMPUTED_VALUE"""),"")</f>
        <v/>
      </c>
      <c r="Y767" s="141" t="str">
        <f>IFERROR(__xludf.DUMMYFUNCTION("""COMPUTED_VALUE"""),"")</f>
        <v/>
      </c>
    </row>
    <row r="768">
      <c r="C768" s="136" t="str">
        <f t="shared" si="3"/>
        <v/>
      </c>
      <c r="E768" s="106"/>
      <c r="G768" s="106" t="s">
        <v>133</v>
      </c>
      <c r="I768" s="139" t="s">
        <v>133</v>
      </c>
      <c r="J768" s="136" t="s">
        <v>133</v>
      </c>
      <c r="L768" s="136" t="str">
        <f t="shared" si="1"/>
        <v/>
      </c>
      <c r="N768" s="141" t="s">
        <v>133</v>
      </c>
      <c r="O768" s="136" t="str">
        <f>IFERROR(__xludf.DUMMYFUNCTION("""COMPUTED_VALUE"""),"")</f>
        <v/>
      </c>
      <c r="P768" s="136" t="str">
        <f>IFERROR(__xludf.DUMMYFUNCTION("""COMPUTED_VALUE"""),"")</f>
        <v/>
      </c>
      <c r="Q768" s="106" t="str">
        <f>IFERROR(__xludf.DUMMYFUNCTION("""COMPUTED_VALUE"""),"")</f>
        <v/>
      </c>
      <c r="R768" s="106" t="str">
        <f>IFERROR(__xludf.DUMMYFUNCTION("""COMPUTED_VALUE"""),"")</f>
        <v/>
      </c>
      <c r="S768" s="139" t="str">
        <f>IFERROR(__xludf.DUMMYFUNCTION("""COMPUTED_VALUE"""),"")</f>
        <v/>
      </c>
      <c r="T768" s="139" t="str">
        <f>IFERROR(__xludf.DUMMYFUNCTION("""COMPUTED_VALUE"""),"")</f>
        <v/>
      </c>
      <c r="U768" s="136" t="str">
        <f>IFERROR(__xludf.DUMMYFUNCTION("""COMPUTED_VALUE"""),"")</f>
        <v/>
      </c>
      <c r="V768" s="106" t="str">
        <f>IFERROR(__xludf.DUMMYFUNCTION("""COMPUTED_VALUE"""),"")</f>
        <v/>
      </c>
      <c r="W768" s="143" t="str">
        <f t="shared" si="2"/>
        <v/>
      </c>
      <c r="X768" s="139" t="str">
        <f>IFERROR(__xludf.DUMMYFUNCTION("""COMPUTED_VALUE"""),"")</f>
        <v/>
      </c>
      <c r="Y768" s="141" t="str">
        <f>IFERROR(__xludf.DUMMYFUNCTION("""COMPUTED_VALUE"""),"")</f>
        <v/>
      </c>
    </row>
    <row r="769">
      <c r="C769" s="136" t="str">
        <f t="shared" si="3"/>
        <v/>
      </c>
      <c r="E769" s="106"/>
      <c r="G769" s="106" t="s">
        <v>133</v>
      </c>
      <c r="I769" s="139" t="s">
        <v>133</v>
      </c>
      <c r="J769" s="136" t="s">
        <v>133</v>
      </c>
      <c r="L769" s="136" t="str">
        <f t="shared" si="1"/>
        <v/>
      </c>
      <c r="N769" s="141" t="s">
        <v>133</v>
      </c>
      <c r="O769" s="136" t="str">
        <f>IFERROR(__xludf.DUMMYFUNCTION("""COMPUTED_VALUE"""),"")</f>
        <v/>
      </c>
      <c r="P769" s="136" t="str">
        <f>IFERROR(__xludf.DUMMYFUNCTION("""COMPUTED_VALUE"""),"")</f>
        <v/>
      </c>
      <c r="Q769" s="106" t="str">
        <f>IFERROR(__xludf.DUMMYFUNCTION("""COMPUTED_VALUE"""),"")</f>
        <v/>
      </c>
      <c r="R769" s="106" t="str">
        <f>IFERROR(__xludf.DUMMYFUNCTION("""COMPUTED_VALUE"""),"")</f>
        <v/>
      </c>
      <c r="S769" s="139" t="str">
        <f>IFERROR(__xludf.DUMMYFUNCTION("""COMPUTED_VALUE"""),"")</f>
        <v/>
      </c>
      <c r="T769" s="139" t="str">
        <f>IFERROR(__xludf.DUMMYFUNCTION("""COMPUTED_VALUE"""),"")</f>
        <v/>
      </c>
      <c r="U769" s="136" t="str">
        <f>IFERROR(__xludf.DUMMYFUNCTION("""COMPUTED_VALUE"""),"")</f>
        <v/>
      </c>
      <c r="V769" s="106" t="str">
        <f>IFERROR(__xludf.DUMMYFUNCTION("""COMPUTED_VALUE"""),"")</f>
        <v/>
      </c>
      <c r="W769" s="143" t="str">
        <f t="shared" si="2"/>
        <v/>
      </c>
      <c r="X769" s="139" t="str">
        <f>IFERROR(__xludf.DUMMYFUNCTION("""COMPUTED_VALUE"""),"")</f>
        <v/>
      </c>
      <c r="Y769" s="141" t="str">
        <f>IFERROR(__xludf.DUMMYFUNCTION("""COMPUTED_VALUE"""),"")</f>
        <v/>
      </c>
    </row>
    <row r="770">
      <c r="C770" s="136" t="str">
        <f t="shared" si="3"/>
        <v/>
      </c>
      <c r="E770" s="106"/>
      <c r="G770" s="106" t="s">
        <v>133</v>
      </c>
      <c r="I770" s="139" t="s">
        <v>133</v>
      </c>
      <c r="J770" s="136" t="s">
        <v>133</v>
      </c>
      <c r="L770" s="136" t="str">
        <f t="shared" si="1"/>
        <v/>
      </c>
      <c r="N770" s="141" t="s">
        <v>133</v>
      </c>
      <c r="O770" s="136" t="str">
        <f>IFERROR(__xludf.DUMMYFUNCTION("""COMPUTED_VALUE"""),"")</f>
        <v/>
      </c>
      <c r="P770" s="136" t="str">
        <f>IFERROR(__xludf.DUMMYFUNCTION("""COMPUTED_VALUE"""),"")</f>
        <v/>
      </c>
      <c r="Q770" s="106" t="str">
        <f>IFERROR(__xludf.DUMMYFUNCTION("""COMPUTED_VALUE"""),"")</f>
        <v/>
      </c>
      <c r="R770" s="106" t="str">
        <f>IFERROR(__xludf.DUMMYFUNCTION("""COMPUTED_VALUE"""),"")</f>
        <v/>
      </c>
      <c r="S770" s="139" t="str">
        <f>IFERROR(__xludf.DUMMYFUNCTION("""COMPUTED_VALUE"""),"")</f>
        <v/>
      </c>
      <c r="T770" s="139" t="str">
        <f>IFERROR(__xludf.DUMMYFUNCTION("""COMPUTED_VALUE"""),"")</f>
        <v/>
      </c>
      <c r="U770" s="136" t="str">
        <f>IFERROR(__xludf.DUMMYFUNCTION("""COMPUTED_VALUE"""),"")</f>
        <v/>
      </c>
      <c r="V770" s="106" t="str">
        <f>IFERROR(__xludf.DUMMYFUNCTION("""COMPUTED_VALUE"""),"")</f>
        <v/>
      </c>
      <c r="W770" s="143" t="str">
        <f t="shared" si="2"/>
        <v/>
      </c>
      <c r="X770" s="139" t="str">
        <f>IFERROR(__xludf.DUMMYFUNCTION("""COMPUTED_VALUE"""),"")</f>
        <v/>
      </c>
      <c r="Y770" s="141" t="str">
        <f>IFERROR(__xludf.DUMMYFUNCTION("""COMPUTED_VALUE"""),"")</f>
        <v/>
      </c>
    </row>
    <row r="771">
      <c r="C771" s="136" t="str">
        <f t="shared" si="3"/>
        <v/>
      </c>
      <c r="E771" s="106"/>
      <c r="G771" s="106" t="s">
        <v>133</v>
      </c>
      <c r="I771" s="139" t="s">
        <v>133</v>
      </c>
      <c r="J771" s="136" t="s">
        <v>133</v>
      </c>
      <c r="L771" s="136" t="str">
        <f t="shared" si="1"/>
        <v/>
      </c>
      <c r="N771" s="141" t="s">
        <v>133</v>
      </c>
      <c r="O771" s="136" t="str">
        <f>IFERROR(__xludf.DUMMYFUNCTION("""COMPUTED_VALUE"""),"")</f>
        <v/>
      </c>
      <c r="P771" s="136" t="str">
        <f>IFERROR(__xludf.DUMMYFUNCTION("""COMPUTED_VALUE"""),"")</f>
        <v/>
      </c>
      <c r="Q771" s="106" t="str">
        <f>IFERROR(__xludf.DUMMYFUNCTION("""COMPUTED_VALUE"""),"")</f>
        <v/>
      </c>
      <c r="R771" s="106" t="str">
        <f>IFERROR(__xludf.DUMMYFUNCTION("""COMPUTED_VALUE"""),"")</f>
        <v/>
      </c>
      <c r="S771" s="139" t="str">
        <f>IFERROR(__xludf.DUMMYFUNCTION("""COMPUTED_VALUE"""),"")</f>
        <v/>
      </c>
      <c r="T771" s="139" t="str">
        <f>IFERROR(__xludf.DUMMYFUNCTION("""COMPUTED_VALUE"""),"")</f>
        <v/>
      </c>
      <c r="U771" s="136" t="str">
        <f>IFERROR(__xludf.DUMMYFUNCTION("""COMPUTED_VALUE"""),"")</f>
        <v/>
      </c>
      <c r="V771" s="106" t="str">
        <f>IFERROR(__xludf.DUMMYFUNCTION("""COMPUTED_VALUE"""),"")</f>
        <v/>
      </c>
      <c r="W771" s="143" t="str">
        <f t="shared" si="2"/>
        <v/>
      </c>
      <c r="X771" s="139" t="str">
        <f>IFERROR(__xludf.DUMMYFUNCTION("""COMPUTED_VALUE"""),"")</f>
        <v/>
      </c>
      <c r="Y771" s="141" t="str">
        <f>IFERROR(__xludf.DUMMYFUNCTION("""COMPUTED_VALUE"""),"")</f>
        <v/>
      </c>
    </row>
    <row r="772">
      <c r="C772" s="136" t="str">
        <f t="shared" si="3"/>
        <v/>
      </c>
      <c r="E772" s="106"/>
      <c r="G772" s="106" t="s">
        <v>133</v>
      </c>
      <c r="I772" s="139" t="s">
        <v>133</v>
      </c>
      <c r="J772" s="136" t="s">
        <v>133</v>
      </c>
      <c r="L772" s="136" t="str">
        <f t="shared" si="1"/>
        <v/>
      </c>
      <c r="N772" s="141" t="s">
        <v>133</v>
      </c>
      <c r="O772" s="136" t="str">
        <f>IFERROR(__xludf.DUMMYFUNCTION("""COMPUTED_VALUE"""),"")</f>
        <v/>
      </c>
      <c r="P772" s="136" t="str">
        <f>IFERROR(__xludf.DUMMYFUNCTION("""COMPUTED_VALUE"""),"")</f>
        <v/>
      </c>
      <c r="Q772" s="106" t="str">
        <f>IFERROR(__xludf.DUMMYFUNCTION("""COMPUTED_VALUE"""),"")</f>
        <v/>
      </c>
      <c r="R772" s="106" t="str">
        <f>IFERROR(__xludf.DUMMYFUNCTION("""COMPUTED_VALUE"""),"")</f>
        <v/>
      </c>
      <c r="S772" s="139" t="str">
        <f>IFERROR(__xludf.DUMMYFUNCTION("""COMPUTED_VALUE"""),"")</f>
        <v/>
      </c>
      <c r="T772" s="139" t="str">
        <f>IFERROR(__xludf.DUMMYFUNCTION("""COMPUTED_VALUE"""),"")</f>
        <v/>
      </c>
      <c r="U772" s="136" t="str">
        <f>IFERROR(__xludf.DUMMYFUNCTION("""COMPUTED_VALUE"""),"")</f>
        <v/>
      </c>
      <c r="V772" s="106" t="str">
        <f>IFERROR(__xludf.DUMMYFUNCTION("""COMPUTED_VALUE"""),"")</f>
        <v/>
      </c>
      <c r="W772" s="143" t="str">
        <f t="shared" si="2"/>
        <v/>
      </c>
      <c r="X772" s="139" t="str">
        <f>IFERROR(__xludf.DUMMYFUNCTION("""COMPUTED_VALUE"""),"")</f>
        <v/>
      </c>
      <c r="Y772" s="141" t="str">
        <f>IFERROR(__xludf.DUMMYFUNCTION("""COMPUTED_VALUE"""),"")</f>
        <v/>
      </c>
    </row>
    <row r="773">
      <c r="C773" s="136" t="str">
        <f t="shared" si="3"/>
        <v/>
      </c>
      <c r="E773" s="106"/>
      <c r="G773" s="106" t="s">
        <v>133</v>
      </c>
      <c r="I773" s="139" t="s">
        <v>133</v>
      </c>
      <c r="J773" s="136" t="s">
        <v>133</v>
      </c>
      <c r="L773" s="136" t="str">
        <f t="shared" si="1"/>
        <v/>
      </c>
      <c r="N773" s="141" t="s">
        <v>133</v>
      </c>
      <c r="O773" s="136" t="str">
        <f>IFERROR(__xludf.DUMMYFUNCTION("""COMPUTED_VALUE"""),"")</f>
        <v/>
      </c>
      <c r="P773" s="136" t="str">
        <f>IFERROR(__xludf.DUMMYFUNCTION("""COMPUTED_VALUE"""),"")</f>
        <v/>
      </c>
      <c r="Q773" s="106" t="str">
        <f>IFERROR(__xludf.DUMMYFUNCTION("""COMPUTED_VALUE"""),"")</f>
        <v/>
      </c>
      <c r="R773" s="106" t="str">
        <f>IFERROR(__xludf.DUMMYFUNCTION("""COMPUTED_VALUE"""),"")</f>
        <v/>
      </c>
      <c r="S773" s="139" t="str">
        <f>IFERROR(__xludf.DUMMYFUNCTION("""COMPUTED_VALUE"""),"")</f>
        <v/>
      </c>
      <c r="T773" s="139" t="str">
        <f>IFERROR(__xludf.DUMMYFUNCTION("""COMPUTED_VALUE"""),"")</f>
        <v/>
      </c>
      <c r="U773" s="136" t="str">
        <f>IFERROR(__xludf.DUMMYFUNCTION("""COMPUTED_VALUE"""),"")</f>
        <v/>
      </c>
      <c r="V773" s="106" t="str">
        <f>IFERROR(__xludf.DUMMYFUNCTION("""COMPUTED_VALUE"""),"")</f>
        <v/>
      </c>
      <c r="W773" s="143" t="str">
        <f t="shared" si="2"/>
        <v/>
      </c>
      <c r="X773" s="139" t="str">
        <f>IFERROR(__xludf.DUMMYFUNCTION("""COMPUTED_VALUE"""),"")</f>
        <v/>
      </c>
      <c r="Y773" s="141" t="str">
        <f>IFERROR(__xludf.DUMMYFUNCTION("""COMPUTED_VALUE"""),"")</f>
        <v/>
      </c>
    </row>
    <row r="774">
      <c r="C774" s="136" t="str">
        <f t="shared" si="3"/>
        <v/>
      </c>
      <c r="E774" s="106"/>
      <c r="G774" s="106" t="s">
        <v>133</v>
      </c>
      <c r="I774" s="139" t="s">
        <v>133</v>
      </c>
      <c r="J774" s="136" t="s">
        <v>133</v>
      </c>
      <c r="L774" s="136" t="str">
        <f t="shared" si="1"/>
        <v/>
      </c>
      <c r="N774" s="141" t="s">
        <v>133</v>
      </c>
      <c r="O774" s="136" t="str">
        <f>IFERROR(__xludf.DUMMYFUNCTION("""COMPUTED_VALUE"""),"")</f>
        <v/>
      </c>
      <c r="P774" s="136" t="str">
        <f>IFERROR(__xludf.DUMMYFUNCTION("""COMPUTED_VALUE"""),"")</f>
        <v/>
      </c>
      <c r="Q774" s="106" t="str">
        <f>IFERROR(__xludf.DUMMYFUNCTION("""COMPUTED_VALUE"""),"")</f>
        <v/>
      </c>
      <c r="R774" s="106" t="str">
        <f>IFERROR(__xludf.DUMMYFUNCTION("""COMPUTED_VALUE"""),"")</f>
        <v/>
      </c>
      <c r="S774" s="139" t="str">
        <f>IFERROR(__xludf.DUMMYFUNCTION("""COMPUTED_VALUE"""),"")</f>
        <v/>
      </c>
      <c r="T774" s="139" t="str">
        <f>IFERROR(__xludf.DUMMYFUNCTION("""COMPUTED_VALUE"""),"")</f>
        <v/>
      </c>
      <c r="U774" s="136" t="str">
        <f>IFERROR(__xludf.DUMMYFUNCTION("""COMPUTED_VALUE"""),"")</f>
        <v/>
      </c>
      <c r="V774" s="106" t="str">
        <f>IFERROR(__xludf.DUMMYFUNCTION("""COMPUTED_VALUE"""),"")</f>
        <v/>
      </c>
      <c r="W774" s="143" t="str">
        <f t="shared" si="2"/>
        <v/>
      </c>
      <c r="X774" s="139" t="str">
        <f>IFERROR(__xludf.DUMMYFUNCTION("""COMPUTED_VALUE"""),"")</f>
        <v/>
      </c>
      <c r="Y774" s="141" t="str">
        <f>IFERROR(__xludf.DUMMYFUNCTION("""COMPUTED_VALUE"""),"")</f>
        <v/>
      </c>
    </row>
    <row r="775">
      <c r="C775" s="136" t="str">
        <f t="shared" si="3"/>
        <v/>
      </c>
      <c r="E775" s="106"/>
      <c r="G775" s="106" t="s">
        <v>133</v>
      </c>
      <c r="I775" s="139" t="s">
        <v>133</v>
      </c>
      <c r="J775" s="136" t="s">
        <v>133</v>
      </c>
      <c r="L775" s="136" t="str">
        <f t="shared" si="1"/>
        <v/>
      </c>
      <c r="N775" s="141" t="s">
        <v>133</v>
      </c>
      <c r="O775" s="136" t="str">
        <f>IFERROR(__xludf.DUMMYFUNCTION("""COMPUTED_VALUE"""),"")</f>
        <v/>
      </c>
      <c r="P775" s="136" t="str">
        <f>IFERROR(__xludf.DUMMYFUNCTION("""COMPUTED_VALUE"""),"")</f>
        <v/>
      </c>
      <c r="Q775" s="106" t="str">
        <f>IFERROR(__xludf.DUMMYFUNCTION("""COMPUTED_VALUE"""),"")</f>
        <v/>
      </c>
      <c r="R775" s="106" t="str">
        <f>IFERROR(__xludf.DUMMYFUNCTION("""COMPUTED_VALUE"""),"")</f>
        <v/>
      </c>
      <c r="S775" s="139" t="str">
        <f>IFERROR(__xludf.DUMMYFUNCTION("""COMPUTED_VALUE"""),"")</f>
        <v/>
      </c>
      <c r="T775" s="139" t="str">
        <f>IFERROR(__xludf.DUMMYFUNCTION("""COMPUTED_VALUE"""),"")</f>
        <v/>
      </c>
      <c r="U775" s="136" t="str">
        <f>IFERROR(__xludf.DUMMYFUNCTION("""COMPUTED_VALUE"""),"")</f>
        <v/>
      </c>
      <c r="V775" s="106" t="str">
        <f>IFERROR(__xludf.DUMMYFUNCTION("""COMPUTED_VALUE"""),"")</f>
        <v/>
      </c>
      <c r="W775" s="143" t="str">
        <f t="shared" si="2"/>
        <v/>
      </c>
      <c r="X775" s="139" t="str">
        <f>IFERROR(__xludf.DUMMYFUNCTION("""COMPUTED_VALUE"""),"")</f>
        <v/>
      </c>
      <c r="Y775" s="141" t="str">
        <f>IFERROR(__xludf.DUMMYFUNCTION("""COMPUTED_VALUE"""),"")</f>
        <v/>
      </c>
    </row>
    <row r="776">
      <c r="C776" s="136" t="str">
        <f t="shared" si="3"/>
        <v/>
      </c>
      <c r="E776" s="106"/>
      <c r="G776" s="106" t="s">
        <v>133</v>
      </c>
      <c r="I776" s="139" t="s">
        <v>133</v>
      </c>
      <c r="J776" s="136" t="s">
        <v>133</v>
      </c>
      <c r="L776" s="136" t="str">
        <f t="shared" si="1"/>
        <v/>
      </c>
      <c r="N776" s="141" t="s">
        <v>133</v>
      </c>
      <c r="O776" s="136" t="str">
        <f>IFERROR(__xludf.DUMMYFUNCTION("""COMPUTED_VALUE"""),"")</f>
        <v/>
      </c>
      <c r="P776" s="136" t="str">
        <f>IFERROR(__xludf.DUMMYFUNCTION("""COMPUTED_VALUE"""),"")</f>
        <v/>
      </c>
      <c r="Q776" s="106" t="str">
        <f>IFERROR(__xludf.DUMMYFUNCTION("""COMPUTED_VALUE"""),"")</f>
        <v/>
      </c>
      <c r="R776" s="106" t="str">
        <f>IFERROR(__xludf.DUMMYFUNCTION("""COMPUTED_VALUE"""),"")</f>
        <v/>
      </c>
      <c r="S776" s="139" t="str">
        <f>IFERROR(__xludf.DUMMYFUNCTION("""COMPUTED_VALUE"""),"")</f>
        <v/>
      </c>
      <c r="T776" s="139" t="str">
        <f>IFERROR(__xludf.DUMMYFUNCTION("""COMPUTED_VALUE"""),"")</f>
        <v/>
      </c>
      <c r="U776" s="136" t="str">
        <f>IFERROR(__xludf.DUMMYFUNCTION("""COMPUTED_VALUE"""),"")</f>
        <v/>
      </c>
      <c r="V776" s="106" t="str">
        <f>IFERROR(__xludf.DUMMYFUNCTION("""COMPUTED_VALUE"""),"")</f>
        <v/>
      </c>
      <c r="W776" s="143" t="str">
        <f t="shared" si="2"/>
        <v/>
      </c>
      <c r="X776" s="139" t="str">
        <f>IFERROR(__xludf.DUMMYFUNCTION("""COMPUTED_VALUE"""),"")</f>
        <v/>
      </c>
      <c r="Y776" s="141" t="str">
        <f>IFERROR(__xludf.DUMMYFUNCTION("""COMPUTED_VALUE"""),"")</f>
        <v/>
      </c>
    </row>
    <row r="777">
      <c r="C777" s="136" t="str">
        <f t="shared" si="3"/>
        <v/>
      </c>
      <c r="E777" s="106"/>
      <c r="G777" s="106" t="s">
        <v>133</v>
      </c>
      <c r="I777" s="139" t="s">
        <v>133</v>
      </c>
      <c r="J777" s="136" t="s">
        <v>133</v>
      </c>
      <c r="L777" s="136" t="str">
        <f t="shared" si="1"/>
        <v/>
      </c>
      <c r="N777" s="141" t="s">
        <v>133</v>
      </c>
      <c r="O777" s="136" t="str">
        <f>IFERROR(__xludf.DUMMYFUNCTION("""COMPUTED_VALUE"""),"")</f>
        <v/>
      </c>
      <c r="P777" s="136" t="str">
        <f>IFERROR(__xludf.DUMMYFUNCTION("""COMPUTED_VALUE"""),"")</f>
        <v/>
      </c>
      <c r="Q777" s="106" t="str">
        <f>IFERROR(__xludf.DUMMYFUNCTION("""COMPUTED_VALUE"""),"")</f>
        <v/>
      </c>
      <c r="R777" s="106" t="str">
        <f>IFERROR(__xludf.DUMMYFUNCTION("""COMPUTED_VALUE"""),"")</f>
        <v/>
      </c>
      <c r="S777" s="139" t="str">
        <f>IFERROR(__xludf.DUMMYFUNCTION("""COMPUTED_VALUE"""),"")</f>
        <v/>
      </c>
      <c r="T777" s="139" t="str">
        <f>IFERROR(__xludf.DUMMYFUNCTION("""COMPUTED_VALUE"""),"")</f>
        <v/>
      </c>
      <c r="U777" s="136" t="str">
        <f>IFERROR(__xludf.DUMMYFUNCTION("""COMPUTED_VALUE"""),"")</f>
        <v/>
      </c>
      <c r="V777" s="106" t="str">
        <f>IFERROR(__xludf.DUMMYFUNCTION("""COMPUTED_VALUE"""),"")</f>
        <v/>
      </c>
      <c r="W777" s="143" t="str">
        <f t="shared" si="2"/>
        <v/>
      </c>
      <c r="X777" s="139" t="str">
        <f>IFERROR(__xludf.DUMMYFUNCTION("""COMPUTED_VALUE"""),"")</f>
        <v/>
      </c>
      <c r="Y777" s="141" t="str">
        <f>IFERROR(__xludf.DUMMYFUNCTION("""COMPUTED_VALUE"""),"")</f>
        <v/>
      </c>
    </row>
    <row r="778">
      <c r="C778" s="136" t="str">
        <f t="shared" si="3"/>
        <v/>
      </c>
      <c r="E778" s="106"/>
      <c r="G778" s="106" t="s">
        <v>133</v>
      </c>
      <c r="I778" s="139" t="s">
        <v>133</v>
      </c>
      <c r="J778" s="136" t="s">
        <v>133</v>
      </c>
      <c r="L778" s="136" t="str">
        <f t="shared" si="1"/>
        <v/>
      </c>
      <c r="N778" s="141" t="s">
        <v>133</v>
      </c>
      <c r="O778" s="136" t="str">
        <f>IFERROR(__xludf.DUMMYFUNCTION("""COMPUTED_VALUE"""),"")</f>
        <v/>
      </c>
      <c r="P778" s="136" t="str">
        <f>IFERROR(__xludf.DUMMYFUNCTION("""COMPUTED_VALUE"""),"")</f>
        <v/>
      </c>
      <c r="Q778" s="106" t="str">
        <f>IFERROR(__xludf.DUMMYFUNCTION("""COMPUTED_VALUE"""),"")</f>
        <v/>
      </c>
      <c r="R778" s="106" t="str">
        <f>IFERROR(__xludf.DUMMYFUNCTION("""COMPUTED_VALUE"""),"")</f>
        <v/>
      </c>
      <c r="S778" s="139" t="str">
        <f>IFERROR(__xludf.DUMMYFUNCTION("""COMPUTED_VALUE"""),"")</f>
        <v/>
      </c>
      <c r="T778" s="139" t="str">
        <f>IFERROR(__xludf.DUMMYFUNCTION("""COMPUTED_VALUE"""),"")</f>
        <v/>
      </c>
      <c r="U778" s="136" t="str">
        <f>IFERROR(__xludf.DUMMYFUNCTION("""COMPUTED_VALUE"""),"")</f>
        <v/>
      </c>
      <c r="V778" s="106" t="str">
        <f>IFERROR(__xludf.DUMMYFUNCTION("""COMPUTED_VALUE"""),"")</f>
        <v/>
      </c>
      <c r="W778" s="143" t="str">
        <f t="shared" si="2"/>
        <v/>
      </c>
      <c r="X778" s="139" t="str">
        <f>IFERROR(__xludf.DUMMYFUNCTION("""COMPUTED_VALUE"""),"")</f>
        <v/>
      </c>
      <c r="Y778" s="141" t="str">
        <f>IFERROR(__xludf.DUMMYFUNCTION("""COMPUTED_VALUE"""),"")</f>
        <v/>
      </c>
    </row>
    <row r="779">
      <c r="C779" s="136" t="str">
        <f t="shared" si="3"/>
        <v/>
      </c>
      <c r="E779" s="106"/>
      <c r="G779" s="106" t="s">
        <v>133</v>
      </c>
      <c r="I779" s="139" t="s">
        <v>133</v>
      </c>
      <c r="J779" s="136" t="s">
        <v>133</v>
      </c>
      <c r="L779" s="136" t="str">
        <f t="shared" si="1"/>
        <v/>
      </c>
      <c r="N779" s="141" t="s">
        <v>133</v>
      </c>
      <c r="O779" s="136" t="str">
        <f>IFERROR(__xludf.DUMMYFUNCTION("""COMPUTED_VALUE"""),"")</f>
        <v/>
      </c>
      <c r="P779" s="136" t="str">
        <f>IFERROR(__xludf.DUMMYFUNCTION("""COMPUTED_VALUE"""),"")</f>
        <v/>
      </c>
      <c r="Q779" s="106" t="str">
        <f>IFERROR(__xludf.DUMMYFUNCTION("""COMPUTED_VALUE"""),"")</f>
        <v/>
      </c>
      <c r="R779" s="106" t="str">
        <f>IFERROR(__xludf.DUMMYFUNCTION("""COMPUTED_VALUE"""),"")</f>
        <v/>
      </c>
      <c r="S779" s="139" t="str">
        <f>IFERROR(__xludf.DUMMYFUNCTION("""COMPUTED_VALUE"""),"")</f>
        <v/>
      </c>
      <c r="T779" s="139" t="str">
        <f>IFERROR(__xludf.DUMMYFUNCTION("""COMPUTED_VALUE"""),"")</f>
        <v/>
      </c>
      <c r="U779" s="136" t="str">
        <f>IFERROR(__xludf.DUMMYFUNCTION("""COMPUTED_VALUE"""),"")</f>
        <v/>
      </c>
      <c r="V779" s="106" t="str">
        <f>IFERROR(__xludf.DUMMYFUNCTION("""COMPUTED_VALUE"""),"")</f>
        <v/>
      </c>
      <c r="W779" s="143" t="str">
        <f t="shared" si="2"/>
        <v/>
      </c>
      <c r="X779" s="139" t="str">
        <f>IFERROR(__xludf.DUMMYFUNCTION("""COMPUTED_VALUE"""),"")</f>
        <v/>
      </c>
      <c r="Y779" s="141" t="str">
        <f>IFERROR(__xludf.DUMMYFUNCTION("""COMPUTED_VALUE"""),"")</f>
        <v/>
      </c>
    </row>
    <row r="780">
      <c r="C780" s="136" t="str">
        <f t="shared" si="3"/>
        <v/>
      </c>
      <c r="E780" s="106"/>
      <c r="G780" s="106" t="s">
        <v>133</v>
      </c>
      <c r="I780" s="139" t="s">
        <v>133</v>
      </c>
      <c r="J780" s="136" t="s">
        <v>133</v>
      </c>
      <c r="L780" s="136" t="str">
        <f t="shared" si="1"/>
        <v/>
      </c>
      <c r="N780" s="141" t="s">
        <v>133</v>
      </c>
      <c r="O780" s="136" t="str">
        <f>IFERROR(__xludf.DUMMYFUNCTION("""COMPUTED_VALUE"""),"")</f>
        <v/>
      </c>
      <c r="P780" s="136" t="str">
        <f>IFERROR(__xludf.DUMMYFUNCTION("""COMPUTED_VALUE"""),"")</f>
        <v/>
      </c>
      <c r="Q780" s="106" t="str">
        <f>IFERROR(__xludf.DUMMYFUNCTION("""COMPUTED_VALUE"""),"")</f>
        <v/>
      </c>
      <c r="R780" s="106" t="str">
        <f>IFERROR(__xludf.DUMMYFUNCTION("""COMPUTED_VALUE"""),"")</f>
        <v/>
      </c>
      <c r="S780" s="139" t="str">
        <f>IFERROR(__xludf.DUMMYFUNCTION("""COMPUTED_VALUE"""),"")</f>
        <v/>
      </c>
      <c r="T780" s="139" t="str">
        <f>IFERROR(__xludf.DUMMYFUNCTION("""COMPUTED_VALUE"""),"")</f>
        <v/>
      </c>
      <c r="U780" s="136" t="str">
        <f>IFERROR(__xludf.DUMMYFUNCTION("""COMPUTED_VALUE"""),"")</f>
        <v/>
      </c>
      <c r="V780" s="106" t="str">
        <f>IFERROR(__xludf.DUMMYFUNCTION("""COMPUTED_VALUE"""),"")</f>
        <v/>
      </c>
      <c r="W780" s="143" t="str">
        <f t="shared" si="2"/>
        <v/>
      </c>
      <c r="X780" s="139" t="str">
        <f>IFERROR(__xludf.DUMMYFUNCTION("""COMPUTED_VALUE"""),"")</f>
        <v/>
      </c>
      <c r="Y780" s="141" t="str">
        <f>IFERROR(__xludf.DUMMYFUNCTION("""COMPUTED_VALUE"""),"")</f>
        <v/>
      </c>
    </row>
    <row r="781">
      <c r="C781" s="136" t="str">
        <f t="shared" si="3"/>
        <v/>
      </c>
      <c r="E781" s="106"/>
      <c r="G781" s="106" t="s">
        <v>133</v>
      </c>
      <c r="I781" s="139" t="s">
        <v>133</v>
      </c>
      <c r="J781" s="136" t="s">
        <v>133</v>
      </c>
      <c r="L781" s="136" t="str">
        <f t="shared" si="1"/>
        <v/>
      </c>
      <c r="N781" s="141" t="s">
        <v>133</v>
      </c>
      <c r="O781" s="136" t="str">
        <f>IFERROR(__xludf.DUMMYFUNCTION("""COMPUTED_VALUE"""),"")</f>
        <v/>
      </c>
      <c r="P781" s="136" t="str">
        <f>IFERROR(__xludf.DUMMYFUNCTION("""COMPUTED_VALUE"""),"")</f>
        <v/>
      </c>
      <c r="Q781" s="106" t="str">
        <f>IFERROR(__xludf.DUMMYFUNCTION("""COMPUTED_VALUE"""),"")</f>
        <v/>
      </c>
      <c r="R781" s="106" t="str">
        <f>IFERROR(__xludf.DUMMYFUNCTION("""COMPUTED_VALUE"""),"")</f>
        <v/>
      </c>
      <c r="S781" s="139" t="str">
        <f>IFERROR(__xludf.DUMMYFUNCTION("""COMPUTED_VALUE"""),"")</f>
        <v/>
      </c>
      <c r="T781" s="139" t="str">
        <f>IFERROR(__xludf.DUMMYFUNCTION("""COMPUTED_VALUE"""),"")</f>
        <v/>
      </c>
      <c r="U781" s="136" t="str">
        <f>IFERROR(__xludf.DUMMYFUNCTION("""COMPUTED_VALUE"""),"")</f>
        <v/>
      </c>
      <c r="V781" s="106" t="str">
        <f>IFERROR(__xludf.DUMMYFUNCTION("""COMPUTED_VALUE"""),"")</f>
        <v/>
      </c>
      <c r="W781" s="143" t="str">
        <f t="shared" si="2"/>
        <v/>
      </c>
      <c r="X781" s="139" t="str">
        <f>IFERROR(__xludf.DUMMYFUNCTION("""COMPUTED_VALUE"""),"")</f>
        <v/>
      </c>
      <c r="Y781" s="141" t="str">
        <f>IFERROR(__xludf.DUMMYFUNCTION("""COMPUTED_VALUE"""),"")</f>
        <v/>
      </c>
    </row>
    <row r="782">
      <c r="C782" s="136" t="str">
        <f t="shared" si="3"/>
        <v/>
      </c>
      <c r="E782" s="106"/>
      <c r="G782" s="106" t="s">
        <v>133</v>
      </c>
      <c r="I782" s="139" t="s">
        <v>133</v>
      </c>
      <c r="J782" s="136" t="s">
        <v>133</v>
      </c>
      <c r="L782" s="136" t="str">
        <f t="shared" si="1"/>
        <v/>
      </c>
      <c r="N782" s="141" t="s">
        <v>133</v>
      </c>
      <c r="O782" s="136" t="str">
        <f>IFERROR(__xludf.DUMMYFUNCTION("""COMPUTED_VALUE"""),"")</f>
        <v/>
      </c>
      <c r="P782" s="136" t="str">
        <f>IFERROR(__xludf.DUMMYFUNCTION("""COMPUTED_VALUE"""),"")</f>
        <v/>
      </c>
      <c r="Q782" s="106" t="str">
        <f>IFERROR(__xludf.DUMMYFUNCTION("""COMPUTED_VALUE"""),"")</f>
        <v/>
      </c>
      <c r="R782" s="106" t="str">
        <f>IFERROR(__xludf.DUMMYFUNCTION("""COMPUTED_VALUE"""),"")</f>
        <v/>
      </c>
      <c r="S782" s="139" t="str">
        <f>IFERROR(__xludf.DUMMYFUNCTION("""COMPUTED_VALUE"""),"")</f>
        <v/>
      </c>
      <c r="T782" s="139" t="str">
        <f>IFERROR(__xludf.DUMMYFUNCTION("""COMPUTED_VALUE"""),"")</f>
        <v/>
      </c>
      <c r="U782" s="136" t="str">
        <f>IFERROR(__xludf.DUMMYFUNCTION("""COMPUTED_VALUE"""),"")</f>
        <v/>
      </c>
      <c r="V782" s="106" t="str">
        <f>IFERROR(__xludf.DUMMYFUNCTION("""COMPUTED_VALUE"""),"")</f>
        <v/>
      </c>
      <c r="W782" s="143" t="str">
        <f t="shared" si="2"/>
        <v/>
      </c>
      <c r="X782" s="139" t="str">
        <f>IFERROR(__xludf.DUMMYFUNCTION("""COMPUTED_VALUE"""),"")</f>
        <v/>
      </c>
      <c r="Y782" s="141" t="str">
        <f>IFERROR(__xludf.DUMMYFUNCTION("""COMPUTED_VALUE"""),"")</f>
        <v/>
      </c>
    </row>
    <row r="783">
      <c r="C783" s="136" t="str">
        <f t="shared" si="3"/>
        <v/>
      </c>
      <c r="E783" s="106"/>
      <c r="G783" s="106" t="s">
        <v>133</v>
      </c>
      <c r="I783" s="139" t="s">
        <v>133</v>
      </c>
      <c r="J783" s="136" t="s">
        <v>133</v>
      </c>
      <c r="L783" s="136" t="str">
        <f t="shared" si="1"/>
        <v/>
      </c>
      <c r="N783" s="141" t="s">
        <v>133</v>
      </c>
      <c r="O783" s="136" t="str">
        <f>IFERROR(__xludf.DUMMYFUNCTION("""COMPUTED_VALUE"""),"")</f>
        <v/>
      </c>
      <c r="P783" s="136" t="str">
        <f>IFERROR(__xludf.DUMMYFUNCTION("""COMPUTED_VALUE"""),"")</f>
        <v/>
      </c>
      <c r="Q783" s="106" t="str">
        <f>IFERROR(__xludf.DUMMYFUNCTION("""COMPUTED_VALUE"""),"")</f>
        <v/>
      </c>
      <c r="R783" s="106" t="str">
        <f>IFERROR(__xludf.DUMMYFUNCTION("""COMPUTED_VALUE"""),"")</f>
        <v/>
      </c>
      <c r="S783" s="139" t="str">
        <f>IFERROR(__xludf.DUMMYFUNCTION("""COMPUTED_VALUE"""),"")</f>
        <v/>
      </c>
      <c r="T783" s="139" t="str">
        <f>IFERROR(__xludf.DUMMYFUNCTION("""COMPUTED_VALUE"""),"")</f>
        <v/>
      </c>
      <c r="U783" s="136" t="str">
        <f>IFERROR(__xludf.DUMMYFUNCTION("""COMPUTED_VALUE"""),"")</f>
        <v/>
      </c>
      <c r="V783" s="106" t="str">
        <f>IFERROR(__xludf.DUMMYFUNCTION("""COMPUTED_VALUE"""),"")</f>
        <v/>
      </c>
      <c r="W783" s="143" t="str">
        <f t="shared" si="2"/>
        <v/>
      </c>
      <c r="X783" s="139" t="str">
        <f>IFERROR(__xludf.DUMMYFUNCTION("""COMPUTED_VALUE"""),"")</f>
        <v/>
      </c>
      <c r="Y783" s="141" t="str">
        <f>IFERROR(__xludf.DUMMYFUNCTION("""COMPUTED_VALUE"""),"")</f>
        <v/>
      </c>
    </row>
    <row r="784">
      <c r="C784" s="136" t="str">
        <f t="shared" si="3"/>
        <v/>
      </c>
      <c r="E784" s="106"/>
      <c r="G784" s="106" t="s">
        <v>133</v>
      </c>
      <c r="I784" s="139" t="s">
        <v>133</v>
      </c>
      <c r="J784" s="136" t="s">
        <v>133</v>
      </c>
      <c r="L784" s="136" t="str">
        <f t="shared" si="1"/>
        <v/>
      </c>
      <c r="N784" s="141" t="s">
        <v>133</v>
      </c>
      <c r="O784" s="136" t="str">
        <f>IFERROR(__xludf.DUMMYFUNCTION("""COMPUTED_VALUE"""),"")</f>
        <v/>
      </c>
      <c r="P784" s="136" t="str">
        <f>IFERROR(__xludf.DUMMYFUNCTION("""COMPUTED_VALUE"""),"")</f>
        <v/>
      </c>
      <c r="Q784" s="106" t="str">
        <f>IFERROR(__xludf.DUMMYFUNCTION("""COMPUTED_VALUE"""),"")</f>
        <v/>
      </c>
      <c r="R784" s="106" t="str">
        <f>IFERROR(__xludf.DUMMYFUNCTION("""COMPUTED_VALUE"""),"")</f>
        <v/>
      </c>
      <c r="S784" s="139" t="str">
        <f>IFERROR(__xludf.DUMMYFUNCTION("""COMPUTED_VALUE"""),"")</f>
        <v/>
      </c>
      <c r="T784" s="139" t="str">
        <f>IFERROR(__xludf.DUMMYFUNCTION("""COMPUTED_VALUE"""),"")</f>
        <v/>
      </c>
      <c r="U784" s="136" t="str">
        <f>IFERROR(__xludf.DUMMYFUNCTION("""COMPUTED_VALUE"""),"")</f>
        <v/>
      </c>
      <c r="V784" s="106" t="str">
        <f>IFERROR(__xludf.DUMMYFUNCTION("""COMPUTED_VALUE"""),"")</f>
        <v/>
      </c>
      <c r="W784" s="143" t="str">
        <f t="shared" si="2"/>
        <v/>
      </c>
      <c r="X784" s="139" t="str">
        <f>IFERROR(__xludf.DUMMYFUNCTION("""COMPUTED_VALUE"""),"")</f>
        <v/>
      </c>
      <c r="Y784" s="141" t="str">
        <f>IFERROR(__xludf.DUMMYFUNCTION("""COMPUTED_VALUE"""),"")</f>
        <v/>
      </c>
    </row>
    <row r="785">
      <c r="C785" s="136" t="str">
        <f t="shared" si="3"/>
        <v/>
      </c>
      <c r="E785" s="106"/>
      <c r="G785" s="106" t="s">
        <v>133</v>
      </c>
      <c r="I785" s="139" t="s">
        <v>133</v>
      </c>
      <c r="J785" s="136" t="s">
        <v>133</v>
      </c>
      <c r="L785" s="136" t="str">
        <f t="shared" si="1"/>
        <v/>
      </c>
      <c r="N785" s="141" t="s">
        <v>133</v>
      </c>
      <c r="O785" s="136" t="str">
        <f>IFERROR(__xludf.DUMMYFUNCTION("""COMPUTED_VALUE"""),"")</f>
        <v/>
      </c>
      <c r="P785" s="136" t="str">
        <f>IFERROR(__xludf.DUMMYFUNCTION("""COMPUTED_VALUE"""),"")</f>
        <v/>
      </c>
      <c r="Q785" s="106" t="str">
        <f>IFERROR(__xludf.DUMMYFUNCTION("""COMPUTED_VALUE"""),"")</f>
        <v/>
      </c>
      <c r="R785" s="106" t="str">
        <f>IFERROR(__xludf.DUMMYFUNCTION("""COMPUTED_VALUE"""),"")</f>
        <v/>
      </c>
      <c r="S785" s="139" t="str">
        <f>IFERROR(__xludf.DUMMYFUNCTION("""COMPUTED_VALUE"""),"")</f>
        <v/>
      </c>
      <c r="T785" s="139" t="str">
        <f>IFERROR(__xludf.DUMMYFUNCTION("""COMPUTED_VALUE"""),"")</f>
        <v/>
      </c>
      <c r="U785" s="136" t="str">
        <f>IFERROR(__xludf.DUMMYFUNCTION("""COMPUTED_VALUE"""),"")</f>
        <v/>
      </c>
      <c r="V785" s="106" t="str">
        <f>IFERROR(__xludf.DUMMYFUNCTION("""COMPUTED_VALUE"""),"")</f>
        <v/>
      </c>
      <c r="W785" s="143" t="str">
        <f t="shared" si="2"/>
        <v/>
      </c>
      <c r="X785" s="139" t="str">
        <f>IFERROR(__xludf.DUMMYFUNCTION("""COMPUTED_VALUE"""),"")</f>
        <v/>
      </c>
      <c r="Y785" s="141" t="str">
        <f>IFERROR(__xludf.DUMMYFUNCTION("""COMPUTED_VALUE"""),"")</f>
        <v/>
      </c>
    </row>
    <row r="786">
      <c r="C786" s="136" t="str">
        <f t="shared" si="3"/>
        <v/>
      </c>
      <c r="E786" s="106"/>
      <c r="G786" s="106" t="s">
        <v>133</v>
      </c>
      <c r="I786" s="139" t="s">
        <v>133</v>
      </c>
      <c r="J786" s="136" t="s">
        <v>133</v>
      </c>
      <c r="L786" s="136" t="str">
        <f t="shared" si="1"/>
        <v/>
      </c>
      <c r="N786" s="141" t="s">
        <v>133</v>
      </c>
      <c r="O786" s="136" t="str">
        <f>IFERROR(__xludf.DUMMYFUNCTION("""COMPUTED_VALUE"""),"")</f>
        <v/>
      </c>
      <c r="P786" s="136" t="str">
        <f>IFERROR(__xludf.DUMMYFUNCTION("""COMPUTED_VALUE"""),"")</f>
        <v/>
      </c>
      <c r="Q786" s="106" t="str">
        <f>IFERROR(__xludf.DUMMYFUNCTION("""COMPUTED_VALUE"""),"")</f>
        <v/>
      </c>
      <c r="R786" s="106" t="str">
        <f>IFERROR(__xludf.DUMMYFUNCTION("""COMPUTED_VALUE"""),"")</f>
        <v/>
      </c>
      <c r="S786" s="139" t="str">
        <f>IFERROR(__xludf.DUMMYFUNCTION("""COMPUTED_VALUE"""),"")</f>
        <v/>
      </c>
      <c r="T786" s="139" t="str">
        <f>IFERROR(__xludf.DUMMYFUNCTION("""COMPUTED_VALUE"""),"")</f>
        <v/>
      </c>
      <c r="U786" s="136" t="str">
        <f>IFERROR(__xludf.DUMMYFUNCTION("""COMPUTED_VALUE"""),"")</f>
        <v/>
      </c>
      <c r="V786" s="106" t="str">
        <f>IFERROR(__xludf.DUMMYFUNCTION("""COMPUTED_VALUE"""),"")</f>
        <v/>
      </c>
      <c r="W786" s="143" t="str">
        <f t="shared" si="2"/>
        <v/>
      </c>
      <c r="X786" s="139" t="str">
        <f>IFERROR(__xludf.DUMMYFUNCTION("""COMPUTED_VALUE"""),"")</f>
        <v/>
      </c>
      <c r="Y786" s="141" t="str">
        <f>IFERROR(__xludf.DUMMYFUNCTION("""COMPUTED_VALUE"""),"")</f>
        <v/>
      </c>
    </row>
    <row r="787">
      <c r="C787" s="136" t="str">
        <f t="shared" si="3"/>
        <v/>
      </c>
      <c r="E787" s="106"/>
      <c r="G787" s="106" t="s">
        <v>133</v>
      </c>
      <c r="I787" s="139" t="s">
        <v>133</v>
      </c>
      <c r="J787" s="136" t="s">
        <v>133</v>
      </c>
      <c r="L787" s="136" t="str">
        <f t="shared" si="1"/>
        <v/>
      </c>
      <c r="N787" s="141" t="s">
        <v>133</v>
      </c>
      <c r="O787" s="136" t="str">
        <f>IFERROR(__xludf.DUMMYFUNCTION("""COMPUTED_VALUE"""),"")</f>
        <v/>
      </c>
      <c r="P787" s="136" t="str">
        <f>IFERROR(__xludf.DUMMYFUNCTION("""COMPUTED_VALUE"""),"")</f>
        <v/>
      </c>
      <c r="Q787" s="106" t="str">
        <f>IFERROR(__xludf.DUMMYFUNCTION("""COMPUTED_VALUE"""),"")</f>
        <v/>
      </c>
      <c r="R787" s="106" t="str">
        <f>IFERROR(__xludf.DUMMYFUNCTION("""COMPUTED_VALUE"""),"")</f>
        <v/>
      </c>
      <c r="S787" s="139" t="str">
        <f>IFERROR(__xludf.DUMMYFUNCTION("""COMPUTED_VALUE"""),"")</f>
        <v/>
      </c>
      <c r="T787" s="139" t="str">
        <f>IFERROR(__xludf.DUMMYFUNCTION("""COMPUTED_VALUE"""),"")</f>
        <v/>
      </c>
      <c r="U787" s="136" t="str">
        <f>IFERROR(__xludf.DUMMYFUNCTION("""COMPUTED_VALUE"""),"")</f>
        <v/>
      </c>
      <c r="V787" s="106" t="str">
        <f>IFERROR(__xludf.DUMMYFUNCTION("""COMPUTED_VALUE"""),"")</f>
        <v/>
      </c>
      <c r="W787" s="143" t="str">
        <f t="shared" si="2"/>
        <v/>
      </c>
      <c r="X787" s="139" t="str">
        <f>IFERROR(__xludf.DUMMYFUNCTION("""COMPUTED_VALUE"""),"")</f>
        <v/>
      </c>
      <c r="Y787" s="141" t="str">
        <f>IFERROR(__xludf.DUMMYFUNCTION("""COMPUTED_VALUE"""),"")</f>
        <v/>
      </c>
    </row>
    <row r="788">
      <c r="C788" s="136" t="str">
        <f t="shared" si="3"/>
        <v/>
      </c>
      <c r="E788" s="106"/>
      <c r="G788" s="106" t="s">
        <v>133</v>
      </c>
      <c r="I788" s="139" t="s">
        <v>133</v>
      </c>
      <c r="J788" s="136" t="s">
        <v>133</v>
      </c>
      <c r="L788" s="136" t="str">
        <f t="shared" si="1"/>
        <v/>
      </c>
      <c r="N788" s="141" t="s">
        <v>133</v>
      </c>
      <c r="O788" s="136" t="str">
        <f>IFERROR(__xludf.DUMMYFUNCTION("""COMPUTED_VALUE"""),"")</f>
        <v/>
      </c>
      <c r="P788" s="136" t="str">
        <f>IFERROR(__xludf.DUMMYFUNCTION("""COMPUTED_VALUE"""),"")</f>
        <v/>
      </c>
      <c r="Q788" s="106" t="str">
        <f>IFERROR(__xludf.DUMMYFUNCTION("""COMPUTED_VALUE"""),"")</f>
        <v/>
      </c>
      <c r="R788" s="106" t="str">
        <f>IFERROR(__xludf.DUMMYFUNCTION("""COMPUTED_VALUE"""),"")</f>
        <v/>
      </c>
      <c r="S788" s="139" t="str">
        <f>IFERROR(__xludf.DUMMYFUNCTION("""COMPUTED_VALUE"""),"")</f>
        <v/>
      </c>
      <c r="T788" s="139" t="str">
        <f>IFERROR(__xludf.DUMMYFUNCTION("""COMPUTED_VALUE"""),"")</f>
        <v/>
      </c>
      <c r="U788" s="136" t="str">
        <f>IFERROR(__xludf.DUMMYFUNCTION("""COMPUTED_VALUE"""),"")</f>
        <v/>
      </c>
      <c r="V788" s="106" t="str">
        <f>IFERROR(__xludf.DUMMYFUNCTION("""COMPUTED_VALUE"""),"")</f>
        <v/>
      </c>
      <c r="W788" s="143" t="str">
        <f t="shared" si="2"/>
        <v/>
      </c>
      <c r="X788" s="139" t="str">
        <f>IFERROR(__xludf.DUMMYFUNCTION("""COMPUTED_VALUE"""),"")</f>
        <v/>
      </c>
      <c r="Y788" s="141" t="str">
        <f>IFERROR(__xludf.DUMMYFUNCTION("""COMPUTED_VALUE"""),"")</f>
        <v/>
      </c>
    </row>
    <row r="789">
      <c r="C789" s="136" t="str">
        <f t="shared" si="3"/>
        <v/>
      </c>
      <c r="E789" s="106"/>
      <c r="G789" s="106" t="s">
        <v>133</v>
      </c>
      <c r="I789" s="139" t="s">
        <v>133</v>
      </c>
      <c r="J789" s="136" t="s">
        <v>133</v>
      </c>
      <c r="L789" s="136" t="str">
        <f t="shared" si="1"/>
        <v/>
      </c>
      <c r="N789" s="141" t="s">
        <v>133</v>
      </c>
      <c r="O789" s="136" t="str">
        <f>IFERROR(__xludf.DUMMYFUNCTION("""COMPUTED_VALUE"""),"")</f>
        <v/>
      </c>
      <c r="P789" s="136" t="str">
        <f>IFERROR(__xludf.DUMMYFUNCTION("""COMPUTED_VALUE"""),"")</f>
        <v/>
      </c>
      <c r="Q789" s="106" t="str">
        <f>IFERROR(__xludf.DUMMYFUNCTION("""COMPUTED_VALUE"""),"")</f>
        <v/>
      </c>
      <c r="R789" s="106" t="str">
        <f>IFERROR(__xludf.DUMMYFUNCTION("""COMPUTED_VALUE"""),"")</f>
        <v/>
      </c>
      <c r="S789" s="139" t="str">
        <f>IFERROR(__xludf.DUMMYFUNCTION("""COMPUTED_VALUE"""),"")</f>
        <v/>
      </c>
      <c r="T789" s="139" t="str">
        <f>IFERROR(__xludf.DUMMYFUNCTION("""COMPUTED_VALUE"""),"")</f>
        <v/>
      </c>
      <c r="U789" s="136" t="str">
        <f>IFERROR(__xludf.DUMMYFUNCTION("""COMPUTED_VALUE"""),"")</f>
        <v/>
      </c>
      <c r="V789" s="106" t="str">
        <f>IFERROR(__xludf.DUMMYFUNCTION("""COMPUTED_VALUE"""),"")</f>
        <v/>
      </c>
      <c r="W789" s="143" t="str">
        <f t="shared" si="2"/>
        <v/>
      </c>
      <c r="X789" s="139" t="str">
        <f>IFERROR(__xludf.DUMMYFUNCTION("""COMPUTED_VALUE"""),"")</f>
        <v/>
      </c>
      <c r="Y789" s="141" t="str">
        <f>IFERROR(__xludf.DUMMYFUNCTION("""COMPUTED_VALUE"""),"")</f>
        <v/>
      </c>
    </row>
    <row r="790">
      <c r="C790" s="136" t="str">
        <f t="shared" si="3"/>
        <v/>
      </c>
      <c r="E790" s="106"/>
      <c r="G790" s="106" t="s">
        <v>133</v>
      </c>
      <c r="I790" s="139" t="s">
        <v>133</v>
      </c>
      <c r="J790" s="136" t="s">
        <v>133</v>
      </c>
      <c r="L790" s="136" t="str">
        <f t="shared" si="1"/>
        <v/>
      </c>
      <c r="N790" s="141" t="s">
        <v>133</v>
      </c>
      <c r="O790" s="136" t="str">
        <f>IFERROR(__xludf.DUMMYFUNCTION("""COMPUTED_VALUE"""),"")</f>
        <v/>
      </c>
      <c r="P790" s="136" t="str">
        <f>IFERROR(__xludf.DUMMYFUNCTION("""COMPUTED_VALUE"""),"")</f>
        <v/>
      </c>
      <c r="Q790" s="106" t="str">
        <f>IFERROR(__xludf.DUMMYFUNCTION("""COMPUTED_VALUE"""),"")</f>
        <v/>
      </c>
      <c r="R790" s="106" t="str">
        <f>IFERROR(__xludf.DUMMYFUNCTION("""COMPUTED_VALUE"""),"")</f>
        <v/>
      </c>
      <c r="S790" s="139" t="str">
        <f>IFERROR(__xludf.DUMMYFUNCTION("""COMPUTED_VALUE"""),"")</f>
        <v/>
      </c>
      <c r="T790" s="139" t="str">
        <f>IFERROR(__xludf.DUMMYFUNCTION("""COMPUTED_VALUE"""),"")</f>
        <v/>
      </c>
      <c r="U790" s="136" t="str">
        <f>IFERROR(__xludf.DUMMYFUNCTION("""COMPUTED_VALUE"""),"")</f>
        <v/>
      </c>
      <c r="V790" s="106" t="str">
        <f>IFERROR(__xludf.DUMMYFUNCTION("""COMPUTED_VALUE"""),"")</f>
        <v/>
      </c>
      <c r="W790" s="143" t="str">
        <f t="shared" si="2"/>
        <v/>
      </c>
      <c r="X790" s="139" t="str">
        <f>IFERROR(__xludf.DUMMYFUNCTION("""COMPUTED_VALUE"""),"")</f>
        <v/>
      </c>
      <c r="Y790" s="141" t="str">
        <f>IFERROR(__xludf.DUMMYFUNCTION("""COMPUTED_VALUE"""),"")</f>
        <v/>
      </c>
    </row>
    <row r="791">
      <c r="C791" s="136" t="str">
        <f t="shared" si="3"/>
        <v/>
      </c>
      <c r="E791" s="106"/>
      <c r="G791" s="106" t="s">
        <v>133</v>
      </c>
      <c r="I791" s="139" t="s">
        <v>133</v>
      </c>
      <c r="J791" s="136" t="s">
        <v>133</v>
      </c>
      <c r="L791" s="136" t="str">
        <f t="shared" si="1"/>
        <v/>
      </c>
      <c r="N791" s="141" t="s">
        <v>133</v>
      </c>
      <c r="O791" s="136" t="str">
        <f>IFERROR(__xludf.DUMMYFUNCTION("""COMPUTED_VALUE"""),"")</f>
        <v/>
      </c>
      <c r="P791" s="136" t="str">
        <f>IFERROR(__xludf.DUMMYFUNCTION("""COMPUTED_VALUE"""),"")</f>
        <v/>
      </c>
      <c r="Q791" s="106" t="str">
        <f>IFERROR(__xludf.DUMMYFUNCTION("""COMPUTED_VALUE"""),"")</f>
        <v/>
      </c>
      <c r="R791" s="106" t="str">
        <f>IFERROR(__xludf.DUMMYFUNCTION("""COMPUTED_VALUE"""),"")</f>
        <v/>
      </c>
      <c r="S791" s="139" t="str">
        <f>IFERROR(__xludf.DUMMYFUNCTION("""COMPUTED_VALUE"""),"")</f>
        <v/>
      </c>
      <c r="T791" s="139" t="str">
        <f>IFERROR(__xludf.DUMMYFUNCTION("""COMPUTED_VALUE"""),"")</f>
        <v/>
      </c>
      <c r="U791" s="136" t="str">
        <f>IFERROR(__xludf.DUMMYFUNCTION("""COMPUTED_VALUE"""),"")</f>
        <v/>
      </c>
      <c r="V791" s="106" t="str">
        <f>IFERROR(__xludf.DUMMYFUNCTION("""COMPUTED_VALUE"""),"")</f>
        <v/>
      </c>
      <c r="W791" s="143" t="str">
        <f t="shared" si="2"/>
        <v/>
      </c>
      <c r="X791" s="139" t="str">
        <f>IFERROR(__xludf.DUMMYFUNCTION("""COMPUTED_VALUE"""),"")</f>
        <v/>
      </c>
      <c r="Y791" s="141" t="str">
        <f>IFERROR(__xludf.DUMMYFUNCTION("""COMPUTED_VALUE"""),"")</f>
        <v/>
      </c>
    </row>
    <row r="792">
      <c r="C792" s="136" t="str">
        <f t="shared" si="3"/>
        <v/>
      </c>
      <c r="E792" s="106"/>
      <c r="G792" s="106" t="s">
        <v>133</v>
      </c>
      <c r="I792" s="139" t="s">
        <v>133</v>
      </c>
      <c r="J792" s="136" t="s">
        <v>133</v>
      </c>
      <c r="L792" s="136" t="str">
        <f t="shared" si="1"/>
        <v/>
      </c>
      <c r="N792" s="141" t="s">
        <v>133</v>
      </c>
      <c r="O792" s="136" t="str">
        <f>IFERROR(__xludf.DUMMYFUNCTION("""COMPUTED_VALUE"""),"")</f>
        <v/>
      </c>
      <c r="P792" s="136" t="str">
        <f>IFERROR(__xludf.DUMMYFUNCTION("""COMPUTED_VALUE"""),"")</f>
        <v/>
      </c>
      <c r="Q792" s="106" t="str">
        <f>IFERROR(__xludf.DUMMYFUNCTION("""COMPUTED_VALUE"""),"")</f>
        <v/>
      </c>
      <c r="R792" s="106" t="str">
        <f>IFERROR(__xludf.DUMMYFUNCTION("""COMPUTED_VALUE"""),"")</f>
        <v/>
      </c>
      <c r="S792" s="139" t="str">
        <f>IFERROR(__xludf.DUMMYFUNCTION("""COMPUTED_VALUE"""),"")</f>
        <v/>
      </c>
      <c r="T792" s="139" t="str">
        <f>IFERROR(__xludf.DUMMYFUNCTION("""COMPUTED_VALUE"""),"")</f>
        <v/>
      </c>
      <c r="U792" s="136" t="str">
        <f>IFERROR(__xludf.DUMMYFUNCTION("""COMPUTED_VALUE"""),"")</f>
        <v/>
      </c>
      <c r="V792" s="106" t="str">
        <f>IFERROR(__xludf.DUMMYFUNCTION("""COMPUTED_VALUE"""),"")</f>
        <v/>
      </c>
      <c r="W792" s="143" t="str">
        <f t="shared" si="2"/>
        <v/>
      </c>
      <c r="X792" s="139" t="str">
        <f>IFERROR(__xludf.DUMMYFUNCTION("""COMPUTED_VALUE"""),"")</f>
        <v/>
      </c>
      <c r="Y792" s="141" t="str">
        <f>IFERROR(__xludf.DUMMYFUNCTION("""COMPUTED_VALUE"""),"")</f>
        <v/>
      </c>
    </row>
    <row r="793">
      <c r="C793" s="136" t="str">
        <f t="shared" si="3"/>
        <v/>
      </c>
      <c r="E793" s="106"/>
      <c r="G793" s="106" t="s">
        <v>133</v>
      </c>
      <c r="I793" s="139" t="s">
        <v>133</v>
      </c>
      <c r="J793" s="136" t="s">
        <v>133</v>
      </c>
      <c r="L793" s="136" t="str">
        <f t="shared" si="1"/>
        <v/>
      </c>
      <c r="N793" s="141" t="s">
        <v>133</v>
      </c>
      <c r="O793" s="136" t="str">
        <f>IFERROR(__xludf.DUMMYFUNCTION("""COMPUTED_VALUE"""),"")</f>
        <v/>
      </c>
      <c r="P793" s="136" t="str">
        <f>IFERROR(__xludf.DUMMYFUNCTION("""COMPUTED_VALUE"""),"")</f>
        <v/>
      </c>
      <c r="Q793" s="106" t="str">
        <f>IFERROR(__xludf.DUMMYFUNCTION("""COMPUTED_VALUE"""),"")</f>
        <v/>
      </c>
      <c r="R793" s="106" t="str">
        <f>IFERROR(__xludf.DUMMYFUNCTION("""COMPUTED_VALUE"""),"")</f>
        <v/>
      </c>
      <c r="S793" s="139" t="str">
        <f>IFERROR(__xludf.DUMMYFUNCTION("""COMPUTED_VALUE"""),"")</f>
        <v/>
      </c>
      <c r="T793" s="139" t="str">
        <f>IFERROR(__xludf.DUMMYFUNCTION("""COMPUTED_VALUE"""),"")</f>
        <v/>
      </c>
      <c r="U793" s="136" t="str">
        <f>IFERROR(__xludf.DUMMYFUNCTION("""COMPUTED_VALUE"""),"")</f>
        <v/>
      </c>
      <c r="V793" s="106" t="str">
        <f>IFERROR(__xludf.DUMMYFUNCTION("""COMPUTED_VALUE"""),"")</f>
        <v/>
      </c>
      <c r="W793" s="143" t="str">
        <f t="shared" si="2"/>
        <v/>
      </c>
      <c r="X793" s="139" t="str">
        <f>IFERROR(__xludf.DUMMYFUNCTION("""COMPUTED_VALUE"""),"")</f>
        <v/>
      </c>
      <c r="Y793" s="141" t="str">
        <f>IFERROR(__xludf.DUMMYFUNCTION("""COMPUTED_VALUE"""),"")</f>
        <v/>
      </c>
    </row>
    <row r="794">
      <c r="C794" s="136" t="str">
        <f t="shared" si="3"/>
        <v/>
      </c>
      <c r="E794" s="106"/>
      <c r="G794" s="106" t="s">
        <v>133</v>
      </c>
      <c r="I794" s="139" t="s">
        <v>133</v>
      </c>
      <c r="J794" s="136" t="s">
        <v>133</v>
      </c>
      <c r="L794" s="136" t="str">
        <f t="shared" si="1"/>
        <v/>
      </c>
      <c r="N794" s="141" t="s">
        <v>133</v>
      </c>
      <c r="O794" s="136" t="str">
        <f>IFERROR(__xludf.DUMMYFUNCTION("""COMPUTED_VALUE"""),"")</f>
        <v/>
      </c>
      <c r="P794" s="136" t="str">
        <f>IFERROR(__xludf.DUMMYFUNCTION("""COMPUTED_VALUE"""),"")</f>
        <v/>
      </c>
      <c r="Q794" s="106" t="str">
        <f>IFERROR(__xludf.DUMMYFUNCTION("""COMPUTED_VALUE"""),"")</f>
        <v/>
      </c>
      <c r="R794" s="106" t="str">
        <f>IFERROR(__xludf.DUMMYFUNCTION("""COMPUTED_VALUE"""),"")</f>
        <v/>
      </c>
      <c r="S794" s="139" t="str">
        <f>IFERROR(__xludf.DUMMYFUNCTION("""COMPUTED_VALUE"""),"")</f>
        <v/>
      </c>
      <c r="T794" s="139" t="str">
        <f>IFERROR(__xludf.DUMMYFUNCTION("""COMPUTED_VALUE"""),"")</f>
        <v/>
      </c>
      <c r="U794" s="136" t="str">
        <f>IFERROR(__xludf.DUMMYFUNCTION("""COMPUTED_VALUE"""),"")</f>
        <v/>
      </c>
      <c r="V794" s="106" t="str">
        <f>IFERROR(__xludf.DUMMYFUNCTION("""COMPUTED_VALUE"""),"")</f>
        <v/>
      </c>
      <c r="W794" s="143" t="str">
        <f t="shared" si="2"/>
        <v/>
      </c>
      <c r="X794" s="139" t="str">
        <f>IFERROR(__xludf.DUMMYFUNCTION("""COMPUTED_VALUE"""),"")</f>
        <v/>
      </c>
      <c r="Y794" s="141" t="str">
        <f>IFERROR(__xludf.DUMMYFUNCTION("""COMPUTED_VALUE"""),"")</f>
        <v/>
      </c>
    </row>
    <row r="795">
      <c r="C795" s="136" t="str">
        <f t="shared" si="3"/>
        <v/>
      </c>
      <c r="E795" s="106"/>
      <c r="G795" s="106" t="s">
        <v>133</v>
      </c>
      <c r="I795" s="139" t="s">
        <v>133</v>
      </c>
      <c r="J795" s="136" t="s">
        <v>133</v>
      </c>
      <c r="L795" s="136" t="str">
        <f t="shared" si="1"/>
        <v/>
      </c>
      <c r="N795" s="141" t="s">
        <v>133</v>
      </c>
      <c r="O795" s="136" t="str">
        <f>IFERROR(__xludf.DUMMYFUNCTION("""COMPUTED_VALUE"""),"")</f>
        <v/>
      </c>
      <c r="P795" s="136" t="str">
        <f>IFERROR(__xludf.DUMMYFUNCTION("""COMPUTED_VALUE"""),"")</f>
        <v/>
      </c>
      <c r="Q795" s="106" t="str">
        <f>IFERROR(__xludf.DUMMYFUNCTION("""COMPUTED_VALUE"""),"")</f>
        <v/>
      </c>
      <c r="R795" s="106" t="str">
        <f>IFERROR(__xludf.DUMMYFUNCTION("""COMPUTED_VALUE"""),"")</f>
        <v/>
      </c>
      <c r="S795" s="139" t="str">
        <f>IFERROR(__xludf.DUMMYFUNCTION("""COMPUTED_VALUE"""),"")</f>
        <v/>
      </c>
      <c r="T795" s="139" t="str">
        <f>IFERROR(__xludf.DUMMYFUNCTION("""COMPUTED_VALUE"""),"")</f>
        <v/>
      </c>
      <c r="U795" s="136" t="str">
        <f>IFERROR(__xludf.DUMMYFUNCTION("""COMPUTED_VALUE"""),"")</f>
        <v/>
      </c>
      <c r="V795" s="106" t="str">
        <f>IFERROR(__xludf.DUMMYFUNCTION("""COMPUTED_VALUE"""),"")</f>
        <v/>
      </c>
      <c r="W795" s="143" t="str">
        <f t="shared" si="2"/>
        <v/>
      </c>
      <c r="X795" s="139" t="str">
        <f>IFERROR(__xludf.DUMMYFUNCTION("""COMPUTED_VALUE"""),"")</f>
        <v/>
      </c>
      <c r="Y795" s="141" t="str">
        <f>IFERROR(__xludf.DUMMYFUNCTION("""COMPUTED_VALUE"""),"")</f>
        <v/>
      </c>
    </row>
    <row r="796">
      <c r="C796" s="136" t="str">
        <f t="shared" si="3"/>
        <v/>
      </c>
      <c r="E796" s="106"/>
      <c r="G796" s="106" t="s">
        <v>133</v>
      </c>
      <c r="I796" s="139" t="s">
        <v>133</v>
      </c>
      <c r="J796" s="136" t="s">
        <v>133</v>
      </c>
      <c r="L796" s="136" t="str">
        <f t="shared" si="1"/>
        <v/>
      </c>
      <c r="N796" s="141" t="s">
        <v>133</v>
      </c>
      <c r="O796" s="136" t="str">
        <f>IFERROR(__xludf.DUMMYFUNCTION("""COMPUTED_VALUE"""),"")</f>
        <v/>
      </c>
      <c r="P796" s="136" t="str">
        <f>IFERROR(__xludf.DUMMYFUNCTION("""COMPUTED_VALUE"""),"")</f>
        <v/>
      </c>
      <c r="Q796" s="106" t="str">
        <f>IFERROR(__xludf.DUMMYFUNCTION("""COMPUTED_VALUE"""),"")</f>
        <v/>
      </c>
      <c r="R796" s="106" t="str">
        <f>IFERROR(__xludf.DUMMYFUNCTION("""COMPUTED_VALUE"""),"")</f>
        <v/>
      </c>
      <c r="S796" s="139" t="str">
        <f>IFERROR(__xludf.DUMMYFUNCTION("""COMPUTED_VALUE"""),"")</f>
        <v/>
      </c>
      <c r="T796" s="139" t="str">
        <f>IFERROR(__xludf.DUMMYFUNCTION("""COMPUTED_VALUE"""),"")</f>
        <v/>
      </c>
      <c r="U796" s="136" t="str">
        <f>IFERROR(__xludf.DUMMYFUNCTION("""COMPUTED_VALUE"""),"")</f>
        <v/>
      </c>
      <c r="V796" s="106" t="str">
        <f>IFERROR(__xludf.DUMMYFUNCTION("""COMPUTED_VALUE"""),"")</f>
        <v/>
      </c>
      <c r="W796" s="143" t="str">
        <f t="shared" si="2"/>
        <v/>
      </c>
      <c r="X796" s="139" t="str">
        <f>IFERROR(__xludf.DUMMYFUNCTION("""COMPUTED_VALUE"""),"")</f>
        <v/>
      </c>
      <c r="Y796" s="141" t="str">
        <f>IFERROR(__xludf.DUMMYFUNCTION("""COMPUTED_VALUE"""),"")</f>
        <v/>
      </c>
    </row>
    <row r="797">
      <c r="C797" s="136" t="str">
        <f t="shared" si="3"/>
        <v/>
      </c>
      <c r="E797" s="106"/>
      <c r="G797" s="106" t="s">
        <v>133</v>
      </c>
      <c r="I797" s="139" t="s">
        <v>133</v>
      </c>
      <c r="J797" s="136" t="s">
        <v>133</v>
      </c>
      <c r="L797" s="136" t="str">
        <f t="shared" si="1"/>
        <v/>
      </c>
      <c r="N797" s="141" t="s">
        <v>133</v>
      </c>
      <c r="O797" s="136" t="str">
        <f>IFERROR(__xludf.DUMMYFUNCTION("""COMPUTED_VALUE"""),"")</f>
        <v/>
      </c>
      <c r="P797" s="136" t="str">
        <f>IFERROR(__xludf.DUMMYFUNCTION("""COMPUTED_VALUE"""),"")</f>
        <v/>
      </c>
      <c r="Q797" s="106" t="str">
        <f>IFERROR(__xludf.DUMMYFUNCTION("""COMPUTED_VALUE"""),"")</f>
        <v/>
      </c>
      <c r="R797" s="106" t="str">
        <f>IFERROR(__xludf.DUMMYFUNCTION("""COMPUTED_VALUE"""),"")</f>
        <v/>
      </c>
      <c r="S797" s="139" t="str">
        <f>IFERROR(__xludf.DUMMYFUNCTION("""COMPUTED_VALUE"""),"")</f>
        <v/>
      </c>
      <c r="T797" s="139" t="str">
        <f>IFERROR(__xludf.DUMMYFUNCTION("""COMPUTED_VALUE"""),"")</f>
        <v/>
      </c>
      <c r="U797" s="136" t="str">
        <f>IFERROR(__xludf.DUMMYFUNCTION("""COMPUTED_VALUE"""),"")</f>
        <v/>
      </c>
      <c r="V797" s="106" t="str">
        <f>IFERROR(__xludf.DUMMYFUNCTION("""COMPUTED_VALUE"""),"")</f>
        <v/>
      </c>
      <c r="W797" s="143" t="str">
        <f t="shared" si="2"/>
        <v/>
      </c>
      <c r="X797" s="139" t="str">
        <f>IFERROR(__xludf.DUMMYFUNCTION("""COMPUTED_VALUE"""),"")</f>
        <v/>
      </c>
      <c r="Y797" s="141" t="str">
        <f>IFERROR(__xludf.DUMMYFUNCTION("""COMPUTED_VALUE"""),"")</f>
        <v/>
      </c>
    </row>
    <row r="798">
      <c r="C798" s="136" t="str">
        <f t="shared" si="3"/>
        <v/>
      </c>
      <c r="E798" s="106"/>
      <c r="G798" s="106" t="s">
        <v>133</v>
      </c>
      <c r="I798" s="139" t="s">
        <v>133</v>
      </c>
      <c r="J798" s="136" t="s">
        <v>133</v>
      </c>
      <c r="L798" s="136" t="str">
        <f t="shared" si="1"/>
        <v/>
      </c>
      <c r="N798" s="141" t="s">
        <v>133</v>
      </c>
      <c r="O798" s="136" t="str">
        <f>IFERROR(__xludf.DUMMYFUNCTION("""COMPUTED_VALUE"""),"")</f>
        <v/>
      </c>
      <c r="P798" s="136" t="str">
        <f>IFERROR(__xludf.DUMMYFUNCTION("""COMPUTED_VALUE"""),"")</f>
        <v/>
      </c>
      <c r="Q798" s="106" t="str">
        <f>IFERROR(__xludf.DUMMYFUNCTION("""COMPUTED_VALUE"""),"")</f>
        <v/>
      </c>
      <c r="R798" s="106" t="str">
        <f>IFERROR(__xludf.DUMMYFUNCTION("""COMPUTED_VALUE"""),"")</f>
        <v/>
      </c>
      <c r="S798" s="139" t="str">
        <f>IFERROR(__xludf.DUMMYFUNCTION("""COMPUTED_VALUE"""),"")</f>
        <v/>
      </c>
      <c r="T798" s="139" t="str">
        <f>IFERROR(__xludf.DUMMYFUNCTION("""COMPUTED_VALUE"""),"")</f>
        <v/>
      </c>
      <c r="U798" s="136" t="str">
        <f>IFERROR(__xludf.DUMMYFUNCTION("""COMPUTED_VALUE"""),"")</f>
        <v/>
      </c>
      <c r="V798" s="106" t="str">
        <f>IFERROR(__xludf.DUMMYFUNCTION("""COMPUTED_VALUE"""),"")</f>
        <v/>
      </c>
      <c r="W798" s="143" t="str">
        <f t="shared" si="2"/>
        <v/>
      </c>
      <c r="X798" s="139" t="str">
        <f>IFERROR(__xludf.DUMMYFUNCTION("""COMPUTED_VALUE"""),"")</f>
        <v/>
      </c>
      <c r="Y798" s="141" t="str">
        <f>IFERROR(__xludf.DUMMYFUNCTION("""COMPUTED_VALUE"""),"")</f>
        <v/>
      </c>
    </row>
    <row r="799">
      <c r="C799" s="136" t="str">
        <f t="shared" si="3"/>
        <v/>
      </c>
      <c r="E799" s="106"/>
      <c r="G799" s="106" t="s">
        <v>133</v>
      </c>
      <c r="I799" s="139" t="s">
        <v>133</v>
      </c>
      <c r="J799" s="136" t="s">
        <v>133</v>
      </c>
      <c r="L799" s="136" t="str">
        <f t="shared" si="1"/>
        <v/>
      </c>
      <c r="N799" s="141" t="s">
        <v>133</v>
      </c>
      <c r="O799" s="136" t="str">
        <f>IFERROR(__xludf.DUMMYFUNCTION("""COMPUTED_VALUE"""),"")</f>
        <v/>
      </c>
      <c r="P799" s="136" t="str">
        <f>IFERROR(__xludf.DUMMYFUNCTION("""COMPUTED_VALUE"""),"")</f>
        <v/>
      </c>
      <c r="Q799" s="106" t="str">
        <f>IFERROR(__xludf.DUMMYFUNCTION("""COMPUTED_VALUE"""),"")</f>
        <v/>
      </c>
      <c r="R799" s="106" t="str">
        <f>IFERROR(__xludf.DUMMYFUNCTION("""COMPUTED_VALUE"""),"")</f>
        <v/>
      </c>
      <c r="S799" s="139" t="str">
        <f>IFERROR(__xludf.DUMMYFUNCTION("""COMPUTED_VALUE"""),"")</f>
        <v/>
      </c>
      <c r="T799" s="139" t="str">
        <f>IFERROR(__xludf.DUMMYFUNCTION("""COMPUTED_VALUE"""),"")</f>
        <v/>
      </c>
      <c r="U799" s="136" t="str">
        <f>IFERROR(__xludf.DUMMYFUNCTION("""COMPUTED_VALUE"""),"")</f>
        <v/>
      </c>
      <c r="V799" s="106" t="str">
        <f>IFERROR(__xludf.DUMMYFUNCTION("""COMPUTED_VALUE"""),"")</f>
        <v/>
      </c>
      <c r="W799" s="143" t="str">
        <f t="shared" si="2"/>
        <v/>
      </c>
      <c r="X799" s="139" t="str">
        <f>IFERROR(__xludf.DUMMYFUNCTION("""COMPUTED_VALUE"""),"")</f>
        <v/>
      </c>
      <c r="Y799" s="141" t="str">
        <f>IFERROR(__xludf.DUMMYFUNCTION("""COMPUTED_VALUE"""),"")</f>
        <v/>
      </c>
    </row>
    <row r="800">
      <c r="C800" s="136" t="str">
        <f t="shared" si="3"/>
        <v/>
      </c>
      <c r="E800" s="106"/>
      <c r="G800" s="106" t="s">
        <v>133</v>
      </c>
      <c r="I800" s="139" t="s">
        <v>133</v>
      </c>
      <c r="J800" s="136" t="s">
        <v>133</v>
      </c>
      <c r="L800" s="136" t="str">
        <f t="shared" si="1"/>
        <v/>
      </c>
      <c r="N800" s="141" t="s">
        <v>133</v>
      </c>
      <c r="O800" s="136" t="str">
        <f>IFERROR(__xludf.DUMMYFUNCTION("""COMPUTED_VALUE"""),"")</f>
        <v/>
      </c>
      <c r="P800" s="136" t="str">
        <f>IFERROR(__xludf.DUMMYFUNCTION("""COMPUTED_VALUE"""),"")</f>
        <v/>
      </c>
      <c r="Q800" s="106" t="str">
        <f>IFERROR(__xludf.DUMMYFUNCTION("""COMPUTED_VALUE"""),"")</f>
        <v/>
      </c>
      <c r="R800" s="106" t="str">
        <f>IFERROR(__xludf.DUMMYFUNCTION("""COMPUTED_VALUE"""),"")</f>
        <v/>
      </c>
      <c r="S800" s="139" t="str">
        <f>IFERROR(__xludf.DUMMYFUNCTION("""COMPUTED_VALUE"""),"")</f>
        <v/>
      </c>
      <c r="T800" s="139" t="str">
        <f>IFERROR(__xludf.DUMMYFUNCTION("""COMPUTED_VALUE"""),"")</f>
        <v/>
      </c>
      <c r="U800" s="136" t="str">
        <f>IFERROR(__xludf.DUMMYFUNCTION("""COMPUTED_VALUE"""),"")</f>
        <v/>
      </c>
      <c r="V800" s="106" t="str">
        <f>IFERROR(__xludf.DUMMYFUNCTION("""COMPUTED_VALUE"""),"")</f>
        <v/>
      </c>
      <c r="W800" s="143" t="str">
        <f t="shared" si="2"/>
        <v/>
      </c>
      <c r="X800" s="139" t="str">
        <f>IFERROR(__xludf.DUMMYFUNCTION("""COMPUTED_VALUE"""),"")</f>
        <v/>
      </c>
      <c r="Y800" s="141" t="str">
        <f>IFERROR(__xludf.DUMMYFUNCTION("""COMPUTED_VALUE"""),"")</f>
        <v/>
      </c>
    </row>
    <row r="801">
      <c r="C801" s="136" t="str">
        <f t="shared" si="3"/>
        <v/>
      </c>
      <c r="E801" s="106"/>
      <c r="G801" s="106" t="s">
        <v>133</v>
      </c>
      <c r="I801" s="139" t="s">
        <v>133</v>
      </c>
      <c r="J801" s="136" t="s">
        <v>133</v>
      </c>
      <c r="L801" s="136" t="str">
        <f t="shared" si="1"/>
        <v/>
      </c>
      <c r="N801" s="141" t="s">
        <v>133</v>
      </c>
      <c r="O801" s="136" t="str">
        <f>IFERROR(__xludf.DUMMYFUNCTION("""COMPUTED_VALUE"""),"")</f>
        <v/>
      </c>
      <c r="P801" s="136" t="str">
        <f>IFERROR(__xludf.DUMMYFUNCTION("""COMPUTED_VALUE"""),"")</f>
        <v/>
      </c>
      <c r="Q801" s="106" t="str">
        <f>IFERROR(__xludf.DUMMYFUNCTION("""COMPUTED_VALUE"""),"")</f>
        <v/>
      </c>
      <c r="R801" s="106" t="str">
        <f>IFERROR(__xludf.DUMMYFUNCTION("""COMPUTED_VALUE"""),"")</f>
        <v/>
      </c>
      <c r="S801" s="139" t="str">
        <f>IFERROR(__xludf.DUMMYFUNCTION("""COMPUTED_VALUE"""),"")</f>
        <v/>
      </c>
      <c r="T801" s="139" t="str">
        <f>IFERROR(__xludf.DUMMYFUNCTION("""COMPUTED_VALUE"""),"")</f>
        <v/>
      </c>
      <c r="U801" s="136" t="str">
        <f>IFERROR(__xludf.DUMMYFUNCTION("""COMPUTED_VALUE"""),"")</f>
        <v/>
      </c>
      <c r="V801" s="106" t="str">
        <f>IFERROR(__xludf.DUMMYFUNCTION("""COMPUTED_VALUE"""),"")</f>
        <v/>
      </c>
      <c r="W801" s="143" t="str">
        <f t="shared" si="2"/>
        <v/>
      </c>
      <c r="X801" s="139" t="str">
        <f>IFERROR(__xludf.DUMMYFUNCTION("""COMPUTED_VALUE"""),"")</f>
        <v/>
      </c>
      <c r="Y801" s="141" t="str">
        <f>IFERROR(__xludf.DUMMYFUNCTION("""COMPUTED_VALUE"""),"")</f>
        <v/>
      </c>
    </row>
    <row r="802">
      <c r="C802" s="136" t="str">
        <f t="shared" si="3"/>
        <v/>
      </c>
      <c r="E802" s="106"/>
      <c r="G802" s="106" t="s">
        <v>133</v>
      </c>
      <c r="I802" s="139" t="s">
        <v>133</v>
      </c>
      <c r="J802" s="136" t="s">
        <v>133</v>
      </c>
      <c r="L802" s="136" t="str">
        <f t="shared" si="1"/>
        <v/>
      </c>
      <c r="N802" s="141" t="s">
        <v>133</v>
      </c>
      <c r="O802" s="136" t="str">
        <f>IFERROR(__xludf.DUMMYFUNCTION("""COMPUTED_VALUE"""),"")</f>
        <v/>
      </c>
      <c r="P802" s="136" t="str">
        <f>IFERROR(__xludf.DUMMYFUNCTION("""COMPUTED_VALUE"""),"")</f>
        <v/>
      </c>
      <c r="Q802" s="106" t="str">
        <f>IFERROR(__xludf.DUMMYFUNCTION("""COMPUTED_VALUE"""),"")</f>
        <v/>
      </c>
      <c r="R802" s="106" t="str">
        <f>IFERROR(__xludf.DUMMYFUNCTION("""COMPUTED_VALUE"""),"")</f>
        <v/>
      </c>
      <c r="S802" s="139" t="str">
        <f>IFERROR(__xludf.DUMMYFUNCTION("""COMPUTED_VALUE"""),"")</f>
        <v/>
      </c>
      <c r="T802" s="139" t="str">
        <f>IFERROR(__xludf.DUMMYFUNCTION("""COMPUTED_VALUE"""),"")</f>
        <v/>
      </c>
      <c r="U802" s="136" t="str">
        <f>IFERROR(__xludf.DUMMYFUNCTION("""COMPUTED_VALUE"""),"")</f>
        <v/>
      </c>
      <c r="V802" s="106" t="str">
        <f>IFERROR(__xludf.DUMMYFUNCTION("""COMPUTED_VALUE"""),"")</f>
        <v/>
      </c>
      <c r="W802" s="143" t="str">
        <f t="shared" si="2"/>
        <v/>
      </c>
      <c r="X802" s="139" t="str">
        <f>IFERROR(__xludf.DUMMYFUNCTION("""COMPUTED_VALUE"""),"")</f>
        <v/>
      </c>
      <c r="Y802" s="141" t="str">
        <f>IFERROR(__xludf.DUMMYFUNCTION("""COMPUTED_VALUE"""),"")</f>
        <v/>
      </c>
    </row>
    <row r="803">
      <c r="C803" s="136" t="str">
        <f t="shared" si="3"/>
        <v/>
      </c>
      <c r="E803" s="106"/>
      <c r="G803" s="106" t="s">
        <v>133</v>
      </c>
      <c r="I803" s="139" t="s">
        <v>133</v>
      </c>
      <c r="J803" s="136" t="s">
        <v>133</v>
      </c>
      <c r="L803" s="136" t="str">
        <f t="shared" si="1"/>
        <v/>
      </c>
      <c r="N803" s="141" t="s">
        <v>133</v>
      </c>
      <c r="O803" s="136" t="str">
        <f>IFERROR(__xludf.DUMMYFUNCTION("""COMPUTED_VALUE"""),"")</f>
        <v/>
      </c>
      <c r="P803" s="136" t="str">
        <f>IFERROR(__xludf.DUMMYFUNCTION("""COMPUTED_VALUE"""),"")</f>
        <v/>
      </c>
      <c r="Q803" s="106" t="str">
        <f>IFERROR(__xludf.DUMMYFUNCTION("""COMPUTED_VALUE"""),"")</f>
        <v/>
      </c>
      <c r="R803" s="106" t="str">
        <f>IFERROR(__xludf.DUMMYFUNCTION("""COMPUTED_VALUE"""),"")</f>
        <v/>
      </c>
      <c r="S803" s="139" t="str">
        <f>IFERROR(__xludf.DUMMYFUNCTION("""COMPUTED_VALUE"""),"")</f>
        <v/>
      </c>
      <c r="T803" s="139" t="str">
        <f>IFERROR(__xludf.DUMMYFUNCTION("""COMPUTED_VALUE"""),"")</f>
        <v/>
      </c>
      <c r="U803" s="136" t="str">
        <f>IFERROR(__xludf.DUMMYFUNCTION("""COMPUTED_VALUE"""),"")</f>
        <v/>
      </c>
      <c r="V803" s="106" t="str">
        <f>IFERROR(__xludf.DUMMYFUNCTION("""COMPUTED_VALUE"""),"")</f>
        <v/>
      </c>
      <c r="W803" s="143" t="str">
        <f t="shared" si="2"/>
        <v/>
      </c>
      <c r="X803" s="139" t="str">
        <f>IFERROR(__xludf.DUMMYFUNCTION("""COMPUTED_VALUE"""),"")</f>
        <v/>
      </c>
      <c r="Y803" s="141" t="str">
        <f>IFERROR(__xludf.DUMMYFUNCTION("""COMPUTED_VALUE"""),"")</f>
        <v/>
      </c>
    </row>
    <row r="804">
      <c r="C804" s="136" t="str">
        <f t="shared" si="3"/>
        <v/>
      </c>
      <c r="E804" s="106"/>
      <c r="G804" s="106" t="s">
        <v>133</v>
      </c>
      <c r="I804" s="139" t="s">
        <v>133</v>
      </c>
      <c r="J804" s="136" t="s">
        <v>133</v>
      </c>
      <c r="L804" s="136" t="str">
        <f t="shared" si="1"/>
        <v/>
      </c>
      <c r="N804" s="141" t="s">
        <v>133</v>
      </c>
      <c r="O804" s="136" t="str">
        <f>IFERROR(__xludf.DUMMYFUNCTION("""COMPUTED_VALUE"""),"")</f>
        <v/>
      </c>
      <c r="P804" s="136" t="str">
        <f>IFERROR(__xludf.DUMMYFUNCTION("""COMPUTED_VALUE"""),"")</f>
        <v/>
      </c>
      <c r="Q804" s="106" t="str">
        <f>IFERROR(__xludf.DUMMYFUNCTION("""COMPUTED_VALUE"""),"")</f>
        <v/>
      </c>
      <c r="R804" s="106" t="str">
        <f>IFERROR(__xludf.DUMMYFUNCTION("""COMPUTED_VALUE"""),"")</f>
        <v/>
      </c>
      <c r="S804" s="139" t="str">
        <f>IFERROR(__xludf.DUMMYFUNCTION("""COMPUTED_VALUE"""),"")</f>
        <v/>
      </c>
      <c r="T804" s="139" t="str">
        <f>IFERROR(__xludf.DUMMYFUNCTION("""COMPUTED_VALUE"""),"")</f>
        <v/>
      </c>
      <c r="U804" s="136" t="str">
        <f>IFERROR(__xludf.DUMMYFUNCTION("""COMPUTED_VALUE"""),"")</f>
        <v/>
      </c>
      <c r="V804" s="106" t="str">
        <f>IFERROR(__xludf.DUMMYFUNCTION("""COMPUTED_VALUE"""),"")</f>
        <v/>
      </c>
      <c r="W804" s="143" t="str">
        <f t="shared" si="2"/>
        <v/>
      </c>
      <c r="X804" s="139" t="str">
        <f>IFERROR(__xludf.DUMMYFUNCTION("""COMPUTED_VALUE"""),"")</f>
        <v/>
      </c>
      <c r="Y804" s="141" t="str">
        <f>IFERROR(__xludf.DUMMYFUNCTION("""COMPUTED_VALUE"""),"")</f>
        <v/>
      </c>
    </row>
    <row r="805">
      <c r="C805" s="136" t="str">
        <f t="shared" si="3"/>
        <v/>
      </c>
      <c r="E805" s="106"/>
      <c r="G805" s="106" t="s">
        <v>133</v>
      </c>
      <c r="I805" s="139" t="s">
        <v>133</v>
      </c>
      <c r="J805" s="136" t="s">
        <v>133</v>
      </c>
      <c r="L805" s="136" t="str">
        <f t="shared" si="1"/>
        <v/>
      </c>
      <c r="N805" s="141" t="s">
        <v>133</v>
      </c>
      <c r="O805" s="136" t="str">
        <f>IFERROR(__xludf.DUMMYFUNCTION("""COMPUTED_VALUE"""),"")</f>
        <v/>
      </c>
      <c r="P805" s="136" t="str">
        <f>IFERROR(__xludf.DUMMYFUNCTION("""COMPUTED_VALUE"""),"")</f>
        <v/>
      </c>
      <c r="Q805" s="106" t="str">
        <f>IFERROR(__xludf.DUMMYFUNCTION("""COMPUTED_VALUE"""),"")</f>
        <v/>
      </c>
      <c r="R805" s="106" t="str">
        <f>IFERROR(__xludf.DUMMYFUNCTION("""COMPUTED_VALUE"""),"")</f>
        <v/>
      </c>
      <c r="S805" s="139" t="str">
        <f>IFERROR(__xludf.DUMMYFUNCTION("""COMPUTED_VALUE"""),"")</f>
        <v/>
      </c>
      <c r="T805" s="139" t="str">
        <f>IFERROR(__xludf.DUMMYFUNCTION("""COMPUTED_VALUE"""),"")</f>
        <v/>
      </c>
      <c r="U805" s="136" t="str">
        <f>IFERROR(__xludf.DUMMYFUNCTION("""COMPUTED_VALUE"""),"")</f>
        <v/>
      </c>
      <c r="V805" s="106" t="str">
        <f>IFERROR(__xludf.DUMMYFUNCTION("""COMPUTED_VALUE"""),"")</f>
        <v/>
      </c>
      <c r="W805" s="143" t="str">
        <f t="shared" si="2"/>
        <v/>
      </c>
      <c r="X805" s="139" t="str">
        <f>IFERROR(__xludf.DUMMYFUNCTION("""COMPUTED_VALUE"""),"")</f>
        <v/>
      </c>
      <c r="Y805" s="141" t="str">
        <f>IFERROR(__xludf.DUMMYFUNCTION("""COMPUTED_VALUE"""),"")</f>
        <v/>
      </c>
    </row>
    <row r="806">
      <c r="C806" s="136" t="str">
        <f t="shared" si="3"/>
        <v/>
      </c>
      <c r="E806" s="106"/>
      <c r="G806" s="106" t="s">
        <v>133</v>
      </c>
      <c r="I806" s="139" t="s">
        <v>133</v>
      </c>
      <c r="J806" s="136" t="s">
        <v>133</v>
      </c>
      <c r="L806" s="136" t="str">
        <f t="shared" si="1"/>
        <v/>
      </c>
      <c r="N806" s="141" t="s">
        <v>133</v>
      </c>
      <c r="O806" s="136" t="str">
        <f>IFERROR(__xludf.DUMMYFUNCTION("""COMPUTED_VALUE"""),"")</f>
        <v/>
      </c>
      <c r="P806" s="136" t="str">
        <f>IFERROR(__xludf.DUMMYFUNCTION("""COMPUTED_VALUE"""),"")</f>
        <v/>
      </c>
      <c r="Q806" s="106" t="str">
        <f>IFERROR(__xludf.DUMMYFUNCTION("""COMPUTED_VALUE"""),"")</f>
        <v/>
      </c>
      <c r="R806" s="106" t="str">
        <f>IFERROR(__xludf.DUMMYFUNCTION("""COMPUTED_VALUE"""),"")</f>
        <v/>
      </c>
      <c r="S806" s="139" t="str">
        <f>IFERROR(__xludf.DUMMYFUNCTION("""COMPUTED_VALUE"""),"")</f>
        <v/>
      </c>
      <c r="T806" s="139" t="str">
        <f>IFERROR(__xludf.DUMMYFUNCTION("""COMPUTED_VALUE"""),"")</f>
        <v/>
      </c>
      <c r="U806" s="136" t="str">
        <f>IFERROR(__xludf.DUMMYFUNCTION("""COMPUTED_VALUE"""),"")</f>
        <v/>
      </c>
      <c r="V806" s="106" t="str">
        <f>IFERROR(__xludf.DUMMYFUNCTION("""COMPUTED_VALUE"""),"")</f>
        <v/>
      </c>
      <c r="W806" s="143" t="str">
        <f t="shared" si="2"/>
        <v/>
      </c>
      <c r="X806" s="139" t="str">
        <f>IFERROR(__xludf.DUMMYFUNCTION("""COMPUTED_VALUE"""),"")</f>
        <v/>
      </c>
      <c r="Y806" s="141" t="str">
        <f>IFERROR(__xludf.DUMMYFUNCTION("""COMPUTED_VALUE"""),"")</f>
        <v/>
      </c>
    </row>
    <row r="807">
      <c r="C807" s="136" t="str">
        <f t="shared" si="3"/>
        <v/>
      </c>
      <c r="E807" s="106"/>
      <c r="G807" s="106" t="s">
        <v>133</v>
      </c>
      <c r="I807" s="139" t="s">
        <v>133</v>
      </c>
      <c r="J807" s="136" t="s">
        <v>133</v>
      </c>
      <c r="L807" s="136" t="str">
        <f t="shared" si="1"/>
        <v/>
      </c>
      <c r="N807" s="141" t="s">
        <v>133</v>
      </c>
      <c r="O807" s="136" t="str">
        <f>IFERROR(__xludf.DUMMYFUNCTION("""COMPUTED_VALUE"""),"")</f>
        <v/>
      </c>
      <c r="P807" s="136" t="str">
        <f>IFERROR(__xludf.DUMMYFUNCTION("""COMPUTED_VALUE"""),"")</f>
        <v/>
      </c>
      <c r="Q807" s="106" t="str">
        <f>IFERROR(__xludf.DUMMYFUNCTION("""COMPUTED_VALUE"""),"")</f>
        <v/>
      </c>
      <c r="R807" s="106" t="str">
        <f>IFERROR(__xludf.DUMMYFUNCTION("""COMPUTED_VALUE"""),"")</f>
        <v/>
      </c>
      <c r="S807" s="139" t="str">
        <f>IFERROR(__xludf.DUMMYFUNCTION("""COMPUTED_VALUE"""),"")</f>
        <v/>
      </c>
      <c r="T807" s="139" t="str">
        <f>IFERROR(__xludf.DUMMYFUNCTION("""COMPUTED_VALUE"""),"")</f>
        <v/>
      </c>
      <c r="U807" s="136" t="str">
        <f>IFERROR(__xludf.DUMMYFUNCTION("""COMPUTED_VALUE"""),"")</f>
        <v/>
      </c>
      <c r="V807" s="106" t="str">
        <f>IFERROR(__xludf.DUMMYFUNCTION("""COMPUTED_VALUE"""),"")</f>
        <v/>
      </c>
      <c r="W807" s="143" t="str">
        <f t="shared" si="2"/>
        <v/>
      </c>
      <c r="X807" s="139" t="str">
        <f>IFERROR(__xludf.DUMMYFUNCTION("""COMPUTED_VALUE"""),"")</f>
        <v/>
      </c>
      <c r="Y807" s="141" t="str">
        <f>IFERROR(__xludf.DUMMYFUNCTION("""COMPUTED_VALUE"""),"")</f>
        <v/>
      </c>
    </row>
    <row r="808">
      <c r="C808" s="136" t="str">
        <f t="shared" si="3"/>
        <v/>
      </c>
      <c r="E808" s="106"/>
      <c r="G808" s="106" t="s">
        <v>133</v>
      </c>
      <c r="I808" s="139" t="s">
        <v>133</v>
      </c>
      <c r="J808" s="136" t="s">
        <v>133</v>
      </c>
      <c r="L808" s="136" t="str">
        <f t="shared" si="1"/>
        <v/>
      </c>
      <c r="N808" s="141" t="s">
        <v>133</v>
      </c>
      <c r="O808" s="136" t="str">
        <f>IFERROR(__xludf.DUMMYFUNCTION("""COMPUTED_VALUE"""),"")</f>
        <v/>
      </c>
      <c r="P808" s="136" t="str">
        <f>IFERROR(__xludf.DUMMYFUNCTION("""COMPUTED_VALUE"""),"")</f>
        <v/>
      </c>
      <c r="Q808" s="106" t="str">
        <f>IFERROR(__xludf.DUMMYFUNCTION("""COMPUTED_VALUE"""),"")</f>
        <v/>
      </c>
      <c r="R808" s="106" t="str">
        <f>IFERROR(__xludf.DUMMYFUNCTION("""COMPUTED_VALUE"""),"")</f>
        <v/>
      </c>
      <c r="S808" s="139" t="str">
        <f>IFERROR(__xludf.DUMMYFUNCTION("""COMPUTED_VALUE"""),"")</f>
        <v/>
      </c>
      <c r="T808" s="139" t="str">
        <f>IFERROR(__xludf.DUMMYFUNCTION("""COMPUTED_VALUE"""),"")</f>
        <v/>
      </c>
      <c r="U808" s="136" t="str">
        <f>IFERROR(__xludf.DUMMYFUNCTION("""COMPUTED_VALUE"""),"")</f>
        <v/>
      </c>
      <c r="V808" s="106" t="str">
        <f>IFERROR(__xludf.DUMMYFUNCTION("""COMPUTED_VALUE"""),"")</f>
        <v/>
      </c>
      <c r="W808" s="143" t="str">
        <f t="shared" si="2"/>
        <v/>
      </c>
      <c r="X808" s="139" t="str">
        <f>IFERROR(__xludf.DUMMYFUNCTION("""COMPUTED_VALUE"""),"")</f>
        <v/>
      </c>
      <c r="Y808" s="141" t="str">
        <f>IFERROR(__xludf.DUMMYFUNCTION("""COMPUTED_VALUE"""),"")</f>
        <v/>
      </c>
    </row>
    <row r="809">
      <c r="C809" s="136" t="str">
        <f t="shared" si="3"/>
        <v/>
      </c>
      <c r="E809" s="106"/>
      <c r="G809" s="106" t="s">
        <v>133</v>
      </c>
      <c r="I809" s="139" t="s">
        <v>133</v>
      </c>
      <c r="J809" s="136" t="s">
        <v>133</v>
      </c>
      <c r="L809" s="136" t="str">
        <f t="shared" si="1"/>
        <v/>
      </c>
      <c r="N809" s="141" t="s">
        <v>133</v>
      </c>
      <c r="O809" s="136" t="str">
        <f>IFERROR(__xludf.DUMMYFUNCTION("""COMPUTED_VALUE"""),"")</f>
        <v/>
      </c>
      <c r="P809" s="136" t="str">
        <f>IFERROR(__xludf.DUMMYFUNCTION("""COMPUTED_VALUE"""),"")</f>
        <v/>
      </c>
      <c r="Q809" s="106" t="str">
        <f>IFERROR(__xludf.DUMMYFUNCTION("""COMPUTED_VALUE"""),"")</f>
        <v/>
      </c>
      <c r="R809" s="106" t="str">
        <f>IFERROR(__xludf.DUMMYFUNCTION("""COMPUTED_VALUE"""),"")</f>
        <v/>
      </c>
      <c r="S809" s="139" t="str">
        <f>IFERROR(__xludf.DUMMYFUNCTION("""COMPUTED_VALUE"""),"")</f>
        <v/>
      </c>
      <c r="T809" s="139" t="str">
        <f>IFERROR(__xludf.DUMMYFUNCTION("""COMPUTED_VALUE"""),"")</f>
        <v/>
      </c>
      <c r="U809" s="136" t="str">
        <f>IFERROR(__xludf.DUMMYFUNCTION("""COMPUTED_VALUE"""),"")</f>
        <v/>
      </c>
      <c r="V809" s="106" t="str">
        <f>IFERROR(__xludf.DUMMYFUNCTION("""COMPUTED_VALUE"""),"")</f>
        <v/>
      </c>
      <c r="W809" s="143" t="str">
        <f t="shared" si="2"/>
        <v/>
      </c>
      <c r="X809" s="139" t="str">
        <f>IFERROR(__xludf.DUMMYFUNCTION("""COMPUTED_VALUE"""),"")</f>
        <v/>
      </c>
      <c r="Y809" s="141" t="str">
        <f>IFERROR(__xludf.DUMMYFUNCTION("""COMPUTED_VALUE"""),"")</f>
        <v/>
      </c>
    </row>
    <row r="810">
      <c r="C810" s="136" t="str">
        <f t="shared" si="3"/>
        <v/>
      </c>
      <c r="E810" s="106"/>
      <c r="G810" s="106" t="s">
        <v>133</v>
      </c>
      <c r="I810" s="139" t="s">
        <v>133</v>
      </c>
      <c r="J810" s="136" t="s">
        <v>133</v>
      </c>
      <c r="L810" s="136" t="str">
        <f t="shared" si="1"/>
        <v/>
      </c>
      <c r="N810" s="141" t="s">
        <v>133</v>
      </c>
      <c r="O810" s="136" t="str">
        <f>IFERROR(__xludf.DUMMYFUNCTION("""COMPUTED_VALUE"""),"")</f>
        <v/>
      </c>
      <c r="P810" s="136" t="str">
        <f>IFERROR(__xludf.DUMMYFUNCTION("""COMPUTED_VALUE"""),"")</f>
        <v/>
      </c>
      <c r="Q810" s="106" t="str">
        <f>IFERROR(__xludf.DUMMYFUNCTION("""COMPUTED_VALUE"""),"")</f>
        <v/>
      </c>
      <c r="R810" s="106" t="str">
        <f>IFERROR(__xludf.DUMMYFUNCTION("""COMPUTED_VALUE"""),"")</f>
        <v/>
      </c>
      <c r="S810" s="139" t="str">
        <f>IFERROR(__xludf.DUMMYFUNCTION("""COMPUTED_VALUE"""),"")</f>
        <v/>
      </c>
      <c r="T810" s="139" t="str">
        <f>IFERROR(__xludf.DUMMYFUNCTION("""COMPUTED_VALUE"""),"")</f>
        <v/>
      </c>
      <c r="U810" s="136" t="str">
        <f>IFERROR(__xludf.DUMMYFUNCTION("""COMPUTED_VALUE"""),"")</f>
        <v/>
      </c>
      <c r="V810" s="106" t="str">
        <f>IFERROR(__xludf.DUMMYFUNCTION("""COMPUTED_VALUE"""),"")</f>
        <v/>
      </c>
      <c r="W810" s="143" t="str">
        <f t="shared" si="2"/>
        <v/>
      </c>
      <c r="X810" s="139" t="str">
        <f>IFERROR(__xludf.DUMMYFUNCTION("""COMPUTED_VALUE"""),"")</f>
        <v/>
      </c>
      <c r="Y810" s="141" t="str">
        <f>IFERROR(__xludf.DUMMYFUNCTION("""COMPUTED_VALUE"""),"")</f>
        <v/>
      </c>
    </row>
    <row r="811">
      <c r="C811" s="136" t="str">
        <f t="shared" si="3"/>
        <v/>
      </c>
      <c r="E811" s="106"/>
      <c r="G811" s="106" t="s">
        <v>133</v>
      </c>
      <c r="I811" s="139" t="s">
        <v>133</v>
      </c>
      <c r="J811" s="136" t="s">
        <v>133</v>
      </c>
      <c r="L811" s="136" t="str">
        <f t="shared" si="1"/>
        <v/>
      </c>
      <c r="N811" s="141" t="s">
        <v>133</v>
      </c>
      <c r="O811" s="136" t="str">
        <f>IFERROR(__xludf.DUMMYFUNCTION("""COMPUTED_VALUE"""),"")</f>
        <v/>
      </c>
      <c r="P811" s="136" t="str">
        <f>IFERROR(__xludf.DUMMYFUNCTION("""COMPUTED_VALUE"""),"")</f>
        <v/>
      </c>
      <c r="Q811" s="106" t="str">
        <f>IFERROR(__xludf.DUMMYFUNCTION("""COMPUTED_VALUE"""),"")</f>
        <v/>
      </c>
      <c r="R811" s="106" t="str">
        <f>IFERROR(__xludf.DUMMYFUNCTION("""COMPUTED_VALUE"""),"")</f>
        <v/>
      </c>
      <c r="S811" s="139" t="str">
        <f>IFERROR(__xludf.DUMMYFUNCTION("""COMPUTED_VALUE"""),"")</f>
        <v/>
      </c>
      <c r="T811" s="139" t="str">
        <f>IFERROR(__xludf.DUMMYFUNCTION("""COMPUTED_VALUE"""),"")</f>
        <v/>
      </c>
      <c r="U811" s="136" t="str">
        <f>IFERROR(__xludf.DUMMYFUNCTION("""COMPUTED_VALUE"""),"")</f>
        <v/>
      </c>
      <c r="V811" s="106" t="str">
        <f>IFERROR(__xludf.DUMMYFUNCTION("""COMPUTED_VALUE"""),"")</f>
        <v/>
      </c>
      <c r="W811" s="143" t="str">
        <f t="shared" si="2"/>
        <v/>
      </c>
      <c r="X811" s="139" t="str">
        <f>IFERROR(__xludf.DUMMYFUNCTION("""COMPUTED_VALUE"""),"")</f>
        <v/>
      </c>
      <c r="Y811" s="141" t="str">
        <f>IFERROR(__xludf.DUMMYFUNCTION("""COMPUTED_VALUE"""),"")</f>
        <v/>
      </c>
    </row>
    <row r="812">
      <c r="C812" s="136" t="str">
        <f t="shared" si="3"/>
        <v/>
      </c>
      <c r="E812" s="106"/>
      <c r="G812" s="106" t="s">
        <v>133</v>
      </c>
      <c r="I812" s="139" t="s">
        <v>133</v>
      </c>
      <c r="J812" s="136" t="s">
        <v>133</v>
      </c>
      <c r="L812" s="136" t="str">
        <f t="shared" si="1"/>
        <v/>
      </c>
      <c r="N812" s="141" t="s">
        <v>133</v>
      </c>
      <c r="O812" s="136" t="str">
        <f>IFERROR(__xludf.DUMMYFUNCTION("""COMPUTED_VALUE"""),"")</f>
        <v/>
      </c>
      <c r="P812" s="136" t="str">
        <f>IFERROR(__xludf.DUMMYFUNCTION("""COMPUTED_VALUE"""),"")</f>
        <v/>
      </c>
      <c r="Q812" s="106" t="str">
        <f>IFERROR(__xludf.DUMMYFUNCTION("""COMPUTED_VALUE"""),"")</f>
        <v/>
      </c>
      <c r="R812" s="106" t="str">
        <f>IFERROR(__xludf.DUMMYFUNCTION("""COMPUTED_VALUE"""),"")</f>
        <v/>
      </c>
      <c r="S812" s="139" t="str">
        <f>IFERROR(__xludf.DUMMYFUNCTION("""COMPUTED_VALUE"""),"")</f>
        <v/>
      </c>
      <c r="T812" s="139" t="str">
        <f>IFERROR(__xludf.DUMMYFUNCTION("""COMPUTED_VALUE"""),"")</f>
        <v/>
      </c>
      <c r="U812" s="136" t="str">
        <f>IFERROR(__xludf.DUMMYFUNCTION("""COMPUTED_VALUE"""),"")</f>
        <v/>
      </c>
      <c r="V812" s="106" t="str">
        <f>IFERROR(__xludf.DUMMYFUNCTION("""COMPUTED_VALUE"""),"")</f>
        <v/>
      </c>
      <c r="W812" s="143" t="str">
        <f t="shared" si="2"/>
        <v/>
      </c>
      <c r="X812" s="139" t="str">
        <f>IFERROR(__xludf.DUMMYFUNCTION("""COMPUTED_VALUE"""),"")</f>
        <v/>
      </c>
      <c r="Y812" s="141" t="str">
        <f>IFERROR(__xludf.DUMMYFUNCTION("""COMPUTED_VALUE"""),"")</f>
        <v/>
      </c>
    </row>
    <row r="813">
      <c r="C813" s="136" t="str">
        <f t="shared" si="3"/>
        <v/>
      </c>
      <c r="E813" s="106"/>
      <c r="G813" s="106" t="s">
        <v>133</v>
      </c>
      <c r="I813" s="139" t="s">
        <v>133</v>
      </c>
      <c r="J813" s="136" t="s">
        <v>133</v>
      </c>
      <c r="L813" s="136" t="str">
        <f t="shared" si="1"/>
        <v/>
      </c>
      <c r="N813" s="141" t="s">
        <v>133</v>
      </c>
      <c r="O813" s="136" t="str">
        <f>IFERROR(__xludf.DUMMYFUNCTION("""COMPUTED_VALUE"""),"")</f>
        <v/>
      </c>
      <c r="P813" s="136" t="str">
        <f>IFERROR(__xludf.DUMMYFUNCTION("""COMPUTED_VALUE"""),"")</f>
        <v/>
      </c>
      <c r="Q813" s="106" t="str">
        <f>IFERROR(__xludf.DUMMYFUNCTION("""COMPUTED_VALUE"""),"")</f>
        <v/>
      </c>
      <c r="R813" s="106" t="str">
        <f>IFERROR(__xludf.DUMMYFUNCTION("""COMPUTED_VALUE"""),"")</f>
        <v/>
      </c>
      <c r="S813" s="139" t="str">
        <f>IFERROR(__xludf.DUMMYFUNCTION("""COMPUTED_VALUE"""),"")</f>
        <v/>
      </c>
      <c r="T813" s="139" t="str">
        <f>IFERROR(__xludf.DUMMYFUNCTION("""COMPUTED_VALUE"""),"")</f>
        <v/>
      </c>
      <c r="U813" s="136" t="str">
        <f>IFERROR(__xludf.DUMMYFUNCTION("""COMPUTED_VALUE"""),"")</f>
        <v/>
      </c>
      <c r="V813" s="106" t="str">
        <f>IFERROR(__xludf.DUMMYFUNCTION("""COMPUTED_VALUE"""),"")</f>
        <v/>
      </c>
      <c r="W813" s="143" t="str">
        <f t="shared" si="2"/>
        <v/>
      </c>
      <c r="X813" s="139" t="str">
        <f>IFERROR(__xludf.DUMMYFUNCTION("""COMPUTED_VALUE"""),"")</f>
        <v/>
      </c>
      <c r="Y813" s="141" t="str">
        <f>IFERROR(__xludf.DUMMYFUNCTION("""COMPUTED_VALUE"""),"")</f>
        <v/>
      </c>
    </row>
    <row r="814">
      <c r="C814" s="136" t="str">
        <f t="shared" si="3"/>
        <v/>
      </c>
      <c r="E814" s="106"/>
      <c r="G814" s="106" t="s">
        <v>133</v>
      </c>
      <c r="I814" s="139" t="s">
        <v>133</v>
      </c>
      <c r="J814" s="136" t="s">
        <v>133</v>
      </c>
      <c r="L814" s="136" t="str">
        <f t="shared" si="1"/>
        <v/>
      </c>
      <c r="N814" s="141" t="s">
        <v>133</v>
      </c>
      <c r="O814" s="136" t="str">
        <f>IFERROR(__xludf.DUMMYFUNCTION("""COMPUTED_VALUE"""),"")</f>
        <v/>
      </c>
      <c r="P814" s="136" t="str">
        <f>IFERROR(__xludf.DUMMYFUNCTION("""COMPUTED_VALUE"""),"")</f>
        <v/>
      </c>
      <c r="Q814" s="106" t="str">
        <f>IFERROR(__xludf.DUMMYFUNCTION("""COMPUTED_VALUE"""),"")</f>
        <v/>
      </c>
      <c r="R814" s="106" t="str">
        <f>IFERROR(__xludf.DUMMYFUNCTION("""COMPUTED_VALUE"""),"")</f>
        <v/>
      </c>
      <c r="S814" s="139" t="str">
        <f>IFERROR(__xludf.DUMMYFUNCTION("""COMPUTED_VALUE"""),"")</f>
        <v/>
      </c>
      <c r="T814" s="139" t="str">
        <f>IFERROR(__xludf.DUMMYFUNCTION("""COMPUTED_VALUE"""),"")</f>
        <v/>
      </c>
      <c r="U814" s="136" t="str">
        <f>IFERROR(__xludf.DUMMYFUNCTION("""COMPUTED_VALUE"""),"")</f>
        <v/>
      </c>
      <c r="V814" s="106" t="str">
        <f>IFERROR(__xludf.DUMMYFUNCTION("""COMPUTED_VALUE"""),"")</f>
        <v/>
      </c>
      <c r="W814" s="143" t="str">
        <f t="shared" si="2"/>
        <v/>
      </c>
      <c r="X814" s="139" t="str">
        <f>IFERROR(__xludf.DUMMYFUNCTION("""COMPUTED_VALUE"""),"")</f>
        <v/>
      </c>
      <c r="Y814" s="141" t="str">
        <f>IFERROR(__xludf.DUMMYFUNCTION("""COMPUTED_VALUE"""),"")</f>
        <v/>
      </c>
    </row>
    <row r="815">
      <c r="C815" s="136" t="str">
        <f t="shared" si="3"/>
        <v/>
      </c>
      <c r="E815" s="106"/>
      <c r="G815" s="106" t="s">
        <v>133</v>
      </c>
      <c r="I815" s="139" t="s">
        <v>133</v>
      </c>
      <c r="J815" s="136" t="s">
        <v>133</v>
      </c>
      <c r="L815" s="136" t="str">
        <f t="shared" si="1"/>
        <v/>
      </c>
      <c r="N815" s="141" t="s">
        <v>133</v>
      </c>
      <c r="O815" s="136" t="str">
        <f>IFERROR(__xludf.DUMMYFUNCTION("""COMPUTED_VALUE"""),"")</f>
        <v/>
      </c>
      <c r="P815" s="136" t="str">
        <f>IFERROR(__xludf.DUMMYFUNCTION("""COMPUTED_VALUE"""),"")</f>
        <v/>
      </c>
      <c r="Q815" s="106" t="str">
        <f>IFERROR(__xludf.DUMMYFUNCTION("""COMPUTED_VALUE"""),"")</f>
        <v/>
      </c>
      <c r="R815" s="106" t="str">
        <f>IFERROR(__xludf.DUMMYFUNCTION("""COMPUTED_VALUE"""),"")</f>
        <v/>
      </c>
      <c r="S815" s="139" t="str">
        <f>IFERROR(__xludf.DUMMYFUNCTION("""COMPUTED_VALUE"""),"")</f>
        <v/>
      </c>
      <c r="T815" s="139" t="str">
        <f>IFERROR(__xludf.DUMMYFUNCTION("""COMPUTED_VALUE"""),"")</f>
        <v/>
      </c>
      <c r="U815" s="136" t="str">
        <f>IFERROR(__xludf.DUMMYFUNCTION("""COMPUTED_VALUE"""),"")</f>
        <v/>
      </c>
      <c r="V815" s="106" t="str">
        <f>IFERROR(__xludf.DUMMYFUNCTION("""COMPUTED_VALUE"""),"")</f>
        <v/>
      </c>
      <c r="W815" s="143" t="str">
        <f t="shared" si="2"/>
        <v/>
      </c>
      <c r="X815" s="139" t="str">
        <f>IFERROR(__xludf.DUMMYFUNCTION("""COMPUTED_VALUE"""),"")</f>
        <v/>
      </c>
      <c r="Y815" s="141" t="str">
        <f>IFERROR(__xludf.DUMMYFUNCTION("""COMPUTED_VALUE"""),"")</f>
        <v/>
      </c>
    </row>
    <row r="816">
      <c r="C816" s="136" t="str">
        <f t="shared" si="3"/>
        <v/>
      </c>
      <c r="E816" s="106"/>
      <c r="G816" s="106" t="s">
        <v>133</v>
      </c>
      <c r="I816" s="139" t="s">
        <v>133</v>
      </c>
      <c r="J816" s="136" t="s">
        <v>133</v>
      </c>
      <c r="L816" s="136" t="str">
        <f t="shared" si="1"/>
        <v/>
      </c>
      <c r="N816" s="141" t="s">
        <v>133</v>
      </c>
      <c r="O816" s="136" t="str">
        <f>IFERROR(__xludf.DUMMYFUNCTION("""COMPUTED_VALUE"""),"")</f>
        <v/>
      </c>
      <c r="P816" s="136" t="str">
        <f>IFERROR(__xludf.DUMMYFUNCTION("""COMPUTED_VALUE"""),"")</f>
        <v/>
      </c>
      <c r="Q816" s="106" t="str">
        <f>IFERROR(__xludf.DUMMYFUNCTION("""COMPUTED_VALUE"""),"")</f>
        <v/>
      </c>
      <c r="R816" s="106" t="str">
        <f>IFERROR(__xludf.DUMMYFUNCTION("""COMPUTED_VALUE"""),"")</f>
        <v/>
      </c>
      <c r="S816" s="139" t="str">
        <f>IFERROR(__xludf.DUMMYFUNCTION("""COMPUTED_VALUE"""),"")</f>
        <v/>
      </c>
      <c r="T816" s="139" t="str">
        <f>IFERROR(__xludf.DUMMYFUNCTION("""COMPUTED_VALUE"""),"")</f>
        <v/>
      </c>
      <c r="U816" s="136" t="str">
        <f>IFERROR(__xludf.DUMMYFUNCTION("""COMPUTED_VALUE"""),"")</f>
        <v/>
      </c>
      <c r="V816" s="106" t="str">
        <f>IFERROR(__xludf.DUMMYFUNCTION("""COMPUTED_VALUE"""),"")</f>
        <v/>
      </c>
      <c r="W816" s="143" t="str">
        <f t="shared" si="2"/>
        <v/>
      </c>
      <c r="X816" s="139" t="str">
        <f>IFERROR(__xludf.DUMMYFUNCTION("""COMPUTED_VALUE"""),"")</f>
        <v/>
      </c>
      <c r="Y816" s="141" t="str">
        <f>IFERROR(__xludf.DUMMYFUNCTION("""COMPUTED_VALUE"""),"")</f>
        <v/>
      </c>
    </row>
    <row r="817">
      <c r="C817" s="136" t="str">
        <f t="shared" si="3"/>
        <v/>
      </c>
      <c r="E817" s="106"/>
      <c r="G817" s="106" t="s">
        <v>133</v>
      </c>
      <c r="I817" s="139" t="s">
        <v>133</v>
      </c>
      <c r="J817" s="136" t="s">
        <v>133</v>
      </c>
      <c r="L817" s="136" t="str">
        <f t="shared" si="1"/>
        <v/>
      </c>
      <c r="N817" s="141" t="s">
        <v>133</v>
      </c>
      <c r="O817" s="136" t="str">
        <f>IFERROR(__xludf.DUMMYFUNCTION("""COMPUTED_VALUE"""),"")</f>
        <v/>
      </c>
      <c r="P817" s="136" t="str">
        <f>IFERROR(__xludf.DUMMYFUNCTION("""COMPUTED_VALUE"""),"")</f>
        <v/>
      </c>
      <c r="Q817" s="106" t="str">
        <f>IFERROR(__xludf.DUMMYFUNCTION("""COMPUTED_VALUE"""),"")</f>
        <v/>
      </c>
      <c r="R817" s="106" t="str">
        <f>IFERROR(__xludf.DUMMYFUNCTION("""COMPUTED_VALUE"""),"")</f>
        <v/>
      </c>
      <c r="S817" s="139" t="str">
        <f>IFERROR(__xludf.DUMMYFUNCTION("""COMPUTED_VALUE"""),"")</f>
        <v/>
      </c>
      <c r="T817" s="139" t="str">
        <f>IFERROR(__xludf.DUMMYFUNCTION("""COMPUTED_VALUE"""),"")</f>
        <v/>
      </c>
      <c r="U817" s="136" t="str">
        <f>IFERROR(__xludf.DUMMYFUNCTION("""COMPUTED_VALUE"""),"")</f>
        <v/>
      </c>
      <c r="V817" s="106" t="str">
        <f>IFERROR(__xludf.DUMMYFUNCTION("""COMPUTED_VALUE"""),"")</f>
        <v/>
      </c>
      <c r="W817" s="143" t="str">
        <f t="shared" si="2"/>
        <v/>
      </c>
      <c r="X817" s="139" t="str">
        <f>IFERROR(__xludf.DUMMYFUNCTION("""COMPUTED_VALUE"""),"")</f>
        <v/>
      </c>
      <c r="Y817" s="141" t="str">
        <f>IFERROR(__xludf.DUMMYFUNCTION("""COMPUTED_VALUE"""),"")</f>
        <v/>
      </c>
    </row>
    <row r="818">
      <c r="C818" s="136" t="str">
        <f t="shared" si="3"/>
        <v/>
      </c>
      <c r="E818" s="106"/>
      <c r="G818" s="106" t="s">
        <v>133</v>
      </c>
      <c r="I818" s="139" t="s">
        <v>133</v>
      </c>
      <c r="J818" s="136" t="s">
        <v>133</v>
      </c>
      <c r="L818" s="136" t="str">
        <f t="shared" si="1"/>
        <v/>
      </c>
      <c r="N818" s="141" t="s">
        <v>133</v>
      </c>
      <c r="O818" s="136" t="str">
        <f>IFERROR(__xludf.DUMMYFUNCTION("""COMPUTED_VALUE"""),"")</f>
        <v/>
      </c>
      <c r="P818" s="136" t="str">
        <f>IFERROR(__xludf.DUMMYFUNCTION("""COMPUTED_VALUE"""),"")</f>
        <v/>
      </c>
      <c r="Q818" s="106" t="str">
        <f>IFERROR(__xludf.DUMMYFUNCTION("""COMPUTED_VALUE"""),"")</f>
        <v/>
      </c>
      <c r="R818" s="106" t="str">
        <f>IFERROR(__xludf.DUMMYFUNCTION("""COMPUTED_VALUE"""),"")</f>
        <v/>
      </c>
      <c r="S818" s="139" t="str">
        <f>IFERROR(__xludf.DUMMYFUNCTION("""COMPUTED_VALUE"""),"")</f>
        <v/>
      </c>
      <c r="T818" s="139" t="str">
        <f>IFERROR(__xludf.DUMMYFUNCTION("""COMPUTED_VALUE"""),"")</f>
        <v/>
      </c>
      <c r="U818" s="136" t="str">
        <f>IFERROR(__xludf.DUMMYFUNCTION("""COMPUTED_VALUE"""),"")</f>
        <v/>
      </c>
      <c r="V818" s="106" t="str">
        <f>IFERROR(__xludf.DUMMYFUNCTION("""COMPUTED_VALUE"""),"")</f>
        <v/>
      </c>
      <c r="W818" s="143" t="str">
        <f t="shared" si="2"/>
        <v/>
      </c>
      <c r="X818" s="139" t="str">
        <f>IFERROR(__xludf.DUMMYFUNCTION("""COMPUTED_VALUE"""),"")</f>
        <v/>
      </c>
      <c r="Y818" s="141" t="str">
        <f>IFERROR(__xludf.DUMMYFUNCTION("""COMPUTED_VALUE"""),"")</f>
        <v/>
      </c>
    </row>
    <row r="819">
      <c r="C819" s="136" t="str">
        <f t="shared" si="3"/>
        <v/>
      </c>
      <c r="E819" s="106"/>
      <c r="G819" s="106" t="s">
        <v>133</v>
      </c>
      <c r="I819" s="139" t="s">
        <v>133</v>
      </c>
      <c r="J819" s="136" t="s">
        <v>133</v>
      </c>
      <c r="L819" s="136" t="str">
        <f t="shared" si="1"/>
        <v/>
      </c>
      <c r="N819" s="141" t="s">
        <v>133</v>
      </c>
      <c r="O819" s="136" t="str">
        <f>IFERROR(__xludf.DUMMYFUNCTION("""COMPUTED_VALUE"""),"")</f>
        <v/>
      </c>
      <c r="P819" s="136" t="str">
        <f>IFERROR(__xludf.DUMMYFUNCTION("""COMPUTED_VALUE"""),"")</f>
        <v/>
      </c>
      <c r="Q819" s="106" t="str">
        <f>IFERROR(__xludf.DUMMYFUNCTION("""COMPUTED_VALUE"""),"")</f>
        <v/>
      </c>
      <c r="R819" s="106" t="str">
        <f>IFERROR(__xludf.DUMMYFUNCTION("""COMPUTED_VALUE"""),"")</f>
        <v/>
      </c>
      <c r="S819" s="139" t="str">
        <f>IFERROR(__xludf.DUMMYFUNCTION("""COMPUTED_VALUE"""),"")</f>
        <v/>
      </c>
      <c r="T819" s="139" t="str">
        <f>IFERROR(__xludf.DUMMYFUNCTION("""COMPUTED_VALUE"""),"")</f>
        <v/>
      </c>
      <c r="U819" s="136" t="str">
        <f>IFERROR(__xludf.DUMMYFUNCTION("""COMPUTED_VALUE"""),"")</f>
        <v/>
      </c>
      <c r="V819" s="106" t="str">
        <f>IFERROR(__xludf.DUMMYFUNCTION("""COMPUTED_VALUE"""),"")</f>
        <v/>
      </c>
      <c r="W819" s="143" t="str">
        <f t="shared" si="2"/>
        <v/>
      </c>
      <c r="X819" s="139" t="str">
        <f>IFERROR(__xludf.DUMMYFUNCTION("""COMPUTED_VALUE"""),"")</f>
        <v/>
      </c>
      <c r="Y819" s="141" t="str">
        <f>IFERROR(__xludf.DUMMYFUNCTION("""COMPUTED_VALUE"""),"")</f>
        <v/>
      </c>
    </row>
    <row r="820">
      <c r="C820" s="136" t="str">
        <f t="shared" si="3"/>
        <v/>
      </c>
      <c r="E820" s="106"/>
      <c r="G820" s="106" t="s">
        <v>133</v>
      </c>
      <c r="I820" s="139" t="s">
        <v>133</v>
      </c>
      <c r="J820" s="136" t="s">
        <v>133</v>
      </c>
      <c r="L820" s="136" t="str">
        <f t="shared" si="1"/>
        <v/>
      </c>
      <c r="N820" s="141" t="s">
        <v>133</v>
      </c>
      <c r="O820" s="136" t="str">
        <f>IFERROR(__xludf.DUMMYFUNCTION("""COMPUTED_VALUE"""),"")</f>
        <v/>
      </c>
      <c r="P820" s="136" t="str">
        <f>IFERROR(__xludf.DUMMYFUNCTION("""COMPUTED_VALUE"""),"")</f>
        <v/>
      </c>
      <c r="Q820" s="106" t="str">
        <f>IFERROR(__xludf.DUMMYFUNCTION("""COMPUTED_VALUE"""),"")</f>
        <v/>
      </c>
      <c r="R820" s="106" t="str">
        <f>IFERROR(__xludf.DUMMYFUNCTION("""COMPUTED_VALUE"""),"")</f>
        <v/>
      </c>
      <c r="S820" s="139" t="str">
        <f>IFERROR(__xludf.DUMMYFUNCTION("""COMPUTED_VALUE"""),"")</f>
        <v/>
      </c>
      <c r="T820" s="139" t="str">
        <f>IFERROR(__xludf.DUMMYFUNCTION("""COMPUTED_VALUE"""),"")</f>
        <v/>
      </c>
      <c r="U820" s="136" t="str">
        <f>IFERROR(__xludf.DUMMYFUNCTION("""COMPUTED_VALUE"""),"")</f>
        <v/>
      </c>
      <c r="V820" s="106" t="str">
        <f>IFERROR(__xludf.DUMMYFUNCTION("""COMPUTED_VALUE"""),"")</f>
        <v/>
      </c>
      <c r="W820" s="143" t="str">
        <f t="shared" si="2"/>
        <v/>
      </c>
      <c r="X820" s="139" t="str">
        <f>IFERROR(__xludf.DUMMYFUNCTION("""COMPUTED_VALUE"""),"")</f>
        <v/>
      </c>
      <c r="Y820" s="141" t="str">
        <f>IFERROR(__xludf.DUMMYFUNCTION("""COMPUTED_VALUE"""),"")</f>
        <v/>
      </c>
    </row>
    <row r="821">
      <c r="C821" s="136" t="str">
        <f t="shared" si="3"/>
        <v/>
      </c>
      <c r="E821" s="106"/>
      <c r="G821" s="106" t="s">
        <v>133</v>
      </c>
      <c r="I821" s="139" t="s">
        <v>133</v>
      </c>
      <c r="J821" s="136" t="s">
        <v>133</v>
      </c>
      <c r="L821" s="136" t="str">
        <f t="shared" si="1"/>
        <v/>
      </c>
      <c r="N821" s="141" t="s">
        <v>133</v>
      </c>
      <c r="O821" s="136" t="str">
        <f>IFERROR(__xludf.DUMMYFUNCTION("""COMPUTED_VALUE"""),"")</f>
        <v/>
      </c>
      <c r="P821" s="136" t="str">
        <f>IFERROR(__xludf.DUMMYFUNCTION("""COMPUTED_VALUE"""),"")</f>
        <v/>
      </c>
      <c r="Q821" s="106" t="str">
        <f>IFERROR(__xludf.DUMMYFUNCTION("""COMPUTED_VALUE"""),"")</f>
        <v/>
      </c>
      <c r="R821" s="106" t="str">
        <f>IFERROR(__xludf.DUMMYFUNCTION("""COMPUTED_VALUE"""),"")</f>
        <v/>
      </c>
      <c r="S821" s="139" t="str">
        <f>IFERROR(__xludf.DUMMYFUNCTION("""COMPUTED_VALUE"""),"")</f>
        <v/>
      </c>
      <c r="T821" s="139" t="str">
        <f>IFERROR(__xludf.DUMMYFUNCTION("""COMPUTED_VALUE"""),"")</f>
        <v/>
      </c>
      <c r="U821" s="136" t="str">
        <f>IFERROR(__xludf.DUMMYFUNCTION("""COMPUTED_VALUE"""),"")</f>
        <v/>
      </c>
      <c r="V821" s="106" t="str">
        <f>IFERROR(__xludf.DUMMYFUNCTION("""COMPUTED_VALUE"""),"")</f>
        <v/>
      </c>
      <c r="W821" s="143" t="str">
        <f t="shared" si="2"/>
        <v/>
      </c>
      <c r="X821" s="139" t="str">
        <f>IFERROR(__xludf.DUMMYFUNCTION("""COMPUTED_VALUE"""),"")</f>
        <v/>
      </c>
      <c r="Y821" s="141" t="str">
        <f>IFERROR(__xludf.DUMMYFUNCTION("""COMPUTED_VALUE"""),"")</f>
        <v/>
      </c>
    </row>
    <row r="822">
      <c r="C822" s="136" t="str">
        <f t="shared" si="3"/>
        <v/>
      </c>
      <c r="E822" s="106"/>
      <c r="G822" s="106" t="s">
        <v>133</v>
      </c>
      <c r="I822" s="139" t="s">
        <v>133</v>
      </c>
      <c r="J822" s="136" t="s">
        <v>133</v>
      </c>
      <c r="L822" s="136" t="str">
        <f t="shared" si="1"/>
        <v/>
      </c>
      <c r="N822" s="141" t="s">
        <v>133</v>
      </c>
      <c r="O822" s="136" t="str">
        <f>IFERROR(__xludf.DUMMYFUNCTION("""COMPUTED_VALUE"""),"")</f>
        <v/>
      </c>
      <c r="P822" s="136" t="str">
        <f>IFERROR(__xludf.DUMMYFUNCTION("""COMPUTED_VALUE"""),"")</f>
        <v/>
      </c>
      <c r="Q822" s="106" t="str">
        <f>IFERROR(__xludf.DUMMYFUNCTION("""COMPUTED_VALUE"""),"")</f>
        <v/>
      </c>
      <c r="R822" s="106" t="str">
        <f>IFERROR(__xludf.DUMMYFUNCTION("""COMPUTED_VALUE"""),"")</f>
        <v/>
      </c>
      <c r="S822" s="139" t="str">
        <f>IFERROR(__xludf.DUMMYFUNCTION("""COMPUTED_VALUE"""),"")</f>
        <v/>
      </c>
      <c r="T822" s="139" t="str">
        <f>IFERROR(__xludf.DUMMYFUNCTION("""COMPUTED_VALUE"""),"")</f>
        <v/>
      </c>
      <c r="U822" s="136" t="str">
        <f>IFERROR(__xludf.DUMMYFUNCTION("""COMPUTED_VALUE"""),"")</f>
        <v/>
      </c>
      <c r="V822" s="106" t="str">
        <f>IFERROR(__xludf.DUMMYFUNCTION("""COMPUTED_VALUE"""),"")</f>
        <v/>
      </c>
      <c r="W822" s="143" t="str">
        <f t="shared" si="2"/>
        <v/>
      </c>
      <c r="X822" s="139" t="str">
        <f>IFERROR(__xludf.DUMMYFUNCTION("""COMPUTED_VALUE"""),"")</f>
        <v/>
      </c>
      <c r="Y822" s="141" t="str">
        <f>IFERROR(__xludf.DUMMYFUNCTION("""COMPUTED_VALUE"""),"")</f>
        <v/>
      </c>
    </row>
    <row r="823">
      <c r="C823" s="136" t="str">
        <f t="shared" si="3"/>
        <v/>
      </c>
      <c r="E823" s="106"/>
      <c r="G823" s="106" t="s">
        <v>133</v>
      </c>
      <c r="I823" s="139" t="s">
        <v>133</v>
      </c>
      <c r="J823" s="136" t="s">
        <v>133</v>
      </c>
      <c r="L823" s="136" t="str">
        <f t="shared" si="1"/>
        <v/>
      </c>
      <c r="N823" s="141" t="s">
        <v>133</v>
      </c>
      <c r="O823" s="136" t="str">
        <f>IFERROR(__xludf.DUMMYFUNCTION("""COMPUTED_VALUE"""),"")</f>
        <v/>
      </c>
      <c r="P823" s="136" t="str">
        <f>IFERROR(__xludf.DUMMYFUNCTION("""COMPUTED_VALUE"""),"")</f>
        <v/>
      </c>
      <c r="Q823" s="106" t="str">
        <f>IFERROR(__xludf.DUMMYFUNCTION("""COMPUTED_VALUE"""),"")</f>
        <v/>
      </c>
      <c r="R823" s="106" t="str">
        <f>IFERROR(__xludf.DUMMYFUNCTION("""COMPUTED_VALUE"""),"")</f>
        <v/>
      </c>
      <c r="S823" s="139" t="str">
        <f>IFERROR(__xludf.DUMMYFUNCTION("""COMPUTED_VALUE"""),"")</f>
        <v/>
      </c>
      <c r="T823" s="139" t="str">
        <f>IFERROR(__xludf.DUMMYFUNCTION("""COMPUTED_VALUE"""),"")</f>
        <v/>
      </c>
      <c r="U823" s="136" t="str">
        <f>IFERROR(__xludf.DUMMYFUNCTION("""COMPUTED_VALUE"""),"")</f>
        <v/>
      </c>
      <c r="V823" s="106" t="str">
        <f>IFERROR(__xludf.DUMMYFUNCTION("""COMPUTED_VALUE"""),"")</f>
        <v/>
      </c>
      <c r="W823" s="143" t="str">
        <f t="shared" si="2"/>
        <v/>
      </c>
      <c r="X823" s="139" t="str">
        <f>IFERROR(__xludf.DUMMYFUNCTION("""COMPUTED_VALUE"""),"")</f>
        <v/>
      </c>
      <c r="Y823" s="141" t="str">
        <f>IFERROR(__xludf.DUMMYFUNCTION("""COMPUTED_VALUE"""),"")</f>
        <v/>
      </c>
    </row>
    <row r="824">
      <c r="C824" s="136" t="str">
        <f t="shared" si="3"/>
        <v/>
      </c>
      <c r="E824" s="106"/>
      <c r="G824" s="106" t="s">
        <v>133</v>
      </c>
      <c r="I824" s="139" t="s">
        <v>133</v>
      </c>
      <c r="J824" s="136" t="s">
        <v>133</v>
      </c>
      <c r="L824" s="136" t="str">
        <f t="shared" si="1"/>
        <v/>
      </c>
      <c r="N824" s="141" t="s">
        <v>133</v>
      </c>
      <c r="O824" s="136" t="str">
        <f>IFERROR(__xludf.DUMMYFUNCTION("""COMPUTED_VALUE"""),"")</f>
        <v/>
      </c>
      <c r="P824" s="136" t="str">
        <f>IFERROR(__xludf.DUMMYFUNCTION("""COMPUTED_VALUE"""),"")</f>
        <v/>
      </c>
      <c r="Q824" s="106" t="str">
        <f>IFERROR(__xludf.DUMMYFUNCTION("""COMPUTED_VALUE"""),"")</f>
        <v/>
      </c>
      <c r="R824" s="106" t="str">
        <f>IFERROR(__xludf.DUMMYFUNCTION("""COMPUTED_VALUE"""),"")</f>
        <v/>
      </c>
      <c r="S824" s="139" t="str">
        <f>IFERROR(__xludf.DUMMYFUNCTION("""COMPUTED_VALUE"""),"")</f>
        <v/>
      </c>
      <c r="T824" s="139" t="str">
        <f>IFERROR(__xludf.DUMMYFUNCTION("""COMPUTED_VALUE"""),"")</f>
        <v/>
      </c>
      <c r="U824" s="136" t="str">
        <f>IFERROR(__xludf.DUMMYFUNCTION("""COMPUTED_VALUE"""),"")</f>
        <v/>
      </c>
      <c r="V824" s="106" t="str">
        <f>IFERROR(__xludf.DUMMYFUNCTION("""COMPUTED_VALUE"""),"")</f>
        <v/>
      </c>
      <c r="W824" s="143" t="str">
        <f t="shared" si="2"/>
        <v/>
      </c>
      <c r="X824" s="139" t="str">
        <f>IFERROR(__xludf.DUMMYFUNCTION("""COMPUTED_VALUE"""),"")</f>
        <v/>
      </c>
      <c r="Y824" s="141" t="str">
        <f>IFERROR(__xludf.DUMMYFUNCTION("""COMPUTED_VALUE"""),"")</f>
        <v/>
      </c>
    </row>
    <row r="825">
      <c r="C825" s="136" t="str">
        <f t="shared" si="3"/>
        <v/>
      </c>
      <c r="E825" s="106"/>
      <c r="G825" s="106" t="s">
        <v>133</v>
      </c>
      <c r="I825" s="139" t="s">
        <v>133</v>
      </c>
      <c r="J825" s="136" t="s">
        <v>133</v>
      </c>
      <c r="L825" s="136" t="str">
        <f t="shared" si="1"/>
        <v/>
      </c>
      <c r="N825" s="141" t="s">
        <v>133</v>
      </c>
      <c r="O825" s="136" t="str">
        <f>IFERROR(__xludf.DUMMYFUNCTION("""COMPUTED_VALUE"""),"")</f>
        <v/>
      </c>
      <c r="P825" s="136" t="str">
        <f>IFERROR(__xludf.DUMMYFUNCTION("""COMPUTED_VALUE"""),"")</f>
        <v/>
      </c>
      <c r="Q825" s="106" t="str">
        <f>IFERROR(__xludf.DUMMYFUNCTION("""COMPUTED_VALUE"""),"")</f>
        <v/>
      </c>
      <c r="R825" s="106" t="str">
        <f>IFERROR(__xludf.DUMMYFUNCTION("""COMPUTED_VALUE"""),"")</f>
        <v/>
      </c>
      <c r="S825" s="139" t="str">
        <f>IFERROR(__xludf.DUMMYFUNCTION("""COMPUTED_VALUE"""),"")</f>
        <v/>
      </c>
      <c r="T825" s="139" t="str">
        <f>IFERROR(__xludf.DUMMYFUNCTION("""COMPUTED_VALUE"""),"")</f>
        <v/>
      </c>
      <c r="U825" s="136" t="str">
        <f>IFERROR(__xludf.DUMMYFUNCTION("""COMPUTED_VALUE"""),"")</f>
        <v/>
      </c>
      <c r="V825" s="106" t="str">
        <f>IFERROR(__xludf.DUMMYFUNCTION("""COMPUTED_VALUE"""),"")</f>
        <v/>
      </c>
      <c r="W825" s="143" t="str">
        <f t="shared" si="2"/>
        <v/>
      </c>
      <c r="X825" s="139" t="str">
        <f>IFERROR(__xludf.DUMMYFUNCTION("""COMPUTED_VALUE"""),"")</f>
        <v/>
      </c>
      <c r="Y825" s="141" t="str">
        <f>IFERROR(__xludf.DUMMYFUNCTION("""COMPUTED_VALUE"""),"")</f>
        <v/>
      </c>
    </row>
    <row r="826">
      <c r="C826" s="136" t="str">
        <f t="shared" si="3"/>
        <v/>
      </c>
      <c r="E826" s="106"/>
      <c r="G826" s="106" t="s">
        <v>133</v>
      </c>
      <c r="I826" s="139" t="s">
        <v>133</v>
      </c>
      <c r="J826" s="136" t="s">
        <v>133</v>
      </c>
      <c r="L826" s="136" t="str">
        <f t="shared" si="1"/>
        <v/>
      </c>
      <c r="N826" s="141" t="s">
        <v>133</v>
      </c>
      <c r="O826" s="136" t="str">
        <f>IFERROR(__xludf.DUMMYFUNCTION("""COMPUTED_VALUE"""),"")</f>
        <v/>
      </c>
      <c r="P826" s="136" t="str">
        <f>IFERROR(__xludf.DUMMYFUNCTION("""COMPUTED_VALUE"""),"")</f>
        <v/>
      </c>
      <c r="Q826" s="106" t="str">
        <f>IFERROR(__xludf.DUMMYFUNCTION("""COMPUTED_VALUE"""),"")</f>
        <v/>
      </c>
      <c r="R826" s="106" t="str">
        <f>IFERROR(__xludf.DUMMYFUNCTION("""COMPUTED_VALUE"""),"")</f>
        <v/>
      </c>
      <c r="S826" s="139" t="str">
        <f>IFERROR(__xludf.DUMMYFUNCTION("""COMPUTED_VALUE"""),"")</f>
        <v/>
      </c>
      <c r="T826" s="139" t="str">
        <f>IFERROR(__xludf.DUMMYFUNCTION("""COMPUTED_VALUE"""),"")</f>
        <v/>
      </c>
      <c r="U826" s="136" t="str">
        <f>IFERROR(__xludf.DUMMYFUNCTION("""COMPUTED_VALUE"""),"")</f>
        <v/>
      </c>
      <c r="V826" s="106" t="str">
        <f>IFERROR(__xludf.DUMMYFUNCTION("""COMPUTED_VALUE"""),"")</f>
        <v/>
      </c>
      <c r="W826" s="143" t="str">
        <f t="shared" si="2"/>
        <v/>
      </c>
      <c r="X826" s="139" t="str">
        <f>IFERROR(__xludf.DUMMYFUNCTION("""COMPUTED_VALUE"""),"")</f>
        <v/>
      </c>
      <c r="Y826" s="141" t="str">
        <f>IFERROR(__xludf.DUMMYFUNCTION("""COMPUTED_VALUE"""),"")</f>
        <v/>
      </c>
    </row>
    <row r="827">
      <c r="C827" s="136" t="str">
        <f t="shared" si="3"/>
        <v/>
      </c>
      <c r="E827" s="106"/>
      <c r="G827" s="106" t="s">
        <v>133</v>
      </c>
      <c r="I827" s="139" t="s">
        <v>133</v>
      </c>
      <c r="J827" s="136" t="s">
        <v>133</v>
      </c>
      <c r="L827" s="136" t="str">
        <f t="shared" si="1"/>
        <v/>
      </c>
      <c r="N827" s="141" t="s">
        <v>133</v>
      </c>
      <c r="O827" s="136" t="str">
        <f>IFERROR(__xludf.DUMMYFUNCTION("""COMPUTED_VALUE"""),"")</f>
        <v/>
      </c>
      <c r="P827" s="136" t="str">
        <f>IFERROR(__xludf.DUMMYFUNCTION("""COMPUTED_VALUE"""),"")</f>
        <v/>
      </c>
      <c r="Q827" s="106" t="str">
        <f>IFERROR(__xludf.DUMMYFUNCTION("""COMPUTED_VALUE"""),"")</f>
        <v/>
      </c>
      <c r="R827" s="106" t="str">
        <f>IFERROR(__xludf.DUMMYFUNCTION("""COMPUTED_VALUE"""),"")</f>
        <v/>
      </c>
      <c r="S827" s="139" t="str">
        <f>IFERROR(__xludf.DUMMYFUNCTION("""COMPUTED_VALUE"""),"")</f>
        <v/>
      </c>
      <c r="T827" s="139" t="str">
        <f>IFERROR(__xludf.DUMMYFUNCTION("""COMPUTED_VALUE"""),"")</f>
        <v/>
      </c>
      <c r="U827" s="136" t="str">
        <f>IFERROR(__xludf.DUMMYFUNCTION("""COMPUTED_VALUE"""),"")</f>
        <v/>
      </c>
      <c r="V827" s="106" t="str">
        <f>IFERROR(__xludf.DUMMYFUNCTION("""COMPUTED_VALUE"""),"")</f>
        <v/>
      </c>
      <c r="W827" s="143" t="str">
        <f t="shared" si="2"/>
        <v/>
      </c>
      <c r="X827" s="139" t="str">
        <f>IFERROR(__xludf.DUMMYFUNCTION("""COMPUTED_VALUE"""),"")</f>
        <v/>
      </c>
      <c r="Y827" s="141" t="str">
        <f>IFERROR(__xludf.DUMMYFUNCTION("""COMPUTED_VALUE"""),"")</f>
        <v/>
      </c>
    </row>
    <row r="828">
      <c r="C828" s="136" t="str">
        <f t="shared" si="3"/>
        <v/>
      </c>
      <c r="E828" s="106"/>
      <c r="G828" s="106" t="s">
        <v>133</v>
      </c>
      <c r="I828" s="139" t="s">
        <v>133</v>
      </c>
      <c r="J828" s="136" t="s">
        <v>133</v>
      </c>
      <c r="L828" s="136" t="str">
        <f t="shared" si="1"/>
        <v/>
      </c>
      <c r="N828" s="141" t="s">
        <v>133</v>
      </c>
      <c r="O828" s="136" t="str">
        <f>IFERROR(__xludf.DUMMYFUNCTION("""COMPUTED_VALUE"""),"")</f>
        <v/>
      </c>
      <c r="P828" s="136" t="str">
        <f>IFERROR(__xludf.DUMMYFUNCTION("""COMPUTED_VALUE"""),"")</f>
        <v/>
      </c>
      <c r="Q828" s="106" t="str">
        <f>IFERROR(__xludf.DUMMYFUNCTION("""COMPUTED_VALUE"""),"")</f>
        <v/>
      </c>
      <c r="R828" s="106" t="str">
        <f>IFERROR(__xludf.DUMMYFUNCTION("""COMPUTED_VALUE"""),"")</f>
        <v/>
      </c>
      <c r="S828" s="139" t="str">
        <f>IFERROR(__xludf.DUMMYFUNCTION("""COMPUTED_VALUE"""),"")</f>
        <v/>
      </c>
      <c r="T828" s="139" t="str">
        <f>IFERROR(__xludf.DUMMYFUNCTION("""COMPUTED_VALUE"""),"")</f>
        <v/>
      </c>
      <c r="U828" s="136" t="str">
        <f>IFERROR(__xludf.DUMMYFUNCTION("""COMPUTED_VALUE"""),"")</f>
        <v/>
      </c>
      <c r="V828" s="106" t="str">
        <f>IFERROR(__xludf.DUMMYFUNCTION("""COMPUTED_VALUE"""),"")</f>
        <v/>
      </c>
      <c r="W828" s="143" t="str">
        <f t="shared" si="2"/>
        <v/>
      </c>
      <c r="X828" s="139" t="str">
        <f>IFERROR(__xludf.DUMMYFUNCTION("""COMPUTED_VALUE"""),"")</f>
        <v/>
      </c>
      <c r="Y828" s="141" t="str">
        <f>IFERROR(__xludf.DUMMYFUNCTION("""COMPUTED_VALUE"""),"")</f>
        <v/>
      </c>
    </row>
    <row r="829">
      <c r="C829" s="136" t="str">
        <f t="shared" si="3"/>
        <v/>
      </c>
      <c r="E829" s="106"/>
      <c r="G829" s="106" t="s">
        <v>133</v>
      </c>
      <c r="I829" s="139" t="s">
        <v>133</v>
      </c>
      <c r="J829" s="136" t="s">
        <v>133</v>
      </c>
      <c r="L829" s="136" t="str">
        <f t="shared" si="1"/>
        <v/>
      </c>
      <c r="N829" s="141" t="s">
        <v>133</v>
      </c>
      <c r="O829" s="136" t="str">
        <f>IFERROR(__xludf.DUMMYFUNCTION("""COMPUTED_VALUE"""),"")</f>
        <v/>
      </c>
      <c r="P829" s="136" t="str">
        <f>IFERROR(__xludf.DUMMYFUNCTION("""COMPUTED_VALUE"""),"")</f>
        <v/>
      </c>
      <c r="Q829" s="106" t="str">
        <f>IFERROR(__xludf.DUMMYFUNCTION("""COMPUTED_VALUE"""),"")</f>
        <v/>
      </c>
      <c r="R829" s="106" t="str">
        <f>IFERROR(__xludf.DUMMYFUNCTION("""COMPUTED_VALUE"""),"")</f>
        <v/>
      </c>
      <c r="S829" s="139" t="str">
        <f>IFERROR(__xludf.DUMMYFUNCTION("""COMPUTED_VALUE"""),"")</f>
        <v/>
      </c>
      <c r="T829" s="139" t="str">
        <f>IFERROR(__xludf.DUMMYFUNCTION("""COMPUTED_VALUE"""),"")</f>
        <v/>
      </c>
      <c r="U829" s="136" t="str">
        <f>IFERROR(__xludf.DUMMYFUNCTION("""COMPUTED_VALUE"""),"")</f>
        <v/>
      </c>
      <c r="V829" s="106" t="str">
        <f>IFERROR(__xludf.DUMMYFUNCTION("""COMPUTED_VALUE"""),"")</f>
        <v/>
      </c>
      <c r="W829" s="143" t="str">
        <f t="shared" si="2"/>
        <v/>
      </c>
      <c r="X829" s="139" t="str">
        <f>IFERROR(__xludf.DUMMYFUNCTION("""COMPUTED_VALUE"""),"")</f>
        <v/>
      </c>
      <c r="Y829" s="141" t="str">
        <f>IFERROR(__xludf.DUMMYFUNCTION("""COMPUTED_VALUE"""),"")</f>
        <v/>
      </c>
    </row>
    <row r="830">
      <c r="C830" s="136" t="str">
        <f t="shared" si="3"/>
        <v/>
      </c>
      <c r="E830" s="106"/>
      <c r="G830" s="106" t="s">
        <v>133</v>
      </c>
      <c r="I830" s="139" t="s">
        <v>133</v>
      </c>
      <c r="J830" s="136" t="s">
        <v>133</v>
      </c>
      <c r="L830" s="136" t="str">
        <f t="shared" si="1"/>
        <v/>
      </c>
      <c r="N830" s="141" t="s">
        <v>133</v>
      </c>
      <c r="O830" s="136" t="str">
        <f>IFERROR(__xludf.DUMMYFUNCTION("""COMPUTED_VALUE"""),"")</f>
        <v/>
      </c>
      <c r="P830" s="136" t="str">
        <f>IFERROR(__xludf.DUMMYFUNCTION("""COMPUTED_VALUE"""),"")</f>
        <v/>
      </c>
      <c r="Q830" s="106" t="str">
        <f>IFERROR(__xludf.DUMMYFUNCTION("""COMPUTED_VALUE"""),"")</f>
        <v/>
      </c>
      <c r="R830" s="106" t="str">
        <f>IFERROR(__xludf.DUMMYFUNCTION("""COMPUTED_VALUE"""),"")</f>
        <v/>
      </c>
      <c r="S830" s="139" t="str">
        <f>IFERROR(__xludf.DUMMYFUNCTION("""COMPUTED_VALUE"""),"")</f>
        <v/>
      </c>
      <c r="T830" s="139" t="str">
        <f>IFERROR(__xludf.DUMMYFUNCTION("""COMPUTED_VALUE"""),"")</f>
        <v/>
      </c>
      <c r="U830" s="136" t="str">
        <f>IFERROR(__xludf.DUMMYFUNCTION("""COMPUTED_VALUE"""),"")</f>
        <v/>
      </c>
      <c r="V830" s="106" t="str">
        <f>IFERROR(__xludf.DUMMYFUNCTION("""COMPUTED_VALUE"""),"")</f>
        <v/>
      </c>
      <c r="W830" s="143" t="str">
        <f t="shared" si="2"/>
        <v/>
      </c>
      <c r="X830" s="139" t="str">
        <f>IFERROR(__xludf.DUMMYFUNCTION("""COMPUTED_VALUE"""),"")</f>
        <v/>
      </c>
      <c r="Y830" s="141" t="str">
        <f>IFERROR(__xludf.DUMMYFUNCTION("""COMPUTED_VALUE"""),"")</f>
        <v/>
      </c>
    </row>
    <row r="831">
      <c r="C831" s="136" t="str">
        <f t="shared" si="3"/>
        <v/>
      </c>
      <c r="E831" s="106"/>
      <c r="G831" s="106" t="s">
        <v>133</v>
      </c>
      <c r="I831" s="139" t="s">
        <v>133</v>
      </c>
      <c r="J831" s="136" t="s">
        <v>133</v>
      </c>
      <c r="L831" s="136" t="str">
        <f t="shared" si="1"/>
        <v/>
      </c>
      <c r="N831" s="141" t="s">
        <v>133</v>
      </c>
      <c r="O831" s="136" t="str">
        <f>IFERROR(__xludf.DUMMYFUNCTION("""COMPUTED_VALUE"""),"")</f>
        <v/>
      </c>
      <c r="P831" s="136" t="str">
        <f>IFERROR(__xludf.DUMMYFUNCTION("""COMPUTED_VALUE"""),"")</f>
        <v/>
      </c>
      <c r="Q831" s="106" t="str">
        <f>IFERROR(__xludf.DUMMYFUNCTION("""COMPUTED_VALUE"""),"")</f>
        <v/>
      </c>
      <c r="R831" s="106" t="str">
        <f>IFERROR(__xludf.DUMMYFUNCTION("""COMPUTED_VALUE"""),"")</f>
        <v/>
      </c>
      <c r="S831" s="139" t="str">
        <f>IFERROR(__xludf.DUMMYFUNCTION("""COMPUTED_VALUE"""),"")</f>
        <v/>
      </c>
      <c r="T831" s="139" t="str">
        <f>IFERROR(__xludf.DUMMYFUNCTION("""COMPUTED_VALUE"""),"")</f>
        <v/>
      </c>
      <c r="U831" s="136" t="str">
        <f>IFERROR(__xludf.DUMMYFUNCTION("""COMPUTED_VALUE"""),"")</f>
        <v/>
      </c>
      <c r="V831" s="106" t="str">
        <f>IFERROR(__xludf.DUMMYFUNCTION("""COMPUTED_VALUE"""),"")</f>
        <v/>
      </c>
      <c r="W831" s="143" t="str">
        <f t="shared" si="2"/>
        <v/>
      </c>
      <c r="X831" s="139" t="str">
        <f>IFERROR(__xludf.DUMMYFUNCTION("""COMPUTED_VALUE"""),"")</f>
        <v/>
      </c>
      <c r="Y831" s="141" t="str">
        <f>IFERROR(__xludf.DUMMYFUNCTION("""COMPUTED_VALUE"""),"")</f>
        <v/>
      </c>
    </row>
    <row r="832">
      <c r="C832" s="136" t="str">
        <f t="shared" si="3"/>
        <v/>
      </c>
      <c r="E832" s="106"/>
      <c r="G832" s="106" t="s">
        <v>133</v>
      </c>
      <c r="I832" s="139" t="s">
        <v>133</v>
      </c>
      <c r="J832" s="136" t="s">
        <v>133</v>
      </c>
      <c r="L832" s="136" t="str">
        <f t="shared" si="1"/>
        <v/>
      </c>
      <c r="N832" s="141" t="s">
        <v>133</v>
      </c>
      <c r="O832" s="136" t="str">
        <f>IFERROR(__xludf.DUMMYFUNCTION("""COMPUTED_VALUE"""),"")</f>
        <v/>
      </c>
      <c r="P832" s="136" t="str">
        <f>IFERROR(__xludf.DUMMYFUNCTION("""COMPUTED_VALUE"""),"")</f>
        <v/>
      </c>
      <c r="Q832" s="106" t="str">
        <f>IFERROR(__xludf.DUMMYFUNCTION("""COMPUTED_VALUE"""),"")</f>
        <v/>
      </c>
      <c r="R832" s="106" t="str">
        <f>IFERROR(__xludf.DUMMYFUNCTION("""COMPUTED_VALUE"""),"")</f>
        <v/>
      </c>
      <c r="S832" s="139" t="str">
        <f>IFERROR(__xludf.DUMMYFUNCTION("""COMPUTED_VALUE"""),"")</f>
        <v/>
      </c>
      <c r="T832" s="139" t="str">
        <f>IFERROR(__xludf.DUMMYFUNCTION("""COMPUTED_VALUE"""),"")</f>
        <v/>
      </c>
      <c r="U832" s="136" t="str">
        <f>IFERROR(__xludf.DUMMYFUNCTION("""COMPUTED_VALUE"""),"")</f>
        <v/>
      </c>
      <c r="V832" s="106" t="str">
        <f>IFERROR(__xludf.DUMMYFUNCTION("""COMPUTED_VALUE"""),"")</f>
        <v/>
      </c>
      <c r="W832" s="143" t="str">
        <f t="shared" si="2"/>
        <v/>
      </c>
      <c r="X832" s="139" t="str">
        <f>IFERROR(__xludf.DUMMYFUNCTION("""COMPUTED_VALUE"""),"")</f>
        <v/>
      </c>
      <c r="Y832" s="141" t="str">
        <f>IFERROR(__xludf.DUMMYFUNCTION("""COMPUTED_VALUE"""),"")</f>
        <v/>
      </c>
    </row>
    <row r="833">
      <c r="C833" s="136" t="str">
        <f t="shared" si="3"/>
        <v/>
      </c>
      <c r="E833" s="106"/>
      <c r="G833" s="106" t="s">
        <v>133</v>
      </c>
      <c r="I833" s="139" t="s">
        <v>133</v>
      </c>
      <c r="J833" s="136" t="s">
        <v>133</v>
      </c>
      <c r="L833" s="136" t="str">
        <f t="shared" si="1"/>
        <v/>
      </c>
      <c r="N833" s="141" t="s">
        <v>133</v>
      </c>
      <c r="O833" s="136" t="str">
        <f>IFERROR(__xludf.DUMMYFUNCTION("""COMPUTED_VALUE"""),"")</f>
        <v/>
      </c>
      <c r="P833" s="136" t="str">
        <f>IFERROR(__xludf.DUMMYFUNCTION("""COMPUTED_VALUE"""),"")</f>
        <v/>
      </c>
      <c r="Q833" s="106" t="str">
        <f>IFERROR(__xludf.DUMMYFUNCTION("""COMPUTED_VALUE"""),"")</f>
        <v/>
      </c>
      <c r="R833" s="106" t="str">
        <f>IFERROR(__xludf.DUMMYFUNCTION("""COMPUTED_VALUE"""),"")</f>
        <v/>
      </c>
      <c r="S833" s="139" t="str">
        <f>IFERROR(__xludf.DUMMYFUNCTION("""COMPUTED_VALUE"""),"")</f>
        <v/>
      </c>
      <c r="T833" s="139" t="str">
        <f>IFERROR(__xludf.DUMMYFUNCTION("""COMPUTED_VALUE"""),"")</f>
        <v/>
      </c>
      <c r="U833" s="136" t="str">
        <f>IFERROR(__xludf.DUMMYFUNCTION("""COMPUTED_VALUE"""),"")</f>
        <v/>
      </c>
      <c r="V833" s="106" t="str">
        <f>IFERROR(__xludf.DUMMYFUNCTION("""COMPUTED_VALUE"""),"")</f>
        <v/>
      </c>
      <c r="W833" s="143" t="str">
        <f t="shared" si="2"/>
        <v/>
      </c>
      <c r="X833" s="139" t="str">
        <f>IFERROR(__xludf.DUMMYFUNCTION("""COMPUTED_VALUE"""),"")</f>
        <v/>
      </c>
      <c r="Y833" s="141" t="str">
        <f>IFERROR(__xludf.DUMMYFUNCTION("""COMPUTED_VALUE"""),"")</f>
        <v/>
      </c>
    </row>
    <row r="834">
      <c r="C834" s="136" t="str">
        <f t="shared" si="3"/>
        <v/>
      </c>
      <c r="E834" s="106"/>
      <c r="G834" s="106" t="s">
        <v>133</v>
      </c>
      <c r="I834" s="139" t="s">
        <v>133</v>
      </c>
      <c r="J834" s="136" t="s">
        <v>133</v>
      </c>
      <c r="L834" s="136" t="str">
        <f t="shared" si="1"/>
        <v/>
      </c>
      <c r="N834" s="141" t="s">
        <v>133</v>
      </c>
      <c r="O834" s="136" t="str">
        <f>IFERROR(__xludf.DUMMYFUNCTION("""COMPUTED_VALUE"""),"")</f>
        <v/>
      </c>
      <c r="P834" s="136" t="str">
        <f>IFERROR(__xludf.DUMMYFUNCTION("""COMPUTED_VALUE"""),"")</f>
        <v/>
      </c>
      <c r="Q834" s="106" t="str">
        <f>IFERROR(__xludf.DUMMYFUNCTION("""COMPUTED_VALUE"""),"")</f>
        <v/>
      </c>
      <c r="R834" s="106" t="str">
        <f>IFERROR(__xludf.DUMMYFUNCTION("""COMPUTED_VALUE"""),"")</f>
        <v/>
      </c>
      <c r="S834" s="139" t="str">
        <f>IFERROR(__xludf.DUMMYFUNCTION("""COMPUTED_VALUE"""),"")</f>
        <v/>
      </c>
      <c r="T834" s="139" t="str">
        <f>IFERROR(__xludf.DUMMYFUNCTION("""COMPUTED_VALUE"""),"")</f>
        <v/>
      </c>
      <c r="U834" s="136" t="str">
        <f>IFERROR(__xludf.DUMMYFUNCTION("""COMPUTED_VALUE"""),"")</f>
        <v/>
      </c>
      <c r="V834" s="106" t="str">
        <f>IFERROR(__xludf.DUMMYFUNCTION("""COMPUTED_VALUE"""),"")</f>
        <v/>
      </c>
      <c r="W834" s="143" t="str">
        <f t="shared" si="2"/>
        <v/>
      </c>
      <c r="X834" s="139" t="str">
        <f>IFERROR(__xludf.DUMMYFUNCTION("""COMPUTED_VALUE"""),"")</f>
        <v/>
      </c>
      <c r="Y834" s="141" t="str">
        <f>IFERROR(__xludf.DUMMYFUNCTION("""COMPUTED_VALUE"""),"")</f>
        <v/>
      </c>
    </row>
    <row r="835">
      <c r="C835" s="136" t="str">
        <f t="shared" si="3"/>
        <v/>
      </c>
      <c r="E835" s="106"/>
      <c r="G835" s="106" t="s">
        <v>133</v>
      </c>
      <c r="I835" s="139" t="s">
        <v>133</v>
      </c>
      <c r="J835" s="136" t="s">
        <v>133</v>
      </c>
      <c r="L835" s="136" t="str">
        <f t="shared" si="1"/>
        <v/>
      </c>
      <c r="N835" s="141" t="s">
        <v>133</v>
      </c>
      <c r="O835" s="136" t="str">
        <f>IFERROR(__xludf.DUMMYFUNCTION("""COMPUTED_VALUE"""),"")</f>
        <v/>
      </c>
      <c r="P835" s="136" t="str">
        <f>IFERROR(__xludf.DUMMYFUNCTION("""COMPUTED_VALUE"""),"")</f>
        <v/>
      </c>
      <c r="Q835" s="106" t="str">
        <f>IFERROR(__xludf.DUMMYFUNCTION("""COMPUTED_VALUE"""),"")</f>
        <v/>
      </c>
      <c r="R835" s="106" t="str">
        <f>IFERROR(__xludf.DUMMYFUNCTION("""COMPUTED_VALUE"""),"")</f>
        <v/>
      </c>
      <c r="S835" s="139" t="str">
        <f>IFERROR(__xludf.DUMMYFUNCTION("""COMPUTED_VALUE"""),"")</f>
        <v/>
      </c>
      <c r="T835" s="139" t="str">
        <f>IFERROR(__xludf.DUMMYFUNCTION("""COMPUTED_VALUE"""),"")</f>
        <v/>
      </c>
      <c r="U835" s="136" t="str">
        <f>IFERROR(__xludf.DUMMYFUNCTION("""COMPUTED_VALUE"""),"")</f>
        <v/>
      </c>
      <c r="V835" s="106" t="str">
        <f>IFERROR(__xludf.DUMMYFUNCTION("""COMPUTED_VALUE"""),"")</f>
        <v/>
      </c>
      <c r="W835" s="143" t="str">
        <f t="shared" si="2"/>
        <v/>
      </c>
      <c r="X835" s="139" t="str">
        <f>IFERROR(__xludf.DUMMYFUNCTION("""COMPUTED_VALUE"""),"")</f>
        <v/>
      </c>
      <c r="Y835" s="141" t="str">
        <f>IFERROR(__xludf.DUMMYFUNCTION("""COMPUTED_VALUE"""),"")</f>
        <v/>
      </c>
    </row>
    <row r="836">
      <c r="C836" s="136" t="str">
        <f t="shared" si="3"/>
        <v/>
      </c>
      <c r="E836" s="106"/>
      <c r="G836" s="106" t="s">
        <v>133</v>
      </c>
      <c r="I836" s="139" t="s">
        <v>133</v>
      </c>
      <c r="J836" s="136" t="s">
        <v>133</v>
      </c>
      <c r="L836" s="136" t="str">
        <f t="shared" si="1"/>
        <v/>
      </c>
      <c r="N836" s="141" t="s">
        <v>133</v>
      </c>
      <c r="O836" s="136" t="str">
        <f>IFERROR(__xludf.DUMMYFUNCTION("""COMPUTED_VALUE"""),"")</f>
        <v/>
      </c>
      <c r="P836" s="136" t="str">
        <f>IFERROR(__xludf.DUMMYFUNCTION("""COMPUTED_VALUE"""),"")</f>
        <v/>
      </c>
      <c r="Q836" s="106" t="str">
        <f>IFERROR(__xludf.DUMMYFUNCTION("""COMPUTED_VALUE"""),"")</f>
        <v/>
      </c>
      <c r="R836" s="106" t="str">
        <f>IFERROR(__xludf.DUMMYFUNCTION("""COMPUTED_VALUE"""),"")</f>
        <v/>
      </c>
      <c r="S836" s="139" t="str">
        <f>IFERROR(__xludf.DUMMYFUNCTION("""COMPUTED_VALUE"""),"")</f>
        <v/>
      </c>
      <c r="T836" s="139" t="str">
        <f>IFERROR(__xludf.DUMMYFUNCTION("""COMPUTED_VALUE"""),"")</f>
        <v/>
      </c>
      <c r="U836" s="136" t="str">
        <f>IFERROR(__xludf.DUMMYFUNCTION("""COMPUTED_VALUE"""),"")</f>
        <v/>
      </c>
      <c r="V836" s="106" t="str">
        <f>IFERROR(__xludf.DUMMYFUNCTION("""COMPUTED_VALUE"""),"")</f>
        <v/>
      </c>
      <c r="W836" s="143" t="str">
        <f t="shared" si="2"/>
        <v/>
      </c>
      <c r="X836" s="139" t="str">
        <f>IFERROR(__xludf.DUMMYFUNCTION("""COMPUTED_VALUE"""),"")</f>
        <v/>
      </c>
      <c r="Y836" s="141" t="str">
        <f>IFERROR(__xludf.DUMMYFUNCTION("""COMPUTED_VALUE"""),"")</f>
        <v/>
      </c>
    </row>
    <row r="837">
      <c r="C837" s="136" t="str">
        <f t="shared" si="3"/>
        <v/>
      </c>
      <c r="E837" s="106"/>
      <c r="G837" s="106" t="s">
        <v>133</v>
      </c>
      <c r="I837" s="139" t="s">
        <v>133</v>
      </c>
      <c r="J837" s="136" t="s">
        <v>133</v>
      </c>
      <c r="L837" s="136" t="str">
        <f t="shared" si="1"/>
        <v/>
      </c>
      <c r="N837" s="141" t="s">
        <v>133</v>
      </c>
      <c r="O837" s="136" t="str">
        <f>IFERROR(__xludf.DUMMYFUNCTION("""COMPUTED_VALUE"""),"")</f>
        <v/>
      </c>
      <c r="P837" s="136" t="str">
        <f>IFERROR(__xludf.DUMMYFUNCTION("""COMPUTED_VALUE"""),"")</f>
        <v/>
      </c>
      <c r="Q837" s="106" t="str">
        <f>IFERROR(__xludf.DUMMYFUNCTION("""COMPUTED_VALUE"""),"")</f>
        <v/>
      </c>
      <c r="R837" s="106" t="str">
        <f>IFERROR(__xludf.DUMMYFUNCTION("""COMPUTED_VALUE"""),"")</f>
        <v/>
      </c>
      <c r="S837" s="139" t="str">
        <f>IFERROR(__xludf.DUMMYFUNCTION("""COMPUTED_VALUE"""),"")</f>
        <v/>
      </c>
      <c r="T837" s="139" t="str">
        <f>IFERROR(__xludf.DUMMYFUNCTION("""COMPUTED_VALUE"""),"")</f>
        <v/>
      </c>
      <c r="U837" s="136" t="str">
        <f>IFERROR(__xludf.DUMMYFUNCTION("""COMPUTED_VALUE"""),"")</f>
        <v/>
      </c>
      <c r="V837" s="106" t="str">
        <f>IFERROR(__xludf.DUMMYFUNCTION("""COMPUTED_VALUE"""),"")</f>
        <v/>
      </c>
      <c r="W837" s="143" t="str">
        <f t="shared" si="2"/>
        <v/>
      </c>
      <c r="X837" s="139" t="str">
        <f>IFERROR(__xludf.DUMMYFUNCTION("""COMPUTED_VALUE"""),"")</f>
        <v/>
      </c>
      <c r="Y837" s="141" t="str">
        <f>IFERROR(__xludf.DUMMYFUNCTION("""COMPUTED_VALUE"""),"")</f>
        <v/>
      </c>
    </row>
    <row r="838">
      <c r="C838" s="136" t="str">
        <f t="shared" si="3"/>
        <v/>
      </c>
      <c r="E838" s="106"/>
      <c r="G838" s="106" t="s">
        <v>133</v>
      </c>
      <c r="I838" s="139" t="s">
        <v>133</v>
      </c>
      <c r="J838" s="136" t="s">
        <v>133</v>
      </c>
      <c r="L838" s="136" t="str">
        <f t="shared" si="1"/>
        <v/>
      </c>
      <c r="N838" s="141" t="s">
        <v>133</v>
      </c>
      <c r="O838" s="136" t="str">
        <f>IFERROR(__xludf.DUMMYFUNCTION("""COMPUTED_VALUE"""),"")</f>
        <v/>
      </c>
      <c r="P838" s="136" t="str">
        <f>IFERROR(__xludf.DUMMYFUNCTION("""COMPUTED_VALUE"""),"")</f>
        <v/>
      </c>
      <c r="Q838" s="106" t="str">
        <f>IFERROR(__xludf.DUMMYFUNCTION("""COMPUTED_VALUE"""),"")</f>
        <v/>
      </c>
      <c r="R838" s="106" t="str">
        <f>IFERROR(__xludf.DUMMYFUNCTION("""COMPUTED_VALUE"""),"")</f>
        <v/>
      </c>
      <c r="S838" s="139" t="str">
        <f>IFERROR(__xludf.DUMMYFUNCTION("""COMPUTED_VALUE"""),"")</f>
        <v/>
      </c>
      <c r="T838" s="139" t="str">
        <f>IFERROR(__xludf.DUMMYFUNCTION("""COMPUTED_VALUE"""),"")</f>
        <v/>
      </c>
      <c r="U838" s="136" t="str">
        <f>IFERROR(__xludf.DUMMYFUNCTION("""COMPUTED_VALUE"""),"")</f>
        <v/>
      </c>
      <c r="V838" s="106" t="str">
        <f>IFERROR(__xludf.DUMMYFUNCTION("""COMPUTED_VALUE"""),"")</f>
        <v/>
      </c>
      <c r="W838" s="143" t="str">
        <f t="shared" si="2"/>
        <v/>
      </c>
      <c r="X838" s="139" t="str">
        <f>IFERROR(__xludf.DUMMYFUNCTION("""COMPUTED_VALUE"""),"")</f>
        <v/>
      </c>
      <c r="Y838" s="141" t="str">
        <f>IFERROR(__xludf.DUMMYFUNCTION("""COMPUTED_VALUE"""),"")</f>
        <v/>
      </c>
    </row>
    <row r="839">
      <c r="C839" s="136" t="str">
        <f t="shared" si="3"/>
        <v/>
      </c>
      <c r="E839" s="106"/>
      <c r="G839" s="106" t="s">
        <v>133</v>
      </c>
      <c r="I839" s="139" t="s">
        <v>133</v>
      </c>
      <c r="J839" s="136" t="s">
        <v>133</v>
      </c>
      <c r="L839" s="136" t="str">
        <f t="shared" si="1"/>
        <v/>
      </c>
      <c r="N839" s="141" t="s">
        <v>133</v>
      </c>
      <c r="O839" s="136" t="str">
        <f>IFERROR(__xludf.DUMMYFUNCTION("""COMPUTED_VALUE"""),"")</f>
        <v/>
      </c>
      <c r="P839" s="136" t="str">
        <f>IFERROR(__xludf.DUMMYFUNCTION("""COMPUTED_VALUE"""),"")</f>
        <v/>
      </c>
      <c r="Q839" s="106" t="str">
        <f>IFERROR(__xludf.DUMMYFUNCTION("""COMPUTED_VALUE"""),"")</f>
        <v/>
      </c>
      <c r="R839" s="106" t="str">
        <f>IFERROR(__xludf.DUMMYFUNCTION("""COMPUTED_VALUE"""),"")</f>
        <v/>
      </c>
      <c r="S839" s="139" t="str">
        <f>IFERROR(__xludf.DUMMYFUNCTION("""COMPUTED_VALUE"""),"")</f>
        <v/>
      </c>
      <c r="T839" s="139" t="str">
        <f>IFERROR(__xludf.DUMMYFUNCTION("""COMPUTED_VALUE"""),"")</f>
        <v/>
      </c>
      <c r="U839" s="136" t="str">
        <f>IFERROR(__xludf.DUMMYFUNCTION("""COMPUTED_VALUE"""),"")</f>
        <v/>
      </c>
      <c r="V839" s="106" t="str">
        <f>IFERROR(__xludf.DUMMYFUNCTION("""COMPUTED_VALUE"""),"")</f>
        <v/>
      </c>
      <c r="W839" s="143" t="str">
        <f t="shared" si="2"/>
        <v/>
      </c>
      <c r="X839" s="139" t="str">
        <f>IFERROR(__xludf.DUMMYFUNCTION("""COMPUTED_VALUE"""),"")</f>
        <v/>
      </c>
      <c r="Y839" s="141" t="str">
        <f>IFERROR(__xludf.DUMMYFUNCTION("""COMPUTED_VALUE"""),"")</f>
        <v/>
      </c>
    </row>
    <row r="840">
      <c r="C840" s="136" t="str">
        <f t="shared" si="3"/>
        <v/>
      </c>
      <c r="E840" s="106"/>
      <c r="G840" s="106" t="s">
        <v>133</v>
      </c>
      <c r="I840" s="139" t="s">
        <v>133</v>
      </c>
      <c r="J840" s="136" t="s">
        <v>133</v>
      </c>
      <c r="L840" s="136" t="str">
        <f t="shared" si="1"/>
        <v/>
      </c>
      <c r="N840" s="141" t="s">
        <v>133</v>
      </c>
      <c r="O840" s="136" t="str">
        <f>IFERROR(__xludf.DUMMYFUNCTION("""COMPUTED_VALUE"""),"")</f>
        <v/>
      </c>
      <c r="P840" s="136" t="str">
        <f>IFERROR(__xludf.DUMMYFUNCTION("""COMPUTED_VALUE"""),"")</f>
        <v/>
      </c>
      <c r="Q840" s="106" t="str">
        <f>IFERROR(__xludf.DUMMYFUNCTION("""COMPUTED_VALUE"""),"")</f>
        <v/>
      </c>
      <c r="R840" s="106" t="str">
        <f>IFERROR(__xludf.DUMMYFUNCTION("""COMPUTED_VALUE"""),"")</f>
        <v/>
      </c>
      <c r="S840" s="139" t="str">
        <f>IFERROR(__xludf.DUMMYFUNCTION("""COMPUTED_VALUE"""),"")</f>
        <v/>
      </c>
      <c r="T840" s="139" t="str">
        <f>IFERROR(__xludf.DUMMYFUNCTION("""COMPUTED_VALUE"""),"")</f>
        <v/>
      </c>
      <c r="U840" s="136" t="str">
        <f>IFERROR(__xludf.DUMMYFUNCTION("""COMPUTED_VALUE"""),"")</f>
        <v/>
      </c>
      <c r="V840" s="106" t="str">
        <f>IFERROR(__xludf.DUMMYFUNCTION("""COMPUTED_VALUE"""),"")</f>
        <v/>
      </c>
      <c r="W840" s="143" t="str">
        <f t="shared" si="2"/>
        <v/>
      </c>
      <c r="X840" s="139" t="str">
        <f>IFERROR(__xludf.DUMMYFUNCTION("""COMPUTED_VALUE"""),"")</f>
        <v/>
      </c>
      <c r="Y840" s="141" t="str">
        <f>IFERROR(__xludf.DUMMYFUNCTION("""COMPUTED_VALUE"""),"")</f>
        <v/>
      </c>
    </row>
    <row r="841">
      <c r="C841" s="136" t="str">
        <f t="shared" si="3"/>
        <v/>
      </c>
      <c r="E841" s="106"/>
      <c r="G841" s="106" t="s">
        <v>133</v>
      </c>
      <c r="I841" s="139" t="s">
        <v>133</v>
      </c>
      <c r="J841" s="136" t="s">
        <v>133</v>
      </c>
      <c r="L841" s="136" t="str">
        <f t="shared" si="1"/>
        <v/>
      </c>
      <c r="N841" s="141" t="s">
        <v>133</v>
      </c>
      <c r="O841" s="136" t="str">
        <f>IFERROR(__xludf.DUMMYFUNCTION("""COMPUTED_VALUE"""),"")</f>
        <v/>
      </c>
      <c r="P841" s="136" t="str">
        <f>IFERROR(__xludf.DUMMYFUNCTION("""COMPUTED_VALUE"""),"")</f>
        <v/>
      </c>
      <c r="Q841" s="106" t="str">
        <f>IFERROR(__xludf.DUMMYFUNCTION("""COMPUTED_VALUE"""),"")</f>
        <v/>
      </c>
      <c r="R841" s="106" t="str">
        <f>IFERROR(__xludf.DUMMYFUNCTION("""COMPUTED_VALUE"""),"")</f>
        <v/>
      </c>
      <c r="S841" s="139" t="str">
        <f>IFERROR(__xludf.DUMMYFUNCTION("""COMPUTED_VALUE"""),"")</f>
        <v/>
      </c>
      <c r="T841" s="139" t="str">
        <f>IFERROR(__xludf.DUMMYFUNCTION("""COMPUTED_VALUE"""),"")</f>
        <v/>
      </c>
      <c r="U841" s="136" t="str">
        <f>IFERROR(__xludf.DUMMYFUNCTION("""COMPUTED_VALUE"""),"")</f>
        <v/>
      </c>
      <c r="V841" s="106" t="str">
        <f>IFERROR(__xludf.DUMMYFUNCTION("""COMPUTED_VALUE"""),"")</f>
        <v/>
      </c>
      <c r="W841" s="143" t="str">
        <f t="shared" si="2"/>
        <v/>
      </c>
      <c r="X841" s="139" t="str">
        <f>IFERROR(__xludf.DUMMYFUNCTION("""COMPUTED_VALUE"""),"")</f>
        <v/>
      </c>
      <c r="Y841" s="141" t="str">
        <f>IFERROR(__xludf.DUMMYFUNCTION("""COMPUTED_VALUE"""),"")</f>
        <v/>
      </c>
    </row>
    <row r="842">
      <c r="C842" s="136" t="str">
        <f t="shared" si="3"/>
        <v/>
      </c>
      <c r="E842" s="106"/>
      <c r="G842" s="106" t="s">
        <v>133</v>
      </c>
      <c r="I842" s="139" t="s">
        <v>133</v>
      </c>
      <c r="J842" s="136" t="s">
        <v>133</v>
      </c>
      <c r="L842" s="136" t="str">
        <f t="shared" si="1"/>
        <v/>
      </c>
      <c r="N842" s="141" t="s">
        <v>133</v>
      </c>
      <c r="O842" s="136" t="str">
        <f>IFERROR(__xludf.DUMMYFUNCTION("""COMPUTED_VALUE"""),"")</f>
        <v/>
      </c>
      <c r="P842" s="136" t="str">
        <f>IFERROR(__xludf.DUMMYFUNCTION("""COMPUTED_VALUE"""),"")</f>
        <v/>
      </c>
      <c r="Q842" s="106" t="str">
        <f>IFERROR(__xludf.DUMMYFUNCTION("""COMPUTED_VALUE"""),"")</f>
        <v/>
      </c>
      <c r="R842" s="106" t="str">
        <f>IFERROR(__xludf.DUMMYFUNCTION("""COMPUTED_VALUE"""),"")</f>
        <v/>
      </c>
      <c r="S842" s="139" t="str">
        <f>IFERROR(__xludf.DUMMYFUNCTION("""COMPUTED_VALUE"""),"")</f>
        <v/>
      </c>
      <c r="T842" s="139" t="str">
        <f>IFERROR(__xludf.DUMMYFUNCTION("""COMPUTED_VALUE"""),"")</f>
        <v/>
      </c>
      <c r="U842" s="136" t="str">
        <f>IFERROR(__xludf.DUMMYFUNCTION("""COMPUTED_VALUE"""),"")</f>
        <v/>
      </c>
      <c r="V842" s="106" t="str">
        <f>IFERROR(__xludf.DUMMYFUNCTION("""COMPUTED_VALUE"""),"")</f>
        <v/>
      </c>
      <c r="W842" s="143" t="str">
        <f t="shared" si="2"/>
        <v/>
      </c>
      <c r="X842" s="139" t="str">
        <f>IFERROR(__xludf.DUMMYFUNCTION("""COMPUTED_VALUE"""),"")</f>
        <v/>
      </c>
      <c r="Y842" s="141" t="str">
        <f>IFERROR(__xludf.DUMMYFUNCTION("""COMPUTED_VALUE"""),"")</f>
        <v/>
      </c>
    </row>
    <row r="843">
      <c r="C843" s="136" t="str">
        <f t="shared" si="3"/>
        <v/>
      </c>
      <c r="E843" s="106"/>
      <c r="G843" s="106" t="s">
        <v>133</v>
      </c>
      <c r="I843" s="139" t="s">
        <v>133</v>
      </c>
      <c r="J843" s="136" t="s">
        <v>133</v>
      </c>
      <c r="L843" s="136" t="str">
        <f t="shared" si="1"/>
        <v/>
      </c>
      <c r="N843" s="141" t="s">
        <v>133</v>
      </c>
      <c r="O843" s="136" t="str">
        <f>IFERROR(__xludf.DUMMYFUNCTION("""COMPUTED_VALUE"""),"")</f>
        <v/>
      </c>
      <c r="P843" s="136" t="str">
        <f>IFERROR(__xludf.DUMMYFUNCTION("""COMPUTED_VALUE"""),"")</f>
        <v/>
      </c>
      <c r="Q843" s="106" t="str">
        <f>IFERROR(__xludf.DUMMYFUNCTION("""COMPUTED_VALUE"""),"")</f>
        <v/>
      </c>
      <c r="R843" s="106" t="str">
        <f>IFERROR(__xludf.DUMMYFUNCTION("""COMPUTED_VALUE"""),"")</f>
        <v/>
      </c>
      <c r="S843" s="139" t="str">
        <f>IFERROR(__xludf.DUMMYFUNCTION("""COMPUTED_VALUE"""),"")</f>
        <v/>
      </c>
      <c r="T843" s="139" t="str">
        <f>IFERROR(__xludf.DUMMYFUNCTION("""COMPUTED_VALUE"""),"")</f>
        <v/>
      </c>
      <c r="U843" s="136" t="str">
        <f>IFERROR(__xludf.DUMMYFUNCTION("""COMPUTED_VALUE"""),"")</f>
        <v/>
      </c>
      <c r="V843" s="106" t="str">
        <f>IFERROR(__xludf.DUMMYFUNCTION("""COMPUTED_VALUE"""),"")</f>
        <v/>
      </c>
      <c r="W843" s="143" t="str">
        <f t="shared" si="2"/>
        <v/>
      </c>
      <c r="X843" s="139" t="str">
        <f>IFERROR(__xludf.DUMMYFUNCTION("""COMPUTED_VALUE"""),"")</f>
        <v/>
      </c>
      <c r="Y843" s="141" t="str">
        <f>IFERROR(__xludf.DUMMYFUNCTION("""COMPUTED_VALUE"""),"")</f>
        <v/>
      </c>
    </row>
    <row r="844">
      <c r="C844" s="136" t="str">
        <f t="shared" si="3"/>
        <v/>
      </c>
      <c r="E844" s="106"/>
      <c r="G844" s="106" t="s">
        <v>133</v>
      </c>
      <c r="I844" s="139" t="s">
        <v>133</v>
      </c>
      <c r="J844" s="136" t="s">
        <v>133</v>
      </c>
      <c r="L844" s="136" t="str">
        <f t="shared" si="1"/>
        <v/>
      </c>
      <c r="N844" s="141" t="s">
        <v>133</v>
      </c>
      <c r="O844" s="136" t="str">
        <f>IFERROR(__xludf.DUMMYFUNCTION("""COMPUTED_VALUE"""),"")</f>
        <v/>
      </c>
      <c r="P844" s="136" t="str">
        <f>IFERROR(__xludf.DUMMYFUNCTION("""COMPUTED_VALUE"""),"")</f>
        <v/>
      </c>
      <c r="Q844" s="106" t="str">
        <f>IFERROR(__xludf.DUMMYFUNCTION("""COMPUTED_VALUE"""),"")</f>
        <v/>
      </c>
      <c r="R844" s="106" t="str">
        <f>IFERROR(__xludf.DUMMYFUNCTION("""COMPUTED_VALUE"""),"")</f>
        <v/>
      </c>
      <c r="S844" s="139" t="str">
        <f>IFERROR(__xludf.DUMMYFUNCTION("""COMPUTED_VALUE"""),"")</f>
        <v/>
      </c>
      <c r="T844" s="139" t="str">
        <f>IFERROR(__xludf.DUMMYFUNCTION("""COMPUTED_VALUE"""),"")</f>
        <v/>
      </c>
      <c r="U844" s="136" t="str">
        <f>IFERROR(__xludf.DUMMYFUNCTION("""COMPUTED_VALUE"""),"")</f>
        <v/>
      </c>
      <c r="V844" s="106" t="str">
        <f>IFERROR(__xludf.DUMMYFUNCTION("""COMPUTED_VALUE"""),"")</f>
        <v/>
      </c>
      <c r="W844" s="143" t="str">
        <f t="shared" si="2"/>
        <v/>
      </c>
      <c r="X844" s="139" t="str">
        <f>IFERROR(__xludf.DUMMYFUNCTION("""COMPUTED_VALUE"""),"")</f>
        <v/>
      </c>
      <c r="Y844" s="141" t="str">
        <f>IFERROR(__xludf.DUMMYFUNCTION("""COMPUTED_VALUE"""),"")</f>
        <v/>
      </c>
    </row>
    <row r="845">
      <c r="C845" s="136" t="str">
        <f t="shared" si="3"/>
        <v/>
      </c>
      <c r="E845" s="106"/>
      <c r="G845" s="106" t="s">
        <v>133</v>
      </c>
      <c r="I845" s="139" t="s">
        <v>133</v>
      </c>
      <c r="J845" s="136" t="s">
        <v>133</v>
      </c>
      <c r="L845" s="136" t="str">
        <f t="shared" si="1"/>
        <v/>
      </c>
      <c r="N845" s="141" t="s">
        <v>133</v>
      </c>
      <c r="O845" s="136" t="str">
        <f>IFERROR(__xludf.DUMMYFUNCTION("""COMPUTED_VALUE"""),"")</f>
        <v/>
      </c>
      <c r="P845" s="136" t="str">
        <f>IFERROR(__xludf.DUMMYFUNCTION("""COMPUTED_VALUE"""),"")</f>
        <v/>
      </c>
      <c r="Q845" s="106" t="str">
        <f>IFERROR(__xludf.DUMMYFUNCTION("""COMPUTED_VALUE"""),"")</f>
        <v/>
      </c>
      <c r="R845" s="106" t="str">
        <f>IFERROR(__xludf.DUMMYFUNCTION("""COMPUTED_VALUE"""),"")</f>
        <v/>
      </c>
      <c r="S845" s="139" t="str">
        <f>IFERROR(__xludf.DUMMYFUNCTION("""COMPUTED_VALUE"""),"")</f>
        <v/>
      </c>
      <c r="T845" s="139" t="str">
        <f>IFERROR(__xludf.DUMMYFUNCTION("""COMPUTED_VALUE"""),"")</f>
        <v/>
      </c>
      <c r="U845" s="136" t="str">
        <f>IFERROR(__xludf.DUMMYFUNCTION("""COMPUTED_VALUE"""),"")</f>
        <v/>
      </c>
      <c r="V845" s="106" t="str">
        <f>IFERROR(__xludf.DUMMYFUNCTION("""COMPUTED_VALUE"""),"")</f>
        <v/>
      </c>
      <c r="W845" s="143" t="str">
        <f t="shared" si="2"/>
        <v/>
      </c>
      <c r="X845" s="139" t="str">
        <f>IFERROR(__xludf.DUMMYFUNCTION("""COMPUTED_VALUE"""),"")</f>
        <v/>
      </c>
      <c r="Y845" s="141" t="str">
        <f>IFERROR(__xludf.DUMMYFUNCTION("""COMPUTED_VALUE"""),"")</f>
        <v/>
      </c>
    </row>
    <row r="846">
      <c r="C846" s="136" t="str">
        <f t="shared" si="3"/>
        <v/>
      </c>
      <c r="E846" s="106"/>
      <c r="G846" s="106" t="s">
        <v>133</v>
      </c>
      <c r="I846" s="139" t="s">
        <v>133</v>
      </c>
      <c r="J846" s="136" t="s">
        <v>133</v>
      </c>
      <c r="L846" s="136" t="str">
        <f t="shared" si="1"/>
        <v/>
      </c>
      <c r="N846" s="141" t="s">
        <v>133</v>
      </c>
      <c r="O846" s="136" t="str">
        <f>IFERROR(__xludf.DUMMYFUNCTION("""COMPUTED_VALUE"""),"")</f>
        <v/>
      </c>
      <c r="P846" s="136" t="str">
        <f>IFERROR(__xludf.DUMMYFUNCTION("""COMPUTED_VALUE"""),"")</f>
        <v/>
      </c>
      <c r="Q846" s="106" t="str">
        <f>IFERROR(__xludf.DUMMYFUNCTION("""COMPUTED_VALUE"""),"")</f>
        <v/>
      </c>
      <c r="R846" s="106" t="str">
        <f>IFERROR(__xludf.DUMMYFUNCTION("""COMPUTED_VALUE"""),"")</f>
        <v/>
      </c>
      <c r="S846" s="139" t="str">
        <f>IFERROR(__xludf.DUMMYFUNCTION("""COMPUTED_VALUE"""),"")</f>
        <v/>
      </c>
      <c r="T846" s="139" t="str">
        <f>IFERROR(__xludf.DUMMYFUNCTION("""COMPUTED_VALUE"""),"")</f>
        <v/>
      </c>
      <c r="U846" s="136" t="str">
        <f>IFERROR(__xludf.DUMMYFUNCTION("""COMPUTED_VALUE"""),"")</f>
        <v/>
      </c>
      <c r="V846" s="106" t="str">
        <f>IFERROR(__xludf.DUMMYFUNCTION("""COMPUTED_VALUE"""),"")</f>
        <v/>
      </c>
      <c r="W846" s="143" t="str">
        <f t="shared" si="2"/>
        <v/>
      </c>
      <c r="X846" s="139" t="str">
        <f>IFERROR(__xludf.DUMMYFUNCTION("""COMPUTED_VALUE"""),"")</f>
        <v/>
      </c>
      <c r="Y846" s="141" t="str">
        <f>IFERROR(__xludf.DUMMYFUNCTION("""COMPUTED_VALUE"""),"")</f>
        <v/>
      </c>
    </row>
    <row r="847">
      <c r="C847" s="136" t="str">
        <f t="shared" si="3"/>
        <v/>
      </c>
      <c r="E847" s="106"/>
      <c r="G847" s="106" t="s">
        <v>133</v>
      </c>
      <c r="I847" s="139" t="s">
        <v>133</v>
      </c>
      <c r="J847" s="136" t="s">
        <v>133</v>
      </c>
      <c r="L847" s="136" t="str">
        <f t="shared" si="1"/>
        <v/>
      </c>
      <c r="N847" s="141" t="s">
        <v>133</v>
      </c>
      <c r="O847" s="136" t="str">
        <f>IFERROR(__xludf.DUMMYFUNCTION("""COMPUTED_VALUE"""),"")</f>
        <v/>
      </c>
      <c r="P847" s="136" t="str">
        <f>IFERROR(__xludf.DUMMYFUNCTION("""COMPUTED_VALUE"""),"")</f>
        <v/>
      </c>
      <c r="Q847" s="106" t="str">
        <f>IFERROR(__xludf.DUMMYFUNCTION("""COMPUTED_VALUE"""),"")</f>
        <v/>
      </c>
      <c r="R847" s="106" t="str">
        <f>IFERROR(__xludf.DUMMYFUNCTION("""COMPUTED_VALUE"""),"")</f>
        <v/>
      </c>
      <c r="S847" s="139" t="str">
        <f>IFERROR(__xludf.DUMMYFUNCTION("""COMPUTED_VALUE"""),"")</f>
        <v/>
      </c>
      <c r="T847" s="139" t="str">
        <f>IFERROR(__xludf.DUMMYFUNCTION("""COMPUTED_VALUE"""),"")</f>
        <v/>
      </c>
      <c r="U847" s="136" t="str">
        <f>IFERROR(__xludf.DUMMYFUNCTION("""COMPUTED_VALUE"""),"")</f>
        <v/>
      </c>
      <c r="V847" s="106" t="str">
        <f>IFERROR(__xludf.DUMMYFUNCTION("""COMPUTED_VALUE"""),"")</f>
        <v/>
      </c>
      <c r="W847" s="143" t="str">
        <f t="shared" si="2"/>
        <v/>
      </c>
      <c r="X847" s="139" t="str">
        <f>IFERROR(__xludf.DUMMYFUNCTION("""COMPUTED_VALUE"""),"")</f>
        <v/>
      </c>
      <c r="Y847" s="141" t="str">
        <f>IFERROR(__xludf.DUMMYFUNCTION("""COMPUTED_VALUE"""),"")</f>
        <v/>
      </c>
    </row>
    <row r="848">
      <c r="C848" s="136" t="str">
        <f t="shared" si="3"/>
        <v/>
      </c>
      <c r="E848" s="106"/>
      <c r="G848" s="106" t="s">
        <v>133</v>
      </c>
      <c r="I848" s="139" t="s">
        <v>133</v>
      </c>
      <c r="J848" s="136" t="s">
        <v>133</v>
      </c>
      <c r="L848" s="136" t="str">
        <f t="shared" si="1"/>
        <v/>
      </c>
      <c r="N848" s="141" t="s">
        <v>133</v>
      </c>
      <c r="O848" s="136" t="str">
        <f>IFERROR(__xludf.DUMMYFUNCTION("""COMPUTED_VALUE"""),"")</f>
        <v/>
      </c>
      <c r="P848" s="136" t="str">
        <f>IFERROR(__xludf.DUMMYFUNCTION("""COMPUTED_VALUE"""),"")</f>
        <v/>
      </c>
      <c r="Q848" s="106" t="str">
        <f>IFERROR(__xludf.DUMMYFUNCTION("""COMPUTED_VALUE"""),"")</f>
        <v/>
      </c>
      <c r="R848" s="106" t="str">
        <f>IFERROR(__xludf.DUMMYFUNCTION("""COMPUTED_VALUE"""),"")</f>
        <v/>
      </c>
      <c r="S848" s="139" t="str">
        <f>IFERROR(__xludf.DUMMYFUNCTION("""COMPUTED_VALUE"""),"")</f>
        <v/>
      </c>
      <c r="T848" s="139" t="str">
        <f>IFERROR(__xludf.DUMMYFUNCTION("""COMPUTED_VALUE"""),"")</f>
        <v/>
      </c>
      <c r="U848" s="136" t="str">
        <f>IFERROR(__xludf.DUMMYFUNCTION("""COMPUTED_VALUE"""),"")</f>
        <v/>
      </c>
      <c r="V848" s="106" t="str">
        <f>IFERROR(__xludf.DUMMYFUNCTION("""COMPUTED_VALUE"""),"")</f>
        <v/>
      </c>
      <c r="W848" s="143" t="str">
        <f t="shared" si="2"/>
        <v/>
      </c>
      <c r="X848" s="139" t="str">
        <f>IFERROR(__xludf.DUMMYFUNCTION("""COMPUTED_VALUE"""),"")</f>
        <v/>
      </c>
      <c r="Y848" s="141" t="str">
        <f>IFERROR(__xludf.DUMMYFUNCTION("""COMPUTED_VALUE"""),"")</f>
        <v/>
      </c>
    </row>
    <row r="849">
      <c r="C849" s="136" t="str">
        <f t="shared" si="3"/>
        <v/>
      </c>
      <c r="E849" s="106"/>
      <c r="G849" s="106" t="s">
        <v>133</v>
      </c>
      <c r="I849" s="139" t="s">
        <v>133</v>
      </c>
      <c r="J849" s="136" t="s">
        <v>133</v>
      </c>
      <c r="L849" s="136" t="str">
        <f t="shared" si="1"/>
        <v/>
      </c>
      <c r="N849" s="141" t="s">
        <v>133</v>
      </c>
      <c r="O849" s="136" t="str">
        <f>IFERROR(__xludf.DUMMYFUNCTION("""COMPUTED_VALUE"""),"")</f>
        <v/>
      </c>
      <c r="P849" s="136" t="str">
        <f>IFERROR(__xludf.DUMMYFUNCTION("""COMPUTED_VALUE"""),"")</f>
        <v/>
      </c>
      <c r="Q849" s="106" t="str">
        <f>IFERROR(__xludf.DUMMYFUNCTION("""COMPUTED_VALUE"""),"")</f>
        <v/>
      </c>
      <c r="R849" s="106" t="str">
        <f>IFERROR(__xludf.DUMMYFUNCTION("""COMPUTED_VALUE"""),"")</f>
        <v/>
      </c>
      <c r="S849" s="139" t="str">
        <f>IFERROR(__xludf.DUMMYFUNCTION("""COMPUTED_VALUE"""),"")</f>
        <v/>
      </c>
      <c r="T849" s="139" t="str">
        <f>IFERROR(__xludf.DUMMYFUNCTION("""COMPUTED_VALUE"""),"")</f>
        <v/>
      </c>
      <c r="U849" s="136" t="str">
        <f>IFERROR(__xludf.DUMMYFUNCTION("""COMPUTED_VALUE"""),"")</f>
        <v/>
      </c>
      <c r="V849" s="106" t="str">
        <f>IFERROR(__xludf.DUMMYFUNCTION("""COMPUTED_VALUE"""),"")</f>
        <v/>
      </c>
      <c r="W849" s="143" t="str">
        <f t="shared" si="2"/>
        <v/>
      </c>
      <c r="X849" s="139" t="str">
        <f>IFERROR(__xludf.DUMMYFUNCTION("""COMPUTED_VALUE"""),"")</f>
        <v/>
      </c>
      <c r="Y849" s="141" t="str">
        <f>IFERROR(__xludf.DUMMYFUNCTION("""COMPUTED_VALUE"""),"")</f>
        <v/>
      </c>
    </row>
    <row r="850">
      <c r="C850" s="136" t="str">
        <f t="shared" si="3"/>
        <v/>
      </c>
      <c r="E850" s="106"/>
      <c r="G850" s="106" t="s">
        <v>133</v>
      </c>
      <c r="I850" s="139" t="s">
        <v>133</v>
      </c>
      <c r="J850" s="136" t="s">
        <v>133</v>
      </c>
      <c r="L850" s="136" t="str">
        <f t="shared" si="1"/>
        <v/>
      </c>
      <c r="N850" s="141" t="s">
        <v>133</v>
      </c>
      <c r="O850" s="136" t="str">
        <f>IFERROR(__xludf.DUMMYFUNCTION("""COMPUTED_VALUE"""),"")</f>
        <v/>
      </c>
      <c r="P850" s="136" t="str">
        <f>IFERROR(__xludf.DUMMYFUNCTION("""COMPUTED_VALUE"""),"")</f>
        <v/>
      </c>
      <c r="Q850" s="106" t="str">
        <f>IFERROR(__xludf.DUMMYFUNCTION("""COMPUTED_VALUE"""),"")</f>
        <v/>
      </c>
      <c r="R850" s="106" t="str">
        <f>IFERROR(__xludf.DUMMYFUNCTION("""COMPUTED_VALUE"""),"")</f>
        <v/>
      </c>
      <c r="S850" s="139" t="str">
        <f>IFERROR(__xludf.DUMMYFUNCTION("""COMPUTED_VALUE"""),"")</f>
        <v/>
      </c>
      <c r="T850" s="139" t="str">
        <f>IFERROR(__xludf.DUMMYFUNCTION("""COMPUTED_VALUE"""),"")</f>
        <v/>
      </c>
      <c r="U850" s="136" t="str">
        <f>IFERROR(__xludf.DUMMYFUNCTION("""COMPUTED_VALUE"""),"")</f>
        <v/>
      </c>
      <c r="V850" s="106" t="str">
        <f>IFERROR(__xludf.DUMMYFUNCTION("""COMPUTED_VALUE"""),"")</f>
        <v/>
      </c>
      <c r="W850" s="143" t="str">
        <f t="shared" si="2"/>
        <v/>
      </c>
      <c r="X850" s="139" t="str">
        <f>IFERROR(__xludf.DUMMYFUNCTION("""COMPUTED_VALUE"""),"")</f>
        <v/>
      </c>
      <c r="Y850" s="141" t="str">
        <f>IFERROR(__xludf.DUMMYFUNCTION("""COMPUTED_VALUE"""),"")</f>
        <v/>
      </c>
    </row>
    <row r="851">
      <c r="C851" s="136" t="str">
        <f t="shared" si="3"/>
        <v/>
      </c>
      <c r="E851" s="106"/>
      <c r="G851" s="106" t="s">
        <v>133</v>
      </c>
      <c r="I851" s="139" t="s">
        <v>133</v>
      </c>
      <c r="J851" s="136" t="s">
        <v>133</v>
      </c>
      <c r="L851" s="136" t="str">
        <f t="shared" si="1"/>
        <v/>
      </c>
      <c r="N851" s="141" t="s">
        <v>133</v>
      </c>
      <c r="O851" s="136" t="str">
        <f>IFERROR(__xludf.DUMMYFUNCTION("""COMPUTED_VALUE"""),"")</f>
        <v/>
      </c>
      <c r="P851" s="136" t="str">
        <f>IFERROR(__xludf.DUMMYFUNCTION("""COMPUTED_VALUE"""),"")</f>
        <v/>
      </c>
      <c r="Q851" s="106" t="str">
        <f>IFERROR(__xludf.DUMMYFUNCTION("""COMPUTED_VALUE"""),"")</f>
        <v/>
      </c>
      <c r="R851" s="106" t="str">
        <f>IFERROR(__xludf.DUMMYFUNCTION("""COMPUTED_VALUE"""),"")</f>
        <v/>
      </c>
      <c r="S851" s="139" t="str">
        <f>IFERROR(__xludf.DUMMYFUNCTION("""COMPUTED_VALUE"""),"")</f>
        <v/>
      </c>
      <c r="T851" s="139" t="str">
        <f>IFERROR(__xludf.DUMMYFUNCTION("""COMPUTED_VALUE"""),"")</f>
        <v/>
      </c>
      <c r="U851" s="136" t="str">
        <f>IFERROR(__xludf.DUMMYFUNCTION("""COMPUTED_VALUE"""),"")</f>
        <v/>
      </c>
      <c r="V851" s="106" t="str">
        <f>IFERROR(__xludf.DUMMYFUNCTION("""COMPUTED_VALUE"""),"")</f>
        <v/>
      </c>
      <c r="W851" s="143" t="str">
        <f t="shared" si="2"/>
        <v/>
      </c>
      <c r="X851" s="139" t="str">
        <f>IFERROR(__xludf.DUMMYFUNCTION("""COMPUTED_VALUE"""),"")</f>
        <v/>
      </c>
      <c r="Y851" s="141" t="str">
        <f>IFERROR(__xludf.DUMMYFUNCTION("""COMPUTED_VALUE"""),"")</f>
        <v/>
      </c>
    </row>
    <row r="852">
      <c r="C852" s="136" t="str">
        <f t="shared" si="3"/>
        <v/>
      </c>
      <c r="E852" s="106"/>
      <c r="G852" s="106" t="s">
        <v>133</v>
      </c>
      <c r="I852" s="139" t="s">
        <v>133</v>
      </c>
      <c r="J852" s="136" t="s">
        <v>133</v>
      </c>
      <c r="L852" s="136" t="str">
        <f t="shared" si="1"/>
        <v/>
      </c>
      <c r="N852" s="141" t="s">
        <v>133</v>
      </c>
      <c r="O852" s="136" t="str">
        <f>IFERROR(__xludf.DUMMYFUNCTION("""COMPUTED_VALUE"""),"")</f>
        <v/>
      </c>
      <c r="P852" s="136" t="str">
        <f>IFERROR(__xludf.DUMMYFUNCTION("""COMPUTED_VALUE"""),"")</f>
        <v/>
      </c>
      <c r="Q852" s="106" t="str">
        <f>IFERROR(__xludf.DUMMYFUNCTION("""COMPUTED_VALUE"""),"")</f>
        <v/>
      </c>
      <c r="R852" s="106" t="str">
        <f>IFERROR(__xludf.DUMMYFUNCTION("""COMPUTED_VALUE"""),"")</f>
        <v/>
      </c>
      <c r="S852" s="139" t="str">
        <f>IFERROR(__xludf.DUMMYFUNCTION("""COMPUTED_VALUE"""),"")</f>
        <v/>
      </c>
      <c r="T852" s="139" t="str">
        <f>IFERROR(__xludf.DUMMYFUNCTION("""COMPUTED_VALUE"""),"")</f>
        <v/>
      </c>
      <c r="U852" s="136" t="str">
        <f>IFERROR(__xludf.DUMMYFUNCTION("""COMPUTED_VALUE"""),"")</f>
        <v/>
      </c>
      <c r="V852" s="106" t="str">
        <f>IFERROR(__xludf.DUMMYFUNCTION("""COMPUTED_VALUE"""),"")</f>
        <v/>
      </c>
      <c r="W852" s="143" t="str">
        <f t="shared" si="2"/>
        <v/>
      </c>
      <c r="X852" s="139" t="str">
        <f>IFERROR(__xludf.DUMMYFUNCTION("""COMPUTED_VALUE"""),"")</f>
        <v/>
      </c>
      <c r="Y852" s="141" t="str">
        <f>IFERROR(__xludf.DUMMYFUNCTION("""COMPUTED_VALUE"""),"")</f>
        <v/>
      </c>
    </row>
    <row r="853">
      <c r="C853" s="136" t="str">
        <f t="shared" si="3"/>
        <v/>
      </c>
      <c r="E853" s="106"/>
      <c r="G853" s="106" t="s">
        <v>133</v>
      </c>
      <c r="I853" s="139" t="s">
        <v>133</v>
      </c>
      <c r="J853" s="136" t="s">
        <v>133</v>
      </c>
      <c r="L853" s="136" t="str">
        <f t="shared" si="1"/>
        <v/>
      </c>
      <c r="N853" s="141" t="s">
        <v>133</v>
      </c>
      <c r="O853" s="136" t="str">
        <f>IFERROR(__xludf.DUMMYFUNCTION("""COMPUTED_VALUE"""),"")</f>
        <v/>
      </c>
      <c r="P853" s="136" t="str">
        <f>IFERROR(__xludf.DUMMYFUNCTION("""COMPUTED_VALUE"""),"")</f>
        <v/>
      </c>
      <c r="Q853" s="106" t="str">
        <f>IFERROR(__xludf.DUMMYFUNCTION("""COMPUTED_VALUE"""),"")</f>
        <v/>
      </c>
      <c r="R853" s="106" t="str">
        <f>IFERROR(__xludf.DUMMYFUNCTION("""COMPUTED_VALUE"""),"")</f>
        <v/>
      </c>
      <c r="S853" s="139" t="str">
        <f>IFERROR(__xludf.DUMMYFUNCTION("""COMPUTED_VALUE"""),"")</f>
        <v/>
      </c>
      <c r="T853" s="139" t="str">
        <f>IFERROR(__xludf.DUMMYFUNCTION("""COMPUTED_VALUE"""),"")</f>
        <v/>
      </c>
      <c r="U853" s="136" t="str">
        <f>IFERROR(__xludf.DUMMYFUNCTION("""COMPUTED_VALUE"""),"")</f>
        <v/>
      </c>
      <c r="V853" s="106" t="str">
        <f>IFERROR(__xludf.DUMMYFUNCTION("""COMPUTED_VALUE"""),"")</f>
        <v/>
      </c>
      <c r="W853" s="143" t="str">
        <f t="shared" si="2"/>
        <v/>
      </c>
      <c r="X853" s="139" t="str">
        <f>IFERROR(__xludf.DUMMYFUNCTION("""COMPUTED_VALUE"""),"")</f>
        <v/>
      </c>
      <c r="Y853" s="141" t="str">
        <f>IFERROR(__xludf.DUMMYFUNCTION("""COMPUTED_VALUE"""),"")</f>
        <v/>
      </c>
    </row>
    <row r="854">
      <c r="C854" s="136" t="str">
        <f t="shared" si="3"/>
        <v/>
      </c>
      <c r="E854" s="106"/>
      <c r="G854" s="106" t="s">
        <v>133</v>
      </c>
      <c r="I854" s="139" t="s">
        <v>133</v>
      </c>
      <c r="J854" s="136" t="s">
        <v>133</v>
      </c>
      <c r="L854" s="136" t="str">
        <f t="shared" si="1"/>
        <v/>
      </c>
      <c r="N854" s="141" t="s">
        <v>133</v>
      </c>
      <c r="O854" s="136" t="str">
        <f>IFERROR(__xludf.DUMMYFUNCTION("""COMPUTED_VALUE"""),"")</f>
        <v/>
      </c>
      <c r="P854" s="136" t="str">
        <f>IFERROR(__xludf.DUMMYFUNCTION("""COMPUTED_VALUE"""),"")</f>
        <v/>
      </c>
      <c r="Q854" s="106" t="str">
        <f>IFERROR(__xludf.DUMMYFUNCTION("""COMPUTED_VALUE"""),"")</f>
        <v/>
      </c>
      <c r="R854" s="106" t="str">
        <f>IFERROR(__xludf.DUMMYFUNCTION("""COMPUTED_VALUE"""),"")</f>
        <v/>
      </c>
      <c r="S854" s="139" t="str">
        <f>IFERROR(__xludf.DUMMYFUNCTION("""COMPUTED_VALUE"""),"")</f>
        <v/>
      </c>
      <c r="T854" s="139" t="str">
        <f>IFERROR(__xludf.DUMMYFUNCTION("""COMPUTED_VALUE"""),"")</f>
        <v/>
      </c>
      <c r="U854" s="136" t="str">
        <f>IFERROR(__xludf.DUMMYFUNCTION("""COMPUTED_VALUE"""),"")</f>
        <v/>
      </c>
      <c r="V854" s="106" t="str">
        <f>IFERROR(__xludf.DUMMYFUNCTION("""COMPUTED_VALUE"""),"")</f>
        <v/>
      </c>
      <c r="W854" s="143" t="str">
        <f t="shared" si="2"/>
        <v/>
      </c>
      <c r="X854" s="139" t="str">
        <f>IFERROR(__xludf.DUMMYFUNCTION("""COMPUTED_VALUE"""),"")</f>
        <v/>
      </c>
      <c r="Y854" s="141" t="str">
        <f>IFERROR(__xludf.DUMMYFUNCTION("""COMPUTED_VALUE"""),"")</f>
        <v/>
      </c>
    </row>
    <row r="855">
      <c r="C855" s="136" t="str">
        <f t="shared" si="3"/>
        <v/>
      </c>
      <c r="E855" s="106"/>
      <c r="G855" s="106" t="s">
        <v>133</v>
      </c>
      <c r="I855" s="139" t="s">
        <v>133</v>
      </c>
      <c r="J855" s="136" t="s">
        <v>133</v>
      </c>
      <c r="L855" s="136" t="str">
        <f t="shared" si="1"/>
        <v/>
      </c>
      <c r="N855" s="141" t="s">
        <v>133</v>
      </c>
      <c r="O855" s="136" t="str">
        <f>IFERROR(__xludf.DUMMYFUNCTION("""COMPUTED_VALUE"""),"")</f>
        <v/>
      </c>
      <c r="P855" s="136" t="str">
        <f>IFERROR(__xludf.DUMMYFUNCTION("""COMPUTED_VALUE"""),"")</f>
        <v/>
      </c>
      <c r="Q855" s="106" t="str">
        <f>IFERROR(__xludf.DUMMYFUNCTION("""COMPUTED_VALUE"""),"")</f>
        <v/>
      </c>
      <c r="R855" s="106" t="str">
        <f>IFERROR(__xludf.DUMMYFUNCTION("""COMPUTED_VALUE"""),"")</f>
        <v/>
      </c>
      <c r="S855" s="139" t="str">
        <f>IFERROR(__xludf.DUMMYFUNCTION("""COMPUTED_VALUE"""),"")</f>
        <v/>
      </c>
      <c r="T855" s="139" t="str">
        <f>IFERROR(__xludf.DUMMYFUNCTION("""COMPUTED_VALUE"""),"")</f>
        <v/>
      </c>
      <c r="U855" s="136" t="str">
        <f>IFERROR(__xludf.DUMMYFUNCTION("""COMPUTED_VALUE"""),"")</f>
        <v/>
      </c>
      <c r="V855" s="106" t="str">
        <f>IFERROR(__xludf.DUMMYFUNCTION("""COMPUTED_VALUE"""),"")</f>
        <v/>
      </c>
      <c r="W855" s="143" t="str">
        <f t="shared" si="2"/>
        <v/>
      </c>
      <c r="X855" s="139" t="str">
        <f>IFERROR(__xludf.DUMMYFUNCTION("""COMPUTED_VALUE"""),"")</f>
        <v/>
      </c>
      <c r="Y855" s="141" t="str">
        <f>IFERROR(__xludf.DUMMYFUNCTION("""COMPUTED_VALUE"""),"")</f>
        <v/>
      </c>
    </row>
    <row r="856">
      <c r="C856" s="136" t="str">
        <f t="shared" si="3"/>
        <v/>
      </c>
      <c r="E856" s="106"/>
      <c r="G856" s="106" t="s">
        <v>133</v>
      </c>
      <c r="I856" s="139" t="s">
        <v>133</v>
      </c>
      <c r="J856" s="136" t="s">
        <v>133</v>
      </c>
      <c r="L856" s="136" t="str">
        <f t="shared" si="1"/>
        <v/>
      </c>
      <c r="N856" s="141" t="s">
        <v>133</v>
      </c>
      <c r="O856" s="136" t="str">
        <f>IFERROR(__xludf.DUMMYFUNCTION("""COMPUTED_VALUE"""),"")</f>
        <v/>
      </c>
      <c r="P856" s="136" t="str">
        <f>IFERROR(__xludf.DUMMYFUNCTION("""COMPUTED_VALUE"""),"")</f>
        <v/>
      </c>
      <c r="Q856" s="106" t="str">
        <f>IFERROR(__xludf.DUMMYFUNCTION("""COMPUTED_VALUE"""),"")</f>
        <v/>
      </c>
      <c r="R856" s="106" t="str">
        <f>IFERROR(__xludf.DUMMYFUNCTION("""COMPUTED_VALUE"""),"")</f>
        <v/>
      </c>
      <c r="S856" s="139" t="str">
        <f>IFERROR(__xludf.DUMMYFUNCTION("""COMPUTED_VALUE"""),"")</f>
        <v/>
      </c>
      <c r="T856" s="139" t="str">
        <f>IFERROR(__xludf.DUMMYFUNCTION("""COMPUTED_VALUE"""),"")</f>
        <v/>
      </c>
      <c r="U856" s="136" t="str">
        <f>IFERROR(__xludf.DUMMYFUNCTION("""COMPUTED_VALUE"""),"")</f>
        <v/>
      </c>
      <c r="V856" s="106" t="str">
        <f>IFERROR(__xludf.DUMMYFUNCTION("""COMPUTED_VALUE"""),"")</f>
        <v/>
      </c>
      <c r="W856" s="143" t="str">
        <f t="shared" si="2"/>
        <v/>
      </c>
      <c r="X856" s="139" t="str">
        <f>IFERROR(__xludf.DUMMYFUNCTION("""COMPUTED_VALUE"""),"")</f>
        <v/>
      </c>
      <c r="Y856" s="141" t="str">
        <f>IFERROR(__xludf.DUMMYFUNCTION("""COMPUTED_VALUE"""),"")</f>
        <v/>
      </c>
    </row>
    <row r="857">
      <c r="C857" s="136" t="str">
        <f t="shared" si="3"/>
        <v/>
      </c>
      <c r="E857" s="106"/>
      <c r="G857" s="106" t="s">
        <v>133</v>
      </c>
      <c r="I857" s="139" t="s">
        <v>133</v>
      </c>
      <c r="J857" s="136" t="s">
        <v>133</v>
      </c>
      <c r="L857" s="136" t="str">
        <f t="shared" si="1"/>
        <v/>
      </c>
      <c r="N857" s="141" t="s">
        <v>133</v>
      </c>
      <c r="O857" s="136" t="str">
        <f>IFERROR(__xludf.DUMMYFUNCTION("""COMPUTED_VALUE"""),"")</f>
        <v/>
      </c>
      <c r="P857" s="136" t="str">
        <f>IFERROR(__xludf.DUMMYFUNCTION("""COMPUTED_VALUE"""),"")</f>
        <v/>
      </c>
      <c r="Q857" s="106" t="str">
        <f>IFERROR(__xludf.DUMMYFUNCTION("""COMPUTED_VALUE"""),"")</f>
        <v/>
      </c>
      <c r="R857" s="106" t="str">
        <f>IFERROR(__xludf.DUMMYFUNCTION("""COMPUTED_VALUE"""),"")</f>
        <v/>
      </c>
      <c r="S857" s="139" t="str">
        <f>IFERROR(__xludf.DUMMYFUNCTION("""COMPUTED_VALUE"""),"")</f>
        <v/>
      </c>
      <c r="T857" s="139" t="str">
        <f>IFERROR(__xludf.DUMMYFUNCTION("""COMPUTED_VALUE"""),"")</f>
        <v/>
      </c>
      <c r="U857" s="136" t="str">
        <f>IFERROR(__xludf.DUMMYFUNCTION("""COMPUTED_VALUE"""),"")</f>
        <v/>
      </c>
      <c r="V857" s="106" t="str">
        <f>IFERROR(__xludf.DUMMYFUNCTION("""COMPUTED_VALUE"""),"")</f>
        <v/>
      </c>
      <c r="W857" s="143" t="str">
        <f t="shared" si="2"/>
        <v/>
      </c>
      <c r="X857" s="139" t="str">
        <f>IFERROR(__xludf.DUMMYFUNCTION("""COMPUTED_VALUE"""),"")</f>
        <v/>
      </c>
      <c r="Y857" s="141" t="str">
        <f>IFERROR(__xludf.DUMMYFUNCTION("""COMPUTED_VALUE"""),"")</f>
        <v/>
      </c>
    </row>
    <row r="858">
      <c r="C858" s="136" t="str">
        <f t="shared" si="3"/>
        <v/>
      </c>
      <c r="E858" s="106"/>
      <c r="G858" s="106" t="s">
        <v>133</v>
      </c>
      <c r="I858" s="139" t="s">
        <v>133</v>
      </c>
      <c r="J858" s="136" t="s">
        <v>133</v>
      </c>
      <c r="L858" s="136" t="str">
        <f t="shared" si="1"/>
        <v/>
      </c>
      <c r="N858" s="141" t="s">
        <v>133</v>
      </c>
      <c r="O858" s="136" t="str">
        <f>IFERROR(__xludf.DUMMYFUNCTION("""COMPUTED_VALUE"""),"")</f>
        <v/>
      </c>
      <c r="P858" s="136" t="str">
        <f>IFERROR(__xludf.DUMMYFUNCTION("""COMPUTED_VALUE"""),"")</f>
        <v/>
      </c>
      <c r="Q858" s="106" t="str">
        <f>IFERROR(__xludf.DUMMYFUNCTION("""COMPUTED_VALUE"""),"")</f>
        <v/>
      </c>
      <c r="R858" s="106" t="str">
        <f>IFERROR(__xludf.DUMMYFUNCTION("""COMPUTED_VALUE"""),"")</f>
        <v/>
      </c>
      <c r="S858" s="139" t="str">
        <f>IFERROR(__xludf.DUMMYFUNCTION("""COMPUTED_VALUE"""),"")</f>
        <v/>
      </c>
      <c r="T858" s="139" t="str">
        <f>IFERROR(__xludf.DUMMYFUNCTION("""COMPUTED_VALUE"""),"")</f>
        <v/>
      </c>
      <c r="U858" s="136" t="str">
        <f>IFERROR(__xludf.DUMMYFUNCTION("""COMPUTED_VALUE"""),"")</f>
        <v/>
      </c>
      <c r="V858" s="106" t="str">
        <f>IFERROR(__xludf.DUMMYFUNCTION("""COMPUTED_VALUE"""),"")</f>
        <v/>
      </c>
      <c r="W858" s="143" t="str">
        <f t="shared" si="2"/>
        <v/>
      </c>
      <c r="X858" s="139" t="str">
        <f>IFERROR(__xludf.DUMMYFUNCTION("""COMPUTED_VALUE"""),"")</f>
        <v/>
      </c>
      <c r="Y858" s="141" t="str">
        <f>IFERROR(__xludf.DUMMYFUNCTION("""COMPUTED_VALUE"""),"")</f>
        <v/>
      </c>
    </row>
    <row r="859">
      <c r="C859" s="136" t="str">
        <f t="shared" si="3"/>
        <v/>
      </c>
      <c r="E859" s="106"/>
      <c r="G859" s="106" t="s">
        <v>133</v>
      </c>
      <c r="I859" s="139" t="s">
        <v>133</v>
      </c>
      <c r="J859" s="136" t="s">
        <v>133</v>
      </c>
      <c r="L859" s="136" t="str">
        <f t="shared" si="1"/>
        <v/>
      </c>
      <c r="N859" s="141" t="s">
        <v>133</v>
      </c>
      <c r="O859" s="136" t="str">
        <f>IFERROR(__xludf.DUMMYFUNCTION("""COMPUTED_VALUE"""),"")</f>
        <v/>
      </c>
      <c r="P859" s="136" t="str">
        <f>IFERROR(__xludf.DUMMYFUNCTION("""COMPUTED_VALUE"""),"")</f>
        <v/>
      </c>
      <c r="Q859" s="106" t="str">
        <f>IFERROR(__xludf.DUMMYFUNCTION("""COMPUTED_VALUE"""),"")</f>
        <v/>
      </c>
      <c r="R859" s="106" t="str">
        <f>IFERROR(__xludf.DUMMYFUNCTION("""COMPUTED_VALUE"""),"")</f>
        <v/>
      </c>
      <c r="S859" s="139" t="str">
        <f>IFERROR(__xludf.DUMMYFUNCTION("""COMPUTED_VALUE"""),"")</f>
        <v/>
      </c>
      <c r="T859" s="139" t="str">
        <f>IFERROR(__xludf.DUMMYFUNCTION("""COMPUTED_VALUE"""),"")</f>
        <v/>
      </c>
      <c r="U859" s="136" t="str">
        <f>IFERROR(__xludf.DUMMYFUNCTION("""COMPUTED_VALUE"""),"")</f>
        <v/>
      </c>
      <c r="V859" s="106" t="str">
        <f>IFERROR(__xludf.DUMMYFUNCTION("""COMPUTED_VALUE"""),"")</f>
        <v/>
      </c>
      <c r="W859" s="143" t="str">
        <f t="shared" si="2"/>
        <v/>
      </c>
      <c r="X859" s="139" t="str">
        <f>IFERROR(__xludf.DUMMYFUNCTION("""COMPUTED_VALUE"""),"")</f>
        <v/>
      </c>
      <c r="Y859" s="141" t="str">
        <f>IFERROR(__xludf.DUMMYFUNCTION("""COMPUTED_VALUE"""),"")</f>
        <v/>
      </c>
    </row>
    <row r="860">
      <c r="C860" s="136" t="str">
        <f t="shared" si="3"/>
        <v/>
      </c>
      <c r="E860" s="106"/>
      <c r="G860" s="106" t="s">
        <v>133</v>
      </c>
      <c r="I860" s="139" t="s">
        <v>133</v>
      </c>
      <c r="J860" s="136" t="s">
        <v>133</v>
      </c>
      <c r="L860" s="136" t="str">
        <f t="shared" si="1"/>
        <v/>
      </c>
      <c r="N860" s="141" t="s">
        <v>133</v>
      </c>
      <c r="O860" s="136" t="str">
        <f>IFERROR(__xludf.DUMMYFUNCTION("""COMPUTED_VALUE"""),"")</f>
        <v/>
      </c>
      <c r="P860" s="136" t="str">
        <f>IFERROR(__xludf.DUMMYFUNCTION("""COMPUTED_VALUE"""),"")</f>
        <v/>
      </c>
      <c r="Q860" s="106" t="str">
        <f>IFERROR(__xludf.DUMMYFUNCTION("""COMPUTED_VALUE"""),"")</f>
        <v/>
      </c>
      <c r="R860" s="106" t="str">
        <f>IFERROR(__xludf.DUMMYFUNCTION("""COMPUTED_VALUE"""),"")</f>
        <v/>
      </c>
      <c r="S860" s="139" t="str">
        <f>IFERROR(__xludf.DUMMYFUNCTION("""COMPUTED_VALUE"""),"")</f>
        <v/>
      </c>
      <c r="T860" s="139" t="str">
        <f>IFERROR(__xludf.DUMMYFUNCTION("""COMPUTED_VALUE"""),"")</f>
        <v/>
      </c>
      <c r="U860" s="136" t="str">
        <f>IFERROR(__xludf.DUMMYFUNCTION("""COMPUTED_VALUE"""),"")</f>
        <v/>
      </c>
      <c r="V860" s="106" t="str">
        <f>IFERROR(__xludf.DUMMYFUNCTION("""COMPUTED_VALUE"""),"")</f>
        <v/>
      </c>
      <c r="W860" s="143" t="str">
        <f t="shared" si="2"/>
        <v/>
      </c>
      <c r="X860" s="139" t="str">
        <f>IFERROR(__xludf.DUMMYFUNCTION("""COMPUTED_VALUE"""),"")</f>
        <v/>
      </c>
      <c r="Y860" s="141" t="str">
        <f>IFERROR(__xludf.DUMMYFUNCTION("""COMPUTED_VALUE"""),"")</f>
        <v/>
      </c>
    </row>
    <row r="861">
      <c r="C861" s="136" t="str">
        <f t="shared" si="3"/>
        <v/>
      </c>
      <c r="E861" s="106"/>
      <c r="G861" s="106" t="s">
        <v>133</v>
      </c>
      <c r="I861" s="139" t="s">
        <v>133</v>
      </c>
      <c r="J861" s="136" t="s">
        <v>133</v>
      </c>
      <c r="L861" s="136" t="str">
        <f t="shared" si="1"/>
        <v/>
      </c>
      <c r="N861" s="141" t="s">
        <v>133</v>
      </c>
      <c r="O861" s="136" t="str">
        <f>IFERROR(__xludf.DUMMYFUNCTION("""COMPUTED_VALUE"""),"")</f>
        <v/>
      </c>
      <c r="P861" s="136" t="str">
        <f>IFERROR(__xludf.DUMMYFUNCTION("""COMPUTED_VALUE"""),"")</f>
        <v/>
      </c>
      <c r="Q861" s="106" t="str">
        <f>IFERROR(__xludf.DUMMYFUNCTION("""COMPUTED_VALUE"""),"")</f>
        <v/>
      </c>
      <c r="R861" s="106" t="str">
        <f>IFERROR(__xludf.DUMMYFUNCTION("""COMPUTED_VALUE"""),"")</f>
        <v/>
      </c>
      <c r="S861" s="139" t="str">
        <f>IFERROR(__xludf.DUMMYFUNCTION("""COMPUTED_VALUE"""),"")</f>
        <v/>
      </c>
      <c r="T861" s="139" t="str">
        <f>IFERROR(__xludf.DUMMYFUNCTION("""COMPUTED_VALUE"""),"")</f>
        <v/>
      </c>
      <c r="U861" s="136" t="str">
        <f>IFERROR(__xludf.DUMMYFUNCTION("""COMPUTED_VALUE"""),"")</f>
        <v/>
      </c>
      <c r="V861" s="106" t="str">
        <f>IFERROR(__xludf.DUMMYFUNCTION("""COMPUTED_VALUE"""),"")</f>
        <v/>
      </c>
      <c r="W861" s="143" t="str">
        <f t="shared" si="2"/>
        <v/>
      </c>
      <c r="X861" s="139" t="str">
        <f>IFERROR(__xludf.DUMMYFUNCTION("""COMPUTED_VALUE"""),"")</f>
        <v/>
      </c>
      <c r="Y861" s="141" t="str">
        <f>IFERROR(__xludf.DUMMYFUNCTION("""COMPUTED_VALUE"""),"")</f>
        <v/>
      </c>
    </row>
    <row r="862">
      <c r="C862" s="136" t="str">
        <f t="shared" si="3"/>
        <v/>
      </c>
      <c r="E862" s="106"/>
      <c r="G862" s="106" t="s">
        <v>133</v>
      </c>
      <c r="I862" s="139" t="s">
        <v>133</v>
      </c>
      <c r="J862" s="136" t="s">
        <v>133</v>
      </c>
      <c r="L862" s="136" t="str">
        <f t="shared" si="1"/>
        <v/>
      </c>
      <c r="N862" s="141" t="s">
        <v>133</v>
      </c>
      <c r="O862" s="136" t="str">
        <f>IFERROR(__xludf.DUMMYFUNCTION("""COMPUTED_VALUE"""),"")</f>
        <v/>
      </c>
      <c r="P862" s="136" t="str">
        <f>IFERROR(__xludf.DUMMYFUNCTION("""COMPUTED_VALUE"""),"")</f>
        <v/>
      </c>
      <c r="Q862" s="106" t="str">
        <f>IFERROR(__xludf.DUMMYFUNCTION("""COMPUTED_VALUE"""),"")</f>
        <v/>
      </c>
      <c r="R862" s="106" t="str">
        <f>IFERROR(__xludf.DUMMYFUNCTION("""COMPUTED_VALUE"""),"")</f>
        <v/>
      </c>
      <c r="S862" s="139" t="str">
        <f>IFERROR(__xludf.DUMMYFUNCTION("""COMPUTED_VALUE"""),"")</f>
        <v/>
      </c>
      <c r="T862" s="139" t="str">
        <f>IFERROR(__xludf.DUMMYFUNCTION("""COMPUTED_VALUE"""),"")</f>
        <v/>
      </c>
      <c r="U862" s="136" t="str">
        <f>IFERROR(__xludf.DUMMYFUNCTION("""COMPUTED_VALUE"""),"")</f>
        <v/>
      </c>
      <c r="V862" s="106" t="str">
        <f>IFERROR(__xludf.DUMMYFUNCTION("""COMPUTED_VALUE"""),"")</f>
        <v/>
      </c>
      <c r="W862" s="143" t="str">
        <f t="shared" si="2"/>
        <v/>
      </c>
      <c r="X862" s="139" t="str">
        <f>IFERROR(__xludf.DUMMYFUNCTION("""COMPUTED_VALUE"""),"")</f>
        <v/>
      </c>
      <c r="Y862" s="141" t="str">
        <f>IFERROR(__xludf.DUMMYFUNCTION("""COMPUTED_VALUE"""),"")</f>
        <v/>
      </c>
    </row>
    <row r="863">
      <c r="C863" s="136" t="str">
        <f t="shared" si="3"/>
        <v/>
      </c>
      <c r="E863" s="106"/>
      <c r="G863" s="106" t="s">
        <v>133</v>
      </c>
      <c r="I863" s="139" t="s">
        <v>133</v>
      </c>
      <c r="J863" s="136" t="s">
        <v>133</v>
      </c>
      <c r="L863" s="136" t="str">
        <f t="shared" si="1"/>
        <v/>
      </c>
      <c r="N863" s="141" t="s">
        <v>133</v>
      </c>
      <c r="O863" s="136" t="str">
        <f>IFERROR(__xludf.DUMMYFUNCTION("""COMPUTED_VALUE"""),"")</f>
        <v/>
      </c>
      <c r="P863" s="136" t="str">
        <f>IFERROR(__xludf.DUMMYFUNCTION("""COMPUTED_VALUE"""),"")</f>
        <v/>
      </c>
      <c r="Q863" s="106" t="str">
        <f>IFERROR(__xludf.DUMMYFUNCTION("""COMPUTED_VALUE"""),"")</f>
        <v/>
      </c>
      <c r="R863" s="106" t="str">
        <f>IFERROR(__xludf.DUMMYFUNCTION("""COMPUTED_VALUE"""),"")</f>
        <v/>
      </c>
      <c r="S863" s="139" t="str">
        <f>IFERROR(__xludf.DUMMYFUNCTION("""COMPUTED_VALUE"""),"")</f>
        <v/>
      </c>
      <c r="T863" s="139" t="str">
        <f>IFERROR(__xludf.DUMMYFUNCTION("""COMPUTED_VALUE"""),"")</f>
        <v/>
      </c>
      <c r="U863" s="136" t="str">
        <f>IFERROR(__xludf.DUMMYFUNCTION("""COMPUTED_VALUE"""),"")</f>
        <v/>
      </c>
      <c r="V863" s="106" t="str">
        <f>IFERROR(__xludf.DUMMYFUNCTION("""COMPUTED_VALUE"""),"")</f>
        <v/>
      </c>
      <c r="W863" s="143" t="str">
        <f t="shared" si="2"/>
        <v/>
      </c>
      <c r="X863" s="139" t="str">
        <f>IFERROR(__xludf.DUMMYFUNCTION("""COMPUTED_VALUE"""),"")</f>
        <v/>
      </c>
      <c r="Y863" s="141" t="str">
        <f>IFERROR(__xludf.DUMMYFUNCTION("""COMPUTED_VALUE"""),"")</f>
        <v/>
      </c>
    </row>
    <row r="864">
      <c r="C864" s="136" t="str">
        <f t="shared" si="3"/>
        <v/>
      </c>
      <c r="E864" s="106"/>
      <c r="G864" s="106" t="s">
        <v>133</v>
      </c>
      <c r="I864" s="139" t="s">
        <v>133</v>
      </c>
      <c r="J864" s="136" t="s">
        <v>133</v>
      </c>
      <c r="L864" s="136" t="str">
        <f t="shared" si="1"/>
        <v/>
      </c>
      <c r="N864" s="141" t="s">
        <v>133</v>
      </c>
      <c r="O864" s="136" t="str">
        <f>IFERROR(__xludf.DUMMYFUNCTION("""COMPUTED_VALUE"""),"")</f>
        <v/>
      </c>
      <c r="P864" s="136" t="str">
        <f>IFERROR(__xludf.DUMMYFUNCTION("""COMPUTED_VALUE"""),"")</f>
        <v/>
      </c>
      <c r="Q864" s="106" t="str">
        <f>IFERROR(__xludf.DUMMYFUNCTION("""COMPUTED_VALUE"""),"")</f>
        <v/>
      </c>
      <c r="R864" s="106" t="str">
        <f>IFERROR(__xludf.DUMMYFUNCTION("""COMPUTED_VALUE"""),"")</f>
        <v/>
      </c>
      <c r="S864" s="139" t="str">
        <f>IFERROR(__xludf.DUMMYFUNCTION("""COMPUTED_VALUE"""),"")</f>
        <v/>
      </c>
      <c r="T864" s="139" t="str">
        <f>IFERROR(__xludf.DUMMYFUNCTION("""COMPUTED_VALUE"""),"")</f>
        <v/>
      </c>
      <c r="U864" s="136" t="str">
        <f>IFERROR(__xludf.DUMMYFUNCTION("""COMPUTED_VALUE"""),"")</f>
        <v/>
      </c>
      <c r="V864" s="106" t="str">
        <f>IFERROR(__xludf.DUMMYFUNCTION("""COMPUTED_VALUE"""),"")</f>
        <v/>
      </c>
      <c r="W864" s="143" t="str">
        <f t="shared" si="2"/>
        <v/>
      </c>
      <c r="X864" s="139" t="str">
        <f>IFERROR(__xludf.DUMMYFUNCTION("""COMPUTED_VALUE"""),"")</f>
        <v/>
      </c>
      <c r="Y864" s="141" t="str">
        <f>IFERROR(__xludf.DUMMYFUNCTION("""COMPUTED_VALUE"""),"")</f>
        <v/>
      </c>
    </row>
    <row r="865">
      <c r="C865" s="136" t="str">
        <f t="shared" si="3"/>
        <v/>
      </c>
      <c r="E865" s="106"/>
      <c r="G865" s="106" t="s">
        <v>133</v>
      </c>
      <c r="I865" s="139" t="s">
        <v>133</v>
      </c>
      <c r="J865" s="136" t="s">
        <v>133</v>
      </c>
      <c r="L865" s="136" t="str">
        <f t="shared" si="1"/>
        <v/>
      </c>
      <c r="N865" s="141" t="s">
        <v>133</v>
      </c>
      <c r="O865" s="136" t="str">
        <f>IFERROR(__xludf.DUMMYFUNCTION("""COMPUTED_VALUE"""),"")</f>
        <v/>
      </c>
      <c r="P865" s="136" t="str">
        <f>IFERROR(__xludf.DUMMYFUNCTION("""COMPUTED_VALUE"""),"")</f>
        <v/>
      </c>
      <c r="Q865" s="106" t="str">
        <f>IFERROR(__xludf.DUMMYFUNCTION("""COMPUTED_VALUE"""),"")</f>
        <v/>
      </c>
      <c r="R865" s="106" t="str">
        <f>IFERROR(__xludf.DUMMYFUNCTION("""COMPUTED_VALUE"""),"")</f>
        <v/>
      </c>
      <c r="S865" s="139" t="str">
        <f>IFERROR(__xludf.DUMMYFUNCTION("""COMPUTED_VALUE"""),"")</f>
        <v/>
      </c>
      <c r="T865" s="139" t="str">
        <f>IFERROR(__xludf.DUMMYFUNCTION("""COMPUTED_VALUE"""),"")</f>
        <v/>
      </c>
      <c r="U865" s="136" t="str">
        <f>IFERROR(__xludf.DUMMYFUNCTION("""COMPUTED_VALUE"""),"")</f>
        <v/>
      </c>
      <c r="V865" s="106" t="str">
        <f>IFERROR(__xludf.DUMMYFUNCTION("""COMPUTED_VALUE"""),"")</f>
        <v/>
      </c>
      <c r="W865" s="143" t="str">
        <f t="shared" si="2"/>
        <v/>
      </c>
      <c r="X865" s="139" t="str">
        <f>IFERROR(__xludf.DUMMYFUNCTION("""COMPUTED_VALUE"""),"")</f>
        <v/>
      </c>
      <c r="Y865" s="141" t="str">
        <f>IFERROR(__xludf.DUMMYFUNCTION("""COMPUTED_VALUE"""),"")</f>
        <v/>
      </c>
    </row>
    <row r="866">
      <c r="C866" s="136" t="str">
        <f t="shared" si="3"/>
        <v/>
      </c>
      <c r="E866" s="106"/>
      <c r="G866" s="106" t="s">
        <v>133</v>
      </c>
      <c r="I866" s="139" t="s">
        <v>133</v>
      </c>
      <c r="J866" s="136" t="s">
        <v>133</v>
      </c>
      <c r="L866" s="136" t="str">
        <f t="shared" si="1"/>
        <v/>
      </c>
      <c r="N866" s="141" t="s">
        <v>133</v>
      </c>
      <c r="O866" s="136" t="str">
        <f>IFERROR(__xludf.DUMMYFUNCTION("""COMPUTED_VALUE"""),"")</f>
        <v/>
      </c>
      <c r="P866" s="136" t="str">
        <f>IFERROR(__xludf.DUMMYFUNCTION("""COMPUTED_VALUE"""),"")</f>
        <v/>
      </c>
      <c r="Q866" s="106" t="str">
        <f>IFERROR(__xludf.DUMMYFUNCTION("""COMPUTED_VALUE"""),"")</f>
        <v/>
      </c>
      <c r="R866" s="106" t="str">
        <f>IFERROR(__xludf.DUMMYFUNCTION("""COMPUTED_VALUE"""),"")</f>
        <v/>
      </c>
      <c r="S866" s="139" t="str">
        <f>IFERROR(__xludf.DUMMYFUNCTION("""COMPUTED_VALUE"""),"")</f>
        <v/>
      </c>
      <c r="T866" s="139" t="str">
        <f>IFERROR(__xludf.DUMMYFUNCTION("""COMPUTED_VALUE"""),"")</f>
        <v/>
      </c>
      <c r="U866" s="136" t="str">
        <f>IFERROR(__xludf.DUMMYFUNCTION("""COMPUTED_VALUE"""),"")</f>
        <v/>
      </c>
      <c r="V866" s="106" t="str">
        <f>IFERROR(__xludf.DUMMYFUNCTION("""COMPUTED_VALUE"""),"")</f>
        <v/>
      </c>
      <c r="W866" s="143" t="str">
        <f t="shared" si="2"/>
        <v/>
      </c>
      <c r="X866" s="139" t="str">
        <f>IFERROR(__xludf.DUMMYFUNCTION("""COMPUTED_VALUE"""),"")</f>
        <v/>
      </c>
      <c r="Y866" s="141" t="str">
        <f>IFERROR(__xludf.DUMMYFUNCTION("""COMPUTED_VALUE"""),"")</f>
        <v/>
      </c>
    </row>
    <row r="867">
      <c r="C867" s="136" t="str">
        <f t="shared" si="3"/>
        <v/>
      </c>
      <c r="E867" s="106"/>
      <c r="G867" s="106" t="s">
        <v>133</v>
      </c>
      <c r="I867" s="139" t="s">
        <v>133</v>
      </c>
      <c r="J867" s="136" t="s">
        <v>133</v>
      </c>
      <c r="L867" s="136" t="str">
        <f t="shared" si="1"/>
        <v/>
      </c>
      <c r="N867" s="141" t="s">
        <v>133</v>
      </c>
      <c r="O867" s="136" t="str">
        <f>IFERROR(__xludf.DUMMYFUNCTION("""COMPUTED_VALUE"""),"")</f>
        <v/>
      </c>
      <c r="P867" s="136" t="str">
        <f>IFERROR(__xludf.DUMMYFUNCTION("""COMPUTED_VALUE"""),"")</f>
        <v/>
      </c>
      <c r="Q867" s="106" t="str">
        <f>IFERROR(__xludf.DUMMYFUNCTION("""COMPUTED_VALUE"""),"")</f>
        <v/>
      </c>
      <c r="R867" s="106" t="str">
        <f>IFERROR(__xludf.DUMMYFUNCTION("""COMPUTED_VALUE"""),"")</f>
        <v/>
      </c>
      <c r="S867" s="139" t="str">
        <f>IFERROR(__xludf.DUMMYFUNCTION("""COMPUTED_VALUE"""),"")</f>
        <v/>
      </c>
      <c r="T867" s="139" t="str">
        <f>IFERROR(__xludf.DUMMYFUNCTION("""COMPUTED_VALUE"""),"")</f>
        <v/>
      </c>
      <c r="U867" s="136" t="str">
        <f>IFERROR(__xludf.DUMMYFUNCTION("""COMPUTED_VALUE"""),"")</f>
        <v/>
      </c>
      <c r="V867" s="106" t="str">
        <f>IFERROR(__xludf.DUMMYFUNCTION("""COMPUTED_VALUE"""),"")</f>
        <v/>
      </c>
      <c r="W867" s="143" t="str">
        <f t="shared" si="2"/>
        <v/>
      </c>
      <c r="X867" s="139" t="str">
        <f>IFERROR(__xludf.DUMMYFUNCTION("""COMPUTED_VALUE"""),"")</f>
        <v/>
      </c>
      <c r="Y867" s="141" t="str">
        <f>IFERROR(__xludf.DUMMYFUNCTION("""COMPUTED_VALUE"""),"")</f>
        <v/>
      </c>
    </row>
    <row r="868">
      <c r="C868" s="136" t="str">
        <f t="shared" si="3"/>
        <v/>
      </c>
      <c r="E868" s="106"/>
      <c r="G868" s="106" t="s">
        <v>133</v>
      </c>
      <c r="I868" s="139" t="s">
        <v>133</v>
      </c>
      <c r="J868" s="136" t="s">
        <v>133</v>
      </c>
      <c r="L868" s="136" t="str">
        <f t="shared" si="1"/>
        <v/>
      </c>
      <c r="N868" s="141" t="s">
        <v>133</v>
      </c>
      <c r="O868" s="136" t="str">
        <f>IFERROR(__xludf.DUMMYFUNCTION("""COMPUTED_VALUE"""),"")</f>
        <v/>
      </c>
      <c r="P868" s="136" t="str">
        <f>IFERROR(__xludf.DUMMYFUNCTION("""COMPUTED_VALUE"""),"")</f>
        <v/>
      </c>
      <c r="Q868" s="106" t="str">
        <f>IFERROR(__xludf.DUMMYFUNCTION("""COMPUTED_VALUE"""),"")</f>
        <v/>
      </c>
      <c r="R868" s="106" t="str">
        <f>IFERROR(__xludf.DUMMYFUNCTION("""COMPUTED_VALUE"""),"")</f>
        <v/>
      </c>
      <c r="S868" s="139" t="str">
        <f>IFERROR(__xludf.DUMMYFUNCTION("""COMPUTED_VALUE"""),"")</f>
        <v/>
      </c>
      <c r="T868" s="139" t="str">
        <f>IFERROR(__xludf.DUMMYFUNCTION("""COMPUTED_VALUE"""),"")</f>
        <v/>
      </c>
      <c r="U868" s="136" t="str">
        <f>IFERROR(__xludf.DUMMYFUNCTION("""COMPUTED_VALUE"""),"")</f>
        <v/>
      </c>
      <c r="V868" s="106" t="str">
        <f>IFERROR(__xludf.DUMMYFUNCTION("""COMPUTED_VALUE"""),"")</f>
        <v/>
      </c>
      <c r="W868" s="143" t="str">
        <f t="shared" si="2"/>
        <v/>
      </c>
      <c r="X868" s="139" t="str">
        <f>IFERROR(__xludf.DUMMYFUNCTION("""COMPUTED_VALUE"""),"")</f>
        <v/>
      </c>
      <c r="Y868" s="141" t="str">
        <f>IFERROR(__xludf.DUMMYFUNCTION("""COMPUTED_VALUE"""),"")</f>
        <v/>
      </c>
    </row>
    <row r="869">
      <c r="C869" s="136" t="str">
        <f t="shared" si="3"/>
        <v/>
      </c>
      <c r="E869" s="106"/>
      <c r="G869" s="106" t="s">
        <v>133</v>
      </c>
      <c r="I869" s="139" t="s">
        <v>133</v>
      </c>
      <c r="J869" s="136" t="s">
        <v>133</v>
      </c>
      <c r="L869" s="136" t="str">
        <f t="shared" si="1"/>
        <v/>
      </c>
      <c r="N869" s="141" t="s">
        <v>133</v>
      </c>
      <c r="O869" s="136" t="str">
        <f>IFERROR(__xludf.DUMMYFUNCTION("""COMPUTED_VALUE"""),"")</f>
        <v/>
      </c>
      <c r="P869" s="136" t="str">
        <f>IFERROR(__xludf.DUMMYFUNCTION("""COMPUTED_VALUE"""),"")</f>
        <v/>
      </c>
      <c r="Q869" s="106" t="str">
        <f>IFERROR(__xludf.DUMMYFUNCTION("""COMPUTED_VALUE"""),"")</f>
        <v/>
      </c>
      <c r="R869" s="106" t="str">
        <f>IFERROR(__xludf.DUMMYFUNCTION("""COMPUTED_VALUE"""),"")</f>
        <v/>
      </c>
      <c r="S869" s="139" t="str">
        <f>IFERROR(__xludf.DUMMYFUNCTION("""COMPUTED_VALUE"""),"")</f>
        <v/>
      </c>
      <c r="T869" s="139" t="str">
        <f>IFERROR(__xludf.DUMMYFUNCTION("""COMPUTED_VALUE"""),"")</f>
        <v/>
      </c>
      <c r="U869" s="136" t="str">
        <f>IFERROR(__xludf.DUMMYFUNCTION("""COMPUTED_VALUE"""),"")</f>
        <v/>
      </c>
      <c r="V869" s="106" t="str">
        <f>IFERROR(__xludf.DUMMYFUNCTION("""COMPUTED_VALUE"""),"")</f>
        <v/>
      </c>
      <c r="W869" s="143" t="str">
        <f t="shared" si="2"/>
        <v/>
      </c>
      <c r="X869" s="139" t="str">
        <f>IFERROR(__xludf.DUMMYFUNCTION("""COMPUTED_VALUE"""),"")</f>
        <v/>
      </c>
      <c r="Y869" s="141" t="str">
        <f>IFERROR(__xludf.DUMMYFUNCTION("""COMPUTED_VALUE"""),"")</f>
        <v/>
      </c>
    </row>
    <row r="870">
      <c r="C870" s="136" t="str">
        <f t="shared" si="3"/>
        <v/>
      </c>
      <c r="E870" s="106"/>
      <c r="G870" s="106" t="s">
        <v>133</v>
      </c>
      <c r="I870" s="139" t="s">
        <v>133</v>
      </c>
      <c r="J870" s="136" t="s">
        <v>133</v>
      </c>
      <c r="L870" s="136" t="str">
        <f t="shared" si="1"/>
        <v/>
      </c>
      <c r="N870" s="141" t="s">
        <v>133</v>
      </c>
      <c r="O870" s="136" t="str">
        <f>IFERROR(__xludf.DUMMYFUNCTION("""COMPUTED_VALUE"""),"")</f>
        <v/>
      </c>
      <c r="P870" s="136" t="str">
        <f>IFERROR(__xludf.DUMMYFUNCTION("""COMPUTED_VALUE"""),"")</f>
        <v/>
      </c>
      <c r="Q870" s="106" t="str">
        <f>IFERROR(__xludf.DUMMYFUNCTION("""COMPUTED_VALUE"""),"")</f>
        <v/>
      </c>
      <c r="R870" s="106" t="str">
        <f>IFERROR(__xludf.DUMMYFUNCTION("""COMPUTED_VALUE"""),"")</f>
        <v/>
      </c>
      <c r="S870" s="139" t="str">
        <f>IFERROR(__xludf.DUMMYFUNCTION("""COMPUTED_VALUE"""),"")</f>
        <v/>
      </c>
      <c r="T870" s="139" t="str">
        <f>IFERROR(__xludf.DUMMYFUNCTION("""COMPUTED_VALUE"""),"")</f>
        <v/>
      </c>
      <c r="U870" s="136" t="str">
        <f>IFERROR(__xludf.DUMMYFUNCTION("""COMPUTED_VALUE"""),"")</f>
        <v/>
      </c>
      <c r="V870" s="106" t="str">
        <f>IFERROR(__xludf.DUMMYFUNCTION("""COMPUTED_VALUE"""),"")</f>
        <v/>
      </c>
      <c r="W870" s="143" t="str">
        <f t="shared" si="2"/>
        <v/>
      </c>
      <c r="X870" s="139" t="str">
        <f>IFERROR(__xludf.DUMMYFUNCTION("""COMPUTED_VALUE"""),"")</f>
        <v/>
      </c>
      <c r="Y870" s="141" t="str">
        <f>IFERROR(__xludf.DUMMYFUNCTION("""COMPUTED_VALUE"""),"")</f>
        <v/>
      </c>
    </row>
    <row r="871">
      <c r="C871" s="136" t="str">
        <f t="shared" si="3"/>
        <v/>
      </c>
      <c r="E871" s="106"/>
      <c r="G871" s="106" t="s">
        <v>133</v>
      </c>
      <c r="I871" s="139" t="s">
        <v>133</v>
      </c>
      <c r="J871" s="136" t="s">
        <v>133</v>
      </c>
      <c r="L871" s="136" t="str">
        <f t="shared" si="1"/>
        <v/>
      </c>
      <c r="N871" s="141" t="s">
        <v>133</v>
      </c>
      <c r="O871" s="136" t="str">
        <f>IFERROR(__xludf.DUMMYFUNCTION("""COMPUTED_VALUE"""),"")</f>
        <v/>
      </c>
      <c r="P871" s="136" t="str">
        <f>IFERROR(__xludf.DUMMYFUNCTION("""COMPUTED_VALUE"""),"")</f>
        <v/>
      </c>
      <c r="Q871" s="106" t="str">
        <f>IFERROR(__xludf.DUMMYFUNCTION("""COMPUTED_VALUE"""),"")</f>
        <v/>
      </c>
      <c r="R871" s="106" t="str">
        <f>IFERROR(__xludf.DUMMYFUNCTION("""COMPUTED_VALUE"""),"")</f>
        <v/>
      </c>
      <c r="S871" s="139" t="str">
        <f>IFERROR(__xludf.DUMMYFUNCTION("""COMPUTED_VALUE"""),"")</f>
        <v/>
      </c>
      <c r="T871" s="139" t="str">
        <f>IFERROR(__xludf.DUMMYFUNCTION("""COMPUTED_VALUE"""),"")</f>
        <v/>
      </c>
      <c r="U871" s="136" t="str">
        <f>IFERROR(__xludf.DUMMYFUNCTION("""COMPUTED_VALUE"""),"")</f>
        <v/>
      </c>
      <c r="V871" s="106" t="str">
        <f>IFERROR(__xludf.DUMMYFUNCTION("""COMPUTED_VALUE"""),"")</f>
        <v/>
      </c>
      <c r="W871" s="143" t="str">
        <f t="shared" si="2"/>
        <v/>
      </c>
      <c r="X871" s="139" t="str">
        <f>IFERROR(__xludf.DUMMYFUNCTION("""COMPUTED_VALUE"""),"")</f>
        <v/>
      </c>
      <c r="Y871" s="141" t="str">
        <f>IFERROR(__xludf.DUMMYFUNCTION("""COMPUTED_VALUE"""),"")</f>
        <v/>
      </c>
    </row>
    <row r="872">
      <c r="C872" s="136" t="str">
        <f t="shared" si="3"/>
        <v/>
      </c>
      <c r="E872" s="106"/>
      <c r="G872" s="106" t="s">
        <v>133</v>
      </c>
      <c r="I872" s="139" t="s">
        <v>133</v>
      </c>
      <c r="J872" s="136" t="s">
        <v>133</v>
      </c>
      <c r="L872" s="136" t="str">
        <f t="shared" si="1"/>
        <v/>
      </c>
      <c r="N872" s="141" t="s">
        <v>133</v>
      </c>
      <c r="O872" s="136" t="str">
        <f>IFERROR(__xludf.DUMMYFUNCTION("""COMPUTED_VALUE"""),"")</f>
        <v/>
      </c>
      <c r="P872" s="136" t="str">
        <f>IFERROR(__xludf.DUMMYFUNCTION("""COMPUTED_VALUE"""),"")</f>
        <v/>
      </c>
      <c r="Q872" s="106" t="str">
        <f>IFERROR(__xludf.DUMMYFUNCTION("""COMPUTED_VALUE"""),"")</f>
        <v/>
      </c>
      <c r="R872" s="106" t="str">
        <f>IFERROR(__xludf.DUMMYFUNCTION("""COMPUTED_VALUE"""),"")</f>
        <v/>
      </c>
      <c r="S872" s="139" t="str">
        <f>IFERROR(__xludf.DUMMYFUNCTION("""COMPUTED_VALUE"""),"")</f>
        <v/>
      </c>
      <c r="T872" s="139" t="str">
        <f>IFERROR(__xludf.DUMMYFUNCTION("""COMPUTED_VALUE"""),"")</f>
        <v/>
      </c>
      <c r="U872" s="136" t="str">
        <f>IFERROR(__xludf.DUMMYFUNCTION("""COMPUTED_VALUE"""),"")</f>
        <v/>
      </c>
      <c r="V872" s="106" t="str">
        <f>IFERROR(__xludf.DUMMYFUNCTION("""COMPUTED_VALUE"""),"")</f>
        <v/>
      </c>
      <c r="W872" s="143" t="str">
        <f t="shared" si="2"/>
        <v/>
      </c>
      <c r="X872" s="139" t="str">
        <f>IFERROR(__xludf.DUMMYFUNCTION("""COMPUTED_VALUE"""),"")</f>
        <v/>
      </c>
      <c r="Y872" s="141" t="str">
        <f>IFERROR(__xludf.DUMMYFUNCTION("""COMPUTED_VALUE"""),"")</f>
        <v/>
      </c>
    </row>
    <row r="873">
      <c r="C873" s="136" t="str">
        <f t="shared" si="3"/>
        <v/>
      </c>
      <c r="E873" s="106"/>
      <c r="G873" s="106" t="s">
        <v>133</v>
      </c>
      <c r="I873" s="139" t="s">
        <v>133</v>
      </c>
      <c r="J873" s="136" t="s">
        <v>133</v>
      </c>
      <c r="L873" s="136" t="str">
        <f t="shared" si="1"/>
        <v/>
      </c>
      <c r="N873" s="141" t="s">
        <v>133</v>
      </c>
      <c r="O873" s="136" t="str">
        <f>IFERROR(__xludf.DUMMYFUNCTION("""COMPUTED_VALUE"""),"")</f>
        <v/>
      </c>
      <c r="P873" s="136" t="str">
        <f>IFERROR(__xludf.DUMMYFUNCTION("""COMPUTED_VALUE"""),"")</f>
        <v/>
      </c>
      <c r="Q873" s="106" t="str">
        <f>IFERROR(__xludf.DUMMYFUNCTION("""COMPUTED_VALUE"""),"")</f>
        <v/>
      </c>
      <c r="R873" s="106" t="str">
        <f>IFERROR(__xludf.DUMMYFUNCTION("""COMPUTED_VALUE"""),"")</f>
        <v/>
      </c>
      <c r="S873" s="139" t="str">
        <f>IFERROR(__xludf.DUMMYFUNCTION("""COMPUTED_VALUE"""),"")</f>
        <v/>
      </c>
      <c r="T873" s="139" t="str">
        <f>IFERROR(__xludf.DUMMYFUNCTION("""COMPUTED_VALUE"""),"")</f>
        <v/>
      </c>
      <c r="U873" s="136" t="str">
        <f>IFERROR(__xludf.DUMMYFUNCTION("""COMPUTED_VALUE"""),"")</f>
        <v/>
      </c>
      <c r="V873" s="106" t="str">
        <f>IFERROR(__xludf.DUMMYFUNCTION("""COMPUTED_VALUE"""),"")</f>
        <v/>
      </c>
      <c r="W873" s="143" t="str">
        <f t="shared" si="2"/>
        <v/>
      </c>
      <c r="X873" s="139" t="str">
        <f>IFERROR(__xludf.DUMMYFUNCTION("""COMPUTED_VALUE"""),"")</f>
        <v/>
      </c>
      <c r="Y873" s="141" t="str">
        <f>IFERROR(__xludf.DUMMYFUNCTION("""COMPUTED_VALUE"""),"")</f>
        <v/>
      </c>
    </row>
    <row r="874">
      <c r="C874" s="136" t="str">
        <f t="shared" si="3"/>
        <v/>
      </c>
      <c r="E874" s="106"/>
      <c r="G874" s="106" t="s">
        <v>133</v>
      </c>
      <c r="I874" s="139" t="s">
        <v>133</v>
      </c>
      <c r="J874" s="136" t="s">
        <v>133</v>
      </c>
      <c r="L874" s="136" t="str">
        <f t="shared" si="1"/>
        <v/>
      </c>
      <c r="N874" s="141" t="s">
        <v>133</v>
      </c>
      <c r="O874" s="136" t="str">
        <f>IFERROR(__xludf.DUMMYFUNCTION("""COMPUTED_VALUE"""),"")</f>
        <v/>
      </c>
      <c r="P874" s="136" t="str">
        <f>IFERROR(__xludf.DUMMYFUNCTION("""COMPUTED_VALUE"""),"")</f>
        <v/>
      </c>
      <c r="Q874" s="106" t="str">
        <f>IFERROR(__xludf.DUMMYFUNCTION("""COMPUTED_VALUE"""),"")</f>
        <v/>
      </c>
      <c r="R874" s="106" t="str">
        <f>IFERROR(__xludf.DUMMYFUNCTION("""COMPUTED_VALUE"""),"")</f>
        <v/>
      </c>
      <c r="S874" s="139" t="str">
        <f>IFERROR(__xludf.DUMMYFUNCTION("""COMPUTED_VALUE"""),"")</f>
        <v/>
      </c>
      <c r="T874" s="139" t="str">
        <f>IFERROR(__xludf.DUMMYFUNCTION("""COMPUTED_VALUE"""),"")</f>
        <v/>
      </c>
      <c r="U874" s="136" t="str">
        <f>IFERROR(__xludf.DUMMYFUNCTION("""COMPUTED_VALUE"""),"")</f>
        <v/>
      </c>
      <c r="V874" s="106" t="str">
        <f>IFERROR(__xludf.DUMMYFUNCTION("""COMPUTED_VALUE"""),"")</f>
        <v/>
      </c>
      <c r="W874" s="143" t="str">
        <f t="shared" si="2"/>
        <v/>
      </c>
      <c r="X874" s="139" t="str">
        <f>IFERROR(__xludf.DUMMYFUNCTION("""COMPUTED_VALUE"""),"")</f>
        <v/>
      </c>
      <c r="Y874" s="141" t="str">
        <f>IFERROR(__xludf.DUMMYFUNCTION("""COMPUTED_VALUE"""),"")</f>
        <v/>
      </c>
    </row>
    <row r="875">
      <c r="C875" s="136" t="str">
        <f t="shared" si="3"/>
        <v/>
      </c>
      <c r="E875" s="106"/>
      <c r="G875" s="106" t="s">
        <v>133</v>
      </c>
      <c r="I875" s="139" t="s">
        <v>133</v>
      </c>
      <c r="J875" s="136" t="s">
        <v>133</v>
      </c>
      <c r="L875" s="136" t="str">
        <f t="shared" si="1"/>
        <v/>
      </c>
      <c r="N875" s="141" t="s">
        <v>133</v>
      </c>
      <c r="O875" s="136" t="str">
        <f>IFERROR(__xludf.DUMMYFUNCTION("""COMPUTED_VALUE"""),"")</f>
        <v/>
      </c>
      <c r="P875" s="136" t="str">
        <f>IFERROR(__xludf.DUMMYFUNCTION("""COMPUTED_VALUE"""),"")</f>
        <v/>
      </c>
      <c r="Q875" s="106" t="str">
        <f>IFERROR(__xludf.DUMMYFUNCTION("""COMPUTED_VALUE"""),"")</f>
        <v/>
      </c>
      <c r="R875" s="106" t="str">
        <f>IFERROR(__xludf.DUMMYFUNCTION("""COMPUTED_VALUE"""),"")</f>
        <v/>
      </c>
      <c r="S875" s="139" t="str">
        <f>IFERROR(__xludf.DUMMYFUNCTION("""COMPUTED_VALUE"""),"")</f>
        <v/>
      </c>
      <c r="T875" s="139" t="str">
        <f>IFERROR(__xludf.DUMMYFUNCTION("""COMPUTED_VALUE"""),"")</f>
        <v/>
      </c>
      <c r="U875" s="136" t="str">
        <f>IFERROR(__xludf.DUMMYFUNCTION("""COMPUTED_VALUE"""),"")</f>
        <v/>
      </c>
      <c r="V875" s="106" t="str">
        <f>IFERROR(__xludf.DUMMYFUNCTION("""COMPUTED_VALUE"""),"")</f>
        <v/>
      </c>
      <c r="W875" s="143" t="str">
        <f t="shared" si="2"/>
        <v/>
      </c>
      <c r="X875" s="139" t="str">
        <f>IFERROR(__xludf.DUMMYFUNCTION("""COMPUTED_VALUE"""),"")</f>
        <v/>
      </c>
      <c r="Y875" s="141" t="str">
        <f>IFERROR(__xludf.DUMMYFUNCTION("""COMPUTED_VALUE"""),"")</f>
        <v/>
      </c>
    </row>
    <row r="876">
      <c r="C876" s="136" t="str">
        <f t="shared" si="3"/>
        <v/>
      </c>
      <c r="E876" s="106"/>
      <c r="G876" s="106" t="s">
        <v>133</v>
      </c>
      <c r="I876" s="139" t="s">
        <v>133</v>
      </c>
      <c r="J876" s="136" t="s">
        <v>133</v>
      </c>
      <c r="L876" s="136" t="str">
        <f t="shared" si="1"/>
        <v/>
      </c>
      <c r="N876" s="141" t="s">
        <v>133</v>
      </c>
      <c r="O876" s="136" t="str">
        <f>IFERROR(__xludf.DUMMYFUNCTION("""COMPUTED_VALUE"""),"")</f>
        <v/>
      </c>
      <c r="P876" s="136" t="str">
        <f>IFERROR(__xludf.DUMMYFUNCTION("""COMPUTED_VALUE"""),"")</f>
        <v/>
      </c>
      <c r="Q876" s="106" t="str">
        <f>IFERROR(__xludf.DUMMYFUNCTION("""COMPUTED_VALUE"""),"")</f>
        <v/>
      </c>
      <c r="R876" s="106" t="str">
        <f>IFERROR(__xludf.DUMMYFUNCTION("""COMPUTED_VALUE"""),"")</f>
        <v/>
      </c>
      <c r="S876" s="139" t="str">
        <f>IFERROR(__xludf.DUMMYFUNCTION("""COMPUTED_VALUE"""),"")</f>
        <v/>
      </c>
      <c r="T876" s="139" t="str">
        <f>IFERROR(__xludf.DUMMYFUNCTION("""COMPUTED_VALUE"""),"")</f>
        <v/>
      </c>
      <c r="U876" s="136" t="str">
        <f>IFERROR(__xludf.DUMMYFUNCTION("""COMPUTED_VALUE"""),"")</f>
        <v/>
      </c>
      <c r="V876" s="106" t="str">
        <f>IFERROR(__xludf.DUMMYFUNCTION("""COMPUTED_VALUE"""),"")</f>
        <v/>
      </c>
      <c r="W876" s="143" t="str">
        <f t="shared" si="2"/>
        <v/>
      </c>
      <c r="X876" s="139" t="str">
        <f>IFERROR(__xludf.DUMMYFUNCTION("""COMPUTED_VALUE"""),"")</f>
        <v/>
      </c>
      <c r="Y876" s="141" t="str">
        <f>IFERROR(__xludf.DUMMYFUNCTION("""COMPUTED_VALUE"""),"")</f>
        <v/>
      </c>
    </row>
    <row r="877">
      <c r="C877" s="136" t="str">
        <f t="shared" si="3"/>
        <v/>
      </c>
      <c r="E877" s="106"/>
      <c r="G877" s="106" t="s">
        <v>133</v>
      </c>
      <c r="I877" s="139" t="s">
        <v>133</v>
      </c>
      <c r="J877" s="136" t="s">
        <v>133</v>
      </c>
      <c r="L877" s="136" t="str">
        <f t="shared" si="1"/>
        <v/>
      </c>
      <c r="N877" s="141" t="s">
        <v>133</v>
      </c>
      <c r="O877" s="136" t="str">
        <f>IFERROR(__xludf.DUMMYFUNCTION("""COMPUTED_VALUE"""),"")</f>
        <v/>
      </c>
      <c r="P877" s="136" t="str">
        <f>IFERROR(__xludf.DUMMYFUNCTION("""COMPUTED_VALUE"""),"")</f>
        <v/>
      </c>
      <c r="Q877" s="106" t="str">
        <f>IFERROR(__xludf.DUMMYFUNCTION("""COMPUTED_VALUE"""),"")</f>
        <v/>
      </c>
      <c r="R877" s="106" t="str">
        <f>IFERROR(__xludf.DUMMYFUNCTION("""COMPUTED_VALUE"""),"")</f>
        <v/>
      </c>
      <c r="S877" s="139" t="str">
        <f>IFERROR(__xludf.DUMMYFUNCTION("""COMPUTED_VALUE"""),"")</f>
        <v/>
      </c>
      <c r="T877" s="139" t="str">
        <f>IFERROR(__xludf.DUMMYFUNCTION("""COMPUTED_VALUE"""),"")</f>
        <v/>
      </c>
      <c r="U877" s="136" t="str">
        <f>IFERROR(__xludf.DUMMYFUNCTION("""COMPUTED_VALUE"""),"")</f>
        <v/>
      </c>
      <c r="V877" s="106" t="str">
        <f>IFERROR(__xludf.DUMMYFUNCTION("""COMPUTED_VALUE"""),"")</f>
        <v/>
      </c>
      <c r="W877" s="143" t="str">
        <f t="shared" si="2"/>
        <v/>
      </c>
      <c r="X877" s="139" t="str">
        <f>IFERROR(__xludf.DUMMYFUNCTION("""COMPUTED_VALUE"""),"")</f>
        <v/>
      </c>
      <c r="Y877" s="141" t="str">
        <f>IFERROR(__xludf.DUMMYFUNCTION("""COMPUTED_VALUE"""),"")</f>
        <v/>
      </c>
    </row>
    <row r="878">
      <c r="C878" s="136" t="str">
        <f t="shared" si="3"/>
        <v/>
      </c>
      <c r="E878" s="106"/>
      <c r="G878" s="106" t="s">
        <v>133</v>
      </c>
      <c r="I878" s="139" t="s">
        <v>133</v>
      </c>
      <c r="J878" s="136" t="s">
        <v>133</v>
      </c>
      <c r="L878" s="136" t="str">
        <f t="shared" si="1"/>
        <v/>
      </c>
      <c r="N878" s="141" t="s">
        <v>133</v>
      </c>
      <c r="O878" s="136" t="str">
        <f>IFERROR(__xludf.DUMMYFUNCTION("""COMPUTED_VALUE"""),"")</f>
        <v/>
      </c>
      <c r="P878" s="136" t="str">
        <f>IFERROR(__xludf.DUMMYFUNCTION("""COMPUTED_VALUE"""),"")</f>
        <v/>
      </c>
      <c r="Q878" s="106" t="str">
        <f>IFERROR(__xludf.DUMMYFUNCTION("""COMPUTED_VALUE"""),"")</f>
        <v/>
      </c>
      <c r="R878" s="106" t="str">
        <f>IFERROR(__xludf.DUMMYFUNCTION("""COMPUTED_VALUE"""),"")</f>
        <v/>
      </c>
      <c r="S878" s="139" t="str">
        <f>IFERROR(__xludf.DUMMYFUNCTION("""COMPUTED_VALUE"""),"")</f>
        <v/>
      </c>
      <c r="T878" s="139" t="str">
        <f>IFERROR(__xludf.DUMMYFUNCTION("""COMPUTED_VALUE"""),"")</f>
        <v/>
      </c>
      <c r="U878" s="136" t="str">
        <f>IFERROR(__xludf.DUMMYFUNCTION("""COMPUTED_VALUE"""),"")</f>
        <v/>
      </c>
      <c r="V878" s="106" t="str">
        <f>IFERROR(__xludf.DUMMYFUNCTION("""COMPUTED_VALUE"""),"")</f>
        <v/>
      </c>
      <c r="W878" s="143" t="str">
        <f t="shared" si="2"/>
        <v/>
      </c>
      <c r="X878" s="139" t="str">
        <f>IFERROR(__xludf.DUMMYFUNCTION("""COMPUTED_VALUE"""),"")</f>
        <v/>
      </c>
      <c r="Y878" s="141" t="str">
        <f>IFERROR(__xludf.DUMMYFUNCTION("""COMPUTED_VALUE"""),"")</f>
        <v/>
      </c>
    </row>
    <row r="879">
      <c r="C879" s="136" t="str">
        <f t="shared" si="3"/>
        <v/>
      </c>
      <c r="E879" s="106"/>
      <c r="G879" s="106" t="s">
        <v>133</v>
      </c>
      <c r="I879" s="139" t="s">
        <v>133</v>
      </c>
      <c r="J879" s="136" t="s">
        <v>133</v>
      </c>
      <c r="L879" s="136" t="str">
        <f t="shared" si="1"/>
        <v/>
      </c>
      <c r="N879" s="141" t="s">
        <v>133</v>
      </c>
      <c r="O879" s="136" t="str">
        <f>IFERROR(__xludf.DUMMYFUNCTION("""COMPUTED_VALUE"""),"")</f>
        <v/>
      </c>
      <c r="P879" s="136" t="str">
        <f>IFERROR(__xludf.DUMMYFUNCTION("""COMPUTED_VALUE"""),"")</f>
        <v/>
      </c>
      <c r="Q879" s="106" t="str">
        <f>IFERROR(__xludf.DUMMYFUNCTION("""COMPUTED_VALUE"""),"")</f>
        <v/>
      </c>
      <c r="R879" s="106" t="str">
        <f>IFERROR(__xludf.DUMMYFUNCTION("""COMPUTED_VALUE"""),"")</f>
        <v/>
      </c>
      <c r="S879" s="139" t="str">
        <f>IFERROR(__xludf.DUMMYFUNCTION("""COMPUTED_VALUE"""),"")</f>
        <v/>
      </c>
      <c r="T879" s="139" t="str">
        <f>IFERROR(__xludf.DUMMYFUNCTION("""COMPUTED_VALUE"""),"")</f>
        <v/>
      </c>
      <c r="U879" s="136" t="str">
        <f>IFERROR(__xludf.DUMMYFUNCTION("""COMPUTED_VALUE"""),"")</f>
        <v/>
      </c>
      <c r="V879" s="106" t="str">
        <f>IFERROR(__xludf.DUMMYFUNCTION("""COMPUTED_VALUE"""),"")</f>
        <v/>
      </c>
      <c r="W879" s="143" t="str">
        <f t="shared" si="2"/>
        <v/>
      </c>
      <c r="X879" s="139" t="str">
        <f>IFERROR(__xludf.DUMMYFUNCTION("""COMPUTED_VALUE"""),"")</f>
        <v/>
      </c>
      <c r="Y879" s="141" t="str">
        <f>IFERROR(__xludf.DUMMYFUNCTION("""COMPUTED_VALUE"""),"")</f>
        <v/>
      </c>
    </row>
    <row r="880">
      <c r="C880" s="136" t="str">
        <f t="shared" si="3"/>
        <v/>
      </c>
      <c r="E880" s="106"/>
      <c r="G880" s="106" t="s">
        <v>133</v>
      </c>
      <c r="I880" s="139" t="s">
        <v>133</v>
      </c>
      <c r="J880" s="136" t="s">
        <v>133</v>
      </c>
      <c r="L880" s="136" t="str">
        <f t="shared" si="1"/>
        <v/>
      </c>
      <c r="N880" s="141" t="s">
        <v>133</v>
      </c>
      <c r="O880" s="136" t="str">
        <f>IFERROR(__xludf.DUMMYFUNCTION("""COMPUTED_VALUE"""),"")</f>
        <v/>
      </c>
      <c r="P880" s="136" t="str">
        <f>IFERROR(__xludf.DUMMYFUNCTION("""COMPUTED_VALUE"""),"")</f>
        <v/>
      </c>
      <c r="Q880" s="106" t="str">
        <f>IFERROR(__xludf.DUMMYFUNCTION("""COMPUTED_VALUE"""),"")</f>
        <v/>
      </c>
      <c r="R880" s="106" t="str">
        <f>IFERROR(__xludf.DUMMYFUNCTION("""COMPUTED_VALUE"""),"")</f>
        <v/>
      </c>
      <c r="S880" s="139" t="str">
        <f>IFERROR(__xludf.DUMMYFUNCTION("""COMPUTED_VALUE"""),"")</f>
        <v/>
      </c>
      <c r="T880" s="139" t="str">
        <f>IFERROR(__xludf.DUMMYFUNCTION("""COMPUTED_VALUE"""),"")</f>
        <v/>
      </c>
      <c r="U880" s="136" t="str">
        <f>IFERROR(__xludf.DUMMYFUNCTION("""COMPUTED_VALUE"""),"")</f>
        <v/>
      </c>
      <c r="V880" s="106" t="str">
        <f>IFERROR(__xludf.DUMMYFUNCTION("""COMPUTED_VALUE"""),"")</f>
        <v/>
      </c>
      <c r="W880" s="143" t="str">
        <f t="shared" si="2"/>
        <v/>
      </c>
      <c r="X880" s="139" t="str">
        <f>IFERROR(__xludf.DUMMYFUNCTION("""COMPUTED_VALUE"""),"")</f>
        <v/>
      </c>
      <c r="Y880" s="141" t="str">
        <f>IFERROR(__xludf.DUMMYFUNCTION("""COMPUTED_VALUE"""),"")</f>
        <v/>
      </c>
    </row>
    <row r="881">
      <c r="C881" s="136" t="str">
        <f t="shared" si="3"/>
        <v/>
      </c>
      <c r="E881" s="106"/>
      <c r="G881" s="106" t="s">
        <v>133</v>
      </c>
      <c r="I881" s="139" t="s">
        <v>133</v>
      </c>
      <c r="J881" s="136" t="s">
        <v>133</v>
      </c>
      <c r="L881" s="136" t="str">
        <f t="shared" si="1"/>
        <v/>
      </c>
      <c r="N881" s="141" t="s">
        <v>133</v>
      </c>
      <c r="O881" s="136" t="str">
        <f>IFERROR(__xludf.DUMMYFUNCTION("""COMPUTED_VALUE"""),"")</f>
        <v/>
      </c>
      <c r="P881" s="136" t="str">
        <f>IFERROR(__xludf.DUMMYFUNCTION("""COMPUTED_VALUE"""),"")</f>
        <v/>
      </c>
      <c r="Q881" s="106" t="str">
        <f>IFERROR(__xludf.DUMMYFUNCTION("""COMPUTED_VALUE"""),"")</f>
        <v/>
      </c>
      <c r="R881" s="106" t="str">
        <f>IFERROR(__xludf.DUMMYFUNCTION("""COMPUTED_VALUE"""),"")</f>
        <v/>
      </c>
      <c r="S881" s="139" t="str">
        <f>IFERROR(__xludf.DUMMYFUNCTION("""COMPUTED_VALUE"""),"")</f>
        <v/>
      </c>
      <c r="T881" s="139" t="str">
        <f>IFERROR(__xludf.DUMMYFUNCTION("""COMPUTED_VALUE"""),"")</f>
        <v/>
      </c>
      <c r="U881" s="136" t="str">
        <f>IFERROR(__xludf.DUMMYFUNCTION("""COMPUTED_VALUE"""),"")</f>
        <v/>
      </c>
      <c r="V881" s="106" t="str">
        <f>IFERROR(__xludf.DUMMYFUNCTION("""COMPUTED_VALUE"""),"")</f>
        <v/>
      </c>
      <c r="W881" s="143" t="str">
        <f t="shared" si="2"/>
        <v/>
      </c>
      <c r="X881" s="139" t="str">
        <f>IFERROR(__xludf.DUMMYFUNCTION("""COMPUTED_VALUE"""),"")</f>
        <v/>
      </c>
      <c r="Y881" s="141" t="str">
        <f>IFERROR(__xludf.DUMMYFUNCTION("""COMPUTED_VALUE"""),"")</f>
        <v/>
      </c>
    </row>
    <row r="882">
      <c r="C882" s="136" t="str">
        <f t="shared" si="3"/>
        <v/>
      </c>
      <c r="E882" s="106"/>
      <c r="G882" s="106" t="s">
        <v>133</v>
      </c>
      <c r="I882" s="139" t="s">
        <v>133</v>
      </c>
      <c r="J882" s="136" t="s">
        <v>133</v>
      </c>
      <c r="L882" s="136" t="str">
        <f t="shared" si="1"/>
        <v/>
      </c>
      <c r="N882" s="141" t="s">
        <v>133</v>
      </c>
      <c r="O882" s="136" t="str">
        <f>IFERROR(__xludf.DUMMYFUNCTION("""COMPUTED_VALUE"""),"")</f>
        <v/>
      </c>
      <c r="P882" s="136" t="str">
        <f>IFERROR(__xludf.DUMMYFUNCTION("""COMPUTED_VALUE"""),"")</f>
        <v/>
      </c>
      <c r="Q882" s="106" t="str">
        <f>IFERROR(__xludf.DUMMYFUNCTION("""COMPUTED_VALUE"""),"")</f>
        <v/>
      </c>
      <c r="R882" s="106" t="str">
        <f>IFERROR(__xludf.DUMMYFUNCTION("""COMPUTED_VALUE"""),"")</f>
        <v/>
      </c>
      <c r="S882" s="139" t="str">
        <f>IFERROR(__xludf.DUMMYFUNCTION("""COMPUTED_VALUE"""),"")</f>
        <v/>
      </c>
      <c r="T882" s="139" t="str">
        <f>IFERROR(__xludf.DUMMYFUNCTION("""COMPUTED_VALUE"""),"")</f>
        <v/>
      </c>
      <c r="U882" s="136" t="str">
        <f>IFERROR(__xludf.DUMMYFUNCTION("""COMPUTED_VALUE"""),"")</f>
        <v/>
      </c>
      <c r="V882" s="106" t="str">
        <f>IFERROR(__xludf.DUMMYFUNCTION("""COMPUTED_VALUE"""),"")</f>
        <v/>
      </c>
      <c r="W882" s="143" t="str">
        <f t="shared" si="2"/>
        <v/>
      </c>
      <c r="X882" s="139" t="str">
        <f>IFERROR(__xludf.DUMMYFUNCTION("""COMPUTED_VALUE"""),"")</f>
        <v/>
      </c>
      <c r="Y882" s="141" t="str">
        <f>IFERROR(__xludf.DUMMYFUNCTION("""COMPUTED_VALUE"""),"")</f>
        <v/>
      </c>
    </row>
    <row r="883">
      <c r="C883" s="136" t="str">
        <f t="shared" si="3"/>
        <v/>
      </c>
      <c r="E883" s="106"/>
      <c r="G883" s="106" t="s">
        <v>133</v>
      </c>
      <c r="I883" s="139" t="s">
        <v>133</v>
      </c>
      <c r="J883" s="136" t="s">
        <v>133</v>
      </c>
      <c r="L883" s="136" t="str">
        <f t="shared" si="1"/>
        <v/>
      </c>
      <c r="N883" s="141" t="s">
        <v>133</v>
      </c>
      <c r="O883" s="136" t="str">
        <f>IFERROR(__xludf.DUMMYFUNCTION("""COMPUTED_VALUE"""),"")</f>
        <v/>
      </c>
      <c r="P883" s="136" t="str">
        <f>IFERROR(__xludf.DUMMYFUNCTION("""COMPUTED_VALUE"""),"")</f>
        <v/>
      </c>
      <c r="Q883" s="106" t="str">
        <f>IFERROR(__xludf.DUMMYFUNCTION("""COMPUTED_VALUE"""),"")</f>
        <v/>
      </c>
      <c r="R883" s="106" t="str">
        <f>IFERROR(__xludf.DUMMYFUNCTION("""COMPUTED_VALUE"""),"")</f>
        <v/>
      </c>
      <c r="S883" s="139" t="str">
        <f>IFERROR(__xludf.DUMMYFUNCTION("""COMPUTED_VALUE"""),"")</f>
        <v/>
      </c>
      <c r="T883" s="139" t="str">
        <f>IFERROR(__xludf.DUMMYFUNCTION("""COMPUTED_VALUE"""),"")</f>
        <v/>
      </c>
      <c r="U883" s="136" t="str">
        <f>IFERROR(__xludf.DUMMYFUNCTION("""COMPUTED_VALUE"""),"")</f>
        <v/>
      </c>
      <c r="V883" s="106" t="str">
        <f>IFERROR(__xludf.DUMMYFUNCTION("""COMPUTED_VALUE"""),"")</f>
        <v/>
      </c>
      <c r="W883" s="143" t="str">
        <f t="shared" si="2"/>
        <v/>
      </c>
      <c r="X883" s="139" t="str">
        <f>IFERROR(__xludf.DUMMYFUNCTION("""COMPUTED_VALUE"""),"")</f>
        <v/>
      </c>
      <c r="Y883" s="141" t="str">
        <f>IFERROR(__xludf.DUMMYFUNCTION("""COMPUTED_VALUE"""),"")</f>
        <v/>
      </c>
    </row>
    <row r="884">
      <c r="C884" s="136" t="str">
        <f t="shared" si="3"/>
        <v/>
      </c>
      <c r="E884" s="106"/>
      <c r="G884" s="106" t="s">
        <v>133</v>
      </c>
      <c r="I884" s="139" t="s">
        <v>133</v>
      </c>
      <c r="J884" s="136" t="s">
        <v>133</v>
      </c>
      <c r="L884" s="136" t="str">
        <f t="shared" si="1"/>
        <v/>
      </c>
      <c r="N884" s="141" t="s">
        <v>133</v>
      </c>
      <c r="O884" s="136" t="str">
        <f>IFERROR(__xludf.DUMMYFUNCTION("""COMPUTED_VALUE"""),"")</f>
        <v/>
      </c>
      <c r="P884" s="136" t="str">
        <f>IFERROR(__xludf.DUMMYFUNCTION("""COMPUTED_VALUE"""),"")</f>
        <v/>
      </c>
      <c r="Q884" s="106" t="str">
        <f>IFERROR(__xludf.DUMMYFUNCTION("""COMPUTED_VALUE"""),"")</f>
        <v/>
      </c>
      <c r="R884" s="106" t="str">
        <f>IFERROR(__xludf.DUMMYFUNCTION("""COMPUTED_VALUE"""),"")</f>
        <v/>
      </c>
      <c r="S884" s="139" t="str">
        <f>IFERROR(__xludf.DUMMYFUNCTION("""COMPUTED_VALUE"""),"")</f>
        <v/>
      </c>
      <c r="T884" s="139" t="str">
        <f>IFERROR(__xludf.DUMMYFUNCTION("""COMPUTED_VALUE"""),"")</f>
        <v/>
      </c>
      <c r="U884" s="136" t="str">
        <f>IFERROR(__xludf.DUMMYFUNCTION("""COMPUTED_VALUE"""),"")</f>
        <v/>
      </c>
      <c r="V884" s="106" t="str">
        <f>IFERROR(__xludf.DUMMYFUNCTION("""COMPUTED_VALUE"""),"")</f>
        <v/>
      </c>
      <c r="W884" s="143" t="str">
        <f t="shared" si="2"/>
        <v/>
      </c>
      <c r="X884" s="139" t="str">
        <f>IFERROR(__xludf.DUMMYFUNCTION("""COMPUTED_VALUE"""),"")</f>
        <v/>
      </c>
      <c r="Y884" s="141" t="str">
        <f>IFERROR(__xludf.DUMMYFUNCTION("""COMPUTED_VALUE"""),"")</f>
        <v/>
      </c>
    </row>
    <row r="885">
      <c r="C885" s="136" t="str">
        <f t="shared" si="3"/>
        <v/>
      </c>
      <c r="E885" s="106"/>
      <c r="G885" s="106" t="s">
        <v>133</v>
      </c>
      <c r="I885" s="139" t="s">
        <v>133</v>
      </c>
      <c r="J885" s="136" t="s">
        <v>133</v>
      </c>
      <c r="L885" s="136" t="str">
        <f t="shared" si="1"/>
        <v/>
      </c>
      <c r="N885" s="141" t="s">
        <v>133</v>
      </c>
      <c r="O885" s="136" t="str">
        <f>IFERROR(__xludf.DUMMYFUNCTION("""COMPUTED_VALUE"""),"")</f>
        <v/>
      </c>
      <c r="P885" s="136" t="str">
        <f>IFERROR(__xludf.DUMMYFUNCTION("""COMPUTED_VALUE"""),"")</f>
        <v/>
      </c>
      <c r="Q885" s="106" t="str">
        <f>IFERROR(__xludf.DUMMYFUNCTION("""COMPUTED_VALUE"""),"")</f>
        <v/>
      </c>
      <c r="R885" s="106" t="str">
        <f>IFERROR(__xludf.DUMMYFUNCTION("""COMPUTED_VALUE"""),"")</f>
        <v/>
      </c>
      <c r="S885" s="139" t="str">
        <f>IFERROR(__xludf.DUMMYFUNCTION("""COMPUTED_VALUE"""),"")</f>
        <v/>
      </c>
      <c r="T885" s="139" t="str">
        <f>IFERROR(__xludf.DUMMYFUNCTION("""COMPUTED_VALUE"""),"")</f>
        <v/>
      </c>
      <c r="U885" s="136" t="str">
        <f>IFERROR(__xludf.DUMMYFUNCTION("""COMPUTED_VALUE"""),"")</f>
        <v/>
      </c>
      <c r="V885" s="106" t="str">
        <f>IFERROR(__xludf.DUMMYFUNCTION("""COMPUTED_VALUE"""),"")</f>
        <v/>
      </c>
      <c r="W885" s="143" t="str">
        <f t="shared" si="2"/>
        <v/>
      </c>
      <c r="X885" s="139" t="str">
        <f>IFERROR(__xludf.DUMMYFUNCTION("""COMPUTED_VALUE"""),"")</f>
        <v/>
      </c>
      <c r="Y885" s="141" t="str">
        <f>IFERROR(__xludf.DUMMYFUNCTION("""COMPUTED_VALUE"""),"")</f>
        <v/>
      </c>
    </row>
    <row r="886">
      <c r="C886" s="136" t="str">
        <f t="shared" si="3"/>
        <v/>
      </c>
      <c r="E886" s="106"/>
      <c r="G886" s="106" t="s">
        <v>133</v>
      </c>
      <c r="I886" s="139" t="s">
        <v>133</v>
      </c>
      <c r="J886" s="136" t="s">
        <v>133</v>
      </c>
      <c r="L886" s="136" t="str">
        <f t="shared" si="1"/>
        <v/>
      </c>
      <c r="N886" s="141" t="s">
        <v>133</v>
      </c>
      <c r="O886" s="136" t="str">
        <f>IFERROR(__xludf.DUMMYFUNCTION("""COMPUTED_VALUE"""),"")</f>
        <v/>
      </c>
      <c r="P886" s="136" t="str">
        <f>IFERROR(__xludf.DUMMYFUNCTION("""COMPUTED_VALUE"""),"")</f>
        <v/>
      </c>
      <c r="Q886" s="106" t="str">
        <f>IFERROR(__xludf.DUMMYFUNCTION("""COMPUTED_VALUE"""),"")</f>
        <v/>
      </c>
      <c r="R886" s="106" t="str">
        <f>IFERROR(__xludf.DUMMYFUNCTION("""COMPUTED_VALUE"""),"")</f>
        <v/>
      </c>
      <c r="S886" s="139" t="str">
        <f>IFERROR(__xludf.DUMMYFUNCTION("""COMPUTED_VALUE"""),"")</f>
        <v/>
      </c>
      <c r="T886" s="139" t="str">
        <f>IFERROR(__xludf.DUMMYFUNCTION("""COMPUTED_VALUE"""),"")</f>
        <v/>
      </c>
      <c r="U886" s="136" t="str">
        <f>IFERROR(__xludf.DUMMYFUNCTION("""COMPUTED_VALUE"""),"")</f>
        <v/>
      </c>
      <c r="V886" s="106" t="str">
        <f>IFERROR(__xludf.DUMMYFUNCTION("""COMPUTED_VALUE"""),"")</f>
        <v/>
      </c>
      <c r="W886" s="143" t="str">
        <f t="shared" si="2"/>
        <v/>
      </c>
      <c r="X886" s="139" t="str">
        <f>IFERROR(__xludf.DUMMYFUNCTION("""COMPUTED_VALUE"""),"")</f>
        <v/>
      </c>
      <c r="Y886" s="141" t="str">
        <f>IFERROR(__xludf.DUMMYFUNCTION("""COMPUTED_VALUE"""),"")</f>
        <v/>
      </c>
    </row>
    <row r="887">
      <c r="C887" s="136" t="str">
        <f t="shared" si="3"/>
        <v/>
      </c>
      <c r="E887" s="106"/>
      <c r="G887" s="106" t="s">
        <v>133</v>
      </c>
      <c r="I887" s="139" t="s">
        <v>133</v>
      </c>
      <c r="J887" s="136" t="s">
        <v>133</v>
      </c>
      <c r="L887" s="136" t="str">
        <f t="shared" si="1"/>
        <v/>
      </c>
      <c r="N887" s="141" t="s">
        <v>133</v>
      </c>
      <c r="O887" s="136" t="str">
        <f>IFERROR(__xludf.DUMMYFUNCTION("""COMPUTED_VALUE"""),"")</f>
        <v/>
      </c>
      <c r="P887" s="136" t="str">
        <f>IFERROR(__xludf.DUMMYFUNCTION("""COMPUTED_VALUE"""),"")</f>
        <v/>
      </c>
      <c r="Q887" s="106" t="str">
        <f>IFERROR(__xludf.DUMMYFUNCTION("""COMPUTED_VALUE"""),"")</f>
        <v/>
      </c>
      <c r="R887" s="106" t="str">
        <f>IFERROR(__xludf.DUMMYFUNCTION("""COMPUTED_VALUE"""),"")</f>
        <v/>
      </c>
      <c r="S887" s="139" t="str">
        <f>IFERROR(__xludf.DUMMYFUNCTION("""COMPUTED_VALUE"""),"")</f>
        <v/>
      </c>
      <c r="T887" s="139" t="str">
        <f>IFERROR(__xludf.DUMMYFUNCTION("""COMPUTED_VALUE"""),"")</f>
        <v/>
      </c>
      <c r="U887" s="136" t="str">
        <f>IFERROR(__xludf.DUMMYFUNCTION("""COMPUTED_VALUE"""),"")</f>
        <v/>
      </c>
      <c r="V887" s="106" t="str">
        <f>IFERROR(__xludf.DUMMYFUNCTION("""COMPUTED_VALUE"""),"")</f>
        <v/>
      </c>
      <c r="W887" s="143" t="str">
        <f t="shared" si="2"/>
        <v/>
      </c>
      <c r="X887" s="139" t="str">
        <f>IFERROR(__xludf.DUMMYFUNCTION("""COMPUTED_VALUE"""),"")</f>
        <v/>
      </c>
      <c r="Y887" s="141" t="str">
        <f>IFERROR(__xludf.DUMMYFUNCTION("""COMPUTED_VALUE"""),"")</f>
        <v/>
      </c>
    </row>
    <row r="888">
      <c r="C888" s="136" t="str">
        <f t="shared" si="3"/>
        <v/>
      </c>
      <c r="E888" s="106"/>
      <c r="G888" s="106" t="s">
        <v>133</v>
      </c>
      <c r="I888" s="139" t="s">
        <v>133</v>
      </c>
      <c r="J888" s="136" t="s">
        <v>133</v>
      </c>
      <c r="L888" s="136" t="str">
        <f t="shared" si="1"/>
        <v/>
      </c>
      <c r="N888" s="141" t="s">
        <v>133</v>
      </c>
      <c r="O888" s="136" t="str">
        <f>IFERROR(__xludf.DUMMYFUNCTION("""COMPUTED_VALUE"""),"")</f>
        <v/>
      </c>
      <c r="P888" s="136" t="str">
        <f>IFERROR(__xludf.DUMMYFUNCTION("""COMPUTED_VALUE"""),"")</f>
        <v/>
      </c>
      <c r="Q888" s="106" t="str">
        <f>IFERROR(__xludf.DUMMYFUNCTION("""COMPUTED_VALUE"""),"")</f>
        <v/>
      </c>
      <c r="R888" s="106" t="str">
        <f>IFERROR(__xludf.DUMMYFUNCTION("""COMPUTED_VALUE"""),"")</f>
        <v/>
      </c>
      <c r="S888" s="139" t="str">
        <f>IFERROR(__xludf.DUMMYFUNCTION("""COMPUTED_VALUE"""),"")</f>
        <v/>
      </c>
      <c r="T888" s="139" t="str">
        <f>IFERROR(__xludf.DUMMYFUNCTION("""COMPUTED_VALUE"""),"")</f>
        <v/>
      </c>
      <c r="U888" s="136" t="str">
        <f>IFERROR(__xludf.DUMMYFUNCTION("""COMPUTED_VALUE"""),"")</f>
        <v/>
      </c>
      <c r="V888" s="106" t="str">
        <f>IFERROR(__xludf.DUMMYFUNCTION("""COMPUTED_VALUE"""),"")</f>
        <v/>
      </c>
      <c r="W888" s="143" t="str">
        <f t="shared" si="2"/>
        <v/>
      </c>
      <c r="X888" s="139" t="str">
        <f>IFERROR(__xludf.DUMMYFUNCTION("""COMPUTED_VALUE"""),"")</f>
        <v/>
      </c>
      <c r="Y888" s="141" t="str">
        <f>IFERROR(__xludf.DUMMYFUNCTION("""COMPUTED_VALUE"""),"")</f>
        <v/>
      </c>
    </row>
    <row r="889">
      <c r="C889" s="136" t="str">
        <f t="shared" si="3"/>
        <v/>
      </c>
      <c r="E889" s="106"/>
      <c r="G889" s="106" t="s">
        <v>133</v>
      </c>
      <c r="I889" s="139" t="s">
        <v>133</v>
      </c>
      <c r="J889" s="136" t="s">
        <v>133</v>
      </c>
      <c r="L889" s="136" t="str">
        <f t="shared" si="1"/>
        <v/>
      </c>
      <c r="N889" s="141" t="s">
        <v>133</v>
      </c>
      <c r="O889" s="136" t="str">
        <f>IFERROR(__xludf.DUMMYFUNCTION("""COMPUTED_VALUE"""),"")</f>
        <v/>
      </c>
      <c r="P889" s="136" t="str">
        <f>IFERROR(__xludf.DUMMYFUNCTION("""COMPUTED_VALUE"""),"")</f>
        <v/>
      </c>
      <c r="Q889" s="106" t="str">
        <f>IFERROR(__xludf.DUMMYFUNCTION("""COMPUTED_VALUE"""),"")</f>
        <v/>
      </c>
      <c r="R889" s="106" t="str">
        <f>IFERROR(__xludf.DUMMYFUNCTION("""COMPUTED_VALUE"""),"")</f>
        <v/>
      </c>
      <c r="S889" s="139" t="str">
        <f>IFERROR(__xludf.DUMMYFUNCTION("""COMPUTED_VALUE"""),"")</f>
        <v/>
      </c>
      <c r="T889" s="139" t="str">
        <f>IFERROR(__xludf.DUMMYFUNCTION("""COMPUTED_VALUE"""),"")</f>
        <v/>
      </c>
      <c r="U889" s="136" t="str">
        <f>IFERROR(__xludf.DUMMYFUNCTION("""COMPUTED_VALUE"""),"")</f>
        <v/>
      </c>
      <c r="V889" s="106" t="str">
        <f>IFERROR(__xludf.DUMMYFUNCTION("""COMPUTED_VALUE"""),"")</f>
        <v/>
      </c>
      <c r="W889" s="143" t="str">
        <f t="shared" si="2"/>
        <v/>
      </c>
      <c r="X889" s="139" t="str">
        <f>IFERROR(__xludf.DUMMYFUNCTION("""COMPUTED_VALUE"""),"")</f>
        <v/>
      </c>
      <c r="Y889" s="141" t="str">
        <f>IFERROR(__xludf.DUMMYFUNCTION("""COMPUTED_VALUE"""),"")</f>
        <v/>
      </c>
    </row>
    <row r="890">
      <c r="C890" s="136" t="str">
        <f t="shared" si="3"/>
        <v/>
      </c>
      <c r="E890" s="106"/>
      <c r="G890" s="106" t="s">
        <v>133</v>
      </c>
      <c r="I890" s="139" t="s">
        <v>133</v>
      </c>
      <c r="J890" s="136" t="s">
        <v>133</v>
      </c>
      <c r="L890" s="136" t="str">
        <f t="shared" si="1"/>
        <v/>
      </c>
      <c r="N890" s="141" t="s">
        <v>133</v>
      </c>
      <c r="O890" s="136" t="str">
        <f>IFERROR(__xludf.DUMMYFUNCTION("""COMPUTED_VALUE"""),"")</f>
        <v/>
      </c>
      <c r="P890" s="136" t="str">
        <f>IFERROR(__xludf.DUMMYFUNCTION("""COMPUTED_VALUE"""),"")</f>
        <v/>
      </c>
      <c r="Q890" s="106" t="str">
        <f>IFERROR(__xludf.DUMMYFUNCTION("""COMPUTED_VALUE"""),"")</f>
        <v/>
      </c>
      <c r="R890" s="106" t="str">
        <f>IFERROR(__xludf.DUMMYFUNCTION("""COMPUTED_VALUE"""),"")</f>
        <v/>
      </c>
      <c r="S890" s="139" t="str">
        <f>IFERROR(__xludf.DUMMYFUNCTION("""COMPUTED_VALUE"""),"")</f>
        <v/>
      </c>
      <c r="T890" s="139" t="str">
        <f>IFERROR(__xludf.DUMMYFUNCTION("""COMPUTED_VALUE"""),"")</f>
        <v/>
      </c>
      <c r="U890" s="136" t="str">
        <f>IFERROR(__xludf.DUMMYFUNCTION("""COMPUTED_VALUE"""),"")</f>
        <v/>
      </c>
      <c r="V890" s="106" t="str">
        <f>IFERROR(__xludf.DUMMYFUNCTION("""COMPUTED_VALUE"""),"")</f>
        <v/>
      </c>
      <c r="W890" s="143" t="str">
        <f t="shared" si="2"/>
        <v/>
      </c>
      <c r="X890" s="139" t="str">
        <f>IFERROR(__xludf.DUMMYFUNCTION("""COMPUTED_VALUE"""),"")</f>
        <v/>
      </c>
      <c r="Y890" s="141" t="str">
        <f>IFERROR(__xludf.DUMMYFUNCTION("""COMPUTED_VALUE"""),"")</f>
        <v/>
      </c>
    </row>
    <row r="891">
      <c r="C891" s="136" t="str">
        <f t="shared" si="3"/>
        <v/>
      </c>
      <c r="E891" s="106"/>
      <c r="G891" s="106" t="s">
        <v>133</v>
      </c>
      <c r="I891" s="139" t="s">
        <v>133</v>
      </c>
      <c r="J891" s="136" t="s">
        <v>133</v>
      </c>
      <c r="L891" s="136" t="str">
        <f t="shared" si="1"/>
        <v/>
      </c>
      <c r="N891" s="141" t="s">
        <v>133</v>
      </c>
      <c r="O891" s="136" t="str">
        <f>IFERROR(__xludf.DUMMYFUNCTION("""COMPUTED_VALUE"""),"")</f>
        <v/>
      </c>
      <c r="P891" s="136" t="str">
        <f>IFERROR(__xludf.DUMMYFUNCTION("""COMPUTED_VALUE"""),"")</f>
        <v/>
      </c>
      <c r="Q891" s="106" t="str">
        <f>IFERROR(__xludf.DUMMYFUNCTION("""COMPUTED_VALUE"""),"")</f>
        <v/>
      </c>
      <c r="R891" s="106" t="str">
        <f>IFERROR(__xludf.DUMMYFUNCTION("""COMPUTED_VALUE"""),"")</f>
        <v/>
      </c>
      <c r="S891" s="139" t="str">
        <f>IFERROR(__xludf.DUMMYFUNCTION("""COMPUTED_VALUE"""),"")</f>
        <v/>
      </c>
      <c r="T891" s="139" t="str">
        <f>IFERROR(__xludf.DUMMYFUNCTION("""COMPUTED_VALUE"""),"")</f>
        <v/>
      </c>
      <c r="U891" s="136" t="str">
        <f>IFERROR(__xludf.DUMMYFUNCTION("""COMPUTED_VALUE"""),"")</f>
        <v/>
      </c>
      <c r="V891" s="106" t="str">
        <f>IFERROR(__xludf.DUMMYFUNCTION("""COMPUTED_VALUE"""),"")</f>
        <v/>
      </c>
      <c r="W891" s="143" t="str">
        <f t="shared" si="2"/>
        <v/>
      </c>
      <c r="X891" s="139" t="str">
        <f>IFERROR(__xludf.DUMMYFUNCTION("""COMPUTED_VALUE"""),"")</f>
        <v/>
      </c>
      <c r="Y891" s="141" t="str">
        <f>IFERROR(__xludf.DUMMYFUNCTION("""COMPUTED_VALUE"""),"")</f>
        <v/>
      </c>
    </row>
    <row r="892">
      <c r="C892" s="136" t="str">
        <f t="shared" si="3"/>
        <v/>
      </c>
      <c r="E892" s="106"/>
      <c r="G892" s="106" t="s">
        <v>133</v>
      </c>
      <c r="I892" s="139" t="s">
        <v>133</v>
      </c>
      <c r="J892" s="136" t="s">
        <v>133</v>
      </c>
      <c r="L892" s="136" t="str">
        <f t="shared" si="1"/>
        <v/>
      </c>
      <c r="N892" s="141" t="s">
        <v>133</v>
      </c>
      <c r="O892" s="136" t="str">
        <f>IFERROR(__xludf.DUMMYFUNCTION("""COMPUTED_VALUE"""),"")</f>
        <v/>
      </c>
      <c r="P892" s="136" t="str">
        <f>IFERROR(__xludf.DUMMYFUNCTION("""COMPUTED_VALUE"""),"")</f>
        <v/>
      </c>
      <c r="Q892" s="106" t="str">
        <f>IFERROR(__xludf.DUMMYFUNCTION("""COMPUTED_VALUE"""),"")</f>
        <v/>
      </c>
      <c r="R892" s="106" t="str">
        <f>IFERROR(__xludf.DUMMYFUNCTION("""COMPUTED_VALUE"""),"")</f>
        <v/>
      </c>
      <c r="S892" s="139" t="str">
        <f>IFERROR(__xludf.DUMMYFUNCTION("""COMPUTED_VALUE"""),"")</f>
        <v/>
      </c>
      <c r="T892" s="139" t="str">
        <f>IFERROR(__xludf.DUMMYFUNCTION("""COMPUTED_VALUE"""),"")</f>
        <v/>
      </c>
      <c r="U892" s="136" t="str">
        <f>IFERROR(__xludf.DUMMYFUNCTION("""COMPUTED_VALUE"""),"")</f>
        <v/>
      </c>
      <c r="V892" s="106" t="str">
        <f>IFERROR(__xludf.DUMMYFUNCTION("""COMPUTED_VALUE"""),"")</f>
        <v/>
      </c>
      <c r="W892" s="143" t="str">
        <f t="shared" si="2"/>
        <v/>
      </c>
      <c r="X892" s="139" t="str">
        <f>IFERROR(__xludf.DUMMYFUNCTION("""COMPUTED_VALUE"""),"")</f>
        <v/>
      </c>
      <c r="Y892" s="141" t="str">
        <f>IFERROR(__xludf.DUMMYFUNCTION("""COMPUTED_VALUE"""),"")</f>
        <v/>
      </c>
    </row>
    <row r="893">
      <c r="C893" s="136" t="str">
        <f t="shared" si="3"/>
        <v/>
      </c>
      <c r="E893" s="106"/>
      <c r="G893" s="106" t="s">
        <v>133</v>
      </c>
      <c r="I893" s="139" t="s">
        <v>133</v>
      </c>
      <c r="J893" s="136" t="s">
        <v>133</v>
      </c>
      <c r="L893" s="136" t="str">
        <f t="shared" si="1"/>
        <v/>
      </c>
      <c r="N893" s="141" t="s">
        <v>133</v>
      </c>
      <c r="O893" s="136" t="str">
        <f>IFERROR(__xludf.DUMMYFUNCTION("""COMPUTED_VALUE"""),"")</f>
        <v/>
      </c>
      <c r="P893" s="136" t="str">
        <f>IFERROR(__xludf.DUMMYFUNCTION("""COMPUTED_VALUE"""),"")</f>
        <v/>
      </c>
      <c r="Q893" s="106" t="str">
        <f>IFERROR(__xludf.DUMMYFUNCTION("""COMPUTED_VALUE"""),"")</f>
        <v/>
      </c>
      <c r="R893" s="106" t="str">
        <f>IFERROR(__xludf.DUMMYFUNCTION("""COMPUTED_VALUE"""),"")</f>
        <v/>
      </c>
      <c r="S893" s="139" t="str">
        <f>IFERROR(__xludf.DUMMYFUNCTION("""COMPUTED_VALUE"""),"")</f>
        <v/>
      </c>
      <c r="T893" s="139" t="str">
        <f>IFERROR(__xludf.DUMMYFUNCTION("""COMPUTED_VALUE"""),"")</f>
        <v/>
      </c>
      <c r="U893" s="136" t="str">
        <f>IFERROR(__xludf.DUMMYFUNCTION("""COMPUTED_VALUE"""),"")</f>
        <v/>
      </c>
      <c r="V893" s="106" t="str">
        <f>IFERROR(__xludf.DUMMYFUNCTION("""COMPUTED_VALUE"""),"")</f>
        <v/>
      </c>
      <c r="W893" s="143" t="str">
        <f t="shared" si="2"/>
        <v/>
      </c>
      <c r="X893" s="139" t="str">
        <f>IFERROR(__xludf.DUMMYFUNCTION("""COMPUTED_VALUE"""),"")</f>
        <v/>
      </c>
      <c r="Y893" s="141" t="str">
        <f>IFERROR(__xludf.DUMMYFUNCTION("""COMPUTED_VALUE"""),"")</f>
        <v/>
      </c>
    </row>
    <row r="894">
      <c r="C894" s="136" t="str">
        <f t="shared" si="3"/>
        <v/>
      </c>
      <c r="E894" s="106"/>
      <c r="G894" s="106" t="s">
        <v>133</v>
      </c>
      <c r="I894" s="139" t="s">
        <v>133</v>
      </c>
      <c r="J894" s="136" t="s">
        <v>133</v>
      </c>
      <c r="L894" s="136" t="str">
        <f t="shared" si="1"/>
        <v/>
      </c>
      <c r="N894" s="141" t="s">
        <v>133</v>
      </c>
      <c r="O894" s="136" t="str">
        <f>IFERROR(__xludf.DUMMYFUNCTION("""COMPUTED_VALUE"""),"")</f>
        <v/>
      </c>
      <c r="P894" s="136" t="str">
        <f>IFERROR(__xludf.DUMMYFUNCTION("""COMPUTED_VALUE"""),"")</f>
        <v/>
      </c>
      <c r="Q894" s="106" t="str">
        <f>IFERROR(__xludf.DUMMYFUNCTION("""COMPUTED_VALUE"""),"")</f>
        <v/>
      </c>
      <c r="R894" s="106" t="str">
        <f>IFERROR(__xludf.DUMMYFUNCTION("""COMPUTED_VALUE"""),"")</f>
        <v/>
      </c>
      <c r="S894" s="139" t="str">
        <f>IFERROR(__xludf.DUMMYFUNCTION("""COMPUTED_VALUE"""),"")</f>
        <v/>
      </c>
      <c r="T894" s="139" t="str">
        <f>IFERROR(__xludf.DUMMYFUNCTION("""COMPUTED_VALUE"""),"")</f>
        <v/>
      </c>
      <c r="U894" s="136" t="str">
        <f>IFERROR(__xludf.DUMMYFUNCTION("""COMPUTED_VALUE"""),"")</f>
        <v/>
      </c>
      <c r="V894" s="106" t="str">
        <f>IFERROR(__xludf.DUMMYFUNCTION("""COMPUTED_VALUE"""),"")</f>
        <v/>
      </c>
      <c r="W894" s="143" t="str">
        <f t="shared" si="2"/>
        <v/>
      </c>
      <c r="X894" s="139" t="str">
        <f>IFERROR(__xludf.DUMMYFUNCTION("""COMPUTED_VALUE"""),"")</f>
        <v/>
      </c>
      <c r="Y894" s="141" t="str">
        <f>IFERROR(__xludf.DUMMYFUNCTION("""COMPUTED_VALUE"""),"")</f>
        <v/>
      </c>
    </row>
    <row r="895">
      <c r="C895" s="136" t="str">
        <f t="shared" si="3"/>
        <v/>
      </c>
      <c r="E895" s="106"/>
      <c r="G895" s="106" t="s">
        <v>133</v>
      </c>
      <c r="I895" s="139" t="s">
        <v>133</v>
      </c>
      <c r="J895" s="136" t="s">
        <v>133</v>
      </c>
      <c r="L895" s="136" t="str">
        <f t="shared" si="1"/>
        <v/>
      </c>
      <c r="N895" s="141" t="s">
        <v>133</v>
      </c>
      <c r="O895" s="136" t="str">
        <f>IFERROR(__xludf.DUMMYFUNCTION("""COMPUTED_VALUE"""),"")</f>
        <v/>
      </c>
      <c r="P895" s="136" t="str">
        <f>IFERROR(__xludf.DUMMYFUNCTION("""COMPUTED_VALUE"""),"")</f>
        <v/>
      </c>
      <c r="Q895" s="106" t="str">
        <f>IFERROR(__xludf.DUMMYFUNCTION("""COMPUTED_VALUE"""),"")</f>
        <v/>
      </c>
      <c r="R895" s="106" t="str">
        <f>IFERROR(__xludf.DUMMYFUNCTION("""COMPUTED_VALUE"""),"")</f>
        <v/>
      </c>
      <c r="S895" s="139" t="str">
        <f>IFERROR(__xludf.DUMMYFUNCTION("""COMPUTED_VALUE"""),"")</f>
        <v/>
      </c>
      <c r="T895" s="139" t="str">
        <f>IFERROR(__xludf.DUMMYFUNCTION("""COMPUTED_VALUE"""),"")</f>
        <v/>
      </c>
      <c r="U895" s="136" t="str">
        <f>IFERROR(__xludf.DUMMYFUNCTION("""COMPUTED_VALUE"""),"")</f>
        <v/>
      </c>
      <c r="V895" s="106" t="str">
        <f>IFERROR(__xludf.DUMMYFUNCTION("""COMPUTED_VALUE"""),"")</f>
        <v/>
      </c>
      <c r="W895" s="143" t="str">
        <f t="shared" si="2"/>
        <v/>
      </c>
      <c r="X895" s="139" t="str">
        <f>IFERROR(__xludf.DUMMYFUNCTION("""COMPUTED_VALUE"""),"")</f>
        <v/>
      </c>
      <c r="Y895" s="141" t="str">
        <f>IFERROR(__xludf.DUMMYFUNCTION("""COMPUTED_VALUE"""),"")</f>
        <v/>
      </c>
    </row>
    <row r="896">
      <c r="C896" s="136" t="str">
        <f t="shared" si="3"/>
        <v/>
      </c>
      <c r="E896" s="106"/>
      <c r="G896" s="106" t="s">
        <v>133</v>
      </c>
      <c r="I896" s="139" t="s">
        <v>133</v>
      </c>
      <c r="J896" s="136" t="s">
        <v>133</v>
      </c>
      <c r="L896" s="136" t="str">
        <f t="shared" si="1"/>
        <v/>
      </c>
      <c r="N896" s="141" t="s">
        <v>133</v>
      </c>
      <c r="O896" s="136" t="str">
        <f>IFERROR(__xludf.DUMMYFUNCTION("""COMPUTED_VALUE"""),"")</f>
        <v/>
      </c>
      <c r="P896" s="136" t="str">
        <f>IFERROR(__xludf.DUMMYFUNCTION("""COMPUTED_VALUE"""),"")</f>
        <v/>
      </c>
      <c r="Q896" s="106" t="str">
        <f>IFERROR(__xludf.DUMMYFUNCTION("""COMPUTED_VALUE"""),"")</f>
        <v/>
      </c>
      <c r="R896" s="106" t="str">
        <f>IFERROR(__xludf.DUMMYFUNCTION("""COMPUTED_VALUE"""),"")</f>
        <v/>
      </c>
      <c r="S896" s="139" t="str">
        <f>IFERROR(__xludf.DUMMYFUNCTION("""COMPUTED_VALUE"""),"")</f>
        <v/>
      </c>
      <c r="T896" s="139" t="str">
        <f>IFERROR(__xludf.DUMMYFUNCTION("""COMPUTED_VALUE"""),"")</f>
        <v/>
      </c>
      <c r="U896" s="136" t="str">
        <f>IFERROR(__xludf.DUMMYFUNCTION("""COMPUTED_VALUE"""),"")</f>
        <v/>
      </c>
      <c r="V896" s="106" t="str">
        <f>IFERROR(__xludf.DUMMYFUNCTION("""COMPUTED_VALUE"""),"")</f>
        <v/>
      </c>
      <c r="W896" s="143" t="str">
        <f t="shared" si="2"/>
        <v/>
      </c>
      <c r="X896" s="139" t="str">
        <f>IFERROR(__xludf.DUMMYFUNCTION("""COMPUTED_VALUE"""),"")</f>
        <v/>
      </c>
      <c r="Y896" s="141" t="str">
        <f>IFERROR(__xludf.DUMMYFUNCTION("""COMPUTED_VALUE"""),"")</f>
        <v/>
      </c>
    </row>
    <row r="897">
      <c r="C897" s="136" t="str">
        <f t="shared" si="3"/>
        <v/>
      </c>
      <c r="E897" s="106"/>
      <c r="G897" s="106" t="s">
        <v>133</v>
      </c>
      <c r="I897" s="139" t="s">
        <v>133</v>
      </c>
      <c r="J897" s="136" t="s">
        <v>133</v>
      </c>
      <c r="L897" s="136" t="str">
        <f t="shared" si="1"/>
        <v/>
      </c>
      <c r="N897" s="141" t="s">
        <v>133</v>
      </c>
      <c r="O897" s="136" t="str">
        <f>IFERROR(__xludf.DUMMYFUNCTION("""COMPUTED_VALUE"""),"")</f>
        <v/>
      </c>
      <c r="P897" s="136" t="str">
        <f>IFERROR(__xludf.DUMMYFUNCTION("""COMPUTED_VALUE"""),"")</f>
        <v/>
      </c>
      <c r="Q897" s="106" t="str">
        <f>IFERROR(__xludf.DUMMYFUNCTION("""COMPUTED_VALUE"""),"")</f>
        <v/>
      </c>
      <c r="R897" s="106" t="str">
        <f>IFERROR(__xludf.DUMMYFUNCTION("""COMPUTED_VALUE"""),"")</f>
        <v/>
      </c>
      <c r="S897" s="139" t="str">
        <f>IFERROR(__xludf.DUMMYFUNCTION("""COMPUTED_VALUE"""),"")</f>
        <v/>
      </c>
      <c r="T897" s="139" t="str">
        <f>IFERROR(__xludf.DUMMYFUNCTION("""COMPUTED_VALUE"""),"")</f>
        <v/>
      </c>
      <c r="U897" s="136" t="str">
        <f>IFERROR(__xludf.DUMMYFUNCTION("""COMPUTED_VALUE"""),"")</f>
        <v/>
      </c>
      <c r="V897" s="106" t="str">
        <f>IFERROR(__xludf.DUMMYFUNCTION("""COMPUTED_VALUE"""),"")</f>
        <v/>
      </c>
      <c r="W897" s="143" t="str">
        <f t="shared" si="2"/>
        <v/>
      </c>
      <c r="X897" s="139" t="str">
        <f>IFERROR(__xludf.DUMMYFUNCTION("""COMPUTED_VALUE"""),"")</f>
        <v/>
      </c>
      <c r="Y897" s="141" t="str">
        <f>IFERROR(__xludf.DUMMYFUNCTION("""COMPUTED_VALUE"""),"")</f>
        <v/>
      </c>
    </row>
    <row r="898">
      <c r="C898" s="136" t="str">
        <f t="shared" si="3"/>
        <v/>
      </c>
      <c r="E898" s="106"/>
      <c r="G898" s="106" t="s">
        <v>133</v>
      </c>
      <c r="I898" s="139" t="s">
        <v>133</v>
      </c>
      <c r="J898" s="136" t="s">
        <v>133</v>
      </c>
      <c r="L898" s="136" t="str">
        <f t="shared" si="1"/>
        <v/>
      </c>
      <c r="N898" s="141" t="s">
        <v>133</v>
      </c>
      <c r="O898" s="136" t="str">
        <f>IFERROR(__xludf.DUMMYFUNCTION("""COMPUTED_VALUE"""),"")</f>
        <v/>
      </c>
      <c r="P898" s="136" t="str">
        <f>IFERROR(__xludf.DUMMYFUNCTION("""COMPUTED_VALUE"""),"")</f>
        <v/>
      </c>
      <c r="Q898" s="106" t="str">
        <f>IFERROR(__xludf.DUMMYFUNCTION("""COMPUTED_VALUE"""),"")</f>
        <v/>
      </c>
      <c r="R898" s="106" t="str">
        <f>IFERROR(__xludf.DUMMYFUNCTION("""COMPUTED_VALUE"""),"")</f>
        <v/>
      </c>
      <c r="S898" s="139" t="str">
        <f>IFERROR(__xludf.DUMMYFUNCTION("""COMPUTED_VALUE"""),"")</f>
        <v/>
      </c>
      <c r="T898" s="139" t="str">
        <f>IFERROR(__xludf.DUMMYFUNCTION("""COMPUTED_VALUE"""),"")</f>
        <v/>
      </c>
      <c r="U898" s="136" t="str">
        <f>IFERROR(__xludf.DUMMYFUNCTION("""COMPUTED_VALUE"""),"")</f>
        <v/>
      </c>
      <c r="V898" s="106" t="str">
        <f>IFERROR(__xludf.DUMMYFUNCTION("""COMPUTED_VALUE"""),"")</f>
        <v/>
      </c>
      <c r="W898" s="143" t="str">
        <f t="shared" si="2"/>
        <v/>
      </c>
      <c r="X898" s="139" t="str">
        <f>IFERROR(__xludf.DUMMYFUNCTION("""COMPUTED_VALUE"""),"")</f>
        <v/>
      </c>
      <c r="Y898" s="141" t="str">
        <f>IFERROR(__xludf.DUMMYFUNCTION("""COMPUTED_VALUE"""),"")</f>
        <v/>
      </c>
    </row>
    <row r="899">
      <c r="C899" s="136" t="str">
        <f t="shared" si="3"/>
        <v/>
      </c>
      <c r="E899" s="106"/>
      <c r="G899" s="106" t="s">
        <v>133</v>
      </c>
      <c r="I899" s="139" t="s">
        <v>133</v>
      </c>
      <c r="J899" s="136" t="s">
        <v>133</v>
      </c>
      <c r="L899" s="136" t="str">
        <f t="shared" si="1"/>
        <v/>
      </c>
      <c r="N899" s="141" t="s">
        <v>133</v>
      </c>
      <c r="O899" s="136" t="str">
        <f>IFERROR(__xludf.DUMMYFUNCTION("""COMPUTED_VALUE"""),"")</f>
        <v/>
      </c>
      <c r="P899" s="136" t="str">
        <f>IFERROR(__xludf.DUMMYFUNCTION("""COMPUTED_VALUE"""),"")</f>
        <v/>
      </c>
      <c r="Q899" s="106" t="str">
        <f>IFERROR(__xludf.DUMMYFUNCTION("""COMPUTED_VALUE"""),"")</f>
        <v/>
      </c>
      <c r="R899" s="106" t="str">
        <f>IFERROR(__xludf.DUMMYFUNCTION("""COMPUTED_VALUE"""),"")</f>
        <v/>
      </c>
      <c r="S899" s="139" t="str">
        <f>IFERROR(__xludf.DUMMYFUNCTION("""COMPUTED_VALUE"""),"")</f>
        <v/>
      </c>
      <c r="T899" s="139" t="str">
        <f>IFERROR(__xludf.DUMMYFUNCTION("""COMPUTED_VALUE"""),"")</f>
        <v/>
      </c>
      <c r="U899" s="136" t="str">
        <f>IFERROR(__xludf.DUMMYFUNCTION("""COMPUTED_VALUE"""),"")</f>
        <v/>
      </c>
      <c r="V899" s="106" t="str">
        <f>IFERROR(__xludf.DUMMYFUNCTION("""COMPUTED_VALUE"""),"")</f>
        <v/>
      </c>
      <c r="W899" s="143" t="str">
        <f t="shared" si="2"/>
        <v/>
      </c>
      <c r="X899" s="139" t="str">
        <f>IFERROR(__xludf.DUMMYFUNCTION("""COMPUTED_VALUE"""),"")</f>
        <v/>
      </c>
      <c r="Y899" s="141" t="str">
        <f>IFERROR(__xludf.DUMMYFUNCTION("""COMPUTED_VALUE"""),"")</f>
        <v/>
      </c>
    </row>
    <row r="900">
      <c r="C900" s="136" t="str">
        <f t="shared" si="3"/>
        <v/>
      </c>
      <c r="E900" s="106"/>
      <c r="G900" s="106" t="s">
        <v>133</v>
      </c>
      <c r="I900" s="139" t="s">
        <v>133</v>
      </c>
      <c r="J900" s="136" t="s">
        <v>133</v>
      </c>
      <c r="L900" s="136" t="str">
        <f t="shared" si="1"/>
        <v/>
      </c>
      <c r="N900" s="141" t="s">
        <v>133</v>
      </c>
      <c r="O900" s="136" t="str">
        <f>IFERROR(__xludf.DUMMYFUNCTION("""COMPUTED_VALUE"""),"")</f>
        <v/>
      </c>
      <c r="P900" s="136" t="str">
        <f>IFERROR(__xludf.DUMMYFUNCTION("""COMPUTED_VALUE"""),"")</f>
        <v/>
      </c>
      <c r="Q900" s="106" t="str">
        <f>IFERROR(__xludf.DUMMYFUNCTION("""COMPUTED_VALUE"""),"")</f>
        <v/>
      </c>
      <c r="R900" s="106" t="str">
        <f>IFERROR(__xludf.DUMMYFUNCTION("""COMPUTED_VALUE"""),"")</f>
        <v/>
      </c>
      <c r="S900" s="139" t="str">
        <f>IFERROR(__xludf.DUMMYFUNCTION("""COMPUTED_VALUE"""),"")</f>
        <v/>
      </c>
      <c r="T900" s="139" t="str">
        <f>IFERROR(__xludf.DUMMYFUNCTION("""COMPUTED_VALUE"""),"")</f>
        <v/>
      </c>
      <c r="U900" s="136" t="str">
        <f>IFERROR(__xludf.DUMMYFUNCTION("""COMPUTED_VALUE"""),"")</f>
        <v/>
      </c>
      <c r="V900" s="106" t="str">
        <f>IFERROR(__xludf.DUMMYFUNCTION("""COMPUTED_VALUE"""),"")</f>
        <v/>
      </c>
      <c r="W900" s="143" t="str">
        <f t="shared" si="2"/>
        <v/>
      </c>
      <c r="X900" s="139" t="str">
        <f>IFERROR(__xludf.DUMMYFUNCTION("""COMPUTED_VALUE"""),"")</f>
        <v/>
      </c>
      <c r="Y900" s="141" t="str">
        <f>IFERROR(__xludf.DUMMYFUNCTION("""COMPUTED_VALUE"""),"")</f>
        <v/>
      </c>
    </row>
    <row r="901">
      <c r="C901" s="136" t="str">
        <f t="shared" si="3"/>
        <v/>
      </c>
      <c r="E901" s="106"/>
      <c r="G901" s="106" t="s">
        <v>133</v>
      </c>
      <c r="I901" s="139" t="s">
        <v>133</v>
      </c>
      <c r="J901" s="136" t="s">
        <v>133</v>
      </c>
      <c r="L901" s="136" t="str">
        <f t="shared" si="1"/>
        <v/>
      </c>
      <c r="N901" s="141" t="s">
        <v>133</v>
      </c>
      <c r="O901" s="136" t="str">
        <f>IFERROR(__xludf.DUMMYFUNCTION("""COMPUTED_VALUE"""),"")</f>
        <v/>
      </c>
      <c r="P901" s="136" t="str">
        <f>IFERROR(__xludf.DUMMYFUNCTION("""COMPUTED_VALUE"""),"")</f>
        <v/>
      </c>
      <c r="Q901" s="106" t="str">
        <f>IFERROR(__xludf.DUMMYFUNCTION("""COMPUTED_VALUE"""),"")</f>
        <v/>
      </c>
      <c r="R901" s="106" t="str">
        <f>IFERROR(__xludf.DUMMYFUNCTION("""COMPUTED_VALUE"""),"")</f>
        <v/>
      </c>
      <c r="S901" s="139" t="str">
        <f>IFERROR(__xludf.DUMMYFUNCTION("""COMPUTED_VALUE"""),"")</f>
        <v/>
      </c>
      <c r="T901" s="139" t="str">
        <f>IFERROR(__xludf.DUMMYFUNCTION("""COMPUTED_VALUE"""),"")</f>
        <v/>
      </c>
      <c r="U901" s="136" t="str">
        <f>IFERROR(__xludf.DUMMYFUNCTION("""COMPUTED_VALUE"""),"")</f>
        <v/>
      </c>
      <c r="V901" s="106" t="str">
        <f>IFERROR(__xludf.DUMMYFUNCTION("""COMPUTED_VALUE"""),"")</f>
        <v/>
      </c>
      <c r="W901" s="143" t="str">
        <f t="shared" si="2"/>
        <v/>
      </c>
      <c r="X901" s="139" t="str">
        <f>IFERROR(__xludf.DUMMYFUNCTION("""COMPUTED_VALUE"""),"")</f>
        <v/>
      </c>
      <c r="Y901" s="141" t="str">
        <f>IFERROR(__xludf.DUMMYFUNCTION("""COMPUTED_VALUE"""),"")</f>
        <v/>
      </c>
    </row>
    <row r="902">
      <c r="C902" s="136" t="str">
        <f t="shared" si="3"/>
        <v/>
      </c>
      <c r="E902" s="106"/>
      <c r="G902" s="106" t="s">
        <v>133</v>
      </c>
      <c r="I902" s="139" t="s">
        <v>133</v>
      </c>
      <c r="J902" s="136" t="s">
        <v>133</v>
      </c>
      <c r="L902" s="136" t="str">
        <f t="shared" si="1"/>
        <v/>
      </c>
      <c r="N902" s="141" t="s">
        <v>133</v>
      </c>
      <c r="O902" s="136" t="str">
        <f>IFERROR(__xludf.DUMMYFUNCTION("""COMPUTED_VALUE"""),"")</f>
        <v/>
      </c>
      <c r="P902" s="136" t="str">
        <f>IFERROR(__xludf.DUMMYFUNCTION("""COMPUTED_VALUE"""),"")</f>
        <v/>
      </c>
      <c r="Q902" s="106" t="str">
        <f>IFERROR(__xludf.DUMMYFUNCTION("""COMPUTED_VALUE"""),"")</f>
        <v/>
      </c>
      <c r="R902" s="106" t="str">
        <f>IFERROR(__xludf.DUMMYFUNCTION("""COMPUTED_VALUE"""),"")</f>
        <v/>
      </c>
      <c r="S902" s="139" t="str">
        <f>IFERROR(__xludf.DUMMYFUNCTION("""COMPUTED_VALUE"""),"")</f>
        <v/>
      </c>
      <c r="T902" s="139" t="str">
        <f>IFERROR(__xludf.DUMMYFUNCTION("""COMPUTED_VALUE"""),"")</f>
        <v/>
      </c>
      <c r="U902" s="136" t="str">
        <f>IFERROR(__xludf.DUMMYFUNCTION("""COMPUTED_VALUE"""),"")</f>
        <v/>
      </c>
      <c r="V902" s="106" t="str">
        <f>IFERROR(__xludf.DUMMYFUNCTION("""COMPUTED_VALUE"""),"")</f>
        <v/>
      </c>
      <c r="W902" s="143" t="str">
        <f t="shared" si="2"/>
        <v/>
      </c>
      <c r="X902" s="139" t="str">
        <f>IFERROR(__xludf.DUMMYFUNCTION("""COMPUTED_VALUE"""),"")</f>
        <v/>
      </c>
      <c r="Y902" s="141" t="str">
        <f>IFERROR(__xludf.DUMMYFUNCTION("""COMPUTED_VALUE"""),"")</f>
        <v/>
      </c>
    </row>
    <row r="903">
      <c r="C903" s="136" t="str">
        <f t="shared" si="3"/>
        <v/>
      </c>
      <c r="E903" s="106"/>
      <c r="G903" s="106" t="s">
        <v>133</v>
      </c>
      <c r="I903" s="139" t="s">
        <v>133</v>
      </c>
      <c r="J903" s="136" t="s">
        <v>133</v>
      </c>
      <c r="L903" s="136" t="str">
        <f t="shared" si="1"/>
        <v/>
      </c>
      <c r="N903" s="141" t="s">
        <v>133</v>
      </c>
      <c r="O903" s="136" t="str">
        <f>IFERROR(__xludf.DUMMYFUNCTION("""COMPUTED_VALUE"""),"")</f>
        <v/>
      </c>
      <c r="P903" s="136" t="str">
        <f>IFERROR(__xludf.DUMMYFUNCTION("""COMPUTED_VALUE"""),"")</f>
        <v/>
      </c>
      <c r="Q903" s="106" t="str">
        <f>IFERROR(__xludf.DUMMYFUNCTION("""COMPUTED_VALUE"""),"")</f>
        <v/>
      </c>
      <c r="R903" s="106" t="str">
        <f>IFERROR(__xludf.DUMMYFUNCTION("""COMPUTED_VALUE"""),"")</f>
        <v/>
      </c>
      <c r="S903" s="139" t="str">
        <f>IFERROR(__xludf.DUMMYFUNCTION("""COMPUTED_VALUE"""),"")</f>
        <v/>
      </c>
      <c r="T903" s="139" t="str">
        <f>IFERROR(__xludf.DUMMYFUNCTION("""COMPUTED_VALUE"""),"")</f>
        <v/>
      </c>
      <c r="U903" s="136" t="str">
        <f>IFERROR(__xludf.DUMMYFUNCTION("""COMPUTED_VALUE"""),"")</f>
        <v/>
      </c>
      <c r="V903" s="106" t="str">
        <f>IFERROR(__xludf.DUMMYFUNCTION("""COMPUTED_VALUE"""),"")</f>
        <v/>
      </c>
      <c r="W903" s="143" t="str">
        <f t="shared" si="2"/>
        <v/>
      </c>
      <c r="X903" s="139" t="str">
        <f>IFERROR(__xludf.DUMMYFUNCTION("""COMPUTED_VALUE"""),"")</f>
        <v/>
      </c>
      <c r="Y903" s="141" t="str">
        <f>IFERROR(__xludf.DUMMYFUNCTION("""COMPUTED_VALUE"""),"")</f>
        <v/>
      </c>
    </row>
    <row r="904">
      <c r="C904" s="136" t="str">
        <f t="shared" si="3"/>
        <v/>
      </c>
      <c r="E904" s="106"/>
      <c r="G904" s="106" t="s">
        <v>133</v>
      </c>
      <c r="I904" s="139" t="s">
        <v>133</v>
      </c>
      <c r="J904" s="136" t="s">
        <v>133</v>
      </c>
      <c r="L904" s="136" t="str">
        <f t="shared" si="1"/>
        <v/>
      </c>
      <c r="N904" s="141" t="s">
        <v>133</v>
      </c>
      <c r="O904" s="136" t="str">
        <f>IFERROR(__xludf.DUMMYFUNCTION("""COMPUTED_VALUE"""),"")</f>
        <v/>
      </c>
      <c r="P904" s="136" t="str">
        <f>IFERROR(__xludf.DUMMYFUNCTION("""COMPUTED_VALUE"""),"")</f>
        <v/>
      </c>
      <c r="Q904" s="106" t="str">
        <f>IFERROR(__xludf.DUMMYFUNCTION("""COMPUTED_VALUE"""),"")</f>
        <v/>
      </c>
      <c r="R904" s="106" t="str">
        <f>IFERROR(__xludf.DUMMYFUNCTION("""COMPUTED_VALUE"""),"")</f>
        <v/>
      </c>
      <c r="S904" s="139" t="str">
        <f>IFERROR(__xludf.DUMMYFUNCTION("""COMPUTED_VALUE"""),"")</f>
        <v/>
      </c>
      <c r="T904" s="139" t="str">
        <f>IFERROR(__xludf.DUMMYFUNCTION("""COMPUTED_VALUE"""),"")</f>
        <v/>
      </c>
      <c r="U904" s="136" t="str">
        <f>IFERROR(__xludf.DUMMYFUNCTION("""COMPUTED_VALUE"""),"")</f>
        <v/>
      </c>
      <c r="V904" s="106" t="str">
        <f>IFERROR(__xludf.DUMMYFUNCTION("""COMPUTED_VALUE"""),"")</f>
        <v/>
      </c>
      <c r="W904" s="143" t="str">
        <f t="shared" si="2"/>
        <v/>
      </c>
      <c r="X904" s="139" t="str">
        <f>IFERROR(__xludf.DUMMYFUNCTION("""COMPUTED_VALUE"""),"")</f>
        <v/>
      </c>
      <c r="Y904" s="141" t="str">
        <f>IFERROR(__xludf.DUMMYFUNCTION("""COMPUTED_VALUE"""),"")</f>
        <v/>
      </c>
    </row>
    <row r="905">
      <c r="C905" s="136" t="str">
        <f t="shared" si="3"/>
        <v/>
      </c>
      <c r="E905" s="106"/>
      <c r="G905" s="106" t="s">
        <v>133</v>
      </c>
      <c r="I905" s="139" t="s">
        <v>133</v>
      </c>
      <c r="J905" s="136" t="s">
        <v>133</v>
      </c>
      <c r="L905" s="136" t="str">
        <f t="shared" si="1"/>
        <v/>
      </c>
      <c r="N905" s="141" t="s">
        <v>133</v>
      </c>
      <c r="O905" s="136" t="str">
        <f>IFERROR(__xludf.DUMMYFUNCTION("""COMPUTED_VALUE"""),"")</f>
        <v/>
      </c>
      <c r="P905" s="136" t="str">
        <f>IFERROR(__xludf.DUMMYFUNCTION("""COMPUTED_VALUE"""),"")</f>
        <v/>
      </c>
      <c r="Q905" s="106" t="str">
        <f>IFERROR(__xludf.DUMMYFUNCTION("""COMPUTED_VALUE"""),"")</f>
        <v/>
      </c>
      <c r="R905" s="106" t="str">
        <f>IFERROR(__xludf.DUMMYFUNCTION("""COMPUTED_VALUE"""),"")</f>
        <v/>
      </c>
      <c r="S905" s="139" t="str">
        <f>IFERROR(__xludf.DUMMYFUNCTION("""COMPUTED_VALUE"""),"")</f>
        <v/>
      </c>
      <c r="T905" s="139" t="str">
        <f>IFERROR(__xludf.DUMMYFUNCTION("""COMPUTED_VALUE"""),"")</f>
        <v/>
      </c>
      <c r="U905" s="136" t="str">
        <f>IFERROR(__xludf.DUMMYFUNCTION("""COMPUTED_VALUE"""),"")</f>
        <v/>
      </c>
      <c r="V905" s="106" t="str">
        <f>IFERROR(__xludf.DUMMYFUNCTION("""COMPUTED_VALUE"""),"")</f>
        <v/>
      </c>
      <c r="W905" s="143" t="str">
        <f t="shared" si="2"/>
        <v/>
      </c>
      <c r="X905" s="139" t="str">
        <f>IFERROR(__xludf.DUMMYFUNCTION("""COMPUTED_VALUE"""),"")</f>
        <v/>
      </c>
      <c r="Y905" s="141" t="str">
        <f>IFERROR(__xludf.DUMMYFUNCTION("""COMPUTED_VALUE"""),"")</f>
        <v/>
      </c>
    </row>
    <row r="906">
      <c r="C906" s="136" t="str">
        <f t="shared" si="3"/>
        <v/>
      </c>
      <c r="E906" s="106"/>
      <c r="G906" s="106" t="s">
        <v>133</v>
      </c>
      <c r="I906" s="139" t="s">
        <v>133</v>
      </c>
      <c r="J906" s="136" t="s">
        <v>133</v>
      </c>
      <c r="L906" s="136" t="str">
        <f t="shared" si="1"/>
        <v/>
      </c>
      <c r="N906" s="141" t="s">
        <v>133</v>
      </c>
      <c r="O906" s="136" t="str">
        <f>IFERROR(__xludf.DUMMYFUNCTION("""COMPUTED_VALUE"""),"")</f>
        <v/>
      </c>
      <c r="P906" s="136" t="str">
        <f>IFERROR(__xludf.DUMMYFUNCTION("""COMPUTED_VALUE"""),"")</f>
        <v/>
      </c>
      <c r="Q906" s="106" t="str">
        <f>IFERROR(__xludf.DUMMYFUNCTION("""COMPUTED_VALUE"""),"")</f>
        <v/>
      </c>
      <c r="R906" s="106" t="str">
        <f>IFERROR(__xludf.DUMMYFUNCTION("""COMPUTED_VALUE"""),"")</f>
        <v/>
      </c>
      <c r="S906" s="139" t="str">
        <f>IFERROR(__xludf.DUMMYFUNCTION("""COMPUTED_VALUE"""),"")</f>
        <v/>
      </c>
      <c r="T906" s="139" t="str">
        <f>IFERROR(__xludf.DUMMYFUNCTION("""COMPUTED_VALUE"""),"")</f>
        <v/>
      </c>
      <c r="U906" s="136" t="str">
        <f>IFERROR(__xludf.DUMMYFUNCTION("""COMPUTED_VALUE"""),"")</f>
        <v/>
      </c>
      <c r="V906" s="106" t="str">
        <f>IFERROR(__xludf.DUMMYFUNCTION("""COMPUTED_VALUE"""),"")</f>
        <v/>
      </c>
      <c r="W906" s="143" t="str">
        <f t="shared" si="2"/>
        <v/>
      </c>
      <c r="X906" s="139" t="str">
        <f>IFERROR(__xludf.DUMMYFUNCTION("""COMPUTED_VALUE"""),"")</f>
        <v/>
      </c>
      <c r="Y906" s="141" t="str">
        <f>IFERROR(__xludf.DUMMYFUNCTION("""COMPUTED_VALUE"""),"")</f>
        <v/>
      </c>
    </row>
    <row r="907">
      <c r="C907" s="136" t="str">
        <f t="shared" si="3"/>
        <v/>
      </c>
      <c r="E907" s="106"/>
      <c r="G907" s="106" t="s">
        <v>133</v>
      </c>
      <c r="I907" s="139" t="s">
        <v>133</v>
      </c>
      <c r="J907" s="136" t="s">
        <v>133</v>
      </c>
      <c r="L907" s="136" t="str">
        <f t="shared" si="1"/>
        <v/>
      </c>
      <c r="N907" s="141" t="s">
        <v>133</v>
      </c>
      <c r="O907" s="136" t="str">
        <f>IFERROR(__xludf.DUMMYFUNCTION("""COMPUTED_VALUE"""),"")</f>
        <v/>
      </c>
      <c r="P907" s="136" t="str">
        <f>IFERROR(__xludf.DUMMYFUNCTION("""COMPUTED_VALUE"""),"")</f>
        <v/>
      </c>
      <c r="Q907" s="106" t="str">
        <f>IFERROR(__xludf.DUMMYFUNCTION("""COMPUTED_VALUE"""),"")</f>
        <v/>
      </c>
      <c r="R907" s="106" t="str">
        <f>IFERROR(__xludf.DUMMYFUNCTION("""COMPUTED_VALUE"""),"")</f>
        <v/>
      </c>
      <c r="S907" s="139" t="str">
        <f>IFERROR(__xludf.DUMMYFUNCTION("""COMPUTED_VALUE"""),"")</f>
        <v/>
      </c>
      <c r="T907" s="139" t="str">
        <f>IFERROR(__xludf.DUMMYFUNCTION("""COMPUTED_VALUE"""),"")</f>
        <v/>
      </c>
      <c r="U907" s="136" t="str">
        <f>IFERROR(__xludf.DUMMYFUNCTION("""COMPUTED_VALUE"""),"")</f>
        <v/>
      </c>
      <c r="V907" s="106" t="str">
        <f>IFERROR(__xludf.DUMMYFUNCTION("""COMPUTED_VALUE"""),"")</f>
        <v/>
      </c>
      <c r="W907" s="143" t="str">
        <f t="shared" si="2"/>
        <v/>
      </c>
      <c r="X907" s="139" t="str">
        <f>IFERROR(__xludf.DUMMYFUNCTION("""COMPUTED_VALUE"""),"")</f>
        <v/>
      </c>
      <c r="Y907" s="141" t="str">
        <f>IFERROR(__xludf.DUMMYFUNCTION("""COMPUTED_VALUE"""),"")</f>
        <v/>
      </c>
    </row>
    <row r="908">
      <c r="C908" s="136" t="str">
        <f t="shared" si="3"/>
        <v/>
      </c>
      <c r="E908" s="106"/>
      <c r="G908" s="106" t="s">
        <v>133</v>
      </c>
      <c r="I908" s="139" t="s">
        <v>133</v>
      </c>
      <c r="J908" s="136" t="s">
        <v>133</v>
      </c>
      <c r="L908" s="136" t="str">
        <f t="shared" si="1"/>
        <v/>
      </c>
      <c r="N908" s="141" t="s">
        <v>133</v>
      </c>
      <c r="O908" s="136" t="str">
        <f>IFERROR(__xludf.DUMMYFUNCTION("""COMPUTED_VALUE"""),"")</f>
        <v/>
      </c>
      <c r="P908" s="136" t="str">
        <f>IFERROR(__xludf.DUMMYFUNCTION("""COMPUTED_VALUE"""),"")</f>
        <v/>
      </c>
      <c r="Q908" s="106" t="str">
        <f>IFERROR(__xludf.DUMMYFUNCTION("""COMPUTED_VALUE"""),"")</f>
        <v/>
      </c>
      <c r="R908" s="106" t="str">
        <f>IFERROR(__xludf.DUMMYFUNCTION("""COMPUTED_VALUE"""),"")</f>
        <v/>
      </c>
      <c r="S908" s="139" t="str">
        <f>IFERROR(__xludf.DUMMYFUNCTION("""COMPUTED_VALUE"""),"")</f>
        <v/>
      </c>
      <c r="T908" s="139" t="str">
        <f>IFERROR(__xludf.DUMMYFUNCTION("""COMPUTED_VALUE"""),"")</f>
        <v/>
      </c>
      <c r="U908" s="136" t="str">
        <f>IFERROR(__xludf.DUMMYFUNCTION("""COMPUTED_VALUE"""),"")</f>
        <v/>
      </c>
      <c r="V908" s="106" t="str">
        <f>IFERROR(__xludf.DUMMYFUNCTION("""COMPUTED_VALUE"""),"")</f>
        <v/>
      </c>
      <c r="W908" s="143" t="str">
        <f t="shared" si="2"/>
        <v/>
      </c>
      <c r="X908" s="139" t="str">
        <f>IFERROR(__xludf.DUMMYFUNCTION("""COMPUTED_VALUE"""),"")</f>
        <v/>
      </c>
      <c r="Y908" s="141" t="str">
        <f>IFERROR(__xludf.DUMMYFUNCTION("""COMPUTED_VALUE"""),"")</f>
        <v/>
      </c>
    </row>
    <row r="909">
      <c r="C909" s="136" t="str">
        <f t="shared" si="3"/>
        <v/>
      </c>
      <c r="E909" s="106"/>
      <c r="G909" s="106" t="s">
        <v>133</v>
      </c>
      <c r="I909" s="139" t="s">
        <v>133</v>
      </c>
      <c r="J909" s="136" t="s">
        <v>133</v>
      </c>
      <c r="L909" s="136" t="str">
        <f t="shared" si="1"/>
        <v/>
      </c>
      <c r="N909" s="141" t="s">
        <v>133</v>
      </c>
      <c r="O909" s="136" t="str">
        <f>IFERROR(__xludf.DUMMYFUNCTION("""COMPUTED_VALUE"""),"")</f>
        <v/>
      </c>
      <c r="P909" s="136" t="str">
        <f>IFERROR(__xludf.DUMMYFUNCTION("""COMPUTED_VALUE"""),"")</f>
        <v/>
      </c>
      <c r="Q909" s="106" t="str">
        <f>IFERROR(__xludf.DUMMYFUNCTION("""COMPUTED_VALUE"""),"")</f>
        <v/>
      </c>
      <c r="R909" s="106" t="str">
        <f>IFERROR(__xludf.DUMMYFUNCTION("""COMPUTED_VALUE"""),"")</f>
        <v/>
      </c>
      <c r="S909" s="139" t="str">
        <f>IFERROR(__xludf.DUMMYFUNCTION("""COMPUTED_VALUE"""),"")</f>
        <v/>
      </c>
      <c r="T909" s="139" t="str">
        <f>IFERROR(__xludf.DUMMYFUNCTION("""COMPUTED_VALUE"""),"")</f>
        <v/>
      </c>
      <c r="U909" s="136" t="str">
        <f>IFERROR(__xludf.DUMMYFUNCTION("""COMPUTED_VALUE"""),"")</f>
        <v/>
      </c>
      <c r="V909" s="106" t="str">
        <f>IFERROR(__xludf.DUMMYFUNCTION("""COMPUTED_VALUE"""),"")</f>
        <v/>
      </c>
      <c r="W909" s="143" t="str">
        <f t="shared" si="2"/>
        <v/>
      </c>
      <c r="X909" s="139" t="str">
        <f>IFERROR(__xludf.DUMMYFUNCTION("""COMPUTED_VALUE"""),"")</f>
        <v/>
      </c>
      <c r="Y909" s="141" t="str">
        <f>IFERROR(__xludf.DUMMYFUNCTION("""COMPUTED_VALUE"""),"")</f>
        <v/>
      </c>
    </row>
    <row r="910">
      <c r="C910" s="136" t="str">
        <f t="shared" si="3"/>
        <v/>
      </c>
      <c r="E910" s="106"/>
      <c r="G910" s="106" t="s">
        <v>133</v>
      </c>
      <c r="I910" s="139" t="s">
        <v>133</v>
      </c>
      <c r="J910" s="136" t="s">
        <v>133</v>
      </c>
      <c r="L910" s="136" t="str">
        <f t="shared" si="1"/>
        <v/>
      </c>
      <c r="N910" s="141" t="s">
        <v>133</v>
      </c>
      <c r="O910" s="136" t="str">
        <f>IFERROR(__xludf.DUMMYFUNCTION("""COMPUTED_VALUE"""),"")</f>
        <v/>
      </c>
      <c r="P910" s="136" t="str">
        <f>IFERROR(__xludf.DUMMYFUNCTION("""COMPUTED_VALUE"""),"")</f>
        <v/>
      </c>
      <c r="Q910" s="106" t="str">
        <f>IFERROR(__xludf.DUMMYFUNCTION("""COMPUTED_VALUE"""),"")</f>
        <v/>
      </c>
      <c r="R910" s="106" t="str">
        <f>IFERROR(__xludf.DUMMYFUNCTION("""COMPUTED_VALUE"""),"")</f>
        <v/>
      </c>
      <c r="S910" s="139" t="str">
        <f>IFERROR(__xludf.DUMMYFUNCTION("""COMPUTED_VALUE"""),"")</f>
        <v/>
      </c>
      <c r="T910" s="139" t="str">
        <f>IFERROR(__xludf.DUMMYFUNCTION("""COMPUTED_VALUE"""),"")</f>
        <v/>
      </c>
      <c r="U910" s="136" t="str">
        <f>IFERROR(__xludf.DUMMYFUNCTION("""COMPUTED_VALUE"""),"")</f>
        <v/>
      </c>
      <c r="V910" s="106" t="str">
        <f>IFERROR(__xludf.DUMMYFUNCTION("""COMPUTED_VALUE"""),"")</f>
        <v/>
      </c>
      <c r="W910" s="143" t="str">
        <f t="shared" si="2"/>
        <v/>
      </c>
      <c r="X910" s="139" t="str">
        <f>IFERROR(__xludf.DUMMYFUNCTION("""COMPUTED_VALUE"""),"")</f>
        <v/>
      </c>
      <c r="Y910" s="141" t="str">
        <f>IFERROR(__xludf.DUMMYFUNCTION("""COMPUTED_VALUE"""),"")</f>
        <v/>
      </c>
    </row>
    <row r="911">
      <c r="C911" s="136" t="str">
        <f t="shared" si="3"/>
        <v/>
      </c>
      <c r="E911" s="106"/>
      <c r="G911" s="106" t="s">
        <v>133</v>
      </c>
      <c r="I911" s="139" t="s">
        <v>133</v>
      </c>
      <c r="J911" s="136" t="s">
        <v>133</v>
      </c>
      <c r="L911" s="136" t="str">
        <f t="shared" si="1"/>
        <v/>
      </c>
      <c r="N911" s="141" t="s">
        <v>133</v>
      </c>
      <c r="O911" s="136" t="str">
        <f>IFERROR(__xludf.DUMMYFUNCTION("""COMPUTED_VALUE"""),"")</f>
        <v/>
      </c>
      <c r="P911" s="136" t="str">
        <f>IFERROR(__xludf.DUMMYFUNCTION("""COMPUTED_VALUE"""),"")</f>
        <v/>
      </c>
      <c r="Q911" s="106" t="str">
        <f>IFERROR(__xludf.DUMMYFUNCTION("""COMPUTED_VALUE"""),"")</f>
        <v/>
      </c>
      <c r="R911" s="106" t="str">
        <f>IFERROR(__xludf.DUMMYFUNCTION("""COMPUTED_VALUE"""),"")</f>
        <v/>
      </c>
      <c r="S911" s="139" t="str">
        <f>IFERROR(__xludf.DUMMYFUNCTION("""COMPUTED_VALUE"""),"")</f>
        <v/>
      </c>
      <c r="T911" s="139" t="str">
        <f>IFERROR(__xludf.DUMMYFUNCTION("""COMPUTED_VALUE"""),"")</f>
        <v/>
      </c>
      <c r="U911" s="136" t="str">
        <f>IFERROR(__xludf.DUMMYFUNCTION("""COMPUTED_VALUE"""),"")</f>
        <v/>
      </c>
      <c r="V911" s="106" t="str">
        <f>IFERROR(__xludf.DUMMYFUNCTION("""COMPUTED_VALUE"""),"")</f>
        <v/>
      </c>
      <c r="W911" s="143" t="str">
        <f t="shared" si="2"/>
        <v/>
      </c>
      <c r="X911" s="139" t="str">
        <f>IFERROR(__xludf.DUMMYFUNCTION("""COMPUTED_VALUE"""),"")</f>
        <v/>
      </c>
      <c r="Y911" s="141" t="str">
        <f>IFERROR(__xludf.DUMMYFUNCTION("""COMPUTED_VALUE"""),"")</f>
        <v/>
      </c>
    </row>
    <row r="912">
      <c r="C912" s="136" t="str">
        <f t="shared" si="3"/>
        <v/>
      </c>
      <c r="E912" s="106"/>
      <c r="G912" s="106" t="s">
        <v>133</v>
      </c>
      <c r="I912" s="139" t="s">
        <v>133</v>
      </c>
      <c r="J912" s="136" t="s">
        <v>133</v>
      </c>
      <c r="L912" s="136" t="str">
        <f t="shared" si="1"/>
        <v/>
      </c>
      <c r="N912" s="141" t="s">
        <v>133</v>
      </c>
      <c r="O912" s="136" t="str">
        <f>IFERROR(__xludf.DUMMYFUNCTION("""COMPUTED_VALUE"""),"")</f>
        <v/>
      </c>
      <c r="P912" s="136" t="str">
        <f>IFERROR(__xludf.DUMMYFUNCTION("""COMPUTED_VALUE"""),"")</f>
        <v/>
      </c>
      <c r="Q912" s="106" t="str">
        <f>IFERROR(__xludf.DUMMYFUNCTION("""COMPUTED_VALUE"""),"")</f>
        <v/>
      </c>
      <c r="R912" s="106" t="str">
        <f>IFERROR(__xludf.DUMMYFUNCTION("""COMPUTED_VALUE"""),"")</f>
        <v/>
      </c>
      <c r="S912" s="139" t="str">
        <f>IFERROR(__xludf.DUMMYFUNCTION("""COMPUTED_VALUE"""),"")</f>
        <v/>
      </c>
      <c r="T912" s="139" t="str">
        <f>IFERROR(__xludf.DUMMYFUNCTION("""COMPUTED_VALUE"""),"")</f>
        <v/>
      </c>
      <c r="U912" s="136" t="str">
        <f>IFERROR(__xludf.DUMMYFUNCTION("""COMPUTED_VALUE"""),"")</f>
        <v/>
      </c>
      <c r="V912" s="106" t="str">
        <f>IFERROR(__xludf.DUMMYFUNCTION("""COMPUTED_VALUE"""),"")</f>
        <v/>
      </c>
      <c r="W912" s="143" t="str">
        <f t="shared" si="2"/>
        <v/>
      </c>
      <c r="X912" s="139" t="str">
        <f>IFERROR(__xludf.DUMMYFUNCTION("""COMPUTED_VALUE"""),"")</f>
        <v/>
      </c>
      <c r="Y912" s="141" t="str">
        <f>IFERROR(__xludf.DUMMYFUNCTION("""COMPUTED_VALUE"""),"")</f>
        <v/>
      </c>
    </row>
    <row r="913">
      <c r="C913" s="136" t="str">
        <f t="shared" si="3"/>
        <v/>
      </c>
      <c r="E913" s="106"/>
      <c r="G913" s="106" t="s">
        <v>133</v>
      </c>
      <c r="I913" s="139" t="s">
        <v>133</v>
      </c>
      <c r="J913" s="136" t="s">
        <v>133</v>
      </c>
      <c r="L913" s="136" t="str">
        <f t="shared" si="1"/>
        <v/>
      </c>
      <c r="N913" s="141" t="s">
        <v>133</v>
      </c>
      <c r="O913" s="136" t="str">
        <f>IFERROR(__xludf.DUMMYFUNCTION("""COMPUTED_VALUE"""),"")</f>
        <v/>
      </c>
      <c r="P913" s="136" t="str">
        <f>IFERROR(__xludf.DUMMYFUNCTION("""COMPUTED_VALUE"""),"")</f>
        <v/>
      </c>
      <c r="Q913" s="106" t="str">
        <f>IFERROR(__xludf.DUMMYFUNCTION("""COMPUTED_VALUE"""),"")</f>
        <v/>
      </c>
      <c r="R913" s="106" t="str">
        <f>IFERROR(__xludf.DUMMYFUNCTION("""COMPUTED_VALUE"""),"")</f>
        <v/>
      </c>
      <c r="S913" s="139" t="str">
        <f>IFERROR(__xludf.DUMMYFUNCTION("""COMPUTED_VALUE"""),"")</f>
        <v/>
      </c>
      <c r="T913" s="139" t="str">
        <f>IFERROR(__xludf.DUMMYFUNCTION("""COMPUTED_VALUE"""),"")</f>
        <v/>
      </c>
      <c r="U913" s="136" t="str">
        <f>IFERROR(__xludf.DUMMYFUNCTION("""COMPUTED_VALUE"""),"")</f>
        <v/>
      </c>
      <c r="V913" s="106" t="str">
        <f>IFERROR(__xludf.DUMMYFUNCTION("""COMPUTED_VALUE"""),"")</f>
        <v/>
      </c>
      <c r="W913" s="143" t="str">
        <f t="shared" si="2"/>
        <v/>
      </c>
      <c r="X913" s="139" t="str">
        <f>IFERROR(__xludf.DUMMYFUNCTION("""COMPUTED_VALUE"""),"")</f>
        <v/>
      </c>
      <c r="Y913" s="141" t="str">
        <f>IFERROR(__xludf.DUMMYFUNCTION("""COMPUTED_VALUE"""),"")</f>
        <v/>
      </c>
    </row>
    <row r="914">
      <c r="C914" s="136" t="str">
        <f t="shared" si="3"/>
        <v/>
      </c>
      <c r="E914" s="106"/>
      <c r="G914" s="106" t="s">
        <v>133</v>
      </c>
      <c r="I914" s="139" t="s">
        <v>133</v>
      </c>
      <c r="J914" s="136" t="s">
        <v>133</v>
      </c>
      <c r="L914" s="136" t="str">
        <f t="shared" si="1"/>
        <v/>
      </c>
      <c r="N914" s="141" t="s">
        <v>133</v>
      </c>
      <c r="O914" s="136" t="str">
        <f>IFERROR(__xludf.DUMMYFUNCTION("""COMPUTED_VALUE"""),"")</f>
        <v/>
      </c>
      <c r="P914" s="136" t="str">
        <f>IFERROR(__xludf.DUMMYFUNCTION("""COMPUTED_VALUE"""),"")</f>
        <v/>
      </c>
      <c r="Q914" s="106" t="str">
        <f>IFERROR(__xludf.DUMMYFUNCTION("""COMPUTED_VALUE"""),"")</f>
        <v/>
      </c>
      <c r="R914" s="106" t="str">
        <f>IFERROR(__xludf.DUMMYFUNCTION("""COMPUTED_VALUE"""),"")</f>
        <v/>
      </c>
      <c r="S914" s="139" t="str">
        <f>IFERROR(__xludf.DUMMYFUNCTION("""COMPUTED_VALUE"""),"")</f>
        <v/>
      </c>
      <c r="T914" s="139" t="str">
        <f>IFERROR(__xludf.DUMMYFUNCTION("""COMPUTED_VALUE"""),"")</f>
        <v/>
      </c>
      <c r="U914" s="136" t="str">
        <f>IFERROR(__xludf.DUMMYFUNCTION("""COMPUTED_VALUE"""),"")</f>
        <v/>
      </c>
      <c r="V914" s="106" t="str">
        <f>IFERROR(__xludf.DUMMYFUNCTION("""COMPUTED_VALUE"""),"")</f>
        <v/>
      </c>
      <c r="W914" s="143" t="str">
        <f t="shared" si="2"/>
        <v/>
      </c>
      <c r="X914" s="139" t="str">
        <f>IFERROR(__xludf.DUMMYFUNCTION("""COMPUTED_VALUE"""),"")</f>
        <v/>
      </c>
      <c r="Y914" s="141" t="str">
        <f>IFERROR(__xludf.DUMMYFUNCTION("""COMPUTED_VALUE"""),"")</f>
        <v/>
      </c>
    </row>
    <row r="915">
      <c r="C915" s="136" t="str">
        <f t="shared" si="3"/>
        <v/>
      </c>
      <c r="E915" s="106"/>
      <c r="G915" s="106" t="s">
        <v>133</v>
      </c>
      <c r="I915" s="139" t="s">
        <v>133</v>
      </c>
      <c r="J915" s="136" t="s">
        <v>133</v>
      </c>
      <c r="L915" s="136" t="str">
        <f t="shared" si="1"/>
        <v/>
      </c>
      <c r="N915" s="141" t="s">
        <v>133</v>
      </c>
      <c r="O915" s="136" t="str">
        <f>IFERROR(__xludf.DUMMYFUNCTION("""COMPUTED_VALUE"""),"")</f>
        <v/>
      </c>
      <c r="P915" s="136" t="str">
        <f>IFERROR(__xludf.DUMMYFUNCTION("""COMPUTED_VALUE"""),"")</f>
        <v/>
      </c>
      <c r="Q915" s="106" t="str">
        <f>IFERROR(__xludf.DUMMYFUNCTION("""COMPUTED_VALUE"""),"")</f>
        <v/>
      </c>
      <c r="R915" s="106" t="str">
        <f>IFERROR(__xludf.DUMMYFUNCTION("""COMPUTED_VALUE"""),"")</f>
        <v/>
      </c>
      <c r="S915" s="139" t="str">
        <f>IFERROR(__xludf.DUMMYFUNCTION("""COMPUTED_VALUE"""),"")</f>
        <v/>
      </c>
      <c r="T915" s="139" t="str">
        <f>IFERROR(__xludf.DUMMYFUNCTION("""COMPUTED_VALUE"""),"")</f>
        <v/>
      </c>
      <c r="U915" s="136" t="str">
        <f>IFERROR(__xludf.DUMMYFUNCTION("""COMPUTED_VALUE"""),"")</f>
        <v/>
      </c>
      <c r="V915" s="106" t="str">
        <f>IFERROR(__xludf.DUMMYFUNCTION("""COMPUTED_VALUE"""),"")</f>
        <v/>
      </c>
      <c r="W915" s="143" t="str">
        <f t="shared" si="2"/>
        <v/>
      </c>
      <c r="X915" s="139" t="str">
        <f>IFERROR(__xludf.DUMMYFUNCTION("""COMPUTED_VALUE"""),"")</f>
        <v/>
      </c>
      <c r="Y915" s="141" t="str">
        <f>IFERROR(__xludf.DUMMYFUNCTION("""COMPUTED_VALUE"""),"")</f>
        <v/>
      </c>
    </row>
    <row r="916">
      <c r="C916" s="136" t="str">
        <f t="shared" si="3"/>
        <v/>
      </c>
      <c r="E916" s="106"/>
      <c r="G916" s="106" t="s">
        <v>133</v>
      </c>
      <c r="I916" s="139" t="s">
        <v>133</v>
      </c>
      <c r="J916" s="136" t="s">
        <v>133</v>
      </c>
      <c r="L916" s="136" t="str">
        <f t="shared" si="1"/>
        <v/>
      </c>
      <c r="N916" s="141" t="s">
        <v>133</v>
      </c>
      <c r="O916" s="136" t="str">
        <f>IFERROR(__xludf.DUMMYFUNCTION("""COMPUTED_VALUE"""),"")</f>
        <v/>
      </c>
      <c r="P916" s="136" t="str">
        <f>IFERROR(__xludf.DUMMYFUNCTION("""COMPUTED_VALUE"""),"")</f>
        <v/>
      </c>
      <c r="Q916" s="106" t="str">
        <f>IFERROR(__xludf.DUMMYFUNCTION("""COMPUTED_VALUE"""),"")</f>
        <v/>
      </c>
      <c r="R916" s="106" t="str">
        <f>IFERROR(__xludf.DUMMYFUNCTION("""COMPUTED_VALUE"""),"")</f>
        <v/>
      </c>
      <c r="S916" s="139" t="str">
        <f>IFERROR(__xludf.DUMMYFUNCTION("""COMPUTED_VALUE"""),"")</f>
        <v/>
      </c>
      <c r="T916" s="139" t="str">
        <f>IFERROR(__xludf.DUMMYFUNCTION("""COMPUTED_VALUE"""),"")</f>
        <v/>
      </c>
      <c r="U916" s="136" t="str">
        <f>IFERROR(__xludf.DUMMYFUNCTION("""COMPUTED_VALUE"""),"")</f>
        <v/>
      </c>
      <c r="V916" s="106" t="str">
        <f>IFERROR(__xludf.DUMMYFUNCTION("""COMPUTED_VALUE"""),"")</f>
        <v/>
      </c>
      <c r="W916" s="143" t="str">
        <f t="shared" si="2"/>
        <v/>
      </c>
      <c r="X916" s="139" t="str">
        <f>IFERROR(__xludf.DUMMYFUNCTION("""COMPUTED_VALUE"""),"")</f>
        <v/>
      </c>
      <c r="Y916" s="141" t="str">
        <f>IFERROR(__xludf.DUMMYFUNCTION("""COMPUTED_VALUE"""),"")</f>
        <v/>
      </c>
    </row>
    <row r="917">
      <c r="C917" s="136" t="str">
        <f t="shared" si="3"/>
        <v/>
      </c>
      <c r="E917" s="106"/>
      <c r="G917" s="106" t="s">
        <v>133</v>
      </c>
      <c r="I917" s="139" t="s">
        <v>133</v>
      </c>
      <c r="J917" s="136" t="s">
        <v>133</v>
      </c>
      <c r="L917" s="136" t="str">
        <f t="shared" si="1"/>
        <v/>
      </c>
      <c r="N917" s="141" t="s">
        <v>133</v>
      </c>
      <c r="O917" s="136" t="str">
        <f>IFERROR(__xludf.DUMMYFUNCTION("""COMPUTED_VALUE"""),"")</f>
        <v/>
      </c>
      <c r="P917" s="136" t="str">
        <f>IFERROR(__xludf.DUMMYFUNCTION("""COMPUTED_VALUE"""),"")</f>
        <v/>
      </c>
      <c r="Q917" s="106" t="str">
        <f>IFERROR(__xludf.DUMMYFUNCTION("""COMPUTED_VALUE"""),"")</f>
        <v/>
      </c>
      <c r="R917" s="106" t="str">
        <f>IFERROR(__xludf.DUMMYFUNCTION("""COMPUTED_VALUE"""),"")</f>
        <v/>
      </c>
      <c r="S917" s="139" t="str">
        <f>IFERROR(__xludf.DUMMYFUNCTION("""COMPUTED_VALUE"""),"")</f>
        <v/>
      </c>
      <c r="T917" s="139" t="str">
        <f>IFERROR(__xludf.DUMMYFUNCTION("""COMPUTED_VALUE"""),"")</f>
        <v/>
      </c>
      <c r="U917" s="136" t="str">
        <f>IFERROR(__xludf.DUMMYFUNCTION("""COMPUTED_VALUE"""),"")</f>
        <v/>
      </c>
      <c r="V917" s="106" t="str">
        <f>IFERROR(__xludf.DUMMYFUNCTION("""COMPUTED_VALUE"""),"")</f>
        <v/>
      </c>
      <c r="W917" s="143" t="str">
        <f t="shared" si="2"/>
        <v/>
      </c>
      <c r="X917" s="139" t="str">
        <f>IFERROR(__xludf.DUMMYFUNCTION("""COMPUTED_VALUE"""),"")</f>
        <v/>
      </c>
      <c r="Y917" s="141" t="str">
        <f>IFERROR(__xludf.DUMMYFUNCTION("""COMPUTED_VALUE"""),"")</f>
        <v/>
      </c>
    </row>
    <row r="918">
      <c r="C918" s="136" t="str">
        <f t="shared" si="3"/>
        <v/>
      </c>
      <c r="E918" s="106"/>
      <c r="G918" s="106" t="s">
        <v>133</v>
      </c>
      <c r="I918" s="139" t="s">
        <v>133</v>
      </c>
      <c r="J918" s="136" t="s">
        <v>133</v>
      </c>
      <c r="L918" s="136" t="str">
        <f t="shared" si="1"/>
        <v/>
      </c>
      <c r="N918" s="141" t="s">
        <v>133</v>
      </c>
      <c r="O918" s="136" t="str">
        <f>IFERROR(__xludf.DUMMYFUNCTION("""COMPUTED_VALUE"""),"")</f>
        <v/>
      </c>
      <c r="P918" s="136" t="str">
        <f>IFERROR(__xludf.DUMMYFUNCTION("""COMPUTED_VALUE"""),"")</f>
        <v/>
      </c>
      <c r="Q918" s="106" t="str">
        <f>IFERROR(__xludf.DUMMYFUNCTION("""COMPUTED_VALUE"""),"")</f>
        <v/>
      </c>
      <c r="R918" s="106" t="str">
        <f>IFERROR(__xludf.DUMMYFUNCTION("""COMPUTED_VALUE"""),"")</f>
        <v/>
      </c>
      <c r="S918" s="139" t="str">
        <f>IFERROR(__xludf.DUMMYFUNCTION("""COMPUTED_VALUE"""),"")</f>
        <v/>
      </c>
      <c r="T918" s="139" t="str">
        <f>IFERROR(__xludf.DUMMYFUNCTION("""COMPUTED_VALUE"""),"")</f>
        <v/>
      </c>
      <c r="U918" s="136" t="str">
        <f>IFERROR(__xludf.DUMMYFUNCTION("""COMPUTED_VALUE"""),"")</f>
        <v/>
      </c>
      <c r="V918" s="106" t="str">
        <f>IFERROR(__xludf.DUMMYFUNCTION("""COMPUTED_VALUE"""),"")</f>
        <v/>
      </c>
      <c r="W918" s="143" t="str">
        <f t="shared" si="2"/>
        <v/>
      </c>
      <c r="X918" s="139" t="str">
        <f>IFERROR(__xludf.DUMMYFUNCTION("""COMPUTED_VALUE"""),"")</f>
        <v/>
      </c>
      <c r="Y918" s="141" t="str">
        <f>IFERROR(__xludf.DUMMYFUNCTION("""COMPUTED_VALUE"""),"")</f>
        <v/>
      </c>
    </row>
    <row r="919">
      <c r="C919" s="136" t="str">
        <f t="shared" si="3"/>
        <v/>
      </c>
      <c r="E919" s="106"/>
      <c r="G919" s="106" t="s">
        <v>133</v>
      </c>
      <c r="I919" s="139" t="s">
        <v>133</v>
      </c>
      <c r="J919" s="136" t="s">
        <v>133</v>
      </c>
      <c r="L919" s="136" t="str">
        <f t="shared" si="1"/>
        <v/>
      </c>
      <c r="N919" s="141" t="s">
        <v>133</v>
      </c>
      <c r="O919" s="136" t="str">
        <f>IFERROR(__xludf.DUMMYFUNCTION("""COMPUTED_VALUE"""),"")</f>
        <v/>
      </c>
      <c r="P919" s="136" t="str">
        <f>IFERROR(__xludf.DUMMYFUNCTION("""COMPUTED_VALUE"""),"")</f>
        <v/>
      </c>
      <c r="Q919" s="106" t="str">
        <f>IFERROR(__xludf.DUMMYFUNCTION("""COMPUTED_VALUE"""),"")</f>
        <v/>
      </c>
      <c r="R919" s="106" t="str">
        <f>IFERROR(__xludf.DUMMYFUNCTION("""COMPUTED_VALUE"""),"")</f>
        <v/>
      </c>
      <c r="S919" s="139" t="str">
        <f>IFERROR(__xludf.DUMMYFUNCTION("""COMPUTED_VALUE"""),"")</f>
        <v/>
      </c>
      <c r="T919" s="139" t="str">
        <f>IFERROR(__xludf.DUMMYFUNCTION("""COMPUTED_VALUE"""),"")</f>
        <v/>
      </c>
      <c r="U919" s="136" t="str">
        <f>IFERROR(__xludf.DUMMYFUNCTION("""COMPUTED_VALUE"""),"")</f>
        <v/>
      </c>
      <c r="V919" s="106" t="str">
        <f>IFERROR(__xludf.DUMMYFUNCTION("""COMPUTED_VALUE"""),"")</f>
        <v/>
      </c>
      <c r="W919" s="143" t="str">
        <f t="shared" si="2"/>
        <v/>
      </c>
      <c r="X919" s="139" t="str">
        <f>IFERROR(__xludf.DUMMYFUNCTION("""COMPUTED_VALUE"""),"")</f>
        <v/>
      </c>
      <c r="Y919" s="141" t="str">
        <f>IFERROR(__xludf.DUMMYFUNCTION("""COMPUTED_VALUE"""),"")</f>
        <v/>
      </c>
    </row>
    <row r="920">
      <c r="C920" s="136" t="str">
        <f t="shared" si="3"/>
        <v/>
      </c>
      <c r="E920" s="106"/>
      <c r="G920" s="106" t="s">
        <v>133</v>
      </c>
      <c r="I920" s="139" t="s">
        <v>133</v>
      </c>
      <c r="J920" s="136" t="s">
        <v>133</v>
      </c>
      <c r="L920" s="136" t="str">
        <f t="shared" si="1"/>
        <v/>
      </c>
      <c r="N920" s="141" t="s">
        <v>133</v>
      </c>
      <c r="O920" s="136" t="str">
        <f>IFERROR(__xludf.DUMMYFUNCTION("""COMPUTED_VALUE"""),"")</f>
        <v/>
      </c>
      <c r="P920" s="136" t="str">
        <f>IFERROR(__xludf.DUMMYFUNCTION("""COMPUTED_VALUE"""),"")</f>
        <v/>
      </c>
      <c r="Q920" s="106" t="str">
        <f>IFERROR(__xludf.DUMMYFUNCTION("""COMPUTED_VALUE"""),"")</f>
        <v/>
      </c>
      <c r="R920" s="106" t="str">
        <f>IFERROR(__xludf.DUMMYFUNCTION("""COMPUTED_VALUE"""),"")</f>
        <v/>
      </c>
      <c r="S920" s="139" t="str">
        <f>IFERROR(__xludf.DUMMYFUNCTION("""COMPUTED_VALUE"""),"")</f>
        <v/>
      </c>
      <c r="T920" s="139" t="str">
        <f>IFERROR(__xludf.DUMMYFUNCTION("""COMPUTED_VALUE"""),"")</f>
        <v/>
      </c>
      <c r="U920" s="136" t="str">
        <f>IFERROR(__xludf.DUMMYFUNCTION("""COMPUTED_VALUE"""),"")</f>
        <v/>
      </c>
      <c r="V920" s="106" t="str">
        <f>IFERROR(__xludf.DUMMYFUNCTION("""COMPUTED_VALUE"""),"")</f>
        <v/>
      </c>
      <c r="W920" s="143" t="str">
        <f t="shared" si="2"/>
        <v/>
      </c>
      <c r="X920" s="139" t="str">
        <f>IFERROR(__xludf.DUMMYFUNCTION("""COMPUTED_VALUE"""),"")</f>
        <v/>
      </c>
      <c r="Y920" s="141" t="str">
        <f>IFERROR(__xludf.DUMMYFUNCTION("""COMPUTED_VALUE"""),"")</f>
        <v/>
      </c>
    </row>
    <row r="921">
      <c r="C921" s="136" t="str">
        <f t="shared" si="3"/>
        <v/>
      </c>
      <c r="E921" s="106"/>
      <c r="G921" s="106" t="s">
        <v>133</v>
      </c>
      <c r="I921" s="139" t="s">
        <v>133</v>
      </c>
      <c r="J921" s="136" t="s">
        <v>133</v>
      </c>
      <c r="L921" s="136" t="str">
        <f t="shared" si="1"/>
        <v/>
      </c>
      <c r="N921" s="141" t="s">
        <v>133</v>
      </c>
      <c r="O921" s="136" t="str">
        <f>IFERROR(__xludf.DUMMYFUNCTION("""COMPUTED_VALUE"""),"")</f>
        <v/>
      </c>
      <c r="P921" s="136" t="str">
        <f>IFERROR(__xludf.DUMMYFUNCTION("""COMPUTED_VALUE"""),"")</f>
        <v/>
      </c>
      <c r="Q921" s="106" t="str">
        <f>IFERROR(__xludf.DUMMYFUNCTION("""COMPUTED_VALUE"""),"")</f>
        <v/>
      </c>
      <c r="R921" s="106" t="str">
        <f>IFERROR(__xludf.DUMMYFUNCTION("""COMPUTED_VALUE"""),"")</f>
        <v/>
      </c>
      <c r="S921" s="139" t="str">
        <f>IFERROR(__xludf.DUMMYFUNCTION("""COMPUTED_VALUE"""),"")</f>
        <v/>
      </c>
      <c r="T921" s="139" t="str">
        <f>IFERROR(__xludf.DUMMYFUNCTION("""COMPUTED_VALUE"""),"")</f>
        <v/>
      </c>
      <c r="U921" s="136" t="str">
        <f>IFERROR(__xludf.DUMMYFUNCTION("""COMPUTED_VALUE"""),"")</f>
        <v/>
      </c>
      <c r="V921" s="106" t="str">
        <f>IFERROR(__xludf.DUMMYFUNCTION("""COMPUTED_VALUE"""),"")</f>
        <v/>
      </c>
      <c r="W921" s="143" t="str">
        <f t="shared" si="2"/>
        <v/>
      </c>
      <c r="X921" s="139" t="str">
        <f>IFERROR(__xludf.DUMMYFUNCTION("""COMPUTED_VALUE"""),"")</f>
        <v/>
      </c>
      <c r="Y921" s="141" t="str">
        <f>IFERROR(__xludf.DUMMYFUNCTION("""COMPUTED_VALUE"""),"")</f>
        <v/>
      </c>
    </row>
    <row r="922">
      <c r="C922" s="136" t="str">
        <f t="shared" si="3"/>
        <v/>
      </c>
      <c r="E922" s="106"/>
      <c r="G922" s="106" t="s">
        <v>133</v>
      </c>
      <c r="I922" s="139" t="s">
        <v>133</v>
      </c>
      <c r="J922" s="136" t="s">
        <v>133</v>
      </c>
      <c r="L922" s="136" t="str">
        <f t="shared" si="1"/>
        <v/>
      </c>
      <c r="N922" s="141" t="s">
        <v>133</v>
      </c>
      <c r="O922" s="136" t="str">
        <f>IFERROR(__xludf.DUMMYFUNCTION("""COMPUTED_VALUE"""),"")</f>
        <v/>
      </c>
      <c r="P922" s="136" t="str">
        <f>IFERROR(__xludf.DUMMYFUNCTION("""COMPUTED_VALUE"""),"")</f>
        <v/>
      </c>
      <c r="Q922" s="106" t="str">
        <f>IFERROR(__xludf.DUMMYFUNCTION("""COMPUTED_VALUE"""),"")</f>
        <v/>
      </c>
      <c r="R922" s="106" t="str">
        <f>IFERROR(__xludf.DUMMYFUNCTION("""COMPUTED_VALUE"""),"")</f>
        <v/>
      </c>
      <c r="S922" s="139" t="str">
        <f>IFERROR(__xludf.DUMMYFUNCTION("""COMPUTED_VALUE"""),"")</f>
        <v/>
      </c>
      <c r="T922" s="139" t="str">
        <f>IFERROR(__xludf.DUMMYFUNCTION("""COMPUTED_VALUE"""),"")</f>
        <v/>
      </c>
      <c r="U922" s="136" t="str">
        <f>IFERROR(__xludf.DUMMYFUNCTION("""COMPUTED_VALUE"""),"")</f>
        <v/>
      </c>
      <c r="V922" s="106" t="str">
        <f>IFERROR(__xludf.DUMMYFUNCTION("""COMPUTED_VALUE"""),"")</f>
        <v/>
      </c>
      <c r="W922" s="143" t="str">
        <f t="shared" si="2"/>
        <v/>
      </c>
      <c r="X922" s="139" t="str">
        <f>IFERROR(__xludf.DUMMYFUNCTION("""COMPUTED_VALUE"""),"")</f>
        <v/>
      </c>
      <c r="Y922" s="141" t="str">
        <f>IFERROR(__xludf.DUMMYFUNCTION("""COMPUTED_VALUE"""),"")</f>
        <v/>
      </c>
    </row>
    <row r="923">
      <c r="C923" s="136" t="str">
        <f t="shared" si="3"/>
        <v/>
      </c>
      <c r="E923" s="106"/>
      <c r="G923" s="106" t="s">
        <v>133</v>
      </c>
      <c r="I923" s="139" t="s">
        <v>133</v>
      </c>
      <c r="J923" s="136" t="s">
        <v>133</v>
      </c>
      <c r="L923" s="136" t="str">
        <f t="shared" si="1"/>
        <v/>
      </c>
      <c r="N923" s="141" t="s">
        <v>133</v>
      </c>
      <c r="O923" s="136" t="str">
        <f>IFERROR(__xludf.DUMMYFUNCTION("""COMPUTED_VALUE"""),"")</f>
        <v/>
      </c>
      <c r="P923" s="136" t="str">
        <f>IFERROR(__xludf.DUMMYFUNCTION("""COMPUTED_VALUE"""),"")</f>
        <v/>
      </c>
      <c r="Q923" s="106" t="str">
        <f>IFERROR(__xludf.DUMMYFUNCTION("""COMPUTED_VALUE"""),"")</f>
        <v/>
      </c>
      <c r="R923" s="106" t="str">
        <f>IFERROR(__xludf.DUMMYFUNCTION("""COMPUTED_VALUE"""),"")</f>
        <v/>
      </c>
      <c r="S923" s="139" t="str">
        <f>IFERROR(__xludf.DUMMYFUNCTION("""COMPUTED_VALUE"""),"")</f>
        <v/>
      </c>
      <c r="T923" s="139" t="str">
        <f>IFERROR(__xludf.DUMMYFUNCTION("""COMPUTED_VALUE"""),"")</f>
        <v/>
      </c>
      <c r="U923" s="136" t="str">
        <f>IFERROR(__xludf.DUMMYFUNCTION("""COMPUTED_VALUE"""),"")</f>
        <v/>
      </c>
      <c r="V923" s="106" t="str">
        <f>IFERROR(__xludf.DUMMYFUNCTION("""COMPUTED_VALUE"""),"")</f>
        <v/>
      </c>
      <c r="W923" s="143" t="str">
        <f t="shared" si="2"/>
        <v/>
      </c>
      <c r="X923" s="139" t="str">
        <f>IFERROR(__xludf.DUMMYFUNCTION("""COMPUTED_VALUE"""),"")</f>
        <v/>
      </c>
      <c r="Y923" s="141" t="str">
        <f>IFERROR(__xludf.DUMMYFUNCTION("""COMPUTED_VALUE"""),"")</f>
        <v/>
      </c>
    </row>
    <row r="924">
      <c r="C924" s="136" t="str">
        <f t="shared" si="3"/>
        <v/>
      </c>
      <c r="E924" s="106"/>
      <c r="G924" s="106" t="s">
        <v>133</v>
      </c>
      <c r="I924" s="139" t="s">
        <v>133</v>
      </c>
      <c r="J924" s="136" t="s">
        <v>133</v>
      </c>
      <c r="L924" s="136" t="str">
        <f t="shared" si="1"/>
        <v/>
      </c>
      <c r="N924" s="141" t="s">
        <v>133</v>
      </c>
      <c r="O924" s="136" t="str">
        <f>IFERROR(__xludf.DUMMYFUNCTION("""COMPUTED_VALUE"""),"")</f>
        <v/>
      </c>
      <c r="P924" s="136" t="str">
        <f>IFERROR(__xludf.DUMMYFUNCTION("""COMPUTED_VALUE"""),"")</f>
        <v/>
      </c>
      <c r="Q924" s="106" t="str">
        <f>IFERROR(__xludf.DUMMYFUNCTION("""COMPUTED_VALUE"""),"")</f>
        <v/>
      </c>
      <c r="R924" s="106" t="str">
        <f>IFERROR(__xludf.DUMMYFUNCTION("""COMPUTED_VALUE"""),"")</f>
        <v/>
      </c>
      <c r="S924" s="139" t="str">
        <f>IFERROR(__xludf.DUMMYFUNCTION("""COMPUTED_VALUE"""),"")</f>
        <v/>
      </c>
      <c r="T924" s="139" t="str">
        <f>IFERROR(__xludf.DUMMYFUNCTION("""COMPUTED_VALUE"""),"")</f>
        <v/>
      </c>
      <c r="U924" s="136" t="str">
        <f>IFERROR(__xludf.DUMMYFUNCTION("""COMPUTED_VALUE"""),"")</f>
        <v/>
      </c>
      <c r="V924" s="106" t="str">
        <f>IFERROR(__xludf.DUMMYFUNCTION("""COMPUTED_VALUE"""),"")</f>
        <v/>
      </c>
      <c r="W924" s="143" t="str">
        <f t="shared" si="2"/>
        <v/>
      </c>
      <c r="X924" s="139" t="str">
        <f>IFERROR(__xludf.DUMMYFUNCTION("""COMPUTED_VALUE"""),"")</f>
        <v/>
      </c>
      <c r="Y924" s="141" t="str">
        <f>IFERROR(__xludf.DUMMYFUNCTION("""COMPUTED_VALUE"""),"")</f>
        <v/>
      </c>
    </row>
    <row r="925">
      <c r="C925" s="136" t="str">
        <f t="shared" si="3"/>
        <v/>
      </c>
      <c r="E925" s="106"/>
      <c r="G925" s="106" t="s">
        <v>133</v>
      </c>
      <c r="I925" s="139" t="s">
        <v>133</v>
      </c>
      <c r="J925" s="136" t="s">
        <v>133</v>
      </c>
      <c r="L925" s="136" t="str">
        <f t="shared" si="1"/>
        <v/>
      </c>
      <c r="N925" s="141" t="s">
        <v>133</v>
      </c>
      <c r="O925" s="136" t="str">
        <f>IFERROR(__xludf.DUMMYFUNCTION("""COMPUTED_VALUE"""),"")</f>
        <v/>
      </c>
      <c r="P925" s="136" t="str">
        <f>IFERROR(__xludf.DUMMYFUNCTION("""COMPUTED_VALUE"""),"")</f>
        <v/>
      </c>
      <c r="Q925" s="106" t="str">
        <f>IFERROR(__xludf.DUMMYFUNCTION("""COMPUTED_VALUE"""),"")</f>
        <v/>
      </c>
      <c r="R925" s="106" t="str">
        <f>IFERROR(__xludf.DUMMYFUNCTION("""COMPUTED_VALUE"""),"")</f>
        <v/>
      </c>
      <c r="S925" s="139" t="str">
        <f>IFERROR(__xludf.DUMMYFUNCTION("""COMPUTED_VALUE"""),"")</f>
        <v/>
      </c>
      <c r="T925" s="139" t="str">
        <f>IFERROR(__xludf.DUMMYFUNCTION("""COMPUTED_VALUE"""),"")</f>
        <v/>
      </c>
      <c r="U925" s="136" t="str">
        <f>IFERROR(__xludf.DUMMYFUNCTION("""COMPUTED_VALUE"""),"")</f>
        <v/>
      </c>
      <c r="V925" s="106" t="str">
        <f>IFERROR(__xludf.DUMMYFUNCTION("""COMPUTED_VALUE"""),"")</f>
        <v/>
      </c>
      <c r="W925" s="143" t="str">
        <f t="shared" si="2"/>
        <v/>
      </c>
      <c r="X925" s="139" t="str">
        <f>IFERROR(__xludf.DUMMYFUNCTION("""COMPUTED_VALUE"""),"")</f>
        <v/>
      </c>
      <c r="Y925" s="141" t="str">
        <f>IFERROR(__xludf.DUMMYFUNCTION("""COMPUTED_VALUE"""),"")</f>
        <v/>
      </c>
    </row>
    <row r="926">
      <c r="C926" s="136" t="str">
        <f t="shared" si="3"/>
        <v/>
      </c>
      <c r="E926" s="106"/>
      <c r="G926" s="106" t="s">
        <v>133</v>
      </c>
      <c r="I926" s="139" t="s">
        <v>133</v>
      </c>
      <c r="J926" s="136" t="s">
        <v>133</v>
      </c>
      <c r="L926" s="136" t="str">
        <f t="shared" si="1"/>
        <v/>
      </c>
      <c r="N926" s="141" t="s">
        <v>133</v>
      </c>
      <c r="O926" s="136" t="str">
        <f>IFERROR(__xludf.DUMMYFUNCTION("""COMPUTED_VALUE"""),"")</f>
        <v/>
      </c>
      <c r="P926" s="136" t="str">
        <f>IFERROR(__xludf.DUMMYFUNCTION("""COMPUTED_VALUE"""),"")</f>
        <v/>
      </c>
      <c r="Q926" s="106" t="str">
        <f>IFERROR(__xludf.DUMMYFUNCTION("""COMPUTED_VALUE"""),"")</f>
        <v/>
      </c>
      <c r="R926" s="106" t="str">
        <f>IFERROR(__xludf.DUMMYFUNCTION("""COMPUTED_VALUE"""),"")</f>
        <v/>
      </c>
      <c r="S926" s="139" t="str">
        <f>IFERROR(__xludf.DUMMYFUNCTION("""COMPUTED_VALUE"""),"")</f>
        <v/>
      </c>
      <c r="T926" s="139" t="str">
        <f>IFERROR(__xludf.DUMMYFUNCTION("""COMPUTED_VALUE"""),"")</f>
        <v/>
      </c>
      <c r="U926" s="136" t="str">
        <f>IFERROR(__xludf.DUMMYFUNCTION("""COMPUTED_VALUE"""),"")</f>
        <v/>
      </c>
      <c r="V926" s="106" t="str">
        <f>IFERROR(__xludf.DUMMYFUNCTION("""COMPUTED_VALUE"""),"")</f>
        <v/>
      </c>
      <c r="W926" s="143" t="str">
        <f t="shared" si="2"/>
        <v/>
      </c>
      <c r="X926" s="139" t="str">
        <f>IFERROR(__xludf.DUMMYFUNCTION("""COMPUTED_VALUE"""),"")</f>
        <v/>
      </c>
      <c r="Y926" s="141" t="str">
        <f>IFERROR(__xludf.DUMMYFUNCTION("""COMPUTED_VALUE"""),"")</f>
        <v/>
      </c>
    </row>
    <row r="927">
      <c r="C927" s="136" t="str">
        <f t="shared" si="3"/>
        <v/>
      </c>
      <c r="E927" s="106"/>
      <c r="G927" s="106" t="s">
        <v>133</v>
      </c>
      <c r="I927" s="139" t="s">
        <v>133</v>
      </c>
      <c r="J927" s="136" t="s">
        <v>133</v>
      </c>
      <c r="L927" s="136" t="str">
        <f t="shared" si="1"/>
        <v/>
      </c>
      <c r="N927" s="141" t="s">
        <v>133</v>
      </c>
      <c r="O927" s="136" t="str">
        <f>IFERROR(__xludf.DUMMYFUNCTION("""COMPUTED_VALUE"""),"")</f>
        <v/>
      </c>
      <c r="P927" s="136" t="str">
        <f>IFERROR(__xludf.DUMMYFUNCTION("""COMPUTED_VALUE"""),"")</f>
        <v/>
      </c>
      <c r="Q927" s="106" t="str">
        <f>IFERROR(__xludf.DUMMYFUNCTION("""COMPUTED_VALUE"""),"")</f>
        <v/>
      </c>
      <c r="R927" s="106" t="str">
        <f>IFERROR(__xludf.DUMMYFUNCTION("""COMPUTED_VALUE"""),"")</f>
        <v/>
      </c>
      <c r="S927" s="139" t="str">
        <f>IFERROR(__xludf.DUMMYFUNCTION("""COMPUTED_VALUE"""),"")</f>
        <v/>
      </c>
      <c r="T927" s="139" t="str">
        <f>IFERROR(__xludf.DUMMYFUNCTION("""COMPUTED_VALUE"""),"")</f>
        <v/>
      </c>
      <c r="U927" s="136" t="str">
        <f>IFERROR(__xludf.DUMMYFUNCTION("""COMPUTED_VALUE"""),"")</f>
        <v/>
      </c>
      <c r="V927" s="106" t="str">
        <f>IFERROR(__xludf.DUMMYFUNCTION("""COMPUTED_VALUE"""),"")</f>
        <v/>
      </c>
      <c r="W927" s="143" t="str">
        <f t="shared" si="2"/>
        <v/>
      </c>
      <c r="X927" s="139" t="str">
        <f>IFERROR(__xludf.DUMMYFUNCTION("""COMPUTED_VALUE"""),"")</f>
        <v/>
      </c>
      <c r="Y927" s="141" t="str">
        <f>IFERROR(__xludf.DUMMYFUNCTION("""COMPUTED_VALUE"""),"")</f>
        <v/>
      </c>
    </row>
    <row r="928">
      <c r="C928" s="136" t="str">
        <f t="shared" si="3"/>
        <v/>
      </c>
      <c r="E928" s="106"/>
      <c r="G928" s="106" t="s">
        <v>133</v>
      </c>
      <c r="I928" s="139" t="s">
        <v>133</v>
      </c>
      <c r="J928" s="136" t="s">
        <v>133</v>
      </c>
      <c r="L928" s="136" t="str">
        <f t="shared" si="1"/>
        <v/>
      </c>
      <c r="N928" s="141" t="s">
        <v>133</v>
      </c>
      <c r="O928" s="136" t="str">
        <f>IFERROR(__xludf.DUMMYFUNCTION("""COMPUTED_VALUE"""),"")</f>
        <v/>
      </c>
      <c r="P928" s="136" t="str">
        <f>IFERROR(__xludf.DUMMYFUNCTION("""COMPUTED_VALUE"""),"")</f>
        <v/>
      </c>
      <c r="Q928" s="106" t="str">
        <f>IFERROR(__xludf.DUMMYFUNCTION("""COMPUTED_VALUE"""),"")</f>
        <v/>
      </c>
      <c r="R928" s="106" t="str">
        <f>IFERROR(__xludf.DUMMYFUNCTION("""COMPUTED_VALUE"""),"")</f>
        <v/>
      </c>
      <c r="S928" s="139" t="str">
        <f>IFERROR(__xludf.DUMMYFUNCTION("""COMPUTED_VALUE"""),"")</f>
        <v/>
      </c>
      <c r="T928" s="139" t="str">
        <f>IFERROR(__xludf.DUMMYFUNCTION("""COMPUTED_VALUE"""),"")</f>
        <v/>
      </c>
      <c r="U928" s="136" t="str">
        <f>IFERROR(__xludf.DUMMYFUNCTION("""COMPUTED_VALUE"""),"")</f>
        <v/>
      </c>
      <c r="V928" s="106" t="str">
        <f>IFERROR(__xludf.DUMMYFUNCTION("""COMPUTED_VALUE"""),"")</f>
        <v/>
      </c>
      <c r="W928" s="143" t="str">
        <f t="shared" si="2"/>
        <v/>
      </c>
      <c r="X928" s="139" t="str">
        <f>IFERROR(__xludf.DUMMYFUNCTION("""COMPUTED_VALUE"""),"")</f>
        <v/>
      </c>
      <c r="Y928" s="141" t="str">
        <f>IFERROR(__xludf.DUMMYFUNCTION("""COMPUTED_VALUE"""),"")</f>
        <v/>
      </c>
    </row>
    <row r="929">
      <c r="C929" s="136" t="str">
        <f t="shared" si="3"/>
        <v/>
      </c>
      <c r="E929" s="106"/>
      <c r="G929" s="106" t="s">
        <v>133</v>
      </c>
      <c r="I929" s="139" t="s">
        <v>133</v>
      </c>
      <c r="J929" s="136" t="s">
        <v>133</v>
      </c>
      <c r="L929" s="136" t="str">
        <f t="shared" si="1"/>
        <v/>
      </c>
      <c r="N929" s="141" t="s">
        <v>133</v>
      </c>
      <c r="O929" s="136" t="str">
        <f>IFERROR(__xludf.DUMMYFUNCTION("""COMPUTED_VALUE"""),"")</f>
        <v/>
      </c>
      <c r="P929" s="136" t="str">
        <f>IFERROR(__xludf.DUMMYFUNCTION("""COMPUTED_VALUE"""),"")</f>
        <v/>
      </c>
      <c r="Q929" s="106" t="str">
        <f>IFERROR(__xludf.DUMMYFUNCTION("""COMPUTED_VALUE"""),"")</f>
        <v/>
      </c>
      <c r="R929" s="106" t="str">
        <f>IFERROR(__xludf.DUMMYFUNCTION("""COMPUTED_VALUE"""),"")</f>
        <v/>
      </c>
      <c r="S929" s="139" t="str">
        <f>IFERROR(__xludf.DUMMYFUNCTION("""COMPUTED_VALUE"""),"")</f>
        <v/>
      </c>
      <c r="T929" s="139" t="str">
        <f>IFERROR(__xludf.DUMMYFUNCTION("""COMPUTED_VALUE"""),"")</f>
        <v/>
      </c>
      <c r="U929" s="136" t="str">
        <f>IFERROR(__xludf.DUMMYFUNCTION("""COMPUTED_VALUE"""),"")</f>
        <v/>
      </c>
      <c r="V929" s="106" t="str">
        <f>IFERROR(__xludf.DUMMYFUNCTION("""COMPUTED_VALUE"""),"")</f>
        <v/>
      </c>
      <c r="W929" s="143" t="str">
        <f t="shared" si="2"/>
        <v/>
      </c>
      <c r="X929" s="139" t="str">
        <f>IFERROR(__xludf.DUMMYFUNCTION("""COMPUTED_VALUE"""),"")</f>
        <v/>
      </c>
      <c r="Y929" s="141" t="str">
        <f>IFERROR(__xludf.DUMMYFUNCTION("""COMPUTED_VALUE"""),"")</f>
        <v/>
      </c>
    </row>
    <row r="930">
      <c r="C930" s="136" t="str">
        <f t="shared" si="3"/>
        <v/>
      </c>
      <c r="E930" s="106"/>
      <c r="G930" s="106" t="s">
        <v>133</v>
      </c>
      <c r="I930" s="139" t="s">
        <v>133</v>
      </c>
      <c r="J930" s="136" t="s">
        <v>133</v>
      </c>
      <c r="L930" s="136" t="str">
        <f t="shared" si="1"/>
        <v/>
      </c>
      <c r="N930" s="141" t="s">
        <v>133</v>
      </c>
      <c r="O930" s="136" t="str">
        <f>IFERROR(__xludf.DUMMYFUNCTION("""COMPUTED_VALUE"""),"")</f>
        <v/>
      </c>
      <c r="P930" s="136" t="str">
        <f>IFERROR(__xludf.DUMMYFUNCTION("""COMPUTED_VALUE"""),"")</f>
        <v/>
      </c>
      <c r="Q930" s="106" t="str">
        <f>IFERROR(__xludf.DUMMYFUNCTION("""COMPUTED_VALUE"""),"")</f>
        <v/>
      </c>
      <c r="R930" s="106" t="str">
        <f>IFERROR(__xludf.DUMMYFUNCTION("""COMPUTED_VALUE"""),"")</f>
        <v/>
      </c>
      <c r="S930" s="139" t="str">
        <f>IFERROR(__xludf.DUMMYFUNCTION("""COMPUTED_VALUE"""),"")</f>
        <v/>
      </c>
      <c r="T930" s="139" t="str">
        <f>IFERROR(__xludf.DUMMYFUNCTION("""COMPUTED_VALUE"""),"")</f>
        <v/>
      </c>
      <c r="U930" s="136" t="str">
        <f>IFERROR(__xludf.DUMMYFUNCTION("""COMPUTED_VALUE"""),"")</f>
        <v/>
      </c>
      <c r="V930" s="106" t="str">
        <f>IFERROR(__xludf.DUMMYFUNCTION("""COMPUTED_VALUE"""),"")</f>
        <v/>
      </c>
      <c r="W930" s="143" t="str">
        <f t="shared" si="2"/>
        <v/>
      </c>
      <c r="X930" s="139" t="str">
        <f>IFERROR(__xludf.DUMMYFUNCTION("""COMPUTED_VALUE"""),"")</f>
        <v/>
      </c>
      <c r="Y930" s="141" t="str">
        <f>IFERROR(__xludf.DUMMYFUNCTION("""COMPUTED_VALUE"""),"")</f>
        <v/>
      </c>
    </row>
    <row r="931">
      <c r="C931" s="136" t="str">
        <f t="shared" si="3"/>
        <v/>
      </c>
      <c r="E931" s="106"/>
      <c r="G931" s="106" t="s">
        <v>133</v>
      </c>
      <c r="I931" s="139" t="s">
        <v>133</v>
      </c>
      <c r="J931" s="136" t="s">
        <v>133</v>
      </c>
      <c r="L931" s="136" t="str">
        <f t="shared" si="1"/>
        <v/>
      </c>
      <c r="N931" s="141" t="s">
        <v>133</v>
      </c>
      <c r="O931" s="136" t="str">
        <f>IFERROR(__xludf.DUMMYFUNCTION("""COMPUTED_VALUE"""),"")</f>
        <v/>
      </c>
      <c r="P931" s="136" t="str">
        <f>IFERROR(__xludf.DUMMYFUNCTION("""COMPUTED_VALUE"""),"")</f>
        <v/>
      </c>
      <c r="Q931" s="106" t="str">
        <f>IFERROR(__xludf.DUMMYFUNCTION("""COMPUTED_VALUE"""),"")</f>
        <v/>
      </c>
      <c r="R931" s="106" t="str">
        <f>IFERROR(__xludf.DUMMYFUNCTION("""COMPUTED_VALUE"""),"")</f>
        <v/>
      </c>
      <c r="S931" s="139" t="str">
        <f>IFERROR(__xludf.DUMMYFUNCTION("""COMPUTED_VALUE"""),"")</f>
        <v/>
      </c>
      <c r="T931" s="139" t="str">
        <f>IFERROR(__xludf.DUMMYFUNCTION("""COMPUTED_VALUE"""),"")</f>
        <v/>
      </c>
      <c r="U931" s="136" t="str">
        <f>IFERROR(__xludf.DUMMYFUNCTION("""COMPUTED_VALUE"""),"")</f>
        <v/>
      </c>
      <c r="V931" s="106" t="str">
        <f>IFERROR(__xludf.DUMMYFUNCTION("""COMPUTED_VALUE"""),"")</f>
        <v/>
      </c>
      <c r="W931" s="143" t="str">
        <f t="shared" si="2"/>
        <v/>
      </c>
      <c r="X931" s="139" t="str">
        <f>IFERROR(__xludf.DUMMYFUNCTION("""COMPUTED_VALUE"""),"")</f>
        <v/>
      </c>
      <c r="Y931" s="141" t="str">
        <f>IFERROR(__xludf.DUMMYFUNCTION("""COMPUTED_VALUE"""),"")</f>
        <v/>
      </c>
    </row>
    <row r="932">
      <c r="C932" s="136" t="str">
        <f t="shared" si="3"/>
        <v/>
      </c>
      <c r="E932" s="106"/>
      <c r="G932" s="106" t="s">
        <v>133</v>
      </c>
      <c r="I932" s="139" t="s">
        <v>133</v>
      </c>
      <c r="J932" s="136" t="s">
        <v>133</v>
      </c>
      <c r="L932" s="136" t="str">
        <f t="shared" si="1"/>
        <v/>
      </c>
      <c r="N932" s="141" t="s">
        <v>133</v>
      </c>
      <c r="O932" s="136" t="str">
        <f>IFERROR(__xludf.DUMMYFUNCTION("""COMPUTED_VALUE"""),"")</f>
        <v/>
      </c>
      <c r="P932" s="136" t="str">
        <f>IFERROR(__xludf.DUMMYFUNCTION("""COMPUTED_VALUE"""),"")</f>
        <v/>
      </c>
      <c r="Q932" s="106" t="str">
        <f>IFERROR(__xludf.DUMMYFUNCTION("""COMPUTED_VALUE"""),"")</f>
        <v/>
      </c>
      <c r="R932" s="106" t="str">
        <f>IFERROR(__xludf.DUMMYFUNCTION("""COMPUTED_VALUE"""),"")</f>
        <v/>
      </c>
      <c r="S932" s="139" t="str">
        <f>IFERROR(__xludf.DUMMYFUNCTION("""COMPUTED_VALUE"""),"")</f>
        <v/>
      </c>
      <c r="T932" s="139" t="str">
        <f>IFERROR(__xludf.DUMMYFUNCTION("""COMPUTED_VALUE"""),"")</f>
        <v/>
      </c>
      <c r="U932" s="136" t="str">
        <f>IFERROR(__xludf.DUMMYFUNCTION("""COMPUTED_VALUE"""),"")</f>
        <v/>
      </c>
      <c r="V932" s="106" t="str">
        <f>IFERROR(__xludf.DUMMYFUNCTION("""COMPUTED_VALUE"""),"")</f>
        <v/>
      </c>
      <c r="W932" s="143" t="str">
        <f t="shared" si="2"/>
        <v/>
      </c>
      <c r="X932" s="139" t="str">
        <f>IFERROR(__xludf.DUMMYFUNCTION("""COMPUTED_VALUE"""),"")</f>
        <v/>
      </c>
      <c r="Y932" s="141" t="str">
        <f>IFERROR(__xludf.DUMMYFUNCTION("""COMPUTED_VALUE"""),"")</f>
        <v/>
      </c>
    </row>
    <row r="933">
      <c r="C933" s="136" t="str">
        <f t="shared" si="3"/>
        <v/>
      </c>
      <c r="E933" s="106"/>
      <c r="G933" s="106" t="s">
        <v>133</v>
      </c>
      <c r="I933" s="139" t="s">
        <v>133</v>
      </c>
      <c r="J933" s="136" t="s">
        <v>133</v>
      </c>
      <c r="L933" s="136" t="str">
        <f t="shared" si="1"/>
        <v/>
      </c>
      <c r="N933" s="141" t="s">
        <v>133</v>
      </c>
      <c r="O933" s="136" t="str">
        <f>IFERROR(__xludf.DUMMYFUNCTION("""COMPUTED_VALUE"""),"")</f>
        <v/>
      </c>
      <c r="P933" s="136" t="str">
        <f>IFERROR(__xludf.DUMMYFUNCTION("""COMPUTED_VALUE"""),"")</f>
        <v/>
      </c>
      <c r="Q933" s="106" t="str">
        <f>IFERROR(__xludf.DUMMYFUNCTION("""COMPUTED_VALUE"""),"")</f>
        <v/>
      </c>
      <c r="R933" s="106" t="str">
        <f>IFERROR(__xludf.DUMMYFUNCTION("""COMPUTED_VALUE"""),"")</f>
        <v/>
      </c>
      <c r="S933" s="139" t="str">
        <f>IFERROR(__xludf.DUMMYFUNCTION("""COMPUTED_VALUE"""),"")</f>
        <v/>
      </c>
      <c r="T933" s="139" t="str">
        <f>IFERROR(__xludf.DUMMYFUNCTION("""COMPUTED_VALUE"""),"")</f>
        <v/>
      </c>
      <c r="U933" s="136" t="str">
        <f>IFERROR(__xludf.DUMMYFUNCTION("""COMPUTED_VALUE"""),"")</f>
        <v/>
      </c>
      <c r="V933" s="106" t="str">
        <f>IFERROR(__xludf.DUMMYFUNCTION("""COMPUTED_VALUE"""),"")</f>
        <v/>
      </c>
      <c r="W933" s="143" t="str">
        <f t="shared" si="2"/>
        <v/>
      </c>
      <c r="X933" s="139" t="str">
        <f>IFERROR(__xludf.DUMMYFUNCTION("""COMPUTED_VALUE"""),"")</f>
        <v/>
      </c>
      <c r="Y933" s="141" t="str">
        <f>IFERROR(__xludf.DUMMYFUNCTION("""COMPUTED_VALUE"""),"")</f>
        <v/>
      </c>
    </row>
    <row r="934">
      <c r="C934" s="136" t="str">
        <f t="shared" si="3"/>
        <v/>
      </c>
      <c r="E934" s="106"/>
      <c r="G934" s="106" t="s">
        <v>133</v>
      </c>
      <c r="I934" s="139" t="s">
        <v>133</v>
      </c>
      <c r="J934" s="136" t="s">
        <v>133</v>
      </c>
      <c r="L934" s="136" t="str">
        <f t="shared" si="1"/>
        <v/>
      </c>
      <c r="N934" s="141" t="s">
        <v>133</v>
      </c>
      <c r="O934" s="136" t="str">
        <f>IFERROR(__xludf.DUMMYFUNCTION("""COMPUTED_VALUE"""),"")</f>
        <v/>
      </c>
      <c r="P934" s="136" t="str">
        <f>IFERROR(__xludf.DUMMYFUNCTION("""COMPUTED_VALUE"""),"")</f>
        <v/>
      </c>
      <c r="Q934" s="106" t="str">
        <f>IFERROR(__xludf.DUMMYFUNCTION("""COMPUTED_VALUE"""),"")</f>
        <v/>
      </c>
      <c r="R934" s="106" t="str">
        <f>IFERROR(__xludf.DUMMYFUNCTION("""COMPUTED_VALUE"""),"")</f>
        <v/>
      </c>
      <c r="S934" s="139" t="str">
        <f>IFERROR(__xludf.DUMMYFUNCTION("""COMPUTED_VALUE"""),"")</f>
        <v/>
      </c>
      <c r="T934" s="139" t="str">
        <f>IFERROR(__xludf.DUMMYFUNCTION("""COMPUTED_VALUE"""),"")</f>
        <v/>
      </c>
      <c r="U934" s="136" t="str">
        <f>IFERROR(__xludf.DUMMYFUNCTION("""COMPUTED_VALUE"""),"")</f>
        <v/>
      </c>
      <c r="V934" s="106" t="str">
        <f>IFERROR(__xludf.DUMMYFUNCTION("""COMPUTED_VALUE"""),"")</f>
        <v/>
      </c>
      <c r="W934" s="143" t="str">
        <f t="shared" si="2"/>
        <v/>
      </c>
      <c r="X934" s="139" t="str">
        <f>IFERROR(__xludf.DUMMYFUNCTION("""COMPUTED_VALUE"""),"")</f>
        <v/>
      </c>
      <c r="Y934" s="141" t="str">
        <f>IFERROR(__xludf.DUMMYFUNCTION("""COMPUTED_VALUE"""),"")</f>
        <v/>
      </c>
    </row>
    <row r="935">
      <c r="C935" s="136" t="str">
        <f t="shared" si="3"/>
        <v/>
      </c>
      <c r="E935" s="106"/>
      <c r="G935" s="106" t="s">
        <v>133</v>
      </c>
      <c r="I935" s="139" t="s">
        <v>133</v>
      </c>
      <c r="J935" s="136" t="s">
        <v>133</v>
      </c>
      <c r="L935" s="136" t="str">
        <f t="shared" si="1"/>
        <v/>
      </c>
      <c r="N935" s="141" t="s">
        <v>133</v>
      </c>
      <c r="O935" s="136" t="str">
        <f>IFERROR(__xludf.DUMMYFUNCTION("""COMPUTED_VALUE"""),"")</f>
        <v/>
      </c>
      <c r="P935" s="136" t="str">
        <f>IFERROR(__xludf.DUMMYFUNCTION("""COMPUTED_VALUE"""),"")</f>
        <v/>
      </c>
      <c r="Q935" s="106" t="str">
        <f>IFERROR(__xludf.DUMMYFUNCTION("""COMPUTED_VALUE"""),"")</f>
        <v/>
      </c>
      <c r="R935" s="106" t="str">
        <f>IFERROR(__xludf.DUMMYFUNCTION("""COMPUTED_VALUE"""),"")</f>
        <v/>
      </c>
      <c r="S935" s="139" t="str">
        <f>IFERROR(__xludf.DUMMYFUNCTION("""COMPUTED_VALUE"""),"")</f>
        <v/>
      </c>
      <c r="T935" s="139" t="str">
        <f>IFERROR(__xludf.DUMMYFUNCTION("""COMPUTED_VALUE"""),"")</f>
        <v/>
      </c>
      <c r="U935" s="136" t="str">
        <f>IFERROR(__xludf.DUMMYFUNCTION("""COMPUTED_VALUE"""),"")</f>
        <v/>
      </c>
      <c r="V935" s="106" t="str">
        <f>IFERROR(__xludf.DUMMYFUNCTION("""COMPUTED_VALUE"""),"")</f>
        <v/>
      </c>
      <c r="W935" s="143" t="str">
        <f t="shared" si="2"/>
        <v/>
      </c>
      <c r="X935" s="139" t="str">
        <f>IFERROR(__xludf.DUMMYFUNCTION("""COMPUTED_VALUE"""),"")</f>
        <v/>
      </c>
      <c r="Y935" s="141" t="str">
        <f>IFERROR(__xludf.DUMMYFUNCTION("""COMPUTED_VALUE"""),"")</f>
        <v/>
      </c>
    </row>
    <row r="936">
      <c r="C936" s="136" t="str">
        <f t="shared" si="3"/>
        <v/>
      </c>
      <c r="E936" s="106"/>
      <c r="G936" s="106" t="s">
        <v>133</v>
      </c>
      <c r="I936" s="139" t="s">
        <v>133</v>
      </c>
      <c r="J936" s="136" t="s">
        <v>133</v>
      </c>
      <c r="L936" s="136" t="str">
        <f t="shared" si="1"/>
        <v/>
      </c>
      <c r="N936" s="141" t="s">
        <v>133</v>
      </c>
      <c r="O936" s="136" t="str">
        <f>IFERROR(__xludf.DUMMYFUNCTION("""COMPUTED_VALUE"""),"")</f>
        <v/>
      </c>
      <c r="P936" s="136" t="str">
        <f>IFERROR(__xludf.DUMMYFUNCTION("""COMPUTED_VALUE"""),"")</f>
        <v/>
      </c>
      <c r="Q936" s="106" t="str">
        <f>IFERROR(__xludf.DUMMYFUNCTION("""COMPUTED_VALUE"""),"")</f>
        <v/>
      </c>
      <c r="R936" s="106" t="str">
        <f>IFERROR(__xludf.DUMMYFUNCTION("""COMPUTED_VALUE"""),"")</f>
        <v/>
      </c>
      <c r="S936" s="139" t="str">
        <f>IFERROR(__xludf.DUMMYFUNCTION("""COMPUTED_VALUE"""),"")</f>
        <v/>
      </c>
      <c r="T936" s="139" t="str">
        <f>IFERROR(__xludf.DUMMYFUNCTION("""COMPUTED_VALUE"""),"")</f>
        <v/>
      </c>
      <c r="U936" s="136" t="str">
        <f>IFERROR(__xludf.DUMMYFUNCTION("""COMPUTED_VALUE"""),"")</f>
        <v/>
      </c>
      <c r="V936" s="106" t="str">
        <f>IFERROR(__xludf.DUMMYFUNCTION("""COMPUTED_VALUE"""),"")</f>
        <v/>
      </c>
      <c r="W936" s="143" t="str">
        <f t="shared" si="2"/>
        <v/>
      </c>
      <c r="X936" s="139" t="str">
        <f>IFERROR(__xludf.DUMMYFUNCTION("""COMPUTED_VALUE"""),"")</f>
        <v/>
      </c>
      <c r="Y936" s="141" t="str">
        <f>IFERROR(__xludf.DUMMYFUNCTION("""COMPUTED_VALUE"""),"")</f>
        <v/>
      </c>
    </row>
    <row r="937">
      <c r="C937" s="136" t="str">
        <f t="shared" si="3"/>
        <v/>
      </c>
      <c r="E937" s="106"/>
      <c r="G937" s="106" t="s">
        <v>133</v>
      </c>
      <c r="I937" s="139" t="s">
        <v>133</v>
      </c>
      <c r="J937" s="136" t="s">
        <v>133</v>
      </c>
      <c r="L937" s="136" t="str">
        <f t="shared" si="1"/>
        <v/>
      </c>
      <c r="N937" s="141" t="s">
        <v>133</v>
      </c>
      <c r="O937" s="136" t="str">
        <f>IFERROR(__xludf.DUMMYFUNCTION("""COMPUTED_VALUE"""),"")</f>
        <v/>
      </c>
      <c r="P937" s="136" t="str">
        <f>IFERROR(__xludf.DUMMYFUNCTION("""COMPUTED_VALUE"""),"")</f>
        <v/>
      </c>
      <c r="Q937" s="106" t="str">
        <f>IFERROR(__xludf.DUMMYFUNCTION("""COMPUTED_VALUE"""),"")</f>
        <v/>
      </c>
      <c r="R937" s="106" t="str">
        <f>IFERROR(__xludf.DUMMYFUNCTION("""COMPUTED_VALUE"""),"")</f>
        <v/>
      </c>
      <c r="S937" s="139" t="str">
        <f>IFERROR(__xludf.DUMMYFUNCTION("""COMPUTED_VALUE"""),"")</f>
        <v/>
      </c>
      <c r="T937" s="139" t="str">
        <f>IFERROR(__xludf.DUMMYFUNCTION("""COMPUTED_VALUE"""),"")</f>
        <v/>
      </c>
      <c r="U937" s="136" t="str">
        <f>IFERROR(__xludf.DUMMYFUNCTION("""COMPUTED_VALUE"""),"")</f>
        <v/>
      </c>
      <c r="V937" s="106" t="str">
        <f>IFERROR(__xludf.DUMMYFUNCTION("""COMPUTED_VALUE"""),"")</f>
        <v/>
      </c>
      <c r="W937" s="143" t="str">
        <f t="shared" si="2"/>
        <v/>
      </c>
      <c r="X937" s="139" t="str">
        <f>IFERROR(__xludf.DUMMYFUNCTION("""COMPUTED_VALUE"""),"")</f>
        <v/>
      </c>
      <c r="Y937" s="141" t="str">
        <f>IFERROR(__xludf.DUMMYFUNCTION("""COMPUTED_VALUE"""),"")</f>
        <v/>
      </c>
    </row>
    <row r="938">
      <c r="C938" s="136" t="str">
        <f t="shared" si="3"/>
        <v/>
      </c>
      <c r="E938" s="106"/>
      <c r="G938" s="106" t="s">
        <v>133</v>
      </c>
      <c r="I938" s="139" t="s">
        <v>133</v>
      </c>
      <c r="J938" s="136" t="s">
        <v>133</v>
      </c>
      <c r="L938" s="136" t="str">
        <f t="shared" si="1"/>
        <v/>
      </c>
      <c r="N938" s="141" t="s">
        <v>133</v>
      </c>
      <c r="O938" s="136" t="str">
        <f>IFERROR(__xludf.DUMMYFUNCTION("""COMPUTED_VALUE"""),"")</f>
        <v/>
      </c>
      <c r="P938" s="136" t="str">
        <f>IFERROR(__xludf.DUMMYFUNCTION("""COMPUTED_VALUE"""),"")</f>
        <v/>
      </c>
      <c r="Q938" s="106" t="str">
        <f>IFERROR(__xludf.DUMMYFUNCTION("""COMPUTED_VALUE"""),"")</f>
        <v/>
      </c>
      <c r="R938" s="106" t="str">
        <f>IFERROR(__xludf.DUMMYFUNCTION("""COMPUTED_VALUE"""),"")</f>
        <v/>
      </c>
      <c r="S938" s="139" t="str">
        <f>IFERROR(__xludf.DUMMYFUNCTION("""COMPUTED_VALUE"""),"")</f>
        <v/>
      </c>
      <c r="T938" s="139" t="str">
        <f>IFERROR(__xludf.DUMMYFUNCTION("""COMPUTED_VALUE"""),"")</f>
        <v/>
      </c>
      <c r="U938" s="136" t="str">
        <f>IFERROR(__xludf.DUMMYFUNCTION("""COMPUTED_VALUE"""),"")</f>
        <v/>
      </c>
      <c r="V938" s="106" t="str">
        <f>IFERROR(__xludf.DUMMYFUNCTION("""COMPUTED_VALUE"""),"")</f>
        <v/>
      </c>
      <c r="W938" s="143" t="str">
        <f t="shared" si="2"/>
        <v/>
      </c>
      <c r="X938" s="139" t="str">
        <f>IFERROR(__xludf.DUMMYFUNCTION("""COMPUTED_VALUE"""),"")</f>
        <v/>
      </c>
      <c r="Y938" s="141" t="str">
        <f>IFERROR(__xludf.DUMMYFUNCTION("""COMPUTED_VALUE"""),"")</f>
        <v/>
      </c>
    </row>
    <row r="939">
      <c r="C939" s="136" t="str">
        <f t="shared" si="3"/>
        <v/>
      </c>
      <c r="E939" s="106"/>
      <c r="G939" s="106" t="s">
        <v>133</v>
      </c>
      <c r="I939" s="139" t="s">
        <v>133</v>
      </c>
      <c r="J939" s="136" t="s">
        <v>133</v>
      </c>
      <c r="L939" s="136" t="str">
        <f t="shared" si="1"/>
        <v/>
      </c>
      <c r="N939" s="141" t="s">
        <v>133</v>
      </c>
      <c r="O939" s="136" t="str">
        <f>IFERROR(__xludf.DUMMYFUNCTION("""COMPUTED_VALUE"""),"")</f>
        <v/>
      </c>
      <c r="P939" s="136" t="str">
        <f>IFERROR(__xludf.DUMMYFUNCTION("""COMPUTED_VALUE"""),"")</f>
        <v/>
      </c>
      <c r="Q939" s="106" t="str">
        <f>IFERROR(__xludf.DUMMYFUNCTION("""COMPUTED_VALUE"""),"")</f>
        <v/>
      </c>
      <c r="R939" s="106" t="str">
        <f>IFERROR(__xludf.DUMMYFUNCTION("""COMPUTED_VALUE"""),"")</f>
        <v/>
      </c>
      <c r="S939" s="139" t="str">
        <f>IFERROR(__xludf.DUMMYFUNCTION("""COMPUTED_VALUE"""),"")</f>
        <v/>
      </c>
      <c r="T939" s="139" t="str">
        <f>IFERROR(__xludf.DUMMYFUNCTION("""COMPUTED_VALUE"""),"")</f>
        <v/>
      </c>
      <c r="U939" s="136" t="str">
        <f>IFERROR(__xludf.DUMMYFUNCTION("""COMPUTED_VALUE"""),"")</f>
        <v/>
      </c>
      <c r="V939" s="106" t="str">
        <f>IFERROR(__xludf.DUMMYFUNCTION("""COMPUTED_VALUE"""),"")</f>
        <v/>
      </c>
      <c r="W939" s="143" t="str">
        <f t="shared" si="2"/>
        <v/>
      </c>
      <c r="X939" s="139" t="str">
        <f>IFERROR(__xludf.DUMMYFUNCTION("""COMPUTED_VALUE"""),"")</f>
        <v/>
      </c>
      <c r="Y939" s="141" t="str">
        <f>IFERROR(__xludf.DUMMYFUNCTION("""COMPUTED_VALUE"""),"")</f>
        <v/>
      </c>
    </row>
    <row r="940">
      <c r="C940" s="136" t="str">
        <f t="shared" si="3"/>
        <v/>
      </c>
      <c r="E940" s="106"/>
      <c r="G940" s="106" t="s">
        <v>133</v>
      </c>
      <c r="I940" s="139" t="s">
        <v>133</v>
      </c>
      <c r="J940" s="136" t="s">
        <v>133</v>
      </c>
      <c r="L940" s="136" t="str">
        <f t="shared" si="1"/>
        <v/>
      </c>
      <c r="N940" s="141" t="s">
        <v>133</v>
      </c>
      <c r="O940" s="136" t="str">
        <f>IFERROR(__xludf.DUMMYFUNCTION("""COMPUTED_VALUE"""),"")</f>
        <v/>
      </c>
      <c r="P940" s="136" t="str">
        <f>IFERROR(__xludf.DUMMYFUNCTION("""COMPUTED_VALUE"""),"")</f>
        <v/>
      </c>
      <c r="Q940" s="106" t="str">
        <f>IFERROR(__xludf.DUMMYFUNCTION("""COMPUTED_VALUE"""),"")</f>
        <v/>
      </c>
      <c r="R940" s="106" t="str">
        <f>IFERROR(__xludf.DUMMYFUNCTION("""COMPUTED_VALUE"""),"")</f>
        <v/>
      </c>
      <c r="S940" s="139" t="str">
        <f>IFERROR(__xludf.DUMMYFUNCTION("""COMPUTED_VALUE"""),"")</f>
        <v/>
      </c>
      <c r="T940" s="139" t="str">
        <f>IFERROR(__xludf.DUMMYFUNCTION("""COMPUTED_VALUE"""),"")</f>
        <v/>
      </c>
      <c r="U940" s="136" t="str">
        <f>IFERROR(__xludf.DUMMYFUNCTION("""COMPUTED_VALUE"""),"")</f>
        <v/>
      </c>
      <c r="V940" s="106" t="str">
        <f>IFERROR(__xludf.DUMMYFUNCTION("""COMPUTED_VALUE"""),"")</f>
        <v/>
      </c>
      <c r="W940" s="143" t="str">
        <f t="shared" si="2"/>
        <v/>
      </c>
      <c r="X940" s="139" t="str">
        <f>IFERROR(__xludf.DUMMYFUNCTION("""COMPUTED_VALUE"""),"")</f>
        <v/>
      </c>
      <c r="Y940" s="141" t="str">
        <f>IFERROR(__xludf.DUMMYFUNCTION("""COMPUTED_VALUE"""),"")</f>
        <v/>
      </c>
    </row>
    <row r="941">
      <c r="C941" s="136" t="str">
        <f t="shared" si="3"/>
        <v/>
      </c>
      <c r="E941" s="106"/>
      <c r="G941" s="106" t="s">
        <v>133</v>
      </c>
      <c r="I941" s="139" t="s">
        <v>133</v>
      </c>
      <c r="J941" s="136" t="s">
        <v>133</v>
      </c>
      <c r="L941" s="136" t="str">
        <f t="shared" si="1"/>
        <v/>
      </c>
      <c r="N941" s="141" t="s">
        <v>133</v>
      </c>
      <c r="O941" s="136" t="str">
        <f>IFERROR(__xludf.DUMMYFUNCTION("""COMPUTED_VALUE"""),"")</f>
        <v/>
      </c>
      <c r="P941" s="136" t="str">
        <f>IFERROR(__xludf.DUMMYFUNCTION("""COMPUTED_VALUE"""),"")</f>
        <v/>
      </c>
      <c r="Q941" s="106" t="str">
        <f>IFERROR(__xludf.DUMMYFUNCTION("""COMPUTED_VALUE"""),"")</f>
        <v/>
      </c>
      <c r="R941" s="106" t="str">
        <f>IFERROR(__xludf.DUMMYFUNCTION("""COMPUTED_VALUE"""),"")</f>
        <v/>
      </c>
      <c r="S941" s="139" t="str">
        <f>IFERROR(__xludf.DUMMYFUNCTION("""COMPUTED_VALUE"""),"")</f>
        <v/>
      </c>
      <c r="T941" s="139" t="str">
        <f>IFERROR(__xludf.DUMMYFUNCTION("""COMPUTED_VALUE"""),"")</f>
        <v/>
      </c>
      <c r="U941" s="136" t="str">
        <f>IFERROR(__xludf.DUMMYFUNCTION("""COMPUTED_VALUE"""),"")</f>
        <v/>
      </c>
      <c r="V941" s="106" t="str">
        <f>IFERROR(__xludf.DUMMYFUNCTION("""COMPUTED_VALUE"""),"")</f>
        <v/>
      </c>
      <c r="W941" s="143" t="str">
        <f t="shared" si="2"/>
        <v/>
      </c>
      <c r="X941" s="139" t="str">
        <f>IFERROR(__xludf.DUMMYFUNCTION("""COMPUTED_VALUE"""),"")</f>
        <v/>
      </c>
      <c r="Y941" s="141" t="str">
        <f>IFERROR(__xludf.DUMMYFUNCTION("""COMPUTED_VALUE"""),"")</f>
        <v/>
      </c>
    </row>
    <row r="942">
      <c r="C942" s="136" t="str">
        <f t="shared" si="3"/>
        <v/>
      </c>
      <c r="E942" s="106"/>
      <c r="G942" s="106" t="s">
        <v>133</v>
      </c>
      <c r="I942" s="139" t="s">
        <v>133</v>
      </c>
      <c r="J942" s="136" t="s">
        <v>133</v>
      </c>
      <c r="L942" s="136" t="str">
        <f t="shared" si="1"/>
        <v/>
      </c>
      <c r="N942" s="141" t="s">
        <v>133</v>
      </c>
      <c r="O942" s="136" t="str">
        <f>IFERROR(__xludf.DUMMYFUNCTION("""COMPUTED_VALUE"""),"")</f>
        <v/>
      </c>
      <c r="P942" s="136" t="str">
        <f>IFERROR(__xludf.DUMMYFUNCTION("""COMPUTED_VALUE"""),"")</f>
        <v/>
      </c>
      <c r="Q942" s="106" t="str">
        <f>IFERROR(__xludf.DUMMYFUNCTION("""COMPUTED_VALUE"""),"")</f>
        <v/>
      </c>
      <c r="R942" s="106" t="str">
        <f>IFERROR(__xludf.DUMMYFUNCTION("""COMPUTED_VALUE"""),"")</f>
        <v/>
      </c>
      <c r="S942" s="139" t="str">
        <f>IFERROR(__xludf.DUMMYFUNCTION("""COMPUTED_VALUE"""),"")</f>
        <v/>
      </c>
      <c r="T942" s="139" t="str">
        <f>IFERROR(__xludf.DUMMYFUNCTION("""COMPUTED_VALUE"""),"")</f>
        <v/>
      </c>
      <c r="U942" s="136" t="str">
        <f>IFERROR(__xludf.DUMMYFUNCTION("""COMPUTED_VALUE"""),"")</f>
        <v/>
      </c>
      <c r="V942" s="106" t="str">
        <f>IFERROR(__xludf.DUMMYFUNCTION("""COMPUTED_VALUE"""),"")</f>
        <v/>
      </c>
      <c r="W942" s="143" t="str">
        <f t="shared" si="2"/>
        <v/>
      </c>
      <c r="X942" s="139" t="str">
        <f>IFERROR(__xludf.DUMMYFUNCTION("""COMPUTED_VALUE"""),"")</f>
        <v/>
      </c>
      <c r="Y942" s="141" t="str">
        <f>IFERROR(__xludf.DUMMYFUNCTION("""COMPUTED_VALUE"""),"")</f>
        <v/>
      </c>
    </row>
    <row r="943">
      <c r="C943" s="136" t="str">
        <f t="shared" si="3"/>
        <v/>
      </c>
      <c r="E943" s="106"/>
      <c r="G943" s="106" t="s">
        <v>133</v>
      </c>
      <c r="I943" s="139" t="s">
        <v>133</v>
      </c>
      <c r="J943" s="136" t="s">
        <v>133</v>
      </c>
      <c r="L943" s="136" t="str">
        <f t="shared" si="1"/>
        <v/>
      </c>
      <c r="N943" s="141" t="s">
        <v>133</v>
      </c>
      <c r="O943" s="136" t="str">
        <f>IFERROR(__xludf.DUMMYFUNCTION("""COMPUTED_VALUE"""),"")</f>
        <v/>
      </c>
      <c r="P943" s="136" t="str">
        <f>IFERROR(__xludf.DUMMYFUNCTION("""COMPUTED_VALUE"""),"")</f>
        <v/>
      </c>
      <c r="Q943" s="106" t="str">
        <f>IFERROR(__xludf.DUMMYFUNCTION("""COMPUTED_VALUE"""),"")</f>
        <v/>
      </c>
      <c r="R943" s="106" t="str">
        <f>IFERROR(__xludf.DUMMYFUNCTION("""COMPUTED_VALUE"""),"")</f>
        <v/>
      </c>
      <c r="S943" s="139" t="str">
        <f>IFERROR(__xludf.DUMMYFUNCTION("""COMPUTED_VALUE"""),"")</f>
        <v/>
      </c>
      <c r="T943" s="139" t="str">
        <f>IFERROR(__xludf.DUMMYFUNCTION("""COMPUTED_VALUE"""),"")</f>
        <v/>
      </c>
      <c r="U943" s="136" t="str">
        <f>IFERROR(__xludf.DUMMYFUNCTION("""COMPUTED_VALUE"""),"")</f>
        <v/>
      </c>
      <c r="V943" s="106" t="str">
        <f>IFERROR(__xludf.DUMMYFUNCTION("""COMPUTED_VALUE"""),"")</f>
        <v/>
      </c>
      <c r="W943" s="143" t="str">
        <f t="shared" si="2"/>
        <v/>
      </c>
      <c r="X943" s="139" t="str">
        <f>IFERROR(__xludf.DUMMYFUNCTION("""COMPUTED_VALUE"""),"")</f>
        <v/>
      </c>
      <c r="Y943" s="141" t="str">
        <f>IFERROR(__xludf.DUMMYFUNCTION("""COMPUTED_VALUE"""),"")</f>
        <v/>
      </c>
    </row>
    <row r="944">
      <c r="C944" s="136" t="str">
        <f t="shared" si="3"/>
        <v/>
      </c>
      <c r="E944" s="106"/>
      <c r="G944" s="106" t="s">
        <v>133</v>
      </c>
      <c r="I944" s="139" t="s">
        <v>133</v>
      </c>
      <c r="J944" s="136" t="s">
        <v>133</v>
      </c>
      <c r="L944" s="136" t="str">
        <f t="shared" si="1"/>
        <v/>
      </c>
      <c r="N944" s="141" t="s">
        <v>133</v>
      </c>
      <c r="O944" s="136" t="str">
        <f>IFERROR(__xludf.DUMMYFUNCTION("""COMPUTED_VALUE"""),"")</f>
        <v/>
      </c>
      <c r="P944" s="136" t="str">
        <f>IFERROR(__xludf.DUMMYFUNCTION("""COMPUTED_VALUE"""),"")</f>
        <v/>
      </c>
      <c r="Q944" s="106" t="str">
        <f>IFERROR(__xludf.DUMMYFUNCTION("""COMPUTED_VALUE"""),"")</f>
        <v/>
      </c>
      <c r="R944" s="106" t="str">
        <f>IFERROR(__xludf.DUMMYFUNCTION("""COMPUTED_VALUE"""),"")</f>
        <v/>
      </c>
      <c r="S944" s="139" t="str">
        <f>IFERROR(__xludf.DUMMYFUNCTION("""COMPUTED_VALUE"""),"")</f>
        <v/>
      </c>
      <c r="T944" s="139" t="str">
        <f>IFERROR(__xludf.DUMMYFUNCTION("""COMPUTED_VALUE"""),"")</f>
        <v/>
      </c>
      <c r="U944" s="136" t="str">
        <f>IFERROR(__xludf.DUMMYFUNCTION("""COMPUTED_VALUE"""),"")</f>
        <v/>
      </c>
      <c r="V944" s="106" t="str">
        <f>IFERROR(__xludf.DUMMYFUNCTION("""COMPUTED_VALUE"""),"")</f>
        <v/>
      </c>
      <c r="W944" s="143" t="str">
        <f t="shared" si="2"/>
        <v/>
      </c>
      <c r="X944" s="139" t="str">
        <f>IFERROR(__xludf.DUMMYFUNCTION("""COMPUTED_VALUE"""),"")</f>
        <v/>
      </c>
      <c r="Y944" s="141" t="str">
        <f>IFERROR(__xludf.DUMMYFUNCTION("""COMPUTED_VALUE"""),"")</f>
        <v/>
      </c>
    </row>
    <row r="945">
      <c r="C945" s="136" t="str">
        <f t="shared" si="3"/>
        <v/>
      </c>
      <c r="E945" s="106"/>
      <c r="G945" s="106" t="s">
        <v>133</v>
      </c>
      <c r="I945" s="139" t="s">
        <v>133</v>
      </c>
      <c r="J945" s="136" t="s">
        <v>133</v>
      </c>
      <c r="L945" s="136" t="str">
        <f t="shared" si="1"/>
        <v/>
      </c>
      <c r="N945" s="141" t="s">
        <v>133</v>
      </c>
      <c r="O945" s="136" t="str">
        <f>IFERROR(__xludf.DUMMYFUNCTION("""COMPUTED_VALUE"""),"")</f>
        <v/>
      </c>
      <c r="P945" s="136" t="str">
        <f>IFERROR(__xludf.DUMMYFUNCTION("""COMPUTED_VALUE"""),"")</f>
        <v/>
      </c>
      <c r="Q945" s="106" t="str">
        <f>IFERROR(__xludf.DUMMYFUNCTION("""COMPUTED_VALUE"""),"")</f>
        <v/>
      </c>
      <c r="R945" s="106" t="str">
        <f>IFERROR(__xludf.DUMMYFUNCTION("""COMPUTED_VALUE"""),"")</f>
        <v/>
      </c>
      <c r="S945" s="139" t="str">
        <f>IFERROR(__xludf.DUMMYFUNCTION("""COMPUTED_VALUE"""),"")</f>
        <v/>
      </c>
      <c r="T945" s="139" t="str">
        <f>IFERROR(__xludf.DUMMYFUNCTION("""COMPUTED_VALUE"""),"")</f>
        <v/>
      </c>
      <c r="U945" s="136" t="str">
        <f>IFERROR(__xludf.DUMMYFUNCTION("""COMPUTED_VALUE"""),"")</f>
        <v/>
      </c>
      <c r="V945" s="106" t="str">
        <f>IFERROR(__xludf.DUMMYFUNCTION("""COMPUTED_VALUE"""),"")</f>
        <v/>
      </c>
      <c r="W945" s="143" t="str">
        <f t="shared" si="2"/>
        <v/>
      </c>
      <c r="X945" s="139" t="str">
        <f>IFERROR(__xludf.DUMMYFUNCTION("""COMPUTED_VALUE"""),"")</f>
        <v/>
      </c>
      <c r="Y945" s="141" t="str">
        <f>IFERROR(__xludf.DUMMYFUNCTION("""COMPUTED_VALUE"""),"")</f>
        <v/>
      </c>
    </row>
    <row r="946">
      <c r="C946" s="136" t="str">
        <f t="shared" si="3"/>
        <v/>
      </c>
      <c r="E946" s="106"/>
      <c r="G946" s="106" t="s">
        <v>133</v>
      </c>
      <c r="I946" s="139" t="s">
        <v>133</v>
      </c>
      <c r="J946" s="136" t="s">
        <v>133</v>
      </c>
      <c r="L946" s="136" t="str">
        <f t="shared" si="1"/>
        <v/>
      </c>
      <c r="N946" s="141" t="s">
        <v>133</v>
      </c>
      <c r="O946" s="136" t="str">
        <f>IFERROR(__xludf.DUMMYFUNCTION("""COMPUTED_VALUE"""),"")</f>
        <v/>
      </c>
      <c r="P946" s="136" t="str">
        <f>IFERROR(__xludf.DUMMYFUNCTION("""COMPUTED_VALUE"""),"")</f>
        <v/>
      </c>
      <c r="Q946" s="106" t="str">
        <f>IFERROR(__xludf.DUMMYFUNCTION("""COMPUTED_VALUE"""),"")</f>
        <v/>
      </c>
      <c r="R946" s="106" t="str">
        <f>IFERROR(__xludf.DUMMYFUNCTION("""COMPUTED_VALUE"""),"")</f>
        <v/>
      </c>
      <c r="S946" s="139" t="str">
        <f>IFERROR(__xludf.DUMMYFUNCTION("""COMPUTED_VALUE"""),"")</f>
        <v/>
      </c>
      <c r="T946" s="139" t="str">
        <f>IFERROR(__xludf.DUMMYFUNCTION("""COMPUTED_VALUE"""),"")</f>
        <v/>
      </c>
      <c r="U946" s="136" t="str">
        <f>IFERROR(__xludf.DUMMYFUNCTION("""COMPUTED_VALUE"""),"")</f>
        <v/>
      </c>
      <c r="V946" s="106" t="str">
        <f>IFERROR(__xludf.DUMMYFUNCTION("""COMPUTED_VALUE"""),"")</f>
        <v/>
      </c>
      <c r="W946" s="143" t="str">
        <f t="shared" si="2"/>
        <v/>
      </c>
      <c r="X946" s="139" t="str">
        <f>IFERROR(__xludf.DUMMYFUNCTION("""COMPUTED_VALUE"""),"")</f>
        <v/>
      </c>
      <c r="Y946" s="141" t="str">
        <f>IFERROR(__xludf.DUMMYFUNCTION("""COMPUTED_VALUE"""),"")</f>
        <v/>
      </c>
    </row>
    <row r="947">
      <c r="C947" s="136" t="str">
        <f t="shared" si="3"/>
        <v/>
      </c>
      <c r="E947" s="106"/>
      <c r="G947" s="106" t="s">
        <v>133</v>
      </c>
      <c r="I947" s="139" t="s">
        <v>133</v>
      </c>
      <c r="J947" s="136" t="s">
        <v>133</v>
      </c>
      <c r="L947" s="136" t="str">
        <f t="shared" si="1"/>
        <v/>
      </c>
      <c r="N947" s="141" t="s">
        <v>133</v>
      </c>
      <c r="O947" s="136" t="str">
        <f>IFERROR(__xludf.DUMMYFUNCTION("""COMPUTED_VALUE"""),"")</f>
        <v/>
      </c>
      <c r="P947" s="136" t="str">
        <f>IFERROR(__xludf.DUMMYFUNCTION("""COMPUTED_VALUE"""),"")</f>
        <v/>
      </c>
      <c r="Q947" s="106" t="str">
        <f>IFERROR(__xludf.DUMMYFUNCTION("""COMPUTED_VALUE"""),"")</f>
        <v/>
      </c>
      <c r="R947" s="106" t="str">
        <f>IFERROR(__xludf.DUMMYFUNCTION("""COMPUTED_VALUE"""),"")</f>
        <v/>
      </c>
      <c r="S947" s="139" t="str">
        <f>IFERROR(__xludf.DUMMYFUNCTION("""COMPUTED_VALUE"""),"")</f>
        <v/>
      </c>
      <c r="T947" s="139" t="str">
        <f>IFERROR(__xludf.DUMMYFUNCTION("""COMPUTED_VALUE"""),"")</f>
        <v/>
      </c>
      <c r="U947" s="136" t="str">
        <f>IFERROR(__xludf.DUMMYFUNCTION("""COMPUTED_VALUE"""),"")</f>
        <v/>
      </c>
      <c r="V947" s="106" t="str">
        <f>IFERROR(__xludf.DUMMYFUNCTION("""COMPUTED_VALUE"""),"")</f>
        <v/>
      </c>
      <c r="W947" s="143" t="str">
        <f t="shared" si="2"/>
        <v/>
      </c>
      <c r="X947" s="139" t="str">
        <f>IFERROR(__xludf.DUMMYFUNCTION("""COMPUTED_VALUE"""),"")</f>
        <v/>
      </c>
      <c r="Y947" s="141" t="str">
        <f>IFERROR(__xludf.DUMMYFUNCTION("""COMPUTED_VALUE"""),"")</f>
        <v/>
      </c>
    </row>
    <row r="948">
      <c r="C948" s="136" t="str">
        <f t="shared" si="3"/>
        <v/>
      </c>
      <c r="E948" s="106"/>
      <c r="G948" s="106" t="s">
        <v>133</v>
      </c>
      <c r="I948" s="139" t="s">
        <v>133</v>
      </c>
      <c r="J948" s="136" t="s">
        <v>133</v>
      </c>
      <c r="L948" s="136" t="str">
        <f t="shared" si="1"/>
        <v/>
      </c>
      <c r="N948" s="141" t="s">
        <v>133</v>
      </c>
      <c r="O948" s="136" t="str">
        <f>IFERROR(__xludf.DUMMYFUNCTION("""COMPUTED_VALUE"""),"")</f>
        <v/>
      </c>
      <c r="P948" s="136" t="str">
        <f>IFERROR(__xludf.DUMMYFUNCTION("""COMPUTED_VALUE"""),"")</f>
        <v/>
      </c>
      <c r="Q948" s="106" t="str">
        <f>IFERROR(__xludf.DUMMYFUNCTION("""COMPUTED_VALUE"""),"")</f>
        <v/>
      </c>
      <c r="R948" s="106" t="str">
        <f>IFERROR(__xludf.DUMMYFUNCTION("""COMPUTED_VALUE"""),"")</f>
        <v/>
      </c>
      <c r="S948" s="139" t="str">
        <f>IFERROR(__xludf.DUMMYFUNCTION("""COMPUTED_VALUE"""),"")</f>
        <v/>
      </c>
      <c r="T948" s="139" t="str">
        <f>IFERROR(__xludf.DUMMYFUNCTION("""COMPUTED_VALUE"""),"")</f>
        <v/>
      </c>
      <c r="U948" s="136" t="str">
        <f>IFERROR(__xludf.DUMMYFUNCTION("""COMPUTED_VALUE"""),"")</f>
        <v/>
      </c>
      <c r="V948" s="106" t="str">
        <f>IFERROR(__xludf.DUMMYFUNCTION("""COMPUTED_VALUE"""),"")</f>
        <v/>
      </c>
      <c r="W948" s="143" t="str">
        <f t="shared" si="2"/>
        <v/>
      </c>
      <c r="X948" s="139" t="str">
        <f>IFERROR(__xludf.DUMMYFUNCTION("""COMPUTED_VALUE"""),"")</f>
        <v/>
      </c>
      <c r="Y948" s="141" t="str">
        <f>IFERROR(__xludf.DUMMYFUNCTION("""COMPUTED_VALUE"""),"")</f>
        <v/>
      </c>
    </row>
    <row r="949">
      <c r="C949" s="136" t="str">
        <f t="shared" si="3"/>
        <v/>
      </c>
      <c r="E949" s="106"/>
      <c r="G949" s="106" t="s">
        <v>133</v>
      </c>
      <c r="I949" s="139" t="s">
        <v>133</v>
      </c>
      <c r="J949" s="136" t="s">
        <v>133</v>
      </c>
      <c r="L949" s="136" t="str">
        <f t="shared" si="1"/>
        <v/>
      </c>
      <c r="N949" s="141" t="s">
        <v>133</v>
      </c>
      <c r="O949" s="136" t="str">
        <f>IFERROR(__xludf.DUMMYFUNCTION("""COMPUTED_VALUE"""),"")</f>
        <v/>
      </c>
      <c r="P949" s="136" t="str">
        <f>IFERROR(__xludf.DUMMYFUNCTION("""COMPUTED_VALUE"""),"")</f>
        <v/>
      </c>
      <c r="Q949" s="106" t="str">
        <f>IFERROR(__xludf.DUMMYFUNCTION("""COMPUTED_VALUE"""),"")</f>
        <v/>
      </c>
      <c r="R949" s="106" t="str">
        <f>IFERROR(__xludf.DUMMYFUNCTION("""COMPUTED_VALUE"""),"")</f>
        <v/>
      </c>
      <c r="S949" s="139" t="str">
        <f>IFERROR(__xludf.DUMMYFUNCTION("""COMPUTED_VALUE"""),"")</f>
        <v/>
      </c>
      <c r="T949" s="139" t="str">
        <f>IFERROR(__xludf.DUMMYFUNCTION("""COMPUTED_VALUE"""),"")</f>
        <v/>
      </c>
      <c r="U949" s="136" t="str">
        <f>IFERROR(__xludf.DUMMYFUNCTION("""COMPUTED_VALUE"""),"")</f>
        <v/>
      </c>
      <c r="V949" s="106" t="str">
        <f>IFERROR(__xludf.DUMMYFUNCTION("""COMPUTED_VALUE"""),"")</f>
        <v/>
      </c>
      <c r="W949" s="143" t="str">
        <f t="shared" si="2"/>
        <v/>
      </c>
      <c r="X949" s="139" t="str">
        <f>IFERROR(__xludf.DUMMYFUNCTION("""COMPUTED_VALUE"""),"")</f>
        <v/>
      </c>
      <c r="Y949" s="141" t="str">
        <f>IFERROR(__xludf.DUMMYFUNCTION("""COMPUTED_VALUE"""),"")</f>
        <v/>
      </c>
    </row>
    <row r="950">
      <c r="C950" s="136" t="str">
        <f t="shared" si="3"/>
        <v/>
      </c>
      <c r="E950" s="106"/>
      <c r="G950" s="106" t="s">
        <v>133</v>
      </c>
      <c r="I950" s="139" t="s">
        <v>133</v>
      </c>
      <c r="J950" s="136" t="s">
        <v>133</v>
      </c>
      <c r="L950" s="136" t="str">
        <f t="shared" si="1"/>
        <v/>
      </c>
      <c r="N950" s="141" t="s">
        <v>133</v>
      </c>
      <c r="O950" s="136" t="str">
        <f>IFERROR(__xludf.DUMMYFUNCTION("""COMPUTED_VALUE"""),"")</f>
        <v/>
      </c>
      <c r="P950" s="136" t="str">
        <f>IFERROR(__xludf.DUMMYFUNCTION("""COMPUTED_VALUE"""),"")</f>
        <v/>
      </c>
      <c r="Q950" s="106" t="str">
        <f>IFERROR(__xludf.DUMMYFUNCTION("""COMPUTED_VALUE"""),"")</f>
        <v/>
      </c>
      <c r="R950" s="106" t="str">
        <f>IFERROR(__xludf.DUMMYFUNCTION("""COMPUTED_VALUE"""),"")</f>
        <v/>
      </c>
      <c r="S950" s="139" t="str">
        <f>IFERROR(__xludf.DUMMYFUNCTION("""COMPUTED_VALUE"""),"")</f>
        <v/>
      </c>
      <c r="T950" s="139" t="str">
        <f>IFERROR(__xludf.DUMMYFUNCTION("""COMPUTED_VALUE"""),"")</f>
        <v/>
      </c>
      <c r="U950" s="136" t="str">
        <f>IFERROR(__xludf.DUMMYFUNCTION("""COMPUTED_VALUE"""),"")</f>
        <v/>
      </c>
      <c r="V950" s="106" t="str">
        <f>IFERROR(__xludf.DUMMYFUNCTION("""COMPUTED_VALUE"""),"")</f>
        <v/>
      </c>
      <c r="W950" s="143" t="str">
        <f t="shared" si="2"/>
        <v/>
      </c>
      <c r="X950" s="139" t="str">
        <f>IFERROR(__xludf.DUMMYFUNCTION("""COMPUTED_VALUE"""),"")</f>
        <v/>
      </c>
      <c r="Y950" s="141" t="str">
        <f>IFERROR(__xludf.DUMMYFUNCTION("""COMPUTED_VALUE"""),"")</f>
        <v/>
      </c>
    </row>
    <row r="951">
      <c r="C951" s="136" t="str">
        <f t="shared" si="3"/>
        <v/>
      </c>
      <c r="E951" s="106"/>
      <c r="G951" s="106" t="s">
        <v>133</v>
      </c>
      <c r="I951" s="139" t="s">
        <v>133</v>
      </c>
      <c r="J951" s="136" t="s">
        <v>133</v>
      </c>
      <c r="L951" s="136" t="str">
        <f t="shared" si="1"/>
        <v/>
      </c>
      <c r="N951" s="141" t="s">
        <v>133</v>
      </c>
      <c r="O951" s="136" t="str">
        <f>IFERROR(__xludf.DUMMYFUNCTION("""COMPUTED_VALUE"""),"")</f>
        <v/>
      </c>
      <c r="P951" s="136" t="str">
        <f>IFERROR(__xludf.DUMMYFUNCTION("""COMPUTED_VALUE"""),"")</f>
        <v/>
      </c>
      <c r="Q951" s="106" t="str">
        <f>IFERROR(__xludf.DUMMYFUNCTION("""COMPUTED_VALUE"""),"")</f>
        <v/>
      </c>
      <c r="R951" s="106" t="str">
        <f>IFERROR(__xludf.DUMMYFUNCTION("""COMPUTED_VALUE"""),"")</f>
        <v/>
      </c>
      <c r="S951" s="139" t="str">
        <f>IFERROR(__xludf.DUMMYFUNCTION("""COMPUTED_VALUE"""),"")</f>
        <v/>
      </c>
      <c r="T951" s="139" t="str">
        <f>IFERROR(__xludf.DUMMYFUNCTION("""COMPUTED_VALUE"""),"")</f>
        <v/>
      </c>
      <c r="U951" s="136" t="str">
        <f>IFERROR(__xludf.DUMMYFUNCTION("""COMPUTED_VALUE"""),"")</f>
        <v/>
      </c>
      <c r="V951" s="106" t="str">
        <f>IFERROR(__xludf.DUMMYFUNCTION("""COMPUTED_VALUE"""),"")</f>
        <v/>
      </c>
      <c r="W951" s="143" t="str">
        <f t="shared" si="2"/>
        <v/>
      </c>
      <c r="X951" s="139" t="str">
        <f>IFERROR(__xludf.DUMMYFUNCTION("""COMPUTED_VALUE"""),"")</f>
        <v/>
      </c>
      <c r="Y951" s="141" t="str">
        <f>IFERROR(__xludf.DUMMYFUNCTION("""COMPUTED_VALUE"""),"")</f>
        <v/>
      </c>
    </row>
    <row r="952">
      <c r="C952" s="136" t="str">
        <f t="shared" si="3"/>
        <v/>
      </c>
      <c r="E952" s="106"/>
      <c r="G952" s="106" t="s">
        <v>133</v>
      </c>
      <c r="I952" s="139" t="s">
        <v>133</v>
      </c>
      <c r="J952" s="136" t="s">
        <v>133</v>
      </c>
      <c r="L952" s="136" t="str">
        <f t="shared" si="1"/>
        <v/>
      </c>
      <c r="N952" s="141" t="s">
        <v>133</v>
      </c>
      <c r="O952" s="136" t="str">
        <f>IFERROR(__xludf.DUMMYFUNCTION("""COMPUTED_VALUE"""),"")</f>
        <v/>
      </c>
      <c r="P952" s="136" t="str">
        <f>IFERROR(__xludf.DUMMYFUNCTION("""COMPUTED_VALUE"""),"")</f>
        <v/>
      </c>
      <c r="Q952" s="106" t="str">
        <f>IFERROR(__xludf.DUMMYFUNCTION("""COMPUTED_VALUE"""),"")</f>
        <v/>
      </c>
      <c r="R952" s="106" t="str">
        <f>IFERROR(__xludf.DUMMYFUNCTION("""COMPUTED_VALUE"""),"")</f>
        <v/>
      </c>
      <c r="S952" s="139" t="str">
        <f>IFERROR(__xludf.DUMMYFUNCTION("""COMPUTED_VALUE"""),"")</f>
        <v/>
      </c>
      <c r="T952" s="139" t="str">
        <f>IFERROR(__xludf.DUMMYFUNCTION("""COMPUTED_VALUE"""),"")</f>
        <v/>
      </c>
      <c r="U952" s="136" t="str">
        <f>IFERROR(__xludf.DUMMYFUNCTION("""COMPUTED_VALUE"""),"")</f>
        <v/>
      </c>
      <c r="V952" s="106" t="str">
        <f>IFERROR(__xludf.DUMMYFUNCTION("""COMPUTED_VALUE"""),"")</f>
        <v/>
      </c>
      <c r="W952" s="143" t="str">
        <f t="shared" si="2"/>
        <v/>
      </c>
      <c r="X952" s="139" t="str">
        <f>IFERROR(__xludf.DUMMYFUNCTION("""COMPUTED_VALUE"""),"")</f>
        <v/>
      </c>
      <c r="Y952" s="141" t="str">
        <f>IFERROR(__xludf.DUMMYFUNCTION("""COMPUTED_VALUE"""),"")</f>
        <v/>
      </c>
    </row>
    <row r="953">
      <c r="C953" s="136" t="str">
        <f t="shared" si="3"/>
        <v/>
      </c>
      <c r="E953" s="106"/>
      <c r="G953" s="106" t="s">
        <v>133</v>
      </c>
      <c r="I953" s="139" t="s">
        <v>133</v>
      </c>
      <c r="J953" s="136" t="s">
        <v>133</v>
      </c>
      <c r="L953" s="136" t="str">
        <f t="shared" si="1"/>
        <v/>
      </c>
      <c r="N953" s="141" t="s">
        <v>133</v>
      </c>
      <c r="O953" s="136" t="str">
        <f>IFERROR(__xludf.DUMMYFUNCTION("""COMPUTED_VALUE"""),"")</f>
        <v/>
      </c>
      <c r="P953" s="136" t="str">
        <f>IFERROR(__xludf.DUMMYFUNCTION("""COMPUTED_VALUE"""),"")</f>
        <v/>
      </c>
      <c r="Q953" s="106" t="str">
        <f>IFERROR(__xludf.DUMMYFUNCTION("""COMPUTED_VALUE"""),"")</f>
        <v/>
      </c>
      <c r="R953" s="106" t="str">
        <f>IFERROR(__xludf.DUMMYFUNCTION("""COMPUTED_VALUE"""),"")</f>
        <v/>
      </c>
      <c r="S953" s="139" t="str">
        <f>IFERROR(__xludf.DUMMYFUNCTION("""COMPUTED_VALUE"""),"")</f>
        <v/>
      </c>
      <c r="T953" s="139" t="str">
        <f>IFERROR(__xludf.DUMMYFUNCTION("""COMPUTED_VALUE"""),"")</f>
        <v/>
      </c>
      <c r="U953" s="136" t="str">
        <f>IFERROR(__xludf.DUMMYFUNCTION("""COMPUTED_VALUE"""),"")</f>
        <v/>
      </c>
      <c r="V953" s="106" t="str">
        <f>IFERROR(__xludf.DUMMYFUNCTION("""COMPUTED_VALUE"""),"")</f>
        <v/>
      </c>
      <c r="W953" s="143" t="str">
        <f t="shared" si="2"/>
        <v/>
      </c>
      <c r="X953" s="139" t="str">
        <f>IFERROR(__xludf.DUMMYFUNCTION("""COMPUTED_VALUE"""),"")</f>
        <v/>
      </c>
      <c r="Y953" s="141" t="str">
        <f>IFERROR(__xludf.DUMMYFUNCTION("""COMPUTED_VALUE"""),"")</f>
        <v/>
      </c>
    </row>
    <row r="954">
      <c r="C954" s="136" t="str">
        <f t="shared" si="3"/>
        <v/>
      </c>
      <c r="E954" s="106"/>
      <c r="G954" s="106" t="s">
        <v>133</v>
      </c>
      <c r="I954" s="139" t="s">
        <v>133</v>
      </c>
      <c r="J954" s="136" t="s">
        <v>133</v>
      </c>
      <c r="L954" s="136" t="str">
        <f t="shared" si="1"/>
        <v/>
      </c>
      <c r="N954" s="141" t="s">
        <v>133</v>
      </c>
      <c r="O954" s="136" t="str">
        <f>IFERROR(__xludf.DUMMYFUNCTION("""COMPUTED_VALUE"""),"")</f>
        <v/>
      </c>
      <c r="P954" s="136" t="str">
        <f>IFERROR(__xludf.DUMMYFUNCTION("""COMPUTED_VALUE"""),"")</f>
        <v/>
      </c>
      <c r="Q954" s="106" t="str">
        <f>IFERROR(__xludf.DUMMYFUNCTION("""COMPUTED_VALUE"""),"")</f>
        <v/>
      </c>
      <c r="R954" s="106" t="str">
        <f>IFERROR(__xludf.DUMMYFUNCTION("""COMPUTED_VALUE"""),"")</f>
        <v/>
      </c>
      <c r="S954" s="139" t="str">
        <f>IFERROR(__xludf.DUMMYFUNCTION("""COMPUTED_VALUE"""),"")</f>
        <v/>
      </c>
      <c r="T954" s="139" t="str">
        <f>IFERROR(__xludf.DUMMYFUNCTION("""COMPUTED_VALUE"""),"")</f>
        <v/>
      </c>
      <c r="U954" s="136" t="str">
        <f>IFERROR(__xludf.DUMMYFUNCTION("""COMPUTED_VALUE"""),"")</f>
        <v/>
      </c>
      <c r="V954" s="106" t="str">
        <f>IFERROR(__xludf.DUMMYFUNCTION("""COMPUTED_VALUE"""),"")</f>
        <v/>
      </c>
      <c r="W954" s="143" t="str">
        <f t="shared" si="2"/>
        <v/>
      </c>
      <c r="X954" s="139" t="str">
        <f>IFERROR(__xludf.DUMMYFUNCTION("""COMPUTED_VALUE"""),"")</f>
        <v/>
      </c>
      <c r="Y954" s="141" t="str">
        <f>IFERROR(__xludf.DUMMYFUNCTION("""COMPUTED_VALUE"""),"")</f>
        <v/>
      </c>
    </row>
    <row r="955">
      <c r="C955" s="136" t="str">
        <f t="shared" si="3"/>
        <v/>
      </c>
      <c r="E955" s="106"/>
      <c r="G955" s="106" t="s">
        <v>133</v>
      </c>
      <c r="I955" s="139" t="s">
        <v>133</v>
      </c>
      <c r="J955" s="136" t="s">
        <v>133</v>
      </c>
      <c r="L955" s="136" t="str">
        <f t="shared" si="1"/>
        <v/>
      </c>
      <c r="N955" s="141" t="s">
        <v>133</v>
      </c>
      <c r="O955" s="136" t="str">
        <f>IFERROR(__xludf.DUMMYFUNCTION("""COMPUTED_VALUE"""),"")</f>
        <v/>
      </c>
      <c r="P955" s="136" t="str">
        <f>IFERROR(__xludf.DUMMYFUNCTION("""COMPUTED_VALUE"""),"")</f>
        <v/>
      </c>
      <c r="Q955" s="106" t="str">
        <f>IFERROR(__xludf.DUMMYFUNCTION("""COMPUTED_VALUE"""),"")</f>
        <v/>
      </c>
      <c r="R955" s="106" t="str">
        <f>IFERROR(__xludf.DUMMYFUNCTION("""COMPUTED_VALUE"""),"")</f>
        <v/>
      </c>
      <c r="S955" s="139" t="str">
        <f>IFERROR(__xludf.DUMMYFUNCTION("""COMPUTED_VALUE"""),"")</f>
        <v/>
      </c>
      <c r="T955" s="139" t="str">
        <f>IFERROR(__xludf.DUMMYFUNCTION("""COMPUTED_VALUE"""),"")</f>
        <v/>
      </c>
      <c r="U955" s="136" t="str">
        <f>IFERROR(__xludf.DUMMYFUNCTION("""COMPUTED_VALUE"""),"")</f>
        <v/>
      </c>
      <c r="V955" s="106" t="str">
        <f>IFERROR(__xludf.DUMMYFUNCTION("""COMPUTED_VALUE"""),"")</f>
        <v/>
      </c>
      <c r="W955" s="143" t="str">
        <f t="shared" si="2"/>
        <v/>
      </c>
      <c r="X955" s="139" t="str">
        <f>IFERROR(__xludf.DUMMYFUNCTION("""COMPUTED_VALUE"""),"")</f>
        <v/>
      </c>
      <c r="Y955" s="141" t="str">
        <f>IFERROR(__xludf.DUMMYFUNCTION("""COMPUTED_VALUE"""),"")</f>
        <v/>
      </c>
    </row>
    <row r="956">
      <c r="C956" s="136" t="str">
        <f t="shared" si="3"/>
        <v/>
      </c>
      <c r="E956" s="106"/>
      <c r="G956" s="106" t="s">
        <v>133</v>
      </c>
      <c r="I956" s="139" t="s">
        <v>133</v>
      </c>
      <c r="J956" s="136" t="s">
        <v>133</v>
      </c>
      <c r="L956" s="136" t="str">
        <f t="shared" si="1"/>
        <v/>
      </c>
      <c r="N956" s="141" t="s">
        <v>133</v>
      </c>
      <c r="O956" s="136" t="str">
        <f>IFERROR(__xludf.DUMMYFUNCTION("""COMPUTED_VALUE"""),"")</f>
        <v/>
      </c>
      <c r="P956" s="136" t="str">
        <f>IFERROR(__xludf.DUMMYFUNCTION("""COMPUTED_VALUE"""),"")</f>
        <v/>
      </c>
      <c r="Q956" s="106" t="str">
        <f>IFERROR(__xludf.DUMMYFUNCTION("""COMPUTED_VALUE"""),"")</f>
        <v/>
      </c>
      <c r="R956" s="106" t="str">
        <f>IFERROR(__xludf.DUMMYFUNCTION("""COMPUTED_VALUE"""),"")</f>
        <v/>
      </c>
      <c r="S956" s="139" t="str">
        <f>IFERROR(__xludf.DUMMYFUNCTION("""COMPUTED_VALUE"""),"")</f>
        <v/>
      </c>
      <c r="T956" s="139" t="str">
        <f>IFERROR(__xludf.DUMMYFUNCTION("""COMPUTED_VALUE"""),"")</f>
        <v/>
      </c>
      <c r="U956" s="136" t="str">
        <f>IFERROR(__xludf.DUMMYFUNCTION("""COMPUTED_VALUE"""),"")</f>
        <v/>
      </c>
      <c r="V956" s="106" t="str">
        <f>IFERROR(__xludf.DUMMYFUNCTION("""COMPUTED_VALUE"""),"")</f>
        <v/>
      </c>
      <c r="W956" s="143" t="str">
        <f t="shared" si="2"/>
        <v/>
      </c>
      <c r="X956" s="139" t="str">
        <f>IFERROR(__xludf.DUMMYFUNCTION("""COMPUTED_VALUE"""),"")</f>
        <v/>
      </c>
      <c r="Y956" s="141" t="str">
        <f>IFERROR(__xludf.DUMMYFUNCTION("""COMPUTED_VALUE"""),"")</f>
        <v/>
      </c>
    </row>
    <row r="957">
      <c r="C957" s="136" t="str">
        <f t="shared" si="3"/>
        <v/>
      </c>
      <c r="E957" s="106"/>
      <c r="G957" s="106" t="s">
        <v>133</v>
      </c>
      <c r="I957" s="139" t="s">
        <v>133</v>
      </c>
      <c r="J957" s="136" t="s">
        <v>133</v>
      </c>
      <c r="L957" s="136" t="str">
        <f t="shared" si="1"/>
        <v/>
      </c>
      <c r="N957" s="141" t="s">
        <v>133</v>
      </c>
      <c r="O957" s="136" t="str">
        <f>IFERROR(__xludf.DUMMYFUNCTION("""COMPUTED_VALUE"""),"")</f>
        <v/>
      </c>
      <c r="P957" s="136" t="str">
        <f>IFERROR(__xludf.DUMMYFUNCTION("""COMPUTED_VALUE"""),"")</f>
        <v/>
      </c>
      <c r="Q957" s="106" t="str">
        <f>IFERROR(__xludf.DUMMYFUNCTION("""COMPUTED_VALUE"""),"")</f>
        <v/>
      </c>
      <c r="R957" s="106" t="str">
        <f>IFERROR(__xludf.DUMMYFUNCTION("""COMPUTED_VALUE"""),"")</f>
        <v/>
      </c>
      <c r="S957" s="139" t="str">
        <f>IFERROR(__xludf.DUMMYFUNCTION("""COMPUTED_VALUE"""),"")</f>
        <v/>
      </c>
      <c r="T957" s="139" t="str">
        <f>IFERROR(__xludf.DUMMYFUNCTION("""COMPUTED_VALUE"""),"")</f>
        <v/>
      </c>
      <c r="U957" s="136" t="str">
        <f>IFERROR(__xludf.DUMMYFUNCTION("""COMPUTED_VALUE"""),"")</f>
        <v/>
      </c>
      <c r="V957" s="106" t="str">
        <f>IFERROR(__xludf.DUMMYFUNCTION("""COMPUTED_VALUE"""),"")</f>
        <v/>
      </c>
      <c r="W957" s="143" t="str">
        <f t="shared" si="2"/>
        <v/>
      </c>
      <c r="X957" s="139" t="str">
        <f>IFERROR(__xludf.DUMMYFUNCTION("""COMPUTED_VALUE"""),"")</f>
        <v/>
      </c>
      <c r="Y957" s="141" t="str">
        <f>IFERROR(__xludf.DUMMYFUNCTION("""COMPUTED_VALUE"""),"")</f>
        <v/>
      </c>
    </row>
    <row r="958">
      <c r="C958" s="136" t="str">
        <f t="shared" si="3"/>
        <v/>
      </c>
      <c r="E958" s="106"/>
      <c r="G958" s="106" t="s">
        <v>133</v>
      </c>
      <c r="I958" s="139" t="s">
        <v>133</v>
      </c>
      <c r="J958" s="136" t="s">
        <v>133</v>
      </c>
      <c r="L958" s="136" t="str">
        <f t="shared" si="1"/>
        <v/>
      </c>
      <c r="N958" s="141" t="s">
        <v>133</v>
      </c>
      <c r="O958" s="136" t="str">
        <f>IFERROR(__xludf.DUMMYFUNCTION("""COMPUTED_VALUE"""),"")</f>
        <v/>
      </c>
      <c r="P958" s="136" t="str">
        <f>IFERROR(__xludf.DUMMYFUNCTION("""COMPUTED_VALUE"""),"")</f>
        <v/>
      </c>
      <c r="Q958" s="106" t="str">
        <f>IFERROR(__xludf.DUMMYFUNCTION("""COMPUTED_VALUE"""),"")</f>
        <v/>
      </c>
      <c r="R958" s="106" t="str">
        <f>IFERROR(__xludf.DUMMYFUNCTION("""COMPUTED_VALUE"""),"")</f>
        <v/>
      </c>
      <c r="S958" s="139" t="str">
        <f>IFERROR(__xludf.DUMMYFUNCTION("""COMPUTED_VALUE"""),"")</f>
        <v/>
      </c>
      <c r="T958" s="139" t="str">
        <f>IFERROR(__xludf.DUMMYFUNCTION("""COMPUTED_VALUE"""),"")</f>
        <v/>
      </c>
      <c r="U958" s="136" t="str">
        <f>IFERROR(__xludf.DUMMYFUNCTION("""COMPUTED_VALUE"""),"")</f>
        <v/>
      </c>
      <c r="V958" s="106" t="str">
        <f>IFERROR(__xludf.DUMMYFUNCTION("""COMPUTED_VALUE"""),"")</f>
        <v/>
      </c>
      <c r="W958" s="143" t="str">
        <f t="shared" si="2"/>
        <v/>
      </c>
      <c r="X958" s="139" t="str">
        <f>IFERROR(__xludf.DUMMYFUNCTION("""COMPUTED_VALUE"""),"")</f>
        <v/>
      </c>
      <c r="Y958" s="141" t="str">
        <f>IFERROR(__xludf.DUMMYFUNCTION("""COMPUTED_VALUE"""),"")</f>
        <v/>
      </c>
    </row>
    <row r="959">
      <c r="C959" s="136" t="str">
        <f t="shared" si="3"/>
        <v/>
      </c>
      <c r="E959" s="106"/>
      <c r="G959" s="106" t="s">
        <v>133</v>
      </c>
      <c r="I959" s="139" t="s">
        <v>133</v>
      </c>
      <c r="J959" s="136" t="s">
        <v>133</v>
      </c>
      <c r="L959" s="136" t="str">
        <f t="shared" si="1"/>
        <v/>
      </c>
      <c r="N959" s="141" t="s">
        <v>133</v>
      </c>
      <c r="O959" s="136" t="str">
        <f>IFERROR(__xludf.DUMMYFUNCTION("""COMPUTED_VALUE"""),"")</f>
        <v/>
      </c>
      <c r="P959" s="136" t="str">
        <f>IFERROR(__xludf.DUMMYFUNCTION("""COMPUTED_VALUE"""),"")</f>
        <v/>
      </c>
      <c r="Q959" s="106" t="str">
        <f>IFERROR(__xludf.DUMMYFUNCTION("""COMPUTED_VALUE"""),"")</f>
        <v/>
      </c>
      <c r="R959" s="106" t="str">
        <f>IFERROR(__xludf.DUMMYFUNCTION("""COMPUTED_VALUE"""),"")</f>
        <v/>
      </c>
      <c r="S959" s="139" t="str">
        <f>IFERROR(__xludf.DUMMYFUNCTION("""COMPUTED_VALUE"""),"")</f>
        <v/>
      </c>
      <c r="T959" s="139" t="str">
        <f>IFERROR(__xludf.DUMMYFUNCTION("""COMPUTED_VALUE"""),"")</f>
        <v/>
      </c>
      <c r="U959" s="136" t="str">
        <f>IFERROR(__xludf.DUMMYFUNCTION("""COMPUTED_VALUE"""),"")</f>
        <v/>
      </c>
      <c r="V959" s="106" t="str">
        <f>IFERROR(__xludf.DUMMYFUNCTION("""COMPUTED_VALUE"""),"")</f>
        <v/>
      </c>
      <c r="W959" s="143" t="str">
        <f t="shared" si="2"/>
        <v/>
      </c>
      <c r="X959" s="139" t="str">
        <f>IFERROR(__xludf.DUMMYFUNCTION("""COMPUTED_VALUE"""),"")</f>
        <v/>
      </c>
      <c r="Y959" s="141" t="str">
        <f>IFERROR(__xludf.DUMMYFUNCTION("""COMPUTED_VALUE"""),"")</f>
        <v/>
      </c>
    </row>
    <row r="960">
      <c r="C960" s="136" t="str">
        <f t="shared" si="3"/>
        <v/>
      </c>
      <c r="E960" s="106"/>
      <c r="G960" s="106" t="s">
        <v>133</v>
      </c>
      <c r="I960" s="139" t="s">
        <v>133</v>
      </c>
      <c r="J960" s="136" t="s">
        <v>133</v>
      </c>
      <c r="L960" s="136" t="str">
        <f t="shared" si="1"/>
        <v/>
      </c>
      <c r="N960" s="141" t="s">
        <v>133</v>
      </c>
      <c r="O960" s="136" t="str">
        <f>IFERROR(__xludf.DUMMYFUNCTION("""COMPUTED_VALUE"""),"")</f>
        <v/>
      </c>
      <c r="P960" s="136" t="str">
        <f>IFERROR(__xludf.DUMMYFUNCTION("""COMPUTED_VALUE"""),"")</f>
        <v/>
      </c>
      <c r="Q960" s="106" t="str">
        <f>IFERROR(__xludf.DUMMYFUNCTION("""COMPUTED_VALUE"""),"")</f>
        <v/>
      </c>
      <c r="R960" s="106" t="str">
        <f>IFERROR(__xludf.DUMMYFUNCTION("""COMPUTED_VALUE"""),"")</f>
        <v/>
      </c>
      <c r="S960" s="139" t="str">
        <f>IFERROR(__xludf.DUMMYFUNCTION("""COMPUTED_VALUE"""),"")</f>
        <v/>
      </c>
      <c r="T960" s="139" t="str">
        <f>IFERROR(__xludf.DUMMYFUNCTION("""COMPUTED_VALUE"""),"")</f>
        <v/>
      </c>
      <c r="U960" s="136" t="str">
        <f>IFERROR(__xludf.DUMMYFUNCTION("""COMPUTED_VALUE"""),"")</f>
        <v/>
      </c>
      <c r="V960" s="106" t="str">
        <f>IFERROR(__xludf.DUMMYFUNCTION("""COMPUTED_VALUE"""),"")</f>
        <v/>
      </c>
      <c r="W960" s="143" t="str">
        <f t="shared" si="2"/>
        <v/>
      </c>
      <c r="X960" s="139" t="str">
        <f>IFERROR(__xludf.DUMMYFUNCTION("""COMPUTED_VALUE"""),"")</f>
        <v/>
      </c>
      <c r="Y960" s="141" t="str">
        <f>IFERROR(__xludf.DUMMYFUNCTION("""COMPUTED_VALUE"""),"")</f>
        <v/>
      </c>
    </row>
    <row r="961">
      <c r="C961" s="136" t="str">
        <f t="shared" si="3"/>
        <v/>
      </c>
      <c r="E961" s="106"/>
      <c r="G961" s="106" t="s">
        <v>133</v>
      </c>
      <c r="I961" s="139" t="s">
        <v>133</v>
      </c>
      <c r="J961" s="136" t="s">
        <v>133</v>
      </c>
      <c r="L961" s="136" t="str">
        <f t="shared" si="1"/>
        <v/>
      </c>
      <c r="N961" s="141" t="s">
        <v>133</v>
      </c>
      <c r="O961" s="136" t="str">
        <f>IFERROR(__xludf.DUMMYFUNCTION("""COMPUTED_VALUE"""),"")</f>
        <v/>
      </c>
      <c r="P961" s="136" t="str">
        <f>IFERROR(__xludf.DUMMYFUNCTION("""COMPUTED_VALUE"""),"")</f>
        <v/>
      </c>
      <c r="Q961" s="106" t="str">
        <f>IFERROR(__xludf.DUMMYFUNCTION("""COMPUTED_VALUE"""),"")</f>
        <v/>
      </c>
      <c r="R961" s="106" t="str">
        <f>IFERROR(__xludf.DUMMYFUNCTION("""COMPUTED_VALUE"""),"")</f>
        <v/>
      </c>
      <c r="S961" s="139" t="str">
        <f>IFERROR(__xludf.DUMMYFUNCTION("""COMPUTED_VALUE"""),"")</f>
        <v/>
      </c>
      <c r="T961" s="139" t="str">
        <f>IFERROR(__xludf.DUMMYFUNCTION("""COMPUTED_VALUE"""),"")</f>
        <v/>
      </c>
      <c r="U961" s="136" t="str">
        <f>IFERROR(__xludf.DUMMYFUNCTION("""COMPUTED_VALUE"""),"")</f>
        <v/>
      </c>
      <c r="V961" s="106" t="str">
        <f>IFERROR(__xludf.DUMMYFUNCTION("""COMPUTED_VALUE"""),"")</f>
        <v/>
      </c>
      <c r="W961" s="143" t="str">
        <f t="shared" si="2"/>
        <v/>
      </c>
      <c r="X961" s="139" t="str">
        <f>IFERROR(__xludf.DUMMYFUNCTION("""COMPUTED_VALUE"""),"")</f>
        <v/>
      </c>
      <c r="Y961" s="141" t="str">
        <f>IFERROR(__xludf.DUMMYFUNCTION("""COMPUTED_VALUE"""),"")</f>
        <v/>
      </c>
    </row>
    <row r="962">
      <c r="C962" s="136" t="str">
        <f t="shared" si="3"/>
        <v/>
      </c>
      <c r="E962" s="106"/>
      <c r="G962" s="106" t="s">
        <v>133</v>
      </c>
      <c r="I962" s="139" t="s">
        <v>133</v>
      </c>
      <c r="J962" s="136" t="s">
        <v>133</v>
      </c>
      <c r="L962" s="136" t="str">
        <f t="shared" si="1"/>
        <v/>
      </c>
      <c r="N962" s="141" t="s">
        <v>133</v>
      </c>
      <c r="O962" s="136" t="str">
        <f>IFERROR(__xludf.DUMMYFUNCTION("""COMPUTED_VALUE"""),"")</f>
        <v/>
      </c>
      <c r="P962" s="136" t="str">
        <f>IFERROR(__xludf.DUMMYFUNCTION("""COMPUTED_VALUE"""),"")</f>
        <v/>
      </c>
      <c r="Q962" s="106" t="str">
        <f>IFERROR(__xludf.DUMMYFUNCTION("""COMPUTED_VALUE"""),"")</f>
        <v/>
      </c>
      <c r="R962" s="106" t="str">
        <f>IFERROR(__xludf.DUMMYFUNCTION("""COMPUTED_VALUE"""),"")</f>
        <v/>
      </c>
      <c r="S962" s="139" t="str">
        <f>IFERROR(__xludf.DUMMYFUNCTION("""COMPUTED_VALUE"""),"")</f>
        <v/>
      </c>
      <c r="T962" s="139" t="str">
        <f>IFERROR(__xludf.DUMMYFUNCTION("""COMPUTED_VALUE"""),"")</f>
        <v/>
      </c>
      <c r="U962" s="136" t="str">
        <f>IFERROR(__xludf.DUMMYFUNCTION("""COMPUTED_VALUE"""),"")</f>
        <v/>
      </c>
      <c r="V962" s="106" t="str">
        <f>IFERROR(__xludf.DUMMYFUNCTION("""COMPUTED_VALUE"""),"")</f>
        <v/>
      </c>
      <c r="W962" s="143" t="str">
        <f t="shared" si="2"/>
        <v/>
      </c>
      <c r="X962" s="139" t="str">
        <f>IFERROR(__xludf.DUMMYFUNCTION("""COMPUTED_VALUE"""),"")</f>
        <v/>
      </c>
      <c r="Y962" s="141" t="str">
        <f>IFERROR(__xludf.DUMMYFUNCTION("""COMPUTED_VALUE"""),"")</f>
        <v/>
      </c>
    </row>
    <row r="963">
      <c r="C963" s="136" t="str">
        <f t="shared" si="3"/>
        <v/>
      </c>
      <c r="E963" s="106"/>
      <c r="G963" s="106" t="s">
        <v>133</v>
      </c>
      <c r="I963" s="139" t="s">
        <v>133</v>
      </c>
      <c r="J963" s="136" t="s">
        <v>133</v>
      </c>
      <c r="L963" s="136" t="str">
        <f t="shared" si="1"/>
        <v/>
      </c>
      <c r="N963" s="141" t="s">
        <v>133</v>
      </c>
      <c r="O963" s="136" t="str">
        <f>IFERROR(__xludf.DUMMYFUNCTION("""COMPUTED_VALUE"""),"")</f>
        <v/>
      </c>
      <c r="P963" s="136" t="str">
        <f>IFERROR(__xludf.DUMMYFUNCTION("""COMPUTED_VALUE"""),"")</f>
        <v/>
      </c>
      <c r="Q963" s="106" t="str">
        <f>IFERROR(__xludf.DUMMYFUNCTION("""COMPUTED_VALUE"""),"")</f>
        <v/>
      </c>
      <c r="R963" s="106" t="str">
        <f>IFERROR(__xludf.DUMMYFUNCTION("""COMPUTED_VALUE"""),"")</f>
        <v/>
      </c>
      <c r="S963" s="139" t="str">
        <f>IFERROR(__xludf.DUMMYFUNCTION("""COMPUTED_VALUE"""),"")</f>
        <v/>
      </c>
      <c r="T963" s="139" t="str">
        <f>IFERROR(__xludf.DUMMYFUNCTION("""COMPUTED_VALUE"""),"")</f>
        <v/>
      </c>
      <c r="U963" s="136" t="str">
        <f>IFERROR(__xludf.DUMMYFUNCTION("""COMPUTED_VALUE"""),"")</f>
        <v/>
      </c>
      <c r="V963" s="106" t="str">
        <f>IFERROR(__xludf.DUMMYFUNCTION("""COMPUTED_VALUE"""),"")</f>
        <v/>
      </c>
      <c r="W963" s="143" t="str">
        <f t="shared" si="2"/>
        <v/>
      </c>
      <c r="X963" s="139" t="str">
        <f>IFERROR(__xludf.DUMMYFUNCTION("""COMPUTED_VALUE"""),"")</f>
        <v/>
      </c>
      <c r="Y963" s="141" t="str">
        <f>IFERROR(__xludf.DUMMYFUNCTION("""COMPUTED_VALUE"""),"")</f>
        <v/>
      </c>
    </row>
    <row r="964">
      <c r="C964" s="136" t="str">
        <f t="shared" si="3"/>
        <v/>
      </c>
      <c r="E964" s="106"/>
      <c r="G964" s="106" t="s">
        <v>133</v>
      </c>
      <c r="I964" s="139" t="s">
        <v>133</v>
      </c>
      <c r="J964" s="136" t="s">
        <v>133</v>
      </c>
      <c r="L964" s="136" t="str">
        <f t="shared" si="1"/>
        <v/>
      </c>
      <c r="N964" s="141" t="s">
        <v>133</v>
      </c>
      <c r="O964" s="136" t="str">
        <f>IFERROR(__xludf.DUMMYFUNCTION("""COMPUTED_VALUE"""),"")</f>
        <v/>
      </c>
      <c r="P964" s="136" t="str">
        <f>IFERROR(__xludf.DUMMYFUNCTION("""COMPUTED_VALUE"""),"")</f>
        <v/>
      </c>
      <c r="Q964" s="106" t="str">
        <f>IFERROR(__xludf.DUMMYFUNCTION("""COMPUTED_VALUE"""),"")</f>
        <v/>
      </c>
      <c r="R964" s="106" t="str">
        <f>IFERROR(__xludf.DUMMYFUNCTION("""COMPUTED_VALUE"""),"")</f>
        <v/>
      </c>
      <c r="S964" s="139" t="str">
        <f>IFERROR(__xludf.DUMMYFUNCTION("""COMPUTED_VALUE"""),"")</f>
        <v/>
      </c>
      <c r="T964" s="139" t="str">
        <f>IFERROR(__xludf.DUMMYFUNCTION("""COMPUTED_VALUE"""),"")</f>
        <v/>
      </c>
      <c r="U964" s="136" t="str">
        <f>IFERROR(__xludf.DUMMYFUNCTION("""COMPUTED_VALUE"""),"")</f>
        <v/>
      </c>
      <c r="V964" s="106" t="str">
        <f>IFERROR(__xludf.DUMMYFUNCTION("""COMPUTED_VALUE"""),"")</f>
        <v/>
      </c>
      <c r="W964" s="143" t="str">
        <f t="shared" si="2"/>
        <v/>
      </c>
      <c r="X964" s="139" t="str">
        <f>IFERROR(__xludf.DUMMYFUNCTION("""COMPUTED_VALUE"""),"")</f>
        <v/>
      </c>
      <c r="Y964" s="141" t="str">
        <f>IFERROR(__xludf.DUMMYFUNCTION("""COMPUTED_VALUE"""),"")</f>
        <v/>
      </c>
    </row>
    <row r="965">
      <c r="C965" s="136" t="str">
        <f t="shared" si="3"/>
        <v/>
      </c>
      <c r="E965" s="106"/>
      <c r="G965" s="106" t="s">
        <v>133</v>
      </c>
      <c r="I965" s="139" t="s">
        <v>133</v>
      </c>
      <c r="J965" s="136" t="s">
        <v>133</v>
      </c>
      <c r="L965" s="136" t="str">
        <f t="shared" si="1"/>
        <v/>
      </c>
      <c r="N965" s="141" t="s">
        <v>133</v>
      </c>
      <c r="O965" s="136" t="str">
        <f>IFERROR(__xludf.DUMMYFUNCTION("""COMPUTED_VALUE"""),"")</f>
        <v/>
      </c>
      <c r="P965" s="136" t="str">
        <f>IFERROR(__xludf.DUMMYFUNCTION("""COMPUTED_VALUE"""),"")</f>
        <v/>
      </c>
      <c r="Q965" s="106" t="str">
        <f>IFERROR(__xludf.DUMMYFUNCTION("""COMPUTED_VALUE"""),"")</f>
        <v/>
      </c>
      <c r="R965" s="106" t="str">
        <f>IFERROR(__xludf.DUMMYFUNCTION("""COMPUTED_VALUE"""),"")</f>
        <v/>
      </c>
      <c r="S965" s="139" t="str">
        <f>IFERROR(__xludf.DUMMYFUNCTION("""COMPUTED_VALUE"""),"")</f>
        <v/>
      </c>
      <c r="T965" s="139" t="str">
        <f>IFERROR(__xludf.DUMMYFUNCTION("""COMPUTED_VALUE"""),"")</f>
        <v/>
      </c>
      <c r="U965" s="136" t="str">
        <f>IFERROR(__xludf.DUMMYFUNCTION("""COMPUTED_VALUE"""),"")</f>
        <v/>
      </c>
      <c r="V965" s="106" t="str">
        <f>IFERROR(__xludf.DUMMYFUNCTION("""COMPUTED_VALUE"""),"")</f>
        <v/>
      </c>
      <c r="W965" s="143" t="str">
        <f t="shared" si="2"/>
        <v/>
      </c>
      <c r="X965" s="139" t="str">
        <f>IFERROR(__xludf.DUMMYFUNCTION("""COMPUTED_VALUE"""),"")</f>
        <v/>
      </c>
      <c r="Y965" s="141" t="str">
        <f>IFERROR(__xludf.DUMMYFUNCTION("""COMPUTED_VALUE"""),"")</f>
        <v/>
      </c>
    </row>
    <row r="966">
      <c r="C966" s="136" t="str">
        <f t="shared" si="3"/>
        <v/>
      </c>
      <c r="E966" s="106"/>
      <c r="G966" s="106" t="s">
        <v>133</v>
      </c>
      <c r="I966" s="139" t="s">
        <v>133</v>
      </c>
      <c r="J966" s="136" t="s">
        <v>133</v>
      </c>
      <c r="L966" s="136" t="str">
        <f t="shared" si="1"/>
        <v/>
      </c>
      <c r="N966" s="141" t="s">
        <v>133</v>
      </c>
      <c r="O966" s="136" t="str">
        <f>IFERROR(__xludf.DUMMYFUNCTION("""COMPUTED_VALUE"""),"")</f>
        <v/>
      </c>
      <c r="P966" s="136" t="str">
        <f>IFERROR(__xludf.DUMMYFUNCTION("""COMPUTED_VALUE"""),"")</f>
        <v/>
      </c>
      <c r="Q966" s="106" t="str">
        <f>IFERROR(__xludf.DUMMYFUNCTION("""COMPUTED_VALUE"""),"")</f>
        <v/>
      </c>
      <c r="R966" s="106" t="str">
        <f>IFERROR(__xludf.DUMMYFUNCTION("""COMPUTED_VALUE"""),"")</f>
        <v/>
      </c>
      <c r="S966" s="139" t="str">
        <f>IFERROR(__xludf.DUMMYFUNCTION("""COMPUTED_VALUE"""),"")</f>
        <v/>
      </c>
      <c r="T966" s="139" t="str">
        <f>IFERROR(__xludf.DUMMYFUNCTION("""COMPUTED_VALUE"""),"")</f>
        <v/>
      </c>
      <c r="U966" s="136" t="str">
        <f>IFERROR(__xludf.DUMMYFUNCTION("""COMPUTED_VALUE"""),"")</f>
        <v/>
      </c>
      <c r="V966" s="106" t="str">
        <f>IFERROR(__xludf.DUMMYFUNCTION("""COMPUTED_VALUE"""),"")</f>
        <v/>
      </c>
      <c r="W966" s="143" t="str">
        <f t="shared" si="2"/>
        <v/>
      </c>
      <c r="X966" s="139" t="str">
        <f>IFERROR(__xludf.DUMMYFUNCTION("""COMPUTED_VALUE"""),"")</f>
        <v/>
      </c>
      <c r="Y966" s="141" t="str">
        <f>IFERROR(__xludf.DUMMYFUNCTION("""COMPUTED_VALUE"""),"")</f>
        <v/>
      </c>
    </row>
    <row r="967">
      <c r="C967" s="136" t="str">
        <f t="shared" si="3"/>
        <v/>
      </c>
      <c r="E967" s="106"/>
      <c r="G967" s="106" t="s">
        <v>133</v>
      </c>
      <c r="I967" s="139" t="s">
        <v>133</v>
      </c>
      <c r="J967" s="136" t="s">
        <v>133</v>
      </c>
      <c r="L967" s="136" t="str">
        <f t="shared" si="1"/>
        <v/>
      </c>
      <c r="N967" s="141" t="s">
        <v>133</v>
      </c>
      <c r="O967" s="136" t="str">
        <f>IFERROR(__xludf.DUMMYFUNCTION("""COMPUTED_VALUE"""),"")</f>
        <v/>
      </c>
      <c r="P967" s="136" t="str">
        <f>IFERROR(__xludf.DUMMYFUNCTION("""COMPUTED_VALUE"""),"")</f>
        <v/>
      </c>
      <c r="Q967" s="106" t="str">
        <f>IFERROR(__xludf.DUMMYFUNCTION("""COMPUTED_VALUE"""),"")</f>
        <v/>
      </c>
      <c r="R967" s="106" t="str">
        <f>IFERROR(__xludf.DUMMYFUNCTION("""COMPUTED_VALUE"""),"")</f>
        <v/>
      </c>
      <c r="S967" s="139" t="str">
        <f>IFERROR(__xludf.DUMMYFUNCTION("""COMPUTED_VALUE"""),"")</f>
        <v/>
      </c>
      <c r="T967" s="139" t="str">
        <f>IFERROR(__xludf.DUMMYFUNCTION("""COMPUTED_VALUE"""),"")</f>
        <v/>
      </c>
      <c r="U967" s="136" t="str">
        <f>IFERROR(__xludf.DUMMYFUNCTION("""COMPUTED_VALUE"""),"")</f>
        <v/>
      </c>
      <c r="V967" s="106" t="str">
        <f>IFERROR(__xludf.DUMMYFUNCTION("""COMPUTED_VALUE"""),"")</f>
        <v/>
      </c>
      <c r="W967" s="143" t="str">
        <f t="shared" si="2"/>
        <v/>
      </c>
      <c r="X967" s="139" t="str">
        <f>IFERROR(__xludf.DUMMYFUNCTION("""COMPUTED_VALUE"""),"")</f>
        <v/>
      </c>
      <c r="Y967" s="141" t="str">
        <f>IFERROR(__xludf.DUMMYFUNCTION("""COMPUTED_VALUE"""),"")</f>
        <v/>
      </c>
    </row>
    <row r="968">
      <c r="C968" s="136" t="str">
        <f t="shared" si="3"/>
        <v/>
      </c>
      <c r="E968" s="106"/>
      <c r="G968" s="106" t="s">
        <v>133</v>
      </c>
      <c r="I968" s="139" t="s">
        <v>133</v>
      </c>
      <c r="J968" s="136" t="s">
        <v>133</v>
      </c>
      <c r="L968" s="136" t="str">
        <f t="shared" si="1"/>
        <v/>
      </c>
      <c r="N968" s="141" t="s">
        <v>133</v>
      </c>
      <c r="O968" s="136" t="str">
        <f>IFERROR(__xludf.DUMMYFUNCTION("""COMPUTED_VALUE"""),"")</f>
        <v/>
      </c>
      <c r="P968" s="136" t="str">
        <f>IFERROR(__xludf.DUMMYFUNCTION("""COMPUTED_VALUE"""),"")</f>
        <v/>
      </c>
      <c r="Q968" s="106" t="str">
        <f>IFERROR(__xludf.DUMMYFUNCTION("""COMPUTED_VALUE"""),"")</f>
        <v/>
      </c>
      <c r="R968" s="106" t="str">
        <f>IFERROR(__xludf.DUMMYFUNCTION("""COMPUTED_VALUE"""),"")</f>
        <v/>
      </c>
      <c r="S968" s="139" t="str">
        <f>IFERROR(__xludf.DUMMYFUNCTION("""COMPUTED_VALUE"""),"")</f>
        <v/>
      </c>
      <c r="T968" s="139" t="str">
        <f>IFERROR(__xludf.DUMMYFUNCTION("""COMPUTED_VALUE"""),"")</f>
        <v/>
      </c>
      <c r="U968" s="136" t="str">
        <f>IFERROR(__xludf.DUMMYFUNCTION("""COMPUTED_VALUE"""),"")</f>
        <v/>
      </c>
      <c r="V968" s="106" t="str">
        <f>IFERROR(__xludf.DUMMYFUNCTION("""COMPUTED_VALUE"""),"")</f>
        <v/>
      </c>
      <c r="W968" s="143" t="str">
        <f t="shared" si="2"/>
        <v/>
      </c>
      <c r="X968" s="139" t="str">
        <f>IFERROR(__xludf.DUMMYFUNCTION("""COMPUTED_VALUE"""),"")</f>
        <v/>
      </c>
      <c r="Y968" s="141" t="str">
        <f>IFERROR(__xludf.DUMMYFUNCTION("""COMPUTED_VALUE"""),"")</f>
        <v/>
      </c>
    </row>
    <row r="969">
      <c r="C969" s="136" t="str">
        <f t="shared" si="3"/>
        <v/>
      </c>
      <c r="E969" s="106"/>
      <c r="G969" s="106" t="s">
        <v>133</v>
      </c>
      <c r="I969" s="139" t="s">
        <v>133</v>
      </c>
      <c r="J969" s="136" t="s">
        <v>133</v>
      </c>
      <c r="L969" s="136" t="str">
        <f t="shared" si="1"/>
        <v/>
      </c>
      <c r="N969" s="141" t="s">
        <v>133</v>
      </c>
      <c r="O969" s="136" t="str">
        <f>IFERROR(__xludf.DUMMYFUNCTION("""COMPUTED_VALUE"""),"")</f>
        <v/>
      </c>
      <c r="P969" s="136" t="str">
        <f>IFERROR(__xludf.DUMMYFUNCTION("""COMPUTED_VALUE"""),"")</f>
        <v/>
      </c>
      <c r="Q969" s="106" t="str">
        <f>IFERROR(__xludf.DUMMYFUNCTION("""COMPUTED_VALUE"""),"")</f>
        <v/>
      </c>
      <c r="R969" s="106" t="str">
        <f>IFERROR(__xludf.DUMMYFUNCTION("""COMPUTED_VALUE"""),"")</f>
        <v/>
      </c>
      <c r="S969" s="139" t="str">
        <f>IFERROR(__xludf.DUMMYFUNCTION("""COMPUTED_VALUE"""),"")</f>
        <v/>
      </c>
      <c r="T969" s="139" t="str">
        <f>IFERROR(__xludf.DUMMYFUNCTION("""COMPUTED_VALUE"""),"")</f>
        <v/>
      </c>
      <c r="U969" s="136" t="str">
        <f>IFERROR(__xludf.DUMMYFUNCTION("""COMPUTED_VALUE"""),"")</f>
        <v/>
      </c>
      <c r="V969" s="106" t="str">
        <f>IFERROR(__xludf.DUMMYFUNCTION("""COMPUTED_VALUE"""),"")</f>
        <v/>
      </c>
      <c r="W969" s="143" t="str">
        <f t="shared" si="2"/>
        <v/>
      </c>
      <c r="X969" s="139" t="str">
        <f>IFERROR(__xludf.DUMMYFUNCTION("""COMPUTED_VALUE"""),"")</f>
        <v/>
      </c>
      <c r="Y969" s="141" t="str">
        <f>IFERROR(__xludf.DUMMYFUNCTION("""COMPUTED_VALUE"""),"")</f>
        <v/>
      </c>
    </row>
    <row r="970">
      <c r="C970" s="136" t="str">
        <f t="shared" si="3"/>
        <v/>
      </c>
      <c r="E970" s="106"/>
      <c r="G970" s="106" t="s">
        <v>133</v>
      </c>
      <c r="I970" s="139" t="s">
        <v>133</v>
      </c>
      <c r="J970" s="136" t="s">
        <v>133</v>
      </c>
      <c r="L970" s="136" t="str">
        <f t="shared" si="1"/>
        <v/>
      </c>
      <c r="N970" s="141" t="s">
        <v>133</v>
      </c>
      <c r="O970" s="136" t="str">
        <f>IFERROR(__xludf.DUMMYFUNCTION("""COMPUTED_VALUE"""),"")</f>
        <v/>
      </c>
      <c r="P970" s="136" t="str">
        <f>IFERROR(__xludf.DUMMYFUNCTION("""COMPUTED_VALUE"""),"")</f>
        <v/>
      </c>
      <c r="Q970" s="106" t="str">
        <f>IFERROR(__xludf.DUMMYFUNCTION("""COMPUTED_VALUE"""),"")</f>
        <v/>
      </c>
      <c r="R970" s="106" t="str">
        <f>IFERROR(__xludf.DUMMYFUNCTION("""COMPUTED_VALUE"""),"")</f>
        <v/>
      </c>
      <c r="S970" s="139" t="str">
        <f>IFERROR(__xludf.DUMMYFUNCTION("""COMPUTED_VALUE"""),"")</f>
        <v/>
      </c>
      <c r="T970" s="139" t="str">
        <f>IFERROR(__xludf.DUMMYFUNCTION("""COMPUTED_VALUE"""),"")</f>
        <v/>
      </c>
      <c r="U970" s="136" t="str">
        <f>IFERROR(__xludf.DUMMYFUNCTION("""COMPUTED_VALUE"""),"")</f>
        <v/>
      </c>
      <c r="V970" s="106" t="str">
        <f>IFERROR(__xludf.DUMMYFUNCTION("""COMPUTED_VALUE"""),"")</f>
        <v/>
      </c>
      <c r="W970" s="143" t="str">
        <f t="shared" si="2"/>
        <v/>
      </c>
      <c r="X970" s="139" t="str">
        <f>IFERROR(__xludf.DUMMYFUNCTION("""COMPUTED_VALUE"""),"")</f>
        <v/>
      </c>
      <c r="Y970" s="141" t="str">
        <f>IFERROR(__xludf.DUMMYFUNCTION("""COMPUTED_VALUE"""),"")</f>
        <v/>
      </c>
    </row>
    <row r="971">
      <c r="C971" s="136" t="str">
        <f t="shared" si="3"/>
        <v/>
      </c>
      <c r="E971" s="106"/>
      <c r="G971" s="106" t="s">
        <v>133</v>
      </c>
      <c r="I971" s="139" t="s">
        <v>133</v>
      </c>
      <c r="J971" s="136" t="s">
        <v>133</v>
      </c>
      <c r="L971" s="136" t="str">
        <f t="shared" si="1"/>
        <v/>
      </c>
      <c r="N971" s="141" t="s">
        <v>133</v>
      </c>
      <c r="O971" s="136" t="str">
        <f>IFERROR(__xludf.DUMMYFUNCTION("""COMPUTED_VALUE"""),"")</f>
        <v/>
      </c>
      <c r="P971" s="136" t="str">
        <f>IFERROR(__xludf.DUMMYFUNCTION("""COMPUTED_VALUE"""),"")</f>
        <v/>
      </c>
      <c r="Q971" s="106" t="str">
        <f>IFERROR(__xludf.DUMMYFUNCTION("""COMPUTED_VALUE"""),"")</f>
        <v/>
      </c>
      <c r="R971" s="106" t="str">
        <f>IFERROR(__xludf.DUMMYFUNCTION("""COMPUTED_VALUE"""),"")</f>
        <v/>
      </c>
      <c r="S971" s="139" t="str">
        <f>IFERROR(__xludf.DUMMYFUNCTION("""COMPUTED_VALUE"""),"")</f>
        <v/>
      </c>
      <c r="T971" s="139" t="str">
        <f>IFERROR(__xludf.DUMMYFUNCTION("""COMPUTED_VALUE"""),"")</f>
        <v/>
      </c>
      <c r="U971" s="136" t="str">
        <f>IFERROR(__xludf.DUMMYFUNCTION("""COMPUTED_VALUE"""),"")</f>
        <v/>
      </c>
      <c r="V971" s="106" t="str">
        <f>IFERROR(__xludf.DUMMYFUNCTION("""COMPUTED_VALUE"""),"")</f>
        <v/>
      </c>
      <c r="W971" s="143" t="str">
        <f t="shared" si="2"/>
        <v/>
      </c>
      <c r="X971" s="139" t="str">
        <f>IFERROR(__xludf.DUMMYFUNCTION("""COMPUTED_VALUE"""),"")</f>
        <v/>
      </c>
      <c r="Y971" s="141" t="str">
        <f>IFERROR(__xludf.DUMMYFUNCTION("""COMPUTED_VALUE"""),"")</f>
        <v/>
      </c>
    </row>
    <row r="972">
      <c r="C972" s="136" t="str">
        <f t="shared" si="3"/>
        <v/>
      </c>
      <c r="E972" s="106"/>
      <c r="G972" s="106" t="s">
        <v>133</v>
      </c>
      <c r="I972" s="139" t="s">
        <v>133</v>
      </c>
      <c r="J972" s="136" t="s">
        <v>133</v>
      </c>
      <c r="L972" s="136" t="str">
        <f t="shared" si="1"/>
        <v/>
      </c>
      <c r="N972" s="141" t="s">
        <v>133</v>
      </c>
      <c r="O972" s="136" t="str">
        <f>IFERROR(__xludf.DUMMYFUNCTION("""COMPUTED_VALUE"""),"")</f>
        <v/>
      </c>
      <c r="P972" s="136" t="str">
        <f>IFERROR(__xludf.DUMMYFUNCTION("""COMPUTED_VALUE"""),"")</f>
        <v/>
      </c>
      <c r="Q972" s="106" t="str">
        <f>IFERROR(__xludf.DUMMYFUNCTION("""COMPUTED_VALUE"""),"")</f>
        <v/>
      </c>
      <c r="R972" s="106" t="str">
        <f>IFERROR(__xludf.DUMMYFUNCTION("""COMPUTED_VALUE"""),"")</f>
        <v/>
      </c>
      <c r="S972" s="139" t="str">
        <f>IFERROR(__xludf.DUMMYFUNCTION("""COMPUTED_VALUE"""),"")</f>
        <v/>
      </c>
      <c r="T972" s="139" t="str">
        <f>IFERROR(__xludf.DUMMYFUNCTION("""COMPUTED_VALUE"""),"")</f>
        <v/>
      </c>
      <c r="U972" s="136" t="str">
        <f>IFERROR(__xludf.DUMMYFUNCTION("""COMPUTED_VALUE"""),"")</f>
        <v/>
      </c>
      <c r="V972" s="106" t="str">
        <f>IFERROR(__xludf.DUMMYFUNCTION("""COMPUTED_VALUE"""),"")</f>
        <v/>
      </c>
      <c r="W972" s="143" t="str">
        <f t="shared" si="2"/>
        <v/>
      </c>
      <c r="X972" s="139" t="str">
        <f>IFERROR(__xludf.DUMMYFUNCTION("""COMPUTED_VALUE"""),"")</f>
        <v/>
      </c>
      <c r="Y972" s="141" t="str">
        <f>IFERROR(__xludf.DUMMYFUNCTION("""COMPUTED_VALUE"""),"")</f>
        <v/>
      </c>
    </row>
    <row r="973">
      <c r="C973" s="136" t="str">
        <f t="shared" si="3"/>
        <v/>
      </c>
      <c r="E973" s="106"/>
      <c r="G973" s="106" t="s">
        <v>133</v>
      </c>
      <c r="I973" s="139" t="s">
        <v>133</v>
      </c>
      <c r="J973" s="136" t="s">
        <v>133</v>
      </c>
      <c r="L973" s="136" t="str">
        <f t="shared" si="1"/>
        <v/>
      </c>
      <c r="N973" s="141" t="s">
        <v>133</v>
      </c>
      <c r="O973" s="136" t="str">
        <f>IFERROR(__xludf.DUMMYFUNCTION("""COMPUTED_VALUE"""),"")</f>
        <v/>
      </c>
      <c r="P973" s="136" t="str">
        <f>IFERROR(__xludf.DUMMYFUNCTION("""COMPUTED_VALUE"""),"")</f>
        <v/>
      </c>
      <c r="Q973" s="106" t="str">
        <f>IFERROR(__xludf.DUMMYFUNCTION("""COMPUTED_VALUE"""),"")</f>
        <v/>
      </c>
      <c r="R973" s="106" t="str">
        <f>IFERROR(__xludf.DUMMYFUNCTION("""COMPUTED_VALUE"""),"")</f>
        <v/>
      </c>
      <c r="S973" s="139" t="str">
        <f>IFERROR(__xludf.DUMMYFUNCTION("""COMPUTED_VALUE"""),"")</f>
        <v/>
      </c>
      <c r="T973" s="139" t="str">
        <f>IFERROR(__xludf.DUMMYFUNCTION("""COMPUTED_VALUE"""),"")</f>
        <v/>
      </c>
      <c r="U973" s="136" t="str">
        <f>IFERROR(__xludf.DUMMYFUNCTION("""COMPUTED_VALUE"""),"")</f>
        <v/>
      </c>
      <c r="V973" s="106" t="str">
        <f>IFERROR(__xludf.DUMMYFUNCTION("""COMPUTED_VALUE"""),"")</f>
        <v/>
      </c>
      <c r="W973" s="143" t="str">
        <f t="shared" si="2"/>
        <v/>
      </c>
      <c r="X973" s="139" t="str">
        <f>IFERROR(__xludf.DUMMYFUNCTION("""COMPUTED_VALUE"""),"")</f>
        <v/>
      </c>
      <c r="Y973" s="141" t="str">
        <f>IFERROR(__xludf.DUMMYFUNCTION("""COMPUTED_VALUE"""),"")</f>
        <v/>
      </c>
    </row>
    <row r="974">
      <c r="C974" s="136" t="str">
        <f t="shared" si="3"/>
        <v/>
      </c>
      <c r="E974" s="106"/>
      <c r="G974" s="106" t="s">
        <v>133</v>
      </c>
      <c r="I974" s="139" t="s">
        <v>133</v>
      </c>
      <c r="J974" s="136" t="s">
        <v>133</v>
      </c>
      <c r="L974" s="136" t="str">
        <f t="shared" si="1"/>
        <v/>
      </c>
      <c r="N974" s="141" t="s">
        <v>133</v>
      </c>
      <c r="O974" s="136" t="str">
        <f>IFERROR(__xludf.DUMMYFUNCTION("""COMPUTED_VALUE"""),"")</f>
        <v/>
      </c>
      <c r="P974" s="136" t="str">
        <f>IFERROR(__xludf.DUMMYFUNCTION("""COMPUTED_VALUE"""),"")</f>
        <v/>
      </c>
      <c r="Q974" s="106" t="str">
        <f>IFERROR(__xludf.DUMMYFUNCTION("""COMPUTED_VALUE"""),"")</f>
        <v/>
      </c>
      <c r="R974" s="106" t="str">
        <f>IFERROR(__xludf.DUMMYFUNCTION("""COMPUTED_VALUE"""),"")</f>
        <v/>
      </c>
      <c r="S974" s="139" t="str">
        <f>IFERROR(__xludf.DUMMYFUNCTION("""COMPUTED_VALUE"""),"")</f>
        <v/>
      </c>
      <c r="T974" s="139" t="str">
        <f>IFERROR(__xludf.DUMMYFUNCTION("""COMPUTED_VALUE"""),"")</f>
        <v/>
      </c>
      <c r="U974" s="136" t="str">
        <f>IFERROR(__xludf.DUMMYFUNCTION("""COMPUTED_VALUE"""),"")</f>
        <v/>
      </c>
      <c r="V974" s="106" t="str">
        <f>IFERROR(__xludf.DUMMYFUNCTION("""COMPUTED_VALUE"""),"")</f>
        <v/>
      </c>
      <c r="W974" s="143" t="str">
        <f t="shared" si="2"/>
        <v/>
      </c>
      <c r="X974" s="139" t="str">
        <f>IFERROR(__xludf.DUMMYFUNCTION("""COMPUTED_VALUE"""),"")</f>
        <v/>
      </c>
      <c r="Y974" s="141" t="str">
        <f>IFERROR(__xludf.DUMMYFUNCTION("""COMPUTED_VALUE"""),"")</f>
        <v/>
      </c>
    </row>
    <row r="975">
      <c r="C975" s="136" t="str">
        <f t="shared" si="3"/>
        <v/>
      </c>
      <c r="E975" s="106"/>
      <c r="G975" s="106" t="s">
        <v>133</v>
      </c>
      <c r="I975" s="139" t="s">
        <v>133</v>
      </c>
      <c r="J975" s="136" t="s">
        <v>133</v>
      </c>
      <c r="L975" s="136" t="str">
        <f t="shared" si="1"/>
        <v/>
      </c>
      <c r="N975" s="141" t="s">
        <v>133</v>
      </c>
      <c r="O975" s="136" t="str">
        <f>IFERROR(__xludf.DUMMYFUNCTION("""COMPUTED_VALUE"""),"")</f>
        <v/>
      </c>
      <c r="P975" s="136" t="str">
        <f>IFERROR(__xludf.DUMMYFUNCTION("""COMPUTED_VALUE"""),"")</f>
        <v/>
      </c>
      <c r="Q975" s="106" t="str">
        <f>IFERROR(__xludf.DUMMYFUNCTION("""COMPUTED_VALUE"""),"")</f>
        <v/>
      </c>
      <c r="R975" s="106" t="str">
        <f>IFERROR(__xludf.DUMMYFUNCTION("""COMPUTED_VALUE"""),"")</f>
        <v/>
      </c>
      <c r="S975" s="139" t="str">
        <f>IFERROR(__xludf.DUMMYFUNCTION("""COMPUTED_VALUE"""),"")</f>
        <v/>
      </c>
      <c r="T975" s="139" t="str">
        <f>IFERROR(__xludf.DUMMYFUNCTION("""COMPUTED_VALUE"""),"")</f>
        <v/>
      </c>
      <c r="U975" s="136" t="str">
        <f>IFERROR(__xludf.DUMMYFUNCTION("""COMPUTED_VALUE"""),"")</f>
        <v/>
      </c>
      <c r="V975" s="106" t="str">
        <f>IFERROR(__xludf.DUMMYFUNCTION("""COMPUTED_VALUE"""),"")</f>
        <v/>
      </c>
      <c r="W975" s="143" t="str">
        <f t="shared" si="2"/>
        <v/>
      </c>
      <c r="X975" s="139" t="str">
        <f>IFERROR(__xludf.DUMMYFUNCTION("""COMPUTED_VALUE"""),"")</f>
        <v/>
      </c>
      <c r="Y975" s="141" t="str">
        <f>IFERROR(__xludf.DUMMYFUNCTION("""COMPUTED_VALUE"""),"")</f>
        <v/>
      </c>
    </row>
    <row r="976">
      <c r="C976" s="136" t="str">
        <f t="shared" si="3"/>
        <v/>
      </c>
      <c r="E976" s="106"/>
      <c r="G976" s="106" t="s">
        <v>133</v>
      </c>
      <c r="I976" s="139" t="s">
        <v>133</v>
      </c>
      <c r="J976" s="136" t="s">
        <v>133</v>
      </c>
      <c r="L976" s="136" t="str">
        <f t="shared" si="1"/>
        <v/>
      </c>
      <c r="N976" s="141" t="s">
        <v>133</v>
      </c>
      <c r="O976" s="136" t="str">
        <f>IFERROR(__xludf.DUMMYFUNCTION("""COMPUTED_VALUE"""),"")</f>
        <v/>
      </c>
      <c r="P976" s="136" t="str">
        <f>IFERROR(__xludf.DUMMYFUNCTION("""COMPUTED_VALUE"""),"")</f>
        <v/>
      </c>
      <c r="Q976" s="106" t="str">
        <f>IFERROR(__xludf.DUMMYFUNCTION("""COMPUTED_VALUE"""),"")</f>
        <v/>
      </c>
      <c r="R976" s="106" t="str">
        <f>IFERROR(__xludf.DUMMYFUNCTION("""COMPUTED_VALUE"""),"")</f>
        <v/>
      </c>
      <c r="S976" s="139" t="str">
        <f>IFERROR(__xludf.DUMMYFUNCTION("""COMPUTED_VALUE"""),"")</f>
        <v/>
      </c>
      <c r="T976" s="139" t="str">
        <f>IFERROR(__xludf.DUMMYFUNCTION("""COMPUTED_VALUE"""),"")</f>
        <v/>
      </c>
      <c r="U976" s="136" t="str">
        <f>IFERROR(__xludf.DUMMYFUNCTION("""COMPUTED_VALUE"""),"")</f>
        <v/>
      </c>
      <c r="V976" s="106" t="str">
        <f>IFERROR(__xludf.DUMMYFUNCTION("""COMPUTED_VALUE"""),"")</f>
        <v/>
      </c>
      <c r="W976" s="143" t="str">
        <f t="shared" si="2"/>
        <v/>
      </c>
      <c r="X976" s="139" t="str">
        <f>IFERROR(__xludf.DUMMYFUNCTION("""COMPUTED_VALUE"""),"")</f>
        <v/>
      </c>
      <c r="Y976" s="141" t="str">
        <f>IFERROR(__xludf.DUMMYFUNCTION("""COMPUTED_VALUE"""),"")</f>
        <v/>
      </c>
    </row>
    <row r="977">
      <c r="C977" s="136" t="str">
        <f t="shared" si="3"/>
        <v/>
      </c>
      <c r="E977" s="106"/>
      <c r="G977" s="106" t="s">
        <v>133</v>
      </c>
      <c r="I977" s="139" t="s">
        <v>133</v>
      </c>
      <c r="J977" s="136" t="s">
        <v>133</v>
      </c>
      <c r="L977" s="136" t="str">
        <f t="shared" si="1"/>
        <v/>
      </c>
      <c r="N977" s="141" t="s">
        <v>133</v>
      </c>
      <c r="O977" s="136" t="str">
        <f>IFERROR(__xludf.DUMMYFUNCTION("""COMPUTED_VALUE"""),"")</f>
        <v/>
      </c>
      <c r="P977" s="136" t="str">
        <f>IFERROR(__xludf.DUMMYFUNCTION("""COMPUTED_VALUE"""),"")</f>
        <v/>
      </c>
      <c r="Q977" s="106" t="str">
        <f>IFERROR(__xludf.DUMMYFUNCTION("""COMPUTED_VALUE"""),"")</f>
        <v/>
      </c>
      <c r="R977" s="106" t="str">
        <f>IFERROR(__xludf.DUMMYFUNCTION("""COMPUTED_VALUE"""),"")</f>
        <v/>
      </c>
      <c r="S977" s="139" t="str">
        <f>IFERROR(__xludf.DUMMYFUNCTION("""COMPUTED_VALUE"""),"")</f>
        <v/>
      </c>
      <c r="T977" s="139" t="str">
        <f>IFERROR(__xludf.DUMMYFUNCTION("""COMPUTED_VALUE"""),"")</f>
        <v/>
      </c>
      <c r="U977" s="136" t="str">
        <f>IFERROR(__xludf.DUMMYFUNCTION("""COMPUTED_VALUE"""),"")</f>
        <v/>
      </c>
      <c r="V977" s="106" t="str">
        <f>IFERROR(__xludf.DUMMYFUNCTION("""COMPUTED_VALUE"""),"")</f>
        <v/>
      </c>
      <c r="W977" s="143" t="str">
        <f t="shared" si="2"/>
        <v/>
      </c>
      <c r="X977" s="139" t="str">
        <f>IFERROR(__xludf.DUMMYFUNCTION("""COMPUTED_VALUE"""),"")</f>
        <v/>
      </c>
      <c r="Y977" s="141" t="str">
        <f>IFERROR(__xludf.DUMMYFUNCTION("""COMPUTED_VALUE"""),"")</f>
        <v/>
      </c>
    </row>
    <row r="978">
      <c r="C978" s="136" t="str">
        <f t="shared" si="3"/>
        <v/>
      </c>
      <c r="E978" s="106"/>
      <c r="G978" s="106" t="s">
        <v>133</v>
      </c>
      <c r="I978" s="139" t="s">
        <v>133</v>
      </c>
      <c r="J978" s="136" t="s">
        <v>133</v>
      </c>
      <c r="L978" s="136" t="str">
        <f t="shared" si="1"/>
        <v/>
      </c>
      <c r="N978" s="141" t="s">
        <v>133</v>
      </c>
      <c r="O978" s="136" t="str">
        <f>IFERROR(__xludf.DUMMYFUNCTION("""COMPUTED_VALUE"""),"")</f>
        <v/>
      </c>
      <c r="P978" s="136" t="str">
        <f>IFERROR(__xludf.DUMMYFUNCTION("""COMPUTED_VALUE"""),"")</f>
        <v/>
      </c>
      <c r="Q978" s="106" t="str">
        <f>IFERROR(__xludf.DUMMYFUNCTION("""COMPUTED_VALUE"""),"")</f>
        <v/>
      </c>
      <c r="R978" s="106" t="str">
        <f>IFERROR(__xludf.DUMMYFUNCTION("""COMPUTED_VALUE"""),"")</f>
        <v/>
      </c>
      <c r="S978" s="139" t="str">
        <f>IFERROR(__xludf.DUMMYFUNCTION("""COMPUTED_VALUE"""),"")</f>
        <v/>
      </c>
      <c r="T978" s="139" t="str">
        <f>IFERROR(__xludf.DUMMYFUNCTION("""COMPUTED_VALUE"""),"")</f>
        <v/>
      </c>
      <c r="U978" s="136" t="str">
        <f>IFERROR(__xludf.DUMMYFUNCTION("""COMPUTED_VALUE"""),"")</f>
        <v/>
      </c>
      <c r="V978" s="106" t="str">
        <f>IFERROR(__xludf.DUMMYFUNCTION("""COMPUTED_VALUE"""),"")</f>
        <v/>
      </c>
      <c r="W978" s="143" t="str">
        <f t="shared" si="2"/>
        <v/>
      </c>
      <c r="X978" s="139" t="str">
        <f>IFERROR(__xludf.DUMMYFUNCTION("""COMPUTED_VALUE"""),"")</f>
        <v/>
      </c>
      <c r="Y978" s="141" t="str">
        <f>IFERROR(__xludf.DUMMYFUNCTION("""COMPUTED_VALUE"""),"")</f>
        <v/>
      </c>
    </row>
    <row r="979">
      <c r="C979" s="136" t="str">
        <f t="shared" si="3"/>
        <v/>
      </c>
      <c r="E979" s="106"/>
      <c r="G979" s="106" t="s">
        <v>133</v>
      </c>
      <c r="I979" s="139" t="s">
        <v>133</v>
      </c>
      <c r="J979" s="136" t="s">
        <v>133</v>
      </c>
      <c r="L979" s="136" t="str">
        <f t="shared" si="1"/>
        <v/>
      </c>
      <c r="N979" s="141" t="s">
        <v>133</v>
      </c>
      <c r="O979" s="136" t="str">
        <f>IFERROR(__xludf.DUMMYFUNCTION("""COMPUTED_VALUE"""),"")</f>
        <v/>
      </c>
      <c r="P979" s="136" t="str">
        <f>IFERROR(__xludf.DUMMYFUNCTION("""COMPUTED_VALUE"""),"")</f>
        <v/>
      </c>
      <c r="Q979" s="106" t="str">
        <f>IFERROR(__xludf.DUMMYFUNCTION("""COMPUTED_VALUE"""),"")</f>
        <v/>
      </c>
      <c r="R979" s="106" t="str">
        <f>IFERROR(__xludf.DUMMYFUNCTION("""COMPUTED_VALUE"""),"")</f>
        <v/>
      </c>
      <c r="S979" s="139" t="str">
        <f>IFERROR(__xludf.DUMMYFUNCTION("""COMPUTED_VALUE"""),"")</f>
        <v/>
      </c>
      <c r="T979" s="139" t="str">
        <f>IFERROR(__xludf.DUMMYFUNCTION("""COMPUTED_VALUE"""),"")</f>
        <v/>
      </c>
      <c r="U979" s="136" t="str">
        <f>IFERROR(__xludf.DUMMYFUNCTION("""COMPUTED_VALUE"""),"")</f>
        <v/>
      </c>
      <c r="V979" s="106" t="str">
        <f>IFERROR(__xludf.DUMMYFUNCTION("""COMPUTED_VALUE"""),"")</f>
        <v/>
      </c>
      <c r="W979" s="143" t="str">
        <f t="shared" si="2"/>
        <v/>
      </c>
      <c r="X979" s="139" t="str">
        <f>IFERROR(__xludf.DUMMYFUNCTION("""COMPUTED_VALUE"""),"")</f>
        <v/>
      </c>
      <c r="Y979" s="141" t="str">
        <f>IFERROR(__xludf.DUMMYFUNCTION("""COMPUTED_VALUE"""),"")</f>
        <v/>
      </c>
    </row>
    <row r="980">
      <c r="C980" s="136" t="str">
        <f t="shared" si="3"/>
        <v/>
      </c>
      <c r="E980" s="106"/>
      <c r="G980" s="106" t="s">
        <v>133</v>
      </c>
      <c r="I980" s="139" t="s">
        <v>133</v>
      </c>
      <c r="J980" s="136" t="s">
        <v>133</v>
      </c>
      <c r="L980" s="136" t="str">
        <f t="shared" si="1"/>
        <v/>
      </c>
      <c r="N980" s="141" t="s">
        <v>133</v>
      </c>
      <c r="O980" s="136" t="str">
        <f>IFERROR(__xludf.DUMMYFUNCTION("""COMPUTED_VALUE"""),"")</f>
        <v/>
      </c>
      <c r="P980" s="136" t="str">
        <f>IFERROR(__xludf.DUMMYFUNCTION("""COMPUTED_VALUE"""),"")</f>
        <v/>
      </c>
      <c r="Q980" s="106" t="str">
        <f>IFERROR(__xludf.DUMMYFUNCTION("""COMPUTED_VALUE"""),"")</f>
        <v/>
      </c>
      <c r="R980" s="106" t="str">
        <f>IFERROR(__xludf.DUMMYFUNCTION("""COMPUTED_VALUE"""),"")</f>
        <v/>
      </c>
      <c r="S980" s="139" t="str">
        <f>IFERROR(__xludf.DUMMYFUNCTION("""COMPUTED_VALUE"""),"")</f>
        <v/>
      </c>
      <c r="T980" s="139" t="str">
        <f>IFERROR(__xludf.DUMMYFUNCTION("""COMPUTED_VALUE"""),"")</f>
        <v/>
      </c>
      <c r="U980" s="136" t="str">
        <f>IFERROR(__xludf.DUMMYFUNCTION("""COMPUTED_VALUE"""),"")</f>
        <v/>
      </c>
      <c r="V980" s="106" t="str">
        <f>IFERROR(__xludf.DUMMYFUNCTION("""COMPUTED_VALUE"""),"")</f>
        <v/>
      </c>
      <c r="W980" s="143" t="str">
        <f t="shared" si="2"/>
        <v/>
      </c>
      <c r="X980" s="139" t="str">
        <f>IFERROR(__xludf.DUMMYFUNCTION("""COMPUTED_VALUE"""),"")</f>
        <v/>
      </c>
      <c r="Y980" s="141" t="str">
        <f>IFERROR(__xludf.DUMMYFUNCTION("""COMPUTED_VALUE"""),"")</f>
        <v/>
      </c>
    </row>
    <row r="981">
      <c r="C981" s="136" t="str">
        <f t="shared" si="3"/>
        <v/>
      </c>
      <c r="E981" s="106"/>
      <c r="G981" s="106" t="s">
        <v>133</v>
      </c>
      <c r="I981" s="139" t="s">
        <v>133</v>
      </c>
      <c r="J981" s="136" t="s">
        <v>133</v>
      </c>
      <c r="L981" s="136" t="str">
        <f t="shared" si="1"/>
        <v/>
      </c>
      <c r="N981" s="141" t="s">
        <v>133</v>
      </c>
      <c r="O981" s="136" t="str">
        <f>IFERROR(__xludf.DUMMYFUNCTION("""COMPUTED_VALUE"""),"")</f>
        <v/>
      </c>
      <c r="P981" s="136" t="str">
        <f>IFERROR(__xludf.DUMMYFUNCTION("""COMPUTED_VALUE"""),"")</f>
        <v/>
      </c>
      <c r="Q981" s="106" t="str">
        <f>IFERROR(__xludf.DUMMYFUNCTION("""COMPUTED_VALUE"""),"")</f>
        <v/>
      </c>
      <c r="R981" s="106" t="str">
        <f>IFERROR(__xludf.DUMMYFUNCTION("""COMPUTED_VALUE"""),"")</f>
        <v/>
      </c>
      <c r="S981" s="139" t="str">
        <f>IFERROR(__xludf.DUMMYFUNCTION("""COMPUTED_VALUE"""),"")</f>
        <v/>
      </c>
      <c r="T981" s="139" t="str">
        <f>IFERROR(__xludf.DUMMYFUNCTION("""COMPUTED_VALUE"""),"")</f>
        <v/>
      </c>
      <c r="U981" s="136" t="str">
        <f>IFERROR(__xludf.DUMMYFUNCTION("""COMPUTED_VALUE"""),"")</f>
        <v/>
      </c>
      <c r="V981" s="106" t="str">
        <f>IFERROR(__xludf.DUMMYFUNCTION("""COMPUTED_VALUE"""),"")</f>
        <v/>
      </c>
      <c r="W981" s="143" t="str">
        <f t="shared" si="2"/>
        <v/>
      </c>
      <c r="X981" s="139" t="str">
        <f>IFERROR(__xludf.DUMMYFUNCTION("""COMPUTED_VALUE"""),"")</f>
        <v/>
      </c>
      <c r="Y981" s="141" t="str">
        <f>IFERROR(__xludf.DUMMYFUNCTION("""COMPUTED_VALUE"""),"")</f>
        <v/>
      </c>
    </row>
    <row r="982">
      <c r="C982" s="136" t="str">
        <f t="shared" si="3"/>
        <v/>
      </c>
      <c r="E982" s="106"/>
      <c r="G982" s="106" t="s">
        <v>133</v>
      </c>
      <c r="I982" s="139" t="s">
        <v>133</v>
      </c>
      <c r="J982" s="136" t="s">
        <v>133</v>
      </c>
      <c r="L982" s="136" t="str">
        <f t="shared" si="1"/>
        <v/>
      </c>
      <c r="N982" s="141" t="s">
        <v>133</v>
      </c>
      <c r="O982" s="136" t="str">
        <f>IFERROR(__xludf.DUMMYFUNCTION("""COMPUTED_VALUE"""),"")</f>
        <v/>
      </c>
      <c r="P982" s="136" t="str">
        <f>IFERROR(__xludf.DUMMYFUNCTION("""COMPUTED_VALUE"""),"")</f>
        <v/>
      </c>
      <c r="Q982" s="106" t="str">
        <f>IFERROR(__xludf.DUMMYFUNCTION("""COMPUTED_VALUE"""),"")</f>
        <v/>
      </c>
      <c r="R982" s="106" t="str">
        <f>IFERROR(__xludf.DUMMYFUNCTION("""COMPUTED_VALUE"""),"")</f>
        <v/>
      </c>
      <c r="S982" s="139" t="str">
        <f>IFERROR(__xludf.DUMMYFUNCTION("""COMPUTED_VALUE"""),"")</f>
        <v/>
      </c>
      <c r="T982" s="139" t="str">
        <f>IFERROR(__xludf.DUMMYFUNCTION("""COMPUTED_VALUE"""),"")</f>
        <v/>
      </c>
      <c r="U982" s="136" t="str">
        <f>IFERROR(__xludf.DUMMYFUNCTION("""COMPUTED_VALUE"""),"")</f>
        <v/>
      </c>
      <c r="V982" s="106" t="str">
        <f>IFERROR(__xludf.DUMMYFUNCTION("""COMPUTED_VALUE"""),"")</f>
        <v/>
      </c>
      <c r="W982" s="143" t="str">
        <f t="shared" si="2"/>
        <v/>
      </c>
      <c r="X982" s="139" t="str">
        <f>IFERROR(__xludf.DUMMYFUNCTION("""COMPUTED_VALUE"""),"")</f>
        <v/>
      </c>
      <c r="Y982" s="141" t="str">
        <f>IFERROR(__xludf.DUMMYFUNCTION("""COMPUTED_VALUE"""),"")</f>
        <v/>
      </c>
    </row>
    <row r="983">
      <c r="C983" s="136" t="str">
        <f t="shared" si="3"/>
        <v/>
      </c>
      <c r="E983" s="106"/>
      <c r="G983" s="106" t="s">
        <v>133</v>
      </c>
      <c r="I983" s="139" t="s">
        <v>133</v>
      </c>
      <c r="J983" s="136" t="s">
        <v>133</v>
      </c>
      <c r="L983" s="136" t="str">
        <f t="shared" si="1"/>
        <v/>
      </c>
      <c r="N983" s="141" t="s">
        <v>133</v>
      </c>
      <c r="O983" s="136" t="str">
        <f>IFERROR(__xludf.DUMMYFUNCTION("""COMPUTED_VALUE"""),"")</f>
        <v/>
      </c>
      <c r="P983" s="136" t="str">
        <f>IFERROR(__xludf.DUMMYFUNCTION("""COMPUTED_VALUE"""),"")</f>
        <v/>
      </c>
      <c r="Q983" s="106" t="str">
        <f>IFERROR(__xludf.DUMMYFUNCTION("""COMPUTED_VALUE"""),"")</f>
        <v/>
      </c>
      <c r="R983" s="106" t="str">
        <f>IFERROR(__xludf.DUMMYFUNCTION("""COMPUTED_VALUE"""),"")</f>
        <v/>
      </c>
      <c r="S983" s="139" t="str">
        <f>IFERROR(__xludf.DUMMYFUNCTION("""COMPUTED_VALUE"""),"")</f>
        <v/>
      </c>
      <c r="T983" s="139" t="str">
        <f>IFERROR(__xludf.DUMMYFUNCTION("""COMPUTED_VALUE"""),"")</f>
        <v/>
      </c>
      <c r="U983" s="136" t="str">
        <f>IFERROR(__xludf.DUMMYFUNCTION("""COMPUTED_VALUE"""),"")</f>
        <v/>
      </c>
      <c r="V983" s="106" t="str">
        <f>IFERROR(__xludf.DUMMYFUNCTION("""COMPUTED_VALUE"""),"")</f>
        <v/>
      </c>
      <c r="W983" s="143" t="str">
        <f t="shared" si="2"/>
        <v/>
      </c>
      <c r="X983" s="139" t="str">
        <f>IFERROR(__xludf.DUMMYFUNCTION("""COMPUTED_VALUE"""),"")</f>
        <v/>
      </c>
      <c r="Y983" s="141" t="str">
        <f>IFERROR(__xludf.DUMMYFUNCTION("""COMPUTED_VALUE"""),"")</f>
        <v/>
      </c>
    </row>
    <row r="984">
      <c r="C984" s="136" t="str">
        <f t="shared" si="3"/>
        <v/>
      </c>
      <c r="E984" s="106"/>
      <c r="G984" s="106" t="s">
        <v>133</v>
      </c>
      <c r="I984" s="139" t="s">
        <v>133</v>
      </c>
      <c r="J984" s="136" t="s">
        <v>133</v>
      </c>
      <c r="L984" s="136" t="str">
        <f t="shared" si="1"/>
        <v/>
      </c>
      <c r="N984" s="141" t="s">
        <v>133</v>
      </c>
      <c r="O984" s="136" t="str">
        <f>IFERROR(__xludf.DUMMYFUNCTION("""COMPUTED_VALUE"""),"")</f>
        <v/>
      </c>
      <c r="P984" s="136" t="str">
        <f>IFERROR(__xludf.DUMMYFUNCTION("""COMPUTED_VALUE"""),"")</f>
        <v/>
      </c>
      <c r="Q984" s="106" t="str">
        <f>IFERROR(__xludf.DUMMYFUNCTION("""COMPUTED_VALUE"""),"")</f>
        <v/>
      </c>
      <c r="R984" s="106" t="str">
        <f>IFERROR(__xludf.DUMMYFUNCTION("""COMPUTED_VALUE"""),"")</f>
        <v/>
      </c>
      <c r="S984" s="139" t="str">
        <f>IFERROR(__xludf.DUMMYFUNCTION("""COMPUTED_VALUE"""),"")</f>
        <v/>
      </c>
      <c r="T984" s="139" t="str">
        <f>IFERROR(__xludf.DUMMYFUNCTION("""COMPUTED_VALUE"""),"")</f>
        <v/>
      </c>
      <c r="U984" s="136" t="str">
        <f>IFERROR(__xludf.DUMMYFUNCTION("""COMPUTED_VALUE"""),"")</f>
        <v/>
      </c>
      <c r="V984" s="106" t="str">
        <f>IFERROR(__xludf.DUMMYFUNCTION("""COMPUTED_VALUE"""),"")</f>
        <v/>
      </c>
      <c r="W984" s="143" t="str">
        <f t="shared" si="2"/>
        <v/>
      </c>
      <c r="X984" s="139" t="str">
        <f>IFERROR(__xludf.DUMMYFUNCTION("""COMPUTED_VALUE"""),"")</f>
        <v/>
      </c>
      <c r="Y984" s="141" t="str">
        <f>IFERROR(__xludf.DUMMYFUNCTION("""COMPUTED_VALUE"""),"")</f>
        <v/>
      </c>
    </row>
    <row r="985">
      <c r="C985" s="136" t="str">
        <f t="shared" si="3"/>
        <v/>
      </c>
      <c r="E985" s="106"/>
      <c r="G985" s="106" t="s">
        <v>133</v>
      </c>
      <c r="I985" s="139" t="s">
        <v>133</v>
      </c>
      <c r="J985" s="136" t="s">
        <v>133</v>
      </c>
      <c r="L985" s="136" t="str">
        <f t="shared" si="1"/>
        <v/>
      </c>
      <c r="N985" s="141" t="s">
        <v>133</v>
      </c>
      <c r="O985" s="136" t="str">
        <f>IFERROR(__xludf.DUMMYFUNCTION("""COMPUTED_VALUE"""),"")</f>
        <v/>
      </c>
      <c r="P985" s="136" t="str">
        <f>IFERROR(__xludf.DUMMYFUNCTION("""COMPUTED_VALUE"""),"")</f>
        <v/>
      </c>
      <c r="Q985" s="106" t="str">
        <f>IFERROR(__xludf.DUMMYFUNCTION("""COMPUTED_VALUE"""),"")</f>
        <v/>
      </c>
      <c r="R985" s="106" t="str">
        <f>IFERROR(__xludf.DUMMYFUNCTION("""COMPUTED_VALUE"""),"")</f>
        <v/>
      </c>
      <c r="S985" s="139" t="str">
        <f>IFERROR(__xludf.DUMMYFUNCTION("""COMPUTED_VALUE"""),"")</f>
        <v/>
      </c>
      <c r="T985" s="139" t="str">
        <f>IFERROR(__xludf.DUMMYFUNCTION("""COMPUTED_VALUE"""),"")</f>
        <v/>
      </c>
      <c r="U985" s="136" t="str">
        <f>IFERROR(__xludf.DUMMYFUNCTION("""COMPUTED_VALUE"""),"")</f>
        <v/>
      </c>
      <c r="V985" s="106" t="str">
        <f>IFERROR(__xludf.DUMMYFUNCTION("""COMPUTED_VALUE"""),"")</f>
        <v/>
      </c>
      <c r="W985" s="143" t="str">
        <f t="shared" si="2"/>
        <v/>
      </c>
      <c r="X985" s="139" t="str">
        <f>IFERROR(__xludf.DUMMYFUNCTION("""COMPUTED_VALUE"""),"")</f>
        <v/>
      </c>
      <c r="Y985" s="141" t="str">
        <f>IFERROR(__xludf.DUMMYFUNCTION("""COMPUTED_VALUE"""),"")</f>
        <v/>
      </c>
    </row>
    <row r="986">
      <c r="C986" s="136" t="str">
        <f t="shared" si="3"/>
        <v/>
      </c>
      <c r="E986" s="106"/>
      <c r="G986" s="106" t="s">
        <v>133</v>
      </c>
      <c r="I986" s="139" t="s">
        <v>133</v>
      </c>
      <c r="J986" s="136" t="s">
        <v>133</v>
      </c>
      <c r="L986" s="136" t="str">
        <f t="shared" si="1"/>
        <v/>
      </c>
      <c r="N986" s="141" t="s">
        <v>133</v>
      </c>
      <c r="O986" s="136" t="str">
        <f>IFERROR(__xludf.DUMMYFUNCTION("""COMPUTED_VALUE"""),"")</f>
        <v/>
      </c>
      <c r="P986" s="136" t="str">
        <f>IFERROR(__xludf.DUMMYFUNCTION("""COMPUTED_VALUE"""),"")</f>
        <v/>
      </c>
      <c r="Q986" s="106" t="str">
        <f>IFERROR(__xludf.DUMMYFUNCTION("""COMPUTED_VALUE"""),"")</f>
        <v/>
      </c>
      <c r="R986" s="106" t="str">
        <f>IFERROR(__xludf.DUMMYFUNCTION("""COMPUTED_VALUE"""),"")</f>
        <v/>
      </c>
      <c r="S986" s="139" t="str">
        <f>IFERROR(__xludf.DUMMYFUNCTION("""COMPUTED_VALUE"""),"")</f>
        <v/>
      </c>
      <c r="T986" s="139" t="str">
        <f>IFERROR(__xludf.DUMMYFUNCTION("""COMPUTED_VALUE"""),"")</f>
        <v/>
      </c>
      <c r="U986" s="136" t="str">
        <f>IFERROR(__xludf.DUMMYFUNCTION("""COMPUTED_VALUE"""),"")</f>
        <v/>
      </c>
      <c r="V986" s="106" t="str">
        <f>IFERROR(__xludf.DUMMYFUNCTION("""COMPUTED_VALUE"""),"")</f>
        <v/>
      </c>
      <c r="W986" s="143" t="str">
        <f t="shared" si="2"/>
        <v/>
      </c>
      <c r="X986" s="139" t="str">
        <f>IFERROR(__xludf.DUMMYFUNCTION("""COMPUTED_VALUE"""),"")</f>
        <v/>
      </c>
      <c r="Y986" s="141" t="str">
        <f>IFERROR(__xludf.DUMMYFUNCTION("""COMPUTED_VALUE"""),"")</f>
        <v/>
      </c>
    </row>
    <row r="987">
      <c r="C987" s="136" t="str">
        <f t="shared" si="3"/>
        <v/>
      </c>
      <c r="E987" s="106"/>
      <c r="G987" s="106" t="s">
        <v>133</v>
      </c>
      <c r="I987" s="139" t="s">
        <v>133</v>
      </c>
      <c r="J987" s="136" t="s">
        <v>133</v>
      </c>
      <c r="L987" s="136" t="str">
        <f t="shared" si="1"/>
        <v/>
      </c>
      <c r="N987" s="141" t="s">
        <v>133</v>
      </c>
      <c r="O987" s="136" t="str">
        <f>IFERROR(__xludf.DUMMYFUNCTION("""COMPUTED_VALUE"""),"")</f>
        <v/>
      </c>
      <c r="P987" s="136" t="str">
        <f>IFERROR(__xludf.DUMMYFUNCTION("""COMPUTED_VALUE"""),"")</f>
        <v/>
      </c>
      <c r="Q987" s="106" t="str">
        <f>IFERROR(__xludf.DUMMYFUNCTION("""COMPUTED_VALUE"""),"")</f>
        <v/>
      </c>
      <c r="R987" s="106" t="str">
        <f>IFERROR(__xludf.DUMMYFUNCTION("""COMPUTED_VALUE"""),"")</f>
        <v/>
      </c>
      <c r="S987" s="139" t="str">
        <f>IFERROR(__xludf.DUMMYFUNCTION("""COMPUTED_VALUE"""),"")</f>
        <v/>
      </c>
      <c r="T987" s="139" t="str">
        <f>IFERROR(__xludf.DUMMYFUNCTION("""COMPUTED_VALUE"""),"")</f>
        <v/>
      </c>
      <c r="U987" s="136" t="str">
        <f>IFERROR(__xludf.DUMMYFUNCTION("""COMPUTED_VALUE"""),"")</f>
        <v/>
      </c>
      <c r="V987" s="106" t="str">
        <f>IFERROR(__xludf.DUMMYFUNCTION("""COMPUTED_VALUE"""),"")</f>
        <v/>
      </c>
      <c r="W987" s="143" t="str">
        <f t="shared" si="2"/>
        <v/>
      </c>
      <c r="X987" s="139" t="str">
        <f>IFERROR(__xludf.DUMMYFUNCTION("""COMPUTED_VALUE"""),"")</f>
        <v/>
      </c>
      <c r="Y987" s="141" t="str">
        <f>IFERROR(__xludf.DUMMYFUNCTION("""COMPUTED_VALUE"""),"")</f>
        <v/>
      </c>
    </row>
    <row r="988">
      <c r="C988" s="136" t="str">
        <f t="shared" si="3"/>
        <v/>
      </c>
      <c r="E988" s="106"/>
      <c r="G988" s="106" t="s">
        <v>133</v>
      </c>
      <c r="I988" s="139" t="s">
        <v>133</v>
      </c>
      <c r="J988" s="136" t="s">
        <v>133</v>
      </c>
      <c r="L988" s="136" t="str">
        <f t="shared" si="1"/>
        <v/>
      </c>
      <c r="N988" s="141" t="s">
        <v>133</v>
      </c>
      <c r="O988" s="136" t="str">
        <f>IFERROR(__xludf.DUMMYFUNCTION("""COMPUTED_VALUE"""),"")</f>
        <v/>
      </c>
      <c r="P988" s="136" t="str">
        <f>IFERROR(__xludf.DUMMYFUNCTION("""COMPUTED_VALUE"""),"")</f>
        <v/>
      </c>
      <c r="Q988" s="106" t="str">
        <f>IFERROR(__xludf.DUMMYFUNCTION("""COMPUTED_VALUE"""),"")</f>
        <v/>
      </c>
      <c r="R988" s="106" t="str">
        <f>IFERROR(__xludf.DUMMYFUNCTION("""COMPUTED_VALUE"""),"")</f>
        <v/>
      </c>
      <c r="S988" s="139" t="str">
        <f>IFERROR(__xludf.DUMMYFUNCTION("""COMPUTED_VALUE"""),"")</f>
        <v/>
      </c>
      <c r="T988" s="139" t="str">
        <f>IFERROR(__xludf.DUMMYFUNCTION("""COMPUTED_VALUE"""),"")</f>
        <v/>
      </c>
      <c r="U988" s="136" t="str">
        <f>IFERROR(__xludf.DUMMYFUNCTION("""COMPUTED_VALUE"""),"")</f>
        <v/>
      </c>
      <c r="V988" s="106" t="str">
        <f>IFERROR(__xludf.DUMMYFUNCTION("""COMPUTED_VALUE"""),"")</f>
        <v/>
      </c>
      <c r="W988" s="143" t="str">
        <f t="shared" si="2"/>
        <v/>
      </c>
      <c r="X988" s="139" t="str">
        <f>IFERROR(__xludf.DUMMYFUNCTION("""COMPUTED_VALUE"""),"")</f>
        <v/>
      </c>
      <c r="Y988" s="141" t="str">
        <f>IFERROR(__xludf.DUMMYFUNCTION("""COMPUTED_VALUE"""),"")</f>
        <v/>
      </c>
    </row>
    <row r="989">
      <c r="C989" s="136" t="str">
        <f t="shared" si="3"/>
        <v/>
      </c>
      <c r="E989" s="106"/>
      <c r="G989" s="106" t="s">
        <v>133</v>
      </c>
      <c r="I989" s="139" t="s">
        <v>133</v>
      </c>
      <c r="J989" s="136" t="s">
        <v>133</v>
      </c>
      <c r="L989" s="136" t="str">
        <f t="shared" si="1"/>
        <v/>
      </c>
      <c r="N989" s="141" t="s">
        <v>133</v>
      </c>
      <c r="O989" s="136" t="str">
        <f>IFERROR(__xludf.DUMMYFUNCTION("""COMPUTED_VALUE"""),"")</f>
        <v/>
      </c>
      <c r="P989" s="136" t="str">
        <f>IFERROR(__xludf.DUMMYFUNCTION("""COMPUTED_VALUE"""),"")</f>
        <v/>
      </c>
      <c r="Q989" s="106" t="str">
        <f>IFERROR(__xludf.DUMMYFUNCTION("""COMPUTED_VALUE"""),"")</f>
        <v/>
      </c>
      <c r="R989" s="106" t="str">
        <f>IFERROR(__xludf.DUMMYFUNCTION("""COMPUTED_VALUE"""),"")</f>
        <v/>
      </c>
      <c r="S989" s="139" t="str">
        <f>IFERROR(__xludf.DUMMYFUNCTION("""COMPUTED_VALUE"""),"")</f>
        <v/>
      </c>
      <c r="T989" s="139" t="str">
        <f>IFERROR(__xludf.DUMMYFUNCTION("""COMPUTED_VALUE"""),"")</f>
        <v/>
      </c>
      <c r="U989" s="136" t="str">
        <f>IFERROR(__xludf.DUMMYFUNCTION("""COMPUTED_VALUE"""),"")</f>
        <v/>
      </c>
      <c r="V989" s="106" t="str">
        <f>IFERROR(__xludf.DUMMYFUNCTION("""COMPUTED_VALUE"""),"")</f>
        <v/>
      </c>
      <c r="W989" s="143" t="str">
        <f t="shared" si="2"/>
        <v/>
      </c>
      <c r="X989" s="139" t="str">
        <f>IFERROR(__xludf.DUMMYFUNCTION("""COMPUTED_VALUE"""),"")</f>
        <v/>
      </c>
      <c r="Y989" s="141" t="str">
        <f>IFERROR(__xludf.DUMMYFUNCTION("""COMPUTED_VALUE"""),"")</f>
        <v/>
      </c>
    </row>
    <row r="990">
      <c r="C990" s="136" t="str">
        <f t="shared" si="3"/>
        <v/>
      </c>
      <c r="E990" s="106"/>
      <c r="G990" s="106" t="s">
        <v>133</v>
      </c>
      <c r="I990" s="139" t="s">
        <v>133</v>
      </c>
      <c r="J990" s="136" t="s">
        <v>133</v>
      </c>
      <c r="L990" s="136" t="str">
        <f t="shared" si="1"/>
        <v/>
      </c>
      <c r="N990" s="141" t="s">
        <v>133</v>
      </c>
      <c r="O990" s="136" t="str">
        <f>IFERROR(__xludf.DUMMYFUNCTION("""COMPUTED_VALUE"""),"")</f>
        <v/>
      </c>
      <c r="P990" s="136" t="str">
        <f>IFERROR(__xludf.DUMMYFUNCTION("""COMPUTED_VALUE"""),"")</f>
        <v/>
      </c>
      <c r="Q990" s="106" t="str">
        <f>IFERROR(__xludf.DUMMYFUNCTION("""COMPUTED_VALUE"""),"")</f>
        <v/>
      </c>
      <c r="R990" s="106" t="str">
        <f>IFERROR(__xludf.DUMMYFUNCTION("""COMPUTED_VALUE"""),"")</f>
        <v/>
      </c>
      <c r="S990" s="139" t="str">
        <f>IFERROR(__xludf.DUMMYFUNCTION("""COMPUTED_VALUE"""),"")</f>
        <v/>
      </c>
      <c r="T990" s="139" t="str">
        <f>IFERROR(__xludf.DUMMYFUNCTION("""COMPUTED_VALUE"""),"")</f>
        <v/>
      </c>
      <c r="U990" s="136" t="str">
        <f>IFERROR(__xludf.DUMMYFUNCTION("""COMPUTED_VALUE"""),"")</f>
        <v/>
      </c>
      <c r="V990" s="106" t="str">
        <f>IFERROR(__xludf.DUMMYFUNCTION("""COMPUTED_VALUE"""),"")</f>
        <v/>
      </c>
      <c r="W990" s="143" t="str">
        <f t="shared" si="2"/>
        <v/>
      </c>
      <c r="X990" s="139" t="str">
        <f>IFERROR(__xludf.DUMMYFUNCTION("""COMPUTED_VALUE"""),"")</f>
        <v/>
      </c>
      <c r="Y990" s="141" t="str">
        <f>IFERROR(__xludf.DUMMYFUNCTION("""COMPUTED_VALUE"""),"")</f>
        <v/>
      </c>
    </row>
    <row r="991">
      <c r="C991" s="136" t="str">
        <f t="shared" si="3"/>
        <v/>
      </c>
      <c r="E991" s="106"/>
      <c r="G991" s="106" t="s">
        <v>133</v>
      </c>
      <c r="I991" s="139" t="s">
        <v>133</v>
      </c>
      <c r="J991" s="136" t="s">
        <v>133</v>
      </c>
      <c r="L991" s="136" t="str">
        <f t="shared" si="1"/>
        <v/>
      </c>
      <c r="N991" s="141" t="s">
        <v>133</v>
      </c>
      <c r="O991" s="136" t="str">
        <f>IFERROR(__xludf.DUMMYFUNCTION("""COMPUTED_VALUE"""),"")</f>
        <v/>
      </c>
      <c r="P991" s="136" t="str">
        <f>IFERROR(__xludf.DUMMYFUNCTION("""COMPUTED_VALUE"""),"")</f>
        <v/>
      </c>
      <c r="Q991" s="106" t="str">
        <f>IFERROR(__xludf.DUMMYFUNCTION("""COMPUTED_VALUE"""),"")</f>
        <v/>
      </c>
      <c r="R991" s="106" t="str">
        <f>IFERROR(__xludf.DUMMYFUNCTION("""COMPUTED_VALUE"""),"")</f>
        <v/>
      </c>
      <c r="S991" s="139" t="str">
        <f>IFERROR(__xludf.DUMMYFUNCTION("""COMPUTED_VALUE"""),"")</f>
        <v/>
      </c>
      <c r="T991" s="139" t="str">
        <f>IFERROR(__xludf.DUMMYFUNCTION("""COMPUTED_VALUE"""),"")</f>
        <v/>
      </c>
      <c r="U991" s="136" t="str">
        <f>IFERROR(__xludf.DUMMYFUNCTION("""COMPUTED_VALUE"""),"")</f>
        <v/>
      </c>
      <c r="V991" s="106" t="str">
        <f>IFERROR(__xludf.DUMMYFUNCTION("""COMPUTED_VALUE"""),"")</f>
        <v/>
      </c>
      <c r="W991" s="143" t="str">
        <f t="shared" si="2"/>
        <v/>
      </c>
      <c r="X991" s="139" t="str">
        <f>IFERROR(__xludf.DUMMYFUNCTION("""COMPUTED_VALUE"""),"")</f>
        <v/>
      </c>
      <c r="Y991" s="141" t="str">
        <f>IFERROR(__xludf.DUMMYFUNCTION("""COMPUTED_VALUE"""),"")</f>
        <v/>
      </c>
    </row>
    <row r="992">
      <c r="C992" s="136" t="str">
        <f t="shared" si="3"/>
        <v/>
      </c>
      <c r="E992" s="106"/>
      <c r="G992" s="106" t="s">
        <v>133</v>
      </c>
      <c r="I992" s="139" t="s">
        <v>133</v>
      </c>
      <c r="J992" s="136" t="s">
        <v>133</v>
      </c>
      <c r="L992" s="136" t="str">
        <f t="shared" si="1"/>
        <v/>
      </c>
      <c r="N992" s="141" t="s">
        <v>133</v>
      </c>
      <c r="O992" s="136" t="str">
        <f>IFERROR(__xludf.DUMMYFUNCTION("""COMPUTED_VALUE"""),"")</f>
        <v/>
      </c>
      <c r="P992" s="136" t="str">
        <f>IFERROR(__xludf.DUMMYFUNCTION("""COMPUTED_VALUE"""),"")</f>
        <v/>
      </c>
      <c r="Q992" s="106" t="str">
        <f>IFERROR(__xludf.DUMMYFUNCTION("""COMPUTED_VALUE"""),"")</f>
        <v/>
      </c>
      <c r="R992" s="106" t="str">
        <f>IFERROR(__xludf.DUMMYFUNCTION("""COMPUTED_VALUE"""),"")</f>
        <v/>
      </c>
      <c r="S992" s="139" t="str">
        <f>IFERROR(__xludf.DUMMYFUNCTION("""COMPUTED_VALUE"""),"")</f>
        <v/>
      </c>
      <c r="T992" s="139" t="str">
        <f>IFERROR(__xludf.DUMMYFUNCTION("""COMPUTED_VALUE"""),"")</f>
        <v/>
      </c>
      <c r="U992" s="136" t="str">
        <f>IFERROR(__xludf.DUMMYFUNCTION("""COMPUTED_VALUE"""),"")</f>
        <v/>
      </c>
      <c r="V992" s="106" t="str">
        <f>IFERROR(__xludf.DUMMYFUNCTION("""COMPUTED_VALUE"""),"")</f>
        <v/>
      </c>
      <c r="W992" s="143" t="str">
        <f t="shared" si="2"/>
        <v/>
      </c>
      <c r="X992" s="139" t="str">
        <f>IFERROR(__xludf.DUMMYFUNCTION("""COMPUTED_VALUE"""),"")</f>
        <v/>
      </c>
      <c r="Y992" s="141" t="str">
        <f>IFERROR(__xludf.DUMMYFUNCTION("""COMPUTED_VALUE"""),"")</f>
        <v/>
      </c>
    </row>
    <row r="993">
      <c r="C993" s="136" t="str">
        <f t="shared" si="3"/>
        <v/>
      </c>
      <c r="E993" s="106"/>
      <c r="G993" s="106" t="s">
        <v>133</v>
      </c>
      <c r="I993" s="139" t="s">
        <v>133</v>
      </c>
      <c r="J993" s="136" t="s">
        <v>133</v>
      </c>
      <c r="L993" s="136" t="str">
        <f t="shared" si="1"/>
        <v/>
      </c>
      <c r="N993" s="141" t="s">
        <v>133</v>
      </c>
      <c r="O993" s="136" t="str">
        <f>IFERROR(__xludf.DUMMYFUNCTION("""COMPUTED_VALUE"""),"")</f>
        <v/>
      </c>
      <c r="P993" s="136" t="str">
        <f>IFERROR(__xludf.DUMMYFUNCTION("""COMPUTED_VALUE"""),"")</f>
        <v/>
      </c>
      <c r="Q993" s="106" t="str">
        <f>IFERROR(__xludf.DUMMYFUNCTION("""COMPUTED_VALUE"""),"")</f>
        <v/>
      </c>
      <c r="R993" s="106" t="str">
        <f>IFERROR(__xludf.DUMMYFUNCTION("""COMPUTED_VALUE"""),"")</f>
        <v/>
      </c>
      <c r="S993" s="139" t="str">
        <f>IFERROR(__xludf.DUMMYFUNCTION("""COMPUTED_VALUE"""),"")</f>
        <v/>
      </c>
      <c r="T993" s="139" t="str">
        <f>IFERROR(__xludf.DUMMYFUNCTION("""COMPUTED_VALUE"""),"")</f>
        <v/>
      </c>
      <c r="U993" s="136" t="str">
        <f>IFERROR(__xludf.DUMMYFUNCTION("""COMPUTED_VALUE"""),"")</f>
        <v/>
      </c>
      <c r="V993" s="106" t="str">
        <f>IFERROR(__xludf.DUMMYFUNCTION("""COMPUTED_VALUE"""),"")</f>
        <v/>
      </c>
      <c r="W993" s="143" t="str">
        <f t="shared" si="2"/>
        <v/>
      </c>
      <c r="X993" s="139" t="str">
        <f>IFERROR(__xludf.DUMMYFUNCTION("""COMPUTED_VALUE"""),"")</f>
        <v/>
      </c>
      <c r="Y993" s="141" t="str">
        <f>IFERROR(__xludf.DUMMYFUNCTION("""COMPUTED_VALUE"""),"")</f>
        <v/>
      </c>
    </row>
    <row r="994">
      <c r="C994" s="136" t="str">
        <f t="shared" si="3"/>
        <v/>
      </c>
      <c r="E994" s="106"/>
      <c r="G994" s="106" t="s">
        <v>133</v>
      </c>
      <c r="I994" s="139" t="s">
        <v>133</v>
      </c>
      <c r="J994" s="136" t="s">
        <v>133</v>
      </c>
      <c r="L994" s="136" t="str">
        <f t="shared" si="1"/>
        <v/>
      </c>
      <c r="N994" s="141" t="s">
        <v>133</v>
      </c>
      <c r="O994" s="136" t="str">
        <f>IFERROR(__xludf.DUMMYFUNCTION("""COMPUTED_VALUE"""),"")</f>
        <v/>
      </c>
      <c r="P994" s="136" t="str">
        <f>IFERROR(__xludf.DUMMYFUNCTION("""COMPUTED_VALUE"""),"")</f>
        <v/>
      </c>
      <c r="Q994" s="106" t="str">
        <f>IFERROR(__xludf.DUMMYFUNCTION("""COMPUTED_VALUE"""),"")</f>
        <v/>
      </c>
      <c r="R994" s="106" t="str">
        <f>IFERROR(__xludf.DUMMYFUNCTION("""COMPUTED_VALUE"""),"")</f>
        <v/>
      </c>
      <c r="S994" s="139" t="str">
        <f>IFERROR(__xludf.DUMMYFUNCTION("""COMPUTED_VALUE"""),"")</f>
        <v/>
      </c>
      <c r="T994" s="139" t="str">
        <f>IFERROR(__xludf.DUMMYFUNCTION("""COMPUTED_VALUE"""),"")</f>
        <v/>
      </c>
      <c r="U994" s="136" t="str">
        <f>IFERROR(__xludf.DUMMYFUNCTION("""COMPUTED_VALUE"""),"")</f>
        <v/>
      </c>
      <c r="V994" s="106" t="str">
        <f>IFERROR(__xludf.DUMMYFUNCTION("""COMPUTED_VALUE"""),"")</f>
        <v/>
      </c>
      <c r="W994" s="143" t="str">
        <f t="shared" si="2"/>
        <v/>
      </c>
      <c r="X994" s="139" t="str">
        <f>IFERROR(__xludf.DUMMYFUNCTION("""COMPUTED_VALUE"""),"")</f>
        <v/>
      </c>
      <c r="Y994" s="141" t="str">
        <f>IFERROR(__xludf.DUMMYFUNCTION("""COMPUTED_VALUE"""),"")</f>
        <v/>
      </c>
    </row>
    <row r="995">
      <c r="C995" s="136" t="str">
        <f t="shared" si="3"/>
        <v/>
      </c>
      <c r="E995" s="106"/>
      <c r="G995" s="106" t="s">
        <v>133</v>
      </c>
      <c r="I995" s="139" t="s">
        <v>133</v>
      </c>
      <c r="J995" s="136" t="s">
        <v>133</v>
      </c>
      <c r="L995" s="136" t="str">
        <f t="shared" si="1"/>
        <v/>
      </c>
      <c r="N995" s="141" t="s">
        <v>133</v>
      </c>
      <c r="O995" s="136" t="str">
        <f>IFERROR(__xludf.DUMMYFUNCTION("""COMPUTED_VALUE"""),"")</f>
        <v/>
      </c>
      <c r="P995" s="136" t="str">
        <f>IFERROR(__xludf.DUMMYFUNCTION("""COMPUTED_VALUE"""),"")</f>
        <v/>
      </c>
      <c r="Q995" s="106" t="str">
        <f>IFERROR(__xludf.DUMMYFUNCTION("""COMPUTED_VALUE"""),"")</f>
        <v/>
      </c>
      <c r="R995" s="106" t="str">
        <f>IFERROR(__xludf.DUMMYFUNCTION("""COMPUTED_VALUE"""),"")</f>
        <v/>
      </c>
      <c r="S995" s="139" t="str">
        <f>IFERROR(__xludf.DUMMYFUNCTION("""COMPUTED_VALUE"""),"")</f>
        <v/>
      </c>
      <c r="T995" s="139" t="str">
        <f>IFERROR(__xludf.DUMMYFUNCTION("""COMPUTED_VALUE"""),"")</f>
        <v/>
      </c>
      <c r="U995" s="136" t="str">
        <f>IFERROR(__xludf.DUMMYFUNCTION("""COMPUTED_VALUE"""),"")</f>
        <v/>
      </c>
      <c r="V995" s="106" t="str">
        <f>IFERROR(__xludf.DUMMYFUNCTION("""COMPUTED_VALUE"""),"")</f>
        <v/>
      </c>
      <c r="W995" s="143" t="str">
        <f t="shared" si="2"/>
        <v/>
      </c>
      <c r="X995" s="139" t="str">
        <f>IFERROR(__xludf.DUMMYFUNCTION("""COMPUTED_VALUE"""),"")</f>
        <v/>
      </c>
      <c r="Y995" s="141" t="str">
        <f>IFERROR(__xludf.DUMMYFUNCTION("""COMPUTED_VALUE"""),"")</f>
        <v/>
      </c>
    </row>
    <row r="996">
      <c r="C996" s="136" t="str">
        <f t="shared" si="3"/>
        <v/>
      </c>
      <c r="E996" s="106"/>
      <c r="G996" s="106" t="s">
        <v>133</v>
      </c>
      <c r="I996" s="139" t="s">
        <v>133</v>
      </c>
      <c r="J996" s="136" t="s">
        <v>133</v>
      </c>
      <c r="L996" s="136" t="str">
        <f t="shared" si="1"/>
        <v/>
      </c>
      <c r="N996" s="141" t="s">
        <v>133</v>
      </c>
      <c r="O996" s="136" t="str">
        <f>IFERROR(__xludf.DUMMYFUNCTION("""COMPUTED_VALUE"""),"")</f>
        <v/>
      </c>
      <c r="P996" s="136" t="str">
        <f>IFERROR(__xludf.DUMMYFUNCTION("""COMPUTED_VALUE"""),"")</f>
        <v/>
      </c>
      <c r="Q996" s="106" t="str">
        <f>IFERROR(__xludf.DUMMYFUNCTION("""COMPUTED_VALUE"""),"")</f>
        <v/>
      </c>
      <c r="R996" s="106" t="str">
        <f>IFERROR(__xludf.DUMMYFUNCTION("""COMPUTED_VALUE"""),"")</f>
        <v/>
      </c>
      <c r="S996" s="139" t="str">
        <f>IFERROR(__xludf.DUMMYFUNCTION("""COMPUTED_VALUE"""),"")</f>
        <v/>
      </c>
      <c r="T996" s="139" t="str">
        <f>IFERROR(__xludf.DUMMYFUNCTION("""COMPUTED_VALUE"""),"")</f>
        <v/>
      </c>
      <c r="U996" s="136" t="str">
        <f>IFERROR(__xludf.DUMMYFUNCTION("""COMPUTED_VALUE"""),"")</f>
        <v/>
      </c>
      <c r="V996" s="106" t="str">
        <f>IFERROR(__xludf.DUMMYFUNCTION("""COMPUTED_VALUE"""),"")</f>
        <v/>
      </c>
      <c r="W996" s="143" t="str">
        <f t="shared" si="2"/>
        <v/>
      </c>
      <c r="X996" s="139" t="str">
        <f>IFERROR(__xludf.DUMMYFUNCTION("""COMPUTED_VALUE"""),"")</f>
        <v/>
      </c>
      <c r="Y996" s="141" t="str">
        <f>IFERROR(__xludf.DUMMYFUNCTION("""COMPUTED_VALUE"""),"")</f>
        <v/>
      </c>
    </row>
    <row r="997">
      <c r="C997" s="136" t="str">
        <f t="shared" si="3"/>
        <v/>
      </c>
      <c r="E997" s="106"/>
      <c r="G997" s="106" t="s">
        <v>133</v>
      </c>
      <c r="I997" s="139" t="s">
        <v>133</v>
      </c>
      <c r="J997" s="136" t="s">
        <v>133</v>
      </c>
      <c r="L997" s="136" t="str">
        <f t="shared" si="1"/>
        <v/>
      </c>
      <c r="N997" s="141" t="s">
        <v>133</v>
      </c>
      <c r="O997" s="136" t="str">
        <f>IFERROR(__xludf.DUMMYFUNCTION("""COMPUTED_VALUE"""),"")</f>
        <v/>
      </c>
      <c r="P997" s="136" t="str">
        <f>IFERROR(__xludf.DUMMYFUNCTION("""COMPUTED_VALUE"""),"")</f>
        <v/>
      </c>
      <c r="Q997" s="106" t="str">
        <f>IFERROR(__xludf.DUMMYFUNCTION("""COMPUTED_VALUE"""),"")</f>
        <v/>
      </c>
      <c r="R997" s="106" t="str">
        <f>IFERROR(__xludf.DUMMYFUNCTION("""COMPUTED_VALUE"""),"")</f>
        <v/>
      </c>
      <c r="S997" s="139" t="str">
        <f>IFERROR(__xludf.DUMMYFUNCTION("""COMPUTED_VALUE"""),"")</f>
        <v/>
      </c>
      <c r="T997" s="139" t="str">
        <f>IFERROR(__xludf.DUMMYFUNCTION("""COMPUTED_VALUE"""),"")</f>
        <v/>
      </c>
      <c r="U997" s="136" t="str">
        <f>IFERROR(__xludf.DUMMYFUNCTION("""COMPUTED_VALUE"""),"")</f>
        <v/>
      </c>
      <c r="V997" s="106" t="str">
        <f>IFERROR(__xludf.DUMMYFUNCTION("""COMPUTED_VALUE"""),"")</f>
        <v/>
      </c>
      <c r="W997" s="143" t="str">
        <f t="shared" si="2"/>
        <v/>
      </c>
      <c r="X997" s="139" t="str">
        <f>IFERROR(__xludf.DUMMYFUNCTION("""COMPUTED_VALUE"""),"")</f>
        <v/>
      </c>
      <c r="Y997" s="141" t="str">
        <f>IFERROR(__xludf.DUMMYFUNCTION("""COMPUTED_VALUE"""),"")</f>
        <v/>
      </c>
    </row>
    <row r="998">
      <c r="C998" s="136" t="str">
        <f t="shared" si="3"/>
        <v/>
      </c>
      <c r="E998" s="106"/>
      <c r="G998" s="106" t="s">
        <v>133</v>
      </c>
      <c r="I998" s="139" t="s">
        <v>133</v>
      </c>
      <c r="J998" s="136" t="s">
        <v>133</v>
      </c>
      <c r="L998" s="136" t="str">
        <f t="shared" si="1"/>
        <v/>
      </c>
      <c r="N998" s="141" t="s">
        <v>133</v>
      </c>
      <c r="O998" s="136" t="str">
        <f>IFERROR(__xludf.DUMMYFUNCTION("""COMPUTED_VALUE"""),"")</f>
        <v/>
      </c>
      <c r="P998" s="136" t="str">
        <f>IFERROR(__xludf.DUMMYFUNCTION("""COMPUTED_VALUE"""),"")</f>
        <v/>
      </c>
      <c r="Q998" s="106" t="str">
        <f>IFERROR(__xludf.DUMMYFUNCTION("""COMPUTED_VALUE"""),"")</f>
        <v/>
      </c>
      <c r="R998" s="106" t="str">
        <f>IFERROR(__xludf.DUMMYFUNCTION("""COMPUTED_VALUE"""),"")</f>
        <v/>
      </c>
      <c r="S998" s="139" t="str">
        <f>IFERROR(__xludf.DUMMYFUNCTION("""COMPUTED_VALUE"""),"")</f>
        <v/>
      </c>
      <c r="T998" s="139" t="str">
        <f>IFERROR(__xludf.DUMMYFUNCTION("""COMPUTED_VALUE"""),"")</f>
        <v/>
      </c>
      <c r="U998" s="136" t="str">
        <f>IFERROR(__xludf.DUMMYFUNCTION("""COMPUTED_VALUE"""),"")</f>
        <v/>
      </c>
      <c r="V998" s="106" t="str">
        <f>IFERROR(__xludf.DUMMYFUNCTION("""COMPUTED_VALUE"""),"")</f>
        <v/>
      </c>
      <c r="W998" s="143" t="str">
        <f t="shared" si="2"/>
        <v/>
      </c>
      <c r="X998" s="139" t="str">
        <f>IFERROR(__xludf.DUMMYFUNCTION("""COMPUTED_VALUE"""),"")</f>
        <v/>
      </c>
      <c r="Y998" s="141" t="str">
        <f>IFERROR(__xludf.DUMMYFUNCTION("""COMPUTED_VALUE"""),"")</f>
        <v/>
      </c>
    </row>
    <row r="999">
      <c r="C999" s="136" t="str">
        <f t="shared" si="3"/>
        <v/>
      </c>
      <c r="E999" s="106"/>
      <c r="G999" s="106" t="s">
        <v>133</v>
      </c>
      <c r="I999" s="139" t="s">
        <v>133</v>
      </c>
      <c r="J999" s="136" t="s">
        <v>133</v>
      </c>
      <c r="L999" s="136" t="str">
        <f t="shared" si="1"/>
        <v/>
      </c>
      <c r="N999" s="141" t="s">
        <v>133</v>
      </c>
      <c r="O999" s="136" t="str">
        <f>IFERROR(__xludf.DUMMYFUNCTION("""COMPUTED_VALUE"""),"")</f>
        <v/>
      </c>
      <c r="P999" s="136" t="str">
        <f>IFERROR(__xludf.DUMMYFUNCTION("""COMPUTED_VALUE"""),"")</f>
        <v/>
      </c>
      <c r="Q999" s="106" t="str">
        <f>IFERROR(__xludf.DUMMYFUNCTION("""COMPUTED_VALUE"""),"")</f>
        <v/>
      </c>
      <c r="R999" s="106" t="str">
        <f>IFERROR(__xludf.DUMMYFUNCTION("""COMPUTED_VALUE"""),"")</f>
        <v/>
      </c>
      <c r="S999" s="139" t="str">
        <f>IFERROR(__xludf.DUMMYFUNCTION("""COMPUTED_VALUE"""),"")</f>
        <v/>
      </c>
      <c r="T999" s="139" t="str">
        <f>IFERROR(__xludf.DUMMYFUNCTION("""COMPUTED_VALUE"""),"")</f>
        <v/>
      </c>
      <c r="U999" s="136" t="str">
        <f>IFERROR(__xludf.DUMMYFUNCTION("""COMPUTED_VALUE"""),"")</f>
        <v/>
      </c>
      <c r="V999" s="106" t="str">
        <f>IFERROR(__xludf.DUMMYFUNCTION("""COMPUTED_VALUE"""),"")</f>
        <v/>
      </c>
      <c r="W999" s="143" t="str">
        <f t="shared" si="2"/>
        <v/>
      </c>
      <c r="X999" s="139" t="str">
        <f>IFERROR(__xludf.DUMMYFUNCTION("""COMPUTED_VALUE"""),"")</f>
        <v/>
      </c>
      <c r="Y999" s="141" t="str">
        <f>IFERROR(__xludf.DUMMYFUNCTION("""COMPUTED_VALUE"""),"")</f>
        <v/>
      </c>
    </row>
    <row r="1000">
      <c r="C1000" s="136" t="str">
        <f t="shared" si="3"/>
        <v/>
      </c>
      <c r="E1000" s="106"/>
      <c r="G1000" s="106" t="s">
        <v>133</v>
      </c>
      <c r="I1000" s="139" t="s">
        <v>133</v>
      </c>
      <c r="J1000" s="136" t="s">
        <v>133</v>
      </c>
      <c r="L1000" s="136" t="str">
        <f t="shared" si="1"/>
        <v/>
      </c>
      <c r="N1000" s="141" t="s">
        <v>133</v>
      </c>
      <c r="O1000" s="136" t="str">
        <f>IFERROR(__xludf.DUMMYFUNCTION("""COMPUTED_VALUE"""),"")</f>
        <v/>
      </c>
      <c r="P1000" s="136" t="str">
        <f>IFERROR(__xludf.DUMMYFUNCTION("""COMPUTED_VALUE"""),"")</f>
        <v/>
      </c>
      <c r="Q1000" s="106" t="str">
        <f>IFERROR(__xludf.DUMMYFUNCTION("""COMPUTED_VALUE"""),"")</f>
        <v/>
      </c>
      <c r="R1000" s="106" t="str">
        <f>IFERROR(__xludf.DUMMYFUNCTION("""COMPUTED_VALUE"""),"")</f>
        <v/>
      </c>
      <c r="S1000" s="139" t="str">
        <f>IFERROR(__xludf.DUMMYFUNCTION("""COMPUTED_VALUE"""),"")</f>
        <v/>
      </c>
      <c r="T1000" s="139" t="str">
        <f>IFERROR(__xludf.DUMMYFUNCTION("""COMPUTED_VALUE"""),"")</f>
        <v/>
      </c>
      <c r="U1000" s="136" t="str">
        <f>IFERROR(__xludf.DUMMYFUNCTION("""COMPUTED_VALUE"""),"")</f>
        <v/>
      </c>
      <c r="V1000" s="106" t="str">
        <f>IFERROR(__xludf.DUMMYFUNCTION("""COMPUTED_VALUE"""),"")</f>
        <v/>
      </c>
      <c r="W1000" s="143" t="str">
        <f t="shared" si="2"/>
        <v/>
      </c>
      <c r="X1000" s="139" t="str">
        <f>IFERROR(__xludf.DUMMYFUNCTION("""COMPUTED_VALUE"""),"")</f>
        <v/>
      </c>
      <c r="Y1000" s="141" t="str">
        <f>IFERROR(__xludf.DUMMYFUNCTION("""COMPUTED_VALUE"""),"")</f>
        <v/>
      </c>
    </row>
    <row r="1001">
      <c r="C1001" s="136" t="str">
        <f t="shared" si="3"/>
        <v/>
      </c>
      <c r="E1001" s="106"/>
      <c r="G1001" s="106" t="s">
        <v>133</v>
      </c>
      <c r="I1001" s="139" t="s">
        <v>133</v>
      </c>
      <c r="J1001" s="136" t="s">
        <v>133</v>
      </c>
      <c r="L1001" s="136" t="str">
        <f t="shared" si="1"/>
        <v/>
      </c>
      <c r="N1001" s="141" t="s">
        <v>133</v>
      </c>
      <c r="O1001" s="136" t="str">
        <f>IFERROR(__xludf.DUMMYFUNCTION("""COMPUTED_VALUE"""),"")</f>
        <v/>
      </c>
      <c r="P1001" s="136" t="str">
        <f>IFERROR(__xludf.DUMMYFUNCTION("""COMPUTED_VALUE"""),"")</f>
        <v/>
      </c>
      <c r="Q1001" s="106" t="str">
        <f>IFERROR(__xludf.DUMMYFUNCTION("""COMPUTED_VALUE"""),"")</f>
        <v/>
      </c>
      <c r="R1001" s="106" t="str">
        <f>IFERROR(__xludf.DUMMYFUNCTION("""COMPUTED_VALUE"""),"")</f>
        <v/>
      </c>
      <c r="S1001" s="139" t="str">
        <f>IFERROR(__xludf.DUMMYFUNCTION("""COMPUTED_VALUE"""),"")</f>
        <v/>
      </c>
      <c r="T1001" s="139" t="str">
        <f>IFERROR(__xludf.DUMMYFUNCTION("""COMPUTED_VALUE"""),"")</f>
        <v/>
      </c>
      <c r="U1001" s="136" t="str">
        <f>IFERROR(__xludf.DUMMYFUNCTION("""COMPUTED_VALUE"""),"")</f>
        <v/>
      </c>
      <c r="V1001" s="106" t="str">
        <f>IFERROR(__xludf.DUMMYFUNCTION("""COMPUTED_VALUE"""),"")</f>
        <v/>
      </c>
      <c r="W1001" s="143" t="str">
        <f t="shared" si="2"/>
        <v/>
      </c>
      <c r="X1001" s="139" t="str">
        <f>IFERROR(__xludf.DUMMYFUNCTION("""COMPUTED_VALUE"""),"")</f>
        <v/>
      </c>
      <c r="Y1001" s="141" t="str">
        <f>IFERROR(__xludf.DUMMYFUNCTION("""COMPUTED_VALUE"""),"")</f>
        <v/>
      </c>
    </row>
  </sheetData>
  <conditionalFormatting sqref="C1:C1001">
    <cfRule type="cellIs" dxfId="0" priority="1" operator="equal">
      <formula>"True"</formula>
    </cfRule>
  </conditionalFormatting>
  <conditionalFormatting sqref="J1:J1001">
    <cfRule type="cellIs" dxfId="1" priority="2" operator="equal">
      <formula>"Breakfast"</formula>
    </cfRule>
  </conditionalFormatting>
  <conditionalFormatting sqref="J1:J1001">
    <cfRule type="cellIs" dxfId="2" priority="3" operator="equal">
      <formula>"Breakfast/Lunch"</formula>
    </cfRule>
  </conditionalFormatting>
  <conditionalFormatting sqref="J1:J1001">
    <cfRule type="cellIs" dxfId="3" priority="4" operator="equal">
      <formula>"Lunch"</formula>
    </cfRule>
  </conditionalFormatting>
  <conditionalFormatting sqref="J1:J1001">
    <cfRule type="cellIs" dxfId="4" priority="5" operator="equal">
      <formula>"Lunch/Dinner"</formula>
    </cfRule>
  </conditionalFormatting>
  <conditionalFormatting sqref="J1:J1001">
    <cfRule type="cellIs" dxfId="5" priority="6" operator="equal">
      <formula>"Dinner"</formula>
    </cfRule>
  </conditionalFormatting>
  <conditionalFormatting sqref="L1:L1001">
    <cfRule type="cellIs" dxfId="6" priority="7" operator="equal">
      <formula>"Monday"</formula>
    </cfRule>
  </conditionalFormatting>
  <conditionalFormatting sqref="L1:L1001">
    <cfRule type="cellIs" dxfId="7" priority="8" operator="equal">
      <formula>"Tuesday"</formula>
    </cfRule>
  </conditionalFormatting>
  <conditionalFormatting sqref="L1:L1001">
    <cfRule type="cellIs" dxfId="8" priority="9" operator="equal">
      <formula>"Wednesday"</formula>
    </cfRule>
  </conditionalFormatting>
  <conditionalFormatting sqref="L1:L1001">
    <cfRule type="cellIs" dxfId="9" priority="10" operator="equal">
      <formula>"Thursday"</formula>
    </cfRule>
  </conditionalFormatting>
  <conditionalFormatting sqref="L1:L1001">
    <cfRule type="cellIs" dxfId="10" priority="11" operator="equal">
      <formula>"Friday"</formula>
    </cfRule>
  </conditionalFormatting>
  <conditionalFormatting sqref="M1:M1001">
    <cfRule type="cellIs" dxfId="11" priority="12" operator="equal">
      <formula>"MF"</formula>
    </cfRule>
  </conditionalFormatting>
  <conditionalFormatting sqref="M1:M1001">
    <cfRule type="cellIs" dxfId="12" priority="13" operator="equal">
      <formula>"BF"</formula>
    </cfRule>
  </conditionalFormatting>
  <conditionalFormatting sqref="O2:O1001 Q2:Q1001 S2:S1001">
    <cfRule type="notContainsBlanks" dxfId="11" priority="14">
      <formula>LEN(TRIM(O2))&gt;0</formula>
    </cfRule>
  </conditionalFormatting>
  <conditionalFormatting sqref="P2:P1001 R2:R1001 T2:T1001">
    <cfRule type="notContainsBlanks" dxfId="12" priority="15">
      <formula>LEN(TRIM(P2))&gt;0</formula>
    </cfRule>
  </conditionalFormatting>
  <conditionalFormatting sqref="U2:W1001">
    <cfRule type="notContainsBlanks" dxfId="13" priority="16">
      <formula>LEN(TRIM(U2))&gt;0</formula>
    </cfRule>
  </conditionalFormatting>
  <conditionalFormatting sqref="X3:X1001">
    <cfRule type="notContainsBlanks" dxfId="1" priority="17">
      <formula>LEN(TRIM(X3))&gt;0</formula>
    </cfRule>
  </conditionalFormatting>
  <conditionalFormatting sqref="I1:I1001">
    <cfRule type="cellIs" dxfId="14" priority="18" operator="greaterThanOrEqual">
      <formula>100</formula>
    </cfRule>
  </conditionalFormatting>
  <conditionalFormatting sqref="I1:I1001">
    <cfRule type="cellIs" dxfId="15" priority="19" operator="greaterThanOrEqual">
      <formula>70</formula>
    </cfRule>
  </conditionalFormatting>
  <conditionalFormatting sqref="I1:I1001">
    <cfRule type="cellIs" dxfId="16" priority="20" operator="lessThanOrEqual">
      <formula>25</formula>
    </cfRule>
  </conditionalFormatting>
  <conditionalFormatting sqref="I1:I1001">
    <cfRule type="cellIs" dxfId="17" priority="21" operator="lessThanOrEqual">
      <formula>30</formula>
    </cfRule>
  </conditionalFormatting>
  <conditionalFormatting sqref="I1:I1001">
    <cfRule type="cellIs" dxfId="18" priority="22" operator="lessThanOrEqual">
      <formula>40</formula>
    </cfRule>
  </conditionalFormatting>
  <conditionalFormatting sqref="K3:K1001">
    <cfRule type="expression" dxfId="19" priority="23">
      <formula>AND(K3&lt;&gt;"", ISEVEN(SUMPRODUCT((#REF!&lt;&gt;OFFSET(#REF!,-1,0))*(#REF!&lt;&gt;""))))</formula>
    </cfRule>
  </conditionalFormatting>
  <conditionalFormatting sqref="N3:N1001">
    <cfRule type="colorScale" priority="24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Y3:Y1001">
    <cfRule type="colorScale" priority="25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G3:G1001">
    <cfRule type="cellIs" dxfId="20" priority="26" operator="lessThan">
      <formula>0</formula>
    </cfRule>
  </conditionalFormatting>
  <conditionalFormatting sqref="G3:G1001">
    <cfRule type="cellIs" dxfId="20" priority="27" operator="greaterThan">
      <formula>0.25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hidden="1" min="2" max="2" width="9.5"/>
    <col customWidth="1" min="4" max="4" width="9.5"/>
    <col customWidth="1" min="5" max="5" width="10.88"/>
    <col customWidth="1" min="6" max="6" width="7.63"/>
    <col customWidth="1" min="7" max="7" width="10.88"/>
    <col customWidth="1" min="8" max="8" width="7.63"/>
    <col customWidth="1" min="9" max="9" width="6.5"/>
    <col customWidth="1" min="10" max="10" width="8.5"/>
    <col customWidth="1" min="11" max="11" width="11.0"/>
    <col customWidth="1" min="12" max="12" width="9.63"/>
    <col customWidth="1" min="14" max="14" width="5.63"/>
    <col customWidth="1" min="15" max="15" width="9.13"/>
    <col customWidth="1" min="16" max="24" width="6.75"/>
    <col customWidth="1" min="25" max="25" width="7.38"/>
    <col customWidth="1" min="26" max="26" width="9.75"/>
  </cols>
  <sheetData>
    <row r="1">
      <c r="A1" s="113" t="s">
        <v>102</v>
      </c>
      <c r="B1" s="107" t="s">
        <v>102</v>
      </c>
      <c r="C1" s="107" t="s">
        <v>102</v>
      </c>
      <c r="D1" s="107" t="s">
        <v>103</v>
      </c>
      <c r="E1" s="147" t="s">
        <v>102</v>
      </c>
      <c r="F1" s="108" t="s">
        <v>102</v>
      </c>
      <c r="G1" s="147" t="s">
        <v>102</v>
      </c>
      <c r="H1" s="109" t="s">
        <v>104</v>
      </c>
      <c r="I1" s="110" t="s">
        <v>102</v>
      </c>
      <c r="J1" s="111" t="s">
        <v>104</v>
      </c>
      <c r="K1" s="107" t="s">
        <v>104</v>
      </c>
      <c r="L1" s="148" t="s">
        <v>102</v>
      </c>
      <c r="M1" s="107" t="s">
        <v>103</v>
      </c>
      <c r="N1" s="107" t="s">
        <v>102</v>
      </c>
      <c r="O1" s="112" t="s">
        <v>104</v>
      </c>
      <c r="P1" s="107" t="s">
        <v>104</v>
      </c>
      <c r="Q1" s="107" t="s">
        <v>104</v>
      </c>
      <c r="R1" s="108" t="s">
        <v>104</v>
      </c>
      <c r="S1" s="108" t="s">
        <v>104</v>
      </c>
      <c r="T1" s="111" t="s">
        <v>104</v>
      </c>
      <c r="U1" s="111" t="s">
        <v>104</v>
      </c>
      <c r="V1" s="107" t="s">
        <v>104</v>
      </c>
      <c r="W1" s="108" t="s">
        <v>104</v>
      </c>
      <c r="X1" s="113" t="s">
        <v>103</v>
      </c>
      <c r="Y1" s="114" t="s">
        <v>104</v>
      </c>
      <c r="Z1" s="112" t="s">
        <v>104</v>
      </c>
      <c r="AA1" s="115" t="s">
        <v>102</v>
      </c>
      <c r="AB1" s="115" t="s">
        <v>102</v>
      </c>
      <c r="AC1" s="116" t="s">
        <v>103</v>
      </c>
      <c r="AD1" s="36"/>
      <c r="AE1" s="36"/>
      <c r="AF1" s="36"/>
      <c r="AG1" s="36"/>
      <c r="AH1" s="36"/>
      <c r="AI1" s="36"/>
    </row>
    <row r="2">
      <c r="A2" s="65" t="s">
        <v>135</v>
      </c>
      <c r="B2" s="2" t="s">
        <v>105</v>
      </c>
      <c r="C2" s="2" t="s">
        <v>106</v>
      </c>
      <c r="D2" s="65" t="s">
        <v>107</v>
      </c>
      <c r="E2" s="149" t="s">
        <v>108</v>
      </c>
      <c r="F2" s="117" t="s">
        <v>109</v>
      </c>
      <c r="G2" s="149" t="s">
        <v>110</v>
      </c>
      <c r="H2" s="117" t="s">
        <v>111</v>
      </c>
      <c r="I2" s="118" t="s">
        <v>112</v>
      </c>
      <c r="J2" s="119" t="s">
        <v>113</v>
      </c>
      <c r="K2" s="120" t="s">
        <v>7</v>
      </c>
      <c r="L2" s="150" t="s">
        <v>114</v>
      </c>
      <c r="M2" s="2" t="s">
        <v>115</v>
      </c>
      <c r="N2" s="65" t="s">
        <v>116</v>
      </c>
      <c r="O2" s="121" t="s">
        <v>117</v>
      </c>
      <c r="P2" s="122" t="s">
        <v>118</v>
      </c>
      <c r="Q2" s="123" t="s">
        <v>119</v>
      </c>
      <c r="R2" s="124" t="s">
        <v>120</v>
      </c>
      <c r="S2" s="125" t="s">
        <v>121</v>
      </c>
      <c r="T2" s="126" t="s">
        <v>122</v>
      </c>
      <c r="U2" s="127" t="s">
        <v>123</v>
      </c>
      <c r="V2" s="128" t="s">
        <v>124</v>
      </c>
      <c r="W2" s="129" t="s">
        <v>125</v>
      </c>
      <c r="X2" s="128" t="s">
        <v>126</v>
      </c>
      <c r="Y2" s="130" t="s">
        <v>127</v>
      </c>
      <c r="Z2" s="65" t="s">
        <v>128</v>
      </c>
      <c r="AA2" s="131" t="s">
        <v>129</v>
      </c>
      <c r="AB2" s="132" t="s">
        <v>130</v>
      </c>
      <c r="AC2" s="133" t="s">
        <v>131</v>
      </c>
      <c r="AD2" s="134"/>
      <c r="AE2" s="134"/>
      <c r="AF2" s="134"/>
      <c r="AG2" s="134"/>
      <c r="AH2" s="134"/>
      <c r="AI2" s="134"/>
    </row>
    <row r="3">
      <c r="A3" s="136" t="str">
        <f>IFERROR(__xludf.DUMMYFUNCTION("IMPORTRANGE(""1GJ8c1TTo9A3haAe2JSyfAs7EleHkjv6-axvbP5rlOmg"",""CompostLogs!A2:A500"")"),"LOG-6734C510")</f>
        <v>LOG-6734C510</v>
      </c>
      <c r="B3" s="151">
        <f>IFERROR(__xludf.DUMMYFUNCTION("IMPORTRANGE(""1GJ8c1TTo9A3haAe2JSyfAs7EleHkjv6-axvbP5rlOmg"",""CompostLogs!K2:K500"")"),46043.625)</f>
        <v>46043.625</v>
      </c>
      <c r="C3" s="136" t="str">
        <f>IFERROR(__xludf.DUMMYFUNCTION("ARRAYFORMULA(
  IFERROR(
    VLOOKUP(
      IMPORTRANGE(""1GJ8c1TTo9A3haAe2JSyfAs7EleHkjv6-axvbP5rlOmg"",""CompostLogs!C2:C""),
      IMPORTRANGE(""1GJ8c1TTo9A3haAe2JSyfAs7EleHkjv6-axvbP5rlOmg"",""Ambassadors!A2:B""),
      2, FALSE
    ),
    """"
  )
)"),"Brynn Hornig")</f>
        <v>Brynn Hornig</v>
      </c>
      <c r="D3" s="136" t="b">
        <f>false</f>
        <v>0</v>
      </c>
      <c r="E3" s="152">
        <f>IFERROR(__xludf.DUMMYFUNCTION("ARRAYFORMULA(IF(IMPORTRANGE(""1GJ8c1TTo9A3haAe2JSyfAs7EleHkjv6-axvbP5rlOmg"",""CompostLogs!J2:J"")="""","""",TIMEVALUE(TEXT(IMPORTRANGE(""1GJ8c1TTo9A3haAe2JSyfAs7EleHkjv6-axvbP5rlOmg"",""CompostLogs!J2:J""),""HH:MM:SS""))))"),0.5208333333333334)</f>
        <v>0.5208333333</v>
      </c>
      <c r="F3" s="106">
        <f t="array" ref="F3:F3513">IF(E3:E3513="","",G3:G3513-E3:E3513)</f>
        <v>0.1041666667</v>
      </c>
      <c r="G3" s="152">
        <f>IFERROR(__xludf.DUMMYFUNCTION("ARRAYFORMULA(IF(IMPORTRANGE(""1GJ8c1TTo9A3haAe2JSyfAs7EleHkjv6-axvbP5rlOmg"",""CompostLogs!J2:J"")="""","""",TIMEVALUE(TEXT(IMPORTRANGE(""1GJ8c1TTo9A3haAe2JSyfAs7EleHkjv6-axvbP5rlOmg"",""CompostLogs!K2:K""),""HH:MM:SS""))))"),0.625)</f>
        <v>0.625</v>
      </c>
      <c r="H3" s="106">
        <f t="array" ref="H3:H3513">IF(D3:D3513="","",
    IF(D3:D3513=TRUE,"",
      SUMIF(
        SCAN(0,D3:D3513,LAMBDA(a,c,a+(c=FALSE))),
        SCAN(0,D3:D3513,LAMBDA(a,c,a+(c=FALSE))),
        F3:F3513
      )
    )
  )
</f>
        <v>0.1041666667</v>
      </c>
      <c r="I3" s="145">
        <f>IFERROR(__xludf.DUMMYFUNCTION("IMPORTRANGE(""1GJ8c1TTo9A3haAe2JSyfAs7EleHkjv6-axvbP5rlOmg"",""CompostLogs!H2:H"")"),129.0)</f>
        <v>129</v>
      </c>
      <c r="J3" s="139">
        <f t="array" ref="J3:J3513">IF(D3:D3513="","",
    IF(D3:D3513=TRUE,"",
      IFERROR(
        SUMIF(
          SCAN(0,D3:D3513,LAMBDA(a,c,a+(c=FALSE))),
          SCAN(0,D3:D3513,LAMBDA(a,c,a+(c=FALSE))),
          I3:I3513
        ) / (24 * H3:H3513),
        ""
      )
    )
  )
</f>
        <v>51.6</v>
      </c>
      <c r="K3" s="136" t="str">
        <f t="array" ref="K3:K3513">IF(E3:E3513="","",
    IF(
      (E3:E3513 &lt; 'Master Sheet'!M5) * (G3:G3513 &gt; 'Master Sheet'!L6), "Breakfast/Lunch",
      IF(
        (E3:E3513 &lt; ('Master Sheet'!M6-0.01)) * (G3:G3513 &gt; 'Master Sheet'!L7), "Lunch/Dinner",
        IF(
          (E3:E3513 &gt;= 'Master Sheet'!L5) * (G3:G3513 &lt;= 'Master Sheet'!M5), "Breakfast",
          IF(
            (E3:E3513 &gt;= 'Master Sheet'!L6) * (G3:G3513 &lt;= 'Master Sheet'!M6), "Lunch",
            IF(
              (E3:E3513 &gt;= ('Master Sheet'!L7-0.01)) * (G3:G3513 &lt;= 'Master Sheet'!M7), "Dinner",
              ""
            )
          )
        )
      )
    )
  )
</f>
        <v>Lunch</v>
      </c>
      <c r="L3" s="153">
        <f>IFERROR(__xludf.DUMMYFUNCTION("ARRAYFORMULA(
  IFERROR(
    DATEVALUE(TEXT(
      VLOOKUP(
        IMPORTRANGE(""1GJ8c1TTo9A3haAe2JSyfAs7EleHkjv6-axvbP5rlOmg"",""CompostLogs!B2:B""),
        IMPORTRANGE(""1GJ8c1TTo9A3haAe2JSyfAs7EleHkjv6-axvbP5rlOmg"",""ClockEvents!B2:E""),
        4, "&amp;"FALSE
      ),
    ""MM/DD/YYYY"")),
    """"
  )
)"),46043.0)</f>
        <v>46043</v>
      </c>
      <c r="M3" s="136" t="str">
        <f t="shared" ref="M3:M3513" si="1">IFS( L3="","",
  WEEKDAY(L3)=1, "Sunday",
  WEEKDAY(L3)=2, "Monday",
  WEEKDAY(L3)=3, "Tuesday",
  WEEKDAY(L3)=4, "Wednesday",
  WEEKDAY(L3)=5, "Thursday",
  WEEKDAY(L3)=6, "Friday",
  WEEKDAY(L3)=7, "Saturday"
)</f>
        <v>Wednesday</v>
      </c>
      <c r="N3" s="136" t="str">
        <f>IFERROR(__xludf.DUMMYFUNCTION("ARRAYFORMULA(
  IFERROR(
    IF(
      VLOOKUP(
        IMPORTRANGE(""1GJ8c1TTo9A3haAe2JSyfAs7EleHkjv6-axvbP5rlOmg"",""CompostLogs!B2:B""),
        IMPORTRANGE(""1GJ8c1TTo9A3haAe2JSyfAs7EleHkjv6-axvbP5rlOmg"",""ClockEvents!B2:D""),
        3, FALSE
      "&amp;")=""Mainfare"",""MF"",""BF""
    ),
    """"
  )
)"),"MF")</f>
        <v>MF</v>
      </c>
      <c r="O3" s="141">
        <f t="array" ref="O3:O3513">IF(J3:J3513="","",
 IF(K3:K3513="", "",
  IF(K3:K3513="Breakfast",
    IF(N3:N3513="MF",
      J3:J3513 /
        INDEX('Std Deviations'!AG22:AG26,
              MATCH(M3:M3513, {"Monday","Tuesday","Wednesday","Thursday","Friday"},0)),
    IF(N3:N3513="BF",
      J3:J3513 /
        INDEX('Std Deviations'!AG32:AG36,
              MATCH(M3:M3513, {"Monday","Tuesday","Wednesday","Thursday","Friday"},0)),
    "")),
  IF(K3:K3513="Breakfast/Lunch",
    J3:J3513 / (
      (INDEX('Std Deviations'!AG22:AG26,
              MATCH(M3:M3513, {"Monday","Tuesday","Wednesday","Thursday","Friday"},0))
        * ( 'Master Sheet'!L6 - E3:E3513 ) / F3:F3513 )
      +
      (INDEX('Std Deviations'!AG32:AG36,
              MATCH(M3:M3513, {"Monday","Tuesday","Wednesday","Thursday","Friday"},0))
        * ( G3:G3513 - 'Master Sheet'!L6 ) / F3:F3513 )
    ),
  IF(K3:K3513="Lunch",
    IF(N3:N3513="MF",
      J3:J3513 /
        INDEX('Std Deviations'!AC32:AC36,
              MATCH(M3:M3513, {"Monday","Tuesday","Wednesday","Thursday","Friday"},0)),
    IF(N3:N3513="BF",
      J3:J3513 /
        INDEX('Std Deviations'!AG32:AG36,
              MATCH(M3:M3513, {"Monday","Tuesday","Wednesday","Thursday","Friday"},0)),
    "")),
  IF(K3:K3513="Lunch/Dinner",
    J3:J3513 / (
      (INDEX('Std Deviations'!AC32:AC36,
              MATCH(M3:M3513, {"Monday","Tuesday","Wednesday","Thursday","Friday"},0))
        * ( 'Master Sheet'!L7 - E3:E3513 ) / F3:F3513 )
      +
      (INDEX('Std Deviations'!AC42:AC46,
              MATCH(M3:M3513, {"Monday","Tuesday","Wednesday","Thursday","Friday"},0))
        * ( G3:G3513 - 'Master Sheet'!L7 ) / F3:F3513 )
    ),
  IF(K3:K3513="Dinner",
    IF(N3:N3513="MF",
      J3:J3513 /
        INDEX('Std Deviations'!AC42:AC46,
              MATCH(M3:M3513, {"Monday","Tuesday","Wednesday","Thursday","Friday"},0)),
    IF(N3:N3513="BF",
      J3:J3513 /
        INDEX('Std Deviations'!AG42:AG45,
              MATCH(M3:M3513, {"Monday","Tuesday","Wednesday","Thursday"},0)),
    "")),
  "")))))))</f>
        <v>1.026304128</v>
      </c>
      <c r="P3" s="136">
        <f>IFERROR(__xludf.DUMMYFUNCTION("BYROW('Bulk Data1'!L3:L3513, LAMBDA(r,
  IF(r="""","""",
    LET(
      nextVal, IFERROR(INDEX('Bulk Data1'!L3:L3513, ROW(r)-ROW('Bulk Data1'!L3)+2), """"),
      IF(r &lt;&gt; nextVal,
         IFERROR(
           SUM(FILTER('Bulk Data1'!I3:I3513, 'Bulk Data1'"&amp;"!L3:L3513 = r, 'Bulk Data1'!N3:N3513 = ""MF"")),
           """"
         ),
         """"
      )
    )
  )
))"),129.0)</f>
        <v>129</v>
      </c>
      <c r="Q3" s="136" t="str">
        <f>IFERROR(__xludf.DUMMYFUNCTION("BYROW('Bulk Data1'!L3:L3513, LAMBDA(r,
  IF(r="""","""",
    LET(
      nextVal, IFERROR(INDEX('Bulk Data1'!L3:L3513, ROW(r)-ROW('Bulk Data1'!L3)+2), """"),
      IF(r &lt;&gt; nextVal,
         IFERROR(
           IF(SUM(FILTER('Bulk Data1'!I3:I3513, 'Bulk Dat"&amp;"a1'!L3:L3513 = r, 'Bulk Data1'!N3:N3513 = ""BF""))=0,"""",
             SUM(FILTER('Bulk Data1'!I3:I3513, 'Bulk Data1'!L3:L3513 = r, 'Bulk Data1'!N3:N3513 = ""BF""))
           ),
           """"
         ),
         """"
      )
    )
  )
))
"),"")</f>
        <v/>
      </c>
      <c r="R3" s="106">
        <f>IFERROR(__xludf.DUMMYFUNCTION("BYROW('Bulk Data1'!L3:L3513, LAMBDA(r,
  IF(r="""","""",
    LET(
      nextVal, IFERROR(INDEX('Bulk Data1'!L3:L3513, ROW(r)-ROW('Bulk Data1'!L3)+2), """"),
      IF(r &lt;&gt; nextVal,
         IFERROR(
           IF(SUM(FILTER('Bulk Data1'!F3:F3513, 'Bulk Dat"&amp;"a1'!L3:L3513=r, 'Bulk Data1'!N3:N3513=""MF""))=0,"""",
             SUM(FILTER('Bulk Data1'!F3:F3513, 'Bulk Data1'!L3:L3513=r, 'Bulk Data1'!N3:N3513=""MF""))
           ),
           """"
         ),
         """"
      )
    )
  )
))
"),0.10416666666666663)</f>
        <v>0.1041666667</v>
      </c>
      <c r="S3" s="106" t="str">
        <f>IFERROR(__xludf.DUMMYFUNCTION("BYROW('Bulk Data1'!L3:L3513, LAMBDA(r,
  IF(r="""","""",
    LET(
      nextVal, IFERROR(INDEX('Bulk Data1'!L3:L3513, ROW(r)-ROW('Bulk Data1'!L3)+2), """"),
      IF(r &lt;&gt; nextVal,
         IFERROR(
           IF(SUM(FILTER('Bulk Data1'!F3:F3513, 'Bulk Dat"&amp;"a1'!L3:L3513=r, 'Bulk Data1'!N3:N3513=""BF""))=0,"""",
             SUM(FILTER('Bulk Data1'!F3:F3513, 'Bulk Data1'!L3:L3513=r, 'Bulk Data1'!N3:N3513=""BF""))
           ),
           """"
         ),
         """"
      )
    )
  )
))"),"")</f>
        <v/>
      </c>
      <c r="T3" s="139">
        <f>IFERROR(__xludf.DUMMYFUNCTION("BYROW('Bulk Data1'!L3:L3513, LAMBDA(r,
  IF(r="""","""",
    LET(
      nextVal, IFERROR(INDEX('Bulk Data1'!L3:L3513, ROW(r)-ROW('Bulk Data1'!L3)+2), """"),
      IF(r &lt;&gt; nextVal,
         IFERROR(
           IF(AVERAGE(FILTER('Bulk Data1'!J3:J3513, 'Bulk"&amp;" Data1'!L3:L3513=r, 'Bulk Data1'!N3:N3513=""MF""))=0,"""",
             AVERAGE(FILTER('Bulk Data1'!J3:J3513, 'Bulk Data1'!L3:L3513=r, 'Bulk Data1'!N3:N3513=""MF""))
           ),
           """"
         ),
         """"
      )
    )
  )
))
"),51.600000000000016)</f>
        <v>51.6</v>
      </c>
      <c r="U3" s="139" t="str">
        <f>IFERROR(__xludf.DUMMYFUNCTION("BYROW('Bulk Data1'!L3:L3513, LAMBDA(r,
  IF(r="""","""",
    LET(
      nextVal, IFERROR(INDEX('Bulk Data1'!L3:L3513, ROW(r)-ROW('Bulk Data1'!L3)+2), """"),
      IF(r &lt;&gt; nextVal,
         IFERROR(
           IF(AVERAGE(FILTER('Bulk Data1'!J3:J3513, 'Bulk"&amp;" Data1'!L3:L3513=r, 'Bulk Data1'!N3:N3513=""BF""))=0,"""",
             AVERAGE(FILTER('Bulk Data1'!J3:J3513, 'Bulk Data1'!L3:L3513=r, 'Bulk Data1'!N3:N3513=""BF""))
           ),
           """"
         ),
         """"
      )
    )
  )
))
"),"")</f>
        <v/>
      </c>
      <c r="V3" s="136">
        <f>IFERROR(__xludf.DUMMYFUNCTION("BYROW('Bulk Data1'!L3:L3513, LAMBDA(r,
  IF(r="""","""",
    LET(
      nextVal, IFERROR(INDEX('Bulk Data1'!L3:L3513, ROW(r)-ROW('Bulk Data1'!L3)+2), """"),
      IF(r &lt;&gt; nextVal,
         IFERROR(
           SUM(FILTER('Bulk Data1'!I3:I3513, 'Bulk Data1'"&amp;"!L3:L3513 = r)),
           """"
         ),
         """"
      )
    )
  )
))
"),129.0)</f>
        <v>129</v>
      </c>
      <c r="W3" s="142">
        <f>IFERROR(__xludf.DUMMYFUNCTION("BYROW('Bulk Data1'!L3:L3513, LAMBDA(r,
  IF(r="""","""",
    LET(
      nextVal, IFERROR(INDEX('Bulk Data1'!L3:L3513, ROW(r)-ROW('Bulk Data1'!L3)+2), """"),
      IF(r &lt;&gt; nextVal,
         IFERROR(
           SUM(FILTER('Bulk Data1'!F3:F3513, 'Bulk Data1'"&amp;"!L3:L3513 = r)),
           """"
         ),
         """"
      )
    )
  )
))
"),0.10416666666666663)</f>
        <v>0.1041666667</v>
      </c>
      <c r="X3" s="143">
        <f t="shared" ref="X3:X3513" si="2">iferror(if(V3/(W3*24)=0,"",V3/(W3*24)),"")</f>
        <v>51.6</v>
      </c>
      <c r="Y3" s="139">
        <f>IFERROR(__xludf.DUMMYFUNCTION("BYROW('Bulk Data1'!L3:L3513, LAMBDA(r,
  IF(r="""","""",
    LET(
      nextVal, IFERROR(INDEX('Bulk Data1'!L3:L3513, ROW(r)-ROW('Bulk Data1'!L3)+2), """"),
      IF(r &lt;&gt; nextVal,
         IFERROR(
           AVERAGE(FILTER('Bulk Data1'!J3:J3513, 'Bulk Da"&amp;"ta1'!L3:L3513 = r)),
           """"
         ),
         """"
      )
    )
  )
))
"),51.600000000000016)</f>
        <v>51.6</v>
      </c>
      <c r="Z3" s="141">
        <f>IFERROR(__xludf.DUMMYFUNCTION("BYROW('Bulk Data1'!L3:L3513, LAMBDA(r,
  IF(r="""","""",
    LET(
      nextVal, IFERROR(INDEX('Bulk Data1'!L3:L3513, ROW(r)-ROW('Bulk Data1'!L3)+2), """"),
      IF(r &lt;&gt; nextVal,
         LET(
           filteredVals,
             FILTER(
               "&amp;"IF(
                 'Bulk Data1'!K3:K3513="""","""",
                 IF('Bulk Data1'!K3:K3513=""Breakfast"",
                    'Bulk Data1'!J3:J3513/'Period Data'!A30,
                 IF('Bulk Data1'!K3:K3513=""Breakfast/Lunch"",
                    "&amp;"'Bulk Data1'!J3:J3513/'Period Data'!G30,
                 IF('Bulk Data1'!K3:K3513=""Lunch"",
                    'Bulk Data1'!J3:J3513/'Period Data'!M30,
                 IF('Bulk Data1'!K3:K3513=""Lunch/Dinner"",
                    'Bulk Data1'!J3:J351"&amp;"3/'Period Data'!S30,
                 IF('Bulk Data1'!K3:K3513=""Dinner"",
                    'Bulk Data1'!J3:J3513/'Period Data'!Y30,
                    """"
                 )))))
               ),
               'Bulk Data1'!L3:L3513 = r
            "&amp;" ),
           IFERROR(AVERAGE(filteredVals),"""")
         ),
         """"
      )
    )
  )
))
"),1.0184732700316355)</f>
        <v>1.01847327</v>
      </c>
    </row>
    <row r="4">
      <c r="A4" s="136" t="str">
        <f>IFERROR(__xludf.DUMMYFUNCTION("""COMPUTED_VALUE"""),"LOG-A4440025")</f>
        <v>LOG-A4440025</v>
      </c>
      <c r="B4" s="151">
        <f>IFERROR(__xludf.DUMMYFUNCTION("""COMPUTED_VALUE"""),46044.78125)</f>
        <v>46044.78125</v>
      </c>
      <c r="C4" s="136" t="str">
        <f>IFERROR(__xludf.DUMMYFUNCTION("""COMPUTED_VALUE"""),"Emmett Khan")</f>
        <v>Emmett Khan</v>
      </c>
      <c r="D4" s="136" t="b">
        <f t="shared" ref="D4:D3513" si="3">IF(
  C4="",
  "",
  AND(
    C4=C3,
    L4=L3,
    ABS(E4 - G3) &lt;= TIME(0,25,0)
  )
)</f>
        <v>0</v>
      </c>
      <c r="E4" s="152">
        <f>IFERROR(__xludf.DUMMYFUNCTION("""COMPUTED_VALUE"""),0.7083333333333334)</f>
        <v>0.7083333333</v>
      </c>
      <c r="F4" s="106">
        <v>0.07291666666666663</v>
      </c>
      <c r="G4" s="152">
        <f>IFERROR(__xludf.DUMMYFUNCTION("""COMPUTED_VALUE"""),0.78125)</f>
        <v>0.78125</v>
      </c>
      <c r="H4" s="106">
        <v>0.07291666666666663</v>
      </c>
      <c r="I4" s="136">
        <f>IFERROR(__xludf.DUMMYFUNCTION("""COMPUTED_VALUE"""),114.0)</f>
        <v>114</v>
      </c>
      <c r="J4" s="139">
        <v>65.14285714285718</v>
      </c>
      <c r="K4" s="136" t="s">
        <v>18</v>
      </c>
      <c r="L4" s="153">
        <f>IFERROR(__xludf.DUMMYFUNCTION("""COMPUTED_VALUE"""),46044.0)</f>
        <v>46044</v>
      </c>
      <c r="M4" s="136" t="str">
        <f t="shared" si="1"/>
        <v>Thursday</v>
      </c>
      <c r="N4" s="136" t="str">
        <f>IFERROR(__xludf.DUMMYFUNCTION("""COMPUTED_VALUE"""),"BF")</f>
        <v>BF</v>
      </c>
      <c r="O4" s="141">
        <v>1.4661308001248112</v>
      </c>
      <c r="P4" s="136" t="str">
        <f>IFERROR(__xludf.DUMMYFUNCTION("""COMPUTED_VALUE"""),"")</f>
        <v/>
      </c>
      <c r="Q4" s="136" t="str">
        <f>IFERROR(__xludf.DUMMYFUNCTION("""COMPUTED_VALUE"""),"")</f>
        <v/>
      </c>
      <c r="R4" s="106" t="str">
        <f>IFERROR(__xludf.DUMMYFUNCTION("""COMPUTED_VALUE"""),"")</f>
        <v/>
      </c>
      <c r="S4" s="106" t="str">
        <f>IFERROR(__xludf.DUMMYFUNCTION("""COMPUTED_VALUE"""),"")</f>
        <v/>
      </c>
      <c r="T4" s="139" t="str">
        <f>IFERROR(__xludf.DUMMYFUNCTION("""COMPUTED_VALUE"""),"")</f>
        <v/>
      </c>
      <c r="U4" s="139" t="str">
        <f>IFERROR(__xludf.DUMMYFUNCTION("""COMPUTED_VALUE"""),"")</f>
        <v/>
      </c>
      <c r="V4" s="136" t="str">
        <f>IFERROR(__xludf.DUMMYFUNCTION("""COMPUTED_VALUE"""),"")</f>
        <v/>
      </c>
      <c r="W4" s="106" t="str">
        <f>IFERROR(__xludf.DUMMYFUNCTION("""COMPUTED_VALUE"""),"")</f>
        <v/>
      </c>
      <c r="X4" s="143" t="str">
        <f t="shared" si="2"/>
        <v/>
      </c>
      <c r="Y4" s="139" t="str">
        <f>IFERROR(__xludf.DUMMYFUNCTION("""COMPUTED_VALUE"""),"")</f>
        <v/>
      </c>
      <c r="Z4" s="141" t="str">
        <f>IFERROR(__xludf.DUMMYFUNCTION("""COMPUTED_VALUE"""),"")</f>
        <v/>
      </c>
    </row>
    <row r="5">
      <c r="A5" s="136" t="str">
        <f>IFERROR(__xludf.DUMMYFUNCTION("""COMPUTED_VALUE"""),"LOG-A506ABAB")</f>
        <v>LOG-A506ABAB</v>
      </c>
      <c r="B5" s="151">
        <f>IFERROR(__xludf.DUMMYFUNCTION("""COMPUTED_VALUE"""),46044.78888888889)</f>
        <v>46044.78889</v>
      </c>
      <c r="C5" s="136" t="str">
        <f>IFERROR(__xludf.DUMMYFUNCTION("""COMPUTED_VALUE"""),"Orpheus Wilson")</f>
        <v>Orpheus Wilson</v>
      </c>
      <c r="D5" s="136" t="b">
        <f t="shared" si="3"/>
        <v>0</v>
      </c>
      <c r="E5" s="152">
        <f>IFERROR(__xludf.DUMMYFUNCTION("""COMPUTED_VALUE"""),0.7118055555555556)</f>
        <v>0.7118055556</v>
      </c>
      <c r="F5" s="106">
        <v>0.07708333333333328</v>
      </c>
      <c r="G5" s="152">
        <f>IFERROR(__xludf.DUMMYFUNCTION("""COMPUTED_VALUE"""),0.7888888888888889)</f>
        <v>0.7888888889</v>
      </c>
      <c r="H5" s="106">
        <v>0.07708333333333328</v>
      </c>
      <c r="I5" s="136">
        <f>IFERROR(__xludf.DUMMYFUNCTION("""COMPUTED_VALUE"""),104.0)</f>
        <v>104</v>
      </c>
      <c r="J5" s="139">
        <v>56.21621621621625</v>
      </c>
      <c r="K5" s="136" t="s">
        <v>18</v>
      </c>
      <c r="L5" s="153">
        <f>IFERROR(__xludf.DUMMYFUNCTION("""COMPUTED_VALUE"""),46044.0)</f>
        <v>46044</v>
      </c>
      <c r="M5" s="136" t="str">
        <f t="shared" si="1"/>
        <v>Thursday</v>
      </c>
      <c r="N5" s="136" t="str">
        <f>IFERROR(__xludf.DUMMYFUNCTION("""COMPUTED_VALUE"""),"MF")</f>
        <v>MF</v>
      </c>
      <c r="O5" s="141">
        <v>1.1758389290050308</v>
      </c>
      <c r="P5" s="136">
        <f>IFERROR(__xludf.DUMMYFUNCTION("""COMPUTED_VALUE"""),104.0)</f>
        <v>104</v>
      </c>
      <c r="Q5" s="136">
        <f>IFERROR(__xludf.DUMMYFUNCTION("""COMPUTED_VALUE"""),114.0)</f>
        <v>114</v>
      </c>
      <c r="R5" s="106">
        <f>IFERROR(__xludf.DUMMYFUNCTION("""COMPUTED_VALUE"""),0.07708333333333328)</f>
        <v>0.07708333333</v>
      </c>
      <c r="S5" s="106">
        <f>IFERROR(__xludf.DUMMYFUNCTION("""COMPUTED_VALUE"""),0.07291666666666663)</f>
        <v>0.07291666667</v>
      </c>
      <c r="T5" s="139">
        <f>IFERROR(__xludf.DUMMYFUNCTION("""COMPUTED_VALUE"""),56.21621621621625)</f>
        <v>56.21621622</v>
      </c>
      <c r="U5" s="139">
        <f>IFERROR(__xludf.DUMMYFUNCTION("""COMPUTED_VALUE"""),65.14285714285718)</f>
        <v>65.14285714</v>
      </c>
      <c r="V5" s="136">
        <f>IFERROR(__xludf.DUMMYFUNCTION("""COMPUTED_VALUE"""),218.0)</f>
        <v>218</v>
      </c>
      <c r="W5" s="106">
        <f>IFERROR(__xludf.DUMMYFUNCTION("""COMPUTED_VALUE"""),0.1499999999999999)</f>
        <v>0.15</v>
      </c>
      <c r="X5" s="143">
        <f t="shared" si="2"/>
        <v>60.55555556</v>
      </c>
      <c r="Y5" s="139">
        <f>IFERROR(__xludf.DUMMYFUNCTION("""COMPUTED_VALUE"""),60.67953667953672)</f>
        <v>60.67953668</v>
      </c>
      <c r="Z5" s="141">
        <f>IFERROR(__xludf.DUMMYFUNCTION("""COMPUTED_VALUE"""),1.0807181040307845)</f>
        <v>1.080718104</v>
      </c>
    </row>
    <row r="6">
      <c r="A6" s="136" t="str">
        <f>IFERROR(__xludf.DUMMYFUNCTION("""COMPUTED_VALUE"""),"LOG-50D5AA76")</f>
        <v>LOG-50D5AA76</v>
      </c>
      <c r="B6" s="151">
        <f>IFERROR(__xludf.DUMMYFUNCTION("""COMPUTED_VALUE"""),46045.625)</f>
        <v>46045.625</v>
      </c>
      <c r="C6" s="136" t="str">
        <f>IFERROR(__xludf.DUMMYFUNCTION("""COMPUTED_VALUE"""),"Oluwatimilehin Shodipe")</f>
        <v>Oluwatimilehin Shodipe</v>
      </c>
      <c r="D6" s="136" t="b">
        <f t="shared" si="3"/>
        <v>0</v>
      </c>
      <c r="E6" s="152">
        <f>IFERROR(__xludf.DUMMYFUNCTION("""COMPUTED_VALUE"""),0.5048611111111111)</f>
        <v>0.5048611111</v>
      </c>
      <c r="F6" s="106">
        <v>0.1201388888888889</v>
      </c>
      <c r="G6" s="152">
        <f>IFERROR(__xludf.DUMMYFUNCTION("""COMPUTED_VALUE"""),0.625)</f>
        <v>0.625</v>
      </c>
      <c r="H6" s="106">
        <v>0.1201388888888889</v>
      </c>
      <c r="I6" s="136">
        <f>IFERROR(__xludf.DUMMYFUNCTION("""COMPUTED_VALUE"""),143.0)</f>
        <v>143</v>
      </c>
      <c r="J6" s="139">
        <v>49.595375722543345</v>
      </c>
      <c r="K6" s="136" t="s">
        <v>15</v>
      </c>
      <c r="L6" s="153">
        <f>IFERROR(__xludf.DUMMYFUNCTION("""COMPUTED_VALUE"""),46045.0)</f>
        <v>46045</v>
      </c>
      <c r="M6" s="136" t="str">
        <f t="shared" si="1"/>
        <v>Friday</v>
      </c>
      <c r="N6" s="136" t="str">
        <f>IFERROR(__xludf.DUMMYFUNCTION("""COMPUTED_VALUE"""),"MF")</f>
        <v>MF</v>
      </c>
      <c r="O6" s="141">
        <v>0.9864329231501524</v>
      </c>
      <c r="P6" s="136">
        <f>IFERROR(__xludf.DUMMYFUNCTION("""COMPUTED_VALUE"""),143.0)</f>
        <v>143</v>
      </c>
      <c r="Q6" s="136" t="str">
        <f>IFERROR(__xludf.DUMMYFUNCTION("""COMPUTED_VALUE"""),"")</f>
        <v/>
      </c>
      <c r="R6" s="106">
        <f>IFERROR(__xludf.DUMMYFUNCTION("""COMPUTED_VALUE"""),0.1201388888888889)</f>
        <v>0.1201388889</v>
      </c>
      <c r="S6" s="106" t="str">
        <f>IFERROR(__xludf.DUMMYFUNCTION("""COMPUTED_VALUE"""),"")</f>
        <v/>
      </c>
      <c r="T6" s="139">
        <f>IFERROR(__xludf.DUMMYFUNCTION("""COMPUTED_VALUE"""),49.595375722543345)</f>
        <v>49.59537572</v>
      </c>
      <c r="U6" s="139" t="str">
        <f>IFERROR(__xludf.DUMMYFUNCTION("""COMPUTED_VALUE"""),"")</f>
        <v/>
      </c>
      <c r="V6" s="136">
        <f>IFERROR(__xludf.DUMMYFUNCTION("""COMPUTED_VALUE"""),143.0)</f>
        <v>143</v>
      </c>
      <c r="W6" s="106">
        <f>IFERROR(__xludf.DUMMYFUNCTION("""COMPUTED_VALUE"""),0.1201388888888889)</f>
        <v>0.1201388889</v>
      </c>
      <c r="X6" s="143">
        <f t="shared" si="2"/>
        <v>49.59537572</v>
      </c>
      <c r="Y6" s="139">
        <f>IFERROR(__xludf.DUMMYFUNCTION("""COMPUTED_VALUE"""),49.595375722543345)</f>
        <v>49.59537572</v>
      </c>
      <c r="Z6" s="141">
        <f>IFERROR(__xludf.DUMMYFUNCTION("""COMPUTED_VALUE"""),0.9789062885772536)</f>
        <v>0.9789062886</v>
      </c>
    </row>
    <row r="7">
      <c r="A7" s="136" t="str">
        <f>IFERROR(__xludf.DUMMYFUNCTION("""COMPUTED_VALUE"""),"LOG-8711FC64")</f>
        <v>LOG-8711FC64</v>
      </c>
      <c r="B7" s="151">
        <f>IFERROR(__xludf.DUMMYFUNCTION("""COMPUTED_VALUE"""),46049.86736111111)</f>
        <v>46049.86736</v>
      </c>
      <c r="C7" s="136" t="str">
        <f>IFERROR(__xludf.DUMMYFUNCTION("""COMPUTED_VALUE"""),"Laila Maisuria")</f>
        <v>Laila Maisuria</v>
      </c>
      <c r="D7" s="136" t="b">
        <f t="shared" si="3"/>
        <v>0</v>
      </c>
      <c r="E7" s="152">
        <f>IFERROR(__xludf.DUMMYFUNCTION("""COMPUTED_VALUE"""),0.7527777777777778)</f>
        <v>0.7527777778</v>
      </c>
      <c r="F7" s="106">
        <v>0.11458333333333337</v>
      </c>
      <c r="G7" s="152">
        <f>IFERROR(__xludf.DUMMYFUNCTION("""COMPUTED_VALUE"""),0.8673611111111111)</f>
        <v>0.8673611111</v>
      </c>
      <c r="H7" s="106">
        <v>0.11458333333333337</v>
      </c>
      <c r="I7" s="136">
        <f>IFERROR(__xludf.DUMMYFUNCTION("""COMPUTED_VALUE"""),134.0)</f>
        <v>134</v>
      </c>
      <c r="J7" s="139">
        <v>48.72727272727271</v>
      </c>
      <c r="K7" s="136" t="s">
        <v>18</v>
      </c>
      <c r="L7" s="153">
        <f>IFERROR(__xludf.DUMMYFUNCTION("""COMPUTED_VALUE"""),46049.0)</f>
        <v>46049</v>
      </c>
      <c r="M7" s="136" t="str">
        <f t="shared" si="1"/>
        <v>Tuesday</v>
      </c>
      <c r="N7" s="136" t="str">
        <f>IFERROR(__xludf.DUMMYFUNCTION("""COMPUTED_VALUE"""),"MF")</f>
        <v>MF</v>
      </c>
      <c r="O7" s="141">
        <v>1.0191974493019123</v>
      </c>
      <c r="P7" s="136">
        <f>IFERROR(__xludf.DUMMYFUNCTION("""COMPUTED_VALUE"""),134.0)</f>
        <v>134</v>
      </c>
      <c r="Q7" s="136" t="str">
        <f>IFERROR(__xludf.DUMMYFUNCTION("""COMPUTED_VALUE"""),"")</f>
        <v/>
      </c>
      <c r="R7" s="106">
        <f>IFERROR(__xludf.DUMMYFUNCTION("""COMPUTED_VALUE"""),0.11458333333333337)</f>
        <v>0.1145833333</v>
      </c>
      <c r="S7" s="106" t="str">
        <f>IFERROR(__xludf.DUMMYFUNCTION("""COMPUTED_VALUE"""),"")</f>
        <v/>
      </c>
      <c r="T7" s="139">
        <f>IFERROR(__xludf.DUMMYFUNCTION("""COMPUTED_VALUE"""),48.72727272727271)</f>
        <v>48.72727273</v>
      </c>
      <c r="U7" s="139" t="str">
        <f>IFERROR(__xludf.DUMMYFUNCTION("""COMPUTED_VALUE"""),"")</f>
        <v/>
      </c>
      <c r="V7" s="136">
        <f>IFERROR(__xludf.DUMMYFUNCTION("""COMPUTED_VALUE"""),134.0)</f>
        <v>134</v>
      </c>
      <c r="W7" s="106">
        <f>IFERROR(__xludf.DUMMYFUNCTION("""COMPUTED_VALUE"""),0.11458333333333337)</f>
        <v>0.1145833333</v>
      </c>
      <c r="X7" s="143">
        <f t="shared" si="2"/>
        <v>48.72727273</v>
      </c>
      <c r="Y7" s="139">
        <f>IFERROR(__xludf.DUMMYFUNCTION("""COMPUTED_VALUE"""),48.72727272727271)</f>
        <v>48.72727273</v>
      </c>
      <c r="Z7" s="141">
        <f>IFERROR(__xludf.DUMMYFUNCTION("""COMPUTED_VALUE"""),0.8678452189660191)</f>
        <v>0.867845219</v>
      </c>
    </row>
    <row r="8">
      <c r="A8" s="136" t="str">
        <f>IFERROR(__xludf.DUMMYFUNCTION("""COMPUTED_VALUE"""),"LOG-1CD3D9C8")</f>
        <v>LOG-1CD3D9C8</v>
      </c>
      <c r="B8" s="151">
        <f>IFERROR(__xludf.DUMMYFUNCTION("""COMPUTED_VALUE"""),46050.425)</f>
        <v>46050.425</v>
      </c>
      <c r="C8" s="136" t="str">
        <f>IFERROR(__xludf.DUMMYFUNCTION("""COMPUTED_VALUE"""),"Kaylie Forgue")</f>
        <v>Kaylie Forgue</v>
      </c>
      <c r="D8" s="136" t="b">
        <f t="shared" si="3"/>
        <v>0</v>
      </c>
      <c r="E8" s="152">
        <f>IFERROR(__xludf.DUMMYFUNCTION("""COMPUTED_VALUE"""),0.3090277777777778)</f>
        <v>0.3090277778</v>
      </c>
      <c r="F8" s="106">
        <v>0.1159722222222222</v>
      </c>
      <c r="G8" s="152">
        <f>IFERROR(__xludf.DUMMYFUNCTION("""COMPUTED_VALUE"""),0.425)</f>
        <v>0.425</v>
      </c>
      <c r="H8" s="106">
        <v>0.1159722222222222</v>
      </c>
      <c r="I8" s="136">
        <f>IFERROR(__xludf.DUMMYFUNCTION("""COMPUTED_VALUE"""),115.0)</f>
        <v>115</v>
      </c>
      <c r="J8" s="139">
        <v>41.317365269461085</v>
      </c>
      <c r="K8" s="136" t="s">
        <v>12</v>
      </c>
      <c r="L8" s="153">
        <f>IFERROR(__xludf.DUMMYFUNCTION("""COMPUTED_VALUE"""),46050.0)</f>
        <v>46050</v>
      </c>
      <c r="M8" s="136" t="str">
        <f t="shared" si="1"/>
        <v>Wednesday</v>
      </c>
      <c r="N8" s="136" t="str">
        <f>IFERROR(__xludf.DUMMYFUNCTION("""COMPUTED_VALUE"""),"BF")</f>
        <v>BF</v>
      </c>
      <c r="O8" s="141">
        <v>1.4573692743080446</v>
      </c>
      <c r="P8" s="136" t="str">
        <f>IFERROR(__xludf.DUMMYFUNCTION("""COMPUTED_VALUE"""),"")</f>
        <v/>
      </c>
      <c r="Q8" s="136" t="str">
        <f>IFERROR(__xludf.DUMMYFUNCTION("""COMPUTED_VALUE"""),"")</f>
        <v/>
      </c>
      <c r="R8" s="106" t="str">
        <f>IFERROR(__xludf.DUMMYFUNCTION("""COMPUTED_VALUE"""),"")</f>
        <v/>
      </c>
      <c r="S8" s="106" t="str">
        <f>IFERROR(__xludf.DUMMYFUNCTION("""COMPUTED_VALUE"""),"")</f>
        <v/>
      </c>
      <c r="T8" s="139" t="str">
        <f>IFERROR(__xludf.DUMMYFUNCTION("""COMPUTED_VALUE"""),"")</f>
        <v/>
      </c>
      <c r="U8" s="139" t="str">
        <f>IFERROR(__xludf.DUMMYFUNCTION("""COMPUTED_VALUE"""),"")</f>
        <v/>
      </c>
      <c r="V8" s="136" t="str">
        <f>IFERROR(__xludf.DUMMYFUNCTION("""COMPUTED_VALUE"""),"")</f>
        <v/>
      </c>
      <c r="W8" s="106" t="str">
        <f>IFERROR(__xludf.DUMMYFUNCTION("""COMPUTED_VALUE"""),"")</f>
        <v/>
      </c>
      <c r="X8" s="143" t="str">
        <f t="shared" si="2"/>
        <v/>
      </c>
      <c r="Y8" s="139" t="str">
        <f>IFERROR(__xludf.DUMMYFUNCTION("""COMPUTED_VALUE"""),"")</f>
        <v/>
      </c>
      <c r="Z8" s="141" t="str">
        <f>IFERROR(__xludf.DUMMYFUNCTION("""COMPUTED_VALUE"""),"")</f>
        <v/>
      </c>
    </row>
    <row r="9">
      <c r="A9" s="136" t="str">
        <f>IFERROR(__xludf.DUMMYFUNCTION("""COMPUTED_VALUE"""),"LOG-1BE3EF5F")</f>
        <v>LOG-1BE3EF5F</v>
      </c>
      <c r="B9" s="151">
        <f>IFERROR(__xludf.DUMMYFUNCTION("""COMPUTED_VALUE"""),46050.510416666664)</f>
        <v>46050.51042</v>
      </c>
      <c r="C9" s="136" t="str">
        <f>IFERROR(__xludf.DUMMYFUNCTION("""COMPUTED_VALUE"""),"Oluwatimilehin Shodipe")</f>
        <v>Oluwatimilehin Shodipe</v>
      </c>
      <c r="D9" s="136" t="b">
        <f t="shared" si="3"/>
        <v>0</v>
      </c>
      <c r="E9" s="152">
        <f>IFERROR(__xludf.DUMMYFUNCTION("""COMPUTED_VALUE"""),0.44375)</f>
        <v>0.44375</v>
      </c>
      <c r="F9" s="106">
        <v>0.06666666666666665</v>
      </c>
      <c r="G9" s="152">
        <f>IFERROR(__xludf.DUMMYFUNCTION("""COMPUTED_VALUE"""),0.5104166666666666)</f>
        <v>0.5104166667</v>
      </c>
      <c r="H9" s="106">
        <v>0.06666666666666665</v>
      </c>
      <c r="I9" s="136">
        <f>IFERROR(__xludf.DUMMYFUNCTION("""COMPUTED_VALUE"""),72.0)</f>
        <v>72</v>
      </c>
      <c r="J9" s="139">
        <v>45.00000000000001</v>
      </c>
      <c r="K9" s="136" t="s">
        <v>134</v>
      </c>
      <c r="L9" s="153">
        <f>IFERROR(__xludf.DUMMYFUNCTION("""COMPUTED_VALUE"""),46050.0)</f>
        <v>46050</v>
      </c>
      <c r="M9" s="136" t="str">
        <f t="shared" si="1"/>
        <v>Wednesday</v>
      </c>
      <c r="N9" s="136" t="str">
        <f>IFERROR(__xludf.DUMMYFUNCTION("""COMPUTED_VALUE"""),"BF")</f>
        <v>BF</v>
      </c>
      <c r="O9" s="141">
        <v>1.4085837070611624</v>
      </c>
      <c r="P9" s="136" t="str">
        <f>IFERROR(__xludf.DUMMYFUNCTION("""COMPUTED_VALUE"""),"")</f>
        <v/>
      </c>
      <c r="Q9" s="136" t="str">
        <f>IFERROR(__xludf.DUMMYFUNCTION("""COMPUTED_VALUE"""),"")</f>
        <v/>
      </c>
      <c r="R9" s="106" t="str">
        <f>IFERROR(__xludf.DUMMYFUNCTION("""COMPUTED_VALUE"""),"")</f>
        <v/>
      </c>
      <c r="S9" s="106" t="str">
        <f>IFERROR(__xludf.DUMMYFUNCTION("""COMPUTED_VALUE"""),"")</f>
        <v/>
      </c>
      <c r="T9" s="139" t="str">
        <f>IFERROR(__xludf.DUMMYFUNCTION("""COMPUTED_VALUE"""),"")</f>
        <v/>
      </c>
      <c r="U9" s="139" t="str">
        <f>IFERROR(__xludf.DUMMYFUNCTION("""COMPUTED_VALUE"""),"")</f>
        <v/>
      </c>
      <c r="V9" s="136" t="str">
        <f>IFERROR(__xludf.DUMMYFUNCTION("""COMPUTED_VALUE"""),"")</f>
        <v/>
      </c>
      <c r="W9" s="106" t="str">
        <f>IFERROR(__xludf.DUMMYFUNCTION("""COMPUTED_VALUE"""),"")</f>
        <v/>
      </c>
      <c r="X9" s="143" t="str">
        <f t="shared" si="2"/>
        <v/>
      </c>
      <c r="Y9" s="139" t="str">
        <f>IFERROR(__xludf.DUMMYFUNCTION("""COMPUTED_VALUE"""),"")</f>
        <v/>
      </c>
      <c r="Z9" s="141" t="str">
        <f>IFERROR(__xludf.DUMMYFUNCTION("""COMPUTED_VALUE"""),"")</f>
        <v/>
      </c>
    </row>
    <row r="10">
      <c r="A10" s="136" t="str">
        <f>IFERROR(__xludf.DUMMYFUNCTION("""COMPUTED_VALUE"""),"LOG-31777D3A")</f>
        <v>LOG-31777D3A</v>
      </c>
      <c r="B10" s="151">
        <f>IFERROR(__xludf.DUMMYFUNCTION("""COMPUTED_VALUE"""),46050.854166666664)</f>
        <v>46050.85417</v>
      </c>
      <c r="C10" s="136" t="str">
        <f>IFERROR(__xludf.DUMMYFUNCTION("""COMPUTED_VALUE"""),"Maureen Surgot")</f>
        <v>Maureen Surgot</v>
      </c>
      <c r="D10" s="136" t="b">
        <f t="shared" si="3"/>
        <v>0</v>
      </c>
      <c r="E10" s="152">
        <f>IFERROR(__xludf.DUMMYFUNCTION("""COMPUTED_VALUE"""),0.6875)</f>
        <v>0.6875</v>
      </c>
      <c r="F10" s="106">
        <v>0.16666666666666663</v>
      </c>
      <c r="G10" s="152">
        <f>IFERROR(__xludf.DUMMYFUNCTION("""COMPUTED_VALUE"""),0.8541666666666666)</f>
        <v>0.8541666667</v>
      </c>
      <c r="H10" s="106">
        <v>0.16666666666666663</v>
      </c>
      <c r="I10" s="136">
        <f>IFERROR(__xludf.DUMMYFUNCTION("""COMPUTED_VALUE"""),258.0)</f>
        <v>258</v>
      </c>
      <c r="J10" s="139">
        <v>64.50000000000001</v>
      </c>
      <c r="K10" s="136" t="s">
        <v>18</v>
      </c>
      <c r="L10" s="153">
        <f>IFERROR(__xludf.DUMMYFUNCTION("""COMPUTED_VALUE"""),46050.0)</f>
        <v>46050</v>
      </c>
      <c r="M10" s="136" t="str">
        <f t="shared" si="1"/>
        <v>Wednesday</v>
      </c>
      <c r="N10" s="136" t="str">
        <f>IFERROR(__xludf.DUMMYFUNCTION("""COMPUTED_VALUE"""),"BF")</f>
        <v>BF</v>
      </c>
      <c r="O10" s="141">
        <v>1.4516624040709474</v>
      </c>
      <c r="P10" s="136" t="str">
        <f>IFERROR(__xludf.DUMMYFUNCTION("""COMPUTED_VALUE"""),"")</f>
        <v/>
      </c>
      <c r="Q10" s="136" t="str">
        <f>IFERROR(__xludf.DUMMYFUNCTION("""COMPUTED_VALUE"""),"")</f>
        <v/>
      </c>
      <c r="R10" s="106" t="str">
        <f>IFERROR(__xludf.DUMMYFUNCTION("""COMPUTED_VALUE"""),"")</f>
        <v/>
      </c>
      <c r="S10" s="106" t="str">
        <f>IFERROR(__xludf.DUMMYFUNCTION("""COMPUTED_VALUE"""),"")</f>
        <v/>
      </c>
      <c r="T10" s="139" t="str">
        <f>IFERROR(__xludf.DUMMYFUNCTION("""COMPUTED_VALUE"""),"")</f>
        <v/>
      </c>
      <c r="U10" s="139" t="str">
        <f>IFERROR(__xludf.DUMMYFUNCTION("""COMPUTED_VALUE"""),"")</f>
        <v/>
      </c>
      <c r="V10" s="136" t="str">
        <f>IFERROR(__xludf.DUMMYFUNCTION("""COMPUTED_VALUE"""),"")</f>
        <v/>
      </c>
      <c r="W10" s="106" t="str">
        <f>IFERROR(__xludf.DUMMYFUNCTION("""COMPUTED_VALUE"""),"")</f>
        <v/>
      </c>
      <c r="X10" s="143" t="str">
        <f t="shared" si="2"/>
        <v/>
      </c>
      <c r="Y10" s="139" t="str">
        <f>IFERROR(__xludf.DUMMYFUNCTION("""COMPUTED_VALUE"""),"")</f>
        <v/>
      </c>
      <c r="Z10" s="141" t="str">
        <f>IFERROR(__xludf.DUMMYFUNCTION("""COMPUTED_VALUE"""),"")</f>
        <v/>
      </c>
    </row>
    <row r="11">
      <c r="A11" s="136" t="str">
        <f>IFERROR(__xludf.DUMMYFUNCTION("""COMPUTED_VALUE"""),"LOG-8B895DE8")</f>
        <v>LOG-8B895DE8</v>
      </c>
      <c r="B11" s="151">
        <f>IFERROR(__xludf.DUMMYFUNCTION("""COMPUTED_VALUE"""),46050.875)</f>
        <v>46050.875</v>
      </c>
      <c r="C11" s="136" t="str">
        <f>IFERROR(__xludf.DUMMYFUNCTION("""COMPUTED_VALUE"""),"Brynn Hornig")</f>
        <v>Brynn Hornig</v>
      </c>
      <c r="D11" s="136" t="b">
        <f t="shared" si="3"/>
        <v>0</v>
      </c>
      <c r="E11" s="152">
        <f>IFERROR(__xludf.DUMMYFUNCTION("""COMPUTED_VALUE"""),0.75)</f>
        <v>0.75</v>
      </c>
      <c r="F11" s="106">
        <v>0.125</v>
      </c>
      <c r="G11" s="152">
        <f>IFERROR(__xludf.DUMMYFUNCTION("""COMPUTED_VALUE"""),0.875)</f>
        <v>0.875</v>
      </c>
      <c r="H11" s="106">
        <v>0.125</v>
      </c>
      <c r="I11" s="136">
        <f>IFERROR(__xludf.DUMMYFUNCTION("""COMPUTED_VALUE"""),130.0)</f>
        <v>130</v>
      </c>
      <c r="J11" s="139">
        <v>43.333333333333336</v>
      </c>
      <c r="K11" s="136" t="s">
        <v>18</v>
      </c>
      <c r="L11" s="153">
        <f>IFERROR(__xludf.DUMMYFUNCTION("""COMPUTED_VALUE"""),46050.0)</f>
        <v>46050</v>
      </c>
      <c r="M11" s="136" t="str">
        <f t="shared" si="1"/>
        <v>Wednesday</v>
      </c>
      <c r="N11" s="136" t="str">
        <f>IFERROR(__xludf.DUMMYFUNCTION("""COMPUTED_VALUE"""),"MF")</f>
        <v>MF</v>
      </c>
      <c r="O11" s="141">
        <v>0.9063758411080441</v>
      </c>
      <c r="P11" s="136">
        <f>IFERROR(__xludf.DUMMYFUNCTION("""COMPUTED_VALUE"""),130.0)</f>
        <v>130</v>
      </c>
      <c r="Q11" s="136">
        <f>IFERROR(__xludf.DUMMYFUNCTION("""COMPUTED_VALUE"""),445.0)</f>
        <v>445</v>
      </c>
      <c r="R11" s="106">
        <f>IFERROR(__xludf.DUMMYFUNCTION("""COMPUTED_VALUE"""),0.125)</f>
        <v>0.125</v>
      </c>
      <c r="S11" s="106">
        <f>IFERROR(__xludf.DUMMYFUNCTION("""COMPUTED_VALUE"""),0.3493055555555555)</f>
        <v>0.3493055556</v>
      </c>
      <c r="T11" s="139">
        <f>IFERROR(__xludf.DUMMYFUNCTION("""COMPUTED_VALUE"""),43.333333333333336)</f>
        <v>43.33333333</v>
      </c>
      <c r="U11" s="139">
        <f>IFERROR(__xludf.DUMMYFUNCTION("""COMPUTED_VALUE"""),50.27245508982037)</f>
        <v>50.27245509</v>
      </c>
      <c r="V11" s="136">
        <f>IFERROR(__xludf.DUMMYFUNCTION("""COMPUTED_VALUE"""),575.0)</f>
        <v>575</v>
      </c>
      <c r="W11" s="106">
        <f>IFERROR(__xludf.DUMMYFUNCTION("""COMPUTED_VALUE"""),0.4743055555555555)</f>
        <v>0.4743055556</v>
      </c>
      <c r="X11" s="143">
        <f t="shared" si="2"/>
        <v>50.5124451</v>
      </c>
      <c r="Y11" s="139">
        <f>IFERROR(__xludf.DUMMYFUNCTION("""COMPUTED_VALUE"""),48.53767465069861)</f>
        <v>48.53767465</v>
      </c>
      <c r="Z11" s="141">
        <f>IFERROR(__xludf.DUMMYFUNCTION("""COMPUTED_VALUE"""),0.9878734855018124)</f>
        <v>0.9878734855</v>
      </c>
    </row>
    <row r="12">
      <c r="A12" s="136" t="str">
        <f>IFERROR(__xludf.DUMMYFUNCTION("""COMPUTED_VALUE"""),"LOG-BA1ED597")</f>
        <v>LOG-BA1ED597</v>
      </c>
      <c r="B12" s="151">
        <f>IFERROR(__xludf.DUMMYFUNCTION("""COMPUTED_VALUE"""),46051.52847222222)</f>
        <v>46051.52847</v>
      </c>
      <c r="C12" s="136" t="str">
        <f>IFERROR(__xludf.DUMMYFUNCTION("""COMPUTED_VALUE"""),"Emmett Khan")</f>
        <v>Emmett Khan</v>
      </c>
      <c r="D12" s="136" t="b">
        <f t="shared" si="3"/>
        <v>0</v>
      </c>
      <c r="E12" s="152">
        <f>IFERROR(__xludf.DUMMYFUNCTION("""COMPUTED_VALUE"""),0.4791666666666667)</f>
        <v>0.4791666667</v>
      </c>
      <c r="F12" s="106">
        <v>0.04930555555555555</v>
      </c>
      <c r="G12" s="152">
        <f>IFERROR(__xludf.DUMMYFUNCTION("""COMPUTED_VALUE"""),0.5284722222222222)</f>
        <v>0.5284722222</v>
      </c>
      <c r="H12" s="106">
        <v>0.04930555555555555</v>
      </c>
      <c r="I12" s="136">
        <f>IFERROR(__xludf.DUMMYFUNCTION("""COMPUTED_VALUE"""),33.0)</f>
        <v>33</v>
      </c>
      <c r="J12" s="139">
        <v>27.887323943661976</v>
      </c>
      <c r="K12" s="136" t="s">
        <v>15</v>
      </c>
      <c r="L12" s="153">
        <f>IFERROR(__xludf.DUMMYFUNCTION("""COMPUTED_VALUE"""),46051.0)</f>
        <v>46051</v>
      </c>
      <c r="M12" s="136" t="str">
        <f t="shared" si="1"/>
        <v>Thursday</v>
      </c>
      <c r="N12" s="136" t="str">
        <f>IFERROR(__xludf.DUMMYFUNCTION("""COMPUTED_VALUE"""),"BF")</f>
        <v>BF</v>
      </c>
      <c r="O12" s="141">
        <v>0.9836573264802981</v>
      </c>
      <c r="P12" s="136" t="str">
        <f>IFERROR(__xludf.DUMMYFUNCTION("""COMPUTED_VALUE"""),"")</f>
        <v/>
      </c>
      <c r="Q12" s="136" t="str">
        <f>IFERROR(__xludf.DUMMYFUNCTION("""COMPUTED_VALUE"""),"")</f>
        <v/>
      </c>
      <c r="R12" s="106" t="str">
        <f>IFERROR(__xludf.DUMMYFUNCTION("""COMPUTED_VALUE"""),"")</f>
        <v/>
      </c>
      <c r="S12" s="106" t="str">
        <f>IFERROR(__xludf.DUMMYFUNCTION("""COMPUTED_VALUE"""),"")</f>
        <v/>
      </c>
      <c r="T12" s="139" t="str">
        <f>IFERROR(__xludf.DUMMYFUNCTION("""COMPUTED_VALUE"""),"")</f>
        <v/>
      </c>
      <c r="U12" s="139" t="str">
        <f>IFERROR(__xludf.DUMMYFUNCTION("""COMPUTED_VALUE"""),"")</f>
        <v/>
      </c>
      <c r="V12" s="136" t="str">
        <f>IFERROR(__xludf.DUMMYFUNCTION("""COMPUTED_VALUE"""),"")</f>
        <v/>
      </c>
      <c r="W12" s="106" t="str">
        <f>IFERROR(__xludf.DUMMYFUNCTION("""COMPUTED_VALUE"""),"")</f>
        <v/>
      </c>
      <c r="X12" s="143" t="str">
        <f t="shared" si="2"/>
        <v/>
      </c>
      <c r="Y12" s="139" t="str">
        <f>IFERROR(__xludf.DUMMYFUNCTION("""COMPUTED_VALUE"""),"")</f>
        <v/>
      </c>
      <c r="Z12" s="141" t="str">
        <f>IFERROR(__xludf.DUMMYFUNCTION("""COMPUTED_VALUE"""),"")</f>
        <v/>
      </c>
    </row>
    <row r="13">
      <c r="A13" s="136" t="str">
        <f>IFERROR(__xludf.DUMMYFUNCTION("""COMPUTED_VALUE"""),"LOG-E048AEED")</f>
        <v>LOG-E048AEED</v>
      </c>
      <c r="B13" s="151">
        <f>IFERROR(__xludf.DUMMYFUNCTION("""COMPUTED_VALUE"""),46051.5375)</f>
        <v>46051.5375</v>
      </c>
      <c r="C13" s="136" t="str">
        <f>IFERROR(__xludf.DUMMYFUNCTION("""COMPUTED_VALUE"""),"Kyra Turner")</f>
        <v>Kyra Turner</v>
      </c>
      <c r="D13" s="136" t="b">
        <f t="shared" si="3"/>
        <v>0</v>
      </c>
      <c r="E13" s="152">
        <f>IFERROR(__xludf.DUMMYFUNCTION("""COMPUTED_VALUE"""),0.5)</f>
        <v>0.5</v>
      </c>
      <c r="F13" s="106">
        <v>0.03749999999999998</v>
      </c>
      <c r="G13" s="152">
        <f>IFERROR(__xludf.DUMMYFUNCTION("""COMPUTED_VALUE"""),0.5375)</f>
        <v>0.5375</v>
      </c>
      <c r="H13" s="106">
        <v>0.14166666666666672</v>
      </c>
      <c r="I13" s="136">
        <f>IFERROR(__xludf.DUMMYFUNCTION("""COMPUTED_VALUE"""),28.0)</f>
        <v>28</v>
      </c>
      <c r="J13" s="139">
        <v>31.764705882352928</v>
      </c>
      <c r="K13" s="136" t="s">
        <v>15</v>
      </c>
      <c r="L13" s="153">
        <f>IFERROR(__xludf.DUMMYFUNCTION("""COMPUTED_VALUE"""),46051.0)</f>
        <v>46051</v>
      </c>
      <c r="M13" s="136" t="str">
        <f t="shared" si="1"/>
        <v>Thursday</v>
      </c>
      <c r="N13" s="136" t="str">
        <f>IFERROR(__xludf.DUMMYFUNCTION("""COMPUTED_VALUE"""),"BF")</f>
        <v>BF</v>
      </c>
      <c r="O13" s="75">
        <v>1.1204225162583068</v>
      </c>
      <c r="P13" s="136" t="str">
        <f>IFERROR(__xludf.DUMMYFUNCTION("""COMPUTED_VALUE"""),"")</f>
        <v/>
      </c>
      <c r="Q13" s="136" t="str">
        <f>IFERROR(__xludf.DUMMYFUNCTION("""COMPUTED_VALUE"""),"")</f>
        <v/>
      </c>
      <c r="R13" s="106" t="str">
        <f>IFERROR(__xludf.DUMMYFUNCTION("""COMPUTED_VALUE"""),"")</f>
        <v/>
      </c>
      <c r="S13" s="106" t="str">
        <f>IFERROR(__xludf.DUMMYFUNCTION("""COMPUTED_VALUE"""),"")</f>
        <v/>
      </c>
      <c r="T13" s="139" t="str">
        <f>IFERROR(__xludf.DUMMYFUNCTION("""COMPUTED_VALUE"""),"")</f>
        <v/>
      </c>
      <c r="U13" s="139" t="str">
        <f>IFERROR(__xludf.DUMMYFUNCTION("""COMPUTED_VALUE"""),"")</f>
        <v/>
      </c>
      <c r="V13" s="136" t="str">
        <f>IFERROR(__xludf.DUMMYFUNCTION("""COMPUTED_VALUE"""),"")</f>
        <v/>
      </c>
      <c r="W13" s="106" t="str">
        <f>IFERROR(__xludf.DUMMYFUNCTION("""COMPUTED_VALUE"""),"")</f>
        <v/>
      </c>
      <c r="X13" s="143" t="str">
        <f t="shared" si="2"/>
        <v/>
      </c>
      <c r="Y13" s="139" t="str">
        <f>IFERROR(__xludf.DUMMYFUNCTION("""COMPUTED_VALUE"""),"")</f>
        <v/>
      </c>
      <c r="Z13" s="141" t="str">
        <f>IFERROR(__xludf.DUMMYFUNCTION("""COMPUTED_VALUE"""),"")</f>
        <v/>
      </c>
    </row>
    <row r="14">
      <c r="A14" s="136" t="str">
        <f>IFERROR(__xludf.DUMMYFUNCTION("""COMPUTED_VALUE"""),"LOG-38AC0502")</f>
        <v>LOG-38AC0502</v>
      </c>
      <c r="B14" s="151">
        <f>IFERROR(__xludf.DUMMYFUNCTION("""COMPUTED_VALUE"""),46051.64375)</f>
        <v>46051.64375</v>
      </c>
      <c r="C14" s="136" t="str">
        <f>IFERROR(__xludf.DUMMYFUNCTION("""COMPUTED_VALUE"""),"Kyra Turner")</f>
        <v>Kyra Turner</v>
      </c>
      <c r="D14" s="136" t="b">
        <f t="shared" si="3"/>
        <v>1</v>
      </c>
      <c r="E14" s="152">
        <f>IFERROR(__xludf.DUMMYFUNCTION("""COMPUTED_VALUE"""),0.5395833333333333)</f>
        <v>0.5395833333</v>
      </c>
      <c r="F14" s="106">
        <v>0.10416666666666674</v>
      </c>
      <c r="G14" s="152">
        <f>IFERROR(__xludf.DUMMYFUNCTION("""COMPUTED_VALUE"""),0.64375)</f>
        <v>0.64375</v>
      </c>
      <c r="H14" s="106" t="s">
        <v>133</v>
      </c>
      <c r="I14" s="136">
        <f>IFERROR(__xludf.DUMMYFUNCTION("""COMPUTED_VALUE"""),80.0)</f>
        <v>80</v>
      </c>
      <c r="J14" s="139" t="s">
        <v>133</v>
      </c>
      <c r="K14" s="136" t="s">
        <v>15</v>
      </c>
      <c r="L14" s="153">
        <f>IFERROR(__xludf.DUMMYFUNCTION("""COMPUTED_VALUE"""),46051.0)</f>
        <v>46051</v>
      </c>
      <c r="M14" s="136" t="str">
        <f t="shared" si="1"/>
        <v>Thursday</v>
      </c>
      <c r="N14" s="136" t="str">
        <f>IFERROR(__xludf.DUMMYFUNCTION("""COMPUTED_VALUE"""),"BF")</f>
        <v>BF</v>
      </c>
      <c r="O14" s="75" t="s">
        <v>133</v>
      </c>
      <c r="P14" s="136" t="str">
        <f>IFERROR(__xludf.DUMMYFUNCTION("""COMPUTED_VALUE"""),"")</f>
        <v/>
      </c>
      <c r="Q14" s="136" t="str">
        <f>IFERROR(__xludf.DUMMYFUNCTION("""COMPUTED_VALUE"""),"")</f>
        <v/>
      </c>
      <c r="R14" s="106" t="str">
        <f>IFERROR(__xludf.DUMMYFUNCTION("""COMPUTED_VALUE"""),"")</f>
        <v/>
      </c>
      <c r="S14" s="106" t="str">
        <f>IFERROR(__xludf.DUMMYFUNCTION("""COMPUTED_VALUE"""),"")</f>
        <v/>
      </c>
      <c r="T14" s="139" t="str">
        <f>IFERROR(__xludf.DUMMYFUNCTION("""COMPUTED_VALUE"""),"")</f>
        <v/>
      </c>
      <c r="U14" s="139" t="str">
        <f>IFERROR(__xludf.DUMMYFUNCTION("""COMPUTED_VALUE"""),"")</f>
        <v/>
      </c>
      <c r="V14" s="136" t="str">
        <f>IFERROR(__xludf.DUMMYFUNCTION("""COMPUTED_VALUE"""),"")</f>
        <v/>
      </c>
      <c r="W14" s="106" t="str">
        <f>IFERROR(__xludf.DUMMYFUNCTION("""COMPUTED_VALUE"""),"")</f>
        <v/>
      </c>
      <c r="X14" s="143" t="str">
        <f t="shared" si="2"/>
        <v/>
      </c>
      <c r="Y14" s="139" t="str">
        <f>IFERROR(__xludf.DUMMYFUNCTION("""COMPUTED_VALUE"""),"")</f>
        <v/>
      </c>
      <c r="Z14" s="141" t="str">
        <f>IFERROR(__xludf.DUMMYFUNCTION("""COMPUTED_VALUE"""),"")</f>
        <v/>
      </c>
    </row>
    <row r="15">
      <c r="A15" s="136" t="str">
        <f>IFERROR(__xludf.DUMMYFUNCTION("""COMPUTED_VALUE"""),"LOG-E34819FE")</f>
        <v>LOG-E34819FE</v>
      </c>
      <c r="B15" s="151">
        <f>IFERROR(__xludf.DUMMYFUNCTION("""COMPUTED_VALUE"""),46051.78125)</f>
        <v>46051.78125</v>
      </c>
      <c r="C15" s="136" t="str">
        <f>IFERROR(__xludf.DUMMYFUNCTION("""COMPUTED_VALUE"""),"Emmett Khan")</f>
        <v>Emmett Khan</v>
      </c>
      <c r="D15" s="136" t="b">
        <f t="shared" si="3"/>
        <v>0</v>
      </c>
      <c r="E15" s="152">
        <f>IFERROR(__xludf.DUMMYFUNCTION("""COMPUTED_VALUE"""),0.7083333333333334)</f>
        <v>0.7083333333</v>
      </c>
      <c r="F15" s="106">
        <v>0.07291666666666663</v>
      </c>
      <c r="G15" s="152">
        <f>IFERROR(__xludf.DUMMYFUNCTION("""COMPUTED_VALUE"""),0.78125)</f>
        <v>0.78125</v>
      </c>
      <c r="H15" s="106">
        <v>0.07291666666666663</v>
      </c>
      <c r="I15" s="136">
        <f>IFERROR(__xludf.DUMMYFUNCTION("""COMPUTED_VALUE"""),93.0)</f>
        <v>93</v>
      </c>
      <c r="J15" s="139">
        <v>53.14285714285717</v>
      </c>
      <c r="K15" s="136" t="s">
        <v>18</v>
      </c>
      <c r="L15" s="153">
        <f>IFERROR(__xludf.DUMMYFUNCTION("""COMPUTED_VALUE"""),46051.0)</f>
        <v>46051</v>
      </c>
      <c r="M15" s="136" t="str">
        <f t="shared" si="1"/>
        <v>Thursday</v>
      </c>
      <c r="N15" s="136" t="str">
        <f>IFERROR(__xludf.DUMMYFUNCTION("""COMPUTED_VALUE"""),"MF")</f>
        <v>MF</v>
      </c>
      <c r="O15" s="75">
        <v>1.1115554271171184</v>
      </c>
      <c r="P15" s="136">
        <f>IFERROR(__xludf.DUMMYFUNCTION("""COMPUTED_VALUE"""),93.0)</f>
        <v>93</v>
      </c>
      <c r="Q15" s="136">
        <f>IFERROR(__xludf.DUMMYFUNCTION("""COMPUTED_VALUE"""),141.0)</f>
        <v>141</v>
      </c>
      <c r="R15" s="106">
        <f>IFERROR(__xludf.DUMMYFUNCTION("""COMPUTED_VALUE"""),0.07291666666666663)</f>
        <v>0.07291666667</v>
      </c>
      <c r="S15" s="106">
        <f>IFERROR(__xludf.DUMMYFUNCTION("""COMPUTED_VALUE"""),0.19097222222222227)</f>
        <v>0.1909722222</v>
      </c>
      <c r="T15" s="139">
        <f>IFERROR(__xludf.DUMMYFUNCTION("""COMPUTED_VALUE"""),53.14285714285717)</f>
        <v>53.14285714</v>
      </c>
      <c r="U15" s="139">
        <f>IFERROR(__xludf.DUMMYFUNCTION("""COMPUTED_VALUE"""),29.82601491300745)</f>
        <v>29.82601491</v>
      </c>
      <c r="V15" s="136">
        <f>IFERROR(__xludf.DUMMYFUNCTION("""COMPUTED_VALUE"""),234.0)</f>
        <v>234</v>
      </c>
      <c r="W15" s="106">
        <f>IFERROR(__xludf.DUMMYFUNCTION("""COMPUTED_VALUE"""),0.2638888888888889)</f>
        <v>0.2638888889</v>
      </c>
      <c r="X15" s="143">
        <f t="shared" si="2"/>
        <v>36.94736842</v>
      </c>
      <c r="Y15" s="139">
        <f>IFERROR(__xludf.DUMMYFUNCTION("""COMPUTED_VALUE"""),37.598295656290695)</f>
        <v>37.59829566</v>
      </c>
      <c r="Z15" s="141">
        <f>IFERROR(__xludf.DUMMYFUNCTION("""COMPUTED_VALUE"""),0.5309727422729795)</f>
        <v>0.5309727423</v>
      </c>
    </row>
    <row r="16">
      <c r="A16" s="136" t="str">
        <f>IFERROR(__xludf.DUMMYFUNCTION("""COMPUTED_VALUE"""),"LOG-89E31178")</f>
        <v>LOG-89E31178</v>
      </c>
      <c r="B16" s="151">
        <f>IFERROR(__xludf.DUMMYFUNCTION("""COMPUTED_VALUE"""),46052.583333333336)</f>
        <v>46052.58333</v>
      </c>
      <c r="C16" s="136" t="str">
        <f>IFERROR(__xludf.DUMMYFUNCTION("""COMPUTED_VALUE"""),"Brynn Hornig")</f>
        <v>Brynn Hornig</v>
      </c>
      <c r="D16" s="136" t="b">
        <f t="shared" si="3"/>
        <v>0</v>
      </c>
      <c r="E16" s="152">
        <f>IFERROR(__xludf.DUMMYFUNCTION("""COMPUTED_VALUE"""),0.5208333333333334)</f>
        <v>0.5208333333</v>
      </c>
      <c r="F16" s="106">
        <v>0.0625</v>
      </c>
      <c r="G16" s="152">
        <f>IFERROR(__xludf.DUMMYFUNCTION("""COMPUTED_VALUE"""),0.5833333333333334)</f>
        <v>0.5833333333</v>
      </c>
      <c r="H16" s="106">
        <v>0.0625</v>
      </c>
      <c r="I16" s="136">
        <f>IFERROR(__xludf.DUMMYFUNCTION("""COMPUTED_VALUE"""),76.0)</f>
        <v>76</v>
      </c>
      <c r="J16" s="139">
        <v>50.666666666666664</v>
      </c>
      <c r="K16" s="136" t="s">
        <v>15</v>
      </c>
      <c r="L16" s="153">
        <f>IFERROR(__xludf.DUMMYFUNCTION("""COMPUTED_VALUE"""),46052.0)</f>
        <v>46052</v>
      </c>
      <c r="M16" s="136" t="str">
        <f t="shared" si="1"/>
        <v>Friday</v>
      </c>
      <c r="N16" s="136" t="str">
        <f>IFERROR(__xludf.DUMMYFUNCTION("""COMPUTED_VALUE"""),"BF")</f>
        <v>BF</v>
      </c>
      <c r="O16" s="75">
        <v>1.7871430753157198</v>
      </c>
      <c r="P16" s="136" t="str">
        <f>IFERROR(__xludf.DUMMYFUNCTION("""COMPUTED_VALUE"""),"")</f>
        <v/>
      </c>
      <c r="Q16" s="136" t="str">
        <f>IFERROR(__xludf.DUMMYFUNCTION("""COMPUTED_VALUE"""),"")</f>
        <v/>
      </c>
      <c r="R16" s="106" t="str">
        <f>IFERROR(__xludf.DUMMYFUNCTION("""COMPUTED_VALUE"""),"")</f>
        <v/>
      </c>
      <c r="S16" s="106" t="str">
        <f>IFERROR(__xludf.DUMMYFUNCTION("""COMPUTED_VALUE"""),"")</f>
        <v/>
      </c>
      <c r="T16" s="139" t="str">
        <f>IFERROR(__xludf.DUMMYFUNCTION("""COMPUTED_VALUE"""),"")</f>
        <v/>
      </c>
      <c r="U16" s="139" t="str">
        <f>IFERROR(__xludf.DUMMYFUNCTION("""COMPUTED_VALUE"""),"")</f>
        <v/>
      </c>
      <c r="V16" s="136" t="str">
        <f>IFERROR(__xludf.DUMMYFUNCTION("""COMPUTED_VALUE"""),"")</f>
        <v/>
      </c>
      <c r="W16" s="106" t="str">
        <f>IFERROR(__xludf.DUMMYFUNCTION("""COMPUTED_VALUE"""),"")</f>
        <v/>
      </c>
      <c r="X16" s="143" t="str">
        <f t="shared" si="2"/>
        <v/>
      </c>
      <c r="Y16" s="139" t="str">
        <f>IFERROR(__xludf.DUMMYFUNCTION("""COMPUTED_VALUE"""),"")</f>
        <v/>
      </c>
      <c r="Z16" s="141" t="str">
        <f>IFERROR(__xludf.DUMMYFUNCTION("""COMPUTED_VALUE"""),"")</f>
        <v/>
      </c>
    </row>
    <row r="17">
      <c r="A17" s="136" t="str">
        <f>IFERROR(__xludf.DUMMYFUNCTION("""COMPUTED_VALUE"""),"LOG-0A1A511C")</f>
        <v>LOG-0A1A511C</v>
      </c>
      <c r="B17" s="151">
        <f>IFERROR(__xludf.DUMMYFUNCTION("""COMPUTED_VALUE"""),46052.625)</f>
        <v>46052.625</v>
      </c>
      <c r="C17" s="136" t="str">
        <f>IFERROR(__xludf.DUMMYFUNCTION("""COMPUTED_VALUE"""),"Oluwatimilehin Shodipe")</f>
        <v>Oluwatimilehin Shodipe</v>
      </c>
      <c r="D17" s="136" t="b">
        <f t="shared" si="3"/>
        <v>0</v>
      </c>
      <c r="E17" s="152">
        <f>IFERROR(__xludf.DUMMYFUNCTION("""COMPUTED_VALUE"""),0.4826388888888889)</f>
        <v>0.4826388889</v>
      </c>
      <c r="F17" s="106">
        <v>0.1423611111111111</v>
      </c>
      <c r="G17" s="152">
        <f>IFERROR(__xludf.DUMMYFUNCTION("""COMPUTED_VALUE"""),0.625)</f>
        <v>0.625</v>
      </c>
      <c r="H17" s="106">
        <v>0.1423611111111111</v>
      </c>
      <c r="I17" s="136">
        <f>IFERROR(__xludf.DUMMYFUNCTION("""COMPUTED_VALUE"""),144.0)</f>
        <v>144</v>
      </c>
      <c r="J17" s="139">
        <v>42.146341463414636</v>
      </c>
      <c r="K17" s="136" t="s">
        <v>15</v>
      </c>
      <c r="L17" s="153">
        <f>IFERROR(__xludf.DUMMYFUNCTION("""COMPUTED_VALUE"""),46052.0)</f>
        <v>46052</v>
      </c>
      <c r="M17" s="136" t="str">
        <f t="shared" si="1"/>
        <v>Friday</v>
      </c>
      <c r="N17" s="136" t="str">
        <f>IFERROR(__xludf.DUMMYFUNCTION("""COMPUTED_VALUE"""),"MF")</f>
        <v>MF</v>
      </c>
      <c r="O17" s="75">
        <v>0.8382745004781375</v>
      </c>
      <c r="P17" s="136" t="str">
        <f>IFERROR(__xludf.DUMMYFUNCTION("""COMPUTED_VALUE"""),"")</f>
        <v/>
      </c>
      <c r="Q17" s="136" t="str">
        <f>IFERROR(__xludf.DUMMYFUNCTION("""COMPUTED_VALUE"""),"")</f>
        <v/>
      </c>
      <c r="R17" s="106" t="str">
        <f>IFERROR(__xludf.DUMMYFUNCTION("""COMPUTED_VALUE"""),"")</f>
        <v/>
      </c>
      <c r="S17" s="106" t="str">
        <f>IFERROR(__xludf.DUMMYFUNCTION("""COMPUTED_VALUE"""),"")</f>
        <v/>
      </c>
      <c r="T17" s="139" t="str">
        <f>IFERROR(__xludf.DUMMYFUNCTION("""COMPUTED_VALUE"""),"")</f>
        <v/>
      </c>
      <c r="U17" s="139" t="str">
        <f>IFERROR(__xludf.DUMMYFUNCTION("""COMPUTED_VALUE"""),"")</f>
        <v/>
      </c>
      <c r="V17" s="136" t="str">
        <f>IFERROR(__xludf.DUMMYFUNCTION("""COMPUTED_VALUE"""),"")</f>
        <v/>
      </c>
      <c r="W17" s="106" t="str">
        <f>IFERROR(__xludf.DUMMYFUNCTION("""COMPUTED_VALUE"""),"")</f>
        <v/>
      </c>
      <c r="X17" s="143" t="str">
        <f t="shared" si="2"/>
        <v/>
      </c>
      <c r="Y17" s="139" t="str">
        <f>IFERROR(__xludf.DUMMYFUNCTION("""COMPUTED_VALUE"""),"")</f>
        <v/>
      </c>
      <c r="Z17" s="141" t="str">
        <f>IFERROR(__xludf.DUMMYFUNCTION("""COMPUTED_VALUE"""),"")</f>
        <v/>
      </c>
    </row>
    <row r="18">
      <c r="A18" s="136" t="str">
        <f>IFERROR(__xludf.DUMMYFUNCTION("""COMPUTED_VALUE"""),"LOG-6E13C837")</f>
        <v>LOG-6E13C837</v>
      </c>
      <c r="B18" s="151">
        <f>IFERROR(__xludf.DUMMYFUNCTION("""COMPUTED_VALUE"""),46052.808333333334)</f>
        <v>46052.80833</v>
      </c>
      <c r="C18" s="136" t="str">
        <f>IFERROR(__xludf.DUMMYFUNCTION("""COMPUTED_VALUE"""),"Orpheus Wilson")</f>
        <v>Orpheus Wilson</v>
      </c>
      <c r="D18" s="136" t="b">
        <f t="shared" si="3"/>
        <v>0</v>
      </c>
      <c r="E18" s="152">
        <f>IFERROR(__xludf.DUMMYFUNCTION("""COMPUTED_VALUE"""),0.7472222222222222)</f>
        <v>0.7472222222</v>
      </c>
      <c r="F18" s="106">
        <v>0.061111111111111116</v>
      </c>
      <c r="G18" s="152">
        <f>IFERROR(__xludf.DUMMYFUNCTION("""COMPUTED_VALUE"""),0.8083333333333333)</f>
        <v>0.8083333333</v>
      </c>
      <c r="H18" s="106">
        <v>0.07430555555555551</v>
      </c>
      <c r="I18" s="136">
        <f>IFERROR(__xludf.DUMMYFUNCTION("""COMPUTED_VALUE"""),158.0)</f>
        <v>158</v>
      </c>
      <c r="J18" s="139">
        <v>107.10280373831782</v>
      </c>
      <c r="K18" s="136" t="s">
        <v>18</v>
      </c>
      <c r="L18" s="153">
        <f>IFERROR(__xludf.DUMMYFUNCTION("""COMPUTED_VALUE"""),46052.0)</f>
        <v>46052</v>
      </c>
      <c r="M18" s="136" t="str">
        <f t="shared" si="1"/>
        <v>Friday</v>
      </c>
      <c r="N18" s="136" t="str">
        <f>IFERROR(__xludf.DUMMYFUNCTION("""COMPUTED_VALUE"""),"MF")</f>
        <v>MF</v>
      </c>
      <c r="O18" s="75">
        <v>2.2402013959234055</v>
      </c>
      <c r="P18" s="136" t="str">
        <f>IFERROR(__xludf.DUMMYFUNCTION("""COMPUTED_VALUE"""),"")</f>
        <v/>
      </c>
      <c r="Q18" s="136" t="str">
        <f>IFERROR(__xludf.DUMMYFUNCTION("""COMPUTED_VALUE"""),"")</f>
        <v/>
      </c>
      <c r="R18" s="106" t="str">
        <f>IFERROR(__xludf.DUMMYFUNCTION("""COMPUTED_VALUE"""),"")</f>
        <v/>
      </c>
      <c r="S18" s="106" t="str">
        <f>IFERROR(__xludf.DUMMYFUNCTION("""COMPUTED_VALUE"""),"")</f>
        <v/>
      </c>
      <c r="T18" s="139" t="str">
        <f>IFERROR(__xludf.DUMMYFUNCTION("""COMPUTED_VALUE"""),"")</f>
        <v/>
      </c>
      <c r="U18" s="139" t="str">
        <f>IFERROR(__xludf.DUMMYFUNCTION("""COMPUTED_VALUE"""),"")</f>
        <v/>
      </c>
      <c r="V18" s="136" t="str">
        <f>IFERROR(__xludf.DUMMYFUNCTION("""COMPUTED_VALUE"""),"")</f>
        <v/>
      </c>
      <c r="W18" s="106" t="str">
        <f>IFERROR(__xludf.DUMMYFUNCTION("""COMPUTED_VALUE"""),"")</f>
        <v/>
      </c>
      <c r="X18" s="143" t="str">
        <f t="shared" si="2"/>
        <v/>
      </c>
      <c r="Y18" s="139" t="str">
        <f>IFERROR(__xludf.DUMMYFUNCTION("""COMPUTED_VALUE"""),"")</f>
        <v/>
      </c>
      <c r="Z18" s="141" t="str">
        <f>IFERROR(__xludf.DUMMYFUNCTION("""COMPUTED_VALUE"""),"")</f>
        <v/>
      </c>
    </row>
    <row r="19">
      <c r="A19" s="136" t="str">
        <f>IFERROR(__xludf.DUMMYFUNCTION("""COMPUTED_VALUE"""),"LOG-32578BDE")</f>
        <v>LOG-32578BDE</v>
      </c>
      <c r="B19" s="151">
        <f>IFERROR(__xludf.DUMMYFUNCTION("""COMPUTED_VALUE"""),46052.82777777778)</f>
        <v>46052.82778</v>
      </c>
      <c r="C19" s="136" t="str">
        <f>IFERROR(__xludf.DUMMYFUNCTION("""COMPUTED_VALUE"""),"Orpheus Wilson")</f>
        <v>Orpheus Wilson</v>
      </c>
      <c r="D19" s="136" t="b">
        <f t="shared" si="3"/>
        <v>1</v>
      </c>
      <c r="E19" s="152">
        <f>IFERROR(__xludf.DUMMYFUNCTION("""COMPUTED_VALUE"""),0.8145833333333333)</f>
        <v>0.8145833333</v>
      </c>
      <c r="F19" s="106">
        <v>0.013194444444444398</v>
      </c>
      <c r="G19" s="152">
        <f>IFERROR(__xludf.DUMMYFUNCTION("""COMPUTED_VALUE"""),0.8277777777777777)</f>
        <v>0.8277777778</v>
      </c>
      <c r="H19" s="106" t="s">
        <v>133</v>
      </c>
      <c r="I19" s="136">
        <f>IFERROR(__xludf.DUMMYFUNCTION("""COMPUTED_VALUE"""),33.0)</f>
        <v>33</v>
      </c>
      <c r="J19" s="139" t="s">
        <v>133</v>
      </c>
      <c r="K19" s="136" t="s">
        <v>18</v>
      </c>
      <c r="L19" s="153">
        <f>IFERROR(__xludf.DUMMYFUNCTION("""COMPUTED_VALUE"""),46052.0)</f>
        <v>46052</v>
      </c>
      <c r="M19" s="136" t="str">
        <f t="shared" si="1"/>
        <v>Friday</v>
      </c>
      <c r="N19" s="136" t="str">
        <f>IFERROR(__xludf.DUMMYFUNCTION("""COMPUTED_VALUE"""),"MF")</f>
        <v>MF</v>
      </c>
      <c r="O19" s="75" t="s">
        <v>133</v>
      </c>
      <c r="P19" s="136">
        <f>IFERROR(__xludf.DUMMYFUNCTION("""COMPUTED_VALUE"""),335.0)</f>
        <v>335</v>
      </c>
      <c r="Q19" s="136">
        <f>IFERROR(__xludf.DUMMYFUNCTION("""COMPUTED_VALUE"""),76.0)</f>
        <v>76</v>
      </c>
      <c r="R19" s="106">
        <f>IFERROR(__xludf.DUMMYFUNCTION("""COMPUTED_VALUE"""),0.21666666666666662)</f>
        <v>0.2166666667</v>
      </c>
      <c r="S19" s="106">
        <f>IFERROR(__xludf.DUMMYFUNCTION("""COMPUTED_VALUE"""),0.0625)</f>
        <v>0.0625</v>
      </c>
      <c r="T19" s="139">
        <f>IFERROR(__xludf.DUMMYFUNCTION("""COMPUTED_VALUE"""),74.62457260086623)</f>
        <v>74.6245726</v>
      </c>
      <c r="U19" s="139">
        <f>IFERROR(__xludf.DUMMYFUNCTION("""COMPUTED_VALUE"""),50.666666666666664)</f>
        <v>50.66666667</v>
      </c>
      <c r="V19" s="136">
        <f>IFERROR(__xludf.DUMMYFUNCTION("""COMPUTED_VALUE"""),411.0)</f>
        <v>411</v>
      </c>
      <c r="W19" s="106">
        <f>IFERROR(__xludf.DUMMYFUNCTION("""COMPUTED_VALUE"""),0.2791666666666666)</f>
        <v>0.2791666667</v>
      </c>
      <c r="X19" s="143">
        <f t="shared" si="2"/>
        <v>61.34328358</v>
      </c>
      <c r="Y19" s="139">
        <f>IFERROR(__xludf.DUMMYFUNCTION("""COMPUTED_VALUE"""),66.63860395613304)</f>
        <v>66.63860396</v>
      </c>
      <c r="Z19" s="141">
        <f>IFERROR(__xludf.DUMMYFUNCTION("""COMPUTED_VALUE"""),0.9348645004230238)</f>
        <v>0.9348645004</v>
      </c>
    </row>
    <row r="20">
      <c r="A20" s="136" t="str">
        <f>IFERROR(__xludf.DUMMYFUNCTION("""COMPUTED_VALUE"""),"LOG-A983A0B6")</f>
        <v>LOG-A983A0B6</v>
      </c>
      <c r="B20" s="151">
        <f>IFERROR(__xludf.DUMMYFUNCTION("""COMPUTED_VALUE"""),46055.645833333336)</f>
        <v>46055.64583</v>
      </c>
      <c r="C20" s="136" t="str">
        <f>IFERROR(__xludf.DUMMYFUNCTION("""COMPUTED_VALUE"""),"Brynn Hornig")</f>
        <v>Brynn Hornig</v>
      </c>
      <c r="D20" s="136" t="b">
        <f t="shared" si="3"/>
        <v>0</v>
      </c>
      <c r="E20" s="152">
        <f>IFERROR(__xludf.DUMMYFUNCTION("""COMPUTED_VALUE"""),0.5208333333333334)</f>
        <v>0.5208333333</v>
      </c>
      <c r="F20" s="106">
        <v>0.125</v>
      </c>
      <c r="G20" s="152">
        <f>IFERROR(__xludf.DUMMYFUNCTION("""COMPUTED_VALUE"""),0.6458333333333334)</f>
        <v>0.6458333333</v>
      </c>
      <c r="H20" s="106">
        <v>0.125</v>
      </c>
      <c r="I20" s="136">
        <f>IFERROR(__xludf.DUMMYFUNCTION("""COMPUTED_VALUE"""),106.0)</f>
        <v>106</v>
      </c>
      <c r="J20" s="139">
        <v>35.333333333333336</v>
      </c>
      <c r="K20" s="136" t="s">
        <v>15</v>
      </c>
      <c r="L20" s="153">
        <f>IFERROR(__xludf.DUMMYFUNCTION("""COMPUTED_VALUE"""),46055.0)</f>
        <v>46055</v>
      </c>
      <c r="M20" s="136" t="str">
        <f t="shared" si="1"/>
        <v>Monday</v>
      </c>
      <c r="N20" s="136" t="str">
        <f>IFERROR(__xludf.DUMMYFUNCTION("""COMPUTED_VALUE"""),"BF")</f>
        <v>BF</v>
      </c>
      <c r="O20" s="75">
        <v>1.246297144628068</v>
      </c>
      <c r="P20" s="136" t="str">
        <f>IFERROR(__xludf.DUMMYFUNCTION("""COMPUTED_VALUE"""),"")</f>
        <v/>
      </c>
      <c r="Q20" s="136" t="str">
        <f>IFERROR(__xludf.DUMMYFUNCTION("""COMPUTED_VALUE"""),"")</f>
        <v/>
      </c>
      <c r="R20" s="106" t="str">
        <f>IFERROR(__xludf.DUMMYFUNCTION("""COMPUTED_VALUE"""),"")</f>
        <v/>
      </c>
      <c r="S20" s="106" t="str">
        <f>IFERROR(__xludf.DUMMYFUNCTION("""COMPUTED_VALUE"""),"")</f>
        <v/>
      </c>
      <c r="T20" s="139" t="str">
        <f>IFERROR(__xludf.DUMMYFUNCTION("""COMPUTED_VALUE"""),"")</f>
        <v/>
      </c>
      <c r="U20" s="139" t="str">
        <f>IFERROR(__xludf.DUMMYFUNCTION("""COMPUTED_VALUE"""),"")</f>
        <v/>
      </c>
      <c r="V20" s="136" t="str">
        <f>IFERROR(__xludf.DUMMYFUNCTION("""COMPUTED_VALUE"""),"")</f>
        <v/>
      </c>
      <c r="W20" s="106" t="str">
        <f>IFERROR(__xludf.DUMMYFUNCTION("""COMPUTED_VALUE"""),"")</f>
        <v/>
      </c>
      <c r="X20" s="143" t="str">
        <f t="shared" si="2"/>
        <v/>
      </c>
      <c r="Y20" s="139" t="str">
        <f>IFERROR(__xludf.DUMMYFUNCTION("""COMPUTED_VALUE"""),"")</f>
        <v/>
      </c>
      <c r="Z20" s="141" t="str">
        <f>IFERROR(__xludf.DUMMYFUNCTION("""COMPUTED_VALUE"""),"")</f>
        <v/>
      </c>
    </row>
    <row r="21">
      <c r="A21" s="136" t="str">
        <f>IFERROR(__xludf.DUMMYFUNCTION("""COMPUTED_VALUE"""),"LOG-54506621")</f>
        <v>LOG-54506621</v>
      </c>
      <c r="B21" s="151">
        <f>IFERROR(__xludf.DUMMYFUNCTION("""COMPUTED_VALUE"""),46055.743055555555)</f>
        <v>46055.74306</v>
      </c>
      <c r="C21" s="136" t="str">
        <f>IFERROR(__xludf.DUMMYFUNCTION("""COMPUTED_VALUE"""),"Orpheus Wilson")</f>
        <v>Orpheus Wilson</v>
      </c>
      <c r="D21" s="136" t="b">
        <f t="shared" si="3"/>
        <v>0</v>
      </c>
      <c r="E21" s="152">
        <f>IFERROR(__xludf.DUMMYFUNCTION("""COMPUTED_VALUE"""),0.6666666666666666)</f>
        <v>0.6666666667</v>
      </c>
      <c r="F21" s="106">
        <v>0.07638888888888895</v>
      </c>
      <c r="G21" s="152">
        <f>IFERROR(__xludf.DUMMYFUNCTION("""COMPUTED_VALUE"""),0.7430555555555556)</f>
        <v>0.7430555556</v>
      </c>
      <c r="H21" s="106">
        <v>0.07638888888888895</v>
      </c>
      <c r="I21" s="136">
        <f>IFERROR(__xludf.DUMMYFUNCTION("""COMPUTED_VALUE"""),99.0)</f>
        <v>99</v>
      </c>
      <c r="J21" s="139">
        <v>53.99999999999996</v>
      </c>
      <c r="K21" s="136" t="s">
        <v>18</v>
      </c>
      <c r="L21" s="153">
        <f>IFERROR(__xludf.DUMMYFUNCTION("""COMPUTED_VALUE"""),46055.0)</f>
        <v>46055</v>
      </c>
      <c r="M21" s="136" t="str">
        <f t="shared" si="1"/>
        <v>Monday</v>
      </c>
      <c r="N21" s="136" t="str">
        <f>IFERROR(__xludf.DUMMYFUNCTION("""COMPUTED_VALUE"""),"MF")</f>
        <v>MF</v>
      </c>
      <c r="O21" s="75">
        <v>1.1294837404577156</v>
      </c>
      <c r="P21" s="136" t="str">
        <f>IFERROR(__xludf.DUMMYFUNCTION("""COMPUTED_VALUE"""),"")</f>
        <v/>
      </c>
      <c r="Q21" s="136" t="str">
        <f>IFERROR(__xludf.DUMMYFUNCTION("""COMPUTED_VALUE"""),"")</f>
        <v/>
      </c>
      <c r="R21" s="106" t="str">
        <f>IFERROR(__xludf.DUMMYFUNCTION("""COMPUTED_VALUE"""),"")</f>
        <v/>
      </c>
      <c r="S21" s="106" t="str">
        <f>IFERROR(__xludf.DUMMYFUNCTION("""COMPUTED_VALUE"""),"")</f>
        <v/>
      </c>
      <c r="T21" s="139" t="str">
        <f>IFERROR(__xludf.DUMMYFUNCTION("""COMPUTED_VALUE"""),"")</f>
        <v/>
      </c>
      <c r="U21" s="139" t="str">
        <f>IFERROR(__xludf.DUMMYFUNCTION("""COMPUTED_VALUE"""),"")</f>
        <v/>
      </c>
      <c r="V21" s="136" t="str">
        <f>IFERROR(__xludf.DUMMYFUNCTION("""COMPUTED_VALUE"""),"")</f>
        <v/>
      </c>
      <c r="W21" s="106" t="str">
        <f>IFERROR(__xludf.DUMMYFUNCTION("""COMPUTED_VALUE"""),"")</f>
        <v/>
      </c>
      <c r="X21" s="143" t="str">
        <f t="shared" si="2"/>
        <v/>
      </c>
      <c r="Y21" s="139" t="str">
        <f>IFERROR(__xludf.DUMMYFUNCTION("""COMPUTED_VALUE"""),"")</f>
        <v/>
      </c>
      <c r="Z21" s="141" t="str">
        <f>IFERROR(__xludf.DUMMYFUNCTION("""COMPUTED_VALUE"""),"")</f>
        <v/>
      </c>
    </row>
    <row r="22">
      <c r="A22" s="136" t="str">
        <f>IFERROR(__xludf.DUMMYFUNCTION("""COMPUTED_VALUE"""),"LOG-027354A4")</f>
        <v>LOG-027354A4</v>
      </c>
      <c r="B22" s="151">
        <f>IFERROR(__xludf.DUMMYFUNCTION("""COMPUTED_VALUE"""),46055.85763888889)</f>
        <v>46055.85764</v>
      </c>
      <c r="C22" s="136" t="str">
        <f>IFERROR(__xludf.DUMMYFUNCTION("""COMPUTED_VALUE"""),"Arjya Aich")</f>
        <v>Arjya Aich</v>
      </c>
      <c r="D22" s="136" t="b">
        <f t="shared" si="3"/>
        <v>0</v>
      </c>
      <c r="E22" s="152">
        <f>IFERROR(__xludf.DUMMYFUNCTION("""COMPUTED_VALUE"""),0.6875)</f>
        <v>0.6875</v>
      </c>
      <c r="F22" s="106">
        <v>0.17013888888888884</v>
      </c>
      <c r="G22" s="152">
        <f>IFERROR(__xludf.DUMMYFUNCTION("""COMPUTED_VALUE"""),0.8576388888888888)</f>
        <v>0.8576388889</v>
      </c>
      <c r="H22" s="106">
        <v>0.17013888888888884</v>
      </c>
      <c r="I22" s="136">
        <f>IFERROR(__xludf.DUMMYFUNCTION("""COMPUTED_VALUE"""),171.0)</f>
        <v>171</v>
      </c>
      <c r="J22" s="139">
        <v>41.87755102040818</v>
      </c>
      <c r="K22" s="136" t="s">
        <v>18</v>
      </c>
      <c r="L22" s="153">
        <f>IFERROR(__xludf.DUMMYFUNCTION("""COMPUTED_VALUE"""),46055.0)</f>
        <v>46055</v>
      </c>
      <c r="M22" s="136" t="str">
        <f t="shared" si="1"/>
        <v>Monday</v>
      </c>
      <c r="N22" s="136" t="str">
        <f>IFERROR(__xludf.DUMMYFUNCTION("""COMPUTED_VALUE"""),"BF")</f>
        <v>BF</v>
      </c>
      <c r="O22" s="75">
        <v>0.9425126572230926</v>
      </c>
      <c r="P22" s="136" t="str">
        <f>IFERROR(__xludf.DUMMYFUNCTION("""COMPUTED_VALUE"""),"")</f>
        <v/>
      </c>
      <c r="Q22" s="136" t="str">
        <f>IFERROR(__xludf.DUMMYFUNCTION("""COMPUTED_VALUE"""),"")</f>
        <v/>
      </c>
      <c r="R22" s="106" t="str">
        <f>IFERROR(__xludf.DUMMYFUNCTION("""COMPUTED_VALUE"""),"")</f>
        <v/>
      </c>
      <c r="S22" s="106" t="str">
        <f>IFERROR(__xludf.DUMMYFUNCTION("""COMPUTED_VALUE"""),"")</f>
        <v/>
      </c>
      <c r="T22" s="139" t="str">
        <f>IFERROR(__xludf.DUMMYFUNCTION("""COMPUTED_VALUE"""),"")</f>
        <v/>
      </c>
      <c r="U22" s="139" t="str">
        <f>IFERROR(__xludf.DUMMYFUNCTION("""COMPUTED_VALUE"""),"")</f>
        <v/>
      </c>
      <c r="V22" s="136" t="str">
        <f>IFERROR(__xludf.DUMMYFUNCTION("""COMPUTED_VALUE"""),"")</f>
        <v/>
      </c>
      <c r="W22" s="106" t="str">
        <f>IFERROR(__xludf.DUMMYFUNCTION("""COMPUTED_VALUE"""),"")</f>
        <v/>
      </c>
      <c r="X22" s="143" t="str">
        <f t="shared" si="2"/>
        <v/>
      </c>
      <c r="Y22" s="139" t="str">
        <f>IFERROR(__xludf.DUMMYFUNCTION("""COMPUTED_VALUE"""),"")</f>
        <v/>
      </c>
      <c r="Z22" s="141" t="str">
        <f>IFERROR(__xludf.DUMMYFUNCTION("""COMPUTED_VALUE"""),"")</f>
        <v/>
      </c>
    </row>
    <row r="23">
      <c r="A23" s="136" t="str">
        <f>IFERROR(__xludf.DUMMYFUNCTION("""COMPUTED_VALUE"""),"LOG-6EA5FB85")</f>
        <v>LOG-6EA5FB85</v>
      </c>
      <c r="B23" s="151">
        <f>IFERROR(__xludf.DUMMYFUNCTION("""COMPUTED_VALUE"""),46055.875)</f>
        <v>46055.875</v>
      </c>
      <c r="C23" s="136" t="str">
        <f>IFERROR(__xludf.DUMMYFUNCTION("""COMPUTED_VALUE"""),"Maureen Surgot")</f>
        <v>Maureen Surgot</v>
      </c>
      <c r="D23" s="136" t="b">
        <f t="shared" si="3"/>
        <v>0</v>
      </c>
      <c r="E23" s="152">
        <f>IFERROR(__xludf.DUMMYFUNCTION("""COMPUTED_VALUE"""),0.75)</f>
        <v>0.75</v>
      </c>
      <c r="F23" s="106">
        <v>0.125</v>
      </c>
      <c r="G23" s="152">
        <f>IFERROR(__xludf.DUMMYFUNCTION("""COMPUTED_VALUE"""),0.875)</f>
        <v>0.875</v>
      </c>
      <c r="H23" s="106">
        <v>0.125</v>
      </c>
      <c r="I23" s="136">
        <f>IFERROR(__xludf.DUMMYFUNCTION("""COMPUTED_VALUE"""),144.0)</f>
        <v>144</v>
      </c>
      <c r="J23" s="139">
        <v>48.0</v>
      </c>
      <c r="K23" s="136" t="s">
        <v>18</v>
      </c>
      <c r="L23" s="153">
        <f>IFERROR(__xludf.DUMMYFUNCTION("""COMPUTED_VALUE"""),46055.0)</f>
        <v>46055</v>
      </c>
      <c r="M23" s="136" t="str">
        <f t="shared" si="1"/>
        <v>Monday</v>
      </c>
      <c r="N23" s="136" t="str">
        <f>IFERROR(__xludf.DUMMYFUNCTION("""COMPUTED_VALUE"""),"MF")</f>
        <v>MF</v>
      </c>
      <c r="O23" s="75">
        <v>1.0039855470735257</v>
      </c>
      <c r="P23" s="136">
        <f>IFERROR(__xludf.DUMMYFUNCTION("""COMPUTED_VALUE"""),243.0)</f>
        <v>243</v>
      </c>
      <c r="Q23" s="136">
        <f>IFERROR(__xludf.DUMMYFUNCTION("""COMPUTED_VALUE"""),277.0)</f>
        <v>277</v>
      </c>
      <c r="R23" s="106">
        <f>IFERROR(__xludf.DUMMYFUNCTION("""COMPUTED_VALUE"""),0.20138888888888895)</f>
        <v>0.2013888889</v>
      </c>
      <c r="S23" s="106">
        <f>IFERROR(__xludf.DUMMYFUNCTION("""COMPUTED_VALUE"""),0.29513888888888884)</f>
        <v>0.2951388889</v>
      </c>
      <c r="T23" s="139">
        <f>IFERROR(__xludf.DUMMYFUNCTION("""COMPUTED_VALUE"""),50.99999999999998)</f>
        <v>51</v>
      </c>
      <c r="U23" s="139">
        <f>IFERROR(__xludf.DUMMYFUNCTION("""COMPUTED_VALUE"""),38.60544217687075)</f>
        <v>38.60544218</v>
      </c>
      <c r="V23" s="136">
        <f>IFERROR(__xludf.DUMMYFUNCTION("""COMPUTED_VALUE"""),520.0)</f>
        <v>520</v>
      </c>
      <c r="W23" s="106">
        <f>IFERROR(__xludf.DUMMYFUNCTION("""COMPUTED_VALUE"""),0.4965277777777778)</f>
        <v>0.4965277778</v>
      </c>
      <c r="X23" s="143">
        <f t="shared" si="2"/>
        <v>43.63636364</v>
      </c>
      <c r="Y23" s="139">
        <f>IFERROR(__xludf.DUMMYFUNCTION("""COMPUTED_VALUE"""),44.80272108843536)</f>
        <v>44.80272109</v>
      </c>
      <c r="Z23" s="141">
        <f>IFERROR(__xludf.DUMMYFUNCTION("""COMPUTED_VALUE"""),0.8149750612965739)</f>
        <v>0.8149750613</v>
      </c>
    </row>
    <row r="24">
      <c r="A24" s="136" t="str">
        <f>IFERROR(__xludf.DUMMYFUNCTION("""COMPUTED_VALUE"""),"LOG-DC21F67A")</f>
        <v>LOG-DC21F67A</v>
      </c>
      <c r="B24" s="151">
        <f>IFERROR(__xludf.DUMMYFUNCTION("""COMPUTED_VALUE"""),46056.32777777778)</f>
        <v>46056.32778</v>
      </c>
      <c r="C24" s="136" t="str">
        <f>IFERROR(__xludf.DUMMYFUNCTION("""COMPUTED_VALUE"""),"Denise Romanszysn")</f>
        <v>Denise Romanszysn</v>
      </c>
      <c r="D24" s="136" t="b">
        <f t="shared" si="3"/>
        <v>0</v>
      </c>
      <c r="E24" s="152">
        <f>IFERROR(__xludf.DUMMYFUNCTION("""COMPUTED_VALUE"""),0.2986111111111111)</f>
        <v>0.2986111111</v>
      </c>
      <c r="F24" s="106">
        <v>0.029166666666666674</v>
      </c>
      <c r="G24" s="152">
        <f>IFERROR(__xludf.DUMMYFUNCTION("""COMPUTED_VALUE"""),0.3277777777777778)</f>
        <v>0.3277777778</v>
      </c>
      <c r="H24" s="106">
        <v>0.14513888888888893</v>
      </c>
      <c r="I24" s="136">
        <f>IFERROR(__xludf.DUMMYFUNCTION("""COMPUTED_VALUE"""),34.0)</f>
        <v>34</v>
      </c>
      <c r="J24" s="139">
        <v>39.043062200956925</v>
      </c>
      <c r="K24" s="136" t="s">
        <v>12</v>
      </c>
      <c r="L24" s="153">
        <f>IFERROR(__xludf.DUMMYFUNCTION("""COMPUTED_VALUE"""),46056.0)</f>
        <v>46056</v>
      </c>
      <c r="M24" s="136" t="str">
        <f t="shared" si="1"/>
        <v>Tuesday</v>
      </c>
      <c r="N24" s="136" t="str">
        <f>IFERROR(__xludf.DUMMYFUNCTION("""COMPUTED_VALUE"""),"BF")</f>
        <v>BF</v>
      </c>
      <c r="O24" s="75">
        <v>1.3771487812808112</v>
      </c>
      <c r="P24" s="136" t="str">
        <f>IFERROR(__xludf.DUMMYFUNCTION("""COMPUTED_VALUE"""),"")</f>
        <v/>
      </c>
      <c r="Q24" s="136" t="str">
        <f>IFERROR(__xludf.DUMMYFUNCTION("""COMPUTED_VALUE"""),"")</f>
        <v/>
      </c>
      <c r="R24" s="106" t="str">
        <f>IFERROR(__xludf.DUMMYFUNCTION("""COMPUTED_VALUE"""),"")</f>
        <v/>
      </c>
      <c r="S24" s="106" t="str">
        <f>IFERROR(__xludf.DUMMYFUNCTION("""COMPUTED_VALUE"""),"")</f>
        <v/>
      </c>
      <c r="T24" s="139" t="str">
        <f>IFERROR(__xludf.DUMMYFUNCTION("""COMPUTED_VALUE"""),"")</f>
        <v/>
      </c>
      <c r="U24" s="139" t="str">
        <f>IFERROR(__xludf.DUMMYFUNCTION("""COMPUTED_VALUE"""),"")</f>
        <v/>
      </c>
      <c r="V24" s="136" t="str">
        <f>IFERROR(__xludf.DUMMYFUNCTION("""COMPUTED_VALUE"""),"")</f>
        <v/>
      </c>
      <c r="W24" s="106" t="str">
        <f>IFERROR(__xludf.DUMMYFUNCTION("""COMPUTED_VALUE"""),"")</f>
        <v/>
      </c>
      <c r="X24" s="143" t="str">
        <f t="shared" si="2"/>
        <v/>
      </c>
      <c r="Y24" s="139" t="str">
        <f>IFERROR(__xludf.DUMMYFUNCTION("""COMPUTED_VALUE"""),"")</f>
        <v/>
      </c>
      <c r="Z24" s="141" t="str">
        <f>IFERROR(__xludf.DUMMYFUNCTION("""COMPUTED_VALUE"""),"")</f>
        <v/>
      </c>
    </row>
    <row r="25">
      <c r="A25" s="136" t="str">
        <f>IFERROR(__xludf.DUMMYFUNCTION("""COMPUTED_VALUE"""),"LOG-19126795")</f>
        <v>LOG-19126795</v>
      </c>
      <c r="B25" s="151">
        <f>IFERROR(__xludf.DUMMYFUNCTION("""COMPUTED_VALUE"""),46056.447222222225)</f>
        <v>46056.44722</v>
      </c>
      <c r="C25" s="136" t="str">
        <f>IFERROR(__xludf.DUMMYFUNCTION("""COMPUTED_VALUE"""),"Denise Romanszysn")</f>
        <v>Denise Romanszysn</v>
      </c>
      <c r="D25" s="136" t="b">
        <f t="shared" si="3"/>
        <v>1</v>
      </c>
      <c r="E25" s="152">
        <f>IFERROR(__xludf.DUMMYFUNCTION("""COMPUTED_VALUE"""),0.33125)</f>
        <v>0.33125</v>
      </c>
      <c r="F25" s="106">
        <v>0.11597222222222225</v>
      </c>
      <c r="G25" s="152">
        <f>IFERROR(__xludf.DUMMYFUNCTION("""COMPUTED_VALUE"""),0.44722222222222224)</f>
        <v>0.4472222222</v>
      </c>
      <c r="H25" s="106" t="s">
        <v>133</v>
      </c>
      <c r="I25" s="136">
        <f>IFERROR(__xludf.DUMMYFUNCTION("""COMPUTED_VALUE"""),102.0)</f>
        <v>102</v>
      </c>
      <c r="J25" s="139" t="s">
        <v>133</v>
      </c>
      <c r="K25" s="136" t="s">
        <v>12</v>
      </c>
      <c r="L25" s="153">
        <f>IFERROR(__xludf.DUMMYFUNCTION("""COMPUTED_VALUE"""),46056.0)</f>
        <v>46056</v>
      </c>
      <c r="M25" s="136" t="str">
        <f t="shared" si="1"/>
        <v>Tuesday</v>
      </c>
      <c r="N25" s="136" t="str">
        <f>IFERROR(__xludf.DUMMYFUNCTION("""COMPUTED_VALUE"""),"BF")</f>
        <v>BF</v>
      </c>
      <c r="O25" s="75" t="s">
        <v>133</v>
      </c>
      <c r="P25" s="136" t="str">
        <f>IFERROR(__xludf.DUMMYFUNCTION("""COMPUTED_VALUE"""),"")</f>
        <v/>
      </c>
      <c r="Q25" s="136" t="str">
        <f>IFERROR(__xludf.DUMMYFUNCTION("""COMPUTED_VALUE"""),"")</f>
        <v/>
      </c>
      <c r="R25" s="106" t="str">
        <f>IFERROR(__xludf.DUMMYFUNCTION("""COMPUTED_VALUE"""),"")</f>
        <v/>
      </c>
      <c r="S25" s="106" t="str">
        <f>IFERROR(__xludf.DUMMYFUNCTION("""COMPUTED_VALUE"""),"")</f>
        <v/>
      </c>
      <c r="T25" s="139" t="str">
        <f>IFERROR(__xludf.DUMMYFUNCTION("""COMPUTED_VALUE"""),"")</f>
        <v/>
      </c>
      <c r="U25" s="139" t="str">
        <f>IFERROR(__xludf.DUMMYFUNCTION("""COMPUTED_VALUE"""),"")</f>
        <v/>
      </c>
      <c r="V25" s="136" t="str">
        <f>IFERROR(__xludf.DUMMYFUNCTION("""COMPUTED_VALUE"""),"")</f>
        <v/>
      </c>
      <c r="W25" s="106" t="str">
        <f>IFERROR(__xludf.DUMMYFUNCTION("""COMPUTED_VALUE"""),"")</f>
        <v/>
      </c>
      <c r="X25" s="143" t="str">
        <f t="shared" si="2"/>
        <v/>
      </c>
      <c r="Y25" s="139" t="str">
        <f>IFERROR(__xludf.DUMMYFUNCTION("""COMPUTED_VALUE"""),"")</f>
        <v/>
      </c>
      <c r="Z25" s="141" t="str">
        <f>IFERROR(__xludf.DUMMYFUNCTION("""COMPUTED_VALUE"""),"")</f>
        <v/>
      </c>
    </row>
    <row r="26">
      <c r="A26" s="136" t="str">
        <f>IFERROR(__xludf.DUMMYFUNCTION("""COMPUTED_VALUE"""),"LOG-B120B778")</f>
        <v>LOG-B120B778</v>
      </c>
      <c r="B26" s="151">
        <f>IFERROR(__xludf.DUMMYFUNCTION("""COMPUTED_VALUE"""),46056.51944444444)</f>
        <v>46056.51944</v>
      </c>
      <c r="C26" s="136" t="str">
        <f>IFERROR(__xludf.DUMMYFUNCTION("""COMPUTED_VALUE"""),"Kaylie Forgue")</f>
        <v>Kaylie Forgue</v>
      </c>
      <c r="D26" s="136" t="b">
        <f t="shared" si="3"/>
        <v>0</v>
      </c>
      <c r="E26" s="152">
        <f>IFERROR(__xludf.DUMMYFUNCTION("""COMPUTED_VALUE"""),0.4444444444444444)</f>
        <v>0.4444444444</v>
      </c>
      <c r="F26" s="106">
        <v>0.07500000000000007</v>
      </c>
      <c r="G26" s="152">
        <f>IFERROR(__xludf.DUMMYFUNCTION("""COMPUTED_VALUE"""),0.5194444444444445)</f>
        <v>0.5194444444</v>
      </c>
      <c r="H26" s="106">
        <v>0.07500000000000007</v>
      </c>
      <c r="I26" s="136">
        <f>IFERROR(__xludf.DUMMYFUNCTION("""COMPUTED_VALUE"""),73.0)</f>
        <v>73</v>
      </c>
      <c r="J26" s="139">
        <v>40.55555555555552</v>
      </c>
      <c r="K26" s="136" t="s">
        <v>134</v>
      </c>
      <c r="L26" s="153">
        <f>IFERROR(__xludf.DUMMYFUNCTION("""COMPUTED_VALUE"""),46056.0)</f>
        <v>46056</v>
      </c>
      <c r="M26" s="136" t="str">
        <f t="shared" si="1"/>
        <v>Tuesday</v>
      </c>
      <c r="N26" s="136" t="str">
        <f>IFERROR(__xludf.DUMMYFUNCTION("""COMPUTED_VALUE"""),"BF")</f>
        <v>BF</v>
      </c>
      <c r="O26" s="75">
        <v>1.2917771211332534</v>
      </c>
      <c r="P26" s="136" t="str">
        <f>IFERROR(__xludf.DUMMYFUNCTION("""COMPUTED_VALUE"""),"")</f>
        <v/>
      </c>
      <c r="Q26" s="136" t="str">
        <f>IFERROR(__xludf.DUMMYFUNCTION("""COMPUTED_VALUE"""),"")</f>
        <v/>
      </c>
      <c r="R26" s="106" t="str">
        <f>IFERROR(__xludf.DUMMYFUNCTION("""COMPUTED_VALUE"""),"")</f>
        <v/>
      </c>
      <c r="S26" s="106" t="str">
        <f>IFERROR(__xludf.DUMMYFUNCTION("""COMPUTED_VALUE"""),"")</f>
        <v/>
      </c>
      <c r="T26" s="139" t="str">
        <f>IFERROR(__xludf.DUMMYFUNCTION("""COMPUTED_VALUE"""),"")</f>
        <v/>
      </c>
      <c r="U26" s="139" t="str">
        <f>IFERROR(__xludf.DUMMYFUNCTION("""COMPUTED_VALUE"""),"")</f>
        <v/>
      </c>
      <c r="V26" s="136" t="str">
        <f>IFERROR(__xludf.DUMMYFUNCTION("""COMPUTED_VALUE"""),"")</f>
        <v/>
      </c>
      <c r="W26" s="106" t="str">
        <f>IFERROR(__xludf.DUMMYFUNCTION("""COMPUTED_VALUE"""),"")</f>
        <v/>
      </c>
      <c r="X26" s="143" t="str">
        <f t="shared" si="2"/>
        <v/>
      </c>
      <c r="Y26" s="139" t="str">
        <f>IFERROR(__xludf.DUMMYFUNCTION("""COMPUTED_VALUE"""),"")</f>
        <v/>
      </c>
      <c r="Z26" s="141" t="str">
        <f>IFERROR(__xludf.DUMMYFUNCTION("""COMPUTED_VALUE"""),"")</f>
        <v/>
      </c>
    </row>
    <row r="27">
      <c r="A27" s="136" t="str">
        <f>IFERROR(__xludf.DUMMYFUNCTION("""COMPUTED_VALUE"""),"LOG-18CF2761")</f>
        <v>LOG-18CF2761</v>
      </c>
      <c r="B27" s="151">
        <f>IFERROR(__xludf.DUMMYFUNCTION("""COMPUTED_VALUE"""),46056.55416666667)</f>
        <v>46056.55417</v>
      </c>
      <c r="C27" s="136" t="str">
        <f>IFERROR(__xludf.DUMMYFUNCTION("""COMPUTED_VALUE"""),"Kyra Turner")</f>
        <v>Kyra Turner</v>
      </c>
      <c r="D27" s="136" t="b">
        <f t="shared" si="3"/>
        <v>0</v>
      </c>
      <c r="E27" s="152">
        <f>IFERROR(__xludf.DUMMYFUNCTION("""COMPUTED_VALUE"""),0.4840277777777778)</f>
        <v>0.4840277778</v>
      </c>
      <c r="F27" s="106">
        <v>0.07013888888888892</v>
      </c>
      <c r="G27" s="152">
        <f>IFERROR(__xludf.DUMMYFUNCTION("""COMPUTED_VALUE"""),0.5541666666666667)</f>
        <v>0.5541666667</v>
      </c>
      <c r="H27" s="106">
        <v>0.13263888888888892</v>
      </c>
      <c r="I27" s="136">
        <f>IFERROR(__xludf.DUMMYFUNCTION("""COMPUTED_VALUE"""),109.0)</f>
        <v>109</v>
      </c>
      <c r="J27" s="139">
        <v>61.256544502617785</v>
      </c>
      <c r="K27" s="136" t="s">
        <v>15</v>
      </c>
      <c r="L27" s="153">
        <f>IFERROR(__xludf.DUMMYFUNCTION("""COMPUTED_VALUE"""),46056.0)</f>
        <v>46056</v>
      </c>
      <c r="M27" s="136" t="str">
        <f t="shared" si="1"/>
        <v>Tuesday</v>
      </c>
      <c r="N27" s="136" t="str">
        <f>IFERROR(__xludf.DUMMYFUNCTION("""COMPUTED_VALUE"""),"MF")</f>
        <v>MF</v>
      </c>
      <c r="O27" s="75">
        <v>1.2183690792835056</v>
      </c>
      <c r="P27" s="136" t="str">
        <f>IFERROR(__xludf.DUMMYFUNCTION("""COMPUTED_VALUE"""),"")</f>
        <v/>
      </c>
      <c r="Q27" s="136" t="str">
        <f>IFERROR(__xludf.DUMMYFUNCTION("""COMPUTED_VALUE"""),"")</f>
        <v/>
      </c>
      <c r="R27" s="106" t="str">
        <f>IFERROR(__xludf.DUMMYFUNCTION("""COMPUTED_VALUE"""),"")</f>
        <v/>
      </c>
      <c r="S27" s="106" t="str">
        <f>IFERROR(__xludf.DUMMYFUNCTION("""COMPUTED_VALUE"""),"")</f>
        <v/>
      </c>
      <c r="T27" s="139" t="str">
        <f>IFERROR(__xludf.DUMMYFUNCTION("""COMPUTED_VALUE"""),"")</f>
        <v/>
      </c>
      <c r="U27" s="139" t="str">
        <f>IFERROR(__xludf.DUMMYFUNCTION("""COMPUTED_VALUE"""),"")</f>
        <v/>
      </c>
      <c r="V27" s="136" t="str">
        <f>IFERROR(__xludf.DUMMYFUNCTION("""COMPUTED_VALUE"""),"")</f>
        <v/>
      </c>
      <c r="W27" s="106" t="str">
        <f>IFERROR(__xludf.DUMMYFUNCTION("""COMPUTED_VALUE"""),"")</f>
        <v/>
      </c>
      <c r="X27" s="143" t="str">
        <f t="shared" si="2"/>
        <v/>
      </c>
      <c r="Y27" s="139" t="str">
        <f>IFERROR(__xludf.DUMMYFUNCTION("""COMPUTED_VALUE"""),"")</f>
        <v/>
      </c>
      <c r="Z27" s="141" t="str">
        <f>IFERROR(__xludf.DUMMYFUNCTION("""COMPUTED_VALUE"""),"")</f>
        <v/>
      </c>
    </row>
    <row r="28">
      <c r="A28" s="136" t="str">
        <f>IFERROR(__xludf.DUMMYFUNCTION("""COMPUTED_VALUE"""),"LOG-79F869F8")</f>
        <v>LOG-79F869F8</v>
      </c>
      <c r="B28" s="151">
        <f>IFERROR(__xludf.DUMMYFUNCTION("""COMPUTED_VALUE"""),46056.62222222222)</f>
        <v>46056.62222</v>
      </c>
      <c r="C28" s="136" t="str">
        <f>IFERROR(__xludf.DUMMYFUNCTION("""COMPUTED_VALUE"""),"Kyra Turner")</f>
        <v>Kyra Turner</v>
      </c>
      <c r="D28" s="136" t="b">
        <f t="shared" si="3"/>
        <v>1</v>
      </c>
      <c r="E28" s="152">
        <f>IFERROR(__xludf.DUMMYFUNCTION("""COMPUTED_VALUE"""),0.5597222222222222)</f>
        <v>0.5597222222</v>
      </c>
      <c r="F28" s="106">
        <v>0.0625</v>
      </c>
      <c r="G28" s="152">
        <f>IFERROR(__xludf.DUMMYFUNCTION("""COMPUTED_VALUE"""),0.6222222222222222)</f>
        <v>0.6222222222</v>
      </c>
      <c r="H28" s="106" t="s">
        <v>133</v>
      </c>
      <c r="I28" s="136">
        <f>IFERROR(__xludf.DUMMYFUNCTION("""COMPUTED_VALUE"""),86.0)</f>
        <v>86</v>
      </c>
      <c r="J28" s="139" t="s">
        <v>133</v>
      </c>
      <c r="K28" s="136" t="s">
        <v>15</v>
      </c>
      <c r="L28" s="153">
        <f>IFERROR(__xludf.DUMMYFUNCTION("""COMPUTED_VALUE"""),46056.0)</f>
        <v>46056</v>
      </c>
      <c r="M28" s="136" t="str">
        <f t="shared" si="1"/>
        <v>Tuesday</v>
      </c>
      <c r="N28" s="136" t="str">
        <f>IFERROR(__xludf.DUMMYFUNCTION("""COMPUTED_VALUE"""),"MF")</f>
        <v>MF</v>
      </c>
      <c r="O28" s="75" t="s">
        <v>133</v>
      </c>
      <c r="P28" s="136" t="str">
        <f>IFERROR(__xludf.DUMMYFUNCTION("""COMPUTED_VALUE"""),"")</f>
        <v/>
      </c>
      <c r="Q28" s="136" t="str">
        <f>IFERROR(__xludf.DUMMYFUNCTION("""COMPUTED_VALUE"""),"")</f>
        <v/>
      </c>
      <c r="R28" s="106" t="str">
        <f>IFERROR(__xludf.DUMMYFUNCTION("""COMPUTED_VALUE"""),"")</f>
        <v/>
      </c>
      <c r="S28" s="106" t="str">
        <f>IFERROR(__xludf.DUMMYFUNCTION("""COMPUTED_VALUE"""),"")</f>
        <v/>
      </c>
      <c r="T28" s="139" t="str">
        <f>IFERROR(__xludf.DUMMYFUNCTION("""COMPUTED_VALUE"""),"")</f>
        <v/>
      </c>
      <c r="U28" s="139" t="str">
        <f>IFERROR(__xludf.DUMMYFUNCTION("""COMPUTED_VALUE"""),"")</f>
        <v/>
      </c>
      <c r="V28" s="136" t="str">
        <f>IFERROR(__xludf.DUMMYFUNCTION("""COMPUTED_VALUE"""),"")</f>
        <v/>
      </c>
      <c r="W28" s="106" t="str">
        <f>IFERROR(__xludf.DUMMYFUNCTION("""COMPUTED_VALUE"""),"")</f>
        <v/>
      </c>
      <c r="X28" s="143" t="str">
        <f t="shared" si="2"/>
        <v/>
      </c>
      <c r="Y28" s="139" t="str">
        <f>IFERROR(__xludf.DUMMYFUNCTION("""COMPUTED_VALUE"""),"")</f>
        <v/>
      </c>
      <c r="Z28" s="141" t="str">
        <f>IFERROR(__xludf.DUMMYFUNCTION("""COMPUTED_VALUE"""),"")</f>
        <v/>
      </c>
    </row>
    <row r="29">
      <c r="A29" s="136" t="str">
        <f>IFERROR(__xludf.DUMMYFUNCTION("""COMPUTED_VALUE"""),"LOG-D9E3525C")</f>
        <v>LOG-D9E3525C</v>
      </c>
      <c r="B29" s="151">
        <f>IFERROR(__xludf.DUMMYFUNCTION("""COMPUTED_VALUE"""),46056.75)</f>
        <v>46056.75</v>
      </c>
      <c r="C29" s="136" t="str">
        <f>IFERROR(__xludf.DUMMYFUNCTION("""COMPUTED_VALUE"""),"Leah Bucci")</f>
        <v>Leah Bucci</v>
      </c>
      <c r="D29" s="136" t="b">
        <f t="shared" si="3"/>
        <v>0</v>
      </c>
      <c r="E29" s="152">
        <f>IFERROR(__xludf.DUMMYFUNCTION("""COMPUTED_VALUE"""),0.6875)</f>
        <v>0.6875</v>
      </c>
      <c r="F29" s="106">
        <v>0.0625</v>
      </c>
      <c r="G29" s="152">
        <f>IFERROR(__xludf.DUMMYFUNCTION("""COMPUTED_VALUE"""),0.75)</f>
        <v>0.75</v>
      </c>
      <c r="H29" s="106">
        <v>0.14930555555555558</v>
      </c>
      <c r="I29" s="136">
        <f>IFERROR(__xludf.DUMMYFUNCTION("""COMPUTED_VALUE"""),81.0)</f>
        <v>81</v>
      </c>
      <c r="J29" s="139">
        <v>65.5813953488372</v>
      </c>
      <c r="K29" s="136" t="s">
        <v>18</v>
      </c>
      <c r="L29" s="153">
        <f>IFERROR(__xludf.DUMMYFUNCTION("""COMPUTED_VALUE"""),46056.0)</f>
        <v>46056</v>
      </c>
      <c r="M29" s="136" t="str">
        <f t="shared" si="1"/>
        <v>Tuesday</v>
      </c>
      <c r="N29" s="136" t="str">
        <f>IFERROR(__xludf.DUMMYFUNCTION("""COMPUTED_VALUE"""),"BF")</f>
        <v>BF</v>
      </c>
      <c r="O29" s="75">
        <v>1.4760007137119417</v>
      </c>
      <c r="P29" s="136" t="str">
        <f>IFERROR(__xludf.DUMMYFUNCTION("""COMPUTED_VALUE"""),"")</f>
        <v/>
      </c>
      <c r="Q29" s="136" t="str">
        <f>IFERROR(__xludf.DUMMYFUNCTION("""COMPUTED_VALUE"""),"")</f>
        <v/>
      </c>
      <c r="R29" s="106" t="str">
        <f>IFERROR(__xludf.DUMMYFUNCTION("""COMPUTED_VALUE"""),"")</f>
        <v/>
      </c>
      <c r="S29" s="106" t="str">
        <f>IFERROR(__xludf.DUMMYFUNCTION("""COMPUTED_VALUE"""),"")</f>
        <v/>
      </c>
      <c r="T29" s="139" t="str">
        <f>IFERROR(__xludf.DUMMYFUNCTION("""COMPUTED_VALUE"""),"")</f>
        <v/>
      </c>
      <c r="U29" s="139" t="str">
        <f>IFERROR(__xludf.DUMMYFUNCTION("""COMPUTED_VALUE"""),"")</f>
        <v/>
      </c>
      <c r="V29" s="136" t="str">
        <f>IFERROR(__xludf.DUMMYFUNCTION("""COMPUTED_VALUE"""),"")</f>
        <v/>
      </c>
      <c r="W29" s="106" t="str">
        <f>IFERROR(__xludf.DUMMYFUNCTION("""COMPUTED_VALUE"""),"")</f>
        <v/>
      </c>
      <c r="X29" s="143" t="str">
        <f t="shared" si="2"/>
        <v/>
      </c>
      <c r="Y29" s="139" t="str">
        <f>IFERROR(__xludf.DUMMYFUNCTION("""COMPUTED_VALUE"""),"")</f>
        <v/>
      </c>
      <c r="Z29" s="141" t="str">
        <f>IFERROR(__xludf.DUMMYFUNCTION("""COMPUTED_VALUE"""),"")</f>
        <v/>
      </c>
    </row>
    <row r="30">
      <c r="A30" s="136" t="str">
        <f>IFERROR(__xludf.DUMMYFUNCTION("""COMPUTED_VALUE"""),"LOG-EFF675AA")</f>
        <v>LOG-EFF675AA</v>
      </c>
      <c r="B30" s="151">
        <f>IFERROR(__xludf.DUMMYFUNCTION("""COMPUTED_VALUE"""),46056.84027777778)</f>
        <v>46056.84028</v>
      </c>
      <c r="C30" s="136" t="str">
        <f>IFERROR(__xludf.DUMMYFUNCTION("""COMPUTED_VALUE"""),"Leah Bucci")</f>
        <v>Leah Bucci</v>
      </c>
      <c r="D30" s="136" t="b">
        <f t="shared" si="3"/>
        <v>1</v>
      </c>
      <c r="E30" s="152">
        <f>IFERROR(__xludf.DUMMYFUNCTION("""COMPUTED_VALUE"""),0.7534722222222222)</f>
        <v>0.7534722222</v>
      </c>
      <c r="F30" s="106">
        <v>0.08680555555555558</v>
      </c>
      <c r="G30" s="152">
        <f>IFERROR(__xludf.DUMMYFUNCTION("""COMPUTED_VALUE"""),0.8402777777777778)</f>
        <v>0.8402777778</v>
      </c>
      <c r="H30" s="106" t="s">
        <v>133</v>
      </c>
      <c r="I30" s="136">
        <f>IFERROR(__xludf.DUMMYFUNCTION("""COMPUTED_VALUE"""),154.0)</f>
        <v>154</v>
      </c>
      <c r="J30" s="139" t="s">
        <v>133</v>
      </c>
      <c r="K30" s="136" t="s">
        <v>18</v>
      </c>
      <c r="L30" s="153">
        <f>IFERROR(__xludf.DUMMYFUNCTION("""COMPUTED_VALUE"""),46056.0)</f>
        <v>46056</v>
      </c>
      <c r="M30" s="136" t="str">
        <f t="shared" si="1"/>
        <v>Tuesday</v>
      </c>
      <c r="N30" s="136" t="str">
        <f>IFERROR(__xludf.DUMMYFUNCTION("""COMPUTED_VALUE"""),"BF")</f>
        <v>BF</v>
      </c>
      <c r="O30" s="75" t="s">
        <v>133</v>
      </c>
      <c r="P30" s="136" t="str">
        <f>IFERROR(__xludf.DUMMYFUNCTION("""COMPUTED_VALUE"""),"")</f>
        <v/>
      </c>
      <c r="Q30" s="136" t="str">
        <f>IFERROR(__xludf.DUMMYFUNCTION("""COMPUTED_VALUE"""),"")</f>
        <v/>
      </c>
      <c r="R30" s="106" t="str">
        <f>IFERROR(__xludf.DUMMYFUNCTION("""COMPUTED_VALUE"""),"")</f>
        <v/>
      </c>
      <c r="S30" s="106" t="str">
        <f>IFERROR(__xludf.DUMMYFUNCTION("""COMPUTED_VALUE"""),"")</f>
        <v/>
      </c>
      <c r="T30" s="139" t="str">
        <f>IFERROR(__xludf.DUMMYFUNCTION("""COMPUTED_VALUE"""),"")</f>
        <v/>
      </c>
      <c r="U30" s="139" t="str">
        <f>IFERROR(__xludf.DUMMYFUNCTION("""COMPUTED_VALUE"""),"")</f>
        <v/>
      </c>
      <c r="V30" s="136" t="str">
        <f>IFERROR(__xludf.DUMMYFUNCTION("""COMPUTED_VALUE"""),"")</f>
        <v/>
      </c>
      <c r="W30" s="106" t="str">
        <f>IFERROR(__xludf.DUMMYFUNCTION("""COMPUTED_VALUE"""),"")</f>
        <v/>
      </c>
      <c r="X30" s="143" t="str">
        <f t="shared" si="2"/>
        <v/>
      </c>
      <c r="Y30" s="139" t="str">
        <f>IFERROR(__xludf.DUMMYFUNCTION("""COMPUTED_VALUE"""),"")</f>
        <v/>
      </c>
      <c r="Z30" s="141" t="str">
        <f>IFERROR(__xludf.DUMMYFUNCTION("""COMPUTED_VALUE"""),"")</f>
        <v/>
      </c>
    </row>
    <row r="31">
      <c r="A31" s="136" t="str">
        <f>IFERROR(__xludf.DUMMYFUNCTION("""COMPUTED_VALUE"""),"LOG-DDA2EA38")</f>
        <v>LOG-DDA2EA38</v>
      </c>
      <c r="B31" s="151">
        <f>IFERROR(__xludf.DUMMYFUNCTION("""COMPUTED_VALUE"""),46056.751388888886)</f>
        <v>46056.75139</v>
      </c>
      <c r="C31" s="136" t="str">
        <f>IFERROR(__xludf.DUMMYFUNCTION("""COMPUTED_VALUE"""),"Alexis Sylvestre")</f>
        <v>Alexis Sylvestre</v>
      </c>
      <c r="D31" s="136" t="b">
        <f t="shared" si="3"/>
        <v>0</v>
      </c>
      <c r="E31" s="152">
        <f>IFERROR(__xludf.DUMMYFUNCTION("""COMPUTED_VALUE"""),0.6666666666666666)</f>
        <v>0.6666666667</v>
      </c>
      <c r="F31" s="106">
        <v>0.08472222222222225</v>
      </c>
      <c r="G31" s="152">
        <f>IFERROR(__xludf.DUMMYFUNCTION("""COMPUTED_VALUE"""),0.7513888888888889)</f>
        <v>0.7513888889</v>
      </c>
      <c r="H31" s="106">
        <v>0.08472222222222225</v>
      </c>
      <c r="I31" s="136">
        <f>IFERROR(__xludf.DUMMYFUNCTION("""COMPUTED_VALUE"""),99.0)</f>
        <v>99</v>
      </c>
      <c r="J31" s="139">
        <v>48.688524590163915</v>
      </c>
      <c r="K31" s="136" t="s">
        <v>18</v>
      </c>
      <c r="L31" s="153">
        <f>IFERROR(__xludf.DUMMYFUNCTION("""COMPUTED_VALUE"""),46056.0)</f>
        <v>46056</v>
      </c>
      <c r="M31" s="136" t="str">
        <f t="shared" si="1"/>
        <v>Tuesday</v>
      </c>
      <c r="N31" s="136" t="str">
        <f>IFERROR(__xludf.DUMMYFUNCTION("""COMPUTED_VALUE"""),"MF")</f>
        <v>MF</v>
      </c>
      <c r="O31" s="75">
        <v>1.0183869791012194</v>
      </c>
      <c r="P31" s="136" t="str">
        <f>IFERROR(__xludf.DUMMYFUNCTION("""COMPUTED_VALUE"""),"")</f>
        <v/>
      </c>
      <c r="Q31" s="136" t="str">
        <f>IFERROR(__xludf.DUMMYFUNCTION("""COMPUTED_VALUE"""),"")</f>
        <v/>
      </c>
      <c r="R31" s="106" t="str">
        <f>IFERROR(__xludf.DUMMYFUNCTION("""COMPUTED_VALUE"""),"")</f>
        <v/>
      </c>
      <c r="S31" s="106" t="str">
        <f>IFERROR(__xludf.DUMMYFUNCTION("""COMPUTED_VALUE"""),"")</f>
        <v/>
      </c>
      <c r="T31" s="139" t="str">
        <f>IFERROR(__xludf.DUMMYFUNCTION("""COMPUTED_VALUE"""),"")</f>
        <v/>
      </c>
      <c r="U31" s="139" t="str">
        <f>IFERROR(__xludf.DUMMYFUNCTION("""COMPUTED_VALUE"""),"")</f>
        <v/>
      </c>
      <c r="V31" s="136" t="str">
        <f>IFERROR(__xludf.DUMMYFUNCTION("""COMPUTED_VALUE"""),"")</f>
        <v/>
      </c>
      <c r="W31" s="106" t="str">
        <f>IFERROR(__xludf.DUMMYFUNCTION("""COMPUTED_VALUE"""),"")</f>
        <v/>
      </c>
      <c r="X31" s="143" t="str">
        <f t="shared" si="2"/>
        <v/>
      </c>
      <c r="Y31" s="139" t="str">
        <f>IFERROR(__xludf.DUMMYFUNCTION("""COMPUTED_VALUE"""),"")</f>
        <v/>
      </c>
      <c r="Z31" s="141" t="str">
        <f>IFERROR(__xludf.DUMMYFUNCTION("""COMPUTED_VALUE"""),"")</f>
        <v/>
      </c>
    </row>
    <row r="32">
      <c r="A32" s="136" t="str">
        <f>IFERROR(__xludf.DUMMYFUNCTION("""COMPUTED_VALUE"""),"LOG-D106F898")</f>
        <v>LOG-D106F898</v>
      </c>
      <c r="B32" s="151">
        <f>IFERROR(__xludf.DUMMYFUNCTION("""COMPUTED_VALUE"""),46056.875)</f>
        <v>46056.875</v>
      </c>
      <c r="C32" s="136" t="str">
        <f>IFERROR(__xludf.DUMMYFUNCTION("""COMPUTED_VALUE"""),"Arjya Aich")</f>
        <v>Arjya Aich</v>
      </c>
      <c r="D32" s="136" t="b">
        <f t="shared" si="3"/>
        <v>0</v>
      </c>
      <c r="E32" s="152">
        <f>IFERROR(__xludf.DUMMYFUNCTION("""COMPUTED_VALUE"""),0.7916666666666666)</f>
        <v>0.7916666667</v>
      </c>
      <c r="F32" s="106">
        <v>0.08333333333333337</v>
      </c>
      <c r="G32" s="152">
        <f>IFERROR(__xludf.DUMMYFUNCTION("""COMPUTED_VALUE"""),0.875)</f>
        <v>0.875</v>
      </c>
      <c r="H32" s="106">
        <v>0.08333333333333337</v>
      </c>
      <c r="I32" s="136">
        <f>IFERROR(__xludf.DUMMYFUNCTION("""COMPUTED_VALUE"""),63.0)</f>
        <v>63</v>
      </c>
      <c r="J32" s="139">
        <v>31.499999999999986</v>
      </c>
      <c r="K32" s="136" t="s">
        <v>18</v>
      </c>
      <c r="L32" s="153">
        <f>IFERROR(__xludf.DUMMYFUNCTION("""COMPUTED_VALUE"""),46056.0)</f>
        <v>46056</v>
      </c>
      <c r="M32" s="136" t="str">
        <f t="shared" si="1"/>
        <v>Tuesday</v>
      </c>
      <c r="N32" s="136" t="str">
        <f>IFERROR(__xludf.DUMMYFUNCTION("""COMPUTED_VALUE"""),"BF")</f>
        <v>BF</v>
      </c>
      <c r="O32" s="141">
        <v>0.7089514066392995</v>
      </c>
      <c r="P32" s="136" t="str">
        <f>IFERROR(__xludf.DUMMYFUNCTION("""COMPUTED_VALUE"""),"")</f>
        <v/>
      </c>
      <c r="Q32" s="136" t="str">
        <f>IFERROR(__xludf.DUMMYFUNCTION("""COMPUTED_VALUE"""),"")</f>
        <v/>
      </c>
      <c r="R32" s="106" t="str">
        <f>IFERROR(__xludf.DUMMYFUNCTION("""COMPUTED_VALUE"""),"")</f>
        <v/>
      </c>
      <c r="S32" s="106" t="str">
        <f>IFERROR(__xludf.DUMMYFUNCTION("""COMPUTED_VALUE"""),"")</f>
        <v/>
      </c>
      <c r="T32" s="139" t="str">
        <f>IFERROR(__xludf.DUMMYFUNCTION("""COMPUTED_VALUE"""),"")</f>
        <v/>
      </c>
      <c r="U32" s="139" t="str">
        <f>IFERROR(__xludf.DUMMYFUNCTION("""COMPUTED_VALUE"""),"")</f>
        <v/>
      </c>
      <c r="V32" s="136" t="str">
        <f>IFERROR(__xludf.DUMMYFUNCTION("""COMPUTED_VALUE"""),"")</f>
        <v/>
      </c>
      <c r="W32" s="106" t="str">
        <f>IFERROR(__xludf.DUMMYFUNCTION("""COMPUTED_VALUE"""),"")</f>
        <v/>
      </c>
      <c r="X32" s="143" t="str">
        <f t="shared" si="2"/>
        <v/>
      </c>
      <c r="Y32" s="139" t="str">
        <f>IFERROR(__xludf.DUMMYFUNCTION("""COMPUTED_VALUE"""),"")</f>
        <v/>
      </c>
      <c r="Z32" s="141" t="str">
        <f>IFERROR(__xludf.DUMMYFUNCTION("""COMPUTED_VALUE"""),"")</f>
        <v/>
      </c>
    </row>
    <row r="33">
      <c r="A33" s="136" t="str">
        <f>IFERROR(__xludf.DUMMYFUNCTION("""COMPUTED_VALUE"""),"LOG-7602F95B")</f>
        <v>LOG-7602F95B</v>
      </c>
      <c r="B33" s="151">
        <f>IFERROR(__xludf.DUMMYFUNCTION("""COMPUTED_VALUE"""),46056.645833333336)</f>
        <v>46056.64583</v>
      </c>
      <c r="C33" s="136" t="str">
        <f>IFERROR(__xludf.DUMMYFUNCTION("""COMPUTED_VALUE"""),"Oluwatimilehin Shodipe")</f>
        <v>Oluwatimilehin Shodipe</v>
      </c>
      <c r="D33" s="136" t="b">
        <f t="shared" si="3"/>
        <v>0</v>
      </c>
      <c r="E33" s="152">
        <f>IFERROR(__xludf.DUMMYFUNCTION("""COMPUTED_VALUE"""),0.5243055555555556)</f>
        <v>0.5243055556</v>
      </c>
      <c r="F33" s="106">
        <v>0.12152777777777779</v>
      </c>
      <c r="G33" s="152">
        <f>IFERROR(__xludf.DUMMYFUNCTION("""COMPUTED_VALUE"""),0.6458333333333334)</f>
        <v>0.6458333333</v>
      </c>
      <c r="H33" s="106">
        <v>0.12152777777777779</v>
      </c>
      <c r="I33" s="136">
        <f>IFERROR(__xludf.DUMMYFUNCTION("""COMPUTED_VALUE"""),89.0)</f>
        <v>89</v>
      </c>
      <c r="J33" s="139">
        <v>30.514285714285712</v>
      </c>
      <c r="K33" s="136" t="s">
        <v>15</v>
      </c>
      <c r="L33" s="153">
        <f>IFERROR(__xludf.DUMMYFUNCTION("""COMPUTED_VALUE"""),46056.0)</f>
        <v>46056</v>
      </c>
      <c r="M33" s="136" t="str">
        <f t="shared" si="1"/>
        <v>Tuesday</v>
      </c>
      <c r="N33" s="136" t="str">
        <f>IFERROR(__xludf.DUMMYFUNCTION("""COMPUTED_VALUE"""),"MF")</f>
        <v>MF</v>
      </c>
      <c r="O33" s="141">
        <v>0.6069173913183975</v>
      </c>
      <c r="P33" s="136">
        <f>IFERROR(__xludf.DUMMYFUNCTION("""COMPUTED_VALUE"""),383.0)</f>
        <v>383</v>
      </c>
      <c r="Q33" s="136">
        <f>IFERROR(__xludf.DUMMYFUNCTION("""COMPUTED_VALUE"""),507.0)</f>
        <v>507</v>
      </c>
      <c r="R33" s="106">
        <f>IFERROR(__xludf.DUMMYFUNCTION("""COMPUTED_VALUE"""),0.33888888888888896)</f>
        <v>0.3388888889</v>
      </c>
      <c r="S33" s="106">
        <f>IFERROR(__xludf.DUMMYFUNCTION("""COMPUTED_VALUE"""),0.45277777777777795)</f>
        <v>0.4527777778</v>
      </c>
      <c r="T33" s="139">
        <f>IFERROR(__xludf.DUMMYFUNCTION("""COMPUTED_VALUE"""),46.819784935689135)</f>
        <v>46.81978494</v>
      </c>
      <c r="U33" s="139">
        <f>IFERROR(__xludf.DUMMYFUNCTION("""COMPUTED_VALUE"""),44.17000327633741)</f>
        <v>44.17000328</v>
      </c>
      <c r="V33" s="136">
        <f>IFERROR(__xludf.DUMMYFUNCTION("""COMPUTED_VALUE"""),890.0)</f>
        <v>890</v>
      </c>
      <c r="W33" s="106">
        <f>IFERROR(__xludf.DUMMYFUNCTION("""COMPUTED_VALUE"""),0.7916666666666669)</f>
        <v>0.7916666667</v>
      </c>
      <c r="X33" s="143">
        <f t="shared" si="2"/>
        <v>46.84210526</v>
      </c>
      <c r="Y33" s="139">
        <f>IFERROR(__xludf.DUMMYFUNCTION("""COMPUTED_VALUE"""),45.305623987488154)</f>
        <v>45.30562399</v>
      </c>
      <c r="Z33" s="141">
        <f>IFERROR(__xludf.DUMMYFUNCTION("""COMPUTED_VALUE"""),0.629300808885603)</f>
        <v>0.6293008089</v>
      </c>
    </row>
    <row r="34">
      <c r="A34" s="136" t="str">
        <f>IFERROR(__xludf.DUMMYFUNCTION("""COMPUTED_VALUE"""),"LOG-E82A0C96")</f>
        <v>LOG-E82A0C96</v>
      </c>
      <c r="B34" s="151">
        <f>IFERROR(__xludf.DUMMYFUNCTION("""COMPUTED_VALUE"""),46057.368055555555)</f>
        <v>46057.36806</v>
      </c>
      <c r="C34" s="136" t="str">
        <f>IFERROR(__xludf.DUMMYFUNCTION("""COMPUTED_VALUE"""),"Kaylie Forgue")</f>
        <v>Kaylie Forgue</v>
      </c>
      <c r="D34" s="136" t="b">
        <f t="shared" si="3"/>
        <v>0</v>
      </c>
      <c r="E34" s="152">
        <f>IFERROR(__xludf.DUMMYFUNCTION("""COMPUTED_VALUE"""),0.31180555555555556)</f>
        <v>0.3118055556</v>
      </c>
      <c r="F34" s="106">
        <v>0.05625000000000002</v>
      </c>
      <c r="G34" s="152">
        <f>IFERROR(__xludf.DUMMYFUNCTION("""COMPUTED_VALUE"""),0.3680555555555556)</f>
        <v>0.3680555556</v>
      </c>
      <c r="H34" s="106">
        <v>0.05625000000000002</v>
      </c>
      <c r="I34" s="136">
        <f>IFERROR(__xludf.DUMMYFUNCTION("""COMPUTED_VALUE"""),92.0)</f>
        <v>92</v>
      </c>
      <c r="J34" s="139">
        <v>68.14814814814812</v>
      </c>
      <c r="K34" s="136" t="s">
        <v>12</v>
      </c>
      <c r="L34" s="153">
        <f>IFERROR(__xludf.DUMMYFUNCTION("""COMPUTED_VALUE"""),46057.0)</f>
        <v>46057</v>
      </c>
      <c r="M34" s="136" t="str">
        <f t="shared" si="1"/>
        <v>Wednesday</v>
      </c>
      <c r="N34" s="136" t="str">
        <f>IFERROR(__xludf.DUMMYFUNCTION("""COMPUTED_VALUE"""),"BF")</f>
        <v>BF</v>
      </c>
      <c r="O34" s="141">
        <v>2.4037596919451194</v>
      </c>
      <c r="P34" s="136" t="str">
        <f>IFERROR(__xludf.DUMMYFUNCTION("""COMPUTED_VALUE"""),"")</f>
        <v/>
      </c>
      <c r="Q34" s="136" t="str">
        <f>IFERROR(__xludf.DUMMYFUNCTION("""COMPUTED_VALUE"""),"")</f>
        <v/>
      </c>
      <c r="R34" s="106" t="str">
        <f>IFERROR(__xludf.DUMMYFUNCTION("""COMPUTED_VALUE"""),"")</f>
        <v/>
      </c>
      <c r="S34" s="106" t="str">
        <f>IFERROR(__xludf.DUMMYFUNCTION("""COMPUTED_VALUE"""),"")</f>
        <v/>
      </c>
      <c r="T34" s="139" t="str">
        <f>IFERROR(__xludf.DUMMYFUNCTION("""COMPUTED_VALUE"""),"")</f>
        <v/>
      </c>
      <c r="U34" s="139" t="str">
        <f>IFERROR(__xludf.DUMMYFUNCTION("""COMPUTED_VALUE"""),"")</f>
        <v/>
      </c>
      <c r="V34" s="136" t="str">
        <f>IFERROR(__xludf.DUMMYFUNCTION("""COMPUTED_VALUE"""),"")</f>
        <v/>
      </c>
      <c r="W34" s="106" t="str">
        <f>IFERROR(__xludf.DUMMYFUNCTION("""COMPUTED_VALUE"""),"")</f>
        <v/>
      </c>
      <c r="X34" s="143" t="str">
        <f t="shared" si="2"/>
        <v/>
      </c>
      <c r="Y34" s="139" t="str">
        <f>IFERROR(__xludf.DUMMYFUNCTION("""COMPUTED_VALUE"""),"")</f>
        <v/>
      </c>
      <c r="Z34" s="141" t="str">
        <f>IFERROR(__xludf.DUMMYFUNCTION("""COMPUTED_VALUE"""),"")</f>
        <v/>
      </c>
    </row>
    <row r="35">
      <c r="A35" s="136" t="str">
        <f>IFERROR(__xludf.DUMMYFUNCTION("""COMPUTED_VALUE"""),"LOG-1E1309E7")</f>
        <v>LOG-1E1309E7</v>
      </c>
      <c r="B35" s="151">
        <f>IFERROR(__xludf.DUMMYFUNCTION("""COMPUTED_VALUE"""),46057.538194444445)</f>
        <v>46057.53819</v>
      </c>
      <c r="C35" s="136" t="str">
        <f>IFERROR(__xludf.DUMMYFUNCTION("""COMPUTED_VALUE"""),"Oluwatimilehin Shodipe")</f>
        <v>Oluwatimilehin Shodipe</v>
      </c>
      <c r="D35" s="136" t="b">
        <f t="shared" si="3"/>
        <v>0</v>
      </c>
      <c r="E35" s="152">
        <f>IFERROR(__xludf.DUMMYFUNCTION("""COMPUTED_VALUE"""),0.4791666666666667)</f>
        <v>0.4791666667</v>
      </c>
      <c r="F35" s="106">
        <v>0.059027777777777735</v>
      </c>
      <c r="G35" s="152">
        <f>IFERROR(__xludf.DUMMYFUNCTION("""COMPUTED_VALUE"""),0.5381944444444444)</f>
        <v>0.5381944444</v>
      </c>
      <c r="H35" s="106">
        <v>0.059027777777777735</v>
      </c>
      <c r="I35" s="136">
        <f>IFERROR(__xludf.DUMMYFUNCTION("""COMPUTED_VALUE"""),68.0)</f>
        <v>68</v>
      </c>
      <c r="J35" s="139">
        <v>48.000000000000036</v>
      </c>
      <c r="K35" s="136" t="s">
        <v>15</v>
      </c>
      <c r="L35" s="153">
        <f>IFERROR(__xludf.DUMMYFUNCTION("""COMPUTED_VALUE"""),46057.0)</f>
        <v>46057</v>
      </c>
      <c r="M35" s="136" t="str">
        <f t="shared" si="1"/>
        <v>Wednesday</v>
      </c>
      <c r="N35" s="136" t="str">
        <f>IFERROR(__xludf.DUMMYFUNCTION("""COMPUTED_VALUE"""),"BF")</f>
        <v>BF</v>
      </c>
      <c r="O35" s="141">
        <v>1.693082913456999</v>
      </c>
      <c r="P35" s="136" t="str">
        <f>IFERROR(__xludf.DUMMYFUNCTION("""COMPUTED_VALUE"""),"")</f>
        <v/>
      </c>
      <c r="Q35" s="136" t="str">
        <f>IFERROR(__xludf.DUMMYFUNCTION("""COMPUTED_VALUE"""),"")</f>
        <v/>
      </c>
      <c r="R35" s="106" t="str">
        <f>IFERROR(__xludf.DUMMYFUNCTION("""COMPUTED_VALUE"""),"")</f>
        <v/>
      </c>
      <c r="S35" s="106" t="str">
        <f>IFERROR(__xludf.DUMMYFUNCTION("""COMPUTED_VALUE"""),"")</f>
        <v/>
      </c>
      <c r="T35" s="139" t="str">
        <f>IFERROR(__xludf.DUMMYFUNCTION("""COMPUTED_VALUE"""),"")</f>
        <v/>
      </c>
      <c r="U35" s="139" t="str">
        <f>IFERROR(__xludf.DUMMYFUNCTION("""COMPUTED_VALUE"""),"")</f>
        <v/>
      </c>
      <c r="V35" s="136" t="str">
        <f>IFERROR(__xludf.DUMMYFUNCTION("""COMPUTED_VALUE"""),"")</f>
        <v/>
      </c>
      <c r="W35" s="106" t="str">
        <f>IFERROR(__xludf.DUMMYFUNCTION("""COMPUTED_VALUE"""),"")</f>
        <v/>
      </c>
      <c r="X35" s="143" t="str">
        <f t="shared" si="2"/>
        <v/>
      </c>
      <c r="Y35" s="139" t="str">
        <f>IFERROR(__xludf.DUMMYFUNCTION("""COMPUTED_VALUE"""),"")</f>
        <v/>
      </c>
      <c r="Z35" s="141" t="str">
        <f>IFERROR(__xludf.DUMMYFUNCTION("""COMPUTED_VALUE"""),"")</f>
        <v/>
      </c>
    </row>
    <row r="36">
      <c r="A36" s="136" t="str">
        <f>IFERROR(__xludf.DUMMYFUNCTION("""COMPUTED_VALUE"""),"LOG-46E22B12")</f>
        <v>LOG-46E22B12</v>
      </c>
      <c r="B36" s="151">
        <f>IFERROR(__xludf.DUMMYFUNCTION("""COMPUTED_VALUE"""),46057.620833333334)</f>
        <v>46057.62083</v>
      </c>
      <c r="C36" s="136" t="str">
        <f>IFERROR(__xludf.DUMMYFUNCTION("""COMPUTED_VALUE"""),"Evan Morgan")</f>
        <v>Evan Morgan</v>
      </c>
      <c r="D36" s="136" t="b">
        <f t="shared" si="3"/>
        <v>0</v>
      </c>
      <c r="E36" s="152">
        <f>IFERROR(__xludf.DUMMYFUNCTION("""COMPUTED_VALUE"""),0.5416666666666666)</f>
        <v>0.5416666667</v>
      </c>
      <c r="F36" s="106">
        <v>0.07916666666666672</v>
      </c>
      <c r="G36" s="152">
        <f>IFERROR(__xludf.DUMMYFUNCTION("""COMPUTED_VALUE"""),0.6208333333333333)</f>
        <v>0.6208333333</v>
      </c>
      <c r="H36" s="106">
        <v>0.07916666666666672</v>
      </c>
      <c r="I36" s="136">
        <f>IFERROR(__xludf.DUMMYFUNCTION("""COMPUTED_VALUE"""),65.0)</f>
        <v>65</v>
      </c>
      <c r="J36" s="139">
        <v>34.21052631578945</v>
      </c>
      <c r="K36" s="136" t="s">
        <v>15</v>
      </c>
      <c r="L36" s="153">
        <f>IFERROR(__xludf.DUMMYFUNCTION("""COMPUTED_VALUE"""),46057.0)</f>
        <v>46057</v>
      </c>
      <c r="M36" s="136" t="str">
        <f t="shared" si="1"/>
        <v>Wednesday</v>
      </c>
      <c r="N36" s="136" t="str">
        <f>IFERROR(__xludf.DUMMYFUNCTION("""COMPUTED_VALUE"""),"MF")</f>
        <v>MF</v>
      </c>
      <c r="O36" s="141">
        <v>0.6804341934010218</v>
      </c>
      <c r="P36" s="136" t="str">
        <f>IFERROR(__xludf.DUMMYFUNCTION("""COMPUTED_VALUE"""),"")</f>
        <v/>
      </c>
      <c r="Q36" s="136" t="str">
        <f>IFERROR(__xludf.DUMMYFUNCTION("""COMPUTED_VALUE"""),"")</f>
        <v/>
      </c>
      <c r="R36" s="106" t="str">
        <f>IFERROR(__xludf.DUMMYFUNCTION("""COMPUTED_VALUE"""),"")</f>
        <v/>
      </c>
      <c r="S36" s="106" t="str">
        <f>IFERROR(__xludf.DUMMYFUNCTION("""COMPUTED_VALUE"""),"")</f>
        <v/>
      </c>
      <c r="T36" s="139" t="str">
        <f>IFERROR(__xludf.DUMMYFUNCTION("""COMPUTED_VALUE"""),"")</f>
        <v/>
      </c>
      <c r="U36" s="139" t="str">
        <f>IFERROR(__xludf.DUMMYFUNCTION("""COMPUTED_VALUE"""),"")</f>
        <v/>
      </c>
      <c r="V36" s="136" t="str">
        <f>IFERROR(__xludf.DUMMYFUNCTION("""COMPUTED_VALUE"""),"")</f>
        <v/>
      </c>
      <c r="W36" s="106" t="str">
        <f>IFERROR(__xludf.DUMMYFUNCTION("""COMPUTED_VALUE"""),"")</f>
        <v/>
      </c>
      <c r="X36" s="143" t="str">
        <f t="shared" si="2"/>
        <v/>
      </c>
      <c r="Y36" s="139" t="str">
        <f>IFERROR(__xludf.DUMMYFUNCTION("""COMPUTED_VALUE"""),"")</f>
        <v/>
      </c>
      <c r="Z36" s="141" t="str">
        <f>IFERROR(__xludf.DUMMYFUNCTION("""COMPUTED_VALUE"""),"")</f>
        <v/>
      </c>
    </row>
    <row r="37">
      <c r="A37" s="136" t="str">
        <f>IFERROR(__xludf.DUMMYFUNCTION("""COMPUTED_VALUE"""),"LOG-DB0AD18F")</f>
        <v>LOG-DB0AD18F</v>
      </c>
      <c r="B37" s="151">
        <f>IFERROR(__xludf.DUMMYFUNCTION("""COMPUTED_VALUE"""),46057.645833333336)</f>
        <v>46057.64583</v>
      </c>
      <c r="C37" s="136" t="str">
        <f>IFERROR(__xludf.DUMMYFUNCTION("""COMPUTED_VALUE"""),"Arjya Aich")</f>
        <v>Arjya Aich</v>
      </c>
      <c r="D37" s="136" t="b">
        <f t="shared" si="3"/>
        <v>0</v>
      </c>
      <c r="E37" s="152">
        <f>IFERROR(__xludf.DUMMYFUNCTION("""COMPUTED_VALUE"""),0.5)</f>
        <v>0.5</v>
      </c>
      <c r="F37" s="106">
        <v>0.14583333333333337</v>
      </c>
      <c r="G37" s="152">
        <f>IFERROR(__xludf.DUMMYFUNCTION("""COMPUTED_VALUE"""),0.6458333333333334)</f>
        <v>0.6458333333</v>
      </c>
      <c r="H37" s="106">
        <v>0.14583333333333337</v>
      </c>
      <c r="I37" s="136">
        <f>IFERROR(__xludf.DUMMYFUNCTION("""COMPUTED_VALUE"""),90.0)</f>
        <v>90</v>
      </c>
      <c r="J37" s="139">
        <v>25.714285714285708</v>
      </c>
      <c r="K37" s="136" t="s">
        <v>15</v>
      </c>
      <c r="L37" s="153">
        <f>IFERROR(__xludf.DUMMYFUNCTION("""COMPUTED_VALUE"""),46057.0)</f>
        <v>46057</v>
      </c>
      <c r="M37" s="136" t="str">
        <f t="shared" si="1"/>
        <v>Wednesday</v>
      </c>
      <c r="N37" s="136" t="str">
        <f>IFERROR(__xludf.DUMMYFUNCTION("""COMPUTED_VALUE"""),"MF")</f>
        <v>MF</v>
      </c>
      <c r="O37" s="141">
        <v>0.511447239875054</v>
      </c>
      <c r="P37" s="136" t="str">
        <f>IFERROR(__xludf.DUMMYFUNCTION("""COMPUTED_VALUE"""),"")</f>
        <v/>
      </c>
      <c r="Q37" s="136" t="str">
        <f>IFERROR(__xludf.DUMMYFUNCTION("""COMPUTED_VALUE"""),"")</f>
        <v/>
      </c>
      <c r="R37" s="106" t="str">
        <f>IFERROR(__xludf.DUMMYFUNCTION("""COMPUTED_VALUE"""),"")</f>
        <v/>
      </c>
      <c r="S37" s="106" t="str">
        <f>IFERROR(__xludf.DUMMYFUNCTION("""COMPUTED_VALUE"""),"")</f>
        <v/>
      </c>
      <c r="T37" s="139" t="str">
        <f>IFERROR(__xludf.DUMMYFUNCTION("""COMPUTED_VALUE"""),"")</f>
        <v/>
      </c>
      <c r="U37" s="139" t="str">
        <f>IFERROR(__xludf.DUMMYFUNCTION("""COMPUTED_VALUE"""),"")</f>
        <v/>
      </c>
      <c r="V37" s="136" t="str">
        <f>IFERROR(__xludf.DUMMYFUNCTION("""COMPUTED_VALUE"""),"")</f>
        <v/>
      </c>
      <c r="W37" s="106" t="str">
        <f>IFERROR(__xludf.DUMMYFUNCTION("""COMPUTED_VALUE"""),"")</f>
        <v/>
      </c>
      <c r="X37" s="143" t="str">
        <f t="shared" si="2"/>
        <v/>
      </c>
      <c r="Y37" s="139" t="str">
        <f>IFERROR(__xludf.DUMMYFUNCTION("""COMPUTED_VALUE"""),"")</f>
        <v/>
      </c>
      <c r="Z37" s="141" t="str">
        <f>IFERROR(__xludf.DUMMYFUNCTION("""COMPUTED_VALUE"""),"")</f>
        <v/>
      </c>
      <c r="AG37" s="139"/>
    </row>
    <row r="38">
      <c r="A38" s="136" t="str">
        <f>IFERROR(__xludf.DUMMYFUNCTION("""COMPUTED_VALUE"""),"LOG-4D1BEF0E")</f>
        <v>LOG-4D1BEF0E</v>
      </c>
      <c r="B38" s="151">
        <f>IFERROR(__xludf.DUMMYFUNCTION("""COMPUTED_VALUE"""),46057.739583333336)</f>
        <v>46057.73958</v>
      </c>
      <c r="C38" s="136" t="str">
        <f>IFERROR(__xludf.DUMMYFUNCTION("""COMPUTED_VALUE"""),"Evan Morgan")</f>
        <v>Evan Morgan</v>
      </c>
      <c r="D38" s="136" t="b">
        <f t="shared" si="3"/>
        <v>0</v>
      </c>
      <c r="E38" s="152">
        <f>IFERROR(__xludf.DUMMYFUNCTION("""COMPUTED_VALUE"""),0.6666666666666666)</f>
        <v>0.6666666667</v>
      </c>
      <c r="F38" s="106">
        <v>0.07291666666666674</v>
      </c>
      <c r="G38" s="152">
        <f>IFERROR(__xludf.DUMMYFUNCTION("""COMPUTED_VALUE"""),0.7395833333333334)</f>
        <v>0.7395833333</v>
      </c>
      <c r="H38" s="106">
        <v>0.07291666666666674</v>
      </c>
      <c r="I38" s="136">
        <f>IFERROR(__xludf.DUMMYFUNCTION("""COMPUTED_VALUE"""),19.0)</f>
        <v>19</v>
      </c>
      <c r="J38" s="139">
        <v>10.857142857142847</v>
      </c>
      <c r="K38" s="136" t="s">
        <v>18</v>
      </c>
      <c r="L38" s="153">
        <f>IFERROR(__xludf.DUMMYFUNCTION("""COMPUTED_VALUE"""),46057.0)</f>
        <v>46057</v>
      </c>
      <c r="M38" s="136" t="str">
        <f t="shared" si="1"/>
        <v>Wednesday</v>
      </c>
      <c r="N38" s="136" t="str">
        <f>IFERROR(__xludf.DUMMYFUNCTION("""COMPUTED_VALUE"""),"BF")</f>
        <v>BF</v>
      </c>
      <c r="O38" s="141">
        <v>0.24435513335413483</v>
      </c>
      <c r="P38" s="136" t="str">
        <f>IFERROR(__xludf.DUMMYFUNCTION("""COMPUTED_VALUE"""),"")</f>
        <v/>
      </c>
      <c r="Q38" s="136" t="str">
        <f>IFERROR(__xludf.DUMMYFUNCTION("""COMPUTED_VALUE"""),"")</f>
        <v/>
      </c>
      <c r="R38" s="106" t="str">
        <f>IFERROR(__xludf.DUMMYFUNCTION("""COMPUTED_VALUE"""),"")</f>
        <v/>
      </c>
      <c r="S38" s="106" t="str">
        <f>IFERROR(__xludf.DUMMYFUNCTION("""COMPUTED_VALUE"""),"")</f>
        <v/>
      </c>
      <c r="T38" s="139" t="str">
        <f>IFERROR(__xludf.DUMMYFUNCTION("""COMPUTED_VALUE"""),"")</f>
        <v/>
      </c>
      <c r="U38" s="139" t="str">
        <f>IFERROR(__xludf.DUMMYFUNCTION("""COMPUTED_VALUE"""),"")</f>
        <v/>
      </c>
      <c r="V38" s="136" t="str">
        <f>IFERROR(__xludf.DUMMYFUNCTION("""COMPUTED_VALUE"""),"")</f>
        <v/>
      </c>
      <c r="W38" s="106" t="str">
        <f>IFERROR(__xludf.DUMMYFUNCTION("""COMPUTED_VALUE"""),"")</f>
        <v/>
      </c>
      <c r="X38" s="143" t="str">
        <f t="shared" si="2"/>
        <v/>
      </c>
      <c r="Y38" s="139" t="str">
        <f>IFERROR(__xludf.DUMMYFUNCTION("""COMPUTED_VALUE"""),"")</f>
        <v/>
      </c>
      <c r="Z38" s="141" t="str">
        <f>IFERROR(__xludf.DUMMYFUNCTION("""COMPUTED_VALUE"""),"")</f>
        <v/>
      </c>
      <c r="AG38" s="139"/>
    </row>
    <row r="39">
      <c r="A39" s="136" t="str">
        <f>IFERROR(__xludf.DUMMYFUNCTION("""COMPUTED_VALUE"""),"LOG-5EE5D7F8")</f>
        <v>LOG-5EE5D7F8</v>
      </c>
      <c r="B39" s="151">
        <f>IFERROR(__xludf.DUMMYFUNCTION("""COMPUTED_VALUE"""),46057.854166666664)</f>
        <v>46057.85417</v>
      </c>
      <c r="C39" s="136" t="str">
        <f>IFERROR(__xludf.DUMMYFUNCTION("""COMPUTED_VALUE"""),"Maureen Surgot")</f>
        <v>Maureen Surgot</v>
      </c>
      <c r="D39" s="136" t="b">
        <f t="shared" si="3"/>
        <v>0</v>
      </c>
      <c r="E39" s="152">
        <f>IFERROR(__xludf.DUMMYFUNCTION("""COMPUTED_VALUE"""),0.6875)</f>
        <v>0.6875</v>
      </c>
      <c r="F39" s="106">
        <v>0.16666666666666663</v>
      </c>
      <c r="G39" s="152">
        <f>IFERROR(__xludf.DUMMYFUNCTION("""COMPUTED_VALUE"""),0.8541666666666666)</f>
        <v>0.8541666667</v>
      </c>
      <c r="H39" s="106">
        <v>0.16666666666666663</v>
      </c>
      <c r="I39" s="136">
        <f>IFERROR(__xludf.DUMMYFUNCTION("""COMPUTED_VALUE"""),58.0)</f>
        <v>58</v>
      </c>
      <c r="J39" s="139">
        <v>14.500000000000004</v>
      </c>
      <c r="K39" s="136" t="s">
        <v>18</v>
      </c>
      <c r="L39" s="153">
        <f>IFERROR(__xludf.DUMMYFUNCTION("""COMPUTED_VALUE"""),46057.0)</f>
        <v>46057</v>
      </c>
      <c r="M39" s="136" t="str">
        <f t="shared" si="1"/>
        <v>Wednesday</v>
      </c>
      <c r="N39" s="136" t="str">
        <f>IFERROR(__xludf.DUMMYFUNCTION("""COMPUTED_VALUE"""),"MF")</f>
        <v>MF</v>
      </c>
      <c r="O39" s="141">
        <v>0.303287300678461</v>
      </c>
      <c r="P39" s="136" t="str">
        <f>IFERROR(__xludf.DUMMYFUNCTION("""COMPUTED_VALUE"""),"")</f>
        <v/>
      </c>
      <c r="Q39" s="136" t="str">
        <f>IFERROR(__xludf.DUMMYFUNCTION("""COMPUTED_VALUE"""),"")</f>
        <v/>
      </c>
      <c r="R39" s="106" t="str">
        <f>IFERROR(__xludf.DUMMYFUNCTION("""COMPUTED_VALUE"""),"")</f>
        <v/>
      </c>
      <c r="S39" s="106" t="str">
        <f>IFERROR(__xludf.DUMMYFUNCTION("""COMPUTED_VALUE"""),"")</f>
        <v/>
      </c>
      <c r="T39" s="139" t="str">
        <f>IFERROR(__xludf.DUMMYFUNCTION("""COMPUTED_VALUE"""),"")</f>
        <v/>
      </c>
      <c r="U39" s="139" t="str">
        <f>IFERROR(__xludf.DUMMYFUNCTION("""COMPUTED_VALUE"""),"")</f>
        <v/>
      </c>
      <c r="V39" s="136" t="str">
        <f>IFERROR(__xludf.DUMMYFUNCTION("""COMPUTED_VALUE"""),"")</f>
        <v/>
      </c>
      <c r="W39" s="106" t="str">
        <f>IFERROR(__xludf.DUMMYFUNCTION("""COMPUTED_VALUE"""),"")</f>
        <v/>
      </c>
      <c r="X39" s="143" t="str">
        <f t="shared" si="2"/>
        <v/>
      </c>
      <c r="Y39" s="139" t="str">
        <f>IFERROR(__xludf.DUMMYFUNCTION("""COMPUTED_VALUE"""),"")</f>
        <v/>
      </c>
      <c r="Z39" s="141" t="str">
        <f>IFERROR(__xludf.DUMMYFUNCTION("""COMPUTED_VALUE"""),"")</f>
        <v/>
      </c>
      <c r="AG39" s="139"/>
    </row>
    <row r="40">
      <c r="A40" s="136" t="str">
        <f>IFERROR(__xludf.DUMMYFUNCTION("""COMPUTED_VALUE"""),"LOG-C02B7D49")</f>
        <v>LOG-C02B7D49</v>
      </c>
      <c r="B40" s="151">
        <f>IFERROR(__xludf.DUMMYFUNCTION("""COMPUTED_VALUE"""),46057.47222222222)</f>
        <v>46057.47222</v>
      </c>
      <c r="C40" s="136" t="str">
        <f>IFERROR(__xludf.DUMMYFUNCTION("""COMPUTED_VALUE"""),"Oluwatimilehin Shodipe")</f>
        <v>Oluwatimilehin Shodipe</v>
      </c>
      <c r="D40" s="136" t="b">
        <f t="shared" si="3"/>
        <v>0</v>
      </c>
      <c r="E40" s="152">
        <f>IFERROR(__xludf.DUMMYFUNCTION("""COMPUTED_VALUE"""),0.4270833333333333)</f>
        <v>0.4270833333</v>
      </c>
      <c r="F40" s="106">
        <v>0.045138888888888895</v>
      </c>
      <c r="G40" s="152">
        <f>IFERROR(__xludf.DUMMYFUNCTION("""COMPUTED_VALUE"""),0.4722222222222222)</f>
        <v>0.4722222222</v>
      </c>
      <c r="H40" s="106">
        <v>0.045138888888888895</v>
      </c>
      <c r="I40" s="136">
        <f>IFERROR(__xludf.DUMMYFUNCTION("""COMPUTED_VALUE"""),210.0)</f>
        <v>210</v>
      </c>
      <c r="J40" s="139">
        <v>193.8461538461538</v>
      </c>
      <c r="K40" s="136" t="s">
        <v>134</v>
      </c>
      <c r="L40" s="153">
        <f>IFERROR(__xludf.DUMMYFUNCTION("""COMPUTED_VALUE"""),46057.0)</f>
        <v>46057</v>
      </c>
      <c r="M40" s="136" t="str">
        <f t="shared" si="1"/>
        <v>Wednesday</v>
      </c>
      <c r="N40" s="136" t="str">
        <f>IFERROR(__xludf.DUMMYFUNCTION("""COMPUTED_VALUE"""),"BF")</f>
        <v>BF</v>
      </c>
      <c r="O40" s="141">
        <v>4.878786447723827</v>
      </c>
      <c r="P40" s="136">
        <f>IFERROR(__xludf.DUMMYFUNCTION("""COMPUTED_VALUE"""),213.0)</f>
        <v>213</v>
      </c>
      <c r="Q40" s="136">
        <f>IFERROR(__xludf.DUMMYFUNCTION("""COMPUTED_VALUE"""),389.0)</f>
        <v>389</v>
      </c>
      <c r="R40" s="106">
        <f>IFERROR(__xludf.DUMMYFUNCTION("""COMPUTED_VALUE"""),0.3916666666666667)</f>
        <v>0.3916666667</v>
      </c>
      <c r="S40" s="106">
        <f>IFERROR(__xludf.DUMMYFUNCTION("""COMPUTED_VALUE"""),0.2333333333333334)</f>
        <v>0.2333333333</v>
      </c>
      <c r="T40" s="139">
        <f>IFERROR(__xludf.DUMMYFUNCTION("""COMPUTED_VALUE"""),24.80827067669172)</f>
        <v>24.80827068</v>
      </c>
      <c r="U40" s="139">
        <f>IFERROR(__xludf.DUMMYFUNCTION("""COMPUTED_VALUE"""),80.2128612128612)</f>
        <v>80.21286121</v>
      </c>
      <c r="V40" s="136">
        <f>IFERROR(__xludf.DUMMYFUNCTION("""COMPUTED_VALUE"""),602.0)</f>
        <v>602</v>
      </c>
      <c r="W40" s="106">
        <f>IFERROR(__xludf.DUMMYFUNCTION("""COMPUTED_VALUE"""),0.625)</f>
        <v>0.625</v>
      </c>
      <c r="X40" s="143">
        <f t="shared" si="2"/>
        <v>40.13333333</v>
      </c>
      <c r="Y40" s="139">
        <f>IFERROR(__xludf.DUMMYFUNCTION("""COMPUTED_VALUE"""),56.46803669735999)</f>
        <v>56.4680367</v>
      </c>
      <c r="Z40" s="141">
        <f>IFERROR(__xludf.DUMMYFUNCTION("""COMPUTED_VALUE"""),1.140201199441283)</f>
        <v>1.140201199</v>
      </c>
      <c r="AG40" s="139"/>
    </row>
    <row r="41">
      <c r="A41" s="136" t="str">
        <f>IFERROR(__xludf.DUMMYFUNCTION("""COMPUTED_VALUE"""),"LOG-EVAN0205")</f>
        <v>LOG-EVAN0205</v>
      </c>
      <c r="B41" s="151">
        <f>IFERROR(__xludf.DUMMYFUNCTION("""COMPUTED_VALUE"""),46058.36111111111)</f>
        <v>46058.36111</v>
      </c>
      <c r="C41" s="136" t="str">
        <f>IFERROR(__xludf.DUMMYFUNCTION("""COMPUTED_VALUE"""),"Evan Morgan")</f>
        <v>Evan Morgan</v>
      </c>
      <c r="D41" s="136" t="b">
        <f t="shared" si="3"/>
        <v>0</v>
      </c>
      <c r="E41" s="152">
        <f>IFERROR(__xludf.DUMMYFUNCTION("""COMPUTED_VALUE"""),0.2916666666666667)</f>
        <v>0.2916666667</v>
      </c>
      <c r="F41" s="106">
        <v>0.06944444444444442</v>
      </c>
      <c r="G41" s="152">
        <f>IFERROR(__xludf.DUMMYFUNCTION("""COMPUTED_VALUE"""),0.3611111111111111)</f>
        <v>0.3611111111</v>
      </c>
      <c r="H41" s="106">
        <v>0.06944444444444442</v>
      </c>
      <c r="I41" s="136">
        <f>IFERROR(__xludf.DUMMYFUNCTION("""COMPUTED_VALUE"""),18.0)</f>
        <v>18</v>
      </c>
      <c r="J41" s="139">
        <v>10.800000000000004</v>
      </c>
      <c r="K41" s="136" t="s">
        <v>12</v>
      </c>
      <c r="L41" s="153">
        <f>IFERROR(__xludf.DUMMYFUNCTION("""COMPUTED_VALUE"""),46058.0)</f>
        <v>46058</v>
      </c>
      <c r="M41" s="136" t="str">
        <f t="shared" si="1"/>
        <v>Thursday</v>
      </c>
      <c r="N41" s="136" t="str">
        <f>IFERROR(__xludf.DUMMYFUNCTION("""COMPUTED_VALUE"""),"BF")</f>
        <v>BF</v>
      </c>
      <c r="O41" s="141">
        <v>0.38094365552782466</v>
      </c>
      <c r="P41" s="136" t="str">
        <f>IFERROR(__xludf.DUMMYFUNCTION("""COMPUTED_VALUE"""),"")</f>
        <v/>
      </c>
      <c r="Q41" s="136" t="str">
        <f>IFERROR(__xludf.DUMMYFUNCTION("""COMPUTED_VALUE"""),"")</f>
        <v/>
      </c>
      <c r="R41" s="106" t="str">
        <f>IFERROR(__xludf.DUMMYFUNCTION("""COMPUTED_VALUE"""),"")</f>
        <v/>
      </c>
      <c r="S41" s="106" t="str">
        <f>IFERROR(__xludf.DUMMYFUNCTION("""COMPUTED_VALUE"""),"")</f>
        <v/>
      </c>
      <c r="T41" s="139" t="str">
        <f>IFERROR(__xludf.DUMMYFUNCTION("""COMPUTED_VALUE"""),"")</f>
        <v/>
      </c>
      <c r="U41" s="139" t="str">
        <f>IFERROR(__xludf.DUMMYFUNCTION("""COMPUTED_VALUE"""),"")</f>
        <v/>
      </c>
      <c r="V41" s="136" t="str">
        <f>IFERROR(__xludf.DUMMYFUNCTION("""COMPUTED_VALUE"""),"")</f>
        <v/>
      </c>
      <c r="W41" s="106" t="str">
        <f>IFERROR(__xludf.DUMMYFUNCTION("""COMPUTED_VALUE"""),"")</f>
        <v/>
      </c>
      <c r="X41" s="143" t="str">
        <f t="shared" si="2"/>
        <v/>
      </c>
      <c r="Y41" s="139" t="str">
        <f>IFERROR(__xludf.DUMMYFUNCTION("""COMPUTED_VALUE"""),"")</f>
        <v/>
      </c>
      <c r="Z41" s="141" t="str">
        <f>IFERROR(__xludf.DUMMYFUNCTION("""COMPUTED_VALUE"""),"")</f>
        <v/>
      </c>
      <c r="AG41" s="139"/>
    </row>
    <row r="42">
      <c r="A42" s="136" t="str">
        <f>IFERROR(__xludf.DUMMYFUNCTION("""COMPUTED_VALUE"""),"LOG-F516E42B")</f>
        <v>LOG-F516E42B</v>
      </c>
      <c r="B42" s="151">
        <f>IFERROR(__xludf.DUMMYFUNCTION("""COMPUTED_VALUE"""),46058.40902777778)</f>
        <v>46058.40903</v>
      </c>
      <c r="C42" s="136" t="str">
        <f>IFERROR(__xludf.DUMMYFUNCTION("""COMPUTED_VALUE"""),"Sophia Kluck")</f>
        <v>Sophia Kluck</v>
      </c>
      <c r="D42" s="136" t="b">
        <f t="shared" si="3"/>
        <v>0</v>
      </c>
      <c r="E42" s="152">
        <f>IFERROR(__xludf.DUMMYFUNCTION("""COMPUTED_VALUE"""),0.3659722222222222)</f>
        <v>0.3659722222</v>
      </c>
      <c r="F42" s="106">
        <v>0.04305555555555557</v>
      </c>
      <c r="G42" s="152">
        <f>IFERROR(__xludf.DUMMYFUNCTION("""COMPUTED_VALUE"""),0.40902777777777777)</f>
        <v>0.4090277778</v>
      </c>
      <c r="H42" s="106">
        <v>0.1027777777777778</v>
      </c>
      <c r="I42" s="136">
        <f>IFERROR(__xludf.DUMMYFUNCTION("""COMPUTED_VALUE"""),32.0)</f>
        <v>32</v>
      </c>
      <c r="J42" s="139">
        <v>38.91891891891891</v>
      </c>
      <c r="K42" s="136" t="s">
        <v>12</v>
      </c>
      <c r="L42" s="153">
        <f>IFERROR(__xludf.DUMMYFUNCTION("""COMPUTED_VALUE"""),46058.0)</f>
        <v>46058</v>
      </c>
      <c r="M42" s="136" t="str">
        <f t="shared" si="1"/>
        <v>Thursday</v>
      </c>
      <c r="N42" s="136" t="str">
        <f>IFERROR(__xludf.DUMMYFUNCTION("""COMPUTED_VALUE"""),"BF")</f>
        <v>BF</v>
      </c>
      <c r="O42" s="141">
        <v>1.372769929829998</v>
      </c>
      <c r="P42" s="136" t="str">
        <f>IFERROR(__xludf.DUMMYFUNCTION("""COMPUTED_VALUE"""),"")</f>
        <v/>
      </c>
      <c r="Q42" s="136" t="str">
        <f>IFERROR(__xludf.DUMMYFUNCTION("""COMPUTED_VALUE"""),"")</f>
        <v/>
      </c>
      <c r="R42" s="106" t="str">
        <f>IFERROR(__xludf.DUMMYFUNCTION("""COMPUTED_VALUE"""),"")</f>
        <v/>
      </c>
      <c r="S42" s="106" t="str">
        <f>IFERROR(__xludf.DUMMYFUNCTION("""COMPUTED_VALUE"""),"")</f>
        <v/>
      </c>
      <c r="T42" s="139" t="str">
        <f>IFERROR(__xludf.DUMMYFUNCTION("""COMPUTED_VALUE"""),"")</f>
        <v/>
      </c>
      <c r="U42" s="139" t="str">
        <f>IFERROR(__xludf.DUMMYFUNCTION("""COMPUTED_VALUE"""),"")</f>
        <v/>
      </c>
      <c r="V42" s="136" t="str">
        <f>IFERROR(__xludf.DUMMYFUNCTION("""COMPUTED_VALUE"""),"")</f>
        <v/>
      </c>
      <c r="W42" s="106" t="str">
        <f>IFERROR(__xludf.DUMMYFUNCTION("""COMPUTED_VALUE"""),"")</f>
        <v/>
      </c>
      <c r="X42" s="143" t="str">
        <f t="shared" si="2"/>
        <v/>
      </c>
      <c r="Y42" s="139" t="str">
        <f>IFERROR(__xludf.DUMMYFUNCTION("""COMPUTED_VALUE"""),"")</f>
        <v/>
      </c>
      <c r="Z42" s="141" t="str">
        <f>IFERROR(__xludf.DUMMYFUNCTION("""COMPUTED_VALUE"""),"")</f>
        <v/>
      </c>
      <c r="AG42" s="139"/>
    </row>
    <row r="43">
      <c r="A43" s="136" t="str">
        <f>IFERROR(__xludf.DUMMYFUNCTION("""COMPUTED_VALUE"""),"LOG-2BC93A89")</f>
        <v>LOG-2BC93A89</v>
      </c>
      <c r="B43" s="151">
        <f>IFERROR(__xludf.DUMMYFUNCTION("""COMPUTED_VALUE"""),46058.47152777778)</f>
        <v>46058.47153</v>
      </c>
      <c r="C43" s="136" t="str">
        <f>IFERROR(__xludf.DUMMYFUNCTION("""COMPUTED_VALUE"""),"Sophia Kluck")</f>
        <v>Sophia Kluck</v>
      </c>
      <c r="D43" s="136" t="b">
        <f t="shared" si="3"/>
        <v>1</v>
      </c>
      <c r="E43" s="152">
        <f>IFERROR(__xludf.DUMMYFUNCTION("""COMPUTED_VALUE"""),0.41180555555555554)</f>
        <v>0.4118055556</v>
      </c>
      <c r="F43" s="106">
        <v>0.05972222222222223</v>
      </c>
      <c r="G43" s="152">
        <f>IFERROR(__xludf.DUMMYFUNCTION("""COMPUTED_VALUE"""),0.47152777777777777)</f>
        <v>0.4715277778</v>
      </c>
      <c r="H43" s="106" t="s">
        <v>133</v>
      </c>
      <c r="I43" s="136">
        <f>IFERROR(__xludf.DUMMYFUNCTION("""COMPUTED_VALUE"""),64.0)</f>
        <v>64</v>
      </c>
      <c r="J43" s="139" t="s">
        <v>133</v>
      </c>
      <c r="K43" s="136" t="s">
        <v>134</v>
      </c>
      <c r="L43" s="153">
        <f>IFERROR(__xludf.DUMMYFUNCTION("""COMPUTED_VALUE"""),46058.0)</f>
        <v>46058</v>
      </c>
      <c r="M43" s="136" t="str">
        <f t="shared" si="1"/>
        <v>Thursday</v>
      </c>
      <c r="N43" s="136" t="str">
        <f>IFERROR(__xludf.DUMMYFUNCTION("""COMPUTED_VALUE"""),"BF")</f>
        <v>BF</v>
      </c>
      <c r="O43" s="141" t="s">
        <v>133</v>
      </c>
      <c r="P43" s="136" t="str">
        <f>IFERROR(__xludf.DUMMYFUNCTION("""COMPUTED_VALUE"""),"")</f>
        <v/>
      </c>
      <c r="Q43" s="136" t="str">
        <f>IFERROR(__xludf.DUMMYFUNCTION("""COMPUTED_VALUE"""),"")</f>
        <v/>
      </c>
      <c r="R43" s="106" t="str">
        <f>IFERROR(__xludf.DUMMYFUNCTION("""COMPUTED_VALUE"""),"")</f>
        <v/>
      </c>
      <c r="S43" s="106" t="str">
        <f>IFERROR(__xludf.DUMMYFUNCTION("""COMPUTED_VALUE"""),"")</f>
        <v/>
      </c>
      <c r="T43" s="139" t="str">
        <f>IFERROR(__xludf.DUMMYFUNCTION("""COMPUTED_VALUE"""),"")</f>
        <v/>
      </c>
      <c r="U43" s="139" t="str">
        <f>IFERROR(__xludf.DUMMYFUNCTION("""COMPUTED_VALUE"""),"")</f>
        <v/>
      </c>
      <c r="V43" s="136" t="str">
        <f>IFERROR(__xludf.DUMMYFUNCTION("""COMPUTED_VALUE"""),"")</f>
        <v/>
      </c>
      <c r="W43" s="106" t="str">
        <f>IFERROR(__xludf.DUMMYFUNCTION("""COMPUTED_VALUE"""),"")</f>
        <v/>
      </c>
      <c r="X43" s="143" t="str">
        <f t="shared" si="2"/>
        <v/>
      </c>
      <c r="Y43" s="139" t="str">
        <f>IFERROR(__xludf.DUMMYFUNCTION("""COMPUTED_VALUE"""),"")</f>
        <v/>
      </c>
      <c r="Z43" s="141" t="str">
        <f>IFERROR(__xludf.DUMMYFUNCTION("""COMPUTED_VALUE"""),"")</f>
        <v/>
      </c>
      <c r="AG43" s="139"/>
    </row>
    <row r="44">
      <c r="A44" s="136" t="str">
        <f>IFERROR(__xludf.DUMMYFUNCTION("""COMPUTED_VALUE"""),"LOG-CEF6F4D7")</f>
        <v>LOG-CEF6F4D7</v>
      </c>
      <c r="B44" s="151">
        <f>IFERROR(__xludf.DUMMYFUNCTION("""COMPUTED_VALUE"""),46058.53125)</f>
        <v>46058.53125</v>
      </c>
      <c r="C44" s="136" t="str">
        <f>IFERROR(__xludf.DUMMYFUNCTION("""COMPUTED_VALUE"""),"Emmett Khan")</f>
        <v>Emmett Khan</v>
      </c>
      <c r="D44" s="136" t="b">
        <f t="shared" si="3"/>
        <v>0</v>
      </c>
      <c r="E44" s="152">
        <f>IFERROR(__xludf.DUMMYFUNCTION("""COMPUTED_VALUE"""),0.4791666666666667)</f>
        <v>0.4791666667</v>
      </c>
      <c r="F44" s="106">
        <v>0.052083333333333315</v>
      </c>
      <c r="G44" s="152">
        <f>IFERROR(__xludf.DUMMYFUNCTION("""COMPUTED_VALUE"""),0.53125)</f>
        <v>0.53125</v>
      </c>
      <c r="H44" s="106">
        <v>0.052083333333333315</v>
      </c>
      <c r="I44" s="136">
        <f>IFERROR(__xludf.DUMMYFUNCTION("""COMPUTED_VALUE"""),50.0)</f>
        <v>50</v>
      </c>
      <c r="J44" s="139">
        <v>40.000000000000014</v>
      </c>
      <c r="K44" s="136" t="s">
        <v>15</v>
      </c>
      <c r="L44" s="153">
        <f>IFERROR(__xludf.DUMMYFUNCTION("""COMPUTED_VALUE"""),46058.0)</f>
        <v>46058</v>
      </c>
      <c r="M44" s="136" t="str">
        <f t="shared" si="1"/>
        <v>Thursday</v>
      </c>
      <c r="N44" s="136" t="str">
        <f>IFERROR(__xludf.DUMMYFUNCTION("""COMPUTED_VALUE"""),"MF")</f>
        <v>MF</v>
      </c>
      <c r="O44" s="141">
        <v>0.7955845953611955</v>
      </c>
      <c r="P44" s="136" t="str">
        <f>IFERROR(__xludf.DUMMYFUNCTION("""COMPUTED_VALUE"""),"")</f>
        <v/>
      </c>
      <c r="Q44" s="136" t="str">
        <f>IFERROR(__xludf.DUMMYFUNCTION("""COMPUTED_VALUE"""),"")</f>
        <v/>
      </c>
      <c r="R44" s="106" t="str">
        <f>IFERROR(__xludf.DUMMYFUNCTION("""COMPUTED_VALUE"""),"")</f>
        <v/>
      </c>
      <c r="S44" s="106" t="str">
        <f>IFERROR(__xludf.DUMMYFUNCTION("""COMPUTED_VALUE"""),"")</f>
        <v/>
      </c>
      <c r="T44" s="139" t="str">
        <f>IFERROR(__xludf.DUMMYFUNCTION("""COMPUTED_VALUE"""),"")</f>
        <v/>
      </c>
      <c r="U44" s="139" t="str">
        <f>IFERROR(__xludf.DUMMYFUNCTION("""COMPUTED_VALUE"""),"")</f>
        <v/>
      </c>
      <c r="V44" s="136" t="str">
        <f>IFERROR(__xludf.DUMMYFUNCTION("""COMPUTED_VALUE"""),"")</f>
        <v/>
      </c>
      <c r="W44" s="106" t="str">
        <f>IFERROR(__xludf.DUMMYFUNCTION("""COMPUTED_VALUE"""),"")</f>
        <v/>
      </c>
      <c r="X44" s="143" t="str">
        <f t="shared" si="2"/>
        <v/>
      </c>
      <c r="Y44" s="139" t="str">
        <f>IFERROR(__xludf.DUMMYFUNCTION("""COMPUTED_VALUE"""),"")</f>
        <v/>
      </c>
      <c r="Z44" s="141" t="str">
        <f>IFERROR(__xludf.DUMMYFUNCTION("""COMPUTED_VALUE"""),"")</f>
        <v/>
      </c>
      <c r="AG44" s="139"/>
    </row>
    <row r="45">
      <c r="A45" s="136" t="str">
        <f>IFERROR(__xludf.DUMMYFUNCTION("""COMPUTED_VALUE"""),"LOG-592C50EA")</f>
        <v>LOG-592C50EA</v>
      </c>
      <c r="B45" s="151">
        <f>IFERROR(__xludf.DUMMYFUNCTION("""COMPUTED_VALUE"""),46058.78125)</f>
        <v>46058.78125</v>
      </c>
      <c r="C45" s="136" t="str">
        <f>IFERROR(__xludf.DUMMYFUNCTION("""COMPUTED_VALUE"""),"Emmett Khan")</f>
        <v>Emmett Khan</v>
      </c>
      <c r="D45" s="136" t="b">
        <f t="shared" si="3"/>
        <v>0</v>
      </c>
      <c r="E45" s="152">
        <f>IFERROR(__xludf.DUMMYFUNCTION("""COMPUTED_VALUE"""),0.7083333333333334)</f>
        <v>0.7083333333</v>
      </c>
      <c r="F45" s="106">
        <v>0.07291666666666663</v>
      </c>
      <c r="G45" s="152">
        <f>IFERROR(__xludf.DUMMYFUNCTION("""COMPUTED_VALUE"""),0.78125)</f>
        <v>0.78125</v>
      </c>
      <c r="H45" s="106">
        <v>0.07291666666666663</v>
      </c>
      <c r="I45" s="136">
        <f>IFERROR(__xludf.DUMMYFUNCTION("""COMPUTED_VALUE"""),77.0)</f>
        <v>77</v>
      </c>
      <c r="J45" s="139">
        <v>44.00000000000002</v>
      </c>
      <c r="K45" s="136" t="s">
        <v>18</v>
      </c>
      <c r="L45" s="153">
        <f>IFERROR(__xludf.DUMMYFUNCTION("""COMPUTED_VALUE"""),46058.0)</f>
        <v>46058</v>
      </c>
      <c r="M45" s="136" t="str">
        <f t="shared" si="1"/>
        <v>Thursday</v>
      </c>
      <c r="N45" s="136" t="str">
        <f>IFERROR(__xludf.DUMMYFUNCTION("""COMPUTED_VALUE"""),"BF")</f>
        <v>BF</v>
      </c>
      <c r="O45" s="141">
        <v>0.9902813299088636</v>
      </c>
      <c r="P45" s="136" t="str">
        <f>IFERROR(__xludf.DUMMYFUNCTION("""COMPUTED_VALUE"""),"")</f>
        <v/>
      </c>
      <c r="Q45" s="136" t="str">
        <f>IFERROR(__xludf.DUMMYFUNCTION("""COMPUTED_VALUE"""),"")</f>
        <v/>
      </c>
      <c r="R45" s="106" t="str">
        <f>IFERROR(__xludf.DUMMYFUNCTION("""COMPUTED_VALUE"""),"")</f>
        <v/>
      </c>
      <c r="S45" s="106" t="str">
        <f>IFERROR(__xludf.DUMMYFUNCTION("""COMPUTED_VALUE"""),"")</f>
        <v/>
      </c>
      <c r="T45" s="139" t="str">
        <f>IFERROR(__xludf.DUMMYFUNCTION("""COMPUTED_VALUE"""),"")</f>
        <v/>
      </c>
      <c r="U45" s="139" t="str">
        <f>IFERROR(__xludf.DUMMYFUNCTION("""COMPUTED_VALUE"""),"")</f>
        <v/>
      </c>
      <c r="V45" s="136" t="str">
        <f>IFERROR(__xludf.DUMMYFUNCTION("""COMPUTED_VALUE"""),"")</f>
        <v/>
      </c>
      <c r="W45" s="106" t="str">
        <f>IFERROR(__xludf.DUMMYFUNCTION("""COMPUTED_VALUE"""),"")</f>
        <v/>
      </c>
      <c r="X45" s="143" t="str">
        <f t="shared" si="2"/>
        <v/>
      </c>
      <c r="Y45" s="139" t="str">
        <f>IFERROR(__xludf.DUMMYFUNCTION("""COMPUTED_VALUE"""),"")</f>
        <v/>
      </c>
      <c r="Z45" s="141" t="str">
        <f>IFERROR(__xludf.DUMMYFUNCTION("""COMPUTED_VALUE"""),"")</f>
        <v/>
      </c>
    </row>
    <row r="46">
      <c r="A46" s="136" t="str">
        <f>IFERROR(__xludf.DUMMYFUNCTION("""COMPUTED_VALUE"""),"LOG-C1FD70EB")</f>
        <v>LOG-C1FD70EB</v>
      </c>
      <c r="B46" s="151">
        <f>IFERROR(__xludf.DUMMYFUNCTION("""COMPUTED_VALUE"""),46058.729166666664)</f>
        <v>46058.72917</v>
      </c>
      <c r="C46" s="136" t="str">
        <f>IFERROR(__xludf.DUMMYFUNCTION("""COMPUTED_VALUE"""),"Leah Bucci")</f>
        <v>Leah Bucci</v>
      </c>
      <c r="D46" s="136" t="b">
        <f t="shared" si="3"/>
        <v>0</v>
      </c>
      <c r="E46" s="152">
        <f>IFERROR(__xludf.DUMMYFUNCTION("""COMPUTED_VALUE"""),0.6875)</f>
        <v>0.6875</v>
      </c>
      <c r="F46" s="106">
        <v>0.04166666666666663</v>
      </c>
      <c r="G46" s="152">
        <f>IFERROR(__xludf.DUMMYFUNCTION("""COMPUTED_VALUE"""),0.7291666666666666)</f>
        <v>0.7291666667</v>
      </c>
      <c r="H46" s="106">
        <v>0.17013888888888895</v>
      </c>
      <c r="I46" s="136">
        <f>IFERROR(__xludf.DUMMYFUNCTION("""COMPUTED_VALUE"""),79.0)</f>
        <v>79</v>
      </c>
      <c r="J46" s="139">
        <v>122.20408163265301</v>
      </c>
      <c r="K46" s="136" t="s">
        <v>18</v>
      </c>
      <c r="L46" s="153">
        <f>IFERROR(__xludf.DUMMYFUNCTION("""COMPUTED_VALUE"""),46058.0)</f>
        <v>46058</v>
      </c>
      <c r="M46" s="136" t="str">
        <f t="shared" si="1"/>
        <v>Thursday</v>
      </c>
      <c r="N46" s="136" t="str">
        <f>IFERROR(__xludf.DUMMYFUNCTION("""COMPUTED_VALUE"""),"BF")</f>
        <v>BF</v>
      </c>
      <c r="O46" s="141">
        <v>2.7503731927153385</v>
      </c>
      <c r="P46" s="136" t="str">
        <f>IFERROR(__xludf.DUMMYFUNCTION("""COMPUTED_VALUE"""),"")</f>
        <v/>
      </c>
      <c r="Q46" s="136" t="str">
        <f>IFERROR(__xludf.DUMMYFUNCTION("""COMPUTED_VALUE"""),"")</f>
        <v/>
      </c>
      <c r="R46" s="106" t="str">
        <f>IFERROR(__xludf.DUMMYFUNCTION("""COMPUTED_VALUE"""),"")</f>
        <v/>
      </c>
      <c r="S46" s="106" t="str">
        <f>IFERROR(__xludf.DUMMYFUNCTION("""COMPUTED_VALUE"""),"")</f>
        <v/>
      </c>
      <c r="T46" s="139" t="str">
        <f>IFERROR(__xludf.DUMMYFUNCTION("""COMPUTED_VALUE"""),"")</f>
        <v/>
      </c>
      <c r="U46" s="139" t="str">
        <f>IFERROR(__xludf.DUMMYFUNCTION("""COMPUTED_VALUE"""),"")</f>
        <v/>
      </c>
      <c r="V46" s="136" t="str">
        <f>IFERROR(__xludf.DUMMYFUNCTION("""COMPUTED_VALUE"""),"")</f>
        <v/>
      </c>
      <c r="W46" s="106" t="str">
        <f>IFERROR(__xludf.DUMMYFUNCTION("""COMPUTED_VALUE"""),"")</f>
        <v/>
      </c>
      <c r="X46" s="143" t="str">
        <f t="shared" si="2"/>
        <v/>
      </c>
      <c r="Y46" s="139" t="str">
        <f>IFERROR(__xludf.DUMMYFUNCTION("""COMPUTED_VALUE"""),"")</f>
        <v/>
      </c>
      <c r="Z46" s="141" t="str">
        <f>IFERROR(__xludf.DUMMYFUNCTION("""COMPUTED_VALUE"""),"")</f>
        <v/>
      </c>
    </row>
    <row r="47">
      <c r="A47" s="136" t="str">
        <f>IFERROR(__xludf.DUMMYFUNCTION("""COMPUTED_VALUE"""),"LOG-51221326")</f>
        <v>LOG-51221326</v>
      </c>
      <c r="B47" s="151">
        <f>IFERROR(__xludf.DUMMYFUNCTION("""COMPUTED_VALUE"""),46058.770833333336)</f>
        <v>46058.77083</v>
      </c>
      <c r="C47" s="136" t="str">
        <f>IFERROR(__xludf.DUMMYFUNCTION("""COMPUTED_VALUE"""),"Leah Bucci")</f>
        <v>Leah Bucci</v>
      </c>
      <c r="D47" s="136" t="b">
        <f t="shared" si="3"/>
        <v>1</v>
      </c>
      <c r="E47" s="152">
        <f>IFERROR(__xludf.DUMMYFUNCTION("""COMPUTED_VALUE"""),0.7326388888888888)</f>
        <v>0.7326388889</v>
      </c>
      <c r="F47" s="106">
        <v>0.03819444444444453</v>
      </c>
      <c r="G47" s="152">
        <f>IFERROR(__xludf.DUMMYFUNCTION("""COMPUTED_VALUE"""),0.7708333333333334)</f>
        <v>0.7708333333</v>
      </c>
      <c r="H47" s="106" t="s">
        <v>133</v>
      </c>
      <c r="I47" s="136">
        <f>IFERROR(__xludf.DUMMYFUNCTION("""COMPUTED_VALUE"""),155.0)</f>
        <v>155</v>
      </c>
      <c r="J47" s="139" t="s">
        <v>133</v>
      </c>
      <c r="K47" s="136" t="s">
        <v>18</v>
      </c>
      <c r="L47" s="153">
        <f>IFERROR(__xludf.DUMMYFUNCTION("""COMPUTED_VALUE"""),46058.0)</f>
        <v>46058</v>
      </c>
      <c r="M47" s="136" t="str">
        <f t="shared" si="1"/>
        <v>Thursday</v>
      </c>
      <c r="N47" s="136" t="str">
        <f>IFERROR(__xludf.DUMMYFUNCTION("""COMPUTED_VALUE"""),"MF")</f>
        <v>MF</v>
      </c>
      <c r="O47" s="141" t="s">
        <v>133</v>
      </c>
      <c r="P47" s="136" t="str">
        <f>IFERROR(__xludf.DUMMYFUNCTION("""COMPUTED_VALUE"""),"")</f>
        <v/>
      </c>
      <c r="Q47" s="136" t="str">
        <f>IFERROR(__xludf.DUMMYFUNCTION("""COMPUTED_VALUE"""),"")</f>
        <v/>
      </c>
      <c r="R47" s="106" t="str">
        <f>IFERROR(__xludf.DUMMYFUNCTION("""COMPUTED_VALUE"""),"")</f>
        <v/>
      </c>
      <c r="S47" s="106" t="str">
        <f>IFERROR(__xludf.DUMMYFUNCTION("""COMPUTED_VALUE"""),"")</f>
        <v/>
      </c>
      <c r="T47" s="139" t="str">
        <f>IFERROR(__xludf.DUMMYFUNCTION("""COMPUTED_VALUE"""),"")</f>
        <v/>
      </c>
      <c r="U47" s="139" t="str">
        <f>IFERROR(__xludf.DUMMYFUNCTION("""COMPUTED_VALUE"""),"")</f>
        <v/>
      </c>
      <c r="V47" s="136" t="str">
        <f>IFERROR(__xludf.DUMMYFUNCTION("""COMPUTED_VALUE"""),"")</f>
        <v/>
      </c>
      <c r="W47" s="106" t="str">
        <f>IFERROR(__xludf.DUMMYFUNCTION("""COMPUTED_VALUE"""),"")</f>
        <v/>
      </c>
      <c r="X47" s="143" t="str">
        <f t="shared" si="2"/>
        <v/>
      </c>
      <c r="Y47" s="139" t="str">
        <f>IFERROR(__xludf.DUMMYFUNCTION("""COMPUTED_VALUE"""),"")</f>
        <v/>
      </c>
      <c r="Z47" s="141" t="str">
        <f>IFERROR(__xludf.DUMMYFUNCTION("""COMPUTED_VALUE"""),"")</f>
        <v/>
      </c>
    </row>
    <row r="48">
      <c r="A48" s="136" t="str">
        <f>IFERROR(__xludf.DUMMYFUNCTION("""COMPUTED_VALUE"""),"LOG-BEA93FDC")</f>
        <v>LOG-BEA93FDC</v>
      </c>
      <c r="B48" s="151">
        <f>IFERROR(__xludf.DUMMYFUNCTION("""COMPUTED_VALUE"""),46058.791666666664)</f>
        <v>46058.79167</v>
      </c>
      <c r="C48" s="136" t="str">
        <f>IFERROR(__xludf.DUMMYFUNCTION("""COMPUTED_VALUE"""),"Leah Bucci")</f>
        <v>Leah Bucci</v>
      </c>
      <c r="D48" s="136" t="b">
        <f t="shared" si="3"/>
        <v>1</v>
      </c>
      <c r="E48" s="152">
        <f>IFERROR(__xludf.DUMMYFUNCTION("""COMPUTED_VALUE"""),0.7638888888888888)</f>
        <v>0.7638888889</v>
      </c>
      <c r="F48" s="106">
        <v>0.02777777777777779</v>
      </c>
      <c r="G48" s="152">
        <f>IFERROR(__xludf.DUMMYFUNCTION("""COMPUTED_VALUE"""),0.7916666666666666)</f>
        <v>0.7916666667</v>
      </c>
      <c r="H48" s="106" t="s">
        <v>133</v>
      </c>
      <c r="I48" s="136">
        <f>IFERROR(__xludf.DUMMYFUNCTION("""COMPUTED_VALUE"""),199.0)</f>
        <v>199</v>
      </c>
      <c r="J48" s="139" t="s">
        <v>133</v>
      </c>
      <c r="K48" s="136" t="s">
        <v>18</v>
      </c>
      <c r="L48" s="153">
        <f>IFERROR(__xludf.DUMMYFUNCTION("""COMPUTED_VALUE"""),46058.0)</f>
        <v>46058</v>
      </c>
      <c r="M48" s="136" t="str">
        <f t="shared" si="1"/>
        <v>Thursday</v>
      </c>
      <c r="N48" s="136" t="str">
        <f>IFERROR(__xludf.DUMMYFUNCTION("""COMPUTED_VALUE"""),"BF")</f>
        <v>BF</v>
      </c>
      <c r="O48" s="141" t="s">
        <v>133</v>
      </c>
      <c r="P48" s="136" t="str">
        <f>IFERROR(__xludf.DUMMYFUNCTION("""COMPUTED_VALUE"""),"")</f>
        <v/>
      </c>
      <c r="Q48" s="136" t="str">
        <f>IFERROR(__xludf.DUMMYFUNCTION("""COMPUTED_VALUE"""),"")</f>
        <v/>
      </c>
      <c r="R48" s="106" t="str">
        <f>IFERROR(__xludf.DUMMYFUNCTION("""COMPUTED_VALUE"""),"")</f>
        <v/>
      </c>
      <c r="S48" s="106" t="str">
        <f>IFERROR(__xludf.DUMMYFUNCTION("""COMPUTED_VALUE"""),"")</f>
        <v/>
      </c>
      <c r="T48" s="139" t="str">
        <f>IFERROR(__xludf.DUMMYFUNCTION("""COMPUTED_VALUE"""),"")</f>
        <v/>
      </c>
      <c r="U48" s="139" t="str">
        <f>IFERROR(__xludf.DUMMYFUNCTION("""COMPUTED_VALUE"""),"")</f>
        <v/>
      </c>
      <c r="V48" s="136" t="str">
        <f>IFERROR(__xludf.DUMMYFUNCTION("""COMPUTED_VALUE"""),"")</f>
        <v/>
      </c>
      <c r="W48" s="106" t="str">
        <f>IFERROR(__xludf.DUMMYFUNCTION("""COMPUTED_VALUE"""),"")</f>
        <v/>
      </c>
      <c r="X48" s="143" t="str">
        <f t="shared" si="2"/>
        <v/>
      </c>
      <c r="Y48" s="139" t="str">
        <f>IFERROR(__xludf.DUMMYFUNCTION("""COMPUTED_VALUE"""),"")</f>
        <v/>
      </c>
      <c r="Z48" s="141" t="str">
        <f>IFERROR(__xludf.DUMMYFUNCTION("""COMPUTED_VALUE"""),"")</f>
        <v/>
      </c>
    </row>
    <row r="49">
      <c r="A49" s="136" t="str">
        <f>IFERROR(__xludf.DUMMYFUNCTION("""COMPUTED_VALUE"""),"LOG-ABADC40B")</f>
        <v>LOG-ABADC40B</v>
      </c>
      <c r="B49" s="151">
        <f>IFERROR(__xludf.DUMMYFUNCTION("""COMPUTED_VALUE"""),46058.854166666664)</f>
        <v>46058.85417</v>
      </c>
      <c r="C49" s="136" t="str">
        <f>IFERROR(__xludf.DUMMYFUNCTION("""COMPUTED_VALUE"""),"Leah Bucci")</f>
        <v>Leah Bucci</v>
      </c>
      <c r="D49" s="136" t="b">
        <f t="shared" si="3"/>
        <v>1</v>
      </c>
      <c r="E49" s="152">
        <f>IFERROR(__xludf.DUMMYFUNCTION("""COMPUTED_VALUE"""),0.7916666666666666)</f>
        <v>0.7916666667</v>
      </c>
      <c r="F49" s="106">
        <v>0.0625</v>
      </c>
      <c r="G49" s="152">
        <f>IFERROR(__xludf.DUMMYFUNCTION("""COMPUTED_VALUE"""),0.8541666666666666)</f>
        <v>0.8541666667</v>
      </c>
      <c r="H49" s="106" t="s">
        <v>133</v>
      </c>
      <c r="I49" s="136">
        <f>IFERROR(__xludf.DUMMYFUNCTION("""COMPUTED_VALUE"""),66.0)</f>
        <v>66</v>
      </c>
      <c r="J49" s="139" t="s">
        <v>133</v>
      </c>
      <c r="K49" s="136" t="s">
        <v>18</v>
      </c>
      <c r="L49" s="153">
        <f>IFERROR(__xludf.DUMMYFUNCTION("""COMPUTED_VALUE"""),46058.0)</f>
        <v>46058</v>
      </c>
      <c r="M49" s="136" t="str">
        <f t="shared" si="1"/>
        <v>Thursday</v>
      </c>
      <c r="N49" s="136" t="str">
        <f>IFERROR(__xludf.DUMMYFUNCTION("""COMPUTED_VALUE"""),"BF")</f>
        <v>BF</v>
      </c>
      <c r="O49" s="141" t="s">
        <v>133</v>
      </c>
      <c r="P49" s="136" t="str">
        <f>IFERROR(__xludf.DUMMYFUNCTION("""COMPUTED_VALUE"""),"")</f>
        <v/>
      </c>
      <c r="Q49" s="136" t="str">
        <f>IFERROR(__xludf.DUMMYFUNCTION("""COMPUTED_VALUE"""),"")</f>
        <v/>
      </c>
      <c r="R49" s="106" t="str">
        <f>IFERROR(__xludf.DUMMYFUNCTION("""COMPUTED_VALUE"""),"")</f>
        <v/>
      </c>
      <c r="S49" s="106" t="str">
        <f>IFERROR(__xludf.DUMMYFUNCTION("""COMPUTED_VALUE"""),"")</f>
        <v/>
      </c>
      <c r="T49" s="139" t="str">
        <f>IFERROR(__xludf.DUMMYFUNCTION("""COMPUTED_VALUE"""),"")</f>
        <v/>
      </c>
      <c r="U49" s="139" t="str">
        <f>IFERROR(__xludf.DUMMYFUNCTION("""COMPUTED_VALUE"""),"")</f>
        <v/>
      </c>
      <c r="V49" s="136" t="str">
        <f>IFERROR(__xludf.DUMMYFUNCTION("""COMPUTED_VALUE"""),"")</f>
        <v/>
      </c>
      <c r="W49" s="106" t="str">
        <f>IFERROR(__xludf.DUMMYFUNCTION("""COMPUTED_VALUE"""),"")</f>
        <v/>
      </c>
      <c r="X49" s="143" t="str">
        <f t="shared" si="2"/>
        <v/>
      </c>
      <c r="Y49" s="139" t="str">
        <f>IFERROR(__xludf.DUMMYFUNCTION("""COMPUTED_VALUE"""),"")</f>
        <v/>
      </c>
      <c r="Z49" s="141" t="str">
        <f>IFERROR(__xludf.DUMMYFUNCTION("""COMPUTED_VALUE"""),"")</f>
        <v/>
      </c>
    </row>
    <row r="50">
      <c r="A50" s="136" t="str">
        <f>IFERROR(__xludf.DUMMYFUNCTION("""COMPUTED_VALUE"""),"LOG-1BB7CDAA")</f>
        <v>LOG-1BB7CDAA</v>
      </c>
      <c r="B50" s="151">
        <f>IFERROR(__xludf.DUMMYFUNCTION("""COMPUTED_VALUE"""),46058.875)</f>
        <v>46058.875</v>
      </c>
      <c r="C50" s="136" t="str">
        <f>IFERROR(__xludf.DUMMYFUNCTION("""COMPUTED_VALUE"""),"Arjya Aich")</f>
        <v>Arjya Aich</v>
      </c>
      <c r="D50" s="136" t="b">
        <f t="shared" si="3"/>
        <v>0</v>
      </c>
      <c r="E50" s="152">
        <f>IFERROR(__xludf.DUMMYFUNCTION("""COMPUTED_VALUE"""),0.7916666666666666)</f>
        <v>0.7916666667</v>
      </c>
      <c r="F50" s="106">
        <v>0.08333333333333337</v>
      </c>
      <c r="G50" s="152">
        <f>IFERROR(__xludf.DUMMYFUNCTION("""COMPUTED_VALUE"""),0.875)</f>
        <v>0.875</v>
      </c>
      <c r="H50" s="106">
        <v>0.08333333333333337</v>
      </c>
      <c r="I50" s="136">
        <f>IFERROR(__xludf.DUMMYFUNCTION("""COMPUTED_VALUE"""),76.0)</f>
        <v>76</v>
      </c>
      <c r="J50" s="139">
        <v>37.999999999999986</v>
      </c>
      <c r="K50" s="136" t="s">
        <v>18</v>
      </c>
      <c r="L50" s="153">
        <f>IFERROR(__xludf.DUMMYFUNCTION("""COMPUTED_VALUE"""),46058.0)</f>
        <v>46058</v>
      </c>
      <c r="M50" s="136" t="str">
        <f t="shared" si="1"/>
        <v>Thursday</v>
      </c>
      <c r="N50" s="136" t="str">
        <f>IFERROR(__xludf.DUMMYFUNCTION("""COMPUTED_VALUE"""),"MF")</f>
        <v>MF</v>
      </c>
      <c r="O50" s="141">
        <v>0.7948218914332076</v>
      </c>
      <c r="P50" s="136">
        <f>IFERROR(__xludf.DUMMYFUNCTION("""COMPUTED_VALUE"""),281.0)</f>
        <v>281</v>
      </c>
      <c r="Q50" s="136">
        <f>IFERROR(__xludf.DUMMYFUNCTION("""COMPUTED_VALUE"""),535.0)</f>
        <v>535</v>
      </c>
      <c r="R50" s="106">
        <f>IFERROR(__xludf.DUMMYFUNCTION("""COMPUTED_VALUE"""),0.17361111111111122)</f>
        <v>0.1736111111</v>
      </c>
      <c r="S50" s="106">
        <f>IFERROR(__xludf.DUMMYFUNCTION("""COMPUTED_VALUE"""),0.37708333333333327)</f>
        <v>0.3770833333</v>
      </c>
      <c r="T50" s="139">
        <f>IFERROR(__xludf.DUMMYFUNCTION("""COMPUTED_VALUE"""),39.0)</f>
        <v>39</v>
      </c>
      <c r="U50" s="139">
        <f>IFERROR(__xludf.DUMMYFUNCTION("""COMPUTED_VALUE"""),53.98075013789299)</f>
        <v>53.98075014</v>
      </c>
      <c r="V50" s="136">
        <f>IFERROR(__xludf.DUMMYFUNCTION("""COMPUTED_VALUE"""),816.0)</f>
        <v>816</v>
      </c>
      <c r="W50" s="106">
        <f>IFERROR(__xludf.DUMMYFUNCTION("""COMPUTED_VALUE"""),0.5506944444444445)</f>
        <v>0.5506944444</v>
      </c>
      <c r="X50" s="143">
        <f t="shared" si="2"/>
        <v>61.74022699</v>
      </c>
      <c r="Y50" s="139">
        <f>IFERROR(__xludf.DUMMYFUNCTION("""COMPUTED_VALUE"""),48.98716675859532)</f>
        <v>48.98716676</v>
      </c>
      <c r="Z50" s="141">
        <f>IFERROR(__xludf.DUMMYFUNCTION("""COMPUTED_VALUE"""),0.59425029386443)</f>
        <v>0.5942502939</v>
      </c>
    </row>
    <row r="51">
      <c r="A51" s="136" t="str">
        <f>IFERROR(__xludf.DUMMYFUNCTION("""COMPUTED_VALUE"""),"LOG-BDA6C7E7")</f>
        <v>LOG-BDA6C7E7</v>
      </c>
      <c r="B51" s="151">
        <f>IFERROR(__xludf.DUMMYFUNCTION("""COMPUTED_VALUE"""),46059.583333333336)</f>
        <v>46059.58333</v>
      </c>
      <c r="C51" s="136" t="str">
        <f>IFERROR(__xludf.DUMMYFUNCTION("""COMPUTED_VALUE"""),"Brynn Hornig")</f>
        <v>Brynn Hornig</v>
      </c>
      <c r="D51" s="136" t="b">
        <f t="shared" si="3"/>
        <v>0</v>
      </c>
      <c r="E51" s="152">
        <f>IFERROR(__xludf.DUMMYFUNCTION("""COMPUTED_VALUE"""),0.5208333333333334)</f>
        <v>0.5208333333</v>
      </c>
      <c r="F51" s="106">
        <v>0.0625</v>
      </c>
      <c r="G51" s="152">
        <f>IFERROR(__xludf.DUMMYFUNCTION("""COMPUTED_VALUE"""),0.5833333333333334)</f>
        <v>0.5833333333</v>
      </c>
      <c r="H51" s="106">
        <v>0.0625</v>
      </c>
      <c r="I51" s="136">
        <f>IFERROR(__xludf.DUMMYFUNCTION("""COMPUTED_VALUE"""),50.0)</f>
        <v>50</v>
      </c>
      <c r="J51" s="139">
        <v>33.333333333333336</v>
      </c>
      <c r="K51" s="136" t="s">
        <v>15</v>
      </c>
      <c r="L51" s="153">
        <f>IFERROR(__xludf.DUMMYFUNCTION("""COMPUTED_VALUE"""),46059.0)</f>
        <v>46059</v>
      </c>
      <c r="M51" s="136" t="str">
        <f t="shared" si="1"/>
        <v>Friday</v>
      </c>
      <c r="N51" s="136" t="str">
        <f>IFERROR(__xludf.DUMMYFUNCTION("""COMPUTED_VALUE"""),"BF")</f>
        <v>BF</v>
      </c>
      <c r="O51" s="141">
        <v>1.1757520232340264</v>
      </c>
      <c r="P51" s="136" t="str">
        <f>IFERROR(__xludf.DUMMYFUNCTION("""COMPUTED_VALUE"""),"")</f>
        <v/>
      </c>
      <c r="Q51" s="136" t="str">
        <f>IFERROR(__xludf.DUMMYFUNCTION("""COMPUTED_VALUE"""),"")</f>
        <v/>
      </c>
      <c r="R51" s="106" t="str">
        <f>IFERROR(__xludf.DUMMYFUNCTION("""COMPUTED_VALUE"""),"")</f>
        <v/>
      </c>
      <c r="S51" s="106" t="str">
        <f>IFERROR(__xludf.DUMMYFUNCTION("""COMPUTED_VALUE"""),"")</f>
        <v/>
      </c>
      <c r="T51" s="139" t="str">
        <f>IFERROR(__xludf.DUMMYFUNCTION("""COMPUTED_VALUE"""),"")</f>
        <v/>
      </c>
      <c r="U51" s="139" t="str">
        <f>IFERROR(__xludf.DUMMYFUNCTION("""COMPUTED_VALUE"""),"")</f>
        <v/>
      </c>
      <c r="V51" s="136" t="str">
        <f>IFERROR(__xludf.DUMMYFUNCTION("""COMPUTED_VALUE"""),"")</f>
        <v/>
      </c>
      <c r="W51" s="106" t="str">
        <f>IFERROR(__xludf.DUMMYFUNCTION("""COMPUTED_VALUE"""),"")</f>
        <v/>
      </c>
      <c r="X51" s="143" t="str">
        <f t="shared" si="2"/>
        <v/>
      </c>
      <c r="Y51" s="139" t="str">
        <f>IFERROR(__xludf.DUMMYFUNCTION("""COMPUTED_VALUE"""),"")</f>
        <v/>
      </c>
      <c r="Z51" s="141" t="str">
        <f>IFERROR(__xludf.DUMMYFUNCTION("""COMPUTED_VALUE"""),"")</f>
        <v/>
      </c>
    </row>
    <row r="52">
      <c r="A52" s="136" t="str">
        <f>IFERROR(__xludf.DUMMYFUNCTION("""COMPUTED_VALUE"""),"LOG-C1D0DAAA")</f>
        <v>LOG-C1D0DAAA</v>
      </c>
      <c r="B52" s="151">
        <f>IFERROR(__xludf.DUMMYFUNCTION("""COMPUTED_VALUE"""),46059.62291666667)</f>
        <v>46059.62292</v>
      </c>
      <c r="C52" s="136" t="str">
        <f>IFERROR(__xludf.DUMMYFUNCTION("""COMPUTED_VALUE"""),"Oluwatimilehin Shodipe")</f>
        <v>Oluwatimilehin Shodipe</v>
      </c>
      <c r="D52" s="136" t="b">
        <f t="shared" si="3"/>
        <v>0</v>
      </c>
      <c r="E52" s="152">
        <f>IFERROR(__xludf.DUMMYFUNCTION("""COMPUTED_VALUE"""),0.4791666666666667)</f>
        <v>0.4791666667</v>
      </c>
      <c r="F52" s="106">
        <v>0.14375</v>
      </c>
      <c r="G52" s="152">
        <f>IFERROR(__xludf.DUMMYFUNCTION("""COMPUTED_VALUE"""),0.6229166666666667)</f>
        <v>0.6229166667</v>
      </c>
      <c r="H52" s="106">
        <v>0.14375</v>
      </c>
      <c r="I52" s="136">
        <f>IFERROR(__xludf.DUMMYFUNCTION("""COMPUTED_VALUE"""),191.0)</f>
        <v>191</v>
      </c>
      <c r="J52" s="139">
        <v>55.36231884057972</v>
      </c>
      <c r="K52" s="136" t="s">
        <v>15</v>
      </c>
      <c r="L52" s="153">
        <f>IFERROR(__xludf.DUMMYFUNCTION("""COMPUTED_VALUE"""),46059.0)</f>
        <v>46059</v>
      </c>
      <c r="M52" s="136" t="str">
        <f t="shared" si="1"/>
        <v>Friday</v>
      </c>
      <c r="N52" s="136" t="str">
        <f>IFERROR(__xludf.DUMMYFUNCTION("""COMPUTED_VALUE"""),"MF")</f>
        <v>MF</v>
      </c>
      <c r="O52" s="141">
        <v>1.1011352008260022</v>
      </c>
      <c r="P52" s="136" t="str">
        <f>IFERROR(__xludf.DUMMYFUNCTION("""COMPUTED_VALUE"""),"")</f>
        <v/>
      </c>
      <c r="Q52" s="136" t="str">
        <f>IFERROR(__xludf.DUMMYFUNCTION("""COMPUTED_VALUE"""),"")</f>
        <v/>
      </c>
      <c r="R52" s="106" t="str">
        <f>IFERROR(__xludf.DUMMYFUNCTION("""COMPUTED_VALUE"""),"")</f>
        <v/>
      </c>
      <c r="S52" s="106" t="str">
        <f>IFERROR(__xludf.DUMMYFUNCTION("""COMPUTED_VALUE"""),"")</f>
        <v/>
      </c>
      <c r="T52" s="139" t="str">
        <f>IFERROR(__xludf.DUMMYFUNCTION("""COMPUTED_VALUE"""),"")</f>
        <v/>
      </c>
      <c r="U52" s="139" t="str">
        <f>IFERROR(__xludf.DUMMYFUNCTION("""COMPUTED_VALUE"""),"")</f>
        <v/>
      </c>
      <c r="V52" s="136" t="str">
        <f>IFERROR(__xludf.DUMMYFUNCTION("""COMPUTED_VALUE"""),"")</f>
        <v/>
      </c>
      <c r="W52" s="106" t="str">
        <f>IFERROR(__xludf.DUMMYFUNCTION("""COMPUTED_VALUE"""),"")</f>
        <v/>
      </c>
      <c r="X52" s="143" t="str">
        <f t="shared" si="2"/>
        <v/>
      </c>
      <c r="Y52" s="139" t="str">
        <f>IFERROR(__xludf.DUMMYFUNCTION("""COMPUTED_VALUE"""),"")</f>
        <v/>
      </c>
      <c r="Z52" s="141" t="str">
        <f>IFERROR(__xludf.DUMMYFUNCTION("""COMPUTED_VALUE"""),"")</f>
        <v/>
      </c>
    </row>
    <row r="53">
      <c r="A53" s="136" t="str">
        <f>IFERROR(__xludf.DUMMYFUNCTION("""COMPUTED_VALUE"""),"LOG-24E603F1")</f>
        <v>LOG-24E603F1</v>
      </c>
      <c r="B53" s="151">
        <f>IFERROR(__xludf.DUMMYFUNCTION("""COMPUTED_VALUE"""),46059.75)</f>
        <v>46059.75</v>
      </c>
      <c r="C53" s="136" t="str">
        <f>IFERROR(__xludf.DUMMYFUNCTION("""COMPUTED_VALUE"""),"Leah Bucci")</f>
        <v>Leah Bucci</v>
      </c>
      <c r="D53" s="136" t="b">
        <f t="shared" si="3"/>
        <v>0</v>
      </c>
      <c r="E53" s="152">
        <f>IFERROR(__xludf.DUMMYFUNCTION("""COMPUTED_VALUE"""),0.6666666666666666)</f>
        <v>0.6666666667</v>
      </c>
      <c r="F53" s="106">
        <v>0.08333333333333337</v>
      </c>
      <c r="G53" s="152">
        <f>IFERROR(__xludf.DUMMYFUNCTION("""COMPUTED_VALUE"""),0.75)</f>
        <v>0.75</v>
      </c>
      <c r="H53" s="106">
        <v>0.08333333333333337</v>
      </c>
      <c r="I53" s="136">
        <f>IFERROR(__xludf.DUMMYFUNCTION("""COMPUTED_VALUE"""),124.0)</f>
        <v>124</v>
      </c>
      <c r="J53" s="139">
        <v>61.99999999999997</v>
      </c>
      <c r="K53" s="136" t="s">
        <v>18</v>
      </c>
      <c r="L53" s="153">
        <f>IFERROR(__xludf.DUMMYFUNCTION("""COMPUTED_VALUE"""),46059.0)</f>
        <v>46059</v>
      </c>
      <c r="M53" s="136" t="str">
        <f t="shared" si="1"/>
        <v>Friday</v>
      </c>
      <c r="N53" s="136" t="str">
        <f>IFERROR(__xludf.DUMMYFUNCTION("""COMPUTED_VALUE"""),"MF")</f>
        <v>MF</v>
      </c>
      <c r="O53" s="141">
        <v>1.29681466496997</v>
      </c>
      <c r="P53" s="136" t="str">
        <f>IFERROR(__xludf.DUMMYFUNCTION("""COMPUTED_VALUE"""),"")</f>
        <v/>
      </c>
      <c r="Q53" s="136" t="str">
        <f>IFERROR(__xludf.DUMMYFUNCTION("""COMPUTED_VALUE"""),"")</f>
        <v/>
      </c>
      <c r="R53" s="106" t="str">
        <f>IFERROR(__xludf.DUMMYFUNCTION("""COMPUTED_VALUE"""),"")</f>
        <v/>
      </c>
      <c r="S53" s="106" t="str">
        <f>IFERROR(__xludf.DUMMYFUNCTION("""COMPUTED_VALUE"""),"")</f>
        <v/>
      </c>
      <c r="T53" s="139" t="str">
        <f>IFERROR(__xludf.DUMMYFUNCTION("""COMPUTED_VALUE"""),"")</f>
        <v/>
      </c>
      <c r="U53" s="139" t="str">
        <f>IFERROR(__xludf.DUMMYFUNCTION("""COMPUTED_VALUE"""),"")</f>
        <v/>
      </c>
      <c r="V53" s="136" t="str">
        <f>IFERROR(__xludf.DUMMYFUNCTION("""COMPUTED_VALUE"""),"")</f>
        <v/>
      </c>
      <c r="W53" s="106" t="str">
        <f>IFERROR(__xludf.DUMMYFUNCTION("""COMPUTED_VALUE"""),"")</f>
        <v/>
      </c>
      <c r="X53" s="143" t="str">
        <f t="shared" si="2"/>
        <v/>
      </c>
      <c r="Y53" s="139" t="str">
        <f>IFERROR(__xludf.DUMMYFUNCTION("""COMPUTED_VALUE"""),"")</f>
        <v/>
      </c>
      <c r="Z53" s="141" t="str">
        <f>IFERROR(__xludf.DUMMYFUNCTION("""COMPUTED_VALUE"""),"")</f>
        <v/>
      </c>
    </row>
    <row r="54">
      <c r="A54" s="136" t="str">
        <f>IFERROR(__xludf.DUMMYFUNCTION("""COMPUTED_VALUE"""),"LOG-F4E8B0D1")</f>
        <v>LOG-F4E8B0D1</v>
      </c>
      <c r="B54" s="151">
        <f>IFERROR(__xludf.DUMMYFUNCTION("""COMPUTED_VALUE"""),46059.79583333333)</f>
        <v>46059.79583</v>
      </c>
      <c r="C54" s="136" t="str">
        <f>IFERROR(__xludf.DUMMYFUNCTION("""COMPUTED_VALUE"""),"Orpheus Wilson")</f>
        <v>Orpheus Wilson</v>
      </c>
      <c r="D54" s="136" t="b">
        <f t="shared" si="3"/>
        <v>0</v>
      </c>
      <c r="E54" s="152">
        <f>IFERROR(__xludf.DUMMYFUNCTION("""COMPUTED_VALUE"""),0.7493055555555556)</f>
        <v>0.7493055556</v>
      </c>
      <c r="F54" s="106">
        <v>0.046527777777777724</v>
      </c>
      <c r="G54" s="152">
        <f>IFERROR(__xludf.DUMMYFUNCTION("""COMPUTED_VALUE"""),0.7958333333333333)</f>
        <v>0.7958333333</v>
      </c>
      <c r="H54" s="106">
        <v>0.08055555555555549</v>
      </c>
      <c r="I54" s="136">
        <f>IFERROR(__xludf.DUMMYFUNCTION("""COMPUTED_VALUE"""),150.0)</f>
        <v>150</v>
      </c>
      <c r="J54" s="139">
        <v>129.82758620689665</v>
      </c>
      <c r="K54" s="136" t="s">
        <v>18</v>
      </c>
      <c r="L54" s="153">
        <f>IFERROR(__xludf.DUMMYFUNCTION("""COMPUTED_VALUE"""),46059.0)</f>
        <v>46059</v>
      </c>
      <c r="M54" s="136" t="str">
        <f t="shared" si="1"/>
        <v>Friday</v>
      </c>
      <c r="N54" s="136" t="str">
        <f>IFERROR(__xludf.DUMMYFUNCTION("""COMPUTED_VALUE"""),"MF")</f>
        <v>MF</v>
      </c>
      <c r="O54" s="141">
        <v>2.7155212533993014</v>
      </c>
      <c r="P54" s="136" t="str">
        <f>IFERROR(__xludf.DUMMYFUNCTION("""COMPUTED_VALUE"""),"")</f>
        <v/>
      </c>
      <c r="Q54" s="136" t="str">
        <f>IFERROR(__xludf.DUMMYFUNCTION("""COMPUTED_VALUE"""),"")</f>
        <v/>
      </c>
      <c r="R54" s="106" t="str">
        <f>IFERROR(__xludf.DUMMYFUNCTION("""COMPUTED_VALUE"""),"")</f>
        <v/>
      </c>
      <c r="S54" s="106" t="str">
        <f>IFERROR(__xludf.DUMMYFUNCTION("""COMPUTED_VALUE"""),"")</f>
        <v/>
      </c>
      <c r="T54" s="139" t="str">
        <f>IFERROR(__xludf.DUMMYFUNCTION("""COMPUTED_VALUE"""),"")</f>
        <v/>
      </c>
      <c r="U54" s="139" t="str">
        <f>IFERROR(__xludf.DUMMYFUNCTION("""COMPUTED_VALUE"""),"")</f>
        <v/>
      </c>
      <c r="V54" s="136" t="str">
        <f>IFERROR(__xludf.DUMMYFUNCTION("""COMPUTED_VALUE"""),"")</f>
        <v/>
      </c>
      <c r="W54" s="106" t="str">
        <f>IFERROR(__xludf.DUMMYFUNCTION("""COMPUTED_VALUE"""),"")</f>
        <v/>
      </c>
      <c r="X54" s="143" t="str">
        <f t="shared" si="2"/>
        <v/>
      </c>
      <c r="Y54" s="139" t="str">
        <f>IFERROR(__xludf.DUMMYFUNCTION("""COMPUTED_VALUE"""),"")</f>
        <v/>
      </c>
      <c r="Z54" s="141" t="str">
        <f>IFERROR(__xludf.DUMMYFUNCTION("""COMPUTED_VALUE"""),"")</f>
        <v/>
      </c>
    </row>
    <row r="55">
      <c r="A55" s="136" t="str">
        <f>IFERROR(__xludf.DUMMYFUNCTION("""COMPUTED_VALUE"""),"LOG-12C3D0FB")</f>
        <v>LOG-12C3D0FB</v>
      </c>
      <c r="B55" s="151">
        <f>IFERROR(__xludf.DUMMYFUNCTION("""COMPUTED_VALUE"""),46059.82777777778)</f>
        <v>46059.82778</v>
      </c>
      <c r="C55" s="136" t="str">
        <f>IFERROR(__xludf.DUMMYFUNCTION("""COMPUTED_VALUE"""),"Orpheus Wilson")</f>
        <v>Orpheus Wilson</v>
      </c>
      <c r="D55" s="136" t="b">
        <f t="shared" si="3"/>
        <v>1</v>
      </c>
      <c r="E55" s="152">
        <f>IFERROR(__xludf.DUMMYFUNCTION("""COMPUTED_VALUE"""),0.79375)</f>
        <v>0.79375</v>
      </c>
      <c r="F55" s="106">
        <v>0.03402777777777777</v>
      </c>
      <c r="G55" s="152">
        <f>IFERROR(__xludf.DUMMYFUNCTION("""COMPUTED_VALUE"""),0.8277777777777777)</f>
        <v>0.8277777778</v>
      </c>
      <c r="H55" s="106" t="s">
        <v>133</v>
      </c>
      <c r="I55" s="136">
        <f>IFERROR(__xludf.DUMMYFUNCTION("""COMPUTED_VALUE"""),101.0)</f>
        <v>101</v>
      </c>
      <c r="J55" s="139" t="s">
        <v>133</v>
      </c>
      <c r="K55" s="136" t="s">
        <v>18</v>
      </c>
      <c r="L55" s="153">
        <f>IFERROR(__xludf.DUMMYFUNCTION("""COMPUTED_VALUE"""),46059.0)</f>
        <v>46059</v>
      </c>
      <c r="M55" s="136" t="str">
        <f t="shared" si="1"/>
        <v>Friday</v>
      </c>
      <c r="N55" s="136" t="str">
        <f>IFERROR(__xludf.DUMMYFUNCTION("""COMPUTED_VALUE"""),"MF")</f>
        <v>MF</v>
      </c>
      <c r="O55" s="141" t="s">
        <v>133</v>
      </c>
      <c r="P55" s="136">
        <f>IFERROR(__xludf.DUMMYFUNCTION("""COMPUTED_VALUE"""),566.0)</f>
        <v>566</v>
      </c>
      <c r="Q55" s="136">
        <f>IFERROR(__xludf.DUMMYFUNCTION("""COMPUTED_VALUE"""),50.0)</f>
        <v>50</v>
      </c>
      <c r="R55" s="106">
        <f>IFERROR(__xludf.DUMMYFUNCTION("""COMPUTED_VALUE"""),0.30763888888888885)</f>
        <v>0.3076388889</v>
      </c>
      <c r="S55" s="106">
        <f>IFERROR(__xludf.DUMMYFUNCTION("""COMPUTED_VALUE"""),0.0625)</f>
        <v>0.0625</v>
      </c>
      <c r="T55" s="139">
        <f>IFERROR(__xludf.DUMMYFUNCTION("""COMPUTED_VALUE"""),82.39663501582545)</f>
        <v>82.39663502</v>
      </c>
      <c r="U55" s="139">
        <f>IFERROR(__xludf.DUMMYFUNCTION("""COMPUTED_VALUE"""),33.333333333333336)</f>
        <v>33.33333333</v>
      </c>
      <c r="V55" s="136">
        <f>IFERROR(__xludf.DUMMYFUNCTION("""COMPUTED_VALUE"""),616.0)</f>
        <v>616</v>
      </c>
      <c r="W55" s="106">
        <f>IFERROR(__xludf.DUMMYFUNCTION("""COMPUTED_VALUE"""),0.37013888888888885)</f>
        <v>0.3701388889</v>
      </c>
      <c r="X55" s="143">
        <f t="shared" si="2"/>
        <v>69.34333959</v>
      </c>
      <c r="Y55" s="139">
        <f>IFERROR(__xludf.DUMMYFUNCTION("""COMPUTED_VALUE"""),70.13080959520242)</f>
        <v>70.1308096</v>
      </c>
      <c r="Z55" s="141">
        <f>IFERROR(__xludf.DUMMYFUNCTION("""COMPUTED_VALUE"""),1.033432065286259)</f>
        <v>1.033432065</v>
      </c>
    </row>
    <row r="56">
      <c r="A56" s="136" t="str">
        <f>IFERROR(__xludf.DUMMYFUNCTION("""COMPUTED_VALUE"""),"LOG-24B2DCDC")</f>
        <v>LOG-24B2DCDC</v>
      </c>
      <c r="B56" s="151">
        <f>IFERROR(__xludf.DUMMYFUNCTION("""COMPUTED_VALUE"""),46062.43472222222)</f>
        <v>46062.43472</v>
      </c>
      <c r="C56" s="136" t="str">
        <f>IFERROR(__xludf.DUMMYFUNCTION("""COMPUTED_VALUE"""),"Sophia Kluck")</f>
        <v>Sophia Kluck</v>
      </c>
      <c r="D56" s="136" t="b">
        <f t="shared" si="3"/>
        <v>0</v>
      </c>
      <c r="E56" s="152">
        <f>IFERROR(__xludf.DUMMYFUNCTION("""COMPUTED_VALUE"""),0.36944444444444446)</f>
        <v>0.3694444444</v>
      </c>
      <c r="F56" s="106">
        <v>0.06527777777777777</v>
      </c>
      <c r="G56" s="152">
        <f>IFERROR(__xludf.DUMMYFUNCTION("""COMPUTED_VALUE"""),0.43472222222222223)</f>
        <v>0.4347222222</v>
      </c>
      <c r="H56" s="106">
        <v>0.06527777777777777</v>
      </c>
      <c r="I56" s="136">
        <f>IFERROR(__xludf.DUMMYFUNCTION("""COMPUTED_VALUE"""),51.0)</f>
        <v>51</v>
      </c>
      <c r="J56" s="139">
        <v>32.55319148936171</v>
      </c>
      <c r="K56" s="136" t="s">
        <v>12</v>
      </c>
      <c r="L56" s="153">
        <f>IFERROR(__xludf.DUMMYFUNCTION("""COMPUTED_VALUE"""),46062.0)</f>
        <v>46062</v>
      </c>
      <c r="M56" s="136" t="str">
        <f t="shared" si="1"/>
        <v>Monday</v>
      </c>
      <c r="N56" s="136" t="str">
        <f>IFERROR(__xludf.DUMMYFUNCTION("""COMPUTED_VALUE"""),"BF")</f>
        <v>BF</v>
      </c>
      <c r="O56" s="141">
        <v>1.1482344226902514</v>
      </c>
      <c r="P56" s="136" t="str">
        <f>IFERROR(__xludf.DUMMYFUNCTION("""COMPUTED_VALUE"""),"")</f>
        <v/>
      </c>
      <c r="Q56" s="136" t="str">
        <f>IFERROR(__xludf.DUMMYFUNCTION("""COMPUTED_VALUE"""),"")</f>
        <v/>
      </c>
      <c r="R56" s="106" t="str">
        <f>IFERROR(__xludf.DUMMYFUNCTION("""COMPUTED_VALUE"""),"")</f>
        <v/>
      </c>
      <c r="S56" s="106" t="str">
        <f>IFERROR(__xludf.DUMMYFUNCTION("""COMPUTED_VALUE"""),"")</f>
        <v/>
      </c>
      <c r="T56" s="139" t="str">
        <f>IFERROR(__xludf.DUMMYFUNCTION("""COMPUTED_VALUE"""),"")</f>
        <v/>
      </c>
      <c r="U56" s="139" t="str">
        <f>IFERROR(__xludf.DUMMYFUNCTION("""COMPUTED_VALUE"""),"")</f>
        <v/>
      </c>
      <c r="V56" s="136" t="str">
        <f>IFERROR(__xludf.DUMMYFUNCTION("""COMPUTED_VALUE"""),"")</f>
        <v/>
      </c>
      <c r="W56" s="106" t="str">
        <f>IFERROR(__xludf.DUMMYFUNCTION("""COMPUTED_VALUE"""),"")</f>
        <v/>
      </c>
      <c r="X56" s="143" t="str">
        <f t="shared" si="2"/>
        <v/>
      </c>
      <c r="Y56" s="139" t="str">
        <f>IFERROR(__xludf.DUMMYFUNCTION("""COMPUTED_VALUE"""),"")</f>
        <v/>
      </c>
      <c r="Z56" s="141" t="str">
        <f>IFERROR(__xludf.DUMMYFUNCTION("""COMPUTED_VALUE"""),"")</f>
        <v/>
      </c>
    </row>
    <row r="57">
      <c r="A57" s="136" t="str">
        <f>IFERROR(__xludf.DUMMYFUNCTION("""COMPUTED_VALUE"""),"LOG-4612BB2B")</f>
        <v>LOG-4612BB2B</v>
      </c>
      <c r="B57" s="151">
        <f>IFERROR(__xludf.DUMMYFUNCTION("""COMPUTED_VALUE"""),46062.645833333336)</f>
        <v>46062.64583</v>
      </c>
      <c r="C57" s="136" t="str">
        <f>IFERROR(__xludf.DUMMYFUNCTION("""COMPUTED_VALUE"""),"Brynn Hornig")</f>
        <v>Brynn Hornig</v>
      </c>
      <c r="D57" s="136" t="b">
        <f t="shared" si="3"/>
        <v>0</v>
      </c>
      <c r="E57" s="152">
        <f>IFERROR(__xludf.DUMMYFUNCTION("""COMPUTED_VALUE"""),0.5208333333333334)</f>
        <v>0.5208333333</v>
      </c>
      <c r="F57" s="106">
        <v>0.125</v>
      </c>
      <c r="G57" s="152">
        <f>IFERROR(__xludf.DUMMYFUNCTION("""COMPUTED_VALUE"""),0.6458333333333334)</f>
        <v>0.6458333333</v>
      </c>
      <c r="H57" s="106">
        <v>0.125</v>
      </c>
      <c r="I57" s="136">
        <f>IFERROR(__xludf.DUMMYFUNCTION("""COMPUTED_VALUE"""),53.0)</f>
        <v>53</v>
      </c>
      <c r="J57" s="139">
        <v>17.666666666666668</v>
      </c>
      <c r="K57" s="136" t="s">
        <v>15</v>
      </c>
      <c r="L57" s="153">
        <f>IFERROR(__xludf.DUMMYFUNCTION("""COMPUTED_VALUE"""),46062.0)</f>
        <v>46062</v>
      </c>
      <c r="M57" s="136" t="str">
        <f t="shared" si="1"/>
        <v>Monday</v>
      </c>
      <c r="N57" s="136" t="str">
        <f>IFERROR(__xludf.DUMMYFUNCTION("""COMPUTED_VALUE"""),"BF")</f>
        <v>BF</v>
      </c>
      <c r="O57" s="141">
        <v>0.623148572314034</v>
      </c>
      <c r="P57" s="136" t="str">
        <f>IFERROR(__xludf.DUMMYFUNCTION("""COMPUTED_VALUE"""),"")</f>
        <v/>
      </c>
      <c r="Q57" s="136" t="str">
        <f>IFERROR(__xludf.DUMMYFUNCTION("""COMPUTED_VALUE"""),"")</f>
        <v/>
      </c>
      <c r="R57" s="106" t="str">
        <f>IFERROR(__xludf.DUMMYFUNCTION("""COMPUTED_VALUE"""),"")</f>
        <v/>
      </c>
      <c r="S57" s="106" t="str">
        <f>IFERROR(__xludf.DUMMYFUNCTION("""COMPUTED_VALUE"""),"")</f>
        <v/>
      </c>
      <c r="T57" s="139" t="str">
        <f>IFERROR(__xludf.DUMMYFUNCTION("""COMPUTED_VALUE"""),"")</f>
        <v/>
      </c>
      <c r="U57" s="139" t="str">
        <f>IFERROR(__xludf.DUMMYFUNCTION("""COMPUTED_VALUE"""),"")</f>
        <v/>
      </c>
      <c r="V57" s="136" t="str">
        <f>IFERROR(__xludf.DUMMYFUNCTION("""COMPUTED_VALUE"""),"")</f>
        <v/>
      </c>
      <c r="W57" s="106" t="str">
        <f>IFERROR(__xludf.DUMMYFUNCTION("""COMPUTED_VALUE"""),"")</f>
        <v/>
      </c>
      <c r="X57" s="143" t="str">
        <f t="shared" si="2"/>
        <v/>
      </c>
      <c r="Y57" s="139" t="str">
        <f>IFERROR(__xludf.DUMMYFUNCTION("""COMPUTED_VALUE"""),"")</f>
        <v/>
      </c>
      <c r="Z57" s="141" t="str">
        <f>IFERROR(__xludf.DUMMYFUNCTION("""COMPUTED_VALUE"""),"")</f>
        <v/>
      </c>
    </row>
    <row r="58">
      <c r="A58" s="136" t="str">
        <f>IFERROR(__xludf.DUMMYFUNCTION("""COMPUTED_VALUE"""),"LOG-6A8B05C8")</f>
        <v>LOG-6A8B05C8</v>
      </c>
      <c r="B58" s="151">
        <f>IFERROR(__xludf.DUMMYFUNCTION("""COMPUTED_VALUE"""),46062.74652777778)</f>
        <v>46062.74653</v>
      </c>
      <c r="C58" s="136" t="str">
        <f>IFERROR(__xludf.DUMMYFUNCTION("""COMPUTED_VALUE"""),"Orpheus Wilson")</f>
        <v>Orpheus Wilson</v>
      </c>
      <c r="D58" s="136" t="b">
        <f t="shared" si="3"/>
        <v>0</v>
      </c>
      <c r="E58" s="152">
        <f>IFERROR(__xludf.DUMMYFUNCTION("""COMPUTED_VALUE"""),0.6652777777777777)</f>
        <v>0.6652777778</v>
      </c>
      <c r="F58" s="106">
        <v>0.08125000000000004</v>
      </c>
      <c r="G58" s="152">
        <f>IFERROR(__xludf.DUMMYFUNCTION("""COMPUTED_VALUE"""),0.7465277777777778)</f>
        <v>0.7465277778</v>
      </c>
      <c r="H58" s="106">
        <v>0.08125000000000004</v>
      </c>
      <c r="I58" s="136">
        <f>IFERROR(__xludf.DUMMYFUNCTION("""COMPUTED_VALUE"""),117.0)</f>
        <v>117</v>
      </c>
      <c r="J58" s="139">
        <v>59.999999999999964</v>
      </c>
      <c r="K58" s="136" t="s">
        <v>18</v>
      </c>
      <c r="L58" s="153">
        <f>IFERROR(__xludf.DUMMYFUNCTION("""COMPUTED_VALUE"""),46062.0)</f>
        <v>46062</v>
      </c>
      <c r="M58" s="136" t="str">
        <f t="shared" si="1"/>
        <v>Monday</v>
      </c>
      <c r="N58" s="136" t="str">
        <f>IFERROR(__xludf.DUMMYFUNCTION("""COMPUTED_VALUE"""),"MF")</f>
        <v>MF</v>
      </c>
      <c r="O58" s="141">
        <v>1.2549819338419064</v>
      </c>
      <c r="P58" s="136" t="str">
        <f>IFERROR(__xludf.DUMMYFUNCTION("""COMPUTED_VALUE"""),"")</f>
        <v/>
      </c>
      <c r="Q58" s="136" t="str">
        <f>IFERROR(__xludf.DUMMYFUNCTION("""COMPUTED_VALUE"""),"")</f>
        <v/>
      </c>
      <c r="R58" s="106" t="str">
        <f>IFERROR(__xludf.DUMMYFUNCTION("""COMPUTED_VALUE"""),"")</f>
        <v/>
      </c>
      <c r="S58" s="106" t="str">
        <f>IFERROR(__xludf.DUMMYFUNCTION("""COMPUTED_VALUE"""),"")</f>
        <v/>
      </c>
      <c r="T58" s="139" t="str">
        <f>IFERROR(__xludf.DUMMYFUNCTION("""COMPUTED_VALUE"""),"")</f>
        <v/>
      </c>
      <c r="U58" s="139" t="str">
        <f>IFERROR(__xludf.DUMMYFUNCTION("""COMPUTED_VALUE"""),"")</f>
        <v/>
      </c>
      <c r="V58" s="136" t="str">
        <f>IFERROR(__xludf.DUMMYFUNCTION("""COMPUTED_VALUE"""),"")</f>
        <v/>
      </c>
      <c r="W58" s="106" t="str">
        <f>IFERROR(__xludf.DUMMYFUNCTION("""COMPUTED_VALUE"""),"")</f>
        <v/>
      </c>
      <c r="X58" s="143" t="str">
        <f t="shared" si="2"/>
        <v/>
      </c>
      <c r="Y58" s="139" t="str">
        <f>IFERROR(__xludf.DUMMYFUNCTION("""COMPUTED_VALUE"""),"")</f>
        <v/>
      </c>
      <c r="Z58" s="141" t="str">
        <f>IFERROR(__xludf.DUMMYFUNCTION("""COMPUTED_VALUE"""),"")</f>
        <v/>
      </c>
    </row>
    <row r="59">
      <c r="A59" s="136" t="str">
        <f>IFERROR(__xludf.DUMMYFUNCTION("""COMPUTED_VALUE"""),"LOG-A85FE672")</f>
        <v>LOG-A85FE672</v>
      </c>
      <c r="B59" s="151">
        <f>IFERROR(__xludf.DUMMYFUNCTION("""COMPUTED_VALUE"""),46062.854166666664)</f>
        <v>46062.85417</v>
      </c>
      <c r="C59" s="136" t="str">
        <f>IFERROR(__xludf.DUMMYFUNCTION("""COMPUTED_VALUE"""),"Arjya Aich")</f>
        <v>Arjya Aich</v>
      </c>
      <c r="D59" s="136" t="b">
        <f t="shared" si="3"/>
        <v>0</v>
      </c>
      <c r="E59" s="152">
        <f>IFERROR(__xludf.DUMMYFUNCTION("""COMPUTED_VALUE"""),0.6875)</f>
        <v>0.6875</v>
      </c>
      <c r="F59" s="106">
        <v>0.16666666666666663</v>
      </c>
      <c r="G59" s="152">
        <f>IFERROR(__xludf.DUMMYFUNCTION("""COMPUTED_VALUE"""),0.8541666666666666)</f>
        <v>0.8541666667</v>
      </c>
      <c r="H59" s="106">
        <v>0.16666666666666663</v>
      </c>
      <c r="I59" s="136">
        <f>IFERROR(__xludf.DUMMYFUNCTION("""COMPUTED_VALUE"""),69.0)</f>
        <v>69</v>
      </c>
      <c r="J59" s="139">
        <v>17.250000000000004</v>
      </c>
      <c r="K59" s="136" t="s">
        <v>18</v>
      </c>
      <c r="L59" s="153">
        <f>IFERROR(__xludf.DUMMYFUNCTION("""COMPUTED_VALUE"""),46062.0)</f>
        <v>46062</v>
      </c>
      <c r="M59" s="136" t="str">
        <f t="shared" si="1"/>
        <v>Monday</v>
      </c>
      <c r="N59" s="136" t="str">
        <f>IFERROR(__xludf.DUMMYFUNCTION("""COMPUTED_VALUE"""),"BF")</f>
        <v>BF</v>
      </c>
      <c r="O59" s="141">
        <v>0.38823529411199753</v>
      </c>
      <c r="P59" s="136" t="str">
        <f>IFERROR(__xludf.DUMMYFUNCTION("""COMPUTED_VALUE"""),"")</f>
        <v/>
      </c>
      <c r="Q59" s="136" t="str">
        <f>IFERROR(__xludf.DUMMYFUNCTION("""COMPUTED_VALUE"""),"")</f>
        <v/>
      </c>
      <c r="R59" s="106" t="str">
        <f>IFERROR(__xludf.DUMMYFUNCTION("""COMPUTED_VALUE"""),"")</f>
        <v/>
      </c>
      <c r="S59" s="106" t="str">
        <f>IFERROR(__xludf.DUMMYFUNCTION("""COMPUTED_VALUE"""),"")</f>
        <v/>
      </c>
      <c r="T59" s="139" t="str">
        <f>IFERROR(__xludf.DUMMYFUNCTION("""COMPUTED_VALUE"""),"")</f>
        <v/>
      </c>
      <c r="U59" s="139" t="str">
        <f>IFERROR(__xludf.DUMMYFUNCTION("""COMPUTED_VALUE"""),"")</f>
        <v/>
      </c>
      <c r="V59" s="136" t="str">
        <f>IFERROR(__xludf.DUMMYFUNCTION("""COMPUTED_VALUE"""),"")</f>
        <v/>
      </c>
      <c r="W59" s="106" t="str">
        <f>IFERROR(__xludf.DUMMYFUNCTION("""COMPUTED_VALUE"""),"")</f>
        <v/>
      </c>
      <c r="X59" s="143" t="str">
        <f t="shared" si="2"/>
        <v/>
      </c>
      <c r="Y59" s="139" t="str">
        <f>IFERROR(__xludf.DUMMYFUNCTION("""COMPUTED_VALUE"""),"")</f>
        <v/>
      </c>
      <c r="Z59" s="141" t="str">
        <f>IFERROR(__xludf.DUMMYFUNCTION("""COMPUTED_VALUE"""),"")</f>
        <v/>
      </c>
    </row>
    <row r="60">
      <c r="A60" s="136" t="str">
        <f>IFERROR(__xludf.DUMMYFUNCTION("""COMPUTED_VALUE"""),"LOG-2F6B5519")</f>
        <v>LOG-2F6B5519</v>
      </c>
      <c r="B60" s="151">
        <f>IFERROR(__xludf.DUMMYFUNCTION("""COMPUTED_VALUE"""),46062.875)</f>
        <v>46062.875</v>
      </c>
      <c r="C60" s="136" t="str">
        <f>IFERROR(__xludf.DUMMYFUNCTION("""COMPUTED_VALUE"""),"Maureen Surgot")</f>
        <v>Maureen Surgot</v>
      </c>
      <c r="D60" s="136" t="b">
        <f t="shared" si="3"/>
        <v>0</v>
      </c>
      <c r="E60" s="152">
        <f>IFERROR(__xludf.DUMMYFUNCTION("""COMPUTED_VALUE"""),0.75)</f>
        <v>0.75</v>
      </c>
      <c r="F60" s="106">
        <v>0.125</v>
      </c>
      <c r="G60" s="152">
        <f>IFERROR(__xludf.DUMMYFUNCTION("""COMPUTED_VALUE"""),0.875)</f>
        <v>0.875</v>
      </c>
      <c r="H60" s="106">
        <v>0.125</v>
      </c>
      <c r="I60" s="136">
        <f>IFERROR(__xludf.DUMMYFUNCTION("""COMPUTED_VALUE"""),122.0)</f>
        <v>122</v>
      </c>
      <c r="J60" s="139">
        <v>40.666666666666664</v>
      </c>
      <c r="K60" s="136" t="s">
        <v>18</v>
      </c>
      <c r="L60" s="153">
        <f>IFERROR(__xludf.DUMMYFUNCTION("""COMPUTED_VALUE"""),46062.0)</f>
        <v>46062</v>
      </c>
      <c r="M60" s="136" t="str">
        <f t="shared" si="1"/>
        <v>Monday</v>
      </c>
      <c r="N60" s="136" t="str">
        <f>IFERROR(__xludf.DUMMYFUNCTION("""COMPUTED_VALUE"""),"MF")</f>
        <v>MF</v>
      </c>
      <c r="O60" s="141">
        <v>0.850598866270626</v>
      </c>
      <c r="P60" s="136" t="str">
        <f>IFERROR(__xludf.DUMMYFUNCTION("""COMPUTED_VALUE"""),"")</f>
        <v/>
      </c>
      <c r="Q60" s="136" t="str">
        <f>IFERROR(__xludf.DUMMYFUNCTION("""COMPUTED_VALUE"""),"")</f>
        <v/>
      </c>
      <c r="R60" s="106" t="str">
        <f>IFERROR(__xludf.DUMMYFUNCTION("""COMPUTED_VALUE"""),"")</f>
        <v/>
      </c>
      <c r="S60" s="106" t="str">
        <f>IFERROR(__xludf.DUMMYFUNCTION("""COMPUTED_VALUE"""),"")</f>
        <v/>
      </c>
      <c r="T60" s="139" t="str">
        <f>IFERROR(__xludf.DUMMYFUNCTION("""COMPUTED_VALUE"""),"")</f>
        <v/>
      </c>
      <c r="U60" s="139" t="str">
        <f>IFERROR(__xludf.DUMMYFUNCTION("""COMPUTED_VALUE"""),"")</f>
        <v/>
      </c>
      <c r="V60" s="136" t="str">
        <f>IFERROR(__xludf.DUMMYFUNCTION("""COMPUTED_VALUE"""),"")</f>
        <v/>
      </c>
      <c r="W60" s="106" t="str">
        <f>IFERROR(__xludf.DUMMYFUNCTION("""COMPUTED_VALUE"""),"")</f>
        <v/>
      </c>
      <c r="X60" s="143" t="str">
        <f t="shared" si="2"/>
        <v/>
      </c>
      <c r="Y60" s="139" t="str">
        <f>IFERROR(__xludf.DUMMYFUNCTION("""COMPUTED_VALUE"""),"")</f>
        <v/>
      </c>
      <c r="Z60" s="141" t="str">
        <f>IFERROR(__xludf.DUMMYFUNCTION("""COMPUTED_VALUE"""),"")</f>
        <v/>
      </c>
    </row>
    <row r="61">
      <c r="A61" s="136" t="str">
        <f>IFERROR(__xludf.DUMMYFUNCTION("""COMPUTED_VALUE"""),"LOG-87B50467")</f>
        <v>LOG-87B50467</v>
      </c>
      <c r="B61" s="151">
        <f>IFERROR(__xludf.DUMMYFUNCTION("""COMPUTED_VALUE"""),46062.48611111111)</f>
        <v>46062.48611</v>
      </c>
      <c r="C61" s="136" t="str">
        <f>IFERROR(__xludf.DUMMYFUNCTION("""COMPUTED_VALUE"""),"Denise Romanszysn")</f>
        <v>Denise Romanszysn</v>
      </c>
      <c r="D61" s="136" t="b">
        <f t="shared" si="3"/>
        <v>0</v>
      </c>
      <c r="E61" s="152">
        <f>IFERROR(__xludf.DUMMYFUNCTION("""COMPUTED_VALUE"""),0.44375)</f>
        <v>0.44375</v>
      </c>
      <c r="F61" s="106">
        <v>0.04236111111111113</v>
      </c>
      <c r="G61" s="152">
        <f>IFERROR(__xludf.DUMMYFUNCTION("""COMPUTED_VALUE"""),0.4861111111111111)</f>
        <v>0.4861111111</v>
      </c>
      <c r="H61" s="106">
        <v>0.04236111111111113</v>
      </c>
      <c r="I61" s="136">
        <f>IFERROR(__xludf.DUMMYFUNCTION("""COMPUTED_VALUE"""),130.0)</f>
        <v>130</v>
      </c>
      <c r="J61" s="139">
        <v>127.86885245901634</v>
      </c>
      <c r="K61" s="136" t="s">
        <v>134</v>
      </c>
      <c r="L61" s="153">
        <f>IFERROR(__xludf.DUMMYFUNCTION("""COMPUTED_VALUE"""),46062.0)</f>
        <v>46062</v>
      </c>
      <c r="M61" s="136" t="str">
        <f t="shared" si="1"/>
        <v>Monday</v>
      </c>
      <c r="N61" s="136" t="str">
        <f>IFERROR(__xludf.DUMMYFUNCTION("""COMPUTED_VALUE"""),"BF")</f>
        <v>BF</v>
      </c>
      <c r="O61" s="141">
        <v>3.759692671670141</v>
      </c>
      <c r="P61" s="136" t="str">
        <f>IFERROR(__xludf.DUMMYFUNCTION("""COMPUTED_VALUE"""),"")</f>
        <v/>
      </c>
      <c r="Q61" s="136" t="str">
        <f>IFERROR(__xludf.DUMMYFUNCTION("""COMPUTED_VALUE"""),"")</f>
        <v/>
      </c>
      <c r="R61" s="106" t="str">
        <f>IFERROR(__xludf.DUMMYFUNCTION("""COMPUTED_VALUE"""),"")</f>
        <v/>
      </c>
      <c r="S61" s="106" t="str">
        <f>IFERROR(__xludf.DUMMYFUNCTION("""COMPUTED_VALUE"""),"")</f>
        <v/>
      </c>
      <c r="T61" s="139" t="str">
        <f>IFERROR(__xludf.DUMMYFUNCTION("""COMPUTED_VALUE"""),"")</f>
        <v/>
      </c>
      <c r="U61" s="139" t="str">
        <f>IFERROR(__xludf.DUMMYFUNCTION("""COMPUTED_VALUE"""),"")</f>
        <v/>
      </c>
      <c r="V61" s="136" t="str">
        <f>IFERROR(__xludf.DUMMYFUNCTION("""COMPUTED_VALUE"""),"")</f>
        <v/>
      </c>
      <c r="W61" s="106" t="str">
        <f>IFERROR(__xludf.DUMMYFUNCTION("""COMPUTED_VALUE"""),"")</f>
        <v/>
      </c>
      <c r="X61" s="143" t="str">
        <f t="shared" si="2"/>
        <v/>
      </c>
      <c r="Y61" s="139" t="str">
        <f>IFERROR(__xludf.DUMMYFUNCTION("""COMPUTED_VALUE"""),"")</f>
        <v/>
      </c>
      <c r="Z61" s="141" t="str">
        <f>IFERROR(__xludf.DUMMYFUNCTION("""COMPUTED_VALUE"""),"")</f>
        <v/>
      </c>
    </row>
    <row r="62">
      <c r="A62" s="136" t="str">
        <f>IFERROR(__xludf.DUMMYFUNCTION("""COMPUTED_VALUE"""),"LOG-CB682BED")</f>
        <v>LOG-CB682BED</v>
      </c>
      <c r="B62" s="151">
        <f>IFERROR(__xludf.DUMMYFUNCTION("""COMPUTED_VALUE"""),46062.62222222222)</f>
        <v>46062.62222</v>
      </c>
      <c r="C62" s="136" t="str">
        <f>IFERROR(__xludf.DUMMYFUNCTION("""COMPUTED_VALUE"""),"Denise Romanszysn")</f>
        <v>Denise Romanszysn</v>
      </c>
      <c r="D62" s="136" t="b">
        <f t="shared" si="3"/>
        <v>0</v>
      </c>
      <c r="E62" s="152">
        <f>IFERROR(__xludf.DUMMYFUNCTION("""COMPUTED_VALUE"""),0.5479166666666667)</f>
        <v>0.5479166667</v>
      </c>
      <c r="F62" s="106">
        <v>0.07430555555555551</v>
      </c>
      <c r="G62" s="152">
        <f>IFERROR(__xludf.DUMMYFUNCTION("""COMPUTED_VALUE"""),0.6222222222222222)</f>
        <v>0.6222222222</v>
      </c>
      <c r="H62" s="106">
        <v>0.07430555555555551</v>
      </c>
      <c r="I62" s="136">
        <f>IFERROR(__xludf.DUMMYFUNCTION("""COMPUTED_VALUE"""),86.0)</f>
        <v>86</v>
      </c>
      <c r="J62" s="139">
        <v>48.22429906542059</v>
      </c>
      <c r="K62" s="136" t="s">
        <v>15</v>
      </c>
      <c r="L62" s="153">
        <f>IFERROR(__xludf.DUMMYFUNCTION("""COMPUTED_VALUE"""),46062.0)</f>
        <v>46062</v>
      </c>
      <c r="M62" s="136" t="str">
        <f t="shared" si="1"/>
        <v>Monday</v>
      </c>
      <c r="N62" s="136" t="str">
        <f>IFERROR(__xludf.DUMMYFUNCTION("""COMPUTED_VALUE"""),"MF")</f>
        <v>MF</v>
      </c>
      <c r="O62" s="141">
        <v>0.9591627364634977</v>
      </c>
      <c r="P62" s="136">
        <f>IFERROR(__xludf.DUMMYFUNCTION("""COMPUTED_VALUE"""),325.0)</f>
        <v>325</v>
      </c>
      <c r="Q62" s="136">
        <f>IFERROR(__xludf.DUMMYFUNCTION("""COMPUTED_VALUE"""),303.0)</f>
        <v>303</v>
      </c>
      <c r="R62" s="106">
        <f>IFERROR(__xludf.DUMMYFUNCTION("""COMPUTED_VALUE"""),0.28055555555555556)</f>
        <v>0.2805555556</v>
      </c>
      <c r="S62" s="106">
        <f>IFERROR(__xludf.DUMMYFUNCTION("""COMPUTED_VALUE"""),0.3993055555555555)</f>
        <v>0.3993055556</v>
      </c>
      <c r="T62" s="139">
        <f>IFERROR(__xludf.DUMMYFUNCTION("""COMPUTED_VALUE"""),49.630321910695734)</f>
        <v>49.63032191</v>
      </c>
      <c r="U62" s="139">
        <f>IFERROR(__xludf.DUMMYFUNCTION("""COMPUTED_VALUE"""),48.834677653761176)</f>
        <v>48.83467765</v>
      </c>
      <c r="V62" s="136">
        <f>IFERROR(__xludf.DUMMYFUNCTION("""COMPUTED_VALUE"""),628.0)</f>
        <v>628</v>
      </c>
      <c r="W62" s="106">
        <f>IFERROR(__xludf.DUMMYFUNCTION("""COMPUTED_VALUE"""),0.6798611111111111)</f>
        <v>0.6798611111</v>
      </c>
      <c r="X62" s="143">
        <f t="shared" si="2"/>
        <v>38.48825332</v>
      </c>
      <c r="Y62" s="139">
        <f>IFERROR(__xludf.DUMMYFUNCTION("""COMPUTED_VALUE"""),49.17566804959028)</f>
        <v>49.17566805</v>
      </c>
      <c r="Z62" s="141">
        <f>IFERROR(__xludf.DUMMYFUNCTION("""COMPUTED_VALUE"""),0.9406211985025357)</f>
        <v>0.9406211985</v>
      </c>
    </row>
    <row r="63">
      <c r="A63" s="136" t="str">
        <f>IFERROR(__xludf.DUMMYFUNCTION("""COMPUTED_VALUE"""),"LOG-ACC19421")</f>
        <v>LOG-ACC19421</v>
      </c>
      <c r="B63" s="151">
        <f>IFERROR(__xludf.DUMMYFUNCTION("""COMPUTED_VALUE"""),46063.51944444444)</f>
        <v>46063.51944</v>
      </c>
      <c r="C63" s="136" t="str">
        <f>IFERROR(__xludf.DUMMYFUNCTION("""COMPUTED_VALUE"""),"Kaylie Forgue")</f>
        <v>Kaylie Forgue</v>
      </c>
      <c r="D63" s="136" t="b">
        <f t="shared" si="3"/>
        <v>0</v>
      </c>
      <c r="E63" s="152">
        <f>IFERROR(__xludf.DUMMYFUNCTION("""COMPUTED_VALUE"""),0.44583333333333336)</f>
        <v>0.4458333333</v>
      </c>
      <c r="F63" s="106">
        <v>0.07361111111111113</v>
      </c>
      <c r="G63" s="152">
        <f>IFERROR(__xludf.DUMMYFUNCTION("""COMPUTED_VALUE"""),0.5194444444444445)</f>
        <v>0.5194444444</v>
      </c>
      <c r="H63" s="106">
        <v>0.07361111111111113</v>
      </c>
      <c r="I63" s="136">
        <f>IFERROR(__xludf.DUMMYFUNCTION("""COMPUTED_VALUE"""),101.0)</f>
        <v>101</v>
      </c>
      <c r="J63" s="139">
        <v>57.169811320754704</v>
      </c>
      <c r="K63" s="136" t="s">
        <v>134</v>
      </c>
      <c r="L63" s="153">
        <f>IFERROR(__xludf.DUMMYFUNCTION("""COMPUTED_VALUE"""),46063.0)</f>
        <v>46063</v>
      </c>
      <c r="M63" s="136" t="str">
        <f t="shared" si="1"/>
        <v>Tuesday</v>
      </c>
      <c r="N63" s="136" t="str">
        <f>IFERROR(__xludf.DUMMYFUNCTION("""COMPUTED_VALUE"""),"BF")</f>
        <v>BF</v>
      </c>
      <c r="O63" s="141">
        <v>1.8357540940862258</v>
      </c>
      <c r="P63" s="136" t="str">
        <f>IFERROR(__xludf.DUMMYFUNCTION("""COMPUTED_VALUE"""),"")</f>
        <v/>
      </c>
      <c r="Q63" s="136" t="str">
        <f>IFERROR(__xludf.DUMMYFUNCTION("""COMPUTED_VALUE"""),"")</f>
        <v/>
      </c>
      <c r="R63" s="106" t="str">
        <f>IFERROR(__xludf.DUMMYFUNCTION("""COMPUTED_VALUE"""),"")</f>
        <v/>
      </c>
      <c r="S63" s="106" t="str">
        <f>IFERROR(__xludf.DUMMYFUNCTION("""COMPUTED_VALUE"""),"")</f>
        <v/>
      </c>
      <c r="T63" s="139" t="str">
        <f>IFERROR(__xludf.DUMMYFUNCTION("""COMPUTED_VALUE"""),"")</f>
        <v/>
      </c>
      <c r="U63" s="139" t="str">
        <f>IFERROR(__xludf.DUMMYFUNCTION("""COMPUTED_VALUE"""),"")</f>
        <v/>
      </c>
      <c r="V63" s="136" t="str">
        <f>IFERROR(__xludf.DUMMYFUNCTION("""COMPUTED_VALUE"""),"")</f>
        <v/>
      </c>
      <c r="W63" s="106" t="str">
        <f>IFERROR(__xludf.DUMMYFUNCTION("""COMPUTED_VALUE"""),"")</f>
        <v/>
      </c>
      <c r="X63" s="143" t="str">
        <f t="shared" si="2"/>
        <v/>
      </c>
      <c r="Y63" s="139" t="str">
        <f>IFERROR(__xludf.DUMMYFUNCTION("""COMPUTED_VALUE"""),"")</f>
        <v/>
      </c>
      <c r="Z63" s="141" t="str">
        <f>IFERROR(__xludf.DUMMYFUNCTION("""COMPUTED_VALUE"""),"")</f>
        <v/>
      </c>
    </row>
    <row r="64">
      <c r="A64" s="136" t="str">
        <f>IFERROR(__xludf.DUMMYFUNCTION("""COMPUTED_VALUE"""),"LOG-D2562A69")</f>
        <v>LOG-D2562A69</v>
      </c>
      <c r="B64" s="151">
        <f>IFERROR(__xludf.DUMMYFUNCTION("""COMPUTED_VALUE"""),46063.569444444445)</f>
        <v>46063.56944</v>
      </c>
      <c r="C64" s="136" t="str">
        <f>IFERROR(__xludf.DUMMYFUNCTION("""COMPUTED_VALUE"""),"Kyra Turner")</f>
        <v>Kyra Turner</v>
      </c>
      <c r="D64" s="136" t="b">
        <f t="shared" si="3"/>
        <v>0</v>
      </c>
      <c r="E64" s="152">
        <f>IFERROR(__xludf.DUMMYFUNCTION("""COMPUTED_VALUE"""),0.48541666666666666)</f>
        <v>0.4854166667</v>
      </c>
      <c r="F64" s="106">
        <v>0.08402777777777776</v>
      </c>
      <c r="G64" s="152">
        <f>IFERROR(__xludf.DUMMYFUNCTION("""COMPUTED_VALUE"""),0.5694444444444444)</f>
        <v>0.5694444444</v>
      </c>
      <c r="H64" s="106">
        <v>0.12708333333333338</v>
      </c>
      <c r="I64" s="136">
        <f>IFERROR(__xludf.DUMMYFUNCTION("""COMPUTED_VALUE"""),126.0)</f>
        <v>126</v>
      </c>
      <c r="J64" s="139">
        <v>59.67213114754096</v>
      </c>
      <c r="K64" s="136" t="s">
        <v>15</v>
      </c>
      <c r="L64" s="153">
        <f>IFERROR(__xludf.DUMMYFUNCTION("""COMPUTED_VALUE"""),46063.0)</f>
        <v>46063</v>
      </c>
      <c r="M64" s="136" t="str">
        <f t="shared" si="1"/>
        <v>Tuesday</v>
      </c>
      <c r="N64" s="136" t="str">
        <f>IFERROR(__xludf.DUMMYFUNCTION("""COMPUTED_VALUE"""),"MF")</f>
        <v>MF</v>
      </c>
      <c r="O64" s="141">
        <v>1.1868557078339137</v>
      </c>
      <c r="P64" s="136" t="str">
        <f>IFERROR(__xludf.DUMMYFUNCTION("""COMPUTED_VALUE"""),"")</f>
        <v/>
      </c>
      <c r="Q64" s="136" t="str">
        <f>IFERROR(__xludf.DUMMYFUNCTION("""COMPUTED_VALUE"""),"")</f>
        <v/>
      </c>
      <c r="R64" s="106" t="str">
        <f>IFERROR(__xludf.DUMMYFUNCTION("""COMPUTED_VALUE"""),"")</f>
        <v/>
      </c>
      <c r="S64" s="106" t="str">
        <f>IFERROR(__xludf.DUMMYFUNCTION("""COMPUTED_VALUE"""),"")</f>
        <v/>
      </c>
      <c r="T64" s="139" t="str">
        <f>IFERROR(__xludf.DUMMYFUNCTION("""COMPUTED_VALUE"""),"")</f>
        <v/>
      </c>
      <c r="U64" s="139" t="str">
        <f>IFERROR(__xludf.DUMMYFUNCTION("""COMPUTED_VALUE"""),"")</f>
        <v/>
      </c>
      <c r="V64" s="136" t="str">
        <f>IFERROR(__xludf.DUMMYFUNCTION("""COMPUTED_VALUE"""),"")</f>
        <v/>
      </c>
      <c r="W64" s="106" t="str">
        <f>IFERROR(__xludf.DUMMYFUNCTION("""COMPUTED_VALUE"""),"")</f>
        <v/>
      </c>
      <c r="X64" s="143" t="str">
        <f t="shared" si="2"/>
        <v/>
      </c>
      <c r="Y64" s="139" t="str">
        <f>IFERROR(__xludf.DUMMYFUNCTION("""COMPUTED_VALUE"""),"")</f>
        <v/>
      </c>
      <c r="Z64" s="141" t="str">
        <f>IFERROR(__xludf.DUMMYFUNCTION("""COMPUTED_VALUE"""),"")</f>
        <v/>
      </c>
    </row>
    <row r="65">
      <c r="A65" s="136" t="str">
        <f>IFERROR(__xludf.DUMMYFUNCTION("""COMPUTED_VALUE"""),"LOG-1C31FECD")</f>
        <v>LOG-1C31FECD</v>
      </c>
      <c r="B65" s="151">
        <f>IFERROR(__xludf.DUMMYFUNCTION("""COMPUTED_VALUE"""),46063.61944444444)</f>
        <v>46063.61944</v>
      </c>
      <c r="C65" s="136" t="str">
        <f>IFERROR(__xludf.DUMMYFUNCTION("""COMPUTED_VALUE"""),"Kyra Turner")</f>
        <v>Kyra Turner</v>
      </c>
      <c r="D65" s="136" t="b">
        <f t="shared" si="3"/>
        <v>1</v>
      </c>
      <c r="E65" s="152">
        <f>IFERROR(__xludf.DUMMYFUNCTION("""COMPUTED_VALUE"""),0.5763888888888888)</f>
        <v>0.5763888889</v>
      </c>
      <c r="F65" s="106">
        <v>0.043055555555555625</v>
      </c>
      <c r="G65" s="152">
        <f>IFERROR(__xludf.DUMMYFUNCTION("""COMPUTED_VALUE"""),0.6194444444444445)</f>
        <v>0.6194444444</v>
      </c>
      <c r="H65" s="106" t="s">
        <v>133</v>
      </c>
      <c r="I65" s="136">
        <f>IFERROR(__xludf.DUMMYFUNCTION("""COMPUTED_VALUE"""),56.0)</f>
        <v>56</v>
      </c>
      <c r="J65" s="139" t="s">
        <v>133</v>
      </c>
      <c r="K65" s="136" t="s">
        <v>15</v>
      </c>
      <c r="L65" s="153">
        <f>IFERROR(__xludf.DUMMYFUNCTION("""COMPUTED_VALUE"""),46063.0)</f>
        <v>46063</v>
      </c>
      <c r="M65" s="136" t="str">
        <f t="shared" si="1"/>
        <v>Tuesday</v>
      </c>
      <c r="N65" s="136" t="str">
        <f>IFERROR(__xludf.DUMMYFUNCTION("""COMPUTED_VALUE"""),"MF")</f>
        <v>MF</v>
      </c>
      <c r="O65" s="141" t="s">
        <v>133</v>
      </c>
      <c r="P65" s="136" t="str">
        <f>IFERROR(__xludf.DUMMYFUNCTION("""COMPUTED_VALUE"""),"")</f>
        <v/>
      </c>
      <c r="Q65" s="136" t="str">
        <f>IFERROR(__xludf.DUMMYFUNCTION("""COMPUTED_VALUE"""),"")</f>
        <v/>
      </c>
      <c r="R65" s="106" t="str">
        <f>IFERROR(__xludf.DUMMYFUNCTION("""COMPUTED_VALUE"""),"")</f>
        <v/>
      </c>
      <c r="S65" s="106" t="str">
        <f>IFERROR(__xludf.DUMMYFUNCTION("""COMPUTED_VALUE"""),"")</f>
        <v/>
      </c>
      <c r="T65" s="139" t="str">
        <f>IFERROR(__xludf.DUMMYFUNCTION("""COMPUTED_VALUE"""),"")</f>
        <v/>
      </c>
      <c r="U65" s="139" t="str">
        <f>IFERROR(__xludf.DUMMYFUNCTION("""COMPUTED_VALUE"""),"")</f>
        <v/>
      </c>
      <c r="V65" s="136" t="str">
        <f>IFERROR(__xludf.DUMMYFUNCTION("""COMPUTED_VALUE"""),"")</f>
        <v/>
      </c>
      <c r="W65" s="106" t="str">
        <f>IFERROR(__xludf.DUMMYFUNCTION("""COMPUTED_VALUE"""),"")</f>
        <v/>
      </c>
      <c r="X65" s="143" t="str">
        <f t="shared" si="2"/>
        <v/>
      </c>
      <c r="Y65" s="139" t="str">
        <f>IFERROR(__xludf.DUMMYFUNCTION("""COMPUTED_VALUE"""),"")</f>
        <v/>
      </c>
      <c r="Z65" s="141" t="str">
        <f>IFERROR(__xludf.DUMMYFUNCTION("""COMPUTED_VALUE"""),"")</f>
        <v/>
      </c>
    </row>
    <row r="66">
      <c r="A66" s="136" t="str">
        <f>IFERROR(__xludf.DUMMYFUNCTION("""COMPUTED_VALUE"""),"LOG-D73D0256")</f>
        <v>LOG-D73D0256</v>
      </c>
      <c r="B66" s="151">
        <f>IFERROR(__xludf.DUMMYFUNCTION("""COMPUTED_VALUE"""),46063.645833333336)</f>
        <v>46063.64583</v>
      </c>
      <c r="C66" s="136" t="str">
        <f>IFERROR(__xludf.DUMMYFUNCTION("""COMPUTED_VALUE"""),"Arjya Aich")</f>
        <v>Arjya Aich</v>
      </c>
      <c r="D66" s="136" t="b">
        <f t="shared" si="3"/>
        <v>0</v>
      </c>
      <c r="E66" s="152">
        <f>IFERROR(__xludf.DUMMYFUNCTION("""COMPUTED_VALUE"""),0.5138888888888888)</f>
        <v>0.5138888889</v>
      </c>
      <c r="F66" s="106">
        <v>0.13194444444444453</v>
      </c>
      <c r="G66" s="152">
        <f>IFERROR(__xludf.DUMMYFUNCTION("""COMPUTED_VALUE"""),0.6458333333333334)</f>
        <v>0.6458333333</v>
      </c>
      <c r="H66" s="106">
        <v>0.13194444444444453</v>
      </c>
      <c r="I66" s="136">
        <f>IFERROR(__xludf.DUMMYFUNCTION("""COMPUTED_VALUE"""),40.0)</f>
        <v>40</v>
      </c>
      <c r="J66" s="139">
        <v>12.631578947368412</v>
      </c>
      <c r="K66" s="136" t="s">
        <v>15</v>
      </c>
      <c r="L66" s="153">
        <f>IFERROR(__xludf.DUMMYFUNCTION("""COMPUTED_VALUE"""),46063.0)</f>
        <v>46063</v>
      </c>
      <c r="M66" s="136" t="str">
        <f t="shared" si="1"/>
        <v>Tuesday</v>
      </c>
      <c r="N66" s="136" t="str">
        <f>IFERROR(__xludf.DUMMYFUNCTION("""COMPUTED_VALUE"""),"BF")</f>
        <v>BF</v>
      </c>
      <c r="O66" s="141">
        <v>0.44554813512026226</v>
      </c>
      <c r="P66" s="136" t="str">
        <f>IFERROR(__xludf.DUMMYFUNCTION("""COMPUTED_VALUE"""),"")</f>
        <v/>
      </c>
      <c r="Q66" s="136" t="str">
        <f>IFERROR(__xludf.DUMMYFUNCTION("""COMPUTED_VALUE"""),"")</f>
        <v/>
      </c>
      <c r="R66" s="106" t="str">
        <f>IFERROR(__xludf.DUMMYFUNCTION("""COMPUTED_VALUE"""),"")</f>
        <v/>
      </c>
      <c r="S66" s="106" t="str">
        <f>IFERROR(__xludf.DUMMYFUNCTION("""COMPUTED_VALUE"""),"")</f>
        <v/>
      </c>
      <c r="T66" s="139" t="str">
        <f>IFERROR(__xludf.DUMMYFUNCTION("""COMPUTED_VALUE"""),"")</f>
        <v/>
      </c>
      <c r="U66" s="139" t="str">
        <f>IFERROR(__xludf.DUMMYFUNCTION("""COMPUTED_VALUE"""),"")</f>
        <v/>
      </c>
      <c r="V66" s="136" t="str">
        <f>IFERROR(__xludf.DUMMYFUNCTION("""COMPUTED_VALUE"""),"")</f>
        <v/>
      </c>
      <c r="W66" s="106" t="str">
        <f>IFERROR(__xludf.DUMMYFUNCTION("""COMPUTED_VALUE"""),"")</f>
        <v/>
      </c>
      <c r="X66" s="143" t="str">
        <f t="shared" si="2"/>
        <v/>
      </c>
      <c r="Y66" s="139" t="str">
        <f>IFERROR(__xludf.DUMMYFUNCTION("""COMPUTED_VALUE"""),"")</f>
        <v/>
      </c>
      <c r="Z66" s="141" t="str">
        <f>IFERROR(__xludf.DUMMYFUNCTION("""COMPUTED_VALUE"""),"")</f>
        <v/>
      </c>
    </row>
    <row r="67">
      <c r="A67" s="136" t="str">
        <f>IFERROR(__xludf.DUMMYFUNCTION("""COMPUTED_VALUE"""),"LOG-506C5FDF")</f>
        <v>LOG-506C5FDF</v>
      </c>
      <c r="B67" s="151">
        <f>IFERROR(__xludf.DUMMYFUNCTION("""COMPUTED_VALUE"""),46063.86666666667)</f>
        <v>46063.86667</v>
      </c>
      <c r="C67" s="136" t="str">
        <f>IFERROR(__xludf.DUMMYFUNCTION("""COMPUTED_VALUE"""),"Laila Maisuria")</f>
        <v>Laila Maisuria</v>
      </c>
      <c r="D67" s="136" t="b">
        <f t="shared" si="3"/>
        <v>0</v>
      </c>
      <c r="E67" s="152">
        <f>IFERROR(__xludf.DUMMYFUNCTION("""COMPUTED_VALUE"""),0.7548611111111111)</f>
        <v>0.7548611111</v>
      </c>
      <c r="F67" s="106">
        <v>0.1118055555555556</v>
      </c>
      <c r="G67" s="152">
        <f>IFERROR(__xludf.DUMMYFUNCTION("""COMPUTED_VALUE"""),0.8666666666666667)</f>
        <v>0.8666666667</v>
      </c>
      <c r="H67" s="106">
        <v>0.1118055555555556</v>
      </c>
      <c r="I67" s="136">
        <f>IFERROR(__xludf.DUMMYFUNCTION("""COMPUTED_VALUE"""),117.0)</f>
        <v>117</v>
      </c>
      <c r="J67" s="139">
        <v>43.602484472049674</v>
      </c>
      <c r="K67" s="136" t="s">
        <v>18</v>
      </c>
      <c r="L67" s="153">
        <f>IFERROR(__xludf.DUMMYFUNCTION("""COMPUTED_VALUE"""),46063.0)</f>
        <v>46063</v>
      </c>
      <c r="M67" s="136" t="str">
        <f t="shared" si="1"/>
        <v>Tuesday</v>
      </c>
      <c r="N67" s="136" t="str">
        <f>IFERROR(__xludf.DUMMYFUNCTION("""COMPUTED_VALUE"""),"BF")</f>
        <v>BF</v>
      </c>
      <c r="O67" s="141">
        <v>0.9813346888707251</v>
      </c>
      <c r="P67" s="136" t="str">
        <f>IFERROR(__xludf.DUMMYFUNCTION("""COMPUTED_VALUE"""),"")</f>
        <v/>
      </c>
      <c r="Q67" s="136" t="str">
        <f>IFERROR(__xludf.DUMMYFUNCTION("""COMPUTED_VALUE"""),"")</f>
        <v/>
      </c>
      <c r="R67" s="106" t="str">
        <f>IFERROR(__xludf.DUMMYFUNCTION("""COMPUTED_VALUE"""),"")</f>
        <v/>
      </c>
      <c r="S67" s="106" t="str">
        <f>IFERROR(__xludf.DUMMYFUNCTION("""COMPUTED_VALUE"""),"")</f>
        <v/>
      </c>
      <c r="T67" s="139" t="str">
        <f>IFERROR(__xludf.DUMMYFUNCTION("""COMPUTED_VALUE"""),"")</f>
        <v/>
      </c>
      <c r="U67" s="139" t="str">
        <f>IFERROR(__xludf.DUMMYFUNCTION("""COMPUTED_VALUE"""),"")</f>
        <v/>
      </c>
      <c r="V67" s="136" t="str">
        <f>IFERROR(__xludf.DUMMYFUNCTION("""COMPUTED_VALUE"""),"")</f>
        <v/>
      </c>
      <c r="W67" s="106" t="str">
        <f>IFERROR(__xludf.DUMMYFUNCTION("""COMPUTED_VALUE"""),"")</f>
        <v/>
      </c>
      <c r="X67" s="143" t="str">
        <f t="shared" si="2"/>
        <v/>
      </c>
      <c r="Y67" s="139" t="str">
        <f>IFERROR(__xludf.DUMMYFUNCTION("""COMPUTED_VALUE"""),"")</f>
        <v/>
      </c>
      <c r="Z67" s="141" t="str">
        <f>IFERROR(__xludf.DUMMYFUNCTION("""COMPUTED_VALUE"""),"")</f>
        <v/>
      </c>
    </row>
    <row r="68">
      <c r="A68" s="136" t="str">
        <f>IFERROR(__xludf.DUMMYFUNCTION("""COMPUTED_VALUE"""),"LOG-3DC6B8DB")</f>
        <v>LOG-3DC6B8DB</v>
      </c>
      <c r="B68" s="151">
        <f>IFERROR(__xludf.DUMMYFUNCTION("""COMPUTED_VALUE"""),46063.791666666664)</f>
        <v>46063.79167</v>
      </c>
      <c r="C68" s="136" t="str">
        <f>IFERROR(__xludf.DUMMYFUNCTION("""COMPUTED_VALUE"""),"Leah Bucci")</f>
        <v>Leah Bucci</v>
      </c>
      <c r="D68" s="136" t="b">
        <f t="shared" si="3"/>
        <v>0</v>
      </c>
      <c r="E68" s="152">
        <f>IFERROR(__xludf.DUMMYFUNCTION("""COMPUTED_VALUE"""),0.6875)</f>
        <v>0.6875</v>
      </c>
      <c r="F68" s="106">
        <v>0.10416666666666663</v>
      </c>
      <c r="G68" s="152">
        <f>IFERROR(__xludf.DUMMYFUNCTION("""COMPUTED_VALUE"""),0.7916666666666666)</f>
        <v>0.7916666667</v>
      </c>
      <c r="H68" s="106">
        <v>0.10416666666666663</v>
      </c>
      <c r="I68" s="136">
        <f>IFERROR(__xludf.DUMMYFUNCTION("""COMPUTED_VALUE"""),123.0)</f>
        <v>123</v>
      </c>
      <c r="J68" s="139">
        <v>49.20000000000002</v>
      </c>
      <c r="K68" s="136" t="s">
        <v>18</v>
      </c>
      <c r="L68" s="153">
        <f>IFERROR(__xludf.DUMMYFUNCTION("""COMPUTED_VALUE"""),46063.0)</f>
        <v>46063</v>
      </c>
      <c r="M68" s="136" t="str">
        <f t="shared" si="1"/>
        <v>Tuesday</v>
      </c>
      <c r="N68" s="136" t="str">
        <f>IFERROR(__xludf.DUMMYFUNCTION("""COMPUTED_VALUE"""),"MF")</f>
        <v>MF</v>
      </c>
      <c r="O68" s="141">
        <v>1.0290851857503642</v>
      </c>
      <c r="P68" s="136">
        <f>IFERROR(__xludf.DUMMYFUNCTION("""COMPUTED_VALUE"""),305.0)</f>
        <v>305</v>
      </c>
      <c r="Q68" s="136">
        <f>IFERROR(__xludf.DUMMYFUNCTION("""COMPUTED_VALUE"""),258.0)</f>
        <v>258</v>
      </c>
      <c r="R68" s="106">
        <f>IFERROR(__xludf.DUMMYFUNCTION("""COMPUTED_VALUE"""),0.23125)</f>
        <v>0.23125</v>
      </c>
      <c r="S68" s="106">
        <f>IFERROR(__xludf.DUMMYFUNCTION("""COMPUTED_VALUE"""),0.31736111111111126)</f>
        <v>0.3173611111</v>
      </c>
      <c r="T68" s="139">
        <f>IFERROR(__xludf.DUMMYFUNCTION("""COMPUTED_VALUE"""),54.43606557377049)</f>
        <v>54.43606557</v>
      </c>
      <c r="U68" s="139">
        <f>IFERROR(__xludf.DUMMYFUNCTION("""COMPUTED_VALUE"""),37.8012915800576)</f>
        <v>37.80129158</v>
      </c>
      <c r="V68" s="136">
        <f>IFERROR(__xludf.DUMMYFUNCTION("""COMPUTED_VALUE"""),563.0)</f>
        <v>563</v>
      </c>
      <c r="W68" s="106">
        <f>IFERROR(__xludf.DUMMYFUNCTION("""COMPUTED_VALUE"""),0.5486111111111113)</f>
        <v>0.5486111111</v>
      </c>
      <c r="X68" s="143">
        <f t="shared" si="2"/>
        <v>42.75949367</v>
      </c>
      <c r="Y68" s="139">
        <f>IFERROR(__xludf.DUMMYFUNCTION("""COMPUTED_VALUE"""),44.45520117754275)</f>
        <v>44.45520118</v>
      </c>
      <c r="Z68" s="141">
        <f>IFERROR(__xludf.DUMMYFUNCTION("""COMPUTED_VALUE"""),0.6765942257070451)</f>
        <v>0.6765942257</v>
      </c>
    </row>
    <row r="69">
      <c r="A69" s="136" t="str">
        <f>IFERROR(__xludf.DUMMYFUNCTION("""COMPUTED_VALUE"""),"LOG-FF3B5864")</f>
        <v>LOG-FF3B5864</v>
      </c>
      <c r="B69" s="151">
        <f>IFERROR(__xludf.DUMMYFUNCTION("""COMPUTED_VALUE"""),46064.625)</f>
        <v>46064.625</v>
      </c>
      <c r="C69" s="136" t="str">
        <f>IFERROR(__xludf.DUMMYFUNCTION("""COMPUTED_VALUE"""),"Evan Morgan")</f>
        <v>Evan Morgan</v>
      </c>
      <c r="D69" s="136" t="b">
        <f t="shared" si="3"/>
        <v>0</v>
      </c>
      <c r="E69" s="152">
        <f>IFERROR(__xludf.DUMMYFUNCTION("""COMPUTED_VALUE"""),0.5416666666666666)</f>
        <v>0.5416666667</v>
      </c>
      <c r="F69" s="106">
        <v>0.08333333333333337</v>
      </c>
      <c r="G69" s="152">
        <f>IFERROR(__xludf.DUMMYFUNCTION("""COMPUTED_VALUE"""),0.625)</f>
        <v>0.625</v>
      </c>
      <c r="H69" s="106">
        <v>0.08333333333333337</v>
      </c>
      <c r="I69" s="136">
        <f>IFERROR(__xludf.DUMMYFUNCTION("""COMPUTED_VALUE"""),128.0)</f>
        <v>128</v>
      </c>
      <c r="J69" s="139">
        <v>63.99999999999997</v>
      </c>
      <c r="K69" s="136" t="s">
        <v>15</v>
      </c>
      <c r="L69" s="153">
        <f>IFERROR(__xludf.DUMMYFUNCTION("""COMPUTED_VALUE"""),46064.0)</f>
        <v>46064</v>
      </c>
      <c r="M69" s="136" t="str">
        <f t="shared" si="1"/>
        <v>Wednesday</v>
      </c>
      <c r="N69" s="136" t="str">
        <f>IFERROR(__xludf.DUMMYFUNCTION("""COMPUTED_VALUE"""),"MF")</f>
        <v>MF</v>
      </c>
      <c r="O69" s="141">
        <v>1.272935352577912</v>
      </c>
      <c r="P69" s="136" t="str">
        <f>IFERROR(__xludf.DUMMYFUNCTION("""COMPUTED_VALUE"""),"")</f>
        <v/>
      </c>
      <c r="Q69" s="136" t="str">
        <f>IFERROR(__xludf.DUMMYFUNCTION("""COMPUTED_VALUE"""),"")</f>
        <v/>
      </c>
      <c r="R69" s="106" t="str">
        <f>IFERROR(__xludf.DUMMYFUNCTION("""COMPUTED_VALUE"""),"")</f>
        <v/>
      </c>
      <c r="S69" s="106" t="str">
        <f>IFERROR(__xludf.DUMMYFUNCTION("""COMPUTED_VALUE"""),"")</f>
        <v/>
      </c>
      <c r="T69" s="139" t="str">
        <f>IFERROR(__xludf.DUMMYFUNCTION("""COMPUTED_VALUE"""),"")</f>
        <v/>
      </c>
      <c r="U69" s="139" t="str">
        <f>IFERROR(__xludf.DUMMYFUNCTION("""COMPUTED_VALUE"""),"")</f>
        <v/>
      </c>
      <c r="V69" s="136" t="str">
        <f>IFERROR(__xludf.DUMMYFUNCTION("""COMPUTED_VALUE"""),"")</f>
        <v/>
      </c>
      <c r="W69" s="106" t="str">
        <f>IFERROR(__xludf.DUMMYFUNCTION("""COMPUTED_VALUE"""),"")</f>
        <v/>
      </c>
      <c r="X69" s="143" t="str">
        <f t="shared" si="2"/>
        <v/>
      </c>
      <c r="Y69" s="139" t="str">
        <f>IFERROR(__xludf.DUMMYFUNCTION("""COMPUTED_VALUE"""),"")</f>
        <v/>
      </c>
      <c r="Z69" s="141" t="str">
        <f>IFERROR(__xludf.DUMMYFUNCTION("""COMPUTED_VALUE"""),"")</f>
        <v/>
      </c>
    </row>
    <row r="70">
      <c r="A70" s="136" t="str">
        <f>IFERROR(__xludf.DUMMYFUNCTION("""COMPUTED_VALUE"""),"LOG-6A960241")</f>
        <v>LOG-6A960241</v>
      </c>
      <c r="B70" s="151">
        <f>IFERROR(__xludf.DUMMYFUNCTION("""COMPUTED_VALUE"""),46064.73263888889)</f>
        <v>46064.73264</v>
      </c>
      <c r="C70" s="136" t="str">
        <f>IFERROR(__xludf.DUMMYFUNCTION("""COMPUTED_VALUE"""),"Evan Morgan")</f>
        <v>Evan Morgan</v>
      </c>
      <c r="D70" s="136" t="b">
        <f t="shared" si="3"/>
        <v>0</v>
      </c>
      <c r="E70" s="152">
        <f>IFERROR(__xludf.DUMMYFUNCTION("""COMPUTED_VALUE"""),0.6666666666666666)</f>
        <v>0.6666666667</v>
      </c>
      <c r="F70" s="106">
        <v>0.06597222222222221</v>
      </c>
      <c r="G70" s="152">
        <f>IFERROR(__xludf.DUMMYFUNCTION("""COMPUTED_VALUE"""),0.7326388888888888)</f>
        <v>0.7326388889</v>
      </c>
      <c r="H70" s="106">
        <v>0.06597222222222221</v>
      </c>
      <c r="I70" s="136">
        <f>IFERROR(__xludf.DUMMYFUNCTION("""COMPUTED_VALUE"""),94.0)</f>
        <v>94</v>
      </c>
      <c r="J70" s="139">
        <v>59.36842105263159</v>
      </c>
      <c r="K70" s="136" t="s">
        <v>18</v>
      </c>
      <c r="L70" s="153">
        <f>IFERROR(__xludf.DUMMYFUNCTION("""COMPUTED_VALUE"""),46064.0)</f>
        <v>46064</v>
      </c>
      <c r="M70" s="136" t="str">
        <f t="shared" si="1"/>
        <v>Wednesday</v>
      </c>
      <c r="N70" s="136" t="str">
        <f>IFERROR(__xludf.DUMMYFUNCTION("""COMPUTED_VALUE"""),"MF")</f>
        <v>MF</v>
      </c>
      <c r="O70" s="141">
        <v>1.2417715976962032</v>
      </c>
      <c r="P70" s="136" t="str">
        <f>IFERROR(__xludf.DUMMYFUNCTION("""COMPUTED_VALUE"""),"")</f>
        <v/>
      </c>
      <c r="Q70" s="136" t="str">
        <f>IFERROR(__xludf.DUMMYFUNCTION("""COMPUTED_VALUE"""),"")</f>
        <v/>
      </c>
      <c r="R70" s="106" t="str">
        <f>IFERROR(__xludf.DUMMYFUNCTION("""COMPUTED_VALUE"""),"")</f>
        <v/>
      </c>
      <c r="S70" s="106" t="str">
        <f>IFERROR(__xludf.DUMMYFUNCTION("""COMPUTED_VALUE"""),"")</f>
        <v/>
      </c>
      <c r="T70" s="139" t="str">
        <f>IFERROR(__xludf.DUMMYFUNCTION("""COMPUTED_VALUE"""),"")</f>
        <v/>
      </c>
      <c r="U70" s="139" t="str">
        <f>IFERROR(__xludf.DUMMYFUNCTION("""COMPUTED_VALUE"""),"")</f>
        <v/>
      </c>
      <c r="V70" s="136" t="str">
        <f>IFERROR(__xludf.DUMMYFUNCTION("""COMPUTED_VALUE"""),"")</f>
        <v/>
      </c>
      <c r="W70" s="106" t="str">
        <f>IFERROR(__xludf.DUMMYFUNCTION("""COMPUTED_VALUE"""),"")</f>
        <v/>
      </c>
      <c r="X70" s="143" t="str">
        <f t="shared" si="2"/>
        <v/>
      </c>
      <c r="Y70" s="139" t="str">
        <f>IFERROR(__xludf.DUMMYFUNCTION("""COMPUTED_VALUE"""),"")</f>
        <v/>
      </c>
      <c r="Z70" s="141" t="str">
        <f>IFERROR(__xludf.DUMMYFUNCTION("""COMPUTED_VALUE"""),"")</f>
        <v/>
      </c>
    </row>
    <row r="71">
      <c r="A71" s="136" t="str">
        <f>IFERROR(__xludf.DUMMYFUNCTION("""COMPUTED_VALUE"""),"LOG-BB3334B3")</f>
        <v>LOG-BB3334B3</v>
      </c>
      <c r="B71" s="151">
        <f>IFERROR(__xludf.DUMMYFUNCTION("""COMPUTED_VALUE"""),46064.791666666664)</f>
        <v>46064.79167</v>
      </c>
      <c r="C71" s="136" t="str">
        <f>IFERROR(__xludf.DUMMYFUNCTION("""COMPUTED_VALUE"""),"Brynn Hornig")</f>
        <v>Brynn Hornig</v>
      </c>
      <c r="D71" s="136" t="b">
        <f t="shared" si="3"/>
        <v>0</v>
      </c>
      <c r="E71" s="152">
        <f>IFERROR(__xludf.DUMMYFUNCTION("""COMPUTED_VALUE"""),0.75)</f>
        <v>0.75</v>
      </c>
      <c r="F71" s="106">
        <v>0.04166666666666663</v>
      </c>
      <c r="G71" s="152">
        <f>IFERROR(__xludf.DUMMYFUNCTION("""COMPUTED_VALUE"""),0.7916666666666666)</f>
        <v>0.7916666667</v>
      </c>
      <c r="H71" s="106">
        <v>0.04166666666666663</v>
      </c>
      <c r="I71" s="136">
        <f>IFERROR(__xludf.DUMMYFUNCTION("""COMPUTED_VALUE"""),116.0)</f>
        <v>116</v>
      </c>
      <c r="J71" s="139">
        <v>116.0000000000001</v>
      </c>
      <c r="K71" s="136" t="s">
        <v>18</v>
      </c>
      <c r="L71" s="153">
        <f>IFERROR(__xludf.DUMMYFUNCTION("""COMPUTED_VALUE"""),46064.0)</f>
        <v>46064</v>
      </c>
      <c r="M71" s="136" t="str">
        <f t="shared" si="1"/>
        <v>Wednesday</v>
      </c>
      <c r="N71" s="136" t="str">
        <f>IFERROR(__xludf.DUMMYFUNCTION("""COMPUTED_VALUE"""),"MF")</f>
        <v>MF</v>
      </c>
      <c r="O71" s="141">
        <v>2.4262984054276893</v>
      </c>
      <c r="P71" s="136" t="str">
        <f>IFERROR(__xludf.DUMMYFUNCTION("""COMPUTED_VALUE"""),"")</f>
        <v/>
      </c>
      <c r="Q71" s="136" t="str">
        <f>IFERROR(__xludf.DUMMYFUNCTION("""COMPUTED_VALUE"""),"")</f>
        <v/>
      </c>
      <c r="R71" s="106" t="str">
        <f>IFERROR(__xludf.DUMMYFUNCTION("""COMPUTED_VALUE"""),"")</f>
        <v/>
      </c>
      <c r="S71" s="106" t="str">
        <f>IFERROR(__xludf.DUMMYFUNCTION("""COMPUTED_VALUE"""),"")</f>
        <v/>
      </c>
      <c r="T71" s="139" t="str">
        <f>IFERROR(__xludf.DUMMYFUNCTION("""COMPUTED_VALUE"""),"")</f>
        <v/>
      </c>
      <c r="U71" s="139" t="str">
        <f>IFERROR(__xludf.DUMMYFUNCTION("""COMPUTED_VALUE"""),"")</f>
        <v/>
      </c>
      <c r="V71" s="136" t="str">
        <f>IFERROR(__xludf.DUMMYFUNCTION("""COMPUTED_VALUE"""),"")</f>
        <v/>
      </c>
      <c r="W71" s="106" t="str">
        <f>IFERROR(__xludf.DUMMYFUNCTION("""COMPUTED_VALUE"""),"")</f>
        <v/>
      </c>
      <c r="X71" s="143" t="str">
        <f t="shared" si="2"/>
        <v/>
      </c>
      <c r="Y71" s="139" t="str">
        <f>IFERROR(__xludf.DUMMYFUNCTION("""COMPUTED_VALUE"""),"")</f>
        <v/>
      </c>
      <c r="Z71" s="141" t="str">
        <f>IFERROR(__xludf.DUMMYFUNCTION("""COMPUTED_VALUE"""),"")</f>
        <v/>
      </c>
    </row>
    <row r="72">
      <c r="A72" s="136" t="str">
        <f>IFERROR(__xludf.DUMMYFUNCTION("""COMPUTED_VALUE"""),"LOG-AFDC18E3")</f>
        <v>LOG-AFDC18E3</v>
      </c>
      <c r="B72" s="151">
        <f>IFERROR(__xludf.DUMMYFUNCTION("""COMPUTED_VALUE"""),46064.854166666664)</f>
        <v>46064.85417</v>
      </c>
      <c r="C72" s="136" t="str">
        <f>IFERROR(__xludf.DUMMYFUNCTION("""COMPUTED_VALUE"""),"Maureen Surgot")</f>
        <v>Maureen Surgot</v>
      </c>
      <c r="D72" s="136" t="b">
        <f t="shared" si="3"/>
        <v>0</v>
      </c>
      <c r="E72" s="152">
        <f>IFERROR(__xludf.DUMMYFUNCTION("""COMPUTED_VALUE"""),0.6875)</f>
        <v>0.6875</v>
      </c>
      <c r="F72" s="106">
        <v>0.16666666666666663</v>
      </c>
      <c r="G72" s="152">
        <f>IFERROR(__xludf.DUMMYFUNCTION("""COMPUTED_VALUE"""),0.8541666666666666)</f>
        <v>0.8541666667</v>
      </c>
      <c r="H72" s="106">
        <v>0.16666666666666663</v>
      </c>
      <c r="I72" s="136">
        <f>IFERROR(__xludf.DUMMYFUNCTION("""COMPUTED_VALUE"""),140.0)</f>
        <v>140</v>
      </c>
      <c r="J72" s="139">
        <v>35.00000000000001</v>
      </c>
      <c r="K72" s="136" t="s">
        <v>18</v>
      </c>
      <c r="L72" s="153">
        <f>IFERROR(__xludf.DUMMYFUNCTION("""COMPUTED_VALUE"""),46064.0)</f>
        <v>46064</v>
      </c>
      <c r="M72" s="136" t="str">
        <f t="shared" si="1"/>
        <v>Wednesday</v>
      </c>
      <c r="N72" s="136" t="str">
        <f>IFERROR(__xludf.DUMMYFUNCTION("""COMPUTED_VALUE"""),"MF")</f>
        <v>MF</v>
      </c>
      <c r="O72" s="141">
        <v>0.7320727947411126</v>
      </c>
      <c r="P72" s="136" t="str">
        <f>IFERROR(__xludf.DUMMYFUNCTION("""COMPUTED_VALUE"""),"")</f>
        <v/>
      </c>
      <c r="Q72" s="136" t="str">
        <f>IFERROR(__xludf.DUMMYFUNCTION("""COMPUTED_VALUE"""),"")</f>
        <v/>
      </c>
      <c r="R72" s="106" t="str">
        <f>IFERROR(__xludf.DUMMYFUNCTION("""COMPUTED_VALUE"""),"")</f>
        <v/>
      </c>
      <c r="S72" s="106" t="str">
        <f>IFERROR(__xludf.DUMMYFUNCTION("""COMPUTED_VALUE"""),"")</f>
        <v/>
      </c>
      <c r="T72" s="139" t="str">
        <f>IFERROR(__xludf.DUMMYFUNCTION("""COMPUTED_VALUE"""),"")</f>
        <v/>
      </c>
      <c r="U72" s="139" t="str">
        <f>IFERROR(__xludf.DUMMYFUNCTION("""COMPUTED_VALUE"""),"")</f>
        <v/>
      </c>
      <c r="V72" s="136" t="str">
        <f>IFERROR(__xludf.DUMMYFUNCTION("""COMPUTED_VALUE"""),"")</f>
        <v/>
      </c>
      <c r="W72" s="106" t="str">
        <f>IFERROR(__xludf.DUMMYFUNCTION("""COMPUTED_VALUE"""),"")</f>
        <v/>
      </c>
      <c r="X72" s="143" t="str">
        <f t="shared" si="2"/>
        <v/>
      </c>
      <c r="Y72" s="139" t="str">
        <f>IFERROR(__xludf.DUMMYFUNCTION("""COMPUTED_VALUE"""),"")</f>
        <v/>
      </c>
      <c r="Z72" s="141" t="str">
        <f>IFERROR(__xludf.DUMMYFUNCTION("""COMPUTED_VALUE"""),"")</f>
        <v/>
      </c>
    </row>
    <row r="73">
      <c r="A73" s="136" t="str">
        <f>IFERROR(__xludf.DUMMYFUNCTION("""COMPUTED_VALUE"""),"LOG-54934443")</f>
        <v>LOG-54934443</v>
      </c>
      <c r="B73" s="151">
        <f>IFERROR(__xludf.DUMMYFUNCTION("""COMPUTED_VALUE"""),46064.85277777778)</f>
        <v>46064.85278</v>
      </c>
      <c r="C73" s="136" t="str">
        <f>IFERROR(__xludf.DUMMYFUNCTION("""COMPUTED_VALUE"""),"Brynn Hornig")</f>
        <v>Brynn Hornig</v>
      </c>
      <c r="D73" s="136" t="b">
        <f t="shared" si="3"/>
        <v>0</v>
      </c>
      <c r="E73" s="152">
        <f>IFERROR(__xludf.DUMMYFUNCTION("""COMPUTED_VALUE"""),0.7916666666666666)</f>
        <v>0.7916666667</v>
      </c>
      <c r="F73" s="106">
        <v>0.061111111111111116</v>
      </c>
      <c r="G73" s="152">
        <f>IFERROR(__xludf.DUMMYFUNCTION("""COMPUTED_VALUE"""),0.8527777777777777)</f>
        <v>0.8527777778</v>
      </c>
      <c r="H73" s="106">
        <v>0.08194444444444449</v>
      </c>
      <c r="I73" s="136">
        <f>IFERROR(__xludf.DUMMYFUNCTION("""COMPUTED_VALUE"""),149.0)</f>
        <v>149</v>
      </c>
      <c r="J73" s="139">
        <v>84.40677966101691</v>
      </c>
      <c r="K73" s="136" t="s">
        <v>18</v>
      </c>
      <c r="L73" s="153">
        <f>IFERROR(__xludf.DUMMYFUNCTION("""COMPUTED_VALUE"""),46064.0)</f>
        <v>46064</v>
      </c>
      <c r="M73" s="136" t="str">
        <f t="shared" si="1"/>
        <v>Wednesday</v>
      </c>
      <c r="N73" s="136" t="str">
        <f>IFERROR(__xludf.DUMMYFUNCTION("""COMPUTED_VALUE"""),"BF")</f>
        <v>BF</v>
      </c>
      <c r="O73" s="141">
        <v>1.8996922276371866</v>
      </c>
      <c r="P73" s="136" t="str">
        <f>IFERROR(__xludf.DUMMYFUNCTION("""COMPUTED_VALUE"""),"")</f>
        <v/>
      </c>
      <c r="Q73" s="136" t="str">
        <f>IFERROR(__xludf.DUMMYFUNCTION("""COMPUTED_VALUE"""),"")</f>
        <v/>
      </c>
      <c r="R73" s="106" t="str">
        <f>IFERROR(__xludf.DUMMYFUNCTION("""COMPUTED_VALUE"""),"")</f>
        <v/>
      </c>
      <c r="S73" s="106" t="str">
        <f>IFERROR(__xludf.DUMMYFUNCTION("""COMPUTED_VALUE"""),"")</f>
        <v/>
      </c>
      <c r="T73" s="139" t="str">
        <f>IFERROR(__xludf.DUMMYFUNCTION("""COMPUTED_VALUE"""),"")</f>
        <v/>
      </c>
      <c r="U73" s="139" t="str">
        <f>IFERROR(__xludf.DUMMYFUNCTION("""COMPUTED_VALUE"""),"")</f>
        <v/>
      </c>
      <c r="V73" s="136" t="str">
        <f>IFERROR(__xludf.DUMMYFUNCTION("""COMPUTED_VALUE"""),"")</f>
        <v/>
      </c>
      <c r="W73" s="106" t="str">
        <f>IFERROR(__xludf.DUMMYFUNCTION("""COMPUTED_VALUE"""),"")</f>
        <v/>
      </c>
      <c r="X73" s="143" t="str">
        <f t="shared" si="2"/>
        <v/>
      </c>
      <c r="Y73" s="139" t="str">
        <f>IFERROR(__xludf.DUMMYFUNCTION("""COMPUTED_VALUE"""),"")</f>
        <v/>
      </c>
      <c r="Z73" s="141" t="str">
        <f>IFERROR(__xludf.DUMMYFUNCTION("""COMPUTED_VALUE"""),"")</f>
        <v/>
      </c>
    </row>
    <row r="74">
      <c r="A74" s="136" t="str">
        <f>IFERROR(__xludf.DUMMYFUNCTION("""COMPUTED_VALUE"""),"LOG-B5D493D1")</f>
        <v>LOG-B5D493D1</v>
      </c>
      <c r="B74" s="151">
        <f>IFERROR(__xludf.DUMMYFUNCTION("""COMPUTED_VALUE"""),46064.875)</f>
        <v>46064.875</v>
      </c>
      <c r="C74" s="136" t="str">
        <f>IFERROR(__xludf.DUMMYFUNCTION("""COMPUTED_VALUE"""),"Brynn Hornig")</f>
        <v>Brynn Hornig</v>
      </c>
      <c r="D74" s="136" t="b">
        <f t="shared" si="3"/>
        <v>1</v>
      </c>
      <c r="E74" s="152">
        <f>IFERROR(__xludf.DUMMYFUNCTION("""COMPUTED_VALUE"""),0.8541666666666666)</f>
        <v>0.8541666667</v>
      </c>
      <c r="F74" s="106">
        <v>0.02083333333333337</v>
      </c>
      <c r="G74" s="152">
        <f>IFERROR(__xludf.DUMMYFUNCTION("""COMPUTED_VALUE"""),0.875)</f>
        <v>0.875</v>
      </c>
      <c r="H74" s="106" t="s">
        <v>133</v>
      </c>
      <c r="I74" s="136">
        <f>IFERROR(__xludf.DUMMYFUNCTION("""COMPUTED_VALUE"""),17.0)</f>
        <v>17</v>
      </c>
      <c r="J74" s="139" t="s">
        <v>133</v>
      </c>
      <c r="K74" s="136" t="s">
        <v>18</v>
      </c>
      <c r="L74" s="153">
        <f>IFERROR(__xludf.DUMMYFUNCTION("""COMPUTED_VALUE"""),46064.0)</f>
        <v>46064</v>
      </c>
      <c r="M74" s="136" t="str">
        <f t="shared" si="1"/>
        <v>Wednesday</v>
      </c>
      <c r="N74" s="136" t="str">
        <f>IFERROR(__xludf.DUMMYFUNCTION("""COMPUTED_VALUE"""),"MF")</f>
        <v>MF</v>
      </c>
      <c r="O74" s="141" t="s">
        <v>133</v>
      </c>
      <c r="P74" s="136">
        <f>IFERROR(__xludf.DUMMYFUNCTION("""COMPUTED_VALUE"""),495.0)</f>
        <v>495</v>
      </c>
      <c r="Q74" s="136">
        <f>IFERROR(__xludf.DUMMYFUNCTION("""COMPUTED_VALUE"""),149.0)</f>
        <v>149</v>
      </c>
      <c r="R74" s="106">
        <f>IFERROR(__xludf.DUMMYFUNCTION("""COMPUTED_VALUE"""),0.3784722222222222)</f>
        <v>0.3784722222</v>
      </c>
      <c r="S74" s="106">
        <f>IFERROR(__xludf.DUMMYFUNCTION("""COMPUTED_VALUE"""),0.061111111111111116)</f>
        <v>0.06111111111</v>
      </c>
      <c r="T74" s="139">
        <f>IFERROR(__xludf.DUMMYFUNCTION("""COMPUTED_VALUE"""),68.59210526315792)</f>
        <v>68.59210526</v>
      </c>
      <c r="U74" s="139">
        <f>IFERROR(__xludf.DUMMYFUNCTION("""COMPUTED_VALUE"""),84.40677966101691)</f>
        <v>84.40677966</v>
      </c>
      <c r="V74" s="136">
        <f>IFERROR(__xludf.DUMMYFUNCTION("""COMPUTED_VALUE"""),644.0)</f>
        <v>644</v>
      </c>
      <c r="W74" s="106">
        <f>IFERROR(__xludf.DUMMYFUNCTION("""COMPUTED_VALUE"""),0.4395833333333333)</f>
        <v>0.4395833333</v>
      </c>
      <c r="X74" s="143">
        <f t="shared" si="2"/>
        <v>61.04265403</v>
      </c>
      <c r="Y74" s="139">
        <f>IFERROR(__xludf.DUMMYFUNCTION("""COMPUTED_VALUE"""),71.75504014272971)</f>
        <v>71.75504014</v>
      </c>
      <c r="Z74" s="141">
        <f>IFERROR(__xludf.DUMMYFUNCTION("""COMPUTED_VALUE"""),1.0855407589335535)</f>
        <v>1.085540759</v>
      </c>
    </row>
    <row r="75">
      <c r="A75" s="136" t="str">
        <f>IFERROR(__xludf.DUMMYFUNCTION("""COMPUTED_VALUE"""),"LOG-DB61984E")</f>
        <v>LOG-DB61984E</v>
      </c>
      <c r="B75" s="151">
        <f>IFERROR(__xludf.DUMMYFUNCTION("""COMPUTED_VALUE"""),46065.36111111111)</f>
        <v>46065.36111</v>
      </c>
      <c r="C75" s="136" t="str">
        <f>IFERROR(__xludf.DUMMYFUNCTION("""COMPUTED_VALUE"""),"Evan Morgan")</f>
        <v>Evan Morgan</v>
      </c>
      <c r="D75" s="136" t="b">
        <f t="shared" si="3"/>
        <v>0</v>
      </c>
      <c r="E75" s="152">
        <f>IFERROR(__xludf.DUMMYFUNCTION("""COMPUTED_VALUE"""),0.2916666666666667)</f>
        <v>0.2916666667</v>
      </c>
      <c r="F75" s="106">
        <v>0.06944444444444442</v>
      </c>
      <c r="G75" s="152">
        <f>IFERROR(__xludf.DUMMYFUNCTION("""COMPUTED_VALUE"""),0.3611111111111111)</f>
        <v>0.3611111111</v>
      </c>
      <c r="H75" s="106">
        <v>0.06944444444444442</v>
      </c>
      <c r="I75" s="136">
        <f>IFERROR(__xludf.DUMMYFUNCTION("""COMPUTED_VALUE"""),17.0)</f>
        <v>17</v>
      </c>
      <c r="J75" s="139">
        <v>10.200000000000003</v>
      </c>
      <c r="K75" s="136" t="s">
        <v>12</v>
      </c>
      <c r="L75" s="153">
        <f>IFERROR(__xludf.DUMMYFUNCTION("""COMPUTED_VALUE"""),46065.0)</f>
        <v>46065</v>
      </c>
      <c r="M75" s="136" t="str">
        <f t="shared" si="1"/>
        <v>Thursday</v>
      </c>
      <c r="N75" s="136" t="str">
        <f>IFERROR(__xludf.DUMMYFUNCTION("""COMPUTED_VALUE"""),"BF")</f>
        <v>BF</v>
      </c>
      <c r="O75" s="141">
        <v>0.3597801191096121</v>
      </c>
      <c r="P75" s="136" t="str">
        <f>IFERROR(__xludf.DUMMYFUNCTION("""COMPUTED_VALUE"""),"")</f>
        <v/>
      </c>
      <c r="Q75" s="136" t="str">
        <f>IFERROR(__xludf.DUMMYFUNCTION("""COMPUTED_VALUE"""),"")</f>
        <v/>
      </c>
      <c r="R75" s="106" t="str">
        <f>IFERROR(__xludf.DUMMYFUNCTION("""COMPUTED_VALUE"""),"")</f>
        <v/>
      </c>
      <c r="S75" s="106" t="str">
        <f>IFERROR(__xludf.DUMMYFUNCTION("""COMPUTED_VALUE"""),"")</f>
        <v/>
      </c>
      <c r="T75" s="139" t="str">
        <f>IFERROR(__xludf.DUMMYFUNCTION("""COMPUTED_VALUE"""),"")</f>
        <v/>
      </c>
      <c r="U75" s="139" t="str">
        <f>IFERROR(__xludf.DUMMYFUNCTION("""COMPUTED_VALUE"""),"")</f>
        <v/>
      </c>
      <c r="V75" s="136" t="str">
        <f>IFERROR(__xludf.DUMMYFUNCTION("""COMPUTED_VALUE"""),"")</f>
        <v/>
      </c>
      <c r="W75" s="106" t="str">
        <f>IFERROR(__xludf.DUMMYFUNCTION("""COMPUTED_VALUE"""),"")</f>
        <v/>
      </c>
      <c r="X75" s="143" t="str">
        <f t="shared" si="2"/>
        <v/>
      </c>
      <c r="Y75" s="139" t="str">
        <f>IFERROR(__xludf.DUMMYFUNCTION("""COMPUTED_VALUE"""),"")</f>
        <v/>
      </c>
      <c r="Z75" s="141" t="str">
        <f>IFERROR(__xludf.DUMMYFUNCTION("""COMPUTED_VALUE"""),"")</f>
        <v/>
      </c>
    </row>
    <row r="76">
      <c r="A76" s="136" t="str">
        <f>IFERROR(__xludf.DUMMYFUNCTION("""COMPUTED_VALUE"""),"LOG-42D1C876")</f>
        <v>LOG-42D1C876</v>
      </c>
      <c r="B76" s="151">
        <f>IFERROR(__xludf.DUMMYFUNCTION("""COMPUTED_VALUE"""),46065.447222222225)</f>
        <v>46065.44722</v>
      </c>
      <c r="C76" s="136" t="str">
        <f>IFERROR(__xludf.DUMMYFUNCTION("""COMPUTED_VALUE"""),"Sophia Kluck")</f>
        <v>Sophia Kluck</v>
      </c>
      <c r="D76" s="136" t="b">
        <f t="shared" si="3"/>
        <v>0</v>
      </c>
      <c r="E76" s="152">
        <f>IFERROR(__xludf.DUMMYFUNCTION("""COMPUTED_VALUE"""),0.3659722222222222)</f>
        <v>0.3659722222</v>
      </c>
      <c r="F76" s="106">
        <v>0.08125000000000004</v>
      </c>
      <c r="G76" s="152">
        <f>IFERROR(__xludf.DUMMYFUNCTION("""COMPUTED_VALUE"""),0.44722222222222224)</f>
        <v>0.4472222222</v>
      </c>
      <c r="H76" s="106">
        <v>0.10833333333333334</v>
      </c>
      <c r="I76" s="136">
        <f>IFERROR(__xludf.DUMMYFUNCTION("""COMPUTED_VALUE"""),87.0)</f>
        <v>87</v>
      </c>
      <c r="J76" s="139">
        <v>42.69230769230769</v>
      </c>
      <c r="K76" s="136" t="s">
        <v>12</v>
      </c>
      <c r="L76" s="153">
        <f>IFERROR(__xludf.DUMMYFUNCTION("""COMPUTED_VALUE"""),46065.0)</f>
        <v>46065</v>
      </c>
      <c r="M76" s="136" t="str">
        <f t="shared" si="1"/>
        <v>Thursday</v>
      </c>
      <c r="N76" s="136" t="str">
        <f>IFERROR(__xludf.DUMMYFUNCTION("""COMPUTED_VALUE"""),"BF")</f>
        <v>BF</v>
      </c>
      <c r="O76" s="141">
        <v>1.5058670143728106</v>
      </c>
      <c r="P76" s="136" t="str">
        <f>IFERROR(__xludf.DUMMYFUNCTION("""COMPUTED_VALUE"""),"")</f>
        <v/>
      </c>
      <c r="Q76" s="136" t="str">
        <f>IFERROR(__xludf.DUMMYFUNCTION("""COMPUTED_VALUE"""),"")</f>
        <v/>
      </c>
      <c r="R76" s="106" t="str">
        <f>IFERROR(__xludf.DUMMYFUNCTION("""COMPUTED_VALUE"""),"")</f>
        <v/>
      </c>
      <c r="S76" s="106" t="str">
        <f>IFERROR(__xludf.DUMMYFUNCTION("""COMPUTED_VALUE"""),"")</f>
        <v/>
      </c>
      <c r="T76" s="139" t="str">
        <f>IFERROR(__xludf.DUMMYFUNCTION("""COMPUTED_VALUE"""),"")</f>
        <v/>
      </c>
      <c r="U76" s="139" t="str">
        <f>IFERROR(__xludf.DUMMYFUNCTION("""COMPUTED_VALUE"""),"")</f>
        <v/>
      </c>
      <c r="V76" s="136" t="str">
        <f>IFERROR(__xludf.DUMMYFUNCTION("""COMPUTED_VALUE"""),"")</f>
        <v/>
      </c>
      <c r="W76" s="106" t="str">
        <f>IFERROR(__xludf.DUMMYFUNCTION("""COMPUTED_VALUE"""),"")</f>
        <v/>
      </c>
      <c r="X76" s="143" t="str">
        <f t="shared" si="2"/>
        <v/>
      </c>
      <c r="Y76" s="139" t="str">
        <f>IFERROR(__xludf.DUMMYFUNCTION("""COMPUTED_VALUE"""),"")</f>
        <v/>
      </c>
      <c r="Z76" s="141" t="str">
        <f>IFERROR(__xludf.DUMMYFUNCTION("""COMPUTED_VALUE"""),"")</f>
        <v/>
      </c>
    </row>
    <row r="77">
      <c r="A77" s="136" t="str">
        <f>IFERROR(__xludf.DUMMYFUNCTION("""COMPUTED_VALUE"""),"LOG-826355AA")</f>
        <v>LOG-826355AA</v>
      </c>
      <c r="B77" s="151">
        <f>IFERROR(__xludf.DUMMYFUNCTION("""COMPUTED_VALUE"""),46065.47638888889)</f>
        <v>46065.47639</v>
      </c>
      <c r="C77" s="136" t="str">
        <f>IFERROR(__xludf.DUMMYFUNCTION("""COMPUTED_VALUE"""),"Sophia Kluck")</f>
        <v>Sophia Kluck</v>
      </c>
      <c r="D77" s="136" t="b">
        <f t="shared" si="3"/>
        <v>1</v>
      </c>
      <c r="E77" s="152">
        <f>IFERROR(__xludf.DUMMYFUNCTION("""COMPUTED_VALUE"""),0.44930555555555557)</f>
        <v>0.4493055556</v>
      </c>
      <c r="F77" s="106">
        <v>0.027083333333333293</v>
      </c>
      <c r="G77" s="152">
        <f>IFERROR(__xludf.DUMMYFUNCTION("""COMPUTED_VALUE"""),0.47638888888888886)</f>
        <v>0.4763888889</v>
      </c>
      <c r="H77" s="106" t="s">
        <v>133</v>
      </c>
      <c r="I77" s="136">
        <f>IFERROR(__xludf.DUMMYFUNCTION("""COMPUTED_VALUE"""),24.0)</f>
        <v>24</v>
      </c>
      <c r="J77" s="139" t="s">
        <v>133</v>
      </c>
      <c r="K77" s="136" t="s">
        <v>134</v>
      </c>
      <c r="L77" s="153">
        <f>IFERROR(__xludf.DUMMYFUNCTION("""COMPUTED_VALUE"""),46065.0)</f>
        <v>46065</v>
      </c>
      <c r="M77" s="136" t="str">
        <f t="shared" si="1"/>
        <v>Thursday</v>
      </c>
      <c r="N77" s="136" t="str">
        <f>IFERROR(__xludf.DUMMYFUNCTION("""COMPUTED_VALUE"""),"BF")</f>
        <v>BF</v>
      </c>
      <c r="O77" s="141" t="s">
        <v>133</v>
      </c>
      <c r="P77" s="136" t="str">
        <f>IFERROR(__xludf.DUMMYFUNCTION("""COMPUTED_VALUE"""),"")</f>
        <v/>
      </c>
      <c r="Q77" s="136" t="str">
        <f>IFERROR(__xludf.DUMMYFUNCTION("""COMPUTED_VALUE"""),"")</f>
        <v/>
      </c>
      <c r="R77" s="106" t="str">
        <f>IFERROR(__xludf.DUMMYFUNCTION("""COMPUTED_VALUE"""),"")</f>
        <v/>
      </c>
      <c r="S77" s="106" t="str">
        <f>IFERROR(__xludf.DUMMYFUNCTION("""COMPUTED_VALUE"""),"")</f>
        <v/>
      </c>
      <c r="T77" s="139" t="str">
        <f>IFERROR(__xludf.DUMMYFUNCTION("""COMPUTED_VALUE"""),"")</f>
        <v/>
      </c>
      <c r="U77" s="139" t="str">
        <f>IFERROR(__xludf.DUMMYFUNCTION("""COMPUTED_VALUE"""),"")</f>
        <v/>
      </c>
      <c r="V77" s="136" t="str">
        <f>IFERROR(__xludf.DUMMYFUNCTION("""COMPUTED_VALUE"""),"")</f>
        <v/>
      </c>
      <c r="W77" s="106" t="str">
        <f>IFERROR(__xludf.DUMMYFUNCTION("""COMPUTED_VALUE"""),"")</f>
        <v/>
      </c>
      <c r="X77" s="143" t="str">
        <f t="shared" si="2"/>
        <v/>
      </c>
      <c r="Y77" s="139" t="str">
        <f>IFERROR(__xludf.DUMMYFUNCTION("""COMPUTED_VALUE"""),"")</f>
        <v/>
      </c>
      <c r="Z77" s="141" t="str">
        <f>IFERROR(__xludf.DUMMYFUNCTION("""COMPUTED_VALUE"""),"")</f>
        <v/>
      </c>
    </row>
    <row r="78">
      <c r="A78" s="136" t="str">
        <f>IFERROR(__xludf.DUMMYFUNCTION("""COMPUTED_VALUE"""),"LOG-F934058E")</f>
        <v>LOG-F934058E</v>
      </c>
      <c r="B78" s="151">
        <f>IFERROR(__xludf.DUMMYFUNCTION("""COMPUTED_VALUE"""),46065.53125)</f>
        <v>46065.53125</v>
      </c>
      <c r="C78" s="136" t="str">
        <f>IFERROR(__xludf.DUMMYFUNCTION("""COMPUTED_VALUE"""),"Emmett Khan")</f>
        <v>Emmett Khan</v>
      </c>
      <c r="D78" s="136" t="b">
        <f t="shared" si="3"/>
        <v>0</v>
      </c>
      <c r="E78" s="152">
        <f>IFERROR(__xludf.DUMMYFUNCTION("""COMPUTED_VALUE"""),0.4791666666666667)</f>
        <v>0.4791666667</v>
      </c>
      <c r="F78" s="106">
        <v>0.052083333333333315</v>
      </c>
      <c r="G78" s="152">
        <f>IFERROR(__xludf.DUMMYFUNCTION("""COMPUTED_VALUE"""),0.53125)</f>
        <v>0.53125</v>
      </c>
      <c r="H78" s="106">
        <v>0.052083333333333315</v>
      </c>
      <c r="I78" s="136">
        <f>IFERROR(__xludf.DUMMYFUNCTION("""COMPUTED_VALUE"""),69.0)</f>
        <v>69</v>
      </c>
      <c r="J78" s="139">
        <v>55.20000000000002</v>
      </c>
      <c r="K78" s="136" t="s">
        <v>15</v>
      </c>
      <c r="L78" s="153">
        <f>IFERROR(__xludf.DUMMYFUNCTION("""COMPUTED_VALUE"""),46065.0)</f>
        <v>46065</v>
      </c>
      <c r="M78" s="136" t="str">
        <f t="shared" si="1"/>
        <v>Thursday</v>
      </c>
      <c r="N78" s="136" t="str">
        <f>IFERROR(__xludf.DUMMYFUNCTION("""COMPUTED_VALUE"""),"MF")</f>
        <v>MF</v>
      </c>
      <c r="O78" s="141">
        <v>1.0979067415984498</v>
      </c>
      <c r="P78" s="136" t="str">
        <f>IFERROR(__xludf.DUMMYFUNCTION("""COMPUTED_VALUE"""),"")</f>
        <v/>
      </c>
      <c r="Q78" s="136" t="str">
        <f>IFERROR(__xludf.DUMMYFUNCTION("""COMPUTED_VALUE"""),"")</f>
        <v/>
      </c>
      <c r="R78" s="106" t="str">
        <f>IFERROR(__xludf.DUMMYFUNCTION("""COMPUTED_VALUE"""),"")</f>
        <v/>
      </c>
      <c r="S78" s="106" t="str">
        <f>IFERROR(__xludf.DUMMYFUNCTION("""COMPUTED_VALUE"""),"")</f>
        <v/>
      </c>
      <c r="T78" s="139" t="str">
        <f>IFERROR(__xludf.DUMMYFUNCTION("""COMPUTED_VALUE"""),"")</f>
        <v/>
      </c>
      <c r="U78" s="139" t="str">
        <f>IFERROR(__xludf.DUMMYFUNCTION("""COMPUTED_VALUE"""),"")</f>
        <v/>
      </c>
      <c r="V78" s="136" t="str">
        <f>IFERROR(__xludf.DUMMYFUNCTION("""COMPUTED_VALUE"""),"")</f>
        <v/>
      </c>
      <c r="W78" s="106" t="str">
        <f>IFERROR(__xludf.DUMMYFUNCTION("""COMPUTED_VALUE"""),"")</f>
        <v/>
      </c>
      <c r="X78" s="143" t="str">
        <f t="shared" si="2"/>
        <v/>
      </c>
      <c r="Y78" s="139" t="str">
        <f>IFERROR(__xludf.DUMMYFUNCTION("""COMPUTED_VALUE"""),"")</f>
        <v/>
      </c>
      <c r="Z78" s="141" t="str">
        <f>IFERROR(__xludf.DUMMYFUNCTION("""COMPUTED_VALUE"""),"")</f>
        <v/>
      </c>
    </row>
    <row r="79">
      <c r="A79" s="136" t="str">
        <f>IFERROR(__xludf.DUMMYFUNCTION("""COMPUTED_VALUE"""),"LOG-98285A9A")</f>
        <v>LOG-98285A9A</v>
      </c>
      <c r="B79" s="151">
        <f>IFERROR(__xludf.DUMMYFUNCTION("""COMPUTED_VALUE"""),46065.58263888889)</f>
        <v>46065.58264</v>
      </c>
      <c r="C79" s="136" t="str">
        <f>IFERROR(__xludf.DUMMYFUNCTION("""COMPUTED_VALUE"""),"Kyra Turner")</f>
        <v>Kyra Turner</v>
      </c>
      <c r="D79" s="136" t="b">
        <f t="shared" si="3"/>
        <v>0</v>
      </c>
      <c r="E79" s="152">
        <f>IFERROR(__xludf.DUMMYFUNCTION("""COMPUTED_VALUE"""),0.5027777777777778)</f>
        <v>0.5027777778</v>
      </c>
      <c r="F79" s="106">
        <v>0.07986111111111116</v>
      </c>
      <c r="G79" s="152">
        <f>IFERROR(__xludf.DUMMYFUNCTION("""COMPUTED_VALUE"""),0.5826388888888889)</f>
        <v>0.5826388889</v>
      </c>
      <c r="H79" s="106">
        <v>0.13750000000000007</v>
      </c>
      <c r="I79" s="136">
        <f>IFERROR(__xludf.DUMMYFUNCTION("""COMPUTED_VALUE"""),104.0)</f>
        <v>104</v>
      </c>
      <c r="J79" s="139">
        <v>49.99999999999998</v>
      </c>
      <c r="K79" s="136" t="s">
        <v>15</v>
      </c>
      <c r="L79" s="153">
        <f>IFERROR(__xludf.DUMMYFUNCTION("""COMPUTED_VALUE"""),46065.0)</f>
        <v>46065</v>
      </c>
      <c r="M79" s="136" t="str">
        <f t="shared" si="1"/>
        <v>Thursday</v>
      </c>
      <c r="N79" s="136" t="str">
        <f>IFERROR(__xludf.DUMMYFUNCTION("""COMPUTED_VALUE"""),"BF")</f>
        <v>BF</v>
      </c>
      <c r="O79" s="141">
        <v>1.7636280348510385</v>
      </c>
      <c r="P79" s="136" t="str">
        <f>IFERROR(__xludf.DUMMYFUNCTION("""COMPUTED_VALUE"""),"")</f>
        <v/>
      </c>
      <c r="Q79" s="136" t="str">
        <f>IFERROR(__xludf.DUMMYFUNCTION("""COMPUTED_VALUE"""),"")</f>
        <v/>
      </c>
      <c r="R79" s="106" t="str">
        <f>IFERROR(__xludf.DUMMYFUNCTION("""COMPUTED_VALUE"""),"")</f>
        <v/>
      </c>
      <c r="S79" s="106" t="str">
        <f>IFERROR(__xludf.DUMMYFUNCTION("""COMPUTED_VALUE"""),"")</f>
        <v/>
      </c>
      <c r="T79" s="139" t="str">
        <f>IFERROR(__xludf.DUMMYFUNCTION("""COMPUTED_VALUE"""),"")</f>
        <v/>
      </c>
      <c r="U79" s="139" t="str">
        <f>IFERROR(__xludf.DUMMYFUNCTION("""COMPUTED_VALUE"""),"")</f>
        <v/>
      </c>
      <c r="V79" s="136" t="str">
        <f>IFERROR(__xludf.DUMMYFUNCTION("""COMPUTED_VALUE"""),"")</f>
        <v/>
      </c>
      <c r="W79" s="106" t="str">
        <f>IFERROR(__xludf.DUMMYFUNCTION("""COMPUTED_VALUE"""),"")</f>
        <v/>
      </c>
      <c r="X79" s="143" t="str">
        <f t="shared" si="2"/>
        <v/>
      </c>
      <c r="Y79" s="139" t="str">
        <f>IFERROR(__xludf.DUMMYFUNCTION("""COMPUTED_VALUE"""),"")</f>
        <v/>
      </c>
      <c r="Z79" s="141" t="str">
        <f>IFERROR(__xludf.DUMMYFUNCTION("""COMPUTED_VALUE"""),"")</f>
        <v/>
      </c>
    </row>
    <row r="80">
      <c r="A80" s="136" t="str">
        <f>IFERROR(__xludf.DUMMYFUNCTION("""COMPUTED_VALUE"""),"LOG-3E939155")</f>
        <v>LOG-3E939155</v>
      </c>
      <c r="B80" s="151">
        <f>IFERROR(__xludf.DUMMYFUNCTION("""COMPUTED_VALUE"""),46065.64236111111)</f>
        <v>46065.64236</v>
      </c>
      <c r="C80" s="136" t="str">
        <f>IFERROR(__xludf.DUMMYFUNCTION("""COMPUTED_VALUE"""),"Kyra Turner")</f>
        <v>Kyra Turner</v>
      </c>
      <c r="D80" s="136" t="b">
        <f t="shared" si="3"/>
        <v>1</v>
      </c>
      <c r="E80" s="152">
        <f>IFERROR(__xludf.DUMMYFUNCTION("""COMPUTED_VALUE"""),0.5847222222222223)</f>
        <v>0.5847222222</v>
      </c>
      <c r="F80" s="106">
        <v>0.057638888888888906</v>
      </c>
      <c r="G80" s="152">
        <f>IFERROR(__xludf.DUMMYFUNCTION("""COMPUTED_VALUE"""),0.6423611111111112)</f>
        <v>0.6423611111</v>
      </c>
      <c r="H80" s="106" t="s">
        <v>133</v>
      </c>
      <c r="I80" s="136">
        <f>IFERROR(__xludf.DUMMYFUNCTION("""COMPUTED_VALUE"""),61.0)</f>
        <v>61</v>
      </c>
      <c r="J80" s="139" t="s">
        <v>133</v>
      </c>
      <c r="K80" s="136" t="s">
        <v>15</v>
      </c>
      <c r="L80" s="153">
        <f>IFERROR(__xludf.DUMMYFUNCTION("""COMPUTED_VALUE"""),46065.0)</f>
        <v>46065</v>
      </c>
      <c r="M80" s="136" t="str">
        <f t="shared" si="1"/>
        <v>Thursday</v>
      </c>
      <c r="N80" s="136" t="str">
        <f>IFERROR(__xludf.DUMMYFUNCTION("""COMPUTED_VALUE"""),"BF")</f>
        <v>BF</v>
      </c>
      <c r="O80" s="141" t="s">
        <v>133</v>
      </c>
      <c r="P80" s="136" t="str">
        <f>IFERROR(__xludf.DUMMYFUNCTION("""COMPUTED_VALUE"""),"")</f>
        <v/>
      </c>
      <c r="Q80" s="136" t="str">
        <f>IFERROR(__xludf.DUMMYFUNCTION("""COMPUTED_VALUE"""),"")</f>
        <v/>
      </c>
      <c r="R80" s="106" t="str">
        <f>IFERROR(__xludf.DUMMYFUNCTION("""COMPUTED_VALUE"""),"")</f>
        <v/>
      </c>
      <c r="S80" s="106" t="str">
        <f>IFERROR(__xludf.DUMMYFUNCTION("""COMPUTED_VALUE"""),"")</f>
        <v/>
      </c>
      <c r="T80" s="139" t="str">
        <f>IFERROR(__xludf.DUMMYFUNCTION("""COMPUTED_VALUE"""),"")</f>
        <v/>
      </c>
      <c r="U80" s="139" t="str">
        <f>IFERROR(__xludf.DUMMYFUNCTION("""COMPUTED_VALUE"""),"")</f>
        <v/>
      </c>
      <c r="V80" s="136" t="str">
        <f>IFERROR(__xludf.DUMMYFUNCTION("""COMPUTED_VALUE"""),"")</f>
        <v/>
      </c>
      <c r="W80" s="106" t="str">
        <f>IFERROR(__xludf.DUMMYFUNCTION("""COMPUTED_VALUE"""),"")</f>
        <v/>
      </c>
      <c r="X80" s="143" t="str">
        <f t="shared" si="2"/>
        <v/>
      </c>
      <c r="Y80" s="139" t="str">
        <f>IFERROR(__xludf.DUMMYFUNCTION("""COMPUTED_VALUE"""),"")</f>
        <v/>
      </c>
      <c r="Z80" s="141" t="str">
        <f>IFERROR(__xludf.DUMMYFUNCTION("""COMPUTED_VALUE"""),"")</f>
        <v/>
      </c>
    </row>
    <row r="81">
      <c r="A81" s="136" t="str">
        <f>IFERROR(__xludf.DUMMYFUNCTION("""COMPUTED_VALUE"""),"LOG-7596C969")</f>
        <v>LOG-7596C969</v>
      </c>
      <c r="B81" s="151">
        <f>IFERROR(__xludf.DUMMYFUNCTION("""COMPUTED_VALUE"""),46065.78125)</f>
        <v>46065.78125</v>
      </c>
      <c r="C81" s="136" t="str">
        <f>IFERROR(__xludf.DUMMYFUNCTION("""COMPUTED_VALUE"""),"Emmett Khan")</f>
        <v>Emmett Khan</v>
      </c>
      <c r="D81" s="136" t="b">
        <f t="shared" si="3"/>
        <v>0</v>
      </c>
      <c r="E81" s="152">
        <f>IFERROR(__xludf.DUMMYFUNCTION("""COMPUTED_VALUE"""),0.7083333333333334)</f>
        <v>0.7083333333</v>
      </c>
      <c r="F81" s="106">
        <v>0.07291666666666663</v>
      </c>
      <c r="G81" s="152">
        <f>IFERROR(__xludf.DUMMYFUNCTION("""COMPUTED_VALUE"""),0.78125)</f>
        <v>0.78125</v>
      </c>
      <c r="H81" s="106">
        <v>0.07291666666666663</v>
      </c>
      <c r="I81" s="136">
        <f>IFERROR(__xludf.DUMMYFUNCTION("""COMPUTED_VALUE"""),64.0)</f>
        <v>64</v>
      </c>
      <c r="J81" s="139">
        <v>36.57142857142859</v>
      </c>
      <c r="K81" s="136" t="s">
        <v>18</v>
      </c>
      <c r="L81" s="153">
        <f>IFERROR(__xludf.DUMMYFUNCTION("""COMPUTED_VALUE"""),46065.0)</f>
        <v>46065</v>
      </c>
      <c r="M81" s="136" t="str">
        <f t="shared" si="1"/>
        <v>Thursday</v>
      </c>
      <c r="N81" s="136" t="str">
        <f>IFERROR(__xludf.DUMMYFUNCTION("""COMPUTED_VALUE"""),"BF")</f>
        <v>BF</v>
      </c>
      <c r="O81" s="141">
        <v>0.8230909755086658</v>
      </c>
      <c r="P81" s="136" t="str">
        <f>IFERROR(__xludf.DUMMYFUNCTION("""COMPUTED_VALUE"""),"")</f>
        <v/>
      </c>
      <c r="Q81" s="136" t="str">
        <f>IFERROR(__xludf.DUMMYFUNCTION("""COMPUTED_VALUE"""),"")</f>
        <v/>
      </c>
      <c r="R81" s="106" t="str">
        <f>IFERROR(__xludf.DUMMYFUNCTION("""COMPUTED_VALUE"""),"")</f>
        <v/>
      </c>
      <c r="S81" s="106" t="str">
        <f>IFERROR(__xludf.DUMMYFUNCTION("""COMPUTED_VALUE"""),"")</f>
        <v/>
      </c>
      <c r="T81" s="139" t="str">
        <f>IFERROR(__xludf.DUMMYFUNCTION("""COMPUTED_VALUE"""),"")</f>
        <v/>
      </c>
      <c r="U81" s="139" t="str">
        <f>IFERROR(__xludf.DUMMYFUNCTION("""COMPUTED_VALUE"""),"")</f>
        <v/>
      </c>
      <c r="V81" s="136" t="str">
        <f>IFERROR(__xludf.DUMMYFUNCTION("""COMPUTED_VALUE"""),"")</f>
        <v/>
      </c>
      <c r="W81" s="106" t="str">
        <f>IFERROR(__xludf.DUMMYFUNCTION("""COMPUTED_VALUE"""),"")</f>
        <v/>
      </c>
      <c r="X81" s="143" t="str">
        <f t="shared" si="2"/>
        <v/>
      </c>
      <c r="Y81" s="139" t="str">
        <f>IFERROR(__xludf.DUMMYFUNCTION("""COMPUTED_VALUE"""),"")</f>
        <v/>
      </c>
      <c r="Z81" s="141" t="str">
        <f>IFERROR(__xludf.DUMMYFUNCTION("""COMPUTED_VALUE"""),"")</f>
        <v/>
      </c>
    </row>
    <row r="82">
      <c r="A82" s="136" t="str">
        <f>IFERROR(__xludf.DUMMYFUNCTION("""COMPUTED_VALUE"""),"LOG-9ECAC40D")</f>
        <v>LOG-9ECAC40D</v>
      </c>
      <c r="B82" s="151">
        <f>IFERROR(__xludf.DUMMYFUNCTION("""COMPUTED_VALUE"""),46065.770833333336)</f>
        <v>46065.77083</v>
      </c>
      <c r="C82" s="136" t="str">
        <f>IFERROR(__xludf.DUMMYFUNCTION("""COMPUTED_VALUE"""),"Leah Bucci")</f>
        <v>Leah Bucci</v>
      </c>
      <c r="D82" s="136" t="b">
        <f t="shared" si="3"/>
        <v>0</v>
      </c>
      <c r="E82" s="152">
        <f>IFERROR(__xludf.DUMMYFUNCTION("""COMPUTED_VALUE"""),0.6875)</f>
        <v>0.6875</v>
      </c>
      <c r="F82" s="106">
        <v>0.08333333333333337</v>
      </c>
      <c r="G82" s="152">
        <f>IFERROR(__xludf.DUMMYFUNCTION("""COMPUTED_VALUE"""),0.7708333333333334)</f>
        <v>0.7708333333</v>
      </c>
      <c r="H82" s="106">
        <v>0.1597222222222222</v>
      </c>
      <c r="I82" s="136">
        <f>IFERROR(__xludf.DUMMYFUNCTION("""COMPUTED_VALUE"""),115.0)</f>
        <v>115</v>
      </c>
      <c r="J82" s="139">
        <v>57.652173913043484</v>
      </c>
      <c r="K82" s="136" t="s">
        <v>18</v>
      </c>
      <c r="L82" s="153">
        <f>IFERROR(__xludf.DUMMYFUNCTION("""COMPUTED_VALUE"""),46065.0)</f>
        <v>46065</v>
      </c>
      <c r="M82" s="136" t="str">
        <f t="shared" si="1"/>
        <v>Thursday</v>
      </c>
      <c r="N82" s="136" t="str">
        <f>IFERROR(__xludf.DUMMYFUNCTION("""COMPUTED_VALUE"""),"MF")</f>
        <v>MF</v>
      </c>
      <c r="O82" s="141">
        <v>1.2058739451263545</v>
      </c>
      <c r="P82" s="136" t="str">
        <f>IFERROR(__xludf.DUMMYFUNCTION("""COMPUTED_VALUE"""),"")</f>
        <v/>
      </c>
      <c r="Q82" s="136" t="str">
        <f>IFERROR(__xludf.DUMMYFUNCTION("""COMPUTED_VALUE"""),"")</f>
        <v/>
      </c>
      <c r="R82" s="106" t="str">
        <f>IFERROR(__xludf.DUMMYFUNCTION("""COMPUTED_VALUE"""),"")</f>
        <v/>
      </c>
      <c r="S82" s="106" t="str">
        <f>IFERROR(__xludf.DUMMYFUNCTION("""COMPUTED_VALUE"""),"")</f>
        <v/>
      </c>
      <c r="T82" s="139" t="str">
        <f>IFERROR(__xludf.DUMMYFUNCTION("""COMPUTED_VALUE"""),"")</f>
        <v/>
      </c>
      <c r="U82" s="139" t="str">
        <f>IFERROR(__xludf.DUMMYFUNCTION("""COMPUTED_VALUE"""),"")</f>
        <v/>
      </c>
      <c r="V82" s="136" t="str">
        <f>IFERROR(__xludf.DUMMYFUNCTION("""COMPUTED_VALUE"""),"")</f>
        <v/>
      </c>
      <c r="W82" s="106" t="str">
        <f>IFERROR(__xludf.DUMMYFUNCTION("""COMPUTED_VALUE"""),"")</f>
        <v/>
      </c>
      <c r="X82" s="143" t="str">
        <f t="shared" si="2"/>
        <v/>
      </c>
      <c r="Y82" s="139" t="str">
        <f>IFERROR(__xludf.DUMMYFUNCTION("""COMPUTED_VALUE"""),"")</f>
        <v/>
      </c>
      <c r="Z82" s="141" t="str">
        <f>IFERROR(__xludf.DUMMYFUNCTION("""COMPUTED_VALUE"""),"")</f>
        <v/>
      </c>
    </row>
    <row r="83">
      <c r="A83" s="136" t="str">
        <f>IFERROR(__xludf.DUMMYFUNCTION("""COMPUTED_VALUE"""),"LOG-85C0F4ED")</f>
        <v>LOG-85C0F4ED</v>
      </c>
      <c r="B83" s="151">
        <f>IFERROR(__xludf.DUMMYFUNCTION("""COMPUTED_VALUE"""),46065.84722222222)</f>
        <v>46065.84722</v>
      </c>
      <c r="C83" s="136" t="str">
        <f>IFERROR(__xludf.DUMMYFUNCTION("""COMPUTED_VALUE"""),"Leah Bucci")</f>
        <v>Leah Bucci</v>
      </c>
      <c r="D83" s="136" t="b">
        <f t="shared" si="3"/>
        <v>1</v>
      </c>
      <c r="E83" s="152">
        <f>IFERROR(__xludf.DUMMYFUNCTION("""COMPUTED_VALUE"""),0.7708333333333334)</f>
        <v>0.7708333333</v>
      </c>
      <c r="F83" s="106">
        <v>0.07638888888888884</v>
      </c>
      <c r="G83" s="152">
        <f>IFERROR(__xludf.DUMMYFUNCTION("""COMPUTED_VALUE"""),0.8472222222222222)</f>
        <v>0.8472222222</v>
      </c>
      <c r="H83" s="106" t="s">
        <v>133</v>
      </c>
      <c r="I83" s="136">
        <f>IFERROR(__xludf.DUMMYFUNCTION("""COMPUTED_VALUE"""),106.0)</f>
        <v>106</v>
      </c>
      <c r="J83" s="139" t="s">
        <v>133</v>
      </c>
      <c r="K83" s="136" t="s">
        <v>18</v>
      </c>
      <c r="L83" s="153">
        <f>IFERROR(__xludf.DUMMYFUNCTION("""COMPUTED_VALUE"""),46065.0)</f>
        <v>46065</v>
      </c>
      <c r="M83" s="136" t="str">
        <f t="shared" si="1"/>
        <v>Thursday</v>
      </c>
      <c r="N83" s="136" t="str">
        <f>IFERROR(__xludf.DUMMYFUNCTION("""COMPUTED_VALUE"""),"BF")</f>
        <v>BF</v>
      </c>
      <c r="O83" s="141" t="s">
        <v>133</v>
      </c>
      <c r="P83" s="136">
        <f>IFERROR(__xludf.DUMMYFUNCTION("""COMPUTED_VALUE"""),184.0)</f>
        <v>184</v>
      </c>
      <c r="Q83" s="136">
        <f>IFERROR(__xludf.DUMMYFUNCTION("""COMPUTED_VALUE"""),463.0)</f>
        <v>463</v>
      </c>
      <c r="R83" s="106">
        <f>IFERROR(__xludf.DUMMYFUNCTION("""COMPUTED_VALUE"""),0.13541666666666669)</f>
        <v>0.1354166667</v>
      </c>
      <c r="S83" s="106">
        <f>IFERROR(__xludf.DUMMYFUNCTION("""COMPUTED_VALUE"""),0.4645833333333333)</f>
        <v>0.4645833333</v>
      </c>
      <c r="T83" s="139">
        <f>IFERROR(__xludf.DUMMYFUNCTION("""COMPUTED_VALUE"""),56.42608695652175)</f>
        <v>56.42608696</v>
      </c>
      <c r="U83" s="139">
        <f>IFERROR(__xludf.DUMMYFUNCTION("""COMPUTED_VALUE"""),34.86593406593406)</f>
        <v>34.86593407</v>
      </c>
      <c r="V83" s="136">
        <f>IFERROR(__xludf.DUMMYFUNCTION("""COMPUTED_VALUE"""),647.0)</f>
        <v>647</v>
      </c>
      <c r="W83" s="106">
        <f>IFERROR(__xludf.DUMMYFUNCTION("""COMPUTED_VALUE"""),0.6)</f>
        <v>0.6</v>
      </c>
      <c r="X83" s="143">
        <f t="shared" si="2"/>
        <v>44.93055556</v>
      </c>
      <c r="Y83" s="139">
        <f>IFERROR(__xludf.DUMMYFUNCTION("""COMPUTED_VALUE"""),42.05265169612996)</f>
        <v>42.0526517</v>
      </c>
      <c r="Z83" s="141">
        <f>IFERROR(__xludf.DUMMYFUNCTION("""COMPUTED_VALUE"""),0.5963772819946445)</f>
        <v>0.596377282</v>
      </c>
    </row>
    <row r="84">
      <c r="A84" s="136" t="str">
        <f>IFERROR(__xludf.DUMMYFUNCTION("""COMPUTED_VALUE"""),"LOG-3252E7DE")</f>
        <v>LOG-3252E7DE</v>
      </c>
      <c r="B84" s="151">
        <f>IFERROR(__xludf.DUMMYFUNCTION("""COMPUTED_VALUE"""),46066.583333333336)</f>
        <v>46066.58333</v>
      </c>
      <c r="C84" s="136" t="str">
        <f>IFERROR(__xludf.DUMMYFUNCTION("""COMPUTED_VALUE"""),"Brynn Hornig")</f>
        <v>Brynn Hornig</v>
      </c>
      <c r="D84" s="136" t="b">
        <f t="shared" si="3"/>
        <v>0</v>
      </c>
      <c r="E84" s="152">
        <f>IFERROR(__xludf.DUMMYFUNCTION("""COMPUTED_VALUE"""),0.5208333333333334)</f>
        <v>0.5208333333</v>
      </c>
      <c r="F84" s="106">
        <v>0.0625</v>
      </c>
      <c r="G84" s="152">
        <f>IFERROR(__xludf.DUMMYFUNCTION("""COMPUTED_VALUE"""),0.5833333333333334)</f>
        <v>0.5833333333</v>
      </c>
      <c r="H84" s="106">
        <v>0.0625</v>
      </c>
      <c r="I84" s="136">
        <f>IFERROR(__xludf.DUMMYFUNCTION("""COMPUTED_VALUE"""),30.0)</f>
        <v>30</v>
      </c>
      <c r="J84" s="139">
        <v>20.0</v>
      </c>
      <c r="K84" s="136" t="s">
        <v>15</v>
      </c>
      <c r="L84" s="153">
        <f>IFERROR(__xludf.DUMMYFUNCTION("""COMPUTED_VALUE"""),46066.0)</f>
        <v>46066</v>
      </c>
      <c r="M84" s="136" t="str">
        <f t="shared" si="1"/>
        <v>Friday</v>
      </c>
      <c r="N84" s="136" t="str">
        <f>IFERROR(__xludf.DUMMYFUNCTION("""COMPUTED_VALUE"""),"BF")</f>
        <v>BF</v>
      </c>
      <c r="O84" s="141">
        <v>0.7054512139404158</v>
      </c>
      <c r="P84" s="136" t="str">
        <f>IFERROR(__xludf.DUMMYFUNCTION("""COMPUTED_VALUE"""),"")</f>
        <v/>
      </c>
      <c r="Q84" s="136" t="str">
        <f>IFERROR(__xludf.DUMMYFUNCTION("""COMPUTED_VALUE"""),"")</f>
        <v/>
      </c>
      <c r="R84" s="106" t="str">
        <f>IFERROR(__xludf.DUMMYFUNCTION("""COMPUTED_VALUE"""),"")</f>
        <v/>
      </c>
      <c r="S84" s="106" t="str">
        <f>IFERROR(__xludf.DUMMYFUNCTION("""COMPUTED_VALUE"""),"")</f>
        <v/>
      </c>
      <c r="T84" s="139" t="str">
        <f>IFERROR(__xludf.DUMMYFUNCTION("""COMPUTED_VALUE"""),"")</f>
        <v/>
      </c>
      <c r="U84" s="139" t="str">
        <f>IFERROR(__xludf.DUMMYFUNCTION("""COMPUTED_VALUE"""),"")</f>
        <v/>
      </c>
      <c r="V84" s="136" t="str">
        <f>IFERROR(__xludf.DUMMYFUNCTION("""COMPUTED_VALUE"""),"")</f>
        <v/>
      </c>
      <c r="W84" s="106" t="str">
        <f>IFERROR(__xludf.DUMMYFUNCTION("""COMPUTED_VALUE"""),"")</f>
        <v/>
      </c>
      <c r="X84" s="143" t="str">
        <f t="shared" si="2"/>
        <v/>
      </c>
      <c r="Y84" s="139" t="str">
        <f>IFERROR(__xludf.DUMMYFUNCTION("""COMPUTED_VALUE"""),"")</f>
        <v/>
      </c>
      <c r="Z84" s="141" t="str">
        <f>IFERROR(__xludf.DUMMYFUNCTION("""COMPUTED_VALUE"""),"")</f>
        <v/>
      </c>
    </row>
    <row r="85">
      <c r="A85" s="136" t="str">
        <f>IFERROR(__xludf.DUMMYFUNCTION("""COMPUTED_VALUE"""),"LOG-BB372F47")</f>
        <v>LOG-BB372F47</v>
      </c>
      <c r="B85" s="151">
        <f>IFERROR(__xludf.DUMMYFUNCTION("""COMPUTED_VALUE"""),46066.75)</f>
        <v>46066.75</v>
      </c>
      <c r="C85" s="136" t="str">
        <f>IFERROR(__xludf.DUMMYFUNCTION("""COMPUTED_VALUE"""),"Leah Bucci")</f>
        <v>Leah Bucci</v>
      </c>
      <c r="D85" s="136" t="b">
        <f t="shared" si="3"/>
        <v>0</v>
      </c>
      <c r="E85" s="152">
        <f>IFERROR(__xludf.DUMMYFUNCTION("""COMPUTED_VALUE"""),0.6666666666666666)</f>
        <v>0.6666666667</v>
      </c>
      <c r="F85" s="106">
        <v>0.08333333333333337</v>
      </c>
      <c r="G85" s="152">
        <f>IFERROR(__xludf.DUMMYFUNCTION("""COMPUTED_VALUE"""),0.75)</f>
        <v>0.75</v>
      </c>
      <c r="H85" s="106">
        <v>0.08333333333333337</v>
      </c>
      <c r="I85" s="136">
        <f>IFERROR(__xludf.DUMMYFUNCTION("""COMPUTED_VALUE"""),89.0)</f>
        <v>89</v>
      </c>
      <c r="J85" s="139">
        <v>44.49999999999998</v>
      </c>
      <c r="K85" s="136" t="s">
        <v>18</v>
      </c>
      <c r="L85" s="153">
        <f>IFERROR(__xludf.DUMMYFUNCTION("""COMPUTED_VALUE"""),46066.0)</f>
        <v>46066</v>
      </c>
      <c r="M85" s="136" t="str">
        <f t="shared" si="1"/>
        <v>Friday</v>
      </c>
      <c r="N85" s="136" t="str">
        <f>IFERROR(__xludf.DUMMYFUNCTION("""COMPUTED_VALUE"""),"MF")</f>
        <v>MF</v>
      </c>
      <c r="O85" s="141">
        <v>0.9307782675994141</v>
      </c>
      <c r="P85" s="136">
        <f>IFERROR(__xludf.DUMMYFUNCTION("""COMPUTED_VALUE"""),89.0)</f>
        <v>89</v>
      </c>
      <c r="Q85" s="136">
        <f>IFERROR(__xludf.DUMMYFUNCTION("""COMPUTED_VALUE"""),30.0)</f>
        <v>30</v>
      </c>
      <c r="R85" s="106">
        <f>IFERROR(__xludf.DUMMYFUNCTION("""COMPUTED_VALUE"""),0.08333333333333337)</f>
        <v>0.08333333333</v>
      </c>
      <c r="S85" s="106">
        <f>IFERROR(__xludf.DUMMYFUNCTION("""COMPUTED_VALUE"""),0.0625)</f>
        <v>0.0625</v>
      </c>
      <c r="T85" s="139">
        <f>IFERROR(__xludf.DUMMYFUNCTION("""COMPUTED_VALUE"""),44.49999999999998)</f>
        <v>44.5</v>
      </c>
      <c r="U85" s="139">
        <f>IFERROR(__xludf.DUMMYFUNCTION("""COMPUTED_VALUE"""),20.0)</f>
        <v>20</v>
      </c>
      <c r="V85" s="136">
        <f>IFERROR(__xludf.DUMMYFUNCTION("""COMPUTED_VALUE"""),119.0)</f>
        <v>119</v>
      </c>
      <c r="W85" s="106">
        <f>IFERROR(__xludf.DUMMYFUNCTION("""COMPUTED_VALUE"""),0.14583333333333337)</f>
        <v>0.1458333333</v>
      </c>
      <c r="X85" s="143">
        <f t="shared" si="2"/>
        <v>34</v>
      </c>
      <c r="Y85" s="139">
        <f>IFERROR(__xludf.DUMMYFUNCTION("""COMPUTED_VALUE"""),32.249999999999986)</f>
        <v>32.25</v>
      </c>
      <c r="Z85" s="141">
        <f>IFERROR(__xludf.DUMMYFUNCTION("""COMPUTED_VALUE"""),0.5936567446999491)</f>
        <v>0.5936567447</v>
      </c>
    </row>
    <row r="86">
      <c r="A86" s="136" t="str">
        <f>IFERROR(__xludf.DUMMYFUNCTION("""COMPUTED_VALUE"""),"LOG-7DF2F1C0")</f>
        <v>LOG-7DF2F1C0</v>
      </c>
      <c r="B86" s="151">
        <f>IFERROR(__xludf.DUMMYFUNCTION("""COMPUTED_VALUE"""),46070.51944444444)</f>
        <v>46070.51944</v>
      </c>
      <c r="C86" s="136" t="str">
        <f>IFERROR(__xludf.DUMMYFUNCTION("""COMPUTED_VALUE"""),"Kaylie Forgue")</f>
        <v>Kaylie Forgue</v>
      </c>
      <c r="D86" s="136" t="b">
        <f t="shared" si="3"/>
        <v>0</v>
      </c>
      <c r="E86" s="152">
        <f>IFERROR(__xludf.DUMMYFUNCTION("""COMPUTED_VALUE"""),0.44722222222222224)</f>
        <v>0.4472222222</v>
      </c>
      <c r="F86" s="106">
        <v>0.07222222222222224</v>
      </c>
      <c r="G86" s="152">
        <f>IFERROR(__xludf.DUMMYFUNCTION("""COMPUTED_VALUE"""),0.5194444444444445)</f>
        <v>0.5194444444</v>
      </c>
      <c r="H86" s="106">
        <v>0.07222222222222224</v>
      </c>
      <c r="I86" s="136">
        <f>IFERROR(__xludf.DUMMYFUNCTION("""COMPUTED_VALUE"""),146.0)</f>
        <v>146</v>
      </c>
      <c r="J86" s="139">
        <v>84.23076923076921</v>
      </c>
      <c r="K86" s="136" t="s">
        <v>134</v>
      </c>
      <c r="L86" s="153">
        <f>IFERROR(__xludf.DUMMYFUNCTION("""COMPUTED_VALUE"""),46070.0)</f>
        <v>46070</v>
      </c>
      <c r="M86" s="136" t="str">
        <f t="shared" si="1"/>
        <v>Tuesday</v>
      </c>
      <c r="N86" s="136" t="str">
        <f>IFERROR(__xludf.DUMMYFUNCTION("""COMPUTED_VALUE"""),"BF")</f>
        <v>BF</v>
      </c>
      <c r="O86" s="141">
        <v>2.7276857320817216</v>
      </c>
      <c r="P86" s="136" t="str">
        <f>IFERROR(__xludf.DUMMYFUNCTION("""COMPUTED_VALUE"""),"")</f>
        <v/>
      </c>
      <c r="Q86" s="136" t="str">
        <f>IFERROR(__xludf.DUMMYFUNCTION("""COMPUTED_VALUE"""),"")</f>
        <v/>
      </c>
      <c r="R86" s="106" t="str">
        <f>IFERROR(__xludf.DUMMYFUNCTION("""COMPUTED_VALUE"""),"")</f>
        <v/>
      </c>
      <c r="S86" s="106" t="str">
        <f>IFERROR(__xludf.DUMMYFUNCTION("""COMPUTED_VALUE"""),"")</f>
        <v/>
      </c>
      <c r="T86" s="139" t="str">
        <f>IFERROR(__xludf.DUMMYFUNCTION("""COMPUTED_VALUE"""),"")</f>
        <v/>
      </c>
      <c r="U86" s="139" t="str">
        <f>IFERROR(__xludf.DUMMYFUNCTION("""COMPUTED_VALUE"""),"")</f>
        <v/>
      </c>
      <c r="V86" s="136" t="str">
        <f>IFERROR(__xludf.DUMMYFUNCTION("""COMPUTED_VALUE"""),"")</f>
        <v/>
      </c>
      <c r="W86" s="106" t="str">
        <f>IFERROR(__xludf.DUMMYFUNCTION("""COMPUTED_VALUE"""),"")</f>
        <v/>
      </c>
      <c r="X86" s="143" t="str">
        <f t="shared" si="2"/>
        <v/>
      </c>
      <c r="Y86" s="139" t="str">
        <f>IFERROR(__xludf.DUMMYFUNCTION("""COMPUTED_VALUE"""),"")</f>
        <v/>
      </c>
      <c r="Z86" s="141" t="str">
        <f>IFERROR(__xludf.DUMMYFUNCTION("""COMPUTED_VALUE"""),"")</f>
        <v/>
      </c>
    </row>
    <row r="87">
      <c r="A87" s="136" t="str">
        <f>IFERROR(__xludf.DUMMYFUNCTION("""COMPUTED_VALUE"""),"LOG-CDE3A5FE")</f>
        <v>LOG-CDE3A5FE</v>
      </c>
      <c r="B87" s="151">
        <f>IFERROR(__xludf.DUMMYFUNCTION("""COMPUTED_VALUE"""),46070.552777777775)</f>
        <v>46070.55278</v>
      </c>
      <c r="C87" s="136" t="str">
        <f>IFERROR(__xludf.DUMMYFUNCTION("""COMPUTED_VALUE"""),"Kyra Turner")</f>
        <v>Kyra Turner</v>
      </c>
      <c r="D87" s="136" t="b">
        <f t="shared" si="3"/>
        <v>0</v>
      </c>
      <c r="E87" s="152">
        <f>IFERROR(__xludf.DUMMYFUNCTION("""COMPUTED_VALUE"""),0.48333333333333334)</f>
        <v>0.4833333333</v>
      </c>
      <c r="F87" s="106">
        <v>0.06944444444444448</v>
      </c>
      <c r="G87" s="152">
        <f>IFERROR(__xludf.DUMMYFUNCTION("""COMPUTED_VALUE"""),0.5527777777777778)</f>
        <v>0.5527777778</v>
      </c>
      <c r="H87" s="106">
        <v>0.10347222222222224</v>
      </c>
      <c r="I87" s="136">
        <f>IFERROR(__xludf.DUMMYFUNCTION("""COMPUTED_VALUE"""),146.0)</f>
        <v>146</v>
      </c>
      <c r="J87" s="139">
        <v>84.56375838926172</v>
      </c>
      <c r="K87" s="136" t="s">
        <v>15</v>
      </c>
      <c r="L87" s="153">
        <f>IFERROR(__xludf.DUMMYFUNCTION("""COMPUTED_VALUE"""),46070.0)</f>
        <v>46070</v>
      </c>
      <c r="M87" s="136" t="str">
        <f t="shared" si="1"/>
        <v>Tuesday</v>
      </c>
      <c r="N87" s="136" t="str">
        <f>IFERROR(__xludf.DUMMYFUNCTION("""COMPUTED_VALUE"""),"MF")</f>
        <v>MF</v>
      </c>
      <c r="O87" s="141">
        <v>1.6819405875085667</v>
      </c>
      <c r="P87" s="136" t="str">
        <f>IFERROR(__xludf.DUMMYFUNCTION("""COMPUTED_VALUE"""),"")</f>
        <v/>
      </c>
      <c r="Q87" s="136" t="str">
        <f>IFERROR(__xludf.DUMMYFUNCTION("""COMPUTED_VALUE"""),"")</f>
        <v/>
      </c>
      <c r="R87" s="106" t="str">
        <f>IFERROR(__xludf.DUMMYFUNCTION("""COMPUTED_VALUE"""),"")</f>
        <v/>
      </c>
      <c r="S87" s="106" t="str">
        <f>IFERROR(__xludf.DUMMYFUNCTION("""COMPUTED_VALUE"""),"")</f>
        <v/>
      </c>
      <c r="T87" s="139" t="str">
        <f>IFERROR(__xludf.DUMMYFUNCTION("""COMPUTED_VALUE"""),"")</f>
        <v/>
      </c>
      <c r="U87" s="139" t="str">
        <f>IFERROR(__xludf.DUMMYFUNCTION("""COMPUTED_VALUE"""),"")</f>
        <v/>
      </c>
      <c r="V87" s="136" t="str">
        <f>IFERROR(__xludf.DUMMYFUNCTION("""COMPUTED_VALUE"""),"")</f>
        <v/>
      </c>
      <c r="W87" s="106" t="str">
        <f>IFERROR(__xludf.DUMMYFUNCTION("""COMPUTED_VALUE"""),"")</f>
        <v/>
      </c>
      <c r="X87" s="143" t="str">
        <f t="shared" si="2"/>
        <v/>
      </c>
      <c r="Y87" s="139" t="str">
        <f>IFERROR(__xludf.DUMMYFUNCTION("""COMPUTED_VALUE"""),"")</f>
        <v/>
      </c>
      <c r="Z87" s="141" t="str">
        <f>IFERROR(__xludf.DUMMYFUNCTION("""COMPUTED_VALUE"""),"")</f>
        <v/>
      </c>
    </row>
    <row r="88">
      <c r="A88" s="136" t="str">
        <f>IFERROR(__xludf.DUMMYFUNCTION("""COMPUTED_VALUE"""),"LOG-30E415FD")</f>
        <v>LOG-30E415FD</v>
      </c>
      <c r="B88" s="151">
        <f>IFERROR(__xludf.DUMMYFUNCTION("""COMPUTED_VALUE"""),46070.59305555555)</f>
        <v>46070.59306</v>
      </c>
      <c r="C88" s="136" t="str">
        <f>IFERROR(__xludf.DUMMYFUNCTION("""COMPUTED_VALUE"""),"Kyra Turner")</f>
        <v>Kyra Turner</v>
      </c>
      <c r="D88" s="136" t="b">
        <f t="shared" si="3"/>
        <v>1</v>
      </c>
      <c r="E88" s="152">
        <f>IFERROR(__xludf.DUMMYFUNCTION("""COMPUTED_VALUE"""),0.5590277777777778)</f>
        <v>0.5590277778</v>
      </c>
      <c r="F88" s="106">
        <v>0.03402777777777777</v>
      </c>
      <c r="G88" s="152">
        <f>IFERROR(__xludf.DUMMYFUNCTION("""COMPUTED_VALUE"""),0.5930555555555556)</f>
        <v>0.5930555556</v>
      </c>
      <c r="H88" s="106" t="s">
        <v>133</v>
      </c>
      <c r="I88" s="136">
        <f>IFERROR(__xludf.DUMMYFUNCTION("""COMPUTED_VALUE"""),64.0)</f>
        <v>64</v>
      </c>
      <c r="J88" s="139" t="s">
        <v>133</v>
      </c>
      <c r="K88" s="136" t="s">
        <v>15</v>
      </c>
      <c r="L88" s="153">
        <f>IFERROR(__xludf.DUMMYFUNCTION("""COMPUTED_VALUE"""),46070.0)</f>
        <v>46070</v>
      </c>
      <c r="M88" s="136" t="str">
        <f t="shared" si="1"/>
        <v>Tuesday</v>
      </c>
      <c r="N88" s="136" t="str">
        <f>IFERROR(__xludf.DUMMYFUNCTION("""COMPUTED_VALUE"""),"MF")</f>
        <v>MF</v>
      </c>
      <c r="O88" s="141" t="s">
        <v>133</v>
      </c>
      <c r="P88" s="136" t="str">
        <f>IFERROR(__xludf.DUMMYFUNCTION("""COMPUTED_VALUE"""),"")</f>
        <v/>
      </c>
      <c r="Q88" s="136" t="str">
        <f>IFERROR(__xludf.DUMMYFUNCTION("""COMPUTED_VALUE"""),"")</f>
        <v/>
      </c>
      <c r="R88" s="106" t="str">
        <f>IFERROR(__xludf.DUMMYFUNCTION("""COMPUTED_VALUE"""),"")</f>
        <v/>
      </c>
      <c r="S88" s="106" t="str">
        <f>IFERROR(__xludf.DUMMYFUNCTION("""COMPUTED_VALUE"""),"")</f>
        <v/>
      </c>
      <c r="T88" s="139" t="str">
        <f>IFERROR(__xludf.DUMMYFUNCTION("""COMPUTED_VALUE"""),"")</f>
        <v/>
      </c>
      <c r="U88" s="139" t="str">
        <f>IFERROR(__xludf.DUMMYFUNCTION("""COMPUTED_VALUE"""),"")</f>
        <v/>
      </c>
      <c r="V88" s="136" t="str">
        <f>IFERROR(__xludf.DUMMYFUNCTION("""COMPUTED_VALUE"""),"")</f>
        <v/>
      </c>
      <c r="W88" s="106" t="str">
        <f>IFERROR(__xludf.DUMMYFUNCTION("""COMPUTED_VALUE"""),"")</f>
        <v/>
      </c>
      <c r="X88" s="143" t="str">
        <f t="shared" si="2"/>
        <v/>
      </c>
      <c r="Y88" s="139" t="str">
        <f>IFERROR(__xludf.DUMMYFUNCTION("""COMPUTED_VALUE"""),"")</f>
        <v/>
      </c>
      <c r="Z88" s="141" t="str">
        <f>IFERROR(__xludf.DUMMYFUNCTION("""COMPUTED_VALUE"""),"")</f>
        <v/>
      </c>
    </row>
    <row r="89">
      <c r="A89" s="136" t="str">
        <f>IFERROR(__xludf.DUMMYFUNCTION("""COMPUTED_VALUE"""),"LOG-4E2D2A23")</f>
        <v>LOG-4E2D2A23</v>
      </c>
      <c r="B89" s="151">
        <f>IFERROR(__xludf.DUMMYFUNCTION("""COMPUTED_VALUE"""),46070.760416666664)</f>
        <v>46070.76042</v>
      </c>
      <c r="C89" s="136" t="str">
        <f>IFERROR(__xludf.DUMMYFUNCTION("""COMPUTED_VALUE"""),"Leah Bucci")</f>
        <v>Leah Bucci</v>
      </c>
      <c r="D89" s="136" t="b">
        <f t="shared" si="3"/>
        <v>0</v>
      </c>
      <c r="E89" s="152">
        <f>IFERROR(__xludf.DUMMYFUNCTION("""COMPUTED_VALUE"""),0.6875)</f>
        <v>0.6875</v>
      </c>
      <c r="F89" s="106">
        <v>0.07291666666666663</v>
      </c>
      <c r="G89" s="152">
        <f>IFERROR(__xludf.DUMMYFUNCTION("""COMPUTED_VALUE"""),0.7604166666666666)</f>
        <v>0.7604166667</v>
      </c>
      <c r="H89" s="106">
        <v>0.1562499999999999</v>
      </c>
      <c r="I89" s="136">
        <f>IFERROR(__xludf.DUMMYFUNCTION("""COMPUTED_VALUE"""),188.0)</f>
        <v>188</v>
      </c>
      <c r="J89" s="139">
        <v>84.00000000000006</v>
      </c>
      <c r="K89" s="136" t="s">
        <v>18</v>
      </c>
      <c r="L89" s="153">
        <f>IFERROR(__xludf.DUMMYFUNCTION("""COMPUTED_VALUE"""),46070.0)</f>
        <v>46070</v>
      </c>
      <c r="M89" s="136" t="str">
        <f t="shared" si="1"/>
        <v>Tuesday</v>
      </c>
      <c r="N89" s="136" t="str">
        <f>IFERROR(__xludf.DUMMYFUNCTION("""COMPUTED_VALUE"""),"BF")</f>
        <v>BF</v>
      </c>
      <c r="O89" s="141">
        <v>1.8905370843714673</v>
      </c>
      <c r="P89" s="136" t="str">
        <f>IFERROR(__xludf.DUMMYFUNCTION("""COMPUTED_VALUE"""),"")</f>
        <v/>
      </c>
      <c r="Q89" s="136" t="str">
        <f>IFERROR(__xludf.DUMMYFUNCTION("""COMPUTED_VALUE"""),"")</f>
        <v/>
      </c>
      <c r="R89" s="106" t="str">
        <f>IFERROR(__xludf.DUMMYFUNCTION("""COMPUTED_VALUE"""),"")</f>
        <v/>
      </c>
      <c r="S89" s="106" t="str">
        <f>IFERROR(__xludf.DUMMYFUNCTION("""COMPUTED_VALUE"""),"")</f>
        <v/>
      </c>
      <c r="T89" s="139" t="str">
        <f>IFERROR(__xludf.DUMMYFUNCTION("""COMPUTED_VALUE"""),"")</f>
        <v/>
      </c>
      <c r="U89" s="139" t="str">
        <f>IFERROR(__xludf.DUMMYFUNCTION("""COMPUTED_VALUE"""),"")</f>
        <v/>
      </c>
      <c r="V89" s="136" t="str">
        <f>IFERROR(__xludf.DUMMYFUNCTION("""COMPUTED_VALUE"""),"")</f>
        <v/>
      </c>
      <c r="W89" s="106" t="str">
        <f>IFERROR(__xludf.DUMMYFUNCTION("""COMPUTED_VALUE"""),"")</f>
        <v/>
      </c>
      <c r="X89" s="143" t="str">
        <f t="shared" si="2"/>
        <v/>
      </c>
      <c r="Y89" s="139" t="str">
        <f>IFERROR(__xludf.DUMMYFUNCTION("""COMPUTED_VALUE"""),"")</f>
        <v/>
      </c>
      <c r="Z89" s="141" t="str">
        <f>IFERROR(__xludf.DUMMYFUNCTION("""COMPUTED_VALUE"""),"")</f>
        <v/>
      </c>
    </row>
    <row r="90">
      <c r="A90" s="136" t="str">
        <f>IFERROR(__xludf.DUMMYFUNCTION("""COMPUTED_VALUE"""),"LOG-6993641C")</f>
        <v>LOG-6993641C</v>
      </c>
      <c r="B90" s="151">
        <f>IFERROR(__xludf.DUMMYFUNCTION("""COMPUTED_VALUE"""),46070.854166666664)</f>
        <v>46070.85417</v>
      </c>
      <c r="C90" s="136" t="str">
        <f>IFERROR(__xludf.DUMMYFUNCTION("""COMPUTED_VALUE"""),"Leah Bucci")</f>
        <v>Leah Bucci</v>
      </c>
      <c r="D90" s="136" t="b">
        <f t="shared" si="3"/>
        <v>1</v>
      </c>
      <c r="E90" s="152">
        <f>IFERROR(__xludf.DUMMYFUNCTION("""COMPUTED_VALUE"""),0.7708333333333334)</f>
        <v>0.7708333333</v>
      </c>
      <c r="F90" s="106">
        <v>0.08333333333333326</v>
      </c>
      <c r="G90" s="152">
        <f>IFERROR(__xludf.DUMMYFUNCTION("""COMPUTED_VALUE"""),0.8541666666666666)</f>
        <v>0.8541666667</v>
      </c>
      <c r="H90" s="106" t="s">
        <v>133</v>
      </c>
      <c r="I90" s="136">
        <f>IFERROR(__xludf.DUMMYFUNCTION("""COMPUTED_VALUE"""),127.0)</f>
        <v>127</v>
      </c>
      <c r="J90" s="139" t="s">
        <v>133</v>
      </c>
      <c r="K90" s="136" t="s">
        <v>18</v>
      </c>
      <c r="L90" s="153">
        <f>IFERROR(__xludf.DUMMYFUNCTION("""COMPUTED_VALUE"""),46070.0)</f>
        <v>46070</v>
      </c>
      <c r="M90" s="136" t="str">
        <f t="shared" si="1"/>
        <v>Tuesday</v>
      </c>
      <c r="N90" s="136" t="str">
        <f>IFERROR(__xludf.DUMMYFUNCTION("""COMPUTED_VALUE"""),"BF")</f>
        <v>BF</v>
      </c>
      <c r="O90" s="141" t="s">
        <v>133</v>
      </c>
      <c r="P90" s="136" t="str">
        <f>IFERROR(__xludf.DUMMYFUNCTION("""COMPUTED_VALUE"""),"")</f>
        <v/>
      </c>
      <c r="Q90" s="136" t="str">
        <f>IFERROR(__xludf.DUMMYFUNCTION("""COMPUTED_VALUE"""),"")</f>
        <v/>
      </c>
      <c r="R90" s="106" t="str">
        <f>IFERROR(__xludf.DUMMYFUNCTION("""COMPUTED_VALUE"""),"")</f>
        <v/>
      </c>
      <c r="S90" s="106" t="str">
        <f>IFERROR(__xludf.DUMMYFUNCTION("""COMPUTED_VALUE"""),"")</f>
        <v/>
      </c>
      <c r="T90" s="139" t="str">
        <f>IFERROR(__xludf.DUMMYFUNCTION("""COMPUTED_VALUE"""),"")</f>
        <v/>
      </c>
      <c r="U90" s="139" t="str">
        <f>IFERROR(__xludf.DUMMYFUNCTION("""COMPUTED_VALUE"""),"")</f>
        <v/>
      </c>
      <c r="V90" s="136" t="str">
        <f>IFERROR(__xludf.DUMMYFUNCTION("""COMPUTED_VALUE"""),"")</f>
        <v/>
      </c>
      <c r="W90" s="106" t="str">
        <f>IFERROR(__xludf.DUMMYFUNCTION("""COMPUTED_VALUE"""),"")</f>
        <v/>
      </c>
      <c r="X90" s="143" t="str">
        <f t="shared" si="2"/>
        <v/>
      </c>
      <c r="Y90" s="139" t="str">
        <f>IFERROR(__xludf.DUMMYFUNCTION("""COMPUTED_VALUE"""),"")</f>
        <v/>
      </c>
      <c r="Z90" s="141" t="str">
        <f>IFERROR(__xludf.DUMMYFUNCTION("""COMPUTED_VALUE"""),"")</f>
        <v/>
      </c>
    </row>
    <row r="91">
      <c r="A91" s="136" t="str">
        <f>IFERROR(__xludf.DUMMYFUNCTION("""COMPUTED_VALUE"""),"LOG-20D504E0")</f>
        <v>LOG-20D504E0</v>
      </c>
      <c r="B91" s="151">
        <f>IFERROR(__xludf.DUMMYFUNCTION("""COMPUTED_VALUE"""),46070.864583333336)</f>
        <v>46070.86458</v>
      </c>
      <c r="C91" s="136" t="str">
        <f>IFERROR(__xludf.DUMMYFUNCTION("""COMPUTED_VALUE"""),"Sophia Kluck")</f>
        <v>Sophia Kluck</v>
      </c>
      <c r="D91" s="136" t="b">
        <f t="shared" si="3"/>
        <v>0</v>
      </c>
      <c r="E91" s="152">
        <f>IFERROR(__xludf.DUMMYFUNCTION("""COMPUTED_VALUE"""),0.7513888888888889)</f>
        <v>0.7513888889</v>
      </c>
      <c r="F91" s="106">
        <v>0.11319444444444449</v>
      </c>
      <c r="G91" s="152">
        <f>IFERROR(__xludf.DUMMYFUNCTION("""COMPUTED_VALUE"""),0.8645833333333334)</f>
        <v>0.8645833333</v>
      </c>
      <c r="H91" s="106">
        <v>0.11319444444444449</v>
      </c>
      <c r="I91" s="136">
        <f>IFERROR(__xludf.DUMMYFUNCTION("""COMPUTED_VALUE"""),117.0)</f>
        <v>117</v>
      </c>
      <c r="J91" s="139">
        <v>43.06748466257667</v>
      </c>
      <c r="K91" s="136" t="s">
        <v>18</v>
      </c>
      <c r="L91" s="153">
        <f>IFERROR(__xludf.DUMMYFUNCTION("""COMPUTED_VALUE"""),46070.0)</f>
        <v>46070</v>
      </c>
      <c r="M91" s="136" t="str">
        <f t="shared" si="1"/>
        <v>Tuesday</v>
      </c>
      <c r="N91" s="136" t="str">
        <f>IFERROR(__xludf.DUMMYFUNCTION("""COMPUTED_VALUE"""),"MF")</f>
        <v>MF</v>
      </c>
      <c r="O91" s="141">
        <v>0.9008152531257857</v>
      </c>
      <c r="P91" s="136">
        <f>IFERROR(__xludf.DUMMYFUNCTION("""COMPUTED_VALUE"""),327.0)</f>
        <v>327</v>
      </c>
      <c r="Q91" s="136">
        <f>IFERROR(__xludf.DUMMYFUNCTION("""COMPUTED_VALUE"""),461.0)</f>
        <v>461</v>
      </c>
      <c r="R91" s="106">
        <f>IFERROR(__xludf.DUMMYFUNCTION("""COMPUTED_VALUE"""),0.21666666666666673)</f>
        <v>0.2166666667</v>
      </c>
      <c r="S91" s="106">
        <f>IFERROR(__xludf.DUMMYFUNCTION("""COMPUTED_VALUE"""),0.22847222222222213)</f>
        <v>0.2284722222</v>
      </c>
      <c r="T91" s="139">
        <f>IFERROR(__xludf.DUMMYFUNCTION("""COMPUTED_VALUE"""),63.8156215259192)</f>
        <v>63.81562153</v>
      </c>
      <c r="U91" s="139">
        <f>IFERROR(__xludf.DUMMYFUNCTION("""COMPUTED_VALUE"""),84.11538461538464)</f>
        <v>84.11538462</v>
      </c>
      <c r="V91" s="136">
        <f>IFERROR(__xludf.DUMMYFUNCTION("""COMPUTED_VALUE"""),788.0)</f>
        <v>788</v>
      </c>
      <c r="W91" s="106">
        <f>IFERROR(__xludf.DUMMYFUNCTION("""COMPUTED_VALUE"""),0.44513888888888886)</f>
        <v>0.4451388889</v>
      </c>
      <c r="X91" s="143">
        <f t="shared" si="2"/>
        <v>73.75975039</v>
      </c>
      <c r="Y91" s="139">
        <f>IFERROR(__xludf.DUMMYFUNCTION("""COMPUTED_VALUE"""),73.9655030706519)</f>
        <v>73.96550307</v>
      </c>
      <c r="Z91" s="141">
        <f>IFERROR(__xludf.DUMMYFUNCTION("""COMPUTED_VALUE"""),0.8959187481580934)</f>
        <v>0.8959187482</v>
      </c>
    </row>
    <row r="92">
      <c r="A92" s="136" t="str">
        <f>IFERROR(__xludf.DUMMYFUNCTION("""COMPUTED_VALUE"""),"LOG-555887C9")</f>
        <v>LOG-555887C9</v>
      </c>
      <c r="B92" s="151">
        <f>IFERROR(__xludf.DUMMYFUNCTION("""COMPUTED_VALUE"""),46071.40277777778)</f>
        <v>46071.40278</v>
      </c>
      <c r="C92" s="136" t="str">
        <f>IFERROR(__xludf.DUMMYFUNCTION("""COMPUTED_VALUE"""),"Kaylie Forgue")</f>
        <v>Kaylie Forgue</v>
      </c>
      <c r="D92" s="136" t="b">
        <f t="shared" si="3"/>
        <v>0</v>
      </c>
      <c r="E92" s="152">
        <f>IFERROR(__xludf.DUMMYFUNCTION("""COMPUTED_VALUE"""),0.3125)</f>
        <v>0.3125</v>
      </c>
      <c r="F92" s="106">
        <v>0.09027777777777779</v>
      </c>
      <c r="G92" s="152">
        <f>IFERROR(__xludf.DUMMYFUNCTION("""COMPUTED_VALUE"""),0.4027777777777778)</f>
        <v>0.4027777778</v>
      </c>
      <c r="H92" s="106">
        <v>0.09027777777777779</v>
      </c>
      <c r="I92" s="136">
        <f>IFERROR(__xludf.DUMMYFUNCTION("""COMPUTED_VALUE"""),47.0)</f>
        <v>47</v>
      </c>
      <c r="J92" s="139">
        <v>21.69230769230769</v>
      </c>
      <c r="K92" s="136" t="s">
        <v>12</v>
      </c>
      <c r="L92" s="153">
        <f>IFERROR(__xludf.DUMMYFUNCTION("""COMPUTED_VALUE"""),46071.0)</f>
        <v>46071</v>
      </c>
      <c r="M92" s="136" t="str">
        <f t="shared" si="1"/>
        <v>Wednesday</v>
      </c>
      <c r="N92" s="136" t="str">
        <f>IFERROR(__xludf.DUMMYFUNCTION("""COMPUTED_VALUE"""),"BF")</f>
        <v>BF</v>
      </c>
      <c r="O92" s="141">
        <v>0.7651432397353739</v>
      </c>
      <c r="P92" s="136" t="str">
        <f>IFERROR(__xludf.DUMMYFUNCTION("""COMPUTED_VALUE"""),"")</f>
        <v/>
      </c>
      <c r="Q92" s="136" t="str">
        <f>IFERROR(__xludf.DUMMYFUNCTION("""COMPUTED_VALUE"""),"")</f>
        <v/>
      </c>
      <c r="R92" s="106" t="str">
        <f>IFERROR(__xludf.DUMMYFUNCTION("""COMPUTED_VALUE"""),"")</f>
        <v/>
      </c>
      <c r="S92" s="106" t="str">
        <f>IFERROR(__xludf.DUMMYFUNCTION("""COMPUTED_VALUE"""),"")</f>
        <v/>
      </c>
      <c r="T92" s="139" t="str">
        <f>IFERROR(__xludf.DUMMYFUNCTION("""COMPUTED_VALUE"""),"")</f>
        <v/>
      </c>
      <c r="U92" s="139" t="str">
        <f>IFERROR(__xludf.DUMMYFUNCTION("""COMPUTED_VALUE"""),"")</f>
        <v/>
      </c>
      <c r="V92" s="136" t="str">
        <f>IFERROR(__xludf.DUMMYFUNCTION("""COMPUTED_VALUE"""),"")</f>
        <v/>
      </c>
      <c r="W92" s="106" t="str">
        <f>IFERROR(__xludf.DUMMYFUNCTION("""COMPUTED_VALUE"""),"")</f>
        <v/>
      </c>
      <c r="X92" s="143" t="str">
        <f t="shared" si="2"/>
        <v/>
      </c>
      <c r="Y92" s="139" t="str">
        <f>IFERROR(__xludf.DUMMYFUNCTION("""COMPUTED_VALUE"""),"")</f>
        <v/>
      </c>
      <c r="Z92" s="141" t="str">
        <f>IFERROR(__xludf.DUMMYFUNCTION("""COMPUTED_VALUE"""),"")</f>
        <v/>
      </c>
    </row>
    <row r="93">
      <c r="A93" s="136" t="str">
        <f>IFERROR(__xludf.DUMMYFUNCTION("""COMPUTED_VALUE"""),"LOG-5C11DAD9")</f>
        <v>LOG-5C11DAD9</v>
      </c>
      <c r="B93" s="151">
        <f>IFERROR(__xludf.DUMMYFUNCTION("""COMPUTED_VALUE"""),46071.57638888889)</f>
        <v>46071.57639</v>
      </c>
      <c r="C93" s="136" t="str">
        <f>IFERROR(__xludf.DUMMYFUNCTION("""COMPUTED_VALUE"""),"Oluwatimilehin Shodipe")</f>
        <v>Oluwatimilehin Shodipe</v>
      </c>
      <c r="D93" s="136" t="b">
        <f t="shared" si="3"/>
        <v>0</v>
      </c>
      <c r="E93" s="152">
        <f>IFERROR(__xludf.DUMMYFUNCTION("""COMPUTED_VALUE"""),0.5)</f>
        <v>0.5</v>
      </c>
      <c r="F93" s="106">
        <v>0.07638888888888884</v>
      </c>
      <c r="G93" s="152">
        <f>IFERROR(__xludf.DUMMYFUNCTION("""COMPUTED_VALUE"""),0.5763888888888888)</f>
        <v>0.5763888889</v>
      </c>
      <c r="H93" s="106">
        <v>0.07638888888888884</v>
      </c>
      <c r="I93" s="136">
        <f>IFERROR(__xludf.DUMMYFUNCTION("""COMPUTED_VALUE"""),94.0)</f>
        <v>94</v>
      </c>
      <c r="J93" s="139">
        <v>51.27272727272731</v>
      </c>
      <c r="K93" s="136" t="s">
        <v>15</v>
      </c>
      <c r="L93" s="153">
        <f>IFERROR(__xludf.DUMMYFUNCTION("""COMPUTED_VALUE"""),46071.0)</f>
        <v>46071</v>
      </c>
      <c r="M93" s="136" t="str">
        <f t="shared" si="1"/>
        <v>Wednesday</v>
      </c>
      <c r="N93" s="136" t="str">
        <f>IFERROR(__xludf.DUMMYFUNCTION("""COMPUTED_VALUE"""),"BF")</f>
        <v>BF</v>
      </c>
      <c r="O93" s="141">
        <v>1.808520384829067</v>
      </c>
      <c r="P93" s="136" t="str">
        <f>IFERROR(__xludf.DUMMYFUNCTION("""COMPUTED_VALUE"""),"")</f>
        <v/>
      </c>
      <c r="Q93" s="136" t="str">
        <f>IFERROR(__xludf.DUMMYFUNCTION("""COMPUTED_VALUE"""),"")</f>
        <v/>
      </c>
      <c r="R93" s="106" t="str">
        <f>IFERROR(__xludf.DUMMYFUNCTION("""COMPUTED_VALUE"""),"")</f>
        <v/>
      </c>
      <c r="S93" s="106" t="str">
        <f>IFERROR(__xludf.DUMMYFUNCTION("""COMPUTED_VALUE"""),"")</f>
        <v/>
      </c>
      <c r="T93" s="139" t="str">
        <f>IFERROR(__xludf.DUMMYFUNCTION("""COMPUTED_VALUE"""),"")</f>
        <v/>
      </c>
      <c r="U93" s="139" t="str">
        <f>IFERROR(__xludf.DUMMYFUNCTION("""COMPUTED_VALUE"""),"")</f>
        <v/>
      </c>
      <c r="V93" s="136" t="str">
        <f>IFERROR(__xludf.DUMMYFUNCTION("""COMPUTED_VALUE"""),"")</f>
        <v/>
      </c>
      <c r="W93" s="106" t="str">
        <f>IFERROR(__xludf.DUMMYFUNCTION("""COMPUTED_VALUE"""),"")</f>
        <v/>
      </c>
      <c r="X93" s="143" t="str">
        <f t="shared" si="2"/>
        <v/>
      </c>
      <c r="Y93" s="139" t="str">
        <f>IFERROR(__xludf.DUMMYFUNCTION("""COMPUTED_VALUE"""),"")</f>
        <v/>
      </c>
      <c r="Z93" s="141" t="str">
        <f>IFERROR(__xludf.DUMMYFUNCTION("""COMPUTED_VALUE"""),"")</f>
        <v/>
      </c>
    </row>
    <row r="94">
      <c r="A94" s="136" t="str">
        <f>IFERROR(__xludf.DUMMYFUNCTION("""COMPUTED_VALUE"""),"LOG-185E8865")</f>
        <v>LOG-185E8865</v>
      </c>
      <c r="B94" s="151">
        <f>IFERROR(__xludf.DUMMYFUNCTION("""COMPUTED_VALUE"""),46071.618055555555)</f>
        <v>46071.61806</v>
      </c>
      <c r="C94" s="136" t="str">
        <f>IFERROR(__xludf.DUMMYFUNCTION("""COMPUTED_VALUE"""),"Evan Morgan")</f>
        <v>Evan Morgan</v>
      </c>
      <c r="D94" s="136" t="b">
        <f t="shared" si="3"/>
        <v>0</v>
      </c>
      <c r="E94" s="152">
        <f>IFERROR(__xludf.DUMMYFUNCTION("""COMPUTED_VALUE"""),0.5416666666666666)</f>
        <v>0.5416666667</v>
      </c>
      <c r="F94" s="106">
        <v>0.07638888888888895</v>
      </c>
      <c r="G94" s="152">
        <f>IFERROR(__xludf.DUMMYFUNCTION("""COMPUTED_VALUE"""),0.6180555555555556)</f>
        <v>0.6180555556</v>
      </c>
      <c r="H94" s="106">
        <v>0.07638888888888895</v>
      </c>
      <c r="I94" s="136">
        <f>IFERROR(__xludf.DUMMYFUNCTION("""COMPUTED_VALUE"""),99.0)</f>
        <v>99</v>
      </c>
      <c r="J94" s="139">
        <v>53.99999999999996</v>
      </c>
      <c r="K94" s="136" t="s">
        <v>15</v>
      </c>
      <c r="L94" s="153">
        <f>IFERROR(__xludf.DUMMYFUNCTION("""COMPUTED_VALUE"""),46071.0)</f>
        <v>46071</v>
      </c>
      <c r="M94" s="136" t="str">
        <f t="shared" si="1"/>
        <v>Wednesday</v>
      </c>
      <c r="N94" s="136" t="str">
        <f>IFERROR(__xludf.DUMMYFUNCTION("""COMPUTED_VALUE"""),"MF")</f>
        <v>MF</v>
      </c>
      <c r="O94" s="141">
        <v>1.0740392037376127</v>
      </c>
      <c r="P94" s="136" t="str">
        <f>IFERROR(__xludf.DUMMYFUNCTION("""COMPUTED_VALUE"""),"")</f>
        <v/>
      </c>
      <c r="Q94" s="136" t="str">
        <f>IFERROR(__xludf.DUMMYFUNCTION("""COMPUTED_VALUE"""),"")</f>
        <v/>
      </c>
      <c r="R94" s="106" t="str">
        <f>IFERROR(__xludf.DUMMYFUNCTION("""COMPUTED_VALUE"""),"")</f>
        <v/>
      </c>
      <c r="S94" s="106" t="str">
        <f>IFERROR(__xludf.DUMMYFUNCTION("""COMPUTED_VALUE"""),"")</f>
        <v/>
      </c>
      <c r="T94" s="139" t="str">
        <f>IFERROR(__xludf.DUMMYFUNCTION("""COMPUTED_VALUE"""),"")</f>
        <v/>
      </c>
      <c r="U94" s="139" t="str">
        <f>IFERROR(__xludf.DUMMYFUNCTION("""COMPUTED_VALUE"""),"")</f>
        <v/>
      </c>
      <c r="V94" s="136" t="str">
        <f>IFERROR(__xludf.DUMMYFUNCTION("""COMPUTED_VALUE"""),"")</f>
        <v/>
      </c>
      <c r="W94" s="106" t="str">
        <f>IFERROR(__xludf.DUMMYFUNCTION("""COMPUTED_VALUE"""),"")</f>
        <v/>
      </c>
      <c r="X94" s="143" t="str">
        <f t="shared" si="2"/>
        <v/>
      </c>
      <c r="Y94" s="139" t="str">
        <f>IFERROR(__xludf.DUMMYFUNCTION("""COMPUTED_VALUE"""),"")</f>
        <v/>
      </c>
      <c r="Z94" s="141" t="str">
        <f>IFERROR(__xludf.DUMMYFUNCTION("""COMPUTED_VALUE"""),"")</f>
        <v/>
      </c>
    </row>
    <row r="95">
      <c r="A95" s="136" t="str">
        <f>IFERROR(__xludf.DUMMYFUNCTION("""COMPUTED_VALUE"""),"LOG-7B4562C5")</f>
        <v>LOG-7B4562C5</v>
      </c>
      <c r="B95" s="151">
        <f>IFERROR(__xludf.DUMMYFUNCTION("""COMPUTED_VALUE"""),46071.694444444445)</f>
        <v>46071.69444</v>
      </c>
      <c r="C95" s="136" t="str">
        <f>IFERROR(__xludf.DUMMYFUNCTION("""COMPUTED_VALUE"""),"Evan Morgan")</f>
        <v>Evan Morgan</v>
      </c>
      <c r="D95" s="136" t="b">
        <f t="shared" si="3"/>
        <v>0</v>
      </c>
      <c r="E95" s="152">
        <f>IFERROR(__xludf.DUMMYFUNCTION("""COMPUTED_VALUE"""),0.6666666666666666)</f>
        <v>0.6666666667</v>
      </c>
      <c r="F95" s="106">
        <v>0.02777777777777779</v>
      </c>
      <c r="G95" s="152">
        <f>IFERROR(__xludf.DUMMYFUNCTION("""COMPUTED_VALUE"""),0.6944444444444444)</f>
        <v>0.6944444444</v>
      </c>
      <c r="H95" s="106">
        <v>0.02777777777777779</v>
      </c>
      <c r="I95" s="136">
        <f>IFERROR(__xludf.DUMMYFUNCTION("""COMPUTED_VALUE"""),35.0)</f>
        <v>35</v>
      </c>
      <c r="J95" s="139">
        <v>52.49999999999998</v>
      </c>
      <c r="K95" s="136" t="s">
        <v>18</v>
      </c>
      <c r="L95" s="153">
        <f>IFERROR(__xludf.DUMMYFUNCTION("""COMPUTED_VALUE"""),46071.0)</f>
        <v>46071</v>
      </c>
      <c r="M95" s="136" t="str">
        <f t="shared" si="1"/>
        <v>Wednesday</v>
      </c>
      <c r="N95" s="136" t="str">
        <f>IFERROR(__xludf.DUMMYFUNCTION("""COMPUTED_VALUE"""),"MF")</f>
        <v>MF</v>
      </c>
      <c r="O95" s="141">
        <v>1.0981091921116684</v>
      </c>
      <c r="P95" s="136" t="str">
        <f>IFERROR(__xludf.DUMMYFUNCTION("""COMPUTED_VALUE"""),"")</f>
        <v/>
      </c>
      <c r="Q95" s="136" t="str">
        <f>IFERROR(__xludf.DUMMYFUNCTION("""COMPUTED_VALUE"""),"")</f>
        <v/>
      </c>
      <c r="R95" s="106" t="str">
        <f>IFERROR(__xludf.DUMMYFUNCTION("""COMPUTED_VALUE"""),"")</f>
        <v/>
      </c>
      <c r="S95" s="106" t="str">
        <f>IFERROR(__xludf.DUMMYFUNCTION("""COMPUTED_VALUE"""),"")</f>
        <v/>
      </c>
      <c r="T95" s="139" t="str">
        <f>IFERROR(__xludf.DUMMYFUNCTION("""COMPUTED_VALUE"""),"")</f>
        <v/>
      </c>
      <c r="U95" s="139" t="str">
        <f>IFERROR(__xludf.DUMMYFUNCTION("""COMPUTED_VALUE"""),"")</f>
        <v/>
      </c>
      <c r="V95" s="136" t="str">
        <f>IFERROR(__xludf.DUMMYFUNCTION("""COMPUTED_VALUE"""),"")</f>
        <v/>
      </c>
      <c r="W95" s="106" t="str">
        <f>IFERROR(__xludf.DUMMYFUNCTION("""COMPUTED_VALUE"""),"")</f>
        <v/>
      </c>
      <c r="X95" s="143" t="str">
        <f t="shared" si="2"/>
        <v/>
      </c>
      <c r="Y95" s="139" t="str">
        <f>IFERROR(__xludf.DUMMYFUNCTION("""COMPUTED_VALUE"""),"")</f>
        <v/>
      </c>
      <c r="Z95" s="141" t="str">
        <f>IFERROR(__xludf.DUMMYFUNCTION("""COMPUTED_VALUE"""),"")</f>
        <v/>
      </c>
    </row>
    <row r="96">
      <c r="A96" s="136" t="str">
        <f>IFERROR(__xludf.DUMMYFUNCTION("""COMPUTED_VALUE"""),"LOG-82076C12")</f>
        <v>LOG-82076C12</v>
      </c>
      <c r="B96" s="151">
        <f>IFERROR(__xludf.DUMMYFUNCTION("""COMPUTED_VALUE"""),46071.854166666664)</f>
        <v>46071.85417</v>
      </c>
      <c r="C96" s="136" t="str">
        <f>IFERROR(__xludf.DUMMYFUNCTION("""COMPUTED_VALUE"""),"Maureen Surgot")</f>
        <v>Maureen Surgot</v>
      </c>
      <c r="D96" s="136" t="b">
        <f t="shared" si="3"/>
        <v>0</v>
      </c>
      <c r="E96" s="152">
        <f>IFERROR(__xludf.DUMMYFUNCTION("""COMPUTED_VALUE"""),0.6875)</f>
        <v>0.6875</v>
      </c>
      <c r="F96" s="106">
        <v>0.16666666666666663</v>
      </c>
      <c r="G96" s="152">
        <f>IFERROR(__xludf.DUMMYFUNCTION("""COMPUTED_VALUE"""),0.8541666666666666)</f>
        <v>0.8541666667</v>
      </c>
      <c r="H96" s="106">
        <v>0.16666666666666663</v>
      </c>
      <c r="I96" s="136">
        <f>IFERROR(__xludf.DUMMYFUNCTION("""COMPUTED_VALUE"""),109.0)</f>
        <v>109</v>
      </c>
      <c r="J96" s="139">
        <v>27.250000000000007</v>
      </c>
      <c r="K96" s="136" t="s">
        <v>18</v>
      </c>
      <c r="L96" s="153">
        <f>IFERROR(__xludf.DUMMYFUNCTION("""COMPUTED_VALUE"""),46071.0)</f>
        <v>46071</v>
      </c>
      <c r="M96" s="136" t="str">
        <f t="shared" si="1"/>
        <v>Wednesday</v>
      </c>
      <c r="N96" s="136" t="str">
        <f>IFERROR(__xludf.DUMMYFUNCTION("""COMPUTED_VALUE"""),"BF")</f>
        <v>BF</v>
      </c>
      <c r="O96" s="141">
        <v>0.6132992327276483</v>
      </c>
      <c r="P96" s="136" t="str">
        <f>IFERROR(__xludf.DUMMYFUNCTION("""COMPUTED_VALUE"""),"")</f>
        <v/>
      </c>
      <c r="Q96" s="136" t="str">
        <f>IFERROR(__xludf.DUMMYFUNCTION("""COMPUTED_VALUE"""),"")</f>
        <v/>
      </c>
      <c r="R96" s="106" t="str">
        <f>IFERROR(__xludf.DUMMYFUNCTION("""COMPUTED_VALUE"""),"")</f>
        <v/>
      </c>
      <c r="S96" s="106" t="str">
        <f>IFERROR(__xludf.DUMMYFUNCTION("""COMPUTED_VALUE"""),"")</f>
        <v/>
      </c>
      <c r="T96" s="139" t="str">
        <f>IFERROR(__xludf.DUMMYFUNCTION("""COMPUTED_VALUE"""),"")</f>
        <v/>
      </c>
      <c r="U96" s="139" t="str">
        <f>IFERROR(__xludf.DUMMYFUNCTION("""COMPUTED_VALUE"""),"")</f>
        <v/>
      </c>
      <c r="V96" s="136" t="str">
        <f>IFERROR(__xludf.DUMMYFUNCTION("""COMPUTED_VALUE"""),"")</f>
        <v/>
      </c>
      <c r="W96" s="106" t="str">
        <f>IFERROR(__xludf.DUMMYFUNCTION("""COMPUTED_VALUE"""),"")</f>
        <v/>
      </c>
      <c r="X96" s="143" t="str">
        <f t="shared" si="2"/>
        <v/>
      </c>
      <c r="Y96" s="139" t="str">
        <f>IFERROR(__xludf.DUMMYFUNCTION("""COMPUTED_VALUE"""),"")</f>
        <v/>
      </c>
      <c r="Z96" s="141" t="str">
        <f>IFERROR(__xludf.DUMMYFUNCTION("""COMPUTED_VALUE"""),"")</f>
        <v/>
      </c>
    </row>
    <row r="97">
      <c r="A97" s="136" t="str">
        <f>IFERROR(__xludf.DUMMYFUNCTION("""COMPUTED_VALUE"""),"LOG-D7A4F3DB")</f>
        <v>LOG-D7A4F3DB</v>
      </c>
      <c r="B97" s="151">
        <f>IFERROR(__xludf.DUMMYFUNCTION("""COMPUTED_VALUE"""),46071.875)</f>
        <v>46071.875</v>
      </c>
      <c r="C97" s="136" t="str">
        <f>IFERROR(__xludf.DUMMYFUNCTION("""COMPUTED_VALUE"""),"Brynn Hornig")</f>
        <v>Brynn Hornig</v>
      </c>
      <c r="D97" s="136" t="b">
        <f t="shared" si="3"/>
        <v>0</v>
      </c>
      <c r="E97" s="152">
        <f>IFERROR(__xludf.DUMMYFUNCTION("""COMPUTED_VALUE"""),0.75)</f>
        <v>0.75</v>
      </c>
      <c r="F97" s="106">
        <v>0.125</v>
      </c>
      <c r="G97" s="152">
        <f>IFERROR(__xludf.DUMMYFUNCTION("""COMPUTED_VALUE"""),0.875)</f>
        <v>0.875</v>
      </c>
      <c r="H97" s="106">
        <v>0.125</v>
      </c>
      <c r="I97" s="136">
        <f>IFERROR(__xludf.DUMMYFUNCTION("""COMPUTED_VALUE"""),209.0)</f>
        <v>209</v>
      </c>
      <c r="J97" s="139">
        <v>69.66666666666667</v>
      </c>
      <c r="K97" s="136" t="s">
        <v>18</v>
      </c>
      <c r="L97" s="153">
        <f>IFERROR(__xludf.DUMMYFUNCTION("""COMPUTED_VALUE"""),46071.0)</f>
        <v>46071</v>
      </c>
      <c r="M97" s="136" t="str">
        <f t="shared" si="1"/>
        <v>Wednesday</v>
      </c>
      <c r="N97" s="136" t="str">
        <f>IFERROR(__xludf.DUMMYFUNCTION("""COMPUTED_VALUE"""),"MF")</f>
        <v>MF</v>
      </c>
      <c r="O97" s="141">
        <v>1.4571734676275478</v>
      </c>
      <c r="P97" s="136">
        <f>IFERROR(__xludf.DUMMYFUNCTION("""COMPUTED_VALUE"""),343.0)</f>
        <v>343</v>
      </c>
      <c r="Q97" s="136">
        <f>IFERROR(__xludf.DUMMYFUNCTION("""COMPUTED_VALUE"""),250.0)</f>
        <v>250</v>
      </c>
      <c r="R97" s="106">
        <f>IFERROR(__xludf.DUMMYFUNCTION("""COMPUTED_VALUE"""),0.22916666666666674)</f>
        <v>0.2291666667</v>
      </c>
      <c r="S97" s="106">
        <f>IFERROR(__xludf.DUMMYFUNCTION("""COMPUTED_VALUE"""),0.33333333333333326)</f>
        <v>0.3333333333</v>
      </c>
      <c r="T97" s="139">
        <f>IFERROR(__xludf.DUMMYFUNCTION("""COMPUTED_VALUE"""),58.72222222222221)</f>
        <v>58.72222222</v>
      </c>
      <c r="U97" s="139">
        <f>IFERROR(__xludf.DUMMYFUNCTION("""COMPUTED_VALUE"""),33.40501165501167)</f>
        <v>33.40501166</v>
      </c>
      <c r="V97" s="136">
        <f>IFERROR(__xludf.DUMMYFUNCTION("""COMPUTED_VALUE"""),593.0)</f>
        <v>593</v>
      </c>
      <c r="W97" s="106">
        <f>IFERROR(__xludf.DUMMYFUNCTION("""COMPUTED_VALUE"""),0.5625)</f>
        <v>0.5625</v>
      </c>
      <c r="X97" s="143">
        <f t="shared" si="2"/>
        <v>43.92592593</v>
      </c>
      <c r="Y97" s="139">
        <f>IFERROR(__xludf.DUMMYFUNCTION("""COMPUTED_VALUE"""),46.06361693861694)</f>
        <v>46.06361694</v>
      </c>
      <c r="Z97" s="141">
        <f>IFERROR(__xludf.DUMMYFUNCTION("""COMPUTED_VALUE"""),0.9000771455246581)</f>
        <v>0.9000771455</v>
      </c>
    </row>
    <row r="98">
      <c r="A98" s="136" t="str">
        <f>IFERROR(__xludf.DUMMYFUNCTION("""COMPUTED_VALUE"""),"LOG-A6D01F96")</f>
        <v>LOG-A6D01F96</v>
      </c>
      <c r="B98" s="151">
        <f>IFERROR(__xludf.DUMMYFUNCTION("""COMPUTED_VALUE"""),46072.364583333336)</f>
        <v>46072.36458</v>
      </c>
      <c r="C98" s="136" t="str">
        <f>IFERROR(__xludf.DUMMYFUNCTION("""COMPUTED_VALUE"""),"Evan Morgan")</f>
        <v>Evan Morgan</v>
      </c>
      <c r="D98" s="136" t="b">
        <f t="shared" si="3"/>
        <v>0</v>
      </c>
      <c r="E98" s="152">
        <f>IFERROR(__xludf.DUMMYFUNCTION("""COMPUTED_VALUE"""),0.2916666666666667)</f>
        <v>0.2916666667</v>
      </c>
      <c r="F98" s="106">
        <v>0.07291666666666663</v>
      </c>
      <c r="G98" s="152">
        <f>IFERROR(__xludf.DUMMYFUNCTION("""COMPUTED_VALUE"""),0.3645833333333333)</f>
        <v>0.3645833333</v>
      </c>
      <c r="H98" s="106">
        <v>0.07291666666666663</v>
      </c>
      <c r="I98" s="136">
        <f>IFERROR(__xludf.DUMMYFUNCTION("""COMPUTED_VALUE"""),16.0)</f>
        <v>16</v>
      </c>
      <c r="J98" s="139">
        <v>9.142857142857148</v>
      </c>
      <c r="K98" s="136" t="s">
        <v>12</v>
      </c>
      <c r="L98" s="153">
        <f>IFERROR(__xludf.DUMMYFUNCTION("""COMPUTED_VALUE"""),46072.0)</f>
        <v>46072</v>
      </c>
      <c r="M98" s="136" t="str">
        <f t="shared" si="1"/>
        <v>Thursday</v>
      </c>
      <c r="N98" s="136" t="str">
        <f>IFERROR(__xludf.DUMMYFUNCTION("""COMPUTED_VALUE"""),"BF")</f>
        <v>BF</v>
      </c>
      <c r="O98" s="141">
        <v>0.3224919835156188</v>
      </c>
      <c r="P98" s="136" t="str">
        <f>IFERROR(__xludf.DUMMYFUNCTION("""COMPUTED_VALUE"""),"")</f>
        <v/>
      </c>
      <c r="Q98" s="136" t="str">
        <f>IFERROR(__xludf.DUMMYFUNCTION("""COMPUTED_VALUE"""),"")</f>
        <v/>
      </c>
      <c r="R98" s="106" t="str">
        <f>IFERROR(__xludf.DUMMYFUNCTION("""COMPUTED_VALUE"""),"")</f>
        <v/>
      </c>
      <c r="S98" s="106" t="str">
        <f>IFERROR(__xludf.DUMMYFUNCTION("""COMPUTED_VALUE"""),"")</f>
        <v/>
      </c>
      <c r="T98" s="139" t="str">
        <f>IFERROR(__xludf.DUMMYFUNCTION("""COMPUTED_VALUE"""),"")</f>
        <v/>
      </c>
      <c r="U98" s="139" t="str">
        <f>IFERROR(__xludf.DUMMYFUNCTION("""COMPUTED_VALUE"""),"")</f>
        <v/>
      </c>
      <c r="V98" s="136" t="str">
        <f>IFERROR(__xludf.DUMMYFUNCTION("""COMPUTED_VALUE"""),"")</f>
        <v/>
      </c>
      <c r="W98" s="106" t="str">
        <f>IFERROR(__xludf.DUMMYFUNCTION("""COMPUTED_VALUE"""),"")</f>
        <v/>
      </c>
      <c r="X98" s="143" t="str">
        <f t="shared" si="2"/>
        <v/>
      </c>
      <c r="Y98" s="139" t="str">
        <f>IFERROR(__xludf.DUMMYFUNCTION("""COMPUTED_VALUE"""),"")</f>
        <v/>
      </c>
      <c r="Z98" s="141" t="str">
        <f>IFERROR(__xludf.DUMMYFUNCTION("""COMPUTED_VALUE"""),"")</f>
        <v/>
      </c>
    </row>
    <row r="99">
      <c r="A99" s="136" t="str">
        <f>IFERROR(__xludf.DUMMYFUNCTION("""COMPUTED_VALUE"""),"LOG-440C8A6E")</f>
        <v>LOG-440C8A6E</v>
      </c>
      <c r="B99" s="151">
        <f>IFERROR(__xludf.DUMMYFUNCTION("""COMPUTED_VALUE"""),46072.41736111111)</f>
        <v>46072.41736</v>
      </c>
      <c r="C99" s="136" t="str">
        <f>IFERROR(__xludf.DUMMYFUNCTION("""COMPUTED_VALUE"""),"Sophia Kluck")</f>
        <v>Sophia Kluck</v>
      </c>
      <c r="D99" s="136" t="b">
        <f t="shared" si="3"/>
        <v>0</v>
      </c>
      <c r="E99" s="152">
        <f>IFERROR(__xludf.DUMMYFUNCTION("""COMPUTED_VALUE"""),0.3645833333333333)</f>
        <v>0.3645833333</v>
      </c>
      <c r="F99" s="106">
        <v>0.05277777777777781</v>
      </c>
      <c r="G99" s="152">
        <f>IFERROR(__xludf.DUMMYFUNCTION("""COMPUTED_VALUE"""),0.4173611111111111)</f>
        <v>0.4173611111</v>
      </c>
      <c r="H99" s="106">
        <v>0.1076388888888889</v>
      </c>
      <c r="I99" s="136">
        <f>IFERROR(__xludf.DUMMYFUNCTION("""COMPUTED_VALUE"""),64.0)</f>
        <v>64</v>
      </c>
      <c r="J99" s="139">
        <v>45.29032258064516</v>
      </c>
      <c r="K99" s="136" t="s">
        <v>12</v>
      </c>
      <c r="L99" s="153">
        <f>IFERROR(__xludf.DUMMYFUNCTION("""COMPUTED_VALUE"""),46072.0)</f>
        <v>46072</v>
      </c>
      <c r="M99" s="136" t="str">
        <f t="shared" si="1"/>
        <v>Thursday</v>
      </c>
      <c r="N99" s="136" t="str">
        <f>IFERROR(__xludf.DUMMYFUNCTION("""COMPUTED_VALUE"""),"BF")</f>
        <v>BF</v>
      </c>
      <c r="O99" s="141">
        <v>1.5975056522134574</v>
      </c>
      <c r="P99" s="136" t="str">
        <f>IFERROR(__xludf.DUMMYFUNCTION("""COMPUTED_VALUE"""),"")</f>
        <v/>
      </c>
      <c r="Q99" s="136" t="str">
        <f>IFERROR(__xludf.DUMMYFUNCTION("""COMPUTED_VALUE"""),"")</f>
        <v/>
      </c>
      <c r="R99" s="106" t="str">
        <f>IFERROR(__xludf.DUMMYFUNCTION("""COMPUTED_VALUE"""),"")</f>
        <v/>
      </c>
      <c r="S99" s="106" t="str">
        <f>IFERROR(__xludf.DUMMYFUNCTION("""COMPUTED_VALUE"""),"")</f>
        <v/>
      </c>
      <c r="T99" s="139" t="str">
        <f>IFERROR(__xludf.DUMMYFUNCTION("""COMPUTED_VALUE"""),"")</f>
        <v/>
      </c>
      <c r="U99" s="139" t="str">
        <f>IFERROR(__xludf.DUMMYFUNCTION("""COMPUTED_VALUE"""),"")</f>
        <v/>
      </c>
      <c r="V99" s="136" t="str">
        <f>IFERROR(__xludf.DUMMYFUNCTION("""COMPUTED_VALUE"""),"")</f>
        <v/>
      </c>
      <c r="W99" s="106" t="str">
        <f>IFERROR(__xludf.DUMMYFUNCTION("""COMPUTED_VALUE"""),"")</f>
        <v/>
      </c>
      <c r="X99" s="143" t="str">
        <f t="shared" si="2"/>
        <v/>
      </c>
      <c r="Y99" s="139" t="str">
        <f>IFERROR(__xludf.DUMMYFUNCTION("""COMPUTED_VALUE"""),"")</f>
        <v/>
      </c>
      <c r="Z99" s="141" t="str">
        <f>IFERROR(__xludf.DUMMYFUNCTION("""COMPUTED_VALUE"""),"")</f>
        <v/>
      </c>
    </row>
    <row r="100">
      <c r="A100" s="136" t="str">
        <f>IFERROR(__xludf.DUMMYFUNCTION("""COMPUTED_VALUE"""),"LOG-2A69AEC1")</f>
        <v>LOG-2A69AEC1</v>
      </c>
      <c r="B100" s="151">
        <f>IFERROR(__xludf.DUMMYFUNCTION("""COMPUTED_VALUE"""),46072.475)</f>
        <v>46072.475</v>
      </c>
      <c r="C100" s="136" t="str">
        <f>IFERROR(__xludf.DUMMYFUNCTION("""COMPUTED_VALUE"""),"Sophia Kluck")</f>
        <v>Sophia Kluck</v>
      </c>
      <c r="D100" s="136" t="b">
        <f t="shared" si="3"/>
        <v>1</v>
      </c>
      <c r="E100" s="152">
        <f>IFERROR(__xludf.DUMMYFUNCTION("""COMPUTED_VALUE"""),0.4201388888888889)</f>
        <v>0.4201388889</v>
      </c>
      <c r="F100" s="106">
        <v>0.05486111111111108</v>
      </c>
      <c r="G100" s="152">
        <f>IFERROR(__xludf.DUMMYFUNCTION("""COMPUTED_VALUE"""),0.475)</f>
        <v>0.475</v>
      </c>
      <c r="H100" s="106" t="s">
        <v>133</v>
      </c>
      <c r="I100" s="136">
        <f>IFERROR(__xludf.DUMMYFUNCTION("""COMPUTED_VALUE"""),53.0)</f>
        <v>53</v>
      </c>
      <c r="J100" s="139" t="s">
        <v>133</v>
      </c>
      <c r="K100" s="136" t="s">
        <v>134</v>
      </c>
      <c r="L100" s="153">
        <f>IFERROR(__xludf.DUMMYFUNCTION("""COMPUTED_VALUE"""),46072.0)</f>
        <v>46072</v>
      </c>
      <c r="M100" s="136" t="str">
        <f t="shared" si="1"/>
        <v>Thursday</v>
      </c>
      <c r="N100" s="136" t="str">
        <f>IFERROR(__xludf.DUMMYFUNCTION("""COMPUTED_VALUE"""),"BF")</f>
        <v>BF</v>
      </c>
      <c r="O100" s="141" t="s">
        <v>133</v>
      </c>
      <c r="P100" s="136" t="str">
        <f>IFERROR(__xludf.DUMMYFUNCTION("""COMPUTED_VALUE"""),"")</f>
        <v/>
      </c>
      <c r="Q100" s="136" t="str">
        <f>IFERROR(__xludf.DUMMYFUNCTION("""COMPUTED_VALUE"""),"")</f>
        <v/>
      </c>
      <c r="R100" s="106" t="str">
        <f>IFERROR(__xludf.DUMMYFUNCTION("""COMPUTED_VALUE"""),"")</f>
        <v/>
      </c>
      <c r="S100" s="106" t="str">
        <f>IFERROR(__xludf.DUMMYFUNCTION("""COMPUTED_VALUE"""),"")</f>
        <v/>
      </c>
      <c r="T100" s="139" t="str">
        <f>IFERROR(__xludf.DUMMYFUNCTION("""COMPUTED_VALUE"""),"")</f>
        <v/>
      </c>
      <c r="U100" s="139" t="str">
        <f>IFERROR(__xludf.DUMMYFUNCTION("""COMPUTED_VALUE"""),"")</f>
        <v/>
      </c>
      <c r="V100" s="136" t="str">
        <f>IFERROR(__xludf.DUMMYFUNCTION("""COMPUTED_VALUE"""),"")</f>
        <v/>
      </c>
      <c r="W100" s="106" t="str">
        <f>IFERROR(__xludf.DUMMYFUNCTION("""COMPUTED_VALUE"""),"")</f>
        <v/>
      </c>
      <c r="X100" s="143" t="str">
        <f t="shared" si="2"/>
        <v/>
      </c>
      <c r="Y100" s="139" t="str">
        <f>IFERROR(__xludf.DUMMYFUNCTION("""COMPUTED_VALUE"""),"")</f>
        <v/>
      </c>
      <c r="Z100" s="141" t="str">
        <f>IFERROR(__xludf.DUMMYFUNCTION("""COMPUTED_VALUE"""),"")</f>
        <v/>
      </c>
    </row>
    <row r="101">
      <c r="A101" s="136" t="str">
        <f>IFERROR(__xludf.DUMMYFUNCTION("""COMPUTED_VALUE"""),"LOG-2036B093")</f>
        <v>LOG-2036B093</v>
      </c>
      <c r="B101" s="151">
        <f>IFERROR(__xludf.DUMMYFUNCTION("""COMPUTED_VALUE"""),46072.53125)</f>
        <v>46072.53125</v>
      </c>
      <c r="C101" s="136" t="str">
        <f>IFERROR(__xludf.DUMMYFUNCTION("""COMPUTED_VALUE"""),"Emmett Khan")</f>
        <v>Emmett Khan</v>
      </c>
      <c r="D101" s="136" t="b">
        <f t="shared" si="3"/>
        <v>0</v>
      </c>
      <c r="E101" s="152">
        <f>IFERROR(__xludf.DUMMYFUNCTION("""COMPUTED_VALUE"""),0.4791666666666667)</f>
        <v>0.4791666667</v>
      </c>
      <c r="F101" s="106">
        <v>0.052083333333333315</v>
      </c>
      <c r="G101" s="152">
        <f>IFERROR(__xludf.DUMMYFUNCTION("""COMPUTED_VALUE"""),0.53125)</f>
        <v>0.53125</v>
      </c>
      <c r="H101" s="106">
        <v>0.052083333333333315</v>
      </c>
      <c r="I101" s="136">
        <f>IFERROR(__xludf.DUMMYFUNCTION("""COMPUTED_VALUE"""),36.0)</f>
        <v>36</v>
      </c>
      <c r="J101" s="139">
        <v>28.80000000000001</v>
      </c>
      <c r="K101" s="136" t="s">
        <v>15</v>
      </c>
      <c r="L101" s="153">
        <f>IFERROR(__xludf.DUMMYFUNCTION("""COMPUTED_VALUE"""),46072.0)</f>
        <v>46072</v>
      </c>
      <c r="M101" s="136" t="str">
        <f t="shared" si="1"/>
        <v>Thursday</v>
      </c>
      <c r="N101" s="136" t="str">
        <f>IFERROR(__xludf.DUMMYFUNCTION("""COMPUTED_VALUE"""),"MF")</f>
        <v>MF</v>
      </c>
      <c r="O101" s="141">
        <v>0.5728209086600609</v>
      </c>
      <c r="P101" s="136" t="str">
        <f>IFERROR(__xludf.DUMMYFUNCTION("""COMPUTED_VALUE"""),"")</f>
        <v/>
      </c>
      <c r="Q101" s="136" t="str">
        <f>IFERROR(__xludf.DUMMYFUNCTION("""COMPUTED_VALUE"""),"")</f>
        <v/>
      </c>
      <c r="R101" s="106" t="str">
        <f>IFERROR(__xludf.DUMMYFUNCTION("""COMPUTED_VALUE"""),"")</f>
        <v/>
      </c>
      <c r="S101" s="106" t="str">
        <f>IFERROR(__xludf.DUMMYFUNCTION("""COMPUTED_VALUE"""),"")</f>
        <v/>
      </c>
      <c r="T101" s="139" t="str">
        <f>IFERROR(__xludf.DUMMYFUNCTION("""COMPUTED_VALUE"""),"")</f>
        <v/>
      </c>
      <c r="U101" s="139" t="str">
        <f>IFERROR(__xludf.DUMMYFUNCTION("""COMPUTED_VALUE"""),"")</f>
        <v/>
      </c>
      <c r="V101" s="136" t="str">
        <f>IFERROR(__xludf.DUMMYFUNCTION("""COMPUTED_VALUE"""),"")</f>
        <v/>
      </c>
      <c r="W101" s="106" t="str">
        <f>IFERROR(__xludf.DUMMYFUNCTION("""COMPUTED_VALUE"""),"")</f>
        <v/>
      </c>
      <c r="X101" s="143" t="str">
        <f t="shared" si="2"/>
        <v/>
      </c>
      <c r="Y101" s="139" t="str">
        <f>IFERROR(__xludf.DUMMYFUNCTION("""COMPUTED_VALUE"""),"")</f>
        <v/>
      </c>
      <c r="Z101" s="141" t="str">
        <f>IFERROR(__xludf.DUMMYFUNCTION("""COMPUTED_VALUE"""),"")</f>
        <v/>
      </c>
    </row>
    <row r="102">
      <c r="A102" s="136" t="str">
        <f>IFERROR(__xludf.DUMMYFUNCTION("""COMPUTED_VALUE"""),"LOG-6044143F")</f>
        <v>LOG-6044143F</v>
      </c>
      <c r="B102" s="151">
        <f>IFERROR(__xludf.DUMMYFUNCTION("""COMPUTED_VALUE"""),46072.53680555556)</f>
        <v>46072.53681</v>
      </c>
      <c r="C102" s="136" t="str">
        <f>IFERROR(__xludf.DUMMYFUNCTION("""COMPUTED_VALUE"""),"Kyra Turner")</f>
        <v>Kyra Turner</v>
      </c>
      <c r="D102" s="136" t="b">
        <f t="shared" si="3"/>
        <v>0</v>
      </c>
      <c r="E102" s="152">
        <f>IFERROR(__xludf.DUMMYFUNCTION("""COMPUTED_VALUE"""),0.5034722222222222)</f>
        <v>0.5034722222</v>
      </c>
      <c r="F102" s="106">
        <v>0.033333333333333326</v>
      </c>
      <c r="G102" s="152">
        <f>IFERROR(__xludf.DUMMYFUNCTION("""COMPUTED_VALUE"""),0.5368055555555555)</f>
        <v>0.5368055556</v>
      </c>
      <c r="H102" s="106">
        <v>0.12638888888888888</v>
      </c>
      <c r="I102" s="136">
        <f>IFERROR(__xludf.DUMMYFUNCTION("""COMPUTED_VALUE"""),42.0)</f>
        <v>42</v>
      </c>
      <c r="J102" s="139">
        <v>41.20879120879121</v>
      </c>
      <c r="K102" s="136" t="s">
        <v>15</v>
      </c>
      <c r="L102" s="153">
        <f>IFERROR(__xludf.DUMMYFUNCTION("""COMPUTED_VALUE"""),46072.0)</f>
        <v>46072</v>
      </c>
      <c r="M102" s="136" t="str">
        <f t="shared" si="1"/>
        <v>Thursday</v>
      </c>
      <c r="N102" s="136" t="str">
        <f>IFERROR(__xludf.DUMMYFUNCTION("""COMPUTED_VALUE"""),"BF")</f>
        <v>BF</v>
      </c>
      <c r="O102" s="141">
        <v>1.4535395891629446</v>
      </c>
      <c r="P102" s="136" t="str">
        <f>IFERROR(__xludf.DUMMYFUNCTION("""COMPUTED_VALUE"""),"")</f>
        <v/>
      </c>
      <c r="Q102" s="136" t="str">
        <f>IFERROR(__xludf.DUMMYFUNCTION("""COMPUTED_VALUE"""),"")</f>
        <v/>
      </c>
      <c r="R102" s="106" t="str">
        <f>IFERROR(__xludf.DUMMYFUNCTION("""COMPUTED_VALUE"""),"")</f>
        <v/>
      </c>
      <c r="S102" s="106" t="str">
        <f>IFERROR(__xludf.DUMMYFUNCTION("""COMPUTED_VALUE"""),"")</f>
        <v/>
      </c>
      <c r="T102" s="139" t="str">
        <f>IFERROR(__xludf.DUMMYFUNCTION("""COMPUTED_VALUE"""),"")</f>
        <v/>
      </c>
      <c r="U102" s="139" t="str">
        <f>IFERROR(__xludf.DUMMYFUNCTION("""COMPUTED_VALUE"""),"")</f>
        <v/>
      </c>
      <c r="V102" s="136" t="str">
        <f>IFERROR(__xludf.DUMMYFUNCTION("""COMPUTED_VALUE"""),"")</f>
        <v/>
      </c>
      <c r="W102" s="106" t="str">
        <f>IFERROR(__xludf.DUMMYFUNCTION("""COMPUTED_VALUE"""),"")</f>
        <v/>
      </c>
      <c r="X102" s="143" t="str">
        <f t="shared" si="2"/>
        <v/>
      </c>
      <c r="Y102" s="139" t="str">
        <f>IFERROR(__xludf.DUMMYFUNCTION("""COMPUTED_VALUE"""),"")</f>
        <v/>
      </c>
      <c r="Z102" s="141" t="str">
        <f>IFERROR(__xludf.DUMMYFUNCTION("""COMPUTED_VALUE"""),"")</f>
        <v/>
      </c>
    </row>
    <row r="103">
      <c r="A103" s="136" t="str">
        <f>IFERROR(__xludf.DUMMYFUNCTION("""COMPUTED_VALUE"""),"LOG-E9C1A0BA")</f>
        <v>LOG-E9C1A0BA</v>
      </c>
      <c r="B103" s="151">
        <f>IFERROR(__xludf.DUMMYFUNCTION("""COMPUTED_VALUE"""),46072.569444444445)</f>
        <v>46072.56944</v>
      </c>
      <c r="C103" s="136" t="str">
        <f>IFERROR(__xludf.DUMMYFUNCTION("""COMPUTED_VALUE"""),"Kyra Turner")</f>
        <v>Kyra Turner</v>
      </c>
      <c r="D103" s="136" t="b">
        <f t="shared" si="3"/>
        <v>1</v>
      </c>
      <c r="E103" s="152">
        <f>IFERROR(__xludf.DUMMYFUNCTION("""COMPUTED_VALUE"""),0.5388888888888889)</f>
        <v>0.5388888889</v>
      </c>
      <c r="F103" s="106">
        <v>0.030555555555555558</v>
      </c>
      <c r="G103" s="152">
        <f>IFERROR(__xludf.DUMMYFUNCTION("""COMPUTED_VALUE"""),0.5694444444444444)</f>
        <v>0.5694444444</v>
      </c>
      <c r="H103" s="106" t="s">
        <v>133</v>
      </c>
      <c r="I103" s="136">
        <f>IFERROR(__xludf.DUMMYFUNCTION("""COMPUTED_VALUE"""),37.0)</f>
        <v>37</v>
      </c>
      <c r="J103" s="139" t="s">
        <v>133</v>
      </c>
      <c r="K103" s="136" t="s">
        <v>15</v>
      </c>
      <c r="L103" s="153">
        <f>IFERROR(__xludf.DUMMYFUNCTION("""COMPUTED_VALUE"""),46072.0)</f>
        <v>46072</v>
      </c>
      <c r="M103" s="136" t="str">
        <f t="shared" si="1"/>
        <v>Thursday</v>
      </c>
      <c r="N103" s="136" t="str">
        <f>IFERROR(__xludf.DUMMYFUNCTION("""COMPUTED_VALUE"""),"BF")</f>
        <v>BF</v>
      </c>
      <c r="O103" s="141" t="s">
        <v>133</v>
      </c>
      <c r="P103" s="136" t="str">
        <f>IFERROR(__xludf.DUMMYFUNCTION("""COMPUTED_VALUE"""),"")</f>
        <v/>
      </c>
      <c r="Q103" s="136" t="str">
        <f>IFERROR(__xludf.DUMMYFUNCTION("""COMPUTED_VALUE"""),"")</f>
        <v/>
      </c>
      <c r="R103" s="106" t="str">
        <f>IFERROR(__xludf.DUMMYFUNCTION("""COMPUTED_VALUE"""),"")</f>
        <v/>
      </c>
      <c r="S103" s="106" t="str">
        <f>IFERROR(__xludf.DUMMYFUNCTION("""COMPUTED_VALUE"""),"")</f>
        <v/>
      </c>
      <c r="T103" s="139" t="str">
        <f>IFERROR(__xludf.DUMMYFUNCTION("""COMPUTED_VALUE"""),"")</f>
        <v/>
      </c>
      <c r="U103" s="139" t="str">
        <f>IFERROR(__xludf.DUMMYFUNCTION("""COMPUTED_VALUE"""),"")</f>
        <v/>
      </c>
      <c r="V103" s="136" t="str">
        <f>IFERROR(__xludf.DUMMYFUNCTION("""COMPUTED_VALUE"""),"")</f>
        <v/>
      </c>
      <c r="W103" s="106" t="str">
        <f>IFERROR(__xludf.DUMMYFUNCTION("""COMPUTED_VALUE"""),"")</f>
        <v/>
      </c>
      <c r="X103" s="143" t="str">
        <f t="shared" si="2"/>
        <v/>
      </c>
      <c r="Y103" s="139" t="str">
        <f>IFERROR(__xludf.DUMMYFUNCTION("""COMPUTED_VALUE"""),"")</f>
        <v/>
      </c>
      <c r="Z103" s="141" t="str">
        <f>IFERROR(__xludf.DUMMYFUNCTION("""COMPUTED_VALUE"""),"")</f>
        <v/>
      </c>
    </row>
    <row r="104">
      <c r="A104" s="136" t="str">
        <f>IFERROR(__xludf.DUMMYFUNCTION("""COMPUTED_VALUE"""),"LOG-6D2D04FE")</f>
        <v>LOG-6D2D04FE</v>
      </c>
      <c r="B104" s="151">
        <f>IFERROR(__xludf.DUMMYFUNCTION("""COMPUTED_VALUE"""),46072.64444444444)</f>
        <v>46072.64444</v>
      </c>
      <c r="C104" s="136" t="str">
        <f>IFERROR(__xludf.DUMMYFUNCTION("""COMPUTED_VALUE"""),"Kyra Turner")</f>
        <v>Kyra Turner</v>
      </c>
      <c r="D104" s="136" t="b">
        <f t="shared" si="3"/>
        <v>1</v>
      </c>
      <c r="E104" s="152">
        <f>IFERROR(__xludf.DUMMYFUNCTION("""COMPUTED_VALUE"""),0.5819444444444445)</f>
        <v>0.5819444444</v>
      </c>
      <c r="F104" s="106">
        <v>0.0625</v>
      </c>
      <c r="G104" s="152">
        <f>IFERROR(__xludf.DUMMYFUNCTION("""COMPUTED_VALUE"""),0.6444444444444445)</f>
        <v>0.6444444444</v>
      </c>
      <c r="H104" s="106" t="s">
        <v>133</v>
      </c>
      <c r="I104" s="136">
        <f>IFERROR(__xludf.DUMMYFUNCTION("""COMPUTED_VALUE"""),46.0)</f>
        <v>46</v>
      </c>
      <c r="J104" s="139" t="s">
        <v>133</v>
      </c>
      <c r="K104" s="136" t="s">
        <v>15</v>
      </c>
      <c r="L104" s="153">
        <f>IFERROR(__xludf.DUMMYFUNCTION("""COMPUTED_VALUE"""),46072.0)</f>
        <v>46072</v>
      </c>
      <c r="M104" s="136" t="str">
        <f t="shared" si="1"/>
        <v>Thursday</v>
      </c>
      <c r="N104" s="136" t="str">
        <f>IFERROR(__xludf.DUMMYFUNCTION("""COMPUTED_VALUE"""),"BF")</f>
        <v>BF</v>
      </c>
      <c r="O104" s="141" t="s">
        <v>133</v>
      </c>
      <c r="P104" s="136" t="str">
        <f>IFERROR(__xludf.DUMMYFUNCTION("""COMPUTED_VALUE"""),"")</f>
        <v/>
      </c>
      <c r="Q104" s="136" t="str">
        <f>IFERROR(__xludf.DUMMYFUNCTION("""COMPUTED_VALUE"""),"")</f>
        <v/>
      </c>
      <c r="R104" s="106" t="str">
        <f>IFERROR(__xludf.DUMMYFUNCTION("""COMPUTED_VALUE"""),"")</f>
        <v/>
      </c>
      <c r="S104" s="106" t="str">
        <f>IFERROR(__xludf.DUMMYFUNCTION("""COMPUTED_VALUE"""),"")</f>
        <v/>
      </c>
      <c r="T104" s="139" t="str">
        <f>IFERROR(__xludf.DUMMYFUNCTION("""COMPUTED_VALUE"""),"")</f>
        <v/>
      </c>
      <c r="U104" s="139" t="str">
        <f>IFERROR(__xludf.DUMMYFUNCTION("""COMPUTED_VALUE"""),"")</f>
        <v/>
      </c>
      <c r="V104" s="136" t="str">
        <f>IFERROR(__xludf.DUMMYFUNCTION("""COMPUTED_VALUE"""),"")</f>
        <v/>
      </c>
      <c r="W104" s="106" t="str">
        <f>IFERROR(__xludf.DUMMYFUNCTION("""COMPUTED_VALUE"""),"")</f>
        <v/>
      </c>
      <c r="X104" s="143" t="str">
        <f t="shared" si="2"/>
        <v/>
      </c>
      <c r="Y104" s="139" t="str">
        <f>IFERROR(__xludf.DUMMYFUNCTION("""COMPUTED_VALUE"""),"")</f>
        <v/>
      </c>
      <c r="Z104" s="141" t="str">
        <f>IFERROR(__xludf.DUMMYFUNCTION("""COMPUTED_VALUE"""),"")</f>
        <v/>
      </c>
    </row>
    <row r="105">
      <c r="A105" s="136" t="str">
        <f>IFERROR(__xludf.DUMMYFUNCTION("""COMPUTED_VALUE"""),"LOG-42535E41")</f>
        <v>LOG-42535E41</v>
      </c>
      <c r="B105" s="151">
        <f>IFERROR(__xludf.DUMMYFUNCTION("""COMPUTED_VALUE"""),46072.770833333336)</f>
        <v>46072.77083</v>
      </c>
      <c r="C105" s="136" t="str">
        <f>IFERROR(__xludf.DUMMYFUNCTION("""COMPUTED_VALUE"""),"Emmett Khan")</f>
        <v>Emmett Khan</v>
      </c>
      <c r="D105" s="136" t="b">
        <f t="shared" si="3"/>
        <v>0</v>
      </c>
      <c r="E105" s="152">
        <f>IFERROR(__xludf.DUMMYFUNCTION("""COMPUTED_VALUE"""),0.7083333333333334)</f>
        <v>0.7083333333</v>
      </c>
      <c r="F105" s="106">
        <v>0.0625</v>
      </c>
      <c r="G105" s="152">
        <f>IFERROR(__xludf.DUMMYFUNCTION("""COMPUTED_VALUE"""),0.7708333333333334)</f>
        <v>0.7708333333</v>
      </c>
      <c r="H105" s="106">
        <v>0.09027777777777779</v>
      </c>
      <c r="I105" s="136">
        <f>IFERROR(__xludf.DUMMYFUNCTION("""COMPUTED_VALUE"""),306.0)</f>
        <v>306</v>
      </c>
      <c r="J105" s="139">
        <v>178.15384615384613</v>
      </c>
      <c r="K105" s="136" t="s">
        <v>18</v>
      </c>
      <c r="L105" s="153">
        <f>IFERROR(__xludf.DUMMYFUNCTION("""COMPUTED_VALUE"""),46072.0)</f>
        <v>46072</v>
      </c>
      <c r="M105" s="136" t="str">
        <f t="shared" si="1"/>
        <v>Thursday</v>
      </c>
      <c r="N105" s="136" t="str">
        <f>IFERROR(__xludf.DUMMYFUNCTION("""COMPUTED_VALUE"""),"MF")</f>
        <v>MF</v>
      </c>
      <c r="O105" s="141">
        <v>3.726330972792124</v>
      </c>
      <c r="P105" s="136" t="str">
        <f>IFERROR(__xludf.DUMMYFUNCTION("""COMPUTED_VALUE"""),"")</f>
        <v/>
      </c>
      <c r="Q105" s="136" t="str">
        <f>IFERROR(__xludf.DUMMYFUNCTION("""COMPUTED_VALUE"""),"")</f>
        <v/>
      </c>
      <c r="R105" s="106" t="str">
        <f>IFERROR(__xludf.DUMMYFUNCTION("""COMPUTED_VALUE"""),"")</f>
        <v/>
      </c>
      <c r="S105" s="106" t="str">
        <f>IFERROR(__xludf.DUMMYFUNCTION("""COMPUTED_VALUE"""),"")</f>
        <v/>
      </c>
      <c r="T105" s="139" t="str">
        <f>IFERROR(__xludf.DUMMYFUNCTION("""COMPUTED_VALUE"""),"")</f>
        <v/>
      </c>
      <c r="U105" s="139" t="str">
        <f>IFERROR(__xludf.DUMMYFUNCTION("""COMPUTED_VALUE"""),"")</f>
        <v/>
      </c>
      <c r="V105" s="136" t="str">
        <f>IFERROR(__xludf.DUMMYFUNCTION("""COMPUTED_VALUE"""),"")</f>
        <v/>
      </c>
      <c r="W105" s="106" t="str">
        <f>IFERROR(__xludf.DUMMYFUNCTION("""COMPUTED_VALUE"""),"")</f>
        <v/>
      </c>
      <c r="X105" s="143" t="str">
        <f t="shared" si="2"/>
        <v/>
      </c>
      <c r="Y105" s="139" t="str">
        <f>IFERROR(__xludf.DUMMYFUNCTION("""COMPUTED_VALUE"""),"")</f>
        <v/>
      </c>
      <c r="Z105" s="141" t="str">
        <f>IFERROR(__xludf.DUMMYFUNCTION("""COMPUTED_VALUE"""),"")</f>
        <v/>
      </c>
    </row>
    <row r="106">
      <c r="A106" s="136" t="str">
        <f>IFERROR(__xludf.DUMMYFUNCTION("""COMPUTED_VALUE"""),"LOG-5FA0E4AE")</f>
        <v>LOG-5FA0E4AE</v>
      </c>
      <c r="B106" s="151">
        <f>IFERROR(__xludf.DUMMYFUNCTION("""COMPUTED_VALUE"""),46072.788194444445)</f>
        <v>46072.78819</v>
      </c>
      <c r="C106" s="136" t="str">
        <f>IFERROR(__xludf.DUMMYFUNCTION("""COMPUTED_VALUE"""),"Emmett Khan")</f>
        <v>Emmett Khan</v>
      </c>
      <c r="D106" s="136" t="b">
        <f t="shared" si="3"/>
        <v>1</v>
      </c>
      <c r="E106" s="152">
        <f>IFERROR(__xludf.DUMMYFUNCTION("""COMPUTED_VALUE"""),0.7604166666666666)</f>
        <v>0.7604166667</v>
      </c>
      <c r="F106" s="106">
        <v>0.02777777777777779</v>
      </c>
      <c r="G106" s="152">
        <f>IFERROR(__xludf.DUMMYFUNCTION("""COMPUTED_VALUE"""),0.7881944444444444)</f>
        <v>0.7881944444</v>
      </c>
      <c r="H106" s="106" t="s">
        <v>133</v>
      </c>
      <c r="I106" s="136">
        <f>IFERROR(__xludf.DUMMYFUNCTION("""COMPUTED_VALUE"""),80.0)</f>
        <v>80</v>
      </c>
      <c r="J106" s="139" t="s">
        <v>133</v>
      </c>
      <c r="K106" s="136" t="s">
        <v>18</v>
      </c>
      <c r="L106" s="153">
        <f>IFERROR(__xludf.DUMMYFUNCTION("""COMPUTED_VALUE"""),46072.0)</f>
        <v>46072</v>
      </c>
      <c r="M106" s="136" t="str">
        <f t="shared" si="1"/>
        <v>Thursday</v>
      </c>
      <c r="N106" s="136" t="str">
        <f>IFERROR(__xludf.DUMMYFUNCTION("""COMPUTED_VALUE"""),"MF")</f>
        <v>MF</v>
      </c>
      <c r="O106" s="141" t="s">
        <v>133</v>
      </c>
      <c r="P106" s="136">
        <f>IFERROR(__xludf.DUMMYFUNCTION("""COMPUTED_VALUE"""),422.0)</f>
        <v>422</v>
      </c>
      <c r="Q106" s="136">
        <f>IFERROR(__xludf.DUMMYFUNCTION("""COMPUTED_VALUE"""),258.0)</f>
        <v>258</v>
      </c>
      <c r="R106" s="106">
        <f>IFERROR(__xludf.DUMMYFUNCTION("""COMPUTED_VALUE"""),0.1423611111111111)</f>
        <v>0.1423611111</v>
      </c>
      <c r="S106" s="106">
        <f>IFERROR(__xludf.DUMMYFUNCTION("""COMPUTED_VALUE"""),0.3069444444444444)</f>
        <v>0.3069444444</v>
      </c>
      <c r="T106" s="139">
        <f>IFERROR(__xludf.DUMMYFUNCTION("""COMPUTED_VALUE"""),103.47692307692307)</f>
        <v>103.4769231</v>
      </c>
      <c r="U106" s="139">
        <f>IFERROR(__xludf.DUMMYFUNCTION("""COMPUTED_VALUE"""),31.880656977431173)</f>
        <v>31.88065698</v>
      </c>
      <c r="V106" s="136">
        <f>IFERROR(__xludf.DUMMYFUNCTION("""COMPUTED_VALUE"""),680.0)</f>
        <v>680</v>
      </c>
      <c r="W106" s="106">
        <f>IFERROR(__xludf.DUMMYFUNCTION("""COMPUTED_VALUE"""),0.4493055555555555)</f>
        <v>0.4493055556</v>
      </c>
      <c r="X106" s="143">
        <f t="shared" si="2"/>
        <v>63.06027821</v>
      </c>
      <c r="Y106" s="139">
        <f>IFERROR(__xludf.DUMMYFUNCTION("""COMPUTED_VALUE"""),60.51916341722794)</f>
        <v>60.51916342</v>
      </c>
      <c r="Z106" s="141">
        <f>IFERROR(__xludf.DUMMYFUNCTION("""COMPUTED_VALUE"""),0.6905112251319772)</f>
        <v>0.6905112251</v>
      </c>
    </row>
    <row r="107">
      <c r="A107" s="136" t="str">
        <f>IFERROR(__xludf.DUMMYFUNCTION("""COMPUTED_VALUE"""),"LOG-68DB43DB")</f>
        <v>LOG-68DB43DB</v>
      </c>
      <c r="B107" s="151">
        <f>IFERROR(__xludf.DUMMYFUNCTION("""COMPUTED_VALUE"""),46073.583333333336)</f>
        <v>46073.58333</v>
      </c>
      <c r="C107" s="136" t="str">
        <f>IFERROR(__xludf.DUMMYFUNCTION("""COMPUTED_VALUE"""),"Brynn Hornig")</f>
        <v>Brynn Hornig</v>
      </c>
      <c r="D107" s="136" t="b">
        <f t="shared" si="3"/>
        <v>0</v>
      </c>
      <c r="E107" s="152">
        <f>IFERROR(__xludf.DUMMYFUNCTION("""COMPUTED_VALUE"""),0.4618055555555556)</f>
        <v>0.4618055556</v>
      </c>
      <c r="F107" s="106">
        <v>0.12152777777777779</v>
      </c>
      <c r="G107" s="152">
        <f>IFERROR(__xludf.DUMMYFUNCTION("""COMPUTED_VALUE"""),0.5833333333333334)</f>
        <v>0.5833333333</v>
      </c>
      <c r="H107" s="106">
        <v>0.12152777777777779</v>
      </c>
      <c r="I107" s="136">
        <f>IFERROR(__xludf.DUMMYFUNCTION("""COMPUTED_VALUE"""),82.0)</f>
        <v>82</v>
      </c>
      <c r="J107" s="139">
        <v>28.11428571428571</v>
      </c>
      <c r="K107" s="136" t="s">
        <v>15</v>
      </c>
      <c r="L107" s="153">
        <f>IFERROR(__xludf.DUMMYFUNCTION("""COMPUTED_VALUE"""),46073.0)</f>
        <v>46073</v>
      </c>
      <c r="M107" s="136" t="str">
        <f t="shared" si="1"/>
        <v>Friday</v>
      </c>
      <c r="N107" s="136" t="str">
        <f>IFERROR(__xludf.DUMMYFUNCTION("""COMPUTED_VALUE"""),"BF")</f>
        <v>BF</v>
      </c>
      <c r="O107" s="141">
        <v>0.9916628493105271</v>
      </c>
      <c r="P107" s="136" t="str">
        <f>IFERROR(__xludf.DUMMYFUNCTION("""COMPUTED_VALUE"""),"")</f>
        <v/>
      </c>
      <c r="Q107" s="136" t="str">
        <f>IFERROR(__xludf.DUMMYFUNCTION("""COMPUTED_VALUE"""),"")</f>
        <v/>
      </c>
      <c r="R107" s="106" t="str">
        <f>IFERROR(__xludf.DUMMYFUNCTION("""COMPUTED_VALUE"""),"")</f>
        <v/>
      </c>
      <c r="S107" s="106" t="str">
        <f>IFERROR(__xludf.DUMMYFUNCTION("""COMPUTED_VALUE"""),"")</f>
        <v/>
      </c>
      <c r="T107" s="139" t="str">
        <f>IFERROR(__xludf.DUMMYFUNCTION("""COMPUTED_VALUE"""),"")</f>
        <v/>
      </c>
      <c r="U107" s="139" t="str">
        <f>IFERROR(__xludf.DUMMYFUNCTION("""COMPUTED_VALUE"""),"")</f>
        <v/>
      </c>
      <c r="V107" s="136" t="str">
        <f>IFERROR(__xludf.DUMMYFUNCTION("""COMPUTED_VALUE"""),"")</f>
        <v/>
      </c>
      <c r="W107" s="106" t="str">
        <f>IFERROR(__xludf.DUMMYFUNCTION("""COMPUTED_VALUE"""),"")</f>
        <v/>
      </c>
      <c r="X107" s="143" t="str">
        <f t="shared" si="2"/>
        <v/>
      </c>
      <c r="Y107" s="139" t="str">
        <f>IFERROR(__xludf.DUMMYFUNCTION("""COMPUTED_VALUE"""),"")</f>
        <v/>
      </c>
      <c r="Z107" s="141" t="str">
        <f>IFERROR(__xludf.DUMMYFUNCTION("""COMPUTED_VALUE"""),"")</f>
        <v/>
      </c>
    </row>
    <row r="108">
      <c r="A108" s="136" t="str">
        <f>IFERROR(__xludf.DUMMYFUNCTION("""COMPUTED_VALUE"""),"LOG-7DC77657")</f>
        <v>LOG-7DC77657</v>
      </c>
      <c r="B108" s="151">
        <f>IFERROR(__xludf.DUMMYFUNCTION("""COMPUTED_VALUE"""),46073.625)</f>
        <v>46073.625</v>
      </c>
      <c r="C108" s="136" t="str">
        <f>IFERROR(__xludf.DUMMYFUNCTION("""COMPUTED_VALUE"""),"Oluwatimilehin Shodipe")</f>
        <v>Oluwatimilehin Shodipe</v>
      </c>
      <c r="D108" s="136" t="b">
        <f t="shared" si="3"/>
        <v>0</v>
      </c>
      <c r="E108" s="152">
        <f>IFERROR(__xludf.DUMMYFUNCTION("""COMPUTED_VALUE"""),0.4826388888888889)</f>
        <v>0.4826388889</v>
      </c>
      <c r="F108" s="106">
        <v>0.1423611111111111</v>
      </c>
      <c r="G108" s="152">
        <f>IFERROR(__xludf.DUMMYFUNCTION("""COMPUTED_VALUE"""),0.625)</f>
        <v>0.625</v>
      </c>
      <c r="H108" s="106">
        <v>0.1423611111111111</v>
      </c>
      <c r="I108" s="136">
        <f>IFERROR(__xludf.DUMMYFUNCTION("""COMPUTED_VALUE"""),173.0)</f>
        <v>173</v>
      </c>
      <c r="J108" s="139">
        <v>50.63414634146341</v>
      </c>
      <c r="K108" s="136" t="s">
        <v>15</v>
      </c>
      <c r="L108" s="153">
        <f>IFERROR(__xludf.DUMMYFUNCTION("""COMPUTED_VALUE"""),46073.0)</f>
        <v>46073</v>
      </c>
      <c r="M108" s="136" t="str">
        <f t="shared" si="1"/>
        <v>Friday</v>
      </c>
      <c r="N108" s="136" t="str">
        <f>IFERROR(__xludf.DUMMYFUNCTION("""COMPUTED_VALUE"""),"MF")</f>
        <v>MF</v>
      </c>
      <c r="O108" s="141">
        <v>1.0070936707133178</v>
      </c>
      <c r="P108" s="136" t="str">
        <f>IFERROR(__xludf.DUMMYFUNCTION("""COMPUTED_VALUE"""),"")</f>
        <v/>
      </c>
      <c r="Q108" s="136" t="str">
        <f>IFERROR(__xludf.DUMMYFUNCTION("""COMPUTED_VALUE"""),"")</f>
        <v/>
      </c>
      <c r="R108" s="106" t="str">
        <f>IFERROR(__xludf.DUMMYFUNCTION("""COMPUTED_VALUE"""),"")</f>
        <v/>
      </c>
      <c r="S108" s="106" t="str">
        <f>IFERROR(__xludf.DUMMYFUNCTION("""COMPUTED_VALUE"""),"")</f>
        <v/>
      </c>
      <c r="T108" s="139" t="str">
        <f>IFERROR(__xludf.DUMMYFUNCTION("""COMPUTED_VALUE"""),"")</f>
        <v/>
      </c>
      <c r="U108" s="139" t="str">
        <f>IFERROR(__xludf.DUMMYFUNCTION("""COMPUTED_VALUE"""),"")</f>
        <v/>
      </c>
      <c r="V108" s="136" t="str">
        <f>IFERROR(__xludf.DUMMYFUNCTION("""COMPUTED_VALUE"""),"")</f>
        <v/>
      </c>
      <c r="W108" s="106" t="str">
        <f>IFERROR(__xludf.DUMMYFUNCTION("""COMPUTED_VALUE"""),"")</f>
        <v/>
      </c>
      <c r="X108" s="143" t="str">
        <f t="shared" si="2"/>
        <v/>
      </c>
      <c r="Y108" s="139" t="str">
        <f>IFERROR(__xludf.DUMMYFUNCTION("""COMPUTED_VALUE"""),"")</f>
        <v/>
      </c>
      <c r="Z108" s="141" t="str">
        <f>IFERROR(__xludf.DUMMYFUNCTION("""COMPUTED_VALUE"""),"")</f>
        <v/>
      </c>
    </row>
    <row r="109">
      <c r="A109" s="136" t="str">
        <f>IFERROR(__xludf.DUMMYFUNCTION("""COMPUTED_VALUE"""),"LOG-9646B1E3")</f>
        <v>LOG-9646B1E3</v>
      </c>
      <c r="B109" s="151">
        <f>IFERROR(__xludf.DUMMYFUNCTION("""COMPUTED_VALUE"""),46073.75)</f>
        <v>46073.75</v>
      </c>
      <c r="C109" s="136" t="str">
        <f>IFERROR(__xludf.DUMMYFUNCTION("""COMPUTED_VALUE"""),"Leah Bucci")</f>
        <v>Leah Bucci</v>
      </c>
      <c r="D109" s="136" t="b">
        <f t="shared" si="3"/>
        <v>0</v>
      </c>
      <c r="E109" s="152">
        <f>IFERROR(__xludf.DUMMYFUNCTION("""COMPUTED_VALUE"""),0.6666666666666666)</f>
        <v>0.6666666667</v>
      </c>
      <c r="F109" s="106">
        <v>0.08333333333333337</v>
      </c>
      <c r="G109" s="152">
        <f>IFERROR(__xludf.DUMMYFUNCTION("""COMPUTED_VALUE"""),0.75)</f>
        <v>0.75</v>
      </c>
      <c r="H109" s="106">
        <v>0.08333333333333337</v>
      </c>
      <c r="I109" s="136">
        <f>IFERROR(__xludf.DUMMYFUNCTION("""COMPUTED_VALUE"""),146.0)</f>
        <v>146</v>
      </c>
      <c r="J109" s="139">
        <v>72.99999999999997</v>
      </c>
      <c r="K109" s="136" t="s">
        <v>18</v>
      </c>
      <c r="L109" s="153">
        <f>IFERROR(__xludf.DUMMYFUNCTION("""COMPUTED_VALUE"""),46073.0)</f>
        <v>46073</v>
      </c>
      <c r="M109" s="136" t="str">
        <f t="shared" si="1"/>
        <v>Friday</v>
      </c>
      <c r="N109" s="136" t="str">
        <f>IFERROR(__xludf.DUMMYFUNCTION("""COMPUTED_VALUE"""),"MF")</f>
        <v>MF</v>
      </c>
      <c r="O109" s="141">
        <v>1.5268946861743198</v>
      </c>
      <c r="P109" s="136" t="str">
        <f>IFERROR(__xludf.DUMMYFUNCTION("""COMPUTED_VALUE"""),"")</f>
        <v/>
      </c>
      <c r="Q109" s="136" t="str">
        <f>IFERROR(__xludf.DUMMYFUNCTION("""COMPUTED_VALUE"""),"")</f>
        <v/>
      </c>
      <c r="R109" s="106" t="str">
        <f>IFERROR(__xludf.DUMMYFUNCTION("""COMPUTED_VALUE"""),"")</f>
        <v/>
      </c>
      <c r="S109" s="106" t="str">
        <f>IFERROR(__xludf.DUMMYFUNCTION("""COMPUTED_VALUE"""),"")</f>
        <v/>
      </c>
      <c r="T109" s="139" t="str">
        <f>IFERROR(__xludf.DUMMYFUNCTION("""COMPUTED_VALUE"""),"")</f>
        <v/>
      </c>
      <c r="U109" s="139" t="str">
        <f>IFERROR(__xludf.DUMMYFUNCTION("""COMPUTED_VALUE"""),"")</f>
        <v/>
      </c>
      <c r="V109" s="136" t="str">
        <f>IFERROR(__xludf.DUMMYFUNCTION("""COMPUTED_VALUE"""),"")</f>
        <v/>
      </c>
      <c r="W109" s="106" t="str">
        <f>IFERROR(__xludf.DUMMYFUNCTION("""COMPUTED_VALUE"""),"")</f>
        <v/>
      </c>
      <c r="X109" s="143" t="str">
        <f t="shared" si="2"/>
        <v/>
      </c>
      <c r="Y109" s="139" t="str">
        <f>IFERROR(__xludf.DUMMYFUNCTION("""COMPUTED_VALUE"""),"")</f>
        <v/>
      </c>
      <c r="Z109" s="141" t="str">
        <f>IFERROR(__xludf.DUMMYFUNCTION("""COMPUTED_VALUE"""),"")</f>
        <v/>
      </c>
    </row>
    <row r="110">
      <c r="A110" s="136" t="str">
        <f>IFERROR(__xludf.DUMMYFUNCTION("""COMPUTED_VALUE"""),"LOG-E327CE59")</f>
        <v>LOG-E327CE59</v>
      </c>
      <c r="B110" s="151">
        <f>IFERROR(__xludf.DUMMYFUNCTION("""COMPUTED_VALUE"""),46073.80138888889)</f>
        <v>46073.80139</v>
      </c>
      <c r="C110" s="136" t="str">
        <f>IFERROR(__xludf.DUMMYFUNCTION("""COMPUTED_VALUE"""),"Orpheus Wilson")</f>
        <v>Orpheus Wilson</v>
      </c>
      <c r="D110" s="136" t="b">
        <f t="shared" si="3"/>
        <v>0</v>
      </c>
      <c r="E110" s="152">
        <f>IFERROR(__xludf.DUMMYFUNCTION("""COMPUTED_VALUE"""),0.75625)</f>
        <v>0.75625</v>
      </c>
      <c r="F110" s="106">
        <v>0.04513888888888895</v>
      </c>
      <c r="G110" s="152">
        <f>IFERROR(__xludf.DUMMYFUNCTION("""COMPUTED_VALUE"""),0.8013888888888889)</f>
        <v>0.8013888889</v>
      </c>
      <c r="H110" s="106">
        <v>0.06458333333333333</v>
      </c>
      <c r="I110" s="136">
        <f>IFERROR(__xludf.DUMMYFUNCTION("""COMPUTED_VALUE"""),151.0)</f>
        <v>151</v>
      </c>
      <c r="J110" s="139">
        <v>135.48387096774195</v>
      </c>
      <c r="K110" s="136" t="s">
        <v>18</v>
      </c>
      <c r="L110" s="153">
        <f>IFERROR(__xludf.DUMMYFUNCTION("""COMPUTED_VALUE"""),46073.0)</f>
        <v>46073</v>
      </c>
      <c r="M110" s="136" t="str">
        <f t="shared" si="1"/>
        <v>Friday</v>
      </c>
      <c r="N110" s="136" t="str">
        <f>IFERROR(__xludf.DUMMYFUNCTION("""COMPUTED_VALUE"""),"MF")</f>
        <v>MF</v>
      </c>
      <c r="O110" s="141">
        <v>2.8338301731914037</v>
      </c>
      <c r="P110" s="136" t="str">
        <f>IFERROR(__xludf.DUMMYFUNCTION("""COMPUTED_VALUE"""),"")</f>
        <v/>
      </c>
      <c r="Q110" s="136" t="str">
        <f>IFERROR(__xludf.DUMMYFUNCTION("""COMPUTED_VALUE"""),"")</f>
        <v/>
      </c>
      <c r="R110" s="106" t="str">
        <f>IFERROR(__xludf.DUMMYFUNCTION("""COMPUTED_VALUE"""),"")</f>
        <v/>
      </c>
      <c r="S110" s="106" t="str">
        <f>IFERROR(__xludf.DUMMYFUNCTION("""COMPUTED_VALUE"""),"")</f>
        <v/>
      </c>
      <c r="T110" s="139" t="str">
        <f>IFERROR(__xludf.DUMMYFUNCTION("""COMPUTED_VALUE"""),"")</f>
        <v/>
      </c>
      <c r="U110" s="139" t="str">
        <f>IFERROR(__xludf.DUMMYFUNCTION("""COMPUTED_VALUE"""),"")</f>
        <v/>
      </c>
      <c r="V110" s="136" t="str">
        <f>IFERROR(__xludf.DUMMYFUNCTION("""COMPUTED_VALUE"""),"")</f>
        <v/>
      </c>
      <c r="W110" s="106" t="str">
        <f>IFERROR(__xludf.DUMMYFUNCTION("""COMPUTED_VALUE"""),"")</f>
        <v/>
      </c>
      <c r="X110" s="143" t="str">
        <f t="shared" si="2"/>
        <v/>
      </c>
      <c r="Y110" s="139" t="str">
        <f>IFERROR(__xludf.DUMMYFUNCTION("""COMPUTED_VALUE"""),"")</f>
        <v/>
      </c>
      <c r="Z110" s="141" t="str">
        <f>IFERROR(__xludf.DUMMYFUNCTION("""COMPUTED_VALUE"""),"")</f>
        <v/>
      </c>
    </row>
    <row r="111">
      <c r="A111" s="136" t="str">
        <f>IFERROR(__xludf.DUMMYFUNCTION("""COMPUTED_VALUE"""),"LOG-F6E7F452")</f>
        <v>LOG-F6E7F452</v>
      </c>
      <c r="B111" s="151">
        <f>IFERROR(__xludf.DUMMYFUNCTION("""COMPUTED_VALUE"""),46073.82708333333)</f>
        <v>46073.82708</v>
      </c>
      <c r="C111" s="136" t="str">
        <f>IFERROR(__xludf.DUMMYFUNCTION("""COMPUTED_VALUE"""),"Orpheus Wilson")</f>
        <v>Orpheus Wilson</v>
      </c>
      <c r="D111" s="136" t="b">
        <f t="shared" si="3"/>
        <v>1</v>
      </c>
      <c r="E111" s="152">
        <f>IFERROR(__xludf.DUMMYFUNCTION("""COMPUTED_VALUE"""),0.8076388888888889)</f>
        <v>0.8076388889</v>
      </c>
      <c r="F111" s="106">
        <v>0.019444444444444375</v>
      </c>
      <c r="G111" s="152">
        <f>IFERROR(__xludf.DUMMYFUNCTION("""COMPUTED_VALUE"""),0.8270833333333333)</f>
        <v>0.8270833333</v>
      </c>
      <c r="H111" s="106" t="s">
        <v>133</v>
      </c>
      <c r="I111" s="136">
        <f>IFERROR(__xludf.DUMMYFUNCTION("""COMPUTED_VALUE"""),59.0)</f>
        <v>59</v>
      </c>
      <c r="J111" s="139" t="s">
        <v>133</v>
      </c>
      <c r="K111" s="136" t="s">
        <v>18</v>
      </c>
      <c r="L111" s="153">
        <f>IFERROR(__xludf.DUMMYFUNCTION("""COMPUTED_VALUE"""),46073.0)</f>
        <v>46073</v>
      </c>
      <c r="M111" s="136" t="str">
        <f t="shared" si="1"/>
        <v>Friday</v>
      </c>
      <c r="N111" s="136" t="str">
        <f>IFERROR(__xludf.DUMMYFUNCTION("""COMPUTED_VALUE"""),"MF")</f>
        <v>MF</v>
      </c>
      <c r="O111" s="141" t="s">
        <v>133</v>
      </c>
      <c r="P111" s="136">
        <f>IFERROR(__xludf.DUMMYFUNCTION("""COMPUTED_VALUE"""),529.0)</f>
        <v>529</v>
      </c>
      <c r="Q111" s="136">
        <f>IFERROR(__xludf.DUMMYFUNCTION("""COMPUTED_VALUE"""),82.0)</f>
        <v>82</v>
      </c>
      <c r="R111" s="106">
        <f>IFERROR(__xludf.DUMMYFUNCTION("""COMPUTED_VALUE"""),0.2902777777777778)</f>
        <v>0.2902777778</v>
      </c>
      <c r="S111" s="106">
        <f>IFERROR(__xludf.DUMMYFUNCTION("""COMPUTED_VALUE"""),0.12152777777777779)</f>
        <v>0.1215277778</v>
      </c>
      <c r="T111" s="139">
        <f>IFERROR(__xludf.DUMMYFUNCTION("""COMPUTED_VALUE"""),86.37267243640179)</f>
        <v>86.37267244</v>
      </c>
      <c r="U111" s="139">
        <f>IFERROR(__xludf.DUMMYFUNCTION("""COMPUTED_VALUE"""),28.11428571428571)</f>
        <v>28.11428571</v>
      </c>
      <c r="V111" s="136">
        <f>IFERROR(__xludf.DUMMYFUNCTION("""COMPUTED_VALUE"""),611.0)</f>
        <v>611</v>
      </c>
      <c r="W111" s="106">
        <f>IFERROR(__xludf.DUMMYFUNCTION("""COMPUTED_VALUE"""),0.4118055555555556)</f>
        <v>0.4118055556</v>
      </c>
      <c r="X111" s="143">
        <f t="shared" si="2"/>
        <v>61.82124789</v>
      </c>
      <c r="Y111" s="139">
        <f>IFERROR(__xludf.DUMMYFUNCTION("""COMPUTED_VALUE"""),71.80807575587276)</f>
        <v>71.80807576</v>
      </c>
      <c r="Z111" s="141">
        <f>IFERROR(__xludf.DUMMYFUNCTION("""COMPUTED_VALUE"""),1.0534952497836934)</f>
        <v>1.05349525</v>
      </c>
    </row>
    <row r="112">
      <c r="A112" s="136" t="str">
        <f>IFERROR(__xludf.DUMMYFUNCTION("""COMPUTED_VALUE"""),"LOG-D08DC5CB")</f>
        <v>LOG-D08DC5CB</v>
      </c>
      <c r="B112" s="151">
        <f>IFERROR(__xludf.DUMMYFUNCTION("""COMPUTED_VALUE"""),46079.53125)</f>
        <v>46079.53125</v>
      </c>
      <c r="C112" s="136" t="str">
        <f>IFERROR(__xludf.DUMMYFUNCTION("""COMPUTED_VALUE"""),"Emmett Khan")</f>
        <v>Emmett Khan</v>
      </c>
      <c r="D112" s="136" t="b">
        <f t="shared" si="3"/>
        <v>0</v>
      </c>
      <c r="E112" s="152">
        <f>IFERROR(__xludf.DUMMYFUNCTION("""COMPUTED_VALUE"""),0.4791666666666667)</f>
        <v>0.4791666667</v>
      </c>
      <c r="F112" s="106">
        <v>0.052083333333333315</v>
      </c>
      <c r="G112" s="152">
        <f>IFERROR(__xludf.DUMMYFUNCTION("""COMPUTED_VALUE"""),0.53125)</f>
        <v>0.53125</v>
      </c>
      <c r="H112" s="106">
        <v>0.052083333333333315</v>
      </c>
      <c r="I112" s="136">
        <f>IFERROR(__xludf.DUMMYFUNCTION("""COMPUTED_VALUE"""),29.0)</f>
        <v>29</v>
      </c>
      <c r="J112" s="139">
        <v>23.20000000000001</v>
      </c>
      <c r="K112" s="136" t="s">
        <v>15</v>
      </c>
      <c r="L112" s="153">
        <f>IFERROR(__xludf.DUMMYFUNCTION("""COMPUTED_VALUE"""),46079.0)</f>
        <v>46079</v>
      </c>
      <c r="M112" s="136" t="str">
        <f t="shared" si="1"/>
        <v>Thursday</v>
      </c>
      <c r="N112" s="136" t="str">
        <f>IFERROR(__xludf.DUMMYFUNCTION("""COMPUTED_VALUE"""),"MF")</f>
        <v>MF</v>
      </c>
      <c r="O112" s="141">
        <v>0.46143906530949347</v>
      </c>
      <c r="P112" s="136" t="str">
        <f>IFERROR(__xludf.DUMMYFUNCTION("""COMPUTED_VALUE"""),"")</f>
        <v/>
      </c>
      <c r="Q112" s="136" t="str">
        <f>IFERROR(__xludf.DUMMYFUNCTION("""COMPUTED_VALUE"""),"")</f>
        <v/>
      </c>
      <c r="R112" s="106" t="str">
        <f>IFERROR(__xludf.DUMMYFUNCTION("""COMPUTED_VALUE"""),"")</f>
        <v/>
      </c>
      <c r="S112" s="106" t="str">
        <f>IFERROR(__xludf.DUMMYFUNCTION("""COMPUTED_VALUE"""),"")</f>
        <v/>
      </c>
      <c r="T112" s="139" t="str">
        <f>IFERROR(__xludf.DUMMYFUNCTION("""COMPUTED_VALUE"""),"")</f>
        <v/>
      </c>
      <c r="U112" s="139" t="str">
        <f>IFERROR(__xludf.DUMMYFUNCTION("""COMPUTED_VALUE"""),"")</f>
        <v/>
      </c>
      <c r="V112" s="136" t="str">
        <f>IFERROR(__xludf.DUMMYFUNCTION("""COMPUTED_VALUE"""),"")</f>
        <v/>
      </c>
      <c r="W112" s="106" t="str">
        <f>IFERROR(__xludf.DUMMYFUNCTION("""COMPUTED_VALUE"""),"")</f>
        <v/>
      </c>
      <c r="X112" s="143" t="str">
        <f t="shared" si="2"/>
        <v/>
      </c>
      <c r="Y112" s="139" t="str">
        <f>IFERROR(__xludf.DUMMYFUNCTION("""COMPUTED_VALUE"""),"")</f>
        <v/>
      </c>
      <c r="Z112" s="141" t="str">
        <f>IFERROR(__xludf.DUMMYFUNCTION("""COMPUTED_VALUE"""),"")</f>
        <v/>
      </c>
    </row>
    <row r="113">
      <c r="A113" s="136" t="str">
        <f>IFERROR(__xludf.DUMMYFUNCTION("""COMPUTED_VALUE"""),"LOG-57A818FC")</f>
        <v>LOG-57A818FC</v>
      </c>
      <c r="B113" s="151">
        <f>IFERROR(__xludf.DUMMYFUNCTION("""COMPUTED_VALUE"""),46079.791666666664)</f>
        <v>46079.79167</v>
      </c>
      <c r="C113" s="136" t="str">
        <f>IFERROR(__xludf.DUMMYFUNCTION("""COMPUTED_VALUE"""),"Brynn Hornig")</f>
        <v>Brynn Hornig</v>
      </c>
      <c r="D113" s="136" t="b">
        <f t="shared" si="3"/>
        <v>0</v>
      </c>
      <c r="E113" s="152">
        <f>IFERROR(__xludf.DUMMYFUNCTION("""COMPUTED_VALUE"""),0.7083333333333334)</f>
        <v>0.7083333333</v>
      </c>
      <c r="F113" s="106">
        <v>0.08333333333333326</v>
      </c>
      <c r="G113" s="152">
        <f>IFERROR(__xludf.DUMMYFUNCTION("""COMPUTED_VALUE"""),0.7916666666666666)</f>
        <v>0.7916666667</v>
      </c>
      <c r="H113" s="106">
        <v>0.08333333333333326</v>
      </c>
      <c r="I113" s="136">
        <f>IFERROR(__xludf.DUMMYFUNCTION("""COMPUTED_VALUE"""),74.0)</f>
        <v>74</v>
      </c>
      <c r="J113" s="139">
        <v>37.000000000000036</v>
      </c>
      <c r="K113" s="136" t="s">
        <v>18</v>
      </c>
      <c r="L113" s="153">
        <f>IFERROR(__xludf.DUMMYFUNCTION("""COMPUTED_VALUE"""),46079.0)</f>
        <v>46079</v>
      </c>
      <c r="M113" s="136" t="str">
        <f t="shared" si="1"/>
        <v>Thursday</v>
      </c>
      <c r="N113" s="136" t="str">
        <f>IFERROR(__xludf.DUMMYFUNCTION("""COMPUTED_VALUE"""),"MF")</f>
        <v>MF</v>
      </c>
      <c r="O113" s="141">
        <v>0.7739055258691768</v>
      </c>
      <c r="P113" s="136" t="str">
        <f>IFERROR(__xludf.DUMMYFUNCTION("""COMPUTED_VALUE"""),"")</f>
        <v/>
      </c>
      <c r="Q113" s="136" t="str">
        <f>IFERROR(__xludf.DUMMYFUNCTION("""COMPUTED_VALUE"""),"")</f>
        <v/>
      </c>
      <c r="R113" s="106" t="str">
        <f>IFERROR(__xludf.DUMMYFUNCTION("""COMPUTED_VALUE"""),"")</f>
        <v/>
      </c>
      <c r="S113" s="106" t="str">
        <f>IFERROR(__xludf.DUMMYFUNCTION("""COMPUTED_VALUE"""),"")</f>
        <v/>
      </c>
      <c r="T113" s="139" t="str">
        <f>IFERROR(__xludf.DUMMYFUNCTION("""COMPUTED_VALUE"""),"")</f>
        <v/>
      </c>
      <c r="U113" s="139" t="str">
        <f>IFERROR(__xludf.DUMMYFUNCTION("""COMPUTED_VALUE"""),"")</f>
        <v/>
      </c>
      <c r="V113" s="136" t="str">
        <f>IFERROR(__xludf.DUMMYFUNCTION("""COMPUTED_VALUE"""),"")</f>
        <v/>
      </c>
      <c r="W113" s="106" t="str">
        <f>IFERROR(__xludf.DUMMYFUNCTION("""COMPUTED_VALUE"""),"")</f>
        <v/>
      </c>
      <c r="X113" s="143" t="str">
        <f t="shared" si="2"/>
        <v/>
      </c>
      <c r="Y113" s="139" t="str">
        <f>IFERROR(__xludf.DUMMYFUNCTION("""COMPUTED_VALUE"""),"")</f>
        <v/>
      </c>
      <c r="Z113" s="141" t="str">
        <f>IFERROR(__xludf.DUMMYFUNCTION("""COMPUTED_VALUE"""),"")</f>
        <v/>
      </c>
    </row>
    <row r="114">
      <c r="A114" s="136" t="str">
        <f>IFERROR(__xludf.DUMMYFUNCTION("""COMPUTED_VALUE"""),"LOG-9F846346")</f>
        <v>LOG-9F846346</v>
      </c>
      <c r="B114" s="151">
        <f>IFERROR(__xludf.DUMMYFUNCTION("""COMPUTED_VALUE"""),46079.875)</f>
        <v>46079.875</v>
      </c>
      <c r="C114" s="136" t="str">
        <f>IFERROR(__xludf.DUMMYFUNCTION("""COMPUTED_VALUE"""),"Arjya Aich")</f>
        <v>Arjya Aich</v>
      </c>
      <c r="D114" s="136" t="b">
        <f t="shared" si="3"/>
        <v>0</v>
      </c>
      <c r="E114" s="152">
        <f>IFERROR(__xludf.DUMMYFUNCTION("""COMPUTED_VALUE"""),0.7916666666666666)</f>
        <v>0.7916666667</v>
      </c>
      <c r="F114" s="106">
        <v>0.08333333333333337</v>
      </c>
      <c r="G114" s="152">
        <f>IFERROR(__xludf.DUMMYFUNCTION("""COMPUTED_VALUE"""),0.875)</f>
        <v>0.875</v>
      </c>
      <c r="H114" s="106">
        <v>0.08333333333333337</v>
      </c>
      <c r="I114" s="136">
        <f>IFERROR(__xludf.DUMMYFUNCTION("""COMPUTED_VALUE"""),41.0)</f>
        <v>41</v>
      </c>
      <c r="J114" s="139">
        <v>20.49999999999999</v>
      </c>
      <c r="K114" s="136" t="s">
        <v>18</v>
      </c>
      <c r="L114" s="153">
        <f>IFERROR(__xludf.DUMMYFUNCTION("""COMPUTED_VALUE"""),46079.0)</f>
        <v>46079</v>
      </c>
      <c r="M114" s="136" t="str">
        <f t="shared" si="1"/>
        <v>Thursday</v>
      </c>
      <c r="N114" s="136" t="str">
        <f>IFERROR(__xludf.DUMMYFUNCTION("""COMPUTED_VALUE"""),"MF")</f>
        <v>MF</v>
      </c>
      <c r="O114" s="141">
        <v>0.4287854940626514</v>
      </c>
      <c r="P114" s="136">
        <f>IFERROR(__xludf.DUMMYFUNCTION("""COMPUTED_VALUE"""),144.0)</f>
        <v>144</v>
      </c>
      <c r="Q114" s="136" t="str">
        <f>IFERROR(__xludf.DUMMYFUNCTION("""COMPUTED_VALUE"""),"")</f>
        <v/>
      </c>
      <c r="R114" s="106">
        <f>IFERROR(__xludf.DUMMYFUNCTION("""COMPUTED_VALUE"""),0.21874999999999994)</f>
        <v>0.21875</v>
      </c>
      <c r="S114" s="106" t="str">
        <f>IFERROR(__xludf.DUMMYFUNCTION("""COMPUTED_VALUE"""),"")</f>
        <v/>
      </c>
      <c r="T114" s="139">
        <f>IFERROR(__xludf.DUMMYFUNCTION("""COMPUTED_VALUE"""),26.90000000000001)</f>
        <v>26.9</v>
      </c>
      <c r="U114" s="139" t="str">
        <f>IFERROR(__xludf.DUMMYFUNCTION("""COMPUTED_VALUE"""),"")</f>
        <v/>
      </c>
      <c r="V114" s="136">
        <f>IFERROR(__xludf.DUMMYFUNCTION("""COMPUTED_VALUE"""),144.0)</f>
        <v>144</v>
      </c>
      <c r="W114" s="106">
        <f>IFERROR(__xludf.DUMMYFUNCTION("""COMPUTED_VALUE"""),0.21874999999999994)</f>
        <v>0.21875</v>
      </c>
      <c r="X114" s="143">
        <f t="shared" si="2"/>
        <v>27.42857143</v>
      </c>
      <c r="Y114" s="139">
        <f>IFERROR(__xludf.DUMMYFUNCTION("""COMPUTED_VALUE"""),26.90000000000001)</f>
        <v>26.9</v>
      </c>
      <c r="Z114" s="141">
        <f>IFERROR(__xludf.DUMMYFUNCTION("""COMPUTED_VALUE"""),0.4940026516990071)</f>
        <v>0.4940026517</v>
      </c>
    </row>
    <row r="115">
      <c r="A115" s="136" t="str">
        <f>IFERROR(__xludf.DUMMYFUNCTION("""COMPUTED_VALUE"""),"LOG-73131225")</f>
        <v>LOG-73131225</v>
      </c>
      <c r="B115" s="151">
        <f>IFERROR(__xludf.DUMMYFUNCTION("""COMPUTED_VALUE"""),46080.43472222222)</f>
        <v>46080.43472</v>
      </c>
      <c r="C115" s="136" t="str">
        <f>IFERROR(__xludf.DUMMYFUNCTION("""COMPUTED_VALUE"""),"Kaylie Forgue")</f>
        <v>Kaylie Forgue</v>
      </c>
      <c r="D115" s="136" t="b">
        <f t="shared" si="3"/>
        <v>0</v>
      </c>
      <c r="E115" s="152">
        <f>IFERROR(__xludf.DUMMYFUNCTION("""COMPUTED_VALUE"""),0.37430555555555556)</f>
        <v>0.3743055556</v>
      </c>
      <c r="F115" s="106">
        <v>0.060416666666666674</v>
      </c>
      <c r="G115" s="152">
        <f>IFERROR(__xludf.DUMMYFUNCTION("""COMPUTED_VALUE"""),0.43472222222222223)</f>
        <v>0.4347222222</v>
      </c>
      <c r="H115" s="106">
        <v>0.060416666666666674</v>
      </c>
      <c r="I115" s="136">
        <f>IFERROR(__xludf.DUMMYFUNCTION("""COMPUTED_VALUE"""),110.0)</f>
        <v>110</v>
      </c>
      <c r="J115" s="139">
        <v>75.86206896551724</v>
      </c>
      <c r="K115" s="136" t="s">
        <v>12</v>
      </c>
      <c r="L115" s="153">
        <f>IFERROR(__xludf.DUMMYFUNCTION("""COMPUTED_VALUE"""),46080.0)</f>
        <v>46080</v>
      </c>
      <c r="M115" s="136" t="str">
        <f t="shared" si="1"/>
        <v>Friday</v>
      </c>
      <c r="N115" s="136" t="str">
        <f>IFERROR(__xludf.DUMMYFUNCTION("""COMPUTED_VALUE"""),"BF")</f>
        <v>BF</v>
      </c>
      <c r="O115" s="141">
        <v>2.6758494321877837</v>
      </c>
      <c r="P115" s="136" t="str">
        <f>IFERROR(__xludf.DUMMYFUNCTION("""COMPUTED_VALUE"""),"")</f>
        <v/>
      </c>
      <c r="Q115" s="136" t="str">
        <f>IFERROR(__xludf.DUMMYFUNCTION("""COMPUTED_VALUE"""),"")</f>
        <v/>
      </c>
      <c r="R115" s="106" t="str">
        <f>IFERROR(__xludf.DUMMYFUNCTION("""COMPUTED_VALUE"""),"")</f>
        <v/>
      </c>
      <c r="S115" s="106" t="str">
        <f>IFERROR(__xludf.DUMMYFUNCTION("""COMPUTED_VALUE"""),"")</f>
        <v/>
      </c>
      <c r="T115" s="139" t="str">
        <f>IFERROR(__xludf.DUMMYFUNCTION("""COMPUTED_VALUE"""),"")</f>
        <v/>
      </c>
      <c r="U115" s="139" t="str">
        <f>IFERROR(__xludf.DUMMYFUNCTION("""COMPUTED_VALUE"""),"")</f>
        <v/>
      </c>
      <c r="V115" s="136" t="str">
        <f>IFERROR(__xludf.DUMMYFUNCTION("""COMPUTED_VALUE"""),"")</f>
        <v/>
      </c>
      <c r="W115" s="106" t="str">
        <f>IFERROR(__xludf.DUMMYFUNCTION("""COMPUTED_VALUE"""),"")</f>
        <v/>
      </c>
      <c r="X115" s="143" t="str">
        <f t="shared" si="2"/>
        <v/>
      </c>
      <c r="Y115" s="139" t="str">
        <f>IFERROR(__xludf.DUMMYFUNCTION("""COMPUTED_VALUE"""),"")</f>
        <v/>
      </c>
      <c r="Z115" s="141" t="str">
        <f>IFERROR(__xludf.DUMMYFUNCTION("""COMPUTED_VALUE"""),"")</f>
        <v/>
      </c>
    </row>
    <row r="116">
      <c r="A116" s="136" t="str">
        <f>IFERROR(__xludf.DUMMYFUNCTION("""COMPUTED_VALUE"""),"LOG-88C24947")</f>
        <v>LOG-88C24947</v>
      </c>
      <c r="B116" s="151">
        <f>IFERROR(__xludf.DUMMYFUNCTION("""COMPUTED_VALUE"""),46080.583333333336)</f>
        <v>46080.58333</v>
      </c>
      <c r="C116" s="136" t="str">
        <f>IFERROR(__xludf.DUMMYFUNCTION("""COMPUTED_VALUE"""),"Brynn Hornig")</f>
        <v>Brynn Hornig</v>
      </c>
      <c r="D116" s="136" t="b">
        <f t="shared" si="3"/>
        <v>0</v>
      </c>
      <c r="E116" s="152">
        <f>IFERROR(__xludf.DUMMYFUNCTION("""COMPUTED_VALUE"""),0.4583333333333333)</f>
        <v>0.4583333333</v>
      </c>
      <c r="F116" s="106">
        <v>0.12500000000000006</v>
      </c>
      <c r="G116" s="152">
        <f>IFERROR(__xludf.DUMMYFUNCTION("""COMPUTED_VALUE"""),0.5833333333333334)</f>
        <v>0.5833333333</v>
      </c>
      <c r="H116" s="106">
        <v>0.12500000000000006</v>
      </c>
      <c r="I116" s="136">
        <f>IFERROR(__xludf.DUMMYFUNCTION("""COMPUTED_VALUE"""),96.0)</f>
        <v>96</v>
      </c>
      <c r="J116" s="139">
        <v>31.999999999999986</v>
      </c>
      <c r="K116" s="136" t="s">
        <v>15</v>
      </c>
      <c r="L116" s="153">
        <f>IFERROR(__xludf.DUMMYFUNCTION("""COMPUTED_VALUE"""),46080.0)</f>
        <v>46080</v>
      </c>
      <c r="M116" s="136" t="str">
        <f t="shared" si="1"/>
        <v>Friday</v>
      </c>
      <c r="N116" s="136" t="str">
        <f>IFERROR(__xludf.DUMMYFUNCTION("""COMPUTED_VALUE"""),"BF")</f>
        <v>BF</v>
      </c>
      <c r="O116" s="141">
        <v>1.1287219423046646</v>
      </c>
      <c r="P116" s="136" t="str">
        <f>IFERROR(__xludf.DUMMYFUNCTION("""COMPUTED_VALUE"""),"")</f>
        <v/>
      </c>
      <c r="Q116" s="136" t="str">
        <f>IFERROR(__xludf.DUMMYFUNCTION("""COMPUTED_VALUE"""),"")</f>
        <v/>
      </c>
      <c r="R116" s="106" t="str">
        <f>IFERROR(__xludf.DUMMYFUNCTION("""COMPUTED_VALUE"""),"")</f>
        <v/>
      </c>
      <c r="S116" s="106" t="str">
        <f>IFERROR(__xludf.DUMMYFUNCTION("""COMPUTED_VALUE"""),"")</f>
        <v/>
      </c>
      <c r="T116" s="139" t="str">
        <f>IFERROR(__xludf.DUMMYFUNCTION("""COMPUTED_VALUE"""),"")</f>
        <v/>
      </c>
      <c r="U116" s="139" t="str">
        <f>IFERROR(__xludf.DUMMYFUNCTION("""COMPUTED_VALUE"""),"")</f>
        <v/>
      </c>
      <c r="V116" s="136" t="str">
        <f>IFERROR(__xludf.DUMMYFUNCTION("""COMPUTED_VALUE"""),"")</f>
        <v/>
      </c>
      <c r="W116" s="106" t="str">
        <f>IFERROR(__xludf.DUMMYFUNCTION("""COMPUTED_VALUE"""),"")</f>
        <v/>
      </c>
      <c r="X116" s="143" t="str">
        <f t="shared" si="2"/>
        <v/>
      </c>
      <c r="Y116" s="139" t="str">
        <f>IFERROR(__xludf.DUMMYFUNCTION("""COMPUTED_VALUE"""),"")</f>
        <v/>
      </c>
      <c r="Z116" s="141" t="str">
        <f>IFERROR(__xludf.DUMMYFUNCTION("""COMPUTED_VALUE"""),"")</f>
        <v/>
      </c>
    </row>
    <row r="117">
      <c r="A117" s="136" t="str">
        <f>IFERROR(__xludf.DUMMYFUNCTION("""COMPUTED_VALUE"""),"LOG-94DF12CE")</f>
        <v>LOG-94DF12CE</v>
      </c>
      <c r="B117" s="151">
        <f>IFERROR(__xludf.DUMMYFUNCTION("""COMPUTED_VALUE"""),46080.63125)</f>
        <v>46080.63125</v>
      </c>
      <c r="C117" s="136" t="str">
        <f>IFERROR(__xludf.DUMMYFUNCTION("""COMPUTED_VALUE"""),"Oluwatimilehin Shodipe")</f>
        <v>Oluwatimilehin Shodipe</v>
      </c>
      <c r="D117" s="136" t="b">
        <f t="shared" si="3"/>
        <v>0</v>
      </c>
      <c r="E117" s="152">
        <f>IFERROR(__xludf.DUMMYFUNCTION("""COMPUTED_VALUE"""),0.4826388888888889)</f>
        <v>0.4826388889</v>
      </c>
      <c r="F117" s="106">
        <v>0.14861111111111108</v>
      </c>
      <c r="G117" s="152">
        <f>IFERROR(__xludf.DUMMYFUNCTION("""COMPUTED_VALUE"""),0.63125)</f>
        <v>0.63125</v>
      </c>
      <c r="H117" s="106">
        <v>0.14861111111111108</v>
      </c>
      <c r="I117" s="136">
        <f>IFERROR(__xludf.DUMMYFUNCTION("""COMPUTED_VALUE"""),145.0)</f>
        <v>145</v>
      </c>
      <c r="J117" s="139">
        <v>40.65420560747664</v>
      </c>
      <c r="K117" s="136" t="s">
        <v>15</v>
      </c>
      <c r="L117" s="153">
        <f>IFERROR(__xludf.DUMMYFUNCTION("""COMPUTED_VALUE"""),46080.0)</f>
        <v>46080</v>
      </c>
      <c r="M117" s="136" t="str">
        <f t="shared" si="1"/>
        <v>Friday</v>
      </c>
      <c r="N117" s="136" t="str">
        <f>IFERROR(__xludf.DUMMYFUNCTION("""COMPUTED_VALUE"""),"MF")</f>
        <v>MF</v>
      </c>
      <c r="O117" s="141">
        <v>0.8085964929488785</v>
      </c>
      <c r="P117" s="136" t="str">
        <f>IFERROR(__xludf.DUMMYFUNCTION("""COMPUTED_VALUE"""),"")</f>
        <v/>
      </c>
      <c r="Q117" s="136" t="str">
        <f>IFERROR(__xludf.DUMMYFUNCTION("""COMPUTED_VALUE"""),"")</f>
        <v/>
      </c>
      <c r="R117" s="106" t="str">
        <f>IFERROR(__xludf.DUMMYFUNCTION("""COMPUTED_VALUE"""),"")</f>
        <v/>
      </c>
      <c r="S117" s="106" t="str">
        <f>IFERROR(__xludf.DUMMYFUNCTION("""COMPUTED_VALUE"""),"")</f>
        <v/>
      </c>
      <c r="T117" s="139" t="str">
        <f>IFERROR(__xludf.DUMMYFUNCTION("""COMPUTED_VALUE"""),"")</f>
        <v/>
      </c>
      <c r="U117" s="139" t="str">
        <f>IFERROR(__xludf.DUMMYFUNCTION("""COMPUTED_VALUE"""),"")</f>
        <v/>
      </c>
      <c r="V117" s="136" t="str">
        <f>IFERROR(__xludf.DUMMYFUNCTION("""COMPUTED_VALUE"""),"")</f>
        <v/>
      </c>
      <c r="W117" s="106" t="str">
        <f>IFERROR(__xludf.DUMMYFUNCTION("""COMPUTED_VALUE"""),"")</f>
        <v/>
      </c>
      <c r="X117" s="143" t="str">
        <f t="shared" si="2"/>
        <v/>
      </c>
      <c r="Y117" s="139" t="str">
        <f>IFERROR(__xludf.DUMMYFUNCTION("""COMPUTED_VALUE"""),"")</f>
        <v/>
      </c>
      <c r="Z117" s="141" t="str">
        <f>IFERROR(__xludf.DUMMYFUNCTION("""COMPUTED_VALUE"""),"")</f>
        <v/>
      </c>
    </row>
    <row r="118">
      <c r="A118" s="136" t="str">
        <f>IFERROR(__xludf.DUMMYFUNCTION("""COMPUTED_VALUE"""),"LOG-23AE7126")</f>
        <v>LOG-23AE7126</v>
      </c>
      <c r="B118" s="151">
        <f>IFERROR(__xludf.DUMMYFUNCTION("""COMPUTED_VALUE"""),46080.743055555555)</f>
        <v>46080.74306</v>
      </c>
      <c r="C118" s="136" t="str">
        <f>IFERROR(__xludf.DUMMYFUNCTION("""COMPUTED_VALUE"""),"Leah Bucci")</f>
        <v>Leah Bucci</v>
      </c>
      <c r="D118" s="136" t="b">
        <f t="shared" si="3"/>
        <v>0</v>
      </c>
      <c r="E118" s="152">
        <f>IFERROR(__xludf.DUMMYFUNCTION("""COMPUTED_VALUE"""),0.6666666666666666)</f>
        <v>0.6666666667</v>
      </c>
      <c r="F118" s="106">
        <v>0.07638888888888895</v>
      </c>
      <c r="G118" s="152">
        <f>IFERROR(__xludf.DUMMYFUNCTION("""COMPUTED_VALUE"""),0.7430555555555556)</f>
        <v>0.7430555556</v>
      </c>
      <c r="H118" s="106">
        <v>0.07638888888888895</v>
      </c>
      <c r="I118" s="136">
        <f>IFERROR(__xludf.DUMMYFUNCTION("""COMPUTED_VALUE"""),121.0)</f>
        <v>121</v>
      </c>
      <c r="J118" s="139">
        <v>65.99999999999994</v>
      </c>
      <c r="K118" s="136" t="s">
        <v>18</v>
      </c>
      <c r="L118" s="153">
        <f>IFERROR(__xludf.DUMMYFUNCTION("""COMPUTED_VALUE"""),46080.0)</f>
        <v>46080</v>
      </c>
      <c r="M118" s="136" t="str">
        <f t="shared" si="1"/>
        <v>Friday</v>
      </c>
      <c r="N118" s="136" t="str">
        <f>IFERROR(__xludf.DUMMYFUNCTION("""COMPUTED_VALUE"""),"MF")</f>
        <v>MF</v>
      </c>
      <c r="O118" s="141">
        <v>1.3804801272260967</v>
      </c>
      <c r="P118" s="136">
        <f>IFERROR(__xludf.DUMMYFUNCTION("""COMPUTED_VALUE"""),266.0)</f>
        <v>266</v>
      </c>
      <c r="Q118" s="136">
        <f>IFERROR(__xludf.DUMMYFUNCTION("""COMPUTED_VALUE"""),206.0)</f>
        <v>206</v>
      </c>
      <c r="R118" s="106">
        <f>IFERROR(__xludf.DUMMYFUNCTION("""COMPUTED_VALUE"""),0.22500000000000003)</f>
        <v>0.225</v>
      </c>
      <c r="S118" s="106">
        <f>IFERROR(__xludf.DUMMYFUNCTION("""COMPUTED_VALUE"""),0.18541666666666673)</f>
        <v>0.1854166667</v>
      </c>
      <c r="T118" s="139">
        <f>IFERROR(__xludf.DUMMYFUNCTION("""COMPUTED_VALUE"""),53.32710280373829)</f>
        <v>53.3271028</v>
      </c>
      <c r="U118" s="139">
        <f>IFERROR(__xludf.DUMMYFUNCTION("""COMPUTED_VALUE"""),53.93103448275861)</f>
        <v>53.93103448</v>
      </c>
      <c r="V118" s="136">
        <f>IFERROR(__xludf.DUMMYFUNCTION("""COMPUTED_VALUE"""),472.0)</f>
        <v>472</v>
      </c>
      <c r="W118" s="106">
        <f>IFERROR(__xludf.DUMMYFUNCTION("""COMPUTED_VALUE"""),0.41041666666666676)</f>
        <v>0.4104166667</v>
      </c>
      <c r="X118" s="143">
        <f t="shared" si="2"/>
        <v>47.91878173</v>
      </c>
      <c r="Y118" s="139">
        <f>IFERROR(__xludf.DUMMYFUNCTION("""COMPUTED_VALUE"""),53.62906864324845)</f>
        <v>53.62906864</v>
      </c>
      <c r="Z118" s="141">
        <f>IFERROR(__xludf.DUMMYFUNCTION("""COMPUTED_VALUE"""),1.2306876893647267)</f>
        <v>1.230687689</v>
      </c>
    </row>
    <row r="119">
      <c r="A119" s="136" t="str">
        <f>IFERROR(__xludf.DUMMYFUNCTION("""COMPUTED_VALUE"""),"LOG-E729C8C9")</f>
        <v>LOG-E729C8C9</v>
      </c>
      <c r="B119" s="151">
        <f>IFERROR(__xludf.DUMMYFUNCTION("""COMPUTED_VALUE"""),46083.433333333334)</f>
        <v>46083.43333</v>
      </c>
      <c r="C119" s="136" t="str">
        <f>IFERROR(__xludf.DUMMYFUNCTION("""COMPUTED_VALUE"""),"Sophia Kluck")</f>
        <v>Sophia Kluck</v>
      </c>
      <c r="D119" s="136" t="b">
        <f t="shared" si="3"/>
        <v>0</v>
      </c>
      <c r="E119" s="152">
        <f>IFERROR(__xludf.DUMMYFUNCTION("""COMPUTED_VALUE"""),0.37083333333333335)</f>
        <v>0.3708333333</v>
      </c>
      <c r="F119" s="106">
        <v>0.0625</v>
      </c>
      <c r="G119" s="152">
        <f>IFERROR(__xludf.DUMMYFUNCTION("""COMPUTED_VALUE"""),0.43333333333333335)</f>
        <v>0.4333333333</v>
      </c>
      <c r="H119" s="106">
        <v>0.0625</v>
      </c>
      <c r="I119" s="136">
        <f>IFERROR(__xludf.DUMMYFUNCTION("""COMPUTED_VALUE"""),39.0)</f>
        <v>39</v>
      </c>
      <c r="J119" s="139">
        <v>26.0</v>
      </c>
      <c r="K119" s="136" t="s">
        <v>12</v>
      </c>
      <c r="L119" s="153">
        <f>IFERROR(__xludf.DUMMYFUNCTION("""COMPUTED_VALUE"""),46083.0)</f>
        <v>46083</v>
      </c>
      <c r="M119" s="136" t="str">
        <f t="shared" si="1"/>
        <v>Monday</v>
      </c>
      <c r="N119" s="136" t="str">
        <f>IFERROR(__xludf.DUMMYFUNCTION("""COMPUTED_VALUE"""),"BF")</f>
        <v>BF</v>
      </c>
      <c r="O119" s="141">
        <v>0.9170865781225405</v>
      </c>
      <c r="P119" s="136" t="str">
        <f>IFERROR(__xludf.DUMMYFUNCTION("""COMPUTED_VALUE"""),"")</f>
        <v/>
      </c>
      <c r="Q119" s="136" t="str">
        <f>IFERROR(__xludf.DUMMYFUNCTION("""COMPUTED_VALUE"""),"")</f>
        <v/>
      </c>
      <c r="R119" s="106" t="str">
        <f>IFERROR(__xludf.DUMMYFUNCTION("""COMPUTED_VALUE"""),"")</f>
        <v/>
      </c>
      <c r="S119" s="106" t="str">
        <f>IFERROR(__xludf.DUMMYFUNCTION("""COMPUTED_VALUE"""),"")</f>
        <v/>
      </c>
      <c r="T119" s="139" t="str">
        <f>IFERROR(__xludf.DUMMYFUNCTION("""COMPUTED_VALUE"""),"")</f>
        <v/>
      </c>
      <c r="U119" s="139" t="str">
        <f>IFERROR(__xludf.DUMMYFUNCTION("""COMPUTED_VALUE"""),"")</f>
        <v/>
      </c>
      <c r="V119" s="136" t="str">
        <f>IFERROR(__xludf.DUMMYFUNCTION("""COMPUTED_VALUE"""),"")</f>
        <v/>
      </c>
      <c r="W119" s="106" t="str">
        <f>IFERROR(__xludf.DUMMYFUNCTION("""COMPUTED_VALUE"""),"")</f>
        <v/>
      </c>
      <c r="X119" s="143" t="str">
        <f t="shared" si="2"/>
        <v/>
      </c>
      <c r="Y119" s="139" t="str">
        <f>IFERROR(__xludf.DUMMYFUNCTION("""COMPUTED_VALUE"""),"")</f>
        <v/>
      </c>
      <c r="Z119" s="141" t="str">
        <f>IFERROR(__xludf.DUMMYFUNCTION("""COMPUTED_VALUE"""),"")</f>
        <v/>
      </c>
    </row>
    <row r="120">
      <c r="A120" s="136" t="str">
        <f>IFERROR(__xludf.DUMMYFUNCTION("""COMPUTED_VALUE"""),"LOG-C97D0141")</f>
        <v>LOG-C97D0141</v>
      </c>
      <c r="B120" s="151">
        <f>IFERROR(__xludf.DUMMYFUNCTION("""COMPUTED_VALUE"""),46083.645833333336)</f>
        <v>46083.64583</v>
      </c>
      <c r="C120" s="136" t="str">
        <f>IFERROR(__xludf.DUMMYFUNCTION("""COMPUTED_VALUE"""),"Brynn Hornig")</f>
        <v>Brynn Hornig</v>
      </c>
      <c r="D120" s="136" t="b">
        <f t="shared" si="3"/>
        <v>0</v>
      </c>
      <c r="E120" s="152">
        <f>IFERROR(__xludf.DUMMYFUNCTION("""COMPUTED_VALUE"""),0.5208333333333334)</f>
        <v>0.5208333333</v>
      </c>
      <c r="F120" s="106">
        <v>0.125</v>
      </c>
      <c r="G120" s="152">
        <f>IFERROR(__xludf.DUMMYFUNCTION("""COMPUTED_VALUE"""),0.6458333333333334)</f>
        <v>0.6458333333</v>
      </c>
      <c r="H120" s="106">
        <v>0.125</v>
      </c>
      <c r="I120" s="136">
        <f>IFERROR(__xludf.DUMMYFUNCTION("""COMPUTED_VALUE"""),61.0)</f>
        <v>61</v>
      </c>
      <c r="J120" s="139">
        <v>20.333333333333332</v>
      </c>
      <c r="K120" s="136" t="s">
        <v>15</v>
      </c>
      <c r="L120" s="153">
        <f>IFERROR(__xludf.DUMMYFUNCTION("""COMPUTED_VALUE"""),46083.0)</f>
        <v>46083</v>
      </c>
      <c r="M120" s="136" t="str">
        <f t="shared" si="1"/>
        <v>Monday</v>
      </c>
      <c r="N120" s="136" t="str">
        <f>IFERROR(__xludf.DUMMYFUNCTION("""COMPUTED_VALUE"""),"BF")</f>
        <v>BF</v>
      </c>
      <c r="O120" s="141">
        <v>0.717208734172756</v>
      </c>
      <c r="P120" s="136" t="str">
        <f>IFERROR(__xludf.DUMMYFUNCTION("""COMPUTED_VALUE"""),"")</f>
        <v/>
      </c>
      <c r="Q120" s="136" t="str">
        <f>IFERROR(__xludf.DUMMYFUNCTION("""COMPUTED_VALUE"""),"")</f>
        <v/>
      </c>
      <c r="R120" s="106" t="str">
        <f>IFERROR(__xludf.DUMMYFUNCTION("""COMPUTED_VALUE"""),"")</f>
        <v/>
      </c>
      <c r="S120" s="106" t="str">
        <f>IFERROR(__xludf.DUMMYFUNCTION("""COMPUTED_VALUE"""),"")</f>
        <v/>
      </c>
      <c r="T120" s="139" t="str">
        <f>IFERROR(__xludf.DUMMYFUNCTION("""COMPUTED_VALUE"""),"")</f>
        <v/>
      </c>
      <c r="U120" s="139" t="str">
        <f>IFERROR(__xludf.DUMMYFUNCTION("""COMPUTED_VALUE"""),"")</f>
        <v/>
      </c>
      <c r="V120" s="136" t="str">
        <f>IFERROR(__xludf.DUMMYFUNCTION("""COMPUTED_VALUE"""),"")</f>
        <v/>
      </c>
      <c r="W120" s="106" t="str">
        <f>IFERROR(__xludf.DUMMYFUNCTION("""COMPUTED_VALUE"""),"")</f>
        <v/>
      </c>
      <c r="X120" s="143" t="str">
        <f t="shared" si="2"/>
        <v/>
      </c>
      <c r="Y120" s="139" t="str">
        <f>IFERROR(__xludf.DUMMYFUNCTION("""COMPUTED_VALUE"""),"")</f>
        <v/>
      </c>
      <c r="Z120" s="141" t="str">
        <f>IFERROR(__xludf.DUMMYFUNCTION("""COMPUTED_VALUE"""),"")</f>
        <v/>
      </c>
    </row>
    <row r="121">
      <c r="A121" s="136" t="str">
        <f>IFERROR(__xludf.DUMMYFUNCTION("""COMPUTED_VALUE"""),"LOG-BE63F1C4")</f>
        <v>LOG-BE63F1C4</v>
      </c>
      <c r="B121" s="151">
        <f>IFERROR(__xludf.DUMMYFUNCTION("""COMPUTED_VALUE"""),46083.74652777778)</f>
        <v>46083.74653</v>
      </c>
      <c r="C121" s="136" t="str">
        <f>IFERROR(__xludf.DUMMYFUNCTION("""COMPUTED_VALUE"""),"Orpheus Wilson")</f>
        <v>Orpheus Wilson</v>
      </c>
      <c r="D121" s="136" t="b">
        <f t="shared" si="3"/>
        <v>0</v>
      </c>
      <c r="E121" s="152">
        <f>IFERROR(__xludf.DUMMYFUNCTION("""COMPUTED_VALUE"""),0.6708333333333333)</f>
        <v>0.6708333333</v>
      </c>
      <c r="F121" s="106">
        <v>0.07569444444444451</v>
      </c>
      <c r="G121" s="152">
        <f>IFERROR(__xludf.DUMMYFUNCTION("""COMPUTED_VALUE"""),0.7465277777777778)</f>
        <v>0.7465277778</v>
      </c>
      <c r="H121" s="106">
        <v>0.07569444444444451</v>
      </c>
      <c r="I121" s="136">
        <f>IFERROR(__xludf.DUMMYFUNCTION("""COMPUTED_VALUE"""),103.0)</f>
        <v>103</v>
      </c>
      <c r="J121" s="139">
        <v>56.69724770642197</v>
      </c>
      <c r="K121" s="136" t="s">
        <v>18</v>
      </c>
      <c r="L121" s="153">
        <f>IFERROR(__xludf.DUMMYFUNCTION("""COMPUTED_VALUE"""),46083.0)</f>
        <v>46083</v>
      </c>
      <c r="M121" s="136" t="str">
        <f t="shared" si="1"/>
        <v>Monday</v>
      </c>
      <c r="N121" s="136" t="str">
        <f>IFERROR(__xludf.DUMMYFUNCTION("""COMPUTED_VALUE"""),"MF")</f>
        <v>MF</v>
      </c>
      <c r="O121" s="141">
        <v>1.1859003595019846</v>
      </c>
      <c r="P121" s="136" t="str">
        <f>IFERROR(__xludf.DUMMYFUNCTION("""COMPUTED_VALUE"""),"")</f>
        <v/>
      </c>
      <c r="Q121" s="136" t="str">
        <f>IFERROR(__xludf.DUMMYFUNCTION("""COMPUTED_VALUE"""),"")</f>
        <v/>
      </c>
      <c r="R121" s="106" t="str">
        <f>IFERROR(__xludf.DUMMYFUNCTION("""COMPUTED_VALUE"""),"")</f>
        <v/>
      </c>
      <c r="S121" s="106" t="str">
        <f>IFERROR(__xludf.DUMMYFUNCTION("""COMPUTED_VALUE"""),"")</f>
        <v/>
      </c>
      <c r="T121" s="139" t="str">
        <f>IFERROR(__xludf.DUMMYFUNCTION("""COMPUTED_VALUE"""),"")</f>
        <v/>
      </c>
      <c r="U121" s="139" t="str">
        <f>IFERROR(__xludf.DUMMYFUNCTION("""COMPUTED_VALUE"""),"")</f>
        <v/>
      </c>
      <c r="V121" s="136" t="str">
        <f>IFERROR(__xludf.DUMMYFUNCTION("""COMPUTED_VALUE"""),"")</f>
        <v/>
      </c>
      <c r="W121" s="106" t="str">
        <f>IFERROR(__xludf.DUMMYFUNCTION("""COMPUTED_VALUE"""),"")</f>
        <v/>
      </c>
      <c r="X121" s="143" t="str">
        <f t="shared" si="2"/>
        <v/>
      </c>
      <c r="Y121" s="139" t="str">
        <f>IFERROR(__xludf.DUMMYFUNCTION("""COMPUTED_VALUE"""),"")</f>
        <v/>
      </c>
      <c r="Z121" s="141" t="str">
        <f>IFERROR(__xludf.DUMMYFUNCTION("""COMPUTED_VALUE"""),"")</f>
        <v/>
      </c>
    </row>
    <row r="122">
      <c r="A122" s="136" t="str">
        <f>IFERROR(__xludf.DUMMYFUNCTION("""COMPUTED_VALUE"""),"LOG-FFD9A04B")</f>
        <v>LOG-FFD9A04B</v>
      </c>
      <c r="B122" s="151">
        <f>IFERROR(__xludf.DUMMYFUNCTION("""COMPUTED_VALUE"""),46083.84027777778)</f>
        <v>46083.84028</v>
      </c>
      <c r="C122" s="136" t="str">
        <f>IFERROR(__xludf.DUMMYFUNCTION("""COMPUTED_VALUE"""),"Maureen Surgot")</f>
        <v>Maureen Surgot</v>
      </c>
      <c r="D122" s="136" t="b">
        <f t="shared" si="3"/>
        <v>0</v>
      </c>
      <c r="E122" s="152">
        <f>IFERROR(__xludf.DUMMYFUNCTION("""COMPUTED_VALUE"""),0.75)</f>
        <v>0.75</v>
      </c>
      <c r="F122" s="106">
        <v>0.09027777777777779</v>
      </c>
      <c r="G122" s="152">
        <f>IFERROR(__xludf.DUMMYFUNCTION("""COMPUTED_VALUE"""),0.8402777777777778)</f>
        <v>0.8402777778</v>
      </c>
      <c r="H122" s="106">
        <v>0.09027777777777779</v>
      </c>
      <c r="I122" s="136">
        <f>IFERROR(__xludf.DUMMYFUNCTION("""COMPUTED_VALUE"""),90.0)</f>
        <v>90</v>
      </c>
      <c r="J122" s="139">
        <v>41.53846153846153</v>
      </c>
      <c r="K122" s="136" t="s">
        <v>18</v>
      </c>
      <c r="L122" s="153">
        <f>IFERROR(__xludf.DUMMYFUNCTION("""COMPUTED_VALUE"""),46083.0)</f>
        <v>46083</v>
      </c>
      <c r="M122" s="136" t="str">
        <f t="shared" si="1"/>
        <v>Monday</v>
      </c>
      <c r="N122" s="136" t="str">
        <f>IFERROR(__xludf.DUMMYFUNCTION("""COMPUTED_VALUE"""),"BF")</f>
        <v>BF</v>
      </c>
      <c r="O122" s="141">
        <v>0.9348809757880874</v>
      </c>
      <c r="P122" s="136" t="str">
        <f>IFERROR(__xludf.DUMMYFUNCTION("""COMPUTED_VALUE"""),"")</f>
        <v/>
      </c>
      <c r="Q122" s="136" t="str">
        <f>IFERROR(__xludf.DUMMYFUNCTION("""COMPUTED_VALUE"""),"")</f>
        <v/>
      </c>
      <c r="R122" s="106" t="str">
        <f>IFERROR(__xludf.DUMMYFUNCTION("""COMPUTED_VALUE"""),"")</f>
        <v/>
      </c>
      <c r="S122" s="106" t="str">
        <f>IFERROR(__xludf.DUMMYFUNCTION("""COMPUTED_VALUE"""),"")</f>
        <v/>
      </c>
      <c r="T122" s="139" t="str">
        <f>IFERROR(__xludf.DUMMYFUNCTION("""COMPUTED_VALUE"""),"")</f>
        <v/>
      </c>
      <c r="U122" s="139" t="str">
        <f>IFERROR(__xludf.DUMMYFUNCTION("""COMPUTED_VALUE"""),"")</f>
        <v/>
      </c>
      <c r="V122" s="136" t="str">
        <f>IFERROR(__xludf.DUMMYFUNCTION("""COMPUTED_VALUE"""),"")</f>
        <v/>
      </c>
      <c r="W122" s="106" t="str">
        <f>IFERROR(__xludf.DUMMYFUNCTION("""COMPUTED_VALUE"""),"")</f>
        <v/>
      </c>
      <c r="X122" s="143" t="str">
        <f t="shared" si="2"/>
        <v/>
      </c>
      <c r="Y122" s="139" t="str">
        <f>IFERROR(__xludf.DUMMYFUNCTION("""COMPUTED_VALUE"""),"")</f>
        <v/>
      </c>
      <c r="Z122" s="141" t="str">
        <f>IFERROR(__xludf.DUMMYFUNCTION("""COMPUTED_VALUE"""),"")</f>
        <v/>
      </c>
    </row>
    <row r="123">
      <c r="A123" s="136" t="str">
        <f>IFERROR(__xludf.DUMMYFUNCTION("""COMPUTED_VALUE"""),"LOG-649C575A")</f>
        <v>LOG-649C575A</v>
      </c>
      <c r="B123" s="151">
        <f>IFERROR(__xludf.DUMMYFUNCTION("""COMPUTED_VALUE"""),46083.486805555556)</f>
        <v>46083.48681</v>
      </c>
      <c r="C123" s="136" t="str">
        <f>IFERROR(__xludf.DUMMYFUNCTION("""COMPUTED_VALUE"""),"Denise Romanszysn")</f>
        <v>Denise Romanszysn</v>
      </c>
      <c r="D123" s="136" t="b">
        <f t="shared" si="3"/>
        <v>0</v>
      </c>
      <c r="E123" s="152">
        <f>IFERROR(__xludf.DUMMYFUNCTION("""COMPUTED_VALUE"""),0.4409722222222222)</f>
        <v>0.4409722222</v>
      </c>
      <c r="F123" s="106">
        <v>0.04583333333333334</v>
      </c>
      <c r="G123" s="152">
        <f>IFERROR(__xludf.DUMMYFUNCTION("""COMPUTED_VALUE"""),0.48680555555555555)</f>
        <v>0.4868055556</v>
      </c>
      <c r="H123" s="106">
        <v>0.04583333333333334</v>
      </c>
      <c r="I123" s="136">
        <f>IFERROR(__xludf.DUMMYFUNCTION("""COMPUTED_VALUE"""),95.0)</f>
        <v>95</v>
      </c>
      <c r="J123" s="139">
        <v>86.36363636363636</v>
      </c>
      <c r="K123" s="136" t="s">
        <v>134</v>
      </c>
      <c r="L123" s="153">
        <f>IFERROR(__xludf.DUMMYFUNCTION("""COMPUTED_VALUE"""),46083.0)</f>
        <v>46083</v>
      </c>
      <c r="M123" s="136" t="str">
        <f t="shared" si="1"/>
        <v>Monday</v>
      </c>
      <c r="N123" s="136" t="str">
        <f>IFERROR(__xludf.DUMMYFUNCTION("""COMPUTED_VALUE"""),"MF")</f>
        <v>MF</v>
      </c>
      <c r="O123" s="141">
        <v>2.4976420967026645</v>
      </c>
      <c r="P123" s="136" t="str">
        <f>IFERROR(__xludf.DUMMYFUNCTION("""COMPUTED_VALUE"""),"")</f>
        <v/>
      </c>
      <c r="Q123" s="136" t="str">
        <f>IFERROR(__xludf.DUMMYFUNCTION("""COMPUTED_VALUE"""),"")</f>
        <v/>
      </c>
      <c r="R123" s="106" t="str">
        <f>IFERROR(__xludf.DUMMYFUNCTION("""COMPUTED_VALUE"""),"")</f>
        <v/>
      </c>
      <c r="S123" s="106" t="str">
        <f>IFERROR(__xludf.DUMMYFUNCTION("""COMPUTED_VALUE"""),"")</f>
        <v/>
      </c>
      <c r="T123" s="139" t="str">
        <f>IFERROR(__xludf.DUMMYFUNCTION("""COMPUTED_VALUE"""),"")</f>
        <v/>
      </c>
      <c r="U123" s="139" t="str">
        <f>IFERROR(__xludf.DUMMYFUNCTION("""COMPUTED_VALUE"""),"")</f>
        <v/>
      </c>
      <c r="V123" s="136" t="str">
        <f>IFERROR(__xludf.DUMMYFUNCTION("""COMPUTED_VALUE"""),"")</f>
        <v/>
      </c>
      <c r="W123" s="106" t="str">
        <f>IFERROR(__xludf.DUMMYFUNCTION("""COMPUTED_VALUE"""),"")</f>
        <v/>
      </c>
      <c r="X123" s="143" t="str">
        <f t="shared" si="2"/>
        <v/>
      </c>
      <c r="Y123" s="139" t="str">
        <f>IFERROR(__xludf.DUMMYFUNCTION("""COMPUTED_VALUE"""),"")</f>
        <v/>
      </c>
      <c r="Z123" s="141" t="str">
        <f>IFERROR(__xludf.DUMMYFUNCTION("""COMPUTED_VALUE"""),"")</f>
        <v/>
      </c>
    </row>
    <row r="124">
      <c r="A124" s="136" t="str">
        <f>IFERROR(__xludf.DUMMYFUNCTION("""COMPUTED_VALUE"""),"LOG-081E3444")</f>
        <v>LOG-081E3444</v>
      </c>
      <c r="B124" s="151">
        <f>IFERROR(__xludf.DUMMYFUNCTION("""COMPUTED_VALUE"""),46083.62152777778)</f>
        <v>46083.62153</v>
      </c>
      <c r="C124" s="136" t="str">
        <f>IFERROR(__xludf.DUMMYFUNCTION("""COMPUTED_VALUE"""),"Denise Romanszysn")</f>
        <v>Denise Romanszysn</v>
      </c>
      <c r="D124" s="136" t="b">
        <f t="shared" si="3"/>
        <v>0</v>
      </c>
      <c r="E124" s="152">
        <f>IFERROR(__xludf.DUMMYFUNCTION("""COMPUTED_VALUE"""),0.5451388888888888)</f>
        <v>0.5451388889</v>
      </c>
      <c r="F124" s="106">
        <v>0.07638888888888895</v>
      </c>
      <c r="G124" s="152">
        <f>IFERROR(__xludf.DUMMYFUNCTION("""COMPUTED_VALUE"""),0.6215277777777778)</f>
        <v>0.6215277778</v>
      </c>
      <c r="H124" s="106">
        <v>0.07638888888888895</v>
      </c>
      <c r="I124" s="136">
        <f>IFERROR(__xludf.DUMMYFUNCTION("""COMPUTED_VALUE"""),140.0)</f>
        <v>140</v>
      </c>
      <c r="J124" s="139">
        <v>76.3636363636363</v>
      </c>
      <c r="K124" s="136" t="s">
        <v>15</v>
      </c>
      <c r="L124" s="153">
        <f>IFERROR(__xludf.DUMMYFUNCTION("""COMPUTED_VALUE"""),46083.0)</f>
        <v>46083</v>
      </c>
      <c r="M124" s="136" t="str">
        <f t="shared" si="1"/>
        <v>Monday</v>
      </c>
      <c r="N124" s="136" t="str">
        <f>IFERROR(__xludf.DUMMYFUNCTION("""COMPUTED_VALUE"""),"MF")</f>
        <v>MF</v>
      </c>
      <c r="O124" s="141">
        <v>1.5188433184168262</v>
      </c>
      <c r="P124" s="136">
        <f>IFERROR(__xludf.DUMMYFUNCTION("""COMPUTED_VALUE"""),338.0)</f>
        <v>338</v>
      </c>
      <c r="Q124" s="136">
        <f>IFERROR(__xludf.DUMMYFUNCTION("""COMPUTED_VALUE"""),190.0)</f>
        <v>190</v>
      </c>
      <c r="R124" s="106">
        <f>IFERROR(__xludf.DUMMYFUNCTION("""COMPUTED_VALUE"""),0.1979166666666668)</f>
        <v>0.1979166667</v>
      </c>
      <c r="S124" s="106">
        <f>IFERROR(__xludf.DUMMYFUNCTION("""COMPUTED_VALUE"""),0.2777777777777778)</f>
        <v>0.2777777778</v>
      </c>
      <c r="T124" s="139">
        <f>IFERROR(__xludf.DUMMYFUNCTION("""COMPUTED_VALUE"""),73.14150681123154)</f>
        <v>73.14150681</v>
      </c>
      <c r="U124" s="139">
        <f>IFERROR(__xludf.DUMMYFUNCTION("""COMPUTED_VALUE"""),29.290598290598286)</f>
        <v>29.29059829</v>
      </c>
      <c r="V124" s="136">
        <f>IFERROR(__xludf.DUMMYFUNCTION("""COMPUTED_VALUE"""),528.0)</f>
        <v>528</v>
      </c>
      <c r="W124" s="106">
        <f>IFERROR(__xludf.DUMMYFUNCTION("""COMPUTED_VALUE"""),0.4756944444444446)</f>
        <v>0.4756944444</v>
      </c>
      <c r="X124" s="143">
        <f t="shared" si="2"/>
        <v>46.24817518</v>
      </c>
      <c r="Y124" s="139">
        <f>IFERROR(__xludf.DUMMYFUNCTION("""COMPUTED_VALUE"""),51.216052550914924)</f>
        <v>51.21605255</v>
      </c>
      <c r="Z124" s="141">
        <f>IFERROR(__xludf.DUMMYFUNCTION("""COMPUTED_VALUE"""),0.9884750919101468)</f>
        <v>0.9884750919</v>
      </c>
    </row>
    <row r="125">
      <c r="A125" s="136" t="str">
        <f>IFERROR(__xludf.DUMMYFUNCTION("""COMPUTED_VALUE"""),"LOG-2BF851FC")</f>
        <v>LOG-2BF851FC</v>
      </c>
      <c r="B125" s="151">
        <f>IFERROR(__xludf.DUMMYFUNCTION("""COMPUTED_VALUE"""),46084.51944444444)</f>
        <v>46084.51944</v>
      </c>
      <c r="C125" s="136" t="str">
        <f>IFERROR(__xludf.DUMMYFUNCTION("""COMPUTED_VALUE"""),"Kaylie Forgue")</f>
        <v>Kaylie Forgue</v>
      </c>
      <c r="D125" s="136" t="b">
        <f t="shared" si="3"/>
        <v>0</v>
      </c>
      <c r="E125" s="152">
        <f>IFERROR(__xludf.DUMMYFUNCTION("""COMPUTED_VALUE"""),0.4465277777777778)</f>
        <v>0.4465277778</v>
      </c>
      <c r="F125" s="106">
        <v>0.07291666666666669</v>
      </c>
      <c r="G125" s="152">
        <f>IFERROR(__xludf.DUMMYFUNCTION("""COMPUTED_VALUE"""),0.5194444444444445)</f>
        <v>0.5194444444</v>
      </c>
      <c r="H125" s="106">
        <v>0.07291666666666669</v>
      </c>
      <c r="I125" s="136">
        <f>IFERROR(__xludf.DUMMYFUNCTION("""COMPUTED_VALUE"""),60.0)</f>
        <v>60</v>
      </c>
      <c r="J125" s="139">
        <v>34.28571428571428</v>
      </c>
      <c r="K125" s="136" t="s">
        <v>134</v>
      </c>
      <c r="L125" s="153">
        <f>IFERROR(__xludf.DUMMYFUNCTION("""COMPUTED_VALUE"""),46084.0)</f>
        <v>46084</v>
      </c>
      <c r="M125" s="136" t="str">
        <f t="shared" si="1"/>
        <v>Tuesday</v>
      </c>
      <c r="N125" s="136" t="str">
        <f>IFERROR(__xludf.DUMMYFUNCTION("""COMPUTED_VALUE"""),"BF")</f>
        <v>BF</v>
      </c>
      <c r="O125" s="141">
        <v>1.1055476484274755</v>
      </c>
      <c r="P125" s="136" t="str">
        <f>IFERROR(__xludf.DUMMYFUNCTION("""COMPUTED_VALUE"""),"")</f>
        <v/>
      </c>
      <c r="Q125" s="136" t="str">
        <f>IFERROR(__xludf.DUMMYFUNCTION("""COMPUTED_VALUE"""),"")</f>
        <v/>
      </c>
      <c r="R125" s="106" t="str">
        <f>IFERROR(__xludf.DUMMYFUNCTION("""COMPUTED_VALUE"""),"")</f>
        <v/>
      </c>
      <c r="S125" s="106" t="str">
        <f>IFERROR(__xludf.DUMMYFUNCTION("""COMPUTED_VALUE"""),"")</f>
        <v/>
      </c>
      <c r="T125" s="139" t="str">
        <f>IFERROR(__xludf.DUMMYFUNCTION("""COMPUTED_VALUE"""),"")</f>
        <v/>
      </c>
      <c r="U125" s="139" t="str">
        <f>IFERROR(__xludf.DUMMYFUNCTION("""COMPUTED_VALUE"""),"")</f>
        <v/>
      </c>
      <c r="V125" s="136" t="str">
        <f>IFERROR(__xludf.DUMMYFUNCTION("""COMPUTED_VALUE"""),"")</f>
        <v/>
      </c>
      <c r="W125" s="106" t="str">
        <f>IFERROR(__xludf.DUMMYFUNCTION("""COMPUTED_VALUE"""),"")</f>
        <v/>
      </c>
      <c r="X125" s="143" t="str">
        <f t="shared" si="2"/>
        <v/>
      </c>
      <c r="Y125" s="139" t="str">
        <f>IFERROR(__xludf.DUMMYFUNCTION("""COMPUTED_VALUE"""),"")</f>
        <v/>
      </c>
      <c r="Z125" s="141" t="str">
        <f>IFERROR(__xludf.DUMMYFUNCTION("""COMPUTED_VALUE"""),"")</f>
        <v/>
      </c>
    </row>
    <row r="126">
      <c r="A126" s="136" t="str">
        <f>IFERROR(__xludf.DUMMYFUNCTION("""COMPUTED_VALUE"""),"LOG-EF21DD88")</f>
        <v>LOG-EF21DD88</v>
      </c>
      <c r="B126" s="151">
        <f>IFERROR(__xludf.DUMMYFUNCTION("""COMPUTED_VALUE"""),46084.540972222225)</f>
        <v>46084.54097</v>
      </c>
      <c r="C126" s="136" t="str">
        <f>IFERROR(__xludf.DUMMYFUNCTION("""COMPUTED_VALUE"""),"Kyra Turner")</f>
        <v>Kyra Turner</v>
      </c>
      <c r="D126" s="136" t="b">
        <f t="shared" si="3"/>
        <v>0</v>
      </c>
      <c r="E126" s="152">
        <f>IFERROR(__xludf.DUMMYFUNCTION("""COMPUTED_VALUE"""),0.48125)</f>
        <v>0.48125</v>
      </c>
      <c r="F126" s="106">
        <v>0.05972222222222218</v>
      </c>
      <c r="G126" s="152">
        <f>IFERROR(__xludf.DUMMYFUNCTION("""COMPUTED_VALUE"""),0.5409722222222222)</f>
        <v>0.5409722222</v>
      </c>
      <c r="H126" s="106">
        <v>0.13263888888888892</v>
      </c>
      <c r="I126" s="136">
        <f>IFERROR(__xludf.DUMMYFUNCTION("""COMPUTED_VALUE"""),109.0)</f>
        <v>109</v>
      </c>
      <c r="J126" s="139">
        <v>77.5916230366492</v>
      </c>
      <c r="K126" s="136" t="s">
        <v>15</v>
      </c>
      <c r="L126" s="153">
        <f>IFERROR(__xludf.DUMMYFUNCTION("""COMPUTED_VALUE"""),46084.0)</f>
        <v>46084</v>
      </c>
      <c r="M126" s="136" t="str">
        <f t="shared" si="1"/>
        <v>Tuesday</v>
      </c>
      <c r="N126" s="136" t="str">
        <f>IFERROR(__xludf.DUMMYFUNCTION("""COMPUTED_VALUE"""),"MF")</f>
        <v>MF</v>
      </c>
      <c r="O126" s="141">
        <v>1.5432675004257737</v>
      </c>
      <c r="P126" s="136" t="str">
        <f>IFERROR(__xludf.DUMMYFUNCTION("""COMPUTED_VALUE"""),"")</f>
        <v/>
      </c>
      <c r="Q126" s="136" t="str">
        <f>IFERROR(__xludf.DUMMYFUNCTION("""COMPUTED_VALUE"""),"")</f>
        <v/>
      </c>
      <c r="R126" s="106" t="str">
        <f>IFERROR(__xludf.DUMMYFUNCTION("""COMPUTED_VALUE"""),"")</f>
        <v/>
      </c>
      <c r="S126" s="106" t="str">
        <f>IFERROR(__xludf.DUMMYFUNCTION("""COMPUTED_VALUE"""),"")</f>
        <v/>
      </c>
      <c r="T126" s="139" t="str">
        <f>IFERROR(__xludf.DUMMYFUNCTION("""COMPUTED_VALUE"""),"")</f>
        <v/>
      </c>
      <c r="U126" s="139" t="str">
        <f>IFERROR(__xludf.DUMMYFUNCTION("""COMPUTED_VALUE"""),"")</f>
        <v/>
      </c>
      <c r="V126" s="136" t="str">
        <f>IFERROR(__xludf.DUMMYFUNCTION("""COMPUTED_VALUE"""),"")</f>
        <v/>
      </c>
      <c r="W126" s="106" t="str">
        <f>IFERROR(__xludf.DUMMYFUNCTION("""COMPUTED_VALUE"""),"")</f>
        <v/>
      </c>
      <c r="X126" s="143" t="str">
        <f t="shared" si="2"/>
        <v/>
      </c>
      <c r="Y126" s="139" t="str">
        <f>IFERROR(__xludf.DUMMYFUNCTION("""COMPUTED_VALUE"""),"")</f>
        <v/>
      </c>
      <c r="Z126" s="141" t="str">
        <f>IFERROR(__xludf.DUMMYFUNCTION("""COMPUTED_VALUE"""),"")</f>
        <v/>
      </c>
    </row>
    <row r="127">
      <c r="A127" s="136" t="str">
        <f>IFERROR(__xludf.DUMMYFUNCTION("""COMPUTED_VALUE"""),"LOG-036C517A")</f>
        <v>LOG-036C517A</v>
      </c>
      <c r="B127" s="151">
        <f>IFERROR(__xludf.DUMMYFUNCTION("""COMPUTED_VALUE"""),46084.61944444444)</f>
        <v>46084.61944</v>
      </c>
      <c r="C127" s="136" t="str">
        <f>IFERROR(__xludf.DUMMYFUNCTION("""COMPUTED_VALUE"""),"Kyra Turner")</f>
        <v>Kyra Turner</v>
      </c>
      <c r="D127" s="136" t="b">
        <f t="shared" si="3"/>
        <v>1</v>
      </c>
      <c r="E127" s="152">
        <f>IFERROR(__xludf.DUMMYFUNCTION("""COMPUTED_VALUE"""),0.5465277777777777)</f>
        <v>0.5465277778</v>
      </c>
      <c r="F127" s="106">
        <v>0.07291666666666674</v>
      </c>
      <c r="G127" s="152">
        <f>IFERROR(__xludf.DUMMYFUNCTION("""COMPUTED_VALUE"""),0.6194444444444445)</f>
        <v>0.6194444444</v>
      </c>
      <c r="H127" s="106" t="s">
        <v>133</v>
      </c>
      <c r="I127" s="136">
        <f>IFERROR(__xludf.DUMMYFUNCTION("""COMPUTED_VALUE"""),138.0)</f>
        <v>138</v>
      </c>
      <c r="J127" s="139" t="s">
        <v>133</v>
      </c>
      <c r="K127" s="136" t="s">
        <v>15</v>
      </c>
      <c r="L127" s="153">
        <f>IFERROR(__xludf.DUMMYFUNCTION("""COMPUTED_VALUE"""),46084.0)</f>
        <v>46084</v>
      </c>
      <c r="M127" s="136" t="str">
        <f t="shared" si="1"/>
        <v>Tuesday</v>
      </c>
      <c r="N127" s="136" t="str">
        <f>IFERROR(__xludf.DUMMYFUNCTION("""COMPUTED_VALUE"""),"MF")</f>
        <v>MF</v>
      </c>
      <c r="O127" s="141" t="s">
        <v>133</v>
      </c>
      <c r="P127" s="136" t="str">
        <f>IFERROR(__xludf.DUMMYFUNCTION("""COMPUTED_VALUE"""),"")</f>
        <v/>
      </c>
      <c r="Q127" s="136" t="str">
        <f>IFERROR(__xludf.DUMMYFUNCTION("""COMPUTED_VALUE"""),"")</f>
        <v/>
      </c>
      <c r="R127" s="106" t="str">
        <f>IFERROR(__xludf.DUMMYFUNCTION("""COMPUTED_VALUE"""),"")</f>
        <v/>
      </c>
      <c r="S127" s="106" t="str">
        <f>IFERROR(__xludf.DUMMYFUNCTION("""COMPUTED_VALUE"""),"")</f>
        <v/>
      </c>
      <c r="T127" s="139" t="str">
        <f>IFERROR(__xludf.DUMMYFUNCTION("""COMPUTED_VALUE"""),"")</f>
        <v/>
      </c>
      <c r="U127" s="139" t="str">
        <f>IFERROR(__xludf.DUMMYFUNCTION("""COMPUTED_VALUE"""),"")</f>
        <v/>
      </c>
      <c r="V127" s="136" t="str">
        <f>IFERROR(__xludf.DUMMYFUNCTION("""COMPUTED_VALUE"""),"")</f>
        <v/>
      </c>
      <c r="W127" s="106" t="str">
        <f>IFERROR(__xludf.DUMMYFUNCTION("""COMPUTED_VALUE"""),"")</f>
        <v/>
      </c>
      <c r="X127" s="143" t="str">
        <f t="shared" si="2"/>
        <v/>
      </c>
      <c r="Y127" s="139" t="str">
        <f>IFERROR(__xludf.DUMMYFUNCTION("""COMPUTED_VALUE"""),"")</f>
        <v/>
      </c>
      <c r="Z127" s="141" t="str">
        <f>IFERROR(__xludf.DUMMYFUNCTION("""COMPUTED_VALUE"""),"")</f>
        <v/>
      </c>
    </row>
    <row r="128">
      <c r="A128" s="136" t="str">
        <f>IFERROR(__xludf.DUMMYFUNCTION("""COMPUTED_VALUE"""),"LOG-9981FD73")</f>
        <v>LOG-9981FD73</v>
      </c>
      <c r="B128" s="151">
        <f>IFERROR(__xludf.DUMMYFUNCTION("""COMPUTED_VALUE"""),46084.87222222222)</f>
        <v>46084.87222</v>
      </c>
      <c r="C128" s="136" t="str">
        <f>IFERROR(__xludf.DUMMYFUNCTION("""COMPUTED_VALUE"""),"Laila Maisuria")</f>
        <v>Laila Maisuria</v>
      </c>
      <c r="D128" s="136" t="b">
        <f t="shared" si="3"/>
        <v>0</v>
      </c>
      <c r="E128" s="152">
        <f>IFERROR(__xludf.DUMMYFUNCTION("""COMPUTED_VALUE"""),0.7527777777777778)</f>
        <v>0.7527777778</v>
      </c>
      <c r="F128" s="106">
        <v>0.11944444444444446</v>
      </c>
      <c r="G128" s="152">
        <f>IFERROR(__xludf.DUMMYFUNCTION("""COMPUTED_VALUE"""),0.8722222222222222)</f>
        <v>0.8722222222</v>
      </c>
      <c r="H128" s="106">
        <v>0.11944444444444446</v>
      </c>
      <c r="I128" s="136">
        <f>IFERROR(__xludf.DUMMYFUNCTION("""COMPUTED_VALUE"""),124.0)</f>
        <v>124</v>
      </c>
      <c r="J128" s="139">
        <v>43.255813953488364</v>
      </c>
      <c r="K128" s="136" t="s">
        <v>18</v>
      </c>
      <c r="L128" s="153">
        <f>IFERROR(__xludf.DUMMYFUNCTION("""COMPUTED_VALUE"""),46084.0)</f>
        <v>46084</v>
      </c>
      <c r="M128" s="136" t="str">
        <f t="shared" si="1"/>
        <v>Tuesday</v>
      </c>
      <c r="N128" s="136" t="str">
        <f>IFERROR(__xludf.DUMMYFUNCTION("""COMPUTED_VALUE"""),"MF")</f>
        <v>MF</v>
      </c>
      <c r="O128" s="141">
        <v>0.9047544174209097</v>
      </c>
      <c r="P128" s="136">
        <f>IFERROR(__xludf.DUMMYFUNCTION("""COMPUTED_VALUE"""),371.0)</f>
        <v>371</v>
      </c>
      <c r="Q128" s="136">
        <f>IFERROR(__xludf.DUMMYFUNCTION("""COMPUTED_VALUE"""),60.0)</f>
        <v>60</v>
      </c>
      <c r="R128" s="106">
        <f>IFERROR(__xludf.DUMMYFUNCTION("""COMPUTED_VALUE"""),0.2520833333333334)</f>
        <v>0.2520833333</v>
      </c>
      <c r="S128" s="106">
        <f>IFERROR(__xludf.DUMMYFUNCTION("""COMPUTED_VALUE"""),0.07291666666666669)</f>
        <v>0.07291666667</v>
      </c>
      <c r="T128" s="139">
        <f>IFERROR(__xludf.DUMMYFUNCTION("""COMPUTED_VALUE"""),60.42371849506878)</f>
        <v>60.4237185</v>
      </c>
      <c r="U128" s="139">
        <f>IFERROR(__xludf.DUMMYFUNCTION("""COMPUTED_VALUE"""),34.28571428571428)</f>
        <v>34.28571429</v>
      </c>
      <c r="V128" s="136">
        <f>IFERROR(__xludf.DUMMYFUNCTION("""COMPUTED_VALUE"""),431.0)</f>
        <v>431</v>
      </c>
      <c r="W128" s="106">
        <f>IFERROR(__xludf.DUMMYFUNCTION("""COMPUTED_VALUE"""),0.32500000000000007)</f>
        <v>0.325</v>
      </c>
      <c r="X128" s="143">
        <f t="shared" si="2"/>
        <v>55.25641026</v>
      </c>
      <c r="Y128" s="139">
        <f>IFERROR(__xludf.DUMMYFUNCTION("""COMPUTED_VALUE"""),51.71105042528395)</f>
        <v>51.71105043</v>
      </c>
      <c r="Z128" s="141">
        <f>IFERROR(__xludf.DUMMYFUNCTION("""COMPUTED_VALUE"""),0.7223444231973948)</f>
        <v>0.7223444232</v>
      </c>
    </row>
    <row r="129">
      <c r="A129" s="136" t="str">
        <f>IFERROR(__xludf.DUMMYFUNCTION("""COMPUTED_VALUE"""),"LOG-26D0BB28")</f>
        <v>LOG-26D0BB28</v>
      </c>
      <c r="B129" s="151">
        <f>IFERROR(__xludf.DUMMYFUNCTION("""COMPUTED_VALUE"""),46085.40972222222)</f>
        <v>46085.40972</v>
      </c>
      <c r="C129" s="136" t="str">
        <f>IFERROR(__xludf.DUMMYFUNCTION("""COMPUTED_VALUE"""),"Kaylie Forgue")</f>
        <v>Kaylie Forgue</v>
      </c>
      <c r="D129" s="136" t="b">
        <f t="shared" si="3"/>
        <v>0</v>
      </c>
      <c r="E129" s="152">
        <f>IFERROR(__xludf.DUMMYFUNCTION("""COMPUTED_VALUE"""),0.31180555555555556)</f>
        <v>0.3118055556</v>
      </c>
      <c r="F129" s="106">
        <v>0.09791666666666665</v>
      </c>
      <c r="G129" s="152">
        <f>IFERROR(__xludf.DUMMYFUNCTION("""COMPUTED_VALUE"""),0.4097222222222222)</f>
        <v>0.4097222222</v>
      </c>
      <c r="H129" s="106">
        <v>0.09791666666666665</v>
      </c>
      <c r="I129" s="136">
        <f>IFERROR(__xludf.DUMMYFUNCTION("""COMPUTED_VALUE"""),71.0)</f>
        <v>71</v>
      </c>
      <c r="J129" s="139">
        <v>30.212765957446813</v>
      </c>
      <c r="K129" s="136" t="s">
        <v>12</v>
      </c>
      <c r="L129" s="153">
        <f>IFERROR(__xludf.DUMMYFUNCTION("""COMPUTED_VALUE"""),46085.0)</f>
        <v>46085</v>
      </c>
      <c r="M129" s="136" t="str">
        <f t="shared" si="1"/>
        <v>Wednesday</v>
      </c>
      <c r="N129" s="136" t="str">
        <f>IFERROR(__xludf.DUMMYFUNCTION("""COMPUTED_VALUE"""),"BF")</f>
        <v>BF</v>
      </c>
      <c r="O129" s="141">
        <v>1.065681621058926</v>
      </c>
      <c r="P129" s="136" t="str">
        <f>IFERROR(__xludf.DUMMYFUNCTION("""COMPUTED_VALUE"""),"")</f>
        <v/>
      </c>
      <c r="Q129" s="136" t="str">
        <f>IFERROR(__xludf.DUMMYFUNCTION("""COMPUTED_VALUE"""),"")</f>
        <v/>
      </c>
      <c r="R129" s="106" t="str">
        <f>IFERROR(__xludf.DUMMYFUNCTION("""COMPUTED_VALUE"""),"")</f>
        <v/>
      </c>
      <c r="S129" s="106" t="str">
        <f>IFERROR(__xludf.DUMMYFUNCTION("""COMPUTED_VALUE"""),"")</f>
        <v/>
      </c>
      <c r="T129" s="139" t="str">
        <f>IFERROR(__xludf.DUMMYFUNCTION("""COMPUTED_VALUE"""),"")</f>
        <v/>
      </c>
      <c r="U129" s="139" t="str">
        <f>IFERROR(__xludf.DUMMYFUNCTION("""COMPUTED_VALUE"""),"")</f>
        <v/>
      </c>
      <c r="V129" s="136" t="str">
        <f>IFERROR(__xludf.DUMMYFUNCTION("""COMPUTED_VALUE"""),"")</f>
        <v/>
      </c>
      <c r="W129" s="106" t="str">
        <f>IFERROR(__xludf.DUMMYFUNCTION("""COMPUTED_VALUE"""),"")</f>
        <v/>
      </c>
      <c r="X129" s="143" t="str">
        <f t="shared" si="2"/>
        <v/>
      </c>
      <c r="Y129" s="139" t="str">
        <f>IFERROR(__xludf.DUMMYFUNCTION("""COMPUTED_VALUE"""),"")</f>
        <v/>
      </c>
      <c r="Z129" s="141" t="str">
        <f>IFERROR(__xludf.DUMMYFUNCTION("""COMPUTED_VALUE"""),"")</f>
        <v/>
      </c>
    </row>
    <row r="130">
      <c r="A130" s="136" t="str">
        <f>IFERROR(__xludf.DUMMYFUNCTION("""COMPUTED_VALUE"""),"LOG-1DFC7C81")</f>
        <v>LOG-1DFC7C81</v>
      </c>
      <c r="B130" s="151">
        <f>IFERROR(__xludf.DUMMYFUNCTION("""COMPUTED_VALUE"""),46085.479166666664)</f>
        <v>46085.47917</v>
      </c>
      <c r="C130" s="136" t="str">
        <f>IFERROR(__xludf.DUMMYFUNCTION("""COMPUTED_VALUE"""),"Oluwatimilehin Shodipe")</f>
        <v>Oluwatimilehin Shodipe</v>
      </c>
      <c r="D130" s="136" t="b">
        <f t="shared" si="3"/>
        <v>0</v>
      </c>
      <c r="E130" s="152">
        <f>IFERROR(__xludf.DUMMYFUNCTION("""COMPUTED_VALUE"""),0.4270833333333333)</f>
        <v>0.4270833333</v>
      </c>
      <c r="F130" s="106">
        <v>0.05208333333333337</v>
      </c>
      <c r="G130" s="152">
        <f>IFERROR(__xludf.DUMMYFUNCTION("""COMPUTED_VALUE"""),0.4791666666666667)</f>
        <v>0.4791666667</v>
      </c>
      <c r="H130" s="106">
        <v>0.0763888888888889</v>
      </c>
      <c r="I130" s="136">
        <f>IFERROR(__xludf.DUMMYFUNCTION("""COMPUTED_VALUE"""),46.0)</f>
        <v>46</v>
      </c>
      <c r="J130" s="139">
        <v>40.90909090909091</v>
      </c>
      <c r="K130" s="136" t="s">
        <v>134</v>
      </c>
      <c r="L130" s="153">
        <f>IFERROR(__xludf.DUMMYFUNCTION("""COMPUTED_VALUE"""),46085.0)</f>
        <v>46085</v>
      </c>
      <c r="M130" s="136" t="str">
        <f t="shared" si="1"/>
        <v>Wednesday</v>
      </c>
      <c r="N130" s="136" t="str">
        <f>IFERROR(__xludf.DUMMYFUNCTION("""COMPUTED_VALUE"""),"BF")</f>
        <v>BF</v>
      </c>
      <c r="O130" s="141">
        <v>1.0705016388892525</v>
      </c>
      <c r="P130" s="136" t="str">
        <f>IFERROR(__xludf.DUMMYFUNCTION("""COMPUTED_VALUE"""),"")</f>
        <v/>
      </c>
      <c r="Q130" s="136" t="str">
        <f>IFERROR(__xludf.DUMMYFUNCTION("""COMPUTED_VALUE"""),"")</f>
        <v/>
      </c>
      <c r="R130" s="106" t="str">
        <f>IFERROR(__xludf.DUMMYFUNCTION("""COMPUTED_VALUE"""),"")</f>
        <v/>
      </c>
      <c r="S130" s="106" t="str">
        <f>IFERROR(__xludf.DUMMYFUNCTION("""COMPUTED_VALUE"""),"")</f>
        <v/>
      </c>
      <c r="T130" s="139" t="str">
        <f>IFERROR(__xludf.DUMMYFUNCTION("""COMPUTED_VALUE"""),"")</f>
        <v/>
      </c>
      <c r="U130" s="139" t="str">
        <f>IFERROR(__xludf.DUMMYFUNCTION("""COMPUTED_VALUE"""),"")</f>
        <v/>
      </c>
      <c r="V130" s="136" t="str">
        <f>IFERROR(__xludf.DUMMYFUNCTION("""COMPUTED_VALUE"""),"")</f>
        <v/>
      </c>
      <c r="W130" s="106" t="str">
        <f>IFERROR(__xludf.DUMMYFUNCTION("""COMPUTED_VALUE"""),"")</f>
        <v/>
      </c>
      <c r="X130" s="143" t="str">
        <f t="shared" si="2"/>
        <v/>
      </c>
      <c r="Y130" s="139" t="str">
        <f>IFERROR(__xludf.DUMMYFUNCTION("""COMPUTED_VALUE"""),"")</f>
        <v/>
      </c>
      <c r="Z130" s="141" t="str">
        <f>IFERROR(__xludf.DUMMYFUNCTION("""COMPUTED_VALUE"""),"")</f>
        <v/>
      </c>
    </row>
    <row r="131">
      <c r="A131" s="136" t="str">
        <f>IFERROR(__xludf.DUMMYFUNCTION("""COMPUTED_VALUE"""),"LOG-FCB53366")</f>
        <v>LOG-FCB53366</v>
      </c>
      <c r="B131" s="151">
        <f>IFERROR(__xludf.DUMMYFUNCTION("""COMPUTED_VALUE"""),46085.510416666664)</f>
        <v>46085.51042</v>
      </c>
      <c r="C131" s="136" t="str">
        <f>IFERROR(__xludf.DUMMYFUNCTION("""COMPUTED_VALUE"""),"Oluwatimilehin Shodipe")</f>
        <v>Oluwatimilehin Shodipe</v>
      </c>
      <c r="D131" s="136" t="b">
        <f t="shared" si="3"/>
        <v>1</v>
      </c>
      <c r="E131" s="152">
        <f>IFERROR(__xludf.DUMMYFUNCTION("""COMPUTED_VALUE"""),0.4861111111111111)</f>
        <v>0.4861111111</v>
      </c>
      <c r="F131" s="106">
        <v>0.024305555555555525</v>
      </c>
      <c r="G131" s="152">
        <f>IFERROR(__xludf.DUMMYFUNCTION("""COMPUTED_VALUE"""),0.5104166666666666)</f>
        <v>0.5104166667</v>
      </c>
      <c r="H131" s="106" t="s">
        <v>133</v>
      </c>
      <c r="I131" s="136">
        <f>IFERROR(__xludf.DUMMYFUNCTION("""COMPUTED_VALUE"""),29.0)</f>
        <v>29</v>
      </c>
      <c r="J131" s="139" t="s">
        <v>133</v>
      </c>
      <c r="K131" s="136" t="s">
        <v>15</v>
      </c>
      <c r="L131" s="153">
        <f>IFERROR(__xludf.DUMMYFUNCTION("""COMPUTED_VALUE"""),46085.0)</f>
        <v>46085</v>
      </c>
      <c r="M131" s="136" t="str">
        <f t="shared" si="1"/>
        <v>Wednesday</v>
      </c>
      <c r="N131" s="136" t="str">
        <f>IFERROR(__xludf.DUMMYFUNCTION("""COMPUTED_VALUE"""),"MF")</f>
        <v>MF</v>
      </c>
      <c r="O131" s="141" t="s">
        <v>133</v>
      </c>
      <c r="P131" s="136" t="str">
        <f>IFERROR(__xludf.DUMMYFUNCTION("""COMPUTED_VALUE"""),"")</f>
        <v/>
      </c>
      <c r="Q131" s="136" t="str">
        <f>IFERROR(__xludf.DUMMYFUNCTION("""COMPUTED_VALUE"""),"")</f>
        <v/>
      </c>
      <c r="R131" s="106" t="str">
        <f>IFERROR(__xludf.DUMMYFUNCTION("""COMPUTED_VALUE"""),"")</f>
        <v/>
      </c>
      <c r="S131" s="106" t="str">
        <f>IFERROR(__xludf.DUMMYFUNCTION("""COMPUTED_VALUE"""),"")</f>
        <v/>
      </c>
      <c r="T131" s="139" t="str">
        <f>IFERROR(__xludf.DUMMYFUNCTION("""COMPUTED_VALUE"""),"")</f>
        <v/>
      </c>
      <c r="U131" s="139" t="str">
        <f>IFERROR(__xludf.DUMMYFUNCTION("""COMPUTED_VALUE"""),"")</f>
        <v/>
      </c>
      <c r="V131" s="136" t="str">
        <f>IFERROR(__xludf.DUMMYFUNCTION("""COMPUTED_VALUE"""),"")</f>
        <v/>
      </c>
      <c r="W131" s="106" t="str">
        <f>IFERROR(__xludf.DUMMYFUNCTION("""COMPUTED_VALUE"""),"")</f>
        <v/>
      </c>
      <c r="X131" s="143" t="str">
        <f t="shared" si="2"/>
        <v/>
      </c>
      <c r="Y131" s="139" t="str">
        <f>IFERROR(__xludf.DUMMYFUNCTION("""COMPUTED_VALUE"""),"")</f>
        <v/>
      </c>
      <c r="Z131" s="141" t="str">
        <f>IFERROR(__xludf.DUMMYFUNCTION("""COMPUTED_VALUE"""),"")</f>
        <v/>
      </c>
    </row>
    <row r="132">
      <c r="A132" s="136" t="str">
        <f>IFERROR(__xludf.DUMMYFUNCTION("""COMPUTED_VALUE"""),"LOG-67803E6E")</f>
        <v>LOG-67803E6E</v>
      </c>
      <c r="B132" s="151">
        <f>IFERROR(__xludf.DUMMYFUNCTION("""COMPUTED_VALUE"""),46085.62013888889)</f>
        <v>46085.62014</v>
      </c>
      <c r="C132" s="136" t="str">
        <f>IFERROR(__xludf.DUMMYFUNCTION("""COMPUTED_VALUE"""),"Evan Morgan")</f>
        <v>Evan Morgan</v>
      </c>
      <c r="D132" s="136" t="b">
        <f t="shared" si="3"/>
        <v>0</v>
      </c>
      <c r="E132" s="152">
        <f>IFERROR(__xludf.DUMMYFUNCTION("""COMPUTED_VALUE"""),0.5416666666666666)</f>
        <v>0.5416666667</v>
      </c>
      <c r="F132" s="106">
        <v>0.07847222222222228</v>
      </c>
      <c r="G132" s="152">
        <f>IFERROR(__xludf.DUMMYFUNCTION("""COMPUTED_VALUE"""),0.6201388888888889)</f>
        <v>0.6201388889</v>
      </c>
      <c r="H132" s="106">
        <v>0.07847222222222228</v>
      </c>
      <c r="I132" s="136">
        <f>IFERROR(__xludf.DUMMYFUNCTION("""COMPUTED_VALUE"""),134.0)</f>
        <v>134</v>
      </c>
      <c r="J132" s="139">
        <v>71.15044247787606</v>
      </c>
      <c r="K132" s="136" t="s">
        <v>15</v>
      </c>
      <c r="L132" s="153">
        <f>IFERROR(__xludf.DUMMYFUNCTION("""COMPUTED_VALUE"""),46085.0)</f>
        <v>46085</v>
      </c>
      <c r="M132" s="136" t="str">
        <f t="shared" si="1"/>
        <v>Wednesday</v>
      </c>
      <c r="N132" s="136" t="str">
        <f>IFERROR(__xludf.DUMMYFUNCTION("""COMPUTED_VALUE"""),"MF")</f>
        <v>MF</v>
      </c>
      <c r="O132" s="141">
        <v>1.4151548997132755</v>
      </c>
      <c r="P132" s="136" t="str">
        <f>IFERROR(__xludf.DUMMYFUNCTION("""COMPUTED_VALUE"""),"")</f>
        <v/>
      </c>
      <c r="Q132" s="136" t="str">
        <f>IFERROR(__xludf.DUMMYFUNCTION("""COMPUTED_VALUE"""),"")</f>
        <v/>
      </c>
      <c r="R132" s="106" t="str">
        <f>IFERROR(__xludf.DUMMYFUNCTION("""COMPUTED_VALUE"""),"")</f>
        <v/>
      </c>
      <c r="S132" s="106" t="str">
        <f>IFERROR(__xludf.DUMMYFUNCTION("""COMPUTED_VALUE"""),"")</f>
        <v/>
      </c>
      <c r="T132" s="139" t="str">
        <f>IFERROR(__xludf.DUMMYFUNCTION("""COMPUTED_VALUE"""),"")</f>
        <v/>
      </c>
      <c r="U132" s="139" t="str">
        <f>IFERROR(__xludf.DUMMYFUNCTION("""COMPUTED_VALUE"""),"")</f>
        <v/>
      </c>
      <c r="V132" s="136" t="str">
        <f>IFERROR(__xludf.DUMMYFUNCTION("""COMPUTED_VALUE"""),"")</f>
        <v/>
      </c>
      <c r="W132" s="106" t="str">
        <f>IFERROR(__xludf.DUMMYFUNCTION("""COMPUTED_VALUE"""),"")</f>
        <v/>
      </c>
      <c r="X132" s="143" t="str">
        <f t="shared" si="2"/>
        <v/>
      </c>
      <c r="Y132" s="139" t="str">
        <f>IFERROR(__xludf.DUMMYFUNCTION("""COMPUTED_VALUE"""),"")</f>
        <v/>
      </c>
      <c r="Z132" s="141" t="str">
        <f>IFERROR(__xludf.DUMMYFUNCTION("""COMPUTED_VALUE"""),"")</f>
        <v/>
      </c>
    </row>
    <row r="133">
      <c r="A133" s="136" t="str">
        <f>IFERROR(__xludf.DUMMYFUNCTION("""COMPUTED_VALUE"""),"LOG-6DD53CF2")</f>
        <v>LOG-6DD53CF2</v>
      </c>
      <c r="B133" s="151">
        <f>IFERROR(__xludf.DUMMYFUNCTION("""COMPUTED_VALUE"""),46085.73333333333)</f>
        <v>46085.73333</v>
      </c>
      <c r="C133" s="136" t="str">
        <f>IFERROR(__xludf.DUMMYFUNCTION("""COMPUTED_VALUE"""),"Evan Morgan")</f>
        <v>Evan Morgan</v>
      </c>
      <c r="D133" s="136" t="b">
        <f t="shared" si="3"/>
        <v>0</v>
      </c>
      <c r="E133" s="152">
        <f>IFERROR(__xludf.DUMMYFUNCTION("""COMPUTED_VALUE"""),0.6666666666666666)</f>
        <v>0.6666666667</v>
      </c>
      <c r="F133" s="106">
        <v>0.06666666666666665</v>
      </c>
      <c r="G133" s="152">
        <f>IFERROR(__xludf.DUMMYFUNCTION("""COMPUTED_VALUE"""),0.7333333333333333)</f>
        <v>0.7333333333</v>
      </c>
      <c r="H133" s="106">
        <v>0.06666666666666665</v>
      </c>
      <c r="I133" s="136">
        <f>IFERROR(__xludf.DUMMYFUNCTION("""COMPUTED_VALUE"""),48.0)</f>
        <v>48</v>
      </c>
      <c r="J133" s="139">
        <v>30.000000000000007</v>
      </c>
      <c r="K133" s="136" t="s">
        <v>18</v>
      </c>
      <c r="L133" s="153">
        <f>IFERROR(__xludf.DUMMYFUNCTION("""COMPUTED_VALUE"""),46085.0)</f>
        <v>46085</v>
      </c>
      <c r="M133" s="136" t="str">
        <f t="shared" si="1"/>
        <v>Wednesday</v>
      </c>
      <c r="N133" s="136" t="str">
        <f>IFERROR(__xludf.DUMMYFUNCTION("""COMPUTED_VALUE"""),"MF")</f>
        <v>MF</v>
      </c>
      <c r="O133" s="141">
        <v>0.6274909669209537</v>
      </c>
      <c r="P133" s="136" t="str">
        <f>IFERROR(__xludf.DUMMYFUNCTION("""COMPUTED_VALUE"""),"")</f>
        <v/>
      </c>
      <c r="Q133" s="136" t="str">
        <f>IFERROR(__xludf.DUMMYFUNCTION("""COMPUTED_VALUE"""),"")</f>
        <v/>
      </c>
      <c r="R133" s="106" t="str">
        <f>IFERROR(__xludf.DUMMYFUNCTION("""COMPUTED_VALUE"""),"")</f>
        <v/>
      </c>
      <c r="S133" s="106" t="str">
        <f>IFERROR(__xludf.DUMMYFUNCTION("""COMPUTED_VALUE"""),"")</f>
        <v/>
      </c>
      <c r="T133" s="139" t="str">
        <f>IFERROR(__xludf.DUMMYFUNCTION("""COMPUTED_VALUE"""),"")</f>
        <v/>
      </c>
      <c r="U133" s="139" t="str">
        <f>IFERROR(__xludf.DUMMYFUNCTION("""COMPUTED_VALUE"""),"")</f>
        <v/>
      </c>
      <c r="V133" s="136" t="str">
        <f>IFERROR(__xludf.DUMMYFUNCTION("""COMPUTED_VALUE"""),"")</f>
        <v/>
      </c>
      <c r="W133" s="106" t="str">
        <f>IFERROR(__xludf.DUMMYFUNCTION("""COMPUTED_VALUE"""),"")</f>
        <v/>
      </c>
      <c r="X133" s="143" t="str">
        <f t="shared" si="2"/>
        <v/>
      </c>
      <c r="Y133" s="139" t="str">
        <f>IFERROR(__xludf.DUMMYFUNCTION("""COMPUTED_VALUE"""),"")</f>
        <v/>
      </c>
      <c r="Z133" s="141" t="str">
        <f>IFERROR(__xludf.DUMMYFUNCTION("""COMPUTED_VALUE"""),"")</f>
        <v/>
      </c>
    </row>
    <row r="134">
      <c r="A134" s="136" t="str">
        <f>IFERROR(__xludf.DUMMYFUNCTION("""COMPUTED_VALUE"""),"LOG-DB596BAD")</f>
        <v>LOG-DB596BAD</v>
      </c>
      <c r="B134" s="151">
        <f>IFERROR(__xludf.DUMMYFUNCTION("""COMPUTED_VALUE"""),46085.854166666664)</f>
        <v>46085.85417</v>
      </c>
      <c r="C134" s="136" t="str">
        <f>IFERROR(__xludf.DUMMYFUNCTION("""COMPUTED_VALUE"""),"Maureen Surgot")</f>
        <v>Maureen Surgot</v>
      </c>
      <c r="D134" s="136" t="b">
        <f t="shared" si="3"/>
        <v>0</v>
      </c>
      <c r="E134" s="152">
        <f>IFERROR(__xludf.DUMMYFUNCTION("""COMPUTED_VALUE"""),0.6875)</f>
        <v>0.6875</v>
      </c>
      <c r="F134" s="106">
        <v>0.16666666666666663</v>
      </c>
      <c r="G134" s="152">
        <f>IFERROR(__xludf.DUMMYFUNCTION("""COMPUTED_VALUE"""),0.8541666666666666)</f>
        <v>0.8541666667</v>
      </c>
      <c r="H134" s="106">
        <v>0.16666666666666663</v>
      </c>
      <c r="I134" s="136">
        <f>IFERROR(__xludf.DUMMYFUNCTION("""COMPUTED_VALUE"""),258.0)</f>
        <v>258</v>
      </c>
      <c r="J134" s="139">
        <v>64.50000000000001</v>
      </c>
      <c r="K134" s="136" t="s">
        <v>18</v>
      </c>
      <c r="L134" s="153">
        <f>IFERROR(__xludf.DUMMYFUNCTION("""COMPUTED_VALUE"""),46085.0)</f>
        <v>46085</v>
      </c>
      <c r="M134" s="136" t="str">
        <f t="shared" si="1"/>
        <v>Wednesday</v>
      </c>
      <c r="N134" s="136" t="str">
        <f>IFERROR(__xludf.DUMMYFUNCTION("""COMPUTED_VALUE"""),"BF")</f>
        <v>BF</v>
      </c>
      <c r="O134" s="141">
        <v>1.4516624040709474</v>
      </c>
      <c r="P134" s="136" t="str">
        <f>IFERROR(__xludf.DUMMYFUNCTION("""COMPUTED_VALUE"""),"")</f>
        <v/>
      </c>
      <c r="Q134" s="136" t="str">
        <f>IFERROR(__xludf.DUMMYFUNCTION("""COMPUTED_VALUE"""),"")</f>
        <v/>
      </c>
      <c r="R134" s="106" t="str">
        <f>IFERROR(__xludf.DUMMYFUNCTION("""COMPUTED_VALUE"""),"")</f>
        <v/>
      </c>
      <c r="S134" s="106" t="str">
        <f>IFERROR(__xludf.DUMMYFUNCTION("""COMPUTED_VALUE"""),"")</f>
        <v/>
      </c>
      <c r="T134" s="139" t="str">
        <f>IFERROR(__xludf.DUMMYFUNCTION("""COMPUTED_VALUE"""),"")</f>
        <v/>
      </c>
      <c r="U134" s="139" t="str">
        <f>IFERROR(__xludf.DUMMYFUNCTION("""COMPUTED_VALUE"""),"")</f>
        <v/>
      </c>
      <c r="V134" s="136" t="str">
        <f>IFERROR(__xludf.DUMMYFUNCTION("""COMPUTED_VALUE"""),"")</f>
        <v/>
      </c>
      <c r="W134" s="106" t="str">
        <f>IFERROR(__xludf.DUMMYFUNCTION("""COMPUTED_VALUE"""),"")</f>
        <v/>
      </c>
      <c r="X134" s="143" t="str">
        <f t="shared" si="2"/>
        <v/>
      </c>
      <c r="Y134" s="139" t="str">
        <f>IFERROR(__xludf.DUMMYFUNCTION("""COMPUTED_VALUE"""),"")</f>
        <v/>
      </c>
      <c r="Z134" s="141" t="str">
        <f>IFERROR(__xludf.DUMMYFUNCTION("""COMPUTED_VALUE"""),"")</f>
        <v/>
      </c>
    </row>
    <row r="135">
      <c r="A135" s="136" t="str">
        <f>IFERROR(__xludf.DUMMYFUNCTION("""COMPUTED_VALUE"""),"LOG-B7CBC23E")</f>
        <v>LOG-B7CBC23E</v>
      </c>
      <c r="B135" s="151">
        <f>IFERROR(__xludf.DUMMYFUNCTION("""COMPUTED_VALUE"""),46085.875)</f>
        <v>46085.875</v>
      </c>
      <c r="C135" s="136" t="str">
        <f>IFERROR(__xludf.DUMMYFUNCTION("""COMPUTED_VALUE"""),"Brynn Hornig")</f>
        <v>Brynn Hornig</v>
      </c>
      <c r="D135" s="136" t="b">
        <f t="shared" si="3"/>
        <v>0</v>
      </c>
      <c r="E135" s="152">
        <f>IFERROR(__xludf.DUMMYFUNCTION("""COMPUTED_VALUE"""),0.75)</f>
        <v>0.75</v>
      </c>
      <c r="F135" s="106">
        <v>0.125</v>
      </c>
      <c r="G135" s="152">
        <f>IFERROR(__xludf.DUMMYFUNCTION("""COMPUTED_VALUE"""),0.875)</f>
        <v>0.875</v>
      </c>
      <c r="H135" s="106">
        <v>0.125</v>
      </c>
      <c r="I135" s="136">
        <f>IFERROR(__xludf.DUMMYFUNCTION("""COMPUTED_VALUE"""),112.0)</f>
        <v>112</v>
      </c>
      <c r="J135" s="139">
        <v>37.333333333333336</v>
      </c>
      <c r="K135" s="136" t="s">
        <v>18</v>
      </c>
      <c r="L135" s="153">
        <f>IFERROR(__xludf.DUMMYFUNCTION("""COMPUTED_VALUE"""),46085.0)</f>
        <v>46085</v>
      </c>
      <c r="M135" s="136" t="str">
        <f t="shared" si="1"/>
        <v>Wednesday</v>
      </c>
      <c r="N135" s="136" t="str">
        <f>IFERROR(__xludf.DUMMYFUNCTION("""COMPUTED_VALUE"""),"MF")</f>
        <v>MF</v>
      </c>
      <c r="O135" s="141">
        <v>0.7808776477238534</v>
      </c>
      <c r="P135" s="136">
        <f>IFERROR(__xludf.DUMMYFUNCTION("""COMPUTED_VALUE"""),323.0)</f>
        <v>323</v>
      </c>
      <c r="Q135" s="136">
        <f>IFERROR(__xludf.DUMMYFUNCTION("""COMPUTED_VALUE"""),375.0)</f>
        <v>375</v>
      </c>
      <c r="R135" s="106">
        <f>IFERROR(__xludf.DUMMYFUNCTION("""COMPUTED_VALUE"""),0.29444444444444445)</f>
        <v>0.2944444444</v>
      </c>
      <c r="S135" s="106">
        <f>IFERROR(__xludf.DUMMYFUNCTION("""COMPUTED_VALUE"""),0.31666666666666665)</f>
        <v>0.3166666667</v>
      </c>
      <c r="T135" s="139">
        <f>IFERROR(__xludf.DUMMYFUNCTION("""COMPUTED_VALUE"""),46.161258603736464)</f>
        <v>46.1612586</v>
      </c>
      <c r="U135" s="139">
        <f>IFERROR(__xludf.DUMMYFUNCTION("""COMPUTED_VALUE"""),45.207285622179235)</f>
        <v>45.20728562</v>
      </c>
      <c r="V135" s="136">
        <f>IFERROR(__xludf.DUMMYFUNCTION("""COMPUTED_VALUE"""),698.0)</f>
        <v>698</v>
      </c>
      <c r="W135" s="106">
        <f>IFERROR(__xludf.DUMMYFUNCTION("""COMPUTED_VALUE"""),0.6111111111111112)</f>
        <v>0.6111111111</v>
      </c>
      <c r="X135" s="143">
        <f t="shared" si="2"/>
        <v>47.59090909</v>
      </c>
      <c r="Y135" s="139">
        <f>IFERROR(__xludf.DUMMYFUNCTION("""COMPUTED_VALUE"""),45.68427211295785)</f>
        <v>45.68427211</v>
      </c>
      <c r="Z135" s="141">
        <f>IFERROR(__xludf.DUMMYFUNCTION("""COMPUTED_VALUE"""),0.7677986290427452)</f>
        <v>0.767798629</v>
      </c>
    </row>
    <row r="136">
      <c r="A136" s="136" t="str">
        <f>IFERROR(__xludf.DUMMYFUNCTION("""COMPUTED_VALUE"""),"LOG-EVAN0305")</f>
        <v>LOG-EVAN0305</v>
      </c>
      <c r="B136" s="151">
        <f>IFERROR(__xludf.DUMMYFUNCTION("""COMPUTED_VALUE"""),46086.361805555556)</f>
        <v>46086.36181</v>
      </c>
      <c r="C136" s="136" t="str">
        <f>IFERROR(__xludf.DUMMYFUNCTION("""COMPUTED_VALUE"""),"Evan Morgan")</f>
        <v>Evan Morgan</v>
      </c>
      <c r="D136" s="136" t="b">
        <f t="shared" si="3"/>
        <v>0</v>
      </c>
      <c r="E136" s="152">
        <f>IFERROR(__xludf.DUMMYFUNCTION("""COMPUTED_VALUE"""),0.2916666666666667)</f>
        <v>0.2916666667</v>
      </c>
      <c r="F136" s="106">
        <v>0.07013888888888886</v>
      </c>
      <c r="G136" s="152">
        <f>IFERROR(__xludf.DUMMYFUNCTION("""COMPUTED_VALUE"""),0.36180555555555555)</f>
        <v>0.3618055556</v>
      </c>
      <c r="H136" s="106">
        <v>0.07013888888888886</v>
      </c>
      <c r="I136" s="136">
        <f>IFERROR(__xludf.DUMMYFUNCTION("""COMPUTED_VALUE"""),18.0)</f>
        <v>18</v>
      </c>
      <c r="J136" s="139">
        <v>10.693069306930697</v>
      </c>
      <c r="K136" s="136" t="s">
        <v>12</v>
      </c>
      <c r="L136" s="153">
        <f>IFERROR(__xludf.DUMMYFUNCTION("""COMPUTED_VALUE"""),46086.0)</f>
        <v>46086</v>
      </c>
      <c r="M136" s="136" t="str">
        <f t="shared" si="1"/>
        <v>Thursday</v>
      </c>
      <c r="N136" s="136" t="str">
        <f>IFERROR(__xludf.DUMMYFUNCTION("""COMPUTED_VALUE"""),"MF")</f>
        <v>MF</v>
      </c>
      <c r="O136" s="141">
        <v>0.23873236874695491</v>
      </c>
      <c r="P136" s="136" t="str">
        <f>IFERROR(__xludf.DUMMYFUNCTION("""COMPUTED_VALUE"""),"")</f>
        <v/>
      </c>
      <c r="Q136" s="136" t="str">
        <f>IFERROR(__xludf.DUMMYFUNCTION("""COMPUTED_VALUE"""),"")</f>
        <v/>
      </c>
      <c r="R136" s="106" t="str">
        <f>IFERROR(__xludf.DUMMYFUNCTION("""COMPUTED_VALUE"""),"")</f>
        <v/>
      </c>
      <c r="S136" s="106" t="str">
        <f>IFERROR(__xludf.DUMMYFUNCTION("""COMPUTED_VALUE"""),"")</f>
        <v/>
      </c>
      <c r="T136" s="139" t="str">
        <f>IFERROR(__xludf.DUMMYFUNCTION("""COMPUTED_VALUE"""),"")</f>
        <v/>
      </c>
      <c r="U136" s="139" t="str">
        <f>IFERROR(__xludf.DUMMYFUNCTION("""COMPUTED_VALUE"""),"")</f>
        <v/>
      </c>
      <c r="V136" s="136" t="str">
        <f>IFERROR(__xludf.DUMMYFUNCTION("""COMPUTED_VALUE"""),"")</f>
        <v/>
      </c>
      <c r="W136" s="106" t="str">
        <f>IFERROR(__xludf.DUMMYFUNCTION("""COMPUTED_VALUE"""),"")</f>
        <v/>
      </c>
      <c r="X136" s="143" t="str">
        <f t="shared" si="2"/>
        <v/>
      </c>
      <c r="Y136" s="139" t="str">
        <f>IFERROR(__xludf.DUMMYFUNCTION("""COMPUTED_VALUE"""),"")</f>
        <v/>
      </c>
      <c r="Z136" s="141" t="str">
        <f>IFERROR(__xludf.DUMMYFUNCTION("""COMPUTED_VALUE"""),"")</f>
        <v/>
      </c>
    </row>
    <row r="137">
      <c r="A137" s="136" t="str">
        <f>IFERROR(__xludf.DUMMYFUNCTION("""COMPUTED_VALUE"""),"LOG-0AD4E4F4")</f>
        <v>LOG-0AD4E4F4</v>
      </c>
      <c r="B137" s="151">
        <f>IFERROR(__xludf.DUMMYFUNCTION("""COMPUTED_VALUE"""),46086.475)</f>
        <v>46086.475</v>
      </c>
      <c r="C137" s="136" t="str">
        <f>IFERROR(__xludf.DUMMYFUNCTION("""COMPUTED_VALUE"""),"Sophia Kluck")</f>
        <v>Sophia Kluck</v>
      </c>
      <c r="D137" s="136" t="b">
        <f t="shared" si="3"/>
        <v>0</v>
      </c>
      <c r="E137" s="152">
        <f>IFERROR(__xludf.DUMMYFUNCTION("""COMPUTED_VALUE"""),0.36736111111111114)</f>
        <v>0.3673611111</v>
      </c>
      <c r="F137" s="106">
        <v>0.10763888888888884</v>
      </c>
      <c r="G137" s="152">
        <f>IFERROR(__xludf.DUMMYFUNCTION("""COMPUTED_VALUE"""),0.475)</f>
        <v>0.475</v>
      </c>
      <c r="H137" s="106">
        <v>0.10763888888888884</v>
      </c>
      <c r="I137" s="136">
        <f>IFERROR(__xludf.DUMMYFUNCTION("""COMPUTED_VALUE"""),92.0)</f>
        <v>92</v>
      </c>
      <c r="J137" s="139">
        <v>35.61290322580647</v>
      </c>
      <c r="K137" s="136" t="s">
        <v>134</v>
      </c>
      <c r="L137" s="153">
        <f>IFERROR(__xludf.DUMMYFUNCTION("""COMPUTED_VALUE"""),46086.0)</f>
        <v>46086</v>
      </c>
      <c r="M137" s="136" t="str">
        <f t="shared" si="1"/>
        <v>Thursday</v>
      </c>
      <c r="N137" s="136" t="str">
        <f>IFERROR(__xludf.DUMMYFUNCTION("""COMPUTED_VALUE"""),"BF")</f>
        <v>BF</v>
      </c>
      <c r="O137" s="141">
        <v>0.8430002384251988</v>
      </c>
      <c r="P137" s="136" t="str">
        <f>IFERROR(__xludf.DUMMYFUNCTION("""COMPUTED_VALUE"""),"")</f>
        <v/>
      </c>
      <c r="Q137" s="136" t="str">
        <f>IFERROR(__xludf.DUMMYFUNCTION("""COMPUTED_VALUE"""),"")</f>
        <v/>
      </c>
      <c r="R137" s="106" t="str">
        <f>IFERROR(__xludf.DUMMYFUNCTION("""COMPUTED_VALUE"""),"")</f>
        <v/>
      </c>
      <c r="S137" s="106" t="str">
        <f>IFERROR(__xludf.DUMMYFUNCTION("""COMPUTED_VALUE"""),"")</f>
        <v/>
      </c>
      <c r="T137" s="139" t="str">
        <f>IFERROR(__xludf.DUMMYFUNCTION("""COMPUTED_VALUE"""),"")</f>
        <v/>
      </c>
      <c r="U137" s="139" t="str">
        <f>IFERROR(__xludf.DUMMYFUNCTION("""COMPUTED_VALUE"""),"")</f>
        <v/>
      </c>
      <c r="V137" s="136" t="str">
        <f>IFERROR(__xludf.DUMMYFUNCTION("""COMPUTED_VALUE"""),"")</f>
        <v/>
      </c>
      <c r="W137" s="106" t="str">
        <f>IFERROR(__xludf.DUMMYFUNCTION("""COMPUTED_VALUE"""),"")</f>
        <v/>
      </c>
      <c r="X137" s="143" t="str">
        <f t="shared" si="2"/>
        <v/>
      </c>
      <c r="Y137" s="139" t="str">
        <f>IFERROR(__xludf.DUMMYFUNCTION("""COMPUTED_VALUE"""),"")</f>
        <v/>
      </c>
      <c r="Z137" s="141" t="str">
        <f>IFERROR(__xludf.DUMMYFUNCTION("""COMPUTED_VALUE"""),"")</f>
        <v/>
      </c>
    </row>
    <row r="138">
      <c r="A138" s="136" t="str">
        <f>IFERROR(__xludf.DUMMYFUNCTION("""COMPUTED_VALUE"""),"LOG-668B1BF6")</f>
        <v>LOG-668B1BF6</v>
      </c>
      <c r="B138" s="151">
        <f>IFERROR(__xludf.DUMMYFUNCTION("""COMPUTED_VALUE"""),46086.53125)</f>
        <v>46086.53125</v>
      </c>
      <c r="C138" s="136" t="str">
        <f>IFERROR(__xludf.DUMMYFUNCTION("""COMPUTED_VALUE"""),"Emmett Khan")</f>
        <v>Emmett Khan</v>
      </c>
      <c r="D138" s="136" t="b">
        <f t="shared" si="3"/>
        <v>0</v>
      </c>
      <c r="E138" s="152">
        <f>IFERROR(__xludf.DUMMYFUNCTION("""COMPUTED_VALUE"""),0.4791666666666667)</f>
        <v>0.4791666667</v>
      </c>
      <c r="F138" s="106">
        <v>0.052083333333333315</v>
      </c>
      <c r="G138" s="152">
        <f>IFERROR(__xludf.DUMMYFUNCTION("""COMPUTED_VALUE"""),0.53125)</f>
        <v>0.53125</v>
      </c>
      <c r="H138" s="106">
        <v>0.052083333333333315</v>
      </c>
      <c r="I138" s="136">
        <f>IFERROR(__xludf.DUMMYFUNCTION("""COMPUTED_VALUE"""),72.0)</f>
        <v>72</v>
      </c>
      <c r="J138" s="139">
        <v>57.60000000000002</v>
      </c>
      <c r="K138" s="136" t="s">
        <v>15</v>
      </c>
      <c r="L138" s="153">
        <f>IFERROR(__xludf.DUMMYFUNCTION("""COMPUTED_VALUE"""),46086.0)</f>
        <v>46086</v>
      </c>
      <c r="M138" s="136" t="str">
        <f t="shared" si="1"/>
        <v>Thursday</v>
      </c>
      <c r="N138" s="136" t="str">
        <f>IFERROR(__xludf.DUMMYFUNCTION("""COMPUTED_VALUE"""),"MF")</f>
        <v>MF</v>
      </c>
      <c r="O138" s="141">
        <v>1.1456418173201217</v>
      </c>
      <c r="P138" s="136" t="str">
        <f>IFERROR(__xludf.DUMMYFUNCTION("""COMPUTED_VALUE"""),"")</f>
        <v/>
      </c>
      <c r="Q138" s="136" t="str">
        <f>IFERROR(__xludf.DUMMYFUNCTION("""COMPUTED_VALUE"""),"")</f>
        <v/>
      </c>
      <c r="R138" s="106" t="str">
        <f>IFERROR(__xludf.DUMMYFUNCTION("""COMPUTED_VALUE"""),"")</f>
        <v/>
      </c>
      <c r="S138" s="106" t="str">
        <f>IFERROR(__xludf.DUMMYFUNCTION("""COMPUTED_VALUE"""),"")</f>
        <v/>
      </c>
      <c r="T138" s="139" t="str">
        <f>IFERROR(__xludf.DUMMYFUNCTION("""COMPUTED_VALUE"""),"")</f>
        <v/>
      </c>
      <c r="U138" s="139" t="str">
        <f>IFERROR(__xludf.DUMMYFUNCTION("""COMPUTED_VALUE"""),"")</f>
        <v/>
      </c>
      <c r="V138" s="136" t="str">
        <f>IFERROR(__xludf.DUMMYFUNCTION("""COMPUTED_VALUE"""),"")</f>
        <v/>
      </c>
      <c r="W138" s="106" t="str">
        <f>IFERROR(__xludf.DUMMYFUNCTION("""COMPUTED_VALUE"""),"")</f>
        <v/>
      </c>
      <c r="X138" s="143" t="str">
        <f t="shared" si="2"/>
        <v/>
      </c>
      <c r="Y138" s="139" t="str">
        <f>IFERROR(__xludf.DUMMYFUNCTION("""COMPUTED_VALUE"""),"")</f>
        <v/>
      </c>
      <c r="Z138" s="141" t="str">
        <f>IFERROR(__xludf.DUMMYFUNCTION("""COMPUTED_VALUE"""),"")</f>
        <v/>
      </c>
    </row>
    <row r="139">
      <c r="A139" s="136" t="str">
        <f>IFERROR(__xludf.DUMMYFUNCTION("""COMPUTED_VALUE"""),"LOG-0DE4561B")</f>
        <v>LOG-0DE4561B</v>
      </c>
      <c r="B139" s="151">
        <f>IFERROR(__xludf.DUMMYFUNCTION("""COMPUTED_VALUE"""),46086.64375)</f>
        <v>46086.64375</v>
      </c>
      <c r="C139" s="136" t="str">
        <f>IFERROR(__xludf.DUMMYFUNCTION("""COMPUTED_VALUE"""),"Kyra Turner")</f>
        <v>Kyra Turner</v>
      </c>
      <c r="D139" s="136" t="b">
        <f t="shared" si="3"/>
        <v>0</v>
      </c>
      <c r="E139" s="152">
        <f>IFERROR(__xludf.DUMMYFUNCTION("""COMPUTED_VALUE"""),0.5006944444444444)</f>
        <v>0.5006944444</v>
      </c>
      <c r="F139" s="106">
        <v>0.1430555555555556</v>
      </c>
      <c r="G139" s="152">
        <f>IFERROR(__xludf.DUMMYFUNCTION("""COMPUTED_VALUE"""),0.64375)</f>
        <v>0.64375</v>
      </c>
      <c r="H139" s="106">
        <v>0.1430555555555556</v>
      </c>
      <c r="I139" s="136">
        <f>IFERROR(__xludf.DUMMYFUNCTION("""COMPUTED_VALUE"""),146.0)</f>
        <v>146</v>
      </c>
      <c r="J139" s="139">
        <v>42.52427184466018</v>
      </c>
      <c r="K139" s="136" t="s">
        <v>15</v>
      </c>
      <c r="L139" s="153">
        <f>IFERROR(__xludf.DUMMYFUNCTION("""COMPUTED_VALUE"""),46086.0)</f>
        <v>46086</v>
      </c>
      <c r="M139" s="136" t="str">
        <f t="shared" si="1"/>
        <v>Thursday</v>
      </c>
      <c r="N139" s="136" t="str">
        <f>IFERROR(__xludf.DUMMYFUNCTION("""COMPUTED_VALUE"""),"BF")</f>
        <v>BF</v>
      </c>
      <c r="O139" s="141">
        <v>1.4999399597373881</v>
      </c>
      <c r="P139" s="136" t="str">
        <f>IFERROR(__xludf.DUMMYFUNCTION("""COMPUTED_VALUE"""),"")</f>
        <v/>
      </c>
      <c r="Q139" s="136" t="str">
        <f>IFERROR(__xludf.DUMMYFUNCTION("""COMPUTED_VALUE"""),"")</f>
        <v/>
      </c>
      <c r="R139" s="106" t="str">
        <f>IFERROR(__xludf.DUMMYFUNCTION("""COMPUTED_VALUE"""),"")</f>
        <v/>
      </c>
      <c r="S139" s="106" t="str">
        <f>IFERROR(__xludf.DUMMYFUNCTION("""COMPUTED_VALUE"""),"")</f>
        <v/>
      </c>
      <c r="T139" s="139" t="str">
        <f>IFERROR(__xludf.DUMMYFUNCTION("""COMPUTED_VALUE"""),"")</f>
        <v/>
      </c>
      <c r="U139" s="139" t="str">
        <f>IFERROR(__xludf.DUMMYFUNCTION("""COMPUTED_VALUE"""),"")</f>
        <v/>
      </c>
      <c r="V139" s="136" t="str">
        <f>IFERROR(__xludf.DUMMYFUNCTION("""COMPUTED_VALUE"""),"")</f>
        <v/>
      </c>
      <c r="W139" s="106" t="str">
        <f>IFERROR(__xludf.DUMMYFUNCTION("""COMPUTED_VALUE"""),"")</f>
        <v/>
      </c>
      <c r="X139" s="143" t="str">
        <f t="shared" si="2"/>
        <v/>
      </c>
      <c r="Y139" s="139" t="str">
        <f>IFERROR(__xludf.DUMMYFUNCTION("""COMPUTED_VALUE"""),"")</f>
        <v/>
      </c>
      <c r="Z139" s="141" t="str">
        <f>IFERROR(__xludf.DUMMYFUNCTION("""COMPUTED_VALUE"""),"")</f>
        <v/>
      </c>
    </row>
    <row r="140">
      <c r="A140" s="136" t="str">
        <f>IFERROR(__xludf.DUMMYFUNCTION("""COMPUTED_VALUE"""),"LOG-7DF136B5")</f>
        <v>LOG-7DF136B5</v>
      </c>
      <c r="B140" s="151">
        <f>IFERROR(__xludf.DUMMYFUNCTION("""COMPUTED_VALUE"""),46086.78125)</f>
        <v>46086.78125</v>
      </c>
      <c r="C140" s="136" t="str">
        <f>IFERROR(__xludf.DUMMYFUNCTION("""COMPUTED_VALUE"""),"Emmett Khan")</f>
        <v>Emmett Khan</v>
      </c>
      <c r="D140" s="136" t="b">
        <f t="shared" si="3"/>
        <v>0</v>
      </c>
      <c r="E140" s="152">
        <f>IFERROR(__xludf.DUMMYFUNCTION("""COMPUTED_VALUE"""),0.7083333333333334)</f>
        <v>0.7083333333</v>
      </c>
      <c r="F140" s="106">
        <v>0.07291666666666663</v>
      </c>
      <c r="G140" s="152">
        <f>IFERROR(__xludf.DUMMYFUNCTION("""COMPUTED_VALUE"""),0.78125)</f>
        <v>0.78125</v>
      </c>
      <c r="H140" s="106">
        <v>0.07291666666666663</v>
      </c>
      <c r="I140" s="136">
        <f>IFERROR(__xludf.DUMMYFUNCTION("""COMPUTED_VALUE"""),92.0)</f>
        <v>92</v>
      </c>
      <c r="J140" s="139">
        <v>52.5714285714286</v>
      </c>
      <c r="K140" s="136" t="s">
        <v>18</v>
      </c>
      <c r="L140" s="153">
        <f>IFERROR(__xludf.DUMMYFUNCTION("""COMPUTED_VALUE"""),46086.0)</f>
        <v>46086</v>
      </c>
      <c r="M140" s="136" t="str">
        <f t="shared" si="1"/>
        <v>Thursday</v>
      </c>
      <c r="N140" s="136" t="str">
        <f>IFERROR(__xludf.DUMMYFUNCTION("""COMPUTED_VALUE"""),"BF")</f>
        <v>BF</v>
      </c>
      <c r="O140" s="141">
        <v>1.1831932772937073</v>
      </c>
      <c r="P140" s="136" t="str">
        <f>IFERROR(__xludf.DUMMYFUNCTION("""COMPUTED_VALUE"""),"")</f>
        <v/>
      </c>
      <c r="Q140" s="136" t="str">
        <f>IFERROR(__xludf.DUMMYFUNCTION("""COMPUTED_VALUE"""),"")</f>
        <v/>
      </c>
      <c r="R140" s="106" t="str">
        <f>IFERROR(__xludf.DUMMYFUNCTION("""COMPUTED_VALUE"""),"")</f>
        <v/>
      </c>
      <c r="S140" s="106" t="str">
        <f>IFERROR(__xludf.DUMMYFUNCTION("""COMPUTED_VALUE"""),"")</f>
        <v/>
      </c>
      <c r="T140" s="139" t="str">
        <f>IFERROR(__xludf.DUMMYFUNCTION("""COMPUTED_VALUE"""),"")</f>
        <v/>
      </c>
      <c r="U140" s="139" t="str">
        <f>IFERROR(__xludf.DUMMYFUNCTION("""COMPUTED_VALUE"""),"")</f>
        <v/>
      </c>
      <c r="V140" s="136" t="str">
        <f>IFERROR(__xludf.DUMMYFUNCTION("""COMPUTED_VALUE"""),"")</f>
        <v/>
      </c>
      <c r="W140" s="106" t="str">
        <f>IFERROR(__xludf.DUMMYFUNCTION("""COMPUTED_VALUE"""),"")</f>
        <v/>
      </c>
      <c r="X140" s="143" t="str">
        <f t="shared" si="2"/>
        <v/>
      </c>
      <c r="Y140" s="139" t="str">
        <f>IFERROR(__xludf.DUMMYFUNCTION("""COMPUTED_VALUE"""),"")</f>
        <v/>
      </c>
      <c r="Z140" s="141" t="str">
        <f>IFERROR(__xludf.DUMMYFUNCTION("""COMPUTED_VALUE"""),"")</f>
        <v/>
      </c>
    </row>
    <row r="141">
      <c r="A141" s="136" t="str">
        <f>IFERROR(__xludf.DUMMYFUNCTION("""COMPUTED_VALUE"""),"LOG-691314D3")</f>
        <v>LOG-691314D3</v>
      </c>
      <c r="B141" s="151">
        <f>IFERROR(__xludf.DUMMYFUNCTION("""COMPUTED_VALUE"""),46086.76388888889)</f>
        <v>46086.76389</v>
      </c>
      <c r="C141" s="136" t="str">
        <f>IFERROR(__xludf.DUMMYFUNCTION("""COMPUTED_VALUE"""),"Leah Bucci")</f>
        <v>Leah Bucci</v>
      </c>
      <c r="D141" s="136" t="b">
        <f t="shared" si="3"/>
        <v>0</v>
      </c>
      <c r="E141" s="152">
        <f>IFERROR(__xludf.DUMMYFUNCTION("""COMPUTED_VALUE"""),0.6875)</f>
        <v>0.6875</v>
      </c>
      <c r="F141" s="106">
        <v>0.07638888888888884</v>
      </c>
      <c r="G141" s="152">
        <f>IFERROR(__xludf.DUMMYFUNCTION("""COMPUTED_VALUE"""),0.7638888888888888)</f>
        <v>0.7638888889</v>
      </c>
      <c r="H141" s="106">
        <v>0.07638888888888884</v>
      </c>
      <c r="I141" s="136">
        <f>IFERROR(__xludf.DUMMYFUNCTION("""COMPUTED_VALUE"""),111.0)</f>
        <v>111</v>
      </c>
      <c r="J141" s="139">
        <v>60.54545454545458</v>
      </c>
      <c r="K141" s="136" t="s">
        <v>18</v>
      </c>
      <c r="L141" s="153">
        <f>IFERROR(__xludf.DUMMYFUNCTION("""COMPUTED_VALUE"""),46086.0)</f>
        <v>46086</v>
      </c>
      <c r="M141" s="136" t="str">
        <f t="shared" si="1"/>
        <v>Thursday</v>
      </c>
      <c r="N141" s="136" t="str">
        <f>IFERROR(__xludf.DUMMYFUNCTION("""COMPUTED_VALUE"""),"MF")</f>
        <v>MF</v>
      </c>
      <c r="O141" s="141">
        <v>1.266390860513198</v>
      </c>
      <c r="P141" s="136" t="str">
        <f>IFERROR(__xludf.DUMMYFUNCTION("""COMPUTED_VALUE"""),"")</f>
        <v/>
      </c>
      <c r="Q141" s="136" t="str">
        <f>IFERROR(__xludf.DUMMYFUNCTION("""COMPUTED_VALUE"""),"")</f>
        <v/>
      </c>
      <c r="R141" s="106" t="str">
        <f>IFERROR(__xludf.DUMMYFUNCTION("""COMPUTED_VALUE"""),"")</f>
        <v/>
      </c>
      <c r="S141" s="106" t="str">
        <f>IFERROR(__xludf.DUMMYFUNCTION("""COMPUTED_VALUE"""),"")</f>
        <v/>
      </c>
      <c r="T141" s="139" t="str">
        <f>IFERROR(__xludf.DUMMYFUNCTION("""COMPUTED_VALUE"""),"")</f>
        <v/>
      </c>
      <c r="U141" s="139" t="str">
        <f>IFERROR(__xludf.DUMMYFUNCTION("""COMPUTED_VALUE"""),"")</f>
        <v/>
      </c>
      <c r="V141" s="136" t="str">
        <f>IFERROR(__xludf.DUMMYFUNCTION("""COMPUTED_VALUE"""),"")</f>
        <v/>
      </c>
      <c r="W141" s="106" t="str">
        <f>IFERROR(__xludf.DUMMYFUNCTION("""COMPUTED_VALUE"""),"")</f>
        <v/>
      </c>
      <c r="X141" s="143" t="str">
        <f t="shared" si="2"/>
        <v/>
      </c>
      <c r="Y141" s="139" t="str">
        <f>IFERROR(__xludf.DUMMYFUNCTION("""COMPUTED_VALUE"""),"")</f>
        <v/>
      </c>
      <c r="Z141" s="141" t="str">
        <f>IFERROR(__xludf.DUMMYFUNCTION("""COMPUTED_VALUE"""),"")</f>
        <v/>
      </c>
    </row>
    <row r="142">
      <c r="A142" s="136" t="str">
        <f>IFERROR(__xludf.DUMMYFUNCTION("""COMPUTED_VALUE"""),"LOG-9A7DDD54")</f>
        <v>LOG-9A7DDD54</v>
      </c>
      <c r="B142" s="151">
        <f>IFERROR(__xludf.DUMMYFUNCTION("""COMPUTED_VALUE"""),46086.875)</f>
        <v>46086.875</v>
      </c>
      <c r="C142" s="136" t="str">
        <f>IFERROR(__xludf.DUMMYFUNCTION("""COMPUTED_VALUE"""),"Arjya Aich")</f>
        <v>Arjya Aich</v>
      </c>
      <c r="D142" s="136" t="b">
        <f t="shared" si="3"/>
        <v>0</v>
      </c>
      <c r="E142" s="152">
        <f>IFERROR(__xludf.DUMMYFUNCTION("""COMPUTED_VALUE"""),0.7916666666666666)</f>
        <v>0.7916666667</v>
      </c>
      <c r="F142" s="106">
        <v>0.08333333333333337</v>
      </c>
      <c r="G142" s="152">
        <f>IFERROR(__xludf.DUMMYFUNCTION("""COMPUTED_VALUE"""),0.875)</f>
        <v>0.875</v>
      </c>
      <c r="H142" s="106">
        <v>0.08333333333333337</v>
      </c>
      <c r="I142" s="136">
        <f>IFERROR(__xludf.DUMMYFUNCTION("""COMPUTED_VALUE"""),62.0)</f>
        <v>62</v>
      </c>
      <c r="J142" s="139">
        <v>30.999999999999986</v>
      </c>
      <c r="K142" s="136" t="s">
        <v>18</v>
      </c>
      <c r="L142" s="153">
        <f>IFERROR(__xludf.DUMMYFUNCTION("""COMPUTED_VALUE"""),46086.0)</f>
        <v>46086</v>
      </c>
      <c r="M142" s="136" t="str">
        <f t="shared" si="1"/>
        <v>Thursday</v>
      </c>
      <c r="N142" s="136" t="str">
        <f>IFERROR(__xludf.DUMMYFUNCTION("""COMPUTED_VALUE"""),"MF")</f>
        <v>MF</v>
      </c>
      <c r="O142" s="141">
        <v>0.648407332484985</v>
      </c>
      <c r="P142" s="136">
        <f>IFERROR(__xludf.DUMMYFUNCTION("""COMPUTED_VALUE"""),263.0)</f>
        <v>263</v>
      </c>
      <c r="Q142" s="136">
        <f>IFERROR(__xludf.DUMMYFUNCTION("""COMPUTED_VALUE"""),330.0)</f>
        <v>330</v>
      </c>
      <c r="R142" s="106">
        <f>IFERROR(__xludf.DUMMYFUNCTION("""COMPUTED_VALUE"""),0.2819444444444444)</f>
        <v>0.2819444444</v>
      </c>
      <c r="S142" s="106">
        <f>IFERROR(__xludf.DUMMYFUNCTION("""COMPUTED_VALUE"""),0.32361111111111107)</f>
        <v>0.3236111111</v>
      </c>
      <c r="T142" s="139">
        <f>IFERROR(__xludf.DUMMYFUNCTION("""COMPUTED_VALUE"""),39.959630963096316)</f>
        <v>39.95963096</v>
      </c>
      <c r="U142" s="139">
        <f>IFERROR(__xludf.DUMMYFUNCTION("""COMPUTED_VALUE"""),43.56953454729842)</f>
        <v>43.56953455</v>
      </c>
      <c r="V142" s="136">
        <f>IFERROR(__xludf.DUMMYFUNCTION("""COMPUTED_VALUE"""),593.0)</f>
        <v>593</v>
      </c>
      <c r="W142" s="106">
        <f>IFERROR(__xludf.DUMMYFUNCTION("""COMPUTED_VALUE"""),0.6055555555555555)</f>
        <v>0.6055555556</v>
      </c>
      <c r="X142" s="143">
        <f t="shared" si="2"/>
        <v>40.80275229</v>
      </c>
      <c r="Y142" s="139">
        <f>IFERROR(__xludf.DUMMYFUNCTION("""COMPUTED_VALUE"""),41.50673249918293)</f>
        <v>41.5067325</v>
      </c>
      <c r="Z142" s="141">
        <f>IFERROR(__xludf.DUMMYFUNCTION("""COMPUTED_VALUE"""),0.782755266062852)</f>
        <v>0.7827552661</v>
      </c>
    </row>
    <row r="143">
      <c r="A143" s="136" t="str">
        <f>IFERROR(__xludf.DUMMYFUNCTION("""COMPUTED_VALUE"""),"LOG-C2124E6A")</f>
        <v>LOG-C2124E6A</v>
      </c>
      <c r="B143" s="151">
        <f>IFERROR(__xludf.DUMMYFUNCTION("""COMPUTED_VALUE"""),46087.43402777778)</f>
        <v>46087.43403</v>
      </c>
      <c r="C143" s="136" t="str">
        <f>IFERROR(__xludf.DUMMYFUNCTION("""COMPUTED_VALUE"""),"Kaylie Forgue")</f>
        <v>Kaylie Forgue</v>
      </c>
      <c r="D143" s="136" t="b">
        <f t="shared" si="3"/>
        <v>0</v>
      </c>
      <c r="E143" s="152">
        <f>IFERROR(__xludf.DUMMYFUNCTION("""COMPUTED_VALUE"""),0.3701388888888889)</f>
        <v>0.3701388889</v>
      </c>
      <c r="F143" s="106">
        <v>0.06388888888888888</v>
      </c>
      <c r="G143" s="152">
        <f>IFERROR(__xludf.DUMMYFUNCTION("""COMPUTED_VALUE"""),0.4340277777777778)</f>
        <v>0.4340277778</v>
      </c>
      <c r="H143" s="106">
        <v>0.06388888888888888</v>
      </c>
      <c r="I143" s="136">
        <f>IFERROR(__xludf.DUMMYFUNCTION("""COMPUTED_VALUE"""),52.0)</f>
        <v>52</v>
      </c>
      <c r="J143" s="139">
        <v>33.913043478260875</v>
      </c>
      <c r="K143" s="136" t="s">
        <v>12</v>
      </c>
      <c r="L143" s="153">
        <f>IFERROR(__xludf.DUMMYFUNCTION("""COMPUTED_VALUE"""),46087.0)</f>
        <v>46087</v>
      </c>
      <c r="M143" s="136" t="str">
        <f t="shared" si="1"/>
        <v>Friday</v>
      </c>
      <c r="N143" s="136" t="str">
        <f>IFERROR(__xludf.DUMMYFUNCTION("""COMPUTED_VALUE"""),"BF")</f>
        <v>BF</v>
      </c>
      <c r="O143" s="141">
        <v>1.1961998845076616</v>
      </c>
      <c r="P143" s="136" t="str">
        <f>IFERROR(__xludf.DUMMYFUNCTION("""COMPUTED_VALUE"""),"")</f>
        <v/>
      </c>
      <c r="Q143" s="136" t="str">
        <f>IFERROR(__xludf.DUMMYFUNCTION("""COMPUTED_VALUE"""),"")</f>
        <v/>
      </c>
      <c r="R143" s="106" t="str">
        <f>IFERROR(__xludf.DUMMYFUNCTION("""COMPUTED_VALUE"""),"")</f>
        <v/>
      </c>
      <c r="S143" s="106" t="str">
        <f>IFERROR(__xludf.DUMMYFUNCTION("""COMPUTED_VALUE"""),"")</f>
        <v/>
      </c>
      <c r="T143" s="139" t="str">
        <f>IFERROR(__xludf.DUMMYFUNCTION("""COMPUTED_VALUE"""),"")</f>
        <v/>
      </c>
      <c r="U143" s="139" t="str">
        <f>IFERROR(__xludf.DUMMYFUNCTION("""COMPUTED_VALUE"""),"")</f>
        <v/>
      </c>
      <c r="V143" s="136" t="str">
        <f>IFERROR(__xludf.DUMMYFUNCTION("""COMPUTED_VALUE"""),"")</f>
        <v/>
      </c>
      <c r="W143" s="106" t="str">
        <f>IFERROR(__xludf.DUMMYFUNCTION("""COMPUTED_VALUE"""),"")</f>
        <v/>
      </c>
      <c r="X143" s="143" t="str">
        <f t="shared" si="2"/>
        <v/>
      </c>
      <c r="Y143" s="139" t="str">
        <f>IFERROR(__xludf.DUMMYFUNCTION("""COMPUTED_VALUE"""),"")</f>
        <v/>
      </c>
      <c r="Z143" s="141" t="str">
        <f>IFERROR(__xludf.DUMMYFUNCTION("""COMPUTED_VALUE"""),"")</f>
        <v/>
      </c>
    </row>
    <row r="144">
      <c r="A144" s="136" t="str">
        <f>IFERROR(__xludf.DUMMYFUNCTION("""COMPUTED_VALUE"""),"LOG-C4DD46AB")</f>
        <v>LOG-C4DD46AB</v>
      </c>
      <c r="B144" s="151">
        <f>IFERROR(__xludf.DUMMYFUNCTION("""COMPUTED_VALUE"""),46087.583333333336)</f>
        <v>46087.58333</v>
      </c>
      <c r="C144" s="136" t="str">
        <f>IFERROR(__xludf.DUMMYFUNCTION("""COMPUTED_VALUE"""),"Brynn Hornig")</f>
        <v>Brynn Hornig</v>
      </c>
      <c r="D144" s="136" t="b">
        <f t="shared" si="3"/>
        <v>0</v>
      </c>
      <c r="E144" s="152">
        <f>IFERROR(__xludf.DUMMYFUNCTION("""COMPUTED_VALUE"""),0.4583333333333333)</f>
        <v>0.4583333333</v>
      </c>
      <c r="F144" s="106">
        <v>0.12500000000000006</v>
      </c>
      <c r="G144" s="152">
        <f>IFERROR(__xludf.DUMMYFUNCTION("""COMPUTED_VALUE"""),0.5833333333333334)</f>
        <v>0.5833333333</v>
      </c>
      <c r="H144" s="106">
        <v>0.12500000000000006</v>
      </c>
      <c r="I144" s="136">
        <f>IFERROR(__xludf.DUMMYFUNCTION("""COMPUTED_VALUE"""),126.0)</f>
        <v>126</v>
      </c>
      <c r="J144" s="139">
        <v>41.99999999999998</v>
      </c>
      <c r="K144" s="136" t="s">
        <v>15</v>
      </c>
      <c r="L144" s="153">
        <f>IFERROR(__xludf.DUMMYFUNCTION("""COMPUTED_VALUE"""),46087.0)</f>
        <v>46087</v>
      </c>
      <c r="M144" s="136" t="str">
        <f t="shared" si="1"/>
        <v>Friday</v>
      </c>
      <c r="N144" s="136" t="str">
        <f>IFERROR(__xludf.DUMMYFUNCTION("""COMPUTED_VALUE"""),"BF")</f>
        <v>BF</v>
      </c>
      <c r="O144" s="141">
        <v>1.4814475492748722</v>
      </c>
      <c r="P144" s="136" t="str">
        <f>IFERROR(__xludf.DUMMYFUNCTION("""COMPUTED_VALUE"""),"")</f>
        <v/>
      </c>
      <c r="Q144" s="136" t="str">
        <f>IFERROR(__xludf.DUMMYFUNCTION("""COMPUTED_VALUE"""),"")</f>
        <v/>
      </c>
      <c r="R144" s="106" t="str">
        <f>IFERROR(__xludf.DUMMYFUNCTION("""COMPUTED_VALUE"""),"")</f>
        <v/>
      </c>
      <c r="S144" s="106" t="str">
        <f>IFERROR(__xludf.DUMMYFUNCTION("""COMPUTED_VALUE"""),"")</f>
        <v/>
      </c>
      <c r="T144" s="139" t="str">
        <f>IFERROR(__xludf.DUMMYFUNCTION("""COMPUTED_VALUE"""),"")</f>
        <v/>
      </c>
      <c r="U144" s="139" t="str">
        <f>IFERROR(__xludf.DUMMYFUNCTION("""COMPUTED_VALUE"""),"")</f>
        <v/>
      </c>
      <c r="V144" s="136" t="str">
        <f>IFERROR(__xludf.DUMMYFUNCTION("""COMPUTED_VALUE"""),"")</f>
        <v/>
      </c>
      <c r="W144" s="106" t="str">
        <f>IFERROR(__xludf.DUMMYFUNCTION("""COMPUTED_VALUE"""),"")</f>
        <v/>
      </c>
      <c r="X144" s="143" t="str">
        <f t="shared" si="2"/>
        <v/>
      </c>
      <c r="Y144" s="139" t="str">
        <f>IFERROR(__xludf.DUMMYFUNCTION("""COMPUTED_VALUE"""),"")</f>
        <v/>
      </c>
      <c r="Z144" s="141" t="str">
        <f>IFERROR(__xludf.DUMMYFUNCTION("""COMPUTED_VALUE"""),"")</f>
        <v/>
      </c>
    </row>
    <row r="145">
      <c r="A145" s="136" t="str">
        <f>IFERROR(__xludf.DUMMYFUNCTION("""COMPUTED_VALUE"""),"LOG-82648C5C")</f>
        <v>LOG-82648C5C</v>
      </c>
      <c r="B145" s="151">
        <f>IFERROR(__xludf.DUMMYFUNCTION("""COMPUTED_VALUE"""),46087.625)</f>
        <v>46087.625</v>
      </c>
      <c r="C145" s="136" t="str">
        <f>IFERROR(__xludf.DUMMYFUNCTION("""COMPUTED_VALUE"""),"Oluwatimilehin Shodipe")</f>
        <v>Oluwatimilehin Shodipe</v>
      </c>
      <c r="D145" s="136" t="b">
        <f t="shared" si="3"/>
        <v>0</v>
      </c>
      <c r="E145" s="152">
        <f>IFERROR(__xludf.DUMMYFUNCTION("""COMPUTED_VALUE"""),0.4826388888888889)</f>
        <v>0.4826388889</v>
      </c>
      <c r="F145" s="106">
        <v>0.1423611111111111</v>
      </c>
      <c r="G145" s="152">
        <f>IFERROR(__xludf.DUMMYFUNCTION("""COMPUTED_VALUE"""),0.625)</f>
        <v>0.625</v>
      </c>
      <c r="H145" s="106">
        <v>0.1423611111111111</v>
      </c>
      <c r="I145" s="136">
        <f>IFERROR(__xludf.DUMMYFUNCTION("""COMPUTED_VALUE"""),199.0)</f>
        <v>199</v>
      </c>
      <c r="J145" s="139">
        <v>58.243902439024396</v>
      </c>
      <c r="K145" s="136" t="s">
        <v>15</v>
      </c>
      <c r="L145" s="153">
        <f>IFERROR(__xludf.DUMMYFUNCTION("""COMPUTED_VALUE"""),46087.0)</f>
        <v>46087</v>
      </c>
      <c r="M145" s="136" t="str">
        <f t="shared" si="1"/>
        <v>Friday</v>
      </c>
      <c r="N145" s="136" t="str">
        <f>IFERROR(__xludf.DUMMYFUNCTION("""COMPUTED_VALUE"""),"MF")</f>
        <v>MF</v>
      </c>
      <c r="O145" s="141">
        <v>1.158448788855204</v>
      </c>
      <c r="P145" s="136">
        <f>IFERROR(__xludf.DUMMYFUNCTION("""COMPUTED_VALUE"""),199.0)</f>
        <v>199</v>
      </c>
      <c r="Q145" s="136">
        <f>IFERROR(__xludf.DUMMYFUNCTION("""COMPUTED_VALUE"""),178.0)</f>
        <v>178</v>
      </c>
      <c r="R145" s="106">
        <f>IFERROR(__xludf.DUMMYFUNCTION("""COMPUTED_VALUE"""),0.1423611111111111)</f>
        <v>0.1423611111</v>
      </c>
      <c r="S145" s="106">
        <f>IFERROR(__xludf.DUMMYFUNCTION("""COMPUTED_VALUE"""),0.18888888888888894)</f>
        <v>0.1888888889</v>
      </c>
      <c r="T145" s="139">
        <f>IFERROR(__xludf.DUMMYFUNCTION("""COMPUTED_VALUE"""),58.243902439024396)</f>
        <v>58.24390244</v>
      </c>
      <c r="U145" s="139">
        <f>IFERROR(__xludf.DUMMYFUNCTION("""COMPUTED_VALUE"""),37.95652173913042)</f>
        <v>37.95652174</v>
      </c>
      <c r="V145" s="136">
        <f>IFERROR(__xludf.DUMMYFUNCTION("""COMPUTED_VALUE"""),377.0)</f>
        <v>377</v>
      </c>
      <c r="W145" s="106">
        <f>IFERROR(__xludf.DUMMYFUNCTION("""COMPUTED_VALUE"""),0.33125000000000004)</f>
        <v>0.33125</v>
      </c>
      <c r="X145" s="143">
        <f t="shared" si="2"/>
        <v>47.42138365</v>
      </c>
      <c r="Y145" s="139">
        <f>IFERROR(__xludf.DUMMYFUNCTION("""COMPUTED_VALUE"""),44.718981972428416)</f>
        <v>44.71898197</v>
      </c>
      <c r="Z145" s="141">
        <f>IFERROR(__xludf.DUMMYFUNCTION("""COMPUTED_VALUE"""),1.0042327260174995)</f>
        <v>1.004232726</v>
      </c>
    </row>
    <row r="146">
      <c r="A146" s="136" t="str">
        <f>IFERROR(__xludf.DUMMYFUNCTION("""COMPUTED_VALUE"""),"LOG-A4F98F79")</f>
        <v>LOG-A4F98F79</v>
      </c>
      <c r="B146" s="151">
        <f>IFERROR(__xludf.DUMMYFUNCTION("""COMPUTED_VALUE"""),46090.62152777778)</f>
        <v>46090.62153</v>
      </c>
      <c r="C146" s="136" t="str">
        <f>IFERROR(__xludf.DUMMYFUNCTION("""COMPUTED_VALUE"""),"Denise Romanszysn")</f>
        <v>Denise Romanszysn</v>
      </c>
      <c r="D146" s="136" t="b">
        <f t="shared" si="3"/>
        <v>0</v>
      </c>
      <c r="E146" s="152">
        <f>IFERROR(__xludf.DUMMYFUNCTION("""COMPUTED_VALUE"""),0.5465277777777777)</f>
        <v>0.5465277778</v>
      </c>
      <c r="F146" s="106">
        <v>0.07500000000000007</v>
      </c>
      <c r="G146" s="152">
        <f>IFERROR(__xludf.DUMMYFUNCTION("""COMPUTED_VALUE"""),0.6215277777777778)</f>
        <v>0.6215277778</v>
      </c>
      <c r="H146" s="106">
        <v>0.07500000000000007</v>
      </c>
      <c r="I146" s="136">
        <f>IFERROR(__xludf.DUMMYFUNCTION("""COMPUTED_VALUE"""),127.0)</f>
        <v>127</v>
      </c>
      <c r="J146" s="139">
        <v>70.55555555555549</v>
      </c>
      <c r="K146" s="136" t="s">
        <v>15</v>
      </c>
      <c r="L146" s="153">
        <f>IFERROR(__xludf.DUMMYFUNCTION("""COMPUTED_VALUE"""),46090.0)</f>
        <v>46090</v>
      </c>
      <c r="M146" s="136" t="str">
        <f t="shared" si="1"/>
        <v>Monday</v>
      </c>
      <c r="N146" s="136" t="str">
        <f>IFERROR(__xludf.DUMMYFUNCTION("""COMPUTED_VALUE"""),"MF")</f>
        <v>MF</v>
      </c>
      <c r="O146" s="141">
        <v>1.4033228279287737</v>
      </c>
      <c r="P146" s="136" t="str">
        <f>IFERROR(__xludf.DUMMYFUNCTION("""COMPUTED_VALUE"""),"")</f>
        <v/>
      </c>
      <c r="Q146" s="136" t="str">
        <f>IFERROR(__xludf.DUMMYFUNCTION("""COMPUTED_VALUE"""),"")</f>
        <v/>
      </c>
      <c r="R146" s="106" t="str">
        <f>IFERROR(__xludf.DUMMYFUNCTION("""COMPUTED_VALUE"""),"")</f>
        <v/>
      </c>
      <c r="S146" s="106" t="str">
        <f>IFERROR(__xludf.DUMMYFUNCTION("""COMPUTED_VALUE"""),"")</f>
        <v/>
      </c>
      <c r="T146" s="139" t="str">
        <f>IFERROR(__xludf.DUMMYFUNCTION("""COMPUTED_VALUE"""),"")</f>
        <v/>
      </c>
      <c r="U146" s="139" t="str">
        <f>IFERROR(__xludf.DUMMYFUNCTION("""COMPUTED_VALUE"""),"")</f>
        <v/>
      </c>
      <c r="V146" s="136" t="str">
        <f>IFERROR(__xludf.DUMMYFUNCTION("""COMPUTED_VALUE"""),"")</f>
        <v/>
      </c>
      <c r="W146" s="106" t="str">
        <f>IFERROR(__xludf.DUMMYFUNCTION("""COMPUTED_VALUE"""),"")</f>
        <v/>
      </c>
      <c r="X146" s="143" t="str">
        <f t="shared" si="2"/>
        <v/>
      </c>
      <c r="Y146" s="139" t="str">
        <f>IFERROR(__xludf.DUMMYFUNCTION("""COMPUTED_VALUE"""),"")</f>
        <v/>
      </c>
      <c r="Z146" s="141" t="str">
        <f>IFERROR(__xludf.DUMMYFUNCTION("""COMPUTED_VALUE"""),"")</f>
        <v/>
      </c>
    </row>
    <row r="147">
      <c r="A147" s="136" t="str">
        <f>IFERROR(__xludf.DUMMYFUNCTION("""COMPUTED_VALUE"""),"LOG-7A352A1E")</f>
        <v>LOG-7A352A1E</v>
      </c>
      <c r="B147" s="151">
        <f>IFERROR(__xludf.DUMMYFUNCTION("""COMPUTED_VALUE"""),46090.645833333336)</f>
        <v>46090.64583</v>
      </c>
      <c r="C147" s="136" t="str">
        <f>IFERROR(__xludf.DUMMYFUNCTION("""COMPUTED_VALUE"""),"Brynn Hornig")</f>
        <v>Brynn Hornig</v>
      </c>
      <c r="D147" s="136" t="b">
        <f t="shared" si="3"/>
        <v>0</v>
      </c>
      <c r="E147" s="152">
        <f>IFERROR(__xludf.DUMMYFUNCTION("""COMPUTED_VALUE"""),0.5208333333333334)</f>
        <v>0.5208333333</v>
      </c>
      <c r="F147" s="106">
        <v>0.125</v>
      </c>
      <c r="G147" s="152">
        <f>IFERROR(__xludf.DUMMYFUNCTION("""COMPUTED_VALUE"""),0.6458333333333334)</f>
        <v>0.6458333333</v>
      </c>
      <c r="H147" s="106">
        <v>0.125</v>
      </c>
      <c r="I147" s="136">
        <f>IFERROR(__xludf.DUMMYFUNCTION("""COMPUTED_VALUE"""),113.0)</f>
        <v>113</v>
      </c>
      <c r="J147" s="139">
        <v>37.666666666666664</v>
      </c>
      <c r="K147" s="136" t="s">
        <v>15</v>
      </c>
      <c r="L147" s="153">
        <f>IFERROR(__xludf.DUMMYFUNCTION("""COMPUTED_VALUE"""),46090.0)</f>
        <v>46090</v>
      </c>
      <c r="M147" s="136" t="str">
        <f t="shared" si="1"/>
        <v>Monday</v>
      </c>
      <c r="N147" s="136" t="str">
        <f>IFERROR(__xludf.DUMMYFUNCTION("""COMPUTED_VALUE"""),"BF")</f>
        <v>BF</v>
      </c>
      <c r="O147" s="141">
        <v>1.3285997862544496</v>
      </c>
      <c r="P147" s="136" t="str">
        <f>IFERROR(__xludf.DUMMYFUNCTION("""COMPUTED_VALUE"""),"")</f>
        <v/>
      </c>
      <c r="Q147" s="136" t="str">
        <f>IFERROR(__xludf.DUMMYFUNCTION("""COMPUTED_VALUE"""),"")</f>
        <v/>
      </c>
      <c r="R147" s="106" t="str">
        <f>IFERROR(__xludf.DUMMYFUNCTION("""COMPUTED_VALUE"""),"")</f>
        <v/>
      </c>
      <c r="S147" s="106" t="str">
        <f>IFERROR(__xludf.DUMMYFUNCTION("""COMPUTED_VALUE"""),"")</f>
        <v/>
      </c>
      <c r="T147" s="139" t="str">
        <f>IFERROR(__xludf.DUMMYFUNCTION("""COMPUTED_VALUE"""),"")</f>
        <v/>
      </c>
      <c r="U147" s="139" t="str">
        <f>IFERROR(__xludf.DUMMYFUNCTION("""COMPUTED_VALUE"""),"")</f>
        <v/>
      </c>
      <c r="V147" s="136" t="str">
        <f>IFERROR(__xludf.DUMMYFUNCTION("""COMPUTED_VALUE"""),"")</f>
        <v/>
      </c>
      <c r="W147" s="106" t="str">
        <f>IFERROR(__xludf.DUMMYFUNCTION("""COMPUTED_VALUE"""),"")</f>
        <v/>
      </c>
      <c r="X147" s="143" t="str">
        <f t="shared" si="2"/>
        <v/>
      </c>
      <c r="Y147" s="139" t="str">
        <f>IFERROR(__xludf.DUMMYFUNCTION("""COMPUTED_VALUE"""),"")</f>
        <v/>
      </c>
      <c r="Z147" s="141" t="str">
        <f>IFERROR(__xludf.DUMMYFUNCTION("""COMPUTED_VALUE"""),"")</f>
        <v/>
      </c>
    </row>
    <row r="148">
      <c r="A148" s="136" t="str">
        <f>IFERROR(__xludf.DUMMYFUNCTION("""COMPUTED_VALUE"""),"LOG-D91A1258")</f>
        <v>LOG-D91A1258</v>
      </c>
      <c r="B148" s="151">
        <f>IFERROR(__xludf.DUMMYFUNCTION("""COMPUTED_VALUE"""),46090.745833333334)</f>
        <v>46090.74583</v>
      </c>
      <c r="C148" s="136" t="str">
        <f>IFERROR(__xludf.DUMMYFUNCTION("""COMPUTED_VALUE"""),"Orpheus Wilson")</f>
        <v>Orpheus Wilson</v>
      </c>
      <c r="D148" s="136" t="b">
        <f t="shared" si="3"/>
        <v>0</v>
      </c>
      <c r="E148" s="152">
        <f>IFERROR(__xludf.DUMMYFUNCTION("""COMPUTED_VALUE"""),0.6708333333333333)</f>
        <v>0.6708333333</v>
      </c>
      <c r="F148" s="106">
        <v>0.07500000000000007</v>
      </c>
      <c r="G148" s="152">
        <f>IFERROR(__xludf.DUMMYFUNCTION("""COMPUTED_VALUE"""),0.7458333333333333)</f>
        <v>0.7458333333</v>
      </c>
      <c r="H148" s="106">
        <v>0.07500000000000007</v>
      </c>
      <c r="I148" s="136">
        <f>IFERROR(__xludf.DUMMYFUNCTION("""COMPUTED_VALUE"""),113.0)</f>
        <v>113</v>
      </c>
      <c r="J148" s="139">
        <v>62.77777777777772</v>
      </c>
      <c r="K148" s="136" t="s">
        <v>18</v>
      </c>
      <c r="L148" s="153">
        <f>IFERROR(__xludf.DUMMYFUNCTION("""COMPUTED_VALUE"""),46090.0)</f>
        <v>46090</v>
      </c>
      <c r="M148" s="136" t="str">
        <f t="shared" si="1"/>
        <v>Monday</v>
      </c>
      <c r="N148" s="136" t="str">
        <f>IFERROR(__xludf.DUMMYFUNCTION("""COMPUTED_VALUE"""),"MF")</f>
        <v>MF</v>
      </c>
      <c r="O148" s="141">
        <v>1.3130829492975498</v>
      </c>
      <c r="P148" s="136" t="str">
        <f>IFERROR(__xludf.DUMMYFUNCTION("""COMPUTED_VALUE"""),"")</f>
        <v/>
      </c>
      <c r="Q148" s="136" t="str">
        <f>IFERROR(__xludf.DUMMYFUNCTION("""COMPUTED_VALUE"""),"")</f>
        <v/>
      </c>
      <c r="R148" s="106" t="str">
        <f>IFERROR(__xludf.DUMMYFUNCTION("""COMPUTED_VALUE"""),"")</f>
        <v/>
      </c>
      <c r="S148" s="106" t="str">
        <f>IFERROR(__xludf.DUMMYFUNCTION("""COMPUTED_VALUE"""),"")</f>
        <v/>
      </c>
      <c r="T148" s="139" t="str">
        <f>IFERROR(__xludf.DUMMYFUNCTION("""COMPUTED_VALUE"""),"")</f>
        <v/>
      </c>
      <c r="U148" s="139" t="str">
        <f>IFERROR(__xludf.DUMMYFUNCTION("""COMPUTED_VALUE"""),"")</f>
        <v/>
      </c>
      <c r="V148" s="136" t="str">
        <f>IFERROR(__xludf.DUMMYFUNCTION("""COMPUTED_VALUE"""),"")</f>
        <v/>
      </c>
      <c r="W148" s="106" t="str">
        <f>IFERROR(__xludf.DUMMYFUNCTION("""COMPUTED_VALUE"""),"")</f>
        <v/>
      </c>
      <c r="X148" s="143" t="str">
        <f t="shared" si="2"/>
        <v/>
      </c>
      <c r="Y148" s="139" t="str">
        <f>IFERROR(__xludf.DUMMYFUNCTION("""COMPUTED_VALUE"""),"")</f>
        <v/>
      </c>
      <c r="Z148" s="141" t="str">
        <f>IFERROR(__xludf.DUMMYFUNCTION("""COMPUTED_VALUE"""),"")</f>
        <v/>
      </c>
    </row>
    <row r="149">
      <c r="A149" s="136" t="str">
        <f>IFERROR(__xludf.DUMMYFUNCTION("""COMPUTED_VALUE"""),"LOG-231597E9")</f>
        <v>LOG-231597E9</v>
      </c>
      <c r="B149" s="151">
        <f>IFERROR(__xludf.DUMMYFUNCTION("""COMPUTED_VALUE"""),46090.854166666664)</f>
        <v>46090.85417</v>
      </c>
      <c r="C149" s="136" t="str">
        <f>IFERROR(__xludf.DUMMYFUNCTION("""COMPUTED_VALUE"""),"Arjya Aich")</f>
        <v>Arjya Aich</v>
      </c>
      <c r="D149" s="136" t="b">
        <f t="shared" si="3"/>
        <v>0</v>
      </c>
      <c r="E149" s="152">
        <f>IFERROR(__xludf.DUMMYFUNCTION("""COMPUTED_VALUE"""),0.6875)</f>
        <v>0.6875</v>
      </c>
      <c r="F149" s="106">
        <v>0.16666666666666663</v>
      </c>
      <c r="G149" s="152">
        <f>IFERROR(__xludf.DUMMYFUNCTION("""COMPUTED_VALUE"""),0.8541666666666666)</f>
        <v>0.8541666667</v>
      </c>
      <c r="H149" s="106">
        <v>0.16666666666666663</v>
      </c>
      <c r="I149" s="136">
        <f>IFERROR(__xludf.DUMMYFUNCTION("""COMPUTED_VALUE"""),102.0)</f>
        <v>102</v>
      </c>
      <c r="J149" s="139">
        <v>25.500000000000007</v>
      </c>
      <c r="K149" s="136" t="s">
        <v>18</v>
      </c>
      <c r="L149" s="153">
        <f>IFERROR(__xludf.DUMMYFUNCTION("""COMPUTED_VALUE"""),46090.0)</f>
        <v>46090</v>
      </c>
      <c r="M149" s="136" t="str">
        <f t="shared" si="1"/>
        <v>Monday</v>
      </c>
      <c r="N149" s="136" t="str">
        <f>IFERROR(__xludf.DUMMYFUNCTION("""COMPUTED_VALUE"""),"BF")</f>
        <v>BF</v>
      </c>
      <c r="O149" s="141">
        <v>0.5739130434699095</v>
      </c>
      <c r="P149" s="136">
        <f>IFERROR(__xludf.DUMMYFUNCTION("""COMPUTED_VALUE"""),240.0)</f>
        <v>240</v>
      </c>
      <c r="Q149" s="136">
        <f>IFERROR(__xludf.DUMMYFUNCTION("""COMPUTED_VALUE"""),215.0)</f>
        <v>215</v>
      </c>
      <c r="R149" s="106">
        <f>IFERROR(__xludf.DUMMYFUNCTION("""COMPUTED_VALUE"""),0.15000000000000013)</f>
        <v>0.15</v>
      </c>
      <c r="S149" s="106">
        <f>IFERROR(__xludf.DUMMYFUNCTION("""COMPUTED_VALUE"""),0.29166666666666663)</f>
        <v>0.2916666667</v>
      </c>
      <c r="T149" s="139">
        <f>IFERROR(__xludf.DUMMYFUNCTION("""COMPUTED_VALUE"""),66.6666666666666)</f>
        <v>66.66666667</v>
      </c>
      <c r="U149" s="139">
        <f>IFERROR(__xludf.DUMMYFUNCTION("""COMPUTED_VALUE"""),31.583333333333336)</f>
        <v>31.58333333</v>
      </c>
      <c r="V149" s="136">
        <f>IFERROR(__xludf.DUMMYFUNCTION("""COMPUTED_VALUE"""),455.0)</f>
        <v>455</v>
      </c>
      <c r="W149" s="106">
        <f>IFERROR(__xludf.DUMMYFUNCTION("""COMPUTED_VALUE"""),0.44166666666666676)</f>
        <v>0.4416666667</v>
      </c>
      <c r="X149" s="143">
        <f t="shared" si="2"/>
        <v>42.9245283</v>
      </c>
      <c r="Y149" s="139">
        <f>IFERROR(__xludf.DUMMYFUNCTION("""COMPUTED_VALUE"""),49.124999999999964)</f>
        <v>49.125</v>
      </c>
      <c r="Z149" s="141">
        <f>IFERROR(__xludf.DUMMYFUNCTION("""COMPUTED_VALUE"""),0.927081070613218)</f>
        <v>0.9270810706</v>
      </c>
    </row>
    <row r="150">
      <c r="A150" s="136" t="str">
        <f>IFERROR(__xludf.DUMMYFUNCTION("""COMPUTED_VALUE"""),"LOG-1EE97BA7")</f>
        <v>LOG-1EE97BA7</v>
      </c>
      <c r="B150" s="151">
        <f>IFERROR(__xludf.DUMMYFUNCTION("""COMPUTED_VALUE"""),46091.493055555555)</f>
        <v>46091.49306</v>
      </c>
      <c r="C150" s="136" t="str">
        <f>IFERROR(__xludf.DUMMYFUNCTION("""COMPUTED_VALUE"""),"Kaylie Forgue")</f>
        <v>Kaylie Forgue</v>
      </c>
      <c r="D150" s="136" t="b">
        <f t="shared" si="3"/>
        <v>0</v>
      </c>
      <c r="E150" s="152">
        <f>IFERROR(__xludf.DUMMYFUNCTION("""COMPUTED_VALUE"""),0.44930555555555557)</f>
        <v>0.4493055556</v>
      </c>
      <c r="F150" s="106">
        <v>0.04375000000000001</v>
      </c>
      <c r="G150" s="152">
        <f>IFERROR(__xludf.DUMMYFUNCTION("""COMPUTED_VALUE"""),0.4930555555555556)</f>
        <v>0.4930555556</v>
      </c>
      <c r="H150" s="106">
        <v>0.04375000000000001</v>
      </c>
      <c r="I150" s="136">
        <f>IFERROR(__xludf.DUMMYFUNCTION("""COMPUTED_VALUE"""),149.0)</f>
        <v>149</v>
      </c>
      <c r="J150" s="139">
        <v>141.90476190476187</v>
      </c>
      <c r="K150" s="136" t="s">
        <v>134</v>
      </c>
      <c r="L150" s="153">
        <f>IFERROR(__xludf.DUMMYFUNCTION("""COMPUTED_VALUE"""),46091.0)</f>
        <v>46091</v>
      </c>
      <c r="M150" s="136" t="str">
        <f t="shared" si="1"/>
        <v>Tuesday</v>
      </c>
      <c r="N150" s="136" t="str">
        <f>IFERROR(__xludf.DUMMYFUNCTION("""COMPUTED_VALUE"""),"BF")</f>
        <v>BF</v>
      </c>
      <c r="O150" s="141">
        <v>4.470411521342037</v>
      </c>
      <c r="P150" s="136" t="str">
        <f>IFERROR(__xludf.DUMMYFUNCTION("""COMPUTED_VALUE"""),"")</f>
        <v/>
      </c>
      <c r="Q150" s="136" t="str">
        <f>IFERROR(__xludf.DUMMYFUNCTION("""COMPUTED_VALUE"""),"")</f>
        <v/>
      </c>
      <c r="R150" s="106" t="str">
        <f>IFERROR(__xludf.DUMMYFUNCTION("""COMPUTED_VALUE"""),"")</f>
        <v/>
      </c>
      <c r="S150" s="106" t="str">
        <f>IFERROR(__xludf.DUMMYFUNCTION("""COMPUTED_VALUE"""),"")</f>
        <v/>
      </c>
      <c r="T150" s="139" t="str">
        <f>IFERROR(__xludf.DUMMYFUNCTION("""COMPUTED_VALUE"""),"")</f>
        <v/>
      </c>
      <c r="U150" s="139" t="str">
        <f>IFERROR(__xludf.DUMMYFUNCTION("""COMPUTED_VALUE"""),"")</f>
        <v/>
      </c>
      <c r="V150" s="136" t="str">
        <f>IFERROR(__xludf.DUMMYFUNCTION("""COMPUTED_VALUE"""),"")</f>
        <v/>
      </c>
      <c r="W150" s="106" t="str">
        <f>IFERROR(__xludf.DUMMYFUNCTION("""COMPUTED_VALUE"""),"")</f>
        <v/>
      </c>
      <c r="X150" s="143" t="str">
        <f t="shared" si="2"/>
        <v/>
      </c>
      <c r="Y150" s="139" t="str">
        <f>IFERROR(__xludf.DUMMYFUNCTION("""COMPUTED_VALUE"""),"")</f>
        <v/>
      </c>
      <c r="Z150" s="141" t="str">
        <f>IFERROR(__xludf.DUMMYFUNCTION("""COMPUTED_VALUE"""),"")</f>
        <v/>
      </c>
    </row>
    <row r="151">
      <c r="A151" s="136" t="str">
        <f>IFERROR(__xludf.DUMMYFUNCTION("""COMPUTED_VALUE"""),"LOG-9CA4B237")</f>
        <v>LOG-9CA4B237</v>
      </c>
      <c r="B151" s="151">
        <f>IFERROR(__xludf.DUMMYFUNCTION("""COMPUTED_VALUE"""),46091.444444444445)</f>
        <v>46091.44444</v>
      </c>
      <c r="C151" s="136" t="str">
        <f>IFERROR(__xludf.DUMMYFUNCTION("""COMPUTED_VALUE"""),"Denise Romanszysn")</f>
        <v>Denise Romanszysn</v>
      </c>
      <c r="D151" s="136" t="b">
        <f t="shared" si="3"/>
        <v>0</v>
      </c>
      <c r="E151" s="152">
        <f>IFERROR(__xludf.DUMMYFUNCTION("""COMPUTED_VALUE"""),0.2986111111111111)</f>
        <v>0.2986111111</v>
      </c>
      <c r="F151" s="106">
        <v>0.14583333333333331</v>
      </c>
      <c r="G151" s="152">
        <f>IFERROR(__xludf.DUMMYFUNCTION("""COMPUTED_VALUE"""),0.4444444444444444)</f>
        <v>0.4444444444</v>
      </c>
      <c r="H151" s="106">
        <v>0.14583333333333331</v>
      </c>
      <c r="I151" s="136">
        <f>IFERROR(__xludf.DUMMYFUNCTION("""COMPUTED_VALUE"""),86.0)</f>
        <v>86</v>
      </c>
      <c r="J151" s="139">
        <v>24.571428571428573</v>
      </c>
      <c r="K151" s="136" t="s">
        <v>12</v>
      </c>
      <c r="L151" s="153">
        <f>IFERROR(__xludf.DUMMYFUNCTION("""COMPUTED_VALUE"""),46091.0)</f>
        <v>46091</v>
      </c>
      <c r="M151" s="136" t="str">
        <f t="shared" si="1"/>
        <v>Tuesday</v>
      </c>
      <c r="N151" s="136" t="str">
        <f>IFERROR(__xludf.DUMMYFUNCTION("""COMPUTED_VALUE"""),"BF")</f>
        <v>BF</v>
      </c>
      <c r="O151" s="141">
        <v>0.8666972056982251</v>
      </c>
      <c r="P151" s="136" t="str">
        <f>IFERROR(__xludf.DUMMYFUNCTION("""COMPUTED_VALUE"""),"")</f>
        <v/>
      </c>
      <c r="Q151" s="136" t="str">
        <f>IFERROR(__xludf.DUMMYFUNCTION("""COMPUTED_VALUE"""),"")</f>
        <v/>
      </c>
      <c r="R151" s="106" t="str">
        <f>IFERROR(__xludf.DUMMYFUNCTION("""COMPUTED_VALUE"""),"")</f>
        <v/>
      </c>
      <c r="S151" s="106" t="str">
        <f>IFERROR(__xludf.DUMMYFUNCTION("""COMPUTED_VALUE"""),"")</f>
        <v/>
      </c>
      <c r="T151" s="139" t="str">
        <f>IFERROR(__xludf.DUMMYFUNCTION("""COMPUTED_VALUE"""),"")</f>
        <v/>
      </c>
      <c r="U151" s="139" t="str">
        <f>IFERROR(__xludf.DUMMYFUNCTION("""COMPUTED_VALUE"""),"")</f>
        <v/>
      </c>
      <c r="V151" s="136" t="str">
        <f>IFERROR(__xludf.DUMMYFUNCTION("""COMPUTED_VALUE"""),"")</f>
        <v/>
      </c>
      <c r="W151" s="106" t="str">
        <f>IFERROR(__xludf.DUMMYFUNCTION("""COMPUTED_VALUE"""),"")</f>
        <v/>
      </c>
      <c r="X151" s="143" t="str">
        <f t="shared" si="2"/>
        <v/>
      </c>
      <c r="Y151" s="139" t="str">
        <f>IFERROR(__xludf.DUMMYFUNCTION("""COMPUTED_VALUE"""),"")</f>
        <v/>
      </c>
      <c r="Z151" s="141" t="str">
        <f>IFERROR(__xludf.DUMMYFUNCTION("""COMPUTED_VALUE"""),"")</f>
        <v/>
      </c>
    </row>
    <row r="152">
      <c r="A152" s="136" t="str">
        <f>IFERROR(__xludf.DUMMYFUNCTION("""COMPUTED_VALUE"""),"LOG-AD58C347")</f>
        <v>LOG-AD58C347</v>
      </c>
      <c r="B152" s="151">
        <f>IFERROR(__xludf.DUMMYFUNCTION("""COMPUTED_VALUE"""),46091.520833333336)</f>
        <v>46091.52083</v>
      </c>
      <c r="C152" s="136" t="str">
        <f>IFERROR(__xludf.DUMMYFUNCTION("""COMPUTED_VALUE"""),"Kaylie Forgue")</f>
        <v>Kaylie Forgue</v>
      </c>
      <c r="D152" s="136" t="b">
        <f t="shared" si="3"/>
        <v>0</v>
      </c>
      <c r="E152" s="152">
        <f>IFERROR(__xludf.DUMMYFUNCTION("""COMPUTED_VALUE"""),0.49375)</f>
        <v>0.49375</v>
      </c>
      <c r="F152" s="106">
        <v>0.027083333333333348</v>
      </c>
      <c r="G152" s="152">
        <f>IFERROR(__xludf.DUMMYFUNCTION("""COMPUTED_VALUE"""),0.5208333333333334)</f>
        <v>0.5208333333</v>
      </c>
      <c r="H152" s="106">
        <v>0.027083333333333348</v>
      </c>
      <c r="I152" s="136">
        <f>IFERROR(__xludf.DUMMYFUNCTION("""COMPUTED_VALUE"""),32.0)</f>
        <v>32</v>
      </c>
      <c r="J152" s="139">
        <v>49.230769230769205</v>
      </c>
      <c r="K152" s="136" t="s">
        <v>15</v>
      </c>
      <c r="L152" s="153">
        <f>IFERROR(__xludf.DUMMYFUNCTION("""COMPUTED_VALUE"""),46091.0)</f>
        <v>46091</v>
      </c>
      <c r="M152" s="136" t="str">
        <f t="shared" si="1"/>
        <v>Tuesday</v>
      </c>
      <c r="N152" s="136" t="str">
        <f>IFERROR(__xludf.DUMMYFUNCTION("""COMPUTED_VALUE"""),"BF")</f>
        <v>BF</v>
      </c>
      <c r="O152" s="141">
        <v>1.7364952958533302</v>
      </c>
      <c r="P152" s="136" t="str">
        <f>IFERROR(__xludf.DUMMYFUNCTION("""COMPUTED_VALUE"""),"")</f>
        <v/>
      </c>
      <c r="Q152" s="136" t="str">
        <f>IFERROR(__xludf.DUMMYFUNCTION("""COMPUTED_VALUE"""),"")</f>
        <v/>
      </c>
      <c r="R152" s="106" t="str">
        <f>IFERROR(__xludf.DUMMYFUNCTION("""COMPUTED_VALUE"""),"")</f>
        <v/>
      </c>
      <c r="S152" s="106" t="str">
        <f>IFERROR(__xludf.DUMMYFUNCTION("""COMPUTED_VALUE"""),"")</f>
        <v/>
      </c>
      <c r="T152" s="139" t="str">
        <f>IFERROR(__xludf.DUMMYFUNCTION("""COMPUTED_VALUE"""),"")</f>
        <v/>
      </c>
      <c r="U152" s="139" t="str">
        <f>IFERROR(__xludf.DUMMYFUNCTION("""COMPUTED_VALUE"""),"")</f>
        <v/>
      </c>
      <c r="V152" s="136" t="str">
        <f>IFERROR(__xludf.DUMMYFUNCTION("""COMPUTED_VALUE"""),"")</f>
        <v/>
      </c>
      <c r="W152" s="106" t="str">
        <f>IFERROR(__xludf.DUMMYFUNCTION("""COMPUTED_VALUE"""),"")</f>
        <v/>
      </c>
      <c r="X152" s="143" t="str">
        <f t="shared" si="2"/>
        <v/>
      </c>
      <c r="Y152" s="139" t="str">
        <f>IFERROR(__xludf.DUMMYFUNCTION("""COMPUTED_VALUE"""),"")</f>
        <v/>
      </c>
      <c r="Z152" s="141" t="str">
        <f>IFERROR(__xludf.DUMMYFUNCTION("""COMPUTED_VALUE"""),"")</f>
        <v/>
      </c>
    </row>
    <row r="153">
      <c r="A153" s="136" t="str">
        <f>IFERROR(__xludf.DUMMYFUNCTION("""COMPUTED_VALUE"""),"LOG-857938C9")</f>
        <v>LOG-857938C9</v>
      </c>
      <c r="B153" s="151">
        <f>IFERROR(__xludf.DUMMYFUNCTION("""COMPUTED_VALUE"""),46091.62013888889)</f>
        <v>46091.62014</v>
      </c>
      <c r="C153" s="136" t="str">
        <f>IFERROR(__xludf.DUMMYFUNCTION("""COMPUTED_VALUE"""),"Kyra Turner")</f>
        <v>Kyra Turner</v>
      </c>
      <c r="D153" s="136" t="b">
        <f t="shared" si="3"/>
        <v>0</v>
      </c>
      <c r="E153" s="152">
        <f>IFERROR(__xludf.DUMMYFUNCTION("""COMPUTED_VALUE"""),0.5777777777777777)</f>
        <v>0.5777777778</v>
      </c>
      <c r="F153" s="106">
        <v>0.04236111111111118</v>
      </c>
      <c r="G153" s="152">
        <f>IFERROR(__xludf.DUMMYFUNCTION("""COMPUTED_VALUE"""),0.6201388888888889)</f>
        <v>0.6201388889</v>
      </c>
      <c r="H153" s="106">
        <v>0.04236111111111118</v>
      </c>
      <c r="I153" s="136">
        <f>IFERROR(__xludf.DUMMYFUNCTION("""COMPUTED_VALUE"""),189.0)</f>
        <v>189</v>
      </c>
      <c r="J153" s="139">
        <v>185.90163934426198</v>
      </c>
      <c r="K153" s="136" t="s">
        <v>15</v>
      </c>
      <c r="L153" s="153">
        <f>IFERROR(__xludf.DUMMYFUNCTION("""COMPUTED_VALUE"""),46091.0)</f>
        <v>46091</v>
      </c>
      <c r="M153" s="136" t="str">
        <f t="shared" si="1"/>
        <v>Tuesday</v>
      </c>
      <c r="N153" s="136" t="str">
        <f>IFERROR(__xludf.DUMMYFUNCTION("""COMPUTED_VALUE"""),"MF")</f>
        <v>MF</v>
      </c>
      <c r="O153" s="141">
        <v>3.6975120128671883</v>
      </c>
      <c r="P153" s="136" t="str">
        <f>IFERROR(__xludf.DUMMYFUNCTION("""COMPUTED_VALUE"""),"")</f>
        <v/>
      </c>
      <c r="Q153" s="136" t="str">
        <f>IFERROR(__xludf.DUMMYFUNCTION("""COMPUTED_VALUE"""),"")</f>
        <v/>
      </c>
      <c r="R153" s="106" t="str">
        <f>IFERROR(__xludf.DUMMYFUNCTION("""COMPUTED_VALUE"""),"")</f>
        <v/>
      </c>
      <c r="S153" s="106" t="str">
        <f>IFERROR(__xludf.DUMMYFUNCTION("""COMPUTED_VALUE"""),"")</f>
        <v/>
      </c>
      <c r="T153" s="139" t="str">
        <f>IFERROR(__xludf.DUMMYFUNCTION("""COMPUTED_VALUE"""),"")</f>
        <v/>
      </c>
      <c r="U153" s="139" t="str">
        <f>IFERROR(__xludf.DUMMYFUNCTION("""COMPUTED_VALUE"""),"")</f>
        <v/>
      </c>
      <c r="V153" s="136" t="str">
        <f>IFERROR(__xludf.DUMMYFUNCTION("""COMPUTED_VALUE"""),"")</f>
        <v/>
      </c>
      <c r="W153" s="106" t="str">
        <f>IFERROR(__xludf.DUMMYFUNCTION("""COMPUTED_VALUE"""),"")</f>
        <v/>
      </c>
      <c r="X153" s="143" t="str">
        <f t="shared" si="2"/>
        <v/>
      </c>
      <c r="Y153" s="139" t="str">
        <f>IFERROR(__xludf.DUMMYFUNCTION("""COMPUTED_VALUE"""),"")</f>
        <v/>
      </c>
      <c r="Z153" s="141" t="str">
        <f>IFERROR(__xludf.DUMMYFUNCTION("""COMPUTED_VALUE"""),"")</f>
        <v/>
      </c>
    </row>
    <row r="154">
      <c r="A154" s="136" t="str">
        <f>IFERROR(__xludf.DUMMYFUNCTION("""COMPUTED_VALUE"""),"LOG-5402590E")</f>
        <v>LOG-5402590E</v>
      </c>
      <c r="B154" s="151">
        <f>IFERROR(__xludf.DUMMYFUNCTION("""COMPUTED_VALUE"""),46091.569444444445)</f>
        <v>46091.56944</v>
      </c>
      <c r="C154" s="136" t="str">
        <f>IFERROR(__xludf.DUMMYFUNCTION("""COMPUTED_VALUE"""),"Kyra Turner")</f>
        <v>Kyra Turner</v>
      </c>
      <c r="D154" s="136" t="b">
        <f t="shared" si="3"/>
        <v>0</v>
      </c>
      <c r="E154" s="152">
        <f>IFERROR(__xludf.DUMMYFUNCTION("""COMPUTED_VALUE"""),0.4840277777777778)</f>
        <v>0.4840277778</v>
      </c>
      <c r="F154" s="106">
        <v>0.08541666666666664</v>
      </c>
      <c r="G154" s="152">
        <f>IFERROR(__xludf.DUMMYFUNCTION("""COMPUTED_VALUE"""),0.5694444444444444)</f>
        <v>0.5694444444</v>
      </c>
      <c r="H154" s="106">
        <v>0.08541666666666664</v>
      </c>
      <c r="I154" s="136">
        <f>IFERROR(__xludf.DUMMYFUNCTION("""COMPUTED_VALUE"""),76.0)</f>
        <v>76</v>
      </c>
      <c r="J154" s="139">
        <v>37.07317073170733</v>
      </c>
      <c r="K154" s="136" t="s">
        <v>15</v>
      </c>
      <c r="L154" s="153">
        <f>IFERROR(__xludf.DUMMYFUNCTION("""COMPUTED_VALUE"""),46091.0)</f>
        <v>46091</v>
      </c>
      <c r="M154" s="136" t="str">
        <f t="shared" si="1"/>
        <v>Tuesday</v>
      </c>
      <c r="N154" s="136" t="str">
        <f>IFERROR(__xludf.DUMMYFUNCTION("""COMPUTED_VALUE"""),"MF")</f>
        <v>MF</v>
      </c>
      <c r="O154" s="141">
        <v>0.737371088383547</v>
      </c>
      <c r="P154" s="136" t="str">
        <f>IFERROR(__xludf.DUMMYFUNCTION("""COMPUTED_VALUE"""),"")</f>
        <v/>
      </c>
      <c r="Q154" s="136" t="str">
        <f>IFERROR(__xludf.DUMMYFUNCTION("""COMPUTED_VALUE"""),"")</f>
        <v/>
      </c>
      <c r="R154" s="106" t="str">
        <f>IFERROR(__xludf.DUMMYFUNCTION("""COMPUTED_VALUE"""),"")</f>
        <v/>
      </c>
      <c r="S154" s="106" t="str">
        <f>IFERROR(__xludf.DUMMYFUNCTION("""COMPUTED_VALUE"""),"")</f>
        <v/>
      </c>
      <c r="T154" s="139" t="str">
        <f>IFERROR(__xludf.DUMMYFUNCTION("""COMPUTED_VALUE"""),"")</f>
        <v/>
      </c>
      <c r="U154" s="139" t="str">
        <f>IFERROR(__xludf.DUMMYFUNCTION("""COMPUTED_VALUE"""),"")</f>
        <v/>
      </c>
      <c r="V154" s="136" t="str">
        <f>IFERROR(__xludf.DUMMYFUNCTION("""COMPUTED_VALUE"""),"")</f>
        <v/>
      </c>
      <c r="W154" s="106" t="str">
        <f>IFERROR(__xludf.DUMMYFUNCTION("""COMPUTED_VALUE"""),"")</f>
        <v/>
      </c>
      <c r="X154" s="143" t="str">
        <f t="shared" si="2"/>
        <v/>
      </c>
      <c r="Y154" s="139" t="str">
        <f>IFERROR(__xludf.DUMMYFUNCTION("""COMPUTED_VALUE"""),"")</f>
        <v/>
      </c>
      <c r="Z154" s="141" t="str">
        <f>IFERROR(__xludf.DUMMYFUNCTION("""COMPUTED_VALUE"""),"")</f>
        <v/>
      </c>
    </row>
    <row r="155">
      <c r="A155" s="136" t="str">
        <f>IFERROR(__xludf.DUMMYFUNCTION("""COMPUTED_VALUE"""),"LOG-5D18DB7F")</f>
        <v>LOG-5D18DB7F</v>
      </c>
      <c r="B155" s="151">
        <f>IFERROR(__xludf.DUMMYFUNCTION("""COMPUTED_VALUE"""),46091.645833333336)</f>
        <v>46091.64583</v>
      </c>
      <c r="C155" s="136" t="str">
        <f>IFERROR(__xludf.DUMMYFUNCTION("""COMPUTED_VALUE"""),"Arjya Aich")</f>
        <v>Arjya Aich</v>
      </c>
      <c r="D155" s="136" t="b">
        <f t="shared" si="3"/>
        <v>0</v>
      </c>
      <c r="E155" s="152">
        <f>IFERROR(__xludf.DUMMYFUNCTION("""COMPUTED_VALUE"""),0.5208333333333334)</f>
        <v>0.5208333333</v>
      </c>
      <c r="F155" s="106">
        <v>0.125</v>
      </c>
      <c r="G155" s="152">
        <f>IFERROR(__xludf.DUMMYFUNCTION("""COMPUTED_VALUE"""),0.6458333333333334)</f>
        <v>0.6458333333</v>
      </c>
      <c r="H155" s="106">
        <v>0.125</v>
      </c>
      <c r="I155" s="136">
        <f>IFERROR(__xludf.DUMMYFUNCTION("""COMPUTED_VALUE"""),65.0)</f>
        <v>65</v>
      </c>
      <c r="J155" s="139">
        <v>21.666666666666668</v>
      </c>
      <c r="K155" s="136" t="s">
        <v>15</v>
      </c>
      <c r="L155" s="153">
        <f>IFERROR(__xludf.DUMMYFUNCTION("""COMPUTED_VALUE"""),46091.0)</f>
        <v>46091</v>
      </c>
      <c r="M155" s="136" t="str">
        <f t="shared" si="1"/>
        <v>Tuesday</v>
      </c>
      <c r="N155" s="136" t="str">
        <f>IFERROR(__xludf.DUMMYFUNCTION("""COMPUTED_VALUE"""),"BF")</f>
        <v>BF</v>
      </c>
      <c r="O155" s="141">
        <v>0.7642388151021171</v>
      </c>
      <c r="P155" s="136" t="str">
        <f>IFERROR(__xludf.DUMMYFUNCTION("""COMPUTED_VALUE"""),"")</f>
        <v/>
      </c>
      <c r="Q155" s="136" t="str">
        <f>IFERROR(__xludf.DUMMYFUNCTION("""COMPUTED_VALUE"""),"")</f>
        <v/>
      </c>
      <c r="R155" s="106" t="str">
        <f>IFERROR(__xludf.DUMMYFUNCTION("""COMPUTED_VALUE"""),"")</f>
        <v/>
      </c>
      <c r="S155" s="106" t="str">
        <f>IFERROR(__xludf.DUMMYFUNCTION("""COMPUTED_VALUE"""),"")</f>
        <v/>
      </c>
      <c r="T155" s="139" t="str">
        <f>IFERROR(__xludf.DUMMYFUNCTION("""COMPUTED_VALUE"""),"")</f>
        <v/>
      </c>
      <c r="U155" s="139" t="str">
        <f>IFERROR(__xludf.DUMMYFUNCTION("""COMPUTED_VALUE"""),"")</f>
        <v/>
      </c>
      <c r="V155" s="136" t="str">
        <f>IFERROR(__xludf.DUMMYFUNCTION("""COMPUTED_VALUE"""),"")</f>
        <v/>
      </c>
      <c r="W155" s="106" t="str">
        <f>IFERROR(__xludf.DUMMYFUNCTION("""COMPUTED_VALUE"""),"")</f>
        <v/>
      </c>
      <c r="X155" s="143" t="str">
        <f t="shared" si="2"/>
        <v/>
      </c>
      <c r="Y155" s="139" t="str">
        <f>IFERROR(__xludf.DUMMYFUNCTION("""COMPUTED_VALUE"""),"")</f>
        <v/>
      </c>
      <c r="Z155" s="141" t="str">
        <f>IFERROR(__xludf.DUMMYFUNCTION("""COMPUTED_VALUE"""),"")</f>
        <v/>
      </c>
    </row>
    <row r="156">
      <c r="A156" s="136" t="str">
        <f>IFERROR(__xludf.DUMMYFUNCTION("""COMPUTED_VALUE"""),"LOG-BAC17B92")</f>
        <v>LOG-BAC17B92</v>
      </c>
      <c r="B156" s="151">
        <f>IFERROR(__xludf.DUMMYFUNCTION("""COMPUTED_VALUE"""),46091.75)</f>
        <v>46091.75</v>
      </c>
      <c r="C156" s="136" t="str">
        <f>IFERROR(__xludf.DUMMYFUNCTION("""COMPUTED_VALUE"""),"Alexis Sylvestre")</f>
        <v>Alexis Sylvestre</v>
      </c>
      <c r="D156" s="136" t="b">
        <f t="shared" si="3"/>
        <v>0</v>
      </c>
      <c r="E156" s="152">
        <f>IFERROR(__xludf.DUMMYFUNCTION("""COMPUTED_VALUE"""),0.6701388888888888)</f>
        <v>0.6701388889</v>
      </c>
      <c r="F156" s="106">
        <v>0.07986111111111116</v>
      </c>
      <c r="G156" s="152">
        <f>IFERROR(__xludf.DUMMYFUNCTION("""COMPUTED_VALUE"""),0.75)</f>
        <v>0.75</v>
      </c>
      <c r="H156" s="106">
        <v>0.07986111111111116</v>
      </c>
      <c r="I156" s="136">
        <f>IFERROR(__xludf.DUMMYFUNCTION("""COMPUTED_VALUE"""),80.0)</f>
        <v>80</v>
      </c>
      <c r="J156" s="139">
        <v>41.73913043478258</v>
      </c>
      <c r="K156" s="136" t="s">
        <v>18</v>
      </c>
      <c r="L156" s="153">
        <f>IFERROR(__xludf.DUMMYFUNCTION("""COMPUTED_VALUE"""),46091.0)</f>
        <v>46091</v>
      </c>
      <c r="M156" s="136" t="str">
        <f t="shared" si="1"/>
        <v>Tuesday</v>
      </c>
      <c r="N156" s="136" t="str">
        <f>IFERROR(__xludf.DUMMYFUNCTION("""COMPUTED_VALUE"""),"MF")</f>
        <v>MF</v>
      </c>
      <c r="O156" s="141">
        <v>0.8730309104987175</v>
      </c>
      <c r="P156" s="136" t="str">
        <f>IFERROR(__xludf.DUMMYFUNCTION("""COMPUTED_VALUE"""),"")</f>
        <v/>
      </c>
      <c r="Q156" s="136" t="str">
        <f>IFERROR(__xludf.DUMMYFUNCTION("""COMPUTED_VALUE"""),"")</f>
        <v/>
      </c>
      <c r="R156" s="106" t="str">
        <f>IFERROR(__xludf.DUMMYFUNCTION("""COMPUTED_VALUE"""),"")</f>
        <v/>
      </c>
      <c r="S156" s="106" t="str">
        <f>IFERROR(__xludf.DUMMYFUNCTION("""COMPUTED_VALUE"""),"")</f>
        <v/>
      </c>
      <c r="T156" s="139" t="str">
        <f>IFERROR(__xludf.DUMMYFUNCTION("""COMPUTED_VALUE"""),"")</f>
        <v/>
      </c>
      <c r="U156" s="139" t="str">
        <f>IFERROR(__xludf.DUMMYFUNCTION("""COMPUTED_VALUE"""),"")</f>
        <v/>
      </c>
      <c r="V156" s="136" t="str">
        <f>IFERROR(__xludf.DUMMYFUNCTION("""COMPUTED_VALUE"""),"")</f>
        <v/>
      </c>
      <c r="W156" s="106" t="str">
        <f>IFERROR(__xludf.DUMMYFUNCTION("""COMPUTED_VALUE"""),"")</f>
        <v/>
      </c>
      <c r="X156" s="143" t="str">
        <f t="shared" si="2"/>
        <v/>
      </c>
      <c r="Y156" s="139" t="str">
        <f>IFERROR(__xludf.DUMMYFUNCTION("""COMPUTED_VALUE"""),"")</f>
        <v/>
      </c>
      <c r="Z156" s="141" t="str">
        <f>IFERROR(__xludf.DUMMYFUNCTION("""COMPUTED_VALUE"""),"")</f>
        <v/>
      </c>
    </row>
    <row r="157">
      <c r="A157" s="136" t="str">
        <f>IFERROR(__xludf.DUMMYFUNCTION("""COMPUTED_VALUE"""),"LOG-B905088B")</f>
        <v>LOG-B905088B</v>
      </c>
      <c r="B157" s="151">
        <f>IFERROR(__xludf.DUMMYFUNCTION("""COMPUTED_VALUE"""),46091.791666666664)</f>
        <v>46091.79167</v>
      </c>
      <c r="C157" s="136" t="str">
        <f>IFERROR(__xludf.DUMMYFUNCTION("""COMPUTED_VALUE"""),"Leah Bucci")</f>
        <v>Leah Bucci</v>
      </c>
      <c r="D157" s="136" t="b">
        <f t="shared" si="3"/>
        <v>0</v>
      </c>
      <c r="E157" s="152">
        <f>IFERROR(__xludf.DUMMYFUNCTION("""COMPUTED_VALUE"""),0.6875)</f>
        <v>0.6875</v>
      </c>
      <c r="F157" s="106">
        <v>0.10416666666666663</v>
      </c>
      <c r="G157" s="152">
        <f>IFERROR(__xludf.DUMMYFUNCTION("""COMPUTED_VALUE"""),0.7916666666666666)</f>
        <v>0.7916666667</v>
      </c>
      <c r="H157" s="106">
        <v>0.1597222222222222</v>
      </c>
      <c r="I157" s="136">
        <f>IFERROR(__xludf.DUMMYFUNCTION("""COMPUTED_VALUE"""),130.0)</f>
        <v>130</v>
      </c>
      <c r="J157" s="139">
        <v>54.2608695652174</v>
      </c>
      <c r="K157" s="136" t="s">
        <v>18</v>
      </c>
      <c r="L157" s="153">
        <f>IFERROR(__xludf.DUMMYFUNCTION("""COMPUTED_VALUE"""),46091.0)</f>
        <v>46091</v>
      </c>
      <c r="M157" s="136" t="str">
        <f t="shared" si="1"/>
        <v>Tuesday</v>
      </c>
      <c r="N157" s="136" t="str">
        <f>IFERROR(__xludf.DUMMYFUNCTION("""COMPUTED_VALUE"""),"BF")</f>
        <v>BF</v>
      </c>
      <c r="O157" s="141">
        <v>1.2212165017057919</v>
      </c>
      <c r="P157" s="136" t="str">
        <f>IFERROR(__xludf.DUMMYFUNCTION("""COMPUTED_VALUE"""),"")</f>
        <v/>
      </c>
      <c r="Q157" s="136" t="str">
        <f>IFERROR(__xludf.DUMMYFUNCTION("""COMPUTED_VALUE"""),"")</f>
        <v/>
      </c>
      <c r="R157" s="106" t="str">
        <f>IFERROR(__xludf.DUMMYFUNCTION("""COMPUTED_VALUE"""),"")</f>
        <v/>
      </c>
      <c r="S157" s="106" t="str">
        <f>IFERROR(__xludf.DUMMYFUNCTION("""COMPUTED_VALUE"""),"")</f>
        <v/>
      </c>
      <c r="T157" s="139" t="str">
        <f>IFERROR(__xludf.DUMMYFUNCTION("""COMPUTED_VALUE"""),"")</f>
        <v/>
      </c>
      <c r="U157" s="139" t="str">
        <f>IFERROR(__xludf.DUMMYFUNCTION("""COMPUTED_VALUE"""),"")</f>
        <v/>
      </c>
      <c r="V157" s="136" t="str">
        <f>IFERROR(__xludf.DUMMYFUNCTION("""COMPUTED_VALUE"""),"")</f>
        <v/>
      </c>
      <c r="W157" s="106" t="str">
        <f>IFERROR(__xludf.DUMMYFUNCTION("""COMPUTED_VALUE"""),"")</f>
        <v/>
      </c>
      <c r="X157" s="143" t="str">
        <f t="shared" si="2"/>
        <v/>
      </c>
      <c r="Y157" s="139" t="str">
        <f>IFERROR(__xludf.DUMMYFUNCTION("""COMPUTED_VALUE"""),"")</f>
        <v/>
      </c>
      <c r="Z157" s="141" t="str">
        <f>IFERROR(__xludf.DUMMYFUNCTION("""COMPUTED_VALUE"""),"")</f>
        <v/>
      </c>
    </row>
    <row r="158">
      <c r="A158" s="136" t="str">
        <f>IFERROR(__xludf.DUMMYFUNCTION("""COMPUTED_VALUE"""),"LOG-59F2215C")</f>
        <v>LOG-59F2215C</v>
      </c>
      <c r="B158" s="151">
        <f>IFERROR(__xludf.DUMMYFUNCTION("""COMPUTED_VALUE"""),46091.84722222222)</f>
        <v>46091.84722</v>
      </c>
      <c r="C158" s="136" t="str">
        <f>IFERROR(__xludf.DUMMYFUNCTION("""COMPUTED_VALUE"""),"Leah Bucci")</f>
        <v>Leah Bucci</v>
      </c>
      <c r="D158" s="136" t="b">
        <f t="shared" si="3"/>
        <v>1</v>
      </c>
      <c r="E158" s="152">
        <f>IFERROR(__xludf.DUMMYFUNCTION("""COMPUTED_VALUE"""),0.7916666666666666)</f>
        <v>0.7916666667</v>
      </c>
      <c r="F158" s="106">
        <v>0.05555555555555558</v>
      </c>
      <c r="G158" s="152">
        <f>IFERROR(__xludf.DUMMYFUNCTION("""COMPUTED_VALUE"""),0.8472222222222222)</f>
        <v>0.8472222222</v>
      </c>
      <c r="H158" s="106" t="s">
        <v>133</v>
      </c>
      <c r="I158" s="136">
        <f>IFERROR(__xludf.DUMMYFUNCTION("""COMPUTED_VALUE"""),78.0)</f>
        <v>78</v>
      </c>
      <c r="J158" s="139" t="s">
        <v>133</v>
      </c>
      <c r="K158" s="136" t="s">
        <v>18</v>
      </c>
      <c r="L158" s="153">
        <f>IFERROR(__xludf.DUMMYFUNCTION("""COMPUTED_VALUE"""),46091.0)</f>
        <v>46091</v>
      </c>
      <c r="M158" s="136" t="str">
        <f t="shared" si="1"/>
        <v>Tuesday</v>
      </c>
      <c r="N158" s="136" t="str">
        <f>IFERROR(__xludf.DUMMYFUNCTION("""COMPUTED_VALUE"""),"BF")</f>
        <v>BF</v>
      </c>
      <c r="O158" s="141" t="s">
        <v>133</v>
      </c>
      <c r="P158" s="136">
        <f>IFERROR(__xludf.DUMMYFUNCTION("""COMPUTED_VALUE"""),345.0)</f>
        <v>345</v>
      </c>
      <c r="Q158" s="136">
        <f>IFERROR(__xludf.DUMMYFUNCTION("""COMPUTED_VALUE"""),540.0)</f>
        <v>540</v>
      </c>
      <c r="R158" s="106">
        <f>IFERROR(__xludf.DUMMYFUNCTION("""COMPUTED_VALUE"""),0.20763888888888898)</f>
        <v>0.2076388889</v>
      </c>
      <c r="S158" s="106">
        <f>IFERROR(__xludf.DUMMYFUNCTION("""COMPUTED_VALUE"""),0.5013888888888889)</f>
        <v>0.5013888889</v>
      </c>
      <c r="T158" s="139">
        <f>IFERROR(__xludf.DUMMYFUNCTION("""COMPUTED_VALUE"""),88.23798017025064)</f>
        <v>88.23798017</v>
      </c>
      <c r="U158" s="139">
        <f>IFERROR(__xludf.DUMMYFUNCTION("""COMPUTED_VALUE"""),58.326899187768745)</f>
        <v>58.32689919</v>
      </c>
      <c r="V158" s="136">
        <f>IFERROR(__xludf.DUMMYFUNCTION("""COMPUTED_VALUE"""),885.0)</f>
        <v>885</v>
      </c>
      <c r="W158" s="106">
        <f>IFERROR(__xludf.DUMMYFUNCTION("""COMPUTED_VALUE"""),0.7090277777777779)</f>
        <v>0.7090277778</v>
      </c>
      <c r="X158" s="143">
        <f t="shared" si="2"/>
        <v>52.00783546</v>
      </c>
      <c r="Y158" s="139">
        <f>IFERROR(__xludf.DUMMYFUNCTION("""COMPUTED_VALUE"""),69.54355455619945)</f>
        <v>69.54355456</v>
      </c>
      <c r="Z158" s="141">
        <f>IFERROR(__xludf.DUMMYFUNCTION("""COMPUTED_VALUE"""),1.1878877189268935)</f>
        <v>1.187887719</v>
      </c>
    </row>
    <row r="159">
      <c r="A159" s="136" t="str">
        <f>IFERROR(__xludf.DUMMYFUNCTION("""COMPUTED_VALUE"""),"LOG-461E7E91")</f>
        <v>LOG-461E7E91</v>
      </c>
      <c r="B159" s="151">
        <f>IFERROR(__xludf.DUMMYFUNCTION("""COMPUTED_VALUE"""),46092.40555555555)</f>
        <v>46092.40556</v>
      </c>
      <c r="C159" s="136" t="str">
        <f>IFERROR(__xludf.DUMMYFUNCTION("""COMPUTED_VALUE"""),"Kaylie Forgue")</f>
        <v>Kaylie Forgue</v>
      </c>
      <c r="D159" s="136" t="b">
        <f t="shared" si="3"/>
        <v>0</v>
      </c>
      <c r="E159" s="152">
        <f>IFERROR(__xludf.DUMMYFUNCTION("""COMPUTED_VALUE"""),0.3125)</f>
        <v>0.3125</v>
      </c>
      <c r="F159" s="106">
        <v>0.09305555555555556</v>
      </c>
      <c r="G159" s="152">
        <f>IFERROR(__xludf.DUMMYFUNCTION("""COMPUTED_VALUE"""),0.40555555555555556)</f>
        <v>0.4055555556</v>
      </c>
      <c r="H159" s="106">
        <v>0.11388888888888887</v>
      </c>
      <c r="I159" s="136">
        <f>IFERROR(__xludf.DUMMYFUNCTION("""COMPUTED_VALUE"""),96.0)</f>
        <v>96</v>
      </c>
      <c r="J159" s="139">
        <v>43.90243902439025</v>
      </c>
      <c r="K159" s="136" t="s">
        <v>12</v>
      </c>
      <c r="L159" s="153">
        <f>IFERROR(__xludf.DUMMYFUNCTION("""COMPUTED_VALUE"""),46092.0)</f>
        <v>46092</v>
      </c>
      <c r="M159" s="136" t="str">
        <f t="shared" si="1"/>
        <v>Wednesday</v>
      </c>
      <c r="N159" s="136" t="str">
        <f>IFERROR(__xludf.DUMMYFUNCTION("""COMPUTED_VALUE"""),"BF")</f>
        <v>BF</v>
      </c>
      <c r="O159" s="141">
        <v>1.548551445235059</v>
      </c>
      <c r="P159" s="136" t="str">
        <f>IFERROR(__xludf.DUMMYFUNCTION("""COMPUTED_VALUE"""),"")</f>
        <v/>
      </c>
      <c r="Q159" s="136" t="str">
        <f>IFERROR(__xludf.DUMMYFUNCTION("""COMPUTED_VALUE"""),"")</f>
        <v/>
      </c>
      <c r="R159" s="106" t="str">
        <f>IFERROR(__xludf.DUMMYFUNCTION("""COMPUTED_VALUE"""),"")</f>
        <v/>
      </c>
      <c r="S159" s="106" t="str">
        <f>IFERROR(__xludf.DUMMYFUNCTION("""COMPUTED_VALUE"""),"")</f>
        <v/>
      </c>
      <c r="T159" s="139" t="str">
        <f>IFERROR(__xludf.DUMMYFUNCTION("""COMPUTED_VALUE"""),"")</f>
        <v/>
      </c>
      <c r="U159" s="139" t="str">
        <f>IFERROR(__xludf.DUMMYFUNCTION("""COMPUTED_VALUE"""),"")</f>
        <v/>
      </c>
      <c r="V159" s="136" t="str">
        <f>IFERROR(__xludf.DUMMYFUNCTION("""COMPUTED_VALUE"""),"")</f>
        <v/>
      </c>
      <c r="W159" s="106" t="str">
        <f>IFERROR(__xludf.DUMMYFUNCTION("""COMPUTED_VALUE"""),"")</f>
        <v/>
      </c>
      <c r="X159" s="143" t="str">
        <f t="shared" si="2"/>
        <v/>
      </c>
      <c r="Y159" s="139" t="str">
        <f>IFERROR(__xludf.DUMMYFUNCTION("""COMPUTED_VALUE"""),"")</f>
        <v/>
      </c>
      <c r="Z159" s="141" t="str">
        <f>IFERROR(__xludf.DUMMYFUNCTION("""COMPUTED_VALUE"""),"")</f>
        <v/>
      </c>
    </row>
    <row r="160">
      <c r="A160" s="136" t="str">
        <f>IFERROR(__xludf.DUMMYFUNCTION("""COMPUTED_VALUE"""),"LOG-799FE7DC")</f>
        <v>LOG-799FE7DC</v>
      </c>
      <c r="B160" s="151">
        <f>IFERROR(__xludf.DUMMYFUNCTION("""COMPUTED_VALUE"""),46092.427083333336)</f>
        <v>46092.42708</v>
      </c>
      <c r="C160" s="136" t="str">
        <f>IFERROR(__xludf.DUMMYFUNCTION("""COMPUTED_VALUE"""),"Kaylie Forgue")</f>
        <v>Kaylie Forgue</v>
      </c>
      <c r="D160" s="136" t="b">
        <f t="shared" si="3"/>
        <v>1</v>
      </c>
      <c r="E160" s="152">
        <f>IFERROR(__xludf.DUMMYFUNCTION("""COMPUTED_VALUE"""),0.40625)</f>
        <v>0.40625</v>
      </c>
      <c r="F160" s="106">
        <v>0.020833333333333315</v>
      </c>
      <c r="G160" s="152">
        <f>IFERROR(__xludf.DUMMYFUNCTION("""COMPUTED_VALUE"""),0.4270833333333333)</f>
        <v>0.4270833333</v>
      </c>
      <c r="H160" s="106" t="s">
        <v>133</v>
      </c>
      <c r="I160" s="136">
        <f>IFERROR(__xludf.DUMMYFUNCTION("""COMPUTED_VALUE"""),24.0)</f>
        <v>24</v>
      </c>
      <c r="J160" s="139" t="s">
        <v>133</v>
      </c>
      <c r="K160" s="136" t="s">
        <v>12</v>
      </c>
      <c r="L160" s="153">
        <f>IFERROR(__xludf.DUMMYFUNCTION("""COMPUTED_VALUE"""),46092.0)</f>
        <v>46092</v>
      </c>
      <c r="M160" s="136" t="str">
        <f t="shared" si="1"/>
        <v>Wednesday</v>
      </c>
      <c r="N160" s="136" t="str">
        <f>IFERROR(__xludf.DUMMYFUNCTION("""COMPUTED_VALUE"""),"BF")</f>
        <v>BF</v>
      </c>
      <c r="O160" s="141" t="s">
        <v>133</v>
      </c>
      <c r="P160" s="136" t="str">
        <f>IFERROR(__xludf.DUMMYFUNCTION("""COMPUTED_VALUE"""),"")</f>
        <v/>
      </c>
      <c r="Q160" s="136" t="str">
        <f>IFERROR(__xludf.DUMMYFUNCTION("""COMPUTED_VALUE"""),"")</f>
        <v/>
      </c>
      <c r="R160" s="106" t="str">
        <f>IFERROR(__xludf.DUMMYFUNCTION("""COMPUTED_VALUE"""),"")</f>
        <v/>
      </c>
      <c r="S160" s="106" t="str">
        <f>IFERROR(__xludf.DUMMYFUNCTION("""COMPUTED_VALUE"""),"")</f>
        <v/>
      </c>
      <c r="T160" s="139" t="str">
        <f>IFERROR(__xludf.DUMMYFUNCTION("""COMPUTED_VALUE"""),"")</f>
        <v/>
      </c>
      <c r="U160" s="139" t="str">
        <f>IFERROR(__xludf.DUMMYFUNCTION("""COMPUTED_VALUE"""),"")</f>
        <v/>
      </c>
      <c r="V160" s="136" t="str">
        <f>IFERROR(__xludf.DUMMYFUNCTION("""COMPUTED_VALUE"""),"")</f>
        <v/>
      </c>
      <c r="W160" s="106" t="str">
        <f>IFERROR(__xludf.DUMMYFUNCTION("""COMPUTED_VALUE"""),"")</f>
        <v/>
      </c>
      <c r="X160" s="143" t="str">
        <f t="shared" si="2"/>
        <v/>
      </c>
      <c r="Y160" s="139" t="str">
        <f>IFERROR(__xludf.DUMMYFUNCTION("""COMPUTED_VALUE"""),"")</f>
        <v/>
      </c>
      <c r="Z160" s="141" t="str">
        <f>IFERROR(__xludf.DUMMYFUNCTION("""COMPUTED_VALUE"""),"")</f>
        <v/>
      </c>
    </row>
    <row r="161">
      <c r="A161" s="136" t="str">
        <f>IFERROR(__xludf.DUMMYFUNCTION("""COMPUTED_VALUE"""),"LOG-77393EF5")</f>
        <v>LOG-77393EF5</v>
      </c>
      <c r="B161" s="151">
        <f>IFERROR(__xludf.DUMMYFUNCTION("""COMPUTED_VALUE"""),46092.854166666664)</f>
        <v>46092.85417</v>
      </c>
      <c r="C161" s="136" t="str">
        <f>IFERROR(__xludf.DUMMYFUNCTION("""COMPUTED_VALUE"""),"Maureen Surgot")</f>
        <v>Maureen Surgot</v>
      </c>
      <c r="D161" s="136" t="b">
        <f t="shared" si="3"/>
        <v>0</v>
      </c>
      <c r="E161" s="152">
        <f>IFERROR(__xludf.DUMMYFUNCTION("""COMPUTED_VALUE"""),0.6875)</f>
        <v>0.6875</v>
      </c>
      <c r="F161" s="106">
        <v>0.16666666666666663</v>
      </c>
      <c r="G161" s="152">
        <f>IFERROR(__xludf.DUMMYFUNCTION("""COMPUTED_VALUE"""),0.8541666666666666)</f>
        <v>0.8541666667</v>
      </c>
      <c r="H161" s="106">
        <v>0.16666666666666663</v>
      </c>
      <c r="I161" s="136">
        <f>IFERROR(__xludf.DUMMYFUNCTION("""COMPUTED_VALUE"""),137.0)</f>
        <v>137</v>
      </c>
      <c r="J161" s="139">
        <v>34.25000000000001</v>
      </c>
      <c r="K161" s="136" t="s">
        <v>18</v>
      </c>
      <c r="L161" s="153">
        <f>IFERROR(__xludf.DUMMYFUNCTION("""COMPUTED_VALUE"""),46092.0)</f>
        <v>46092</v>
      </c>
      <c r="M161" s="136" t="str">
        <f t="shared" si="1"/>
        <v>Wednesday</v>
      </c>
      <c r="N161" s="136" t="str">
        <f>IFERROR(__xludf.DUMMYFUNCTION("""COMPUTED_VALUE"""),"BF")</f>
        <v>BF</v>
      </c>
      <c r="O161" s="141">
        <v>0.7708439897586038</v>
      </c>
      <c r="P161" s="136" t="str">
        <f>IFERROR(__xludf.DUMMYFUNCTION("""COMPUTED_VALUE"""),"")</f>
        <v/>
      </c>
      <c r="Q161" s="136" t="str">
        <f>IFERROR(__xludf.DUMMYFUNCTION("""COMPUTED_VALUE"""),"")</f>
        <v/>
      </c>
      <c r="R161" s="106" t="str">
        <f>IFERROR(__xludf.DUMMYFUNCTION("""COMPUTED_VALUE"""),"")</f>
        <v/>
      </c>
      <c r="S161" s="106" t="str">
        <f>IFERROR(__xludf.DUMMYFUNCTION("""COMPUTED_VALUE"""),"")</f>
        <v/>
      </c>
      <c r="T161" s="139" t="str">
        <f>IFERROR(__xludf.DUMMYFUNCTION("""COMPUTED_VALUE"""),"")</f>
        <v/>
      </c>
      <c r="U161" s="139" t="str">
        <f>IFERROR(__xludf.DUMMYFUNCTION("""COMPUTED_VALUE"""),"")</f>
        <v/>
      </c>
      <c r="V161" s="136" t="str">
        <f>IFERROR(__xludf.DUMMYFUNCTION("""COMPUTED_VALUE"""),"")</f>
        <v/>
      </c>
      <c r="W161" s="106" t="str">
        <f>IFERROR(__xludf.DUMMYFUNCTION("""COMPUTED_VALUE"""),"")</f>
        <v/>
      </c>
      <c r="X161" s="143" t="str">
        <f t="shared" si="2"/>
        <v/>
      </c>
      <c r="Y161" s="139" t="str">
        <f>IFERROR(__xludf.DUMMYFUNCTION("""COMPUTED_VALUE"""),"")</f>
        <v/>
      </c>
      <c r="Z161" s="141" t="str">
        <f>IFERROR(__xludf.DUMMYFUNCTION("""COMPUTED_VALUE"""),"")</f>
        <v/>
      </c>
    </row>
    <row r="162">
      <c r="A162" s="136" t="str">
        <f>IFERROR(__xludf.DUMMYFUNCTION("""COMPUTED_VALUE"""),"LOG-43AA09FA")</f>
        <v>LOG-43AA09FA</v>
      </c>
      <c r="B162" s="151">
        <f>IFERROR(__xludf.DUMMYFUNCTION("""COMPUTED_VALUE"""),46092.875)</f>
        <v>46092.875</v>
      </c>
      <c r="C162" s="136" t="str">
        <f>IFERROR(__xludf.DUMMYFUNCTION("""COMPUTED_VALUE"""),"Brynn Hornig")</f>
        <v>Brynn Hornig</v>
      </c>
      <c r="D162" s="136" t="b">
        <f t="shared" si="3"/>
        <v>0</v>
      </c>
      <c r="E162" s="152">
        <f>IFERROR(__xludf.DUMMYFUNCTION("""COMPUTED_VALUE"""),0.75)</f>
        <v>0.75</v>
      </c>
      <c r="F162" s="106">
        <v>0.125</v>
      </c>
      <c r="G162" s="152">
        <f>IFERROR(__xludf.DUMMYFUNCTION("""COMPUTED_VALUE"""),0.875)</f>
        <v>0.875</v>
      </c>
      <c r="H162" s="106">
        <v>0.125</v>
      </c>
      <c r="I162" s="136">
        <f>IFERROR(__xludf.DUMMYFUNCTION("""COMPUTED_VALUE"""),134.0)</f>
        <v>134</v>
      </c>
      <c r="J162" s="139">
        <v>44.666666666666664</v>
      </c>
      <c r="K162" s="136" t="s">
        <v>18</v>
      </c>
      <c r="L162" s="153">
        <f>IFERROR(__xludf.DUMMYFUNCTION("""COMPUTED_VALUE"""),46092.0)</f>
        <v>46092</v>
      </c>
      <c r="M162" s="136" t="str">
        <f t="shared" si="1"/>
        <v>Wednesday</v>
      </c>
      <c r="N162" s="136" t="str">
        <f>IFERROR(__xludf.DUMMYFUNCTION("""COMPUTED_VALUE"""),"MF")</f>
        <v>MF</v>
      </c>
      <c r="O162" s="141">
        <v>0.9342643285267531</v>
      </c>
      <c r="P162" s="136">
        <f>IFERROR(__xludf.DUMMYFUNCTION("""COMPUTED_VALUE"""),134.0)</f>
        <v>134</v>
      </c>
      <c r="Q162" s="136">
        <f>IFERROR(__xludf.DUMMYFUNCTION("""COMPUTED_VALUE"""),257.0)</f>
        <v>257</v>
      </c>
      <c r="R162" s="106">
        <f>IFERROR(__xludf.DUMMYFUNCTION("""COMPUTED_VALUE"""),0.125)</f>
        <v>0.125</v>
      </c>
      <c r="S162" s="106">
        <f>IFERROR(__xludf.DUMMYFUNCTION("""COMPUTED_VALUE"""),0.2805555555555555)</f>
        <v>0.2805555556</v>
      </c>
      <c r="T162" s="139">
        <f>IFERROR(__xludf.DUMMYFUNCTION("""COMPUTED_VALUE"""),44.666666666666664)</f>
        <v>44.66666667</v>
      </c>
      <c r="U162" s="139">
        <f>IFERROR(__xludf.DUMMYFUNCTION("""COMPUTED_VALUE"""),39.076219512195124)</f>
        <v>39.07621951</v>
      </c>
      <c r="V162" s="136">
        <f>IFERROR(__xludf.DUMMYFUNCTION("""COMPUTED_VALUE"""),391.0)</f>
        <v>391</v>
      </c>
      <c r="W162" s="106">
        <f>IFERROR(__xludf.DUMMYFUNCTION("""COMPUTED_VALUE"""),0.4055555555555555)</f>
        <v>0.4055555556</v>
      </c>
      <c r="X162" s="143">
        <f t="shared" si="2"/>
        <v>40.17123288</v>
      </c>
      <c r="Y162" s="139">
        <f>IFERROR(__xludf.DUMMYFUNCTION("""COMPUTED_VALUE"""),40.93970189701897)</f>
        <v>40.9397019</v>
      </c>
      <c r="Z162" s="141">
        <f>IFERROR(__xludf.DUMMYFUNCTION("""COMPUTED_VALUE"""),0.6860569736808544)</f>
        <v>0.6860569737</v>
      </c>
    </row>
    <row r="163">
      <c r="A163" s="136" t="str">
        <f>IFERROR(__xludf.DUMMYFUNCTION("""COMPUTED_VALUE"""),"LOG-CFE39B38")</f>
        <v>LOG-CFE39B38</v>
      </c>
      <c r="B163" s="151">
        <f>IFERROR(__xludf.DUMMYFUNCTION("""COMPUTED_VALUE"""),46093.36111111111)</f>
        <v>46093.36111</v>
      </c>
      <c r="C163" s="136" t="str">
        <f>IFERROR(__xludf.DUMMYFUNCTION("""COMPUTED_VALUE"""),"Evan Morgan")</f>
        <v>Evan Morgan</v>
      </c>
      <c r="D163" s="136" t="b">
        <f t="shared" si="3"/>
        <v>0</v>
      </c>
      <c r="E163" s="152">
        <f>IFERROR(__xludf.DUMMYFUNCTION("""COMPUTED_VALUE"""),0.2916666666666667)</f>
        <v>0.2916666667</v>
      </c>
      <c r="F163" s="106">
        <v>0.06944444444444442</v>
      </c>
      <c r="G163" s="152">
        <f>IFERROR(__xludf.DUMMYFUNCTION("""COMPUTED_VALUE"""),0.3611111111111111)</f>
        <v>0.3611111111</v>
      </c>
      <c r="H163" s="106">
        <v>0.06944444444444442</v>
      </c>
      <c r="I163" s="136">
        <f>IFERROR(__xludf.DUMMYFUNCTION("""COMPUTED_VALUE"""),27.0)</f>
        <v>27</v>
      </c>
      <c r="J163" s="139">
        <v>16.200000000000006</v>
      </c>
      <c r="K163" s="136" t="s">
        <v>12</v>
      </c>
      <c r="L163" s="153">
        <f>IFERROR(__xludf.DUMMYFUNCTION("""COMPUTED_VALUE"""),46093.0)</f>
        <v>46093</v>
      </c>
      <c r="M163" s="136" t="str">
        <f t="shared" si="1"/>
        <v>Thursday</v>
      </c>
      <c r="N163" s="136" t="str">
        <f>IFERROR(__xludf.DUMMYFUNCTION("""COMPUTED_VALUE"""),"BF")</f>
        <v>BF</v>
      </c>
      <c r="O163" s="141">
        <v>0.571415483291737</v>
      </c>
      <c r="P163" s="136" t="str">
        <f>IFERROR(__xludf.DUMMYFUNCTION("""COMPUTED_VALUE"""),"")</f>
        <v/>
      </c>
      <c r="Q163" s="136" t="str">
        <f>IFERROR(__xludf.DUMMYFUNCTION("""COMPUTED_VALUE"""),"")</f>
        <v/>
      </c>
      <c r="R163" s="106" t="str">
        <f>IFERROR(__xludf.DUMMYFUNCTION("""COMPUTED_VALUE"""),"")</f>
        <v/>
      </c>
      <c r="S163" s="106" t="str">
        <f>IFERROR(__xludf.DUMMYFUNCTION("""COMPUTED_VALUE"""),"")</f>
        <v/>
      </c>
      <c r="T163" s="139" t="str">
        <f>IFERROR(__xludf.DUMMYFUNCTION("""COMPUTED_VALUE"""),"")</f>
        <v/>
      </c>
      <c r="U163" s="139" t="str">
        <f>IFERROR(__xludf.DUMMYFUNCTION("""COMPUTED_VALUE"""),"")</f>
        <v/>
      </c>
      <c r="V163" s="136" t="str">
        <f>IFERROR(__xludf.DUMMYFUNCTION("""COMPUTED_VALUE"""),"")</f>
        <v/>
      </c>
      <c r="W163" s="106" t="str">
        <f>IFERROR(__xludf.DUMMYFUNCTION("""COMPUTED_VALUE"""),"")</f>
        <v/>
      </c>
      <c r="X163" s="143" t="str">
        <f t="shared" si="2"/>
        <v/>
      </c>
      <c r="Y163" s="139" t="str">
        <f>IFERROR(__xludf.DUMMYFUNCTION("""COMPUTED_VALUE"""),"")</f>
        <v/>
      </c>
      <c r="Z163" s="141" t="str">
        <f>IFERROR(__xludf.DUMMYFUNCTION("""COMPUTED_VALUE"""),"")</f>
        <v/>
      </c>
    </row>
    <row r="164">
      <c r="A164" s="136" t="str">
        <f>IFERROR(__xludf.DUMMYFUNCTION("""COMPUTED_VALUE"""),"LOG-B61FAAA1")</f>
        <v>LOG-B61FAAA1</v>
      </c>
      <c r="B164" s="151">
        <f>IFERROR(__xludf.DUMMYFUNCTION("""COMPUTED_VALUE"""),46093.45347222222)</f>
        <v>46093.45347</v>
      </c>
      <c r="C164" s="136" t="str">
        <f>IFERROR(__xludf.DUMMYFUNCTION("""COMPUTED_VALUE"""),"Sophia Kluck")</f>
        <v>Sophia Kluck</v>
      </c>
      <c r="D164" s="136" t="b">
        <f t="shared" si="3"/>
        <v>0</v>
      </c>
      <c r="E164" s="152">
        <f>IFERROR(__xludf.DUMMYFUNCTION("""COMPUTED_VALUE"""),0.36944444444444446)</f>
        <v>0.3694444444</v>
      </c>
      <c r="F164" s="106">
        <v>0.08402777777777776</v>
      </c>
      <c r="G164" s="152">
        <f>IFERROR(__xludf.DUMMYFUNCTION("""COMPUTED_VALUE"""),0.4534722222222222)</f>
        <v>0.4534722222</v>
      </c>
      <c r="H164" s="106">
        <v>0.10347222222222219</v>
      </c>
      <c r="I164" s="136">
        <f>IFERROR(__xludf.DUMMYFUNCTION("""COMPUTED_VALUE"""),71.0)</f>
        <v>71</v>
      </c>
      <c r="J164" s="139">
        <v>35.436241610738264</v>
      </c>
      <c r="K164" s="136" t="s">
        <v>12</v>
      </c>
      <c r="L164" s="153">
        <f>IFERROR(__xludf.DUMMYFUNCTION("""COMPUTED_VALUE"""),46093.0)</f>
        <v>46093</v>
      </c>
      <c r="M164" s="136" t="str">
        <f t="shared" si="1"/>
        <v>Thursday</v>
      </c>
      <c r="N164" s="136" t="str">
        <f>IFERROR(__xludf.DUMMYFUNCTION("""COMPUTED_VALUE"""),"BF")</f>
        <v>BF</v>
      </c>
      <c r="O164" s="141">
        <v>1.2499269830890591</v>
      </c>
      <c r="P164" s="136" t="str">
        <f>IFERROR(__xludf.DUMMYFUNCTION("""COMPUTED_VALUE"""),"")</f>
        <v/>
      </c>
      <c r="Q164" s="136" t="str">
        <f>IFERROR(__xludf.DUMMYFUNCTION("""COMPUTED_VALUE"""),"")</f>
        <v/>
      </c>
      <c r="R164" s="106" t="str">
        <f>IFERROR(__xludf.DUMMYFUNCTION("""COMPUTED_VALUE"""),"")</f>
        <v/>
      </c>
      <c r="S164" s="106" t="str">
        <f>IFERROR(__xludf.DUMMYFUNCTION("""COMPUTED_VALUE"""),"")</f>
        <v/>
      </c>
      <c r="T164" s="139" t="str">
        <f>IFERROR(__xludf.DUMMYFUNCTION("""COMPUTED_VALUE"""),"")</f>
        <v/>
      </c>
      <c r="U164" s="139" t="str">
        <f>IFERROR(__xludf.DUMMYFUNCTION("""COMPUTED_VALUE"""),"")</f>
        <v/>
      </c>
      <c r="V164" s="136" t="str">
        <f>IFERROR(__xludf.DUMMYFUNCTION("""COMPUTED_VALUE"""),"")</f>
        <v/>
      </c>
      <c r="W164" s="106" t="str">
        <f>IFERROR(__xludf.DUMMYFUNCTION("""COMPUTED_VALUE"""),"")</f>
        <v/>
      </c>
      <c r="X164" s="143" t="str">
        <f t="shared" si="2"/>
        <v/>
      </c>
      <c r="Y164" s="139" t="str">
        <f>IFERROR(__xludf.DUMMYFUNCTION("""COMPUTED_VALUE"""),"")</f>
        <v/>
      </c>
      <c r="Z164" s="141" t="str">
        <f>IFERROR(__xludf.DUMMYFUNCTION("""COMPUTED_VALUE"""),"")</f>
        <v/>
      </c>
    </row>
    <row r="165">
      <c r="A165" s="136" t="str">
        <f>IFERROR(__xludf.DUMMYFUNCTION("""COMPUTED_VALUE"""),"LOG-23442332")</f>
        <v>LOG-23442332</v>
      </c>
      <c r="B165" s="151">
        <f>IFERROR(__xludf.DUMMYFUNCTION("""COMPUTED_VALUE"""),46093.475694444445)</f>
        <v>46093.47569</v>
      </c>
      <c r="C165" s="136" t="str">
        <f>IFERROR(__xludf.DUMMYFUNCTION("""COMPUTED_VALUE"""),"Sophia Kluck")</f>
        <v>Sophia Kluck</v>
      </c>
      <c r="D165" s="136" t="b">
        <f t="shared" si="3"/>
        <v>1</v>
      </c>
      <c r="E165" s="152">
        <f>IFERROR(__xludf.DUMMYFUNCTION("""COMPUTED_VALUE"""),0.45625)</f>
        <v>0.45625</v>
      </c>
      <c r="F165" s="106">
        <v>0.01944444444444443</v>
      </c>
      <c r="G165" s="152">
        <f>IFERROR(__xludf.DUMMYFUNCTION("""COMPUTED_VALUE"""),0.4756944444444444)</f>
        <v>0.4756944444</v>
      </c>
      <c r="H165" s="106" t="s">
        <v>133</v>
      </c>
      <c r="I165" s="136">
        <f>IFERROR(__xludf.DUMMYFUNCTION("""COMPUTED_VALUE"""),17.0)</f>
        <v>17</v>
      </c>
      <c r="J165" s="139" t="s">
        <v>133</v>
      </c>
      <c r="K165" s="136" t="s">
        <v>134</v>
      </c>
      <c r="L165" s="153">
        <f>IFERROR(__xludf.DUMMYFUNCTION("""COMPUTED_VALUE"""),46093.0)</f>
        <v>46093</v>
      </c>
      <c r="M165" s="136" t="str">
        <f t="shared" si="1"/>
        <v>Thursday</v>
      </c>
      <c r="N165" s="136" t="str">
        <f>IFERROR(__xludf.DUMMYFUNCTION("""COMPUTED_VALUE"""),"BF")</f>
        <v>BF</v>
      </c>
      <c r="O165" s="141" t="s">
        <v>133</v>
      </c>
      <c r="P165" s="136" t="str">
        <f>IFERROR(__xludf.DUMMYFUNCTION("""COMPUTED_VALUE"""),"")</f>
        <v/>
      </c>
      <c r="Q165" s="136" t="str">
        <f>IFERROR(__xludf.DUMMYFUNCTION("""COMPUTED_VALUE"""),"")</f>
        <v/>
      </c>
      <c r="R165" s="106" t="str">
        <f>IFERROR(__xludf.DUMMYFUNCTION("""COMPUTED_VALUE"""),"")</f>
        <v/>
      </c>
      <c r="S165" s="106" t="str">
        <f>IFERROR(__xludf.DUMMYFUNCTION("""COMPUTED_VALUE"""),"")</f>
        <v/>
      </c>
      <c r="T165" s="139" t="str">
        <f>IFERROR(__xludf.DUMMYFUNCTION("""COMPUTED_VALUE"""),"")</f>
        <v/>
      </c>
      <c r="U165" s="139" t="str">
        <f>IFERROR(__xludf.DUMMYFUNCTION("""COMPUTED_VALUE"""),"")</f>
        <v/>
      </c>
      <c r="V165" s="136" t="str">
        <f>IFERROR(__xludf.DUMMYFUNCTION("""COMPUTED_VALUE"""),"")</f>
        <v/>
      </c>
      <c r="W165" s="106" t="str">
        <f>IFERROR(__xludf.DUMMYFUNCTION("""COMPUTED_VALUE"""),"")</f>
        <v/>
      </c>
      <c r="X165" s="143" t="str">
        <f t="shared" si="2"/>
        <v/>
      </c>
      <c r="Y165" s="139" t="str">
        <f>IFERROR(__xludf.DUMMYFUNCTION("""COMPUTED_VALUE"""),"")</f>
        <v/>
      </c>
      <c r="Z165" s="141" t="str">
        <f>IFERROR(__xludf.DUMMYFUNCTION("""COMPUTED_VALUE"""),"")</f>
        <v/>
      </c>
    </row>
    <row r="166">
      <c r="A166" s="136" t="str">
        <f>IFERROR(__xludf.DUMMYFUNCTION("""COMPUTED_VALUE"""),"LOG-F23E21D1")</f>
        <v>LOG-F23E21D1</v>
      </c>
      <c r="B166" s="151">
        <f>IFERROR(__xludf.DUMMYFUNCTION("""COMPUTED_VALUE"""),46093.53125)</f>
        <v>46093.53125</v>
      </c>
      <c r="C166" s="136" t="str">
        <f>IFERROR(__xludf.DUMMYFUNCTION("""COMPUTED_VALUE"""),"Emmett Khan")</f>
        <v>Emmett Khan</v>
      </c>
      <c r="D166" s="136" t="b">
        <f t="shared" si="3"/>
        <v>0</v>
      </c>
      <c r="E166" s="152">
        <f>IFERROR(__xludf.DUMMYFUNCTION("""COMPUTED_VALUE"""),0.4791666666666667)</f>
        <v>0.4791666667</v>
      </c>
      <c r="F166" s="106">
        <v>0.052083333333333315</v>
      </c>
      <c r="G166" s="152">
        <f>IFERROR(__xludf.DUMMYFUNCTION("""COMPUTED_VALUE"""),0.53125)</f>
        <v>0.53125</v>
      </c>
      <c r="H166" s="106">
        <v>0.052083333333333315</v>
      </c>
      <c r="I166" s="136">
        <f>IFERROR(__xludf.DUMMYFUNCTION("""COMPUTED_VALUE"""),64.0)</f>
        <v>64</v>
      </c>
      <c r="J166" s="139">
        <v>51.20000000000002</v>
      </c>
      <c r="K166" s="136" t="s">
        <v>15</v>
      </c>
      <c r="L166" s="153">
        <f>IFERROR(__xludf.DUMMYFUNCTION("""COMPUTED_VALUE"""),46093.0)</f>
        <v>46093</v>
      </c>
      <c r="M166" s="136" t="str">
        <f t="shared" si="1"/>
        <v>Thursday</v>
      </c>
      <c r="N166" s="136" t="str">
        <f>IFERROR(__xludf.DUMMYFUNCTION("""COMPUTED_VALUE"""),"MF")</f>
        <v>MF</v>
      </c>
      <c r="O166" s="141">
        <v>1.0183482820623302</v>
      </c>
      <c r="P166" s="136" t="str">
        <f>IFERROR(__xludf.DUMMYFUNCTION("""COMPUTED_VALUE"""),"")</f>
        <v/>
      </c>
      <c r="Q166" s="136" t="str">
        <f>IFERROR(__xludf.DUMMYFUNCTION("""COMPUTED_VALUE"""),"")</f>
        <v/>
      </c>
      <c r="R166" s="106" t="str">
        <f>IFERROR(__xludf.DUMMYFUNCTION("""COMPUTED_VALUE"""),"")</f>
        <v/>
      </c>
      <c r="S166" s="106" t="str">
        <f>IFERROR(__xludf.DUMMYFUNCTION("""COMPUTED_VALUE"""),"")</f>
        <v/>
      </c>
      <c r="T166" s="139" t="str">
        <f>IFERROR(__xludf.DUMMYFUNCTION("""COMPUTED_VALUE"""),"")</f>
        <v/>
      </c>
      <c r="U166" s="139" t="str">
        <f>IFERROR(__xludf.DUMMYFUNCTION("""COMPUTED_VALUE"""),"")</f>
        <v/>
      </c>
      <c r="V166" s="136" t="str">
        <f>IFERROR(__xludf.DUMMYFUNCTION("""COMPUTED_VALUE"""),"")</f>
        <v/>
      </c>
      <c r="W166" s="106" t="str">
        <f>IFERROR(__xludf.DUMMYFUNCTION("""COMPUTED_VALUE"""),"")</f>
        <v/>
      </c>
      <c r="X166" s="143" t="str">
        <f t="shared" si="2"/>
        <v/>
      </c>
      <c r="Y166" s="139" t="str">
        <f>IFERROR(__xludf.DUMMYFUNCTION("""COMPUTED_VALUE"""),"")</f>
        <v/>
      </c>
      <c r="Z166" s="141" t="str">
        <f>IFERROR(__xludf.DUMMYFUNCTION("""COMPUTED_VALUE"""),"")</f>
        <v/>
      </c>
    </row>
    <row r="167">
      <c r="A167" s="136" t="str">
        <f>IFERROR(__xludf.DUMMYFUNCTION("""COMPUTED_VALUE"""),"LOG-8469DF2F")</f>
        <v>LOG-8469DF2F</v>
      </c>
      <c r="B167" s="151">
        <f>IFERROR(__xludf.DUMMYFUNCTION("""COMPUTED_VALUE"""),46093.57777777778)</f>
        <v>46093.57778</v>
      </c>
      <c r="C167" s="136" t="str">
        <f>IFERROR(__xludf.DUMMYFUNCTION("""COMPUTED_VALUE"""),"Kyra Turner")</f>
        <v>Kyra Turner</v>
      </c>
      <c r="D167" s="136" t="b">
        <f t="shared" si="3"/>
        <v>0</v>
      </c>
      <c r="E167" s="152">
        <f>IFERROR(__xludf.DUMMYFUNCTION("""COMPUTED_VALUE"""),0.5006944444444444)</f>
        <v>0.5006944444</v>
      </c>
      <c r="F167" s="106">
        <v>0.07708333333333328</v>
      </c>
      <c r="G167" s="152">
        <f>IFERROR(__xludf.DUMMYFUNCTION("""COMPUTED_VALUE"""),0.5777777777777777)</f>
        <v>0.5777777778</v>
      </c>
      <c r="H167" s="106">
        <v>0.13888888888888884</v>
      </c>
      <c r="I167" s="136">
        <f>IFERROR(__xludf.DUMMYFUNCTION("""COMPUTED_VALUE"""),111.0)</f>
        <v>111</v>
      </c>
      <c r="J167" s="139">
        <v>57.30000000000002</v>
      </c>
      <c r="K167" s="136" t="s">
        <v>15</v>
      </c>
      <c r="L167" s="153">
        <f>IFERROR(__xludf.DUMMYFUNCTION("""COMPUTED_VALUE"""),46093.0)</f>
        <v>46093</v>
      </c>
      <c r="M167" s="136" t="str">
        <f t="shared" si="1"/>
        <v>Thursday</v>
      </c>
      <c r="N167" s="136" t="str">
        <f>IFERROR(__xludf.DUMMYFUNCTION("""COMPUTED_VALUE"""),"BF")</f>
        <v>BF</v>
      </c>
      <c r="O167" s="141">
        <v>2.021117727939292</v>
      </c>
      <c r="P167" s="136" t="str">
        <f>IFERROR(__xludf.DUMMYFUNCTION("""COMPUTED_VALUE"""),"")</f>
        <v/>
      </c>
      <c r="Q167" s="136" t="str">
        <f>IFERROR(__xludf.DUMMYFUNCTION("""COMPUTED_VALUE"""),"")</f>
        <v/>
      </c>
      <c r="R167" s="106" t="str">
        <f>IFERROR(__xludf.DUMMYFUNCTION("""COMPUTED_VALUE"""),"")</f>
        <v/>
      </c>
      <c r="S167" s="106" t="str">
        <f>IFERROR(__xludf.DUMMYFUNCTION("""COMPUTED_VALUE"""),"")</f>
        <v/>
      </c>
      <c r="T167" s="139" t="str">
        <f>IFERROR(__xludf.DUMMYFUNCTION("""COMPUTED_VALUE"""),"")</f>
        <v/>
      </c>
      <c r="U167" s="139" t="str">
        <f>IFERROR(__xludf.DUMMYFUNCTION("""COMPUTED_VALUE"""),"")</f>
        <v/>
      </c>
      <c r="V167" s="136" t="str">
        <f>IFERROR(__xludf.DUMMYFUNCTION("""COMPUTED_VALUE"""),"")</f>
        <v/>
      </c>
      <c r="W167" s="106" t="str">
        <f>IFERROR(__xludf.DUMMYFUNCTION("""COMPUTED_VALUE"""),"")</f>
        <v/>
      </c>
      <c r="X167" s="143" t="str">
        <f t="shared" si="2"/>
        <v/>
      </c>
      <c r="Y167" s="139" t="str">
        <f>IFERROR(__xludf.DUMMYFUNCTION("""COMPUTED_VALUE"""),"")</f>
        <v/>
      </c>
      <c r="Z167" s="141" t="str">
        <f>IFERROR(__xludf.DUMMYFUNCTION("""COMPUTED_VALUE"""),"")</f>
        <v/>
      </c>
    </row>
    <row r="168">
      <c r="A168" s="136" t="str">
        <f>IFERROR(__xludf.DUMMYFUNCTION("""COMPUTED_VALUE"""),"LOG-A51AD5B3")</f>
        <v>LOG-A51AD5B3</v>
      </c>
      <c r="B168" s="151">
        <f>IFERROR(__xludf.DUMMYFUNCTION("""COMPUTED_VALUE"""),46093.64166666667)</f>
        <v>46093.64167</v>
      </c>
      <c r="C168" s="136" t="str">
        <f>IFERROR(__xludf.DUMMYFUNCTION("""COMPUTED_VALUE"""),"Kyra Turner")</f>
        <v>Kyra Turner</v>
      </c>
      <c r="D168" s="136" t="b">
        <f t="shared" si="3"/>
        <v>1</v>
      </c>
      <c r="E168" s="152">
        <f>IFERROR(__xludf.DUMMYFUNCTION("""COMPUTED_VALUE"""),0.5798611111111112)</f>
        <v>0.5798611111</v>
      </c>
      <c r="F168" s="106">
        <v>0.06180555555555556</v>
      </c>
      <c r="G168" s="152">
        <f>IFERROR(__xludf.DUMMYFUNCTION("""COMPUTED_VALUE"""),0.6416666666666667)</f>
        <v>0.6416666667</v>
      </c>
      <c r="H168" s="106" t="s">
        <v>133</v>
      </c>
      <c r="I168" s="136">
        <f>IFERROR(__xludf.DUMMYFUNCTION("""COMPUTED_VALUE"""),80.0)</f>
        <v>80</v>
      </c>
      <c r="J168" s="139" t="s">
        <v>133</v>
      </c>
      <c r="K168" s="136" t="s">
        <v>15</v>
      </c>
      <c r="L168" s="153">
        <f>IFERROR(__xludf.DUMMYFUNCTION("""COMPUTED_VALUE"""),46093.0)</f>
        <v>46093</v>
      </c>
      <c r="M168" s="136" t="str">
        <f t="shared" si="1"/>
        <v>Thursday</v>
      </c>
      <c r="N168" s="136" t="str">
        <f>IFERROR(__xludf.DUMMYFUNCTION("""COMPUTED_VALUE"""),"BF")</f>
        <v>BF</v>
      </c>
      <c r="O168" s="141" t="s">
        <v>133</v>
      </c>
      <c r="P168" s="136" t="str">
        <f>IFERROR(__xludf.DUMMYFUNCTION("""COMPUTED_VALUE"""),"")</f>
        <v/>
      </c>
      <c r="Q168" s="136" t="str">
        <f>IFERROR(__xludf.DUMMYFUNCTION("""COMPUTED_VALUE"""),"")</f>
        <v/>
      </c>
      <c r="R168" s="106" t="str">
        <f>IFERROR(__xludf.DUMMYFUNCTION("""COMPUTED_VALUE"""),"")</f>
        <v/>
      </c>
      <c r="S168" s="106" t="str">
        <f>IFERROR(__xludf.DUMMYFUNCTION("""COMPUTED_VALUE"""),"")</f>
        <v/>
      </c>
      <c r="T168" s="139" t="str">
        <f>IFERROR(__xludf.DUMMYFUNCTION("""COMPUTED_VALUE"""),"")</f>
        <v/>
      </c>
      <c r="U168" s="139" t="str">
        <f>IFERROR(__xludf.DUMMYFUNCTION("""COMPUTED_VALUE"""),"")</f>
        <v/>
      </c>
      <c r="V168" s="136" t="str">
        <f>IFERROR(__xludf.DUMMYFUNCTION("""COMPUTED_VALUE"""),"")</f>
        <v/>
      </c>
      <c r="W168" s="106" t="str">
        <f>IFERROR(__xludf.DUMMYFUNCTION("""COMPUTED_VALUE"""),"")</f>
        <v/>
      </c>
      <c r="X168" s="143" t="str">
        <f t="shared" si="2"/>
        <v/>
      </c>
      <c r="Y168" s="139" t="str">
        <f>IFERROR(__xludf.DUMMYFUNCTION("""COMPUTED_VALUE"""),"")</f>
        <v/>
      </c>
      <c r="Z168" s="141" t="str">
        <f>IFERROR(__xludf.DUMMYFUNCTION("""COMPUTED_VALUE"""),"")</f>
        <v/>
      </c>
    </row>
    <row r="169">
      <c r="A169" s="136" t="str">
        <f>IFERROR(__xludf.DUMMYFUNCTION("""COMPUTED_VALUE"""),"LOG-AFE689F1")</f>
        <v>LOG-AFE689F1</v>
      </c>
      <c r="B169" s="151">
        <f>IFERROR(__xludf.DUMMYFUNCTION("""COMPUTED_VALUE"""),46093.78125)</f>
        <v>46093.78125</v>
      </c>
      <c r="C169" s="136" t="str">
        <f>IFERROR(__xludf.DUMMYFUNCTION("""COMPUTED_VALUE"""),"Emmett Khan")</f>
        <v>Emmett Khan</v>
      </c>
      <c r="D169" s="136" t="b">
        <f t="shared" si="3"/>
        <v>0</v>
      </c>
      <c r="E169" s="152">
        <f>IFERROR(__xludf.DUMMYFUNCTION("""COMPUTED_VALUE"""),0.7083333333333334)</f>
        <v>0.7083333333</v>
      </c>
      <c r="F169" s="106">
        <v>0.07291666666666663</v>
      </c>
      <c r="G169" s="152">
        <f>IFERROR(__xludf.DUMMYFUNCTION("""COMPUTED_VALUE"""),0.78125)</f>
        <v>0.78125</v>
      </c>
      <c r="H169" s="106">
        <v>0.07291666666666663</v>
      </c>
      <c r="I169" s="136">
        <f>IFERROR(__xludf.DUMMYFUNCTION("""COMPUTED_VALUE"""),90.0)</f>
        <v>90</v>
      </c>
      <c r="J169" s="139">
        <v>51.42857142857145</v>
      </c>
      <c r="K169" s="136" t="s">
        <v>18</v>
      </c>
      <c r="L169" s="153">
        <f>IFERROR(__xludf.DUMMYFUNCTION("""COMPUTED_VALUE"""),46093.0)</f>
        <v>46093</v>
      </c>
      <c r="M169" s="136" t="str">
        <f t="shared" si="1"/>
        <v>Thursday</v>
      </c>
      <c r="N169" s="136" t="str">
        <f>IFERROR(__xludf.DUMMYFUNCTION("""COMPUTED_VALUE"""),"MF")</f>
        <v>MF</v>
      </c>
      <c r="O169" s="141">
        <v>1.075698800435921</v>
      </c>
      <c r="P169" s="136" t="str">
        <f>IFERROR(__xludf.DUMMYFUNCTION("""COMPUTED_VALUE"""),"")</f>
        <v/>
      </c>
      <c r="Q169" s="136" t="str">
        <f>IFERROR(__xludf.DUMMYFUNCTION("""COMPUTED_VALUE"""),"")</f>
        <v/>
      </c>
      <c r="R169" s="106" t="str">
        <f>IFERROR(__xludf.DUMMYFUNCTION("""COMPUTED_VALUE"""),"")</f>
        <v/>
      </c>
      <c r="S169" s="106" t="str">
        <f>IFERROR(__xludf.DUMMYFUNCTION("""COMPUTED_VALUE"""),"")</f>
        <v/>
      </c>
      <c r="T169" s="139" t="str">
        <f>IFERROR(__xludf.DUMMYFUNCTION("""COMPUTED_VALUE"""),"")</f>
        <v/>
      </c>
      <c r="U169" s="139" t="str">
        <f>IFERROR(__xludf.DUMMYFUNCTION("""COMPUTED_VALUE"""),"")</f>
        <v/>
      </c>
      <c r="V169" s="136" t="str">
        <f>IFERROR(__xludf.DUMMYFUNCTION("""COMPUTED_VALUE"""),"")</f>
        <v/>
      </c>
      <c r="W169" s="106" t="str">
        <f>IFERROR(__xludf.DUMMYFUNCTION("""COMPUTED_VALUE"""),"")</f>
        <v/>
      </c>
      <c r="X169" s="143" t="str">
        <f t="shared" si="2"/>
        <v/>
      </c>
      <c r="Y169" s="139" t="str">
        <f>IFERROR(__xludf.DUMMYFUNCTION("""COMPUTED_VALUE"""),"")</f>
        <v/>
      </c>
      <c r="Z169" s="141" t="str">
        <f>IFERROR(__xludf.DUMMYFUNCTION("""COMPUTED_VALUE"""),"")</f>
        <v/>
      </c>
    </row>
    <row r="170">
      <c r="A170" s="136" t="str">
        <f>IFERROR(__xludf.DUMMYFUNCTION("""COMPUTED_VALUE"""),"LOG-3587055D")</f>
        <v>LOG-3587055D</v>
      </c>
      <c r="B170" s="151">
        <f>IFERROR(__xludf.DUMMYFUNCTION("""COMPUTED_VALUE"""),46093.78472222222)</f>
        <v>46093.78472</v>
      </c>
      <c r="C170" s="136" t="str">
        <f>IFERROR(__xludf.DUMMYFUNCTION("""COMPUTED_VALUE"""),"Leah Bucci")</f>
        <v>Leah Bucci</v>
      </c>
      <c r="D170" s="136" t="b">
        <f t="shared" si="3"/>
        <v>0</v>
      </c>
      <c r="E170" s="152">
        <f>IFERROR(__xludf.DUMMYFUNCTION("""COMPUTED_VALUE"""),0.6875)</f>
        <v>0.6875</v>
      </c>
      <c r="F170" s="106">
        <v>0.09722222222222221</v>
      </c>
      <c r="G170" s="152">
        <f>IFERROR(__xludf.DUMMYFUNCTION("""COMPUTED_VALUE"""),0.7847222222222222)</f>
        <v>0.7847222222</v>
      </c>
      <c r="H170" s="106">
        <v>0.1597222222222222</v>
      </c>
      <c r="I170" s="136">
        <f>IFERROR(__xludf.DUMMYFUNCTION("""COMPUTED_VALUE"""),215.0)</f>
        <v>215</v>
      </c>
      <c r="J170" s="139">
        <v>105.3913043478261</v>
      </c>
      <c r="K170" s="136" t="s">
        <v>18</v>
      </c>
      <c r="L170" s="153">
        <f>IFERROR(__xludf.DUMMYFUNCTION("""COMPUTED_VALUE"""),46093.0)</f>
        <v>46093</v>
      </c>
      <c r="M170" s="136" t="str">
        <f t="shared" si="1"/>
        <v>Thursday</v>
      </c>
      <c r="N170" s="136" t="str">
        <f>IFERROR(__xludf.DUMMYFUNCTION("""COMPUTED_VALUE"""),"BF")</f>
        <v>BF</v>
      </c>
      <c r="O170" s="141">
        <v>2.3719782052362492</v>
      </c>
      <c r="P170" s="136" t="str">
        <f>IFERROR(__xludf.DUMMYFUNCTION("""COMPUTED_VALUE"""),"")</f>
        <v/>
      </c>
      <c r="Q170" s="136" t="str">
        <f>IFERROR(__xludf.DUMMYFUNCTION("""COMPUTED_VALUE"""),"")</f>
        <v/>
      </c>
      <c r="R170" s="106" t="str">
        <f>IFERROR(__xludf.DUMMYFUNCTION("""COMPUTED_VALUE"""),"")</f>
        <v/>
      </c>
      <c r="S170" s="106" t="str">
        <f>IFERROR(__xludf.DUMMYFUNCTION("""COMPUTED_VALUE"""),"")</f>
        <v/>
      </c>
      <c r="T170" s="139" t="str">
        <f>IFERROR(__xludf.DUMMYFUNCTION("""COMPUTED_VALUE"""),"")</f>
        <v/>
      </c>
      <c r="U170" s="139" t="str">
        <f>IFERROR(__xludf.DUMMYFUNCTION("""COMPUTED_VALUE"""),"")</f>
        <v/>
      </c>
      <c r="V170" s="136" t="str">
        <f>IFERROR(__xludf.DUMMYFUNCTION("""COMPUTED_VALUE"""),"")</f>
        <v/>
      </c>
      <c r="W170" s="106" t="str">
        <f>IFERROR(__xludf.DUMMYFUNCTION("""COMPUTED_VALUE"""),"")</f>
        <v/>
      </c>
      <c r="X170" s="143" t="str">
        <f t="shared" si="2"/>
        <v/>
      </c>
      <c r="Y170" s="139" t="str">
        <f>IFERROR(__xludf.DUMMYFUNCTION("""COMPUTED_VALUE"""),"")</f>
        <v/>
      </c>
      <c r="Z170" s="141" t="str">
        <f>IFERROR(__xludf.DUMMYFUNCTION("""COMPUTED_VALUE"""),"")</f>
        <v/>
      </c>
    </row>
    <row r="171">
      <c r="A171" s="136" t="str">
        <f>IFERROR(__xludf.DUMMYFUNCTION("""COMPUTED_VALUE"""),"LOG-6442F974")</f>
        <v>LOG-6442F974</v>
      </c>
      <c r="B171" s="151">
        <f>IFERROR(__xludf.DUMMYFUNCTION("""COMPUTED_VALUE"""),46093.850694444445)</f>
        <v>46093.85069</v>
      </c>
      <c r="C171" s="136" t="str">
        <f>IFERROR(__xludf.DUMMYFUNCTION("""COMPUTED_VALUE"""),"Leah Bucci")</f>
        <v>Leah Bucci</v>
      </c>
      <c r="D171" s="136" t="b">
        <f t="shared" si="3"/>
        <v>1</v>
      </c>
      <c r="E171" s="152">
        <f>IFERROR(__xludf.DUMMYFUNCTION("""COMPUTED_VALUE"""),0.7881944444444444)</f>
        <v>0.7881944444</v>
      </c>
      <c r="F171" s="106">
        <v>0.0625</v>
      </c>
      <c r="G171" s="152">
        <f>IFERROR(__xludf.DUMMYFUNCTION("""COMPUTED_VALUE"""),0.8506944444444444)</f>
        <v>0.8506944444</v>
      </c>
      <c r="H171" s="106" t="s">
        <v>133</v>
      </c>
      <c r="I171" s="136">
        <f>IFERROR(__xludf.DUMMYFUNCTION("""COMPUTED_VALUE"""),189.0)</f>
        <v>189</v>
      </c>
      <c r="J171" s="139" t="s">
        <v>133</v>
      </c>
      <c r="K171" s="136" t="s">
        <v>18</v>
      </c>
      <c r="L171" s="153">
        <f>IFERROR(__xludf.DUMMYFUNCTION("""COMPUTED_VALUE"""),46093.0)</f>
        <v>46093</v>
      </c>
      <c r="M171" s="136" t="str">
        <f t="shared" si="1"/>
        <v>Thursday</v>
      </c>
      <c r="N171" s="136" t="str">
        <f>IFERROR(__xludf.DUMMYFUNCTION("""COMPUTED_VALUE"""),"BF")</f>
        <v>BF</v>
      </c>
      <c r="O171" s="141" t="s">
        <v>133</v>
      </c>
      <c r="P171" s="136">
        <f>IFERROR(__xludf.DUMMYFUNCTION("""COMPUTED_VALUE"""),154.0)</f>
        <v>154</v>
      </c>
      <c r="Q171" s="136">
        <f>IFERROR(__xludf.DUMMYFUNCTION("""COMPUTED_VALUE"""),710.0)</f>
        <v>710</v>
      </c>
      <c r="R171" s="106">
        <f>IFERROR(__xludf.DUMMYFUNCTION("""COMPUTED_VALUE"""),0.12499999999999994)</f>
        <v>0.125</v>
      </c>
      <c r="S171" s="106">
        <f>IFERROR(__xludf.DUMMYFUNCTION("""COMPUTED_VALUE"""),0.47152777777777766)</f>
        <v>0.4715277778</v>
      </c>
      <c r="T171" s="139">
        <f>IFERROR(__xludf.DUMMYFUNCTION("""COMPUTED_VALUE"""),51.31428571428573)</f>
        <v>51.31428571</v>
      </c>
      <c r="U171" s="139">
        <f>IFERROR(__xludf.DUMMYFUNCTION("""COMPUTED_VALUE"""),53.58188648964109)</f>
        <v>53.58188649</v>
      </c>
      <c r="V171" s="136">
        <f>IFERROR(__xludf.DUMMYFUNCTION("""COMPUTED_VALUE"""),864.0)</f>
        <v>864</v>
      </c>
      <c r="W171" s="106">
        <f>IFERROR(__xludf.DUMMYFUNCTION("""COMPUTED_VALUE"""),0.5965277777777775)</f>
        <v>0.5965277778</v>
      </c>
      <c r="X171" s="143">
        <f t="shared" si="2"/>
        <v>60.34924331</v>
      </c>
      <c r="Y171" s="139">
        <f>IFERROR(__xludf.DUMMYFUNCTION("""COMPUTED_VALUE"""),52.82601956452263)</f>
        <v>52.82601956</v>
      </c>
      <c r="Z171" s="141">
        <f>IFERROR(__xludf.DUMMYFUNCTION("""COMPUTED_VALUE"""),0.7232317048813712)</f>
        <v>0.7232317049</v>
      </c>
    </row>
    <row r="172">
      <c r="A172" s="136" t="str">
        <f>IFERROR(__xludf.DUMMYFUNCTION("""COMPUTED_VALUE"""),"LOG-6EB20669")</f>
        <v>LOG-6EB20669</v>
      </c>
      <c r="B172" s="151">
        <f>IFERROR(__xludf.DUMMYFUNCTION("""COMPUTED_VALUE"""),46094.37708333333)</f>
        <v>46094.37708</v>
      </c>
      <c r="C172" s="136" t="str">
        <f>IFERROR(__xludf.DUMMYFUNCTION("""COMPUTED_VALUE"""),"Alexis Sylvestre")</f>
        <v>Alexis Sylvestre</v>
      </c>
      <c r="D172" s="136" t="b">
        <f t="shared" si="3"/>
        <v>0</v>
      </c>
      <c r="E172" s="152">
        <f>IFERROR(__xludf.DUMMYFUNCTION("""COMPUTED_VALUE"""),0.3402777777777778)</f>
        <v>0.3402777778</v>
      </c>
      <c r="F172" s="106">
        <v>0.036805555555555536</v>
      </c>
      <c r="G172" s="152">
        <f>IFERROR(__xludf.DUMMYFUNCTION("""COMPUTED_VALUE"""),0.3770833333333333)</f>
        <v>0.3770833333</v>
      </c>
      <c r="H172" s="106">
        <v>0.036805555555555536</v>
      </c>
      <c r="I172" s="136">
        <f>IFERROR(__xludf.DUMMYFUNCTION("""COMPUTED_VALUE"""),14.0)</f>
        <v>14</v>
      </c>
      <c r="J172" s="139">
        <v>15.849056603773594</v>
      </c>
      <c r="K172" s="136" t="s">
        <v>12</v>
      </c>
      <c r="L172" s="153">
        <f>IFERROR(__xludf.DUMMYFUNCTION("""COMPUTED_VALUE"""),46094.0)</f>
        <v>46094</v>
      </c>
      <c r="M172" s="136" t="str">
        <f t="shared" si="1"/>
        <v>Friday</v>
      </c>
      <c r="N172" s="136" t="str">
        <f>IFERROR(__xludf.DUMMYFUNCTION("""COMPUTED_VALUE"""),"BF")</f>
        <v>BF</v>
      </c>
      <c r="O172" s="141">
        <v>0.5590368110471222</v>
      </c>
      <c r="P172" s="136" t="str">
        <f>IFERROR(__xludf.DUMMYFUNCTION("""COMPUTED_VALUE"""),"")</f>
        <v/>
      </c>
      <c r="Q172" s="136" t="str">
        <f>IFERROR(__xludf.DUMMYFUNCTION("""COMPUTED_VALUE"""),"")</f>
        <v/>
      </c>
      <c r="R172" s="106" t="str">
        <f>IFERROR(__xludf.DUMMYFUNCTION("""COMPUTED_VALUE"""),"")</f>
        <v/>
      </c>
      <c r="S172" s="106" t="str">
        <f>IFERROR(__xludf.DUMMYFUNCTION("""COMPUTED_VALUE"""),"")</f>
        <v/>
      </c>
      <c r="T172" s="139" t="str">
        <f>IFERROR(__xludf.DUMMYFUNCTION("""COMPUTED_VALUE"""),"")</f>
        <v/>
      </c>
      <c r="U172" s="139" t="str">
        <f>IFERROR(__xludf.DUMMYFUNCTION("""COMPUTED_VALUE"""),"")</f>
        <v/>
      </c>
      <c r="V172" s="136" t="str">
        <f>IFERROR(__xludf.DUMMYFUNCTION("""COMPUTED_VALUE"""),"")</f>
        <v/>
      </c>
      <c r="W172" s="106" t="str">
        <f>IFERROR(__xludf.DUMMYFUNCTION("""COMPUTED_VALUE"""),"")</f>
        <v/>
      </c>
      <c r="X172" s="143" t="str">
        <f t="shared" si="2"/>
        <v/>
      </c>
      <c r="Y172" s="139" t="str">
        <f>IFERROR(__xludf.DUMMYFUNCTION("""COMPUTED_VALUE"""),"")</f>
        <v/>
      </c>
      <c r="Z172" s="141" t="str">
        <f>IFERROR(__xludf.DUMMYFUNCTION("""COMPUTED_VALUE"""),"")</f>
        <v/>
      </c>
    </row>
    <row r="173">
      <c r="A173" s="136" t="str">
        <f>IFERROR(__xludf.DUMMYFUNCTION("""COMPUTED_VALUE"""),"LOG-48811F1E")</f>
        <v>LOG-48811F1E</v>
      </c>
      <c r="B173" s="151">
        <f>IFERROR(__xludf.DUMMYFUNCTION("""COMPUTED_VALUE"""),46094.43263888889)</f>
        <v>46094.43264</v>
      </c>
      <c r="C173" s="136" t="str">
        <f>IFERROR(__xludf.DUMMYFUNCTION("""COMPUTED_VALUE"""),"Kaylie Forgue")</f>
        <v>Kaylie Forgue</v>
      </c>
      <c r="D173" s="136" t="b">
        <f t="shared" si="3"/>
        <v>0</v>
      </c>
      <c r="E173" s="152">
        <f>IFERROR(__xludf.DUMMYFUNCTION("""COMPUTED_VALUE"""),0.3701388888888889)</f>
        <v>0.3701388889</v>
      </c>
      <c r="F173" s="106">
        <v>0.0625</v>
      </c>
      <c r="G173" s="152">
        <f>IFERROR(__xludf.DUMMYFUNCTION("""COMPUTED_VALUE"""),0.4326388888888889)</f>
        <v>0.4326388889</v>
      </c>
      <c r="H173" s="106">
        <v>0.0625</v>
      </c>
      <c r="I173" s="136">
        <f>IFERROR(__xludf.DUMMYFUNCTION("""COMPUTED_VALUE"""),58.0)</f>
        <v>58</v>
      </c>
      <c r="J173" s="139">
        <v>38.666666666666664</v>
      </c>
      <c r="K173" s="136" t="s">
        <v>12</v>
      </c>
      <c r="L173" s="153">
        <f>IFERROR(__xludf.DUMMYFUNCTION("""COMPUTED_VALUE"""),46094.0)</f>
        <v>46094</v>
      </c>
      <c r="M173" s="136" t="str">
        <f t="shared" si="1"/>
        <v>Friday</v>
      </c>
      <c r="N173" s="136" t="str">
        <f>IFERROR(__xludf.DUMMYFUNCTION("""COMPUTED_VALUE"""),"BF")</f>
        <v>BF</v>
      </c>
      <c r="O173" s="141">
        <v>1.3638723469514704</v>
      </c>
      <c r="P173" s="136" t="str">
        <f>IFERROR(__xludf.DUMMYFUNCTION("""COMPUTED_VALUE"""),"")</f>
        <v/>
      </c>
      <c r="Q173" s="136" t="str">
        <f>IFERROR(__xludf.DUMMYFUNCTION("""COMPUTED_VALUE"""),"")</f>
        <v/>
      </c>
      <c r="R173" s="106" t="str">
        <f>IFERROR(__xludf.DUMMYFUNCTION("""COMPUTED_VALUE"""),"")</f>
        <v/>
      </c>
      <c r="S173" s="106" t="str">
        <f>IFERROR(__xludf.DUMMYFUNCTION("""COMPUTED_VALUE"""),"")</f>
        <v/>
      </c>
      <c r="T173" s="139" t="str">
        <f>IFERROR(__xludf.DUMMYFUNCTION("""COMPUTED_VALUE"""),"")</f>
        <v/>
      </c>
      <c r="U173" s="139" t="str">
        <f>IFERROR(__xludf.DUMMYFUNCTION("""COMPUTED_VALUE"""),"")</f>
        <v/>
      </c>
      <c r="V173" s="136" t="str">
        <f>IFERROR(__xludf.DUMMYFUNCTION("""COMPUTED_VALUE"""),"")</f>
        <v/>
      </c>
      <c r="W173" s="106" t="str">
        <f>IFERROR(__xludf.DUMMYFUNCTION("""COMPUTED_VALUE"""),"")</f>
        <v/>
      </c>
      <c r="X173" s="143" t="str">
        <f t="shared" si="2"/>
        <v/>
      </c>
      <c r="Y173" s="139" t="str">
        <f>IFERROR(__xludf.DUMMYFUNCTION("""COMPUTED_VALUE"""),"")</f>
        <v/>
      </c>
      <c r="Z173" s="141" t="str">
        <f>IFERROR(__xludf.DUMMYFUNCTION("""COMPUTED_VALUE"""),"")</f>
        <v/>
      </c>
    </row>
    <row r="174">
      <c r="A174" s="136" t="str">
        <f>IFERROR(__xludf.DUMMYFUNCTION("""COMPUTED_VALUE"""),"LOG-799F30ED")</f>
        <v>LOG-799F30ED</v>
      </c>
      <c r="B174" s="151">
        <f>IFERROR(__xludf.DUMMYFUNCTION("""COMPUTED_VALUE"""),46094.75)</f>
        <v>46094.75</v>
      </c>
      <c r="C174" s="136" t="str">
        <f>IFERROR(__xludf.DUMMYFUNCTION("""COMPUTED_VALUE"""),"Leah Bucci")</f>
        <v>Leah Bucci</v>
      </c>
      <c r="D174" s="136" t="b">
        <f t="shared" si="3"/>
        <v>0</v>
      </c>
      <c r="E174" s="152">
        <f>IFERROR(__xludf.DUMMYFUNCTION("""COMPUTED_VALUE"""),0.6666666666666666)</f>
        <v>0.6666666667</v>
      </c>
      <c r="F174" s="106">
        <v>0.08333333333333337</v>
      </c>
      <c r="G174" s="152">
        <f>IFERROR(__xludf.DUMMYFUNCTION("""COMPUTED_VALUE"""),0.75)</f>
        <v>0.75</v>
      </c>
      <c r="H174" s="106">
        <v>0.08333333333333337</v>
      </c>
      <c r="I174" s="136">
        <f>IFERROR(__xludf.DUMMYFUNCTION("""COMPUTED_VALUE"""),63.0)</f>
        <v>63</v>
      </c>
      <c r="J174" s="139">
        <v>31.499999999999986</v>
      </c>
      <c r="K174" s="136" t="s">
        <v>18</v>
      </c>
      <c r="L174" s="153">
        <f>IFERROR(__xludf.DUMMYFUNCTION("""COMPUTED_VALUE"""),46094.0)</f>
        <v>46094</v>
      </c>
      <c r="M174" s="136" t="str">
        <f t="shared" si="1"/>
        <v>Friday</v>
      </c>
      <c r="N174" s="136" t="str">
        <f>IFERROR(__xludf.DUMMYFUNCTION("""COMPUTED_VALUE"""),"MF")</f>
        <v>MF</v>
      </c>
      <c r="O174" s="141">
        <v>0.658865515267001</v>
      </c>
      <c r="P174" s="136">
        <f>IFERROR(__xludf.DUMMYFUNCTION("""COMPUTED_VALUE"""),63.0)</f>
        <v>63</v>
      </c>
      <c r="Q174" s="136">
        <f>IFERROR(__xludf.DUMMYFUNCTION("""COMPUTED_VALUE"""),72.0)</f>
        <v>72</v>
      </c>
      <c r="R174" s="106">
        <f>IFERROR(__xludf.DUMMYFUNCTION("""COMPUTED_VALUE"""),0.08333333333333337)</f>
        <v>0.08333333333</v>
      </c>
      <c r="S174" s="106">
        <f>IFERROR(__xludf.DUMMYFUNCTION("""COMPUTED_VALUE"""),0.09930555555555554)</f>
        <v>0.09930555556</v>
      </c>
      <c r="T174" s="139">
        <f>IFERROR(__xludf.DUMMYFUNCTION("""COMPUTED_VALUE"""),31.499999999999986)</f>
        <v>31.5</v>
      </c>
      <c r="U174" s="139">
        <f>IFERROR(__xludf.DUMMYFUNCTION("""COMPUTED_VALUE"""),27.25786163522013)</f>
        <v>27.25786164</v>
      </c>
      <c r="V174" s="136">
        <f>IFERROR(__xludf.DUMMYFUNCTION("""COMPUTED_VALUE"""),135.0)</f>
        <v>135</v>
      </c>
      <c r="W174" s="106">
        <f>IFERROR(__xludf.DUMMYFUNCTION("""COMPUTED_VALUE"""),0.1826388888888889)</f>
        <v>0.1826388889</v>
      </c>
      <c r="X174" s="143">
        <f t="shared" si="2"/>
        <v>30.79847909</v>
      </c>
      <c r="Y174" s="139">
        <f>IFERROR(__xludf.DUMMYFUNCTION("""COMPUTED_VALUE"""),28.671907756813415)</f>
        <v>28.67190776</v>
      </c>
      <c r="Z174" s="141">
        <f>IFERROR(__xludf.DUMMYFUNCTION("""COMPUTED_VALUE"""),0.7411173657647145)</f>
        <v>0.7411173658</v>
      </c>
    </row>
    <row r="175">
      <c r="A175" s="136"/>
      <c r="B175" s="136"/>
      <c r="C175" s="136" t="str">
        <f>IFERROR(__xludf.DUMMYFUNCTION("""COMPUTED_VALUE"""),"")</f>
        <v/>
      </c>
      <c r="D175" s="136" t="str">
        <f t="shared" si="3"/>
        <v/>
      </c>
      <c r="E175" s="152" t="str">
        <f>IFERROR(__xludf.DUMMYFUNCTION("""COMPUTED_VALUE"""),"")</f>
        <v/>
      </c>
      <c r="F175" s="106" t="s">
        <v>133</v>
      </c>
      <c r="G175" s="152" t="str">
        <f>IFERROR(__xludf.DUMMYFUNCTION("""COMPUTED_VALUE"""),"")</f>
        <v/>
      </c>
      <c r="H175" s="106" t="s">
        <v>133</v>
      </c>
      <c r="I175" s="136"/>
      <c r="J175" s="139" t="s">
        <v>133</v>
      </c>
      <c r="K175" s="136" t="s">
        <v>133</v>
      </c>
      <c r="L175" s="153" t="str">
        <f>IFERROR(__xludf.DUMMYFUNCTION("""COMPUTED_VALUE"""),"")</f>
        <v/>
      </c>
      <c r="M175" s="136" t="str">
        <f t="shared" si="1"/>
        <v/>
      </c>
      <c r="N175" s="136" t="str">
        <f>IFERROR(__xludf.DUMMYFUNCTION("""COMPUTED_VALUE"""),"")</f>
        <v/>
      </c>
      <c r="O175" s="141" t="s">
        <v>133</v>
      </c>
      <c r="P175" s="136" t="str">
        <f>IFERROR(__xludf.DUMMYFUNCTION("""COMPUTED_VALUE"""),"")</f>
        <v/>
      </c>
      <c r="Q175" s="136" t="str">
        <f>IFERROR(__xludf.DUMMYFUNCTION("""COMPUTED_VALUE"""),"")</f>
        <v/>
      </c>
      <c r="R175" s="106" t="str">
        <f>IFERROR(__xludf.DUMMYFUNCTION("""COMPUTED_VALUE"""),"")</f>
        <v/>
      </c>
      <c r="S175" s="106" t="str">
        <f>IFERROR(__xludf.DUMMYFUNCTION("""COMPUTED_VALUE"""),"")</f>
        <v/>
      </c>
      <c r="T175" s="139" t="str">
        <f>IFERROR(__xludf.DUMMYFUNCTION("""COMPUTED_VALUE"""),"")</f>
        <v/>
      </c>
      <c r="U175" s="139" t="str">
        <f>IFERROR(__xludf.DUMMYFUNCTION("""COMPUTED_VALUE"""),"")</f>
        <v/>
      </c>
      <c r="V175" s="136" t="str">
        <f>IFERROR(__xludf.DUMMYFUNCTION("""COMPUTED_VALUE"""),"")</f>
        <v/>
      </c>
      <c r="W175" s="106" t="str">
        <f>IFERROR(__xludf.DUMMYFUNCTION("""COMPUTED_VALUE"""),"")</f>
        <v/>
      </c>
      <c r="X175" s="143" t="str">
        <f t="shared" si="2"/>
        <v/>
      </c>
      <c r="Y175" s="139" t="str">
        <f>IFERROR(__xludf.DUMMYFUNCTION("""COMPUTED_VALUE"""),"")</f>
        <v/>
      </c>
      <c r="Z175" s="141" t="str">
        <f>IFERROR(__xludf.DUMMYFUNCTION("""COMPUTED_VALUE"""),"")</f>
        <v/>
      </c>
    </row>
    <row r="176">
      <c r="A176" s="136"/>
      <c r="B176" s="136"/>
      <c r="C176" s="136" t="str">
        <f>IFERROR(__xludf.DUMMYFUNCTION("""COMPUTED_VALUE"""),"")</f>
        <v/>
      </c>
      <c r="D176" s="136" t="str">
        <f t="shared" si="3"/>
        <v/>
      </c>
      <c r="E176" s="152" t="str">
        <f>IFERROR(__xludf.DUMMYFUNCTION("""COMPUTED_VALUE"""),"")</f>
        <v/>
      </c>
      <c r="F176" s="106" t="s">
        <v>133</v>
      </c>
      <c r="G176" s="152" t="str">
        <f>IFERROR(__xludf.DUMMYFUNCTION("""COMPUTED_VALUE"""),"")</f>
        <v/>
      </c>
      <c r="H176" s="106" t="s">
        <v>133</v>
      </c>
      <c r="I176" s="136"/>
      <c r="J176" s="139" t="s">
        <v>133</v>
      </c>
      <c r="K176" s="136" t="s">
        <v>133</v>
      </c>
      <c r="L176" s="153" t="str">
        <f>IFERROR(__xludf.DUMMYFUNCTION("""COMPUTED_VALUE"""),"")</f>
        <v/>
      </c>
      <c r="M176" s="136" t="str">
        <f t="shared" si="1"/>
        <v/>
      </c>
      <c r="N176" s="136" t="str">
        <f>IFERROR(__xludf.DUMMYFUNCTION("""COMPUTED_VALUE"""),"")</f>
        <v/>
      </c>
      <c r="O176" s="141" t="s">
        <v>133</v>
      </c>
      <c r="P176" s="136" t="str">
        <f>IFERROR(__xludf.DUMMYFUNCTION("""COMPUTED_VALUE"""),"")</f>
        <v/>
      </c>
      <c r="Q176" s="136" t="str">
        <f>IFERROR(__xludf.DUMMYFUNCTION("""COMPUTED_VALUE"""),"")</f>
        <v/>
      </c>
      <c r="R176" s="106" t="str">
        <f>IFERROR(__xludf.DUMMYFUNCTION("""COMPUTED_VALUE"""),"")</f>
        <v/>
      </c>
      <c r="S176" s="106" t="str">
        <f>IFERROR(__xludf.DUMMYFUNCTION("""COMPUTED_VALUE"""),"")</f>
        <v/>
      </c>
      <c r="T176" s="139" t="str">
        <f>IFERROR(__xludf.DUMMYFUNCTION("""COMPUTED_VALUE"""),"")</f>
        <v/>
      </c>
      <c r="U176" s="139" t="str">
        <f>IFERROR(__xludf.DUMMYFUNCTION("""COMPUTED_VALUE"""),"")</f>
        <v/>
      </c>
      <c r="V176" s="136" t="str">
        <f>IFERROR(__xludf.DUMMYFUNCTION("""COMPUTED_VALUE"""),"")</f>
        <v/>
      </c>
      <c r="W176" s="106" t="str">
        <f>IFERROR(__xludf.DUMMYFUNCTION("""COMPUTED_VALUE"""),"")</f>
        <v/>
      </c>
      <c r="X176" s="143" t="str">
        <f t="shared" si="2"/>
        <v/>
      </c>
      <c r="Y176" s="139" t="str">
        <f>IFERROR(__xludf.DUMMYFUNCTION("""COMPUTED_VALUE"""),"")</f>
        <v/>
      </c>
      <c r="Z176" s="141" t="str">
        <f>IFERROR(__xludf.DUMMYFUNCTION("""COMPUTED_VALUE"""),"")</f>
        <v/>
      </c>
    </row>
    <row r="177">
      <c r="A177" s="136"/>
      <c r="B177" s="136"/>
      <c r="C177" s="136" t="str">
        <f>IFERROR(__xludf.DUMMYFUNCTION("""COMPUTED_VALUE"""),"")</f>
        <v/>
      </c>
      <c r="D177" s="136" t="str">
        <f t="shared" si="3"/>
        <v/>
      </c>
      <c r="E177" s="152" t="str">
        <f>IFERROR(__xludf.DUMMYFUNCTION("""COMPUTED_VALUE"""),"")</f>
        <v/>
      </c>
      <c r="F177" s="106" t="s">
        <v>133</v>
      </c>
      <c r="G177" s="152" t="str">
        <f>IFERROR(__xludf.DUMMYFUNCTION("""COMPUTED_VALUE"""),"")</f>
        <v/>
      </c>
      <c r="H177" s="136" t="s">
        <v>133</v>
      </c>
      <c r="I177" s="136"/>
      <c r="J177" s="139" t="s">
        <v>133</v>
      </c>
      <c r="K177" s="136" t="s">
        <v>133</v>
      </c>
      <c r="L177" s="153" t="str">
        <f>IFERROR(__xludf.DUMMYFUNCTION("""COMPUTED_VALUE"""),"")</f>
        <v/>
      </c>
      <c r="M177" s="136" t="str">
        <f t="shared" si="1"/>
        <v/>
      </c>
      <c r="N177" s="136" t="str">
        <f>IFERROR(__xludf.DUMMYFUNCTION("""COMPUTED_VALUE"""),"")</f>
        <v/>
      </c>
      <c r="O177" s="141" t="s">
        <v>133</v>
      </c>
      <c r="P177" s="136" t="str">
        <f>IFERROR(__xludf.DUMMYFUNCTION("""COMPUTED_VALUE"""),"")</f>
        <v/>
      </c>
      <c r="Q177" s="136" t="str">
        <f>IFERROR(__xludf.DUMMYFUNCTION("""COMPUTED_VALUE"""),"")</f>
        <v/>
      </c>
      <c r="R177" s="106" t="str">
        <f>IFERROR(__xludf.DUMMYFUNCTION("""COMPUTED_VALUE"""),"")</f>
        <v/>
      </c>
      <c r="S177" s="106" t="str">
        <f>IFERROR(__xludf.DUMMYFUNCTION("""COMPUTED_VALUE"""),"")</f>
        <v/>
      </c>
      <c r="T177" s="139" t="str">
        <f>IFERROR(__xludf.DUMMYFUNCTION("""COMPUTED_VALUE"""),"")</f>
        <v/>
      </c>
      <c r="U177" s="139" t="str">
        <f>IFERROR(__xludf.DUMMYFUNCTION("""COMPUTED_VALUE"""),"")</f>
        <v/>
      </c>
      <c r="V177" s="136" t="str">
        <f>IFERROR(__xludf.DUMMYFUNCTION("""COMPUTED_VALUE"""),"")</f>
        <v/>
      </c>
      <c r="W177" s="106" t="str">
        <f>IFERROR(__xludf.DUMMYFUNCTION("""COMPUTED_VALUE"""),"")</f>
        <v/>
      </c>
      <c r="X177" s="143" t="str">
        <f t="shared" si="2"/>
        <v/>
      </c>
      <c r="Y177" s="139" t="str">
        <f>IFERROR(__xludf.DUMMYFUNCTION("""COMPUTED_VALUE"""),"")</f>
        <v/>
      </c>
      <c r="Z177" s="141" t="str">
        <f>IFERROR(__xludf.DUMMYFUNCTION("""COMPUTED_VALUE"""),"")</f>
        <v/>
      </c>
    </row>
    <row r="178">
      <c r="A178" s="136"/>
      <c r="B178" s="136"/>
      <c r="C178" s="136" t="str">
        <f>IFERROR(__xludf.DUMMYFUNCTION("""COMPUTED_VALUE"""),"")</f>
        <v/>
      </c>
      <c r="D178" s="136" t="str">
        <f t="shared" si="3"/>
        <v/>
      </c>
      <c r="E178" s="152" t="str">
        <f>IFERROR(__xludf.DUMMYFUNCTION("""COMPUTED_VALUE"""),"")</f>
        <v/>
      </c>
      <c r="F178" s="106" t="s">
        <v>133</v>
      </c>
      <c r="G178" s="152" t="str">
        <f>IFERROR(__xludf.DUMMYFUNCTION("""COMPUTED_VALUE"""),"")</f>
        <v/>
      </c>
      <c r="H178" s="106" t="s">
        <v>133</v>
      </c>
      <c r="I178" s="136"/>
      <c r="J178" s="139" t="s">
        <v>133</v>
      </c>
      <c r="K178" s="136" t="s">
        <v>133</v>
      </c>
      <c r="L178" s="153" t="str">
        <f>IFERROR(__xludf.DUMMYFUNCTION("""COMPUTED_VALUE"""),"")</f>
        <v/>
      </c>
      <c r="M178" s="136" t="str">
        <f t="shared" si="1"/>
        <v/>
      </c>
      <c r="N178" s="136" t="str">
        <f>IFERROR(__xludf.DUMMYFUNCTION("""COMPUTED_VALUE"""),"")</f>
        <v/>
      </c>
      <c r="O178" s="141" t="s">
        <v>133</v>
      </c>
      <c r="P178" s="136" t="str">
        <f>IFERROR(__xludf.DUMMYFUNCTION("""COMPUTED_VALUE"""),"")</f>
        <v/>
      </c>
      <c r="Q178" s="136" t="str">
        <f>IFERROR(__xludf.DUMMYFUNCTION("""COMPUTED_VALUE"""),"")</f>
        <v/>
      </c>
      <c r="R178" s="106" t="str">
        <f>IFERROR(__xludf.DUMMYFUNCTION("""COMPUTED_VALUE"""),"")</f>
        <v/>
      </c>
      <c r="S178" s="106" t="str">
        <f>IFERROR(__xludf.DUMMYFUNCTION("""COMPUTED_VALUE"""),"")</f>
        <v/>
      </c>
      <c r="T178" s="139" t="str">
        <f>IFERROR(__xludf.DUMMYFUNCTION("""COMPUTED_VALUE"""),"")</f>
        <v/>
      </c>
      <c r="U178" s="139" t="str">
        <f>IFERROR(__xludf.DUMMYFUNCTION("""COMPUTED_VALUE"""),"")</f>
        <v/>
      </c>
      <c r="V178" s="136" t="str">
        <f>IFERROR(__xludf.DUMMYFUNCTION("""COMPUTED_VALUE"""),"")</f>
        <v/>
      </c>
      <c r="W178" s="106" t="str">
        <f>IFERROR(__xludf.DUMMYFUNCTION("""COMPUTED_VALUE"""),"")</f>
        <v/>
      </c>
      <c r="X178" s="143" t="str">
        <f t="shared" si="2"/>
        <v/>
      </c>
      <c r="Y178" s="139" t="str">
        <f>IFERROR(__xludf.DUMMYFUNCTION("""COMPUTED_VALUE"""),"")</f>
        <v/>
      </c>
      <c r="Z178" s="141" t="str">
        <f>IFERROR(__xludf.DUMMYFUNCTION("""COMPUTED_VALUE"""),"")</f>
        <v/>
      </c>
    </row>
    <row r="179">
      <c r="A179" s="136"/>
      <c r="B179" s="136"/>
      <c r="C179" s="136" t="str">
        <f>IFERROR(__xludf.DUMMYFUNCTION("""COMPUTED_VALUE"""),"")</f>
        <v/>
      </c>
      <c r="D179" s="136" t="str">
        <f t="shared" si="3"/>
        <v/>
      </c>
      <c r="E179" s="152" t="str">
        <f>IFERROR(__xludf.DUMMYFUNCTION("""COMPUTED_VALUE"""),"")</f>
        <v/>
      </c>
      <c r="F179" s="106" t="s">
        <v>133</v>
      </c>
      <c r="G179" s="152" t="str">
        <f>IFERROR(__xludf.DUMMYFUNCTION("""COMPUTED_VALUE"""),"")</f>
        <v/>
      </c>
      <c r="H179" s="106" t="s">
        <v>133</v>
      </c>
      <c r="I179" s="136"/>
      <c r="J179" s="139" t="s">
        <v>133</v>
      </c>
      <c r="K179" s="136" t="s">
        <v>133</v>
      </c>
      <c r="L179" s="153" t="str">
        <f>IFERROR(__xludf.DUMMYFUNCTION("""COMPUTED_VALUE"""),"")</f>
        <v/>
      </c>
      <c r="M179" s="136" t="str">
        <f t="shared" si="1"/>
        <v/>
      </c>
      <c r="N179" s="136" t="str">
        <f>IFERROR(__xludf.DUMMYFUNCTION("""COMPUTED_VALUE"""),"")</f>
        <v/>
      </c>
      <c r="O179" s="141" t="s">
        <v>133</v>
      </c>
      <c r="P179" s="136" t="str">
        <f>IFERROR(__xludf.DUMMYFUNCTION("""COMPUTED_VALUE"""),"")</f>
        <v/>
      </c>
      <c r="Q179" s="136" t="str">
        <f>IFERROR(__xludf.DUMMYFUNCTION("""COMPUTED_VALUE"""),"")</f>
        <v/>
      </c>
      <c r="R179" s="106" t="str">
        <f>IFERROR(__xludf.DUMMYFUNCTION("""COMPUTED_VALUE"""),"")</f>
        <v/>
      </c>
      <c r="S179" s="106" t="str">
        <f>IFERROR(__xludf.DUMMYFUNCTION("""COMPUTED_VALUE"""),"")</f>
        <v/>
      </c>
      <c r="T179" s="139" t="str">
        <f>IFERROR(__xludf.DUMMYFUNCTION("""COMPUTED_VALUE"""),"")</f>
        <v/>
      </c>
      <c r="U179" s="139" t="str">
        <f>IFERROR(__xludf.DUMMYFUNCTION("""COMPUTED_VALUE"""),"")</f>
        <v/>
      </c>
      <c r="V179" s="136" t="str">
        <f>IFERROR(__xludf.DUMMYFUNCTION("""COMPUTED_VALUE"""),"")</f>
        <v/>
      </c>
      <c r="W179" s="106" t="str">
        <f>IFERROR(__xludf.DUMMYFUNCTION("""COMPUTED_VALUE"""),"")</f>
        <v/>
      </c>
      <c r="X179" s="143" t="str">
        <f t="shared" si="2"/>
        <v/>
      </c>
      <c r="Y179" s="139" t="str">
        <f>IFERROR(__xludf.DUMMYFUNCTION("""COMPUTED_VALUE"""),"")</f>
        <v/>
      </c>
      <c r="Z179" s="141" t="str">
        <f>IFERROR(__xludf.DUMMYFUNCTION("""COMPUTED_VALUE"""),"")</f>
        <v/>
      </c>
    </row>
    <row r="180">
      <c r="A180" s="136"/>
      <c r="B180" s="136"/>
      <c r="C180" s="136" t="str">
        <f>IFERROR(__xludf.DUMMYFUNCTION("""COMPUTED_VALUE"""),"")</f>
        <v/>
      </c>
      <c r="D180" s="136" t="str">
        <f t="shared" si="3"/>
        <v/>
      </c>
      <c r="E180" s="152" t="str">
        <f>IFERROR(__xludf.DUMMYFUNCTION("""COMPUTED_VALUE"""),"")</f>
        <v/>
      </c>
      <c r="F180" s="106" t="s">
        <v>133</v>
      </c>
      <c r="G180" s="152" t="str">
        <f>IFERROR(__xludf.DUMMYFUNCTION("""COMPUTED_VALUE"""),"")</f>
        <v/>
      </c>
      <c r="H180" s="106" t="s">
        <v>133</v>
      </c>
      <c r="I180" s="136"/>
      <c r="J180" s="139" t="s">
        <v>133</v>
      </c>
      <c r="K180" s="136" t="s">
        <v>133</v>
      </c>
      <c r="L180" s="153" t="str">
        <f>IFERROR(__xludf.DUMMYFUNCTION("""COMPUTED_VALUE"""),"")</f>
        <v/>
      </c>
      <c r="M180" s="136" t="str">
        <f t="shared" si="1"/>
        <v/>
      </c>
      <c r="N180" s="136" t="str">
        <f>IFERROR(__xludf.DUMMYFUNCTION("""COMPUTED_VALUE"""),"")</f>
        <v/>
      </c>
      <c r="O180" s="141" t="s">
        <v>133</v>
      </c>
      <c r="P180" s="136" t="str">
        <f>IFERROR(__xludf.DUMMYFUNCTION("""COMPUTED_VALUE"""),"")</f>
        <v/>
      </c>
      <c r="Q180" s="136" t="str">
        <f>IFERROR(__xludf.DUMMYFUNCTION("""COMPUTED_VALUE"""),"")</f>
        <v/>
      </c>
      <c r="R180" s="106" t="str">
        <f>IFERROR(__xludf.DUMMYFUNCTION("""COMPUTED_VALUE"""),"")</f>
        <v/>
      </c>
      <c r="S180" s="106" t="str">
        <f>IFERROR(__xludf.DUMMYFUNCTION("""COMPUTED_VALUE"""),"")</f>
        <v/>
      </c>
      <c r="T180" s="139" t="str">
        <f>IFERROR(__xludf.DUMMYFUNCTION("""COMPUTED_VALUE"""),"")</f>
        <v/>
      </c>
      <c r="U180" s="139" t="str">
        <f>IFERROR(__xludf.DUMMYFUNCTION("""COMPUTED_VALUE"""),"")</f>
        <v/>
      </c>
      <c r="V180" s="136" t="str">
        <f>IFERROR(__xludf.DUMMYFUNCTION("""COMPUTED_VALUE"""),"")</f>
        <v/>
      </c>
      <c r="W180" s="106" t="str">
        <f>IFERROR(__xludf.DUMMYFUNCTION("""COMPUTED_VALUE"""),"")</f>
        <v/>
      </c>
      <c r="X180" s="143" t="str">
        <f t="shared" si="2"/>
        <v/>
      </c>
      <c r="Y180" s="139" t="str">
        <f>IFERROR(__xludf.DUMMYFUNCTION("""COMPUTED_VALUE"""),"")</f>
        <v/>
      </c>
      <c r="Z180" s="141" t="str">
        <f>IFERROR(__xludf.DUMMYFUNCTION("""COMPUTED_VALUE"""),"")</f>
        <v/>
      </c>
    </row>
    <row r="181">
      <c r="A181" s="136"/>
      <c r="B181" s="136"/>
      <c r="C181" s="136" t="str">
        <f>IFERROR(__xludf.DUMMYFUNCTION("""COMPUTED_VALUE"""),"")</f>
        <v/>
      </c>
      <c r="D181" s="136" t="str">
        <f t="shared" si="3"/>
        <v/>
      </c>
      <c r="E181" s="152" t="str">
        <f>IFERROR(__xludf.DUMMYFUNCTION("""COMPUTED_VALUE"""),"")</f>
        <v/>
      </c>
      <c r="F181" s="106" t="s">
        <v>133</v>
      </c>
      <c r="G181" s="152" t="str">
        <f>IFERROR(__xludf.DUMMYFUNCTION("""COMPUTED_VALUE"""),"")</f>
        <v/>
      </c>
      <c r="H181" s="106" t="s">
        <v>133</v>
      </c>
      <c r="I181" s="136"/>
      <c r="J181" s="139" t="s">
        <v>133</v>
      </c>
      <c r="K181" s="136" t="s">
        <v>133</v>
      </c>
      <c r="L181" s="153" t="str">
        <f>IFERROR(__xludf.DUMMYFUNCTION("""COMPUTED_VALUE"""),"")</f>
        <v/>
      </c>
      <c r="M181" s="136" t="str">
        <f t="shared" si="1"/>
        <v/>
      </c>
      <c r="N181" s="136" t="str">
        <f>IFERROR(__xludf.DUMMYFUNCTION("""COMPUTED_VALUE"""),"")</f>
        <v/>
      </c>
      <c r="O181" s="141" t="s">
        <v>133</v>
      </c>
      <c r="P181" s="136" t="str">
        <f>IFERROR(__xludf.DUMMYFUNCTION("""COMPUTED_VALUE"""),"")</f>
        <v/>
      </c>
      <c r="Q181" s="136" t="str">
        <f>IFERROR(__xludf.DUMMYFUNCTION("""COMPUTED_VALUE"""),"")</f>
        <v/>
      </c>
      <c r="R181" s="106" t="str">
        <f>IFERROR(__xludf.DUMMYFUNCTION("""COMPUTED_VALUE"""),"")</f>
        <v/>
      </c>
      <c r="S181" s="106" t="str">
        <f>IFERROR(__xludf.DUMMYFUNCTION("""COMPUTED_VALUE"""),"")</f>
        <v/>
      </c>
      <c r="T181" s="139" t="str">
        <f>IFERROR(__xludf.DUMMYFUNCTION("""COMPUTED_VALUE"""),"")</f>
        <v/>
      </c>
      <c r="U181" s="139" t="str">
        <f>IFERROR(__xludf.DUMMYFUNCTION("""COMPUTED_VALUE"""),"")</f>
        <v/>
      </c>
      <c r="V181" s="136" t="str">
        <f>IFERROR(__xludf.DUMMYFUNCTION("""COMPUTED_VALUE"""),"")</f>
        <v/>
      </c>
      <c r="W181" s="106" t="str">
        <f>IFERROR(__xludf.DUMMYFUNCTION("""COMPUTED_VALUE"""),"")</f>
        <v/>
      </c>
      <c r="X181" s="143" t="str">
        <f t="shared" si="2"/>
        <v/>
      </c>
      <c r="Y181" s="139" t="str">
        <f>IFERROR(__xludf.DUMMYFUNCTION("""COMPUTED_VALUE"""),"")</f>
        <v/>
      </c>
      <c r="Z181" s="141" t="str">
        <f>IFERROR(__xludf.DUMMYFUNCTION("""COMPUTED_VALUE"""),"")</f>
        <v/>
      </c>
    </row>
    <row r="182">
      <c r="A182" s="136"/>
      <c r="B182" s="136"/>
      <c r="C182" s="136" t="str">
        <f>IFERROR(__xludf.DUMMYFUNCTION("""COMPUTED_VALUE"""),"")</f>
        <v/>
      </c>
      <c r="D182" s="136" t="str">
        <f t="shared" si="3"/>
        <v/>
      </c>
      <c r="E182" s="152" t="str">
        <f>IFERROR(__xludf.DUMMYFUNCTION("""COMPUTED_VALUE"""),"")</f>
        <v/>
      </c>
      <c r="F182" s="106" t="s">
        <v>133</v>
      </c>
      <c r="G182" s="152" t="str">
        <f>IFERROR(__xludf.DUMMYFUNCTION("""COMPUTED_VALUE"""),"")</f>
        <v/>
      </c>
      <c r="H182" s="106" t="s">
        <v>133</v>
      </c>
      <c r="I182" s="136"/>
      <c r="J182" s="139" t="s">
        <v>133</v>
      </c>
      <c r="K182" s="136" t="s">
        <v>133</v>
      </c>
      <c r="L182" s="153" t="str">
        <f>IFERROR(__xludf.DUMMYFUNCTION("""COMPUTED_VALUE"""),"")</f>
        <v/>
      </c>
      <c r="M182" s="136" t="str">
        <f t="shared" si="1"/>
        <v/>
      </c>
      <c r="N182" s="136" t="str">
        <f>IFERROR(__xludf.DUMMYFUNCTION("""COMPUTED_VALUE"""),"")</f>
        <v/>
      </c>
      <c r="O182" s="141" t="s">
        <v>133</v>
      </c>
      <c r="P182" s="136" t="str">
        <f>IFERROR(__xludf.DUMMYFUNCTION("""COMPUTED_VALUE"""),"")</f>
        <v/>
      </c>
      <c r="Q182" s="136" t="str">
        <f>IFERROR(__xludf.DUMMYFUNCTION("""COMPUTED_VALUE"""),"")</f>
        <v/>
      </c>
      <c r="R182" s="106" t="str">
        <f>IFERROR(__xludf.DUMMYFUNCTION("""COMPUTED_VALUE"""),"")</f>
        <v/>
      </c>
      <c r="S182" s="106" t="str">
        <f>IFERROR(__xludf.DUMMYFUNCTION("""COMPUTED_VALUE"""),"")</f>
        <v/>
      </c>
      <c r="T182" s="139" t="str">
        <f>IFERROR(__xludf.DUMMYFUNCTION("""COMPUTED_VALUE"""),"")</f>
        <v/>
      </c>
      <c r="U182" s="139" t="str">
        <f>IFERROR(__xludf.DUMMYFUNCTION("""COMPUTED_VALUE"""),"")</f>
        <v/>
      </c>
      <c r="V182" s="136" t="str">
        <f>IFERROR(__xludf.DUMMYFUNCTION("""COMPUTED_VALUE"""),"")</f>
        <v/>
      </c>
      <c r="W182" s="106" t="str">
        <f>IFERROR(__xludf.DUMMYFUNCTION("""COMPUTED_VALUE"""),"")</f>
        <v/>
      </c>
      <c r="X182" s="143" t="str">
        <f t="shared" si="2"/>
        <v/>
      </c>
      <c r="Y182" s="139" t="str">
        <f>IFERROR(__xludf.DUMMYFUNCTION("""COMPUTED_VALUE"""),"")</f>
        <v/>
      </c>
      <c r="Z182" s="141" t="str">
        <f>IFERROR(__xludf.DUMMYFUNCTION("""COMPUTED_VALUE"""),"")</f>
        <v/>
      </c>
    </row>
    <row r="183">
      <c r="A183" s="136"/>
      <c r="B183" s="136"/>
      <c r="C183" s="136" t="str">
        <f>IFERROR(__xludf.DUMMYFUNCTION("""COMPUTED_VALUE"""),"")</f>
        <v/>
      </c>
      <c r="D183" s="136" t="str">
        <f t="shared" si="3"/>
        <v/>
      </c>
      <c r="E183" s="152" t="str">
        <f>IFERROR(__xludf.DUMMYFUNCTION("""COMPUTED_VALUE"""),"")</f>
        <v/>
      </c>
      <c r="F183" s="106" t="s">
        <v>133</v>
      </c>
      <c r="G183" s="152" t="str">
        <f>IFERROR(__xludf.DUMMYFUNCTION("""COMPUTED_VALUE"""),"")</f>
        <v/>
      </c>
      <c r="H183" s="106" t="s">
        <v>133</v>
      </c>
      <c r="I183" s="136"/>
      <c r="J183" s="139" t="s">
        <v>133</v>
      </c>
      <c r="K183" s="136" t="s">
        <v>133</v>
      </c>
      <c r="L183" s="153" t="str">
        <f>IFERROR(__xludf.DUMMYFUNCTION("""COMPUTED_VALUE"""),"")</f>
        <v/>
      </c>
      <c r="M183" s="136" t="str">
        <f t="shared" si="1"/>
        <v/>
      </c>
      <c r="N183" s="136" t="str">
        <f>IFERROR(__xludf.DUMMYFUNCTION("""COMPUTED_VALUE"""),"")</f>
        <v/>
      </c>
      <c r="O183" s="141" t="s">
        <v>133</v>
      </c>
      <c r="P183" s="136" t="str">
        <f>IFERROR(__xludf.DUMMYFUNCTION("""COMPUTED_VALUE"""),"")</f>
        <v/>
      </c>
      <c r="Q183" s="136" t="str">
        <f>IFERROR(__xludf.DUMMYFUNCTION("""COMPUTED_VALUE"""),"")</f>
        <v/>
      </c>
      <c r="R183" s="106" t="str">
        <f>IFERROR(__xludf.DUMMYFUNCTION("""COMPUTED_VALUE"""),"")</f>
        <v/>
      </c>
      <c r="S183" s="106" t="str">
        <f>IFERROR(__xludf.DUMMYFUNCTION("""COMPUTED_VALUE"""),"")</f>
        <v/>
      </c>
      <c r="T183" s="139" t="str">
        <f>IFERROR(__xludf.DUMMYFUNCTION("""COMPUTED_VALUE"""),"")</f>
        <v/>
      </c>
      <c r="U183" s="139" t="str">
        <f>IFERROR(__xludf.DUMMYFUNCTION("""COMPUTED_VALUE"""),"")</f>
        <v/>
      </c>
      <c r="V183" s="136" t="str">
        <f>IFERROR(__xludf.DUMMYFUNCTION("""COMPUTED_VALUE"""),"")</f>
        <v/>
      </c>
      <c r="W183" s="106" t="str">
        <f>IFERROR(__xludf.DUMMYFUNCTION("""COMPUTED_VALUE"""),"")</f>
        <v/>
      </c>
      <c r="X183" s="143" t="str">
        <f t="shared" si="2"/>
        <v/>
      </c>
      <c r="Y183" s="139" t="str">
        <f>IFERROR(__xludf.DUMMYFUNCTION("""COMPUTED_VALUE"""),"")</f>
        <v/>
      </c>
      <c r="Z183" s="141" t="str">
        <f>IFERROR(__xludf.DUMMYFUNCTION("""COMPUTED_VALUE"""),"")</f>
        <v/>
      </c>
    </row>
    <row r="184">
      <c r="A184" s="136"/>
      <c r="B184" s="136"/>
      <c r="C184" s="136" t="str">
        <f>IFERROR(__xludf.DUMMYFUNCTION("""COMPUTED_VALUE"""),"")</f>
        <v/>
      </c>
      <c r="D184" s="136" t="str">
        <f t="shared" si="3"/>
        <v/>
      </c>
      <c r="E184" s="152" t="str">
        <f>IFERROR(__xludf.DUMMYFUNCTION("""COMPUTED_VALUE"""),"")</f>
        <v/>
      </c>
      <c r="F184" s="106" t="s">
        <v>133</v>
      </c>
      <c r="G184" s="152" t="str">
        <f>IFERROR(__xludf.DUMMYFUNCTION("""COMPUTED_VALUE"""),"")</f>
        <v/>
      </c>
      <c r="H184" s="106" t="s">
        <v>133</v>
      </c>
      <c r="I184" s="136"/>
      <c r="J184" s="139" t="s">
        <v>133</v>
      </c>
      <c r="K184" s="136" t="s">
        <v>133</v>
      </c>
      <c r="L184" s="153" t="str">
        <f>IFERROR(__xludf.DUMMYFUNCTION("""COMPUTED_VALUE"""),"")</f>
        <v/>
      </c>
      <c r="M184" s="136" t="str">
        <f t="shared" si="1"/>
        <v/>
      </c>
      <c r="N184" s="136" t="str">
        <f>IFERROR(__xludf.DUMMYFUNCTION("""COMPUTED_VALUE"""),"")</f>
        <v/>
      </c>
      <c r="O184" s="141" t="s">
        <v>133</v>
      </c>
      <c r="P184" s="136" t="str">
        <f>IFERROR(__xludf.DUMMYFUNCTION("""COMPUTED_VALUE"""),"")</f>
        <v/>
      </c>
      <c r="Q184" s="136" t="str">
        <f>IFERROR(__xludf.DUMMYFUNCTION("""COMPUTED_VALUE"""),"")</f>
        <v/>
      </c>
      <c r="R184" s="106" t="str">
        <f>IFERROR(__xludf.DUMMYFUNCTION("""COMPUTED_VALUE"""),"")</f>
        <v/>
      </c>
      <c r="S184" s="106" t="str">
        <f>IFERROR(__xludf.DUMMYFUNCTION("""COMPUTED_VALUE"""),"")</f>
        <v/>
      </c>
      <c r="T184" s="139" t="str">
        <f>IFERROR(__xludf.DUMMYFUNCTION("""COMPUTED_VALUE"""),"")</f>
        <v/>
      </c>
      <c r="U184" s="139" t="str">
        <f>IFERROR(__xludf.DUMMYFUNCTION("""COMPUTED_VALUE"""),"")</f>
        <v/>
      </c>
      <c r="V184" s="136" t="str">
        <f>IFERROR(__xludf.DUMMYFUNCTION("""COMPUTED_VALUE"""),"")</f>
        <v/>
      </c>
      <c r="W184" s="106" t="str">
        <f>IFERROR(__xludf.DUMMYFUNCTION("""COMPUTED_VALUE"""),"")</f>
        <v/>
      </c>
      <c r="X184" s="143" t="str">
        <f t="shared" si="2"/>
        <v/>
      </c>
      <c r="Y184" s="139" t="str">
        <f>IFERROR(__xludf.DUMMYFUNCTION("""COMPUTED_VALUE"""),"")</f>
        <v/>
      </c>
      <c r="Z184" s="141" t="str">
        <f>IFERROR(__xludf.DUMMYFUNCTION("""COMPUTED_VALUE"""),"")</f>
        <v/>
      </c>
    </row>
    <row r="185">
      <c r="A185" s="136"/>
      <c r="B185" s="136"/>
      <c r="C185" s="136" t="str">
        <f>IFERROR(__xludf.DUMMYFUNCTION("""COMPUTED_VALUE"""),"")</f>
        <v/>
      </c>
      <c r="D185" s="136" t="str">
        <f t="shared" si="3"/>
        <v/>
      </c>
      <c r="E185" s="152" t="str">
        <f>IFERROR(__xludf.DUMMYFUNCTION("""COMPUTED_VALUE"""),"")</f>
        <v/>
      </c>
      <c r="F185" s="106" t="s">
        <v>133</v>
      </c>
      <c r="G185" s="152" t="str">
        <f>IFERROR(__xludf.DUMMYFUNCTION("""COMPUTED_VALUE"""),"")</f>
        <v/>
      </c>
      <c r="H185" s="106" t="s">
        <v>133</v>
      </c>
      <c r="I185" s="136"/>
      <c r="J185" s="139" t="s">
        <v>133</v>
      </c>
      <c r="K185" s="136" t="s">
        <v>133</v>
      </c>
      <c r="L185" s="153" t="str">
        <f>IFERROR(__xludf.DUMMYFUNCTION("""COMPUTED_VALUE"""),"")</f>
        <v/>
      </c>
      <c r="M185" s="136" t="str">
        <f t="shared" si="1"/>
        <v/>
      </c>
      <c r="N185" s="136" t="str">
        <f>IFERROR(__xludf.DUMMYFUNCTION("""COMPUTED_VALUE"""),"")</f>
        <v/>
      </c>
      <c r="O185" s="141" t="s">
        <v>133</v>
      </c>
      <c r="P185" s="136" t="str">
        <f>IFERROR(__xludf.DUMMYFUNCTION("""COMPUTED_VALUE"""),"")</f>
        <v/>
      </c>
      <c r="Q185" s="136" t="str">
        <f>IFERROR(__xludf.DUMMYFUNCTION("""COMPUTED_VALUE"""),"")</f>
        <v/>
      </c>
      <c r="R185" s="106" t="str">
        <f>IFERROR(__xludf.DUMMYFUNCTION("""COMPUTED_VALUE"""),"")</f>
        <v/>
      </c>
      <c r="S185" s="106" t="str">
        <f>IFERROR(__xludf.DUMMYFUNCTION("""COMPUTED_VALUE"""),"")</f>
        <v/>
      </c>
      <c r="T185" s="139" t="str">
        <f>IFERROR(__xludf.DUMMYFUNCTION("""COMPUTED_VALUE"""),"")</f>
        <v/>
      </c>
      <c r="U185" s="139" t="str">
        <f>IFERROR(__xludf.DUMMYFUNCTION("""COMPUTED_VALUE"""),"")</f>
        <v/>
      </c>
      <c r="V185" s="136" t="str">
        <f>IFERROR(__xludf.DUMMYFUNCTION("""COMPUTED_VALUE"""),"")</f>
        <v/>
      </c>
      <c r="W185" s="106" t="str">
        <f>IFERROR(__xludf.DUMMYFUNCTION("""COMPUTED_VALUE"""),"")</f>
        <v/>
      </c>
      <c r="X185" s="143" t="str">
        <f t="shared" si="2"/>
        <v/>
      </c>
      <c r="Y185" s="139" t="str">
        <f>IFERROR(__xludf.DUMMYFUNCTION("""COMPUTED_VALUE"""),"")</f>
        <v/>
      </c>
      <c r="Z185" s="141" t="str">
        <f>IFERROR(__xludf.DUMMYFUNCTION("""COMPUTED_VALUE"""),"")</f>
        <v/>
      </c>
    </row>
    <row r="186">
      <c r="A186" s="136"/>
      <c r="B186" s="136"/>
      <c r="C186" s="136" t="str">
        <f>IFERROR(__xludf.DUMMYFUNCTION("""COMPUTED_VALUE"""),"")</f>
        <v/>
      </c>
      <c r="D186" s="136" t="str">
        <f t="shared" si="3"/>
        <v/>
      </c>
      <c r="E186" s="152" t="str">
        <f>IFERROR(__xludf.DUMMYFUNCTION("""COMPUTED_VALUE"""),"")</f>
        <v/>
      </c>
      <c r="F186" s="106" t="s">
        <v>133</v>
      </c>
      <c r="G186" s="152" t="str">
        <f>IFERROR(__xludf.DUMMYFUNCTION("""COMPUTED_VALUE"""),"")</f>
        <v/>
      </c>
      <c r="H186" s="106" t="s">
        <v>133</v>
      </c>
      <c r="I186" s="136"/>
      <c r="J186" s="139" t="s">
        <v>133</v>
      </c>
      <c r="K186" s="136" t="s">
        <v>133</v>
      </c>
      <c r="L186" s="153" t="str">
        <f>IFERROR(__xludf.DUMMYFUNCTION("""COMPUTED_VALUE"""),"")</f>
        <v/>
      </c>
      <c r="M186" s="136" t="str">
        <f t="shared" si="1"/>
        <v/>
      </c>
      <c r="N186" s="136" t="str">
        <f>IFERROR(__xludf.DUMMYFUNCTION("""COMPUTED_VALUE"""),"")</f>
        <v/>
      </c>
      <c r="O186" s="141" t="s">
        <v>133</v>
      </c>
      <c r="P186" s="136" t="str">
        <f>IFERROR(__xludf.DUMMYFUNCTION("""COMPUTED_VALUE"""),"")</f>
        <v/>
      </c>
      <c r="Q186" s="136" t="str">
        <f>IFERROR(__xludf.DUMMYFUNCTION("""COMPUTED_VALUE"""),"")</f>
        <v/>
      </c>
      <c r="R186" s="106" t="str">
        <f>IFERROR(__xludf.DUMMYFUNCTION("""COMPUTED_VALUE"""),"")</f>
        <v/>
      </c>
      <c r="S186" s="106" t="str">
        <f>IFERROR(__xludf.DUMMYFUNCTION("""COMPUTED_VALUE"""),"")</f>
        <v/>
      </c>
      <c r="T186" s="139" t="str">
        <f>IFERROR(__xludf.DUMMYFUNCTION("""COMPUTED_VALUE"""),"")</f>
        <v/>
      </c>
      <c r="U186" s="139" t="str">
        <f>IFERROR(__xludf.DUMMYFUNCTION("""COMPUTED_VALUE"""),"")</f>
        <v/>
      </c>
      <c r="V186" s="136" t="str">
        <f>IFERROR(__xludf.DUMMYFUNCTION("""COMPUTED_VALUE"""),"")</f>
        <v/>
      </c>
      <c r="W186" s="106" t="str">
        <f>IFERROR(__xludf.DUMMYFUNCTION("""COMPUTED_VALUE"""),"")</f>
        <v/>
      </c>
      <c r="X186" s="143" t="str">
        <f t="shared" si="2"/>
        <v/>
      </c>
      <c r="Y186" s="139" t="str">
        <f>IFERROR(__xludf.DUMMYFUNCTION("""COMPUTED_VALUE"""),"")</f>
        <v/>
      </c>
      <c r="Z186" s="141" t="str">
        <f>IFERROR(__xludf.DUMMYFUNCTION("""COMPUTED_VALUE"""),"")</f>
        <v/>
      </c>
    </row>
    <row r="187">
      <c r="A187" s="136"/>
      <c r="B187" s="136"/>
      <c r="C187" s="136" t="str">
        <f>IFERROR(__xludf.DUMMYFUNCTION("""COMPUTED_VALUE"""),"")</f>
        <v/>
      </c>
      <c r="D187" s="136" t="str">
        <f t="shared" si="3"/>
        <v/>
      </c>
      <c r="E187" s="152" t="str">
        <f>IFERROR(__xludf.DUMMYFUNCTION("""COMPUTED_VALUE"""),"")</f>
        <v/>
      </c>
      <c r="F187" s="106" t="s">
        <v>133</v>
      </c>
      <c r="G187" s="152" t="str">
        <f>IFERROR(__xludf.DUMMYFUNCTION("""COMPUTED_VALUE"""),"")</f>
        <v/>
      </c>
      <c r="H187" s="106" t="s">
        <v>133</v>
      </c>
      <c r="I187" s="136"/>
      <c r="J187" s="139" t="s">
        <v>133</v>
      </c>
      <c r="K187" s="136" t="s">
        <v>133</v>
      </c>
      <c r="L187" s="153" t="str">
        <f>IFERROR(__xludf.DUMMYFUNCTION("""COMPUTED_VALUE"""),"")</f>
        <v/>
      </c>
      <c r="M187" s="136" t="str">
        <f t="shared" si="1"/>
        <v/>
      </c>
      <c r="N187" s="136" t="str">
        <f>IFERROR(__xludf.DUMMYFUNCTION("""COMPUTED_VALUE"""),"")</f>
        <v/>
      </c>
      <c r="O187" s="141" t="s">
        <v>133</v>
      </c>
      <c r="P187" s="136" t="str">
        <f>IFERROR(__xludf.DUMMYFUNCTION("""COMPUTED_VALUE"""),"")</f>
        <v/>
      </c>
      <c r="Q187" s="136" t="str">
        <f>IFERROR(__xludf.DUMMYFUNCTION("""COMPUTED_VALUE"""),"")</f>
        <v/>
      </c>
      <c r="R187" s="106" t="str">
        <f>IFERROR(__xludf.DUMMYFUNCTION("""COMPUTED_VALUE"""),"")</f>
        <v/>
      </c>
      <c r="S187" s="106" t="str">
        <f>IFERROR(__xludf.DUMMYFUNCTION("""COMPUTED_VALUE"""),"")</f>
        <v/>
      </c>
      <c r="T187" s="139" t="str">
        <f>IFERROR(__xludf.DUMMYFUNCTION("""COMPUTED_VALUE"""),"")</f>
        <v/>
      </c>
      <c r="U187" s="139" t="str">
        <f>IFERROR(__xludf.DUMMYFUNCTION("""COMPUTED_VALUE"""),"")</f>
        <v/>
      </c>
      <c r="V187" s="136" t="str">
        <f>IFERROR(__xludf.DUMMYFUNCTION("""COMPUTED_VALUE"""),"")</f>
        <v/>
      </c>
      <c r="W187" s="106" t="str">
        <f>IFERROR(__xludf.DUMMYFUNCTION("""COMPUTED_VALUE"""),"")</f>
        <v/>
      </c>
      <c r="X187" s="143" t="str">
        <f t="shared" si="2"/>
        <v/>
      </c>
      <c r="Y187" s="139" t="str">
        <f>IFERROR(__xludf.DUMMYFUNCTION("""COMPUTED_VALUE"""),"")</f>
        <v/>
      </c>
      <c r="Z187" s="141" t="str">
        <f>IFERROR(__xludf.DUMMYFUNCTION("""COMPUTED_VALUE"""),"")</f>
        <v/>
      </c>
    </row>
    <row r="188">
      <c r="A188" s="136"/>
      <c r="B188" s="136"/>
      <c r="C188" s="136" t="str">
        <f>IFERROR(__xludf.DUMMYFUNCTION("""COMPUTED_VALUE"""),"")</f>
        <v/>
      </c>
      <c r="D188" s="136" t="str">
        <f t="shared" si="3"/>
        <v/>
      </c>
      <c r="E188" s="152" t="str">
        <f>IFERROR(__xludf.DUMMYFUNCTION("""COMPUTED_VALUE"""),"")</f>
        <v/>
      </c>
      <c r="F188" s="106" t="s">
        <v>133</v>
      </c>
      <c r="G188" s="152" t="str">
        <f>IFERROR(__xludf.DUMMYFUNCTION("""COMPUTED_VALUE"""),"")</f>
        <v/>
      </c>
      <c r="H188" s="106" t="s">
        <v>133</v>
      </c>
      <c r="I188" s="136"/>
      <c r="J188" s="139" t="s">
        <v>133</v>
      </c>
      <c r="K188" s="136" t="s">
        <v>133</v>
      </c>
      <c r="L188" s="153" t="str">
        <f>IFERROR(__xludf.DUMMYFUNCTION("""COMPUTED_VALUE"""),"")</f>
        <v/>
      </c>
      <c r="M188" s="136" t="str">
        <f t="shared" si="1"/>
        <v/>
      </c>
      <c r="N188" s="136" t="str">
        <f>IFERROR(__xludf.DUMMYFUNCTION("""COMPUTED_VALUE"""),"")</f>
        <v/>
      </c>
      <c r="O188" s="141" t="s">
        <v>133</v>
      </c>
      <c r="P188" s="136" t="str">
        <f>IFERROR(__xludf.DUMMYFUNCTION("""COMPUTED_VALUE"""),"")</f>
        <v/>
      </c>
      <c r="Q188" s="136" t="str">
        <f>IFERROR(__xludf.DUMMYFUNCTION("""COMPUTED_VALUE"""),"")</f>
        <v/>
      </c>
      <c r="R188" s="106" t="str">
        <f>IFERROR(__xludf.DUMMYFUNCTION("""COMPUTED_VALUE"""),"")</f>
        <v/>
      </c>
      <c r="S188" s="106" t="str">
        <f>IFERROR(__xludf.DUMMYFUNCTION("""COMPUTED_VALUE"""),"")</f>
        <v/>
      </c>
      <c r="T188" s="139" t="str">
        <f>IFERROR(__xludf.DUMMYFUNCTION("""COMPUTED_VALUE"""),"")</f>
        <v/>
      </c>
      <c r="U188" s="139" t="str">
        <f>IFERROR(__xludf.DUMMYFUNCTION("""COMPUTED_VALUE"""),"")</f>
        <v/>
      </c>
      <c r="V188" s="136" t="str">
        <f>IFERROR(__xludf.DUMMYFUNCTION("""COMPUTED_VALUE"""),"")</f>
        <v/>
      </c>
      <c r="W188" s="106" t="str">
        <f>IFERROR(__xludf.DUMMYFUNCTION("""COMPUTED_VALUE"""),"")</f>
        <v/>
      </c>
      <c r="X188" s="143" t="str">
        <f t="shared" si="2"/>
        <v/>
      </c>
      <c r="Y188" s="139" t="str">
        <f>IFERROR(__xludf.DUMMYFUNCTION("""COMPUTED_VALUE"""),"")</f>
        <v/>
      </c>
      <c r="Z188" s="141" t="str">
        <f>IFERROR(__xludf.DUMMYFUNCTION("""COMPUTED_VALUE"""),"")</f>
        <v/>
      </c>
    </row>
    <row r="189">
      <c r="A189" s="136"/>
      <c r="B189" s="136"/>
      <c r="C189" s="136" t="str">
        <f>IFERROR(__xludf.DUMMYFUNCTION("""COMPUTED_VALUE"""),"")</f>
        <v/>
      </c>
      <c r="D189" s="136" t="str">
        <f t="shared" si="3"/>
        <v/>
      </c>
      <c r="E189" s="152" t="str">
        <f>IFERROR(__xludf.DUMMYFUNCTION("""COMPUTED_VALUE"""),"")</f>
        <v/>
      </c>
      <c r="F189" s="106" t="s">
        <v>133</v>
      </c>
      <c r="G189" s="152" t="str">
        <f>IFERROR(__xludf.DUMMYFUNCTION("""COMPUTED_VALUE"""),"")</f>
        <v/>
      </c>
      <c r="H189" s="106" t="s">
        <v>133</v>
      </c>
      <c r="I189" s="136"/>
      <c r="J189" s="139" t="s">
        <v>133</v>
      </c>
      <c r="K189" s="136" t="s">
        <v>133</v>
      </c>
      <c r="L189" s="153" t="str">
        <f>IFERROR(__xludf.DUMMYFUNCTION("""COMPUTED_VALUE"""),"")</f>
        <v/>
      </c>
      <c r="M189" s="136" t="str">
        <f t="shared" si="1"/>
        <v/>
      </c>
      <c r="N189" s="136" t="str">
        <f>IFERROR(__xludf.DUMMYFUNCTION("""COMPUTED_VALUE"""),"")</f>
        <v/>
      </c>
      <c r="O189" s="141" t="s">
        <v>133</v>
      </c>
      <c r="P189" s="136" t="str">
        <f>IFERROR(__xludf.DUMMYFUNCTION("""COMPUTED_VALUE"""),"")</f>
        <v/>
      </c>
      <c r="Q189" s="136" t="str">
        <f>IFERROR(__xludf.DUMMYFUNCTION("""COMPUTED_VALUE"""),"")</f>
        <v/>
      </c>
      <c r="R189" s="106" t="str">
        <f>IFERROR(__xludf.DUMMYFUNCTION("""COMPUTED_VALUE"""),"")</f>
        <v/>
      </c>
      <c r="S189" s="106" t="str">
        <f>IFERROR(__xludf.DUMMYFUNCTION("""COMPUTED_VALUE"""),"")</f>
        <v/>
      </c>
      <c r="T189" s="139" t="str">
        <f>IFERROR(__xludf.DUMMYFUNCTION("""COMPUTED_VALUE"""),"")</f>
        <v/>
      </c>
      <c r="U189" s="139" t="str">
        <f>IFERROR(__xludf.DUMMYFUNCTION("""COMPUTED_VALUE"""),"")</f>
        <v/>
      </c>
      <c r="V189" s="136" t="str">
        <f>IFERROR(__xludf.DUMMYFUNCTION("""COMPUTED_VALUE"""),"")</f>
        <v/>
      </c>
      <c r="W189" s="106" t="str">
        <f>IFERROR(__xludf.DUMMYFUNCTION("""COMPUTED_VALUE"""),"")</f>
        <v/>
      </c>
      <c r="X189" s="143" t="str">
        <f t="shared" si="2"/>
        <v/>
      </c>
      <c r="Y189" s="139" t="str">
        <f>IFERROR(__xludf.DUMMYFUNCTION("""COMPUTED_VALUE"""),"")</f>
        <v/>
      </c>
      <c r="Z189" s="141" t="str">
        <f>IFERROR(__xludf.DUMMYFUNCTION("""COMPUTED_VALUE"""),"")</f>
        <v/>
      </c>
    </row>
    <row r="190">
      <c r="A190" s="136"/>
      <c r="B190" s="136"/>
      <c r="C190" s="136" t="str">
        <f>IFERROR(__xludf.DUMMYFUNCTION("""COMPUTED_VALUE"""),"")</f>
        <v/>
      </c>
      <c r="D190" s="136" t="str">
        <f t="shared" si="3"/>
        <v/>
      </c>
      <c r="E190" s="152" t="str">
        <f>IFERROR(__xludf.DUMMYFUNCTION("""COMPUTED_VALUE"""),"")</f>
        <v/>
      </c>
      <c r="F190" s="106" t="s">
        <v>133</v>
      </c>
      <c r="G190" s="152" t="str">
        <f>IFERROR(__xludf.DUMMYFUNCTION("""COMPUTED_VALUE"""),"")</f>
        <v/>
      </c>
      <c r="H190" s="106" t="s">
        <v>133</v>
      </c>
      <c r="I190" s="136"/>
      <c r="J190" s="139" t="s">
        <v>133</v>
      </c>
      <c r="K190" s="136" t="s">
        <v>133</v>
      </c>
      <c r="L190" s="153" t="str">
        <f>IFERROR(__xludf.DUMMYFUNCTION("""COMPUTED_VALUE"""),"")</f>
        <v/>
      </c>
      <c r="M190" s="136" t="str">
        <f t="shared" si="1"/>
        <v/>
      </c>
      <c r="N190" s="136" t="str">
        <f>IFERROR(__xludf.DUMMYFUNCTION("""COMPUTED_VALUE"""),"")</f>
        <v/>
      </c>
      <c r="O190" s="141" t="s">
        <v>133</v>
      </c>
      <c r="P190" s="136" t="str">
        <f>IFERROR(__xludf.DUMMYFUNCTION("""COMPUTED_VALUE"""),"")</f>
        <v/>
      </c>
      <c r="Q190" s="136" t="str">
        <f>IFERROR(__xludf.DUMMYFUNCTION("""COMPUTED_VALUE"""),"")</f>
        <v/>
      </c>
      <c r="R190" s="106" t="str">
        <f>IFERROR(__xludf.DUMMYFUNCTION("""COMPUTED_VALUE"""),"")</f>
        <v/>
      </c>
      <c r="S190" s="106" t="str">
        <f>IFERROR(__xludf.DUMMYFUNCTION("""COMPUTED_VALUE"""),"")</f>
        <v/>
      </c>
      <c r="T190" s="139" t="str">
        <f>IFERROR(__xludf.DUMMYFUNCTION("""COMPUTED_VALUE"""),"")</f>
        <v/>
      </c>
      <c r="U190" s="139" t="str">
        <f>IFERROR(__xludf.DUMMYFUNCTION("""COMPUTED_VALUE"""),"")</f>
        <v/>
      </c>
      <c r="V190" s="136" t="str">
        <f>IFERROR(__xludf.DUMMYFUNCTION("""COMPUTED_VALUE"""),"")</f>
        <v/>
      </c>
      <c r="W190" s="106" t="str">
        <f>IFERROR(__xludf.DUMMYFUNCTION("""COMPUTED_VALUE"""),"")</f>
        <v/>
      </c>
      <c r="X190" s="143" t="str">
        <f t="shared" si="2"/>
        <v/>
      </c>
      <c r="Y190" s="139" t="str">
        <f>IFERROR(__xludf.DUMMYFUNCTION("""COMPUTED_VALUE"""),"")</f>
        <v/>
      </c>
      <c r="Z190" s="141" t="str">
        <f>IFERROR(__xludf.DUMMYFUNCTION("""COMPUTED_VALUE"""),"")</f>
        <v/>
      </c>
    </row>
    <row r="191">
      <c r="A191" s="136"/>
      <c r="B191" s="136"/>
      <c r="C191" s="136" t="str">
        <f>IFERROR(__xludf.DUMMYFUNCTION("""COMPUTED_VALUE"""),"")</f>
        <v/>
      </c>
      <c r="D191" s="136" t="str">
        <f t="shared" si="3"/>
        <v/>
      </c>
      <c r="E191" s="152" t="str">
        <f>IFERROR(__xludf.DUMMYFUNCTION("""COMPUTED_VALUE"""),"")</f>
        <v/>
      </c>
      <c r="F191" s="106" t="s">
        <v>133</v>
      </c>
      <c r="G191" s="152" t="str">
        <f>IFERROR(__xludf.DUMMYFUNCTION("""COMPUTED_VALUE"""),"")</f>
        <v/>
      </c>
      <c r="H191" s="106" t="s">
        <v>133</v>
      </c>
      <c r="I191" s="136"/>
      <c r="J191" s="139" t="s">
        <v>133</v>
      </c>
      <c r="K191" s="136" t="s">
        <v>133</v>
      </c>
      <c r="L191" s="153" t="str">
        <f>IFERROR(__xludf.DUMMYFUNCTION("""COMPUTED_VALUE"""),"")</f>
        <v/>
      </c>
      <c r="M191" s="136" t="str">
        <f t="shared" si="1"/>
        <v/>
      </c>
      <c r="N191" s="136" t="str">
        <f>IFERROR(__xludf.DUMMYFUNCTION("""COMPUTED_VALUE"""),"")</f>
        <v/>
      </c>
      <c r="O191" s="141" t="s">
        <v>133</v>
      </c>
      <c r="P191" s="136" t="str">
        <f>IFERROR(__xludf.DUMMYFUNCTION("""COMPUTED_VALUE"""),"")</f>
        <v/>
      </c>
      <c r="Q191" s="136" t="str">
        <f>IFERROR(__xludf.DUMMYFUNCTION("""COMPUTED_VALUE"""),"")</f>
        <v/>
      </c>
      <c r="R191" s="106" t="str">
        <f>IFERROR(__xludf.DUMMYFUNCTION("""COMPUTED_VALUE"""),"")</f>
        <v/>
      </c>
      <c r="S191" s="106" t="str">
        <f>IFERROR(__xludf.DUMMYFUNCTION("""COMPUTED_VALUE"""),"")</f>
        <v/>
      </c>
      <c r="T191" s="139" t="str">
        <f>IFERROR(__xludf.DUMMYFUNCTION("""COMPUTED_VALUE"""),"")</f>
        <v/>
      </c>
      <c r="U191" s="139" t="str">
        <f>IFERROR(__xludf.DUMMYFUNCTION("""COMPUTED_VALUE"""),"")</f>
        <v/>
      </c>
      <c r="V191" s="136" t="str">
        <f>IFERROR(__xludf.DUMMYFUNCTION("""COMPUTED_VALUE"""),"")</f>
        <v/>
      </c>
      <c r="W191" s="106" t="str">
        <f>IFERROR(__xludf.DUMMYFUNCTION("""COMPUTED_VALUE"""),"")</f>
        <v/>
      </c>
      <c r="X191" s="143" t="str">
        <f t="shared" si="2"/>
        <v/>
      </c>
      <c r="Y191" s="139" t="str">
        <f>IFERROR(__xludf.DUMMYFUNCTION("""COMPUTED_VALUE"""),"")</f>
        <v/>
      </c>
      <c r="Z191" s="141" t="str">
        <f>IFERROR(__xludf.DUMMYFUNCTION("""COMPUTED_VALUE"""),"")</f>
        <v/>
      </c>
    </row>
    <row r="192">
      <c r="A192" s="136"/>
      <c r="B192" s="136"/>
      <c r="C192" s="136" t="str">
        <f>IFERROR(__xludf.DUMMYFUNCTION("""COMPUTED_VALUE"""),"")</f>
        <v/>
      </c>
      <c r="D192" s="136" t="str">
        <f t="shared" si="3"/>
        <v/>
      </c>
      <c r="E192" s="152" t="str">
        <f>IFERROR(__xludf.DUMMYFUNCTION("""COMPUTED_VALUE"""),"")</f>
        <v/>
      </c>
      <c r="F192" s="106" t="s">
        <v>133</v>
      </c>
      <c r="G192" s="152" t="str">
        <f>IFERROR(__xludf.DUMMYFUNCTION("""COMPUTED_VALUE"""),"")</f>
        <v/>
      </c>
      <c r="H192" s="106" t="s">
        <v>133</v>
      </c>
      <c r="I192" s="136"/>
      <c r="J192" s="139" t="s">
        <v>133</v>
      </c>
      <c r="K192" s="136" t="s">
        <v>133</v>
      </c>
      <c r="L192" s="153" t="str">
        <f>IFERROR(__xludf.DUMMYFUNCTION("""COMPUTED_VALUE"""),"")</f>
        <v/>
      </c>
      <c r="M192" s="136" t="str">
        <f t="shared" si="1"/>
        <v/>
      </c>
      <c r="N192" s="136" t="str">
        <f>IFERROR(__xludf.DUMMYFUNCTION("""COMPUTED_VALUE"""),"")</f>
        <v/>
      </c>
      <c r="O192" s="141" t="s">
        <v>133</v>
      </c>
      <c r="P192" s="136" t="str">
        <f>IFERROR(__xludf.DUMMYFUNCTION("""COMPUTED_VALUE"""),"")</f>
        <v/>
      </c>
      <c r="Q192" s="136" t="str">
        <f>IFERROR(__xludf.DUMMYFUNCTION("""COMPUTED_VALUE"""),"")</f>
        <v/>
      </c>
      <c r="R192" s="106" t="str">
        <f>IFERROR(__xludf.DUMMYFUNCTION("""COMPUTED_VALUE"""),"")</f>
        <v/>
      </c>
      <c r="S192" s="106" t="str">
        <f>IFERROR(__xludf.DUMMYFUNCTION("""COMPUTED_VALUE"""),"")</f>
        <v/>
      </c>
      <c r="T192" s="139" t="str">
        <f>IFERROR(__xludf.DUMMYFUNCTION("""COMPUTED_VALUE"""),"")</f>
        <v/>
      </c>
      <c r="U192" s="139" t="str">
        <f>IFERROR(__xludf.DUMMYFUNCTION("""COMPUTED_VALUE"""),"")</f>
        <v/>
      </c>
      <c r="V192" s="136" t="str">
        <f>IFERROR(__xludf.DUMMYFUNCTION("""COMPUTED_VALUE"""),"")</f>
        <v/>
      </c>
      <c r="W192" s="106" t="str">
        <f>IFERROR(__xludf.DUMMYFUNCTION("""COMPUTED_VALUE"""),"")</f>
        <v/>
      </c>
      <c r="X192" s="143" t="str">
        <f t="shared" si="2"/>
        <v/>
      </c>
      <c r="Y192" s="139" t="str">
        <f>IFERROR(__xludf.DUMMYFUNCTION("""COMPUTED_VALUE"""),"")</f>
        <v/>
      </c>
      <c r="Z192" s="141" t="str">
        <f>IFERROR(__xludf.DUMMYFUNCTION("""COMPUTED_VALUE"""),"")</f>
        <v/>
      </c>
    </row>
    <row r="193">
      <c r="A193" s="136"/>
      <c r="B193" s="136"/>
      <c r="C193" s="136" t="str">
        <f>IFERROR(__xludf.DUMMYFUNCTION("""COMPUTED_VALUE"""),"")</f>
        <v/>
      </c>
      <c r="D193" s="136" t="str">
        <f t="shared" si="3"/>
        <v/>
      </c>
      <c r="E193" s="152" t="str">
        <f>IFERROR(__xludf.DUMMYFUNCTION("""COMPUTED_VALUE"""),"")</f>
        <v/>
      </c>
      <c r="F193" s="106" t="s">
        <v>133</v>
      </c>
      <c r="G193" s="152" t="str">
        <f>IFERROR(__xludf.DUMMYFUNCTION("""COMPUTED_VALUE"""),"")</f>
        <v/>
      </c>
      <c r="H193" s="106" t="s">
        <v>133</v>
      </c>
      <c r="I193" s="136"/>
      <c r="J193" s="139" t="s">
        <v>133</v>
      </c>
      <c r="K193" s="136" t="s">
        <v>133</v>
      </c>
      <c r="L193" s="153" t="str">
        <f>IFERROR(__xludf.DUMMYFUNCTION("""COMPUTED_VALUE"""),"")</f>
        <v/>
      </c>
      <c r="M193" s="136" t="str">
        <f t="shared" si="1"/>
        <v/>
      </c>
      <c r="N193" s="136" t="str">
        <f>IFERROR(__xludf.DUMMYFUNCTION("""COMPUTED_VALUE"""),"")</f>
        <v/>
      </c>
      <c r="O193" s="141" t="s">
        <v>133</v>
      </c>
      <c r="P193" s="136" t="str">
        <f>IFERROR(__xludf.DUMMYFUNCTION("""COMPUTED_VALUE"""),"")</f>
        <v/>
      </c>
      <c r="Q193" s="136" t="str">
        <f>IFERROR(__xludf.DUMMYFUNCTION("""COMPUTED_VALUE"""),"")</f>
        <v/>
      </c>
      <c r="R193" s="106" t="str">
        <f>IFERROR(__xludf.DUMMYFUNCTION("""COMPUTED_VALUE"""),"")</f>
        <v/>
      </c>
      <c r="S193" s="106" t="str">
        <f>IFERROR(__xludf.DUMMYFUNCTION("""COMPUTED_VALUE"""),"")</f>
        <v/>
      </c>
      <c r="T193" s="139" t="str">
        <f>IFERROR(__xludf.DUMMYFUNCTION("""COMPUTED_VALUE"""),"")</f>
        <v/>
      </c>
      <c r="U193" s="139" t="str">
        <f>IFERROR(__xludf.DUMMYFUNCTION("""COMPUTED_VALUE"""),"")</f>
        <v/>
      </c>
      <c r="V193" s="136" t="str">
        <f>IFERROR(__xludf.DUMMYFUNCTION("""COMPUTED_VALUE"""),"")</f>
        <v/>
      </c>
      <c r="W193" s="106" t="str">
        <f>IFERROR(__xludf.DUMMYFUNCTION("""COMPUTED_VALUE"""),"")</f>
        <v/>
      </c>
      <c r="X193" s="143" t="str">
        <f t="shared" si="2"/>
        <v/>
      </c>
      <c r="Y193" s="139" t="str">
        <f>IFERROR(__xludf.DUMMYFUNCTION("""COMPUTED_VALUE"""),"")</f>
        <v/>
      </c>
      <c r="Z193" s="141" t="str">
        <f>IFERROR(__xludf.DUMMYFUNCTION("""COMPUTED_VALUE"""),"")</f>
        <v/>
      </c>
    </row>
    <row r="194">
      <c r="A194" s="136"/>
      <c r="B194" s="136"/>
      <c r="C194" s="136" t="str">
        <f>IFERROR(__xludf.DUMMYFUNCTION("""COMPUTED_VALUE"""),"")</f>
        <v/>
      </c>
      <c r="D194" s="136" t="str">
        <f t="shared" si="3"/>
        <v/>
      </c>
      <c r="E194" s="152" t="str">
        <f>IFERROR(__xludf.DUMMYFUNCTION("""COMPUTED_VALUE"""),"")</f>
        <v/>
      </c>
      <c r="F194" s="106" t="s">
        <v>133</v>
      </c>
      <c r="G194" s="152" t="str">
        <f>IFERROR(__xludf.DUMMYFUNCTION("""COMPUTED_VALUE"""),"")</f>
        <v/>
      </c>
      <c r="H194" s="106" t="s">
        <v>133</v>
      </c>
      <c r="I194" s="136"/>
      <c r="J194" s="139" t="s">
        <v>133</v>
      </c>
      <c r="K194" s="136" t="s">
        <v>133</v>
      </c>
      <c r="L194" s="153" t="str">
        <f>IFERROR(__xludf.DUMMYFUNCTION("""COMPUTED_VALUE"""),"")</f>
        <v/>
      </c>
      <c r="M194" s="136" t="str">
        <f t="shared" si="1"/>
        <v/>
      </c>
      <c r="N194" s="136" t="str">
        <f>IFERROR(__xludf.DUMMYFUNCTION("""COMPUTED_VALUE"""),"")</f>
        <v/>
      </c>
      <c r="O194" s="141" t="s">
        <v>133</v>
      </c>
      <c r="P194" s="136" t="str">
        <f>IFERROR(__xludf.DUMMYFUNCTION("""COMPUTED_VALUE"""),"")</f>
        <v/>
      </c>
      <c r="Q194" s="136" t="str">
        <f>IFERROR(__xludf.DUMMYFUNCTION("""COMPUTED_VALUE"""),"")</f>
        <v/>
      </c>
      <c r="R194" s="106" t="str">
        <f>IFERROR(__xludf.DUMMYFUNCTION("""COMPUTED_VALUE"""),"")</f>
        <v/>
      </c>
      <c r="S194" s="106" t="str">
        <f>IFERROR(__xludf.DUMMYFUNCTION("""COMPUTED_VALUE"""),"")</f>
        <v/>
      </c>
      <c r="T194" s="139" t="str">
        <f>IFERROR(__xludf.DUMMYFUNCTION("""COMPUTED_VALUE"""),"")</f>
        <v/>
      </c>
      <c r="U194" s="139" t="str">
        <f>IFERROR(__xludf.DUMMYFUNCTION("""COMPUTED_VALUE"""),"")</f>
        <v/>
      </c>
      <c r="V194" s="136" t="str">
        <f>IFERROR(__xludf.DUMMYFUNCTION("""COMPUTED_VALUE"""),"")</f>
        <v/>
      </c>
      <c r="W194" s="106" t="str">
        <f>IFERROR(__xludf.DUMMYFUNCTION("""COMPUTED_VALUE"""),"")</f>
        <v/>
      </c>
      <c r="X194" s="143" t="str">
        <f t="shared" si="2"/>
        <v/>
      </c>
      <c r="Y194" s="139" t="str">
        <f>IFERROR(__xludf.DUMMYFUNCTION("""COMPUTED_VALUE"""),"")</f>
        <v/>
      </c>
      <c r="Z194" s="141" t="str">
        <f>IFERROR(__xludf.DUMMYFUNCTION("""COMPUTED_VALUE"""),"")</f>
        <v/>
      </c>
    </row>
    <row r="195">
      <c r="A195" s="136"/>
      <c r="B195" s="136"/>
      <c r="C195" s="136" t="str">
        <f>IFERROR(__xludf.DUMMYFUNCTION("""COMPUTED_VALUE"""),"")</f>
        <v/>
      </c>
      <c r="D195" s="136" t="str">
        <f t="shared" si="3"/>
        <v/>
      </c>
      <c r="E195" s="152" t="str">
        <f>IFERROR(__xludf.DUMMYFUNCTION("""COMPUTED_VALUE"""),"")</f>
        <v/>
      </c>
      <c r="F195" s="106" t="s">
        <v>133</v>
      </c>
      <c r="G195" s="152" t="str">
        <f>IFERROR(__xludf.DUMMYFUNCTION("""COMPUTED_VALUE"""),"")</f>
        <v/>
      </c>
      <c r="H195" s="106" t="s">
        <v>133</v>
      </c>
      <c r="I195" s="136"/>
      <c r="J195" s="139" t="s">
        <v>133</v>
      </c>
      <c r="K195" s="136" t="s">
        <v>133</v>
      </c>
      <c r="L195" s="153" t="str">
        <f>IFERROR(__xludf.DUMMYFUNCTION("""COMPUTED_VALUE"""),"")</f>
        <v/>
      </c>
      <c r="M195" s="136" t="str">
        <f t="shared" si="1"/>
        <v/>
      </c>
      <c r="N195" s="136" t="str">
        <f>IFERROR(__xludf.DUMMYFUNCTION("""COMPUTED_VALUE"""),"")</f>
        <v/>
      </c>
      <c r="O195" s="141" t="s">
        <v>133</v>
      </c>
      <c r="P195" s="136" t="str">
        <f>IFERROR(__xludf.DUMMYFUNCTION("""COMPUTED_VALUE"""),"")</f>
        <v/>
      </c>
      <c r="Q195" s="136" t="str">
        <f>IFERROR(__xludf.DUMMYFUNCTION("""COMPUTED_VALUE"""),"")</f>
        <v/>
      </c>
      <c r="R195" s="106" t="str">
        <f>IFERROR(__xludf.DUMMYFUNCTION("""COMPUTED_VALUE"""),"")</f>
        <v/>
      </c>
      <c r="S195" s="106" t="str">
        <f>IFERROR(__xludf.DUMMYFUNCTION("""COMPUTED_VALUE"""),"")</f>
        <v/>
      </c>
      <c r="T195" s="139" t="str">
        <f>IFERROR(__xludf.DUMMYFUNCTION("""COMPUTED_VALUE"""),"")</f>
        <v/>
      </c>
      <c r="U195" s="139" t="str">
        <f>IFERROR(__xludf.DUMMYFUNCTION("""COMPUTED_VALUE"""),"")</f>
        <v/>
      </c>
      <c r="V195" s="136" t="str">
        <f>IFERROR(__xludf.DUMMYFUNCTION("""COMPUTED_VALUE"""),"")</f>
        <v/>
      </c>
      <c r="W195" s="106" t="str">
        <f>IFERROR(__xludf.DUMMYFUNCTION("""COMPUTED_VALUE"""),"")</f>
        <v/>
      </c>
      <c r="X195" s="143" t="str">
        <f t="shared" si="2"/>
        <v/>
      </c>
      <c r="Y195" s="139" t="str">
        <f>IFERROR(__xludf.DUMMYFUNCTION("""COMPUTED_VALUE"""),"")</f>
        <v/>
      </c>
      <c r="Z195" s="141" t="str">
        <f>IFERROR(__xludf.DUMMYFUNCTION("""COMPUTED_VALUE"""),"")</f>
        <v/>
      </c>
    </row>
    <row r="196">
      <c r="A196" s="136"/>
      <c r="B196" s="136"/>
      <c r="C196" s="136" t="str">
        <f>IFERROR(__xludf.DUMMYFUNCTION("""COMPUTED_VALUE"""),"")</f>
        <v/>
      </c>
      <c r="D196" s="136" t="str">
        <f t="shared" si="3"/>
        <v/>
      </c>
      <c r="E196" s="152" t="str">
        <f>IFERROR(__xludf.DUMMYFUNCTION("""COMPUTED_VALUE"""),"")</f>
        <v/>
      </c>
      <c r="F196" s="106" t="s">
        <v>133</v>
      </c>
      <c r="G196" s="152" t="str">
        <f>IFERROR(__xludf.DUMMYFUNCTION("""COMPUTED_VALUE"""),"")</f>
        <v/>
      </c>
      <c r="H196" s="106" t="s">
        <v>133</v>
      </c>
      <c r="I196" s="136"/>
      <c r="J196" s="139" t="s">
        <v>133</v>
      </c>
      <c r="K196" s="136" t="s">
        <v>133</v>
      </c>
      <c r="L196" s="153" t="str">
        <f>IFERROR(__xludf.DUMMYFUNCTION("""COMPUTED_VALUE"""),"")</f>
        <v/>
      </c>
      <c r="M196" s="136" t="str">
        <f t="shared" si="1"/>
        <v/>
      </c>
      <c r="N196" s="136" t="str">
        <f>IFERROR(__xludf.DUMMYFUNCTION("""COMPUTED_VALUE"""),"")</f>
        <v/>
      </c>
      <c r="O196" s="141" t="s">
        <v>133</v>
      </c>
      <c r="P196" s="136" t="str">
        <f>IFERROR(__xludf.DUMMYFUNCTION("""COMPUTED_VALUE"""),"")</f>
        <v/>
      </c>
      <c r="Q196" s="136" t="str">
        <f>IFERROR(__xludf.DUMMYFUNCTION("""COMPUTED_VALUE"""),"")</f>
        <v/>
      </c>
      <c r="R196" s="106" t="str">
        <f>IFERROR(__xludf.DUMMYFUNCTION("""COMPUTED_VALUE"""),"")</f>
        <v/>
      </c>
      <c r="S196" s="106" t="str">
        <f>IFERROR(__xludf.DUMMYFUNCTION("""COMPUTED_VALUE"""),"")</f>
        <v/>
      </c>
      <c r="T196" s="139" t="str">
        <f>IFERROR(__xludf.DUMMYFUNCTION("""COMPUTED_VALUE"""),"")</f>
        <v/>
      </c>
      <c r="U196" s="139" t="str">
        <f>IFERROR(__xludf.DUMMYFUNCTION("""COMPUTED_VALUE"""),"")</f>
        <v/>
      </c>
      <c r="V196" s="136" t="str">
        <f>IFERROR(__xludf.DUMMYFUNCTION("""COMPUTED_VALUE"""),"")</f>
        <v/>
      </c>
      <c r="W196" s="106" t="str">
        <f>IFERROR(__xludf.DUMMYFUNCTION("""COMPUTED_VALUE"""),"")</f>
        <v/>
      </c>
      <c r="X196" s="143" t="str">
        <f t="shared" si="2"/>
        <v/>
      </c>
      <c r="Y196" s="139" t="str">
        <f>IFERROR(__xludf.DUMMYFUNCTION("""COMPUTED_VALUE"""),"")</f>
        <v/>
      </c>
      <c r="Z196" s="141" t="str">
        <f>IFERROR(__xludf.DUMMYFUNCTION("""COMPUTED_VALUE"""),"")</f>
        <v/>
      </c>
    </row>
    <row r="197">
      <c r="A197" s="136"/>
      <c r="B197" s="136"/>
      <c r="C197" s="136" t="str">
        <f>IFERROR(__xludf.DUMMYFUNCTION("""COMPUTED_VALUE"""),"")</f>
        <v/>
      </c>
      <c r="D197" s="136" t="str">
        <f t="shared" si="3"/>
        <v/>
      </c>
      <c r="E197" s="152" t="str">
        <f>IFERROR(__xludf.DUMMYFUNCTION("""COMPUTED_VALUE"""),"")</f>
        <v/>
      </c>
      <c r="F197" s="106" t="s">
        <v>133</v>
      </c>
      <c r="G197" s="152" t="str">
        <f>IFERROR(__xludf.DUMMYFUNCTION("""COMPUTED_VALUE"""),"")</f>
        <v/>
      </c>
      <c r="H197" s="106" t="s">
        <v>133</v>
      </c>
      <c r="I197" s="136"/>
      <c r="J197" s="139" t="s">
        <v>133</v>
      </c>
      <c r="K197" s="136" t="s">
        <v>133</v>
      </c>
      <c r="L197" s="153" t="str">
        <f>IFERROR(__xludf.DUMMYFUNCTION("""COMPUTED_VALUE"""),"")</f>
        <v/>
      </c>
      <c r="M197" s="136" t="str">
        <f t="shared" si="1"/>
        <v/>
      </c>
      <c r="N197" s="136" t="str">
        <f>IFERROR(__xludf.DUMMYFUNCTION("""COMPUTED_VALUE"""),"")</f>
        <v/>
      </c>
      <c r="O197" s="141" t="s">
        <v>133</v>
      </c>
      <c r="P197" s="136" t="str">
        <f>IFERROR(__xludf.DUMMYFUNCTION("""COMPUTED_VALUE"""),"")</f>
        <v/>
      </c>
      <c r="Q197" s="136" t="str">
        <f>IFERROR(__xludf.DUMMYFUNCTION("""COMPUTED_VALUE"""),"")</f>
        <v/>
      </c>
      <c r="R197" s="106" t="str">
        <f>IFERROR(__xludf.DUMMYFUNCTION("""COMPUTED_VALUE"""),"")</f>
        <v/>
      </c>
      <c r="S197" s="106" t="str">
        <f>IFERROR(__xludf.DUMMYFUNCTION("""COMPUTED_VALUE"""),"")</f>
        <v/>
      </c>
      <c r="T197" s="139" t="str">
        <f>IFERROR(__xludf.DUMMYFUNCTION("""COMPUTED_VALUE"""),"")</f>
        <v/>
      </c>
      <c r="U197" s="139" t="str">
        <f>IFERROR(__xludf.DUMMYFUNCTION("""COMPUTED_VALUE"""),"")</f>
        <v/>
      </c>
      <c r="V197" s="136" t="str">
        <f>IFERROR(__xludf.DUMMYFUNCTION("""COMPUTED_VALUE"""),"")</f>
        <v/>
      </c>
      <c r="W197" s="106" t="str">
        <f>IFERROR(__xludf.DUMMYFUNCTION("""COMPUTED_VALUE"""),"")</f>
        <v/>
      </c>
      <c r="X197" s="143" t="str">
        <f t="shared" si="2"/>
        <v/>
      </c>
      <c r="Y197" s="139" t="str">
        <f>IFERROR(__xludf.DUMMYFUNCTION("""COMPUTED_VALUE"""),"")</f>
        <v/>
      </c>
      <c r="Z197" s="141" t="str">
        <f>IFERROR(__xludf.DUMMYFUNCTION("""COMPUTED_VALUE"""),"")</f>
        <v/>
      </c>
    </row>
    <row r="198">
      <c r="A198" s="136"/>
      <c r="B198" s="136"/>
      <c r="C198" s="136" t="str">
        <f>IFERROR(__xludf.DUMMYFUNCTION("""COMPUTED_VALUE"""),"")</f>
        <v/>
      </c>
      <c r="D198" s="136" t="str">
        <f t="shared" si="3"/>
        <v/>
      </c>
      <c r="E198" s="152" t="str">
        <f>IFERROR(__xludf.DUMMYFUNCTION("""COMPUTED_VALUE"""),"")</f>
        <v/>
      </c>
      <c r="F198" s="106" t="s">
        <v>133</v>
      </c>
      <c r="G198" s="152" t="str">
        <f>IFERROR(__xludf.DUMMYFUNCTION("""COMPUTED_VALUE"""),"")</f>
        <v/>
      </c>
      <c r="H198" s="106" t="s">
        <v>133</v>
      </c>
      <c r="I198" s="136"/>
      <c r="J198" s="139" t="s">
        <v>133</v>
      </c>
      <c r="K198" s="136" t="s">
        <v>133</v>
      </c>
      <c r="L198" s="153" t="str">
        <f>IFERROR(__xludf.DUMMYFUNCTION("""COMPUTED_VALUE"""),"")</f>
        <v/>
      </c>
      <c r="M198" s="136" t="str">
        <f t="shared" si="1"/>
        <v/>
      </c>
      <c r="N198" s="136" t="str">
        <f>IFERROR(__xludf.DUMMYFUNCTION("""COMPUTED_VALUE"""),"")</f>
        <v/>
      </c>
      <c r="O198" s="141" t="s">
        <v>133</v>
      </c>
      <c r="P198" s="136" t="str">
        <f>IFERROR(__xludf.DUMMYFUNCTION("""COMPUTED_VALUE"""),"")</f>
        <v/>
      </c>
      <c r="Q198" s="136" t="str">
        <f>IFERROR(__xludf.DUMMYFUNCTION("""COMPUTED_VALUE"""),"")</f>
        <v/>
      </c>
      <c r="R198" s="106" t="str">
        <f>IFERROR(__xludf.DUMMYFUNCTION("""COMPUTED_VALUE"""),"")</f>
        <v/>
      </c>
      <c r="S198" s="106" t="str">
        <f>IFERROR(__xludf.DUMMYFUNCTION("""COMPUTED_VALUE"""),"")</f>
        <v/>
      </c>
      <c r="T198" s="139" t="str">
        <f>IFERROR(__xludf.DUMMYFUNCTION("""COMPUTED_VALUE"""),"")</f>
        <v/>
      </c>
      <c r="U198" s="139" t="str">
        <f>IFERROR(__xludf.DUMMYFUNCTION("""COMPUTED_VALUE"""),"")</f>
        <v/>
      </c>
      <c r="V198" s="136" t="str">
        <f>IFERROR(__xludf.DUMMYFUNCTION("""COMPUTED_VALUE"""),"")</f>
        <v/>
      </c>
      <c r="W198" s="106" t="str">
        <f>IFERROR(__xludf.DUMMYFUNCTION("""COMPUTED_VALUE"""),"")</f>
        <v/>
      </c>
      <c r="X198" s="143" t="str">
        <f t="shared" si="2"/>
        <v/>
      </c>
      <c r="Y198" s="139" t="str">
        <f>IFERROR(__xludf.DUMMYFUNCTION("""COMPUTED_VALUE"""),"")</f>
        <v/>
      </c>
      <c r="Z198" s="141" t="str">
        <f>IFERROR(__xludf.DUMMYFUNCTION("""COMPUTED_VALUE"""),"")</f>
        <v/>
      </c>
    </row>
    <row r="199">
      <c r="A199" s="136"/>
      <c r="B199" s="136"/>
      <c r="C199" s="136" t="str">
        <f>IFERROR(__xludf.DUMMYFUNCTION("""COMPUTED_VALUE"""),"")</f>
        <v/>
      </c>
      <c r="D199" s="136" t="str">
        <f t="shared" si="3"/>
        <v/>
      </c>
      <c r="E199" s="152" t="str">
        <f>IFERROR(__xludf.DUMMYFUNCTION("""COMPUTED_VALUE"""),"")</f>
        <v/>
      </c>
      <c r="F199" s="106" t="s">
        <v>133</v>
      </c>
      <c r="G199" s="152" t="str">
        <f>IFERROR(__xludf.DUMMYFUNCTION("""COMPUTED_VALUE"""),"")</f>
        <v/>
      </c>
      <c r="H199" s="106" t="s">
        <v>133</v>
      </c>
      <c r="I199" s="136"/>
      <c r="J199" s="139" t="s">
        <v>133</v>
      </c>
      <c r="K199" s="136" t="s">
        <v>133</v>
      </c>
      <c r="L199" s="153" t="str">
        <f>IFERROR(__xludf.DUMMYFUNCTION("""COMPUTED_VALUE"""),"")</f>
        <v/>
      </c>
      <c r="M199" s="136" t="str">
        <f t="shared" si="1"/>
        <v/>
      </c>
      <c r="N199" s="136" t="str">
        <f>IFERROR(__xludf.DUMMYFUNCTION("""COMPUTED_VALUE"""),"")</f>
        <v/>
      </c>
      <c r="O199" s="141" t="s">
        <v>133</v>
      </c>
      <c r="P199" s="136" t="str">
        <f>IFERROR(__xludf.DUMMYFUNCTION("""COMPUTED_VALUE"""),"")</f>
        <v/>
      </c>
      <c r="Q199" s="136" t="str">
        <f>IFERROR(__xludf.DUMMYFUNCTION("""COMPUTED_VALUE"""),"")</f>
        <v/>
      </c>
      <c r="R199" s="106" t="str">
        <f>IFERROR(__xludf.DUMMYFUNCTION("""COMPUTED_VALUE"""),"")</f>
        <v/>
      </c>
      <c r="S199" s="106" t="str">
        <f>IFERROR(__xludf.DUMMYFUNCTION("""COMPUTED_VALUE"""),"")</f>
        <v/>
      </c>
      <c r="T199" s="139" t="str">
        <f>IFERROR(__xludf.DUMMYFUNCTION("""COMPUTED_VALUE"""),"")</f>
        <v/>
      </c>
      <c r="U199" s="139" t="str">
        <f>IFERROR(__xludf.DUMMYFUNCTION("""COMPUTED_VALUE"""),"")</f>
        <v/>
      </c>
      <c r="V199" s="136" t="str">
        <f>IFERROR(__xludf.DUMMYFUNCTION("""COMPUTED_VALUE"""),"")</f>
        <v/>
      </c>
      <c r="W199" s="106" t="str">
        <f>IFERROR(__xludf.DUMMYFUNCTION("""COMPUTED_VALUE"""),"")</f>
        <v/>
      </c>
      <c r="X199" s="143" t="str">
        <f t="shared" si="2"/>
        <v/>
      </c>
      <c r="Y199" s="139" t="str">
        <f>IFERROR(__xludf.DUMMYFUNCTION("""COMPUTED_VALUE"""),"")</f>
        <v/>
      </c>
      <c r="Z199" s="141" t="str">
        <f>IFERROR(__xludf.DUMMYFUNCTION("""COMPUTED_VALUE"""),"")</f>
        <v/>
      </c>
    </row>
    <row r="200">
      <c r="A200" s="136"/>
      <c r="B200" s="136"/>
      <c r="C200" s="136" t="str">
        <f>IFERROR(__xludf.DUMMYFUNCTION("""COMPUTED_VALUE"""),"")</f>
        <v/>
      </c>
      <c r="D200" s="136" t="str">
        <f t="shared" si="3"/>
        <v/>
      </c>
      <c r="E200" s="152" t="str">
        <f>IFERROR(__xludf.DUMMYFUNCTION("""COMPUTED_VALUE"""),"")</f>
        <v/>
      </c>
      <c r="F200" s="106" t="s">
        <v>133</v>
      </c>
      <c r="G200" s="152" t="str">
        <f>IFERROR(__xludf.DUMMYFUNCTION("""COMPUTED_VALUE"""),"")</f>
        <v/>
      </c>
      <c r="H200" s="106" t="s">
        <v>133</v>
      </c>
      <c r="I200" s="136"/>
      <c r="J200" s="139" t="s">
        <v>133</v>
      </c>
      <c r="K200" s="136" t="s">
        <v>133</v>
      </c>
      <c r="L200" s="153" t="str">
        <f>IFERROR(__xludf.DUMMYFUNCTION("""COMPUTED_VALUE"""),"")</f>
        <v/>
      </c>
      <c r="M200" s="136" t="str">
        <f t="shared" si="1"/>
        <v/>
      </c>
      <c r="N200" s="136" t="str">
        <f>IFERROR(__xludf.DUMMYFUNCTION("""COMPUTED_VALUE"""),"")</f>
        <v/>
      </c>
      <c r="O200" s="141" t="s">
        <v>133</v>
      </c>
      <c r="P200" s="136" t="str">
        <f>IFERROR(__xludf.DUMMYFUNCTION("""COMPUTED_VALUE"""),"")</f>
        <v/>
      </c>
      <c r="Q200" s="136" t="str">
        <f>IFERROR(__xludf.DUMMYFUNCTION("""COMPUTED_VALUE"""),"")</f>
        <v/>
      </c>
      <c r="R200" s="106" t="str">
        <f>IFERROR(__xludf.DUMMYFUNCTION("""COMPUTED_VALUE"""),"")</f>
        <v/>
      </c>
      <c r="S200" s="106" t="str">
        <f>IFERROR(__xludf.DUMMYFUNCTION("""COMPUTED_VALUE"""),"")</f>
        <v/>
      </c>
      <c r="T200" s="139" t="str">
        <f>IFERROR(__xludf.DUMMYFUNCTION("""COMPUTED_VALUE"""),"")</f>
        <v/>
      </c>
      <c r="U200" s="139" t="str">
        <f>IFERROR(__xludf.DUMMYFUNCTION("""COMPUTED_VALUE"""),"")</f>
        <v/>
      </c>
      <c r="V200" s="136" t="str">
        <f>IFERROR(__xludf.DUMMYFUNCTION("""COMPUTED_VALUE"""),"")</f>
        <v/>
      </c>
      <c r="W200" s="106" t="str">
        <f>IFERROR(__xludf.DUMMYFUNCTION("""COMPUTED_VALUE"""),"")</f>
        <v/>
      </c>
      <c r="X200" s="143" t="str">
        <f t="shared" si="2"/>
        <v/>
      </c>
      <c r="Y200" s="139" t="str">
        <f>IFERROR(__xludf.DUMMYFUNCTION("""COMPUTED_VALUE"""),"")</f>
        <v/>
      </c>
      <c r="Z200" s="141" t="str">
        <f>IFERROR(__xludf.DUMMYFUNCTION("""COMPUTED_VALUE"""),"")</f>
        <v/>
      </c>
    </row>
    <row r="201">
      <c r="A201" s="136"/>
      <c r="B201" s="136"/>
      <c r="C201" s="136" t="str">
        <f>IFERROR(__xludf.DUMMYFUNCTION("""COMPUTED_VALUE"""),"")</f>
        <v/>
      </c>
      <c r="D201" s="136" t="str">
        <f t="shared" si="3"/>
        <v/>
      </c>
      <c r="E201" s="152" t="str">
        <f>IFERROR(__xludf.DUMMYFUNCTION("""COMPUTED_VALUE"""),"")</f>
        <v/>
      </c>
      <c r="F201" s="106" t="s">
        <v>133</v>
      </c>
      <c r="G201" s="152" t="str">
        <f>IFERROR(__xludf.DUMMYFUNCTION("""COMPUTED_VALUE"""),"")</f>
        <v/>
      </c>
      <c r="H201" s="106" t="s">
        <v>133</v>
      </c>
      <c r="I201" s="136"/>
      <c r="J201" s="139" t="s">
        <v>133</v>
      </c>
      <c r="K201" s="136" t="s">
        <v>133</v>
      </c>
      <c r="L201" s="153" t="str">
        <f>IFERROR(__xludf.DUMMYFUNCTION("""COMPUTED_VALUE"""),"")</f>
        <v/>
      </c>
      <c r="M201" s="136" t="str">
        <f t="shared" si="1"/>
        <v/>
      </c>
      <c r="N201" s="136" t="str">
        <f>IFERROR(__xludf.DUMMYFUNCTION("""COMPUTED_VALUE"""),"")</f>
        <v/>
      </c>
      <c r="O201" s="141" t="s">
        <v>133</v>
      </c>
      <c r="P201" s="136" t="str">
        <f>IFERROR(__xludf.DUMMYFUNCTION("""COMPUTED_VALUE"""),"")</f>
        <v/>
      </c>
      <c r="Q201" s="136" t="str">
        <f>IFERROR(__xludf.DUMMYFUNCTION("""COMPUTED_VALUE"""),"")</f>
        <v/>
      </c>
      <c r="R201" s="106" t="str">
        <f>IFERROR(__xludf.DUMMYFUNCTION("""COMPUTED_VALUE"""),"")</f>
        <v/>
      </c>
      <c r="S201" s="106" t="str">
        <f>IFERROR(__xludf.DUMMYFUNCTION("""COMPUTED_VALUE"""),"")</f>
        <v/>
      </c>
      <c r="T201" s="139" t="str">
        <f>IFERROR(__xludf.DUMMYFUNCTION("""COMPUTED_VALUE"""),"")</f>
        <v/>
      </c>
      <c r="U201" s="139" t="str">
        <f>IFERROR(__xludf.DUMMYFUNCTION("""COMPUTED_VALUE"""),"")</f>
        <v/>
      </c>
      <c r="V201" s="136" t="str">
        <f>IFERROR(__xludf.DUMMYFUNCTION("""COMPUTED_VALUE"""),"")</f>
        <v/>
      </c>
      <c r="W201" s="106" t="str">
        <f>IFERROR(__xludf.DUMMYFUNCTION("""COMPUTED_VALUE"""),"")</f>
        <v/>
      </c>
      <c r="X201" s="143" t="str">
        <f t="shared" si="2"/>
        <v/>
      </c>
      <c r="Y201" s="139" t="str">
        <f>IFERROR(__xludf.DUMMYFUNCTION("""COMPUTED_VALUE"""),"")</f>
        <v/>
      </c>
      <c r="Z201" s="141" t="str">
        <f>IFERROR(__xludf.DUMMYFUNCTION("""COMPUTED_VALUE"""),"")</f>
        <v/>
      </c>
    </row>
    <row r="202">
      <c r="A202" s="136"/>
      <c r="B202" s="136"/>
      <c r="C202" s="136" t="str">
        <f>IFERROR(__xludf.DUMMYFUNCTION("""COMPUTED_VALUE"""),"")</f>
        <v/>
      </c>
      <c r="D202" s="136" t="str">
        <f t="shared" si="3"/>
        <v/>
      </c>
      <c r="E202" s="152" t="str">
        <f>IFERROR(__xludf.DUMMYFUNCTION("""COMPUTED_VALUE"""),"")</f>
        <v/>
      </c>
      <c r="F202" s="106" t="s">
        <v>133</v>
      </c>
      <c r="G202" s="152" t="str">
        <f>IFERROR(__xludf.DUMMYFUNCTION("""COMPUTED_VALUE"""),"")</f>
        <v/>
      </c>
      <c r="H202" s="106" t="s">
        <v>133</v>
      </c>
      <c r="I202" s="136"/>
      <c r="J202" s="139" t="s">
        <v>133</v>
      </c>
      <c r="K202" s="136" t="s">
        <v>133</v>
      </c>
      <c r="L202" s="153" t="str">
        <f>IFERROR(__xludf.DUMMYFUNCTION("""COMPUTED_VALUE"""),"")</f>
        <v/>
      </c>
      <c r="M202" s="136" t="str">
        <f t="shared" si="1"/>
        <v/>
      </c>
      <c r="N202" s="136" t="str">
        <f>IFERROR(__xludf.DUMMYFUNCTION("""COMPUTED_VALUE"""),"")</f>
        <v/>
      </c>
      <c r="O202" s="141" t="s">
        <v>133</v>
      </c>
      <c r="P202" s="136" t="str">
        <f>IFERROR(__xludf.DUMMYFUNCTION("""COMPUTED_VALUE"""),"")</f>
        <v/>
      </c>
      <c r="Q202" s="136" t="str">
        <f>IFERROR(__xludf.DUMMYFUNCTION("""COMPUTED_VALUE"""),"")</f>
        <v/>
      </c>
      <c r="R202" s="106" t="str">
        <f>IFERROR(__xludf.DUMMYFUNCTION("""COMPUTED_VALUE"""),"")</f>
        <v/>
      </c>
      <c r="S202" s="106" t="str">
        <f>IFERROR(__xludf.DUMMYFUNCTION("""COMPUTED_VALUE"""),"")</f>
        <v/>
      </c>
      <c r="T202" s="139" t="str">
        <f>IFERROR(__xludf.DUMMYFUNCTION("""COMPUTED_VALUE"""),"")</f>
        <v/>
      </c>
      <c r="U202" s="139" t="str">
        <f>IFERROR(__xludf.DUMMYFUNCTION("""COMPUTED_VALUE"""),"")</f>
        <v/>
      </c>
      <c r="V202" s="136" t="str">
        <f>IFERROR(__xludf.DUMMYFUNCTION("""COMPUTED_VALUE"""),"")</f>
        <v/>
      </c>
      <c r="W202" s="106" t="str">
        <f>IFERROR(__xludf.DUMMYFUNCTION("""COMPUTED_VALUE"""),"")</f>
        <v/>
      </c>
      <c r="X202" s="143" t="str">
        <f t="shared" si="2"/>
        <v/>
      </c>
      <c r="Y202" s="139" t="str">
        <f>IFERROR(__xludf.DUMMYFUNCTION("""COMPUTED_VALUE"""),"")</f>
        <v/>
      </c>
      <c r="Z202" s="141" t="str">
        <f>IFERROR(__xludf.DUMMYFUNCTION("""COMPUTED_VALUE"""),"")</f>
        <v/>
      </c>
    </row>
    <row r="203">
      <c r="A203" s="136"/>
      <c r="B203" s="136"/>
      <c r="C203" s="136" t="str">
        <f>IFERROR(__xludf.DUMMYFUNCTION("""COMPUTED_VALUE"""),"")</f>
        <v/>
      </c>
      <c r="D203" s="136" t="str">
        <f t="shared" si="3"/>
        <v/>
      </c>
      <c r="E203" s="152" t="str">
        <f>IFERROR(__xludf.DUMMYFUNCTION("""COMPUTED_VALUE"""),"")</f>
        <v/>
      </c>
      <c r="F203" s="106" t="s">
        <v>133</v>
      </c>
      <c r="G203" s="152" t="str">
        <f>IFERROR(__xludf.DUMMYFUNCTION("""COMPUTED_VALUE"""),"")</f>
        <v/>
      </c>
      <c r="H203" s="106" t="s">
        <v>133</v>
      </c>
      <c r="I203" s="136"/>
      <c r="J203" s="139" t="s">
        <v>133</v>
      </c>
      <c r="K203" s="136" t="s">
        <v>133</v>
      </c>
      <c r="L203" s="153" t="str">
        <f>IFERROR(__xludf.DUMMYFUNCTION("""COMPUTED_VALUE"""),"")</f>
        <v/>
      </c>
      <c r="M203" s="136" t="str">
        <f t="shared" si="1"/>
        <v/>
      </c>
      <c r="N203" s="136" t="str">
        <f>IFERROR(__xludf.DUMMYFUNCTION("""COMPUTED_VALUE"""),"")</f>
        <v/>
      </c>
      <c r="O203" s="141" t="s">
        <v>133</v>
      </c>
      <c r="P203" s="136" t="str">
        <f>IFERROR(__xludf.DUMMYFUNCTION("""COMPUTED_VALUE"""),"")</f>
        <v/>
      </c>
      <c r="Q203" s="136" t="str">
        <f>IFERROR(__xludf.DUMMYFUNCTION("""COMPUTED_VALUE"""),"")</f>
        <v/>
      </c>
      <c r="R203" s="106" t="str">
        <f>IFERROR(__xludf.DUMMYFUNCTION("""COMPUTED_VALUE"""),"")</f>
        <v/>
      </c>
      <c r="S203" s="106" t="str">
        <f>IFERROR(__xludf.DUMMYFUNCTION("""COMPUTED_VALUE"""),"")</f>
        <v/>
      </c>
      <c r="T203" s="139" t="str">
        <f>IFERROR(__xludf.DUMMYFUNCTION("""COMPUTED_VALUE"""),"")</f>
        <v/>
      </c>
      <c r="U203" s="139" t="str">
        <f>IFERROR(__xludf.DUMMYFUNCTION("""COMPUTED_VALUE"""),"")</f>
        <v/>
      </c>
      <c r="V203" s="136" t="str">
        <f>IFERROR(__xludf.DUMMYFUNCTION("""COMPUTED_VALUE"""),"")</f>
        <v/>
      </c>
      <c r="W203" s="106" t="str">
        <f>IFERROR(__xludf.DUMMYFUNCTION("""COMPUTED_VALUE"""),"")</f>
        <v/>
      </c>
      <c r="X203" s="143" t="str">
        <f t="shared" si="2"/>
        <v/>
      </c>
      <c r="Y203" s="139" t="str">
        <f>IFERROR(__xludf.DUMMYFUNCTION("""COMPUTED_VALUE"""),"")</f>
        <v/>
      </c>
      <c r="Z203" s="141" t="str">
        <f>IFERROR(__xludf.DUMMYFUNCTION("""COMPUTED_VALUE"""),"")</f>
        <v/>
      </c>
    </row>
    <row r="204">
      <c r="A204" s="136"/>
      <c r="B204" s="136"/>
      <c r="C204" s="136" t="str">
        <f>IFERROR(__xludf.DUMMYFUNCTION("""COMPUTED_VALUE"""),"")</f>
        <v/>
      </c>
      <c r="D204" s="136" t="str">
        <f t="shared" si="3"/>
        <v/>
      </c>
      <c r="E204" s="152" t="str">
        <f>IFERROR(__xludf.DUMMYFUNCTION("""COMPUTED_VALUE"""),"")</f>
        <v/>
      </c>
      <c r="F204" s="106" t="s">
        <v>133</v>
      </c>
      <c r="G204" s="152" t="str">
        <f>IFERROR(__xludf.DUMMYFUNCTION("""COMPUTED_VALUE"""),"")</f>
        <v/>
      </c>
      <c r="H204" s="106" t="s">
        <v>133</v>
      </c>
      <c r="I204" s="136"/>
      <c r="J204" s="139" t="s">
        <v>133</v>
      </c>
      <c r="K204" s="136" t="s">
        <v>133</v>
      </c>
      <c r="L204" s="153" t="str">
        <f>IFERROR(__xludf.DUMMYFUNCTION("""COMPUTED_VALUE"""),"")</f>
        <v/>
      </c>
      <c r="M204" s="136" t="str">
        <f t="shared" si="1"/>
        <v/>
      </c>
      <c r="N204" s="136" t="str">
        <f>IFERROR(__xludf.DUMMYFUNCTION("""COMPUTED_VALUE"""),"")</f>
        <v/>
      </c>
      <c r="O204" s="141" t="s">
        <v>133</v>
      </c>
      <c r="P204" s="136" t="str">
        <f>IFERROR(__xludf.DUMMYFUNCTION("""COMPUTED_VALUE"""),"")</f>
        <v/>
      </c>
      <c r="Q204" s="136" t="str">
        <f>IFERROR(__xludf.DUMMYFUNCTION("""COMPUTED_VALUE"""),"")</f>
        <v/>
      </c>
      <c r="R204" s="106" t="str">
        <f>IFERROR(__xludf.DUMMYFUNCTION("""COMPUTED_VALUE"""),"")</f>
        <v/>
      </c>
      <c r="S204" s="106" t="str">
        <f>IFERROR(__xludf.DUMMYFUNCTION("""COMPUTED_VALUE"""),"")</f>
        <v/>
      </c>
      <c r="T204" s="139" t="str">
        <f>IFERROR(__xludf.DUMMYFUNCTION("""COMPUTED_VALUE"""),"")</f>
        <v/>
      </c>
      <c r="U204" s="139" t="str">
        <f>IFERROR(__xludf.DUMMYFUNCTION("""COMPUTED_VALUE"""),"")</f>
        <v/>
      </c>
      <c r="V204" s="136" t="str">
        <f>IFERROR(__xludf.DUMMYFUNCTION("""COMPUTED_VALUE"""),"")</f>
        <v/>
      </c>
      <c r="W204" s="106" t="str">
        <f>IFERROR(__xludf.DUMMYFUNCTION("""COMPUTED_VALUE"""),"")</f>
        <v/>
      </c>
      <c r="X204" s="143" t="str">
        <f t="shared" si="2"/>
        <v/>
      </c>
      <c r="Y204" s="139" t="str">
        <f>IFERROR(__xludf.DUMMYFUNCTION("""COMPUTED_VALUE"""),"")</f>
        <v/>
      </c>
      <c r="Z204" s="141" t="str">
        <f>IFERROR(__xludf.DUMMYFUNCTION("""COMPUTED_VALUE"""),"")</f>
        <v/>
      </c>
    </row>
    <row r="205">
      <c r="A205" s="136"/>
      <c r="B205" s="136"/>
      <c r="C205" s="136" t="str">
        <f>IFERROR(__xludf.DUMMYFUNCTION("""COMPUTED_VALUE"""),"")</f>
        <v/>
      </c>
      <c r="D205" s="136" t="str">
        <f t="shared" si="3"/>
        <v/>
      </c>
      <c r="E205" s="152" t="str">
        <f>IFERROR(__xludf.DUMMYFUNCTION("""COMPUTED_VALUE"""),"")</f>
        <v/>
      </c>
      <c r="F205" s="106" t="s">
        <v>133</v>
      </c>
      <c r="G205" s="152" t="str">
        <f>IFERROR(__xludf.DUMMYFUNCTION("""COMPUTED_VALUE"""),"")</f>
        <v/>
      </c>
      <c r="H205" s="106" t="s">
        <v>133</v>
      </c>
      <c r="I205" s="136"/>
      <c r="J205" s="139" t="s">
        <v>133</v>
      </c>
      <c r="K205" s="136" t="s">
        <v>133</v>
      </c>
      <c r="L205" s="153" t="str">
        <f>IFERROR(__xludf.DUMMYFUNCTION("""COMPUTED_VALUE"""),"")</f>
        <v/>
      </c>
      <c r="M205" s="136" t="str">
        <f t="shared" si="1"/>
        <v/>
      </c>
      <c r="N205" s="136" t="str">
        <f>IFERROR(__xludf.DUMMYFUNCTION("""COMPUTED_VALUE"""),"")</f>
        <v/>
      </c>
      <c r="O205" s="141" t="s">
        <v>133</v>
      </c>
      <c r="P205" s="136" t="str">
        <f>IFERROR(__xludf.DUMMYFUNCTION("""COMPUTED_VALUE"""),"")</f>
        <v/>
      </c>
      <c r="Q205" s="136" t="str">
        <f>IFERROR(__xludf.DUMMYFUNCTION("""COMPUTED_VALUE"""),"")</f>
        <v/>
      </c>
      <c r="R205" s="106" t="str">
        <f>IFERROR(__xludf.DUMMYFUNCTION("""COMPUTED_VALUE"""),"")</f>
        <v/>
      </c>
      <c r="S205" s="106" t="str">
        <f>IFERROR(__xludf.DUMMYFUNCTION("""COMPUTED_VALUE"""),"")</f>
        <v/>
      </c>
      <c r="T205" s="139" t="str">
        <f>IFERROR(__xludf.DUMMYFUNCTION("""COMPUTED_VALUE"""),"")</f>
        <v/>
      </c>
      <c r="U205" s="139" t="str">
        <f>IFERROR(__xludf.DUMMYFUNCTION("""COMPUTED_VALUE"""),"")</f>
        <v/>
      </c>
      <c r="V205" s="136" t="str">
        <f>IFERROR(__xludf.DUMMYFUNCTION("""COMPUTED_VALUE"""),"")</f>
        <v/>
      </c>
      <c r="W205" s="106" t="str">
        <f>IFERROR(__xludf.DUMMYFUNCTION("""COMPUTED_VALUE"""),"")</f>
        <v/>
      </c>
      <c r="X205" s="143" t="str">
        <f t="shared" si="2"/>
        <v/>
      </c>
      <c r="Y205" s="139" t="str">
        <f>IFERROR(__xludf.DUMMYFUNCTION("""COMPUTED_VALUE"""),"")</f>
        <v/>
      </c>
      <c r="Z205" s="141" t="str">
        <f>IFERROR(__xludf.DUMMYFUNCTION("""COMPUTED_VALUE"""),"")</f>
        <v/>
      </c>
    </row>
    <row r="206">
      <c r="A206" s="136"/>
      <c r="B206" s="136"/>
      <c r="C206" s="136" t="str">
        <f>IFERROR(__xludf.DUMMYFUNCTION("""COMPUTED_VALUE"""),"")</f>
        <v/>
      </c>
      <c r="D206" s="136" t="str">
        <f t="shared" si="3"/>
        <v/>
      </c>
      <c r="E206" s="152" t="str">
        <f>IFERROR(__xludf.DUMMYFUNCTION("""COMPUTED_VALUE"""),"")</f>
        <v/>
      </c>
      <c r="F206" s="106" t="s">
        <v>133</v>
      </c>
      <c r="G206" s="152" t="str">
        <f>IFERROR(__xludf.DUMMYFUNCTION("""COMPUTED_VALUE"""),"")</f>
        <v/>
      </c>
      <c r="H206" s="106" t="s">
        <v>133</v>
      </c>
      <c r="I206" s="136"/>
      <c r="J206" s="139" t="s">
        <v>133</v>
      </c>
      <c r="K206" s="136" t="s">
        <v>133</v>
      </c>
      <c r="L206" s="153" t="str">
        <f>IFERROR(__xludf.DUMMYFUNCTION("""COMPUTED_VALUE"""),"")</f>
        <v/>
      </c>
      <c r="M206" s="136" t="str">
        <f t="shared" si="1"/>
        <v/>
      </c>
      <c r="N206" s="136" t="str">
        <f>IFERROR(__xludf.DUMMYFUNCTION("""COMPUTED_VALUE"""),"")</f>
        <v/>
      </c>
      <c r="O206" s="141" t="s">
        <v>133</v>
      </c>
      <c r="P206" s="136" t="str">
        <f>IFERROR(__xludf.DUMMYFUNCTION("""COMPUTED_VALUE"""),"")</f>
        <v/>
      </c>
      <c r="Q206" s="136" t="str">
        <f>IFERROR(__xludf.DUMMYFUNCTION("""COMPUTED_VALUE"""),"")</f>
        <v/>
      </c>
      <c r="R206" s="106" t="str">
        <f>IFERROR(__xludf.DUMMYFUNCTION("""COMPUTED_VALUE"""),"")</f>
        <v/>
      </c>
      <c r="S206" s="106" t="str">
        <f>IFERROR(__xludf.DUMMYFUNCTION("""COMPUTED_VALUE"""),"")</f>
        <v/>
      </c>
      <c r="T206" s="139" t="str">
        <f>IFERROR(__xludf.DUMMYFUNCTION("""COMPUTED_VALUE"""),"")</f>
        <v/>
      </c>
      <c r="U206" s="139" t="str">
        <f>IFERROR(__xludf.DUMMYFUNCTION("""COMPUTED_VALUE"""),"")</f>
        <v/>
      </c>
      <c r="V206" s="136" t="str">
        <f>IFERROR(__xludf.DUMMYFUNCTION("""COMPUTED_VALUE"""),"")</f>
        <v/>
      </c>
      <c r="W206" s="106" t="str">
        <f>IFERROR(__xludf.DUMMYFUNCTION("""COMPUTED_VALUE"""),"")</f>
        <v/>
      </c>
      <c r="X206" s="143" t="str">
        <f t="shared" si="2"/>
        <v/>
      </c>
      <c r="Y206" s="139" t="str">
        <f>IFERROR(__xludf.DUMMYFUNCTION("""COMPUTED_VALUE"""),"")</f>
        <v/>
      </c>
      <c r="Z206" s="141" t="str">
        <f>IFERROR(__xludf.DUMMYFUNCTION("""COMPUTED_VALUE"""),"")</f>
        <v/>
      </c>
    </row>
    <row r="207">
      <c r="A207" s="136"/>
      <c r="B207" s="136"/>
      <c r="C207" s="136" t="str">
        <f>IFERROR(__xludf.DUMMYFUNCTION("""COMPUTED_VALUE"""),"")</f>
        <v/>
      </c>
      <c r="D207" s="136" t="str">
        <f t="shared" si="3"/>
        <v/>
      </c>
      <c r="E207" s="152" t="str">
        <f>IFERROR(__xludf.DUMMYFUNCTION("""COMPUTED_VALUE"""),"")</f>
        <v/>
      </c>
      <c r="F207" s="106" t="s">
        <v>133</v>
      </c>
      <c r="G207" s="152" t="str">
        <f>IFERROR(__xludf.DUMMYFUNCTION("""COMPUTED_VALUE"""),"")</f>
        <v/>
      </c>
      <c r="H207" s="106" t="s">
        <v>133</v>
      </c>
      <c r="I207" s="136"/>
      <c r="J207" s="139" t="s">
        <v>133</v>
      </c>
      <c r="K207" s="136" t="s">
        <v>133</v>
      </c>
      <c r="L207" s="153" t="str">
        <f>IFERROR(__xludf.DUMMYFUNCTION("""COMPUTED_VALUE"""),"")</f>
        <v/>
      </c>
      <c r="M207" s="136" t="str">
        <f t="shared" si="1"/>
        <v/>
      </c>
      <c r="N207" s="136" t="str">
        <f>IFERROR(__xludf.DUMMYFUNCTION("""COMPUTED_VALUE"""),"")</f>
        <v/>
      </c>
      <c r="O207" s="141" t="s">
        <v>133</v>
      </c>
      <c r="P207" s="136" t="str">
        <f>IFERROR(__xludf.DUMMYFUNCTION("""COMPUTED_VALUE"""),"")</f>
        <v/>
      </c>
      <c r="Q207" s="136" t="str">
        <f>IFERROR(__xludf.DUMMYFUNCTION("""COMPUTED_VALUE"""),"")</f>
        <v/>
      </c>
      <c r="R207" s="106" t="str">
        <f>IFERROR(__xludf.DUMMYFUNCTION("""COMPUTED_VALUE"""),"")</f>
        <v/>
      </c>
      <c r="S207" s="106" t="str">
        <f>IFERROR(__xludf.DUMMYFUNCTION("""COMPUTED_VALUE"""),"")</f>
        <v/>
      </c>
      <c r="T207" s="139" t="str">
        <f>IFERROR(__xludf.DUMMYFUNCTION("""COMPUTED_VALUE"""),"")</f>
        <v/>
      </c>
      <c r="U207" s="139" t="str">
        <f>IFERROR(__xludf.DUMMYFUNCTION("""COMPUTED_VALUE"""),"")</f>
        <v/>
      </c>
      <c r="V207" s="136" t="str">
        <f>IFERROR(__xludf.DUMMYFUNCTION("""COMPUTED_VALUE"""),"")</f>
        <v/>
      </c>
      <c r="W207" s="106" t="str">
        <f>IFERROR(__xludf.DUMMYFUNCTION("""COMPUTED_VALUE"""),"")</f>
        <v/>
      </c>
      <c r="X207" s="143" t="str">
        <f t="shared" si="2"/>
        <v/>
      </c>
      <c r="Y207" s="139" t="str">
        <f>IFERROR(__xludf.DUMMYFUNCTION("""COMPUTED_VALUE"""),"")</f>
        <v/>
      </c>
      <c r="Z207" s="141" t="str">
        <f>IFERROR(__xludf.DUMMYFUNCTION("""COMPUTED_VALUE"""),"")</f>
        <v/>
      </c>
    </row>
    <row r="208">
      <c r="A208" s="136"/>
      <c r="B208" s="136"/>
      <c r="C208" s="136" t="str">
        <f>IFERROR(__xludf.DUMMYFUNCTION("""COMPUTED_VALUE"""),"")</f>
        <v/>
      </c>
      <c r="D208" s="136" t="str">
        <f t="shared" si="3"/>
        <v/>
      </c>
      <c r="E208" s="152" t="str">
        <f>IFERROR(__xludf.DUMMYFUNCTION("""COMPUTED_VALUE"""),"")</f>
        <v/>
      </c>
      <c r="F208" s="106" t="s">
        <v>133</v>
      </c>
      <c r="G208" s="152" t="str">
        <f>IFERROR(__xludf.DUMMYFUNCTION("""COMPUTED_VALUE"""),"")</f>
        <v/>
      </c>
      <c r="H208" s="106" t="s">
        <v>133</v>
      </c>
      <c r="I208" s="136"/>
      <c r="J208" s="139" t="s">
        <v>133</v>
      </c>
      <c r="K208" s="136" t="s">
        <v>133</v>
      </c>
      <c r="L208" s="153" t="str">
        <f>IFERROR(__xludf.DUMMYFUNCTION("""COMPUTED_VALUE"""),"")</f>
        <v/>
      </c>
      <c r="M208" s="136" t="str">
        <f t="shared" si="1"/>
        <v/>
      </c>
      <c r="N208" s="136" t="str">
        <f>IFERROR(__xludf.DUMMYFUNCTION("""COMPUTED_VALUE"""),"")</f>
        <v/>
      </c>
      <c r="O208" s="141" t="s">
        <v>133</v>
      </c>
      <c r="P208" s="136" t="str">
        <f>IFERROR(__xludf.DUMMYFUNCTION("""COMPUTED_VALUE"""),"")</f>
        <v/>
      </c>
      <c r="Q208" s="136" t="str">
        <f>IFERROR(__xludf.DUMMYFUNCTION("""COMPUTED_VALUE"""),"")</f>
        <v/>
      </c>
      <c r="R208" s="106" t="str">
        <f>IFERROR(__xludf.DUMMYFUNCTION("""COMPUTED_VALUE"""),"")</f>
        <v/>
      </c>
      <c r="S208" s="106" t="str">
        <f>IFERROR(__xludf.DUMMYFUNCTION("""COMPUTED_VALUE"""),"")</f>
        <v/>
      </c>
      <c r="T208" s="139" t="str">
        <f>IFERROR(__xludf.DUMMYFUNCTION("""COMPUTED_VALUE"""),"")</f>
        <v/>
      </c>
      <c r="U208" s="139" t="str">
        <f>IFERROR(__xludf.DUMMYFUNCTION("""COMPUTED_VALUE"""),"")</f>
        <v/>
      </c>
      <c r="V208" s="136" t="str">
        <f>IFERROR(__xludf.DUMMYFUNCTION("""COMPUTED_VALUE"""),"")</f>
        <v/>
      </c>
      <c r="W208" s="106" t="str">
        <f>IFERROR(__xludf.DUMMYFUNCTION("""COMPUTED_VALUE"""),"")</f>
        <v/>
      </c>
      <c r="X208" s="143" t="str">
        <f t="shared" si="2"/>
        <v/>
      </c>
      <c r="Y208" s="139" t="str">
        <f>IFERROR(__xludf.DUMMYFUNCTION("""COMPUTED_VALUE"""),"")</f>
        <v/>
      </c>
      <c r="Z208" s="141" t="str">
        <f>IFERROR(__xludf.DUMMYFUNCTION("""COMPUTED_VALUE"""),"")</f>
        <v/>
      </c>
    </row>
    <row r="209">
      <c r="A209" s="136"/>
      <c r="B209" s="136"/>
      <c r="C209" s="136" t="str">
        <f>IFERROR(__xludf.DUMMYFUNCTION("""COMPUTED_VALUE"""),"")</f>
        <v/>
      </c>
      <c r="D209" s="136" t="str">
        <f t="shared" si="3"/>
        <v/>
      </c>
      <c r="E209" s="152" t="str">
        <f>IFERROR(__xludf.DUMMYFUNCTION("""COMPUTED_VALUE"""),"")</f>
        <v/>
      </c>
      <c r="F209" s="106" t="s">
        <v>133</v>
      </c>
      <c r="G209" s="152" t="str">
        <f>IFERROR(__xludf.DUMMYFUNCTION("""COMPUTED_VALUE"""),"")</f>
        <v/>
      </c>
      <c r="H209" s="106" t="s">
        <v>133</v>
      </c>
      <c r="I209" s="136"/>
      <c r="J209" s="139" t="s">
        <v>133</v>
      </c>
      <c r="K209" s="136" t="s">
        <v>133</v>
      </c>
      <c r="L209" s="153" t="str">
        <f>IFERROR(__xludf.DUMMYFUNCTION("""COMPUTED_VALUE"""),"")</f>
        <v/>
      </c>
      <c r="M209" s="136" t="str">
        <f t="shared" si="1"/>
        <v/>
      </c>
      <c r="N209" s="136" t="str">
        <f>IFERROR(__xludf.DUMMYFUNCTION("""COMPUTED_VALUE"""),"")</f>
        <v/>
      </c>
      <c r="O209" s="141" t="s">
        <v>133</v>
      </c>
      <c r="P209" s="136" t="str">
        <f>IFERROR(__xludf.DUMMYFUNCTION("""COMPUTED_VALUE"""),"")</f>
        <v/>
      </c>
      <c r="Q209" s="136" t="str">
        <f>IFERROR(__xludf.DUMMYFUNCTION("""COMPUTED_VALUE"""),"")</f>
        <v/>
      </c>
      <c r="R209" s="106" t="str">
        <f>IFERROR(__xludf.DUMMYFUNCTION("""COMPUTED_VALUE"""),"")</f>
        <v/>
      </c>
      <c r="S209" s="106" t="str">
        <f>IFERROR(__xludf.DUMMYFUNCTION("""COMPUTED_VALUE"""),"")</f>
        <v/>
      </c>
      <c r="T209" s="139" t="str">
        <f>IFERROR(__xludf.DUMMYFUNCTION("""COMPUTED_VALUE"""),"")</f>
        <v/>
      </c>
      <c r="U209" s="139" t="str">
        <f>IFERROR(__xludf.DUMMYFUNCTION("""COMPUTED_VALUE"""),"")</f>
        <v/>
      </c>
      <c r="V209" s="136" t="str">
        <f>IFERROR(__xludf.DUMMYFUNCTION("""COMPUTED_VALUE"""),"")</f>
        <v/>
      </c>
      <c r="W209" s="106" t="str">
        <f>IFERROR(__xludf.DUMMYFUNCTION("""COMPUTED_VALUE"""),"")</f>
        <v/>
      </c>
      <c r="X209" s="143" t="str">
        <f t="shared" si="2"/>
        <v/>
      </c>
      <c r="Y209" s="139" t="str">
        <f>IFERROR(__xludf.DUMMYFUNCTION("""COMPUTED_VALUE"""),"")</f>
        <v/>
      </c>
      <c r="Z209" s="141" t="str">
        <f>IFERROR(__xludf.DUMMYFUNCTION("""COMPUTED_VALUE"""),"")</f>
        <v/>
      </c>
    </row>
    <row r="210">
      <c r="A210" s="136"/>
      <c r="B210" s="136"/>
      <c r="C210" s="136" t="str">
        <f>IFERROR(__xludf.DUMMYFUNCTION("""COMPUTED_VALUE"""),"")</f>
        <v/>
      </c>
      <c r="D210" s="136" t="str">
        <f t="shared" si="3"/>
        <v/>
      </c>
      <c r="E210" s="152" t="str">
        <f>IFERROR(__xludf.DUMMYFUNCTION("""COMPUTED_VALUE"""),"")</f>
        <v/>
      </c>
      <c r="F210" s="106" t="s">
        <v>133</v>
      </c>
      <c r="G210" s="152" t="str">
        <f>IFERROR(__xludf.DUMMYFUNCTION("""COMPUTED_VALUE"""),"")</f>
        <v/>
      </c>
      <c r="H210" s="106" t="s">
        <v>133</v>
      </c>
      <c r="I210" s="136"/>
      <c r="J210" s="139" t="s">
        <v>133</v>
      </c>
      <c r="K210" s="136" t="s">
        <v>133</v>
      </c>
      <c r="L210" s="153" t="str">
        <f>IFERROR(__xludf.DUMMYFUNCTION("""COMPUTED_VALUE"""),"")</f>
        <v/>
      </c>
      <c r="M210" s="136" t="str">
        <f t="shared" si="1"/>
        <v/>
      </c>
      <c r="N210" s="136" t="str">
        <f>IFERROR(__xludf.DUMMYFUNCTION("""COMPUTED_VALUE"""),"")</f>
        <v/>
      </c>
      <c r="O210" s="141" t="s">
        <v>133</v>
      </c>
      <c r="P210" s="136" t="str">
        <f>IFERROR(__xludf.DUMMYFUNCTION("""COMPUTED_VALUE"""),"")</f>
        <v/>
      </c>
      <c r="Q210" s="136" t="str">
        <f>IFERROR(__xludf.DUMMYFUNCTION("""COMPUTED_VALUE"""),"")</f>
        <v/>
      </c>
      <c r="R210" s="106" t="str">
        <f>IFERROR(__xludf.DUMMYFUNCTION("""COMPUTED_VALUE"""),"")</f>
        <v/>
      </c>
      <c r="S210" s="106" t="str">
        <f>IFERROR(__xludf.DUMMYFUNCTION("""COMPUTED_VALUE"""),"")</f>
        <v/>
      </c>
      <c r="T210" s="139" t="str">
        <f>IFERROR(__xludf.DUMMYFUNCTION("""COMPUTED_VALUE"""),"")</f>
        <v/>
      </c>
      <c r="U210" s="139" t="str">
        <f>IFERROR(__xludf.DUMMYFUNCTION("""COMPUTED_VALUE"""),"")</f>
        <v/>
      </c>
      <c r="V210" s="136" t="str">
        <f>IFERROR(__xludf.DUMMYFUNCTION("""COMPUTED_VALUE"""),"")</f>
        <v/>
      </c>
      <c r="W210" s="106" t="str">
        <f>IFERROR(__xludf.DUMMYFUNCTION("""COMPUTED_VALUE"""),"")</f>
        <v/>
      </c>
      <c r="X210" s="143" t="str">
        <f t="shared" si="2"/>
        <v/>
      </c>
      <c r="Y210" s="139" t="str">
        <f>IFERROR(__xludf.DUMMYFUNCTION("""COMPUTED_VALUE"""),"")</f>
        <v/>
      </c>
      <c r="Z210" s="141" t="str">
        <f>IFERROR(__xludf.DUMMYFUNCTION("""COMPUTED_VALUE"""),"")</f>
        <v/>
      </c>
    </row>
    <row r="211">
      <c r="A211" s="136"/>
      <c r="B211" s="136"/>
      <c r="C211" s="136" t="str">
        <f>IFERROR(__xludf.DUMMYFUNCTION("""COMPUTED_VALUE"""),"")</f>
        <v/>
      </c>
      <c r="D211" s="136" t="str">
        <f t="shared" si="3"/>
        <v/>
      </c>
      <c r="E211" s="152" t="str">
        <f>IFERROR(__xludf.DUMMYFUNCTION("""COMPUTED_VALUE"""),"")</f>
        <v/>
      </c>
      <c r="F211" s="106" t="s">
        <v>133</v>
      </c>
      <c r="G211" s="152" t="str">
        <f>IFERROR(__xludf.DUMMYFUNCTION("""COMPUTED_VALUE"""),"")</f>
        <v/>
      </c>
      <c r="H211" s="106" t="s">
        <v>133</v>
      </c>
      <c r="I211" s="136"/>
      <c r="J211" s="139" t="s">
        <v>133</v>
      </c>
      <c r="K211" s="136" t="s">
        <v>133</v>
      </c>
      <c r="L211" s="153" t="str">
        <f>IFERROR(__xludf.DUMMYFUNCTION("""COMPUTED_VALUE"""),"")</f>
        <v/>
      </c>
      <c r="M211" s="136" t="str">
        <f t="shared" si="1"/>
        <v/>
      </c>
      <c r="N211" s="136" t="str">
        <f>IFERROR(__xludf.DUMMYFUNCTION("""COMPUTED_VALUE"""),"")</f>
        <v/>
      </c>
      <c r="O211" s="141" t="s">
        <v>133</v>
      </c>
      <c r="P211" s="136" t="str">
        <f>IFERROR(__xludf.DUMMYFUNCTION("""COMPUTED_VALUE"""),"")</f>
        <v/>
      </c>
      <c r="Q211" s="136" t="str">
        <f>IFERROR(__xludf.DUMMYFUNCTION("""COMPUTED_VALUE"""),"")</f>
        <v/>
      </c>
      <c r="R211" s="106" t="str">
        <f>IFERROR(__xludf.DUMMYFUNCTION("""COMPUTED_VALUE"""),"")</f>
        <v/>
      </c>
      <c r="S211" s="106" t="str">
        <f>IFERROR(__xludf.DUMMYFUNCTION("""COMPUTED_VALUE"""),"")</f>
        <v/>
      </c>
      <c r="T211" s="139" t="str">
        <f>IFERROR(__xludf.DUMMYFUNCTION("""COMPUTED_VALUE"""),"")</f>
        <v/>
      </c>
      <c r="U211" s="139" t="str">
        <f>IFERROR(__xludf.DUMMYFUNCTION("""COMPUTED_VALUE"""),"")</f>
        <v/>
      </c>
      <c r="V211" s="136" t="str">
        <f>IFERROR(__xludf.DUMMYFUNCTION("""COMPUTED_VALUE"""),"")</f>
        <v/>
      </c>
      <c r="W211" s="106" t="str">
        <f>IFERROR(__xludf.DUMMYFUNCTION("""COMPUTED_VALUE"""),"")</f>
        <v/>
      </c>
      <c r="X211" s="143" t="str">
        <f t="shared" si="2"/>
        <v/>
      </c>
      <c r="Y211" s="139" t="str">
        <f>IFERROR(__xludf.DUMMYFUNCTION("""COMPUTED_VALUE"""),"")</f>
        <v/>
      </c>
      <c r="Z211" s="141" t="str">
        <f>IFERROR(__xludf.DUMMYFUNCTION("""COMPUTED_VALUE"""),"")</f>
        <v/>
      </c>
    </row>
    <row r="212">
      <c r="A212" s="136"/>
      <c r="B212" s="136"/>
      <c r="C212" s="136" t="str">
        <f>IFERROR(__xludf.DUMMYFUNCTION("""COMPUTED_VALUE"""),"")</f>
        <v/>
      </c>
      <c r="D212" s="136" t="str">
        <f t="shared" si="3"/>
        <v/>
      </c>
      <c r="E212" s="152" t="str">
        <f>IFERROR(__xludf.DUMMYFUNCTION("""COMPUTED_VALUE"""),"")</f>
        <v/>
      </c>
      <c r="F212" s="106" t="s">
        <v>133</v>
      </c>
      <c r="G212" s="152" t="str">
        <f>IFERROR(__xludf.DUMMYFUNCTION("""COMPUTED_VALUE"""),"")</f>
        <v/>
      </c>
      <c r="H212" s="106" t="s">
        <v>133</v>
      </c>
      <c r="I212" s="136"/>
      <c r="J212" s="139" t="s">
        <v>133</v>
      </c>
      <c r="K212" s="136" t="s">
        <v>133</v>
      </c>
      <c r="L212" s="153" t="str">
        <f>IFERROR(__xludf.DUMMYFUNCTION("""COMPUTED_VALUE"""),"")</f>
        <v/>
      </c>
      <c r="M212" s="136" t="str">
        <f t="shared" si="1"/>
        <v/>
      </c>
      <c r="N212" s="136" t="str">
        <f>IFERROR(__xludf.DUMMYFUNCTION("""COMPUTED_VALUE"""),"")</f>
        <v/>
      </c>
      <c r="O212" s="141" t="s">
        <v>133</v>
      </c>
      <c r="P212" s="136" t="str">
        <f>IFERROR(__xludf.DUMMYFUNCTION("""COMPUTED_VALUE"""),"")</f>
        <v/>
      </c>
      <c r="Q212" s="136" t="str">
        <f>IFERROR(__xludf.DUMMYFUNCTION("""COMPUTED_VALUE"""),"")</f>
        <v/>
      </c>
      <c r="R212" s="106" t="str">
        <f>IFERROR(__xludf.DUMMYFUNCTION("""COMPUTED_VALUE"""),"")</f>
        <v/>
      </c>
      <c r="S212" s="106" t="str">
        <f>IFERROR(__xludf.DUMMYFUNCTION("""COMPUTED_VALUE"""),"")</f>
        <v/>
      </c>
      <c r="T212" s="139" t="str">
        <f>IFERROR(__xludf.DUMMYFUNCTION("""COMPUTED_VALUE"""),"")</f>
        <v/>
      </c>
      <c r="U212" s="139" t="str">
        <f>IFERROR(__xludf.DUMMYFUNCTION("""COMPUTED_VALUE"""),"")</f>
        <v/>
      </c>
      <c r="V212" s="136" t="str">
        <f>IFERROR(__xludf.DUMMYFUNCTION("""COMPUTED_VALUE"""),"")</f>
        <v/>
      </c>
      <c r="W212" s="106" t="str">
        <f>IFERROR(__xludf.DUMMYFUNCTION("""COMPUTED_VALUE"""),"")</f>
        <v/>
      </c>
      <c r="X212" s="143" t="str">
        <f t="shared" si="2"/>
        <v/>
      </c>
      <c r="Y212" s="139" t="str">
        <f>IFERROR(__xludf.DUMMYFUNCTION("""COMPUTED_VALUE"""),"")</f>
        <v/>
      </c>
      <c r="Z212" s="141" t="str">
        <f>IFERROR(__xludf.DUMMYFUNCTION("""COMPUTED_VALUE"""),"")</f>
        <v/>
      </c>
    </row>
    <row r="213">
      <c r="A213" s="136"/>
      <c r="B213" s="136"/>
      <c r="C213" s="136" t="str">
        <f>IFERROR(__xludf.DUMMYFUNCTION("""COMPUTED_VALUE"""),"")</f>
        <v/>
      </c>
      <c r="D213" s="136" t="str">
        <f t="shared" si="3"/>
        <v/>
      </c>
      <c r="E213" s="152" t="str">
        <f>IFERROR(__xludf.DUMMYFUNCTION("""COMPUTED_VALUE"""),"")</f>
        <v/>
      </c>
      <c r="F213" s="106" t="s">
        <v>133</v>
      </c>
      <c r="G213" s="152" t="str">
        <f>IFERROR(__xludf.DUMMYFUNCTION("""COMPUTED_VALUE"""),"")</f>
        <v/>
      </c>
      <c r="H213" s="106" t="s">
        <v>133</v>
      </c>
      <c r="I213" s="136"/>
      <c r="J213" s="139" t="s">
        <v>133</v>
      </c>
      <c r="K213" s="136" t="s">
        <v>133</v>
      </c>
      <c r="L213" s="153" t="str">
        <f>IFERROR(__xludf.DUMMYFUNCTION("""COMPUTED_VALUE"""),"")</f>
        <v/>
      </c>
      <c r="M213" s="136" t="str">
        <f t="shared" si="1"/>
        <v/>
      </c>
      <c r="N213" s="136" t="str">
        <f>IFERROR(__xludf.DUMMYFUNCTION("""COMPUTED_VALUE"""),"")</f>
        <v/>
      </c>
      <c r="O213" s="141" t="s">
        <v>133</v>
      </c>
      <c r="P213" s="136" t="str">
        <f>IFERROR(__xludf.DUMMYFUNCTION("""COMPUTED_VALUE"""),"")</f>
        <v/>
      </c>
      <c r="Q213" s="136" t="str">
        <f>IFERROR(__xludf.DUMMYFUNCTION("""COMPUTED_VALUE"""),"")</f>
        <v/>
      </c>
      <c r="R213" s="106" t="str">
        <f>IFERROR(__xludf.DUMMYFUNCTION("""COMPUTED_VALUE"""),"")</f>
        <v/>
      </c>
      <c r="S213" s="106" t="str">
        <f>IFERROR(__xludf.DUMMYFUNCTION("""COMPUTED_VALUE"""),"")</f>
        <v/>
      </c>
      <c r="T213" s="139" t="str">
        <f>IFERROR(__xludf.DUMMYFUNCTION("""COMPUTED_VALUE"""),"")</f>
        <v/>
      </c>
      <c r="U213" s="139" t="str">
        <f>IFERROR(__xludf.DUMMYFUNCTION("""COMPUTED_VALUE"""),"")</f>
        <v/>
      </c>
      <c r="V213" s="136" t="str">
        <f>IFERROR(__xludf.DUMMYFUNCTION("""COMPUTED_VALUE"""),"")</f>
        <v/>
      </c>
      <c r="W213" s="106" t="str">
        <f>IFERROR(__xludf.DUMMYFUNCTION("""COMPUTED_VALUE"""),"")</f>
        <v/>
      </c>
      <c r="X213" s="143" t="str">
        <f t="shared" si="2"/>
        <v/>
      </c>
      <c r="Y213" s="139" t="str">
        <f>IFERROR(__xludf.DUMMYFUNCTION("""COMPUTED_VALUE"""),"")</f>
        <v/>
      </c>
      <c r="Z213" s="141" t="str">
        <f>IFERROR(__xludf.DUMMYFUNCTION("""COMPUTED_VALUE"""),"")</f>
        <v/>
      </c>
    </row>
    <row r="214">
      <c r="A214" s="136"/>
      <c r="B214" s="136"/>
      <c r="C214" s="136" t="str">
        <f>IFERROR(__xludf.DUMMYFUNCTION("""COMPUTED_VALUE"""),"")</f>
        <v/>
      </c>
      <c r="D214" s="136" t="str">
        <f t="shared" si="3"/>
        <v/>
      </c>
      <c r="E214" s="152" t="str">
        <f>IFERROR(__xludf.DUMMYFUNCTION("""COMPUTED_VALUE"""),"")</f>
        <v/>
      </c>
      <c r="F214" s="106" t="s">
        <v>133</v>
      </c>
      <c r="G214" s="152" t="str">
        <f>IFERROR(__xludf.DUMMYFUNCTION("""COMPUTED_VALUE"""),"")</f>
        <v/>
      </c>
      <c r="H214" s="106" t="s">
        <v>133</v>
      </c>
      <c r="I214" s="136"/>
      <c r="J214" s="139" t="s">
        <v>133</v>
      </c>
      <c r="K214" s="136" t="s">
        <v>133</v>
      </c>
      <c r="L214" s="153" t="str">
        <f>IFERROR(__xludf.DUMMYFUNCTION("""COMPUTED_VALUE"""),"")</f>
        <v/>
      </c>
      <c r="M214" s="136" t="str">
        <f t="shared" si="1"/>
        <v/>
      </c>
      <c r="N214" s="136" t="str">
        <f>IFERROR(__xludf.DUMMYFUNCTION("""COMPUTED_VALUE"""),"")</f>
        <v/>
      </c>
      <c r="O214" s="141" t="s">
        <v>133</v>
      </c>
      <c r="P214" s="136" t="str">
        <f>IFERROR(__xludf.DUMMYFUNCTION("""COMPUTED_VALUE"""),"")</f>
        <v/>
      </c>
      <c r="Q214" s="136" t="str">
        <f>IFERROR(__xludf.DUMMYFUNCTION("""COMPUTED_VALUE"""),"")</f>
        <v/>
      </c>
      <c r="R214" s="106" t="str">
        <f>IFERROR(__xludf.DUMMYFUNCTION("""COMPUTED_VALUE"""),"")</f>
        <v/>
      </c>
      <c r="S214" s="106" t="str">
        <f>IFERROR(__xludf.DUMMYFUNCTION("""COMPUTED_VALUE"""),"")</f>
        <v/>
      </c>
      <c r="T214" s="139" t="str">
        <f>IFERROR(__xludf.DUMMYFUNCTION("""COMPUTED_VALUE"""),"")</f>
        <v/>
      </c>
      <c r="U214" s="139" t="str">
        <f>IFERROR(__xludf.DUMMYFUNCTION("""COMPUTED_VALUE"""),"")</f>
        <v/>
      </c>
      <c r="V214" s="136" t="str">
        <f>IFERROR(__xludf.DUMMYFUNCTION("""COMPUTED_VALUE"""),"")</f>
        <v/>
      </c>
      <c r="W214" s="106" t="str">
        <f>IFERROR(__xludf.DUMMYFUNCTION("""COMPUTED_VALUE"""),"")</f>
        <v/>
      </c>
      <c r="X214" s="143" t="str">
        <f t="shared" si="2"/>
        <v/>
      </c>
      <c r="Y214" s="139" t="str">
        <f>IFERROR(__xludf.DUMMYFUNCTION("""COMPUTED_VALUE"""),"")</f>
        <v/>
      </c>
      <c r="Z214" s="141" t="str">
        <f>IFERROR(__xludf.DUMMYFUNCTION("""COMPUTED_VALUE"""),"")</f>
        <v/>
      </c>
    </row>
    <row r="215">
      <c r="A215" s="136"/>
      <c r="B215" s="136"/>
      <c r="C215" s="136" t="str">
        <f>IFERROR(__xludf.DUMMYFUNCTION("""COMPUTED_VALUE"""),"")</f>
        <v/>
      </c>
      <c r="D215" s="136" t="str">
        <f t="shared" si="3"/>
        <v/>
      </c>
      <c r="E215" s="152" t="str">
        <f>IFERROR(__xludf.DUMMYFUNCTION("""COMPUTED_VALUE"""),"")</f>
        <v/>
      </c>
      <c r="F215" s="106" t="s">
        <v>133</v>
      </c>
      <c r="G215" s="152" t="str">
        <f>IFERROR(__xludf.DUMMYFUNCTION("""COMPUTED_VALUE"""),"")</f>
        <v/>
      </c>
      <c r="H215" s="106" t="s">
        <v>133</v>
      </c>
      <c r="I215" s="136"/>
      <c r="J215" s="139" t="s">
        <v>133</v>
      </c>
      <c r="K215" s="136" t="s">
        <v>133</v>
      </c>
      <c r="L215" s="153" t="str">
        <f>IFERROR(__xludf.DUMMYFUNCTION("""COMPUTED_VALUE"""),"")</f>
        <v/>
      </c>
      <c r="M215" s="136" t="str">
        <f t="shared" si="1"/>
        <v/>
      </c>
      <c r="N215" s="136" t="str">
        <f>IFERROR(__xludf.DUMMYFUNCTION("""COMPUTED_VALUE"""),"")</f>
        <v/>
      </c>
      <c r="O215" s="141" t="s">
        <v>133</v>
      </c>
      <c r="P215" s="136" t="str">
        <f>IFERROR(__xludf.DUMMYFUNCTION("""COMPUTED_VALUE"""),"")</f>
        <v/>
      </c>
      <c r="Q215" s="136" t="str">
        <f>IFERROR(__xludf.DUMMYFUNCTION("""COMPUTED_VALUE"""),"")</f>
        <v/>
      </c>
      <c r="R215" s="106" t="str">
        <f>IFERROR(__xludf.DUMMYFUNCTION("""COMPUTED_VALUE"""),"")</f>
        <v/>
      </c>
      <c r="S215" s="106" t="str">
        <f>IFERROR(__xludf.DUMMYFUNCTION("""COMPUTED_VALUE"""),"")</f>
        <v/>
      </c>
      <c r="T215" s="139" t="str">
        <f>IFERROR(__xludf.DUMMYFUNCTION("""COMPUTED_VALUE"""),"")</f>
        <v/>
      </c>
      <c r="U215" s="139" t="str">
        <f>IFERROR(__xludf.DUMMYFUNCTION("""COMPUTED_VALUE"""),"")</f>
        <v/>
      </c>
      <c r="V215" s="136" t="str">
        <f>IFERROR(__xludf.DUMMYFUNCTION("""COMPUTED_VALUE"""),"")</f>
        <v/>
      </c>
      <c r="W215" s="106" t="str">
        <f>IFERROR(__xludf.DUMMYFUNCTION("""COMPUTED_VALUE"""),"")</f>
        <v/>
      </c>
      <c r="X215" s="143" t="str">
        <f t="shared" si="2"/>
        <v/>
      </c>
      <c r="Y215" s="139" t="str">
        <f>IFERROR(__xludf.DUMMYFUNCTION("""COMPUTED_VALUE"""),"")</f>
        <v/>
      </c>
      <c r="Z215" s="141" t="str">
        <f>IFERROR(__xludf.DUMMYFUNCTION("""COMPUTED_VALUE"""),"")</f>
        <v/>
      </c>
    </row>
    <row r="216">
      <c r="A216" s="136"/>
      <c r="B216" s="136"/>
      <c r="C216" s="136" t="str">
        <f>IFERROR(__xludf.DUMMYFUNCTION("""COMPUTED_VALUE"""),"")</f>
        <v/>
      </c>
      <c r="D216" s="136" t="str">
        <f t="shared" si="3"/>
        <v/>
      </c>
      <c r="E216" s="152" t="str">
        <f>IFERROR(__xludf.DUMMYFUNCTION("""COMPUTED_VALUE"""),"")</f>
        <v/>
      </c>
      <c r="F216" s="106" t="s">
        <v>133</v>
      </c>
      <c r="G216" s="152" t="str">
        <f>IFERROR(__xludf.DUMMYFUNCTION("""COMPUTED_VALUE"""),"")</f>
        <v/>
      </c>
      <c r="H216" s="106" t="s">
        <v>133</v>
      </c>
      <c r="I216" s="136"/>
      <c r="J216" s="139" t="s">
        <v>133</v>
      </c>
      <c r="K216" s="136" t="s">
        <v>133</v>
      </c>
      <c r="L216" s="153" t="str">
        <f>IFERROR(__xludf.DUMMYFUNCTION("""COMPUTED_VALUE"""),"")</f>
        <v/>
      </c>
      <c r="M216" s="136" t="str">
        <f t="shared" si="1"/>
        <v/>
      </c>
      <c r="N216" s="136" t="str">
        <f>IFERROR(__xludf.DUMMYFUNCTION("""COMPUTED_VALUE"""),"")</f>
        <v/>
      </c>
      <c r="O216" s="141" t="s">
        <v>133</v>
      </c>
      <c r="P216" s="136" t="str">
        <f>IFERROR(__xludf.DUMMYFUNCTION("""COMPUTED_VALUE"""),"")</f>
        <v/>
      </c>
      <c r="Q216" s="136" t="str">
        <f>IFERROR(__xludf.DUMMYFUNCTION("""COMPUTED_VALUE"""),"")</f>
        <v/>
      </c>
      <c r="R216" s="106" t="str">
        <f>IFERROR(__xludf.DUMMYFUNCTION("""COMPUTED_VALUE"""),"")</f>
        <v/>
      </c>
      <c r="S216" s="106" t="str">
        <f>IFERROR(__xludf.DUMMYFUNCTION("""COMPUTED_VALUE"""),"")</f>
        <v/>
      </c>
      <c r="T216" s="139" t="str">
        <f>IFERROR(__xludf.DUMMYFUNCTION("""COMPUTED_VALUE"""),"")</f>
        <v/>
      </c>
      <c r="U216" s="139" t="str">
        <f>IFERROR(__xludf.DUMMYFUNCTION("""COMPUTED_VALUE"""),"")</f>
        <v/>
      </c>
      <c r="V216" s="136" t="str">
        <f>IFERROR(__xludf.DUMMYFUNCTION("""COMPUTED_VALUE"""),"")</f>
        <v/>
      </c>
      <c r="W216" s="106" t="str">
        <f>IFERROR(__xludf.DUMMYFUNCTION("""COMPUTED_VALUE"""),"")</f>
        <v/>
      </c>
      <c r="X216" s="143" t="str">
        <f t="shared" si="2"/>
        <v/>
      </c>
      <c r="Y216" s="139" t="str">
        <f>IFERROR(__xludf.DUMMYFUNCTION("""COMPUTED_VALUE"""),"")</f>
        <v/>
      </c>
      <c r="Z216" s="141" t="str">
        <f>IFERROR(__xludf.DUMMYFUNCTION("""COMPUTED_VALUE"""),"")</f>
        <v/>
      </c>
    </row>
    <row r="217">
      <c r="A217" s="136"/>
      <c r="B217" s="136"/>
      <c r="C217" s="136" t="str">
        <f>IFERROR(__xludf.DUMMYFUNCTION("""COMPUTED_VALUE"""),"")</f>
        <v/>
      </c>
      <c r="D217" s="136" t="str">
        <f t="shared" si="3"/>
        <v/>
      </c>
      <c r="E217" s="152" t="str">
        <f>IFERROR(__xludf.DUMMYFUNCTION("""COMPUTED_VALUE"""),"")</f>
        <v/>
      </c>
      <c r="F217" s="106" t="s">
        <v>133</v>
      </c>
      <c r="G217" s="152" t="str">
        <f>IFERROR(__xludf.DUMMYFUNCTION("""COMPUTED_VALUE"""),"")</f>
        <v/>
      </c>
      <c r="H217" s="106" t="s">
        <v>133</v>
      </c>
      <c r="I217" s="136"/>
      <c r="J217" s="139" t="s">
        <v>133</v>
      </c>
      <c r="K217" s="136" t="s">
        <v>133</v>
      </c>
      <c r="L217" s="153" t="str">
        <f>IFERROR(__xludf.DUMMYFUNCTION("""COMPUTED_VALUE"""),"")</f>
        <v/>
      </c>
      <c r="M217" s="136" t="str">
        <f t="shared" si="1"/>
        <v/>
      </c>
      <c r="N217" s="136" t="str">
        <f>IFERROR(__xludf.DUMMYFUNCTION("""COMPUTED_VALUE"""),"")</f>
        <v/>
      </c>
      <c r="O217" s="141" t="s">
        <v>133</v>
      </c>
      <c r="P217" s="136" t="str">
        <f>IFERROR(__xludf.DUMMYFUNCTION("""COMPUTED_VALUE"""),"")</f>
        <v/>
      </c>
      <c r="Q217" s="136" t="str">
        <f>IFERROR(__xludf.DUMMYFUNCTION("""COMPUTED_VALUE"""),"")</f>
        <v/>
      </c>
      <c r="R217" s="106" t="str">
        <f>IFERROR(__xludf.DUMMYFUNCTION("""COMPUTED_VALUE"""),"")</f>
        <v/>
      </c>
      <c r="S217" s="106" t="str">
        <f>IFERROR(__xludf.DUMMYFUNCTION("""COMPUTED_VALUE"""),"")</f>
        <v/>
      </c>
      <c r="T217" s="139" t="str">
        <f>IFERROR(__xludf.DUMMYFUNCTION("""COMPUTED_VALUE"""),"")</f>
        <v/>
      </c>
      <c r="U217" s="139" t="str">
        <f>IFERROR(__xludf.DUMMYFUNCTION("""COMPUTED_VALUE"""),"")</f>
        <v/>
      </c>
      <c r="V217" s="136" t="str">
        <f>IFERROR(__xludf.DUMMYFUNCTION("""COMPUTED_VALUE"""),"")</f>
        <v/>
      </c>
      <c r="W217" s="106" t="str">
        <f>IFERROR(__xludf.DUMMYFUNCTION("""COMPUTED_VALUE"""),"")</f>
        <v/>
      </c>
      <c r="X217" s="143" t="str">
        <f t="shared" si="2"/>
        <v/>
      </c>
      <c r="Y217" s="139" t="str">
        <f>IFERROR(__xludf.DUMMYFUNCTION("""COMPUTED_VALUE"""),"")</f>
        <v/>
      </c>
      <c r="Z217" s="141" t="str">
        <f>IFERROR(__xludf.DUMMYFUNCTION("""COMPUTED_VALUE"""),"")</f>
        <v/>
      </c>
    </row>
    <row r="218">
      <c r="A218" s="136"/>
      <c r="B218" s="136"/>
      <c r="C218" s="136" t="str">
        <f>IFERROR(__xludf.DUMMYFUNCTION("""COMPUTED_VALUE"""),"")</f>
        <v/>
      </c>
      <c r="D218" s="136" t="str">
        <f t="shared" si="3"/>
        <v/>
      </c>
      <c r="E218" s="152" t="str">
        <f>IFERROR(__xludf.DUMMYFUNCTION("""COMPUTED_VALUE"""),"")</f>
        <v/>
      </c>
      <c r="F218" s="106" t="s">
        <v>133</v>
      </c>
      <c r="G218" s="152" t="str">
        <f>IFERROR(__xludf.DUMMYFUNCTION("""COMPUTED_VALUE"""),"")</f>
        <v/>
      </c>
      <c r="H218" s="106" t="s">
        <v>133</v>
      </c>
      <c r="I218" s="136"/>
      <c r="J218" s="139" t="s">
        <v>133</v>
      </c>
      <c r="K218" s="136" t="s">
        <v>133</v>
      </c>
      <c r="L218" s="153" t="str">
        <f>IFERROR(__xludf.DUMMYFUNCTION("""COMPUTED_VALUE"""),"")</f>
        <v/>
      </c>
      <c r="M218" s="136" t="str">
        <f t="shared" si="1"/>
        <v/>
      </c>
      <c r="N218" s="136" t="str">
        <f>IFERROR(__xludf.DUMMYFUNCTION("""COMPUTED_VALUE"""),"")</f>
        <v/>
      </c>
      <c r="O218" s="141" t="s">
        <v>133</v>
      </c>
      <c r="P218" s="136" t="str">
        <f>IFERROR(__xludf.DUMMYFUNCTION("""COMPUTED_VALUE"""),"")</f>
        <v/>
      </c>
      <c r="Q218" s="136" t="str">
        <f>IFERROR(__xludf.DUMMYFUNCTION("""COMPUTED_VALUE"""),"")</f>
        <v/>
      </c>
      <c r="R218" s="106" t="str">
        <f>IFERROR(__xludf.DUMMYFUNCTION("""COMPUTED_VALUE"""),"")</f>
        <v/>
      </c>
      <c r="S218" s="106" t="str">
        <f>IFERROR(__xludf.DUMMYFUNCTION("""COMPUTED_VALUE"""),"")</f>
        <v/>
      </c>
      <c r="T218" s="139" t="str">
        <f>IFERROR(__xludf.DUMMYFUNCTION("""COMPUTED_VALUE"""),"")</f>
        <v/>
      </c>
      <c r="U218" s="139" t="str">
        <f>IFERROR(__xludf.DUMMYFUNCTION("""COMPUTED_VALUE"""),"")</f>
        <v/>
      </c>
      <c r="V218" s="136" t="str">
        <f>IFERROR(__xludf.DUMMYFUNCTION("""COMPUTED_VALUE"""),"")</f>
        <v/>
      </c>
      <c r="W218" s="106" t="str">
        <f>IFERROR(__xludf.DUMMYFUNCTION("""COMPUTED_VALUE"""),"")</f>
        <v/>
      </c>
      <c r="X218" s="143" t="str">
        <f t="shared" si="2"/>
        <v/>
      </c>
      <c r="Y218" s="139" t="str">
        <f>IFERROR(__xludf.DUMMYFUNCTION("""COMPUTED_VALUE"""),"")</f>
        <v/>
      </c>
      <c r="Z218" s="141" t="str">
        <f>IFERROR(__xludf.DUMMYFUNCTION("""COMPUTED_VALUE"""),"")</f>
        <v/>
      </c>
    </row>
    <row r="219">
      <c r="A219" s="136"/>
      <c r="B219" s="136"/>
      <c r="C219" s="136" t="str">
        <f>IFERROR(__xludf.DUMMYFUNCTION("""COMPUTED_VALUE"""),"")</f>
        <v/>
      </c>
      <c r="D219" s="136" t="str">
        <f t="shared" si="3"/>
        <v/>
      </c>
      <c r="E219" s="152" t="str">
        <f>IFERROR(__xludf.DUMMYFUNCTION("""COMPUTED_VALUE"""),"")</f>
        <v/>
      </c>
      <c r="F219" s="106" t="s">
        <v>133</v>
      </c>
      <c r="G219" s="152" t="str">
        <f>IFERROR(__xludf.DUMMYFUNCTION("""COMPUTED_VALUE"""),"")</f>
        <v/>
      </c>
      <c r="H219" s="106" t="s">
        <v>133</v>
      </c>
      <c r="I219" s="136"/>
      <c r="J219" s="139" t="s">
        <v>133</v>
      </c>
      <c r="K219" s="136" t="s">
        <v>133</v>
      </c>
      <c r="L219" s="153" t="str">
        <f>IFERROR(__xludf.DUMMYFUNCTION("""COMPUTED_VALUE"""),"")</f>
        <v/>
      </c>
      <c r="M219" s="136" t="str">
        <f t="shared" si="1"/>
        <v/>
      </c>
      <c r="N219" s="136" t="str">
        <f>IFERROR(__xludf.DUMMYFUNCTION("""COMPUTED_VALUE"""),"")</f>
        <v/>
      </c>
      <c r="O219" s="141" t="s">
        <v>133</v>
      </c>
      <c r="P219" s="136" t="str">
        <f>IFERROR(__xludf.DUMMYFUNCTION("""COMPUTED_VALUE"""),"")</f>
        <v/>
      </c>
      <c r="Q219" s="136" t="str">
        <f>IFERROR(__xludf.DUMMYFUNCTION("""COMPUTED_VALUE"""),"")</f>
        <v/>
      </c>
      <c r="R219" s="106" t="str">
        <f>IFERROR(__xludf.DUMMYFUNCTION("""COMPUTED_VALUE"""),"")</f>
        <v/>
      </c>
      <c r="S219" s="106" t="str">
        <f>IFERROR(__xludf.DUMMYFUNCTION("""COMPUTED_VALUE"""),"")</f>
        <v/>
      </c>
      <c r="T219" s="139" t="str">
        <f>IFERROR(__xludf.DUMMYFUNCTION("""COMPUTED_VALUE"""),"")</f>
        <v/>
      </c>
      <c r="U219" s="139" t="str">
        <f>IFERROR(__xludf.DUMMYFUNCTION("""COMPUTED_VALUE"""),"")</f>
        <v/>
      </c>
      <c r="V219" s="136" t="str">
        <f>IFERROR(__xludf.DUMMYFUNCTION("""COMPUTED_VALUE"""),"")</f>
        <v/>
      </c>
      <c r="W219" s="106" t="str">
        <f>IFERROR(__xludf.DUMMYFUNCTION("""COMPUTED_VALUE"""),"")</f>
        <v/>
      </c>
      <c r="X219" s="143" t="str">
        <f t="shared" si="2"/>
        <v/>
      </c>
      <c r="Y219" s="139" t="str">
        <f>IFERROR(__xludf.DUMMYFUNCTION("""COMPUTED_VALUE"""),"")</f>
        <v/>
      </c>
      <c r="Z219" s="141" t="str">
        <f>IFERROR(__xludf.DUMMYFUNCTION("""COMPUTED_VALUE"""),"")</f>
        <v/>
      </c>
    </row>
    <row r="220">
      <c r="A220" s="136"/>
      <c r="B220" s="136"/>
      <c r="C220" s="136" t="str">
        <f>IFERROR(__xludf.DUMMYFUNCTION("""COMPUTED_VALUE"""),"")</f>
        <v/>
      </c>
      <c r="D220" s="136" t="str">
        <f t="shared" si="3"/>
        <v/>
      </c>
      <c r="E220" s="152" t="str">
        <f>IFERROR(__xludf.DUMMYFUNCTION("""COMPUTED_VALUE"""),"")</f>
        <v/>
      </c>
      <c r="F220" s="106" t="s">
        <v>133</v>
      </c>
      <c r="G220" s="152" t="str">
        <f>IFERROR(__xludf.DUMMYFUNCTION("""COMPUTED_VALUE"""),"")</f>
        <v/>
      </c>
      <c r="H220" s="106" t="s">
        <v>133</v>
      </c>
      <c r="I220" s="136"/>
      <c r="J220" s="139" t="s">
        <v>133</v>
      </c>
      <c r="K220" s="136" t="s">
        <v>133</v>
      </c>
      <c r="L220" s="153" t="str">
        <f>IFERROR(__xludf.DUMMYFUNCTION("""COMPUTED_VALUE"""),"")</f>
        <v/>
      </c>
      <c r="M220" s="136" t="str">
        <f t="shared" si="1"/>
        <v/>
      </c>
      <c r="N220" s="136" t="str">
        <f>IFERROR(__xludf.DUMMYFUNCTION("""COMPUTED_VALUE"""),"")</f>
        <v/>
      </c>
      <c r="O220" s="141" t="s">
        <v>133</v>
      </c>
      <c r="P220" s="136" t="str">
        <f>IFERROR(__xludf.DUMMYFUNCTION("""COMPUTED_VALUE"""),"")</f>
        <v/>
      </c>
      <c r="Q220" s="136" t="str">
        <f>IFERROR(__xludf.DUMMYFUNCTION("""COMPUTED_VALUE"""),"")</f>
        <v/>
      </c>
      <c r="R220" s="106" t="str">
        <f>IFERROR(__xludf.DUMMYFUNCTION("""COMPUTED_VALUE"""),"")</f>
        <v/>
      </c>
      <c r="S220" s="106" t="str">
        <f>IFERROR(__xludf.DUMMYFUNCTION("""COMPUTED_VALUE"""),"")</f>
        <v/>
      </c>
      <c r="T220" s="139" t="str">
        <f>IFERROR(__xludf.DUMMYFUNCTION("""COMPUTED_VALUE"""),"")</f>
        <v/>
      </c>
      <c r="U220" s="139" t="str">
        <f>IFERROR(__xludf.DUMMYFUNCTION("""COMPUTED_VALUE"""),"")</f>
        <v/>
      </c>
      <c r="V220" s="136" t="str">
        <f>IFERROR(__xludf.DUMMYFUNCTION("""COMPUTED_VALUE"""),"")</f>
        <v/>
      </c>
      <c r="W220" s="106" t="str">
        <f>IFERROR(__xludf.DUMMYFUNCTION("""COMPUTED_VALUE"""),"")</f>
        <v/>
      </c>
      <c r="X220" s="143" t="str">
        <f t="shared" si="2"/>
        <v/>
      </c>
      <c r="Y220" s="139" t="str">
        <f>IFERROR(__xludf.DUMMYFUNCTION("""COMPUTED_VALUE"""),"")</f>
        <v/>
      </c>
      <c r="Z220" s="141" t="str">
        <f>IFERROR(__xludf.DUMMYFUNCTION("""COMPUTED_VALUE"""),"")</f>
        <v/>
      </c>
    </row>
    <row r="221">
      <c r="A221" s="136"/>
      <c r="B221" s="136"/>
      <c r="C221" s="136" t="str">
        <f>IFERROR(__xludf.DUMMYFUNCTION("""COMPUTED_VALUE"""),"")</f>
        <v/>
      </c>
      <c r="D221" s="136" t="str">
        <f t="shared" si="3"/>
        <v/>
      </c>
      <c r="E221" s="152" t="str">
        <f>IFERROR(__xludf.DUMMYFUNCTION("""COMPUTED_VALUE"""),"")</f>
        <v/>
      </c>
      <c r="F221" s="106" t="s">
        <v>133</v>
      </c>
      <c r="G221" s="152" t="str">
        <f>IFERROR(__xludf.DUMMYFUNCTION("""COMPUTED_VALUE"""),"")</f>
        <v/>
      </c>
      <c r="H221" s="106" t="s">
        <v>133</v>
      </c>
      <c r="I221" s="136"/>
      <c r="J221" s="139" t="s">
        <v>133</v>
      </c>
      <c r="K221" s="136" t="s">
        <v>133</v>
      </c>
      <c r="L221" s="153" t="str">
        <f>IFERROR(__xludf.DUMMYFUNCTION("""COMPUTED_VALUE"""),"")</f>
        <v/>
      </c>
      <c r="M221" s="136" t="str">
        <f t="shared" si="1"/>
        <v/>
      </c>
      <c r="N221" s="136" t="str">
        <f>IFERROR(__xludf.DUMMYFUNCTION("""COMPUTED_VALUE"""),"")</f>
        <v/>
      </c>
      <c r="O221" s="141" t="s">
        <v>133</v>
      </c>
      <c r="P221" s="136" t="str">
        <f>IFERROR(__xludf.DUMMYFUNCTION("""COMPUTED_VALUE"""),"")</f>
        <v/>
      </c>
      <c r="Q221" s="136" t="str">
        <f>IFERROR(__xludf.DUMMYFUNCTION("""COMPUTED_VALUE"""),"")</f>
        <v/>
      </c>
      <c r="R221" s="106" t="str">
        <f>IFERROR(__xludf.DUMMYFUNCTION("""COMPUTED_VALUE"""),"")</f>
        <v/>
      </c>
      <c r="S221" s="106" t="str">
        <f>IFERROR(__xludf.DUMMYFUNCTION("""COMPUTED_VALUE"""),"")</f>
        <v/>
      </c>
      <c r="T221" s="139" t="str">
        <f>IFERROR(__xludf.DUMMYFUNCTION("""COMPUTED_VALUE"""),"")</f>
        <v/>
      </c>
      <c r="U221" s="139" t="str">
        <f>IFERROR(__xludf.DUMMYFUNCTION("""COMPUTED_VALUE"""),"")</f>
        <v/>
      </c>
      <c r="V221" s="136" t="str">
        <f>IFERROR(__xludf.DUMMYFUNCTION("""COMPUTED_VALUE"""),"")</f>
        <v/>
      </c>
      <c r="W221" s="106" t="str">
        <f>IFERROR(__xludf.DUMMYFUNCTION("""COMPUTED_VALUE"""),"")</f>
        <v/>
      </c>
      <c r="X221" s="143" t="str">
        <f t="shared" si="2"/>
        <v/>
      </c>
      <c r="Y221" s="139" t="str">
        <f>IFERROR(__xludf.DUMMYFUNCTION("""COMPUTED_VALUE"""),"")</f>
        <v/>
      </c>
      <c r="Z221" s="141" t="str">
        <f>IFERROR(__xludf.DUMMYFUNCTION("""COMPUTED_VALUE"""),"")</f>
        <v/>
      </c>
    </row>
    <row r="222">
      <c r="A222" s="136"/>
      <c r="B222" s="136"/>
      <c r="C222" s="136" t="str">
        <f>IFERROR(__xludf.DUMMYFUNCTION("""COMPUTED_VALUE"""),"")</f>
        <v/>
      </c>
      <c r="D222" s="136" t="str">
        <f t="shared" si="3"/>
        <v/>
      </c>
      <c r="E222" s="152" t="str">
        <f>IFERROR(__xludf.DUMMYFUNCTION("""COMPUTED_VALUE"""),"")</f>
        <v/>
      </c>
      <c r="F222" s="106" t="s">
        <v>133</v>
      </c>
      <c r="G222" s="152" t="str">
        <f>IFERROR(__xludf.DUMMYFUNCTION("""COMPUTED_VALUE"""),"")</f>
        <v/>
      </c>
      <c r="H222" s="106" t="s">
        <v>133</v>
      </c>
      <c r="I222" s="136"/>
      <c r="J222" s="139" t="s">
        <v>133</v>
      </c>
      <c r="K222" s="136" t="s">
        <v>133</v>
      </c>
      <c r="L222" s="153" t="str">
        <f>IFERROR(__xludf.DUMMYFUNCTION("""COMPUTED_VALUE"""),"")</f>
        <v/>
      </c>
      <c r="M222" s="136" t="str">
        <f t="shared" si="1"/>
        <v/>
      </c>
      <c r="N222" s="136" t="str">
        <f>IFERROR(__xludf.DUMMYFUNCTION("""COMPUTED_VALUE"""),"")</f>
        <v/>
      </c>
      <c r="O222" s="141" t="s">
        <v>133</v>
      </c>
      <c r="P222" s="136" t="str">
        <f>IFERROR(__xludf.DUMMYFUNCTION("""COMPUTED_VALUE"""),"")</f>
        <v/>
      </c>
      <c r="Q222" s="136" t="str">
        <f>IFERROR(__xludf.DUMMYFUNCTION("""COMPUTED_VALUE"""),"")</f>
        <v/>
      </c>
      <c r="R222" s="106" t="str">
        <f>IFERROR(__xludf.DUMMYFUNCTION("""COMPUTED_VALUE"""),"")</f>
        <v/>
      </c>
      <c r="S222" s="106" t="str">
        <f>IFERROR(__xludf.DUMMYFUNCTION("""COMPUTED_VALUE"""),"")</f>
        <v/>
      </c>
      <c r="T222" s="139" t="str">
        <f>IFERROR(__xludf.DUMMYFUNCTION("""COMPUTED_VALUE"""),"")</f>
        <v/>
      </c>
      <c r="U222" s="139" t="str">
        <f>IFERROR(__xludf.DUMMYFUNCTION("""COMPUTED_VALUE"""),"")</f>
        <v/>
      </c>
      <c r="V222" s="136" t="str">
        <f>IFERROR(__xludf.DUMMYFUNCTION("""COMPUTED_VALUE"""),"")</f>
        <v/>
      </c>
      <c r="W222" s="106" t="str">
        <f>IFERROR(__xludf.DUMMYFUNCTION("""COMPUTED_VALUE"""),"")</f>
        <v/>
      </c>
      <c r="X222" s="143" t="str">
        <f t="shared" si="2"/>
        <v/>
      </c>
      <c r="Y222" s="139" t="str">
        <f>IFERROR(__xludf.DUMMYFUNCTION("""COMPUTED_VALUE"""),"")</f>
        <v/>
      </c>
      <c r="Z222" s="141" t="str">
        <f>IFERROR(__xludf.DUMMYFUNCTION("""COMPUTED_VALUE"""),"")</f>
        <v/>
      </c>
    </row>
    <row r="223">
      <c r="A223" s="136"/>
      <c r="B223" s="136"/>
      <c r="C223" s="136" t="str">
        <f>IFERROR(__xludf.DUMMYFUNCTION("""COMPUTED_VALUE"""),"")</f>
        <v/>
      </c>
      <c r="D223" s="136" t="str">
        <f t="shared" si="3"/>
        <v/>
      </c>
      <c r="E223" s="152" t="str">
        <f>IFERROR(__xludf.DUMMYFUNCTION("""COMPUTED_VALUE"""),"")</f>
        <v/>
      </c>
      <c r="F223" s="106" t="s">
        <v>133</v>
      </c>
      <c r="G223" s="152" t="str">
        <f>IFERROR(__xludf.DUMMYFUNCTION("""COMPUTED_VALUE"""),"")</f>
        <v/>
      </c>
      <c r="H223" s="106" t="s">
        <v>133</v>
      </c>
      <c r="I223" s="136"/>
      <c r="J223" s="139" t="s">
        <v>133</v>
      </c>
      <c r="K223" s="136" t="s">
        <v>133</v>
      </c>
      <c r="L223" s="153" t="str">
        <f>IFERROR(__xludf.DUMMYFUNCTION("""COMPUTED_VALUE"""),"")</f>
        <v/>
      </c>
      <c r="M223" s="136" t="str">
        <f t="shared" si="1"/>
        <v/>
      </c>
      <c r="N223" s="136" t="str">
        <f>IFERROR(__xludf.DUMMYFUNCTION("""COMPUTED_VALUE"""),"")</f>
        <v/>
      </c>
      <c r="O223" s="141" t="s">
        <v>133</v>
      </c>
      <c r="P223" s="136" t="str">
        <f>IFERROR(__xludf.DUMMYFUNCTION("""COMPUTED_VALUE"""),"")</f>
        <v/>
      </c>
      <c r="Q223" s="136" t="str">
        <f>IFERROR(__xludf.DUMMYFUNCTION("""COMPUTED_VALUE"""),"")</f>
        <v/>
      </c>
      <c r="R223" s="106" t="str">
        <f>IFERROR(__xludf.DUMMYFUNCTION("""COMPUTED_VALUE"""),"")</f>
        <v/>
      </c>
      <c r="S223" s="106" t="str">
        <f>IFERROR(__xludf.DUMMYFUNCTION("""COMPUTED_VALUE"""),"")</f>
        <v/>
      </c>
      <c r="T223" s="139" t="str">
        <f>IFERROR(__xludf.DUMMYFUNCTION("""COMPUTED_VALUE"""),"")</f>
        <v/>
      </c>
      <c r="U223" s="139" t="str">
        <f>IFERROR(__xludf.DUMMYFUNCTION("""COMPUTED_VALUE"""),"")</f>
        <v/>
      </c>
      <c r="V223" s="136" t="str">
        <f>IFERROR(__xludf.DUMMYFUNCTION("""COMPUTED_VALUE"""),"")</f>
        <v/>
      </c>
      <c r="W223" s="106" t="str">
        <f>IFERROR(__xludf.DUMMYFUNCTION("""COMPUTED_VALUE"""),"")</f>
        <v/>
      </c>
      <c r="X223" s="143" t="str">
        <f t="shared" si="2"/>
        <v/>
      </c>
      <c r="Y223" s="139" t="str">
        <f>IFERROR(__xludf.DUMMYFUNCTION("""COMPUTED_VALUE"""),"")</f>
        <v/>
      </c>
      <c r="Z223" s="141" t="str">
        <f>IFERROR(__xludf.DUMMYFUNCTION("""COMPUTED_VALUE"""),"")</f>
        <v/>
      </c>
    </row>
    <row r="224">
      <c r="A224" s="136"/>
      <c r="B224" s="136"/>
      <c r="C224" s="136" t="str">
        <f>IFERROR(__xludf.DUMMYFUNCTION("""COMPUTED_VALUE"""),"")</f>
        <v/>
      </c>
      <c r="D224" s="136" t="str">
        <f t="shared" si="3"/>
        <v/>
      </c>
      <c r="E224" s="152" t="str">
        <f>IFERROR(__xludf.DUMMYFUNCTION("""COMPUTED_VALUE"""),"")</f>
        <v/>
      </c>
      <c r="F224" s="106" t="s">
        <v>133</v>
      </c>
      <c r="G224" s="152" t="str">
        <f>IFERROR(__xludf.DUMMYFUNCTION("""COMPUTED_VALUE"""),"")</f>
        <v/>
      </c>
      <c r="H224" s="106" t="s">
        <v>133</v>
      </c>
      <c r="I224" s="136"/>
      <c r="J224" s="139" t="s">
        <v>133</v>
      </c>
      <c r="K224" s="136" t="s">
        <v>133</v>
      </c>
      <c r="L224" s="153" t="str">
        <f>IFERROR(__xludf.DUMMYFUNCTION("""COMPUTED_VALUE"""),"")</f>
        <v/>
      </c>
      <c r="M224" s="136" t="str">
        <f t="shared" si="1"/>
        <v/>
      </c>
      <c r="N224" s="136" t="str">
        <f>IFERROR(__xludf.DUMMYFUNCTION("""COMPUTED_VALUE"""),"")</f>
        <v/>
      </c>
      <c r="O224" s="141" t="s">
        <v>133</v>
      </c>
      <c r="P224" s="136" t="str">
        <f>IFERROR(__xludf.DUMMYFUNCTION("""COMPUTED_VALUE"""),"")</f>
        <v/>
      </c>
      <c r="Q224" s="136" t="str">
        <f>IFERROR(__xludf.DUMMYFUNCTION("""COMPUTED_VALUE"""),"")</f>
        <v/>
      </c>
      <c r="R224" s="106" t="str">
        <f>IFERROR(__xludf.DUMMYFUNCTION("""COMPUTED_VALUE"""),"")</f>
        <v/>
      </c>
      <c r="S224" s="106" t="str">
        <f>IFERROR(__xludf.DUMMYFUNCTION("""COMPUTED_VALUE"""),"")</f>
        <v/>
      </c>
      <c r="T224" s="139" t="str">
        <f>IFERROR(__xludf.DUMMYFUNCTION("""COMPUTED_VALUE"""),"")</f>
        <v/>
      </c>
      <c r="U224" s="139" t="str">
        <f>IFERROR(__xludf.DUMMYFUNCTION("""COMPUTED_VALUE"""),"")</f>
        <v/>
      </c>
      <c r="V224" s="136" t="str">
        <f>IFERROR(__xludf.DUMMYFUNCTION("""COMPUTED_VALUE"""),"")</f>
        <v/>
      </c>
      <c r="W224" s="106" t="str">
        <f>IFERROR(__xludf.DUMMYFUNCTION("""COMPUTED_VALUE"""),"")</f>
        <v/>
      </c>
      <c r="X224" s="143" t="str">
        <f t="shared" si="2"/>
        <v/>
      </c>
      <c r="Y224" s="139" t="str">
        <f>IFERROR(__xludf.DUMMYFUNCTION("""COMPUTED_VALUE"""),"")</f>
        <v/>
      </c>
      <c r="Z224" s="141" t="str">
        <f>IFERROR(__xludf.DUMMYFUNCTION("""COMPUTED_VALUE"""),"")</f>
        <v/>
      </c>
    </row>
    <row r="225">
      <c r="A225" s="136"/>
      <c r="B225" s="136"/>
      <c r="C225" s="136" t="str">
        <f>IFERROR(__xludf.DUMMYFUNCTION("""COMPUTED_VALUE"""),"")</f>
        <v/>
      </c>
      <c r="D225" s="136" t="str">
        <f t="shared" si="3"/>
        <v/>
      </c>
      <c r="E225" s="152" t="str">
        <f>IFERROR(__xludf.DUMMYFUNCTION("""COMPUTED_VALUE"""),"")</f>
        <v/>
      </c>
      <c r="F225" s="106" t="s">
        <v>133</v>
      </c>
      <c r="G225" s="152" t="str">
        <f>IFERROR(__xludf.DUMMYFUNCTION("""COMPUTED_VALUE"""),"")</f>
        <v/>
      </c>
      <c r="H225" s="106" t="s">
        <v>133</v>
      </c>
      <c r="I225" s="136"/>
      <c r="J225" s="139" t="s">
        <v>133</v>
      </c>
      <c r="K225" s="136" t="s">
        <v>133</v>
      </c>
      <c r="L225" s="153" t="str">
        <f>IFERROR(__xludf.DUMMYFUNCTION("""COMPUTED_VALUE"""),"")</f>
        <v/>
      </c>
      <c r="M225" s="136" t="str">
        <f t="shared" si="1"/>
        <v/>
      </c>
      <c r="N225" s="136" t="str">
        <f>IFERROR(__xludf.DUMMYFUNCTION("""COMPUTED_VALUE"""),"")</f>
        <v/>
      </c>
      <c r="O225" s="141" t="s">
        <v>133</v>
      </c>
      <c r="P225" s="136" t="str">
        <f>IFERROR(__xludf.DUMMYFUNCTION("""COMPUTED_VALUE"""),"")</f>
        <v/>
      </c>
      <c r="Q225" s="136" t="str">
        <f>IFERROR(__xludf.DUMMYFUNCTION("""COMPUTED_VALUE"""),"")</f>
        <v/>
      </c>
      <c r="R225" s="106" t="str">
        <f>IFERROR(__xludf.DUMMYFUNCTION("""COMPUTED_VALUE"""),"")</f>
        <v/>
      </c>
      <c r="S225" s="106" t="str">
        <f>IFERROR(__xludf.DUMMYFUNCTION("""COMPUTED_VALUE"""),"")</f>
        <v/>
      </c>
      <c r="T225" s="139" t="str">
        <f>IFERROR(__xludf.DUMMYFUNCTION("""COMPUTED_VALUE"""),"")</f>
        <v/>
      </c>
      <c r="U225" s="139" t="str">
        <f>IFERROR(__xludf.DUMMYFUNCTION("""COMPUTED_VALUE"""),"")</f>
        <v/>
      </c>
      <c r="V225" s="136" t="str">
        <f>IFERROR(__xludf.DUMMYFUNCTION("""COMPUTED_VALUE"""),"")</f>
        <v/>
      </c>
      <c r="W225" s="106" t="str">
        <f>IFERROR(__xludf.DUMMYFUNCTION("""COMPUTED_VALUE"""),"")</f>
        <v/>
      </c>
      <c r="X225" s="143" t="str">
        <f t="shared" si="2"/>
        <v/>
      </c>
      <c r="Y225" s="139" t="str">
        <f>IFERROR(__xludf.DUMMYFUNCTION("""COMPUTED_VALUE"""),"")</f>
        <v/>
      </c>
      <c r="Z225" s="141" t="str">
        <f>IFERROR(__xludf.DUMMYFUNCTION("""COMPUTED_VALUE"""),"")</f>
        <v/>
      </c>
    </row>
    <row r="226">
      <c r="A226" s="136"/>
      <c r="B226" s="136"/>
      <c r="C226" s="136" t="str">
        <f>IFERROR(__xludf.DUMMYFUNCTION("""COMPUTED_VALUE"""),"")</f>
        <v/>
      </c>
      <c r="D226" s="136" t="str">
        <f t="shared" si="3"/>
        <v/>
      </c>
      <c r="E226" s="152" t="str">
        <f>IFERROR(__xludf.DUMMYFUNCTION("""COMPUTED_VALUE"""),"")</f>
        <v/>
      </c>
      <c r="F226" s="106" t="s">
        <v>133</v>
      </c>
      <c r="G226" s="152" t="str">
        <f>IFERROR(__xludf.DUMMYFUNCTION("""COMPUTED_VALUE"""),"")</f>
        <v/>
      </c>
      <c r="H226" s="106" t="s">
        <v>133</v>
      </c>
      <c r="I226" s="136"/>
      <c r="J226" s="139" t="s">
        <v>133</v>
      </c>
      <c r="K226" s="136" t="s">
        <v>133</v>
      </c>
      <c r="L226" s="153" t="str">
        <f>IFERROR(__xludf.DUMMYFUNCTION("""COMPUTED_VALUE"""),"")</f>
        <v/>
      </c>
      <c r="M226" s="136" t="str">
        <f t="shared" si="1"/>
        <v/>
      </c>
      <c r="N226" s="136" t="str">
        <f>IFERROR(__xludf.DUMMYFUNCTION("""COMPUTED_VALUE"""),"")</f>
        <v/>
      </c>
      <c r="O226" s="141" t="s">
        <v>133</v>
      </c>
      <c r="P226" s="136" t="str">
        <f>IFERROR(__xludf.DUMMYFUNCTION("""COMPUTED_VALUE"""),"")</f>
        <v/>
      </c>
      <c r="Q226" s="136" t="str">
        <f>IFERROR(__xludf.DUMMYFUNCTION("""COMPUTED_VALUE"""),"")</f>
        <v/>
      </c>
      <c r="R226" s="106" t="str">
        <f>IFERROR(__xludf.DUMMYFUNCTION("""COMPUTED_VALUE"""),"")</f>
        <v/>
      </c>
      <c r="S226" s="106" t="str">
        <f>IFERROR(__xludf.DUMMYFUNCTION("""COMPUTED_VALUE"""),"")</f>
        <v/>
      </c>
      <c r="T226" s="139" t="str">
        <f>IFERROR(__xludf.DUMMYFUNCTION("""COMPUTED_VALUE"""),"")</f>
        <v/>
      </c>
      <c r="U226" s="139" t="str">
        <f>IFERROR(__xludf.DUMMYFUNCTION("""COMPUTED_VALUE"""),"")</f>
        <v/>
      </c>
      <c r="V226" s="136" t="str">
        <f>IFERROR(__xludf.DUMMYFUNCTION("""COMPUTED_VALUE"""),"")</f>
        <v/>
      </c>
      <c r="W226" s="106" t="str">
        <f>IFERROR(__xludf.DUMMYFUNCTION("""COMPUTED_VALUE"""),"")</f>
        <v/>
      </c>
      <c r="X226" s="143" t="str">
        <f t="shared" si="2"/>
        <v/>
      </c>
      <c r="Y226" s="139" t="str">
        <f>IFERROR(__xludf.DUMMYFUNCTION("""COMPUTED_VALUE"""),"")</f>
        <v/>
      </c>
      <c r="Z226" s="141" t="str">
        <f>IFERROR(__xludf.DUMMYFUNCTION("""COMPUTED_VALUE"""),"")</f>
        <v/>
      </c>
    </row>
    <row r="227">
      <c r="A227" s="136"/>
      <c r="B227" s="136"/>
      <c r="C227" s="136" t="str">
        <f>IFERROR(__xludf.DUMMYFUNCTION("""COMPUTED_VALUE"""),"")</f>
        <v/>
      </c>
      <c r="D227" s="136" t="str">
        <f t="shared" si="3"/>
        <v/>
      </c>
      <c r="E227" s="152" t="str">
        <f>IFERROR(__xludf.DUMMYFUNCTION("""COMPUTED_VALUE"""),"")</f>
        <v/>
      </c>
      <c r="F227" s="106" t="s">
        <v>133</v>
      </c>
      <c r="G227" s="152" t="str">
        <f>IFERROR(__xludf.DUMMYFUNCTION("""COMPUTED_VALUE"""),"")</f>
        <v/>
      </c>
      <c r="H227" s="106" t="s">
        <v>133</v>
      </c>
      <c r="I227" s="136"/>
      <c r="J227" s="139" t="s">
        <v>133</v>
      </c>
      <c r="K227" s="136" t="s">
        <v>133</v>
      </c>
      <c r="L227" s="153" t="str">
        <f>IFERROR(__xludf.DUMMYFUNCTION("""COMPUTED_VALUE"""),"")</f>
        <v/>
      </c>
      <c r="M227" s="136" t="str">
        <f t="shared" si="1"/>
        <v/>
      </c>
      <c r="N227" s="136" t="str">
        <f>IFERROR(__xludf.DUMMYFUNCTION("""COMPUTED_VALUE"""),"")</f>
        <v/>
      </c>
      <c r="O227" s="141" t="s">
        <v>133</v>
      </c>
      <c r="P227" s="136" t="str">
        <f>IFERROR(__xludf.DUMMYFUNCTION("""COMPUTED_VALUE"""),"")</f>
        <v/>
      </c>
      <c r="Q227" s="136" t="str">
        <f>IFERROR(__xludf.DUMMYFUNCTION("""COMPUTED_VALUE"""),"")</f>
        <v/>
      </c>
      <c r="R227" s="106" t="str">
        <f>IFERROR(__xludf.DUMMYFUNCTION("""COMPUTED_VALUE"""),"")</f>
        <v/>
      </c>
      <c r="S227" s="106" t="str">
        <f>IFERROR(__xludf.DUMMYFUNCTION("""COMPUTED_VALUE"""),"")</f>
        <v/>
      </c>
      <c r="T227" s="139" t="str">
        <f>IFERROR(__xludf.DUMMYFUNCTION("""COMPUTED_VALUE"""),"")</f>
        <v/>
      </c>
      <c r="U227" s="139" t="str">
        <f>IFERROR(__xludf.DUMMYFUNCTION("""COMPUTED_VALUE"""),"")</f>
        <v/>
      </c>
      <c r="V227" s="136" t="str">
        <f>IFERROR(__xludf.DUMMYFUNCTION("""COMPUTED_VALUE"""),"")</f>
        <v/>
      </c>
      <c r="W227" s="106" t="str">
        <f>IFERROR(__xludf.DUMMYFUNCTION("""COMPUTED_VALUE"""),"")</f>
        <v/>
      </c>
      <c r="X227" s="143" t="str">
        <f t="shared" si="2"/>
        <v/>
      </c>
      <c r="Y227" s="139" t="str">
        <f>IFERROR(__xludf.DUMMYFUNCTION("""COMPUTED_VALUE"""),"")</f>
        <v/>
      </c>
      <c r="Z227" s="141" t="str">
        <f>IFERROR(__xludf.DUMMYFUNCTION("""COMPUTED_VALUE"""),"")</f>
        <v/>
      </c>
    </row>
    <row r="228">
      <c r="A228" s="136"/>
      <c r="B228" s="136"/>
      <c r="C228" s="136" t="str">
        <f>IFERROR(__xludf.DUMMYFUNCTION("""COMPUTED_VALUE"""),"")</f>
        <v/>
      </c>
      <c r="D228" s="136" t="str">
        <f t="shared" si="3"/>
        <v/>
      </c>
      <c r="E228" s="152" t="str">
        <f>IFERROR(__xludf.DUMMYFUNCTION("""COMPUTED_VALUE"""),"")</f>
        <v/>
      </c>
      <c r="F228" s="106" t="s">
        <v>133</v>
      </c>
      <c r="G228" s="152" t="str">
        <f>IFERROR(__xludf.DUMMYFUNCTION("""COMPUTED_VALUE"""),"")</f>
        <v/>
      </c>
      <c r="H228" s="106" t="s">
        <v>133</v>
      </c>
      <c r="I228" s="136"/>
      <c r="J228" s="139" t="s">
        <v>133</v>
      </c>
      <c r="K228" s="136" t="s">
        <v>133</v>
      </c>
      <c r="L228" s="153" t="str">
        <f>IFERROR(__xludf.DUMMYFUNCTION("""COMPUTED_VALUE"""),"")</f>
        <v/>
      </c>
      <c r="M228" s="136" t="str">
        <f t="shared" si="1"/>
        <v/>
      </c>
      <c r="N228" s="136" t="str">
        <f>IFERROR(__xludf.DUMMYFUNCTION("""COMPUTED_VALUE"""),"")</f>
        <v/>
      </c>
      <c r="O228" s="141" t="s">
        <v>133</v>
      </c>
      <c r="P228" s="136" t="str">
        <f>IFERROR(__xludf.DUMMYFUNCTION("""COMPUTED_VALUE"""),"")</f>
        <v/>
      </c>
      <c r="Q228" s="136" t="str">
        <f>IFERROR(__xludf.DUMMYFUNCTION("""COMPUTED_VALUE"""),"")</f>
        <v/>
      </c>
      <c r="R228" s="106" t="str">
        <f>IFERROR(__xludf.DUMMYFUNCTION("""COMPUTED_VALUE"""),"")</f>
        <v/>
      </c>
      <c r="S228" s="106" t="str">
        <f>IFERROR(__xludf.DUMMYFUNCTION("""COMPUTED_VALUE"""),"")</f>
        <v/>
      </c>
      <c r="T228" s="139" t="str">
        <f>IFERROR(__xludf.DUMMYFUNCTION("""COMPUTED_VALUE"""),"")</f>
        <v/>
      </c>
      <c r="U228" s="139" t="str">
        <f>IFERROR(__xludf.DUMMYFUNCTION("""COMPUTED_VALUE"""),"")</f>
        <v/>
      </c>
      <c r="V228" s="136" t="str">
        <f>IFERROR(__xludf.DUMMYFUNCTION("""COMPUTED_VALUE"""),"")</f>
        <v/>
      </c>
      <c r="W228" s="106" t="str">
        <f>IFERROR(__xludf.DUMMYFUNCTION("""COMPUTED_VALUE"""),"")</f>
        <v/>
      </c>
      <c r="X228" s="143" t="str">
        <f t="shared" si="2"/>
        <v/>
      </c>
      <c r="Y228" s="139" t="str">
        <f>IFERROR(__xludf.DUMMYFUNCTION("""COMPUTED_VALUE"""),"")</f>
        <v/>
      </c>
      <c r="Z228" s="141" t="str">
        <f>IFERROR(__xludf.DUMMYFUNCTION("""COMPUTED_VALUE"""),"")</f>
        <v/>
      </c>
    </row>
    <row r="229">
      <c r="A229" s="136"/>
      <c r="B229" s="136"/>
      <c r="C229" s="136" t="str">
        <f>IFERROR(__xludf.DUMMYFUNCTION("""COMPUTED_VALUE"""),"")</f>
        <v/>
      </c>
      <c r="D229" s="136" t="str">
        <f t="shared" si="3"/>
        <v/>
      </c>
      <c r="E229" s="152" t="str">
        <f>IFERROR(__xludf.DUMMYFUNCTION("""COMPUTED_VALUE"""),"")</f>
        <v/>
      </c>
      <c r="F229" s="106" t="s">
        <v>133</v>
      </c>
      <c r="G229" s="152" t="str">
        <f>IFERROR(__xludf.DUMMYFUNCTION("""COMPUTED_VALUE"""),"")</f>
        <v/>
      </c>
      <c r="H229" s="106" t="s">
        <v>133</v>
      </c>
      <c r="I229" s="136"/>
      <c r="J229" s="139" t="s">
        <v>133</v>
      </c>
      <c r="K229" s="136" t="s">
        <v>133</v>
      </c>
      <c r="L229" s="153" t="str">
        <f>IFERROR(__xludf.DUMMYFUNCTION("""COMPUTED_VALUE"""),"")</f>
        <v/>
      </c>
      <c r="M229" s="136" t="str">
        <f t="shared" si="1"/>
        <v/>
      </c>
      <c r="N229" s="136" t="str">
        <f>IFERROR(__xludf.DUMMYFUNCTION("""COMPUTED_VALUE"""),"")</f>
        <v/>
      </c>
      <c r="O229" s="141" t="s">
        <v>133</v>
      </c>
      <c r="P229" s="136" t="str">
        <f>IFERROR(__xludf.DUMMYFUNCTION("""COMPUTED_VALUE"""),"")</f>
        <v/>
      </c>
      <c r="Q229" s="136" t="str">
        <f>IFERROR(__xludf.DUMMYFUNCTION("""COMPUTED_VALUE"""),"")</f>
        <v/>
      </c>
      <c r="R229" s="106" t="str">
        <f>IFERROR(__xludf.DUMMYFUNCTION("""COMPUTED_VALUE"""),"")</f>
        <v/>
      </c>
      <c r="S229" s="106" t="str">
        <f>IFERROR(__xludf.DUMMYFUNCTION("""COMPUTED_VALUE"""),"")</f>
        <v/>
      </c>
      <c r="T229" s="139" t="str">
        <f>IFERROR(__xludf.DUMMYFUNCTION("""COMPUTED_VALUE"""),"")</f>
        <v/>
      </c>
      <c r="U229" s="139" t="str">
        <f>IFERROR(__xludf.DUMMYFUNCTION("""COMPUTED_VALUE"""),"")</f>
        <v/>
      </c>
      <c r="V229" s="136" t="str">
        <f>IFERROR(__xludf.DUMMYFUNCTION("""COMPUTED_VALUE"""),"")</f>
        <v/>
      </c>
      <c r="W229" s="106" t="str">
        <f>IFERROR(__xludf.DUMMYFUNCTION("""COMPUTED_VALUE"""),"")</f>
        <v/>
      </c>
      <c r="X229" s="143" t="str">
        <f t="shared" si="2"/>
        <v/>
      </c>
      <c r="Y229" s="139" t="str">
        <f>IFERROR(__xludf.DUMMYFUNCTION("""COMPUTED_VALUE"""),"")</f>
        <v/>
      </c>
      <c r="Z229" s="141" t="str">
        <f>IFERROR(__xludf.DUMMYFUNCTION("""COMPUTED_VALUE"""),"")</f>
        <v/>
      </c>
    </row>
    <row r="230">
      <c r="A230" s="136"/>
      <c r="B230" s="136"/>
      <c r="C230" s="136" t="str">
        <f>IFERROR(__xludf.DUMMYFUNCTION("""COMPUTED_VALUE"""),"")</f>
        <v/>
      </c>
      <c r="D230" s="136" t="str">
        <f t="shared" si="3"/>
        <v/>
      </c>
      <c r="E230" s="152" t="str">
        <f>IFERROR(__xludf.DUMMYFUNCTION("""COMPUTED_VALUE"""),"")</f>
        <v/>
      </c>
      <c r="F230" s="106" t="s">
        <v>133</v>
      </c>
      <c r="G230" s="152" t="str">
        <f>IFERROR(__xludf.DUMMYFUNCTION("""COMPUTED_VALUE"""),"")</f>
        <v/>
      </c>
      <c r="H230" s="106" t="s">
        <v>133</v>
      </c>
      <c r="I230" s="136"/>
      <c r="J230" s="139" t="s">
        <v>133</v>
      </c>
      <c r="K230" s="136" t="s">
        <v>133</v>
      </c>
      <c r="L230" s="153" t="str">
        <f>IFERROR(__xludf.DUMMYFUNCTION("""COMPUTED_VALUE"""),"")</f>
        <v/>
      </c>
      <c r="M230" s="136" t="str">
        <f t="shared" si="1"/>
        <v/>
      </c>
      <c r="N230" s="136" t="str">
        <f>IFERROR(__xludf.DUMMYFUNCTION("""COMPUTED_VALUE"""),"")</f>
        <v/>
      </c>
      <c r="O230" s="141" t="s">
        <v>133</v>
      </c>
      <c r="P230" s="136" t="str">
        <f>IFERROR(__xludf.DUMMYFUNCTION("""COMPUTED_VALUE"""),"")</f>
        <v/>
      </c>
      <c r="Q230" s="136" t="str">
        <f>IFERROR(__xludf.DUMMYFUNCTION("""COMPUTED_VALUE"""),"")</f>
        <v/>
      </c>
      <c r="R230" s="106" t="str">
        <f>IFERROR(__xludf.DUMMYFUNCTION("""COMPUTED_VALUE"""),"")</f>
        <v/>
      </c>
      <c r="S230" s="106" t="str">
        <f>IFERROR(__xludf.DUMMYFUNCTION("""COMPUTED_VALUE"""),"")</f>
        <v/>
      </c>
      <c r="T230" s="139" t="str">
        <f>IFERROR(__xludf.DUMMYFUNCTION("""COMPUTED_VALUE"""),"")</f>
        <v/>
      </c>
      <c r="U230" s="139" t="str">
        <f>IFERROR(__xludf.DUMMYFUNCTION("""COMPUTED_VALUE"""),"")</f>
        <v/>
      </c>
      <c r="V230" s="136" t="str">
        <f>IFERROR(__xludf.DUMMYFUNCTION("""COMPUTED_VALUE"""),"")</f>
        <v/>
      </c>
      <c r="W230" s="106" t="str">
        <f>IFERROR(__xludf.DUMMYFUNCTION("""COMPUTED_VALUE"""),"")</f>
        <v/>
      </c>
      <c r="X230" s="143" t="str">
        <f t="shared" si="2"/>
        <v/>
      </c>
      <c r="Y230" s="139" t="str">
        <f>IFERROR(__xludf.DUMMYFUNCTION("""COMPUTED_VALUE"""),"")</f>
        <v/>
      </c>
      <c r="Z230" s="141" t="str">
        <f>IFERROR(__xludf.DUMMYFUNCTION("""COMPUTED_VALUE"""),"")</f>
        <v/>
      </c>
    </row>
    <row r="231">
      <c r="A231" s="136"/>
      <c r="B231" s="136"/>
      <c r="C231" s="136" t="str">
        <f>IFERROR(__xludf.DUMMYFUNCTION("""COMPUTED_VALUE"""),"")</f>
        <v/>
      </c>
      <c r="D231" s="136" t="str">
        <f t="shared" si="3"/>
        <v/>
      </c>
      <c r="E231" s="152" t="str">
        <f>IFERROR(__xludf.DUMMYFUNCTION("""COMPUTED_VALUE"""),"")</f>
        <v/>
      </c>
      <c r="F231" s="106" t="s">
        <v>133</v>
      </c>
      <c r="G231" s="152" t="str">
        <f>IFERROR(__xludf.DUMMYFUNCTION("""COMPUTED_VALUE"""),"")</f>
        <v/>
      </c>
      <c r="H231" s="106" t="s">
        <v>133</v>
      </c>
      <c r="I231" s="136"/>
      <c r="J231" s="139" t="s">
        <v>133</v>
      </c>
      <c r="K231" s="136" t="s">
        <v>133</v>
      </c>
      <c r="L231" s="153" t="str">
        <f>IFERROR(__xludf.DUMMYFUNCTION("""COMPUTED_VALUE"""),"")</f>
        <v/>
      </c>
      <c r="M231" s="136" t="str">
        <f t="shared" si="1"/>
        <v/>
      </c>
      <c r="N231" s="136" t="str">
        <f>IFERROR(__xludf.DUMMYFUNCTION("""COMPUTED_VALUE"""),"")</f>
        <v/>
      </c>
      <c r="O231" s="141" t="s">
        <v>133</v>
      </c>
      <c r="P231" s="136" t="str">
        <f>IFERROR(__xludf.DUMMYFUNCTION("""COMPUTED_VALUE"""),"")</f>
        <v/>
      </c>
      <c r="Q231" s="136" t="str">
        <f>IFERROR(__xludf.DUMMYFUNCTION("""COMPUTED_VALUE"""),"")</f>
        <v/>
      </c>
      <c r="R231" s="106" t="str">
        <f>IFERROR(__xludf.DUMMYFUNCTION("""COMPUTED_VALUE"""),"")</f>
        <v/>
      </c>
      <c r="S231" s="106" t="str">
        <f>IFERROR(__xludf.DUMMYFUNCTION("""COMPUTED_VALUE"""),"")</f>
        <v/>
      </c>
      <c r="T231" s="139" t="str">
        <f>IFERROR(__xludf.DUMMYFUNCTION("""COMPUTED_VALUE"""),"")</f>
        <v/>
      </c>
      <c r="U231" s="139" t="str">
        <f>IFERROR(__xludf.DUMMYFUNCTION("""COMPUTED_VALUE"""),"")</f>
        <v/>
      </c>
      <c r="V231" s="136" t="str">
        <f>IFERROR(__xludf.DUMMYFUNCTION("""COMPUTED_VALUE"""),"")</f>
        <v/>
      </c>
      <c r="W231" s="106" t="str">
        <f>IFERROR(__xludf.DUMMYFUNCTION("""COMPUTED_VALUE"""),"")</f>
        <v/>
      </c>
      <c r="X231" s="143" t="str">
        <f t="shared" si="2"/>
        <v/>
      </c>
      <c r="Y231" s="139" t="str">
        <f>IFERROR(__xludf.DUMMYFUNCTION("""COMPUTED_VALUE"""),"")</f>
        <v/>
      </c>
      <c r="Z231" s="141" t="str">
        <f>IFERROR(__xludf.DUMMYFUNCTION("""COMPUTED_VALUE"""),"")</f>
        <v/>
      </c>
    </row>
    <row r="232">
      <c r="A232" s="136"/>
      <c r="B232" s="136"/>
      <c r="C232" s="136" t="str">
        <f>IFERROR(__xludf.DUMMYFUNCTION("""COMPUTED_VALUE"""),"")</f>
        <v/>
      </c>
      <c r="D232" s="136" t="str">
        <f t="shared" si="3"/>
        <v/>
      </c>
      <c r="E232" s="152" t="str">
        <f>IFERROR(__xludf.DUMMYFUNCTION("""COMPUTED_VALUE"""),"")</f>
        <v/>
      </c>
      <c r="F232" s="106" t="s">
        <v>133</v>
      </c>
      <c r="G232" s="152" t="str">
        <f>IFERROR(__xludf.DUMMYFUNCTION("""COMPUTED_VALUE"""),"")</f>
        <v/>
      </c>
      <c r="H232" s="106" t="s">
        <v>133</v>
      </c>
      <c r="I232" s="136"/>
      <c r="J232" s="139" t="s">
        <v>133</v>
      </c>
      <c r="K232" s="136" t="s">
        <v>133</v>
      </c>
      <c r="L232" s="153" t="str">
        <f>IFERROR(__xludf.DUMMYFUNCTION("""COMPUTED_VALUE"""),"")</f>
        <v/>
      </c>
      <c r="M232" s="136" t="str">
        <f t="shared" si="1"/>
        <v/>
      </c>
      <c r="N232" s="136" t="str">
        <f>IFERROR(__xludf.DUMMYFUNCTION("""COMPUTED_VALUE"""),"")</f>
        <v/>
      </c>
      <c r="O232" s="141" t="s">
        <v>133</v>
      </c>
      <c r="P232" s="136" t="str">
        <f>IFERROR(__xludf.DUMMYFUNCTION("""COMPUTED_VALUE"""),"")</f>
        <v/>
      </c>
      <c r="Q232" s="136" t="str">
        <f>IFERROR(__xludf.DUMMYFUNCTION("""COMPUTED_VALUE"""),"")</f>
        <v/>
      </c>
      <c r="R232" s="106" t="str">
        <f>IFERROR(__xludf.DUMMYFUNCTION("""COMPUTED_VALUE"""),"")</f>
        <v/>
      </c>
      <c r="S232" s="106" t="str">
        <f>IFERROR(__xludf.DUMMYFUNCTION("""COMPUTED_VALUE"""),"")</f>
        <v/>
      </c>
      <c r="T232" s="139" t="str">
        <f>IFERROR(__xludf.DUMMYFUNCTION("""COMPUTED_VALUE"""),"")</f>
        <v/>
      </c>
      <c r="U232" s="139" t="str">
        <f>IFERROR(__xludf.DUMMYFUNCTION("""COMPUTED_VALUE"""),"")</f>
        <v/>
      </c>
      <c r="V232" s="136" t="str">
        <f>IFERROR(__xludf.DUMMYFUNCTION("""COMPUTED_VALUE"""),"")</f>
        <v/>
      </c>
      <c r="W232" s="106" t="str">
        <f>IFERROR(__xludf.DUMMYFUNCTION("""COMPUTED_VALUE"""),"")</f>
        <v/>
      </c>
      <c r="X232" s="143" t="str">
        <f t="shared" si="2"/>
        <v/>
      </c>
      <c r="Y232" s="139" t="str">
        <f>IFERROR(__xludf.DUMMYFUNCTION("""COMPUTED_VALUE"""),"")</f>
        <v/>
      </c>
      <c r="Z232" s="141" t="str">
        <f>IFERROR(__xludf.DUMMYFUNCTION("""COMPUTED_VALUE"""),"")</f>
        <v/>
      </c>
    </row>
    <row r="233">
      <c r="A233" s="136"/>
      <c r="B233" s="136"/>
      <c r="C233" s="136" t="str">
        <f>IFERROR(__xludf.DUMMYFUNCTION("""COMPUTED_VALUE"""),"")</f>
        <v/>
      </c>
      <c r="D233" s="136" t="str">
        <f t="shared" si="3"/>
        <v/>
      </c>
      <c r="E233" s="152" t="str">
        <f>IFERROR(__xludf.DUMMYFUNCTION("""COMPUTED_VALUE"""),"")</f>
        <v/>
      </c>
      <c r="F233" s="106" t="s">
        <v>133</v>
      </c>
      <c r="G233" s="152" t="str">
        <f>IFERROR(__xludf.DUMMYFUNCTION("""COMPUTED_VALUE"""),"")</f>
        <v/>
      </c>
      <c r="H233" s="106" t="s">
        <v>133</v>
      </c>
      <c r="I233" s="136"/>
      <c r="J233" s="139" t="s">
        <v>133</v>
      </c>
      <c r="K233" s="136" t="s">
        <v>133</v>
      </c>
      <c r="L233" s="153" t="str">
        <f>IFERROR(__xludf.DUMMYFUNCTION("""COMPUTED_VALUE"""),"")</f>
        <v/>
      </c>
      <c r="M233" s="136" t="str">
        <f t="shared" si="1"/>
        <v/>
      </c>
      <c r="N233" s="136" t="str">
        <f>IFERROR(__xludf.DUMMYFUNCTION("""COMPUTED_VALUE"""),"")</f>
        <v/>
      </c>
      <c r="O233" s="141" t="s">
        <v>133</v>
      </c>
      <c r="P233" s="136" t="str">
        <f>IFERROR(__xludf.DUMMYFUNCTION("""COMPUTED_VALUE"""),"")</f>
        <v/>
      </c>
      <c r="Q233" s="136" t="str">
        <f>IFERROR(__xludf.DUMMYFUNCTION("""COMPUTED_VALUE"""),"")</f>
        <v/>
      </c>
      <c r="R233" s="106" t="str">
        <f>IFERROR(__xludf.DUMMYFUNCTION("""COMPUTED_VALUE"""),"")</f>
        <v/>
      </c>
      <c r="S233" s="106" t="str">
        <f>IFERROR(__xludf.DUMMYFUNCTION("""COMPUTED_VALUE"""),"")</f>
        <v/>
      </c>
      <c r="T233" s="139" t="str">
        <f>IFERROR(__xludf.DUMMYFUNCTION("""COMPUTED_VALUE"""),"")</f>
        <v/>
      </c>
      <c r="U233" s="139" t="str">
        <f>IFERROR(__xludf.DUMMYFUNCTION("""COMPUTED_VALUE"""),"")</f>
        <v/>
      </c>
      <c r="V233" s="136" t="str">
        <f>IFERROR(__xludf.DUMMYFUNCTION("""COMPUTED_VALUE"""),"")</f>
        <v/>
      </c>
      <c r="W233" s="106" t="str">
        <f>IFERROR(__xludf.DUMMYFUNCTION("""COMPUTED_VALUE"""),"")</f>
        <v/>
      </c>
      <c r="X233" s="143" t="str">
        <f t="shared" si="2"/>
        <v/>
      </c>
      <c r="Y233" s="139" t="str">
        <f>IFERROR(__xludf.DUMMYFUNCTION("""COMPUTED_VALUE"""),"")</f>
        <v/>
      </c>
      <c r="Z233" s="141" t="str">
        <f>IFERROR(__xludf.DUMMYFUNCTION("""COMPUTED_VALUE"""),"")</f>
        <v/>
      </c>
    </row>
    <row r="234">
      <c r="A234" s="136"/>
      <c r="B234" s="136"/>
      <c r="C234" s="136" t="str">
        <f>IFERROR(__xludf.DUMMYFUNCTION("""COMPUTED_VALUE"""),"")</f>
        <v/>
      </c>
      <c r="D234" s="136" t="str">
        <f t="shared" si="3"/>
        <v/>
      </c>
      <c r="E234" s="152" t="str">
        <f>IFERROR(__xludf.DUMMYFUNCTION("""COMPUTED_VALUE"""),"")</f>
        <v/>
      </c>
      <c r="F234" s="106" t="s">
        <v>133</v>
      </c>
      <c r="G234" s="152" t="str">
        <f>IFERROR(__xludf.DUMMYFUNCTION("""COMPUTED_VALUE"""),"")</f>
        <v/>
      </c>
      <c r="H234" s="106" t="s">
        <v>133</v>
      </c>
      <c r="I234" s="136"/>
      <c r="J234" s="139" t="s">
        <v>133</v>
      </c>
      <c r="K234" s="136" t="s">
        <v>133</v>
      </c>
      <c r="L234" s="153" t="str">
        <f>IFERROR(__xludf.DUMMYFUNCTION("""COMPUTED_VALUE"""),"")</f>
        <v/>
      </c>
      <c r="M234" s="136" t="str">
        <f t="shared" si="1"/>
        <v/>
      </c>
      <c r="N234" s="136" t="str">
        <f>IFERROR(__xludf.DUMMYFUNCTION("""COMPUTED_VALUE"""),"")</f>
        <v/>
      </c>
      <c r="O234" s="141" t="s">
        <v>133</v>
      </c>
      <c r="P234" s="136" t="str">
        <f>IFERROR(__xludf.DUMMYFUNCTION("""COMPUTED_VALUE"""),"")</f>
        <v/>
      </c>
      <c r="Q234" s="136" t="str">
        <f>IFERROR(__xludf.DUMMYFUNCTION("""COMPUTED_VALUE"""),"")</f>
        <v/>
      </c>
      <c r="R234" s="106" t="str">
        <f>IFERROR(__xludf.DUMMYFUNCTION("""COMPUTED_VALUE"""),"")</f>
        <v/>
      </c>
      <c r="S234" s="106" t="str">
        <f>IFERROR(__xludf.DUMMYFUNCTION("""COMPUTED_VALUE"""),"")</f>
        <v/>
      </c>
      <c r="T234" s="139" t="str">
        <f>IFERROR(__xludf.DUMMYFUNCTION("""COMPUTED_VALUE"""),"")</f>
        <v/>
      </c>
      <c r="U234" s="139" t="str">
        <f>IFERROR(__xludf.DUMMYFUNCTION("""COMPUTED_VALUE"""),"")</f>
        <v/>
      </c>
      <c r="V234" s="136" t="str">
        <f>IFERROR(__xludf.DUMMYFUNCTION("""COMPUTED_VALUE"""),"")</f>
        <v/>
      </c>
      <c r="W234" s="106" t="str">
        <f>IFERROR(__xludf.DUMMYFUNCTION("""COMPUTED_VALUE"""),"")</f>
        <v/>
      </c>
      <c r="X234" s="143" t="str">
        <f t="shared" si="2"/>
        <v/>
      </c>
      <c r="Y234" s="139" t="str">
        <f>IFERROR(__xludf.DUMMYFUNCTION("""COMPUTED_VALUE"""),"")</f>
        <v/>
      </c>
      <c r="Z234" s="141" t="str">
        <f>IFERROR(__xludf.DUMMYFUNCTION("""COMPUTED_VALUE"""),"")</f>
        <v/>
      </c>
    </row>
    <row r="235">
      <c r="A235" s="136"/>
      <c r="B235" s="136"/>
      <c r="C235" s="136" t="str">
        <f>IFERROR(__xludf.DUMMYFUNCTION("""COMPUTED_VALUE"""),"")</f>
        <v/>
      </c>
      <c r="D235" s="136" t="str">
        <f t="shared" si="3"/>
        <v/>
      </c>
      <c r="E235" s="152" t="str">
        <f>IFERROR(__xludf.DUMMYFUNCTION("""COMPUTED_VALUE"""),"")</f>
        <v/>
      </c>
      <c r="F235" s="106" t="s">
        <v>133</v>
      </c>
      <c r="G235" s="152" t="str">
        <f>IFERROR(__xludf.DUMMYFUNCTION("""COMPUTED_VALUE"""),"")</f>
        <v/>
      </c>
      <c r="H235" s="106" t="s">
        <v>133</v>
      </c>
      <c r="I235" s="136"/>
      <c r="J235" s="139" t="s">
        <v>133</v>
      </c>
      <c r="K235" s="136" t="s">
        <v>133</v>
      </c>
      <c r="L235" s="153" t="str">
        <f>IFERROR(__xludf.DUMMYFUNCTION("""COMPUTED_VALUE"""),"")</f>
        <v/>
      </c>
      <c r="M235" s="136" t="str">
        <f t="shared" si="1"/>
        <v/>
      </c>
      <c r="N235" s="136" t="str">
        <f>IFERROR(__xludf.DUMMYFUNCTION("""COMPUTED_VALUE"""),"")</f>
        <v/>
      </c>
      <c r="O235" s="141" t="s">
        <v>133</v>
      </c>
      <c r="P235" s="136" t="str">
        <f>IFERROR(__xludf.DUMMYFUNCTION("""COMPUTED_VALUE"""),"")</f>
        <v/>
      </c>
      <c r="Q235" s="136" t="str">
        <f>IFERROR(__xludf.DUMMYFUNCTION("""COMPUTED_VALUE"""),"")</f>
        <v/>
      </c>
      <c r="R235" s="106" t="str">
        <f>IFERROR(__xludf.DUMMYFUNCTION("""COMPUTED_VALUE"""),"")</f>
        <v/>
      </c>
      <c r="S235" s="106" t="str">
        <f>IFERROR(__xludf.DUMMYFUNCTION("""COMPUTED_VALUE"""),"")</f>
        <v/>
      </c>
      <c r="T235" s="139" t="str">
        <f>IFERROR(__xludf.DUMMYFUNCTION("""COMPUTED_VALUE"""),"")</f>
        <v/>
      </c>
      <c r="U235" s="139" t="str">
        <f>IFERROR(__xludf.DUMMYFUNCTION("""COMPUTED_VALUE"""),"")</f>
        <v/>
      </c>
      <c r="V235" s="136" t="str">
        <f>IFERROR(__xludf.DUMMYFUNCTION("""COMPUTED_VALUE"""),"")</f>
        <v/>
      </c>
      <c r="W235" s="106" t="str">
        <f>IFERROR(__xludf.DUMMYFUNCTION("""COMPUTED_VALUE"""),"")</f>
        <v/>
      </c>
      <c r="X235" s="143" t="str">
        <f t="shared" si="2"/>
        <v/>
      </c>
      <c r="Y235" s="139" t="str">
        <f>IFERROR(__xludf.DUMMYFUNCTION("""COMPUTED_VALUE"""),"")</f>
        <v/>
      </c>
      <c r="Z235" s="141" t="str">
        <f>IFERROR(__xludf.DUMMYFUNCTION("""COMPUTED_VALUE"""),"")</f>
        <v/>
      </c>
    </row>
    <row r="236">
      <c r="A236" s="136"/>
      <c r="B236" s="136"/>
      <c r="C236" s="136" t="str">
        <f>IFERROR(__xludf.DUMMYFUNCTION("""COMPUTED_VALUE"""),"")</f>
        <v/>
      </c>
      <c r="D236" s="136" t="str">
        <f t="shared" si="3"/>
        <v/>
      </c>
      <c r="E236" s="152" t="str">
        <f>IFERROR(__xludf.DUMMYFUNCTION("""COMPUTED_VALUE"""),"")</f>
        <v/>
      </c>
      <c r="F236" s="106" t="s">
        <v>133</v>
      </c>
      <c r="G236" s="152" t="str">
        <f>IFERROR(__xludf.DUMMYFUNCTION("""COMPUTED_VALUE"""),"")</f>
        <v/>
      </c>
      <c r="H236" s="106" t="s">
        <v>133</v>
      </c>
      <c r="I236" s="136"/>
      <c r="J236" s="139" t="s">
        <v>133</v>
      </c>
      <c r="K236" s="136" t="s">
        <v>133</v>
      </c>
      <c r="L236" s="153" t="str">
        <f>IFERROR(__xludf.DUMMYFUNCTION("""COMPUTED_VALUE"""),"")</f>
        <v/>
      </c>
      <c r="M236" s="136" t="str">
        <f t="shared" si="1"/>
        <v/>
      </c>
      <c r="N236" s="136" t="str">
        <f>IFERROR(__xludf.DUMMYFUNCTION("""COMPUTED_VALUE"""),"")</f>
        <v/>
      </c>
      <c r="O236" s="141" t="s">
        <v>133</v>
      </c>
      <c r="P236" s="136" t="str">
        <f>IFERROR(__xludf.DUMMYFUNCTION("""COMPUTED_VALUE"""),"")</f>
        <v/>
      </c>
      <c r="Q236" s="136" t="str">
        <f>IFERROR(__xludf.DUMMYFUNCTION("""COMPUTED_VALUE"""),"")</f>
        <v/>
      </c>
      <c r="R236" s="106" t="str">
        <f>IFERROR(__xludf.DUMMYFUNCTION("""COMPUTED_VALUE"""),"")</f>
        <v/>
      </c>
      <c r="S236" s="106" t="str">
        <f>IFERROR(__xludf.DUMMYFUNCTION("""COMPUTED_VALUE"""),"")</f>
        <v/>
      </c>
      <c r="T236" s="139" t="str">
        <f>IFERROR(__xludf.DUMMYFUNCTION("""COMPUTED_VALUE"""),"")</f>
        <v/>
      </c>
      <c r="U236" s="139" t="str">
        <f>IFERROR(__xludf.DUMMYFUNCTION("""COMPUTED_VALUE"""),"")</f>
        <v/>
      </c>
      <c r="V236" s="136" t="str">
        <f>IFERROR(__xludf.DUMMYFUNCTION("""COMPUTED_VALUE"""),"")</f>
        <v/>
      </c>
      <c r="W236" s="106" t="str">
        <f>IFERROR(__xludf.DUMMYFUNCTION("""COMPUTED_VALUE"""),"")</f>
        <v/>
      </c>
      <c r="X236" s="143" t="str">
        <f t="shared" si="2"/>
        <v/>
      </c>
      <c r="Y236" s="139" t="str">
        <f>IFERROR(__xludf.DUMMYFUNCTION("""COMPUTED_VALUE"""),"")</f>
        <v/>
      </c>
      <c r="Z236" s="141" t="str">
        <f>IFERROR(__xludf.DUMMYFUNCTION("""COMPUTED_VALUE"""),"")</f>
        <v/>
      </c>
    </row>
    <row r="237">
      <c r="A237" s="136"/>
      <c r="B237" s="136"/>
      <c r="C237" s="136" t="str">
        <f>IFERROR(__xludf.DUMMYFUNCTION("""COMPUTED_VALUE"""),"")</f>
        <v/>
      </c>
      <c r="D237" s="136" t="str">
        <f t="shared" si="3"/>
        <v/>
      </c>
      <c r="E237" s="152" t="str">
        <f>IFERROR(__xludf.DUMMYFUNCTION("""COMPUTED_VALUE"""),"")</f>
        <v/>
      </c>
      <c r="F237" s="106" t="s">
        <v>133</v>
      </c>
      <c r="G237" s="152" t="str">
        <f>IFERROR(__xludf.DUMMYFUNCTION("""COMPUTED_VALUE"""),"")</f>
        <v/>
      </c>
      <c r="H237" s="106" t="s">
        <v>133</v>
      </c>
      <c r="I237" s="136"/>
      <c r="J237" s="139" t="s">
        <v>133</v>
      </c>
      <c r="K237" s="136" t="s">
        <v>133</v>
      </c>
      <c r="L237" s="153" t="str">
        <f>IFERROR(__xludf.DUMMYFUNCTION("""COMPUTED_VALUE"""),"")</f>
        <v/>
      </c>
      <c r="M237" s="136" t="str">
        <f t="shared" si="1"/>
        <v/>
      </c>
      <c r="N237" s="136" t="str">
        <f>IFERROR(__xludf.DUMMYFUNCTION("""COMPUTED_VALUE"""),"")</f>
        <v/>
      </c>
      <c r="O237" s="141" t="s">
        <v>133</v>
      </c>
      <c r="P237" s="136" t="str">
        <f>IFERROR(__xludf.DUMMYFUNCTION("""COMPUTED_VALUE"""),"")</f>
        <v/>
      </c>
      <c r="Q237" s="136" t="str">
        <f>IFERROR(__xludf.DUMMYFUNCTION("""COMPUTED_VALUE"""),"")</f>
        <v/>
      </c>
      <c r="R237" s="106" t="str">
        <f>IFERROR(__xludf.DUMMYFUNCTION("""COMPUTED_VALUE"""),"")</f>
        <v/>
      </c>
      <c r="S237" s="106" t="str">
        <f>IFERROR(__xludf.DUMMYFUNCTION("""COMPUTED_VALUE"""),"")</f>
        <v/>
      </c>
      <c r="T237" s="139" t="str">
        <f>IFERROR(__xludf.DUMMYFUNCTION("""COMPUTED_VALUE"""),"")</f>
        <v/>
      </c>
      <c r="U237" s="139" t="str">
        <f>IFERROR(__xludf.DUMMYFUNCTION("""COMPUTED_VALUE"""),"")</f>
        <v/>
      </c>
      <c r="V237" s="136" t="str">
        <f>IFERROR(__xludf.DUMMYFUNCTION("""COMPUTED_VALUE"""),"")</f>
        <v/>
      </c>
      <c r="W237" s="106" t="str">
        <f>IFERROR(__xludf.DUMMYFUNCTION("""COMPUTED_VALUE"""),"")</f>
        <v/>
      </c>
      <c r="X237" s="143" t="str">
        <f t="shared" si="2"/>
        <v/>
      </c>
      <c r="Y237" s="139" t="str">
        <f>IFERROR(__xludf.DUMMYFUNCTION("""COMPUTED_VALUE"""),"")</f>
        <v/>
      </c>
      <c r="Z237" s="141" t="str">
        <f>IFERROR(__xludf.DUMMYFUNCTION("""COMPUTED_VALUE"""),"")</f>
        <v/>
      </c>
    </row>
    <row r="238">
      <c r="A238" s="136"/>
      <c r="B238" s="136"/>
      <c r="C238" s="136" t="str">
        <f>IFERROR(__xludf.DUMMYFUNCTION("""COMPUTED_VALUE"""),"")</f>
        <v/>
      </c>
      <c r="D238" s="136" t="str">
        <f t="shared" si="3"/>
        <v/>
      </c>
      <c r="E238" s="152" t="str">
        <f>IFERROR(__xludf.DUMMYFUNCTION("""COMPUTED_VALUE"""),"")</f>
        <v/>
      </c>
      <c r="F238" s="106" t="s">
        <v>133</v>
      </c>
      <c r="G238" s="152" t="str">
        <f>IFERROR(__xludf.DUMMYFUNCTION("""COMPUTED_VALUE"""),"")</f>
        <v/>
      </c>
      <c r="H238" s="106" t="s">
        <v>133</v>
      </c>
      <c r="I238" s="136"/>
      <c r="J238" s="139" t="s">
        <v>133</v>
      </c>
      <c r="K238" s="136" t="s">
        <v>133</v>
      </c>
      <c r="L238" s="153" t="str">
        <f>IFERROR(__xludf.DUMMYFUNCTION("""COMPUTED_VALUE"""),"")</f>
        <v/>
      </c>
      <c r="M238" s="136" t="str">
        <f t="shared" si="1"/>
        <v/>
      </c>
      <c r="N238" s="136" t="str">
        <f>IFERROR(__xludf.DUMMYFUNCTION("""COMPUTED_VALUE"""),"")</f>
        <v/>
      </c>
      <c r="O238" s="141" t="s">
        <v>133</v>
      </c>
      <c r="P238" s="136" t="str">
        <f>IFERROR(__xludf.DUMMYFUNCTION("""COMPUTED_VALUE"""),"")</f>
        <v/>
      </c>
      <c r="Q238" s="136" t="str">
        <f>IFERROR(__xludf.DUMMYFUNCTION("""COMPUTED_VALUE"""),"")</f>
        <v/>
      </c>
      <c r="R238" s="106" t="str">
        <f>IFERROR(__xludf.DUMMYFUNCTION("""COMPUTED_VALUE"""),"")</f>
        <v/>
      </c>
      <c r="S238" s="106" t="str">
        <f>IFERROR(__xludf.DUMMYFUNCTION("""COMPUTED_VALUE"""),"")</f>
        <v/>
      </c>
      <c r="T238" s="139" t="str">
        <f>IFERROR(__xludf.DUMMYFUNCTION("""COMPUTED_VALUE"""),"")</f>
        <v/>
      </c>
      <c r="U238" s="139" t="str">
        <f>IFERROR(__xludf.DUMMYFUNCTION("""COMPUTED_VALUE"""),"")</f>
        <v/>
      </c>
      <c r="V238" s="136" t="str">
        <f>IFERROR(__xludf.DUMMYFUNCTION("""COMPUTED_VALUE"""),"")</f>
        <v/>
      </c>
      <c r="W238" s="106" t="str">
        <f>IFERROR(__xludf.DUMMYFUNCTION("""COMPUTED_VALUE"""),"")</f>
        <v/>
      </c>
      <c r="X238" s="143" t="str">
        <f t="shared" si="2"/>
        <v/>
      </c>
      <c r="Y238" s="139" t="str">
        <f>IFERROR(__xludf.DUMMYFUNCTION("""COMPUTED_VALUE"""),"")</f>
        <v/>
      </c>
      <c r="Z238" s="141" t="str">
        <f>IFERROR(__xludf.DUMMYFUNCTION("""COMPUTED_VALUE"""),"")</f>
        <v/>
      </c>
    </row>
    <row r="239">
      <c r="A239" s="136"/>
      <c r="B239" s="136"/>
      <c r="C239" s="136" t="str">
        <f>IFERROR(__xludf.DUMMYFUNCTION("""COMPUTED_VALUE"""),"")</f>
        <v/>
      </c>
      <c r="D239" s="136" t="str">
        <f t="shared" si="3"/>
        <v/>
      </c>
      <c r="E239" s="152" t="str">
        <f>IFERROR(__xludf.DUMMYFUNCTION("""COMPUTED_VALUE"""),"")</f>
        <v/>
      </c>
      <c r="F239" s="106" t="s">
        <v>133</v>
      </c>
      <c r="G239" s="152" t="str">
        <f>IFERROR(__xludf.DUMMYFUNCTION("""COMPUTED_VALUE"""),"")</f>
        <v/>
      </c>
      <c r="H239" s="106" t="s">
        <v>133</v>
      </c>
      <c r="I239" s="136"/>
      <c r="J239" s="139" t="s">
        <v>133</v>
      </c>
      <c r="K239" s="136" t="s">
        <v>133</v>
      </c>
      <c r="L239" s="153" t="str">
        <f>IFERROR(__xludf.DUMMYFUNCTION("""COMPUTED_VALUE"""),"")</f>
        <v/>
      </c>
      <c r="M239" s="136" t="str">
        <f t="shared" si="1"/>
        <v/>
      </c>
      <c r="N239" s="136" t="str">
        <f>IFERROR(__xludf.DUMMYFUNCTION("""COMPUTED_VALUE"""),"")</f>
        <v/>
      </c>
      <c r="O239" s="141" t="s">
        <v>133</v>
      </c>
      <c r="P239" s="136" t="str">
        <f>IFERROR(__xludf.DUMMYFUNCTION("""COMPUTED_VALUE"""),"")</f>
        <v/>
      </c>
      <c r="Q239" s="136" t="str">
        <f>IFERROR(__xludf.DUMMYFUNCTION("""COMPUTED_VALUE"""),"")</f>
        <v/>
      </c>
      <c r="R239" s="106" t="str">
        <f>IFERROR(__xludf.DUMMYFUNCTION("""COMPUTED_VALUE"""),"")</f>
        <v/>
      </c>
      <c r="S239" s="106" t="str">
        <f>IFERROR(__xludf.DUMMYFUNCTION("""COMPUTED_VALUE"""),"")</f>
        <v/>
      </c>
      <c r="T239" s="139" t="str">
        <f>IFERROR(__xludf.DUMMYFUNCTION("""COMPUTED_VALUE"""),"")</f>
        <v/>
      </c>
      <c r="U239" s="139" t="str">
        <f>IFERROR(__xludf.DUMMYFUNCTION("""COMPUTED_VALUE"""),"")</f>
        <v/>
      </c>
      <c r="V239" s="136" t="str">
        <f>IFERROR(__xludf.DUMMYFUNCTION("""COMPUTED_VALUE"""),"")</f>
        <v/>
      </c>
      <c r="W239" s="106" t="str">
        <f>IFERROR(__xludf.DUMMYFUNCTION("""COMPUTED_VALUE"""),"")</f>
        <v/>
      </c>
      <c r="X239" s="143" t="str">
        <f t="shared" si="2"/>
        <v/>
      </c>
      <c r="Y239" s="139" t="str">
        <f>IFERROR(__xludf.DUMMYFUNCTION("""COMPUTED_VALUE"""),"")</f>
        <v/>
      </c>
      <c r="Z239" s="141" t="str">
        <f>IFERROR(__xludf.DUMMYFUNCTION("""COMPUTED_VALUE"""),"")</f>
        <v/>
      </c>
    </row>
    <row r="240">
      <c r="A240" s="136"/>
      <c r="B240" s="136"/>
      <c r="C240" s="136" t="str">
        <f>IFERROR(__xludf.DUMMYFUNCTION("""COMPUTED_VALUE"""),"")</f>
        <v/>
      </c>
      <c r="D240" s="136" t="str">
        <f t="shared" si="3"/>
        <v/>
      </c>
      <c r="E240" s="152" t="str">
        <f>IFERROR(__xludf.DUMMYFUNCTION("""COMPUTED_VALUE"""),"")</f>
        <v/>
      </c>
      <c r="F240" s="106" t="s">
        <v>133</v>
      </c>
      <c r="G240" s="152" t="str">
        <f>IFERROR(__xludf.DUMMYFUNCTION("""COMPUTED_VALUE"""),"")</f>
        <v/>
      </c>
      <c r="H240" s="106" t="s">
        <v>133</v>
      </c>
      <c r="I240" s="136"/>
      <c r="J240" s="139" t="s">
        <v>133</v>
      </c>
      <c r="K240" s="136" t="s">
        <v>133</v>
      </c>
      <c r="L240" s="153" t="str">
        <f>IFERROR(__xludf.DUMMYFUNCTION("""COMPUTED_VALUE"""),"")</f>
        <v/>
      </c>
      <c r="M240" s="136" t="str">
        <f t="shared" si="1"/>
        <v/>
      </c>
      <c r="N240" s="136" t="str">
        <f>IFERROR(__xludf.DUMMYFUNCTION("""COMPUTED_VALUE"""),"")</f>
        <v/>
      </c>
      <c r="O240" s="141" t="s">
        <v>133</v>
      </c>
      <c r="P240" s="136" t="str">
        <f>IFERROR(__xludf.DUMMYFUNCTION("""COMPUTED_VALUE"""),"")</f>
        <v/>
      </c>
      <c r="Q240" s="136" t="str">
        <f>IFERROR(__xludf.DUMMYFUNCTION("""COMPUTED_VALUE"""),"")</f>
        <v/>
      </c>
      <c r="R240" s="106" t="str">
        <f>IFERROR(__xludf.DUMMYFUNCTION("""COMPUTED_VALUE"""),"")</f>
        <v/>
      </c>
      <c r="S240" s="106" t="str">
        <f>IFERROR(__xludf.DUMMYFUNCTION("""COMPUTED_VALUE"""),"")</f>
        <v/>
      </c>
      <c r="T240" s="139" t="str">
        <f>IFERROR(__xludf.DUMMYFUNCTION("""COMPUTED_VALUE"""),"")</f>
        <v/>
      </c>
      <c r="U240" s="139" t="str">
        <f>IFERROR(__xludf.DUMMYFUNCTION("""COMPUTED_VALUE"""),"")</f>
        <v/>
      </c>
      <c r="V240" s="136" t="str">
        <f>IFERROR(__xludf.DUMMYFUNCTION("""COMPUTED_VALUE"""),"")</f>
        <v/>
      </c>
      <c r="W240" s="106" t="str">
        <f>IFERROR(__xludf.DUMMYFUNCTION("""COMPUTED_VALUE"""),"")</f>
        <v/>
      </c>
      <c r="X240" s="143" t="str">
        <f t="shared" si="2"/>
        <v/>
      </c>
      <c r="Y240" s="139" t="str">
        <f>IFERROR(__xludf.DUMMYFUNCTION("""COMPUTED_VALUE"""),"")</f>
        <v/>
      </c>
      <c r="Z240" s="141" t="str">
        <f>IFERROR(__xludf.DUMMYFUNCTION("""COMPUTED_VALUE"""),"")</f>
        <v/>
      </c>
    </row>
    <row r="241">
      <c r="A241" s="136"/>
      <c r="B241" s="136"/>
      <c r="C241" s="136" t="str">
        <f>IFERROR(__xludf.DUMMYFUNCTION("""COMPUTED_VALUE"""),"")</f>
        <v/>
      </c>
      <c r="D241" s="136" t="str">
        <f t="shared" si="3"/>
        <v/>
      </c>
      <c r="E241" s="152" t="str">
        <f>IFERROR(__xludf.DUMMYFUNCTION("""COMPUTED_VALUE"""),"")</f>
        <v/>
      </c>
      <c r="F241" s="106" t="s">
        <v>133</v>
      </c>
      <c r="G241" s="152" t="str">
        <f>IFERROR(__xludf.DUMMYFUNCTION("""COMPUTED_VALUE"""),"")</f>
        <v/>
      </c>
      <c r="H241" s="106" t="s">
        <v>133</v>
      </c>
      <c r="I241" s="136"/>
      <c r="J241" s="139" t="s">
        <v>133</v>
      </c>
      <c r="K241" s="136" t="s">
        <v>133</v>
      </c>
      <c r="L241" s="153" t="str">
        <f>IFERROR(__xludf.DUMMYFUNCTION("""COMPUTED_VALUE"""),"")</f>
        <v/>
      </c>
      <c r="M241" s="136" t="str">
        <f t="shared" si="1"/>
        <v/>
      </c>
      <c r="N241" s="136" t="str">
        <f>IFERROR(__xludf.DUMMYFUNCTION("""COMPUTED_VALUE"""),"")</f>
        <v/>
      </c>
      <c r="O241" s="141" t="s">
        <v>133</v>
      </c>
      <c r="P241" s="136" t="str">
        <f>IFERROR(__xludf.DUMMYFUNCTION("""COMPUTED_VALUE"""),"")</f>
        <v/>
      </c>
      <c r="Q241" s="136" t="str">
        <f>IFERROR(__xludf.DUMMYFUNCTION("""COMPUTED_VALUE"""),"")</f>
        <v/>
      </c>
      <c r="R241" s="106" t="str">
        <f>IFERROR(__xludf.DUMMYFUNCTION("""COMPUTED_VALUE"""),"")</f>
        <v/>
      </c>
      <c r="S241" s="106" t="str">
        <f>IFERROR(__xludf.DUMMYFUNCTION("""COMPUTED_VALUE"""),"")</f>
        <v/>
      </c>
      <c r="T241" s="139" t="str">
        <f>IFERROR(__xludf.DUMMYFUNCTION("""COMPUTED_VALUE"""),"")</f>
        <v/>
      </c>
      <c r="U241" s="139" t="str">
        <f>IFERROR(__xludf.DUMMYFUNCTION("""COMPUTED_VALUE"""),"")</f>
        <v/>
      </c>
      <c r="V241" s="136" t="str">
        <f>IFERROR(__xludf.DUMMYFUNCTION("""COMPUTED_VALUE"""),"")</f>
        <v/>
      </c>
      <c r="W241" s="106" t="str">
        <f>IFERROR(__xludf.DUMMYFUNCTION("""COMPUTED_VALUE"""),"")</f>
        <v/>
      </c>
      <c r="X241" s="143" t="str">
        <f t="shared" si="2"/>
        <v/>
      </c>
      <c r="Y241" s="139" t="str">
        <f>IFERROR(__xludf.DUMMYFUNCTION("""COMPUTED_VALUE"""),"")</f>
        <v/>
      </c>
      <c r="Z241" s="141" t="str">
        <f>IFERROR(__xludf.DUMMYFUNCTION("""COMPUTED_VALUE"""),"")</f>
        <v/>
      </c>
    </row>
    <row r="242">
      <c r="A242" s="136"/>
      <c r="B242" s="136"/>
      <c r="C242" s="136" t="str">
        <f>IFERROR(__xludf.DUMMYFUNCTION("""COMPUTED_VALUE"""),"")</f>
        <v/>
      </c>
      <c r="D242" s="136" t="str">
        <f t="shared" si="3"/>
        <v/>
      </c>
      <c r="E242" s="152" t="str">
        <f>IFERROR(__xludf.DUMMYFUNCTION("""COMPUTED_VALUE"""),"")</f>
        <v/>
      </c>
      <c r="F242" s="106" t="s">
        <v>133</v>
      </c>
      <c r="G242" s="152" t="str">
        <f>IFERROR(__xludf.DUMMYFUNCTION("""COMPUTED_VALUE"""),"")</f>
        <v/>
      </c>
      <c r="H242" s="106" t="s">
        <v>133</v>
      </c>
      <c r="I242" s="136"/>
      <c r="J242" s="139" t="s">
        <v>133</v>
      </c>
      <c r="K242" s="136" t="s">
        <v>133</v>
      </c>
      <c r="L242" s="153" t="str">
        <f>IFERROR(__xludf.DUMMYFUNCTION("""COMPUTED_VALUE"""),"")</f>
        <v/>
      </c>
      <c r="M242" s="136" t="str">
        <f t="shared" si="1"/>
        <v/>
      </c>
      <c r="N242" s="136" t="str">
        <f>IFERROR(__xludf.DUMMYFUNCTION("""COMPUTED_VALUE"""),"")</f>
        <v/>
      </c>
      <c r="O242" s="141" t="s">
        <v>133</v>
      </c>
      <c r="P242" s="136" t="str">
        <f>IFERROR(__xludf.DUMMYFUNCTION("""COMPUTED_VALUE"""),"")</f>
        <v/>
      </c>
      <c r="Q242" s="136" t="str">
        <f>IFERROR(__xludf.DUMMYFUNCTION("""COMPUTED_VALUE"""),"")</f>
        <v/>
      </c>
      <c r="R242" s="106" t="str">
        <f>IFERROR(__xludf.DUMMYFUNCTION("""COMPUTED_VALUE"""),"")</f>
        <v/>
      </c>
      <c r="S242" s="106" t="str">
        <f>IFERROR(__xludf.DUMMYFUNCTION("""COMPUTED_VALUE"""),"")</f>
        <v/>
      </c>
      <c r="T242" s="139" t="str">
        <f>IFERROR(__xludf.DUMMYFUNCTION("""COMPUTED_VALUE"""),"")</f>
        <v/>
      </c>
      <c r="U242" s="139" t="str">
        <f>IFERROR(__xludf.DUMMYFUNCTION("""COMPUTED_VALUE"""),"")</f>
        <v/>
      </c>
      <c r="V242" s="136" t="str">
        <f>IFERROR(__xludf.DUMMYFUNCTION("""COMPUTED_VALUE"""),"")</f>
        <v/>
      </c>
      <c r="W242" s="106" t="str">
        <f>IFERROR(__xludf.DUMMYFUNCTION("""COMPUTED_VALUE"""),"")</f>
        <v/>
      </c>
      <c r="X242" s="143" t="str">
        <f t="shared" si="2"/>
        <v/>
      </c>
      <c r="Y242" s="139" t="str">
        <f>IFERROR(__xludf.DUMMYFUNCTION("""COMPUTED_VALUE"""),"")</f>
        <v/>
      </c>
      <c r="Z242" s="141" t="str">
        <f>IFERROR(__xludf.DUMMYFUNCTION("""COMPUTED_VALUE"""),"")</f>
        <v/>
      </c>
    </row>
    <row r="243">
      <c r="A243" s="136"/>
      <c r="B243" s="136"/>
      <c r="C243" s="136" t="str">
        <f>IFERROR(__xludf.DUMMYFUNCTION("""COMPUTED_VALUE"""),"")</f>
        <v/>
      </c>
      <c r="D243" s="136" t="str">
        <f t="shared" si="3"/>
        <v/>
      </c>
      <c r="E243" s="152" t="str">
        <f>IFERROR(__xludf.DUMMYFUNCTION("""COMPUTED_VALUE"""),"")</f>
        <v/>
      </c>
      <c r="F243" s="106" t="s">
        <v>133</v>
      </c>
      <c r="G243" s="152" t="str">
        <f>IFERROR(__xludf.DUMMYFUNCTION("""COMPUTED_VALUE"""),"")</f>
        <v/>
      </c>
      <c r="H243" s="106" t="s">
        <v>133</v>
      </c>
      <c r="I243" s="136"/>
      <c r="J243" s="139" t="s">
        <v>133</v>
      </c>
      <c r="K243" s="136" t="s">
        <v>133</v>
      </c>
      <c r="L243" s="153" t="str">
        <f>IFERROR(__xludf.DUMMYFUNCTION("""COMPUTED_VALUE"""),"")</f>
        <v/>
      </c>
      <c r="M243" s="136" t="str">
        <f t="shared" si="1"/>
        <v/>
      </c>
      <c r="N243" s="136" t="str">
        <f>IFERROR(__xludf.DUMMYFUNCTION("""COMPUTED_VALUE"""),"")</f>
        <v/>
      </c>
      <c r="O243" s="141" t="s">
        <v>133</v>
      </c>
      <c r="P243" s="136" t="str">
        <f>IFERROR(__xludf.DUMMYFUNCTION("""COMPUTED_VALUE"""),"")</f>
        <v/>
      </c>
      <c r="Q243" s="136" t="str">
        <f>IFERROR(__xludf.DUMMYFUNCTION("""COMPUTED_VALUE"""),"")</f>
        <v/>
      </c>
      <c r="R243" s="106" t="str">
        <f>IFERROR(__xludf.DUMMYFUNCTION("""COMPUTED_VALUE"""),"")</f>
        <v/>
      </c>
      <c r="S243" s="106" t="str">
        <f>IFERROR(__xludf.DUMMYFUNCTION("""COMPUTED_VALUE"""),"")</f>
        <v/>
      </c>
      <c r="T243" s="139" t="str">
        <f>IFERROR(__xludf.DUMMYFUNCTION("""COMPUTED_VALUE"""),"")</f>
        <v/>
      </c>
      <c r="U243" s="139" t="str">
        <f>IFERROR(__xludf.DUMMYFUNCTION("""COMPUTED_VALUE"""),"")</f>
        <v/>
      </c>
      <c r="V243" s="136" t="str">
        <f>IFERROR(__xludf.DUMMYFUNCTION("""COMPUTED_VALUE"""),"")</f>
        <v/>
      </c>
      <c r="W243" s="106" t="str">
        <f>IFERROR(__xludf.DUMMYFUNCTION("""COMPUTED_VALUE"""),"")</f>
        <v/>
      </c>
      <c r="X243" s="143" t="str">
        <f t="shared" si="2"/>
        <v/>
      </c>
      <c r="Y243" s="139" t="str">
        <f>IFERROR(__xludf.DUMMYFUNCTION("""COMPUTED_VALUE"""),"")</f>
        <v/>
      </c>
      <c r="Z243" s="141" t="str">
        <f>IFERROR(__xludf.DUMMYFUNCTION("""COMPUTED_VALUE"""),"")</f>
        <v/>
      </c>
    </row>
    <row r="244">
      <c r="A244" s="136"/>
      <c r="B244" s="136"/>
      <c r="C244" s="136" t="str">
        <f>IFERROR(__xludf.DUMMYFUNCTION("""COMPUTED_VALUE"""),"")</f>
        <v/>
      </c>
      <c r="D244" s="136" t="str">
        <f t="shared" si="3"/>
        <v/>
      </c>
      <c r="E244" s="152" t="str">
        <f>IFERROR(__xludf.DUMMYFUNCTION("""COMPUTED_VALUE"""),"")</f>
        <v/>
      </c>
      <c r="F244" s="106" t="s">
        <v>133</v>
      </c>
      <c r="G244" s="152" t="str">
        <f>IFERROR(__xludf.DUMMYFUNCTION("""COMPUTED_VALUE"""),"")</f>
        <v/>
      </c>
      <c r="H244" s="106" t="s">
        <v>133</v>
      </c>
      <c r="I244" s="136"/>
      <c r="J244" s="139" t="s">
        <v>133</v>
      </c>
      <c r="K244" s="136" t="s">
        <v>133</v>
      </c>
      <c r="L244" s="153" t="str">
        <f>IFERROR(__xludf.DUMMYFUNCTION("""COMPUTED_VALUE"""),"")</f>
        <v/>
      </c>
      <c r="M244" s="136" t="str">
        <f t="shared" si="1"/>
        <v/>
      </c>
      <c r="N244" s="136" t="str">
        <f>IFERROR(__xludf.DUMMYFUNCTION("""COMPUTED_VALUE"""),"")</f>
        <v/>
      </c>
      <c r="O244" s="141" t="s">
        <v>133</v>
      </c>
      <c r="P244" s="136" t="str">
        <f>IFERROR(__xludf.DUMMYFUNCTION("""COMPUTED_VALUE"""),"")</f>
        <v/>
      </c>
      <c r="Q244" s="136" t="str">
        <f>IFERROR(__xludf.DUMMYFUNCTION("""COMPUTED_VALUE"""),"")</f>
        <v/>
      </c>
      <c r="R244" s="106" t="str">
        <f>IFERROR(__xludf.DUMMYFUNCTION("""COMPUTED_VALUE"""),"")</f>
        <v/>
      </c>
      <c r="S244" s="106" t="str">
        <f>IFERROR(__xludf.DUMMYFUNCTION("""COMPUTED_VALUE"""),"")</f>
        <v/>
      </c>
      <c r="T244" s="139" t="str">
        <f>IFERROR(__xludf.DUMMYFUNCTION("""COMPUTED_VALUE"""),"")</f>
        <v/>
      </c>
      <c r="U244" s="139" t="str">
        <f>IFERROR(__xludf.DUMMYFUNCTION("""COMPUTED_VALUE"""),"")</f>
        <v/>
      </c>
      <c r="V244" s="136" t="str">
        <f>IFERROR(__xludf.DUMMYFUNCTION("""COMPUTED_VALUE"""),"")</f>
        <v/>
      </c>
      <c r="W244" s="106" t="str">
        <f>IFERROR(__xludf.DUMMYFUNCTION("""COMPUTED_VALUE"""),"")</f>
        <v/>
      </c>
      <c r="X244" s="143" t="str">
        <f t="shared" si="2"/>
        <v/>
      </c>
      <c r="Y244" s="139" t="str">
        <f>IFERROR(__xludf.DUMMYFUNCTION("""COMPUTED_VALUE"""),"")</f>
        <v/>
      </c>
      <c r="Z244" s="141" t="str">
        <f>IFERROR(__xludf.DUMMYFUNCTION("""COMPUTED_VALUE"""),"")</f>
        <v/>
      </c>
    </row>
    <row r="245">
      <c r="A245" s="136"/>
      <c r="B245" s="136"/>
      <c r="C245" s="136" t="str">
        <f>IFERROR(__xludf.DUMMYFUNCTION("""COMPUTED_VALUE"""),"")</f>
        <v/>
      </c>
      <c r="D245" s="136" t="str">
        <f t="shared" si="3"/>
        <v/>
      </c>
      <c r="E245" s="152" t="str">
        <f>IFERROR(__xludf.DUMMYFUNCTION("""COMPUTED_VALUE"""),"")</f>
        <v/>
      </c>
      <c r="F245" s="106" t="s">
        <v>133</v>
      </c>
      <c r="G245" s="152" t="str">
        <f>IFERROR(__xludf.DUMMYFUNCTION("""COMPUTED_VALUE"""),"")</f>
        <v/>
      </c>
      <c r="H245" s="106" t="s">
        <v>133</v>
      </c>
      <c r="I245" s="136"/>
      <c r="J245" s="139" t="s">
        <v>133</v>
      </c>
      <c r="K245" s="136" t="s">
        <v>133</v>
      </c>
      <c r="L245" s="153" t="str">
        <f>IFERROR(__xludf.DUMMYFUNCTION("""COMPUTED_VALUE"""),"")</f>
        <v/>
      </c>
      <c r="M245" s="136" t="str">
        <f t="shared" si="1"/>
        <v/>
      </c>
      <c r="N245" s="136" t="str">
        <f>IFERROR(__xludf.DUMMYFUNCTION("""COMPUTED_VALUE"""),"")</f>
        <v/>
      </c>
      <c r="O245" s="141" t="s">
        <v>133</v>
      </c>
      <c r="P245" s="136" t="str">
        <f>IFERROR(__xludf.DUMMYFUNCTION("""COMPUTED_VALUE"""),"")</f>
        <v/>
      </c>
      <c r="Q245" s="136" t="str">
        <f>IFERROR(__xludf.DUMMYFUNCTION("""COMPUTED_VALUE"""),"")</f>
        <v/>
      </c>
      <c r="R245" s="106" t="str">
        <f>IFERROR(__xludf.DUMMYFUNCTION("""COMPUTED_VALUE"""),"")</f>
        <v/>
      </c>
      <c r="S245" s="106" t="str">
        <f>IFERROR(__xludf.DUMMYFUNCTION("""COMPUTED_VALUE"""),"")</f>
        <v/>
      </c>
      <c r="T245" s="139" t="str">
        <f>IFERROR(__xludf.DUMMYFUNCTION("""COMPUTED_VALUE"""),"")</f>
        <v/>
      </c>
      <c r="U245" s="139" t="str">
        <f>IFERROR(__xludf.DUMMYFUNCTION("""COMPUTED_VALUE"""),"")</f>
        <v/>
      </c>
      <c r="V245" s="136" t="str">
        <f>IFERROR(__xludf.DUMMYFUNCTION("""COMPUTED_VALUE"""),"")</f>
        <v/>
      </c>
      <c r="W245" s="106" t="str">
        <f>IFERROR(__xludf.DUMMYFUNCTION("""COMPUTED_VALUE"""),"")</f>
        <v/>
      </c>
      <c r="X245" s="143" t="str">
        <f t="shared" si="2"/>
        <v/>
      </c>
      <c r="Y245" s="139" t="str">
        <f>IFERROR(__xludf.DUMMYFUNCTION("""COMPUTED_VALUE"""),"")</f>
        <v/>
      </c>
      <c r="Z245" s="141" t="str">
        <f>IFERROR(__xludf.DUMMYFUNCTION("""COMPUTED_VALUE"""),"")</f>
        <v/>
      </c>
    </row>
    <row r="246">
      <c r="A246" s="136"/>
      <c r="B246" s="136"/>
      <c r="C246" s="136" t="str">
        <f>IFERROR(__xludf.DUMMYFUNCTION("""COMPUTED_VALUE"""),"")</f>
        <v/>
      </c>
      <c r="D246" s="136" t="str">
        <f t="shared" si="3"/>
        <v/>
      </c>
      <c r="E246" s="152" t="str">
        <f>IFERROR(__xludf.DUMMYFUNCTION("""COMPUTED_VALUE"""),"")</f>
        <v/>
      </c>
      <c r="F246" s="106" t="s">
        <v>133</v>
      </c>
      <c r="G246" s="152" t="str">
        <f>IFERROR(__xludf.DUMMYFUNCTION("""COMPUTED_VALUE"""),"")</f>
        <v/>
      </c>
      <c r="H246" s="106" t="s">
        <v>133</v>
      </c>
      <c r="I246" s="136"/>
      <c r="J246" s="139" t="s">
        <v>133</v>
      </c>
      <c r="K246" s="136" t="s">
        <v>133</v>
      </c>
      <c r="L246" s="153" t="str">
        <f>IFERROR(__xludf.DUMMYFUNCTION("""COMPUTED_VALUE"""),"")</f>
        <v/>
      </c>
      <c r="M246" s="136" t="str">
        <f t="shared" si="1"/>
        <v/>
      </c>
      <c r="N246" s="136" t="str">
        <f>IFERROR(__xludf.DUMMYFUNCTION("""COMPUTED_VALUE"""),"")</f>
        <v/>
      </c>
      <c r="O246" s="141" t="s">
        <v>133</v>
      </c>
      <c r="P246" s="136" t="str">
        <f>IFERROR(__xludf.DUMMYFUNCTION("""COMPUTED_VALUE"""),"")</f>
        <v/>
      </c>
      <c r="Q246" s="136" t="str">
        <f>IFERROR(__xludf.DUMMYFUNCTION("""COMPUTED_VALUE"""),"")</f>
        <v/>
      </c>
      <c r="R246" s="106" t="str">
        <f>IFERROR(__xludf.DUMMYFUNCTION("""COMPUTED_VALUE"""),"")</f>
        <v/>
      </c>
      <c r="S246" s="106" t="str">
        <f>IFERROR(__xludf.DUMMYFUNCTION("""COMPUTED_VALUE"""),"")</f>
        <v/>
      </c>
      <c r="T246" s="139" t="str">
        <f>IFERROR(__xludf.DUMMYFUNCTION("""COMPUTED_VALUE"""),"")</f>
        <v/>
      </c>
      <c r="U246" s="139" t="str">
        <f>IFERROR(__xludf.DUMMYFUNCTION("""COMPUTED_VALUE"""),"")</f>
        <v/>
      </c>
      <c r="V246" s="136" t="str">
        <f>IFERROR(__xludf.DUMMYFUNCTION("""COMPUTED_VALUE"""),"")</f>
        <v/>
      </c>
      <c r="W246" s="106" t="str">
        <f>IFERROR(__xludf.DUMMYFUNCTION("""COMPUTED_VALUE"""),"")</f>
        <v/>
      </c>
      <c r="X246" s="143" t="str">
        <f t="shared" si="2"/>
        <v/>
      </c>
      <c r="Y246" s="139" t="str">
        <f>IFERROR(__xludf.DUMMYFUNCTION("""COMPUTED_VALUE"""),"")</f>
        <v/>
      </c>
      <c r="Z246" s="141" t="str">
        <f>IFERROR(__xludf.DUMMYFUNCTION("""COMPUTED_VALUE"""),"")</f>
        <v/>
      </c>
    </row>
    <row r="247">
      <c r="A247" s="136"/>
      <c r="B247" s="136"/>
      <c r="C247" s="136" t="str">
        <f>IFERROR(__xludf.DUMMYFUNCTION("""COMPUTED_VALUE"""),"")</f>
        <v/>
      </c>
      <c r="D247" s="136" t="str">
        <f t="shared" si="3"/>
        <v/>
      </c>
      <c r="E247" s="152" t="str">
        <f>IFERROR(__xludf.DUMMYFUNCTION("""COMPUTED_VALUE"""),"")</f>
        <v/>
      </c>
      <c r="F247" s="106" t="s">
        <v>133</v>
      </c>
      <c r="G247" s="152" t="str">
        <f>IFERROR(__xludf.DUMMYFUNCTION("""COMPUTED_VALUE"""),"")</f>
        <v/>
      </c>
      <c r="H247" s="106" t="s">
        <v>133</v>
      </c>
      <c r="I247" s="136"/>
      <c r="J247" s="139" t="s">
        <v>133</v>
      </c>
      <c r="K247" s="136" t="s">
        <v>133</v>
      </c>
      <c r="L247" s="153" t="str">
        <f>IFERROR(__xludf.DUMMYFUNCTION("""COMPUTED_VALUE"""),"")</f>
        <v/>
      </c>
      <c r="M247" s="136" t="str">
        <f t="shared" si="1"/>
        <v/>
      </c>
      <c r="N247" s="136" t="str">
        <f>IFERROR(__xludf.DUMMYFUNCTION("""COMPUTED_VALUE"""),"")</f>
        <v/>
      </c>
      <c r="O247" s="141" t="s">
        <v>133</v>
      </c>
      <c r="P247" s="136" t="str">
        <f>IFERROR(__xludf.DUMMYFUNCTION("""COMPUTED_VALUE"""),"")</f>
        <v/>
      </c>
      <c r="Q247" s="136" t="str">
        <f>IFERROR(__xludf.DUMMYFUNCTION("""COMPUTED_VALUE"""),"")</f>
        <v/>
      </c>
      <c r="R247" s="106" t="str">
        <f>IFERROR(__xludf.DUMMYFUNCTION("""COMPUTED_VALUE"""),"")</f>
        <v/>
      </c>
      <c r="S247" s="106" t="str">
        <f>IFERROR(__xludf.DUMMYFUNCTION("""COMPUTED_VALUE"""),"")</f>
        <v/>
      </c>
      <c r="T247" s="139" t="str">
        <f>IFERROR(__xludf.DUMMYFUNCTION("""COMPUTED_VALUE"""),"")</f>
        <v/>
      </c>
      <c r="U247" s="139" t="str">
        <f>IFERROR(__xludf.DUMMYFUNCTION("""COMPUTED_VALUE"""),"")</f>
        <v/>
      </c>
      <c r="V247" s="136" t="str">
        <f>IFERROR(__xludf.DUMMYFUNCTION("""COMPUTED_VALUE"""),"")</f>
        <v/>
      </c>
      <c r="W247" s="106" t="str">
        <f>IFERROR(__xludf.DUMMYFUNCTION("""COMPUTED_VALUE"""),"")</f>
        <v/>
      </c>
      <c r="X247" s="143" t="str">
        <f t="shared" si="2"/>
        <v/>
      </c>
      <c r="Y247" s="139" t="str">
        <f>IFERROR(__xludf.DUMMYFUNCTION("""COMPUTED_VALUE"""),"")</f>
        <v/>
      </c>
      <c r="Z247" s="141" t="str">
        <f>IFERROR(__xludf.DUMMYFUNCTION("""COMPUTED_VALUE"""),"")</f>
        <v/>
      </c>
    </row>
    <row r="248">
      <c r="A248" s="136"/>
      <c r="B248" s="136"/>
      <c r="C248" s="136" t="str">
        <f>IFERROR(__xludf.DUMMYFUNCTION("""COMPUTED_VALUE"""),"")</f>
        <v/>
      </c>
      <c r="D248" s="136" t="str">
        <f t="shared" si="3"/>
        <v/>
      </c>
      <c r="E248" s="152" t="str">
        <f>IFERROR(__xludf.DUMMYFUNCTION("""COMPUTED_VALUE"""),"")</f>
        <v/>
      </c>
      <c r="F248" s="106" t="s">
        <v>133</v>
      </c>
      <c r="G248" s="152" t="str">
        <f>IFERROR(__xludf.DUMMYFUNCTION("""COMPUTED_VALUE"""),"")</f>
        <v/>
      </c>
      <c r="H248" s="106" t="s">
        <v>133</v>
      </c>
      <c r="I248" s="136"/>
      <c r="J248" s="139" t="s">
        <v>133</v>
      </c>
      <c r="K248" s="136" t="s">
        <v>133</v>
      </c>
      <c r="L248" s="153" t="str">
        <f>IFERROR(__xludf.DUMMYFUNCTION("""COMPUTED_VALUE"""),"")</f>
        <v/>
      </c>
      <c r="M248" s="136" t="str">
        <f t="shared" si="1"/>
        <v/>
      </c>
      <c r="N248" s="136" t="str">
        <f>IFERROR(__xludf.DUMMYFUNCTION("""COMPUTED_VALUE"""),"")</f>
        <v/>
      </c>
      <c r="O248" s="141" t="s">
        <v>133</v>
      </c>
      <c r="P248" s="136" t="str">
        <f>IFERROR(__xludf.DUMMYFUNCTION("""COMPUTED_VALUE"""),"")</f>
        <v/>
      </c>
      <c r="Q248" s="136" t="str">
        <f>IFERROR(__xludf.DUMMYFUNCTION("""COMPUTED_VALUE"""),"")</f>
        <v/>
      </c>
      <c r="R248" s="106" t="str">
        <f>IFERROR(__xludf.DUMMYFUNCTION("""COMPUTED_VALUE"""),"")</f>
        <v/>
      </c>
      <c r="S248" s="106" t="str">
        <f>IFERROR(__xludf.DUMMYFUNCTION("""COMPUTED_VALUE"""),"")</f>
        <v/>
      </c>
      <c r="T248" s="139" t="str">
        <f>IFERROR(__xludf.DUMMYFUNCTION("""COMPUTED_VALUE"""),"")</f>
        <v/>
      </c>
      <c r="U248" s="139" t="str">
        <f>IFERROR(__xludf.DUMMYFUNCTION("""COMPUTED_VALUE"""),"")</f>
        <v/>
      </c>
      <c r="V248" s="136" t="str">
        <f>IFERROR(__xludf.DUMMYFUNCTION("""COMPUTED_VALUE"""),"")</f>
        <v/>
      </c>
      <c r="W248" s="106" t="str">
        <f>IFERROR(__xludf.DUMMYFUNCTION("""COMPUTED_VALUE"""),"")</f>
        <v/>
      </c>
      <c r="X248" s="143" t="str">
        <f t="shared" si="2"/>
        <v/>
      </c>
      <c r="Y248" s="139" t="str">
        <f>IFERROR(__xludf.DUMMYFUNCTION("""COMPUTED_VALUE"""),"")</f>
        <v/>
      </c>
      <c r="Z248" s="141" t="str">
        <f>IFERROR(__xludf.DUMMYFUNCTION("""COMPUTED_VALUE"""),"")</f>
        <v/>
      </c>
    </row>
    <row r="249">
      <c r="A249" s="136"/>
      <c r="B249" s="136"/>
      <c r="C249" s="136" t="str">
        <f>IFERROR(__xludf.DUMMYFUNCTION("""COMPUTED_VALUE"""),"")</f>
        <v/>
      </c>
      <c r="D249" s="136" t="str">
        <f t="shared" si="3"/>
        <v/>
      </c>
      <c r="E249" s="152" t="str">
        <f>IFERROR(__xludf.DUMMYFUNCTION("""COMPUTED_VALUE"""),"")</f>
        <v/>
      </c>
      <c r="F249" s="106" t="s">
        <v>133</v>
      </c>
      <c r="G249" s="152" t="str">
        <f>IFERROR(__xludf.DUMMYFUNCTION("""COMPUTED_VALUE"""),"")</f>
        <v/>
      </c>
      <c r="H249" s="106" t="s">
        <v>133</v>
      </c>
      <c r="I249" s="136"/>
      <c r="J249" s="139" t="s">
        <v>133</v>
      </c>
      <c r="K249" s="136" t="s">
        <v>133</v>
      </c>
      <c r="L249" s="153" t="str">
        <f>IFERROR(__xludf.DUMMYFUNCTION("""COMPUTED_VALUE"""),"")</f>
        <v/>
      </c>
      <c r="M249" s="136" t="str">
        <f t="shared" si="1"/>
        <v/>
      </c>
      <c r="N249" s="136" t="str">
        <f>IFERROR(__xludf.DUMMYFUNCTION("""COMPUTED_VALUE"""),"")</f>
        <v/>
      </c>
      <c r="O249" s="141" t="s">
        <v>133</v>
      </c>
      <c r="P249" s="136" t="str">
        <f>IFERROR(__xludf.DUMMYFUNCTION("""COMPUTED_VALUE"""),"")</f>
        <v/>
      </c>
      <c r="Q249" s="136" t="str">
        <f>IFERROR(__xludf.DUMMYFUNCTION("""COMPUTED_VALUE"""),"")</f>
        <v/>
      </c>
      <c r="R249" s="106" t="str">
        <f>IFERROR(__xludf.DUMMYFUNCTION("""COMPUTED_VALUE"""),"")</f>
        <v/>
      </c>
      <c r="S249" s="106" t="str">
        <f>IFERROR(__xludf.DUMMYFUNCTION("""COMPUTED_VALUE"""),"")</f>
        <v/>
      </c>
      <c r="T249" s="139" t="str">
        <f>IFERROR(__xludf.DUMMYFUNCTION("""COMPUTED_VALUE"""),"")</f>
        <v/>
      </c>
      <c r="U249" s="139" t="str">
        <f>IFERROR(__xludf.DUMMYFUNCTION("""COMPUTED_VALUE"""),"")</f>
        <v/>
      </c>
      <c r="V249" s="136" t="str">
        <f>IFERROR(__xludf.DUMMYFUNCTION("""COMPUTED_VALUE"""),"")</f>
        <v/>
      </c>
      <c r="W249" s="106" t="str">
        <f>IFERROR(__xludf.DUMMYFUNCTION("""COMPUTED_VALUE"""),"")</f>
        <v/>
      </c>
      <c r="X249" s="143" t="str">
        <f t="shared" si="2"/>
        <v/>
      </c>
      <c r="Y249" s="139" t="str">
        <f>IFERROR(__xludf.DUMMYFUNCTION("""COMPUTED_VALUE"""),"")</f>
        <v/>
      </c>
      <c r="Z249" s="141" t="str">
        <f>IFERROR(__xludf.DUMMYFUNCTION("""COMPUTED_VALUE"""),"")</f>
        <v/>
      </c>
    </row>
    <row r="250">
      <c r="A250" s="136"/>
      <c r="B250" s="136"/>
      <c r="C250" s="136" t="str">
        <f>IFERROR(__xludf.DUMMYFUNCTION("""COMPUTED_VALUE"""),"")</f>
        <v/>
      </c>
      <c r="D250" s="136" t="str">
        <f t="shared" si="3"/>
        <v/>
      </c>
      <c r="E250" s="152" t="str">
        <f>IFERROR(__xludf.DUMMYFUNCTION("""COMPUTED_VALUE"""),"")</f>
        <v/>
      </c>
      <c r="F250" s="106" t="s">
        <v>133</v>
      </c>
      <c r="G250" s="152" t="str">
        <f>IFERROR(__xludf.DUMMYFUNCTION("""COMPUTED_VALUE"""),"")</f>
        <v/>
      </c>
      <c r="H250" s="106" t="s">
        <v>133</v>
      </c>
      <c r="I250" s="136"/>
      <c r="J250" s="139" t="s">
        <v>133</v>
      </c>
      <c r="K250" s="136" t="s">
        <v>133</v>
      </c>
      <c r="L250" s="153" t="str">
        <f>IFERROR(__xludf.DUMMYFUNCTION("""COMPUTED_VALUE"""),"")</f>
        <v/>
      </c>
      <c r="M250" s="136" t="str">
        <f t="shared" si="1"/>
        <v/>
      </c>
      <c r="N250" s="136" t="str">
        <f>IFERROR(__xludf.DUMMYFUNCTION("""COMPUTED_VALUE"""),"")</f>
        <v/>
      </c>
      <c r="O250" s="141" t="s">
        <v>133</v>
      </c>
      <c r="P250" s="136" t="str">
        <f>IFERROR(__xludf.DUMMYFUNCTION("""COMPUTED_VALUE"""),"")</f>
        <v/>
      </c>
      <c r="Q250" s="136" t="str">
        <f>IFERROR(__xludf.DUMMYFUNCTION("""COMPUTED_VALUE"""),"")</f>
        <v/>
      </c>
      <c r="R250" s="106" t="str">
        <f>IFERROR(__xludf.DUMMYFUNCTION("""COMPUTED_VALUE"""),"")</f>
        <v/>
      </c>
      <c r="S250" s="106" t="str">
        <f>IFERROR(__xludf.DUMMYFUNCTION("""COMPUTED_VALUE"""),"")</f>
        <v/>
      </c>
      <c r="T250" s="139" t="str">
        <f>IFERROR(__xludf.DUMMYFUNCTION("""COMPUTED_VALUE"""),"")</f>
        <v/>
      </c>
      <c r="U250" s="139" t="str">
        <f>IFERROR(__xludf.DUMMYFUNCTION("""COMPUTED_VALUE"""),"")</f>
        <v/>
      </c>
      <c r="V250" s="136" t="str">
        <f>IFERROR(__xludf.DUMMYFUNCTION("""COMPUTED_VALUE"""),"")</f>
        <v/>
      </c>
      <c r="W250" s="106" t="str">
        <f>IFERROR(__xludf.DUMMYFUNCTION("""COMPUTED_VALUE"""),"")</f>
        <v/>
      </c>
      <c r="X250" s="143" t="str">
        <f t="shared" si="2"/>
        <v/>
      </c>
      <c r="Y250" s="139" t="str">
        <f>IFERROR(__xludf.DUMMYFUNCTION("""COMPUTED_VALUE"""),"")</f>
        <v/>
      </c>
      <c r="Z250" s="141" t="str">
        <f>IFERROR(__xludf.DUMMYFUNCTION("""COMPUTED_VALUE"""),"")</f>
        <v/>
      </c>
    </row>
    <row r="251">
      <c r="A251" s="136"/>
      <c r="B251" s="136"/>
      <c r="C251" s="136" t="str">
        <f>IFERROR(__xludf.DUMMYFUNCTION("""COMPUTED_VALUE"""),"")</f>
        <v/>
      </c>
      <c r="D251" s="136" t="str">
        <f t="shared" si="3"/>
        <v/>
      </c>
      <c r="E251" s="152" t="str">
        <f>IFERROR(__xludf.DUMMYFUNCTION("""COMPUTED_VALUE"""),"")</f>
        <v/>
      </c>
      <c r="F251" s="106" t="s">
        <v>133</v>
      </c>
      <c r="G251" s="152" t="str">
        <f>IFERROR(__xludf.DUMMYFUNCTION("""COMPUTED_VALUE"""),"")</f>
        <v/>
      </c>
      <c r="H251" s="106" t="s">
        <v>133</v>
      </c>
      <c r="I251" s="136"/>
      <c r="J251" s="139" t="s">
        <v>133</v>
      </c>
      <c r="K251" s="136" t="s">
        <v>133</v>
      </c>
      <c r="L251" s="153" t="str">
        <f>IFERROR(__xludf.DUMMYFUNCTION("""COMPUTED_VALUE"""),"")</f>
        <v/>
      </c>
      <c r="M251" s="136" t="str">
        <f t="shared" si="1"/>
        <v/>
      </c>
      <c r="N251" s="136" t="str">
        <f>IFERROR(__xludf.DUMMYFUNCTION("""COMPUTED_VALUE"""),"")</f>
        <v/>
      </c>
      <c r="O251" s="141" t="s">
        <v>133</v>
      </c>
      <c r="P251" s="136" t="str">
        <f>IFERROR(__xludf.DUMMYFUNCTION("""COMPUTED_VALUE"""),"")</f>
        <v/>
      </c>
      <c r="Q251" s="136" t="str">
        <f>IFERROR(__xludf.DUMMYFUNCTION("""COMPUTED_VALUE"""),"")</f>
        <v/>
      </c>
      <c r="R251" s="106" t="str">
        <f>IFERROR(__xludf.DUMMYFUNCTION("""COMPUTED_VALUE"""),"")</f>
        <v/>
      </c>
      <c r="S251" s="106" t="str">
        <f>IFERROR(__xludf.DUMMYFUNCTION("""COMPUTED_VALUE"""),"")</f>
        <v/>
      </c>
      <c r="T251" s="139" t="str">
        <f>IFERROR(__xludf.DUMMYFUNCTION("""COMPUTED_VALUE"""),"")</f>
        <v/>
      </c>
      <c r="U251" s="139" t="str">
        <f>IFERROR(__xludf.DUMMYFUNCTION("""COMPUTED_VALUE"""),"")</f>
        <v/>
      </c>
      <c r="V251" s="136" t="str">
        <f>IFERROR(__xludf.DUMMYFUNCTION("""COMPUTED_VALUE"""),"")</f>
        <v/>
      </c>
      <c r="W251" s="106" t="str">
        <f>IFERROR(__xludf.DUMMYFUNCTION("""COMPUTED_VALUE"""),"")</f>
        <v/>
      </c>
      <c r="X251" s="143" t="str">
        <f t="shared" si="2"/>
        <v/>
      </c>
      <c r="Y251" s="139" t="str">
        <f>IFERROR(__xludf.DUMMYFUNCTION("""COMPUTED_VALUE"""),"")</f>
        <v/>
      </c>
      <c r="Z251" s="141" t="str">
        <f>IFERROR(__xludf.DUMMYFUNCTION("""COMPUTED_VALUE"""),"")</f>
        <v/>
      </c>
    </row>
    <row r="252">
      <c r="A252" s="136"/>
      <c r="B252" s="136"/>
      <c r="C252" s="136" t="str">
        <f>IFERROR(__xludf.DUMMYFUNCTION("""COMPUTED_VALUE"""),"")</f>
        <v/>
      </c>
      <c r="D252" s="136" t="str">
        <f t="shared" si="3"/>
        <v/>
      </c>
      <c r="E252" s="152" t="str">
        <f>IFERROR(__xludf.DUMMYFUNCTION("""COMPUTED_VALUE"""),"")</f>
        <v/>
      </c>
      <c r="F252" s="106" t="s">
        <v>133</v>
      </c>
      <c r="G252" s="152" t="str">
        <f>IFERROR(__xludf.DUMMYFUNCTION("""COMPUTED_VALUE"""),"")</f>
        <v/>
      </c>
      <c r="H252" s="106" t="s">
        <v>133</v>
      </c>
      <c r="I252" s="136"/>
      <c r="J252" s="139" t="s">
        <v>133</v>
      </c>
      <c r="K252" s="136" t="s">
        <v>133</v>
      </c>
      <c r="L252" s="153" t="str">
        <f>IFERROR(__xludf.DUMMYFUNCTION("""COMPUTED_VALUE"""),"")</f>
        <v/>
      </c>
      <c r="M252" s="136" t="str">
        <f t="shared" si="1"/>
        <v/>
      </c>
      <c r="N252" s="136" t="str">
        <f>IFERROR(__xludf.DUMMYFUNCTION("""COMPUTED_VALUE"""),"")</f>
        <v/>
      </c>
      <c r="O252" s="141" t="s">
        <v>133</v>
      </c>
      <c r="P252" s="136" t="str">
        <f>IFERROR(__xludf.DUMMYFUNCTION("""COMPUTED_VALUE"""),"")</f>
        <v/>
      </c>
      <c r="Q252" s="136" t="str">
        <f>IFERROR(__xludf.DUMMYFUNCTION("""COMPUTED_VALUE"""),"")</f>
        <v/>
      </c>
      <c r="R252" s="106" t="str">
        <f>IFERROR(__xludf.DUMMYFUNCTION("""COMPUTED_VALUE"""),"")</f>
        <v/>
      </c>
      <c r="S252" s="106" t="str">
        <f>IFERROR(__xludf.DUMMYFUNCTION("""COMPUTED_VALUE"""),"")</f>
        <v/>
      </c>
      <c r="T252" s="139" t="str">
        <f>IFERROR(__xludf.DUMMYFUNCTION("""COMPUTED_VALUE"""),"")</f>
        <v/>
      </c>
      <c r="U252" s="139" t="str">
        <f>IFERROR(__xludf.DUMMYFUNCTION("""COMPUTED_VALUE"""),"")</f>
        <v/>
      </c>
      <c r="V252" s="136" t="str">
        <f>IFERROR(__xludf.DUMMYFUNCTION("""COMPUTED_VALUE"""),"")</f>
        <v/>
      </c>
      <c r="W252" s="106" t="str">
        <f>IFERROR(__xludf.DUMMYFUNCTION("""COMPUTED_VALUE"""),"")</f>
        <v/>
      </c>
      <c r="X252" s="143" t="str">
        <f t="shared" si="2"/>
        <v/>
      </c>
      <c r="Y252" s="139" t="str">
        <f>IFERROR(__xludf.DUMMYFUNCTION("""COMPUTED_VALUE"""),"")</f>
        <v/>
      </c>
      <c r="Z252" s="141" t="str">
        <f>IFERROR(__xludf.DUMMYFUNCTION("""COMPUTED_VALUE"""),"")</f>
        <v/>
      </c>
    </row>
    <row r="253">
      <c r="A253" s="136"/>
      <c r="B253" s="136"/>
      <c r="C253" s="136" t="str">
        <f>IFERROR(__xludf.DUMMYFUNCTION("""COMPUTED_VALUE"""),"")</f>
        <v/>
      </c>
      <c r="D253" s="136" t="str">
        <f t="shared" si="3"/>
        <v/>
      </c>
      <c r="E253" s="152" t="str">
        <f>IFERROR(__xludf.DUMMYFUNCTION("""COMPUTED_VALUE"""),"")</f>
        <v/>
      </c>
      <c r="F253" s="106" t="s">
        <v>133</v>
      </c>
      <c r="G253" s="152" t="str">
        <f>IFERROR(__xludf.DUMMYFUNCTION("""COMPUTED_VALUE"""),"")</f>
        <v/>
      </c>
      <c r="H253" s="106" t="s">
        <v>133</v>
      </c>
      <c r="I253" s="136"/>
      <c r="J253" s="139" t="s">
        <v>133</v>
      </c>
      <c r="K253" s="136" t="s">
        <v>133</v>
      </c>
      <c r="L253" s="153" t="str">
        <f>IFERROR(__xludf.DUMMYFUNCTION("""COMPUTED_VALUE"""),"")</f>
        <v/>
      </c>
      <c r="M253" s="136" t="str">
        <f t="shared" si="1"/>
        <v/>
      </c>
      <c r="N253" s="136" t="str">
        <f>IFERROR(__xludf.DUMMYFUNCTION("""COMPUTED_VALUE"""),"")</f>
        <v/>
      </c>
      <c r="O253" s="141" t="s">
        <v>133</v>
      </c>
      <c r="P253" s="136" t="str">
        <f>IFERROR(__xludf.DUMMYFUNCTION("""COMPUTED_VALUE"""),"")</f>
        <v/>
      </c>
      <c r="Q253" s="136" t="str">
        <f>IFERROR(__xludf.DUMMYFUNCTION("""COMPUTED_VALUE"""),"")</f>
        <v/>
      </c>
      <c r="R253" s="106" t="str">
        <f>IFERROR(__xludf.DUMMYFUNCTION("""COMPUTED_VALUE"""),"")</f>
        <v/>
      </c>
      <c r="S253" s="106" t="str">
        <f>IFERROR(__xludf.DUMMYFUNCTION("""COMPUTED_VALUE"""),"")</f>
        <v/>
      </c>
      <c r="T253" s="139" t="str">
        <f>IFERROR(__xludf.DUMMYFUNCTION("""COMPUTED_VALUE"""),"")</f>
        <v/>
      </c>
      <c r="U253" s="139" t="str">
        <f>IFERROR(__xludf.DUMMYFUNCTION("""COMPUTED_VALUE"""),"")</f>
        <v/>
      </c>
      <c r="V253" s="136" t="str">
        <f>IFERROR(__xludf.DUMMYFUNCTION("""COMPUTED_VALUE"""),"")</f>
        <v/>
      </c>
      <c r="W253" s="106" t="str">
        <f>IFERROR(__xludf.DUMMYFUNCTION("""COMPUTED_VALUE"""),"")</f>
        <v/>
      </c>
      <c r="X253" s="143" t="str">
        <f t="shared" si="2"/>
        <v/>
      </c>
      <c r="Y253" s="139" t="str">
        <f>IFERROR(__xludf.DUMMYFUNCTION("""COMPUTED_VALUE"""),"")</f>
        <v/>
      </c>
      <c r="Z253" s="141" t="str">
        <f>IFERROR(__xludf.DUMMYFUNCTION("""COMPUTED_VALUE"""),"")</f>
        <v/>
      </c>
    </row>
    <row r="254">
      <c r="A254" s="136"/>
      <c r="B254" s="136"/>
      <c r="C254" s="136" t="str">
        <f>IFERROR(__xludf.DUMMYFUNCTION("""COMPUTED_VALUE"""),"")</f>
        <v/>
      </c>
      <c r="D254" s="136" t="str">
        <f t="shared" si="3"/>
        <v/>
      </c>
      <c r="E254" s="152" t="str">
        <f>IFERROR(__xludf.DUMMYFUNCTION("""COMPUTED_VALUE"""),"")</f>
        <v/>
      </c>
      <c r="F254" s="106" t="s">
        <v>133</v>
      </c>
      <c r="G254" s="152" t="str">
        <f>IFERROR(__xludf.DUMMYFUNCTION("""COMPUTED_VALUE"""),"")</f>
        <v/>
      </c>
      <c r="H254" s="106" t="s">
        <v>133</v>
      </c>
      <c r="I254" s="136"/>
      <c r="J254" s="139" t="s">
        <v>133</v>
      </c>
      <c r="K254" s="136" t="s">
        <v>133</v>
      </c>
      <c r="L254" s="153" t="str">
        <f>IFERROR(__xludf.DUMMYFUNCTION("""COMPUTED_VALUE"""),"")</f>
        <v/>
      </c>
      <c r="M254" s="136" t="str">
        <f t="shared" si="1"/>
        <v/>
      </c>
      <c r="N254" s="136" t="str">
        <f>IFERROR(__xludf.DUMMYFUNCTION("""COMPUTED_VALUE"""),"")</f>
        <v/>
      </c>
      <c r="O254" s="141" t="s">
        <v>133</v>
      </c>
      <c r="P254" s="136" t="str">
        <f>IFERROR(__xludf.DUMMYFUNCTION("""COMPUTED_VALUE"""),"")</f>
        <v/>
      </c>
      <c r="Q254" s="136" t="str">
        <f>IFERROR(__xludf.DUMMYFUNCTION("""COMPUTED_VALUE"""),"")</f>
        <v/>
      </c>
      <c r="R254" s="106" t="str">
        <f>IFERROR(__xludf.DUMMYFUNCTION("""COMPUTED_VALUE"""),"")</f>
        <v/>
      </c>
      <c r="S254" s="106" t="str">
        <f>IFERROR(__xludf.DUMMYFUNCTION("""COMPUTED_VALUE"""),"")</f>
        <v/>
      </c>
      <c r="T254" s="139" t="str">
        <f>IFERROR(__xludf.DUMMYFUNCTION("""COMPUTED_VALUE"""),"")</f>
        <v/>
      </c>
      <c r="U254" s="139" t="str">
        <f>IFERROR(__xludf.DUMMYFUNCTION("""COMPUTED_VALUE"""),"")</f>
        <v/>
      </c>
      <c r="V254" s="136" t="str">
        <f>IFERROR(__xludf.DUMMYFUNCTION("""COMPUTED_VALUE"""),"")</f>
        <v/>
      </c>
      <c r="W254" s="106" t="str">
        <f>IFERROR(__xludf.DUMMYFUNCTION("""COMPUTED_VALUE"""),"")</f>
        <v/>
      </c>
      <c r="X254" s="143" t="str">
        <f t="shared" si="2"/>
        <v/>
      </c>
      <c r="Y254" s="139" t="str">
        <f>IFERROR(__xludf.DUMMYFUNCTION("""COMPUTED_VALUE"""),"")</f>
        <v/>
      </c>
      <c r="Z254" s="141" t="str">
        <f>IFERROR(__xludf.DUMMYFUNCTION("""COMPUTED_VALUE"""),"")</f>
        <v/>
      </c>
    </row>
    <row r="255">
      <c r="A255" s="136"/>
      <c r="B255" s="136"/>
      <c r="C255" s="136" t="str">
        <f>IFERROR(__xludf.DUMMYFUNCTION("""COMPUTED_VALUE"""),"")</f>
        <v/>
      </c>
      <c r="D255" s="136" t="str">
        <f t="shared" si="3"/>
        <v/>
      </c>
      <c r="E255" s="152" t="str">
        <f>IFERROR(__xludf.DUMMYFUNCTION("""COMPUTED_VALUE"""),"")</f>
        <v/>
      </c>
      <c r="F255" s="106" t="s">
        <v>133</v>
      </c>
      <c r="G255" s="152" t="str">
        <f>IFERROR(__xludf.DUMMYFUNCTION("""COMPUTED_VALUE"""),"")</f>
        <v/>
      </c>
      <c r="H255" s="106" t="s">
        <v>133</v>
      </c>
      <c r="I255" s="136"/>
      <c r="J255" s="139" t="s">
        <v>133</v>
      </c>
      <c r="K255" s="136" t="s">
        <v>133</v>
      </c>
      <c r="L255" s="153" t="str">
        <f>IFERROR(__xludf.DUMMYFUNCTION("""COMPUTED_VALUE"""),"")</f>
        <v/>
      </c>
      <c r="M255" s="136" t="str">
        <f t="shared" si="1"/>
        <v/>
      </c>
      <c r="N255" s="136" t="str">
        <f>IFERROR(__xludf.DUMMYFUNCTION("""COMPUTED_VALUE"""),"")</f>
        <v/>
      </c>
      <c r="O255" s="141" t="s">
        <v>133</v>
      </c>
      <c r="P255" s="136" t="str">
        <f>IFERROR(__xludf.DUMMYFUNCTION("""COMPUTED_VALUE"""),"")</f>
        <v/>
      </c>
      <c r="Q255" s="136" t="str">
        <f>IFERROR(__xludf.DUMMYFUNCTION("""COMPUTED_VALUE"""),"")</f>
        <v/>
      </c>
      <c r="R255" s="106" t="str">
        <f>IFERROR(__xludf.DUMMYFUNCTION("""COMPUTED_VALUE"""),"")</f>
        <v/>
      </c>
      <c r="S255" s="106" t="str">
        <f>IFERROR(__xludf.DUMMYFUNCTION("""COMPUTED_VALUE"""),"")</f>
        <v/>
      </c>
      <c r="T255" s="139" t="str">
        <f>IFERROR(__xludf.DUMMYFUNCTION("""COMPUTED_VALUE"""),"")</f>
        <v/>
      </c>
      <c r="U255" s="139" t="str">
        <f>IFERROR(__xludf.DUMMYFUNCTION("""COMPUTED_VALUE"""),"")</f>
        <v/>
      </c>
      <c r="V255" s="136" t="str">
        <f>IFERROR(__xludf.DUMMYFUNCTION("""COMPUTED_VALUE"""),"")</f>
        <v/>
      </c>
      <c r="W255" s="106" t="str">
        <f>IFERROR(__xludf.DUMMYFUNCTION("""COMPUTED_VALUE"""),"")</f>
        <v/>
      </c>
      <c r="X255" s="143" t="str">
        <f t="shared" si="2"/>
        <v/>
      </c>
      <c r="Y255" s="139" t="str">
        <f>IFERROR(__xludf.DUMMYFUNCTION("""COMPUTED_VALUE"""),"")</f>
        <v/>
      </c>
      <c r="Z255" s="141" t="str">
        <f>IFERROR(__xludf.DUMMYFUNCTION("""COMPUTED_VALUE"""),"")</f>
        <v/>
      </c>
    </row>
    <row r="256">
      <c r="A256" s="136"/>
      <c r="B256" s="136"/>
      <c r="C256" s="136" t="str">
        <f>IFERROR(__xludf.DUMMYFUNCTION("""COMPUTED_VALUE"""),"")</f>
        <v/>
      </c>
      <c r="D256" s="136" t="str">
        <f t="shared" si="3"/>
        <v/>
      </c>
      <c r="E256" s="152" t="str">
        <f>IFERROR(__xludf.DUMMYFUNCTION("""COMPUTED_VALUE"""),"")</f>
        <v/>
      </c>
      <c r="F256" s="106" t="s">
        <v>133</v>
      </c>
      <c r="G256" s="152" t="str">
        <f>IFERROR(__xludf.DUMMYFUNCTION("""COMPUTED_VALUE"""),"")</f>
        <v/>
      </c>
      <c r="H256" s="106" t="s">
        <v>133</v>
      </c>
      <c r="I256" s="136"/>
      <c r="J256" s="139" t="s">
        <v>133</v>
      </c>
      <c r="K256" s="136" t="s">
        <v>133</v>
      </c>
      <c r="L256" s="153" t="str">
        <f>IFERROR(__xludf.DUMMYFUNCTION("""COMPUTED_VALUE"""),"")</f>
        <v/>
      </c>
      <c r="M256" s="136" t="str">
        <f t="shared" si="1"/>
        <v/>
      </c>
      <c r="N256" s="136" t="str">
        <f>IFERROR(__xludf.DUMMYFUNCTION("""COMPUTED_VALUE"""),"")</f>
        <v/>
      </c>
      <c r="O256" s="141" t="s">
        <v>133</v>
      </c>
      <c r="P256" s="136" t="str">
        <f>IFERROR(__xludf.DUMMYFUNCTION("""COMPUTED_VALUE"""),"")</f>
        <v/>
      </c>
      <c r="Q256" s="136" t="str">
        <f>IFERROR(__xludf.DUMMYFUNCTION("""COMPUTED_VALUE"""),"")</f>
        <v/>
      </c>
      <c r="R256" s="106" t="str">
        <f>IFERROR(__xludf.DUMMYFUNCTION("""COMPUTED_VALUE"""),"")</f>
        <v/>
      </c>
      <c r="S256" s="106" t="str">
        <f>IFERROR(__xludf.DUMMYFUNCTION("""COMPUTED_VALUE"""),"")</f>
        <v/>
      </c>
      <c r="T256" s="139" t="str">
        <f>IFERROR(__xludf.DUMMYFUNCTION("""COMPUTED_VALUE"""),"")</f>
        <v/>
      </c>
      <c r="U256" s="139" t="str">
        <f>IFERROR(__xludf.DUMMYFUNCTION("""COMPUTED_VALUE"""),"")</f>
        <v/>
      </c>
      <c r="V256" s="136" t="str">
        <f>IFERROR(__xludf.DUMMYFUNCTION("""COMPUTED_VALUE"""),"")</f>
        <v/>
      </c>
      <c r="W256" s="106" t="str">
        <f>IFERROR(__xludf.DUMMYFUNCTION("""COMPUTED_VALUE"""),"")</f>
        <v/>
      </c>
      <c r="X256" s="143" t="str">
        <f t="shared" si="2"/>
        <v/>
      </c>
      <c r="Y256" s="139" t="str">
        <f>IFERROR(__xludf.DUMMYFUNCTION("""COMPUTED_VALUE"""),"")</f>
        <v/>
      </c>
      <c r="Z256" s="141" t="str">
        <f>IFERROR(__xludf.DUMMYFUNCTION("""COMPUTED_VALUE"""),"")</f>
        <v/>
      </c>
    </row>
    <row r="257">
      <c r="A257" s="136"/>
      <c r="B257" s="136"/>
      <c r="C257" s="136" t="str">
        <f>IFERROR(__xludf.DUMMYFUNCTION("""COMPUTED_VALUE"""),"")</f>
        <v/>
      </c>
      <c r="D257" s="136" t="str">
        <f t="shared" si="3"/>
        <v/>
      </c>
      <c r="E257" s="152" t="str">
        <f>IFERROR(__xludf.DUMMYFUNCTION("""COMPUTED_VALUE"""),"")</f>
        <v/>
      </c>
      <c r="F257" s="106" t="s">
        <v>133</v>
      </c>
      <c r="G257" s="152" t="str">
        <f>IFERROR(__xludf.DUMMYFUNCTION("""COMPUTED_VALUE"""),"")</f>
        <v/>
      </c>
      <c r="H257" s="106" t="s">
        <v>133</v>
      </c>
      <c r="I257" s="136"/>
      <c r="J257" s="139" t="s">
        <v>133</v>
      </c>
      <c r="K257" s="136" t="s">
        <v>133</v>
      </c>
      <c r="L257" s="153" t="str">
        <f>IFERROR(__xludf.DUMMYFUNCTION("""COMPUTED_VALUE"""),"")</f>
        <v/>
      </c>
      <c r="M257" s="136" t="str">
        <f t="shared" si="1"/>
        <v/>
      </c>
      <c r="N257" s="136" t="str">
        <f>IFERROR(__xludf.DUMMYFUNCTION("""COMPUTED_VALUE"""),"")</f>
        <v/>
      </c>
      <c r="O257" s="141" t="s">
        <v>133</v>
      </c>
      <c r="P257" s="136" t="str">
        <f>IFERROR(__xludf.DUMMYFUNCTION("""COMPUTED_VALUE"""),"")</f>
        <v/>
      </c>
      <c r="Q257" s="136" t="str">
        <f>IFERROR(__xludf.DUMMYFUNCTION("""COMPUTED_VALUE"""),"")</f>
        <v/>
      </c>
      <c r="R257" s="106" t="str">
        <f>IFERROR(__xludf.DUMMYFUNCTION("""COMPUTED_VALUE"""),"")</f>
        <v/>
      </c>
      <c r="S257" s="106" t="str">
        <f>IFERROR(__xludf.DUMMYFUNCTION("""COMPUTED_VALUE"""),"")</f>
        <v/>
      </c>
      <c r="T257" s="139" t="str">
        <f>IFERROR(__xludf.DUMMYFUNCTION("""COMPUTED_VALUE"""),"")</f>
        <v/>
      </c>
      <c r="U257" s="139" t="str">
        <f>IFERROR(__xludf.DUMMYFUNCTION("""COMPUTED_VALUE"""),"")</f>
        <v/>
      </c>
      <c r="V257" s="136" t="str">
        <f>IFERROR(__xludf.DUMMYFUNCTION("""COMPUTED_VALUE"""),"")</f>
        <v/>
      </c>
      <c r="W257" s="106" t="str">
        <f>IFERROR(__xludf.DUMMYFUNCTION("""COMPUTED_VALUE"""),"")</f>
        <v/>
      </c>
      <c r="X257" s="143" t="str">
        <f t="shared" si="2"/>
        <v/>
      </c>
      <c r="Y257" s="139" t="str">
        <f>IFERROR(__xludf.DUMMYFUNCTION("""COMPUTED_VALUE"""),"")</f>
        <v/>
      </c>
      <c r="Z257" s="141" t="str">
        <f>IFERROR(__xludf.DUMMYFUNCTION("""COMPUTED_VALUE"""),"")</f>
        <v/>
      </c>
    </row>
    <row r="258">
      <c r="A258" s="136"/>
      <c r="B258" s="136"/>
      <c r="C258" s="136" t="str">
        <f>IFERROR(__xludf.DUMMYFUNCTION("""COMPUTED_VALUE"""),"")</f>
        <v/>
      </c>
      <c r="D258" s="136" t="str">
        <f t="shared" si="3"/>
        <v/>
      </c>
      <c r="E258" s="152" t="str">
        <f>IFERROR(__xludf.DUMMYFUNCTION("""COMPUTED_VALUE"""),"")</f>
        <v/>
      </c>
      <c r="F258" s="106" t="s">
        <v>133</v>
      </c>
      <c r="G258" s="152" t="str">
        <f>IFERROR(__xludf.DUMMYFUNCTION("""COMPUTED_VALUE"""),"")</f>
        <v/>
      </c>
      <c r="H258" s="106" t="s">
        <v>133</v>
      </c>
      <c r="I258" s="136"/>
      <c r="J258" s="139" t="s">
        <v>133</v>
      </c>
      <c r="K258" s="136" t="s">
        <v>133</v>
      </c>
      <c r="L258" s="153" t="str">
        <f>IFERROR(__xludf.DUMMYFUNCTION("""COMPUTED_VALUE"""),"")</f>
        <v/>
      </c>
      <c r="M258" s="136" t="str">
        <f t="shared" si="1"/>
        <v/>
      </c>
      <c r="N258" s="136" t="str">
        <f>IFERROR(__xludf.DUMMYFUNCTION("""COMPUTED_VALUE"""),"")</f>
        <v/>
      </c>
      <c r="O258" s="141" t="s">
        <v>133</v>
      </c>
      <c r="P258" s="136" t="str">
        <f>IFERROR(__xludf.DUMMYFUNCTION("""COMPUTED_VALUE"""),"")</f>
        <v/>
      </c>
      <c r="Q258" s="136" t="str">
        <f>IFERROR(__xludf.DUMMYFUNCTION("""COMPUTED_VALUE"""),"")</f>
        <v/>
      </c>
      <c r="R258" s="106" t="str">
        <f>IFERROR(__xludf.DUMMYFUNCTION("""COMPUTED_VALUE"""),"")</f>
        <v/>
      </c>
      <c r="S258" s="106" t="str">
        <f>IFERROR(__xludf.DUMMYFUNCTION("""COMPUTED_VALUE"""),"")</f>
        <v/>
      </c>
      <c r="T258" s="139" t="str">
        <f>IFERROR(__xludf.DUMMYFUNCTION("""COMPUTED_VALUE"""),"")</f>
        <v/>
      </c>
      <c r="U258" s="139" t="str">
        <f>IFERROR(__xludf.DUMMYFUNCTION("""COMPUTED_VALUE"""),"")</f>
        <v/>
      </c>
      <c r="V258" s="136" t="str">
        <f>IFERROR(__xludf.DUMMYFUNCTION("""COMPUTED_VALUE"""),"")</f>
        <v/>
      </c>
      <c r="W258" s="106" t="str">
        <f>IFERROR(__xludf.DUMMYFUNCTION("""COMPUTED_VALUE"""),"")</f>
        <v/>
      </c>
      <c r="X258" s="143" t="str">
        <f t="shared" si="2"/>
        <v/>
      </c>
      <c r="Y258" s="139" t="str">
        <f>IFERROR(__xludf.DUMMYFUNCTION("""COMPUTED_VALUE"""),"")</f>
        <v/>
      </c>
      <c r="Z258" s="141" t="str">
        <f>IFERROR(__xludf.DUMMYFUNCTION("""COMPUTED_VALUE"""),"")</f>
        <v/>
      </c>
    </row>
    <row r="259">
      <c r="A259" s="136"/>
      <c r="B259" s="136"/>
      <c r="C259" s="136" t="str">
        <f>IFERROR(__xludf.DUMMYFUNCTION("""COMPUTED_VALUE"""),"")</f>
        <v/>
      </c>
      <c r="D259" s="136" t="str">
        <f t="shared" si="3"/>
        <v/>
      </c>
      <c r="E259" s="152" t="str">
        <f>IFERROR(__xludf.DUMMYFUNCTION("""COMPUTED_VALUE"""),"")</f>
        <v/>
      </c>
      <c r="F259" s="106" t="s">
        <v>133</v>
      </c>
      <c r="G259" s="152" t="str">
        <f>IFERROR(__xludf.DUMMYFUNCTION("""COMPUTED_VALUE"""),"")</f>
        <v/>
      </c>
      <c r="H259" s="106" t="s">
        <v>133</v>
      </c>
      <c r="I259" s="136"/>
      <c r="J259" s="139" t="s">
        <v>133</v>
      </c>
      <c r="K259" s="136" t="s">
        <v>133</v>
      </c>
      <c r="L259" s="153" t="str">
        <f>IFERROR(__xludf.DUMMYFUNCTION("""COMPUTED_VALUE"""),"")</f>
        <v/>
      </c>
      <c r="M259" s="136" t="str">
        <f t="shared" si="1"/>
        <v/>
      </c>
      <c r="N259" s="136" t="str">
        <f>IFERROR(__xludf.DUMMYFUNCTION("""COMPUTED_VALUE"""),"")</f>
        <v/>
      </c>
      <c r="O259" s="141" t="s">
        <v>133</v>
      </c>
      <c r="P259" s="136" t="str">
        <f>IFERROR(__xludf.DUMMYFUNCTION("""COMPUTED_VALUE"""),"")</f>
        <v/>
      </c>
      <c r="Q259" s="136" t="str">
        <f>IFERROR(__xludf.DUMMYFUNCTION("""COMPUTED_VALUE"""),"")</f>
        <v/>
      </c>
      <c r="R259" s="106" t="str">
        <f>IFERROR(__xludf.DUMMYFUNCTION("""COMPUTED_VALUE"""),"")</f>
        <v/>
      </c>
      <c r="S259" s="106" t="str">
        <f>IFERROR(__xludf.DUMMYFUNCTION("""COMPUTED_VALUE"""),"")</f>
        <v/>
      </c>
      <c r="T259" s="139" t="str">
        <f>IFERROR(__xludf.DUMMYFUNCTION("""COMPUTED_VALUE"""),"")</f>
        <v/>
      </c>
      <c r="U259" s="139" t="str">
        <f>IFERROR(__xludf.DUMMYFUNCTION("""COMPUTED_VALUE"""),"")</f>
        <v/>
      </c>
      <c r="V259" s="136" t="str">
        <f>IFERROR(__xludf.DUMMYFUNCTION("""COMPUTED_VALUE"""),"")</f>
        <v/>
      </c>
      <c r="W259" s="106" t="str">
        <f>IFERROR(__xludf.DUMMYFUNCTION("""COMPUTED_VALUE"""),"")</f>
        <v/>
      </c>
      <c r="X259" s="143" t="str">
        <f t="shared" si="2"/>
        <v/>
      </c>
      <c r="Y259" s="139" t="str">
        <f>IFERROR(__xludf.DUMMYFUNCTION("""COMPUTED_VALUE"""),"")</f>
        <v/>
      </c>
      <c r="Z259" s="141" t="str">
        <f>IFERROR(__xludf.DUMMYFUNCTION("""COMPUTED_VALUE"""),"")</f>
        <v/>
      </c>
    </row>
    <row r="260">
      <c r="A260" s="136"/>
      <c r="B260" s="136"/>
      <c r="C260" s="136" t="str">
        <f>IFERROR(__xludf.DUMMYFUNCTION("""COMPUTED_VALUE"""),"")</f>
        <v/>
      </c>
      <c r="D260" s="136" t="str">
        <f t="shared" si="3"/>
        <v/>
      </c>
      <c r="E260" s="152" t="str">
        <f>IFERROR(__xludf.DUMMYFUNCTION("""COMPUTED_VALUE"""),"")</f>
        <v/>
      </c>
      <c r="F260" s="106" t="s">
        <v>133</v>
      </c>
      <c r="G260" s="152" t="str">
        <f>IFERROR(__xludf.DUMMYFUNCTION("""COMPUTED_VALUE"""),"")</f>
        <v/>
      </c>
      <c r="H260" s="106" t="s">
        <v>133</v>
      </c>
      <c r="I260" s="136"/>
      <c r="J260" s="139" t="s">
        <v>133</v>
      </c>
      <c r="K260" s="136" t="s">
        <v>133</v>
      </c>
      <c r="L260" s="153" t="str">
        <f>IFERROR(__xludf.DUMMYFUNCTION("""COMPUTED_VALUE"""),"")</f>
        <v/>
      </c>
      <c r="M260" s="136" t="str">
        <f t="shared" si="1"/>
        <v/>
      </c>
      <c r="N260" s="136" t="str">
        <f>IFERROR(__xludf.DUMMYFUNCTION("""COMPUTED_VALUE"""),"")</f>
        <v/>
      </c>
      <c r="O260" s="141" t="s">
        <v>133</v>
      </c>
      <c r="P260" s="136" t="str">
        <f>IFERROR(__xludf.DUMMYFUNCTION("""COMPUTED_VALUE"""),"")</f>
        <v/>
      </c>
      <c r="Q260" s="136" t="str">
        <f>IFERROR(__xludf.DUMMYFUNCTION("""COMPUTED_VALUE"""),"")</f>
        <v/>
      </c>
      <c r="R260" s="106" t="str">
        <f>IFERROR(__xludf.DUMMYFUNCTION("""COMPUTED_VALUE"""),"")</f>
        <v/>
      </c>
      <c r="S260" s="106" t="str">
        <f>IFERROR(__xludf.DUMMYFUNCTION("""COMPUTED_VALUE"""),"")</f>
        <v/>
      </c>
      <c r="T260" s="139" t="str">
        <f>IFERROR(__xludf.DUMMYFUNCTION("""COMPUTED_VALUE"""),"")</f>
        <v/>
      </c>
      <c r="U260" s="139" t="str">
        <f>IFERROR(__xludf.DUMMYFUNCTION("""COMPUTED_VALUE"""),"")</f>
        <v/>
      </c>
      <c r="V260" s="136" t="str">
        <f>IFERROR(__xludf.DUMMYFUNCTION("""COMPUTED_VALUE"""),"")</f>
        <v/>
      </c>
      <c r="W260" s="106" t="str">
        <f>IFERROR(__xludf.DUMMYFUNCTION("""COMPUTED_VALUE"""),"")</f>
        <v/>
      </c>
      <c r="X260" s="143" t="str">
        <f t="shared" si="2"/>
        <v/>
      </c>
      <c r="Y260" s="139" t="str">
        <f>IFERROR(__xludf.DUMMYFUNCTION("""COMPUTED_VALUE"""),"")</f>
        <v/>
      </c>
      <c r="Z260" s="141" t="str">
        <f>IFERROR(__xludf.DUMMYFUNCTION("""COMPUTED_VALUE"""),"")</f>
        <v/>
      </c>
    </row>
    <row r="261">
      <c r="A261" s="136"/>
      <c r="B261" s="136"/>
      <c r="C261" s="136" t="str">
        <f>IFERROR(__xludf.DUMMYFUNCTION("""COMPUTED_VALUE"""),"")</f>
        <v/>
      </c>
      <c r="D261" s="136" t="str">
        <f t="shared" si="3"/>
        <v/>
      </c>
      <c r="E261" s="152" t="str">
        <f>IFERROR(__xludf.DUMMYFUNCTION("""COMPUTED_VALUE"""),"")</f>
        <v/>
      </c>
      <c r="F261" s="106" t="s">
        <v>133</v>
      </c>
      <c r="G261" s="152" t="str">
        <f>IFERROR(__xludf.DUMMYFUNCTION("""COMPUTED_VALUE"""),"")</f>
        <v/>
      </c>
      <c r="H261" s="106" t="s">
        <v>133</v>
      </c>
      <c r="I261" s="136"/>
      <c r="J261" s="139" t="s">
        <v>133</v>
      </c>
      <c r="K261" s="136" t="s">
        <v>133</v>
      </c>
      <c r="L261" s="153" t="str">
        <f>IFERROR(__xludf.DUMMYFUNCTION("""COMPUTED_VALUE"""),"")</f>
        <v/>
      </c>
      <c r="M261" s="136" t="str">
        <f t="shared" si="1"/>
        <v/>
      </c>
      <c r="N261" s="136" t="str">
        <f>IFERROR(__xludf.DUMMYFUNCTION("""COMPUTED_VALUE"""),"")</f>
        <v/>
      </c>
      <c r="O261" s="141" t="s">
        <v>133</v>
      </c>
      <c r="P261" s="136" t="str">
        <f>IFERROR(__xludf.DUMMYFUNCTION("""COMPUTED_VALUE"""),"")</f>
        <v/>
      </c>
      <c r="Q261" s="136" t="str">
        <f>IFERROR(__xludf.DUMMYFUNCTION("""COMPUTED_VALUE"""),"")</f>
        <v/>
      </c>
      <c r="R261" s="106" t="str">
        <f>IFERROR(__xludf.DUMMYFUNCTION("""COMPUTED_VALUE"""),"")</f>
        <v/>
      </c>
      <c r="S261" s="106" t="str">
        <f>IFERROR(__xludf.DUMMYFUNCTION("""COMPUTED_VALUE"""),"")</f>
        <v/>
      </c>
      <c r="T261" s="139" t="str">
        <f>IFERROR(__xludf.DUMMYFUNCTION("""COMPUTED_VALUE"""),"")</f>
        <v/>
      </c>
      <c r="U261" s="139" t="str">
        <f>IFERROR(__xludf.DUMMYFUNCTION("""COMPUTED_VALUE"""),"")</f>
        <v/>
      </c>
      <c r="V261" s="136" t="str">
        <f>IFERROR(__xludf.DUMMYFUNCTION("""COMPUTED_VALUE"""),"")</f>
        <v/>
      </c>
      <c r="W261" s="106" t="str">
        <f>IFERROR(__xludf.DUMMYFUNCTION("""COMPUTED_VALUE"""),"")</f>
        <v/>
      </c>
      <c r="X261" s="143" t="str">
        <f t="shared" si="2"/>
        <v/>
      </c>
      <c r="Y261" s="139" t="str">
        <f>IFERROR(__xludf.DUMMYFUNCTION("""COMPUTED_VALUE"""),"")</f>
        <v/>
      </c>
      <c r="Z261" s="141" t="str">
        <f>IFERROR(__xludf.DUMMYFUNCTION("""COMPUTED_VALUE"""),"")</f>
        <v/>
      </c>
    </row>
    <row r="262">
      <c r="A262" s="136"/>
      <c r="B262" s="136"/>
      <c r="C262" s="136" t="str">
        <f>IFERROR(__xludf.DUMMYFUNCTION("""COMPUTED_VALUE"""),"")</f>
        <v/>
      </c>
      <c r="D262" s="136" t="str">
        <f t="shared" si="3"/>
        <v/>
      </c>
      <c r="E262" s="152" t="str">
        <f>IFERROR(__xludf.DUMMYFUNCTION("""COMPUTED_VALUE"""),"")</f>
        <v/>
      </c>
      <c r="F262" s="106" t="s">
        <v>133</v>
      </c>
      <c r="G262" s="152" t="str">
        <f>IFERROR(__xludf.DUMMYFUNCTION("""COMPUTED_VALUE"""),"")</f>
        <v/>
      </c>
      <c r="H262" s="106" t="s">
        <v>133</v>
      </c>
      <c r="I262" s="136"/>
      <c r="J262" s="139" t="s">
        <v>133</v>
      </c>
      <c r="K262" s="136" t="s">
        <v>133</v>
      </c>
      <c r="L262" s="153" t="str">
        <f>IFERROR(__xludf.DUMMYFUNCTION("""COMPUTED_VALUE"""),"")</f>
        <v/>
      </c>
      <c r="M262" s="136" t="str">
        <f t="shared" si="1"/>
        <v/>
      </c>
      <c r="N262" s="136" t="str">
        <f>IFERROR(__xludf.DUMMYFUNCTION("""COMPUTED_VALUE"""),"")</f>
        <v/>
      </c>
      <c r="O262" s="141" t="s">
        <v>133</v>
      </c>
      <c r="P262" s="136" t="str">
        <f>IFERROR(__xludf.DUMMYFUNCTION("""COMPUTED_VALUE"""),"")</f>
        <v/>
      </c>
      <c r="Q262" s="136" t="str">
        <f>IFERROR(__xludf.DUMMYFUNCTION("""COMPUTED_VALUE"""),"")</f>
        <v/>
      </c>
      <c r="R262" s="106" t="str">
        <f>IFERROR(__xludf.DUMMYFUNCTION("""COMPUTED_VALUE"""),"")</f>
        <v/>
      </c>
      <c r="S262" s="106" t="str">
        <f>IFERROR(__xludf.DUMMYFUNCTION("""COMPUTED_VALUE"""),"")</f>
        <v/>
      </c>
      <c r="T262" s="139" t="str">
        <f>IFERROR(__xludf.DUMMYFUNCTION("""COMPUTED_VALUE"""),"")</f>
        <v/>
      </c>
      <c r="U262" s="139" t="str">
        <f>IFERROR(__xludf.DUMMYFUNCTION("""COMPUTED_VALUE"""),"")</f>
        <v/>
      </c>
      <c r="V262" s="136" t="str">
        <f>IFERROR(__xludf.DUMMYFUNCTION("""COMPUTED_VALUE"""),"")</f>
        <v/>
      </c>
      <c r="W262" s="106" t="str">
        <f>IFERROR(__xludf.DUMMYFUNCTION("""COMPUTED_VALUE"""),"")</f>
        <v/>
      </c>
      <c r="X262" s="143" t="str">
        <f t="shared" si="2"/>
        <v/>
      </c>
      <c r="Y262" s="139" t="str">
        <f>IFERROR(__xludf.DUMMYFUNCTION("""COMPUTED_VALUE"""),"")</f>
        <v/>
      </c>
      <c r="Z262" s="141" t="str">
        <f>IFERROR(__xludf.DUMMYFUNCTION("""COMPUTED_VALUE"""),"")</f>
        <v/>
      </c>
    </row>
    <row r="263">
      <c r="A263" s="136"/>
      <c r="B263" s="136"/>
      <c r="C263" s="136" t="str">
        <f>IFERROR(__xludf.DUMMYFUNCTION("""COMPUTED_VALUE"""),"")</f>
        <v/>
      </c>
      <c r="D263" s="136" t="str">
        <f t="shared" si="3"/>
        <v/>
      </c>
      <c r="E263" s="152" t="str">
        <f>IFERROR(__xludf.DUMMYFUNCTION("""COMPUTED_VALUE"""),"")</f>
        <v/>
      </c>
      <c r="F263" s="106" t="s">
        <v>133</v>
      </c>
      <c r="G263" s="152" t="str">
        <f>IFERROR(__xludf.DUMMYFUNCTION("""COMPUTED_VALUE"""),"")</f>
        <v/>
      </c>
      <c r="H263" s="106" t="s">
        <v>133</v>
      </c>
      <c r="I263" s="136"/>
      <c r="J263" s="139" t="s">
        <v>133</v>
      </c>
      <c r="K263" s="136" t="s">
        <v>133</v>
      </c>
      <c r="L263" s="153" t="str">
        <f>IFERROR(__xludf.DUMMYFUNCTION("""COMPUTED_VALUE"""),"")</f>
        <v/>
      </c>
      <c r="M263" s="136" t="str">
        <f t="shared" si="1"/>
        <v/>
      </c>
      <c r="N263" s="136" t="str">
        <f>IFERROR(__xludf.DUMMYFUNCTION("""COMPUTED_VALUE"""),"")</f>
        <v/>
      </c>
      <c r="O263" s="141" t="s">
        <v>133</v>
      </c>
      <c r="P263" s="136" t="str">
        <f>IFERROR(__xludf.DUMMYFUNCTION("""COMPUTED_VALUE"""),"")</f>
        <v/>
      </c>
      <c r="Q263" s="136" t="str">
        <f>IFERROR(__xludf.DUMMYFUNCTION("""COMPUTED_VALUE"""),"")</f>
        <v/>
      </c>
      <c r="R263" s="106" t="str">
        <f>IFERROR(__xludf.DUMMYFUNCTION("""COMPUTED_VALUE"""),"")</f>
        <v/>
      </c>
      <c r="S263" s="106" t="str">
        <f>IFERROR(__xludf.DUMMYFUNCTION("""COMPUTED_VALUE"""),"")</f>
        <v/>
      </c>
      <c r="T263" s="139" t="str">
        <f>IFERROR(__xludf.DUMMYFUNCTION("""COMPUTED_VALUE"""),"")</f>
        <v/>
      </c>
      <c r="U263" s="139" t="str">
        <f>IFERROR(__xludf.DUMMYFUNCTION("""COMPUTED_VALUE"""),"")</f>
        <v/>
      </c>
      <c r="V263" s="136" t="str">
        <f>IFERROR(__xludf.DUMMYFUNCTION("""COMPUTED_VALUE"""),"")</f>
        <v/>
      </c>
      <c r="W263" s="106" t="str">
        <f>IFERROR(__xludf.DUMMYFUNCTION("""COMPUTED_VALUE"""),"")</f>
        <v/>
      </c>
      <c r="X263" s="143" t="str">
        <f t="shared" si="2"/>
        <v/>
      </c>
      <c r="Y263" s="139" t="str">
        <f>IFERROR(__xludf.DUMMYFUNCTION("""COMPUTED_VALUE"""),"")</f>
        <v/>
      </c>
      <c r="Z263" s="141" t="str">
        <f>IFERROR(__xludf.DUMMYFUNCTION("""COMPUTED_VALUE"""),"")</f>
        <v/>
      </c>
    </row>
    <row r="264">
      <c r="A264" s="136"/>
      <c r="B264" s="136"/>
      <c r="C264" s="136" t="str">
        <f>IFERROR(__xludf.DUMMYFUNCTION("""COMPUTED_VALUE"""),"")</f>
        <v/>
      </c>
      <c r="D264" s="136" t="str">
        <f t="shared" si="3"/>
        <v/>
      </c>
      <c r="E264" s="152" t="str">
        <f>IFERROR(__xludf.DUMMYFUNCTION("""COMPUTED_VALUE"""),"")</f>
        <v/>
      </c>
      <c r="F264" s="106" t="s">
        <v>133</v>
      </c>
      <c r="G264" s="152" t="str">
        <f>IFERROR(__xludf.DUMMYFUNCTION("""COMPUTED_VALUE"""),"")</f>
        <v/>
      </c>
      <c r="H264" s="106" t="s">
        <v>133</v>
      </c>
      <c r="I264" s="136"/>
      <c r="J264" s="139" t="s">
        <v>133</v>
      </c>
      <c r="K264" s="136" t="s">
        <v>133</v>
      </c>
      <c r="L264" s="153" t="str">
        <f>IFERROR(__xludf.DUMMYFUNCTION("""COMPUTED_VALUE"""),"")</f>
        <v/>
      </c>
      <c r="M264" s="136" t="str">
        <f t="shared" si="1"/>
        <v/>
      </c>
      <c r="N264" s="136" t="str">
        <f>IFERROR(__xludf.DUMMYFUNCTION("""COMPUTED_VALUE"""),"")</f>
        <v/>
      </c>
      <c r="O264" s="141" t="s">
        <v>133</v>
      </c>
      <c r="P264" s="136" t="str">
        <f>IFERROR(__xludf.DUMMYFUNCTION("""COMPUTED_VALUE"""),"")</f>
        <v/>
      </c>
      <c r="Q264" s="136" t="str">
        <f>IFERROR(__xludf.DUMMYFUNCTION("""COMPUTED_VALUE"""),"")</f>
        <v/>
      </c>
      <c r="R264" s="106" t="str">
        <f>IFERROR(__xludf.DUMMYFUNCTION("""COMPUTED_VALUE"""),"")</f>
        <v/>
      </c>
      <c r="S264" s="106" t="str">
        <f>IFERROR(__xludf.DUMMYFUNCTION("""COMPUTED_VALUE"""),"")</f>
        <v/>
      </c>
      <c r="T264" s="139" t="str">
        <f>IFERROR(__xludf.DUMMYFUNCTION("""COMPUTED_VALUE"""),"")</f>
        <v/>
      </c>
      <c r="U264" s="139" t="str">
        <f>IFERROR(__xludf.DUMMYFUNCTION("""COMPUTED_VALUE"""),"")</f>
        <v/>
      </c>
      <c r="V264" s="136" t="str">
        <f>IFERROR(__xludf.DUMMYFUNCTION("""COMPUTED_VALUE"""),"")</f>
        <v/>
      </c>
      <c r="W264" s="106" t="str">
        <f>IFERROR(__xludf.DUMMYFUNCTION("""COMPUTED_VALUE"""),"")</f>
        <v/>
      </c>
      <c r="X264" s="143" t="str">
        <f t="shared" si="2"/>
        <v/>
      </c>
      <c r="Y264" s="139" t="str">
        <f>IFERROR(__xludf.DUMMYFUNCTION("""COMPUTED_VALUE"""),"")</f>
        <v/>
      </c>
      <c r="Z264" s="141" t="str">
        <f>IFERROR(__xludf.DUMMYFUNCTION("""COMPUTED_VALUE"""),"")</f>
        <v/>
      </c>
    </row>
    <row r="265">
      <c r="A265" s="136"/>
      <c r="B265" s="136"/>
      <c r="C265" s="136" t="str">
        <f>IFERROR(__xludf.DUMMYFUNCTION("""COMPUTED_VALUE"""),"")</f>
        <v/>
      </c>
      <c r="D265" s="136" t="str">
        <f t="shared" si="3"/>
        <v/>
      </c>
      <c r="E265" s="152" t="str">
        <f>IFERROR(__xludf.DUMMYFUNCTION("""COMPUTED_VALUE"""),"")</f>
        <v/>
      </c>
      <c r="F265" s="106" t="s">
        <v>133</v>
      </c>
      <c r="G265" s="152" t="str">
        <f>IFERROR(__xludf.DUMMYFUNCTION("""COMPUTED_VALUE"""),"")</f>
        <v/>
      </c>
      <c r="H265" s="106" t="s">
        <v>133</v>
      </c>
      <c r="I265" s="136"/>
      <c r="J265" s="139" t="s">
        <v>133</v>
      </c>
      <c r="K265" s="136" t="s">
        <v>133</v>
      </c>
      <c r="L265" s="153" t="str">
        <f>IFERROR(__xludf.DUMMYFUNCTION("""COMPUTED_VALUE"""),"")</f>
        <v/>
      </c>
      <c r="M265" s="136" t="str">
        <f t="shared" si="1"/>
        <v/>
      </c>
      <c r="N265" s="136" t="str">
        <f>IFERROR(__xludf.DUMMYFUNCTION("""COMPUTED_VALUE"""),"")</f>
        <v/>
      </c>
      <c r="O265" s="141" t="s">
        <v>133</v>
      </c>
      <c r="P265" s="136" t="str">
        <f>IFERROR(__xludf.DUMMYFUNCTION("""COMPUTED_VALUE"""),"")</f>
        <v/>
      </c>
      <c r="Q265" s="136" t="str">
        <f>IFERROR(__xludf.DUMMYFUNCTION("""COMPUTED_VALUE"""),"")</f>
        <v/>
      </c>
      <c r="R265" s="106" t="str">
        <f>IFERROR(__xludf.DUMMYFUNCTION("""COMPUTED_VALUE"""),"")</f>
        <v/>
      </c>
      <c r="S265" s="106" t="str">
        <f>IFERROR(__xludf.DUMMYFUNCTION("""COMPUTED_VALUE"""),"")</f>
        <v/>
      </c>
      <c r="T265" s="139" t="str">
        <f>IFERROR(__xludf.DUMMYFUNCTION("""COMPUTED_VALUE"""),"")</f>
        <v/>
      </c>
      <c r="U265" s="139" t="str">
        <f>IFERROR(__xludf.DUMMYFUNCTION("""COMPUTED_VALUE"""),"")</f>
        <v/>
      </c>
      <c r="V265" s="136" t="str">
        <f>IFERROR(__xludf.DUMMYFUNCTION("""COMPUTED_VALUE"""),"")</f>
        <v/>
      </c>
      <c r="W265" s="106" t="str">
        <f>IFERROR(__xludf.DUMMYFUNCTION("""COMPUTED_VALUE"""),"")</f>
        <v/>
      </c>
      <c r="X265" s="143" t="str">
        <f t="shared" si="2"/>
        <v/>
      </c>
      <c r="Y265" s="139" t="str">
        <f>IFERROR(__xludf.DUMMYFUNCTION("""COMPUTED_VALUE"""),"")</f>
        <v/>
      </c>
      <c r="Z265" s="141" t="str">
        <f>IFERROR(__xludf.DUMMYFUNCTION("""COMPUTED_VALUE"""),"")</f>
        <v/>
      </c>
    </row>
    <row r="266">
      <c r="A266" s="136"/>
      <c r="B266" s="136"/>
      <c r="C266" s="136" t="str">
        <f>IFERROR(__xludf.DUMMYFUNCTION("""COMPUTED_VALUE"""),"")</f>
        <v/>
      </c>
      <c r="D266" s="136" t="str">
        <f t="shared" si="3"/>
        <v/>
      </c>
      <c r="E266" s="152" t="str">
        <f>IFERROR(__xludf.DUMMYFUNCTION("""COMPUTED_VALUE"""),"")</f>
        <v/>
      </c>
      <c r="F266" s="106" t="s">
        <v>133</v>
      </c>
      <c r="G266" s="152" t="str">
        <f>IFERROR(__xludf.DUMMYFUNCTION("""COMPUTED_VALUE"""),"")</f>
        <v/>
      </c>
      <c r="H266" s="106" t="s">
        <v>133</v>
      </c>
      <c r="I266" s="136"/>
      <c r="J266" s="139" t="s">
        <v>133</v>
      </c>
      <c r="K266" s="136" t="s">
        <v>133</v>
      </c>
      <c r="L266" s="153" t="str">
        <f>IFERROR(__xludf.DUMMYFUNCTION("""COMPUTED_VALUE"""),"")</f>
        <v/>
      </c>
      <c r="M266" s="136" t="str">
        <f t="shared" si="1"/>
        <v/>
      </c>
      <c r="N266" s="136" t="str">
        <f>IFERROR(__xludf.DUMMYFUNCTION("""COMPUTED_VALUE"""),"")</f>
        <v/>
      </c>
      <c r="O266" s="141" t="s">
        <v>133</v>
      </c>
      <c r="P266" s="136" t="str">
        <f>IFERROR(__xludf.DUMMYFUNCTION("""COMPUTED_VALUE"""),"")</f>
        <v/>
      </c>
      <c r="Q266" s="136" t="str">
        <f>IFERROR(__xludf.DUMMYFUNCTION("""COMPUTED_VALUE"""),"")</f>
        <v/>
      </c>
      <c r="R266" s="106" t="str">
        <f>IFERROR(__xludf.DUMMYFUNCTION("""COMPUTED_VALUE"""),"")</f>
        <v/>
      </c>
      <c r="S266" s="106" t="str">
        <f>IFERROR(__xludf.DUMMYFUNCTION("""COMPUTED_VALUE"""),"")</f>
        <v/>
      </c>
      <c r="T266" s="139" t="str">
        <f>IFERROR(__xludf.DUMMYFUNCTION("""COMPUTED_VALUE"""),"")</f>
        <v/>
      </c>
      <c r="U266" s="139" t="str">
        <f>IFERROR(__xludf.DUMMYFUNCTION("""COMPUTED_VALUE"""),"")</f>
        <v/>
      </c>
      <c r="V266" s="136" t="str">
        <f>IFERROR(__xludf.DUMMYFUNCTION("""COMPUTED_VALUE"""),"")</f>
        <v/>
      </c>
      <c r="W266" s="106" t="str">
        <f>IFERROR(__xludf.DUMMYFUNCTION("""COMPUTED_VALUE"""),"")</f>
        <v/>
      </c>
      <c r="X266" s="143" t="str">
        <f t="shared" si="2"/>
        <v/>
      </c>
      <c r="Y266" s="139" t="str">
        <f>IFERROR(__xludf.DUMMYFUNCTION("""COMPUTED_VALUE"""),"")</f>
        <v/>
      </c>
      <c r="Z266" s="141" t="str">
        <f>IFERROR(__xludf.DUMMYFUNCTION("""COMPUTED_VALUE"""),"")</f>
        <v/>
      </c>
    </row>
    <row r="267">
      <c r="A267" s="136"/>
      <c r="B267" s="136"/>
      <c r="C267" s="136" t="str">
        <f>IFERROR(__xludf.DUMMYFUNCTION("""COMPUTED_VALUE"""),"")</f>
        <v/>
      </c>
      <c r="D267" s="136" t="str">
        <f t="shared" si="3"/>
        <v/>
      </c>
      <c r="E267" s="152" t="str">
        <f>IFERROR(__xludf.DUMMYFUNCTION("""COMPUTED_VALUE"""),"")</f>
        <v/>
      </c>
      <c r="F267" s="106" t="s">
        <v>133</v>
      </c>
      <c r="G267" s="152" t="str">
        <f>IFERROR(__xludf.DUMMYFUNCTION("""COMPUTED_VALUE"""),"")</f>
        <v/>
      </c>
      <c r="H267" s="106" t="s">
        <v>133</v>
      </c>
      <c r="I267" s="136"/>
      <c r="J267" s="139" t="s">
        <v>133</v>
      </c>
      <c r="K267" s="136" t="s">
        <v>133</v>
      </c>
      <c r="L267" s="153" t="str">
        <f>IFERROR(__xludf.DUMMYFUNCTION("""COMPUTED_VALUE"""),"")</f>
        <v/>
      </c>
      <c r="M267" s="136" t="str">
        <f t="shared" si="1"/>
        <v/>
      </c>
      <c r="N267" s="136" t="str">
        <f>IFERROR(__xludf.DUMMYFUNCTION("""COMPUTED_VALUE"""),"")</f>
        <v/>
      </c>
      <c r="O267" s="141" t="s">
        <v>133</v>
      </c>
      <c r="P267" s="136" t="str">
        <f>IFERROR(__xludf.DUMMYFUNCTION("""COMPUTED_VALUE"""),"")</f>
        <v/>
      </c>
      <c r="Q267" s="136" t="str">
        <f>IFERROR(__xludf.DUMMYFUNCTION("""COMPUTED_VALUE"""),"")</f>
        <v/>
      </c>
      <c r="R267" s="106" t="str">
        <f>IFERROR(__xludf.DUMMYFUNCTION("""COMPUTED_VALUE"""),"")</f>
        <v/>
      </c>
      <c r="S267" s="106" t="str">
        <f>IFERROR(__xludf.DUMMYFUNCTION("""COMPUTED_VALUE"""),"")</f>
        <v/>
      </c>
      <c r="T267" s="139" t="str">
        <f>IFERROR(__xludf.DUMMYFUNCTION("""COMPUTED_VALUE"""),"")</f>
        <v/>
      </c>
      <c r="U267" s="139" t="str">
        <f>IFERROR(__xludf.DUMMYFUNCTION("""COMPUTED_VALUE"""),"")</f>
        <v/>
      </c>
      <c r="V267" s="136" t="str">
        <f>IFERROR(__xludf.DUMMYFUNCTION("""COMPUTED_VALUE"""),"")</f>
        <v/>
      </c>
      <c r="W267" s="106" t="str">
        <f>IFERROR(__xludf.DUMMYFUNCTION("""COMPUTED_VALUE"""),"")</f>
        <v/>
      </c>
      <c r="X267" s="143" t="str">
        <f t="shared" si="2"/>
        <v/>
      </c>
      <c r="Y267" s="139" t="str">
        <f>IFERROR(__xludf.DUMMYFUNCTION("""COMPUTED_VALUE"""),"")</f>
        <v/>
      </c>
      <c r="Z267" s="141" t="str">
        <f>IFERROR(__xludf.DUMMYFUNCTION("""COMPUTED_VALUE"""),"")</f>
        <v/>
      </c>
    </row>
    <row r="268">
      <c r="A268" s="136"/>
      <c r="B268" s="136"/>
      <c r="C268" s="136" t="str">
        <f>IFERROR(__xludf.DUMMYFUNCTION("""COMPUTED_VALUE"""),"")</f>
        <v/>
      </c>
      <c r="D268" s="136" t="str">
        <f t="shared" si="3"/>
        <v/>
      </c>
      <c r="E268" s="152" t="str">
        <f>IFERROR(__xludf.DUMMYFUNCTION("""COMPUTED_VALUE"""),"")</f>
        <v/>
      </c>
      <c r="F268" s="106" t="s">
        <v>133</v>
      </c>
      <c r="G268" s="152" t="str">
        <f>IFERROR(__xludf.DUMMYFUNCTION("""COMPUTED_VALUE"""),"")</f>
        <v/>
      </c>
      <c r="H268" s="106" t="s">
        <v>133</v>
      </c>
      <c r="I268" s="136"/>
      <c r="J268" s="139" t="s">
        <v>133</v>
      </c>
      <c r="K268" s="136" t="s">
        <v>133</v>
      </c>
      <c r="L268" s="153" t="str">
        <f>IFERROR(__xludf.DUMMYFUNCTION("""COMPUTED_VALUE"""),"")</f>
        <v/>
      </c>
      <c r="M268" s="136" t="str">
        <f t="shared" si="1"/>
        <v/>
      </c>
      <c r="N268" s="136" t="str">
        <f>IFERROR(__xludf.DUMMYFUNCTION("""COMPUTED_VALUE"""),"")</f>
        <v/>
      </c>
      <c r="O268" s="141" t="s">
        <v>133</v>
      </c>
      <c r="P268" s="136" t="str">
        <f>IFERROR(__xludf.DUMMYFUNCTION("""COMPUTED_VALUE"""),"")</f>
        <v/>
      </c>
      <c r="Q268" s="136" t="str">
        <f>IFERROR(__xludf.DUMMYFUNCTION("""COMPUTED_VALUE"""),"")</f>
        <v/>
      </c>
      <c r="R268" s="106" t="str">
        <f>IFERROR(__xludf.DUMMYFUNCTION("""COMPUTED_VALUE"""),"")</f>
        <v/>
      </c>
      <c r="S268" s="106" t="str">
        <f>IFERROR(__xludf.DUMMYFUNCTION("""COMPUTED_VALUE"""),"")</f>
        <v/>
      </c>
      <c r="T268" s="139" t="str">
        <f>IFERROR(__xludf.DUMMYFUNCTION("""COMPUTED_VALUE"""),"")</f>
        <v/>
      </c>
      <c r="U268" s="139" t="str">
        <f>IFERROR(__xludf.DUMMYFUNCTION("""COMPUTED_VALUE"""),"")</f>
        <v/>
      </c>
      <c r="V268" s="136" t="str">
        <f>IFERROR(__xludf.DUMMYFUNCTION("""COMPUTED_VALUE"""),"")</f>
        <v/>
      </c>
      <c r="W268" s="106" t="str">
        <f>IFERROR(__xludf.DUMMYFUNCTION("""COMPUTED_VALUE"""),"")</f>
        <v/>
      </c>
      <c r="X268" s="143" t="str">
        <f t="shared" si="2"/>
        <v/>
      </c>
      <c r="Y268" s="139" t="str">
        <f>IFERROR(__xludf.DUMMYFUNCTION("""COMPUTED_VALUE"""),"")</f>
        <v/>
      </c>
      <c r="Z268" s="141" t="str">
        <f>IFERROR(__xludf.DUMMYFUNCTION("""COMPUTED_VALUE"""),"")</f>
        <v/>
      </c>
    </row>
    <row r="269">
      <c r="A269" s="136"/>
      <c r="B269" s="136"/>
      <c r="C269" s="136" t="str">
        <f>IFERROR(__xludf.DUMMYFUNCTION("""COMPUTED_VALUE"""),"")</f>
        <v/>
      </c>
      <c r="D269" s="136" t="str">
        <f t="shared" si="3"/>
        <v/>
      </c>
      <c r="E269" s="152" t="str">
        <f>IFERROR(__xludf.DUMMYFUNCTION("""COMPUTED_VALUE"""),"")</f>
        <v/>
      </c>
      <c r="F269" s="106" t="s">
        <v>133</v>
      </c>
      <c r="G269" s="152" t="str">
        <f>IFERROR(__xludf.DUMMYFUNCTION("""COMPUTED_VALUE"""),"")</f>
        <v/>
      </c>
      <c r="H269" s="106" t="s">
        <v>133</v>
      </c>
      <c r="I269" s="136"/>
      <c r="J269" s="139" t="s">
        <v>133</v>
      </c>
      <c r="K269" s="136" t="s">
        <v>133</v>
      </c>
      <c r="L269" s="153" t="str">
        <f>IFERROR(__xludf.DUMMYFUNCTION("""COMPUTED_VALUE"""),"")</f>
        <v/>
      </c>
      <c r="M269" s="136" t="str">
        <f t="shared" si="1"/>
        <v/>
      </c>
      <c r="N269" s="136" t="str">
        <f>IFERROR(__xludf.DUMMYFUNCTION("""COMPUTED_VALUE"""),"")</f>
        <v/>
      </c>
      <c r="O269" s="141" t="s">
        <v>133</v>
      </c>
      <c r="P269" s="136" t="str">
        <f>IFERROR(__xludf.DUMMYFUNCTION("""COMPUTED_VALUE"""),"")</f>
        <v/>
      </c>
      <c r="Q269" s="136" t="str">
        <f>IFERROR(__xludf.DUMMYFUNCTION("""COMPUTED_VALUE"""),"")</f>
        <v/>
      </c>
      <c r="R269" s="106" t="str">
        <f>IFERROR(__xludf.DUMMYFUNCTION("""COMPUTED_VALUE"""),"")</f>
        <v/>
      </c>
      <c r="S269" s="106" t="str">
        <f>IFERROR(__xludf.DUMMYFUNCTION("""COMPUTED_VALUE"""),"")</f>
        <v/>
      </c>
      <c r="T269" s="139" t="str">
        <f>IFERROR(__xludf.DUMMYFUNCTION("""COMPUTED_VALUE"""),"")</f>
        <v/>
      </c>
      <c r="U269" s="139" t="str">
        <f>IFERROR(__xludf.DUMMYFUNCTION("""COMPUTED_VALUE"""),"")</f>
        <v/>
      </c>
      <c r="V269" s="136" t="str">
        <f>IFERROR(__xludf.DUMMYFUNCTION("""COMPUTED_VALUE"""),"")</f>
        <v/>
      </c>
      <c r="W269" s="106" t="str">
        <f>IFERROR(__xludf.DUMMYFUNCTION("""COMPUTED_VALUE"""),"")</f>
        <v/>
      </c>
      <c r="X269" s="143" t="str">
        <f t="shared" si="2"/>
        <v/>
      </c>
      <c r="Y269" s="139" t="str">
        <f>IFERROR(__xludf.DUMMYFUNCTION("""COMPUTED_VALUE"""),"")</f>
        <v/>
      </c>
      <c r="Z269" s="141" t="str">
        <f>IFERROR(__xludf.DUMMYFUNCTION("""COMPUTED_VALUE"""),"")</f>
        <v/>
      </c>
    </row>
    <row r="270">
      <c r="A270" s="136"/>
      <c r="B270" s="136"/>
      <c r="C270" s="136" t="str">
        <f>IFERROR(__xludf.DUMMYFUNCTION("""COMPUTED_VALUE"""),"")</f>
        <v/>
      </c>
      <c r="D270" s="136" t="str">
        <f t="shared" si="3"/>
        <v/>
      </c>
      <c r="E270" s="152" t="str">
        <f>IFERROR(__xludf.DUMMYFUNCTION("""COMPUTED_VALUE"""),"")</f>
        <v/>
      </c>
      <c r="F270" s="106" t="s">
        <v>133</v>
      </c>
      <c r="G270" s="152" t="str">
        <f>IFERROR(__xludf.DUMMYFUNCTION("""COMPUTED_VALUE"""),"")</f>
        <v/>
      </c>
      <c r="H270" s="106" t="s">
        <v>133</v>
      </c>
      <c r="I270" s="136"/>
      <c r="J270" s="139" t="s">
        <v>133</v>
      </c>
      <c r="K270" s="136" t="s">
        <v>133</v>
      </c>
      <c r="L270" s="153" t="str">
        <f>IFERROR(__xludf.DUMMYFUNCTION("""COMPUTED_VALUE"""),"")</f>
        <v/>
      </c>
      <c r="M270" s="136" t="str">
        <f t="shared" si="1"/>
        <v/>
      </c>
      <c r="N270" s="136" t="str">
        <f>IFERROR(__xludf.DUMMYFUNCTION("""COMPUTED_VALUE"""),"")</f>
        <v/>
      </c>
      <c r="O270" s="141" t="s">
        <v>133</v>
      </c>
      <c r="P270" s="136" t="str">
        <f>IFERROR(__xludf.DUMMYFUNCTION("""COMPUTED_VALUE"""),"")</f>
        <v/>
      </c>
      <c r="Q270" s="136" t="str">
        <f>IFERROR(__xludf.DUMMYFUNCTION("""COMPUTED_VALUE"""),"")</f>
        <v/>
      </c>
      <c r="R270" s="106" t="str">
        <f>IFERROR(__xludf.DUMMYFUNCTION("""COMPUTED_VALUE"""),"")</f>
        <v/>
      </c>
      <c r="S270" s="106" t="str">
        <f>IFERROR(__xludf.DUMMYFUNCTION("""COMPUTED_VALUE"""),"")</f>
        <v/>
      </c>
      <c r="T270" s="139" t="str">
        <f>IFERROR(__xludf.DUMMYFUNCTION("""COMPUTED_VALUE"""),"")</f>
        <v/>
      </c>
      <c r="U270" s="139" t="str">
        <f>IFERROR(__xludf.DUMMYFUNCTION("""COMPUTED_VALUE"""),"")</f>
        <v/>
      </c>
      <c r="V270" s="136" t="str">
        <f>IFERROR(__xludf.DUMMYFUNCTION("""COMPUTED_VALUE"""),"")</f>
        <v/>
      </c>
      <c r="W270" s="106" t="str">
        <f>IFERROR(__xludf.DUMMYFUNCTION("""COMPUTED_VALUE"""),"")</f>
        <v/>
      </c>
      <c r="X270" s="143" t="str">
        <f t="shared" si="2"/>
        <v/>
      </c>
      <c r="Y270" s="139" t="str">
        <f>IFERROR(__xludf.DUMMYFUNCTION("""COMPUTED_VALUE"""),"")</f>
        <v/>
      </c>
      <c r="Z270" s="141" t="str">
        <f>IFERROR(__xludf.DUMMYFUNCTION("""COMPUTED_VALUE"""),"")</f>
        <v/>
      </c>
    </row>
    <row r="271">
      <c r="A271" s="136"/>
      <c r="B271" s="136"/>
      <c r="C271" s="136" t="str">
        <f>IFERROR(__xludf.DUMMYFUNCTION("""COMPUTED_VALUE"""),"")</f>
        <v/>
      </c>
      <c r="D271" s="136" t="str">
        <f t="shared" si="3"/>
        <v/>
      </c>
      <c r="E271" s="152" t="str">
        <f>IFERROR(__xludf.DUMMYFUNCTION("""COMPUTED_VALUE"""),"")</f>
        <v/>
      </c>
      <c r="F271" s="106" t="s">
        <v>133</v>
      </c>
      <c r="G271" s="152" t="str">
        <f>IFERROR(__xludf.DUMMYFUNCTION("""COMPUTED_VALUE"""),"")</f>
        <v/>
      </c>
      <c r="H271" s="106" t="s">
        <v>133</v>
      </c>
      <c r="I271" s="136"/>
      <c r="J271" s="139" t="s">
        <v>133</v>
      </c>
      <c r="K271" s="136" t="s">
        <v>133</v>
      </c>
      <c r="L271" s="153" t="str">
        <f>IFERROR(__xludf.DUMMYFUNCTION("""COMPUTED_VALUE"""),"")</f>
        <v/>
      </c>
      <c r="M271" s="136" t="str">
        <f t="shared" si="1"/>
        <v/>
      </c>
      <c r="N271" s="136" t="str">
        <f>IFERROR(__xludf.DUMMYFUNCTION("""COMPUTED_VALUE"""),"")</f>
        <v/>
      </c>
      <c r="O271" s="141" t="s">
        <v>133</v>
      </c>
      <c r="P271" s="136" t="str">
        <f>IFERROR(__xludf.DUMMYFUNCTION("""COMPUTED_VALUE"""),"")</f>
        <v/>
      </c>
      <c r="Q271" s="136" t="str">
        <f>IFERROR(__xludf.DUMMYFUNCTION("""COMPUTED_VALUE"""),"")</f>
        <v/>
      </c>
      <c r="R271" s="106" t="str">
        <f>IFERROR(__xludf.DUMMYFUNCTION("""COMPUTED_VALUE"""),"")</f>
        <v/>
      </c>
      <c r="S271" s="106" t="str">
        <f>IFERROR(__xludf.DUMMYFUNCTION("""COMPUTED_VALUE"""),"")</f>
        <v/>
      </c>
      <c r="T271" s="139" t="str">
        <f>IFERROR(__xludf.DUMMYFUNCTION("""COMPUTED_VALUE"""),"")</f>
        <v/>
      </c>
      <c r="U271" s="139" t="str">
        <f>IFERROR(__xludf.DUMMYFUNCTION("""COMPUTED_VALUE"""),"")</f>
        <v/>
      </c>
      <c r="V271" s="136" t="str">
        <f>IFERROR(__xludf.DUMMYFUNCTION("""COMPUTED_VALUE"""),"")</f>
        <v/>
      </c>
      <c r="W271" s="106" t="str">
        <f>IFERROR(__xludf.DUMMYFUNCTION("""COMPUTED_VALUE"""),"")</f>
        <v/>
      </c>
      <c r="X271" s="143" t="str">
        <f t="shared" si="2"/>
        <v/>
      </c>
      <c r="Y271" s="139" t="str">
        <f>IFERROR(__xludf.DUMMYFUNCTION("""COMPUTED_VALUE"""),"")</f>
        <v/>
      </c>
      <c r="Z271" s="141" t="str">
        <f>IFERROR(__xludf.DUMMYFUNCTION("""COMPUTED_VALUE"""),"")</f>
        <v/>
      </c>
    </row>
    <row r="272">
      <c r="A272" s="136"/>
      <c r="B272" s="136"/>
      <c r="C272" s="136" t="str">
        <f>IFERROR(__xludf.DUMMYFUNCTION("""COMPUTED_VALUE"""),"")</f>
        <v/>
      </c>
      <c r="D272" s="136" t="str">
        <f t="shared" si="3"/>
        <v/>
      </c>
      <c r="E272" s="152" t="str">
        <f>IFERROR(__xludf.DUMMYFUNCTION("""COMPUTED_VALUE"""),"")</f>
        <v/>
      </c>
      <c r="F272" s="106" t="s">
        <v>133</v>
      </c>
      <c r="G272" s="152" t="str">
        <f>IFERROR(__xludf.DUMMYFUNCTION("""COMPUTED_VALUE"""),"")</f>
        <v/>
      </c>
      <c r="H272" s="106" t="s">
        <v>133</v>
      </c>
      <c r="I272" s="136"/>
      <c r="J272" s="139" t="s">
        <v>133</v>
      </c>
      <c r="K272" s="136" t="s">
        <v>133</v>
      </c>
      <c r="L272" s="153" t="str">
        <f>IFERROR(__xludf.DUMMYFUNCTION("""COMPUTED_VALUE"""),"")</f>
        <v/>
      </c>
      <c r="M272" s="136" t="str">
        <f t="shared" si="1"/>
        <v/>
      </c>
      <c r="N272" s="136" t="str">
        <f>IFERROR(__xludf.DUMMYFUNCTION("""COMPUTED_VALUE"""),"")</f>
        <v/>
      </c>
      <c r="O272" s="141" t="s">
        <v>133</v>
      </c>
      <c r="P272" s="136" t="str">
        <f>IFERROR(__xludf.DUMMYFUNCTION("""COMPUTED_VALUE"""),"")</f>
        <v/>
      </c>
      <c r="Q272" s="136" t="str">
        <f>IFERROR(__xludf.DUMMYFUNCTION("""COMPUTED_VALUE"""),"")</f>
        <v/>
      </c>
      <c r="R272" s="106" t="str">
        <f>IFERROR(__xludf.DUMMYFUNCTION("""COMPUTED_VALUE"""),"")</f>
        <v/>
      </c>
      <c r="S272" s="106" t="str">
        <f>IFERROR(__xludf.DUMMYFUNCTION("""COMPUTED_VALUE"""),"")</f>
        <v/>
      </c>
      <c r="T272" s="139" t="str">
        <f>IFERROR(__xludf.DUMMYFUNCTION("""COMPUTED_VALUE"""),"")</f>
        <v/>
      </c>
      <c r="U272" s="139" t="str">
        <f>IFERROR(__xludf.DUMMYFUNCTION("""COMPUTED_VALUE"""),"")</f>
        <v/>
      </c>
      <c r="V272" s="136" t="str">
        <f>IFERROR(__xludf.DUMMYFUNCTION("""COMPUTED_VALUE"""),"")</f>
        <v/>
      </c>
      <c r="W272" s="106" t="str">
        <f>IFERROR(__xludf.DUMMYFUNCTION("""COMPUTED_VALUE"""),"")</f>
        <v/>
      </c>
      <c r="X272" s="143" t="str">
        <f t="shared" si="2"/>
        <v/>
      </c>
      <c r="Y272" s="139" t="str">
        <f>IFERROR(__xludf.DUMMYFUNCTION("""COMPUTED_VALUE"""),"")</f>
        <v/>
      </c>
      <c r="Z272" s="141" t="str">
        <f>IFERROR(__xludf.DUMMYFUNCTION("""COMPUTED_VALUE"""),"")</f>
        <v/>
      </c>
    </row>
    <row r="273">
      <c r="A273" s="136"/>
      <c r="B273" s="136"/>
      <c r="C273" s="136" t="str">
        <f>IFERROR(__xludf.DUMMYFUNCTION("""COMPUTED_VALUE"""),"")</f>
        <v/>
      </c>
      <c r="D273" s="136" t="str">
        <f t="shared" si="3"/>
        <v/>
      </c>
      <c r="E273" s="152" t="str">
        <f>IFERROR(__xludf.DUMMYFUNCTION("""COMPUTED_VALUE"""),"")</f>
        <v/>
      </c>
      <c r="F273" s="106" t="s">
        <v>133</v>
      </c>
      <c r="G273" s="152" t="str">
        <f>IFERROR(__xludf.DUMMYFUNCTION("""COMPUTED_VALUE"""),"")</f>
        <v/>
      </c>
      <c r="H273" s="106" t="s">
        <v>133</v>
      </c>
      <c r="I273" s="136"/>
      <c r="J273" s="139" t="s">
        <v>133</v>
      </c>
      <c r="K273" s="136" t="s">
        <v>133</v>
      </c>
      <c r="L273" s="153" t="str">
        <f>IFERROR(__xludf.DUMMYFUNCTION("""COMPUTED_VALUE"""),"")</f>
        <v/>
      </c>
      <c r="M273" s="136" t="str">
        <f t="shared" si="1"/>
        <v/>
      </c>
      <c r="N273" s="136" t="str">
        <f>IFERROR(__xludf.DUMMYFUNCTION("""COMPUTED_VALUE"""),"")</f>
        <v/>
      </c>
      <c r="O273" s="141" t="s">
        <v>133</v>
      </c>
      <c r="P273" s="136" t="str">
        <f>IFERROR(__xludf.DUMMYFUNCTION("""COMPUTED_VALUE"""),"")</f>
        <v/>
      </c>
      <c r="Q273" s="136" t="str">
        <f>IFERROR(__xludf.DUMMYFUNCTION("""COMPUTED_VALUE"""),"")</f>
        <v/>
      </c>
      <c r="R273" s="106" t="str">
        <f>IFERROR(__xludf.DUMMYFUNCTION("""COMPUTED_VALUE"""),"")</f>
        <v/>
      </c>
      <c r="S273" s="106" t="str">
        <f>IFERROR(__xludf.DUMMYFUNCTION("""COMPUTED_VALUE"""),"")</f>
        <v/>
      </c>
      <c r="T273" s="139" t="str">
        <f>IFERROR(__xludf.DUMMYFUNCTION("""COMPUTED_VALUE"""),"")</f>
        <v/>
      </c>
      <c r="U273" s="139" t="str">
        <f>IFERROR(__xludf.DUMMYFUNCTION("""COMPUTED_VALUE"""),"")</f>
        <v/>
      </c>
      <c r="V273" s="136" t="str">
        <f>IFERROR(__xludf.DUMMYFUNCTION("""COMPUTED_VALUE"""),"")</f>
        <v/>
      </c>
      <c r="W273" s="106" t="str">
        <f>IFERROR(__xludf.DUMMYFUNCTION("""COMPUTED_VALUE"""),"")</f>
        <v/>
      </c>
      <c r="X273" s="143" t="str">
        <f t="shared" si="2"/>
        <v/>
      </c>
      <c r="Y273" s="139" t="str">
        <f>IFERROR(__xludf.DUMMYFUNCTION("""COMPUTED_VALUE"""),"")</f>
        <v/>
      </c>
      <c r="Z273" s="141" t="str">
        <f>IFERROR(__xludf.DUMMYFUNCTION("""COMPUTED_VALUE"""),"")</f>
        <v/>
      </c>
    </row>
    <row r="274">
      <c r="A274" s="136"/>
      <c r="B274" s="136"/>
      <c r="C274" s="136" t="str">
        <f>IFERROR(__xludf.DUMMYFUNCTION("""COMPUTED_VALUE"""),"")</f>
        <v/>
      </c>
      <c r="D274" s="136" t="str">
        <f t="shared" si="3"/>
        <v/>
      </c>
      <c r="E274" s="152" t="str">
        <f>IFERROR(__xludf.DUMMYFUNCTION("""COMPUTED_VALUE"""),"")</f>
        <v/>
      </c>
      <c r="F274" s="106" t="s">
        <v>133</v>
      </c>
      <c r="G274" s="152" t="str">
        <f>IFERROR(__xludf.DUMMYFUNCTION("""COMPUTED_VALUE"""),"")</f>
        <v/>
      </c>
      <c r="H274" s="106" t="s">
        <v>133</v>
      </c>
      <c r="I274" s="136"/>
      <c r="J274" s="139" t="s">
        <v>133</v>
      </c>
      <c r="K274" s="136" t="s">
        <v>133</v>
      </c>
      <c r="L274" s="153" t="str">
        <f>IFERROR(__xludf.DUMMYFUNCTION("""COMPUTED_VALUE"""),"")</f>
        <v/>
      </c>
      <c r="M274" s="136" t="str">
        <f t="shared" si="1"/>
        <v/>
      </c>
      <c r="N274" s="136" t="str">
        <f>IFERROR(__xludf.DUMMYFUNCTION("""COMPUTED_VALUE"""),"")</f>
        <v/>
      </c>
      <c r="O274" s="141" t="s">
        <v>133</v>
      </c>
      <c r="P274" s="136" t="str">
        <f>IFERROR(__xludf.DUMMYFUNCTION("""COMPUTED_VALUE"""),"")</f>
        <v/>
      </c>
      <c r="Q274" s="136" t="str">
        <f>IFERROR(__xludf.DUMMYFUNCTION("""COMPUTED_VALUE"""),"")</f>
        <v/>
      </c>
      <c r="R274" s="106" t="str">
        <f>IFERROR(__xludf.DUMMYFUNCTION("""COMPUTED_VALUE"""),"")</f>
        <v/>
      </c>
      <c r="S274" s="106" t="str">
        <f>IFERROR(__xludf.DUMMYFUNCTION("""COMPUTED_VALUE"""),"")</f>
        <v/>
      </c>
      <c r="T274" s="139" t="str">
        <f>IFERROR(__xludf.DUMMYFUNCTION("""COMPUTED_VALUE"""),"")</f>
        <v/>
      </c>
      <c r="U274" s="139" t="str">
        <f>IFERROR(__xludf.DUMMYFUNCTION("""COMPUTED_VALUE"""),"")</f>
        <v/>
      </c>
      <c r="V274" s="136" t="str">
        <f>IFERROR(__xludf.DUMMYFUNCTION("""COMPUTED_VALUE"""),"")</f>
        <v/>
      </c>
      <c r="W274" s="106" t="str">
        <f>IFERROR(__xludf.DUMMYFUNCTION("""COMPUTED_VALUE"""),"")</f>
        <v/>
      </c>
      <c r="X274" s="143" t="str">
        <f t="shared" si="2"/>
        <v/>
      </c>
      <c r="Y274" s="139" t="str">
        <f>IFERROR(__xludf.DUMMYFUNCTION("""COMPUTED_VALUE"""),"")</f>
        <v/>
      </c>
      <c r="Z274" s="141" t="str">
        <f>IFERROR(__xludf.DUMMYFUNCTION("""COMPUTED_VALUE"""),"")</f>
        <v/>
      </c>
    </row>
    <row r="275">
      <c r="A275" s="136"/>
      <c r="B275" s="136"/>
      <c r="C275" s="136" t="str">
        <f>IFERROR(__xludf.DUMMYFUNCTION("""COMPUTED_VALUE"""),"")</f>
        <v/>
      </c>
      <c r="D275" s="136" t="str">
        <f t="shared" si="3"/>
        <v/>
      </c>
      <c r="E275" s="152" t="str">
        <f>IFERROR(__xludf.DUMMYFUNCTION("""COMPUTED_VALUE"""),"")</f>
        <v/>
      </c>
      <c r="F275" s="106" t="s">
        <v>133</v>
      </c>
      <c r="G275" s="152" t="str">
        <f>IFERROR(__xludf.DUMMYFUNCTION("""COMPUTED_VALUE"""),"")</f>
        <v/>
      </c>
      <c r="H275" s="106" t="s">
        <v>133</v>
      </c>
      <c r="I275" s="136"/>
      <c r="J275" s="139" t="s">
        <v>133</v>
      </c>
      <c r="K275" s="136" t="s">
        <v>133</v>
      </c>
      <c r="L275" s="153" t="str">
        <f>IFERROR(__xludf.DUMMYFUNCTION("""COMPUTED_VALUE"""),"")</f>
        <v/>
      </c>
      <c r="M275" s="136" t="str">
        <f t="shared" si="1"/>
        <v/>
      </c>
      <c r="N275" s="136" t="str">
        <f>IFERROR(__xludf.DUMMYFUNCTION("""COMPUTED_VALUE"""),"")</f>
        <v/>
      </c>
      <c r="O275" s="141" t="s">
        <v>133</v>
      </c>
      <c r="P275" s="136" t="str">
        <f>IFERROR(__xludf.DUMMYFUNCTION("""COMPUTED_VALUE"""),"")</f>
        <v/>
      </c>
      <c r="Q275" s="136" t="str">
        <f>IFERROR(__xludf.DUMMYFUNCTION("""COMPUTED_VALUE"""),"")</f>
        <v/>
      </c>
      <c r="R275" s="106" t="str">
        <f>IFERROR(__xludf.DUMMYFUNCTION("""COMPUTED_VALUE"""),"")</f>
        <v/>
      </c>
      <c r="S275" s="106" t="str">
        <f>IFERROR(__xludf.DUMMYFUNCTION("""COMPUTED_VALUE"""),"")</f>
        <v/>
      </c>
      <c r="T275" s="139" t="str">
        <f>IFERROR(__xludf.DUMMYFUNCTION("""COMPUTED_VALUE"""),"")</f>
        <v/>
      </c>
      <c r="U275" s="139" t="str">
        <f>IFERROR(__xludf.DUMMYFUNCTION("""COMPUTED_VALUE"""),"")</f>
        <v/>
      </c>
      <c r="V275" s="136" t="str">
        <f>IFERROR(__xludf.DUMMYFUNCTION("""COMPUTED_VALUE"""),"")</f>
        <v/>
      </c>
      <c r="W275" s="106" t="str">
        <f>IFERROR(__xludf.DUMMYFUNCTION("""COMPUTED_VALUE"""),"")</f>
        <v/>
      </c>
      <c r="X275" s="143" t="str">
        <f t="shared" si="2"/>
        <v/>
      </c>
      <c r="Y275" s="139" t="str">
        <f>IFERROR(__xludf.DUMMYFUNCTION("""COMPUTED_VALUE"""),"")</f>
        <v/>
      </c>
      <c r="Z275" s="141" t="str">
        <f>IFERROR(__xludf.DUMMYFUNCTION("""COMPUTED_VALUE"""),"")</f>
        <v/>
      </c>
    </row>
    <row r="276">
      <c r="A276" s="136"/>
      <c r="B276" s="136"/>
      <c r="C276" s="136" t="str">
        <f>IFERROR(__xludf.DUMMYFUNCTION("""COMPUTED_VALUE"""),"")</f>
        <v/>
      </c>
      <c r="D276" s="136" t="str">
        <f t="shared" si="3"/>
        <v/>
      </c>
      <c r="E276" s="152" t="str">
        <f>IFERROR(__xludf.DUMMYFUNCTION("""COMPUTED_VALUE"""),"")</f>
        <v/>
      </c>
      <c r="F276" s="106" t="s">
        <v>133</v>
      </c>
      <c r="G276" s="152" t="str">
        <f>IFERROR(__xludf.DUMMYFUNCTION("""COMPUTED_VALUE"""),"")</f>
        <v/>
      </c>
      <c r="H276" s="106" t="s">
        <v>133</v>
      </c>
      <c r="I276" s="136"/>
      <c r="J276" s="139" t="s">
        <v>133</v>
      </c>
      <c r="K276" s="136" t="s">
        <v>133</v>
      </c>
      <c r="L276" s="153" t="str">
        <f>IFERROR(__xludf.DUMMYFUNCTION("""COMPUTED_VALUE"""),"")</f>
        <v/>
      </c>
      <c r="M276" s="136" t="str">
        <f t="shared" si="1"/>
        <v/>
      </c>
      <c r="N276" s="136" t="str">
        <f>IFERROR(__xludf.DUMMYFUNCTION("""COMPUTED_VALUE"""),"")</f>
        <v/>
      </c>
      <c r="O276" s="141" t="s">
        <v>133</v>
      </c>
      <c r="P276" s="136" t="str">
        <f>IFERROR(__xludf.DUMMYFUNCTION("""COMPUTED_VALUE"""),"")</f>
        <v/>
      </c>
      <c r="Q276" s="136" t="str">
        <f>IFERROR(__xludf.DUMMYFUNCTION("""COMPUTED_VALUE"""),"")</f>
        <v/>
      </c>
      <c r="R276" s="106" t="str">
        <f>IFERROR(__xludf.DUMMYFUNCTION("""COMPUTED_VALUE"""),"")</f>
        <v/>
      </c>
      <c r="S276" s="106" t="str">
        <f>IFERROR(__xludf.DUMMYFUNCTION("""COMPUTED_VALUE"""),"")</f>
        <v/>
      </c>
      <c r="T276" s="139" t="str">
        <f>IFERROR(__xludf.DUMMYFUNCTION("""COMPUTED_VALUE"""),"")</f>
        <v/>
      </c>
      <c r="U276" s="139" t="str">
        <f>IFERROR(__xludf.DUMMYFUNCTION("""COMPUTED_VALUE"""),"")</f>
        <v/>
      </c>
      <c r="V276" s="136" t="str">
        <f>IFERROR(__xludf.DUMMYFUNCTION("""COMPUTED_VALUE"""),"")</f>
        <v/>
      </c>
      <c r="W276" s="106" t="str">
        <f>IFERROR(__xludf.DUMMYFUNCTION("""COMPUTED_VALUE"""),"")</f>
        <v/>
      </c>
      <c r="X276" s="143" t="str">
        <f t="shared" si="2"/>
        <v/>
      </c>
      <c r="Y276" s="139" t="str">
        <f>IFERROR(__xludf.DUMMYFUNCTION("""COMPUTED_VALUE"""),"")</f>
        <v/>
      </c>
      <c r="Z276" s="141" t="str">
        <f>IFERROR(__xludf.DUMMYFUNCTION("""COMPUTED_VALUE"""),"")</f>
        <v/>
      </c>
    </row>
    <row r="277">
      <c r="A277" s="136"/>
      <c r="B277" s="136"/>
      <c r="C277" s="136" t="str">
        <f>IFERROR(__xludf.DUMMYFUNCTION("""COMPUTED_VALUE"""),"")</f>
        <v/>
      </c>
      <c r="D277" s="136" t="str">
        <f t="shared" si="3"/>
        <v/>
      </c>
      <c r="E277" s="152" t="str">
        <f>IFERROR(__xludf.DUMMYFUNCTION("""COMPUTED_VALUE"""),"")</f>
        <v/>
      </c>
      <c r="F277" s="106" t="s">
        <v>133</v>
      </c>
      <c r="G277" s="152" t="str">
        <f>IFERROR(__xludf.DUMMYFUNCTION("""COMPUTED_VALUE"""),"")</f>
        <v/>
      </c>
      <c r="H277" s="106" t="s">
        <v>133</v>
      </c>
      <c r="I277" s="136"/>
      <c r="J277" s="139" t="s">
        <v>133</v>
      </c>
      <c r="K277" s="136" t="s">
        <v>133</v>
      </c>
      <c r="L277" s="153" t="str">
        <f>IFERROR(__xludf.DUMMYFUNCTION("""COMPUTED_VALUE"""),"")</f>
        <v/>
      </c>
      <c r="M277" s="136" t="str">
        <f t="shared" si="1"/>
        <v/>
      </c>
      <c r="N277" s="136" t="str">
        <f>IFERROR(__xludf.DUMMYFUNCTION("""COMPUTED_VALUE"""),"")</f>
        <v/>
      </c>
      <c r="O277" s="141" t="s">
        <v>133</v>
      </c>
      <c r="P277" s="136" t="str">
        <f>IFERROR(__xludf.DUMMYFUNCTION("""COMPUTED_VALUE"""),"")</f>
        <v/>
      </c>
      <c r="Q277" s="136" t="str">
        <f>IFERROR(__xludf.DUMMYFUNCTION("""COMPUTED_VALUE"""),"")</f>
        <v/>
      </c>
      <c r="R277" s="106" t="str">
        <f>IFERROR(__xludf.DUMMYFUNCTION("""COMPUTED_VALUE"""),"")</f>
        <v/>
      </c>
      <c r="S277" s="106" t="str">
        <f>IFERROR(__xludf.DUMMYFUNCTION("""COMPUTED_VALUE"""),"")</f>
        <v/>
      </c>
      <c r="T277" s="139" t="str">
        <f>IFERROR(__xludf.DUMMYFUNCTION("""COMPUTED_VALUE"""),"")</f>
        <v/>
      </c>
      <c r="U277" s="139" t="str">
        <f>IFERROR(__xludf.DUMMYFUNCTION("""COMPUTED_VALUE"""),"")</f>
        <v/>
      </c>
      <c r="V277" s="136" t="str">
        <f>IFERROR(__xludf.DUMMYFUNCTION("""COMPUTED_VALUE"""),"")</f>
        <v/>
      </c>
      <c r="W277" s="106" t="str">
        <f>IFERROR(__xludf.DUMMYFUNCTION("""COMPUTED_VALUE"""),"")</f>
        <v/>
      </c>
      <c r="X277" s="143" t="str">
        <f t="shared" si="2"/>
        <v/>
      </c>
      <c r="Y277" s="139" t="str">
        <f>IFERROR(__xludf.DUMMYFUNCTION("""COMPUTED_VALUE"""),"")</f>
        <v/>
      </c>
      <c r="Z277" s="141" t="str">
        <f>IFERROR(__xludf.DUMMYFUNCTION("""COMPUTED_VALUE"""),"")</f>
        <v/>
      </c>
    </row>
    <row r="278">
      <c r="A278" s="136"/>
      <c r="B278" s="136"/>
      <c r="C278" s="136" t="str">
        <f>IFERROR(__xludf.DUMMYFUNCTION("""COMPUTED_VALUE"""),"")</f>
        <v/>
      </c>
      <c r="D278" s="136" t="str">
        <f t="shared" si="3"/>
        <v/>
      </c>
      <c r="E278" s="152" t="str">
        <f>IFERROR(__xludf.DUMMYFUNCTION("""COMPUTED_VALUE"""),"")</f>
        <v/>
      </c>
      <c r="F278" s="106" t="s">
        <v>133</v>
      </c>
      <c r="G278" s="152" t="str">
        <f>IFERROR(__xludf.DUMMYFUNCTION("""COMPUTED_VALUE"""),"")</f>
        <v/>
      </c>
      <c r="H278" s="106" t="s">
        <v>133</v>
      </c>
      <c r="I278" s="136"/>
      <c r="J278" s="139" t="s">
        <v>133</v>
      </c>
      <c r="K278" s="136" t="s">
        <v>133</v>
      </c>
      <c r="L278" s="153" t="str">
        <f>IFERROR(__xludf.DUMMYFUNCTION("""COMPUTED_VALUE"""),"")</f>
        <v/>
      </c>
      <c r="M278" s="136" t="str">
        <f t="shared" si="1"/>
        <v/>
      </c>
      <c r="N278" s="136" t="str">
        <f>IFERROR(__xludf.DUMMYFUNCTION("""COMPUTED_VALUE"""),"")</f>
        <v/>
      </c>
      <c r="O278" s="141" t="s">
        <v>133</v>
      </c>
      <c r="P278" s="136" t="str">
        <f>IFERROR(__xludf.DUMMYFUNCTION("""COMPUTED_VALUE"""),"")</f>
        <v/>
      </c>
      <c r="Q278" s="136" t="str">
        <f>IFERROR(__xludf.DUMMYFUNCTION("""COMPUTED_VALUE"""),"")</f>
        <v/>
      </c>
      <c r="R278" s="106" t="str">
        <f>IFERROR(__xludf.DUMMYFUNCTION("""COMPUTED_VALUE"""),"")</f>
        <v/>
      </c>
      <c r="S278" s="106" t="str">
        <f>IFERROR(__xludf.DUMMYFUNCTION("""COMPUTED_VALUE"""),"")</f>
        <v/>
      </c>
      <c r="T278" s="139" t="str">
        <f>IFERROR(__xludf.DUMMYFUNCTION("""COMPUTED_VALUE"""),"")</f>
        <v/>
      </c>
      <c r="U278" s="139" t="str">
        <f>IFERROR(__xludf.DUMMYFUNCTION("""COMPUTED_VALUE"""),"")</f>
        <v/>
      </c>
      <c r="V278" s="136" t="str">
        <f>IFERROR(__xludf.DUMMYFUNCTION("""COMPUTED_VALUE"""),"")</f>
        <v/>
      </c>
      <c r="W278" s="106" t="str">
        <f>IFERROR(__xludf.DUMMYFUNCTION("""COMPUTED_VALUE"""),"")</f>
        <v/>
      </c>
      <c r="X278" s="143" t="str">
        <f t="shared" si="2"/>
        <v/>
      </c>
      <c r="Y278" s="139" t="str">
        <f>IFERROR(__xludf.DUMMYFUNCTION("""COMPUTED_VALUE"""),"")</f>
        <v/>
      </c>
      <c r="Z278" s="141" t="str">
        <f>IFERROR(__xludf.DUMMYFUNCTION("""COMPUTED_VALUE"""),"")</f>
        <v/>
      </c>
    </row>
    <row r="279">
      <c r="A279" s="136"/>
      <c r="B279" s="136"/>
      <c r="C279" s="136" t="str">
        <f>IFERROR(__xludf.DUMMYFUNCTION("""COMPUTED_VALUE"""),"")</f>
        <v/>
      </c>
      <c r="D279" s="136" t="str">
        <f t="shared" si="3"/>
        <v/>
      </c>
      <c r="E279" s="152" t="str">
        <f>IFERROR(__xludf.DUMMYFUNCTION("""COMPUTED_VALUE"""),"")</f>
        <v/>
      </c>
      <c r="F279" s="106" t="s">
        <v>133</v>
      </c>
      <c r="G279" s="152" t="str">
        <f>IFERROR(__xludf.DUMMYFUNCTION("""COMPUTED_VALUE"""),"")</f>
        <v/>
      </c>
      <c r="H279" s="106" t="s">
        <v>133</v>
      </c>
      <c r="I279" s="136"/>
      <c r="J279" s="139" t="s">
        <v>133</v>
      </c>
      <c r="K279" s="136" t="s">
        <v>133</v>
      </c>
      <c r="L279" s="153" t="str">
        <f>IFERROR(__xludf.DUMMYFUNCTION("""COMPUTED_VALUE"""),"")</f>
        <v/>
      </c>
      <c r="M279" s="136" t="str">
        <f t="shared" si="1"/>
        <v/>
      </c>
      <c r="N279" s="136" t="str">
        <f>IFERROR(__xludf.DUMMYFUNCTION("""COMPUTED_VALUE"""),"")</f>
        <v/>
      </c>
      <c r="O279" s="141" t="s">
        <v>133</v>
      </c>
      <c r="P279" s="136" t="str">
        <f>IFERROR(__xludf.DUMMYFUNCTION("""COMPUTED_VALUE"""),"")</f>
        <v/>
      </c>
      <c r="Q279" s="136" t="str">
        <f>IFERROR(__xludf.DUMMYFUNCTION("""COMPUTED_VALUE"""),"")</f>
        <v/>
      </c>
      <c r="R279" s="106" t="str">
        <f>IFERROR(__xludf.DUMMYFUNCTION("""COMPUTED_VALUE"""),"")</f>
        <v/>
      </c>
      <c r="S279" s="106" t="str">
        <f>IFERROR(__xludf.DUMMYFUNCTION("""COMPUTED_VALUE"""),"")</f>
        <v/>
      </c>
      <c r="T279" s="139" t="str">
        <f>IFERROR(__xludf.DUMMYFUNCTION("""COMPUTED_VALUE"""),"")</f>
        <v/>
      </c>
      <c r="U279" s="139" t="str">
        <f>IFERROR(__xludf.DUMMYFUNCTION("""COMPUTED_VALUE"""),"")</f>
        <v/>
      </c>
      <c r="V279" s="136" t="str">
        <f>IFERROR(__xludf.DUMMYFUNCTION("""COMPUTED_VALUE"""),"")</f>
        <v/>
      </c>
      <c r="W279" s="106" t="str">
        <f>IFERROR(__xludf.DUMMYFUNCTION("""COMPUTED_VALUE"""),"")</f>
        <v/>
      </c>
      <c r="X279" s="143" t="str">
        <f t="shared" si="2"/>
        <v/>
      </c>
      <c r="Y279" s="139" t="str">
        <f>IFERROR(__xludf.DUMMYFUNCTION("""COMPUTED_VALUE"""),"")</f>
        <v/>
      </c>
      <c r="Z279" s="141" t="str">
        <f>IFERROR(__xludf.DUMMYFUNCTION("""COMPUTED_VALUE"""),"")</f>
        <v/>
      </c>
    </row>
    <row r="280">
      <c r="A280" s="136"/>
      <c r="B280" s="136"/>
      <c r="C280" s="136" t="str">
        <f>IFERROR(__xludf.DUMMYFUNCTION("""COMPUTED_VALUE"""),"")</f>
        <v/>
      </c>
      <c r="D280" s="136" t="str">
        <f t="shared" si="3"/>
        <v/>
      </c>
      <c r="E280" s="152" t="str">
        <f>IFERROR(__xludf.DUMMYFUNCTION("""COMPUTED_VALUE"""),"")</f>
        <v/>
      </c>
      <c r="F280" s="106" t="s">
        <v>133</v>
      </c>
      <c r="G280" s="152" t="str">
        <f>IFERROR(__xludf.DUMMYFUNCTION("""COMPUTED_VALUE"""),"")</f>
        <v/>
      </c>
      <c r="H280" s="106" t="s">
        <v>133</v>
      </c>
      <c r="I280" s="136"/>
      <c r="J280" s="139" t="s">
        <v>133</v>
      </c>
      <c r="K280" s="136" t="s">
        <v>133</v>
      </c>
      <c r="L280" s="153" t="str">
        <f>IFERROR(__xludf.DUMMYFUNCTION("""COMPUTED_VALUE"""),"")</f>
        <v/>
      </c>
      <c r="M280" s="136" t="str">
        <f t="shared" si="1"/>
        <v/>
      </c>
      <c r="N280" s="136" t="str">
        <f>IFERROR(__xludf.DUMMYFUNCTION("""COMPUTED_VALUE"""),"")</f>
        <v/>
      </c>
      <c r="O280" s="141" t="s">
        <v>133</v>
      </c>
      <c r="P280" s="136" t="str">
        <f>IFERROR(__xludf.DUMMYFUNCTION("""COMPUTED_VALUE"""),"")</f>
        <v/>
      </c>
      <c r="Q280" s="136" t="str">
        <f>IFERROR(__xludf.DUMMYFUNCTION("""COMPUTED_VALUE"""),"")</f>
        <v/>
      </c>
      <c r="R280" s="106" t="str">
        <f>IFERROR(__xludf.DUMMYFUNCTION("""COMPUTED_VALUE"""),"")</f>
        <v/>
      </c>
      <c r="S280" s="106" t="str">
        <f>IFERROR(__xludf.DUMMYFUNCTION("""COMPUTED_VALUE"""),"")</f>
        <v/>
      </c>
      <c r="T280" s="139" t="str">
        <f>IFERROR(__xludf.DUMMYFUNCTION("""COMPUTED_VALUE"""),"")</f>
        <v/>
      </c>
      <c r="U280" s="139" t="str">
        <f>IFERROR(__xludf.DUMMYFUNCTION("""COMPUTED_VALUE"""),"")</f>
        <v/>
      </c>
      <c r="V280" s="136" t="str">
        <f>IFERROR(__xludf.DUMMYFUNCTION("""COMPUTED_VALUE"""),"")</f>
        <v/>
      </c>
      <c r="W280" s="106" t="str">
        <f>IFERROR(__xludf.DUMMYFUNCTION("""COMPUTED_VALUE"""),"")</f>
        <v/>
      </c>
      <c r="X280" s="143" t="str">
        <f t="shared" si="2"/>
        <v/>
      </c>
      <c r="Y280" s="139" t="str">
        <f>IFERROR(__xludf.DUMMYFUNCTION("""COMPUTED_VALUE"""),"")</f>
        <v/>
      </c>
      <c r="Z280" s="141" t="str">
        <f>IFERROR(__xludf.DUMMYFUNCTION("""COMPUTED_VALUE"""),"")</f>
        <v/>
      </c>
    </row>
    <row r="281">
      <c r="A281" s="136"/>
      <c r="B281" s="136"/>
      <c r="C281" s="136" t="str">
        <f>IFERROR(__xludf.DUMMYFUNCTION("""COMPUTED_VALUE"""),"")</f>
        <v/>
      </c>
      <c r="D281" s="136" t="str">
        <f t="shared" si="3"/>
        <v/>
      </c>
      <c r="E281" s="152" t="str">
        <f>IFERROR(__xludf.DUMMYFUNCTION("""COMPUTED_VALUE"""),"")</f>
        <v/>
      </c>
      <c r="F281" s="106" t="s">
        <v>133</v>
      </c>
      <c r="G281" s="152" t="str">
        <f>IFERROR(__xludf.DUMMYFUNCTION("""COMPUTED_VALUE"""),"")</f>
        <v/>
      </c>
      <c r="H281" s="106" t="s">
        <v>133</v>
      </c>
      <c r="I281" s="136"/>
      <c r="J281" s="139" t="s">
        <v>133</v>
      </c>
      <c r="K281" s="136" t="s">
        <v>133</v>
      </c>
      <c r="L281" s="153" t="str">
        <f>IFERROR(__xludf.DUMMYFUNCTION("""COMPUTED_VALUE"""),"")</f>
        <v/>
      </c>
      <c r="M281" s="136" t="str">
        <f t="shared" si="1"/>
        <v/>
      </c>
      <c r="N281" s="136" t="str">
        <f>IFERROR(__xludf.DUMMYFUNCTION("""COMPUTED_VALUE"""),"")</f>
        <v/>
      </c>
      <c r="O281" s="141" t="s">
        <v>133</v>
      </c>
      <c r="P281" s="136" t="str">
        <f>IFERROR(__xludf.DUMMYFUNCTION("""COMPUTED_VALUE"""),"")</f>
        <v/>
      </c>
      <c r="Q281" s="136" t="str">
        <f>IFERROR(__xludf.DUMMYFUNCTION("""COMPUTED_VALUE"""),"")</f>
        <v/>
      </c>
      <c r="R281" s="106" t="str">
        <f>IFERROR(__xludf.DUMMYFUNCTION("""COMPUTED_VALUE"""),"")</f>
        <v/>
      </c>
      <c r="S281" s="106" t="str">
        <f>IFERROR(__xludf.DUMMYFUNCTION("""COMPUTED_VALUE"""),"")</f>
        <v/>
      </c>
      <c r="T281" s="139" t="str">
        <f>IFERROR(__xludf.DUMMYFUNCTION("""COMPUTED_VALUE"""),"")</f>
        <v/>
      </c>
      <c r="U281" s="139" t="str">
        <f>IFERROR(__xludf.DUMMYFUNCTION("""COMPUTED_VALUE"""),"")</f>
        <v/>
      </c>
      <c r="V281" s="136" t="str">
        <f>IFERROR(__xludf.DUMMYFUNCTION("""COMPUTED_VALUE"""),"")</f>
        <v/>
      </c>
      <c r="W281" s="106" t="str">
        <f>IFERROR(__xludf.DUMMYFUNCTION("""COMPUTED_VALUE"""),"")</f>
        <v/>
      </c>
      <c r="X281" s="143" t="str">
        <f t="shared" si="2"/>
        <v/>
      </c>
      <c r="Y281" s="139" t="str">
        <f>IFERROR(__xludf.DUMMYFUNCTION("""COMPUTED_VALUE"""),"")</f>
        <v/>
      </c>
      <c r="Z281" s="141" t="str">
        <f>IFERROR(__xludf.DUMMYFUNCTION("""COMPUTED_VALUE"""),"")</f>
        <v/>
      </c>
    </row>
    <row r="282">
      <c r="A282" s="136"/>
      <c r="B282" s="136"/>
      <c r="C282" s="136" t="str">
        <f>IFERROR(__xludf.DUMMYFUNCTION("""COMPUTED_VALUE"""),"")</f>
        <v/>
      </c>
      <c r="D282" s="136" t="str">
        <f t="shared" si="3"/>
        <v/>
      </c>
      <c r="E282" s="152" t="str">
        <f>IFERROR(__xludf.DUMMYFUNCTION("""COMPUTED_VALUE"""),"")</f>
        <v/>
      </c>
      <c r="F282" s="106" t="s">
        <v>133</v>
      </c>
      <c r="G282" s="152" t="str">
        <f>IFERROR(__xludf.DUMMYFUNCTION("""COMPUTED_VALUE"""),"")</f>
        <v/>
      </c>
      <c r="H282" s="106" t="s">
        <v>133</v>
      </c>
      <c r="I282" s="136"/>
      <c r="J282" s="139" t="s">
        <v>133</v>
      </c>
      <c r="K282" s="136" t="s">
        <v>133</v>
      </c>
      <c r="L282" s="153" t="str">
        <f>IFERROR(__xludf.DUMMYFUNCTION("""COMPUTED_VALUE"""),"")</f>
        <v/>
      </c>
      <c r="M282" s="136" t="str">
        <f t="shared" si="1"/>
        <v/>
      </c>
      <c r="N282" s="136" t="str">
        <f>IFERROR(__xludf.DUMMYFUNCTION("""COMPUTED_VALUE"""),"")</f>
        <v/>
      </c>
      <c r="O282" s="141" t="s">
        <v>133</v>
      </c>
      <c r="P282" s="136" t="str">
        <f>IFERROR(__xludf.DUMMYFUNCTION("""COMPUTED_VALUE"""),"")</f>
        <v/>
      </c>
      <c r="Q282" s="136" t="str">
        <f>IFERROR(__xludf.DUMMYFUNCTION("""COMPUTED_VALUE"""),"")</f>
        <v/>
      </c>
      <c r="R282" s="106" t="str">
        <f>IFERROR(__xludf.DUMMYFUNCTION("""COMPUTED_VALUE"""),"")</f>
        <v/>
      </c>
      <c r="S282" s="106" t="str">
        <f>IFERROR(__xludf.DUMMYFUNCTION("""COMPUTED_VALUE"""),"")</f>
        <v/>
      </c>
      <c r="T282" s="139" t="str">
        <f>IFERROR(__xludf.DUMMYFUNCTION("""COMPUTED_VALUE"""),"")</f>
        <v/>
      </c>
      <c r="U282" s="139" t="str">
        <f>IFERROR(__xludf.DUMMYFUNCTION("""COMPUTED_VALUE"""),"")</f>
        <v/>
      </c>
      <c r="V282" s="136" t="str">
        <f>IFERROR(__xludf.DUMMYFUNCTION("""COMPUTED_VALUE"""),"")</f>
        <v/>
      </c>
      <c r="W282" s="106" t="str">
        <f>IFERROR(__xludf.DUMMYFUNCTION("""COMPUTED_VALUE"""),"")</f>
        <v/>
      </c>
      <c r="X282" s="143" t="str">
        <f t="shared" si="2"/>
        <v/>
      </c>
      <c r="Y282" s="139" t="str">
        <f>IFERROR(__xludf.DUMMYFUNCTION("""COMPUTED_VALUE"""),"")</f>
        <v/>
      </c>
      <c r="Z282" s="141" t="str">
        <f>IFERROR(__xludf.DUMMYFUNCTION("""COMPUTED_VALUE"""),"")</f>
        <v/>
      </c>
    </row>
    <row r="283">
      <c r="A283" s="136"/>
      <c r="B283" s="136"/>
      <c r="C283" s="136" t="str">
        <f>IFERROR(__xludf.DUMMYFUNCTION("""COMPUTED_VALUE"""),"")</f>
        <v/>
      </c>
      <c r="D283" s="136" t="str">
        <f t="shared" si="3"/>
        <v/>
      </c>
      <c r="E283" s="152" t="str">
        <f>IFERROR(__xludf.DUMMYFUNCTION("""COMPUTED_VALUE"""),"")</f>
        <v/>
      </c>
      <c r="F283" s="106" t="s">
        <v>133</v>
      </c>
      <c r="G283" s="152" t="str">
        <f>IFERROR(__xludf.DUMMYFUNCTION("""COMPUTED_VALUE"""),"")</f>
        <v/>
      </c>
      <c r="H283" s="106" t="s">
        <v>133</v>
      </c>
      <c r="I283" s="136"/>
      <c r="J283" s="139" t="s">
        <v>133</v>
      </c>
      <c r="K283" s="136" t="s">
        <v>133</v>
      </c>
      <c r="L283" s="153" t="str">
        <f>IFERROR(__xludf.DUMMYFUNCTION("""COMPUTED_VALUE"""),"")</f>
        <v/>
      </c>
      <c r="M283" s="136" t="str">
        <f t="shared" si="1"/>
        <v/>
      </c>
      <c r="N283" s="136" t="str">
        <f>IFERROR(__xludf.DUMMYFUNCTION("""COMPUTED_VALUE"""),"")</f>
        <v/>
      </c>
      <c r="O283" s="141" t="s">
        <v>133</v>
      </c>
      <c r="P283" s="136" t="str">
        <f>IFERROR(__xludf.DUMMYFUNCTION("""COMPUTED_VALUE"""),"")</f>
        <v/>
      </c>
      <c r="Q283" s="136" t="str">
        <f>IFERROR(__xludf.DUMMYFUNCTION("""COMPUTED_VALUE"""),"")</f>
        <v/>
      </c>
      <c r="R283" s="106" t="str">
        <f>IFERROR(__xludf.DUMMYFUNCTION("""COMPUTED_VALUE"""),"")</f>
        <v/>
      </c>
      <c r="S283" s="106" t="str">
        <f>IFERROR(__xludf.DUMMYFUNCTION("""COMPUTED_VALUE"""),"")</f>
        <v/>
      </c>
      <c r="T283" s="139" t="str">
        <f>IFERROR(__xludf.DUMMYFUNCTION("""COMPUTED_VALUE"""),"")</f>
        <v/>
      </c>
      <c r="U283" s="139" t="str">
        <f>IFERROR(__xludf.DUMMYFUNCTION("""COMPUTED_VALUE"""),"")</f>
        <v/>
      </c>
      <c r="V283" s="136" t="str">
        <f>IFERROR(__xludf.DUMMYFUNCTION("""COMPUTED_VALUE"""),"")</f>
        <v/>
      </c>
      <c r="W283" s="106" t="str">
        <f>IFERROR(__xludf.DUMMYFUNCTION("""COMPUTED_VALUE"""),"")</f>
        <v/>
      </c>
      <c r="X283" s="143" t="str">
        <f t="shared" si="2"/>
        <v/>
      </c>
      <c r="Y283" s="139" t="str">
        <f>IFERROR(__xludf.DUMMYFUNCTION("""COMPUTED_VALUE"""),"")</f>
        <v/>
      </c>
      <c r="Z283" s="141" t="str">
        <f>IFERROR(__xludf.DUMMYFUNCTION("""COMPUTED_VALUE"""),"")</f>
        <v/>
      </c>
    </row>
    <row r="284">
      <c r="A284" s="136"/>
      <c r="B284" s="136"/>
      <c r="C284" s="136" t="str">
        <f>IFERROR(__xludf.DUMMYFUNCTION("""COMPUTED_VALUE"""),"")</f>
        <v/>
      </c>
      <c r="D284" s="136" t="str">
        <f t="shared" si="3"/>
        <v/>
      </c>
      <c r="E284" s="152" t="str">
        <f>IFERROR(__xludf.DUMMYFUNCTION("""COMPUTED_VALUE"""),"")</f>
        <v/>
      </c>
      <c r="F284" s="106" t="s">
        <v>133</v>
      </c>
      <c r="G284" s="152" t="str">
        <f>IFERROR(__xludf.DUMMYFUNCTION("""COMPUTED_VALUE"""),"")</f>
        <v/>
      </c>
      <c r="H284" s="106" t="s">
        <v>133</v>
      </c>
      <c r="I284" s="136"/>
      <c r="J284" s="139" t="s">
        <v>133</v>
      </c>
      <c r="K284" s="136" t="s">
        <v>133</v>
      </c>
      <c r="L284" s="153" t="str">
        <f>IFERROR(__xludf.DUMMYFUNCTION("""COMPUTED_VALUE"""),"")</f>
        <v/>
      </c>
      <c r="M284" s="136" t="str">
        <f t="shared" si="1"/>
        <v/>
      </c>
      <c r="N284" s="136" t="str">
        <f>IFERROR(__xludf.DUMMYFUNCTION("""COMPUTED_VALUE"""),"")</f>
        <v/>
      </c>
      <c r="O284" s="141" t="s">
        <v>133</v>
      </c>
      <c r="P284" s="136" t="str">
        <f>IFERROR(__xludf.DUMMYFUNCTION("""COMPUTED_VALUE"""),"")</f>
        <v/>
      </c>
      <c r="Q284" s="136" t="str">
        <f>IFERROR(__xludf.DUMMYFUNCTION("""COMPUTED_VALUE"""),"")</f>
        <v/>
      </c>
      <c r="R284" s="106" t="str">
        <f>IFERROR(__xludf.DUMMYFUNCTION("""COMPUTED_VALUE"""),"")</f>
        <v/>
      </c>
      <c r="S284" s="106" t="str">
        <f>IFERROR(__xludf.DUMMYFUNCTION("""COMPUTED_VALUE"""),"")</f>
        <v/>
      </c>
      <c r="T284" s="139" t="str">
        <f>IFERROR(__xludf.DUMMYFUNCTION("""COMPUTED_VALUE"""),"")</f>
        <v/>
      </c>
      <c r="U284" s="139" t="str">
        <f>IFERROR(__xludf.DUMMYFUNCTION("""COMPUTED_VALUE"""),"")</f>
        <v/>
      </c>
      <c r="V284" s="136" t="str">
        <f>IFERROR(__xludf.DUMMYFUNCTION("""COMPUTED_VALUE"""),"")</f>
        <v/>
      </c>
      <c r="W284" s="106" t="str">
        <f>IFERROR(__xludf.DUMMYFUNCTION("""COMPUTED_VALUE"""),"")</f>
        <v/>
      </c>
      <c r="X284" s="143" t="str">
        <f t="shared" si="2"/>
        <v/>
      </c>
      <c r="Y284" s="139" t="str">
        <f>IFERROR(__xludf.DUMMYFUNCTION("""COMPUTED_VALUE"""),"")</f>
        <v/>
      </c>
      <c r="Z284" s="141" t="str">
        <f>IFERROR(__xludf.DUMMYFUNCTION("""COMPUTED_VALUE"""),"")</f>
        <v/>
      </c>
    </row>
    <row r="285">
      <c r="A285" s="136"/>
      <c r="B285" s="136"/>
      <c r="C285" s="136" t="str">
        <f>IFERROR(__xludf.DUMMYFUNCTION("""COMPUTED_VALUE"""),"")</f>
        <v/>
      </c>
      <c r="D285" s="136" t="str">
        <f t="shared" si="3"/>
        <v/>
      </c>
      <c r="E285" s="152" t="str">
        <f>IFERROR(__xludf.DUMMYFUNCTION("""COMPUTED_VALUE"""),"")</f>
        <v/>
      </c>
      <c r="F285" s="106" t="s">
        <v>133</v>
      </c>
      <c r="G285" s="152" t="str">
        <f>IFERROR(__xludf.DUMMYFUNCTION("""COMPUTED_VALUE"""),"")</f>
        <v/>
      </c>
      <c r="H285" s="106" t="s">
        <v>133</v>
      </c>
      <c r="I285" s="136"/>
      <c r="J285" s="139" t="s">
        <v>133</v>
      </c>
      <c r="K285" s="136" t="s">
        <v>133</v>
      </c>
      <c r="L285" s="153" t="str">
        <f>IFERROR(__xludf.DUMMYFUNCTION("""COMPUTED_VALUE"""),"")</f>
        <v/>
      </c>
      <c r="M285" s="136" t="str">
        <f t="shared" si="1"/>
        <v/>
      </c>
      <c r="N285" s="136" t="str">
        <f>IFERROR(__xludf.DUMMYFUNCTION("""COMPUTED_VALUE"""),"")</f>
        <v/>
      </c>
      <c r="O285" s="141" t="s">
        <v>133</v>
      </c>
      <c r="P285" s="136" t="str">
        <f>IFERROR(__xludf.DUMMYFUNCTION("""COMPUTED_VALUE"""),"")</f>
        <v/>
      </c>
      <c r="Q285" s="136" t="str">
        <f>IFERROR(__xludf.DUMMYFUNCTION("""COMPUTED_VALUE"""),"")</f>
        <v/>
      </c>
      <c r="R285" s="106" t="str">
        <f>IFERROR(__xludf.DUMMYFUNCTION("""COMPUTED_VALUE"""),"")</f>
        <v/>
      </c>
      <c r="S285" s="106" t="str">
        <f>IFERROR(__xludf.DUMMYFUNCTION("""COMPUTED_VALUE"""),"")</f>
        <v/>
      </c>
      <c r="T285" s="139" t="str">
        <f>IFERROR(__xludf.DUMMYFUNCTION("""COMPUTED_VALUE"""),"")</f>
        <v/>
      </c>
      <c r="U285" s="139" t="str">
        <f>IFERROR(__xludf.DUMMYFUNCTION("""COMPUTED_VALUE"""),"")</f>
        <v/>
      </c>
      <c r="V285" s="136" t="str">
        <f>IFERROR(__xludf.DUMMYFUNCTION("""COMPUTED_VALUE"""),"")</f>
        <v/>
      </c>
      <c r="W285" s="106" t="str">
        <f>IFERROR(__xludf.DUMMYFUNCTION("""COMPUTED_VALUE"""),"")</f>
        <v/>
      </c>
      <c r="X285" s="143" t="str">
        <f t="shared" si="2"/>
        <v/>
      </c>
      <c r="Y285" s="139" t="str">
        <f>IFERROR(__xludf.DUMMYFUNCTION("""COMPUTED_VALUE"""),"")</f>
        <v/>
      </c>
      <c r="Z285" s="141" t="str">
        <f>IFERROR(__xludf.DUMMYFUNCTION("""COMPUTED_VALUE"""),"")</f>
        <v/>
      </c>
    </row>
    <row r="286">
      <c r="A286" s="136"/>
      <c r="B286" s="136"/>
      <c r="C286" s="136" t="str">
        <f>IFERROR(__xludf.DUMMYFUNCTION("""COMPUTED_VALUE"""),"")</f>
        <v/>
      </c>
      <c r="D286" s="136" t="str">
        <f t="shared" si="3"/>
        <v/>
      </c>
      <c r="E286" s="152" t="str">
        <f>IFERROR(__xludf.DUMMYFUNCTION("""COMPUTED_VALUE"""),"")</f>
        <v/>
      </c>
      <c r="F286" s="106" t="s">
        <v>133</v>
      </c>
      <c r="G286" s="152" t="str">
        <f>IFERROR(__xludf.DUMMYFUNCTION("""COMPUTED_VALUE"""),"")</f>
        <v/>
      </c>
      <c r="H286" s="106" t="s">
        <v>133</v>
      </c>
      <c r="I286" s="136"/>
      <c r="J286" s="139" t="s">
        <v>133</v>
      </c>
      <c r="K286" s="136" t="s">
        <v>133</v>
      </c>
      <c r="L286" s="153" t="str">
        <f>IFERROR(__xludf.DUMMYFUNCTION("""COMPUTED_VALUE"""),"")</f>
        <v/>
      </c>
      <c r="M286" s="136" t="str">
        <f t="shared" si="1"/>
        <v/>
      </c>
      <c r="N286" s="136" t="str">
        <f>IFERROR(__xludf.DUMMYFUNCTION("""COMPUTED_VALUE"""),"")</f>
        <v/>
      </c>
      <c r="O286" s="141" t="s">
        <v>133</v>
      </c>
      <c r="P286" s="136" t="str">
        <f>IFERROR(__xludf.DUMMYFUNCTION("""COMPUTED_VALUE"""),"")</f>
        <v/>
      </c>
      <c r="Q286" s="136" t="str">
        <f>IFERROR(__xludf.DUMMYFUNCTION("""COMPUTED_VALUE"""),"")</f>
        <v/>
      </c>
      <c r="R286" s="106" t="str">
        <f>IFERROR(__xludf.DUMMYFUNCTION("""COMPUTED_VALUE"""),"")</f>
        <v/>
      </c>
      <c r="S286" s="106" t="str">
        <f>IFERROR(__xludf.DUMMYFUNCTION("""COMPUTED_VALUE"""),"")</f>
        <v/>
      </c>
      <c r="T286" s="139" t="str">
        <f>IFERROR(__xludf.DUMMYFUNCTION("""COMPUTED_VALUE"""),"")</f>
        <v/>
      </c>
      <c r="U286" s="139" t="str">
        <f>IFERROR(__xludf.DUMMYFUNCTION("""COMPUTED_VALUE"""),"")</f>
        <v/>
      </c>
      <c r="V286" s="136" t="str">
        <f>IFERROR(__xludf.DUMMYFUNCTION("""COMPUTED_VALUE"""),"")</f>
        <v/>
      </c>
      <c r="W286" s="106" t="str">
        <f>IFERROR(__xludf.DUMMYFUNCTION("""COMPUTED_VALUE"""),"")</f>
        <v/>
      </c>
      <c r="X286" s="143" t="str">
        <f t="shared" si="2"/>
        <v/>
      </c>
      <c r="Y286" s="139" t="str">
        <f>IFERROR(__xludf.DUMMYFUNCTION("""COMPUTED_VALUE"""),"")</f>
        <v/>
      </c>
      <c r="Z286" s="141" t="str">
        <f>IFERROR(__xludf.DUMMYFUNCTION("""COMPUTED_VALUE"""),"")</f>
        <v/>
      </c>
    </row>
    <row r="287">
      <c r="A287" s="136"/>
      <c r="B287" s="136"/>
      <c r="C287" s="136" t="str">
        <f>IFERROR(__xludf.DUMMYFUNCTION("""COMPUTED_VALUE"""),"")</f>
        <v/>
      </c>
      <c r="D287" s="136" t="str">
        <f t="shared" si="3"/>
        <v/>
      </c>
      <c r="E287" s="152" t="str">
        <f>IFERROR(__xludf.DUMMYFUNCTION("""COMPUTED_VALUE"""),"")</f>
        <v/>
      </c>
      <c r="F287" s="106" t="s">
        <v>133</v>
      </c>
      <c r="G287" s="152" t="str">
        <f>IFERROR(__xludf.DUMMYFUNCTION("""COMPUTED_VALUE"""),"")</f>
        <v/>
      </c>
      <c r="H287" s="106" t="s">
        <v>133</v>
      </c>
      <c r="I287" s="136"/>
      <c r="J287" s="139" t="s">
        <v>133</v>
      </c>
      <c r="K287" s="136" t="s">
        <v>133</v>
      </c>
      <c r="L287" s="153" t="str">
        <f>IFERROR(__xludf.DUMMYFUNCTION("""COMPUTED_VALUE"""),"")</f>
        <v/>
      </c>
      <c r="M287" s="136" t="str">
        <f t="shared" si="1"/>
        <v/>
      </c>
      <c r="N287" s="136" t="str">
        <f>IFERROR(__xludf.DUMMYFUNCTION("""COMPUTED_VALUE"""),"")</f>
        <v/>
      </c>
      <c r="O287" s="141" t="s">
        <v>133</v>
      </c>
      <c r="P287" s="136" t="str">
        <f>IFERROR(__xludf.DUMMYFUNCTION("""COMPUTED_VALUE"""),"")</f>
        <v/>
      </c>
      <c r="Q287" s="136" t="str">
        <f>IFERROR(__xludf.DUMMYFUNCTION("""COMPUTED_VALUE"""),"")</f>
        <v/>
      </c>
      <c r="R287" s="106" t="str">
        <f>IFERROR(__xludf.DUMMYFUNCTION("""COMPUTED_VALUE"""),"")</f>
        <v/>
      </c>
      <c r="S287" s="106" t="str">
        <f>IFERROR(__xludf.DUMMYFUNCTION("""COMPUTED_VALUE"""),"")</f>
        <v/>
      </c>
      <c r="T287" s="139" t="str">
        <f>IFERROR(__xludf.DUMMYFUNCTION("""COMPUTED_VALUE"""),"")</f>
        <v/>
      </c>
      <c r="U287" s="139" t="str">
        <f>IFERROR(__xludf.DUMMYFUNCTION("""COMPUTED_VALUE"""),"")</f>
        <v/>
      </c>
      <c r="V287" s="136" t="str">
        <f>IFERROR(__xludf.DUMMYFUNCTION("""COMPUTED_VALUE"""),"")</f>
        <v/>
      </c>
      <c r="W287" s="106" t="str">
        <f>IFERROR(__xludf.DUMMYFUNCTION("""COMPUTED_VALUE"""),"")</f>
        <v/>
      </c>
      <c r="X287" s="143" t="str">
        <f t="shared" si="2"/>
        <v/>
      </c>
      <c r="Y287" s="139" t="str">
        <f>IFERROR(__xludf.DUMMYFUNCTION("""COMPUTED_VALUE"""),"")</f>
        <v/>
      </c>
      <c r="Z287" s="141" t="str">
        <f>IFERROR(__xludf.DUMMYFUNCTION("""COMPUTED_VALUE"""),"")</f>
        <v/>
      </c>
    </row>
    <row r="288">
      <c r="A288" s="136"/>
      <c r="B288" s="136"/>
      <c r="C288" s="136" t="str">
        <f>IFERROR(__xludf.DUMMYFUNCTION("""COMPUTED_VALUE"""),"")</f>
        <v/>
      </c>
      <c r="D288" s="136" t="str">
        <f t="shared" si="3"/>
        <v/>
      </c>
      <c r="E288" s="152" t="str">
        <f>IFERROR(__xludf.DUMMYFUNCTION("""COMPUTED_VALUE"""),"")</f>
        <v/>
      </c>
      <c r="F288" s="106" t="s">
        <v>133</v>
      </c>
      <c r="G288" s="152" t="str">
        <f>IFERROR(__xludf.DUMMYFUNCTION("""COMPUTED_VALUE"""),"")</f>
        <v/>
      </c>
      <c r="H288" s="106" t="s">
        <v>133</v>
      </c>
      <c r="I288" s="136"/>
      <c r="J288" s="139" t="s">
        <v>133</v>
      </c>
      <c r="K288" s="136" t="s">
        <v>133</v>
      </c>
      <c r="L288" s="153" t="str">
        <f>IFERROR(__xludf.DUMMYFUNCTION("""COMPUTED_VALUE"""),"")</f>
        <v/>
      </c>
      <c r="M288" s="136" t="str">
        <f t="shared" si="1"/>
        <v/>
      </c>
      <c r="N288" s="136" t="str">
        <f>IFERROR(__xludf.DUMMYFUNCTION("""COMPUTED_VALUE"""),"")</f>
        <v/>
      </c>
      <c r="O288" s="141" t="s">
        <v>133</v>
      </c>
      <c r="P288" s="136" t="str">
        <f>IFERROR(__xludf.DUMMYFUNCTION("""COMPUTED_VALUE"""),"")</f>
        <v/>
      </c>
      <c r="Q288" s="136" t="str">
        <f>IFERROR(__xludf.DUMMYFUNCTION("""COMPUTED_VALUE"""),"")</f>
        <v/>
      </c>
      <c r="R288" s="106" t="str">
        <f>IFERROR(__xludf.DUMMYFUNCTION("""COMPUTED_VALUE"""),"")</f>
        <v/>
      </c>
      <c r="S288" s="106" t="str">
        <f>IFERROR(__xludf.DUMMYFUNCTION("""COMPUTED_VALUE"""),"")</f>
        <v/>
      </c>
      <c r="T288" s="139" t="str">
        <f>IFERROR(__xludf.DUMMYFUNCTION("""COMPUTED_VALUE"""),"")</f>
        <v/>
      </c>
      <c r="U288" s="139" t="str">
        <f>IFERROR(__xludf.DUMMYFUNCTION("""COMPUTED_VALUE"""),"")</f>
        <v/>
      </c>
      <c r="V288" s="136" t="str">
        <f>IFERROR(__xludf.DUMMYFUNCTION("""COMPUTED_VALUE"""),"")</f>
        <v/>
      </c>
      <c r="W288" s="106" t="str">
        <f>IFERROR(__xludf.DUMMYFUNCTION("""COMPUTED_VALUE"""),"")</f>
        <v/>
      </c>
      <c r="X288" s="143" t="str">
        <f t="shared" si="2"/>
        <v/>
      </c>
      <c r="Y288" s="139" t="str">
        <f>IFERROR(__xludf.DUMMYFUNCTION("""COMPUTED_VALUE"""),"")</f>
        <v/>
      </c>
      <c r="Z288" s="141" t="str">
        <f>IFERROR(__xludf.DUMMYFUNCTION("""COMPUTED_VALUE"""),"")</f>
        <v/>
      </c>
    </row>
    <row r="289">
      <c r="A289" s="136"/>
      <c r="B289" s="136"/>
      <c r="C289" s="136" t="str">
        <f>IFERROR(__xludf.DUMMYFUNCTION("""COMPUTED_VALUE"""),"")</f>
        <v/>
      </c>
      <c r="D289" s="136" t="str">
        <f t="shared" si="3"/>
        <v/>
      </c>
      <c r="E289" s="152" t="str">
        <f>IFERROR(__xludf.DUMMYFUNCTION("""COMPUTED_VALUE"""),"")</f>
        <v/>
      </c>
      <c r="F289" s="106" t="s">
        <v>133</v>
      </c>
      <c r="G289" s="152" t="str">
        <f>IFERROR(__xludf.DUMMYFUNCTION("""COMPUTED_VALUE"""),"")</f>
        <v/>
      </c>
      <c r="H289" s="106" t="s">
        <v>133</v>
      </c>
      <c r="I289" s="136"/>
      <c r="J289" s="139" t="s">
        <v>133</v>
      </c>
      <c r="K289" s="136" t="s">
        <v>133</v>
      </c>
      <c r="L289" s="153" t="str">
        <f>IFERROR(__xludf.DUMMYFUNCTION("""COMPUTED_VALUE"""),"")</f>
        <v/>
      </c>
      <c r="M289" s="136" t="str">
        <f t="shared" si="1"/>
        <v/>
      </c>
      <c r="N289" s="136" t="str">
        <f>IFERROR(__xludf.DUMMYFUNCTION("""COMPUTED_VALUE"""),"")</f>
        <v/>
      </c>
      <c r="O289" s="141" t="s">
        <v>133</v>
      </c>
      <c r="P289" s="136" t="str">
        <f>IFERROR(__xludf.DUMMYFUNCTION("""COMPUTED_VALUE"""),"")</f>
        <v/>
      </c>
      <c r="Q289" s="136" t="str">
        <f>IFERROR(__xludf.DUMMYFUNCTION("""COMPUTED_VALUE"""),"")</f>
        <v/>
      </c>
      <c r="R289" s="106" t="str">
        <f>IFERROR(__xludf.DUMMYFUNCTION("""COMPUTED_VALUE"""),"")</f>
        <v/>
      </c>
      <c r="S289" s="106" t="str">
        <f>IFERROR(__xludf.DUMMYFUNCTION("""COMPUTED_VALUE"""),"")</f>
        <v/>
      </c>
      <c r="T289" s="139" t="str">
        <f>IFERROR(__xludf.DUMMYFUNCTION("""COMPUTED_VALUE"""),"")</f>
        <v/>
      </c>
      <c r="U289" s="139" t="str">
        <f>IFERROR(__xludf.DUMMYFUNCTION("""COMPUTED_VALUE"""),"")</f>
        <v/>
      </c>
      <c r="V289" s="136" t="str">
        <f>IFERROR(__xludf.DUMMYFUNCTION("""COMPUTED_VALUE"""),"")</f>
        <v/>
      </c>
      <c r="W289" s="106" t="str">
        <f>IFERROR(__xludf.DUMMYFUNCTION("""COMPUTED_VALUE"""),"")</f>
        <v/>
      </c>
      <c r="X289" s="143" t="str">
        <f t="shared" si="2"/>
        <v/>
      </c>
      <c r="Y289" s="139" t="str">
        <f>IFERROR(__xludf.DUMMYFUNCTION("""COMPUTED_VALUE"""),"")</f>
        <v/>
      </c>
      <c r="Z289" s="141" t="str">
        <f>IFERROR(__xludf.DUMMYFUNCTION("""COMPUTED_VALUE"""),"")</f>
        <v/>
      </c>
    </row>
    <row r="290">
      <c r="A290" s="136"/>
      <c r="B290" s="136"/>
      <c r="C290" s="136" t="str">
        <f>IFERROR(__xludf.DUMMYFUNCTION("""COMPUTED_VALUE"""),"")</f>
        <v/>
      </c>
      <c r="D290" s="136" t="str">
        <f t="shared" si="3"/>
        <v/>
      </c>
      <c r="E290" s="152" t="str">
        <f>IFERROR(__xludf.DUMMYFUNCTION("""COMPUTED_VALUE"""),"")</f>
        <v/>
      </c>
      <c r="F290" s="106" t="s">
        <v>133</v>
      </c>
      <c r="G290" s="152" t="str">
        <f>IFERROR(__xludf.DUMMYFUNCTION("""COMPUTED_VALUE"""),"")</f>
        <v/>
      </c>
      <c r="H290" s="106" t="s">
        <v>133</v>
      </c>
      <c r="I290" s="136"/>
      <c r="J290" s="139" t="s">
        <v>133</v>
      </c>
      <c r="K290" s="136" t="s">
        <v>133</v>
      </c>
      <c r="L290" s="153" t="str">
        <f>IFERROR(__xludf.DUMMYFUNCTION("""COMPUTED_VALUE"""),"")</f>
        <v/>
      </c>
      <c r="M290" s="136" t="str">
        <f t="shared" si="1"/>
        <v/>
      </c>
      <c r="N290" s="136" t="str">
        <f>IFERROR(__xludf.DUMMYFUNCTION("""COMPUTED_VALUE"""),"")</f>
        <v/>
      </c>
      <c r="O290" s="141" t="s">
        <v>133</v>
      </c>
      <c r="P290" s="136" t="str">
        <f>IFERROR(__xludf.DUMMYFUNCTION("""COMPUTED_VALUE"""),"")</f>
        <v/>
      </c>
      <c r="Q290" s="136" t="str">
        <f>IFERROR(__xludf.DUMMYFUNCTION("""COMPUTED_VALUE"""),"")</f>
        <v/>
      </c>
      <c r="R290" s="106" t="str">
        <f>IFERROR(__xludf.DUMMYFUNCTION("""COMPUTED_VALUE"""),"")</f>
        <v/>
      </c>
      <c r="S290" s="106" t="str">
        <f>IFERROR(__xludf.DUMMYFUNCTION("""COMPUTED_VALUE"""),"")</f>
        <v/>
      </c>
      <c r="T290" s="139" t="str">
        <f>IFERROR(__xludf.DUMMYFUNCTION("""COMPUTED_VALUE"""),"")</f>
        <v/>
      </c>
      <c r="U290" s="139" t="str">
        <f>IFERROR(__xludf.DUMMYFUNCTION("""COMPUTED_VALUE"""),"")</f>
        <v/>
      </c>
      <c r="V290" s="136" t="str">
        <f>IFERROR(__xludf.DUMMYFUNCTION("""COMPUTED_VALUE"""),"")</f>
        <v/>
      </c>
      <c r="W290" s="106" t="str">
        <f>IFERROR(__xludf.DUMMYFUNCTION("""COMPUTED_VALUE"""),"")</f>
        <v/>
      </c>
      <c r="X290" s="143" t="str">
        <f t="shared" si="2"/>
        <v/>
      </c>
      <c r="Y290" s="139" t="str">
        <f>IFERROR(__xludf.DUMMYFUNCTION("""COMPUTED_VALUE"""),"")</f>
        <v/>
      </c>
      <c r="Z290" s="141" t="str">
        <f>IFERROR(__xludf.DUMMYFUNCTION("""COMPUTED_VALUE"""),"")</f>
        <v/>
      </c>
    </row>
    <row r="291">
      <c r="A291" s="136"/>
      <c r="B291" s="136"/>
      <c r="C291" s="136" t="str">
        <f>IFERROR(__xludf.DUMMYFUNCTION("""COMPUTED_VALUE"""),"")</f>
        <v/>
      </c>
      <c r="D291" s="136" t="str">
        <f t="shared" si="3"/>
        <v/>
      </c>
      <c r="E291" s="152" t="str">
        <f>IFERROR(__xludf.DUMMYFUNCTION("""COMPUTED_VALUE"""),"")</f>
        <v/>
      </c>
      <c r="F291" s="106" t="s">
        <v>133</v>
      </c>
      <c r="G291" s="152" t="str">
        <f>IFERROR(__xludf.DUMMYFUNCTION("""COMPUTED_VALUE"""),"")</f>
        <v/>
      </c>
      <c r="H291" s="106" t="s">
        <v>133</v>
      </c>
      <c r="I291" s="136"/>
      <c r="J291" s="139" t="s">
        <v>133</v>
      </c>
      <c r="K291" s="136" t="s">
        <v>133</v>
      </c>
      <c r="L291" s="153" t="str">
        <f>IFERROR(__xludf.DUMMYFUNCTION("""COMPUTED_VALUE"""),"")</f>
        <v/>
      </c>
      <c r="M291" s="136" t="str">
        <f t="shared" si="1"/>
        <v/>
      </c>
      <c r="N291" s="136" t="str">
        <f>IFERROR(__xludf.DUMMYFUNCTION("""COMPUTED_VALUE"""),"")</f>
        <v/>
      </c>
      <c r="O291" s="141" t="s">
        <v>133</v>
      </c>
      <c r="P291" s="136" t="str">
        <f>IFERROR(__xludf.DUMMYFUNCTION("""COMPUTED_VALUE"""),"")</f>
        <v/>
      </c>
      <c r="Q291" s="136" t="str">
        <f>IFERROR(__xludf.DUMMYFUNCTION("""COMPUTED_VALUE"""),"")</f>
        <v/>
      </c>
      <c r="R291" s="106" t="str">
        <f>IFERROR(__xludf.DUMMYFUNCTION("""COMPUTED_VALUE"""),"")</f>
        <v/>
      </c>
      <c r="S291" s="106" t="str">
        <f>IFERROR(__xludf.DUMMYFUNCTION("""COMPUTED_VALUE"""),"")</f>
        <v/>
      </c>
      <c r="T291" s="139" t="str">
        <f>IFERROR(__xludf.DUMMYFUNCTION("""COMPUTED_VALUE"""),"")</f>
        <v/>
      </c>
      <c r="U291" s="139" t="str">
        <f>IFERROR(__xludf.DUMMYFUNCTION("""COMPUTED_VALUE"""),"")</f>
        <v/>
      </c>
      <c r="V291" s="136" t="str">
        <f>IFERROR(__xludf.DUMMYFUNCTION("""COMPUTED_VALUE"""),"")</f>
        <v/>
      </c>
      <c r="W291" s="106" t="str">
        <f>IFERROR(__xludf.DUMMYFUNCTION("""COMPUTED_VALUE"""),"")</f>
        <v/>
      </c>
      <c r="X291" s="143" t="str">
        <f t="shared" si="2"/>
        <v/>
      </c>
      <c r="Y291" s="139" t="str">
        <f>IFERROR(__xludf.DUMMYFUNCTION("""COMPUTED_VALUE"""),"")</f>
        <v/>
      </c>
      <c r="Z291" s="141" t="str">
        <f>IFERROR(__xludf.DUMMYFUNCTION("""COMPUTED_VALUE"""),"")</f>
        <v/>
      </c>
    </row>
    <row r="292">
      <c r="A292" s="136"/>
      <c r="B292" s="136"/>
      <c r="C292" s="136" t="str">
        <f>IFERROR(__xludf.DUMMYFUNCTION("""COMPUTED_VALUE"""),"")</f>
        <v/>
      </c>
      <c r="D292" s="136" t="str">
        <f t="shared" si="3"/>
        <v/>
      </c>
      <c r="E292" s="152" t="str">
        <f>IFERROR(__xludf.DUMMYFUNCTION("""COMPUTED_VALUE"""),"")</f>
        <v/>
      </c>
      <c r="F292" s="106" t="s">
        <v>133</v>
      </c>
      <c r="G292" s="152" t="str">
        <f>IFERROR(__xludf.DUMMYFUNCTION("""COMPUTED_VALUE"""),"")</f>
        <v/>
      </c>
      <c r="H292" s="106" t="s">
        <v>133</v>
      </c>
      <c r="I292" s="136"/>
      <c r="J292" s="139" t="s">
        <v>133</v>
      </c>
      <c r="K292" s="136" t="s">
        <v>133</v>
      </c>
      <c r="L292" s="153" t="str">
        <f>IFERROR(__xludf.DUMMYFUNCTION("""COMPUTED_VALUE"""),"")</f>
        <v/>
      </c>
      <c r="M292" s="136" t="str">
        <f t="shared" si="1"/>
        <v/>
      </c>
      <c r="N292" s="136" t="str">
        <f>IFERROR(__xludf.DUMMYFUNCTION("""COMPUTED_VALUE"""),"")</f>
        <v/>
      </c>
      <c r="O292" s="141" t="s">
        <v>133</v>
      </c>
      <c r="P292" s="136" t="str">
        <f>IFERROR(__xludf.DUMMYFUNCTION("""COMPUTED_VALUE"""),"")</f>
        <v/>
      </c>
      <c r="Q292" s="136" t="str">
        <f>IFERROR(__xludf.DUMMYFUNCTION("""COMPUTED_VALUE"""),"")</f>
        <v/>
      </c>
      <c r="R292" s="106" t="str">
        <f>IFERROR(__xludf.DUMMYFUNCTION("""COMPUTED_VALUE"""),"")</f>
        <v/>
      </c>
      <c r="S292" s="106" t="str">
        <f>IFERROR(__xludf.DUMMYFUNCTION("""COMPUTED_VALUE"""),"")</f>
        <v/>
      </c>
      <c r="T292" s="139" t="str">
        <f>IFERROR(__xludf.DUMMYFUNCTION("""COMPUTED_VALUE"""),"")</f>
        <v/>
      </c>
      <c r="U292" s="139" t="str">
        <f>IFERROR(__xludf.DUMMYFUNCTION("""COMPUTED_VALUE"""),"")</f>
        <v/>
      </c>
      <c r="V292" s="136" t="str">
        <f>IFERROR(__xludf.DUMMYFUNCTION("""COMPUTED_VALUE"""),"")</f>
        <v/>
      </c>
      <c r="W292" s="106" t="str">
        <f>IFERROR(__xludf.DUMMYFUNCTION("""COMPUTED_VALUE"""),"")</f>
        <v/>
      </c>
      <c r="X292" s="143" t="str">
        <f t="shared" si="2"/>
        <v/>
      </c>
      <c r="Y292" s="139" t="str">
        <f>IFERROR(__xludf.DUMMYFUNCTION("""COMPUTED_VALUE"""),"")</f>
        <v/>
      </c>
      <c r="Z292" s="141" t="str">
        <f>IFERROR(__xludf.DUMMYFUNCTION("""COMPUTED_VALUE"""),"")</f>
        <v/>
      </c>
    </row>
    <row r="293">
      <c r="A293" s="136"/>
      <c r="B293" s="136"/>
      <c r="C293" s="136" t="str">
        <f>IFERROR(__xludf.DUMMYFUNCTION("""COMPUTED_VALUE"""),"")</f>
        <v/>
      </c>
      <c r="D293" s="136" t="str">
        <f t="shared" si="3"/>
        <v/>
      </c>
      <c r="E293" s="152" t="str">
        <f>IFERROR(__xludf.DUMMYFUNCTION("""COMPUTED_VALUE"""),"")</f>
        <v/>
      </c>
      <c r="F293" s="106" t="s">
        <v>133</v>
      </c>
      <c r="G293" s="152" t="str">
        <f>IFERROR(__xludf.DUMMYFUNCTION("""COMPUTED_VALUE"""),"")</f>
        <v/>
      </c>
      <c r="H293" s="106" t="s">
        <v>133</v>
      </c>
      <c r="I293" s="136"/>
      <c r="J293" s="139" t="s">
        <v>133</v>
      </c>
      <c r="K293" s="136" t="s">
        <v>133</v>
      </c>
      <c r="L293" s="153" t="str">
        <f>IFERROR(__xludf.DUMMYFUNCTION("""COMPUTED_VALUE"""),"")</f>
        <v/>
      </c>
      <c r="M293" s="136" t="str">
        <f t="shared" si="1"/>
        <v/>
      </c>
      <c r="N293" s="136" t="str">
        <f>IFERROR(__xludf.DUMMYFUNCTION("""COMPUTED_VALUE"""),"")</f>
        <v/>
      </c>
      <c r="O293" s="141" t="s">
        <v>133</v>
      </c>
      <c r="P293" s="136" t="str">
        <f>IFERROR(__xludf.DUMMYFUNCTION("""COMPUTED_VALUE"""),"")</f>
        <v/>
      </c>
      <c r="Q293" s="136" t="str">
        <f>IFERROR(__xludf.DUMMYFUNCTION("""COMPUTED_VALUE"""),"")</f>
        <v/>
      </c>
      <c r="R293" s="106" t="str">
        <f>IFERROR(__xludf.DUMMYFUNCTION("""COMPUTED_VALUE"""),"")</f>
        <v/>
      </c>
      <c r="S293" s="106" t="str">
        <f>IFERROR(__xludf.DUMMYFUNCTION("""COMPUTED_VALUE"""),"")</f>
        <v/>
      </c>
      <c r="T293" s="139" t="str">
        <f>IFERROR(__xludf.DUMMYFUNCTION("""COMPUTED_VALUE"""),"")</f>
        <v/>
      </c>
      <c r="U293" s="139" t="str">
        <f>IFERROR(__xludf.DUMMYFUNCTION("""COMPUTED_VALUE"""),"")</f>
        <v/>
      </c>
      <c r="V293" s="136" t="str">
        <f>IFERROR(__xludf.DUMMYFUNCTION("""COMPUTED_VALUE"""),"")</f>
        <v/>
      </c>
      <c r="W293" s="106" t="str">
        <f>IFERROR(__xludf.DUMMYFUNCTION("""COMPUTED_VALUE"""),"")</f>
        <v/>
      </c>
      <c r="X293" s="143" t="str">
        <f t="shared" si="2"/>
        <v/>
      </c>
      <c r="Y293" s="139" t="str">
        <f>IFERROR(__xludf.DUMMYFUNCTION("""COMPUTED_VALUE"""),"")</f>
        <v/>
      </c>
      <c r="Z293" s="141" t="str">
        <f>IFERROR(__xludf.DUMMYFUNCTION("""COMPUTED_VALUE"""),"")</f>
        <v/>
      </c>
    </row>
    <row r="294">
      <c r="A294" s="136"/>
      <c r="B294" s="136"/>
      <c r="C294" s="136" t="str">
        <f>IFERROR(__xludf.DUMMYFUNCTION("""COMPUTED_VALUE"""),"")</f>
        <v/>
      </c>
      <c r="D294" s="136" t="str">
        <f t="shared" si="3"/>
        <v/>
      </c>
      <c r="E294" s="152" t="str">
        <f>IFERROR(__xludf.DUMMYFUNCTION("""COMPUTED_VALUE"""),"")</f>
        <v/>
      </c>
      <c r="F294" s="106" t="s">
        <v>133</v>
      </c>
      <c r="G294" s="152" t="str">
        <f>IFERROR(__xludf.DUMMYFUNCTION("""COMPUTED_VALUE"""),"")</f>
        <v/>
      </c>
      <c r="H294" s="106" t="s">
        <v>133</v>
      </c>
      <c r="I294" s="136"/>
      <c r="J294" s="139" t="s">
        <v>133</v>
      </c>
      <c r="K294" s="136" t="s">
        <v>133</v>
      </c>
      <c r="L294" s="153" t="str">
        <f>IFERROR(__xludf.DUMMYFUNCTION("""COMPUTED_VALUE"""),"")</f>
        <v/>
      </c>
      <c r="M294" s="136" t="str">
        <f t="shared" si="1"/>
        <v/>
      </c>
      <c r="N294" s="136" t="str">
        <f>IFERROR(__xludf.DUMMYFUNCTION("""COMPUTED_VALUE"""),"")</f>
        <v/>
      </c>
      <c r="O294" s="141" t="s">
        <v>133</v>
      </c>
      <c r="P294" s="136" t="str">
        <f>IFERROR(__xludf.DUMMYFUNCTION("""COMPUTED_VALUE"""),"")</f>
        <v/>
      </c>
      <c r="Q294" s="136" t="str">
        <f>IFERROR(__xludf.DUMMYFUNCTION("""COMPUTED_VALUE"""),"")</f>
        <v/>
      </c>
      <c r="R294" s="106" t="str">
        <f>IFERROR(__xludf.DUMMYFUNCTION("""COMPUTED_VALUE"""),"")</f>
        <v/>
      </c>
      <c r="S294" s="106" t="str">
        <f>IFERROR(__xludf.DUMMYFUNCTION("""COMPUTED_VALUE"""),"")</f>
        <v/>
      </c>
      <c r="T294" s="139" t="str">
        <f>IFERROR(__xludf.DUMMYFUNCTION("""COMPUTED_VALUE"""),"")</f>
        <v/>
      </c>
      <c r="U294" s="139" t="str">
        <f>IFERROR(__xludf.DUMMYFUNCTION("""COMPUTED_VALUE"""),"")</f>
        <v/>
      </c>
      <c r="V294" s="136" t="str">
        <f>IFERROR(__xludf.DUMMYFUNCTION("""COMPUTED_VALUE"""),"")</f>
        <v/>
      </c>
      <c r="W294" s="106" t="str">
        <f>IFERROR(__xludf.DUMMYFUNCTION("""COMPUTED_VALUE"""),"")</f>
        <v/>
      </c>
      <c r="X294" s="143" t="str">
        <f t="shared" si="2"/>
        <v/>
      </c>
      <c r="Y294" s="139" t="str">
        <f>IFERROR(__xludf.DUMMYFUNCTION("""COMPUTED_VALUE"""),"")</f>
        <v/>
      </c>
      <c r="Z294" s="141" t="str">
        <f>IFERROR(__xludf.DUMMYFUNCTION("""COMPUTED_VALUE"""),"")</f>
        <v/>
      </c>
    </row>
    <row r="295">
      <c r="A295" s="136"/>
      <c r="B295" s="136"/>
      <c r="C295" s="136" t="str">
        <f>IFERROR(__xludf.DUMMYFUNCTION("""COMPUTED_VALUE"""),"")</f>
        <v/>
      </c>
      <c r="D295" s="136" t="str">
        <f t="shared" si="3"/>
        <v/>
      </c>
      <c r="E295" s="152" t="str">
        <f>IFERROR(__xludf.DUMMYFUNCTION("""COMPUTED_VALUE"""),"")</f>
        <v/>
      </c>
      <c r="F295" s="106" t="s">
        <v>133</v>
      </c>
      <c r="G295" s="152" t="str">
        <f>IFERROR(__xludf.DUMMYFUNCTION("""COMPUTED_VALUE"""),"")</f>
        <v/>
      </c>
      <c r="H295" s="106" t="s">
        <v>133</v>
      </c>
      <c r="I295" s="136"/>
      <c r="J295" s="139" t="s">
        <v>133</v>
      </c>
      <c r="K295" s="136" t="s">
        <v>133</v>
      </c>
      <c r="L295" s="153" t="str">
        <f>IFERROR(__xludf.DUMMYFUNCTION("""COMPUTED_VALUE"""),"")</f>
        <v/>
      </c>
      <c r="M295" s="136" t="str">
        <f t="shared" si="1"/>
        <v/>
      </c>
      <c r="N295" s="136" t="str">
        <f>IFERROR(__xludf.DUMMYFUNCTION("""COMPUTED_VALUE"""),"")</f>
        <v/>
      </c>
      <c r="O295" s="141" t="s">
        <v>133</v>
      </c>
      <c r="P295" s="136" t="str">
        <f>IFERROR(__xludf.DUMMYFUNCTION("""COMPUTED_VALUE"""),"")</f>
        <v/>
      </c>
      <c r="Q295" s="136" t="str">
        <f>IFERROR(__xludf.DUMMYFUNCTION("""COMPUTED_VALUE"""),"")</f>
        <v/>
      </c>
      <c r="R295" s="106" t="str">
        <f>IFERROR(__xludf.DUMMYFUNCTION("""COMPUTED_VALUE"""),"")</f>
        <v/>
      </c>
      <c r="S295" s="106" t="str">
        <f>IFERROR(__xludf.DUMMYFUNCTION("""COMPUTED_VALUE"""),"")</f>
        <v/>
      </c>
      <c r="T295" s="139" t="str">
        <f>IFERROR(__xludf.DUMMYFUNCTION("""COMPUTED_VALUE"""),"")</f>
        <v/>
      </c>
      <c r="U295" s="139" t="str">
        <f>IFERROR(__xludf.DUMMYFUNCTION("""COMPUTED_VALUE"""),"")</f>
        <v/>
      </c>
      <c r="V295" s="136" t="str">
        <f>IFERROR(__xludf.DUMMYFUNCTION("""COMPUTED_VALUE"""),"")</f>
        <v/>
      </c>
      <c r="W295" s="106" t="str">
        <f>IFERROR(__xludf.DUMMYFUNCTION("""COMPUTED_VALUE"""),"")</f>
        <v/>
      </c>
      <c r="X295" s="143" t="str">
        <f t="shared" si="2"/>
        <v/>
      </c>
      <c r="Y295" s="139" t="str">
        <f>IFERROR(__xludf.DUMMYFUNCTION("""COMPUTED_VALUE"""),"")</f>
        <v/>
      </c>
      <c r="Z295" s="141" t="str">
        <f>IFERROR(__xludf.DUMMYFUNCTION("""COMPUTED_VALUE"""),"")</f>
        <v/>
      </c>
    </row>
    <row r="296">
      <c r="A296" s="136"/>
      <c r="B296" s="136"/>
      <c r="C296" s="136" t="str">
        <f>IFERROR(__xludf.DUMMYFUNCTION("""COMPUTED_VALUE"""),"")</f>
        <v/>
      </c>
      <c r="D296" s="136" t="str">
        <f t="shared" si="3"/>
        <v/>
      </c>
      <c r="E296" s="152" t="str">
        <f>IFERROR(__xludf.DUMMYFUNCTION("""COMPUTED_VALUE"""),"")</f>
        <v/>
      </c>
      <c r="F296" s="106" t="s">
        <v>133</v>
      </c>
      <c r="G296" s="152" t="str">
        <f>IFERROR(__xludf.DUMMYFUNCTION("""COMPUTED_VALUE"""),"")</f>
        <v/>
      </c>
      <c r="H296" s="106" t="s">
        <v>133</v>
      </c>
      <c r="I296" s="136"/>
      <c r="J296" s="139" t="s">
        <v>133</v>
      </c>
      <c r="K296" s="136" t="s">
        <v>133</v>
      </c>
      <c r="L296" s="153" t="str">
        <f>IFERROR(__xludf.DUMMYFUNCTION("""COMPUTED_VALUE"""),"")</f>
        <v/>
      </c>
      <c r="M296" s="136" t="str">
        <f t="shared" si="1"/>
        <v/>
      </c>
      <c r="N296" s="136" t="str">
        <f>IFERROR(__xludf.DUMMYFUNCTION("""COMPUTED_VALUE"""),"")</f>
        <v/>
      </c>
      <c r="O296" s="141" t="s">
        <v>133</v>
      </c>
      <c r="P296" s="136" t="str">
        <f>IFERROR(__xludf.DUMMYFUNCTION("""COMPUTED_VALUE"""),"")</f>
        <v/>
      </c>
      <c r="Q296" s="136" t="str">
        <f>IFERROR(__xludf.DUMMYFUNCTION("""COMPUTED_VALUE"""),"")</f>
        <v/>
      </c>
      <c r="R296" s="106" t="str">
        <f>IFERROR(__xludf.DUMMYFUNCTION("""COMPUTED_VALUE"""),"")</f>
        <v/>
      </c>
      <c r="S296" s="106" t="str">
        <f>IFERROR(__xludf.DUMMYFUNCTION("""COMPUTED_VALUE"""),"")</f>
        <v/>
      </c>
      <c r="T296" s="139" t="str">
        <f>IFERROR(__xludf.DUMMYFUNCTION("""COMPUTED_VALUE"""),"")</f>
        <v/>
      </c>
      <c r="U296" s="139" t="str">
        <f>IFERROR(__xludf.DUMMYFUNCTION("""COMPUTED_VALUE"""),"")</f>
        <v/>
      </c>
      <c r="V296" s="136" t="str">
        <f>IFERROR(__xludf.DUMMYFUNCTION("""COMPUTED_VALUE"""),"")</f>
        <v/>
      </c>
      <c r="W296" s="106" t="str">
        <f>IFERROR(__xludf.DUMMYFUNCTION("""COMPUTED_VALUE"""),"")</f>
        <v/>
      </c>
      <c r="X296" s="143" t="str">
        <f t="shared" si="2"/>
        <v/>
      </c>
      <c r="Y296" s="139" t="str">
        <f>IFERROR(__xludf.DUMMYFUNCTION("""COMPUTED_VALUE"""),"")</f>
        <v/>
      </c>
      <c r="Z296" s="141" t="str">
        <f>IFERROR(__xludf.DUMMYFUNCTION("""COMPUTED_VALUE"""),"")</f>
        <v/>
      </c>
    </row>
    <row r="297">
      <c r="A297" s="136"/>
      <c r="B297" s="136"/>
      <c r="C297" s="136" t="str">
        <f>IFERROR(__xludf.DUMMYFUNCTION("""COMPUTED_VALUE"""),"")</f>
        <v/>
      </c>
      <c r="D297" s="136" t="str">
        <f t="shared" si="3"/>
        <v/>
      </c>
      <c r="E297" s="152" t="str">
        <f>IFERROR(__xludf.DUMMYFUNCTION("""COMPUTED_VALUE"""),"")</f>
        <v/>
      </c>
      <c r="F297" s="106" t="s">
        <v>133</v>
      </c>
      <c r="G297" s="152" t="str">
        <f>IFERROR(__xludf.DUMMYFUNCTION("""COMPUTED_VALUE"""),"")</f>
        <v/>
      </c>
      <c r="H297" s="106" t="s">
        <v>133</v>
      </c>
      <c r="I297" s="136"/>
      <c r="J297" s="139" t="s">
        <v>133</v>
      </c>
      <c r="K297" s="136" t="s">
        <v>133</v>
      </c>
      <c r="L297" s="153" t="str">
        <f>IFERROR(__xludf.DUMMYFUNCTION("""COMPUTED_VALUE"""),"")</f>
        <v/>
      </c>
      <c r="M297" s="136" t="str">
        <f t="shared" si="1"/>
        <v/>
      </c>
      <c r="N297" s="136" t="str">
        <f>IFERROR(__xludf.DUMMYFUNCTION("""COMPUTED_VALUE"""),"")</f>
        <v/>
      </c>
      <c r="O297" s="141" t="s">
        <v>133</v>
      </c>
      <c r="P297" s="136" t="str">
        <f>IFERROR(__xludf.DUMMYFUNCTION("""COMPUTED_VALUE"""),"")</f>
        <v/>
      </c>
      <c r="Q297" s="136" t="str">
        <f>IFERROR(__xludf.DUMMYFUNCTION("""COMPUTED_VALUE"""),"")</f>
        <v/>
      </c>
      <c r="R297" s="106" t="str">
        <f>IFERROR(__xludf.DUMMYFUNCTION("""COMPUTED_VALUE"""),"")</f>
        <v/>
      </c>
      <c r="S297" s="106" t="str">
        <f>IFERROR(__xludf.DUMMYFUNCTION("""COMPUTED_VALUE"""),"")</f>
        <v/>
      </c>
      <c r="T297" s="139" t="str">
        <f>IFERROR(__xludf.DUMMYFUNCTION("""COMPUTED_VALUE"""),"")</f>
        <v/>
      </c>
      <c r="U297" s="139" t="str">
        <f>IFERROR(__xludf.DUMMYFUNCTION("""COMPUTED_VALUE"""),"")</f>
        <v/>
      </c>
      <c r="V297" s="136" t="str">
        <f>IFERROR(__xludf.DUMMYFUNCTION("""COMPUTED_VALUE"""),"")</f>
        <v/>
      </c>
      <c r="W297" s="106" t="str">
        <f>IFERROR(__xludf.DUMMYFUNCTION("""COMPUTED_VALUE"""),"")</f>
        <v/>
      </c>
      <c r="X297" s="143" t="str">
        <f t="shared" si="2"/>
        <v/>
      </c>
      <c r="Y297" s="139" t="str">
        <f>IFERROR(__xludf.DUMMYFUNCTION("""COMPUTED_VALUE"""),"")</f>
        <v/>
      </c>
      <c r="Z297" s="141" t="str">
        <f>IFERROR(__xludf.DUMMYFUNCTION("""COMPUTED_VALUE"""),"")</f>
        <v/>
      </c>
    </row>
    <row r="298">
      <c r="A298" s="136"/>
      <c r="B298" s="136"/>
      <c r="C298" s="136" t="str">
        <f>IFERROR(__xludf.DUMMYFUNCTION("""COMPUTED_VALUE"""),"")</f>
        <v/>
      </c>
      <c r="D298" s="136" t="str">
        <f t="shared" si="3"/>
        <v/>
      </c>
      <c r="E298" s="152" t="str">
        <f>IFERROR(__xludf.DUMMYFUNCTION("""COMPUTED_VALUE"""),"")</f>
        <v/>
      </c>
      <c r="F298" s="106" t="s">
        <v>133</v>
      </c>
      <c r="G298" s="152" t="str">
        <f>IFERROR(__xludf.DUMMYFUNCTION("""COMPUTED_VALUE"""),"")</f>
        <v/>
      </c>
      <c r="H298" s="106" t="s">
        <v>133</v>
      </c>
      <c r="I298" s="136"/>
      <c r="J298" s="139" t="s">
        <v>133</v>
      </c>
      <c r="K298" s="136" t="s">
        <v>133</v>
      </c>
      <c r="L298" s="153" t="str">
        <f>IFERROR(__xludf.DUMMYFUNCTION("""COMPUTED_VALUE"""),"")</f>
        <v/>
      </c>
      <c r="M298" s="136" t="str">
        <f t="shared" si="1"/>
        <v/>
      </c>
      <c r="N298" s="136" t="str">
        <f>IFERROR(__xludf.DUMMYFUNCTION("""COMPUTED_VALUE"""),"")</f>
        <v/>
      </c>
      <c r="O298" s="141" t="s">
        <v>133</v>
      </c>
      <c r="P298" s="136" t="str">
        <f>IFERROR(__xludf.DUMMYFUNCTION("""COMPUTED_VALUE"""),"")</f>
        <v/>
      </c>
      <c r="Q298" s="136" t="str">
        <f>IFERROR(__xludf.DUMMYFUNCTION("""COMPUTED_VALUE"""),"")</f>
        <v/>
      </c>
      <c r="R298" s="106" t="str">
        <f>IFERROR(__xludf.DUMMYFUNCTION("""COMPUTED_VALUE"""),"")</f>
        <v/>
      </c>
      <c r="S298" s="106" t="str">
        <f>IFERROR(__xludf.DUMMYFUNCTION("""COMPUTED_VALUE"""),"")</f>
        <v/>
      </c>
      <c r="T298" s="139" t="str">
        <f>IFERROR(__xludf.DUMMYFUNCTION("""COMPUTED_VALUE"""),"")</f>
        <v/>
      </c>
      <c r="U298" s="139" t="str">
        <f>IFERROR(__xludf.DUMMYFUNCTION("""COMPUTED_VALUE"""),"")</f>
        <v/>
      </c>
      <c r="V298" s="136" t="str">
        <f>IFERROR(__xludf.DUMMYFUNCTION("""COMPUTED_VALUE"""),"")</f>
        <v/>
      </c>
      <c r="W298" s="106" t="str">
        <f>IFERROR(__xludf.DUMMYFUNCTION("""COMPUTED_VALUE"""),"")</f>
        <v/>
      </c>
      <c r="X298" s="143" t="str">
        <f t="shared" si="2"/>
        <v/>
      </c>
      <c r="Y298" s="139" t="str">
        <f>IFERROR(__xludf.DUMMYFUNCTION("""COMPUTED_VALUE"""),"")</f>
        <v/>
      </c>
      <c r="Z298" s="141" t="str">
        <f>IFERROR(__xludf.DUMMYFUNCTION("""COMPUTED_VALUE"""),"")</f>
        <v/>
      </c>
    </row>
    <row r="299">
      <c r="A299" s="136"/>
      <c r="B299" s="136"/>
      <c r="C299" s="136" t="str">
        <f>IFERROR(__xludf.DUMMYFUNCTION("""COMPUTED_VALUE"""),"")</f>
        <v/>
      </c>
      <c r="D299" s="136" t="str">
        <f t="shared" si="3"/>
        <v/>
      </c>
      <c r="E299" s="152" t="str">
        <f>IFERROR(__xludf.DUMMYFUNCTION("""COMPUTED_VALUE"""),"")</f>
        <v/>
      </c>
      <c r="F299" s="106" t="s">
        <v>133</v>
      </c>
      <c r="G299" s="152" t="str">
        <f>IFERROR(__xludf.DUMMYFUNCTION("""COMPUTED_VALUE"""),"")</f>
        <v/>
      </c>
      <c r="H299" s="106" t="s">
        <v>133</v>
      </c>
      <c r="I299" s="136"/>
      <c r="J299" s="139" t="s">
        <v>133</v>
      </c>
      <c r="K299" s="136" t="s">
        <v>133</v>
      </c>
      <c r="L299" s="153" t="str">
        <f>IFERROR(__xludf.DUMMYFUNCTION("""COMPUTED_VALUE"""),"")</f>
        <v/>
      </c>
      <c r="M299" s="136" t="str">
        <f t="shared" si="1"/>
        <v/>
      </c>
      <c r="N299" s="136" t="str">
        <f>IFERROR(__xludf.DUMMYFUNCTION("""COMPUTED_VALUE"""),"")</f>
        <v/>
      </c>
      <c r="O299" s="141" t="s">
        <v>133</v>
      </c>
      <c r="P299" s="136" t="str">
        <f>IFERROR(__xludf.DUMMYFUNCTION("""COMPUTED_VALUE"""),"")</f>
        <v/>
      </c>
      <c r="Q299" s="136" t="str">
        <f>IFERROR(__xludf.DUMMYFUNCTION("""COMPUTED_VALUE"""),"")</f>
        <v/>
      </c>
      <c r="R299" s="106" t="str">
        <f>IFERROR(__xludf.DUMMYFUNCTION("""COMPUTED_VALUE"""),"")</f>
        <v/>
      </c>
      <c r="S299" s="106" t="str">
        <f>IFERROR(__xludf.DUMMYFUNCTION("""COMPUTED_VALUE"""),"")</f>
        <v/>
      </c>
      <c r="T299" s="139" t="str">
        <f>IFERROR(__xludf.DUMMYFUNCTION("""COMPUTED_VALUE"""),"")</f>
        <v/>
      </c>
      <c r="U299" s="139" t="str">
        <f>IFERROR(__xludf.DUMMYFUNCTION("""COMPUTED_VALUE"""),"")</f>
        <v/>
      </c>
      <c r="V299" s="136" t="str">
        <f>IFERROR(__xludf.DUMMYFUNCTION("""COMPUTED_VALUE"""),"")</f>
        <v/>
      </c>
      <c r="W299" s="106" t="str">
        <f>IFERROR(__xludf.DUMMYFUNCTION("""COMPUTED_VALUE"""),"")</f>
        <v/>
      </c>
      <c r="X299" s="143" t="str">
        <f t="shared" si="2"/>
        <v/>
      </c>
      <c r="Y299" s="139" t="str">
        <f>IFERROR(__xludf.DUMMYFUNCTION("""COMPUTED_VALUE"""),"")</f>
        <v/>
      </c>
      <c r="Z299" s="141" t="str">
        <f>IFERROR(__xludf.DUMMYFUNCTION("""COMPUTED_VALUE"""),"")</f>
        <v/>
      </c>
    </row>
    <row r="300">
      <c r="A300" s="136"/>
      <c r="B300" s="136"/>
      <c r="C300" s="136" t="str">
        <f>IFERROR(__xludf.DUMMYFUNCTION("""COMPUTED_VALUE"""),"")</f>
        <v/>
      </c>
      <c r="D300" s="136" t="str">
        <f t="shared" si="3"/>
        <v/>
      </c>
      <c r="E300" s="152" t="str">
        <f>IFERROR(__xludf.DUMMYFUNCTION("""COMPUTED_VALUE"""),"")</f>
        <v/>
      </c>
      <c r="F300" s="106" t="s">
        <v>133</v>
      </c>
      <c r="G300" s="152" t="str">
        <f>IFERROR(__xludf.DUMMYFUNCTION("""COMPUTED_VALUE"""),"")</f>
        <v/>
      </c>
      <c r="H300" s="106" t="s">
        <v>133</v>
      </c>
      <c r="I300" s="136"/>
      <c r="J300" s="139" t="s">
        <v>133</v>
      </c>
      <c r="K300" s="136" t="s">
        <v>133</v>
      </c>
      <c r="L300" s="153" t="str">
        <f>IFERROR(__xludf.DUMMYFUNCTION("""COMPUTED_VALUE"""),"")</f>
        <v/>
      </c>
      <c r="M300" s="136" t="str">
        <f t="shared" si="1"/>
        <v/>
      </c>
      <c r="N300" s="136" t="str">
        <f>IFERROR(__xludf.DUMMYFUNCTION("""COMPUTED_VALUE"""),"")</f>
        <v/>
      </c>
      <c r="O300" s="141" t="s">
        <v>133</v>
      </c>
      <c r="P300" s="136" t="str">
        <f>IFERROR(__xludf.DUMMYFUNCTION("""COMPUTED_VALUE"""),"")</f>
        <v/>
      </c>
      <c r="Q300" s="136" t="str">
        <f>IFERROR(__xludf.DUMMYFUNCTION("""COMPUTED_VALUE"""),"")</f>
        <v/>
      </c>
      <c r="R300" s="106" t="str">
        <f>IFERROR(__xludf.DUMMYFUNCTION("""COMPUTED_VALUE"""),"")</f>
        <v/>
      </c>
      <c r="S300" s="106" t="str">
        <f>IFERROR(__xludf.DUMMYFUNCTION("""COMPUTED_VALUE"""),"")</f>
        <v/>
      </c>
      <c r="T300" s="139" t="str">
        <f>IFERROR(__xludf.DUMMYFUNCTION("""COMPUTED_VALUE"""),"")</f>
        <v/>
      </c>
      <c r="U300" s="139" t="str">
        <f>IFERROR(__xludf.DUMMYFUNCTION("""COMPUTED_VALUE"""),"")</f>
        <v/>
      </c>
      <c r="V300" s="136" t="str">
        <f>IFERROR(__xludf.DUMMYFUNCTION("""COMPUTED_VALUE"""),"")</f>
        <v/>
      </c>
      <c r="W300" s="106" t="str">
        <f>IFERROR(__xludf.DUMMYFUNCTION("""COMPUTED_VALUE"""),"")</f>
        <v/>
      </c>
      <c r="X300" s="143" t="str">
        <f t="shared" si="2"/>
        <v/>
      </c>
      <c r="Y300" s="139" t="str">
        <f>IFERROR(__xludf.DUMMYFUNCTION("""COMPUTED_VALUE"""),"")</f>
        <v/>
      </c>
      <c r="Z300" s="141" t="str">
        <f>IFERROR(__xludf.DUMMYFUNCTION("""COMPUTED_VALUE"""),"")</f>
        <v/>
      </c>
    </row>
    <row r="301">
      <c r="A301" s="136"/>
      <c r="B301" s="136"/>
      <c r="C301" s="136" t="str">
        <f>IFERROR(__xludf.DUMMYFUNCTION("""COMPUTED_VALUE"""),"")</f>
        <v/>
      </c>
      <c r="D301" s="136" t="str">
        <f t="shared" si="3"/>
        <v/>
      </c>
      <c r="E301" s="152" t="str">
        <f>IFERROR(__xludf.DUMMYFUNCTION("""COMPUTED_VALUE"""),"")</f>
        <v/>
      </c>
      <c r="F301" s="106" t="s">
        <v>133</v>
      </c>
      <c r="G301" s="152" t="str">
        <f>IFERROR(__xludf.DUMMYFUNCTION("""COMPUTED_VALUE"""),"")</f>
        <v/>
      </c>
      <c r="H301" s="106" t="s">
        <v>133</v>
      </c>
      <c r="I301" s="136"/>
      <c r="J301" s="139" t="s">
        <v>133</v>
      </c>
      <c r="K301" s="136" t="s">
        <v>133</v>
      </c>
      <c r="L301" s="153" t="str">
        <f>IFERROR(__xludf.DUMMYFUNCTION("""COMPUTED_VALUE"""),"")</f>
        <v/>
      </c>
      <c r="M301" s="136" t="str">
        <f t="shared" si="1"/>
        <v/>
      </c>
      <c r="N301" s="136" t="str">
        <f>IFERROR(__xludf.DUMMYFUNCTION("""COMPUTED_VALUE"""),"")</f>
        <v/>
      </c>
      <c r="O301" s="141" t="s">
        <v>133</v>
      </c>
      <c r="P301" s="136" t="str">
        <f>IFERROR(__xludf.DUMMYFUNCTION("""COMPUTED_VALUE"""),"")</f>
        <v/>
      </c>
      <c r="Q301" s="136" t="str">
        <f>IFERROR(__xludf.DUMMYFUNCTION("""COMPUTED_VALUE"""),"")</f>
        <v/>
      </c>
      <c r="R301" s="106" t="str">
        <f>IFERROR(__xludf.DUMMYFUNCTION("""COMPUTED_VALUE"""),"")</f>
        <v/>
      </c>
      <c r="S301" s="106" t="str">
        <f>IFERROR(__xludf.DUMMYFUNCTION("""COMPUTED_VALUE"""),"")</f>
        <v/>
      </c>
      <c r="T301" s="139" t="str">
        <f>IFERROR(__xludf.DUMMYFUNCTION("""COMPUTED_VALUE"""),"")</f>
        <v/>
      </c>
      <c r="U301" s="139" t="str">
        <f>IFERROR(__xludf.DUMMYFUNCTION("""COMPUTED_VALUE"""),"")</f>
        <v/>
      </c>
      <c r="V301" s="136" t="str">
        <f>IFERROR(__xludf.DUMMYFUNCTION("""COMPUTED_VALUE"""),"")</f>
        <v/>
      </c>
      <c r="W301" s="106" t="str">
        <f>IFERROR(__xludf.DUMMYFUNCTION("""COMPUTED_VALUE"""),"")</f>
        <v/>
      </c>
      <c r="X301" s="143" t="str">
        <f t="shared" si="2"/>
        <v/>
      </c>
      <c r="Y301" s="139" t="str">
        <f>IFERROR(__xludf.DUMMYFUNCTION("""COMPUTED_VALUE"""),"")</f>
        <v/>
      </c>
      <c r="Z301" s="141" t="str">
        <f>IFERROR(__xludf.DUMMYFUNCTION("""COMPUTED_VALUE"""),"")</f>
        <v/>
      </c>
    </row>
    <row r="302">
      <c r="A302" s="136"/>
      <c r="B302" s="136"/>
      <c r="C302" s="136" t="str">
        <f>IFERROR(__xludf.DUMMYFUNCTION("""COMPUTED_VALUE"""),"")</f>
        <v/>
      </c>
      <c r="D302" s="136" t="str">
        <f t="shared" si="3"/>
        <v/>
      </c>
      <c r="E302" s="152" t="str">
        <f>IFERROR(__xludf.DUMMYFUNCTION("""COMPUTED_VALUE"""),"")</f>
        <v/>
      </c>
      <c r="F302" s="106" t="s">
        <v>133</v>
      </c>
      <c r="G302" s="152" t="str">
        <f>IFERROR(__xludf.DUMMYFUNCTION("""COMPUTED_VALUE"""),"")</f>
        <v/>
      </c>
      <c r="H302" s="106" t="s">
        <v>133</v>
      </c>
      <c r="I302" s="136"/>
      <c r="J302" s="139" t="s">
        <v>133</v>
      </c>
      <c r="K302" s="136" t="s">
        <v>133</v>
      </c>
      <c r="L302" s="153" t="str">
        <f>IFERROR(__xludf.DUMMYFUNCTION("""COMPUTED_VALUE"""),"")</f>
        <v/>
      </c>
      <c r="M302" s="136" t="str">
        <f t="shared" si="1"/>
        <v/>
      </c>
      <c r="N302" s="136" t="str">
        <f>IFERROR(__xludf.DUMMYFUNCTION("""COMPUTED_VALUE"""),"")</f>
        <v/>
      </c>
      <c r="O302" s="141" t="s">
        <v>133</v>
      </c>
      <c r="P302" s="136" t="str">
        <f>IFERROR(__xludf.DUMMYFUNCTION("""COMPUTED_VALUE"""),"")</f>
        <v/>
      </c>
      <c r="Q302" s="136" t="str">
        <f>IFERROR(__xludf.DUMMYFUNCTION("""COMPUTED_VALUE"""),"")</f>
        <v/>
      </c>
      <c r="R302" s="106" t="str">
        <f>IFERROR(__xludf.DUMMYFUNCTION("""COMPUTED_VALUE"""),"")</f>
        <v/>
      </c>
      <c r="S302" s="106" t="str">
        <f>IFERROR(__xludf.DUMMYFUNCTION("""COMPUTED_VALUE"""),"")</f>
        <v/>
      </c>
      <c r="T302" s="139" t="str">
        <f>IFERROR(__xludf.DUMMYFUNCTION("""COMPUTED_VALUE"""),"")</f>
        <v/>
      </c>
      <c r="U302" s="139" t="str">
        <f>IFERROR(__xludf.DUMMYFUNCTION("""COMPUTED_VALUE"""),"")</f>
        <v/>
      </c>
      <c r="V302" s="136" t="str">
        <f>IFERROR(__xludf.DUMMYFUNCTION("""COMPUTED_VALUE"""),"")</f>
        <v/>
      </c>
      <c r="W302" s="106" t="str">
        <f>IFERROR(__xludf.DUMMYFUNCTION("""COMPUTED_VALUE"""),"")</f>
        <v/>
      </c>
      <c r="X302" s="143" t="str">
        <f t="shared" si="2"/>
        <v/>
      </c>
      <c r="Y302" s="139" t="str">
        <f>IFERROR(__xludf.DUMMYFUNCTION("""COMPUTED_VALUE"""),"")</f>
        <v/>
      </c>
      <c r="Z302" s="141" t="str">
        <f>IFERROR(__xludf.DUMMYFUNCTION("""COMPUTED_VALUE"""),"")</f>
        <v/>
      </c>
    </row>
    <row r="303">
      <c r="A303" s="136"/>
      <c r="B303" s="136"/>
      <c r="C303" s="136" t="str">
        <f>IFERROR(__xludf.DUMMYFUNCTION("""COMPUTED_VALUE"""),"")</f>
        <v/>
      </c>
      <c r="D303" s="136" t="str">
        <f t="shared" si="3"/>
        <v/>
      </c>
      <c r="E303" s="152" t="str">
        <f>IFERROR(__xludf.DUMMYFUNCTION("""COMPUTED_VALUE"""),"")</f>
        <v/>
      </c>
      <c r="F303" s="106" t="s">
        <v>133</v>
      </c>
      <c r="G303" s="152" t="str">
        <f>IFERROR(__xludf.DUMMYFUNCTION("""COMPUTED_VALUE"""),"")</f>
        <v/>
      </c>
      <c r="H303" s="106" t="s">
        <v>133</v>
      </c>
      <c r="I303" s="136"/>
      <c r="J303" s="139" t="s">
        <v>133</v>
      </c>
      <c r="K303" s="136" t="s">
        <v>133</v>
      </c>
      <c r="L303" s="153" t="str">
        <f>IFERROR(__xludf.DUMMYFUNCTION("""COMPUTED_VALUE"""),"")</f>
        <v/>
      </c>
      <c r="M303" s="136" t="str">
        <f t="shared" si="1"/>
        <v/>
      </c>
      <c r="N303" s="136" t="str">
        <f>IFERROR(__xludf.DUMMYFUNCTION("""COMPUTED_VALUE"""),"")</f>
        <v/>
      </c>
      <c r="O303" s="141" t="s">
        <v>133</v>
      </c>
      <c r="P303" s="136" t="str">
        <f>IFERROR(__xludf.DUMMYFUNCTION("""COMPUTED_VALUE"""),"")</f>
        <v/>
      </c>
      <c r="Q303" s="136" t="str">
        <f>IFERROR(__xludf.DUMMYFUNCTION("""COMPUTED_VALUE"""),"")</f>
        <v/>
      </c>
      <c r="R303" s="106" t="str">
        <f>IFERROR(__xludf.DUMMYFUNCTION("""COMPUTED_VALUE"""),"")</f>
        <v/>
      </c>
      <c r="S303" s="106" t="str">
        <f>IFERROR(__xludf.DUMMYFUNCTION("""COMPUTED_VALUE"""),"")</f>
        <v/>
      </c>
      <c r="T303" s="139" t="str">
        <f>IFERROR(__xludf.DUMMYFUNCTION("""COMPUTED_VALUE"""),"")</f>
        <v/>
      </c>
      <c r="U303" s="139" t="str">
        <f>IFERROR(__xludf.DUMMYFUNCTION("""COMPUTED_VALUE"""),"")</f>
        <v/>
      </c>
      <c r="V303" s="136" t="str">
        <f>IFERROR(__xludf.DUMMYFUNCTION("""COMPUTED_VALUE"""),"")</f>
        <v/>
      </c>
      <c r="W303" s="106" t="str">
        <f>IFERROR(__xludf.DUMMYFUNCTION("""COMPUTED_VALUE"""),"")</f>
        <v/>
      </c>
      <c r="X303" s="143" t="str">
        <f t="shared" si="2"/>
        <v/>
      </c>
      <c r="Y303" s="139" t="str">
        <f>IFERROR(__xludf.DUMMYFUNCTION("""COMPUTED_VALUE"""),"")</f>
        <v/>
      </c>
      <c r="Z303" s="141" t="str">
        <f>IFERROR(__xludf.DUMMYFUNCTION("""COMPUTED_VALUE"""),"")</f>
        <v/>
      </c>
    </row>
    <row r="304">
      <c r="A304" s="136"/>
      <c r="B304" s="136"/>
      <c r="C304" s="136" t="str">
        <f>IFERROR(__xludf.DUMMYFUNCTION("""COMPUTED_VALUE"""),"")</f>
        <v/>
      </c>
      <c r="D304" s="136" t="str">
        <f t="shared" si="3"/>
        <v/>
      </c>
      <c r="E304" s="152" t="str">
        <f>IFERROR(__xludf.DUMMYFUNCTION("""COMPUTED_VALUE"""),"")</f>
        <v/>
      </c>
      <c r="F304" s="106" t="s">
        <v>133</v>
      </c>
      <c r="G304" s="152" t="str">
        <f>IFERROR(__xludf.DUMMYFUNCTION("""COMPUTED_VALUE"""),"")</f>
        <v/>
      </c>
      <c r="H304" s="106" t="s">
        <v>133</v>
      </c>
      <c r="I304" s="136"/>
      <c r="J304" s="139" t="s">
        <v>133</v>
      </c>
      <c r="K304" s="136" t="s">
        <v>133</v>
      </c>
      <c r="L304" s="153" t="str">
        <f>IFERROR(__xludf.DUMMYFUNCTION("""COMPUTED_VALUE"""),"")</f>
        <v/>
      </c>
      <c r="M304" s="136" t="str">
        <f t="shared" si="1"/>
        <v/>
      </c>
      <c r="N304" s="136" t="str">
        <f>IFERROR(__xludf.DUMMYFUNCTION("""COMPUTED_VALUE"""),"")</f>
        <v/>
      </c>
      <c r="O304" s="141" t="s">
        <v>133</v>
      </c>
      <c r="P304" s="136" t="str">
        <f>IFERROR(__xludf.DUMMYFUNCTION("""COMPUTED_VALUE"""),"")</f>
        <v/>
      </c>
      <c r="Q304" s="136" t="str">
        <f>IFERROR(__xludf.DUMMYFUNCTION("""COMPUTED_VALUE"""),"")</f>
        <v/>
      </c>
      <c r="R304" s="106" t="str">
        <f>IFERROR(__xludf.DUMMYFUNCTION("""COMPUTED_VALUE"""),"")</f>
        <v/>
      </c>
      <c r="S304" s="106" t="str">
        <f>IFERROR(__xludf.DUMMYFUNCTION("""COMPUTED_VALUE"""),"")</f>
        <v/>
      </c>
      <c r="T304" s="139" t="str">
        <f>IFERROR(__xludf.DUMMYFUNCTION("""COMPUTED_VALUE"""),"")</f>
        <v/>
      </c>
      <c r="U304" s="139" t="str">
        <f>IFERROR(__xludf.DUMMYFUNCTION("""COMPUTED_VALUE"""),"")</f>
        <v/>
      </c>
      <c r="V304" s="136" t="str">
        <f>IFERROR(__xludf.DUMMYFUNCTION("""COMPUTED_VALUE"""),"")</f>
        <v/>
      </c>
      <c r="W304" s="106" t="str">
        <f>IFERROR(__xludf.DUMMYFUNCTION("""COMPUTED_VALUE"""),"")</f>
        <v/>
      </c>
      <c r="X304" s="143" t="str">
        <f t="shared" si="2"/>
        <v/>
      </c>
      <c r="Y304" s="139" t="str">
        <f>IFERROR(__xludf.DUMMYFUNCTION("""COMPUTED_VALUE"""),"")</f>
        <v/>
      </c>
      <c r="Z304" s="141" t="str">
        <f>IFERROR(__xludf.DUMMYFUNCTION("""COMPUTED_VALUE"""),"")</f>
        <v/>
      </c>
    </row>
    <row r="305">
      <c r="A305" s="136"/>
      <c r="B305" s="136"/>
      <c r="C305" s="136" t="str">
        <f>IFERROR(__xludf.DUMMYFUNCTION("""COMPUTED_VALUE"""),"")</f>
        <v/>
      </c>
      <c r="D305" s="136" t="str">
        <f t="shared" si="3"/>
        <v/>
      </c>
      <c r="E305" s="152" t="str">
        <f>IFERROR(__xludf.DUMMYFUNCTION("""COMPUTED_VALUE"""),"")</f>
        <v/>
      </c>
      <c r="F305" s="106" t="s">
        <v>133</v>
      </c>
      <c r="G305" s="152" t="str">
        <f>IFERROR(__xludf.DUMMYFUNCTION("""COMPUTED_VALUE"""),"")</f>
        <v/>
      </c>
      <c r="H305" s="106" t="s">
        <v>133</v>
      </c>
      <c r="I305" s="136"/>
      <c r="J305" s="139" t="s">
        <v>133</v>
      </c>
      <c r="K305" s="136" t="s">
        <v>133</v>
      </c>
      <c r="L305" s="153" t="str">
        <f>IFERROR(__xludf.DUMMYFUNCTION("""COMPUTED_VALUE"""),"")</f>
        <v/>
      </c>
      <c r="M305" s="136" t="str">
        <f t="shared" si="1"/>
        <v/>
      </c>
      <c r="N305" s="136" t="str">
        <f>IFERROR(__xludf.DUMMYFUNCTION("""COMPUTED_VALUE"""),"")</f>
        <v/>
      </c>
      <c r="O305" s="141" t="s">
        <v>133</v>
      </c>
      <c r="P305" s="136" t="str">
        <f>IFERROR(__xludf.DUMMYFUNCTION("""COMPUTED_VALUE"""),"")</f>
        <v/>
      </c>
      <c r="Q305" s="136" t="str">
        <f>IFERROR(__xludf.DUMMYFUNCTION("""COMPUTED_VALUE"""),"")</f>
        <v/>
      </c>
      <c r="R305" s="106" t="str">
        <f>IFERROR(__xludf.DUMMYFUNCTION("""COMPUTED_VALUE"""),"")</f>
        <v/>
      </c>
      <c r="S305" s="106" t="str">
        <f>IFERROR(__xludf.DUMMYFUNCTION("""COMPUTED_VALUE"""),"")</f>
        <v/>
      </c>
      <c r="T305" s="139" t="str">
        <f>IFERROR(__xludf.DUMMYFUNCTION("""COMPUTED_VALUE"""),"")</f>
        <v/>
      </c>
      <c r="U305" s="139" t="str">
        <f>IFERROR(__xludf.DUMMYFUNCTION("""COMPUTED_VALUE"""),"")</f>
        <v/>
      </c>
      <c r="V305" s="136" t="str">
        <f>IFERROR(__xludf.DUMMYFUNCTION("""COMPUTED_VALUE"""),"")</f>
        <v/>
      </c>
      <c r="W305" s="106" t="str">
        <f>IFERROR(__xludf.DUMMYFUNCTION("""COMPUTED_VALUE"""),"")</f>
        <v/>
      </c>
      <c r="X305" s="143" t="str">
        <f t="shared" si="2"/>
        <v/>
      </c>
      <c r="Y305" s="139" t="str">
        <f>IFERROR(__xludf.DUMMYFUNCTION("""COMPUTED_VALUE"""),"")</f>
        <v/>
      </c>
      <c r="Z305" s="141" t="str">
        <f>IFERROR(__xludf.DUMMYFUNCTION("""COMPUTED_VALUE"""),"")</f>
        <v/>
      </c>
    </row>
    <row r="306">
      <c r="A306" s="136"/>
      <c r="B306" s="136"/>
      <c r="C306" s="136" t="str">
        <f>IFERROR(__xludf.DUMMYFUNCTION("""COMPUTED_VALUE"""),"")</f>
        <v/>
      </c>
      <c r="D306" s="136" t="str">
        <f t="shared" si="3"/>
        <v/>
      </c>
      <c r="E306" s="152" t="str">
        <f>IFERROR(__xludf.DUMMYFUNCTION("""COMPUTED_VALUE"""),"")</f>
        <v/>
      </c>
      <c r="F306" s="106" t="s">
        <v>133</v>
      </c>
      <c r="G306" s="152" t="str">
        <f>IFERROR(__xludf.DUMMYFUNCTION("""COMPUTED_VALUE"""),"")</f>
        <v/>
      </c>
      <c r="H306" s="106" t="s">
        <v>133</v>
      </c>
      <c r="I306" s="136"/>
      <c r="J306" s="139" t="s">
        <v>133</v>
      </c>
      <c r="K306" s="136" t="s">
        <v>133</v>
      </c>
      <c r="L306" s="153" t="str">
        <f>IFERROR(__xludf.DUMMYFUNCTION("""COMPUTED_VALUE"""),"")</f>
        <v/>
      </c>
      <c r="M306" s="136" t="str">
        <f t="shared" si="1"/>
        <v/>
      </c>
      <c r="N306" s="136" t="str">
        <f>IFERROR(__xludf.DUMMYFUNCTION("""COMPUTED_VALUE"""),"")</f>
        <v/>
      </c>
      <c r="O306" s="141" t="s">
        <v>133</v>
      </c>
      <c r="P306" s="136" t="str">
        <f>IFERROR(__xludf.DUMMYFUNCTION("""COMPUTED_VALUE"""),"")</f>
        <v/>
      </c>
      <c r="Q306" s="136" t="str">
        <f>IFERROR(__xludf.DUMMYFUNCTION("""COMPUTED_VALUE"""),"")</f>
        <v/>
      </c>
      <c r="R306" s="106" t="str">
        <f>IFERROR(__xludf.DUMMYFUNCTION("""COMPUTED_VALUE"""),"")</f>
        <v/>
      </c>
      <c r="S306" s="106" t="str">
        <f>IFERROR(__xludf.DUMMYFUNCTION("""COMPUTED_VALUE"""),"")</f>
        <v/>
      </c>
      <c r="T306" s="139" t="str">
        <f>IFERROR(__xludf.DUMMYFUNCTION("""COMPUTED_VALUE"""),"")</f>
        <v/>
      </c>
      <c r="U306" s="139" t="str">
        <f>IFERROR(__xludf.DUMMYFUNCTION("""COMPUTED_VALUE"""),"")</f>
        <v/>
      </c>
      <c r="V306" s="136" t="str">
        <f>IFERROR(__xludf.DUMMYFUNCTION("""COMPUTED_VALUE"""),"")</f>
        <v/>
      </c>
      <c r="W306" s="106" t="str">
        <f>IFERROR(__xludf.DUMMYFUNCTION("""COMPUTED_VALUE"""),"")</f>
        <v/>
      </c>
      <c r="X306" s="143" t="str">
        <f t="shared" si="2"/>
        <v/>
      </c>
      <c r="Y306" s="139" t="str">
        <f>IFERROR(__xludf.DUMMYFUNCTION("""COMPUTED_VALUE"""),"")</f>
        <v/>
      </c>
      <c r="Z306" s="141" t="str">
        <f>IFERROR(__xludf.DUMMYFUNCTION("""COMPUTED_VALUE"""),"")</f>
        <v/>
      </c>
    </row>
    <row r="307">
      <c r="A307" s="136"/>
      <c r="B307" s="136"/>
      <c r="C307" s="136" t="str">
        <f>IFERROR(__xludf.DUMMYFUNCTION("""COMPUTED_VALUE"""),"")</f>
        <v/>
      </c>
      <c r="D307" s="136" t="str">
        <f t="shared" si="3"/>
        <v/>
      </c>
      <c r="E307" s="152" t="str">
        <f>IFERROR(__xludf.DUMMYFUNCTION("""COMPUTED_VALUE"""),"")</f>
        <v/>
      </c>
      <c r="F307" s="106" t="s">
        <v>133</v>
      </c>
      <c r="G307" s="152" t="str">
        <f>IFERROR(__xludf.DUMMYFUNCTION("""COMPUTED_VALUE"""),"")</f>
        <v/>
      </c>
      <c r="H307" s="106" t="s">
        <v>133</v>
      </c>
      <c r="I307" s="136"/>
      <c r="J307" s="139" t="s">
        <v>133</v>
      </c>
      <c r="K307" s="136" t="s">
        <v>133</v>
      </c>
      <c r="L307" s="153" t="str">
        <f>IFERROR(__xludf.DUMMYFUNCTION("""COMPUTED_VALUE"""),"")</f>
        <v/>
      </c>
      <c r="M307" s="136" t="str">
        <f t="shared" si="1"/>
        <v/>
      </c>
      <c r="N307" s="136" t="str">
        <f>IFERROR(__xludf.DUMMYFUNCTION("""COMPUTED_VALUE"""),"")</f>
        <v/>
      </c>
      <c r="O307" s="141" t="s">
        <v>133</v>
      </c>
      <c r="P307" s="136" t="str">
        <f>IFERROR(__xludf.DUMMYFUNCTION("""COMPUTED_VALUE"""),"")</f>
        <v/>
      </c>
      <c r="Q307" s="136" t="str">
        <f>IFERROR(__xludf.DUMMYFUNCTION("""COMPUTED_VALUE"""),"")</f>
        <v/>
      </c>
      <c r="R307" s="106" t="str">
        <f>IFERROR(__xludf.DUMMYFUNCTION("""COMPUTED_VALUE"""),"")</f>
        <v/>
      </c>
      <c r="S307" s="106" t="str">
        <f>IFERROR(__xludf.DUMMYFUNCTION("""COMPUTED_VALUE"""),"")</f>
        <v/>
      </c>
      <c r="T307" s="139" t="str">
        <f>IFERROR(__xludf.DUMMYFUNCTION("""COMPUTED_VALUE"""),"")</f>
        <v/>
      </c>
      <c r="U307" s="139" t="str">
        <f>IFERROR(__xludf.DUMMYFUNCTION("""COMPUTED_VALUE"""),"")</f>
        <v/>
      </c>
      <c r="V307" s="136" t="str">
        <f>IFERROR(__xludf.DUMMYFUNCTION("""COMPUTED_VALUE"""),"")</f>
        <v/>
      </c>
      <c r="W307" s="106" t="str">
        <f>IFERROR(__xludf.DUMMYFUNCTION("""COMPUTED_VALUE"""),"")</f>
        <v/>
      </c>
      <c r="X307" s="143" t="str">
        <f t="shared" si="2"/>
        <v/>
      </c>
      <c r="Y307" s="139" t="str">
        <f>IFERROR(__xludf.DUMMYFUNCTION("""COMPUTED_VALUE"""),"")</f>
        <v/>
      </c>
      <c r="Z307" s="141" t="str">
        <f>IFERROR(__xludf.DUMMYFUNCTION("""COMPUTED_VALUE"""),"")</f>
        <v/>
      </c>
    </row>
    <row r="308">
      <c r="A308" s="136"/>
      <c r="B308" s="136"/>
      <c r="C308" s="136" t="str">
        <f>IFERROR(__xludf.DUMMYFUNCTION("""COMPUTED_VALUE"""),"")</f>
        <v/>
      </c>
      <c r="D308" s="136" t="str">
        <f t="shared" si="3"/>
        <v/>
      </c>
      <c r="E308" s="152" t="str">
        <f>IFERROR(__xludf.DUMMYFUNCTION("""COMPUTED_VALUE"""),"")</f>
        <v/>
      </c>
      <c r="F308" s="106" t="s">
        <v>133</v>
      </c>
      <c r="G308" s="152" t="str">
        <f>IFERROR(__xludf.DUMMYFUNCTION("""COMPUTED_VALUE"""),"")</f>
        <v/>
      </c>
      <c r="H308" s="106" t="s">
        <v>133</v>
      </c>
      <c r="I308" s="136"/>
      <c r="J308" s="139" t="s">
        <v>133</v>
      </c>
      <c r="K308" s="136" t="s">
        <v>133</v>
      </c>
      <c r="L308" s="153" t="str">
        <f>IFERROR(__xludf.DUMMYFUNCTION("""COMPUTED_VALUE"""),"")</f>
        <v/>
      </c>
      <c r="M308" s="136" t="str">
        <f t="shared" si="1"/>
        <v/>
      </c>
      <c r="N308" s="136" t="str">
        <f>IFERROR(__xludf.DUMMYFUNCTION("""COMPUTED_VALUE"""),"")</f>
        <v/>
      </c>
      <c r="O308" s="141" t="s">
        <v>133</v>
      </c>
      <c r="P308" s="136" t="str">
        <f>IFERROR(__xludf.DUMMYFUNCTION("""COMPUTED_VALUE"""),"")</f>
        <v/>
      </c>
      <c r="Q308" s="136" t="str">
        <f>IFERROR(__xludf.DUMMYFUNCTION("""COMPUTED_VALUE"""),"")</f>
        <v/>
      </c>
      <c r="R308" s="106" t="str">
        <f>IFERROR(__xludf.DUMMYFUNCTION("""COMPUTED_VALUE"""),"")</f>
        <v/>
      </c>
      <c r="S308" s="106" t="str">
        <f>IFERROR(__xludf.DUMMYFUNCTION("""COMPUTED_VALUE"""),"")</f>
        <v/>
      </c>
      <c r="T308" s="139" t="str">
        <f>IFERROR(__xludf.DUMMYFUNCTION("""COMPUTED_VALUE"""),"")</f>
        <v/>
      </c>
      <c r="U308" s="139" t="str">
        <f>IFERROR(__xludf.DUMMYFUNCTION("""COMPUTED_VALUE"""),"")</f>
        <v/>
      </c>
      <c r="V308" s="136" t="str">
        <f>IFERROR(__xludf.DUMMYFUNCTION("""COMPUTED_VALUE"""),"")</f>
        <v/>
      </c>
      <c r="W308" s="106" t="str">
        <f>IFERROR(__xludf.DUMMYFUNCTION("""COMPUTED_VALUE"""),"")</f>
        <v/>
      </c>
      <c r="X308" s="143" t="str">
        <f t="shared" si="2"/>
        <v/>
      </c>
      <c r="Y308" s="139" t="str">
        <f>IFERROR(__xludf.DUMMYFUNCTION("""COMPUTED_VALUE"""),"")</f>
        <v/>
      </c>
      <c r="Z308" s="141" t="str">
        <f>IFERROR(__xludf.DUMMYFUNCTION("""COMPUTED_VALUE"""),"")</f>
        <v/>
      </c>
    </row>
    <row r="309">
      <c r="A309" s="136"/>
      <c r="B309" s="136"/>
      <c r="C309" s="136" t="str">
        <f>IFERROR(__xludf.DUMMYFUNCTION("""COMPUTED_VALUE"""),"")</f>
        <v/>
      </c>
      <c r="D309" s="136" t="str">
        <f t="shared" si="3"/>
        <v/>
      </c>
      <c r="E309" s="152" t="str">
        <f>IFERROR(__xludf.DUMMYFUNCTION("""COMPUTED_VALUE"""),"")</f>
        <v/>
      </c>
      <c r="F309" s="106" t="s">
        <v>133</v>
      </c>
      <c r="G309" s="152" t="str">
        <f>IFERROR(__xludf.DUMMYFUNCTION("""COMPUTED_VALUE"""),"")</f>
        <v/>
      </c>
      <c r="H309" s="106" t="s">
        <v>133</v>
      </c>
      <c r="I309" s="136"/>
      <c r="J309" s="139" t="s">
        <v>133</v>
      </c>
      <c r="K309" s="136" t="s">
        <v>133</v>
      </c>
      <c r="L309" s="153" t="str">
        <f>IFERROR(__xludf.DUMMYFUNCTION("""COMPUTED_VALUE"""),"")</f>
        <v/>
      </c>
      <c r="M309" s="136" t="str">
        <f t="shared" si="1"/>
        <v/>
      </c>
      <c r="N309" s="136" t="str">
        <f>IFERROR(__xludf.DUMMYFUNCTION("""COMPUTED_VALUE"""),"")</f>
        <v/>
      </c>
      <c r="O309" s="141" t="s">
        <v>133</v>
      </c>
      <c r="P309" s="136" t="str">
        <f>IFERROR(__xludf.DUMMYFUNCTION("""COMPUTED_VALUE"""),"")</f>
        <v/>
      </c>
      <c r="Q309" s="136" t="str">
        <f>IFERROR(__xludf.DUMMYFUNCTION("""COMPUTED_VALUE"""),"")</f>
        <v/>
      </c>
      <c r="R309" s="106" t="str">
        <f>IFERROR(__xludf.DUMMYFUNCTION("""COMPUTED_VALUE"""),"")</f>
        <v/>
      </c>
      <c r="S309" s="106" t="str">
        <f>IFERROR(__xludf.DUMMYFUNCTION("""COMPUTED_VALUE"""),"")</f>
        <v/>
      </c>
      <c r="T309" s="139" t="str">
        <f>IFERROR(__xludf.DUMMYFUNCTION("""COMPUTED_VALUE"""),"")</f>
        <v/>
      </c>
      <c r="U309" s="139" t="str">
        <f>IFERROR(__xludf.DUMMYFUNCTION("""COMPUTED_VALUE"""),"")</f>
        <v/>
      </c>
      <c r="V309" s="136" t="str">
        <f>IFERROR(__xludf.DUMMYFUNCTION("""COMPUTED_VALUE"""),"")</f>
        <v/>
      </c>
      <c r="W309" s="106" t="str">
        <f>IFERROR(__xludf.DUMMYFUNCTION("""COMPUTED_VALUE"""),"")</f>
        <v/>
      </c>
      <c r="X309" s="143" t="str">
        <f t="shared" si="2"/>
        <v/>
      </c>
      <c r="Y309" s="139" t="str">
        <f>IFERROR(__xludf.DUMMYFUNCTION("""COMPUTED_VALUE"""),"")</f>
        <v/>
      </c>
      <c r="Z309" s="141" t="str">
        <f>IFERROR(__xludf.DUMMYFUNCTION("""COMPUTED_VALUE"""),"")</f>
        <v/>
      </c>
    </row>
    <row r="310">
      <c r="A310" s="136"/>
      <c r="B310" s="136"/>
      <c r="C310" s="136" t="str">
        <f>IFERROR(__xludf.DUMMYFUNCTION("""COMPUTED_VALUE"""),"")</f>
        <v/>
      </c>
      <c r="D310" s="136" t="str">
        <f t="shared" si="3"/>
        <v/>
      </c>
      <c r="E310" s="152" t="str">
        <f>IFERROR(__xludf.DUMMYFUNCTION("""COMPUTED_VALUE"""),"")</f>
        <v/>
      </c>
      <c r="F310" s="106" t="s">
        <v>133</v>
      </c>
      <c r="G310" s="152" t="str">
        <f>IFERROR(__xludf.DUMMYFUNCTION("""COMPUTED_VALUE"""),"")</f>
        <v/>
      </c>
      <c r="H310" s="106" t="s">
        <v>133</v>
      </c>
      <c r="I310" s="136"/>
      <c r="J310" s="139" t="s">
        <v>133</v>
      </c>
      <c r="K310" s="136" t="s">
        <v>133</v>
      </c>
      <c r="L310" s="153" t="str">
        <f>IFERROR(__xludf.DUMMYFUNCTION("""COMPUTED_VALUE"""),"")</f>
        <v/>
      </c>
      <c r="M310" s="136" t="str">
        <f t="shared" si="1"/>
        <v/>
      </c>
      <c r="N310" s="136" t="str">
        <f>IFERROR(__xludf.DUMMYFUNCTION("""COMPUTED_VALUE"""),"")</f>
        <v/>
      </c>
      <c r="O310" s="141" t="s">
        <v>133</v>
      </c>
      <c r="P310" s="136" t="str">
        <f>IFERROR(__xludf.DUMMYFUNCTION("""COMPUTED_VALUE"""),"")</f>
        <v/>
      </c>
      <c r="Q310" s="136" t="str">
        <f>IFERROR(__xludf.DUMMYFUNCTION("""COMPUTED_VALUE"""),"")</f>
        <v/>
      </c>
      <c r="R310" s="106" t="str">
        <f>IFERROR(__xludf.DUMMYFUNCTION("""COMPUTED_VALUE"""),"")</f>
        <v/>
      </c>
      <c r="S310" s="106" t="str">
        <f>IFERROR(__xludf.DUMMYFUNCTION("""COMPUTED_VALUE"""),"")</f>
        <v/>
      </c>
      <c r="T310" s="139" t="str">
        <f>IFERROR(__xludf.DUMMYFUNCTION("""COMPUTED_VALUE"""),"")</f>
        <v/>
      </c>
      <c r="U310" s="139" t="str">
        <f>IFERROR(__xludf.DUMMYFUNCTION("""COMPUTED_VALUE"""),"")</f>
        <v/>
      </c>
      <c r="V310" s="136" t="str">
        <f>IFERROR(__xludf.DUMMYFUNCTION("""COMPUTED_VALUE"""),"")</f>
        <v/>
      </c>
      <c r="W310" s="106" t="str">
        <f>IFERROR(__xludf.DUMMYFUNCTION("""COMPUTED_VALUE"""),"")</f>
        <v/>
      </c>
      <c r="X310" s="143" t="str">
        <f t="shared" si="2"/>
        <v/>
      </c>
      <c r="Y310" s="139" t="str">
        <f>IFERROR(__xludf.DUMMYFUNCTION("""COMPUTED_VALUE"""),"")</f>
        <v/>
      </c>
      <c r="Z310" s="141" t="str">
        <f>IFERROR(__xludf.DUMMYFUNCTION("""COMPUTED_VALUE"""),"")</f>
        <v/>
      </c>
    </row>
    <row r="311">
      <c r="A311" s="136"/>
      <c r="B311" s="136"/>
      <c r="C311" s="136" t="str">
        <f>IFERROR(__xludf.DUMMYFUNCTION("""COMPUTED_VALUE"""),"")</f>
        <v/>
      </c>
      <c r="D311" s="136" t="str">
        <f t="shared" si="3"/>
        <v/>
      </c>
      <c r="E311" s="152" t="str">
        <f>IFERROR(__xludf.DUMMYFUNCTION("""COMPUTED_VALUE"""),"")</f>
        <v/>
      </c>
      <c r="F311" s="106" t="s">
        <v>133</v>
      </c>
      <c r="G311" s="152" t="str">
        <f>IFERROR(__xludf.DUMMYFUNCTION("""COMPUTED_VALUE"""),"")</f>
        <v/>
      </c>
      <c r="H311" s="106" t="s">
        <v>133</v>
      </c>
      <c r="I311" s="136"/>
      <c r="J311" s="139" t="s">
        <v>133</v>
      </c>
      <c r="K311" s="136" t="s">
        <v>133</v>
      </c>
      <c r="L311" s="153" t="str">
        <f>IFERROR(__xludf.DUMMYFUNCTION("""COMPUTED_VALUE"""),"")</f>
        <v/>
      </c>
      <c r="M311" s="136" t="str">
        <f t="shared" si="1"/>
        <v/>
      </c>
      <c r="N311" s="136" t="str">
        <f>IFERROR(__xludf.DUMMYFUNCTION("""COMPUTED_VALUE"""),"")</f>
        <v/>
      </c>
      <c r="O311" s="141" t="s">
        <v>133</v>
      </c>
      <c r="P311" s="136" t="str">
        <f>IFERROR(__xludf.DUMMYFUNCTION("""COMPUTED_VALUE"""),"")</f>
        <v/>
      </c>
      <c r="Q311" s="136" t="str">
        <f>IFERROR(__xludf.DUMMYFUNCTION("""COMPUTED_VALUE"""),"")</f>
        <v/>
      </c>
      <c r="R311" s="106" t="str">
        <f>IFERROR(__xludf.DUMMYFUNCTION("""COMPUTED_VALUE"""),"")</f>
        <v/>
      </c>
      <c r="S311" s="106" t="str">
        <f>IFERROR(__xludf.DUMMYFUNCTION("""COMPUTED_VALUE"""),"")</f>
        <v/>
      </c>
      <c r="T311" s="139" t="str">
        <f>IFERROR(__xludf.DUMMYFUNCTION("""COMPUTED_VALUE"""),"")</f>
        <v/>
      </c>
      <c r="U311" s="139" t="str">
        <f>IFERROR(__xludf.DUMMYFUNCTION("""COMPUTED_VALUE"""),"")</f>
        <v/>
      </c>
      <c r="V311" s="136" t="str">
        <f>IFERROR(__xludf.DUMMYFUNCTION("""COMPUTED_VALUE"""),"")</f>
        <v/>
      </c>
      <c r="W311" s="106" t="str">
        <f>IFERROR(__xludf.DUMMYFUNCTION("""COMPUTED_VALUE"""),"")</f>
        <v/>
      </c>
      <c r="X311" s="143" t="str">
        <f t="shared" si="2"/>
        <v/>
      </c>
      <c r="Y311" s="139" t="str">
        <f>IFERROR(__xludf.DUMMYFUNCTION("""COMPUTED_VALUE"""),"")</f>
        <v/>
      </c>
      <c r="Z311" s="141" t="str">
        <f>IFERROR(__xludf.DUMMYFUNCTION("""COMPUTED_VALUE"""),"")</f>
        <v/>
      </c>
    </row>
    <row r="312">
      <c r="A312" s="136"/>
      <c r="B312" s="136"/>
      <c r="C312" s="136" t="str">
        <f>IFERROR(__xludf.DUMMYFUNCTION("""COMPUTED_VALUE"""),"")</f>
        <v/>
      </c>
      <c r="D312" s="136" t="str">
        <f t="shared" si="3"/>
        <v/>
      </c>
      <c r="E312" s="152" t="str">
        <f>IFERROR(__xludf.DUMMYFUNCTION("""COMPUTED_VALUE"""),"")</f>
        <v/>
      </c>
      <c r="F312" s="106" t="s">
        <v>133</v>
      </c>
      <c r="G312" s="152" t="str">
        <f>IFERROR(__xludf.DUMMYFUNCTION("""COMPUTED_VALUE"""),"")</f>
        <v/>
      </c>
      <c r="H312" s="106" t="s">
        <v>133</v>
      </c>
      <c r="I312" s="136"/>
      <c r="J312" s="139" t="s">
        <v>133</v>
      </c>
      <c r="K312" s="136" t="s">
        <v>133</v>
      </c>
      <c r="L312" s="153" t="str">
        <f>IFERROR(__xludf.DUMMYFUNCTION("""COMPUTED_VALUE"""),"")</f>
        <v/>
      </c>
      <c r="M312" s="136" t="str">
        <f t="shared" si="1"/>
        <v/>
      </c>
      <c r="N312" s="136" t="str">
        <f>IFERROR(__xludf.DUMMYFUNCTION("""COMPUTED_VALUE"""),"")</f>
        <v/>
      </c>
      <c r="O312" s="141" t="s">
        <v>133</v>
      </c>
      <c r="P312" s="136" t="str">
        <f>IFERROR(__xludf.DUMMYFUNCTION("""COMPUTED_VALUE"""),"")</f>
        <v/>
      </c>
      <c r="Q312" s="136" t="str">
        <f>IFERROR(__xludf.DUMMYFUNCTION("""COMPUTED_VALUE"""),"")</f>
        <v/>
      </c>
      <c r="R312" s="106" t="str">
        <f>IFERROR(__xludf.DUMMYFUNCTION("""COMPUTED_VALUE"""),"")</f>
        <v/>
      </c>
      <c r="S312" s="106" t="str">
        <f>IFERROR(__xludf.DUMMYFUNCTION("""COMPUTED_VALUE"""),"")</f>
        <v/>
      </c>
      <c r="T312" s="139" t="str">
        <f>IFERROR(__xludf.DUMMYFUNCTION("""COMPUTED_VALUE"""),"")</f>
        <v/>
      </c>
      <c r="U312" s="139" t="str">
        <f>IFERROR(__xludf.DUMMYFUNCTION("""COMPUTED_VALUE"""),"")</f>
        <v/>
      </c>
      <c r="V312" s="136" t="str">
        <f>IFERROR(__xludf.DUMMYFUNCTION("""COMPUTED_VALUE"""),"")</f>
        <v/>
      </c>
      <c r="W312" s="106" t="str">
        <f>IFERROR(__xludf.DUMMYFUNCTION("""COMPUTED_VALUE"""),"")</f>
        <v/>
      </c>
      <c r="X312" s="143" t="str">
        <f t="shared" si="2"/>
        <v/>
      </c>
      <c r="Y312" s="139" t="str">
        <f>IFERROR(__xludf.DUMMYFUNCTION("""COMPUTED_VALUE"""),"")</f>
        <v/>
      </c>
      <c r="Z312" s="141" t="str">
        <f>IFERROR(__xludf.DUMMYFUNCTION("""COMPUTED_VALUE"""),"")</f>
        <v/>
      </c>
    </row>
    <row r="313">
      <c r="A313" s="136"/>
      <c r="B313" s="136"/>
      <c r="C313" s="136" t="str">
        <f>IFERROR(__xludf.DUMMYFUNCTION("""COMPUTED_VALUE"""),"")</f>
        <v/>
      </c>
      <c r="D313" s="136" t="str">
        <f t="shared" si="3"/>
        <v/>
      </c>
      <c r="E313" s="152" t="str">
        <f>IFERROR(__xludf.DUMMYFUNCTION("""COMPUTED_VALUE"""),"")</f>
        <v/>
      </c>
      <c r="F313" s="106" t="s">
        <v>133</v>
      </c>
      <c r="G313" s="152" t="str">
        <f>IFERROR(__xludf.DUMMYFUNCTION("""COMPUTED_VALUE"""),"")</f>
        <v/>
      </c>
      <c r="H313" s="106" t="s">
        <v>133</v>
      </c>
      <c r="I313" s="136"/>
      <c r="J313" s="139" t="s">
        <v>133</v>
      </c>
      <c r="K313" s="136" t="s">
        <v>133</v>
      </c>
      <c r="L313" s="153" t="str">
        <f>IFERROR(__xludf.DUMMYFUNCTION("""COMPUTED_VALUE"""),"")</f>
        <v/>
      </c>
      <c r="M313" s="136" t="str">
        <f t="shared" si="1"/>
        <v/>
      </c>
      <c r="N313" s="136" t="str">
        <f>IFERROR(__xludf.DUMMYFUNCTION("""COMPUTED_VALUE"""),"")</f>
        <v/>
      </c>
      <c r="O313" s="141" t="s">
        <v>133</v>
      </c>
      <c r="P313" s="136" t="str">
        <f>IFERROR(__xludf.DUMMYFUNCTION("""COMPUTED_VALUE"""),"")</f>
        <v/>
      </c>
      <c r="Q313" s="136" t="str">
        <f>IFERROR(__xludf.DUMMYFUNCTION("""COMPUTED_VALUE"""),"")</f>
        <v/>
      </c>
      <c r="R313" s="106" t="str">
        <f>IFERROR(__xludf.DUMMYFUNCTION("""COMPUTED_VALUE"""),"")</f>
        <v/>
      </c>
      <c r="S313" s="106" t="str">
        <f>IFERROR(__xludf.DUMMYFUNCTION("""COMPUTED_VALUE"""),"")</f>
        <v/>
      </c>
      <c r="T313" s="139" t="str">
        <f>IFERROR(__xludf.DUMMYFUNCTION("""COMPUTED_VALUE"""),"")</f>
        <v/>
      </c>
      <c r="U313" s="139" t="str">
        <f>IFERROR(__xludf.DUMMYFUNCTION("""COMPUTED_VALUE"""),"")</f>
        <v/>
      </c>
      <c r="V313" s="136" t="str">
        <f>IFERROR(__xludf.DUMMYFUNCTION("""COMPUTED_VALUE"""),"")</f>
        <v/>
      </c>
      <c r="W313" s="106" t="str">
        <f>IFERROR(__xludf.DUMMYFUNCTION("""COMPUTED_VALUE"""),"")</f>
        <v/>
      </c>
      <c r="X313" s="143" t="str">
        <f t="shared" si="2"/>
        <v/>
      </c>
      <c r="Y313" s="139" t="str">
        <f>IFERROR(__xludf.DUMMYFUNCTION("""COMPUTED_VALUE"""),"")</f>
        <v/>
      </c>
      <c r="Z313" s="141" t="str">
        <f>IFERROR(__xludf.DUMMYFUNCTION("""COMPUTED_VALUE"""),"")</f>
        <v/>
      </c>
    </row>
    <row r="314">
      <c r="A314" s="136"/>
      <c r="B314" s="136"/>
      <c r="C314" s="136" t="str">
        <f>IFERROR(__xludf.DUMMYFUNCTION("""COMPUTED_VALUE"""),"")</f>
        <v/>
      </c>
      <c r="D314" s="136" t="str">
        <f t="shared" si="3"/>
        <v/>
      </c>
      <c r="E314" s="152" t="str">
        <f>IFERROR(__xludf.DUMMYFUNCTION("""COMPUTED_VALUE"""),"")</f>
        <v/>
      </c>
      <c r="F314" s="106" t="s">
        <v>133</v>
      </c>
      <c r="G314" s="152" t="str">
        <f>IFERROR(__xludf.DUMMYFUNCTION("""COMPUTED_VALUE"""),"")</f>
        <v/>
      </c>
      <c r="H314" s="106" t="s">
        <v>133</v>
      </c>
      <c r="I314" s="136"/>
      <c r="J314" s="139" t="s">
        <v>133</v>
      </c>
      <c r="K314" s="136" t="s">
        <v>133</v>
      </c>
      <c r="L314" s="153" t="str">
        <f>IFERROR(__xludf.DUMMYFUNCTION("""COMPUTED_VALUE"""),"")</f>
        <v/>
      </c>
      <c r="M314" s="136" t="str">
        <f t="shared" si="1"/>
        <v/>
      </c>
      <c r="N314" s="136" t="str">
        <f>IFERROR(__xludf.DUMMYFUNCTION("""COMPUTED_VALUE"""),"")</f>
        <v/>
      </c>
      <c r="O314" s="141" t="s">
        <v>133</v>
      </c>
      <c r="P314" s="136" t="str">
        <f>IFERROR(__xludf.DUMMYFUNCTION("""COMPUTED_VALUE"""),"")</f>
        <v/>
      </c>
      <c r="Q314" s="136" t="str">
        <f>IFERROR(__xludf.DUMMYFUNCTION("""COMPUTED_VALUE"""),"")</f>
        <v/>
      </c>
      <c r="R314" s="106" t="str">
        <f>IFERROR(__xludf.DUMMYFUNCTION("""COMPUTED_VALUE"""),"")</f>
        <v/>
      </c>
      <c r="S314" s="106" t="str">
        <f>IFERROR(__xludf.DUMMYFUNCTION("""COMPUTED_VALUE"""),"")</f>
        <v/>
      </c>
      <c r="T314" s="139" t="str">
        <f>IFERROR(__xludf.DUMMYFUNCTION("""COMPUTED_VALUE"""),"")</f>
        <v/>
      </c>
      <c r="U314" s="139" t="str">
        <f>IFERROR(__xludf.DUMMYFUNCTION("""COMPUTED_VALUE"""),"")</f>
        <v/>
      </c>
      <c r="V314" s="136" t="str">
        <f>IFERROR(__xludf.DUMMYFUNCTION("""COMPUTED_VALUE"""),"")</f>
        <v/>
      </c>
      <c r="W314" s="106" t="str">
        <f>IFERROR(__xludf.DUMMYFUNCTION("""COMPUTED_VALUE"""),"")</f>
        <v/>
      </c>
      <c r="X314" s="143" t="str">
        <f t="shared" si="2"/>
        <v/>
      </c>
      <c r="Y314" s="139" t="str">
        <f>IFERROR(__xludf.DUMMYFUNCTION("""COMPUTED_VALUE"""),"")</f>
        <v/>
      </c>
      <c r="Z314" s="141" t="str">
        <f>IFERROR(__xludf.DUMMYFUNCTION("""COMPUTED_VALUE"""),"")</f>
        <v/>
      </c>
    </row>
    <row r="315">
      <c r="A315" s="136"/>
      <c r="B315" s="136"/>
      <c r="C315" s="136" t="str">
        <f>IFERROR(__xludf.DUMMYFUNCTION("""COMPUTED_VALUE"""),"")</f>
        <v/>
      </c>
      <c r="D315" s="136" t="str">
        <f t="shared" si="3"/>
        <v/>
      </c>
      <c r="E315" s="152" t="str">
        <f>IFERROR(__xludf.DUMMYFUNCTION("""COMPUTED_VALUE"""),"")</f>
        <v/>
      </c>
      <c r="F315" s="106" t="s">
        <v>133</v>
      </c>
      <c r="G315" s="152" t="str">
        <f>IFERROR(__xludf.DUMMYFUNCTION("""COMPUTED_VALUE"""),"")</f>
        <v/>
      </c>
      <c r="H315" s="106" t="s">
        <v>133</v>
      </c>
      <c r="I315" s="136"/>
      <c r="J315" s="139" t="s">
        <v>133</v>
      </c>
      <c r="K315" s="136" t="s">
        <v>133</v>
      </c>
      <c r="L315" s="153" t="str">
        <f>IFERROR(__xludf.DUMMYFUNCTION("""COMPUTED_VALUE"""),"")</f>
        <v/>
      </c>
      <c r="M315" s="136" t="str">
        <f t="shared" si="1"/>
        <v/>
      </c>
      <c r="N315" s="136" t="str">
        <f>IFERROR(__xludf.DUMMYFUNCTION("""COMPUTED_VALUE"""),"")</f>
        <v/>
      </c>
      <c r="O315" s="141" t="s">
        <v>133</v>
      </c>
      <c r="P315" s="136" t="str">
        <f>IFERROR(__xludf.DUMMYFUNCTION("""COMPUTED_VALUE"""),"")</f>
        <v/>
      </c>
      <c r="Q315" s="136" t="str">
        <f>IFERROR(__xludf.DUMMYFUNCTION("""COMPUTED_VALUE"""),"")</f>
        <v/>
      </c>
      <c r="R315" s="106" t="str">
        <f>IFERROR(__xludf.DUMMYFUNCTION("""COMPUTED_VALUE"""),"")</f>
        <v/>
      </c>
      <c r="S315" s="106" t="str">
        <f>IFERROR(__xludf.DUMMYFUNCTION("""COMPUTED_VALUE"""),"")</f>
        <v/>
      </c>
      <c r="T315" s="139" t="str">
        <f>IFERROR(__xludf.DUMMYFUNCTION("""COMPUTED_VALUE"""),"")</f>
        <v/>
      </c>
      <c r="U315" s="139" t="str">
        <f>IFERROR(__xludf.DUMMYFUNCTION("""COMPUTED_VALUE"""),"")</f>
        <v/>
      </c>
      <c r="V315" s="136" t="str">
        <f>IFERROR(__xludf.DUMMYFUNCTION("""COMPUTED_VALUE"""),"")</f>
        <v/>
      </c>
      <c r="W315" s="106" t="str">
        <f>IFERROR(__xludf.DUMMYFUNCTION("""COMPUTED_VALUE"""),"")</f>
        <v/>
      </c>
      <c r="X315" s="143" t="str">
        <f t="shared" si="2"/>
        <v/>
      </c>
      <c r="Y315" s="139" t="str">
        <f>IFERROR(__xludf.DUMMYFUNCTION("""COMPUTED_VALUE"""),"")</f>
        <v/>
      </c>
      <c r="Z315" s="141" t="str">
        <f>IFERROR(__xludf.DUMMYFUNCTION("""COMPUTED_VALUE"""),"")</f>
        <v/>
      </c>
    </row>
    <row r="316">
      <c r="A316" s="136"/>
      <c r="B316" s="136"/>
      <c r="C316" s="136" t="str">
        <f>IFERROR(__xludf.DUMMYFUNCTION("""COMPUTED_VALUE"""),"")</f>
        <v/>
      </c>
      <c r="D316" s="136" t="str">
        <f t="shared" si="3"/>
        <v/>
      </c>
      <c r="E316" s="152" t="str">
        <f>IFERROR(__xludf.DUMMYFUNCTION("""COMPUTED_VALUE"""),"")</f>
        <v/>
      </c>
      <c r="F316" s="106" t="s">
        <v>133</v>
      </c>
      <c r="G316" s="152" t="str">
        <f>IFERROR(__xludf.DUMMYFUNCTION("""COMPUTED_VALUE"""),"")</f>
        <v/>
      </c>
      <c r="H316" s="106" t="s">
        <v>133</v>
      </c>
      <c r="I316" s="136"/>
      <c r="J316" s="139" t="s">
        <v>133</v>
      </c>
      <c r="K316" s="136" t="s">
        <v>133</v>
      </c>
      <c r="L316" s="153" t="str">
        <f>IFERROR(__xludf.DUMMYFUNCTION("""COMPUTED_VALUE"""),"")</f>
        <v/>
      </c>
      <c r="M316" s="136" t="str">
        <f t="shared" si="1"/>
        <v/>
      </c>
      <c r="N316" s="136" t="str">
        <f>IFERROR(__xludf.DUMMYFUNCTION("""COMPUTED_VALUE"""),"")</f>
        <v/>
      </c>
      <c r="O316" s="141" t="s">
        <v>133</v>
      </c>
      <c r="P316" s="136" t="str">
        <f>IFERROR(__xludf.DUMMYFUNCTION("""COMPUTED_VALUE"""),"")</f>
        <v/>
      </c>
      <c r="Q316" s="136" t="str">
        <f>IFERROR(__xludf.DUMMYFUNCTION("""COMPUTED_VALUE"""),"")</f>
        <v/>
      </c>
      <c r="R316" s="106" t="str">
        <f>IFERROR(__xludf.DUMMYFUNCTION("""COMPUTED_VALUE"""),"")</f>
        <v/>
      </c>
      <c r="S316" s="106" t="str">
        <f>IFERROR(__xludf.DUMMYFUNCTION("""COMPUTED_VALUE"""),"")</f>
        <v/>
      </c>
      <c r="T316" s="139" t="str">
        <f>IFERROR(__xludf.DUMMYFUNCTION("""COMPUTED_VALUE"""),"")</f>
        <v/>
      </c>
      <c r="U316" s="139" t="str">
        <f>IFERROR(__xludf.DUMMYFUNCTION("""COMPUTED_VALUE"""),"")</f>
        <v/>
      </c>
      <c r="V316" s="136" t="str">
        <f>IFERROR(__xludf.DUMMYFUNCTION("""COMPUTED_VALUE"""),"")</f>
        <v/>
      </c>
      <c r="W316" s="106" t="str">
        <f>IFERROR(__xludf.DUMMYFUNCTION("""COMPUTED_VALUE"""),"")</f>
        <v/>
      </c>
      <c r="X316" s="143" t="str">
        <f t="shared" si="2"/>
        <v/>
      </c>
      <c r="Y316" s="139" t="str">
        <f>IFERROR(__xludf.DUMMYFUNCTION("""COMPUTED_VALUE"""),"")</f>
        <v/>
      </c>
      <c r="Z316" s="141" t="str">
        <f>IFERROR(__xludf.DUMMYFUNCTION("""COMPUTED_VALUE"""),"")</f>
        <v/>
      </c>
    </row>
    <row r="317">
      <c r="A317" s="136"/>
      <c r="B317" s="136"/>
      <c r="C317" s="136" t="str">
        <f>IFERROR(__xludf.DUMMYFUNCTION("""COMPUTED_VALUE"""),"")</f>
        <v/>
      </c>
      <c r="D317" s="136" t="str">
        <f t="shared" si="3"/>
        <v/>
      </c>
      <c r="E317" s="152" t="str">
        <f>IFERROR(__xludf.DUMMYFUNCTION("""COMPUTED_VALUE"""),"")</f>
        <v/>
      </c>
      <c r="F317" s="106" t="s">
        <v>133</v>
      </c>
      <c r="G317" s="152" t="str">
        <f>IFERROR(__xludf.DUMMYFUNCTION("""COMPUTED_VALUE"""),"")</f>
        <v/>
      </c>
      <c r="H317" s="106" t="s">
        <v>133</v>
      </c>
      <c r="I317" s="136"/>
      <c r="J317" s="139" t="s">
        <v>133</v>
      </c>
      <c r="K317" s="136" t="s">
        <v>133</v>
      </c>
      <c r="L317" s="153" t="str">
        <f>IFERROR(__xludf.DUMMYFUNCTION("""COMPUTED_VALUE"""),"")</f>
        <v/>
      </c>
      <c r="M317" s="136" t="str">
        <f t="shared" si="1"/>
        <v/>
      </c>
      <c r="N317" s="136" t="str">
        <f>IFERROR(__xludf.DUMMYFUNCTION("""COMPUTED_VALUE"""),"")</f>
        <v/>
      </c>
      <c r="O317" s="141" t="s">
        <v>133</v>
      </c>
      <c r="P317" s="136" t="str">
        <f>IFERROR(__xludf.DUMMYFUNCTION("""COMPUTED_VALUE"""),"")</f>
        <v/>
      </c>
      <c r="Q317" s="136" t="str">
        <f>IFERROR(__xludf.DUMMYFUNCTION("""COMPUTED_VALUE"""),"")</f>
        <v/>
      </c>
      <c r="R317" s="106" t="str">
        <f>IFERROR(__xludf.DUMMYFUNCTION("""COMPUTED_VALUE"""),"")</f>
        <v/>
      </c>
      <c r="S317" s="106" t="str">
        <f>IFERROR(__xludf.DUMMYFUNCTION("""COMPUTED_VALUE"""),"")</f>
        <v/>
      </c>
      <c r="T317" s="139" t="str">
        <f>IFERROR(__xludf.DUMMYFUNCTION("""COMPUTED_VALUE"""),"")</f>
        <v/>
      </c>
      <c r="U317" s="139" t="str">
        <f>IFERROR(__xludf.DUMMYFUNCTION("""COMPUTED_VALUE"""),"")</f>
        <v/>
      </c>
      <c r="V317" s="136" t="str">
        <f>IFERROR(__xludf.DUMMYFUNCTION("""COMPUTED_VALUE"""),"")</f>
        <v/>
      </c>
      <c r="W317" s="106" t="str">
        <f>IFERROR(__xludf.DUMMYFUNCTION("""COMPUTED_VALUE"""),"")</f>
        <v/>
      </c>
      <c r="X317" s="143" t="str">
        <f t="shared" si="2"/>
        <v/>
      </c>
      <c r="Y317" s="139" t="str">
        <f>IFERROR(__xludf.DUMMYFUNCTION("""COMPUTED_VALUE"""),"")</f>
        <v/>
      </c>
      <c r="Z317" s="141" t="str">
        <f>IFERROR(__xludf.DUMMYFUNCTION("""COMPUTED_VALUE"""),"")</f>
        <v/>
      </c>
    </row>
    <row r="318">
      <c r="A318" s="136"/>
      <c r="B318" s="136"/>
      <c r="C318" s="136" t="str">
        <f>IFERROR(__xludf.DUMMYFUNCTION("""COMPUTED_VALUE"""),"")</f>
        <v/>
      </c>
      <c r="D318" s="136" t="str">
        <f t="shared" si="3"/>
        <v/>
      </c>
      <c r="E318" s="152" t="str">
        <f>IFERROR(__xludf.DUMMYFUNCTION("""COMPUTED_VALUE"""),"")</f>
        <v/>
      </c>
      <c r="F318" s="106" t="s">
        <v>133</v>
      </c>
      <c r="G318" s="152" t="str">
        <f>IFERROR(__xludf.DUMMYFUNCTION("""COMPUTED_VALUE"""),"")</f>
        <v/>
      </c>
      <c r="H318" s="106" t="s">
        <v>133</v>
      </c>
      <c r="I318" s="136"/>
      <c r="J318" s="139" t="s">
        <v>133</v>
      </c>
      <c r="K318" s="136" t="s">
        <v>133</v>
      </c>
      <c r="L318" s="153" t="str">
        <f>IFERROR(__xludf.DUMMYFUNCTION("""COMPUTED_VALUE"""),"")</f>
        <v/>
      </c>
      <c r="M318" s="136" t="str">
        <f t="shared" si="1"/>
        <v/>
      </c>
      <c r="N318" s="136" t="str">
        <f>IFERROR(__xludf.DUMMYFUNCTION("""COMPUTED_VALUE"""),"")</f>
        <v/>
      </c>
      <c r="O318" s="141" t="s">
        <v>133</v>
      </c>
      <c r="P318" s="136" t="str">
        <f>IFERROR(__xludf.DUMMYFUNCTION("""COMPUTED_VALUE"""),"")</f>
        <v/>
      </c>
      <c r="Q318" s="136" t="str">
        <f>IFERROR(__xludf.DUMMYFUNCTION("""COMPUTED_VALUE"""),"")</f>
        <v/>
      </c>
      <c r="R318" s="106" t="str">
        <f>IFERROR(__xludf.DUMMYFUNCTION("""COMPUTED_VALUE"""),"")</f>
        <v/>
      </c>
      <c r="S318" s="106" t="str">
        <f>IFERROR(__xludf.DUMMYFUNCTION("""COMPUTED_VALUE"""),"")</f>
        <v/>
      </c>
      <c r="T318" s="139" t="str">
        <f>IFERROR(__xludf.DUMMYFUNCTION("""COMPUTED_VALUE"""),"")</f>
        <v/>
      </c>
      <c r="U318" s="139" t="str">
        <f>IFERROR(__xludf.DUMMYFUNCTION("""COMPUTED_VALUE"""),"")</f>
        <v/>
      </c>
      <c r="V318" s="136" t="str">
        <f>IFERROR(__xludf.DUMMYFUNCTION("""COMPUTED_VALUE"""),"")</f>
        <v/>
      </c>
      <c r="W318" s="106" t="str">
        <f>IFERROR(__xludf.DUMMYFUNCTION("""COMPUTED_VALUE"""),"")</f>
        <v/>
      </c>
      <c r="X318" s="143" t="str">
        <f t="shared" si="2"/>
        <v/>
      </c>
      <c r="Y318" s="139" t="str">
        <f>IFERROR(__xludf.DUMMYFUNCTION("""COMPUTED_VALUE"""),"")</f>
        <v/>
      </c>
      <c r="Z318" s="141" t="str">
        <f>IFERROR(__xludf.DUMMYFUNCTION("""COMPUTED_VALUE"""),"")</f>
        <v/>
      </c>
    </row>
    <row r="319">
      <c r="A319" s="136"/>
      <c r="B319" s="136"/>
      <c r="C319" s="136" t="str">
        <f>IFERROR(__xludf.DUMMYFUNCTION("""COMPUTED_VALUE"""),"")</f>
        <v/>
      </c>
      <c r="D319" s="136" t="str">
        <f t="shared" si="3"/>
        <v/>
      </c>
      <c r="E319" s="152" t="str">
        <f>IFERROR(__xludf.DUMMYFUNCTION("""COMPUTED_VALUE"""),"")</f>
        <v/>
      </c>
      <c r="F319" s="106" t="s">
        <v>133</v>
      </c>
      <c r="G319" s="152" t="str">
        <f>IFERROR(__xludf.DUMMYFUNCTION("""COMPUTED_VALUE"""),"")</f>
        <v/>
      </c>
      <c r="H319" s="106" t="s">
        <v>133</v>
      </c>
      <c r="I319" s="136"/>
      <c r="J319" s="139" t="s">
        <v>133</v>
      </c>
      <c r="K319" s="136" t="s">
        <v>133</v>
      </c>
      <c r="L319" s="153" t="str">
        <f>IFERROR(__xludf.DUMMYFUNCTION("""COMPUTED_VALUE"""),"")</f>
        <v/>
      </c>
      <c r="M319" s="136" t="str">
        <f t="shared" si="1"/>
        <v/>
      </c>
      <c r="N319" s="136" t="str">
        <f>IFERROR(__xludf.DUMMYFUNCTION("""COMPUTED_VALUE"""),"")</f>
        <v/>
      </c>
      <c r="O319" s="141" t="s">
        <v>133</v>
      </c>
      <c r="P319" s="136" t="str">
        <f>IFERROR(__xludf.DUMMYFUNCTION("""COMPUTED_VALUE"""),"")</f>
        <v/>
      </c>
      <c r="Q319" s="136" t="str">
        <f>IFERROR(__xludf.DUMMYFUNCTION("""COMPUTED_VALUE"""),"")</f>
        <v/>
      </c>
      <c r="R319" s="106" t="str">
        <f>IFERROR(__xludf.DUMMYFUNCTION("""COMPUTED_VALUE"""),"")</f>
        <v/>
      </c>
      <c r="S319" s="106" t="str">
        <f>IFERROR(__xludf.DUMMYFUNCTION("""COMPUTED_VALUE"""),"")</f>
        <v/>
      </c>
      <c r="T319" s="139" t="str">
        <f>IFERROR(__xludf.DUMMYFUNCTION("""COMPUTED_VALUE"""),"")</f>
        <v/>
      </c>
      <c r="U319" s="139" t="str">
        <f>IFERROR(__xludf.DUMMYFUNCTION("""COMPUTED_VALUE"""),"")</f>
        <v/>
      </c>
      <c r="V319" s="136" t="str">
        <f>IFERROR(__xludf.DUMMYFUNCTION("""COMPUTED_VALUE"""),"")</f>
        <v/>
      </c>
      <c r="W319" s="106" t="str">
        <f>IFERROR(__xludf.DUMMYFUNCTION("""COMPUTED_VALUE"""),"")</f>
        <v/>
      </c>
      <c r="X319" s="143" t="str">
        <f t="shared" si="2"/>
        <v/>
      </c>
      <c r="Y319" s="139" t="str">
        <f>IFERROR(__xludf.DUMMYFUNCTION("""COMPUTED_VALUE"""),"")</f>
        <v/>
      </c>
      <c r="Z319" s="141" t="str">
        <f>IFERROR(__xludf.DUMMYFUNCTION("""COMPUTED_VALUE"""),"")</f>
        <v/>
      </c>
    </row>
    <row r="320">
      <c r="A320" s="136"/>
      <c r="B320" s="136"/>
      <c r="C320" s="136" t="str">
        <f>IFERROR(__xludf.DUMMYFUNCTION("""COMPUTED_VALUE"""),"")</f>
        <v/>
      </c>
      <c r="D320" s="136" t="str">
        <f t="shared" si="3"/>
        <v/>
      </c>
      <c r="E320" s="152" t="str">
        <f>IFERROR(__xludf.DUMMYFUNCTION("""COMPUTED_VALUE"""),"")</f>
        <v/>
      </c>
      <c r="F320" s="106" t="s">
        <v>133</v>
      </c>
      <c r="G320" s="152" t="str">
        <f>IFERROR(__xludf.DUMMYFUNCTION("""COMPUTED_VALUE"""),"")</f>
        <v/>
      </c>
      <c r="H320" s="106" t="s">
        <v>133</v>
      </c>
      <c r="I320" s="136"/>
      <c r="J320" s="139" t="s">
        <v>133</v>
      </c>
      <c r="K320" s="136" t="s">
        <v>133</v>
      </c>
      <c r="L320" s="153" t="str">
        <f>IFERROR(__xludf.DUMMYFUNCTION("""COMPUTED_VALUE"""),"")</f>
        <v/>
      </c>
      <c r="M320" s="136" t="str">
        <f t="shared" si="1"/>
        <v/>
      </c>
      <c r="N320" s="136" t="str">
        <f>IFERROR(__xludf.DUMMYFUNCTION("""COMPUTED_VALUE"""),"")</f>
        <v/>
      </c>
      <c r="O320" s="141" t="s">
        <v>133</v>
      </c>
      <c r="P320" s="136" t="str">
        <f>IFERROR(__xludf.DUMMYFUNCTION("""COMPUTED_VALUE"""),"")</f>
        <v/>
      </c>
      <c r="Q320" s="136" t="str">
        <f>IFERROR(__xludf.DUMMYFUNCTION("""COMPUTED_VALUE"""),"")</f>
        <v/>
      </c>
      <c r="R320" s="106" t="str">
        <f>IFERROR(__xludf.DUMMYFUNCTION("""COMPUTED_VALUE"""),"")</f>
        <v/>
      </c>
      <c r="S320" s="106" t="str">
        <f>IFERROR(__xludf.DUMMYFUNCTION("""COMPUTED_VALUE"""),"")</f>
        <v/>
      </c>
      <c r="T320" s="139" t="str">
        <f>IFERROR(__xludf.DUMMYFUNCTION("""COMPUTED_VALUE"""),"")</f>
        <v/>
      </c>
      <c r="U320" s="139" t="str">
        <f>IFERROR(__xludf.DUMMYFUNCTION("""COMPUTED_VALUE"""),"")</f>
        <v/>
      </c>
      <c r="V320" s="136" t="str">
        <f>IFERROR(__xludf.DUMMYFUNCTION("""COMPUTED_VALUE"""),"")</f>
        <v/>
      </c>
      <c r="W320" s="106" t="str">
        <f>IFERROR(__xludf.DUMMYFUNCTION("""COMPUTED_VALUE"""),"")</f>
        <v/>
      </c>
      <c r="X320" s="143" t="str">
        <f t="shared" si="2"/>
        <v/>
      </c>
      <c r="Y320" s="139" t="str">
        <f>IFERROR(__xludf.DUMMYFUNCTION("""COMPUTED_VALUE"""),"")</f>
        <v/>
      </c>
      <c r="Z320" s="141" t="str">
        <f>IFERROR(__xludf.DUMMYFUNCTION("""COMPUTED_VALUE"""),"")</f>
        <v/>
      </c>
    </row>
    <row r="321">
      <c r="A321" s="136"/>
      <c r="B321" s="136"/>
      <c r="C321" s="136" t="str">
        <f>IFERROR(__xludf.DUMMYFUNCTION("""COMPUTED_VALUE"""),"")</f>
        <v/>
      </c>
      <c r="D321" s="136" t="str">
        <f t="shared" si="3"/>
        <v/>
      </c>
      <c r="E321" s="152" t="str">
        <f>IFERROR(__xludf.DUMMYFUNCTION("""COMPUTED_VALUE"""),"")</f>
        <v/>
      </c>
      <c r="F321" s="106" t="s">
        <v>133</v>
      </c>
      <c r="G321" s="152" t="str">
        <f>IFERROR(__xludf.DUMMYFUNCTION("""COMPUTED_VALUE"""),"")</f>
        <v/>
      </c>
      <c r="H321" s="106" t="s">
        <v>133</v>
      </c>
      <c r="I321" s="136"/>
      <c r="J321" s="139" t="s">
        <v>133</v>
      </c>
      <c r="K321" s="136" t="s">
        <v>133</v>
      </c>
      <c r="L321" s="153" t="str">
        <f>IFERROR(__xludf.DUMMYFUNCTION("""COMPUTED_VALUE"""),"")</f>
        <v/>
      </c>
      <c r="M321" s="136" t="str">
        <f t="shared" si="1"/>
        <v/>
      </c>
      <c r="N321" s="136" t="str">
        <f>IFERROR(__xludf.DUMMYFUNCTION("""COMPUTED_VALUE"""),"")</f>
        <v/>
      </c>
      <c r="O321" s="141" t="s">
        <v>133</v>
      </c>
      <c r="P321" s="136" t="str">
        <f>IFERROR(__xludf.DUMMYFUNCTION("""COMPUTED_VALUE"""),"")</f>
        <v/>
      </c>
      <c r="Q321" s="136" t="str">
        <f>IFERROR(__xludf.DUMMYFUNCTION("""COMPUTED_VALUE"""),"")</f>
        <v/>
      </c>
      <c r="R321" s="106" t="str">
        <f>IFERROR(__xludf.DUMMYFUNCTION("""COMPUTED_VALUE"""),"")</f>
        <v/>
      </c>
      <c r="S321" s="106" t="str">
        <f>IFERROR(__xludf.DUMMYFUNCTION("""COMPUTED_VALUE"""),"")</f>
        <v/>
      </c>
      <c r="T321" s="139" t="str">
        <f>IFERROR(__xludf.DUMMYFUNCTION("""COMPUTED_VALUE"""),"")</f>
        <v/>
      </c>
      <c r="U321" s="139" t="str">
        <f>IFERROR(__xludf.DUMMYFUNCTION("""COMPUTED_VALUE"""),"")</f>
        <v/>
      </c>
      <c r="V321" s="136" t="str">
        <f>IFERROR(__xludf.DUMMYFUNCTION("""COMPUTED_VALUE"""),"")</f>
        <v/>
      </c>
      <c r="W321" s="106" t="str">
        <f>IFERROR(__xludf.DUMMYFUNCTION("""COMPUTED_VALUE"""),"")</f>
        <v/>
      </c>
      <c r="X321" s="143" t="str">
        <f t="shared" si="2"/>
        <v/>
      </c>
      <c r="Y321" s="139" t="str">
        <f>IFERROR(__xludf.DUMMYFUNCTION("""COMPUTED_VALUE"""),"")</f>
        <v/>
      </c>
      <c r="Z321" s="141" t="str">
        <f>IFERROR(__xludf.DUMMYFUNCTION("""COMPUTED_VALUE"""),"")</f>
        <v/>
      </c>
    </row>
    <row r="322">
      <c r="A322" s="136"/>
      <c r="B322" s="136"/>
      <c r="C322" s="136" t="str">
        <f>IFERROR(__xludf.DUMMYFUNCTION("""COMPUTED_VALUE"""),"")</f>
        <v/>
      </c>
      <c r="D322" s="136" t="str">
        <f t="shared" si="3"/>
        <v/>
      </c>
      <c r="E322" s="152" t="str">
        <f>IFERROR(__xludf.DUMMYFUNCTION("""COMPUTED_VALUE"""),"")</f>
        <v/>
      </c>
      <c r="F322" s="106" t="s">
        <v>133</v>
      </c>
      <c r="G322" s="152" t="str">
        <f>IFERROR(__xludf.DUMMYFUNCTION("""COMPUTED_VALUE"""),"")</f>
        <v/>
      </c>
      <c r="H322" s="106" t="s">
        <v>133</v>
      </c>
      <c r="I322" s="136"/>
      <c r="J322" s="139" t="s">
        <v>133</v>
      </c>
      <c r="K322" s="136" t="s">
        <v>133</v>
      </c>
      <c r="L322" s="153" t="str">
        <f>IFERROR(__xludf.DUMMYFUNCTION("""COMPUTED_VALUE"""),"")</f>
        <v/>
      </c>
      <c r="M322" s="136" t="str">
        <f t="shared" si="1"/>
        <v/>
      </c>
      <c r="N322" s="136" t="str">
        <f>IFERROR(__xludf.DUMMYFUNCTION("""COMPUTED_VALUE"""),"")</f>
        <v/>
      </c>
      <c r="O322" s="141" t="s">
        <v>133</v>
      </c>
      <c r="P322" s="136" t="str">
        <f>IFERROR(__xludf.DUMMYFUNCTION("""COMPUTED_VALUE"""),"")</f>
        <v/>
      </c>
      <c r="Q322" s="136" t="str">
        <f>IFERROR(__xludf.DUMMYFUNCTION("""COMPUTED_VALUE"""),"")</f>
        <v/>
      </c>
      <c r="R322" s="106" t="str">
        <f>IFERROR(__xludf.DUMMYFUNCTION("""COMPUTED_VALUE"""),"")</f>
        <v/>
      </c>
      <c r="S322" s="106" t="str">
        <f>IFERROR(__xludf.DUMMYFUNCTION("""COMPUTED_VALUE"""),"")</f>
        <v/>
      </c>
      <c r="T322" s="139" t="str">
        <f>IFERROR(__xludf.DUMMYFUNCTION("""COMPUTED_VALUE"""),"")</f>
        <v/>
      </c>
      <c r="U322" s="139" t="str">
        <f>IFERROR(__xludf.DUMMYFUNCTION("""COMPUTED_VALUE"""),"")</f>
        <v/>
      </c>
      <c r="V322" s="136" t="str">
        <f>IFERROR(__xludf.DUMMYFUNCTION("""COMPUTED_VALUE"""),"")</f>
        <v/>
      </c>
      <c r="W322" s="106" t="str">
        <f>IFERROR(__xludf.DUMMYFUNCTION("""COMPUTED_VALUE"""),"")</f>
        <v/>
      </c>
      <c r="X322" s="143" t="str">
        <f t="shared" si="2"/>
        <v/>
      </c>
      <c r="Y322" s="139" t="str">
        <f>IFERROR(__xludf.DUMMYFUNCTION("""COMPUTED_VALUE"""),"")</f>
        <v/>
      </c>
      <c r="Z322" s="141" t="str">
        <f>IFERROR(__xludf.DUMMYFUNCTION("""COMPUTED_VALUE"""),"")</f>
        <v/>
      </c>
    </row>
    <row r="323">
      <c r="A323" s="136"/>
      <c r="B323" s="136"/>
      <c r="C323" s="136" t="str">
        <f>IFERROR(__xludf.DUMMYFUNCTION("""COMPUTED_VALUE"""),"")</f>
        <v/>
      </c>
      <c r="D323" s="136" t="str">
        <f t="shared" si="3"/>
        <v/>
      </c>
      <c r="E323" s="152" t="str">
        <f>IFERROR(__xludf.DUMMYFUNCTION("""COMPUTED_VALUE"""),"")</f>
        <v/>
      </c>
      <c r="F323" s="106" t="s">
        <v>133</v>
      </c>
      <c r="G323" s="152" t="str">
        <f>IFERROR(__xludf.DUMMYFUNCTION("""COMPUTED_VALUE"""),"")</f>
        <v/>
      </c>
      <c r="H323" s="106" t="s">
        <v>133</v>
      </c>
      <c r="I323" s="136"/>
      <c r="J323" s="139" t="s">
        <v>133</v>
      </c>
      <c r="K323" s="136" t="s">
        <v>133</v>
      </c>
      <c r="L323" s="153" t="str">
        <f>IFERROR(__xludf.DUMMYFUNCTION("""COMPUTED_VALUE"""),"")</f>
        <v/>
      </c>
      <c r="M323" s="136" t="str">
        <f t="shared" si="1"/>
        <v/>
      </c>
      <c r="N323" s="136" t="str">
        <f>IFERROR(__xludf.DUMMYFUNCTION("""COMPUTED_VALUE"""),"")</f>
        <v/>
      </c>
      <c r="O323" s="141" t="s">
        <v>133</v>
      </c>
      <c r="P323" s="136" t="str">
        <f>IFERROR(__xludf.DUMMYFUNCTION("""COMPUTED_VALUE"""),"")</f>
        <v/>
      </c>
      <c r="Q323" s="136" t="str">
        <f>IFERROR(__xludf.DUMMYFUNCTION("""COMPUTED_VALUE"""),"")</f>
        <v/>
      </c>
      <c r="R323" s="106" t="str">
        <f>IFERROR(__xludf.DUMMYFUNCTION("""COMPUTED_VALUE"""),"")</f>
        <v/>
      </c>
      <c r="S323" s="106" t="str">
        <f>IFERROR(__xludf.DUMMYFUNCTION("""COMPUTED_VALUE"""),"")</f>
        <v/>
      </c>
      <c r="T323" s="139" t="str">
        <f>IFERROR(__xludf.DUMMYFUNCTION("""COMPUTED_VALUE"""),"")</f>
        <v/>
      </c>
      <c r="U323" s="139" t="str">
        <f>IFERROR(__xludf.DUMMYFUNCTION("""COMPUTED_VALUE"""),"")</f>
        <v/>
      </c>
      <c r="V323" s="136" t="str">
        <f>IFERROR(__xludf.DUMMYFUNCTION("""COMPUTED_VALUE"""),"")</f>
        <v/>
      </c>
      <c r="W323" s="106" t="str">
        <f>IFERROR(__xludf.DUMMYFUNCTION("""COMPUTED_VALUE"""),"")</f>
        <v/>
      </c>
      <c r="X323" s="143" t="str">
        <f t="shared" si="2"/>
        <v/>
      </c>
      <c r="Y323" s="139" t="str">
        <f>IFERROR(__xludf.DUMMYFUNCTION("""COMPUTED_VALUE"""),"")</f>
        <v/>
      </c>
      <c r="Z323" s="141" t="str">
        <f>IFERROR(__xludf.DUMMYFUNCTION("""COMPUTED_VALUE"""),"")</f>
        <v/>
      </c>
    </row>
    <row r="324">
      <c r="A324" s="136"/>
      <c r="B324" s="136"/>
      <c r="C324" s="136" t="str">
        <f>IFERROR(__xludf.DUMMYFUNCTION("""COMPUTED_VALUE"""),"")</f>
        <v/>
      </c>
      <c r="D324" s="136" t="str">
        <f t="shared" si="3"/>
        <v/>
      </c>
      <c r="E324" s="152" t="str">
        <f>IFERROR(__xludf.DUMMYFUNCTION("""COMPUTED_VALUE"""),"")</f>
        <v/>
      </c>
      <c r="F324" s="106" t="s">
        <v>133</v>
      </c>
      <c r="G324" s="152" t="str">
        <f>IFERROR(__xludf.DUMMYFUNCTION("""COMPUTED_VALUE"""),"")</f>
        <v/>
      </c>
      <c r="H324" s="106" t="s">
        <v>133</v>
      </c>
      <c r="I324" s="136"/>
      <c r="J324" s="139" t="s">
        <v>133</v>
      </c>
      <c r="K324" s="136" t="s">
        <v>133</v>
      </c>
      <c r="L324" s="153" t="str">
        <f>IFERROR(__xludf.DUMMYFUNCTION("""COMPUTED_VALUE"""),"")</f>
        <v/>
      </c>
      <c r="M324" s="136" t="str">
        <f t="shared" si="1"/>
        <v/>
      </c>
      <c r="N324" s="136" t="str">
        <f>IFERROR(__xludf.DUMMYFUNCTION("""COMPUTED_VALUE"""),"")</f>
        <v/>
      </c>
      <c r="O324" s="141" t="s">
        <v>133</v>
      </c>
      <c r="P324" s="136" t="str">
        <f>IFERROR(__xludf.DUMMYFUNCTION("""COMPUTED_VALUE"""),"")</f>
        <v/>
      </c>
      <c r="Q324" s="136" t="str">
        <f>IFERROR(__xludf.DUMMYFUNCTION("""COMPUTED_VALUE"""),"")</f>
        <v/>
      </c>
      <c r="R324" s="106" t="str">
        <f>IFERROR(__xludf.DUMMYFUNCTION("""COMPUTED_VALUE"""),"")</f>
        <v/>
      </c>
      <c r="S324" s="106" t="str">
        <f>IFERROR(__xludf.DUMMYFUNCTION("""COMPUTED_VALUE"""),"")</f>
        <v/>
      </c>
      <c r="T324" s="139" t="str">
        <f>IFERROR(__xludf.DUMMYFUNCTION("""COMPUTED_VALUE"""),"")</f>
        <v/>
      </c>
      <c r="U324" s="139" t="str">
        <f>IFERROR(__xludf.DUMMYFUNCTION("""COMPUTED_VALUE"""),"")</f>
        <v/>
      </c>
      <c r="V324" s="136" t="str">
        <f>IFERROR(__xludf.DUMMYFUNCTION("""COMPUTED_VALUE"""),"")</f>
        <v/>
      </c>
      <c r="W324" s="106" t="str">
        <f>IFERROR(__xludf.DUMMYFUNCTION("""COMPUTED_VALUE"""),"")</f>
        <v/>
      </c>
      <c r="X324" s="143" t="str">
        <f t="shared" si="2"/>
        <v/>
      </c>
      <c r="Y324" s="139" t="str">
        <f>IFERROR(__xludf.DUMMYFUNCTION("""COMPUTED_VALUE"""),"")</f>
        <v/>
      </c>
      <c r="Z324" s="141" t="str">
        <f>IFERROR(__xludf.DUMMYFUNCTION("""COMPUTED_VALUE"""),"")</f>
        <v/>
      </c>
    </row>
    <row r="325">
      <c r="A325" s="136"/>
      <c r="B325" s="136"/>
      <c r="C325" s="136" t="str">
        <f>IFERROR(__xludf.DUMMYFUNCTION("""COMPUTED_VALUE"""),"")</f>
        <v/>
      </c>
      <c r="D325" s="136" t="str">
        <f t="shared" si="3"/>
        <v/>
      </c>
      <c r="E325" s="152" t="str">
        <f>IFERROR(__xludf.DUMMYFUNCTION("""COMPUTED_VALUE"""),"")</f>
        <v/>
      </c>
      <c r="F325" s="106" t="s">
        <v>133</v>
      </c>
      <c r="G325" s="152" t="str">
        <f>IFERROR(__xludf.DUMMYFUNCTION("""COMPUTED_VALUE"""),"")</f>
        <v/>
      </c>
      <c r="H325" s="106" t="s">
        <v>133</v>
      </c>
      <c r="I325" s="136"/>
      <c r="J325" s="139" t="s">
        <v>133</v>
      </c>
      <c r="K325" s="136" t="s">
        <v>133</v>
      </c>
      <c r="L325" s="153" t="str">
        <f>IFERROR(__xludf.DUMMYFUNCTION("""COMPUTED_VALUE"""),"")</f>
        <v/>
      </c>
      <c r="M325" s="136" t="str">
        <f t="shared" si="1"/>
        <v/>
      </c>
      <c r="N325" s="136" t="str">
        <f>IFERROR(__xludf.DUMMYFUNCTION("""COMPUTED_VALUE"""),"")</f>
        <v/>
      </c>
      <c r="O325" s="141" t="s">
        <v>133</v>
      </c>
      <c r="P325" s="136" t="str">
        <f>IFERROR(__xludf.DUMMYFUNCTION("""COMPUTED_VALUE"""),"")</f>
        <v/>
      </c>
      <c r="Q325" s="136" t="str">
        <f>IFERROR(__xludf.DUMMYFUNCTION("""COMPUTED_VALUE"""),"")</f>
        <v/>
      </c>
      <c r="R325" s="106" t="str">
        <f>IFERROR(__xludf.DUMMYFUNCTION("""COMPUTED_VALUE"""),"")</f>
        <v/>
      </c>
      <c r="S325" s="106" t="str">
        <f>IFERROR(__xludf.DUMMYFUNCTION("""COMPUTED_VALUE"""),"")</f>
        <v/>
      </c>
      <c r="T325" s="139" t="str">
        <f>IFERROR(__xludf.DUMMYFUNCTION("""COMPUTED_VALUE"""),"")</f>
        <v/>
      </c>
      <c r="U325" s="139" t="str">
        <f>IFERROR(__xludf.DUMMYFUNCTION("""COMPUTED_VALUE"""),"")</f>
        <v/>
      </c>
      <c r="V325" s="136" t="str">
        <f>IFERROR(__xludf.DUMMYFUNCTION("""COMPUTED_VALUE"""),"")</f>
        <v/>
      </c>
      <c r="W325" s="106" t="str">
        <f>IFERROR(__xludf.DUMMYFUNCTION("""COMPUTED_VALUE"""),"")</f>
        <v/>
      </c>
      <c r="X325" s="143" t="str">
        <f t="shared" si="2"/>
        <v/>
      </c>
      <c r="Y325" s="139" t="str">
        <f>IFERROR(__xludf.DUMMYFUNCTION("""COMPUTED_VALUE"""),"")</f>
        <v/>
      </c>
      <c r="Z325" s="141" t="str">
        <f>IFERROR(__xludf.DUMMYFUNCTION("""COMPUTED_VALUE"""),"")</f>
        <v/>
      </c>
    </row>
    <row r="326">
      <c r="A326" s="136"/>
      <c r="B326" s="136"/>
      <c r="C326" s="136" t="str">
        <f>IFERROR(__xludf.DUMMYFUNCTION("""COMPUTED_VALUE"""),"")</f>
        <v/>
      </c>
      <c r="D326" s="136" t="str">
        <f t="shared" si="3"/>
        <v/>
      </c>
      <c r="E326" s="152" t="str">
        <f>IFERROR(__xludf.DUMMYFUNCTION("""COMPUTED_VALUE"""),"")</f>
        <v/>
      </c>
      <c r="F326" s="106" t="s">
        <v>133</v>
      </c>
      <c r="G326" s="152" t="str">
        <f>IFERROR(__xludf.DUMMYFUNCTION("""COMPUTED_VALUE"""),"")</f>
        <v/>
      </c>
      <c r="H326" s="106" t="s">
        <v>133</v>
      </c>
      <c r="I326" s="136"/>
      <c r="J326" s="139" t="s">
        <v>133</v>
      </c>
      <c r="K326" s="136" t="s">
        <v>133</v>
      </c>
      <c r="L326" s="153" t="str">
        <f>IFERROR(__xludf.DUMMYFUNCTION("""COMPUTED_VALUE"""),"")</f>
        <v/>
      </c>
      <c r="M326" s="136" t="str">
        <f t="shared" si="1"/>
        <v/>
      </c>
      <c r="N326" s="136" t="str">
        <f>IFERROR(__xludf.DUMMYFUNCTION("""COMPUTED_VALUE"""),"")</f>
        <v/>
      </c>
      <c r="O326" s="141" t="s">
        <v>133</v>
      </c>
      <c r="P326" s="136" t="str">
        <f>IFERROR(__xludf.DUMMYFUNCTION("""COMPUTED_VALUE"""),"")</f>
        <v/>
      </c>
      <c r="Q326" s="136" t="str">
        <f>IFERROR(__xludf.DUMMYFUNCTION("""COMPUTED_VALUE"""),"")</f>
        <v/>
      </c>
      <c r="R326" s="106" t="str">
        <f>IFERROR(__xludf.DUMMYFUNCTION("""COMPUTED_VALUE"""),"")</f>
        <v/>
      </c>
      <c r="S326" s="106" t="str">
        <f>IFERROR(__xludf.DUMMYFUNCTION("""COMPUTED_VALUE"""),"")</f>
        <v/>
      </c>
      <c r="T326" s="139" t="str">
        <f>IFERROR(__xludf.DUMMYFUNCTION("""COMPUTED_VALUE"""),"")</f>
        <v/>
      </c>
      <c r="U326" s="139" t="str">
        <f>IFERROR(__xludf.DUMMYFUNCTION("""COMPUTED_VALUE"""),"")</f>
        <v/>
      </c>
      <c r="V326" s="136" t="str">
        <f>IFERROR(__xludf.DUMMYFUNCTION("""COMPUTED_VALUE"""),"")</f>
        <v/>
      </c>
      <c r="W326" s="106" t="str">
        <f>IFERROR(__xludf.DUMMYFUNCTION("""COMPUTED_VALUE"""),"")</f>
        <v/>
      </c>
      <c r="X326" s="143" t="str">
        <f t="shared" si="2"/>
        <v/>
      </c>
      <c r="Y326" s="139" t="str">
        <f>IFERROR(__xludf.DUMMYFUNCTION("""COMPUTED_VALUE"""),"")</f>
        <v/>
      </c>
      <c r="Z326" s="141" t="str">
        <f>IFERROR(__xludf.DUMMYFUNCTION("""COMPUTED_VALUE"""),"")</f>
        <v/>
      </c>
    </row>
    <row r="327">
      <c r="A327" s="136"/>
      <c r="B327" s="136"/>
      <c r="C327" s="136" t="str">
        <f>IFERROR(__xludf.DUMMYFUNCTION("""COMPUTED_VALUE"""),"")</f>
        <v/>
      </c>
      <c r="D327" s="136" t="str">
        <f t="shared" si="3"/>
        <v/>
      </c>
      <c r="E327" s="152" t="str">
        <f>IFERROR(__xludf.DUMMYFUNCTION("""COMPUTED_VALUE"""),"")</f>
        <v/>
      </c>
      <c r="F327" s="106" t="s">
        <v>133</v>
      </c>
      <c r="G327" s="152" t="str">
        <f>IFERROR(__xludf.DUMMYFUNCTION("""COMPUTED_VALUE"""),"")</f>
        <v/>
      </c>
      <c r="H327" s="106" t="s">
        <v>133</v>
      </c>
      <c r="I327" s="136"/>
      <c r="J327" s="139" t="s">
        <v>133</v>
      </c>
      <c r="K327" s="136" t="s">
        <v>133</v>
      </c>
      <c r="L327" s="153" t="str">
        <f>IFERROR(__xludf.DUMMYFUNCTION("""COMPUTED_VALUE"""),"")</f>
        <v/>
      </c>
      <c r="M327" s="136" t="str">
        <f t="shared" si="1"/>
        <v/>
      </c>
      <c r="N327" s="136" t="str">
        <f>IFERROR(__xludf.DUMMYFUNCTION("""COMPUTED_VALUE"""),"")</f>
        <v/>
      </c>
      <c r="O327" s="141" t="s">
        <v>133</v>
      </c>
      <c r="P327" s="136" t="str">
        <f>IFERROR(__xludf.DUMMYFUNCTION("""COMPUTED_VALUE"""),"")</f>
        <v/>
      </c>
      <c r="Q327" s="136" t="str">
        <f>IFERROR(__xludf.DUMMYFUNCTION("""COMPUTED_VALUE"""),"")</f>
        <v/>
      </c>
      <c r="R327" s="106" t="str">
        <f>IFERROR(__xludf.DUMMYFUNCTION("""COMPUTED_VALUE"""),"")</f>
        <v/>
      </c>
      <c r="S327" s="106" t="str">
        <f>IFERROR(__xludf.DUMMYFUNCTION("""COMPUTED_VALUE"""),"")</f>
        <v/>
      </c>
      <c r="T327" s="139" t="str">
        <f>IFERROR(__xludf.DUMMYFUNCTION("""COMPUTED_VALUE"""),"")</f>
        <v/>
      </c>
      <c r="U327" s="139" t="str">
        <f>IFERROR(__xludf.DUMMYFUNCTION("""COMPUTED_VALUE"""),"")</f>
        <v/>
      </c>
      <c r="V327" s="136" t="str">
        <f>IFERROR(__xludf.DUMMYFUNCTION("""COMPUTED_VALUE"""),"")</f>
        <v/>
      </c>
      <c r="W327" s="106" t="str">
        <f>IFERROR(__xludf.DUMMYFUNCTION("""COMPUTED_VALUE"""),"")</f>
        <v/>
      </c>
      <c r="X327" s="143" t="str">
        <f t="shared" si="2"/>
        <v/>
      </c>
      <c r="Y327" s="139" t="str">
        <f>IFERROR(__xludf.DUMMYFUNCTION("""COMPUTED_VALUE"""),"")</f>
        <v/>
      </c>
      <c r="Z327" s="141" t="str">
        <f>IFERROR(__xludf.DUMMYFUNCTION("""COMPUTED_VALUE"""),"")</f>
        <v/>
      </c>
    </row>
    <row r="328">
      <c r="A328" s="136"/>
      <c r="B328" s="136"/>
      <c r="C328" s="136" t="str">
        <f>IFERROR(__xludf.DUMMYFUNCTION("""COMPUTED_VALUE"""),"")</f>
        <v/>
      </c>
      <c r="D328" s="136" t="str">
        <f t="shared" si="3"/>
        <v/>
      </c>
      <c r="E328" s="152" t="str">
        <f>IFERROR(__xludf.DUMMYFUNCTION("""COMPUTED_VALUE"""),"")</f>
        <v/>
      </c>
      <c r="F328" s="106" t="s">
        <v>133</v>
      </c>
      <c r="G328" s="152" t="str">
        <f>IFERROR(__xludf.DUMMYFUNCTION("""COMPUTED_VALUE"""),"")</f>
        <v/>
      </c>
      <c r="H328" s="106" t="s">
        <v>133</v>
      </c>
      <c r="I328" s="136"/>
      <c r="J328" s="139" t="s">
        <v>133</v>
      </c>
      <c r="K328" s="136" t="s">
        <v>133</v>
      </c>
      <c r="L328" s="153" t="str">
        <f>IFERROR(__xludf.DUMMYFUNCTION("""COMPUTED_VALUE"""),"")</f>
        <v/>
      </c>
      <c r="M328" s="136" t="str">
        <f t="shared" si="1"/>
        <v/>
      </c>
      <c r="N328" s="136" t="str">
        <f>IFERROR(__xludf.DUMMYFUNCTION("""COMPUTED_VALUE"""),"")</f>
        <v/>
      </c>
      <c r="O328" s="141" t="s">
        <v>133</v>
      </c>
      <c r="P328" s="136" t="str">
        <f>IFERROR(__xludf.DUMMYFUNCTION("""COMPUTED_VALUE"""),"")</f>
        <v/>
      </c>
      <c r="Q328" s="136" t="str">
        <f>IFERROR(__xludf.DUMMYFUNCTION("""COMPUTED_VALUE"""),"")</f>
        <v/>
      </c>
      <c r="R328" s="106" t="str">
        <f>IFERROR(__xludf.DUMMYFUNCTION("""COMPUTED_VALUE"""),"")</f>
        <v/>
      </c>
      <c r="S328" s="106" t="str">
        <f>IFERROR(__xludf.DUMMYFUNCTION("""COMPUTED_VALUE"""),"")</f>
        <v/>
      </c>
      <c r="T328" s="139" t="str">
        <f>IFERROR(__xludf.DUMMYFUNCTION("""COMPUTED_VALUE"""),"")</f>
        <v/>
      </c>
      <c r="U328" s="139" t="str">
        <f>IFERROR(__xludf.DUMMYFUNCTION("""COMPUTED_VALUE"""),"")</f>
        <v/>
      </c>
      <c r="V328" s="136" t="str">
        <f>IFERROR(__xludf.DUMMYFUNCTION("""COMPUTED_VALUE"""),"")</f>
        <v/>
      </c>
      <c r="W328" s="106" t="str">
        <f>IFERROR(__xludf.DUMMYFUNCTION("""COMPUTED_VALUE"""),"")</f>
        <v/>
      </c>
      <c r="X328" s="143" t="str">
        <f t="shared" si="2"/>
        <v/>
      </c>
      <c r="Y328" s="139" t="str">
        <f>IFERROR(__xludf.DUMMYFUNCTION("""COMPUTED_VALUE"""),"")</f>
        <v/>
      </c>
      <c r="Z328" s="141" t="str">
        <f>IFERROR(__xludf.DUMMYFUNCTION("""COMPUTED_VALUE"""),"")</f>
        <v/>
      </c>
    </row>
    <row r="329">
      <c r="A329" s="136"/>
      <c r="B329" s="136"/>
      <c r="C329" s="136" t="str">
        <f>IFERROR(__xludf.DUMMYFUNCTION("""COMPUTED_VALUE"""),"")</f>
        <v/>
      </c>
      <c r="D329" s="136" t="str">
        <f t="shared" si="3"/>
        <v/>
      </c>
      <c r="E329" s="152" t="str">
        <f>IFERROR(__xludf.DUMMYFUNCTION("""COMPUTED_VALUE"""),"")</f>
        <v/>
      </c>
      <c r="F329" s="106" t="s">
        <v>133</v>
      </c>
      <c r="G329" s="152" t="str">
        <f>IFERROR(__xludf.DUMMYFUNCTION("""COMPUTED_VALUE"""),"")</f>
        <v/>
      </c>
      <c r="H329" s="106" t="s">
        <v>133</v>
      </c>
      <c r="I329" s="136"/>
      <c r="J329" s="139" t="s">
        <v>133</v>
      </c>
      <c r="K329" s="136" t="s">
        <v>133</v>
      </c>
      <c r="L329" s="153" t="str">
        <f>IFERROR(__xludf.DUMMYFUNCTION("""COMPUTED_VALUE"""),"")</f>
        <v/>
      </c>
      <c r="M329" s="136" t="str">
        <f t="shared" si="1"/>
        <v/>
      </c>
      <c r="N329" s="136" t="str">
        <f>IFERROR(__xludf.DUMMYFUNCTION("""COMPUTED_VALUE"""),"")</f>
        <v/>
      </c>
      <c r="O329" s="141" t="s">
        <v>133</v>
      </c>
      <c r="P329" s="136" t="str">
        <f>IFERROR(__xludf.DUMMYFUNCTION("""COMPUTED_VALUE"""),"")</f>
        <v/>
      </c>
      <c r="Q329" s="136" t="str">
        <f>IFERROR(__xludf.DUMMYFUNCTION("""COMPUTED_VALUE"""),"")</f>
        <v/>
      </c>
      <c r="R329" s="106" t="str">
        <f>IFERROR(__xludf.DUMMYFUNCTION("""COMPUTED_VALUE"""),"")</f>
        <v/>
      </c>
      <c r="S329" s="106" t="str">
        <f>IFERROR(__xludf.DUMMYFUNCTION("""COMPUTED_VALUE"""),"")</f>
        <v/>
      </c>
      <c r="T329" s="139" t="str">
        <f>IFERROR(__xludf.DUMMYFUNCTION("""COMPUTED_VALUE"""),"")</f>
        <v/>
      </c>
      <c r="U329" s="139" t="str">
        <f>IFERROR(__xludf.DUMMYFUNCTION("""COMPUTED_VALUE"""),"")</f>
        <v/>
      </c>
      <c r="V329" s="136" t="str">
        <f>IFERROR(__xludf.DUMMYFUNCTION("""COMPUTED_VALUE"""),"")</f>
        <v/>
      </c>
      <c r="W329" s="106" t="str">
        <f>IFERROR(__xludf.DUMMYFUNCTION("""COMPUTED_VALUE"""),"")</f>
        <v/>
      </c>
      <c r="X329" s="143" t="str">
        <f t="shared" si="2"/>
        <v/>
      </c>
      <c r="Y329" s="139" t="str">
        <f>IFERROR(__xludf.DUMMYFUNCTION("""COMPUTED_VALUE"""),"")</f>
        <v/>
      </c>
      <c r="Z329" s="141" t="str">
        <f>IFERROR(__xludf.DUMMYFUNCTION("""COMPUTED_VALUE"""),"")</f>
        <v/>
      </c>
    </row>
    <row r="330">
      <c r="A330" s="136"/>
      <c r="B330" s="136"/>
      <c r="C330" s="136" t="str">
        <f>IFERROR(__xludf.DUMMYFUNCTION("""COMPUTED_VALUE"""),"")</f>
        <v/>
      </c>
      <c r="D330" s="136" t="str">
        <f t="shared" si="3"/>
        <v/>
      </c>
      <c r="E330" s="152" t="str">
        <f>IFERROR(__xludf.DUMMYFUNCTION("""COMPUTED_VALUE"""),"")</f>
        <v/>
      </c>
      <c r="F330" s="106" t="s">
        <v>133</v>
      </c>
      <c r="G330" s="152" t="str">
        <f>IFERROR(__xludf.DUMMYFUNCTION("""COMPUTED_VALUE"""),"")</f>
        <v/>
      </c>
      <c r="H330" s="106" t="s">
        <v>133</v>
      </c>
      <c r="I330" s="136"/>
      <c r="J330" s="139" t="s">
        <v>133</v>
      </c>
      <c r="K330" s="136" t="s">
        <v>133</v>
      </c>
      <c r="L330" s="153" t="str">
        <f>IFERROR(__xludf.DUMMYFUNCTION("""COMPUTED_VALUE"""),"")</f>
        <v/>
      </c>
      <c r="M330" s="136" t="str">
        <f t="shared" si="1"/>
        <v/>
      </c>
      <c r="N330" s="136" t="str">
        <f>IFERROR(__xludf.DUMMYFUNCTION("""COMPUTED_VALUE"""),"")</f>
        <v/>
      </c>
      <c r="O330" s="141" t="s">
        <v>133</v>
      </c>
      <c r="P330" s="136" t="str">
        <f>IFERROR(__xludf.DUMMYFUNCTION("""COMPUTED_VALUE"""),"")</f>
        <v/>
      </c>
      <c r="Q330" s="136" t="str">
        <f>IFERROR(__xludf.DUMMYFUNCTION("""COMPUTED_VALUE"""),"")</f>
        <v/>
      </c>
      <c r="R330" s="106" t="str">
        <f>IFERROR(__xludf.DUMMYFUNCTION("""COMPUTED_VALUE"""),"")</f>
        <v/>
      </c>
      <c r="S330" s="106" t="str">
        <f>IFERROR(__xludf.DUMMYFUNCTION("""COMPUTED_VALUE"""),"")</f>
        <v/>
      </c>
      <c r="T330" s="139" t="str">
        <f>IFERROR(__xludf.DUMMYFUNCTION("""COMPUTED_VALUE"""),"")</f>
        <v/>
      </c>
      <c r="U330" s="139" t="str">
        <f>IFERROR(__xludf.DUMMYFUNCTION("""COMPUTED_VALUE"""),"")</f>
        <v/>
      </c>
      <c r="V330" s="136" t="str">
        <f>IFERROR(__xludf.DUMMYFUNCTION("""COMPUTED_VALUE"""),"")</f>
        <v/>
      </c>
      <c r="W330" s="106" t="str">
        <f>IFERROR(__xludf.DUMMYFUNCTION("""COMPUTED_VALUE"""),"")</f>
        <v/>
      </c>
      <c r="X330" s="143" t="str">
        <f t="shared" si="2"/>
        <v/>
      </c>
      <c r="Y330" s="139" t="str">
        <f>IFERROR(__xludf.DUMMYFUNCTION("""COMPUTED_VALUE"""),"")</f>
        <v/>
      </c>
      <c r="Z330" s="141" t="str">
        <f>IFERROR(__xludf.DUMMYFUNCTION("""COMPUTED_VALUE"""),"")</f>
        <v/>
      </c>
    </row>
    <row r="331">
      <c r="A331" s="136"/>
      <c r="B331" s="136"/>
      <c r="C331" s="136" t="str">
        <f>IFERROR(__xludf.DUMMYFUNCTION("""COMPUTED_VALUE"""),"")</f>
        <v/>
      </c>
      <c r="D331" s="136" t="str">
        <f t="shared" si="3"/>
        <v/>
      </c>
      <c r="E331" s="152" t="str">
        <f>IFERROR(__xludf.DUMMYFUNCTION("""COMPUTED_VALUE"""),"")</f>
        <v/>
      </c>
      <c r="F331" s="106" t="s">
        <v>133</v>
      </c>
      <c r="G331" s="152" t="str">
        <f>IFERROR(__xludf.DUMMYFUNCTION("""COMPUTED_VALUE"""),"")</f>
        <v/>
      </c>
      <c r="H331" s="106" t="s">
        <v>133</v>
      </c>
      <c r="I331" s="136"/>
      <c r="J331" s="139" t="s">
        <v>133</v>
      </c>
      <c r="K331" s="136" t="s">
        <v>133</v>
      </c>
      <c r="L331" s="153" t="str">
        <f>IFERROR(__xludf.DUMMYFUNCTION("""COMPUTED_VALUE"""),"")</f>
        <v/>
      </c>
      <c r="M331" s="136" t="str">
        <f t="shared" si="1"/>
        <v/>
      </c>
      <c r="N331" s="136" t="str">
        <f>IFERROR(__xludf.DUMMYFUNCTION("""COMPUTED_VALUE"""),"")</f>
        <v/>
      </c>
      <c r="O331" s="141" t="s">
        <v>133</v>
      </c>
      <c r="P331" s="136" t="str">
        <f>IFERROR(__xludf.DUMMYFUNCTION("""COMPUTED_VALUE"""),"")</f>
        <v/>
      </c>
      <c r="Q331" s="136" t="str">
        <f>IFERROR(__xludf.DUMMYFUNCTION("""COMPUTED_VALUE"""),"")</f>
        <v/>
      </c>
      <c r="R331" s="106" t="str">
        <f>IFERROR(__xludf.DUMMYFUNCTION("""COMPUTED_VALUE"""),"")</f>
        <v/>
      </c>
      <c r="S331" s="106" t="str">
        <f>IFERROR(__xludf.DUMMYFUNCTION("""COMPUTED_VALUE"""),"")</f>
        <v/>
      </c>
      <c r="T331" s="139" t="str">
        <f>IFERROR(__xludf.DUMMYFUNCTION("""COMPUTED_VALUE"""),"")</f>
        <v/>
      </c>
      <c r="U331" s="139" t="str">
        <f>IFERROR(__xludf.DUMMYFUNCTION("""COMPUTED_VALUE"""),"")</f>
        <v/>
      </c>
      <c r="V331" s="136" t="str">
        <f>IFERROR(__xludf.DUMMYFUNCTION("""COMPUTED_VALUE"""),"")</f>
        <v/>
      </c>
      <c r="W331" s="106" t="str">
        <f>IFERROR(__xludf.DUMMYFUNCTION("""COMPUTED_VALUE"""),"")</f>
        <v/>
      </c>
      <c r="X331" s="143" t="str">
        <f t="shared" si="2"/>
        <v/>
      </c>
      <c r="Y331" s="139" t="str">
        <f>IFERROR(__xludf.DUMMYFUNCTION("""COMPUTED_VALUE"""),"")</f>
        <v/>
      </c>
      <c r="Z331" s="141" t="str">
        <f>IFERROR(__xludf.DUMMYFUNCTION("""COMPUTED_VALUE"""),"")</f>
        <v/>
      </c>
    </row>
    <row r="332">
      <c r="A332" s="136"/>
      <c r="B332" s="136"/>
      <c r="C332" s="136" t="str">
        <f>IFERROR(__xludf.DUMMYFUNCTION("""COMPUTED_VALUE"""),"")</f>
        <v/>
      </c>
      <c r="D332" s="136" t="str">
        <f t="shared" si="3"/>
        <v/>
      </c>
      <c r="E332" s="152" t="str">
        <f>IFERROR(__xludf.DUMMYFUNCTION("""COMPUTED_VALUE"""),"")</f>
        <v/>
      </c>
      <c r="F332" s="106" t="s">
        <v>133</v>
      </c>
      <c r="G332" s="152" t="str">
        <f>IFERROR(__xludf.DUMMYFUNCTION("""COMPUTED_VALUE"""),"")</f>
        <v/>
      </c>
      <c r="H332" s="106" t="s">
        <v>133</v>
      </c>
      <c r="I332" s="136"/>
      <c r="J332" s="139" t="s">
        <v>133</v>
      </c>
      <c r="K332" s="136" t="s">
        <v>133</v>
      </c>
      <c r="L332" s="153" t="str">
        <f>IFERROR(__xludf.DUMMYFUNCTION("""COMPUTED_VALUE"""),"")</f>
        <v/>
      </c>
      <c r="M332" s="136" t="str">
        <f t="shared" si="1"/>
        <v/>
      </c>
      <c r="N332" s="136" t="str">
        <f>IFERROR(__xludf.DUMMYFUNCTION("""COMPUTED_VALUE"""),"")</f>
        <v/>
      </c>
      <c r="O332" s="141" t="s">
        <v>133</v>
      </c>
      <c r="P332" s="136" t="str">
        <f>IFERROR(__xludf.DUMMYFUNCTION("""COMPUTED_VALUE"""),"")</f>
        <v/>
      </c>
      <c r="Q332" s="136" t="str">
        <f>IFERROR(__xludf.DUMMYFUNCTION("""COMPUTED_VALUE"""),"")</f>
        <v/>
      </c>
      <c r="R332" s="106" t="str">
        <f>IFERROR(__xludf.DUMMYFUNCTION("""COMPUTED_VALUE"""),"")</f>
        <v/>
      </c>
      <c r="S332" s="106" t="str">
        <f>IFERROR(__xludf.DUMMYFUNCTION("""COMPUTED_VALUE"""),"")</f>
        <v/>
      </c>
      <c r="T332" s="139" t="str">
        <f>IFERROR(__xludf.DUMMYFUNCTION("""COMPUTED_VALUE"""),"")</f>
        <v/>
      </c>
      <c r="U332" s="139" t="str">
        <f>IFERROR(__xludf.DUMMYFUNCTION("""COMPUTED_VALUE"""),"")</f>
        <v/>
      </c>
      <c r="V332" s="136" t="str">
        <f>IFERROR(__xludf.DUMMYFUNCTION("""COMPUTED_VALUE"""),"")</f>
        <v/>
      </c>
      <c r="W332" s="106" t="str">
        <f>IFERROR(__xludf.DUMMYFUNCTION("""COMPUTED_VALUE"""),"")</f>
        <v/>
      </c>
      <c r="X332" s="143" t="str">
        <f t="shared" si="2"/>
        <v/>
      </c>
      <c r="Y332" s="139" t="str">
        <f>IFERROR(__xludf.DUMMYFUNCTION("""COMPUTED_VALUE"""),"")</f>
        <v/>
      </c>
      <c r="Z332" s="141" t="str">
        <f>IFERROR(__xludf.DUMMYFUNCTION("""COMPUTED_VALUE"""),"")</f>
        <v/>
      </c>
    </row>
    <row r="333">
      <c r="A333" s="136"/>
      <c r="B333" s="136"/>
      <c r="C333" s="136" t="str">
        <f>IFERROR(__xludf.DUMMYFUNCTION("""COMPUTED_VALUE"""),"")</f>
        <v/>
      </c>
      <c r="D333" s="136" t="str">
        <f t="shared" si="3"/>
        <v/>
      </c>
      <c r="E333" s="152" t="str">
        <f>IFERROR(__xludf.DUMMYFUNCTION("""COMPUTED_VALUE"""),"")</f>
        <v/>
      </c>
      <c r="F333" s="106" t="s">
        <v>133</v>
      </c>
      <c r="G333" s="152" t="str">
        <f>IFERROR(__xludf.DUMMYFUNCTION("""COMPUTED_VALUE"""),"")</f>
        <v/>
      </c>
      <c r="H333" s="106" t="s">
        <v>133</v>
      </c>
      <c r="I333" s="136"/>
      <c r="J333" s="139" t="s">
        <v>133</v>
      </c>
      <c r="K333" s="136" t="s">
        <v>133</v>
      </c>
      <c r="L333" s="153" t="str">
        <f>IFERROR(__xludf.DUMMYFUNCTION("""COMPUTED_VALUE"""),"")</f>
        <v/>
      </c>
      <c r="M333" s="136" t="str">
        <f t="shared" si="1"/>
        <v/>
      </c>
      <c r="N333" s="136" t="str">
        <f>IFERROR(__xludf.DUMMYFUNCTION("""COMPUTED_VALUE"""),"")</f>
        <v/>
      </c>
      <c r="O333" s="141" t="s">
        <v>133</v>
      </c>
      <c r="P333" s="136" t="str">
        <f>IFERROR(__xludf.DUMMYFUNCTION("""COMPUTED_VALUE"""),"")</f>
        <v/>
      </c>
      <c r="Q333" s="136" t="str">
        <f>IFERROR(__xludf.DUMMYFUNCTION("""COMPUTED_VALUE"""),"")</f>
        <v/>
      </c>
      <c r="R333" s="106" t="str">
        <f>IFERROR(__xludf.DUMMYFUNCTION("""COMPUTED_VALUE"""),"")</f>
        <v/>
      </c>
      <c r="S333" s="106" t="str">
        <f>IFERROR(__xludf.DUMMYFUNCTION("""COMPUTED_VALUE"""),"")</f>
        <v/>
      </c>
      <c r="T333" s="139" t="str">
        <f>IFERROR(__xludf.DUMMYFUNCTION("""COMPUTED_VALUE"""),"")</f>
        <v/>
      </c>
      <c r="U333" s="139" t="str">
        <f>IFERROR(__xludf.DUMMYFUNCTION("""COMPUTED_VALUE"""),"")</f>
        <v/>
      </c>
      <c r="V333" s="136" t="str">
        <f>IFERROR(__xludf.DUMMYFUNCTION("""COMPUTED_VALUE"""),"")</f>
        <v/>
      </c>
      <c r="W333" s="106" t="str">
        <f>IFERROR(__xludf.DUMMYFUNCTION("""COMPUTED_VALUE"""),"")</f>
        <v/>
      </c>
      <c r="X333" s="143" t="str">
        <f t="shared" si="2"/>
        <v/>
      </c>
      <c r="Y333" s="139" t="str">
        <f>IFERROR(__xludf.DUMMYFUNCTION("""COMPUTED_VALUE"""),"")</f>
        <v/>
      </c>
      <c r="Z333" s="141" t="str">
        <f>IFERROR(__xludf.DUMMYFUNCTION("""COMPUTED_VALUE"""),"")</f>
        <v/>
      </c>
    </row>
    <row r="334">
      <c r="A334" s="136"/>
      <c r="B334" s="136"/>
      <c r="C334" s="136" t="str">
        <f>IFERROR(__xludf.DUMMYFUNCTION("""COMPUTED_VALUE"""),"")</f>
        <v/>
      </c>
      <c r="D334" s="136" t="str">
        <f t="shared" si="3"/>
        <v/>
      </c>
      <c r="E334" s="152" t="str">
        <f>IFERROR(__xludf.DUMMYFUNCTION("""COMPUTED_VALUE"""),"")</f>
        <v/>
      </c>
      <c r="F334" s="106" t="s">
        <v>133</v>
      </c>
      <c r="G334" s="152" t="str">
        <f>IFERROR(__xludf.DUMMYFUNCTION("""COMPUTED_VALUE"""),"")</f>
        <v/>
      </c>
      <c r="H334" s="106" t="s">
        <v>133</v>
      </c>
      <c r="I334" s="136"/>
      <c r="J334" s="139" t="s">
        <v>133</v>
      </c>
      <c r="K334" s="136" t="s">
        <v>133</v>
      </c>
      <c r="L334" s="153" t="str">
        <f>IFERROR(__xludf.DUMMYFUNCTION("""COMPUTED_VALUE"""),"")</f>
        <v/>
      </c>
      <c r="M334" s="136" t="str">
        <f t="shared" si="1"/>
        <v/>
      </c>
      <c r="N334" s="136" t="str">
        <f>IFERROR(__xludf.DUMMYFUNCTION("""COMPUTED_VALUE"""),"")</f>
        <v/>
      </c>
      <c r="O334" s="141" t="s">
        <v>133</v>
      </c>
      <c r="P334" s="136" t="str">
        <f>IFERROR(__xludf.DUMMYFUNCTION("""COMPUTED_VALUE"""),"")</f>
        <v/>
      </c>
      <c r="Q334" s="136" t="str">
        <f>IFERROR(__xludf.DUMMYFUNCTION("""COMPUTED_VALUE"""),"")</f>
        <v/>
      </c>
      <c r="R334" s="106" t="str">
        <f>IFERROR(__xludf.DUMMYFUNCTION("""COMPUTED_VALUE"""),"")</f>
        <v/>
      </c>
      <c r="S334" s="106" t="str">
        <f>IFERROR(__xludf.DUMMYFUNCTION("""COMPUTED_VALUE"""),"")</f>
        <v/>
      </c>
      <c r="T334" s="139" t="str">
        <f>IFERROR(__xludf.DUMMYFUNCTION("""COMPUTED_VALUE"""),"")</f>
        <v/>
      </c>
      <c r="U334" s="139" t="str">
        <f>IFERROR(__xludf.DUMMYFUNCTION("""COMPUTED_VALUE"""),"")</f>
        <v/>
      </c>
      <c r="V334" s="136" t="str">
        <f>IFERROR(__xludf.DUMMYFUNCTION("""COMPUTED_VALUE"""),"")</f>
        <v/>
      </c>
      <c r="W334" s="106" t="str">
        <f>IFERROR(__xludf.DUMMYFUNCTION("""COMPUTED_VALUE"""),"")</f>
        <v/>
      </c>
      <c r="X334" s="143" t="str">
        <f t="shared" si="2"/>
        <v/>
      </c>
      <c r="Y334" s="139" t="str">
        <f>IFERROR(__xludf.DUMMYFUNCTION("""COMPUTED_VALUE"""),"")</f>
        <v/>
      </c>
      <c r="Z334" s="141" t="str">
        <f>IFERROR(__xludf.DUMMYFUNCTION("""COMPUTED_VALUE"""),"")</f>
        <v/>
      </c>
    </row>
    <row r="335">
      <c r="A335" s="136"/>
      <c r="B335" s="136"/>
      <c r="C335" s="136" t="str">
        <f>IFERROR(__xludf.DUMMYFUNCTION("""COMPUTED_VALUE"""),"")</f>
        <v/>
      </c>
      <c r="D335" s="136" t="str">
        <f t="shared" si="3"/>
        <v/>
      </c>
      <c r="E335" s="152" t="str">
        <f>IFERROR(__xludf.DUMMYFUNCTION("""COMPUTED_VALUE"""),"")</f>
        <v/>
      </c>
      <c r="F335" s="106" t="s">
        <v>133</v>
      </c>
      <c r="G335" s="152" t="str">
        <f>IFERROR(__xludf.DUMMYFUNCTION("""COMPUTED_VALUE"""),"")</f>
        <v/>
      </c>
      <c r="H335" s="106" t="s">
        <v>133</v>
      </c>
      <c r="I335" s="136"/>
      <c r="J335" s="139" t="s">
        <v>133</v>
      </c>
      <c r="K335" s="136" t="s">
        <v>133</v>
      </c>
      <c r="L335" s="153" t="str">
        <f>IFERROR(__xludf.DUMMYFUNCTION("""COMPUTED_VALUE"""),"")</f>
        <v/>
      </c>
      <c r="M335" s="136" t="str">
        <f t="shared" si="1"/>
        <v/>
      </c>
      <c r="N335" s="136" t="str">
        <f>IFERROR(__xludf.DUMMYFUNCTION("""COMPUTED_VALUE"""),"")</f>
        <v/>
      </c>
      <c r="O335" s="141" t="s">
        <v>133</v>
      </c>
      <c r="P335" s="136" t="str">
        <f>IFERROR(__xludf.DUMMYFUNCTION("""COMPUTED_VALUE"""),"")</f>
        <v/>
      </c>
      <c r="Q335" s="136" t="str">
        <f>IFERROR(__xludf.DUMMYFUNCTION("""COMPUTED_VALUE"""),"")</f>
        <v/>
      </c>
      <c r="R335" s="106" t="str">
        <f>IFERROR(__xludf.DUMMYFUNCTION("""COMPUTED_VALUE"""),"")</f>
        <v/>
      </c>
      <c r="S335" s="106" t="str">
        <f>IFERROR(__xludf.DUMMYFUNCTION("""COMPUTED_VALUE"""),"")</f>
        <v/>
      </c>
      <c r="T335" s="139" t="str">
        <f>IFERROR(__xludf.DUMMYFUNCTION("""COMPUTED_VALUE"""),"")</f>
        <v/>
      </c>
      <c r="U335" s="139" t="str">
        <f>IFERROR(__xludf.DUMMYFUNCTION("""COMPUTED_VALUE"""),"")</f>
        <v/>
      </c>
      <c r="V335" s="136" t="str">
        <f>IFERROR(__xludf.DUMMYFUNCTION("""COMPUTED_VALUE"""),"")</f>
        <v/>
      </c>
      <c r="W335" s="106" t="str">
        <f>IFERROR(__xludf.DUMMYFUNCTION("""COMPUTED_VALUE"""),"")</f>
        <v/>
      </c>
      <c r="X335" s="143" t="str">
        <f t="shared" si="2"/>
        <v/>
      </c>
      <c r="Y335" s="139" t="str">
        <f>IFERROR(__xludf.DUMMYFUNCTION("""COMPUTED_VALUE"""),"")</f>
        <v/>
      </c>
      <c r="Z335" s="141" t="str">
        <f>IFERROR(__xludf.DUMMYFUNCTION("""COMPUTED_VALUE"""),"")</f>
        <v/>
      </c>
    </row>
    <row r="336">
      <c r="A336" s="136"/>
      <c r="B336" s="136"/>
      <c r="C336" s="136" t="str">
        <f>IFERROR(__xludf.DUMMYFUNCTION("""COMPUTED_VALUE"""),"")</f>
        <v/>
      </c>
      <c r="D336" s="136" t="str">
        <f t="shared" si="3"/>
        <v/>
      </c>
      <c r="E336" s="152" t="str">
        <f>IFERROR(__xludf.DUMMYFUNCTION("""COMPUTED_VALUE"""),"")</f>
        <v/>
      </c>
      <c r="F336" s="106" t="s">
        <v>133</v>
      </c>
      <c r="G336" s="152" t="str">
        <f>IFERROR(__xludf.DUMMYFUNCTION("""COMPUTED_VALUE"""),"")</f>
        <v/>
      </c>
      <c r="H336" s="106" t="s">
        <v>133</v>
      </c>
      <c r="I336" s="136"/>
      <c r="J336" s="139" t="s">
        <v>133</v>
      </c>
      <c r="K336" s="136" t="s">
        <v>133</v>
      </c>
      <c r="L336" s="153" t="str">
        <f>IFERROR(__xludf.DUMMYFUNCTION("""COMPUTED_VALUE"""),"")</f>
        <v/>
      </c>
      <c r="M336" s="136" t="str">
        <f t="shared" si="1"/>
        <v/>
      </c>
      <c r="N336" s="136" t="str">
        <f>IFERROR(__xludf.DUMMYFUNCTION("""COMPUTED_VALUE"""),"")</f>
        <v/>
      </c>
      <c r="O336" s="141" t="s">
        <v>133</v>
      </c>
      <c r="P336" s="136" t="str">
        <f>IFERROR(__xludf.DUMMYFUNCTION("""COMPUTED_VALUE"""),"")</f>
        <v/>
      </c>
      <c r="Q336" s="136" t="str">
        <f>IFERROR(__xludf.DUMMYFUNCTION("""COMPUTED_VALUE"""),"")</f>
        <v/>
      </c>
      <c r="R336" s="106" t="str">
        <f>IFERROR(__xludf.DUMMYFUNCTION("""COMPUTED_VALUE"""),"")</f>
        <v/>
      </c>
      <c r="S336" s="106" t="str">
        <f>IFERROR(__xludf.DUMMYFUNCTION("""COMPUTED_VALUE"""),"")</f>
        <v/>
      </c>
      <c r="T336" s="139" t="str">
        <f>IFERROR(__xludf.DUMMYFUNCTION("""COMPUTED_VALUE"""),"")</f>
        <v/>
      </c>
      <c r="U336" s="139" t="str">
        <f>IFERROR(__xludf.DUMMYFUNCTION("""COMPUTED_VALUE"""),"")</f>
        <v/>
      </c>
      <c r="V336" s="136" t="str">
        <f>IFERROR(__xludf.DUMMYFUNCTION("""COMPUTED_VALUE"""),"")</f>
        <v/>
      </c>
      <c r="W336" s="106" t="str">
        <f>IFERROR(__xludf.DUMMYFUNCTION("""COMPUTED_VALUE"""),"")</f>
        <v/>
      </c>
      <c r="X336" s="143" t="str">
        <f t="shared" si="2"/>
        <v/>
      </c>
      <c r="Y336" s="139" t="str">
        <f>IFERROR(__xludf.DUMMYFUNCTION("""COMPUTED_VALUE"""),"")</f>
        <v/>
      </c>
      <c r="Z336" s="141" t="str">
        <f>IFERROR(__xludf.DUMMYFUNCTION("""COMPUTED_VALUE"""),"")</f>
        <v/>
      </c>
    </row>
    <row r="337">
      <c r="A337" s="136"/>
      <c r="B337" s="136"/>
      <c r="C337" s="136" t="str">
        <f>IFERROR(__xludf.DUMMYFUNCTION("""COMPUTED_VALUE"""),"")</f>
        <v/>
      </c>
      <c r="D337" s="136" t="str">
        <f t="shared" si="3"/>
        <v/>
      </c>
      <c r="E337" s="152" t="str">
        <f>IFERROR(__xludf.DUMMYFUNCTION("""COMPUTED_VALUE"""),"")</f>
        <v/>
      </c>
      <c r="F337" s="106" t="s">
        <v>133</v>
      </c>
      <c r="G337" s="152" t="str">
        <f>IFERROR(__xludf.DUMMYFUNCTION("""COMPUTED_VALUE"""),"")</f>
        <v/>
      </c>
      <c r="H337" s="106" t="s">
        <v>133</v>
      </c>
      <c r="I337" s="136"/>
      <c r="J337" s="139" t="s">
        <v>133</v>
      </c>
      <c r="K337" s="136" t="s">
        <v>133</v>
      </c>
      <c r="L337" s="153" t="str">
        <f>IFERROR(__xludf.DUMMYFUNCTION("""COMPUTED_VALUE"""),"")</f>
        <v/>
      </c>
      <c r="M337" s="136" t="str">
        <f t="shared" si="1"/>
        <v/>
      </c>
      <c r="N337" s="136" t="str">
        <f>IFERROR(__xludf.DUMMYFUNCTION("""COMPUTED_VALUE"""),"")</f>
        <v/>
      </c>
      <c r="O337" s="141" t="s">
        <v>133</v>
      </c>
      <c r="P337" s="136" t="str">
        <f>IFERROR(__xludf.DUMMYFUNCTION("""COMPUTED_VALUE"""),"")</f>
        <v/>
      </c>
      <c r="Q337" s="136" t="str">
        <f>IFERROR(__xludf.DUMMYFUNCTION("""COMPUTED_VALUE"""),"")</f>
        <v/>
      </c>
      <c r="R337" s="106" t="str">
        <f>IFERROR(__xludf.DUMMYFUNCTION("""COMPUTED_VALUE"""),"")</f>
        <v/>
      </c>
      <c r="S337" s="106" t="str">
        <f>IFERROR(__xludf.DUMMYFUNCTION("""COMPUTED_VALUE"""),"")</f>
        <v/>
      </c>
      <c r="T337" s="139" t="str">
        <f>IFERROR(__xludf.DUMMYFUNCTION("""COMPUTED_VALUE"""),"")</f>
        <v/>
      </c>
      <c r="U337" s="139" t="str">
        <f>IFERROR(__xludf.DUMMYFUNCTION("""COMPUTED_VALUE"""),"")</f>
        <v/>
      </c>
      <c r="V337" s="136" t="str">
        <f>IFERROR(__xludf.DUMMYFUNCTION("""COMPUTED_VALUE"""),"")</f>
        <v/>
      </c>
      <c r="W337" s="106" t="str">
        <f>IFERROR(__xludf.DUMMYFUNCTION("""COMPUTED_VALUE"""),"")</f>
        <v/>
      </c>
      <c r="X337" s="143" t="str">
        <f t="shared" si="2"/>
        <v/>
      </c>
      <c r="Y337" s="139" t="str">
        <f>IFERROR(__xludf.DUMMYFUNCTION("""COMPUTED_VALUE"""),"")</f>
        <v/>
      </c>
      <c r="Z337" s="141" t="str">
        <f>IFERROR(__xludf.DUMMYFUNCTION("""COMPUTED_VALUE"""),"")</f>
        <v/>
      </c>
    </row>
    <row r="338">
      <c r="A338" s="136"/>
      <c r="B338" s="136"/>
      <c r="C338" s="136" t="str">
        <f>IFERROR(__xludf.DUMMYFUNCTION("""COMPUTED_VALUE"""),"")</f>
        <v/>
      </c>
      <c r="D338" s="136" t="str">
        <f t="shared" si="3"/>
        <v/>
      </c>
      <c r="E338" s="152" t="str">
        <f>IFERROR(__xludf.DUMMYFUNCTION("""COMPUTED_VALUE"""),"")</f>
        <v/>
      </c>
      <c r="F338" s="106" t="s">
        <v>133</v>
      </c>
      <c r="G338" s="152" t="str">
        <f>IFERROR(__xludf.DUMMYFUNCTION("""COMPUTED_VALUE"""),"")</f>
        <v/>
      </c>
      <c r="H338" s="106" t="s">
        <v>133</v>
      </c>
      <c r="I338" s="136"/>
      <c r="J338" s="139" t="s">
        <v>133</v>
      </c>
      <c r="K338" s="136" t="s">
        <v>133</v>
      </c>
      <c r="L338" s="153" t="str">
        <f>IFERROR(__xludf.DUMMYFUNCTION("""COMPUTED_VALUE"""),"")</f>
        <v/>
      </c>
      <c r="M338" s="136" t="str">
        <f t="shared" si="1"/>
        <v/>
      </c>
      <c r="N338" s="136" t="str">
        <f>IFERROR(__xludf.DUMMYFUNCTION("""COMPUTED_VALUE"""),"")</f>
        <v/>
      </c>
      <c r="O338" s="141" t="s">
        <v>133</v>
      </c>
      <c r="P338" s="136" t="str">
        <f>IFERROR(__xludf.DUMMYFUNCTION("""COMPUTED_VALUE"""),"")</f>
        <v/>
      </c>
      <c r="Q338" s="136" t="str">
        <f>IFERROR(__xludf.DUMMYFUNCTION("""COMPUTED_VALUE"""),"")</f>
        <v/>
      </c>
      <c r="R338" s="106" t="str">
        <f>IFERROR(__xludf.DUMMYFUNCTION("""COMPUTED_VALUE"""),"")</f>
        <v/>
      </c>
      <c r="S338" s="106" t="str">
        <f>IFERROR(__xludf.DUMMYFUNCTION("""COMPUTED_VALUE"""),"")</f>
        <v/>
      </c>
      <c r="T338" s="139" t="str">
        <f>IFERROR(__xludf.DUMMYFUNCTION("""COMPUTED_VALUE"""),"")</f>
        <v/>
      </c>
      <c r="U338" s="139" t="str">
        <f>IFERROR(__xludf.DUMMYFUNCTION("""COMPUTED_VALUE"""),"")</f>
        <v/>
      </c>
      <c r="V338" s="136" t="str">
        <f>IFERROR(__xludf.DUMMYFUNCTION("""COMPUTED_VALUE"""),"")</f>
        <v/>
      </c>
      <c r="W338" s="106" t="str">
        <f>IFERROR(__xludf.DUMMYFUNCTION("""COMPUTED_VALUE"""),"")</f>
        <v/>
      </c>
      <c r="X338" s="143" t="str">
        <f t="shared" si="2"/>
        <v/>
      </c>
      <c r="Y338" s="139" t="str">
        <f>IFERROR(__xludf.DUMMYFUNCTION("""COMPUTED_VALUE"""),"")</f>
        <v/>
      </c>
      <c r="Z338" s="141" t="str">
        <f>IFERROR(__xludf.DUMMYFUNCTION("""COMPUTED_VALUE"""),"")</f>
        <v/>
      </c>
    </row>
    <row r="339">
      <c r="A339" s="136"/>
      <c r="B339" s="136"/>
      <c r="C339" s="136" t="str">
        <f>IFERROR(__xludf.DUMMYFUNCTION("""COMPUTED_VALUE"""),"")</f>
        <v/>
      </c>
      <c r="D339" s="136" t="str">
        <f t="shared" si="3"/>
        <v/>
      </c>
      <c r="E339" s="152" t="str">
        <f>IFERROR(__xludf.DUMMYFUNCTION("""COMPUTED_VALUE"""),"")</f>
        <v/>
      </c>
      <c r="F339" s="106" t="s">
        <v>133</v>
      </c>
      <c r="G339" s="152" t="str">
        <f>IFERROR(__xludf.DUMMYFUNCTION("""COMPUTED_VALUE"""),"")</f>
        <v/>
      </c>
      <c r="H339" s="106" t="s">
        <v>133</v>
      </c>
      <c r="I339" s="136"/>
      <c r="J339" s="139" t="s">
        <v>133</v>
      </c>
      <c r="K339" s="136" t="s">
        <v>133</v>
      </c>
      <c r="L339" s="153" t="str">
        <f>IFERROR(__xludf.DUMMYFUNCTION("""COMPUTED_VALUE"""),"")</f>
        <v/>
      </c>
      <c r="M339" s="136" t="str">
        <f t="shared" si="1"/>
        <v/>
      </c>
      <c r="N339" s="136" t="str">
        <f>IFERROR(__xludf.DUMMYFUNCTION("""COMPUTED_VALUE"""),"")</f>
        <v/>
      </c>
      <c r="O339" s="141" t="s">
        <v>133</v>
      </c>
      <c r="P339" s="136" t="str">
        <f>IFERROR(__xludf.DUMMYFUNCTION("""COMPUTED_VALUE"""),"")</f>
        <v/>
      </c>
      <c r="Q339" s="136" t="str">
        <f>IFERROR(__xludf.DUMMYFUNCTION("""COMPUTED_VALUE"""),"")</f>
        <v/>
      </c>
      <c r="R339" s="106" t="str">
        <f>IFERROR(__xludf.DUMMYFUNCTION("""COMPUTED_VALUE"""),"")</f>
        <v/>
      </c>
      <c r="S339" s="106" t="str">
        <f>IFERROR(__xludf.DUMMYFUNCTION("""COMPUTED_VALUE"""),"")</f>
        <v/>
      </c>
      <c r="T339" s="139" t="str">
        <f>IFERROR(__xludf.DUMMYFUNCTION("""COMPUTED_VALUE"""),"")</f>
        <v/>
      </c>
      <c r="U339" s="139" t="str">
        <f>IFERROR(__xludf.DUMMYFUNCTION("""COMPUTED_VALUE"""),"")</f>
        <v/>
      </c>
      <c r="V339" s="136" t="str">
        <f>IFERROR(__xludf.DUMMYFUNCTION("""COMPUTED_VALUE"""),"")</f>
        <v/>
      </c>
      <c r="W339" s="106" t="str">
        <f>IFERROR(__xludf.DUMMYFUNCTION("""COMPUTED_VALUE"""),"")</f>
        <v/>
      </c>
      <c r="X339" s="143" t="str">
        <f t="shared" si="2"/>
        <v/>
      </c>
      <c r="Y339" s="139" t="str">
        <f>IFERROR(__xludf.DUMMYFUNCTION("""COMPUTED_VALUE"""),"")</f>
        <v/>
      </c>
      <c r="Z339" s="141" t="str">
        <f>IFERROR(__xludf.DUMMYFUNCTION("""COMPUTED_VALUE"""),"")</f>
        <v/>
      </c>
    </row>
    <row r="340">
      <c r="A340" s="136"/>
      <c r="B340" s="136"/>
      <c r="C340" s="136" t="str">
        <f>IFERROR(__xludf.DUMMYFUNCTION("""COMPUTED_VALUE"""),"")</f>
        <v/>
      </c>
      <c r="D340" s="136" t="str">
        <f t="shared" si="3"/>
        <v/>
      </c>
      <c r="E340" s="152" t="str">
        <f>IFERROR(__xludf.DUMMYFUNCTION("""COMPUTED_VALUE"""),"")</f>
        <v/>
      </c>
      <c r="F340" s="106" t="s">
        <v>133</v>
      </c>
      <c r="G340" s="152" t="str">
        <f>IFERROR(__xludf.DUMMYFUNCTION("""COMPUTED_VALUE"""),"")</f>
        <v/>
      </c>
      <c r="H340" s="106" t="s">
        <v>133</v>
      </c>
      <c r="I340" s="136"/>
      <c r="J340" s="139" t="s">
        <v>133</v>
      </c>
      <c r="K340" s="136" t="s">
        <v>133</v>
      </c>
      <c r="L340" s="153" t="str">
        <f>IFERROR(__xludf.DUMMYFUNCTION("""COMPUTED_VALUE"""),"")</f>
        <v/>
      </c>
      <c r="M340" s="136" t="str">
        <f t="shared" si="1"/>
        <v/>
      </c>
      <c r="N340" s="136" t="str">
        <f>IFERROR(__xludf.DUMMYFUNCTION("""COMPUTED_VALUE"""),"")</f>
        <v/>
      </c>
      <c r="O340" s="141" t="s">
        <v>133</v>
      </c>
      <c r="P340" s="136" t="str">
        <f>IFERROR(__xludf.DUMMYFUNCTION("""COMPUTED_VALUE"""),"")</f>
        <v/>
      </c>
      <c r="Q340" s="136" t="str">
        <f>IFERROR(__xludf.DUMMYFUNCTION("""COMPUTED_VALUE"""),"")</f>
        <v/>
      </c>
      <c r="R340" s="106" t="str">
        <f>IFERROR(__xludf.DUMMYFUNCTION("""COMPUTED_VALUE"""),"")</f>
        <v/>
      </c>
      <c r="S340" s="106" t="str">
        <f>IFERROR(__xludf.DUMMYFUNCTION("""COMPUTED_VALUE"""),"")</f>
        <v/>
      </c>
      <c r="T340" s="139" t="str">
        <f>IFERROR(__xludf.DUMMYFUNCTION("""COMPUTED_VALUE"""),"")</f>
        <v/>
      </c>
      <c r="U340" s="139" t="str">
        <f>IFERROR(__xludf.DUMMYFUNCTION("""COMPUTED_VALUE"""),"")</f>
        <v/>
      </c>
      <c r="V340" s="136" t="str">
        <f>IFERROR(__xludf.DUMMYFUNCTION("""COMPUTED_VALUE"""),"")</f>
        <v/>
      </c>
      <c r="W340" s="106" t="str">
        <f>IFERROR(__xludf.DUMMYFUNCTION("""COMPUTED_VALUE"""),"")</f>
        <v/>
      </c>
      <c r="X340" s="143" t="str">
        <f t="shared" si="2"/>
        <v/>
      </c>
      <c r="Y340" s="139" t="str">
        <f>IFERROR(__xludf.DUMMYFUNCTION("""COMPUTED_VALUE"""),"")</f>
        <v/>
      </c>
      <c r="Z340" s="141" t="str">
        <f>IFERROR(__xludf.DUMMYFUNCTION("""COMPUTED_VALUE"""),"")</f>
        <v/>
      </c>
    </row>
    <row r="341">
      <c r="A341" s="136"/>
      <c r="B341" s="136"/>
      <c r="C341" s="136" t="str">
        <f>IFERROR(__xludf.DUMMYFUNCTION("""COMPUTED_VALUE"""),"")</f>
        <v/>
      </c>
      <c r="D341" s="136" t="str">
        <f t="shared" si="3"/>
        <v/>
      </c>
      <c r="E341" s="152" t="str">
        <f>IFERROR(__xludf.DUMMYFUNCTION("""COMPUTED_VALUE"""),"")</f>
        <v/>
      </c>
      <c r="F341" s="106" t="s">
        <v>133</v>
      </c>
      <c r="G341" s="152" t="str">
        <f>IFERROR(__xludf.DUMMYFUNCTION("""COMPUTED_VALUE"""),"")</f>
        <v/>
      </c>
      <c r="H341" s="106" t="s">
        <v>133</v>
      </c>
      <c r="I341" s="136"/>
      <c r="J341" s="139" t="s">
        <v>133</v>
      </c>
      <c r="K341" s="136" t="s">
        <v>133</v>
      </c>
      <c r="L341" s="153" t="str">
        <f>IFERROR(__xludf.DUMMYFUNCTION("""COMPUTED_VALUE"""),"")</f>
        <v/>
      </c>
      <c r="M341" s="136" t="str">
        <f t="shared" si="1"/>
        <v/>
      </c>
      <c r="N341" s="136" t="str">
        <f>IFERROR(__xludf.DUMMYFUNCTION("""COMPUTED_VALUE"""),"")</f>
        <v/>
      </c>
      <c r="O341" s="141" t="s">
        <v>133</v>
      </c>
      <c r="P341" s="136" t="str">
        <f>IFERROR(__xludf.DUMMYFUNCTION("""COMPUTED_VALUE"""),"")</f>
        <v/>
      </c>
      <c r="Q341" s="136" t="str">
        <f>IFERROR(__xludf.DUMMYFUNCTION("""COMPUTED_VALUE"""),"")</f>
        <v/>
      </c>
      <c r="R341" s="106" t="str">
        <f>IFERROR(__xludf.DUMMYFUNCTION("""COMPUTED_VALUE"""),"")</f>
        <v/>
      </c>
      <c r="S341" s="106" t="str">
        <f>IFERROR(__xludf.DUMMYFUNCTION("""COMPUTED_VALUE"""),"")</f>
        <v/>
      </c>
      <c r="T341" s="139" t="str">
        <f>IFERROR(__xludf.DUMMYFUNCTION("""COMPUTED_VALUE"""),"")</f>
        <v/>
      </c>
      <c r="U341" s="139" t="str">
        <f>IFERROR(__xludf.DUMMYFUNCTION("""COMPUTED_VALUE"""),"")</f>
        <v/>
      </c>
      <c r="V341" s="136" t="str">
        <f>IFERROR(__xludf.DUMMYFUNCTION("""COMPUTED_VALUE"""),"")</f>
        <v/>
      </c>
      <c r="W341" s="106" t="str">
        <f>IFERROR(__xludf.DUMMYFUNCTION("""COMPUTED_VALUE"""),"")</f>
        <v/>
      </c>
      <c r="X341" s="143" t="str">
        <f t="shared" si="2"/>
        <v/>
      </c>
      <c r="Y341" s="139" t="str">
        <f>IFERROR(__xludf.DUMMYFUNCTION("""COMPUTED_VALUE"""),"")</f>
        <v/>
      </c>
      <c r="Z341" s="141" t="str">
        <f>IFERROR(__xludf.DUMMYFUNCTION("""COMPUTED_VALUE"""),"")</f>
        <v/>
      </c>
    </row>
    <row r="342">
      <c r="A342" s="136"/>
      <c r="B342" s="136"/>
      <c r="C342" s="136" t="str">
        <f>IFERROR(__xludf.DUMMYFUNCTION("""COMPUTED_VALUE"""),"")</f>
        <v/>
      </c>
      <c r="D342" s="136" t="str">
        <f t="shared" si="3"/>
        <v/>
      </c>
      <c r="E342" s="152" t="str">
        <f>IFERROR(__xludf.DUMMYFUNCTION("""COMPUTED_VALUE"""),"")</f>
        <v/>
      </c>
      <c r="F342" s="106" t="s">
        <v>133</v>
      </c>
      <c r="G342" s="152" t="str">
        <f>IFERROR(__xludf.DUMMYFUNCTION("""COMPUTED_VALUE"""),"")</f>
        <v/>
      </c>
      <c r="H342" s="106" t="s">
        <v>133</v>
      </c>
      <c r="I342" s="136"/>
      <c r="J342" s="139" t="s">
        <v>133</v>
      </c>
      <c r="K342" s="136" t="s">
        <v>133</v>
      </c>
      <c r="L342" s="153" t="str">
        <f>IFERROR(__xludf.DUMMYFUNCTION("""COMPUTED_VALUE"""),"")</f>
        <v/>
      </c>
      <c r="M342" s="136" t="str">
        <f t="shared" si="1"/>
        <v/>
      </c>
      <c r="N342" s="136" t="str">
        <f>IFERROR(__xludf.DUMMYFUNCTION("""COMPUTED_VALUE"""),"")</f>
        <v/>
      </c>
      <c r="O342" s="141" t="s">
        <v>133</v>
      </c>
      <c r="P342" s="136" t="str">
        <f>IFERROR(__xludf.DUMMYFUNCTION("""COMPUTED_VALUE"""),"")</f>
        <v/>
      </c>
      <c r="Q342" s="136" t="str">
        <f>IFERROR(__xludf.DUMMYFUNCTION("""COMPUTED_VALUE"""),"")</f>
        <v/>
      </c>
      <c r="R342" s="106" t="str">
        <f>IFERROR(__xludf.DUMMYFUNCTION("""COMPUTED_VALUE"""),"")</f>
        <v/>
      </c>
      <c r="S342" s="106" t="str">
        <f>IFERROR(__xludf.DUMMYFUNCTION("""COMPUTED_VALUE"""),"")</f>
        <v/>
      </c>
      <c r="T342" s="139" t="str">
        <f>IFERROR(__xludf.DUMMYFUNCTION("""COMPUTED_VALUE"""),"")</f>
        <v/>
      </c>
      <c r="U342" s="139" t="str">
        <f>IFERROR(__xludf.DUMMYFUNCTION("""COMPUTED_VALUE"""),"")</f>
        <v/>
      </c>
      <c r="V342" s="136" t="str">
        <f>IFERROR(__xludf.DUMMYFUNCTION("""COMPUTED_VALUE"""),"")</f>
        <v/>
      </c>
      <c r="W342" s="106" t="str">
        <f>IFERROR(__xludf.DUMMYFUNCTION("""COMPUTED_VALUE"""),"")</f>
        <v/>
      </c>
      <c r="X342" s="143" t="str">
        <f t="shared" si="2"/>
        <v/>
      </c>
      <c r="Y342" s="139" t="str">
        <f>IFERROR(__xludf.DUMMYFUNCTION("""COMPUTED_VALUE"""),"")</f>
        <v/>
      </c>
      <c r="Z342" s="141" t="str">
        <f>IFERROR(__xludf.DUMMYFUNCTION("""COMPUTED_VALUE"""),"")</f>
        <v/>
      </c>
    </row>
    <row r="343">
      <c r="A343" s="136"/>
      <c r="B343" s="136"/>
      <c r="C343" s="136" t="str">
        <f>IFERROR(__xludf.DUMMYFUNCTION("""COMPUTED_VALUE"""),"")</f>
        <v/>
      </c>
      <c r="D343" s="136" t="str">
        <f t="shared" si="3"/>
        <v/>
      </c>
      <c r="E343" s="152" t="str">
        <f>IFERROR(__xludf.DUMMYFUNCTION("""COMPUTED_VALUE"""),"")</f>
        <v/>
      </c>
      <c r="F343" s="106" t="s">
        <v>133</v>
      </c>
      <c r="G343" s="152" t="str">
        <f>IFERROR(__xludf.DUMMYFUNCTION("""COMPUTED_VALUE"""),"")</f>
        <v/>
      </c>
      <c r="H343" s="106" t="s">
        <v>133</v>
      </c>
      <c r="I343" s="136"/>
      <c r="J343" s="139" t="s">
        <v>133</v>
      </c>
      <c r="K343" s="136" t="s">
        <v>133</v>
      </c>
      <c r="L343" s="153" t="str">
        <f>IFERROR(__xludf.DUMMYFUNCTION("""COMPUTED_VALUE"""),"")</f>
        <v/>
      </c>
      <c r="M343" s="136" t="str">
        <f t="shared" si="1"/>
        <v/>
      </c>
      <c r="N343" s="136" t="str">
        <f>IFERROR(__xludf.DUMMYFUNCTION("""COMPUTED_VALUE"""),"")</f>
        <v/>
      </c>
      <c r="O343" s="141" t="s">
        <v>133</v>
      </c>
      <c r="P343" s="136" t="str">
        <f>IFERROR(__xludf.DUMMYFUNCTION("""COMPUTED_VALUE"""),"")</f>
        <v/>
      </c>
      <c r="Q343" s="136" t="str">
        <f>IFERROR(__xludf.DUMMYFUNCTION("""COMPUTED_VALUE"""),"")</f>
        <v/>
      </c>
      <c r="R343" s="106" t="str">
        <f>IFERROR(__xludf.DUMMYFUNCTION("""COMPUTED_VALUE"""),"")</f>
        <v/>
      </c>
      <c r="S343" s="106" t="str">
        <f>IFERROR(__xludf.DUMMYFUNCTION("""COMPUTED_VALUE"""),"")</f>
        <v/>
      </c>
      <c r="T343" s="139" t="str">
        <f>IFERROR(__xludf.DUMMYFUNCTION("""COMPUTED_VALUE"""),"")</f>
        <v/>
      </c>
      <c r="U343" s="139" t="str">
        <f>IFERROR(__xludf.DUMMYFUNCTION("""COMPUTED_VALUE"""),"")</f>
        <v/>
      </c>
      <c r="V343" s="136" t="str">
        <f>IFERROR(__xludf.DUMMYFUNCTION("""COMPUTED_VALUE"""),"")</f>
        <v/>
      </c>
      <c r="W343" s="106" t="str">
        <f>IFERROR(__xludf.DUMMYFUNCTION("""COMPUTED_VALUE"""),"")</f>
        <v/>
      </c>
      <c r="X343" s="143" t="str">
        <f t="shared" si="2"/>
        <v/>
      </c>
      <c r="Y343" s="139" t="str">
        <f>IFERROR(__xludf.DUMMYFUNCTION("""COMPUTED_VALUE"""),"")</f>
        <v/>
      </c>
      <c r="Z343" s="141" t="str">
        <f>IFERROR(__xludf.DUMMYFUNCTION("""COMPUTED_VALUE"""),"")</f>
        <v/>
      </c>
    </row>
    <row r="344">
      <c r="A344" s="136"/>
      <c r="B344" s="136"/>
      <c r="C344" s="136" t="str">
        <f>IFERROR(__xludf.DUMMYFUNCTION("""COMPUTED_VALUE"""),"")</f>
        <v/>
      </c>
      <c r="D344" s="136" t="str">
        <f t="shared" si="3"/>
        <v/>
      </c>
      <c r="E344" s="152" t="str">
        <f>IFERROR(__xludf.DUMMYFUNCTION("""COMPUTED_VALUE"""),"")</f>
        <v/>
      </c>
      <c r="F344" s="106" t="s">
        <v>133</v>
      </c>
      <c r="G344" s="152" t="str">
        <f>IFERROR(__xludf.DUMMYFUNCTION("""COMPUTED_VALUE"""),"")</f>
        <v/>
      </c>
      <c r="H344" s="106" t="s">
        <v>133</v>
      </c>
      <c r="I344" s="136"/>
      <c r="J344" s="139" t="s">
        <v>133</v>
      </c>
      <c r="K344" s="136" t="s">
        <v>133</v>
      </c>
      <c r="L344" s="153" t="str">
        <f>IFERROR(__xludf.DUMMYFUNCTION("""COMPUTED_VALUE"""),"")</f>
        <v/>
      </c>
      <c r="M344" s="136" t="str">
        <f t="shared" si="1"/>
        <v/>
      </c>
      <c r="N344" s="136" t="str">
        <f>IFERROR(__xludf.DUMMYFUNCTION("""COMPUTED_VALUE"""),"")</f>
        <v/>
      </c>
      <c r="O344" s="141" t="s">
        <v>133</v>
      </c>
      <c r="P344" s="136" t="str">
        <f>IFERROR(__xludf.DUMMYFUNCTION("""COMPUTED_VALUE"""),"")</f>
        <v/>
      </c>
      <c r="Q344" s="136" t="str">
        <f>IFERROR(__xludf.DUMMYFUNCTION("""COMPUTED_VALUE"""),"")</f>
        <v/>
      </c>
      <c r="R344" s="106" t="str">
        <f>IFERROR(__xludf.DUMMYFUNCTION("""COMPUTED_VALUE"""),"")</f>
        <v/>
      </c>
      <c r="S344" s="106" t="str">
        <f>IFERROR(__xludf.DUMMYFUNCTION("""COMPUTED_VALUE"""),"")</f>
        <v/>
      </c>
      <c r="T344" s="139" t="str">
        <f>IFERROR(__xludf.DUMMYFUNCTION("""COMPUTED_VALUE"""),"")</f>
        <v/>
      </c>
      <c r="U344" s="139" t="str">
        <f>IFERROR(__xludf.DUMMYFUNCTION("""COMPUTED_VALUE"""),"")</f>
        <v/>
      </c>
      <c r="V344" s="136" t="str">
        <f>IFERROR(__xludf.DUMMYFUNCTION("""COMPUTED_VALUE"""),"")</f>
        <v/>
      </c>
      <c r="W344" s="106" t="str">
        <f>IFERROR(__xludf.DUMMYFUNCTION("""COMPUTED_VALUE"""),"")</f>
        <v/>
      </c>
      <c r="X344" s="143" t="str">
        <f t="shared" si="2"/>
        <v/>
      </c>
      <c r="Y344" s="139" t="str">
        <f>IFERROR(__xludf.DUMMYFUNCTION("""COMPUTED_VALUE"""),"")</f>
        <v/>
      </c>
      <c r="Z344" s="141" t="str">
        <f>IFERROR(__xludf.DUMMYFUNCTION("""COMPUTED_VALUE"""),"")</f>
        <v/>
      </c>
    </row>
    <row r="345">
      <c r="A345" s="136"/>
      <c r="B345" s="136"/>
      <c r="C345" s="136" t="str">
        <f>IFERROR(__xludf.DUMMYFUNCTION("""COMPUTED_VALUE"""),"")</f>
        <v/>
      </c>
      <c r="D345" s="136" t="str">
        <f t="shared" si="3"/>
        <v/>
      </c>
      <c r="E345" s="152" t="str">
        <f>IFERROR(__xludf.DUMMYFUNCTION("""COMPUTED_VALUE"""),"")</f>
        <v/>
      </c>
      <c r="F345" s="106" t="s">
        <v>133</v>
      </c>
      <c r="G345" s="152" t="str">
        <f>IFERROR(__xludf.DUMMYFUNCTION("""COMPUTED_VALUE"""),"")</f>
        <v/>
      </c>
      <c r="H345" s="106" t="s">
        <v>133</v>
      </c>
      <c r="I345" s="136"/>
      <c r="J345" s="139" t="s">
        <v>133</v>
      </c>
      <c r="K345" s="136" t="s">
        <v>133</v>
      </c>
      <c r="L345" s="153" t="str">
        <f>IFERROR(__xludf.DUMMYFUNCTION("""COMPUTED_VALUE"""),"")</f>
        <v/>
      </c>
      <c r="M345" s="136" t="str">
        <f t="shared" si="1"/>
        <v/>
      </c>
      <c r="N345" s="136" t="str">
        <f>IFERROR(__xludf.DUMMYFUNCTION("""COMPUTED_VALUE"""),"")</f>
        <v/>
      </c>
      <c r="O345" s="141" t="s">
        <v>133</v>
      </c>
      <c r="P345" s="136" t="str">
        <f>IFERROR(__xludf.DUMMYFUNCTION("""COMPUTED_VALUE"""),"")</f>
        <v/>
      </c>
      <c r="Q345" s="136" t="str">
        <f>IFERROR(__xludf.DUMMYFUNCTION("""COMPUTED_VALUE"""),"")</f>
        <v/>
      </c>
      <c r="R345" s="106" t="str">
        <f>IFERROR(__xludf.DUMMYFUNCTION("""COMPUTED_VALUE"""),"")</f>
        <v/>
      </c>
      <c r="S345" s="106" t="str">
        <f>IFERROR(__xludf.DUMMYFUNCTION("""COMPUTED_VALUE"""),"")</f>
        <v/>
      </c>
      <c r="T345" s="139" t="str">
        <f>IFERROR(__xludf.DUMMYFUNCTION("""COMPUTED_VALUE"""),"")</f>
        <v/>
      </c>
      <c r="U345" s="139" t="str">
        <f>IFERROR(__xludf.DUMMYFUNCTION("""COMPUTED_VALUE"""),"")</f>
        <v/>
      </c>
      <c r="V345" s="136" t="str">
        <f>IFERROR(__xludf.DUMMYFUNCTION("""COMPUTED_VALUE"""),"")</f>
        <v/>
      </c>
      <c r="W345" s="106" t="str">
        <f>IFERROR(__xludf.DUMMYFUNCTION("""COMPUTED_VALUE"""),"")</f>
        <v/>
      </c>
      <c r="X345" s="143" t="str">
        <f t="shared" si="2"/>
        <v/>
      </c>
      <c r="Y345" s="139" t="str">
        <f>IFERROR(__xludf.DUMMYFUNCTION("""COMPUTED_VALUE"""),"")</f>
        <v/>
      </c>
      <c r="Z345" s="141" t="str">
        <f>IFERROR(__xludf.DUMMYFUNCTION("""COMPUTED_VALUE"""),"")</f>
        <v/>
      </c>
    </row>
    <row r="346">
      <c r="A346" s="136"/>
      <c r="B346" s="136"/>
      <c r="C346" s="136" t="str">
        <f>IFERROR(__xludf.DUMMYFUNCTION("""COMPUTED_VALUE"""),"")</f>
        <v/>
      </c>
      <c r="D346" s="136" t="str">
        <f t="shared" si="3"/>
        <v/>
      </c>
      <c r="E346" s="152" t="str">
        <f>IFERROR(__xludf.DUMMYFUNCTION("""COMPUTED_VALUE"""),"")</f>
        <v/>
      </c>
      <c r="F346" s="106" t="s">
        <v>133</v>
      </c>
      <c r="G346" s="152" t="str">
        <f>IFERROR(__xludf.DUMMYFUNCTION("""COMPUTED_VALUE"""),"")</f>
        <v/>
      </c>
      <c r="H346" s="106" t="s">
        <v>133</v>
      </c>
      <c r="I346" s="136"/>
      <c r="J346" s="139" t="s">
        <v>133</v>
      </c>
      <c r="K346" s="136" t="s">
        <v>133</v>
      </c>
      <c r="L346" s="153" t="str">
        <f>IFERROR(__xludf.DUMMYFUNCTION("""COMPUTED_VALUE"""),"")</f>
        <v/>
      </c>
      <c r="M346" s="136" t="str">
        <f t="shared" si="1"/>
        <v/>
      </c>
      <c r="N346" s="136" t="str">
        <f>IFERROR(__xludf.DUMMYFUNCTION("""COMPUTED_VALUE"""),"")</f>
        <v/>
      </c>
      <c r="O346" s="141" t="s">
        <v>133</v>
      </c>
      <c r="P346" s="136" t="str">
        <f>IFERROR(__xludf.DUMMYFUNCTION("""COMPUTED_VALUE"""),"")</f>
        <v/>
      </c>
      <c r="Q346" s="136" t="str">
        <f>IFERROR(__xludf.DUMMYFUNCTION("""COMPUTED_VALUE"""),"")</f>
        <v/>
      </c>
      <c r="R346" s="106" t="str">
        <f>IFERROR(__xludf.DUMMYFUNCTION("""COMPUTED_VALUE"""),"")</f>
        <v/>
      </c>
      <c r="S346" s="106" t="str">
        <f>IFERROR(__xludf.DUMMYFUNCTION("""COMPUTED_VALUE"""),"")</f>
        <v/>
      </c>
      <c r="T346" s="139" t="str">
        <f>IFERROR(__xludf.DUMMYFUNCTION("""COMPUTED_VALUE"""),"")</f>
        <v/>
      </c>
      <c r="U346" s="139" t="str">
        <f>IFERROR(__xludf.DUMMYFUNCTION("""COMPUTED_VALUE"""),"")</f>
        <v/>
      </c>
      <c r="V346" s="136" t="str">
        <f>IFERROR(__xludf.DUMMYFUNCTION("""COMPUTED_VALUE"""),"")</f>
        <v/>
      </c>
      <c r="W346" s="106" t="str">
        <f>IFERROR(__xludf.DUMMYFUNCTION("""COMPUTED_VALUE"""),"")</f>
        <v/>
      </c>
      <c r="X346" s="143" t="str">
        <f t="shared" si="2"/>
        <v/>
      </c>
      <c r="Y346" s="139" t="str">
        <f>IFERROR(__xludf.DUMMYFUNCTION("""COMPUTED_VALUE"""),"")</f>
        <v/>
      </c>
      <c r="Z346" s="141" t="str">
        <f>IFERROR(__xludf.DUMMYFUNCTION("""COMPUTED_VALUE"""),"")</f>
        <v/>
      </c>
    </row>
    <row r="347">
      <c r="A347" s="136"/>
      <c r="B347" s="136"/>
      <c r="C347" s="136" t="str">
        <f>IFERROR(__xludf.DUMMYFUNCTION("""COMPUTED_VALUE"""),"")</f>
        <v/>
      </c>
      <c r="D347" s="136" t="str">
        <f t="shared" si="3"/>
        <v/>
      </c>
      <c r="E347" s="152" t="str">
        <f>IFERROR(__xludf.DUMMYFUNCTION("""COMPUTED_VALUE"""),"")</f>
        <v/>
      </c>
      <c r="F347" s="106" t="s">
        <v>133</v>
      </c>
      <c r="G347" s="152" t="str">
        <f>IFERROR(__xludf.DUMMYFUNCTION("""COMPUTED_VALUE"""),"")</f>
        <v/>
      </c>
      <c r="H347" s="106" t="s">
        <v>133</v>
      </c>
      <c r="I347" s="136"/>
      <c r="J347" s="139" t="s">
        <v>133</v>
      </c>
      <c r="K347" s="136" t="s">
        <v>133</v>
      </c>
      <c r="L347" s="153" t="str">
        <f>IFERROR(__xludf.DUMMYFUNCTION("""COMPUTED_VALUE"""),"")</f>
        <v/>
      </c>
      <c r="M347" s="136" t="str">
        <f t="shared" si="1"/>
        <v/>
      </c>
      <c r="N347" s="136" t="str">
        <f>IFERROR(__xludf.DUMMYFUNCTION("""COMPUTED_VALUE"""),"")</f>
        <v/>
      </c>
      <c r="O347" s="141" t="s">
        <v>133</v>
      </c>
      <c r="P347" s="136" t="str">
        <f>IFERROR(__xludf.DUMMYFUNCTION("""COMPUTED_VALUE"""),"")</f>
        <v/>
      </c>
      <c r="Q347" s="136" t="str">
        <f>IFERROR(__xludf.DUMMYFUNCTION("""COMPUTED_VALUE"""),"")</f>
        <v/>
      </c>
      <c r="R347" s="106" t="str">
        <f>IFERROR(__xludf.DUMMYFUNCTION("""COMPUTED_VALUE"""),"")</f>
        <v/>
      </c>
      <c r="S347" s="106" t="str">
        <f>IFERROR(__xludf.DUMMYFUNCTION("""COMPUTED_VALUE"""),"")</f>
        <v/>
      </c>
      <c r="T347" s="139" t="str">
        <f>IFERROR(__xludf.DUMMYFUNCTION("""COMPUTED_VALUE"""),"")</f>
        <v/>
      </c>
      <c r="U347" s="139" t="str">
        <f>IFERROR(__xludf.DUMMYFUNCTION("""COMPUTED_VALUE"""),"")</f>
        <v/>
      </c>
      <c r="V347" s="136" t="str">
        <f>IFERROR(__xludf.DUMMYFUNCTION("""COMPUTED_VALUE"""),"")</f>
        <v/>
      </c>
      <c r="W347" s="106" t="str">
        <f>IFERROR(__xludf.DUMMYFUNCTION("""COMPUTED_VALUE"""),"")</f>
        <v/>
      </c>
      <c r="X347" s="143" t="str">
        <f t="shared" si="2"/>
        <v/>
      </c>
      <c r="Y347" s="139" t="str">
        <f>IFERROR(__xludf.DUMMYFUNCTION("""COMPUTED_VALUE"""),"")</f>
        <v/>
      </c>
      <c r="Z347" s="141" t="str">
        <f>IFERROR(__xludf.DUMMYFUNCTION("""COMPUTED_VALUE"""),"")</f>
        <v/>
      </c>
    </row>
    <row r="348">
      <c r="A348" s="136"/>
      <c r="B348" s="136"/>
      <c r="C348" s="136" t="str">
        <f>IFERROR(__xludf.DUMMYFUNCTION("""COMPUTED_VALUE"""),"")</f>
        <v/>
      </c>
      <c r="D348" s="136" t="str">
        <f t="shared" si="3"/>
        <v/>
      </c>
      <c r="E348" s="152" t="str">
        <f>IFERROR(__xludf.DUMMYFUNCTION("""COMPUTED_VALUE"""),"")</f>
        <v/>
      </c>
      <c r="F348" s="106" t="s">
        <v>133</v>
      </c>
      <c r="G348" s="152" t="str">
        <f>IFERROR(__xludf.DUMMYFUNCTION("""COMPUTED_VALUE"""),"")</f>
        <v/>
      </c>
      <c r="H348" s="106" t="s">
        <v>133</v>
      </c>
      <c r="I348" s="136"/>
      <c r="J348" s="139" t="s">
        <v>133</v>
      </c>
      <c r="K348" s="136" t="s">
        <v>133</v>
      </c>
      <c r="L348" s="153" t="str">
        <f>IFERROR(__xludf.DUMMYFUNCTION("""COMPUTED_VALUE"""),"")</f>
        <v/>
      </c>
      <c r="M348" s="136" t="str">
        <f t="shared" si="1"/>
        <v/>
      </c>
      <c r="N348" s="136" t="str">
        <f>IFERROR(__xludf.DUMMYFUNCTION("""COMPUTED_VALUE"""),"")</f>
        <v/>
      </c>
      <c r="O348" s="141" t="s">
        <v>133</v>
      </c>
      <c r="P348" s="136" t="str">
        <f>IFERROR(__xludf.DUMMYFUNCTION("""COMPUTED_VALUE"""),"")</f>
        <v/>
      </c>
      <c r="Q348" s="136" t="str">
        <f>IFERROR(__xludf.DUMMYFUNCTION("""COMPUTED_VALUE"""),"")</f>
        <v/>
      </c>
      <c r="R348" s="106" t="str">
        <f>IFERROR(__xludf.DUMMYFUNCTION("""COMPUTED_VALUE"""),"")</f>
        <v/>
      </c>
      <c r="S348" s="106" t="str">
        <f>IFERROR(__xludf.DUMMYFUNCTION("""COMPUTED_VALUE"""),"")</f>
        <v/>
      </c>
      <c r="T348" s="139" t="str">
        <f>IFERROR(__xludf.DUMMYFUNCTION("""COMPUTED_VALUE"""),"")</f>
        <v/>
      </c>
      <c r="U348" s="139" t="str">
        <f>IFERROR(__xludf.DUMMYFUNCTION("""COMPUTED_VALUE"""),"")</f>
        <v/>
      </c>
      <c r="V348" s="136" t="str">
        <f>IFERROR(__xludf.DUMMYFUNCTION("""COMPUTED_VALUE"""),"")</f>
        <v/>
      </c>
      <c r="W348" s="106" t="str">
        <f>IFERROR(__xludf.DUMMYFUNCTION("""COMPUTED_VALUE"""),"")</f>
        <v/>
      </c>
      <c r="X348" s="143" t="str">
        <f t="shared" si="2"/>
        <v/>
      </c>
      <c r="Y348" s="139" t="str">
        <f>IFERROR(__xludf.DUMMYFUNCTION("""COMPUTED_VALUE"""),"")</f>
        <v/>
      </c>
      <c r="Z348" s="141" t="str">
        <f>IFERROR(__xludf.DUMMYFUNCTION("""COMPUTED_VALUE"""),"")</f>
        <v/>
      </c>
    </row>
    <row r="349">
      <c r="A349" s="136"/>
      <c r="B349" s="136"/>
      <c r="C349" s="136" t="str">
        <f>IFERROR(__xludf.DUMMYFUNCTION("""COMPUTED_VALUE"""),"")</f>
        <v/>
      </c>
      <c r="D349" s="136" t="str">
        <f t="shared" si="3"/>
        <v/>
      </c>
      <c r="E349" s="152" t="str">
        <f>IFERROR(__xludf.DUMMYFUNCTION("""COMPUTED_VALUE"""),"")</f>
        <v/>
      </c>
      <c r="F349" s="106" t="s">
        <v>133</v>
      </c>
      <c r="G349" s="152" t="str">
        <f>IFERROR(__xludf.DUMMYFUNCTION("""COMPUTED_VALUE"""),"")</f>
        <v/>
      </c>
      <c r="H349" s="106" t="s">
        <v>133</v>
      </c>
      <c r="I349" s="136"/>
      <c r="J349" s="139" t="s">
        <v>133</v>
      </c>
      <c r="K349" s="136" t="s">
        <v>133</v>
      </c>
      <c r="L349" s="153" t="str">
        <f>IFERROR(__xludf.DUMMYFUNCTION("""COMPUTED_VALUE"""),"")</f>
        <v/>
      </c>
      <c r="M349" s="136" t="str">
        <f t="shared" si="1"/>
        <v/>
      </c>
      <c r="N349" s="136" t="str">
        <f>IFERROR(__xludf.DUMMYFUNCTION("""COMPUTED_VALUE"""),"")</f>
        <v/>
      </c>
      <c r="O349" s="141" t="s">
        <v>133</v>
      </c>
      <c r="P349" s="136" t="str">
        <f>IFERROR(__xludf.DUMMYFUNCTION("""COMPUTED_VALUE"""),"")</f>
        <v/>
      </c>
      <c r="Q349" s="136" t="str">
        <f>IFERROR(__xludf.DUMMYFUNCTION("""COMPUTED_VALUE"""),"")</f>
        <v/>
      </c>
      <c r="R349" s="106" t="str">
        <f>IFERROR(__xludf.DUMMYFUNCTION("""COMPUTED_VALUE"""),"")</f>
        <v/>
      </c>
      <c r="S349" s="106" t="str">
        <f>IFERROR(__xludf.DUMMYFUNCTION("""COMPUTED_VALUE"""),"")</f>
        <v/>
      </c>
      <c r="T349" s="139" t="str">
        <f>IFERROR(__xludf.DUMMYFUNCTION("""COMPUTED_VALUE"""),"")</f>
        <v/>
      </c>
      <c r="U349" s="139" t="str">
        <f>IFERROR(__xludf.DUMMYFUNCTION("""COMPUTED_VALUE"""),"")</f>
        <v/>
      </c>
      <c r="V349" s="136" t="str">
        <f>IFERROR(__xludf.DUMMYFUNCTION("""COMPUTED_VALUE"""),"")</f>
        <v/>
      </c>
      <c r="W349" s="106" t="str">
        <f>IFERROR(__xludf.DUMMYFUNCTION("""COMPUTED_VALUE"""),"")</f>
        <v/>
      </c>
      <c r="X349" s="143" t="str">
        <f t="shared" si="2"/>
        <v/>
      </c>
      <c r="Y349" s="139" t="str">
        <f>IFERROR(__xludf.DUMMYFUNCTION("""COMPUTED_VALUE"""),"")</f>
        <v/>
      </c>
      <c r="Z349" s="141" t="str">
        <f>IFERROR(__xludf.DUMMYFUNCTION("""COMPUTED_VALUE"""),"")</f>
        <v/>
      </c>
    </row>
    <row r="350">
      <c r="A350" s="136"/>
      <c r="B350" s="136"/>
      <c r="C350" s="136" t="str">
        <f>IFERROR(__xludf.DUMMYFUNCTION("""COMPUTED_VALUE"""),"")</f>
        <v/>
      </c>
      <c r="D350" s="136" t="str">
        <f t="shared" si="3"/>
        <v/>
      </c>
      <c r="E350" s="152" t="str">
        <f>IFERROR(__xludf.DUMMYFUNCTION("""COMPUTED_VALUE"""),"")</f>
        <v/>
      </c>
      <c r="F350" s="106" t="s">
        <v>133</v>
      </c>
      <c r="G350" s="152" t="str">
        <f>IFERROR(__xludf.DUMMYFUNCTION("""COMPUTED_VALUE"""),"")</f>
        <v/>
      </c>
      <c r="H350" s="106" t="s">
        <v>133</v>
      </c>
      <c r="I350" s="136"/>
      <c r="J350" s="139" t="s">
        <v>133</v>
      </c>
      <c r="K350" s="136" t="s">
        <v>133</v>
      </c>
      <c r="L350" s="153" t="str">
        <f>IFERROR(__xludf.DUMMYFUNCTION("""COMPUTED_VALUE"""),"")</f>
        <v/>
      </c>
      <c r="M350" s="136" t="str">
        <f t="shared" si="1"/>
        <v/>
      </c>
      <c r="N350" s="136" t="str">
        <f>IFERROR(__xludf.DUMMYFUNCTION("""COMPUTED_VALUE"""),"")</f>
        <v/>
      </c>
      <c r="O350" s="141" t="s">
        <v>133</v>
      </c>
      <c r="P350" s="136" t="str">
        <f>IFERROR(__xludf.DUMMYFUNCTION("""COMPUTED_VALUE"""),"")</f>
        <v/>
      </c>
      <c r="Q350" s="136" t="str">
        <f>IFERROR(__xludf.DUMMYFUNCTION("""COMPUTED_VALUE"""),"")</f>
        <v/>
      </c>
      <c r="R350" s="106" t="str">
        <f>IFERROR(__xludf.DUMMYFUNCTION("""COMPUTED_VALUE"""),"")</f>
        <v/>
      </c>
      <c r="S350" s="106" t="str">
        <f>IFERROR(__xludf.DUMMYFUNCTION("""COMPUTED_VALUE"""),"")</f>
        <v/>
      </c>
      <c r="T350" s="139" t="str">
        <f>IFERROR(__xludf.DUMMYFUNCTION("""COMPUTED_VALUE"""),"")</f>
        <v/>
      </c>
      <c r="U350" s="139" t="str">
        <f>IFERROR(__xludf.DUMMYFUNCTION("""COMPUTED_VALUE"""),"")</f>
        <v/>
      </c>
      <c r="V350" s="136" t="str">
        <f>IFERROR(__xludf.DUMMYFUNCTION("""COMPUTED_VALUE"""),"")</f>
        <v/>
      </c>
      <c r="W350" s="106" t="str">
        <f>IFERROR(__xludf.DUMMYFUNCTION("""COMPUTED_VALUE"""),"")</f>
        <v/>
      </c>
      <c r="X350" s="143" t="str">
        <f t="shared" si="2"/>
        <v/>
      </c>
      <c r="Y350" s="139" t="str">
        <f>IFERROR(__xludf.DUMMYFUNCTION("""COMPUTED_VALUE"""),"")</f>
        <v/>
      </c>
      <c r="Z350" s="141" t="str">
        <f>IFERROR(__xludf.DUMMYFUNCTION("""COMPUTED_VALUE"""),"")</f>
        <v/>
      </c>
    </row>
    <row r="351">
      <c r="A351" s="136"/>
      <c r="B351" s="136"/>
      <c r="C351" s="136" t="str">
        <f>IFERROR(__xludf.DUMMYFUNCTION("""COMPUTED_VALUE"""),"")</f>
        <v/>
      </c>
      <c r="D351" s="136" t="str">
        <f t="shared" si="3"/>
        <v/>
      </c>
      <c r="E351" s="152" t="str">
        <f>IFERROR(__xludf.DUMMYFUNCTION("""COMPUTED_VALUE"""),"")</f>
        <v/>
      </c>
      <c r="F351" s="106" t="s">
        <v>133</v>
      </c>
      <c r="G351" s="152" t="str">
        <f>IFERROR(__xludf.DUMMYFUNCTION("""COMPUTED_VALUE"""),"")</f>
        <v/>
      </c>
      <c r="H351" s="106" t="s">
        <v>133</v>
      </c>
      <c r="I351" s="136"/>
      <c r="J351" s="139" t="s">
        <v>133</v>
      </c>
      <c r="K351" s="136" t="s">
        <v>133</v>
      </c>
      <c r="L351" s="153" t="str">
        <f>IFERROR(__xludf.DUMMYFUNCTION("""COMPUTED_VALUE"""),"")</f>
        <v/>
      </c>
      <c r="M351" s="136" t="str">
        <f t="shared" si="1"/>
        <v/>
      </c>
      <c r="N351" s="136" t="str">
        <f>IFERROR(__xludf.DUMMYFUNCTION("""COMPUTED_VALUE"""),"")</f>
        <v/>
      </c>
      <c r="O351" s="141" t="s">
        <v>133</v>
      </c>
      <c r="P351" s="136" t="str">
        <f>IFERROR(__xludf.DUMMYFUNCTION("""COMPUTED_VALUE"""),"")</f>
        <v/>
      </c>
      <c r="Q351" s="136" t="str">
        <f>IFERROR(__xludf.DUMMYFUNCTION("""COMPUTED_VALUE"""),"")</f>
        <v/>
      </c>
      <c r="R351" s="106" t="str">
        <f>IFERROR(__xludf.DUMMYFUNCTION("""COMPUTED_VALUE"""),"")</f>
        <v/>
      </c>
      <c r="S351" s="106" t="str">
        <f>IFERROR(__xludf.DUMMYFUNCTION("""COMPUTED_VALUE"""),"")</f>
        <v/>
      </c>
      <c r="T351" s="139" t="str">
        <f>IFERROR(__xludf.DUMMYFUNCTION("""COMPUTED_VALUE"""),"")</f>
        <v/>
      </c>
      <c r="U351" s="139" t="str">
        <f>IFERROR(__xludf.DUMMYFUNCTION("""COMPUTED_VALUE"""),"")</f>
        <v/>
      </c>
      <c r="V351" s="136" t="str">
        <f>IFERROR(__xludf.DUMMYFUNCTION("""COMPUTED_VALUE"""),"")</f>
        <v/>
      </c>
      <c r="W351" s="106" t="str">
        <f>IFERROR(__xludf.DUMMYFUNCTION("""COMPUTED_VALUE"""),"")</f>
        <v/>
      </c>
      <c r="X351" s="143" t="str">
        <f t="shared" si="2"/>
        <v/>
      </c>
      <c r="Y351" s="139" t="str">
        <f>IFERROR(__xludf.DUMMYFUNCTION("""COMPUTED_VALUE"""),"")</f>
        <v/>
      </c>
      <c r="Z351" s="141" t="str">
        <f>IFERROR(__xludf.DUMMYFUNCTION("""COMPUTED_VALUE"""),"")</f>
        <v/>
      </c>
    </row>
    <row r="352">
      <c r="A352" s="136"/>
      <c r="B352" s="136"/>
      <c r="C352" s="136" t="str">
        <f>IFERROR(__xludf.DUMMYFUNCTION("""COMPUTED_VALUE"""),"")</f>
        <v/>
      </c>
      <c r="D352" s="136" t="str">
        <f t="shared" si="3"/>
        <v/>
      </c>
      <c r="E352" s="152" t="str">
        <f>IFERROR(__xludf.DUMMYFUNCTION("""COMPUTED_VALUE"""),"")</f>
        <v/>
      </c>
      <c r="F352" s="106" t="s">
        <v>133</v>
      </c>
      <c r="G352" s="152" t="str">
        <f>IFERROR(__xludf.DUMMYFUNCTION("""COMPUTED_VALUE"""),"")</f>
        <v/>
      </c>
      <c r="H352" s="106" t="s">
        <v>133</v>
      </c>
      <c r="I352" s="136"/>
      <c r="J352" s="139" t="s">
        <v>133</v>
      </c>
      <c r="K352" s="136" t="s">
        <v>133</v>
      </c>
      <c r="L352" s="153" t="str">
        <f>IFERROR(__xludf.DUMMYFUNCTION("""COMPUTED_VALUE"""),"")</f>
        <v/>
      </c>
      <c r="M352" s="136" t="str">
        <f t="shared" si="1"/>
        <v/>
      </c>
      <c r="N352" s="136" t="str">
        <f>IFERROR(__xludf.DUMMYFUNCTION("""COMPUTED_VALUE"""),"")</f>
        <v/>
      </c>
      <c r="O352" s="141" t="s">
        <v>133</v>
      </c>
      <c r="P352" s="136" t="str">
        <f>IFERROR(__xludf.DUMMYFUNCTION("""COMPUTED_VALUE"""),"")</f>
        <v/>
      </c>
      <c r="Q352" s="136" t="str">
        <f>IFERROR(__xludf.DUMMYFUNCTION("""COMPUTED_VALUE"""),"")</f>
        <v/>
      </c>
      <c r="R352" s="106" t="str">
        <f>IFERROR(__xludf.DUMMYFUNCTION("""COMPUTED_VALUE"""),"")</f>
        <v/>
      </c>
      <c r="S352" s="106" t="str">
        <f>IFERROR(__xludf.DUMMYFUNCTION("""COMPUTED_VALUE"""),"")</f>
        <v/>
      </c>
      <c r="T352" s="139" t="str">
        <f>IFERROR(__xludf.DUMMYFUNCTION("""COMPUTED_VALUE"""),"")</f>
        <v/>
      </c>
      <c r="U352" s="139" t="str">
        <f>IFERROR(__xludf.DUMMYFUNCTION("""COMPUTED_VALUE"""),"")</f>
        <v/>
      </c>
      <c r="V352" s="136" t="str">
        <f>IFERROR(__xludf.DUMMYFUNCTION("""COMPUTED_VALUE"""),"")</f>
        <v/>
      </c>
      <c r="W352" s="106" t="str">
        <f>IFERROR(__xludf.DUMMYFUNCTION("""COMPUTED_VALUE"""),"")</f>
        <v/>
      </c>
      <c r="X352" s="143" t="str">
        <f t="shared" si="2"/>
        <v/>
      </c>
      <c r="Y352" s="139" t="str">
        <f>IFERROR(__xludf.DUMMYFUNCTION("""COMPUTED_VALUE"""),"")</f>
        <v/>
      </c>
      <c r="Z352" s="141" t="str">
        <f>IFERROR(__xludf.DUMMYFUNCTION("""COMPUTED_VALUE"""),"")</f>
        <v/>
      </c>
    </row>
    <row r="353">
      <c r="A353" s="136"/>
      <c r="B353" s="136"/>
      <c r="C353" s="136" t="str">
        <f>IFERROR(__xludf.DUMMYFUNCTION("""COMPUTED_VALUE"""),"")</f>
        <v/>
      </c>
      <c r="D353" s="136" t="str">
        <f t="shared" si="3"/>
        <v/>
      </c>
      <c r="E353" s="152" t="str">
        <f>IFERROR(__xludf.DUMMYFUNCTION("""COMPUTED_VALUE"""),"")</f>
        <v/>
      </c>
      <c r="F353" s="106" t="s">
        <v>133</v>
      </c>
      <c r="G353" s="152" t="str">
        <f>IFERROR(__xludf.DUMMYFUNCTION("""COMPUTED_VALUE"""),"")</f>
        <v/>
      </c>
      <c r="H353" s="106" t="s">
        <v>133</v>
      </c>
      <c r="I353" s="136"/>
      <c r="J353" s="139" t="s">
        <v>133</v>
      </c>
      <c r="K353" s="136" t="s">
        <v>133</v>
      </c>
      <c r="L353" s="153" t="str">
        <f>IFERROR(__xludf.DUMMYFUNCTION("""COMPUTED_VALUE"""),"")</f>
        <v/>
      </c>
      <c r="M353" s="136" t="str">
        <f t="shared" si="1"/>
        <v/>
      </c>
      <c r="N353" s="136" t="str">
        <f>IFERROR(__xludf.DUMMYFUNCTION("""COMPUTED_VALUE"""),"")</f>
        <v/>
      </c>
      <c r="O353" s="141" t="s">
        <v>133</v>
      </c>
      <c r="P353" s="136" t="str">
        <f>IFERROR(__xludf.DUMMYFUNCTION("""COMPUTED_VALUE"""),"")</f>
        <v/>
      </c>
      <c r="Q353" s="136" t="str">
        <f>IFERROR(__xludf.DUMMYFUNCTION("""COMPUTED_VALUE"""),"")</f>
        <v/>
      </c>
      <c r="R353" s="106" t="str">
        <f>IFERROR(__xludf.DUMMYFUNCTION("""COMPUTED_VALUE"""),"")</f>
        <v/>
      </c>
      <c r="S353" s="106" t="str">
        <f>IFERROR(__xludf.DUMMYFUNCTION("""COMPUTED_VALUE"""),"")</f>
        <v/>
      </c>
      <c r="T353" s="139" t="str">
        <f>IFERROR(__xludf.DUMMYFUNCTION("""COMPUTED_VALUE"""),"")</f>
        <v/>
      </c>
      <c r="U353" s="139" t="str">
        <f>IFERROR(__xludf.DUMMYFUNCTION("""COMPUTED_VALUE"""),"")</f>
        <v/>
      </c>
      <c r="V353" s="136" t="str">
        <f>IFERROR(__xludf.DUMMYFUNCTION("""COMPUTED_VALUE"""),"")</f>
        <v/>
      </c>
      <c r="W353" s="106" t="str">
        <f>IFERROR(__xludf.DUMMYFUNCTION("""COMPUTED_VALUE"""),"")</f>
        <v/>
      </c>
      <c r="X353" s="143" t="str">
        <f t="shared" si="2"/>
        <v/>
      </c>
      <c r="Y353" s="139" t="str">
        <f>IFERROR(__xludf.DUMMYFUNCTION("""COMPUTED_VALUE"""),"")</f>
        <v/>
      </c>
      <c r="Z353" s="141" t="str">
        <f>IFERROR(__xludf.DUMMYFUNCTION("""COMPUTED_VALUE"""),"")</f>
        <v/>
      </c>
    </row>
    <row r="354">
      <c r="A354" s="136"/>
      <c r="B354" s="136"/>
      <c r="C354" s="136" t="str">
        <f>IFERROR(__xludf.DUMMYFUNCTION("""COMPUTED_VALUE"""),"")</f>
        <v/>
      </c>
      <c r="D354" s="136" t="str">
        <f t="shared" si="3"/>
        <v/>
      </c>
      <c r="E354" s="152" t="str">
        <f>IFERROR(__xludf.DUMMYFUNCTION("""COMPUTED_VALUE"""),"")</f>
        <v/>
      </c>
      <c r="F354" s="106" t="s">
        <v>133</v>
      </c>
      <c r="G354" s="152" t="str">
        <f>IFERROR(__xludf.DUMMYFUNCTION("""COMPUTED_VALUE"""),"")</f>
        <v/>
      </c>
      <c r="H354" s="106" t="s">
        <v>133</v>
      </c>
      <c r="I354" s="136"/>
      <c r="J354" s="139" t="s">
        <v>133</v>
      </c>
      <c r="K354" s="136" t="s">
        <v>133</v>
      </c>
      <c r="L354" s="153" t="str">
        <f>IFERROR(__xludf.DUMMYFUNCTION("""COMPUTED_VALUE"""),"")</f>
        <v/>
      </c>
      <c r="M354" s="136" t="str">
        <f t="shared" si="1"/>
        <v/>
      </c>
      <c r="N354" s="136" t="str">
        <f>IFERROR(__xludf.DUMMYFUNCTION("""COMPUTED_VALUE"""),"")</f>
        <v/>
      </c>
      <c r="O354" s="141" t="s">
        <v>133</v>
      </c>
      <c r="P354" s="136" t="str">
        <f>IFERROR(__xludf.DUMMYFUNCTION("""COMPUTED_VALUE"""),"")</f>
        <v/>
      </c>
      <c r="Q354" s="136" t="str">
        <f>IFERROR(__xludf.DUMMYFUNCTION("""COMPUTED_VALUE"""),"")</f>
        <v/>
      </c>
      <c r="R354" s="106" t="str">
        <f>IFERROR(__xludf.DUMMYFUNCTION("""COMPUTED_VALUE"""),"")</f>
        <v/>
      </c>
      <c r="S354" s="106" t="str">
        <f>IFERROR(__xludf.DUMMYFUNCTION("""COMPUTED_VALUE"""),"")</f>
        <v/>
      </c>
      <c r="T354" s="139" t="str">
        <f>IFERROR(__xludf.DUMMYFUNCTION("""COMPUTED_VALUE"""),"")</f>
        <v/>
      </c>
      <c r="U354" s="139" t="str">
        <f>IFERROR(__xludf.DUMMYFUNCTION("""COMPUTED_VALUE"""),"")</f>
        <v/>
      </c>
      <c r="V354" s="136" t="str">
        <f>IFERROR(__xludf.DUMMYFUNCTION("""COMPUTED_VALUE"""),"")</f>
        <v/>
      </c>
      <c r="W354" s="106" t="str">
        <f>IFERROR(__xludf.DUMMYFUNCTION("""COMPUTED_VALUE"""),"")</f>
        <v/>
      </c>
      <c r="X354" s="143" t="str">
        <f t="shared" si="2"/>
        <v/>
      </c>
      <c r="Y354" s="139" t="str">
        <f>IFERROR(__xludf.DUMMYFUNCTION("""COMPUTED_VALUE"""),"")</f>
        <v/>
      </c>
      <c r="Z354" s="141" t="str">
        <f>IFERROR(__xludf.DUMMYFUNCTION("""COMPUTED_VALUE"""),"")</f>
        <v/>
      </c>
    </row>
    <row r="355">
      <c r="A355" s="136"/>
      <c r="B355" s="136"/>
      <c r="C355" s="136" t="str">
        <f>IFERROR(__xludf.DUMMYFUNCTION("""COMPUTED_VALUE"""),"")</f>
        <v/>
      </c>
      <c r="D355" s="136" t="str">
        <f t="shared" si="3"/>
        <v/>
      </c>
      <c r="E355" s="152" t="str">
        <f>IFERROR(__xludf.DUMMYFUNCTION("""COMPUTED_VALUE"""),"")</f>
        <v/>
      </c>
      <c r="F355" s="106" t="s">
        <v>133</v>
      </c>
      <c r="G355" s="152" t="str">
        <f>IFERROR(__xludf.DUMMYFUNCTION("""COMPUTED_VALUE"""),"")</f>
        <v/>
      </c>
      <c r="H355" s="106" t="s">
        <v>133</v>
      </c>
      <c r="I355" s="136"/>
      <c r="J355" s="139" t="s">
        <v>133</v>
      </c>
      <c r="K355" s="136" t="s">
        <v>133</v>
      </c>
      <c r="L355" s="153" t="str">
        <f>IFERROR(__xludf.DUMMYFUNCTION("""COMPUTED_VALUE"""),"")</f>
        <v/>
      </c>
      <c r="M355" s="136" t="str">
        <f t="shared" si="1"/>
        <v/>
      </c>
      <c r="N355" s="136" t="str">
        <f>IFERROR(__xludf.DUMMYFUNCTION("""COMPUTED_VALUE"""),"")</f>
        <v/>
      </c>
      <c r="O355" s="141" t="s">
        <v>133</v>
      </c>
      <c r="P355" s="136" t="str">
        <f>IFERROR(__xludf.DUMMYFUNCTION("""COMPUTED_VALUE"""),"")</f>
        <v/>
      </c>
      <c r="Q355" s="136" t="str">
        <f>IFERROR(__xludf.DUMMYFUNCTION("""COMPUTED_VALUE"""),"")</f>
        <v/>
      </c>
      <c r="R355" s="106" t="str">
        <f>IFERROR(__xludf.DUMMYFUNCTION("""COMPUTED_VALUE"""),"")</f>
        <v/>
      </c>
      <c r="S355" s="106" t="str">
        <f>IFERROR(__xludf.DUMMYFUNCTION("""COMPUTED_VALUE"""),"")</f>
        <v/>
      </c>
      <c r="T355" s="139" t="str">
        <f>IFERROR(__xludf.DUMMYFUNCTION("""COMPUTED_VALUE"""),"")</f>
        <v/>
      </c>
      <c r="U355" s="139" t="str">
        <f>IFERROR(__xludf.DUMMYFUNCTION("""COMPUTED_VALUE"""),"")</f>
        <v/>
      </c>
      <c r="V355" s="136" t="str">
        <f>IFERROR(__xludf.DUMMYFUNCTION("""COMPUTED_VALUE"""),"")</f>
        <v/>
      </c>
      <c r="W355" s="106" t="str">
        <f>IFERROR(__xludf.DUMMYFUNCTION("""COMPUTED_VALUE"""),"")</f>
        <v/>
      </c>
      <c r="X355" s="143" t="str">
        <f t="shared" si="2"/>
        <v/>
      </c>
      <c r="Y355" s="139" t="str">
        <f>IFERROR(__xludf.DUMMYFUNCTION("""COMPUTED_VALUE"""),"")</f>
        <v/>
      </c>
      <c r="Z355" s="141" t="str">
        <f>IFERROR(__xludf.DUMMYFUNCTION("""COMPUTED_VALUE"""),"")</f>
        <v/>
      </c>
    </row>
    <row r="356">
      <c r="A356" s="136"/>
      <c r="B356" s="136"/>
      <c r="C356" s="136" t="str">
        <f>IFERROR(__xludf.DUMMYFUNCTION("""COMPUTED_VALUE"""),"")</f>
        <v/>
      </c>
      <c r="D356" s="136" t="str">
        <f t="shared" si="3"/>
        <v/>
      </c>
      <c r="E356" s="152" t="str">
        <f>IFERROR(__xludf.DUMMYFUNCTION("""COMPUTED_VALUE"""),"")</f>
        <v/>
      </c>
      <c r="F356" s="106" t="s">
        <v>133</v>
      </c>
      <c r="G356" s="152" t="str">
        <f>IFERROR(__xludf.DUMMYFUNCTION("""COMPUTED_VALUE"""),"")</f>
        <v/>
      </c>
      <c r="H356" s="106" t="s">
        <v>133</v>
      </c>
      <c r="I356" s="136"/>
      <c r="J356" s="139" t="s">
        <v>133</v>
      </c>
      <c r="K356" s="136" t="s">
        <v>133</v>
      </c>
      <c r="L356" s="153" t="str">
        <f>IFERROR(__xludf.DUMMYFUNCTION("""COMPUTED_VALUE"""),"")</f>
        <v/>
      </c>
      <c r="M356" s="136" t="str">
        <f t="shared" si="1"/>
        <v/>
      </c>
      <c r="N356" s="136" t="str">
        <f>IFERROR(__xludf.DUMMYFUNCTION("""COMPUTED_VALUE"""),"")</f>
        <v/>
      </c>
      <c r="O356" s="141" t="s">
        <v>133</v>
      </c>
      <c r="P356" s="136" t="str">
        <f>IFERROR(__xludf.DUMMYFUNCTION("""COMPUTED_VALUE"""),"")</f>
        <v/>
      </c>
      <c r="Q356" s="136" t="str">
        <f>IFERROR(__xludf.DUMMYFUNCTION("""COMPUTED_VALUE"""),"")</f>
        <v/>
      </c>
      <c r="R356" s="106" t="str">
        <f>IFERROR(__xludf.DUMMYFUNCTION("""COMPUTED_VALUE"""),"")</f>
        <v/>
      </c>
      <c r="S356" s="106" t="str">
        <f>IFERROR(__xludf.DUMMYFUNCTION("""COMPUTED_VALUE"""),"")</f>
        <v/>
      </c>
      <c r="T356" s="139" t="str">
        <f>IFERROR(__xludf.DUMMYFUNCTION("""COMPUTED_VALUE"""),"")</f>
        <v/>
      </c>
      <c r="U356" s="139" t="str">
        <f>IFERROR(__xludf.DUMMYFUNCTION("""COMPUTED_VALUE"""),"")</f>
        <v/>
      </c>
      <c r="V356" s="136" t="str">
        <f>IFERROR(__xludf.DUMMYFUNCTION("""COMPUTED_VALUE"""),"")</f>
        <v/>
      </c>
      <c r="W356" s="106" t="str">
        <f>IFERROR(__xludf.DUMMYFUNCTION("""COMPUTED_VALUE"""),"")</f>
        <v/>
      </c>
      <c r="X356" s="143" t="str">
        <f t="shared" si="2"/>
        <v/>
      </c>
      <c r="Y356" s="139" t="str">
        <f>IFERROR(__xludf.DUMMYFUNCTION("""COMPUTED_VALUE"""),"")</f>
        <v/>
      </c>
      <c r="Z356" s="141" t="str">
        <f>IFERROR(__xludf.DUMMYFUNCTION("""COMPUTED_VALUE"""),"")</f>
        <v/>
      </c>
    </row>
    <row r="357">
      <c r="A357" s="136"/>
      <c r="B357" s="136"/>
      <c r="C357" s="136" t="str">
        <f>IFERROR(__xludf.DUMMYFUNCTION("""COMPUTED_VALUE"""),"")</f>
        <v/>
      </c>
      <c r="D357" s="136" t="str">
        <f t="shared" si="3"/>
        <v/>
      </c>
      <c r="E357" s="152" t="str">
        <f>IFERROR(__xludf.DUMMYFUNCTION("""COMPUTED_VALUE"""),"")</f>
        <v/>
      </c>
      <c r="F357" s="106" t="s">
        <v>133</v>
      </c>
      <c r="G357" s="152" t="str">
        <f>IFERROR(__xludf.DUMMYFUNCTION("""COMPUTED_VALUE"""),"")</f>
        <v/>
      </c>
      <c r="H357" s="106" t="s">
        <v>133</v>
      </c>
      <c r="I357" s="136"/>
      <c r="J357" s="139" t="s">
        <v>133</v>
      </c>
      <c r="K357" s="136" t="s">
        <v>133</v>
      </c>
      <c r="L357" s="153" t="str">
        <f>IFERROR(__xludf.DUMMYFUNCTION("""COMPUTED_VALUE"""),"")</f>
        <v/>
      </c>
      <c r="M357" s="136" t="str">
        <f t="shared" si="1"/>
        <v/>
      </c>
      <c r="N357" s="136" t="str">
        <f>IFERROR(__xludf.DUMMYFUNCTION("""COMPUTED_VALUE"""),"")</f>
        <v/>
      </c>
      <c r="O357" s="141" t="s">
        <v>133</v>
      </c>
      <c r="P357" s="136" t="str">
        <f>IFERROR(__xludf.DUMMYFUNCTION("""COMPUTED_VALUE"""),"")</f>
        <v/>
      </c>
      <c r="Q357" s="136" t="str">
        <f>IFERROR(__xludf.DUMMYFUNCTION("""COMPUTED_VALUE"""),"")</f>
        <v/>
      </c>
      <c r="R357" s="106" t="str">
        <f>IFERROR(__xludf.DUMMYFUNCTION("""COMPUTED_VALUE"""),"")</f>
        <v/>
      </c>
      <c r="S357" s="106" t="str">
        <f>IFERROR(__xludf.DUMMYFUNCTION("""COMPUTED_VALUE"""),"")</f>
        <v/>
      </c>
      <c r="T357" s="139" t="str">
        <f>IFERROR(__xludf.DUMMYFUNCTION("""COMPUTED_VALUE"""),"")</f>
        <v/>
      </c>
      <c r="U357" s="139" t="str">
        <f>IFERROR(__xludf.DUMMYFUNCTION("""COMPUTED_VALUE"""),"")</f>
        <v/>
      </c>
      <c r="V357" s="136" t="str">
        <f>IFERROR(__xludf.DUMMYFUNCTION("""COMPUTED_VALUE"""),"")</f>
        <v/>
      </c>
      <c r="W357" s="106" t="str">
        <f>IFERROR(__xludf.DUMMYFUNCTION("""COMPUTED_VALUE"""),"")</f>
        <v/>
      </c>
      <c r="X357" s="143" t="str">
        <f t="shared" si="2"/>
        <v/>
      </c>
      <c r="Y357" s="139" t="str">
        <f>IFERROR(__xludf.DUMMYFUNCTION("""COMPUTED_VALUE"""),"")</f>
        <v/>
      </c>
      <c r="Z357" s="141" t="str">
        <f>IFERROR(__xludf.DUMMYFUNCTION("""COMPUTED_VALUE"""),"")</f>
        <v/>
      </c>
    </row>
    <row r="358">
      <c r="A358" s="136"/>
      <c r="B358" s="136"/>
      <c r="C358" s="136" t="str">
        <f>IFERROR(__xludf.DUMMYFUNCTION("""COMPUTED_VALUE"""),"")</f>
        <v/>
      </c>
      <c r="D358" s="136" t="str">
        <f t="shared" si="3"/>
        <v/>
      </c>
      <c r="E358" s="152" t="str">
        <f>IFERROR(__xludf.DUMMYFUNCTION("""COMPUTED_VALUE"""),"")</f>
        <v/>
      </c>
      <c r="F358" s="106" t="s">
        <v>133</v>
      </c>
      <c r="G358" s="152" t="str">
        <f>IFERROR(__xludf.DUMMYFUNCTION("""COMPUTED_VALUE"""),"")</f>
        <v/>
      </c>
      <c r="H358" s="106" t="s">
        <v>133</v>
      </c>
      <c r="I358" s="136"/>
      <c r="J358" s="139" t="s">
        <v>133</v>
      </c>
      <c r="K358" s="136" t="s">
        <v>133</v>
      </c>
      <c r="L358" s="153" t="str">
        <f>IFERROR(__xludf.DUMMYFUNCTION("""COMPUTED_VALUE"""),"")</f>
        <v/>
      </c>
      <c r="M358" s="136" t="str">
        <f t="shared" si="1"/>
        <v/>
      </c>
      <c r="N358" s="136" t="str">
        <f>IFERROR(__xludf.DUMMYFUNCTION("""COMPUTED_VALUE"""),"")</f>
        <v/>
      </c>
      <c r="O358" s="141" t="s">
        <v>133</v>
      </c>
      <c r="P358" s="136" t="str">
        <f>IFERROR(__xludf.DUMMYFUNCTION("""COMPUTED_VALUE"""),"")</f>
        <v/>
      </c>
      <c r="Q358" s="136" t="str">
        <f>IFERROR(__xludf.DUMMYFUNCTION("""COMPUTED_VALUE"""),"")</f>
        <v/>
      </c>
      <c r="R358" s="106" t="str">
        <f>IFERROR(__xludf.DUMMYFUNCTION("""COMPUTED_VALUE"""),"")</f>
        <v/>
      </c>
      <c r="S358" s="106" t="str">
        <f>IFERROR(__xludf.DUMMYFUNCTION("""COMPUTED_VALUE"""),"")</f>
        <v/>
      </c>
      <c r="T358" s="139" t="str">
        <f>IFERROR(__xludf.DUMMYFUNCTION("""COMPUTED_VALUE"""),"")</f>
        <v/>
      </c>
      <c r="U358" s="139" t="str">
        <f>IFERROR(__xludf.DUMMYFUNCTION("""COMPUTED_VALUE"""),"")</f>
        <v/>
      </c>
      <c r="V358" s="136" t="str">
        <f>IFERROR(__xludf.DUMMYFUNCTION("""COMPUTED_VALUE"""),"")</f>
        <v/>
      </c>
      <c r="W358" s="106" t="str">
        <f>IFERROR(__xludf.DUMMYFUNCTION("""COMPUTED_VALUE"""),"")</f>
        <v/>
      </c>
      <c r="X358" s="143" t="str">
        <f t="shared" si="2"/>
        <v/>
      </c>
      <c r="Y358" s="139" t="str">
        <f>IFERROR(__xludf.DUMMYFUNCTION("""COMPUTED_VALUE"""),"")</f>
        <v/>
      </c>
      <c r="Z358" s="141" t="str">
        <f>IFERROR(__xludf.DUMMYFUNCTION("""COMPUTED_VALUE"""),"")</f>
        <v/>
      </c>
    </row>
    <row r="359">
      <c r="A359" s="136"/>
      <c r="B359" s="136"/>
      <c r="C359" s="136" t="str">
        <f>IFERROR(__xludf.DUMMYFUNCTION("""COMPUTED_VALUE"""),"")</f>
        <v/>
      </c>
      <c r="D359" s="136" t="str">
        <f t="shared" si="3"/>
        <v/>
      </c>
      <c r="E359" s="152" t="str">
        <f>IFERROR(__xludf.DUMMYFUNCTION("""COMPUTED_VALUE"""),"")</f>
        <v/>
      </c>
      <c r="F359" s="106" t="s">
        <v>133</v>
      </c>
      <c r="G359" s="152" t="str">
        <f>IFERROR(__xludf.DUMMYFUNCTION("""COMPUTED_VALUE"""),"")</f>
        <v/>
      </c>
      <c r="H359" s="106" t="s">
        <v>133</v>
      </c>
      <c r="I359" s="136"/>
      <c r="J359" s="139" t="s">
        <v>133</v>
      </c>
      <c r="K359" s="136" t="s">
        <v>133</v>
      </c>
      <c r="L359" s="153" t="str">
        <f>IFERROR(__xludf.DUMMYFUNCTION("""COMPUTED_VALUE"""),"")</f>
        <v/>
      </c>
      <c r="M359" s="136" t="str">
        <f t="shared" si="1"/>
        <v/>
      </c>
      <c r="N359" s="136" t="str">
        <f>IFERROR(__xludf.DUMMYFUNCTION("""COMPUTED_VALUE"""),"")</f>
        <v/>
      </c>
      <c r="O359" s="141" t="s">
        <v>133</v>
      </c>
      <c r="P359" s="136" t="str">
        <f>IFERROR(__xludf.DUMMYFUNCTION("""COMPUTED_VALUE"""),"")</f>
        <v/>
      </c>
      <c r="Q359" s="136" t="str">
        <f>IFERROR(__xludf.DUMMYFUNCTION("""COMPUTED_VALUE"""),"")</f>
        <v/>
      </c>
      <c r="R359" s="106" t="str">
        <f>IFERROR(__xludf.DUMMYFUNCTION("""COMPUTED_VALUE"""),"")</f>
        <v/>
      </c>
      <c r="S359" s="106" t="str">
        <f>IFERROR(__xludf.DUMMYFUNCTION("""COMPUTED_VALUE"""),"")</f>
        <v/>
      </c>
      <c r="T359" s="139" t="str">
        <f>IFERROR(__xludf.DUMMYFUNCTION("""COMPUTED_VALUE"""),"")</f>
        <v/>
      </c>
      <c r="U359" s="139" t="str">
        <f>IFERROR(__xludf.DUMMYFUNCTION("""COMPUTED_VALUE"""),"")</f>
        <v/>
      </c>
      <c r="V359" s="136" t="str">
        <f>IFERROR(__xludf.DUMMYFUNCTION("""COMPUTED_VALUE"""),"")</f>
        <v/>
      </c>
      <c r="W359" s="106" t="str">
        <f>IFERROR(__xludf.DUMMYFUNCTION("""COMPUTED_VALUE"""),"")</f>
        <v/>
      </c>
      <c r="X359" s="143" t="str">
        <f t="shared" si="2"/>
        <v/>
      </c>
      <c r="Y359" s="139" t="str">
        <f>IFERROR(__xludf.DUMMYFUNCTION("""COMPUTED_VALUE"""),"")</f>
        <v/>
      </c>
      <c r="Z359" s="141" t="str">
        <f>IFERROR(__xludf.DUMMYFUNCTION("""COMPUTED_VALUE"""),"")</f>
        <v/>
      </c>
    </row>
    <row r="360">
      <c r="A360" s="136"/>
      <c r="B360" s="136"/>
      <c r="C360" s="136" t="str">
        <f>IFERROR(__xludf.DUMMYFUNCTION("""COMPUTED_VALUE"""),"")</f>
        <v/>
      </c>
      <c r="D360" s="136" t="str">
        <f t="shared" si="3"/>
        <v/>
      </c>
      <c r="E360" s="152" t="str">
        <f>IFERROR(__xludf.DUMMYFUNCTION("""COMPUTED_VALUE"""),"")</f>
        <v/>
      </c>
      <c r="F360" s="106" t="s">
        <v>133</v>
      </c>
      <c r="G360" s="152" t="str">
        <f>IFERROR(__xludf.DUMMYFUNCTION("""COMPUTED_VALUE"""),"")</f>
        <v/>
      </c>
      <c r="H360" s="106" t="s">
        <v>133</v>
      </c>
      <c r="I360" s="136"/>
      <c r="J360" s="139" t="s">
        <v>133</v>
      </c>
      <c r="K360" s="136" t="s">
        <v>133</v>
      </c>
      <c r="L360" s="153" t="str">
        <f>IFERROR(__xludf.DUMMYFUNCTION("""COMPUTED_VALUE"""),"")</f>
        <v/>
      </c>
      <c r="M360" s="136" t="str">
        <f t="shared" si="1"/>
        <v/>
      </c>
      <c r="N360" s="136" t="str">
        <f>IFERROR(__xludf.DUMMYFUNCTION("""COMPUTED_VALUE"""),"")</f>
        <v/>
      </c>
      <c r="O360" s="141" t="s">
        <v>133</v>
      </c>
      <c r="P360" s="136" t="str">
        <f>IFERROR(__xludf.DUMMYFUNCTION("""COMPUTED_VALUE"""),"")</f>
        <v/>
      </c>
      <c r="Q360" s="136" t="str">
        <f>IFERROR(__xludf.DUMMYFUNCTION("""COMPUTED_VALUE"""),"")</f>
        <v/>
      </c>
      <c r="R360" s="106" t="str">
        <f>IFERROR(__xludf.DUMMYFUNCTION("""COMPUTED_VALUE"""),"")</f>
        <v/>
      </c>
      <c r="S360" s="106" t="str">
        <f>IFERROR(__xludf.DUMMYFUNCTION("""COMPUTED_VALUE"""),"")</f>
        <v/>
      </c>
      <c r="T360" s="139" t="str">
        <f>IFERROR(__xludf.DUMMYFUNCTION("""COMPUTED_VALUE"""),"")</f>
        <v/>
      </c>
      <c r="U360" s="139" t="str">
        <f>IFERROR(__xludf.DUMMYFUNCTION("""COMPUTED_VALUE"""),"")</f>
        <v/>
      </c>
      <c r="V360" s="136" t="str">
        <f>IFERROR(__xludf.DUMMYFUNCTION("""COMPUTED_VALUE"""),"")</f>
        <v/>
      </c>
      <c r="W360" s="106" t="str">
        <f>IFERROR(__xludf.DUMMYFUNCTION("""COMPUTED_VALUE"""),"")</f>
        <v/>
      </c>
      <c r="X360" s="143" t="str">
        <f t="shared" si="2"/>
        <v/>
      </c>
      <c r="Y360" s="139" t="str">
        <f>IFERROR(__xludf.DUMMYFUNCTION("""COMPUTED_VALUE"""),"")</f>
        <v/>
      </c>
      <c r="Z360" s="141" t="str">
        <f>IFERROR(__xludf.DUMMYFUNCTION("""COMPUTED_VALUE"""),"")</f>
        <v/>
      </c>
    </row>
    <row r="361">
      <c r="A361" s="136"/>
      <c r="B361" s="136"/>
      <c r="C361" s="136" t="str">
        <f>IFERROR(__xludf.DUMMYFUNCTION("""COMPUTED_VALUE"""),"")</f>
        <v/>
      </c>
      <c r="D361" s="136" t="str">
        <f t="shared" si="3"/>
        <v/>
      </c>
      <c r="E361" s="152" t="str">
        <f>IFERROR(__xludf.DUMMYFUNCTION("""COMPUTED_VALUE"""),"")</f>
        <v/>
      </c>
      <c r="F361" s="106" t="s">
        <v>133</v>
      </c>
      <c r="G361" s="152" t="str">
        <f>IFERROR(__xludf.DUMMYFUNCTION("""COMPUTED_VALUE"""),"")</f>
        <v/>
      </c>
      <c r="H361" s="106" t="s">
        <v>133</v>
      </c>
      <c r="I361" s="136"/>
      <c r="J361" s="139" t="s">
        <v>133</v>
      </c>
      <c r="K361" s="136" t="s">
        <v>133</v>
      </c>
      <c r="L361" s="153" t="str">
        <f>IFERROR(__xludf.DUMMYFUNCTION("""COMPUTED_VALUE"""),"")</f>
        <v/>
      </c>
      <c r="M361" s="136" t="str">
        <f t="shared" si="1"/>
        <v/>
      </c>
      <c r="N361" s="136" t="str">
        <f>IFERROR(__xludf.DUMMYFUNCTION("""COMPUTED_VALUE"""),"")</f>
        <v/>
      </c>
      <c r="O361" s="141" t="s">
        <v>133</v>
      </c>
      <c r="P361" s="136" t="str">
        <f>IFERROR(__xludf.DUMMYFUNCTION("""COMPUTED_VALUE"""),"")</f>
        <v/>
      </c>
      <c r="Q361" s="136" t="str">
        <f>IFERROR(__xludf.DUMMYFUNCTION("""COMPUTED_VALUE"""),"")</f>
        <v/>
      </c>
      <c r="R361" s="106" t="str">
        <f>IFERROR(__xludf.DUMMYFUNCTION("""COMPUTED_VALUE"""),"")</f>
        <v/>
      </c>
      <c r="S361" s="106" t="str">
        <f>IFERROR(__xludf.DUMMYFUNCTION("""COMPUTED_VALUE"""),"")</f>
        <v/>
      </c>
      <c r="T361" s="139" t="str">
        <f>IFERROR(__xludf.DUMMYFUNCTION("""COMPUTED_VALUE"""),"")</f>
        <v/>
      </c>
      <c r="U361" s="139" t="str">
        <f>IFERROR(__xludf.DUMMYFUNCTION("""COMPUTED_VALUE"""),"")</f>
        <v/>
      </c>
      <c r="V361" s="136" t="str">
        <f>IFERROR(__xludf.DUMMYFUNCTION("""COMPUTED_VALUE"""),"")</f>
        <v/>
      </c>
      <c r="W361" s="106" t="str">
        <f>IFERROR(__xludf.DUMMYFUNCTION("""COMPUTED_VALUE"""),"")</f>
        <v/>
      </c>
      <c r="X361" s="143" t="str">
        <f t="shared" si="2"/>
        <v/>
      </c>
      <c r="Y361" s="139" t="str">
        <f>IFERROR(__xludf.DUMMYFUNCTION("""COMPUTED_VALUE"""),"")</f>
        <v/>
      </c>
      <c r="Z361" s="141" t="str">
        <f>IFERROR(__xludf.DUMMYFUNCTION("""COMPUTED_VALUE"""),"")</f>
        <v/>
      </c>
    </row>
    <row r="362">
      <c r="A362" s="136"/>
      <c r="B362" s="136"/>
      <c r="C362" s="136" t="str">
        <f>IFERROR(__xludf.DUMMYFUNCTION("""COMPUTED_VALUE"""),"")</f>
        <v/>
      </c>
      <c r="D362" s="136" t="str">
        <f t="shared" si="3"/>
        <v/>
      </c>
      <c r="E362" s="152" t="str">
        <f>IFERROR(__xludf.DUMMYFUNCTION("""COMPUTED_VALUE"""),"")</f>
        <v/>
      </c>
      <c r="F362" s="106" t="s">
        <v>133</v>
      </c>
      <c r="G362" s="152" t="str">
        <f>IFERROR(__xludf.DUMMYFUNCTION("""COMPUTED_VALUE"""),"")</f>
        <v/>
      </c>
      <c r="H362" s="106" t="s">
        <v>133</v>
      </c>
      <c r="I362" s="136"/>
      <c r="J362" s="139" t="s">
        <v>133</v>
      </c>
      <c r="K362" s="136" t="s">
        <v>133</v>
      </c>
      <c r="L362" s="153" t="str">
        <f>IFERROR(__xludf.DUMMYFUNCTION("""COMPUTED_VALUE"""),"")</f>
        <v/>
      </c>
      <c r="M362" s="136" t="str">
        <f t="shared" si="1"/>
        <v/>
      </c>
      <c r="N362" s="136" t="str">
        <f>IFERROR(__xludf.DUMMYFUNCTION("""COMPUTED_VALUE"""),"")</f>
        <v/>
      </c>
      <c r="O362" s="141" t="s">
        <v>133</v>
      </c>
      <c r="P362" s="136" t="str">
        <f>IFERROR(__xludf.DUMMYFUNCTION("""COMPUTED_VALUE"""),"")</f>
        <v/>
      </c>
      <c r="Q362" s="136" t="str">
        <f>IFERROR(__xludf.DUMMYFUNCTION("""COMPUTED_VALUE"""),"")</f>
        <v/>
      </c>
      <c r="R362" s="106" t="str">
        <f>IFERROR(__xludf.DUMMYFUNCTION("""COMPUTED_VALUE"""),"")</f>
        <v/>
      </c>
      <c r="S362" s="106" t="str">
        <f>IFERROR(__xludf.DUMMYFUNCTION("""COMPUTED_VALUE"""),"")</f>
        <v/>
      </c>
      <c r="T362" s="139" t="str">
        <f>IFERROR(__xludf.DUMMYFUNCTION("""COMPUTED_VALUE"""),"")</f>
        <v/>
      </c>
      <c r="U362" s="139" t="str">
        <f>IFERROR(__xludf.DUMMYFUNCTION("""COMPUTED_VALUE"""),"")</f>
        <v/>
      </c>
      <c r="V362" s="136" t="str">
        <f>IFERROR(__xludf.DUMMYFUNCTION("""COMPUTED_VALUE"""),"")</f>
        <v/>
      </c>
      <c r="W362" s="106" t="str">
        <f>IFERROR(__xludf.DUMMYFUNCTION("""COMPUTED_VALUE"""),"")</f>
        <v/>
      </c>
      <c r="X362" s="143" t="str">
        <f t="shared" si="2"/>
        <v/>
      </c>
      <c r="Y362" s="139" t="str">
        <f>IFERROR(__xludf.DUMMYFUNCTION("""COMPUTED_VALUE"""),"")</f>
        <v/>
      </c>
      <c r="Z362" s="141" t="str">
        <f>IFERROR(__xludf.DUMMYFUNCTION("""COMPUTED_VALUE"""),"")</f>
        <v/>
      </c>
    </row>
    <row r="363">
      <c r="A363" s="136"/>
      <c r="B363" s="136"/>
      <c r="C363" s="136" t="str">
        <f>IFERROR(__xludf.DUMMYFUNCTION("""COMPUTED_VALUE"""),"")</f>
        <v/>
      </c>
      <c r="D363" s="136" t="str">
        <f t="shared" si="3"/>
        <v/>
      </c>
      <c r="E363" s="152" t="str">
        <f>IFERROR(__xludf.DUMMYFUNCTION("""COMPUTED_VALUE"""),"")</f>
        <v/>
      </c>
      <c r="F363" s="106" t="s">
        <v>133</v>
      </c>
      <c r="G363" s="152" t="str">
        <f>IFERROR(__xludf.DUMMYFUNCTION("""COMPUTED_VALUE"""),"")</f>
        <v/>
      </c>
      <c r="H363" s="106" t="s">
        <v>133</v>
      </c>
      <c r="I363" s="136"/>
      <c r="J363" s="139" t="s">
        <v>133</v>
      </c>
      <c r="K363" s="136" t="s">
        <v>133</v>
      </c>
      <c r="L363" s="153" t="str">
        <f>IFERROR(__xludf.DUMMYFUNCTION("""COMPUTED_VALUE"""),"")</f>
        <v/>
      </c>
      <c r="M363" s="136" t="str">
        <f t="shared" si="1"/>
        <v/>
      </c>
      <c r="N363" s="136" t="str">
        <f>IFERROR(__xludf.DUMMYFUNCTION("""COMPUTED_VALUE"""),"")</f>
        <v/>
      </c>
      <c r="O363" s="141" t="s">
        <v>133</v>
      </c>
      <c r="P363" s="136" t="str">
        <f>IFERROR(__xludf.DUMMYFUNCTION("""COMPUTED_VALUE"""),"")</f>
        <v/>
      </c>
      <c r="Q363" s="136" t="str">
        <f>IFERROR(__xludf.DUMMYFUNCTION("""COMPUTED_VALUE"""),"")</f>
        <v/>
      </c>
      <c r="R363" s="106" t="str">
        <f>IFERROR(__xludf.DUMMYFUNCTION("""COMPUTED_VALUE"""),"")</f>
        <v/>
      </c>
      <c r="S363" s="106" t="str">
        <f>IFERROR(__xludf.DUMMYFUNCTION("""COMPUTED_VALUE"""),"")</f>
        <v/>
      </c>
      <c r="T363" s="139" t="str">
        <f>IFERROR(__xludf.DUMMYFUNCTION("""COMPUTED_VALUE"""),"")</f>
        <v/>
      </c>
      <c r="U363" s="139" t="str">
        <f>IFERROR(__xludf.DUMMYFUNCTION("""COMPUTED_VALUE"""),"")</f>
        <v/>
      </c>
      <c r="V363" s="136" t="str">
        <f>IFERROR(__xludf.DUMMYFUNCTION("""COMPUTED_VALUE"""),"")</f>
        <v/>
      </c>
      <c r="W363" s="106" t="str">
        <f>IFERROR(__xludf.DUMMYFUNCTION("""COMPUTED_VALUE"""),"")</f>
        <v/>
      </c>
      <c r="X363" s="143" t="str">
        <f t="shared" si="2"/>
        <v/>
      </c>
      <c r="Y363" s="139" t="str">
        <f>IFERROR(__xludf.DUMMYFUNCTION("""COMPUTED_VALUE"""),"")</f>
        <v/>
      </c>
      <c r="Z363" s="141" t="str">
        <f>IFERROR(__xludf.DUMMYFUNCTION("""COMPUTED_VALUE"""),"")</f>
        <v/>
      </c>
    </row>
    <row r="364">
      <c r="A364" s="136"/>
      <c r="B364" s="136"/>
      <c r="C364" s="136" t="str">
        <f>IFERROR(__xludf.DUMMYFUNCTION("""COMPUTED_VALUE"""),"")</f>
        <v/>
      </c>
      <c r="D364" s="136" t="str">
        <f t="shared" si="3"/>
        <v/>
      </c>
      <c r="E364" s="152" t="str">
        <f>IFERROR(__xludf.DUMMYFUNCTION("""COMPUTED_VALUE"""),"")</f>
        <v/>
      </c>
      <c r="F364" s="106" t="s">
        <v>133</v>
      </c>
      <c r="G364" s="152" t="str">
        <f>IFERROR(__xludf.DUMMYFUNCTION("""COMPUTED_VALUE"""),"")</f>
        <v/>
      </c>
      <c r="H364" s="106" t="s">
        <v>133</v>
      </c>
      <c r="I364" s="136"/>
      <c r="J364" s="139" t="s">
        <v>133</v>
      </c>
      <c r="K364" s="136" t="s">
        <v>133</v>
      </c>
      <c r="L364" s="153" t="str">
        <f>IFERROR(__xludf.DUMMYFUNCTION("""COMPUTED_VALUE"""),"")</f>
        <v/>
      </c>
      <c r="M364" s="136" t="str">
        <f t="shared" si="1"/>
        <v/>
      </c>
      <c r="N364" s="136" t="str">
        <f>IFERROR(__xludf.DUMMYFUNCTION("""COMPUTED_VALUE"""),"")</f>
        <v/>
      </c>
      <c r="O364" s="141" t="s">
        <v>133</v>
      </c>
      <c r="P364" s="136" t="str">
        <f>IFERROR(__xludf.DUMMYFUNCTION("""COMPUTED_VALUE"""),"")</f>
        <v/>
      </c>
      <c r="Q364" s="136" t="str">
        <f>IFERROR(__xludf.DUMMYFUNCTION("""COMPUTED_VALUE"""),"")</f>
        <v/>
      </c>
      <c r="R364" s="106" t="str">
        <f>IFERROR(__xludf.DUMMYFUNCTION("""COMPUTED_VALUE"""),"")</f>
        <v/>
      </c>
      <c r="S364" s="106" t="str">
        <f>IFERROR(__xludf.DUMMYFUNCTION("""COMPUTED_VALUE"""),"")</f>
        <v/>
      </c>
      <c r="T364" s="139" t="str">
        <f>IFERROR(__xludf.DUMMYFUNCTION("""COMPUTED_VALUE"""),"")</f>
        <v/>
      </c>
      <c r="U364" s="139" t="str">
        <f>IFERROR(__xludf.DUMMYFUNCTION("""COMPUTED_VALUE"""),"")</f>
        <v/>
      </c>
      <c r="V364" s="136" t="str">
        <f>IFERROR(__xludf.DUMMYFUNCTION("""COMPUTED_VALUE"""),"")</f>
        <v/>
      </c>
      <c r="W364" s="106" t="str">
        <f>IFERROR(__xludf.DUMMYFUNCTION("""COMPUTED_VALUE"""),"")</f>
        <v/>
      </c>
      <c r="X364" s="143" t="str">
        <f t="shared" si="2"/>
        <v/>
      </c>
      <c r="Y364" s="139" t="str">
        <f>IFERROR(__xludf.DUMMYFUNCTION("""COMPUTED_VALUE"""),"")</f>
        <v/>
      </c>
      <c r="Z364" s="141" t="str">
        <f>IFERROR(__xludf.DUMMYFUNCTION("""COMPUTED_VALUE"""),"")</f>
        <v/>
      </c>
    </row>
    <row r="365">
      <c r="A365" s="136"/>
      <c r="B365" s="136"/>
      <c r="C365" s="136" t="str">
        <f>IFERROR(__xludf.DUMMYFUNCTION("""COMPUTED_VALUE"""),"")</f>
        <v/>
      </c>
      <c r="D365" s="136" t="str">
        <f t="shared" si="3"/>
        <v/>
      </c>
      <c r="E365" s="152" t="str">
        <f>IFERROR(__xludf.DUMMYFUNCTION("""COMPUTED_VALUE"""),"")</f>
        <v/>
      </c>
      <c r="F365" s="106" t="s">
        <v>133</v>
      </c>
      <c r="G365" s="152" t="str">
        <f>IFERROR(__xludf.DUMMYFUNCTION("""COMPUTED_VALUE"""),"")</f>
        <v/>
      </c>
      <c r="H365" s="106" t="s">
        <v>133</v>
      </c>
      <c r="I365" s="136"/>
      <c r="J365" s="139" t="s">
        <v>133</v>
      </c>
      <c r="K365" s="136" t="s">
        <v>133</v>
      </c>
      <c r="L365" s="153" t="str">
        <f>IFERROR(__xludf.DUMMYFUNCTION("""COMPUTED_VALUE"""),"")</f>
        <v/>
      </c>
      <c r="M365" s="136" t="str">
        <f t="shared" si="1"/>
        <v/>
      </c>
      <c r="N365" s="136" t="str">
        <f>IFERROR(__xludf.DUMMYFUNCTION("""COMPUTED_VALUE"""),"")</f>
        <v/>
      </c>
      <c r="O365" s="141" t="s">
        <v>133</v>
      </c>
      <c r="P365" s="136" t="str">
        <f>IFERROR(__xludf.DUMMYFUNCTION("""COMPUTED_VALUE"""),"")</f>
        <v/>
      </c>
      <c r="Q365" s="136" t="str">
        <f>IFERROR(__xludf.DUMMYFUNCTION("""COMPUTED_VALUE"""),"")</f>
        <v/>
      </c>
      <c r="R365" s="106" t="str">
        <f>IFERROR(__xludf.DUMMYFUNCTION("""COMPUTED_VALUE"""),"")</f>
        <v/>
      </c>
      <c r="S365" s="106" t="str">
        <f>IFERROR(__xludf.DUMMYFUNCTION("""COMPUTED_VALUE"""),"")</f>
        <v/>
      </c>
      <c r="T365" s="139" t="str">
        <f>IFERROR(__xludf.DUMMYFUNCTION("""COMPUTED_VALUE"""),"")</f>
        <v/>
      </c>
      <c r="U365" s="139" t="str">
        <f>IFERROR(__xludf.DUMMYFUNCTION("""COMPUTED_VALUE"""),"")</f>
        <v/>
      </c>
      <c r="V365" s="136" t="str">
        <f>IFERROR(__xludf.DUMMYFUNCTION("""COMPUTED_VALUE"""),"")</f>
        <v/>
      </c>
      <c r="W365" s="106" t="str">
        <f>IFERROR(__xludf.DUMMYFUNCTION("""COMPUTED_VALUE"""),"")</f>
        <v/>
      </c>
      <c r="X365" s="143" t="str">
        <f t="shared" si="2"/>
        <v/>
      </c>
      <c r="Y365" s="139" t="str">
        <f>IFERROR(__xludf.DUMMYFUNCTION("""COMPUTED_VALUE"""),"")</f>
        <v/>
      </c>
      <c r="Z365" s="141" t="str">
        <f>IFERROR(__xludf.DUMMYFUNCTION("""COMPUTED_VALUE"""),"")</f>
        <v/>
      </c>
    </row>
    <row r="366">
      <c r="A366" s="136"/>
      <c r="B366" s="136"/>
      <c r="C366" s="136" t="str">
        <f>IFERROR(__xludf.DUMMYFUNCTION("""COMPUTED_VALUE"""),"")</f>
        <v/>
      </c>
      <c r="D366" s="136" t="str">
        <f t="shared" si="3"/>
        <v/>
      </c>
      <c r="E366" s="152" t="str">
        <f>IFERROR(__xludf.DUMMYFUNCTION("""COMPUTED_VALUE"""),"")</f>
        <v/>
      </c>
      <c r="F366" s="106" t="s">
        <v>133</v>
      </c>
      <c r="G366" s="152" t="str">
        <f>IFERROR(__xludf.DUMMYFUNCTION("""COMPUTED_VALUE"""),"")</f>
        <v/>
      </c>
      <c r="H366" s="106" t="s">
        <v>133</v>
      </c>
      <c r="I366" s="136"/>
      <c r="J366" s="139" t="s">
        <v>133</v>
      </c>
      <c r="K366" s="136" t="s">
        <v>133</v>
      </c>
      <c r="L366" s="153" t="str">
        <f>IFERROR(__xludf.DUMMYFUNCTION("""COMPUTED_VALUE"""),"")</f>
        <v/>
      </c>
      <c r="M366" s="136" t="str">
        <f t="shared" si="1"/>
        <v/>
      </c>
      <c r="N366" s="136" t="str">
        <f>IFERROR(__xludf.DUMMYFUNCTION("""COMPUTED_VALUE"""),"")</f>
        <v/>
      </c>
      <c r="O366" s="141" t="s">
        <v>133</v>
      </c>
      <c r="P366" s="136" t="str">
        <f>IFERROR(__xludf.DUMMYFUNCTION("""COMPUTED_VALUE"""),"")</f>
        <v/>
      </c>
      <c r="Q366" s="136" t="str">
        <f>IFERROR(__xludf.DUMMYFUNCTION("""COMPUTED_VALUE"""),"")</f>
        <v/>
      </c>
      <c r="R366" s="106" t="str">
        <f>IFERROR(__xludf.DUMMYFUNCTION("""COMPUTED_VALUE"""),"")</f>
        <v/>
      </c>
      <c r="S366" s="106" t="str">
        <f>IFERROR(__xludf.DUMMYFUNCTION("""COMPUTED_VALUE"""),"")</f>
        <v/>
      </c>
      <c r="T366" s="139" t="str">
        <f>IFERROR(__xludf.DUMMYFUNCTION("""COMPUTED_VALUE"""),"")</f>
        <v/>
      </c>
      <c r="U366" s="139" t="str">
        <f>IFERROR(__xludf.DUMMYFUNCTION("""COMPUTED_VALUE"""),"")</f>
        <v/>
      </c>
      <c r="V366" s="136" t="str">
        <f>IFERROR(__xludf.DUMMYFUNCTION("""COMPUTED_VALUE"""),"")</f>
        <v/>
      </c>
      <c r="W366" s="106" t="str">
        <f>IFERROR(__xludf.DUMMYFUNCTION("""COMPUTED_VALUE"""),"")</f>
        <v/>
      </c>
      <c r="X366" s="143" t="str">
        <f t="shared" si="2"/>
        <v/>
      </c>
      <c r="Y366" s="139" t="str">
        <f>IFERROR(__xludf.DUMMYFUNCTION("""COMPUTED_VALUE"""),"")</f>
        <v/>
      </c>
      <c r="Z366" s="141" t="str">
        <f>IFERROR(__xludf.DUMMYFUNCTION("""COMPUTED_VALUE"""),"")</f>
        <v/>
      </c>
    </row>
    <row r="367">
      <c r="A367" s="136"/>
      <c r="B367" s="136"/>
      <c r="C367" s="136" t="str">
        <f>IFERROR(__xludf.DUMMYFUNCTION("""COMPUTED_VALUE"""),"")</f>
        <v/>
      </c>
      <c r="D367" s="136" t="str">
        <f t="shared" si="3"/>
        <v/>
      </c>
      <c r="E367" s="152" t="str">
        <f>IFERROR(__xludf.DUMMYFUNCTION("""COMPUTED_VALUE"""),"")</f>
        <v/>
      </c>
      <c r="F367" s="106" t="s">
        <v>133</v>
      </c>
      <c r="G367" s="152" t="str">
        <f>IFERROR(__xludf.DUMMYFUNCTION("""COMPUTED_VALUE"""),"")</f>
        <v/>
      </c>
      <c r="H367" s="106" t="s">
        <v>133</v>
      </c>
      <c r="I367" s="136"/>
      <c r="J367" s="139" t="s">
        <v>133</v>
      </c>
      <c r="K367" s="136" t="s">
        <v>133</v>
      </c>
      <c r="L367" s="153" t="str">
        <f>IFERROR(__xludf.DUMMYFUNCTION("""COMPUTED_VALUE"""),"")</f>
        <v/>
      </c>
      <c r="M367" s="136" t="str">
        <f t="shared" si="1"/>
        <v/>
      </c>
      <c r="N367" s="136" t="str">
        <f>IFERROR(__xludf.DUMMYFUNCTION("""COMPUTED_VALUE"""),"")</f>
        <v/>
      </c>
      <c r="O367" s="141" t="s">
        <v>133</v>
      </c>
      <c r="P367" s="136" t="str">
        <f>IFERROR(__xludf.DUMMYFUNCTION("""COMPUTED_VALUE"""),"")</f>
        <v/>
      </c>
      <c r="Q367" s="136" t="str">
        <f>IFERROR(__xludf.DUMMYFUNCTION("""COMPUTED_VALUE"""),"")</f>
        <v/>
      </c>
      <c r="R367" s="106" t="str">
        <f>IFERROR(__xludf.DUMMYFUNCTION("""COMPUTED_VALUE"""),"")</f>
        <v/>
      </c>
      <c r="S367" s="106" t="str">
        <f>IFERROR(__xludf.DUMMYFUNCTION("""COMPUTED_VALUE"""),"")</f>
        <v/>
      </c>
      <c r="T367" s="139" t="str">
        <f>IFERROR(__xludf.DUMMYFUNCTION("""COMPUTED_VALUE"""),"")</f>
        <v/>
      </c>
      <c r="U367" s="139" t="str">
        <f>IFERROR(__xludf.DUMMYFUNCTION("""COMPUTED_VALUE"""),"")</f>
        <v/>
      </c>
      <c r="V367" s="136" t="str">
        <f>IFERROR(__xludf.DUMMYFUNCTION("""COMPUTED_VALUE"""),"")</f>
        <v/>
      </c>
      <c r="W367" s="106" t="str">
        <f>IFERROR(__xludf.DUMMYFUNCTION("""COMPUTED_VALUE"""),"")</f>
        <v/>
      </c>
      <c r="X367" s="143" t="str">
        <f t="shared" si="2"/>
        <v/>
      </c>
      <c r="Y367" s="139" t="str">
        <f>IFERROR(__xludf.DUMMYFUNCTION("""COMPUTED_VALUE"""),"")</f>
        <v/>
      </c>
      <c r="Z367" s="141" t="str">
        <f>IFERROR(__xludf.DUMMYFUNCTION("""COMPUTED_VALUE"""),"")</f>
        <v/>
      </c>
    </row>
    <row r="368">
      <c r="A368" s="136"/>
      <c r="B368" s="136"/>
      <c r="C368" s="136" t="str">
        <f>IFERROR(__xludf.DUMMYFUNCTION("""COMPUTED_VALUE"""),"")</f>
        <v/>
      </c>
      <c r="D368" s="136" t="str">
        <f t="shared" si="3"/>
        <v/>
      </c>
      <c r="E368" s="152" t="str">
        <f>IFERROR(__xludf.DUMMYFUNCTION("""COMPUTED_VALUE"""),"")</f>
        <v/>
      </c>
      <c r="F368" s="106" t="s">
        <v>133</v>
      </c>
      <c r="G368" s="152" t="str">
        <f>IFERROR(__xludf.DUMMYFUNCTION("""COMPUTED_VALUE"""),"")</f>
        <v/>
      </c>
      <c r="H368" s="106" t="s">
        <v>133</v>
      </c>
      <c r="I368" s="136"/>
      <c r="J368" s="139" t="s">
        <v>133</v>
      </c>
      <c r="K368" s="136" t="s">
        <v>133</v>
      </c>
      <c r="L368" s="153" t="str">
        <f>IFERROR(__xludf.DUMMYFUNCTION("""COMPUTED_VALUE"""),"")</f>
        <v/>
      </c>
      <c r="M368" s="136" t="str">
        <f t="shared" si="1"/>
        <v/>
      </c>
      <c r="N368" s="136" t="str">
        <f>IFERROR(__xludf.DUMMYFUNCTION("""COMPUTED_VALUE"""),"")</f>
        <v/>
      </c>
      <c r="O368" s="141" t="s">
        <v>133</v>
      </c>
      <c r="P368" s="136" t="str">
        <f>IFERROR(__xludf.DUMMYFUNCTION("""COMPUTED_VALUE"""),"")</f>
        <v/>
      </c>
      <c r="Q368" s="136" t="str">
        <f>IFERROR(__xludf.DUMMYFUNCTION("""COMPUTED_VALUE"""),"")</f>
        <v/>
      </c>
      <c r="R368" s="106" t="str">
        <f>IFERROR(__xludf.DUMMYFUNCTION("""COMPUTED_VALUE"""),"")</f>
        <v/>
      </c>
      <c r="S368" s="106" t="str">
        <f>IFERROR(__xludf.DUMMYFUNCTION("""COMPUTED_VALUE"""),"")</f>
        <v/>
      </c>
      <c r="T368" s="139" t="str">
        <f>IFERROR(__xludf.DUMMYFUNCTION("""COMPUTED_VALUE"""),"")</f>
        <v/>
      </c>
      <c r="U368" s="139" t="str">
        <f>IFERROR(__xludf.DUMMYFUNCTION("""COMPUTED_VALUE"""),"")</f>
        <v/>
      </c>
      <c r="V368" s="136" t="str">
        <f>IFERROR(__xludf.DUMMYFUNCTION("""COMPUTED_VALUE"""),"")</f>
        <v/>
      </c>
      <c r="W368" s="106" t="str">
        <f>IFERROR(__xludf.DUMMYFUNCTION("""COMPUTED_VALUE"""),"")</f>
        <v/>
      </c>
      <c r="X368" s="143" t="str">
        <f t="shared" si="2"/>
        <v/>
      </c>
      <c r="Y368" s="139" t="str">
        <f>IFERROR(__xludf.DUMMYFUNCTION("""COMPUTED_VALUE"""),"")</f>
        <v/>
      </c>
      <c r="Z368" s="141" t="str">
        <f>IFERROR(__xludf.DUMMYFUNCTION("""COMPUTED_VALUE"""),"")</f>
        <v/>
      </c>
    </row>
    <row r="369">
      <c r="A369" s="136"/>
      <c r="B369" s="136"/>
      <c r="C369" s="136" t="str">
        <f>IFERROR(__xludf.DUMMYFUNCTION("""COMPUTED_VALUE"""),"")</f>
        <v/>
      </c>
      <c r="D369" s="136" t="str">
        <f t="shared" si="3"/>
        <v/>
      </c>
      <c r="E369" s="152" t="str">
        <f>IFERROR(__xludf.DUMMYFUNCTION("""COMPUTED_VALUE"""),"")</f>
        <v/>
      </c>
      <c r="F369" s="106" t="s">
        <v>133</v>
      </c>
      <c r="G369" s="152" t="str">
        <f>IFERROR(__xludf.DUMMYFUNCTION("""COMPUTED_VALUE"""),"")</f>
        <v/>
      </c>
      <c r="H369" s="106" t="s">
        <v>133</v>
      </c>
      <c r="I369" s="136"/>
      <c r="J369" s="139" t="s">
        <v>133</v>
      </c>
      <c r="K369" s="136" t="s">
        <v>133</v>
      </c>
      <c r="L369" s="153" t="str">
        <f>IFERROR(__xludf.DUMMYFUNCTION("""COMPUTED_VALUE"""),"")</f>
        <v/>
      </c>
      <c r="M369" s="136" t="str">
        <f t="shared" si="1"/>
        <v/>
      </c>
      <c r="N369" s="136" t="str">
        <f>IFERROR(__xludf.DUMMYFUNCTION("""COMPUTED_VALUE"""),"")</f>
        <v/>
      </c>
      <c r="O369" s="141" t="s">
        <v>133</v>
      </c>
      <c r="P369" s="136" t="str">
        <f>IFERROR(__xludf.DUMMYFUNCTION("""COMPUTED_VALUE"""),"")</f>
        <v/>
      </c>
      <c r="Q369" s="136" t="str">
        <f>IFERROR(__xludf.DUMMYFUNCTION("""COMPUTED_VALUE"""),"")</f>
        <v/>
      </c>
      <c r="R369" s="106" t="str">
        <f>IFERROR(__xludf.DUMMYFUNCTION("""COMPUTED_VALUE"""),"")</f>
        <v/>
      </c>
      <c r="S369" s="106" t="str">
        <f>IFERROR(__xludf.DUMMYFUNCTION("""COMPUTED_VALUE"""),"")</f>
        <v/>
      </c>
      <c r="T369" s="139" t="str">
        <f>IFERROR(__xludf.DUMMYFUNCTION("""COMPUTED_VALUE"""),"")</f>
        <v/>
      </c>
      <c r="U369" s="139" t="str">
        <f>IFERROR(__xludf.DUMMYFUNCTION("""COMPUTED_VALUE"""),"")</f>
        <v/>
      </c>
      <c r="V369" s="136" t="str">
        <f>IFERROR(__xludf.DUMMYFUNCTION("""COMPUTED_VALUE"""),"")</f>
        <v/>
      </c>
      <c r="W369" s="106" t="str">
        <f>IFERROR(__xludf.DUMMYFUNCTION("""COMPUTED_VALUE"""),"")</f>
        <v/>
      </c>
      <c r="X369" s="143" t="str">
        <f t="shared" si="2"/>
        <v/>
      </c>
      <c r="Y369" s="139" t="str">
        <f>IFERROR(__xludf.DUMMYFUNCTION("""COMPUTED_VALUE"""),"")</f>
        <v/>
      </c>
      <c r="Z369" s="141" t="str">
        <f>IFERROR(__xludf.DUMMYFUNCTION("""COMPUTED_VALUE"""),"")</f>
        <v/>
      </c>
    </row>
    <row r="370">
      <c r="A370" s="136"/>
      <c r="B370" s="136"/>
      <c r="C370" s="136" t="str">
        <f>IFERROR(__xludf.DUMMYFUNCTION("""COMPUTED_VALUE"""),"")</f>
        <v/>
      </c>
      <c r="D370" s="136" t="str">
        <f t="shared" si="3"/>
        <v/>
      </c>
      <c r="E370" s="152" t="str">
        <f>IFERROR(__xludf.DUMMYFUNCTION("""COMPUTED_VALUE"""),"")</f>
        <v/>
      </c>
      <c r="F370" s="106" t="s">
        <v>133</v>
      </c>
      <c r="G370" s="152" t="str">
        <f>IFERROR(__xludf.DUMMYFUNCTION("""COMPUTED_VALUE"""),"")</f>
        <v/>
      </c>
      <c r="H370" s="106" t="s">
        <v>133</v>
      </c>
      <c r="I370" s="136"/>
      <c r="J370" s="139" t="s">
        <v>133</v>
      </c>
      <c r="K370" s="136" t="s">
        <v>133</v>
      </c>
      <c r="L370" s="153" t="str">
        <f>IFERROR(__xludf.DUMMYFUNCTION("""COMPUTED_VALUE"""),"")</f>
        <v/>
      </c>
      <c r="M370" s="136" t="str">
        <f t="shared" si="1"/>
        <v/>
      </c>
      <c r="N370" s="136" t="str">
        <f>IFERROR(__xludf.DUMMYFUNCTION("""COMPUTED_VALUE"""),"")</f>
        <v/>
      </c>
      <c r="O370" s="141" t="s">
        <v>133</v>
      </c>
      <c r="P370" s="136" t="str">
        <f>IFERROR(__xludf.DUMMYFUNCTION("""COMPUTED_VALUE"""),"")</f>
        <v/>
      </c>
      <c r="Q370" s="136" t="str">
        <f>IFERROR(__xludf.DUMMYFUNCTION("""COMPUTED_VALUE"""),"")</f>
        <v/>
      </c>
      <c r="R370" s="106" t="str">
        <f>IFERROR(__xludf.DUMMYFUNCTION("""COMPUTED_VALUE"""),"")</f>
        <v/>
      </c>
      <c r="S370" s="106" t="str">
        <f>IFERROR(__xludf.DUMMYFUNCTION("""COMPUTED_VALUE"""),"")</f>
        <v/>
      </c>
      <c r="T370" s="139" t="str">
        <f>IFERROR(__xludf.DUMMYFUNCTION("""COMPUTED_VALUE"""),"")</f>
        <v/>
      </c>
      <c r="U370" s="139" t="str">
        <f>IFERROR(__xludf.DUMMYFUNCTION("""COMPUTED_VALUE"""),"")</f>
        <v/>
      </c>
      <c r="V370" s="136" t="str">
        <f>IFERROR(__xludf.DUMMYFUNCTION("""COMPUTED_VALUE"""),"")</f>
        <v/>
      </c>
      <c r="W370" s="106" t="str">
        <f>IFERROR(__xludf.DUMMYFUNCTION("""COMPUTED_VALUE"""),"")</f>
        <v/>
      </c>
      <c r="X370" s="143" t="str">
        <f t="shared" si="2"/>
        <v/>
      </c>
      <c r="Y370" s="139" t="str">
        <f>IFERROR(__xludf.DUMMYFUNCTION("""COMPUTED_VALUE"""),"")</f>
        <v/>
      </c>
      <c r="Z370" s="141" t="str">
        <f>IFERROR(__xludf.DUMMYFUNCTION("""COMPUTED_VALUE"""),"")</f>
        <v/>
      </c>
    </row>
    <row r="371">
      <c r="A371" s="136"/>
      <c r="B371" s="136"/>
      <c r="C371" s="136" t="str">
        <f>IFERROR(__xludf.DUMMYFUNCTION("""COMPUTED_VALUE"""),"")</f>
        <v/>
      </c>
      <c r="D371" s="136" t="str">
        <f t="shared" si="3"/>
        <v/>
      </c>
      <c r="E371" s="152" t="str">
        <f>IFERROR(__xludf.DUMMYFUNCTION("""COMPUTED_VALUE"""),"")</f>
        <v/>
      </c>
      <c r="F371" s="106" t="s">
        <v>133</v>
      </c>
      <c r="G371" s="152" t="str">
        <f>IFERROR(__xludf.DUMMYFUNCTION("""COMPUTED_VALUE"""),"")</f>
        <v/>
      </c>
      <c r="H371" s="106" t="s">
        <v>133</v>
      </c>
      <c r="I371" s="136"/>
      <c r="J371" s="139" t="s">
        <v>133</v>
      </c>
      <c r="K371" s="136" t="s">
        <v>133</v>
      </c>
      <c r="L371" s="153" t="str">
        <f>IFERROR(__xludf.DUMMYFUNCTION("""COMPUTED_VALUE"""),"")</f>
        <v/>
      </c>
      <c r="M371" s="136" t="str">
        <f t="shared" si="1"/>
        <v/>
      </c>
      <c r="N371" s="136" t="str">
        <f>IFERROR(__xludf.DUMMYFUNCTION("""COMPUTED_VALUE"""),"")</f>
        <v/>
      </c>
      <c r="O371" s="141" t="s">
        <v>133</v>
      </c>
      <c r="P371" s="136" t="str">
        <f>IFERROR(__xludf.DUMMYFUNCTION("""COMPUTED_VALUE"""),"")</f>
        <v/>
      </c>
      <c r="Q371" s="136" t="str">
        <f>IFERROR(__xludf.DUMMYFUNCTION("""COMPUTED_VALUE"""),"")</f>
        <v/>
      </c>
      <c r="R371" s="106" t="str">
        <f>IFERROR(__xludf.DUMMYFUNCTION("""COMPUTED_VALUE"""),"")</f>
        <v/>
      </c>
      <c r="S371" s="106" t="str">
        <f>IFERROR(__xludf.DUMMYFUNCTION("""COMPUTED_VALUE"""),"")</f>
        <v/>
      </c>
      <c r="T371" s="139" t="str">
        <f>IFERROR(__xludf.DUMMYFUNCTION("""COMPUTED_VALUE"""),"")</f>
        <v/>
      </c>
      <c r="U371" s="139" t="str">
        <f>IFERROR(__xludf.DUMMYFUNCTION("""COMPUTED_VALUE"""),"")</f>
        <v/>
      </c>
      <c r="V371" s="136" t="str">
        <f>IFERROR(__xludf.DUMMYFUNCTION("""COMPUTED_VALUE"""),"")</f>
        <v/>
      </c>
      <c r="W371" s="106" t="str">
        <f>IFERROR(__xludf.DUMMYFUNCTION("""COMPUTED_VALUE"""),"")</f>
        <v/>
      </c>
      <c r="X371" s="143" t="str">
        <f t="shared" si="2"/>
        <v/>
      </c>
      <c r="Y371" s="139" t="str">
        <f>IFERROR(__xludf.DUMMYFUNCTION("""COMPUTED_VALUE"""),"")</f>
        <v/>
      </c>
      <c r="Z371" s="141" t="str">
        <f>IFERROR(__xludf.DUMMYFUNCTION("""COMPUTED_VALUE"""),"")</f>
        <v/>
      </c>
    </row>
    <row r="372">
      <c r="A372" s="136"/>
      <c r="B372" s="136"/>
      <c r="C372" s="136" t="str">
        <f>IFERROR(__xludf.DUMMYFUNCTION("""COMPUTED_VALUE"""),"")</f>
        <v/>
      </c>
      <c r="D372" s="136" t="str">
        <f t="shared" si="3"/>
        <v/>
      </c>
      <c r="E372" s="152" t="str">
        <f>IFERROR(__xludf.DUMMYFUNCTION("""COMPUTED_VALUE"""),"")</f>
        <v/>
      </c>
      <c r="F372" s="106" t="s">
        <v>133</v>
      </c>
      <c r="G372" s="152" t="str">
        <f>IFERROR(__xludf.DUMMYFUNCTION("""COMPUTED_VALUE"""),"")</f>
        <v/>
      </c>
      <c r="H372" s="106" t="s">
        <v>133</v>
      </c>
      <c r="I372" s="136"/>
      <c r="J372" s="139" t="s">
        <v>133</v>
      </c>
      <c r="K372" s="136" t="s">
        <v>133</v>
      </c>
      <c r="L372" s="153" t="str">
        <f>IFERROR(__xludf.DUMMYFUNCTION("""COMPUTED_VALUE"""),"")</f>
        <v/>
      </c>
      <c r="M372" s="136" t="str">
        <f t="shared" si="1"/>
        <v/>
      </c>
      <c r="N372" s="136" t="str">
        <f>IFERROR(__xludf.DUMMYFUNCTION("""COMPUTED_VALUE"""),"")</f>
        <v/>
      </c>
      <c r="O372" s="141" t="s">
        <v>133</v>
      </c>
      <c r="P372" s="136" t="str">
        <f>IFERROR(__xludf.DUMMYFUNCTION("""COMPUTED_VALUE"""),"")</f>
        <v/>
      </c>
      <c r="Q372" s="136" t="str">
        <f>IFERROR(__xludf.DUMMYFUNCTION("""COMPUTED_VALUE"""),"")</f>
        <v/>
      </c>
      <c r="R372" s="106" t="str">
        <f>IFERROR(__xludf.DUMMYFUNCTION("""COMPUTED_VALUE"""),"")</f>
        <v/>
      </c>
      <c r="S372" s="106" t="str">
        <f>IFERROR(__xludf.DUMMYFUNCTION("""COMPUTED_VALUE"""),"")</f>
        <v/>
      </c>
      <c r="T372" s="139" t="str">
        <f>IFERROR(__xludf.DUMMYFUNCTION("""COMPUTED_VALUE"""),"")</f>
        <v/>
      </c>
      <c r="U372" s="139" t="str">
        <f>IFERROR(__xludf.DUMMYFUNCTION("""COMPUTED_VALUE"""),"")</f>
        <v/>
      </c>
      <c r="V372" s="136" t="str">
        <f>IFERROR(__xludf.DUMMYFUNCTION("""COMPUTED_VALUE"""),"")</f>
        <v/>
      </c>
      <c r="W372" s="106" t="str">
        <f>IFERROR(__xludf.DUMMYFUNCTION("""COMPUTED_VALUE"""),"")</f>
        <v/>
      </c>
      <c r="X372" s="143" t="str">
        <f t="shared" si="2"/>
        <v/>
      </c>
      <c r="Y372" s="139" t="str">
        <f>IFERROR(__xludf.DUMMYFUNCTION("""COMPUTED_VALUE"""),"")</f>
        <v/>
      </c>
      <c r="Z372" s="141" t="str">
        <f>IFERROR(__xludf.DUMMYFUNCTION("""COMPUTED_VALUE"""),"")</f>
        <v/>
      </c>
    </row>
    <row r="373">
      <c r="A373" s="136"/>
      <c r="B373" s="136"/>
      <c r="C373" s="136" t="str">
        <f>IFERROR(__xludf.DUMMYFUNCTION("""COMPUTED_VALUE"""),"")</f>
        <v/>
      </c>
      <c r="D373" s="136" t="str">
        <f t="shared" si="3"/>
        <v/>
      </c>
      <c r="E373" s="152" t="str">
        <f>IFERROR(__xludf.DUMMYFUNCTION("""COMPUTED_VALUE"""),"")</f>
        <v/>
      </c>
      <c r="F373" s="106" t="s">
        <v>133</v>
      </c>
      <c r="G373" s="152" t="str">
        <f>IFERROR(__xludf.DUMMYFUNCTION("""COMPUTED_VALUE"""),"")</f>
        <v/>
      </c>
      <c r="H373" s="106" t="s">
        <v>133</v>
      </c>
      <c r="I373" s="136"/>
      <c r="J373" s="139" t="s">
        <v>133</v>
      </c>
      <c r="K373" s="136" t="s">
        <v>133</v>
      </c>
      <c r="L373" s="153" t="str">
        <f>IFERROR(__xludf.DUMMYFUNCTION("""COMPUTED_VALUE"""),"")</f>
        <v/>
      </c>
      <c r="M373" s="136" t="str">
        <f t="shared" si="1"/>
        <v/>
      </c>
      <c r="N373" s="136" t="str">
        <f>IFERROR(__xludf.DUMMYFUNCTION("""COMPUTED_VALUE"""),"")</f>
        <v/>
      </c>
      <c r="O373" s="141" t="s">
        <v>133</v>
      </c>
      <c r="P373" s="136" t="str">
        <f>IFERROR(__xludf.DUMMYFUNCTION("""COMPUTED_VALUE"""),"")</f>
        <v/>
      </c>
      <c r="Q373" s="136" t="str">
        <f>IFERROR(__xludf.DUMMYFUNCTION("""COMPUTED_VALUE"""),"")</f>
        <v/>
      </c>
      <c r="R373" s="106" t="str">
        <f>IFERROR(__xludf.DUMMYFUNCTION("""COMPUTED_VALUE"""),"")</f>
        <v/>
      </c>
      <c r="S373" s="106" t="str">
        <f>IFERROR(__xludf.DUMMYFUNCTION("""COMPUTED_VALUE"""),"")</f>
        <v/>
      </c>
      <c r="T373" s="139" t="str">
        <f>IFERROR(__xludf.DUMMYFUNCTION("""COMPUTED_VALUE"""),"")</f>
        <v/>
      </c>
      <c r="U373" s="139" t="str">
        <f>IFERROR(__xludf.DUMMYFUNCTION("""COMPUTED_VALUE"""),"")</f>
        <v/>
      </c>
      <c r="V373" s="136" t="str">
        <f>IFERROR(__xludf.DUMMYFUNCTION("""COMPUTED_VALUE"""),"")</f>
        <v/>
      </c>
      <c r="W373" s="106" t="str">
        <f>IFERROR(__xludf.DUMMYFUNCTION("""COMPUTED_VALUE"""),"")</f>
        <v/>
      </c>
      <c r="X373" s="143" t="str">
        <f t="shared" si="2"/>
        <v/>
      </c>
      <c r="Y373" s="139" t="str">
        <f>IFERROR(__xludf.DUMMYFUNCTION("""COMPUTED_VALUE"""),"")</f>
        <v/>
      </c>
      <c r="Z373" s="141" t="str">
        <f>IFERROR(__xludf.DUMMYFUNCTION("""COMPUTED_VALUE"""),"")</f>
        <v/>
      </c>
    </row>
    <row r="374">
      <c r="A374" s="136"/>
      <c r="B374" s="136"/>
      <c r="C374" s="136" t="str">
        <f>IFERROR(__xludf.DUMMYFUNCTION("""COMPUTED_VALUE"""),"")</f>
        <v/>
      </c>
      <c r="D374" s="136" t="str">
        <f t="shared" si="3"/>
        <v/>
      </c>
      <c r="E374" s="152" t="str">
        <f>IFERROR(__xludf.DUMMYFUNCTION("""COMPUTED_VALUE"""),"")</f>
        <v/>
      </c>
      <c r="F374" s="106" t="s">
        <v>133</v>
      </c>
      <c r="G374" s="152" t="str">
        <f>IFERROR(__xludf.DUMMYFUNCTION("""COMPUTED_VALUE"""),"")</f>
        <v/>
      </c>
      <c r="H374" s="106" t="s">
        <v>133</v>
      </c>
      <c r="I374" s="136"/>
      <c r="J374" s="139" t="s">
        <v>133</v>
      </c>
      <c r="K374" s="136" t="s">
        <v>133</v>
      </c>
      <c r="L374" s="153" t="str">
        <f>IFERROR(__xludf.DUMMYFUNCTION("""COMPUTED_VALUE"""),"")</f>
        <v/>
      </c>
      <c r="M374" s="136" t="str">
        <f t="shared" si="1"/>
        <v/>
      </c>
      <c r="N374" s="136" t="str">
        <f>IFERROR(__xludf.DUMMYFUNCTION("""COMPUTED_VALUE"""),"")</f>
        <v/>
      </c>
      <c r="O374" s="141" t="s">
        <v>133</v>
      </c>
      <c r="P374" s="136" t="str">
        <f>IFERROR(__xludf.DUMMYFUNCTION("""COMPUTED_VALUE"""),"")</f>
        <v/>
      </c>
      <c r="Q374" s="136" t="str">
        <f>IFERROR(__xludf.DUMMYFUNCTION("""COMPUTED_VALUE"""),"")</f>
        <v/>
      </c>
      <c r="R374" s="106" t="str">
        <f>IFERROR(__xludf.DUMMYFUNCTION("""COMPUTED_VALUE"""),"")</f>
        <v/>
      </c>
      <c r="S374" s="106" t="str">
        <f>IFERROR(__xludf.DUMMYFUNCTION("""COMPUTED_VALUE"""),"")</f>
        <v/>
      </c>
      <c r="T374" s="139" t="str">
        <f>IFERROR(__xludf.DUMMYFUNCTION("""COMPUTED_VALUE"""),"")</f>
        <v/>
      </c>
      <c r="U374" s="139" t="str">
        <f>IFERROR(__xludf.DUMMYFUNCTION("""COMPUTED_VALUE"""),"")</f>
        <v/>
      </c>
      <c r="V374" s="136" t="str">
        <f>IFERROR(__xludf.DUMMYFUNCTION("""COMPUTED_VALUE"""),"")</f>
        <v/>
      </c>
      <c r="W374" s="106" t="str">
        <f>IFERROR(__xludf.DUMMYFUNCTION("""COMPUTED_VALUE"""),"")</f>
        <v/>
      </c>
      <c r="X374" s="143" t="str">
        <f t="shared" si="2"/>
        <v/>
      </c>
      <c r="Y374" s="139" t="str">
        <f>IFERROR(__xludf.DUMMYFUNCTION("""COMPUTED_VALUE"""),"")</f>
        <v/>
      </c>
      <c r="Z374" s="141" t="str">
        <f>IFERROR(__xludf.DUMMYFUNCTION("""COMPUTED_VALUE"""),"")</f>
        <v/>
      </c>
    </row>
    <row r="375">
      <c r="A375" s="136"/>
      <c r="B375" s="136"/>
      <c r="C375" s="136" t="str">
        <f>IFERROR(__xludf.DUMMYFUNCTION("""COMPUTED_VALUE"""),"")</f>
        <v/>
      </c>
      <c r="D375" s="136" t="str">
        <f t="shared" si="3"/>
        <v/>
      </c>
      <c r="E375" s="152" t="str">
        <f>IFERROR(__xludf.DUMMYFUNCTION("""COMPUTED_VALUE"""),"")</f>
        <v/>
      </c>
      <c r="F375" s="106" t="s">
        <v>133</v>
      </c>
      <c r="G375" s="152" t="str">
        <f>IFERROR(__xludf.DUMMYFUNCTION("""COMPUTED_VALUE"""),"")</f>
        <v/>
      </c>
      <c r="H375" s="106" t="s">
        <v>133</v>
      </c>
      <c r="I375" s="136"/>
      <c r="J375" s="139" t="s">
        <v>133</v>
      </c>
      <c r="K375" s="136" t="s">
        <v>133</v>
      </c>
      <c r="L375" s="153" t="str">
        <f>IFERROR(__xludf.DUMMYFUNCTION("""COMPUTED_VALUE"""),"")</f>
        <v/>
      </c>
      <c r="M375" s="136" t="str">
        <f t="shared" si="1"/>
        <v/>
      </c>
      <c r="N375" s="136" t="str">
        <f>IFERROR(__xludf.DUMMYFUNCTION("""COMPUTED_VALUE"""),"")</f>
        <v/>
      </c>
      <c r="O375" s="141" t="s">
        <v>133</v>
      </c>
      <c r="P375" s="136" t="str">
        <f>IFERROR(__xludf.DUMMYFUNCTION("""COMPUTED_VALUE"""),"")</f>
        <v/>
      </c>
      <c r="Q375" s="136" t="str">
        <f>IFERROR(__xludf.DUMMYFUNCTION("""COMPUTED_VALUE"""),"")</f>
        <v/>
      </c>
      <c r="R375" s="106" t="str">
        <f>IFERROR(__xludf.DUMMYFUNCTION("""COMPUTED_VALUE"""),"")</f>
        <v/>
      </c>
      <c r="S375" s="106" t="str">
        <f>IFERROR(__xludf.DUMMYFUNCTION("""COMPUTED_VALUE"""),"")</f>
        <v/>
      </c>
      <c r="T375" s="139" t="str">
        <f>IFERROR(__xludf.DUMMYFUNCTION("""COMPUTED_VALUE"""),"")</f>
        <v/>
      </c>
      <c r="U375" s="139" t="str">
        <f>IFERROR(__xludf.DUMMYFUNCTION("""COMPUTED_VALUE"""),"")</f>
        <v/>
      </c>
      <c r="V375" s="136" t="str">
        <f>IFERROR(__xludf.DUMMYFUNCTION("""COMPUTED_VALUE"""),"")</f>
        <v/>
      </c>
      <c r="W375" s="106" t="str">
        <f>IFERROR(__xludf.DUMMYFUNCTION("""COMPUTED_VALUE"""),"")</f>
        <v/>
      </c>
      <c r="X375" s="143" t="str">
        <f t="shared" si="2"/>
        <v/>
      </c>
      <c r="Y375" s="139" t="str">
        <f>IFERROR(__xludf.DUMMYFUNCTION("""COMPUTED_VALUE"""),"")</f>
        <v/>
      </c>
      <c r="Z375" s="141" t="str">
        <f>IFERROR(__xludf.DUMMYFUNCTION("""COMPUTED_VALUE"""),"")</f>
        <v/>
      </c>
    </row>
    <row r="376">
      <c r="A376" s="136"/>
      <c r="B376" s="136"/>
      <c r="C376" s="136" t="str">
        <f>IFERROR(__xludf.DUMMYFUNCTION("""COMPUTED_VALUE"""),"")</f>
        <v/>
      </c>
      <c r="D376" s="136" t="str">
        <f t="shared" si="3"/>
        <v/>
      </c>
      <c r="E376" s="152" t="str">
        <f>IFERROR(__xludf.DUMMYFUNCTION("""COMPUTED_VALUE"""),"")</f>
        <v/>
      </c>
      <c r="F376" s="106" t="s">
        <v>133</v>
      </c>
      <c r="G376" s="152" t="str">
        <f>IFERROR(__xludf.DUMMYFUNCTION("""COMPUTED_VALUE"""),"")</f>
        <v/>
      </c>
      <c r="H376" s="106" t="s">
        <v>133</v>
      </c>
      <c r="I376" s="136"/>
      <c r="J376" s="139" t="s">
        <v>133</v>
      </c>
      <c r="K376" s="136" t="s">
        <v>133</v>
      </c>
      <c r="L376" s="153" t="str">
        <f>IFERROR(__xludf.DUMMYFUNCTION("""COMPUTED_VALUE"""),"")</f>
        <v/>
      </c>
      <c r="M376" s="136" t="str">
        <f t="shared" si="1"/>
        <v/>
      </c>
      <c r="N376" s="136" t="str">
        <f>IFERROR(__xludf.DUMMYFUNCTION("""COMPUTED_VALUE"""),"")</f>
        <v/>
      </c>
      <c r="O376" s="141" t="s">
        <v>133</v>
      </c>
      <c r="P376" s="136" t="str">
        <f>IFERROR(__xludf.DUMMYFUNCTION("""COMPUTED_VALUE"""),"")</f>
        <v/>
      </c>
      <c r="Q376" s="136" t="str">
        <f>IFERROR(__xludf.DUMMYFUNCTION("""COMPUTED_VALUE"""),"")</f>
        <v/>
      </c>
      <c r="R376" s="106" t="str">
        <f>IFERROR(__xludf.DUMMYFUNCTION("""COMPUTED_VALUE"""),"")</f>
        <v/>
      </c>
      <c r="S376" s="106" t="str">
        <f>IFERROR(__xludf.DUMMYFUNCTION("""COMPUTED_VALUE"""),"")</f>
        <v/>
      </c>
      <c r="T376" s="139" t="str">
        <f>IFERROR(__xludf.DUMMYFUNCTION("""COMPUTED_VALUE"""),"")</f>
        <v/>
      </c>
      <c r="U376" s="139" t="str">
        <f>IFERROR(__xludf.DUMMYFUNCTION("""COMPUTED_VALUE"""),"")</f>
        <v/>
      </c>
      <c r="V376" s="136" t="str">
        <f>IFERROR(__xludf.DUMMYFUNCTION("""COMPUTED_VALUE"""),"")</f>
        <v/>
      </c>
      <c r="W376" s="106" t="str">
        <f>IFERROR(__xludf.DUMMYFUNCTION("""COMPUTED_VALUE"""),"")</f>
        <v/>
      </c>
      <c r="X376" s="143" t="str">
        <f t="shared" si="2"/>
        <v/>
      </c>
      <c r="Y376" s="139" t="str">
        <f>IFERROR(__xludf.DUMMYFUNCTION("""COMPUTED_VALUE"""),"")</f>
        <v/>
      </c>
      <c r="Z376" s="141" t="str">
        <f>IFERROR(__xludf.DUMMYFUNCTION("""COMPUTED_VALUE"""),"")</f>
        <v/>
      </c>
    </row>
    <row r="377">
      <c r="A377" s="136"/>
      <c r="B377" s="136"/>
      <c r="C377" s="136" t="str">
        <f>IFERROR(__xludf.DUMMYFUNCTION("""COMPUTED_VALUE"""),"")</f>
        <v/>
      </c>
      <c r="D377" s="136" t="str">
        <f t="shared" si="3"/>
        <v/>
      </c>
      <c r="E377" s="152" t="str">
        <f>IFERROR(__xludf.DUMMYFUNCTION("""COMPUTED_VALUE"""),"")</f>
        <v/>
      </c>
      <c r="F377" s="106" t="s">
        <v>133</v>
      </c>
      <c r="G377" s="152" t="str">
        <f>IFERROR(__xludf.DUMMYFUNCTION("""COMPUTED_VALUE"""),"")</f>
        <v/>
      </c>
      <c r="H377" s="106" t="s">
        <v>133</v>
      </c>
      <c r="I377" s="136"/>
      <c r="J377" s="139" t="s">
        <v>133</v>
      </c>
      <c r="K377" s="136" t="s">
        <v>133</v>
      </c>
      <c r="L377" s="153" t="str">
        <f>IFERROR(__xludf.DUMMYFUNCTION("""COMPUTED_VALUE"""),"")</f>
        <v/>
      </c>
      <c r="M377" s="136" t="str">
        <f t="shared" si="1"/>
        <v/>
      </c>
      <c r="N377" s="136" t="str">
        <f>IFERROR(__xludf.DUMMYFUNCTION("""COMPUTED_VALUE"""),"")</f>
        <v/>
      </c>
      <c r="O377" s="141" t="s">
        <v>133</v>
      </c>
      <c r="P377" s="136" t="str">
        <f>IFERROR(__xludf.DUMMYFUNCTION("""COMPUTED_VALUE"""),"")</f>
        <v/>
      </c>
      <c r="Q377" s="136" t="str">
        <f>IFERROR(__xludf.DUMMYFUNCTION("""COMPUTED_VALUE"""),"")</f>
        <v/>
      </c>
      <c r="R377" s="106" t="str">
        <f>IFERROR(__xludf.DUMMYFUNCTION("""COMPUTED_VALUE"""),"")</f>
        <v/>
      </c>
      <c r="S377" s="106" t="str">
        <f>IFERROR(__xludf.DUMMYFUNCTION("""COMPUTED_VALUE"""),"")</f>
        <v/>
      </c>
      <c r="T377" s="139" t="str">
        <f>IFERROR(__xludf.DUMMYFUNCTION("""COMPUTED_VALUE"""),"")</f>
        <v/>
      </c>
      <c r="U377" s="139" t="str">
        <f>IFERROR(__xludf.DUMMYFUNCTION("""COMPUTED_VALUE"""),"")</f>
        <v/>
      </c>
      <c r="V377" s="136" t="str">
        <f>IFERROR(__xludf.DUMMYFUNCTION("""COMPUTED_VALUE"""),"")</f>
        <v/>
      </c>
      <c r="W377" s="106" t="str">
        <f>IFERROR(__xludf.DUMMYFUNCTION("""COMPUTED_VALUE"""),"")</f>
        <v/>
      </c>
      <c r="X377" s="143" t="str">
        <f t="shared" si="2"/>
        <v/>
      </c>
      <c r="Y377" s="139" t="str">
        <f>IFERROR(__xludf.DUMMYFUNCTION("""COMPUTED_VALUE"""),"")</f>
        <v/>
      </c>
      <c r="Z377" s="141" t="str">
        <f>IFERROR(__xludf.DUMMYFUNCTION("""COMPUTED_VALUE"""),"")</f>
        <v/>
      </c>
    </row>
    <row r="378">
      <c r="A378" s="136"/>
      <c r="B378" s="136"/>
      <c r="C378" s="136" t="str">
        <f>IFERROR(__xludf.DUMMYFUNCTION("""COMPUTED_VALUE"""),"")</f>
        <v/>
      </c>
      <c r="D378" s="136" t="str">
        <f t="shared" si="3"/>
        <v/>
      </c>
      <c r="E378" s="152" t="str">
        <f>IFERROR(__xludf.DUMMYFUNCTION("""COMPUTED_VALUE"""),"")</f>
        <v/>
      </c>
      <c r="F378" s="106" t="s">
        <v>133</v>
      </c>
      <c r="G378" s="152" t="str">
        <f>IFERROR(__xludf.DUMMYFUNCTION("""COMPUTED_VALUE"""),"")</f>
        <v/>
      </c>
      <c r="H378" s="106" t="s">
        <v>133</v>
      </c>
      <c r="I378" s="136"/>
      <c r="J378" s="139" t="s">
        <v>133</v>
      </c>
      <c r="K378" s="136" t="s">
        <v>133</v>
      </c>
      <c r="L378" s="153" t="str">
        <f>IFERROR(__xludf.DUMMYFUNCTION("""COMPUTED_VALUE"""),"")</f>
        <v/>
      </c>
      <c r="M378" s="136" t="str">
        <f t="shared" si="1"/>
        <v/>
      </c>
      <c r="N378" s="136" t="str">
        <f>IFERROR(__xludf.DUMMYFUNCTION("""COMPUTED_VALUE"""),"")</f>
        <v/>
      </c>
      <c r="O378" s="141" t="s">
        <v>133</v>
      </c>
      <c r="P378" s="136" t="str">
        <f>IFERROR(__xludf.DUMMYFUNCTION("""COMPUTED_VALUE"""),"")</f>
        <v/>
      </c>
      <c r="Q378" s="136" t="str">
        <f>IFERROR(__xludf.DUMMYFUNCTION("""COMPUTED_VALUE"""),"")</f>
        <v/>
      </c>
      <c r="R378" s="106" t="str">
        <f>IFERROR(__xludf.DUMMYFUNCTION("""COMPUTED_VALUE"""),"")</f>
        <v/>
      </c>
      <c r="S378" s="106" t="str">
        <f>IFERROR(__xludf.DUMMYFUNCTION("""COMPUTED_VALUE"""),"")</f>
        <v/>
      </c>
      <c r="T378" s="139" t="str">
        <f>IFERROR(__xludf.DUMMYFUNCTION("""COMPUTED_VALUE"""),"")</f>
        <v/>
      </c>
      <c r="U378" s="139" t="str">
        <f>IFERROR(__xludf.DUMMYFUNCTION("""COMPUTED_VALUE"""),"")</f>
        <v/>
      </c>
      <c r="V378" s="136" t="str">
        <f>IFERROR(__xludf.DUMMYFUNCTION("""COMPUTED_VALUE"""),"")</f>
        <v/>
      </c>
      <c r="W378" s="106" t="str">
        <f>IFERROR(__xludf.DUMMYFUNCTION("""COMPUTED_VALUE"""),"")</f>
        <v/>
      </c>
      <c r="X378" s="143" t="str">
        <f t="shared" si="2"/>
        <v/>
      </c>
      <c r="Y378" s="139" t="str">
        <f>IFERROR(__xludf.DUMMYFUNCTION("""COMPUTED_VALUE"""),"")</f>
        <v/>
      </c>
      <c r="Z378" s="141" t="str">
        <f>IFERROR(__xludf.DUMMYFUNCTION("""COMPUTED_VALUE"""),"")</f>
        <v/>
      </c>
    </row>
    <row r="379">
      <c r="A379" s="136"/>
      <c r="B379" s="136"/>
      <c r="C379" s="136" t="str">
        <f>IFERROR(__xludf.DUMMYFUNCTION("""COMPUTED_VALUE"""),"")</f>
        <v/>
      </c>
      <c r="D379" s="136" t="str">
        <f t="shared" si="3"/>
        <v/>
      </c>
      <c r="E379" s="152" t="str">
        <f>IFERROR(__xludf.DUMMYFUNCTION("""COMPUTED_VALUE"""),"")</f>
        <v/>
      </c>
      <c r="F379" s="106" t="s">
        <v>133</v>
      </c>
      <c r="G379" s="152" t="str">
        <f>IFERROR(__xludf.DUMMYFUNCTION("""COMPUTED_VALUE"""),"")</f>
        <v/>
      </c>
      <c r="H379" s="106" t="s">
        <v>133</v>
      </c>
      <c r="I379" s="136"/>
      <c r="J379" s="139" t="s">
        <v>133</v>
      </c>
      <c r="K379" s="136" t="s">
        <v>133</v>
      </c>
      <c r="L379" s="153" t="str">
        <f>IFERROR(__xludf.DUMMYFUNCTION("""COMPUTED_VALUE"""),"")</f>
        <v/>
      </c>
      <c r="M379" s="136" t="str">
        <f t="shared" si="1"/>
        <v/>
      </c>
      <c r="N379" s="136" t="str">
        <f>IFERROR(__xludf.DUMMYFUNCTION("""COMPUTED_VALUE"""),"")</f>
        <v/>
      </c>
      <c r="O379" s="141" t="s">
        <v>133</v>
      </c>
      <c r="P379" s="136" t="str">
        <f>IFERROR(__xludf.DUMMYFUNCTION("""COMPUTED_VALUE"""),"")</f>
        <v/>
      </c>
      <c r="Q379" s="136" t="str">
        <f>IFERROR(__xludf.DUMMYFUNCTION("""COMPUTED_VALUE"""),"")</f>
        <v/>
      </c>
      <c r="R379" s="106" t="str">
        <f>IFERROR(__xludf.DUMMYFUNCTION("""COMPUTED_VALUE"""),"")</f>
        <v/>
      </c>
      <c r="S379" s="106" t="str">
        <f>IFERROR(__xludf.DUMMYFUNCTION("""COMPUTED_VALUE"""),"")</f>
        <v/>
      </c>
      <c r="T379" s="139" t="str">
        <f>IFERROR(__xludf.DUMMYFUNCTION("""COMPUTED_VALUE"""),"")</f>
        <v/>
      </c>
      <c r="U379" s="139" t="str">
        <f>IFERROR(__xludf.DUMMYFUNCTION("""COMPUTED_VALUE"""),"")</f>
        <v/>
      </c>
      <c r="V379" s="136" t="str">
        <f>IFERROR(__xludf.DUMMYFUNCTION("""COMPUTED_VALUE"""),"")</f>
        <v/>
      </c>
      <c r="W379" s="106" t="str">
        <f>IFERROR(__xludf.DUMMYFUNCTION("""COMPUTED_VALUE"""),"")</f>
        <v/>
      </c>
      <c r="X379" s="143" t="str">
        <f t="shared" si="2"/>
        <v/>
      </c>
      <c r="Y379" s="139" t="str">
        <f>IFERROR(__xludf.DUMMYFUNCTION("""COMPUTED_VALUE"""),"")</f>
        <v/>
      </c>
      <c r="Z379" s="141" t="str">
        <f>IFERROR(__xludf.DUMMYFUNCTION("""COMPUTED_VALUE"""),"")</f>
        <v/>
      </c>
    </row>
    <row r="380">
      <c r="A380" s="136"/>
      <c r="B380" s="136"/>
      <c r="C380" s="136" t="str">
        <f>IFERROR(__xludf.DUMMYFUNCTION("""COMPUTED_VALUE"""),"")</f>
        <v/>
      </c>
      <c r="D380" s="136" t="str">
        <f t="shared" si="3"/>
        <v/>
      </c>
      <c r="E380" s="152" t="str">
        <f>IFERROR(__xludf.DUMMYFUNCTION("""COMPUTED_VALUE"""),"")</f>
        <v/>
      </c>
      <c r="F380" s="106" t="s">
        <v>133</v>
      </c>
      <c r="G380" s="152" t="str">
        <f>IFERROR(__xludf.DUMMYFUNCTION("""COMPUTED_VALUE"""),"")</f>
        <v/>
      </c>
      <c r="H380" s="106" t="s">
        <v>133</v>
      </c>
      <c r="I380" s="136"/>
      <c r="J380" s="139" t="s">
        <v>133</v>
      </c>
      <c r="K380" s="136" t="s">
        <v>133</v>
      </c>
      <c r="L380" s="153" t="str">
        <f>IFERROR(__xludf.DUMMYFUNCTION("""COMPUTED_VALUE"""),"")</f>
        <v/>
      </c>
      <c r="M380" s="136" t="str">
        <f t="shared" si="1"/>
        <v/>
      </c>
      <c r="N380" s="136" t="str">
        <f>IFERROR(__xludf.DUMMYFUNCTION("""COMPUTED_VALUE"""),"")</f>
        <v/>
      </c>
      <c r="O380" s="141" t="s">
        <v>133</v>
      </c>
      <c r="P380" s="136" t="str">
        <f>IFERROR(__xludf.DUMMYFUNCTION("""COMPUTED_VALUE"""),"")</f>
        <v/>
      </c>
      <c r="Q380" s="136" t="str">
        <f>IFERROR(__xludf.DUMMYFUNCTION("""COMPUTED_VALUE"""),"")</f>
        <v/>
      </c>
      <c r="R380" s="106" t="str">
        <f>IFERROR(__xludf.DUMMYFUNCTION("""COMPUTED_VALUE"""),"")</f>
        <v/>
      </c>
      <c r="S380" s="106" t="str">
        <f>IFERROR(__xludf.DUMMYFUNCTION("""COMPUTED_VALUE"""),"")</f>
        <v/>
      </c>
      <c r="T380" s="139" t="str">
        <f>IFERROR(__xludf.DUMMYFUNCTION("""COMPUTED_VALUE"""),"")</f>
        <v/>
      </c>
      <c r="U380" s="139" t="str">
        <f>IFERROR(__xludf.DUMMYFUNCTION("""COMPUTED_VALUE"""),"")</f>
        <v/>
      </c>
      <c r="V380" s="136" t="str">
        <f>IFERROR(__xludf.DUMMYFUNCTION("""COMPUTED_VALUE"""),"")</f>
        <v/>
      </c>
      <c r="W380" s="106" t="str">
        <f>IFERROR(__xludf.DUMMYFUNCTION("""COMPUTED_VALUE"""),"")</f>
        <v/>
      </c>
      <c r="X380" s="143" t="str">
        <f t="shared" si="2"/>
        <v/>
      </c>
      <c r="Y380" s="139" t="str">
        <f>IFERROR(__xludf.DUMMYFUNCTION("""COMPUTED_VALUE"""),"")</f>
        <v/>
      </c>
      <c r="Z380" s="141" t="str">
        <f>IFERROR(__xludf.DUMMYFUNCTION("""COMPUTED_VALUE"""),"")</f>
        <v/>
      </c>
    </row>
    <row r="381">
      <c r="A381" s="136"/>
      <c r="B381" s="136"/>
      <c r="C381" s="136" t="str">
        <f>IFERROR(__xludf.DUMMYFUNCTION("""COMPUTED_VALUE"""),"")</f>
        <v/>
      </c>
      <c r="D381" s="136" t="str">
        <f t="shared" si="3"/>
        <v/>
      </c>
      <c r="E381" s="152" t="str">
        <f>IFERROR(__xludf.DUMMYFUNCTION("""COMPUTED_VALUE"""),"")</f>
        <v/>
      </c>
      <c r="F381" s="106" t="s">
        <v>133</v>
      </c>
      <c r="G381" s="152" t="str">
        <f>IFERROR(__xludf.DUMMYFUNCTION("""COMPUTED_VALUE"""),"")</f>
        <v/>
      </c>
      <c r="H381" s="106" t="s">
        <v>133</v>
      </c>
      <c r="I381" s="136"/>
      <c r="J381" s="139" t="s">
        <v>133</v>
      </c>
      <c r="K381" s="136" t="s">
        <v>133</v>
      </c>
      <c r="L381" s="153" t="str">
        <f>IFERROR(__xludf.DUMMYFUNCTION("""COMPUTED_VALUE"""),"")</f>
        <v/>
      </c>
      <c r="M381" s="136" t="str">
        <f t="shared" si="1"/>
        <v/>
      </c>
      <c r="N381" s="136" t="str">
        <f>IFERROR(__xludf.DUMMYFUNCTION("""COMPUTED_VALUE"""),"")</f>
        <v/>
      </c>
      <c r="O381" s="141" t="s">
        <v>133</v>
      </c>
      <c r="P381" s="136" t="str">
        <f>IFERROR(__xludf.DUMMYFUNCTION("""COMPUTED_VALUE"""),"")</f>
        <v/>
      </c>
      <c r="Q381" s="136" t="str">
        <f>IFERROR(__xludf.DUMMYFUNCTION("""COMPUTED_VALUE"""),"")</f>
        <v/>
      </c>
      <c r="R381" s="106" t="str">
        <f>IFERROR(__xludf.DUMMYFUNCTION("""COMPUTED_VALUE"""),"")</f>
        <v/>
      </c>
      <c r="S381" s="106" t="str">
        <f>IFERROR(__xludf.DUMMYFUNCTION("""COMPUTED_VALUE"""),"")</f>
        <v/>
      </c>
      <c r="T381" s="139" t="str">
        <f>IFERROR(__xludf.DUMMYFUNCTION("""COMPUTED_VALUE"""),"")</f>
        <v/>
      </c>
      <c r="U381" s="139" t="str">
        <f>IFERROR(__xludf.DUMMYFUNCTION("""COMPUTED_VALUE"""),"")</f>
        <v/>
      </c>
      <c r="V381" s="136" t="str">
        <f>IFERROR(__xludf.DUMMYFUNCTION("""COMPUTED_VALUE"""),"")</f>
        <v/>
      </c>
      <c r="W381" s="106" t="str">
        <f>IFERROR(__xludf.DUMMYFUNCTION("""COMPUTED_VALUE"""),"")</f>
        <v/>
      </c>
      <c r="X381" s="143" t="str">
        <f t="shared" si="2"/>
        <v/>
      </c>
      <c r="Y381" s="139" t="str">
        <f>IFERROR(__xludf.DUMMYFUNCTION("""COMPUTED_VALUE"""),"")</f>
        <v/>
      </c>
      <c r="Z381" s="141" t="str">
        <f>IFERROR(__xludf.DUMMYFUNCTION("""COMPUTED_VALUE"""),"")</f>
        <v/>
      </c>
    </row>
    <row r="382">
      <c r="A382" s="136"/>
      <c r="B382" s="136"/>
      <c r="C382" s="136" t="str">
        <f>IFERROR(__xludf.DUMMYFUNCTION("""COMPUTED_VALUE"""),"")</f>
        <v/>
      </c>
      <c r="D382" s="136" t="str">
        <f t="shared" si="3"/>
        <v/>
      </c>
      <c r="E382" s="152" t="str">
        <f>IFERROR(__xludf.DUMMYFUNCTION("""COMPUTED_VALUE"""),"")</f>
        <v/>
      </c>
      <c r="F382" s="106" t="s">
        <v>133</v>
      </c>
      <c r="G382" s="152" t="str">
        <f>IFERROR(__xludf.DUMMYFUNCTION("""COMPUTED_VALUE"""),"")</f>
        <v/>
      </c>
      <c r="H382" s="106" t="s">
        <v>133</v>
      </c>
      <c r="I382" s="136"/>
      <c r="J382" s="139" t="s">
        <v>133</v>
      </c>
      <c r="K382" s="136" t="s">
        <v>133</v>
      </c>
      <c r="L382" s="153" t="str">
        <f>IFERROR(__xludf.DUMMYFUNCTION("""COMPUTED_VALUE"""),"")</f>
        <v/>
      </c>
      <c r="M382" s="136" t="str">
        <f t="shared" si="1"/>
        <v/>
      </c>
      <c r="N382" s="136" t="str">
        <f>IFERROR(__xludf.DUMMYFUNCTION("""COMPUTED_VALUE"""),"")</f>
        <v/>
      </c>
      <c r="O382" s="141" t="s">
        <v>133</v>
      </c>
      <c r="P382" s="136" t="str">
        <f>IFERROR(__xludf.DUMMYFUNCTION("""COMPUTED_VALUE"""),"")</f>
        <v/>
      </c>
      <c r="Q382" s="136" t="str">
        <f>IFERROR(__xludf.DUMMYFUNCTION("""COMPUTED_VALUE"""),"")</f>
        <v/>
      </c>
      <c r="R382" s="106" t="str">
        <f>IFERROR(__xludf.DUMMYFUNCTION("""COMPUTED_VALUE"""),"")</f>
        <v/>
      </c>
      <c r="S382" s="106" t="str">
        <f>IFERROR(__xludf.DUMMYFUNCTION("""COMPUTED_VALUE"""),"")</f>
        <v/>
      </c>
      <c r="T382" s="139" t="str">
        <f>IFERROR(__xludf.DUMMYFUNCTION("""COMPUTED_VALUE"""),"")</f>
        <v/>
      </c>
      <c r="U382" s="139" t="str">
        <f>IFERROR(__xludf.DUMMYFUNCTION("""COMPUTED_VALUE"""),"")</f>
        <v/>
      </c>
      <c r="V382" s="136" t="str">
        <f>IFERROR(__xludf.DUMMYFUNCTION("""COMPUTED_VALUE"""),"")</f>
        <v/>
      </c>
      <c r="W382" s="106" t="str">
        <f>IFERROR(__xludf.DUMMYFUNCTION("""COMPUTED_VALUE"""),"")</f>
        <v/>
      </c>
      <c r="X382" s="143" t="str">
        <f t="shared" si="2"/>
        <v/>
      </c>
      <c r="Y382" s="139" t="str">
        <f>IFERROR(__xludf.DUMMYFUNCTION("""COMPUTED_VALUE"""),"")</f>
        <v/>
      </c>
      <c r="Z382" s="141" t="str">
        <f>IFERROR(__xludf.DUMMYFUNCTION("""COMPUTED_VALUE"""),"")</f>
        <v/>
      </c>
    </row>
    <row r="383">
      <c r="A383" s="136"/>
      <c r="B383" s="136"/>
      <c r="C383" s="136" t="str">
        <f>IFERROR(__xludf.DUMMYFUNCTION("""COMPUTED_VALUE"""),"")</f>
        <v/>
      </c>
      <c r="D383" s="136" t="str">
        <f t="shared" si="3"/>
        <v/>
      </c>
      <c r="E383" s="152" t="str">
        <f>IFERROR(__xludf.DUMMYFUNCTION("""COMPUTED_VALUE"""),"")</f>
        <v/>
      </c>
      <c r="F383" s="106" t="s">
        <v>133</v>
      </c>
      <c r="G383" s="152" t="str">
        <f>IFERROR(__xludf.DUMMYFUNCTION("""COMPUTED_VALUE"""),"")</f>
        <v/>
      </c>
      <c r="H383" s="106" t="s">
        <v>133</v>
      </c>
      <c r="I383" s="136"/>
      <c r="J383" s="139" t="s">
        <v>133</v>
      </c>
      <c r="K383" s="136" t="s">
        <v>133</v>
      </c>
      <c r="L383" s="153" t="str">
        <f>IFERROR(__xludf.DUMMYFUNCTION("""COMPUTED_VALUE"""),"")</f>
        <v/>
      </c>
      <c r="M383" s="136" t="str">
        <f t="shared" si="1"/>
        <v/>
      </c>
      <c r="N383" s="136" t="str">
        <f>IFERROR(__xludf.DUMMYFUNCTION("""COMPUTED_VALUE"""),"")</f>
        <v/>
      </c>
      <c r="O383" s="141" t="s">
        <v>133</v>
      </c>
      <c r="P383" s="136" t="str">
        <f>IFERROR(__xludf.DUMMYFUNCTION("""COMPUTED_VALUE"""),"")</f>
        <v/>
      </c>
      <c r="Q383" s="136" t="str">
        <f>IFERROR(__xludf.DUMMYFUNCTION("""COMPUTED_VALUE"""),"")</f>
        <v/>
      </c>
      <c r="R383" s="106" t="str">
        <f>IFERROR(__xludf.DUMMYFUNCTION("""COMPUTED_VALUE"""),"")</f>
        <v/>
      </c>
      <c r="S383" s="106" t="str">
        <f>IFERROR(__xludf.DUMMYFUNCTION("""COMPUTED_VALUE"""),"")</f>
        <v/>
      </c>
      <c r="T383" s="139" t="str">
        <f>IFERROR(__xludf.DUMMYFUNCTION("""COMPUTED_VALUE"""),"")</f>
        <v/>
      </c>
      <c r="U383" s="139" t="str">
        <f>IFERROR(__xludf.DUMMYFUNCTION("""COMPUTED_VALUE"""),"")</f>
        <v/>
      </c>
      <c r="V383" s="136" t="str">
        <f>IFERROR(__xludf.DUMMYFUNCTION("""COMPUTED_VALUE"""),"")</f>
        <v/>
      </c>
      <c r="W383" s="106" t="str">
        <f>IFERROR(__xludf.DUMMYFUNCTION("""COMPUTED_VALUE"""),"")</f>
        <v/>
      </c>
      <c r="X383" s="143" t="str">
        <f t="shared" si="2"/>
        <v/>
      </c>
      <c r="Y383" s="139" t="str">
        <f>IFERROR(__xludf.DUMMYFUNCTION("""COMPUTED_VALUE"""),"")</f>
        <v/>
      </c>
      <c r="Z383" s="141" t="str">
        <f>IFERROR(__xludf.DUMMYFUNCTION("""COMPUTED_VALUE"""),"")</f>
        <v/>
      </c>
    </row>
    <row r="384">
      <c r="A384" s="136"/>
      <c r="B384" s="136"/>
      <c r="C384" s="136" t="str">
        <f>IFERROR(__xludf.DUMMYFUNCTION("""COMPUTED_VALUE"""),"")</f>
        <v/>
      </c>
      <c r="D384" s="136" t="str">
        <f t="shared" si="3"/>
        <v/>
      </c>
      <c r="E384" s="152" t="str">
        <f>IFERROR(__xludf.DUMMYFUNCTION("""COMPUTED_VALUE"""),"")</f>
        <v/>
      </c>
      <c r="F384" s="106" t="s">
        <v>133</v>
      </c>
      <c r="G384" s="152" t="str">
        <f>IFERROR(__xludf.DUMMYFUNCTION("""COMPUTED_VALUE"""),"")</f>
        <v/>
      </c>
      <c r="H384" s="106" t="s">
        <v>133</v>
      </c>
      <c r="I384" s="136"/>
      <c r="J384" s="139" t="s">
        <v>133</v>
      </c>
      <c r="K384" s="136" t="s">
        <v>133</v>
      </c>
      <c r="L384" s="153" t="str">
        <f>IFERROR(__xludf.DUMMYFUNCTION("""COMPUTED_VALUE"""),"")</f>
        <v/>
      </c>
      <c r="M384" s="136" t="str">
        <f t="shared" si="1"/>
        <v/>
      </c>
      <c r="N384" s="136" t="str">
        <f>IFERROR(__xludf.DUMMYFUNCTION("""COMPUTED_VALUE"""),"")</f>
        <v/>
      </c>
      <c r="O384" s="141" t="s">
        <v>133</v>
      </c>
      <c r="P384" s="136" t="str">
        <f>IFERROR(__xludf.DUMMYFUNCTION("""COMPUTED_VALUE"""),"")</f>
        <v/>
      </c>
      <c r="Q384" s="136" t="str">
        <f>IFERROR(__xludf.DUMMYFUNCTION("""COMPUTED_VALUE"""),"")</f>
        <v/>
      </c>
      <c r="R384" s="106" t="str">
        <f>IFERROR(__xludf.DUMMYFUNCTION("""COMPUTED_VALUE"""),"")</f>
        <v/>
      </c>
      <c r="S384" s="106" t="str">
        <f>IFERROR(__xludf.DUMMYFUNCTION("""COMPUTED_VALUE"""),"")</f>
        <v/>
      </c>
      <c r="T384" s="139" t="str">
        <f>IFERROR(__xludf.DUMMYFUNCTION("""COMPUTED_VALUE"""),"")</f>
        <v/>
      </c>
      <c r="U384" s="139" t="str">
        <f>IFERROR(__xludf.DUMMYFUNCTION("""COMPUTED_VALUE"""),"")</f>
        <v/>
      </c>
      <c r="V384" s="136" t="str">
        <f>IFERROR(__xludf.DUMMYFUNCTION("""COMPUTED_VALUE"""),"")</f>
        <v/>
      </c>
      <c r="W384" s="106" t="str">
        <f>IFERROR(__xludf.DUMMYFUNCTION("""COMPUTED_VALUE"""),"")</f>
        <v/>
      </c>
      <c r="X384" s="143" t="str">
        <f t="shared" si="2"/>
        <v/>
      </c>
      <c r="Y384" s="139" t="str">
        <f>IFERROR(__xludf.DUMMYFUNCTION("""COMPUTED_VALUE"""),"")</f>
        <v/>
      </c>
      <c r="Z384" s="141" t="str">
        <f>IFERROR(__xludf.DUMMYFUNCTION("""COMPUTED_VALUE"""),"")</f>
        <v/>
      </c>
    </row>
    <row r="385">
      <c r="A385" s="136"/>
      <c r="B385" s="136"/>
      <c r="C385" s="136" t="str">
        <f>IFERROR(__xludf.DUMMYFUNCTION("""COMPUTED_VALUE"""),"")</f>
        <v/>
      </c>
      <c r="D385" s="136" t="str">
        <f t="shared" si="3"/>
        <v/>
      </c>
      <c r="E385" s="152" t="str">
        <f>IFERROR(__xludf.DUMMYFUNCTION("""COMPUTED_VALUE"""),"")</f>
        <v/>
      </c>
      <c r="F385" s="106" t="s">
        <v>133</v>
      </c>
      <c r="G385" s="152" t="str">
        <f>IFERROR(__xludf.DUMMYFUNCTION("""COMPUTED_VALUE"""),"")</f>
        <v/>
      </c>
      <c r="H385" s="106" t="s">
        <v>133</v>
      </c>
      <c r="I385" s="136"/>
      <c r="J385" s="139" t="s">
        <v>133</v>
      </c>
      <c r="K385" s="136" t="s">
        <v>133</v>
      </c>
      <c r="L385" s="153" t="str">
        <f>IFERROR(__xludf.DUMMYFUNCTION("""COMPUTED_VALUE"""),"")</f>
        <v/>
      </c>
      <c r="M385" s="136" t="str">
        <f t="shared" si="1"/>
        <v/>
      </c>
      <c r="N385" s="136" t="str">
        <f>IFERROR(__xludf.DUMMYFUNCTION("""COMPUTED_VALUE"""),"")</f>
        <v/>
      </c>
      <c r="O385" s="141" t="s">
        <v>133</v>
      </c>
      <c r="P385" s="136" t="str">
        <f>IFERROR(__xludf.DUMMYFUNCTION("""COMPUTED_VALUE"""),"")</f>
        <v/>
      </c>
      <c r="Q385" s="136" t="str">
        <f>IFERROR(__xludf.DUMMYFUNCTION("""COMPUTED_VALUE"""),"")</f>
        <v/>
      </c>
      <c r="R385" s="106" t="str">
        <f>IFERROR(__xludf.DUMMYFUNCTION("""COMPUTED_VALUE"""),"")</f>
        <v/>
      </c>
      <c r="S385" s="106" t="str">
        <f>IFERROR(__xludf.DUMMYFUNCTION("""COMPUTED_VALUE"""),"")</f>
        <v/>
      </c>
      <c r="T385" s="139" t="str">
        <f>IFERROR(__xludf.DUMMYFUNCTION("""COMPUTED_VALUE"""),"")</f>
        <v/>
      </c>
      <c r="U385" s="139" t="str">
        <f>IFERROR(__xludf.DUMMYFUNCTION("""COMPUTED_VALUE"""),"")</f>
        <v/>
      </c>
      <c r="V385" s="136" t="str">
        <f>IFERROR(__xludf.DUMMYFUNCTION("""COMPUTED_VALUE"""),"")</f>
        <v/>
      </c>
      <c r="W385" s="106" t="str">
        <f>IFERROR(__xludf.DUMMYFUNCTION("""COMPUTED_VALUE"""),"")</f>
        <v/>
      </c>
      <c r="X385" s="143" t="str">
        <f t="shared" si="2"/>
        <v/>
      </c>
      <c r="Y385" s="139" t="str">
        <f>IFERROR(__xludf.DUMMYFUNCTION("""COMPUTED_VALUE"""),"")</f>
        <v/>
      </c>
      <c r="Z385" s="141" t="str">
        <f>IFERROR(__xludf.DUMMYFUNCTION("""COMPUTED_VALUE"""),"")</f>
        <v/>
      </c>
    </row>
    <row r="386">
      <c r="A386" s="136"/>
      <c r="B386" s="136"/>
      <c r="C386" s="136" t="str">
        <f>IFERROR(__xludf.DUMMYFUNCTION("""COMPUTED_VALUE"""),"")</f>
        <v/>
      </c>
      <c r="D386" s="136" t="str">
        <f t="shared" si="3"/>
        <v/>
      </c>
      <c r="E386" s="152" t="str">
        <f>IFERROR(__xludf.DUMMYFUNCTION("""COMPUTED_VALUE"""),"")</f>
        <v/>
      </c>
      <c r="F386" s="106" t="s">
        <v>133</v>
      </c>
      <c r="G386" s="152" t="str">
        <f>IFERROR(__xludf.DUMMYFUNCTION("""COMPUTED_VALUE"""),"")</f>
        <v/>
      </c>
      <c r="H386" s="106" t="s">
        <v>133</v>
      </c>
      <c r="I386" s="136"/>
      <c r="J386" s="139" t="s">
        <v>133</v>
      </c>
      <c r="K386" s="136" t="s">
        <v>133</v>
      </c>
      <c r="L386" s="153" t="str">
        <f>IFERROR(__xludf.DUMMYFUNCTION("""COMPUTED_VALUE"""),"")</f>
        <v/>
      </c>
      <c r="M386" s="136" t="str">
        <f t="shared" si="1"/>
        <v/>
      </c>
      <c r="N386" s="136" t="str">
        <f>IFERROR(__xludf.DUMMYFUNCTION("""COMPUTED_VALUE"""),"")</f>
        <v/>
      </c>
      <c r="O386" s="141" t="s">
        <v>133</v>
      </c>
      <c r="P386" s="136" t="str">
        <f>IFERROR(__xludf.DUMMYFUNCTION("""COMPUTED_VALUE"""),"")</f>
        <v/>
      </c>
      <c r="Q386" s="136" t="str">
        <f>IFERROR(__xludf.DUMMYFUNCTION("""COMPUTED_VALUE"""),"")</f>
        <v/>
      </c>
      <c r="R386" s="106" t="str">
        <f>IFERROR(__xludf.DUMMYFUNCTION("""COMPUTED_VALUE"""),"")</f>
        <v/>
      </c>
      <c r="S386" s="106" t="str">
        <f>IFERROR(__xludf.DUMMYFUNCTION("""COMPUTED_VALUE"""),"")</f>
        <v/>
      </c>
      <c r="T386" s="139" t="str">
        <f>IFERROR(__xludf.DUMMYFUNCTION("""COMPUTED_VALUE"""),"")</f>
        <v/>
      </c>
      <c r="U386" s="139" t="str">
        <f>IFERROR(__xludf.DUMMYFUNCTION("""COMPUTED_VALUE"""),"")</f>
        <v/>
      </c>
      <c r="V386" s="136" t="str">
        <f>IFERROR(__xludf.DUMMYFUNCTION("""COMPUTED_VALUE"""),"")</f>
        <v/>
      </c>
      <c r="W386" s="106" t="str">
        <f>IFERROR(__xludf.DUMMYFUNCTION("""COMPUTED_VALUE"""),"")</f>
        <v/>
      </c>
      <c r="X386" s="143" t="str">
        <f t="shared" si="2"/>
        <v/>
      </c>
      <c r="Y386" s="139" t="str">
        <f>IFERROR(__xludf.DUMMYFUNCTION("""COMPUTED_VALUE"""),"")</f>
        <v/>
      </c>
      <c r="Z386" s="141" t="str">
        <f>IFERROR(__xludf.DUMMYFUNCTION("""COMPUTED_VALUE"""),"")</f>
        <v/>
      </c>
    </row>
    <row r="387">
      <c r="A387" s="136"/>
      <c r="B387" s="136"/>
      <c r="C387" s="136" t="str">
        <f>IFERROR(__xludf.DUMMYFUNCTION("""COMPUTED_VALUE"""),"")</f>
        <v/>
      </c>
      <c r="D387" s="136" t="str">
        <f t="shared" si="3"/>
        <v/>
      </c>
      <c r="E387" s="152" t="str">
        <f>IFERROR(__xludf.DUMMYFUNCTION("""COMPUTED_VALUE"""),"")</f>
        <v/>
      </c>
      <c r="F387" s="106" t="s">
        <v>133</v>
      </c>
      <c r="G387" s="152" t="str">
        <f>IFERROR(__xludf.DUMMYFUNCTION("""COMPUTED_VALUE"""),"")</f>
        <v/>
      </c>
      <c r="H387" s="106" t="s">
        <v>133</v>
      </c>
      <c r="I387" s="136"/>
      <c r="J387" s="139" t="s">
        <v>133</v>
      </c>
      <c r="K387" s="136" t="s">
        <v>133</v>
      </c>
      <c r="L387" s="153" t="str">
        <f>IFERROR(__xludf.DUMMYFUNCTION("""COMPUTED_VALUE"""),"")</f>
        <v/>
      </c>
      <c r="M387" s="136" t="str">
        <f t="shared" si="1"/>
        <v/>
      </c>
      <c r="N387" s="136" t="str">
        <f>IFERROR(__xludf.DUMMYFUNCTION("""COMPUTED_VALUE"""),"")</f>
        <v/>
      </c>
      <c r="O387" s="141" t="s">
        <v>133</v>
      </c>
      <c r="P387" s="136" t="str">
        <f>IFERROR(__xludf.DUMMYFUNCTION("""COMPUTED_VALUE"""),"")</f>
        <v/>
      </c>
      <c r="Q387" s="136" t="str">
        <f>IFERROR(__xludf.DUMMYFUNCTION("""COMPUTED_VALUE"""),"")</f>
        <v/>
      </c>
      <c r="R387" s="106" t="str">
        <f>IFERROR(__xludf.DUMMYFUNCTION("""COMPUTED_VALUE"""),"")</f>
        <v/>
      </c>
      <c r="S387" s="106" t="str">
        <f>IFERROR(__xludf.DUMMYFUNCTION("""COMPUTED_VALUE"""),"")</f>
        <v/>
      </c>
      <c r="T387" s="139" t="str">
        <f>IFERROR(__xludf.DUMMYFUNCTION("""COMPUTED_VALUE"""),"")</f>
        <v/>
      </c>
      <c r="U387" s="139" t="str">
        <f>IFERROR(__xludf.DUMMYFUNCTION("""COMPUTED_VALUE"""),"")</f>
        <v/>
      </c>
      <c r="V387" s="136" t="str">
        <f>IFERROR(__xludf.DUMMYFUNCTION("""COMPUTED_VALUE"""),"")</f>
        <v/>
      </c>
      <c r="W387" s="106" t="str">
        <f>IFERROR(__xludf.DUMMYFUNCTION("""COMPUTED_VALUE"""),"")</f>
        <v/>
      </c>
      <c r="X387" s="143" t="str">
        <f t="shared" si="2"/>
        <v/>
      </c>
      <c r="Y387" s="139" t="str">
        <f>IFERROR(__xludf.DUMMYFUNCTION("""COMPUTED_VALUE"""),"")</f>
        <v/>
      </c>
      <c r="Z387" s="141" t="str">
        <f>IFERROR(__xludf.DUMMYFUNCTION("""COMPUTED_VALUE"""),"")</f>
        <v/>
      </c>
    </row>
    <row r="388">
      <c r="A388" s="136"/>
      <c r="B388" s="136"/>
      <c r="C388" s="136" t="str">
        <f>IFERROR(__xludf.DUMMYFUNCTION("""COMPUTED_VALUE"""),"")</f>
        <v/>
      </c>
      <c r="D388" s="136" t="str">
        <f t="shared" si="3"/>
        <v/>
      </c>
      <c r="E388" s="152" t="str">
        <f>IFERROR(__xludf.DUMMYFUNCTION("""COMPUTED_VALUE"""),"")</f>
        <v/>
      </c>
      <c r="F388" s="106" t="s">
        <v>133</v>
      </c>
      <c r="G388" s="152" t="str">
        <f>IFERROR(__xludf.DUMMYFUNCTION("""COMPUTED_VALUE"""),"")</f>
        <v/>
      </c>
      <c r="H388" s="106" t="s">
        <v>133</v>
      </c>
      <c r="I388" s="136"/>
      <c r="J388" s="139" t="s">
        <v>133</v>
      </c>
      <c r="K388" s="136" t="s">
        <v>133</v>
      </c>
      <c r="L388" s="153" t="str">
        <f>IFERROR(__xludf.DUMMYFUNCTION("""COMPUTED_VALUE"""),"")</f>
        <v/>
      </c>
      <c r="M388" s="136" t="str">
        <f t="shared" si="1"/>
        <v/>
      </c>
      <c r="N388" s="136" t="str">
        <f>IFERROR(__xludf.DUMMYFUNCTION("""COMPUTED_VALUE"""),"")</f>
        <v/>
      </c>
      <c r="O388" s="141" t="s">
        <v>133</v>
      </c>
      <c r="P388" s="136" t="str">
        <f>IFERROR(__xludf.DUMMYFUNCTION("""COMPUTED_VALUE"""),"")</f>
        <v/>
      </c>
      <c r="Q388" s="136" t="str">
        <f>IFERROR(__xludf.DUMMYFUNCTION("""COMPUTED_VALUE"""),"")</f>
        <v/>
      </c>
      <c r="R388" s="106" t="str">
        <f>IFERROR(__xludf.DUMMYFUNCTION("""COMPUTED_VALUE"""),"")</f>
        <v/>
      </c>
      <c r="S388" s="106" t="str">
        <f>IFERROR(__xludf.DUMMYFUNCTION("""COMPUTED_VALUE"""),"")</f>
        <v/>
      </c>
      <c r="T388" s="139" t="str">
        <f>IFERROR(__xludf.DUMMYFUNCTION("""COMPUTED_VALUE"""),"")</f>
        <v/>
      </c>
      <c r="U388" s="139" t="str">
        <f>IFERROR(__xludf.DUMMYFUNCTION("""COMPUTED_VALUE"""),"")</f>
        <v/>
      </c>
      <c r="V388" s="136" t="str">
        <f>IFERROR(__xludf.DUMMYFUNCTION("""COMPUTED_VALUE"""),"")</f>
        <v/>
      </c>
      <c r="W388" s="106" t="str">
        <f>IFERROR(__xludf.DUMMYFUNCTION("""COMPUTED_VALUE"""),"")</f>
        <v/>
      </c>
      <c r="X388" s="143" t="str">
        <f t="shared" si="2"/>
        <v/>
      </c>
      <c r="Y388" s="139" t="str">
        <f>IFERROR(__xludf.DUMMYFUNCTION("""COMPUTED_VALUE"""),"")</f>
        <v/>
      </c>
      <c r="Z388" s="141" t="str">
        <f>IFERROR(__xludf.DUMMYFUNCTION("""COMPUTED_VALUE"""),"")</f>
        <v/>
      </c>
    </row>
    <row r="389">
      <c r="A389" s="136"/>
      <c r="B389" s="136"/>
      <c r="C389" s="136" t="str">
        <f>IFERROR(__xludf.DUMMYFUNCTION("""COMPUTED_VALUE"""),"")</f>
        <v/>
      </c>
      <c r="D389" s="136" t="str">
        <f t="shared" si="3"/>
        <v/>
      </c>
      <c r="E389" s="152" t="str">
        <f>IFERROR(__xludf.DUMMYFUNCTION("""COMPUTED_VALUE"""),"")</f>
        <v/>
      </c>
      <c r="F389" s="106" t="s">
        <v>133</v>
      </c>
      <c r="G389" s="152" t="str">
        <f>IFERROR(__xludf.DUMMYFUNCTION("""COMPUTED_VALUE"""),"")</f>
        <v/>
      </c>
      <c r="H389" s="106" t="s">
        <v>133</v>
      </c>
      <c r="I389" s="136"/>
      <c r="J389" s="139" t="s">
        <v>133</v>
      </c>
      <c r="K389" s="136" t="s">
        <v>133</v>
      </c>
      <c r="L389" s="153" t="str">
        <f>IFERROR(__xludf.DUMMYFUNCTION("""COMPUTED_VALUE"""),"")</f>
        <v/>
      </c>
      <c r="M389" s="136" t="str">
        <f t="shared" si="1"/>
        <v/>
      </c>
      <c r="N389" s="136" t="str">
        <f>IFERROR(__xludf.DUMMYFUNCTION("""COMPUTED_VALUE"""),"")</f>
        <v/>
      </c>
      <c r="O389" s="141" t="s">
        <v>133</v>
      </c>
      <c r="P389" s="136" t="str">
        <f>IFERROR(__xludf.DUMMYFUNCTION("""COMPUTED_VALUE"""),"")</f>
        <v/>
      </c>
      <c r="Q389" s="136" t="str">
        <f>IFERROR(__xludf.DUMMYFUNCTION("""COMPUTED_VALUE"""),"")</f>
        <v/>
      </c>
      <c r="R389" s="106" t="str">
        <f>IFERROR(__xludf.DUMMYFUNCTION("""COMPUTED_VALUE"""),"")</f>
        <v/>
      </c>
      <c r="S389" s="106" t="str">
        <f>IFERROR(__xludf.DUMMYFUNCTION("""COMPUTED_VALUE"""),"")</f>
        <v/>
      </c>
      <c r="T389" s="139" t="str">
        <f>IFERROR(__xludf.DUMMYFUNCTION("""COMPUTED_VALUE"""),"")</f>
        <v/>
      </c>
      <c r="U389" s="139" t="str">
        <f>IFERROR(__xludf.DUMMYFUNCTION("""COMPUTED_VALUE"""),"")</f>
        <v/>
      </c>
      <c r="V389" s="136" t="str">
        <f>IFERROR(__xludf.DUMMYFUNCTION("""COMPUTED_VALUE"""),"")</f>
        <v/>
      </c>
      <c r="W389" s="106" t="str">
        <f>IFERROR(__xludf.DUMMYFUNCTION("""COMPUTED_VALUE"""),"")</f>
        <v/>
      </c>
      <c r="X389" s="143" t="str">
        <f t="shared" si="2"/>
        <v/>
      </c>
      <c r="Y389" s="139" t="str">
        <f>IFERROR(__xludf.DUMMYFUNCTION("""COMPUTED_VALUE"""),"")</f>
        <v/>
      </c>
      <c r="Z389" s="141" t="str">
        <f>IFERROR(__xludf.DUMMYFUNCTION("""COMPUTED_VALUE"""),"")</f>
        <v/>
      </c>
    </row>
    <row r="390">
      <c r="A390" s="136"/>
      <c r="B390" s="136"/>
      <c r="C390" s="136" t="str">
        <f>IFERROR(__xludf.DUMMYFUNCTION("""COMPUTED_VALUE"""),"")</f>
        <v/>
      </c>
      <c r="D390" s="136" t="str">
        <f t="shared" si="3"/>
        <v/>
      </c>
      <c r="E390" s="152" t="str">
        <f>IFERROR(__xludf.DUMMYFUNCTION("""COMPUTED_VALUE"""),"")</f>
        <v/>
      </c>
      <c r="F390" s="106" t="s">
        <v>133</v>
      </c>
      <c r="G390" s="152" t="str">
        <f>IFERROR(__xludf.DUMMYFUNCTION("""COMPUTED_VALUE"""),"")</f>
        <v/>
      </c>
      <c r="H390" s="106" t="s">
        <v>133</v>
      </c>
      <c r="I390" s="136"/>
      <c r="J390" s="139" t="s">
        <v>133</v>
      </c>
      <c r="K390" s="136" t="s">
        <v>133</v>
      </c>
      <c r="L390" s="153" t="str">
        <f>IFERROR(__xludf.DUMMYFUNCTION("""COMPUTED_VALUE"""),"")</f>
        <v/>
      </c>
      <c r="M390" s="136" t="str">
        <f t="shared" si="1"/>
        <v/>
      </c>
      <c r="N390" s="136" t="str">
        <f>IFERROR(__xludf.DUMMYFUNCTION("""COMPUTED_VALUE"""),"")</f>
        <v/>
      </c>
      <c r="O390" s="141" t="s">
        <v>133</v>
      </c>
      <c r="P390" s="136" t="str">
        <f>IFERROR(__xludf.DUMMYFUNCTION("""COMPUTED_VALUE"""),"")</f>
        <v/>
      </c>
      <c r="Q390" s="136" t="str">
        <f>IFERROR(__xludf.DUMMYFUNCTION("""COMPUTED_VALUE"""),"")</f>
        <v/>
      </c>
      <c r="R390" s="106" t="str">
        <f>IFERROR(__xludf.DUMMYFUNCTION("""COMPUTED_VALUE"""),"")</f>
        <v/>
      </c>
      <c r="S390" s="106" t="str">
        <f>IFERROR(__xludf.DUMMYFUNCTION("""COMPUTED_VALUE"""),"")</f>
        <v/>
      </c>
      <c r="T390" s="139" t="str">
        <f>IFERROR(__xludf.DUMMYFUNCTION("""COMPUTED_VALUE"""),"")</f>
        <v/>
      </c>
      <c r="U390" s="139" t="str">
        <f>IFERROR(__xludf.DUMMYFUNCTION("""COMPUTED_VALUE"""),"")</f>
        <v/>
      </c>
      <c r="V390" s="136" t="str">
        <f>IFERROR(__xludf.DUMMYFUNCTION("""COMPUTED_VALUE"""),"")</f>
        <v/>
      </c>
      <c r="W390" s="106" t="str">
        <f>IFERROR(__xludf.DUMMYFUNCTION("""COMPUTED_VALUE"""),"")</f>
        <v/>
      </c>
      <c r="X390" s="143" t="str">
        <f t="shared" si="2"/>
        <v/>
      </c>
      <c r="Y390" s="139" t="str">
        <f>IFERROR(__xludf.DUMMYFUNCTION("""COMPUTED_VALUE"""),"")</f>
        <v/>
      </c>
      <c r="Z390" s="141" t="str">
        <f>IFERROR(__xludf.DUMMYFUNCTION("""COMPUTED_VALUE"""),"")</f>
        <v/>
      </c>
    </row>
    <row r="391">
      <c r="A391" s="136"/>
      <c r="B391" s="136"/>
      <c r="C391" s="136" t="str">
        <f>IFERROR(__xludf.DUMMYFUNCTION("""COMPUTED_VALUE"""),"")</f>
        <v/>
      </c>
      <c r="D391" s="136" t="str">
        <f t="shared" si="3"/>
        <v/>
      </c>
      <c r="E391" s="152" t="str">
        <f>IFERROR(__xludf.DUMMYFUNCTION("""COMPUTED_VALUE"""),"")</f>
        <v/>
      </c>
      <c r="F391" s="106" t="s">
        <v>133</v>
      </c>
      <c r="G391" s="152" t="str">
        <f>IFERROR(__xludf.DUMMYFUNCTION("""COMPUTED_VALUE"""),"")</f>
        <v/>
      </c>
      <c r="H391" s="106" t="s">
        <v>133</v>
      </c>
      <c r="I391" s="136"/>
      <c r="J391" s="139" t="s">
        <v>133</v>
      </c>
      <c r="K391" s="136" t="s">
        <v>133</v>
      </c>
      <c r="L391" s="153" t="str">
        <f>IFERROR(__xludf.DUMMYFUNCTION("""COMPUTED_VALUE"""),"")</f>
        <v/>
      </c>
      <c r="M391" s="136" t="str">
        <f t="shared" si="1"/>
        <v/>
      </c>
      <c r="N391" s="136" t="str">
        <f>IFERROR(__xludf.DUMMYFUNCTION("""COMPUTED_VALUE"""),"")</f>
        <v/>
      </c>
      <c r="O391" s="141" t="s">
        <v>133</v>
      </c>
      <c r="P391" s="136" t="str">
        <f>IFERROR(__xludf.DUMMYFUNCTION("""COMPUTED_VALUE"""),"")</f>
        <v/>
      </c>
      <c r="Q391" s="136" t="str">
        <f>IFERROR(__xludf.DUMMYFUNCTION("""COMPUTED_VALUE"""),"")</f>
        <v/>
      </c>
      <c r="R391" s="106" t="str">
        <f>IFERROR(__xludf.DUMMYFUNCTION("""COMPUTED_VALUE"""),"")</f>
        <v/>
      </c>
      <c r="S391" s="106" t="str">
        <f>IFERROR(__xludf.DUMMYFUNCTION("""COMPUTED_VALUE"""),"")</f>
        <v/>
      </c>
      <c r="T391" s="139" t="str">
        <f>IFERROR(__xludf.DUMMYFUNCTION("""COMPUTED_VALUE"""),"")</f>
        <v/>
      </c>
      <c r="U391" s="139" t="str">
        <f>IFERROR(__xludf.DUMMYFUNCTION("""COMPUTED_VALUE"""),"")</f>
        <v/>
      </c>
      <c r="V391" s="136" t="str">
        <f>IFERROR(__xludf.DUMMYFUNCTION("""COMPUTED_VALUE"""),"")</f>
        <v/>
      </c>
      <c r="W391" s="106" t="str">
        <f>IFERROR(__xludf.DUMMYFUNCTION("""COMPUTED_VALUE"""),"")</f>
        <v/>
      </c>
      <c r="X391" s="143" t="str">
        <f t="shared" si="2"/>
        <v/>
      </c>
      <c r="Y391" s="139" t="str">
        <f>IFERROR(__xludf.DUMMYFUNCTION("""COMPUTED_VALUE"""),"")</f>
        <v/>
      </c>
      <c r="Z391" s="141" t="str">
        <f>IFERROR(__xludf.DUMMYFUNCTION("""COMPUTED_VALUE"""),"")</f>
        <v/>
      </c>
    </row>
    <row r="392">
      <c r="A392" s="136"/>
      <c r="B392" s="136"/>
      <c r="C392" s="136" t="str">
        <f>IFERROR(__xludf.DUMMYFUNCTION("""COMPUTED_VALUE"""),"")</f>
        <v/>
      </c>
      <c r="D392" s="136" t="str">
        <f t="shared" si="3"/>
        <v/>
      </c>
      <c r="E392" s="152" t="str">
        <f>IFERROR(__xludf.DUMMYFUNCTION("""COMPUTED_VALUE"""),"")</f>
        <v/>
      </c>
      <c r="F392" s="106" t="s">
        <v>133</v>
      </c>
      <c r="G392" s="152" t="str">
        <f>IFERROR(__xludf.DUMMYFUNCTION("""COMPUTED_VALUE"""),"")</f>
        <v/>
      </c>
      <c r="H392" s="106" t="s">
        <v>133</v>
      </c>
      <c r="I392" s="136"/>
      <c r="J392" s="139" t="s">
        <v>133</v>
      </c>
      <c r="K392" s="136" t="s">
        <v>133</v>
      </c>
      <c r="L392" s="153" t="str">
        <f>IFERROR(__xludf.DUMMYFUNCTION("""COMPUTED_VALUE"""),"")</f>
        <v/>
      </c>
      <c r="M392" s="136" t="str">
        <f t="shared" si="1"/>
        <v/>
      </c>
      <c r="N392" s="136" t="str">
        <f>IFERROR(__xludf.DUMMYFUNCTION("""COMPUTED_VALUE"""),"")</f>
        <v/>
      </c>
      <c r="O392" s="141" t="s">
        <v>133</v>
      </c>
      <c r="P392" s="136" t="str">
        <f>IFERROR(__xludf.DUMMYFUNCTION("""COMPUTED_VALUE"""),"")</f>
        <v/>
      </c>
      <c r="Q392" s="136" t="str">
        <f>IFERROR(__xludf.DUMMYFUNCTION("""COMPUTED_VALUE"""),"")</f>
        <v/>
      </c>
      <c r="R392" s="106" t="str">
        <f>IFERROR(__xludf.DUMMYFUNCTION("""COMPUTED_VALUE"""),"")</f>
        <v/>
      </c>
      <c r="S392" s="106" t="str">
        <f>IFERROR(__xludf.DUMMYFUNCTION("""COMPUTED_VALUE"""),"")</f>
        <v/>
      </c>
      <c r="T392" s="139" t="str">
        <f>IFERROR(__xludf.DUMMYFUNCTION("""COMPUTED_VALUE"""),"")</f>
        <v/>
      </c>
      <c r="U392" s="139" t="str">
        <f>IFERROR(__xludf.DUMMYFUNCTION("""COMPUTED_VALUE"""),"")</f>
        <v/>
      </c>
      <c r="V392" s="136" t="str">
        <f>IFERROR(__xludf.DUMMYFUNCTION("""COMPUTED_VALUE"""),"")</f>
        <v/>
      </c>
      <c r="W392" s="106" t="str">
        <f>IFERROR(__xludf.DUMMYFUNCTION("""COMPUTED_VALUE"""),"")</f>
        <v/>
      </c>
      <c r="X392" s="143" t="str">
        <f t="shared" si="2"/>
        <v/>
      </c>
      <c r="Y392" s="139" t="str">
        <f>IFERROR(__xludf.DUMMYFUNCTION("""COMPUTED_VALUE"""),"")</f>
        <v/>
      </c>
      <c r="Z392" s="141" t="str">
        <f>IFERROR(__xludf.DUMMYFUNCTION("""COMPUTED_VALUE"""),"")</f>
        <v/>
      </c>
    </row>
    <row r="393">
      <c r="A393" s="136"/>
      <c r="B393" s="136"/>
      <c r="C393" s="136" t="str">
        <f>IFERROR(__xludf.DUMMYFUNCTION("""COMPUTED_VALUE"""),"")</f>
        <v/>
      </c>
      <c r="D393" s="136" t="str">
        <f t="shared" si="3"/>
        <v/>
      </c>
      <c r="E393" s="152" t="str">
        <f>IFERROR(__xludf.DUMMYFUNCTION("""COMPUTED_VALUE"""),"")</f>
        <v/>
      </c>
      <c r="F393" s="106" t="s">
        <v>133</v>
      </c>
      <c r="G393" s="152" t="str">
        <f>IFERROR(__xludf.DUMMYFUNCTION("""COMPUTED_VALUE"""),"")</f>
        <v/>
      </c>
      <c r="H393" s="106" t="s">
        <v>133</v>
      </c>
      <c r="I393" s="136"/>
      <c r="J393" s="139" t="s">
        <v>133</v>
      </c>
      <c r="K393" s="136" t="s">
        <v>133</v>
      </c>
      <c r="L393" s="153" t="str">
        <f>IFERROR(__xludf.DUMMYFUNCTION("""COMPUTED_VALUE"""),"")</f>
        <v/>
      </c>
      <c r="M393" s="136" t="str">
        <f t="shared" si="1"/>
        <v/>
      </c>
      <c r="N393" s="136" t="str">
        <f>IFERROR(__xludf.DUMMYFUNCTION("""COMPUTED_VALUE"""),"")</f>
        <v/>
      </c>
      <c r="O393" s="141" t="s">
        <v>133</v>
      </c>
      <c r="P393" s="136" t="str">
        <f>IFERROR(__xludf.DUMMYFUNCTION("""COMPUTED_VALUE"""),"")</f>
        <v/>
      </c>
      <c r="Q393" s="136" t="str">
        <f>IFERROR(__xludf.DUMMYFUNCTION("""COMPUTED_VALUE"""),"")</f>
        <v/>
      </c>
      <c r="R393" s="106" t="str">
        <f>IFERROR(__xludf.DUMMYFUNCTION("""COMPUTED_VALUE"""),"")</f>
        <v/>
      </c>
      <c r="S393" s="106" t="str">
        <f>IFERROR(__xludf.DUMMYFUNCTION("""COMPUTED_VALUE"""),"")</f>
        <v/>
      </c>
      <c r="T393" s="139" t="str">
        <f>IFERROR(__xludf.DUMMYFUNCTION("""COMPUTED_VALUE"""),"")</f>
        <v/>
      </c>
      <c r="U393" s="139" t="str">
        <f>IFERROR(__xludf.DUMMYFUNCTION("""COMPUTED_VALUE"""),"")</f>
        <v/>
      </c>
      <c r="V393" s="136" t="str">
        <f>IFERROR(__xludf.DUMMYFUNCTION("""COMPUTED_VALUE"""),"")</f>
        <v/>
      </c>
      <c r="W393" s="106" t="str">
        <f>IFERROR(__xludf.DUMMYFUNCTION("""COMPUTED_VALUE"""),"")</f>
        <v/>
      </c>
      <c r="X393" s="143" t="str">
        <f t="shared" si="2"/>
        <v/>
      </c>
      <c r="Y393" s="139" t="str">
        <f>IFERROR(__xludf.DUMMYFUNCTION("""COMPUTED_VALUE"""),"")</f>
        <v/>
      </c>
      <c r="Z393" s="141" t="str">
        <f>IFERROR(__xludf.DUMMYFUNCTION("""COMPUTED_VALUE"""),"")</f>
        <v/>
      </c>
    </row>
    <row r="394">
      <c r="A394" s="136"/>
      <c r="B394" s="136"/>
      <c r="C394" s="136" t="str">
        <f>IFERROR(__xludf.DUMMYFUNCTION("""COMPUTED_VALUE"""),"")</f>
        <v/>
      </c>
      <c r="D394" s="136" t="str">
        <f t="shared" si="3"/>
        <v/>
      </c>
      <c r="E394" s="152" t="str">
        <f>IFERROR(__xludf.DUMMYFUNCTION("""COMPUTED_VALUE"""),"")</f>
        <v/>
      </c>
      <c r="F394" s="106" t="s">
        <v>133</v>
      </c>
      <c r="G394" s="152" t="str">
        <f>IFERROR(__xludf.DUMMYFUNCTION("""COMPUTED_VALUE"""),"")</f>
        <v/>
      </c>
      <c r="H394" s="106" t="s">
        <v>133</v>
      </c>
      <c r="I394" s="136"/>
      <c r="J394" s="139" t="s">
        <v>133</v>
      </c>
      <c r="K394" s="136" t="s">
        <v>133</v>
      </c>
      <c r="L394" s="153" t="str">
        <f>IFERROR(__xludf.DUMMYFUNCTION("""COMPUTED_VALUE"""),"")</f>
        <v/>
      </c>
      <c r="M394" s="136" t="str">
        <f t="shared" si="1"/>
        <v/>
      </c>
      <c r="N394" s="136" t="str">
        <f>IFERROR(__xludf.DUMMYFUNCTION("""COMPUTED_VALUE"""),"")</f>
        <v/>
      </c>
      <c r="O394" s="141" t="s">
        <v>133</v>
      </c>
      <c r="P394" s="136" t="str">
        <f>IFERROR(__xludf.DUMMYFUNCTION("""COMPUTED_VALUE"""),"")</f>
        <v/>
      </c>
      <c r="Q394" s="136" t="str">
        <f>IFERROR(__xludf.DUMMYFUNCTION("""COMPUTED_VALUE"""),"")</f>
        <v/>
      </c>
      <c r="R394" s="106" t="str">
        <f>IFERROR(__xludf.DUMMYFUNCTION("""COMPUTED_VALUE"""),"")</f>
        <v/>
      </c>
      <c r="S394" s="106" t="str">
        <f>IFERROR(__xludf.DUMMYFUNCTION("""COMPUTED_VALUE"""),"")</f>
        <v/>
      </c>
      <c r="T394" s="139" t="str">
        <f>IFERROR(__xludf.DUMMYFUNCTION("""COMPUTED_VALUE"""),"")</f>
        <v/>
      </c>
      <c r="U394" s="139" t="str">
        <f>IFERROR(__xludf.DUMMYFUNCTION("""COMPUTED_VALUE"""),"")</f>
        <v/>
      </c>
      <c r="V394" s="136" t="str">
        <f>IFERROR(__xludf.DUMMYFUNCTION("""COMPUTED_VALUE"""),"")</f>
        <v/>
      </c>
      <c r="W394" s="106" t="str">
        <f>IFERROR(__xludf.DUMMYFUNCTION("""COMPUTED_VALUE"""),"")</f>
        <v/>
      </c>
      <c r="X394" s="143" t="str">
        <f t="shared" si="2"/>
        <v/>
      </c>
      <c r="Y394" s="139" t="str">
        <f>IFERROR(__xludf.DUMMYFUNCTION("""COMPUTED_VALUE"""),"")</f>
        <v/>
      </c>
      <c r="Z394" s="141" t="str">
        <f>IFERROR(__xludf.DUMMYFUNCTION("""COMPUTED_VALUE"""),"")</f>
        <v/>
      </c>
    </row>
    <row r="395">
      <c r="A395" s="136"/>
      <c r="B395" s="136"/>
      <c r="C395" s="136" t="str">
        <f>IFERROR(__xludf.DUMMYFUNCTION("""COMPUTED_VALUE"""),"")</f>
        <v/>
      </c>
      <c r="D395" s="136" t="str">
        <f t="shared" si="3"/>
        <v/>
      </c>
      <c r="E395" s="152" t="str">
        <f>IFERROR(__xludf.DUMMYFUNCTION("""COMPUTED_VALUE"""),"")</f>
        <v/>
      </c>
      <c r="F395" s="106" t="s">
        <v>133</v>
      </c>
      <c r="G395" s="152" t="str">
        <f>IFERROR(__xludf.DUMMYFUNCTION("""COMPUTED_VALUE"""),"")</f>
        <v/>
      </c>
      <c r="H395" s="106" t="s">
        <v>133</v>
      </c>
      <c r="I395" s="136"/>
      <c r="J395" s="139" t="s">
        <v>133</v>
      </c>
      <c r="K395" s="136" t="s">
        <v>133</v>
      </c>
      <c r="L395" s="153" t="str">
        <f>IFERROR(__xludf.DUMMYFUNCTION("""COMPUTED_VALUE"""),"")</f>
        <v/>
      </c>
      <c r="M395" s="136" t="str">
        <f t="shared" si="1"/>
        <v/>
      </c>
      <c r="N395" s="136" t="str">
        <f>IFERROR(__xludf.DUMMYFUNCTION("""COMPUTED_VALUE"""),"")</f>
        <v/>
      </c>
      <c r="O395" s="141" t="s">
        <v>133</v>
      </c>
      <c r="P395" s="136" t="str">
        <f>IFERROR(__xludf.DUMMYFUNCTION("""COMPUTED_VALUE"""),"")</f>
        <v/>
      </c>
      <c r="Q395" s="136" t="str">
        <f>IFERROR(__xludf.DUMMYFUNCTION("""COMPUTED_VALUE"""),"")</f>
        <v/>
      </c>
      <c r="R395" s="106" t="str">
        <f>IFERROR(__xludf.DUMMYFUNCTION("""COMPUTED_VALUE"""),"")</f>
        <v/>
      </c>
      <c r="S395" s="106" t="str">
        <f>IFERROR(__xludf.DUMMYFUNCTION("""COMPUTED_VALUE"""),"")</f>
        <v/>
      </c>
      <c r="T395" s="139" t="str">
        <f>IFERROR(__xludf.DUMMYFUNCTION("""COMPUTED_VALUE"""),"")</f>
        <v/>
      </c>
      <c r="U395" s="139" t="str">
        <f>IFERROR(__xludf.DUMMYFUNCTION("""COMPUTED_VALUE"""),"")</f>
        <v/>
      </c>
      <c r="V395" s="136" t="str">
        <f>IFERROR(__xludf.DUMMYFUNCTION("""COMPUTED_VALUE"""),"")</f>
        <v/>
      </c>
      <c r="W395" s="106" t="str">
        <f>IFERROR(__xludf.DUMMYFUNCTION("""COMPUTED_VALUE"""),"")</f>
        <v/>
      </c>
      <c r="X395" s="143" t="str">
        <f t="shared" si="2"/>
        <v/>
      </c>
      <c r="Y395" s="139" t="str">
        <f>IFERROR(__xludf.DUMMYFUNCTION("""COMPUTED_VALUE"""),"")</f>
        <v/>
      </c>
      <c r="Z395" s="141" t="str">
        <f>IFERROR(__xludf.DUMMYFUNCTION("""COMPUTED_VALUE"""),"")</f>
        <v/>
      </c>
    </row>
    <row r="396">
      <c r="A396" s="136"/>
      <c r="B396" s="136"/>
      <c r="C396" s="136" t="str">
        <f>IFERROR(__xludf.DUMMYFUNCTION("""COMPUTED_VALUE"""),"")</f>
        <v/>
      </c>
      <c r="D396" s="136" t="str">
        <f t="shared" si="3"/>
        <v/>
      </c>
      <c r="E396" s="152" t="str">
        <f>IFERROR(__xludf.DUMMYFUNCTION("""COMPUTED_VALUE"""),"")</f>
        <v/>
      </c>
      <c r="F396" s="106" t="s">
        <v>133</v>
      </c>
      <c r="G396" s="152" t="str">
        <f>IFERROR(__xludf.DUMMYFUNCTION("""COMPUTED_VALUE"""),"")</f>
        <v/>
      </c>
      <c r="H396" s="106" t="s">
        <v>133</v>
      </c>
      <c r="I396" s="136"/>
      <c r="J396" s="139" t="s">
        <v>133</v>
      </c>
      <c r="K396" s="136" t="s">
        <v>133</v>
      </c>
      <c r="L396" s="153" t="str">
        <f>IFERROR(__xludf.DUMMYFUNCTION("""COMPUTED_VALUE"""),"")</f>
        <v/>
      </c>
      <c r="M396" s="136" t="str">
        <f t="shared" si="1"/>
        <v/>
      </c>
      <c r="N396" s="136" t="str">
        <f>IFERROR(__xludf.DUMMYFUNCTION("""COMPUTED_VALUE"""),"")</f>
        <v/>
      </c>
      <c r="O396" s="141" t="s">
        <v>133</v>
      </c>
      <c r="P396" s="136" t="str">
        <f>IFERROR(__xludf.DUMMYFUNCTION("""COMPUTED_VALUE"""),"")</f>
        <v/>
      </c>
      <c r="Q396" s="136" t="str">
        <f>IFERROR(__xludf.DUMMYFUNCTION("""COMPUTED_VALUE"""),"")</f>
        <v/>
      </c>
      <c r="R396" s="106" t="str">
        <f>IFERROR(__xludf.DUMMYFUNCTION("""COMPUTED_VALUE"""),"")</f>
        <v/>
      </c>
      <c r="S396" s="106" t="str">
        <f>IFERROR(__xludf.DUMMYFUNCTION("""COMPUTED_VALUE"""),"")</f>
        <v/>
      </c>
      <c r="T396" s="139" t="str">
        <f>IFERROR(__xludf.DUMMYFUNCTION("""COMPUTED_VALUE"""),"")</f>
        <v/>
      </c>
      <c r="U396" s="139" t="str">
        <f>IFERROR(__xludf.DUMMYFUNCTION("""COMPUTED_VALUE"""),"")</f>
        <v/>
      </c>
      <c r="V396" s="136" t="str">
        <f>IFERROR(__xludf.DUMMYFUNCTION("""COMPUTED_VALUE"""),"")</f>
        <v/>
      </c>
      <c r="W396" s="106" t="str">
        <f>IFERROR(__xludf.DUMMYFUNCTION("""COMPUTED_VALUE"""),"")</f>
        <v/>
      </c>
      <c r="X396" s="143" t="str">
        <f t="shared" si="2"/>
        <v/>
      </c>
      <c r="Y396" s="139" t="str">
        <f>IFERROR(__xludf.DUMMYFUNCTION("""COMPUTED_VALUE"""),"")</f>
        <v/>
      </c>
      <c r="Z396" s="141" t="str">
        <f>IFERROR(__xludf.DUMMYFUNCTION("""COMPUTED_VALUE"""),"")</f>
        <v/>
      </c>
    </row>
    <row r="397">
      <c r="A397" s="136"/>
      <c r="B397" s="136"/>
      <c r="C397" s="136" t="str">
        <f>IFERROR(__xludf.DUMMYFUNCTION("""COMPUTED_VALUE"""),"")</f>
        <v/>
      </c>
      <c r="D397" s="136" t="str">
        <f t="shared" si="3"/>
        <v/>
      </c>
      <c r="E397" s="152" t="str">
        <f>IFERROR(__xludf.DUMMYFUNCTION("""COMPUTED_VALUE"""),"")</f>
        <v/>
      </c>
      <c r="F397" s="106" t="s">
        <v>133</v>
      </c>
      <c r="G397" s="152" t="str">
        <f>IFERROR(__xludf.DUMMYFUNCTION("""COMPUTED_VALUE"""),"")</f>
        <v/>
      </c>
      <c r="H397" s="106" t="s">
        <v>133</v>
      </c>
      <c r="I397" s="136"/>
      <c r="J397" s="139" t="s">
        <v>133</v>
      </c>
      <c r="K397" s="136" t="s">
        <v>133</v>
      </c>
      <c r="L397" s="153" t="str">
        <f>IFERROR(__xludf.DUMMYFUNCTION("""COMPUTED_VALUE"""),"")</f>
        <v/>
      </c>
      <c r="M397" s="136" t="str">
        <f t="shared" si="1"/>
        <v/>
      </c>
      <c r="N397" s="136" t="str">
        <f>IFERROR(__xludf.DUMMYFUNCTION("""COMPUTED_VALUE"""),"")</f>
        <v/>
      </c>
      <c r="O397" s="141" t="s">
        <v>133</v>
      </c>
      <c r="P397" s="136" t="str">
        <f>IFERROR(__xludf.DUMMYFUNCTION("""COMPUTED_VALUE"""),"")</f>
        <v/>
      </c>
      <c r="Q397" s="136" t="str">
        <f>IFERROR(__xludf.DUMMYFUNCTION("""COMPUTED_VALUE"""),"")</f>
        <v/>
      </c>
      <c r="R397" s="106" t="str">
        <f>IFERROR(__xludf.DUMMYFUNCTION("""COMPUTED_VALUE"""),"")</f>
        <v/>
      </c>
      <c r="S397" s="106" t="str">
        <f>IFERROR(__xludf.DUMMYFUNCTION("""COMPUTED_VALUE"""),"")</f>
        <v/>
      </c>
      <c r="T397" s="139" t="str">
        <f>IFERROR(__xludf.DUMMYFUNCTION("""COMPUTED_VALUE"""),"")</f>
        <v/>
      </c>
      <c r="U397" s="139" t="str">
        <f>IFERROR(__xludf.DUMMYFUNCTION("""COMPUTED_VALUE"""),"")</f>
        <v/>
      </c>
      <c r="V397" s="136" t="str">
        <f>IFERROR(__xludf.DUMMYFUNCTION("""COMPUTED_VALUE"""),"")</f>
        <v/>
      </c>
      <c r="W397" s="106" t="str">
        <f>IFERROR(__xludf.DUMMYFUNCTION("""COMPUTED_VALUE"""),"")</f>
        <v/>
      </c>
      <c r="X397" s="143" t="str">
        <f t="shared" si="2"/>
        <v/>
      </c>
      <c r="Y397" s="139" t="str">
        <f>IFERROR(__xludf.DUMMYFUNCTION("""COMPUTED_VALUE"""),"")</f>
        <v/>
      </c>
      <c r="Z397" s="141" t="str">
        <f>IFERROR(__xludf.DUMMYFUNCTION("""COMPUTED_VALUE"""),"")</f>
        <v/>
      </c>
    </row>
    <row r="398">
      <c r="A398" s="136"/>
      <c r="B398" s="136"/>
      <c r="C398" s="136" t="str">
        <f>IFERROR(__xludf.DUMMYFUNCTION("""COMPUTED_VALUE"""),"")</f>
        <v/>
      </c>
      <c r="D398" s="136" t="str">
        <f t="shared" si="3"/>
        <v/>
      </c>
      <c r="E398" s="152" t="str">
        <f>IFERROR(__xludf.DUMMYFUNCTION("""COMPUTED_VALUE"""),"")</f>
        <v/>
      </c>
      <c r="F398" s="106" t="s">
        <v>133</v>
      </c>
      <c r="G398" s="152" t="str">
        <f>IFERROR(__xludf.DUMMYFUNCTION("""COMPUTED_VALUE"""),"")</f>
        <v/>
      </c>
      <c r="H398" s="106" t="s">
        <v>133</v>
      </c>
      <c r="I398" s="136"/>
      <c r="J398" s="139" t="s">
        <v>133</v>
      </c>
      <c r="K398" s="136" t="s">
        <v>133</v>
      </c>
      <c r="L398" s="153" t="str">
        <f>IFERROR(__xludf.DUMMYFUNCTION("""COMPUTED_VALUE"""),"")</f>
        <v/>
      </c>
      <c r="M398" s="136" t="str">
        <f t="shared" si="1"/>
        <v/>
      </c>
      <c r="N398" s="136" t="str">
        <f>IFERROR(__xludf.DUMMYFUNCTION("""COMPUTED_VALUE"""),"")</f>
        <v/>
      </c>
      <c r="O398" s="141" t="s">
        <v>133</v>
      </c>
      <c r="P398" s="136" t="str">
        <f>IFERROR(__xludf.DUMMYFUNCTION("""COMPUTED_VALUE"""),"")</f>
        <v/>
      </c>
      <c r="Q398" s="136" t="str">
        <f>IFERROR(__xludf.DUMMYFUNCTION("""COMPUTED_VALUE"""),"")</f>
        <v/>
      </c>
      <c r="R398" s="106" t="str">
        <f>IFERROR(__xludf.DUMMYFUNCTION("""COMPUTED_VALUE"""),"")</f>
        <v/>
      </c>
      <c r="S398" s="106" t="str">
        <f>IFERROR(__xludf.DUMMYFUNCTION("""COMPUTED_VALUE"""),"")</f>
        <v/>
      </c>
      <c r="T398" s="139" t="str">
        <f>IFERROR(__xludf.DUMMYFUNCTION("""COMPUTED_VALUE"""),"")</f>
        <v/>
      </c>
      <c r="U398" s="139" t="str">
        <f>IFERROR(__xludf.DUMMYFUNCTION("""COMPUTED_VALUE"""),"")</f>
        <v/>
      </c>
      <c r="V398" s="136" t="str">
        <f>IFERROR(__xludf.DUMMYFUNCTION("""COMPUTED_VALUE"""),"")</f>
        <v/>
      </c>
      <c r="W398" s="106" t="str">
        <f>IFERROR(__xludf.DUMMYFUNCTION("""COMPUTED_VALUE"""),"")</f>
        <v/>
      </c>
      <c r="X398" s="143" t="str">
        <f t="shared" si="2"/>
        <v/>
      </c>
      <c r="Y398" s="139" t="str">
        <f>IFERROR(__xludf.DUMMYFUNCTION("""COMPUTED_VALUE"""),"")</f>
        <v/>
      </c>
      <c r="Z398" s="141" t="str">
        <f>IFERROR(__xludf.DUMMYFUNCTION("""COMPUTED_VALUE"""),"")</f>
        <v/>
      </c>
    </row>
    <row r="399">
      <c r="A399" s="136"/>
      <c r="B399" s="136"/>
      <c r="C399" s="136" t="str">
        <f>IFERROR(__xludf.DUMMYFUNCTION("""COMPUTED_VALUE"""),"")</f>
        <v/>
      </c>
      <c r="D399" s="136" t="str">
        <f t="shared" si="3"/>
        <v/>
      </c>
      <c r="E399" s="152" t="str">
        <f>IFERROR(__xludf.DUMMYFUNCTION("""COMPUTED_VALUE"""),"")</f>
        <v/>
      </c>
      <c r="F399" s="106" t="s">
        <v>133</v>
      </c>
      <c r="G399" s="152" t="str">
        <f>IFERROR(__xludf.DUMMYFUNCTION("""COMPUTED_VALUE"""),"")</f>
        <v/>
      </c>
      <c r="H399" s="106" t="s">
        <v>133</v>
      </c>
      <c r="I399" s="136"/>
      <c r="J399" s="139" t="s">
        <v>133</v>
      </c>
      <c r="K399" s="136" t="s">
        <v>133</v>
      </c>
      <c r="L399" s="153" t="str">
        <f>IFERROR(__xludf.DUMMYFUNCTION("""COMPUTED_VALUE"""),"")</f>
        <v/>
      </c>
      <c r="M399" s="136" t="str">
        <f t="shared" si="1"/>
        <v/>
      </c>
      <c r="N399" s="136" t="str">
        <f>IFERROR(__xludf.DUMMYFUNCTION("""COMPUTED_VALUE"""),"")</f>
        <v/>
      </c>
      <c r="O399" s="141" t="s">
        <v>133</v>
      </c>
      <c r="P399" s="136" t="str">
        <f>IFERROR(__xludf.DUMMYFUNCTION("""COMPUTED_VALUE"""),"")</f>
        <v/>
      </c>
      <c r="Q399" s="136" t="str">
        <f>IFERROR(__xludf.DUMMYFUNCTION("""COMPUTED_VALUE"""),"")</f>
        <v/>
      </c>
      <c r="R399" s="106" t="str">
        <f>IFERROR(__xludf.DUMMYFUNCTION("""COMPUTED_VALUE"""),"")</f>
        <v/>
      </c>
      <c r="S399" s="106" t="str">
        <f>IFERROR(__xludf.DUMMYFUNCTION("""COMPUTED_VALUE"""),"")</f>
        <v/>
      </c>
      <c r="T399" s="139" t="str">
        <f>IFERROR(__xludf.DUMMYFUNCTION("""COMPUTED_VALUE"""),"")</f>
        <v/>
      </c>
      <c r="U399" s="139" t="str">
        <f>IFERROR(__xludf.DUMMYFUNCTION("""COMPUTED_VALUE"""),"")</f>
        <v/>
      </c>
      <c r="V399" s="136" t="str">
        <f>IFERROR(__xludf.DUMMYFUNCTION("""COMPUTED_VALUE"""),"")</f>
        <v/>
      </c>
      <c r="W399" s="106" t="str">
        <f>IFERROR(__xludf.DUMMYFUNCTION("""COMPUTED_VALUE"""),"")</f>
        <v/>
      </c>
      <c r="X399" s="143" t="str">
        <f t="shared" si="2"/>
        <v/>
      </c>
      <c r="Y399" s="139" t="str">
        <f>IFERROR(__xludf.DUMMYFUNCTION("""COMPUTED_VALUE"""),"")</f>
        <v/>
      </c>
      <c r="Z399" s="141" t="str">
        <f>IFERROR(__xludf.DUMMYFUNCTION("""COMPUTED_VALUE"""),"")</f>
        <v/>
      </c>
    </row>
    <row r="400">
      <c r="A400" s="136"/>
      <c r="B400" s="136"/>
      <c r="C400" s="136" t="str">
        <f>IFERROR(__xludf.DUMMYFUNCTION("""COMPUTED_VALUE"""),"")</f>
        <v/>
      </c>
      <c r="D400" s="136" t="str">
        <f t="shared" si="3"/>
        <v/>
      </c>
      <c r="E400" s="152" t="str">
        <f>IFERROR(__xludf.DUMMYFUNCTION("""COMPUTED_VALUE"""),"")</f>
        <v/>
      </c>
      <c r="F400" s="106" t="s">
        <v>133</v>
      </c>
      <c r="G400" s="152" t="str">
        <f>IFERROR(__xludf.DUMMYFUNCTION("""COMPUTED_VALUE"""),"")</f>
        <v/>
      </c>
      <c r="H400" s="106" t="s">
        <v>133</v>
      </c>
      <c r="I400" s="136"/>
      <c r="J400" s="139" t="s">
        <v>133</v>
      </c>
      <c r="K400" s="136" t="s">
        <v>133</v>
      </c>
      <c r="L400" s="153" t="str">
        <f>IFERROR(__xludf.DUMMYFUNCTION("""COMPUTED_VALUE"""),"")</f>
        <v/>
      </c>
      <c r="M400" s="136" t="str">
        <f t="shared" si="1"/>
        <v/>
      </c>
      <c r="N400" s="136" t="str">
        <f>IFERROR(__xludf.DUMMYFUNCTION("""COMPUTED_VALUE"""),"")</f>
        <v/>
      </c>
      <c r="O400" s="141" t="s">
        <v>133</v>
      </c>
      <c r="P400" s="136" t="str">
        <f>IFERROR(__xludf.DUMMYFUNCTION("""COMPUTED_VALUE"""),"")</f>
        <v/>
      </c>
      <c r="Q400" s="136" t="str">
        <f>IFERROR(__xludf.DUMMYFUNCTION("""COMPUTED_VALUE"""),"")</f>
        <v/>
      </c>
      <c r="R400" s="106" t="str">
        <f>IFERROR(__xludf.DUMMYFUNCTION("""COMPUTED_VALUE"""),"")</f>
        <v/>
      </c>
      <c r="S400" s="106" t="str">
        <f>IFERROR(__xludf.DUMMYFUNCTION("""COMPUTED_VALUE"""),"")</f>
        <v/>
      </c>
      <c r="T400" s="139" t="str">
        <f>IFERROR(__xludf.DUMMYFUNCTION("""COMPUTED_VALUE"""),"")</f>
        <v/>
      </c>
      <c r="U400" s="139" t="str">
        <f>IFERROR(__xludf.DUMMYFUNCTION("""COMPUTED_VALUE"""),"")</f>
        <v/>
      </c>
      <c r="V400" s="136" t="str">
        <f>IFERROR(__xludf.DUMMYFUNCTION("""COMPUTED_VALUE"""),"")</f>
        <v/>
      </c>
      <c r="W400" s="106" t="str">
        <f>IFERROR(__xludf.DUMMYFUNCTION("""COMPUTED_VALUE"""),"")</f>
        <v/>
      </c>
      <c r="X400" s="143" t="str">
        <f t="shared" si="2"/>
        <v/>
      </c>
      <c r="Y400" s="139" t="str">
        <f>IFERROR(__xludf.DUMMYFUNCTION("""COMPUTED_VALUE"""),"")</f>
        <v/>
      </c>
      <c r="Z400" s="141" t="str">
        <f>IFERROR(__xludf.DUMMYFUNCTION("""COMPUTED_VALUE"""),"")</f>
        <v/>
      </c>
    </row>
    <row r="401">
      <c r="A401" s="136"/>
      <c r="B401" s="136"/>
      <c r="C401" s="136" t="str">
        <f>IFERROR(__xludf.DUMMYFUNCTION("""COMPUTED_VALUE"""),"")</f>
        <v/>
      </c>
      <c r="D401" s="136" t="str">
        <f t="shared" si="3"/>
        <v/>
      </c>
      <c r="E401" s="152" t="str">
        <f>IFERROR(__xludf.DUMMYFUNCTION("""COMPUTED_VALUE"""),"")</f>
        <v/>
      </c>
      <c r="F401" s="106" t="s">
        <v>133</v>
      </c>
      <c r="G401" s="152" t="str">
        <f>IFERROR(__xludf.DUMMYFUNCTION("""COMPUTED_VALUE"""),"")</f>
        <v/>
      </c>
      <c r="H401" s="106" t="s">
        <v>133</v>
      </c>
      <c r="I401" s="136"/>
      <c r="J401" s="139" t="s">
        <v>133</v>
      </c>
      <c r="K401" s="136" t="s">
        <v>133</v>
      </c>
      <c r="L401" s="153" t="str">
        <f>IFERROR(__xludf.DUMMYFUNCTION("""COMPUTED_VALUE"""),"")</f>
        <v/>
      </c>
      <c r="M401" s="136" t="str">
        <f t="shared" si="1"/>
        <v/>
      </c>
      <c r="N401" s="136" t="str">
        <f>IFERROR(__xludf.DUMMYFUNCTION("""COMPUTED_VALUE"""),"")</f>
        <v/>
      </c>
      <c r="O401" s="141" t="s">
        <v>133</v>
      </c>
      <c r="P401" s="136" t="str">
        <f>IFERROR(__xludf.DUMMYFUNCTION("""COMPUTED_VALUE"""),"")</f>
        <v/>
      </c>
      <c r="Q401" s="136" t="str">
        <f>IFERROR(__xludf.DUMMYFUNCTION("""COMPUTED_VALUE"""),"")</f>
        <v/>
      </c>
      <c r="R401" s="106" t="str">
        <f>IFERROR(__xludf.DUMMYFUNCTION("""COMPUTED_VALUE"""),"")</f>
        <v/>
      </c>
      <c r="S401" s="106" t="str">
        <f>IFERROR(__xludf.DUMMYFUNCTION("""COMPUTED_VALUE"""),"")</f>
        <v/>
      </c>
      <c r="T401" s="139" t="str">
        <f>IFERROR(__xludf.DUMMYFUNCTION("""COMPUTED_VALUE"""),"")</f>
        <v/>
      </c>
      <c r="U401" s="139" t="str">
        <f>IFERROR(__xludf.DUMMYFUNCTION("""COMPUTED_VALUE"""),"")</f>
        <v/>
      </c>
      <c r="V401" s="136" t="str">
        <f>IFERROR(__xludf.DUMMYFUNCTION("""COMPUTED_VALUE"""),"")</f>
        <v/>
      </c>
      <c r="W401" s="106" t="str">
        <f>IFERROR(__xludf.DUMMYFUNCTION("""COMPUTED_VALUE"""),"")</f>
        <v/>
      </c>
      <c r="X401" s="143" t="str">
        <f t="shared" si="2"/>
        <v/>
      </c>
      <c r="Y401" s="139" t="str">
        <f>IFERROR(__xludf.DUMMYFUNCTION("""COMPUTED_VALUE"""),"")</f>
        <v/>
      </c>
      <c r="Z401" s="141" t="str">
        <f>IFERROR(__xludf.DUMMYFUNCTION("""COMPUTED_VALUE"""),"")</f>
        <v/>
      </c>
    </row>
    <row r="402">
      <c r="A402" s="136"/>
      <c r="B402" s="136"/>
      <c r="C402" s="136" t="str">
        <f>IFERROR(__xludf.DUMMYFUNCTION("""COMPUTED_VALUE"""),"")</f>
        <v/>
      </c>
      <c r="D402" s="136" t="str">
        <f t="shared" si="3"/>
        <v/>
      </c>
      <c r="E402" s="152" t="str">
        <f>IFERROR(__xludf.DUMMYFUNCTION("""COMPUTED_VALUE"""),"")</f>
        <v/>
      </c>
      <c r="F402" s="106" t="s">
        <v>133</v>
      </c>
      <c r="G402" s="152" t="str">
        <f>IFERROR(__xludf.DUMMYFUNCTION("""COMPUTED_VALUE"""),"")</f>
        <v/>
      </c>
      <c r="H402" s="106" t="s">
        <v>133</v>
      </c>
      <c r="I402" s="136"/>
      <c r="J402" s="139" t="s">
        <v>133</v>
      </c>
      <c r="K402" s="136" t="s">
        <v>133</v>
      </c>
      <c r="L402" s="153" t="str">
        <f>IFERROR(__xludf.DUMMYFUNCTION("""COMPUTED_VALUE"""),"")</f>
        <v/>
      </c>
      <c r="M402" s="136" t="str">
        <f t="shared" si="1"/>
        <v/>
      </c>
      <c r="N402" s="136" t="str">
        <f>IFERROR(__xludf.DUMMYFUNCTION("""COMPUTED_VALUE"""),"")</f>
        <v/>
      </c>
      <c r="O402" s="141" t="s">
        <v>133</v>
      </c>
      <c r="P402" s="136" t="str">
        <f>IFERROR(__xludf.DUMMYFUNCTION("""COMPUTED_VALUE"""),"")</f>
        <v/>
      </c>
      <c r="Q402" s="136" t="str">
        <f>IFERROR(__xludf.DUMMYFUNCTION("""COMPUTED_VALUE"""),"")</f>
        <v/>
      </c>
      <c r="R402" s="106" t="str">
        <f>IFERROR(__xludf.DUMMYFUNCTION("""COMPUTED_VALUE"""),"")</f>
        <v/>
      </c>
      <c r="S402" s="106" t="str">
        <f>IFERROR(__xludf.DUMMYFUNCTION("""COMPUTED_VALUE"""),"")</f>
        <v/>
      </c>
      <c r="T402" s="139" t="str">
        <f>IFERROR(__xludf.DUMMYFUNCTION("""COMPUTED_VALUE"""),"")</f>
        <v/>
      </c>
      <c r="U402" s="139" t="str">
        <f>IFERROR(__xludf.DUMMYFUNCTION("""COMPUTED_VALUE"""),"")</f>
        <v/>
      </c>
      <c r="V402" s="136" t="str">
        <f>IFERROR(__xludf.DUMMYFUNCTION("""COMPUTED_VALUE"""),"")</f>
        <v/>
      </c>
      <c r="W402" s="106" t="str">
        <f>IFERROR(__xludf.DUMMYFUNCTION("""COMPUTED_VALUE"""),"")</f>
        <v/>
      </c>
      <c r="X402" s="143" t="str">
        <f t="shared" si="2"/>
        <v/>
      </c>
      <c r="Y402" s="139" t="str">
        <f>IFERROR(__xludf.DUMMYFUNCTION("""COMPUTED_VALUE"""),"")</f>
        <v/>
      </c>
      <c r="Z402" s="141" t="str">
        <f>IFERROR(__xludf.DUMMYFUNCTION("""COMPUTED_VALUE"""),"")</f>
        <v/>
      </c>
    </row>
    <row r="403">
      <c r="A403" s="136"/>
      <c r="B403" s="136"/>
      <c r="C403" s="136" t="str">
        <f>IFERROR(__xludf.DUMMYFUNCTION("""COMPUTED_VALUE"""),"")</f>
        <v/>
      </c>
      <c r="D403" s="136" t="str">
        <f t="shared" si="3"/>
        <v/>
      </c>
      <c r="E403" s="152" t="str">
        <f>IFERROR(__xludf.DUMMYFUNCTION("""COMPUTED_VALUE"""),"")</f>
        <v/>
      </c>
      <c r="F403" s="106" t="s">
        <v>133</v>
      </c>
      <c r="G403" s="152" t="str">
        <f>IFERROR(__xludf.DUMMYFUNCTION("""COMPUTED_VALUE"""),"")</f>
        <v/>
      </c>
      <c r="H403" s="106" t="s">
        <v>133</v>
      </c>
      <c r="I403" s="136"/>
      <c r="J403" s="139" t="s">
        <v>133</v>
      </c>
      <c r="K403" s="136" t="s">
        <v>133</v>
      </c>
      <c r="L403" s="153" t="str">
        <f>IFERROR(__xludf.DUMMYFUNCTION("""COMPUTED_VALUE"""),"")</f>
        <v/>
      </c>
      <c r="M403" s="136" t="str">
        <f t="shared" si="1"/>
        <v/>
      </c>
      <c r="N403" s="136" t="str">
        <f>IFERROR(__xludf.DUMMYFUNCTION("""COMPUTED_VALUE"""),"")</f>
        <v/>
      </c>
      <c r="O403" s="141" t="s">
        <v>133</v>
      </c>
      <c r="P403" s="136" t="str">
        <f>IFERROR(__xludf.DUMMYFUNCTION("""COMPUTED_VALUE"""),"")</f>
        <v/>
      </c>
      <c r="Q403" s="136" t="str">
        <f>IFERROR(__xludf.DUMMYFUNCTION("""COMPUTED_VALUE"""),"")</f>
        <v/>
      </c>
      <c r="R403" s="106" t="str">
        <f>IFERROR(__xludf.DUMMYFUNCTION("""COMPUTED_VALUE"""),"")</f>
        <v/>
      </c>
      <c r="S403" s="106" t="str">
        <f>IFERROR(__xludf.DUMMYFUNCTION("""COMPUTED_VALUE"""),"")</f>
        <v/>
      </c>
      <c r="T403" s="139" t="str">
        <f>IFERROR(__xludf.DUMMYFUNCTION("""COMPUTED_VALUE"""),"")</f>
        <v/>
      </c>
      <c r="U403" s="139" t="str">
        <f>IFERROR(__xludf.DUMMYFUNCTION("""COMPUTED_VALUE"""),"")</f>
        <v/>
      </c>
      <c r="V403" s="136" t="str">
        <f>IFERROR(__xludf.DUMMYFUNCTION("""COMPUTED_VALUE"""),"")</f>
        <v/>
      </c>
      <c r="W403" s="106" t="str">
        <f>IFERROR(__xludf.DUMMYFUNCTION("""COMPUTED_VALUE"""),"")</f>
        <v/>
      </c>
      <c r="X403" s="143" t="str">
        <f t="shared" si="2"/>
        <v/>
      </c>
      <c r="Y403" s="139" t="str">
        <f>IFERROR(__xludf.DUMMYFUNCTION("""COMPUTED_VALUE"""),"")</f>
        <v/>
      </c>
      <c r="Z403" s="141" t="str">
        <f>IFERROR(__xludf.DUMMYFUNCTION("""COMPUTED_VALUE"""),"")</f>
        <v/>
      </c>
    </row>
    <row r="404">
      <c r="A404" s="136"/>
      <c r="B404" s="136"/>
      <c r="C404" s="136" t="str">
        <f>IFERROR(__xludf.DUMMYFUNCTION("""COMPUTED_VALUE"""),"")</f>
        <v/>
      </c>
      <c r="D404" s="136" t="str">
        <f t="shared" si="3"/>
        <v/>
      </c>
      <c r="E404" s="152" t="str">
        <f>IFERROR(__xludf.DUMMYFUNCTION("""COMPUTED_VALUE"""),"")</f>
        <v/>
      </c>
      <c r="F404" s="106" t="s">
        <v>133</v>
      </c>
      <c r="G404" s="152" t="str">
        <f>IFERROR(__xludf.DUMMYFUNCTION("""COMPUTED_VALUE"""),"")</f>
        <v/>
      </c>
      <c r="H404" s="106" t="s">
        <v>133</v>
      </c>
      <c r="I404" s="136"/>
      <c r="J404" s="139" t="s">
        <v>133</v>
      </c>
      <c r="K404" s="136" t="s">
        <v>133</v>
      </c>
      <c r="L404" s="153" t="str">
        <f>IFERROR(__xludf.DUMMYFUNCTION("""COMPUTED_VALUE"""),"")</f>
        <v/>
      </c>
      <c r="M404" s="136" t="str">
        <f t="shared" si="1"/>
        <v/>
      </c>
      <c r="N404" s="136" t="str">
        <f>IFERROR(__xludf.DUMMYFUNCTION("""COMPUTED_VALUE"""),"")</f>
        <v/>
      </c>
      <c r="O404" s="141" t="s">
        <v>133</v>
      </c>
      <c r="P404" s="136" t="str">
        <f>IFERROR(__xludf.DUMMYFUNCTION("""COMPUTED_VALUE"""),"")</f>
        <v/>
      </c>
      <c r="Q404" s="136" t="str">
        <f>IFERROR(__xludf.DUMMYFUNCTION("""COMPUTED_VALUE"""),"")</f>
        <v/>
      </c>
      <c r="R404" s="106" t="str">
        <f>IFERROR(__xludf.DUMMYFUNCTION("""COMPUTED_VALUE"""),"")</f>
        <v/>
      </c>
      <c r="S404" s="106" t="str">
        <f>IFERROR(__xludf.DUMMYFUNCTION("""COMPUTED_VALUE"""),"")</f>
        <v/>
      </c>
      <c r="T404" s="139" t="str">
        <f>IFERROR(__xludf.DUMMYFUNCTION("""COMPUTED_VALUE"""),"")</f>
        <v/>
      </c>
      <c r="U404" s="139" t="str">
        <f>IFERROR(__xludf.DUMMYFUNCTION("""COMPUTED_VALUE"""),"")</f>
        <v/>
      </c>
      <c r="V404" s="136" t="str">
        <f>IFERROR(__xludf.DUMMYFUNCTION("""COMPUTED_VALUE"""),"")</f>
        <v/>
      </c>
      <c r="W404" s="106" t="str">
        <f>IFERROR(__xludf.DUMMYFUNCTION("""COMPUTED_VALUE"""),"")</f>
        <v/>
      </c>
      <c r="X404" s="143" t="str">
        <f t="shared" si="2"/>
        <v/>
      </c>
      <c r="Y404" s="139" t="str">
        <f>IFERROR(__xludf.DUMMYFUNCTION("""COMPUTED_VALUE"""),"")</f>
        <v/>
      </c>
      <c r="Z404" s="141" t="str">
        <f>IFERROR(__xludf.DUMMYFUNCTION("""COMPUTED_VALUE"""),"")</f>
        <v/>
      </c>
    </row>
    <row r="405">
      <c r="A405" s="136"/>
      <c r="B405" s="136"/>
      <c r="C405" s="136" t="str">
        <f>IFERROR(__xludf.DUMMYFUNCTION("""COMPUTED_VALUE"""),"")</f>
        <v/>
      </c>
      <c r="D405" s="136" t="str">
        <f t="shared" si="3"/>
        <v/>
      </c>
      <c r="E405" s="152" t="str">
        <f>IFERROR(__xludf.DUMMYFUNCTION("""COMPUTED_VALUE"""),"")</f>
        <v/>
      </c>
      <c r="F405" s="106" t="s">
        <v>133</v>
      </c>
      <c r="G405" s="152" t="str">
        <f>IFERROR(__xludf.DUMMYFUNCTION("""COMPUTED_VALUE"""),"")</f>
        <v/>
      </c>
      <c r="H405" s="106" t="s">
        <v>133</v>
      </c>
      <c r="I405" s="136"/>
      <c r="J405" s="139" t="s">
        <v>133</v>
      </c>
      <c r="K405" s="136" t="s">
        <v>133</v>
      </c>
      <c r="L405" s="153" t="str">
        <f>IFERROR(__xludf.DUMMYFUNCTION("""COMPUTED_VALUE"""),"")</f>
        <v/>
      </c>
      <c r="M405" s="136" t="str">
        <f t="shared" si="1"/>
        <v/>
      </c>
      <c r="N405" s="136" t="str">
        <f>IFERROR(__xludf.DUMMYFUNCTION("""COMPUTED_VALUE"""),"")</f>
        <v/>
      </c>
      <c r="O405" s="141" t="s">
        <v>133</v>
      </c>
      <c r="P405" s="136" t="str">
        <f>IFERROR(__xludf.DUMMYFUNCTION("""COMPUTED_VALUE"""),"")</f>
        <v/>
      </c>
      <c r="Q405" s="136" t="str">
        <f>IFERROR(__xludf.DUMMYFUNCTION("""COMPUTED_VALUE"""),"")</f>
        <v/>
      </c>
      <c r="R405" s="106" t="str">
        <f>IFERROR(__xludf.DUMMYFUNCTION("""COMPUTED_VALUE"""),"")</f>
        <v/>
      </c>
      <c r="S405" s="106" t="str">
        <f>IFERROR(__xludf.DUMMYFUNCTION("""COMPUTED_VALUE"""),"")</f>
        <v/>
      </c>
      <c r="T405" s="139" t="str">
        <f>IFERROR(__xludf.DUMMYFUNCTION("""COMPUTED_VALUE"""),"")</f>
        <v/>
      </c>
      <c r="U405" s="139" t="str">
        <f>IFERROR(__xludf.DUMMYFUNCTION("""COMPUTED_VALUE"""),"")</f>
        <v/>
      </c>
      <c r="V405" s="136" t="str">
        <f>IFERROR(__xludf.DUMMYFUNCTION("""COMPUTED_VALUE"""),"")</f>
        <v/>
      </c>
      <c r="W405" s="106" t="str">
        <f>IFERROR(__xludf.DUMMYFUNCTION("""COMPUTED_VALUE"""),"")</f>
        <v/>
      </c>
      <c r="X405" s="143" t="str">
        <f t="shared" si="2"/>
        <v/>
      </c>
      <c r="Y405" s="139" t="str">
        <f>IFERROR(__xludf.DUMMYFUNCTION("""COMPUTED_VALUE"""),"")</f>
        <v/>
      </c>
      <c r="Z405" s="141" t="str">
        <f>IFERROR(__xludf.DUMMYFUNCTION("""COMPUTED_VALUE"""),"")</f>
        <v/>
      </c>
    </row>
    <row r="406">
      <c r="A406" s="136"/>
      <c r="B406" s="136"/>
      <c r="C406" s="136" t="str">
        <f>IFERROR(__xludf.DUMMYFUNCTION("""COMPUTED_VALUE"""),"")</f>
        <v/>
      </c>
      <c r="D406" s="136" t="str">
        <f t="shared" si="3"/>
        <v/>
      </c>
      <c r="E406" s="152" t="str">
        <f>IFERROR(__xludf.DUMMYFUNCTION("""COMPUTED_VALUE"""),"")</f>
        <v/>
      </c>
      <c r="F406" s="106" t="s">
        <v>133</v>
      </c>
      <c r="G406" s="152" t="str">
        <f>IFERROR(__xludf.DUMMYFUNCTION("""COMPUTED_VALUE"""),"")</f>
        <v/>
      </c>
      <c r="H406" s="106" t="s">
        <v>133</v>
      </c>
      <c r="I406" s="136"/>
      <c r="J406" s="139" t="s">
        <v>133</v>
      </c>
      <c r="K406" s="136" t="s">
        <v>133</v>
      </c>
      <c r="L406" s="153" t="str">
        <f>IFERROR(__xludf.DUMMYFUNCTION("""COMPUTED_VALUE"""),"")</f>
        <v/>
      </c>
      <c r="M406" s="136" t="str">
        <f t="shared" si="1"/>
        <v/>
      </c>
      <c r="N406" s="136" t="str">
        <f>IFERROR(__xludf.DUMMYFUNCTION("""COMPUTED_VALUE"""),"")</f>
        <v/>
      </c>
      <c r="O406" s="141" t="s">
        <v>133</v>
      </c>
      <c r="P406" s="136" t="str">
        <f>IFERROR(__xludf.DUMMYFUNCTION("""COMPUTED_VALUE"""),"")</f>
        <v/>
      </c>
      <c r="Q406" s="136" t="str">
        <f>IFERROR(__xludf.DUMMYFUNCTION("""COMPUTED_VALUE"""),"")</f>
        <v/>
      </c>
      <c r="R406" s="106" t="str">
        <f>IFERROR(__xludf.DUMMYFUNCTION("""COMPUTED_VALUE"""),"")</f>
        <v/>
      </c>
      <c r="S406" s="106" t="str">
        <f>IFERROR(__xludf.DUMMYFUNCTION("""COMPUTED_VALUE"""),"")</f>
        <v/>
      </c>
      <c r="T406" s="139" t="str">
        <f>IFERROR(__xludf.DUMMYFUNCTION("""COMPUTED_VALUE"""),"")</f>
        <v/>
      </c>
      <c r="U406" s="139" t="str">
        <f>IFERROR(__xludf.DUMMYFUNCTION("""COMPUTED_VALUE"""),"")</f>
        <v/>
      </c>
      <c r="V406" s="136" t="str">
        <f>IFERROR(__xludf.DUMMYFUNCTION("""COMPUTED_VALUE"""),"")</f>
        <v/>
      </c>
      <c r="W406" s="106" t="str">
        <f>IFERROR(__xludf.DUMMYFUNCTION("""COMPUTED_VALUE"""),"")</f>
        <v/>
      </c>
      <c r="X406" s="143" t="str">
        <f t="shared" si="2"/>
        <v/>
      </c>
      <c r="Y406" s="139" t="str">
        <f>IFERROR(__xludf.DUMMYFUNCTION("""COMPUTED_VALUE"""),"")</f>
        <v/>
      </c>
      <c r="Z406" s="141" t="str">
        <f>IFERROR(__xludf.DUMMYFUNCTION("""COMPUTED_VALUE"""),"")</f>
        <v/>
      </c>
    </row>
    <row r="407">
      <c r="A407" s="136"/>
      <c r="B407" s="136"/>
      <c r="C407" s="136" t="str">
        <f>IFERROR(__xludf.DUMMYFUNCTION("""COMPUTED_VALUE"""),"")</f>
        <v/>
      </c>
      <c r="D407" s="136" t="str">
        <f t="shared" si="3"/>
        <v/>
      </c>
      <c r="E407" s="152" t="str">
        <f>IFERROR(__xludf.DUMMYFUNCTION("""COMPUTED_VALUE"""),"")</f>
        <v/>
      </c>
      <c r="F407" s="106" t="s">
        <v>133</v>
      </c>
      <c r="G407" s="152" t="str">
        <f>IFERROR(__xludf.DUMMYFUNCTION("""COMPUTED_VALUE"""),"")</f>
        <v/>
      </c>
      <c r="H407" s="106" t="s">
        <v>133</v>
      </c>
      <c r="I407" s="136"/>
      <c r="J407" s="139" t="s">
        <v>133</v>
      </c>
      <c r="K407" s="136" t="s">
        <v>133</v>
      </c>
      <c r="L407" s="153" t="str">
        <f>IFERROR(__xludf.DUMMYFUNCTION("""COMPUTED_VALUE"""),"")</f>
        <v/>
      </c>
      <c r="M407" s="136" t="str">
        <f t="shared" si="1"/>
        <v/>
      </c>
      <c r="N407" s="136" t="str">
        <f>IFERROR(__xludf.DUMMYFUNCTION("""COMPUTED_VALUE"""),"")</f>
        <v/>
      </c>
      <c r="O407" s="141" t="s">
        <v>133</v>
      </c>
      <c r="P407" s="136" t="str">
        <f>IFERROR(__xludf.DUMMYFUNCTION("""COMPUTED_VALUE"""),"")</f>
        <v/>
      </c>
      <c r="Q407" s="136" t="str">
        <f>IFERROR(__xludf.DUMMYFUNCTION("""COMPUTED_VALUE"""),"")</f>
        <v/>
      </c>
      <c r="R407" s="106" t="str">
        <f>IFERROR(__xludf.DUMMYFUNCTION("""COMPUTED_VALUE"""),"")</f>
        <v/>
      </c>
      <c r="S407" s="106" t="str">
        <f>IFERROR(__xludf.DUMMYFUNCTION("""COMPUTED_VALUE"""),"")</f>
        <v/>
      </c>
      <c r="T407" s="139" t="str">
        <f>IFERROR(__xludf.DUMMYFUNCTION("""COMPUTED_VALUE"""),"")</f>
        <v/>
      </c>
      <c r="U407" s="139" t="str">
        <f>IFERROR(__xludf.DUMMYFUNCTION("""COMPUTED_VALUE"""),"")</f>
        <v/>
      </c>
      <c r="V407" s="136" t="str">
        <f>IFERROR(__xludf.DUMMYFUNCTION("""COMPUTED_VALUE"""),"")</f>
        <v/>
      </c>
      <c r="W407" s="106" t="str">
        <f>IFERROR(__xludf.DUMMYFUNCTION("""COMPUTED_VALUE"""),"")</f>
        <v/>
      </c>
      <c r="X407" s="143" t="str">
        <f t="shared" si="2"/>
        <v/>
      </c>
      <c r="Y407" s="139" t="str">
        <f>IFERROR(__xludf.DUMMYFUNCTION("""COMPUTED_VALUE"""),"")</f>
        <v/>
      </c>
      <c r="Z407" s="141" t="str">
        <f>IFERROR(__xludf.DUMMYFUNCTION("""COMPUTED_VALUE"""),"")</f>
        <v/>
      </c>
    </row>
    <row r="408">
      <c r="A408" s="136"/>
      <c r="B408" s="136"/>
      <c r="C408" s="136" t="str">
        <f>IFERROR(__xludf.DUMMYFUNCTION("""COMPUTED_VALUE"""),"")</f>
        <v/>
      </c>
      <c r="D408" s="136" t="str">
        <f t="shared" si="3"/>
        <v/>
      </c>
      <c r="E408" s="152" t="str">
        <f>IFERROR(__xludf.DUMMYFUNCTION("""COMPUTED_VALUE"""),"")</f>
        <v/>
      </c>
      <c r="F408" s="106" t="s">
        <v>133</v>
      </c>
      <c r="G408" s="152" t="str">
        <f>IFERROR(__xludf.DUMMYFUNCTION("""COMPUTED_VALUE"""),"")</f>
        <v/>
      </c>
      <c r="H408" s="106" t="s">
        <v>133</v>
      </c>
      <c r="I408" s="136"/>
      <c r="J408" s="139" t="s">
        <v>133</v>
      </c>
      <c r="K408" s="136" t="s">
        <v>133</v>
      </c>
      <c r="L408" s="153" t="str">
        <f>IFERROR(__xludf.DUMMYFUNCTION("""COMPUTED_VALUE"""),"")</f>
        <v/>
      </c>
      <c r="M408" s="136" t="str">
        <f t="shared" si="1"/>
        <v/>
      </c>
      <c r="N408" s="136" t="str">
        <f>IFERROR(__xludf.DUMMYFUNCTION("""COMPUTED_VALUE"""),"")</f>
        <v/>
      </c>
      <c r="O408" s="141" t="s">
        <v>133</v>
      </c>
      <c r="P408" s="136" t="str">
        <f>IFERROR(__xludf.DUMMYFUNCTION("""COMPUTED_VALUE"""),"")</f>
        <v/>
      </c>
      <c r="Q408" s="136" t="str">
        <f>IFERROR(__xludf.DUMMYFUNCTION("""COMPUTED_VALUE"""),"")</f>
        <v/>
      </c>
      <c r="R408" s="106" t="str">
        <f>IFERROR(__xludf.DUMMYFUNCTION("""COMPUTED_VALUE"""),"")</f>
        <v/>
      </c>
      <c r="S408" s="106" t="str">
        <f>IFERROR(__xludf.DUMMYFUNCTION("""COMPUTED_VALUE"""),"")</f>
        <v/>
      </c>
      <c r="T408" s="139" t="str">
        <f>IFERROR(__xludf.DUMMYFUNCTION("""COMPUTED_VALUE"""),"")</f>
        <v/>
      </c>
      <c r="U408" s="139" t="str">
        <f>IFERROR(__xludf.DUMMYFUNCTION("""COMPUTED_VALUE"""),"")</f>
        <v/>
      </c>
      <c r="V408" s="136" t="str">
        <f>IFERROR(__xludf.DUMMYFUNCTION("""COMPUTED_VALUE"""),"")</f>
        <v/>
      </c>
      <c r="W408" s="106" t="str">
        <f>IFERROR(__xludf.DUMMYFUNCTION("""COMPUTED_VALUE"""),"")</f>
        <v/>
      </c>
      <c r="X408" s="143" t="str">
        <f t="shared" si="2"/>
        <v/>
      </c>
      <c r="Y408" s="139" t="str">
        <f>IFERROR(__xludf.DUMMYFUNCTION("""COMPUTED_VALUE"""),"")</f>
        <v/>
      </c>
      <c r="Z408" s="141" t="str">
        <f>IFERROR(__xludf.DUMMYFUNCTION("""COMPUTED_VALUE"""),"")</f>
        <v/>
      </c>
    </row>
    <row r="409">
      <c r="A409" s="136"/>
      <c r="B409" s="136"/>
      <c r="C409" s="136" t="str">
        <f>IFERROR(__xludf.DUMMYFUNCTION("""COMPUTED_VALUE"""),"")</f>
        <v/>
      </c>
      <c r="D409" s="136" t="str">
        <f t="shared" si="3"/>
        <v/>
      </c>
      <c r="E409" s="152" t="str">
        <f>IFERROR(__xludf.DUMMYFUNCTION("""COMPUTED_VALUE"""),"")</f>
        <v/>
      </c>
      <c r="F409" s="106" t="s">
        <v>133</v>
      </c>
      <c r="G409" s="152" t="str">
        <f>IFERROR(__xludf.DUMMYFUNCTION("""COMPUTED_VALUE"""),"")</f>
        <v/>
      </c>
      <c r="H409" s="106" t="s">
        <v>133</v>
      </c>
      <c r="I409" s="136"/>
      <c r="J409" s="139" t="s">
        <v>133</v>
      </c>
      <c r="K409" s="136" t="s">
        <v>133</v>
      </c>
      <c r="L409" s="153" t="str">
        <f>IFERROR(__xludf.DUMMYFUNCTION("""COMPUTED_VALUE"""),"")</f>
        <v/>
      </c>
      <c r="M409" s="136" t="str">
        <f t="shared" si="1"/>
        <v/>
      </c>
      <c r="N409" s="136" t="str">
        <f>IFERROR(__xludf.DUMMYFUNCTION("""COMPUTED_VALUE"""),"")</f>
        <v/>
      </c>
      <c r="O409" s="141" t="s">
        <v>133</v>
      </c>
      <c r="P409" s="136" t="str">
        <f>IFERROR(__xludf.DUMMYFUNCTION("""COMPUTED_VALUE"""),"")</f>
        <v/>
      </c>
      <c r="Q409" s="136" t="str">
        <f>IFERROR(__xludf.DUMMYFUNCTION("""COMPUTED_VALUE"""),"")</f>
        <v/>
      </c>
      <c r="R409" s="106" t="str">
        <f>IFERROR(__xludf.DUMMYFUNCTION("""COMPUTED_VALUE"""),"")</f>
        <v/>
      </c>
      <c r="S409" s="106" t="str">
        <f>IFERROR(__xludf.DUMMYFUNCTION("""COMPUTED_VALUE"""),"")</f>
        <v/>
      </c>
      <c r="T409" s="139" t="str">
        <f>IFERROR(__xludf.DUMMYFUNCTION("""COMPUTED_VALUE"""),"")</f>
        <v/>
      </c>
      <c r="U409" s="139" t="str">
        <f>IFERROR(__xludf.DUMMYFUNCTION("""COMPUTED_VALUE"""),"")</f>
        <v/>
      </c>
      <c r="V409" s="136" t="str">
        <f>IFERROR(__xludf.DUMMYFUNCTION("""COMPUTED_VALUE"""),"")</f>
        <v/>
      </c>
      <c r="W409" s="106" t="str">
        <f>IFERROR(__xludf.DUMMYFUNCTION("""COMPUTED_VALUE"""),"")</f>
        <v/>
      </c>
      <c r="X409" s="143" t="str">
        <f t="shared" si="2"/>
        <v/>
      </c>
      <c r="Y409" s="139" t="str">
        <f>IFERROR(__xludf.DUMMYFUNCTION("""COMPUTED_VALUE"""),"")</f>
        <v/>
      </c>
      <c r="Z409" s="141" t="str">
        <f>IFERROR(__xludf.DUMMYFUNCTION("""COMPUTED_VALUE"""),"")</f>
        <v/>
      </c>
    </row>
    <row r="410">
      <c r="A410" s="136"/>
      <c r="B410" s="136"/>
      <c r="C410" s="136" t="str">
        <f>IFERROR(__xludf.DUMMYFUNCTION("""COMPUTED_VALUE"""),"")</f>
        <v/>
      </c>
      <c r="D410" s="136" t="str">
        <f t="shared" si="3"/>
        <v/>
      </c>
      <c r="E410" s="152" t="str">
        <f>IFERROR(__xludf.DUMMYFUNCTION("""COMPUTED_VALUE"""),"")</f>
        <v/>
      </c>
      <c r="F410" s="106" t="s">
        <v>133</v>
      </c>
      <c r="G410" s="152" t="str">
        <f>IFERROR(__xludf.DUMMYFUNCTION("""COMPUTED_VALUE"""),"")</f>
        <v/>
      </c>
      <c r="H410" s="106" t="s">
        <v>133</v>
      </c>
      <c r="I410" s="136"/>
      <c r="J410" s="139" t="s">
        <v>133</v>
      </c>
      <c r="K410" s="136" t="s">
        <v>133</v>
      </c>
      <c r="L410" s="153" t="str">
        <f>IFERROR(__xludf.DUMMYFUNCTION("""COMPUTED_VALUE"""),"")</f>
        <v/>
      </c>
      <c r="M410" s="136" t="str">
        <f t="shared" si="1"/>
        <v/>
      </c>
      <c r="N410" s="136" t="str">
        <f>IFERROR(__xludf.DUMMYFUNCTION("""COMPUTED_VALUE"""),"")</f>
        <v/>
      </c>
      <c r="O410" s="141" t="s">
        <v>133</v>
      </c>
      <c r="P410" s="136" t="str">
        <f>IFERROR(__xludf.DUMMYFUNCTION("""COMPUTED_VALUE"""),"")</f>
        <v/>
      </c>
      <c r="Q410" s="136" t="str">
        <f>IFERROR(__xludf.DUMMYFUNCTION("""COMPUTED_VALUE"""),"")</f>
        <v/>
      </c>
      <c r="R410" s="106" t="str">
        <f>IFERROR(__xludf.DUMMYFUNCTION("""COMPUTED_VALUE"""),"")</f>
        <v/>
      </c>
      <c r="S410" s="106" t="str">
        <f>IFERROR(__xludf.DUMMYFUNCTION("""COMPUTED_VALUE"""),"")</f>
        <v/>
      </c>
      <c r="T410" s="139" t="str">
        <f>IFERROR(__xludf.DUMMYFUNCTION("""COMPUTED_VALUE"""),"")</f>
        <v/>
      </c>
      <c r="U410" s="139" t="str">
        <f>IFERROR(__xludf.DUMMYFUNCTION("""COMPUTED_VALUE"""),"")</f>
        <v/>
      </c>
      <c r="V410" s="136" t="str">
        <f>IFERROR(__xludf.DUMMYFUNCTION("""COMPUTED_VALUE"""),"")</f>
        <v/>
      </c>
      <c r="W410" s="106" t="str">
        <f>IFERROR(__xludf.DUMMYFUNCTION("""COMPUTED_VALUE"""),"")</f>
        <v/>
      </c>
      <c r="X410" s="143" t="str">
        <f t="shared" si="2"/>
        <v/>
      </c>
      <c r="Y410" s="139" t="str">
        <f>IFERROR(__xludf.DUMMYFUNCTION("""COMPUTED_VALUE"""),"")</f>
        <v/>
      </c>
      <c r="Z410" s="141" t="str">
        <f>IFERROR(__xludf.DUMMYFUNCTION("""COMPUTED_VALUE"""),"")</f>
        <v/>
      </c>
    </row>
    <row r="411">
      <c r="A411" s="136"/>
      <c r="B411" s="136"/>
      <c r="C411" s="136" t="str">
        <f>IFERROR(__xludf.DUMMYFUNCTION("""COMPUTED_VALUE"""),"")</f>
        <v/>
      </c>
      <c r="D411" s="136" t="str">
        <f t="shared" si="3"/>
        <v/>
      </c>
      <c r="E411" s="152" t="str">
        <f>IFERROR(__xludf.DUMMYFUNCTION("""COMPUTED_VALUE"""),"")</f>
        <v/>
      </c>
      <c r="F411" s="106" t="s">
        <v>133</v>
      </c>
      <c r="G411" s="152" t="str">
        <f>IFERROR(__xludf.DUMMYFUNCTION("""COMPUTED_VALUE"""),"")</f>
        <v/>
      </c>
      <c r="H411" s="106" t="s">
        <v>133</v>
      </c>
      <c r="I411" s="136"/>
      <c r="J411" s="139" t="s">
        <v>133</v>
      </c>
      <c r="K411" s="136" t="s">
        <v>133</v>
      </c>
      <c r="L411" s="153" t="str">
        <f>IFERROR(__xludf.DUMMYFUNCTION("""COMPUTED_VALUE"""),"")</f>
        <v/>
      </c>
      <c r="M411" s="136" t="str">
        <f t="shared" si="1"/>
        <v/>
      </c>
      <c r="N411" s="136" t="str">
        <f>IFERROR(__xludf.DUMMYFUNCTION("""COMPUTED_VALUE"""),"")</f>
        <v/>
      </c>
      <c r="O411" s="141" t="s">
        <v>133</v>
      </c>
      <c r="P411" s="136" t="str">
        <f>IFERROR(__xludf.DUMMYFUNCTION("""COMPUTED_VALUE"""),"")</f>
        <v/>
      </c>
      <c r="Q411" s="136" t="str">
        <f>IFERROR(__xludf.DUMMYFUNCTION("""COMPUTED_VALUE"""),"")</f>
        <v/>
      </c>
      <c r="R411" s="106" t="str">
        <f>IFERROR(__xludf.DUMMYFUNCTION("""COMPUTED_VALUE"""),"")</f>
        <v/>
      </c>
      <c r="S411" s="106" t="str">
        <f>IFERROR(__xludf.DUMMYFUNCTION("""COMPUTED_VALUE"""),"")</f>
        <v/>
      </c>
      <c r="T411" s="139" t="str">
        <f>IFERROR(__xludf.DUMMYFUNCTION("""COMPUTED_VALUE"""),"")</f>
        <v/>
      </c>
      <c r="U411" s="139" t="str">
        <f>IFERROR(__xludf.DUMMYFUNCTION("""COMPUTED_VALUE"""),"")</f>
        <v/>
      </c>
      <c r="V411" s="136" t="str">
        <f>IFERROR(__xludf.DUMMYFUNCTION("""COMPUTED_VALUE"""),"")</f>
        <v/>
      </c>
      <c r="W411" s="106" t="str">
        <f>IFERROR(__xludf.DUMMYFUNCTION("""COMPUTED_VALUE"""),"")</f>
        <v/>
      </c>
      <c r="X411" s="143" t="str">
        <f t="shared" si="2"/>
        <v/>
      </c>
      <c r="Y411" s="139" t="str">
        <f>IFERROR(__xludf.DUMMYFUNCTION("""COMPUTED_VALUE"""),"")</f>
        <v/>
      </c>
      <c r="Z411" s="141" t="str">
        <f>IFERROR(__xludf.DUMMYFUNCTION("""COMPUTED_VALUE"""),"")</f>
        <v/>
      </c>
    </row>
    <row r="412">
      <c r="A412" s="136"/>
      <c r="B412" s="136"/>
      <c r="C412" s="136" t="str">
        <f>IFERROR(__xludf.DUMMYFUNCTION("""COMPUTED_VALUE"""),"")</f>
        <v/>
      </c>
      <c r="D412" s="136" t="str">
        <f t="shared" si="3"/>
        <v/>
      </c>
      <c r="E412" s="152" t="str">
        <f>IFERROR(__xludf.DUMMYFUNCTION("""COMPUTED_VALUE"""),"")</f>
        <v/>
      </c>
      <c r="F412" s="106" t="s">
        <v>133</v>
      </c>
      <c r="G412" s="152" t="str">
        <f>IFERROR(__xludf.DUMMYFUNCTION("""COMPUTED_VALUE"""),"")</f>
        <v/>
      </c>
      <c r="H412" s="106" t="s">
        <v>133</v>
      </c>
      <c r="I412" s="136"/>
      <c r="J412" s="139" t="s">
        <v>133</v>
      </c>
      <c r="K412" s="136" t="s">
        <v>133</v>
      </c>
      <c r="L412" s="153" t="str">
        <f>IFERROR(__xludf.DUMMYFUNCTION("""COMPUTED_VALUE"""),"")</f>
        <v/>
      </c>
      <c r="M412" s="136" t="str">
        <f t="shared" si="1"/>
        <v/>
      </c>
      <c r="N412" s="136" t="str">
        <f>IFERROR(__xludf.DUMMYFUNCTION("""COMPUTED_VALUE"""),"")</f>
        <v/>
      </c>
      <c r="O412" s="141" t="s">
        <v>133</v>
      </c>
      <c r="P412" s="136" t="str">
        <f>IFERROR(__xludf.DUMMYFUNCTION("""COMPUTED_VALUE"""),"")</f>
        <v/>
      </c>
      <c r="Q412" s="136" t="str">
        <f>IFERROR(__xludf.DUMMYFUNCTION("""COMPUTED_VALUE"""),"")</f>
        <v/>
      </c>
      <c r="R412" s="106" t="str">
        <f>IFERROR(__xludf.DUMMYFUNCTION("""COMPUTED_VALUE"""),"")</f>
        <v/>
      </c>
      <c r="S412" s="106" t="str">
        <f>IFERROR(__xludf.DUMMYFUNCTION("""COMPUTED_VALUE"""),"")</f>
        <v/>
      </c>
      <c r="T412" s="139" t="str">
        <f>IFERROR(__xludf.DUMMYFUNCTION("""COMPUTED_VALUE"""),"")</f>
        <v/>
      </c>
      <c r="U412" s="139" t="str">
        <f>IFERROR(__xludf.DUMMYFUNCTION("""COMPUTED_VALUE"""),"")</f>
        <v/>
      </c>
      <c r="V412" s="136" t="str">
        <f>IFERROR(__xludf.DUMMYFUNCTION("""COMPUTED_VALUE"""),"")</f>
        <v/>
      </c>
      <c r="W412" s="106" t="str">
        <f>IFERROR(__xludf.DUMMYFUNCTION("""COMPUTED_VALUE"""),"")</f>
        <v/>
      </c>
      <c r="X412" s="143" t="str">
        <f t="shared" si="2"/>
        <v/>
      </c>
      <c r="Y412" s="139" t="str">
        <f>IFERROR(__xludf.DUMMYFUNCTION("""COMPUTED_VALUE"""),"")</f>
        <v/>
      </c>
      <c r="Z412" s="141" t="str">
        <f>IFERROR(__xludf.DUMMYFUNCTION("""COMPUTED_VALUE"""),"")</f>
        <v/>
      </c>
    </row>
    <row r="413">
      <c r="A413" s="136"/>
      <c r="B413" s="136"/>
      <c r="C413" s="136" t="str">
        <f>IFERROR(__xludf.DUMMYFUNCTION("""COMPUTED_VALUE"""),"")</f>
        <v/>
      </c>
      <c r="D413" s="136" t="str">
        <f t="shared" si="3"/>
        <v/>
      </c>
      <c r="E413" s="152" t="str">
        <f>IFERROR(__xludf.DUMMYFUNCTION("""COMPUTED_VALUE"""),"")</f>
        <v/>
      </c>
      <c r="F413" s="106" t="s">
        <v>133</v>
      </c>
      <c r="G413" s="152" t="str">
        <f>IFERROR(__xludf.DUMMYFUNCTION("""COMPUTED_VALUE"""),"")</f>
        <v/>
      </c>
      <c r="H413" s="106" t="s">
        <v>133</v>
      </c>
      <c r="I413" s="136"/>
      <c r="J413" s="139" t="s">
        <v>133</v>
      </c>
      <c r="K413" s="136" t="s">
        <v>133</v>
      </c>
      <c r="L413" s="153" t="str">
        <f>IFERROR(__xludf.DUMMYFUNCTION("""COMPUTED_VALUE"""),"")</f>
        <v/>
      </c>
      <c r="M413" s="136" t="str">
        <f t="shared" si="1"/>
        <v/>
      </c>
      <c r="N413" s="136" t="str">
        <f>IFERROR(__xludf.DUMMYFUNCTION("""COMPUTED_VALUE"""),"")</f>
        <v/>
      </c>
      <c r="O413" s="141" t="s">
        <v>133</v>
      </c>
      <c r="P413" s="136" t="str">
        <f>IFERROR(__xludf.DUMMYFUNCTION("""COMPUTED_VALUE"""),"")</f>
        <v/>
      </c>
      <c r="Q413" s="136" t="str">
        <f>IFERROR(__xludf.DUMMYFUNCTION("""COMPUTED_VALUE"""),"")</f>
        <v/>
      </c>
      <c r="R413" s="106" t="str">
        <f>IFERROR(__xludf.DUMMYFUNCTION("""COMPUTED_VALUE"""),"")</f>
        <v/>
      </c>
      <c r="S413" s="106" t="str">
        <f>IFERROR(__xludf.DUMMYFUNCTION("""COMPUTED_VALUE"""),"")</f>
        <v/>
      </c>
      <c r="T413" s="139" t="str">
        <f>IFERROR(__xludf.DUMMYFUNCTION("""COMPUTED_VALUE"""),"")</f>
        <v/>
      </c>
      <c r="U413" s="139" t="str">
        <f>IFERROR(__xludf.DUMMYFUNCTION("""COMPUTED_VALUE"""),"")</f>
        <v/>
      </c>
      <c r="V413" s="136" t="str">
        <f>IFERROR(__xludf.DUMMYFUNCTION("""COMPUTED_VALUE"""),"")</f>
        <v/>
      </c>
      <c r="W413" s="106" t="str">
        <f>IFERROR(__xludf.DUMMYFUNCTION("""COMPUTED_VALUE"""),"")</f>
        <v/>
      </c>
      <c r="X413" s="143" t="str">
        <f t="shared" si="2"/>
        <v/>
      </c>
      <c r="Y413" s="139" t="str">
        <f>IFERROR(__xludf.DUMMYFUNCTION("""COMPUTED_VALUE"""),"")</f>
        <v/>
      </c>
      <c r="Z413" s="141" t="str">
        <f>IFERROR(__xludf.DUMMYFUNCTION("""COMPUTED_VALUE"""),"")</f>
        <v/>
      </c>
    </row>
    <row r="414">
      <c r="A414" s="136"/>
      <c r="B414" s="136"/>
      <c r="C414" s="136" t="str">
        <f>IFERROR(__xludf.DUMMYFUNCTION("""COMPUTED_VALUE"""),"")</f>
        <v/>
      </c>
      <c r="D414" s="136" t="str">
        <f t="shared" si="3"/>
        <v/>
      </c>
      <c r="E414" s="152" t="str">
        <f>IFERROR(__xludf.DUMMYFUNCTION("""COMPUTED_VALUE"""),"")</f>
        <v/>
      </c>
      <c r="F414" s="106" t="s">
        <v>133</v>
      </c>
      <c r="G414" s="152" t="str">
        <f>IFERROR(__xludf.DUMMYFUNCTION("""COMPUTED_VALUE"""),"")</f>
        <v/>
      </c>
      <c r="H414" s="106" t="s">
        <v>133</v>
      </c>
      <c r="I414" s="136"/>
      <c r="J414" s="139" t="s">
        <v>133</v>
      </c>
      <c r="K414" s="136" t="s">
        <v>133</v>
      </c>
      <c r="L414" s="153" t="str">
        <f>IFERROR(__xludf.DUMMYFUNCTION("""COMPUTED_VALUE"""),"")</f>
        <v/>
      </c>
      <c r="M414" s="136" t="str">
        <f t="shared" si="1"/>
        <v/>
      </c>
      <c r="N414" s="136" t="str">
        <f>IFERROR(__xludf.DUMMYFUNCTION("""COMPUTED_VALUE"""),"")</f>
        <v/>
      </c>
      <c r="O414" s="141" t="s">
        <v>133</v>
      </c>
      <c r="P414" s="136" t="str">
        <f>IFERROR(__xludf.DUMMYFUNCTION("""COMPUTED_VALUE"""),"")</f>
        <v/>
      </c>
      <c r="Q414" s="136" t="str">
        <f>IFERROR(__xludf.DUMMYFUNCTION("""COMPUTED_VALUE"""),"")</f>
        <v/>
      </c>
      <c r="R414" s="106" t="str">
        <f>IFERROR(__xludf.DUMMYFUNCTION("""COMPUTED_VALUE"""),"")</f>
        <v/>
      </c>
      <c r="S414" s="106" t="str">
        <f>IFERROR(__xludf.DUMMYFUNCTION("""COMPUTED_VALUE"""),"")</f>
        <v/>
      </c>
      <c r="T414" s="139" t="str">
        <f>IFERROR(__xludf.DUMMYFUNCTION("""COMPUTED_VALUE"""),"")</f>
        <v/>
      </c>
      <c r="U414" s="139" t="str">
        <f>IFERROR(__xludf.DUMMYFUNCTION("""COMPUTED_VALUE"""),"")</f>
        <v/>
      </c>
      <c r="V414" s="136" t="str">
        <f>IFERROR(__xludf.DUMMYFUNCTION("""COMPUTED_VALUE"""),"")</f>
        <v/>
      </c>
      <c r="W414" s="106" t="str">
        <f>IFERROR(__xludf.DUMMYFUNCTION("""COMPUTED_VALUE"""),"")</f>
        <v/>
      </c>
      <c r="X414" s="143" t="str">
        <f t="shared" si="2"/>
        <v/>
      </c>
      <c r="Y414" s="139" t="str">
        <f>IFERROR(__xludf.DUMMYFUNCTION("""COMPUTED_VALUE"""),"")</f>
        <v/>
      </c>
      <c r="Z414" s="141" t="str">
        <f>IFERROR(__xludf.DUMMYFUNCTION("""COMPUTED_VALUE"""),"")</f>
        <v/>
      </c>
    </row>
    <row r="415">
      <c r="A415" s="136"/>
      <c r="B415" s="136"/>
      <c r="C415" s="136" t="str">
        <f>IFERROR(__xludf.DUMMYFUNCTION("""COMPUTED_VALUE"""),"")</f>
        <v/>
      </c>
      <c r="D415" s="136" t="str">
        <f t="shared" si="3"/>
        <v/>
      </c>
      <c r="E415" s="152" t="str">
        <f>IFERROR(__xludf.DUMMYFUNCTION("""COMPUTED_VALUE"""),"")</f>
        <v/>
      </c>
      <c r="F415" s="106" t="s">
        <v>133</v>
      </c>
      <c r="G415" s="152" t="str">
        <f>IFERROR(__xludf.DUMMYFUNCTION("""COMPUTED_VALUE"""),"")</f>
        <v/>
      </c>
      <c r="H415" s="106" t="s">
        <v>133</v>
      </c>
      <c r="I415" s="136"/>
      <c r="J415" s="139" t="s">
        <v>133</v>
      </c>
      <c r="K415" s="136" t="s">
        <v>133</v>
      </c>
      <c r="L415" s="153" t="str">
        <f>IFERROR(__xludf.DUMMYFUNCTION("""COMPUTED_VALUE"""),"")</f>
        <v/>
      </c>
      <c r="M415" s="136" t="str">
        <f t="shared" si="1"/>
        <v/>
      </c>
      <c r="N415" s="136" t="str">
        <f>IFERROR(__xludf.DUMMYFUNCTION("""COMPUTED_VALUE"""),"")</f>
        <v/>
      </c>
      <c r="O415" s="141" t="s">
        <v>133</v>
      </c>
      <c r="P415" s="136" t="str">
        <f>IFERROR(__xludf.DUMMYFUNCTION("""COMPUTED_VALUE"""),"")</f>
        <v/>
      </c>
      <c r="Q415" s="136" t="str">
        <f>IFERROR(__xludf.DUMMYFUNCTION("""COMPUTED_VALUE"""),"")</f>
        <v/>
      </c>
      <c r="R415" s="106" t="str">
        <f>IFERROR(__xludf.DUMMYFUNCTION("""COMPUTED_VALUE"""),"")</f>
        <v/>
      </c>
      <c r="S415" s="106" t="str">
        <f>IFERROR(__xludf.DUMMYFUNCTION("""COMPUTED_VALUE"""),"")</f>
        <v/>
      </c>
      <c r="T415" s="139" t="str">
        <f>IFERROR(__xludf.DUMMYFUNCTION("""COMPUTED_VALUE"""),"")</f>
        <v/>
      </c>
      <c r="U415" s="139" t="str">
        <f>IFERROR(__xludf.DUMMYFUNCTION("""COMPUTED_VALUE"""),"")</f>
        <v/>
      </c>
      <c r="V415" s="136" t="str">
        <f>IFERROR(__xludf.DUMMYFUNCTION("""COMPUTED_VALUE"""),"")</f>
        <v/>
      </c>
      <c r="W415" s="106" t="str">
        <f>IFERROR(__xludf.DUMMYFUNCTION("""COMPUTED_VALUE"""),"")</f>
        <v/>
      </c>
      <c r="X415" s="143" t="str">
        <f t="shared" si="2"/>
        <v/>
      </c>
      <c r="Y415" s="139" t="str">
        <f>IFERROR(__xludf.DUMMYFUNCTION("""COMPUTED_VALUE"""),"")</f>
        <v/>
      </c>
      <c r="Z415" s="141" t="str">
        <f>IFERROR(__xludf.DUMMYFUNCTION("""COMPUTED_VALUE"""),"")</f>
        <v/>
      </c>
    </row>
    <row r="416">
      <c r="A416" s="136"/>
      <c r="B416" s="136"/>
      <c r="C416" s="136" t="str">
        <f>IFERROR(__xludf.DUMMYFUNCTION("""COMPUTED_VALUE"""),"")</f>
        <v/>
      </c>
      <c r="D416" s="136" t="str">
        <f t="shared" si="3"/>
        <v/>
      </c>
      <c r="E416" s="152" t="str">
        <f>IFERROR(__xludf.DUMMYFUNCTION("""COMPUTED_VALUE"""),"")</f>
        <v/>
      </c>
      <c r="F416" s="106" t="s">
        <v>133</v>
      </c>
      <c r="G416" s="152" t="str">
        <f>IFERROR(__xludf.DUMMYFUNCTION("""COMPUTED_VALUE"""),"")</f>
        <v/>
      </c>
      <c r="H416" s="106" t="s">
        <v>133</v>
      </c>
      <c r="I416" s="136"/>
      <c r="J416" s="139" t="s">
        <v>133</v>
      </c>
      <c r="K416" s="136" t="s">
        <v>133</v>
      </c>
      <c r="L416" s="153" t="str">
        <f>IFERROR(__xludf.DUMMYFUNCTION("""COMPUTED_VALUE"""),"")</f>
        <v/>
      </c>
      <c r="M416" s="136" t="str">
        <f t="shared" si="1"/>
        <v/>
      </c>
      <c r="N416" s="136" t="str">
        <f>IFERROR(__xludf.DUMMYFUNCTION("""COMPUTED_VALUE"""),"")</f>
        <v/>
      </c>
      <c r="O416" s="141" t="s">
        <v>133</v>
      </c>
      <c r="P416" s="136" t="str">
        <f>IFERROR(__xludf.DUMMYFUNCTION("""COMPUTED_VALUE"""),"")</f>
        <v/>
      </c>
      <c r="Q416" s="136" t="str">
        <f>IFERROR(__xludf.DUMMYFUNCTION("""COMPUTED_VALUE"""),"")</f>
        <v/>
      </c>
      <c r="R416" s="106" t="str">
        <f>IFERROR(__xludf.DUMMYFUNCTION("""COMPUTED_VALUE"""),"")</f>
        <v/>
      </c>
      <c r="S416" s="106" t="str">
        <f>IFERROR(__xludf.DUMMYFUNCTION("""COMPUTED_VALUE"""),"")</f>
        <v/>
      </c>
      <c r="T416" s="139" t="str">
        <f>IFERROR(__xludf.DUMMYFUNCTION("""COMPUTED_VALUE"""),"")</f>
        <v/>
      </c>
      <c r="U416" s="139" t="str">
        <f>IFERROR(__xludf.DUMMYFUNCTION("""COMPUTED_VALUE"""),"")</f>
        <v/>
      </c>
      <c r="V416" s="136" t="str">
        <f>IFERROR(__xludf.DUMMYFUNCTION("""COMPUTED_VALUE"""),"")</f>
        <v/>
      </c>
      <c r="W416" s="106" t="str">
        <f>IFERROR(__xludf.DUMMYFUNCTION("""COMPUTED_VALUE"""),"")</f>
        <v/>
      </c>
      <c r="X416" s="143" t="str">
        <f t="shared" si="2"/>
        <v/>
      </c>
      <c r="Y416" s="139" t="str">
        <f>IFERROR(__xludf.DUMMYFUNCTION("""COMPUTED_VALUE"""),"")</f>
        <v/>
      </c>
      <c r="Z416" s="141" t="str">
        <f>IFERROR(__xludf.DUMMYFUNCTION("""COMPUTED_VALUE"""),"")</f>
        <v/>
      </c>
    </row>
    <row r="417">
      <c r="A417" s="136"/>
      <c r="B417" s="136"/>
      <c r="C417" s="136" t="str">
        <f>IFERROR(__xludf.DUMMYFUNCTION("""COMPUTED_VALUE"""),"")</f>
        <v/>
      </c>
      <c r="D417" s="136" t="str">
        <f t="shared" si="3"/>
        <v/>
      </c>
      <c r="E417" s="152" t="str">
        <f>IFERROR(__xludf.DUMMYFUNCTION("""COMPUTED_VALUE"""),"")</f>
        <v/>
      </c>
      <c r="F417" s="106" t="s">
        <v>133</v>
      </c>
      <c r="G417" s="152" t="str">
        <f>IFERROR(__xludf.DUMMYFUNCTION("""COMPUTED_VALUE"""),"")</f>
        <v/>
      </c>
      <c r="H417" s="106" t="s">
        <v>133</v>
      </c>
      <c r="I417" s="136"/>
      <c r="J417" s="139" t="s">
        <v>133</v>
      </c>
      <c r="K417" s="136" t="s">
        <v>133</v>
      </c>
      <c r="L417" s="153" t="str">
        <f>IFERROR(__xludf.DUMMYFUNCTION("""COMPUTED_VALUE"""),"")</f>
        <v/>
      </c>
      <c r="M417" s="136" t="str">
        <f t="shared" si="1"/>
        <v/>
      </c>
      <c r="N417" s="136" t="str">
        <f>IFERROR(__xludf.DUMMYFUNCTION("""COMPUTED_VALUE"""),"")</f>
        <v/>
      </c>
      <c r="O417" s="141" t="s">
        <v>133</v>
      </c>
      <c r="P417" s="136" t="str">
        <f>IFERROR(__xludf.DUMMYFUNCTION("""COMPUTED_VALUE"""),"")</f>
        <v/>
      </c>
      <c r="Q417" s="136" t="str">
        <f>IFERROR(__xludf.DUMMYFUNCTION("""COMPUTED_VALUE"""),"")</f>
        <v/>
      </c>
      <c r="R417" s="106" t="str">
        <f>IFERROR(__xludf.DUMMYFUNCTION("""COMPUTED_VALUE"""),"")</f>
        <v/>
      </c>
      <c r="S417" s="106" t="str">
        <f>IFERROR(__xludf.DUMMYFUNCTION("""COMPUTED_VALUE"""),"")</f>
        <v/>
      </c>
      <c r="T417" s="139" t="str">
        <f>IFERROR(__xludf.DUMMYFUNCTION("""COMPUTED_VALUE"""),"")</f>
        <v/>
      </c>
      <c r="U417" s="139" t="str">
        <f>IFERROR(__xludf.DUMMYFUNCTION("""COMPUTED_VALUE"""),"")</f>
        <v/>
      </c>
      <c r="V417" s="136" t="str">
        <f>IFERROR(__xludf.DUMMYFUNCTION("""COMPUTED_VALUE"""),"")</f>
        <v/>
      </c>
      <c r="W417" s="106" t="str">
        <f>IFERROR(__xludf.DUMMYFUNCTION("""COMPUTED_VALUE"""),"")</f>
        <v/>
      </c>
      <c r="X417" s="143" t="str">
        <f t="shared" si="2"/>
        <v/>
      </c>
      <c r="Y417" s="139" t="str">
        <f>IFERROR(__xludf.DUMMYFUNCTION("""COMPUTED_VALUE"""),"")</f>
        <v/>
      </c>
      <c r="Z417" s="141" t="str">
        <f>IFERROR(__xludf.DUMMYFUNCTION("""COMPUTED_VALUE"""),"")</f>
        <v/>
      </c>
    </row>
    <row r="418">
      <c r="A418" s="136"/>
      <c r="B418" s="136"/>
      <c r="C418" s="136" t="str">
        <f>IFERROR(__xludf.DUMMYFUNCTION("""COMPUTED_VALUE"""),"")</f>
        <v/>
      </c>
      <c r="D418" s="136" t="str">
        <f t="shared" si="3"/>
        <v/>
      </c>
      <c r="E418" s="152" t="str">
        <f>IFERROR(__xludf.DUMMYFUNCTION("""COMPUTED_VALUE"""),"")</f>
        <v/>
      </c>
      <c r="F418" s="106" t="s">
        <v>133</v>
      </c>
      <c r="G418" s="152" t="str">
        <f>IFERROR(__xludf.DUMMYFUNCTION("""COMPUTED_VALUE"""),"")</f>
        <v/>
      </c>
      <c r="H418" s="106" t="s">
        <v>133</v>
      </c>
      <c r="I418" s="136"/>
      <c r="J418" s="139" t="s">
        <v>133</v>
      </c>
      <c r="K418" s="136" t="s">
        <v>133</v>
      </c>
      <c r="L418" s="153" t="str">
        <f>IFERROR(__xludf.DUMMYFUNCTION("""COMPUTED_VALUE"""),"")</f>
        <v/>
      </c>
      <c r="M418" s="136" t="str">
        <f t="shared" si="1"/>
        <v/>
      </c>
      <c r="N418" s="136" t="str">
        <f>IFERROR(__xludf.DUMMYFUNCTION("""COMPUTED_VALUE"""),"")</f>
        <v/>
      </c>
      <c r="O418" s="141" t="s">
        <v>133</v>
      </c>
      <c r="P418" s="136" t="str">
        <f>IFERROR(__xludf.DUMMYFUNCTION("""COMPUTED_VALUE"""),"")</f>
        <v/>
      </c>
      <c r="Q418" s="136" t="str">
        <f>IFERROR(__xludf.DUMMYFUNCTION("""COMPUTED_VALUE"""),"")</f>
        <v/>
      </c>
      <c r="R418" s="106" t="str">
        <f>IFERROR(__xludf.DUMMYFUNCTION("""COMPUTED_VALUE"""),"")</f>
        <v/>
      </c>
      <c r="S418" s="106" t="str">
        <f>IFERROR(__xludf.DUMMYFUNCTION("""COMPUTED_VALUE"""),"")</f>
        <v/>
      </c>
      <c r="T418" s="139" t="str">
        <f>IFERROR(__xludf.DUMMYFUNCTION("""COMPUTED_VALUE"""),"")</f>
        <v/>
      </c>
      <c r="U418" s="139" t="str">
        <f>IFERROR(__xludf.DUMMYFUNCTION("""COMPUTED_VALUE"""),"")</f>
        <v/>
      </c>
      <c r="V418" s="136" t="str">
        <f>IFERROR(__xludf.DUMMYFUNCTION("""COMPUTED_VALUE"""),"")</f>
        <v/>
      </c>
      <c r="W418" s="106" t="str">
        <f>IFERROR(__xludf.DUMMYFUNCTION("""COMPUTED_VALUE"""),"")</f>
        <v/>
      </c>
      <c r="X418" s="143" t="str">
        <f t="shared" si="2"/>
        <v/>
      </c>
      <c r="Y418" s="139" t="str">
        <f>IFERROR(__xludf.DUMMYFUNCTION("""COMPUTED_VALUE"""),"")</f>
        <v/>
      </c>
      <c r="Z418" s="141" t="str">
        <f>IFERROR(__xludf.DUMMYFUNCTION("""COMPUTED_VALUE"""),"")</f>
        <v/>
      </c>
    </row>
    <row r="419">
      <c r="A419" s="136"/>
      <c r="B419" s="136"/>
      <c r="C419" s="136" t="str">
        <f>IFERROR(__xludf.DUMMYFUNCTION("""COMPUTED_VALUE"""),"")</f>
        <v/>
      </c>
      <c r="D419" s="136" t="str">
        <f t="shared" si="3"/>
        <v/>
      </c>
      <c r="E419" s="152" t="str">
        <f>IFERROR(__xludf.DUMMYFUNCTION("""COMPUTED_VALUE"""),"")</f>
        <v/>
      </c>
      <c r="F419" s="106" t="s">
        <v>133</v>
      </c>
      <c r="G419" s="152" t="str">
        <f>IFERROR(__xludf.DUMMYFUNCTION("""COMPUTED_VALUE"""),"")</f>
        <v/>
      </c>
      <c r="H419" s="106" t="s">
        <v>133</v>
      </c>
      <c r="I419" s="136"/>
      <c r="J419" s="139" t="s">
        <v>133</v>
      </c>
      <c r="K419" s="136" t="s">
        <v>133</v>
      </c>
      <c r="L419" s="153" t="str">
        <f>IFERROR(__xludf.DUMMYFUNCTION("""COMPUTED_VALUE"""),"")</f>
        <v/>
      </c>
      <c r="M419" s="136" t="str">
        <f t="shared" si="1"/>
        <v/>
      </c>
      <c r="N419" s="136" t="str">
        <f>IFERROR(__xludf.DUMMYFUNCTION("""COMPUTED_VALUE"""),"")</f>
        <v/>
      </c>
      <c r="O419" s="141" t="s">
        <v>133</v>
      </c>
      <c r="P419" s="136" t="str">
        <f>IFERROR(__xludf.DUMMYFUNCTION("""COMPUTED_VALUE"""),"")</f>
        <v/>
      </c>
      <c r="Q419" s="136" t="str">
        <f>IFERROR(__xludf.DUMMYFUNCTION("""COMPUTED_VALUE"""),"")</f>
        <v/>
      </c>
      <c r="R419" s="106" t="str">
        <f>IFERROR(__xludf.DUMMYFUNCTION("""COMPUTED_VALUE"""),"")</f>
        <v/>
      </c>
      <c r="S419" s="106" t="str">
        <f>IFERROR(__xludf.DUMMYFUNCTION("""COMPUTED_VALUE"""),"")</f>
        <v/>
      </c>
      <c r="T419" s="139" t="str">
        <f>IFERROR(__xludf.DUMMYFUNCTION("""COMPUTED_VALUE"""),"")</f>
        <v/>
      </c>
      <c r="U419" s="139" t="str">
        <f>IFERROR(__xludf.DUMMYFUNCTION("""COMPUTED_VALUE"""),"")</f>
        <v/>
      </c>
      <c r="V419" s="136" t="str">
        <f>IFERROR(__xludf.DUMMYFUNCTION("""COMPUTED_VALUE"""),"")</f>
        <v/>
      </c>
      <c r="W419" s="106" t="str">
        <f>IFERROR(__xludf.DUMMYFUNCTION("""COMPUTED_VALUE"""),"")</f>
        <v/>
      </c>
      <c r="X419" s="143" t="str">
        <f t="shared" si="2"/>
        <v/>
      </c>
      <c r="Y419" s="139" t="str">
        <f>IFERROR(__xludf.DUMMYFUNCTION("""COMPUTED_VALUE"""),"")</f>
        <v/>
      </c>
      <c r="Z419" s="141" t="str">
        <f>IFERROR(__xludf.DUMMYFUNCTION("""COMPUTED_VALUE"""),"")</f>
        <v/>
      </c>
    </row>
    <row r="420">
      <c r="A420" s="136"/>
      <c r="B420" s="136"/>
      <c r="C420" s="136" t="str">
        <f>IFERROR(__xludf.DUMMYFUNCTION("""COMPUTED_VALUE"""),"")</f>
        <v/>
      </c>
      <c r="D420" s="136" t="str">
        <f t="shared" si="3"/>
        <v/>
      </c>
      <c r="E420" s="152" t="str">
        <f>IFERROR(__xludf.DUMMYFUNCTION("""COMPUTED_VALUE"""),"")</f>
        <v/>
      </c>
      <c r="F420" s="106" t="s">
        <v>133</v>
      </c>
      <c r="G420" s="152" t="str">
        <f>IFERROR(__xludf.DUMMYFUNCTION("""COMPUTED_VALUE"""),"")</f>
        <v/>
      </c>
      <c r="H420" s="106" t="s">
        <v>133</v>
      </c>
      <c r="I420" s="136"/>
      <c r="J420" s="139" t="s">
        <v>133</v>
      </c>
      <c r="K420" s="136" t="s">
        <v>133</v>
      </c>
      <c r="L420" s="153" t="str">
        <f>IFERROR(__xludf.DUMMYFUNCTION("""COMPUTED_VALUE"""),"")</f>
        <v/>
      </c>
      <c r="M420" s="136" t="str">
        <f t="shared" si="1"/>
        <v/>
      </c>
      <c r="N420" s="136" t="str">
        <f>IFERROR(__xludf.DUMMYFUNCTION("""COMPUTED_VALUE"""),"")</f>
        <v/>
      </c>
      <c r="O420" s="141" t="s">
        <v>133</v>
      </c>
      <c r="P420" s="136" t="str">
        <f>IFERROR(__xludf.DUMMYFUNCTION("""COMPUTED_VALUE"""),"")</f>
        <v/>
      </c>
      <c r="Q420" s="136" t="str">
        <f>IFERROR(__xludf.DUMMYFUNCTION("""COMPUTED_VALUE"""),"")</f>
        <v/>
      </c>
      <c r="R420" s="106" t="str">
        <f>IFERROR(__xludf.DUMMYFUNCTION("""COMPUTED_VALUE"""),"")</f>
        <v/>
      </c>
      <c r="S420" s="106" t="str">
        <f>IFERROR(__xludf.DUMMYFUNCTION("""COMPUTED_VALUE"""),"")</f>
        <v/>
      </c>
      <c r="T420" s="139" t="str">
        <f>IFERROR(__xludf.DUMMYFUNCTION("""COMPUTED_VALUE"""),"")</f>
        <v/>
      </c>
      <c r="U420" s="139" t="str">
        <f>IFERROR(__xludf.DUMMYFUNCTION("""COMPUTED_VALUE"""),"")</f>
        <v/>
      </c>
      <c r="V420" s="136" t="str">
        <f>IFERROR(__xludf.DUMMYFUNCTION("""COMPUTED_VALUE"""),"")</f>
        <v/>
      </c>
      <c r="W420" s="106" t="str">
        <f>IFERROR(__xludf.DUMMYFUNCTION("""COMPUTED_VALUE"""),"")</f>
        <v/>
      </c>
      <c r="X420" s="143" t="str">
        <f t="shared" si="2"/>
        <v/>
      </c>
      <c r="Y420" s="139" t="str">
        <f>IFERROR(__xludf.DUMMYFUNCTION("""COMPUTED_VALUE"""),"")</f>
        <v/>
      </c>
      <c r="Z420" s="141" t="str">
        <f>IFERROR(__xludf.DUMMYFUNCTION("""COMPUTED_VALUE"""),"")</f>
        <v/>
      </c>
    </row>
    <row r="421">
      <c r="A421" s="136"/>
      <c r="B421" s="136"/>
      <c r="C421" s="136" t="str">
        <f>IFERROR(__xludf.DUMMYFUNCTION("""COMPUTED_VALUE"""),"")</f>
        <v/>
      </c>
      <c r="D421" s="136" t="str">
        <f t="shared" si="3"/>
        <v/>
      </c>
      <c r="E421" s="152" t="str">
        <f>IFERROR(__xludf.DUMMYFUNCTION("""COMPUTED_VALUE"""),"")</f>
        <v/>
      </c>
      <c r="F421" s="106" t="s">
        <v>133</v>
      </c>
      <c r="G421" s="152" t="str">
        <f>IFERROR(__xludf.DUMMYFUNCTION("""COMPUTED_VALUE"""),"")</f>
        <v/>
      </c>
      <c r="H421" s="106" t="s">
        <v>133</v>
      </c>
      <c r="I421" s="136"/>
      <c r="J421" s="139" t="s">
        <v>133</v>
      </c>
      <c r="K421" s="136" t="s">
        <v>133</v>
      </c>
      <c r="L421" s="153" t="str">
        <f>IFERROR(__xludf.DUMMYFUNCTION("""COMPUTED_VALUE"""),"")</f>
        <v/>
      </c>
      <c r="M421" s="136" t="str">
        <f t="shared" si="1"/>
        <v/>
      </c>
      <c r="N421" s="136" t="str">
        <f>IFERROR(__xludf.DUMMYFUNCTION("""COMPUTED_VALUE"""),"")</f>
        <v/>
      </c>
      <c r="O421" s="141" t="s">
        <v>133</v>
      </c>
      <c r="P421" s="136" t="str">
        <f>IFERROR(__xludf.DUMMYFUNCTION("""COMPUTED_VALUE"""),"")</f>
        <v/>
      </c>
      <c r="Q421" s="136" t="str">
        <f>IFERROR(__xludf.DUMMYFUNCTION("""COMPUTED_VALUE"""),"")</f>
        <v/>
      </c>
      <c r="R421" s="106" t="str">
        <f>IFERROR(__xludf.DUMMYFUNCTION("""COMPUTED_VALUE"""),"")</f>
        <v/>
      </c>
      <c r="S421" s="106" t="str">
        <f>IFERROR(__xludf.DUMMYFUNCTION("""COMPUTED_VALUE"""),"")</f>
        <v/>
      </c>
      <c r="T421" s="139" t="str">
        <f>IFERROR(__xludf.DUMMYFUNCTION("""COMPUTED_VALUE"""),"")</f>
        <v/>
      </c>
      <c r="U421" s="139" t="str">
        <f>IFERROR(__xludf.DUMMYFUNCTION("""COMPUTED_VALUE"""),"")</f>
        <v/>
      </c>
      <c r="V421" s="136" t="str">
        <f>IFERROR(__xludf.DUMMYFUNCTION("""COMPUTED_VALUE"""),"")</f>
        <v/>
      </c>
      <c r="W421" s="106" t="str">
        <f>IFERROR(__xludf.DUMMYFUNCTION("""COMPUTED_VALUE"""),"")</f>
        <v/>
      </c>
      <c r="X421" s="143" t="str">
        <f t="shared" si="2"/>
        <v/>
      </c>
      <c r="Y421" s="139" t="str">
        <f>IFERROR(__xludf.DUMMYFUNCTION("""COMPUTED_VALUE"""),"")</f>
        <v/>
      </c>
      <c r="Z421" s="141" t="str">
        <f>IFERROR(__xludf.DUMMYFUNCTION("""COMPUTED_VALUE"""),"")</f>
        <v/>
      </c>
    </row>
    <row r="422">
      <c r="A422" s="136"/>
      <c r="B422" s="136"/>
      <c r="C422" s="136" t="str">
        <f>IFERROR(__xludf.DUMMYFUNCTION("""COMPUTED_VALUE"""),"")</f>
        <v/>
      </c>
      <c r="D422" s="136" t="str">
        <f t="shared" si="3"/>
        <v/>
      </c>
      <c r="E422" s="152" t="str">
        <f>IFERROR(__xludf.DUMMYFUNCTION("""COMPUTED_VALUE"""),"")</f>
        <v/>
      </c>
      <c r="F422" s="106" t="s">
        <v>133</v>
      </c>
      <c r="G422" s="152" t="str">
        <f>IFERROR(__xludf.DUMMYFUNCTION("""COMPUTED_VALUE"""),"")</f>
        <v/>
      </c>
      <c r="H422" s="106" t="s">
        <v>133</v>
      </c>
      <c r="I422" s="136"/>
      <c r="J422" s="139" t="s">
        <v>133</v>
      </c>
      <c r="K422" s="136" t="s">
        <v>133</v>
      </c>
      <c r="L422" s="153" t="str">
        <f>IFERROR(__xludf.DUMMYFUNCTION("""COMPUTED_VALUE"""),"")</f>
        <v/>
      </c>
      <c r="M422" s="136" t="str">
        <f t="shared" si="1"/>
        <v/>
      </c>
      <c r="N422" s="136" t="str">
        <f>IFERROR(__xludf.DUMMYFUNCTION("""COMPUTED_VALUE"""),"")</f>
        <v/>
      </c>
      <c r="O422" s="141" t="s">
        <v>133</v>
      </c>
      <c r="P422" s="136" t="str">
        <f>IFERROR(__xludf.DUMMYFUNCTION("""COMPUTED_VALUE"""),"")</f>
        <v/>
      </c>
      <c r="Q422" s="136" t="str">
        <f>IFERROR(__xludf.DUMMYFUNCTION("""COMPUTED_VALUE"""),"")</f>
        <v/>
      </c>
      <c r="R422" s="106" t="str">
        <f>IFERROR(__xludf.DUMMYFUNCTION("""COMPUTED_VALUE"""),"")</f>
        <v/>
      </c>
      <c r="S422" s="106" t="str">
        <f>IFERROR(__xludf.DUMMYFUNCTION("""COMPUTED_VALUE"""),"")</f>
        <v/>
      </c>
      <c r="T422" s="139" t="str">
        <f>IFERROR(__xludf.DUMMYFUNCTION("""COMPUTED_VALUE"""),"")</f>
        <v/>
      </c>
      <c r="U422" s="139" t="str">
        <f>IFERROR(__xludf.DUMMYFUNCTION("""COMPUTED_VALUE"""),"")</f>
        <v/>
      </c>
      <c r="V422" s="136" t="str">
        <f>IFERROR(__xludf.DUMMYFUNCTION("""COMPUTED_VALUE"""),"")</f>
        <v/>
      </c>
      <c r="W422" s="106" t="str">
        <f>IFERROR(__xludf.DUMMYFUNCTION("""COMPUTED_VALUE"""),"")</f>
        <v/>
      </c>
      <c r="X422" s="143" t="str">
        <f t="shared" si="2"/>
        <v/>
      </c>
      <c r="Y422" s="139" t="str">
        <f>IFERROR(__xludf.DUMMYFUNCTION("""COMPUTED_VALUE"""),"")</f>
        <v/>
      </c>
      <c r="Z422" s="141" t="str">
        <f>IFERROR(__xludf.DUMMYFUNCTION("""COMPUTED_VALUE"""),"")</f>
        <v/>
      </c>
    </row>
    <row r="423">
      <c r="A423" s="136"/>
      <c r="B423" s="136"/>
      <c r="C423" s="136" t="str">
        <f>IFERROR(__xludf.DUMMYFUNCTION("""COMPUTED_VALUE"""),"")</f>
        <v/>
      </c>
      <c r="D423" s="136" t="str">
        <f t="shared" si="3"/>
        <v/>
      </c>
      <c r="E423" s="152" t="str">
        <f>IFERROR(__xludf.DUMMYFUNCTION("""COMPUTED_VALUE"""),"")</f>
        <v/>
      </c>
      <c r="F423" s="106" t="s">
        <v>133</v>
      </c>
      <c r="G423" s="152" t="str">
        <f>IFERROR(__xludf.DUMMYFUNCTION("""COMPUTED_VALUE"""),"")</f>
        <v/>
      </c>
      <c r="H423" s="106" t="s">
        <v>133</v>
      </c>
      <c r="I423" s="136"/>
      <c r="J423" s="139" t="s">
        <v>133</v>
      </c>
      <c r="K423" s="136" t="s">
        <v>133</v>
      </c>
      <c r="L423" s="153" t="str">
        <f>IFERROR(__xludf.DUMMYFUNCTION("""COMPUTED_VALUE"""),"")</f>
        <v/>
      </c>
      <c r="M423" s="136" t="str">
        <f t="shared" si="1"/>
        <v/>
      </c>
      <c r="N423" s="136" t="str">
        <f>IFERROR(__xludf.DUMMYFUNCTION("""COMPUTED_VALUE"""),"")</f>
        <v/>
      </c>
      <c r="O423" s="141" t="s">
        <v>133</v>
      </c>
      <c r="P423" s="136" t="str">
        <f>IFERROR(__xludf.DUMMYFUNCTION("""COMPUTED_VALUE"""),"")</f>
        <v/>
      </c>
      <c r="Q423" s="136" t="str">
        <f>IFERROR(__xludf.DUMMYFUNCTION("""COMPUTED_VALUE"""),"")</f>
        <v/>
      </c>
      <c r="R423" s="106" t="str">
        <f>IFERROR(__xludf.DUMMYFUNCTION("""COMPUTED_VALUE"""),"")</f>
        <v/>
      </c>
      <c r="S423" s="106" t="str">
        <f>IFERROR(__xludf.DUMMYFUNCTION("""COMPUTED_VALUE"""),"")</f>
        <v/>
      </c>
      <c r="T423" s="139" t="str">
        <f>IFERROR(__xludf.DUMMYFUNCTION("""COMPUTED_VALUE"""),"")</f>
        <v/>
      </c>
      <c r="U423" s="139" t="str">
        <f>IFERROR(__xludf.DUMMYFUNCTION("""COMPUTED_VALUE"""),"")</f>
        <v/>
      </c>
      <c r="V423" s="136" t="str">
        <f>IFERROR(__xludf.DUMMYFUNCTION("""COMPUTED_VALUE"""),"")</f>
        <v/>
      </c>
      <c r="W423" s="106" t="str">
        <f>IFERROR(__xludf.DUMMYFUNCTION("""COMPUTED_VALUE"""),"")</f>
        <v/>
      </c>
      <c r="X423" s="143" t="str">
        <f t="shared" si="2"/>
        <v/>
      </c>
      <c r="Y423" s="139" t="str">
        <f>IFERROR(__xludf.DUMMYFUNCTION("""COMPUTED_VALUE"""),"")</f>
        <v/>
      </c>
      <c r="Z423" s="141" t="str">
        <f>IFERROR(__xludf.DUMMYFUNCTION("""COMPUTED_VALUE"""),"")</f>
        <v/>
      </c>
    </row>
    <row r="424">
      <c r="A424" s="136"/>
      <c r="B424" s="136"/>
      <c r="C424" s="136" t="str">
        <f>IFERROR(__xludf.DUMMYFUNCTION("""COMPUTED_VALUE"""),"")</f>
        <v/>
      </c>
      <c r="D424" s="136" t="str">
        <f t="shared" si="3"/>
        <v/>
      </c>
      <c r="E424" s="152" t="str">
        <f>IFERROR(__xludf.DUMMYFUNCTION("""COMPUTED_VALUE"""),"")</f>
        <v/>
      </c>
      <c r="F424" s="106" t="s">
        <v>133</v>
      </c>
      <c r="G424" s="152" t="str">
        <f>IFERROR(__xludf.DUMMYFUNCTION("""COMPUTED_VALUE"""),"")</f>
        <v/>
      </c>
      <c r="H424" s="106" t="s">
        <v>133</v>
      </c>
      <c r="I424" s="136"/>
      <c r="J424" s="139" t="s">
        <v>133</v>
      </c>
      <c r="K424" s="136" t="s">
        <v>133</v>
      </c>
      <c r="L424" s="153" t="str">
        <f>IFERROR(__xludf.DUMMYFUNCTION("""COMPUTED_VALUE"""),"")</f>
        <v/>
      </c>
      <c r="M424" s="136" t="str">
        <f t="shared" si="1"/>
        <v/>
      </c>
      <c r="N424" s="136" t="str">
        <f>IFERROR(__xludf.DUMMYFUNCTION("""COMPUTED_VALUE"""),"")</f>
        <v/>
      </c>
      <c r="O424" s="141" t="s">
        <v>133</v>
      </c>
      <c r="P424" s="136" t="str">
        <f>IFERROR(__xludf.DUMMYFUNCTION("""COMPUTED_VALUE"""),"")</f>
        <v/>
      </c>
      <c r="Q424" s="136" t="str">
        <f>IFERROR(__xludf.DUMMYFUNCTION("""COMPUTED_VALUE"""),"")</f>
        <v/>
      </c>
      <c r="R424" s="106" t="str">
        <f>IFERROR(__xludf.DUMMYFUNCTION("""COMPUTED_VALUE"""),"")</f>
        <v/>
      </c>
      <c r="S424" s="106" t="str">
        <f>IFERROR(__xludf.DUMMYFUNCTION("""COMPUTED_VALUE"""),"")</f>
        <v/>
      </c>
      <c r="T424" s="139" t="str">
        <f>IFERROR(__xludf.DUMMYFUNCTION("""COMPUTED_VALUE"""),"")</f>
        <v/>
      </c>
      <c r="U424" s="139" t="str">
        <f>IFERROR(__xludf.DUMMYFUNCTION("""COMPUTED_VALUE"""),"")</f>
        <v/>
      </c>
      <c r="V424" s="136" t="str">
        <f>IFERROR(__xludf.DUMMYFUNCTION("""COMPUTED_VALUE"""),"")</f>
        <v/>
      </c>
      <c r="W424" s="106" t="str">
        <f>IFERROR(__xludf.DUMMYFUNCTION("""COMPUTED_VALUE"""),"")</f>
        <v/>
      </c>
      <c r="X424" s="143" t="str">
        <f t="shared" si="2"/>
        <v/>
      </c>
      <c r="Y424" s="139" t="str">
        <f>IFERROR(__xludf.DUMMYFUNCTION("""COMPUTED_VALUE"""),"")</f>
        <v/>
      </c>
      <c r="Z424" s="141" t="str">
        <f>IFERROR(__xludf.DUMMYFUNCTION("""COMPUTED_VALUE"""),"")</f>
        <v/>
      </c>
    </row>
    <row r="425">
      <c r="A425" s="136"/>
      <c r="B425" s="136"/>
      <c r="C425" s="136" t="str">
        <f>IFERROR(__xludf.DUMMYFUNCTION("""COMPUTED_VALUE"""),"")</f>
        <v/>
      </c>
      <c r="D425" s="136" t="str">
        <f t="shared" si="3"/>
        <v/>
      </c>
      <c r="E425" s="152" t="str">
        <f>IFERROR(__xludf.DUMMYFUNCTION("""COMPUTED_VALUE"""),"")</f>
        <v/>
      </c>
      <c r="F425" s="106" t="s">
        <v>133</v>
      </c>
      <c r="G425" s="152" t="str">
        <f>IFERROR(__xludf.DUMMYFUNCTION("""COMPUTED_VALUE"""),"")</f>
        <v/>
      </c>
      <c r="H425" s="106" t="s">
        <v>133</v>
      </c>
      <c r="I425" s="136"/>
      <c r="J425" s="139" t="s">
        <v>133</v>
      </c>
      <c r="K425" s="136" t="s">
        <v>133</v>
      </c>
      <c r="L425" s="153" t="str">
        <f>IFERROR(__xludf.DUMMYFUNCTION("""COMPUTED_VALUE"""),"")</f>
        <v/>
      </c>
      <c r="M425" s="136" t="str">
        <f t="shared" si="1"/>
        <v/>
      </c>
      <c r="N425" s="136" t="str">
        <f>IFERROR(__xludf.DUMMYFUNCTION("""COMPUTED_VALUE"""),"")</f>
        <v/>
      </c>
      <c r="O425" s="141" t="s">
        <v>133</v>
      </c>
      <c r="P425" s="136" t="str">
        <f>IFERROR(__xludf.DUMMYFUNCTION("""COMPUTED_VALUE"""),"")</f>
        <v/>
      </c>
      <c r="Q425" s="136" t="str">
        <f>IFERROR(__xludf.DUMMYFUNCTION("""COMPUTED_VALUE"""),"")</f>
        <v/>
      </c>
      <c r="R425" s="106" t="str">
        <f>IFERROR(__xludf.DUMMYFUNCTION("""COMPUTED_VALUE"""),"")</f>
        <v/>
      </c>
      <c r="S425" s="106" t="str">
        <f>IFERROR(__xludf.DUMMYFUNCTION("""COMPUTED_VALUE"""),"")</f>
        <v/>
      </c>
      <c r="T425" s="139" t="str">
        <f>IFERROR(__xludf.DUMMYFUNCTION("""COMPUTED_VALUE"""),"")</f>
        <v/>
      </c>
      <c r="U425" s="139" t="str">
        <f>IFERROR(__xludf.DUMMYFUNCTION("""COMPUTED_VALUE"""),"")</f>
        <v/>
      </c>
      <c r="V425" s="136" t="str">
        <f>IFERROR(__xludf.DUMMYFUNCTION("""COMPUTED_VALUE"""),"")</f>
        <v/>
      </c>
      <c r="W425" s="106" t="str">
        <f>IFERROR(__xludf.DUMMYFUNCTION("""COMPUTED_VALUE"""),"")</f>
        <v/>
      </c>
      <c r="X425" s="143" t="str">
        <f t="shared" si="2"/>
        <v/>
      </c>
      <c r="Y425" s="139" t="str">
        <f>IFERROR(__xludf.DUMMYFUNCTION("""COMPUTED_VALUE"""),"")</f>
        <v/>
      </c>
      <c r="Z425" s="141" t="str">
        <f>IFERROR(__xludf.DUMMYFUNCTION("""COMPUTED_VALUE"""),"")</f>
        <v/>
      </c>
    </row>
    <row r="426">
      <c r="A426" s="136"/>
      <c r="B426" s="136"/>
      <c r="C426" s="136" t="str">
        <f>IFERROR(__xludf.DUMMYFUNCTION("""COMPUTED_VALUE"""),"")</f>
        <v/>
      </c>
      <c r="D426" s="136" t="str">
        <f t="shared" si="3"/>
        <v/>
      </c>
      <c r="E426" s="152" t="str">
        <f>IFERROR(__xludf.DUMMYFUNCTION("""COMPUTED_VALUE"""),"")</f>
        <v/>
      </c>
      <c r="F426" s="106" t="s">
        <v>133</v>
      </c>
      <c r="G426" s="152" t="str">
        <f>IFERROR(__xludf.DUMMYFUNCTION("""COMPUTED_VALUE"""),"")</f>
        <v/>
      </c>
      <c r="H426" s="106" t="s">
        <v>133</v>
      </c>
      <c r="I426" s="136"/>
      <c r="J426" s="139" t="s">
        <v>133</v>
      </c>
      <c r="K426" s="136" t="s">
        <v>133</v>
      </c>
      <c r="L426" s="153" t="str">
        <f>IFERROR(__xludf.DUMMYFUNCTION("""COMPUTED_VALUE"""),"")</f>
        <v/>
      </c>
      <c r="M426" s="136" t="str">
        <f t="shared" si="1"/>
        <v/>
      </c>
      <c r="N426" s="136" t="str">
        <f>IFERROR(__xludf.DUMMYFUNCTION("""COMPUTED_VALUE"""),"")</f>
        <v/>
      </c>
      <c r="O426" s="141" t="s">
        <v>133</v>
      </c>
      <c r="P426" s="136" t="str">
        <f>IFERROR(__xludf.DUMMYFUNCTION("""COMPUTED_VALUE"""),"")</f>
        <v/>
      </c>
      <c r="Q426" s="136" t="str">
        <f>IFERROR(__xludf.DUMMYFUNCTION("""COMPUTED_VALUE"""),"")</f>
        <v/>
      </c>
      <c r="R426" s="106" t="str">
        <f>IFERROR(__xludf.DUMMYFUNCTION("""COMPUTED_VALUE"""),"")</f>
        <v/>
      </c>
      <c r="S426" s="106" t="str">
        <f>IFERROR(__xludf.DUMMYFUNCTION("""COMPUTED_VALUE"""),"")</f>
        <v/>
      </c>
      <c r="T426" s="139" t="str">
        <f>IFERROR(__xludf.DUMMYFUNCTION("""COMPUTED_VALUE"""),"")</f>
        <v/>
      </c>
      <c r="U426" s="139" t="str">
        <f>IFERROR(__xludf.DUMMYFUNCTION("""COMPUTED_VALUE"""),"")</f>
        <v/>
      </c>
      <c r="V426" s="136" t="str">
        <f>IFERROR(__xludf.DUMMYFUNCTION("""COMPUTED_VALUE"""),"")</f>
        <v/>
      </c>
      <c r="W426" s="106" t="str">
        <f>IFERROR(__xludf.DUMMYFUNCTION("""COMPUTED_VALUE"""),"")</f>
        <v/>
      </c>
      <c r="X426" s="143" t="str">
        <f t="shared" si="2"/>
        <v/>
      </c>
      <c r="Y426" s="139" t="str">
        <f>IFERROR(__xludf.DUMMYFUNCTION("""COMPUTED_VALUE"""),"")</f>
        <v/>
      </c>
      <c r="Z426" s="141" t="str">
        <f>IFERROR(__xludf.DUMMYFUNCTION("""COMPUTED_VALUE"""),"")</f>
        <v/>
      </c>
    </row>
    <row r="427">
      <c r="A427" s="136"/>
      <c r="B427" s="136"/>
      <c r="C427" s="136" t="str">
        <f>IFERROR(__xludf.DUMMYFUNCTION("""COMPUTED_VALUE"""),"")</f>
        <v/>
      </c>
      <c r="D427" s="136" t="str">
        <f t="shared" si="3"/>
        <v/>
      </c>
      <c r="E427" s="152" t="str">
        <f>IFERROR(__xludf.DUMMYFUNCTION("""COMPUTED_VALUE"""),"")</f>
        <v/>
      </c>
      <c r="F427" s="106" t="s">
        <v>133</v>
      </c>
      <c r="G427" s="152" t="str">
        <f>IFERROR(__xludf.DUMMYFUNCTION("""COMPUTED_VALUE"""),"")</f>
        <v/>
      </c>
      <c r="H427" s="106" t="s">
        <v>133</v>
      </c>
      <c r="I427" s="136"/>
      <c r="J427" s="139" t="s">
        <v>133</v>
      </c>
      <c r="K427" s="136" t="s">
        <v>133</v>
      </c>
      <c r="L427" s="153" t="str">
        <f>IFERROR(__xludf.DUMMYFUNCTION("""COMPUTED_VALUE"""),"")</f>
        <v/>
      </c>
      <c r="M427" s="136" t="str">
        <f t="shared" si="1"/>
        <v/>
      </c>
      <c r="N427" s="136" t="str">
        <f>IFERROR(__xludf.DUMMYFUNCTION("""COMPUTED_VALUE"""),"")</f>
        <v/>
      </c>
      <c r="O427" s="141" t="s">
        <v>133</v>
      </c>
      <c r="P427" s="136" t="str">
        <f>IFERROR(__xludf.DUMMYFUNCTION("""COMPUTED_VALUE"""),"")</f>
        <v/>
      </c>
      <c r="Q427" s="136" t="str">
        <f>IFERROR(__xludf.DUMMYFUNCTION("""COMPUTED_VALUE"""),"")</f>
        <v/>
      </c>
      <c r="R427" s="106" t="str">
        <f>IFERROR(__xludf.DUMMYFUNCTION("""COMPUTED_VALUE"""),"")</f>
        <v/>
      </c>
      <c r="S427" s="106" t="str">
        <f>IFERROR(__xludf.DUMMYFUNCTION("""COMPUTED_VALUE"""),"")</f>
        <v/>
      </c>
      <c r="T427" s="139" t="str">
        <f>IFERROR(__xludf.DUMMYFUNCTION("""COMPUTED_VALUE"""),"")</f>
        <v/>
      </c>
      <c r="U427" s="139" t="str">
        <f>IFERROR(__xludf.DUMMYFUNCTION("""COMPUTED_VALUE"""),"")</f>
        <v/>
      </c>
      <c r="V427" s="136" t="str">
        <f>IFERROR(__xludf.DUMMYFUNCTION("""COMPUTED_VALUE"""),"")</f>
        <v/>
      </c>
      <c r="W427" s="106" t="str">
        <f>IFERROR(__xludf.DUMMYFUNCTION("""COMPUTED_VALUE"""),"")</f>
        <v/>
      </c>
      <c r="X427" s="143" t="str">
        <f t="shared" si="2"/>
        <v/>
      </c>
      <c r="Y427" s="139" t="str">
        <f>IFERROR(__xludf.DUMMYFUNCTION("""COMPUTED_VALUE"""),"")</f>
        <v/>
      </c>
      <c r="Z427" s="141" t="str">
        <f>IFERROR(__xludf.DUMMYFUNCTION("""COMPUTED_VALUE"""),"")</f>
        <v/>
      </c>
    </row>
    <row r="428">
      <c r="A428" s="136"/>
      <c r="B428" s="136"/>
      <c r="C428" s="136" t="str">
        <f>IFERROR(__xludf.DUMMYFUNCTION("""COMPUTED_VALUE"""),"")</f>
        <v/>
      </c>
      <c r="D428" s="136" t="str">
        <f t="shared" si="3"/>
        <v/>
      </c>
      <c r="E428" s="152" t="str">
        <f>IFERROR(__xludf.DUMMYFUNCTION("""COMPUTED_VALUE"""),"")</f>
        <v/>
      </c>
      <c r="F428" s="106" t="s">
        <v>133</v>
      </c>
      <c r="G428" s="152" t="str">
        <f>IFERROR(__xludf.DUMMYFUNCTION("""COMPUTED_VALUE"""),"")</f>
        <v/>
      </c>
      <c r="H428" s="106" t="s">
        <v>133</v>
      </c>
      <c r="I428" s="136"/>
      <c r="J428" s="139" t="s">
        <v>133</v>
      </c>
      <c r="K428" s="136" t="s">
        <v>133</v>
      </c>
      <c r="L428" s="153" t="str">
        <f>IFERROR(__xludf.DUMMYFUNCTION("""COMPUTED_VALUE"""),"")</f>
        <v/>
      </c>
      <c r="M428" s="136" t="str">
        <f t="shared" si="1"/>
        <v/>
      </c>
      <c r="N428" s="136" t="str">
        <f>IFERROR(__xludf.DUMMYFUNCTION("""COMPUTED_VALUE"""),"")</f>
        <v/>
      </c>
      <c r="O428" s="141" t="s">
        <v>133</v>
      </c>
      <c r="P428" s="136" t="str">
        <f>IFERROR(__xludf.DUMMYFUNCTION("""COMPUTED_VALUE"""),"")</f>
        <v/>
      </c>
      <c r="Q428" s="136" t="str">
        <f>IFERROR(__xludf.DUMMYFUNCTION("""COMPUTED_VALUE"""),"")</f>
        <v/>
      </c>
      <c r="R428" s="106" t="str">
        <f>IFERROR(__xludf.DUMMYFUNCTION("""COMPUTED_VALUE"""),"")</f>
        <v/>
      </c>
      <c r="S428" s="106" t="str">
        <f>IFERROR(__xludf.DUMMYFUNCTION("""COMPUTED_VALUE"""),"")</f>
        <v/>
      </c>
      <c r="T428" s="139" t="str">
        <f>IFERROR(__xludf.DUMMYFUNCTION("""COMPUTED_VALUE"""),"")</f>
        <v/>
      </c>
      <c r="U428" s="139" t="str">
        <f>IFERROR(__xludf.DUMMYFUNCTION("""COMPUTED_VALUE"""),"")</f>
        <v/>
      </c>
      <c r="V428" s="136" t="str">
        <f>IFERROR(__xludf.DUMMYFUNCTION("""COMPUTED_VALUE"""),"")</f>
        <v/>
      </c>
      <c r="W428" s="106" t="str">
        <f>IFERROR(__xludf.DUMMYFUNCTION("""COMPUTED_VALUE"""),"")</f>
        <v/>
      </c>
      <c r="X428" s="143" t="str">
        <f t="shared" si="2"/>
        <v/>
      </c>
      <c r="Y428" s="139" t="str">
        <f>IFERROR(__xludf.DUMMYFUNCTION("""COMPUTED_VALUE"""),"")</f>
        <v/>
      </c>
      <c r="Z428" s="141" t="str">
        <f>IFERROR(__xludf.DUMMYFUNCTION("""COMPUTED_VALUE"""),"")</f>
        <v/>
      </c>
    </row>
    <row r="429">
      <c r="A429" s="136"/>
      <c r="B429" s="136"/>
      <c r="C429" s="136" t="str">
        <f>IFERROR(__xludf.DUMMYFUNCTION("""COMPUTED_VALUE"""),"")</f>
        <v/>
      </c>
      <c r="D429" s="136" t="str">
        <f t="shared" si="3"/>
        <v/>
      </c>
      <c r="E429" s="152" t="str">
        <f>IFERROR(__xludf.DUMMYFUNCTION("""COMPUTED_VALUE"""),"")</f>
        <v/>
      </c>
      <c r="F429" s="106" t="s">
        <v>133</v>
      </c>
      <c r="G429" s="152" t="str">
        <f>IFERROR(__xludf.DUMMYFUNCTION("""COMPUTED_VALUE"""),"")</f>
        <v/>
      </c>
      <c r="H429" s="106" t="s">
        <v>133</v>
      </c>
      <c r="I429" s="136"/>
      <c r="J429" s="139" t="s">
        <v>133</v>
      </c>
      <c r="K429" s="136" t="s">
        <v>133</v>
      </c>
      <c r="L429" s="153" t="str">
        <f>IFERROR(__xludf.DUMMYFUNCTION("""COMPUTED_VALUE"""),"")</f>
        <v/>
      </c>
      <c r="M429" s="136" t="str">
        <f t="shared" si="1"/>
        <v/>
      </c>
      <c r="N429" s="136" t="str">
        <f>IFERROR(__xludf.DUMMYFUNCTION("""COMPUTED_VALUE"""),"")</f>
        <v/>
      </c>
      <c r="O429" s="141" t="s">
        <v>133</v>
      </c>
      <c r="P429" s="136" t="str">
        <f>IFERROR(__xludf.DUMMYFUNCTION("""COMPUTED_VALUE"""),"")</f>
        <v/>
      </c>
      <c r="Q429" s="136" t="str">
        <f>IFERROR(__xludf.DUMMYFUNCTION("""COMPUTED_VALUE"""),"")</f>
        <v/>
      </c>
      <c r="R429" s="106" t="str">
        <f>IFERROR(__xludf.DUMMYFUNCTION("""COMPUTED_VALUE"""),"")</f>
        <v/>
      </c>
      <c r="S429" s="106" t="str">
        <f>IFERROR(__xludf.DUMMYFUNCTION("""COMPUTED_VALUE"""),"")</f>
        <v/>
      </c>
      <c r="T429" s="139" t="str">
        <f>IFERROR(__xludf.DUMMYFUNCTION("""COMPUTED_VALUE"""),"")</f>
        <v/>
      </c>
      <c r="U429" s="139" t="str">
        <f>IFERROR(__xludf.DUMMYFUNCTION("""COMPUTED_VALUE"""),"")</f>
        <v/>
      </c>
      <c r="V429" s="136" t="str">
        <f>IFERROR(__xludf.DUMMYFUNCTION("""COMPUTED_VALUE"""),"")</f>
        <v/>
      </c>
      <c r="W429" s="106" t="str">
        <f>IFERROR(__xludf.DUMMYFUNCTION("""COMPUTED_VALUE"""),"")</f>
        <v/>
      </c>
      <c r="X429" s="143" t="str">
        <f t="shared" si="2"/>
        <v/>
      </c>
      <c r="Y429" s="139" t="str">
        <f>IFERROR(__xludf.DUMMYFUNCTION("""COMPUTED_VALUE"""),"")</f>
        <v/>
      </c>
      <c r="Z429" s="141" t="str">
        <f>IFERROR(__xludf.DUMMYFUNCTION("""COMPUTED_VALUE"""),"")</f>
        <v/>
      </c>
    </row>
    <row r="430">
      <c r="A430" s="136"/>
      <c r="B430" s="136"/>
      <c r="C430" s="136" t="str">
        <f>IFERROR(__xludf.DUMMYFUNCTION("""COMPUTED_VALUE"""),"")</f>
        <v/>
      </c>
      <c r="D430" s="136" t="str">
        <f t="shared" si="3"/>
        <v/>
      </c>
      <c r="E430" s="152" t="str">
        <f>IFERROR(__xludf.DUMMYFUNCTION("""COMPUTED_VALUE"""),"")</f>
        <v/>
      </c>
      <c r="F430" s="106" t="s">
        <v>133</v>
      </c>
      <c r="G430" s="152" t="str">
        <f>IFERROR(__xludf.DUMMYFUNCTION("""COMPUTED_VALUE"""),"")</f>
        <v/>
      </c>
      <c r="H430" s="106" t="s">
        <v>133</v>
      </c>
      <c r="I430" s="136"/>
      <c r="J430" s="139" t="s">
        <v>133</v>
      </c>
      <c r="K430" s="136" t="s">
        <v>133</v>
      </c>
      <c r="L430" s="153" t="str">
        <f>IFERROR(__xludf.DUMMYFUNCTION("""COMPUTED_VALUE"""),"")</f>
        <v/>
      </c>
      <c r="M430" s="136" t="str">
        <f t="shared" si="1"/>
        <v/>
      </c>
      <c r="N430" s="136" t="str">
        <f>IFERROR(__xludf.DUMMYFUNCTION("""COMPUTED_VALUE"""),"")</f>
        <v/>
      </c>
      <c r="O430" s="141" t="s">
        <v>133</v>
      </c>
      <c r="P430" s="136" t="str">
        <f>IFERROR(__xludf.DUMMYFUNCTION("""COMPUTED_VALUE"""),"")</f>
        <v/>
      </c>
      <c r="Q430" s="136" t="str">
        <f>IFERROR(__xludf.DUMMYFUNCTION("""COMPUTED_VALUE"""),"")</f>
        <v/>
      </c>
      <c r="R430" s="106" t="str">
        <f>IFERROR(__xludf.DUMMYFUNCTION("""COMPUTED_VALUE"""),"")</f>
        <v/>
      </c>
      <c r="S430" s="106" t="str">
        <f>IFERROR(__xludf.DUMMYFUNCTION("""COMPUTED_VALUE"""),"")</f>
        <v/>
      </c>
      <c r="T430" s="139" t="str">
        <f>IFERROR(__xludf.DUMMYFUNCTION("""COMPUTED_VALUE"""),"")</f>
        <v/>
      </c>
      <c r="U430" s="139" t="str">
        <f>IFERROR(__xludf.DUMMYFUNCTION("""COMPUTED_VALUE"""),"")</f>
        <v/>
      </c>
      <c r="V430" s="136" t="str">
        <f>IFERROR(__xludf.DUMMYFUNCTION("""COMPUTED_VALUE"""),"")</f>
        <v/>
      </c>
      <c r="W430" s="106" t="str">
        <f>IFERROR(__xludf.DUMMYFUNCTION("""COMPUTED_VALUE"""),"")</f>
        <v/>
      </c>
      <c r="X430" s="143" t="str">
        <f t="shared" si="2"/>
        <v/>
      </c>
      <c r="Y430" s="139" t="str">
        <f>IFERROR(__xludf.DUMMYFUNCTION("""COMPUTED_VALUE"""),"")</f>
        <v/>
      </c>
      <c r="Z430" s="141" t="str">
        <f>IFERROR(__xludf.DUMMYFUNCTION("""COMPUTED_VALUE"""),"")</f>
        <v/>
      </c>
    </row>
    <row r="431">
      <c r="A431" s="136"/>
      <c r="B431" s="136"/>
      <c r="C431" s="136" t="str">
        <f>IFERROR(__xludf.DUMMYFUNCTION("""COMPUTED_VALUE"""),"")</f>
        <v/>
      </c>
      <c r="D431" s="136" t="str">
        <f t="shared" si="3"/>
        <v/>
      </c>
      <c r="E431" s="152" t="str">
        <f>IFERROR(__xludf.DUMMYFUNCTION("""COMPUTED_VALUE"""),"")</f>
        <v/>
      </c>
      <c r="F431" s="106" t="s">
        <v>133</v>
      </c>
      <c r="G431" s="152" t="str">
        <f>IFERROR(__xludf.DUMMYFUNCTION("""COMPUTED_VALUE"""),"")</f>
        <v/>
      </c>
      <c r="H431" s="106" t="s">
        <v>133</v>
      </c>
      <c r="I431" s="136"/>
      <c r="J431" s="139" t="s">
        <v>133</v>
      </c>
      <c r="K431" s="136" t="s">
        <v>133</v>
      </c>
      <c r="L431" s="153" t="str">
        <f>IFERROR(__xludf.DUMMYFUNCTION("""COMPUTED_VALUE"""),"")</f>
        <v/>
      </c>
      <c r="M431" s="136" t="str">
        <f t="shared" si="1"/>
        <v/>
      </c>
      <c r="N431" s="136" t="str">
        <f>IFERROR(__xludf.DUMMYFUNCTION("""COMPUTED_VALUE"""),"")</f>
        <v/>
      </c>
      <c r="O431" s="141" t="s">
        <v>133</v>
      </c>
      <c r="P431" s="136" t="str">
        <f>IFERROR(__xludf.DUMMYFUNCTION("""COMPUTED_VALUE"""),"")</f>
        <v/>
      </c>
      <c r="Q431" s="136" t="str">
        <f>IFERROR(__xludf.DUMMYFUNCTION("""COMPUTED_VALUE"""),"")</f>
        <v/>
      </c>
      <c r="R431" s="106" t="str">
        <f>IFERROR(__xludf.DUMMYFUNCTION("""COMPUTED_VALUE"""),"")</f>
        <v/>
      </c>
      <c r="S431" s="106" t="str">
        <f>IFERROR(__xludf.DUMMYFUNCTION("""COMPUTED_VALUE"""),"")</f>
        <v/>
      </c>
      <c r="T431" s="139" t="str">
        <f>IFERROR(__xludf.DUMMYFUNCTION("""COMPUTED_VALUE"""),"")</f>
        <v/>
      </c>
      <c r="U431" s="139" t="str">
        <f>IFERROR(__xludf.DUMMYFUNCTION("""COMPUTED_VALUE"""),"")</f>
        <v/>
      </c>
      <c r="V431" s="136" t="str">
        <f>IFERROR(__xludf.DUMMYFUNCTION("""COMPUTED_VALUE"""),"")</f>
        <v/>
      </c>
      <c r="W431" s="106" t="str">
        <f>IFERROR(__xludf.DUMMYFUNCTION("""COMPUTED_VALUE"""),"")</f>
        <v/>
      </c>
      <c r="X431" s="143" t="str">
        <f t="shared" si="2"/>
        <v/>
      </c>
      <c r="Y431" s="139" t="str">
        <f>IFERROR(__xludf.DUMMYFUNCTION("""COMPUTED_VALUE"""),"")</f>
        <v/>
      </c>
      <c r="Z431" s="141" t="str">
        <f>IFERROR(__xludf.DUMMYFUNCTION("""COMPUTED_VALUE"""),"")</f>
        <v/>
      </c>
    </row>
    <row r="432">
      <c r="A432" s="136"/>
      <c r="B432" s="136"/>
      <c r="C432" s="136" t="str">
        <f>IFERROR(__xludf.DUMMYFUNCTION("""COMPUTED_VALUE"""),"")</f>
        <v/>
      </c>
      <c r="D432" s="136" t="str">
        <f t="shared" si="3"/>
        <v/>
      </c>
      <c r="E432" s="152" t="str">
        <f>IFERROR(__xludf.DUMMYFUNCTION("""COMPUTED_VALUE"""),"")</f>
        <v/>
      </c>
      <c r="F432" s="106" t="s">
        <v>133</v>
      </c>
      <c r="G432" s="152" t="str">
        <f>IFERROR(__xludf.DUMMYFUNCTION("""COMPUTED_VALUE"""),"")</f>
        <v/>
      </c>
      <c r="H432" s="106" t="s">
        <v>133</v>
      </c>
      <c r="I432" s="136"/>
      <c r="J432" s="139" t="s">
        <v>133</v>
      </c>
      <c r="K432" s="136" t="s">
        <v>133</v>
      </c>
      <c r="L432" s="153" t="str">
        <f>IFERROR(__xludf.DUMMYFUNCTION("""COMPUTED_VALUE"""),"")</f>
        <v/>
      </c>
      <c r="M432" s="136" t="str">
        <f t="shared" si="1"/>
        <v/>
      </c>
      <c r="N432" s="136" t="str">
        <f>IFERROR(__xludf.DUMMYFUNCTION("""COMPUTED_VALUE"""),"")</f>
        <v/>
      </c>
      <c r="O432" s="141" t="s">
        <v>133</v>
      </c>
      <c r="P432" s="136" t="str">
        <f>IFERROR(__xludf.DUMMYFUNCTION("""COMPUTED_VALUE"""),"")</f>
        <v/>
      </c>
      <c r="Q432" s="136" t="str">
        <f>IFERROR(__xludf.DUMMYFUNCTION("""COMPUTED_VALUE"""),"")</f>
        <v/>
      </c>
      <c r="R432" s="106" t="str">
        <f>IFERROR(__xludf.DUMMYFUNCTION("""COMPUTED_VALUE"""),"")</f>
        <v/>
      </c>
      <c r="S432" s="106" t="str">
        <f>IFERROR(__xludf.DUMMYFUNCTION("""COMPUTED_VALUE"""),"")</f>
        <v/>
      </c>
      <c r="T432" s="139" t="str">
        <f>IFERROR(__xludf.DUMMYFUNCTION("""COMPUTED_VALUE"""),"")</f>
        <v/>
      </c>
      <c r="U432" s="139" t="str">
        <f>IFERROR(__xludf.DUMMYFUNCTION("""COMPUTED_VALUE"""),"")</f>
        <v/>
      </c>
      <c r="V432" s="136" t="str">
        <f>IFERROR(__xludf.DUMMYFUNCTION("""COMPUTED_VALUE"""),"")</f>
        <v/>
      </c>
      <c r="W432" s="106" t="str">
        <f>IFERROR(__xludf.DUMMYFUNCTION("""COMPUTED_VALUE"""),"")</f>
        <v/>
      </c>
      <c r="X432" s="143" t="str">
        <f t="shared" si="2"/>
        <v/>
      </c>
      <c r="Y432" s="139" t="str">
        <f>IFERROR(__xludf.DUMMYFUNCTION("""COMPUTED_VALUE"""),"")</f>
        <v/>
      </c>
      <c r="Z432" s="141" t="str">
        <f>IFERROR(__xludf.DUMMYFUNCTION("""COMPUTED_VALUE"""),"")</f>
        <v/>
      </c>
    </row>
    <row r="433">
      <c r="A433" s="136"/>
      <c r="B433" s="136"/>
      <c r="C433" s="136" t="str">
        <f>IFERROR(__xludf.DUMMYFUNCTION("""COMPUTED_VALUE"""),"")</f>
        <v/>
      </c>
      <c r="D433" s="136" t="str">
        <f t="shared" si="3"/>
        <v/>
      </c>
      <c r="E433" s="152" t="str">
        <f>IFERROR(__xludf.DUMMYFUNCTION("""COMPUTED_VALUE"""),"")</f>
        <v/>
      </c>
      <c r="F433" s="106" t="s">
        <v>133</v>
      </c>
      <c r="G433" s="152" t="str">
        <f>IFERROR(__xludf.DUMMYFUNCTION("""COMPUTED_VALUE"""),"")</f>
        <v/>
      </c>
      <c r="H433" s="106" t="s">
        <v>133</v>
      </c>
      <c r="I433" s="136"/>
      <c r="J433" s="139" t="s">
        <v>133</v>
      </c>
      <c r="K433" s="136" t="s">
        <v>133</v>
      </c>
      <c r="L433" s="153" t="str">
        <f>IFERROR(__xludf.DUMMYFUNCTION("""COMPUTED_VALUE"""),"")</f>
        <v/>
      </c>
      <c r="M433" s="136" t="str">
        <f t="shared" si="1"/>
        <v/>
      </c>
      <c r="N433" s="136" t="str">
        <f>IFERROR(__xludf.DUMMYFUNCTION("""COMPUTED_VALUE"""),"")</f>
        <v/>
      </c>
      <c r="O433" s="141" t="s">
        <v>133</v>
      </c>
      <c r="P433" s="136" t="str">
        <f>IFERROR(__xludf.DUMMYFUNCTION("""COMPUTED_VALUE"""),"")</f>
        <v/>
      </c>
      <c r="Q433" s="136" t="str">
        <f>IFERROR(__xludf.DUMMYFUNCTION("""COMPUTED_VALUE"""),"")</f>
        <v/>
      </c>
      <c r="R433" s="106" t="str">
        <f>IFERROR(__xludf.DUMMYFUNCTION("""COMPUTED_VALUE"""),"")</f>
        <v/>
      </c>
      <c r="S433" s="106" t="str">
        <f>IFERROR(__xludf.DUMMYFUNCTION("""COMPUTED_VALUE"""),"")</f>
        <v/>
      </c>
      <c r="T433" s="139" t="str">
        <f>IFERROR(__xludf.DUMMYFUNCTION("""COMPUTED_VALUE"""),"")</f>
        <v/>
      </c>
      <c r="U433" s="139" t="str">
        <f>IFERROR(__xludf.DUMMYFUNCTION("""COMPUTED_VALUE"""),"")</f>
        <v/>
      </c>
      <c r="V433" s="136" t="str">
        <f>IFERROR(__xludf.DUMMYFUNCTION("""COMPUTED_VALUE"""),"")</f>
        <v/>
      </c>
      <c r="W433" s="106" t="str">
        <f>IFERROR(__xludf.DUMMYFUNCTION("""COMPUTED_VALUE"""),"")</f>
        <v/>
      </c>
      <c r="X433" s="143" t="str">
        <f t="shared" si="2"/>
        <v/>
      </c>
      <c r="Y433" s="139" t="str">
        <f>IFERROR(__xludf.DUMMYFUNCTION("""COMPUTED_VALUE"""),"")</f>
        <v/>
      </c>
      <c r="Z433" s="141" t="str">
        <f>IFERROR(__xludf.DUMMYFUNCTION("""COMPUTED_VALUE"""),"")</f>
        <v/>
      </c>
    </row>
    <row r="434">
      <c r="A434" s="136"/>
      <c r="B434" s="136"/>
      <c r="C434" s="136" t="str">
        <f>IFERROR(__xludf.DUMMYFUNCTION("""COMPUTED_VALUE"""),"")</f>
        <v/>
      </c>
      <c r="D434" s="136" t="str">
        <f t="shared" si="3"/>
        <v/>
      </c>
      <c r="E434" s="152" t="str">
        <f>IFERROR(__xludf.DUMMYFUNCTION("""COMPUTED_VALUE"""),"")</f>
        <v/>
      </c>
      <c r="F434" s="106" t="s">
        <v>133</v>
      </c>
      <c r="G434" s="152" t="str">
        <f>IFERROR(__xludf.DUMMYFUNCTION("""COMPUTED_VALUE"""),"")</f>
        <v/>
      </c>
      <c r="H434" s="106" t="s">
        <v>133</v>
      </c>
      <c r="I434" s="136"/>
      <c r="J434" s="139" t="s">
        <v>133</v>
      </c>
      <c r="K434" s="136" t="s">
        <v>133</v>
      </c>
      <c r="L434" s="153" t="str">
        <f>IFERROR(__xludf.DUMMYFUNCTION("""COMPUTED_VALUE"""),"")</f>
        <v/>
      </c>
      <c r="M434" s="136" t="str">
        <f t="shared" si="1"/>
        <v/>
      </c>
      <c r="N434" s="136" t="str">
        <f>IFERROR(__xludf.DUMMYFUNCTION("""COMPUTED_VALUE"""),"")</f>
        <v/>
      </c>
      <c r="O434" s="141" t="s">
        <v>133</v>
      </c>
      <c r="P434" s="136" t="str">
        <f>IFERROR(__xludf.DUMMYFUNCTION("""COMPUTED_VALUE"""),"")</f>
        <v/>
      </c>
      <c r="Q434" s="136" t="str">
        <f>IFERROR(__xludf.DUMMYFUNCTION("""COMPUTED_VALUE"""),"")</f>
        <v/>
      </c>
      <c r="R434" s="106" t="str">
        <f>IFERROR(__xludf.DUMMYFUNCTION("""COMPUTED_VALUE"""),"")</f>
        <v/>
      </c>
      <c r="S434" s="106" t="str">
        <f>IFERROR(__xludf.DUMMYFUNCTION("""COMPUTED_VALUE"""),"")</f>
        <v/>
      </c>
      <c r="T434" s="139" t="str">
        <f>IFERROR(__xludf.DUMMYFUNCTION("""COMPUTED_VALUE"""),"")</f>
        <v/>
      </c>
      <c r="U434" s="139" t="str">
        <f>IFERROR(__xludf.DUMMYFUNCTION("""COMPUTED_VALUE"""),"")</f>
        <v/>
      </c>
      <c r="V434" s="136" t="str">
        <f>IFERROR(__xludf.DUMMYFUNCTION("""COMPUTED_VALUE"""),"")</f>
        <v/>
      </c>
      <c r="W434" s="106" t="str">
        <f>IFERROR(__xludf.DUMMYFUNCTION("""COMPUTED_VALUE"""),"")</f>
        <v/>
      </c>
      <c r="X434" s="143" t="str">
        <f t="shared" si="2"/>
        <v/>
      </c>
      <c r="Y434" s="139" t="str">
        <f>IFERROR(__xludf.DUMMYFUNCTION("""COMPUTED_VALUE"""),"")</f>
        <v/>
      </c>
      <c r="Z434" s="141" t="str">
        <f>IFERROR(__xludf.DUMMYFUNCTION("""COMPUTED_VALUE"""),"")</f>
        <v/>
      </c>
    </row>
    <row r="435">
      <c r="A435" s="136"/>
      <c r="B435" s="136"/>
      <c r="C435" s="136" t="str">
        <f>IFERROR(__xludf.DUMMYFUNCTION("""COMPUTED_VALUE"""),"")</f>
        <v/>
      </c>
      <c r="D435" s="136" t="str">
        <f t="shared" si="3"/>
        <v/>
      </c>
      <c r="E435" s="152" t="str">
        <f>IFERROR(__xludf.DUMMYFUNCTION("""COMPUTED_VALUE"""),"")</f>
        <v/>
      </c>
      <c r="F435" s="106" t="s">
        <v>133</v>
      </c>
      <c r="G435" s="152" t="str">
        <f>IFERROR(__xludf.DUMMYFUNCTION("""COMPUTED_VALUE"""),"")</f>
        <v/>
      </c>
      <c r="H435" s="106" t="s">
        <v>133</v>
      </c>
      <c r="I435" s="136"/>
      <c r="J435" s="139" t="s">
        <v>133</v>
      </c>
      <c r="K435" s="136" t="s">
        <v>133</v>
      </c>
      <c r="L435" s="153" t="str">
        <f>IFERROR(__xludf.DUMMYFUNCTION("""COMPUTED_VALUE"""),"")</f>
        <v/>
      </c>
      <c r="M435" s="136" t="str">
        <f t="shared" si="1"/>
        <v/>
      </c>
      <c r="N435" s="136" t="str">
        <f>IFERROR(__xludf.DUMMYFUNCTION("""COMPUTED_VALUE"""),"")</f>
        <v/>
      </c>
      <c r="O435" s="141" t="s">
        <v>133</v>
      </c>
      <c r="P435" s="136" t="str">
        <f>IFERROR(__xludf.DUMMYFUNCTION("""COMPUTED_VALUE"""),"")</f>
        <v/>
      </c>
      <c r="Q435" s="136" t="str">
        <f>IFERROR(__xludf.DUMMYFUNCTION("""COMPUTED_VALUE"""),"")</f>
        <v/>
      </c>
      <c r="R435" s="106" t="str">
        <f>IFERROR(__xludf.DUMMYFUNCTION("""COMPUTED_VALUE"""),"")</f>
        <v/>
      </c>
      <c r="S435" s="106" t="str">
        <f>IFERROR(__xludf.DUMMYFUNCTION("""COMPUTED_VALUE"""),"")</f>
        <v/>
      </c>
      <c r="T435" s="139" t="str">
        <f>IFERROR(__xludf.DUMMYFUNCTION("""COMPUTED_VALUE"""),"")</f>
        <v/>
      </c>
      <c r="U435" s="139" t="str">
        <f>IFERROR(__xludf.DUMMYFUNCTION("""COMPUTED_VALUE"""),"")</f>
        <v/>
      </c>
      <c r="V435" s="136" t="str">
        <f>IFERROR(__xludf.DUMMYFUNCTION("""COMPUTED_VALUE"""),"")</f>
        <v/>
      </c>
      <c r="W435" s="106" t="str">
        <f>IFERROR(__xludf.DUMMYFUNCTION("""COMPUTED_VALUE"""),"")</f>
        <v/>
      </c>
      <c r="X435" s="143" t="str">
        <f t="shared" si="2"/>
        <v/>
      </c>
      <c r="Y435" s="139" t="str">
        <f>IFERROR(__xludf.DUMMYFUNCTION("""COMPUTED_VALUE"""),"")</f>
        <v/>
      </c>
      <c r="Z435" s="141" t="str">
        <f>IFERROR(__xludf.DUMMYFUNCTION("""COMPUTED_VALUE"""),"")</f>
        <v/>
      </c>
    </row>
    <row r="436">
      <c r="A436" s="136"/>
      <c r="B436" s="136"/>
      <c r="C436" s="136" t="str">
        <f>IFERROR(__xludf.DUMMYFUNCTION("""COMPUTED_VALUE"""),"")</f>
        <v/>
      </c>
      <c r="D436" s="136" t="str">
        <f t="shared" si="3"/>
        <v/>
      </c>
      <c r="E436" s="152" t="str">
        <f>IFERROR(__xludf.DUMMYFUNCTION("""COMPUTED_VALUE"""),"")</f>
        <v/>
      </c>
      <c r="F436" s="106" t="s">
        <v>133</v>
      </c>
      <c r="G436" s="152" t="str">
        <f>IFERROR(__xludf.DUMMYFUNCTION("""COMPUTED_VALUE"""),"")</f>
        <v/>
      </c>
      <c r="H436" s="106" t="s">
        <v>133</v>
      </c>
      <c r="I436" s="136"/>
      <c r="J436" s="139" t="s">
        <v>133</v>
      </c>
      <c r="K436" s="136" t="s">
        <v>133</v>
      </c>
      <c r="L436" s="153" t="str">
        <f>IFERROR(__xludf.DUMMYFUNCTION("""COMPUTED_VALUE"""),"")</f>
        <v/>
      </c>
      <c r="M436" s="136" t="str">
        <f t="shared" si="1"/>
        <v/>
      </c>
      <c r="N436" s="136" t="str">
        <f>IFERROR(__xludf.DUMMYFUNCTION("""COMPUTED_VALUE"""),"")</f>
        <v/>
      </c>
      <c r="O436" s="141" t="s">
        <v>133</v>
      </c>
      <c r="P436" s="136" t="str">
        <f>IFERROR(__xludf.DUMMYFUNCTION("""COMPUTED_VALUE"""),"")</f>
        <v/>
      </c>
      <c r="Q436" s="136" t="str">
        <f>IFERROR(__xludf.DUMMYFUNCTION("""COMPUTED_VALUE"""),"")</f>
        <v/>
      </c>
      <c r="R436" s="106" t="str">
        <f>IFERROR(__xludf.DUMMYFUNCTION("""COMPUTED_VALUE"""),"")</f>
        <v/>
      </c>
      <c r="S436" s="106" t="str">
        <f>IFERROR(__xludf.DUMMYFUNCTION("""COMPUTED_VALUE"""),"")</f>
        <v/>
      </c>
      <c r="T436" s="139" t="str">
        <f>IFERROR(__xludf.DUMMYFUNCTION("""COMPUTED_VALUE"""),"")</f>
        <v/>
      </c>
      <c r="U436" s="139" t="str">
        <f>IFERROR(__xludf.DUMMYFUNCTION("""COMPUTED_VALUE"""),"")</f>
        <v/>
      </c>
      <c r="V436" s="136" t="str">
        <f>IFERROR(__xludf.DUMMYFUNCTION("""COMPUTED_VALUE"""),"")</f>
        <v/>
      </c>
      <c r="W436" s="106" t="str">
        <f>IFERROR(__xludf.DUMMYFUNCTION("""COMPUTED_VALUE"""),"")</f>
        <v/>
      </c>
      <c r="X436" s="143" t="str">
        <f t="shared" si="2"/>
        <v/>
      </c>
      <c r="Y436" s="139" t="str">
        <f>IFERROR(__xludf.DUMMYFUNCTION("""COMPUTED_VALUE"""),"")</f>
        <v/>
      </c>
      <c r="Z436" s="141" t="str">
        <f>IFERROR(__xludf.DUMMYFUNCTION("""COMPUTED_VALUE"""),"")</f>
        <v/>
      </c>
    </row>
    <row r="437">
      <c r="A437" s="136"/>
      <c r="B437" s="136"/>
      <c r="C437" s="136" t="str">
        <f>IFERROR(__xludf.DUMMYFUNCTION("""COMPUTED_VALUE"""),"")</f>
        <v/>
      </c>
      <c r="D437" s="136" t="str">
        <f t="shared" si="3"/>
        <v/>
      </c>
      <c r="E437" s="152" t="str">
        <f>IFERROR(__xludf.DUMMYFUNCTION("""COMPUTED_VALUE"""),"")</f>
        <v/>
      </c>
      <c r="F437" s="106" t="s">
        <v>133</v>
      </c>
      <c r="G437" s="152" t="str">
        <f>IFERROR(__xludf.DUMMYFUNCTION("""COMPUTED_VALUE"""),"")</f>
        <v/>
      </c>
      <c r="H437" s="106" t="s">
        <v>133</v>
      </c>
      <c r="I437" s="136"/>
      <c r="J437" s="139" t="s">
        <v>133</v>
      </c>
      <c r="K437" s="136" t="s">
        <v>133</v>
      </c>
      <c r="L437" s="153" t="str">
        <f>IFERROR(__xludf.DUMMYFUNCTION("""COMPUTED_VALUE"""),"")</f>
        <v/>
      </c>
      <c r="M437" s="136" t="str">
        <f t="shared" si="1"/>
        <v/>
      </c>
      <c r="N437" s="136" t="str">
        <f>IFERROR(__xludf.DUMMYFUNCTION("""COMPUTED_VALUE"""),"")</f>
        <v/>
      </c>
      <c r="O437" s="141" t="s">
        <v>133</v>
      </c>
      <c r="P437" s="136" t="str">
        <f>IFERROR(__xludf.DUMMYFUNCTION("""COMPUTED_VALUE"""),"")</f>
        <v/>
      </c>
      <c r="Q437" s="136" t="str">
        <f>IFERROR(__xludf.DUMMYFUNCTION("""COMPUTED_VALUE"""),"")</f>
        <v/>
      </c>
      <c r="R437" s="106" t="str">
        <f>IFERROR(__xludf.DUMMYFUNCTION("""COMPUTED_VALUE"""),"")</f>
        <v/>
      </c>
      <c r="S437" s="106" t="str">
        <f>IFERROR(__xludf.DUMMYFUNCTION("""COMPUTED_VALUE"""),"")</f>
        <v/>
      </c>
      <c r="T437" s="139" t="str">
        <f>IFERROR(__xludf.DUMMYFUNCTION("""COMPUTED_VALUE"""),"")</f>
        <v/>
      </c>
      <c r="U437" s="139" t="str">
        <f>IFERROR(__xludf.DUMMYFUNCTION("""COMPUTED_VALUE"""),"")</f>
        <v/>
      </c>
      <c r="V437" s="136" t="str">
        <f>IFERROR(__xludf.DUMMYFUNCTION("""COMPUTED_VALUE"""),"")</f>
        <v/>
      </c>
      <c r="W437" s="106" t="str">
        <f>IFERROR(__xludf.DUMMYFUNCTION("""COMPUTED_VALUE"""),"")</f>
        <v/>
      </c>
      <c r="X437" s="143" t="str">
        <f t="shared" si="2"/>
        <v/>
      </c>
      <c r="Y437" s="139" t="str">
        <f>IFERROR(__xludf.DUMMYFUNCTION("""COMPUTED_VALUE"""),"")</f>
        <v/>
      </c>
      <c r="Z437" s="141" t="str">
        <f>IFERROR(__xludf.DUMMYFUNCTION("""COMPUTED_VALUE"""),"")</f>
        <v/>
      </c>
    </row>
    <row r="438">
      <c r="A438" s="136"/>
      <c r="B438" s="136"/>
      <c r="C438" s="136" t="str">
        <f>IFERROR(__xludf.DUMMYFUNCTION("""COMPUTED_VALUE"""),"")</f>
        <v/>
      </c>
      <c r="D438" s="136" t="str">
        <f t="shared" si="3"/>
        <v/>
      </c>
      <c r="E438" s="152" t="str">
        <f>IFERROR(__xludf.DUMMYFUNCTION("""COMPUTED_VALUE"""),"")</f>
        <v/>
      </c>
      <c r="F438" s="106" t="s">
        <v>133</v>
      </c>
      <c r="G438" s="152" t="str">
        <f>IFERROR(__xludf.DUMMYFUNCTION("""COMPUTED_VALUE"""),"")</f>
        <v/>
      </c>
      <c r="H438" s="106" t="s">
        <v>133</v>
      </c>
      <c r="I438" s="136"/>
      <c r="J438" s="139" t="s">
        <v>133</v>
      </c>
      <c r="K438" s="136" t="s">
        <v>133</v>
      </c>
      <c r="L438" s="153" t="str">
        <f>IFERROR(__xludf.DUMMYFUNCTION("""COMPUTED_VALUE"""),"")</f>
        <v/>
      </c>
      <c r="M438" s="136" t="str">
        <f t="shared" si="1"/>
        <v/>
      </c>
      <c r="N438" s="136" t="str">
        <f>IFERROR(__xludf.DUMMYFUNCTION("""COMPUTED_VALUE"""),"")</f>
        <v/>
      </c>
      <c r="O438" s="141" t="s">
        <v>133</v>
      </c>
      <c r="P438" s="136" t="str">
        <f>IFERROR(__xludf.DUMMYFUNCTION("""COMPUTED_VALUE"""),"")</f>
        <v/>
      </c>
      <c r="Q438" s="136" t="str">
        <f>IFERROR(__xludf.DUMMYFUNCTION("""COMPUTED_VALUE"""),"")</f>
        <v/>
      </c>
      <c r="R438" s="106" t="str">
        <f>IFERROR(__xludf.DUMMYFUNCTION("""COMPUTED_VALUE"""),"")</f>
        <v/>
      </c>
      <c r="S438" s="106" t="str">
        <f>IFERROR(__xludf.DUMMYFUNCTION("""COMPUTED_VALUE"""),"")</f>
        <v/>
      </c>
      <c r="T438" s="139" t="str">
        <f>IFERROR(__xludf.DUMMYFUNCTION("""COMPUTED_VALUE"""),"")</f>
        <v/>
      </c>
      <c r="U438" s="139" t="str">
        <f>IFERROR(__xludf.DUMMYFUNCTION("""COMPUTED_VALUE"""),"")</f>
        <v/>
      </c>
      <c r="V438" s="136" t="str">
        <f>IFERROR(__xludf.DUMMYFUNCTION("""COMPUTED_VALUE"""),"")</f>
        <v/>
      </c>
      <c r="W438" s="106" t="str">
        <f>IFERROR(__xludf.DUMMYFUNCTION("""COMPUTED_VALUE"""),"")</f>
        <v/>
      </c>
      <c r="X438" s="143" t="str">
        <f t="shared" si="2"/>
        <v/>
      </c>
      <c r="Y438" s="139" t="str">
        <f>IFERROR(__xludf.DUMMYFUNCTION("""COMPUTED_VALUE"""),"")</f>
        <v/>
      </c>
      <c r="Z438" s="141" t="str">
        <f>IFERROR(__xludf.DUMMYFUNCTION("""COMPUTED_VALUE"""),"")</f>
        <v/>
      </c>
    </row>
    <row r="439">
      <c r="A439" s="136"/>
      <c r="B439" s="136"/>
      <c r="C439" s="136" t="str">
        <f>IFERROR(__xludf.DUMMYFUNCTION("""COMPUTED_VALUE"""),"")</f>
        <v/>
      </c>
      <c r="D439" s="136" t="str">
        <f t="shared" si="3"/>
        <v/>
      </c>
      <c r="E439" s="152" t="str">
        <f>IFERROR(__xludf.DUMMYFUNCTION("""COMPUTED_VALUE"""),"")</f>
        <v/>
      </c>
      <c r="F439" s="106" t="s">
        <v>133</v>
      </c>
      <c r="G439" s="152" t="str">
        <f>IFERROR(__xludf.DUMMYFUNCTION("""COMPUTED_VALUE"""),"")</f>
        <v/>
      </c>
      <c r="H439" s="106" t="s">
        <v>133</v>
      </c>
      <c r="I439" s="136"/>
      <c r="J439" s="139" t="s">
        <v>133</v>
      </c>
      <c r="K439" s="136" t="s">
        <v>133</v>
      </c>
      <c r="L439" s="153" t="str">
        <f>IFERROR(__xludf.DUMMYFUNCTION("""COMPUTED_VALUE"""),"")</f>
        <v/>
      </c>
      <c r="M439" s="136" t="str">
        <f t="shared" si="1"/>
        <v/>
      </c>
      <c r="N439" s="136" t="str">
        <f>IFERROR(__xludf.DUMMYFUNCTION("""COMPUTED_VALUE"""),"")</f>
        <v/>
      </c>
      <c r="O439" s="141" t="s">
        <v>133</v>
      </c>
      <c r="P439" s="136" t="str">
        <f>IFERROR(__xludf.DUMMYFUNCTION("""COMPUTED_VALUE"""),"")</f>
        <v/>
      </c>
      <c r="Q439" s="136" t="str">
        <f>IFERROR(__xludf.DUMMYFUNCTION("""COMPUTED_VALUE"""),"")</f>
        <v/>
      </c>
      <c r="R439" s="106" t="str">
        <f>IFERROR(__xludf.DUMMYFUNCTION("""COMPUTED_VALUE"""),"")</f>
        <v/>
      </c>
      <c r="S439" s="106" t="str">
        <f>IFERROR(__xludf.DUMMYFUNCTION("""COMPUTED_VALUE"""),"")</f>
        <v/>
      </c>
      <c r="T439" s="139" t="str">
        <f>IFERROR(__xludf.DUMMYFUNCTION("""COMPUTED_VALUE"""),"")</f>
        <v/>
      </c>
      <c r="U439" s="139" t="str">
        <f>IFERROR(__xludf.DUMMYFUNCTION("""COMPUTED_VALUE"""),"")</f>
        <v/>
      </c>
      <c r="V439" s="136" t="str">
        <f>IFERROR(__xludf.DUMMYFUNCTION("""COMPUTED_VALUE"""),"")</f>
        <v/>
      </c>
      <c r="W439" s="106" t="str">
        <f>IFERROR(__xludf.DUMMYFUNCTION("""COMPUTED_VALUE"""),"")</f>
        <v/>
      </c>
      <c r="X439" s="143" t="str">
        <f t="shared" si="2"/>
        <v/>
      </c>
      <c r="Y439" s="139" t="str">
        <f>IFERROR(__xludf.DUMMYFUNCTION("""COMPUTED_VALUE"""),"")</f>
        <v/>
      </c>
      <c r="Z439" s="141" t="str">
        <f>IFERROR(__xludf.DUMMYFUNCTION("""COMPUTED_VALUE"""),"")</f>
        <v/>
      </c>
    </row>
    <row r="440">
      <c r="A440" s="136"/>
      <c r="B440" s="136"/>
      <c r="C440" s="136" t="str">
        <f>IFERROR(__xludf.DUMMYFUNCTION("""COMPUTED_VALUE"""),"")</f>
        <v/>
      </c>
      <c r="D440" s="136" t="str">
        <f t="shared" si="3"/>
        <v/>
      </c>
      <c r="E440" s="152" t="str">
        <f>IFERROR(__xludf.DUMMYFUNCTION("""COMPUTED_VALUE"""),"")</f>
        <v/>
      </c>
      <c r="F440" s="106" t="s">
        <v>133</v>
      </c>
      <c r="G440" s="152" t="str">
        <f>IFERROR(__xludf.DUMMYFUNCTION("""COMPUTED_VALUE"""),"")</f>
        <v/>
      </c>
      <c r="H440" s="106" t="s">
        <v>133</v>
      </c>
      <c r="I440" s="136"/>
      <c r="J440" s="139" t="s">
        <v>133</v>
      </c>
      <c r="K440" s="136" t="s">
        <v>133</v>
      </c>
      <c r="L440" s="153" t="str">
        <f>IFERROR(__xludf.DUMMYFUNCTION("""COMPUTED_VALUE"""),"")</f>
        <v/>
      </c>
      <c r="M440" s="136" t="str">
        <f t="shared" si="1"/>
        <v/>
      </c>
      <c r="N440" s="136" t="str">
        <f>IFERROR(__xludf.DUMMYFUNCTION("""COMPUTED_VALUE"""),"")</f>
        <v/>
      </c>
      <c r="O440" s="141" t="s">
        <v>133</v>
      </c>
      <c r="P440" s="136" t="str">
        <f>IFERROR(__xludf.DUMMYFUNCTION("""COMPUTED_VALUE"""),"")</f>
        <v/>
      </c>
      <c r="Q440" s="136" t="str">
        <f>IFERROR(__xludf.DUMMYFUNCTION("""COMPUTED_VALUE"""),"")</f>
        <v/>
      </c>
      <c r="R440" s="106" t="str">
        <f>IFERROR(__xludf.DUMMYFUNCTION("""COMPUTED_VALUE"""),"")</f>
        <v/>
      </c>
      <c r="S440" s="106" t="str">
        <f>IFERROR(__xludf.DUMMYFUNCTION("""COMPUTED_VALUE"""),"")</f>
        <v/>
      </c>
      <c r="T440" s="139" t="str">
        <f>IFERROR(__xludf.DUMMYFUNCTION("""COMPUTED_VALUE"""),"")</f>
        <v/>
      </c>
      <c r="U440" s="139" t="str">
        <f>IFERROR(__xludf.DUMMYFUNCTION("""COMPUTED_VALUE"""),"")</f>
        <v/>
      </c>
      <c r="V440" s="136" t="str">
        <f>IFERROR(__xludf.DUMMYFUNCTION("""COMPUTED_VALUE"""),"")</f>
        <v/>
      </c>
      <c r="W440" s="106" t="str">
        <f>IFERROR(__xludf.DUMMYFUNCTION("""COMPUTED_VALUE"""),"")</f>
        <v/>
      </c>
      <c r="X440" s="143" t="str">
        <f t="shared" si="2"/>
        <v/>
      </c>
      <c r="Y440" s="139" t="str">
        <f>IFERROR(__xludf.DUMMYFUNCTION("""COMPUTED_VALUE"""),"")</f>
        <v/>
      </c>
      <c r="Z440" s="141" t="str">
        <f>IFERROR(__xludf.DUMMYFUNCTION("""COMPUTED_VALUE"""),"")</f>
        <v/>
      </c>
    </row>
    <row r="441">
      <c r="A441" s="136"/>
      <c r="B441" s="136"/>
      <c r="C441" s="136" t="str">
        <f>IFERROR(__xludf.DUMMYFUNCTION("""COMPUTED_VALUE"""),"")</f>
        <v/>
      </c>
      <c r="D441" s="136" t="str">
        <f t="shared" si="3"/>
        <v/>
      </c>
      <c r="E441" s="152" t="str">
        <f>IFERROR(__xludf.DUMMYFUNCTION("""COMPUTED_VALUE"""),"")</f>
        <v/>
      </c>
      <c r="F441" s="106" t="s">
        <v>133</v>
      </c>
      <c r="G441" s="152" t="str">
        <f>IFERROR(__xludf.DUMMYFUNCTION("""COMPUTED_VALUE"""),"")</f>
        <v/>
      </c>
      <c r="H441" s="106" t="s">
        <v>133</v>
      </c>
      <c r="I441" s="136"/>
      <c r="J441" s="139" t="s">
        <v>133</v>
      </c>
      <c r="K441" s="136" t="s">
        <v>133</v>
      </c>
      <c r="L441" s="153" t="str">
        <f>IFERROR(__xludf.DUMMYFUNCTION("""COMPUTED_VALUE"""),"")</f>
        <v/>
      </c>
      <c r="M441" s="136" t="str">
        <f t="shared" si="1"/>
        <v/>
      </c>
      <c r="N441" s="136" t="str">
        <f>IFERROR(__xludf.DUMMYFUNCTION("""COMPUTED_VALUE"""),"")</f>
        <v/>
      </c>
      <c r="O441" s="141" t="s">
        <v>133</v>
      </c>
      <c r="P441" s="136" t="str">
        <f>IFERROR(__xludf.DUMMYFUNCTION("""COMPUTED_VALUE"""),"")</f>
        <v/>
      </c>
      <c r="Q441" s="136" t="str">
        <f>IFERROR(__xludf.DUMMYFUNCTION("""COMPUTED_VALUE"""),"")</f>
        <v/>
      </c>
      <c r="R441" s="106" t="str">
        <f>IFERROR(__xludf.DUMMYFUNCTION("""COMPUTED_VALUE"""),"")</f>
        <v/>
      </c>
      <c r="S441" s="106" t="str">
        <f>IFERROR(__xludf.DUMMYFUNCTION("""COMPUTED_VALUE"""),"")</f>
        <v/>
      </c>
      <c r="T441" s="139" t="str">
        <f>IFERROR(__xludf.DUMMYFUNCTION("""COMPUTED_VALUE"""),"")</f>
        <v/>
      </c>
      <c r="U441" s="139" t="str">
        <f>IFERROR(__xludf.DUMMYFUNCTION("""COMPUTED_VALUE"""),"")</f>
        <v/>
      </c>
      <c r="V441" s="136" t="str">
        <f>IFERROR(__xludf.DUMMYFUNCTION("""COMPUTED_VALUE"""),"")</f>
        <v/>
      </c>
      <c r="W441" s="106" t="str">
        <f>IFERROR(__xludf.DUMMYFUNCTION("""COMPUTED_VALUE"""),"")</f>
        <v/>
      </c>
      <c r="X441" s="143" t="str">
        <f t="shared" si="2"/>
        <v/>
      </c>
      <c r="Y441" s="139" t="str">
        <f>IFERROR(__xludf.DUMMYFUNCTION("""COMPUTED_VALUE"""),"")</f>
        <v/>
      </c>
      <c r="Z441" s="141" t="str">
        <f>IFERROR(__xludf.DUMMYFUNCTION("""COMPUTED_VALUE"""),"")</f>
        <v/>
      </c>
    </row>
    <row r="442">
      <c r="A442" s="136"/>
      <c r="B442" s="136"/>
      <c r="C442" s="136" t="str">
        <f>IFERROR(__xludf.DUMMYFUNCTION("""COMPUTED_VALUE"""),"")</f>
        <v/>
      </c>
      <c r="D442" s="136" t="str">
        <f t="shared" si="3"/>
        <v/>
      </c>
      <c r="E442" s="152" t="str">
        <f>IFERROR(__xludf.DUMMYFUNCTION("""COMPUTED_VALUE"""),"")</f>
        <v/>
      </c>
      <c r="F442" s="106" t="s">
        <v>133</v>
      </c>
      <c r="G442" s="152" t="str">
        <f>IFERROR(__xludf.DUMMYFUNCTION("""COMPUTED_VALUE"""),"")</f>
        <v/>
      </c>
      <c r="H442" s="106" t="s">
        <v>133</v>
      </c>
      <c r="I442" s="136"/>
      <c r="J442" s="139" t="s">
        <v>133</v>
      </c>
      <c r="K442" s="136" t="s">
        <v>133</v>
      </c>
      <c r="L442" s="153" t="str">
        <f>IFERROR(__xludf.DUMMYFUNCTION("""COMPUTED_VALUE"""),"")</f>
        <v/>
      </c>
      <c r="M442" s="136" t="str">
        <f t="shared" si="1"/>
        <v/>
      </c>
      <c r="N442" s="136" t="str">
        <f>IFERROR(__xludf.DUMMYFUNCTION("""COMPUTED_VALUE"""),"")</f>
        <v/>
      </c>
      <c r="O442" s="141" t="s">
        <v>133</v>
      </c>
      <c r="P442" s="136" t="str">
        <f>IFERROR(__xludf.DUMMYFUNCTION("""COMPUTED_VALUE"""),"")</f>
        <v/>
      </c>
      <c r="Q442" s="136" t="str">
        <f>IFERROR(__xludf.DUMMYFUNCTION("""COMPUTED_VALUE"""),"")</f>
        <v/>
      </c>
      <c r="R442" s="106" t="str">
        <f>IFERROR(__xludf.DUMMYFUNCTION("""COMPUTED_VALUE"""),"")</f>
        <v/>
      </c>
      <c r="S442" s="106" t="str">
        <f>IFERROR(__xludf.DUMMYFUNCTION("""COMPUTED_VALUE"""),"")</f>
        <v/>
      </c>
      <c r="T442" s="139" t="str">
        <f>IFERROR(__xludf.DUMMYFUNCTION("""COMPUTED_VALUE"""),"")</f>
        <v/>
      </c>
      <c r="U442" s="139" t="str">
        <f>IFERROR(__xludf.DUMMYFUNCTION("""COMPUTED_VALUE"""),"")</f>
        <v/>
      </c>
      <c r="V442" s="136" t="str">
        <f>IFERROR(__xludf.DUMMYFUNCTION("""COMPUTED_VALUE"""),"")</f>
        <v/>
      </c>
      <c r="W442" s="106" t="str">
        <f>IFERROR(__xludf.DUMMYFUNCTION("""COMPUTED_VALUE"""),"")</f>
        <v/>
      </c>
      <c r="X442" s="143" t="str">
        <f t="shared" si="2"/>
        <v/>
      </c>
      <c r="Y442" s="139" t="str">
        <f>IFERROR(__xludf.DUMMYFUNCTION("""COMPUTED_VALUE"""),"")</f>
        <v/>
      </c>
      <c r="Z442" s="141" t="str">
        <f>IFERROR(__xludf.DUMMYFUNCTION("""COMPUTED_VALUE"""),"")</f>
        <v/>
      </c>
    </row>
    <row r="443">
      <c r="A443" s="136"/>
      <c r="B443" s="136"/>
      <c r="C443" s="136" t="str">
        <f>IFERROR(__xludf.DUMMYFUNCTION("""COMPUTED_VALUE"""),"")</f>
        <v/>
      </c>
      <c r="D443" s="136" t="str">
        <f t="shared" si="3"/>
        <v/>
      </c>
      <c r="E443" s="152" t="str">
        <f>IFERROR(__xludf.DUMMYFUNCTION("""COMPUTED_VALUE"""),"")</f>
        <v/>
      </c>
      <c r="F443" s="106" t="s">
        <v>133</v>
      </c>
      <c r="G443" s="152" t="str">
        <f>IFERROR(__xludf.DUMMYFUNCTION("""COMPUTED_VALUE"""),"")</f>
        <v/>
      </c>
      <c r="H443" s="106" t="s">
        <v>133</v>
      </c>
      <c r="I443" s="136"/>
      <c r="J443" s="139" t="s">
        <v>133</v>
      </c>
      <c r="K443" s="136" t="s">
        <v>133</v>
      </c>
      <c r="L443" s="153" t="str">
        <f>IFERROR(__xludf.DUMMYFUNCTION("""COMPUTED_VALUE"""),"")</f>
        <v/>
      </c>
      <c r="M443" s="136" t="str">
        <f t="shared" si="1"/>
        <v/>
      </c>
      <c r="N443" s="136" t="str">
        <f>IFERROR(__xludf.DUMMYFUNCTION("""COMPUTED_VALUE"""),"")</f>
        <v/>
      </c>
      <c r="O443" s="141" t="s">
        <v>133</v>
      </c>
      <c r="P443" s="136" t="str">
        <f>IFERROR(__xludf.DUMMYFUNCTION("""COMPUTED_VALUE"""),"")</f>
        <v/>
      </c>
      <c r="Q443" s="136" t="str">
        <f>IFERROR(__xludf.DUMMYFUNCTION("""COMPUTED_VALUE"""),"")</f>
        <v/>
      </c>
      <c r="R443" s="106" t="str">
        <f>IFERROR(__xludf.DUMMYFUNCTION("""COMPUTED_VALUE"""),"")</f>
        <v/>
      </c>
      <c r="S443" s="106" t="str">
        <f>IFERROR(__xludf.DUMMYFUNCTION("""COMPUTED_VALUE"""),"")</f>
        <v/>
      </c>
      <c r="T443" s="139" t="str">
        <f>IFERROR(__xludf.DUMMYFUNCTION("""COMPUTED_VALUE"""),"")</f>
        <v/>
      </c>
      <c r="U443" s="139" t="str">
        <f>IFERROR(__xludf.DUMMYFUNCTION("""COMPUTED_VALUE"""),"")</f>
        <v/>
      </c>
      <c r="V443" s="136" t="str">
        <f>IFERROR(__xludf.DUMMYFUNCTION("""COMPUTED_VALUE"""),"")</f>
        <v/>
      </c>
      <c r="W443" s="106" t="str">
        <f>IFERROR(__xludf.DUMMYFUNCTION("""COMPUTED_VALUE"""),"")</f>
        <v/>
      </c>
      <c r="X443" s="143" t="str">
        <f t="shared" si="2"/>
        <v/>
      </c>
      <c r="Y443" s="139" t="str">
        <f>IFERROR(__xludf.DUMMYFUNCTION("""COMPUTED_VALUE"""),"")</f>
        <v/>
      </c>
      <c r="Z443" s="141" t="str">
        <f>IFERROR(__xludf.DUMMYFUNCTION("""COMPUTED_VALUE"""),"")</f>
        <v/>
      </c>
    </row>
    <row r="444">
      <c r="A444" s="136"/>
      <c r="B444" s="136"/>
      <c r="C444" s="136" t="str">
        <f>IFERROR(__xludf.DUMMYFUNCTION("""COMPUTED_VALUE"""),"")</f>
        <v/>
      </c>
      <c r="D444" s="136" t="str">
        <f t="shared" si="3"/>
        <v/>
      </c>
      <c r="E444" s="152" t="str">
        <f>IFERROR(__xludf.DUMMYFUNCTION("""COMPUTED_VALUE"""),"")</f>
        <v/>
      </c>
      <c r="F444" s="106" t="s">
        <v>133</v>
      </c>
      <c r="G444" s="152" t="str">
        <f>IFERROR(__xludf.DUMMYFUNCTION("""COMPUTED_VALUE"""),"")</f>
        <v/>
      </c>
      <c r="H444" s="106" t="s">
        <v>133</v>
      </c>
      <c r="I444" s="136"/>
      <c r="J444" s="139" t="s">
        <v>133</v>
      </c>
      <c r="K444" s="136" t="s">
        <v>133</v>
      </c>
      <c r="L444" s="153" t="str">
        <f>IFERROR(__xludf.DUMMYFUNCTION("""COMPUTED_VALUE"""),"")</f>
        <v/>
      </c>
      <c r="M444" s="136" t="str">
        <f t="shared" si="1"/>
        <v/>
      </c>
      <c r="N444" s="136" t="str">
        <f>IFERROR(__xludf.DUMMYFUNCTION("""COMPUTED_VALUE"""),"")</f>
        <v/>
      </c>
      <c r="O444" s="141" t="s">
        <v>133</v>
      </c>
      <c r="P444" s="136" t="str">
        <f>IFERROR(__xludf.DUMMYFUNCTION("""COMPUTED_VALUE"""),"")</f>
        <v/>
      </c>
      <c r="Q444" s="136" t="str">
        <f>IFERROR(__xludf.DUMMYFUNCTION("""COMPUTED_VALUE"""),"")</f>
        <v/>
      </c>
      <c r="R444" s="106" t="str">
        <f>IFERROR(__xludf.DUMMYFUNCTION("""COMPUTED_VALUE"""),"")</f>
        <v/>
      </c>
      <c r="S444" s="106" t="str">
        <f>IFERROR(__xludf.DUMMYFUNCTION("""COMPUTED_VALUE"""),"")</f>
        <v/>
      </c>
      <c r="T444" s="139" t="str">
        <f>IFERROR(__xludf.DUMMYFUNCTION("""COMPUTED_VALUE"""),"")</f>
        <v/>
      </c>
      <c r="U444" s="139" t="str">
        <f>IFERROR(__xludf.DUMMYFUNCTION("""COMPUTED_VALUE"""),"")</f>
        <v/>
      </c>
      <c r="V444" s="136" t="str">
        <f>IFERROR(__xludf.DUMMYFUNCTION("""COMPUTED_VALUE"""),"")</f>
        <v/>
      </c>
      <c r="W444" s="106" t="str">
        <f>IFERROR(__xludf.DUMMYFUNCTION("""COMPUTED_VALUE"""),"")</f>
        <v/>
      </c>
      <c r="X444" s="143" t="str">
        <f t="shared" si="2"/>
        <v/>
      </c>
      <c r="Y444" s="139" t="str">
        <f>IFERROR(__xludf.DUMMYFUNCTION("""COMPUTED_VALUE"""),"")</f>
        <v/>
      </c>
      <c r="Z444" s="141" t="str">
        <f>IFERROR(__xludf.DUMMYFUNCTION("""COMPUTED_VALUE"""),"")</f>
        <v/>
      </c>
    </row>
    <row r="445">
      <c r="A445" s="136"/>
      <c r="B445" s="136"/>
      <c r="C445" s="136" t="str">
        <f>IFERROR(__xludf.DUMMYFUNCTION("""COMPUTED_VALUE"""),"")</f>
        <v/>
      </c>
      <c r="D445" s="136" t="str">
        <f t="shared" si="3"/>
        <v/>
      </c>
      <c r="E445" s="152" t="str">
        <f>IFERROR(__xludf.DUMMYFUNCTION("""COMPUTED_VALUE"""),"")</f>
        <v/>
      </c>
      <c r="F445" s="106" t="s">
        <v>133</v>
      </c>
      <c r="G445" s="152" t="str">
        <f>IFERROR(__xludf.DUMMYFUNCTION("""COMPUTED_VALUE"""),"")</f>
        <v/>
      </c>
      <c r="H445" s="106" t="s">
        <v>133</v>
      </c>
      <c r="I445" s="136"/>
      <c r="J445" s="139" t="s">
        <v>133</v>
      </c>
      <c r="K445" s="136" t="s">
        <v>133</v>
      </c>
      <c r="L445" s="153" t="str">
        <f>IFERROR(__xludf.DUMMYFUNCTION("""COMPUTED_VALUE"""),"")</f>
        <v/>
      </c>
      <c r="M445" s="136" t="str">
        <f t="shared" si="1"/>
        <v/>
      </c>
      <c r="N445" s="136" t="str">
        <f>IFERROR(__xludf.DUMMYFUNCTION("""COMPUTED_VALUE"""),"")</f>
        <v/>
      </c>
      <c r="O445" s="141" t="s">
        <v>133</v>
      </c>
      <c r="P445" s="136" t="str">
        <f>IFERROR(__xludf.DUMMYFUNCTION("""COMPUTED_VALUE"""),"")</f>
        <v/>
      </c>
      <c r="Q445" s="136" t="str">
        <f>IFERROR(__xludf.DUMMYFUNCTION("""COMPUTED_VALUE"""),"")</f>
        <v/>
      </c>
      <c r="R445" s="106" t="str">
        <f>IFERROR(__xludf.DUMMYFUNCTION("""COMPUTED_VALUE"""),"")</f>
        <v/>
      </c>
      <c r="S445" s="106" t="str">
        <f>IFERROR(__xludf.DUMMYFUNCTION("""COMPUTED_VALUE"""),"")</f>
        <v/>
      </c>
      <c r="T445" s="139" t="str">
        <f>IFERROR(__xludf.DUMMYFUNCTION("""COMPUTED_VALUE"""),"")</f>
        <v/>
      </c>
      <c r="U445" s="139" t="str">
        <f>IFERROR(__xludf.DUMMYFUNCTION("""COMPUTED_VALUE"""),"")</f>
        <v/>
      </c>
      <c r="V445" s="136" t="str">
        <f>IFERROR(__xludf.DUMMYFUNCTION("""COMPUTED_VALUE"""),"")</f>
        <v/>
      </c>
      <c r="W445" s="106" t="str">
        <f>IFERROR(__xludf.DUMMYFUNCTION("""COMPUTED_VALUE"""),"")</f>
        <v/>
      </c>
      <c r="X445" s="143" t="str">
        <f t="shared" si="2"/>
        <v/>
      </c>
      <c r="Y445" s="139" t="str">
        <f>IFERROR(__xludf.DUMMYFUNCTION("""COMPUTED_VALUE"""),"")</f>
        <v/>
      </c>
      <c r="Z445" s="141" t="str">
        <f>IFERROR(__xludf.DUMMYFUNCTION("""COMPUTED_VALUE"""),"")</f>
        <v/>
      </c>
    </row>
    <row r="446">
      <c r="A446" s="136"/>
      <c r="B446" s="136"/>
      <c r="C446" s="136" t="str">
        <f>IFERROR(__xludf.DUMMYFUNCTION("""COMPUTED_VALUE"""),"")</f>
        <v/>
      </c>
      <c r="D446" s="136" t="str">
        <f t="shared" si="3"/>
        <v/>
      </c>
      <c r="E446" s="152" t="str">
        <f>IFERROR(__xludf.DUMMYFUNCTION("""COMPUTED_VALUE"""),"")</f>
        <v/>
      </c>
      <c r="F446" s="106" t="s">
        <v>133</v>
      </c>
      <c r="G446" s="152" t="str">
        <f>IFERROR(__xludf.DUMMYFUNCTION("""COMPUTED_VALUE"""),"")</f>
        <v/>
      </c>
      <c r="H446" s="106" t="s">
        <v>133</v>
      </c>
      <c r="I446" s="136"/>
      <c r="J446" s="139" t="s">
        <v>133</v>
      </c>
      <c r="K446" s="136" t="s">
        <v>133</v>
      </c>
      <c r="L446" s="153" t="str">
        <f>IFERROR(__xludf.DUMMYFUNCTION("""COMPUTED_VALUE"""),"")</f>
        <v/>
      </c>
      <c r="M446" s="136" t="str">
        <f t="shared" si="1"/>
        <v/>
      </c>
      <c r="N446" s="136" t="str">
        <f>IFERROR(__xludf.DUMMYFUNCTION("""COMPUTED_VALUE"""),"")</f>
        <v/>
      </c>
      <c r="O446" s="141" t="s">
        <v>133</v>
      </c>
      <c r="P446" s="136" t="str">
        <f>IFERROR(__xludf.DUMMYFUNCTION("""COMPUTED_VALUE"""),"")</f>
        <v/>
      </c>
      <c r="Q446" s="136" t="str">
        <f>IFERROR(__xludf.DUMMYFUNCTION("""COMPUTED_VALUE"""),"")</f>
        <v/>
      </c>
      <c r="R446" s="106" t="str">
        <f>IFERROR(__xludf.DUMMYFUNCTION("""COMPUTED_VALUE"""),"")</f>
        <v/>
      </c>
      <c r="S446" s="106" t="str">
        <f>IFERROR(__xludf.DUMMYFUNCTION("""COMPUTED_VALUE"""),"")</f>
        <v/>
      </c>
      <c r="T446" s="139" t="str">
        <f>IFERROR(__xludf.DUMMYFUNCTION("""COMPUTED_VALUE"""),"")</f>
        <v/>
      </c>
      <c r="U446" s="139" t="str">
        <f>IFERROR(__xludf.DUMMYFUNCTION("""COMPUTED_VALUE"""),"")</f>
        <v/>
      </c>
      <c r="V446" s="136" t="str">
        <f>IFERROR(__xludf.DUMMYFUNCTION("""COMPUTED_VALUE"""),"")</f>
        <v/>
      </c>
      <c r="W446" s="106" t="str">
        <f>IFERROR(__xludf.DUMMYFUNCTION("""COMPUTED_VALUE"""),"")</f>
        <v/>
      </c>
      <c r="X446" s="143" t="str">
        <f t="shared" si="2"/>
        <v/>
      </c>
      <c r="Y446" s="139" t="str">
        <f>IFERROR(__xludf.DUMMYFUNCTION("""COMPUTED_VALUE"""),"")</f>
        <v/>
      </c>
      <c r="Z446" s="141" t="str">
        <f>IFERROR(__xludf.DUMMYFUNCTION("""COMPUTED_VALUE"""),"")</f>
        <v/>
      </c>
    </row>
    <row r="447">
      <c r="A447" s="136"/>
      <c r="B447" s="136"/>
      <c r="C447" s="136" t="str">
        <f>IFERROR(__xludf.DUMMYFUNCTION("""COMPUTED_VALUE"""),"")</f>
        <v/>
      </c>
      <c r="D447" s="136" t="str">
        <f t="shared" si="3"/>
        <v/>
      </c>
      <c r="E447" s="152" t="str">
        <f>IFERROR(__xludf.DUMMYFUNCTION("""COMPUTED_VALUE"""),"")</f>
        <v/>
      </c>
      <c r="F447" s="106" t="s">
        <v>133</v>
      </c>
      <c r="G447" s="152" t="str">
        <f>IFERROR(__xludf.DUMMYFUNCTION("""COMPUTED_VALUE"""),"")</f>
        <v/>
      </c>
      <c r="H447" s="106" t="s">
        <v>133</v>
      </c>
      <c r="I447" s="136"/>
      <c r="J447" s="139" t="s">
        <v>133</v>
      </c>
      <c r="K447" s="136" t="s">
        <v>133</v>
      </c>
      <c r="L447" s="153" t="str">
        <f>IFERROR(__xludf.DUMMYFUNCTION("""COMPUTED_VALUE"""),"")</f>
        <v/>
      </c>
      <c r="M447" s="136" t="str">
        <f t="shared" si="1"/>
        <v/>
      </c>
      <c r="N447" s="136" t="str">
        <f>IFERROR(__xludf.DUMMYFUNCTION("""COMPUTED_VALUE"""),"")</f>
        <v/>
      </c>
      <c r="O447" s="141" t="s">
        <v>133</v>
      </c>
      <c r="P447" s="136" t="str">
        <f>IFERROR(__xludf.DUMMYFUNCTION("""COMPUTED_VALUE"""),"")</f>
        <v/>
      </c>
      <c r="Q447" s="136" t="str">
        <f>IFERROR(__xludf.DUMMYFUNCTION("""COMPUTED_VALUE"""),"")</f>
        <v/>
      </c>
      <c r="R447" s="106" t="str">
        <f>IFERROR(__xludf.DUMMYFUNCTION("""COMPUTED_VALUE"""),"")</f>
        <v/>
      </c>
      <c r="S447" s="106" t="str">
        <f>IFERROR(__xludf.DUMMYFUNCTION("""COMPUTED_VALUE"""),"")</f>
        <v/>
      </c>
      <c r="T447" s="139" t="str">
        <f>IFERROR(__xludf.DUMMYFUNCTION("""COMPUTED_VALUE"""),"")</f>
        <v/>
      </c>
      <c r="U447" s="139" t="str">
        <f>IFERROR(__xludf.DUMMYFUNCTION("""COMPUTED_VALUE"""),"")</f>
        <v/>
      </c>
      <c r="V447" s="136" t="str">
        <f>IFERROR(__xludf.DUMMYFUNCTION("""COMPUTED_VALUE"""),"")</f>
        <v/>
      </c>
      <c r="W447" s="106" t="str">
        <f>IFERROR(__xludf.DUMMYFUNCTION("""COMPUTED_VALUE"""),"")</f>
        <v/>
      </c>
      <c r="X447" s="143" t="str">
        <f t="shared" si="2"/>
        <v/>
      </c>
      <c r="Y447" s="139" t="str">
        <f>IFERROR(__xludf.DUMMYFUNCTION("""COMPUTED_VALUE"""),"")</f>
        <v/>
      </c>
      <c r="Z447" s="141" t="str">
        <f>IFERROR(__xludf.DUMMYFUNCTION("""COMPUTED_VALUE"""),"")</f>
        <v/>
      </c>
    </row>
    <row r="448">
      <c r="A448" s="136"/>
      <c r="B448" s="136"/>
      <c r="C448" s="136" t="str">
        <f>IFERROR(__xludf.DUMMYFUNCTION("""COMPUTED_VALUE"""),"")</f>
        <v/>
      </c>
      <c r="D448" s="136" t="str">
        <f t="shared" si="3"/>
        <v/>
      </c>
      <c r="E448" s="152" t="str">
        <f>IFERROR(__xludf.DUMMYFUNCTION("""COMPUTED_VALUE"""),"")</f>
        <v/>
      </c>
      <c r="F448" s="106" t="s">
        <v>133</v>
      </c>
      <c r="G448" s="152" t="str">
        <f>IFERROR(__xludf.DUMMYFUNCTION("""COMPUTED_VALUE"""),"")</f>
        <v/>
      </c>
      <c r="H448" s="106" t="s">
        <v>133</v>
      </c>
      <c r="I448" s="136"/>
      <c r="J448" s="139" t="s">
        <v>133</v>
      </c>
      <c r="K448" s="136" t="s">
        <v>133</v>
      </c>
      <c r="L448" s="153" t="str">
        <f>IFERROR(__xludf.DUMMYFUNCTION("""COMPUTED_VALUE"""),"")</f>
        <v/>
      </c>
      <c r="M448" s="136" t="str">
        <f t="shared" si="1"/>
        <v/>
      </c>
      <c r="N448" s="136" t="str">
        <f>IFERROR(__xludf.DUMMYFUNCTION("""COMPUTED_VALUE"""),"")</f>
        <v/>
      </c>
      <c r="O448" s="141" t="s">
        <v>133</v>
      </c>
      <c r="P448" s="136" t="str">
        <f>IFERROR(__xludf.DUMMYFUNCTION("""COMPUTED_VALUE"""),"")</f>
        <v/>
      </c>
      <c r="Q448" s="136" t="str">
        <f>IFERROR(__xludf.DUMMYFUNCTION("""COMPUTED_VALUE"""),"")</f>
        <v/>
      </c>
      <c r="R448" s="106" t="str">
        <f>IFERROR(__xludf.DUMMYFUNCTION("""COMPUTED_VALUE"""),"")</f>
        <v/>
      </c>
      <c r="S448" s="106" t="str">
        <f>IFERROR(__xludf.DUMMYFUNCTION("""COMPUTED_VALUE"""),"")</f>
        <v/>
      </c>
      <c r="T448" s="139" t="str">
        <f>IFERROR(__xludf.DUMMYFUNCTION("""COMPUTED_VALUE"""),"")</f>
        <v/>
      </c>
      <c r="U448" s="139" t="str">
        <f>IFERROR(__xludf.DUMMYFUNCTION("""COMPUTED_VALUE"""),"")</f>
        <v/>
      </c>
      <c r="V448" s="136" t="str">
        <f>IFERROR(__xludf.DUMMYFUNCTION("""COMPUTED_VALUE"""),"")</f>
        <v/>
      </c>
      <c r="W448" s="106" t="str">
        <f>IFERROR(__xludf.DUMMYFUNCTION("""COMPUTED_VALUE"""),"")</f>
        <v/>
      </c>
      <c r="X448" s="143" t="str">
        <f t="shared" si="2"/>
        <v/>
      </c>
      <c r="Y448" s="139" t="str">
        <f>IFERROR(__xludf.DUMMYFUNCTION("""COMPUTED_VALUE"""),"")</f>
        <v/>
      </c>
      <c r="Z448" s="141" t="str">
        <f>IFERROR(__xludf.DUMMYFUNCTION("""COMPUTED_VALUE"""),"")</f>
        <v/>
      </c>
    </row>
    <row r="449">
      <c r="A449" s="136"/>
      <c r="B449" s="136"/>
      <c r="C449" s="136" t="str">
        <f>IFERROR(__xludf.DUMMYFUNCTION("""COMPUTED_VALUE"""),"")</f>
        <v/>
      </c>
      <c r="D449" s="136" t="str">
        <f t="shared" si="3"/>
        <v/>
      </c>
      <c r="E449" s="152" t="str">
        <f>IFERROR(__xludf.DUMMYFUNCTION("""COMPUTED_VALUE"""),"")</f>
        <v/>
      </c>
      <c r="F449" s="106" t="s">
        <v>133</v>
      </c>
      <c r="G449" s="152" t="str">
        <f>IFERROR(__xludf.DUMMYFUNCTION("""COMPUTED_VALUE"""),"")</f>
        <v/>
      </c>
      <c r="H449" s="106" t="s">
        <v>133</v>
      </c>
      <c r="I449" s="136"/>
      <c r="J449" s="139" t="s">
        <v>133</v>
      </c>
      <c r="K449" s="136" t="s">
        <v>133</v>
      </c>
      <c r="L449" s="153" t="str">
        <f>IFERROR(__xludf.DUMMYFUNCTION("""COMPUTED_VALUE"""),"")</f>
        <v/>
      </c>
      <c r="M449" s="136" t="str">
        <f t="shared" si="1"/>
        <v/>
      </c>
      <c r="N449" s="136" t="str">
        <f>IFERROR(__xludf.DUMMYFUNCTION("""COMPUTED_VALUE"""),"")</f>
        <v/>
      </c>
      <c r="O449" s="141" t="s">
        <v>133</v>
      </c>
      <c r="P449" s="136" t="str">
        <f>IFERROR(__xludf.DUMMYFUNCTION("""COMPUTED_VALUE"""),"")</f>
        <v/>
      </c>
      <c r="Q449" s="136" t="str">
        <f>IFERROR(__xludf.DUMMYFUNCTION("""COMPUTED_VALUE"""),"")</f>
        <v/>
      </c>
      <c r="R449" s="106" t="str">
        <f>IFERROR(__xludf.DUMMYFUNCTION("""COMPUTED_VALUE"""),"")</f>
        <v/>
      </c>
      <c r="S449" s="106" t="str">
        <f>IFERROR(__xludf.DUMMYFUNCTION("""COMPUTED_VALUE"""),"")</f>
        <v/>
      </c>
      <c r="T449" s="139" t="str">
        <f>IFERROR(__xludf.DUMMYFUNCTION("""COMPUTED_VALUE"""),"")</f>
        <v/>
      </c>
      <c r="U449" s="139" t="str">
        <f>IFERROR(__xludf.DUMMYFUNCTION("""COMPUTED_VALUE"""),"")</f>
        <v/>
      </c>
      <c r="V449" s="136" t="str">
        <f>IFERROR(__xludf.DUMMYFUNCTION("""COMPUTED_VALUE"""),"")</f>
        <v/>
      </c>
      <c r="W449" s="106" t="str">
        <f>IFERROR(__xludf.DUMMYFUNCTION("""COMPUTED_VALUE"""),"")</f>
        <v/>
      </c>
      <c r="X449" s="143" t="str">
        <f t="shared" si="2"/>
        <v/>
      </c>
      <c r="Y449" s="139" t="str">
        <f>IFERROR(__xludf.DUMMYFUNCTION("""COMPUTED_VALUE"""),"")</f>
        <v/>
      </c>
      <c r="Z449" s="141" t="str">
        <f>IFERROR(__xludf.DUMMYFUNCTION("""COMPUTED_VALUE"""),"")</f>
        <v/>
      </c>
    </row>
    <row r="450">
      <c r="A450" s="136"/>
      <c r="B450" s="136"/>
      <c r="C450" s="136" t="str">
        <f>IFERROR(__xludf.DUMMYFUNCTION("""COMPUTED_VALUE"""),"")</f>
        <v/>
      </c>
      <c r="D450" s="136" t="str">
        <f t="shared" si="3"/>
        <v/>
      </c>
      <c r="E450" s="152" t="str">
        <f>IFERROR(__xludf.DUMMYFUNCTION("""COMPUTED_VALUE"""),"")</f>
        <v/>
      </c>
      <c r="F450" s="106" t="s">
        <v>133</v>
      </c>
      <c r="G450" s="152" t="str">
        <f>IFERROR(__xludf.DUMMYFUNCTION("""COMPUTED_VALUE"""),"")</f>
        <v/>
      </c>
      <c r="H450" s="106" t="s">
        <v>133</v>
      </c>
      <c r="I450" s="136"/>
      <c r="J450" s="139" t="s">
        <v>133</v>
      </c>
      <c r="K450" s="136" t="s">
        <v>133</v>
      </c>
      <c r="L450" s="153" t="str">
        <f>IFERROR(__xludf.DUMMYFUNCTION("""COMPUTED_VALUE"""),"")</f>
        <v/>
      </c>
      <c r="M450" s="136" t="str">
        <f t="shared" si="1"/>
        <v/>
      </c>
      <c r="N450" s="136" t="str">
        <f>IFERROR(__xludf.DUMMYFUNCTION("""COMPUTED_VALUE"""),"")</f>
        <v/>
      </c>
      <c r="O450" s="141" t="s">
        <v>133</v>
      </c>
      <c r="P450" s="136" t="str">
        <f>IFERROR(__xludf.DUMMYFUNCTION("""COMPUTED_VALUE"""),"")</f>
        <v/>
      </c>
      <c r="Q450" s="136" t="str">
        <f>IFERROR(__xludf.DUMMYFUNCTION("""COMPUTED_VALUE"""),"")</f>
        <v/>
      </c>
      <c r="R450" s="106" t="str">
        <f>IFERROR(__xludf.DUMMYFUNCTION("""COMPUTED_VALUE"""),"")</f>
        <v/>
      </c>
      <c r="S450" s="106" t="str">
        <f>IFERROR(__xludf.DUMMYFUNCTION("""COMPUTED_VALUE"""),"")</f>
        <v/>
      </c>
      <c r="T450" s="139" t="str">
        <f>IFERROR(__xludf.DUMMYFUNCTION("""COMPUTED_VALUE"""),"")</f>
        <v/>
      </c>
      <c r="U450" s="139" t="str">
        <f>IFERROR(__xludf.DUMMYFUNCTION("""COMPUTED_VALUE"""),"")</f>
        <v/>
      </c>
      <c r="V450" s="136" t="str">
        <f>IFERROR(__xludf.DUMMYFUNCTION("""COMPUTED_VALUE"""),"")</f>
        <v/>
      </c>
      <c r="W450" s="106" t="str">
        <f>IFERROR(__xludf.DUMMYFUNCTION("""COMPUTED_VALUE"""),"")</f>
        <v/>
      </c>
      <c r="X450" s="143" t="str">
        <f t="shared" si="2"/>
        <v/>
      </c>
      <c r="Y450" s="139" t="str">
        <f>IFERROR(__xludf.DUMMYFUNCTION("""COMPUTED_VALUE"""),"")</f>
        <v/>
      </c>
      <c r="Z450" s="141" t="str">
        <f>IFERROR(__xludf.DUMMYFUNCTION("""COMPUTED_VALUE"""),"")</f>
        <v/>
      </c>
    </row>
    <row r="451">
      <c r="A451" s="136"/>
      <c r="B451" s="136"/>
      <c r="C451" s="136" t="str">
        <f>IFERROR(__xludf.DUMMYFUNCTION("""COMPUTED_VALUE"""),"")</f>
        <v/>
      </c>
      <c r="D451" s="136" t="str">
        <f t="shared" si="3"/>
        <v/>
      </c>
      <c r="E451" s="152" t="str">
        <f>IFERROR(__xludf.DUMMYFUNCTION("""COMPUTED_VALUE"""),"")</f>
        <v/>
      </c>
      <c r="F451" s="106" t="s">
        <v>133</v>
      </c>
      <c r="G451" s="152" t="str">
        <f>IFERROR(__xludf.DUMMYFUNCTION("""COMPUTED_VALUE"""),"")</f>
        <v/>
      </c>
      <c r="H451" s="106" t="s">
        <v>133</v>
      </c>
      <c r="I451" s="136"/>
      <c r="J451" s="139" t="s">
        <v>133</v>
      </c>
      <c r="K451" s="136" t="s">
        <v>133</v>
      </c>
      <c r="L451" s="153" t="str">
        <f>IFERROR(__xludf.DUMMYFUNCTION("""COMPUTED_VALUE"""),"")</f>
        <v/>
      </c>
      <c r="M451" s="136" t="str">
        <f t="shared" si="1"/>
        <v/>
      </c>
      <c r="N451" s="136" t="str">
        <f>IFERROR(__xludf.DUMMYFUNCTION("""COMPUTED_VALUE"""),"")</f>
        <v/>
      </c>
      <c r="O451" s="141" t="s">
        <v>133</v>
      </c>
      <c r="P451" s="136" t="str">
        <f>IFERROR(__xludf.DUMMYFUNCTION("""COMPUTED_VALUE"""),"")</f>
        <v/>
      </c>
      <c r="Q451" s="136" t="str">
        <f>IFERROR(__xludf.DUMMYFUNCTION("""COMPUTED_VALUE"""),"")</f>
        <v/>
      </c>
      <c r="R451" s="106" t="str">
        <f>IFERROR(__xludf.DUMMYFUNCTION("""COMPUTED_VALUE"""),"")</f>
        <v/>
      </c>
      <c r="S451" s="106" t="str">
        <f>IFERROR(__xludf.DUMMYFUNCTION("""COMPUTED_VALUE"""),"")</f>
        <v/>
      </c>
      <c r="T451" s="139" t="str">
        <f>IFERROR(__xludf.DUMMYFUNCTION("""COMPUTED_VALUE"""),"")</f>
        <v/>
      </c>
      <c r="U451" s="139" t="str">
        <f>IFERROR(__xludf.DUMMYFUNCTION("""COMPUTED_VALUE"""),"")</f>
        <v/>
      </c>
      <c r="V451" s="136" t="str">
        <f>IFERROR(__xludf.DUMMYFUNCTION("""COMPUTED_VALUE"""),"")</f>
        <v/>
      </c>
      <c r="W451" s="106" t="str">
        <f>IFERROR(__xludf.DUMMYFUNCTION("""COMPUTED_VALUE"""),"")</f>
        <v/>
      </c>
      <c r="X451" s="143" t="str">
        <f t="shared" si="2"/>
        <v/>
      </c>
      <c r="Y451" s="139" t="str">
        <f>IFERROR(__xludf.DUMMYFUNCTION("""COMPUTED_VALUE"""),"")</f>
        <v/>
      </c>
      <c r="Z451" s="141" t="str">
        <f>IFERROR(__xludf.DUMMYFUNCTION("""COMPUTED_VALUE"""),"")</f>
        <v/>
      </c>
    </row>
    <row r="452">
      <c r="A452" s="136"/>
      <c r="B452" s="136"/>
      <c r="C452" s="136" t="str">
        <f>IFERROR(__xludf.DUMMYFUNCTION("""COMPUTED_VALUE"""),"")</f>
        <v/>
      </c>
      <c r="D452" s="136" t="str">
        <f t="shared" si="3"/>
        <v/>
      </c>
      <c r="E452" s="152" t="str">
        <f>IFERROR(__xludf.DUMMYFUNCTION("""COMPUTED_VALUE"""),"")</f>
        <v/>
      </c>
      <c r="F452" s="106" t="s">
        <v>133</v>
      </c>
      <c r="G452" s="152" t="str">
        <f>IFERROR(__xludf.DUMMYFUNCTION("""COMPUTED_VALUE"""),"")</f>
        <v/>
      </c>
      <c r="H452" s="106" t="s">
        <v>133</v>
      </c>
      <c r="I452" s="136"/>
      <c r="J452" s="139" t="s">
        <v>133</v>
      </c>
      <c r="K452" s="136" t="s">
        <v>133</v>
      </c>
      <c r="L452" s="153" t="str">
        <f>IFERROR(__xludf.DUMMYFUNCTION("""COMPUTED_VALUE"""),"")</f>
        <v/>
      </c>
      <c r="M452" s="136" t="str">
        <f t="shared" si="1"/>
        <v/>
      </c>
      <c r="N452" s="136" t="str">
        <f>IFERROR(__xludf.DUMMYFUNCTION("""COMPUTED_VALUE"""),"")</f>
        <v/>
      </c>
      <c r="O452" s="141" t="s">
        <v>133</v>
      </c>
      <c r="P452" s="136" t="str">
        <f>IFERROR(__xludf.DUMMYFUNCTION("""COMPUTED_VALUE"""),"")</f>
        <v/>
      </c>
      <c r="Q452" s="136" t="str">
        <f>IFERROR(__xludf.DUMMYFUNCTION("""COMPUTED_VALUE"""),"")</f>
        <v/>
      </c>
      <c r="R452" s="106" t="str">
        <f>IFERROR(__xludf.DUMMYFUNCTION("""COMPUTED_VALUE"""),"")</f>
        <v/>
      </c>
      <c r="S452" s="106" t="str">
        <f>IFERROR(__xludf.DUMMYFUNCTION("""COMPUTED_VALUE"""),"")</f>
        <v/>
      </c>
      <c r="T452" s="139" t="str">
        <f>IFERROR(__xludf.DUMMYFUNCTION("""COMPUTED_VALUE"""),"")</f>
        <v/>
      </c>
      <c r="U452" s="139" t="str">
        <f>IFERROR(__xludf.DUMMYFUNCTION("""COMPUTED_VALUE"""),"")</f>
        <v/>
      </c>
      <c r="V452" s="136" t="str">
        <f>IFERROR(__xludf.DUMMYFUNCTION("""COMPUTED_VALUE"""),"")</f>
        <v/>
      </c>
      <c r="W452" s="106" t="str">
        <f>IFERROR(__xludf.DUMMYFUNCTION("""COMPUTED_VALUE"""),"")</f>
        <v/>
      </c>
      <c r="X452" s="143" t="str">
        <f t="shared" si="2"/>
        <v/>
      </c>
      <c r="Y452" s="139" t="str">
        <f>IFERROR(__xludf.DUMMYFUNCTION("""COMPUTED_VALUE"""),"")</f>
        <v/>
      </c>
      <c r="Z452" s="141" t="str">
        <f>IFERROR(__xludf.DUMMYFUNCTION("""COMPUTED_VALUE"""),"")</f>
        <v/>
      </c>
    </row>
    <row r="453">
      <c r="A453" s="136"/>
      <c r="B453" s="136"/>
      <c r="C453" s="136" t="str">
        <f>IFERROR(__xludf.DUMMYFUNCTION("""COMPUTED_VALUE"""),"")</f>
        <v/>
      </c>
      <c r="D453" s="136" t="str">
        <f t="shared" si="3"/>
        <v/>
      </c>
      <c r="E453" s="152" t="str">
        <f>IFERROR(__xludf.DUMMYFUNCTION("""COMPUTED_VALUE"""),"")</f>
        <v/>
      </c>
      <c r="F453" s="106" t="s">
        <v>133</v>
      </c>
      <c r="G453" s="152" t="str">
        <f>IFERROR(__xludf.DUMMYFUNCTION("""COMPUTED_VALUE"""),"")</f>
        <v/>
      </c>
      <c r="H453" s="106" t="s">
        <v>133</v>
      </c>
      <c r="I453" s="136"/>
      <c r="J453" s="139" t="s">
        <v>133</v>
      </c>
      <c r="K453" s="136" t="s">
        <v>133</v>
      </c>
      <c r="L453" s="153" t="str">
        <f>IFERROR(__xludf.DUMMYFUNCTION("""COMPUTED_VALUE"""),"")</f>
        <v/>
      </c>
      <c r="M453" s="136" t="str">
        <f t="shared" si="1"/>
        <v/>
      </c>
      <c r="N453" s="136" t="str">
        <f>IFERROR(__xludf.DUMMYFUNCTION("""COMPUTED_VALUE"""),"")</f>
        <v/>
      </c>
      <c r="O453" s="141" t="s">
        <v>133</v>
      </c>
      <c r="P453" s="136" t="str">
        <f>IFERROR(__xludf.DUMMYFUNCTION("""COMPUTED_VALUE"""),"")</f>
        <v/>
      </c>
      <c r="Q453" s="136" t="str">
        <f>IFERROR(__xludf.DUMMYFUNCTION("""COMPUTED_VALUE"""),"")</f>
        <v/>
      </c>
      <c r="R453" s="106" t="str">
        <f>IFERROR(__xludf.DUMMYFUNCTION("""COMPUTED_VALUE"""),"")</f>
        <v/>
      </c>
      <c r="S453" s="106" t="str">
        <f>IFERROR(__xludf.DUMMYFUNCTION("""COMPUTED_VALUE"""),"")</f>
        <v/>
      </c>
      <c r="T453" s="139" t="str">
        <f>IFERROR(__xludf.DUMMYFUNCTION("""COMPUTED_VALUE"""),"")</f>
        <v/>
      </c>
      <c r="U453" s="139" t="str">
        <f>IFERROR(__xludf.DUMMYFUNCTION("""COMPUTED_VALUE"""),"")</f>
        <v/>
      </c>
      <c r="V453" s="136" t="str">
        <f>IFERROR(__xludf.DUMMYFUNCTION("""COMPUTED_VALUE"""),"")</f>
        <v/>
      </c>
      <c r="W453" s="106" t="str">
        <f>IFERROR(__xludf.DUMMYFUNCTION("""COMPUTED_VALUE"""),"")</f>
        <v/>
      </c>
      <c r="X453" s="143" t="str">
        <f t="shared" si="2"/>
        <v/>
      </c>
      <c r="Y453" s="139" t="str">
        <f>IFERROR(__xludf.DUMMYFUNCTION("""COMPUTED_VALUE"""),"")</f>
        <v/>
      </c>
      <c r="Z453" s="141" t="str">
        <f>IFERROR(__xludf.DUMMYFUNCTION("""COMPUTED_VALUE"""),"")</f>
        <v/>
      </c>
    </row>
    <row r="454">
      <c r="A454" s="136"/>
      <c r="B454" s="136"/>
      <c r="C454" s="136" t="str">
        <f>IFERROR(__xludf.DUMMYFUNCTION("""COMPUTED_VALUE"""),"")</f>
        <v/>
      </c>
      <c r="D454" s="136" t="str">
        <f t="shared" si="3"/>
        <v/>
      </c>
      <c r="E454" s="152" t="str">
        <f>IFERROR(__xludf.DUMMYFUNCTION("""COMPUTED_VALUE"""),"")</f>
        <v/>
      </c>
      <c r="F454" s="106" t="s">
        <v>133</v>
      </c>
      <c r="G454" s="152" t="str">
        <f>IFERROR(__xludf.DUMMYFUNCTION("""COMPUTED_VALUE"""),"")</f>
        <v/>
      </c>
      <c r="H454" s="106" t="s">
        <v>133</v>
      </c>
      <c r="I454" s="136"/>
      <c r="J454" s="139" t="s">
        <v>133</v>
      </c>
      <c r="K454" s="136" t="s">
        <v>133</v>
      </c>
      <c r="L454" s="153" t="str">
        <f>IFERROR(__xludf.DUMMYFUNCTION("""COMPUTED_VALUE"""),"")</f>
        <v/>
      </c>
      <c r="M454" s="136" t="str">
        <f t="shared" si="1"/>
        <v/>
      </c>
      <c r="N454" s="136" t="str">
        <f>IFERROR(__xludf.DUMMYFUNCTION("""COMPUTED_VALUE"""),"")</f>
        <v/>
      </c>
      <c r="O454" s="141" t="s">
        <v>133</v>
      </c>
      <c r="P454" s="136" t="str">
        <f>IFERROR(__xludf.DUMMYFUNCTION("""COMPUTED_VALUE"""),"")</f>
        <v/>
      </c>
      <c r="Q454" s="136" t="str">
        <f>IFERROR(__xludf.DUMMYFUNCTION("""COMPUTED_VALUE"""),"")</f>
        <v/>
      </c>
      <c r="R454" s="106" t="str">
        <f>IFERROR(__xludf.DUMMYFUNCTION("""COMPUTED_VALUE"""),"")</f>
        <v/>
      </c>
      <c r="S454" s="106" t="str">
        <f>IFERROR(__xludf.DUMMYFUNCTION("""COMPUTED_VALUE"""),"")</f>
        <v/>
      </c>
      <c r="T454" s="139" t="str">
        <f>IFERROR(__xludf.DUMMYFUNCTION("""COMPUTED_VALUE"""),"")</f>
        <v/>
      </c>
      <c r="U454" s="139" t="str">
        <f>IFERROR(__xludf.DUMMYFUNCTION("""COMPUTED_VALUE"""),"")</f>
        <v/>
      </c>
      <c r="V454" s="136" t="str">
        <f>IFERROR(__xludf.DUMMYFUNCTION("""COMPUTED_VALUE"""),"")</f>
        <v/>
      </c>
      <c r="W454" s="106" t="str">
        <f>IFERROR(__xludf.DUMMYFUNCTION("""COMPUTED_VALUE"""),"")</f>
        <v/>
      </c>
      <c r="X454" s="143" t="str">
        <f t="shared" si="2"/>
        <v/>
      </c>
      <c r="Y454" s="139" t="str">
        <f>IFERROR(__xludf.DUMMYFUNCTION("""COMPUTED_VALUE"""),"")</f>
        <v/>
      </c>
      <c r="Z454" s="141" t="str">
        <f>IFERROR(__xludf.DUMMYFUNCTION("""COMPUTED_VALUE"""),"")</f>
        <v/>
      </c>
    </row>
    <row r="455">
      <c r="A455" s="136"/>
      <c r="B455" s="136"/>
      <c r="C455" s="136" t="str">
        <f>IFERROR(__xludf.DUMMYFUNCTION("""COMPUTED_VALUE"""),"")</f>
        <v/>
      </c>
      <c r="D455" s="136" t="str">
        <f t="shared" si="3"/>
        <v/>
      </c>
      <c r="E455" s="152" t="str">
        <f>IFERROR(__xludf.DUMMYFUNCTION("""COMPUTED_VALUE"""),"")</f>
        <v/>
      </c>
      <c r="F455" s="106" t="s">
        <v>133</v>
      </c>
      <c r="G455" s="152" t="str">
        <f>IFERROR(__xludf.DUMMYFUNCTION("""COMPUTED_VALUE"""),"")</f>
        <v/>
      </c>
      <c r="H455" s="106" t="s">
        <v>133</v>
      </c>
      <c r="I455" s="136"/>
      <c r="J455" s="139" t="s">
        <v>133</v>
      </c>
      <c r="K455" s="136" t="s">
        <v>133</v>
      </c>
      <c r="L455" s="153" t="str">
        <f>IFERROR(__xludf.DUMMYFUNCTION("""COMPUTED_VALUE"""),"")</f>
        <v/>
      </c>
      <c r="M455" s="136" t="str">
        <f t="shared" si="1"/>
        <v/>
      </c>
      <c r="N455" s="136" t="str">
        <f>IFERROR(__xludf.DUMMYFUNCTION("""COMPUTED_VALUE"""),"")</f>
        <v/>
      </c>
      <c r="O455" s="141" t="s">
        <v>133</v>
      </c>
      <c r="P455" s="136" t="str">
        <f>IFERROR(__xludf.DUMMYFUNCTION("""COMPUTED_VALUE"""),"")</f>
        <v/>
      </c>
      <c r="Q455" s="136" t="str">
        <f>IFERROR(__xludf.DUMMYFUNCTION("""COMPUTED_VALUE"""),"")</f>
        <v/>
      </c>
      <c r="R455" s="106" t="str">
        <f>IFERROR(__xludf.DUMMYFUNCTION("""COMPUTED_VALUE"""),"")</f>
        <v/>
      </c>
      <c r="S455" s="106" t="str">
        <f>IFERROR(__xludf.DUMMYFUNCTION("""COMPUTED_VALUE"""),"")</f>
        <v/>
      </c>
      <c r="T455" s="139" t="str">
        <f>IFERROR(__xludf.DUMMYFUNCTION("""COMPUTED_VALUE"""),"")</f>
        <v/>
      </c>
      <c r="U455" s="139" t="str">
        <f>IFERROR(__xludf.DUMMYFUNCTION("""COMPUTED_VALUE"""),"")</f>
        <v/>
      </c>
      <c r="V455" s="136" t="str">
        <f>IFERROR(__xludf.DUMMYFUNCTION("""COMPUTED_VALUE"""),"")</f>
        <v/>
      </c>
      <c r="W455" s="106" t="str">
        <f>IFERROR(__xludf.DUMMYFUNCTION("""COMPUTED_VALUE"""),"")</f>
        <v/>
      </c>
      <c r="X455" s="143" t="str">
        <f t="shared" si="2"/>
        <v/>
      </c>
      <c r="Y455" s="139" t="str">
        <f>IFERROR(__xludf.DUMMYFUNCTION("""COMPUTED_VALUE"""),"")</f>
        <v/>
      </c>
      <c r="Z455" s="141" t="str">
        <f>IFERROR(__xludf.DUMMYFUNCTION("""COMPUTED_VALUE"""),"")</f>
        <v/>
      </c>
    </row>
    <row r="456">
      <c r="A456" s="136"/>
      <c r="B456" s="136"/>
      <c r="C456" s="136" t="str">
        <f>IFERROR(__xludf.DUMMYFUNCTION("""COMPUTED_VALUE"""),"")</f>
        <v/>
      </c>
      <c r="D456" s="136" t="str">
        <f t="shared" si="3"/>
        <v/>
      </c>
      <c r="E456" s="152" t="str">
        <f>IFERROR(__xludf.DUMMYFUNCTION("""COMPUTED_VALUE"""),"")</f>
        <v/>
      </c>
      <c r="F456" s="106" t="s">
        <v>133</v>
      </c>
      <c r="G456" s="152" t="str">
        <f>IFERROR(__xludf.DUMMYFUNCTION("""COMPUTED_VALUE"""),"")</f>
        <v/>
      </c>
      <c r="H456" s="106" t="s">
        <v>133</v>
      </c>
      <c r="I456" s="136"/>
      <c r="J456" s="139" t="s">
        <v>133</v>
      </c>
      <c r="K456" s="136" t="s">
        <v>133</v>
      </c>
      <c r="L456" s="153" t="str">
        <f>IFERROR(__xludf.DUMMYFUNCTION("""COMPUTED_VALUE"""),"")</f>
        <v/>
      </c>
      <c r="M456" s="136" t="str">
        <f t="shared" si="1"/>
        <v/>
      </c>
      <c r="N456" s="136" t="str">
        <f>IFERROR(__xludf.DUMMYFUNCTION("""COMPUTED_VALUE"""),"")</f>
        <v/>
      </c>
      <c r="O456" s="141" t="s">
        <v>133</v>
      </c>
      <c r="P456" s="136" t="str">
        <f>IFERROR(__xludf.DUMMYFUNCTION("""COMPUTED_VALUE"""),"")</f>
        <v/>
      </c>
      <c r="Q456" s="136" t="str">
        <f>IFERROR(__xludf.DUMMYFUNCTION("""COMPUTED_VALUE"""),"")</f>
        <v/>
      </c>
      <c r="R456" s="106" t="str">
        <f>IFERROR(__xludf.DUMMYFUNCTION("""COMPUTED_VALUE"""),"")</f>
        <v/>
      </c>
      <c r="S456" s="106" t="str">
        <f>IFERROR(__xludf.DUMMYFUNCTION("""COMPUTED_VALUE"""),"")</f>
        <v/>
      </c>
      <c r="T456" s="139" t="str">
        <f>IFERROR(__xludf.DUMMYFUNCTION("""COMPUTED_VALUE"""),"")</f>
        <v/>
      </c>
      <c r="U456" s="139" t="str">
        <f>IFERROR(__xludf.DUMMYFUNCTION("""COMPUTED_VALUE"""),"")</f>
        <v/>
      </c>
      <c r="V456" s="136" t="str">
        <f>IFERROR(__xludf.DUMMYFUNCTION("""COMPUTED_VALUE"""),"")</f>
        <v/>
      </c>
      <c r="W456" s="106" t="str">
        <f>IFERROR(__xludf.DUMMYFUNCTION("""COMPUTED_VALUE"""),"")</f>
        <v/>
      </c>
      <c r="X456" s="143" t="str">
        <f t="shared" si="2"/>
        <v/>
      </c>
      <c r="Y456" s="139" t="str">
        <f>IFERROR(__xludf.DUMMYFUNCTION("""COMPUTED_VALUE"""),"")</f>
        <v/>
      </c>
      <c r="Z456" s="141" t="str">
        <f>IFERROR(__xludf.DUMMYFUNCTION("""COMPUTED_VALUE"""),"")</f>
        <v/>
      </c>
    </row>
    <row r="457">
      <c r="A457" s="136"/>
      <c r="B457" s="136"/>
      <c r="C457" s="136" t="str">
        <f>IFERROR(__xludf.DUMMYFUNCTION("""COMPUTED_VALUE"""),"")</f>
        <v/>
      </c>
      <c r="D457" s="136" t="str">
        <f t="shared" si="3"/>
        <v/>
      </c>
      <c r="E457" s="152" t="str">
        <f>IFERROR(__xludf.DUMMYFUNCTION("""COMPUTED_VALUE"""),"")</f>
        <v/>
      </c>
      <c r="F457" s="106" t="s">
        <v>133</v>
      </c>
      <c r="G457" s="152" t="str">
        <f>IFERROR(__xludf.DUMMYFUNCTION("""COMPUTED_VALUE"""),"")</f>
        <v/>
      </c>
      <c r="H457" s="106" t="s">
        <v>133</v>
      </c>
      <c r="I457" s="136"/>
      <c r="J457" s="139" t="s">
        <v>133</v>
      </c>
      <c r="K457" s="136" t="s">
        <v>133</v>
      </c>
      <c r="L457" s="153" t="str">
        <f>IFERROR(__xludf.DUMMYFUNCTION("""COMPUTED_VALUE"""),"")</f>
        <v/>
      </c>
      <c r="M457" s="136" t="str">
        <f t="shared" si="1"/>
        <v/>
      </c>
      <c r="N457" s="136" t="str">
        <f>IFERROR(__xludf.DUMMYFUNCTION("""COMPUTED_VALUE"""),"")</f>
        <v/>
      </c>
      <c r="O457" s="141" t="s">
        <v>133</v>
      </c>
      <c r="P457" s="136" t="str">
        <f>IFERROR(__xludf.DUMMYFUNCTION("""COMPUTED_VALUE"""),"")</f>
        <v/>
      </c>
      <c r="Q457" s="136" t="str">
        <f>IFERROR(__xludf.DUMMYFUNCTION("""COMPUTED_VALUE"""),"")</f>
        <v/>
      </c>
      <c r="R457" s="106" t="str">
        <f>IFERROR(__xludf.DUMMYFUNCTION("""COMPUTED_VALUE"""),"")</f>
        <v/>
      </c>
      <c r="S457" s="106" t="str">
        <f>IFERROR(__xludf.DUMMYFUNCTION("""COMPUTED_VALUE"""),"")</f>
        <v/>
      </c>
      <c r="T457" s="139" t="str">
        <f>IFERROR(__xludf.DUMMYFUNCTION("""COMPUTED_VALUE"""),"")</f>
        <v/>
      </c>
      <c r="U457" s="139" t="str">
        <f>IFERROR(__xludf.DUMMYFUNCTION("""COMPUTED_VALUE"""),"")</f>
        <v/>
      </c>
      <c r="V457" s="136" t="str">
        <f>IFERROR(__xludf.DUMMYFUNCTION("""COMPUTED_VALUE"""),"")</f>
        <v/>
      </c>
      <c r="W457" s="106" t="str">
        <f>IFERROR(__xludf.DUMMYFUNCTION("""COMPUTED_VALUE"""),"")</f>
        <v/>
      </c>
      <c r="X457" s="143" t="str">
        <f t="shared" si="2"/>
        <v/>
      </c>
      <c r="Y457" s="139" t="str">
        <f>IFERROR(__xludf.DUMMYFUNCTION("""COMPUTED_VALUE"""),"")</f>
        <v/>
      </c>
      <c r="Z457" s="141" t="str">
        <f>IFERROR(__xludf.DUMMYFUNCTION("""COMPUTED_VALUE"""),"")</f>
        <v/>
      </c>
    </row>
    <row r="458">
      <c r="A458" s="136"/>
      <c r="B458" s="136"/>
      <c r="C458" s="136" t="str">
        <f>IFERROR(__xludf.DUMMYFUNCTION("""COMPUTED_VALUE"""),"")</f>
        <v/>
      </c>
      <c r="D458" s="136" t="str">
        <f t="shared" si="3"/>
        <v/>
      </c>
      <c r="E458" s="152" t="str">
        <f>IFERROR(__xludf.DUMMYFUNCTION("""COMPUTED_VALUE"""),"")</f>
        <v/>
      </c>
      <c r="F458" s="106" t="s">
        <v>133</v>
      </c>
      <c r="G458" s="152" t="str">
        <f>IFERROR(__xludf.DUMMYFUNCTION("""COMPUTED_VALUE"""),"")</f>
        <v/>
      </c>
      <c r="H458" s="106" t="s">
        <v>133</v>
      </c>
      <c r="I458" s="136"/>
      <c r="J458" s="139" t="s">
        <v>133</v>
      </c>
      <c r="K458" s="136" t="s">
        <v>133</v>
      </c>
      <c r="L458" s="153" t="str">
        <f>IFERROR(__xludf.DUMMYFUNCTION("""COMPUTED_VALUE"""),"")</f>
        <v/>
      </c>
      <c r="M458" s="136" t="str">
        <f t="shared" si="1"/>
        <v/>
      </c>
      <c r="N458" s="136" t="str">
        <f>IFERROR(__xludf.DUMMYFUNCTION("""COMPUTED_VALUE"""),"")</f>
        <v/>
      </c>
      <c r="O458" s="141" t="s">
        <v>133</v>
      </c>
      <c r="P458" s="136" t="str">
        <f>IFERROR(__xludf.DUMMYFUNCTION("""COMPUTED_VALUE"""),"")</f>
        <v/>
      </c>
      <c r="Q458" s="136" t="str">
        <f>IFERROR(__xludf.DUMMYFUNCTION("""COMPUTED_VALUE"""),"")</f>
        <v/>
      </c>
      <c r="R458" s="106" t="str">
        <f>IFERROR(__xludf.DUMMYFUNCTION("""COMPUTED_VALUE"""),"")</f>
        <v/>
      </c>
      <c r="S458" s="106" t="str">
        <f>IFERROR(__xludf.DUMMYFUNCTION("""COMPUTED_VALUE"""),"")</f>
        <v/>
      </c>
      <c r="T458" s="139" t="str">
        <f>IFERROR(__xludf.DUMMYFUNCTION("""COMPUTED_VALUE"""),"")</f>
        <v/>
      </c>
      <c r="U458" s="139" t="str">
        <f>IFERROR(__xludf.DUMMYFUNCTION("""COMPUTED_VALUE"""),"")</f>
        <v/>
      </c>
      <c r="V458" s="136" t="str">
        <f>IFERROR(__xludf.DUMMYFUNCTION("""COMPUTED_VALUE"""),"")</f>
        <v/>
      </c>
      <c r="W458" s="106" t="str">
        <f>IFERROR(__xludf.DUMMYFUNCTION("""COMPUTED_VALUE"""),"")</f>
        <v/>
      </c>
      <c r="X458" s="143" t="str">
        <f t="shared" si="2"/>
        <v/>
      </c>
      <c r="Y458" s="139" t="str">
        <f>IFERROR(__xludf.DUMMYFUNCTION("""COMPUTED_VALUE"""),"")</f>
        <v/>
      </c>
      <c r="Z458" s="141" t="str">
        <f>IFERROR(__xludf.DUMMYFUNCTION("""COMPUTED_VALUE"""),"")</f>
        <v/>
      </c>
    </row>
    <row r="459">
      <c r="A459" s="136"/>
      <c r="B459" s="136"/>
      <c r="C459" s="136" t="str">
        <f>IFERROR(__xludf.DUMMYFUNCTION("""COMPUTED_VALUE"""),"")</f>
        <v/>
      </c>
      <c r="D459" s="136" t="str">
        <f t="shared" si="3"/>
        <v/>
      </c>
      <c r="E459" s="152" t="str">
        <f>IFERROR(__xludf.DUMMYFUNCTION("""COMPUTED_VALUE"""),"")</f>
        <v/>
      </c>
      <c r="F459" s="106" t="s">
        <v>133</v>
      </c>
      <c r="G459" s="152" t="str">
        <f>IFERROR(__xludf.DUMMYFUNCTION("""COMPUTED_VALUE"""),"")</f>
        <v/>
      </c>
      <c r="H459" s="106" t="s">
        <v>133</v>
      </c>
      <c r="I459" s="136"/>
      <c r="J459" s="139" t="s">
        <v>133</v>
      </c>
      <c r="K459" s="136" t="s">
        <v>133</v>
      </c>
      <c r="L459" s="153" t="str">
        <f>IFERROR(__xludf.DUMMYFUNCTION("""COMPUTED_VALUE"""),"")</f>
        <v/>
      </c>
      <c r="M459" s="136" t="str">
        <f t="shared" si="1"/>
        <v/>
      </c>
      <c r="N459" s="136" t="str">
        <f>IFERROR(__xludf.DUMMYFUNCTION("""COMPUTED_VALUE"""),"")</f>
        <v/>
      </c>
      <c r="O459" s="141" t="s">
        <v>133</v>
      </c>
      <c r="P459" s="136" t="str">
        <f>IFERROR(__xludf.DUMMYFUNCTION("""COMPUTED_VALUE"""),"")</f>
        <v/>
      </c>
      <c r="Q459" s="136" t="str">
        <f>IFERROR(__xludf.DUMMYFUNCTION("""COMPUTED_VALUE"""),"")</f>
        <v/>
      </c>
      <c r="R459" s="106" t="str">
        <f>IFERROR(__xludf.DUMMYFUNCTION("""COMPUTED_VALUE"""),"")</f>
        <v/>
      </c>
      <c r="S459" s="106" t="str">
        <f>IFERROR(__xludf.DUMMYFUNCTION("""COMPUTED_VALUE"""),"")</f>
        <v/>
      </c>
      <c r="T459" s="139" t="str">
        <f>IFERROR(__xludf.DUMMYFUNCTION("""COMPUTED_VALUE"""),"")</f>
        <v/>
      </c>
      <c r="U459" s="139" t="str">
        <f>IFERROR(__xludf.DUMMYFUNCTION("""COMPUTED_VALUE"""),"")</f>
        <v/>
      </c>
      <c r="V459" s="136" t="str">
        <f>IFERROR(__xludf.DUMMYFUNCTION("""COMPUTED_VALUE"""),"")</f>
        <v/>
      </c>
      <c r="W459" s="106" t="str">
        <f>IFERROR(__xludf.DUMMYFUNCTION("""COMPUTED_VALUE"""),"")</f>
        <v/>
      </c>
      <c r="X459" s="143" t="str">
        <f t="shared" si="2"/>
        <v/>
      </c>
      <c r="Y459" s="139" t="str">
        <f>IFERROR(__xludf.DUMMYFUNCTION("""COMPUTED_VALUE"""),"")</f>
        <v/>
      </c>
      <c r="Z459" s="141" t="str">
        <f>IFERROR(__xludf.DUMMYFUNCTION("""COMPUTED_VALUE"""),"")</f>
        <v/>
      </c>
    </row>
    <row r="460">
      <c r="A460" s="136"/>
      <c r="B460" s="136"/>
      <c r="C460" s="136" t="str">
        <f>IFERROR(__xludf.DUMMYFUNCTION("""COMPUTED_VALUE"""),"")</f>
        <v/>
      </c>
      <c r="D460" s="136" t="str">
        <f t="shared" si="3"/>
        <v/>
      </c>
      <c r="E460" s="152" t="str">
        <f>IFERROR(__xludf.DUMMYFUNCTION("""COMPUTED_VALUE"""),"")</f>
        <v/>
      </c>
      <c r="F460" s="106" t="s">
        <v>133</v>
      </c>
      <c r="G460" s="152" t="str">
        <f>IFERROR(__xludf.DUMMYFUNCTION("""COMPUTED_VALUE"""),"")</f>
        <v/>
      </c>
      <c r="H460" s="106" t="s">
        <v>133</v>
      </c>
      <c r="I460" s="136"/>
      <c r="J460" s="139" t="s">
        <v>133</v>
      </c>
      <c r="K460" s="136" t="s">
        <v>133</v>
      </c>
      <c r="L460" s="153" t="str">
        <f>IFERROR(__xludf.DUMMYFUNCTION("""COMPUTED_VALUE"""),"")</f>
        <v/>
      </c>
      <c r="M460" s="136" t="str">
        <f t="shared" si="1"/>
        <v/>
      </c>
      <c r="N460" s="136" t="str">
        <f>IFERROR(__xludf.DUMMYFUNCTION("""COMPUTED_VALUE"""),"")</f>
        <v/>
      </c>
      <c r="O460" s="141" t="s">
        <v>133</v>
      </c>
      <c r="P460" s="136" t="str">
        <f>IFERROR(__xludf.DUMMYFUNCTION("""COMPUTED_VALUE"""),"")</f>
        <v/>
      </c>
      <c r="Q460" s="136" t="str">
        <f>IFERROR(__xludf.DUMMYFUNCTION("""COMPUTED_VALUE"""),"")</f>
        <v/>
      </c>
      <c r="R460" s="106" t="str">
        <f>IFERROR(__xludf.DUMMYFUNCTION("""COMPUTED_VALUE"""),"")</f>
        <v/>
      </c>
      <c r="S460" s="106" t="str">
        <f>IFERROR(__xludf.DUMMYFUNCTION("""COMPUTED_VALUE"""),"")</f>
        <v/>
      </c>
      <c r="T460" s="139" t="str">
        <f>IFERROR(__xludf.DUMMYFUNCTION("""COMPUTED_VALUE"""),"")</f>
        <v/>
      </c>
      <c r="U460" s="139" t="str">
        <f>IFERROR(__xludf.DUMMYFUNCTION("""COMPUTED_VALUE"""),"")</f>
        <v/>
      </c>
      <c r="V460" s="136" t="str">
        <f>IFERROR(__xludf.DUMMYFUNCTION("""COMPUTED_VALUE"""),"")</f>
        <v/>
      </c>
      <c r="W460" s="106" t="str">
        <f>IFERROR(__xludf.DUMMYFUNCTION("""COMPUTED_VALUE"""),"")</f>
        <v/>
      </c>
      <c r="X460" s="143" t="str">
        <f t="shared" si="2"/>
        <v/>
      </c>
      <c r="Y460" s="139" t="str">
        <f>IFERROR(__xludf.DUMMYFUNCTION("""COMPUTED_VALUE"""),"")</f>
        <v/>
      </c>
      <c r="Z460" s="141" t="str">
        <f>IFERROR(__xludf.DUMMYFUNCTION("""COMPUTED_VALUE"""),"")</f>
        <v/>
      </c>
    </row>
    <row r="461">
      <c r="A461" s="136"/>
      <c r="B461" s="136"/>
      <c r="C461" s="136" t="str">
        <f>IFERROR(__xludf.DUMMYFUNCTION("""COMPUTED_VALUE"""),"")</f>
        <v/>
      </c>
      <c r="D461" s="136" t="str">
        <f t="shared" si="3"/>
        <v/>
      </c>
      <c r="E461" s="152" t="str">
        <f>IFERROR(__xludf.DUMMYFUNCTION("""COMPUTED_VALUE"""),"")</f>
        <v/>
      </c>
      <c r="F461" s="106" t="s">
        <v>133</v>
      </c>
      <c r="G461" s="152" t="str">
        <f>IFERROR(__xludf.DUMMYFUNCTION("""COMPUTED_VALUE"""),"")</f>
        <v/>
      </c>
      <c r="H461" s="106" t="s">
        <v>133</v>
      </c>
      <c r="I461" s="136"/>
      <c r="J461" s="139" t="s">
        <v>133</v>
      </c>
      <c r="K461" s="136" t="s">
        <v>133</v>
      </c>
      <c r="L461" s="153" t="str">
        <f>IFERROR(__xludf.DUMMYFUNCTION("""COMPUTED_VALUE"""),"")</f>
        <v/>
      </c>
      <c r="M461" s="136" t="str">
        <f t="shared" si="1"/>
        <v/>
      </c>
      <c r="N461" s="136" t="str">
        <f>IFERROR(__xludf.DUMMYFUNCTION("""COMPUTED_VALUE"""),"")</f>
        <v/>
      </c>
      <c r="O461" s="141" t="s">
        <v>133</v>
      </c>
      <c r="P461" s="136" t="str">
        <f>IFERROR(__xludf.DUMMYFUNCTION("""COMPUTED_VALUE"""),"")</f>
        <v/>
      </c>
      <c r="Q461" s="136" t="str">
        <f>IFERROR(__xludf.DUMMYFUNCTION("""COMPUTED_VALUE"""),"")</f>
        <v/>
      </c>
      <c r="R461" s="106" t="str">
        <f>IFERROR(__xludf.DUMMYFUNCTION("""COMPUTED_VALUE"""),"")</f>
        <v/>
      </c>
      <c r="S461" s="106" t="str">
        <f>IFERROR(__xludf.DUMMYFUNCTION("""COMPUTED_VALUE"""),"")</f>
        <v/>
      </c>
      <c r="T461" s="139" t="str">
        <f>IFERROR(__xludf.DUMMYFUNCTION("""COMPUTED_VALUE"""),"")</f>
        <v/>
      </c>
      <c r="U461" s="139" t="str">
        <f>IFERROR(__xludf.DUMMYFUNCTION("""COMPUTED_VALUE"""),"")</f>
        <v/>
      </c>
      <c r="V461" s="136" t="str">
        <f>IFERROR(__xludf.DUMMYFUNCTION("""COMPUTED_VALUE"""),"")</f>
        <v/>
      </c>
      <c r="W461" s="106" t="str">
        <f>IFERROR(__xludf.DUMMYFUNCTION("""COMPUTED_VALUE"""),"")</f>
        <v/>
      </c>
      <c r="X461" s="143" t="str">
        <f t="shared" si="2"/>
        <v/>
      </c>
      <c r="Y461" s="139" t="str">
        <f>IFERROR(__xludf.DUMMYFUNCTION("""COMPUTED_VALUE"""),"")</f>
        <v/>
      </c>
      <c r="Z461" s="141" t="str">
        <f>IFERROR(__xludf.DUMMYFUNCTION("""COMPUTED_VALUE"""),"")</f>
        <v/>
      </c>
    </row>
    <row r="462">
      <c r="A462" s="136"/>
      <c r="B462" s="136"/>
      <c r="C462" s="136" t="str">
        <f>IFERROR(__xludf.DUMMYFUNCTION("""COMPUTED_VALUE"""),"")</f>
        <v/>
      </c>
      <c r="D462" s="136" t="str">
        <f t="shared" si="3"/>
        <v/>
      </c>
      <c r="E462" s="152" t="str">
        <f>IFERROR(__xludf.DUMMYFUNCTION("""COMPUTED_VALUE"""),"")</f>
        <v/>
      </c>
      <c r="F462" s="106" t="s">
        <v>133</v>
      </c>
      <c r="G462" s="152" t="str">
        <f>IFERROR(__xludf.DUMMYFUNCTION("""COMPUTED_VALUE"""),"")</f>
        <v/>
      </c>
      <c r="H462" s="106" t="s">
        <v>133</v>
      </c>
      <c r="I462" s="136"/>
      <c r="J462" s="139" t="s">
        <v>133</v>
      </c>
      <c r="K462" s="136" t="s">
        <v>133</v>
      </c>
      <c r="L462" s="153" t="str">
        <f>IFERROR(__xludf.DUMMYFUNCTION("""COMPUTED_VALUE"""),"")</f>
        <v/>
      </c>
      <c r="M462" s="136" t="str">
        <f t="shared" si="1"/>
        <v/>
      </c>
      <c r="N462" s="136" t="str">
        <f>IFERROR(__xludf.DUMMYFUNCTION("""COMPUTED_VALUE"""),"")</f>
        <v/>
      </c>
      <c r="O462" s="141" t="s">
        <v>133</v>
      </c>
      <c r="P462" s="136" t="str">
        <f>IFERROR(__xludf.DUMMYFUNCTION("""COMPUTED_VALUE"""),"")</f>
        <v/>
      </c>
      <c r="Q462" s="136" t="str">
        <f>IFERROR(__xludf.DUMMYFUNCTION("""COMPUTED_VALUE"""),"")</f>
        <v/>
      </c>
      <c r="R462" s="106" t="str">
        <f>IFERROR(__xludf.DUMMYFUNCTION("""COMPUTED_VALUE"""),"")</f>
        <v/>
      </c>
      <c r="S462" s="106" t="str">
        <f>IFERROR(__xludf.DUMMYFUNCTION("""COMPUTED_VALUE"""),"")</f>
        <v/>
      </c>
      <c r="T462" s="139" t="str">
        <f>IFERROR(__xludf.DUMMYFUNCTION("""COMPUTED_VALUE"""),"")</f>
        <v/>
      </c>
      <c r="U462" s="139" t="str">
        <f>IFERROR(__xludf.DUMMYFUNCTION("""COMPUTED_VALUE"""),"")</f>
        <v/>
      </c>
      <c r="V462" s="136" t="str">
        <f>IFERROR(__xludf.DUMMYFUNCTION("""COMPUTED_VALUE"""),"")</f>
        <v/>
      </c>
      <c r="W462" s="106" t="str">
        <f>IFERROR(__xludf.DUMMYFUNCTION("""COMPUTED_VALUE"""),"")</f>
        <v/>
      </c>
      <c r="X462" s="143" t="str">
        <f t="shared" si="2"/>
        <v/>
      </c>
      <c r="Y462" s="139" t="str">
        <f>IFERROR(__xludf.DUMMYFUNCTION("""COMPUTED_VALUE"""),"")</f>
        <v/>
      </c>
      <c r="Z462" s="141" t="str">
        <f>IFERROR(__xludf.DUMMYFUNCTION("""COMPUTED_VALUE"""),"")</f>
        <v/>
      </c>
    </row>
    <row r="463">
      <c r="A463" s="136"/>
      <c r="B463" s="136"/>
      <c r="C463" s="136" t="str">
        <f>IFERROR(__xludf.DUMMYFUNCTION("""COMPUTED_VALUE"""),"")</f>
        <v/>
      </c>
      <c r="D463" s="136" t="str">
        <f t="shared" si="3"/>
        <v/>
      </c>
      <c r="E463" s="152" t="str">
        <f>IFERROR(__xludf.DUMMYFUNCTION("""COMPUTED_VALUE"""),"")</f>
        <v/>
      </c>
      <c r="F463" s="106" t="s">
        <v>133</v>
      </c>
      <c r="G463" s="152" t="str">
        <f>IFERROR(__xludf.DUMMYFUNCTION("""COMPUTED_VALUE"""),"")</f>
        <v/>
      </c>
      <c r="H463" s="106" t="s">
        <v>133</v>
      </c>
      <c r="I463" s="136"/>
      <c r="J463" s="139" t="s">
        <v>133</v>
      </c>
      <c r="K463" s="136" t="s">
        <v>133</v>
      </c>
      <c r="L463" s="153" t="str">
        <f>IFERROR(__xludf.DUMMYFUNCTION("""COMPUTED_VALUE"""),"")</f>
        <v/>
      </c>
      <c r="M463" s="136" t="str">
        <f t="shared" si="1"/>
        <v/>
      </c>
      <c r="N463" s="136" t="str">
        <f>IFERROR(__xludf.DUMMYFUNCTION("""COMPUTED_VALUE"""),"")</f>
        <v/>
      </c>
      <c r="O463" s="141" t="s">
        <v>133</v>
      </c>
      <c r="P463" s="136" t="str">
        <f>IFERROR(__xludf.DUMMYFUNCTION("""COMPUTED_VALUE"""),"")</f>
        <v/>
      </c>
      <c r="Q463" s="136" t="str">
        <f>IFERROR(__xludf.DUMMYFUNCTION("""COMPUTED_VALUE"""),"")</f>
        <v/>
      </c>
      <c r="R463" s="106" t="str">
        <f>IFERROR(__xludf.DUMMYFUNCTION("""COMPUTED_VALUE"""),"")</f>
        <v/>
      </c>
      <c r="S463" s="106" t="str">
        <f>IFERROR(__xludf.DUMMYFUNCTION("""COMPUTED_VALUE"""),"")</f>
        <v/>
      </c>
      <c r="T463" s="139" t="str">
        <f>IFERROR(__xludf.DUMMYFUNCTION("""COMPUTED_VALUE"""),"")</f>
        <v/>
      </c>
      <c r="U463" s="139" t="str">
        <f>IFERROR(__xludf.DUMMYFUNCTION("""COMPUTED_VALUE"""),"")</f>
        <v/>
      </c>
      <c r="V463" s="136" t="str">
        <f>IFERROR(__xludf.DUMMYFUNCTION("""COMPUTED_VALUE"""),"")</f>
        <v/>
      </c>
      <c r="W463" s="106" t="str">
        <f>IFERROR(__xludf.DUMMYFUNCTION("""COMPUTED_VALUE"""),"")</f>
        <v/>
      </c>
      <c r="X463" s="143" t="str">
        <f t="shared" si="2"/>
        <v/>
      </c>
      <c r="Y463" s="139" t="str">
        <f>IFERROR(__xludf.DUMMYFUNCTION("""COMPUTED_VALUE"""),"")</f>
        <v/>
      </c>
      <c r="Z463" s="141" t="str">
        <f>IFERROR(__xludf.DUMMYFUNCTION("""COMPUTED_VALUE"""),"")</f>
        <v/>
      </c>
    </row>
    <row r="464">
      <c r="A464" s="136"/>
      <c r="B464" s="136"/>
      <c r="C464" s="136" t="str">
        <f>IFERROR(__xludf.DUMMYFUNCTION("""COMPUTED_VALUE"""),"")</f>
        <v/>
      </c>
      <c r="D464" s="136" t="str">
        <f t="shared" si="3"/>
        <v/>
      </c>
      <c r="E464" s="152" t="str">
        <f>IFERROR(__xludf.DUMMYFUNCTION("""COMPUTED_VALUE"""),"")</f>
        <v/>
      </c>
      <c r="F464" s="106" t="s">
        <v>133</v>
      </c>
      <c r="G464" s="152" t="str">
        <f>IFERROR(__xludf.DUMMYFUNCTION("""COMPUTED_VALUE"""),"")</f>
        <v/>
      </c>
      <c r="H464" s="106" t="s">
        <v>133</v>
      </c>
      <c r="I464" s="136"/>
      <c r="J464" s="139" t="s">
        <v>133</v>
      </c>
      <c r="K464" s="136" t="s">
        <v>133</v>
      </c>
      <c r="L464" s="153" t="str">
        <f>IFERROR(__xludf.DUMMYFUNCTION("""COMPUTED_VALUE"""),"")</f>
        <v/>
      </c>
      <c r="M464" s="136" t="str">
        <f t="shared" si="1"/>
        <v/>
      </c>
      <c r="N464" s="136" t="str">
        <f>IFERROR(__xludf.DUMMYFUNCTION("""COMPUTED_VALUE"""),"")</f>
        <v/>
      </c>
      <c r="O464" s="141" t="s">
        <v>133</v>
      </c>
      <c r="P464" s="136" t="str">
        <f>IFERROR(__xludf.DUMMYFUNCTION("""COMPUTED_VALUE"""),"")</f>
        <v/>
      </c>
      <c r="Q464" s="136" t="str">
        <f>IFERROR(__xludf.DUMMYFUNCTION("""COMPUTED_VALUE"""),"")</f>
        <v/>
      </c>
      <c r="R464" s="106" t="str">
        <f>IFERROR(__xludf.DUMMYFUNCTION("""COMPUTED_VALUE"""),"")</f>
        <v/>
      </c>
      <c r="S464" s="106" t="str">
        <f>IFERROR(__xludf.DUMMYFUNCTION("""COMPUTED_VALUE"""),"")</f>
        <v/>
      </c>
      <c r="T464" s="139" t="str">
        <f>IFERROR(__xludf.DUMMYFUNCTION("""COMPUTED_VALUE"""),"")</f>
        <v/>
      </c>
      <c r="U464" s="139" t="str">
        <f>IFERROR(__xludf.DUMMYFUNCTION("""COMPUTED_VALUE"""),"")</f>
        <v/>
      </c>
      <c r="V464" s="136" t="str">
        <f>IFERROR(__xludf.DUMMYFUNCTION("""COMPUTED_VALUE"""),"")</f>
        <v/>
      </c>
      <c r="W464" s="106" t="str">
        <f>IFERROR(__xludf.DUMMYFUNCTION("""COMPUTED_VALUE"""),"")</f>
        <v/>
      </c>
      <c r="X464" s="143" t="str">
        <f t="shared" si="2"/>
        <v/>
      </c>
      <c r="Y464" s="139" t="str">
        <f>IFERROR(__xludf.DUMMYFUNCTION("""COMPUTED_VALUE"""),"")</f>
        <v/>
      </c>
      <c r="Z464" s="141" t="str">
        <f>IFERROR(__xludf.DUMMYFUNCTION("""COMPUTED_VALUE"""),"")</f>
        <v/>
      </c>
    </row>
    <row r="465">
      <c r="A465" s="136"/>
      <c r="B465" s="136"/>
      <c r="C465" s="136" t="str">
        <f>IFERROR(__xludf.DUMMYFUNCTION("""COMPUTED_VALUE"""),"")</f>
        <v/>
      </c>
      <c r="D465" s="136" t="str">
        <f t="shared" si="3"/>
        <v/>
      </c>
      <c r="E465" s="152" t="str">
        <f>IFERROR(__xludf.DUMMYFUNCTION("""COMPUTED_VALUE"""),"")</f>
        <v/>
      </c>
      <c r="F465" s="106" t="s">
        <v>133</v>
      </c>
      <c r="G465" s="152" t="str">
        <f>IFERROR(__xludf.DUMMYFUNCTION("""COMPUTED_VALUE"""),"")</f>
        <v/>
      </c>
      <c r="H465" s="106" t="s">
        <v>133</v>
      </c>
      <c r="I465" s="136"/>
      <c r="J465" s="139" t="s">
        <v>133</v>
      </c>
      <c r="K465" s="136" t="s">
        <v>133</v>
      </c>
      <c r="L465" s="153" t="str">
        <f>IFERROR(__xludf.DUMMYFUNCTION("""COMPUTED_VALUE"""),"")</f>
        <v/>
      </c>
      <c r="M465" s="136" t="str">
        <f t="shared" si="1"/>
        <v/>
      </c>
      <c r="N465" s="136" t="str">
        <f>IFERROR(__xludf.DUMMYFUNCTION("""COMPUTED_VALUE"""),"")</f>
        <v/>
      </c>
      <c r="O465" s="141" t="s">
        <v>133</v>
      </c>
      <c r="P465" s="136" t="str">
        <f>IFERROR(__xludf.DUMMYFUNCTION("""COMPUTED_VALUE"""),"")</f>
        <v/>
      </c>
      <c r="Q465" s="136" t="str">
        <f>IFERROR(__xludf.DUMMYFUNCTION("""COMPUTED_VALUE"""),"")</f>
        <v/>
      </c>
      <c r="R465" s="106" t="str">
        <f>IFERROR(__xludf.DUMMYFUNCTION("""COMPUTED_VALUE"""),"")</f>
        <v/>
      </c>
      <c r="S465" s="106" t="str">
        <f>IFERROR(__xludf.DUMMYFUNCTION("""COMPUTED_VALUE"""),"")</f>
        <v/>
      </c>
      <c r="T465" s="139" t="str">
        <f>IFERROR(__xludf.DUMMYFUNCTION("""COMPUTED_VALUE"""),"")</f>
        <v/>
      </c>
      <c r="U465" s="139" t="str">
        <f>IFERROR(__xludf.DUMMYFUNCTION("""COMPUTED_VALUE"""),"")</f>
        <v/>
      </c>
      <c r="V465" s="136" t="str">
        <f>IFERROR(__xludf.DUMMYFUNCTION("""COMPUTED_VALUE"""),"")</f>
        <v/>
      </c>
      <c r="W465" s="106" t="str">
        <f>IFERROR(__xludf.DUMMYFUNCTION("""COMPUTED_VALUE"""),"")</f>
        <v/>
      </c>
      <c r="X465" s="143" t="str">
        <f t="shared" si="2"/>
        <v/>
      </c>
      <c r="Y465" s="139" t="str">
        <f>IFERROR(__xludf.DUMMYFUNCTION("""COMPUTED_VALUE"""),"")</f>
        <v/>
      </c>
      <c r="Z465" s="141" t="str">
        <f>IFERROR(__xludf.DUMMYFUNCTION("""COMPUTED_VALUE"""),"")</f>
        <v/>
      </c>
    </row>
    <row r="466">
      <c r="A466" s="136"/>
      <c r="B466" s="136"/>
      <c r="C466" s="136" t="str">
        <f>IFERROR(__xludf.DUMMYFUNCTION("""COMPUTED_VALUE"""),"")</f>
        <v/>
      </c>
      <c r="D466" s="136" t="str">
        <f t="shared" si="3"/>
        <v/>
      </c>
      <c r="E466" s="152" t="str">
        <f>IFERROR(__xludf.DUMMYFUNCTION("""COMPUTED_VALUE"""),"")</f>
        <v/>
      </c>
      <c r="F466" s="106" t="s">
        <v>133</v>
      </c>
      <c r="G466" s="152" t="str">
        <f>IFERROR(__xludf.DUMMYFUNCTION("""COMPUTED_VALUE"""),"")</f>
        <v/>
      </c>
      <c r="H466" s="106" t="s">
        <v>133</v>
      </c>
      <c r="I466" s="136"/>
      <c r="J466" s="139" t="s">
        <v>133</v>
      </c>
      <c r="K466" s="136" t="s">
        <v>133</v>
      </c>
      <c r="L466" s="153" t="str">
        <f>IFERROR(__xludf.DUMMYFUNCTION("""COMPUTED_VALUE"""),"")</f>
        <v/>
      </c>
      <c r="M466" s="136" t="str">
        <f t="shared" si="1"/>
        <v/>
      </c>
      <c r="N466" s="136" t="str">
        <f>IFERROR(__xludf.DUMMYFUNCTION("""COMPUTED_VALUE"""),"")</f>
        <v/>
      </c>
      <c r="O466" s="141" t="s">
        <v>133</v>
      </c>
      <c r="P466" s="136" t="str">
        <f>IFERROR(__xludf.DUMMYFUNCTION("""COMPUTED_VALUE"""),"")</f>
        <v/>
      </c>
      <c r="Q466" s="136" t="str">
        <f>IFERROR(__xludf.DUMMYFUNCTION("""COMPUTED_VALUE"""),"")</f>
        <v/>
      </c>
      <c r="R466" s="106" t="str">
        <f>IFERROR(__xludf.DUMMYFUNCTION("""COMPUTED_VALUE"""),"")</f>
        <v/>
      </c>
      <c r="S466" s="106" t="str">
        <f>IFERROR(__xludf.DUMMYFUNCTION("""COMPUTED_VALUE"""),"")</f>
        <v/>
      </c>
      <c r="T466" s="139" t="str">
        <f>IFERROR(__xludf.DUMMYFUNCTION("""COMPUTED_VALUE"""),"")</f>
        <v/>
      </c>
      <c r="U466" s="139" t="str">
        <f>IFERROR(__xludf.DUMMYFUNCTION("""COMPUTED_VALUE"""),"")</f>
        <v/>
      </c>
      <c r="V466" s="136" t="str">
        <f>IFERROR(__xludf.DUMMYFUNCTION("""COMPUTED_VALUE"""),"")</f>
        <v/>
      </c>
      <c r="W466" s="106" t="str">
        <f>IFERROR(__xludf.DUMMYFUNCTION("""COMPUTED_VALUE"""),"")</f>
        <v/>
      </c>
      <c r="X466" s="143" t="str">
        <f t="shared" si="2"/>
        <v/>
      </c>
      <c r="Y466" s="139" t="str">
        <f>IFERROR(__xludf.DUMMYFUNCTION("""COMPUTED_VALUE"""),"")</f>
        <v/>
      </c>
      <c r="Z466" s="141" t="str">
        <f>IFERROR(__xludf.DUMMYFUNCTION("""COMPUTED_VALUE"""),"")</f>
        <v/>
      </c>
    </row>
    <row r="467">
      <c r="A467" s="136"/>
      <c r="B467" s="136"/>
      <c r="C467" s="136" t="str">
        <f>IFERROR(__xludf.DUMMYFUNCTION("""COMPUTED_VALUE"""),"")</f>
        <v/>
      </c>
      <c r="D467" s="136" t="str">
        <f t="shared" si="3"/>
        <v/>
      </c>
      <c r="E467" s="152" t="str">
        <f>IFERROR(__xludf.DUMMYFUNCTION("""COMPUTED_VALUE"""),"")</f>
        <v/>
      </c>
      <c r="F467" s="106" t="s">
        <v>133</v>
      </c>
      <c r="G467" s="152" t="str">
        <f>IFERROR(__xludf.DUMMYFUNCTION("""COMPUTED_VALUE"""),"")</f>
        <v/>
      </c>
      <c r="H467" s="106" t="s">
        <v>133</v>
      </c>
      <c r="I467" s="136"/>
      <c r="J467" s="139" t="s">
        <v>133</v>
      </c>
      <c r="K467" s="136" t="s">
        <v>133</v>
      </c>
      <c r="L467" s="153" t="str">
        <f>IFERROR(__xludf.DUMMYFUNCTION("""COMPUTED_VALUE"""),"")</f>
        <v/>
      </c>
      <c r="M467" s="136" t="str">
        <f t="shared" si="1"/>
        <v/>
      </c>
      <c r="N467" s="136" t="str">
        <f>IFERROR(__xludf.DUMMYFUNCTION("""COMPUTED_VALUE"""),"")</f>
        <v/>
      </c>
      <c r="O467" s="141" t="s">
        <v>133</v>
      </c>
      <c r="P467" s="136" t="str">
        <f>IFERROR(__xludf.DUMMYFUNCTION("""COMPUTED_VALUE"""),"")</f>
        <v/>
      </c>
      <c r="Q467" s="136" t="str">
        <f>IFERROR(__xludf.DUMMYFUNCTION("""COMPUTED_VALUE"""),"")</f>
        <v/>
      </c>
      <c r="R467" s="106" t="str">
        <f>IFERROR(__xludf.DUMMYFUNCTION("""COMPUTED_VALUE"""),"")</f>
        <v/>
      </c>
      <c r="S467" s="106" t="str">
        <f>IFERROR(__xludf.DUMMYFUNCTION("""COMPUTED_VALUE"""),"")</f>
        <v/>
      </c>
      <c r="T467" s="139" t="str">
        <f>IFERROR(__xludf.DUMMYFUNCTION("""COMPUTED_VALUE"""),"")</f>
        <v/>
      </c>
      <c r="U467" s="139" t="str">
        <f>IFERROR(__xludf.DUMMYFUNCTION("""COMPUTED_VALUE"""),"")</f>
        <v/>
      </c>
      <c r="V467" s="136" t="str">
        <f>IFERROR(__xludf.DUMMYFUNCTION("""COMPUTED_VALUE"""),"")</f>
        <v/>
      </c>
      <c r="W467" s="106" t="str">
        <f>IFERROR(__xludf.DUMMYFUNCTION("""COMPUTED_VALUE"""),"")</f>
        <v/>
      </c>
      <c r="X467" s="143" t="str">
        <f t="shared" si="2"/>
        <v/>
      </c>
      <c r="Y467" s="139" t="str">
        <f>IFERROR(__xludf.DUMMYFUNCTION("""COMPUTED_VALUE"""),"")</f>
        <v/>
      </c>
      <c r="Z467" s="141" t="str">
        <f>IFERROR(__xludf.DUMMYFUNCTION("""COMPUTED_VALUE"""),"")</f>
        <v/>
      </c>
    </row>
    <row r="468">
      <c r="A468" s="136"/>
      <c r="B468" s="136"/>
      <c r="C468" s="136" t="str">
        <f>IFERROR(__xludf.DUMMYFUNCTION("""COMPUTED_VALUE"""),"")</f>
        <v/>
      </c>
      <c r="D468" s="136" t="str">
        <f t="shared" si="3"/>
        <v/>
      </c>
      <c r="E468" s="152" t="str">
        <f>IFERROR(__xludf.DUMMYFUNCTION("""COMPUTED_VALUE"""),"")</f>
        <v/>
      </c>
      <c r="F468" s="106" t="s">
        <v>133</v>
      </c>
      <c r="G468" s="152" t="str">
        <f>IFERROR(__xludf.DUMMYFUNCTION("""COMPUTED_VALUE"""),"")</f>
        <v/>
      </c>
      <c r="H468" s="106" t="s">
        <v>133</v>
      </c>
      <c r="I468" s="136"/>
      <c r="J468" s="139" t="s">
        <v>133</v>
      </c>
      <c r="K468" s="136" t="s">
        <v>133</v>
      </c>
      <c r="L468" s="153" t="str">
        <f>IFERROR(__xludf.DUMMYFUNCTION("""COMPUTED_VALUE"""),"")</f>
        <v/>
      </c>
      <c r="M468" s="136" t="str">
        <f t="shared" si="1"/>
        <v/>
      </c>
      <c r="N468" s="136" t="str">
        <f>IFERROR(__xludf.DUMMYFUNCTION("""COMPUTED_VALUE"""),"")</f>
        <v/>
      </c>
      <c r="O468" s="141" t="s">
        <v>133</v>
      </c>
      <c r="P468" s="136" t="str">
        <f>IFERROR(__xludf.DUMMYFUNCTION("""COMPUTED_VALUE"""),"")</f>
        <v/>
      </c>
      <c r="Q468" s="136" t="str">
        <f>IFERROR(__xludf.DUMMYFUNCTION("""COMPUTED_VALUE"""),"")</f>
        <v/>
      </c>
      <c r="R468" s="106" t="str">
        <f>IFERROR(__xludf.DUMMYFUNCTION("""COMPUTED_VALUE"""),"")</f>
        <v/>
      </c>
      <c r="S468" s="106" t="str">
        <f>IFERROR(__xludf.DUMMYFUNCTION("""COMPUTED_VALUE"""),"")</f>
        <v/>
      </c>
      <c r="T468" s="139" t="str">
        <f>IFERROR(__xludf.DUMMYFUNCTION("""COMPUTED_VALUE"""),"")</f>
        <v/>
      </c>
      <c r="U468" s="139" t="str">
        <f>IFERROR(__xludf.DUMMYFUNCTION("""COMPUTED_VALUE"""),"")</f>
        <v/>
      </c>
      <c r="V468" s="136" t="str">
        <f>IFERROR(__xludf.DUMMYFUNCTION("""COMPUTED_VALUE"""),"")</f>
        <v/>
      </c>
      <c r="W468" s="106" t="str">
        <f>IFERROR(__xludf.DUMMYFUNCTION("""COMPUTED_VALUE"""),"")</f>
        <v/>
      </c>
      <c r="X468" s="143" t="str">
        <f t="shared" si="2"/>
        <v/>
      </c>
      <c r="Y468" s="139" t="str">
        <f>IFERROR(__xludf.DUMMYFUNCTION("""COMPUTED_VALUE"""),"")</f>
        <v/>
      </c>
      <c r="Z468" s="141" t="str">
        <f>IFERROR(__xludf.DUMMYFUNCTION("""COMPUTED_VALUE"""),"")</f>
        <v/>
      </c>
    </row>
    <row r="469">
      <c r="A469" s="136"/>
      <c r="B469" s="136"/>
      <c r="C469" s="136" t="str">
        <f>IFERROR(__xludf.DUMMYFUNCTION("""COMPUTED_VALUE"""),"")</f>
        <v/>
      </c>
      <c r="D469" s="136" t="str">
        <f t="shared" si="3"/>
        <v/>
      </c>
      <c r="E469" s="152" t="str">
        <f>IFERROR(__xludf.DUMMYFUNCTION("""COMPUTED_VALUE"""),"")</f>
        <v/>
      </c>
      <c r="F469" s="106" t="s">
        <v>133</v>
      </c>
      <c r="G469" s="152" t="str">
        <f>IFERROR(__xludf.DUMMYFUNCTION("""COMPUTED_VALUE"""),"")</f>
        <v/>
      </c>
      <c r="H469" s="106" t="s">
        <v>133</v>
      </c>
      <c r="I469" s="136"/>
      <c r="J469" s="139" t="s">
        <v>133</v>
      </c>
      <c r="K469" s="136" t="s">
        <v>133</v>
      </c>
      <c r="L469" s="153" t="str">
        <f>IFERROR(__xludf.DUMMYFUNCTION("""COMPUTED_VALUE"""),"")</f>
        <v/>
      </c>
      <c r="M469" s="136" t="str">
        <f t="shared" si="1"/>
        <v/>
      </c>
      <c r="N469" s="136" t="str">
        <f>IFERROR(__xludf.DUMMYFUNCTION("""COMPUTED_VALUE"""),"")</f>
        <v/>
      </c>
      <c r="O469" s="141" t="s">
        <v>133</v>
      </c>
      <c r="P469" s="136" t="str">
        <f>IFERROR(__xludf.DUMMYFUNCTION("""COMPUTED_VALUE"""),"")</f>
        <v/>
      </c>
      <c r="Q469" s="136" t="str">
        <f>IFERROR(__xludf.DUMMYFUNCTION("""COMPUTED_VALUE"""),"")</f>
        <v/>
      </c>
      <c r="R469" s="106" t="str">
        <f>IFERROR(__xludf.DUMMYFUNCTION("""COMPUTED_VALUE"""),"")</f>
        <v/>
      </c>
      <c r="S469" s="106" t="str">
        <f>IFERROR(__xludf.DUMMYFUNCTION("""COMPUTED_VALUE"""),"")</f>
        <v/>
      </c>
      <c r="T469" s="139" t="str">
        <f>IFERROR(__xludf.DUMMYFUNCTION("""COMPUTED_VALUE"""),"")</f>
        <v/>
      </c>
      <c r="U469" s="139" t="str">
        <f>IFERROR(__xludf.DUMMYFUNCTION("""COMPUTED_VALUE"""),"")</f>
        <v/>
      </c>
      <c r="V469" s="136" t="str">
        <f>IFERROR(__xludf.DUMMYFUNCTION("""COMPUTED_VALUE"""),"")</f>
        <v/>
      </c>
      <c r="W469" s="106" t="str">
        <f>IFERROR(__xludf.DUMMYFUNCTION("""COMPUTED_VALUE"""),"")</f>
        <v/>
      </c>
      <c r="X469" s="143" t="str">
        <f t="shared" si="2"/>
        <v/>
      </c>
      <c r="Y469" s="139" t="str">
        <f>IFERROR(__xludf.DUMMYFUNCTION("""COMPUTED_VALUE"""),"")</f>
        <v/>
      </c>
      <c r="Z469" s="141" t="str">
        <f>IFERROR(__xludf.DUMMYFUNCTION("""COMPUTED_VALUE"""),"")</f>
        <v/>
      </c>
    </row>
    <row r="470">
      <c r="A470" s="136"/>
      <c r="B470" s="136"/>
      <c r="C470" s="136" t="str">
        <f>IFERROR(__xludf.DUMMYFUNCTION("""COMPUTED_VALUE"""),"")</f>
        <v/>
      </c>
      <c r="D470" s="136" t="str">
        <f t="shared" si="3"/>
        <v/>
      </c>
      <c r="E470" s="152" t="str">
        <f>IFERROR(__xludf.DUMMYFUNCTION("""COMPUTED_VALUE"""),"")</f>
        <v/>
      </c>
      <c r="F470" s="106" t="s">
        <v>133</v>
      </c>
      <c r="G470" s="152" t="str">
        <f>IFERROR(__xludf.DUMMYFUNCTION("""COMPUTED_VALUE"""),"")</f>
        <v/>
      </c>
      <c r="H470" s="106" t="s">
        <v>133</v>
      </c>
      <c r="I470" s="136"/>
      <c r="J470" s="139" t="s">
        <v>133</v>
      </c>
      <c r="K470" s="136" t="s">
        <v>133</v>
      </c>
      <c r="L470" s="153" t="str">
        <f>IFERROR(__xludf.DUMMYFUNCTION("""COMPUTED_VALUE"""),"")</f>
        <v/>
      </c>
      <c r="M470" s="136" t="str">
        <f t="shared" si="1"/>
        <v/>
      </c>
      <c r="N470" s="136" t="str">
        <f>IFERROR(__xludf.DUMMYFUNCTION("""COMPUTED_VALUE"""),"")</f>
        <v/>
      </c>
      <c r="O470" s="141" t="s">
        <v>133</v>
      </c>
      <c r="P470" s="136" t="str">
        <f>IFERROR(__xludf.DUMMYFUNCTION("""COMPUTED_VALUE"""),"")</f>
        <v/>
      </c>
      <c r="Q470" s="136" t="str">
        <f>IFERROR(__xludf.DUMMYFUNCTION("""COMPUTED_VALUE"""),"")</f>
        <v/>
      </c>
      <c r="R470" s="106" t="str">
        <f>IFERROR(__xludf.DUMMYFUNCTION("""COMPUTED_VALUE"""),"")</f>
        <v/>
      </c>
      <c r="S470" s="106" t="str">
        <f>IFERROR(__xludf.DUMMYFUNCTION("""COMPUTED_VALUE"""),"")</f>
        <v/>
      </c>
      <c r="T470" s="139" t="str">
        <f>IFERROR(__xludf.DUMMYFUNCTION("""COMPUTED_VALUE"""),"")</f>
        <v/>
      </c>
      <c r="U470" s="139" t="str">
        <f>IFERROR(__xludf.DUMMYFUNCTION("""COMPUTED_VALUE"""),"")</f>
        <v/>
      </c>
      <c r="V470" s="136" t="str">
        <f>IFERROR(__xludf.DUMMYFUNCTION("""COMPUTED_VALUE"""),"")</f>
        <v/>
      </c>
      <c r="W470" s="106" t="str">
        <f>IFERROR(__xludf.DUMMYFUNCTION("""COMPUTED_VALUE"""),"")</f>
        <v/>
      </c>
      <c r="X470" s="143" t="str">
        <f t="shared" si="2"/>
        <v/>
      </c>
      <c r="Y470" s="139" t="str">
        <f>IFERROR(__xludf.DUMMYFUNCTION("""COMPUTED_VALUE"""),"")</f>
        <v/>
      </c>
      <c r="Z470" s="141" t="str">
        <f>IFERROR(__xludf.DUMMYFUNCTION("""COMPUTED_VALUE"""),"")</f>
        <v/>
      </c>
    </row>
    <row r="471">
      <c r="A471" s="136"/>
      <c r="B471" s="136"/>
      <c r="C471" s="136" t="str">
        <f>IFERROR(__xludf.DUMMYFUNCTION("""COMPUTED_VALUE"""),"")</f>
        <v/>
      </c>
      <c r="D471" s="136" t="str">
        <f t="shared" si="3"/>
        <v/>
      </c>
      <c r="E471" s="152" t="str">
        <f>IFERROR(__xludf.DUMMYFUNCTION("""COMPUTED_VALUE"""),"")</f>
        <v/>
      </c>
      <c r="F471" s="106" t="s">
        <v>133</v>
      </c>
      <c r="G471" s="152" t="str">
        <f>IFERROR(__xludf.DUMMYFUNCTION("""COMPUTED_VALUE"""),"")</f>
        <v/>
      </c>
      <c r="H471" s="106" t="s">
        <v>133</v>
      </c>
      <c r="I471" s="136"/>
      <c r="J471" s="139" t="s">
        <v>133</v>
      </c>
      <c r="K471" s="136" t="s">
        <v>133</v>
      </c>
      <c r="L471" s="153" t="str">
        <f>IFERROR(__xludf.DUMMYFUNCTION("""COMPUTED_VALUE"""),"")</f>
        <v/>
      </c>
      <c r="M471" s="136" t="str">
        <f t="shared" si="1"/>
        <v/>
      </c>
      <c r="N471" s="136" t="str">
        <f>IFERROR(__xludf.DUMMYFUNCTION("""COMPUTED_VALUE"""),"")</f>
        <v/>
      </c>
      <c r="O471" s="141" t="s">
        <v>133</v>
      </c>
      <c r="P471" s="136" t="str">
        <f>IFERROR(__xludf.DUMMYFUNCTION("""COMPUTED_VALUE"""),"")</f>
        <v/>
      </c>
      <c r="Q471" s="136" t="str">
        <f>IFERROR(__xludf.DUMMYFUNCTION("""COMPUTED_VALUE"""),"")</f>
        <v/>
      </c>
      <c r="R471" s="106" t="str">
        <f>IFERROR(__xludf.DUMMYFUNCTION("""COMPUTED_VALUE"""),"")</f>
        <v/>
      </c>
      <c r="S471" s="106" t="str">
        <f>IFERROR(__xludf.DUMMYFUNCTION("""COMPUTED_VALUE"""),"")</f>
        <v/>
      </c>
      <c r="T471" s="139" t="str">
        <f>IFERROR(__xludf.DUMMYFUNCTION("""COMPUTED_VALUE"""),"")</f>
        <v/>
      </c>
      <c r="U471" s="139" t="str">
        <f>IFERROR(__xludf.DUMMYFUNCTION("""COMPUTED_VALUE"""),"")</f>
        <v/>
      </c>
      <c r="V471" s="136" t="str">
        <f>IFERROR(__xludf.DUMMYFUNCTION("""COMPUTED_VALUE"""),"")</f>
        <v/>
      </c>
      <c r="W471" s="106" t="str">
        <f>IFERROR(__xludf.DUMMYFUNCTION("""COMPUTED_VALUE"""),"")</f>
        <v/>
      </c>
      <c r="X471" s="143" t="str">
        <f t="shared" si="2"/>
        <v/>
      </c>
      <c r="Y471" s="139" t="str">
        <f>IFERROR(__xludf.DUMMYFUNCTION("""COMPUTED_VALUE"""),"")</f>
        <v/>
      </c>
      <c r="Z471" s="141" t="str">
        <f>IFERROR(__xludf.DUMMYFUNCTION("""COMPUTED_VALUE"""),"")</f>
        <v/>
      </c>
    </row>
    <row r="472">
      <c r="A472" s="136"/>
      <c r="B472" s="136"/>
      <c r="C472" s="136" t="str">
        <f>IFERROR(__xludf.DUMMYFUNCTION("""COMPUTED_VALUE"""),"")</f>
        <v/>
      </c>
      <c r="D472" s="136" t="str">
        <f t="shared" si="3"/>
        <v/>
      </c>
      <c r="E472" s="152" t="str">
        <f>IFERROR(__xludf.DUMMYFUNCTION("""COMPUTED_VALUE"""),"")</f>
        <v/>
      </c>
      <c r="F472" s="106" t="s">
        <v>133</v>
      </c>
      <c r="G472" s="152" t="str">
        <f>IFERROR(__xludf.DUMMYFUNCTION("""COMPUTED_VALUE"""),"")</f>
        <v/>
      </c>
      <c r="H472" s="106" t="s">
        <v>133</v>
      </c>
      <c r="I472" s="136"/>
      <c r="J472" s="139" t="s">
        <v>133</v>
      </c>
      <c r="K472" s="136" t="s">
        <v>133</v>
      </c>
      <c r="L472" s="153" t="str">
        <f>IFERROR(__xludf.DUMMYFUNCTION("""COMPUTED_VALUE"""),"")</f>
        <v/>
      </c>
      <c r="M472" s="136" t="str">
        <f t="shared" si="1"/>
        <v/>
      </c>
      <c r="N472" s="136" t="str">
        <f>IFERROR(__xludf.DUMMYFUNCTION("""COMPUTED_VALUE"""),"")</f>
        <v/>
      </c>
      <c r="O472" s="141" t="s">
        <v>133</v>
      </c>
      <c r="P472" s="136" t="str">
        <f>IFERROR(__xludf.DUMMYFUNCTION("""COMPUTED_VALUE"""),"")</f>
        <v/>
      </c>
      <c r="Q472" s="136" t="str">
        <f>IFERROR(__xludf.DUMMYFUNCTION("""COMPUTED_VALUE"""),"")</f>
        <v/>
      </c>
      <c r="R472" s="106" t="str">
        <f>IFERROR(__xludf.DUMMYFUNCTION("""COMPUTED_VALUE"""),"")</f>
        <v/>
      </c>
      <c r="S472" s="106" t="str">
        <f>IFERROR(__xludf.DUMMYFUNCTION("""COMPUTED_VALUE"""),"")</f>
        <v/>
      </c>
      <c r="T472" s="139" t="str">
        <f>IFERROR(__xludf.DUMMYFUNCTION("""COMPUTED_VALUE"""),"")</f>
        <v/>
      </c>
      <c r="U472" s="139" t="str">
        <f>IFERROR(__xludf.DUMMYFUNCTION("""COMPUTED_VALUE"""),"")</f>
        <v/>
      </c>
      <c r="V472" s="136" t="str">
        <f>IFERROR(__xludf.DUMMYFUNCTION("""COMPUTED_VALUE"""),"")</f>
        <v/>
      </c>
      <c r="W472" s="106" t="str">
        <f>IFERROR(__xludf.DUMMYFUNCTION("""COMPUTED_VALUE"""),"")</f>
        <v/>
      </c>
      <c r="X472" s="143" t="str">
        <f t="shared" si="2"/>
        <v/>
      </c>
      <c r="Y472" s="139" t="str">
        <f>IFERROR(__xludf.DUMMYFUNCTION("""COMPUTED_VALUE"""),"")</f>
        <v/>
      </c>
      <c r="Z472" s="141" t="str">
        <f>IFERROR(__xludf.DUMMYFUNCTION("""COMPUTED_VALUE"""),"")</f>
        <v/>
      </c>
    </row>
    <row r="473">
      <c r="A473" s="136"/>
      <c r="B473" s="136"/>
      <c r="C473" s="136" t="str">
        <f>IFERROR(__xludf.DUMMYFUNCTION("""COMPUTED_VALUE"""),"")</f>
        <v/>
      </c>
      <c r="D473" s="136" t="str">
        <f t="shared" si="3"/>
        <v/>
      </c>
      <c r="E473" s="152" t="str">
        <f>IFERROR(__xludf.DUMMYFUNCTION("""COMPUTED_VALUE"""),"")</f>
        <v/>
      </c>
      <c r="F473" s="106" t="s">
        <v>133</v>
      </c>
      <c r="G473" s="152" t="str">
        <f>IFERROR(__xludf.DUMMYFUNCTION("""COMPUTED_VALUE"""),"")</f>
        <v/>
      </c>
      <c r="H473" s="106" t="s">
        <v>133</v>
      </c>
      <c r="I473" s="136"/>
      <c r="J473" s="139" t="s">
        <v>133</v>
      </c>
      <c r="K473" s="136" t="s">
        <v>133</v>
      </c>
      <c r="L473" s="153" t="str">
        <f>IFERROR(__xludf.DUMMYFUNCTION("""COMPUTED_VALUE"""),"")</f>
        <v/>
      </c>
      <c r="M473" s="136" t="str">
        <f t="shared" si="1"/>
        <v/>
      </c>
      <c r="N473" s="136" t="str">
        <f>IFERROR(__xludf.DUMMYFUNCTION("""COMPUTED_VALUE"""),"")</f>
        <v/>
      </c>
      <c r="O473" s="141" t="s">
        <v>133</v>
      </c>
      <c r="P473" s="136" t="str">
        <f>IFERROR(__xludf.DUMMYFUNCTION("""COMPUTED_VALUE"""),"")</f>
        <v/>
      </c>
      <c r="Q473" s="136" t="str">
        <f>IFERROR(__xludf.DUMMYFUNCTION("""COMPUTED_VALUE"""),"")</f>
        <v/>
      </c>
      <c r="R473" s="106" t="str">
        <f>IFERROR(__xludf.DUMMYFUNCTION("""COMPUTED_VALUE"""),"")</f>
        <v/>
      </c>
      <c r="S473" s="106" t="str">
        <f>IFERROR(__xludf.DUMMYFUNCTION("""COMPUTED_VALUE"""),"")</f>
        <v/>
      </c>
      <c r="T473" s="139" t="str">
        <f>IFERROR(__xludf.DUMMYFUNCTION("""COMPUTED_VALUE"""),"")</f>
        <v/>
      </c>
      <c r="U473" s="139" t="str">
        <f>IFERROR(__xludf.DUMMYFUNCTION("""COMPUTED_VALUE"""),"")</f>
        <v/>
      </c>
      <c r="V473" s="136" t="str">
        <f>IFERROR(__xludf.DUMMYFUNCTION("""COMPUTED_VALUE"""),"")</f>
        <v/>
      </c>
      <c r="W473" s="106" t="str">
        <f>IFERROR(__xludf.DUMMYFUNCTION("""COMPUTED_VALUE"""),"")</f>
        <v/>
      </c>
      <c r="X473" s="143" t="str">
        <f t="shared" si="2"/>
        <v/>
      </c>
      <c r="Y473" s="139" t="str">
        <f>IFERROR(__xludf.DUMMYFUNCTION("""COMPUTED_VALUE"""),"")</f>
        <v/>
      </c>
      <c r="Z473" s="141" t="str">
        <f>IFERROR(__xludf.DUMMYFUNCTION("""COMPUTED_VALUE"""),"")</f>
        <v/>
      </c>
    </row>
    <row r="474">
      <c r="A474" s="136"/>
      <c r="B474" s="136"/>
      <c r="C474" s="136" t="str">
        <f>IFERROR(__xludf.DUMMYFUNCTION("""COMPUTED_VALUE"""),"")</f>
        <v/>
      </c>
      <c r="D474" s="136" t="str">
        <f t="shared" si="3"/>
        <v/>
      </c>
      <c r="E474" s="152" t="str">
        <f>IFERROR(__xludf.DUMMYFUNCTION("""COMPUTED_VALUE"""),"")</f>
        <v/>
      </c>
      <c r="F474" s="106" t="s">
        <v>133</v>
      </c>
      <c r="G474" s="152" t="str">
        <f>IFERROR(__xludf.DUMMYFUNCTION("""COMPUTED_VALUE"""),"")</f>
        <v/>
      </c>
      <c r="H474" s="106" t="s">
        <v>133</v>
      </c>
      <c r="I474" s="136"/>
      <c r="J474" s="139" t="s">
        <v>133</v>
      </c>
      <c r="K474" s="136" t="s">
        <v>133</v>
      </c>
      <c r="L474" s="153" t="str">
        <f>IFERROR(__xludf.DUMMYFUNCTION("""COMPUTED_VALUE"""),"")</f>
        <v/>
      </c>
      <c r="M474" s="136" t="str">
        <f t="shared" si="1"/>
        <v/>
      </c>
      <c r="N474" s="136" t="str">
        <f>IFERROR(__xludf.DUMMYFUNCTION("""COMPUTED_VALUE"""),"")</f>
        <v/>
      </c>
      <c r="O474" s="141" t="s">
        <v>133</v>
      </c>
      <c r="P474" s="136" t="str">
        <f>IFERROR(__xludf.DUMMYFUNCTION("""COMPUTED_VALUE"""),"")</f>
        <v/>
      </c>
      <c r="Q474" s="136" t="str">
        <f>IFERROR(__xludf.DUMMYFUNCTION("""COMPUTED_VALUE"""),"")</f>
        <v/>
      </c>
      <c r="R474" s="106" t="str">
        <f>IFERROR(__xludf.DUMMYFUNCTION("""COMPUTED_VALUE"""),"")</f>
        <v/>
      </c>
      <c r="S474" s="106" t="str">
        <f>IFERROR(__xludf.DUMMYFUNCTION("""COMPUTED_VALUE"""),"")</f>
        <v/>
      </c>
      <c r="T474" s="139" t="str">
        <f>IFERROR(__xludf.DUMMYFUNCTION("""COMPUTED_VALUE"""),"")</f>
        <v/>
      </c>
      <c r="U474" s="139" t="str">
        <f>IFERROR(__xludf.DUMMYFUNCTION("""COMPUTED_VALUE"""),"")</f>
        <v/>
      </c>
      <c r="V474" s="136" t="str">
        <f>IFERROR(__xludf.DUMMYFUNCTION("""COMPUTED_VALUE"""),"")</f>
        <v/>
      </c>
      <c r="W474" s="106" t="str">
        <f>IFERROR(__xludf.DUMMYFUNCTION("""COMPUTED_VALUE"""),"")</f>
        <v/>
      </c>
      <c r="X474" s="143" t="str">
        <f t="shared" si="2"/>
        <v/>
      </c>
      <c r="Y474" s="139" t="str">
        <f>IFERROR(__xludf.DUMMYFUNCTION("""COMPUTED_VALUE"""),"")</f>
        <v/>
      </c>
      <c r="Z474" s="141" t="str">
        <f>IFERROR(__xludf.DUMMYFUNCTION("""COMPUTED_VALUE"""),"")</f>
        <v/>
      </c>
    </row>
    <row r="475">
      <c r="A475" s="136"/>
      <c r="B475" s="136"/>
      <c r="C475" s="136" t="str">
        <f>IFERROR(__xludf.DUMMYFUNCTION("""COMPUTED_VALUE"""),"")</f>
        <v/>
      </c>
      <c r="D475" s="136" t="str">
        <f t="shared" si="3"/>
        <v/>
      </c>
      <c r="E475" s="152" t="str">
        <f>IFERROR(__xludf.DUMMYFUNCTION("""COMPUTED_VALUE"""),"")</f>
        <v/>
      </c>
      <c r="F475" s="106" t="s">
        <v>133</v>
      </c>
      <c r="G475" s="152" t="str">
        <f>IFERROR(__xludf.DUMMYFUNCTION("""COMPUTED_VALUE"""),"")</f>
        <v/>
      </c>
      <c r="H475" s="106" t="s">
        <v>133</v>
      </c>
      <c r="I475" s="136"/>
      <c r="J475" s="139" t="s">
        <v>133</v>
      </c>
      <c r="K475" s="136" t="s">
        <v>133</v>
      </c>
      <c r="L475" s="153" t="str">
        <f>IFERROR(__xludf.DUMMYFUNCTION("""COMPUTED_VALUE"""),"")</f>
        <v/>
      </c>
      <c r="M475" s="136" t="str">
        <f t="shared" si="1"/>
        <v/>
      </c>
      <c r="N475" s="136" t="str">
        <f>IFERROR(__xludf.DUMMYFUNCTION("""COMPUTED_VALUE"""),"")</f>
        <v/>
      </c>
      <c r="O475" s="141" t="s">
        <v>133</v>
      </c>
      <c r="P475" s="136" t="str">
        <f>IFERROR(__xludf.DUMMYFUNCTION("""COMPUTED_VALUE"""),"")</f>
        <v/>
      </c>
      <c r="Q475" s="136" t="str">
        <f>IFERROR(__xludf.DUMMYFUNCTION("""COMPUTED_VALUE"""),"")</f>
        <v/>
      </c>
      <c r="R475" s="106" t="str">
        <f>IFERROR(__xludf.DUMMYFUNCTION("""COMPUTED_VALUE"""),"")</f>
        <v/>
      </c>
      <c r="S475" s="106" t="str">
        <f>IFERROR(__xludf.DUMMYFUNCTION("""COMPUTED_VALUE"""),"")</f>
        <v/>
      </c>
      <c r="T475" s="139" t="str">
        <f>IFERROR(__xludf.DUMMYFUNCTION("""COMPUTED_VALUE"""),"")</f>
        <v/>
      </c>
      <c r="U475" s="139" t="str">
        <f>IFERROR(__xludf.DUMMYFUNCTION("""COMPUTED_VALUE"""),"")</f>
        <v/>
      </c>
      <c r="V475" s="136" t="str">
        <f>IFERROR(__xludf.DUMMYFUNCTION("""COMPUTED_VALUE"""),"")</f>
        <v/>
      </c>
      <c r="W475" s="106" t="str">
        <f>IFERROR(__xludf.DUMMYFUNCTION("""COMPUTED_VALUE"""),"")</f>
        <v/>
      </c>
      <c r="X475" s="143" t="str">
        <f t="shared" si="2"/>
        <v/>
      </c>
      <c r="Y475" s="139" t="str">
        <f>IFERROR(__xludf.DUMMYFUNCTION("""COMPUTED_VALUE"""),"")</f>
        <v/>
      </c>
      <c r="Z475" s="141" t="str">
        <f>IFERROR(__xludf.DUMMYFUNCTION("""COMPUTED_VALUE"""),"")</f>
        <v/>
      </c>
    </row>
    <row r="476">
      <c r="A476" s="136"/>
      <c r="B476" s="136"/>
      <c r="C476" s="136" t="str">
        <f>IFERROR(__xludf.DUMMYFUNCTION("""COMPUTED_VALUE"""),"")</f>
        <v/>
      </c>
      <c r="D476" s="136" t="str">
        <f t="shared" si="3"/>
        <v/>
      </c>
      <c r="E476" s="152" t="str">
        <f>IFERROR(__xludf.DUMMYFUNCTION("""COMPUTED_VALUE"""),"")</f>
        <v/>
      </c>
      <c r="F476" s="106" t="s">
        <v>133</v>
      </c>
      <c r="G476" s="152" t="str">
        <f>IFERROR(__xludf.DUMMYFUNCTION("""COMPUTED_VALUE"""),"")</f>
        <v/>
      </c>
      <c r="H476" s="106" t="s">
        <v>133</v>
      </c>
      <c r="I476" s="136"/>
      <c r="J476" s="139" t="s">
        <v>133</v>
      </c>
      <c r="K476" s="136" t="s">
        <v>133</v>
      </c>
      <c r="L476" s="153" t="str">
        <f>IFERROR(__xludf.DUMMYFUNCTION("""COMPUTED_VALUE"""),"")</f>
        <v/>
      </c>
      <c r="M476" s="136" t="str">
        <f t="shared" si="1"/>
        <v/>
      </c>
      <c r="N476" s="136" t="str">
        <f>IFERROR(__xludf.DUMMYFUNCTION("""COMPUTED_VALUE"""),"")</f>
        <v/>
      </c>
      <c r="O476" s="141" t="s">
        <v>133</v>
      </c>
      <c r="P476" s="136" t="str">
        <f>IFERROR(__xludf.DUMMYFUNCTION("""COMPUTED_VALUE"""),"")</f>
        <v/>
      </c>
      <c r="Q476" s="136" t="str">
        <f>IFERROR(__xludf.DUMMYFUNCTION("""COMPUTED_VALUE"""),"")</f>
        <v/>
      </c>
      <c r="R476" s="106" t="str">
        <f>IFERROR(__xludf.DUMMYFUNCTION("""COMPUTED_VALUE"""),"")</f>
        <v/>
      </c>
      <c r="S476" s="106" t="str">
        <f>IFERROR(__xludf.DUMMYFUNCTION("""COMPUTED_VALUE"""),"")</f>
        <v/>
      </c>
      <c r="T476" s="139" t="str">
        <f>IFERROR(__xludf.DUMMYFUNCTION("""COMPUTED_VALUE"""),"")</f>
        <v/>
      </c>
      <c r="U476" s="139" t="str">
        <f>IFERROR(__xludf.DUMMYFUNCTION("""COMPUTED_VALUE"""),"")</f>
        <v/>
      </c>
      <c r="V476" s="136" t="str">
        <f>IFERROR(__xludf.DUMMYFUNCTION("""COMPUTED_VALUE"""),"")</f>
        <v/>
      </c>
      <c r="W476" s="106" t="str">
        <f>IFERROR(__xludf.DUMMYFUNCTION("""COMPUTED_VALUE"""),"")</f>
        <v/>
      </c>
      <c r="X476" s="143" t="str">
        <f t="shared" si="2"/>
        <v/>
      </c>
      <c r="Y476" s="139" t="str">
        <f>IFERROR(__xludf.DUMMYFUNCTION("""COMPUTED_VALUE"""),"")</f>
        <v/>
      </c>
      <c r="Z476" s="141" t="str">
        <f>IFERROR(__xludf.DUMMYFUNCTION("""COMPUTED_VALUE"""),"")</f>
        <v/>
      </c>
    </row>
    <row r="477">
      <c r="A477" s="136"/>
      <c r="B477" s="136"/>
      <c r="C477" s="136" t="str">
        <f>IFERROR(__xludf.DUMMYFUNCTION("""COMPUTED_VALUE"""),"")</f>
        <v/>
      </c>
      <c r="D477" s="136" t="str">
        <f t="shared" si="3"/>
        <v/>
      </c>
      <c r="E477" s="152" t="str">
        <f>IFERROR(__xludf.DUMMYFUNCTION("""COMPUTED_VALUE"""),"")</f>
        <v/>
      </c>
      <c r="F477" s="106" t="s">
        <v>133</v>
      </c>
      <c r="G477" s="152" t="str">
        <f>IFERROR(__xludf.DUMMYFUNCTION("""COMPUTED_VALUE"""),"")</f>
        <v/>
      </c>
      <c r="H477" s="106" t="s">
        <v>133</v>
      </c>
      <c r="I477" s="136"/>
      <c r="J477" s="139" t="s">
        <v>133</v>
      </c>
      <c r="K477" s="136" t="s">
        <v>133</v>
      </c>
      <c r="L477" s="153" t="str">
        <f>IFERROR(__xludf.DUMMYFUNCTION("""COMPUTED_VALUE"""),"")</f>
        <v/>
      </c>
      <c r="M477" s="136" t="str">
        <f t="shared" si="1"/>
        <v/>
      </c>
      <c r="N477" s="136" t="str">
        <f>IFERROR(__xludf.DUMMYFUNCTION("""COMPUTED_VALUE"""),"")</f>
        <v/>
      </c>
      <c r="O477" s="141" t="s">
        <v>133</v>
      </c>
      <c r="P477" s="136" t="str">
        <f>IFERROR(__xludf.DUMMYFUNCTION("""COMPUTED_VALUE"""),"")</f>
        <v/>
      </c>
      <c r="Q477" s="136" t="str">
        <f>IFERROR(__xludf.DUMMYFUNCTION("""COMPUTED_VALUE"""),"")</f>
        <v/>
      </c>
      <c r="R477" s="106" t="str">
        <f>IFERROR(__xludf.DUMMYFUNCTION("""COMPUTED_VALUE"""),"")</f>
        <v/>
      </c>
      <c r="S477" s="106" t="str">
        <f>IFERROR(__xludf.DUMMYFUNCTION("""COMPUTED_VALUE"""),"")</f>
        <v/>
      </c>
      <c r="T477" s="139" t="str">
        <f>IFERROR(__xludf.DUMMYFUNCTION("""COMPUTED_VALUE"""),"")</f>
        <v/>
      </c>
      <c r="U477" s="139" t="str">
        <f>IFERROR(__xludf.DUMMYFUNCTION("""COMPUTED_VALUE"""),"")</f>
        <v/>
      </c>
      <c r="V477" s="136" t="str">
        <f>IFERROR(__xludf.DUMMYFUNCTION("""COMPUTED_VALUE"""),"")</f>
        <v/>
      </c>
      <c r="W477" s="106" t="str">
        <f>IFERROR(__xludf.DUMMYFUNCTION("""COMPUTED_VALUE"""),"")</f>
        <v/>
      </c>
      <c r="X477" s="143" t="str">
        <f t="shared" si="2"/>
        <v/>
      </c>
      <c r="Y477" s="139" t="str">
        <f>IFERROR(__xludf.DUMMYFUNCTION("""COMPUTED_VALUE"""),"")</f>
        <v/>
      </c>
      <c r="Z477" s="141" t="str">
        <f>IFERROR(__xludf.DUMMYFUNCTION("""COMPUTED_VALUE"""),"")</f>
        <v/>
      </c>
    </row>
    <row r="478">
      <c r="A478" s="136"/>
      <c r="B478" s="136"/>
      <c r="C478" s="136" t="str">
        <f>IFERROR(__xludf.DUMMYFUNCTION("""COMPUTED_VALUE"""),"")</f>
        <v/>
      </c>
      <c r="D478" s="136" t="str">
        <f t="shared" si="3"/>
        <v/>
      </c>
      <c r="E478" s="152" t="str">
        <f>IFERROR(__xludf.DUMMYFUNCTION("""COMPUTED_VALUE"""),"")</f>
        <v/>
      </c>
      <c r="F478" s="106" t="s">
        <v>133</v>
      </c>
      <c r="G478" s="152" t="str">
        <f>IFERROR(__xludf.DUMMYFUNCTION("""COMPUTED_VALUE"""),"")</f>
        <v/>
      </c>
      <c r="H478" s="106" t="s">
        <v>133</v>
      </c>
      <c r="I478" s="136"/>
      <c r="J478" s="139" t="s">
        <v>133</v>
      </c>
      <c r="K478" s="136" t="s">
        <v>133</v>
      </c>
      <c r="L478" s="153" t="str">
        <f>IFERROR(__xludf.DUMMYFUNCTION("""COMPUTED_VALUE"""),"")</f>
        <v/>
      </c>
      <c r="M478" s="136" t="str">
        <f t="shared" si="1"/>
        <v/>
      </c>
      <c r="N478" s="136" t="str">
        <f>IFERROR(__xludf.DUMMYFUNCTION("""COMPUTED_VALUE"""),"")</f>
        <v/>
      </c>
      <c r="O478" s="141" t="s">
        <v>133</v>
      </c>
      <c r="P478" s="136" t="str">
        <f>IFERROR(__xludf.DUMMYFUNCTION("""COMPUTED_VALUE"""),"")</f>
        <v/>
      </c>
      <c r="Q478" s="136" t="str">
        <f>IFERROR(__xludf.DUMMYFUNCTION("""COMPUTED_VALUE"""),"")</f>
        <v/>
      </c>
      <c r="R478" s="106" t="str">
        <f>IFERROR(__xludf.DUMMYFUNCTION("""COMPUTED_VALUE"""),"")</f>
        <v/>
      </c>
      <c r="S478" s="106" t="str">
        <f>IFERROR(__xludf.DUMMYFUNCTION("""COMPUTED_VALUE"""),"")</f>
        <v/>
      </c>
      <c r="T478" s="139" t="str">
        <f>IFERROR(__xludf.DUMMYFUNCTION("""COMPUTED_VALUE"""),"")</f>
        <v/>
      </c>
      <c r="U478" s="139" t="str">
        <f>IFERROR(__xludf.DUMMYFUNCTION("""COMPUTED_VALUE"""),"")</f>
        <v/>
      </c>
      <c r="V478" s="136" t="str">
        <f>IFERROR(__xludf.DUMMYFUNCTION("""COMPUTED_VALUE"""),"")</f>
        <v/>
      </c>
      <c r="W478" s="106" t="str">
        <f>IFERROR(__xludf.DUMMYFUNCTION("""COMPUTED_VALUE"""),"")</f>
        <v/>
      </c>
      <c r="X478" s="143" t="str">
        <f t="shared" si="2"/>
        <v/>
      </c>
      <c r="Y478" s="139" t="str">
        <f>IFERROR(__xludf.DUMMYFUNCTION("""COMPUTED_VALUE"""),"")</f>
        <v/>
      </c>
      <c r="Z478" s="141" t="str">
        <f>IFERROR(__xludf.DUMMYFUNCTION("""COMPUTED_VALUE"""),"")</f>
        <v/>
      </c>
    </row>
    <row r="479">
      <c r="A479" s="136"/>
      <c r="B479" s="136"/>
      <c r="C479" s="136" t="str">
        <f>IFERROR(__xludf.DUMMYFUNCTION("""COMPUTED_VALUE"""),"")</f>
        <v/>
      </c>
      <c r="D479" s="136" t="str">
        <f t="shared" si="3"/>
        <v/>
      </c>
      <c r="E479" s="152" t="str">
        <f>IFERROR(__xludf.DUMMYFUNCTION("""COMPUTED_VALUE"""),"")</f>
        <v/>
      </c>
      <c r="F479" s="106" t="s">
        <v>133</v>
      </c>
      <c r="G479" s="152" t="str">
        <f>IFERROR(__xludf.DUMMYFUNCTION("""COMPUTED_VALUE"""),"")</f>
        <v/>
      </c>
      <c r="H479" s="106" t="s">
        <v>133</v>
      </c>
      <c r="I479" s="136"/>
      <c r="J479" s="139" t="s">
        <v>133</v>
      </c>
      <c r="K479" s="136" t="s">
        <v>133</v>
      </c>
      <c r="L479" s="153" t="str">
        <f>IFERROR(__xludf.DUMMYFUNCTION("""COMPUTED_VALUE"""),"")</f>
        <v/>
      </c>
      <c r="M479" s="136" t="str">
        <f t="shared" si="1"/>
        <v/>
      </c>
      <c r="N479" s="136" t="str">
        <f>IFERROR(__xludf.DUMMYFUNCTION("""COMPUTED_VALUE"""),"")</f>
        <v/>
      </c>
      <c r="O479" s="141" t="s">
        <v>133</v>
      </c>
      <c r="P479" s="136" t="str">
        <f>IFERROR(__xludf.DUMMYFUNCTION("""COMPUTED_VALUE"""),"")</f>
        <v/>
      </c>
      <c r="Q479" s="136" t="str">
        <f>IFERROR(__xludf.DUMMYFUNCTION("""COMPUTED_VALUE"""),"")</f>
        <v/>
      </c>
      <c r="R479" s="106" t="str">
        <f>IFERROR(__xludf.DUMMYFUNCTION("""COMPUTED_VALUE"""),"")</f>
        <v/>
      </c>
      <c r="S479" s="106" t="str">
        <f>IFERROR(__xludf.DUMMYFUNCTION("""COMPUTED_VALUE"""),"")</f>
        <v/>
      </c>
      <c r="T479" s="139" t="str">
        <f>IFERROR(__xludf.DUMMYFUNCTION("""COMPUTED_VALUE"""),"")</f>
        <v/>
      </c>
      <c r="U479" s="139" t="str">
        <f>IFERROR(__xludf.DUMMYFUNCTION("""COMPUTED_VALUE"""),"")</f>
        <v/>
      </c>
      <c r="V479" s="136" t="str">
        <f>IFERROR(__xludf.DUMMYFUNCTION("""COMPUTED_VALUE"""),"")</f>
        <v/>
      </c>
      <c r="W479" s="106" t="str">
        <f>IFERROR(__xludf.DUMMYFUNCTION("""COMPUTED_VALUE"""),"")</f>
        <v/>
      </c>
      <c r="X479" s="143" t="str">
        <f t="shared" si="2"/>
        <v/>
      </c>
      <c r="Y479" s="139" t="str">
        <f>IFERROR(__xludf.DUMMYFUNCTION("""COMPUTED_VALUE"""),"")</f>
        <v/>
      </c>
      <c r="Z479" s="141" t="str">
        <f>IFERROR(__xludf.DUMMYFUNCTION("""COMPUTED_VALUE"""),"")</f>
        <v/>
      </c>
    </row>
    <row r="480">
      <c r="A480" s="136"/>
      <c r="B480" s="136"/>
      <c r="C480" s="136" t="str">
        <f>IFERROR(__xludf.DUMMYFUNCTION("""COMPUTED_VALUE"""),"")</f>
        <v/>
      </c>
      <c r="D480" s="136" t="str">
        <f t="shared" si="3"/>
        <v/>
      </c>
      <c r="E480" s="152" t="str">
        <f>IFERROR(__xludf.DUMMYFUNCTION("""COMPUTED_VALUE"""),"")</f>
        <v/>
      </c>
      <c r="F480" s="106" t="s">
        <v>133</v>
      </c>
      <c r="G480" s="152" t="str">
        <f>IFERROR(__xludf.DUMMYFUNCTION("""COMPUTED_VALUE"""),"")</f>
        <v/>
      </c>
      <c r="H480" s="106" t="s">
        <v>133</v>
      </c>
      <c r="I480" s="136"/>
      <c r="J480" s="139" t="s">
        <v>133</v>
      </c>
      <c r="K480" s="136" t="s">
        <v>133</v>
      </c>
      <c r="L480" s="153" t="str">
        <f>IFERROR(__xludf.DUMMYFUNCTION("""COMPUTED_VALUE"""),"")</f>
        <v/>
      </c>
      <c r="M480" s="136" t="str">
        <f t="shared" si="1"/>
        <v/>
      </c>
      <c r="N480" s="136" t="str">
        <f>IFERROR(__xludf.DUMMYFUNCTION("""COMPUTED_VALUE"""),"")</f>
        <v/>
      </c>
      <c r="O480" s="141" t="s">
        <v>133</v>
      </c>
      <c r="P480" s="136" t="str">
        <f>IFERROR(__xludf.DUMMYFUNCTION("""COMPUTED_VALUE"""),"")</f>
        <v/>
      </c>
      <c r="Q480" s="136" t="str">
        <f>IFERROR(__xludf.DUMMYFUNCTION("""COMPUTED_VALUE"""),"")</f>
        <v/>
      </c>
      <c r="R480" s="106" t="str">
        <f>IFERROR(__xludf.DUMMYFUNCTION("""COMPUTED_VALUE"""),"")</f>
        <v/>
      </c>
      <c r="S480" s="106" t="str">
        <f>IFERROR(__xludf.DUMMYFUNCTION("""COMPUTED_VALUE"""),"")</f>
        <v/>
      </c>
      <c r="T480" s="139" t="str">
        <f>IFERROR(__xludf.DUMMYFUNCTION("""COMPUTED_VALUE"""),"")</f>
        <v/>
      </c>
      <c r="U480" s="139" t="str">
        <f>IFERROR(__xludf.DUMMYFUNCTION("""COMPUTED_VALUE"""),"")</f>
        <v/>
      </c>
      <c r="V480" s="136" t="str">
        <f>IFERROR(__xludf.DUMMYFUNCTION("""COMPUTED_VALUE"""),"")</f>
        <v/>
      </c>
      <c r="W480" s="106" t="str">
        <f>IFERROR(__xludf.DUMMYFUNCTION("""COMPUTED_VALUE"""),"")</f>
        <v/>
      </c>
      <c r="X480" s="143" t="str">
        <f t="shared" si="2"/>
        <v/>
      </c>
      <c r="Y480" s="139" t="str">
        <f>IFERROR(__xludf.DUMMYFUNCTION("""COMPUTED_VALUE"""),"")</f>
        <v/>
      </c>
      <c r="Z480" s="141" t="str">
        <f>IFERROR(__xludf.DUMMYFUNCTION("""COMPUTED_VALUE"""),"")</f>
        <v/>
      </c>
    </row>
    <row r="481">
      <c r="A481" s="136"/>
      <c r="B481" s="136"/>
      <c r="C481" s="136" t="str">
        <f>IFERROR(__xludf.DUMMYFUNCTION("""COMPUTED_VALUE"""),"")</f>
        <v/>
      </c>
      <c r="D481" s="136" t="str">
        <f t="shared" si="3"/>
        <v/>
      </c>
      <c r="E481" s="152" t="str">
        <f>IFERROR(__xludf.DUMMYFUNCTION("""COMPUTED_VALUE"""),"")</f>
        <v/>
      </c>
      <c r="F481" s="106" t="s">
        <v>133</v>
      </c>
      <c r="G481" s="152" t="str">
        <f>IFERROR(__xludf.DUMMYFUNCTION("""COMPUTED_VALUE"""),"")</f>
        <v/>
      </c>
      <c r="H481" s="106" t="s">
        <v>133</v>
      </c>
      <c r="I481" s="136"/>
      <c r="J481" s="139" t="s">
        <v>133</v>
      </c>
      <c r="K481" s="136" t="s">
        <v>133</v>
      </c>
      <c r="L481" s="153" t="str">
        <f>IFERROR(__xludf.DUMMYFUNCTION("""COMPUTED_VALUE"""),"")</f>
        <v/>
      </c>
      <c r="M481" s="136" t="str">
        <f t="shared" si="1"/>
        <v/>
      </c>
      <c r="N481" s="136" t="str">
        <f>IFERROR(__xludf.DUMMYFUNCTION("""COMPUTED_VALUE"""),"")</f>
        <v/>
      </c>
      <c r="O481" s="141" t="s">
        <v>133</v>
      </c>
      <c r="P481" s="136" t="str">
        <f>IFERROR(__xludf.DUMMYFUNCTION("""COMPUTED_VALUE"""),"")</f>
        <v/>
      </c>
      <c r="Q481" s="136" t="str">
        <f>IFERROR(__xludf.DUMMYFUNCTION("""COMPUTED_VALUE"""),"")</f>
        <v/>
      </c>
      <c r="R481" s="106" t="str">
        <f>IFERROR(__xludf.DUMMYFUNCTION("""COMPUTED_VALUE"""),"")</f>
        <v/>
      </c>
      <c r="S481" s="106" t="str">
        <f>IFERROR(__xludf.DUMMYFUNCTION("""COMPUTED_VALUE"""),"")</f>
        <v/>
      </c>
      <c r="T481" s="139" t="str">
        <f>IFERROR(__xludf.DUMMYFUNCTION("""COMPUTED_VALUE"""),"")</f>
        <v/>
      </c>
      <c r="U481" s="139" t="str">
        <f>IFERROR(__xludf.DUMMYFUNCTION("""COMPUTED_VALUE"""),"")</f>
        <v/>
      </c>
      <c r="V481" s="136" t="str">
        <f>IFERROR(__xludf.DUMMYFUNCTION("""COMPUTED_VALUE"""),"")</f>
        <v/>
      </c>
      <c r="W481" s="106" t="str">
        <f>IFERROR(__xludf.DUMMYFUNCTION("""COMPUTED_VALUE"""),"")</f>
        <v/>
      </c>
      <c r="X481" s="143" t="str">
        <f t="shared" si="2"/>
        <v/>
      </c>
      <c r="Y481" s="139" t="str">
        <f>IFERROR(__xludf.DUMMYFUNCTION("""COMPUTED_VALUE"""),"")</f>
        <v/>
      </c>
      <c r="Z481" s="141" t="str">
        <f>IFERROR(__xludf.DUMMYFUNCTION("""COMPUTED_VALUE"""),"")</f>
        <v/>
      </c>
    </row>
    <row r="482">
      <c r="A482" s="136"/>
      <c r="B482" s="136"/>
      <c r="C482" s="136" t="str">
        <f>IFERROR(__xludf.DUMMYFUNCTION("""COMPUTED_VALUE"""),"")</f>
        <v/>
      </c>
      <c r="D482" s="136" t="str">
        <f t="shared" si="3"/>
        <v/>
      </c>
      <c r="E482" s="152" t="str">
        <f>IFERROR(__xludf.DUMMYFUNCTION("""COMPUTED_VALUE"""),"")</f>
        <v/>
      </c>
      <c r="F482" s="106" t="s">
        <v>133</v>
      </c>
      <c r="G482" s="152" t="str">
        <f>IFERROR(__xludf.DUMMYFUNCTION("""COMPUTED_VALUE"""),"")</f>
        <v/>
      </c>
      <c r="H482" s="106" t="s">
        <v>133</v>
      </c>
      <c r="I482" s="136"/>
      <c r="J482" s="139" t="s">
        <v>133</v>
      </c>
      <c r="K482" s="136" t="s">
        <v>133</v>
      </c>
      <c r="L482" s="153" t="str">
        <f>IFERROR(__xludf.DUMMYFUNCTION("""COMPUTED_VALUE"""),"")</f>
        <v/>
      </c>
      <c r="M482" s="136" t="str">
        <f t="shared" si="1"/>
        <v/>
      </c>
      <c r="N482" s="136" t="str">
        <f>IFERROR(__xludf.DUMMYFUNCTION("""COMPUTED_VALUE"""),"")</f>
        <v/>
      </c>
      <c r="O482" s="141" t="s">
        <v>133</v>
      </c>
      <c r="P482" s="136" t="str">
        <f>IFERROR(__xludf.DUMMYFUNCTION("""COMPUTED_VALUE"""),"")</f>
        <v/>
      </c>
      <c r="Q482" s="136" t="str">
        <f>IFERROR(__xludf.DUMMYFUNCTION("""COMPUTED_VALUE"""),"")</f>
        <v/>
      </c>
      <c r="R482" s="106" t="str">
        <f>IFERROR(__xludf.DUMMYFUNCTION("""COMPUTED_VALUE"""),"")</f>
        <v/>
      </c>
      <c r="S482" s="106" t="str">
        <f>IFERROR(__xludf.DUMMYFUNCTION("""COMPUTED_VALUE"""),"")</f>
        <v/>
      </c>
      <c r="T482" s="139" t="str">
        <f>IFERROR(__xludf.DUMMYFUNCTION("""COMPUTED_VALUE"""),"")</f>
        <v/>
      </c>
      <c r="U482" s="139" t="str">
        <f>IFERROR(__xludf.DUMMYFUNCTION("""COMPUTED_VALUE"""),"")</f>
        <v/>
      </c>
      <c r="V482" s="136" t="str">
        <f>IFERROR(__xludf.DUMMYFUNCTION("""COMPUTED_VALUE"""),"")</f>
        <v/>
      </c>
      <c r="W482" s="106" t="str">
        <f>IFERROR(__xludf.DUMMYFUNCTION("""COMPUTED_VALUE"""),"")</f>
        <v/>
      </c>
      <c r="X482" s="143" t="str">
        <f t="shared" si="2"/>
        <v/>
      </c>
      <c r="Y482" s="139" t="str">
        <f>IFERROR(__xludf.DUMMYFUNCTION("""COMPUTED_VALUE"""),"")</f>
        <v/>
      </c>
      <c r="Z482" s="141" t="str">
        <f>IFERROR(__xludf.DUMMYFUNCTION("""COMPUTED_VALUE"""),"")</f>
        <v/>
      </c>
    </row>
    <row r="483">
      <c r="A483" s="136"/>
      <c r="B483" s="136"/>
      <c r="C483" s="136" t="str">
        <f>IFERROR(__xludf.DUMMYFUNCTION("""COMPUTED_VALUE"""),"")</f>
        <v/>
      </c>
      <c r="D483" s="136" t="str">
        <f t="shared" si="3"/>
        <v/>
      </c>
      <c r="E483" s="152" t="str">
        <f>IFERROR(__xludf.DUMMYFUNCTION("""COMPUTED_VALUE"""),"")</f>
        <v/>
      </c>
      <c r="F483" s="106" t="s">
        <v>133</v>
      </c>
      <c r="G483" s="152" t="str">
        <f>IFERROR(__xludf.DUMMYFUNCTION("""COMPUTED_VALUE"""),"")</f>
        <v/>
      </c>
      <c r="H483" s="106" t="s">
        <v>133</v>
      </c>
      <c r="I483" s="136"/>
      <c r="J483" s="139" t="s">
        <v>133</v>
      </c>
      <c r="K483" s="136" t="s">
        <v>133</v>
      </c>
      <c r="L483" s="153" t="str">
        <f>IFERROR(__xludf.DUMMYFUNCTION("""COMPUTED_VALUE"""),"")</f>
        <v/>
      </c>
      <c r="M483" s="136" t="str">
        <f t="shared" si="1"/>
        <v/>
      </c>
      <c r="N483" s="136" t="str">
        <f>IFERROR(__xludf.DUMMYFUNCTION("""COMPUTED_VALUE"""),"")</f>
        <v/>
      </c>
      <c r="O483" s="141" t="s">
        <v>133</v>
      </c>
      <c r="P483" s="136" t="str">
        <f>IFERROR(__xludf.DUMMYFUNCTION("""COMPUTED_VALUE"""),"")</f>
        <v/>
      </c>
      <c r="Q483" s="136" t="str">
        <f>IFERROR(__xludf.DUMMYFUNCTION("""COMPUTED_VALUE"""),"")</f>
        <v/>
      </c>
      <c r="R483" s="106" t="str">
        <f>IFERROR(__xludf.DUMMYFUNCTION("""COMPUTED_VALUE"""),"")</f>
        <v/>
      </c>
      <c r="S483" s="106" t="str">
        <f>IFERROR(__xludf.DUMMYFUNCTION("""COMPUTED_VALUE"""),"")</f>
        <v/>
      </c>
      <c r="T483" s="139" t="str">
        <f>IFERROR(__xludf.DUMMYFUNCTION("""COMPUTED_VALUE"""),"")</f>
        <v/>
      </c>
      <c r="U483" s="139" t="str">
        <f>IFERROR(__xludf.DUMMYFUNCTION("""COMPUTED_VALUE"""),"")</f>
        <v/>
      </c>
      <c r="V483" s="136" t="str">
        <f>IFERROR(__xludf.DUMMYFUNCTION("""COMPUTED_VALUE"""),"")</f>
        <v/>
      </c>
      <c r="W483" s="106" t="str">
        <f>IFERROR(__xludf.DUMMYFUNCTION("""COMPUTED_VALUE"""),"")</f>
        <v/>
      </c>
      <c r="X483" s="143" t="str">
        <f t="shared" si="2"/>
        <v/>
      </c>
      <c r="Y483" s="139" t="str">
        <f>IFERROR(__xludf.DUMMYFUNCTION("""COMPUTED_VALUE"""),"")</f>
        <v/>
      </c>
      <c r="Z483" s="141" t="str">
        <f>IFERROR(__xludf.DUMMYFUNCTION("""COMPUTED_VALUE"""),"")</f>
        <v/>
      </c>
    </row>
    <row r="484">
      <c r="A484" s="136"/>
      <c r="B484" s="136"/>
      <c r="C484" s="136" t="str">
        <f>IFERROR(__xludf.DUMMYFUNCTION("""COMPUTED_VALUE"""),"")</f>
        <v/>
      </c>
      <c r="D484" s="136" t="str">
        <f t="shared" si="3"/>
        <v/>
      </c>
      <c r="E484" s="152" t="str">
        <f>IFERROR(__xludf.DUMMYFUNCTION("""COMPUTED_VALUE"""),"")</f>
        <v/>
      </c>
      <c r="F484" s="106" t="s">
        <v>133</v>
      </c>
      <c r="G484" s="152" t="str">
        <f>IFERROR(__xludf.DUMMYFUNCTION("""COMPUTED_VALUE"""),"")</f>
        <v/>
      </c>
      <c r="H484" s="106" t="s">
        <v>133</v>
      </c>
      <c r="I484" s="136"/>
      <c r="J484" s="139" t="s">
        <v>133</v>
      </c>
      <c r="K484" s="136" t="s">
        <v>133</v>
      </c>
      <c r="L484" s="153" t="str">
        <f>IFERROR(__xludf.DUMMYFUNCTION("""COMPUTED_VALUE"""),"")</f>
        <v/>
      </c>
      <c r="M484" s="136" t="str">
        <f t="shared" si="1"/>
        <v/>
      </c>
      <c r="N484" s="136" t="str">
        <f>IFERROR(__xludf.DUMMYFUNCTION("""COMPUTED_VALUE"""),"")</f>
        <v/>
      </c>
      <c r="O484" s="141" t="s">
        <v>133</v>
      </c>
      <c r="P484" s="136" t="str">
        <f>IFERROR(__xludf.DUMMYFUNCTION("""COMPUTED_VALUE"""),"")</f>
        <v/>
      </c>
      <c r="Q484" s="136" t="str">
        <f>IFERROR(__xludf.DUMMYFUNCTION("""COMPUTED_VALUE"""),"")</f>
        <v/>
      </c>
      <c r="R484" s="106" t="str">
        <f>IFERROR(__xludf.DUMMYFUNCTION("""COMPUTED_VALUE"""),"")</f>
        <v/>
      </c>
      <c r="S484" s="106" t="str">
        <f>IFERROR(__xludf.DUMMYFUNCTION("""COMPUTED_VALUE"""),"")</f>
        <v/>
      </c>
      <c r="T484" s="139" t="str">
        <f>IFERROR(__xludf.DUMMYFUNCTION("""COMPUTED_VALUE"""),"")</f>
        <v/>
      </c>
      <c r="U484" s="139" t="str">
        <f>IFERROR(__xludf.DUMMYFUNCTION("""COMPUTED_VALUE"""),"")</f>
        <v/>
      </c>
      <c r="V484" s="136" t="str">
        <f>IFERROR(__xludf.DUMMYFUNCTION("""COMPUTED_VALUE"""),"")</f>
        <v/>
      </c>
      <c r="W484" s="106" t="str">
        <f>IFERROR(__xludf.DUMMYFUNCTION("""COMPUTED_VALUE"""),"")</f>
        <v/>
      </c>
      <c r="X484" s="143" t="str">
        <f t="shared" si="2"/>
        <v/>
      </c>
      <c r="Y484" s="139" t="str">
        <f>IFERROR(__xludf.DUMMYFUNCTION("""COMPUTED_VALUE"""),"")</f>
        <v/>
      </c>
      <c r="Z484" s="141" t="str">
        <f>IFERROR(__xludf.DUMMYFUNCTION("""COMPUTED_VALUE"""),"")</f>
        <v/>
      </c>
    </row>
    <row r="485">
      <c r="A485" s="136"/>
      <c r="B485" s="136"/>
      <c r="C485" s="136" t="str">
        <f>IFERROR(__xludf.DUMMYFUNCTION("""COMPUTED_VALUE"""),"")</f>
        <v/>
      </c>
      <c r="D485" s="136" t="str">
        <f t="shared" si="3"/>
        <v/>
      </c>
      <c r="E485" s="152" t="str">
        <f>IFERROR(__xludf.DUMMYFUNCTION("""COMPUTED_VALUE"""),"")</f>
        <v/>
      </c>
      <c r="F485" s="106" t="s">
        <v>133</v>
      </c>
      <c r="G485" s="152" t="str">
        <f>IFERROR(__xludf.DUMMYFUNCTION("""COMPUTED_VALUE"""),"")</f>
        <v/>
      </c>
      <c r="H485" s="106" t="s">
        <v>133</v>
      </c>
      <c r="I485" s="136"/>
      <c r="J485" s="139" t="s">
        <v>133</v>
      </c>
      <c r="K485" s="136" t="s">
        <v>133</v>
      </c>
      <c r="L485" s="153" t="str">
        <f>IFERROR(__xludf.DUMMYFUNCTION("""COMPUTED_VALUE"""),"")</f>
        <v/>
      </c>
      <c r="M485" s="136" t="str">
        <f t="shared" si="1"/>
        <v/>
      </c>
      <c r="N485" s="136" t="str">
        <f>IFERROR(__xludf.DUMMYFUNCTION("""COMPUTED_VALUE"""),"")</f>
        <v/>
      </c>
      <c r="O485" s="141" t="s">
        <v>133</v>
      </c>
      <c r="P485" s="136" t="str">
        <f>IFERROR(__xludf.DUMMYFUNCTION("""COMPUTED_VALUE"""),"")</f>
        <v/>
      </c>
      <c r="Q485" s="136" t="str">
        <f>IFERROR(__xludf.DUMMYFUNCTION("""COMPUTED_VALUE"""),"")</f>
        <v/>
      </c>
      <c r="R485" s="106" t="str">
        <f>IFERROR(__xludf.DUMMYFUNCTION("""COMPUTED_VALUE"""),"")</f>
        <v/>
      </c>
      <c r="S485" s="106" t="str">
        <f>IFERROR(__xludf.DUMMYFUNCTION("""COMPUTED_VALUE"""),"")</f>
        <v/>
      </c>
      <c r="T485" s="139" t="str">
        <f>IFERROR(__xludf.DUMMYFUNCTION("""COMPUTED_VALUE"""),"")</f>
        <v/>
      </c>
      <c r="U485" s="139" t="str">
        <f>IFERROR(__xludf.DUMMYFUNCTION("""COMPUTED_VALUE"""),"")</f>
        <v/>
      </c>
      <c r="V485" s="136" t="str">
        <f>IFERROR(__xludf.DUMMYFUNCTION("""COMPUTED_VALUE"""),"")</f>
        <v/>
      </c>
      <c r="W485" s="106" t="str">
        <f>IFERROR(__xludf.DUMMYFUNCTION("""COMPUTED_VALUE"""),"")</f>
        <v/>
      </c>
      <c r="X485" s="143" t="str">
        <f t="shared" si="2"/>
        <v/>
      </c>
      <c r="Y485" s="139" t="str">
        <f>IFERROR(__xludf.DUMMYFUNCTION("""COMPUTED_VALUE"""),"")</f>
        <v/>
      </c>
      <c r="Z485" s="141" t="str">
        <f>IFERROR(__xludf.DUMMYFUNCTION("""COMPUTED_VALUE"""),"")</f>
        <v/>
      </c>
    </row>
    <row r="486">
      <c r="A486" s="136"/>
      <c r="B486" s="136"/>
      <c r="C486" s="136" t="str">
        <f>IFERROR(__xludf.DUMMYFUNCTION("""COMPUTED_VALUE"""),"")</f>
        <v/>
      </c>
      <c r="D486" s="136" t="str">
        <f t="shared" si="3"/>
        <v/>
      </c>
      <c r="E486" s="152" t="str">
        <f>IFERROR(__xludf.DUMMYFUNCTION("""COMPUTED_VALUE"""),"")</f>
        <v/>
      </c>
      <c r="F486" s="106" t="s">
        <v>133</v>
      </c>
      <c r="G486" s="152" t="str">
        <f>IFERROR(__xludf.DUMMYFUNCTION("""COMPUTED_VALUE"""),"")</f>
        <v/>
      </c>
      <c r="H486" s="106" t="s">
        <v>133</v>
      </c>
      <c r="I486" s="136"/>
      <c r="J486" s="139" t="s">
        <v>133</v>
      </c>
      <c r="K486" s="136" t="s">
        <v>133</v>
      </c>
      <c r="L486" s="153" t="str">
        <f>IFERROR(__xludf.DUMMYFUNCTION("""COMPUTED_VALUE"""),"")</f>
        <v/>
      </c>
      <c r="M486" s="136" t="str">
        <f t="shared" si="1"/>
        <v/>
      </c>
      <c r="N486" s="136" t="str">
        <f>IFERROR(__xludf.DUMMYFUNCTION("""COMPUTED_VALUE"""),"")</f>
        <v/>
      </c>
      <c r="O486" s="141" t="s">
        <v>133</v>
      </c>
      <c r="P486" s="136" t="str">
        <f>IFERROR(__xludf.DUMMYFUNCTION("""COMPUTED_VALUE"""),"")</f>
        <v/>
      </c>
      <c r="Q486" s="136" t="str">
        <f>IFERROR(__xludf.DUMMYFUNCTION("""COMPUTED_VALUE"""),"")</f>
        <v/>
      </c>
      <c r="R486" s="106" t="str">
        <f>IFERROR(__xludf.DUMMYFUNCTION("""COMPUTED_VALUE"""),"")</f>
        <v/>
      </c>
      <c r="S486" s="106" t="str">
        <f>IFERROR(__xludf.DUMMYFUNCTION("""COMPUTED_VALUE"""),"")</f>
        <v/>
      </c>
      <c r="T486" s="139" t="str">
        <f>IFERROR(__xludf.DUMMYFUNCTION("""COMPUTED_VALUE"""),"")</f>
        <v/>
      </c>
      <c r="U486" s="139" t="str">
        <f>IFERROR(__xludf.DUMMYFUNCTION("""COMPUTED_VALUE"""),"")</f>
        <v/>
      </c>
      <c r="V486" s="136" t="str">
        <f>IFERROR(__xludf.DUMMYFUNCTION("""COMPUTED_VALUE"""),"")</f>
        <v/>
      </c>
      <c r="W486" s="106" t="str">
        <f>IFERROR(__xludf.DUMMYFUNCTION("""COMPUTED_VALUE"""),"")</f>
        <v/>
      </c>
      <c r="X486" s="143" t="str">
        <f t="shared" si="2"/>
        <v/>
      </c>
      <c r="Y486" s="139" t="str">
        <f>IFERROR(__xludf.DUMMYFUNCTION("""COMPUTED_VALUE"""),"")</f>
        <v/>
      </c>
      <c r="Z486" s="141" t="str">
        <f>IFERROR(__xludf.DUMMYFUNCTION("""COMPUTED_VALUE"""),"")</f>
        <v/>
      </c>
    </row>
    <row r="487">
      <c r="A487" s="136"/>
      <c r="B487" s="136"/>
      <c r="C487" s="136" t="str">
        <f>IFERROR(__xludf.DUMMYFUNCTION("""COMPUTED_VALUE"""),"")</f>
        <v/>
      </c>
      <c r="D487" s="136" t="str">
        <f t="shared" si="3"/>
        <v/>
      </c>
      <c r="E487" s="152" t="str">
        <f>IFERROR(__xludf.DUMMYFUNCTION("""COMPUTED_VALUE"""),"")</f>
        <v/>
      </c>
      <c r="F487" s="106" t="s">
        <v>133</v>
      </c>
      <c r="G487" s="152" t="str">
        <f>IFERROR(__xludf.DUMMYFUNCTION("""COMPUTED_VALUE"""),"")</f>
        <v/>
      </c>
      <c r="H487" s="106" t="s">
        <v>133</v>
      </c>
      <c r="I487" s="136"/>
      <c r="J487" s="139" t="s">
        <v>133</v>
      </c>
      <c r="K487" s="136" t="s">
        <v>133</v>
      </c>
      <c r="L487" s="153" t="str">
        <f>IFERROR(__xludf.DUMMYFUNCTION("""COMPUTED_VALUE"""),"")</f>
        <v/>
      </c>
      <c r="M487" s="136" t="str">
        <f t="shared" si="1"/>
        <v/>
      </c>
      <c r="N487" s="136" t="str">
        <f>IFERROR(__xludf.DUMMYFUNCTION("""COMPUTED_VALUE"""),"")</f>
        <v/>
      </c>
      <c r="O487" s="141" t="s">
        <v>133</v>
      </c>
      <c r="P487" s="136" t="str">
        <f>IFERROR(__xludf.DUMMYFUNCTION("""COMPUTED_VALUE"""),"")</f>
        <v/>
      </c>
      <c r="Q487" s="136" t="str">
        <f>IFERROR(__xludf.DUMMYFUNCTION("""COMPUTED_VALUE"""),"")</f>
        <v/>
      </c>
      <c r="R487" s="106" t="str">
        <f>IFERROR(__xludf.DUMMYFUNCTION("""COMPUTED_VALUE"""),"")</f>
        <v/>
      </c>
      <c r="S487" s="106" t="str">
        <f>IFERROR(__xludf.DUMMYFUNCTION("""COMPUTED_VALUE"""),"")</f>
        <v/>
      </c>
      <c r="T487" s="139" t="str">
        <f>IFERROR(__xludf.DUMMYFUNCTION("""COMPUTED_VALUE"""),"")</f>
        <v/>
      </c>
      <c r="U487" s="139" t="str">
        <f>IFERROR(__xludf.DUMMYFUNCTION("""COMPUTED_VALUE"""),"")</f>
        <v/>
      </c>
      <c r="V487" s="136" t="str">
        <f>IFERROR(__xludf.DUMMYFUNCTION("""COMPUTED_VALUE"""),"")</f>
        <v/>
      </c>
      <c r="W487" s="106" t="str">
        <f>IFERROR(__xludf.DUMMYFUNCTION("""COMPUTED_VALUE"""),"")</f>
        <v/>
      </c>
      <c r="X487" s="143" t="str">
        <f t="shared" si="2"/>
        <v/>
      </c>
      <c r="Y487" s="139" t="str">
        <f>IFERROR(__xludf.DUMMYFUNCTION("""COMPUTED_VALUE"""),"")</f>
        <v/>
      </c>
      <c r="Z487" s="141" t="str">
        <f>IFERROR(__xludf.DUMMYFUNCTION("""COMPUTED_VALUE"""),"")</f>
        <v/>
      </c>
    </row>
    <row r="488">
      <c r="A488" s="136"/>
      <c r="B488" s="136"/>
      <c r="C488" s="136" t="str">
        <f>IFERROR(__xludf.DUMMYFUNCTION("""COMPUTED_VALUE"""),"")</f>
        <v/>
      </c>
      <c r="D488" s="136" t="str">
        <f t="shared" si="3"/>
        <v/>
      </c>
      <c r="E488" s="152" t="str">
        <f>IFERROR(__xludf.DUMMYFUNCTION("""COMPUTED_VALUE"""),"")</f>
        <v/>
      </c>
      <c r="F488" s="106" t="s">
        <v>133</v>
      </c>
      <c r="G488" s="152" t="str">
        <f>IFERROR(__xludf.DUMMYFUNCTION("""COMPUTED_VALUE"""),"")</f>
        <v/>
      </c>
      <c r="H488" s="106" t="s">
        <v>133</v>
      </c>
      <c r="I488" s="136"/>
      <c r="J488" s="139" t="s">
        <v>133</v>
      </c>
      <c r="K488" s="136" t="s">
        <v>133</v>
      </c>
      <c r="L488" s="153" t="str">
        <f>IFERROR(__xludf.DUMMYFUNCTION("""COMPUTED_VALUE"""),"")</f>
        <v/>
      </c>
      <c r="M488" s="136" t="str">
        <f t="shared" si="1"/>
        <v/>
      </c>
      <c r="N488" s="136" t="str">
        <f>IFERROR(__xludf.DUMMYFUNCTION("""COMPUTED_VALUE"""),"")</f>
        <v/>
      </c>
      <c r="O488" s="141" t="s">
        <v>133</v>
      </c>
      <c r="P488" s="136" t="str">
        <f>IFERROR(__xludf.DUMMYFUNCTION("""COMPUTED_VALUE"""),"")</f>
        <v/>
      </c>
      <c r="Q488" s="136" t="str">
        <f>IFERROR(__xludf.DUMMYFUNCTION("""COMPUTED_VALUE"""),"")</f>
        <v/>
      </c>
      <c r="R488" s="106" t="str">
        <f>IFERROR(__xludf.DUMMYFUNCTION("""COMPUTED_VALUE"""),"")</f>
        <v/>
      </c>
      <c r="S488" s="106" t="str">
        <f>IFERROR(__xludf.DUMMYFUNCTION("""COMPUTED_VALUE"""),"")</f>
        <v/>
      </c>
      <c r="T488" s="139" t="str">
        <f>IFERROR(__xludf.DUMMYFUNCTION("""COMPUTED_VALUE"""),"")</f>
        <v/>
      </c>
      <c r="U488" s="139" t="str">
        <f>IFERROR(__xludf.DUMMYFUNCTION("""COMPUTED_VALUE"""),"")</f>
        <v/>
      </c>
      <c r="V488" s="136" t="str">
        <f>IFERROR(__xludf.DUMMYFUNCTION("""COMPUTED_VALUE"""),"")</f>
        <v/>
      </c>
      <c r="W488" s="106" t="str">
        <f>IFERROR(__xludf.DUMMYFUNCTION("""COMPUTED_VALUE"""),"")</f>
        <v/>
      </c>
      <c r="X488" s="143" t="str">
        <f t="shared" si="2"/>
        <v/>
      </c>
      <c r="Y488" s="139" t="str">
        <f>IFERROR(__xludf.DUMMYFUNCTION("""COMPUTED_VALUE"""),"")</f>
        <v/>
      </c>
      <c r="Z488" s="141" t="str">
        <f>IFERROR(__xludf.DUMMYFUNCTION("""COMPUTED_VALUE"""),"")</f>
        <v/>
      </c>
    </row>
    <row r="489">
      <c r="A489" s="136"/>
      <c r="B489" s="136"/>
      <c r="C489" s="136" t="str">
        <f>IFERROR(__xludf.DUMMYFUNCTION("""COMPUTED_VALUE"""),"")</f>
        <v/>
      </c>
      <c r="D489" s="136" t="str">
        <f t="shared" si="3"/>
        <v/>
      </c>
      <c r="E489" s="152" t="str">
        <f>IFERROR(__xludf.DUMMYFUNCTION("""COMPUTED_VALUE"""),"")</f>
        <v/>
      </c>
      <c r="F489" s="106" t="s">
        <v>133</v>
      </c>
      <c r="G489" s="152" t="str">
        <f>IFERROR(__xludf.DUMMYFUNCTION("""COMPUTED_VALUE"""),"")</f>
        <v/>
      </c>
      <c r="H489" s="106" t="s">
        <v>133</v>
      </c>
      <c r="I489" s="136"/>
      <c r="J489" s="139" t="s">
        <v>133</v>
      </c>
      <c r="K489" s="136" t="s">
        <v>133</v>
      </c>
      <c r="L489" s="153" t="str">
        <f>IFERROR(__xludf.DUMMYFUNCTION("""COMPUTED_VALUE"""),"")</f>
        <v/>
      </c>
      <c r="M489" s="136" t="str">
        <f t="shared" si="1"/>
        <v/>
      </c>
      <c r="N489" s="136" t="str">
        <f>IFERROR(__xludf.DUMMYFUNCTION("""COMPUTED_VALUE"""),"")</f>
        <v/>
      </c>
      <c r="O489" s="141" t="s">
        <v>133</v>
      </c>
      <c r="P489" s="136" t="str">
        <f>IFERROR(__xludf.DUMMYFUNCTION("""COMPUTED_VALUE"""),"")</f>
        <v/>
      </c>
      <c r="Q489" s="136" t="str">
        <f>IFERROR(__xludf.DUMMYFUNCTION("""COMPUTED_VALUE"""),"")</f>
        <v/>
      </c>
      <c r="R489" s="106" t="str">
        <f>IFERROR(__xludf.DUMMYFUNCTION("""COMPUTED_VALUE"""),"")</f>
        <v/>
      </c>
      <c r="S489" s="106" t="str">
        <f>IFERROR(__xludf.DUMMYFUNCTION("""COMPUTED_VALUE"""),"")</f>
        <v/>
      </c>
      <c r="T489" s="139" t="str">
        <f>IFERROR(__xludf.DUMMYFUNCTION("""COMPUTED_VALUE"""),"")</f>
        <v/>
      </c>
      <c r="U489" s="139" t="str">
        <f>IFERROR(__xludf.DUMMYFUNCTION("""COMPUTED_VALUE"""),"")</f>
        <v/>
      </c>
      <c r="V489" s="136" t="str">
        <f>IFERROR(__xludf.DUMMYFUNCTION("""COMPUTED_VALUE"""),"")</f>
        <v/>
      </c>
      <c r="W489" s="106" t="str">
        <f>IFERROR(__xludf.DUMMYFUNCTION("""COMPUTED_VALUE"""),"")</f>
        <v/>
      </c>
      <c r="X489" s="143" t="str">
        <f t="shared" si="2"/>
        <v/>
      </c>
      <c r="Y489" s="139" t="str">
        <f>IFERROR(__xludf.DUMMYFUNCTION("""COMPUTED_VALUE"""),"")</f>
        <v/>
      </c>
      <c r="Z489" s="141" t="str">
        <f>IFERROR(__xludf.DUMMYFUNCTION("""COMPUTED_VALUE"""),"")</f>
        <v/>
      </c>
    </row>
    <row r="490">
      <c r="A490" s="136"/>
      <c r="B490" s="136"/>
      <c r="C490" s="136" t="str">
        <f>IFERROR(__xludf.DUMMYFUNCTION("""COMPUTED_VALUE"""),"")</f>
        <v/>
      </c>
      <c r="D490" s="136" t="str">
        <f t="shared" si="3"/>
        <v/>
      </c>
      <c r="E490" s="152" t="str">
        <f>IFERROR(__xludf.DUMMYFUNCTION("""COMPUTED_VALUE"""),"")</f>
        <v/>
      </c>
      <c r="F490" s="106" t="s">
        <v>133</v>
      </c>
      <c r="G490" s="152" t="str">
        <f>IFERROR(__xludf.DUMMYFUNCTION("""COMPUTED_VALUE"""),"")</f>
        <v/>
      </c>
      <c r="H490" s="106" t="s">
        <v>133</v>
      </c>
      <c r="I490" s="136"/>
      <c r="J490" s="139" t="s">
        <v>133</v>
      </c>
      <c r="K490" s="136" t="s">
        <v>133</v>
      </c>
      <c r="L490" s="153" t="str">
        <f>IFERROR(__xludf.DUMMYFUNCTION("""COMPUTED_VALUE"""),"")</f>
        <v/>
      </c>
      <c r="M490" s="136" t="str">
        <f t="shared" si="1"/>
        <v/>
      </c>
      <c r="N490" s="136" t="str">
        <f>IFERROR(__xludf.DUMMYFUNCTION("""COMPUTED_VALUE"""),"")</f>
        <v/>
      </c>
      <c r="O490" s="141" t="s">
        <v>133</v>
      </c>
      <c r="P490" s="136" t="str">
        <f>IFERROR(__xludf.DUMMYFUNCTION("""COMPUTED_VALUE"""),"")</f>
        <v/>
      </c>
      <c r="Q490" s="136" t="str">
        <f>IFERROR(__xludf.DUMMYFUNCTION("""COMPUTED_VALUE"""),"")</f>
        <v/>
      </c>
      <c r="R490" s="106" t="str">
        <f>IFERROR(__xludf.DUMMYFUNCTION("""COMPUTED_VALUE"""),"")</f>
        <v/>
      </c>
      <c r="S490" s="106" t="str">
        <f>IFERROR(__xludf.DUMMYFUNCTION("""COMPUTED_VALUE"""),"")</f>
        <v/>
      </c>
      <c r="T490" s="139" t="str">
        <f>IFERROR(__xludf.DUMMYFUNCTION("""COMPUTED_VALUE"""),"")</f>
        <v/>
      </c>
      <c r="U490" s="139" t="str">
        <f>IFERROR(__xludf.DUMMYFUNCTION("""COMPUTED_VALUE"""),"")</f>
        <v/>
      </c>
      <c r="V490" s="136" t="str">
        <f>IFERROR(__xludf.DUMMYFUNCTION("""COMPUTED_VALUE"""),"")</f>
        <v/>
      </c>
      <c r="W490" s="106" t="str">
        <f>IFERROR(__xludf.DUMMYFUNCTION("""COMPUTED_VALUE"""),"")</f>
        <v/>
      </c>
      <c r="X490" s="143" t="str">
        <f t="shared" si="2"/>
        <v/>
      </c>
      <c r="Y490" s="139" t="str">
        <f>IFERROR(__xludf.DUMMYFUNCTION("""COMPUTED_VALUE"""),"")</f>
        <v/>
      </c>
      <c r="Z490" s="141" t="str">
        <f>IFERROR(__xludf.DUMMYFUNCTION("""COMPUTED_VALUE"""),"")</f>
        <v/>
      </c>
    </row>
    <row r="491">
      <c r="A491" s="136"/>
      <c r="B491" s="136"/>
      <c r="C491" s="136" t="str">
        <f>IFERROR(__xludf.DUMMYFUNCTION("""COMPUTED_VALUE"""),"")</f>
        <v/>
      </c>
      <c r="D491" s="136" t="str">
        <f t="shared" si="3"/>
        <v/>
      </c>
      <c r="E491" s="152" t="str">
        <f>IFERROR(__xludf.DUMMYFUNCTION("""COMPUTED_VALUE"""),"")</f>
        <v/>
      </c>
      <c r="F491" s="106" t="s">
        <v>133</v>
      </c>
      <c r="G491" s="152" t="str">
        <f>IFERROR(__xludf.DUMMYFUNCTION("""COMPUTED_VALUE"""),"")</f>
        <v/>
      </c>
      <c r="H491" s="106" t="s">
        <v>133</v>
      </c>
      <c r="I491" s="136"/>
      <c r="J491" s="139" t="s">
        <v>133</v>
      </c>
      <c r="K491" s="136" t="s">
        <v>133</v>
      </c>
      <c r="L491" s="153" t="str">
        <f>IFERROR(__xludf.DUMMYFUNCTION("""COMPUTED_VALUE"""),"")</f>
        <v/>
      </c>
      <c r="M491" s="136" t="str">
        <f t="shared" si="1"/>
        <v/>
      </c>
      <c r="N491" s="136" t="str">
        <f>IFERROR(__xludf.DUMMYFUNCTION("""COMPUTED_VALUE"""),"")</f>
        <v/>
      </c>
      <c r="O491" s="141" t="s">
        <v>133</v>
      </c>
      <c r="P491" s="136" t="str">
        <f>IFERROR(__xludf.DUMMYFUNCTION("""COMPUTED_VALUE"""),"")</f>
        <v/>
      </c>
      <c r="Q491" s="136" t="str">
        <f>IFERROR(__xludf.DUMMYFUNCTION("""COMPUTED_VALUE"""),"")</f>
        <v/>
      </c>
      <c r="R491" s="106" t="str">
        <f>IFERROR(__xludf.DUMMYFUNCTION("""COMPUTED_VALUE"""),"")</f>
        <v/>
      </c>
      <c r="S491" s="106" t="str">
        <f>IFERROR(__xludf.DUMMYFUNCTION("""COMPUTED_VALUE"""),"")</f>
        <v/>
      </c>
      <c r="T491" s="139" t="str">
        <f>IFERROR(__xludf.DUMMYFUNCTION("""COMPUTED_VALUE"""),"")</f>
        <v/>
      </c>
      <c r="U491" s="139" t="str">
        <f>IFERROR(__xludf.DUMMYFUNCTION("""COMPUTED_VALUE"""),"")</f>
        <v/>
      </c>
      <c r="V491" s="136" t="str">
        <f>IFERROR(__xludf.DUMMYFUNCTION("""COMPUTED_VALUE"""),"")</f>
        <v/>
      </c>
      <c r="W491" s="106" t="str">
        <f>IFERROR(__xludf.DUMMYFUNCTION("""COMPUTED_VALUE"""),"")</f>
        <v/>
      </c>
      <c r="X491" s="143" t="str">
        <f t="shared" si="2"/>
        <v/>
      </c>
      <c r="Y491" s="139" t="str">
        <f>IFERROR(__xludf.DUMMYFUNCTION("""COMPUTED_VALUE"""),"")</f>
        <v/>
      </c>
      <c r="Z491" s="141" t="str">
        <f>IFERROR(__xludf.DUMMYFUNCTION("""COMPUTED_VALUE"""),"")</f>
        <v/>
      </c>
    </row>
    <row r="492">
      <c r="A492" s="136"/>
      <c r="B492" s="136"/>
      <c r="C492" s="136" t="str">
        <f>IFERROR(__xludf.DUMMYFUNCTION("""COMPUTED_VALUE"""),"")</f>
        <v/>
      </c>
      <c r="D492" s="136" t="str">
        <f t="shared" si="3"/>
        <v/>
      </c>
      <c r="E492" s="152" t="str">
        <f>IFERROR(__xludf.DUMMYFUNCTION("""COMPUTED_VALUE"""),"")</f>
        <v/>
      </c>
      <c r="F492" s="106" t="s">
        <v>133</v>
      </c>
      <c r="G492" s="152" t="str">
        <f>IFERROR(__xludf.DUMMYFUNCTION("""COMPUTED_VALUE"""),"")</f>
        <v/>
      </c>
      <c r="H492" s="106" t="s">
        <v>133</v>
      </c>
      <c r="I492" s="136"/>
      <c r="J492" s="139" t="s">
        <v>133</v>
      </c>
      <c r="K492" s="136" t="s">
        <v>133</v>
      </c>
      <c r="L492" s="153" t="str">
        <f>IFERROR(__xludf.DUMMYFUNCTION("""COMPUTED_VALUE"""),"")</f>
        <v/>
      </c>
      <c r="M492" s="136" t="str">
        <f t="shared" si="1"/>
        <v/>
      </c>
      <c r="N492" s="136" t="str">
        <f>IFERROR(__xludf.DUMMYFUNCTION("""COMPUTED_VALUE"""),"")</f>
        <v/>
      </c>
      <c r="O492" s="141" t="s">
        <v>133</v>
      </c>
      <c r="P492" s="136" t="str">
        <f>IFERROR(__xludf.DUMMYFUNCTION("""COMPUTED_VALUE"""),"")</f>
        <v/>
      </c>
      <c r="Q492" s="136" t="str">
        <f>IFERROR(__xludf.DUMMYFUNCTION("""COMPUTED_VALUE"""),"")</f>
        <v/>
      </c>
      <c r="R492" s="106" t="str">
        <f>IFERROR(__xludf.DUMMYFUNCTION("""COMPUTED_VALUE"""),"")</f>
        <v/>
      </c>
      <c r="S492" s="106" t="str">
        <f>IFERROR(__xludf.DUMMYFUNCTION("""COMPUTED_VALUE"""),"")</f>
        <v/>
      </c>
      <c r="T492" s="139" t="str">
        <f>IFERROR(__xludf.DUMMYFUNCTION("""COMPUTED_VALUE"""),"")</f>
        <v/>
      </c>
      <c r="U492" s="139" t="str">
        <f>IFERROR(__xludf.DUMMYFUNCTION("""COMPUTED_VALUE"""),"")</f>
        <v/>
      </c>
      <c r="V492" s="136" t="str">
        <f>IFERROR(__xludf.DUMMYFUNCTION("""COMPUTED_VALUE"""),"")</f>
        <v/>
      </c>
      <c r="W492" s="106" t="str">
        <f>IFERROR(__xludf.DUMMYFUNCTION("""COMPUTED_VALUE"""),"")</f>
        <v/>
      </c>
      <c r="X492" s="143" t="str">
        <f t="shared" si="2"/>
        <v/>
      </c>
      <c r="Y492" s="139" t="str">
        <f>IFERROR(__xludf.DUMMYFUNCTION("""COMPUTED_VALUE"""),"")</f>
        <v/>
      </c>
      <c r="Z492" s="141" t="str">
        <f>IFERROR(__xludf.DUMMYFUNCTION("""COMPUTED_VALUE"""),"")</f>
        <v/>
      </c>
    </row>
    <row r="493">
      <c r="A493" s="136"/>
      <c r="B493" s="136"/>
      <c r="C493" s="136" t="str">
        <f>IFERROR(__xludf.DUMMYFUNCTION("""COMPUTED_VALUE"""),"")</f>
        <v/>
      </c>
      <c r="D493" s="136" t="str">
        <f t="shared" si="3"/>
        <v/>
      </c>
      <c r="E493" s="152" t="str">
        <f>IFERROR(__xludf.DUMMYFUNCTION("""COMPUTED_VALUE"""),"")</f>
        <v/>
      </c>
      <c r="F493" s="106" t="s">
        <v>133</v>
      </c>
      <c r="G493" s="152" t="str">
        <f>IFERROR(__xludf.DUMMYFUNCTION("""COMPUTED_VALUE"""),"")</f>
        <v/>
      </c>
      <c r="H493" s="106" t="s">
        <v>133</v>
      </c>
      <c r="I493" s="136"/>
      <c r="J493" s="139" t="s">
        <v>133</v>
      </c>
      <c r="K493" s="136" t="s">
        <v>133</v>
      </c>
      <c r="L493" s="153" t="str">
        <f>IFERROR(__xludf.DUMMYFUNCTION("""COMPUTED_VALUE"""),"")</f>
        <v/>
      </c>
      <c r="M493" s="136" t="str">
        <f t="shared" si="1"/>
        <v/>
      </c>
      <c r="N493" s="136" t="str">
        <f>IFERROR(__xludf.DUMMYFUNCTION("""COMPUTED_VALUE"""),"")</f>
        <v/>
      </c>
      <c r="O493" s="141" t="s">
        <v>133</v>
      </c>
      <c r="P493" s="136" t="str">
        <f>IFERROR(__xludf.DUMMYFUNCTION("""COMPUTED_VALUE"""),"")</f>
        <v/>
      </c>
      <c r="Q493" s="136" t="str">
        <f>IFERROR(__xludf.DUMMYFUNCTION("""COMPUTED_VALUE"""),"")</f>
        <v/>
      </c>
      <c r="R493" s="106" t="str">
        <f>IFERROR(__xludf.DUMMYFUNCTION("""COMPUTED_VALUE"""),"")</f>
        <v/>
      </c>
      <c r="S493" s="106" t="str">
        <f>IFERROR(__xludf.DUMMYFUNCTION("""COMPUTED_VALUE"""),"")</f>
        <v/>
      </c>
      <c r="T493" s="139" t="str">
        <f>IFERROR(__xludf.DUMMYFUNCTION("""COMPUTED_VALUE"""),"")</f>
        <v/>
      </c>
      <c r="U493" s="139" t="str">
        <f>IFERROR(__xludf.DUMMYFUNCTION("""COMPUTED_VALUE"""),"")</f>
        <v/>
      </c>
      <c r="V493" s="136" t="str">
        <f>IFERROR(__xludf.DUMMYFUNCTION("""COMPUTED_VALUE"""),"")</f>
        <v/>
      </c>
      <c r="W493" s="106" t="str">
        <f>IFERROR(__xludf.DUMMYFUNCTION("""COMPUTED_VALUE"""),"")</f>
        <v/>
      </c>
      <c r="X493" s="143" t="str">
        <f t="shared" si="2"/>
        <v/>
      </c>
      <c r="Y493" s="139" t="str">
        <f>IFERROR(__xludf.DUMMYFUNCTION("""COMPUTED_VALUE"""),"")</f>
        <v/>
      </c>
      <c r="Z493" s="141" t="str">
        <f>IFERROR(__xludf.DUMMYFUNCTION("""COMPUTED_VALUE"""),"")</f>
        <v/>
      </c>
    </row>
    <row r="494">
      <c r="A494" s="136"/>
      <c r="B494" s="136"/>
      <c r="C494" s="136" t="str">
        <f>IFERROR(__xludf.DUMMYFUNCTION("""COMPUTED_VALUE"""),"")</f>
        <v/>
      </c>
      <c r="D494" s="136" t="str">
        <f t="shared" si="3"/>
        <v/>
      </c>
      <c r="E494" s="152" t="str">
        <f>IFERROR(__xludf.DUMMYFUNCTION("""COMPUTED_VALUE"""),"")</f>
        <v/>
      </c>
      <c r="F494" s="106" t="s">
        <v>133</v>
      </c>
      <c r="G494" s="152" t="str">
        <f>IFERROR(__xludf.DUMMYFUNCTION("""COMPUTED_VALUE"""),"")</f>
        <v/>
      </c>
      <c r="H494" s="106" t="s">
        <v>133</v>
      </c>
      <c r="I494" s="136"/>
      <c r="J494" s="139" t="s">
        <v>133</v>
      </c>
      <c r="K494" s="136" t="s">
        <v>133</v>
      </c>
      <c r="L494" s="153" t="str">
        <f>IFERROR(__xludf.DUMMYFUNCTION("""COMPUTED_VALUE"""),"")</f>
        <v/>
      </c>
      <c r="M494" s="136" t="str">
        <f t="shared" si="1"/>
        <v/>
      </c>
      <c r="N494" s="136" t="str">
        <f>IFERROR(__xludf.DUMMYFUNCTION("""COMPUTED_VALUE"""),"")</f>
        <v/>
      </c>
      <c r="O494" s="141" t="s">
        <v>133</v>
      </c>
      <c r="P494" s="136" t="str">
        <f>IFERROR(__xludf.DUMMYFUNCTION("""COMPUTED_VALUE"""),"")</f>
        <v/>
      </c>
      <c r="Q494" s="136" t="str">
        <f>IFERROR(__xludf.DUMMYFUNCTION("""COMPUTED_VALUE"""),"")</f>
        <v/>
      </c>
      <c r="R494" s="106" t="str">
        <f>IFERROR(__xludf.DUMMYFUNCTION("""COMPUTED_VALUE"""),"")</f>
        <v/>
      </c>
      <c r="S494" s="106" t="str">
        <f>IFERROR(__xludf.DUMMYFUNCTION("""COMPUTED_VALUE"""),"")</f>
        <v/>
      </c>
      <c r="T494" s="139" t="str">
        <f>IFERROR(__xludf.DUMMYFUNCTION("""COMPUTED_VALUE"""),"")</f>
        <v/>
      </c>
      <c r="U494" s="139" t="str">
        <f>IFERROR(__xludf.DUMMYFUNCTION("""COMPUTED_VALUE"""),"")</f>
        <v/>
      </c>
      <c r="V494" s="136" t="str">
        <f>IFERROR(__xludf.DUMMYFUNCTION("""COMPUTED_VALUE"""),"")</f>
        <v/>
      </c>
      <c r="W494" s="106" t="str">
        <f>IFERROR(__xludf.DUMMYFUNCTION("""COMPUTED_VALUE"""),"")</f>
        <v/>
      </c>
      <c r="X494" s="143" t="str">
        <f t="shared" si="2"/>
        <v/>
      </c>
      <c r="Y494" s="139" t="str">
        <f>IFERROR(__xludf.DUMMYFUNCTION("""COMPUTED_VALUE"""),"")</f>
        <v/>
      </c>
      <c r="Z494" s="141" t="str">
        <f>IFERROR(__xludf.DUMMYFUNCTION("""COMPUTED_VALUE"""),"")</f>
        <v/>
      </c>
    </row>
    <row r="495">
      <c r="A495" s="136"/>
      <c r="B495" s="136"/>
      <c r="C495" s="136" t="str">
        <f>IFERROR(__xludf.DUMMYFUNCTION("""COMPUTED_VALUE"""),"")</f>
        <v/>
      </c>
      <c r="D495" s="136" t="str">
        <f t="shared" si="3"/>
        <v/>
      </c>
      <c r="E495" s="152" t="str">
        <f>IFERROR(__xludf.DUMMYFUNCTION("""COMPUTED_VALUE"""),"")</f>
        <v/>
      </c>
      <c r="F495" s="106" t="s">
        <v>133</v>
      </c>
      <c r="G495" s="152" t="str">
        <f>IFERROR(__xludf.DUMMYFUNCTION("""COMPUTED_VALUE"""),"")</f>
        <v/>
      </c>
      <c r="H495" s="106" t="s">
        <v>133</v>
      </c>
      <c r="I495" s="136"/>
      <c r="J495" s="139" t="s">
        <v>133</v>
      </c>
      <c r="K495" s="136" t="s">
        <v>133</v>
      </c>
      <c r="L495" s="153" t="str">
        <f>IFERROR(__xludf.DUMMYFUNCTION("""COMPUTED_VALUE"""),"")</f>
        <v/>
      </c>
      <c r="M495" s="136" t="str">
        <f t="shared" si="1"/>
        <v/>
      </c>
      <c r="N495" s="136" t="str">
        <f>IFERROR(__xludf.DUMMYFUNCTION("""COMPUTED_VALUE"""),"")</f>
        <v/>
      </c>
      <c r="O495" s="141" t="s">
        <v>133</v>
      </c>
      <c r="P495" s="136" t="str">
        <f>IFERROR(__xludf.DUMMYFUNCTION("""COMPUTED_VALUE"""),"")</f>
        <v/>
      </c>
      <c r="Q495" s="136" t="str">
        <f>IFERROR(__xludf.DUMMYFUNCTION("""COMPUTED_VALUE"""),"")</f>
        <v/>
      </c>
      <c r="R495" s="106" t="str">
        <f>IFERROR(__xludf.DUMMYFUNCTION("""COMPUTED_VALUE"""),"")</f>
        <v/>
      </c>
      <c r="S495" s="106" t="str">
        <f>IFERROR(__xludf.DUMMYFUNCTION("""COMPUTED_VALUE"""),"")</f>
        <v/>
      </c>
      <c r="T495" s="139" t="str">
        <f>IFERROR(__xludf.DUMMYFUNCTION("""COMPUTED_VALUE"""),"")</f>
        <v/>
      </c>
      <c r="U495" s="139" t="str">
        <f>IFERROR(__xludf.DUMMYFUNCTION("""COMPUTED_VALUE"""),"")</f>
        <v/>
      </c>
      <c r="V495" s="136" t="str">
        <f>IFERROR(__xludf.DUMMYFUNCTION("""COMPUTED_VALUE"""),"")</f>
        <v/>
      </c>
      <c r="W495" s="106" t="str">
        <f>IFERROR(__xludf.DUMMYFUNCTION("""COMPUTED_VALUE"""),"")</f>
        <v/>
      </c>
      <c r="X495" s="143" t="str">
        <f t="shared" si="2"/>
        <v/>
      </c>
      <c r="Y495" s="139" t="str">
        <f>IFERROR(__xludf.DUMMYFUNCTION("""COMPUTED_VALUE"""),"")</f>
        <v/>
      </c>
      <c r="Z495" s="141" t="str">
        <f>IFERROR(__xludf.DUMMYFUNCTION("""COMPUTED_VALUE"""),"")</f>
        <v/>
      </c>
    </row>
    <row r="496">
      <c r="A496" s="136"/>
      <c r="B496" s="136"/>
      <c r="C496" s="136" t="str">
        <f>IFERROR(__xludf.DUMMYFUNCTION("""COMPUTED_VALUE"""),"")</f>
        <v/>
      </c>
      <c r="D496" s="136" t="str">
        <f t="shared" si="3"/>
        <v/>
      </c>
      <c r="E496" s="152" t="str">
        <f>IFERROR(__xludf.DUMMYFUNCTION("""COMPUTED_VALUE"""),"")</f>
        <v/>
      </c>
      <c r="F496" s="106" t="s">
        <v>133</v>
      </c>
      <c r="G496" s="152" t="str">
        <f>IFERROR(__xludf.DUMMYFUNCTION("""COMPUTED_VALUE"""),"")</f>
        <v/>
      </c>
      <c r="H496" s="106" t="s">
        <v>133</v>
      </c>
      <c r="I496" s="136"/>
      <c r="J496" s="139" t="s">
        <v>133</v>
      </c>
      <c r="K496" s="136" t="s">
        <v>133</v>
      </c>
      <c r="L496" s="153" t="str">
        <f>IFERROR(__xludf.DUMMYFUNCTION("""COMPUTED_VALUE"""),"")</f>
        <v/>
      </c>
      <c r="M496" s="136" t="str">
        <f t="shared" si="1"/>
        <v/>
      </c>
      <c r="N496" s="136" t="str">
        <f>IFERROR(__xludf.DUMMYFUNCTION("""COMPUTED_VALUE"""),"")</f>
        <v/>
      </c>
      <c r="O496" s="141" t="s">
        <v>133</v>
      </c>
      <c r="P496" s="136" t="str">
        <f>IFERROR(__xludf.DUMMYFUNCTION("""COMPUTED_VALUE"""),"")</f>
        <v/>
      </c>
      <c r="Q496" s="136" t="str">
        <f>IFERROR(__xludf.DUMMYFUNCTION("""COMPUTED_VALUE"""),"")</f>
        <v/>
      </c>
      <c r="R496" s="106" t="str">
        <f>IFERROR(__xludf.DUMMYFUNCTION("""COMPUTED_VALUE"""),"")</f>
        <v/>
      </c>
      <c r="S496" s="106" t="str">
        <f>IFERROR(__xludf.DUMMYFUNCTION("""COMPUTED_VALUE"""),"")</f>
        <v/>
      </c>
      <c r="T496" s="139" t="str">
        <f>IFERROR(__xludf.DUMMYFUNCTION("""COMPUTED_VALUE"""),"")</f>
        <v/>
      </c>
      <c r="U496" s="139" t="str">
        <f>IFERROR(__xludf.DUMMYFUNCTION("""COMPUTED_VALUE"""),"")</f>
        <v/>
      </c>
      <c r="V496" s="136" t="str">
        <f>IFERROR(__xludf.DUMMYFUNCTION("""COMPUTED_VALUE"""),"")</f>
        <v/>
      </c>
      <c r="W496" s="106" t="str">
        <f>IFERROR(__xludf.DUMMYFUNCTION("""COMPUTED_VALUE"""),"")</f>
        <v/>
      </c>
      <c r="X496" s="143" t="str">
        <f t="shared" si="2"/>
        <v/>
      </c>
      <c r="Y496" s="139" t="str">
        <f>IFERROR(__xludf.DUMMYFUNCTION("""COMPUTED_VALUE"""),"")</f>
        <v/>
      </c>
      <c r="Z496" s="141" t="str">
        <f>IFERROR(__xludf.DUMMYFUNCTION("""COMPUTED_VALUE"""),"")</f>
        <v/>
      </c>
    </row>
    <row r="497">
      <c r="A497" s="136"/>
      <c r="B497" s="136"/>
      <c r="C497" s="136" t="str">
        <f>IFERROR(__xludf.DUMMYFUNCTION("""COMPUTED_VALUE"""),"")</f>
        <v/>
      </c>
      <c r="D497" s="136" t="str">
        <f t="shared" si="3"/>
        <v/>
      </c>
      <c r="E497" s="152" t="str">
        <f>IFERROR(__xludf.DUMMYFUNCTION("""COMPUTED_VALUE"""),"")</f>
        <v/>
      </c>
      <c r="F497" s="106" t="s">
        <v>133</v>
      </c>
      <c r="G497" s="152" t="str">
        <f>IFERROR(__xludf.DUMMYFUNCTION("""COMPUTED_VALUE"""),"")</f>
        <v/>
      </c>
      <c r="H497" s="106" t="s">
        <v>133</v>
      </c>
      <c r="I497" s="136"/>
      <c r="J497" s="139" t="s">
        <v>133</v>
      </c>
      <c r="K497" s="136" t="s">
        <v>133</v>
      </c>
      <c r="L497" s="153" t="str">
        <f>IFERROR(__xludf.DUMMYFUNCTION("""COMPUTED_VALUE"""),"")</f>
        <v/>
      </c>
      <c r="M497" s="136" t="str">
        <f t="shared" si="1"/>
        <v/>
      </c>
      <c r="N497" s="136" t="str">
        <f>IFERROR(__xludf.DUMMYFUNCTION("""COMPUTED_VALUE"""),"")</f>
        <v/>
      </c>
      <c r="O497" s="141" t="s">
        <v>133</v>
      </c>
      <c r="P497" s="136" t="str">
        <f>IFERROR(__xludf.DUMMYFUNCTION("""COMPUTED_VALUE"""),"")</f>
        <v/>
      </c>
      <c r="Q497" s="136" t="str">
        <f>IFERROR(__xludf.DUMMYFUNCTION("""COMPUTED_VALUE"""),"")</f>
        <v/>
      </c>
      <c r="R497" s="106" t="str">
        <f>IFERROR(__xludf.DUMMYFUNCTION("""COMPUTED_VALUE"""),"")</f>
        <v/>
      </c>
      <c r="S497" s="106" t="str">
        <f>IFERROR(__xludf.DUMMYFUNCTION("""COMPUTED_VALUE"""),"")</f>
        <v/>
      </c>
      <c r="T497" s="139" t="str">
        <f>IFERROR(__xludf.DUMMYFUNCTION("""COMPUTED_VALUE"""),"")</f>
        <v/>
      </c>
      <c r="U497" s="139" t="str">
        <f>IFERROR(__xludf.DUMMYFUNCTION("""COMPUTED_VALUE"""),"")</f>
        <v/>
      </c>
      <c r="V497" s="136" t="str">
        <f>IFERROR(__xludf.DUMMYFUNCTION("""COMPUTED_VALUE"""),"")</f>
        <v/>
      </c>
      <c r="W497" s="106" t="str">
        <f>IFERROR(__xludf.DUMMYFUNCTION("""COMPUTED_VALUE"""),"")</f>
        <v/>
      </c>
      <c r="X497" s="143" t="str">
        <f t="shared" si="2"/>
        <v/>
      </c>
      <c r="Y497" s="139" t="str">
        <f>IFERROR(__xludf.DUMMYFUNCTION("""COMPUTED_VALUE"""),"")</f>
        <v/>
      </c>
      <c r="Z497" s="141" t="str">
        <f>IFERROR(__xludf.DUMMYFUNCTION("""COMPUTED_VALUE"""),"")</f>
        <v/>
      </c>
    </row>
    <row r="498">
      <c r="A498" s="136"/>
      <c r="B498" s="136"/>
      <c r="C498" s="136" t="str">
        <f>IFERROR(__xludf.DUMMYFUNCTION("""COMPUTED_VALUE"""),"")</f>
        <v/>
      </c>
      <c r="D498" s="136" t="str">
        <f t="shared" si="3"/>
        <v/>
      </c>
      <c r="E498" s="152" t="str">
        <f>IFERROR(__xludf.DUMMYFUNCTION("""COMPUTED_VALUE"""),"")</f>
        <v/>
      </c>
      <c r="F498" s="106" t="s">
        <v>133</v>
      </c>
      <c r="G498" s="152" t="str">
        <f>IFERROR(__xludf.DUMMYFUNCTION("""COMPUTED_VALUE"""),"")</f>
        <v/>
      </c>
      <c r="H498" s="106" t="s">
        <v>133</v>
      </c>
      <c r="I498" s="136"/>
      <c r="J498" s="139" t="s">
        <v>133</v>
      </c>
      <c r="K498" s="136" t="s">
        <v>133</v>
      </c>
      <c r="L498" s="153" t="str">
        <f>IFERROR(__xludf.DUMMYFUNCTION("""COMPUTED_VALUE"""),"")</f>
        <v/>
      </c>
      <c r="M498" s="136" t="str">
        <f t="shared" si="1"/>
        <v/>
      </c>
      <c r="N498" s="136" t="str">
        <f>IFERROR(__xludf.DUMMYFUNCTION("""COMPUTED_VALUE"""),"")</f>
        <v/>
      </c>
      <c r="O498" s="141" t="s">
        <v>133</v>
      </c>
      <c r="P498" s="136" t="str">
        <f>IFERROR(__xludf.DUMMYFUNCTION("""COMPUTED_VALUE"""),"")</f>
        <v/>
      </c>
      <c r="Q498" s="136" t="str">
        <f>IFERROR(__xludf.DUMMYFUNCTION("""COMPUTED_VALUE"""),"")</f>
        <v/>
      </c>
      <c r="R498" s="106" t="str">
        <f>IFERROR(__xludf.DUMMYFUNCTION("""COMPUTED_VALUE"""),"")</f>
        <v/>
      </c>
      <c r="S498" s="106" t="str">
        <f>IFERROR(__xludf.DUMMYFUNCTION("""COMPUTED_VALUE"""),"")</f>
        <v/>
      </c>
      <c r="T498" s="139" t="str">
        <f>IFERROR(__xludf.DUMMYFUNCTION("""COMPUTED_VALUE"""),"")</f>
        <v/>
      </c>
      <c r="U498" s="139" t="str">
        <f>IFERROR(__xludf.DUMMYFUNCTION("""COMPUTED_VALUE"""),"")</f>
        <v/>
      </c>
      <c r="V498" s="136" t="str">
        <f>IFERROR(__xludf.DUMMYFUNCTION("""COMPUTED_VALUE"""),"")</f>
        <v/>
      </c>
      <c r="W498" s="106" t="str">
        <f>IFERROR(__xludf.DUMMYFUNCTION("""COMPUTED_VALUE"""),"")</f>
        <v/>
      </c>
      <c r="X498" s="143" t="str">
        <f t="shared" si="2"/>
        <v/>
      </c>
      <c r="Y498" s="139" t="str">
        <f>IFERROR(__xludf.DUMMYFUNCTION("""COMPUTED_VALUE"""),"")</f>
        <v/>
      </c>
      <c r="Z498" s="141" t="str">
        <f>IFERROR(__xludf.DUMMYFUNCTION("""COMPUTED_VALUE"""),"")</f>
        <v/>
      </c>
    </row>
    <row r="499">
      <c r="A499" s="136"/>
      <c r="B499" s="136"/>
      <c r="C499" s="136" t="str">
        <f>IFERROR(__xludf.DUMMYFUNCTION("""COMPUTED_VALUE"""),"")</f>
        <v/>
      </c>
      <c r="D499" s="136" t="str">
        <f t="shared" si="3"/>
        <v/>
      </c>
      <c r="E499" s="152" t="str">
        <f>IFERROR(__xludf.DUMMYFUNCTION("""COMPUTED_VALUE"""),"")</f>
        <v/>
      </c>
      <c r="F499" s="106" t="s">
        <v>133</v>
      </c>
      <c r="G499" s="152" t="str">
        <f>IFERROR(__xludf.DUMMYFUNCTION("""COMPUTED_VALUE"""),"")</f>
        <v/>
      </c>
      <c r="H499" s="106" t="s">
        <v>133</v>
      </c>
      <c r="I499" s="136"/>
      <c r="J499" s="139" t="s">
        <v>133</v>
      </c>
      <c r="K499" s="136" t="s">
        <v>133</v>
      </c>
      <c r="L499" s="153" t="str">
        <f>IFERROR(__xludf.DUMMYFUNCTION("""COMPUTED_VALUE"""),"")</f>
        <v/>
      </c>
      <c r="M499" s="136" t="str">
        <f t="shared" si="1"/>
        <v/>
      </c>
      <c r="N499" s="136" t="str">
        <f>IFERROR(__xludf.DUMMYFUNCTION("""COMPUTED_VALUE"""),"")</f>
        <v/>
      </c>
      <c r="O499" s="141" t="s">
        <v>133</v>
      </c>
      <c r="P499" s="136" t="str">
        <f>IFERROR(__xludf.DUMMYFUNCTION("""COMPUTED_VALUE"""),"")</f>
        <v/>
      </c>
      <c r="Q499" s="136" t="str">
        <f>IFERROR(__xludf.DUMMYFUNCTION("""COMPUTED_VALUE"""),"")</f>
        <v/>
      </c>
      <c r="R499" s="106" t="str">
        <f>IFERROR(__xludf.DUMMYFUNCTION("""COMPUTED_VALUE"""),"")</f>
        <v/>
      </c>
      <c r="S499" s="106" t="str">
        <f>IFERROR(__xludf.DUMMYFUNCTION("""COMPUTED_VALUE"""),"")</f>
        <v/>
      </c>
      <c r="T499" s="139" t="str">
        <f>IFERROR(__xludf.DUMMYFUNCTION("""COMPUTED_VALUE"""),"")</f>
        <v/>
      </c>
      <c r="U499" s="139" t="str">
        <f>IFERROR(__xludf.DUMMYFUNCTION("""COMPUTED_VALUE"""),"")</f>
        <v/>
      </c>
      <c r="V499" s="136" t="str">
        <f>IFERROR(__xludf.DUMMYFUNCTION("""COMPUTED_VALUE"""),"")</f>
        <v/>
      </c>
      <c r="W499" s="106" t="str">
        <f>IFERROR(__xludf.DUMMYFUNCTION("""COMPUTED_VALUE"""),"")</f>
        <v/>
      </c>
      <c r="X499" s="143" t="str">
        <f t="shared" si="2"/>
        <v/>
      </c>
      <c r="Y499" s="139" t="str">
        <f>IFERROR(__xludf.DUMMYFUNCTION("""COMPUTED_VALUE"""),"")</f>
        <v/>
      </c>
      <c r="Z499" s="141" t="str">
        <f>IFERROR(__xludf.DUMMYFUNCTION("""COMPUTED_VALUE"""),"")</f>
        <v/>
      </c>
    </row>
    <row r="500">
      <c r="A500" s="136"/>
      <c r="B500" s="136"/>
      <c r="C500" s="136" t="str">
        <f>IFERROR(__xludf.DUMMYFUNCTION("""COMPUTED_VALUE"""),"")</f>
        <v/>
      </c>
      <c r="D500" s="136" t="str">
        <f t="shared" si="3"/>
        <v/>
      </c>
      <c r="E500" s="152" t="str">
        <f>IFERROR(__xludf.DUMMYFUNCTION("""COMPUTED_VALUE"""),"")</f>
        <v/>
      </c>
      <c r="F500" s="106" t="s">
        <v>133</v>
      </c>
      <c r="G500" s="152" t="str">
        <f>IFERROR(__xludf.DUMMYFUNCTION("""COMPUTED_VALUE"""),"")</f>
        <v/>
      </c>
      <c r="H500" s="106" t="s">
        <v>133</v>
      </c>
      <c r="I500" s="136"/>
      <c r="J500" s="139" t="s">
        <v>133</v>
      </c>
      <c r="K500" s="136" t="s">
        <v>133</v>
      </c>
      <c r="L500" s="153" t="str">
        <f>IFERROR(__xludf.DUMMYFUNCTION("""COMPUTED_VALUE"""),"")</f>
        <v/>
      </c>
      <c r="M500" s="136" t="str">
        <f t="shared" si="1"/>
        <v/>
      </c>
      <c r="N500" s="136" t="str">
        <f>IFERROR(__xludf.DUMMYFUNCTION("""COMPUTED_VALUE"""),"")</f>
        <v/>
      </c>
      <c r="O500" s="141" t="s">
        <v>133</v>
      </c>
      <c r="P500" s="136" t="str">
        <f>IFERROR(__xludf.DUMMYFUNCTION("""COMPUTED_VALUE"""),"")</f>
        <v/>
      </c>
      <c r="Q500" s="136" t="str">
        <f>IFERROR(__xludf.DUMMYFUNCTION("""COMPUTED_VALUE"""),"")</f>
        <v/>
      </c>
      <c r="R500" s="106" t="str">
        <f>IFERROR(__xludf.DUMMYFUNCTION("""COMPUTED_VALUE"""),"")</f>
        <v/>
      </c>
      <c r="S500" s="106" t="str">
        <f>IFERROR(__xludf.DUMMYFUNCTION("""COMPUTED_VALUE"""),"")</f>
        <v/>
      </c>
      <c r="T500" s="139" t="str">
        <f>IFERROR(__xludf.DUMMYFUNCTION("""COMPUTED_VALUE"""),"")</f>
        <v/>
      </c>
      <c r="U500" s="139" t="str">
        <f>IFERROR(__xludf.DUMMYFUNCTION("""COMPUTED_VALUE"""),"")</f>
        <v/>
      </c>
      <c r="V500" s="136" t="str">
        <f>IFERROR(__xludf.DUMMYFUNCTION("""COMPUTED_VALUE"""),"")</f>
        <v/>
      </c>
      <c r="W500" s="106" t="str">
        <f>IFERROR(__xludf.DUMMYFUNCTION("""COMPUTED_VALUE"""),"")</f>
        <v/>
      </c>
      <c r="X500" s="143" t="str">
        <f t="shared" si="2"/>
        <v/>
      </c>
      <c r="Y500" s="139" t="str">
        <f>IFERROR(__xludf.DUMMYFUNCTION("""COMPUTED_VALUE"""),"")</f>
        <v/>
      </c>
      <c r="Z500" s="141" t="str">
        <f>IFERROR(__xludf.DUMMYFUNCTION("""COMPUTED_VALUE"""),"")</f>
        <v/>
      </c>
    </row>
    <row r="501">
      <c r="A501" s="136"/>
      <c r="B501" s="136"/>
      <c r="C501" s="136" t="str">
        <f>IFERROR(__xludf.DUMMYFUNCTION("""COMPUTED_VALUE"""),"")</f>
        <v/>
      </c>
      <c r="D501" s="136" t="str">
        <f t="shared" si="3"/>
        <v/>
      </c>
      <c r="E501" s="152" t="str">
        <f>IFERROR(__xludf.DUMMYFUNCTION("""COMPUTED_VALUE"""),"")</f>
        <v/>
      </c>
      <c r="F501" s="106" t="s">
        <v>133</v>
      </c>
      <c r="G501" s="152" t="str">
        <f>IFERROR(__xludf.DUMMYFUNCTION("""COMPUTED_VALUE"""),"")</f>
        <v/>
      </c>
      <c r="H501" s="106" t="s">
        <v>133</v>
      </c>
      <c r="I501" s="136"/>
      <c r="J501" s="139" t="s">
        <v>133</v>
      </c>
      <c r="K501" s="136" t="s">
        <v>133</v>
      </c>
      <c r="L501" s="153" t="str">
        <f>IFERROR(__xludf.DUMMYFUNCTION("""COMPUTED_VALUE"""),"")</f>
        <v/>
      </c>
      <c r="M501" s="136" t="str">
        <f t="shared" si="1"/>
        <v/>
      </c>
      <c r="N501" s="136" t="str">
        <f>IFERROR(__xludf.DUMMYFUNCTION("""COMPUTED_VALUE"""),"")</f>
        <v/>
      </c>
      <c r="O501" s="141" t="s">
        <v>133</v>
      </c>
      <c r="P501" s="136" t="str">
        <f>IFERROR(__xludf.DUMMYFUNCTION("""COMPUTED_VALUE"""),"")</f>
        <v/>
      </c>
      <c r="Q501" s="136" t="str">
        <f>IFERROR(__xludf.DUMMYFUNCTION("""COMPUTED_VALUE"""),"")</f>
        <v/>
      </c>
      <c r="R501" s="106" t="str">
        <f>IFERROR(__xludf.DUMMYFUNCTION("""COMPUTED_VALUE"""),"")</f>
        <v/>
      </c>
      <c r="S501" s="106" t="str">
        <f>IFERROR(__xludf.DUMMYFUNCTION("""COMPUTED_VALUE"""),"")</f>
        <v/>
      </c>
      <c r="T501" s="139" t="str">
        <f>IFERROR(__xludf.DUMMYFUNCTION("""COMPUTED_VALUE"""),"")</f>
        <v/>
      </c>
      <c r="U501" s="139" t="str">
        <f>IFERROR(__xludf.DUMMYFUNCTION("""COMPUTED_VALUE"""),"")</f>
        <v/>
      </c>
      <c r="V501" s="136" t="str">
        <f>IFERROR(__xludf.DUMMYFUNCTION("""COMPUTED_VALUE"""),"")</f>
        <v/>
      </c>
      <c r="W501" s="106" t="str">
        <f>IFERROR(__xludf.DUMMYFUNCTION("""COMPUTED_VALUE"""),"")</f>
        <v/>
      </c>
      <c r="X501" s="143" t="str">
        <f t="shared" si="2"/>
        <v/>
      </c>
      <c r="Y501" s="139" t="str">
        <f>IFERROR(__xludf.DUMMYFUNCTION("""COMPUTED_VALUE"""),"")</f>
        <v/>
      </c>
      <c r="Z501" s="141" t="str">
        <f>IFERROR(__xludf.DUMMYFUNCTION("""COMPUTED_VALUE"""),"")</f>
        <v/>
      </c>
    </row>
    <row r="502">
      <c r="C502" s="136" t="str">
        <f>IFERROR(__xludf.DUMMYFUNCTION("""COMPUTED_VALUE"""),"")</f>
        <v/>
      </c>
      <c r="D502" s="136" t="str">
        <f t="shared" si="3"/>
        <v/>
      </c>
      <c r="E502" s="152" t="str">
        <f>IFERROR(__xludf.DUMMYFUNCTION("""COMPUTED_VALUE"""),"")</f>
        <v/>
      </c>
      <c r="F502" s="106" t="s">
        <v>133</v>
      </c>
      <c r="G502" s="152" t="str">
        <f>IFERROR(__xludf.DUMMYFUNCTION("""COMPUTED_VALUE"""),"")</f>
        <v/>
      </c>
      <c r="H502" s="106" t="s">
        <v>133</v>
      </c>
      <c r="I502" s="136"/>
      <c r="J502" s="139" t="s">
        <v>133</v>
      </c>
      <c r="K502" s="136" t="s">
        <v>133</v>
      </c>
      <c r="L502" s="153" t="str">
        <f>IFERROR(__xludf.DUMMYFUNCTION("""COMPUTED_VALUE"""),"")</f>
        <v/>
      </c>
      <c r="M502" s="136" t="str">
        <f t="shared" si="1"/>
        <v/>
      </c>
      <c r="N502" s="136" t="str">
        <f>IFERROR(__xludf.DUMMYFUNCTION("""COMPUTED_VALUE"""),"")</f>
        <v/>
      </c>
      <c r="O502" s="141" t="s">
        <v>133</v>
      </c>
      <c r="P502" s="136" t="str">
        <f>IFERROR(__xludf.DUMMYFUNCTION("""COMPUTED_VALUE"""),"")</f>
        <v/>
      </c>
      <c r="Q502" s="136" t="str">
        <f>IFERROR(__xludf.DUMMYFUNCTION("""COMPUTED_VALUE"""),"")</f>
        <v/>
      </c>
      <c r="R502" s="106" t="str">
        <f>IFERROR(__xludf.DUMMYFUNCTION("""COMPUTED_VALUE"""),"")</f>
        <v/>
      </c>
      <c r="S502" s="106" t="str">
        <f>IFERROR(__xludf.DUMMYFUNCTION("""COMPUTED_VALUE"""),"")</f>
        <v/>
      </c>
      <c r="T502" s="139" t="str">
        <f>IFERROR(__xludf.DUMMYFUNCTION("""COMPUTED_VALUE"""),"")</f>
        <v/>
      </c>
      <c r="U502" s="139" t="str">
        <f>IFERROR(__xludf.DUMMYFUNCTION("""COMPUTED_VALUE"""),"")</f>
        <v/>
      </c>
      <c r="V502" s="136" t="str">
        <f>IFERROR(__xludf.DUMMYFUNCTION("""COMPUTED_VALUE"""),"")</f>
        <v/>
      </c>
      <c r="W502" s="106" t="str">
        <f>IFERROR(__xludf.DUMMYFUNCTION("""COMPUTED_VALUE"""),"")</f>
        <v/>
      </c>
      <c r="X502" s="143" t="str">
        <f t="shared" si="2"/>
        <v/>
      </c>
      <c r="Y502" s="139" t="str">
        <f>IFERROR(__xludf.DUMMYFUNCTION("""COMPUTED_VALUE"""),"")</f>
        <v/>
      </c>
      <c r="Z502" s="141" t="str">
        <f>IFERROR(__xludf.DUMMYFUNCTION("""COMPUTED_VALUE"""),"")</f>
        <v/>
      </c>
    </row>
    <row r="503">
      <c r="C503" s="136" t="str">
        <f>IFERROR(__xludf.DUMMYFUNCTION("""COMPUTED_VALUE"""),"")</f>
        <v/>
      </c>
      <c r="D503" s="136" t="str">
        <f t="shared" si="3"/>
        <v/>
      </c>
      <c r="E503" s="152" t="str">
        <f>IFERROR(__xludf.DUMMYFUNCTION("""COMPUTED_VALUE"""),"")</f>
        <v/>
      </c>
      <c r="F503" s="106" t="s">
        <v>133</v>
      </c>
      <c r="G503" s="152" t="str">
        <f>IFERROR(__xludf.DUMMYFUNCTION("""COMPUTED_VALUE"""),"")</f>
        <v/>
      </c>
      <c r="H503" s="106" t="s">
        <v>133</v>
      </c>
      <c r="I503" s="136"/>
      <c r="J503" s="139" t="s">
        <v>133</v>
      </c>
      <c r="K503" s="136" t="s">
        <v>133</v>
      </c>
      <c r="L503" s="153" t="str">
        <f>IFERROR(__xludf.DUMMYFUNCTION("""COMPUTED_VALUE"""),"")</f>
        <v/>
      </c>
      <c r="M503" s="136" t="str">
        <f t="shared" si="1"/>
        <v/>
      </c>
      <c r="N503" s="136" t="str">
        <f>IFERROR(__xludf.DUMMYFUNCTION("""COMPUTED_VALUE"""),"")</f>
        <v/>
      </c>
      <c r="O503" s="141" t="s">
        <v>133</v>
      </c>
      <c r="P503" s="136" t="str">
        <f>IFERROR(__xludf.DUMMYFUNCTION("""COMPUTED_VALUE"""),"")</f>
        <v/>
      </c>
      <c r="Q503" s="136" t="str">
        <f>IFERROR(__xludf.DUMMYFUNCTION("""COMPUTED_VALUE"""),"")</f>
        <v/>
      </c>
      <c r="R503" s="106" t="str">
        <f>IFERROR(__xludf.DUMMYFUNCTION("""COMPUTED_VALUE"""),"")</f>
        <v/>
      </c>
      <c r="S503" s="106" t="str">
        <f>IFERROR(__xludf.DUMMYFUNCTION("""COMPUTED_VALUE"""),"")</f>
        <v/>
      </c>
      <c r="T503" s="139" t="str">
        <f>IFERROR(__xludf.DUMMYFUNCTION("""COMPUTED_VALUE"""),"")</f>
        <v/>
      </c>
      <c r="U503" s="139" t="str">
        <f>IFERROR(__xludf.DUMMYFUNCTION("""COMPUTED_VALUE"""),"")</f>
        <v/>
      </c>
      <c r="V503" s="136" t="str">
        <f>IFERROR(__xludf.DUMMYFUNCTION("""COMPUTED_VALUE"""),"")</f>
        <v/>
      </c>
      <c r="W503" s="106" t="str">
        <f>IFERROR(__xludf.DUMMYFUNCTION("""COMPUTED_VALUE"""),"")</f>
        <v/>
      </c>
      <c r="X503" s="143" t="str">
        <f t="shared" si="2"/>
        <v/>
      </c>
      <c r="Y503" s="139" t="str">
        <f>IFERROR(__xludf.DUMMYFUNCTION("""COMPUTED_VALUE"""),"")</f>
        <v/>
      </c>
      <c r="Z503" s="141" t="str">
        <f>IFERROR(__xludf.DUMMYFUNCTION("""COMPUTED_VALUE"""),"")</f>
        <v/>
      </c>
    </row>
    <row r="504">
      <c r="C504" s="136" t="str">
        <f>IFERROR(__xludf.DUMMYFUNCTION("""COMPUTED_VALUE"""),"")</f>
        <v/>
      </c>
      <c r="D504" s="136" t="str">
        <f t="shared" si="3"/>
        <v/>
      </c>
      <c r="E504" s="152" t="str">
        <f>IFERROR(__xludf.DUMMYFUNCTION("""COMPUTED_VALUE"""),"")</f>
        <v/>
      </c>
      <c r="F504" s="106" t="s">
        <v>133</v>
      </c>
      <c r="G504" s="152" t="str">
        <f>IFERROR(__xludf.DUMMYFUNCTION("""COMPUTED_VALUE"""),"")</f>
        <v/>
      </c>
      <c r="H504" s="106" t="s">
        <v>133</v>
      </c>
      <c r="I504" s="136"/>
      <c r="J504" s="139" t="s">
        <v>133</v>
      </c>
      <c r="K504" s="136" t="s">
        <v>133</v>
      </c>
      <c r="L504" s="153" t="str">
        <f>IFERROR(__xludf.DUMMYFUNCTION("""COMPUTED_VALUE"""),"")</f>
        <v/>
      </c>
      <c r="M504" s="136" t="str">
        <f t="shared" si="1"/>
        <v/>
      </c>
      <c r="N504" s="136" t="str">
        <f>IFERROR(__xludf.DUMMYFUNCTION("""COMPUTED_VALUE"""),"")</f>
        <v/>
      </c>
      <c r="O504" s="141" t="s">
        <v>133</v>
      </c>
      <c r="P504" s="136" t="str">
        <f>IFERROR(__xludf.DUMMYFUNCTION("""COMPUTED_VALUE"""),"")</f>
        <v/>
      </c>
      <c r="Q504" s="136" t="str">
        <f>IFERROR(__xludf.DUMMYFUNCTION("""COMPUTED_VALUE"""),"")</f>
        <v/>
      </c>
      <c r="R504" s="106" t="str">
        <f>IFERROR(__xludf.DUMMYFUNCTION("""COMPUTED_VALUE"""),"")</f>
        <v/>
      </c>
      <c r="S504" s="106" t="str">
        <f>IFERROR(__xludf.DUMMYFUNCTION("""COMPUTED_VALUE"""),"")</f>
        <v/>
      </c>
      <c r="T504" s="139" t="str">
        <f>IFERROR(__xludf.DUMMYFUNCTION("""COMPUTED_VALUE"""),"")</f>
        <v/>
      </c>
      <c r="U504" s="139" t="str">
        <f>IFERROR(__xludf.DUMMYFUNCTION("""COMPUTED_VALUE"""),"")</f>
        <v/>
      </c>
      <c r="V504" s="136" t="str">
        <f>IFERROR(__xludf.DUMMYFUNCTION("""COMPUTED_VALUE"""),"")</f>
        <v/>
      </c>
      <c r="W504" s="106" t="str">
        <f>IFERROR(__xludf.DUMMYFUNCTION("""COMPUTED_VALUE"""),"")</f>
        <v/>
      </c>
      <c r="X504" s="143" t="str">
        <f t="shared" si="2"/>
        <v/>
      </c>
      <c r="Y504" s="139" t="str">
        <f>IFERROR(__xludf.DUMMYFUNCTION("""COMPUTED_VALUE"""),"")</f>
        <v/>
      </c>
      <c r="Z504" s="141" t="str">
        <f>IFERROR(__xludf.DUMMYFUNCTION("""COMPUTED_VALUE"""),"")</f>
        <v/>
      </c>
    </row>
    <row r="505">
      <c r="C505" s="136" t="str">
        <f>IFERROR(__xludf.DUMMYFUNCTION("""COMPUTED_VALUE"""),"")</f>
        <v/>
      </c>
      <c r="D505" s="136" t="str">
        <f t="shared" si="3"/>
        <v/>
      </c>
      <c r="E505" s="152" t="str">
        <f>IFERROR(__xludf.DUMMYFUNCTION("""COMPUTED_VALUE"""),"")</f>
        <v/>
      </c>
      <c r="F505" s="106" t="s">
        <v>133</v>
      </c>
      <c r="G505" s="152" t="str">
        <f>IFERROR(__xludf.DUMMYFUNCTION("""COMPUTED_VALUE"""),"")</f>
        <v/>
      </c>
      <c r="H505" s="106" t="s">
        <v>133</v>
      </c>
      <c r="I505" s="136"/>
      <c r="J505" s="139" t="s">
        <v>133</v>
      </c>
      <c r="K505" s="136" t="s">
        <v>133</v>
      </c>
      <c r="L505" s="153" t="str">
        <f>IFERROR(__xludf.DUMMYFUNCTION("""COMPUTED_VALUE"""),"")</f>
        <v/>
      </c>
      <c r="M505" s="136" t="str">
        <f t="shared" si="1"/>
        <v/>
      </c>
      <c r="N505" s="136" t="str">
        <f>IFERROR(__xludf.DUMMYFUNCTION("""COMPUTED_VALUE"""),"")</f>
        <v/>
      </c>
      <c r="O505" s="141" t="s">
        <v>133</v>
      </c>
      <c r="P505" s="136" t="str">
        <f>IFERROR(__xludf.DUMMYFUNCTION("""COMPUTED_VALUE"""),"")</f>
        <v/>
      </c>
      <c r="Q505" s="136" t="str">
        <f>IFERROR(__xludf.DUMMYFUNCTION("""COMPUTED_VALUE"""),"")</f>
        <v/>
      </c>
      <c r="R505" s="106" t="str">
        <f>IFERROR(__xludf.DUMMYFUNCTION("""COMPUTED_VALUE"""),"")</f>
        <v/>
      </c>
      <c r="S505" s="106" t="str">
        <f>IFERROR(__xludf.DUMMYFUNCTION("""COMPUTED_VALUE"""),"")</f>
        <v/>
      </c>
      <c r="T505" s="139" t="str">
        <f>IFERROR(__xludf.DUMMYFUNCTION("""COMPUTED_VALUE"""),"")</f>
        <v/>
      </c>
      <c r="U505" s="139" t="str">
        <f>IFERROR(__xludf.DUMMYFUNCTION("""COMPUTED_VALUE"""),"")</f>
        <v/>
      </c>
      <c r="V505" s="136" t="str">
        <f>IFERROR(__xludf.DUMMYFUNCTION("""COMPUTED_VALUE"""),"")</f>
        <v/>
      </c>
      <c r="W505" s="106" t="str">
        <f>IFERROR(__xludf.DUMMYFUNCTION("""COMPUTED_VALUE"""),"")</f>
        <v/>
      </c>
      <c r="X505" s="143" t="str">
        <f t="shared" si="2"/>
        <v/>
      </c>
      <c r="Y505" s="139" t="str">
        <f>IFERROR(__xludf.DUMMYFUNCTION("""COMPUTED_VALUE"""),"")</f>
        <v/>
      </c>
      <c r="Z505" s="141" t="str">
        <f>IFERROR(__xludf.DUMMYFUNCTION("""COMPUTED_VALUE"""),"")</f>
        <v/>
      </c>
    </row>
    <row r="506">
      <c r="C506" s="136" t="str">
        <f>IFERROR(__xludf.DUMMYFUNCTION("""COMPUTED_VALUE"""),"")</f>
        <v/>
      </c>
      <c r="D506" s="136" t="str">
        <f t="shared" si="3"/>
        <v/>
      </c>
      <c r="E506" s="152" t="str">
        <f>IFERROR(__xludf.DUMMYFUNCTION("""COMPUTED_VALUE"""),"")</f>
        <v/>
      </c>
      <c r="F506" s="106" t="s">
        <v>133</v>
      </c>
      <c r="G506" s="152" t="str">
        <f>IFERROR(__xludf.DUMMYFUNCTION("""COMPUTED_VALUE"""),"")</f>
        <v/>
      </c>
      <c r="H506" s="106" t="s">
        <v>133</v>
      </c>
      <c r="I506" s="136"/>
      <c r="J506" s="139" t="s">
        <v>133</v>
      </c>
      <c r="K506" s="136" t="s">
        <v>133</v>
      </c>
      <c r="L506" s="153" t="str">
        <f>IFERROR(__xludf.DUMMYFUNCTION("""COMPUTED_VALUE"""),"")</f>
        <v/>
      </c>
      <c r="M506" s="136" t="str">
        <f t="shared" si="1"/>
        <v/>
      </c>
      <c r="N506" s="136" t="str">
        <f>IFERROR(__xludf.DUMMYFUNCTION("""COMPUTED_VALUE"""),"")</f>
        <v/>
      </c>
      <c r="O506" s="141" t="s">
        <v>133</v>
      </c>
      <c r="P506" s="136" t="str">
        <f>IFERROR(__xludf.DUMMYFUNCTION("""COMPUTED_VALUE"""),"")</f>
        <v/>
      </c>
      <c r="Q506" s="136" t="str">
        <f>IFERROR(__xludf.DUMMYFUNCTION("""COMPUTED_VALUE"""),"")</f>
        <v/>
      </c>
      <c r="R506" s="106" t="str">
        <f>IFERROR(__xludf.DUMMYFUNCTION("""COMPUTED_VALUE"""),"")</f>
        <v/>
      </c>
      <c r="S506" s="106" t="str">
        <f>IFERROR(__xludf.DUMMYFUNCTION("""COMPUTED_VALUE"""),"")</f>
        <v/>
      </c>
      <c r="T506" s="139" t="str">
        <f>IFERROR(__xludf.DUMMYFUNCTION("""COMPUTED_VALUE"""),"")</f>
        <v/>
      </c>
      <c r="U506" s="139" t="str">
        <f>IFERROR(__xludf.DUMMYFUNCTION("""COMPUTED_VALUE"""),"")</f>
        <v/>
      </c>
      <c r="V506" s="136" t="str">
        <f>IFERROR(__xludf.DUMMYFUNCTION("""COMPUTED_VALUE"""),"")</f>
        <v/>
      </c>
      <c r="W506" s="106" t="str">
        <f>IFERROR(__xludf.DUMMYFUNCTION("""COMPUTED_VALUE"""),"")</f>
        <v/>
      </c>
      <c r="X506" s="143" t="str">
        <f t="shared" si="2"/>
        <v/>
      </c>
      <c r="Y506" s="139" t="str">
        <f>IFERROR(__xludf.DUMMYFUNCTION("""COMPUTED_VALUE"""),"")</f>
        <v/>
      </c>
      <c r="Z506" s="141" t="str">
        <f>IFERROR(__xludf.DUMMYFUNCTION("""COMPUTED_VALUE"""),"")</f>
        <v/>
      </c>
    </row>
    <row r="507">
      <c r="C507" s="136" t="str">
        <f>IFERROR(__xludf.DUMMYFUNCTION("""COMPUTED_VALUE"""),"")</f>
        <v/>
      </c>
      <c r="D507" s="136" t="str">
        <f t="shared" si="3"/>
        <v/>
      </c>
      <c r="E507" s="152" t="str">
        <f>IFERROR(__xludf.DUMMYFUNCTION("""COMPUTED_VALUE"""),"")</f>
        <v/>
      </c>
      <c r="F507" s="106" t="s">
        <v>133</v>
      </c>
      <c r="G507" s="152" t="str">
        <f>IFERROR(__xludf.DUMMYFUNCTION("""COMPUTED_VALUE"""),"")</f>
        <v/>
      </c>
      <c r="H507" s="106" t="s">
        <v>133</v>
      </c>
      <c r="I507" s="136"/>
      <c r="J507" s="139" t="s">
        <v>133</v>
      </c>
      <c r="K507" s="136" t="s">
        <v>133</v>
      </c>
      <c r="L507" s="153" t="str">
        <f>IFERROR(__xludf.DUMMYFUNCTION("""COMPUTED_VALUE"""),"")</f>
        <v/>
      </c>
      <c r="M507" s="136" t="str">
        <f t="shared" si="1"/>
        <v/>
      </c>
      <c r="N507" s="136" t="str">
        <f>IFERROR(__xludf.DUMMYFUNCTION("""COMPUTED_VALUE"""),"")</f>
        <v/>
      </c>
      <c r="O507" s="141" t="s">
        <v>133</v>
      </c>
      <c r="P507" s="136" t="str">
        <f>IFERROR(__xludf.DUMMYFUNCTION("""COMPUTED_VALUE"""),"")</f>
        <v/>
      </c>
      <c r="Q507" s="136" t="str">
        <f>IFERROR(__xludf.DUMMYFUNCTION("""COMPUTED_VALUE"""),"")</f>
        <v/>
      </c>
      <c r="R507" s="106" t="str">
        <f>IFERROR(__xludf.DUMMYFUNCTION("""COMPUTED_VALUE"""),"")</f>
        <v/>
      </c>
      <c r="S507" s="106" t="str">
        <f>IFERROR(__xludf.DUMMYFUNCTION("""COMPUTED_VALUE"""),"")</f>
        <v/>
      </c>
      <c r="T507" s="139" t="str">
        <f>IFERROR(__xludf.DUMMYFUNCTION("""COMPUTED_VALUE"""),"")</f>
        <v/>
      </c>
      <c r="U507" s="139" t="str">
        <f>IFERROR(__xludf.DUMMYFUNCTION("""COMPUTED_VALUE"""),"")</f>
        <v/>
      </c>
      <c r="V507" s="136" t="str">
        <f>IFERROR(__xludf.DUMMYFUNCTION("""COMPUTED_VALUE"""),"")</f>
        <v/>
      </c>
      <c r="W507" s="106" t="str">
        <f>IFERROR(__xludf.DUMMYFUNCTION("""COMPUTED_VALUE"""),"")</f>
        <v/>
      </c>
      <c r="X507" s="143" t="str">
        <f t="shared" si="2"/>
        <v/>
      </c>
      <c r="Y507" s="139" t="str">
        <f>IFERROR(__xludf.DUMMYFUNCTION("""COMPUTED_VALUE"""),"")</f>
        <v/>
      </c>
      <c r="Z507" s="141" t="str">
        <f>IFERROR(__xludf.DUMMYFUNCTION("""COMPUTED_VALUE"""),"")</f>
        <v/>
      </c>
    </row>
    <row r="508">
      <c r="C508" s="136" t="str">
        <f>IFERROR(__xludf.DUMMYFUNCTION("""COMPUTED_VALUE"""),"")</f>
        <v/>
      </c>
      <c r="D508" s="136" t="str">
        <f t="shared" si="3"/>
        <v/>
      </c>
      <c r="E508" s="152" t="str">
        <f>IFERROR(__xludf.DUMMYFUNCTION("""COMPUTED_VALUE"""),"")</f>
        <v/>
      </c>
      <c r="F508" s="106" t="s">
        <v>133</v>
      </c>
      <c r="G508" s="152" t="str">
        <f>IFERROR(__xludf.DUMMYFUNCTION("""COMPUTED_VALUE"""),"")</f>
        <v/>
      </c>
      <c r="H508" s="106" t="s">
        <v>133</v>
      </c>
      <c r="I508" s="136"/>
      <c r="J508" s="139" t="s">
        <v>133</v>
      </c>
      <c r="K508" s="136" t="s">
        <v>133</v>
      </c>
      <c r="L508" s="153" t="str">
        <f>IFERROR(__xludf.DUMMYFUNCTION("""COMPUTED_VALUE"""),"")</f>
        <v/>
      </c>
      <c r="M508" s="136" t="str">
        <f t="shared" si="1"/>
        <v/>
      </c>
      <c r="N508" s="136" t="str">
        <f>IFERROR(__xludf.DUMMYFUNCTION("""COMPUTED_VALUE"""),"")</f>
        <v/>
      </c>
      <c r="O508" s="141" t="s">
        <v>133</v>
      </c>
      <c r="P508" s="136" t="str">
        <f>IFERROR(__xludf.DUMMYFUNCTION("""COMPUTED_VALUE"""),"")</f>
        <v/>
      </c>
      <c r="Q508" s="136" t="str">
        <f>IFERROR(__xludf.DUMMYFUNCTION("""COMPUTED_VALUE"""),"")</f>
        <v/>
      </c>
      <c r="R508" s="106" t="str">
        <f>IFERROR(__xludf.DUMMYFUNCTION("""COMPUTED_VALUE"""),"")</f>
        <v/>
      </c>
      <c r="S508" s="106" t="str">
        <f>IFERROR(__xludf.DUMMYFUNCTION("""COMPUTED_VALUE"""),"")</f>
        <v/>
      </c>
      <c r="T508" s="139" t="str">
        <f>IFERROR(__xludf.DUMMYFUNCTION("""COMPUTED_VALUE"""),"")</f>
        <v/>
      </c>
      <c r="U508" s="139" t="str">
        <f>IFERROR(__xludf.DUMMYFUNCTION("""COMPUTED_VALUE"""),"")</f>
        <v/>
      </c>
      <c r="V508" s="136" t="str">
        <f>IFERROR(__xludf.DUMMYFUNCTION("""COMPUTED_VALUE"""),"")</f>
        <v/>
      </c>
      <c r="W508" s="106" t="str">
        <f>IFERROR(__xludf.DUMMYFUNCTION("""COMPUTED_VALUE"""),"")</f>
        <v/>
      </c>
      <c r="X508" s="143" t="str">
        <f t="shared" si="2"/>
        <v/>
      </c>
      <c r="Y508" s="139" t="str">
        <f>IFERROR(__xludf.DUMMYFUNCTION("""COMPUTED_VALUE"""),"")</f>
        <v/>
      </c>
      <c r="Z508" s="141" t="str">
        <f>IFERROR(__xludf.DUMMYFUNCTION("""COMPUTED_VALUE"""),"")</f>
        <v/>
      </c>
    </row>
    <row r="509">
      <c r="C509" s="136" t="str">
        <f>IFERROR(__xludf.DUMMYFUNCTION("""COMPUTED_VALUE"""),"")</f>
        <v/>
      </c>
      <c r="D509" s="136" t="str">
        <f t="shared" si="3"/>
        <v/>
      </c>
      <c r="E509" s="152" t="str">
        <f>IFERROR(__xludf.DUMMYFUNCTION("""COMPUTED_VALUE"""),"")</f>
        <v/>
      </c>
      <c r="F509" s="106" t="s">
        <v>133</v>
      </c>
      <c r="G509" s="152" t="str">
        <f>IFERROR(__xludf.DUMMYFUNCTION("""COMPUTED_VALUE"""),"")</f>
        <v/>
      </c>
      <c r="H509" s="106" t="s">
        <v>133</v>
      </c>
      <c r="I509" s="136"/>
      <c r="J509" s="139" t="s">
        <v>133</v>
      </c>
      <c r="K509" s="136" t="s">
        <v>133</v>
      </c>
      <c r="L509" s="153" t="str">
        <f>IFERROR(__xludf.DUMMYFUNCTION("""COMPUTED_VALUE"""),"")</f>
        <v/>
      </c>
      <c r="M509" s="136" t="str">
        <f t="shared" si="1"/>
        <v/>
      </c>
      <c r="N509" s="136" t="str">
        <f>IFERROR(__xludf.DUMMYFUNCTION("""COMPUTED_VALUE"""),"")</f>
        <v/>
      </c>
      <c r="O509" s="141" t="s">
        <v>133</v>
      </c>
      <c r="P509" s="136" t="str">
        <f>IFERROR(__xludf.DUMMYFUNCTION("""COMPUTED_VALUE"""),"")</f>
        <v/>
      </c>
      <c r="Q509" s="136" t="str">
        <f>IFERROR(__xludf.DUMMYFUNCTION("""COMPUTED_VALUE"""),"")</f>
        <v/>
      </c>
      <c r="R509" s="106" t="str">
        <f>IFERROR(__xludf.DUMMYFUNCTION("""COMPUTED_VALUE"""),"")</f>
        <v/>
      </c>
      <c r="S509" s="106" t="str">
        <f>IFERROR(__xludf.DUMMYFUNCTION("""COMPUTED_VALUE"""),"")</f>
        <v/>
      </c>
      <c r="T509" s="139" t="str">
        <f>IFERROR(__xludf.DUMMYFUNCTION("""COMPUTED_VALUE"""),"")</f>
        <v/>
      </c>
      <c r="U509" s="139" t="str">
        <f>IFERROR(__xludf.DUMMYFUNCTION("""COMPUTED_VALUE"""),"")</f>
        <v/>
      </c>
      <c r="V509" s="136" t="str">
        <f>IFERROR(__xludf.DUMMYFUNCTION("""COMPUTED_VALUE"""),"")</f>
        <v/>
      </c>
      <c r="W509" s="106" t="str">
        <f>IFERROR(__xludf.DUMMYFUNCTION("""COMPUTED_VALUE"""),"")</f>
        <v/>
      </c>
      <c r="X509" s="143" t="str">
        <f t="shared" si="2"/>
        <v/>
      </c>
      <c r="Y509" s="139" t="str">
        <f>IFERROR(__xludf.DUMMYFUNCTION("""COMPUTED_VALUE"""),"")</f>
        <v/>
      </c>
      <c r="Z509" s="141" t="str">
        <f>IFERROR(__xludf.DUMMYFUNCTION("""COMPUTED_VALUE"""),"")</f>
        <v/>
      </c>
    </row>
    <row r="510">
      <c r="C510" s="136" t="str">
        <f>IFERROR(__xludf.DUMMYFUNCTION("""COMPUTED_VALUE"""),"")</f>
        <v/>
      </c>
      <c r="D510" s="136" t="str">
        <f t="shared" si="3"/>
        <v/>
      </c>
      <c r="E510" s="152" t="str">
        <f>IFERROR(__xludf.DUMMYFUNCTION("""COMPUTED_VALUE"""),"")</f>
        <v/>
      </c>
      <c r="F510" s="106" t="s">
        <v>133</v>
      </c>
      <c r="G510" s="152" t="str">
        <f>IFERROR(__xludf.DUMMYFUNCTION("""COMPUTED_VALUE"""),"")</f>
        <v/>
      </c>
      <c r="H510" s="106" t="s">
        <v>133</v>
      </c>
      <c r="I510" s="136"/>
      <c r="J510" s="139" t="s">
        <v>133</v>
      </c>
      <c r="K510" s="136" t="s">
        <v>133</v>
      </c>
      <c r="L510" s="153" t="str">
        <f>IFERROR(__xludf.DUMMYFUNCTION("""COMPUTED_VALUE"""),"")</f>
        <v/>
      </c>
      <c r="M510" s="136" t="str">
        <f t="shared" si="1"/>
        <v/>
      </c>
      <c r="N510" s="136" t="str">
        <f>IFERROR(__xludf.DUMMYFUNCTION("""COMPUTED_VALUE"""),"")</f>
        <v/>
      </c>
      <c r="O510" s="141" t="s">
        <v>133</v>
      </c>
      <c r="P510" s="136" t="str">
        <f>IFERROR(__xludf.DUMMYFUNCTION("""COMPUTED_VALUE"""),"")</f>
        <v/>
      </c>
      <c r="Q510" s="136" t="str">
        <f>IFERROR(__xludf.DUMMYFUNCTION("""COMPUTED_VALUE"""),"")</f>
        <v/>
      </c>
      <c r="R510" s="106" t="str">
        <f>IFERROR(__xludf.DUMMYFUNCTION("""COMPUTED_VALUE"""),"")</f>
        <v/>
      </c>
      <c r="S510" s="106" t="str">
        <f>IFERROR(__xludf.DUMMYFUNCTION("""COMPUTED_VALUE"""),"")</f>
        <v/>
      </c>
      <c r="T510" s="139" t="str">
        <f>IFERROR(__xludf.DUMMYFUNCTION("""COMPUTED_VALUE"""),"")</f>
        <v/>
      </c>
      <c r="U510" s="139" t="str">
        <f>IFERROR(__xludf.DUMMYFUNCTION("""COMPUTED_VALUE"""),"")</f>
        <v/>
      </c>
      <c r="V510" s="136" t="str">
        <f>IFERROR(__xludf.DUMMYFUNCTION("""COMPUTED_VALUE"""),"")</f>
        <v/>
      </c>
      <c r="W510" s="106" t="str">
        <f>IFERROR(__xludf.DUMMYFUNCTION("""COMPUTED_VALUE"""),"")</f>
        <v/>
      </c>
      <c r="X510" s="143" t="str">
        <f t="shared" si="2"/>
        <v/>
      </c>
      <c r="Y510" s="139" t="str">
        <f>IFERROR(__xludf.DUMMYFUNCTION("""COMPUTED_VALUE"""),"")</f>
        <v/>
      </c>
      <c r="Z510" s="141" t="str">
        <f>IFERROR(__xludf.DUMMYFUNCTION("""COMPUTED_VALUE"""),"")</f>
        <v/>
      </c>
    </row>
    <row r="511">
      <c r="C511" s="136" t="str">
        <f>IFERROR(__xludf.DUMMYFUNCTION("""COMPUTED_VALUE"""),"")</f>
        <v/>
      </c>
      <c r="D511" s="136" t="str">
        <f t="shared" si="3"/>
        <v/>
      </c>
      <c r="E511" s="152" t="str">
        <f>IFERROR(__xludf.DUMMYFUNCTION("""COMPUTED_VALUE"""),"")</f>
        <v/>
      </c>
      <c r="F511" s="106" t="s">
        <v>133</v>
      </c>
      <c r="G511" s="152" t="str">
        <f>IFERROR(__xludf.DUMMYFUNCTION("""COMPUTED_VALUE"""),"")</f>
        <v/>
      </c>
      <c r="H511" s="106" t="s">
        <v>133</v>
      </c>
      <c r="I511" s="136"/>
      <c r="J511" s="139" t="s">
        <v>133</v>
      </c>
      <c r="K511" s="136" t="s">
        <v>133</v>
      </c>
      <c r="L511" s="153" t="str">
        <f>IFERROR(__xludf.DUMMYFUNCTION("""COMPUTED_VALUE"""),"")</f>
        <v/>
      </c>
      <c r="M511" s="136" t="str">
        <f t="shared" si="1"/>
        <v/>
      </c>
      <c r="N511" s="136" t="str">
        <f>IFERROR(__xludf.DUMMYFUNCTION("""COMPUTED_VALUE"""),"")</f>
        <v/>
      </c>
      <c r="O511" s="141" t="s">
        <v>133</v>
      </c>
      <c r="P511" s="136" t="str">
        <f>IFERROR(__xludf.DUMMYFUNCTION("""COMPUTED_VALUE"""),"")</f>
        <v/>
      </c>
      <c r="Q511" s="136" t="str">
        <f>IFERROR(__xludf.DUMMYFUNCTION("""COMPUTED_VALUE"""),"")</f>
        <v/>
      </c>
      <c r="R511" s="106" t="str">
        <f>IFERROR(__xludf.DUMMYFUNCTION("""COMPUTED_VALUE"""),"")</f>
        <v/>
      </c>
      <c r="S511" s="106" t="str">
        <f>IFERROR(__xludf.DUMMYFUNCTION("""COMPUTED_VALUE"""),"")</f>
        <v/>
      </c>
      <c r="T511" s="139" t="str">
        <f>IFERROR(__xludf.DUMMYFUNCTION("""COMPUTED_VALUE"""),"")</f>
        <v/>
      </c>
      <c r="U511" s="139" t="str">
        <f>IFERROR(__xludf.DUMMYFUNCTION("""COMPUTED_VALUE"""),"")</f>
        <v/>
      </c>
      <c r="V511" s="136" t="str">
        <f>IFERROR(__xludf.DUMMYFUNCTION("""COMPUTED_VALUE"""),"")</f>
        <v/>
      </c>
      <c r="W511" s="106" t="str">
        <f>IFERROR(__xludf.DUMMYFUNCTION("""COMPUTED_VALUE"""),"")</f>
        <v/>
      </c>
      <c r="X511" s="143" t="str">
        <f t="shared" si="2"/>
        <v/>
      </c>
      <c r="Y511" s="139" t="str">
        <f>IFERROR(__xludf.DUMMYFUNCTION("""COMPUTED_VALUE"""),"")</f>
        <v/>
      </c>
      <c r="Z511" s="141" t="str">
        <f>IFERROR(__xludf.DUMMYFUNCTION("""COMPUTED_VALUE"""),"")</f>
        <v/>
      </c>
    </row>
    <row r="512">
      <c r="C512" s="136" t="str">
        <f>IFERROR(__xludf.DUMMYFUNCTION("""COMPUTED_VALUE"""),"")</f>
        <v/>
      </c>
      <c r="D512" s="136" t="str">
        <f t="shared" si="3"/>
        <v/>
      </c>
      <c r="E512" s="152" t="str">
        <f>IFERROR(__xludf.DUMMYFUNCTION("""COMPUTED_VALUE"""),"")</f>
        <v/>
      </c>
      <c r="F512" s="106" t="s">
        <v>133</v>
      </c>
      <c r="G512" s="152" t="str">
        <f>IFERROR(__xludf.DUMMYFUNCTION("""COMPUTED_VALUE"""),"")</f>
        <v/>
      </c>
      <c r="H512" s="106" t="s">
        <v>133</v>
      </c>
      <c r="I512" s="136"/>
      <c r="J512" s="139" t="s">
        <v>133</v>
      </c>
      <c r="K512" s="136" t="s">
        <v>133</v>
      </c>
      <c r="L512" s="153" t="str">
        <f>IFERROR(__xludf.DUMMYFUNCTION("""COMPUTED_VALUE"""),"")</f>
        <v/>
      </c>
      <c r="M512" s="136" t="str">
        <f t="shared" si="1"/>
        <v/>
      </c>
      <c r="N512" s="136" t="str">
        <f>IFERROR(__xludf.DUMMYFUNCTION("""COMPUTED_VALUE"""),"")</f>
        <v/>
      </c>
      <c r="O512" s="141" t="s">
        <v>133</v>
      </c>
      <c r="P512" s="136" t="str">
        <f>IFERROR(__xludf.DUMMYFUNCTION("""COMPUTED_VALUE"""),"")</f>
        <v/>
      </c>
      <c r="Q512" s="136" t="str">
        <f>IFERROR(__xludf.DUMMYFUNCTION("""COMPUTED_VALUE"""),"")</f>
        <v/>
      </c>
      <c r="R512" s="106" t="str">
        <f>IFERROR(__xludf.DUMMYFUNCTION("""COMPUTED_VALUE"""),"")</f>
        <v/>
      </c>
      <c r="S512" s="106" t="str">
        <f>IFERROR(__xludf.DUMMYFUNCTION("""COMPUTED_VALUE"""),"")</f>
        <v/>
      </c>
      <c r="T512" s="139" t="str">
        <f>IFERROR(__xludf.DUMMYFUNCTION("""COMPUTED_VALUE"""),"")</f>
        <v/>
      </c>
      <c r="U512" s="139" t="str">
        <f>IFERROR(__xludf.DUMMYFUNCTION("""COMPUTED_VALUE"""),"")</f>
        <v/>
      </c>
      <c r="V512" s="136" t="str">
        <f>IFERROR(__xludf.DUMMYFUNCTION("""COMPUTED_VALUE"""),"")</f>
        <v/>
      </c>
      <c r="W512" s="106" t="str">
        <f>IFERROR(__xludf.DUMMYFUNCTION("""COMPUTED_VALUE"""),"")</f>
        <v/>
      </c>
      <c r="X512" s="143" t="str">
        <f t="shared" si="2"/>
        <v/>
      </c>
      <c r="Y512" s="139" t="str">
        <f>IFERROR(__xludf.DUMMYFUNCTION("""COMPUTED_VALUE"""),"")</f>
        <v/>
      </c>
      <c r="Z512" s="141" t="str">
        <f>IFERROR(__xludf.DUMMYFUNCTION("""COMPUTED_VALUE"""),"")</f>
        <v/>
      </c>
    </row>
    <row r="513">
      <c r="C513" s="136" t="str">
        <f>IFERROR(__xludf.DUMMYFUNCTION("""COMPUTED_VALUE"""),"")</f>
        <v/>
      </c>
      <c r="D513" s="136" t="str">
        <f t="shared" si="3"/>
        <v/>
      </c>
      <c r="E513" s="152" t="str">
        <f>IFERROR(__xludf.DUMMYFUNCTION("""COMPUTED_VALUE"""),"")</f>
        <v/>
      </c>
      <c r="F513" s="106" t="s">
        <v>133</v>
      </c>
      <c r="G513" s="152" t="str">
        <f>IFERROR(__xludf.DUMMYFUNCTION("""COMPUTED_VALUE"""),"")</f>
        <v/>
      </c>
      <c r="H513" s="106" t="s">
        <v>133</v>
      </c>
      <c r="I513" s="136"/>
      <c r="J513" s="139" t="s">
        <v>133</v>
      </c>
      <c r="K513" s="136" t="s">
        <v>133</v>
      </c>
      <c r="L513" s="153" t="str">
        <f>IFERROR(__xludf.DUMMYFUNCTION("""COMPUTED_VALUE"""),"")</f>
        <v/>
      </c>
      <c r="M513" s="136" t="str">
        <f t="shared" si="1"/>
        <v/>
      </c>
      <c r="N513" s="136" t="str">
        <f>IFERROR(__xludf.DUMMYFUNCTION("""COMPUTED_VALUE"""),"")</f>
        <v/>
      </c>
      <c r="O513" s="141" t="s">
        <v>133</v>
      </c>
      <c r="P513" s="136" t="str">
        <f>IFERROR(__xludf.DUMMYFUNCTION("""COMPUTED_VALUE"""),"")</f>
        <v/>
      </c>
      <c r="Q513" s="136" t="str">
        <f>IFERROR(__xludf.DUMMYFUNCTION("""COMPUTED_VALUE"""),"")</f>
        <v/>
      </c>
      <c r="R513" s="106" t="str">
        <f>IFERROR(__xludf.DUMMYFUNCTION("""COMPUTED_VALUE"""),"")</f>
        <v/>
      </c>
      <c r="S513" s="106" t="str">
        <f>IFERROR(__xludf.DUMMYFUNCTION("""COMPUTED_VALUE"""),"")</f>
        <v/>
      </c>
      <c r="T513" s="139" t="str">
        <f>IFERROR(__xludf.DUMMYFUNCTION("""COMPUTED_VALUE"""),"")</f>
        <v/>
      </c>
      <c r="U513" s="139" t="str">
        <f>IFERROR(__xludf.DUMMYFUNCTION("""COMPUTED_VALUE"""),"")</f>
        <v/>
      </c>
      <c r="V513" s="136" t="str">
        <f>IFERROR(__xludf.DUMMYFUNCTION("""COMPUTED_VALUE"""),"")</f>
        <v/>
      </c>
      <c r="W513" s="106" t="str">
        <f>IFERROR(__xludf.DUMMYFUNCTION("""COMPUTED_VALUE"""),"")</f>
        <v/>
      </c>
      <c r="X513" s="143" t="str">
        <f t="shared" si="2"/>
        <v/>
      </c>
      <c r="Y513" s="139" t="str">
        <f>IFERROR(__xludf.DUMMYFUNCTION("""COMPUTED_VALUE"""),"")</f>
        <v/>
      </c>
      <c r="Z513" s="141" t="str">
        <f>IFERROR(__xludf.DUMMYFUNCTION("""COMPUTED_VALUE"""),"")</f>
        <v/>
      </c>
    </row>
    <row r="514">
      <c r="C514" s="136" t="str">
        <f>IFERROR(__xludf.DUMMYFUNCTION("""COMPUTED_VALUE"""),"")</f>
        <v/>
      </c>
      <c r="D514" s="136" t="str">
        <f t="shared" si="3"/>
        <v/>
      </c>
      <c r="E514" s="152" t="str">
        <f>IFERROR(__xludf.DUMMYFUNCTION("""COMPUTED_VALUE"""),"")</f>
        <v/>
      </c>
      <c r="F514" s="106" t="s">
        <v>133</v>
      </c>
      <c r="G514" s="152" t="str">
        <f>IFERROR(__xludf.DUMMYFUNCTION("""COMPUTED_VALUE"""),"")</f>
        <v/>
      </c>
      <c r="H514" s="106" t="s">
        <v>133</v>
      </c>
      <c r="I514" s="136"/>
      <c r="J514" s="139" t="s">
        <v>133</v>
      </c>
      <c r="K514" s="136" t="s">
        <v>133</v>
      </c>
      <c r="L514" s="153" t="str">
        <f>IFERROR(__xludf.DUMMYFUNCTION("""COMPUTED_VALUE"""),"")</f>
        <v/>
      </c>
      <c r="M514" s="136" t="str">
        <f t="shared" si="1"/>
        <v/>
      </c>
      <c r="N514" s="136" t="str">
        <f>IFERROR(__xludf.DUMMYFUNCTION("""COMPUTED_VALUE"""),"")</f>
        <v/>
      </c>
      <c r="O514" s="141" t="s">
        <v>133</v>
      </c>
      <c r="P514" s="136" t="str">
        <f>IFERROR(__xludf.DUMMYFUNCTION("""COMPUTED_VALUE"""),"")</f>
        <v/>
      </c>
      <c r="Q514" s="136" t="str">
        <f>IFERROR(__xludf.DUMMYFUNCTION("""COMPUTED_VALUE"""),"")</f>
        <v/>
      </c>
      <c r="R514" s="106" t="str">
        <f>IFERROR(__xludf.DUMMYFUNCTION("""COMPUTED_VALUE"""),"")</f>
        <v/>
      </c>
      <c r="S514" s="106" t="str">
        <f>IFERROR(__xludf.DUMMYFUNCTION("""COMPUTED_VALUE"""),"")</f>
        <v/>
      </c>
      <c r="T514" s="139" t="str">
        <f>IFERROR(__xludf.DUMMYFUNCTION("""COMPUTED_VALUE"""),"")</f>
        <v/>
      </c>
      <c r="U514" s="139" t="str">
        <f>IFERROR(__xludf.DUMMYFUNCTION("""COMPUTED_VALUE"""),"")</f>
        <v/>
      </c>
      <c r="V514" s="136" t="str">
        <f>IFERROR(__xludf.DUMMYFUNCTION("""COMPUTED_VALUE"""),"")</f>
        <v/>
      </c>
      <c r="W514" s="106" t="str">
        <f>IFERROR(__xludf.DUMMYFUNCTION("""COMPUTED_VALUE"""),"")</f>
        <v/>
      </c>
      <c r="X514" s="143" t="str">
        <f t="shared" si="2"/>
        <v/>
      </c>
      <c r="Y514" s="139" t="str">
        <f>IFERROR(__xludf.DUMMYFUNCTION("""COMPUTED_VALUE"""),"")</f>
        <v/>
      </c>
      <c r="Z514" s="141" t="str">
        <f>IFERROR(__xludf.DUMMYFUNCTION("""COMPUTED_VALUE"""),"")</f>
        <v/>
      </c>
    </row>
    <row r="515">
      <c r="C515" s="136" t="str">
        <f>IFERROR(__xludf.DUMMYFUNCTION("""COMPUTED_VALUE"""),"")</f>
        <v/>
      </c>
      <c r="D515" s="136" t="str">
        <f t="shared" si="3"/>
        <v/>
      </c>
      <c r="E515" s="152" t="str">
        <f>IFERROR(__xludf.DUMMYFUNCTION("""COMPUTED_VALUE"""),"")</f>
        <v/>
      </c>
      <c r="F515" s="106" t="s">
        <v>133</v>
      </c>
      <c r="G515" s="152" t="str">
        <f>IFERROR(__xludf.DUMMYFUNCTION("""COMPUTED_VALUE"""),"")</f>
        <v/>
      </c>
      <c r="H515" s="106" t="s">
        <v>133</v>
      </c>
      <c r="I515" s="136"/>
      <c r="J515" s="139" t="s">
        <v>133</v>
      </c>
      <c r="K515" s="136" t="s">
        <v>133</v>
      </c>
      <c r="L515" s="153" t="str">
        <f>IFERROR(__xludf.DUMMYFUNCTION("""COMPUTED_VALUE"""),"")</f>
        <v/>
      </c>
      <c r="M515" s="136" t="str">
        <f t="shared" si="1"/>
        <v/>
      </c>
      <c r="N515" s="136" t="str">
        <f>IFERROR(__xludf.DUMMYFUNCTION("""COMPUTED_VALUE"""),"")</f>
        <v/>
      </c>
      <c r="O515" s="141" t="s">
        <v>133</v>
      </c>
      <c r="P515" s="136" t="str">
        <f>IFERROR(__xludf.DUMMYFUNCTION("""COMPUTED_VALUE"""),"")</f>
        <v/>
      </c>
      <c r="Q515" s="136" t="str">
        <f>IFERROR(__xludf.DUMMYFUNCTION("""COMPUTED_VALUE"""),"")</f>
        <v/>
      </c>
      <c r="R515" s="106" t="str">
        <f>IFERROR(__xludf.DUMMYFUNCTION("""COMPUTED_VALUE"""),"")</f>
        <v/>
      </c>
      <c r="S515" s="106" t="str">
        <f>IFERROR(__xludf.DUMMYFUNCTION("""COMPUTED_VALUE"""),"")</f>
        <v/>
      </c>
      <c r="T515" s="139" t="str">
        <f>IFERROR(__xludf.DUMMYFUNCTION("""COMPUTED_VALUE"""),"")</f>
        <v/>
      </c>
      <c r="U515" s="139" t="str">
        <f>IFERROR(__xludf.DUMMYFUNCTION("""COMPUTED_VALUE"""),"")</f>
        <v/>
      </c>
      <c r="V515" s="136" t="str">
        <f>IFERROR(__xludf.DUMMYFUNCTION("""COMPUTED_VALUE"""),"")</f>
        <v/>
      </c>
      <c r="W515" s="106" t="str">
        <f>IFERROR(__xludf.DUMMYFUNCTION("""COMPUTED_VALUE"""),"")</f>
        <v/>
      </c>
      <c r="X515" s="143" t="str">
        <f t="shared" si="2"/>
        <v/>
      </c>
      <c r="Y515" s="139" t="str">
        <f>IFERROR(__xludf.DUMMYFUNCTION("""COMPUTED_VALUE"""),"")</f>
        <v/>
      </c>
      <c r="Z515" s="141" t="str">
        <f>IFERROR(__xludf.DUMMYFUNCTION("""COMPUTED_VALUE"""),"")</f>
        <v/>
      </c>
    </row>
    <row r="516">
      <c r="C516" s="136" t="str">
        <f>IFERROR(__xludf.DUMMYFUNCTION("""COMPUTED_VALUE"""),"")</f>
        <v/>
      </c>
      <c r="D516" s="136" t="str">
        <f t="shared" si="3"/>
        <v/>
      </c>
      <c r="E516" s="152" t="str">
        <f>IFERROR(__xludf.DUMMYFUNCTION("""COMPUTED_VALUE"""),"")</f>
        <v/>
      </c>
      <c r="F516" s="106" t="s">
        <v>133</v>
      </c>
      <c r="G516" s="152" t="str">
        <f>IFERROR(__xludf.DUMMYFUNCTION("""COMPUTED_VALUE"""),"")</f>
        <v/>
      </c>
      <c r="H516" s="106" t="s">
        <v>133</v>
      </c>
      <c r="I516" s="136"/>
      <c r="J516" s="139" t="s">
        <v>133</v>
      </c>
      <c r="K516" s="136" t="s">
        <v>133</v>
      </c>
      <c r="L516" s="153" t="str">
        <f>IFERROR(__xludf.DUMMYFUNCTION("""COMPUTED_VALUE"""),"")</f>
        <v/>
      </c>
      <c r="M516" s="136" t="str">
        <f t="shared" si="1"/>
        <v/>
      </c>
      <c r="N516" s="136" t="str">
        <f>IFERROR(__xludf.DUMMYFUNCTION("""COMPUTED_VALUE"""),"")</f>
        <v/>
      </c>
      <c r="O516" s="141" t="s">
        <v>133</v>
      </c>
      <c r="P516" s="136" t="str">
        <f>IFERROR(__xludf.DUMMYFUNCTION("""COMPUTED_VALUE"""),"")</f>
        <v/>
      </c>
      <c r="Q516" s="136" t="str">
        <f>IFERROR(__xludf.DUMMYFUNCTION("""COMPUTED_VALUE"""),"")</f>
        <v/>
      </c>
      <c r="R516" s="106" t="str">
        <f>IFERROR(__xludf.DUMMYFUNCTION("""COMPUTED_VALUE"""),"")</f>
        <v/>
      </c>
      <c r="S516" s="106" t="str">
        <f>IFERROR(__xludf.DUMMYFUNCTION("""COMPUTED_VALUE"""),"")</f>
        <v/>
      </c>
      <c r="T516" s="139" t="str">
        <f>IFERROR(__xludf.DUMMYFUNCTION("""COMPUTED_VALUE"""),"")</f>
        <v/>
      </c>
      <c r="U516" s="139" t="str">
        <f>IFERROR(__xludf.DUMMYFUNCTION("""COMPUTED_VALUE"""),"")</f>
        <v/>
      </c>
      <c r="V516" s="136" t="str">
        <f>IFERROR(__xludf.DUMMYFUNCTION("""COMPUTED_VALUE"""),"")</f>
        <v/>
      </c>
      <c r="W516" s="106" t="str">
        <f>IFERROR(__xludf.DUMMYFUNCTION("""COMPUTED_VALUE"""),"")</f>
        <v/>
      </c>
      <c r="X516" s="143" t="str">
        <f t="shared" si="2"/>
        <v/>
      </c>
      <c r="Y516" s="139" t="str">
        <f>IFERROR(__xludf.DUMMYFUNCTION("""COMPUTED_VALUE"""),"")</f>
        <v/>
      </c>
      <c r="Z516" s="141" t="str">
        <f>IFERROR(__xludf.DUMMYFUNCTION("""COMPUTED_VALUE"""),"")</f>
        <v/>
      </c>
    </row>
    <row r="517">
      <c r="C517" s="136" t="str">
        <f>IFERROR(__xludf.DUMMYFUNCTION("""COMPUTED_VALUE"""),"")</f>
        <v/>
      </c>
      <c r="D517" s="136" t="str">
        <f t="shared" si="3"/>
        <v/>
      </c>
      <c r="E517" s="152" t="str">
        <f>IFERROR(__xludf.DUMMYFUNCTION("""COMPUTED_VALUE"""),"")</f>
        <v/>
      </c>
      <c r="F517" s="106" t="s">
        <v>133</v>
      </c>
      <c r="G517" s="152" t="str">
        <f>IFERROR(__xludf.DUMMYFUNCTION("""COMPUTED_VALUE"""),"")</f>
        <v/>
      </c>
      <c r="H517" s="106" t="s">
        <v>133</v>
      </c>
      <c r="I517" s="136"/>
      <c r="J517" s="139" t="s">
        <v>133</v>
      </c>
      <c r="K517" s="136" t="s">
        <v>133</v>
      </c>
      <c r="L517" s="153" t="str">
        <f>IFERROR(__xludf.DUMMYFUNCTION("""COMPUTED_VALUE"""),"")</f>
        <v/>
      </c>
      <c r="M517" s="136" t="str">
        <f t="shared" si="1"/>
        <v/>
      </c>
      <c r="N517" s="136" t="str">
        <f>IFERROR(__xludf.DUMMYFUNCTION("""COMPUTED_VALUE"""),"")</f>
        <v/>
      </c>
      <c r="O517" s="141" t="s">
        <v>133</v>
      </c>
      <c r="P517" s="136" t="str">
        <f>IFERROR(__xludf.DUMMYFUNCTION("""COMPUTED_VALUE"""),"")</f>
        <v/>
      </c>
      <c r="Q517" s="136" t="str">
        <f>IFERROR(__xludf.DUMMYFUNCTION("""COMPUTED_VALUE"""),"")</f>
        <v/>
      </c>
      <c r="R517" s="106" t="str">
        <f>IFERROR(__xludf.DUMMYFUNCTION("""COMPUTED_VALUE"""),"")</f>
        <v/>
      </c>
      <c r="S517" s="106" t="str">
        <f>IFERROR(__xludf.DUMMYFUNCTION("""COMPUTED_VALUE"""),"")</f>
        <v/>
      </c>
      <c r="T517" s="139" t="str">
        <f>IFERROR(__xludf.DUMMYFUNCTION("""COMPUTED_VALUE"""),"")</f>
        <v/>
      </c>
      <c r="U517" s="139" t="str">
        <f>IFERROR(__xludf.DUMMYFUNCTION("""COMPUTED_VALUE"""),"")</f>
        <v/>
      </c>
      <c r="V517" s="136" t="str">
        <f>IFERROR(__xludf.DUMMYFUNCTION("""COMPUTED_VALUE"""),"")</f>
        <v/>
      </c>
      <c r="W517" s="106" t="str">
        <f>IFERROR(__xludf.DUMMYFUNCTION("""COMPUTED_VALUE"""),"")</f>
        <v/>
      </c>
      <c r="X517" s="143" t="str">
        <f t="shared" si="2"/>
        <v/>
      </c>
      <c r="Y517" s="139" t="str">
        <f>IFERROR(__xludf.DUMMYFUNCTION("""COMPUTED_VALUE"""),"")</f>
        <v/>
      </c>
      <c r="Z517" s="141" t="str">
        <f>IFERROR(__xludf.DUMMYFUNCTION("""COMPUTED_VALUE"""),"")</f>
        <v/>
      </c>
    </row>
    <row r="518">
      <c r="C518" s="136" t="str">
        <f>IFERROR(__xludf.DUMMYFUNCTION("""COMPUTED_VALUE"""),"")</f>
        <v/>
      </c>
      <c r="D518" s="136" t="str">
        <f t="shared" si="3"/>
        <v/>
      </c>
      <c r="E518" s="152" t="str">
        <f>IFERROR(__xludf.DUMMYFUNCTION("""COMPUTED_VALUE"""),"")</f>
        <v/>
      </c>
      <c r="F518" s="106" t="s">
        <v>133</v>
      </c>
      <c r="G518" s="152" t="str">
        <f>IFERROR(__xludf.DUMMYFUNCTION("""COMPUTED_VALUE"""),"")</f>
        <v/>
      </c>
      <c r="H518" s="106" t="s">
        <v>133</v>
      </c>
      <c r="I518" s="136"/>
      <c r="J518" s="139" t="s">
        <v>133</v>
      </c>
      <c r="K518" s="136" t="s">
        <v>133</v>
      </c>
      <c r="L518" s="153" t="str">
        <f>IFERROR(__xludf.DUMMYFUNCTION("""COMPUTED_VALUE"""),"")</f>
        <v/>
      </c>
      <c r="M518" s="136" t="str">
        <f t="shared" si="1"/>
        <v/>
      </c>
      <c r="N518" s="136" t="str">
        <f>IFERROR(__xludf.DUMMYFUNCTION("""COMPUTED_VALUE"""),"")</f>
        <v/>
      </c>
      <c r="O518" s="141" t="s">
        <v>133</v>
      </c>
      <c r="P518" s="136" t="str">
        <f>IFERROR(__xludf.DUMMYFUNCTION("""COMPUTED_VALUE"""),"")</f>
        <v/>
      </c>
      <c r="Q518" s="136" t="str">
        <f>IFERROR(__xludf.DUMMYFUNCTION("""COMPUTED_VALUE"""),"")</f>
        <v/>
      </c>
      <c r="R518" s="106" t="str">
        <f>IFERROR(__xludf.DUMMYFUNCTION("""COMPUTED_VALUE"""),"")</f>
        <v/>
      </c>
      <c r="S518" s="106" t="str">
        <f>IFERROR(__xludf.DUMMYFUNCTION("""COMPUTED_VALUE"""),"")</f>
        <v/>
      </c>
      <c r="T518" s="139" t="str">
        <f>IFERROR(__xludf.DUMMYFUNCTION("""COMPUTED_VALUE"""),"")</f>
        <v/>
      </c>
      <c r="U518" s="139" t="str">
        <f>IFERROR(__xludf.DUMMYFUNCTION("""COMPUTED_VALUE"""),"")</f>
        <v/>
      </c>
      <c r="V518" s="136" t="str">
        <f>IFERROR(__xludf.DUMMYFUNCTION("""COMPUTED_VALUE"""),"")</f>
        <v/>
      </c>
      <c r="W518" s="106" t="str">
        <f>IFERROR(__xludf.DUMMYFUNCTION("""COMPUTED_VALUE"""),"")</f>
        <v/>
      </c>
      <c r="X518" s="143" t="str">
        <f t="shared" si="2"/>
        <v/>
      </c>
      <c r="Y518" s="139" t="str">
        <f>IFERROR(__xludf.DUMMYFUNCTION("""COMPUTED_VALUE"""),"")</f>
        <v/>
      </c>
      <c r="Z518" s="141" t="str">
        <f>IFERROR(__xludf.DUMMYFUNCTION("""COMPUTED_VALUE"""),"")</f>
        <v/>
      </c>
    </row>
    <row r="519">
      <c r="C519" s="136" t="str">
        <f>IFERROR(__xludf.DUMMYFUNCTION("""COMPUTED_VALUE"""),"")</f>
        <v/>
      </c>
      <c r="D519" s="136" t="str">
        <f t="shared" si="3"/>
        <v/>
      </c>
      <c r="E519" s="152" t="str">
        <f>IFERROR(__xludf.DUMMYFUNCTION("""COMPUTED_VALUE"""),"")</f>
        <v/>
      </c>
      <c r="F519" s="106" t="s">
        <v>133</v>
      </c>
      <c r="G519" s="152" t="str">
        <f>IFERROR(__xludf.DUMMYFUNCTION("""COMPUTED_VALUE"""),"")</f>
        <v/>
      </c>
      <c r="H519" s="106" t="s">
        <v>133</v>
      </c>
      <c r="I519" s="136"/>
      <c r="J519" s="139" t="s">
        <v>133</v>
      </c>
      <c r="K519" s="136" t="s">
        <v>133</v>
      </c>
      <c r="L519" s="153" t="str">
        <f>IFERROR(__xludf.DUMMYFUNCTION("""COMPUTED_VALUE"""),"")</f>
        <v/>
      </c>
      <c r="M519" s="136" t="str">
        <f t="shared" si="1"/>
        <v/>
      </c>
      <c r="N519" s="136" t="str">
        <f>IFERROR(__xludf.DUMMYFUNCTION("""COMPUTED_VALUE"""),"")</f>
        <v/>
      </c>
      <c r="O519" s="141" t="s">
        <v>133</v>
      </c>
      <c r="P519" s="136" t="str">
        <f>IFERROR(__xludf.DUMMYFUNCTION("""COMPUTED_VALUE"""),"")</f>
        <v/>
      </c>
      <c r="Q519" s="136" t="str">
        <f>IFERROR(__xludf.DUMMYFUNCTION("""COMPUTED_VALUE"""),"")</f>
        <v/>
      </c>
      <c r="R519" s="106" t="str">
        <f>IFERROR(__xludf.DUMMYFUNCTION("""COMPUTED_VALUE"""),"")</f>
        <v/>
      </c>
      <c r="S519" s="106" t="str">
        <f>IFERROR(__xludf.DUMMYFUNCTION("""COMPUTED_VALUE"""),"")</f>
        <v/>
      </c>
      <c r="T519" s="139" t="str">
        <f>IFERROR(__xludf.DUMMYFUNCTION("""COMPUTED_VALUE"""),"")</f>
        <v/>
      </c>
      <c r="U519" s="139" t="str">
        <f>IFERROR(__xludf.DUMMYFUNCTION("""COMPUTED_VALUE"""),"")</f>
        <v/>
      </c>
      <c r="V519" s="136" t="str">
        <f>IFERROR(__xludf.DUMMYFUNCTION("""COMPUTED_VALUE"""),"")</f>
        <v/>
      </c>
      <c r="W519" s="106" t="str">
        <f>IFERROR(__xludf.DUMMYFUNCTION("""COMPUTED_VALUE"""),"")</f>
        <v/>
      </c>
      <c r="X519" s="143" t="str">
        <f t="shared" si="2"/>
        <v/>
      </c>
      <c r="Y519" s="139" t="str">
        <f>IFERROR(__xludf.DUMMYFUNCTION("""COMPUTED_VALUE"""),"")</f>
        <v/>
      </c>
      <c r="Z519" s="141" t="str">
        <f>IFERROR(__xludf.DUMMYFUNCTION("""COMPUTED_VALUE"""),"")</f>
        <v/>
      </c>
    </row>
    <row r="520">
      <c r="C520" s="136" t="str">
        <f>IFERROR(__xludf.DUMMYFUNCTION("""COMPUTED_VALUE"""),"")</f>
        <v/>
      </c>
      <c r="D520" s="136" t="str">
        <f t="shared" si="3"/>
        <v/>
      </c>
      <c r="E520" s="152" t="str">
        <f>IFERROR(__xludf.DUMMYFUNCTION("""COMPUTED_VALUE"""),"")</f>
        <v/>
      </c>
      <c r="F520" s="106" t="s">
        <v>133</v>
      </c>
      <c r="G520" s="152" t="str">
        <f>IFERROR(__xludf.DUMMYFUNCTION("""COMPUTED_VALUE"""),"")</f>
        <v/>
      </c>
      <c r="H520" s="106" t="s">
        <v>133</v>
      </c>
      <c r="I520" s="136"/>
      <c r="J520" s="139" t="s">
        <v>133</v>
      </c>
      <c r="K520" s="136" t="s">
        <v>133</v>
      </c>
      <c r="L520" s="153" t="str">
        <f>IFERROR(__xludf.DUMMYFUNCTION("""COMPUTED_VALUE"""),"")</f>
        <v/>
      </c>
      <c r="M520" s="136" t="str">
        <f t="shared" si="1"/>
        <v/>
      </c>
      <c r="N520" s="136" t="str">
        <f>IFERROR(__xludf.DUMMYFUNCTION("""COMPUTED_VALUE"""),"")</f>
        <v/>
      </c>
      <c r="O520" s="141" t="s">
        <v>133</v>
      </c>
      <c r="P520" s="136" t="str">
        <f>IFERROR(__xludf.DUMMYFUNCTION("""COMPUTED_VALUE"""),"")</f>
        <v/>
      </c>
      <c r="Q520" s="136" t="str">
        <f>IFERROR(__xludf.DUMMYFUNCTION("""COMPUTED_VALUE"""),"")</f>
        <v/>
      </c>
      <c r="R520" s="106" t="str">
        <f>IFERROR(__xludf.DUMMYFUNCTION("""COMPUTED_VALUE"""),"")</f>
        <v/>
      </c>
      <c r="S520" s="106" t="str">
        <f>IFERROR(__xludf.DUMMYFUNCTION("""COMPUTED_VALUE"""),"")</f>
        <v/>
      </c>
      <c r="T520" s="139" t="str">
        <f>IFERROR(__xludf.DUMMYFUNCTION("""COMPUTED_VALUE"""),"")</f>
        <v/>
      </c>
      <c r="U520" s="139" t="str">
        <f>IFERROR(__xludf.DUMMYFUNCTION("""COMPUTED_VALUE"""),"")</f>
        <v/>
      </c>
      <c r="V520" s="136" t="str">
        <f>IFERROR(__xludf.DUMMYFUNCTION("""COMPUTED_VALUE"""),"")</f>
        <v/>
      </c>
      <c r="W520" s="106" t="str">
        <f>IFERROR(__xludf.DUMMYFUNCTION("""COMPUTED_VALUE"""),"")</f>
        <v/>
      </c>
      <c r="X520" s="143" t="str">
        <f t="shared" si="2"/>
        <v/>
      </c>
      <c r="Y520" s="139" t="str">
        <f>IFERROR(__xludf.DUMMYFUNCTION("""COMPUTED_VALUE"""),"")</f>
        <v/>
      </c>
      <c r="Z520" s="141" t="str">
        <f>IFERROR(__xludf.DUMMYFUNCTION("""COMPUTED_VALUE"""),"")</f>
        <v/>
      </c>
    </row>
    <row r="521">
      <c r="C521" s="136" t="str">
        <f>IFERROR(__xludf.DUMMYFUNCTION("""COMPUTED_VALUE"""),"")</f>
        <v/>
      </c>
      <c r="D521" s="136" t="str">
        <f t="shared" si="3"/>
        <v/>
      </c>
      <c r="E521" s="152" t="str">
        <f>IFERROR(__xludf.DUMMYFUNCTION("""COMPUTED_VALUE"""),"")</f>
        <v/>
      </c>
      <c r="F521" s="106" t="s">
        <v>133</v>
      </c>
      <c r="G521" s="152" t="str">
        <f>IFERROR(__xludf.DUMMYFUNCTION("""COMPUTED_VALUE"""),"")</f>
        <v/>
      </c>
      <c r="H521" s="106" t="s">
        <v>133</v>
      </c>
      <c r="I521" s="136"/>
      <c r="J521" s="139" t="s">
        <v>133</v>
      </c>
      <c r="K521" s="136" t="s">
        <v>133</v>
      </c>
      <c r="L521" s="153" t="str">
        <f>IFERROR(__xludf.DUMMYFUNCTION("""COMPUTED_VALUE"""),"")</f>
        <v/>
      </c>
      <c r="M521" s="136" t="str">
        <f t="shared" si="1"/>
        <v/>
      </c>
      <c r="N521" s="136" t="str">
        <f>IFERROR(__xludf.DUMMYFUNCTION("""COMPUTED_VALUE"""),"")</f>
        <v/>
      </c>
      <c r="O521" s="141" t="s">
        <v>133</v>
      </c>
      <c r="P521" s="136" t="str">
        <f>IFERROR(__xludf.DUMMYFUNCTION("""COMPUTED_VALUE"""),"")</f>
        <v/>
      </c>
      <c r="Q521" s="136" t="str">
        <f>IFERROR(__xludf.DUMMYFUNCTION("""COMPUTED_VALUE"""),"")</f>
        <v/>
      </c>
      <c r="R521" s="106" t="str">
        <f>IFERROR(__xludf.DUMMYFUNCTION("""COMPUTED_VALUE"""),"")</f>
        <v/>
      </c>
      <c r="S521" s="106" t="str">
        <f>IFERROR(__xludf.DUMMYFUNCTION("""COMPUTED_VALUE"""),"")</f>
        <v/>
      </c>
      <c r="T521" s="139" t="str">
        <f>IFERROR(__xludf.DUMMYFUNCTION("""COMPUTED_VALUE"""),"")</f>
        <v/>
      </c>
      <c r="U521" s="139" t="str">
        <f>IFERROR(__xludf.DUMMYFUNCTION("""COMPUTED_VALUE"""),"")</f>
        <v/>
      </c>
      <c r="V521" s="136" t="str">
        <f>IFERROR(__xludf.DUMMYFUNCTION("""COMPUTED_VALUE"""),"")</f>
        <v/>
      </c>
      <c r="W521" s="106" t="str">
        <f>IFERROR(__xludf.DUMMYFUNCTION("""COMPUTED_VALUE"""),"")</f>
        <v/>
      </c>
      <c r="X521" s="143" t="str">
        <f t="shared" si="2"/>
        <v/>
      </c>
      <c r="Y521" s="139" t="str">
        <f>IFERROR(__xludf.DUMMYFUNCTION("""COMPUTED_VALUE"""),"")</f>
        <v/>
      </c>
      <c r="Z521" s="141" t="str">
        <f>IFERROR(__xludf.DUMMYFUNCTION("""COMPUTED_VALUE"""),"")</f>
        <v/>
      </c>
    </row>
    <row r="522">
      <c r="C522" s="136" t="str">
        <f>IFERROR(__xludf.DUMMYFUNCTION("""COMPUTED_VALUE"""),"")</f>
        <v/>
      </c>
      <c r="D522" s="136" t="str">
        <f t="shared" si="3"/>
        <v/>
      </c>
      <c r="E522" s="152" t="str">
        <f>IFERROR(__xludf.DUMMYFUNCTION("""COMPUTED_VALUE"""),"")</f>
        <v/>
      </c>
      <c r="F522" s="106" t="s">
        <v>133</v>
      </c>
      <c r="G522" s="152" t="str">
        <f>IFERROR(__xludf.DUMMYFUNCTION("""COMPUTED_VALUE"""),"")</f>
        <v/>
      </c>
      <c r="H522" s="106" t="s">
        <v>133</v>
      </c>
      <c r="I522" s="136"/>
      <c r="J522" s="139" t="s">
        <v>133</v>
      </c>
      <c r="K522" s="136" t="s">
        <v>133</v>
      </c>
      <c r="L522" s="153" t="str">
        <f>IFERROR(__xludf.DUMMYFUNCTION("""COMPUTED_VALUE"""),"")</f>
        <v/>
      </c>
      <c r="M522" s="136" t="str">
        <f t="shared" si="1"/>
        <v/>
      </c>
      <c r="N522" s="136" t="str">
        <f>IFERROR(__xludf.DUMMYFUNCTION("""COMPUTED_VALUE"""),"")</f>
        <v/>
      </c>
      <c r="O522" s="141" t="s">
        <v>133</v>
      </c>
      <c r="P522" s="136" t="str">
        <f>IFERROR(__xludf.DUMMYFUNCTION("""COMPUTED_VALUE"""),"")</f>
        <v/>
      </c>
      <c r="Q522" s="136" t="str">
        <f>IFERROR(__xludf.DUMMYFUNCTION("""COMPUTED_VALUE"""),"")</f>
        <v/>
      </c>
      <c r="R522" s="106" t="str">
        <f>IFERROR(__xludf.DUMMYFUNCTION("""COMPUTED_VALUE"""),"")</f>
        <v/>
      </c>
      <c r="S522" s="106" t="str">
        <f>IFERROR(__xludf.DUMMYFUNCTION("""COMPUTED_VALUE"""),"")</f>
        <v/>
      </c>
      <c r="T522" s="139" t="str">
        <f>IFERROR(__xludf.DUMMYFUNCTION("""COMPUTED_VALUE"""),"")</f>
        <v/>
      </c>
      <c r="U522" s="139" t="str">
        <f>IFERROR(__xludf.DUMMYFUNCTION("""COMPUTED_VALUE"""),"")</f>
        <v/>
      </c>
      <c r="V522" s="136" t="str">
        <f>IFERROR(__xludf.DUMMYFUNCTION("""COMPUTED_VALUE"""),"")</f>
        <v/>
      </c>
      <c r="W522" s="106" t="str">
        <f>IFERROR(__xludf.DUMMYFUNCTION("""COMPUTED_VALUE"""),"")</f>
        <v/>
      </c>
      <c r="X522" s="143" t="str">
        <f t="shared" si="2"/>
        <v/>
      </c>
      <c r="Y522" s="139" t="str">
        <f>IFERROR(__xludf.DUMMYFUNCTION("""COMPUTED_VALUE"""),"")</f>
        <v/>
      </c>
      <c r="Z522" s="141" t="str">
        <f>IFERROR(__xludf.DUMMYFUNCTION("""COMPUTED_VALUE"""),"")</f>
        <v/>
      </c>
    </row>
    <row r="523">
      <c r="C523" s="136" t="str">
        <f>IFERROR(__xludf.DUMMYFUNCTION("""COMPUTED_VALUE"""),"")</f>
        <v/>
      </c>
      <c r="D523" s="136" t="str">
        <f t="shared" si="3"/>
        <v/>
      </c>
      <c r="E523" s="152" t="str">
        <f>IFERROR(__xludf.DUMMYFUNCTION("""COMPUTED_VALUE"""),"")</f>
        <v/>
      </c>
      <c r="F523" s="106" t="s">
        <v>133</v>
      </c>
      <c r="G523" s="152" t="str">
        <f>IFERROR(__xludf.DUMMYFUNCTION("""COMPUTED_VALUE"""),"")</f>
        <v/>
      </c>
      <c r="H523" s="106" t="s">
        <v>133</v>
      </c>
      <c r="I523" s="136"/>
      <c r="J523" s="139" t="s">
        <v>133</v>
      </c>
      <c r="K523" s="136" t="s">
        <v>133</v>
      </c>
      <c r="L523" s="153" t="str">
        <f>IFERROR(__xludf.DUMMYFUNCTION("""COMPUTED_VALUE"""),"")</f>
        <v/>
      </c>
      <c r="M523" s="136" t="str">
        <f t="shared" si="1"/>
        <v/>
      </c>
      <c r="N523" s="136" t="str">
        <f>IFERROR(__xludf.DUMMYFUNCTION("""COMPUTED_VALUE"""),"")</f>
        <v/>
      </c>
      <c r="O523" s="141" t="s">
        <v>133</v>
      </c>
      <c r="P523" s="136" t="str">
        <f>IFERROR(__xludf.DUMMYFUNCTION("""COMPUTED_VALUE"""),"")</f>
        <v/>
      </c>
      <c r="Q523" s="136" t="str">
        <f>IFERROR(__xludf.DUMMYFUNCTION("""COMPUTED_VALUE"""),"")</f>
        <v/>
      </c>
      <c r="R523" s="106" t="str">
        <f>IFERROR(__xludf.DUMMYFUNCTION("""COMPUTED_VALUE"""),"")</f>
        <v/>
      </c>
      <c r="S523" s="106" t="str">
        <f>IFERROR(__xludf.DUMMYFUNCTION("""COMPUTED_VALUE"""),"")</f>
        <v/>
      </c>
      <c r="T523" s="139" t="str">
        <f>IFERROR(__xludf.DUMMYFUNCTION("""COMPUTED_VALUE"""),"")</f>
        <v/>
      </c>
      <c r="U523" s="139" t="str">
        <f>IFERROR(__xludf.DUMMYFUNCTION("""COMPUTED_VALUE"""),"")</f>
        <v/>
      </c>
      <c r="V523" s="136" t="str">
        <f>IFERROR(__xludf.DUMMYFUNCTION("""COMPUTED_VALUE"""),"")</f>
        <v/>
      </c>
      <c r="W523" s="106" t="str">
        <f>IFERROR(__xludf.DUMMYFUNCTION("""COMPUTED_VALUE"""),"")</f>
        <v/>
      </c>
      <c r="X523" s="143" t="str">
        <f t="shared" si="2"/>
        <v/>
      </c>
      <c r="Y523" s="139" t="str">
        <f>IFERROR(__xludf.DUMMYFUNCTION("""COMPUTED_VALUE"""),"")</f>
        <v/>
      </c>
      <c r="Z523" s="141" t="str">
        <f>IFERROR(__xludf.DUMMYFUNCTION("""COMPUTED_VALUE"""),"")</f>
        <v/>
      </c>
    </row>
    <row r="524">
      <c r="C524" s="136" t="str">
        <f>IFERROR(__xludf.DUMMYFUNCTION("""COMPUTED_VALUE"""),"")</f>
        <v/>
      </c>
      <c r="D524" s="136" t="str">
        <f t="shared" si="3"/>
        <v/>
      </c>
      <c r="E524" s="152" t="str">
        <f>IFERROR(__xludf.DUMMYFUNCTION("""COMPUTED_VALUE"""),"")</f>
        <v/>
      </c>
      <c r="F524" s="106" t="s">
        <v>133</v>
      </c>
      <c r="G524" s="152" t="str">
        <f>IFERROR(__xludf.DUMMYFUNCTION("""COMPUTED_VALUE"""),"")</f>
        <v/>
      </c>
      <c r="H524" s="106" t="s">
        <v>133</v>
      </c>
      <c r="I524" s="136"/>
      <c r="J524" s="139" t="s">
        <v>133</v>
      </c>
      <c r="K524" s="136" t="s">
        <v>133</v>
      </c>
      <c r="L524" s="153" t="str">
        <f>IFERROR(__xludf.DUMMYFUNCTION("""COMPUTED_VALUE"""),"")</f>
        <v/>
      </c>
      <c r="M524" s="136" t="str">
        <f t="shared" si="1"/>
        <v/>
      </c>
      <c r="N524" s="136" t="str">
        <f>IFERROR(__xludf.DUMMYFUNCTION("""COMPUTED_VALUE"""),"")</f>
        <v/>
      </c>
      <c r="O524" s="141" t="s">
        <v>133</v>
      </c>
      <c r="P524" s="136" t="str">
        <f>IFERROR(__xludf.DUMMYFUNCTION("""COMPUTED_VALUE"""),"")</f>
        <v/>
      </c>
      <c r="Q524" s="136" t="str">
        <f>IFERROR(__xludf.DUMMYFUNCTION("""COMPUTED_VALUE"""),"")</f>
        <v/>
      </c>
      <c r="R524" s="106" t="str">
        <f>IFERROR(__xludf.DUMMYFUNCTION("""COMPUTED_VALUE"""),"")</f>
        <v/>
      </c>
      <c r="S524" s="106" t="str">
        <f>IFERROR(__xludf.DUMMYFUNCTION("""COMPUTED_VALUE"""),"")</f>
        <v/>
      </c>
      <c r="T524" s="139" t="str">
        <f>IFERROR(__xludf.DUMMYFUNCTION("""COMPUTED_VALUE"""),"")</f>
        <v/>
      </c>
      <c r="U524" s="139" t="str">
        <f>IFERROR(__xludf.DUMMYFUNCTION("""COMPUTED_VALUE"""),"")</f>
        <v/>
      </c>
      <c r="V524" s="136" t="str">
        <f>IFERROR(__xludf.DUMMYFUNCTION("""COMPUTED_VALUE"""),"")</f>
        <v/>
      </c>
      <c r="W524" s="106" t="str">
        <f>IFERROR(__xludf.DUMMYFUNCTION("""COMPUTED_VALUE"""),"")</f>
        <v/>
      </c>
      <c r="X524" s="143" t="str">
        <f t="shared" si="2"/>
        <v/>
      </c>
      <c r="Y524" s="139" t="str">
        <f>IFERROR(__xludf.DUMMYFUNCTION("""COMPUTED_VALUE"""),"")</f>
        <v/>
      </c>
      <c r="Z524" s="141" t="str">
        <f>IFERROR(__xludf.DUMMYFUNCTION("""COMPUTED_VALUE"""),"")</f>
        <v/>
      </c>
    </row>
    <row r="525">
      <c r="C525" s="136" t="str">
        <f>IFERROR(__xludf.DUMMYFUNCTION("""COMPUTED_VALUE"""),"")</f>
        <v/>
      </c>
      <c r="D525" s="136" t="str">
        <f t="shared" si="3"/>
        <v/>
      </c>
      <c r="E525" s="152" t="str">
        <f>IFERROR(__xludf.DUMMYFUNCTION("""COMPUTED_VALUE"""),"")</f>
        <v/>
      </c>
      <c r="F525" s="106" t="s">
        <v>133</v>
      </c>
      <c r="G525" s="152" t="str">
        <f>IFERROR(__xludf.DUMMYFUNCTION("""COMPUTED_VALUE"""),"")</f>
        <v/>
      </c>
      <c r="H525" s="106" t="s">
        <v>133</v>
      </c>
      <c r="I525" s="136"/>
      <c r="J525" s="139" t="s">
        <v>133</v>
      </c>
      <c r="K525" s="136" t="s">
        <v>133</v>
      </c>
      <c r="L525" s="153" t="str">
        <f>IFERROR(__xludf.DUMMYFUNCTION("""COMPUTED_VALUE"""),"")</f>
        <v/>
      </c>
      <c r="M525" s="136" t="str">
        <f t="shared" si="1"/>
        <v/>
      </c>
      <c r="N525" s="136" t="str">
        <f>IFERROR(__xludf.DUMMYFUNCTION("""COMPUTED_VALUE"""),"")</f>
        <v/>
      </c>
      <c r="O525" s="141" t="s">
        <v>133</v>
      </c>
      <c r="P525" s="136" t="str">
        <f>IFERROR(__xludf.DUMMYFUNCTION("""COMPUTED_VALUE"""),"")</f>
        <v/>
      </c>
      <c r="Q525" s="136" t="str">
        <f>IFERROR(__xludf.DUMMYFUNCTION("""COMPUTED_VALUE"""),"")</f>
        <v/>
      </c>
      <c r="R525" s="106" t="str">
        <f>IFERROR(__xludf.DUMMYFUNCTION("""COMPUTED_VALUE"""),"")</f>
        <v/>
      </c>
      <c r="S525" s="106" t="str">
        <f>IFERROR(__xludf.DUMMYFUNCTION("""COMPUTED_VALUE"""),"")</f>
        <v/>
      </c>
      <c r="T525" s="139" t="str">
        <f>IFERROR(__xludf.DUMMYFUNCTION("""COMPUTED_VALUE"""),"")</f>
        <v/>
      </c>
      <c r="U525" s="139" t="str">
        <f>IFERROR(__xludf.DUMMYFUNCTION("""COMPUTED_VALUE"""),"")</f>
        <v/>
      </c>
      <c r="V525" s="136" t="str">
        <f>IFERROR(__xludf.DUMMYFUNCTION("""COMPUTED_VALUE"""),"")</f>
        <v/>
      </c>
      <c r="W525" s="106" t="str">
        <f>IFERROR(__xludf.DUMMYFUNCTION("""COMPUTED_VALUE"""),"")</f>
        <v/>
      </c>
      <c r="X525" s="143" t="str">
        <f t="shared" si="2"/>
        <v/>
      </c>
      <c r="Y525" s="139" t="str">
        <f>IFERROR(__xludf.DUMMYFUNCTION("""COMPUTED_VALUE"""),"")</f>
        <v/>
      </c>
      <c r="Z525" s="141" t="str">
        <f>IFERROR(__xludf.DUMMYFUNCTION("""COMPUTED_VALUE"""),"")</f>
        <v/>
      </c>
    </row>
    <row r="526">
      <c r="C526" s="136" t="str">
        <f>IFERROR(__xludf.DUMMYFUNCTION("""COMPUTED_VALUE"""),"")</f>
        <v/>
      </c>
      <c r="D526" s="136" t="str">
        <f t="shared" si="3"/>
        <v/>
      </c>
      <c r="E526" s="152" t="str">
        <f>IFERROR(__xludf.DUMMYFUNCTION("""COMPUTED_VALUE"""),"")</f>
        <v/>
      </c>
      <c r="F526" s="106" t="s">
        <v>133</v>
      </c>
      <c r="G526" s="152" t="str">
        <f>IFERROR(__xludf.DUMMYFUNCTION("""COMPUTED_VALUE"""),"")</f>
        <v/>
      </c>
      <c r="H526" s="106" t="s">
        <v>133</v>
      </c>
      <c r="I526" s="136"/>
      <c r="J526" s="139" t="s">
        <v>133</v>
      </c>
      <c r="K526" s="136" t="s">
        <v>133</v>
      </c>
      <c r="L526" s="153" t="str">
        <f>IFERROR(__xludf.DUMMYFUNCTION("""COMPUTED_VALUE"""),"")</f>
        <v/>
      </c>
      <c r="M526" s="136" t="str">
        <f t="shared" si="1"/>
        <v/>
      </c>
      <c r="N526" s="136" t="str">
        <f>IFERROR(__xludf.DUMMYFUNCTION("""COMPUTED_VALUE"""),"")</f>
        <v/>
      </c>
      <c r="O526" s="141" t="s">
        <v>133</v>
      </c>
      <c r="P526" s="136" t="str">
        <f>IFERROR(__xludf.DUMMYFUNCTION("""COMPUTED_VALUE"""),"")</f>
        <v/>
      </c>
      <c r="Q526" s="136" t="str">
        <f>IFERROR(__xludf.DUMMYFUNCTION("""COMPUTED_VALUE"""),"")</f>
        <v/>
      </c>
      <c r="R526" s="106" t="str">
        <f>IFERROR(__xludf.DUMMYFUNCTION("""COMPUTED_VALUE"""),"")</f>
        <v/>
      </c>
      <c r="S526" s="106" t="str">
        <f>IFERROR(__xludf.DUMMYFUNCTION("""COMPUTED_VALUE"""),"")</f>
        <v/>
      </c>
      <c r="T526" s="139" t="str">
        <f>IFERROR(__xludf.DUMMYFUNCTION("""COMPUTED_VALUE"""),"")</f>
        <v/>
      </c>
      <c r="U526" s="139" t="str">
        <f>IFERROR(__xludf.DUMMYFUNCTION("""COMPUTED_VALUE"""),"")</f>
        <v/>
      </c>
      <c r="V526" s="136" t="str">
        <f>IFERROR(__xludf.DUMMYFUNCTION("""COMPUTED_VALUE"""),"")</f>
        <v/>
      </c>
      <c r="W526" s="106" t="str">
        <f>IFERROR(__xludf.DUMMYFUNCTION("""COMPUTED_VALUE"""),"")</f>
        <v/>
      </c>
      <c r="X526" s="143" t="str">
        <f t="shared" si="2"/>
        <v/>
      </c>
      <c r="Y526" s="139" t="str">
        <f>IFERROR(__xludf.DUMMYFUNCTION("""COMPUTED_VALUE"""),"")</f>
        <v/>
      </c>
      <c r="Z526" s="141" t="str">
        <f>IFERROR(__xludf.DUMMYFUNCTION("""COMPUTED_VALUE"""),"")</f>
        <v/>
      </c>
    </row>
    <row r="527">
      <c r="C527" s="136" t="str">
        <f>IFERROR(__xludf.DUMMYFUNCTION("""COMPUTED_VALUE"""),"")</f>
        <v/>
      </c>
      <c r="D527" s="136" t="str">
        <f t="shared" si="3"/>
        <v/>
      </c>
      <c r="E527" s="152" t="str">
        <f>IFERROR(__xludf.DUMMYFUNCTION("""COMPUTED_VALUE"""),"")</f>
        <v/>
      </c>
      <c r="F527" s="106" t="s">
        <v>133</v>
      </c>
      <c r="G527" s="152" t="str">
        <f>IFERROR(__xludf.DUMMYFUNCTION("""COMPUTED_VALUE"""),"")</f>
        <v/>
      </c>
      <c r="H527" s="106" t="s">
        <v>133</v>
      </c>
      <c r="I527" s="136"/>
      <c r="J527" s="139" t="s">
        <v>133</v>
      </c>
      <c r="K527" s="136" t="s">
        <v>133</v>
      </c>
      <c r="L527" s="153" t="str">
        <f>IFERROR(__xludf.DUMMYFUNCTION("""COMPUTED_VALUE"""),"")</f>
        <v/>
      </c>
      <c r="M527" s="136" t="str">
        <f t="shared" si="1"/>
        <v/>
      </c>
      <c r="N527" s="136" t="str">
        <f>IFERROR(__xludf.DUMMYFUNCTION("""COMPUTED_VALUE"""),"")</f>
        <v/>
      </c>
      <c r="O527" s="141" t="s">
        <v>133</v>
      </c>
      <c r="P527" s="136" t="str">
        <f>IFERROR(__xludf.DUMMYFUNCTION("""COMPUTED_VALUE"""),"")</f>
        <v/>
      </c>
      <c r="Q527" s="136" t="str">
        <f>IFERROR(__xludf.DUMMYFUNCTION("""COMPUTED_VALUE"""),"")</f>
        <v/>
      </c>
      <c r="R527" s="106" t="str">
        <f>IFERROR(__xludf.DUMMYFUNCTION("""COMPUTED_VALUE"""),"")</f>
        <v/>
      </c>
      <c r="S527" s="106" t="str">
        <f>IFERROR(__xludf.DUMMYFUNCTION("""COMPUTED_VALUE"""),"")</f>
        <v/>
      </c>
      <c r="T527" s="139" t="str">
        <f>IFERROR(__xludf.DUMMYFUNCTION("""COMPUTED_VALUE"""),"")</f>
        <v/>
      </c>
      <c r="U527" s="139" t="str">
        <f>IFERROR(__xludf.DUMMYFUNCTION("""COMPUTED_VALUE"""),"")</f>
        <v/>
      </c>
      <c r="V527" s="136" t="str">
        <f>IFERROR(__xludf.DUMMYFUNCTION("""COMPUTED_VALUE"""),"")</f>
        <v/>
      </c>
      <c r="W527" s="106" t="str">
        <f>IFERROR(__xludf.DUMMYFUNCTION("""COMPUTED_VALUE"""),"")</f>
        <v/>
      </c>
      <c r="X527" s="143" t="str">
        <f t="shared" si="2"/>
        <v/>
      </c>
      <c r="Y527" s="139" t="str">
        <f>IFERROR(__xludf.DUMMYFUNCTION("""COMPUTED_VALUE"""),"")</f>
        <v/>
      </c>
      <c r="Z527" s="141" t="str">
        <f>IFERROR(__xludf.DUMMYFUNCTION("""COMPUTED_VALUE"""),"")</f>
        <v/>
      </c>
    </row>
    <row r="528">
      <c r="C528" s="136" t="str">
        <f>IFERROR(__xludf.DUMMYFUNCTION("""COMPUTED_VALUE"""),"")</f>
        <v/>
      </c>
      <c r="D528" s="136" t="str">
        <f t="shared" si="3"/>
        <v/>
      </c>
      <c r="E528" s="152" t="str">
        <f>IFERROR(__xludf.DUMMYFUNCTION("""COMPUTED_VALUE"""),"")</f>
        <v/>
      </c>
      <c r="F528" s="106" t="s">
        <v>133</v>
      </c>
      <c r="G528" s="152" t="str">
        <f>IFERROR(__xludf.DUMMYFUNCTION("""COMPUTED_VALUE"""),"")</f>
        <v/>
      </c>
      <c r="H528" s="106" t="s">
        <v>133</v>
      </c>
      <c r="I528" s="136"/>
      <c r="J528" s="139" t="s">
        <v>133</v>
      </c>
      <c r="K528" s="136" t="s">
        <v>133</v>
      </c>
      <c r="L528" s="153" t="str">
        <f>IFERROR(__xludf.DUMMYFUNCTION("""COMPUTED_VALUE"""),"")</f>
        <v/>
      </c>
      <c r="M528" s="136" t="str">
        <f t="shared" si="1"/>
        <v/>
      </c>
      <c r="N528" s="136" t="str">
        <f>IFERROR(__xludf.DUMMYFUNCTION("""COMPUTED_VALUE"""),"")</f>
        <v/>
      </c>
      <c r="O528" s="141" t="s">
        <v>133</v>
      </c>
      <c r="P528" s="136" t="str">
        <f>IFERROR(__xludf.DUMMYFUNCTION("""COMPUTED_VALUE"""),"")</f>
        <v/>
      </c>
      <c r="Q528" s="136" t="str">
        <f>IFERROR(__xludf.DUMMYFUNCTION("""COMPUTED_VALUE"""),"")</f>
        <v/>
      </c>
      <c r="R528" s="106" t="str">
        <f>IFERROR(__xludf.DUMMYFUNCTION("""COMPUTED_VALUE"""),"")</f>
        <v/>
      </c>
      <c r="S528" s="106" t="str">
        <f>IFERROR(__xludf.DUMMYFUNCTION("""COMPUTED_VALUE"""),"")</f>
        <v/>
      </c>
      <c r="T528" s="139" t="str">
        <f>IFERROR(__xludf.DUMMYFUNCTION("""COMPUTED_VALUE"""),"")</f>
        <v/>
      </c>
      <c r="U528" s="139" t="str">
        <f>IFERROR(__xludf.DUMMYFUNCTION("""COMPUTED_VALUE"""),"")</f>
        <v/>
      </c>
      <c r="V528" s="136" t="str">
        <f>IFERROR(__xludf.DUMMYFUNCTION("""COMPUTED_VALUE"""),"")</f>
        <v/>
      </c>
      <c r="W528" s="106" t="str">
        <f>IFERROR(__xludf.DUMMYFUNCTION("""COMPUTED_VALUE"""),"")</f>
        <v/>
      </c>
      <c r="X528" s="143" t="str">
        <f t="shared" si="2"/>
        <v/>
      </c>
      <c r="Y528" s="139" t="str">
        <f>IFERROR(__xludf.DUMMYFUNCTION("""COMPUTED_VALUE"""),"")</f>
        <v/>
      </c>
      <c r="Z528" s="141" t="str">
        <f>IFERROR(__xludf.DUMMYFUNCTION("""COMPUTED_VALUE"""),"")</f>
        <v/>
      </c>
    </row>
    <row r="529">
      <c r="C529" s="136" t="str">
        <f>IFERROR(__xludf.DUMMYFUNCTION("""COMPUTED_VALUE"""),"")</f>
        <v/>
      </c>
      <c r="D529" s="136" t="str">
        <f t="shared" si="3"/>
        <v/>
      </c>
      <c r="E529" s="152" t="str">
        <f>IFERROR(__xludf.DUMMYFUNCTION("""COMPUTED_VALUE"""),"")</f>
        <v/>
      </c>
      <c r="F529" s="106" t="s">
        <v>133</v>
      </c>
      <c r="G529" s="152" t="str">
        <f>IFERROR(__xludf.DUMMYFUNCTION("""COMPUTED_VALUE"""),"")</f>
        <v/>
      </c>
      <c r="H529" s="106" t="s">
        <v>133</v>
      </c>
      <c r="I529" s="136"/>
      <c r="J529" s="139" t="s">
        <v>133</v>
      </c>
      <c r="K529" s="136" t="s">
        <v>133</v>
      </c>
      <c r="L529" s="153" t="str">
        <f>IFERROR(__xludf.DUMMYFUNCTION("""COMPUTED_VALUE"""),"")</f>
        <v/>
      </c>
      <c r="M529" s="136" t="str">
        <f t="shared" si="1"/>
        <v/>
      </c>
      <c r="N529" s="136" t="str">
        <f>IFERROR(__xludf.DUMMYFUNCTION("""COMPUTED_VALUE"""),"")</f>
        <v/>
      </c>
      <c r="O529" s="141" t="s">
        <v>133</v>
      </c>
      <c r="P529" s="136" t="str">
        <f>IFERROR(__xludf.DUMMYFUNCTION("""COMPUTED_VALUE"""),"")</f>
        <v/>
      </c>
      <c r="Q529" s="136" t="str">
        <f>IFERROR(__xludf.DUMMYFUNCTION("""COMPUTED_VALUE"""),"")</f>
        <v/>
      </c>
      <c r="R529" s="106" t="str">
        <f>IFERROR(__xludf.DUMMYFUNCTION("""COMPUTED_VALUE"""),"")</f>
        <v/>
      </c>
      <c r="S529" s="106" t="str">
        <f>IFERROR(__xludf.DUMMYFUNCTION("""COMPUTED_VALUE"""),"")</f>
        <v/>
      </c>
      <c r="T529" s="139" t="str">
        <f>IFERROR(__xludf.DUMMYFUNCTION("""COMPUTED_VALUE"""),"")</f>
        <v/>
      </c>
      <c r="U529" s="139" t="str">
        <f>IFERROR(__xludf.DUMMYFUNCTION("""COMPUTED_VALUE"""),"")</f>
        <v/>
      </c>
      <c r="V529" s="136" t="str">
        <f>IFERROR(__xludf.DUMMYFUNCTION("""COMPUTED_VALUE"""),"")</f>
        <v/>
      </c>
      <c r="W529" s="106" t="str">
        <f>IFERROR(__xludf.DUMMYFUNCTION("""COMPUTED_VALUE"""),"")</f>
        <v/>
      </c>
      <c r="X529" s="143" t="str">
        <f t="shared" si="2"/>
        <v/>
      </c>
      <c r="Y529" s="139" t="str">
        <f>IFERROR(__xludf.DUMMYFUNCTION("""COMPUTED_VALUE"""),"")</f>
        <v/>
      </c>
      <c r="Z529" s="141" t="str">
        <f>IFERROR(__xludf.DUMMYFUNCTION("""COMPUTED_VALUE"""),"")</f>
        <v/>
      </c>
    </row>
    <row r="530">
      <c r="C530" s="136" t="str">
        <f>IFERROR(__xludf.DUMMYFUNCTION("""COMPUTED_VALUE"""),"")</f>
        <v/>
      </c>
      <c r="D530" s="136" t="str">
        <f t="shared" si="3"/>
        <v/>
      </c>
      <c r="E530" s="152" t="str">
        <f>IFERROR(__xludf.DUMMYFUNCTION("""COMPUTED_VALUE"""),"")</f>
        <v/>
      </c>
      <c r="F530" s="106" t="s">
        <v>133</v>
      </c>
      <c r="G530" s="152" t="str">
        <f>IFERROR(__xludf.DUMMYFUNCTION("""COMPUTED_VALUE"""),"")</f>
        <v/>
      </c>
      <c r="H530" s="106" t="s">
        <v>133</v>
      </c>
      <c r="I530" s="136"/>
      <c r="J530" s="139" t="s">
        <v>133</v>
      </c>
      <c r="K530" s="136" t="s">
        <v>133</v>
      </c>
      <c r="L530" s="153" t="str">
        <f>IFERROR(__xludf.DUMMYFUNCTION("""COMPUTED_VALUE"""),"")</f>
        <v/>
      </c>
      <c r="M530" s="136" t="str">
        <f t="shared" si="1"/>
        <v/>
      </c>
      <c r="N530" s="136" t="str">
        <f>IFERROR(__xludf.DUMMYFUNCTION("""COMPUTED_VALUE"""),"")</f>
        <v/>
      </c>
      <c r="O530" s="141" t="s">
        <v>133</v>
      </c>
      <c r="P530" s="136" t="str">
        <f>IFERROR(__xludf.DUMMYFUNCTION("""COMPUTED_VALUE"""),"")</f>
        <v/>
      </c>
      <c r="Q530" s="136" t="str">
        <f>IFERROR(__xludf.DUMMYFUNCTION("""COMPUTED_VALUE"""),"")</f>
        <v/>
      </c>
      <c r="R530" s="106" t="str">
        <f>IFERROR(__xludf.DUMMYFUNCTION("""COMPUTED_VALUE"""),"")</f>
        <v/>
      </c>
      <c r="S530" s="106" t="str">
        <f>IFERROR(__xludf.DUMMYFUNCTION("""COMPUTED_VALUE"""),"")</f>
        <v/>
      </c>
      <c r="T530" s="139" t="str">
        <f>IFERROR(__xludf.DUMMYFUNCTION("""COMPUTED_VALUE"""),"")</f>
        <v/>
      </c>
      <c r="U530" s="139" t="str">
        <f>IFERROR(__xludf.DUMMYFUNCTION("""COMPUTED_VALUE"""),"")</f>
        <v/>
      </c>
      <c r="V530" s="136" t="str">
        <f>IFERROR(__xludf.DUMMYFUNCTION("""COMPUTED_VALUE"""),"")</f>
        <v/>
      </c>
      <c r="W530" s="106" t="str">
        <f>IFERROR(__xludf.DUMMYFUNCTION("""COMPUTED_VALUE"""),"")</f>
        <v/>
      </c>
      <c r="X530" s="143" t="str">
        <f t="shared" si="2"/>
        <v/>
      </c>
      <c r="Y530" s="139" t="str">
        <f>IFERROR(__xludf.DUMMYFUNCTION("""COMPUTED_VALUE"""),"")</f>
        <v/>
      </c>
      <c r="Z530" s="141" t="str">
        <f>IFERROR(__xludf.DUMMYFUNCTION("""COMPUTED_VALUE"""),"")</f>
        <v/>
      </c>
    </row>
    <row r="531">
      <c r="C531" s="136" t="str">
        <f>IFERROR(__xludf.DUMMYFUNCTION("""COMPUTED_VALUE"""),"")</f>
        <v/>
      </c>
      <c r="D531" s="136" t="str">
        <f t="shared" si="3"/>
        <v/>
      </c>
      <c r="E531" s="152" t="str">
        <f>IFERROR(__xludf.DUMMYFUNCTION("""COMPUTED_VALUE"""),"")</f>
        <v/>
      </c>
      <c r="F531" s="106" t="s">
        <v>133</v>
      </c>
      <c r="G531" s="152" t="str">
        <f>IFERROR(__xludf.DUMMYFUNCTION("""COMPUTED_VALUE"""),"")</f>
        <v/>
      </c>
      <c r="H531" s="106" t="s">
        <v>133</v>
      </c>
      <c r="I531" s="136"/>
      <c r="J531" s="139" t="s">
        <v>133</v>
      </c>
      <c r="K531" s="136" t="s">
        <v>133</v>
      </c>
      <c r="L531" s="153" t="str">
        <f>IFERROR(__xludf.DUMMYFUNCTION("""COMPUTED_VALUE"""),"")</f>
        <v/>
      </c>
      <c r="M531" s="136" t="str">
        <f t="shared" si="1"/>
        <v/>
      </c>
      <c r="N531" s="136" t="str">
        <f>IFERROR(__xludf.DUMMYFUNCTION("""COMPUTED_VALUE"""),"")</f>
        <v/>
      </c>
      <c r="O531" s="141" t="s">
        <v>133</v>
      </c>
      <c r="P531" s="136" t="str">
        <f>IFERROR(__xludf.DUMMYFUNCTION("""COMPUTED_VALUE"""),"")</f>
        <v/>
      </c>
      <c r="Q531" s="136" t="str">
        <f>IFERROR(__xludf.DUMMYFUNCTION("""COMPUTED_VALUE"""),"")</f>
        <v/>
      </c>
      <c r="R531" s="106" t="str">
        <f>IFERROR(__xludf.DUMMYFUNCTION("""COMPUTED_VALUE"""),"")</f>
        <v/>
      </c>
      <c r="S531" s="106" t="str">
        <f>IFERROR(__xludf.DUMMYFUNCTION("""COMPUTED_VALUE"""),"")</f>
        <v/>
      </c>
      <c r="T531" s="139" t="str">
        <f>IFERROR(__xludf.DUMMYFUNCTION("""COMPUTED_VALUE"""),"")</f>
        <v/>
      </c>
      <c r="U531" s="139" t="str">
        <f>IFERROR(__xludf.DUMMYFUNCTION("""COMPUTED_VALUE"""),"")</f>
        <v/>
      </c>
      <c r="V531" s="136" t="str">
        <f>IFERROR(__xludf.DUMMYFUNCTION("""COMPUTED_VALUE"""),"")</f>
        <v/>
      </c>
      <c r="W531" s="106" t="str">
        <f>IFERROR(__xludf.DUMMYFUNCTION("""COMPUTED_VALUE"""),"")</f>
        <v/>
      </c>
      <c r="X531" s="143" t="str">
        <f t="shared" si="2"/>
        <v/>
      </c>
      <c r="Y531" s="139" t="str">
        <f>IFERROR(__xludf.DUMMYFUNCTION("""COMPUTED_VALUE"""),"")</f>
        <v/>
      </c>
      <c r="Z531" s="141" t="str">
        <f>IFERROR(__xludf.DUMMYFUNCTION("""COMPUTED_VALUE"""),"")</f>
        <v/>
      </c>
    </row>
    <row r="532">
      <c r="C532" s="136" t="str">
        <f>IFERROR(__xludf.DUMMYFUNCTION("""COMPUTED_VALUE"""),"")</f>
        <v/>
      </c>
      <c r="D532" s="136" t="str">
        <f t="shared" si="3"/>
        <v/>
      </c>
      <c r="E532" s="152" t="str">
        <f>IFERROR(__xludf.DUMMYFUNCTION("""COMPUTED_VALUE"""),"")</f>
        <v/>
      </c>
      <c r="F532" s="106" t="s">
        <v>133</v>
      </c>
      <c r="G532" s="152" t="str">
        <f>IFERROR(__xludf.DUMMYFUNCTION("""COMPUTED_VALUE"""),"")</f>
        <v/>
      </c>
      <c r="H532" s="106" t="s">
        <v>133</v>
      </c>
      <c r="I532" s="136"/>
      <c r="J532" s="139" t="s">
        <v>133</v>
      </c>
      <c r="K532" s="136" t="s">
        <v>133</v>
      </c>
      <c r="L532" s="153" t="str">
        <f>IFERROR(__xludf.DUMMYFUNCTION("""COMPUTED_VALUE"""),"")</f>
        <v/>
      </c>
      <c r="M532" s="136" t="str">
        <f t="shared" si="1"/>
        <v/>
      </c>
      <c r="N532" s="136" t="str">
        <f>IFERROR(__xludf.DUMMYFUNCTION("""COMPUTED_VALUE"""),"")</f>
        <v/>
      </c>
      <c r="O532" s="141" t="s">
        <v>133</v>
      </c>
      <c r="P532" s="136" t="str">
        <f>IFERROR(__xludf.DUMMYFUNCTION("""COMPUTED_VALUE"""),"")</f>
        <v/>
      </c>
      <c r="Q532" s="136" t="str">
        <f>IFERROR(__xludf.DUMMYFUNCTION("""COMPUTED_VALUE"""),"")</f>
        <v/>
      </c>
      <c r="R532" s="106" t="str">
        <f>IFERROR(__xludf.DUMMYFUNCTION("""COMPUTED_VALUE"""),"")</f>
        <v/>
      </c>
      <c r="S532" s="106" t="str">
        <f>IFERROR(__xludf.DUMMYFUNCTION("""COMPUTED_VALUE"""),"")</f>
        <v/>
      </c>
      <c r="T532" s="139" t="str">
        <f>IFERROR(__xludf.DUMMYFUNCTION("""COMPUTED_VALUE"""),"")</f>
        <v/>
      </c>
      <c r="U532" s="139" t="str">
        <f>IFERROR(__xludf.DUMMYFUNCTION("""COMPUTED_VALUE"""),"")</f>
        <v/>
      </c>
      <c r="V532" s="136" t="str">
        <f>IFERROR(__xludf.DUMMYFUNCTION("""COMPUTED_VALUE"""),"")</f>
        <v/>
      </c>
      <c r="W532" s="106" t="str">
        <f>IFERROR(__xludf.DUMMYFUNCTION("""COMPUTED_VALUE"""),"")</f>
        <v/>
      </c>
      <c r="X532" s="143" t="str">
        <f t="shared" si="2"/>
        <v/>
      </c>
      <c r="Y532" s="139" t="str">
        <f>IFERROR(__xludf.DUMMYFUNCTION("""COMPUTED_VALUE"""),"")</f>
        <v/>
      </c>
      <c r="Z532" s="141" t="str">
        <f>IFERROR(__xludf.DUMMYFUNCTION("""COMPUTED_VALUE"""),"")</f>
        <v/>
      </c>
    </row>
    <row r="533">
      <c r="C533" s="136" t="str">
        <f>IFERROR(__xludf.DUMMYFUNCTION("""COMPUTED_VALUE"""),"")</f>
        <v/>
      </c>
      <c r="D533" s="136" t="str">
        <f t="shared" si="3"/>
        <v/>
      </c>
      <c r="E533" s="152" t="str">
        <f>IFERROR(__xludf.DUMMYFUNCTION("""COMPUTED_VALUE"""),"")</f>
        <v/>
      </c>
      <c r="F533" s="106" t="s">
        <v>133</v>
      </c>
      <c r="G533" s="152" t="str">
        <f>IFERROR(__xludf.DUMMYFUNCTION("""COMPUTED_VALUE"""),"")</f>
        <v/>
      </c>
      <c r="H533" s="106" t="s">
        <v>133</v>
      </c>
      <c r="I533" s="136"/>
      <c r="J533" s="139" t="s">
        <v>133</v>
      </c>
      <c r="K533" s="136" t="s">
        <v>133</v>
      </c>
      <c r="L533" s="153" t="str">
        <f>IFERROR(__xludf.DUMMYFUNCTION("""COMPUTED_VALUE"""),"")</f>
        <v/>
      </c>
      <c r="M533" s="136" t="str">
        <f t="shared" si="1"/>
        <v/>
      </c>
      <c r="N533" s="136" t="str">
        <f>IFERROR(__xludf.DUMMYFUNCTION("""COMPUTED_VALUE"""),"")</f>
        <v/>
      </c>
      <c r="O533" s="141" t="s">
        <v>133</v>
      </c>
      <c r="P533" s="136" t="str">
        <f>IFERROR(__xludf.DUMMYFUNCTION("""COMPUTED_VALUE"""),"")</f>
        <v/>
      </c>
      <c r="Q533" s="136" t="str">
        <f>IFERROR(__xludf.DUMMYFUNCTION("""COMPUTED_VALUE"""),"")</f>
        <v/>
      </c>
      <c r="R533" s="106" t="str">
        <f>IFERROR(__xludf.DUMMYFUNCTION("""COMPUTED_VALUE"""),"")</f>
        <v/>
      </c>
      <c r="S533" s="106" t="str">
        <f>IFERROR(__xludf.DUMMYFUNCTION("""COMPUTED_VALUE"""),"")</f>
        <v/>
      </c>
      <c r="T533" s="139" t="str">
        <f>IFERROR(__xludf.DUMMYFUNCTION("""COMPUTED_VALUE"""),"")</f>
        <v/>
      </c>
      <c r="U533" s="139" t="str">
        <f>IFERROR(__xludf.DUMMYFUNCTION("""COMPUTED_VALUE"""),"")</f>
        <v/>
      </c>
      <c r="V533" s="136" t="str">
        <f>IFERROR(__xludf.DUMMYFUNCTION("""COMPUTED_VALUE"""),"")</f>
        <v/>
      </c>
      <c r="W533" s="106" t="str">
        <f>IFERROR(__xludf.DUMMYFUNCTION("""COMPUTED_VALUE"""),"")</f>
        <v/>
      </c>
      <c r="X533" s="143" t="str">
        <f t="shared" si="2"/>
        <v/>
      </c>
      <c r="Y533" s="139" t="str">
        <f>IFERROR(__xludf.DUMMYFUNCTION("""COMPUTED_VALUE"""),"")</f>
        <v/>
      </c>
      <c r="Z533" s="141" t="str">
        <f>IFERROR(__xludf.DUMMYFUNCTION("""COMPUTED_VALUE"""),"")</f>
        <v/>
      </c>
    </row>
    <row r="534">
      <c r="C534" s="136" t="str">
        <f>IFERROR(__xludf.DUMMYFUNCTION("""COMPUTED_VALUE"""),"")</f>
        <v/>
      </c>
      <c r="D534" s="136" t="str">
        <f t="shared" si="3"/>
        <v/>
      </c>
      <c r="E534" s="152" t="str">
        <f>IFERROR(__xludf.DUMMYFUNCTION("""COMPUTED_VALUE"""),"")</f>
        <v/>
      </c>
      <c r="F534" s="106" t="s">
        <v>133</v>
      </c>
      <c r="G534" s="152" t="str">
        <f>IFERROR(__xludf.DUMMYFUNCTION("""COMPUTED_VALUE"""),"")</f>
        <v/>
      </c>
      <c r="H534" s="106" t="s">
        <v>133</v>
      </c>
      <c r="I534" s="136"/>
      <c r="J534" s="139" t="s">
        <v>133</v>
      </c>
      <c r="K534" s="136" t="s">
        <v>133</v>
      </c>
      <c r="L534" s="153" t="str">
        <f>IFERROR(__xludf.DUMMYFUNCTION("""COMPUTED_VALUE"""),"")</f>
        <v/>
      </c>
      <c r="M534" s="136" t="str">
        <f t="shared" si="1"/>
        <v/>
      </c>
      <c r="N534" s="136" t="str">
        <f>IFERROR(__xludf.DUMMYFUNCTION("""COMPUTED_VALUE"""),"")</f>
        <v/>
      </c>
      <c r="O534" s="141" t="s">
        <v>133</v>
      </c>
      <c r="P534" s="136" t="str">
        <f>IFERROR(__xludf.DUMMYFUNCTION("""COMPUTED_VALUE"""),"")</f>
        <v/>
      </c>
      <c r="Q534" s="136" t="str">
        <f>IFERROR(__xludf.DUMMYFUNCTION("""COMPUTED_VALUE"""),"")</f>
        <v/>
      </c>
      <c r="R534" s="106" t="str">
        <f>IFERROR(__xludf.DUMMYFUNCTION("""COMPUTED_VALUE"""),"")</f>
        <v/>
      </c>
      <c r="S534" s="106" t="str">
        <f>IFERROR(__xludf.DUMMYFUNCTION("""COMPUTED_VALUE"""),"")</f>
        <v/>
      </c>
      <c r="T534" s="139" t="str">
        <f>IFERROR(__xludf.DUMMYFUNCTION("""COMPUTED_VALUE"""),"")</f>
        <v/>
      </c>
      <c r="U534" s="139" t="str">
        <f>IFERROR(__xludf.DUMMYFUNCTION("""COMPUTED_VALUE"""),"")</f>
        <v/>
      </c>
      <c r="V534" s="136" t="str">
        <f>IFERROR(__xludf.DUMMYFUNCTION("""COMPUTED_VALUE"""),"")</f>
        <v/>
      </c>
      <c r="W534" s="106" t="str">
        <f>IFERROR(__xludf.DUMMYFUNCTION("""COMPUTED_VALUE"""),"")</f>
        <v/>
      </c>
      <c r="X534" s="143" t="str">
        <f t="shared" si="2"/>
        <v/>
      </c>
      <c r="Y534" s="139" t="str">
        <f>IFERROR(__xludf.DUMMYFUNCTION("""COMPUTED_VALUE"""),"")</f>
        <v/>
      </c>
      <c r="Z534" s="141" t="str">
        <f>IFERROR(__xludf.DUMMYFUNCTION("""COMPUTED_VALUE"""),"")</f>
        <v/>
      </c>
    </row>
    <row r="535">
      <c r="C535" s="136" t="str">
        <f>IFERROR(__xludf.DUMMYFUNCTION("""COMPUTED_VALUE"""),"")</f>
        <v/>
      </c>
      <c r="D535" s="136" t="str">
        <f t="shared" si="3"/>
        <v/>
      </c>
      <c r="E535" s="152" t="str">
        <f>IFERROR(__xludf.DUMMYFUNCTION("""COMPUTED_VALUE"""),"")</f>
        <v/>
      </c>
      <c r="F535" s="106" t="s">
        <v>133</v>
      </c>
      <c r="G535" s="152" t="str">
        <f>IFERROR(__xludf.DUMMYFUNCTION("""COMPUTED_VALUE"""),"")</f>
        <v/>
      </c>
      <c r="H535" s="106" t="s">
        <v>133</v>
      </c>
      <c r="I535" s="136"/>
      <c r="J535" s="139" t="s">
        <v>133</v>
      </c>
      <c r="K535" s="136" t="s">
        <v>133</v>
      </c>
      <c r="L535" s="153" t="str">
        <f>IFERROR(__xludf.DUMMYFUNCTION("""COMPUTED_VALUE"""),"")</f>
        <v/>
      </c>
      <c r="M535" s="136" t="str">
        <f t="shared" si="1"/>
        <v/>
      </c>
      <c r="N535" s="136" t="str">
        <f>IFERROR(__xludf.DUMMYFUNCTION("""COMPUTED_VALUE"""),"")</f>
        <v/>
      </c>
      <c r="O535" s="141" t="s">
        <v>133</v>
      </c>
      <c r="P535" s="136" t="str">
        <f>IFERROR(__xludf.DUMMYFUNCTION("""COMPUTED_VALUE"""),"")</f>
        <v/>
      </c>
      <c r="Q535" s="136" t="str">
        <f>IFERROR(__xludf.DUMMYFUNCTION("""COMPUTED_VALUE"""),"")</f>
        <v/>
      </c>
      <c r="R535" s="106" t="str">
        <f>IFERROR(__xludf.DUMMYFUNCTION("""COMPUTED_VALUE"""),"")</f>
        <v/>
      </c>
      <c r="S535" s="106" t="str">
        <f>IFERROR(__xludf.DUMMYFUNCTION("""COMPUTED_VALUE"""),"")</f>
        <v/>
      </c>
      <c r="T535" s="139" t="str">
        <f>IFERROR(__xludf.DUMMYFUNCTION("""COMPUTED_VALUE"""),"")</f>
        <v/>
      </c>
      <c r="U535" s="139" t="str">
        <f>IFERROR(__xludf.DUMMYFUNCTION("""COMPUTED_VALUE"""),"")</f>
        <v/>
      </c>
      <c r="V535" s="136" t="str">
        <f>IFERROR(__xludf.DUMMYFUNCTION("""COMPUTED_VALUE"""),"")</f>
        <v/>
      </c>
      <c r="W535" s="106" t="str">
        <f>IFERROR(__xludf.DUMMYFUNCTION("""COMPUTED_VALUE"""),"")</f>
        <v/>
      </c>
      <c r="X535" s="143" t="str">
        <f t="shared" si="2"/>
        <v/>
      </c>
      <c r="Y535" s="139" t="str">
        <f>IFERROR(__xludf.DUMMYFUNCTION("""COMPUTED_VALUE"""),"")</f>
        <v/>
      </c>
      <c r="Z535" s="141" t="str">
        <f>IFERROR(__xludf.DUMMYFUNCTION("""COMPUTED_VALUE"""),"")</f>
        <v/>
      </c>
    </row>
    <row r="536">
      <c r="C536" s="136" t="str">
        <f>IFERROR(__xludf.DUMMYFUNCTION("""COMPUTED_VALUE"""),"")</f>
        <v/>
      </c>
      <c r="D536" s="136" t="str">
        <f t="shared" si="3"/>
        <v/>
      </c>
      <c r="E536" s="152" t="str">
        <f>IFERROR(__xludf.DUMMYFUNCTION("""COMPUTED_VALUE"""),"")</f>
        <v/>
      </c>
      <c r="F536" s="106" t="s">
        <v>133</v>
      </c>
      <c r="G536" s="152" t="str">
        <f>IFERROR(__xludf.DUMMYFUNCTION("""COMPUTED_VALUE"""),"")</f>
        <v/>
      </c>
      <c r="H536" s="106" t="s">
        <v>133</v>
      </c>
      <c r="I536" s="136"/>
      <c r="J536" s="139" t="s">
        <v>133</v>
      </c>
      <c r="K536" s="136" t="s">
        <v>133</v>
      </c>
      <c r="L536" s="153" t="str">
        <f>IFERROR(__xludf.DUMMYFUNCTION("""COMPUTED_VALUE"""),"")</f>
        <v/>
      </c>
      <c r="M536" s="136" t="str">
        <f t="shared" si="1"/>
        <v/>
      </c>
      <c r="N536" s="136" t="str">
        <f>IFERROR(__xludf.DUMMYFUNCTION("""COMPUTED_VALUE"""),"")</f>
        <v/>
      </c>
      <c r="O536" s="141" t="s">
        <v>133</v>
      </c>
      <c r="P536" s="136" t="str">
        <f>IFERROR(__xludf.DUMMYFUNCTION("""COMPUTED_VALUE"""),"")</f>
        <v/>
      </c>
      <c r="Q536" s="136" t="str">
        <f>IFERROR(__xludf.DUMMYFUNCTION("""COMPUTED_VALUE"""),"")</f>
        <v/>
      </c>
      <c r="R536" s="106" t="str">
        <f>IFERROR(__xludf.DUMMYFUNCTION("""COMPUTED_VALUE"""),"")</f>
        <v/>
      </c>
      <c r="S536" s="106" t="str">
        <f>IFERROR(__xludf.DUMMYFUNCTION("""COMPUTED_VALUE"""),"")</f>
        <v/>
      </c>
      <c r="T536" s="139" t="str">
        <f>IFERROR(__xludf.DUMMYFUNCTION("""COMPUTED_VALUE"""),"")</f>
        <v/>
      </c>
      <c r="U536" s="139" t="str">
        <f>IFERROR(__xludf.DUMMYFUNCTION("""COMPUTED_VALUE"""),"")</f>
        <v/>
      </c>
      <c r="V536" s="136" t="str">
        <f>IFERROR(__xludf.DUMMYFUNCTION("""COMPUTED_VALUE"""),"")</f>
        <v/>
      </c>
      <c r="W536" s="106" t="str">
        <f>IFERROR(__xludf.DUMMYFUNCTION("""COMPUTED_VALUE"""),"")</f>
        <v/>
      </c>
      <c r="X536" s="143" t="str">
        <f t="shared" si="2"/>
        <v/>
      </c>
      <c r="Y536" s="139" t="str">
        <f>IFERROR(__xludf.DUMMYFUNCTION("""COMPUTED_VALUE"""),"")</f>
        <v/>
      </c>
      <c r="Z536" s="141" t="str">
        <f>IFERROR(__xludf.DUMMYFUNCTION("""COMPUTED_VALUE"""),"")</f>
        <v/>
      </c>
    </row>
    <row r="537">
      <c r="C537" s="136" t="str">
        <f>IFERROR(__xludf.DUMMYFUNCTION("""COMPUTED_VALUE"""),"")</f>
        <v/>
      </c>
      <c r="D537" s="136" t="str">
        <f t="shared" si="3"/>
        <v/>
      </c>
      <c r="E537" s="152" t="str">
        <f>IFERROR(__xludf.DUMMYFUNCTION("""COMPUTED_VALUE"""),"")</f>
        <v/>
      </c>
      <c r="F537" s="106" t="s">
        <v>133</v>
      </c>
      <c r="G537" s="152" t="str">
        <f>IFERROR(__xludf.DUMMYFUNCTION("""COMPUTED_VALUE"""),"")</f>
        <v/>
      </c>
      <c r="H537" s="106" t="s">
        <v>133</v>
      </c>
      <c r="I537" s="136"/>
      <c r="J537" s="139" t="s">
        <v>133</v>
      </c>
      <c r="K537" s="136" t="s">
        <v>133</v>
      </c>
      <c r="L537" s="153" t="str">
        <f>IFERROR(__xludf.DUMMYFUNCTION("""COMPUTED_VALUE"""),"")</f>
        <v/>
      </c>
      <c r="M537" s="136" t="str">
        <f t="shared" si="1"/>
        <v/>
      </c>
      <c r="N537" s="136" t="str">
        <f>IFERROR(__xludf.DUMMYFUNCTION("""COMPUTED_VALUE"""),"")</f>
        <v/>
      </c>
      <c r="O537" s="141" t="s">
        <v>133</v>
      </c>
      <c r="P537" s="136" t="str">
        <f>IFERROR(__xludf.DUMMYFUNCTION("""COMPUTED_VALUE"""),"")</f>
        <v/>
      </c>
      <c r="Q537" s="136" t="str">
        <f>IFERROR(__xludf.DUMMYFUNCTION("""COMPUTED_VALUE"""),"")</f>
        <v/>
      </c>
      <c r="R537" s="106" t="str">
        <f>IFERROR(__xludf.DUMMYFUNCTION("""COMPUTED_VALUE"""),"")</f>
        <v/>
      </c>
      <c r="S537" s="106" t="str">
        <f>IFERROR(__xludf.DUMMYFUNCTION("""COMPUTED_VALUE"""),"")</f>
        <v/>
      </c>
      <c r="T537" s="139" t="str">
        <f>IFERROR(__xludf.DUMMYFUNCTION("""COMPUTED_VALUE"""),"")</f>
        <v/>
      </c>
      <c r="U537" s="139" t="str">
        <f>IFERROR(__xludf.DUMMYFUNCTION("""COMPUTED_VALUE"""),"")</f>
        <v/>
      </c>
      <c r="V537" s="136" t="str">
        <f>IFERROR(__xludf.DUMMYFUNCTION("""COMPUTED_VALUE"""),"")</f>
        <v/>
      </c>
      <c r="W537" s="106" t="str">
        <f>IFERROR(__xludf.DUMMYFUNCTION("""COMPUTED_VALUE"""),"")</f>
        <v/>
      </c>
      <c r="X537" s="143" t="str">
        <f t="shared" si="2"/>
        <v/>
      </c>
      <c r="Y537" s="139" t="str">
        <f>IFERROR(__xludf.DUMMYFUNCTION("""COMPUTED_VALUE"""),"")</f>
        <v/>
      </c>
      <c r="Z537" s="141" t="str">
        <f>IFERROR(__xludf.DUMMYFUNCTION("""COMPUTED_VALUE"""),"")</f>
        <v/>
      </c>
    </row>
    <row r="538">
      <c r="C538" s="136" t="str">
        <f>IFERROR(__xludf.DUMMYFUNCTION("""COMPUTED_VALUE"""),"")</f>
        <v/>
      </c>
      <c r="D538" s="136" t="str">
        <f t="shared" si="3"/>
        <v/>
      </c>
      <c r="E538" s="152" t="str">
        <f>IFERROR(__xludf.DUMMYFUNCTION("""COMPUTED_VALUE"""),"")</f>
        <v/>
      </c>
      <c r="F538" s="106" t="s">
        <v>133</v>
      </c>
      <c r="G538" s="152" t="str">
        <f>IFERROR(__xludf.DUMMYFUNCTION("""COMPUTED_VALUE"""),"")</f>
        <v/>
      </c>
      <c r="H538" s="106" t="s">
        <v>133</v>
      </c>
      <c r="I538" s="136"/>
      <c r="J538" s="139" t="s">
        <v>133</v>
      </c>
      <c r="K538" s="136" t="s">
        <v>133</v>
      </c>
      <c r="L538" s="153" t="str">
        <f>IFERROR(__xludf.DUMMYFUNCTION("""COMPUTED_VALUE"""),"")</f>
        <v/>
      </c>
      <c r="M538" s="136" t="str">
        <f t="shared" si="1"/>
        <v/>
      </c>
      <c r="N538" s="136" t="str">
        <f>IFERROR(__xludf.DUMMYFUNCTION("""COMPUTED_VALUE"""),"")</f>
        <v/>
      </c>
      <c r="O538" s="141" t="s">
        <v>133</v>
      </c>
      <c r="P538" s="136" t="str">
        <f>IFERROR(__xludf.DUMMYFUNCTION("""COMPUTED_VALUE"""),"")</f>
        <v/>
      </c>
      <c r="Q538" s="136" t="str">
        <f>IFERROR(__xludf.DUMMYFUNCTION("""COMPUTED_VALUE"""),"")</f>
        <v/>
      </c>
      <c r="R538" s="106" t="str">
        <f>IFERROR(__xludf.DUMMYFUNCTION("""COMPUTED_VALUE"""),"")</f>
        <v/>
      </c>
      <c r="S538" s="106" t="str">
        <f>IFERROR(__xludf.DUMMYFUNCTION("""COMPUTED_VALUE"""),"")</f>
        <v/>
      </c>
      <c r="T538" s="139" t="str">
        <f>IFERROR(__xludf.DUMMYFUNCTION("""COMPUTED_VALUE"""),"")</f>
        <v/>
      </c>
      <c r="U538" s="139" t="str">
        <f>IFERROR(__xludf.DUMMYFUNCTION("""COMPUTED_VALUE"""),"")</f>
        <v/>
      </c>
      <c r="V538" s="136" t="str">
        <f>IFERROR(__xludf.DUMMYFUNCTION("""COMPUTED_VALUE"""),"")</f>
        <v/>
      </c>
      <c r="W538" s="106" t="str">
        <f>IFERROR(__xludf.DUMMYFUNCTION("""COMPUTED_VALUE"""),"")</f>
        <v/>
      </c>
      <c r="X538" s="143" t="str">
        <f t="shared" si="2"/>
        <v/>
      </c>
      <c r="Y538" s="139" t="str">
        <f>IFERROR(__xludf.DUMMYFUNCTION("""COMPUTED_VALUE"""),"")</f>
        <v/>
      </c>
      <c r="Z538" s="141" t="str">
        <f>IFERROR(__xludf.DUMMYFUNCTION("""COMPUTED_VALUE"""),"")</f>
        <v/>
      </c>
    </row>
    <row r="539">
      <c r="C539" s="136" t="str">
        <f>IFERROR(__xludf.DUMMYFUNCTION("""COMPUTED_VALUE"""),"")</f>
        <v/>
      </c>
      <c r="D539" s="136" t="str">
        <f t="shared" si="3"/>
        <v/>
      </c>
      <c r="E539" s="152" t="str">
        <f>IFERROR(__xludf.DUMMYFUNCTION("""COMPUTED_VALUE"""),"")</f>
        <v/>
      </c>
      <c r="F539" s="106" t="s">
        <v>133</v>
      </c>
      <c r="G539" s="152" t="str">
        <f>IFERROR(__xludf.DUMMYFUNCTION("""COMPUTED_VALUE"""),"")</f>
        <v/>
      </c>
      <c r="H539" s="106" t="s">
        <v>133</v>
      </c>
      <c r="I539" s="136"/>
      <c r="J539" s="139" t="s">
        <v>133</v>
      </c>
      <c r="K539" s="136" t="s">
        <v>133</v>
      </c>
      <c r="L539" s="153" t="str">
        <f>IFERROR(__xludf.DUMMYFUNCTION("""COMPUTED_VALUE"""),"")</f>
        <v/>
      </c>
      <c r="M539" s="136" t="str">
        <f t="shared" si="1"/>
        <v/>
      </c>
      <c r="N539" s="136" t="str">
        <f>IFERROR(__xludf.DUMMYFUNCTION("""COMPUTED_VALUE"""),"")</f>
        <v/>
      </c>
      <c r="O539" s="141" t="s">
        <v>133</v>
      </c>
      <c r="P539" s="136" t="str">
        <f>IFERROR(__xludf.DUMMYFUNCTION("""COMPUTED_VALUE"""),"")</f>
        <v/>
      </c>
      <c r="Q539" s="136" t="str">
        <f>IFERROR(__xludf.DUMMYFUNCTION("""COMPUTED_VALUE"""),"")</f>
        <v/>
      </c>
      <c r="R539" s="106" t="str">
        <f>IFERROR(__xludf.DUMMYFUNCTION("""COMPUTED_VALUE"""),"")</f>
        <v/>
      </c>
      <c r="S539" s="106" t="str">
        <f>IFERROR(__xludf.DUMMYFUNCTION("""COMPUTED_VALUE"""),"")</f>
        <v/>
      </c>
      <c r="T539" s="139" t="str">
        <f>IFERROR(__xludf.DUMMYFUNCTION("""COMPUTED_VALUE"""),"")</f>
        <v/>
      </c>
      <c r="U539" s="139" t="str">
        <f>IFERROR(__xludf.DUMMYFUNCTION("""COMPUTED_VALUE"""),"")</f>
        <v/>
      </c>
      <c r="V539" s="136" t="str">
        <f>IFERROR(__xludf.DUMMYFUNCTION("""COMPUTED_VALUE"""),"")</f>
        <v/>
      </c>
      <c r="W539" s="106" t="str">
        <f>IFERROR(__xludf.DUMMYFUNCTION("""COMPUTED_VALUE"""),"")</f>
        <v/>
      </c>
      <c r="X539" s="143" t="str">
        <f t="shared" si="2"/>
        <v/>
      </c>
      <c r="Y539" s="139" t="str">
        <f>IFERROR(__xludf.DUMMYFUNCTION("""COMPUTED_VALUE"""),"")</f>
        <v/>
      </c>
      <c r="Z539" s="141" t="str">
        <f>IFERROR(__xludf.DUMMYFUNCTION("""COMPUTED_VALUE"""),"")</f>
        <v/>
      </c>
    </row>
    <row r="540">
      <c r="C540" s="136" t="str">
        <f>IFERROR(__xludf.DUMMYFUNCTION("""COMPUTED_VALUE"""),"")</f>
        <v/>
      </c>
      <c r="D540" s="136" t="str">
        <f t="shared" si="3"/>
        <v/>
      </c>
      <c r="E540" s="152" t="str">
        <f>IFERROR(__xludf.DUMMYFUNCTION("""COMPUTED_VALUE"""),"")</f>
        <v/>
      </c>
      <c r="F540" s="106" t="s">
        <v>133</v>
      </c>
      <c r="G540" s="152" t="str">
        <f>IFERROR(__xludf.DUMMYFUNCTION("""COMPUTED_VALUE"""),"")</f>
        <v/>
      </c>
      <c r="H540" s="106" t="s">
        <v>133</v>
      </c>
      <c r="I540" s="136"/>
      <c r="J540" s="139" t="s">
        <v>133</v>
      </c>
      <c r="K540" s="136" t="s">
        <v>133</v>
      </c>
      <c r="L540" s="153" t="str">
        <f>IFERROR(__xludf.DUMMYFUNCTION("""COMPUTED_VALUE"""),"")</f>
        <v/>
      </c>
      <c r="M540" s="136" t="str">
        <f t="shared" si="1"/>
        <v/>
      </c>
      <c r="N540" s="136" t="str">
        <f>IFERROR(__xludf.DUMMYFUNCTION("""COMPUTED_VALUE"""),"")</f>
        <v/>
      </c>
      <c r="O540" s="141" t="s">
        <v>133</v>
      </c>
      <c r="P540" s="136" t="str">
        <f>IFERROR(__xludf.DUMMYFUNCTION("""COMPUTED_VALUE"""),"")</f>
        <v/>
      </c>
      <c r="Q540" s="136" t="str">
        <f>IFERROR(__xludf.DUMMYFUNCTION("""COMPUTED_VALUE"""),"")</f>
        <v/>
      </c>
      <c r="R540" s="106" t="str">
        <f>IFERROR(__xludf.DUMMYFUNCTION("""COMPUTED_VALUE"""),"")</f>
        <v/>
      </c>
      <c r="S540" s="106" t="str">
        <f>IFERROR(__xludf.DUMMYFUNCTION("""COMPUTED_VALUE"""),"")</f>
        <v/>
      </c>
      <c r="T540" s="139" t="str">
        <f>IFERROR(__xludf.DUMMYFUNCTION("""COMPUTED_VALUE"""),"")</f>
        <v/>
      </c>
      <c r="U540" s="139" t="str">
        <f>IFERROR(__xludf.DUMMYFUNCTION("""COMPUTED_VALUE"""),"")</f>
        <v/>
      </c>
      <c r="V540" s="136" t="str">
        <f>IFERROR(__xludf.DUMMYFUNCTION("""COMPUTED_VALUE"""),"")</f>
        <v/>
      </c>
      <c r="W540" s="106" t="str">
        <f>IFERROR(__xludf.DUMMYFUNCTION("""COMPUTED_VALUE"""),"")</f>
        <v/>
      </c>
      <c r="X540" s="143" t="str">
        <f t="shared" si="2"/>
        <v/>
      </c>
      <c r="Y540" s="139" t="str">
        <f>IFERROR(__xludf.DUMMYFUNCTION("""COMPUTED_VALUE"""),"")</f>
        <v/>
      </c>
      <c r="Z540" s="141" t="str">
        <f>IFERROR(__xludf.DUMMYFUNCTION("""COMPUTED_VALUE"""),"")</f>
        <v/>
      </c>
    </row>
    <row r="541">
      <c r="C541" s="136" t="str">
        <f>IFERROR(__xludf.DUMMYFUNCTION("""COMPUTED_VALUE"""),"")</f>
        <v/>
      </c>
      <c r="D541" s="136" t="str">
        <f t="shared" si="3"/>
        <v/>
      </c>
      <c r="E541" s="152" t="str">
        <f>IFERROR(__xludf.DUMMYFUNCTION("""COMPUTED_VALUE"""),"")</f>
        <v/>
      </c>
      <c r="F541" s="106" t="s">
        <v>133</v>
      </c>
      <c r="G541" s="152" t="str">
        <f>IFERROR(__xludf.DUMMYFUNCTION("""COMPUTED_VALUE"""),"")</f>
        <v/>
      </c>
      <c r="H541" s="106" t="s">
        <v>133</v>
      </c>
      <c r="I541" s="136"/>
      <c r="J541" s="139" t="s">
        <v>133</v>
      </c>
      <c r="K541" s="136" t="s">
        <v>133</v>
      </c>
      <c r="L541" s="153" t="str">
        <f>IFERROR(__xludf.DUMMYFUNCTION("""COMPUTED_VALUE"""),"")</f>
        <v/>
      </c>
      <c r="M541" s="136" t="str">
        <f t="shared" si="1"/>
        <v/>
      </c>
      <c r="N541" s="136" t="str">
        <f>IFERROR(__xludf.DUMMYFUNCTION("""COMPUTED_VALUE"""),"")</f>
        <v/>
      </c>
      <c r="O541" s="141" t="s">
        <v>133</v>
      </c>
      <c r="P541" s="136" t="str">
        <f>IFERROR(__xludf.DUMMYFUNCTION("""COMPUTED_VALUE"""),"")</f>
        <v/>
      </c>
      <c r="Q541" s="136" t="str">
        <f>IFERROR(__xludf.DUMMYFUNCTION("""COMPUTED_VALUE"""),"")</f>
        <v/>
      </c>
      <c r="R541" s="106" t="str">
        <f>IFERROR(__xludf.DUMMYFUNCTION("""COMPUTED_VALUE"""),"")</f>
        <v/>
      </c>
      <c r="S541" s="106" t="str">
        <f>IFERROR(__xludf.DUMMYFUNCTION("""COMPUTED_VALUE"""),"")</f>
        <v/>
      </c>
      <c r="T541" s="139" t="str">
        <f>IFERROR(__xludf.DUMMYFUNCTION("""COMPUTED_VALUE"""),"")</f>
        <v/>
      </c>
      <c r="U541" s="139" t="str">
        <f>IFERROR(__xludf.DUMMYFUNCTION("""COMPUTED_VALUE"""),"")</f>
        <v/>
      </c>
      <c r="V541" s="136" t="str">
        <f>IFERROR(__xludf.DUMMYFUNCTION("""COMPUTED_VALUE"""),"")</f>
        <v/>
      </c>
      <c r="W541" s="106" t="str">
        <f>IFERROR(__xludf.DUMMYFUNCTION("""COMPUTED_VALUE"""),"")</f>
        <v/>
      </c>
      <c r="X541" s="143" t="str">
        <f t="shared" si="2"/>
        <v/>
      </c>
      <c r="Y541" s="139" t="str">
        <f>IFERROR(__xludf.DUMMYFUNCTION("""COMPUTED_VALUE"""),"")</f>
        <v/>
      </c>
      <c r="Z541" s="141" t="str">
        <f>IFERROR(__xludf.DUMMYFUNCTION("""COMPUTED_VALUE"""),"")</f>
        <v/>
      </c>
    </row>
    <row r="542">
      <c r="C542" s="136" t="str">
        <f>IFERROR(__xludf.DUMMYFUNCTION("""COMPUTED_VALUE"""),"")</f>
        <v/>
      </c>
      <c r="D542" s="136" t="str">
        <f t="shared" si="3"/>
        <v/>
      </c>
      <c r="E542" s="152" t="str">
        <f>IFERROR(__xludf.DUMMYFUNCTION("""COMPUTED_VALUE"""),"")</f>
        <v/>
      </c>
      <c r="F542" s="106" t="s">
        <v>133</v>
      </c>
      <c r="G542" s="152" t="str">
        <f>IFERROR(__xludf.DUMMYFUNCTION("""COMPUTED_VALUE"""),"")</f>
        <v/>
      </c>
      <c r="H542" s="106" t="s">
        <v>133</v>
      </c>
      <c r="I542" s="136"/>
      <c r="J542" s="139" t="s">
        <v>133</v>
      </c>
      <c r="K542" s="136" t="s">
        <v>133</v>
      </c>
      <c r="L542" s="153" t="str">
        <f>IFERROR(__xludf.DUMMYFUNCTION("""COMPUTED_VALUE"""),"")</f>
        <v/>
      </c>
      <c r="M542" s="136" t="str">
        <f t="shared" si="1"/>
        <v/>
      </c>
      <c r="N542" s="136" t="str">
        <f>IFERROR(__xludf.DUMMYFUNCTION("""COMPUTED_VALUE"""),"")</f>
        <v/>
      </c>
      <c r="O542" s="141" t="s">
        <v>133</v>
      </c>
      <c r="P542" s="136" t="str">
        <f>IFERROR(__xludf.DUMMYFUNCTION("""COMPUTED_VALUE"""),"")</f>
        <v/>
      </c>
      <c r="Q542" s="136" t="str">
        <f>IFERROR(__xludf.DUMMYFUNCTION("""COMPUTED_VALUE"""),"")</f>
        <v/>
      </c>
      <c r="R542" s="106" t="str">
        <f>IFERROR(__xludf.DUMMYFUNCTION("""COMPUTED_VALUE"""),"")</f>
        <v/>
      </c>
      <c r="S542" s="106" t="str">
        <f>IFERROR(__xludf.DUMMYFUNCTION("""COMPUTED_VALUE"""),"")</f>
        <v/>
      </c>
      <c r="T542" s="139" t="str">
        <f>IFERROR(__xludf.DUMMYFUNCTION("""COMPUTED_VALUE"""),"")</f>
        <v/>
      </c>
      <c r="U542" s="139" t="str">
        <f>IFERROR(__xludf.DUMMYFUNCTION("""COMPUTED_VALUE"""),"")</f>
        <v/>
      </c>
      <c r="V542" s="136" t="str">
        <f>IFERROR(__xludf.DUMMYFUNCTION("""COMPUTED_VALUE"""),"")</f>
        <v/>
      </c>
      <c r="W542" s="106" t="str">
        <f>IFERROR(__xludf.DUMMYFUNCTION("""COMPUTED_VALUE"""),"")</f>
        <v/>
      </c>
      <c r="X542" s="143" t="str">
        <f t="shared" si="2"/>
        <v/>
      </c>
      <c r="Y542" s="139" t="str">
        <f>IFERROR(__xludf.DUMMYFUNCTION("""COMPUTED_VALUE"""),"")</f>
        <v/>
      </c>
      <c r="Z542" s="141" t="str">
        <f>IFERROR(__xludf.DUMMYFUNCTION("""COMPUTED_VALUE"""),"")</f>
        <v/>
      </c>
    </row>
    <row r="543">
      <c r="C543" s="136" t="str">
        <f>IFERROR(__xludf.DUMMYFUNCTION("""COMPUTED_VALUE"""),"")</f>
        <v/>
      </c>
      <c r="D543" s="136" t="str">
        <f t="shared" si="3"/>
        <v/>
      </c>
      <c r="E543" s="152" t="str">
        <f>IFERROR(__xludf.DUMMYFUNCTION("""COMPUTED_VALUE"""),"")</f>
        <v/>
      </c>
      <c r="F543" s="106" t="s">
        <v>133</v>
      </c>
      <c r="G543" s="152" t="str">
        <f>IFERROR(__xludf.DUMMYFUNCTION("""COMPUTED_VALUE"""),"")</f>
        <v/>
      </c>
      <c r="H543" s="106" t="s">
        <v>133</v>
      </c>
      <c r="I543" s="136"/>
      <c r="J543" s="139" t="s">
        <v>133</v>
      </c>
      <c r="K543" s="136" t="s">
        <v>133</v>
      </c>
      <c r="L543" s="153" t="str">
        <f>IFERROR(__xludf.DUMMYFUNCTION("""COMPUTED_VALUE"""),"")</f>
        <v/>
      </c>
      <c r="M543" s="136" t="str">
        <f t="shared" si="1"/>
        <v/>
      </c>
      <c r="N543" s="136" t="str">
        <f>IFERROR(__xludf.DUMMYFUNCTION("""COMPUTED_VALUE"""),"")</f>
        <v/>
      </c>
      <c r="O543" s="141" t="s">
        <v>133</v>
      </c>
      <c r="P543" s="136" t="str">
        <f>IFERROR(__xludf.DUMMYFUNCTION("""COMPUTED_VALUE"""),"")</f>
        <v/>
      </c>
      <c r="Q543" s="136" t="str">
        <f>IFERROR(__xludf.DUMMYFUNCTION("""COMPUTED_VALUE"""),"")</f>
        <v/>
      </c>
      <c r="R543" s="106" t="str">
        <f>IFERROR(__xludf.DUMMYFUNCTION("""COMPUTED_VALUE"""),"")</f>
        <v/>
      </c>
      <c r="S543" s="106" t="str">
        <f>IFERROR(__xludf.DUMMYFUNCTION("""COMPUTED_VALUE"""),"")</f>
        <v/>
      </c>
      <c r="T543" s="139" t="str">
        <f>IFERROR(__xludf.DUMMYFUNCTION("""COMPUTED_VALUE"""),"")</f>
        <v/>
      </c>
      <c r="U543" s="139" t="str">
        <f>IFERROR(__xludf.DUMMYFUNCTION("""COMPUTED_VALUE"""),"")</f>
        <v/>
      </c>
      <c r="V543" s="136" t="str">
        <f>IFERROR(__xludf.DUMMYFUNCTION("""COMPUTED_VALUE"""),"")</f>
        <v/>
      </c>
      <c r="W543" s="106" t="str">
        <f>IFERROR(__xludf.DUMMYFUNCTION("""COMPUTED_VALUE"""),"")</f>
        <v/>
      </c>
      <c r="X543" s="143" t="str">
        <f t="shared" si="2"/>
        <v/>
      </c>
      <c r="Y543" s="139" t="str">
        <f>IFERROR(__xludf.DUMMYFUNCTION("""COMPUTED_VALUE"""),"")</f>
        <v/>
      </c>
      <c r="Z543" s="141" t="str">
        <f>IFERROR(__xludf.DUMMYFUNCTION("""COMPUTED_VALUE"""),"")</f>
        <v/>
      </c>
    </row>
    <row r="544">
      <c r="C544" s="136" t="str">
        <f>IFERROR(__xludf.DUMMYFUNCTION("""COMPUTED_VALUE"""),"")</f>
        <v/>
      </c>
      <c r="D544" s="136" t="str">
        <f t="shared" si="3"/>
        <v/>
      </c>
      <c r="E544" s="152" t="str">
        <f>IFERROR(__xludf.DUMMYFUNCTION("""COMPUTED_VALUE"""),"")</f>
        <v/>
      </c>
      <c r="F544" s="106" t="s">
        <v>133</v>
      </c>
      <c r="G544" s="152" t="str">
        <f>IFERROR(__xludf.DUMMYFUNCTION("""COMPUTED_VALUE"""),"")</f>
        <v/>
      </c>
      <c r="H544" s="106" t="s">
        <v>133</v>
      </c>
      <c r="I544" s="136"/>
      <c r="J544" s="139" t="s">
        <v>133</v>
      </c>
      <c r="K544" s="136" t="s">
        <v>133</v>
      </c>
      <c r="L544" s="153" t="str">
        <f>IFERROR(__xludf.DUMMYFUNCTION("""COMPUTED_VALUE"""),"")</f>
        <v/>
      </c>
      <c r="M544" s="136" t="str">
        <f t="shared" si="1"/>
        <v/>
      </c>
      <c r="N544" s="136" t="str">
        <f>IFERROR(__xludf.DUMMYFUNCTION("""COMPUTED_VALUE"""),"")</f>
        <v/>
      </c>
      <c r="O544" s="141" t="s">
        <v>133</v>
      </c>
      <c r="P544" s="136" t="str">
        <f>IFERROR(__xludf.DUMMYFUNCTION("""COMPUTED_VALUE"""),"")</f>
        <v/>
      </c>
      <c r="Q544" s="136" t="str">
        <f>IFERROR(__xludf.DUMMYFUNCTION("""COMPUTED_VALUE"""),"")</f>
        <v/>
      </c>
      <c r="R544" s="106" t="str">
        <f>IFERROR(__xludf.DUMMYFUNCTION("""COMPUTED_VALUE"""),"")</f>
        <v/>
      </c>
      <c r="S544" s="106" t="str">
        <f>IFERROR(__xludf.DUMMYFUNCTION("""COMPUTED_VALUE"""),"")</f>
        <v/>
      </c>
      <c r="T544" s="139" t="str">
        <f>IFERROR(__xludf.DUMMYFUNCTION("""COMPUTED_VALUE"""),"")</f>
        <v/>
      </c>
      <c r="U544" s="139" t="str">
        <f>IFERROR(__xludf.DUMMYFUNCTION("""COMPUTED_VALUE"""),"")</f>
        <v/>
      </c>
      <c r="V544" s="136" t="str">
        <f>IFERROR(__xludf.DUMMYFUNCTION("""COMPUTED_VALUE"""),"")</f>
        <v/>
      </c>
      <c r="W544" s="106" t="str">
        <f>IFERROR(__xludf.DUMMYFUNCTION("""COMPUTED_VALUE"""),"")</f>
        <v/>
      </c>
      <c r="X544" s="143" t="str">
        <f t="shared" si="2"/>
        <v/>
      </c>
      <c r="Y544" s="139" t="str">
        <f>IFERROR(__xludf.DUMMYFUNCTION("""COMPUTED_VALUE"""),"")</f>
        <v/>
      </c>
      <c r="Z544" s="141" t="str">
        <f>IFERROR(__xludf.DUMMYFUNCTION("""COMPUTED_VALUE"""),"")</f>
        <v/>
      </c>
    </row>
    <row r="545">
      <c r="C545" s="136" t="str">
        <f>IFERROR(__xludf.DUMMYFUNCTION("""COMPUTED_VALUE"""),"")</f>
        <v/>
      </c>
      <c r="D545" s="136" t="str">
        <f t="shared" si="3"/>
        <v/>
      </c>
      <c r="E545" s="152" t="str">
        <f>IFERROR(__xludf.DUMMYFUNCTION("""COMPUTED_VALUE"""),"")</f>
        <v/>
      </c>
      <c r="F545" s="106" t="s">
        <v>133</v>
      </c>
      <c r="G545" s="152" t="str">
        <f>IFERROR(__xludf.DUMMYFUNCTION("""COMPUTED_VALUE"""),"")</f>
        <v/>
      </c>
      <c r="H545" s="106" t="s">
        <v>133</v>
      </c>
      <c r="I545" s="136"/>
      <c r="J545" s="139" t="s">
        <v>133</v>
      </c>
      <c r="K545" s="136" t="s">
        <v>133</v>
      </c>
      <c r="L545" s="153" t="str">
        <f>IFERROR(__xludf.DUMMYFUNCTION("""COMPUTED_VALUE"""),"")</f>
        <v/>
      </c>
      <c r="M545" s="136" t="str">
        <f t="shared" si="1"/>
        <v/>
      </c>
      <c r="N545" s="136" t="str">
        <f>IFERROR(__xludf.DUMMYFUNCTION("""COMPUTED_VALUE"""),"")</f>
        <v/>
      </c>
      <c r="O545" s="141" t="s">
        <v>133</v>
      </c>
      <c r="P545" s="136" t="str">
        <f>IFERROR(__xludf.DUMMYFUNCTION("""COMPUTED_VALUE"""),"")</f>
        <v/>
      </c>
      <c r="Q545" s="136" t="str">
        <f>IFERROR(__xludf.DUMMYFUNCTION("""COMPUTED_VALUE"""),"")</f>
        <v/>
      </c>
      <c r="R545" s="106" t="str">
        <f>IFERROR(__xludf.DUMMYFUNCTION("""COMPUTED_VALUE"""),"")</f>
        <v/>
      </c>
      <c r="S545" s="106" t="str">
        <f>IFERROR(__xludf.DUMMYFUNCTION("""COMPUTED_VALUE"""),"")</f>
        <v/>
      </c>
      <c r="T545" s="139" t="str">
        <f>IFERROR(__xludf.DUMMYFUNCTION("""COMPUTED_VALUE"""),"")</f>
        <v/>
      </c>
      <c r="U545" s="139" t="str">
        <f>IFERROR(__xludf.DUMMYFUNCTION("""COMPUTED_VALUE"""),"")</f>
        <v/>
      </c>
      <c r="V545" s="136" t="str">
        <f>IFERROR(__xludf.DUMMYFUNCTION("""COMPUTED_VALUE"""),"")</f>
        <v/>
      </c>
      <c r="W545" s="106" t="str">
        <f>IFERROR(__xludf.DUMMYFUNCTION("""COMPUTED_VALUE"""),"")</f>
        <v/>
      </c>
      <c r="X545" s="143" t="str">
        <f t="shared" si="2"/>
        <v/>
      </c>
      <c r="Y545" s="139" t="str">
        <f>IFERROR(__xludf.DUMMYFUNCTION("""COMPUTED_VALUE"""),"")</f>
        <v/>
      </c>
      <c r="Z545" s="141" t="str">
        <f>IFERROR(__xludf.DUMMYFUNCTION("""COMPUTED_VALUE"""),"")</f>
        <v/>
      </c>
    </row>
    <row r="546">
      <c r="C546" s="136" t="str">
        <f>IFERROR(__xludf.DUMMYFUNCTION("""COMPUTED_VALUE"""),"")</f>
        <v/>
      </c>
      <c r="D546" s="136" t="str">
        <f t="shared" si="3"/>
        <v/>
      </c>
      <c r="E546" s="152" t="str">
        <f>IFERROR(__xludf.DUMMYFUNCTION("""COMPUTED_VALUE"""),"")</f>
        <v/>
      </c>
      <c r="F546" s="106" t="s">
        <v>133</v>
      </c>
      <c r="G546" s="152" t="str">
        <f>IFERROR(__xludf.DUMMYFUNCTION("""COMPUTED_VALUE"""),"")</f>
        <v/>
      </c>
      <c r="H546" s="106" t="s">
        <v>133</v>
      </c>
      <c r="I546" s="136"/>
      <c r="J546" s="139" t="s">
        <v>133</v>
      </c>
      <c r="K546" s="136" t="s">
        <v>133</v>
      </c>
      <c r="L546" s="153" t="str">
        <f>IFERROR(__xludf.DUMMYFUNCTION("""COMPUTED_VALUE"""),"")</f>
        <v/>
      </c>
      <c r="M546" s="136" t="str">
        <f t="shared" si="1"/>
        <v/>
      </c>
      <c r="N546" s="136" t="str">
        <f>IFERROR(__xludf.DUMMYFUNCTION("""COMPUTED_VALUE"""),"")</f>
        <v/>
      </c>
      <c r="O546" s="141" t="s">
        <v>133</v>
      </c>
      <c r="P546" s="136" t="str">
        <f>IFERROR(__xludf.DUMMYFUNCTION("""COMPUTED_VALUE"""),"")</f>
        <v/>
      </c>
      <c r="Q546" s="136" t="str">
        <f>IFERROR(__xludf.DUMMYFUNCTION("""COMPUTED_VALUE"""),"")</f>
        <v/>
      </c>
      <c r="R546" s="106" t="str">
        <f>IFERROR(__xludf.DUMMYFUNCTION("""COMPUTED_VALUE"""),"")</f>
        <v/>
      </c>
      <c r="S546" s="106" t="str">
        <f>IFERROR(__xludf.DUMMYFUNCTION("""COMPUTED_VALUE"""),"")</f>
        <v/>
      </c>
      <c r="T546" s="139" t="str">
        <f>IFERROR(__xludf.DUMMYFUNCTION("""COMPUTED_VALUE"""),"")</f>
        <v/>
      </c>
      <c r="U546" s="139" t="str">
        <f>IFERROR(__xludf.DUMMYFUNCTION("""COMPUTED_VALUE"""),"")</f>
        <v/>
      </c>
      <c r="V546" s="136" t="str">
        <f>IFERROR(__xludf.DUMMYFUNCTION("""COMPUTED_VALUE"""),"")</f>
        <v/>
      </c>
      <c r="W546" s="106" t="str">
        <f>IFERROR(__xludf.DUMMYFUNCTION("""COMPUTED_VALUE"""),"")</f>
        <v/>
      </c>
      <c r="X546" s="143" t="str">
        <f t="shared" si="2"/>
        <v/>
      </c>
      <c r="Y546" s="139" t="str">
        <f>IFERROR(__xludf.DUMMYFUNCTION("""COMPUTED_VALUE"""),"")</f>
        <v/>
      </c>
      <c r="Z546" s="141" t="str">
        <f>IFERROR(__xludf.DUMMYFUNCTION("""COMPUTED_VALUE"""),"")</f>
        <v/>
      </c>
    </row>
    <row r="547">
      <c r="C547" s="136" t="str">
        <f>IFERROR(__xludf.DUMMYFUNCTION("""COMPUTED_VALUE"""),"")</f>
        <v/>
      </c>
      <c r="D547" s="136" t="str">
        <f t="shared" si="3"/>
        <v/>
      </c>
      <c r="E547" s="152" t="str">
        <f>IFERROR(__xludf.DUMMYFUNCTION("""COMPUTED_VALUE"""),"")</f>
        <v/>
      </c>
      <c r="F547" s="106" t="s">
        <v>133</v>
      </c>
      <c r="G547" s="152" t="str">
        <f>IFERROR(__xludf.DUMMYFUNCTION("""COMPUTED_VALUE"""),"")</f>
        <v/>
      </c>
      <c r="H547" s="106" t="s">
        <v>133</v>
      </c>
      <c r="I547" s="136"/>
      <c r="J547" s="139" t="s">
        <v>133</v>
      </c>
      <c r="K547" s="136" t="s">
        <v>133</v>
      </c>
      <c r="L547" s="153" t="str">
        <f>IFERROR(__xludf.DUMMYFUNCTION("""COMPUTED_VALUE"""),"")</f>
        <v/>
      </c>
      <c r="M547" s="136" t="str">
        <f t="shared" si="1"/>
        <v/>
      </c>
      <c r="N547" s="136" t="str">
        <f>IFERROR(__xludf.DUMMYFUNCTION("""COMPUTED_VALUE"""),"")</f>
        <v/>
      </c>
      <c r="O547" s="141" t="s">
        <v>133</v>
      </c>
      <c r="P547" s="136" t="str">
        <f>IFERROR(__xludf.DUMMYFUNCTION("""COMPUTED_VALUE"""),"")</f>
        <v/>
      </c>
      <c r="Q547" s="136" t="str">
        <f>IFERROR(__xludf.DUMMYFUNCTION("""COMPUTED_VALUE"""),"")</f>
        <v/>
      </c>
      <c r="R547" s="106" t="str">
        <f>IFERROR(__xludf.DUMMYFUNCTION("""COMPUTED_VALUE"""),"")</f>
        <v/>
      </c>
      <c r="S547" s="106" t="str">
        <f>IFERROR(__xludf.DUMMYFUNCTION("""COMPUTED_VALUE"""),"")</f>
        <v/>
      </c>
      <c r="T547" s="139" t="str">
        <f>IFERROR(__xludf.DUMMYFUNCTION("""COMPUTED_VALUE"""),"")</f>
        <v/>
      </c>
      <c r="U547" s="139" t="str">
        <f>IFERROR(__xludf.DUMMYFUNCTION("""COMPUTED_VALUE"""),"")</f>
        <v/>
      </c>
      <c r="V547" s="136" t="str">
        <f>IFERROR(__xludf.DUMMYFUNCTION("""COMPUTED_VALUE"""),"")</f>
        <v/>
      </c>
      <c r="W547" s="106" t="str">
        <f>IFERROR(__xludf.DUMMYFUNCTION("""COMPUTED_VALUE"""),"")</f>
        <v/>
      </c>
      <c r="X547" s="143" t="str">
        <f t="shared" si="2"/>
        <v/>
      </c>
      <c r="Y547" s="139" t="str">
        <f>IFERROR(__xludf.DUMMYFUNCTION("""COMPUTED_VALUE"""),"")</f>
        <v/>
      </c>
      <c r="Z547" s="141" t="str">
        <f>IFERROR(__xludf.DUMMYFUNCTION("""COMPUTED_VALUE"""),"")</f>
        <v/>
      </c>
    </row>
    <row r="548">
      <c r="C548" s="136" t="str">
        <f>IFERROR(__xludf.DUMMYFUNCTION("""COMPUTED_VALUE"""),"")</f>
        <v/>
      </c>
      <c r="D548" s="136" t="str">
        <f t="shared" si="3"/>
        <v/>
      </c>
      <c r="E548" s="152" t="str">
        <f>IFERROR(__xludf.DUMMYFUNCTION("""COMPUTED_VALUE"""),"")</f>
        <v/>
      </c>
      <c r="F548" s="106" t="s">
        <v>133</v>
      </c>
      <c r="G548" s="152" t="str">
        <f>IFERROR(__xludf.DUMMYFUNCTION("""COMPUTED_VALUE"""),"")</f>
        <v/>
      </c>
      <c r="H548" s="106" t="s">
        <v>133</v>
      </c>
      <c r="I548" s="136"/>
      <c r="J548" s="139" t="s">
        <v>133</v>
      </c>
      <c r="K548" s="136" t="s">
        <v>133</v>
      </c>
      <c r="L548" s="153" t="str">
        <f>IFERROR(__xludf.DUMMYFUNCTION("""COMPUTED_VALUE"""),"")</f>
        <v/>
      </c>
      <c r="M548" s="136" t="str">
        <f t="shared" si="1"/>
        <v/>
      </c>
      <c r="N548" s="136" t="str">
        <f>IFERROR(__xludf.DUMMYFUNCTION("""COMPUTED_VALUE"""),"")</f>
        <v/>
      </c>
      <c r="O548" s="141" t="s">
        <v>133</v>
      </c>
      <c r="P548" s="136" t="str">
        <f>IFERROR(__xludf.DUMMYFUNCTION("""COMPUTED_VALUE"""),"")</f>
        <v/>
      </c>
      <c r="Q548" s="136" t="str">
        <f>IFERROR(__xludf.DUMMYFUNCTION("""COMPUTED_VALUE"""),"")</f>
        <v/>
      </c>
      <c r="R548" s="106" t="str">
        <f>IFERROR(__xludf.DUMMYFUNCTION("""COMPUTED_VALUE"""),"")</f>
        <v/>
      </c>
      <c r="S548" s="106" t="str">
        <f>IFERROR(__xludf.DUMMYFUNCTION("""COMPUTED_VALUE"""),"")</f>
        <v/>
      </c>
      <c r="T548" s="139" t="str">
        <f>IFERROR(__xludf.DUMMYFUNCTION("""COMPUTED_VALUE"""),"")</f>
        <v/>
      </c>
      <c r="U548" s="139" t="str">
        <f>IFERROR(__xludf.DUMMYFUNCTION("""COMPUTED_VALUE"""),"")</f>
        <v/>
      </c>
      <c r="V548" s="136" t="str">
        <f>IFERROR(__xludf.DUMMYFUNCTION("""COMPUTED_VALUE"""),"")</f>
        <v/>
      </c>
      <c r="W548" s="106" t="str">
        <f>IFERROR(__xludf.DUMMYFUNCTION("""COMPUTED_VALUE"""),"")</f>
        <v/>
      </c>
      <c r="X548" s="143" t="str">
        <f t="shared" si="2"/>
        <v/>
      </c>
      <c r="Y548" s="139" t="str">
        <f>IFERROR(__xludf.DUMMYFUNCTION("""COMPUTED_VALUE"""),"")</f>
        <v/>
      </c>
      <c r="Z548" s="141" t="str">
        <f>IFERROR(__xludf.DUMMYFUNCTION("""COMPUTED_VALUE"""),"")</f>
        <v/>
      </c>
    </row>
    <row r="549">
      <c r="C549" s="136" t="str">
        <f>IFERROR(__xludf.DUMMYFUNCTION("""COMPUTED_VALUE"""),"")</f>
        <v/>
      </c>
      <c r="D549" s="136" t="str">
        <f t="shared" si="3"/>
        <v/>
      </c>
      <c r="E549" s="152" t="str">
        <f>IFERROR(__xludf.DUMMYFUNCTION("""COMPUTED_VALUE"""),"")</f>
        <v/>
      </c>
      <c r="F549" s="106" t="s">
        <v>133</v>
      </c>
      <c r="G549" s="152" t="str">
        <f>IFERROR(__xludf.DUMMYFUNCTION("""COMPUTED_VALUE"""),"")</f>
        <v/>
      </c>
      <c r="H549" s="106" t="s">
        <v>133</v>
      </c>
      <c r="I549" s="136"/>
      <c r="J549" s="139" t="s">
        <v>133</v>
      </c>
      <c r="K549" s="136" t="s">
        <v>133</v>
      </c>
      <c r="L549" s="153" t="str">
        <f>IFERROR(__xludf.DUMMYFUNCTION("""COMPUTED_VALUE"""),"")</f>
        <v/>
      </c>
      <c r="M549" s="136" t="str">
        <f t="shared" si="1"/>
        <v/>
      </c>
      <c r="N549" s="136" t="str">
        <f>IFERROR(__xludf.DUMMYFUNCTION("""COMPUTED_VALUE"""),"")</f>
        <v/>
      </c>
      <c r="O549" s="141" t="s">
        <v>133</v>
      </c>
      <c r="P549" s="136" t="str">
        <f>IFERROR(__xludf.DUMMYFUNCTION("""COMPUTED_VALUE"""),"")</f>
        <v/>
      </c>
      <c r="Q549" s="136" t="str">
        <f>IFERROR(__xludf.DUMMYFUNCTION("""COMPUTED_VALUE"""),"")</f>
        <v/>
      </c>
      <c r="R549" s="106" t="str">
        <f>IFERROR(__xludf.DUMMYFUNCTION("""COMPUTED_VALUE"""),"")</f>
        <v/>
      </c>
      <c r="S549" s="106" t="str">
        <f>IFERROR(__xludf.DUMMYFUNCTION("""COMPUTED_VALUE"""),"")</f>
        <v/>
      </c>
      <c r="T549" s="139" t="str">
        <f>IFERROR(__xludf.DUMMYFUNCTION("""COMPUTED_VALUE"""),"")</f>
        <v/>
      </c>
      <c r="U549" s="139" t="str">
        <f>IFERROR(__xludf.DUMMYFUNCTION("""COMPUTED_VALUE"""),"")</f>
        <v/>
      </c>
      <c r="V549" s="136" t="str">
        <f>IFERROR(__xludf.DUMMYFUNCTION("""COMPUTED_VALUE"""),"")</f>
        <v/>
      </c>
      <c r="W549" s="106" t="str">
        <f>IFERROR(__xludf.DUMMYFUNCTION("""COMPUTED_VALUE"""),"")</f>
        <v/>
      </c>
      <c r="X549" s="143" t="str">
        <f t="shared" si="2"/>
        <v/>
      </c>
      <c r="Y549" s="139" t="str">
        <f>IFERROR(__xludf.DUMMYFUNCTION("""COMPUTED_VALUE"""),"")</f>
        <v/>
      </c>
      <c r="Z549" s="141" t="str">
        <f>IFERROR(__xludf.DUMMYFUNCTION("""COMPUTED_VALUE"""),"")</f>
        <v/>
      </c>
    </row>
    <row r="550">
      <c r="C550" s="136" t="str">
        <f>IFERROR(__xludf.DUMMYFUNCTION("""COMPUTED_VALUE"""),"")</f>
        <v/>
      </c>
      <c r="D550" s="136" t="str">
        <f t="shared" si="3"/>
        <v/>
      </c>
      <c r="E550" s="152" t="str">
        <f>IFERROR(__xludf.DUMMYFUNCTION("""COMPUTED_VALUE"""),"")</f>
        <v/>
      </c>
      <c r="F550" s="106" t="s">
        <v>133</v>
      </c>
      <c r="G550" s="152" t="str">
        <f>IFERROR(__xludf.DUMMYFUNCTION("""COMPUTED_VALUE"""),"")</f>
        <v/>
      </c>
      <c r="H550" s="106" t="s">
        <v>133</v>
      </c>
      <c r="I550" s="136"/>
      <c r="J550" s="139" t="s">
        <v>133</v>
      </c>
      <c r="K550" s="136" t="s">
        <v>133</v>
      </c>
      <c r="L550" s="153" t="str">
        <f>IFERROR(__xludf.DUMMYFUNCTION("""COMPUTED_VALUE"""),"")</f>
        <v/>
      </c>
      <c r="M550" s="136" t="str">
        <f t="shared" si="1"/>
        <v/>
      </c>
      <c r="N550" s="136" t="str">
        <f>IFERROR(__xludf.DUMMYFUNCTION("""COMPUTED_VALUE"""),"")</f>
        <v/>
      </c>
      <c r="O550" s="141" t="s">
        <v>133</v>
      </c>
      <c r="P550" s="136" t="str">
        <f>IFERROR(__xludf.DUMMYFUNCTION("""COMPUTED_VALUE"""),"")</f>
        <v/>
      </c>
      <c r="Q550" s="136" t="str">
        <f>IFERROR(__xludf.DUMMYFUNCTION("""COMPUTED_VALUE"""),"")</f>
        <v/>
      </c>
      <c r="R550" s="106" t="str">
        <f>IFERROR(__xludf.DUMMYFUNCTION("""COMPUTED_VALUE"""),"")</f>
        <v/>
      </c>
      <c r="S550" s="106" t="str">
        <f>IFERROR(__xludf.DUMMYFUNCTION("""COMPUTED_VALUE"""),"")</f>
        <v/>
      </c>
      <c r="T550" s="139" t="str">
        <f>IFERROR(__xludf.DUMMYFUNCTION("""COMPUTED_VALUE"""),"")</f>
        <v/>
      </c>
      <c r="U550" s="139" t="str">
        <f>IFERROR(__xludf.DUMMYFUNCTION("""COMPUTED_VALUE"""),"")</f>
        <v/>
      </c>
      <c r="V550" s="136" t="str">
        <f>IFERROR(__xludf.DUMMYFUNCTION("""COMPUTED_VALUE"""),"")</f>
        <v/>
      </c>
      <c r="W550" s="106" t="str">
        <f>IFERROR(__xludf.DUMMYFUNCTION("""COMPUTED_VALUE"""),"")</f>
        <v/>
      </c>
      <c r="X550" s="143" t="str">
        <f t="shared" si="2"/>
        <v/>
      </c>
      <c r="Y550" s="139" t="str">
        <f>IFERROR(__xludf.DUMMYFUNCTION("""COMPUTED_VALUE"""),"")</f>
        <v/>
      </c>
      <c r="Z550" s="141" t="str">
        <f>IFERROR(__xludf.DUMMYFUNCTION("""COMPUTED_VALUE"""),"")</f>
        <v/>
      </c>
    </row>
    <row r="551">
      <c r="C551" s="136" t="str">
        <f>IFERROR(__xludf.DUMMYFUNCTION("""COMPUTED_VALUE"""),"")</f>
        <v/>
      </c>
      <c r="D551" s="136" t="str">
        <f t="shared" si="3"/>
        <v/>
      </c>
      <c r="E551" s="152" t="str">
        <f>IFERROR(__xludf.DUMMYFUNCTION("""COMPUTED_VALUE"""),"")</f>
        <v/>
      </c>
      <c r="F551" s="106" t="s">
        <v>133</v>
      </c>
      <c r="G551" s="152" t="str">
        <f>IFERROR(__xludf.DUMMYFUNCTION("""COMPUTED_VALUE"""),"")</f>
        <v/>
      </c>
      <c r="H551" s="106" t="s">
        <v>133</v>
      </c>
      <c r="I551" s="136"/>
      <c r="J551" s="139" t="s">
        <v>133</v>
      </c>
      <c r="K551" s="136" t="s">
        <v>133</v>
      </c>
      <c r="L551" s="153" t="str">
        <f>IFERROR(__xludf.DUMMYFUNCTION("""COMPUTED_VALUE"""),"")</f>
        <v/>
      </c>
      <c r="M551" s="136" t="str">
        <f t="shared" si="1"/>
        <v/>
      </c>
      <c r="N551" s="136" t="str">
        <f>IFERROR(__xludf.DUMMYFUNCTION("""COMPUTED_VALUE"""),"")</f>
        <v/>
      </c>
      <c r="O551" s="141" t="s">
        <v>133</v>
      </c>
      <c r="P551" s="136" t="str">
        <f>IFERROR(__xludf.DUMMYFUNCTION("""COMPUTED_VALUE"""),"")</f>
        <v/>
      </c>
      <c r="Q551" s="136" t="str">
        <f>IFERROR(__xludf.DUMMYFUNCTION("""COMPUTED_VALUE"""),"")</f>
        <v/>
      </c>
      <c r="R551" s="106" t="str">
        <f>IFERROR(__xludf.DUMMYFUNCTION("""COMPUTED_VALUE"""),"")</f>
        <v/>
      </c>
      <c r="S551" s="106" t="str">
        <f>IFERROR(__xludf.DUMMYFUNCTION("""COMPUTED_VALUE"""),"")</f>
        <v/>
      </c>
      <c r="T551" s="139" t="str">
        <f>IFERROR(__xludf.DUMMYFUNCTION("""COMPUTED_VALUE"""),"")</f>
        <v/>
      </c>
      <c r="U551" s="139" t="str">
        <f>IFERROR(__xludf.DUMMYFUNCTION("""COMPUTED_VALUE"""),"")</f>
        <v/>
      </c>
      <c r="V551" s="136" t="str">
        <f>IFERROR(__xludf.DUMMYFUNCTION("""COMPUTED_VALUE"""),"")</f>
        <v/>
      </c>
      <c r="W551" s="106" t="str">
        <f>IFERROR(__xludf.DUMMYFUNCTION("""COMPUTED_VALUE"""),"")</f>
        <v/>
      </c>
      <c r="X551" s="143" t="str">
        <f t="shared" si="2"/>
        <v/>
      </c>
      <c r="Y551" s="139" t="str">
        <f>IFERROR(__xludf.DUMMYFUNCTION("""COMPUTED_VALUE"""),"")</f>
        <v/>
      </c>
      <c r="Z551" s="141" t="str">
        <f>IFERROR(__xludf.DUMMYFUNCTION("""COMPUTED_VALUE"""),"")</f>
        <v/>
      </c>
    </row>
    <row r="552">
      <c r="C552" s="136" t="str">
        <f>IFERROR(__xludf.DUMMYFUNCTION("""COMPUTED_VALUE"""),"")</f>
        <v/>
      </c>
      <c r="D552" s="136" t="str">
        <f t="shared" si="3"/>
        <v/>
      </c>
      <c r="E552" s="152" t="str">
        <f>IFERROR(__xludf.DUMMYFUNCTION("""COMPUTED_VALUE"""),"")</f>
        <v/>
      </c>
      <c r="F552" s="106" t="s">
        <v>133</v>
      </c>
      <c r="G552" s="152" t="str">
        <f>IFERROR(__xludf.DUMMYFUNCTION("""COMPUTED_VALUE"""),"")</f>
        <v/>
      </c>
      <c r="H552" s="106" t="s">
        <v>133</v>
      </c>
      <c r="I552" s="136"/>
      <c r="J552" s="139" t="s">
        <v>133</v>
      </c>
      <c r="K552" s="136" t="s">
        <v>133</v>
      </c>
      <c r="L552" s="153" t="str">
        <f>IFERROR(__xludf.DUMMYFUNCTION("""COMPUTED_VALUE"""),"")</f>
        <v/>
      </c>
      <c r="M552" s="136" t="str">
        <f t="shared" si="1"/>
        <v/>
      </c>
      <c r="N552" s="136" t="str">
        <f>IFERROR(__xludf.DUMMYFUNCTION("""COMPUTED_VALUE"""),"")</f>
        <v/>
      </c>
      <c r="O552" s="141" t="s">
        <v>133</v>
      </c>
      <c r="P552" s="136" t="str">
        <f>IFERROR(__xludf.DUMMYFUNCTION("""COMPUTED_VALUE"""),"")</f>
        <v/>
      </c>
      <c r="Q552" s="136" t="str">
        <f>IFERROR(__xludf.DUMMYFUNCTION("""COMPUTED_VALUE"""),"")</f>
        <v/>
      </c>
      <c r="R552" s="106" t="str">
        <f>IFERROR(__xludf.DUMMYFUNCTION("""COMPUTED_VALUE"""),"")</f>
        <v/>
      </c>
      <c r="S552" s="106" t="str">
        <f>IFERROR(__xludf.DUMMYFUNCTION("""COMPUTED_VALUE"""),"")</f>
        <v/>
      </c>
      <c r="T552" s="139" t="str">
        <f>IFERROR(__xludf.DUMMYFUNCTION("""COMPUTED_VALUE"""),"")</f>
        <v/>
      </c>
      <c r="U552" s="139" t="str">
        <f>IFERROR(__xludf.DUMMYFUNCTION("""COMPUTED_VALUE"""),"")</f>
        <v/>
      </c>
      <c r="V552" s="136" t="str">
        <f>IFERROR(__xludf.DUMMYFUNCTION("""COMPUTED_VALUE"""),"")</f>
        <v/>
      </c>
      <c r="W552" s="106" t="str">
        <f>IFERROR(__xludf.DUMMYFUNCTION("""COMPUTED_VALUE"""),"")</f>
        <v/>
      </c>
      <c r="X552" s="143" t="str">
        <f t="shared" si="2"/>
        <v/>
      </c>
      <c r="Y552" s="139" t="str">
        <f>IFERROR(__xludf.DUMMYFUNCTION("""COMPUTED_VALUE"""),"")</f>
        <v/>
      </c>
      <c r="Z552" s="141" t="str">
        <f>IFERROR(__xludf.DUMMYFUNCTION("""COMPUTED_VALUE"""),"")</f>
        <v/>
      </c>
    </row>
    <row r="553">
      <c r="C553" s="136" t="str">
        <f>IFERROR(__xludf.DUMMYFUNCTION("""COMPUTED_VALUE"""),"")</f>
        <v/>
      </c>
      <c r="D553" s="136" t="str">
        <f t="shared" si="3"/>
        <v/>
      </c>
      <c r="E553" s="152" t="str">
        <f>IFERROR(__xludf.DUMMYFUNCTION("""COMPUTED_VALUE"""),"")</f>
        <v/>
      </c>
      <c r="F553" s="106" t="s">
        <v>133</v>
      </c>
      <c r="G553" s="152" t="str">
        <f>IFERROR(__xludf.DUMMYFUNCTION("""COMPUTED_VALUE"""),"")</f>
        <v/>
      </c>
      <c r="H553" s="106" t="s">
        <v>133</v>
      </c>
      <c r="I553" s="136"/>
      <c r="J553" s="139" t="s">
        <v>133</v>
      </c>
      <c r="K553" s="136" t="s">
        <v>133</v>
      </c>
      <c r="L553" s="153" t="str">
        <f>IFERROR(__xludf.DUMMYFUNCTION("""COMPUTED_VALUE"""),"")</f>
        <v/>
      </c>
      <c r="M553" s="136" t="str">
        <f t="shared" si="1"/>
        <v/>
      </c>
      <c r="N553" s="136" t="str">
        <f>IFERROR(__xludf.DUMMYFUNCTION("""COMPUTED_VALUE"""),"")</f>
        <v/>
      </c>
      <c r="O553" s="141" t="s">
        <v>133</v>
      </c>
      <c r="P553" s="136" t="str">
        <f>IFERROR(__xludf.DUMMYFUNCTION("""COMPUTED_VALUE"""),"")</f>
        <v/>
      </c>
      <c r="Q553" s="136" t="str">
        <f>IFERROR(__xludf.DUMMYFUNCTION("""COMPUTED_VALUE"""),"")</f>
        <v/>
      </c>
      <c r="R553" s="106" t="str">
        <f>IFERROR(__xludf.DUMMYFUNCTION("""COMPUTED_VALUE"""),"")</f>
        <v/>
      </c>
      <c r="S553" s="106" t="str">
        <f>IFERROR(__xludf.DUMMYFUNCTION("""COMPUTED_VALUE"""),"")</f>
        <v/>
      </c>
      <c r="T553" s="139" t="str">
        <f>IFERROR(__xludf.DUMMYFUNCTION("""COMPUTED_VALUE"""),"")</f>
        <v/>
      </c>
      <c r="U553" s="139" t="str">
        <f>IFERROR(__xludf.DUMMYFUNCTION("""COMPUTED_VALUE"""),"")</f>
        <v/>
      </c>
      <c r="V553" s="136" t="str">
        <f>IFERROR(__xludf.DUMMYFUNCTION("""COMPUTED_VALUE"""),"")</f>
        <v/>
      </c>
      <c r="W553" s="106" t="str">
        <f>IFERROR(__xludf.DUMMYFUNCTION("""COMPUTED_VALUE"""),"")</f>
        <v/>
      </c>
      <c r="X553" s="143" t="str">
        <f t="shared" si="2"/>
        <v/>
      </c>
      <c r="Y553" s="139" t="str">
        <f>IFERROR(__xludf.DUMMYFUNCTION("""COMPUTED_VALUE"""),"")</f>
        <v/>
      </c>
      <c r="Z553" s="141" t="str">
        <f>IFERROR(__xludf.DUMMYFUNCTION("""COMPUTED_VALUE"""),"")</f>
        <v/>
      </c>
    </row>
    <row r="554">
      <c r="C554" s="136" t="str">
        <f>IFERROR(__xludf.DUMMYFUNCTION("""COMPUTED_VALUE"""),"")</f>
        <v/>
      </c>
      <c r="D554" s="136" t="str">
        <f t="shared" si="3"/>
        <v/>
      </c>
      <c r="E554" s="152" t="str">
        <f>IFERROR(__xludf.DUMMYFUNCTION("""COMPUTED_VALUE"""),"")</f>
        <v/>
      </c>
      <c r="F554" s="106" t="s">
        <v>133</v>
      </c>
      <c r="G554" s="152" t="str">
        <f>IFERROR(__xludf.DUMMYFUNCTION("""COMPUTED_VALUE"""),"")</f>
        <v/>
      </c>
      <c r="H554" s="106" t="s">
        <v>133</v>
      </c>
      <c r="I554" s="136"/>
      <c r="J554" s="139" t="s">
        <v>133</v>
      </c>
      <c r="K554" s="136" t="s">
        <v>133</v>
      </c>
      <c r="L554" s="153" t="str">
        <f>IFERROR(__xludf.DUMMYFUNCTION("""COMPUTED_VALUE"""),"")</f>
        <v/>
      </c>
      <c r="M554" s="136" t="str">
        <f t="shared" si="1"/>
        <v/>
      </c>
      <c r="N554" s="136" t="str">
        <f>IFERROR(__xludf.DUMMYFUNCTION("""COMPUTED_VALUE"""),"")</f>
        <v/>
      </c>
      <c r="O554" s="141" t="s">
        <v>133</v>
      </c>
      <c r="P554" s="136" t="str">
        <f>IFERROR(__xludf.DUMMYFUNCTION("""COMPUTED_VALUE"""),"")</f>
        <v/>
      </c>
      <c r="Q554" s="136" t="str">
        <f>IFERROR(__xludf.DUMMYFUNCTION("""COMPUTED_VALUE"""),"")</f>
        <v/>
      </c>
      <c r="R554" s="106" t="str">
        <f>IFERROR(__xludf.DUMMYFUNCTION("""COMPUTED_VALUE"""),"")</f>
        <v/>
      </c>
      <c r="S554" s="106" t="str">
        <f>IFERROR(__xludf.DUMMYFUNCTION("""COMPUTED_VALUE"""),"")</f>
        <v/>
      </c>
      <c r="T554" s="139" t="str">
        <f>IFERROR(__xludf.DUMMYFUNCTION("""COMPUTED_VALUE"""),"")</f>
        <v/>
      </c>
      <c r="U554" s="139" t="str">
        <f>IFERROR(__xludf.DUMMYFUNCTION("""COMPUTED_VALUE"""),"")</f>
        <v/>
      </c>
      <c r="V554" s="136" t="str">
        <f>IFERROR(__xludf.DUMMYFUNCTION("""COMPUTED_VALUE"""),"")</f>
        <v/>
      </c>
      <c r="W554" s="106" t="str">
        <f>IFERROR(__xludf.DUMMYFUNCTION("""COMPUTED_VALUE"""),"")</f>
        <v/>
      </c>
      <c r="X554" s="143" t="str">
        <f t="shared" si="2"/>
        <v/>
      </c>
      <c r="Y554" s="139" t="str">
        <f>IFERROR(__xludf.DUMMYFUNCTION("""COMPUTED_VALUE"""),"")</f>
        <v/>
      </c>
      <c r="Z554" s="141" t="str">
        <f>IFERROR(__xludf.DUMMYFUNCTION("""COMPUTED_VALUE"""),"")</f>
        <v/>
      </c>
    </row>
    <row r="555">
      <c r="C555" s="136" t="str">
        <f>IFERROR(__xludf.DUMMYFUNCTION("""COMPUTED_VALUE"""),"")</f>
        <v/>
      </c>
      <c r="D555" s="136" t="str">
        <f t="shared" si="3"/>
        <v/>
      </c>
      <c r="E555" s="152" t="str">
        <f>IFERROR(__xludf.DUMMYFUNCTION("""COMPUTED_VALUE"""),"")</f>
        <v/>
      </c>
      <c r="F555" s="106" t="s">
        <v>133</v>
      </c>
      <c r="G555" s="152" t="str">
        <f>IFERROR(__xludf.DUMMYFUNCTION("""COMPUTED_VALUE"""),"")</f>
        <v/>
      </c>
      <c r="H555" s="106" t="s">
        <v>133</v>
      </c>
      <c r="I555" s="136"/>
      <c r="J555" s="139" t="s">
        <v>133</v>
      </c>
      <c r="K555" s="136" t="s">
        <v>133</v>
      </c>
      <c r="L555" s="153" t="str">
        <f>IFERROR(__xludf.DUMMYFUNCTION("""COMPUTED_VALUE"""),"")</f>
        <v/>
      </c>
      <c r="M555" s="136" t="str">
        <f t="shared" si="1"/>
        <v/>
      </c>
      <c r="N555" s="136" t="str">
        <f>IFERROR(__xludf.DUMMYFUNCTION("""COMPUTED_VALUE"""),"")</f>
        <v/>
      </c>
      <c r="O555" s="141" t="s">
        <v>133</v>
      </c>
      <c r="P555" s="136" t="str">
        <f>IFERROR(__xludf.DUMMYFUNCTION("""COMPUTED_VALUE"""),"")</f>
        <v/>
      </c>
      <c r="Q555" s="136" t="str">
        <f>IFERROR(__xludf.DUMMYFUNCTION("""COMPUTED_VALUE"""),"")</f>
        <v/>
      </c>
      <c r="R555" s="106" t="str">
        <f>IFERROR(__xludf.DUMMYFUNCTION("""COMPUTED_VALUE"""),"")</f>
        <v/>
      </c>
      <c r="S555" s="106" t="str">
        <f>IFERROR(__xludf.DUMMYFUNCTION("""COMPUTED_VALUE"""),"")</f>
        <v/>
      </c>
      <c r="T555" s="139" t="str">
        <f>IFERROR(__xludf.DUMMYFUNCTION("""COMPUTED_VALUE"""),"")</f>
        <v/>
      </c>
      <c r="U555" s="139" t="str">
        <f>IFERROR(__xludf.DUMMYFUNCTION("""COMPUTED_VALUE"""),"")</f>
        <v/>
      </c>
      <c r="V555" s="136" t="str">
        <f>IFERROR(__xludf.DUMMYFUNCTION("""COMPUTED_VALUE"""),"")</f>
        <v/>
      </c>
      <c r="W555" s="106" t="str">
        <f>IFERROR(__xludf.DUMMYFUNCTION("""COMPUTED_VALUE"""),"")</f>
        <v/>
      </c>
      <c r="X555" s="143" t="str">
        <f t="shared" si="2"/>
        <v/>
      </c>
      <c r="Y555" s="139" t="str">
        <f>IFERROR(__xludf.DUMMYFUNCTION("""COMPUTED_VALUE"""),"")</f>
        <v/>
      </c>
      <c r="Z555" s="141" t="str">
        <f>IFERROR(__xludf.DUMMYFUNCTION("""COMPUTED_VALUE"""),"")</f>
        <v/>
      </c>
    </row>
    <row r="556">
      <c r="C556" s="136" t="str">
        <f>IFERROR(__xludf.DUMMYFUNCTION("""COMPUTED_VALUE"""),"")</f>
        <v/>
      </c>
      <c r="D556" s="136" t="str">
        <f t="shared" si="3"/>
        <v/>
      </c>
      <c r="E556" s="152" t="str">
        <f>IFERROR(__xludf.DUMMYFUNCTION("""COMPUTED_VALUE"""),"")</f>
        <v/>
      </c>
      <c r="F556" s="106" t="s">
        <v>133</v>
      </c>
      <c r="G556" s="152" t="str">
        <f>IFERROR(__xludf.DUMMYFUNCTION("""COMPUTED_VALUE"""),"")</f>
        <v/>
      </c>
      <c r="H556" s="106" t="s">
        <v>133</v>
      </c>
      <c r="I556" s="136"/>
      <c r="J556" s="139" t="s">
        <v>133</v>
      </c>
      <c r="K556" s="136" t="s">
        <v>133</v>
      </c>
      <c r="L556" s="153" t="str">
        <f>IFERROR(__xludf.DUMMYFUNCTION("""COMPUTED_VALUE"""),"")</f>
        <v/>
      </c>
      <c r="M556" s="136" t="str">
        <f t="shared" si="1"/>
        <v/>
      </c>
      <c r="N556" s="136" t="str">
        <f>IFERROR(__xludf.DUMMYFUNCTION("""COMPUTED_VALUE"""),"")</f>
        <v/>
      </c>
      <c r="O556" s="141" t="s">
        <v>133</v>
      </c>
      <c r="P556" s="136" t="str">
        <f>IFERROR(__xludf.DUMMYFUNCTION("""COMPUTED_VALUE"""),"")</f>
        <v/>
      </c>
      <c r="Q556" s="136" t="str">
        <f>IFERROR(__xludf.DUMMYFUNCTION("""COMPUTED_VALUE"""),"")</f>
        <v/>
      </c>
      <c r="R556" s="106" t="str">
        <f>IFERROR(__xludf.DUMMYFUNCTION("""COMPUTED_VALUE"""),"")</f>
        <v/>
      </c>
      <c r="S556" s="106" t="str">
        <f>IFERROR(__xludf.DUMMYFUNCTION("""COMPUTED_VALUE"""),"")</f>
        <v/>
      </c>
      <c r="T556" s="139" t="str">
        <f>IFERROR(__xludf.DUMMYFUNCTION("""COMPUTED_VALUE"""),"")</f>
        <v/>
      </c>
      <c r="U556" s="139" t="str">
        <f>IFERROR(__xludf.DUMMYFUNCTION("""COMPUTED_VALUE"""),"")</f>
        <v/>
      </c>
      <c r="V556" s="136" t="str">
        <f>IFERROR(__xludf.DUMMYFUNCTION("""COMPUTED_VALUE"""),"")</f>
        <v/>
      </c>
      <c r="W556" s="106" t="str">
        <f>IFERROR(__xludf.DUMMYFUNCTION("""COMPUTED_VALUE"""),"")</f>
        <v/>
      </c>
      <c r="X556" s="143" t="str">
        <f t="shared" si="2"/>
        <v/>
      </c>
      <c r="Y556" s="139" t="str">
        <f>IFERROR(__xludf.DUMMYFUNCTION("""COMPUTED_VALUE"""),"")</f>
        <v/>
      </c>
      <c r="Z556" s="141" t="str">
        <f>IFERROR(__xludf.DUMMYFUNCTION("""COMPUTED_VALUE"""),"")</f>
        <v/>
      </c>
    </row>
    <row r="557">
      <c r="C557" s="136" t="str">
        <f>IFERROR(__xludf.DUMMYFUNCTION("""COMPUTED_VALUE"""),"")</f>
        <v/>
      </c>
      <c r="D557" s="136" t="str">
        <f t="shared" si="3"/>
        <v/>
      </c>
      <c r="E557" s="152" t="str">
        <f>IFERROR(__xludf.DUMMYFUNCTION("""COMPUTED_VALUE"""),"")</f>
        <v/>
      </c>
      <c r="F557" s="106" t="s">
        <v>133</v>
      </c>
      <c r="G557" s="152" t="str">
        <f>IFERROR(__xludf.DUMMYFUNCTION("""COMPUTED_VALUE"""),"")</f>
        <v/>
      </c>
      <c r="H557" s="106" t="s">
        <v>133</v>
      </c>
      <c r="I557" s="136"/>
      <c r="J557" s="139" t="s">
        <v>133</v>
      </c>
      <c r="K557" s="136" t="s">
        <v>133</v>
      </c>
      <c r="L557" s="153" t="str">
        <f>IFERROR(__xludf.DUMMYFUNCTION("""COMPUTED_VALUE"""),"")</f>
        <v/>
      </c>
      <c r="M557" s="136" t="str">
        <f t="shared" si="1"/>
        <v/>
      </c>
      <c r="N557" s="136" t="str">
        <f>IFERROR(__xludf.DUMMYFUNCTION("""COMPUTED_VALUE"""),"")</f>
        <v/>
      </c>
      <c r="O557" s="141" t="s">
        <v>133</v>
      </c>
      <c r="P557" s="136" t="str">
        <f>IFERROR(__xludf.DUMMYFUNCTION("""COMPUTED_VALUE"""),"")</f>
        <v/>
      </c>
      <c r="Q557" s="136" t="str">
        <f>IFERROR(__xludf.DUMMYFUNCTION("""COMPUTED_VALUE"""),"")</f>
        <v/>
      </c>
      <c r="R557" s="106" t="str">
        <f>IFERROR(__xludf.DUMMYFUNCTION("""COMPUTED_VALUE"""),"")</f>
        <v/>
      </c>
      <c r="S557" s="106" t="str">
        <f>IFERROR(__xludf.DUMMYFUNCTION("""COMPUTED_VALUE"""),"")</f>
        <v/>
      </c>
      <c r="T557" s="139" t="str">
        <f>IFERROR(__xludf.DUMMYFUNCTION("""COMPUTED_VALUE"""),"")</f>
        <v/>
      </c>
      <c r="U557" s="139" t="str">
        <f>IFERROR(__xludf.DUMMYFUNCTION("""COMPUTED_VALUE"""),"")</f>
        <v/>
      </c>
      <c r="V557" s="136" t="str">
        <f>IFERROR(__xludf.DUMMYFUNCTION("""COMPUTED_VALUE"""),"")</f>
        <v/>
      </c>
      <c r="W557" s="106" t="str">
        <f>IFERROR(__xludf.DUMMYFUNCTION("""COMPUTED_VALUE"""),"")</f>
        <v/>
      </c>
      <c r="X557" s="143" t="str">
        <f t="shared" si="2"/>
        <v/>
      </c>
      <c r="Y557" s="139" t="str">
        <f>IFERROR(__xludf.DUMMYFUNCTION("""COMPUTED_VALUE"""),"")</f>
        <v/>
      </c>
      <c r="Z557" s="141" t="str">
        <f>IFERROR(__xludf.DUMMYFUNCTION("""COMPUTED_VALUE"""),"")</f>
        <v/>
      </c>
    </row>
    <row r="558">
      <c r="C558" s="136" t="str">
        <f>IFERROR(__xludf.DUMMYFUNCTION("""COMPUTED_VALUE"""),"")</f>
        <v/>
      </c>
      <c r="D558" s="136" t="str">
        <f t="shared" si="3"/>
        <v/>
      </c>
      <c r="E558" s="152" t="str">
        <f>IFERROR(__xludf.DUMMYFUNCTION("""COMPUTED_VALUE"""),"")</f>
        <v/>
      </c>
      <c r="F558" s="106" t="s">
        <v>133</v>
      </c>
      <c r="G558" s="152" t="str">
        <f>IFERROR(__xludf.DUMMYFUNCTION("""COMPUTED_VALUE"""),"")</f>
        <v/>
      </c>
      <c r="H558" s="106" t="s">
        <v>133</v>
      </c>
      <c r="I558" s="136"/>
      <c r="J558" s="139" t="s">
        <v>133</v>
      </c>
      <c r="K558" s="136" t="s">
        <v>133</v>
      </c>
      <c r="L558" s="153" t="str">
        <f>IFERROR(__xludf.DUMMYFUNCTION("""COMPUTED_VALUE"""),"")</f>
        <v/>
      </c>
      <c r="M558" s="136" t="str">
        <f t="shared" si="1"/>
        <v/>
      </c>
      <c r="N558" s="136" t="str">
        <f>IFERROR(__xludf.DUMMYFUNCTION("""COMPUTED_VALUE"""),"")</f>
        <v/>
      </c>
      <c r="O558" s="141" t="s">
        <v>133</v>
      </c>
      <c r="P558" s="136" t="str">
        <f>IFERROR(__xludf.DUMMYFUNCTION("""COMPUTED_VALUE"""),"")</f>
        <v/>
      </c>
      <c r="Q558" s="136" t="str">
        <f>IFERROR(__xludf.DUMMYFUNCTION("""COMPUTED_VALUE"""),"")</f>
        <v/>
      </c>
      <c r="R558" s="106" t="str">
        <f>IFERROR(__xludf.DUMMYFUNCTION("""COMPUTED_VALUE"""),"")</f>
        <v/>
      </c>
      <c r="S558" s="106" t="str">
        <f>IFERROR(__xludf.DUMMYFUNCTION("""COMPUTED_VALUE"""),"")</f>
        <v/>
      </c>
      <c r="T558" s="139" t="str">
        <f>IFERROR(__xludf.DUMMYFUNCTION("""COMPUTED_VALUE"""),"")</f>
        <v/>
      </c>
      <c r="U558" s="139" t="str">
        <f>IFERROR(__xludf.DUMMYFUNCTION("""COMPUTED_VALUE"""),"")</f>
        <v/>
      </c>
      <c r="V558" s="136" t="str">
        <f>IFERROR(__xludf.DUMMYFUNCTION("""COMPUTED_VALUE"""),"")</f>
        <v/>
      </c>
      <c r="W558" s="106" t="str">
        <f>IFERROR(__xludf.DUMMYFUNCTION("""COMPUTED_VALUE"""),"")</f>
        <v/>
      </c>
      <c r="X558" s="143" t="str">
        <f t="shared" si="2"/>
        <v/>
      </c>
      <c r="Y558" s="139" t="str">
        <f>IFERROR(__xludf.DUMMYFUNCTION("""COMPUTED_VALUE"""),"")</f>
        <v/>
      </c>
      <c r="Z558" s="141" t="str">
        <f>IFERROR(__xludf.DUMMYFUNCTION("""COMPUTED_VALUE"""),"")</f>
        <v/>
      </c>
    </row>
    <row r="559">
      <c r="C559" s="136" t="str">
        <f>IFERROR(__xludf.DUMMYFUNCTION("""COMPUTED_VALUE"""),"")</f>
        <v/>
      </c>
      <c r="D559" s="136" t="str">
        <f t="shared" si="3"/>
        <v/>
      </c>
      <c r="E559" s="152" t="str">
        <f>IFERROR(__xludf.DUMMYFUNCTION("""COMPUTED_VALUE"""),"")</f>
        <v/>
      </c>
      <c r="F559" s="106" t="s">
        <v>133</v>
      </c>
      <c r="G559" s="152" t="str">
        <f>IFERROR(__xludf.DUMMYFUNCTION("""COMPUTED_VALUE"""),"")</f>
        <v/>
      </c>
      <c r="H559" s="106" t="s">
        <v>133</v>
      </c>
      <c r="I559" s="136"/>
      <c r="J559" s="139" t="s">
        <v>133</v>
      </c>
      <c r="K559" s="136" t="s">
        <v>133</v>
      </c>
      <c r="L559" s="153" t="str">
        <f>IFERROR(__xludf.DUMMYFUNCTION("""COMPUTED_VALUE"""),"")</f>
        <v/>
      </c>
      <c r="M559" s="136" t="str">
        <f t="shared" si="1"/>
        <v/>
      </c>
      <c r="N559" s="136" t="str">
        <f>IFERROR(__xludf.DUMMYFUNCTION("""COMPUTED_VALUE"""),"")</f>
        <v/>
      </c>
      <c r="O559" s="141" t="s">
        <v>133</v>
      </c>
      <c r="P559" s="136" t="str">
        <f>IFERROR(__xludf.DUMMYFUNCTION("""COMPUTED_VALUE"""),"")</f>
        <v/>
      </c>
      <c r="Q559" s="136" t="str">
        <f>IFERROR(__xludf.DUMMYFUNCTION("""COMPUTED_VALUE"""),"")</f>
        <v/>
      </c>
      <c r="R559" s="106" t="str">
        <f>IFERROR(__xludf.DUMMYFUNCTION("""COMPUTED_VALUE"""),"")</f>
        <v/>
      </c>
      <c r="S559" s="106" t="str">
        <f>IFERROR(__xludf.DUMMYFUNCTION("""COMPUTED_VALUE"""),"")</f>
        <v/>
      </c>
      <c r="T559" s="139" t="str">
        <f>IFERROR(__xludf.DUMMYFUNCTION("""COMPUTED_VALUE"""),"")</f>
        <v/>
      </c>
      <c r="U559" s="139" t="str">
        <f>IFERROR(__xludf.DUMMYFUNCTION("""COMPUTED_VALUE"""),"")</f>
        <v/>
      </c>
      <c r="V559" s="136" t="str">
        <f>IFERROR(__xludf.DUMMYFUNCTION("""COMPUTED_VALUE"""),"")</f>
        <v/>
      </c>
      <c r="W559" s="106" t="str">
        <f>IFERROR(__xludf.DUMMYFUNCTION("""COMPUTED_VALUE"""),"")</f>
        <v/>
      </c>
      <c r="X559" s="143" t="str">
        <f t="shared" si="2"/>
        <v/>
      </c>
      <c r="Y559" s="139" t="str">
        <f>IFERROR(__xludf.DUMMYFUNCTION("""COMPUTED_VALUE"""),"")</f>
        <v/>
      </c>
      <c r="Z559" s="141" t="str">
        <f>IFERROR(__xludf.DUMMYFUNCTION("""COMPUTED_VALUE"""),"")</f>
        <v/>
      </c>
    </row>
    <row r="560">
      <c r="C560" s="136" t="str">
        <f>IFERROR(__xludf.DUMMYFUNCTION("""COMPUTED_VALUE"""),"")</f>
        <v/>
      </c>
      <c r="D560" s="136" t="str">
        <f t="shared" si="3"/>
        <v/>
      </c>
      <c r="E560" s="152" t="str">
        <f>IFERROR(__xludf.DUMMYFUNCTION("""COMPUTED_VALUE"""),"")</f>
        <v/>
      </c>
      <c r="F560" s="106" t="s">
        <v>133</v>
      </c>
      <c r="G560" s="152" t="str">
        <f>IFERROR(__xludf.DUMMYFUNCTION("""COMPUTED_VALUE"""),"")</f>
        <v/>
      </c>
      <c r="H560" s="106" t="s">
        <v>133</v>
      </c>
      <c r="I560" s="136"/>
      <c r="J560" s="139" t="s">
        <v>133</v>
      </c>
      <c r="K560" s="136" t="s">
        <v>133</v>
      </c>
      <c r="L560" s="153" t="str">
        <f>IFERROR(__xludf.DUMMYFUNCTION("""COMPUTED_VALUE"""),"")</f>
        <v/>
      </c>
      <c r="M560" s="136" t="str">
        <f t="shared" si="1"/>
        <v/>
      </c>
      <c r="N560" s="136" t="str">
        <f>IFERROR(__xludf.DUMMYFUNCTION("""COMPUTED_VALUE"""),"")</f>
        <v/>
      </c>
      <c r="O560" s="141" t="s">
        <v>133</v>
      </c>
      <c r="P560" s="136" t="str">
        <f>IFERROR(__xludf.DUMMYFUNCTION("""COMPUTED_VALUE"""),"")</f>
        <v/>
      </c>
      <c r="Q560" s="136" t="str">
        <f>IFERROR(__xludf.DUMMYFUNCTION("""COMPUTED_VALUE"""),"")</f>
        <v/>
      </c>
      <c r="R560" s="106" t="str">
        <f>IFERROR(__xludf.DUMMYFUNCTION("""COMPUTED_VALUE"""),"")</f>
        <v/>
      </c>
      <c r="S560" s="106" t="str">
        <f>IFERROR(__xludf.DUMMYFUNCTION("""COMPUTED_VALUE"""),"")</f>
        <v/>
      </c>
      <c r="T560" s="139" t="str">
        <f>IFERROR(__xludf.DUMMYFUNCTION("""COMPUTED_VALUE"""),"")</f>
        <v/>
      </c>
      <c r="U560" s="139" t="str">
        <f>IFERROR(__xludf.DUMMYFUNCTION("""COMPUTED_VALUE"""),"")</f>
        <v/>
      </c>
      <c r="V560" s="136" t="str">
        <f>IFERROR(__xludf.DUMMYFUNCTION("""COMPUTED_VALUE"""),"")</f>
        <v/>
      </c>
      <c r="W560" s="106" t="str">
        <f>IFERROR(__xludf.DUMMYFUNCTION("""COMPUTED_VALUE"""),"")</f>
        <v/>
      </c>
      <c r="X560" s="143" t="str">
        <f t="shared" si="2"/>
        <v/>
      </c>
      <c r="Y560" s="139" t="str">
        <f>IFERROR(__xludf.DUMMYFUNCTION("""COMPUTED_VALUE"""),"")</f>
        <v/>
      </c>
      <c r="Z560" s="141" t="str">
        <f>IFERROR(__xludf.DUMMYFUNCTION("""COMPUTED_VALUE"""),"")</f>
        <v/>
      </c>
    </row>
    <row r="561">
      <c r="C561" s="136" t="str">
        <f>IFERROR(__xludf.DUMMYFUNCTION("""COMPUTED_VALUE"""),"")</f>
        <v/>
      </c>
      <c r="D561" s="136" t="str">
        <f t="shared" si="3"/>
        <v/>
      </c>
      <c r="E561" s="152" t="str">
        <f>IFERROR(__xludf.DUMMYFUNCTION("""COMPUTED_VALUE"""),"")</f>
        <v/>
      </c>
      <c r="F561" s="106" t="s">
        <v>133</v>
      </c>
      <c r="G561" s="152" t="str">
        <f>IFERROR(__xludf.DUMMYFUNCTION("""COMPUTED_VALUE"""),"")</f>
        <v/>
      </c>
      <c r="H561" s="106" t="s">
        <v>133</v>
      </c>
      <c r="I561" s="136"/>
      <c r="J561" s="139" t="s">
        <v>133</v>
      </c>
      <c r="K561" s="136" t="s">
        <v>133</v>
      </c>
      <c r="L561" s="153" t="str">
        <f>IFERROR(__xludf.DUMMYFUNCTION("""COMPUTED_VALUE"""),"")</f>
        <v/>
      </c>
      <c r="M561" s="136" t="str">
        <f t="shared" si="1"/>
        <v/>
      </c>
      <c r="N561" s="136" t="str">
        <f>IFERROR(__xludf.DUMMYFUNCTION("""COMPUTED_VALUE"""),"")</f>
        <v/>
      </c>
      <c r="O561" s="141" t="s">
        <v>133</v>
      </c>
      <c r="P561" s="136" t="str">
        <f>IFERROR(__xludf.DUMMYFUNCTION("""COMPUTED_VALUE"""),"")</f>
        <v/>
      </c>
      <c r="Q561" s="136" t="str">
        <f>IFERROR(__xludf.DUMMYFUNCTION("""COMPUTED_VALUE"""),"")</f>
        <v/>
      </c>
      <c r="R561" s="106" t="str">
        <f>IFERROR(__xludf.DUMMYFUNCTION("""COMPUTED_VALUE"""),"")</f>
        <v/>
      </c>
      <c r="S561" s="106" t="str">
        <f>IFERROR(__xludf.DUMMYFUNCTION("""COMPUTED_VALUE"""),"")</f>
        <v/>
      </c>
      <c r="T561" s="139" t="str">
        <f>IFERROR(__xludf.DUMMYFUNCTION("""COMPUTED_VALUE"""),"")</f>
        <v/>
      </c>
      <c r="U561" s="139" t="str">
        <f>IFERROR(__xludf.DUMMYFUNCTION("""COMPUTED_VALUE"""),"")</f>
        <v/>
      </c>
      <c r="V561" s="136" t="str">
        <f>IFERROR(__xludf.DUMMYFUNCTION("""COMPUTED_VALUE"""),"")</f>
        <v/>
      </c>
      <c r="W561" s="106" t="str">
        <f>IFERROR(__xludf.DUMMYFUNCTION("""COMPUTED_VALUE"""),"")</f>
        <v/>
      </c>
      <c r="X561" s="143" t="str">
        <f t="shared" si="2"/>
        <v/>
      </c>
      <c r="Y561" s="139" t="str">
        <f>IFERROR(__xludf.DUMMYFUNCTION("""COMPUTED_VALUE"""),"")</f>
        <v/>
      </c>
      <c r="Z561" s="141" t="str">
        <f>IFERROR(__xludf.DUMMYFUNCTION("""COMPUTED_VALUE"""),"")</f>
        <v/>
      </c>
    </row>
    <row r="562">
      <c r="C562" s="136" t="str">
        <f>IFERROR(__xludf.DUMMYFUNCTION("""COMPUTED_VALUE"""),"")</f>
        <v/>
      </c>
      <c r="D562" s="136" t="str">
        <f t="shared" si="3"/>
        <v/>
      </c>
      <c r="E562" s="152" t="str">
        <f>IFERROR(__xludf.DUMMYFUNCTION("""COMPUTED_VALUE"""),"")</f>
        <v/>
      </c>
      <c r="F562" s="106" t="s">
        <v>133</v>
      </c>
      <c r="G562" s="152" t="str">
        <f>IFERROR(__xludf.DUMMYFUNCTION("""COMPUTED_VALUE"""),"")</f>
        <v/>
      </c>
      <c r="H562" s="106" t="s">
        <v>133</v>
      </c>
      <c r="I562" s="136"/>
      <c r="J562" s="139" t="s">
        <v>133</v>
      </c>
      <c r="K562" s="136" t="s">
        <v>133</v>
      </c>
      <c r="L562" s="153" t="str">
        <f>IFERROR(__xludf.DUMMYFUNCTION("""COMPUTED_VALUE"""),"")</f>
        <v/>
      </c>
      <c r="M562" s="136" t="str">
        <f t="shared" si="1"/>
        <v/>
      </c>
      <c r="N562" s="136" t="str">
        <f>IFERROR(__xludf.DUMMYFUNCTION("""COMPUTED_VALUE"""),"")</f>
        <v/>
      </c>
      <c r="O562" s="141" t="s">
        <v>133</v>
      </c>
      <c r="P562" s="136" t="str">
        <f>IFERROR(__xludf.DUMMYFUNCTION("""COMPUTED_VALUE"""),"")</f>
        <v/>
      </c>
      <c r="Q562" s="136" t="str">
        <f>IFERROR(__xludf.DUMMYFUNCTION("""COMPUTED_VALUE"""),"")</f>
        <v/>
      </c>
      <c r="R562" s="106" t="str">
        <f>IFERROR(__xludf.DUMMYFUNCTION("""COMPUTED_VALUE"""),"")</f>
        <v/>
      </c>
      <c r="S562" s="106" t="str">
        <f>IFERROR(__xludf.DUMMYFUNCTION("""COMPUTED_VALUE"""),"")</f>
        <v/>
      </c>
      <c r="T562" s="139" t="str">
        <f>IFERROR(__xludf.DUMMYFUNCTION("""COMPUTED_VALUE"""),"")</f>
        <v/>
      </c>
      <c r="U562" s="139" t="str">
        <f>IFERROR(__xludf.DUMMYFUNCTION("""COMPUTED_VALUE"""),"")</f>
        <v/>
      </c>
      <c r="V562" s="136" t="str">
        <f>IFERROR(__xludf.DUMMYFUNCTION("""COMPUTED_VALUE"""),"")</f>
        <v/>
      </c>
      <c r="W562" s="106" t="str">
        <f>IFERROR(__xludf.DUMMYFUNCTION("""COMPUTED_VALUE"""),"")</f>
        <v/>
      </c>
      <c r="X562" s="143" t="str">
        <f t="shared" si="2"/>
        <v/>
      </c>
      <c r="Y562" s="139" t="str">
        <f>IFERROR(__xludf.DUMMYFUNCTION("""COMPUTED_VALUE"""),"")</f>
        <v/>
      </c>
      <c r="Z562" s="141" t="str">
        <f>IFERROR(__xludf.DUMMYFUNCTION("""COMPUTED_VALUE"""),"")</f>
        <v/>
      </c>
    </row>
    <row r="563">
      <c r="C563" s="136" t="str">
        <f>IFERROR(__xludf.DUMMYFUNCTION("""COMPUTED_VALUE"""),"")</f>
        <v/>
      </c>
      <c r="D563" s="136" t="str">
        <f t="shared" si="3"/>
        <v/>
      </c>
      <c r="E563" s="152" t="str">
        <f>IFERROR(__xludf.DUMMYFUNCTION("""COMPUTED_VALUE"""),"")</f>
        <v/>
      </c>
      <c r="F563" s="106" t="s">
        <v>133</v>
      </c>
      <c r="G563" s="152" t="str">
        <f>IFERROR(__xludf.DUMMYFUNCTION("""COMPUTED_VALUE"""),"")</f>
        <v/>
      </c>
      <c r="H563" s="106" t="s">
        <v>133</v>
      </c>
      <c r="I563" s="136"/>
      <c r="J563" s="139" t="s">
        <v>133</v>
      </c>
      <c r="K563" s="136" t="s">
        <v>133</v>
      </c>
      <c r="L563" s="153" t="str">
        <f>IFERROR(__xludf.DUMMYFUNCTION("""COMPUTED_VALUE"""),"")</f>
        <v/>
      </c>
      <c r="M563" s="136" t="str">
        <f t="shared" si="1"/>
        <v/>
      </c>
      <c r="N563" s="136" t="str">
        <f>IFERROR(__xludf.DUMMYFUNCTION("""COMPUTED_VALUE"""),"")</f>
        <v/>
      </c>
      <c r="O563" s="141" t="s">
        <v>133</v>
      </c>
      <c r="P563" s="136" t="str">
        <f>IFERROR(__xludf.DUMMYFUNCTION("""COMPUTED_VALUE"""),"")</f>
        <v/>
      </c>
      <c r="Q563" s="136" t="str">
        <f>IFERROR(__xludf.DUMMYFUNCTION("""COMPUTED_VALUE"""),"")</f>
        <v/>
      </c>
      <c r="R563" s="106" t="str">
        <f>IFERROR(__xludf.DUMMYFUNCTION("""COMPUTED_VALUE"""),"")</f>
        <v/>
      </c>
      <c r="S563" s="106" t="str">
        <f>IFERROR(__xludf.DUMMYFUNCTION("""COMPUTED_VALUE"""),"")</f>
        <v/>
      </c>
      <c r="T563" s="139" t="str">
        <f>IFERROR(__xludf.DUMMYFUNCTION("""COMPUTED_VALUE"""),"")</f>
        <v/>
      </c>
      <c r="U563" s="139" t="str">
        <f>IFERROR(__xludf.DUMMYFUNCTION("""COMPUTED_VALUE"""),"")</f>
        <v/>
      </c>
      <c r="V563" s="136" t="str">
        <f>IFERROR(__xludf.DUMMYFUNCTION("""COMPUTED_VALUE"""),"")</f>
        <v/>
      </c>
      <c r="W563" s="106" t="str">
        <f>IFERROR(__xludf.DUMMYFUNCTION("""COMPUTED_VALUE"""),"")</f>
        <v/>
      </c>
      <c r="X563" s="143" t="str">
        <f t="shared" si="2"/>
        <v/>
      </c>
      <c r="Y563" s="139" t="str">
        <f>IFERROR(__xludf.DUMMYFUNCTION("""COMPUTED_VALUE"""),"")</f>
        <v/>
      </c>
      <c r="Z563" s="141" t="str">
        <f>IFERROR(__xludf.DUMMYFUNCTION("""COMPUTED_VALUE"""),"")</f>
        <v/>
      </c>
    </row>
    <row r="564">
      <c r="C564" s="136" t="str">
        <f>IFERROR(__xludf.DUMMYFUNCTION("""COMPUTED_VALUE"""),"")</f>
        <v/>
      </c>
      <c r="D564" s="136" t="str">
        <f t="shared" si="3"/>
        <v/>
      </c>
      <c r="E564" s="152" t="str">
        <f>IFERROR(__xludf.DUMMYFUNCTION("""COMPUTED_VALUE"""),"")</f>
        <v/>
      </c>
      <c r="F564" s="106" t="s">
        <v>133</v>
      </c>
      <c r="G564" s="152" t="str">
        <f>IFERROR(__xludf.DUMMYFUNCTION("""COMPUTED_VALUE"""),"")</f>
        <v/>
      </c>
      <c r="H564" s="106" t="s">
        <v>133</v>
      </c>
      <c r="I564" s="136"/>
      <c r="J564" s="139" t="s">
        <v>133</v>
      </c>
      <c r="K564" s="136" t="s">
        <v>133</v>
      </c>
      <c r="L564" s="153" t="str">
        <f>IFERROR(__xludf.DUMMYFUNCTION("""COMPUTED_VALUE"""),"")</f>
        <v/>
      </c>
      <c r="M564" s="136" t="str">
        <f t="shared" si="1"/>
        <v/>
      </c>
      <c r="N564" s="136" t="str">
        <f>IFERROR(__xludf.DUMMYFUNCTION("""COMPUTED_VALUE"""),"")</f>
        <v/>
      </c>
      <c r="O564" s="141" t="s">
        <v>133</v>
      </c>
      <c r="P564" s="136" t="str">
        <f>IFERROR(__xludf.DUMMYFUNCTION("""COMPUTED_VALUE"""),"")</f>
        <v/>
      </c>
      <c r="Q564" s="136" t="str">
        <f>IFERROR(__xludf.DUMMYFUNCTION("""COMPUTED_VALUE"""),"")</f>
        <v/>
      </c>
      <c r="R564" s="106" t="str">
        <f>IFERROR(__xludf.DUMMYFUNCTION("""COMPUTED_VALUE"""),"")</f>
        <v/>
      </c>
      <c r="S564" s="106" t="str">
        <f>IFERROR(__xludf.DUMMYFUNCTION("""COMPUTED_VALUE"""),"")</f>
        <v/>
      </c>
      <c r="T564" s="139" t="str">
        <f>IFERROR(__xludf.DUMMYFUNCTION("""COMPUTED_VALUE"""),"")</f>
        <v/>
      </c>
      <c r="U564" s="139" t="str">
        <f>IFERROR(__xludf.DUMMYFUNCTION("""COMPUTED_VALUE"""),"")</f>
        <v/>
      </c>
      <c r="V564" s="136" t="str">
        <f>IFERROR(__xludf.DUMMYFUNCTION("""COMPUTED_VALUE"""),"")</f>
        <v/>
      </c>
      <c r="W564" s="106" t="str">
        <f>IFERROR(__xludf.DUMMYFUNCTION("""COMPUTED_VALUE"""),"")</f>
        <v/>
      </c>
      <c r="X564" s="143" t="str">
        <f t="shared" si="2"/>
        <v/>
      </c>
      <c r="Y564" s="139" t="str">
        <f>IFERROR(__xludf.DUMMYFUNCTION("""COMPUTED_VALUE"""),"")</f>
        <v/>
      </c>
      <c r="Z564" s="141" t="str">
        <f>IFERROR(__xludf.DUMMYFUNCTION("""COMPUTED_VALUE"""),"")</f>
        <v/>
      </c>
    </row>
    <row r="565">
      <c r="C565" s="136" t="str">
        <f>IFERROR(__xludf.DUMMYFUNCTION("""COMPUTED_VALUE"""),"")</f>
        <v/>
      </c>
      <c r="D565" s="136" t="str">
        <f t="shared" si="3"/>
        <v/>
      </c>
      <c r="E565" s="152" t="str">
        <f>IFERROR(__xludf.DUMMYFUNCTION("""COMPUTED_VALUE"""),"")</f>
        <v/>
      </c>
      <c r="F565" s="106" t="s">
        <v>133</v>
      </c>
      <c r="G565" s="152" t="str">
        <f>IFERROR(__xludf.DUMMYFUNCTION("""COMPUTED_VALUE"""),"")</f>
        <v/>
      </c>
      <c r="H565" s="106" t="s">
        <v>133</v>
      </c>
      <c r="I565" s="136"/>
      <c r="J565" s="139" t="s">
        <v>133</v>
      </c>
      <c r="K565" s="136" t="s">
        <v>133</v>
      </c>
      <c r="L565" s="153" t="str">
        <f>IFERROR(__xludf.DUMMYFUNCTION("""COMPUTED_VALUE"""),"")</f>
        <v/>
      </c>
      <c r="M565" s="136" t="str">
        <f t="shared" si="1"/>
        <v/>
      </c>
      <c r="N565" s="136" t="str">
        <f>IFERROR(__xludf.DUMMYFUNCTION("""COMPUTED_VALUE"""),"")</f>
        <v/>
      </c>
      <c r="O565" s="141" t="s">
        <v>133</v>
      </c>
      <c r="P565" s="136" t="str">
        <f>IFERROR(__xludf.DUMMYFUNCTION("""COMPUTED_VALUE"""),"")</f>
        <v/>
      </c>
      <c r="Q565" s="136" t="str">
        <f>IFERROR(__xludf.DUMMYFUNCTION("""COMPUTED_VALUE"""),"")</f>
        <v/>
      </c>
      <c r="R565" s="106" t="str">
        <f>IFERROR(__xludf.DUMMYFUNCTION("""COMPUTED_VALUE"""),"")</f>
        <v/>
      </c>
      <c r="S565" s="106" t="str">
        <f>IFERROR(__xludf.DUMMYFUNCTION("""COMPUTED_VALUE"""),"")</f>
        <v/>
      </c>
      <c r="T565" s="139" t="str">
        <f>IFERROR(__xludf.DUMMYFUNCTION("""COMPUTED_VALUE"""),"")</f>
        <v/>
      </c>
      <c r="U565" s="139" t="str">
        <f>IFERROR(__xludf.DUMMYFUNCTION("""COMPUTED_VALUE"""),"")</f>
        <v/>
      </c>
      <c r="V565" s="136" t="str">
        <f>IFERROR(__xludf.DUMMYFUNCTION("""COMPUTED_VALUE"""),"")</f>
        <v/>
      </c>
      <c r="W565" s="106" t="str">
        <f>IFERROR(__xludf.DUMMYFUNCTION("""COMPUTED_VALUE"""),"")</f>
        <v/>
      </c>
      <c r="X565" s="143" t="str">
        <f t="shared" si="2"/>
        <v/>
      </c>
      <c r="Y565" s="139" t="str">
        <f>IFERROR(__xludf.DUMMYFUNCTION("""COMPUTED_VALUE"""),"")</f>
        <v/>
      </c>
      <c r="Z565" s="141" t="str">
        <f>IFERROR(__xludf.DUMMYFUNCTION("""COMPUTED_VALUE"""),"")</f>
        <v/>
      </c>
    </row>
    <row r="566">
      <c r="C566" s="136" t="str">
        <f>IFERROR(__xludf.DUMMYFUNCTION("""COMPUTED_VALUE"""),"")</f>
        <v/>
      </c>
      <c r="D566" s="136" t="str">
        <f t="shared" si="3"/>
        <v/>
      </c>
      <c r="E566" s="152" t="str">
        <f>IFERROR(__xludf.DUMMYFUNCTION("""COMPUTED_VALUE"""),"")</f>
        <v/>
      </c>
      <c r="F566" s="106" t="s">
        <v>133</v>
      </c>
      <c r="G566" s="152" t="str">
        <f>IFERROR(__xludf.DUMMYFUNCTION("""COMPUTED_VALUE"""),"")</f>
        <v/>
      </c>
      <c r="H566" s="106" t="s">
        <v>133</v>
      </c>
      <c r="I566" s="136"/>
      <c r="J566" s="139" t="s">
        <v>133</v>
      </c>
      <c r="K566" s="136" t="s">
        <v>133</v>
      </c>
      <c r="L566" s="153" t="str">
        <f>IFERROR(__xludf.DUMMYFUNCTION("""COMPUTED_VALUE"""),"")</f>
        <v/>
      </c>
      <c r="M566" s="136" t="str">
        <f t="shared" si="1"/>
        <v/>
      </c>
      <c r="N566" s="136" t="str">
        <f>IFERROR(__xludf.DUMMYFUNCTION("""COMPUTED_VALUE"""),"")</f>
        <v/>
      </c>
      <c r="O566" s="141" t="s">
        <v>133</v>
      </c>
      <c r="P566" s="136" t="str">
        <f>IFERROR(__xludf.DUMMYFUNCTION("""COMPUTED_VALUE"""),"")</f>
        <v/>
      </c>
      <c r="Q566" s="136" t="str">
        <f>IFERROR(__xludf.DUMMYFUNCTION("""COMPUTED_VALUE"""),"")</f>
        <v/>
      </c>
      <c r="R566" s="106" t="str">
        <f>IFERROR(__xludf.DUMMYFUNCTION("""COMPUTED_VALUE"""),"")</f>
        <v/>
      </c>
      <c r="S566" s="106" t="str">
        <f>IFERROR(__xludf.DUMMYFUNCTION("""COMPUTED_VALUE"""),"")</f>
        <v/>
      </c>
      <c r="T566" s="139" t="str">
        <f>IFERROR(__xludf.DUMMYFUNCTION("""COMPUTED_VALUE"""),"")</f>
        <v/>
      </c>
      <c r="U566" s="139" t="str">
        <f>IFERROR(__xludf.DUMMYFUNCTION("""COMPUTED_VALUE"""),"")</f>
        <v/>
      </c>
      <c r="V566" s="136" t="str">
        <f>IFERROR(__xludf.DUMMYFUNCTION("""COMPUTED_VALUE"""),"")</f>
        <v/>
      </c>
      <c r="W566" s="106" t="str">
        <f>IFERROR(__xludf.DUMMYFUNCTION("""COMPUTED_VALUE"""),"")</f>
        <v/>
      </c>
      <c r="X566" s="143" t="str">
        <f t="shared" si="2"/>
        <v/>
      </c>
      <c r="Y566" s="139" t="str">
        <f>IFERROR(__xludf.DUMMYFUNCTION("""COMPUTED_VALUE"""),"")</f>
        <v/>
      </c>
      <c r="Z566" s="141" t="str">
        <f>IFERROR(__xludf.DUMMYFUNCTION("""COMPUTED_VALUE"""),"")</f>
        <v/>
      </c>
    </row>
    <row r="567">
      <c r="C567" s="136" t="str">
        <f>IFERROR(__xludf.DUMMYFUNCTION("""COMPUTED_VALUE"""),"")</f>
        <v/>
      </c>
      <c r="D567" s="136" t="str">
        <f t="shared" si="3"/>
        <v/>
      </c>
      <c r="E567" s="152" t="str">
        <f>IFERROR(__xludf.DUMMYFUNCTION("""COMPUTED_VALUE"""),"")</f>
        <v/>
      </c>
      <c r="F567" s="106" t="s">
        <v>133</v>
      </c>
      <c r="G567" s="152" t="str">
        <f>IFERROR(__xludf.DUMMYFUNCTION("""COMPUTED_VALUE"""),"")</f>
        <v/>
      </c>
      <c r="H567" s="106" t="s">
        <v>133</v>
      </c>
      <c r="I567" s="136"/>
      <c r="J567" s="139" t="s">
        <v>133</v>
      </c>
      <c r="K567" s="136" t="s">
        <v>133</v>
      </c>
      <c r="L567" s="153" t="str">
        <f>IFERROR(__xludf.DUMMYFUNCTION("""COMPUTED_VALUE"""),"")</f>
        <v/>
      </c>
      <c r="M567" s="136" t="str">
        <f t="shared" si="1"/>
        <v/>
      </c>
      <c r="N567" s="136" t="str">
        <f>IFERROR(__xludf.DUMMYFUNCTION("""COMPUTED_VALUE"""),"")</f>
        <v/>
      </c>
      <c r="O567" s="141" t="s">
        <v>133</v>
      </c>
      <c r="P567" s="136" t="str">
        <f>IFERROR(__xludf.DUMMYFUNCTION("""COMPUTED_VALUE"""),"")</f>
        <v/>
      </c>
      <c r="Q567" s="136" t="str">
        <f>IFERROR(__xludf.DUMMYFUNCTION("""COMPUTED_VALUE"""),"")</f>
        <v/>
      </c>
      <c r="R567" s="106" t="str">
        <f>IFERROR(__xludf.DUMMYFUNCTION("""COMPUTED_VALUE"""),"")</f>
        <v/>
      </c>
      <c r="S567" s="106" t="str">
        <f>IFERROR(__xludf.DUMMYFUNCTION("""COMPUTED_VALUE"""),"")</f>
        <v/>
      </c>
      <c r="T567" s="139" t="str">
        <f>IFERROR(__xludf.DUMMYFUNCTION("""COMPUTED_VALUE"""),"")</f>
        <v/>
      </c>
      <c r="U567" s="139" t="str">
        <f>IFERROR(__xludf.DUMMYFUNCTION("""COMPUTED_VALUE"""),"")</f>
        <v/>
      </c>
      <c r="V567" s="136" t="str">
        <f>IFERROR(__xludf.DUMMYFUNCTION("""COMPUTED_VALUE"""),"")</f>
        <v/>
      </c>
      <c r="W567" s="106" t="str">
        <f>IFERROR(__xludf.DUMMYFUNCTION("""COMPUTED_VALUE"""),"")</f>
        <v/>
      </c>
      <c r="X567" s="143" t="str">
        <f t="shared" si="2"/>
        <v/>
      </c>
      <c r="Y567" s="139" t="str">
        <f>IFERROR(__xludf.DUMMYFUNCTION("""COMPUTED_VALUE"""),"")</f>
        <v/>
      </c>
      <c r="Z567" s="141" t="str">
        <f>IFERROR(__xludf.DUMMYFUNCTION("""COMPUTED_VALUE"""),"")</f>
        <v/>
      </c>
    </row>
    <row r="568">
      <c r="C568" s="136" t="str">
        <f>IFERROR(__xludf.DUMMYFUNCTION("""COMPUTED_VALUE"""),"")</f>
        <v/>
      </c>
      <c r="D568" s="136" t="str">
        <f t="shared" si="3"/>
        <v/>
      </c>
      <c r="E568" s="152" t="str">
        <f>IFERROR(__xludf.DUMMYFUNCTION("""COMPUTED_VALUE"""),"")</f>
        <v/>
      </c>
      <c r="F568" s="106" t="s">
        <v>133</v>
      </c>
      <c r="G568" s="152" t="str">
        <f>IFERROR(__xludf.DUMMYFUNCTION("""COMPUTED_VALUE"""),"")</f>
        <v/>
      </c>
      <c r="H568" s="106" t="s">
        <v>133</v>
      </c>
      <c r="I568" s="136"/>
      <c r="J568" s="139" t="s">
        <v>133</v>
      </c>
      <c r="K568" s="136" t="s">
        <v>133</v>
      </c>
      <c r="L568" s="153" t="str">
        <f>IFERROR(__xludf.DUMMYFUNCTION("""COMPUTED_VALUE"""),"")</f>
        <v/>
      </c>
      <c r="M568" s="136" t="str">
        <f t="shared" si="1"/>
        <v/>
      </c>
      <c r="N568" s="136" t="str">
        <f>IFERROR(__xludf.DUMMYFUNCTION("""COMPUTED_VALUE"""),"")</f>
        <v/>
      </c>
      <c r="O568" s="141" t="s">
        <v>133</v>
      </c>
      <c r="P568" s="136" t="str">
        <f>IFERROR(__xludf.DUMMYFUNCTION("""COMPUTED_VALUE"""),"")</f>
        <v/>
      </c>
      <c r="Q568" s="136" t="str">
        <f>IFERROR(__xludf.DUMMYFUNCTION("""COMPUTED_VALUE"""),"")</f>
        <v/>
      </c>
      <c r="R568" s="106" t="str">
        <f>IFERROR(__xludf.DUMMYFUNCTION("""COMPUTED_VALUE"""),"")</f>
        <v/>
      </c>
      <c r="S568" s="106" t="str">
        <f>IFERROR(__xludf.DUMMYFUNCTION("""COMPUTED_VALUE"""),"")</f>
        <v/>
      </c>
      <c r="T568" s="139" t="str">
        <f>IFERROR(__xludf.DUMMYFUNCTION("""COMPUTED_VALUE"""),"")</f>
        <v/>
      </c>
      <c r="U568" s="139" t="str">
        <f>IFERROR(__xludf.DUMMYFUNCTION("""COMPUTED_VALUE"""),"")</f>
        <v/>
      </c>
      <c r="V568" s="136" t="str">
        <f>IFERROR(__xludf.DUMMYFUNCTION("""COMPUTED_VALUE"""),"")</f>
        <v/>
      </c>
      <c r="W568" s="106" t="str">
        <f>IFERROR(__xludf.DUMMYFUNCTION("""COMPUTED_VALUE"""),"")</f>
        <v/>
      </c>
      <c r="X568" s="143" t="str">
        <f t="shared" si="2"/>
        <v/>
      </c>
      <c r="Y568" s="139" t="str">
        <f>IFERROR(__xludf.DUMMYFUNCTION("""COMPUTED_VALUE"""),"")</f>
        <v/>
      </c>
      <c r="Z568" s="141" t="str">
        <f>IFERROR(__xludf.DUMMYFUNCTION("""COMPUTED_VALUE"""),"")</f>
        <v/>
      </c>
    </row>
    <row r="569">
      <c r="C569" s="136" t="str">
        <f>IFERROR(__xludf.DUMMYFUNCTION("""COMPUTED_VALUE"""),"")</f>
        <v/>
      </c>
      <c r="D569" s="136" t="str">
        <f t="shared" si="3"/>
        <v/>
      </c>
      <c r="E569" s="152" t="str">
        <f>IFERROR(__xludf.DUMMYFUNCTION("""COMPUTED_VALUE"""),"")</f>
        <v/>
      </c>
      <c r="F569" s="106" t="s">
        <v>133</v>
      </c>
      <c r="G569" s="152" t="str">
        <f>IFERROR(__xludf.DUMMYFUNCTION("""COMPUTED_VALUE"""),"")</f>
        <v/>
      </c>
      <c r="H569" s="106" t="s">
        <v>133</v>
      </c>
      <c r="I569" s="136"/>
      <c r="J569" s="139" t="s">
        <v>133</v>
      </c>
      <c r="K569" s="136" t="s">
        <v>133</v>
      </c>
      <c r="L569" s="153" t="str">
        <f>IFERROR(__xludf.DUMMYFUNCTION("""COMPUTED_VALUE"""),"")</f>
        <v/>
      </c>
      <c r="M569" s="136" t="str">
        <f t="shared" si="1"/>
        <v/>
      </c>
      <c r="N569" s="136" t="str">
        <f>IFERROR(__xludf.DUMMYFUNCTION("""COMPUTED_VALUE"""),"")</f>
        <v/>
      </c>
      <c r="O569" s="141" t="s">
        <v>133</v>
      </c>
      <c r="P569" s="136" t="str">
        <f>IFERROR(__xludf.DUMMYFUNCTION("""COMPUTED_VALUE"""),"")</f>
        <v/>
      </c>
      <c r="Q569" s="136" t="str">
        <f>IFERROR(__xludf.DUMMYFUNCTION("""COMPUTED_VALUE"""),"")</f>
        <v/>
      </c>
      <c r="R569" s="106" t="str">
        <f>IFERROR(__xludf.DUMMYFUNCTION("""COMPUTED_VALUE"""),"")</f>
        <v/>
      </c>
      <c r="S569" s="106" t="str">
        <f>IFERROR(__xludf.DUMMYFUNCTION("""COMPUTED_VALUE"""),"")</f>
        <v/>
      </c>
      <c r="T569" s="139" t="str">
        <f>IFERROR(__xludf.DUMMYFUNCTION("""COMPUTED_VALUE"""),"")</f>
        <v/>
      </c>
      <c r="U569" s="139" t="str">
        <f>IFERROR(__xludf.DUMMYFUNCTION("""COMPUTED_VALUE"""),"")</f>
        <v/>
      </c>
      <c r="V569" s="136" t="str">
        <f>IFERROR(__xludf.DUMMYFUNCTION("""COMPUTED_VALUE"""),"")</f>
        <v/>
      </c>
      <c r="W569" s="106" t="str">
        <f>IFERROR(__xludf.DUMMYFUNCTION("""COMPUTED_VALUE"""),"")</f>
        <v/>
      </c>
      <c r="X569" s="143" t="str">
        <f t="shared" si="2"/>
        <v/>
      </c>
      <c r="Y569" s="139" t="str">
        <f>IFERROR(__xludf.DUMMYFUNCTION("""COMPUTED_VALUE"""),"")</f>
        <v/>
      </c>
      <c r="Z569" s="141" t="str">
        <f>IFERROR(__xludf.DUMMYFUNCTION("""COMPUTED_VALUE"""),"")</f>
        <v/>
      </c>
    </row>
    <row r="570">
      <c r="C570" s="136" t="str">
        <f>IFERROR(__xludf.DUMMYFUNCTION("""COMPUTED_VALUE"""),"")</f>
        <v/>
      </c>
      <c r="D570" s="136" t="str">
        <f t="shared" si="3"/>
        <v/>
      </c>
      <c r="E570" s="152" t="str">
        <f>IFERROR(__xludf.DUMMYFUNCTION("""COMPUTED_VALUE"""),"")</f>
        <v/>
      </c>
      <c r="F570" s="106" t="s">
        <v>133</v>
      </c>
      <c r="G570" s="152" t="str">
        <f>IFERROR(__xludf.DUMMYFUNCTION("""COMPUTED_VALUE"""),"")</f>
        <v/>
      </c>
      <c r="H570" s="106" t="s">
        <v>133</v>
      </c>
      <c r="I570" s="136"/>
      <c r="J570" s="139" t="s">
        <v>133</v>
      </c>
      <c r="K570" s="136" t="s">
        <v>133</v>
      </c>
      <c r="L570" s="153" t="str">
        <f>IFERROR(__xludf.DUMMYFUNCTION("""COMPUTED_VALUE"""),"")</f>
        <v/>
      </c>
      <c r="M570" s="136" t="str">
        <f t="shared" si="1"/>
        <v/>
      </c>
      <c r="N570" s="136" t="str">
        <f>IFERROR(__xludf.DUMMYFUNCTION("""COMPUTED_VALUE"""),"")</f>
        <v/>
      </c>
      <c r="O570" s="141" t="s">
        <v>133</v>
      </c>
      <c r="P570" s="136" t="str">
        <f>IFERROR(__xludf.DUMMYFUNCTION("""COMPUTED_VALUE"""),"")</f>
        <v/>
      </c>
      <c r="Q570" s="136" t="str">
        <f>IFERROR(__xludf.DUMMYFUNCTION("""COMPUTED_VALUE"""),"")</f>
        <v/>
      </c>
      <c r="R570" s="106" t="str">
        <f>IFERROR(__xludf.DUMMYFUNCTION("""COMPUTED_VALUE"""),"")</f>
        <v/>
      </c>
      <c r="S570" s="106" t="str">
        <f>IFERROR(__xludf.DUMMYFUNCTION("""COMPUTED_VALUE"""),"")</f>
        <v/>
      </c>
      <c r="T570" s="139" t="str">
        <f>IFERROR(__xludf.DUMMYFUNCTION("""COMPUTED_VALUE"""),"")</f>
        <v/>
      </c>
      <c r="U570" s="139" t="str">
        <f>IFERROR(__xludf.DUMMYFUNCTION("""COMPUTED_VALUE"""),"")</f>
        <v/>
      </c>
      <c r="V570" s="136" t="str">
        <f>IFERROR(__xludf.DUMMYFUNCTION("""COMPUTED_VALUE"""),"")</f>
        <v/>
      </c>
      <c r="W570" s="106" t="str">
        <f>IFERROR(__xludf.DUMMYFUNCTION("""COMPUTED_VALUE"""),"")</f>
        <v/>
      </c>
      <c r="X570" s="143" t="str">
        <f t="shared" si="2"/>
        <v/>
      </c>
      <c r="Y570" s="139" t="str">
        <f>IFERROR(__xludf.DUMMYFUNCTION("""COMPUTED_VALUE"""),"")</f>
        <v/>
      </c>
      <c r="Z570" s="141" t="str">
        <f>IFERROR(__xludf.DUMMYFUNCTION("""COMPUTED_VALUE"""),"")</f>
        <v/>
      </c>
    </row>
    <row r="571">
      <c r="C571" s="136" t="str">
        <f>IFERROR(__xludf.DUMMYFUNCTION("""COMPUTED_VALUE"""),"")</f>
        <v/>
      </c>
      <c r="D571" s="136" t="str">
        <f t="shared" si="3"/>
        <v/>
      </c>
      <c r="E571" s="152" t="str">
        <f>IFERROR(__xludf.DUMMYFUNCTION("""COMPUTED_VALUE"""),"")</f>
        <v/>
      </c>
      <c r="F571" s="106" t="s">
        <v>133</v>
      </c>
      <c r="G571" s="152" t="str">
        <f>IFERROR(__xludf.DUMMYFUNCTION("""COMPUTED_VALUE"""),"")</f>
        <v/>
      </c>
      <c r="H571" s="106" t="s">
        <v>133</v>
      </c>
      <c r="I571" s="136"/>
      <c r="J571" s="139" t="s">
        <v>133</v>
      </c>
      <c r="K571" s="136" t="s">
        <v>133</v>
      </c>
      <c r="L571" s="153" t="str">
        <f>IFERROR(__xludf.DUMMYFUNCTION("""COMPUTED_VALUE"""),"")</f>
        <v/>
      </c>
      <c r="M571" s="136" t="str">
        <f t="shared" si="1"/>
        <v/>
      </c>
      <c r="N571" s="136" t="str">
        <f>IFERROR(__xludf.DUMMYFUNCTION("""COMPUTED_VALUE"""),"")</f>
        <v/>
      </c>
      <c r="O571" s="141" t="s">
        <v>133</v>
      </c>
      <c r="P571" s="136" t="str">
        <f>IFERROR(__xludf.DUMMYFUNCTION("""COMPUTED_VALUE"""),"")</f>
        <v/>
      </c>
      <c r="Q571" s="136" t="str">
        <f>IFERROR(__xludf.DUMMYFUNCTION("""COMPUTED_VALUE"""),"")</f>
        <v/>
      </c>
      <c r="R571" s="106" t="str">
        <f>IFERROR(__xludf.DUMMYFUNCTION("""COMPUTED_VALUE"""),"")</f>
        <v/>
      </c>
      <c r="S571" s="106" t="str">
        <f>IFERROR(__xludf.DUMMYFUNCTION("""COMPUTED_VALUE"""),"")</f>
        <v/>
      </c>
      <c r="T571" s="139" t="str">
        <f>IFERROR(__xludf.DUMMYFUNCTION("""COMPUTED_VALUE"""),"")</f>
        <v/>
      </c>
      <c r="U571" s="139" t="str">
        <f>IFERROR(__xludf.DUMMYFUNCTION("""COMPUTED_VALUE"""),"")</f>
        <v/>
      </c>
      <c r="V571" s="136" t="str">
        <f>IFERROR(__xludf.DUMMYFUNCTION("""COMPUTED_VALUE"""),"")</f>
        <v/>
      </c>
      <c r="W571" s="106" t="str">
        <f>IFERROR(__xludf.DUMMYFUNCTION("""COMPUTED_VALUE"""),"")</f>
        <v/>
      </c>
      <c r="X571" s="143" t="str">
        <f t="shared" si="2"/>
        <v/>
      </c>
      <c r="Y571" s="139" t="str">
        <f>IFERROR(__xludf.DUMMYFUNCTION("""COMPUTED_VALUE"""),"")</f>
        <v/>
      </c>
      <c r="Z571" s="141" t="str">
        <f>IFERROR(__xludf.DUMMYFUNCTION("""COMPUTED_VALUE"""),"")</f>
        <v/>
      </c>
    </row>
    <row r="572">
      <c r="C572" s="136" t="str">
        <f>IFERROR(__xludf.DUMMYFUNCTION("""COMPUTED_VALUE"""),"")</f>
        <v/>
      </c>
      <c r="D572" s="136" t="str">
        <f t="shared" si="3"/>
        <v/>
      </c>
      <c r="E572" s="152" t="str">
        <f>IFERROR(__xludf.DUMMYFUNCTION("""COMPUTED_VALUE"""),"")</f>
        <v/>
      </c>
      <c r="F572" s="106" t="s">
        <v>133</v>
      </c>
      <c r="G572" s="152" t="str">
        <f>IFERROR(__xludf.DUMMYFUNCTION("""COMPUTED_VALUE"""),"")</f>
        <v/>
      </c>
      <c r="H572" s="106" t="s">
        <v>133</v>
      </c>
      <c r="I572" s="136"/>
      <c r="J572" s="139" t="s">
        <v>133</v>
      </c>
      <c r="K572" s="136" t="s">
        <v>133</v>
      </c>
      <c r="L572" s="153" t="str">
        <f>IFERROR(__xludf.DUMMYFUNCTION("""COMPUTED_VALUE"""),"")</f>
        <v/>
      </c>
      <c r="M572" s="136" t="str">
        <f t="shared" si="1"/>
        <v/>
      </c>
      <c r="N572" s="136" t="str">
        <f>IFERROR(__xludf.DUMMYFUNCTION("""COMPUTED_VALUE"""),"")</f>
        <v/>
      </c>
      <c r="O572" s="141" t="s">
        <v>133</v>
      </c>
      <c r="P572" s="136" t="str">
        <f>IFERROR(__xludf.DUMMYFUNCTION("""COMPUTED_VALUE"""),"")</f>
        <v/>
      </c>
      <c r="Q572" s="136" t="str">
        <f>IFERROR(__xludf.DUMMYFUNCTION("""COMPUTED_VALUE"""),"")</f>
        <v/>
      </c>
      <c r="R572" s="106" t="str">
        <f>IFERROR(__xludf.DUMMYFUNCTION("""COMPUTED_VALUE"""),"")</f>
        <v/>
      </c>
      <c r="S572" s="106" t="str">
        <f>IFERROR(__xludf.DUMMYFUNCTION("""COMPUTED_VALUE"""),"")</f>
        <v/>
      </c>
      <c r="T572" s="139" t="str">
        <f>IFERROR(__xludf.DUMMYFUNCTION("""COMPUTED_VALUE"""),"")</f>
        <v/>
      </c>
      <c r="U572" s="139" t="str">
        <f>IFERROR(__xludf.DUMMYFUNCTION("""COMPUTED_VALUE"""),"")</f>
        <v/>
      </c>
      <c r="V572" s="136" t="str">
        <f>IFERROR(__xludf.DUMMYFUNCTION("""COMPUTED_VALUE"""),"")</f>
        <v/>
      </c>
      <c r="W572" s="106" t="str">
        <f>IFERROR(__xludf.DUMMYFUNCTION("""COMPUTED_VALUE"""),"")</f>
        <v/>
      </c>
      <c r="X572" s="143" t="str">
        <f t="shared" si="2"/>
        <v/>
      </c>
      <c r="Y572" s="139" t="str">
        <f>IFERROR(__xludf.DUMMYFUNCTION("""COMPUTED_VALUE"""),"")</f>
        <v/>
      </c>
      <c r="Z572" s="141" t="str">
        <f>IFERROR(__xludf.DUMMYFUNCTION("""COMPUTED_VALUE"""),"")</f>
        <v/>
      </c>
    </row>
    <row r="573">
      <c r="C573" s="136" t="str">
        <f>IFERROR(__xludf.DUMMYFUNCTION("""COMPUTED_VALUE"""),"")</f>
        <v/>
      </c>
      <c r="D573" s="136" t="str">
        <f t="shared" si="3"/>
        <v/>
      </c>
      <c r="E573" s="152" t="str">
        <f>IFERROR(__xludf.DUMMYFUNCTION("""COMPUTED_VALUE"""),"")</f>
        <v/>
      </c>
      <c r="F573" s="106" t="s">
        <v>133</v>
      </c>
      <c r="G573" s="152" t="str">
        <f>IFERROR(__xludf.DUMMYFUNCTION("""COMPUTED_VALUE"""),"")</f>
        <v/>
      </c>
      <c r="H573" s="106" t="s">
        <v>133</v>
      </c>
      <c r="I573" s="136"/>
      <c r="J573" s="139" t="s">
        <v>133</v>
      </c>
      <c r="K573" s="136" t="s">
        <v>133</v>
      </c>
      <c r="L573" s="153" t="str">
        <f>IFERROR(__xludf.DUMMYFUNCTION("""COMPUTED_VALUE"""),"")</f>
        <v/>
      </c>
      <c r="M573" s="136" t="str">
        <f t="shared" si="1"/>
        <v/>
      </c>
      <c r="N573" s="136" t="str">
        <f>IFERROR(__xludf.DUMMYFUNCTION("""COMPUTED_VALUE"""),"")</f>
        <v/>
      </c>
      <c r="O573" s="141" t="s">
        <v>133</v>
      </c>
      <c r="P573" s="136" t="str">
        <f>IFERROR(__xludf.DUMMYFUNCTION("""COMPUTED_VALUE"""),"")</f>
        <v/>
      </c>
      <c r="Q573" s="136" t="str">
        <f>IFERROR(__xludf.DUMMYFUNCTION("""COMPUTED_VALUE"""),"")</f>
        <v/>
      </c>
      <c r="R573" s="106" t="str">
        <f>IFERROR(__xludf.DUMMYFUNCTION("""COMPUTED_VALUE"""),"")</f>
        <v/>
      </c>
      <c r="S573" s="106" t="str">
        <f>IFERROR(__xludf.DUMMYFUNCTION("""COMPUTED_VALUE"""),"")</f>
        <v/>
      </c>
      <c r="T573" s="139" t="str">
        <f>IFERROR(__xludf.DUMMYFUNCTION("""COMPUTED_VALUE"""),"")</f>
        <v/>
      </c>
      <c r="U573" s="139" t="str">
        <f>IFERROR(__xludf.DUMMYFUNCTION("""COMPUTED_VALUE"""),"")</f>
        <v/>
      </c>
      <c r="V573" s="136" t="str">
        <f>IFERROR(__xludf.DUMMYFUNCTION("""COMPUTED_VALUE"""),"")</f>
        <v/>
      </c>
      <c r="W573" s="106" t="str">
        <f>IFERROR(__xludf.DUMMYFUNCTION("""COMPUTED_VALUE"""),"")</f>
        <v/>
      </c>
      <c r="X573" s="143" t="str">
        <f t="shared" si="2"/>
        <v/>
      </c>
      <c r="Y573" s="139" t="str">
        <f>IFERROR(__xludf.DUMMYFUNCTION("""COMPUTED_VALUE"""),"")</f>
        <v/>
      </c>
      <c r="Z573" s="141" t="str">
        <f>IFERROR(__xludf.DUMMYFUNCTION("""COMPUTED_VALUE"""),"")</f>
        <v/>
      </c>
    </row>
    <row r="574">
      <c r="C574" s="136" t="str">
        <f>IFERROR(__xludf.DUMMYFUNCTION("""COMPUTED_VALUE"""),"")</f>
        <v/>
      </c>
      <c r="D574" s="136" t="str">
        <f t="shared" si="3"/>
        <v/>
      </c>
      <c r="E574" s="152" t="str">
        <f>IFERROR(__xludf.DUMMYFUNCTION("""COMPUTED_VALUE"""),"")</f>
        <v/>
      </c>
      <c r="F574" s="106" t="s">
        <v>133</v>
      </c>
      <c r="G574" s="152" t="str">
        <f>IFERROR(__xludf.DUMMYFUNCTION("""COMPUTED_VALUE"""),"")</f>
        <v/>
      </c>
      <c r="H574" s="106" t="s">
        <v>133</v>
      </c>
      <c r="I574" s="136"/>
      <c r="J574" s="139" t="s">
        <v>133</v>
      </c>
      <c r="K574" s="136" t="s">
        <v>133</v>
      </c>
      <c r="L574" s="153" t="str">
        <f>IFERROR(__xludf.DUMMYFUNCTION("""COMPUTED_VALUE"""),"")</f>
        <v/>
      </c>
      <c r="M574" s="136" t="str">
        <f t="shared" si="1"/>
        <v/>
      </c>
      <c r="N574" s="136" t="str">
        <f>IFERROR(__xludf.DUMMYFUNCTION("""COMPUTED_VALUE"""),"")</f>
        <v/>
      </c>
      <c r="O574" s="141" t="s">
        <v>133</v>
      </c>
      <c r="P574" s="136" t="str">
        <f>IFERROR(__xludf.DUMMYFUNCTION("""COMPUTED_VALUE"""),"")</f>
        <v/>
      </c>
      <c r="Q574" s="136" t="str">
        <f>IFERROR(__xludf.DUMMYFUNCTION("""COMPUTED_VALUE"""),"")</f>
        <v/>
      </c>
      <c r="R574" s="106" t="str">
        <f>IFERROR(__xludf.DUMMYFUNCTION("""COMPUTED_VALUE"""),"")</f>
        <v/>
      </c>
      <c r="S574" s="106" t="str">
        <f>IFERROR(__xludf.DUMMYFUNCTION("""COMPUTED_VALUE"""),"")</f>
        <v/>
      </c>
      <c r="T574" s="139" t="str">
        <f>IFERROR(__xludf.DUMMYFUNCTION("""COMPUTED_VALUE"""),"")</f>
        <v/>
      </c>
      <c r="U574" s="139" t="str">
        <f>IFERROR(__xludf.DUMMYFUNCTION("""COMPUTED_VALUE"""),"")</f>
        <v/>
      </c>
      <c r="V574" s="136" t="str">
        <f>IFERROR(__xludf.DUMMYFUNCTION("""COMPUTED_VALUE"""),"")</f>
        <v/>
      </c>
      <c r="W574" s="106" t="str">
        <f>IFERROR(__xludf.DUMMYFUNCTION("""COMPUTED_VALUE"""),"")</f>
        <v/>
      </c>
      <c r="X574" s="143" t="str">
        <f t="shared" si="2"/>
        <v/>
      </c>
      <c r="Y574" s="139" t="str">
        <f>IFERROR(__xludf.DUMMYFUNCTION("""COMPUTED_VALUE"""),"")</f>
        <v/>
      </c>
      <c r="Z574" s="141" t="str">
        <f>IFERROR(__xludf.DUMMYFUNCTION("""COMPUTED_VALUE"""),"")</f>
        <v/>
      </c>
    </row>
    <row r="575">
      <c r="C575" s="136" t="str">
        <f>IFERROR(__xludf.DUMMYFUNCTION("""COMPUTED_VALUE"""),"")</f>
        <v/>
      </c>
      <c r="D575" s="136" t="str">
        <f t="shared" si="3"/>
        <v/>
      </c>
      <c r="E575" s="152" t="str">
        <f>IFERROR(__xludf.DUMMYFUNCTION("""COMPUTED_VALUE"""),"")</f>
        <v/>
      </c>
      <c r="F575" s="106" t="s">
        <v>133</v>
      </c>
      <c r="G575" s="152" t="str">
        <f>IFERROR(__xludf.DUMMYFUNCTION("""COMPUTED_VALUE"""),"")</f>
        <v/>
      </c>
      <c r="H575" s="106" t="s">
        <v>133</v>
      </c>
      <c r="I575" s="136"/>
      <c r="J575" s="139" t="s">
        <v>133</v>
      </c>
      <c r="K575" s="136" t="s">
        <v>133</v>
      </c>
      <c r="L575" s="153" t="str">
        <f>IFERROR(__xludf.DUMMYFUNCTION("""COMPUTED_VALUE"""),"")</f>
        <v/>
      </c>
      <c r="M575" s="136" t="str">
        <f t="shared" si="1"/>
        <v/>
      </c>
      <c r="N575" s="136" t="str">
        <f>IFERROR(__xludf.DUMMYFUNCTION("""COMPUTED_VALUE"""),"")</f>
        <v/>
      </c>
      <c r="O575" s="141" t="s">
        <v>133</v>
      </c>
      <c r="P575" s="136" t="str">
        <f>IFERROR(__xludf.DUMMYFUNCTION("""COMPUTED_VALUE"""),"")</f>
        <v/>
      </c>
      <c r="Q575" s="136" t="str">
        <f>IFERROR(__xludf.DUMMYFUNCTION("""COMPUTED_VALUE"""),"")</f>
        <v/>
      </c>
      <c r="R575" s="106" t="str">
        <f>IFERROR(__xludf.DUMMYFUNCTION("""COMPUTED_VALUE"""),"")</f>
        <v/>
      </c>
      <c r="S575" s="106" t="str">
        <f>IFERROR(__xludf.DUMMYFUNCTION("""COMPUTED_VALUE"""),"")</f>
        <v/>
      </c>
      <c r="T575" s="139" t="str">
        <f>IFERROR(__xludf.DUMMYFUNCTION("""COMPUTED_VALUE"""),"")</f>
        <v/>
      </c>
      <c r="U575" s="139" t="str">
        <f>IFERROR(__xludf.DUMMYFUNCTION("""COMPUTED_VALUE"""),"")</f>
        <v/>
      </c>
      <c r="V575" s="136" t="str">
        <f>IFERROR(__xludf.DUMMYFUNCTION("""COMPUTED_VALUE"""),"")</f>
        <v/>
      </c>
      <c r="W575" s="106" t="str">
        <f>IFERROR(__xludf.DUMMYFUNCTION("""COMPUTED_VALUE"""),"")</f>
        <v/>
      </c>
      <c r="X575" s="143" t="str">
        <f t="shared" si="2"/>
        <v/>
      </c>
      <c r="Y575" s="139" t="str">
        <f>IFERROR(__xludf.DUMMYFUNCTION("""COMPUTED_VALUE"""),"")</f>
        <v/>
      </c>
      <c r="Z575" s="141" t="str">
        <f>IFERROR(__xludf.DUMMYFUNCTION("""COMPUTED_VALUE"""),"")</f>
        <v/>
      </c>
    </row>
    <row r="576">
      <c r="C576" s="136" t="str">
        <f>IFERROR(__xludf.DUMMYFUNCTION("""COMPUTED_VALUE"""),"")</f>
        <v/>
      </c>
      <c r="D576" s="136" t="str">
        <f t="shared" si="3"/>
        <v/>
      </c>
      <c r="E576" s="152" t="str">
        <f>IFERROR(__xludf.DUMMYFUNCTION("""COMPUTED_VALUE"""),"")</f>
        <v/>
      </c>
      <c r="F576" s="106" t="s">
        <v>133</v>
      </c>
      <c r="G576" s="152" t="str">
        <f>IFERROR(__xludf.DUMMYFUNCTION("""COMPUTED_VALUE"""),"")</f>
        <v/>
      </c>
      <c r="H576" s="106" t="s">
        <v>133</v>
      </c>
      <c r="I576" s="136"/>
      <c r="J576" s="139" t="s">
        <v>133</v>
      </c>
      <c r="K576" s="136" t="s">
        <v>133</v>
      </c>
      <c r="L576" s="153" t="str">
        <f>IFERROR(__xludf.DUMMYFUNCTION("""COMPUTED_VALUE"""),"")</f>
        <v/>
      </c>
      <c r="M576" s="136" t="str">
        <f t="shared" si="1"/>
        <v/>
      </c>
      <c r="N576" s="136" t="str">
        <f>IFERROR(__xludf.DUMMYFUNCTION("""COMPUTED_VALUE"""),"")</f>
        <v/>
      </c>
      <c r="O576" s="141" t="s">
        <v>133</v>
      </c>
      <c r="P576" s="136" t="str">
        <f>IFERROR(__xludf.DUMMYFUNCTION("""COMPUTED_VALUE"""),"")</f>
        <v/>
      </c>
      <c r="Q576" s="136" t="str">
        <f>IFERROR(__xludf.DUMMYFUNCTION("""COMPUTED_VALUE"""),"")</f>
        <v/>
      </c>
      <c r="R576" s="106" t="str">
        <f>IFERROR(__xludf.DUMMYFUNCTION("""COMPUTED_VALUE"""),"")</f>
        <v/>
      </c>
      <c r="S576" s="106" t="str">
        <f>IFERROR(__xludf.DUMMYFUNCTION("""COMPUTED_VALUE"""),"")</f>
        <v/>
      </c>
      <c r="T576" s="139" t="str">
        <f>IFERROR(__xludf.DUMMYFUNCTION("""COMPUTED_VALUE"""),"")</f>
        <v/>
      </c>
      <c r="U576" s="139" t="str">
        <f>IFERROR(__xludf.DUMMYFUNCTION("""COMPUTED_VALUE"""),"")</f>
        <v/>
      </c>
      <c r="V576" s="136" t="str">
        <f>IFERROR(__xludf.DUMMYFUNCTION("""COMPUTED_VALUE"""),"")</f>
        <v/>
      </c>
      <c r="W576" s="106" t="str">
        <f>IFERROR(__xludf.DUMMYFUNCTION("""COMPUTED_VALUE"""),"")</f>
        <v/>
      </c>
      <c r="X576" s="143" t="str">
        <f t="shared" si="2"/>
        <v/>
      </c>
      <c r="Y576" s="139" t="str">
        <f>IFERROR(__xludf.DUMMYFUNCTION("""COMPUTED_VALUE"""),"")</f>
        <v/>
      </c>
      <c r="Z576" s="141" t="str">
        <f>IFERROR(__xludf.DUMMYFUNCTION("""COMPUTED_VALUE"""),"")</f>
        <v/>
      </c>
    </row>
    <row r="577">
      <c r="C577" s="136" t="str">
        <f>IFERROR(__xludf.DUMMYFUNCTION("""COMPUTED_VALUE"""),"")</f>
        <v/>
      </c>
      <c r="D577" s="136" t="str">
        <f t="shared" si="3"/>
        <v/>
      </c>
      <c r="E577" s="152" t="str">
        <f>IFERROR(__xludf.DUMMYFUNCTION("""COMPUTED_VALUE"""),"")</f>
        <v/>
      </c>
      <c r="F577" s="106" t="s">
        <v>133</v>
      </c>
      <c r="G577" s="152" t="str">
        <f>IFERROR(__xludf.DUMMYFUNCTION("""COMPUTED_VALUE"""),"")</f>
        <v/>
      </c>
      <c r="H577" s="106" t="s">
        <v>133</v>
      </c>
      <c r="I577" s="136"/>
      <c r="J577" s="139" t="s">
        <v>133</v>
      </c>
      <c r="K577" s="136" t="s">
        <v>133</v>
      </c>
      <c r="L577" s="153" t="str">
        <f>IFERROR(__xludf.DUMMYFUNCTION("""COMPUTED_VALUE"""),"")</f>
        <v/>
      </c>
      <c r="M577" s="136" t="str">
        <f t="shared" si="1"/>
        <v/>
      </c>
      <c r="N577" s="136" t="str">
        <f>IFERROR(__xludf.DUMMYFUNCTION("""COMPUTED_VALUE"""),"")</f>
        <v/>
      </c>
      <c r="O577" s="141" t="s">
        <v>133</v>
      </c>
      <c r="P577" s="136" t="str">
        <f>IFERROR(__xludf.DUMMYFUNCTION("""COMPUTED_VALUE"""),"")</f>
        <v/>
      </c>
      <c r="Q577" s="136" t="str">
        <f>IFERROR(__xludf.DUMMYFUNCTION("""COMPUTED_VALUE"""),"")</f>
        <v/>
      </c>
      <c r="R577" s="106" t="str">
        <f>IFERROR(__xludf.DUMMYFUNCTION("""COMPUTED_VALUE"""),"")</f>
        <v/>
      </c>
      <c r="S577" s="106" t="str">
        <f>IFERROR(__xludf.DUMMYFUNCTION("""COMPUTED_VALUE"""),"")</f>
        <v/>
      </c>
      <c r="T577" s="139" t="str">
        <f>IFERROR(__xludf.DUMMYFUNCTION("""COMPUTED_VALUE"""),"")</f>
        <v/>
      </c>
      <c r="U577" s="139" t="str">
        <f>IFERROR(__xludf.DUMMYFUNCTION("""COMPUTED_VALUE"""),"")</f>
        <v/>
      </c>
      <c r="V577" s="136" t="str">
        <f>IFERROR(__xludf.DUMMYFUNCTION("""COMPUTED_VALUE"""),"")</f>
        <v/>
      </c>
      <c r="W577" s="106" t="str">
        <f>IFERROR(__xludf.DUMMYFUNCTION("""COMPUTED_VALUE"""),"")</f>
        <v/>
      </c>
      <c r="X577" s="143" t="str">
        <f t="shared" si="2"/>
        <v/>
      </c>
      <c r="Y577" s="139" t="str">
        <f>IFERROR(__xludf.DUMMYFUNCTION("""COMPUTED_VALUE"""),"")</f>
        <v/>
      </c>
      <c r="Z577" s="141" t="str">
        <f>IFERROR(__xludf.DUMMYFUNCTION("""COMPUTED_VALUE"""),"")</f>
        <v/>
      </c>
    </row>
    <row r="578">
      <c r="C578" s="136" t="str">
        <f>IFERROR(__xludf.DUMMYFUNCTION("""COMPUTED_VALUE"""),"")</f>
        <v/>
      </c>
      <c r="D578" s="136" t="str">
        <f t="shared" si="3"/>
        <v/>
      </c>
      <c r="E578" s="152" t="str">
        <f>IFERROR(__xludf.DUMMYFUNCTION("""COMPUTED_VALUE"""),"")</f>
        <v/>
      </c>
      <c r="F578" s="106" t="s">
        <v>133</v>
      </c>
      <c r="G578" s="152" t="str">
        <f>IFERROR(__xludf.DUMMYFUNCTION("""COMPUTED_VALUE"""),"")</f>
        <v/>
      </c>
      <c r="H578" s="106" t="s">
        <v>133</v>
      </c>
      <c r="I578" s="136"/>
      <c r="J578" s="139" t="s">
        <v>133</v>
      </c>
      <c r="K578" s="136" t="s">
        <v>133</v>
      </c>
      <c r="L578" s="153" t="str">
        <f>IFERROR(__xludf.DUMMYFUNCTION("""COMPUTED_VALUE"""),"")</f>
        <v/>
      </c>
      <c r="M578" s="136" t="str">
        <f t="shared" si="1"/>
        <v/>
      </c>
      <c r="N578" s="136" t="str">
        <f>IFERROR(__xludf.DUMMYFUNCTION("""COMPUTED_VALUE"""),"")</f>
        <v/>
      </c>
      <c r="O578" s="141" t="s">
        <v>133</v>
      </c>
      <c r="P578" s="136" t="str">
        <f>IFERROR(__xludf.DUMMYFUNCTION("""COMPUTED_VALUE"""),"")</f>
        <v/>
      </c>
      <c r="Q578" s="136" t="str">
        <f>IFERROR(__xludf.DUMMYFUNCTION("""COMPUTED_VALUE"""),"")</f>
        <v/>
      </c>
      <c r="R578" s="106" t="str">
        <f>IFERROR(__xludf.DUMMYFUNCTION("""COMPUTED_VALUE"""),"")</f>
        <v/>
      </c>
      <c r="S578" s="106" t="str">
        <f>IFERROR(__xludf.DUMMYFUNCTION("""COMPUTED_VALUE"""),"")</f>
        <v/>
      </c>
      <c r="T578" s="139" t="str">
        <f>IFERROR(__xludf.DUMMYFUNCTION("""COMPUTED_VALUE"""),"")</f>
        <v/>
      </c>
      <c r="U578" s="139" t="str">
        <f>IFERROR(__xludf.DUMMYFUNCTION("""COMPUTED_VALUE"""),"")</f>
        <v/>
      </c>
      <c r="V578" s="136" t="str">
        <f>IFERROR(__xludf.DUMMYFUNCTION("""COMPUTED_VALUE"""),"")</f>
        <v/>
      </c>
      <c r="W578" s="106" t="str">
        <f>IFERROR(__xludf.DUMMYFUNCTION("""COMPUTED_VALUE"""),"")</f>
        <v/>
      </c>
      <c r="X578" s="143" t="str">
        <f t="shared" si="2"/>
        <v/>
      </c>
      <c r="Y578" s="139" t="str">
        <f>IFERROR(__xludf.DUMMYFUNCTION("""COMPUTED_VALUE"""),"")</f>
        <v/>
      </c>
      <c r="Z578" s="141" t="str">
        <f>IFERROR(__xludf.DUMMYFUNCTION("""COMPUTED_VALUE"""),"")</f>
        <v/>
      </c>
    </row>
    <row r="579">
      <c r="C579" s="136" t="str">
        <f>IFERROR(__xludf.DUMMYFUNCTION("""COMPUTED_VALUE"""),"")</f>
        <v/>
      </c>
      <c r="D579" s="136" t="str">
        <f t="shared" si="3"/>
        <v/>
      </c>
      <c r="E579" s="152" t="str">
        <f>IFERROR(__xludf.DUMMYFUNCTION("""COMPUTED_VALUE"""),"")</f>
        <v/>
      </c>
      <c r="F579" s="106" t="s">
        <v>133</v>
      </c>
      <c r="G579" s="152" t="str">
        <f>IFERROR(__xludf.DUMMYFUNCTION("""COMPUTED_VALUE"""),"")</f>
        <v/>
      </c>
      <c r="H579" s="106" t="s">
        <v>133</v>
      </c>
      <c r="I579" s="136"/>
      <c r="J579" s="139" t="s">
        <v>133</v>
      </c>
      <c r="K579" s="136" t="s">
        <v>133</v>
      </c>
      <c r="L579" s="153" t="str">
        <f>IFERROR(__xludf.DUMMYFUNCTION("""COMPUTED_VALUE"""),"")</f>
        <v/>
      </c>
      <c r="M579" s="136" t="str">
        <f t="shared" si="1"/>
        <v/>
      </c>
      <c r="N579" s="136" t="str">
        <f>IFERROR(__xludf.DUMMYFUNCTION("""COMPUTED_VALUE"""),"")</f>
        <v/>
      </c>
      <c r="O579" s="141" t="s">
        <v>133</v>
      </c>
      <c r="P579" s="136" t="str">
        <f>IFERROR(__xludf.DUMMYFUNCTION("""COMPUTED_VALUE"""),"")</f>
        <v/>
      </c>
      <c r="Q579" s="136" t="str">
        <f>IFERROR(__xludf.DUMMYFUNCTION("""COMPUTED_VALUE"""),"")</f>
        <v/>
      </c>
      <c r="R579" s="106" t="str">
        <f>IFERROR(__xludf.DUMMYFUNCTION("""COMPUTED_VALUE"""),"")</f>
        <v/>
      </c>
      <c r="S579" s="106" t="str">
        <f>IFERROR(__xludf.DUMMYFUNCTION("""COMPUTED_VALUE"""),"")</f>
        <v/>
      </c>
      <c r="T579" s="139" t="str">
        <f>IFERROR(__xludf.DUMMYFUNCTION("""COMPUTED_VALUE"""),"")</f>
        <v/>
      </c>
      <c r="U579" s="139" t="str">
        <f>IFERROR(__xludf.DUMMYFUNCTION("""COMPUTED_VALUE"""),"")</f>
        <v/>
      </c>
      <c r="V579" s="136" t="str">
        <f>IFERROR(__xludf.DUMMYFUNCTION("""COMPUTED_VALUE"""),"")</f>
        <v/>
      </c>
      <c r="W579" s="106" t="str">
        <f>IFERROR(__xludf.DUMMYFUNCTION("""COMPUTED_VALUE"""),"")</f>
        <v/>
      </c>
      <c r="X579" s="143" t="str">
        <f t="shared" si="2"/>
        <v/>
      </c>
      <c r="Y579" s="139" t="str">
        <f>IFERROR(__xludf.DUMMYFUNCTION("""COMPUTED_VALUE"""),"")</f>
        <v/>
      </c>
      <c r="Z579" s="141" t="str">
        <f>IFERROR(__xludf.DUMMYFUNCTION("""COMPUTED_VALUE"""),"")</f>
        <v/>
      </c>
    </row>
    <row r="580">
      <c r="C580" s="136" t="str">
        <f>IFERROR(__xludf.DUMMYFUNCTION("""COMPUTED_VALUE"""),"")</f>
        <v/>
      </c>
      <c r="D580" s="136" t="str">
        <f t="shared" si="3"/>
        <v/>
      </c>
      <c r="E580" s="152" t="str">
        <f>IFERROR(__xludf.DUMMYFUNCTION("""COMPUTED_VALUE"""),"")</f>
        <v/>
      </c>
      <c r="F580" s="106" t="s">
        <v>133</v>
      </c>
      <c r="G580" s="152" t="str">
        <f>IFERROR(__xludf.DUMMYFUNCTION("""COMPUTED_VALUE"""),"")</f>
        <v/>
      </c>
      <c r="H580" s="106" t="s">
        <v>133</v>
      </c>
      <c r="I580" s="136"/>
      <c r="J580" s="139" t="s">
        <v>133</v>
      </c>
      <c r="K580" s="136" t="s">
        <v>133</v>
      </c>
      <c r="L580" s="153" t="str">
        <f>IFERROR(__xludf.DUMMYFUNCTION("""COMPUTED_VALUE"""),"")</f>
        <v/>
      </c>
      <c r="M580" s="136" t="str">
        <f t="shared" si="1"/>
        <v/>
      </c>
      <c r="N580" s="136" t="str">
        <f>IFERROR(__xludf.DUMMYFUNCTION("""COMPUTED_VALUE"""),"")</f>
        <v/>
      </c>
      <c r="O580" s="141" t="s">
        <v>133</v>
      </c>
      <c r="P580" s="136" t="str">
        <f>IFERROR(__xludf.DUMMYFUNCTION("""COMPUTED_VALUE"""),"")</f>
        <v/>
      </c>
      <c r="Q580" s="136" t="str">
        <f>IFERROR(__xludf.DUMMYFUNCTION("""COMPUTED_VALUE"""),"")</f>
        <v/>
      </c>
      <c r="R580" s="106" t="str">
        <f>IFERROR(__xludf.DUMMYFUNCTION("""COMPUTED_VALUE"""),"")</f>
        <v/>
      </c>
      <c r="S580" s="106" t="str">
        <f>IFERROR(__xludf.DUMMYFUNCTION("""COMPUTED_VALUE"""),"")</f>
        <v/>
      </c>
      <c r="T580" s="139" t="str">
        <f>IFERROR(__xludf.DUMMYFUNCTION("""COMPUTED_VALUE"""),"")</f>
        <v/>
      </c>
      <c r="U580" s="139" t="str">
        <f>IFERROR(__xludf.DUMMYFUNCTION("""COMPUTED_VALUE"""),"")</f>
        <v/>
      </c>
      <c r="V580" s="136" t="str">
        <f>IFERROR(__xludf.DUMMYFUNCTION("""COMPUTED_VALUE"""),"")</f>
        <v/>
      </c>
      <c r="W580" s="106" t="str">
        <f>IFERROR(__xludf.DUMMYFUNCTION("""COMPUTED_VALUE"""),"")</f>
        <v/>
      </c>
      <c r="X580" s="143" t="str">
        <f t="shared" si="2"/>
        <v/>
      </c>
      <c r="Y580" s="139" t="str">
        <f>IFERROR(__xludf.DUMMYFUNCTION("""COMPUTED_VALUE"""),"")</f>
        <v/>
      </c>
      <c r="Z580" s="141" t="str">
        <f>IFERROR(__xludf.DUMMYFUNCTION("""COMPUTED_VALUE"""),"")</f>
        <v/>
      </c>
    </row>
    <row r="581">
      <c r="C581" s="136" t="str">
        <f>IFERROR(__xludf.DUMMYFUNCTION("""COMPUTED_VALUE"""),"")</f>
        <v/>
      </c>
      <c r="D581" s="136" t="str">
        <f t="shared" si="3"/>
        <v/>
      </c>
      <c r="E581" s="152" t="str">
        <f>IFERROR(__xludf.DUMMYFUNCTION("""COMPUTED_VALUE"""),"")</f>
        <v/>
      </c>
      <c r="F581" s="106" t="s">
        <v>133</v>
      </c>
      <c r="G581" s="152" t="str">
        <f>IFERROR(__xludf.DUMMYFUNCTION("""COMPUTED_VALUE"""),"")</f>
        <v/>
      </c>
      <c r="H581" s="106" t="s">
        <v>133</v>
      </c>
      <c r="I581" s="136"/>
      <c r="J581" s="139" t="s">
        <v>133</v>
      </c>
      <c r="K581" s="136" t="s">
        <v>133</v>
      </c>
      <c r="L581" s="153" t="str">
        <f>IFERROR(__xludf.DUMMYFUNCTION("""COMPUTED_VALUE"""),"")</f>
        <v/>
      </c>
      <c r="M581" s="136" t="str">
        <f t="shared" si="1"/>
        <v/>
      </c>
      <c r="N581" s="136" t="str">
        <f>IFERROR(__xludf.DUMMYFUNCTION("""COMPUTED_VALUE"""),"")</f>
        <v/>
      </c>
      <c r="O581" s="141" t="s">
        <v>133</v>
      </c>
      <c r="P581" s="136" t="str">
        <f>IFERROR(__xludf.DUMMYFUNCTION("""COMPUTED_VALUE"""),"")</f>
        <v/>
      </c>
      <c r="Q581" s="136" t="str">
        <f>IFERROR(__xludf.DUMMYFUNCTION("""COMPUTED_VALUE"""),"")</f>
        <v/>
      </c>
      <c r="R581" s="106" t="str">
        <f>IFERROR(__xludf.DUMMYFUNCTION("""COMPUTED_VALUE"""),"")</f>
        <v/>
      </c>
      <c r="S581" s="106" t="str">
        <f>IFERROR(__xludf.DUMMYFUNCTION("""COMPUTED_VALUE"""),"")</f>
        <v/>
      </c>
      <c r="T581" s="139" t="str">
        <f>IFERROR(__xludf.DUMMYFUNCTION("""COMPUTED_VALUE"""),"")</f>
        <v/>
      </c>
      <c r="U581" s="139" t="str">
        <f>IFERROR(__xludf.DUMMYFUNCTION("""COMPUTED_VALUE"""),"")</f>
        <v/>
      </c>
      <c r="V581" s="136" t="str">
        <f>IFERROR(__xludf.DUMMYFUNCTION("""COMPUTED_VALUE"""),"")</f>
        <v/>
      </c>
      <c r="W581" s="106" t="str">
        <f>IFERROR(__xludf.DUMMYFUNCTION("""COMPUTED_VALUE"""),"")</f>
        <v/>
      </c>
      <c r="X581" s="143" t="str">
        <f t="shared" si="2"/>
        <v/>
      </c>
      <c r="Y581" s="139" t="str">
        <f>IFERROR(__xludf.DUMMYFUNCTION("""COMPUTED_VALUE"""),"")</f>
        <v/>
      </c>
      <c r="Z581" s="141" t="str">
        <f>IFERROR(__xludf.DUMMYFUNCTION("""COMPUTED_VALUE"""),"")</f>
        <v/>
      </c>
    </row>
    <row r="582">
      <c r="C582" s="136" t="str">
        <f>IFERROR(__xludf.DUMMYFUNCTION("""COMPUTED_VALUE"""),"")</f>
        <v/>
      </c>
      <c r="D582" s="136" t="str">
        <f t="shared" si="3"/>
        <v/>
      </c>
      <c r="E582" s="152" t="str">
        <f>IFERROR(__xludf.DUMMYFUNCTION("""COMPUTED_VALUE"""),"")</f>
        <v/>
      </c>
      <c r="F582" s="106" t="s">
        <v>133</v>
      </c>
      <c r="G582" s="152" t="str">
        <f>IFERROR(__xludf.DUMMYFUNCTION("""COMPUTED_VALUE"""),"")</f>
        <v/>
      </c>
      <c r="H582" s="106" t="s">
        <v>133</v>
      </c>
      <c r="I582" s="136"/>
      <c r="J582" s="139" t="s">
        <v>133</v>
      </c>
      <c r="K582" s="136" t="s">
        <v>133</v>
      </c>
      <c r="L582" s="153" t="str">
        <f>IFERROR(__xludf.DUMMYFUNCTION("""COMPUTED_VALUE"""),"")</f>
        <v/>
      </c>
      <c r="M582" s="136" t="str">
        <f t="shared" si="1"/>
        <v/>
      </c>
      <c r="N582" s="136" t="str">
        <f>IFERROR(__xludf.DUMMYFUNCTION("""COMPUTED_VALUE"""),"")</f>
        <v/>
      </c>
      <c r="O582" s="141" t="s">
        <v>133</v>
      </c>
      <c r="P582" s="136" t="str">
        <f>IFERROR(__xludf.DUMMYFUNCTION("""COMPUTED_VALUE"""),"")</f>
        <v/>
      </c>
      <c r="Q582" s="136" t="str">
        <f>IFERROR(__xludf.DUMMYFUNCTION("""COMPUTED_VALUE"""),"")</f>
        <v/>
      </c>
      <c r="R582" s="106" t="str">
        <f>IFERROR(__xludf.DUMMYFUNCTION("""COMPUTED_VALUE"""),"")</f>
        <v/>
      </c>
      <c r="S582" s="106" t="str">
        <f>IFERROR(__xludf.DUMMYFUNCTION("""COMPUTED_VALUE"""),"")</f>
        <v/>
      </c>
      <c r="T582" s="139" t="str">
        <f>IFERROR(__xludf.DUMMYFUNCTION("""COMPUTED_VALUE"""),"")</f>
        <v/>
      </c>
      <c r="U582" s="139" t="str">
        <f>IFERROR(__xludf.DUMMYFUNCTION("""COMPUTED_VALUE"""),"")</f>
        <v/>
      </c>
      <c r="V582" s="136" t="str">
        <f>IFERROR(__xludf.DUMMYFUNCTION("""COMPUTED_VALUE"""),"")</f>
        <v/>
      </c>
      <c r="W582" s="106" t="str">
        <f>IFERROR(__xludf.DUMMYFUNCTION("""COMPUTED_VALUE"""),"")</f>
        <v/>
      </c>
      <c r="X582" s="143" t="str">
        <f t="shared" si="2"/>
        <v/>
      </c>
      <c r="Y582" s="139" t="str">
        <f>IFERROR(__xludf.DUMMYFUNCTION("""COMPUTED_VALUE"""),"")</f>
        <v/>
      </c>
      <c r="Z582" s="141" t="str">
        <f>IFERROR(__xludf.DUMMYFUNCTION("""COMPUTED_VALUE"""),"")</f>
        <v/>
      </c>
    </row>
    <row r="583">
      <c r="C583" s="136" t="str">
        <f>IFERROR(__xludf.DUMMYFUNCTION("""COMPUTED_VALUE"""),"")</f>
        <v/>
      </c>
      <c r="D583" s="136" t="str">
        <f t="shared" si="3"/>
        <v/>
      </c>
      <c r="E583" s="152" t="str">
        <f>IFERROR(__xludf.DUMMYFUNCTION("""COMPUTED_VALUE"""),"")</f>
        <v/>
      </c>
      <c r="F583" s="106" t="s">
        <v>133</v>
      </c>
      <c r="G583" s="152" t="str">
        <f>IFERROR(__xludf.DUMMYFUNCTION("""COMPUTED_VALUE"""),"")</f>
        <v/>
      </c>
      <c r="H583" s="106" t="s">
        <v>133</v>
      </c>
      <c r="I583" s="136"/>
      <c r="J583" s="139" t="s">
        <v>133</v>
      </c>
      <c r="K583" s="136" t="s">
        <v>133</v>
      </c>
      <c r="L583" s="153" t="str">
        <f>IFERROR(__xludf.DUMMYFUNCTION("""COMPUTED_VALUE"""),"")</f>
        <v/>
      </c>
      <c r="M583" s="136" t="str">
        <f t="shared" si="1"/>
        <v/>
      </c>
      <c r="N583" s="136" t="str">
        <f>IFERROR(__xludf.DUMMYFUNCTION("""COMPUTED_VALUE"""),"")</f>
        <v/>
      </c>
      <c r="O583" s="141" t="s">
        <v>133</v>
      </c>
      <c r="P583" s="136" t="str">
        <f>IFERROR(__xludf.DUMMYFUNCTION("""COMPUTED_VALUE"""),"")</f>
        <v/>
      </c>
      <c r="Q583" s="136" t="str">
        <f>IFERROR(__xludf.DUMMYFUNCTION("""COMPUTED_VALUE"""),"")</f>
        <v/>
      </c>
      <c r="R583" s="106" t="str">
        <f>IFERROR(__xludf.DUMMYFUNCTION("""COMPUTED_VALUE"""),"")</f>
        <v/>
      </c>
      <c r="S583" s="106" t="str">
        <f>IFERROR(__xludf.DUMMYFUNCTION("""COMPUTED_VALUE"""),"")</f>
        <v/>
      </c>
      <c r="T583" s="139" t="str">
        <f>IFERROR(__xludf.DUMMYFUNCTION("""COMPUTED_VALUE"""),"")</f>
        <v/>
      </c>
      <c r="U583" s="139" t="str">
        <f>IFERROR(__xludf.DUMMYFUNCTION("""COMPUTED_VALUE"""),"")</f>
        <v/>
      </c>
      <c r="V583" s="136" t="str">
        <f>IFERROR(__xludf.DUMMYFUNCTION("""COMPUTED_VALUE"""),"")</f>
        <v/>
      </c>
      <c r="W583" s="106" t="str">
        <f>IFERROR(__xludf.DUMMYFUNCTION("""COMPUTED_VALUE"""),"")</f>
        <v/>
      </c>
      <c r="X583" s="143" t="str">
        <f t="shared" si="2"/>
        <v/>
      </c>
      <c r="Y583" s="139" t="str">
        <f>IFERROR(__xludf.DUMMYFUNCTION("""COMPUTED_VALUE"""),"")</f>
        <v/>
      </c>
      <c r="Z583" s="141" t="str">
        <f>IFERROR(__xludf.DUMMYFUNCTION("""COMPUTED_VALUE"""),"")</f>
        <v/>
      </c>
    </row>
    <row r="584">
      <c r="C584" s="136" t="str">
        <f>IFERROR(__xludf.DUMMYFUNCTION("""COMPUTED_VALUE"""),"")</f>
        <v/>
      </c>
      <c r="D584" s="136" t="str">
        <f t="shared" si="3"/>
        <v/>
      </c>
      <c r="E584" s="152" t="str">
        <f>IFERROR(__xludf.DUMMYFUNCTION("""COMPUTED_VALUE"""),"")</f>
        <v/>
      </c>
      <c r="F584" s="106" t="s">
        <v>133</v>
      </c>
      <c r="G584" s="152" t="str">
        <f>IFERROR(__xludf.DUMMYFUNCTION("""COMPUTED_VALUE"""),"")</f>
        <v/>
      </c>
      <c r="H584" s="106" t="s">
        <v>133</v>
      </c>
      <c r="I584" s="136"/>
      <c r="J584" s="139" t="s">
        <v>133</v>
      </c>
      <c r="K584" s="136" t="s">
        <v>133</v>
      </c>
      <c r="L584" s="153" t="str">
        <f>IFERROR(__xludf.DUMMYFUNCTION("""COMPUTED_VALUE"""),"")</f>
        <v/>
      </c>
      <c r="M584" s="136" t="str">
        <f t="shared" si="1"/>
        <v/>
      </c>
      <c r="N584" s="136" t="str">
        <f>IFERROR(__xludf.DUMMYFUNCTION("""COMPUTED_VALUE"""),"")</f>
        <v/>
      </c>
      <c r="O584" s="141" t="s">
        <v>133</v>
      </c>
      <c r="P584" s="136" t="str">
        <f>IFERROR(__xludf.DUMMYFUNCTION("""COMPUTED_VALUE"""),"")</f>
        <v/>
      </c>
      <c r="Q584" s="136" t="str">
        <f>IFERROR(__xludf.DUMMYFUNCTION("""COMPUTED_VALUE"""),"")</f>
        <v/>
      </c>
      <c r="R584" s="106" t="str">
        <f>IFERROR(__xludf.DUMMYFUNCTION("""COMPUTED_VALUE"""),"")</f>
        <v/>
      </c>
      <c r="S584" s="106" t="str">
        <f>IFERROR(__xludf.DUMMYFUNCTION("""COMPUTED_VALUE"""),"")</f>
        <v/>
      </c>
      <c r="T584" s="139" t="str">
        <f>IFERROR(__xludf.DUMMYFUNCTION("""COMPUTED_VALUE"""),"")</f>
        <v/>
      </c>
      <c r="U584" s="139" t="str">
        <f>IFERROR(__xludf.DUMMYFUNCTION("""COMPUTED_VALUE"""),"")</f>
        <v/>
      </c>
      <c r="V584" s="136" t="str">
        <f>IFERROR(__xludf.DUMMYFUNCTION("""COMPUTED_VALUE"""),"")</f>
        <v/>
      </c>
      <c r="W584" s="106" t="str">
        <f>IFERROR(__xludf.DUMMYFUNCTION("""COMPUTED_VALUE"""),"")</f>
        <v/>
      </c>
      <c r="X584" s="143" t="str">
        <f t="shared" si="2"/>
        <v/>
      </c>
      <c r="Y584" s="139" t="str">
        <f>IFERROR(__xludf.DUMMYFUNCTION("""COMPUTED_VALUE"""),"")</f>
        <v/>
      </c>
      <c r="Z584" s="141" t="str">
        <f>IFERROR(__xludf.DUMMYFUNCTION("""COMPUTED_VALUE"""),"")</f>
        <v/>
      </c>
    </row>
    <row r="585">
      <c r="C585" s="136" t="str">
        <f>IFERROR(__xludf.DUMMYFUNCTION("""COMPUTED_VALUE"""),"")</f>
        <v/>
      </c>
      <c r="D585" s="136" t="str">
        <f t="shared" si="3"/>
        <v/>
      </c>
      <c r="E585" s="152" t="str">
        <f>IFERROR(__xludf.DUMMYFUNCTION("""COMPUTED_VALUE"""),"")</f>
        <v/>
      </c>
      <c r="F585" s="106" t="s">
        <v>133</v>
      </c>
      <c r="G585" s="152" t="str">
        <f>IFERROR(__xludf.DUMMYFUNCTION("""COMPUTED_VALUE"""),"")</f>
        <v/>
      </c>
      <c r="H585" s="106" t="s">
        <v>133</v>
      </c>
      <c r="I585" s="136"/>
      <c r="J585" s="139" t="s">
        <v>133</v>
      </c>
      <c r="K585" s="136" t="s">
        <v>133</v>
      </c>
      <c r="L585" s="153" t="str">
        <f>IFERROR(__xludf.DUMMYFUNCTION("""COMPUTED_VALUE"""),"")</f>
        <v/>
      </c>
      <c r="M585" s="136" t="str">
        <f t="shared" si="1"/>
        <v/>
      </c>
      <c r="N585" s="136" t="str">
        <f>IFERROR(__xludf.DUMMYFUNCTION("""COMPUTED_VALUE"""),"")</f>
        <v/>
      </c>
      <c r="O585" s="141" t="s">
        <v>133</v>
      </c>
      <c r="P585" s="136" t="str">
        <f>IFERROR(__xludf.DUMMYFUNCTION("""COMPUTED_VALUE"""),"")</f>
        <v/>
      </c>
      <c r="Q585" s="136" t="str">
        <f>IFERROR(__xludf.DUMMYFUNCTION("""COMPUTED_VALUE"""),"")</f>
        <v/>
      </c>
      <c r="R585" s="106" t="str">
        <f>IFERROR(__xludf.DUMMYFUNCTION("""COMPUTED_VALUE"""),"")</f>
        <v/>
      </c>
      <c r="S585" s="106" t="str">
        <f>IFERROR(__xludf.DUMMYFUNCTION("""COMPUTED_VALUE"""),"")</f>
        <v/>
      </c>
      <c r="T585" s="139" t="str">
        <f>IFERROR(__xludf.DUMMYFUNCTION("""COMPUTED_VALUE"""),"")</f>
        <v/>
      </c>
      <c r="U585" s="139" t="str">
        <f>IFERROR(__xludf.DUMMYFUNCTION("""COMPUTED_VALUE"""),"")</f>
        <v/>
      </c>
      <c r="V585" s="136" t="str">
        <f>IFERROR(__xludf.DUMMYFUNCTION("""COMPUTED_VALUE"""),"")</f>
        <v/>
      </c>
      <c r="W585" s="106" t="str">
        <f>IFERROR(__xludf.DUMMYFUNCTION("""COMPUTED_VALUE"""),"")</f>
        <v/>
      </c>
      <c r="X585" s="143" t="str">
        <f t="shared" si="2"/>
        <v/>
      </c>
      <c r="Y585" s="139" t="str">
        <f>IFERROR(__xludf.DUMMYFUNCTION("""COMPUTED_VALUE"""),"")</f>
        <v/>
      </c>
      <c r="Z585" s="141" t="str">
        <f>IFERROR(__xludf.DUMMYFUNCTION("""COMPUTED_VALUE"""),"")</f>
        <v/>
      </c>
    </row>
    <row r="586">
      <c r="C586" s="136" t="str">
        <f>IFERROR(__xludf.DUMMYFUNCTION("""COMPUTED_VALUE"""),"")</f>
        <v/>
      </c>
      <c r="D586" s="136" t="str">
        <f t="shared" si="3"/>
        <v/>
      </c>
      <c r="E586" s="152" t="str">
        <f>IFERROR(__xludf.DUMMYFUNCTION("""COMPUTED_VALUE"""),"")</f>
        <v/>
      </c>
      <c r="F586" s="106" t="s">
        <v>133</v>
      </c>
      <c r="G586" s="152" t="str">
        <f>IFERROR(__xludf.DUMMYFUNCTION("""COMPUTED_VALUE"""),"")</f>
        <v/>
      </c>
      <c r="H586" s="106" t="s">
        <v>133</v>
      </c>
      <c r="I586" s="136"/>
      <c r="J586" s="139" t="s">
        <v>133</v>
      </c>
      <c r="K586" s="136" t="s">
        <v>133</v>
      </c>
      <c r="L586" s="153" t="str">
        <f>IFERROR(__xludf.DUMMYFUNCTION("""COMPUTED_VALUE"""),"")</f>
        <v/>
      </c>
      <c r="M586" s="136" t="str">
        <f t="shared" si="1"/>
        <v/>
      </c>
      <c r="N586" s="136" t="str">
        <f>IFERROR(__xludf.DUMMYFUNCTION("""COMPUTED_VALUE"""),"")</f>
        <v/>
      </c>
      <c r="O586" s="141" t="s">
        <v>133</v>
      </c>
      <c r="P586" s="136" t="str">
        <f>IFERROR(__xludf.DUMMYFUNCTION("""COMPUTED_VALUE"""),"")</f>
        <v/>
      </c>
      <c r="Q586" s="136" t="str">
        <f>IFERROR(__xludf.DUMMYFUNCTION("""COMPUTED_VALUE"""),"")</f>
        <v/>
      </c>
      <c r="R586" s="106" t="str">
        <f>IFERROR(__xludf.DUMMYFUNCTION("""COMPUTED_VALUE"""),"")</f>
        <v/>
      </c>
      <c r="S586" s="106" t="str">
        <f>IFERROR(__xludf.DUMMYFUNCTION("""COMPUTED_VALUE"""),"")</f>
        <v/>
      </c>
      <c r="T586" s="139" t="str">
        <f>IFERROR(__xludf.DUMMYFUNCTION("""COMPUTED_VALUE"""),"")</f>
        <v/>
      </c>
      <c r="U586" s="139" t="str">
        <f>IFERROR(__xludf.DUMMYFUNCTION("""COMPUTED_VALUE"""),"")</f>
        <v/>
      </c>
      <c r="V586" s="136" t="str">
        <f>IFERROR(__xludf.DUMMYFUNCTION("""COMPUTED_VALUE"""),"")</f>
        <v/>
      </c>
      <c r="W586" s="106" t="str">
        <f>IFERROR(__xludf.DUMMYFUNCTION("""COMPUTED_VALUE"""),"")</f>
        <v/>
      </c>
      <c r="X586" s="143" t="str">
        <f t="shared" si="2"/>
        <v/>
      </c>
      <c r="Y586" s="139" t="str">
        <f>IFERROR(__xludf.DUMMYFUNCTION("""COMPUTED_VALUE"""),"")</f>
        <v/>
      </c>
      <c r="Z586" s="141" t="str">
        <f>IFERROR(__xludf.DUMMYFUNCTION("""COMPUTED_VALUE"""),"")</f>
        <v/>
      </c>
    </row>
    <row r="587">
      <c r="C587" s="136" t="str">
        <f>IFERROR(__xludf.DUMMYFUNCTION("""COMPUTED_VALUE"""),"")</f>
        <v/>
      </c>
      <c r="D587" s="136" t="str">
        <f t="shared" si="3"/>
        <v/>
      </c>
      <c r="E587" s="152" t="str">
        <f>IFERROR(__xludf.DUMMYFUNCTION("""COMPUTED_VALUE"""),"")</f>
        <v/>
      </c>
      <c r="F587" s="106" t="s">
        <v>133</v>
      </c>
      <c r="G587" s="152" t="str">
        <f>IFERROR(__xludf.DUMMYFUNCTION("""COMPUTED_VALUE"""),"")</f>
        <v/>
      </c>
      <c r="H587" s="106" t="s">
        <v>133</v>
      </c>
      <c r="I587" s="136"/>
      <c r="J587" s="139" t="s">
        <v>133</v>
      </c>
      <c r="K587" s="136" t="s">
        <v>133</v>
      </c>
      <c r="L587" s="153" t="str">
        <f>IFERROR(__xludf.DUMMYFUNCTION("""COMPUTED_VALUE"""),"")</f>
        <v/>
      </c>
      <c r="M587" s="136" t="str">
        <f t="shared" si="1"/>
        <v/>
      </c>
      <c r="N587" s="136" t="str">
        <f>IFERROR(__xludf.DUMMYFUNCTION("""COMPUTED_VALUE"""),"")</f>
        <v/>
      </c>
      <c r="O587" s="141" t="s">
        <v>133</v>
      </c>
      <c r="P587" s="136" t="str">
        <f>IFERROR(__xludf.DUMMYFUNCTION("""COMPUTED_VALUE"""),"")</f>
        <v/>
      </c>
      <c r="Q587" s="136" t="str">
        <f>IFERROR(__xludf.DUMMYFUNCTION("""COMPUTED_VALUE"""),"")</f>
        <v/>
      </c>
      <c r="R587" s="106" t="str">
        <f>IFERROR(__xludf.DUMMYFUNCTION("""COMPUTED_VALUE"""),"")</f>
        <v/>
      </c>
      <c r="S587" s="106" t="str">
        <f>IFERROR(__xludf.DUMMYFUNCTION("""COMPUTED_VALUE"""),"")</f>
        <v/>
      </c>
      <c r="T587" s="139" t="str">
        <f>IFERROR(__xludf.DUMMYFUNCTION("""COMPUTED_VALUE"""),"")</f>
        <v/>
      </c>
      <c r="U587" s="139" t="str">
        <f>IFERROR(__xludf.DUMMYFUNCTION("""COMPUTED_VALUE"""),"")</f>
        <v/>
      </c>
      <c r="V587" s="136" t="str">
        <f>IFERROR(__xludf.DUMMYFUNCTION("""COMPUTED_VALUE"""),"")</f>
        <v/>
      </c>
      <c r="W587" s="106" t="str">
        <f>IFERROR(__xludf.DUMMYFUNCTION("""COMPUTED_VALUE"""),"")</f>
        <v/>
      </c>
      <c r="X587" s="143" t="str">
        <f t="shared" si="2"/>
        <v/>
      </c>
      <c r="Y587" s="139" t="str">
        <f>IFERROR(__xludf.DUMMYFUNCTION("""COMPUTED_VALUE"""),"")</f>
        <v/>
      </c>
      <c r="Z587" s="141" t="str">
        <f>IFERROR(__xludf.DUMMYFUNCTION("""COMPUTED_VALUE"""),"")</f>
        <v/>
      </c>
    </row>
    <row r="588">
      <c r="C588" s="136" t="str">
        <f>IFERROR(__xludf.DUMMYFUNCTION("""COMPUTED_VALUE"""),"")</f>
        <v/>
      </c>
      <c r="D588" s="136" t="str">
        <f t="shared" si="3"/>
        <v/>
      </c>
      <c r="E588" s="152" t="str">
        <f>IFERROR(__xludf.DUMMYFUNCTION("""COMPUTED_VALUE"""),"")</f>
        <v/>
      </c>
      <c r="F588" s="106" t="s">
        <v>133</v>
      </c>
      <c r="G588" s="152" t="str">
        <f>IFERROR(__xludf.DUMMYFUNCTION("""COMPUTED_VALUE"""),"")</f>
        <v/>
      </c>
      <c r="H588" s="106" t="s">
        <v>133</v>
      </c>
      <c r="I588" s="136"/>
      <c r="J588" s="139" t="s">
        <v>133</v>
      </c>
      <c r="K588" s="136" t="s">
        <v>133</v>
      </c>
      <c r="L588" s="153" t="str">
        <f>IFERROR(__xludf.DUMMYFUNCTION("""COMPUTED_VALUE"""),"")</f>
        <v/>
      </c>
      <c r="M588" s="136" t="str">
        <f t="shared" si="1"/>
        <v/>
      </c>
      <c r="N588" s="136" t="str">
        <f>IFERROR(__xludf.DUMMYFUNCTION("""COMPUTED_VALUE"""),"")</f>
        <v/>
      </c>
      <c r="O588" s="141" t="s">
        <v>133</v>
      </c>
      <c r="P588" s="136" t="str">
        <f>IFERROR(__xludf.DUMMYFUNCTION("""COMPUTED_VALUE"""),"")</f>
        <v/>
      </c>
      <c r="Q588" s="136" t="str">
        <f>IFERROR(__xludf.DUMMYFUNCTION("""COMPUTED_VALUE"""),"")</f>
        <v/>
      </c>
      <c r="R588" s="106" t="str">
        <f>IFERROR(__xludf.DUMMYFUNCTION("""COMPUTED_VALUE"""),"")</f>
        <v/>
      </c>
      <c r="S588" s="106" t="str">
        <f>IFERROR(__xludf.DUMMYFUNCTION("""COMPUTED_VALUE"""),"")</f>
        <v/>
      </c>
      <c r="T588" s="139" t="str">
        <f>IFERROR(__xludf.DUMMYFUNCTION("""COMPUTED_VALUE"""),"")</f>
        <v/>
      </c>
      <c r="U588" s="139" t="str">
        <f>IFERROR(__xludf.DUMMYFUNCTION("""COMPUTED_VALUE"""),"")</f>
        <v/>
      </c>
      <c r="V588" s="136" t="str">
        <f>IFERROR(__xludf.DUMMYFUNCTION("""COMPUTED_VALUE"""),"")</f>
        <v/>
      </c>
      <c r="W588" s="106" t="str">
        <f>IFERROR(__xludf.DUMMYFUNCTION("""COMPUTED_VALUE"""),"")</f>
        <v/>
      </c>
      <c r="X588" s="143" t="str">
        <f t="shared" si="2"/>
        <v/>
      </c>
      <c r="Y588" s="139" t="str">
        <f>IFERROR(__xludf.DUMMYFUNCTION("""COMPUTED_VALUE"""),"")</f>
        <v/>
      </c>
      <c r="Z588" s="141" t="str">
        <f>IFERROR(__xludf.DUMMYFUNCTION("""COMPUTED_VALUE"""),"")</f>
        <v/>
      </c>
    </row>
    <row r="589">
      <c r="C589" s="136" t="str">
        <f>IFERROR(__xludf.DUMMYFUNCTION("""COMPUTED_VALUE"""),"")</f>
        <v/>
      </c>
      <c r="D589" s="136" t="str">
        <f t="shared" si="3"/>
        <v/>
      </c>
      <c r="E589" s="152" t="str">
        <f>IFERROR(__xludf.DUMMYFUNCTION("""COMPUTED_VALUE"""),"")</f>
        <v/>
      </c>
      <c r="F589" s="106" t="s">
        <v>133</v>
      </c>
      <c r="G589" s="152" t="str">
        <f>IFERROR(__xludf.DUMMYFUNCTION("""COMPUTED_VALUE"""),"")</f>
        <v/>
      </c>
      <c r="H589" s="106" t="s">
        <v>133</v>
      </c>
      <c r="I589" s="136"/>
      <c r="J589" s="139" t="s">
        <v>133</v>
      </c>
      <c r="K589" s="136" t="s">
        <v>133</v>
      </c>
      <c r="L589" s="153" t="str">
        <f>IFERROR(__xludf.DUMMYFUNCTION("""COMPUTED_VALUE"""),"")</f>
        <v/>
      </c>
      <c r="M589" s="136" t="str">
        <f t="shared" si="1"/>
        <v/>
      </c>
      <c r="N589" s="136" t="str">
        <f>IFERROR(__xludf.DUMMYFUNCTION("""COMPUTED_VALUE"""),"")</f>
        <v/>
      </c>
      <c r="O589" s="141" t="s">
        <v>133</v>
      </c>
      <c r="P589" s="136" t="str">
        <f>IFERROR(__xludf.DUMMYFUNCTION("""COMPUTED_VALUE"""),"")</f>
        <v/>
      </c>
      <c r="Q589" s="136" t="str">
        <f>IFERROR(__xludf.DUMMYFUNCTION("""COMPUTED_VALUE"""),"")</f>
        <v/>
      </c>
      <c r="R589" s="106" t="str">
        <f>IFERROR(__xludf.DUMMYFUNCTION("""COMPUTED_VALUE"""),"")</f>
        <v/>
      </c>
      <c r="S589" s="106" t="str">
        <f>IFERROR(__xludf.DUMMYFUNCTION("""COMPUTED_VALUE"""),"")</f>
        <v/>
      </c>
      <c r="T589" s="139" t="str">
        <f>IFERROR(__xludf.DUMMYFUNCTION("""COMPUTED_VALUE"""),"")</f>
        <v/>
      </c>
      <c r="U589" s="139" t="str">
        <f>IFERROR(__xludf.DUMMYFUNCTION("""COMPUTED_VALUE"""),"")</f>
        <v/>
      </c>
      <c r="V589" s="136" t="str">
        <f>IFERROR(__xludf.DUMMYFUNCTION("""COMPUTED_VALUE"""),"")</f>
        <v/>
      </c>
      <c r="W589" s="106" t="str">
        <f>IFERROR(__xludf.DUMMYFUNCTION("""COMPUTED_VALUE"""),"")</f>
        <v/>
      </c>
      <c r="X589" s="143" t="str">
        <f t="shared" si="2"/>
        <v/>
      </c>
      <c r="Y589" s="139" t="str">
        <f>IFERROR(__xludf.DUMMYFUNCTION("""COMPUTED_VALUE"""),"")</f>
        <v/>
      </c>
      <c r="Z589" s="141" t="str">
        <f>IFERROR(__xludf.DUMMYFUNCTION("""COMPUTED_VALUE"""),"")</f>
        <v/>
      </c>
    </row>
    <row r="590">
      <c r="C590" s="136" t="str">
        <f>IFERROR(__xludf.DUMMYFUNCTION("""COMPUTED_VALUE"""),"")</f>
        <v/>
      </c>
      <c r="D590" s="136" t="str">
        <f t="shared" si="3"/>
        <v/>
      </c>
      <c r="E590" s="152" t="str">
        <f>IFERROR(__xludf.DUMMYFUNCTION("""COMPUTED_VALUE"""),"")</f>
        <v/>
      </c>
      <c r="F590" s="106" t="s">
        <v>133</v>
      </c>
      <c r="G590" s="152" t="str">
        <f>IFERROR(__xludf.DUMMYFUNCTION("""COMPUTED_VALUE"""),"")</f>
        <v/>
      </c>
      <c r="H590" s="106" t="s">
        <v>133</v>
      </c>
      <c r="I590" s="136"/>
      <c r="J590" s="139" t="s">
        <v>133</v>
      </c>
      <c r="K590" s="136" t="s">
        <v>133</v>
      </c>
      <c r="L590" s="153" t="str">
        <f>IFERROR(__xludf.DUMMYFUNCTION("""COMPUTED_VALUE"""),"")</f>
        <v/>
      </c>
      <c r="M590" s="136" t="str">
        <f t="shared" si="1"/>
        <v/>
      </c>
      <c r="N590" s="136" t="str">
        <f>IFERROR(__xludf.DUMMYFUNCTION("""COMPUTED_VALUE"""),"")</f>
        <v/>
      </c>
      <c r="O590" s="141" t="s">
        <v>133</v>
      </c>
      <c r="P590" s="136" t="str">
        <f>IFERROR(__xludf.DUMMYFUNCTION("""COMPUTED_VALUE"""),"")</f>
        <v/>
      </c>
      <c r="Q590" s="136" t="str">
        <f>IFERROR(__xludf.DUMMYFUNCTION("""COMPUTED_VALUE"""),"")</f>
        <v/>
      </c>
      <c r="R590" s="106" t="str">
        <f>IFERROR(__xludf.DUMMYFUNCTION("""COMPUTED_VALUE"""),"")</f>
        <v/>
      </c>
      <c r="S590" s="106" t="str">
        <f>IFERROR(__xludf.DUMMYFUNCTION("""COMPUTED_VALUE"""),"")</f>
        <v/>
      </c>
      <c r="T590" s="139" t="str">
        <f>IFERROR(__xludf.DUMMYFUNCTION("""COMPUTED_VALUE"""),"")</f>
        <v/>
      </c>
      <c r="U590" s="139" t="str">
        <f>IFERROR(__xludf.DUMMYFUNCTION("""COMPUTED_VALUE"""),"")</f>
        <v/>
      </c>
      <c r="V590" s="136" t="str">
        <f>IFERROR(__xludf.DUMMYFUNCTION("""COMPUTED_VALUE"""),"")</f>
        <v/>
      </c>
      <c r="W590" s="106" t="str">
        <f>IFERROR(__xludf.DUMMYFUNCTION("""COMPUTED_VALUE"""),"")</f>
        <v/>
      </c>
      <c r="X590" s="143" t="str">
        <f t="shared" si="2"/>
        <v/>
      </c>
      <c r="Y590" s="139" t="str">
        <f>IFERROR(__xludf.DUMMYFUNCTION("""COMPUTED_VALUE"""),"")</f>
        <v/>
      </c>
      <c r="Z590" s="141" t="str">
        <f>IFERROR(__xludf.DUMMYFUNCTION("""COMPUTED_VALUE"""),"")</f>
        <v/>
      </c>
    </row>
    <row r="591">
      <c r="C591" s="136" t="str">
        <f>IFERROR(__xludf.DUMMYFUNCTION("""COMPUTED_VALUE"""),"")</f>
        <v/>
      </c>
      <c r="D591" s="136" t="str">
        <f t="shared" si="3"/>
        <v/>
      </c>
      <c r="E591" s="152" t="str">
        <f>IFERROR(__xludf.DUMMYFUNCTION("""COMPUTED_VALUE"""),"")</f>
        <v/>
      </c>
      <c r="F591" s="106" t="s">
        <v>133</v>
      </c>
      <c r="G591" s="152" t="str">
        <f>IFERROR(__xludf.DUMMYFUNCTION("""COMPUTED_VALUE"""),"")</f>
        <v/>
      </c>
      <c r="H591" s="106" t="s">
        <v>133</v>
      </c>
      <c r="I591" s="136"/>
      <c r="J591" s="139" t="s">
        <v>133</v>
      </c>
      <c r="K591" s="136" t="s">
        <v>133</v>
      </c>
      <c r="L591" s="153" t="str">
        <f>IFERROR(__xludf.DUMMYFUNCTION("""COMPUTED_VALUE"""),"")</f>
        <v/>
      </c>
      <c r="M591" s="136" t="str">
        <f t="shared" si="1"/>
        <v/>
      </c>
      <c r="N591" s="136" t="str">
        <f>IFERROR(__xludf.DUMMYFUNCTION("""COMPUTED_VALUE"""),"")</f>
        <v/>
      </c>
      <c r="O591" s="141" t="s">
        <v>133</v>
      </c>
      <c r="P591" s="136" t="str">
        <f>IFERROR(__xludf.DUMMYFUNCTION("""COMPUTED_VALUE"""),"")</f>
        <v/>
      </c>
      <c r="Q591" s="136" t="str">
        <f>IFERROR(__xludf.DUMMYFUNCTION("""COMPUTED_VALUE"""),"")</f>
        <v/>
      </c>
      <c r="R591" s="106" t="str">
        <f>IFERROR(__xludf.DUMMYFUNCTION("""COMPUTED_VALUE"""),"")</f>
        <v/>
      </c>
      <c r="S591" s="106" t="str">
        <f>IFERROR(__xludf.DUMMYFUNCTION("""COMPUTED_VALUE"""),"")</f>
        <v/>
      </c>
      <c r="T591" s="139" t="str">
        <f>IFERROR(__xludf.DUMMYFUNCTION("""COMPUTED_VALUE"""),"")</f>
        <v/>
      </c>
      <c r="U591" s="139" t="str">
        <f>IFERROR(__xludf.DUMMYFUNCTION("""COMPUTED_VALUE"""),"")</f>
        <v/>
      </c>
      <c r="V591" s="136" t="str">
        <f>IFERROR(__xludf.DUMMYFUNCTION("""COMPUTED_VALUE"""),"")</f>
        <v/>
      </c>
      <c r="W591" s="106" t="str">
        <f>IFERROR(__xludf.DUMMYFUNCTION("""COMPUTED_VALUE"""),"")</f>
        <v/>
      </c>
      <c r="X591" s="143" t="str">
        <f t="shared" si="2"/>
        <v/>
      </c>
      <c r="Y591" s="139" t="str">
        <f>IFERROR(__xludf.DUMMYFUNCTION("""COMPUTED_VALUE"""),"")</f>
        <v/>
      </c>
      <c r="Z591" s="141" t="str">
        <f>IFERROR(__xludf.DUMMYFUNCTION("""COMPUTED_VALUE"""),"")</f>
        <v/>
      </c>
    </row>
    <row r="592">
      <c r="C592" s="136" t="str">
        <f>IFERROR(__xludf.DUMMYFUNCTION("""COMPUTED_VALUE"""),"")</f>
        <v/>
      </c>
      <c r="D592" s="136" t="str">
        <f t="shared" si="3"/>
        <v/>
      </c>
      <c r="E592" s="152" t="str">
        <f>IFERROR(__xludf.DUMMYFUNCTION("""COMPUTED_VALUE"""),"")</f>
        <v/>
      </c>
      <c r="F592" s="106" t="s">
        <v>133</v>
      </c>
      <c r="G592" s="152" t="str">
        <f>IFERROR(__xludf.DUMMYFUNCTION("""COMPUTED_VALUE"""),"")</f>
        <v/>
      </c>
      <c r="H592" s="106" t="s">
        <v>133</v>
      </c>
      <c r="I592" s="136"/>
      <c r="J592" s="139" t="s">
        <v>133</v>
      </c>
      <c r="K592" s="136" t="s">
        <v>133</v>
      </c>
      <c r="L592" s="153" t="str">
        <f>IFERROR(__xludf.DUMMYFUNCTION("""COMPUTED_VALUE"""),"")</f>
        <v/>
      </c>
      <c r="M592" s="136" t="str">
        <f t="shared" si="1"/>
        <v/>
      </c>
      <c r="N592" s="136" t="str">
        <f>IFERROR(__xludf.DUMMYFUNCTION("""COMPUTED_VALUE"""),"")</f>
        <v/>
      </c>
      <c r="O592" s="141" t="s">
        <v>133</v>
      </c>
      <c r="P592" s="136" t="str">
        <f>IFERROR(__xludf.DUMMYFUNCTION("""COMPUTED_VALUE"""),"")</f>
        <v/>
      </c>
      <c r="Q592" s="136" t="str">
        <f>IFERROR(__xludf.DUMMYFUNCTION("""COMPUTED_VALUE"""),"")</f>
        <v/>
      </c>
      <c r="R592" s="106" t="str">
        <f>IFERROR(__xludf.DUMMYFUNCTION("""COMPUTED_VALUE"""),"")</f>
        <v/>
      </c>
      <c r="S592" s="106" t="str">
        <f>IFERROR(__xludf.DUMMYFUNCTION("""COMPUTED_VALUE"""),"")</f>
        <v/>
      </c>
      <c r="T592" s="139" t="str">
        <f>IFERROR(__xludf.DUMMYFUNCTION("""COMPUTED_VALUE"""),"")</f>
        <v/>
      </c>
      <c r="U592" s="139" t="str">
        <f>IFERROR(__xludf.DUMMYFUNCTION("""COMPUTED_VALUE"""),"")</f>
        <v/>
      </c>
      <c r="V592" s="136" t="str">
        <f>IFERROR(__xludf.DUMMYFUNCTION("""COMPUTED_VALUE"""),"")</f>
        <v/>
      </c>
      <c r="W592" s="106" t="str">
        <f>IFERROR(__xludf.DUMMYFUNCTION("""COMPUTED_VALUE"""),"")</f>
        <v/>
      </c>
      <c r="X592" s="143" t="str">
        <f t="shared" si="2"/>
        <v/>
      </c>
      <c r="Y592" s="139" t="str">
        <f>IFERROR(__xludf.DUMMYFUNCTION("""COMPUTED_VALUE"""),"")</f>
        <v/>
      </c>
      <c r="Z592" s="141" t="str">
        <f>IFERROR(__xludf.DUMMYFUNCTION("""COMPUTED_VALUE"""),"")</f>
        <v/>
      </c>
    </row>
    <row r="593">
      <c r="C593" s="136" t="str">
        <f>IFERROR(__xludf.DUMMYFUNCTION("""COMPUTED_VALUE"""),"")</f>
        <v/>
      </c>
      <c r="D593" s="136" t="str">
        <f t="shared" si="3"/>
        <v/>
      </c>
      <c r="E593" s="152" t="str">
        <f>IFERROR(__xludf.DUMMYFUNCTION("""COMPUTED_VALUE"""),"")</f>
        <v/>
      </c>
      <c r="F593" s="106" t="s">
        <v>133</v>
      </c>
      <c r="G593" s="152" t="str">
        <f>IFERROR(__xludf.DUMMYFUNCTION("""COMPUTED_VALUE"""),"")</f>
        <v/>
      </c>
      <c r="H593" s="106" t="s">
        <v>133</v>
      </c>
      <c r="I593" s="136"/>
      <c r="J593" s="139" t="s">
        <v>133</v>
      </c>
      <c r="K593" s="136" t="s">
        <v>133</v>
      </c>
      <c r="L593" s="153" t="str">
        <f>IFERROR(__xludf.DUMMYFUNCTION("""COMPUTED_VALUE"""),"")</f>
        <v/>
      </c>
      <c r="M593" s="136" t="str">
        <f t="shared" si="1"/>
        <v/>
      </c>
      <c r="N593" s="136" t="str">
        <f>IFERROR(__xludf.DUMMYFUNCTION("""COMPUTED_VALUE"""),"")</f>
        <v/>
      </c>
      <c r="O593" s="141" t="s">
        <v>133</v>
      </c>
      <c r="P593" s="136" t="str">
        <f>IFERROR(__xludf.DUMMYFUNCTION("""COMPUTED_VALUE"""),"")</f>
        <v/>
      </c>
      <c r="Q593" s="136" t="str">
        <f>IFERROR(__xludf.DUMMYFUNCTION("""COMPUTED_VALUE"""),"")</f>
        <v/>
      </c>
      <c r="R593" s="106" t="str">
        <f>IFERROR(__xludf.DUMMYFUNCTION("""COMPUTED_VALUE"""),"")</f>
        <v/>
      </c>
      <c r="S593" s="106" t="str">
        <f>IFERROR(__xludf.DUMMYFUNCTION("""COMPUTED_VALUE"""),"")</f>
        <v/>
      </c>
      <c r="T593" s="139" t="str">
        <f>IFERROR(__xludf.DUMMYFUNCTION("""COMPUTED_VALUE"""),"")</f>
        <v/>
      </c>
      <c r="U593" s="139" t="str">
        <f>IFERROR(__xludf.DUMMYFUNCTION("""COMPUTED_VALUE"""),"")</f>
        <v/>
      </c>
      <c r="V593" s="136" t="str">
        <f>IFERROR(__xludf.DUMMYFUNCTION("""COMPUTED_VALUE"""),"")</f>
        <v/>
      </c>
      <c r="W593" s="106" t="str">
        <f>IFERROR(__xludf.DUMMYFUNCTION("""COMPUTED_VALUE"""),"")</f>
        <v/>
      </c>
      <c r="X593" s="143" t="str">
        <f t="shared" si="2"/>
        <v/>
      </c>
      <c r="Y593" s="139" t="str">
        <f>IFERROR(__xludf.DUMMYFUNCTION("""COMPUTED_VALUE"""),"")</f>
        <v/>
      </c>
      <c r="Z593" s="141" t="str">
        <f>IFERROR(__xludf.DUMMYFUNCTION("""COMPUTED_VALUE"""),"")</f>
        <v/>
      </c>
    </row>
    <row r="594">
      <c r="C594" s="136" t="str">
        <f>IFERROR(__xludf.DUMMYFUNCTION("""COMPUTED_VALUE"""),"")</f>
        <v/>
      </c>
      <c r="D594" s="136" t="str">
        <f t="shared" si="3"/>
        <v/>
      </c>
      <c r="E594" s="152" t="str">
        <f>IFERROR(__xludf.DUMMYFUNCTION("""COMPUTED_VALUE"""),"")</f>
        <v/>
      </c>
      <c r="F594" s="106" t="s">
        <v>133</v>
      </c>
      <c r="G594" s="152" t="str">
        <f>IFERROR(__xludf.DUMMYFUNCTION("""COMPUTED_VALUE"""),"")</f>
        <v/>
      </c>
      <c r="H594" s="106" t="s">
        <v>133</v>
      </c>
      <c r="I594" s="136"/>
      <c r="J594" s="139" t="s">
        <v>133</v>
      </c>
      <c r="K594" s="136" t="s">
        <v>133</v>
      </c>
      <c r="L594" s="153" t="str">
        <f>IFERROR(__xludf.DUMMYFUNCTION("""COMPUTED_VALUE"""),"")</f>
        <v/>
      </c>
      <c r="M594" s="136" t="str">
        <f t="shared" si="1"/>
        <v/>
      </c>
      <c r="N594" s="136" t="str">
        <f>IFERROR(__xludf.DUMMYFUNCTION("""COMPUTED_VALUE"""),"")</f>
        <v/>
      </c>
      <c r="O594" s="141" t="s">
        <v>133</v>
      </c>
      <c r="P594" s="136" t="str">
        <f>IFERROR(__xludf.DUMMYFUNCTION("""COMPUTED_VALUE"""),"")</f>
        <v/>
      </c>
      <c r="Q594" s="136" t="str">
        <f>IFERROR(__xludf.DUMMYFUNCTION("""COMPUTED_VALUE"""),"")</f>
        <v/>
      </c>
      <c r="R594" s="106" t="str">
        <f>IFERROR(__xludf.DUMMYFUNCTION("""COMPUTED_VALUE"""),"")</f>
        <v/>
      </c>
      <c r="S594" s="106" t="str">
        <f>IFERROR(__xludf.DUMMYFUNCTION("""COMPUTED_VALUE"""),"")</f>
        <v/>
      </c>
      <c r="T594" s="139" t="str">
        <f>IFERROR(__xludf.DUMMYFUNCTION("""COMPUTED_VALUE"""),"")</f>
        <v/>
      </c>
      <c r="U594" s="139" t="str">
        <f>IFERROR(__xludf.DUMMYFUNCTION("""COMPUTED_VALUE"""),"")</f>
        <v/>
      </c>
      <c r="V594" s="136" t="str">
        <f>IFERROR(__xludf.DUMMYFUNCTION("""COMPUTED_VALUE"""),"")</f>
        <v/>
      </c>
      <c r="W594" s="106" t="str">
        <f>IFERROR(__xludf.DUMMYFUNCTION("""COMPUTED_VALUE"""),"")</f>
        <v/>
      </c>
      <c r="X594" s="143" t="str">
        <f t="shared" si="2"/>
        <v/>
      </c>
      <c r="Y594" s="139" t="str">
        <f>IFERROR(__xludf.DUMMYFUNCTION("""COMPUTED_VALUE"""),"")</f>
        <v/>
      </c>
      <c r="Z594" s="141" t="str">
        <f>IFERROR(__xludf.DUMMYFUNCTION("""COMPUTED_VALUE"""),"")</f>
        <v/>
      </c>
    </row>
    <row r="595">
      <c r="C595" s="136" t="str">
        <f>IFERROR(__xludf.DUMMYFUNCTION("""COMPUTED_VALUE"""),"")</f>
        <v/>
      </c>
      <c r="D595" s="136" t="str">
        <f t="shared" si="3"/>
        <v/>
      </c>
      <c r="E595" s="152" t="str">
        <f>IFERROR(__xludf.DUMMYFUNCTION("""COMPUTED_VALUE"""),"")</f>
        <v/>
      </c>
      <c r="F595" s="106" t="s">
        <v>133</v>
      </c>
      <c r="G595" s="152" t="str">
        <f>IFERROR(__xludf.DUMMYFUNCTION("""COMPUTED_VALUE"""),"")</f>
        <v/>
      </c>
      <c r="H595" s="106" t="s">
        <v>133</v>
      </c>
      <c r="I595" s="136"/>
      <c r="J595" s="139" t="s">
        <v>133</v>
      </c>
      <c r="K595" s="136" t="s">
        <v>133</v>
      </c>
      <c r="L595" s="153" t="str">
        <f>IFERROR(__xludf.DUMMYFUNCTION("""COMPUTED_VALUE"""),"")</f>
        <v/>
      </c>
      <c r="M595" s="136" t="str">
        <f t="shared" si="1"/>
        <v/>
      </c>
      <c r="N595" s="136" t="str">
        <f>IFERROR(__xludf.DUMMYFUNCTION("""COMPUTED_VALUE"""),"")</f>
        <v/>
      </c>
      <c r="O595" s="141" t="s">
        <v>133</v>
      </c>
      <c r="P595" s="136" t="str">
        <f>IFERROR(__xludf.DUMMYFUNCTION("""COMPUTED_VALUE"""),"")</f>
        <v/>
      </c>
      <c r="Q595" s="136" t="str">
        <f>IFERROR(__xludf.DUMMYFUNCTION("""COMPUTED_VALUE"""),"")</f>
        <v/>
      </c>
      <c r="R595" s="106" t="str">
        <f>IFERROR(__xludf.DUMMYFUNCTION("""COMPUTED_VALUE"""),"")</f>
        <v/>
      </c>
      <c r="S595" s="106" t="str">
        <f>IFERROR(__xludf.DUMMYFUNCTION("""COMPUTED_VALUE"""),"")</f>
        <v/>
      </c>
      <c r="T595" s="139" t="str">
        <f>IFERROR(__xludf.DUMMYFUNCTION("""COMPUTED_VALUE"""),"")</f>
        <v/>
      </c>
      <c r="U595" s="139" t="str">
        <f>IFERROR(__xludf.DUMMYFUNCTION("""COMPUTED_VALUE"""),"")</f>
        <v/>
      </c>
      <c r="V595" s="136" t="str">
        <f>IFERROR(__xludf.DUMMYFUNCTION("""COMPUTED_VALUE"""),"")</f>
        <v/>
      </c>
      <c r="W595" s="106" t="str">
        <f>IFERROR(__xludf.DUMMYFUNCTION("""COMPUTED_VALUE"""),"")</f>
        <v/>
      </c>
      <c r="X595" s="143" t="str">
        <f t="shared" si="2"/>
        <v/>
      </c>
      <c r="Y595" s="139" t="str">
        <f>IFERROR(__xludf.DUMMYFUNCTION("""COMPUTED_VALUE"""),"")</f>
        <v/>
      </c>
      <c r="Z595" s="141" t="str">
        <f>IFERROR(__xludf.DUMMYFUNCTION("""COMPUTED_VALUE"""),"")</f>
        <v/>
      </c>
    </row>
    <row r="596">
      <c r="C596" s="136" t="str">
        <f>IFERROR(__xludf.DUMMYFUNCTION("""COMPUTED_VALUE"""),"")</f>
        <v/>
      </c>
      <c r="D596" s="136" t="str">
        <f t="shared" si="3"/>
        <v/>
      </c>
      <c r="E596" s="152" t="str">
        <f>IFERROR(__xludf.DUMMYFUNCTION("""COMPUTED_VALUE"""),"")</f>
        <v/>
      </c>
      <c r="F596" s="106" t="s">
        <v>133</v>
      </c>
      <c r="G596" s="152" t="str">
        <f>IFERROR(__xludf.DUMMYFUNCTION("""COMPUTED_VALUE"""),"")</f>
        <v/>
      </c>
      <c r="H596" s="106" t="s">
        <v>133</v>
      </c>
      <c r="I596" s="136"/>
      <c r="J596" s="139" t="s">
        <v>133</v>
      </c>
      <c r="K596" s="136" t="s">
        <v>133</v>
      </c>
      <c r="L596" s="153" t="str">
        <f>IFERROR(__xludf.DUMMYFUNCTION("""COMPUTED_VALUE"""),"")</f>
        <v/>
      </c>
      <c r="M596" s="136" t="str">
        <f t="shared" si="1"/>
        <v/>
      </c>
      <c r="N596" s="136" t="str">
        <f>IFERROR(__xludf.DUMMYFUNCTION("""COMPUTED_VALUE"""),"")</f>
        <v/>
      </c>
      <c r="O596" s="141" t="s">
        <v>133</v>
      </c>
      <c r="P596" s="136" t="str">
        <f>IFERROR(__xludf.DUMMYFUNCTION("""COMPUTED_VALUE"""),"")</f>
        <v/>
      </c>
      <c r="Q596" s="136" t="str">
        <f>IFERROR(__xludf.DUMMYFUNCTION("""COMPUTED_VALUE"""),"")</f>
        <v/>
      </c>
      <c r="R596" s="106" t="str">
        <f>IFERROR(__xludf.DUMMYFUNCTION("""COMPUTED_VALUE"""),"")</f>
        <v/>
      </c>
      <c r="S596" s="106" t="str">
        <f>IFERROR(__xludf.DUMMYFUNCTION("""COMPUTED_VALUE"""),"")</f>
        <v/>
      </c>
      <c r="T596" s="139" t="str">
        <f>IFERROR(__xludf.DUMMYFUNCTION("""COMPUTED_VALUE"""),"")</f>
        <v/>
      </c>
      <c r="U596" s="139" t="str">
        <f>IFERROR(__xludf.DUMMYFUNCTION("""COMPUTED_VALUE"""),"")</f>
        <v/>
      </c>
      <c r="V596" s="136" t="str">
        <f>IFERROR(__xludf.DUMMYFUNCTION("""COMPUTED_VALUE"""),"")</f>
        <v/>
      </c>
      <c r="W596" s="106" t="str">
        <f>IFERROR(__xludf.DUMMYFUNCTION("""COMPUTED_VALUE"""),"")</f>
        <v/>
      </c>
      <c r="X596" s="143" t="str">
        <f t="shared" si="2"/>
        <v/>
      </c>
      <c r="Y596" s="139" t="str">
        <f>IFERROR(__xludf.DUMMYFUNCTION("""COMPUTED_VALUE"""),"")</f>
        <v/>
      </c>
      <c r="Z596" s="141" t="str">
        <f>IFERROR(__xludf.DUMMYFUNCTION("""COMPUTED_VALUE"""),"")</f>
        <v/>
      </c>
    </row>
    <row r="597">
      <c r="C597" s="136" t="str">
        <f>IFERROR(__xludf.DUMMYFUNCTION("""COMPUTED_VALUE"""),"")</f>
        <v/>
      </c>
      <c r="D597" s="136" t="str">
        <f t="shared" si="3"/>
        <v/>
      </c>
      <c r="E597" s="152" t="str">
        <f>IFERROR(__xludf.DUMMYFUNCTION("""COMPUTED_VALUE"""),"")</f>
        <v/>
      </c>
      <c r="F597" s="106" t="s">
        <v>133</v>
      </c>
      <c r="G597" s="152" t="str">
        <f>IFERROR(__xludf.DUMMYFUNCTION("""COMPUTED_VALUE"""),"")</f>
        <v/>
      </c>
      <c r="H597" s="106" t="s">
        <v>133</v>
      </c>
      <c r="I597" s="136"/>
      <c r="J597" s="139" t="s">
        <v>133</v>
      </c>
      <c r="K597" s="136" t="s">
        <v>133</v>
      </c>
      <c r="L597" s="153" t="str">
        <f>IFERROR(__xludf.DUMMYFUNCTION("""COMPUTED_VALUE"""),"")</f>
        <v/>
      </c>
      <c r="M597" s="136" t="str">
        <f t="shared" si="1"/>
        <v/>
      </c>
      <c r="N597" s="136" t="str">
        <f>IFERROR(__xludf.DUMMYFUNCTION("""COMPUTED_VALUE"""),"")</f>
        <v/>
      </c>
      <c r="O597" s="141" t="s">
        <v>133</v>
      </c>
      <c r="P597" s="136" t="str">
        <f>IFERROR(__xludf.DUMMYFUNCTION("""COMPUTED_VALUE"""),"")</f>
        <v/>
      </c>
      <c r="Q597" s="136" t="str">
        <f>IFERROR(__xludf.DUMMYFUNCTION("""COMPUTED_VALUE"""),"")</f>
        <v/>
      </c>
      <c r="R597" s="106" t="str">
        <f>IFERROR(__xludf.DUMMYFUNCTION("""COMPUTED_VALUE"""),"")</f>
        <v/>
      </c>
      <c r="S597" s="106" t="str">
        <f>IFERROR(__xludf.DUMMYFUNCTION("""COMPUTED_VALUE"""),"")</f>
        <v/>
      </c>
      <c r="T597" s="139" t="str">
        <f>IFERROR(__xludf.DUMMYFUNCTION("""COMPUTED_VALUE"""),"")</f>
        <v/>
      </c>
      <c r="U597" s="139" t="str">
        <f>IFERROR(__xludf.DUMMYFUNCTION("""COMPUTED_VALUE"""),"")</f>
        <v/>
      </c>
      <c r="V597" s="136" t="str">
        <f>IFERROR(__xludf.DUMMYFUNCTION("""COMPUTED_VALUE"""),"")</f>
        <v/>
      </c>
      <c r="W597" s="106" t="str">
        <f>IFERROR(__xludf.DUMMYFUNCTION("""COMPUTED_VALUE"""),"")</f>
        <v/>
      </c>
      <c r="X597" s="143" t="str">
        <f t="shared" si="2"/>
        <v/>
      </c>
      <c r="Y597" s="139" t="str">
        <f>IFERROR(__xludf.DUMMYFUNCTION("""COMPUTED_VALUE"""),"")</f>
        <v/>
      </c>
      <c r="Z597" s="141" t="str">
        <f>IFERROR(__xludf.DUMMYFUNCTION("""COMPUTED_VALUE"""),"")</f>
        <v/>
      </c>
    </row>
    <row r="598">
      <c r="C598" s="136" t="str">
        <f>IFERROR(__xludf.DUMMYFUNCTION("""COMPUTED_VALUE"""),"")</f>
        <v/>
      </c>
      <c r="D598" s="136" t="str">
        <f t="shared" si="3"/>
        <v/>
      </c>
      <c r="E598" s="152" t="str">
        <f>IFERROR(__xludf.DUMMYFUNCTION("""COMPUTED_VALUE"""),"")</f>
        <v/>
      </c>
      <c r="F598" s="106" t="s">
        <v>133</v>
      </c>
      <c r="G598" s="152" t="str">
        <f>IFERROR(__xludf.DUMMYFUNCTION("""COMPUTED_VALUE"""),"")</f>
        <v/>
      </c>
      <c r="H598" s="106" t="s">
        <v>133</v>
      </c>
      <c r="I598" s="136"/>
      <c r="J598" s="139" t="s">
        <v>133</v>
      </c>
      <c r="K598" s="136" t="s">
        <v>133</v>
      </c>
      <c r="L598" s="153" t="str">
        <f>IFERROR(__xludf.DUMMYFUNCTION("""COMPUTED_VALUE"""),"")</f>
        <v/>
      </c>
      <c r="M598" s="136" t="str">
        <f t="shared" si="1"/>
        <v/>
      </c>
      <c r="N598" s="136" t="str">
        <f>IFERROR(__xludf.DUMMYFUNCTION("""COMPUTED_VALUE"""),"")</f>
        <v/>
      </c>
      <c r="O598" s="141" t="s">
        <v>133</v>
      </c>
      <c r="P598" s="136" t="str">
        <f>IFERROR(__xludf.DUMMYFUNCTION("""COMPUTED_VALUE"""),"")</f>
        <v/>
      </c>
      <c r="Q598" s="136" t="str">
        <f>IFERROR(__xludf.DUMMYFUNCTION("""COMPUTED_VALUE"""),"")</f>
        <v/>
      </c>
      <c r="R598" s="106" t="str">
        <f>IFERROR(__xludf.DUMMYFUNCTION("""COMPUTED_VALUE"""),"")</f>
        <v/>
      </c>
      <c r="S598" s="106" t="str">
        <f>IFERROR(__xludf.DUMMYFUNCTION("""COMPUTED_VALUE"""),"")</f>
        <v/>
      </c>
      <c r="T598" s="139" t="str">
        <f>IFERROR(__xludf.DUMMYFUNCTION("""COMPUTED_VALUE"""),"")</f>
        <v/>
      </c>
      <c r="U598" s="139" t="str">
        <f>IFERROR(__xludf.DUMMYFUNCTION("""COMPUTED_VALUE"""),"")</f>
        <v/>
      </c>
      <c r="V598" s="136" t="str">
        <f>IFERROR(__xludf.DUMMYFUNCTION("""COMPUTED_VALUE"""),"")</f>
        <v/>
      </c>
      <c r="W598" s="106" t="str">
        <f>IFERROR(__xludf.DUMMYFUNCTION("""COMPUTED_VALUE"""),"")</f>
        <v/>
      </c>
      <c r="X598" s="143" t="str">
        <f t="shared" si="2"/>
        <v/>
      </c>
      <c r="Y598" s="139" t="str">
        <f>IFERROR(__xludf.DUMMYFUNCTION("""COMPUTED_VALUE"""),"")</f>
        <v/>
      </c>
      <c r="Z598" s="141" t="str">
        <f>IFERROR(__xludf.DUMMYFUNCTION("""COMPUTED_VALUE"""),"")</f>
        <v/>
      </c>
    </row>
    <row r="599">
      <c r="C599" s="136" t="str">
        <f>IFERROR(__xludf.DUMMYFUNCTION("""COMPUTED_VALUE"""),"")</f>
        <v/>
      </c>
      <c r="D599" s="136" t="str">
        <f t="shared" si="3"/>
        <v/>
      </c>
      <c r="E599" s="152" t="str">
        <f>IFERROR(__xludf.DUMMYFUNCTION("""COMPUTED_VALUE"""),"")</f>
        <v/>
      </c>
      <c r="F599" s="106" t="s">
        <v>133</v>
      </c>
      <c r="G599" s="152" t="str">
        <f>IFERROR(__xludf.DUMMYFUNCTION("""COMPUTED_VALUE"""),"")</f>
        <v/>
      </c>
      <c r="H599" s="106" t="s">
        <v>133</v>
      </c>
      <c r="I599" s="136"/>
      <c r="J599" s="139" t="s">
        <v>133</v>
      </c>
      <c r="K599" s="136" t="s">
        <v>133</v>
      </c>
      <c r="L599" s="153" t="str">
        <f>IFERROR(__xludf.DUMMYFUNCTION("""COMPUTED_VALUE"""),"")</f>
        <v/>
      </c>
      <c r="M599" s="136" t="str">
        <f t="shared" si="1"/>
        <v/>
      </c>
      <c r="N599" s="136" t="str">
        <f>IFERROR(__xludf.DUMMYFUNCTION("""COMPUTED_VALUE"""),"")</f>
        <v/>
      </c>
      <c r="O599" s="141" t="s">
        <v>133</v>
      </c>
      <c r="P599" s="136" t="str">
        <f>IFERROR(__xludf.DUMMYFUNCTION("""COMPUTED_VALUE"""),"")</f>
        <v/>
      </c>
      <c r="Q599" s="136" t="str">
        <f>IFERROR(__xludf.DUMMYFUNCTION("""COMPUTED_VALUE"""),"")</f>
        <v/>
      </c>
      <c r="R599" s="106" t="str">
        <f>IFERROR(__xludf.DUMMYFUNCTION("""COMPUTED_VALUE"""),"")</f>
        <v/>
      </c>
      <c r="S599" s="106" t="str">
        <f>IFERROR(__xludf.DUMMYFUNCTION("""COMPUTED_VALUE"""),"")</f>
        <v/>
      </c>
      <c r="T599" s="139" t="str">
        <f>IFERROR(__xludf.DUMMYFUNCTION("""COMPUTED_VALUE"""),"")</f>
        <v/>
      </c>
      <c r="U599" s="139" t="str">
        <f>IFERROR(__xludf.DUMMYFUNCTION("""COMPUTED_VALUE"""),"")</f>
        <v/>
      </c>
      <c r="V599" s="136" t="str">
        <f>IFERROR(__xludf.DUMMYFUNCTION("""COMPUTED_VALUE"""),"")</f>
        <v/>
      </c>
      <c r="W599" s="106" t="str">
        <f>IFERROR(__xludf.DUMMYFUNCTION("""COMPUTED_VALUE"""),"")</f>
        <v/>
      </c>
      <c r="X599" s="143" t="str">
        <f t="shared" si="2"/>
        <v/>
      </c>
      <c r="Y599" s="139" t="str">
        <f>IFERROR(__xludf.DUMMYFUNCTION("""COMPUTED_VALUE"""),"")</f>
        <v/>
      </c>
      <c r="Z599" s="141" t="str">
        <f>IFERROR(__xludf.DUMMYFUNCTION("""COMPUTED_VALUE"""),"")</f>
        <v/>
      </c>
    </row>
    <row r="600">
      <c r="C600" s="136" t="str">
        <f>IFERROR(__xludf.DUMMYFUNCTION("""COMPUTED_VALUE"""),"")</f>
        <v/>
      </c>
      <c r="D600" s="136" t="str">
        <f t="shared" si="3"/>
        <v/>
      </c>
      <c r="E600" s="152" t="str">
        <f>IFERROR(__xludf.DUMMYFUNCTION("""COMPUTED_VALUE"""),"")</f>
        <v/>
      </c>
      <c r="F600" s="106" t="s">
        <v>133</v>
      </c>
      <c r="G600" s="152" t="str">
        <f>IFERROR(__xludf.DUMMYFUNCTION("""COMPUTED_VALUE"""),"")</f>
        <v/>
      </c>
      <c r="H600" s="106" t="s">
        <v>133</v>
      </c>
      <c r="I600" s="136"/>
      <c r="J600" s="139" t="s">
        <v>133</v>
      </c>
      <c r="K600" s="136" t="s">
        <v>133</v>
      </c>
      <c r="L600" s="153" t="str">
        <f>IFERROR(__xludf.DUMMYFUNCTION("""COMPUTED_VALUE"""),"")</f>
        <v/>
      </c>
      <c r="M600" s="136" t="str">
        <f t="shared" si="1"/>
        <v/>
      </c>
      <c r="N600" s="136" t="str">
        <f>IFERROR(__xludf.DUMMYFUNCTION("""COMPUTED_VALUE"""),"")</f>
        <v/>
      </c>
      <c r="O600" s="141" t="s">
        <v>133</v>
      </c>
      <c r="P600" s="136" t="str">
        <f>IFERROR(__xludf.DUMMYFUNCTION("""COMPUTED_VALUE"""),"")</f>
        <v/>
      </c>
      <c r="Q600" s="136" t="str">
        <f>IFERROR(__xludf.DUMMYFUNCTION("""COMPUTED_VALUE"""),"")</f>
        <v/>
      </c>
      <c r="R600" s="106" t="str">
        <f>IFERROR(__xludf.DUMMYFUNCTION("""COMPUTED_VALUE"""),"")</f>
        <v/>
      </c>
      <c r="S600" s="106" t="str">
        <f>IFERROR(__xludf.DUMMYFUNCTION("""COMPUTED_VALUE"""),"")</f>
        <v/>
      </c>
      <c r="T600" s="139" t="str">
        <f>IFERROR(__xludf.DUMMYFUNCTION("""COMPUTED_VALUE"""),"")</f>
        <v/>
      </c>
      <c r="U600" s="139" t="str">
        <f>IFERROR(__xludf.DUMMYFUNCTION("""COMPUTED_VALUE"""),"")</f>
        <v/>
      </c>
      <c r="V600" s="136" t="str">
        <f>IFERROR(__xludf.DUMMYFUNCTION("""COMPUTED_VALUE"""),"")</f>
        <v/>
      </c>
      <c r="W600" s="106" t="str">
        <f>IFERROR(__xludf.DUMMYFUNCTION("""COMPUTED_VALUE"""),"")</f>
        <v/>
      </c>
      <c r="X600" s="143" t="str">
        <f t="shared" si="2"/>
        <v/>
      </c>
      <c r="Y600" s="139" t="str">
        <f>IFERROR(__xludf.DUMMYFUNCTION("""COMPUTED_VALUE"""),"")</f>
        <v/>
      </c>
      <c r="Z600" s="141" t="str">
        <f>IFERROR(__xludf.DUMMYFUNCTION("""COMPUTED_VALUE"""),"")</f>
        <v/>
      </c>
    </row>
    <row r="601">
      <c r="C601" s="136" t="str">
        <f>IFERROR(__xludf.DUMMYFUNCTION("""COMPUTED_VALUE"""),"")</f>
        <v/>
      </c>
      <c r="D601" s="136" t="str">
        <f t="shared" si="3"/>
        <v/>
      </c>
      <c r="E601" s="152" t="str">
        <f>IFERROR(__xludf.DUMMYFUNCTION("""COMPUTED_VALUE"""),"")</f>
        <v/>
      </c>
      <c r="F601" s="106" t="s">
        <v>133</v>
      </c>
      <c r="G601" s="152" t="str">
        <f>IFERROR(__xludf.DUMMYFUNCTION("""COMPUTED_VALUE"""),"")</f>
        <v/>
      </c>
      <c r="H601" s="106" t="s">
        <v>133</v>
      </c>
      <c r="I601" s="136"/>
      <c r="J601" s="139" t="s">
        <v>133</v>
      </c>
      <c r="K601" s="136" t="s">
        <v>133</v>
      </c>
      <c r="L601" s="153" t="str">
        <f>IFERROR(__xludf.DUMMYFUNCTION("""COMPUTED_VALUE"""),"")</f>
        <v/>
      </c>
      <c r="M601" s="136" t="str">
        <f t="shared" si="1"/>
        <v/>
      </c>
      <c r="N601" s="136" t="str">
        <f>IFERROR(__xludf.DUMMYFUNCTION("""COMPUTED_VALUE"""),"")</f>
        <v/>
      </c>
      <c r="O601" s="141" t="s">
        <v>133</v>
      </c>
      <c r="P601" s="136" t="str">
        <f>IFERROR(__xludf.DUMMYFUNCTION("""COMPUTED_VALUE"""),"")</f>
        <v/>
      </c>
      <c r="Q601" s="136" t="str">
        <f>IFERROR(__xludf.DUMMYFUNCTION("""COMPUTED_VALUE"""),"")</f>
        <v/>
      </c>
      <c r="R601" s="106" t="str">
        <f>IFERROR(__xludf.DUMMYFUNCTION("""COMPUTED_VALUE"""),"")</f>
        <v/>
      </c>
      <c r="S601" s="106" t="str">
        <f>IFERROR(__xludf.DUMMYFUNCTION("""COMPUTED_VALUE"""),"")</f>
        <v/>
      </c>
      <c r="T601" s="139" t="str">
        <f>IFERROR(__xludf.DUMMYFUNCTION("""COMPUTED_VALUE"""),"")</f>
        <v/>
      </c>
      <c r="U601" s="139" t="str">
        <f>IFERROR(__xludf.DUMMYFUNCTION("""COMPUTED_VALUE"""),"")</f>
        <v/>
      </c>
      <c r="V601" s="136" t="str">
        <f>IFERROR(__xludf.DUMMYFUNCTION("""COMPUTED_VALUE"""),"")</f>
        <v/>
      </c>
      <c r="W601" s="106" t="str">
        <f>IFERROR(__xludf.DUMMYFUNCTION("""COMPUTED_VALUE"""),"")</f>
        <v/>
      </c>
      <c r="X601" s="143" t="str">
        <f t="shared" si="2"/>
        <v/>
      </c>
      <c r="Y601" s="139" t="str">
        <f>IFERROR(__xludf.DUMMYFUNCTION("""COMPUTED_VALUE"""),"")</f>
        <v/>
      </c>
      <c r="Z601" s="141" t="str">
        <f>IFERROR(__xludf.DUMMYFUNCTION("""COMPUTED_VALUE"""),"")</f>
        <v/>
      </c>
    </row>
    <row r="602">
      <c r="C602" s="136" t="str">
        <f>IFERROR(__xludf.DUMMYFUNCTION("""COMPUTED_VALUE"""),"")</f>
        <v/>
      </c>
      <c r="D602" s="136" t="str">
        <f t="shared" si="3"/>
        <v/>
      </c>
      <c r="E602" s="152" t="str">
        <f>IFERROR(__xludf.DUMMYFUNCTION("""COMPUTED_VALUE"""),"")</f>
        <v/>
      </c>
      <c r="F602" s="106" t="s">
        <v>133</v>
      </c>
      <c r="G602" s="152" t="str">
        <f>IFERROR(__xludf.DUMMYFUNCTION("""COMPUTED_VALUE"""),"")</f>
        <v/>
      </c>
      <c r="H602" s="106" t="s">
        <v>133</v>
      </c>
      <c r="I602" s="136"/>
      <c r="J602" s="139" t="s">
        <v>133</v>
      </c>
      <c r="K602" s="136" t="s">
        <v>133</v>
      </c>
      <c r="L602" s="153" t="str">
        <f>IFERROR(__xludf.DUMMYFUNCTION("""COMPUTED_VALUE"""),"")</f>
        <v/>
      </c>
      <c r="M602" s="136" t="str">
        <f t="shared" si="1"/>
        <v/>
      </c>
      <c r="N602" s="136" t="str">
        <f>IFERROR(__xludf.DUMMYFUNCTION("""COMPUTED_VALUE"""),"")</f>
        <v/>
      </c>
      <c r="O602" s="141" t="s">
        <v>133</v>
      </c>
      <c r="P602" s="136" t="str">
        <f>IFERROR(__xludf.DUMMYFUNCTION("""COMPUTED_VALUE"""),"")</f>
        <v/>
      </c>
      <c r="Q602" s="136" t="str">
        <f>IFERROR(__xludf.DUMMYFUNCTION("""COMPUTED_VALUE"""),"")</f>
        <v/>
      </c>
      <c r="R602" s="106" t="str">
        <f>IFERROR(__xludf.DUMMYFUNCTION("""COMPUTED_VALUE"""),"")</f>
        <v/>
      </c>
      <c r="S602" s="106" t="str">
        <f>IFERROR(__xludf.DUMMYFUNCTION("""COMPUTED_VALUE"""),"")</f>
        <v/>
      </c>
      <c r="T602" s="139" t="str">
        <f>IFERROR(__xludf.DUMMYFUNCTION("""COMPUTED_VALUE"""),"")</f>
        <v/>
      </c>
      <c r="U602" s="139" t="str">
        <f>IFERROR(__xludf.DUMMYFUNCTION("""COMPUTED_VALUE"""),"")</f>
        <v/>
      </c>
      <c r="V602" s="136" t="str">
        <f>IFERROR(__xludf.DUMMYFUNCTION("""COMPUTED_VALUE"""),"")</f>
        <v/>
      </c>
      <c r="W602" s="106" t="str">
        <f>IFERROR(__xludf.DUMMYFUNCTION("""COMPUTED_VALUE"""),"")</f>
        <v/>
      </c>
      <c r="X602" s="143" t="str">
        <f t="shared" si="2"/>
        <v/>
      </c>
      <c r="Y602" s="139" t="str">
        <f>IFERROR(__xludf.DUMMYFUNCTION("""COMPUTED_VALUE"""),"")</f>
        <v/>
      </c>
      <c r="Z602" s="141" t="str">
        <f>IFERROR(__xludf.DUMMYFUNCTION("""COMPUTED_VALUE"""),"")</f>
        <v/>
      </c>
    </row>
    <row r="603">
      <c r="C603" s="136" t="str">
        <f>IFERROR(__xludf.DUMMYFUNCTION("""COMPUTED_VALUE"""),"")</f>
        <v/>
      </c>
      <c r="D603" s="136" t="str">
        <f t="shared" si="3"/>
        <v/>
      </c>
      <c r="E603" s="152" t="str">
        <f>IFERROR(__xludf.DUMMYFUNCTION("""COMPUTED_VALUE"""),"")</f>
        <v/>
      </c>
      <c r="F603" s="106" t="s">
        <v>133</v>
      </c>
      <c r="G603" s="152" t="str">
        <f>IFERROR(__xludf.DUMMYFUNCTION("""COMPUTED_VALUE"""),"")</f>
        <v/>
      </c>
      <c r="H603" s="106" t="s">
        <v>133</v>
      </c>
      <c r="I603" s="136"/>
      <c r="J603" s="139" t="s">
        <v>133</v>
      </c>
      <c r="K603" s="136" t="s">
        <v>133</v>
      </c>
      <c r="L603" s="153" t="str">
        <f>IFERROR(__xludf.DUMMYFUNCTION("""COMPUTED_VALUE"""),"")</f>
        <v/>
      </c>
      <c r="M603" s="136" t="str">
        <f t="shared" si="1"/>
        <v/>
      </c>
      <c r="N603" s="136" t="str">
        <f>IFERROR(__xludf.DUMMYFUNCTION("""COMPUTED_VALUE"""),"")</f>
        <v/>
      </c>
      <c r="O603" s="141" t="s">
        <v>133</v>
      </c>
      <c r="P603" s="136" t="str">
        <f>IFERROR(__xludf.DUMMYFUNCTION("""COMPUTED_VALUE"""),"")</f>
        <v/>
      </c>
      <c r="Q603" s="136" t="str">
        <f>IFERROR(__xludf.DUMMYFUNCTION("""COMPUTED_VALUE"""),"")</f>
        <v/>
      </c>
      <c r="R603" s="106" t="str">
        <f>IFERROR(__xludf.DUMMYFUNCTION("""COMPUTED_VALUE"""),"")</f>
        <v/>
      </c>
      <c r="S603" s="106" t="str">
        <f>IFERROR(__xludf.DUMMYFUNCTION("""COMPUTED_VALUE"""),"")</f>
        <v/>
      </c>
      <c r="T603" s="139" t="str">
        <f>IFERROR(__xludf.DUMMYFUNCTION("""COMPUTED_VALUE"""),"")</f>
        <v/>
      </c>
      <c r="U603" s="139" t="str">
        <f>IFERROR(__xludf.DUMMYFUNCTION("""COMPUTED_VALUE"""),"")</f>
        <v/>
      </c>
      <c r="V603" s="136" t="str">
        <f>IFERROR(__xludf.DUMMYFUNCTION("""COMPUTED_VALUE"""),"")</f>
        <v/>
      </c>
      <c r="W603" s="106" t="str">
        <f>IFERROR(__xludf.DUMMYFUNCTION("""COMPUTED_VALUE"""),"")</f>
        <v/>
      </c>
      <c r="X603" s="143" t="str">
        <f t="shared" si="2"/>
        <v/>
      </c>
      <c r="Y603" s="139" t="str">
        <f>IFERROR(__xludf.DUMMYFUNCTION("""COMPUTED_VALUE"""),"")</f>
        <v/>
      </c>
      <c r="Z603" s="141" t="str">
        <f>IFERROR(__xludf.DUMMYFUNCTION("""COMPUTED_VALUE"""),"")</f>
        <v/>
      </c>
    </row>
    <row r="604">
      <c r="C604" s="136" t="str">
        <f>IFERROR(__xludf.DUMMYFUNCTION("""COMPUTED_VALUE"""),"")</f>
        <v/>
      </c>
      <c r="D604" s="136" t="str">
        <f t="shared" si="3"/>
        <v/>
      </c>
      <c r="E604" s="152" t="str">
        <f>IFERROR(__xludf.DUMMYFUNCTION("""COMPUTED_VALUE"""),"")</f>
        <v/>
      </c>
      <c r="F604" s="106" t="s">
        <v>133</v>
      </c>
      <c r="G604" s="152" t="str">
        <f>IFERROR(__xludf.DUMMYFUNCTION("""COMPUTED_VALUE"""),"")</f>
        <v/>
      </c>
      <c r="H604" s="106" t="s">
        <v>133</v>
      </c>
      <c r="I604" s="136"/>
      <c r="J604" s="139" t="s">
        <v>133</v>
      </c>
      <c r="K604" s="136" t="s">
        <v>133</v>
      </c>
      <c r="L604" s="153" t="str">
        <f>IFERROR(__xludf.DUMMYFUNCTION("""COMPUTED_VALUE"""),"")</f>
        <v/>
      </c>
      <c r="M604" s="136" t="str">
        <f t="shared" si="1"/>
        <v/>
      </c>
      <c r="N604" s="136" t="str">
        <f>IFERROR(__xludf.DUMMYFUNCTION("""COMPUTED_VALUE"""),"")</f>
        <v/>
      </c>
      <c r="O604" s="141" t="s">
        <v>133</v>
      </c>
      <c r="P604" s="136" t="str">
        <f>IFERROR(__xludf.DUMMYFUNCTION("""COMPUTED_VALUE"""),"")</f>
        <v/>
      </c>
      <c r="Q604" s="136" t="str">
        <f>IFERROR(__xludf.DUMMYFUNCTION("""COMPUTED_VALUE"""),"")</f>
        <v/>
      </c>
      <c r="R604" s="106" t="str">
        <f>IFERROR(__xludf.DUMMYFUNCTION("""COMPUTED_VALUE"""),"")</f>
        <v/>
      </c>
      <c r="S604" s="106" t="str">
        <f>IFERROR(__xludf.DUMMYFUNCTION("""COMPUTED_VALUE"""),"")</f>
        <v/>
      </c>
      <c r="T604" s="139" t="str">
        <f>IFERROR(__xludf.DUMMYFUNCTION("""COMPUTED_VALUE"""),"")</f>
        <v/>
      </c>
      <c r="U604" s="139" t="str">
        <f>IFERROR(__xludf.DUMMYFUNCTION("""COMPUTED_VALUE"""),"")</f>
        <v/>
      </c>
      <c r="V604" s="136" t="str">
        <f>IFERROR(__xludf.DUMMYFUNCTION("""COMPUTED_VALUE"""),"")</f>
        <v/>
      </c>
      <c r="W604" s="106" t="str">
        <f>IFERROR(__xludf.DUMMYFUNCTION("""COMPUTED_VALUE"""),"")</f>
        <v/>
      </c>
      <c r="X604" s="143" t="str">
        <f t="shared" si="2"/>
        <v/>
      </c>
      <c r="Y604" s="139" t="str">
        <f>IFERROR(__xludf.DUMMYFUNCTION("""COMPUTED_VALUE"""),"")</f>
        <v/>
      </c>
      <c r="Z604" s="141" t="str">
        <f>IFERROR(__xludf.DUMMYFUNCTION("""COMPUTED_VALUE"""),"")</f>
        <v/>
      </c>
    </row>
    <row r="605">
      <c r="C605" s="136" t="str">
        <f>IFERROR(__xludf.DUMMYFUNCTION("""COMPUTED_VALUE"""),"")</f>
        <v/>
      </c>
      <c r="D605" s="136" t="str">
        <f t="shared" si="3"/>
        <v/>
      </c>
      <c r="E605" s="152" t="str">
        <f>IFERROR(__xludf.DUMMYFUNCTION("""COMPUTED_VALUE"""),"")</f>
        <v/>
      </c>
      <c r="F605" s="106" t="s">
        <v>133</v>
      </c>
      <c r="G605" s="152" t="str">
        <f>IFERROR(__xludf.DUMMYFUNCTION("""COMPUTED_VALUE"""),"")</f>
        <v/>
      </c>
      <c r="H605" s="106" t="s">
        <v>133</v>
      </c>
      <c r="I605" s="136"/>
      <c r="J605" s="139" t="s">
        <v>133</v>
      </c>
      <c r="K605" s="136" t="s">
        <v>133</v>
      </c>
      <c r="L605" s="153" t="str">
        <f>IFERROR(__xludf.DUMMYFUNCTION("""COMPUTED_VALUE"""),"")</f>
        <v/>
      </c>
      <c r="M605" s="136" t="str">
        <f t="shared" si="1"/>
        <v/>
      </c>
      <c r="N605" s="136" t="str">
        <f>IFERROR(__xludf.DUMMYFUNCTION("""COMPUTED_VALUE"""),"")</f>
        <v/>
      </c>
      <c r="O605" s="141" t="s">
        <v>133</v>
      </c>
      <c r="P605" s="136" t="str">
        <f>IFERROR(__xludf.DUMMYFUNCTION("""COMPUTED_VALUE"""),"")</f>
        <v/>
      </c>
      <c r="Q605" s="136" t="str">
        <f>IFERROR(__xludf.DUMMYFUNCTION("""COMPUTED_VALUE"""),"")</f>
        <v/>
      </c>
      <c r="R605" s="106" t="str">
        <f>IFERROR(__xludf.DUMMYFUNCTION("""COMPUTED_VALUE"""),"")</f>
        <v/>
      </c>
      <c r="S605" s="106" t="str">
        <f>IFERROR(__xludf.DUMMYFUNCTION("""COMPUTED_VALUE"""),"")</f>
        <v/>
      </c>
      <c r="T605" s="139" t="str">
        <f>IFERROR(__xludf.DUMMYFUNCTION("""COMPUTED_VALUE"""),"")</f>
        <v/>
      </c>
      <c r="U605" s="139" t="str">
        <f>IFERROR(__xludf.DUMMYFUNCTION("""COMPUTED_VALUE"""),"")</f>
        <v/>
      </c>
      <c r="V605" s="136" t="str">
        <f>IFERROR(__xludf.DUMMYFUNCTION("""COMPUTED_VALUE"""),"")</f>
        <v/>
      </c>
      <c r="W605" s="106" t="str">
        <f>IFERROR(__xludf.DUMMYFUNCTION("""COMPUTED_VALUE"""),"")</f>
        <v/>
      </c>
      <c r="X605" s="143" t="str">
        <f t="shared" si="2"/>
        <v/>
      </c>
      <c r="Y605" s="139" t="str">
        <f>IFERROR(__xludf.DUMMYFUNCTION("""COMPUTED_VALUE"""),"")</f>
        <v/>
      </c>
      <c r="Z605" s="141" t="str">
        <f>IFERROR(__xludf.DUMMYFUNCTION("""COMPUTED_VALUE"""),"")</f>
        <v/>
      </c>
    </row>
    <row r="606">
      <c r="C606" s="136" t="str">
        <f>IFERROR(__xludf.DUMMYFUNCTION("""COMPUTED_VALUE"""),"")</f>
        <v/>
      </c>
      <c r="D606" s="136" t="str">
        <f t="shared" si="3"/>
        <v/>
      </c>
      <c r="E606" s="152" t="str">
        <f>IFERROR(__xludf.DUMMYFUNCTION("""COMPUTED_VALUE"""),"")</f>
        <v/>
      </c>
      <c r="F606" s="106" t="s">
        <v>133</v>
      </c>
      <c r="G606" s="152" t="str">
        <f>IFERROR(__xludf.DUMMYFUNCTION("""COMPUTED_VALUE"""),"")</f>
        <v/>
      </c>
      <c r="H606" s="106" t="s">
        <v>133</v>
      </c>
      <c r="I606" s="136"/>
      <c r="J606" s="139" t="s">
        <v>133</v>
      </c>
      <c r="K606" s="136" t="s">
        <v>133</v>
      </c>
      <c r="L606" s="153" t="str">
        <f>IFERROR(__xludf.DUMMYFUNCTION("""COMPUTED_VALUE"""),"")</f>
        <v/>
      </c>
      <c r="M606" s="136" t="str">
        <f t="shared" si="1"/>
        <v/>
      </c>
      <c r="N606" s="136" t="str">
        <f>IFERROR(__xludf.DUMMYFUNCTION("""COMPUTED_VALUE"""),"")</f>
        <v/>
      </c>
      <c r="O606" s="141" t="s">
        <v>133</v>
      </c>
      <c r="P606" s="136" t="str">
        <f>IFERROR(__xludf.DUMMYFUNCTION("""COMPUTED_VALUE"""),"")</f>
        <v/>
      </c>
      <c r="Q606" s="136" t="str">
        <f>IFERROR(__xludf.DUMMYFUNCTION("""COMPUTED_VALUE"""),"")</f>
        <v/>
      </c>
      <c r="R606" s="106" t="str">
        <f>IFERROR(__xludf.DUMMYFUNCTION("""COMPUTED_VALUE"""),"")</f>
        <v/>
      </c>
      <c r="S606" s="106" t="str">
        <f>IFERROR(__xludf.DUMMYFUNCTION("""COMPUTED_VALUE"""),"")</f>
        <v/>
      </c>
      <c r="T606" s="139" t="str">
        <f>IFERROR(__xludf.DUMMYFUNCTION("""COMPUTED_VALUE"""),"")</f>
        <v/>
      </c>
      <c r="U606" s="139" t="str">
        <f>IFERROR(__xludf.DUMMYFUNCTION("""COMPUTED_VALUE"""),"")</f>
        <v/>
      </c>
      <c r="V606" s="136" t="str">
        <f>IFERROR(__xludf.DUMMYFUNCTION("""COMPUTED_VALUE"""),"")</f>
        <v/>
      </c>
      <c r="W606" s="106" t="str">
        <f>IFERROR(__xludf.DUMMYFUNCTION("""COMPUTED_VALUE"""),"")</f>
        <v/>
      </c>
      <c r="X606" s="143" t="str">
        <f t="shared" si="2"/>
        <v/>
      </c>
      <c r="Y606" s="139" t="str">
        <f>IFERROR(__xludf.DUMMYFUNCTION("""COMPUTED_VALUE"""),"")</f>
        <v/>
      </c>
      <c r="Z606" s="141" t="str">
        <f>IFERROR(__xludf.DUMMYFUNCTION("""COMPUTED_VALUE"""),"")</f>
        <v/>
      </c>
    </row>
    <row r="607">
      <c r="C607" s="136" t="str">
        <f>IFERROR(__xludf.DUMMYFUNCTION("""COMPUTED_VALUE"""),"")</f>
        <v/>
      </c>
      <c r="D607" s="136" t="str">
        <f t="shared" si="3"/>
        <v/>
      </c>
      <c r="E607" s="152" t="str">
        <f>IFERROR(__xludf.DUMMYFUNCTION("""COMPUTED_VALUE"""),"")</f>
        <v/>
      </c>
      <c r="F607" s="106" t="s">
        <v>133</v>
      </c>
      <c r="G607" s="152" t="str">
        <f>IFERROR(__xludf.DUMMYFUNCTION("""COMPUTED_VALUE"""),"")</f>
        <v/>
      </c>
      <c r="H607" s="106" t="s">
        <v>133</v>
      </c>
      <c r="I607" s="136"/>
      <c r="J607" s="139" t="s">
        <v>133</v>
      </c>
      <c r="K607" s="136" t="s">
        <v>133</v>
      </c>
      <c r="L607" s="153" t="str">
        <f>IFERROR(__xludf.DUMMYFUNCTION("""COMPUTED_VALUE"""),"")</f>
        <v/>
      </c>
      <c r="M607" s="136" t="str">
        <f t="shared" si="1"/>
        <v/>
      </c>
      <c r="N607" s="136" t="str">
        <f>IFERROR(__xludf.DUMMYFUNCTION("""COMPUTED_VALUE"""),"")</f>
        <v/>
      </c>
      <c r="O607" s="141" t="s">
        <v>133</v>
      </c>
      <c r="P607" s="136" t="str">
        <f>IFERROR(__xludf.DUMMYFUNCTION("""COMPUTED_VALUE"""),"")</f>
        <v/>
      </c>
      <c r="Q607" s="136" t="str">
        <f>IFERROR(__xludf.DUMMYFUNCTION("""COMPUTED_VALUE"""),"")</f>
        <v/>
      </c>
      <c r="R607" s="106" t="str">
        <f>IFERROR(__xludf.DUMMYFUNCTION("""COMPUTED_VALUE"""),"")</f>
        <v/>
      </c>
      <c r="S607" s="106" t="str">
        <f>IFERROR(__xludf.DUMMYFUNCTION("""COMPUTED_VALUE"""),"")</f>
        <v/>
      </c>
      <c r="T607" s="139" t="str">
        <f>IFERROR(__xludf.DUMMYFUNCTION("""COMPUTED_VALUE"""),"")</f>
        <v/>
      </c>
      <c r="U607" s="139" t="str">
        <f>IFERROR(__xludf.DUMMYFUNCTION("""COMPUTED_VALUE"""),"")</f>
        <v/>
      </c>
      <c r="V607" s="136" t="str">
        <f>IFERROR(__xludf.DUMMYFUNCTION("""COMPUTED_VALUE"""),"")</f>
        <v/>
      </c>
      <c r="W607" s="106" t="str">
        <f>IFERROR(__xludf.DUMMYFUNCTION("""COMPUTED_VALUE"""),"")</f>
        <v/>
      </c>
      <c r="X607" s="143" t="str">
        <f t="shared" si="2"/>
        <v/>
      </c>
      <c r="Y607" s="139" t="str">
        <f>IFERROR(__xludf.DUMMYFUNCTION("""COMPUTED_VALUE"""),"")</f>
        <v/>
      </c>
      <c r="Z607" s="141" t="str">
        <f>IFERROR(__xludf.DUMMYFUNCTION("""COMPUTED_VALUE"""),"")</f>
        <v/>
      </c>
    </row>
    <row r="608">
      <c r="C608" s="136" t="str">
        <f>IFERROR(__xludf.DUMMYFUNCTION("""COMPUTED_VALUE"""),"")</f>
        <v/>
      </c>
      <c r="D608" s="136" t="str">
        <f t="shared" si="3"/>
        <v/>
      </c>
      <c r="E608" s="152" t="str">
        <f>IFERROR(__xludf.DUMMYFUNCTION("""COMPUTED_VALUE"""),"")</f>
        <v/>
      </c>
      <c r="F608" s="106" t="s">
        <v>133</v>
      </c>
      <c r="G608" s="152" t="str">
        <f>IFERROR(__xludf.DUMMYFUNCTION("""COMPUTED_VALUE"""),"")</f>
        <v/>
      </c>
      <c r="H608" s="106" t="s">
        <v>133</v>
      </c>
      <c r="I608" s="136"/>
      <c r="J608" s="139" t="s">
        <v>133</v>
      </c>
      <c r="K608" s="136" t="s">
        <v>133</v>
      </c>
      <c r="L608" s="153" t="str">
        <f>IFERROR(__xludf.DUMMYFUNCTION("""COMPUTED_VALUE"""),"")</f>
        <v/>
      </c>
      <c r="M608" s="136" t="str">
        <f t="shared" si="1"/>
        <v/>
      </c>
      <c r="N608" s="136" t="str">
        <f>IFERROR(__xludf.DUMMYFUNCTION("""COMPUTED_VALUE"""),"")</f>
        <v/>
      </c>
      <c r="O608" s="141" t="s">
        <v>133</v>
      </c>
      <c r="P608" s="136" t="str">
        <f>IFERROR(__xludf.DUMMYFUNCTION("""COMPUTED_VALUE"""),"")</f>
        <v/>
      </c>
      <c r="Q608" s="136" t="str">
        <f>IFERROR(__xludf.DUMMYFUNCTION("""COMPUTED_VALUE"""),"")</f>
        <v/>
      </c>
      <c r="R608" s="106" t="str">
        <f>IFERROR(__xludf.DUMMYFUNCTION("""COMPUTED_VALUE"""),"")</f>
        <v/>
      </c>
      <c r="S608" s="106" t="str">
        <f>IFERROR(__xludf.DUMMYFUNCTION("""COMPUTED_VALUE"""),"")</f>
        <v/>
      </c>
      <c r="T608" s="139" t="str">
        <f>IFERROR(__xludf.DUMMYFUNCTION("""COMPUTED_VALUE"""),"")</f>
        <v/>
      </c>
      <c r="U608" s="139" t="str">
        <f>IFERROR(__xludf.DUMMYFUNCTION("""COMPUTED_VALUE"""),"")</f>
        <v/>
      </c>
      <c r="V608" s="136" t="str">
        <f>IFERROR(__xludf.DUMMYFUNCTION("""COMPUTED_VALUE"""),"")</f>
        <v/>
      </c>
      <c r="W608" s="106" t="str">
        <f>IFERROR(__xludf.DUMMYFUNCTION("""COMPUTED_VALUE"""),"")</f>
        <v/>
      </c>
      <c r="X608" s="143" t="str">
        <f t="shared" si="2"/>
        <v/>
      </c>
      <c r="Y608" s="139" t="str">
        <f>IFERROR(__xludf.DUMMYFUNCTION("""COMPUTED_VALUE"""),"")</f>
        <v/>
      </c>
      <c r="Z608" s="141" t="str">
        <f>IFERROR(__xludf.DUMMYFUNCTION("""COMPUTED_VALUE"""),"")</f>
        <v/>
      </c>
    </row>
    <row r="609">
      <c r="C609" s="136" t="str">
        <f>IFERROR(__xludf.DUMMYFUNCTION("""COMPUTED_VALUE"""),"")</f>
        <v/>
      </c>
      <c r="D609" s="136" t="str">
        <f t="shared" si="3"/>
        <v/>
      </c>
      <c r="E609" s="152" t="str">
        <f>IFERROR(__xludf.DUMMYFUNCTION("""COMPUTED_VALUE"""),"")</f>
        <v/>
      </c>
      <c r="F609" s="106" t="s">
        <v>133</v>
      </c>
      <c r="G609" s="152" t="str">
        <f>IFERROR(__xludf.DUMMYFUNCTION("""COMPUTED_VALUE"""),"")</f>
        <v/>
      </c>
      <c r="H609" s="106" t="s">
        <v>133</v>
      </c>
      <c r="I609" s="136"/>
      <c r="J609" s="139" t="s">
        <v>133</v>
      </c>
      <c r="K609" s="136" t="s">
        <v>133</v>
      </c>
      <c r="L609" s="153" t="str">
        <f>IFERROR(__xludf.DUMMYFUNCTION("""COMPUTED_VALUE"""),"")</f>
        <v/>
      </c>
      <c r="M609" s="136" t="str">
        <f t="shared" si="1"/>
        <v/>
      </c>
      <c r="N609" s="136" t="str">
        <f>IFERROR(__xludf.DUMMYFUNCTION("""COMPUTED_VALUE"""),"")</f>
        <v/>
      </c>
      <c r="O609" s="141" t="s">
        <v>133</v>
      </c>
      <c r="P609" s="136" t="str">
        <f>IFERROR(__xludf.DUMMYFUNCTION("""COMPUTED_VALUE"""),"")</f>
        <v/>
      </c>
      <c r="Q609" s="136" t="str">
        <f>IFERROR(__xludf.DUMMYFUNCTION("""COMPUTED_VALUE"""),"")</f>
        <v/>
      </c>
      <c r="R609" s="106" t="str">
        <f>IFERROR(__xludf.DUMMYFUNCTION("""COMPUTED_VALUE"""),"")</f>
        <v/>
      </c>
      <c r="S609" s="106" t="str">
        <f>IFERROR(__xludf.DUMMYFUNCTION("""COMPUTED_VALUE"""),"")</f>
        <v/>
      </c>
      <c r="T609" s="139" t="str">
        <f>IFERROR(__xludf.DUMMYFUNCTION("""COMPUTED_VALUE"""),"")</f>
        <v/>
      </c>
      <c r="U609" s="139" t="str">
        <f>IFERROR(__xludf.DUMMYFUNCTION("""COMPUTED_VALUE"""),"")</f>
        <v/>
      </c>
      <c r="V609" s="136" t="str">
        <f>IFERROR(__xludf.DUMMYFUNCTION("""COMPUTED_VALUE"""),"")</f>
        <v/>
      </c>
      <c r="W609" s="106" t="str">
        <f>IFERROR(__xludf.DUMMYFUNCTION("""COMPUTED_VALUE"""),"")</f>
        <v/>
      </c>
      <c r="X609" s="143" t="str">
        <f t="shared" si="2"/>
        <v/>
      </c>
      <c r="Y609" s="139" t="str">
        <f>IFERROR(__xludf.DUMMYFUNCTION("""COMPUTED_VALUE"""),"")</f>
        <v/>
      </c>
      <c r="Z609" s="141" t="str">
        <f>IFERROR(__xludf.DUMMYFUNCTION("""COMPUTED_VALUE"""),"")</f>
        <v/>
      </c>
    </row>
    <row r="610">
      <c r="C610" s="136" t="str">
        <f>IFERROR(__xludf.DUMMYFUNCTION("""COMPUTED_VALUE"""),"")</f>
        <v/>
      </c>
      <c r="D610" s="136" t="str">
        <f t="shared" si="3"/>
        <v/>
      </c>
      <c r="E610" s="152" t="str">
        <f>IFERROR(__xludf.DUMMYFUNCTION("""COMPUTED_VALUE"""),"")</f>
        <v/>
      </c>
      <c r="F610" s="106" t="s">
        <v>133</v>
      </c>
      <c r="G610" s="152" t="str">
        <f>IFERROR(__xludf.DUMMYFUNCTION("""COMPUTED_VALUE"""),"")</f>
        <v/>
      </c>
      <c r="H610" s="106" t="s">
        <v>133</v>
      </c>
      <c r="I610" s="136"/>
      <c r="J610" s="139" t="s">
        <v>133</v>
      </c>
      <c r="K610" s="136" t="s">
        <v>133</v>
      </c>
      <c r="L610" s="153" t="str">
        <f>IFERROR(__xludf.DUMMYFUNCTION("""COMPUTED_VALUE"""),"")</f>
        <v/>
      </c>
      <c r="M610" s="136" t="str">
        <f t="shared" si="1"/>
        <v/>
      </c>
      <c r="N610" s="136" t="str">
        <f>IFERROR(__xludf.DUMMYFUNCTION("""COMPUTED_VALUE"""),"")</f>
        <v/>
      </c>
      <c r="O610" s="141" t="s">
        <v>133</v>
      </c>
      <c r="P610" s="136" t="str">
        <f>IFERROR(__xludf.DUMMYFUNCTION("""COMPUTED_VALUE"""),"")</f>
        <v/>
      </c>
      <c r="Q610" s="136" t="str">
        <f>IFERROR(__xludf.DUMMYFUNCTION("""COMPUTED_VALUE"""),"")</f>
        <v/>
      </c>
      <c r="R610" s="106" t="str">
        <f>IFERROR(__xludf.DUMMYFUNCTION("""COMPUTED_VALUE"""),"")</f>
        <v/>
      </c>
      <c r="S610" s="106" t="str">
        <f>IFERROR(__xludf.DUMMYFUNCTION("""COMPUTED_VALUE"""),"")</f>
        <v/>
      </c>
      <c r="T610" s="139" t="str">
        <f>IFERROR(__xludf.DUMMYFUNCTION("""COMPUTED_VALUE"""),"")</f>
        <v/>
      </c>
      <c r="U610" s="139" t="str">
        <f>IFERROR(__xludf.DUMMYFUNCTION("""COMPUTED_VALUE"""),"")</f>
        <v/>
      </c>
      <c r="V610" s="136" t="str">
        <f>IFERROR(__xludf.DUMMYFUNCTION("""COMPUTED_VALUE"""),"")</f>
        <v/>
      </c>
      <c r="W610" s="106" t="str">
        <f>IFERROR(__xludf.DUMMYFUNCTION("""COMPUTED_VALUE"""),"")</f>
        <v/>
      </c>
      <c r="X610" s="143" t="str">
        <f t="shared" si="2"/>
        <v/>
      </c>
      <c r="Y610" s="139" t="str">
        <f>IFERROR(__xludf.DUMMYFUNCTION("""COMPUTED_VALUE"""),"")</f>
        <v/>
      </c>
      <c r="Z610" s="141" t="str">
        <f>IFERROR(__xludf.DUMMYFUNCTION("""COMPUTED_VALUE"""),"")</f>
        <v/>
      </c>
    </row>
    <row r="611">
      <c r="C611" s="136" t="str">
        <f>IFERROR(__xludf.DUMMYFUNCTION("""COMPUTED_VALUE"""),"")</f>
        <v/>
      </c>
      <c r="D611" s="136" t="str">
        <f t="shared" si="3"/>
        <v/>
      </c>
      <c r="E611" s="152" t="str">
        <f>IFERROR(__xludf.DUMMYFUNCTION("""COMPUTED_VALUE"""),"")</f>
        <v/>
      </c>
      <c r="F611" s="106" t="s">
        <v>133</v>
      </c>
      <c r="G611" s="152" t="str">
        <f>IFERROR(__xludf.DUMMYFUNCTION("""COMPUTED_VALUE"""),"")</f>
        <v/>
      </c>
      <c r="H611" s="106" t="s">
        <v>133</v>
      </c>
      <c r="I611" s="136"/>
      <c r="J611" s="139" t="s">
        <v>133</v>
      </c>
      <c r="K611" s="136" t="s">
        <v>133</v>
      </c>
      <c r="L611" s="153" t="str">
        <f>IFERROR(__xludf.DUMMYFUNCTION("""COMPUTED_VALUE"""),"")</f>
        <v/>
      </c>
      <c r="M611" s="136" t="str">
        <f t="shared" si="1"/>
        <v/>
      </c>
      <c r="N611" s="136" t="str">
        <f>IFERROR(__xludf.DUMMYFUNCTION("""COMPUTED_VALUE"""),"")</f>
        <v/>
      </c>
      <c r="O611" s="141" t="s">
        <v>133</v>
      </c>
      <c r="P611" s="136" t="str">
        <f>IFERROR(__xludf.DUMMYFUNCTION("""COMPUTED_VALUE"""),"")</f>
        <v/>
      </c>
      <c r="Q611" s="136" t="str">
        <f>IFERROR(__xludf.DUMMYFUNCTION("""COMPUTED_VALUE"""),"")</f>
        <v/>
      </c>
      <c r="R611" s="106" t="str">
        <f>IFERROR(__xludf.DUMMYFUNCTION("""COMPUTED_VALUE"""),"")</f>
        <v/>
      </c>
      <c r="S611" s="106" t="str">
        <f>IFERROR(__xludf.DUMMYFUNCTION("""COMPUTED_VALUE"""),"")</f>
        <v/>
      </c>
      <c r="T611" s="139" t="str">
        <f>IFERROR(__xludf.DUMMYFUNCTION("""COMPUTED_VALUE"""),"")</f>
        <v/>
      </c>
      <c r="U611" s="139" t="str">
        <f>IFERROR(__xludf.DUMMYFUNCTION("""COMPUTED_VALUE"""),"")</f>
        <v/>
      </c>
      <c r="V611" s="136" t="str">
        <f>IFERROR(__xludf.DUMMYFUNCTION("""COMPUTED_VALUE"""),"")</f>
        <v/>
      </c>
      <c r="W611" s="106" t="str">
        <f>IFERROR(__xludf.DUMMYFUNCTION("""COMPUTED_VALUE"""),"")</f>
        <v/>
      </c>
      <c r="X611" s="143" t="str">
        <f t="shared" si="2"/>
        <v/>
      </c>
      <c r="Y611" s="139" t="str">
        <f>IFERROR(__xludf.DUMMYFUNCTION("""COMPUTED_VALUE"""),"")</f>
        <v/>
      </c>
      <c r="Z611" s="141" t="str">
        <f>IFERROR(__xludf.DUMMYFUNCTION("""COMPUTED_VALUE"""),"")</f>
        <v/>
      </c>
    </row>
    <row r="612">
      <c r="C612" s="136" t="str">
        <f>IFERROR(__xludf.DUMMYFUNCTION("""COMPUTED_VALUE"""),"")</f>
        <v/>
      </c>
      <c r="D612" s="136" t="str">
        <f t="shared" si="3"/>
        <v/>
      </c>
      <c r="E612" s="152" t="str">
        <f>IFERROR(__xludf.DUMMYFUNCTION("""COMPUTED_VALUE"""),"")</f>
        <v/>
      </c>
      <c r="F612" s="106" t="s">
        <v>133</v>
      </c>
      <c r="G612" s="152" t="str">
        <f>IFERROR(__xludf.DUMMYFUNCTION("""COMPUTED_VALUE"""),"")</f>
        <v/>
      </c>
      <c r="H612" s="106" t="s">
        <v>133</v>
      </c>
      <c r="I612" s="136"/>
      <c r="J612" s="139" t="s">
        <v>133</v>
      </c>
      <c r="K612" s="136" t="s">
        <v>133</v>
      </c>
      <c r="L612" s="153" t="str">
        <f>IFERROR(__xludf.DUMMYFUNCTION("""COMPUTED_VALUE"""),"")</f>
        <v/>
      </c>
      <c r="M612" s="136" t="str">
        <f t="shared" si="1"/>
        <v/>
      </c>
      <c r="N612" s="136" t="str">
        <f>IFERROR(__xludf.DUMMYFUNCTION("""COMPUTED_VALUE"""),"")</f>
        <v/>
      </c>
      <c r="O612" s="141" t="s">
        <v>133</v>
      </c>
      <c r="P612" s="136" t="str">
        <f>IFERROR(__xludf.DUMMYFUNCTION("""COMPUTED_VALUE"""),"")</f>
        <v/>
      </c>
      <c r="Q612" s="136" t="str">
        <f>IFERROR(__xludf.DUMMYFUNCTION("""COMPUTED_VALUE"""),"")</f>
        <v/>
      </c>
      <c r="R612" s="106" t="str">
        <f>IFERROR(__xludf.DUMMYFUNCTION("""COMPUTED_VALUE"""),"")</f>
        <v/>
      </c>
      <c r="S612" s="106" t="str">
        <f>IFERROR(__xludf.DUMMYFUNCTION("""COMPUTED_VALUE"""),"")</f>
        <v/>
      </c>
      <c r="T612" s="139" t="str">
        <f>IFERROR(__xludf.DUMMYFUNCTION("""COMPUTED_VALUE"""),"")</f>
        <v/>
      </c>
      <c r="U612" s="139" t="str">
        <f>IFERROR(__xludf.DUMMYFUNCTION("""COMPUTED_VALUE"""),"")</f>
        <v/>
      </c>
      <c r="V612" s="136" t="str">
        <f>IFERROR(__xludf.DUMMYFUNCTION("""COMPUTED_VALUE"""),"")</f>
        <v/>
      </c>
      <c r="W612" s="106" t="str">
        <f>IFERROR(__xludf.DUMMYFUNCTION("""COMPUTED_VALUE"""),"")</f>
        <v/>
      </c>
      <c r="X612" s="143" t="str">
        <f t="shared" si="2"/>
        <v/>
      </c>
      <c r="Y612" s="139" t="str">
        <f>IFERROR(__xludf.DUMMYFUNCTION("""COMPUTED_VALUE"""),"")</f>
        <v/>
      </c>
      <c r="Z612" s="141" t="str">
        <f>IFERROR(__xludf.DUMMYFUNCTION("""COMPUTED_VALUE"""),"")</f>
        <v/>
      </c>
    </row>
    <row r="613">
      <c r="C613" s="136" t="str">
        <f>IFERROR(__xludf.DUMMYFUNCTION("""COMPUTED_VALUE"""),"")</f>
        <v/>
      </c>
      <c r="D613" s="136" t="str">
        <f t="shared" si="3"/>
        <v/>
      </c>
      <c r="E613" s="152" t="str">
        <f>IFERROR(__xludf.DUMMYFUNCTION("""COMPUTED_VALUE"""),"")</f>
        <v/>
      </c>
      <c r="F613" s="106" t="s">
        <v>133</v>
      </c>
      <c r="G613" s="152" t="str">
        <f>IFERROR(__xludf.DUMMYFUNCTION("""COMPUTED_VALUE"""),"")</f>
        <v/>
      </c>
      <c r="H613" s="106" t="s">
        <v>133</v>
      </c>
      <c r="I613" s="136"/>
      <c r="J613" s="139" t="s">
        <v>133</v>
      </c>
      <c r="K613" s="136" t="s">
        <v>133</v>
      </c>
      <c r="L613" s="153" t="str">
        <f>IFERROR(__xludf.DUMMYFUNCTION("""COMPUTED_VALUE"""),"")</f>
        <v/>
      </c>
      <c r="M613" s="136" t="str">
        <f t="shared" si="1"/>
        <v/>
      </c>
      <c r="N613" s="136" t="str">
        <f>IFERROR(__xludf.DUMMYFUNCTION("""COMPUTED_VALUE"""),"")</f>
        <v/>
      </c>
      <c r="O613" s="141" t="s">
        <v>133</v>
      </c>
      <c r="P613" s="136" t="str">
        <f>IFERROR(__xludf.DUMMYFUNCTION("""COMPUTED_VALUE"""),"")</f>
        <v/>
      </c>
      <c r="Q613" s="136" t="str">
        <f>IFERROR(__xludf.DUMMYFUNCTION("""COMPUTED_VALUE"""),"")</f>
        <v/>
      </c>
      <c r="R613" s="106" t="str">
        <f>IFERROR(__xludf.DUMMYFUNCTION("""COMPUTED_VALUE"""),"")</f>
        <v/>
      </c>
      <c r="S613" s="106" t="str">
        <f>IFERROR(__xludf.DUMMYFUNCTION("""COMPUTED_VALUE"""),"")</f>
        <v/>
      </c>
      <c r="T613" s="139" t="str">
        <f>IFERROR(__xludf.DUMMYFUNCTION("""COMPUTED_VALUE"""),"")</f>
        <v/>
      </c>
      <c r="U613" s="139" t="str">
        <f>IFERROR(__xludf.DUMMYFUNCTION("""COMPUTED_VALUE"""),"")</f>
        <v/>
      </c>
      <c r="V613" s="136" t="str">
        <f>IFERROR(__xludf.DUMMYFUNCTION("""COMPUTED_VALUE"""),"")</f>
        <v/>
      </c>
      <c r="W613" s="106" t="str">
        <f>IFERROR(__xludf.DUMMYFUNCTION("""COMPUTED_VALUE"""),"")</f>
        <v/>
      </c>
      <c r="X613" s="143" t="str">
        <f t="shared" si="2"/>
        <v/>
      </c>
      <c r="Y613" s="139" t="str">
        <f>IFERROR(__xludf.DUMMYFUNCTION("""COMPUTED_VALUE"""),"")</f>
        <v/>
      </c>
      <c r="Z613" s="141" t="str">
        <f>IFERROR(__xludf.DUMMYFUNCTION("""COMPUTED_VALUE"""),"")</f>
        <v/>
      </c>
    </row>
    <row r="614">
      <c r="C614" s="136" t="str">
        <f>IFERROR(__xludf.DUMMYFUNCTION("""COMPUTED_VALUE"""),"")</f>
        <v/>
      </c>
      <c r="D614" s="136" t="str">
        <f t="shared" si="3"/>
        <v/>
      </c>
      <c r="E614" s="152" t="str">
        <f>IFERROR(__xludf.DUMMYFUNCTION("""COMPUTED_VALUE"""),"")</f>
        <v/>
      </c>
      <c r="F614" s="106" t="s">
        <v>133</v>
      </c>
      <c r="G614" s="152" t="str">
        <f>IFERROR(__xludf.DUMMYFUNCTION("""COMPUTED_VALUE"""),"")</f>
        <v/>
      </c>
      <c r="H614" s="106" t="s">
        <v>133</v>
      </c>
      <c r="I614" s="136"/>
      <c r="J614" s="139" t="s">
        <v>133</v>
      </c>
      <c r="K614" s="136" t="s">
        <v>133</v>
      </c>
      <c r="L614" s="153" t="str">
        <f>IFERROR(__xludf.DUMMYFUNCTION("""COMPUTED_VALUE"""),"")</f>
        <v/>
      </c>
      <c r="M614" s="136" t="str">
        <f t="shared" si="1"/>
        <v/>
      </c>
      <c r="N614" s="136" t="str">
        <f>IFERROR(__xludf.DUMMYFUNCTION("""COMPUTED_VALUE"""),"")</f>
        <v/>
      </c>
      <c r="O614" s="141" t="s">
        <v>133</v>
      </c>
      <c r="P614" s="136" t="str">
        <f>IFERROR(__xludf.DUMMYFUNCTION("""COMPUTED_VALUE"""),"")</f>
        <v/>
      </c>
      <c r="Q614" s="136" t="str">
        <f>IFERROR(__xludf.DUMMYFUNCTION("""COMPUTED_VALUE"""),"")</f>
        <v/>
      </c>
      <c r="R614" s="106" t="str">
        <f>IFERROR(__xludf.DUMMYFUNCTION("""COMPUTED_VALUE"""),"")</f>
        <v/>
      </c>
      <c r="S614" s="106" t="str">
        <f>IFERROR(__xludf.DUMMYFUNCTION("""COMPUTED_VALUE"""),"")</f>
        <v/>
      </c>
      <c r="T614" s="139" t="str">
        <f>IFERROR(__xludf.DUMMYFUNCTION("""COMPUTED_VALUE"""),"")</f>
        <v/>
      </c>
      <c r="U614" s="139" t="str">
        <f>IFERROR(__xludf.DUMMYFUNCTION("""COMPUTED_VALUE"""),"")</f>
        <v/>
      </c>
      <c r="V614" s="136" t="str">
        <f>IFERROR(__xludf.DUMMYFUNCTION("""COMPUTED_VALUE"""),"")</f>
        <v/>
      </c>
      <c r="W614" s="106" t="str">
        <f>IFERROR(__xludf.DUMMYFUNCTION("""COMPUTED_VALUE"""),"")</f>
        <v/>
      </c>
      <c r="X614" s="143" t="str">
        <f t="shared" si="2"/>
        <v/>
      </c>
      <c r="Y614" s="139" t="str">
        <f>IFERROR(__xludf.DUMMYFUNCTION("""COMPUTED_VALUE"""),"")</f>
        <v/>
      </c>
      <c r="Z614" s="141" t="str">
        <f>IFERROR(__xludf.DUMMYFUNCTION("""COMPUTED_VALUE"""),"")</f>
        <v/>
      </c>
    </row>
    <row r="615">
      <c r="C615" s="136" t="str">
        <f>IFERROR(__xludf.DUMMYFUNCTION("""COMPUTED_VALUE"""),"")</f>
        <v/>
      </c>
      <c r="D615" s="136" t="str">
        <f t="shared" si="3"/>
        <v/>
      </c>
      <c r="E615" s="152" t="str">
        <f>IFERROR(__xludf.DUMMYFUNCTION("""COMPUTED_VALUE"""),"")</f>
        <v/>
      </c>
      <c r="F615" s="106" t="s">
        <v>133</v>
      </c>
      <c r="G615" s="152" t="str">
        <f>IFERROR(__xludf.DUMMYFUNCTION("""COMPUTED_VALUE"""),"")</f>
        <v/>
      </c>
      <c r="H615" s="106" t="s">
        <v>133</v>
      </c>
      <c r="I615" s="136"/>
      <c r="J615" s="139" t="s">
        <v>133</v>
      </c>
      <c r="K615" s="136" t="s">
        <v>133</v>
      </c>
      <c r="L615" s="153" t="str">
        <f>IFERROR(__xludf.DUMMYFUNCTION("""COMPUTED_VALUE"""),"")</f>
        <v/>
      </c>
      <c r="M615" s="136" t="str">
        <f t="shared" si="1"/>
        <v/>
      </c>
      <c r="N615" s="136" t="str">
        <f>IFERROR(__xludf.DUMMYFUNCTION("""COMPUTED_VALUE"""),"")</f>
        <v/>
      </c>
      <c r="O615" s="141" t="s">
        <v>133</v>
      </c>
      <c r="P615" s="136" t="str">
        <f>IFERROR(__xludf.DUMMYFUNCTION("""COMPUTED_VALUE"""),"")</f>
        <v/>
      </c>
      <c r="Q615" s="136" t="str">
        <f>IFERROR(__xludf.DUMMYFUNCTION("""COMPUTED_VALUE"""),"")</f>
        <v/>
      </c>
      <c r="R615" s="106" t="str">
        <f>IFERROR(__xludf.DUMMYFUNCTION("""COMPUTED_VALUE"""),"")</f>
        <v/>
      </c>
      <c r="S615" s="106" t="str">
        <f>IFERROR(__xludf.DUMMYFUNCTION("""COMPUTED_VALUE"""),"")</f>
        <v/>
      </c>
      <c r="T615" s="139" t="str">
        <f>IFERROR(__xludf.DUMMYFUNCTION("""COMPUTED_VALUE"""),"")</f>
        <v/>
      </c>
      <c r="U615" s="139" t="str">
        <f>IFERROR(__xludf.DUMMYFUNCTION("""COMPUTED_VALUE"""),"")</f>
        <v/>
      </c>
      <c r="V615" s="136" t="str">
        <f>IFERROR(__xludf.DUMMYFUNCTION("""COMPUTED_VALUE"""),"")</f>
        <v/>
      </c>
      <c r="W615" s="106" t="str">
        <f>IFERROR(__xludf.DUMMYFUNCTION("""COMPUTED_VALUE"""),"")</f>
        <v/>
      </c>
      <c r="X615" s="143" t="str">
        <f t="shared" si="2"/>
        <v/>
      </c>
      <c r="Y615" s="139" t="str">
        <f>IFERROR(__xludf.DUMMYFUNCTION("""COMPUTED_VALUE"""),"")</f>
        <v/>
      </c>
      <c r="Z615" s="141" t="str">
        <f>IFERROR(__xludf.DUMMYFUNCTION("""COMPUTED_VALUE"""),"")</f>
        <v/>
      </c>
    </row>
    <row r="616">
      <c r="C616" s="136" t="str">
        <f>IFERROR(__xludf.DUMMYFUNCTION("""COMPUTED_VALUE"""),"")</f>
        <v/>
      </c>
      <c r="D616" s="136" t="str">
        <f t="shared" si="3"/>
        <v/>
      </c>
      <c r="E616" s="152" t="str">
        <f>IFERROR(__xludf.DUMMYFUNCTION("""COMPUTED_VALUE"""),"")</f>
        <v/>
      </c>
      <c r="F616" s="106" t="s">
        <v>133</v>
      </c>
      <c r="G616" s="152" t="str">
        <f>IFERROR(__xludf.DUMMYFUNCTION("""COMPUTED_VALUE"""),"")</f>
        <v/>
      </c>
      <c r="H616" s="106" t="s">
        <v>133</v>
      </c>
      <c r="I616" s="136"/>
      <c r="J616" s="139" t="s">
        <v>133</v>
      </c>
      <c r="K616" s="136" t="s">
        <v>133</v>
      </c>
      <c r="L616" s="153" t="str">
        <f>IFERROR(__xludf.DUMMYFUNCTION("""COMPUTED_VALUE"""),"")</f>
        <v/>
      </c>
      <c r="M616" s="136" t="str">
        <f t="shared" si="1"/>
        <v/>
      </c>
      <c r="N616" s="136" t="str">
        <f>IFERROR(__xludf.DUMMYFUNCTION("""COMPUTED_VALUE"""),"")</f>
        <v/>
      </c>
      <c r="O616" s="141" t="s">
        <v>133</v>
      </c>
      <c r="P616" s="136" t="str">
        <f>IFERROR(__xludf.DUMMYFUNCTION("""COMPUTED_VALUE"""),"")</f>
        <v/>
      </c>
      <c r="Q616" s="136" t="str">
        <f>IFERROR(__xludf.DUMMYFUNCTION("""COMPUTED_VALUE"""),"")</f>
        <v/>
      </c>
      <c r="R616" s="106" t="str">
        <f>IFERROR(__xludf.DUMMYFUNCTION("""COMPUTED_VALUE"""),"")</f>
        <v/>
      </c>
      <c r="S616" s="106" t="str">
        <f>IFERROR(__xludf.DUMMYFUNCTION("""COMPUTED_VALUE"""),"")</f>
        <v/>
      </c>
      <c r="T616" s="139" t="str">
        <f>IFERROR(__xludf.DUMMYFUNCTION("""COMPUTED_VALUE"""),"")</f>
        <v/>
      </c>
      <c r="U616" s="139" t="str">
        <f>IFERROR(__xludf.DUMMYFUNCTION("""COMPUTED_VALUE"""),"")</f>
        <v/>
      </c>
      <c r="V616" s="136" t="str">
        <f>IFERROR(__xludf.DUMMYFUNCTION("""COMPUTED_VALUE"""),"")</f>
        <v/>
      </c>
      <c r="W616" s="106" t="str">
        <f>IFERROR(__xludf.DUMMYFUNCTION("""COMPUTED_VALUE"""),"")</f>
        <v/>
      </c>
      <c r="X616" s="143" t="str">
        <f t="shared" si="2"/>
        <v/>
      </c>
      <c r="Y616" s="139" t="str">
        <f>IFERROR(__xludf.DUMMYFUNCTION("""COMPUTED_VALUE"""),"")</f>
        <v/>
      </c>
      <c r="Z616" s="141" t="str">
        <f>IFERROR(__xludf.DUMMYFUNCTION("""COMPUTED_VALUE"""),"")</f>
        <v/>
      </c>
    </row>
    <row r="617">
      <c r="C617" s="136" t="str">
        <f>IFERROR(__xludf.DUMMYFUNCTION("""COMPUTED_VALUE"""),"")</f>
        <v/>
      </c>
      <c r="D617" s="136" t="str">
        <f t="shared" si="3"/>
        <v/>
      </c>
      <c r="E617" s="152" t="str">
        <f>IFERROR(__xludf.DUMMYFUNCTION("""COMPUTED_VALUE"""),"")</f>
        <v/>
      </c>
      <c r="F617" s="106" t="s">
        <v>133</v>
      </c>
      <c r="G617" s="152" t="str">
        <f>IFERROR(__xludf.DUMMYFUNCTION("""COMPUTED_VALUE"""),"")</f>
        <v/>
      </c>
      <c r="H617" s="106" t="s">
        <v>133</v>
      </c>
      <c r="I617" s="136"/>
      <c r="J617" s="139" t="s">
        <v>133</v>
      </c>
      <c r="K617" s="136" t="s">
        <v>133</v>
      </c>
      <c r="L617" s="153" t="str">
        <f>IFERROR(__xludf.DUMMYFUNCTION("""COMPUTED_VALUE"""),"")</f>
        <v/>
      </c>
      <c r="M617" s="136" t="str">
        <f t="shared" si="1"/>
        <v/>
      </c>
      <c r="N617" s="136" t="str">
        <f>IFERROR(__xludf.DUMMYFUNCTION("""COMPUTED_VALUE"""),"")</f>
        <v/>
      </c>
      <c r="O617" s="141" t="s">
        <v>133</v>
      </c>
      <c r="P617" s="136" t="str">
        <f>IFERROR(__xludf.DUMMYFUNCTION("""COMPUTED_VALUE"""),"")</f>
        <v/>
      </c>
      <c r="Q617" s="136" t="str">
        <f>IFERROR(__xludf.DUMMYFUNCTION("""COMPUTED_VALUE"""),"")</f>
        <v/>
      </c>
      <c r="R617" s="106" t="str">
        <f>IFERROR(__xludf.DUMMYFUNCTION("""COMPUTED_VALUE"""),"")</f>
        <v/>
      </c>
      <c r="S617" s="106" t="str">
        <f>IFERROR(__xludf.DUMMYFUNCTION("""COMPUTED_VALUE"""),"")</f>
        <v/>
      </c>
      <c r="T617" s="139" t="str">
        <f>IFERROR(__xludf.DUMMYFUNCTION("""COMPUTED_VALUE"""),"")</f>
        <v/>
      </c>
      <c r="U617" s="139" t="str">
        <f>IFERROR(__xludf.DUMMYFUNCTION("""COMPUTED_VALUE"""),"")</f>
        <v/>
      </c>
      <c r="V617" s="136" t="str">
        <f>IFERROR(__xludf.DUMMYFUNCTION("""COMPUTED_VALUE"""),"")</f>
        <v/>
      </c>
      <c r="W617" s="106" t="str">
        <f>IFERROR(__xludf.DUMMYFUNCTION("""COMPUTED_VALUE"""),"")</f>
        <v/>
      </c>
      <c r="X617" s="143" t="str">
        <f t="shared" si="2"/>
        <v/>
      </c>
      <c r="Y617" s="139" t="str">
        <f>IFERROR(__xludf.DUMMYFUNCTION("""COMPUTED_VALUE"""),"")</f>
        <v/>
      </c>
      <c r="Z617" s="141" t="str">
        <f>IFERROR(__xludf.DUMMYFUNCTION("""COMPUTED_VALUE"""),"")</f>
        <v/>
      </c>
    </row>
    <row r="618">
      <c r="C618" s="136" t="str">
        <f>IFERROR(__xludf.DUMMYFUNCTION("""COMPUTED_VALUE"""),"")</f>
        <v/>
      </c>
      <c r="D618" s="136" t="str">
        <f t="shared" si="3"/>
        <v/>
      </c>
      <c r="E618" s="152" t="str">
        <f>IFERROR(__xludf.DUMMYFUNCTION("""COMPUTED_VALUE"""),"")</f>
        <v/>
      </c>
      <c r="F618" s="106" t="s">
        <v>133</v>
      </c>
      <c r="G618" s="152" t="str">
        <f>IFERROR(__xludf.DUMMYFUNCTION("""COMPUTED_VALUE"""),"")</f>
        <v/>
      </c>
      <c r="H618" s="106" t="s">
        <v>133</v>
      </c>
      <c r="I618" s="136"/>
      <c r="J618" s="139" t="s">
        <v>133</v>
      </c>
      <c r="K618" s="136" t="s">
        <v>133</v>
      </c>
      <c r="L618" s="153" t="str">
        <f>IFERROR(__xludf.DUMMYFUNCTION("""COMPUTED_VALUE"""),"")</f>
        <v/>
      </c>
      <c r="M618" s="136" t="str">
        <f t="shared" si="1"/>
        <v/>
      </c>
      <c r="N618" s="136" t="str">
        <f>IFERROR(__xludf.DUMMYFUNCTION("""COMPUTED_VALUE"""),"")</f>
        <v/>
      </c>
      <c r="O618" s="141" t="s">
        <v>133</v>
      </c>
      <c r="P618" s="136" t="str">
        <f>IFERROR(__xludf.DUMMYFUNCTION("""COMPUTED_VALUE"""),"")</f>
        <v/>
      </c>
      <c r="Q618" s="136" t="str">
        <f>IFERROR(__xludf.DUMMYFUNCTION("""COMPUTED_VALUE"""),"")</f>
        <v/>
      </c>
      <c r="R618" s="106" t="str">
        <f>IFERROR(__xludf.DUMMYFUNCTION("""COMPUTED_VALUE"""),"")</f>
        <v/>
      </c>
      <c r="S618" s="106" t="str">
        <f>IFERROR(__xludf.DUMMYFUNCTION("""COMPUTED_VALUE"""),"")</f>
        <v/>
      </c>
      <c r="T618" s="139" t="str">
        <f>IFERROR(__xludf.DUMMYFUNCTION("""COMPUTED_VALUE"""),"")</f>
        <v/>
      </c>
      <c r="U618" s="139" t="str">
        <f>IFERROR(__xludf.DUMMYFUNCTION("""COMPUTED_VALUE"""),"")</f>
        <v/>
      </c>
      <c r="V618" s="136" t="str">
        <f>IFERROR(__xludf.DUMMYFUNCTION("""COMPUTED_VALUE"""),"")</f>
        <v/>
      </c>
      <c r="W618" s="106" t="str">
        <f>IFERROR(__xludf.DUMMYFUNCTION("""COMPUTED_VALUE"""),"")</f>
        <v/>
      </c>
      <c r="X618" s="143" t="str">
        <f t="shared" si="2"/>
        <v/>
      </c>
      <c r="Y618" s="139" t="str">
        <f>IFERROR(__xludf.DUMMYFUNCTION("""COMPUTED_VALUE"""),"")</f>
        <v/>
      </c>
      <c r="Z618" s="141" t="str">
        <f>IFERROR(__xludf.DUMMYFUNCTION("""COMPUTED_VALUE"""),"")</f>
        <v/>
      </c>
    </row>
    <row r="619">
      <c r="C619" s="136" t="str">
        <f>IFERROR(__xludf.DUMMYFUNCTION("""COMPUTED_VALUE"""),"")</f>
        <v/>
      </c>
      <c r="D619" s="136" t="str">
        <f t="shared" si="3"/>
        <v/>
      </c>
      <c r="E619" s="152" t="str">
        <f>IFERROR(__xludf.DUMMYFUNCTION("""COMPUTED_VALUE"""),"")</f>
        <v/>
      </c>
      <c r="F619" s="106" t="s">
        <v>133</v>
      </c>
      <c r="G619" s="152" t="str">
        <f>IFERROR(__xludf.DUMMYFUNCTION("""COMPUTED_VALUE"""),"")</f>
        <v/>
      </c>
      <c r="H619" s="106" t="s">
        <v>133</v>
      </c>
      <c r="I619" s="136"/>
      <c r="J619" s="139" t="s">
        <v>133</v>
      </c>
      <c r="K619" s="136" t="s">
        <v>133</v>
      </c>
      <c r="L619" s="153" t="str">
        <f>IFERROR(__xludf.DUMMYFUNCTION("""COMPUTED_VALUE"""),"")</f>
        <v/>
      </c>
      <c r="M619" s="136" t="str">
        <f t="shared" si="1"/>
        <v/>
      </c>
      <c r="N619" s="136" t="str">
        <f>IFERROR(__xludf.DUMMYFUNCTION("""COMPUTED_VALUE"""),"")</f>
        <v/>
      </c>
      <c r="O619" s="141" t="s">
        <v>133</v>
      </c>
      <c r="P619" s="136" t="str">
        <f>IFERROR(__xludf.DUMMYFUNCTION("""COMPUTED_VALUE"""),"")</f>
        <v/>
      </c>
      <c r="Q619" s="136" t="str">
        <f>IFERROR(__xludf.DUMMYFUNCTION("""COMPUTED_VALUE"""),"")</f>
        <v/>
      </c>
      <c r="R619" s="106" t="str">
        <f>IFERROR(__xludf.DUMMYFUNCTION("""COMPUTED_VALUE"""),"")</f>
        <v/>
      </c>
      <c r="S619" s="106" t="str">
        <f>IFERROR(__xludf.DUMMYFUNCTION("""COMPUTED_VALUE"""),"")</f>
        <v/>
      </c>
      <c r="T619" s="139" t="str">
        <f>IFERROR(__xludf.DUMMYFUNCTION("""COMPUTED_VALUE"""),"")</f>
        <v/>
      </c>
      <c r="U619" s="139" t="str">
        <f>IFERROR(__xludf.DUMMYFUNCTION("""COMPUTED_VALUE"""),"")</f>
        <v/>
      </c>
      <c r="V619" s="136" t="str">
        <f>IFERROR(__xludf.DUMMYFUNCTION("""COMPUTED_VALUE"""),"")</f>
        <v/>
      </c>
      <c r="W619" s="106" t="str">
        <f>IFERROR(__xludf.DUMMYFUNCTION("""COMPUTED_VALUE"""),"")</f>
        <v/>
      </c>
      <c r="X619" s="143" t="str">
        <f t="shared" si="2"/>
        <v/>
      </c>
      <c r="Y619" s="139" t="str">
        <f>IFERROR(__xludf.DUMMYFUNCTION("""COMPUTED_VALUE"""),"")</f>
        <v/>
      </c>
      <c r="Z619" s="141" t="str">
        <f>IFERROR(__xludf.DUMMYFUNCTION("""COMPUTED_VALUE"""),"")</f>
        <v/>
      </c>
    </row>
    <row r="620">
      <c r="C620" s="136" t="str">
        <f>IFERROR(__xludf.DUMMYFUNCTION("""COMPUTED_VALUE"""),"")</f>
        <v/>
      </c>
      <c r="D620" s="136" t="str">
        <f t="shared" si="3"/>
        <v/>
      </c>
      <c r="E620" s="152" t="str">
        <f>IFERROR(__xludf.DUMMYFUNCTION("""COMPUTED_VALUE"""),"")</f>
        <v/>
      </c>
      <c r="F620" s="106" t="s">
        <v>133</v>
      </c>
      <c r="G620" s="152" t="str">
        <f>IFERROR(__xludf.DUMMYFUNCTION("""COMPUTED_VALUE"""),"")</f>
        <v/>
      </c>
      <c r="H620" s="106" t="s">
        <v>133</v>
      </c>
      <c r="I620" s="136"/>
      <c r="J620" s="139" t="s">
        <v>133</v>
      </c>
      <c r="K620" s="136" t="s">
        <v>133</v>
      </c>
      <c r="L620" s="153" t="str">
        <f>IFERROR(__xludf.DUMMYFUNCTION("""COMPUTED_VALUE"""),"")</f>
        <v/>
      </c>
      <c r="M620" s="136" t="str">
        <f t="shared" si="1"/>
        <v/>
      </c>
      <c r="N620" s="136" t="str">
        <f>IFERROR(__xludf.DUMMYFUNCTION("""COMPUTED_VALUE"""),"")</f>
        <v/>
      </c>
      <c r="O620" s="141" t="s">
        <v>133</v>
      </c>
      <c r="P620" s="136" t="str">
        <f>IFERROR(__xludf.DUMMYFUNCTION("""COMPUTED_VALUE"""),"")</f>
        <v/>
      </c>
      <c r="Q620" s="136" t="str">
        <f>IFERROR(__xludf.DUMMYFUNCTION("""COMPUTED_VALUE"""),"")</f>
        <v/>
      </c>
      <c r="R620" s="106" t="str">
        <f>IFERROR(__xludf.DUMMYFUNCTION("""COMPUTED_VALUE"""),"")</f>
        <v/>
      </c>
      <c r="S620" s="106" t="str">
        <f>IFERROR(__xludf.DUMMYFUNCTION("""COMPUTED_VALUE"""),"")</f>
        <v/>
      </c>
      <c r="T620" s="139" t="str">
        <f>IFERROR(__xludf.DUMMYFUNCTION("""COMPUTED_VALUE"""),"")</f>
        <v/>
      </c>
      <c r="U620" s="139" t="str">
        <f>IFERROR(__xludf.DUMMYFUNCTION("""COMPUTED_VALUE"""),"")</f>
        <v/>
      </c>
      <c r="V620" s="136" t="str">
        <f>IFERROR(__xludf.DUMMYFUNCTION("""COMPUTED_VALUE"""),"")</f>
        <v/>
      </c>
      <c r="W620" s="106" t="str">
        <f>IFERROR(__xludf.DUMMYFUNCTION("""COMPUTED_VALUE"""),"")</f>
        <v/>
      </c>
      <c r="X620" s="143" t="str">
        <f t="shared" si="2"/>
        <v/>
      </c>
      <c r="Y620" s="139" t="str">
        <f>IFERROR(__xludf.DUMMYFUNCTION("""COMPUTED_VALUE"""),"")</f>
        <v/>
      </c>
      <c r="Z620" s="141" t="str">
        <f>IFERROR(__xludf.DUMMYFUNCTION("""COMPUTED_VALUE"""),"")</f>
        <v/>
      </c>
    </row>
    <row r="621">
      <c r="C621" s="136" t="str">
        <f>IFERROR(__xludf.DUMMYFUNCTION("""COMPUTED_VALUE"""),"")</f>
        <v/>
      </c>
      <c r="D621" s="136" t="str">
        <f t="shared" si="3"/>
        <v/>
      </c>
      <c r="E621" s="152" t="str">
        <f>IFERROR(__xludf.DUMMYFUNCTION("""COMPUTED_VALUE"""),"")</f>
        <v/>
      </c>
      <c r="F621" s="106" t="s">
        <v>133</v>
      </c>
      <c r="G621" s="152" t="str">
        <f>IFERROR(__xludf.DUMMYFUNCTION("""COMPUTED_VALUE"""),"")</f>
        <v/>
      </c>
      <c r="H621" s="106" t="s">
        <v>133</v>
      </c>
      <c r="I621" s="136"/>
      <c r="J621" s="139" t="s">
        <v>133</v>
      </c>
      <c r="K621" s="136" t="s">
        <v>133</v>
      </c>
      <c r="L621" s="153" t="str">
        <f>IFERROR(__xludf.DUMMYFUNCTION("""COMPUTED_VALUE"""),"")</f>
        <v/>
      </c>
      <c r="M621" s="136" t="str">
        <f t="shared" si="1"/>
        <v/>
      </c>
      <c r="N621" s="136" t="str">
        <f>IFERROR(__xludf.DUMMYFUNCTION("""COMPUTED_VALUE"""),"")</f>
        <v/>
      </c>
      <c r="O621" s="141" t="s">
        <v>133</v>
      </c>
      <c r="P621" s="136" t="str">
        <f>IFERROR(__xludf.DUMMYFUNCTION("""COMPUTED_VALUE"""),"")</f>
        <v/>
      </c>
      <c r="Q621" s="136" t="str">
        <f>IFERROR(__xludf.DUMMYFUNCTION("""COMPUTED_VALUE"""),"")</f>
        <v/>
      </c>
      <c r="R621" s="106" t="str">
        <f>IFERROR(__xludf.DUMMYFUNCTION("""COMPUTED_VALUE"""),"")</f>
        <v/>
      </c>
      <c r="S621" s="106" t="str">
        <f>IFERROR(__xludf.DUMMYFUNCTION("""COMPUTED_VALUE"""),"")</f>
        <v/>
      </c>
      <c r="T621" s="139" t="str">
        <f>IFERROR(__xludf.DUMMYFUNCTION("""COMPUTED_VALUE"""),"")</f>
        <v/>
      </c>
      <c r="U621" s="139" t="str">
        <f>IFERROR(__xludf.DUMMYFUNCTION("""COMPUTED_VALUE"""),"")</f>
        <v/>
      </c>
      <c r="V621" s="136" t="str">
        <f>IFERROR(__xludf.DUMMYFUNCTION("""COMPUTED_VALUE"""),"")</f>
        <v/>
      </c>
      <c r="W621" s="106" t="str">
        <f>IFERROR(__xludf.DUMMYFUNCTION("""COMPUTED_VALUE"""),"")</f>
        <v/>
      </c>
      <c r="X621" s="143" t="str">
        <f t="shared" si="2"/>
        <v/>
      </c>
      <c r="Y621" s="139" t="str">
        <f>IFERROR(__xludf.DUMMYFUNCTION("""COMPUTED_VALUE"""),"")</f>
        <v/>
      </c>
      <c r="Z621" s="141" t="str">
        <f>IFERROR(__xludf.DUMMYFUNCTION("""COMPUTED_VALUE"""),"")</f>
        <v/>
      </c>
    </row>
    <row r="622">
      <c r="C622" s="136" t="str">
        <f>IFERROR(__xludf.DUMMYFUNCTION("""COMPUTED_VALUE"""),"")</f>
        <v/>
      </c>
      <c r="D622" s="136" t="str">
        <f t="shared" si="3"/>
        <v/>
      </c>
      <c r="E622" s="152" t="str">
        <f>IFERROR(__xludf.DUMMYFUNCTION("""COMPUTED_VALUE"""),"")</f>
        <v/>
      </c>
      <c r="F622" s="106" t="s">
        <v>133</v>
      </c>
      <c r="G622" s="152" t="str">
        <f>IFERROR(__xludf.DUMMYFUNCTION("""COMPUTED_VALUE"""),"")</f>
        <v/>
      </c>
      <c r="H622" s="106" t="s">
        <v>133</v>
      </c>
      <c r="I622" s="136"/>
      <c r="J622" s="139" t="s">
        <v>133</v>
      </c>
      <c r="K622" s="136" t="s">
        <v>133</v>
      </c>
      <c r="L622" s="153" t="str">
        <f>IFERROR(__xludf.DUMMYFUNCTION("""COMPUTED_VALUE"""),"")</f>
        <v/>
      </c>
      <c r="M622" s="136" t="str">
        <f t="shared" si="1"/>
        <v/>
      </c>
      <c r="N622" s="136" t="str">
        <f>IFERROR(__xludf.DUMMYFUNCTION("""COMPUTED_VALUE"""),"")</f>
        <v/>
      </c>
      <c r="O622" s="141" t="s">
        <v>133</v>
      </c>
      <c r="P622" s="136" t="str">
        <f>IFERROR(__xludf.DUMMYFUNCTION("""COMPUTED_VALUE"""),"")</f>
        <v/>
      </c>
      <c r="Q622" s="136" t="str">
        <f>IFERROR(__xludf.DUMMYFUNCTION("""COMPUTED_VALUE"""),"")</f>
        <v/>
      </c>
      <c r="R622" s="106" t="str">
        <f>IFERROR(__xludf.DUMMYFUNCTION("""COMPUTED_VALUE"""),"")</f>
        <v/>
      </c>
      <c r="S622" s="106" t="str">
        <f>IFERROR(__xludf.DUMMYFUNCTION("""COMPUTED_VALUE"""),"")</f>
        <v/>
      </c>
      <c r="T622" s="139" t="str">
        <f>IFERROR(__xludf.DUMMYFUNCTION("""COMPUTED_VALUE"""),"")</f>
        <v/>
      </c>
      <c r="U622" s="139" t="str">
        <f>IFERROR(__xludf.DUMMYFUNCTION("""COMPUTED_VALUE"""),"")</f>
        <v/>
      </c>
      <c r="V622" s="136" t="str">
        <f>IFERROR(__xludf.DUMMYFUNCTION("""COMPUTED_VALUE"""),"")</f>
        <v/>
      </c>
      <c r="W622" s="106" t="str">
        <f>IFERROR(__xludf.DUMMYFUNCTION("""COMPUTED_VALUE"""),"")</f>
        <v/>
      </c>
      <c r="X622" s="143" t="str">
        <f t="shared" si="2"/>
        <v/>
      </c>
      <c r="Y622" s="139" t="str">
        <f>IFERROR(__xludf.DUMMYFUNCTION("""COMPUTED_VALUE"""),"")</f>
        <v/>
      </c>
      <c r="Z622" s="141" t="str">
        <f>IFERROR(__xludf.DUMMYFUNCTION("""COMPUTED_VALUE"""),"")</f>
        <v/>
      </c>
    </row>
    <row r="623">
      <c r="C623" s="136" t="str">
        <f>IFERROR(__xludf.DUMMYFUNCTION("""COMPUTED_VALUE"""),"")</f>
        <v/>
      </c>
      <c r="D623" s="136" t="str">
        <f t="shared" si="3"/>
        <v/>
      </c>
      <c r="E623" s="152" t="str">
        <f>IFERROR(__xludf.DUMMYFUNCTION("""COMPUTED_VALUE"""),"")</f>
        <v/>
      </c>
      <c r="F623" s="106" t="s">
        <v>133</v>
      </c>
      <c r="G623" s="152" t="str">
        <f>IFERROR(__xludf.DUMMYFUNCTION("""COMPUTED_VALUE"""),"")</f>
        <v/>
      </c>
      <c r="H623" s="106" t="s">
        <v>133</v>
      </c>
      <c r="I623" s="136"/>
      <c r="J623" s="139" t="s">
        <v>133</v>
      </c>
      <c r="K623" s="136" t="s">
        <v>133</v>
      </c>
      <c r="L623" s="153" t="str">
        <f>IFERROR(__xludf.DUMMYFUNCTION("""COMPUTED_VALUE"""),"")</f>
        <v/>
      </c>
      <c r="M623" s="136" t="str">
        <f t="shared" si="1"/>
        <v/>
      </c>
      <c r="N623" s="136" t="str">
        <f>IFERROR(__xludf.DUMMYFUNCTION("""COMPUTED_VALUE"""),"")</f>
        <v/>
      </c>
      <c r="O623" s="141" t="s">
        <v>133</v>
      </c>
      <c r="P623" s="136" t="str">
        <f>IFERROR(__xludf.DUMMYFUNCTION("""COMPUTED_VALUE"""),"")</f>
        <v/>
      </c>
      <c r="Q623" s="136" t="str">
        <f>IFERROR(__xludf.DUMMYFUNCTION("""COMPUTED_VALUE"""),"")</f>
        <v/>
      </c>
      <c r="R623" s="106" t="str">
        <f>IFERROR(__xludf.DUMMYFUNCTION("""COMPUTED_VALUE"""),"")</f>
        <v/>
      </c>
      <c r="S623" s="106" t="str">
        <f>IFERROR(__xludf.DUMMYFUNCTION("""COMPUTED_VALUE"""),"")</f>
        <v/>
      </c>
      <c r="T623" s="139" t="str">
        <f>IFERROR(__xludf.DUMMYFUNCTION("""COMPUTED_VALUE"""),"")</f>
        <v/>
      </c>
      <c r="U623" s="139" t="str">
        <f>IFERROR(__xludf.DUMMYFUNCTION("""COMPUTED_VALUE"""),"")</f>
        <v/>
      </c>
      <c r="V623" s="136" t="str">
        <f>IFERROR(__xludf.DUMMYFUNCTION("""COMPUTED_VALUE"""),"")</f>
        <v/>
      </c>
      <c r="W623" s="106" t="str">
        <f>IFERROR(__xludf.DUMMYFUNCTION("""COMPUTED_VALUE"""),"")</f>
        <v/>
      </c>
      <c r="X623" s="143" t="str">
        <f t="shared" si="2"/>
        <v/>
      </c>
      <c r="Y623" s="139" t="str">
        <f>IFERROR(__xludf.DUMMYFUNCTION("""COMPUTED_VALUE"""),"")</f>
        <v/>
      </c>
      <c r="Z623" s="141" t="str">
        <f>IFERROR(__xludf.DUMMYFUNCTION("""COMPUTED_VALUE"""),"")</f>
        <v/>
      </c>
    </row>
    <row r="624">
      <c r="C624" s="136" t="str">
        <f>IFERROR(__xludf.DUMMYFUNCTION("""COMPUTED_VALUE"""),"")</f>
        <v/>
      </c>
      <c r="D624" s="136" t="str">
        <f t="shared" si="3"/>
        <v/>
      </c>
      <c r="E624" s="152" t="str">
        <f>IFERROR(__xludf.DUMMYFUNCTION("""COMPUTED_VALUE"""),"")</f>
        <v/>
      </c>
      <c r="F624" s="106" t="s">
        <v>133</v>
      </c>
      <c r="G624" s="152" t="str">
        <f>IFERROR(__xludf.DUMMYFUNCTION("""COMPUTED_VALUE"""),"")</f>
        <v/>
      </c>
      <c r="H624" s="106" t="s">
        <v>133</v>
      </c>
      <c r="I624" s="136"/>
      <c r="J624" s="139" t="s">
        <v>133</v>
      </c>
      <c r="K624" s="136" t="s">
        <v>133</v>
      </c>
      <c r="L624" s="153" t="str">
        <f>IFERROR(__xludf.DUMMYFUNCTION("""COMPUTED_VALUE"""),"")</f>
        <v/>
      </c>
      <c r="M624" s="136" t="str">
        <f t="shared" si="1"/>
        <v/>
      </c>
      <c r="N624" s="136" t="str">
        <f>IFERROR(__xludf.DUMMYFUNCTION("""COMPUTED_VALUE"""),"")</f>
        <v/>
      </c>
      <c r="O624" s="141" t="s">
        <v>133</v>
      </c>
      <c r="P624" s="136" t="str">
        <f>IFERROR(__xludf.DUMMYFUNCTION("""COMPUTED_VALUE"""),"")</f>
        <v/>
      </c>
      <c r="Q624" s="136" t="str">
        <f>IFERROR(__xludf.DUMMYFUNCTION("""COMPUTED_VALUE"""),"")</f>
        <v/>
      </c>
      <c r="R624" s="106" t="str">
        <f>IFERROR(__xludf.DUMMYFUNCTION("""COMPUTED_VALUE"""),"")</f>
        <v/>
      </c>
      <c r="S624" s="106" t="str">
        <f>IFERROR(__xludf.DUMMYFUNCTION("""COMPUTED_VALUE"""),"")</f>
        <v/>
      </c>
      <c r="T624" s="139" t="str">
        <f>IFERROR(__xludf.DUMMYFUNCTION("""COMPUTED_VALUE"""),"")</f>
        <v/>
      </c>
      <c r="U624" s="139" t="str">
        <f>IFERROR(__xludf.DUMMYFUNCTION("""COMPUTED_VALUE"""),"")</f>
        <v/>
      </c>
      <c r="V624" s="136" t="str">
        <f>IFERROR(__xludf.DUMMYFUNCTION("""COMPUTED_VALUE"""),"")</f>
        <v/>
      </c>
      <c r="W624" s="106" t="str">
        <f>IFERROR(__xludf.DUMMYFUNCTION("""COMPUTED_VALUE"""),"")</f>
        <v/>
      </c>
      <c r="X624" s="143" t="str">
        <f t="shared" si="2"/>
        <v/>
      </c>
      <c r="Y624" s="139" t="str">
        <f>IFERROR(__xludf.DUMMYFUNCTION("""COMPUTED_VALUE"""),"")</f>
        <v/>
      </c>
      <c r="Z624" s="141" t="str">
        <f>IFERROR(__xludf.DUMMYFUNCTION("""COMPUTED_VALUE"""),"")</f>
        <v/>
      </c>
    </row>
    <row r="625">
      <c r="C625" s="136" t="str">
        <f>IFERROR(__xludf.DUMMYFUNCTION("""COMPUTED_VALUE"""),"")</f>
        <v/>
      </c>
      <c r="D625" s="136" t="str">
        <f t="shared" si="3"/>
        <v/>
      </c>
      <c r="E625" s="152" t="str">
        <f>IFERROR(__xludf.DUMMYFUNCTION("""COMPUTED_VALUE"""),"")</f>
        <v/>
      </c>
      <c r="F625" s="106" t="s">
        <v>133</v>
      </c>
      <c r="G625" s="152" t="str">
        <f>IFERROR(__xludf.DUMMYFUNCTION("""COMPUTED_VALUE"""),"")</f>
        <v/>
      </c>
      <c r="H625" s="106" t="s">
        <v>133</v>
      </c>
      <c r="I625" s="136"/>
      <c r="J625" s="139" t="s">
        <v>133</v>
      </c>
      <c r="K625" s="136" t="s">
        <v>133</v>
      </c>
      <c r="L625" s="153" t="str">
        <f>IFERROR(__xludf.DUMMYFUNCTION("""COMPUTED_VALUE"""),"")</f>
        <v/>
      </c>
      <c r="M625" s="136" t="str">
        <f t="shared" si="1"/>
        <v/>
      </c>
      <c r="N625" s="136" t="str">
        <f>IFERROR(__xludf.DUMMYFUNCTION("""COMPUTED_VALUE"""),"")</f>
        <v/>
      </c>
      <c r="O625" s="141" t="s">
        <v>133</v>
      </c>
      <c r="P625" s="136" t="str">
        <f>IFERROR(__xludf.DUMMYFUNCTION("""COMPUTED_VALUE"""),"")</f>
        <v/>
      </c>
      <c r="Q625" s="136" t="str">
        <f>IFERROR(__xludf.DUMMYFUNCTION("""COMPUTED_VALUE"""),"")</f>
        <v/>
      </c>
      <c r="R625" s="106" t="str">
        <f>IFERROR(__xludf.DUMMYFUNCTION("""COMPUTED_VALUE"""),"")</f>
        <v/>
      </c>
      <c r="S625" s="106" t="str">
        <f>IFERROR(__xludf.DUMMYFUNCTION("""COMPUTED_VALUE"""),"")</f>
        <v/>
      </c>
      <c r="T625" s="139" t="str">
        <f>IFERROR(__xludf.DUMMYFUNCTION("""COMPUTED_VALUE"""),"")</f>
        <v/>
      </c>
      <c r="U625" s="139" t="str">
        <f>IFERROR(__xludf.DUMMYFUNCTION("""COMPUTED_VALUE"""),"")</f>
        <v/>
      </c>
      <c r="V625" s="136" t="str">
        <f>IFERROR(__xludf.DUMMYFUNCTION("""COMPUTED_VALUE"""),"")</f>
        <v/>
      </c>
      <c r="W625" s="106" t="str">
        <f>IFERROR(__xludf.DUMMYFUNCTION("""COMPUTED_VALUE"""),"")</f>
        <v/>
      </c>
      <c r="X625" s="143" t="str">
        <f t="shared" si="2"/>
        <v/>
      </c>
      <c r="Y625" s="139" t="str">
        <f>IFERROR(__xludf.DUMMYFUNCTION("""COMPUTED_VALUE"""),"")</f>
        <v/>
      </c>
      <c r="Z625" s="141" t="str">
        <f>IFERROR(__xludf.DUMMYFUNCTION("""COMPUTED_VALUE"""),"")</f>
        <v/>
      </c>
    </row>
    <row r="626">
      <c r="C626" s="136" t="str">
        <f>IFERROR(__xludf.DUMMYFUNCTION("""COMPUTED_VALUE"""),"")</f>
        <v/>
      </c>
      <c r="D626" s="136" t="str">
        <f t="shared" si="3"/>
        <v/>
      </c>
      <c r="E626" s="152" t="str">
        <f>IFERROR(__xludf.DUMMYFUNCTION("""COMPUTED_VALUE"""),"")</f>
        <v/>
      </c>
      <c r="F626" s="106" t="s">
        <v>133</v>
      </c>
      <c r="G626" s="152" t="str">
        <f>IFERROR(__xludf.DUMMYFUNCTION("""COMPUTED_VALUE"""),"")</f>
        <v/>
      </c>
      <c r="H626" s="106" t="s">
        <v>133</v>
      </c>
      <c r="I626" s="136"/>
      <c r="J626" s="139" t="s">
        <v>133</v>
      </c>
      <c r="K626" s="136" t="s">
        <v>133</v>
      </c>
      <c r="L626" s="153" t="str">
        <f>IFERROR(__xludf.DUMMYFUNCTION("""COMPUTED_VALUE"""),"")</f>
        <v/>
      </c>
      <c r="M626" s="136" t="str">
        <f t="shared" si="1"/>
        <v/>
      </c>
      <c r="N626" s="136" t="str">
        <f>IFERROR(__xludf.DUMMYFUNCTION("""COMPUTED_VALUE"""),"")</f>
        <v/>
      </c>
      <c r="O626" s="141" t="s">
        <v>133</v>
      </c>
      <c r="P626" s="136" t="str">
        <f>IFERROR(__xludf.DUMMYFUNCTION("""COMPUTED_VALUE"""),"")</f>
        <v/>
      </c>
      <c r="Q626" s="136" t="str">
        <f>IFERROR(__xludf.DUMMYFUNCTION("""COMPUTED_VALUE"""),"")</f>
        <v/>
      </c>
      <c r="R626" s="106" t="str">
        <f>IFERROR(__xludf.DUMMYFUNCTION("""COMPUTED_VALUE"""),"")</f>
        <v/>
      </c>
      <c r="S626" s="106" t="str">
        <f>IFERROR(__xludf.DUMMYFUNCTION("""COMPUTED_VALUE"""),"")</f>
        <v/>
      </c>
      <c r="T626" s="139" t="str">
        <f>IFERROR(__xludf.DUMMYFUNCTION("""COMPUTED_VALUE"""),"")</f>
        <v/>
      </c>
      <c r="U626" s="139" t="str">
        <f>IFERROR(__xludf.DUMMYFUNCTION("""COMPUTED_VALUE"""),"")</f>
        <v/>
      </c>
      <c r="V626" s="136" t="str">
        <f>IFERROR(__xludf.DUMMYFUNCTION("""COMPUTED_VALUE"""),"")</f>
        <v/>
      </c>
      <c r="W626" s="106" t="str">
        <f>IFERROR(__xludf.DUMMYFUNCTION("""COMPUTED_VALUE"""),"")</f>
        <v/>
      </c>
      <c r="X626" s="143" t="str">
        <f t="shared" si="2"/>
        <v/>
      </c>
      <c r="Y626" s="139" t="str">
        <f>IFERROR(__xludf.DUMMYFUNCTION("""COMPUTED_VALUE"""),"")</f>
        <v/>
      </c>
      <c r="Z626" s="141" t="str">
        <f>IFERROR(__xludf.DUMMYFUNCTION("""COMPUTED_VALUE"""),"")</f>
        <v/>
      </c>
    </row>
    <row r="627">
      <c r="C627" s="136" t="str">
        <f>IFERROR(__xludf.DUMMYFUNCTION("""COMPUTED_VALUE"""),"")</f>
        <v/>
      </c>
      <c r="D627" s="136" t="str">
        <f t="shared" si="3"/>
        <v/>
      </c>
      <c r="E627" s="152" t="str">
        <f>IFERROR(__xludf.DUMMYFUNCTION("""COMPUTED_VALUE"""),"")</f>
        <v/>
      </c>
      <c r="F627" s="106" t="s">
        <v>133</v>
      </c>
      <c r="G627" s="152" t="str">
        <f>IFERROR(__xludf.DUMMYFUNCTION("""COMPUTED_VALUE"""),"")</f>
        <v/>
      </c>
      <c r="H627" s="106" t="s">
        <v>133</v>
      </c>
      <c r="I627" s="136"/>
      <c r="J627" s="139" t="s">
        <v>133</v>
      </c>
      <c r="K627" s="136" t="s">
        <v>133</v>
      </c>
      <c r="L627" s="153" t="str">
        <f>IFERROR(__xludf.DUMMYFUNCTION("""COMPUTED_VALUE"""),"")</f>
        <v/>
      </c>
      <c r="M627" s="136" t="str">
        <f t="shared" si="1"/>
        <v/>
      </c>
      <c r="N627" s="136" t="str">
        <f>IFERROR(__xludf.DUMMYFUNCTION("""COMPUTED_VALUE"""),"")</f>
        <v/>
      </c>
      <c r="O627" s="141" t="s">
        <v>133</v>
      </c>
      <c r="P627" s="136" t="str">
        <f>IFERROR(__xludf.DUMMYFUNCTION("""COMPUTED_VALUE"""),"")</f>
        <v/>
      </c>
      <c r="Q627" s="136" t="str">
        <f>IFERROR(__xludf.DUMMYFUNCTION("""COMPUTED_VALUE"""),"")</f>
        <v/>
      </c>
      <c r="R627" s="106" t="str">
        <f>IFERROR(__xludf.DUMMYFUNCTION("""COMPUTED_VALUE"""),"")</f>
        <v/>
      </c>
      <c r="S627" s="106" t="str">
        <f>IFERROR(__xludf.DUMMYFUNCTION("""COMPUTED_VALUE"""),"")</f>
        <v/>
      </c>
      <c r="T627" s="139" t="str">
        <f>IFERROR(__xludf.DUMMYFUNCTION("""COMPUTED_VALUE"""),"")</f>
        <v/>
      </c>
      <c r="U627" s="139" t="str">
        <f>IFERROR(__xludf.DUMMYFUNCTION("""COMPUTED_VALUE"""),"")</f>
        <v/>
      </c>
      <c r="V627" s="136" t="str">
        <f>IFERROR(__xludf.DUMMYFUNCTION("""COMPUTED_VALUE"""),"")</f>
        <v/>
      </c>
      <c r="W627" s="106" t="str">
        <f>IFERROR(__xludf.DUMMYFUNCTION("""COMPUTED_VALUE"""),"")</f>
        <v/>
      </c>
      <c r="X627" s="143" t="str">
        <f t="shared" si="2"/>
        <v/>
      </c>
      <c r="Y627" s="139" t="str">
        <f>IFERROR(__xludf.DUMMYFUNCTION("""COMPUTED_VALUE"""),"")</f>
        <v/>
      </c>
      <c r="Z627" s="141" t="str">
        <f>IFERROR(__xludf.DUMMYFUNCTION("""COMPUTED_VALUE"""),"")</f>
        <v/>
      </c>
    </row>
    <row r="628">
      <c r="C628" s="136" t="str">
        <f>IFERROR(__xludf.DUMMYFUNCTION("""COMPUTED_VALUE"""),"")</f>
        <v/>
      </c>
      <c r="D628" s="136" t="str">
        <f t="shared" si="3"/>
        <v/>
      </c>
      <c r="E628" s="152" t="str">
        <f>IFERROR(__xludf.DUMMYFUNCTION("""COMPUTED_VALUE"""),"")</f>
        <v/>
      </c>
      <c r="F628" s="106" t="s">
        <v>133</v>
      </c>
      <c r="G628" s="152" t="str">
        <f>IFERROR(__xludf.DUMMYFUNCTION("""COMPUTED_VALUE"""),"")</f>
        <v/>
      </c>
      <c r="H628" s="106" t="s">
        <v>133</v>
      </c>
      <c r="I628" s="136"/>
      <c r="J628" s="139" t="s">
        <v>133</v>
      </c>
      <c r="K628" s="136" t="s">
        <v>133</v>
      </c>
      <c r="L628" s="153" t="str">
        <f>IFERROR(__xludf.DUMMYFUNCTION("""COMPUTED_VALUE"""),"")</f>
        <v/>
      </c>
      <c r="M628" s="136" t="str">
        <f t="shared" si="1"/>
        <v/>
      </c>
      <c r="N628" s="136" t="str">
        <f>IFERROR(__xludf.DUMMYFUNCTION("""COMPUTED_VALUE"""),"")</f>
        <v/>
      </c>
      <c r="O628" s="141" t="s">
        <v>133</v>
      </c>
      <c r="P628" s="136" t="str">
        <f>IFERROR(__xludf.DUMMYFUNCTION("""COMPUTED_VALUE"""),"")</f>
        <v/>
      </c>
      <c r="Q628" s="136" t="str">
        <f>IFERROR(__xludf.DUMMYFUNCTION("""COMPUTED_VALUE"""),"")</f>
        <v/>
      </c>
      <c r="R628" s="106" t="str">
        <f>IFERROR(__xludf.DUMMYFUNCTION("""COMPUTED_VALUE"""),"")</f>
        <v/>
      </c>
      <c r="S628" s="106" t="str">
        <f>IFERROR(__xludf.DUMMYFUNCTION("""COMPUTED_VALUE"""),"")</f>
        <v/>
      </c>
      <c r="T628" s="139" t="str">
        <f>IFERROR(__xludf.DUMMYFUNCTION("""COMPUTED_VALUE"""),"")</f>
        <v/>
      </c>
      <c r="U628" s="139" t="str">
        <f>IFERROR(__xludf.DUMMYFUNCTION("""COMPUTED_VALUE"""),"")</f>
        <v/>
      </c>
      <c r="V628" s="136" t="str">
        <f>IFERROR(__xludf.DUMMYFUNCTION("""COMPUTED_VALUE"""),"")</f>
        <v/>
      </c>
      <c r="W628" s="106" t="str">
        <f>IFERROR(__xludf.DUMMYFUNCTION("""COMPUTED_VALUE"""),"")</f>
        <v/>
      </c>
      <c r="X628" s="143" t="str">
        <f t="shared" si="2"/>
        <v/>
      </c>
      <c r="Y628" s="139" t="str">
        <f>IFERROR(__xludf.DUMMYFUNCTION("""COMPUTED_VALUE"""),"")</f>
        <v/>
      </c>
      <c r="Z628" s="141" t="str">
        <f>IFERROR(__xludf.DUMMYFUNCTION("""COMPUTED_VALUE"""),"")</f>
        <v/>
      </c>
    </row>
    <row r="629">
      <c r="C629" s="136" t="str">
        <f>IFERROR(__xludf.DUMMYFUNCTION("""COMPUTED_VALUE"""),"")</f>
        <v/>
      </c>
      <c r="D629" s="136" t="str">
        <f t="shared" si="3"/>
        <v/>
      </c>
      <c r="E629" s="152" t="str">
        <f>IFERROR(__xludf.DUMMYFUNCTION("""COMPUTED_VALUE"""),"")</f>
        <v/>
      </c>
      <c r="F629" s="106" t="s">
        <v>133</v>
      </c>
      <c r="G629" s="152" t="str">
        <f>IFERROR(__xludf.DUMMYFUNCTION("""COMPUTED_VALUE"""),"")</f>
        <v/>
      </c>
      <c r="H629" s="106" t="s">
        <v>133</v>
      </c>
      <c r="I629" s="136"/>
      <c r="J629" s="139" t="s">
        <v>133</v>
      </c>
      <c r="K629" s="136" t="s">
        <v>133</v>
      </c>
      <c r="L629" s="153" t="str">
        <f>IFERROR(__xludf.DUMMYFUNCTION("""COMPUTED_VALUE"""),"")</f>
        <v/>
      </c>
      <c r="M629" s="136" t="str">
        <f t="shared" si="1"/>
        <v/>
      </c>
      <c r="N629" s="136" t="str">
        <f>IFERROR(__xludf.DUMMYFUNCTION("""COMPUTED_VALUE"""),"")</f>
        <v/>
      </c>
      <c r="O629" s="141" t="s">
        <v>133</v>
      </c>
      <c r="P629" s="136" t="str">
        <f>IFERROR(__xludf.DUMMYFUNCTION("""COMPUTED_VALUE"""),"")</f>
        <v/>
      </c>
      <c r="Q629" s="136" t="str">
        <f>IFERROR(__xludf.DUMMYFUNCTION("""COMPUTED_VALUE"""),"")</f>
        <v/>
      </c>
      <c r="R629" s="106" t="str">
        <f>IFERROR(__xludf.DUMMYFUNCTION("""COMPUTED_VALUE"""),"")</f>
        <v/>
      </c>
      <c r="S629" s="106" t="str">
        <f>IFERROR(__xludf.DUMMYFUNCTION("""COMPUTED_VALUE"""),"")</f>
        <v/>
      </c>
      <c r="T629" s="139" t="str">
        <f>IFERROR(__xludf.DUMMYFUNCTION("""COMPUTED_VALUE"""),"")</f>
        <v/>
      </c>
      <c r="U629" s="139" t="str">
        <f>IFERROR(__xludf.DUMMYFUNCTION("""COMPUTED_VALUE"""),"")</f>
        <v/>
      </c>
      <c r="V629" s="136" t="str">
        <f>IFERROR(__xludf.DUMMYFUNCTION("""COMPUTED_VALUE"""),"")</f>
        <v/>
      </c>
      <c r="W629" s="106" t="str">
        <f>IFERROR(__xludf.DUMMYFUNCTION("""COMPUTED_VALUE"""),"")</f>
        <v/>
      </c>
      <c r="X629" s="143" t="str">
        <f t="shared" si="2"/>
        <v/>
      </c>
      <c r="Y629" s="139" t="str">
        <f>IFERROR(__xludf.DUMMYFUNCTION("""COMPUTED_VALUE"""),"")</f>
        <v/>
      </c>
      <c r="Z629" s="141" t="str">
        <f>IFERROR(__xludf.DUMMYFUNCTION("""COMPUTED_VALUE"""),"")</f>
        <v/>
      </c>
    </row>
    <row r="630">
      <c r="C630" s="136" t="str">
        <f>IFERROR(__xludf.DUMMYFUNCTION("""COMPUTED_VALUE"""),"")</f>
        <v/>
      </c>
      <c r="D630" s="136" t="str">
        <f t="shared" si="3"/>
        <v/>
      </c>
      <c r="E630" s="152" t="str">
        <f>IFERROR(__xludf.DUMMYFUNCTION("""COMPUTED_VALUE"""),"")</f>
        <v/>
      </c>
      <c r="F630" s="106" t="s">
        <v>133</v>
      </c>
      <c r="G630" s="152" t="str">
        <f>IFERROR(__xludf.DUMMYFUNCTION("""COMPUTED_VALUE"""),"")</f>
        <v/>
      </c>
      <c r="H630" s="106" t="s">
        <v>133</v>
      </c>
      <c r="I630" s="136"/>
      <c r="J630" s="139" t="s">
        <v>133</v>
      </c>
      <c r="K630" s="136" t="s">
        <v>133</v>
      </c>
      <c r="L630" s="153" t="str">
        <f>IFERROR(__xludf.DUMMYFUNCTION("""COMPUTED_VALUE"""),"")</f>
        <v/>
      </c>
      <c r="M630" s="136" t="str">
        <f t="shared" si="1"/>
        <v/>
      </c>
      <c r="N630" s="136" t="str">
        <f>IFERROR(__xludf.DUMMYFUNCTION("""COMPUTED_VALUE"""),"")</f>
        <v/>
      </c>
      <c r="O630" s="141" t="s">
        <v>133</v>
      </c>
      <c r="P630" s="136" t="str">
        <f>IFERROR(__xludf.DUMMYFUNCTION("""COMPUTED_VALUE"""),"")</f>
        <v/>
      </c>
      <c r="Q630" s="136" t="str">
        <f>IFERROR(__xludf.DUMMYFUNCTION("""COMPUTED_VALUE"""),"")</f>
        <v/>
      </c>
      <c r="R630" s="106" t="str">
        <f>IFERROR(__xludf.DUMMYFUNCTION("""COMPUTED_VALUE"""),"")</f>
        <v/>
      </c>
      <c r="S630" s="106" t="str">
        <f>IFERROR(__xludf.DUMMYFUNCTION("""COMPUTED_VALUE"""),"")</f>
        <v/>
      </c>
      <c r="T630" s="139" t="str">
        <f>IFERROR(__xludf.DUMMYFUNCTION("""COMPUTED_VALUE"""),"")</f>
        <v/>
      </c>
      <c r="U630" s="139" t="str">
        <f>IFERROR(__xludf.DUMMYFUNCTION("""COMPUTED_VALUE"""),"")</f>
        <v/>
      </c>
      <c r="V630" s="136" t="str">
        <f>IFERROR(__xludf.DUMMYFUNCTION("""COMPUTED_VALUE"""),"")</f>
        <v/>
      </c>
      <c r="W630" s="106" t="str">
        <f>IFERROR(__xludf.DUMMYFUNCTION("""COMPUTED_VALUE"""),"")</f>
        <v/>
      </c>
      <c r="X630" s="143" t="str">
        <f t="shared" si="2"/>
        <v/>
      </c>
      <c r="Y630" s="139" t="str">
        <f>IFERROR(__xludf.DUMMYFUNCTION("""COMPUTED_VALUE"""),"")</f>
        <v/>
      </c>
      <c r="Z630" s="141" t="str">
        <f>IFERROR(__xludf.DUMMYFUNCTION("""COMPUTED_VALUE"""),"")</f>
        <v/>
      </c>
    </row>
    <row r="631">
      <c r="C631" s="136" t="str">
        <f>IFERROR(__xludf.DUMMYFUNCTION("""COMPUTED_VALUE"""),"")</f>
        <v/>
      </c>
      <c r="D631" s="136" t="str">
        <f t="shared" si="3"/>
        <v/>
      </c>
      <c r="E631" s="152" t="str">
        <f>IFERROR(__xludf.DUMMYFUNCTION("""COMPUTED_VALUE"""),"")</f>
        <v/>
      </c>
      <c r="F631" s="106" t="s">
        <v>133</v>
      </c>
      <c r="G631" s="152" t="str">
        <f>IFERROR(__xludf.DUMMYFUNCTION("""COMPUTED_VALUE"""),"")</f>
        <v/>
      </c>
      <c r="H631" s="106" t="s">
        <v>133</v>
      </c>
      <c r="I631" s="136"/>
      <c r="J631" s="139" t="s">
        <v>133</v>
      </c>
      <c r="K631" s="136" t="s">
        <v>133</v>
      </c>
      <c r="L631" s="153" t="str">
        <f>IFERROR(__xludf.DUMMYFUNCTION("""COMPUTED_VALUE"""),"")</f>
        <v/>
      </c>
      <c r="M631" s="136" t="str">
        <f t="shared" si="1"/>
        <v/>
      </c>
      <c r="N631" s="136" t="str">
        <f>IFERROR(__xludf.DUMMYFUNCTION("""COMPUTED_VALUE"""),"")</f>
        <v/>
      </c>
      <c r="O631" s="141" t="s">
        <v>133</v>
      </c>
      <c r="P631" s="136" t="str">
        <f>IFERROR(__xludf.DUMMYFUNCTION("""COMPUTED_VALUE"""),"")</f>
        <v/>
      </c>
      <c r="Q631" s="136" t="str">
        <f>IFERROR(__xludf.DUMMYFUNCTION("""COMPUTED_VALUE"""),"")</f>
        <v/>
      </c>
      <c r="R631" s="106" t="str">
        <f>IFERROR(__xludf.DUMMYFUNCTION("""COMPUTED_VALUE"""),"")</f>
        <v/>
      </c>
      <c r="S631" s="106" t="str">
        <f>IFERROR(__xludf.DUMMYFUNCTION("""COMPUTED_VALUE"""),"")</f>
        <v/>
      </c>
      <c r="T631" s="139" t="str">
        <f>IFERROR(__xludf.DUMMYFUNCTION("""COMPUTED_VALUE"""),"")</f>
        <v/>
      </c>
      <c r="U631" s="139" t="str">
        <f>IFERROR(__xludf.DUMMYFUNCTION("""COMPUTED_VALUE"""),"")</f>
        <v/>
      </c>
      <c r="V631" s="136" t="str">
        <f>IFERROR(__xludf.DUMMYFUNCTION("""COMPUTED_VALUE"""),"")</f>
        <v/>
      </c>
      <c r="W631" s="106" t="str">
        <f>IFERROR(__xludf.DUMMYFUNCTION("""COMPUTED_VALUE"""),"")</f>
        <v/>
      </c>
      <c r="X631" s="143" t="str">
        <f t="shared" si="2"/>
        <v/>
      </c>
      <c r="Y631" s="139" t="str">
        <f>IFERROR(__xludf.DUMMYFUNCTION("""COMPUTED_VALUE"""),"")</f>
        <v/>
      </c>
      <c r="Z631" s="141" t="str">
        <f>IFERROR(__xludf.DUMMYFUNCTION("""COMPUTED_VALUE"""),"")</f>
        <v/>
      </c>
    </row>
    <row r="632">
      <c r="C632" s="136" t="str">
        <f>IFERROR(__xludf.DUMMYFUNCTION("""COMPUTED_VALUE"""),"")</f>
        <v/>
      </c>
      <c r="D632" s="136" t="str">
        <f t="shared" si="3"/>
        <v/>
      </c>
      <c r="E632" s="152" t="str">
        <f>IFERROR(__xludf.DUMMYFUNCTION("""COMPUTED_VALUE"""),"")</f>
        <v/>
      </c>
      <c r="F632" s="106" t="s">
        <v>133</v>
      </c>
      <c r="G632" s="152" t="str">
        <f>IFERROR(__xludf.DUMMYFUNCTION("""COMPUTED_VALUE"""),"")</f>
        <v/>
      </c>
      <c r="H632" s="106" t="s">
        <v>133</v>
      </c>
      <c r="I632" s="136"/>
      <c r="J632" s="139" t="s">
        <v>133</v>
      </c>
      <c r="K632" s="136" t="s">
        <v>133</v>
      </c>
      <c r="L632" s="153" t="str">
        <f>IFERROR(__xludf.DUMMYFUNCTION("""COMPUTED_VALUE"""),"")</f>
        <v/>
      </c>
      <c r="M632" s="136" t="str">
        <f t="shared" si="1"/>
        <v/>
      </c>
      <c r="N632" s="136" t="str">
        <f>IFERROR(__xludf.DUMMYFUNCTION("""COMPUTED_VALUE"""),"")</f>
        <v/>
      </c>
      <c r="O632" s="141" t="s">
        <v>133</v>
      </c>
      <c r="P632" s="136" t="str">
        <f>IFERROR(__xludf.DUMMYFUNCTION("""COMPUTED_VALUE"""),"")</f>
        <v/>
      </c>
      <c r="Q632" s="136" t="str">
        <f>IFERROR(__xludf.DUMMYFUNCTION("""COMPUTED_VALUE"""),"")</f>
        <v/>
      </c>
      <c r="R632" s="106" t="str">
        <f>IFERROR(__xludf.DUMMYFUNCTION("""COMPUTED_VALUE"""),"")</f>
        <v/>
      </c>
      <c r="S632" s="106" t="str">
        <f>IFERROR(__xludf.DUMMYFUNCTION("""COMPUTED_VALUE"""),"")</f>
        <v/>
      </c>
      <c r="T632" s="139" t="str">
        <f>IFERROR(__xludf.DUMMYFUNCTION("""COMPUTED_VALUE"""),"")</f>
        <v/>
      </c>
      <c r="U632" s="139" t="str">
        <f>IFERROR(__xludf.DUMMYFUNCTION("""COMPUTED_VALUE"""),"")</f>
        <v/>
      </c>
      <c r="V632" s="136" t="str">
        <f>IFERROR(__xludf.DUMMYFUNCTION("""COMPUTED_VALUE"""),"")</f>
        <v/>
      </c>
      <c r="W632" s="106" t="str">
        <f>IFERROR(__xludf.DUMMYFUNCTION("""COMPUTED_VALUE"""),"")</f>
        <v/>
      </c>
      <c r="X632" s="143" t="str">
        <f t="shared" si="2"/>
        <v/>
      </c>
      <c r="Y632" s="139" t="str">
        <f>IFERROR(__xludf.DUMMYFUNCTION("""COMPUTED_VALUE"""),"")</f>
        <v/>
      </c>
      <c r="Z632" s="141" t="str">
        <f>IFERROR(__xludf.DUMMYFUNCTION("""COMPUTED_VALUE"""),"")</f>
        <v/>
      </c>
    </row>
    <row r="633">
      <c r="C633" s="136" t="str">
        <f>IFERROR(__xludf.DUMMYFUNCTION("""COMPUTED_VALUE"""),"")</f>
        <v/>
      </c>
      <c r="D633" s="136" t="str">
        <f t="shared" si="3"/>
        <v/>
      </c>
      <c r="E633" s="152" t="str">
        <f>IFERROR(__xludf.DUMMYFUNCTION("""COMPUTED_VALUE"""),"")</f>
        <v/>
      </c>
      <c r="F633" s="106" t="s">
        <v>133</v>
      </c>
      <c r="G633" s="152" t="str">
        <f>IFERROR(__xludf.DUMMYFUNCTION("""COMPUTED_VALUE"""),"")</f>
        <v/>
      </c>
      <c r="H633" s="106" t="s">
        <v>133</v>
      </c>
      <c r="I633" s="136"/>
      <c r="J633" s="139" t="s">
        <v>133</v>
      </c>
      <c r="K633" s="136" t="s">
        <v>133</v>
      </c>
      <c r="L633" s="153" t="str">
        <f>IFERROR(__xludf.DUMMYFUNCTION("""COMPUTED_VALUE"""),"")</f>
        <v/>
      </c>
      <c r="M633" s="136" t="str">
        <f t="shared" si="1"/>
        <v/>
      </c>
      <c r="N633" s="136" t="str">
        <f>IFERROR(__xludf.DUMMYFUNCTION("""COMPUTED_VALUE"""),"")</f>
        <v/>
      </c>
      <c r="O633" s="141" t="s">
        <v>133</v>
      </c>
      <c r="P633" s="136" t="str">
        <f>IFERROR(__xludf.DUMMYFUNCTION("""COMPUTED_VALUE"""),"")</f>
        <v/>
      </c>
      <c r="Q633" s="136" t="str">
        <f>IFERROR(__xludf.DUMMYFUNCTION("""COMPUTED_VALUE"""),"")</f>
        <v/>
      </c>
      <c r="R633" s="106" t="str">
        <f>IFERROR(__xludf.DUMMYFUNCTION("""COMPUTED_VALUE"""),"")</f>
        <v/>
      </c>
      <c r="S633" s="106" t="str">
        <f>IFERROR(__xludf.DUMMYFUNCTION("""COMPUTED_VALUE"""),"")</f>
        <v/>
      </c>
      <c r="T633" s="139" t="str">
        <f>IFERROR(__xludf.DUMMYFUNCTION("""COMPUTED_VALUE"""),"")</f>
        <v/>
      </c>
      <c r="U633" s="139" t="str">
        <f>IFERROR(__xludf.DUMMYFUNCTION("""COMPUTED_VALUE"""),"")</f>
        <v/>
      </c>
      <c r="V633" s="136" t="str">
        <f>IFERROR(__xludf.DUMMYFUNCTION("""COMPUTED_VALUE"""),"")</f>
        <v/>
      </c>
      <c r="W633" s="106" t="str">
        <f>IFERROR(__xludf.DUMMYFUNCTION("""COMPUTED_VALUE"""),"")</f>
        <v/>
      </c>
      <c r="X633" s="143" t="str">
        <f t="shared" si="2"/>
        <v/>
      </c>
      <c r="Y633" s="139" t="str">
        <f>IFERROR(__xludf.DUMMYFUNCTION("""COMPUTED_VALUE"""),"")</f>
        <v/>
      </c>
      <c r="Z633" s="141" t="str">
        <f>IFERROR(__xludf.DUMMYFUNCTION("""COMPUTED_VALUE"""),"")</f>
        <v/>
      </c>
    </row>
    <row r="634">
      <c r="C634" s="136" t="str">
        <f>IFERROR(__xludf.DUMMYFUNCTION("""COMPUTED_VALUE"""),"")</f>
        <v/>
      </c>
      <c r="D634" s="136" t="str">
        <f t="shared" si="3"/>
        <v/>
      </c>
      <c r="E634" s="152" t="str">
        <f>IFERROR(__xludf.DUMMYFUNCTION("""COMPUTED_VALUE"""),"")</f>
        <v/>
      </c>
      <c r="F634" s="106" t="s">
        <v>133</v>
      </c>
      <c r="G634" s="152" t="str">
        <f>IFERROR(__xludf.DUMMYFUNCTION("""COMPUTED_VALUE"""),"")</f>
        <v/>
      </c>
      <c r="H634" s="106" t="s">
        <v>133</v>
      </c>
      <c r="I634" s="136"/>
      <c r="J634" s="139" t="s">
        <v>133</v>
      </c>
      <c r="K634" s="136" t="s">
        <v>133</v>
      </c>
      <c r="L634" s="153" t="str">
        <f>IFERROR(__xludf.DUMMYFUNCTION("""COMPUTED_VALUE"""),"")</f>
        <v/>
      </c>
      <c r="M634" s="136" t="str">
        <f t="shared" si="1"/>
        <v/>
      </c>
      <c r="N634" s="136" t="str">
        <f>IFERROR(__xludf.DUMMYFUNCTION("""COMPUTED_VALUE"""),"")</f>
        <v/>
      </c>
      <c r="O634" s="141" t="s">
        <v>133</v>
      </c>
      <c r="P634" s="136" t="str">
        <f>IFERROR(__xludf.DUMMYFUNCTION("""COMPUTED_VALUE"""),"")</f>
        <v/>
      </c>
      <c r="Q634" s="136" t="str">
        <f>IFERROR(__xludf.DUMMYFUNCTION("""COMPUTED_VALUE"""),"")</f>
        <v/>
      </c>
      <c r="R634" s="106" t="str">
        <f>IFERROR(__xludf.DUMMYFUNCTION("""COMPUTED_VALUE"""),"")</f>
        <v/>
      </c>
      <c r="S634" s="106" t="str">
        <f>IFERROR(__xludf.DUMMYFUNCTION("""COMPUTED_VALUE"""),"")</f>
        <v/>
      </c>
      <c r="T634" s="139" t="str">
        <f>IFERROR(__xludf.DUMMYFUNCTION("""COMPUTED_VALUE"""),"")</f>
        <v/>
      </c>
      <c r="U634" s="139" t="str">
        <f>IFERROR(__xludf.DUMMYFUNCTION("""COMPUTED_VALUE"""),"")</f>
        <v/>
      </c>
      <c r="V634" s="136" t="str">
        <f>IFERROR(__xludf.DUMMYFUNCTION("""COMPUTED_VALUE"""),"")</f>
        <v/>
      </c>
      <c r="W634" s="106" t="str">
        <f>IFERROR(__xludf.DUMMYFUNCTION("""COMPUTED_VALUE"""),"")</f>
        <v/>
      </c>
      <c r="X634" s="143" t="str">
        <f t="shared" si="2"/>
        <v/>
      </c>
      <c r="Y634" s="139" t="str">
        <f>IFERROR(__xludf.DUMMYFUNCTION("""COMPUTED_VALUE"""),"")</f>
        <v/>
      </c>
      <c r="Z634" s="141" t="str">
        <f>IFERROR(__xludf.DUMMYFUNCTION("""COMPUTED_VALUE"""),"")</f>
        <v/>
      </c>
    </row>
    <row r="635">
      <c r="C635" s="136" t="str">
        <f>IFERROR(__xludf.DUMMYFUNCTION("""COMPUTED_VALUE"""),"")</f>
        <v/>
      </c>
      <c r="D635" s="136" t="str">
        <f t="shared" si="3"/>
        <v/>
      </c>
      <c r="E635" s="152" t="str">
        <f>IFERROR(__xludf.DUMMYFUNCTION("""COMPUTED_VALUE"""),"")</f>
        <v/>
      </c>
      <c r="F635" s="106" t="s">
        <v>133</v>
      </c>
      <c r="G635" s="152" t="str">
        <f>IFERROR(__xludf.DUMMYFUNCTION("""COMPUTED_VALUE"""),"")</f>
        <v/>
      </c>
      <c r="H635" s="106" t="s">
        <v>133</v>
      </c>
      <c r="I635" s="136"/>
      <c r="J635" s="139" t="s">
        <v>133</v>
      </c>
      <c r="K635" s="136" t="s">
        <v>133</v>
      </c>
      <c r="L635" s="153" t="str">
        <f>IFERROR(__xludf.DUMMYFUNCTION("""COMPUTED_VALUE"""),"")</f>
        <v/>
      </c>
      <c r="M635" s="136" t="str">
        <f t="shared" si="1"/>
        <v/>
      </c>
      <c r="N635" s="136" t="str">
        <f>IFERROR(__xludf.DUMMYFUNCTION("""COMPUTED_VALUE"""),"")</f>
        <v/>
      </c>
      <c r="O635" s="141" t="s">
        <v>133</v>
      </c>
      <c r="P635" s="136" t="str">
        <f>IFERROR(__xludf.DUMMYFUNCTION("""COMPUTED_VALUE"""),"")</f>
        <v/>
      </c>
      <c r="Q635" s="136" t="str">
        <f>IFERROR(__xludf.DUMMYFUNCTION("""COMPUTED_VALUE"""),"")</f>
        <v/>
      </c>
      <c r="R635" s="106" t="str">
        <f>IFERROR(__xludf.DUMMYFUNCTION("""COMPUTED_VALUE"""),"")</f>
        <v/>
      </c>
      <c r="S635" s="106" t="str">
        <f>IFERROR(__xludf.DUMMYFUNCTION("""COMPUTED_VALUE"""),"")</f>
        <v/>
      </c>
      <c r="T635" s="139" t="str">
        <f>IFERROR(__xludf.DUMMYFUNCTION("""COMPUTED_VALUE"""),"")</f>
        <v/>
      </c>
      <c r="U635" s="139" t="str">
        <f>IFERROR(__xludf.DUMMYFUNCTION("""COMPUTED_VALUE"""),"")</f>
        <v/>
      </c>
      <c r="V635" s="136" t="str">
        <f>IFERROR(__xludf.DUMMYFUNCTION("""COMPUTED_VALUE"""),"")</f>
        <v/>
      </c>
      <c r="W635" s="106" t="str">
        <f>IFERROR(__xludf.DUMMYFUNCTION("""COMPUTED_VALUE"""),"")</f>
        <v/>
      </c>
      <c r="X635" s="143" t="str">
        <f t="shared" si="2"/>
        <v/>
      </c>
      <c r="Y635" s="139" t="str">
        <f>IFERROR(__xludf.DUMMYFUNCTION("""COMPUTED_VALUE"""),"")</f>
        <v/>
      </c>
      <c r="Z635" s="141" t="str">
        <f>IFERROR(__xludf.DUMMYFUNCTION("""COMPUTED_VALUE"""),"")</f>
        <v/>
      </c>
    </row>
    <row r="636">
      <c r="C636" s="136" t="str">
        <f>IFERROR(__xludf.DUMMYFUNCTION("""COMPUTED_VALUE"""),"")</f>
        <v/>
      </c>
      <c r="D636" s="136" t="str">
        <f t="shared" si="3"/>
        <v/>
      </c>
      <c r="E636" s="152" t="str">
        <f>IFERROR(__xludf.DUMMYFUNCTION("""COMPUTED_VALUE"""),"")</f>
        <v/>
      </c>
      <c r="F636" s="106" t="s">
        <v>133</v>
      </c>
      <c r="G636" s="152" t="str">
        <f>IFERROR(__xludf.DUMMYFUNCTION("""COMPUTED_VALUE"""),"")</f>
        <v/>
      </c>
      <c r="H636" s="106" t="s">
        <v>133</v>
      </c>
      <c r="I636" s="136"/>
      <c r="J636" s="139" t="s">
        <v>133</v>
      </c>
      <c r="K636" s="136" t="s">
        <v>133</v>
      </c>
      <c r="L636" s="153" t="str">
        <f>IFERROR(__xludf.DUMMYFUNCTION("""COMPUTED_VALUE"""),"")</f>
        <v/>
      </c>
      <c r="M636" s="136" t="str">
        <f t="shared" si="1"/>
        <v/>
      </c>
      <c r="N636" s="136" t="str">
        <f>IFERROR(__xludf.DUMMYFUNCTION("""COMPUTED_VALUE"""),"")</f>
        <v/>
      </c>
      <c r="O636" s="141" t="s">
        <v>133</v>
      </c>
      <c r="P636" s="136" t="str">
        <f>IFERROR(__xludf.DUMMYFUNCTION("""COMPUTED_VALUE"""),"")</f>
        <v/>
      </c>
      <c r="Q636" s="136" t="str">
        <f>IFERROR(__xludf.DUMMYFUNCTION("""COMPUTED_VALUE"""),"")</f>
        <v/>
      </c>
      <c r="R636" s="106" t="str">
        <f>IFERROR(__xludf.DUMMYFUNCTION("""COMPUTED_VALUE"""),"")</f>
        <v/>
      </c>
      <c r="S636" s="106" t="str">
        <f>IFERROR(__xludf.DUMMYFUNCTION("""COMPUTED_VALUE"""),"")</f>
        <v/>
      </c>
      <c r="T636" s="139" t="str">
        <f>IFERROR(__xludf.DUMMYFUNCTION("""COMPUTED_VALUE"""),"")</f>
        <v/>
      </c>
      <c r="U636" s="139" t="str">
        <f>IFERROR(__xludf.DUMMYFUNCTION("""COMPUTED_VALUE"""),"")</f>
        <v/>
      </c>
      <c r="V636" s="136" t="str">
        <f>IFERROR(__xludf.DUMMYFUNCTION("""COMPUTED_VALUE"""),"")</f>
        <v/>
      </c>
      <c r="W636" s="106" t="str">
        <f>IFERROR(__xludf.DUMMYFUNCTION("""COMPUTED_VALUE"""),"")</f>
        <v/>
      </c>
      <c r="X636" s="143" t="str">
        <f t="shared" si="2"/>
        <v/>
      </c>
      <c r="Y636" s="139" t="str">
        <f>IFERROR(__xludf.DUMMYFUNCTION("""COMPUTED_VALUE"""),"")</f>
        <v/>
      </c>
      <c r="Z636" s="141" t="str">
        <f>IFERROR(__xludf.DUMMYFUNCTION("""COMPUTED_VALUE"""),"")</f>
        <v/>
      </c>
    </row>
    <row r="637">
      <c r="C637" s="136" t="str">
        <f>IFERROR(__xludf.DUMMYFUNCTION("""COMPUTED_VALUE"""),"")</f>
        <v/>
      </c>
      <c r="D637" s="136" t="str">
        <f t="shared" si="3"/>
        <v/>
      </c>
      <c r="E637" s="152" t="str">
        <f>IFERROR(__xludf.DUMMYFUNCTION("""COMPUTED_VALUE"""),"")</f>
        <v/>
      </c>
      <c r="F637" s="106" t="s">
        <v>133</v>
      </c>
      <c r="G637" s="152" t="str">
        <f>IFERROR(__xludf.DUMMYFUNCTION("""COMPUTED_VALUE"""),"")</f>
        <v/>
      </c>
      <c r="H637" s="106" t="s">
        <v>133</v>
      </c>
      <c r="I637" s="136"/>
      <c r="J637" s="139" t="s">
        <v>133</v>
      </c>
      <c r="K637" s="136" t="s">
        <v>133</v>
      </c>
      <c r="L637" s="153" t="str">
        <f>IFERROR(__xludf.DUMMYFUNCTION("""COMPUTED_VALUE"""),"")</f>
        <v/>
      </c>
      <c r="M637" s="136" t="str">
        <f t="shared" si="1"/>
        <v/>
      </c>
      <c r="N637" s="136" t="str">
        <f>IFERROR(__xludf.DUMMYFUNCTION("""COMPUTED_VALUE"""),"")</f>
        <v/>
      </c>
      <c r="O637" s="141" t="s">
        <v>133</v>
      </c>
      <c r="P637" s="136" t="str">
        <f>IFERROR(__xludf.DUMMYFUNCTION("""COMPUTED_VALUE"""),"")</f>
        <v/>
      </c>
      <c r="Q637" s="136" t="str">
        <f>IFERROR(__xludf.DUMMYFUNCTION("""COMPUTED_VALUE"""),"")</f>
        <v/>
      </c>
      <c r="R637" s="106" t="str">
        <f>IFERROR(__xludf.DUMMYFUNCTION("""COMPUTED_VALUE"""),"")</f>
        <v/>
      </c>
      <c r="S637" s="106" t="str">
        <f>IFERROR(__xludf.DUMMYFUNCTION("""COMPUTED_VALUE"""),"")</f>
        <v/>
      </c>
      <c r="T637" s="139" t="str">
        <f>IFERROR(__xludf.DUMMYFUNCTION("""COMPUTED_VALUE"""),"")</f>
        <v/>
      </c>
      <c r="U637" s="139" t="str">
        <f>IFERROR(__xludf.DUMMYFUNCTION("""COMPUTED_VALUE"""),"")</f>
        <v/>
      </c>
      <c r="V637" s="136" t="str">
        <f>IFERROR(__xludf.DUMMYFUNCTION("""COMPUTED_VALUE"""),"")</f>
        <v/>
      </c>
      <c r="W637" s="106" t="str">
        <f>IFERROR(__xludf.DUMMYFUNCTION("""COMPUTED_VALUE"""),"")</f>
        <v/>
      </c>
      <c r="X637" s="143" t="str">
        <f t="shared" si="2"/>
        <v/>
      </c>
      <c r="Y637" s="139" t="str">
        <f>IFERROR(__xludf.DUMMYFUNCTION("""COMPUTED_VALUE"""),"")</f>
        <v/>
      </c>
      <c r="Z637" s="141" t="str">
        <f>IFERROR(__xludf.DUMMYFUNCTION("""COMPUTED_VALUE"""),"")</f>
        <v/>
      </c>
    </row>
    <row r="638">
      <c r="C638" s="136" t="str">
        <f>IFERROR(__xludf.DUMMYFUNCTION("""COMPUTED_VALUE"""),"")</f>
        <v/>
      </c>
      <c r="D638" s="136" t="str">
        <f t="shared" si="3"/>
        <v/>
      </c>
      <c r="E638" s="152" t="str">
        <f>IFERROR(__xludf.DUMMYFUNCTION("""COMPUTED_VALUE"""),"")</f>
        <v/>
      </c>
      <c r="F638" s="106" t="s">
        <v>133</v>
      </c>
      <c r="G638" s="152" t="str">
        <f>IFERROR(__xludf.DUMMYFUNCTION("""COMPUTED_VALUE"""),"")</f>
        <v/>
      </c>
      <c r="H638" s="106" t="s">
        <v>133</v>
      </c>
      <c r="I638" s="136"/>
      <c r="J638" s="139" t="s">
        <v>133</v>
      </c>
      <c r="K638" s="136" t="s">
        <v>133</v>
      </c>
      <c r="L638" s="153" t="str">
        <f>IFERROR(__xludf.DUMMYFUNCTION("""COMPUTED_VALUE"""),"")</f>
        <v/>
      </c>
      <c r="M638" s="136" t="str">
        <f t="shared" si="1"/>
        <v/>
      </c>
      <c r="N638" s="136" t="str">
        <f>IFERROR(__xludf.DUMMYFUNCTION("""COMPUTED_VALUE"""),"")</f>
        <v/>
      </c>
      <c r="O638" s="141" t="s">
        <v>133</v>
      </c>
      <c r="P638" s="136" t="str">
        <f>IFERROR(__xludf.DUMMYFUNCTION("""COMPUTED_VALUE"""),"")</f>
        <v/>
      </c>
      <c r="Q638" s="136" t="str">
        <f>IFERROR(__xludf.DUMMYFUNCTION("""COMPUTED_VALUE"""),"")</f>
        <v/>
      </c>
      <c r="R638" s="106" t="str">
        <f>IFERROR(__xludf.DUMMYFUNCTION("""COMPUTED_VALUE"""),"")</f>
        <v/>
      </c>
      <c r="S638" s="106" t="str">
        <f>IFERROR(__xludf.DUMMYFUNCTION("""COMPUTED_VALUE"""),"")</f>
        <v/>
      </c>
      <c r="T638" s="139" t="str">
        <f>IFERROR(__xludf.DUMMYFUNCTION("""COMPUTED_VALUE"""),"")</f>
        <v/>
      </c>
      <c r="U638" s="139" t="str">
        <f>IFERROR(__xludf.DUMMYFUNCTION("""COMPUTED_VALUE"""),"")</f>
        <v/>
      </c>
      <c r="V638" s="136" t="str">
        <f>IFERROR(__xludf.DUMMYFUNCTION("""COMPUTED_VALUE"""),"")</f>
        <v/>
      </c>
      <c r="W638" s="106" t="str">
        <f>IFERROR(__xludf.DUMMYFUNCTION("""COMPUTED_VALUE"""),"")</f>
        <v/>
      </c>
      <c r="X638" s="143" t="str">
        <f t="shared" si="2"/>
        <v/>
      </c>
      <c r="Y638" s="139" t="str">
        <f>IFERROR(__xludf.DUMMYFUNCTION("""COMPUTED_VALUE"""),"")</f>
        <v/>
      </c>
      <c r="Z638" s="141" t="str">
        <f>IFERROR(__xludf.DUMMYFUNCTION("""COMPUTED_VALUE"""),"")</f>
        <v/>
      </c>
    </row>
    <row r="639">
      <c r="C639" s="136" t="str">
        <f>IFERROR(__xludf.DUMMYFUNCTION("""COMPUTED_VALUE"""),"")</f>
        <v/>
      </c>
      <c r="D639" s="136" t="str">
        <f t="shared" si="3"/>
        <v/>
      </c>
      <c r="E639" s="152" t="str">
        <f>IFERROR(__xludf.DUMMYFUNCTION("""COMPUTED_VALUE"""),"")</f>
        <v/>
      </c>
      <c r="F639" s="106" t="s">
        <v>133</v>
      </c>
      <c r="G639" s="152" t="str">
        <f>IFERROR(__xludf.DUMMYFUNCTION("""COMPUTED_VALUE"""),"")</f>
        <v/>
      </c>
      <c r="H639" s="106" t="s">
        <v>133</v>
      </c>
      <c r="I639" s="136"/>
      <c r="J639" s="139" t="s">
        <v>133</v>
      </c>
      <c r="K639" s="136" t="s">
        <v>133</v>
      </c>
      <c r="L639" s="153" t="str">
        <f>IFERROR(__xludf.DUMMYFUNCTION("""COMPUTED_VALUE"""),"")</f>
        <v/>
      </c>
      <c r="M639" s="136" t="str">
        <f t="shared" si="1"/>
        <v/>
      </c>
      <c r="N639" s="136" t="str">
        <f>IFERROR(__xludf.DUMMYFUNCTION("""COMPUTED_VALUE"""),"")</f>
        <v/>
      </c>
      <c r="O639" s="141" t="s">
        <v>133</v>
      </c>
      <c r="P639" s="136" t="str">
        <f>IFERROR(__xludf.DUMMYFUNCTION("""COMPUTED_VALUE"""),"")</f>
        <v/>
      </c>
      <c r="Q639" s="136" t="str">
        <f>IFERROR(__xludf.DUMMYFUNCTION("""COMPUTED_VALUE"""),"")</f>
        <v/>
      </c>
      <c r="R639" s="106" t="str">
        <f>IFERROR(__xludf.DUMMYFUNCTION("""COMPUTED_VALUE"""),"")</f>
        <v/>
      </c>
      <c r="S639" s="106" t="str">
        <f>IFERROR(__xludf.DUMMYFUNCTION("""COMPUTED_VALUE"""),"")</f>
        <v/>
      </c>
      <c r="T639" s="139" t="str">
        <f>IFERROR(__xludf.DUMMYFUNCTION("""COMPUTED_VALUE"""),"")</f>
        <v/>
      </c>
      <c r="U639" s="139" t="str">
        <f>IFERROR(__xludf.DUMMYFUNCTION("""COMPUTED_VALUE"""),"")</f>
        <v/>
      </c>
      <c r="V639" s="136" t="str">
        <f>IFERROR(__xludf.DUMMYFUNCTION("""COMPUTED_VALUE"""),"")</f>
        <v/>
      </c>
      <c r="W639" s="106" t="str">
        <f>IFERROR(__xludf.DUMMYFUNCTION("""COMPUTED_VALUE"""),"")</f>
        <v/>
      </c>
      <c r="X639" s="143" t="str">
        <f t="shared" si="2"/>
        <v/>
      </c>
      <c r="Y639" s="139" t="str">
        <f>IFERROR(__xludf.DUMMYFUNCTION("""COMPUTED_VALUE"""),"")</f>
        <v/>
      </c>
      <c r="Z639" s="141" t="str">
        <f>IFERROR(__xludf.DUMMYFUNCTION("""COMPUTED_VALUE"""),"")</f>
        <v/>
      </c>
    </row>
    <row r="640">
      <c r="C640" s="136" t="str">
        <f>IFERROR(__xludf.DUMMYFUNCTION("""COMPUTED_VALUE"""),"")</f>
        <v/>
      </c>
      <c r="D640" s="136" t="str">
        <f t="shared" si="3"/>
        <v/>
      </c>
      <c r="E640" s="152" t="str">
        <f>IFERROR(__xludf.DUMMYFUNCTION("""COMPUTED_VALUE"""),"")</f>
        <v/>
      </c>
      <c r="F640" s="106" t="s">
        <v>133</v>
      </c>
      <c r="G640" s="152" t="str">
        <f>IFERROR(__xludf.DUMMYFUNCTION("""COMPUTED_VALUE"""),"")</f>
        <v/>
      </c>
      <c r="H640" s="106" t="s">
        <v>133</v>
      </c>
      <c r="I640" s="136"/>
      <c r="J640" s="139" t="s">
        <v>133</v>
      </c>
      <c r="K640" s="136" t="s">
        <v>133</v>
      </c>
      <c r="L640" s="153" t="str">
        <f>IFERROR(__xludf.DUMMYFUNCTION("""COMPUTED_VALUE"""),"")</f>
        <v/>
      </c>
      <c r="M640" s="136" t="str">
        <f t="shared" si="1"/>
        <v/>
      </c>
      <c r="N640" s="136" t="str">
        <f>IFERROR(__xludf.DUMMYFUNCTION("""COMPUTED_VALUE"""),"")</f>
        <v/>
      </c>
      <c r="O640" s="141" t="s">
        <v>133</v>
      </c>
      <c r="P640" s="136" t="str">
        <f>IFERROR(__xludf.DUMMYFUNCTION("""COMPUTED_VALUE"""),"")</f>
        <v/>
      </c>
      <c r="Q640" s="136" t="str">
        <f>IFERROR(__xludf.DUMMYFUNCTION("""COMPUTED_VALUE"""),"")</f>
        <v/>
      </c>
      <c r="R640" s="106" t="str">
        <f>IFERROR(__xludf.DUMMYFUNCTION("""COMPUTED_VALUE"""),"")</f>
        <v/>
      </c>
      <c r="S640" s="106" t="str">
        <f>IFERROR(__xludf.DUMMYFUNCTION("""COMPUTED_VALUE"""),"")</f>
        <v/>
      </c>
      <c r="T640" s="139" t="str">
        <f>IFERROR(__xludf.DUMMYFUNCTION("""COMPUTED_VALUE"""),"")</f>
        <v/>
      </c>
      <c r="U640" s="139" t="str">
        <f>IFERROR(__xludf.DUMMYFUNCTION("""COMPUTED_VALUE"""),"")</f>
        <v/>
      </c>
      <c r="V640" s="136" t="str">
        <f>IFERROR(__xludf.DUMMYFUNCTION("""COMPUTED_VALUE"""),"")</f>
        <v/>
      </c>
      <c r="W640" s="106" t="str">
        <f>IFERROR(__xludf.DUMMYFUNCTION("""COMPUTED_VALUE"""),"")</f>
        <v/>
      </c>
      <c r="X640" s="143" t="str">
        <f t="shared" si="2"/>
        <v/>
      </c>
      <c r="Y640" s="139" t="str">
        <f>IFERROR(__xludf.DUMMYFUNCTION("""COMPUTED_VALUE"""),"")</f>
        <v/>
      </c>
      <c r="Z640" s="141" t="str">
        <f>IFERROR(__xludf.DUMMYFUNCTION("""COMPUTED_VALUE"""),"")</f>
        <v/>
      </c>
    </row>
    <row r="641">
      <c r="C641" s="136" t="str">
        <f>IFERROR(__xludf.DUMMYFUNCTION("""COMPUTED_VALUE"""),"")</f>
        <v/>
      </c>
      <c r="D641" s="136" t="str">
        <f t="shared" si="3"/>
        <v/>
      </c>
      <c r="E641" s="152" t="str">
        <f>IFERROR(__xludf.DUMMYFUNCTION("""COMPUTED_VALUE"""),"")</f>
        <v/>
      </c>
      <c r="F641" s="106" t="s">
        <v>133</v>
      </c>
      <c r="G641" s="152" t="str">
        <f>IFERROR(__xludf.DUMMYFUNCTION("""COMPUTED_VALUE"""),"")</f>
        <v/>
      </c>
      <c r="H641" s="106" t="s">
        <v>133</v>
      </c>
      <c r="I641" s="136"/>
      <c r="J641" s="139" t="s">
        <v>133</v>
      </c>
      <c r="K641" s="136" t="s">
        <v>133</v>
      </c>
      <c r="L641" s="153" t="str">
        <f>IFERROR(__xludf.DUMMYFUNCTION("""COMPUTED_VALUE"""),"")</f>
        <v/>
      </c>
      <c r="M641" s="136" t="str">
        <f t="shared" si="1"/>
        <v/>
      </c>
      <c r="N641" s="136" t="str">
        <f>IFERROR(__xludf.DUMMYFUNCTION("""COMPUTED_VALUE"""),"")</f>
        <v/>
      </c>
      <c r="O641" s="141" t="s">
        <v>133</v>
      </c>
      <c r="P641" s="136" t="str">
        <f>IFERROR(__xludf.DUMMYFUNCTION("""COMPUTED_VALUE"""),"")</f>
        <v/>
      </c>
      <c r="Q641" s="136" t="str">
        <f>IFERROR(__xludf.DUMMYFUNCTION("""COMPUTED_VALUE"""),"")</f>
        <v/>
      </c>
      <c r="R641" s="106" t="str">
        <f>IFERROR(__xludf.DUMMYFUNCTION("""COMPUTED_VALUE"""),"")</f>
        <v/>
      </c>
      <c r="S641" s="106" t="str">
        <f>IFERROR(__xludf.DUMMYFUNCTION("""COMPUTED_VALUE"""),"")</f>
        <v/>
      </c>
      <c r="T641" s="139" t="str">
        <f>IFERROR(__xludf.DUMMYFUNCTION("""COMPUTED_VALUE"""),"")</f>
        <v/>
      </c>
      <c r="U641" s="139" t="str">
        <f>IFERROR(__xludf.DUMMYFUNCTION("""COMPUTED_VALUE"""),"")</f>
        <v/>
      </c>
      <c r="V641" s="136" t="str">
        <f>IFERROR(__xludf.DUMMYFUNCTION("""COMPUTED_VALUE"""),"")</f>
        <v/>
      </c>
      <c r="W641" s="106" t="str">
        <f>IFERROR(__xludf.DUMMYFUNCTION("""COMPUTED_VALUE"""),"")</f>
        <v/>
      </c>
      <c r="X641" s="143" t="str">
        <f t="shared" si="2"/>
        <v/>
      </c>
      <c r="Y641" s="139" t="str">
        <f>IFERROR(__xludf.DUMMYFUNCTION("""COMPUTED_VALUE"""),"")</f>
        <v/>
      </c>
      <c r="Z641" s="141" t="str">
        <f>IFERROR(__xludf.DUMMYFUNCTION("""COMPUTED_VALUE"""),"")</f>
        <v/>
      </c>
    </row>
    <row r="642">
      <c r="C642" s="136" t="str">
        <f>IFERROR(__xludf.DUMMYFUNCTION("""COMPUTED_VALUE"""),"")</f>
        <v/>
      </c>
      <c r="D642" s="136" t="str">
        <f t="shared" si="3"/>
        <v/>
      </c>
      <c r="E642" s="152" t="str">
        <f>IFERROR(__xludf.DUMMYFUNCTION("""COMPUTED_VALUE"""),"")</f>
        <v/>
      </c>
      <c r="F642" s="106" t="s">
        <v>133</v>
      </c>
      <c r="G642" s="152" t="str">
        <f>IFERROR(__xludf.DUMMYFUNCTION("""COMPUTED_VALUE"""),"")</f>
        <v/>
      </c>
      <c r="H642" s="106" t="s">
        <v>133</v>
      </c>
      <c r="I642" s="136"/>
      <c r="J642" s="139" t="s">
        <v>133</v>
      </c>
      <c r="K642" s="136" t="s">
        <v>133</v>
      </c>
      <c r="L642" s="153" t="str">
        <f>IFERROR(__xludf.DUMMYFUNCTION("""COMPUTED_VALUE"""),"")</f>
        <v/>
      </c>
      <c r="M642" s="136" t="str">
        <f t="shared" si="1"/>
        <v/>
      </c>
      <c r="N642" s="136" t="str">
        <f>IFERROR(__xludf.DUMMYFUNCTION("""COMPUTED_VALUE"""),"")</f>
        <v/>
      </c>
      <c r="O642" s="141" t="s">
        <v>133</v>
      </c>
      <c r="P642" s="136" t="str">
        <f>IFERROR(__xludf.DUMMYFUNCTION("""COMPUTED_VALUE"""),"")</f>
        <v/>
      </c>
      <c r="Q642" s="136" t="str">
        <f>IFERROR(__xludf.DUMMYFUNCTION("""COMPUTED_VALUE"""),"")</f>
        <v/>
      </c>
      <c r="R642" s="106" t="str">
        <f>IFERROR(__xludf.DUMMYFUNCTION("""COMPUTED_VALUE"""),"")</f>
        <v/>
      </c>
      <c r="S642" s="106" t="str">
        <f>IFERROR(__xludf.DUMMYFUNCTION("""COMPUTED_VALUE"""),"")</f>
        <v/>
      </c>
      <c r="T642" s="139" t="str">
        <f>IFERROR(__xludf.DUMMYFUNCTION("""COMPUTED_VALUE"""),"")</f>
        <v/>
      </c>
      <c r="U642" s="139" t="str">
        <f>IFERROR(__xludf.DUMMYFUNCTION("""COMPUTED_VALUE"""),"")</f>
        <v/>
      </c>
      <c r="V642" s="136" t="str">
        <f>IFERROR(__xludf.DUMMYFUNCTION("""COMPUTED_VALUE"""),"")</f>
        <v/>
      </c>
      <c r="W642" s="106" t="str">
        <f>IFERROR(__xludf.DUMMYFUNCTION("""COMPUTED_VALUE"""),"")</f>
        <v/>
      </c>
      <c r="X642" s="143" t="str">
        <f t="shared" si="2"/>
        <v/>
      </c>
      <c r="Y642" s="139" t="str">
        <f>IFERROR(__xludf.DUMMYFUNCTION("""COMPUTED_VALUE"""),"")</f>
        <v/>
      </c>
      <c r="Z642" s="141" t="str">
        <f>IFERROR(__xludf.DUMMYFUNCTION("""COMPUTED_VALUE"""),"")</f>
        <v/>
      </c>
    </row>
    <row r="643">
      <c r="C643" s="136" t="str">
        <f>IFERROR(__xludf.DUMMYFUNCTION("""COMPUTED_VALUE"""),"")</f>
        <v/>
      </c>
      <c r="D643" s="136" t="str">
        <f t="shared" si="3"/>
        <v/>
      </c>
      <c r="E643" s="152" t="str">
        <f>IFERROR(__xludf.DUMMYFUNCTION("""COMPUTED_VALUE"""),"")</f>
        <v/>
      </c>
      <c r="F643" s="106" t="s">
        <v>133</v>
      </c>
      <c r="G643" s="152" t="str">
        <f>IFERROR(__xludf.DUMMYFUNCTION("""COMPUTED_VALUE"""),"")</f>
        <v/>
      </c>
      <c r="H643" s="106" t="s">
        <v>133</v>
      </c>
      <c r="I643" s="136"/>
      <c r="J643" s="139" t="s">
        <v>133</v>
      </c>
      <c r="K643" s="136" t="s">
        <v>133</v>
      </c>
      <c r="L643" s="153" t="str">
        <f>IFERROR(__xludf.DUMMYFUNCTION("""COMPUTED_VALUE"""),"")</f>
        <v/>
      </c>
      <c r="M643" s="136" t="str">
        <f t="shared" si="1"/>
        <v/>
      </c>
      <c r="N643" s="136" t="str">
        <f>IFERROR(__xludf.DUMMYFUNCTION("""COMPUTED_VALUE"""),"")</f>
        <v/>
      </c>
      <c r="O643" s="141" t="s">
        <v>133</v>
      </c>
      <c r="P643" s="136" t="str">
        <f>IFERROR(__xludf.DUMMYFUNCTION("""COMPUTED_VALUE"""),"")</f>
        <v/>
      </c>
      <c r="Q643" s="136" t="str">
        <f>IFERROR(__xludf.DUMMYFUNCTION("""COMPUTED_VALUE"""),"")</f>
        <v/>
      </c>
      <c r="R643" s="106" t="str">
        <f>IFERROR(__xludf.DUMMYFUNCTION("""COMPUTED_VALUE"""),"")</f>
        <v/>
      </c>
      <c r="S643" s="106" t="str">
        <f>IFERROR(__xludf.DUMMYFUNCTION("""COMPUTED_VALUE"""),"")</f>
        <v/>
      </c>
      <c r="T643" s="139" t="str">
        <f>IFERROR(__xludf.DUMMYFUNCTION("""COMPUTED_VALUE"""),"")</f>
        <v/>
      </c>
      <c r="U643" s="139" t="str">
        <f>IFERROR(__xludf.DUMMYFUNCTION("""COMPUTED_VALUE"""),"")</f>
        <v/>
      </c>
      <c r="V643" s="136" t="str">
        <f>IFERROR(__xludf.DUMMYFUNCTION("""COMPUTED_VALUE"""),"")</f>
        <v/>
      </c>
      <c r="W643" s="106" t="str">
        <f>IFERROR(__xludf.DUMMYFUNCTION("""COMPUTED_VALUE"""),"")</f>
        <v/>
      </c>
      <c r="X643" s="143" t="str">
        <f t="shared" si="2"/>
        <v/>
      </c>
      <c r="Y643" s="139" t="str">
        <f>IFERROR(__xludf.DUMMYFUNCTION("""COMPUTED_VALUE"""),"")</f>
        <v/>
      </c>
      <c r="Z643" s="141" t="str">
        <f>IFERROR(__xludf.DUMMYFUNCTION("""COMPUTED_VALUE"""),"")</f>
        <v/>
      </c>
    </row>
    <row r="644">
      <c r="C644" s="136" t="str">
        <f>IFERROR(__xludf.DUMMYFUNCTION("""COMPUTED_VALUE"""),"")</f>
        <v/>
      </c>
      <c r="D644" s="136" t="str">
        <f t="shared" si="3"/>
        <v/>
      </c>
      <c r="E644" s="152" t="str">
        <f>IFERROR(__xludf.DUMMYFUNCTION("""COMPUTED_VALUE"""),"")</f>
        <v/>
      </c>
      <c r="F644" s="106" t="s">
        <v>133</v>
      </c>
      <c r="G644" s="152" t="str">
        <f>IFERROR(__xludf.DUMMYFUNCTION("""COMPUTED_VALUE"""),"")</f>
        <v/>
      </c>
      <c r="H644" s="106" t="s">
        <v>133</v>
      </c>
      <c r="I644" s="136"/>
      <c r="J644" s="139" t="s">
        <v>133</v>
      </c>
      <c r="K644" s="136" t="s">
        <v>133</v>
      </c>
      <c r="L644" s="153" t="str">
        <f>IFERROR(__xludf.DUMMYFUNCTION("""COMPUTED_VALUE"""),"")</f>
        <v/>
      </c>
      <c r="M644" s="136" t="str">
        <f t="shared" si="1"/>
        <v/>
      </c>
      <c r="N644" s="136" t="str">
        <f>IFERROR(__xludf.DUMMYFUNCTION("""COMPUTED_VALUE"""),"")</f>
        <v/>
      </c>
      <c r="O644" s="141" t="s">
        <v>133</v>
      </c>
      <c r="P644" s="136" t="str">
        <f>IFERROR(__xludf.DUMMYFUNCTION("""COMPUTED_VALUE"""),"")</f>
        <v/>
      </c>
      <c r="Q644" s="136" t="str">
        <f>IFERROR(__xludf.DUMMYFUNCTION("""COMPUTED_VALUE"""),"")</f>
        <v/>
      </c>
      <c r="R644" s="106" t="str">
        <f>IFERROR(__xludf.DUMMYFUNCTION("""COMPUTED_VALUE"""),"")</f>
        <v/>
      </c>
      <c r="S644" s="106" t="str">
        <f>IFERROR(__xludf.DUMMYFUNCTION("""COMPUTED_VALUE"""),"")</f>
        <v/>
      </c>
      <c r="T644" s="139" t="str">
        <f>IFERROR(__xludf.DUMMYFUNCTION("""COMPUTED_VALUE"""),"")</f>
        <v/>
      </c>
      <c r="U644" s="139" t="str">
        <f>IFERROR(__xludf.DUMMYFUNCTION("""COMPUTED_VALUE"""),"")</f>
        <v/>
      </c>
      <c r="V644" s="136" t="str">
        <f>IFERROR(__xludf.DUMMYFUNCTION("""COMPUTED_VALUE"""),"")</f>
        <v/>
      </c>
      <c r="W644" s="106" t="str">
        <f>IFERROR(__xludf.DUMMYFUNCTION("""COMPUTED_VALUE"""),"")</f>
        <v/>
      </c>
      <c r="X644" s="143" t="str">
        <f t="shared" si="2"/>
        <v/>
      </c>
      <c r="Y644" s="139" t="str">
        <f>IFERROR(__xludf.DUMMYFUNCTION("""COMPUTED_VALUE"""),"")</f>
        <v/>
      </c>
      <c r="Z644" s="141" t="str">
        <f>IFERROR(__xludf.DUMMYFUNCTION("""COMPUTED_VALUE"""),"")</f>
        <v/>
      </c>
    </row>
    <row r="645">
      <c r="C645" s="136" t="str">
        <f>IFERROR(__xludf.DUMMYFUNCTION("""COMPUTED_VALUE"""),"")</f>
        <v/>
      </c>
      <c r="D645" s="136" t="str">
        <f t="shared" si="3"/>
        <v/>
      </c>
      <c r="E645" s="152" t="str">
        <f>IFERROR(__xludf.DUMMYFUNCTION("""COMPUTED_VALUE"""),"")</f>
        <v/>
      </c>
      <c r="F645" s="106" t="s">
        <v>133</v>
      </c>
      <c r="G645" s="152" t="str">
        <f>IFERROR(__xludf.DUMMYFUNCTION("""COMPUTED_VALUE"""),"")</f>
        <v/>
      </c>
      <c r="H645" s="106" t="s">
        <v>133</v>
      </c>
      <c r="I645" s="136"/>
      <c r="J645" s="139" t="s">
        <v>133</v>
      </c>
      <c r="K645" s="136" t="s">
        <v>133</v>
      </c>
      <c r="L645" s="153" t="str">
        <f>IFERROR(__xludf.DUMMYFUNCTION("""COMPUTED_VALUE"""),"")</f>
        <v/>
      </c>
      <c r="M645" s="136" t="str">
        <f t="shared" si="1"/>
        <v/>
      </c>
      <c r="N645" s="136" t="str">
        <f>IFERROR(__xludf.DUMMYFUNCTION("""COMPUTED_VALUE"""),"")</f>
        <v/>
      </c>
      <c r="O645" s="141" t="s">
        <v>133</v>
      </c>
      <c r="P645" s="136" t="str">
        <f>IFERROR(__xludf.DUMMYFUNCTION("""COMPUTED_VALUE"""),"")</f>
        <v/>
      </c>
      <c r="Q645" s="136" t="str">
        <f>IFERROR(__xludf.DUMMYFUNCTION("""COMPUTED_VALUE"""),"")</f>
        <v/>
      </c>
      <c r="R645" s="106" t="str">
        <f>IFERROR(__xludf.DUMMYFUNCTION("""COMPUTED_VALUE"""),"")</f>
        <v/>
      </c>
      <c r="S645" s="106" t="str">
        <f>IFERROR(__xludf.DUMMYFUNCTION("""COMPUTED_VALUE"""),"")</f>
        <v/>
      </c>
      <c r="T645" s="139" t="str">
        <f>IFERROR(__xludf.DUMMYFUNCTION("""COMPUTED_VALUE"""),"")</f>
        <v/>
      </c>
      <c r="U645" s="139" t="str">
        <f>IFERROR(__xludf.DUMMYFUNCTION("""COMPUTED_VALUE"""),"")</f>
        <v/>
      </c>
      <c r="V645" s="136" t="str">
        <f>IFERROR(__xludf.DUMMYFUNCTION("""COMPUTED_VALUE"""),"")</f>
        <v/>
      </c>
      <c r="W645" s="106" t="str">
        <f>IFERROR(__xludf.DUMMYFUNCTION("""COMPUTED_VALUE"""),"")</f>
        <v/>
      </c>
      <c r="X645" s="143" t="str">
        <f t="shared" si="2"/>
        <v/>
      </c>
      <c r="Y645" s="139" t="str">
        <f>IFERROR(__xludf.DUMMYFUNCTION("""COMPUTED_VALUE"""),"")</f>
        <v/>
      </c>
      <c r="Z645" s="141" t="str">
        <f>IFERROR(__xludf.DUMMYFUNCTION("""COMPUTED_VALUE"""),"")</f>
        <v/>
      </c>
    </row>
    <row r="646">
      <c r="C646" s="136" t="str">
        <f>IFERROR(__xludf.DUMMYFUNCTION("""COMPUTED_VALUE"""),"")</f>
        <v/>
      </c>
      <c r="D646" s="136" t="str">
        <f t="shared" si="3"/>
        <v/>
      </c>
      <c r="E646" s="152" t="str">
        <f>IFERROR(__xludf.DUMMYFUNCTION("""COMPUTED_VALUE"""),"")</f>
        <v/>
      </c>
      <c r="F646" s="106" t="s">
        <v>133</v>
      </c>
      <c r="G646" s="152" t="str">
        <f>IFERROR(__xludf.DUMMYFUNCTION("""COMPUTED_VALUE"""),"")</f>
        <v/>
      </c>
      <c r="H646" s="106" t="s">
        <v>133</v>
      </c>
      <c r="I646" s="136"/>
      <c r="J646" s="139" t="s">
        <v>133</v>
      </c>
      <c r="K646" s="136" t="s">
        <v>133</v>
      </c>
      <c r="L646" s="153" t="str">
        <f>IFERROR(__xludf.DUMMYFUNCTION("""COMPUTED_VALUE"""),"")</f>
        <v/>
      </c>
      <c r="M646" s="136" t="str">
        <f t="shared" si="1"/>
        <v/>
      </c>
      <c r="N646" s="136" t="str">
        <f>IFERROR(__xludf.DUMMYFUNCTION("""COMPUTED_VALUE"""),"")</f>
        <v/>
      </c>
      <c r="O646" s="141" t="s">
        <v>133</v>
      </c>
      <c r="P646" s="136" t="str">
        <f>IFERROR(__xludf.DUMMYFUNCTION("""COMPUTED_VALUE"""),"")</f>
        <v/>
      </c>
      <c r="Q646" s="136" t="str">
        <f>IFERROR(__xludf.DUMMYFUNCTION("""COMPUTED_VALUE"""),"")</f>
        <v/>
      </c>
      <c r="R646" s="106" t="str">
        <f>IFERROR(__xludf.DUMMYFUNCTION("""COMPUTED_VALUE"""),"")</f>
        <v/>
      </c>
      <c r="S646" s="106" t="str">
        <f>IFERROR(__xludf.DUMMYFUNCTION("""COMPUTED_VALUE"""),"")</f>
        <v/>
      </c>
      <c r="T646" s="139" t="str">
        <f>IFERROR(__xludf.DUMMYFUNCTION("""COMPUTED_VALUE"""),"")</f>
        <v/>
      </c>
      <c r="U646" s="139" t="str">
        <f>IFERROR(__xludf.DUMMYFUNCTION("""COMPUTED_VALUE"""),"")</f>
        <v/>
      </c>
      <c r="V646" s="136" t="str">
        <f>IFERROR(__xludf.DUMMYFUNCTION("""COMPUTED_VALUE"""),"")</f>
        <v/>
      </c>
      <c r="W646" s="106" t="str">
        <f>IFERROR(__xludf.DUMMYFUNCTION("""COMPUTED_VALUE"""),"")</f>
        <v/>
      </c>
      <c r="X646" s="143" t="str">
        <f t="shared" si="2"/>
        <v/>
      </c>
      <c r="Y646" s="139" t="str">
        <f>IFERROR(__xludf.DUMMYFUNCTION("""COMPUTED_VALUE"""),"")</f>
        <v/>
      </c>
      <c r="Z646" s="141" t="str">
        <f>IFERROR(__xludf.DUMMYFUNCTION("""COMPUTED_VALUE"""),"")</f>
        <v/>
      </c>
    </row>
    <row r="647">
      <c r="C647" s="136" t="str">
        <f>IFERROR(__xludf.DUMMYFUNCTION("""COMPUTED_VALUE"""),"")</f>
        <v/>
      </c>
      <c r="D647" s="136" t="str">
        <f t="shared" si="3"/>
        <v/>
      </c>
      <c r="E647" s="152" t="str">
        <f>IFERROR(__xludf.DUMMYFUNCTION("""COMPUTED_VALUE"""),"")</f>
        <v/>
      </c>
      <c r="F647" s="106" t="s">
        <v>133</v>
      </c>
      <c r="G647" s="152" t="str">
        <f>IFERROR(__xludf.DUMMYFUNCTION("""COMPUTED_VALUE"""),"")</f>
        <v/>
      </c>
      <c r="H647" s="106" t="s">
        <v>133</v>
      </c>
      <c r="I647" s="136"/>
      <c r="J647" s="139" t="s">
        <v>133</v>
      </c>
      <c r="K647" s="136" t="s">
        <v>133</v>
      </c>
      <c r="L647" s="153" t="str">
        <f>IFERROR(__xludf.DUMMYFUNCTION("""COMPUTED_VALUE"""),"")</f>
        <v/>
      </c>
      <c r="M647" s="136" t="str">
        <f t="shared" si="1"/>
        <v/>
      </c>
      <c r="N647" s="136" t="str">
        <f>IFERROR(__xludf.DUMMYFUNCTION("""COMPUTED_VALUE"""),"")</f>
        <v/>
      </c>
      <c r="O647" s="141" t="s">
        <v>133</v>
      </c>
      <c r="P647" s="136" t="str">
        <f>IFERROR(__xludf.DUMMYFUNCTION("""COMPUTED_VALUE"""),"")</f>
        <v/>
      </c>
      <c r="Q647" s="136" t="str">
        <f>IFERROR(__xludf.DUMMYFUNCTION("""COMPUTED_VALUE"""),"")</f>
        <v/>
      </c>
      <c r="R647" s="106" t="str">
        <f>IFERROR(__xludf.DUMMYFUNCTION("""COMPUTED_VALUE"""),"")</f>
        <v/>
      </c>
      <c r="S647" s="106" t="str">
        <f>IFERROR(__xludf.DUMMYFUNCTION("""COMPUTED_VALUE"""),"")</f>
        <v/>
      </c>
      <c r="T647" s="139" t="str">
        <f>IFERROR(__xludf.DUMMYFUNCTION("""COMPUTED_VALUE"""),"")</f>
        <v/>
      </c>
      <c r="U647" s="139" t="str">
        <f>IFERROR(__xludf.DUMMYFUNCTION("""COMPUTED_VALUE"""),"")</f>
        <v/>
      </c>
      <c r="V647" s="136" t="str">
        <f>IFERROR(__xludf.DUMMYFUNCTION("""COMPUTED_VALUE"""),"")</f>
        <v/>
      </c>
      <c r="W647" s="106" t="str">
        <f>IFERROR(__xludf.DUMMYFUNCTION("""COMPUTED_VALUE"""),"")</f>
        <v/>
      </c>
      <c r="X647" s="143" t="str">
        <f t="shared" si="2"/>
        <v/>
      </c>
      <c r="Y647" s="139" t="str">
        <f>IFERROR(__xludf.DUMMYFUNCTION("""COMPUTED_VALUE"""),"")</f>
        <v/>
      </c>
      <c r="Z647" s="141" t="str">
        <f>IFERROR(__xludf.DUMMYFUNCTION("""COMPUTED_VALUE"""),"")</f>
        <v/>
      </c>
    </row>
    <row r="648">
      <c r="C648" s="136" t="str">
        <f>IFERROR(__xludf.DUMMYFUNCTION("""COMPUTED_VALUE"""),"")</f>
        <v/>
      </c>
      <c r="D648" s="136" t="str">
        <f t="shared" si="3"/>
        <v/>
      </c>
      <c r="E648" s="152" t="str">
        <f>IFERROR(__xludf.DUMMYFUNCTION("""COMPUTED_VALUE"""),"")</f>
        <v/>
      </c>
      <c r="F648" s="106" t="s">
        <v>133</v>
      </c>
      <c r="G648" s="152" t="str">
        <f>IFERROR(__xludf.DUMMYFUNCTION("""COMPUTED_VALUE"""),"")</f>
        <v/>
      </c>
      <c r="H648" s="106" t="s">
        <v>133</v>
      </c>
      <c r="I648" s="136"/>
      <c r="J648" s="139" t="s">
        <v>133</v>
      </c>
      <c r="K648" s="136" t="s">
        <v>133</v>
      </c>
      <c r="L648" s="153" t="str">
        <f>IFERROR(__xludf.DUMMYFUNCTION("""COMPUTED_VALUE"""),"")</f>
        <v/>
      </c>
      <c r="M648" s="136" t="str">
        <f t="shared" si="1"/>
        <v/>
      </c>
      <c r="N648" s="136" t="str">
        <f>IFERROR(__xludf.DUMMYFUNCTION("""COMPUTED_VALUE"""),"")</f>
        <v/>
      </c>
      <c r="O648" s="141" t="s">
        <v>133</v>
      </c>
      <c r="P648" s="136" t="str">
        <f>IFERROR(__xludf.DUMMYFUNCTION("""COMPUTED_VALUE"""),"")</f>
        <v/>
      </c>
      <c r="Q648" s="136" t="str">
        <f>IFERROR(__xludf.DUMMYFUNCTION("""COMPUTED_VALUE"""),"")</f>
        <v/>
      </c>
      <c r="R648" s="106" t="str">
        <f>IFERROR(__xludf.DUMMYFUNCTION("""COMPUTED_VALUE"""),"")</f>
        <v/>
      </c>
      <c r="S648" s="106" t="str">
        <f>IFERROR(__xludf.DUMMYFUNCTION("""COMPUTED_VALUE"""),"")</f>
        <v/>
      </c>
      <c r="T648" s="139" t="str">
        <f>IFERROR(__xludf.DUMMYFUNCTION("""COMPUTED_VALUE"""),"")</f>
        <v/>
      </c>
      <c r="U648" s="139" t="str">
        <f>IFERROR(__xludf.DUMMYFUNCTION("""COMPUTED_VALUE"""),"")</f>
        <v/>
      </c>
      <c r="V648" s="136" t="str">
        <f>IFERROR(__xludf.DUMMYFUNCTION("""COMPUTED_VALUE"""),"")</f>
        <v/>
      </c>
      <c r="W648" s="106" t="str">
        <f>IFERROR(__xludf.DUMMYFUNCTION("""COMPUTED_VALUE"""),"")</f>
        <v/>
      </c>
      <c r="X648" s="143" t="str">
        <f t="shared" si="2"/>
        <v/>
      </c>
      <c r="Y648" s="139" t="str">
        <f>IFERROR(__xludf.DUMMYFUNCTION("""COMPUTED_VALUE"""),"")</f>
        <v/>
      </c>
      <c r="Z648" s="141" t="str">
        <f>IFERROR(__xludf.DUMMYFUNCTION("""COMPUTED_VALUE"""),"")</f>
        <v/>
      </c>
    </row>
    <row r="649">
      <c r="C649" s="136" t="str">
        <f>IFERROR(__xludf.DUMMYFUNCTION("""COMPUTED_VALUE"""),"")</f>
        <v/>
      </c>
      <c r="D649" s="136" t="str">
        <f t="shared" si="3"/>
        <v/>
      </c>
      <c r="E649" s="152" t="str">
        <f>IFERROR(__xludf.DUMMYFUNCTION("""COMPUTED_VALUE"""),"")</f>
        <v/>
      </c>
      <c r="F649" s="106" t="s">
        <v>133</v>
      </c>
      <c r="G649" s="152" t="str">
        <f>IFERROR(__xludf.DUMMYFUNCTION("""COMPUTED_VALUE"""),"")</f>
        <v/>
      </c>
      <c r="H649" s="106" t="s">
        <v>133</v>
      </c>
      <c r="I649" s="136"/>
      <c r="J649" s="139" t="s">
        <v>133</v>
      </c>
      <c r="K649" s="136" t="s">
        <v>133</v>
      </c>
      <c r="L649" s="153" t="str">
        <f>IFERROR(__xludf.DUMMYFUNCTION("""COMPUTED_VALUE"""),"")</f>
        <v/>
      </c>
      <c r="M649" s="136" t="str">
        <f t="shared" si="1"/>
        <v/>
      </c>
      <c r="N649" s="136" t="str">
        <f>IFERROR(__xludf.DUMMYFUNCTION("""COMPUTED_VALUE"""),"")</f>
        <v/>
      </c>
      <c r="O649" s="141" t="s">
        <v>133</v>
      </c>
      <c r="P649" s="136" t="str">
        <f>IFERROR(__xludf.DUMMYFUNCTION("""COMPUTED_VALUE"""),"")</f>
        <v/>
      </c>
      <c r="Q649" s="136" t="str">
        <f>IFERROR(__xludf.DUMMYFUNCTION("""COMPUTED_VALUE"""),"")</f>
        <v/>
      </c>
      <c r="R649" s="106" t="str">
        <f>IFERROR(__xludf.DUMMYFUNCTION("""COMPUTED_VALUE"""),"")</f>
        <v/>
      </c>
      <c r="S649" s="106" t="str">
        <f>IFERROR(__xludf.DUMMYFUNCTION("""COMPUTED_VALUE"""),"")</f>
        <v/>
      </c>
      <c r="T649" s="139" t="str">
        <f>IFERROR(__xludf.DUMMYFUNCTION("""COMPUTED_VALUE"""),"")</f>
        <v/>
      </c>
      <c r="U649" s="139" t="str">
        <f>IFERROR(__xludf.DUMMYFUNCTION("""COMPUTED_VALUE"""),"")</f>
        <v/>
      </c>
      <c r="V649" s="136" t="str">
        <f>IFERROR(__xludf.DUMMYFUNCTION("""COMPUTED_VALUE"""),"")</f>
        <v/>
      </c>
      <c r="W649" s="106" t="str">
        <f>IFERROR(__xludf.DUMMYFUNCTION("""COMPUTED_VALUE"""),"")</f>
        <v/>
      </c>
      <c r="X649" s="143" t="str">
        <f t="shared" si="2"/>
        <v/>
      </c>
      <c r="Y649" s="139" t="str">
        <f>IFERROR(__xludf.DUMMYFUNCTION("""COMPUTED_VALUE"""),"")</f>
        <v/>
      </c>
      <c r="Z649" s="141" t="str">
        <f>IFERROR(__xludf.DUMMYFUNCTION("""COMPUTED_VALUE"""),"")</f>
        <v/>
      </c>
    </row>
    <row r="650">
      <c r="C650" s="136" t="str">
        <f>IFERROR(__xludf.DUMMYFUNCTION("""COMPUTED_VALUE"""),"")</f>
        <v/>
      </c>
      <c r="D650" s="136" t="str">
        <f t="shared" si="3"/>
        <v/>
      </c>
      <c r="E650" s="152" t="str">
        <f>IFERROR(__xludf.DUMMYFUNCTION("""COMPUTED_VALUE"""),"")</f>
        <v/>
      </c>
      <c r="F650" s="106" t="s">
        <v>133</v>
      </c>
      <c r="G650" s="152" t="str">
        <f>IFERROR(__xludf.DUMMYFUNCTION("""COMPUTED_VALUE"""),"")</f>
        <v/>
      </c>
      <c r="H650" s="106" t="s">
        <v>133</v>
      </c>
      <c r="I650" s="136"/>
      <c r="J650" s="139" t="s">
        <v>133</v>
      </c>
      <c r="K650" s="136" t="s">
        <v>133</v>
      </c>
      <c r="L650" s="153" t="str">
        <f>IFERROR(__xludf.DUMMYFUNCTION("""COMPUTED_VALUE"""),"")</f>
        <v/>
      </c>
      <c r="M650" s="136" t="str">
        <f t="shared" si="1"/>
        <v/>
      </c>
      <c r="N650" s="136" t="str">
        <f>IFERROR(__xludf.DUMMYFUNCTION("""COMPUTED_VALUE"""),"")</f>
        <v/>
      </c>
      <c r="O650" s="141" t="s">
        <v>133</v>
      </c>
      <c r="P650" s="136" t="str">
        <f>IFERROR(__xludf.DUMMYFUNCTION("""COMPUTED_VALUE"""),"")</f>
        <v/>
      </c>
      <c r="Q650" s="136" t="str">
        <f>IFERROR(__xludf.DUMMYFUNCTION("""COMPUTED_VALUE"""),"")</f>
        <v/>
      </c>
      <c r="R650" s="106" t="str">
        <f>IFERROR(__xludf.DUMMYFUNCTION("""COMPUTED_VALUE"""),"")</f>
        <v/>
      </c>
      <c r="S650" s="106" t="str">
        <f>IFERROR(__xludf.DUMMYFUNCTION("""COMPUTED_VALUE"""),"")</f>
        <v/>
      </c>
      <c r="T650" s="139" t="str">
        <f>IFERROR(__xludf.DUMMYFUNCTION("""COMPUTED_VALUE"""),"")</f>
        <v/>
      </c>
      <c r="U650" s="139" t="str">
        <f>IFERROR(__xludf.DUMMYFUNCTION("""COMPUTED_VALUE"""),"")</f>
        <v/>
      </c>
      <c r="V650" s="136" t="str">
        <f>IFERROR(__xludf.DUMMYFUNCTION("""COMPUTED_VALUE"""),"")</f>
        <v/>
      </c>
      <c r="W650" s="106" t="str">
        <f>IFERROR(__xludf.DUMMYFUNCTION("""COMPUTED_VALUE"""),"")</f>
        <v/>
      </c>
      <c r="X650" s="143" t="str">
        <f t="shared" si="2"/>
        <v/>
      </c>
      <c r="Y650" s="139" t="str">
        <f>IFERROR(__xludf.DUMMYFUNCTION("""COMPUTED_VALUE"""),"")</f>
        <v/>
      </c>
      <c r="Z650" s="141" t="str">
        <f>IFERROR(__xludf.DUMMYFUNCTION("""COMPUTED_VALUE"""),"")</f>
        <v/>
      </c>
    </row>
    <row r="651">
      <c r="C651" s="136" t="str">
        <f>IFERROR(__xludf.DUMMYFUNCTION("""COMPUTED_VALUE"""),"")</f>
        <v/>
      </c>
      <c r="D651" s="136" t="str">
        <f t="shared" si="3"/>
        <v/>
      </c>
      <c r="E651" s="152" t="str">
        <f>IFERROR(__xludf.DUMMYFUNCTION("""COMPUTED_VALUE"""),"")</f>
        <v/>
      </c>
      <c r="F651" s="106" t="s">
        <v>133</v>
      </c>
      <c r="G651" s="152" t="str">
        <f>IFERROR(__xludf.DUMMYFUNCTION("""COMPUTED_VALUE"""),"")</f>
        <v/>
      </c>
      <c r="H651" s="106" t="s">
        <v>133</v>
      </c>
      <c r="I651" s="136"/>
      <c r="J651" s="139" t="s">
        <v>133</v>
      </c>
      <c r="K651" s="136" t="s">
        <v>133</v>
      </c>
      <c r="L651" s="153" t="str">
        <f>IFERROR(__xludf.DUMMYFUNCTION("""COMPUTED_VALUE"""),"")</f>
        <v/>
      </c>
      <c r="M651" s="136" t="str">
        <f t="shared" si="1"/>
        <v/>
      </c>
      <c r="N651" s="136" t="str">
        <f>IFERROR(__xludf.DUMMYFUNCTION("""COMPUTED_VALUE"""),"")</f>
        <v/>
      </c>
      <c r="O651" s="141" t="s">
        <v>133</v>
      </c>
      <c r="P651" s="136" t="str">
        <f>IFERROR(__xludf.DUMMYFUNCTION("""COMPUTED_VALUE"""),"")</f>
        <v/>
      </c>
      <c r="Q651" s="136" t="str">
        <f>IFERROR(__xludf.DUMMYFUNCTION("""COMPUTED_VALUE"""),"")</f>
        <v/>
      </c>
      <c r="R651" s="106" t="str">
        <f>IFERROR(__xludf.DUMMYFUNCTION("""COMPUTED_VALUE"""),"")</f>
        <v/>
      </c>
      <c r="S651" s="106" t="str">
        <f>IFERROR(__xludf.DUMMYFUNCTION("""COMPUTED_VALUE"""),"")</f>
        <v/>
      </c>
      <c r="T651" s="139" t="str">
        <f>IFERROR(__xludf.DUMMYFUNCTION("""COMPUTED_VALUE"""),"")</f>
        <v/>
      </c>
      <c r="U651" s="139" t="str">
        <f>IFERROR(__xludf.DUMMYFUNCTION("""COMPUTED_VALUE"""),"")</f>
        <v/>
      </c>
      <c r="V651" s="136" t="str">
        <f>IFERROR(__xludf.DUMMYFUNCTION("""COMPUTED_VALUE"""),"")</f>
        <v/>
      </c>
      <c r="W651" s="106" t="str">
        <f>IFERROR(__xludf.DUMMYFUNCTION("""COMPUTED_VALUE"""),"")</f>
        <v/>
      </c>
      <c r="X651" s="143" t="str">
        <f t="shared" si="2"/>
        <v/>
      </c>
      <c r="Y651" s="139" t="str">
        <f>IFERROR(__xludf.DUMMYFUNCTION("""COMPUTED_VALUE"""),"")</f>
        <v/>
      </c>
      <c r="Z651" s="141" t="str">
        <f>IFERROR(__xludf.DUMMYFUNCTION("""COMPUTED_VALUE"""),"")</f>
        <v/>
      </c>
    </row>
    <row r="652">
      <c r="C652" s="136" t="str">
        <f>IFERROR(__xludf.DUMMYFUNCTION("""COMPUTED_VALUE"""),"")</f>
        <v/>
      </c>
      <c r="D652" s="136" t="str">
        <f t="shared" si="3"/>
        <v/>
      </c>
      <c r="E652" s="152" t="str">
        <f>IFERROR(__xludf.DUMMYFUNCTION("""COMPUTED_VALUE"""),"")</f>
        <v/>
      </c>
      <c r="F652" s="106" t="s">
        <v>133</v>
      </c>
      <c r="G652" s="152" t="str">
        <f>IFERROR(__xludf.DUMMYFUNCTION("""COMPUTED_VALUE"""),"")</f>
        <v/>
      </c>
      <c r="H652" s="106" t="s">
        <v>133</v>
      </c>
      <c r="I652" s="136"/>
      <c r="J652" s="139" t="s">
        <v>133</v>
      </c>
      <c r="K652" s="136" t="s">
        <v>133</v>
      </c>
      <c r="L652" s="153" t="str">
        <f>IFERROR(__xludf.DUMMYFUNCTION("""COMPUTED_VALUE"""),"")</f>
        <v/>
      </c>
      <c r="M652" s="136" t="str">
        <f t="shared" si="1"/>
        <v/>
      </c>
      <c r="N652" s="136" t="str">
        <f>IFERROR(__xludf.DUMMYFUNCTION("""COMPUTED_VALUE"""),"")</f>
        <v/>
      </c>
      <c r="O652" s="141" t="s">
        <v>133</v>
      </c>
      <c r="P652" s="136" t="str">
        <f>IFERROR(__xludf.DUMMYFUNCTION("""COMPUTED_VALUE"""),"")</f>
        <v/>
      </c>
      <c r="Q652" s="136" t="str">
        <f>IFERROR(__xludf.DUMMYFUNCTION("""COMPUTED_VALUE"""),"")</f>
        <v/>
      </c>
      <c r="R652" s="106" t="str">
        <f>IFERROR(__xludf.DUMMYFUNCTION("""COMPUTED_VALUE"""),"")</f>
        <v/>
      </c>
      <c r="S652" s="106" t="str">
        <f>IFERROR(__xludf.DUMMYFUNCTION("""COMPUTED_VALUE"""),"")</f>
        <v/>
      </c>
      <c r="T652" s="139" t="str">
        <f>IFERROR(__xludf.DUMMYFUNCTION("""COMPUTED_VALUE"""),"")</f>
        <v/>
      </c>
      <c r="U652" s="139" t="str">
        <f>IFERROR(__xludf.DUMMYFUNCTION("""COMPUTED_VALUE"""),"")</f>
        <v/>
      </c>
      <c r="V652" s="136" t="str">
        <f>IFERROR(__xludf.DUMMYFUNCTION("""COMPUTED_VALUE"""),"")</f>
        <v/>
      </c>
      <c r="W652" s="106" t="str">
        <f>IFERROR(__xludf.DUMMYFUNCTION("""COMPUTED_VALUE"""),"")</f>
        <v/>
      </c>
      <c r="X652" s="143" t="str">
        <f t="shared" si="2"/>
        <v/>
      </c>
      <c r="Y652" s="139" t="str">
        <f>IFERROR(__xludf.DUMMYFUNCTION("""COMPUTED_VALUE"""),"")</f>
        <v/>
      </c>
      <c r="Z652" s="141" t="str">
        <f>IFERROR(__xludf.DUMMYFUNCTION("""COMPUTED_VALUE"""),"")</f>
        <v/>
      </c>
    </row>
    <row r="653">
      <c r="C653" s="136" t="str">
        <f>IFERROR(__xludf.DUMMYFUNCTION("""COMPUTED_VALUE"""),"")</f>
        <v/>
      </c>
      <c r="D653" s="136" t="str">
        <f t="shared" si="3"/>
        <v/>
      </c>
      <c r="E653" s="152" t="str">
        <f>IFERROR(__xludf.DUMMYFUNCTION("""COMPUTED_VALUE"""),"")</f>
        <v/>
      </c>
      <c r="F653" s="106" t="s">
        <v>133</v>
      </c>
      <c r="G653" s="152" t="str">
        <f>IFERROR(__xludf.DUMMYFUNCTION("""COMPUTED_VALUE"""),"")</f>
        <v/>
      </c>
      <c r="H653" s="106" t="s">
        <v>133</v>
      </c>
      <c r="I653" s="136"/>
      <c r="J653" s="139" t="s">
        <v>133</v>
      </c>
      <c r="K653" s="136" t="s">
        <v>133</v>
      </c>
      <c r="L653" s="153" t="str">
        <f>IFERROR(__xludf.DUMMYFUNCTION("""COMPUTED_VALUE"""),"")</f>
        <v/>
      </c>
      <c r="M653" s="136" t="str">
        <f t="shared" si="1"/>
        <v/>
      </c>
      <c r="N653" s="136" t="str">
        <f>IFERROR(__xludf.DUMMYFUNCTION("""COMPUTED_VALUE"""),"")</f>
        <v/>
      </c>
      <c r="O653" s="141" t="s">
        <v>133</v>
      </c>
      <c r="P653" s="136" t="str">
        <f>IFERROR(__xludf.DUMMYFUNCTION("""COMPUTED_VALUE"""),"")</f>
        <v/>
      </c>
      <c r="Q653" s="136" t="str">
        <f>IFERROR(__xludf.DUMMYFUNCTION("""COMPUTED_VALUE"""),"")</f>
        <v/>
      </c>
      <c r="R653" s="106" t="str">
        <f>IFERROR(__xludf.DUMMYFUNCTION("""COMPUTED_VALUE"""),"")</f>
        <v/>
      </c>
      <c r="S653" s="106" t="str">
        <f>IFERROR(__xludf.DUMMYFUNCTION("""COMPUTED_VALUE"""),"")</f>
        <v/>
      </c>
      <c r="T653" s="139" t="str">
        <f>IFERROR(__xludf.DUMMYFUNCTION("""COMPUTED_VALUE"""),"")</f>
        <v/>
      </c>
      <c r="U653" s="139" t="str">
        <f>IFERROR(__xludf.DUMMYFUNCTION("""COMPUTED_VALUE"""),"")</f>
        <v/>
      </c>
      <c r="V653" s="136" t="str">
        <f>IFERROR(__xludf.DUMMYFUNCTION("""COMPUTED_VALUE"""),"")</f>
        <v/>
      </c>
      <c r="W653" s="106" t="str">
        <f>IFERROR(__xludf.DUMMYFUNCTION("""COMPUTED_VALUE"""),"")</f>
        <v/>
      </c>
      <c r="X653" s="143" t="str">
        <f t="shared" si="2"/>
        <v/>
      </c>
      <c r="Y653" s="139" t="str">
        <f>IFERROR(__xludf.DUMMYFUNCTION("""COMPUTED_VALUE"""),"")</f>
        <v/>
      </c>
      <c r="Z653" s="141" t="str">
        <f>IFERROR(__xludf.DUMMYFUNCTION("""COMPUTED_VALUE"""),"")</f>
        <v/>
      </c>
    </row>
    <row r="654">
      <c r="C654" s="136" t="str">
        <f>IFERROR(__xludf.DUMMYFUNCTION("""COMPUTED_VALUE"""),"")</f>
        <v/>
      </c>
      <c r="D654" s="136" t="str">
        <f t="shared" si="3"/>
        <v/>
      </c>
      <c r="E654" s="152" t="str">
        <f>IFERROR(__xludf.DUMMYFUNCTION("""COMPUTED_VALUE"""),"")</f>
        <v/>
      </c>
      <c r="F654" s="106" t="s">
        <v>133</v>
      </c>
      <c r="G654" s="152" t="str">
        <f>IFERROR(__xludf.DUMMYFUNCTION("""COMPUTED_VALUE"""),"")</f>
        <v/>
      </c>
      <c r="H654" s="106" t="s">
        <v>133</v>
      </c>
      <c r="I654" s="136"/>
      <c r="J654" s="139" t="s">
        <v>133</v>
      </c>
      <c r="K654" s="136" t="s">
        <v>133</v>
      </c>
      <c r="L654" s="153" t="str">
        <f>IFERROR(__xludf.DUMMYFUNCTION("""COMPUTED_VALUE"""),"")</f>
        <v/>
      </c>
      <c r="M654" s="136" t="str">
        <f t="shared" si="1"/>
        <v/>
      </c>
      <c r="N654" s="136" t="str">
        <f>IFERROR(__xludf.DUMMYFUNCTION("""COMPUTED_VALUE"""),"")</f>
        <v/>
      </c>
      <c r="O654" s="141" t="s">
        <v>133</v>
      </c>
      <c r="P654" s="136" t="str">
        <f>IFERROR(__xludf.DUMMYFUNCTION("""COMPUTED_VALUE"""),"")</f>
        <v/>
      </c>
      <c r="Q654" s="136" t="str">
        <f>IFERROR(__xludf.DUMMYFUNCTION("""COMPUTED_VALUE"""),"")</f>
        <v/>
      </c>
      <c r="R654" s="106" t="str">
        <f>IFERROR(__xludf.DUMMYFUNCTION("""COMPUTED_VALUE"""),"")</f>
        <v/>
      </c>
      <c r="S654" s="106" t="str">
        <f>IFERROR(__xludf.DUMMYFUNCTION("""COMPUTED_VALUE"""),"")</f>
        <v/>
      </c>
      <c r="T654" s="139" t="str">
        <f>IFERROR(__xludf.DUMMYFUNCTION("""COMPUTED_VALUE"""),"")</f>
        <v/>
      </c>
      <c r="U654" s="139" t="str">
        <f>IFERROR(__xludf.DUMMYFUNCTION("""COMPUTED_VALUE"""),"")</f>
        <v/>
      </c>
      <c r="V654" s="136" t="str">
        <f>IFERROR(__xludf.DUMMYFUNCTION("""COMPUTED_VALUE"""),"")</f>
        <v/>
      </c>
      <c r="W654" s="106" t="str">
        <f>IFERROR(__xludf.DUMMYFUNCTION("""COMPUTED_VALUE"""),"")</f>
        <v/>
      </c>
      <c r="X654" s="143" t="str">
        <f t="shared" si="2"/>
        <v/>
      </c>
      <c r="Y654" s="139" t="str">
        <f>IFERROR(__xludf.DUMMYFUNCTION("""COMPUTED_VALUE"""),"")</f>
        <v/>
      </c>
      <c r="Z654" s="141" t="str">
        <f>IFERROR(__xludf.DUMMYFUNCTION("""COMPUTED_VALUE"""),"")</f>
        <v/>
      </c>
    </row>
    <row r="655">
      <c r="C655" s="136" t="str">
        <f>IFERROR(__xludf.DUMMYFUNCTION("""COMPUTED_VALUE"""),"")</f>
        <v/>
      </c>
      <c r="D655" s="136" t="str">
        <f t="shared" si="3"/>
        <v/>
      </c>
      <c r="E655" s="152" t="str">
        <f>IFERROR(__xludf.DUMMYFUNCTION("""COMPUTED_VALUE"""),"")</f>
        <v/>
      </c>
      <c r="F655" s="106" t="s">
        <v>133</v>
      </c>
      <c r="G655" s="152" t="str">
        <f>IFERROR(__xludf.DUMMYFUNCTION("""COMPUTED_VALUE"""),"")</f>
        <v/>
      </c>
      <c r="H655" s="106" t="s">
        <v>133</v>
      </c>
      <c r="I655" s="136"/>
      <c r="J655" s="139" t="s">
        <v>133</v>
      </c>
      <c r="K655" s="136" t="s">
        <v>133</v>
      </c>
      <c r="L655" s="153" t="str">
        <f>IFERROR(__xludf.DUMMYFUNCTION("""COMPUTED_VALUE"""),"")</f>
        <v/>
      </c>
      <c r="M655" s="136" t="str">
        <f t="shared" si="1"/>
        <v/>
      </c>
      <c r="N655" s="136" t="str">
        <f>IFERROR(__xludf.DUMMYFUNCTION("""COMPUTED_VALUE"""),"")</f>
        <v/>
      </c>
      <c r="O655" s="141" t="s">
        <v>133</v>
      </c>
      <c r="P655" s="136" t="str">
        <f>IFERROR(__xludf.DUMMYFUNCTION("""COMPUTED_VALUE"""),"")</f>
        <v/>
      </c>
      <c r="Q655" s="136" t="str">
        <f>IFERROR(__xludf.DUMMYFUNCTION("""COMPUTED_VALUE"""),"")</f>
        <v/>
      </c>
      <c r="R655" s="106" t="str">
        <f>IFERROR(__xludf.DUMMYFUNCTION("""COMPUTED_VALUE"""),"")</f>
        <v/>
      </c>
      <c r="S655" s="106" t="str">
        <f>IFERROR(__xludf.DUMMYFUNCTION("""COMPUTED_VALUE"""),"")</f>
        <v/>
      </c>
      <c r="T655" s="139" t="str">
        <f>IFERROR(__xludf.DUMMYFUNCTION("""COMPUTED_VALUE"""),"")</f>
        <v/>
      </c>
      <c r="U655" s="139" t="str">
        <f>IFERROR(__xludf.DUMMYFUNCTION("""COMPUTED_VALUE"""),"")</f>
        <v/>
      </c>
      <c r="V655" s="136" t="str">
        <f>IFERROR(__xludf.DUMMYFUNCTION("""COMPUTED_VALUE"""),"")</f>
        <v/>
      </c>
      <c r="W655" s="106" t="str">
        <f>IFERROR(__xludf.DUMMYFUNCTION("""COMPUTED_VALUE"""),"")</f>
        <v/>
      </c>
      <c r="X655" s="143" t="str">
        <f t="shared" si="2"/>
        <v/>
      </c>
      <c r="Y655" s="139" t="str">
        <f>IFERROR(__xludf.DUMMYFUNCTION("""COMPUTED_VALUE"""),"")</f>
        <v/>
      </c>
      <c r="Z655" s="141" t="str">
        <f>IFERROR(__xludf.DUMMYFUNCTION("""COMPUTED_VALUE"""),"")</f>
        <v/>
      </c>
    </row>
    <row r="656">
      <c r="C656" s="136" t="str">
        <f>IFERROR(__xludf.DUMMYFUNCTION("""COMPUTED_VALUE"""),"")</f>
        <v/>
      </c>
      <c r="D656" s="136" t="str">
        <f t="shared" si="3"/>
        <v/>
      </c>
      <c r="E656" s="152" t="str">
        <f>IFERROR(__xludf.DUMMYFUNCTION("""COMPUTED_VALUE"""),"")</f>
        <v/>
      </c>
      <c r="F656" s="106" t="s">
        <v>133</v>
      </c>
      <c r="G656" s="152" t="str">
        <f>IFERROR(__xludf.DUMMYFUNCTION("""COMPUTED_VALUE"""),"")</f>
        <v/>
      </c>
      <c r="H656" s="106" t="s">
        <v>133</v>
      </c>
      <c r="I656" s="136"/>
      <c r="J656" s="139" t="s">
        <v>133</v>
      </c>
      <c r="K656" s="136" t="s">
        <v>133</v>
      </c>
      <c r="L656" s="153" t="str">
        <f>IFERROR(__xludf.DUMMYFUNCTION("""COMPUTED_VALUE"""),"")</f>
        <v/>
      </c>
      <c r="M656" s="136" t="str">
        <f t="shared" si="1"/>
        <v/>
      </c>
      <c r="N656" s="136" t="str">
        <f>IFERROR(__xludf.DUMMYFUNCTION("""COMPUTED_VALUE"""),"")</f>
        <v/>
      </c>
      <c r="O656" s="141" t="s">
        <v>133</v>
      </c>
      <c r="P656" s="136" t="str">
        <f>IFERROR(__xludf.DUMMYFUNCTION("""COMPUTED_VALUE"""),"")</f>
        <v/>
      </c>
      <c r="Q656" s="136" t="str">
        <f>IFERROR(__xludf.DUMMYFUNCTION("""COMPUTED_VALUE"""),"")</f>
        <v/>
      </c>
      <c r="R656" s="106" t="str">
        <f>IFERROR(__xludf.DUMMYFUNCTION("""COMPUTED_VALUE"""),"")</f>
        <v/>
      </c>
      <c r="S656" s="106" t="str">
        <f>IFERROR(__xludf.DUMMYFUNCTION("""COMPUTED_VALUE"""),"")</f>
        <v/>
      </c>
      <c r="T656" s="139" t="str">
        <f>IFERROR(__xludf.DUMMYFUNCTION("""COMPUTED_VALUE"""),"")</f>
        <v/>
      </c>
      <c r="U656" s="139" t="str">
        <f>IFERROR(__xludf.DUMMYFUNCTION("""COMPUTED_VALUE"""),"")</f>
        <v/>
      </c>
      <c r="V656" s="136" t="str">
        <f>IFERROR(__xludf.DUMMYFUNCTION("""COMPUTED_VALUE"""),"")</f>
        <v/>
      </c>
      <c r="W656" s="106" t="str">
        <f>IFERROR(__xludf.DUMMYFUNCTION("""COMPUTED_VALUE"""),"")</f>
        <v/>
      </c>
      <c r="X656" s="143" t="str">
        <f t="shared" si="2"/>
        <v/>
      </c>
      <c r="Y656" s="139" t="str">
        <f>IFERROR(__xludf.DUMMYFUNCTION("""COMPUTED_VALUE"""),"")</f>
        <v/>
      </c>
      <c r="Z656" s="141" t="str">
        <f>IFERROR(__xludf.DUMMYFUNCTION("""COMPUTED_VALUE"""),"")</f>
        <v/>
      </c>
    </row>
    <row r="657">
      <c r="C657" s="136" t="str">
        <f>IFERROR(__xludf.DUMMYFUNCTION("""COMPUTED_VALUE"""),"")</f>
        <v/>
      </c>
      <c r="D657" s="136" t="str">
        <f t="shared" si="3"/>
        <v/>
      </c>
      <c r="E657" s="152" t="str">
        <f>IFERROR(__xludf.DUMMYFUNCTION("""COMPUTED_VALUE"""),"")</f>
        <v/>
      </c>
      <c r="F657" s="106" t="s">
        <v>133</v>
      </c>
      <c r="G657" s="152" t="str">
        <f>IFERROR(__xludf.DUMMYFUNCTION("""COMPUTED_VALUE"""),"")</f>
        <v/>
      </c>
      <c r="H657" s="106" t="s">
        <v>133</v>
      </c>
      <c r="I657" s="136"/>
      <c r="J657" s="139" t="s">
        <v>133</v>
      </c>
      <c r="K657" s="136" t="s">
        <v>133</v>
      </c>
      <c r="L657" s="153" t="str">
        <f>IFERROR(__xludf.DUMMYFUNCTION("""COMPUTED_VALUE"""),"")</f>
        <v/>
      </c>
      <c r="M657" s="136" t="str">
        <f t="shared" si="1"/>
        <v/>
      </c>
      <c r="N657" s="136" t="str">
        <f>IFERROR(__xludf.DUMMYFUNCTION("""COMPUTED_VALUE"""),"")</f>
        <v/>
      </c>
      <c r="O657" s="141" t="s">
        <v>133</v>
      </c>
      <c r="P657" s="136" t="str">
        <f>IFERROR(__xludf.DUMMYFUNCTION("""COMPUTED_VALUE"""),"")</f>
        <v/>
      </c>
      <c r="Q657" s="136" t="str">
        <f>IFERROR(__xludf.DUMMYFUNCTION("""COMPUTED_VALUE"""),"")</f>
        <v/>
      </c>
      <c r="R657" s="106" t="str">
        <f>IFERROR(__xludf.DUMMYFUNCTION("""COMPUTED_VALUE"""),"")</f>
        <v/>
      </c>
      <c r="S657" s="106" t="str">
        <f>IFERROR(__xludf.DUMMYFUNCTION("""COMPUTED_VALUE"""),"")</f>
        <v/>
      </c>
      <c r="T657" s="139" t="str">
        <f>IFERROR(__xludf.DUMMYFUNCTION("""COMPUTED_VALUE"""),"")</f>
        <v/>
      </c>
      <c r="U657" s="139" t="str">
        <f>IFERROR(__xludf.DUMMYFUNCTION("""COMPUTED_VALUE"""),"")</f>
        <v/>
      </c>
      <c r="V657" s="136" t="str">
        <f>IFERROR(__xludf.DUMMYFUNCTION("""COMPUTED_VALUE"""),"")</f>
        <v/>
      </c>
      <c r="W657" s="106" t="str">
        <f>IFERROR(__xludf.DUMMYFUNCTION("""COMPUTED_VALUE"""),"")</f>
        <v/>
      </c>
      <c r="X657" s="143" t="str">
        <f t="shared" si="2"/>
        <v/>
      </c>
      <c r="Y657" s="139" t="str">
        <f>IFERROR(__xludf.DUMMYFUNCTION("""COMPUTED_VALUE"""),"")</f>
        <v/>
      </c>
      <c r="Z657" s="141" t="str">
        <f>IFERROR(__xludf.DUMMYFUNCTION("""COMPUTED_VALUE"""),"")</f>
        <v/>
      </c>
    </row>
    <row r="658">
      <c r="C658" s="136" t="str">
        <f>IFERROR(__xludf.DUMMYFUNCTION("""COMPUTED_VALUE"""),"")</f>
        <v/>
      </c>
      <c r="D658" s="136" t="str">
        <f t="shared" si="3"/>
        <v/>
      </c>
      <c r="E658" s="152" t="str">
        <f>IFERROR(__xludf.DUMMYFUNCTION("""COMPUTED_VALUE"""),"")</f>
        <v/>
      </c>
      <c r="F658" s="106" t="s">
        <v>133</v>
      </c>
      <c r="G658" s="152" t="str">
        <f>IFERROR(__xludf.DUMMYFUNCTION("""COMPUTED_VALUE"""),"")</f>
        <v/>
      </c>
      <c r="H658" s="106" t="s">
        <v>133</v>
      </c>
      <c r="I658" s="136"/>
      <c r="J658" s="139" t="s">
        <v>133</v>
      </c>
      <c r="K658" s="136" t="s">
        <v>133</v>
      </c>
      <c r="L658" s="153" t="str">
        <f>IFERROR(__xludf.DUMMYFUNCTION("""COMPUTED_VALUE"""),"")</f>
        <v/>
      </c>
      <c r="M658" s="136" t="str">
        <f t="shared" si="1"/>
        <v/>
      </c>
      <c r="N658" s="136" t="str">
        <f>IFERROR(__xludf.DUMMYFUNCTION("""COMPUTED_VALUE"""),"")</f>
        <v/>
      </c>
      <c r="O658" s="141" t="s">
        <v>133</v>
      </c>
      <c r="P658" s="136" t="str">
        <f>IFERROR(__xludf.DUMMYFUNCTION("""COMPUTED_VALUE"""),"")</f>
        <v/>
      </c>
      <c r="Q658" s="136" t="str">
        <f>IFERROR(__xludf.DUMMYFUNCTION("""COMPUTED_VALUE"""),"")</f>
        <v/>
      </c>
      <c r="R658" s="106" t="str">
        <f>IFERROR(__xludf.DUMMYFUNCTION("""COMPUTED_VALUE"""),"")</f>
        <v/>
      </c>
      <c r="S658" s="106" t="str">
        <f>IFERROR(__xludf.DUMMYFUNCTION("""COMPUTED_VALUE"""),"")</f>
        <v/>
      </c>
      <c r="T658" s="139" t="str">
        <f>IFERROR(__xludf.DUMMYFUNCTION("""COMPUTED_VALUE"""),"")</f>
        <v/>
      </c>
      <c r="U658" s="139" t="str">
        <f>IFERROR(__xludf.DUMMYFUNCTION("""COMPUTED_VALUE"""),"")</f>
        <v/>
      </c>
      <c r="V658" s="136" t="str">
        <f>IFERROR(__xludf.DUMMYFUNCTION("""COMPUTED_VALUE"""),"")</f>
        <v/>
      </c>
      <c r="W658" s="106" t="str">
        <f>IFERROR(__xludf.DUMMYFUNCTION("""COMPUTED_VALUE"""),"")</f>
        <v/>
      </c>
      <c r="X658" s="143" t="str">
        <f t="shared" si="2"/>
        <v/>
      </c>
      <c r="Y658" s="139" t="str">
        <f>IFERROR(__xludf.DUMMYFUNCTION("""COMPUTED_VALUE"""),"")</f>
        <v/>
      </c>
      <c r="Z658" s="141" t="str">
        <f>IFERROR(__xludf.DUMMYFUNCTION("""COMPUTED_VALUE"""),"")</f>
        <v/>
      </c>
    </row>
    <row r="659">
      <c r="C659" s="136" t="str">
        <f>IFERROR(__xludf.DUMMYFUNCTION("""COMPUTED_VALUE"""),"")</f>
        <v/>
      </c>
      <c r="D659" s="136" t="str">
        <f t="shared" si="3"/>
        <v/>
      </c>
      <c r="E659" s="152" t="str">
        <f>IFERROR(__xludf.DUMMYFUNCTION("""COMPUTED_VALUE"""),"")</f>
        <v/>
      </c>
      <c r="F659" s="106" t="s">
        <v>133</v>
      </c>
      <c r="G659" s="152" t="str">
        <f>IFERROR(__xludf.DUMMYFUNCTION("""COMPUTED_VALUE"""),"")</f>
        <v/>
      </c>
      <c r="H659" s="106" t="s">
        <v>133</v>
      </c>
      <c r="I659" s="136"/>
      <c r="J659" s="139" t="s">
        <v>133</v>
      </c>
      <c r="K659" s="136" t="s">
        <v>133</v>
      </c>
      <c r="L659" s="153" t="str">
        <f>IFERROR(__xludf.DUMMYFUNCTION("""COMPUTED_VALUE"""),"")</f>
        <v/>
      </c>
      <c r="M659" s="136" t="str">
        <f t="shared" si="1"/>
        <v/>
      </c>
      <c r="N659" s="136" t="str">
        <f>IFERROR(__xludf.DUMMYFUNCTION("""COMPUTED_VALUE"""),"")</f>
        <v/>
      </c>
      <c r="O659" s="141" t="s">
        <v>133</v>
      </c>
      <c r="P659" s="136" t="str">
        <f>IFERROR(__xludf.DUMMYFUNCTION("""COMPUTED_VALUE"""),"")</f>
        <v/>
      </c>
      <c r="Q659" s="136" t="str">
        <f>IFERROR(__xludf.DUMMYFUNCTION("""COMPUTED_VALUE"""),"")</f>
        <v/>
      </c>
      <c r="R659" s="106" t="str">
        <f>IFERROR(__xludf.DUMMYFUNCTION("""COMPUTED_VALUE"""),"")</f>
        <v/>
      </c>
      <c r="S659" s="106" t="str">
        <f>IFERROR(__xludf.DUMMYFUNCTION("""COMPUTED_VALUE"""),"")</f>
        <v/>
      </c>
      <c r="T659" s="139" t="str">
        <f>IFERROR(__xludf.DUMMYFUNCTION("""COMPUTED_VALUE"""),"")</f>
        <v/>
      </c>
      <c r="U659" s="139" t="str">
        <f>IFERROR(__xludf.DUMMYFUNCTION("""COMPUTED_VALUE"""),"")</f>
        <v/>
      </c>
      <c r="V659" s="136" t="str">
        <f>IFERROR(__xludf.DUMMYFUNCTION("""COMPUTED_VALUE"""),"")</f>
        <v/>
      </c>
      <c r="W659" s="106" t="str">
        <f>IFERROR(__xludf.DUMMYFUNCTION("""COMPUTED_VALUE"""),"")</f>
        <v/>
      </c>
      <c r="X659" s="143" t="str">
        <f t="shared" si="2"/>
        <v/>
      </c>
      <c r="Y659" s="139" t="str">
        <f>IFERROR(__xludf.DUMMYFUNCTION("""COMPUTED_VALUE"""),"")</f>
        <v/>
      </c>
      <c r="Z659" s="141" t="str">
        <f>IFERROR(__xludf.DUMMYFUNCTION("""COMPUTED_VALUE"""),"")</f>
        <v/>
      </c>
    </row>
    <row r="660">
      <c r="C660" s="136" t="str">
        <f>IFERROR(__xludf.DUMMYFUNCTION("""COMPUTED_VALUE"""),"")</f>
        <v/>
      </c>
      <c r="D660" s="136" t="str">
        <f t="shared" si="3"/>
        <v/>
      </c>
      <c r="E660" s="152" t="str">
        <f>IFERROR(__xludf.DUMMYFUNCTION("""COMPUTED_VALUE"""),"")</f>
        <v/>
      </c>
      <c r="F660" s="106" t="s">
        <v>133</v>
      </c>
      <c r="G660" s="152" t="str">
        <f>IFERROR(__xludf.DUMMYFUNCTION("""COMPUTED_VALUE"""),"")</f>
        <v/>
      </c>
      <c r="H660" s="106" t="s">
        <v>133</v>
      </c>
      <c r="I660" s="136"/>
      <c r="J660" s="139" t="s">
        <v>133</v>
      </c>
      <c r="K660" s="136" t="s">
        <v>133</v>
      </c>
      <c r="L660" s="153" t="str">
        <f>IFERROR(__xludf.DUMMYFUNCTION("""COMPUTED_VALUE"""),"")</f>
        <v/>
      </c>
      <c r="M660" s="136" t="str">
        <f t="shared" si="1"/>
        <v/>
      </c>
      <c r="N660" s="136" t="str">
        <f>IFERROR(__xludf.DUMMYFUNCTION("""COMPUTED_VALUE"""),"")</f>
        <v/>
      </c>
      <c r="O660" s="141" t="s">
        <v>133</v>
      </c>
      <c r="P660" s="136" t="str">
        <f>IFERROR(__xludf.DUMMYFUNCTION("""COMPUTED_VALUE"""),"")</f>
        <v/>
      </c>
      <c r="Q660" s="136" t="str">
        <f>IFERROR(__xludf.DUMMYFUNCTION("""COMPUTED_VALUE"""),"")</f>
        <v/>
      </c>
      <c r="R660" s="106" t="str">
        <f>IFERROR(__xludf.DUMMYFUNCTION("""COMPUTED_VALUE"""),"")</f>
        <v/>
      </c>
      <c r="S660" s="106" t="str">
        <f>IFERROR(__xludf.DUMMYFUNCTION("""COMPUTED_VALUE"""),"")</f>
        <v/>
      </c>
      <c r="T660" s="139" t="str">
        <f>IFERROR(__xludf.DUMMYFUNCTION("""COMPUTED_VALUE"""),"")</f>
        <v/>
      </c>
      <c r="U660" s="139" t="str">
        <f>IFERROR(__xludf.DUMMYFUNCTION("""COMPUTED_VALUE"""),"")</f>
        <v/>
      </c>
      <c r="V660" s="136" t="str">
        <f>IFERROR(__xludf.DUMMYFUNCTION("""COMPUTED_VALUE"""),"")</f>
        <v/>
      </c>
      <c r="W660" s="106" t="str">
        <f>IFERROR(__xludf.DUMMYFUNCTION("""COMPUTED_VALUE"""),"")</f>
        <v/>
      </c>
      <c r="X660" s="143" t="str">
        <f t="shared" si="2"/>
        <v/>
      </c>
      <c r="Y660" s="139" t="str">
        <f>IFERROR(__xludf.DUMMYFUNCTION("""COMPUTED_VALUE"""),"")</f>
        <v/>
      </c>
      <c r="Z660" s="141" t="str">
        <f>IFERROR(__xludf.DUMMYFUNCTION("""COMPUTED_VALUE"""),"")</f>
        <v/>
      </c>
    </row>
    <row r="661">
      <c r="C661" s="136" t="str">
        <f>IFERROR(__xludf.DUMMYFUNCTION("""COMPUTED_VALUE"""),"")</f>
        <v/>
      </c>
      <c r="D661" s="136" t="str">
        <f t="shared" si="3"/>
        <v/>
      </c>
      <c r="E661" s="152" t="str">
        <f>IFERROR(__xludf.DUMMYFUNCTION("""COMPUTED_VALUE"""),"")</f>
        <v/>
      </c>
      <c r="F661" s="106" t="s">
        <v>133</v>
      </c>
      <c r="G661" s="152" t="str">
        <f>IFERROR(__xludf.DUMMYFUNCTION("""COMPUTED_VALUE"""),"")</f>
        <v/>
      </c>
      <c r="H661" s="106" t="s">
        <v>133</v>
      </c>
      <c r="I661" s="136"/>
      <c r="J661" s="139" t="s">
        <v>133</v>
      </c>
      <c r="K661" s="136" t="s">
        <v>133</v>
      </c>
      <c r="L661" s="153" t="str">
        <f>IFERROR(__xludf.DUMMYFUNCTION("""COMPUTED_VALUE"""),"")</f>
        <v/>
      </c>
      <c r="M661" s="136" t="str">
        <f t="shared" si="1"/>
        <v/>
      </c>
      <c r="N661" s="136" t="str">
        <f>IFERROR(__xludf.DUMMYFUNCTION("""COMPUTED_VALUE"""),"")</f>
        <v/>
      </c>
      <c r="O661" s="141" t="s">
        <v>133</v>
      </c>
      <c r="P661" s="136" t="str">
        <f>IFERROR(__xludf.DUMMYFUNCTION("""COMPUTED_VALUE"""),"")</f>
        <v/>
      </c>
      <c r="Q661" s="136" t="str">
        <f>IFERROR(__xludf.DUMMYFUNCTION("""COMPUTED_VALUE"""),"")</f>
        <v/>
      </c>
      <c r="R661" s="106" t="str">
        <f>IFERROR(__xludf.DUMMYFUNCTION("""COMPUTED_VALUE"""),"")</f>
        <v/>
      </c>
      <c r="S661" s="106" t="str">
        <f>IFERROR(__xludf.DUMMYFUNCTION("""COMPUTED_VALUE"""),"")</f>
        <v/>
      </c>
      <c r="T661" s="139" t="str">
        <f>IFERROR(__xludf.DUMMYFUNCTION("""COMPUTED_VALUE"""),"")</f>
        <v/>
      </c>
      <c r="U661" s="139" t="str">
        <f>IFERROR(__xludf.DUMMYFUNCTION("""COMPUTED_VALUE"""),"")</f>
        <v/>
      </c>
      <c r="V661" s="136" t="str">
        <f>IFERROR(__xludf.DUMMYFUNCTION("""COMPUTED_VALUE"""),"")</f>
        <v/>
      </c>
      <c r="W661" s="106" t="str">
        <f>IFERROR(__xludf.DUMMYFUNCTION("""COMPUTED_VALUE"""),"")</f>
        <v/>
      </c>
      <c r="X661" s="143" t="str">
        <f t="shared" si="2"/>
        <v/>
      </c>
      <c r="Y661" s="139" t="str">
        <f>IFERROR(__xludf.DUMMYFUNCTION("""COMPUTED_VALUE"""),"")</f>
        <v/>
      </c>
      <c r="Z661" s="141" t="str">
        <f>IFERROR(__xludf.DUMMYFUNCTION("""COMPUTED_VALUE"""),"")</f>
        <v/>
      </c>
    </row>
    <row r="662">
      <c r="C662" s="136" t="str">
        <f>IFERROR(__xludf.DUMMYFUNCTION("""COMPUTED_VALUE"""),"")</f>
        <v/>
      </c>
      <c r="D662" s="136" t="str">
        <f t="shared" si="3"/>
        <v/>
      </c>
      <c r="E662" s="152" t="str">
        <f>IFERROR(__xludf.DUMMYFUNCTION("""COMPUTED_VALUE"""),"")</f>
        <v/>
      </c>
      <c r="F662" s="106" t="s">
        <v>133</v>
      </c>
      <c r="G662" s="152" t="str">
        <f>IFERROR(__xludf.DUMMYFUNCTION("""COMPUTED_VALUE"""),"")</f>
        <v/>
      </c>
      <c r="H662" s="106" t="s">
        <v>133</v>
      </c>
      <c r="I662" s="136"/>
      <c r="J662" s="139" t="s">
        <v>133</v>
      </c>
      <c r="K662" s="136" t="s">
        <v>133</v>
      </c>
      <c r="L662" s="153" t="str">
        <f>IFERROR(__xludf.DUMMYFUNCTION("""COMPUTED_VALUE"""),"")</f>
        <v/>
      </c>
      <c r="M662" s="136" t="str">
        <f t="shared" si="1"/>
        <v/>
      </c>
      <c r="N662" s="136" t="str">
        <f>IFERROR(__xludf.DUMMYFUNCTION("""COMPUTED_VALUE"""),"")</f>
        <v/>
      </c>
      <c r="O662" s="141" t="s">
        <v>133</v>
      </c>
      <c r="P662" s="136" t="str">
        <f>IFERROR(__xludf.DUMMYFUNCTION("""COMPUTED_VALUE"""),"")</f>
        <v/>
      </c>
      <c r="Q662" s="136" t="str">
        <f>IFERROR(__xludf.DUMMYFUNCTION("""COMPUTED_VALUE"""),"")</f>
        <v/>
      </c>
      <c r="R662" s="106" t="str">
        <f>IFERROR(__xludf.DUMMYFUNCTION("""COMPUTED_VALUE"""),"")</f>
        <v/>
      </c>
      <c r="S662" s="106" t="str">
        <f>IFERROR(__xludf.DUMMYFUNCTION("""COMPUTED_VALUE"""),"")</f>
        <v/>
      </c>
      <c r="T662" s="139" t="str">
        <f>IFERROR(__xludf.DUMMYFUNCTION("""COMPUTED_VALUE"""),"")</f>
        <v/>
      </c>
      <c r="U662" s="139" t="str">
        <f>IFERROR(__xludf.DUMMYFUNCTION("""COMPUTED_VALUE"""),"")</f>
        <v/>
      </c>
      <c r="V662" s="136" t="str">
        <f>IFERROR(__xludf.DUMMYFUNCTION("""COMPUTED_VALUE"""),"")</f>
        <v/>
      </c>
      <c r="W662" s="106" t="str">
        <f>IFERROR(__xludf.DUMMYFUNCTION("""COMPUTED_VALUE"""),"")</f>
        <v/>
      </c>
      <c r="X662" s="143" t="str">
        <f t="shared" si="2"/>
        <v/>
      </c>
      <c r="Y662" s="139" t="str">
        <f>IFERROR(__xludf.DUMMYFUNCTION("""COMPUTED_VALUE"""),"")</f>
        <v/>
      </c>
      <c r="Z662" s="141" t="str">
        <f>IFERROR(__xludf.DUMMYFUNCTION("""COMPUTED_VALUE"""),"")</f>
        <v/>
      </c>
    </row>
    <row r="663">
      <c r="C663" s="136" t="str">
        <f>IFERROR(__xludf.DUMMYFUNCTION("""COMPUTED_VALUE"""),"")</f>
        <v/>
      </c>
      <c r="D663" s="136" t="str">
        <f t="shared" si="3"/>
        <v/>
      </c>
      <c r="E663" s="152" t="str">
        <f>IFERROR(__xludf.DUMMYFUNCTION("""COMPUTED_VALUE"""),"")</f>
        <v/>
      </c>
      <c r="F663" s="106" t="s">
        <v>133</v>
      </c>
      <c r="G663" s="152" t="str">
        <f>IFERROR(__xludf.DUMMYFUNCTION("""COMPUTED_VALUE"""),"")</f>
        <v/>
      </c>
      <c r="H663" s="106" t="s">
        <v>133</v>
      </c>
      <c r="I663" s="136"/>
      <c r="J663" s="139" t="s">
        <v>133</v>
      </c>
      <c r="K663" s="136" t="s">
        <v>133</v>
      </c>
      <c r="L663" s="153" t="str">
        <f>IFERROR(__xludf.DUMMYFUNCTION("""COMPUTED_VALUE"""),"")</f>
        <v/>
      </c>
      <c r="M663" s="136" t="str">
        <f t="shared" si="1"/>
        <v/>
      </c>
      <c r="N663" s="136" t="str">
        <f>IFERROR(__xludf.DUMMYFUNCTION("""COMPUTED_VALUE"""),"")</f>
        <v/>
      </c>
      <c r="O663" s="141" t="s">
        <v>133</v>
      </c>
      <c r="P663" s="136" t="str">
        <f>IFERROR(__xludf.DUMMYFUNCTION("""COMPUTED_VALUE"""),"")</f>
        <v/>
      </c>
      <c r="Q663" s="136" t="str">
        <f>IFERROR(__xludf.DUMMYFUNCTION("""COMPUTED_VALUE"""),"")</f>
        <v/>
      </c>
      <c r="R663" s="106" t="str">
        <f>IFERROR(__xludf.DUMMYFUNCTION("""COMPUTED_VALUE"""),"")</f>
        <v/>
      </c>
      <c r="S663" s="106" t="str">
        <f>IFERROR(__xludf.DUMMYFUNCTION("""COMPUTED_VALUE"""),"")</f>
        <v/>
      </c>
      <c r="T663" s="139" t="str">
        <f>IFERROR(__xludf.DUMMYFUNCTION("""COMPUTED_VALUE"""),"")</f>
        <v/>
      </c>
      <c r="U663" s="139" t="str">
        <f>IFERROR(__xludf.DUMMYFUNCTION("""COMPUTED_VALUE"""),"")</f>
        <v/>
      </c>
      <c r="V663" s="136" t="str">
        <f>IFERROR(__xludf.DUMMYFUNCTION("""COMPUTED_VALUE"""),"")</f>
        <v/>
      </c>
      <c r="W663" s="106" t="str">
        <f>IFERROR(__xludf.DUMMYFUNCTION("""COMPUTED_VALUE"""),"")</f>
        <v/>
      </c>
      <c r="X663" s="143" t="str">
        <f t="shared" si="2"/>
        <v/>
      </c>
      <c r="Y663" s="139" t="str">
        <f>IFERROR(__xludf.DUMMYFUNCTION("""COMPUTED_VALUE"""),"")</f>
        <v/>
      </c>
      <c r="Z663" s="141" t="str">
        <f>IFERROR(__xludf.DUMMYFUNCTION("""COMPUTED_VALUE"""),"")</f>
        <v/>
      </c>
    </row>
    <row r="664">
      <c r="C664" s="136" t="str">
        <f>IFERROR(__xludf.DUMMYFUNCTION("""COMPUTED_VALUE"""),"")</f>
        <v/>
      </c>
      <c r="D664" s="136" t="str">
        <f t="shared" si="3"/>
        <v/>
      </c>
      <c r="E664" s="152" t="str">
        <f>IFERROR(__xludf.DUMMYFUNCTION("""COMPUTED_VALUE"""),"")</f>
        <v/>
      </c>
      <c r="F664" s="106" t="s">
        <v>133</v>
      </c>
      <c r="G664" s="152" t="str">
        <f>IFERROR(__xludf.DUMMYFUNCTION("""COMPUTED_VALUE"""),"")</f>
        <v/>
      </c>
      <c r="H664" s="106" t="s">
        <v>133</v>
      </c>
      <c r="I664" s="136"/>
      <c r="J664" s="139" t="s">
        <v>133</v>
      </c>
      <c r="K664" s="136" t="s">
        <v>133</v>
      </c>
      <c r="L664" s="153" t="str">
        <f>IFERROR(__xludf.DUMMYFUNCTION("""COMPUTED_VALUE"""),"")</f>
        <v/>
      </c>
      <c r="M664" s="136" t="str">
        <f t="shared" si="1"/>
        <v/>
      </c>
      <c r="N664" s="136" t="str">
        <f>IFERROR(__xludf.DUMMYFUNCTION("""COMPUTED_VALUE"""),"")</f>
        <v/>
      </c>
      <c r="O664" s="141" t="s">
        <v>133</v>
      </c>
      <c r="P664" s="136" t="str">
        <f>IFERROR(__xludf.DUMMYFUNCTION("""COMPUTED_VALUE"""),"")</f>
        <v/>
      </c>
      <c r="Q664" s="136" t="str">
        <f>IFERROR(__xludf.DUMMYFUNCTION("""COMPUTED_VALUE"""),"")</f>
        <v/>
      </c>
      <c r="R664" s="106" t="str">
        <f>IFERROR(__xludf.DUMMYFUNCTION("""COMPUTED_VALUE"""),"")</f>
        <v/>
      </c>
      <c r="S664" s="106" t="str">
        <f>IFERROR(__xludf.DUMMYFUNCTION("""COMPUTED_VALUE"""),"")</f>
        <v/>
      </c>
      <c r="T664" s="139" t="str">
        <f>IFERROR(__xludf.DUMMYFUNCTION("""COMPUTED_VALUE"""),"")</f>
        <v/>
      </c>
      <c r="U664" s="139" t="str">
        <f>IFERROR(__xludf.DUMMYFUNCTION("""COMPUTED_VALUE"""),"")</f>
        <v/>
      </c>
      <c r="V664" s="136" t="str">
        <f>IFERROR(__xludf.DUMMYFUNCTION("""COMPUTED_VALUE"""),"")</f>
        <v/>
      </c>
      <c r="W664" s="106" t="str">
        <f>IFERROR(__xludf.DUMMYFUNCTION("""COMPUTED_VALUE"""),"")</f>
        <v/>
      </c>
      <c r="X664" s="143" t="str">
        <f t="shared" si="2"/>
        <v/>
      </c>
      <c r="Y664" s="139" t="str">
        <f>IFERROR(__xludf.DUMMYFUNCTION("""COMPUTED_VALUE"""),"")</f>
        <v/>
      </c>
      <c r="Z664" s="141" t="str">
        <f>IFERROR(__xludf.DUMMYFUNCTION("""COMPUTED_VALUE"""),"")</f>
        <v/>
      </c>
    </row>
    <row r="665">
      <c r="C665" s="136" t="str">
        <f>IFERROR(__xludf.DUMMYFUNCTION("""COMPUTED_VALUE"""),"")</f>
        <v/>
      </c>
      <c r="D665" s="136" t="str">
        <f t="shared" si="3"/>
        <v/>
      </c>
      <c r="E665" s="152" t="str">
        <f>IFERROR(__xludf.DUMMYFUNCTION("""COMPUTED_VALUE"""),"")</f>
        <v/>
      </c>
      <c r="F665" s="106" t="s">
        <v>133</v>
      </c>
      <c r="G665" s="152" t="str">
        <f>IFERROR(__xludf.DUMMYFUNCTION("""COMPUTED_VALUE"""),"")</f>
        <v/>
      </c>
      <c r="H665" s="106" t="s">
        <v>133</v>
      </c>
      <c r="I665" s="136"/>
      <c r="J665" s="139" t="s">
        <v>133</v>
      </c>
      <c r="K665" s="136" t="s">
        <v>133</v>
      </c>
      <c r="L665" s="153" t="str">
        <f>IFERROR(__xludf.DUMMYFUNCTION("""COMPUTED_VALUE"""),"")</f>
        <v/>
      </c>
      <c r="M665" s="136" t="str">
        <f t="shared" si="1"/>
        <v/>
      </c>
      <c r="N665" s="136" t="str">
        <f>IFERROR(__xludf.DUMMYFUNCTION("""COMPUTED_VALUE"""),"")</f>
        <v/>
      </c>
      <c r="O665" s="141" t="s">
        <v>133</v>
      </c>
      <c r="P665" s="136" t="str">
        <f>IFERROR(__xludf.DUMMYFUNCTION("""COMPUTED_VALUE"""),"")</f>
        <v/>
      </c>
      <c r="Q665" s="136" t="str">
        <f>IFERROR(__xludf.DUMMYFUNCTION("""COMPUTED_VALUE"""),"")</f>
        <v/>
      </c>
      <c r="R665" s="106" t="str">
        <f>IFERROR(__xludf.DUMMYFUNCTION("""COMPUTED_VALUE"""),"")</f>
        <v/>
      </c>
      <c r="S665" s="106" t="str">
        <f>IFERROR(__xludf.DUMMYFUNCTION("""COMPUTED_VALUE"""),"")</f>
        <v/>
      </c>
      <c r="T665" s="139" t="str">
        <f>IFERROR(__xludf.DUMMYFUNCTION("""COMPUTED_VALUE"""),"")</f>
        <v/>
      </c>
      <c r="U665" s="139" t="str">
        <f>IFERROR(__xludf.DUMMYFUNCTION("""COMPUTED_VALUE"""),"")</f>
        <v/>
      </c>
      <c r="V665" s="136" t="str">
        <f>IFERROR(__xludf.DUMMYFUNCTION("""COMPUTED_VALUE"""),"")</f>
        <v/>
      </c>
      <c r="W665" s="106" t="str">
        <f>IFERROR(__xludf.DUMMYFUNCTION("""COMPUTED_VALUE"""),"")</f>
        <v/>
      </c>
      <c r="X665" s="143" t="str">
        <f t="shared" si="2"/>
        <v/>
      </c>
      <c r="Y665" s="139" t="str">
        <f>IFERROR(__xludf.DUMMYFUNCTION("""COMPUTED_VALUE"""),"")</f>
        <v/>
      </c>
      <c r="Z665" s="141" t="str">
        <f>IFERROR(__xludf.DUMMYFUNCTION("""COMPUTED_VALUE"""),"")</f>
        <v/>
      </c>
    </row>
    <row r="666">
      <c r="C666" s="136" t="str">
        <f>IFERROR(__xludf.DUMMYFUNCTION("""COMPUTED_VALUE"""),"")</f>
        <v/>
      </c>
      <c r="D666" s="136" t="str">
        <f t="shared" si="3"/>
        <v/>
      </c>
      <c r="E666" s="152" t="str">
        <f>IFERROR(__xludf.DUMMYFUNCTION("""COMPUTED_VALUE"""),"")</f>
        <v/>
      </c>
      <c r="F666" s="106" t="s">
        <v>133</v>
      </c>
      <c r="G666" s="152" t="str">
        <f>IFERROR(__xludf.DUMMYFUNCTION("""COMPUTED_VALUE"""),"")</f>
        <v/>
      </c>
      <c r="H666" s="106" t="s">
        <v>133</v>
      </c>
      <c r="I666" s="136"/>
      <c r="J666" s="139" t="s">
        <v>133</v>
      </c>
      <c r="K666" s="136" t="s">
        <v>133</v>
      </c>
      <c r="L666" s="153" t="str">
        <f>IFERROR(__xludf.DUMMYFUNCTION("""COMPUTED_VALUE"""),"")</f>
        <v/>
      </c>
      <c r="M666" s="136" t="str">
        <f t="shared" si="1"/>
        <v/>
      </c>
      <c r="N666" s="136" t="str">
        <f>IFERROR(__xludf.DUMMYFUNCTION("""COMPUTED_VALUE"""),"")</f>
        <v/>
      </c>
      <c r="O666" s="141" t="s">
        <v>133</v>
      </c>
      <c r="P666" s="136" t="str">
        <f>IFERROR(__xludf.DUMMYFUNCTION("""COMPUTED_VALUE"""),"")</f>
        <v/>
      </c>
      <c r="Q666" s="136" t="str">
        <f>IFERROR(__xludf.DUMMYFUNCTION("""COMPUTED_VALUE"""),"")</f>
        <v/>
      </c>
      <c r="R666" s="106" t="str">
        <f>IFERROR(__xludf.DUMMYFUNCTION("""COMPUTED_VALUE"""),"")</f>
        <v/>
      </c>
      <c r="S666" s="106" t="str">
        <f>IFERROR(__xludf.DUMMYFUNCTION("""COMPUTED_VALUE"""),"")</f>
        <v/>
      </c>
      <c r="T666" s="139" t="str">
        <f>IFERROR(__xludf.DUMMYFUNCTION("""COMPUTED_VALUE"""),"")</f>
        <v/>
      </c>
      <c r="U666" s="139" t="str">
        <f>IFERROR(__xludf.DUMMYFUNCTION("""COMPUTED_VALUE"""),"")</f>
        <v/>
      </c>
      <c r="V666" s="136" t="str">
        <f>IFERROR(__xludf.DUMMYFUNCTION("""COMPUTED_VALUE"""),"")</f>
        <v/>
      </c>
      <c r="W666" s="106" t="str">
        <f>IFERROR(__xludf.DUMMYFUNCTION("""COMPUTED_VALUE"""),"")</f>
        <v/>
      </c>
      <c r="X666" s="143" t="str">
        <f t="shared" si="2"/>
        <v/>
      </c>
      <c r="Y666" s="139" t="str">
        <f>IFERROR(__xludf.DUMMYFUNCTION("""COMPUTED_VALUE"""),"")</f>
        <v/>
      </c>
      <c r="Z666" s="141" t="str">
        <f>IFERROR(__xludf.DUMMYFUNCTION("""COMPUTED_VALUE"""),"")</f>
        <v/>
      </c>
    </row>
    <row r="667">
      <c r="C667" s="136" t="str">
        <f>IFERROR(__xludf.DUMMYFUNCTION("""COMPUTED_VALUE"""),"")</f>
        <v/>
      </c>
      <c r="D667" s="136" t="str">
        <f t="shared" si="3"/>
        <v/>
      </c>
      <c r="E667" s="152" t="str">
        <f>IFERROR(__xludf.DUMMYFUNCTION("""COMPUTED_VALUE"""),"")</f>
        <v/>
      </c>
      <c r="F667" s="106" t="s">
        <v>133</v>
      </c>
      <c r="G667" s="152" t="str">
        <f>IFERROR(__xludf.DUMMYFUNCTION("""COMPUTED_VALUE"""),"")</f>
        <v/>
      </c>
      <c r="H667" s="106" t="s">
        <v>133</v>
      </c>
      <c r="I667" s="136"/>
      <c r="J667" s="139" t="s">
        <v>133</v>
      </c>
      <c r="K667" s="136" t="s">
        <v>133</v>
      </c>
      <c r="L667" s="153" t="str">
        <f>IFERROR(__xludf.DUMMYFUNCTION("""COMPUTED_VALUE"""),"")</f>
        <v/>
      </c>
      <c r="M667" s="136" t="str">
        <f t="shared" si="1"/>
        <v/>
      </c>
      <c r="N667" s="136" t="str">
        <f>IFERROR(__xludf.DUMMYFUNCTION("""COMPUTED_VALUE"""),"")</f>
        <v/>
      </c>
      <c r="O667" s="141" t="s">
        <v>133</v>
      </c>
      <c r="P667" s="136" t="str">
        <f>IFERROR(__xludf.DUMMYFUNCTION("""COMPUTED_VALUE"""),"")</f>
        <v/>
      </c>
      <c r="Q667" s="136" t="str">
        <f>IFERROR(__xludf.DUMMYFUNCTION("""COMPUTED_VALUE"""),"")</f>
        <v/>
      </c>
      <c r="R667" s="106" t="str">
        <f>IFERROR(__xludf.DUMMYFUNCTION("""COMPUTED_VALUE"""),"")</f>
        <v/>
      </c>
      <c r="S667" s="106" t="str">
        <f>IFERROR(__xludf.DUMMYFUNCTION("""COMPUTED_VALUE"""),"")</f>
        <v/>
      </c>
      <c r="T667" s="139" t="str">
        <f>IFERROR(__xludf.DUMMYFUNCTION("""COMPUTED_VALUE"""),"")</f>
        <v/>
      </c>
      <c r="U667" s="139" t="str">
        <f>IFERROR(__xludf.DUMMYFUNCTION("""COMPUTED_VALUE"""),"")</f>
        <v/>
      </c>
      <c r="V667" s="136" t="str">
        <f>IFERROR(__xludf.DUMMYFUNCTION("""COMPUTED_VALUE"""),"")</f>
        <v/>
      </c>
      <c r="W667" s="106" t="str">
        <f>IFERROR(__xludf.DUMMYFUNCTION("""COMPUTED_VALUE"""),"")</f>
        <v/>
      </c>
      <c r="X667" s="143" t="str">
        <f t="shared" si="2"/>
        <v/>
      </c>
      <c r="Y667" s="139" t="str">
        <f>IFERROR(__xludf.DUMMYFUNCTION("""COMPUTED_VALUE"""),"")</f>
        <v/>
      </c>
      <c r="Z667" s="141" t="str">
        <f>IFERROR(__xludf.DUMMYFUNCTION("""COMPUTED_VALUE"""),"")</f>
        <v/>
      </c>
    </row>
    <row r="668">
      <c r="C668" s="136" t="str">
        <f>IFERROR(__xludf.DUMMYFUNCTION("""COMPUTED_VALUE"""),"")</f>
        <v/>
      </c>
      <c r="D668" s="136" t="str">
        <f t="shared" si="3"/>
        <v/>
      </c>
      <c r="E668" s="152" t="str">
        <f>IFERROR(__xludf.DUMMYFUNCTION("""COMPUTED_VALUE"""),"")</f>
        <v/>
      </c>
      <c r="F668" s="106" t="s">
        <v>133</v>
      </c>
      <c r="G668" s="152" t="str">
        <f>IFERROR(__xludf.DUMMYFUNCTION("""COMPUTED_VALUE"""),"")</f>
        <v/>
      </c>
      <c r="H668" s="106" t="s">
        <v>133</v>
      </c>
      <c r="I668" s="136"/>
      <c r="J668" s="139" t="s">
        <v>133</v>
      </c>
      <c r="K668" s="136" t="s">
        <v>133</v>
      </c>
      <c r="L668" s="153" t="str">
        <f>IFERROR(__xludf.DUMMYFUNCTION("""COMPUTED_VALUE"""),"")</f>
        <v/>
      </c>
      <c r="M668" s="136" t="str">
        <f t="shared" si="1"/>
        <v/>
      </c>
      <c r="N668" s="136" t="str">
        <f>IFERROR(__xludf.DUMMYFUNCTION("""COMPUTED_VALUE"""),"")</f>
        <v/>
      </c>
      <c r="O668" s="141" t="s">
        <v>133</v>
      </c>
      <c r="P668" s="136" t="str">
        <f>IFERROR(__xludf.DUMMYFUNCTION("""COMPUTED_VALUE"""),"")</f>
        <v/>
      </c>
      <c r="Q668" s="136" t="str">
        <f>IFERROR(__xludf.DUMMYFUNCTION("""COMPUTED_VALUE"""),"")</f>
        <v/>
      </c>
      <c r="R668" s="106" t="str">
        <f>IFERROR(__xludf.DUMMYFUNCTION("""COMPUTED_VALUE"""),"")</f>
        <v/>
      </c>
      <c r="S668" s="106" t="str">
        <f>IFERROR(__xludf.DUMMYFUNCTION("""COMPUTED_VALUE"""),"")</f>
        <v/>
      </c>
      <c r="T668" s="139" t="str">
        <f>IFERROR(__xludf.DUMMYFUNCTION("""COMPUTED_VALUE"""),"")</f>
        <v/>
      </c>
      <c r="U668" s="139" t="str">
        <f>IFERROR(__xludf.DUMMYFUNCTION("""COMPUTED_VALUE"""),"")</f>
        <v/>
      </c>
      <c r="V668" s="136" t="str">
        <f>IFERROR(__xludf.DUMMYFUNCTION("""COMPUTED_VALUE"""),"")</f>
        <v/>
      </c>
      <c r="W668" s="106" t="str">
        <f>IFERROR(__xludf.DUMMYFUNCTION("""COMPUTED_VALUE"""),"")</f>
        <v/>
      </c>
      <c r="X668" s="143" t="str">
        <f t="shared" si="2"/>
        <v/>
      </c>
      <c r="Y668" s="139" t="str">
        <f>IFERROR(__xludf.DUMMYFUNCTION("""COMPUTED_VALUE"""),"")</f>
        <v/>
      </c>
      <c r="Z668" s="141" t="str">
        <f>IFERROR(__xludf.DUMMYFUNCTION("""COMPUTED_VALUE"""),"")</f>
        <v/>
      </c>
    </row>
    <row r="669">
      <c r="C669" s="136" t="str">
        <f>IFERROR(__xludf.DUMMYFUNCTION("""COMPUTED_VALUE"""),"")</f>
        <v/>
      </c>
      <c r="D669" s="136" t="str">
        <f t="shared" si="3"/>
        <v/>
      </c>
      <c r="E669" s="152" t="str">
        <f>IFERROR(__xludf.DUMMYFUNCTION("""COMPUTED_VALUE"""),"")</f>
        <v/>
      </c>
      <c r="F669" s="106" t="s">
        <v>133</v>
      </c>
      <c r="G669" s="152" t="str">
        <f>IFERROR(__xludf.DUMMYFUNCTION("""COMPUTED_VALUE"""),"")</f>
        <v/>
      </c>
      <c r="H669" s="106" t="s">
        <v>133</v>
      </c>
      <c r="I669" s="136"/>
      <c r="J669" s="139" t="s">
        <v>133</v>
      </c>
      <c r="K669" s="136" t="s">
        <v>133</v>
      </c>
      <c r="L669" s="153" t="str">
        <f>IFERROR(__xludf.DUMMYFUNCTION("""COMPUTED_VALUE"""),"")</f>
        <v/>
      </c>
      <c r="M669" s="136" t="str">
        <f t="shared" si="1"/>
        <v/>
      </c>
      <c r="N669" s="136" t="str">
        <f>IFERROR(__xludf.DUMMYFUNCTION("""COMPUTED_VALUE"""),"")</f>
        <v/>
      </c>
      <c r="O669" s="141" t="s">
        <v>133</v>
      </c>
      <c r="P669" s="136" t="str">
        <f>IFERROR(__xludf.DUMMYFUNCTION("""COMPUTED_VALUE"""),"")</f>
        <v/>
      </c>
      <c r="Q669" s="136" t="str">
        <f>IFERROR(__xludf.DUMMYFUNCTION("""COMPUTED_VALUE"""),"")</f>
        <v/>
      </c>
      <c r="R669" s="106" t="str">
        <f>IFERROR(__xludf.DUMMYFUNCTION("""COMPUTED_VALUE"""),"")</f>
        <v/>
      </c>
      <c r="S669" s="106" t="str">
        <f>IFERROR(__xludf.DUMMYFUNCTION("""COMPUTED_VALUE"""),"")</f>
        <v/>
      </c>
      <c r="T669" s="139" t="str">
        <f>IFERROR(__xludf.DUMMYFUNCTION("""COMPUTED_VALUE"""),"")</f>
        <v/>
      </c>
      <c r="U669" s="139" t="str">
        <f>IFERROR(__xludf.DUMMYFUNCTION("""COMPUTED_VALUE"""),"")</f>
        <v/>
      </c>
      <c r="V669" s="136" t="str">
        <f>IFERROR(__xludf.DUMMYFUNCTION("""COMPUTED_VALUE"""),"")</f>
        <v/>
      </c>
      <c r="W669" s="106" t="str">
        <f>IFERROR(__xludf.DUMMYFUNCTION("""COMPUTED_VALUE"""),"")</f>
        <v/>
      </c>
      <c r="X669" s="143" t="str">
        <f t="shared" si="2"/>
        <v/>
      </c>
      <c r="Y669" s="139" t="str">
        <f>IFERROR(__xludf.DUMMYFUNCTION("""COMPUTED_VALUE"""),"")</f>
        <v/>
      </c>
      <c r="Z669" s="141" t="str">
        <f>IFERROR(__xludf.DUMMYFUNCTION("""COMPUTED_VALUE"""),"")</f>
        <v/>
      </c>
    </row>
    <row r="670">
      <c r="C670" s="136" t="str">
        <f>IFERROR(__xludf.DUMMYFUNCTION("""COMPUTED_VALUE"""),"")</f>
        <v/>
      </c>
      <c r="D670" s="136" t="str">
        <f t="shared" si="3"/>
        <v/>
      </c>
      <c r="E670" s="152" t="str">
        <f>IFERROR(__xludf.DUMMYFUNCTION("""COMPUTED_VALUE"""),"")</f>
        <v/>
      </c>
      <c r="F670" s="106" t="s">
        <v>133</v>
      </c>
      <c r="G670" s="152" t="str">
        <f>IFERROR(__xludf.DUMMYFUNCTION("""COMPUTED_VALUE"""),"")</f>
        <v/>
      </c>
      <c r="H670" s="106" t="s">
        <v>133</v>
      </c>
      <c r="I670" s="136"/>
      <c r="J670" s="139" t="s">
        <v>133</v>
      </c>
      <c r="K670" s="136" t="s">
        <v>133</v>
      </c>
      <c r="L670" s="153" t="str">
        <f>IFERROR(__xludf.DUMMYFUNCTION("""COMPUTED_VALUE"""),"")</f>
        <v/>
      </c>
      <c r="M670" s="136" t="str">
        <f t="shared" si="1"/>
        <v/>
      </c>
      <c r="N670" s="136" t="str">
        <f>IFERROR(__xludf.DUMMYFUNCTION("""COMPUTED_VALUE"""),"")</f>
        <v/>
      </c>
      <c r="O670" s="141" t="s">
        <v>133</v>
      </c>
      <c r="P670" s="136" t="str">
        <f>IFERROR(__xludf.DUMMYFUNCTION("""COMPUTED_VALUE"""),"")</f>
        <v/>
      </c>
      <c r="Q670" s="136" t="str">
        <f>IFERROR(__xludf.DUMMYFUNCTION("""COMPUTED_VALUE"""),"")</f>
        <v/>
      </c>
      <c r="R670" s="106" t="str">
        <f>IFERROR(__xludf.DUMMYFUNCTION("""COMPUTED_VALUE"""),"")</f>
        <v/>
      </c>
      <c r="S670" s="106" t="str">
        <f>IFERROR(__xludf.DUMMYFUNCTION("""COMPUTED_VALUE"""),"")</f>
        <v/>
      </c>
      <c r="T670" s="139" t="str">
        <f>IFERROR(__xludf.DUMMYFUNCTION("""COMPUTED_VALUE"""),"")</f>
        <v/>
      </c>
      <c r="U670" s="139" t="str">
        <f>IFERROR(__xludf.DUMMYFUNCTION("""COMPUTED_VALUE"""),"")</f>
        <v/>
      </c>
      <c r="V670" s="136" t="str">
        <f>IFERROR(__xludf.DUMMYFUNCTION("""COMPUTED_VALUE"""),"")</f>
        <v/>
      </c>
      <c r="W670" s="106" t="str">
        <f>IFERROR(__xludf.DUMMYFUNCTION("""COMPUTED_VALUE"""),"")</f>
        <v/>
      </c>
      <c r="X670" s="143" t="str">
        <f t="shared" si="2"/>
        <v/>
      </c>
      <c r="Y670" s="139" t="str">
        <f>IFERROR(__xludf.DUMMYFUNCTION("""COMPUTED_VALUE"""),"")</f>
        <v/>
      </c>
      <c r="Z670" s="141" t="str">
        <f>IFERROR(__xludf.DUMMYFUNCTION("""COMPUTED_VALUE"""),"")</f>
        <v/>
      </c>
    </row>
    <row r="671">
      <c r="C671" s="136" t="str">
        <f>IFERROR(__xludf.DUMMYFUNCTION("""COMPUTED_VALUE"""),"")</f>
        <v/>
      </c>
      <c r="D671" s="136" t="str">
        <f t="shared" si="3"/>
        <v/>
      </c>
      <c r="E671" s="152" t="str">
        <f>IFERROR(__xludf.DUMMYFUNCTION("""COMPUTED_VALUE"""),"")</f>
        <v/>
      </c>
      <c r="F671" s="106" t="s">
        <v>133</v>
      </c>
      <c r="G671" s="152" t="str">
        <f>IFERROR(__xludf.DUMMYFUNCTION("""COMPUTED_VALUE"""),"")</f>
        <v/>
      </c>
      <c r="H671" s="106" t="s">
        <v>133</v>
      </c>
      <c r="I671" s="136"/>
      <c r="J671" s="139" t="s">
        <v>133</v>
      </c>
      <c r="K671" s="136" t="s">
        <v>133</v>
      </c>
      <c r="L671" s="153" t="str">
        <f>IFERROR(__xludf.DUMMYFUNCTION("""COMPUTED_VALUE"""),"")</f>
        <v/>
      </c>
      <c r="M671" s="136" t="str">
        <f t="shared" si="1"/>
        <v/>
      </c>
      <c r="N671" s="136" t="str">
        <f>IFERROR(__xludf.DUMMYFUNCTION("""COMPUTED_VALUE"""),"")</f>
        <v/>
      </c>
      <c r="O671" s="141" t="s">
        <v>133</v>
      </c>
      <c r="P671" s="136" t="str">
        <f>IFERROR(__xludf.DUMMYFUNCTION("""COMPUTED_VALUE"""),"")</f>
        <v/>
      </c>
      <c r="Q671" s="136" t="str">
        <f>IFERROR(__xludf.DUMMYFUNCTION("""COMPUTED_VALUE"""),"")</f>
        <v/>
      </c>
      <c r="R671" s="106" t="str">
        <f>IFERROR(__xludf.DUMMYFUNCTION("""COMPUTED_VALUE"""),"")</f>
        <v/>
      </c>
      <c r="S671" s="106" t="str">
        <f>IFERROR(__xludf.DUMMYFUNCTION("""COMPUTED_VALUE"""),"")</f>
        <v/>
      </c>
      <c r="T671" s="139" t="str">
        <f>IFERROR(__xludf.DUMMYFUNCTION("""COMPUTED_VALUE"""),"")</f>
        <v/>
      </c>
      <c r="U671" s="139" t="str">
        <f>IFERROR(__xludf.DUMMYFUNCTION("""COMPUTED_VALUE"""),"")</f>
        <v/>
      </c>
      <c r="V671" s="136" t="str">
        <f>IFERROR(__xludf.DUMMYFUNCTION("""COMPUTED_VALUE"""),"")</f>
        <v/>
      </c>
      <c r="W671" s="106" t="str">
        <f>IFERROR(__xludf.DUMMYFUNCTION("""COMPUTED_VALUE"""),"")</f>
        <v/>
      </c>
      <c r="X671" s="143" t="str">
        <f t="shared" si="2"/>
        <v/>
      </c>
      <c r="Y671" s="139" t="str">
        <f>IFERROR(__xludf.DUMMYFUNCTION("""COMPUTED_VALUE"""),"")</f>
        <v/>
      </c>
      <c r="Z671" s="141" t="str">
        <f>IFERROR(__xludf.DUMMYFUNCTION("""COMPUTED_VALUE"""),"")</f>
        <v/>
      </c>
    </row>
    <row r="672">
      <c r="C672" s="136" t="str">
        <f>IFERROR(__xludf.DUMMYFUNCTION("""COMPUTED_VALUE"""),"")</f>
        <v/>
      </c>
      <c r="D672" s="136" t="str">
        <f t="shared" si="3"/>
        <v/>
      </c>
      <c r="E672" s="152" t="str">
        <f>IFERROR(__xludf.DUMMYFUNCTION("""COMPUTED_VALUE"""),"")</f>
        <v/>
      </c>
      <c r="F672" s="106" t="s">
        <v>133</v>
      </c>
      <c r="G672" s="152" t="str">
        <f>IFERROR(__xludf.DUMMYFUNCTION("""COMPUTED_VALUE"""),"")</f>
        <v/>
      </c>
      <c r="H672" s="106" t="s">
        <v>133</v>
      </c>
      <c r="I672" s="136"/>
      <c r="J672" s="139" t="s">
        <v>133</v>
      </c>
      <c r="K672" s="136" t="s">
        <v>133</v>
      </c>
      <c r="L672" s="153" t="str">
        <f>IFERROR(__xludf.DUMMYFUNCTION("""COMPUTED_VALUE"""),"")</f>
        <v/>
      </c>
      <c r="M672" s="136" t="str">
        <f t="shared" si="1"/>
        <v/>
      </c>
      <c r="N672" s="136" t="str">
        <f>IFERROR(__xludf.DUMMYFUNCTION("""COMPUTED_VALUE"""),"")</f>
        <v/>
      </c>
      <c r="O672" s="141" t="s">
        <v>133</v>
      </c>
      <c r="P672" s="136" t="str">
        <f>IFERROR(__xludf.DUMMYFUNCTION("""COMPUTED_VALUE"""),"")</f>
        <v/>
      </c>
      <c r="Q672" s="136" t="str">
        <f>IFERROR(__xludf.DUMMYFUNCTION("""COMPUTED_VALUE"""),"")</f>
        <v/>
      </c>
      <c r="R672" s="106" t="str">
        <f>IFERROR(__xludf.DUMMYFUNCTION("""COMPUTED_VALUE"""),"")</f>
        <v/>
      </c>
      <c r="S672" s="106" t="str">
        <f>IFERROR(__xludf.DUMMYFUNCTION("""COMPUTED_VALUE"""),"")</f>
        <v/>
      </c>
      <c r="T672" s="139" t="str">
        <f>IFERROR(__xludf.DUMMYFUNCTION("""COMPUTED_VALUE"""),"")</f>
        <v/>
      </c>
      <c r="U672" s="139" t="str">
        <f>IFERROR(__xludf.DUMMYFUNCTION("""COMPUTED_VALUE"""),"")</f>
        <v/>
      </c>
      <c r="V672" s="136" t="str">
        <f>IFERROR(__xludf.DUMMYFUNCTION("""COMPUTED_VALUE"""),"")</f>
        <v/>
      </c>
      <c r="W672" s="106" t="str">
        <f>IFERROR(__xludf.DUMMYFUNCTION("""COMPUTED_VALUE"""),"")</f>
        <v/>
      </c>
      <c r="X672" s="143" t="str">
        <f t="shared" si="2"/>
        <v/>
      </c>
      <c r="Y672" s="139" t="str">
        <f>IFERROR(__xludf.DUMMYFUNCTION("""COMPUTED_VALUE"""),"")</f>
        <v/>
      </c>
      <c r="Z672" s="141" t="str">
        <f>IFERROR(__xludf.DUMMYFUNCTION("""COMPUTED_VALUE"""),"")</f>
        <v/>
      </c>
    </row>
    <row r="673">
      <c r="C673" s="136" t="str">
        <f>IFERROR(__xludf.DUMMYFUNCTION("""COMPUTED_VALUE"""),"")</f>
        <v/>
      </c>
      <c r="D673" s="136" t="str">
        <f t="shared" si="3"/>
        <v/>
      </c>
      <c r="E673" s="152" t="str">
        <f>IFERROR(__xludf.DUMMYFUNCTION("""COMPUTED_VALUE"""),"")</f>
        <v/>
      </c>
      <c r="F673" s="106" t="s">
        <v>133</v>
      </c>
      <c r="G673" s="152" t="str">
        <f>IFERROR(__xludf.DUMMYFUNCTION("""COMPUTED_VALUE"""),"")</f>
        <v/>
      </c>
      <c r="H673" s="106" t="s">
        <v>133</v>
      </c>
      <c r="I673" s="136"/>
      <c r="J673" s="139" t="s">
        <v>133</v>
      </c>
      <c r="K673" s="136" t="s">
        <v>133</v>
      </c>
      <c r="L673" s="153" t="str">
        <f>IFERROR(__xludf.DUMMYFUNCTION("""COMPUTED_VALUE"""),"")</f>
        <v/>
      </c>
      <c r="M673" s="136" t="str">
        <f t="shared" si="1"/>
        <v/>
      </c>
      <c r="N673" s="136" t="str">
        <f>IFERROR(__xludf.DUMMYFUNCTION("""COMPUTED_VALUE"""),"")</f>
        <v/>
      </c>
      <c r="O673" s="141" t="s">
        <v>133</v>
      </c>
      <c r="P673" s="136" t="str">
        <f>IFERROR(__xludf.DUMMYFUNCTION("""COMPUTED_VALUE"""),"")</f>
        <v/>
      </c>
      <c r="Q673" s="136" t="str">
        <f>IFERROR(__xludf.DUMMYFUNCTION("""COMPUTED_VALUE"""),"")</f>
        <v/>
      </c>
      <c r="R673" s="106" t="str">
        <f>IFERROR(__xludf.DUMMYFUNCTION("""COMPUTED_VALUE"""),"")</f>
        <v/>
      </c>
      <c r="S673" s="106" t="str">
        <f>IFERROR(__xludf.DUMMYFUNCTION("""COMPUTED_VALUE"""),"")</f>
        <v/>
      </c>
      <c r="T673" s="139" t="str">
        <f>IFERROR(__xludf.DUMMYFUNCTION("""COMPUTED_VALUE"""),"")</f>
        <v/>
      </c>
      <c r="U673" s="139" t="str">
        <f>IFERROR(__xludf.DUMMYFUNCTION("""COMPUTED_VALUE"""),"")</f>
        <v/>
      </c>
      <c r="V673" s="136" t="str">
        <f>IFERROR(__xludf.DUMMYFUNCTION("""COMPUTED_VALUE"""),"")</f>
        <v/>
      </c>
      <c r="W673" s="106" t="str">
        <f>IFERROR(__xludf.DUMMYFUNCTION("""COMPUTED_VALUE"""),"")</f>
        <v/>
      </c>
      <c r="X673" s="143" t="str">
        <f t="shared" si="2"/>
        <v/>
      </c>
      <c r="Y673" s="139" t="str">
        <f>IFERROR(__xludf.DUMMYFUNCTION("""COMPUTED_VALUE"""),"")</f>
        <v/>
      </c>
      <c r="Z673" s="141" t="str">
        <f>IFERROR(__xludf.DUMMYFUNCTION("""COMPUTED_VALUE"""),"")</f>
        <v/>
      </c>
    </row>
    <row r="674">
      <c r="C674" s="136" t="str">
        <f>IFERROR(__xludf.DUMMYFUNCTION("""COMPUTED_VALUE"""),"")</f>
        <v/>
      </c>
      <c r="D674" s="136" t="str">
        <f t="shared" si="3"/>
        <v/>
      </c>
      <c r="E674" s="152" t="str">
        <f>IFERROR(__xludf.DUMMYFUNCTION("""COMPUTED_VALUE"""),"")</f>
        <v/>
      </c>
      <c r="F674" s="106" t="s">
        <v>133</v>
      </c>
      <c r="G674" s="152" t="str">
        <f>IFERROR(__xludf.DUMMYFUNCTION("""COMPUTED_VALUE"""),"")</f>
        <v/>
      </c>
      <c r="H674" s="106" t="s">
        <v>133</v>
      </c>
      <c r="I674" s="136"/>
      <c r="J674" s="139" t="s">
        <v>133</v>
      </c>
      <c r="K674" s="136" t="s">
        <v>133</v>
      </c>
      <c r="L674" s="153" t="str">
        <f>IFERROR(__xludf.DUMMYFUNCTION("""COMPUTED_VALUE"""),"")</f>
        <v/>
      </c>
      <c r="M674" s="136" t="str">
        <f t="shared" si="1"/>
        <v/>
      </c>
      <c r="N674" s="136" t="str">
        <f>IFERROR(__xludf.DUMMYFUNCTION("""COMPUTED_VALUE"""),"")</f>
        <v/>
      </c>
      <c r="O674" s="141" t="s">
        <v>133</v>
      </c>
      <c r="P674" s="136" t="str">
        <f>IFERROR(__xludf.DUMMYFUNCTION("""COMPUTED_VALUE"""),"")</f>
        <v/>
      </c>
      <c r="Q674" s="136" t="str">
        <f>IFERROR(__xludf.DUMMYFUNCTION("""COMPUTED_VALUE"""),"")</f>
        <v/>
      </c>
      <c r="R674" s="106" t="str">
        <f>IFERROR(__xludf.DUMMYFUNCTION("""COMPUTED_VALUE"""),"")</f>
        <v/>
      </c>
      <c r="S674" s="106" t="str">
        <f>IFERROR(__xludf.DUMMYFUNCTION("""COMPUTED_VALUE"""),"")</f>
        <v/>
      </c>
      <c r="T674" s="139" t="str">
        <f>IFERROR(__xludf.DUMMYFUNCTION("""COMPUTED_VALUE"""),"")</f>
        <v/>
      </c>
      <c r="U674" s="139" t="str">
        <f>IFERROR(__xludf.DUMMYFUNCTION("""COMPUTED_VALUE"""),"")</f>
        <v/>
      </c>
      <c r="V674" s="136" t="str">
        <f>IFERROR(__xludf.DUMMYFUNCTION("""COMPUTED_VALUE"""),"")</f>
        <v/>
      </c>
      <c r="W674" s="106" t="str">
        <f>IFERROR(__xludf.DUMMYFUNCTION("""COMPUTED_VALUE"""),"")</f>
        <v/>
      </c>
      <c r="X674" s="143" t="str">
        <f t="shared" si="2"/>
        <v/>
      </c>
      <c r="Y674" s="139" t="str">
        <f>IFERROR(__xludf.DUMMYFUNCTION("""COMPUTED_VALUE"""),"")</f>
        <v/>
      </c>
      <c r="Z674" s="141" t="str">
        <f>IFERROR(__xludf.DUMMYFUNCTION("""COMPUTED_VALUE"""),"")</f>
        <v/>
      </c>
    </row>
    <row r="675">
      <c r="C675" s="136" t="str">
        <f>IFERROR(__xludf.DUMMYFUNCTION("""COMPUTED_VALUE"""),"")</f>
        <v/>
      </c>
      <c r="D675" s="136" t="str">
        <f t="shared" si="3"/>
        <v/>
      </c>
      <c r="E675" s="152" t="str">
        <f>IFERROR(__xludf.DUMMYFUNCTION("""COMPUTED_VALUE"""),"")</f>
        <v/>
      </c>
      <c r="F675" s="106" t="s">
        <v>133</v>
      </c>
      <c r="G675" s="152" t="str">
        <f>IFERROR(__xludf.DUMMYFUNCTION("""COMPUTED_VALUE"""),"")</f>
        <v/>
      </c>
      <c r="H675" s="106" t="s">
        <v>133</v>
      </c>
      <c r="I675" s="136"/>
      <c r="J675" s="139" t="s">
        <v>133</v>
      </c>
      <c r="K675" s="136" t="s">
        <v>133</v>
      </c>
      <c r="L675" s="153" t="str">
        <f>IFERROR(__xludf.DUMMYFUNCTION("""COMPUTED_VALUE"""),"")</f>
        <v/>
      </c>
      <c r="M675" s="136" t="str">
        <f t="shared" si="1"/>
        <v/>
      </c>
      <c r="N675" s="136" t="str">
        <f>IFERROR(__xludf.DUMMYFUNCTION("""COMPUTED_VALUE"""),"")</f>
        <v/>
      </c>
      <c r="O675" s="141" t="s">
        <v>133</v>
      </c>
      <c r="P675" s="136" t="str">
        <f>IFERROR(__xludf.DUMMYFUNCTION("""COMPUTED_VALUE"""),"")</f>
        <v/>
      </c>
      <c r="Q675" s="136" t="str">
        <f>IFERROR(__xludf.DUMMYFUNCTION("""COMPUTED_VALUE"""),"")</f>
        <v/>
      </c>
      <c r="R675" s="106" t="str">
        <f>IFERROR(__xludf.DUMMYFUNCTION("""COMPUTED_VALUE"""),"")</f>
        <v/>
      </c>
      <c r="S675" s="106" t="str">
        <f>IFERROR(__xludf.DUMMYFUNCTION("""COMPUTED_VALUE"""),"")</f>
        <v/>
      </c>
      <c r="T675" s="139" t="str">
        <f>IFERROR(__xludf.DUMMYFUNCTION("""COMPUTED_VALUE"""),"")</f>
        <v/>
      </c>
      <c r="U675" s="139" t="str">
        <f>IFERROR(__xludf.DUMMYFUNCTION("""COMPUTED_VALUE"""),"")</f>
        <v/>
      </c>
      <c r="V675" s="136" t="str">
        <f>IFERROR(__xludf.DUMMYFUNCTION("""COMPUTED_VALUE"""),"")</f>
        <v/>
      </c>
      <c r="W675" s="106" t="str">
        <f>IFERROR(__xludf.DUMMYFUNCTION("""COMPUTED_VALUE"""),"")</f>
        <v/>
      </c>
      <c r="X675" s="143" t="str">
        <f t="shared" si="2"/>
        <v/>
      </c>
      <c r="Y675" s="139" t="str">
        <f>IFERROR(__xludf.DUMMYFUNCTION("""COMPUTED_VALUE"""),"")</f>
        <v/>
      </c>
      <c r="Z675" s="141" t="str">
        <f>IFERROR(__xludf.DUMMYFUNCTION("""COMPUTED_VALUE"""),"")</f>
        <v/>
      </c>
    </row>
    <row r="676">
      <c r="C676" s="136" t="str">
        <f>IFERROR(__xludf.DUMMYFUNCTION("""COMPUTED_VALUE"""),"")</f>
        <v/>
      </c>
      <c r="D676" s="136" t="str">
        <f t="shared" si="3"/>
        <v/>
      </c>
      <c r="E676" s="152" t="str">
        <f>IFERROR(__xludf.DUMMYFUNCTION("""COMPUTED_VALUE"""),"")</f>
        <v/>
      </c>
      <c r="F676" s="106" t="s">
        <v>133</v>
      </c>
      <c r="G676" s="152" t="str">
        <f>IFERROR(__xludf.DUMMYFUNCTION("""COMPUTED_VALUE"""),"")</f>
        <v/>
      </c>
      <c r="H676" s="106" t="s">
        <v>133</v>
      </c>
      <c r="I676" s="136"/>
      <c r="J676" s="139" t="s">
        <v>133</v>
      </c>
      <c r="K676" s="136" t="s">
        <v>133</v>
      </c>
      <c r="L676" s="153" t="str">
        <f>IFERROR(__xludf.DUMMYFUNCTION("""COMPUTED_VALUE"""),"")</f>
        <v/>
      </c>
      <c r="M676" s="136" t="str">
        <f t="shared" si="1"/>
        <v/>
      </c>
      <c r="N676" s="136" t="str">
        <f>IFERROR(__xludf.DUMMYFUNCTION("""COMPUTED_VALUE"""),"")</f>
        <v/>
      </c>
      <c r="O676" s="141" t="s">
        <v>133</v>
      </c>
      <c r="P676" s="136" t="str">
        <f>IFERROR(__xludf.DUMMYFUNCTION("""COMPUTED_VALUE"""),"")</f>
        <v/>
      </c>
      <c r="Q676" s="136" t="str">
        <f>IFERROR(__xludf.DUMMYFUNCTION("""COMPUTED_VALUE"""),"")</f>
        <v/>
      </c>
      <c r="R676" s="106" t="str">
        <f>IFERROR(__xludf.DUMMYFUNCTION("""COMPUTED_VALUE"""),"")</f>
        <v/>
      </c>
      <c r="S676" s="106" t="str">
        <f>IFERROR(__xludf.DUMMYFUNCTION("""COMPUTED_VALUE"""),"")</f>
        <v/>
      </c>
      <c r="T676" s="139" t="str">
        <f>IFERROR(__xludf.DUMMYFUNCTION("""COMPUTED_VALUE"""),"")</f>
        <v/>
      </c>
      <c r="U676" s="139" t="str">
        <f>IFERROR(__xludf.DUMMYFUNCTION("""COMPUTED_VALUE"""),"")</f>
        <v/>
      </c>
      <c r="V676" s="136" t="str">
        <f>IFERROR(__xludf.DUMMYFUNCTION("""COMPUTED_VALUE"""),"")</f>
        <v/>
      </c>
      <c r="W676" s="106" t="str">
        <f>IFERROR(__xludf.DUMMYFUNCTION("""COMPUTED_VALUE"""),"")</f>
        <v/>
      </c>
      <c r="X676" s="143" t="str">
        <f t="shared" si="2"/>
        <v/>
      </c>
      <c r="Y676" s="139" t="str">
        <f>IFERROR(__xludf.DUMMYFUNCTION("""COMPUTED_VALUE"""),"")</f>
        <v/>
      </c>
      <c r="Z676" s="141" t="str">
        <f>IFERROR(__xludf.DUMMYFUNCTION("""COMPUTED_VALUE"""),"")</f>
        <v/>
      </c>
    </row>
    <row r="677">
      <c r="C677" s="136" t="str">
        <f>IFERROR(__xludf.DUMMYFUNCTION("""COMPUTED_VALUE"""),"")</f>
        <v/>
      </c>
      <c r="D677" s="136" t="str">
        <f t="shared" si="3"/>
        <v/>
      </c>
      <c r="E677" s="152" t="str">
        <f>IFERROR(__xludf.DUMMYFUNCTION("""COMPUTED_VALUE"""),"")</f>
        <v/>
      </c>
      <c r="F677" s="106" t="s">
        <v>133</v>
      </c>
      <c r="G677" s="152" t="str">
        <f>IFERROR(__xludf.DUMMYFUNCTION("""COMPUTED_VALUE"""),"")</f>
        <v/>
      </c>
      <c r="H677" s="106" t="s">
        <v>133</v>
      </c>
      <c r="I677" s="136"/>
      <c r="J677" s="139" t="s">
        <v>133</v>
      </c>
      <c r="K677" s="136" t="s">
        <v>133</v>
      </c>
      <c r="L677" s="153" t="str">
        <f>IFERROR(__xludf.DUMMYFUNCTION("""COMPUTED_VALUE"""),"")</f>
        <v/>
      </c>
      <c r="M677" s="136" t="str">
        <f t="shared" si="1"/>
        <v/>
      </c>
      <c r="N677" s="136" t="str">
        <f>IFERROR(__xludf.DUMMYFUNCTION("""COMPUTED_VALUE"""),"")</f>
        <v/>
      </c>
      <c r="O677" s="141" t="s">
        <v>133</v>
      </c>
      <c r="P677" s="136" t="str">
        <f>IFERROR(__xludf.DUMMYFUNCTION("""COMPUTED_VALUE"""),"")</f>
        <v/>
      </c>
      <c r="Q677" s="136" t="str">
        <f>IFERROR(__xludf.DUMMYFUNCTION("""COMPUTED_VALUE"""),"")</f>
        <v/>
      </c>
      <c r="R677" s="106" t="str">
        <f>IFERROR(__xludf.DUMMYFUNCTION("""COMPUTED_VALUE"""),"")</f>
        <v/>
      </c>
      <c r="S677" s="106" t="str">
        <f>IFERROR(__xludf.DUMMYFUNCTION("""COMPUTED_VALUE"""),"")</f>
        <v/>
      </c>
      <c r="T677" s="139" t="str">
        <f>IFERROR(__xludf.DUMMYFUNCTION("""COMPUTED_VALUE"""),"")</f>
        <v/>
      </c>
      <c r="U677" s="139" t="str">
        <f>IFERROR(__xludf.DUMMYFUNCTION("""COMPUTED_VALUE"""),"")</f>
        <v/>
      </c>
      <c r="V677" s="136" t="str">
        <f>IFERROR(__xludf.DUMMYFUNCTION("""COMPUTED_VALUE"""),"")</f>
        <v/>
      </c>
      <c r="W677" s="106" t="str">
        <f>IFERROR(__xludf.DUMMYFUNCTION("""COMPUTED_VALUE"""),"")</f>
        <v/>
      </c>
      <c r="X677" s="143" t="str">
        <f t="shared" si="2"/>
        <v/>
      </c>
      <c r="Y677" s="139" t="str">
        <f>IFERROR(__xludf.DUMMYFUNCTION("""COMPUTED_VALUE"""),"")</f>
        <v/>
      </c>
      <c r="Z677" s="141" t="str">
        <f>IFERROR(__xludf.DUMMYFUNCTION("""COMPUTED_VALUE"""),"")</f>
        <v/>
      </c>
    </row>
    <row r="678">
      <c r="C678" s="136" t="str">
        <f>IFERROR(__xludf.DUMMYFUNCTION("""COMPUTED_VALUE"""),"")</f>
        <v/>
      </c>
      <c r="D678" s="136" t="str">
        <f t="shared" si="3"/>
        <v/>
      </c>
      <c r="E678" s="152" t="str">
        <f>IFERROR(__xludf.DUMMYFUNCTION("""COMPUTED_VALUE"""),"")</f>
        <v/>
      </c>
      <c r="F678" s="106" t="s">
        <v>133</v>
      </c>
      <c r="G678" s="152" t="str">
        <f>IFERROR(__xludf.DUMMYFUNCTION("""COMPUTED_VALUE"""),"")</f>
        <v/>
      </c>
      <c r="H678" s="106" t="s">
        <v>133</v>
      </c>
      <c r="I678" s="136"/>
      <c r="J678" s="139" t="s">
        <v>133</v>
      </c>
      <c r="K678" s="136" t="s">
        <v>133</v>
      </c>
      <c r="L678" s="153" t="str">
        <f>IFERROR(__xludf.DUMMYFUNCTION("""COMPUTED_VALUE"""),"")</f>
        <v/>
      </c>
      <c r="M678" s="136" t="str">
        <f t="shared" si="1"/>
        <v/>
      </c>
      <c r="N678" s="136" t="str">
        <f>IFERROR(__xludf.DUMMYFUNCTION("""COMPUTED_VALUE"""),"")</f>
        <v/>
      </c>
      <c r="O678" s="141" t="s">
        <v>133</v>
      </c>
      <c r="P678" s="136" t="str">
        <f>IFERROR(__xludf.DUMMYFUNCTION("""COMPUTED_VALUE"""),"")</f>
        <v/>
      </c>
      <c r="Q678" s="136" t="str">
        <f>IFERROR(__xludf.DUMMYFUNCTION("""COMPUTED_VALUE"""),"")</f>
        <v/>
      </c>
      <c r="R678" s="106" t="str">
        <f>IFERROR(__xludf.DUMMYFUNCTION("""COMPUTED_VALUE"""),"")</f>
        <v/>
      </c>
      <c r="S678" s="106" t="str">
        <f>IFERROR(__xludf.DUMMYFUNCTION("""COMPUTED_VALUE"""),"")</f>
        <v/>
      </c>
      <c r="T678" s="139" t="str">
        <f>IFERROR(__xludf.DUMMYFUNCTION("""COMPUTED_VALUE"""),"")</f>
        <v/>
      </c>
      <c r="U678" s="139" t="str">
        <f>IFERROR(__xludf.DUMMYFUNCTION("""COMPUTED_VALUE"""),"")</f>
        <v/>
      </c>
      <c r="V678" s="136" t="str">
        <f>IFERROR(__xludf.DUMMYFUNCTION("""COMPUTED_VALUE"""),"")</f>
        <v/>
      </c>
      <c r="W678" s="106" t="str">
        <f>IFERROR(__xludf.DUMMYFUNCTION("""COMPUTED_VALUE"""),"")</f>
        <v/>
      </c>
      <c r="X678" s="143" t="str">
        <f t="shared" si="2"/>
        <v/>
      </c>
      <c r="Y678" s="139" t="str">
        <f>IFERROR(__xludf.DUMMYFUNCTION("""COMPUTED_VALUE"""),"")</f>
        <v/>
      </c>
      <c r="Z678" s="141" t="str">
        <f>IFERROR(__xludf.DUMMYFUNCTION("""COMPUTED_VALUE"""),"")</f>
        <v/>
      </c>
    </row>
    <row r="679">
      <c r="C679" s="136" t="str">
        <f>IFERROR(__xludf.DUMMYFUNCTION("""COMPUTED_VALUE"""),"")</f>
        <v/>
      </c>
      <c r="D679" s="136" t="str">
        <f t="shared" si="3"/>
        <v/>
      </c>
      <c r="E679" s="152" t="str">
        <f>IFERROR(__xludf.DUMMYFUNCTION("""COMPUTED_VALUE"""),"")</f>
        <v/>
      </c>
      <c r="F679" s="106" t="s">
        <v>133</v>
      </c>
      <c r="G679" s="152" t="str">
        <f>IFERROR(__xludf.DUMMYFUNCTION("""COMPUTED_VALUE"""),"")</f>
        <v/>
      </c>
      <c r="H679" s="106" t="s">
        <v>133</v>
      </c>
      <c r="I679" s="136"/>
      <c r="J679" s="139" t="s">
        <v>133</v>
      </c>
      <c r="K679" s="136" t="s">
        <v>133</v>
      </c>
      <c r="L679" s="153" t="str">
        <f>IFERROR(__xludf.DUMMYFUNCTION("""COMPUTED_VALUE"""),"")</f>
        <v/>
      </c>
      <c r="M679" s="136" t="str">
        <f t="shared" si="1"/>
        <v/>
      </c>
      <c r="N679" s="136" t="str">
        <f>IFERROR(__xludf.DUMMYFUNCTION("""COMPUTED_VALUE"""),"")</f>
        <v/>
      </c>
      <c r="O679" s="141" t="s">
        <v>133</v>
      </c>
      <c r="P679" s="136" t="str">
        <f>IFERROR(__xludf.DUMMYFUNCTION("""COMPUTED_VALUE"""),"")</f>
        <v/>
      </c>
      <c r="Q679" s="136" t="str">
        <f>IFERROR(__xludf.DUMMYFUNCTION("""COMPUTED_VALUE"""),"")</f>
        <v/>
      </c>
      <c r="R679" s="106" t="str">
        <f>IFERROR(__xludf.DUMMYFUNCTION("""COMPUTED_VALUE"""),"")</f>
        <v/>
      </c>
      <c r="S679" s="106" t="str">
        <f>IFERROR(__xludf.DUMMYFUNCTION("""COMPUTED_VALUE"""),"")</f>
        <v/>
      </c>
      <c r="T679" s="139" t="str">
        <f>IFERROR(__xludf.DUMMYFUNCTION("""COMPUTED_VALUE"""),"")</f>
        <v/>
      </c>
      <c r="U679" s="139" t="str">
        <f>IFERROR(__xludf.DUMMYFUNCTION("""COMPUTED_VALUE"""),"")</f>
        <v/>
      </c>
      <c r="V679" s="136" t="str">
        <f>IFERROR(__xludf.DUMMYFUNCTION("""COMPUTED_VALUE"""),"")</f>
        <v/>
      </c>
      <c r="W679" s="106" t="str">
        <f>IFERROR(__xludf.DUMMYFUNCTION("""COMPUTED_VALUE"""),"")</f>
        <v/>
      </c>
      <c r="X679" s="143" t="str">
        <f t="shared" si="2"/>
        <v/>
      </c>
      <c r="Y679" s="139" t="str">
        <f>IFERROR(__xludf.DUMMYFUNCTION("""COMPUTED_VALUE"""),"")</f>
        <v/>
      </c>
      <c r="Z679" s="141" t="str">
        <f>IFERROR(__xludf.DUMMYFUNCTION("""COMPUTED_VALUE"""),"")</f>
        <v/>
      </c>
    </row>
    <row r="680">
      <c r="C680" s="136" t="str">
        <f>IFERROR(__xludf.DUMMYFUNCTION("""COMPUTED_VALUE"""),"")</f>
        <v/>
      </c>
      <c r="D680" s="136" t="str">
        <f t="shared" si="3"/>
        <v/>
      </c>
      <c r="E680" s="152" t="str">
        <f>IFERROR(__xludf.DUMMYFUNCTION("""COMPUTED_VALUE"""),"")</f>
        <v/>
      </c>
      <c r="F680" s="106" t="s">
        <v>133</v>
      </c>
      <c r="G680" s="152" t="str">
        <f>IFERROR(__xludf.DUMMYFUNCTION("""COMPUTED_VALUE"""),"")</f>
        <v/>
      </c>
      <c r="H680" s="106" t="s">
        <v>133</v>
      </c>
      <c r="I680" s="136"/>
      <c r="J680" s="139" t="s">
        <v>133</v>
      </c>
      <c r="K680" s="136" t="s">
        <v>133</v>
      </c>
      <c r="L680" s="153" t="str">
        <f>IFERROR(__xludf.DUMMYFUNCTION("""COMPUTED_VALUE"""),"")</f>
        <v/>
      </c>
      <c r="M680" s="136" t="str">
        <f t="shared" si="1"/>
        <v/>
      </c>
      <c r="N680" s="136" t="str">
        <f>IFERROR(__xludf.DUMMYFUNCTION("""COMPUTED_VALUE"""),"")</f>
        <v/>
      </c>
      <c r="O680" s="141" t="s">
        <v>133</v>
      </c>
      <c r="P680" s="136" t="str">
        <f>IFERROR(__xludf.DUMMYFUNCTION("""COMPUTED_VALUE"""),"")</f>
        <v/>
      </c>
      <c r="Q680" s="136" t="str">
        <f>IFERROR(__xludf.DUMMYFUNCTION("""COMPUTED_VALUE"""),"")</f>
        <v/>
      </c>
      <c r="R680" s="106" t="str">
        <f>IFERROR(__xludf.DUMMYFUNCTION("""COMPUTED_VALUE"""),"")</f>
        <v/>
      </c>
      <c r="S680" s="106" t="str">
        <f>IFERROR(__xludf.DUMMYFUNCTION("""COMPUTED_VALUE"""),"")</f>
        <v/>
      </c>
      <c r="T680" s="139" t="str">
        <f>IFERROR(__xludf.DUMMYFUNCTION("""COMPUTED_VALUE"""),"")</f>
        <v/>
      </c>
      <c r="U680" s="139" t="str">
        <f>IFERROR(__xludf.DUMMYFUNCTION("""COMPUTED_VALUE"""),"")</f>
        <v/>
      </c>
      <c r="V680" s="136" t="str">
        <f>IFERROR(__xludf.DUMMYFUNCTION("""COMPUTED_VALUE"""),"")</f>
        <v/>
      </c>
      <c r="W680" s="106" t="str">
        <f>IFERROR(__xludf.DUMMYFUNCTION("""COMPUTED_VALUE"""),"")</f>
        <v/>
      </c>
      <c r="X680" s="143" t="str">
        <f t="shared" si="2"/>
        <v/>
      </c>
      <c r="Y680" s="139" t="str">
        <f>IFERROR(__xludf.DUMMYFUNCTION("""COMPUTED_VALUE"""),"")</f>
        <v/>
      </c>
      <c r="Z680" s="141" t="str">
        <f>IFERROR(__xludf.DUMMYFUNCTION("""COMPUTED_VALUE"""),"")</f>
        <v/>
      </c>
    </row>
    <row r="681">
      <c r="C681" s="136" t="str">
        <f>IFERROR(__xludf.DUMMYFUNCTION("""COMPUTED_VALUE"""),"")</f>
        <v/>
      </c>
      <c r="D681" s="136" t="str">
        <f t="shared" si="3"/>
        <v/>
      </c>
      <c r="E681" s="152" t="str">
        <f>IFERROR(__xludf.DUMMYFUNCTION("""COMPUTED_VALUE"""),"")</f>
        <v/>
      </c>
      <c r="F681" s="106" t="s">
        <v>133</v>
      </c>
      <c r="G681" s="152" t="str">
        <f>IFERROR(__xludf.DUMMYFUNCTION("""COMPUTED_VALUE"""),"")</f>
        <v/>
      </c>
      <c r="H681" s="106" t="s">
        <v>133</v>
      </c>
      <c r="I681" s="136"/>
      <c r="J681" s="139" t="s">
        <v>133</v>
      </c>
      <c r="K681" s="136" t="s">
        <v>133</v>
      </c>
      <c r="L681" s="153" t="str">
        <f>IFERROR(__xludf.DUMMYFUNCTION("""COMPUTED_VALUE"""),"")</f>
        <v/>
      </c>
      <c r="M681" s="136" t="str">
        <f t="shared" si="1"/>
        <v/>
      </c>
      <c r="N681" s="136" t="str">
        <f>IFERROR(__xludf.DUMMYFUNCTION("""COMPUTED_VALUE"""),"")</f>
        <v/>
      </c>
      <c r="O681" s="141" t="s">
        <v>133</v>
      </c>
      <c r="P681" s="136" t="str">
        <f>IFERROR(__xludf.DUMMYFUNCTION("""COMPUTED_VALUE"""),"")</f>
        <v/>
      </c>
      <c r="Q681" s="136" t="str">
        <f>IFERROR(__xludf.DUMMYFUNCTION("""COMPUTED_VALUE"""),"")</f>
        <v/>
      </c>
      <c r="R681" s="106" t="str">
        <f>IFERROR(__xludf.DUMMYFUNCTION("""COMPUTED_VALUE"""),"")</f>
        <v/>
      </c>
      <c r="S681" s="106" t="str">
        <f>IFERROR(__xludf.DUMMYFUNCTION("""COMPUTED_VALUE"""),"")</f>
        <v/>
      </c>
      <c r="T681" s="139" t="str">
        <f>IFERROR(__xludf.DUMMYFUNCTION("""COMPUTED_VALUE"""),"")</f>
        <v/>
      </c>
      <c r="U681" s="139" t="str">
        <f>IFERROR(__xludf.DUMMYFUNCTION("""COMPUTED_VALUE"""),"")</f>
        <v/>
      </c>
      <c r="V681" s="136" t="str">
        <f>IFERROR(__xludf.DUMMYFUNCTION("""COMPUTED_VALUE"""),"")</f>
        <v/>
      </c>
      <c r="W681" s="106" t="str">
        <f>IFERROR(__xludf.DUMMYFUNCTION("""COMPUTED_VALUE"""),"")</f>
        <v/>
      </c>
      <c r="X681" s="143" t="str">
        <f t="shared" si="2"/>
        <v/>
      </c>
      <c r="Y681" s="139" t="str">
        <f>IFERROR(__xludf.DUMMYFUNCTION("""COMPUTED_VALUE"""),"")</f>
        <v/>
      </c>
      <c r="Z681" s="141" t="str">
        <f>IFERROR(__xludf.DUMMYFUNCTION("""COMPUTED_VALUE"""),"")</f>
        <v/>
      </c>
    </row>
    <row r="682">
      <c r="C682" s="136" t="str">
        <f>IFERROR(__xludf.DUMMYFUNCTION("""COMPUTED_VALUE"""),"")</f>
        <v/>
      </c>
      <c r="D682" s="136" t="str">
        <f t="shared" si="3"/>
        <v/>
      </c>
      <c r="E682" s="152" t="str">
        <f>IFERROR(__xludf.DUMMYFUNCTION("""COMPUTED_VALUE"""),"")</f>
        <v/>
      </c>
      <c r="F682" s="106" t="s">
        <v>133</v>
      </c>
      <c r="G682" s="152" t="str">
        <f>IFERROR(__xludf.DUMMYFUNCTION("""COMPUTED_VALUE"""),"")</f>
        <v/>
      </c>
      <c r="H682" s="106" t="s">
        <v>133</v>
      </c>
      <c r="I682" s="136"/>
      <c r="J682" s="139" t="s">
        <v>133</v>
      </c>
      <c r="K682" s="136" t="s">
        <v>133</v>
      </c>
      <c r="L682" s="153" t="str">
        <f>IFERROR(__xludf.DUMMYFUNCTION("""COMPUTED_VALUE"""),"")</f>
        <v/>
      </c>
      <c r="M682" s="136" t="str">
        <f t="shared" si="1"/>
        <v/>
      </c>
      <c r="N682" s="136" t="str">
        <f>IFERROR(__xludf.DUMMYFUNCTION("""COMPUTED_VALUE"""),"")</f>
        <v/>
      </c>
      <c r="O682" s="141" t="s">
        <v>133</v>
      </c>
      <c r="P682" s="136" t="str">
        <f>IFERROR(__xludf.DUMMYFUNCTION("""COMPUTED_VALUE"""),"")</f>
        <v/>
      </c>
      <c r="Q682" s="136" t="str">
        <f>IFERROR(__xludf.DUMMYFUNCTION("""COMPUTED_VALUE"""),"")</f>
        <v/>
      </c>
      <c r="R682" s="106" t="str">
        <f>IFERROR(__xludf.DUMMYFUNCTION("""COMPUTED_VALUE"""),"")</f>
        <v/>
      </c>
      <c r="S682" s="106" t="str">
        <f>IFERROR(__xludf.DUMMYFUNCTION("""COMPUTED_VALUE"""),"")</f>
        <v/>
      </c>
      <c r="T682" s="139" t="str">
        <f>IFERROR(__xludf.DUMMYFUNCTION("""COMPUTED_VALUE"""),"")</f>
        <v/>
      </c>
      <c r="U682" s="139" t="str">
        <f>IFERROR(__xludf.DUMMYFUNCTION("""COMPUTED_VALUE"""),"")</f>
        <v/>
      </c>
      <c r="V682" s="136" t="str">
        <f>IFERROR(__xludf.DUMMYFUNCTION("""COMPUTED_VALUE"""),"")</f>
        <v/>
      </c>
      <c r="W682" s="106" t="str">
        <f>IFERROR(__xludf.DUMMYFUNCTION("""COMPUTED_VALUE"""),"")</f>
        <v/>
      </c>
      <c r="X682" s="143" t="str">
        <f t="shared" si="2"/>
        <v/>
      </c>
      <c r="Y682" s="139" t="str">
        <f>IFERROR(__xludf.DUMMYFUNCTION("""COMPUTED_VALUE"""),"")</f>
        <v/>
      </c>
      <c r="Z682" s="141" t="str">
        <f>IFERROR(__xludf.DUMMYFUNCTION("""COMPUTED_VALUE"""),"")</f>
        <v/>
      </c>
    </row>
    <row r="683">
      <c r="C683" s="136" t="str">
        <f>IFERROR(__xludf.DUMMYFUNCTION("""COMPUTED_VALUE"""),"")</f>
        <v/>
      </c>
      <c r="D683" s="136" t="str">
        <f t="shared" si="3"/>
        <v/>
      </c>
      <c r="E683" s="152" t="str">
        <f>IFERROR(__xludf.DUMMYFUNCTION("""COMPUTED_VALUE"""),"")</f>
        <v/>
      </c>
      <c r="F683" s="106" t="s">
        <v>133</v>
      </c>
      <c r="G683" s="152" t="str">
        <f>IFERROR(__xludf.DUMMYFUNCTION("""COMPUTED_VALUE"""),"")</f>
        <v/>
      </c>
      <c r="H683" s="106" t="s">
        <v>133</v>
      </c>
      <c r="I683" s="136"/>
      <c r="J683" s="139" t="s">
        <v>133</v>
      </c>
      <c r="K683" s="136" t="s">
        <v>133</v>
      </c>
      <c r="L683" s="153" t="str">
        <f>IFERROR(__xludf.DUMMYFUNCTION("""COMPUTED_VALUE"""),"")</f>
        <v/>
      </c>
      <c r="M683" s="136" t="str">
        <f t="shared" si="1"/>
        <v/>
      </c>
      <c r="N683" s="136" t="str">
        <f>IFERROR(__xludf.DUMMYFUNCTION("""COMPUTED_VALUE"""),"")</f>
        <v/>
      </c>
      <c r="O683" s="141" t="s">
        <v>133</v>
      </c>
      <c r="P683" s="136" t="str">
        <f>IFERROR(__xludf.DUMMYFUNCTION("""COMPUTED_VALUE"""),"")</f>
        <v/>
      </c>
      <c r="Q683" s="136" t="str">
        <f>IFERROR(__xludf.DUMMYFUNCTION("""COMPUTED_VALUE"""),"")</f>
        <v/>
      </c>
      <c r="R683" s="106" t="str">
        <f>IFERROR(__xludf.DUMMYFUNCTION("""COMPUTED_VALUE"""),"")</f>
        <v/>
      </c>
      <c r="S683" s="106" t="str">
        <f>IFERROR(__xludf.DUMMYFUNCTION("""COMPUTED_VALUE"""),"")</f>
        <v/>
      </c>
      <c r="T683" s="139" t="str">
        <f>IFERROR(__xludf.DUMMYFUNCTION("""COMPUTED_VALUE"""),"")</f>
        <v/>
      </c>
      <c r="U683" s="139" t="str">
        <f>IFERROR(__xludf.DUMMYFUNCTION("""COMPUTED_VALUE"""),"")</f>
        <v/>
      </c>
      <c r="V683" s="136" t="str">
        <f>IFERROR(__xludf.DUMMYFUNCTION("""COMPUTED_VALUE"""),"")</f>
        <v/>
      </c>
      <c r="W683" s="106" t="str">
        <f>IFERROR(__xludf.DUMMYFUNCTION("""COMPUTED_VALUE"""),"")</f>
        <v/>
      </c>
      <c r="X683" s="143" t="str">
        <f t="shared" si="2"/>
        <v/>
      </c>
      <c r="Y683" s="139" t="str">
        <f>IFERROR(__xludf.DUMMYFUNCTION("""COMPUTED_VALUE"""),"")</f>
        <v/>
      </c>
      <c r="Z683" s="141" t="str">
        <f>IFERROR(__xludf.DUMMYFUNCTION("""COMPUTED_VALUE"""),"")</f>
        <v/>
      </c>
    </row>
    <row r="684">
      <c r="C684" s="136" t="str">
        <f>IFERROR(__xludf.DUMMYFUNCTION("""COMPUTED_VALUE"""),"")</f>
        <v/>
      </c>
      <c r="D684" s="136" t="str">
        <f t="shared" si="3"/>
        <v/>
      </c>
      <c r="E684" s="152" t="str">
        <f>IFERROR(__xludf.DUMMYFUNCTION("""COMPUTED_VALUE"""),"")</f>
        <v/>
      </c>
      <c r="F684" s="106" t="s">
        <v>133</v>
      </c>
      <c r="G684" s="152" t="str">
        <f>IFERROR(__xludf.DUMMYFUNCTION("""COMPUTED_VALUE"""),"")</f>
        <v/>
      </c>
      <c r="H684" s="106" t="s">
        <v>133</v>
      </c>
      <c r="I684" s="136"/>
      <c r="J684" s="139" t="s">
        <v>133</v>
      </c>
      <c r="K684" s="136" t="s">
        <v>133</v>
      </c>
      <c r="L684" s="153" t="str">
        <f>IFERROR(__xludf.DUMMYFUNCTION("""COMPUTED_VALUE"""),"")</f>
        <v/>
      </c>
      <c r="M684" s="136" t="str">
        <f t="shared" si="1"/>
        <v/>
      </c>
      <c r="N684" s="136" t="str">
        <f>IFERROR(__xludf.DUMMYFUNCTION("""COMPUTED_VALUE"""),"")</f>
        <v/>
      </c>
      <c r="O684" s="141" t="s">
        <v>133</v>
      </c>
      <c r="P684" s="136" t="str">
        <f>IFERROR(__xludf.DUMMYFUNCTION("""COMPUTED_VALUE"""),"")</f>
        <v/>
      </c>
      <c r="Q684" s="136" t="str">
        <f>IFERROR(__xludf.DUMMYFUNCTION("""COMPUTED_VALUE"""),"")</f>
        <v/>
      </c>
      <c r="R684" s="106" t="str">
        <f>IFERROR(__xludf.DUMMYFUNCTION("""COMPUTED_VALUE"""),"")</f>
        <v/>
      </c>
      <c r="S684" s="106" t="str">
        <f>IFERROR(__xludf.DUMMYFUNCTION("""COMPUTED_VALUE"""),"")</f>
        <v/>
      </c>
      <c r="T684" s="139" t="str">
        <f>IFERROR(__xludf.DUMMYFUNCTION("""COMPUTED_VALUE"""),"")</f>
        <v/>
      </c>
      <c r="U684" s="139" t="str">
        <f>IFERROR(__xludf.DUMMYFUNCTION("""COMPUTED_VALUE"""),"")</f>
        <v/>
      </c>
      <c r="V684" s="136" t="str">
        <f>IFERROR(__xludf.DUMMYFUNCTION("""COMPUTED_VALUE"""),"")</f>
        <v/>
      </c>
      <c r="W684" s="106" t="str">
        <f>IFERROR(__xludf.DUMMYFUNCTION("""COMPUTED_VALUE"""),"")</f>
        <v/>
      </c>
      <c r="X684" s="143" t="str">
        <f t="shared" si="2"/>
        <v/>
      </c>
      <c r="Y684" s="139" t="str">
        <f>IFERROR(__xludf.DUMMYFUNCTION("""COMPUTED_VALUE"""),"")</f>
        <v/>
      </c>
      <c r="Z684" s="141" t="str">
        <f>IFERROR(__xludf.DUMMYFUNCTION("""COMPUTED_VALUE"""),"")</f>
        <v/>
      </c>
    </row>
    <row r="685">
      <c r="C685" s="136" t="str">
        <f>IFERROR(__xludf.DUMMYFUNCTION("""COMPUTED_VALUE"""),"")</f>
        <v/>
      </c>
      <c r="D685" s="136" t="str">
        <f t="shared" si="3"/>
        <v/>
      </c>
      <c r="E685" s="152" t="str">
        <f>IFERROR(__xludf.DUMMYFUNCTION("""COMPUTED_VALUE"""),"")</f>
        <v/>
      </c>
      <c r="F685" s="106" t="s">
        <v>133</v>
      </c>
      <c r="G685" s="152" t="str">
        <f>IFERROR(__xludf.DUMMYFUNCTION("""COMPUTED_VALUE"""),"")</f>
        <v/>
      </c>
      <c r="H685" s="106" t="s">
        <v>133</v>
      </c>
      <c r="I685" s="136"/>
      <c r="J685" s="139" t="s">
        <v>133</v>
      </c>
      <c r="K685" s="136" t="s">
        <v>133</v>
      </c>
      <c r="L685" s="153" t="str">
        <f>IFERROR(__xludf.DUMMYFUNCTION("""COMPUTED_VALUE"""),"")</f>
        <v/>
      </c>
      <c r="M685" s="136" t="str">
        <f t="shared" si="1"/>
        <v/>
      </c>
      <c r="N685" s="136" t="str">
        <f>IFERROR(__xludf.DUMMYFUNCTION("""COMPUTED_VALUE"""),"")</f>
        <v/>
      </c>
      <c r="O685" s="141" t="s">
        <v>133</v>
      </c>
      <c r="P685" s="136" t="str">
        <f>IFERROR(__xludf.DUMMYFUNCTION("""COMPUTED_VALUE"""),"")</f>
        <v/>
      </c>
      <c r="Q685" s="136" t="str">
        <f>IFERROR(__xludf.DUMMYFUNCTION("""COMPUTED_VALUE"""),"")</f>
        <v/>
      </c>
      <c r="R685" s="106" t="str">
        <f>IFERROR(__xludf.DUMMYFUNCTION("""COMPUTED_VALUE"""),"")</f>
        <v/>
      </c>
      <c r="S685" s="106" t="str">
        <f>IFERROR(__xludf.DUMMYFUNCTION("""COMPUTED_VALUE"""),"")</f>
        <v/>
      </c>
      <c r="T685" s="139" t="str">
        <f>IFERROR(__xludf.DUMMYFUNCTION("""COMPUTED_VALUE"""),"")</f>
        <v/>
      </c>
      <c r="U685" s="139" t="str">
        <f>IFERROR(__xludf.DUMMYFUNCTION("""COMPUTED_VALUE"""),"")</f>
        <v/>
      </c>
      <c r="V685" s="136" t="str">
        <f>IFERROR(__xludf.DUMMYFUNCTION("""COMPUTED_VALUE"""),"")</f>
        <v/>
      </c>
      <c r="W685" s="106" t="str">
        <f>IFERROR(__xludf.DUMMYFUNCTION("""COMPUTED_VALUE"""),"")</f>
        <v/>
      </c>
      <c r="X685" s="143" t="str">
        <f t="shared" si="2"/>
        <v/>
      </c>
      <c r="Y685" s="139" t="str">
        <f>IFERROR(__xludf.DUMMYFUNCTION("""COMPUTED_VALUE"""),"")</f>
        <v/>
      </c>
      <c r="Z685" s="141" t="str">
        <f>IFERROR(__xludf.DUMMYFUNCTION("""COMPUTED_VALUE"""),"")</f>
        <v/>
      </c>
    </row>
    <row r="686">
      <c r="C686" s="136" t="str">
        <f>IFERROR(__xludf.DUMMYFUNCTION("""COMPUTED_VALUE"""),"")</f>
        <v/>
      </c>
      <c r="D686" s="136" t="str">
        <f t="shared" si="3"/>
        <v/>
      </c>
      <c r="E686" s="152" t="str">
        <f>IFERROR(__xludf.DUMMYFUNCTION("""COMPUTED_VALUE"""),"")</f>
        <v/>
      </c>
      <c r="F686" s="106" t="s">
        <v>133</v>
      </c>
      <c r="G686" s="152" t="str">
        <f>IFERROR(__xludf.DUMMYFUNCTION("""COMPUTED_VALUE"""),"")</f>
        <v/>
      </c>
      <c r="H686" s="106" t="s">
        <v>133</v>
      </c>
      <c r="I686" s="136"/>
      <c r="J686" s="139" t="s">
        <v>133</v>
      </c>
      <c r="K686" s="136" t="s">
        <v>133</v>
      </c>
      <c r="L686" s="153" t="str">
        <f>IFERROR(__xludf.DUMMYFUNCTION("""COMPUTED_VALUE"""),"")</f>
        <v/>
      </c>
      <c r="M686" s="136" t="str">
        <f t="shared" si="1"/>
        <v/>
      </c>
      <c r="N686" s="136" t="str">
        <f>IFERROR(__xludf.DUMMYFUNCTION("""COMPUTED_VALUE"""),"")</f>
        <v/>
      </c>
      <c r="O686" s="141" t="s">
        <v>133</v>
      </c>
      <c r="P686" s="136" t="str">
        <f>IFERROR(__xludf.DUMMYFUNCTION("""COMPUTED_VALUE"""),"")</f>
        <v/>
      </c>
      <c r="Q686" s="136" t="str">
        <f>IFERROR(__xludf.DUMMYFUNCTION("""COMPUTED_VALUE"""),"")</f>
        <v/>
      </c>
      <c r="R686" s="106" t="str">
        <f>IFERROR(__xludf.DUMMYFUNCTION("""COMPUTED_VALUE"""),"")</f>
        <v/>
      </c>
      <c r="S686" s="106" t="str">
        <f>IFERROR(__xludf.DUMMYFUNCTION("""COMPUTED_VALUE"""),"")</f>
        <v/>
      </c>
      <c r="T686" s="139" t="str">
        <f>IFERROR(__xludf.DUMMYFUNCTION("""COMPUTED_VALUE"""),"")</f>
        <v/>
      </c>
      <c r="U686" s="139" t="str">
        <f>IFERROR(__xludf.DUMMYFUNCTION("""COMPUTED_VALUE"""),"")</f>
        <v/>
      </c>
      <c r="V686" s="136" t="str">
        <f>IFERROR(__xludf.DUMMYFUNCTION("""COMPUTED_VALUE"""),"")</f>
        <v/>
      </c>
      <c r="W686" s="106" t="str">
        <f>IFERROR(__xludf.DUMMYFUNCTION("""COMPUTED_VALUE"""),"")</f>
        <v/>
      </c>
      <c r="X686" s="143" t="str">
        <f t="shared" si="2"/>
        <v/>
      </c>
      <c r="Y686" s="139" t="str">
        <f>IFERROR(__xludf.DUMMYFUNCTION("""COMPUTED_VALUE"""),"")</f>
        <v/>
      </c>
      <c r="Z686" s="141" t="str">
        <f>IFERROR(__xludf.DUMMYFUNCTION("""COMPUTED_VALUE"""),"")</f>
        <v/>
      </c>
    </row>
    <row r="687">
      <c r="C687" s="136" t="str">
        <f>IFERROR(__xludf.DUMMYFUNCTION("""COMPUTED_VALUE"""),"")</f>
        <v/>
      </c>
      <c r="D687" s="136" t="str">
        <f t="shared" si="3"/>
        <v/>
      </c>
      <c r="E687" s="152" t="str">
        <f>IFERROR(__xludf.DUMMYFUNCTION("""COMPUTED_VALUE"""),"")</f>
        <v/>
      </c>
      <c r="F687" s="106" t="s">
        <v>133</v>
      </c>
      <c r="G687" s="152" t="str">
        <f>IFERROR(__xludf.DUMMYFUNCTION("""COMPUTED_VALUE"""),"")</f>
        <v/>
      </c>
      <c r="H687" s="106" t="s">
        <v>133</v>
      </c>
      <c r="I687" s="136"/>
      <c r="J687" s="139" t="s">
        <v>133</v>
      </c>
      <c r="K687" s="136" t="s">
        <v>133</v>
      </c>
      <c r="L687" s="153" t="str">
        <f>IFERROR(__xludf.DUMMYFUNCTION("""COMPUTED_VALUE"""),"")</f>
        <v/>
      </c>
      <c r="M687" s="136" t="str">
        <f t="shared" si="1"/>
        <v/>
      </c>
      <c r="N687" s="136" t="str">
        <f>IFERROR(__xludf.DUMMYFUNCTION("""COMPUTED_VALUE"""),"")</f>
        <v/>
      </c>
      <c r="O687" s="141" t="s">
        <v>133</v>
      </c>
      <c r="P687" s="136" t="str">
        <f>IFERROR(__xludf.DUMMYFUNCTION("""COMPUTED_VALUE"""),"")</f>
        <v/>
      </c>
      <c r="Q687" s="136" t="str">
        <f>IFERROR(__xludf.DUMMYFUNCTION("""COMPUTED_VALUE"""),"")</f>
        <v/>
      </c>
      <c r="R687" s="106" t="str">
        <f>IFERROR(__xludf.DUMMYFUNCTION("""COMPUTED_VALUE"""),"")</f>
        <v/>
      </c>
      <c r="S687" s="106" t="str">
        <f>IFERROR(__xludf.DUMMYFUNCTION("""COMPUTED_VALUE"""),"")</f>
        <v/>
      </c>
      <c r="T687" s="139" t="str">
        <f>IFERROR(__xludf.DUMMYFUNCTION("""COMPUTED_VALUE"""),"")</f>
        <v/>
      </c>
      <c r="U687" s="139" t="str">
        <f>IFERROR(__xludf.DUMMYFUNCTION("""COMPUTED_VALUE"""),"")</f>
        <v/>
      </c>
      <c r="V687" s="136" t="str">
        <f>IFERROR(__xludf.DUMMYFUNCTION("""COMPUTED_VALUE"""),"")</f>
        <v/>
      </c>
      <c r="W687" s="106" t="str">
        <f>IFERROR(__xludf.DUMMYFUNCTION("""COMPUTED_VALUE"""),"")</f>
        <v/>
      </c>
      <c r="X687" s="143" t="str">
        <f t="shared" si="2"/>
        <v/>
      </c>
      <c r="Y687" s="139" t="str">
        <f>IFERROR(__xludf.DUMMYFUNCTION("""COMPUTED_VALUE"""),"")</f>
        <v/>
      </c>
      <c r="Z687" s="141" t="str">
        <f>IFERROR(__xludf.DUMMYFUNCTION("""COMPUTED_VALUE"""),"")</f>
        <v/>
      </c>
    </row>
    <row r="688">
      <c r="C688" s="136" t="str">
        <f>IFERROR(__xludf.DUMMYFUNCTION("""COMPUTED_VALUE"""),"")</f>
        <v/>
      </c>
      <c r="D688" s="136" t="str">
        <f t="shared" si="3"/>
        <v/>
      </c>
      <c r="E688" s="152" t="str">
        <f>IFERROR(__xludf.DUMMYFUNCTION("""COMPUTED_VALUE"""),"")</f>
        <v/>
      </c>
      <c r="F688" s="106" t="s">
        <v>133</v>
      </c>
      <c r="G688" s="152" t="str">
        <f>IFERROR(__xludf.DUMMYFUNCTION("""COMPUTED_VALUE"""),"")</f>
        <v/>
      </c>
      <c r="H688" s="106" t="s">
        <v>133</v>
      </c>
      <c r="I688" s="136"/>
      <c r="J688" s="139" t="s">
        <v>133</v>
      </c>
      <c r="K688" s="136" t="s">
        <v>133</v>
      </c>
      <c r="L688" s="153" t="str">
        <f>IFERROR(__xludf.DUMMYFUNCTION("""COMPUTED_VALUE"""),"")</f>
        <v/>
      </c>
      <c r="M688" s="136" t="str">
        <f t="shared" si="1"/>
        <v/>
      </c>
      <c r="N688" s="136" t="str">
        <f>IFERROR(__xludf.DUMMYFUNCTION("""COMPUTED_VALUE"""),"")</f>
        <v/>
      </c>
      <c r="O688" s="141" t="s">
        <v>133</v>
      </c>
      <c r="P688" s="136" t="str">
        <f>IFERROR(__xludf.DUMMYFUNCTION("""COMPUTED_VALUE"""),"")</f>
        <v/>
      </c>
      <c r="Q688" s="136" t="str">
        <f>IFERROR(__xludf.DUMMYFUNCTION("""COMPUTED_VALUE"""),"")</f>
        <v/>
      </c>
      <c r="R688" s="106" t="str">
        <f>IFERROR(__xludf.DUMMYFUNCTION("""COMPUTED_VALUE"""),"")</f>
        <v/>
      </c>
      <c r="S688" s="106" t="str">
        <f>IFERROR(__xludf.DUMMYFUNCTION("""COMPUTED_VALUE"""),"")</f>
        <v/>
      </c>
      <c r="T688" s="139" t="str">
        <f>IFERROR(__xludf.DUMMYFUNCTION("""COMPUTED_VALUE"""),"")</f>
        <v/>
      </c>
      <c r="U688" s="139" t="str">
        <f>IFERROR(__xludf.DUMMYFUNCTION("""COMPUTED_VALUE"""),"")</f>
        <v/>
      </c>
      <c r="V688" s="136" t="str">
        <f>IFERROR(__xludf.DUMMYFUNCTION("""COMPUTED_VALUE"""),"")</f>
        <v/>
      </c>
      <c r="W688" s="106" t="str">
        <f>IFERROR(__xludf.DUMMYFUNCTION("""COMPUTED_VALUE"""),"")</f>
        <v/>
      </c>
      <c r="X688" s="143" t="str">
        <f t="shared" si="2"/>
        <v/>
      </c>
      <c r="Y688" s="139" t="str">
        <f>IFERROR(__xludf.DUMMYFUNCTION("""COMPUTED_VALUE"""),"")</f>
        <v/>
      </c>
      <c r="Z688" s="141" t="str">
        <f>IFERROR(__xludf.DUMMYFUNCTION("""COMPUTED_VALUE"""),"")</f>
        <v/>
      </c>
    </row>
    <row r="689">
      <c r="C689" s="136" t="str">
        <f>IFERROR(__xludf.DUMMYFUNCTION("""COMPUTED_VALUE"""),"")</f>
        <v/>
      </c>
      <c r="D689" s="136" t="str">
        <f t="shared" si="3"/>
        <v/>
      </c>
      <c r="E689" s="152" t="str">
        <f>IFERROR(__xludf.DUMMYFUNCTION("""COMPUTED_VALUE"""),"")</f>
        <v/>
      </c>
      <c r="F689" s="106" t="s">
        <v>133</v>
      </c>
      <c r="G689" s="152" t="str">
        <f>IFERROR(__xludf.DUMMYFUNCTION("""COMPUTED_VALUE"""),"")</f>
        <v/>
      </c>
      <c r="H689" s="106" t="s">
        <v>133</v>
      </c>
      <c r="I689" s="136"/>
      <c r="J689" s="139" t="s">
        <v>133</v>
      </c>
      <c r="K689" s="136" t="s">
        <v>133</v>
      </c>
      <c r="L689" s="153" t="str">
        <f>IFERROR(__xludf.DUMMYFUNCTION("""COMPUTED_VALUE"""),"")</f>
        <v/>
      </c>
      <c r="M689" s="136" t="str">
        <f t="shared" si="1"/>
        <v/>
      </c>
      <c r="N689" s="136" t="str">
        <f>IFERROR(__xludf.DUMMYFUNCTION("""COMPUTED_VALUE"""),"")</f>
        <v/>
      </c>
      <c r="O689" s="141" t="s">
        <v>133</v>
      </c>
      <c r="P689" s="136" t="str">
        <f>IFERROR(__xludf.DUMMYFUNCTION("""COMPUTED_VALUE"""),"")</f>
        <v/>
      </c>
      <c r="Q689" s="136" t="str">
        <f>IFERROR(__xludf.DUMMYFUNCTION("""COMPUTED_VALUE"""),"")</f>
        <v/>
      </c>
      <c r="R689" s="106" t="str">
        <f>IFERROR(__xludf.DUMMYFUNCTION("""COMPUTED_VALUE"""),"")</f>
        <v/>
      </c>
      <c r="S689" s="106" t="str">
        <f>IFERROR(__xludf.DUMMYFUNCTION("""COMPUTED_VALUE"""),"")</f>
        <v/>
      </c>
      <c r="T689" s="139" t="str">
        <f>IFERROR(__xludf.DUMMYFUNCTION("""COMPUTED_VALUE"""),"")</f>
        <v/>
      </c>
      <c r="U689" s="139" t="str">
        <f>IFERROR(__xludf.DUMMYFUNCTION("""COMPUTED_VALUE"""),"")</f>
        <v/>
      </c>
      <c r="V689" s="136" t="str">
        <f>IFERROR(__xludf.DUMMYFUNCTION("""COMPUTED_VALUE"""),"")</f>
        <v/>
      </c>
      <c r="W689" s="106" t="str">
        <f>IFERROR(__xludf.DUMMYFUNCTION("""COMPUTED_VALUE"""),"")</f>
        <v/>
      </c>
      <c r="X689" s="143" t="str">
        <f t="shared" si="2"/>
        <v/>
      </c>
      <c r="Y689" s="139" t="str">
        <f>IFERROR(__xludf.DUMMYFUNCTION("""COMPUTED_VALUE"""),"")</f>
        <v/>
      </c>
      <c r="Z689" s="141" t="str">
        <f>IFERROR(__xludf.DUMMYFUNCTION("""COMPUTED_VALUE"""),"")</f>
        <v/>
      </c>
    </row>
    <row r="690">
      <c r="C690" s="136" t="str">
        <f>IFERROR(__xludf.DUMMYFUNCTION("""COMPUTED_VALUE"""),"")</f>
        <v/>
      </c>
      <c r="D690" s="136" t="str">
        <f t="shared" si="3"/>
        <v/>
      </c>
      <c r="E690" s="152" t="str">
        <f>IFERROR(__xludf.DUMMYFUNCTION("""COMPUTED_VALUE"""),"")</f>
        <v/>
      </c>
      <c r="F690" s="106" t="s">
        <v>133</v>
      </c>
      <c r="G690" s="152" t="str">
        <f>IFERROR(__xludf.DUMMYFUNCTION("""COMPUTED_VALUE"""),"")</f>
        <v/>
      </c>
      <c r="H690" s="106" t="s">
        <v>133</v>
      </c>
      <c r="I690" s="136"/>
      <c r="J690" s="139" t="s">
        <v>133</v>
      </c>
      <c r="K690" s="136" t="s">
        <v>133</v>
      </c>
      <c r="L690" s="153" t="str">
        <f>IFERROR(__xludf.DUMMYFUNCTION("""COMPUTED_VALUE"""),"")</f>
        <v/>
      </c>
      <c r="M690" s="136" t="str">
        <f t="shared" si="1"/>
        <v/>
      </c>
      <c r="N690" s="136" t="str">
        <f>IFERROR(__xludf.DUMMYFUNCTION("""COMPUTED_VALUE"""),"")</f>
        <v/>
      </c>
      <c r="O690" s="141" t="s">
        <v>133</v>
      </c>
      <c r="P690" s="136" t="str">
        <f>IFERROR(__xludf.DUMMYFUNCTION("""COMPUTED_VALUE"""),"")</f>
        <v/>
      </c>
      <c r="Q690" s="136" t="str">
        <f>IFERROR(__xludf.DUMMYFUNCTION("""COMPUTED_VALUE"""),"")</f>
        <v/>
      </c>
      <c r="R690" s="106" t="str">
        <f>IFERROR(__xludf.DUMMYFUNCTION("""COMPUTED_VALUE"""),"")</f>
        <v/>
      </c>
      <c r="S690" s="106" t="str">
        <f>IFERROR(__xludf.DUMMYFUNCTION("""COMPUTED_VALUE"""),"")</f>
        <v/>
      </c>
      <c r="T690" s="139" t="str">
        <f>IFERROR(__xludf.DUMMYFUNCTION("""COMPUTED_VALUE"""),"")</f>
        <v/>
      </c>
      <c r="U690" s="139" t="str">
        <f>IFERROR(__xludf.DUMMYFUNCTION("""COMPUTED_VALUE"""),"")</f>
        <v/>
      </c>
      <c r="V690" s="136" t="str">
        <f>IFERROR(__xludf.DUMMYFUNCTION("""COMPUTED_VALUE"""),"")</f>
        <v/>
      </c>
      <c r="W690" s="106" t="str">
        <f>IFERROR(__xludf.DUMMYFUNCTION("""COMPUTED_VALUE"""),"")</f>
        <v/>
      </c>
      <c r="X690" s="143" t="str">
        <f t="shared" si="2"/>
        <v/>
      </c>
      <c r="Y690" s="139" t="str">
        <f>IFERROR(__xludf.DUMMYFUNCTION("""COMPUTED_VALUE"""),"")</f>
        <v/>
      </c>
      <c r="Z690" s="141" t="str">
        <f>IFERROR(__xludf.DUMMYFUNCTION("""COMPUTED_VALUE"""),"")</f>
        <v/>
      </c>
    </row>
    <row r="691">
      <c r="C691" s="136" t="str">
        <f>IFERROR(__xludf.DUMMYFUNCTION("""COMPUTED_VALUE"""),"")</f>
        <v/>
      </c>
      <c r="D691" s="136" t="str">
        <f t="shared" si="3"/>
        <v/>
      </c>
      <c r="E691" s="152" t="str">
        <f>IFERROR(__xludf.DUMMYFUNCTION("""COMPUTED_VALUE"""),"")</f>
        <v/>
      </c>
      <c r="F691" s="106" t="s">
        <v>133</v>
      </c>
      <c r="G691" s="152" t="str">
        <f>IFERROR(__xludf.DUMMYFUNCTION("""COMPUTED_VALUE"""),"")</f>
        <v/>
      </c>
      <c r="H691" s="106" t="s">
        <v>133</v>
      </c>
      <c r="I691" s="136"/>
      <c r="J691" s="139" t="s">
        <v>133</v>
      </c>
      <c r="K691" s="136" t="s">
        <v>133</v>
      </c>
      <c r="L691" s="153" t="str">
        <f>IFERROR(__xludf.DUMMYFUNCTION("""COMPUTED_VALUE"""),"")</f>
        <v/>
      </c>
      <c r="M691" s="136" t="str">
        <f t="shared" si="1"/>
        <v/>
      </c>
      <c r="N691" s="136" t="str">
        <f>IFERROR(__xludf.DUMMYFUNCTION("""COMPUTED_VALUE"""),"")</f>
        <v/>
      </c>
      <c r="O691" s="141" t="s">
        <v>133</v>
      </c>
      <c r="P691" s="136" t="str">
        <f>IFERROR(__xludf.DUMMYFUNCTION("""COMPUTED_VALUE"""),"")</f>
        <v/>
      </c>
      <c r="Q691" s="136" t="str">
        <f>IFERROR(__xludf.DUMMYFUNCTION("""COMPUTED_VALUE"""),"")</f>
        <v/>
      </c>
      <c r="R691" s="106" t="str">
        <f>IFERROR(__xludf.DUMMYFUNCTION("""COMPUTED_VALUE"""),"")</f>
        <v/>
      </c>
      <c r="S691" s="106" t="str">
        <f>IFERROR(__xludf.DUMMYFUNCTION("""COMPUTED_VALUE"""),"")</f>
        <v/>
      </c>
      <c r="T691" s="139" t="str">
        <f>IFERROR(__xludf.DUMMYFUNCTION("""COMPUTED_VALUE"""),"")</f>
        <v/>
      </c>
      <c r="U691" s="139" t="str">
        <f>IFERROR(__xludf.DUMMYFUNCTION("""COMPUTED_VALUE"""),"")</f>
        <v/>
      </c>
      <c r="V691" s="136" t="str">
        <f>IFERROR(__xludf.DUMMYFUNCTION("""COMPUTED_VALUE"""),"")</f>
        <v/>
      </c>
      <c r="W691" s="106" t="str">
        <f>IFERROR(__xludf.DUMMYFUNCTION("""COMPUTED_VALUE"""),"")</f>
        <v/>
      </c>
      <c r="X691" s="143" t="str">
        <f t="shared" si="2"/>
        <v/>
      </c>
      <c r="Y691" s="139" t="str">
        <f>IFERROR(__xludf.DUMMYFUNCTION("""COMPUTED_VALUE"""),"")</f>
        <v/>
      </c>
      <c r="Z691" s="141" t="str">
        <f>IFERROR(__xludf.DUMMYFUNCTION("""COMPUTED_VALUE"""),"")</f>
        <v/>
      </c>
    </row>
    <row r="692">
      <c r="C692" s="136" t="str">
        <f>IFERROR(__xludf.DUMMYFUNCTION("""COMPUTED_VALUE"""),"")</f>
        <v/>
      </c>
      <c r="D692" s="136" t="str">
        <f t="shared" si="3"/>
        <v/>
      </c>
      <c r="E692" s="152" t="str">
        <f>IFERROR(__xludf.DUMMYFUNCTION("""COMPUTED_VALUE"""),"")</f>
        <v/>
      </c>
      <c r="F692" s="106" t="s">
        <v>133</v>
      </c>
      <c r="G692" s="152" t="str">
        <f>IFERROR(__xludf.DUMMYFUNCTION("""COMPUTED_VALUE"""),"")</f>
        <v/>
      </c>
      <c r="H692" s="106" t="s">
        <v>133</v>
      </c>
      <c r="I692" s="136"/>
      <c r="J692" s="139" t="s">
        <v>133</v>
      </c>
      <c r="K692" s="136" t="s">
        <v>133</v>
      </c>
      <c r="L692" s="153" t="str">
        <f>IFERROR(__xludf.DUMMYFUNCTION("""COMPUTED_VALUE"""),"")</f>
        <v/>
      </c>
      <c r="M692" s="136" t="str">
        <f t="shared" si="1"/>
        <v/>
      </c>
      <c r="N692" s="136" t="str">
        <f>IFERROR(__xludf.DUMMYFUNCTION("""COMPUTED_VALUE"""),"")</f>
        <v/>
      </c>
      <c r="O692" s="141" t="s">
        <v>133</v>
      </c>
      <c r="P692" s="136" t="str">
        <f>IFERROR(__xludf.DUMMYFUNCTION("""COMPUTED_VALUE"""),"")</f>
        <v/>
      </c>
      <c r="Q692" s="136" t="str">
        <f>IFERROR(__xludf.DUMMYFUNCTION("""COMPUTED_VALUE"""),"")</f>
        <v/>
      </c>
      <c r="R692" s="106" t="str">
        <f>IFERROR(__xludf.DUMMYFUNCTION("""COMPUTED_VALUE"""),"")</f>
        <v/>
      </c>
      <c r="S692" s="106" t="str">
        <f>IFERROR(__xludf.DUMMYFUNCTION("""COMPUTED_VALUE"""),"")</f>
        <v/>
      </c>
      <c r="T692" s="139" t="str">
        <f>IFERROR(__xludf.DUMMYFUNCTION("""COMPUTED_VALUE"""),"")</f>
        <v/>
      </c>
      <c r="U692" s="139" t="str">
        <f>IFERROR(__xludf.DUMMYFUNCTION("""COMPUTED_VALUE"""),"")</f>
        <v/>
      </c>
      <c r="V692" s="136" t="str">
        <f>IFERROR(__xludf.DUMMYFUNCTION("""COMPUTED_VALUE"""),"")</f>
        <v/>
      </c>
      <c r="W692" s="106" t="str">
        <f>IFERROR(__xludf.DUMMYFUNCTION("""COMPUTED_VALUE"""),"")</f>
        <v/>
      </c>
      <c r="X692" s="143" t="str">
        <f t="shared" si="2"/>
        <v/>
      </c>
      <c r="Y692" s="139" t="str">
        <f>IFERROR(__xludf.DUMMYFUNCTION("""COMPUTED_VALUE"""),"")</f>
        <v/>
      </c>
      <c r="Z692" s="141" t="str">
        <f>IFERROR(__xludf.DUMMYFUNCTION("""COMPUTED_VALUE"""),"")</f>
        <v/>
      </c>
    </row>
    <row r="693">
      <c r="C693" s="136" t="str">
        <f>IFERROR(__xludf.DUMMYFUNCTION("""COMPUTED_VALUE"""),"")</f>
        <v/>
      </c>
      <c r="D693" s="136" t="str">
        <f t="shared" si="3"/>
        <v/>
      </c>
      <c r="E693" s="152" t="str">
        <f>IFERROR(__xludf.DUMMYFUNCTION("""COMPUTED_VALUE"""),"")</f>
        <v/>
      </c>
      <c r="F693" s="106" t="s">
        <v>133</v>
      </c>
      <c r="G693" s="152" t="str">
        <f>IFERROR(__xludf.DUMMYFUNCTION("""COMPUTED_VALUE"""),"")</f>
        <v/>
      </c>
      <c r="H693" s="106" t="s">
        <v>133</v>
      </c>
      <c r="I693" s="136"/>
      <c r="J693" s="139" t="s">
        <v>133</v>
      </c>
      <c r="K693" s="136" t="s">
        <v>133</v>
      </c>
      <c r="L693" s="153" t="str">
        <f>IFERROR(__xludf.DUMMYFUNCTION("""COMPUTED_VALUE"""),"")</f>
        <v/>
      </c>
      <c r="M693" s="136" t="str">
        <f t="shared" si="1"/>
        <v/>
      </c>
      <c r="N693" s="136" t="str">
        <f>IFERROR(__xludf.DUMMYFUNCTION("""COMPUTED_VALUE"""),"")</f>
        <v/>
      </c>
      <c r="O693" s="141" t="s">
        <v>133</v>
      </c>
      <c r="P693" s="136" t="str">
        <f>IFERROR(__xludf.DUMMYFUNCTION("""COMPUTED_VALUE"""),"")</f>
        <v/>
      </c>
      <c r="Q693" s="136" t="str">
        <f>IFERROR(__xludf.DUMMYFUNCTION("""COMPUTED_VALUE"""),"")</f>
        <v/>
      </c>
      <c r="R693" s="106" t="str">
        <f>IFERROR(__xludf.DUMMYFUNCTION("""COMPUTED_VALUE"""),"")</f>
        <v/>
      </c>
      <c r="S693" s="106" t="str">
        <f>IFERROR(__xludf.DUMMYFUNCTION("""COMPUTED_VALUE"""),"")</f>
        <v/>
      </c>
      <c r="T693" s="139" t="str">
        <f>IFERROR(__xludf.DUMMYFUNCTION("""COMPUTED_VALUE"""),"")</f>
        <v/>
      </c>
      <c r="U693" s="139" t="str">
        <f>IFERROR(__xludf.DUMMYFUNCTION("""COMPUTED_VALUE"""),"")</f>
        <v/>
      </c>
      <c r="V693" s="136" t="str">
        <f>IFERROR(__xludf.DUMMYFUNCTION("""COMPUTED_VALUE"""),"")</f>
        <v/>
      </c>
      <c r="W693" s="106" t="str">
        <f>IFERROR(__xludf.DUMMYFUNCTION("""COMPUTED_VALUE"""),"")</f>
        <v/>
      </c>
      <c r="X693" s="143" t="str">
        <f t="shared" si="2"/>
        <v/>
      </c>
      <c r="Y693" s="139" t="str">
        <f>IFERROR(__xludf.DUMMYFUNCTION("""COMPUTED_VALUE"""),"")</f>
        <v/>
      </c>
      <c r="Z693" s="141" t="str">
        <f>IFERROR(__xludf.DUMMYFUNCTION("""COMPUTED_VALUE"""),"")</f>
        <v/>
      </c>
    </row>
    <row r="694">
      <c r="C694" s="136" t="str">
        <f>IFERROR(__xludf.DUMMYFUNCTION("""COMPUTED_VALUE"""),"")</f>
        <v/>
      </c>
      <c r="D694" s="136" t="str">
        <f t="shared" si="3"/>
        <v/>
      </c>
      <c r="E694" s="152" t="str">
        <f>IFERROR(__xludf.DUMMYFUNCTION("""COMPUTED_VALUE"""),"")</f>
        <v/>
      </c>
      <c r="F694" s="106" t="s">
        <v>133</v>
      </c>
      <c r="G694" s="152" t="str">
        <f>IFERROR(__xludf.DUMMYFUNCTION("""COMPUTED_VALUE"""),"")</f>
        <v/>
      </c>
      <c r="H694" s="106" t="s">
        <v>133</v>
      </c>
      <c r="I694" s="136"/>
      <c r="J694" s="139" t="s">
        <v>133</v>
      </c>
      <c r="K694" s="136" t="s">
        <v>133</v>
      </c>
      <c r="L694" s="153" t="str">
        <f>IFERROR(__xludf.DUMMYFUNCTION("""COMPUTED_VALUE"""),"")</f>
        <v/>
      </c>
      <c r="M694" s="136" t="str">
        <f t="shared" si="1"/>
        <v/>
      </c>
      <c r="N694" s="136" t="str">
        <f>IFERROR(__xludf.DUMMYFUNCTION("""COMPUTED_VALUE"""),"")</f>
        <v/>
      </c>
      <c r="O694" s="141" t="s">
        <v>133</v>
      </c>
      <c r="P694" s="136" t="str">
        <f>IFERROR(__xludf.DUMMYFUNCTION("""COMPUTED_VALUE"""),"")</f>
        <v/>
      </c>
      <c r="Q694" s="136" t="str">
        <f>IFERROR(__xludf.DUMMYFUNCTION("""COMPUTED_VALUE"""),"")</f>
        <v/>
      </c>
      <c r="R694" s="106" t="str">
        <f>IFERROR(__xludf.DUMMYFUNCTION("""COMPUTED_VALUE"""),"")</f>
        <v/>
      </c>
      <c r="S694" s="106" t="str">
        <f>IFERROR(__xludf.DUMMYFUNCTION("""COMPUTED_VALUE"""),"")</f>
        <v/>
      </c>
      <c r="T694" s="139" t="str">
        <f>IFERROR(__xludf.DUMMYFUNCTION("""COMPUTED_VALUE"""),"")</f>
        <v/>
      </c>
      <c r="U694" s="139" t="str">
        <f>IFERROR(__xludf.DUMMYFUNCTION("""COMPUTED_VALUE"""),"")</f>
        <v/>
      </c>
      <c r="V694" s="136" t="str">
        <f>IFERROR(__xludf.DUMMYFUNCTION("""COMPUTED_VALUE"""),"")</f>
        <v/>
      </c>
      <c r="W694" s="106" t="str">
        <f>IFERROR(__xludf.DUMMYFUNCTION("""COMPUTED_VALUE"""),"")</f>
        <v/>
      </c>
      <c r="X694" s="143" t="str">
        <f t="shared" si="2"/>
        <v/>
      </c>
      <c r="Y694" s="139" t="str">
        <f>IFERROR(__xludf.DUMMYFUNCTION("""COMPUTED_VALUE"""),"")</f>
        <v/>
      </c>
      <c r="Z694" s="141" t="str">
        <f>IFERROR(__xludf.DUMMYFUNCTION("""COMPUTED_VALUE"""),"")</f>
        <v/>
      </c>
    </row>
    <row r="695">
      <c r="C695" s="136" t="str">
        <f>IFERROR(__xludf.DUMMYFUNCTION("""COMPUTED_VALUE"""),"")</f>
        <v/>
      </c>
      <c r="D695" s="136" t="str">
        <f t="shared" si="3"/>
        <v/>
      </c>
      <c r="E695" s="152" t="str">
        <f>IFERROR(__xludf.DUMMYFUNCTION("""COMPUTED_VALUE"""),"")</f>
        <v/>
      </c>
      <c r="F695" s="106" t="s">
        <v>133</v>
      </c>
      <c r="G695" s="152" t="str">
        <f>IFERROR(__xludf.DUMMYFUNCTION("""COMPUTED_VALUE"""),"")</f>
        <v/>
      </c>
      <c r="H695" s="106" t="s">
        <v>133</v>
      </c>
      <c r="I695" s="136"/>
      <c r="J695" s="139" t="s">
        <v>133</v>
      </c>
      <c r="K695" s="136" t="s">
        <v>133</v>
      </c>
      <c r="L695" s="153" t="str">
        <f>IFERROR(__xludf.DUMMYFUNCTION("""COMPUTED_VALUE"""),"")</f>
        <v/>
      </c>
      <c r="M695" s="136" t="str">
        <f t="shared" si="1"/>
        <v/>
      </c>
      <c r="N695" s="136" t="str">
        <f>IFERROR(__xludf.DUMMYFUNCTION("""COMPUTED_VALUE"""),"")</f>
        <v/>
      </c>
      <c r="O695" s="141" t="s">
        <v>133</v>
      </c>
      <c r="P695" s="136" t="str">
        <f>IFERROR(__xludf.DUMMYFUNCTION("""COMPUTED_VALUE"""),"")</f>
        <v/>
      </c>
      <c r="Q695" s="136" t="str">
        <f>IFERROR(__xludf.DUMMYFUNCTION("""COMPUTED_VALUE"""),"")</f>
        <v/>
      </c>
      <c r="R695" s="106" t="str">
        <f>IFERROR(__xludf.DUMMYFUNCTION("""COMPUTED_VALUE"""),"")</f>
        <v/>
      </c>
      <c r="S695" s="106" t="str">
        <f>IFERROR(__xludf.DUMMYFUNCTION("""COMPUTED_VALUE"""),"")</f>
        <v/>
      </c>
      <c r="T695" s="139" t="str">
        <f>IFERROR(__xludf.DUMMYFUNCTION("""COMPUTED_VALUE"""),"")</f>
        <v/>
      </c>
      <c r="U695" s="139" t="str">
        <f>IFERROR(__xludf.DUMMYFUNCTION("""COMPUTED_VALUE"""),"")</f>
        <v/>
      </c>
      <c r="V695" s="136" t="str">
        <f>IFERROR(__xludf.DUMMYFUNCTION("""COMPUTED_VALUE"""),"")</f>
        <v/>
      </c>
      <c r="W695" s="106" t="str">
        <f>IFERROR(__xludf.DUMMYFUNCTION("""COMPUTED_VALUE"""),"")</f>
        <v/>
      </c>
      <c r="X695" s="143" t="str">
        <f t="shared" si="2"/>
        <v/>
      </c>
      <c r="Y695" s="139" t="str">
        <f>IFERROR(__xludf.DUMMYFUNCTION("""COMPUTED_VALUE"""),"")</f>
        <v/>
      </c>
      <c r="Z695" s="141" t="str">
        <f>IFERROR(__xludf.DUMMYFUNCTION("""COMPUTED_VALUE"""),"")</f>
        <v/>
      </c>
    </row>
    <row r="696">
      <c r="C696" s="136" t="str">
        <f>IFERROR(__xludf.DUMMYFUNCTION("""COMPUTED_VALUE"""),"")</f>
        <v/>
      </c>
      <c r="D696" s="136" t="str">
        <f t="shared" si="3"/>
        <v/>
      </c>
      <c r="E696" s="152" t="str">
        <f>IFERROR(__xludf.DUMMYFUNCTION("""COMPUTED_VALUE"""),"")</f>
        <v/>
      </c>
      <c r="F696" s="106" t="s">
        <v>133</v>
      </c>
      <c r="G696" s="152" t="str">
        <f>IFERROR(__xludf.DUMMYFUNCTION("""COMPUTED_VALUE"""),"")</f>
        <v/>
      </c>
      <c r="H696" s="106" t="s">
        <v>133</v>
      </c>
      <c r="I696" s="136"/>
      <c r="J696" s="139" t="s">
        <v>133</v>
      </c>
      <c r="K696" s="136" t="s">
        <v>133</v>
      </c>
      <c r="L696" s="153" t="str">
        <f>IFERROR(__xludf.DUMMYFUNCTION("""COMPUTED_VALUE"""),"")</f>
        <v/>
      </c>
      <c r="M696" s="136" t="str">
        <f t="shared" si="1"/>
        <v/>
      </c>
      <c r="N696" s="136" t="str">
        <f>IFERROR(__xludf.DUMMYFUNCTION("""COMPUTED_VALUE"""),"")</f>
        <v/>
      </c>
      <c r="O696" s="141" t="s">
        <v>133</v>
      </c>
      <c r="P696" s="136" t="str">
        <f>IFERROR(__xludf.DUMMYFUNCTION("""COMPUTED_VALUE"""),"")</f>
        <v/>
      </c>
      <c r="Q696" s="136" t="str">
        <f>IFERROR(__xludf.DUMMYFUNCTION("""COMPUTED_VALUE"""),"")</f>
        <v/>
      </c>
      <c r="R696" s="106" t="str">
        <f>IFERROR(__xludf.DUMMYFUNCTION("""COMPUTED_VALUE"""),"")</f>
        <v/>
      </c>
      <c r="S696" s="106" t="str">
        <f>IFERROR(__xludf.DUMMYFUNCTION("""COMPUTED_VALUE"""),"")</f>
        <v/>
      </c>
      <c r="T696" s="139" t="str">
        <f>IFERROR(__xludf.DUMMYFUNCTION("""COMPUTED_VALUE"""),"")</f>
        <v/>
      </c>
      <c r="U696" s="139" t="str">
        <f>IFERROR(__xludf.DUMMYFUNCTION("""COMPUTED_VALUE"""),"")</f>
        <v/>
      </c>
      <c r="V696" s="136" t="str">
        <f>IFERROR(__xludf.DUMMYFUNCTION("""COMPUTED_VALUE"""),"")</f>
        <v/>
      </c>
      <c r="W696" s="106" t="str">
        <f>IFERROR(__xludf.DUMMYFUNCTION("""COMPUTED_VALUE"""),"")</f>
        <v/>
      </c>
      <c r="X696" s="143" t="str">
        <f t="shared" si="2"/>
        <v/>
      </c>
      <c r="Y696" s="139" t="str">
        <f>IFERROR(__xludf.DUMMYFUNCTION("""COMPUTED_VALUE"""),"")</f>
        <v/>
      </c>
      <c r="Z696" s="141" t="str">
        <f>IFERROR(__xludf.DUMMYFUNCTION("""COMPUTED_VALUE"""),"")</f>
        <v/>
      </c>
    </row>
    <row r="697">
      <c r="C697" s="136" t="str">
        <f>IFERROR(__xludf.DUMMYFUNCTION("""COMPUTED_VALUE"""),"")</f>
        <v/>
      </c>
      <c r="D697" s="136" t="str">
        <f t="shared" si="3"/>
        <v/>
      </c>
      <c r="E697" s="152" t="str">
        <f>IFERROR(__xludf.DUMMYFUNCTION("""COMPUTED_VALUE"""),"")</f>
        <v/>
      </c>
      <c r="F697" s="106" t="s">
        <v>133</v>
      </c>
      <c r="G697" s="152" t="str">
        <f>IFERROR(__xludf.DUMMYFUNCTION("""COMPUTED_VALUE"""),"")</f>
        <v/>
      </c>
      <c r="H697" s="106" t="s">
        <v>133</v>
      </c>
      <c r="I697" s="136"/>
      <c r="J697" s="139" t="s">
        <v>133</v>
      </c>
      <c r="K697" s="136" t="s">
        <v>133</v>
      </c>
      <c r="L697" s="153" t="str">
        <f>IFERROR(__xludf.DUMMYFUNCTION("""COMPUTED_VALUE"""),"")</f>
        <v/>
      </c>
      <c r="M697" s="136" t="str">
        <f t="shared" si="1"/>
        <v/>
      </c>
      <c r="N697" s="136" t="str">
        <f>IFERROR(__xludf.DUMMYFUNCTION("""COMPUTED_VALUE"""),"")</f>
        <v/>
      </c>
      <c r="O697" s="141" t="s">
        <v>133</v>
      </c>
      <c r="P697" s="136" t="str">
        <f>IFERROR(__xludf.DUMMYFUNCTION("""COMPUTED_VALUE"""),"")</f>
        <v/>
      </c>
      <c r="Q697" s="136" t="str">
        <f>IFERROR(__xludf.DUMMYFUNCTION("""COMPUTED_VALUE"""),"")</f>
        <v/>
      </c>
      <c r="R697" s="106" t="str">
        <f>IFERROR(__xludf.DUMMYFUNCTION("""COMPUTED_VALUE"""),"")</f>
        <v/>
      </c>
      <c r="S697" s="106" t="str">
        <f>IFERROR(__xludf.DUMMYFUNCTION("""COMPUTED_VALUE"""),"")</f>
        <v/>
      </c>
      <c r="T697" s="139" t="str">
        <f>IFERROR(__xludf.DUMMYFUNCTION("""COMPUTED_VALUE"""),"")</f>
        <v/>
      </c>
      <c r="U697" s="139" t="str">
        <f>IFERROR(__xludf.DUMMYFUNCTION("""COMPUTED_VALUE"""),"")</f>
        <v/>
      </c>
      <c r="V697" s="136" t="str">
        <f>IFERROR(__xludf.DUMMYFUNCTION("""COMPUTED_VALUE"""),"")</f>
        <v/>
      </c>
      <c r="W697" s="106" t="str">
        <f>IFERROR(__xludf.DUMMYFUNCTION("""COMPUTED_VALUE"""),"")</f>
        <v/>
      </c>
      <c r="X697" s="143" t="str">
        <f t="shared" si="2"/>
        <v/>
      </c>
      <c r="Y697" s="139" t="str">
        <f>IFERROR(__xludf.DUMMYFUNCTION("""COMPUTED_VALUE"""),"")</f>
        <v/>
      </c>
      <c r="Z697" s="141" t="str">
        <f>IFERROR(__xludf.DUMMYFUNCTION("""COMPUTED_VALUE"""),"")</f>
        <v/>
      </c>
    </row>
    <row r="698">
      <c r="C698" s="136" t="str">
        <f>IFERROR(__xludf.DUMMYFUNCTION("""COMPUTED_VALUE"""),"")</f>
        <v/>
      </c>
      <c r="D698" s="136" t="str">
        <f t="shared" si="3"/>
        <v/>
      </c>
      <c r="E698" s="152" t="str">
        <f>IFERROR(__xludf.DUMMYFUNCTION("""COMPUTED_VALUE"""),"")</f>
        <v/>
      </c>
      <c r="F698" s="106" t="s">
        <v>133</v>
      </c>
      <c r="G698" s="152" t="str">
        <f>IFERROR(__xludf.DUMMYFUNCTION("""COMPUTED_VALUE"""),"")</f>
        <v/>
      </c>
      <c r="H698" s="106" t="s">
        <v>133</v>
      </c>
      <c r="I698" s="136"/>
      <c r="J698" s="139" t="s">
        <v>133</v>
      </c>
      <c r="K698" s="136" t="s">
        <v>133</v>
      </c>
      <c r="L698" s="153" t="str">
        <f>IFERROR(__xludf.DUMMYFUNCTION("""COMPUTED_VALUE"""),"")</f>
        <v/>
      </c>
      <c r="M698" s="136" t="str">
        <f t="shared" si="1"/>
        <v/>
      </c>
      <c r="N698" s="136" t="str">
        <f>IFERROR(__xludf.DUMMYFUNCTION("""COMPUTED_VALUE"""),"")</f>
        <v/>
      </c>
      <c r="O698" s="141" t="s">
        <v>133</v>
      </c>
      <c r="P698" s="136" t="str">
        <f>IFERROR(__xludf.DUMMYFUNCTION("""COMPUTED_VALUE"""),"")</f>
        <v/>
      </c>
      <c r="Q698" s="136" t="str">
        <f>IFERROR(__xludf.DUMMYFUNCTION("""COMPUTED_VALUE"""),"")</f>
        <v/>
      </c>
      <c r="R698" s="106" t="str">
        <f>IFERROR(__xludf.DUMMYFUNCTION("""COMPUTED_VALUE"""),"")</f>
        <v/>
      </c>
      <c r="S698" s="106" t="str">
        <f>IFERROR(__xludf.DUMMYFUNCTION("""COMPUTED_VALUE"""),"")</f>
        <v/>
      </c>
      <c r="T698" s="139" t="str">
        <f>IFERROR(__xludf.DUMMYFUNCTION("""COMPUTED_VALUE"""),"")</f>
        <v/>
      </c>
      <c r="U698" s="139" t="str">
        <f>IFERROR(__xludf.DUMMYFUNCTION("""COMPUTED_VALUE"""),"")</f>
        <v/>
      </c>
      <c r="V698" s="136" t="str">
        <f>IFERROR(__xludf.DUMMYFUNCTION("""COMPUTED_VALUE"""),"")</f>
        <v/>
      </c>
      <c r="W698" s="106" t="str">
        <f>IFERROR(__xludf.DUMMYFUNCTION("""COMPUTED_VALUE"""),"")</f>
        <v/>
      </c>
      <c r="X698" s="143" t="str">
        <f t="shared" si="2"/>
        <v/>
      </c>
      <c r="Y698" s="139" t="str">
        <f>IFERROR(__xludf.DUMMYFUNCTION("""COMPUTED_VALUE"""),"")</f>
        <v/>
      </c>
      <c r="Z698" s="141" t="str">
        <f>IFERROR(__xludf.DUMMYFUNCTION("""COMPUTED_VALUE"""),"")</f>
        <v/>
      </c>
    </row>
    <row r="699">
      <c r="C699" s="136" t="str">
        <f>IFERROR(__xludf.DUMMYFUNCTION("""COMPUTED_VALUE"""),"")</f>
        <v/>
      </c>
      <c r="D699" s="136" t="str">
        <f t="shared" si="3"/>
        <v/>
      </c>
      <c r="E699" s="152" t="str">
        <f>IFERROR(__xludf.DUMMYFUNCTION("""COMPUTED_VALUE"""),"")</f>
        <v/>
      </c>
      <c r="F699" s="106" t="s">
        <v>133</v>
      </c>
      <c r="G699" s="152" t="str">
        <f>IFERROR(__xludf.DUMMYFUNCTION("""COMPUTED_VALUE"""),"")</f>
        <v/>
      </c>
      <c r="H699" s="106" t="s">
        <v>133</v>
      </c>
      <c r="I699" s="136"/>
      <c r="J699" s="139" t="s">
        <v>133</v>
      </c>
      <c r="K699" s="136" t="s">
        <v>133</v>
      </c>
      <c r="L699" s="153" t="str">
        <f>IFERROR(__xludf.DUMMYFUNCTION("""COMPUTED_VALUE"""),"")</f>
        <v/>
      </c>
      <c r="M699" s="136" t="str">
        <f t="shared" si="1"/>
        <v/>
      </c>
      <c r="N699" s="136" t="str">
        <f>IFERROR(__xludf.DUMMYFUNCTION("""COMPUTED_VALUE"""),"")</f>
        <v/>
      </c>
      <c r="O699" s="141" t="s">
        <v>133</v>
      </c>
      <c r="P699" s="136" t="str">
        <f>IFERROR(__xludf.DUMMYFUNCTION("""COMPUTED_VALUE"""),"")</f>
        <v/>
      </c>
      <c r="Q699" s="136" t="str">
        <f>IFERROR(__xludf.DUMMYFUNCTION("""COMPUTED_VALUE"""),"")</f>
        <v/>
      </c>
      <c r="R699" s="106" t="str">
        <f>IFERROR(__xludf.DUMMYFUNCTION("""COMPUTED_VALUE"""),"")</f>
        <v/>
      </c>
      <c r="S699" s="106" t="str">
        <f>IFERROR(__xludf.DUMMYFUNCTION("""COMPUTED_VALUE"""),"")</f>
        <v/>
      </c>
      <c r="T699" s="139" t="str">
        <f>IFERROR(__xludf.DUMMYFUNCTION("""COMPUTED_VALUE"""),"")</f>
        <v/>
      </c>
      <c r="U699" s="139" t="str">
        <f>IFERROR(__xludf.DUMMYFUNCTION("""COMPUTED_VALUE"""),"")</f>
        <v/>
      </c>
      <c r="V699" s="136" t="str">
        <f>IFERROR(__xludf.DUMMYFUNCTION("""COMPUTED_VALUE"""),"")</f>
        <v/>
      </c>
      <c r="W699" s="106" t="str">
        <f>IFERROR(__xludf.DUMMYFUNCTION("""COMPUTED_VALUE"""),"")</f>
        <v/>
      </c>
      <c r="X699" s="143" t="str">
        <f t="shared" si="2"/>
        <v/>
      </c>
      <c r="Y699" s="139" t="str">
        <f>IFERROR(__xludf.DUMMYFUNCTION("""COMPUTED_VALUE"""),"")</f>
        <v/>
      </c>
      <c r="Z699" s="141" t="str">
        <f>IFERROR(__xludf.DUMMYFUNCTION("""COMPUTED_VALUE"""),"")</f>
        <v/>
      </c>
    </row>
    <row r="700">
      <c r="C700" s="136" t="str">
        <f>IFERROR(__xludf.DUMMYFUNCTION("""COMPUTED_VALUE"""),"")</f>
        <v/>
      </c>
      <c r="D700" s="136" t="str">
        <f t="shared" si="3"/>
        <v/>
      </c>
      <c r="E700" s="152" t="str">
        <f>IFERROR(__xludf.DUMMYFUNCTION("""COMPUTED_VALUE"""),"")</f>
        <v/>
      </c>
      <c r="F700" s="106" t="s">
        <v>133</v>
      </c>
      <c r="G700" s="152" t="str">
        <f>IFERROR(__xludf.DUMMYFUNCTION("""COMPUTED_VALUE"""),"")</f>
        <v/>
      </c>
      <c r="H700" s="106" t="s">
        <v>133</v>
      </c>
      <c r="I700" s="136"/>
      <c r="J700" s="139" t="s">
        <v>133</v>
      </c>
      <c r="K700" s="136" t="s">
        <v>133</v>
      </c>
      <c r="L700" s="153" t="str">
        <f>IFERROR(__xludf.DUMMYFUNCTION("""COMPUTED_VALUE"""),"")</f>
        <v/>
      </c>
      <c r="M700" s="136" t="str">
        <f t="shared" si="1"/>
        <v/>
      </c>
      <c r="N700" s="136" t="str">
        <f>IFERROR(__xludf.DUMMYFUNCTION("""COMPUTED_VALUE"""),"")</f>
        <v/>
      </c>
      <c r="O700" s="141" t="s">
        <v>133</v>
      </c>
      <c r="P700" s="136" t="str">
        <f>IFERROR(__xludf.DUMMYFUNCTION("""COMPUTED_VALUE"""),"")</f>
        <v/>
      </c>
      <c r="Q700" s="136" t="str">
        <f>IFERROR(__xludf.DUMMYFUNCTION("""COMPUTED_VALUE"""),"")</f>
        <v/>
      </c>
      <c r="R700" s="106" t="str">
        <f>IFERROR(__xludf.DUMMYFUNCTION("""COMPUTED_VALUE"""),"")</f>
        <v/>
      </c>
      <c r="S700" s="106" t="str">
        <f>IFERROR(__xludf.DUMMYFUNCTION("""COMPUTED_VALUE"""),"")</f>
        <v/>
      </c>
      <c r="T700" s="139" t="str">
        <f>IFERROR(__xludf.DUMMYFUNCTION("""COMPUTED_VALUE"""),"")</f>
        <v/>
      </c>
      <c r="U700" s="139" t="str">
        <f>IFERROR(__xludf.DUMMYFUNCTION("""COMPUTED_VALUE"""),"")</f>
        <v/>
      </c>
      <c r="V700" s="136" t="str">
        <f>IFERROR(__xludf.DUMMYFUNCTION("""COMPUTED_VALUE"""),"")</f>
        <v/>
      </c>
      <c r="W700" s="106" t="str">
        <f>IFERROR(__xludf.DUMMYFUNCTION("""COMPUTED_VALUE"""),"")</f>
        <v/>
      </c>
      <c r="X700" s="143" t="str">
        <f t="shared" si="2"/>
        <v/>
      </c>
      <c r="Y700" s="139" t="str">
        <f>IFERROR(__xludf.DUMMYFUNCTION("""COMPUTED_VALUE"""),"")</f>
        <v/>
      </c>
      <c r="Z700" s="141" t="str">
        <f>IFERROR(__xludf.DUMMYFUNCTION("""COMPUTED_VALUE"""),"")</f>
        <v/>
      </c>
    </row>
    <row r="701">
      <c r="C701" s="136" t="str">
        <f>IFERROR(__xludf.DUMMYFUNCTION("""COMPUTED_VALUE"""),"")</f>
        <v/>
      </c>
      <c r="D701" s="136" t="str">
        <f t="shared" si="3"/>
        <v/>
      </c>
      <c r="E701" s="152" t="str">
        <f>IFERROR(__xludf.DUMMYFUNCTION("""COMPUTED_VALUE"""),"")</f>
        <v/>
      </c>
      <c r="F701" s="106" t="s">
        <v>133</v>
      </c>
      <c r="G701" s="152" t="str">
        <f>IFERROR(__xludf.DUMMYFUNCTION("""COMPUTED_VALUE"""),"")</f>
        <v/>
      </c>
      <c r="H701" s="106" t="s">
        <v>133</v>
      </c>
      <c r="I701" s="136"/>
      <c r="J701" s="139" t="s">
        <v>133</v>
      </c>
      <c r="K701" s="136" t="s">
        <v>133</v>
      </c>
      <c r="L701" s="153" t="str">
        <f>IFERROR(__xludf.DUMMYFUNCTION("""COMPUTED_VALUE"""),"")</f>
        <v/>
      </c>
      <c r="M701" s="136" t="str">
        <f t="shared" si="1"/>
        <v/>
      </c>
      <c r="N701" s="136" t="str">
        <f>IFERROR(__xludf.DUMMYFUNCTION("""COMPUTED_VALUE"""),"")</f>
        <v/>
      </c>
      <c r="O701" s="141" t="s">
        <v>133</v>
      </c>
      <c r="P701" s="136" t="str">
        <f>IFERROR(__xludf.DUMMYFUNCTION("""COMPUTED_VALUE"""),"")</f>
        <v/>
      </c>
      <c r="Q701" s="136" t="str">
        <f>IFERROR(__xludf.DUMMYFUNCTION("""COMPUTED_VALUE"""),"")</f>
        <v/>
      </c>
      <c r="R701" s="106" t="str">
        <f>IFERROR(__xludf.DUMMYFUNCTION("""COMPUTED_VALUE"""),"")</f>
        <v/>
      </c>
      <c r="S701" s="106" t="str">
        <f>IFERROR(__xludf.DUMMYFUNCTION("""COMPUTED_VALUE"""),"")</f>
        <v/>
      </c>
      <c r="T701" s="139" t="str">
        <f>IFERROR(__xludf.DUMMYFUNCTION("""COMPUTED_VALUE"""),"")</f>
        <v/>
      </c>
      <c r="U701" s="139" t="str">
        <f>IFERROR(__xludf.DUMMYFUNCTION("""COMPUTED_VALUE"""),"")</f>
        <v/>
      </c>
      <c r="V701" s="136" t="str">
        <f>IFERROR(__xludf.DUMMYFUNCTION("""COMPUTED_VALUE"""),"")</f>
        <v/>
      </c>
      <c r="W701" s="106" t="str">
        <f>IFERROR(__xludf.DUMMYFUNCTION("""COMPUTED_VALUE"""),"")</f>
        <v/>
      </c>
      <c r="X701" s="143" t="str">
        <f t="shared" si="2"/>
        <v/>
      </c>
      <c r="Y701" s="139" t="str">
        <f>IFERROR(__xludf.DUMMYFUNCTION("""COMPUTED_VALUE"""),"")</f>
        <v/>
      </c>
      <c r="Z701" s="141" t="str">
        <f>IFERROR(__xludf.DUMMYFUNCTION("""COMPUTED_VALUE"""),"")</f>
        <v/>
      </c>
    </row>
    <row r="702">
      <c r="C702" s="136" t="str">
        <f>IFERROR(__xludf.DUMMYFUNCTION("""COMPUTED_VALUE"""),"")</f>
        <v/>
      </c>
      <c r="D702" s="136" t="str">
        <f t="shared" si="3"/>
        <v/>
      </c>
      <c r="E702" s="152" t="str">
        <f>IFERROR(__xludf.DUMMYFUNCTION("""COMPUTED_VALUE"""),"")</f>
        <v/>
      </c>
      <c r="F702" s="106" t="s">
        <v>133</v>
      </c>
      <c r="G702" s="152" t="str">
        <f>IFERROR(__xludf.DUMMYFUNCTION("""COMPUTED_VALUE"""),"")</f>
        <v/>
      </c>
      <c r="H702" s="106" t="s">
        <v>133</v>
      </c>
      <c r="I702" s="136"/>
      <c r="J702" s="139" t="s">
        <v>133</v>
      </c>
      <c r="K702" s="136" t="s">
        <v>133</v>
      </c>
      <c r="L702" s="153" t="str">
        <f>IFERROR(__xludf.DUMMYFUNCTION("""COMPUTED_VALUE"""),"")</f>
        <v/>
      </c>
      <c r="M702" s="136" t="str">
        <f t="shared" si="1"/>
        <v/>
      </c>
      <c r="N702" s="136" t="str">
        <f>IFERROR(__xludf.DUMMYFUNCTION("""COMPUTED_VALUE"""),"")</f>
        <v/>
      </c>
      <c r="O702" s="141" t="s">
        <v>133</v>
      </c>
      <c r="P702" s="136" t="str">
        <f>IFERROR(__xludf.DUMMYFUNCTION("""COMPUTED_VALUE"""),"")</f>
        <v/>
      </c>
      <c r="Q702" s="136" t="str">
        <f>IFERROR(__xludf.DUMMYFUNCTION("""COMPUTED_VALUE"""),"")</f>
        <v/>
      </c>
      <c r="R702" s="106" t="str">
        <f>IFERROR(__xludf.DUMMYFUNCTION("""COMPUTED_VALUE"""),"")</f>
        <v/>
      </c>
      <c r="S702" s="106" t="str">
        <f>IFERROR(__xludf.DUMMYFUNCTION("""COMPUTED_VALUE"""),"")</f>
        <v/>
      </c>
      <c r="T702" s="139" t="str">
        <f>IFERROR(__xludf.DUMMYFUNCTION("""COMPUTED_VALUE"""),"")</f>
        <v/>
      </c>
      <c r="U702" s="139" t="str">
        <f>IFERROR(__xludf.DUMMYFUNCTION("""COMPUTED_VALUE"""),"")</f>
        <v/>
      </c>
      <c r="V702" s="136" t="str">
        <f>IFERROR(__xludf.DUMMYFUNCTION("""COMPUTED_VALUE"""),"")</f>
        <v/>
      </c>
      <c r="W702" s="106" t="str">
        <f>IFERROR(__xludf.DUMMYFUNCTION("""COMPUTED_VALUE"""),"")</f>
        <v/>
      </c>
      <c r="X702" s="143" t="str">
        <f t="shared" si="2"/>
        <v/>
      </c>
      <c r="Y702" s="139" t="str">
        <f>IFERROR(__xludf.DUMMYFUNCTION("""COMPUTED_VALUE"""),"")</f>
        <v/>
      </c>
      <c r="Z702" s="141" t="str">
        <f>IFERROR(__xludf.DUMMYFUNCTION("""COMPUTED_VALUE"""),"")</f>
        <v/>
      </c>
    </row>
    <row r="703">
      <c r="C703" s="136" t="str">
        <f>IFERROR(__xludf.DUMMYFUNCTION("""COMPUTED_VALUE"""),"")</f>
        <v/>
      </c>
      <c r="D703" s="136" t="str">
        <f t="shared" si="3"/>
        <v/>
      </c>
      <c r="E703" s="152" t="str">
        <f>IFERROR(__xludf.DUMMYFUNCTION("""COMPUTED_VALUE"""),"")</f>
        <v/>
      </c>
      <c r="F703" s="106" t="s">
        <v>133</v>
      </c>
      <c r="G703" s="152" t="str">
        <f>IFERROR(__xludf.DUMMYFUNCTION("""COMPUTED_VALUE"""),"")</f>
        <v/>
      </c>
      <c r="H703" s="106" t="s">
        <v>133</v>
      </c>
      <c r="I703" s="136"/>
      <c r="J703" s="139" t="s">
        <v>133</v>
      </c>
      <c r="K703" s="136" t="s">
        <v>133</v>
      </c>
      <c r="L703" s="153" t="str">
        <f>IFERROR(__xludf.DUMMYFUNCTION("""COMPUTED_VALUE"""),"")</f>
        <v/>
      </c>
      <c r="M703" s="136" t="str">
        <f t="shared" si="1"/>
        <v/>
      </c>
      <c r="N703" s="136" t="str">
        <f>IFERROR(__xludf.DUMMYFUNCTION("""COMPUTED_VALUE"""),"")</f>
        <v/>
      </c>
      <c r="O703" s="141" t="s">
        <v>133</v>
      </c>
      <c r="P703" s="136" t="str">
        <f>IFERROR(__xludf.DUMMYFUNCTION("""COMPUTED_VALUE"""),"")</f>
        <v/>
      </c>
      <c r="Q703" s="136" t="str">
        <f>IFERROR(__xludf.DUMMYFUNCTION("""COMPUTED_VALUE"""),"")</f>
        <v/>
      </c>
      <c r="R703" s="106" t="str">
        <f>IFERROR(__xludf.DUMMYFUNCTION("""COMPUTED_VALUE"""),"")</f>
        <v/>
      </c>
      <c r="S703" s="106" t="str">
        <f>IFERROR(__xludf.DUMMYFUNCTION("""COMPUTED_VALUE"""),"")</f>
        <v/>
      </c>
      <c r="T703" s="139" t="str">
        <f>IFERROR(__xludf.DUMMYFUNCTION("""COMPUTED_VALUE"""),"")</f>
        <v/>
      </c>
      <c r="U703" s="139" t="str">
        <f>IFERROR(__xludf.DUMMYFUNCTION("""COMPUTED_VALUE"""),"")</f>
        <v/>
      </c>
      <c r="V703" s="136" t="str">
        <f>IFERROR(__xludf.DUMMYFUNCTION("""COMPUTED_VALUE"""),"")</f>
        <v/>
      </c>
      <c r="W703" s="106" t="str">
        <f>IFERROR(__xludf.DUMMYFUNCTION("""COMPUTED_VALUE"""),"")</f>
        <v/>
      </c>
      <c r="X703" s="143" t="str">
        <f t="shared" si="2"/>
        <v/>
      </c>
      <c r="Y703" s="139" t="str">
        <f>IFERROR(__xludf.DUMMYFUNCTION("""COMPUTED_VALUE"""),"")</f>
        <v/>
      </c>
      <c r="Z703" s="141" t="str">
        <f>IFERROR(__xludf.DUMMYFUNCTION("""COMPUTED_VALUE"""),"")</f>
        <v/>
      </c>
    </row>
    <row r="704">
      <c r="C704" s="136" t="str">
        <f>IFERROR(__xludf.DUMMYFUNCTION("""COMPUTED_VALUE"""),"")</f>
        <v/>
      </c>
      <c r="D704" s="136" t="str">
        <f t="shared" si="3"/>
        <v/>
      </c>
      <c r="E704" s="152" t="str">
        <f>IFERROR(__xludf.DUMMYFUNCTION("""COMPUTED_VALUE"""),"")</f>
        <v/>
      </c>
      <c r="F704" s="106" t="s">
        <v>133</v>
      </c>
      <c r="G704" s="152" t="str">
        <f>IFERROR(__xludf.DUMMYFUNCTION("""COMPUTED_VALUE"""),"")</f>
        <v/>
      </c>
      <c r="H704" s="106" t="s">
        <v>133</v>
      </c>
      <c r="I704" s="136"/>
      <c r="J704" s="139" t="s">
        <v>133</v>
      </c>
      <c r="K704" s="136" t="s">
        <v>133</v>
      </c>
      <c r="L704" s="153" t="str">
        <f>IFERROR(__xludf.DUMMYFUNCTION("""COMPUTED_VALUE"""),"")</f>
        <v/>
      </c>
      <c r="M704" s="136" t="str">
        <f t="shared" si="1"/>
        <v/>
      </c>
      <c r="N704" s="136" t="str">
        <f>IFERROR(__xludf.DUMMYFUNCTION("""COMPUTED_VALUE"""),"")</f>
        <v/>
      </c>
      <c r="O704" s="141" t="s">
        <v>133</v>
      </c>
      <c r="P704" s="136" t="str">
        <f>IFERROR(__xludf.DUMMYFUNCTION("""COMPUTED_VALUE"""),"")</f>
        <v/>
      </c>
      <c r="Q704" s="136" t="str">
        <f>IFERROR(__xludf.DUMMYFUNCTION("""COMPUTED_VALUE"""),"")</f>
        <v/>
      </c>
      <c r="R704" s="106" t="str">
        <f>IFERROR(__xludf.DUMMYFUNCTION("""COMPUTED_VALUE"""),"")</f>
        <v/>
      </c>
      <c r="S704" s="106" t="str">
        <f>IFERROR(__xludf.DUMMYFUNCTION("""COMPUTED_VALUE"""),"")</f>
        <v/>
      </c>
      <c r="T704" s="139" t="str">
        <f>IFERROR(__xludf.DUMMYFUNCTION("""COMPUTED_VALUE"""),"")</f>
        <v/>
      </c>
      <c r="U704" s="139" t="str">
        <f>IFERROR(__xludf.DUMMYFUNCTION("""COMPUTED_VALUE"""),"")</f>
        <v/>
      </c>
      <c r="V704" s="136" t="str">
        <f>IFERROR(__xludf.DUMMYFUNCTION("""COMPUTED_VALUE"""),"")</f>
        <v/>
      </c>
      <c r="W704" s="106" t="str">
        <f>IFERROR(__xludf.DUMMYFUNCTION("""COMPUTED_VALUE"""),"")</f>
        <v/>
      </c>
      <c r="X704" s="143" t="str">
        <f t="shared" si="2"/>
        <v/>
      </c>
      <c r="Y704" s="139" t="str">
        <f>IFERROR(__xludf.DUMMYFUNCTION("""COMPUTED_VALUE"""),"")</f>
        <v/>
      </c>
      <c r="Z704" s="141" t="str">
        <f>IFERROR(__xludf.DUMMYFUNCTION("""COMPUTED_VALUE"""),"")</f>
        <v/>
      </c>
    </row>
    <row r="705">
      <c r="C705" s="136" t="str">
        <f>IFERROR(__xludf.DUMMYFUNCTION("""COMPUTED_VALUE"""),"")</f>
        <v/>
      </c>
      <c r="D705" s="136" t="str">
        <f t="shared" si="3"/>
        <v/>
      </c>
      <c r="E705" s="152" t="str">
        <f>IFERROR(__xludf.DUMMYFUNCTION("""COMPUTED_VALUE"""),"")</f>
        <v/>
      </c>
      <c r="F705" s="106" t="s">
        <v>133</v>
      </c>
      <c r="G705" s="152" t="str">
        <f>IFERROR(__xludf.DUMMYFUNCTION("""COMPUTED_VALUE"""),"")</f>
        <v/>
      </c>
      <c r="H705" s="106" t="s">
        <v>133</v>
      </c>
      <c r="I705" s="136"/>
      <c r="J705" s="139" t="s">
        <v>133</v>
      </c>
      <c r="K705" s="136" t="s">
        <v>133</v>
      </c>
      <c r="L705" s="153" t="str">
        <f>IFERROR(__xludf.DUMMYFUNCTION("""COMPUTED_VALUE"""),"")</f>
        <v/>
      </c>
      <c r="M705" s="136" t="str">
        <f t="shared" si="1"/>
        <v/>
      </c>
      <c r="N705" s="136" t="str">
        <f>IFERROR(__xludf.DUMMYFUNCTION("""COMPUTED_VALUE"""),"")</f>
        <v/>
      </c>
      <c r="O705" s="141" t="s">
        <v>133</v>
      </c>
      <c r="P705" s="136" t="str">
        <f>IFERROR(__xludf.DUMMYFUNCTION("""COMPUTED_VALUE"""),"")</f>
        <v/>
      </c>
      <c r="Q705" s="136" t="str">
        <f>IFERROR(__xludf.DUMMYFUNCTION("""COMPUTED_VALUE"""),"")</f>
        <v/>
      </c>
      <c r="R705" s="106" t="str">
        <f>IFERROR(__xludf.DUMMYFUNCTION("""COMPUTED_VALUE"""),"")</f>
        <v/>
      </c>
      <c r="S705" s="106" t="str">
        <f>IFERROR(__xludf.DUMMYFUNCTION("""COMPUTED_VALUE"""),"")</f>
        <v/>
      </c>
      <c r="T705" s="139" t="str">
        <f>IFERROR(__xludf.DUMMYFUNCTION("""COMPUTED_VALUE"""),"")</f>
        <v/>
      </c>
      <c r="U705" s="139" t="str">
        <f>IFERROR(__xludf.DUMMYFUNCTION("""COMPUTED_VALUE"""),"")</f>
        <v/>
      </c>
      <c r="V705" s="136" t="str">
        <f>IFERROR(__xludf.DUMMYFUNCTION("""COMPUTED_VALUE"""),"")</f>
        <v/>
      </c>
      <c r="W705" s="106" t="str">
        <f>IFERROR(__xludf.DUMMYFUNCTION("""COMPUTED_VALUE"""),"")</f>
        <v/>
      </c>
      <c r="X705" s="143" t="str">
        <f t="shared" si="2"/>
        <v/>
      </c>
      <c r="Y705" s="139" t="str">
        <f>IFERROR(__xludf.DUMMYFUNCTION("""COMPUTED_VALUE"""),"")</f>
        <v/>
      </c>
      <c r="Z705" s="141" t="str">
        <f>IFERROR(__xludf.DUMMYFUNCTION("""COMPUTED_VALUE"""),"")</f>
        <v/>
      </c>
    </row>
    <row r="706">
      <c r="C706" s="136" t="str">
        <f>IFERROR(__xludf.DUMMYFUNCTION("""COMPUTED_VALUE"""),"")</f>
        <v/>
      </c>
      <c r="D706" s="136" t="str">
        <f t="shared" si="3"/>
        <v/>
      </c>
      <c r="E706" s="152" t="str">
        <f>IFERROR(__xludf.DUMMYFUNCTION("""COMPUTED_VALUE"""),"")</f>
        <v/>
      </c>
      <c r="F706" s="106" t="s">
        <v>133</v>
      </c>
      <c r="G706" s="152" t="str">
        <f>IFERROR(__xludf.DUMMYFUNCTION("""COMPUTED_VALUE"""),"")</f>
        <v/>
      </c>
      <c r="H706" s="106" t="s">
        <v>133</v>
      </c>
      <c r="I706" s="136"/>
      <c r="J706" s="139" t="s">
        <v>133</v>
      </c>
      <c r="K706" s="136" t="s">
        <v>133</v>
      </c>
      <c r="L706" s="153" t="str">
        <f>IFERROR(__xludf.DUMMYFUNCTION("""COMPUTED_VALUE"""),"")</f>
        <v/>
      </c>
      <c r="M706" s="136" t="str">
        <f t="shared" si="1"/>
        <v/>
      </c>
      <c r="N706" s="136" t="str">
        <f>IFERROR(__xludf.DUMMYFUNCTION("""COMPUTED_VALUE"""),"")</f>
        <v/>
      </c>
      <c r="O706" s="141" t="s">
        <v>133</v>
      </c>
      <c r="P706" s="136" t="str">
        <f>IFERROR(__xludf.DUMMYFUNCTION("""COMPUTED_VALUE"""),"")</f>
        <v/>
      </c>
      <c r="Q706" s="136" t="str">
        <f>IFERROR(__xludf.DUMMYFUNCTION("""COMPUTED_VALUE"""),"")</f>
        <v/>
      </c>
      <c r="R706" s="106" t="str">
        <f>IFERROR(__xludf.DUMMYFUNCTION("""COMPUTED_VALUE"""),"")</f>
        <v/>
      </c>
      <c r="S706" s="106" t="str">
        <f>IFERROR(__xludf.DUMMYFUNCTION("""COMPUTED_VALUE"""),"")</f>
        <v/>
      </c>
      <c r="T706" s="139" t="str">
        <f>IFERROR(__xludf.DUMMYFUNCTION("""COMPUTED_VALUE"""),"")</f>
        <v/>
      </c>
      <c r="U706" s="139" t="str">
        <f>IFERROR(__xludf.DUMMYFUNCTION("""COMPUTED_VALUE"""),"")</f>
        <v/>
      </c>
      <c r="V706" s="136" t="str">
        <f>IFERROR(__xludf.DUMMYFUNCTION("""COMPUTED_VALUE"""),"")</f>
        <v/>
      </c>
      <c r="W706" s="106" t="str">
        <f>IFERROR(__xludf.DUMMYFUNCTION("""COMPUTED_VALUE"""),"")</f>
        <v/>
      </c>
      <c r="X706" s="143" t="str">
        <f t="shared" si="2"/>
        <v/>
      </c>
      <c r="Y706" s="139" t="str">
        <f>IFERROR(__xludf.DUMMYFUNCTION("""COMPUTED_VALUE"""),"")</f>
        <v/>
      </c>
      <c r="Z706" s="141" t="str">
        <f>IFERROR(__xludf.DUMMYFUNCTION("""COMPUTED_VALUE"""),"")</f>
        <v/>
      </c>
    </row>
    <row r="707">
      <c r="C707" s="136" t="str">
        <f>IFERROR(__xludf.DUMMYFUNCTION("""COMPUTED_VALUE"""),"")</f>
        <v/>
      </c>
      <c r="D707" s="136" t="str">
        <f t="shared" si="3"/>
        <v/>
      </c>
      <c r="E707" s="152" t="str">
        <f>IFERROR(__xludf.DUMMYFUNCTION("""COMPUTED_VALUE"""),"")</f>
        <v/>
      </c>
      <c r="F707" s="106" t="s">
        <v>133</v>
      </c>
      <c r="G707" s="152" t="str">
        <f>IFERROR(__xludf.DUMMYFUNCTION("""COMPUTED_VALUE"""),"")</f>
        <v/>
      </c>
      <c r="H707" s="106" t="s">
        <v>133</v>
      </c>
      <c r="I707" s="136"/>
      <c r="J707" s="139" t="s">
        <v>133</v>
      </c>
      <c r="K707" s="136" t="s">
        <v>133</v>
      </c>
      <c r="L707" s="153" t="str">
        <f>IFERROR(__xludf.DUMMYFUNCTION("""COMPUTED_VALUE"""),"")</f>
        <v/>
      </c>
      <c r="M707" s="136" t="str">
        <f t="shared" si="1"/>
        <v/>
      </c>
      <c r="N707" s="136" t="str">
        <f>IFERROR(__xludf.DUMMYFUNCTION("""COMPUTED_VALUE"""),"")</f>
        <v/>
      </c>
      <c r="O707" s="141" t="s">
        <v>133</v>
      </c>
      <c r="P707" s="136" t="str">
        <f>IFERROR(__xludf.DUMMYFUNCTION("""COMPUTED_VALUE"""),"")</f>
        <v/>
      </c>
      <c r="Q707" s="136" t="str">
        <f>IFERROR(__xludf.DUMMYFUNCTION("""COMPUTED_VALUE"""),"")</f>
        <v/>
      </c>
      <c r="R707" s="106" t="str">
        <f>IFERROR(__xludf.DUMMYFUNCTION("""COMPUTED_VALUE"""),"")</f>
        <v/>
      </c>
      <c r="S707" s="106" t="str">
        <f>IFERROR(__xludf.DUMMYFUNCTION("""COMPUTED_VALUE"""),"")</f>
        <v/>
      </c>
      <c r="T707" s="139" t="str">
        <f>IFERROR(__xludf.DUMMYFUNCTION("""COMPUTED_VALUE"""),"")</f>
        <v/>
      </c>
      <c r="U707" s="139" t="str">
        <f>IFERROR(__xludf.DUMMYFUNCTION("""COMPUTED_VALUE"""),"")</f>
        <v/>
      </c>
      <c r="V707" s="136" t="str">
        <f>IFERROR(__xludf.DUMMYFUNCTION("""COMPUTED_VALUE"""),"")</f>
        <v/>
      </c>
      <c r="W707" s="106" t="str">
        <f>IFERROR(__xludf.DUMMYFUNCTION("""COMPUTED_VALUE"""),"")</f>
        <v/>
      </c>
      <c r="X707" s="143" t="str">
        <f t="shared" si="2"/>
        <v/>
      </c>
      <c r="Y707" s="139" t="str">
        <f>IFERROR(__xludf.DUMMYFUNCTION("""COMPUTED_VALUE"""),"")</f>
        <v/>
      </c>
      <c r="Z707" s="141" t="str">
        <f>IFERROR(__xludf.DUMMYFUNCTION("""COMPUTED_VALUE"""),"")</f>
        <v/>
      </c>
    </row>
    <row r="708">
      <c r="C708" s="136" t="str">
        <f>IFERROR(__xludf.DUMMYFUNCTION("""COMPUTED_VALUE"""),"")</f>
        <v/>
      </c>
      <c r="D708" s="136" t="str">
        <f t="shared" si="3"/>
        <v/>
      </c>
      <c r="E708" s="152" t="str">
        <f>IFERROR(__xludf.DUMMYFUNCTION("""COMPUTED_VALUE"""),"")</f>
        <v/>
      </c>
      <c r="F708" s="106" t="s">
        <v>133</v>
      </c>
      <c r="G708" s="152" t="str">
        <f>IFERROR(__xludf.DUMMYFUNCTION("""COMPUTED_VALUE"""),"")</f>
        <v/>
      </c>
      <c r="H708" s="106" t="s">
        <v>133</v>
      </c>
      <c r="I708" s="136"/>
      <c r="J708" s="139" t="s">
        <v>133</v>
      </c>
      <c r="K708" s="136" t="s">
        <v>133</v>
      </c>
      <c r="L708" s="153" t="str">
        <f>IFERROR(__xludf.DUMMYFUNCTION("""COMPUTED_VALUE"""),"")</f>
        <v/>
      </c>
      <c r="M708" s="136" t="str">
        <f t="shared" si="1"/>
        <v/>
      </c>
      <c r="N708" s="136" t="str">
        <f>IFERROR(__xludf.DUMMYFUNCTION("""COMPUTED_VALUE"""),"")</f>
        <v/>
      </c>
      <c r="O708" s="141" t="s">
        <v>133</v>
      </c>
      <c r="P708" s="136" t="str">
        <f>IFERROR(__xludf.DUMMYFUNCTION("""COMPUTED_VALUE"""),"")</f>
        <v/>
      </c>
      <c r="Q708" s="136" t="str">
        <f>IFERROR(__xludf.DUMMYFUNCTION("""COMPUTED_VALUE"""),"")</f>
        <v/>
      </c>
      <c r="R708" s="106" t="str">
        <f>IFERROR(__xludf.DUMMYFUNCTION("""COMPUTED_VALUE"""),"")</f>
        <v/>
      </c>
      <c r="S708" s="106" t="str">
        <f>IFERROR(__xludf.DUMMYFUNCTION("""COMPUTED_VALUE"""),"")</f>
        <v/>
      </c>
      <c r="T708" s="139" t="str">
        <f>IFERROR(__xludf.DUMMYFUNCTION("""COMPUTED_VALUE"""),"")</f>
        <v/>
      </c>
      <c r="U708" s="139" t="str">
        <f>IFERROR(__xludf.DUMMYFUNCTION("""COMPUTED_VALUE"""),"")</f>
        <v/>
      </c>
      <c r="V708" s="136" t="str">
        <f>IFERROR(__xludf.DUMMYFUNCTION("""COMPUTED_VALUE"""),"")</f>
        <v/>
      </c>
      <c r="W708" s="106" t="str">
        <f>IFERROR(__xludf.DUMMYFUNCTION("""COMPUTED_VALUE"""),"")</f>
        <v/>
      </c>
      <c r="X708" s="143" t="str">
        <f t="shared" si="2"/>
        <v/>
      </c>
      <c r="Y708" s="139" t="str">
        <f>IFERROR(__xludf.DUMMYFUNCTION("""COMPUTED_VALUE"""),"")</f>
        <v/>
      </c>
      <c r="Z708" s="141" t="str">
        <f>IFERROR(__xludf.DUMMYFUNCTION("""COMPUTED_VALUE"""),"")</f>
        <v/>
      </c>
    </row>
    <row r="709">
      <c r="C709" s="136" t="str">
        <f>IFERROR(__xludf.DUMMYFUNCTION("""COMPUTED_VALUE"""),"")</f>
        <v/>
      </c>
      <c r="D709" s="136" t="str">
        <f t="shared" si="3"/>
        <v/>
      </c>
      <c r="E709" s="152" t="str">
        <f>IFERROR(__xludf.DUMMYFUNCTION("""COMPUTED_VALUE"""),"")</f>
        <v/>
      </c>
      <c r="F709" s="106" t="s">
        <v>133</v>
      </c>
      <c r="G709" s="152" t="str">
        <f>IFERROR(__xludf.DUMMYFUNCTION("""COMPUTED_VALUE"""),"")</f>
        <v/>
      </c>
      <c r="H709" s="106" t="s">
        <v>133</v>
      </c>
      <c r="I709" s="136"/>
      <c r="J709" s="139" t="s">
        <v>133</v>
      </c>
      <c r="K709" s="136" t="s">
        <v>133</v>
      </c>
      <c r="L709" s="153" t="str">
        <f>IFERROR(__xludf.DUMMYFUNCTION("""COMPUTED_VALUE"""),"")</f>
        <v/>
      </c>
      <c r="M709" s="136" t="str">
        <f t="shared" si="1"/>
        <v/>
      </c>
      <c r="N709" s="136" t="str">
        <f>IFERROR(__xludf.DUMMYFUNCTION("""COMPUTED_VALUE"""),"")</f>
        <v/>
      </c>
      <c r="O709" s="141" t="s">
        <v>133</v>
      </c>
      <c r="P709" s="136" t="str">
        <f>IFERROR(__xludf.DUMMYFUNCTION("""COMPUTED_VALUE"""),"")</f>
        <v/>
      </c>
      <c r="Q709" s="136" t="str">
        <f>IFERROR(__xludf.DUMMYFUNCTION("""COMPUTED_VALUE"""),"")</f>
        <v/>
      </c>
      <c r="R709" s="106" t="str">
        <f>IFERROR(__xludf.DUMMYFUNCTION("""COMPUTED_VALUE"""),"")</f>
        <v/>
      </c>
      <c r="S709" s="106" t="str">
        <f>IFERROR(__xludf.DUMMYFUNCTION("""COMPUTED_VALUE"""),"")</f>
        <v/>
      </c>
      <c r="T709" s="139" t="str">
        <f>IFERROR(__xludf.DUMMYFUNCTION("""COMPUTED_VALUE"""),"")</f>
        <v/>
      </c>
      <c r="U709" s="139" t="str">
        <f>IFERROR(__xludf.DUMMYFUNCTION("""COMPUTED_VALUE"""),"")</f>
        <v/>
      </c>
      <c r="V709" s="136" t="str">
        <f>IFERROR(__xludf.DUMMYFUNCTION("""COMPUTED_VALUE"""),"")</f>
        <v/>
      </c>
      <c r="W709" s="106" t="str">
        <f>IFERROR(__xludf.DUMMYFUNCTION("""COMPUTED_VALUE"""),"")</f>
        <v/>
      </c>
      <c r="X709" s="143" t="str">
        <f t="shared" si="2"/>
        <v/>
      </c>
      <c r="Y709" s="139" t="str">
        <f>IFERROR(__xludf.DUMMYFUNCTION("""COMPUTED_VALUE"""),"")</f>
        <v/>
      </c>
      <c r="Z709" s="141" t="str">
        <f>IFERROR(__xludf.DUMMYFUNCTION("""COMPUTED_VALUE"""),"")</f>
        <v/>
      </c>
    </row>
    <row r="710">
      <c r="C710" s="136" t="str">
        <f>IFERROR(__xludf.DUMMYFUNCTION("""COMPUTED_VALUE"""),"")</f>
        <v/>
      </c>
      <c r="D710" s="136" t="str">
        <f t="shared" si="3"/>
        <v/>
      </c>
      <c r="E710" s="152" t="str">
        <f>IFERROR(__xludf.DUMMYFUNCTION("""COMPUTED_VALUE"""),"")</f>
        <v/>
      </c>
      <c r="F710" s="106" t="s">
        <v>133</v>
      </c>
      <c r="G710" s="152" t="str">
        <f>IFERROR(__xludf.DUMMYFUNCTION("""COMPUTED_VALUE"""),"")</f>
        <v/>
      </c>
      <c r="H710" s="106" t="s">
        <v>133</v>
      </c>
      <c r="I710" s="136"/>
      <c r="J710" s="139" t="s">
        <v>133</v>
      </c>
      <c r="K710" s="136" t="s">
        <v>133</v>
      </c>
      <c r="L710" s="153" t="str">
        <f>IFERROR(__xludf.DUMMYFUNCTION("""COMPUTED_VALUE"""),"")</f>
        <v/>
      </c>
      <c r="M710" s="136" t="str">
        <f t="shared" si="1"/>
        <v/>
      </c>
      <c r="N710" s="136" t="str">
        <f>IFERROR(__xludf.DUMMYFUNCTION("""COMPUTED_VALUE"""),"")</f>
        <v/>
      </c>
      <c r="O710" s="141" t="s">
        <v>133</v>
      </c>
      <c r="P710" s="136" t="str">
        <f>IFERROR(__xludf.DUMMYFUNCTION("""COMPUTED_VALUE"""),"")</f>
        <v/>
      </c>
      <c r="Q710" s="136" t="str">
        <f>IFERROR(__xludf.DUMMYFUNCTION("""COMPUTED_VALUE"""),"")</f>
        <v/>
      </c>
      <c r="R710" s="106" t="str">
        <f>IFERROR(__xludf.DUMMYFUNCTION("""COMPUTED_VALUE"""),"")</f>
        <v/>
      </c>
      <c r="S710" s="106" t="str">
        <f>IFERROR(__xludf.DUMMYFUNCTION("""COMPUTED_VALUE"""),"")</f>
        <v/>
      </c>
      <c r="T710" s="139" t="str">
        <f>IFERROR(__xludf.DUMMYFUNCTION("""COMPUTED_VALUE"""),"")</f>
        <v/>
      </c>
      <c r="U710" s="139" t="str">
        <f>IFERROR(__xludf.DUMMYFUNCTION("""COMPUTED_VALUE"""),"")</f>
        <v/>
      </c>
      <c r="V710" s="136" t="str">
        <f>IFERROR(__xludf.DUMMYFUNCTION("""COMPUTED_VALUE"""),"")</f>
        <v/>
      </c>
      <c r="W710" s="106" t="str">
        <f>IFERROR(__xludf.DUMMYFUNCTION("""COMPUTED_VALUE"""),"")</f>
        <v/>
      </c>
      <c r="X710" s="143" t="str">
        <f t="shared" si="2"/>
        <v/>
      </c>
      <c r="Y710" s="139" t="str">
        <f>IFERROR(__xludf.DUMMYFUNCTION("""COMPUTED_VALUE"""),"")</f>
        <v/>
      </c>
      <c r="Z710" s="141" t="str">
        <f>IFERROR(__xludf.DUMMYFUNCTION("""COMPUTED_VALUE"""),"")</f>
        <v/>
      </c>
    </row>
    <row r="711">
      <c r="C711" s="136" t="str">
        <f>IFERROR(__xludf.DUMMYFUNCTION("""COMPUTED_VALUE"""),"")</f>
        <v/>
      </c>
      <c r="D711" s="136" t="str">
        <f t="shared" si="3"/>
        <v/>
      </c>
      <c r="E711" s="152" t="str">
        <f>IFERROR(__xludf.DUMMYFUNCTION("""COMPUTED_VALUE"""),"")</f>
        <v/>
      </c>
      <c r="F711" s="106" t="s">
        <v>133</v>
      </c>
      <c r="G711" s="152" t="str">
        <f>IFERROR(__xludf.DUMMYFUNCTION("""COMPUTED_VALUE"""),"")</f>
        <v/>
      </c>
      <c r="H711" s="106" t="s">
        <v>133</v>
      </c>
      <c r="I711" s="136"/>
      <c r="J711" s="139" t="s">
        <v>133</v>
      </c>
      <c r="K711" s="136" t="s">
        <v>133</v>
      </c>
      <c r="L711" s="153" t="str">
        <f>IFERROR(__xludf.DUMMYFUNCTION("""COMPUTED_VALUE"""),"")</f>
        <v/>
      </c>
      <c r="M711" s="136" t="str">
        <f t="shared" si="1"/>
        <v/>
      </c>
      <c r="N711" s="136" t="str">
        <f>IFERROR(__xludf.DUMMYFUNCTION("""COMPUTED_VALUE"""),"")</f>
        <v/>
      </c>
      <c r="O711" s="141" t="s">
        <v>133</v>
      </c>
      <c r="P711" s="136" t="str">
        <f>IFERROR(__xludf.DUMMYFUNCTION("""COMPUTED_VALUE"""),"")</f>
        <v/>
      </c>
      <c r="Q711" s="136" t="str">
        <f>IFERROR(__xludf.DUMMYFUNCTION("""COMPUTED_VALUE"""),"")</f>
        <v/>
      </c>
      <c r="R711" s="106" t="str">
        <f>IFERROR(__xludf.DUMMYFUNCTION("""COMPUTED_VALUE"""),"")</f>
        <v/>
      </c>
      <c r="S711" s="106" t="str">
        <f>IFERROR(__xludf.DUMMYFUNCTION("""COMPUTED_VALUE"""),"")</f>
        <v/>
      </c>
      <c r="T711" s="139" t="str">
        <f>IFERROR(__xludf.DUMMYFUNCTION("""COMPUTED_VALUE"""),"")</f>
        <v/>
      </c>
      <c r="U711" s="139" t="str">
        <f>IFERROR(__xludf.DUMMYFUNCTION("""COMPUTED_VALUE"""),"")</f>
        <v/>
      </c>
      <c r="V711" s="136" t="str">
        <f>IFERROR(__xludf.DUMMYFUNCTION("""COMPUTED_VALUE"""),"")</f>
        <v/>
      </c>
      <c r="W711" s="106" t="str">
        <f>IFERROR(__xludf.DUMMYFUNCTION("""COMPUTED_VALUE"""),"")</f>
        <v/>
      </c>
      <c r="X711" s="143" t="str">
        <f t="shared" si="2"/>
        <v/>
      </c>
      <c r="Y711" s="139" t="str">
        <f>IFERROR(__xludf.DUMMYFUNCTION("""COMPUTED_VALUE"""),"")</f>
        <v/>
      </c>
      <c r="Z711" s="141" t="str">
        <f>IFERROR(__xludf.DUMMYFUNCTION("""COMPUTED_VALUE"""),"")</f>
        <v/>
      </c>
    </row>
    <row r="712">
      <c r="C712" s="136" t="str">
        <f>IFERROR(__xludf.DUMMYFUNCTION("""COMPUTED_VALUE"""),"")</f>
        <v/>
      </c>
      <c r="D712" s="136" t="str">
        <f t="shared" si="3"/>
        <v/>
      </c>
      <c r="E712" s="152" t="str">
        <f>IFERROR(__xludf.DUMMYFUNCTION("""COMPUTED_VALUE"""),"")</f>
        <v/>
      </c>
      <c r="F712" s="106" t="s">
        <v>133</v>
      </c>
      <c r="G712" s="152" t="str">
        <f>IFERROR(__xludf.DUMMYFUNCTION("""COMPUTED_VALUE"""),"")</f>
        <v/>
      </c>
      <c r="H712" s="106" t="s">
        <v>133</v>
      </c>
      <c r="I712" s="136"/>
      <c r="J712" s="139" t="s">
        <v>133</v>
      </c>
      <c r="K712" s="136" t="s">
        <v>133</v>
      </c>
      <c r="L712" s="153" t="str">
        <f>IFERROR(__xludf.DUMMYFUNCTION("""COMPUTED_VALUE"""),"")</f>
        <v/>
      </c>
      <c r="M712" s="136" t="str">
        <f t="shared" si="1"/>
        <v/>
      </c>
      <c r="N712" s="136" t="str">
        <f>IFERROR(__xludf.DUMMYFUNCTION("""COMPUTED_VALUE"""),"")</f>
        <v/>
      </c>
      <c r="O712" s="141" t="s">
        <v>133</v>
      </c>
      <c r="P712" s="136" t="str">
        <f>IFERROR(__xludf.DUMMYFUNCTION("""COMPUTED_VALUE"""),"")</f>
        <v/>
      </c>
      <c r="Q712" s="136" t="str">
        <f>IFERROR(__xludf.DUMMYFUNCTION("""COMPUTED_VALUE"""),"")</f>
        <v/>
      </c>
      <c r="R712" s="106" t="str">
        <f>IFERROR(__xludf.DUMMYFUNCTION("""COMPUTED_VALUE"""),"")</f>
        <v/>
      </c>
      <c r="S712" s="106" t="str">
        <f>IFERROR(__xludf.DUMMYFUNCTION("""COMPUTED_VALUE"""),"")</f>
        <v/>
      </c>
      <c r="T712" s="139" t="str">
        <f>IFERROR(__xludf.DUMMYFUNCTION("""COMPUTED_VALUE"""),"")</f>
        <v/>
      </c>
      <c r="U712" s="139" t="str">
        <f>IFERROR(__xludf.DUMMYFUNCTION("""COMPUTED_VALUE"""),"")</f>
        <v/>
      </c>
      <c r="V712" s="136" t="str">
        <f>IFERROR(__xludf.DUMMYFUNCTION("""COMPUTED_VALUE"""),"")</f>
        <v/>
      </c>
      <c r="W712" s="106" t="str">
        <f>IFERROR(__xludf.DUMMYFUNCTION("""COMPUTED_VALUE"""),"")</f>
        <v/>
      </c>
      <c r="X712" s="143" t="str">
        <f t="shared" si="2"/>
        <v/>
      </c>
      <c r="Y712" s="139" t="str">
        <f>IFERROR(__xludf.DUMMYFUNCTION("""COMPUTED_VALUE"""),"")</f>
        <v/>
      </c>
      <c r="Z712" s="141" t="str">
        <f>IFERROR(__xludf.DUMMYFUNCTION("""COMPUTED_VALUE"""),"")</f>
        <v/>
      </c>
    </row>
    <row r="713">
      <c r="C713" s="136" t="str">
        <f>IFERROR(__xludf.DUMMYFUNCTION("""COMPUTED_VALUE"""),"")</f>
        <v/>
      </c>
      <c r="D713" s="136" t="str">
        <f t="shared" si="3"/>
        <v/>
      </c>
      <c r="E713" s="152" t="str">
        <f>IFERROR(__xludf.DUMMYFUNCTION("""COMPUTED_VALUE"""),"")</f>
        <v/>
      </c>
      <c r="F713" s="106" t="s">
        <v>133</v>
      </c>
      <c r="G713" s="152" t="str">
        <f>IFERROR(__xludf.DUMMYFUNCTION("""COMPUTED_VALUE"""),"")</f>
        <v/>
      </c>
      <c r="H713" s="106" t="s">
        <v>133</v>
      </c>
      <c r="I713" s="136"/>
      <c r="J713" s="139" t="s">
        <v>133</v>
      </c>
      <c r="K713" s="136" t="s">
        <v>133</v>
      </c>
      <c r="L713" s="153" t="str">
        <f>IFERROR(__xludf.DUMMYFUNCTION("""COMPUTED_VALUE"""),"")</f>
        <v/>
      </c>
      <c r="M713" s="136" t="str">
        <f t="shared" si="1"/>
        <v/>
      </c>
      <c r="N713" s="136" t="str">
        <f>IFERROR(__xludf.DUMMYFUNCTION("""COMPUTED_VALUE"""),"")</f>
        <v/>
      </c>
      <c r="O713" s="141" t="s">
        <v>133</v>
      </c>
      <c r="P713" s="136" t="str">
        <f>IFERROR(__xludf.DUMMYFUNCTION("""COMPUTED_VALUE"""),"")</f>
        <v/>
      </c>
      <c r="Q713" s="136" t="str">
        <f>IFERROR(__xludf.DUMMYFUNCTION("""COMPUTED_VALUE"""),"")</f>
        <v/>
      </c>
      <c r="R713" s="106" t="str">
        <f>IFERROR(__xludf.DUMMYFUNCTION("""COMPUTED_VALUE"""),"")</f>
        <v/>
      </c>
      <c r="S713" s="106" t="str">
        <f>IFERROR(__xludf.DUMMYFUNCTION("""COMPUTED_VALUE"""),"")</f>
        <v/>
      </c>
      <c r="T713" s="139" t="str">
        <f>IFERROR(__xludf.DUMMYFUNCTION("""COMPUTED_VALUE"""),"")</f>
        <v/>
      </c>
      <c r="U713" s="139" t="str">
        <f>IFERROR(__xludf.DUMMYFUNCTION("""COMPUTED_VALUE"""),"")</f>
        <v/>
      </c>
      <c r="V713" s="136" t="str">
        <f>IFERROR(__xludf.DUMMYFUNCTION("""COMPUTED_VALUE"""),"")</f>
        <v/>
      </c>
      <c r="W713" s="106" t="str">
        <f>IFERROR(__xludf.DUMMYFUNCTION("""COMPUTED_VALUE"""),"")</f>
        <v/>
      </c>
      <c r="X713" s="143" t="str">
        <f t="shared" si="2"/>
        <v/>
      </c>
      <c r="Y713" s="139" t="str">
        <f>IFERROR(__xludf.DUMMYFUNCTION("""COMPUTED_VALUE"""),"")</f>
        <v/>
      </c>
      <c r="Z713" s="141" t="str">
        <f>IFERROR(__xludf.DUMMYFUNCTION("""COMPUTED_VALUE"""),"")</f>
        <v/>
      </c>
    </row>
    <row r="714">
      <c r="C714" s="136" t="str">
        <f>IFERROR(__xludf.DUMMYFUNCTION("""COMPUTED_VALUE"""),"")</f>
        <v/>
      </c>
      <c r="D714" s="136" t="str">
        <f t="shared" si="3"/>
        <v/>
      </c>
      <c r="E714" s="152" t="str">
        <f>IFERROR(__xludf.DUMMYFUNCTION("""COMPUTED_VALUE"""),"")</f>
        <v/>
      </c>
      <c r="F714" s="106" t="s">
        <v>133</v>
      </c>
      <c r="G714" s="152" t="str">
        <f>IFERROR(__xludf.DUMMYFUNCTION("""COMPUTED_VALUE"""),"")</f>
        <v/>
      </c>
      <c r="H714" s="106" t="s">
        <v>133</v>
      </c>
      <c r="I714" s="136"/>
      <c r="J714" s="139" t="s">
        <v>133</v>
      </c>
      <c r="K714" s="136" t="s">
        <v>133</v>
      </c>
      <c r="L714" s="153" t="str">
        <f>IFERROR(__xludf.DUMMYFUNCTION("""COMPUTED_VALUE"""),"")</f>
        <v/>
      </c>
      <c r="M714" s="136" t="str">
        <f t="shared" si="1"/>
        <v/>
      </c>
      <c r="N714" s="136" t="str">
        <f>IFERROR(__xludf.DUMMYFUNCTION("""COMPUTED_VALUE"""),"")</f>
        <v/>
      </c>
      <c r="O714" s="141" t="s">
        <v>133</v>
      </c>
      <c r="P714" s="136" t="str">
        <f>IFERROR(__xludf.DUMMYFUNCTION("""COMPUTED_VALUE"""),"")</f>
        <v/>
      </c>
      <c r="Q714" s="136" t="str">
        <f>IFERROR(__xludf.DUMMYFUNCTION("""COMPUTED_VALUE"""),"")</f>
        <v/>
      </c>
      <c r="R714" s="106" t="str">
        <f>IFERROR(__xludf.DUMMYFUNCTION("""COMPUTED_VALUE"""),"")</f>
        <v/>
      </c>
      <c r="S714" s="106" t="str">
        <f>IFERROR(__xludf.DUMMYFUNCTION("""COMPUTED_VALUE"""),"")</f>
        <v/>
      </c>
      <c r="T714" s="139" t="str">
        <f>IFERROR(__xludf.DUMMYFUNCTION("""COMPUTED_VALUE"""),"")</f>
        <v/>
      </c>
      <c r="U714" s="139" t="str">
        <f>IFERROR(__xludf.DUMMYFUNCTION("""COMPUTED_VALUE"""),"")</f>
        <v/>
      </c>
      <c r="V714" s="136" t="str">
        <f>IFERROR(__xludf.DUMMYFUNCTION("""COMPUTED_VALUE"""),"")</f>
        <v/>
      </c>
      <c r="W714" s="106" t="str">
        <f>IFERROR(__xludf.DUMMYFUNCTION("""COMPUTED_VALUE"""),"")</f>
        <v/>
      </c>
      <c r="X714" s="143" t="str">
        <f t="shared" si="2"/>
        <v/>
      </c>
      <c r="Y714" s="139" t="str">
        <f>IFERROR(__xludf.DUMMYFUNCTION("""COMPUTED_VALUE"""),"")</f>
        <v/>
      </c>
      <c r="Z714" s="141" t="str">
        <f>IFERROR(__xludf.DUMMYFUNCTION("""COMPUTED_VALUE"""),"")</f>
        <v/>
      </c>
    </row>
    <row r="715">
      <c r="C715" s="136" t="str">
        <f>IFERROR(__xludf.DUMMYFUNCTION("""COMPUTED_VALUE"""),"")</f>
        <v/>
      </c>
      <c r="D715" s="136" t="str">
        <f t="shared" si="3"/>
        <v/>
      </c>
      <c r="E715" s="152" t="str">
        <f>IFERROR(__xludf.DUMMYFUNCTION("""COMPUTED_VALUE"""),"")</f>
        <v/>
      </c>
      <c r="F715" s="106" t="s">
        <v>133</v>
      </c>
      <c r="G715" s="152" t="str">
        <f>IFERROR(__xludf.DUMMYFUNCTION("""COMPUTED_VALUE"""),"")</f>
        <v/>
      </c>
      <c r="H715" s="106" t="s">
        <v>133</v>
      </c>
      <c r="I715" s="136"/>
      <c r="J715" s="139" t="s">
        <v>133</v>
      </c>
      <c r="K715" s="136" t="s">
        <v>133</v>
      </c>
      <c r="L715" s="153" t="str">
        <f>IFERROR(__xludf.DUMMYFUNCTION("""COMPUTED_VALUE"""),"")</f>
        <v/>
      </c>
      <c r="M715" s="136" t="str">
        <f t="shared" si="1"/>
        <v/>
      </c>
      <c r="N715" s="136" t="str">
        <f>IFERROR(__xludf.DUMMYFUNCTION("""COMPUTED_VALUE"""),"")</f>
        <v/>
      </c>
      <c r="O715" s="141" t="s">
        <v>133</v>
      </c>
      <c r="P715" s="136" t="str">
        <f>IFERROR(__xludf.DUMMYFUNCTION("""COMPUTED_VALUE"""),"")</f>
        <v/>
      </c>
      <c r="Q715" s="136" t="str">
        <f>IFERROR(__xludf.DUMMYFUNCTION("""COMPUTED_VALUE"""),"")</f>
        <v/>
      </c>
      <c r="R715" s="106" t="str">
        <f>IFERROR(__xludf.DUMMYFUNCTION("""COMPUTED_VALUE"""),"")</f>
        <v/>
      </c>
      <c r="S715" s="106" t="str">
        <f>IFERROR(__xludf.DUMMYFUNCTION("""COMPUTED_VALUE"""),"")</f>
        <v/>
      </c>
      <c r="T715" s="139" t="str">
        <f>IFERROR(__xludf.DUMMYFUNCTION("""COMPUTED_VALUE"""),"")</f>
        <v/>
      </c>
      <c r="U715" s="139" t="str">
        <f>IFERROR(__xludf.DUMMYFUNCTION("""COMPUTED_VALUE"""),"")</f>
        <v/>
      </c>
      <c r="V715" s="136" t="str">
        <f>IFERROR(__xludf.DUMMYFUNCTION("""COMPUTED_VALUE"""),"")</f>
        <v/>
      </c>
      <c r="W715" s="106" t="str">
        <f>IFERROR(__xludf.DUMMYFUNCTION("""COMPUTED_VALUE"""),"")</f>
        <v/>
      </c>
      <c r="X715" s="143" t="str">
        <f t="shared" si="2"/>
        <v/>
      </c>
      <c r="Y715" s="139" t="str">
        <f>IFERROR(__xludf.DUMMYFUNCTION("""COMPUTED_VALUE"""),"")</f>
        <v/>
      </c>
      <c r="Z715" s="141" t="str">
        <f>IFERROR(__xludf.DUMMYFUNCTION("""COMPUTED_VALUE"""),"")</f>
        <v/>
      </c>
    </row>
    <row r="716">
      <c r="C716" s="136" t="str">
        <f>IFERROR(__xludf.DUMMYFUNCTION("""COMPUTED_VALUE"""),"")</f>
        <v/>
      </c>
      <c r="D716" s="136" t="str">
        <f t="shared" si="3"/>
        <v/>
      </c>
      <c r="E716" s="152" t="str">
        <f>IFERROR(__xludf.DUMMYFUNCTION("""COMPUTED_VALUE"""),"")</f>
        <v/>
      </c>
      <c r="F716" s="106" t="s">
        <v>133</v>
      </c>
      <c r="G716" s="152" t="str">
        <f>IFERROR(__xludf.DUMMYFUNCTION("""COMPUTED_VALUE"""),"")</f>
        <v/>
      </c>
      <c r="H716" s="106" t="s">
        <v>133</v>
      </c>
      <c r="I716" s="136"/>
      <c r="J716" s="139" t="s">
        <v>133</v>
      </c>
      <c r="K716" s="136" t="s">
        <v>133</v>
      </c>
      <c r="L716" s="153" t="str">
        <f>IFERROR(__xludf.DUMMYFUNCTION("""COMPUTED_VALUE"""),"")</f>
        <v/>
      </c>
      <c r="M716" s="136" t="str">
        <f t="shared" si="1"/>
        <v/>
      </c>
      <c r="N716" s="136" t="str">
        <f>IFERROR(__xludf.DUMMYFUNCTION("""COMPUTED_VALUE"""),"")</f>
        <v/>
      </c>
      <c r="O716" s="141" t="s">
        <v>133</v>
      </c>
      <c r="P716" s="136" t="str">
        <f>IFERROR(__xludf.DUMMYFUNCTION("""COMPUTED_VALUE"""),"")</f>
        <v/>
      </c>
      <c r="Q716" s="136" t="str">
        <f>IFERROR(__xludf.DUMMYFUNCTION("""COMPUTED_VALUE"""),"")</f>
        <v/>
      </c>
      <c r="R716" s="106" t="str">
        <f>IFERROR(__xludf.DUMMYFUNCTION("""COMPUTED_VALUE"""),"")</f>
        <v/>
      </c>
      <c r="S716" s="106" t="str">
        <f>IFERROR(__xludf.DUMMYFUNCTION("""COMPUTED_VALUE"""),"")</f>
        <v/>
      </c>
      <c r="T716" s="139" t="str">
        <f>IFERROR(__xludf.DUMMYFUNCTION("""COMPUTED_VALUE"""),"")</f>
        <v/>
      </c>
      <c r="U716" s="139" t="str">
        <f>IFERROR(__xludf.DUMMYFUNCTION("""COMPUTED_VALUE"""),"")</f>
        <v/>
      </c>
      <c r="V716" s="136" t="str">
        <f>IFERROR(__xludf.DUMMYFUNCTION("""COMPUTED_VALUE"""),"")</f>
        <v/>
      </c>
      <c r="W716" s="106" t="str">
        <f>IFERROR(__xludf.DUMMYFUNCTION("""COMPUTED_VALUE"""),"")</f>
        <v/>
      </c>
      <c r="X716" s="143" t="str">
        <f t="shared" si="2"/>
        <v/>
      </c>
      <c r="Y716" s="139" t="str">
        <f>IFERROR(__xludf.DUMMYFUNCTION("""COMPUTED_VALUE"""),"")</f>
        <v/>
      </c>
      <c r="Z716" s="141" t="str">
        <f>IFERROR(__xludf.DUMMYFUNCTION("""COMPUTED_VALUE"""),"")</f>
        <v/>
      </c>
    </row>
    <row r="717">
      <c r="C717" s="136" t="str">
        <f>IFERROR(__xludf.DUMMYFUNCTION("""COMPUTED_VALUE"""),"")</f>
        <v/>
      </c>
      <c r="D717" s="136" t="str">
        <f t="shared" si="3"/>
        <v/>
      </c>
      <c r="E717" s="152" t="str">
        <f>IFERROR(__xludf.DUMMYFUNCTION("""COMPUTED_VALUE"""),"")</f>
        <v/>
      </c>
      <c r="F717" s="106" t="s">
        <v>133</v>
      </c>
      <c r="G717" s="152" t="str">
        <f>IFERROR(__xludf.DUMMYFUNCTION("""COMPUTED_VALUE"""),"")</f>
        <v/>
      </c>
      <c r="H717" s="106" t="s">
        <v>133</v>
      </c>
      <c r="I717" s="136"/>
      <c r="J717" s="139" t="s">
        <v>133</v>
      </c>
      <c r="K717" s="136" t="s">
        <v>133</v>
      </c>
      <c r="L717" s="153" t="str">
        <f>IFERROR(__xludf.DUMMYFUNCTION("""COMPUTED_VALUE"""),"")</f>
        <v/>
      </c>
      <c r="M717" s="136" t="str">
        <f t="shared" si="1"/>
        <v/>
      </c>
      <c r="N717" s="136" t="str">
        <f>IFERROR(__xludf.DUMMYFUNCTION("""COMPUTED_VALUE"""),"")</f>
        <v/>
      </c>
      <c r="O717" s="141" t="s">
        <v>133</v>
      </c>
      <c r="P717" s="136" t="str">
        <f>IFERROR(__xludf.DUMMYFUNCTION("""COMPUTED_VALUE"""),"")</f>
        <v/>
      </c>
      <c r="Q717" s="136" t="str">
        <f>IFERROR(__xludf.DUMMYFUNCTION("""COMPUTED_VALUE"""),"")</f>
        <v/>
      </c>
      <c r="R717" s="106" t="str">
        <f>IFERROR(__xludf.DUMMYFUNCTION("""COMPUTED_VALUE"""),"")</f>
        <v/>
      </c>
      <c r="S717" s="106" t="str">
        <f>IFERROR(__xludf.DUMMYFUNCTION("""COMPUTED_VALUE"""),"")</f>
        <v/>
      </c>
      <c r="T717" s="139" t="str">
        <f>IFERROR(__xludf.DUMMYFUNCTION("""COMPUTED_VALUE"""),"")</f>
        <v/>
      </c>
      <c r="U717" s="139" t="str">
        <f>IFERROR(__xludf.DUMMYFUNCTION("""COMPUTED_VALUE"""),"")</f>
        <v/>
      </c>
      <c r="V717" s="136" t="str">
        <f>IFERROR(__xludf.DUMMYFUNCTION("""COMPUTED_VALUE"""),"")</f>
        <v/>
      </c>
      <c r="W717" s="106" t="str">
        <f>IFERROR(__xludf.DUMMYFUNCTION("""COMPUTED_VALUE"""),"")</f>
        <v/>
      </c>
      <c r="X717" s="143" t="str">
        <f t="shared" si="2"/>
        <v/>
      </c>
      <c r="Y717" s="139" t="str">
        <f>IFERROR(__xludf.DUMMYFUNCTION("""COMPUTED_VALUE"""),"")</f>
        <v/>
      </c>
      <c r="Z717" s="141" t="str">
        <f>IFERROR(__xludf.DUMMYFUNCTION("""COMPUTED_VALUE"""),"")</f>
        <v/>
      </c>
    </row>
    <row r="718">
      <c r="C718" s="136" t="str">
        <f>IFERROR(__xludf.DUMMYFUNCTION("""COMPUTED_VALUE"""),"")</f>
        <v/>
      </c>
      <c r="D718" s="136" t="str">
        <f t="shared" si="3"/>
        <v/>
      </c>
      <c r="E718" s="152" t="str">
        <f>IFERROR(__xludf.DUMMYFUNCTION("""COMPUTED_VALUE"""),"")</f>
        <v/>
      </c>
      <c r="F718" s="106" t="s">
        <v>133</v>
      </c>
      <c r="G718" s="152" t="str">
        <f>IFERROR(__xludf.DUMMYFUNCTION("""COMPUTED_VALUE"""),"")</f>
        <v/>
      </c>
      <c r="H718" s="106" t="s">
        <v>133</v>
      </c>
      <c r="I718" s="136"/>
      <c r="J718" s="139" t="s">
        <v>133</v>
      </c>
      <c r="K718" s="136" t="s">
        <v>133</v>
      </c>
      <c r="L718" s="153" t="str">
        <f>IFERROR(__xludf.DUMMYFUNCTION("""COMPUTED_VALUE"""),"")</f>
        <v/>
      </c>
      <c r="M718" s="136" t="str">
        <f t="shared" si="1"/>
        <v/>
      </c>
      <c r="N718" s="136" t="str">
        <f>IFERROR(__xludf.DUMMYFUNCTION("""COMPUTED_VALUE"""),"")</f>
        <v/>
      </c>
      <c r="O718" s="141" t="s">
        <v>133</v>
      </c>
      <c r="P718" s="136" t="str">
        <f>IFERROR(__xludf.DUMMYFUNCTION("""COMPUTED_VALUE"""),"")</f>
        <v/>
      </c>
      <c r="Q718" s="136" t="str">
        <f>IFERROR(__xludf.DUMMYFUNCTION("""COMPUTED_VALUE"""),"")</f>
        <v/>
      </c>
      <c r="R718" s="106" t="str">
        <f>IFERROR(__xludf.DUMMYFUNCTION("""COMPUTED_VALUE"""),"")</f>
        <v/>
      </c>
      <c r="S718" s="106" t="str">
        <f>IFERROR(__xludf.DUMMYFUNCTION("""COMPUTED_VALUE"""),"")</f>
        <v/>
      </c>
      <c r="T718" s="139" t="str">
        <f>IFERROR(__xludf.DUMMYFUNCTION("""COMPUTED_VALUE"""),"")</f>
        <v/>
      </c>
      <c r="U718" s="139" t="str">
        <f>IFERROR(__xludf.DUMMYFUNCTION("""COMPUTED_VALUE"""),"")</f>
        <v/>
      </c>
      <c r="V718" s="136" t="str">
        <f>IFERROR(__xludf.DUMMYFUNCTION("""COMPUTED_VALUE"""),"")</f>
        <v/>
      </c>
      <c r="W718" s="106" t="str">
        <f>IFERROR(__xludf.DUMMYFUNCTION("""COMPUTED_VALUE"""),"")</f>
        <v/>
      </c>
      <c r="X718" s="143" t="str">
        <f t="shared" si="2"/>
        <v/>
      </c>
      <c r="Y718" s="139" t="str">
        <f>IFERROR(__xludf.DUMMYFUNCTION("""COMPUTED_VALUE"""),"")</f>
        <v/>
      </c>
      <c r="Z718" s="141" t="str">
        <f>IFERROR(__xludf.DUMMYFUNCTION("""COMPUTED_VALUE"""),"")</f>
        <v/>
      </c>
    </row>
    <row r="719">
      <c r="C719" s="136" t="str">
        <f>IFERROR(__xludf.DUMMYFUNCTION("""COMPUTED_VALUE"""),"")</f>
        <v/>
      </c>
      <c r="D719" s="136" t="str">
        <f t="shared" si="3"/>
        <v/>
      </c>
      <c r="E719" s="152" t="str">
        <f>IFERROR(__xludf.DUMMYFUNCTION("""COMPUTED_VALUE"""),"")</f>
        <v/>
      </c>
      <c r="F719" s="106" t="s">
        <v>133</v>
      </c>
      <c r="G719" s="152" t="str">
        <f>IFERROR(__xludf.DUMMYFUNCTION("""COMPUTED_VALUE"""),"")</f>
        <v/>
      </c>
      <c r="H719" s="106" t="s">
        <v>133</v>
      </c>
      <c r="I719" s="136"/>
      <c r="J719" s="139" t="s">
        <v>133</v>
      </c>
      <c r="K719" s="136" t="s">
        <v>133</v>
      </c>
      <c r="L719" s="153" t="str">
        <f>IFERROR(__xludf.DUMMYFUNCTION("""COMPUTED_VALUE"""),"")</f>
        <v/>
      </c>
      <c r="M719" s="136" t="str">
        <f t="shared" si="1"/>
        <v/>
      </c>
      <c r="N719" s="136" t="str">
        <f>IFERROR(__xludf.DUMMYFUNCTION("""COMPUTED_VALUE"""),"")</f>
        <v/>
      </c>
      <c r="O719" s="141" t="s">
        <v>133</v>
      </c>
      <c r="P719" s="136" t="str">
        <f>IFERROR(__xludf.DUMMYFUNCTION("""COMPUTED_VALUE"""),"")</f>
        <v/>
      </c>
      <c r="Q719" s="136" t="str">
        <f>IFERROR(__xludf.DUMMYFUNCTION("""COMPUTED_VALUE"""),"")</f>
        <v/>
      </c>
      <c r="R719" s="106" t="str">
        <f>IFERROR(__xludf.DUMMYFUNCTION("""COMPUTED_VALUE"""),"")</f>
        <v/>
      </c>
      <c r="S719" s="106" t="str">
        <f>IFERROR(__xludf.DUMMYFUNCTION("""COMPUTED_VALUE"""),"")</f>
        <v/>
      </c>
      <c r="T719" s="139" t="str">
        <f>IFERROR(__xludf.DUMMYFUNCTION("""COMPUTED_VALUE"""),"")</f>
        <v/>
      </c>
      <c r="U719" s="139" t="str">
        <f>IFERROR(__xludf.DUMMYFUNCTION("""COMPUTED_VALUE"""),"")</f>
        <v/>
      </c>
      <c r="V719" s="136" t="str">
        <f>IFERROR(__xludf.DUMMYFUNCTION("""COMPUTED_VALUE"""),"")</f>
        <v/>
      </c>
      <c r="W719" s="106" t="str">
        <f>IFERROR(__xludf.DUMMYFUNCTION("""COMPUTED_VALUE"""),"")</f>
        <v/>
      </c>
      <c r="X719" s="143" t="str">
        <f t="shared" si="2"/>
        <v/>
      </c>
      <c r="Y719" s="139" t="str">
        <f>IFERROR(__xludf.DUMMYFUNCTION("""COMPUTED_VALUE"""),"")</f>
        <v/>
      </c>
      <c r="Z719" s="141" t="str">
        <f>IFERROR(__xludf.DUMMYFUNCTION("""COMPUTED_VALUE"""),"")</f>
        <v/>
      </c>
    </row>
    <row r="720">
      <c r="C720" s="136" t="str">
        <f>IFERROR(__xludf.DUMMYFUNCTION("""COMPUTED_VALUE"""),"")</f>
        <v/>
      </c>
      <c r="D720" s="136" t="str">
        <f t="shared" si="3"/>
        <v/>
      </c>
      <c r="E720" s="152" t="str">
        <f>IFERROR(__xludf.DUMMYFUNCTION("""COMPUTED_VALUE"""),"")</f>
        <v/>
      </c>
      <c r="F720" s="106" t="s">
        <v>133</v>
      </c>
      <c r="G720" s="152" t="str">
        <f>IFERROR(__xludf.DUMMYFUNCTION("""COMPUTED_VALUE"""),"")</f>
        <v/>
      </c>
      <c r="H720" s="106" t="s">
        <v>133</v>
      </c>
      <c r="I720" s="136"/>
      <c r="J720" s="139" t="s">
        <v>133</v>
      </c>
      <c r="K720" s="136" t="s">
        <v>133</v>
      </c>
      <c r="L720" s="153" t="str">
        <f>IFERROR(__xludf.DUMMYFUNCTION("""COMPUTED_VALUE"""),"")</f>
        <v/>
      </c>
      <c r="M720" s="136" t="str">
        <f t="shared" si="1"/>
        <v/>
      </c>
      <c r="N720" s="136" t="str">
        <f>IFERROR(__xludf.DUMMYFUNCTION("""COMPUTED_VALUE"""),"")</f>
        <v/>
      </c>
      <c r="O720" s="141" t="s">
        <v>133</v>
      </c>
      <c r="P720" s="136" t="str">
        <f>IFERROR(__xludf.DUMMYFUNCTION("""COMPUTED_VALUE"""),"")</f>
        <v/>
      </c>
      <c r="Q720" s="136" t="str">
        <f>IFERROR(__xludf.DUMMYFUNCTION("""COMPUTED_VALUE"""),"")</f>
        <v/>
      </c>
      <c r="R720" s="106" t="str">
        <f>IFERROR(__xludf.DUMMYFUNCTION("""COMPUTED_VALUE"""),"")</f>
        <v/>
      </c>
      <c r="S720" s="106" t="str">
        <f>IFERROR(__xludf.DUMMYFUNCTION("""COMPUTED_VALUE"""),"")</f>
        <v/>
      </c>
      <c r="T720" s="139" t="str">
        <f>IFERROR(__xludf.DUMMYFUNCTION("""COMPUTED_VALUE"""),"")</f>
        <v/>
      </c>
      <c r="U720" s="139" t="str">
        <f>IFERROR(__xludf.DUMMYFUNCTION("""COMPUTED_VALUE"""),"")</f>
        <v/>
      </c>
      <c r="V720" s="136" t="str">
        <f>IFERROR(__xludf.DUMMYFUNCTION("""COMPUTED_VALUE"""),"")</f>
        <v/>
      </c>
      <c r="W720" s="106" t="str">
        <f>IFERROR(__xludf.DUMMYFUNCTION("""COMPUTED_VALUE"""),"")</f>
        <v/>
      </c>
      <c r="X720" s="143" t="str">
        <f t="shared" si="2"/>
        <v/>
      </c>
      <c r="Y720" s="139" t="str">
        <f>IFERROR(__xludf.DUMMYFUNCTION("""COMPUTED_VALUE"""),"")</f>
        <v/>
      </c>
      <c r="Z720" s="141" t="str">
        <f>IFERROR(__xludf.DUMMYFUNCTION("""COMPUTED_VALUE"""),"")</f>
        <v/>
      </c>
    </row>
    <row r="721">
      <c r="C721" s="136" t="str">
        <f>IFERROR(__xludf.DUMMYFUNCTION("""COMPUTED_VALUE"""),"")</f>
        <v/>
      </c>
      <c r="D721" s="136" t="str">
        <f t="shared" si="3"/>
        <v/>
      </c>
      <c r="E721" s="152" t="str">
        <f>IFERROR(__xludf.DUMMYFUNCTION("""COMPUTED_VALUE"""),"")</f>
        <v/>
      </c>
      <c r="F721" s="106" t="s">
        <v>133</v>
      </c>
      <c r="G721" s="152" t="str">
        <f>IFERROR(__xludf.DUMMYFUNCTION("""COMPUTED_VALUE"""),"")</f>
        <v/>
      </c>
      <c r="H721" s="106" t="s">
        <v>133</v>
      </c>
      <c r="I721" s="136"/>
      <c r="J721" s="139" t="s">
        <v>133</v>
      </c>
      <c r="K721" s="136" t="s">
        <v>133</v>
      </c>
      <c r="L721" s="153" t="str">
        <f>IFERROR(__xludf.DUMMYFUNCTION("""COMPUTED_VALUE"""),"")</f>
        <v/>
      </c>
      <c r="M721" s="136" t="str">
        <f t="shared" si="1"/>
        <v/>
      </c>
      <c r="N721" s="136" t="str">
        <f>IFERROR(__xludf.DUMMYFUNCTION("""COMPUTED_VALUE"""),"")</f>
        <v/>
      </c>
      <c r="O721" s="141" t="s">
        <v>133</v>
      </c>
      <c r="P721" s="136" t="str">
        <f>IFERROR(__xludf.DUMMYFUNCTION("""COMPUTED_VALUE"""),"")</f>
        <v/>
      </c>
      <c r="Q721" s="136" t="str">
        <f>IFERROR(__xludf.DUMMYFUNCTION("""COMPUTED_VALUE"""),"")</f>
        <v/>
      </c>
      <c r="R721" s="106" t="str">
        <f>IFERROR(__xludf.DUMMYFUNCTION("""COMPUTED_VALUE"""),"")</f>
        <v/>
      </c>
      <c r="S721" s="106" t="str">
        <f>IFERROR(__xludf.DUMMYFUNCTION("""COMPUTED_VALUE"""),"")</f>
        <v/>
      </c>
      <c r="T721" s="139" t="str">
        <f>IFERROR(__xludf.DUMMYFUNCTION("""COMPUTED_VALUE"""),"")</f>
        <v/>
      </c>
      <c r="U721" s="139" t="str">
        <f>IFERROR(__xludf.DUMMYFUNCTION("""COMPUTED_VALUE"""),"")</f>
        <v/>
      </c>
      <c r="V721" s="136" t="str">
        <f>IFERROR(__xludf.DUMMYFUNCTION("""COMPUTED_VALUE"""),"")</f>
        <v/>
      </c>
      <c r="W721" s="106" t="str">
        <f>IFERROR(__xludf.DUMMYFUNCTION("""COMPUTED_VALUE"""),"")</f>
        <v/>
      </c>
      <c r="X721" s="143" t="str">
        <f t="shared" si="2"/>
        <v/>
      </c>
      <c r="Y721" s="139" t="str">
        <f>IFERROR(__xludf.DUMMYFUNCTION("""COMPUTED_VALUE"""),"")</f>
        <v/>
      </c>
      <c r="Z721" s="141" t="str">
        <f>IFERROR(__xludf.DUMMYFUNCTION("""COMPUTED_VALUE"""),"")</f>
        <v/>
      </c>
    </row>
    <row r="722">
      <c r="C722" s="136" t="str">
        <f>IFERROR(__xludf.DUMMYFUNCTION("""COMPUTED_VALUE"""),"")</f>
        <v/>
      </c>
      <c r="D722" s="136" t="str">
        <f t="shared" si="3"/>
        <v/>
      </c>
      <c r="E722" s="152" t="str">
        <f>IFERROR(__xludf.DUMMYFUNCTION("""COMPUTED_VALUE"""),"")</f>
        <v/>
      </c>
      <c r="F722" s="106" t="s">
        <v>133</v>
      </c>
      <c r="G722" s="152" t="str">
        <f>IFERROR(__xludf.DUMMYFUNCTION("""COMPUTED_VALUE"""),"")</f>
        <v/>
      </c>
      <c r="H722" s="106" t="s">
        <v>133</v>
      </c>
      <c r="I722" s="136"/>
      <c r="J722" s="139" t="s">
        <v>133</v>
      </c>
      <c r="K722" s="136" t="s">
        <v>133</v>
      </c>
      <c r="L722" s="153" t="str">
        <f>IFERROR(__xludf.DUMMYFUNCTION("""COMPUTED_VALUE"""),"")</f>
        <v/>
      </c>
      <c r="M722" s="136" t="str">
        <f t="shared" si="1"/>
        <v/>
      </c>
      <c r="N722" s="136" t="str">
        <f>IFERROR(__xludf.DUMMYFUNCTION("""COMPUTED_VALUE"""),"")</f>
        <v/>
      </c>
      <c r="O722" s="141" t="s">
        <v>133</v>
      </c>
      <c r="P722" s="136" t="str">
        <f>IFERROR(__xludf.DUMMYFUNCTION("""COMPUTED_VALUE"""),"")</f>
        <v/>
      </c>
      <c r="Q722" s="136" t="str">
        <f>IFERROR(__xludf.DUMMYFUNCTION("""COMPUTED_VALUE"""),"")</f>
        <v/>
      </c>
      <c r="R722" s="106" t="str">
        <f>IFERROR(__xludf.DUMMYFUNCTION("""COMPUTED_VALUE"""),"")</f>
        <v/>
      </c>
      <c r="S722" s="106" t="str">
        <f>IFERROR(__xludf.DUMMYFUNCTION("""COMPUTED_VALUE"""),"")</f>
        <v/>
      </c>
      <c r="T722" s="139" t="str">
        <f>IFERROR(__xludf.DUMMYFUNCTION("""COMPUTED_VALUE"""),"")</f>
        <v/>
      </c>
      <c r="U722" s="139" t="str">
        <f>IFERROR(__xludf.DUMMYFUNCTION("""COMPUTED_VALUE"""),"")</f>
        <v/>
      </c>
      <c r="V722" s="136" t="str">
        <f>IFERROR(__xludf.DUMMYFUNCTION("""COMPUTED_VALUE"""),"")</f>
        <v/>
      </c>
      <c r="W722" s="106" t="str">
        <f>IFERROR(__xludf.DUMMYFUNCTION("""COMPUTED_VALUE"""),"")</f>
        <v/>
      </c>
      <c r="X722" s="143" t="str">
        <f t="shared" si="2"/>
        <v/>
      </c>
      <c r="Y722" s="139" t="str">
        <f>IFERROR(__xludf.DUMMYFUNCTION("""COMPUTED_VALUE"""),"")</f>
        <v/>
      </c>
      <c r="Z722" s="141" t="str">
        <f>IFERROR(__xludf.DUMMYFUNCTION("""COMPUTED_VALUE"""),"")</f>
        <v/>
      </c>
    </row>
    <row r="723">
      <c r="C723" s="136" t="str">
        <f>IFERROR(__xludf.DUMMYFUNCTION("""COMPUTED_VALUE"""),"")</f>
        <v/>
      </c>
      <c r="D723" s="136" t="str">
        <f t="shared" si="3"/>
        <v/>
      </c>
      <c r="E723" s="152" t="str">
        <f>IFERROR(__xludf.DUMMYFUNCTION("""COMPUTED_VALUE"""),"")</f>
        <v/>
      </c>
      <c r="F723" s="106" t="s">
        <v>133</v>
      </c>
      <c r="G723" s="152" t="str">
        <f>IFERROR(__xludf.DUMMYFUNCTION("""COMPUTED_VALUE"""),"")</f>
        <v/>
      </c>
      <c r="H723" s="106" t="s">
        <v>133</v>
      </c>
      <c r="I723" s="136"/>
      <c r="J723" s="139" t="s">
        <v>133</v>
      </c>
      <c r="K723" s="136" t="s">
        <v>133</v>
      </c>
      <c r="L723" s="153" t="str">
        <f>IFERROR(__xludf.DUMMYFUNCTION("""COMPUTED_VALUE"""),"")</f>
        <v/>
      </c>
      <c r="M723" s="136" t="str">
        <f t="shared" si="1"/>
        <v/>
      </c>
      <c r="N723" s="136" t="str">
        <f>IFERROR(__xludf.DUMMYFUNCTION("""COMPUTED_VALUE"""),"")</f>
        <v/>
      </c>
      <c r="O723" s="141" t="s">
        <v>133</v>
      </c>
      <c r="P723" s="136" t="str">
        <f>IFERROR(__xludf.DUMMYFUNCTION("""COMPUTED_VALUE"""),"")</f>
        <v/>
      </c>
      <c r="Q723" s="136" t="str">
        <f>IFERROR(__xludf.DUMMYFUNCTION("""COMPUTED_VALUE"""),"")</f>
        <v/>
      </c>
      <c r="R723" s="106" t="str">
        <f>IFERROR(__xludf.DUMMYFUNCTION("""COMPUTED_VALUE"""),"")</f>
        <v/>
      </c>
      <c r="S723" s="106" t="str">
        <f>IFERROR(__xludf.DUMMYFUNCTION("""COMPUTED_VALUE"""),"")</f>
        <v/>
      </c>
      <c r="T723" s="139" t="str">
        <f>IFERROR(__xludf.DUMMYFUNCTION("""COMPUTED_VALUE"""),"")</f>
        <v/>
      </c>
      <c r="U723" s="139" t="str">
        <f>IFERROR(__xludf.DUMMYFUNCTION("""COMPUTED_VALUE"""),"")</f>
        <v/>
      </c>
      <c r="V723" s="136" t="str">
        <f>IFERROR(__xludf.DUMMYFUNCTION("""COMPUTED_VALUE"""),"")</f>
        <v/>
      </c>
      <c r="W723" s="106" t="str">
        <f>IFERROR(__xludf.DUMMYFUNCTION("""COMPUTED_VALUE"""),"")</f>
        <v/>
      </c>
      <c r="X723" s="143" t="str">
        <f t="shared" si="2"/>
        <v/>
      </c>
      <c r="Y723" s="139" t="str">
        <f>IFERROR(__xludf.DUMMYFUNCTION("""COMPUTED_VALUE"""),"")</f>
        <v/>
      </c>
      <c r="Z723" s="141" t="str">
        <f>IFERROR(__xludf.DUMMYFUNCTION("""COMPUTED_VALUE"""),"")</f>
        <v/>
      </c>
    </row>
    <row r="724">
      <c r="C724" s="136" t="str">
        <f>IFERROR(__xludf.DUMMYFUNCTION("""COMPUTED_VALUE"""),"")</f>
        <v/>
      </c>
      <c r="D724" s="136" t="str">
        <f t="shared" si="3"/>
        <v/>
      </c>
      <c r="E724" s="152" t="str">
        <f>IFERROR(__xludf.DUMMYFUNCTION("""COMPUTED_VALUE"""),"")</f>
        <v/>
      </c>
      <c r="F724" s="106" t="s">
        <v>133</v>
      </c>
      <c r="G724" s="152" t="str">
        <f>IFERROR(__xludf.DUMMYFUNCTION("""COMPUTED_VALUE"""),"")</f>
        <v/>
      </c>
      <c r="H724" s="106" t="s">
        <v>133</v>
      </c>
      <c r="I724" s="136"/>
      <c r="J724" s="139" t="s">
        <v>133</v>
      </c>
      <c r="K724" s="136" t="s">
        <v>133</v>
      </c>
      <c r="L724" s="153" t="str">
        <f>IFERROR(__xludf.DUMMYFUNCTION("""COMPUTED_VALUE"""),"")</f>
        <v/>
      </c>
      <c r="M724" s="136" t="str">
        <f t="shared" si="1"/>
        <v/>
      </c>
      <c r="N724" s="136" t="str">
        <f>IFERROR(__xludf.DUMMYFUNCTION("""COMPUTED_VALUE"""),"")</f>
        <v/>
      </c>
      <c r="O724" s="141" t="s">
        <v>133</v>
      </c>
      <c r="P724" s="136" t="str">
        <f>IFERROR(__xludf.DUMMYFUNCTION("""COMPUTED_VALUE"""),"")</f>
        <v/>
      </c>
      <c r="Q724" s="136" t="str">
        <f>IFERROR(__xludf.DUMMYFUNCTION("""COMPUTED_VALUE"""),"")</f>
        <v/>
      </c>
      <c r="R724" s="106" t="str">
        <f>IFERROR(__xludf.DUMMYFUNCTION("""COMPUTED_VALUE"""),"")</f>
        <v/>
      </c>
      <c r="S724" s="106" t="str">
        <f>IFERROR(__xludf.DUMMYFUNCTION("""COMPUTED_VALUE"""),"")</f>
        <v/>
      </c>
      <c r="T724" s="139" t="str">
        <f>IFERROR(__xludf.DUMMYFUNCTION("""COMPUTED_VALUE"""),"")</f>
        <v/>
      </c>
      <c r="U724" s="139" t="str">
        <f>IFERROR(__xludf.DUMMYFUNCTION("""COMPUTED_VALUE"""),"")</f>
        <v/>
      </c>
      <c r="V724" s="136" t="str">
        <f>IFERROR(__xludf.DUMMYFUNCTION("""COMPUTED_VALUE"""),"")</f>
        <v/>
      </c>
      <c r="W724" s="106" t="str">
        <f>IFERROR(__xludf.DUMMYFUNCTION("""COMPUTED_VALUE"""),"")</f>
        <v/>
      </c>
      <c r="X724" s="143" t="str">
        <f t="shared" si="2"/>
        <v/>
      </c>
      <c r="Y724" s="139" t="str">
        <f>IFERROR(__xludf.DUMMYFUNCTION("""COMPUTED_VALUE"""),"")</f>
        <v/>
      </c>
      <c r="Z724" s="141" t="str">
        <f>IFERROR(__xludf.DUMMYFUNCTION("""COMPUTED_VALUE"""),"")</f>
        <v/>
      </c>
    </row>
    <row r="725">
      <c r="C725" s="136" t="str">
        <f>IFERROR(__xludf.DUMMYFUNCTION("""COMPUTED_VALUE"""),"")</f>
        <v/>
      </c>
      <c r="D725" s="136" t="str">
        <f t="shared" si="3"/>
        <v/>
      </c>
      <c r="E725" s="152" t="str">
        <f>IFERROR(__xludf.DUMMYFUNCTION("""COMPUTED_VALUE"""),"")</f>
        <v/>
      </c>
      <c r="F725" s="106" t="s">
        <v>133</v>
      </c>
      <c r="G725" s="152" t="str">
        <f>IFERROR(__xludf.DUMMYFUNCTION("""COMPUTED_VALUE"""),"")</f>
        <v/>
      </c>
      <c r="H725" s="106" t="s">
        <v>133</v>
      </c>
      <c r="I725" s="136"/>
      <c r="J725" s="139" t="s">
        <v>133</v>
      </c>
      <c r="K725" s="136" t="s">
        <v>133</v>
      </c>
      <c r="L725" s="153" t="str">
        <f>IFERROR(__xludf.DUMMYFUNCTION("""COMPUTED_VALUE"""),"")</f>
        <v/>
      </c>
      <c r="M725" s="136" t="str">
        <f t="shared" si="1"/>
        <v/>
      </c>
      <c r="N725" s="136" t="str">
        <f>IFERROR(__xludf.DUMMYFUNCTION("""COMPUTED_VALUE"""),"")</f>
        <v/>
      </c>
      <c r="O725" s="141" t="s">
        <v>133</v>
      </c>
      <c r="P725" s="136" t="str">
        <f>IFERROR(__xludf.DUMMYFUNCTION("""COMPUTED_VALUE"""),"")</f>
        <v/>
      </c>
      <c r="Q725" s="136" t="str">
        <f>IFERROR(__xludf.DUMMYFUNCTION("""COMPUTED_VALUE"""),"")</f>
        <v/>
      </c>
      <c r="R725" s="106" t="str">
        <f>IFERROR(__xludf.DUMMYFUNCTION("""COMPUTED_VALUE"""),"")</f>
        <v/>
      </c>
      <c r="S725" s="106" t="str">
        <f>IFERROR(__xludf.DUMMYFUNCTION("""COMPUTED_VALUE"""),"")</f>
        <v/>
      </c>
      <c r="T725" s="139" t="str">
        <f>IFERROR(__xludf.DUMMYFUNCTION("""COMPUTED_VALUE"""),"")</f>
        <v/>
      </c>
      <c r="U725" s="139" t="str">
        <f>IFERROR(__xludf.DUMMYFUNCTION("""COMPUTED_VALUE"""),"")</f>
        <v/>
      </c>
      <c r="V725" s="136" t="str">
        <f>IFERROR(__xludf.DUMMYFUNCTION("""COMPUTED_VALUE"""),"")</f>
        <v/>
      </c>
      <c r="W725" s="106" t="str">
        <f>IFERROR(__xludf.DUMMYFUNCTION("""COMPUTED_VALUE"""),"")</f>
        <v/>
      </c>
      <c r="X725" s="143" t="str">
        <f t="shared" si="2"/>
        <v/>
      </c>
      <c r="Y725" s="139" t="str">
        <f>IFERROR(__xludf.DUMMYFUNCTION("""COMPUTED_VALUE"""),"")</f>
        <v/>
      </c>
      <c r="Z725" s="141" t="str">
        <f>IFERROR(__xludf.DUMMYFUNCTION("""COMPUTED_VALUE"""),"")</f>
        <v/>
      </c>
    </row>
    <row r="726">
      <c r="C726" s="136" t="str">
        <f>IFERROR(__xludf.DUMMYFUNCTION("""COMPUTED_VALUE"""),"")</f>
        <v/>
      </c>
      <c r="D726" s="136" t="str">
        <f t="shared" si="3"/>
        <v/>
      </c>
      <c r="E726" s="152" t="str">
        <f>IFERROR(__xludf.DUMMYFUNCTION("""COMPUTED_VALUE"""),"")</f>
        <v/>
      </c>
      <c r="F726" s="106" t="s">
        <v>133</v>
      </c>
      <c r="G726" s="152" t="str">
        <f>IFERROR(__xludf.DUMMYFUNCTION("""COMPUTED_VALUE"""),"")</f>
        <v/>
      </c>
      <c r="H726" s="106" t="s">
        <v>133</v>
      </c>
      <c r="I726" s="136"/>
      <c r="J726" s="139" t="s">
        <v>133</v>
      </c>
      <c r="K726" s="136" t="s">
        <v>133</v>
      </c>
      <c r="L726" s="153" t="str">
        <f>IFERROR(__xludf.DUMMYFUNCTION("""COMPUTED_VALUE"""),"")</f>
        <v/>
      </c>
      <c r="M726" s="136" t="str">
        <f t="shared" si="1"/>
        <v/>
      </c>
      <c r="N726" s="136" t="str">
        <f>IFERROR(__xludf.DUMMYFUNCTION("""COMPUTED_VALUE"""),"")</f>
        <v/>
      </c>
      <c r="O726" s="141" t="s">
        <v>133</v>
      </c>
      <c r="P726" s="136" t="str">
        <f>IFERROR(__xludf.DUMMYFUNCTION("""COMPUTED_VALUE"""),"")</f>
        <v/>
      </c>
      <c r="Q726" s="136" t="str">
        <f>IFERROR(__xludf.DUMMYFUNCTION("""COMPUTED_VALUE"""),"")</f>
        <v/>
      </c>
      <c r="R726" s="106" t="str">
        <f>IFERROR(__xludf.DUMMYFUNCTION("""COMPUTED_VALUE"""),"")</f>
        <v/>
      </c>
      <c r="S726" s="106" t="str">
        <f>IFERROR(__xludf.DUMMYFUNCTION("""COMPUTED_VALUE"""),"")</f>
        <v/>
      </c>
      <c r="T726" s="139" t="str">
        <f>IFERROR(__xludf.DUMMYFUNCTION("""COMPUTED_VALUE"""),"")</f>
        <v/>
      </c>
      <c r="U726" s="139" t="str">
        <f>IFERROR(__xludf.DUMMYFUNCTION("""COMPUTED_VALUE"""),"")</f>
        <v/>
      </c>
      <c r="V726" s="136" t="str">
        <f>IFERROR(__xludf.DUMMYFUNCTION("""COMPUTED_VALUE"""),"")</f>
        <v/>
      </c>
      <c r="W726" s="106" t="str">
        <f>IFERROR(__xludf.DUMMYFUNCTION("""COMPUTED_VALUE"""),"")</f>
        <v/>
      </c>
      <c r="X726" s="143" t="str">
        <f t="shared" si="2"/>
        <v/>
      </c>
      <c r="Y726" s="139" t="str">
        <f>IFERROR(__xludf.DUMMYFUNCTION("""COMPUTED_VALUE"""),"")</f>
        <v/>
      </c>
      <c r="Z726" s="141" t="str">
        <f>IFERROR(__xludf.DUMMYFUNCTION("""COMPUTED_VALUE"""),"")</f>
        <v/>
      </c>
    </row>
    <row r="727">
      <c r="C727" s="136" t="str">
        <f>IFERROR(__xludf.DUMMYFUNCTION("""COMPUTED_VALUE"""),"")</f>
        <v/>
      </c>
      <c r="D727" s="136" t="str">
        <f t="shared" si="3"/>
        <v/>
      </c>
      <c r="E727" s="152" t="str">
        <f>IFERROR(__xludf.DUMMYFUNCTION("""COMPUTED_VALUE"""),"")</f>
        <v/>
      </c>
      <c r="F727" s="106" t="s">
        <v>133</v>
      </c>
      <c r="G727" s="152" t="str">
        <f>IFERROR(__xludf.DUMMYFUNCTION("""COMPUTED_VALUE"""),"")</f>
        <v/>
      </c>
      <c r="H727" s="106" t="s">
        <v>133</v>
      </c>
      <c r="I727" s="136"/>
      <c r="J727" s="139" t="s">
        <v>133</v>
      </c>
      <c r="K727" s="136" t="s">
        <v>133</v>
      </c>
      <c r="L727" s="153" t="str">
        <f>IFERROR(__xludf.DUMMYFUNCTION("""COMPUTED_VALUE"""),"")</f>
        <v/>
      </c>
      <c r="M727" s="136" t="str">
        <f t="shared" si="1"/>
        <v/>
      </c>
      <c r="N727" s="136" t="str">
        <f>IFERROR(__xludf.DUMMYFUNCTION("""COMPUTED_VALUE"""),"")</f>
        <v/>
      </c>
      <c r="O727" s="141" t="s">
        <v>133</v>
      </c>
      <c r="P727" s="136" t="str">
        <f>IFERROR(__xludf.DUMMYFUNCTION("""COMPUTED_VALUE"""),"")</f>
        <v/>
      </c>
      <c r="Q727" s="136" t="str">
        <f>IFERROR(__xludf.DUMMYFUNCTION("""COMPUTED_VALUE"""),"")</f>
        <v/>
      </c>
      <c r="R727" s="106" t="str">
        <f>IFERROR(__xludf.DUMMYFUNCTION("""COMPUTED_VALUE"""),"")</f>
        <v/>
      </c>
      <c r="S727" s="106" t="str">
        <f>IFERROR(__xludf.DUMMYFUNCTION("""COMPUTED_VALUE"""),"")</f>
        <v/>
      </c>
      <c r="T727" s="139" t="str">
        <f>IFERROR(__xludf.DUMMYFUNCTION("""COMPUTED_VALUE"""),"")</f>
        <v/>
      </c>
      <c r="U727" s="139" t="str">
        <f>IFERROR(__xludf.DUMMYFUNCTION("""COMPUTED_VALUE"""),"")</f>
        <v/>
      </c>
      <c r="V727" s="136" t="str">
        <f>IFERROR(__xludf.DUMMYFUNCTION("""COMPUTED_VALUE"""),"")</f>
        <v/>
      </c>
      <c r="W727" s="106" t="str">
        <f>IFERROR(__xludf.DUMMYFUNCTION("""COMPUTED_VALUE"""),"")</f>
        <v/>
      </c>
      <c r="X727" s="143" t="str">
        <f t="shared" si="2"/>
        <v/>
      </c>
      <c r="Y727" s="139" t="str">
        <f>IFERROR(__xludf.DUMMYFUNCTION("""COMPUTED_VALUE"""),"")</f>
        <v/>
      </c>
      <c r="Z727" s="141" t="str">
        <f>IFERROR(__xludf.DUMMYFUNCTION("""COMPUTED_VALUE"""),"")</f>
        <v/>
      </c>
    </row>
    <row r="728">
      <c r="C728" s="136" t="str">
        <f>IFERROR(__xludf.DUMMYFUNCTION("""COMPUTED_VALUE"""),"")</f>
        <v/>
      </c>
      <c r="D728" s="136" t="str">
        <f t="shared" si="3"/>
        <v/>
      </c>
      <c r="E728" s="152" t="str">
        <f>IFERROR(__xludf.DUMMYFUNCTION("""COMPUTED_VALUE"""),"")</f>
        <v/>
      </c>
      <c r="F728" s="106" t="s">
        <v>133</v>
      </c>
      <c r="G728" s="152" t="str">
        <f>IFERROR(__xludf.DUMMYFUNCTION("""COMPUTED_VALUE"""),"")</f>
        <v/>
      </c>
      <c r="H728" s="106" t="s">
        <v>133</v>
      </c>
      <c r="I728" s="136"/>
      <c r="J728" s="139" t="s">
        <v>133</v>
      </c>
      <c r="K728" s="136" t="s">
        <v>133</v>
      </c>
      <c r="L728" s="153" t="str">
        <f>IFERROR(__xludf.DUMMYFUNCTION("""COMPUTED_VALUE"""),"")</f>
        <v/>
      </c>
      <c r="M728" s="136" t="str">
        <f t="shared" si="1"/>
        <v/>
      </c>
      <c r="N728" s="136" t="str">
        <f>IFERROR(__xludf.DUMMYFUNCTION("""COMPUTED_VALUE"""),"")</f>
        <v/>
      </c>
      <c r="O728" s="141" t="s">
        <v>133</v>
      </c>
      <c r="P728" s="136" t="str">
        <f>IFERROR(__xludf.DUMMYFUNCTION("""COMPUTED_VALUE"""),"")</f>
        <v/>
      </c>
      <c r="Q728" s="136" t="str">
        <f>IFERROR(__xludf.DUMMYFUNCTION("""COMPUTED_VALUE"""),"")</f>
        <v/>
      </c>
      <c r="R728" s="106" t="str">
        <f>IFERROR(__xludf.DUMMYFUNCTION("""COMPUTED_VALUE"""),"")</f>
        <v/>
      </c>
      <c r="S728" s="106" t="str">
        <f>IFERROR(__xludf.DUMMYFUNCTION("""COMPUTED_VALUE"""),"")</f>
        <v/>
      </c>
      <c r="T728" s="139" t="str">
        <f>IFERROR(__xludf.DUMMYFUNCTION("""COMPUTED_VALUE"""),"")</f>
        <v/>
      </c>
      <c r="U728" s="139" t="str">
        <f>IFERROR(__xludf.DUMMYFUNCTION("""COMPUTED_VALUE"""),"")</f>
        <v/>
      </c>
      <c r="V728" s="136" t="str">
        <f>IFERROR(__xludf.DUMMYFUNCTION("""COMPUTED_VALUE"""),"")</f>
        <v/>
      </c>
      <c r="W728" s="106" t="str">
        <f>IFERROR(__xludf.DUMMYFUNCTION("""COMPUTED_VALUE"""),"")</f>
        <v/>
      </c>
      <c r="X728" s="143" t="str">
        <f t="shared" si="2"/>
        <v/>
      </c>
      <c r="Y728" s="139" t="str">
        <f>IFERROR(__xludf.DUMMYFUNCTION("""COMPUTED_VALUE"""),"")</f>
        <v/>
      </c>
      <c r="Z728" s="141" t="str">
        <f>IFERROR(__xludf.DUMMYFUNCTION("""COMPUTED_VALUE"""),"")</f>
        <v/>
      </c>
    </row>
    <row r="729">
      <c r="C729" s="136" t="str">
        <f>IFERROR(__xludf.DUMMYFUNCTION("""COMPUTED_VALUE"""),"")</f>
        <v/>
      </c>
      <c r="D729" s="136" t="str">
        <f t="shared" si="3"/>
        <v/>
      </c>
      <c r="E729" s="152" t="str">
        <f>IFERROR(__xludf.DUMMYFUNCTION("""COMPUTED_VALUE"""),"")</f>
        <v/>
      </c>
      <c r="F729" s="106" t="s">
        <v>133</v>
      </c>
      <c r="G729" s="152" t="str">
        <f>IFERROR(__xludf.DUMMYFUNCTION("""COMPUTED_VALUE"""),"")</f>
        <v/>
      </c>
      <c r="H729" s="106" t="s">
        <v>133</v>
      </c>
      <c r="I729" s="136"/>
      <c r="J729" s="139" t="s">
        <v>133</v>
      </c>
      <c r="K729" s="136" t="s">
        <v>133</v>
      </c>
      <c r="L729" s="153" t="str">
        <f>IFERROR(__xludf.DUMMYFUNCTION("""COMPUTED_VALUE"""),"")</f>
        <v/>
      </c>
      <c r="M729" s="136" t="str">
        <f t="shared" si="1"/>
        <v/>
      </c>
      <c r="N729" s="136" t="str">
        <f>IFERROR(__xludf.DUMMYFUNCTION("""COMPUTED_VALUE"""),"")</f>
        <v/>
      </c>
      <c r="O729" s="141" t="s">
        <v>133</v>
      </c>
      <c r="P729" s="136" t="str">
        <f>IFERROR(__xludf.DUMMYFUNCTION("""COMPUTED_VALUE"""),"")</f>
        <v/>
      </c>
      <c r="Q729" s="136" t="str">
        <f>IFERROR(__xludf.DUMMYFUNCTION("""COMPUTED_VALUE"""),"")</f>
        <v/>
      </c>
      <c r="R729" s="106" t="str">
        <f>IFERROR(__xludf.DUMMYFUNCTION("""COMPUTED_VALUE"""),"")</f>
        <v/>
      </c>
      <c r="S729" s="106" t="str">
        <f>IFERROR(__xludf.DUMMYFUNCTION("""COMPUTED_VALUE"""),"")</f>
        <v/>
      </c>
      <c r="T729" s="139" t="str">
        <f>IFERROR(__xludf.DUMMYFUNCTION("""COMPUTED_VALUE"""),"")</f>
        <v/>
      </c>
      <c r="U729" s="139" t="str">
        <f>IFERROR(__xludf.DUMMYFUNCTION("""COMPUTED_VALUE"""),"")</f>
        <v/>
      </c>
      <c r="V729" s="136" t="str">
        <f>IFERROR(__xludf.DUMMYFUNCTION("""COMPUTED_VALUE"""),"")</f>
        <v/>
      </c>
      <c r="W729" s="106" t="str">
        <f>IFERROR(__xludf.DUMMYFUNCTION("""COMPUTED_VALUE"""),"")</f>
        <v/>
      </c>
      <c r="X729" s="143" t="str">
        <f t="shared" si="2"/>
        <v/>
      </c>
      <c r="Y729" s="139" t="str">
        <f>IFERROR(__xludf.DUMMYFUNCTION("""COMPUTED_VALUE"""),"")</f>
        <v/>
      </c>
      <c r="Z729" s="141" t="str">
        <f>IFERROR(__xludf.DUMMYFUNCTION("""COMPUTED_VALUE"""),"")</f>
        <v/>
      </c>
    </row>
    <row r="730">
      <c r="C730" s="136" t="str">
        <f>IFERROR(__xludf.DUMMYFUNCTION("""COMPUTED_VALUE"""),"")</f>
        <v/>
      </c>
      <c r="D730" s="136" t="str">
        <f t="shared" si="3"/>
        <v/>
      </c>
      <c r="E730" s="152" t="str">
        <f>IFERROR(__xludf.DUMMYFUNCTION("""COMPUTED_VALUE"""),"")</f>
        <v/>
      </c>
      <c r="F730" s="106" t="s">
        <v>133</v>
      </c>
      <c r="G730" s="152" t="str">
        <f>IFERROR(__xludf.DUMMYFUNCTION("""COMPUTED_VALUE"""),"")</f>
        <v/>
      </c>
      <c r="H730" s="106" t="s">
        <v>133</v>
      </c>
      <c r="I730" s="136"/>
      <c r="J730" s="139" t="s">
        <v>133</v>
      </c>
      <c r="K730" s="136" t="s">
        <v>133</v>
      </c>
      <c r="L730" s="153" t="str">
        <f>IFERROR(__xludf.DUMMYFUNCTION("""COMPUTED_VALUE"""),"")</f>
        <v/>
      </c>
      <c r="M730" s="136" t="str">
        <f t="shared" si="1"/>
        <v/>
      </c>
      <c r="N730" s="136" t="str">
        <f>IFERROR(__xludf.DUMMYFUNCTION("""COMPUTED_VALUE"""),"")</f>
        <v/>
      </c>
      <c r="O730" s="141" t="s">
        <v>133</v>
      </c>
      <c r="P730" s="136" t="str">
        <f>IFERROR(__xludf.DUMMYFUNCTION("""COMPUTED_VALUE"""),"")</f>
        <v/>
      </c>
      <c r="Q730" s="136" t="str">
        <f>IFERROR(__xludf.DUMMYFUNCTION("""COMPUTED_VALUE"""),"")</f>
        <v/>
      </c>
      <c r="R730" s="106" t="str">
        <f>IFERROR(__xludf.DUMMYFUNCTION("""COMPUTED_VALUE"""),"")</f>
        <v/>
      </c>
      <c r="S730" s="106" t="str">
        <f>IFERROR(__xludf.DUMMYFUNCTION("""COMPUTED_VALUE"""),"")</f>
        <v/>
      </c>
      <c r="T730" s="139" t="str">
        <f>IFERROR(__xludf.DUMMYFUNCTION("""COMPUTED_VALUE"""),"")</f>
        <v/>
      </c>
      <c r="U730" s="139" t="str">
        <f>IFERROR(__xludf.DUMMYFUNCTION("""COMPUTED_VALUE"""),"")</f>
        <v/>
      </c>
      <c r="V730" s="136" t="str">
        <f>IFERROR(__xludf.DUMMYFUNCTION("""COMPUTED_VALUE"""),"")</f>
        <v/>
      </c>
      <c r="W730" s="106" t="str">
        <f>IFERROR(__xludf.DUMMYFUNCTION("""COMPUTED_VALUE"""),"")</f>
        <v/>
      </c>
      <c r="X730" s="143" t="str">
        <f t="shared" si="2"/>
        <v/>
      </c>
      <c r="Y730" s="139" t="str">
        <f>IFERROR(__xludf.DUMMYFUNCTION("""COMPUTED_VALUE"""),"")</f>
        <v/>
      </c>
      <c r="Z730" s="141" t="str">
        <f>IFERROR(__xludf.DUMMYFUNCTION("""COMPUTED_VALUE"""),"")</f>
        <v/>
      </c>
    </row>
    <row r="731">
      <c r="C731" s="136" t="str">
        <f>IFERROR(__xludf.DUMMYFUNCTION("""COMPUTED_VALUE"""),"")</f>
        <v/>
      </c>
      <c r="D731" s="136" t="str">
        <f t="shared" si="3"/>
        <v/>
      </c>
      <c r="E731" s="152" t="str">
        <f>IFERROR(__xludf.DUMMYFUNCTION("""COMPUTED_VALUE"""),"")</f>
        <v/>
      </c>
      <c r="F731" s="106" t="s">
        <v>133</v>
      </c>
      <c r="G731" s="152" t="str">
        <f>IFERROR(__xludf.DUMMYFUNCTION("""COMPUTED_VALUE"""),"")</f>
        <v/>
      </c>
      <c r="H731" s="106" t="s">
        <v>133</v>
      </c>
      <c r="I731" s="136"/>
      <c r="J731" s="139" t="s">
        <v>133</v>
      </c>
      <c r="K731" s="136" t="s">
        <v>133</v>
      </c>
      <c r="L731" s="153" t="str">
        <f>IFERROR(__xludf.DUMMYFUNCTION("""COMPUTED_VALUE"""),"")</f>
        <v/>
      </c>
      <c r="M731" s="136" t="str">
        <f t="shared" si="1"/>
        <v/>
      </c>
      <c r="N731" s="136" t="str">
        <f>IFERROR(__xludf.DUMMYFUNCTION("""COMPUTED_VALUE"""),"")</f>
        <v/>
      </c>
      <c r="O731" s="141" t="s">
        <v>133</v>
      </c>
      <c r="P731" s="136" t="str">
        <f>IFERROR(__xludf.DUMMYFUNCTION("""COMPUTED_VALUE"""),"")</f>
        <v/>
      </c>
      <c r="Q731" s="136" t="str">
        <f>IFERROR(__xludf.DUMMYFUNCTION("""COMPUTED_VALUE"""),"")</f>
        <v/>
      </c>
      <c r="R731" s="106" t="str">
        <f>IFERROR(__xludf.DUMMYFUNCTION("""COMPUTED_VALUE"""),"")</f>
        <v/>
      </c>
      <c r="S731" s="106" t="str">
        <f>IFERROR(__xludf.DUMMYFUNCTION("""COMPUTED_VALUE"""),"")</f>
        <v/>
      </c>
      <c r="T731" s="139" t="str">
        <f>IFERROR(__xludf.DUMMYFUNCTION("""COMPUTED_VALUE"""),"")</f>
        <v/>
      </c>
      <c r="U731" s="139" t="str">
        <f>IFERROR(__xludf.DUMMYFUNCTION("""COMPUTED_VALUE"""),"")</f>
        <v/>
      </c>
      <c r="V731" s="136" t="str">
        <f>IFERROR(__xludf.DUMMYFUNCTION("""COMPUTED_VALUE"""),"")</f>
        <v/>
      </c>
      <c r="W731" s="106" t="str">
        <f>IFERROR(__xludf.DUMMYFUNCTION("""COMPUTED_VALUE"""),"")</f>
        <v/>
      </c>
      <c r="X731" s="143" t="str">
        <f t="shared" si="2"/>
        <v/>
      </c>
      <c r="Y731" s="139" t="str">
        <f>IFERROR(__xludf.DUMMYFUNCTION("""COMPUTED_VALUE"""),"")</f>
        <v/>
      </c>
      <c r="Z731" s="141" t="str">
        <f>IFERROR(__xludf.DUMMYFUNCTION("""COMPUTED_VALUE"""),"")</f>
        <v/>
      </c>
    </row>
    <row r="732">
      <c r="C732" s="136" t="str">
        <f>IFERROR(__xludf.DUMMYFUNCTION("""COMPUTED_VALUE"""),"")</f>
        <v/>
      </c>
      <c r="D732" s="136" t="str">
        <f t="shared" si="3"/>
        <v/>
      </c>
      <c r="E732" s="152" t="str">
        <f>IFERROR(__xludf.DUMMYFUNCTION("""COMPUTED_VALUE"""),"")</f>
        <v/>
      </c>
      <c r="F732" s="106" t="s">
        <v>133</v>
      </c>
      <c r="G732" s="152" t="str">
        <f>IFERROR(__xludf.DUMMYFUNCTION("""COMPUTED_VALUE"""),"")</f>
        <v/>
      </c>
      <c r="H732" s="106" t="s">
        <v>133</v>
      </c>
      <c r="I732" s="136"/>
      <c r="J732" s="139" t="s">
        <v>133</v>
      </c>
      <c r="K732" s="136" t="s">
        <v>133</v>
      </c>
      <c r="L732" s="153" t="str">
        <f>IFERROR(__xludf.DUMMYFUNCTION("""COMPUTED_VALUE"""),"")</f>
        <v/>
      </c>
      <c r="M732" s="136" t="str">
        <f t="shared" si="1"/>
        <v/>
      </c>
      <c r="N732" s="136" t="str">
        <f>IFERROR(__xludf.DUMMYFUNCTION("""COMPUTED_VALUE"""),"")</f>
        <v/>
      </c>
      <c r="O732" s="141" t="s">
        <v>133</v>
      </c>
      <c r="P732" s="136" t="str">
        <f>IFERROR(__xludf.DUMMYFUNCTION("""COMPUTED_VALUE"""),"")</f>
        <v/>
      </c>
      <c r="Q732" s="136" t="str">
        <f>IFERROR(__xludf.DUMMYFUNCTION("""COMPUTED_VALUE"""),"")</f>
        <v/>
      </c>
      <c r="R732" s="106" t="str">
        <f>IFERROR(__xludf.DUMMYFUNCTION("""COMPUTED_VALUE"""),"")</f>
        <v/>
      </c>
      <c r="S732" s="106" t="str">
        <f>IFERROR(__xludf.DUMMYFUNCTION("""COMPUTED_VALUE"""),"")</f>
        <v/>
      </c>
      <c r="T732" s="139" t="str">
        <f>IFERROR(__xludf.DUMMYFUNCTION("""COMPUTED_VALUE"""),"")</f>
        <v/>
      </c>
      <c r="U732" s="139" t="str">
        <f>IFERROR(__xludf.DUMMYFUNCTION("""COMPUTED_VALUE"""),"")</f>
        <v/>
      </c>
      <c r="V732" s="136" t="str">
        <f>IFERROR(__xludf.DUMMYFUNCTION("""COMPUTED_VALUE"""),"")</f>
        <v/>
      </c>
      <c r="W732" s="106" t="str">
        <f>IFERROR(__xludf.DUMMYFUNCTION("""COMPUTED_VALUE"""),"")</f>
        <v/>
      </c>
      <c r="X732" s="143" t="str">
        <f t="shared" si="2"/>
        <v/>
      </c>
      <c r="Y732" s="139" t="str">
        <f>IFERROR(__xludf.DUMMYFUNCTION("""COMPUTED_VALUE"""),"")</f>
        <v/>
      </c>
      <c r="Z732" s="141" t="str">
        <f>IFERROR(__xludf.DUMMYFUNCTION("""COMPUTED_VALUE"""),"")</f>
        <v/>
      </c>
    </row>
    <row r="733">
      <c r="C733" s="136" t="str">
        <f>IFERROR(__xludf.DUMMYFUNCTION("""COMPUTED_VALUE"""),"")</f>
        <v/>
      </c>
      <c r="D733" s="136" t="str">
        <f t="shared" si="3"/>
        <v/>
      </c>
      <c r="E733" s="152" t="str">
        <f>IFERROR(__xludf.DUMMYFUNCTION("""COMPUTED_VALUE"""),"")</f>
        <v/>
      </c>
      <c r="F733" s="106" t="s">
        <v>133</v>
      </c>
      <c r="G733" s="152" t="str">
        <f>IFERROR(__xludf.DUMMYFUNCTION("""COMPUTED_VALUE"""),"")</f>
        <v/>
      </c>
      <c r="H733" s="106" t="s">
        <v>133</v>
      </c>
      <c r="I733" s="136"/>
      <c r="J733" s="139" t="s">
        <v>133</v>
      </c>
      <c r="K733" s="136" t="s">
        <v>133</v>
      </c>
      <c r="L733" s="153" t="str">
        <f>IFERROR(__xludf.DUMMYFUNCTION("""COMPUTED_VALUE"""),"")</f>
        <v/>
      </c>
      <c r="M733" s="136" t="str">
        <f t="shared" si="1"/>
        <v/>
      </c>
      <c r="N733" s="136" t="str">
        <f>IFERROR(__xludf.DUMMYFUNCTION("""COMPUTED_VALUE"""),"")</f>
        <v/>
      </c>
      <c r="O733" s="141" t="s">
        <v>133</v>
      </c>
      <c r="P733" s="136" t="str">
        <f>IFERROR(__xludf.DUMMYFUNCTION("""COMPUTED_VALUE"""),"")</f>
        <v/>
      </c>
      <c r="Q733" s="136" t="str">
        <f>IFERROR(__xludf.DUMMYFUNCTION("""COMPUTED_VALUE"""),"")</f>
        <v/>
      </c>
      <c r="R733" s="106" t="str">
        <f>IFERROR(__xludf.DUMMYFUNCTION("""COMPUTED_VALUE"""),"")</f>
        <v/>
      </c>
      <c r="S733" s="106" t="str">
        <f>IFERROR(__xludf.DUMMYFUNCTION("""COMPUTED_VALUE"""),"")</f>
        <v/>
      </c>
      <c r="T733" s="139" t="str">
        <f>IFERROR(__xludf.DUMMYFUNCTION("""COMPUTED_VALUE"""),"")</f>
        <v/>
      </c>
      <c r="U733" s="139" t="str">
        <f>IFERROR(__xludf.DUMMYFUNCTION("""COMPUTED_VALUE"""),"")</f>
        <v/>
      </c>
      <c r="V733" s="136" t="str">
        <f>IFERROR(__xludf.DUMMYFUNCTION("""COMPUTED_VALUE"""),"")</f>
        <v/>
      </c>
      <c r="W733" s="106" t="str">
        <f>IFERROR(__xludf.DUMMYFUNCTION("""COMPUTED_VALUE"""),"")</f>
        <v/>
      </c>
      <c r="X733" s="143" t="str">
        <f t="shared" si="2"/>
        <v/>
      </c>
      <c r="Y733" s="139" t="str">
        <f>IFERROR(__xludf.DUMMYFUNCTION("""COMPUTED_VALUE"""),"")</f>
        <v/>
      </c>
      <c r="Z733" s="141" t="str">
        <f>IFERROR(__xludf.DUMMYFUNCTION("""COMPUTED_VALUE"""),"")</f>
        <v/>
      </c>
    </row>
    <row r="734">
      <c r="C734" s="136" t="str">
        <f>IFERROR(__xludf.DUMMYFUNCTION("""COMPUTED_VALUE"""),"")</f>
        <v/>
      </c>
      <c r="D734" s="136" t="str">
        <f t="shared" si="3"/>
        <v/>
      </c>
      <c r="E734" s="152" t="str">
        <f>IFERROR(__xludf.DUMMYFUNCTION("""COMPUTED_VALUE"""),"")</f>
        <v/>
      </c>
      <c r="F734" s="106" t="s">
        <v>133</v>
      </c>
      <c r="G734" s="152" t="str">
        <f>IFERROR(__xludf.DUMMYFUNCTION("""COMPUTED_VALUE"""),"")</f>
        <v/>
      </c>
      <c r="H734" s="106" t="s">
        <v>133</v>
      </c>
      <c r="I734" s="136"/>
      <c r="J734" s="139" t="s">
        <v>133</v>
      </c>
      <c r="K734" s="136" t="s">
        <v>133</v>
      </c>
      <c r="L734" s="153" t="str">
        <f>IFERROR(__xludf.DUMMYFUNCTION("""COMPUTED_VALUE"""),"")</f>
        <v/>
      </c>
      <c r="M734" s="136" t="str">
        <f t="shared" si="1"/>
        <v/>
      </c>
      <c r="N734" s="136" t="str">
        <f>IFERROR(__xludf.DUMMYFUNCTION("""COMPUTED_VALUE"""),"")</f>
        <v/>
      </c>
      <c r="O734" s="141" t="s">
        <v>133</v>
      </c>
      <c r="P734" s="136" t="str">
        <f>IFERROR(__xludf.DUMMYFUNCTION("""COMPUTED_VALUE"""),"")</f>
        <v/>
      </c>
      <c r="Q734" s="136" t="str">
        <f>IFERROR(__xludf.DUMMYFUNCTION("""COMPUTED_VALUE"""),"")</f>
        <v/>
      </c>
      <c r="R734" s="106" t="str">
        <f>IFERROR(__xludf.DUMMYFUNCTION("""COMPUTED_VALUE"""),"")</f>
        <v/>
      </c>
      <c r="S734" s="106" t="str">
        <f>IFERROR(__xludf.DUMMYFUNCTION("""COMPUTED_VALUE"""),"")</f>
        <v/>
      </c>
      <c r="T734" s="139" t="str">
        <f>IFERROR(__xludf.DUMMYFUNCTION("""COMPUTED_VALUE"""),"")</f>
        <v/>
      </c>
      <c r="U734" s="139" t="str">
        <f>IFERROR(__xludf.DUMMYFUNCTION("""COMPUTED_VALUE"""),"")</f>
        <v/>
      </c>
      <c r="V734" s="136" t="str">
        <f>IFERROR(__xludf.DUMMYFUNCTION("""COMPUTED_VALUE"""),"")</f>
        <v/>
      </c>
      <c r="W734" s="106" t="str">
        <f>IFERROR(__xludf.DUMMYFUNCTION("""COMPUTED_VALUE"""),"")</f>
        <v/>
      </c>
      <c r="X734" s="143" t="str">
        <f t="shared" si="2"/>
        <v/>
      </c>
      <c r="Y734" s="139" t="str">
        <f>IFERROR(__xludf.DUMMYFUNCTION("""COMPUTED_VALUE"""),"")</f>
        <v/>
      </c>
      <c r="Z734" s="141" t="str">
        <f>IFERROR(__xludf.DUMMYFUNCTION("""COMPUTED_VALUE"""),"")</f>
        <v/>
      </c>
    </row>
    <row r="735">
      <c r="C735" s="136" t="str">
        <f>IFERROR(__xludf.DUMMYFUNCTION("""COMPUTED_VALUE"""),"")</f>
        <v/>
      </c>
      <c r="D735" s="136" t="str">
        <f t="shared" si="3"/>
        <v/>
      </c>
      <c r="E735" s="152" t="str">
        <f>IFERROR(__xludf.DUMMYFUNCTION("""COMPUTED_VALUE"""),"")</f>
        <v/>
      </c>
      <c r="F735" s="106" t="s">
        <v>133</v>
      </c>
      <c r="G735" s="152" t="str">
        <f>IFERROR(__xludf.DUMMYFUNCTION("""COMPUTED_VALUE"""),"")</f>
        <v/>
      </c>
      <c r="H735" s="106" t="s">
        <v>133</v>
      </c>
      <c r="I735" s="136"/>
      <c r="J735" s="139" t="s">
        <v>133</v>
      </c>
      <c r="K735" s="136" t="s">
        <v>133</v>
      </c>
      <c r="L735" s="153" t="str">
        <f>IFERROR(__xludf.DUMMYFUNCTION("""COMPUTED_VALUE"""),"")</f>
        <v/>
      </c>
      <c r="M735" s="136" t="str">
        <f t="shared" si="1"/>
        <v/>
      </c>
      <c r="N735" s="136" t="str">
        <f>IFERROR(__xludf.DUMMYFUNCTION("""COMPUTED_VALUE"""),"")</f>
        <v/>
      </c>
      <c r="O735" s="141" t="s">
        <v>133</v>
      </c>
      <c r="P735" s="136" t="str">
        <f>IFERROR(__xludf.DUMMYFUNCTION("""COMPUTED_VALUE"""),"")</f>
        <v/>
      </c>
      <c r="Q735" s="136" t="str">
        <f>IFERROR(__xludf.DUMMYFUNCTION("""COMPUTED_VALUE"""),"")</f>
        <v/>
      </c>
      <c r="R735" s="106" t="str">
        <f>IFERROR(__xludf.DUMMYFUNCTION("""COMPUTED_VALUE"""),"")</f>
        <v/>
      </c>
      <c r="S735" s="106" t="str">
        <f>IFERROR(__xludf.DUMMYFUNCTION("""COMPUTED_VALUE"""),"")</f>
        <v/>
      </c>
      <c r="T735" s="139" t="str">
        <f>IFERROR(__xludf.DUMMYFUNCTION("""COMPUTED_VALUE"""),"")</f>
        <v/>
      </c>
      <c r="U735" s="139" t="str">
        <f>IFERROR(__xludf.DUMMYFUNCTION("""COMPUTED_VALUE"""),"")</f>
        <v/>
      </c>
      <c r="V735" s="136" t="str">
        <f>IFERROR(__xludf.DUMMYFUNCTION("""COMPUTED_VALUE"""),"")</f>
        <v/>
      </c>
      <c r="W735" s="106" t="str">
        <f>IFERROR(__xludf.DUMMYFUNCTION("""COMPUTED_VALUE"""),"")</f>
        <v/>
      </c>
      <c r="X735" s="143" t="str">
        <f t="shared" si="2"/>
        <v/>
      </c>
      <c r="Y735" s="139" t="str">
        <f>IFERROR(__xludf.DUMMYFUNCTION("""COMPUTED_VALUE"""),"")</f>
        <v/>
      </c>
      <c r="Z735" s="141" t="str">
        <f>IFERROR(__xludf.DUMMYFUNCTION("""COMPUTED_VALUE"""),"")</f>
        <v/>
      </c>
    </row>
    <row r="736">
      <c r="C736" s="136" t="str">
        <f>IFERROR(__xludf.DUMMYFUNCTION("""COMPUTED_VALUE"""),"")</f>
        <v/>
      </c>
      <c r="D736" s="136" t="str">
        <f t="shared" si="3"/>
        <v/>
      </c>
      <c r="E736" s="152" t="str">
        <f>IFERROR(__xludf.DUMMYFUNCTION("""COMPUTED_VALUE"""),"")</f>
        <v/>
      </c>
      <c r="F736" s="106" t="s">
        <v>133</v>
      </c>
      <c r="G736" s="152" t="str">
        <f>IFERROR(__xludf.DUMMYFUNCTION("""COMPUTED_VALUE"""),"")</f>
        <v/>
      </c>
      <c r="H736" s="106" t="s">
        <v>133</v>
      </c>
      <c r="I736" s="136"/>
      <c r="J736" s="139" t="s">
        <v>133</v>
      </c>
      <c r="K736" s="136" t="s">
        <v>133</v>
      </c>
      <c r="L736" s="153" t="str">
        <f>IFERROR(__xludf.DUMMYFUNCTION("""COMPUTED_VALUE"""),"")</f>
        <v/>
      </c>
      <c r="M736" s="136" t="str">
        <f t="shared" si="1"/>
        <v/>
      </c>
      <c r="N736" s="136" t="str">
        <f>IFERROR(__xludf.DUMMYFUNCTION("""COMPUTED_VALUE"""),"")</f>
        <v/>
      </c>
      <c r="O736" s="141" t="s">
        <v>133</v>
      </c>
      <c r="P736" s="136" t="str">
        <f>IFERROR(__xludf.DUMMYFUNCTION("""COMPUTED_VALUE"""),"")</f>
        <v/>
      </c>
      <c r="Q736" s="136" t="str">
        <f>IFERROR(__xludf.DUMMYFUNCTION("""COMPUTED_VALUE"""),"")</f>
        <v/>
      </c>
      <c r="R736" s="106" t="str">
        <f>IFERROR(__xludf.DUMMYFUNCTION("""COMPUTED_VALUE"""),"")</f>
        <v/>
      </c>
      <c r="S736" s="106" t="str">
        <f>IFERROR(__xludf.DUMMYFUNCTION("""COMPUTED_VALUE"""),"")</f>
        <v/>
      </c>
      <c r="T736" s="139" t="str">
        <f>IFERROR(__xludf.DUMMYFUNCTION("""COMPUTED_VALUE"""),"")</f>
        <v/>
      </c>
      <c r="U736" s="139" t="str">
        <f>IFERROR(__xludf.DUMMYFUNCTION("""COMPUTED_VALUE"""),"")</f>
        <v/>
      </c>
      <c r="V736" s="136" t="str">
        <f>IFERROR(__xludf.DUMMYFUNCTION("""COMPUTED_VALUE"""),"")</f>
        <v/>
      </c>
      <c r="W736" s="106" t="str">
        <f>IFERROR(__xludf.DUMMYFUNCTION("""COMPUTED_VALUE"""),"")</f>
        <v/>
      </c>
      <c r="X736" s="143" t="str">
        <f t="shared" si="2"/>
        <v/>
      </c>
      <c r="Y736" s="139" t="str">
        <f>IFERROR(__xludf.DUMMYFUNCTION("""COMPUTED_VALUE"""),"")</f>
        <v/>
      </c>
      <c r="Z736" s="141" t="str">
        <f>IFERROR(__xludf.DUMMYFUNCTION("""COMPUTED_VALUE"""),"")</f>
        <v/>
      </c>
    </row>
    <row r="737">
      <c r="C737" s="136" t="str">
        <f>IFERROR(__xludf.DUMMYFUNCTION("""COMPUTED_VALUE"""),"")</f>
        <v/>
      </c>
      <c r="D737" s="136" t="str">
        <f t="shared" si="3"/>
        <v/>
      </c>
      <c r="E737" s="152" t="str">
        <f>IFERROR(__xludf.DUMMYFUNCTION("""COMPUTED_VALUE"""),"")</f>
        <v/>
      </c>
      <c r="F737" s="106" t="s">
        <v>133</v>
      </c>
      <c r="G737" s="152" t="str">
        <f>IFERROR(__xludf.DUMMYFUNCTION("""COMPUTED_VALUE"""),"")</f>
        <v/>
      </c>
      <c r="H737" s="106" t="s">
        <v>133</v>
      </c>
      <c r="I737" s="136"/>
      <c r="J737" s="139" t="s">
        <v>133</v>
      </c>
      <c r="K737" s="136" t="s">
        <v>133</v>
      </c>
      <c r="L737" s="153" t="str">
        <f>IFERROR(__xludf.DUMMYFUNCTION("""COMPUTED_VALUE"""),"")</f>
        <v/>
      </c>
      <c r="M737" s="136" t="str">
        <f t="shared" si="1"/>
        <v/>
      </c>
      <c r="N737" s="136" t="str">
        <f>IFERROR(__xludf.DUMMYFUNCTION("""COMPUTED_VALUE"""),"")</f>
        <v/>
      </c>
      <c r="O737" s="141" t="s">
        <v>133</v>
      </c>
      <c r="P737" s="136" t="str">
        <f>IFERROR(__xludf.DUMMYFUNCTION("""COMPUTED_VALUE"""),"")</f>
        <v/>
      </c>
      <c r="Q737" s="136" t="str">
        <f>IFERROR(__xludf.DUMMYFUNCTION("""COMPUTED_VALUE"""),"")</f>
        <v/>
      </c>
      <c r="R737" s="106" t="str">
        <f>IFERROR(__xludf.DUMMYFUNCTION("""COMPUTED_VALUE"""),"")</f>
        <v/>
      </c>
      <c r="S737" s="106" t="str">
        <f>IFERROR(__xludf.DUMMYFUNCTION("""COMPUTED_VALUE"""),"")</f>
        <v/>
      </c>
      <c r="T737" s="139" t="str">
        <f>IFERROR(__xludf.DUMMYFUNCTION("""COMPUTED_VALUE"""),"")</f>
        <v/>
      </c>
      <c r="U737" s="139" t="str">
        <f>IFERROR(__xludf.DUMMYFUNCTION("""COMPUTED_VALUE"""),"")</f>
        <v/>
      </c>
      <c r="V737" s="136" t="str">
        <f>IFERROR(__xludf.DUMMYFUNCTION("""COMPUTED_VALUE"""),"")</f>
        <v/>
      </c>
      <c r="W737" s="106" t="str">
        <f>IFERROR(__xludf.DUMMYFUNCTION("""COMPUTED_VALUE"""),"")</f>
        <v/>
      </c>
      <c r="X737" s="143" t="str">
        <f t="shared" si="2"/>
        <v/>
      </c>
      <c r="Y737" s="139" t="str">
        <f>IFERROR(__xludf.DUMMYFUNCTION("""COMPUTED_VALUE"""),"")</f>
        <v/>
      </c>
      <c r="Z737" s="141" t="str">
        <f>IFERROR(__xludf.DUMMYFUNCTION("""COMPUTED_VALUE"""),"")</f>
        <v/>
      </c>
    </row>
    <row r="738">
      <c r="C738" s="136" t="str">
        <f>IFERROR(__xludf.DUMMYFUNCTION("""COMPUTED_VALUE"""),"")</f>
        <v/>
      </c>
      <c r="D738" s="136" t="str">
        <f t="shared" si="3"/>
        <v/>
      </c>
      <c r="E738" s="152" t="str">
        <f>IFERROR(__xludf.DUMMYFUNCTION("""COMPUTED_VALUE"""),"")</f>
        <v/>
      </c>
      <c r="F738" s="106" t="s">
        <v>133</v>
      </c>
      <c r="G738" s="152" t="str">
        <f>IFERROR(__xludf.DUMMYFUNCTION("""COMPUTED_VALUE"""),"")</f>
        <v/>
      </c>
      <c r="H738" s="106" t="s">
        <v>133</v>
      </c>
      <c r="I738" s="136"/>
      <c r="J738" s="139" t="s">
        <v>133</v>
      </c>
      <c r="K738" s="136" t="s">
        <v>133</v>
      </c>
      <c r="L738" s="153" t="str">
        <f>IFERROR(__xludf.DUMMYFUNCTION("""COMPUTED_VALUE"""),"")</f>
        <v/>
      </c>
      <c r="M738" s="136" t="str">
        <f t="shared" si="1"/>
        <v/>
      </c>
      <c r="N738" s="136" t="str">
        <f>IFERROR(__xludf.DUMMYFUNCTION("""COMPUTED_VALUE"""),"")</f>
        <v/>
      </c>
      <c r="O738" s="141" t="s">
        <v>133</v>
      </c>
      <c r="P738" s="136" t="str">
        <f>IFERROR(__xludf.DUMMYFUNCTION("""COMPUTED_VALUE"""),"")</f>
        <v/>
      </c>
      <c r="Q738" s="136" t="str">
        <f>IFERROR(__xludf.DUMMYFUNCTION("""COMPUTED_VALUE"""),"")</f>
        <v/>
      </c>
      <c r="R738" s="106" t="str">
        <f>IFERROR(__xludf.DUMMYFUNCTION("""COMPUTED_VALUE"""),"")</f>
        <v/>
      </c>
      <c r="S738" s="106" t="str">
        <f>IFERROR(__xludf.DUMMYFUNCTION("""COMPUTED_VALUE"""),"")</f>
        <v/>
      </c>
      <c r="T738" s="139" t="str">
        <f>IFERROR(__xludf.DUMMYFUNCTION("""COMPUTED_VALUE"""),"")</f>
        <v/>
      </c>
      <c r="U738" s="139" t="str">
        <f>IFERROR(__xludf.DUMMYFUNCTION("""COMPUTED_VALUE"""),"")</f>
        <v/>
      </c>
      <c r="V738" s="136" t="str">
        <f>IFERROR(__xludf.DUMMYFUNCTION("""COMPUTED_VALUE"""),"")</f>
        <v/>
      </c>
      <c r="W738" s="106" t="str">
        <f>IFERROR(__xludf.DUMMYFUNCTION("""COMPUTED_VALUE"""),"")</f>
        <v/>
      </c>
      <c r="X738" s="143" t="str">
        <f t="shared" si="2"/>
        <v/>
      </c>
      <c r="Y738" s="139" t="str">
        <f>IFERROR(__xludf.DUMMYFUNCTION("""COMPUTED_VALUE"""),"")</f>
        <v/>
      </c>
      <c r="Z738" s="141" t="str">
        <f>IFERROR(__xludf.DUMMYFUNCTION("""COMPUTED_VALUE"""),"")</f>
        <v/>
      </c>
    </row>
    <row r="739">
      <c r="C739" s="136" t="str">
        <f>IFERROR(__xludf.DUMMYFUNCTION("""COMPUTED_VALUE"""),"")</f>
        <v/>
      </c>
      <c r="D739" s="136" t="str">
        <f t="shared" si="3"/>
        <v/>
      </c>
      <c r="E739" s="152" t="str">
        <f>IFERROR(__xludf.DUMMYFUNCTION("""COMPUTED_VALUE"""),"")</f>
        <v/>
      </c>
      <c r="F739" s="106" t="s">
        <v>133</v>
      </c>
      <c r="G739" s="152" t="str">
        <f>IFERROR(__xludf.DUMMYFUNCTION("""COMPUTED_VALUE"""),"")</f>
        <v/>
      </c>
      <c r="H739" s="106" t="s">
        <v>133</v>
      </c>
      <c r="I739" s="136"/>
      <c r="J739" s="139" t="s">
        <v>133</v>
      </c>
      <c r="K739" s="136" t="s">
        <v>133</v>
      </c>
      <c r="L739" s="153" t="str">
        <f>IFERROR(__xludf.DUMMYFUNCTION("""COMPUTED_VALUE"""),"")</f>
        <v/>
      </c>
      <c r="M739" s="136" t="str">
        <f t="shared" si="1"/>
        <v/>
      </c>
      <c r="N739" s="136" t="str">
        <f>IFERROR(__xludf.DUMMYFUNCTION("""COMPUTED_VALUE"""),"")</f>
        <v/>
      </c>
      <c r="O739" s="141" t="s">
        <v>133</v>
      </c>
      <c r="P739" s="136" t="str">
        <f>IFERROR(__xludf.DUMMYFUNCTION("""COMPUTED_VALUE"""),"")</f>
        <v/>
      </c>
      <c r="Q739" s="136" t="str">
        <f>IFERROR(__xludf.DUMMYFUNCTION("""COMPUTED_VALUE"""),"")</f>
        <v/>
      </c>
      <c r="R739" s="106" t="str">
        <f>IFERROR(__xludf.DUMMYFUNCTION("""COMPUTED_VALUE"""),"")</f>
        <v/>
      </c>
      <c r="S739" s="106" t="str">
        <f>IFERROR(__xludf.DUMMYFUNCTION("""COMPUTED_VALUE"""),"")</f>
        <v/>
      </c>
      <c r="T739" s="139" t="str">
        <f>IFERROR(__xludf.DUMMYFUNCTION("""COMPUTED_VALUE"""),"")</f>
        <v/>
      </c>
      <c r="U739" s="139" t="str">
        <f>IFERROR(__xludf.DUMMYFUNCTION("""COMPUTED_VALUE"""),"")</f>
        <v/>
      </c>
      <c r="V739" s="136" t="str">
        <f>IFERROR(__xludf.DUMMYFUNCTION("""COMPUTED_VALUE"""),"")</f>
        <v/>
      </c>
      <c r="W739" s="106" t="str">
        <f>IFERROR(__xludf.DUMMYFUNCTION("""COMPUTED_VALUE"""),"")</f>
        <v/>
      </c>
      <c r="X739" s="143" t="str">
        <f t="shared" si="2"/>
        <v/>
      </c>
      <c r="Y739" s="139" t="str">
        <f>IFERROR(__xludf.DUMMYFUNCTION("""COMPUTED_VALUE"""),"")</f>
        <v/>
      </c>
      <c r="Z739" s="141" t="str">
        <f>IFERROR(__xludf.DUMMYFUNCTION("""COMPUTED_VALUE"""),"")</f>
        <v/>
      </c>
    </row>
    <row r="740">
      <c r="C740" s="136" t="str">
        <f>IFERROR(__xludf.DUMMYFUNCTION("""COMPUTED_VALUE"""),"")</f>
        <v/>
      </c>
      <c r="D740" s="136" t="str">
        <f t="shared" si="3"/>
        <v/>
      </c>
      <c r="E740" s="152" t="str">
        <f>IFERROR(__xludf.DUMMYFUNCTION("""COMPUTED_VALUE"""),"")</f>
        <v/>
      </c>
      <c r="F740" s="106" t="s">
        <v>133</v>
      </c>
      <c r="G740" s="152" t="str">
        <f>IFERROR(__xludf.DUMMYFUNCTION("""COMPUTED_VALUE"""),"")</f>
        <v/>
      </c>
      <c r="H740" s="106" t="s">
        <v>133</v>
      </c>
      <c r="I740" s="136"/>
      <c r="J740" s="139" t="s">
        <v>133</v>
      </c>
      <c r="K740" s="136" t="s">
        <v>133</v>
      </c>
      <c r="L740" s="153" t="str">
        <f>IFERROR(__xludf.DUMMYFUNCTION("""COMPUTED_VALUE"""),"")</f>
        <v/>
      </c>
      <c r="M740" s="136" t="str">
        <f t="shared" si="1"/>
        <v/>
      </c>
      <c r="N740" s="136" t="str">
        <f>IFERROR(__xludf.DUMMYFUNCTION("""COMPUTED_VALUE"""),"")</f>
        <v/>
      </c>
      <c r="O740" s="141" t="s">
        <v>133</v>
      </c>
      <c r="P740" s="136" t="str">
        <f>IFERROR(__xludf.DUMMYFUNCTION("""COMPUTED_VALUE"""),"")</f>
        <v/>
      </c>
      <c r="Q740" s="136" t="str">
        <f>IFERROR(__xludf.DUMMYFUNCTION("""COMPUTED_VALUE"""),"")</f>
        <v/>
      </c>
      <c r="R740" s="106" t="str">
        <f>IFERROR(__xludf.DUMMYFUNCTION("""COMPUTED_VALUE"""),"")</f>
        <v/>
      </c>
      <c r="S740" s="106" t="str">
        <f>IFERROR(__xludf.DUMMYFUNCTION("""COMPUTED_VALUE"""),"")</f>
        <v/>
      </c>
      <c r="T740" s="139" t="str">
        <f>IFERROR(__xludf.DUMMYFUNCTION("""COMPUTED_VALUE"""),"")</f>
        <v/>
      </c>
      <c r="U740" s="139" t="str">
        <f>IFERROR(__xludf.DUMMYFUNCTION("""COMPUTED_VALUE"""),"")</f>
        <v/>
      </c>
      <c r="V740" s="136" t="str">
        <f>IFERROR(__xludf.DUMMYFUNCTION("""COMPUTED_VALUE"""),"")</f>
        <v/>
      </c>
      <c r="W740" s="106" t="str">
        <f>IFERROR(__xludf.DUMMYFUNCTION("""COMPUTED_VALUE"""),"")</f>
        <v/>
      </c>
      <c r="X740" s="143" t="str">
        <f t="shared" si="2"/>
        <v/>
      </c>
      <c r="Y740" s="139" t="str">
        <f>IFERROR(__xludf.DUMMYFUNCTION("""COMPUTED_VALUE"""),"")</f>
        <v/>
      </c>
      <c r="Z740" s="141" t="str">
        <f>IFERROR(__xludf.DUMMYFUNCTION("""COMPUTED_VALUE"""),"")</f>
        <v/>
      </c>
    </row>
    <row r="741">
      <c r="C741" s="136" t="str">
        <f>IFERROR(__xludf.DUMMYFUNCTION("""COMPUTED_VALUE"""),"")</f>
        <v/>
      </c>
      <c r="D741" s="136" t="str">
        <f t="shared" si="3"/>
        <v/>
      </c>
      <c r="E741" s="152" t="str">
        <f>IFERROR(__xludf.DUMMYFUNCTION("""COMPUTED_VALUE"""),"")</f>
        <v/>
      </c>
      <c r="F741" s="106" t="s">
        <v>133</v>
      </c>
      <c r="G741" s="152" t="str">
        <f>IFERROR(__xludf.DUMMYFUNCTION("""COMPUTED_VALUE"""),"")</f>
        <v/>
      </c>
      <c r="H741" s="106" t="s">
        <v>133</v>
      </c>
      <c r="I741" s="136"/>
      <c r="J741" s="139" t="s">
        <v>133</v>
      </c>
      <c r="K741" s="136" t="s">
        <v>133</v>
      </c>
      <c r="L741" s="153" t="str">
        <f>IFERROR(__xludf.DUMMYFUNCTION("""COMPUTED_VALUE"""),"")</f>
        <v/>
      </c>
      <c r="M741" s="136" t="str">
        <f t="shared" si="1"/>
        <v/>
      </c>
      <c r="N741" s="136" t="str">
        <f>IFERROR(__xludf.DUMMYFUNCTION("""COMPUTED_VALUE"""),"")</f>
        <v/>
      </c>
      <c r="O741" s="141" t="s">
        <v>133</v>
      </c>
      <c r="P741" s="136" t="str">
        <f>IFERROR(__xludf.DUMMYFUNCTION("""COMPUTED_VALUE"""),"")</f>
        <v/>
      </c>
      <c r="Q741" s="136" t="str">
        <f>IFERROR(__xludf.DUMMYFUNCTION("""COMPUTED_VALUE"""),"")</f>
        <v/>
      </c>
      <c r="R741" s="106" t="str">
        <f>IFERROR(__xludf.DUMMYFUNCTION("""COMPUTED_VALUE"""),"")</f>
        <v/>
      </c>
      <c r="S741" s="106" t="str">
        <f>IFERROR(__xludf.DUMMYFUNCTION("""COMPUTED_VALUE"""),"")</f>
        <v/>
      </c>
      <c r="T741" s="139" t="str">
        <f>IFERROR(__xludf.DUMMYFUNCTION("""COMPUTED_VALUE"""),"")</f>
        <v/>
      </c>
      <c r="U741" s="139" t="str">
        <f>IFERROR(__xludf.DUMMYFUNCTION("""COMPUTED_VALUE"""),"")</f>
        <v/>
      </c>
      <c r="V741" s="136" t="str">
        <f>IFERROR(__xludf.DUMMYFUNCTION("""COMPUTED_VALUE"""),"")</f>
        <v/>
      </c>
      <c r="W741" s="106" t="str">
        <f>IFERROR(__xludf.DUMMYFUNCTION("""COMPUTED_VALUE"""),"")</f>
        <v/>
      </c>
      <c r="X741" s="143" t="str">
        <f t="shared" si="2"/>
        <v/>
      </c>
      <c r="Y741" s="139" t="str">
        <f>IFERROR(__xludf.DUMMYFUNCTION("""COMPUTED_VALUE"""),"")</f>
        <v/>
      </c>
      <c r="Z741" s="141" t="str">
        <f>IFERROR(__xludf.DUMMYFUNCTION("""COMPUTED_VALUE"""),"")</f>
        <v/>
      </c>
    </row>
    <row r="742">
      <c r="C742" s="136" t="str">
        <f>IFERROR(__xludf.DUMMYFUNCTION("""COMPUTED_VALUE"""),"")</f>
        <v/>
      </c>
      <c r="D742" s="136" t="str">
        <f t="shared" si="3"/>
        <v/>
      </c>
      <c r="E742" s="152" t="str">
        <f>IFERROR(__xludf.DUMMYFUNCTION("""COMPUTED_VALUE"""),"")</f>
        <v/>
      </c>
      <c r="F742" s="106" t="s">
        <v>133</v>
      </c>
      <c r="G742" s="152" t="str">
        <f>IFERROR(__xludf.DUMMYFUNCTION("""COMPUTED_VALUE"""),"")</f>
        <v/>
      </c>
      <c r="H742" s="106" t="s">
        <v>133</v>
      </c>
      <c r="I742" s="136"/>
      <c r="J742" s="139" t="s">
        <v>133</v>
      </c>
      <c r="K742" s="136" t="s">
        <v>133</v>
      </c>
      <c r="L742" s="153" t="str">
        <f>IFERROR(__xludf.DUMMYFUNCTION("""COMPUTED_VALUE"""),"")</f>
        <v/>
      </c>
      <c r="M742" s="136" t="str">
        <f t="shared" si="1"/>
        <v/>
      </c>
      <c r="N742" s="136" t="str">
        <f>IFERROR(__xludf.DUMMYFUNCTION("""COMPUTED_VALUE"""),"")</f>
        <v/>
      </c>
      <c r="O742" s="141" t="s">
        <v>133</v>
      </c>
      <c r="P742" s="136" t="str">
        <f>IFERROR(__xludf.DUMMYFUNCTION("""COMPUTED_VALUE"""),"")</f>
        <v/>
      </c>
      <c r="Q742" s="136" t="str">
        <f>IFERROR(__xludf.DUMMYFUNCTION("""COMPUTED_VALUE"""),"")</f>
        <v/>
      </c>
      <c r="R742" s="106" t="str">
        <f>IFERROR(__xludf.DUMMYFUNCTION("""COMPUTED_VALUE"""),"")</f>
        <v/>
      </c>
      <c r="S742" s="106" t="str">
        <f>IFERROR(__xludf.DUMMYFUNCTION("""COMPUTED_VALUE"""),"")</f>
        <v/>
      </c>
      <c r="T742" s="139" t="str">
        <f>IFERROR(__xludf.DUMMYFUNCTION("""COMPUTED_VALUE"""),"")</f>
        <v/>
      </c>
      <c r="U742" s="139" t="str">
        <f>IFERROR(__xludf.DUMMYFUNCTION("""COMPUTED_VALUE"""),"")</f>
        <v/>
      </c>
      <c r="V742" s="136" t="str">
        <f>IFERROR(__xludf.DUMMYFUNCTION("""COMPUTED_VALUE"""),"")</f>
        <v/>
      </c>
      <c r="W742" s="106" t="str">
        <f>IFERROR(__xludf.DUMMYFUNCTION("""COMPUTED_VALUE"""),"")</f>
        <v/>
      </c>
      <c r="X742" s="143" t="str">
        <f t="shared" si="2"/>
        <v/>
      </c>
      <c r="Y742" s="139" t="str">
        <f>IFERROR(__xludf.DUMMYFUNCTION("""COMPUTED_VALUE"""),"")</f>
        <v/>
      </c>
      <c r="Z742" s="141" t="str">
        <f>IFERROR(__xludf.DUMMYFUNCTION("""COMPUTED_VALUE"""),"")</f>
        <v/>
      </c>
    </row>
    <row r="743">
      <c r="C743" s="136" t="str">
        <f>IFERROR(__xludf.DUMMYFUNCTION("""COMPUTED_VALUE"""),"")</f>
        <v/>
      </c>
      <c r="D743" s="136" t="str">
        <f t="shared" si="3"/>
        <v/>
      </c>
      <c r="E743" s="152" t="str">
        <f>IFERROR(__xludf.DUMMYFUNCTION("""COMPUTED_VALUE"""),"")</f>
        <v/>
      </c>
      <c r="F743" s="106" t="s">
        <v>133</v>
      </c>
      <c r="G743" s="152" t="str">
        <f>IFERROR(__xludf.DUMMYFUNCTION("""COMPUTED_VALUE"""),"")</f>
        <v/>
      </c>
      <c r="H743" s="106" t="s">
        <v>133</v>
      </c>
      <c r="I743" s="136"/>
      <c r="J743" s="139" t="s">
        <v>133</v>
      </c>
      <c r="K743" s="136" t="s">
        <v>133</v>
      </c>
      <c r="L743" s="153" t="str">
        <f>IFERROR(__xludf.DUMMYFUNCTION("""COMPUTED_VALUE"""),"")</f>
        <v/>
      </c>
      <c r="M743" s="136" t="str">
        <f t="shared" si="1"/>
        <v/>
      </c>
      <c r="N743" s="136" t="str">
        <f>IFERROR(__xludf.DUMMYFUNCTION("""COMPUTED_VALUE"""),"")</f>
        <v/>
      </c>
      <c r="O743" s="141" t="s">
        <v>133</v>
      </c>
      <c r="P743" s="136" t="str">
        <f>IFERROR(__xludf.DUMMYFUNCTION("""COMPUTED_VALUE"""),"")</f>
        <v/>
      </c>
      <c r="Q743" s="136" t="str">
        <f>IFERROR(__xludf.DUMMYFUNCTION("""COMPUTED_VALUE"""),"")</f>
        <v/>
      </c>
      <c r="R743" s="106" t="str">
        <f>IFERROR(__xludf.DUMMYFUNCTION("""COMPUTED_VALUE"""),"")</f>
        <v/>
      </c>
      <c r="S743" s="106" t="str">
        <f>IFERROR(__xludf.DUMMYFUNCTION("""COMPUTED_VALUE"""),"")</f>
        <v/>
      </c>
      <c r="T743" s="139" t="str">
        <f>IFERROR(__xludf.DUMMYFUNCTION("""COMPUTED_VALUE"""),"")</f>
        <v/>
      </c>
      <c r="U743" s="139" t="str">
        <f>IFERROR(__xludf.DUMMYFUNCTION("""COMPUTED_VALUE"""),"")</f>
        <v/>
      </c>
      <c r="V743" s="136" t="str">
        <f>IFERROR(__xludf.DUMMYFUNCTION("""COMPUTED_VALUE"""),"")</f>
        <v/>
      </c>
      <c r="W743" s="106" t="str">
        <f>IFERROR(__xludf.DUMMYFUNCTION("""COMPUTED_VALUE"""),"")</f>
        <v/>
      </c>
      <c r="X743" s="143" t="str">
        <f t="shared" si="2"/>
        <v/>
      </c>
      <c r="Y743" s="139" t="str">
        <f>IFERROR(__xludf.DUMMYFUNCTION("""COMPUTED_VALUE"""),"")</f>
        <v/>
      </c>
      <c r="Z743" s="141" t="str">
        <f>IFERROR(__xludf.DUMMYFUNCTION("""COMPUTED_VALUE"""),"")</f>
        <v/>
      </c>
    </row>
    <row r="744">
      <c r="C744" s="136" t="str">
        <f>IFERROR(__xludf.DUMMYFUNCTION("""COMPUTED_VALUE"""),"")</f>
        <v/>
      </c>
      <c r="D744" s="136" t="str">
        <f t="shared" si="3"/>
        <v/>
      </c>
      <c r="E744" s="152" t="str">
        <f>IFERROR(__xludf.DUMMYFUNCTION("""COMPUTED_VALUE"""),"")</f>
        <v/>
      </c>
      <c r="F744" s="106" t="s">
        <v>133</v>
      </c>
      <c r="G744" s="152" t="str">
        <f>IFERROR(__xludf.DUMMYFUNCTION("""COMPUTED_VALUE"""),"")</f>
        <v/>
      </c>
      <c r="H744" s="106" t="s">
        <v>133</v>
      </c>
      <c r="I744" s="136"/>
      <c r="J744" s="139" t="s">
        <v>133</v>
      </c>
      <c r="K744" s="136" t="s">
        <v>133</v>
      </c>
      <c r="L744" s="153" t="str">
        <f>IFERROR(__xludf.DUMMYFUNCTION("""COMPUTED_VALUE"""),"")</f>
        <v/>
      </c>
      <c r="M744" s="136" t="str">
        <f t="shared" si="1"/>
        <v/>
      </c>
      <c r="N744" s="136" t="str">
        <f>IFERROR(__xludf.DUMMYFUNCTION("""COMPUTED_VALUE"""),"")</f>
        <v/>
      </c>
      <c r="O744" s="141" t="s">
        <v>133</v>
      </c>
      <c r="P744" s="136" t="str">
        <f>IFERROR(__xludf.DUMMYFUNCTION("""COMPUTED_VALUE"""),"")</f>
        <v/>
      </c>
      <c r="Q744" s="136" t="str">
        <f>IFERROR(__xludf.DUMMYFUNCTION("""COMPUTED_VALUE"""),"")</f>
        <v/>
      </c>
      <c r="R744" s="106" t="str">
        <f>IFERROR(__xludf.DUMMYFUNCTION("""COMPUTED_VALUE"""),"")</f>
        <v/>
      </c>
      <c r="S744" s="106" t="str">
        <f>IFERROR(__xludf.DUMMYFUNCTION("""COMPUTED_VALUE"""),"")</f>
        <v/>
      </c>
      <c r="T744" s="139" t="str">
        <f>IFERROR(__xludf.DUMMYFUNCTION("""COMPUTED_VALUE"""),"")</f>
        <v/>
      </c>
      <c r="U744" s="139" t="str">
        <f>IFERROR(__xludf.DUMMYFUNCTION("""COMPUTED_VALUE"""),"")</f>
        <v/>
      </c>
      <c r="V744" s="136" t="str">
        <f>IFERROR(__xludf.DUMMYFUNCTION("""COMPUTED_VALUE"""),"")</f>
        <v/>
      </c>
      <c r="W744" s="106" t="str">
        <f>IFERROR(__xludf.DUMMYFUNCTION("""COMPUTED_VALUE"""),"")</f>
        <v/>
      </c>
      <c r="X744" s="143" t="str">
        <f t="shared" si="2"/>
        <v/>
      </c>
      <c r="Y744" s="139" t="str">
        <f>IFERROR(__xludf.DUMMYFUNCTION("""COMPUTED_VALUE"""),"")</f>
        <v/>
      </c>
      <c r="Z744" s="141" t="str">
        <f>IFERROR(__xludf.DUMMYFUNCTION("""COMPUTED_VALUE"""),"")</f>
        <v/>
      </c>
    </row>
    <row r="745">
      <c r="C745" s="136" t="str">
        <f>IFERROR(__xludf.DUMMYFUNCTION("""COMPUTED_VALUE"""),"")</f>
        <v/>
      </c>
      <c r="D745" s="136" t="str">
        <f t="shared" si="3"/>
        <v/>
      </c>
      <c r="E745" s="152" t="str">
        <f>IFERROR(__xludf.DUMMYFUNCTION("""COMPUTED_VALUE"""),"")</f>
        <v/>
      </c>
      <c r="F745" s="106" t="s">
        <v>133</v>
      </c>
      <c r="G745" s="152" t="str">
        <f>IFERROR(__xludf.DUMMYFUNCTION("""COMPUTED_VALUE"""),"")</f>
        <v/>
      </c>
      <c r="H745" s="106" t="s">
        <v>133</v>
      </c>
      <c r="I745" s="136"/>
      <c r="J745" s="139" t="s">
        <v>133</v>
      </c>
      <c r="K745" s="136" t="s">
        <v>133</v>
      </c>
      <c r="L745" s="153" t="str">
        <f>IFERROR(__xludf.DUMMYFUNCTION("""COMPUTED_VALUE"""),"")</f>
        <v/>
      </c>
      <c r="M745" s="136" t="str">
        <f t="shared" si="1"/>
        <v/>
      </c>
      <c r="N745" s="136" t="str">
        <f>IFERROR(__xludf.DUMMYFUNCTION("""COMPUTED_VALUE"""),"")</f>
        <v/>
      </c>
      <c r="O745" s="141" t="s">
        <v>133</v>
      </c>
      <c r="P745" s="136" t="str">
        <f>IFERROR(__xludf.DUMMYFUNCTION("""COMPUTED_VALUE"""),"")</f>
        <v/>
      </c>
      <c r="Q745" s="136" t="str">
        <f>IFERROR(__xludf.DUMMYFUNCTION("""COMPUTED_VALUE"""),"")</f>
        <v/>
      </c>
      <c r="R745" s="106" t="str">
        <f>IFERROR(__xludf.DUMMYFUNCTION("""COMPUTED_VALUE"""),"")</f>
        <v/>
      </c>
      <c r="S745" s="106" t="str">
        <f>IFERROR(__xludf.DUMMYFUNCTION("""COMPUTED_VALUE"""),"")</f>
        <v/>
      </c>
      <c r="T745" s="139" t="str">
        <f>IFERROR(__xludf.DUMMYFUNCTION("""COMPUTED_VALUE"""),"")</f>
        <v/>
      </c>
      <c r="U745" s="139" t="str">
        <f>IFERROR(__xludf.DUMMYFUNCTION("""COMPUTED_VALUE"""),"")</f>
        <v/>
      </c>
      <c r="V745" s="136" t="str">
        <f>IFERROR(__xludf.DUMMYFUNCTION("""COMPUTED_VALUE"""),"")</f>
        <v/>
      </c>
      <c r="W745" s="106" t="str">
        <f>IFERROR(__xludf.DUMMYFUNCTION("""COMPUTED_VALUE"""),"")</f>
        <v/>
      </c>
      <c r="X745" s="143" t="str">
        <f t="shared" si="2"/>
        <v/>
      </c>
      <c r="Y745" s="139" t="str">
        <f>IFERROR(__xludf.DUMMYFUNCTION("""COMPUTED_VALUE"""),"")</f>
        <v/>
      </c>
      <c r="Z745" s="141" t="str">
        <f>IFERROR(__xludf.DUMMYFUNCTION("""COMPUTED_VALUE"""),"")</f>
        <v/>
      </c>
    </row>
    <row r="746">
      <c r="C746" s="136" t="str">
        <f>IFERROR(__xludf.DUMMYFUNCTION("""COMPUTED_VALUE"""),"")</f>
        <v/>
      </c>
      <c r="D746" s="136" t="str">
        <f t="shared" si="3"/>
        <v/>
      </c>
      <c r="E746" s="152" t="str">
        <f>IFERROR(__xludf.DUMMYFUNCTION("""COMPUTED_VALUE"""),"")</f>
        <v/>
      </c>
      <c r="F746" s="106" t="s">
        <v>133</v>
      </c>
      <c r="G746" s="152" t="str">
        <f>IFERROR(__xludf.DUMMYFUNCTION("""COMPUTED_VALUE"""),"")</f>
        <v/>
      </c>
      <c r="H746" s="106" t="s">
        <v>133</v>
      </c>
      <c r="I746" s="136"/>
      <c r="J746" s="139" t="s">
        <v>133</v>
      </c>
      <c r="K746" s="136" t="s">
        <v>133</v>
      </c>
      <c r="L746" s="153" t="str">
        <f>IFERROR(__xludf.DUMMYFUNCTION("""COMPUTED_VALUE"""),"")</f>
        <v/>
      </c>
      <c r="M746" s="136" t="str">
        <f t="shared" si="1"/>
        <v/>
      </c>
      <c r="N746" s="136" t="str">
        <f>IFERROR(__xludf.DUMMYFUNCTION("""COMPUTED_VALUE"""),"")</f>
        <v/>
      </c>
      <c r="O746" s="141" t="s">
        <v>133</v>
      </c>
      <c r="P746" s="136" t="str">
        <f>IFERROR(__xludf.DUMMYFUNCTION("""COMPUTED_VALUE"""),"")</f>
        <v/>
      </c>
      <c r="Q746" s="136" t="str">
        <f>IFERROR(__xludf.DUMMYFUNCTION("""COMPUTED_VALUE"""),"")</f>
        <v/>
      </c>
      <c r="R746" s="106" t="str">
        <f>IFERROR(__xludf.DUMMYFUNCTION("""COMPUTED_VALUE"""),"")</f>
        <v/>
      </c>
      <c r="S746" s="106" t="str">
        <f>IFERROR(__xludf.DUMMYFUNCTION("""COMPUTED_VALUE"""),"")</f>
        <v/>
      </c>
      <c r="T746" s="139" t="str">
        <f>IFERROR(__xludf.DUMMYFUNCTION("""COMPUTED_VALUE"""),"")</f>
        <v/>
      </c>
      <c r="U746" s="139" t="str">
        <f>IFERROR(__xludf.DUMMYFUNCTION("""COMPUTED_VALUE"""),"")</f>
        <v/>
      </c>
      <c r="V746" s="136" t="str">
        <f>IFERROR(__xludf.DUMMYFUNCTION("""COMPUTED_VALUE"""),"")</f>
        <v/>
      </c>
      <c r="W746" s="106" t="str">
        <f>IFERROR(__xludf.DUMMYFUNCTION("""COMPUTED_VALUE"""),"")</f>
        <v/>
      </c>
      <c r="X746" s="143" t="str">
        <f t="shared" si="2"/>
        <v/>
      </c>
      <c r="Y746" s="139" t="str">
        <f>IFERROR(__xludf.DUMMYFUNCTION("""COMPUTED_VALUE"""),"")</f>
        <v/>
      </c>
      <c r="Z746" s="141" t="str">
        <f>IFERROR(__xludf.DUMMYFUNCTION("""COMPUTED_VALUE"""),"")</f>
        <v/>
      </c>
    </row>
    <row r="747">
      <c r="C747" s="136" t="str">
        <f>IFERROR(__xludf.DUMMYFUNCTION("""COMPUTED_VALUE"""),"")</f>
        <v/>
      </c>
      <c r="D747" s="136" t="str">
        <f t="shared" si="3"/>
        <v/>
      </c>
      <c r="E747" s="152" t="str">
        <f>IFERROR(__xludf.DUMMYFUNCTION("""COMPUTED_VALUE"""),"")</f>
        <v/>
      </c>
      <c r="F747" s="106" t="s">
        <v>133</v>
      </c>
      <c r="G747" s="152" t="str">
        <f>IFERROR(__xludf.DUMMYFUNCTION("""COMPUTED_VALUE"""),"")</f>
        <v/>
      </c>
      <c r="H747" s="106" t="s">
        <v>133</v>
      </c>
      <c r="I747" s="136"/>
      <c r="J747" s="139" t="s">
        <v>133</v>
      </c>
      <c r="K747" s="136" t="s">
        <v>133</v>
      </c>
      <c r="L747" s="153" t="str">
        <f>IFERROR(__xludf.DUMMYFUNCTION("""COMPUTED_VALUE"""),"")</f>
        <v/>
      </c>
      <c r="M747" s="136" t="str">
        <f t="shared" si="1"/>
        <v/>
      </c>
      <c r="N747" s="136" t="str">
        <f>IFERROR(__xludf.DUMMYFUNCTION("""COMPUTED_VALUE"""),"")</f>
        <v/>
      </c>
      <c r="O747" s="141" t="s">
        <v>133</v>
      </c>
      <c r="P747" s="136" t="str">
        <f>IFERROR(__xludf.DUMMYFUNCTION("""COMPUTED_VALUE"""),"")</f>
        <v/>
      </c>
      <c r="Q747" s="136" t="str">
        <f>IFERROR(__xludf.DUMMYFUNCTION("""COMPUTED_VALUE"""),"")</f>
        <v/>
      </c>
      <c r="R747" s="106" t="str">
        <f>IFERROR(__xludf.DUMMYFUNCTION("""COMPUTED_VALUE"""),"")</f>
        <v/>
      </c>
      <c r="S747" s="106" t="str">
        <f>IFERROR(__xludf.DUMMYFUNCTION("""COMPUTED_VALUE"""),"")</f>
        <v/>
      </c>
      <c r="T747" s="139" t="str">
        <f>IFERROR(__xludf.DUMMYFUNCTION("""COMPUTED_VALUE"""),"")</f>
        <v/>
      </c>
      <c r="U747" s="139" t="str">
        <f>IFERROR(__xludf.DUMMYFUNCTION("""COMPUTED_VALUE"""),"")</f>
        <v/>
      </c>
      <c r="V747" s="136" t="str">
        <f>IFERROR(__xludf.DUMMYFUNCTION("""COMPUTED_VALUE"""),"")</f>
        <v/>
      </c>
      <c r="W747" s="106" t="str">
        <f>IFERROR(__xludf.DUMMYFUNCTION("""COMPUTED_VALUE"""),"")</f>
        <v/>
      </c>
      <c r="X747" s="143" t="str">
        <f t="shared" si="2"/>
        <v/>
      </c>
      <c r="Y747" s="139" t="str">
        <f>IFERROR(__xludf.DUMMYFUNCTION("""COMPUTED_VALUE"""),"")</f>
        <v/>
      </c>
      <c r="Z747" s="141" t="str">
        <f>IFERROR(__xludf.DUMMYFUNCTION("""COMPUTED_VALUE"""),"")</f>
        <v/>
      </c>
    </row>
    <row r="748">
      <c r="C748" s="136" t="str">
        <f>IFERROR(__xludf.DUMMYFUNCTION("""COMPUTED_VALUE"""),"")</f>
        <v/>
      </c>
      <c r="D748" s="136" t="str">
        <f t="shared" si="3"/>
        <v/>
      </c>
      <c r="E748" s="152" t="str">
        <f>IFERROR(__xludf.DUMMYFUNCTION("""COMPUTED_VALUE"""),"")</f>
        <v/>
      </c>
      <c r="F748" s="106" t="s">
        <v>133</v>
      </c>
      <c r="G748" s="152" t="str">
        <f>IFERROR(__xludf.DUMMYFUNCTION("""COMPUTED_VALUE"""),"")</f>
        <v/>
      </c>
      <c r="H748" s="106" t="s">
        <v>133</v>
      </c>
      <c r="I748" s="136"/>
      <c r="J748" s="139" t="s">
        <v>133</v>
      </c>
      <c r="K748" s="136" t="s">
        <v>133</v>
      </c>
      <c r="L748" s="153" t="str">
        <f>IFERROR(__xludf.DUMMYFUNCTION("""COMPUTED_VALUE"""),"")</f>
        <v/>
      </c>
      <c r="M748" s="136" t="str">
        <f t="shared" si="1"/>
        <v/>
      </c>
      <c r="N748" s="136" t="str">
        <f>IFERROR(__xludf.DUMMYFUNCTION("""COMPUTED_VALUE"""),"")</f>
        <v/>
      </c>
      <c r="O748" s="141" t="s">
        <v>133</v>
      </c>
      <c r="P748" s="136" t="str">
        <f>IFERROR(__xludf.DUMMYFUNCTION("""COMPUTED_VALUE"""),"")</f>
        <v/>
      </c>
      <c r="Q748" s="136" t="str">
        <f>IFERROR(__xludf.DUMMYFUNCTION("""COMPUTED_VALUE"""),"")</f>
        <v/>
      </c>
      <c r="R748" s="106" t="str">
        <f>IFERROR(__xludf.DUMMYFUNCTION("""COMPUTED_VALUE"""),"")</f>
        <v/>
      </c>
      <c r="S748" s="106" t="str">
        <f>IFERROR(__xludf.DUMMYFUNCTION("""COMPUTED_VALUE"""),"")</f>
        <v/>
      </c>
      <c r="T748" s="139" t="str">
        <f>IFERROR(__xludf.DUMMYFUNCTION("""COMPUTED_VALUE"""),"")</f>
        <v/>
      </c>
      <c r="U748" s="139" t="str">
        <f>IFERROR(__xludf.DUMMYFUNCTION("""COMPUTED_VALUE"""),"")</f>
        <v/>
      </c>
      <c r="V748" s="136" t="str">
        <f>IFERROR(__xludf.DUMMYFUNCTION("""COMPUTED_VALUE"""),"")</f>
        <v/>
      </c>
      <c r="W748" s="106" t="str">
        <f>IFERROR(__xludf.DUMMYFUNCTION("""COMPUTED_VALUE"""),"")</f>
        <v/>
      </c>
      <c r="X748" s="143" t="str">
        <f t="shared" si="2"/>
        <v/>
      </c>
      <c r="Y748" s="139" t="str">
        <f>IFERROR(__xludf.DUMMYFUNCTION("""COMPUTED_VALUE"""),"")</f>
        <v/>
      </c>
      <c r="Z748" s="141" t="str">
        <f>IFERROR(__xludf.DUMMYFUNCTION("""COMPUTED_VALUE"""),"")</f>
        <v/>
      </c>
    </row>
    <row r="749">
      <c r="C749" s="136" t="str">
        <f>IFERROR(__xludf.DUMMYFUNCTION("""COMPUTED_VALUE"""),"")</f>
        <v/>
      </c>
      <c r="D749" s="136" t="str">
        <f t="shared" si="3"/>
        <v/>
      </c>
      <c r="E749" s="152" t="str">
        <f>IFERROR(__xludf.DUMMYFUNCTION("""COMPUTED_VALUE"""),"")</f>
        <v/>
      </c>
      <c r="F749" s="106" t="s">
        <v>133</v>
      </c>
      <c r="G749" s="152" t="str">
        <f>IFERROR(__xludf.DUMMYFUNCTION("""COMPUTED_VALUE"""),"")</f>
        <v/>
      </c>
      <c r="H749" s="106" t="s">
        <v>133</v>
      </c>
      <c r="I749" s="136"/>
      <c r="J749" s="139" t="s">
        <v>133</v>
      </c>
      <c r="K749" s="136" t="s">
        <v>133</v>
      </c>
      <c r="L749" s="153" t="str">
        <f>IFERROR(__xludf.DUMMYFUNCTION("""COMPUTED_VALUE"""),"")</f>
        <v/>
      </c>
      <c r="M749" s="136" t="str">
        <f t="shared" si="1"/>
        <v/>
      </c>
      <c r="N749" s="136" t="str">
        <f>IFERROR(__xludf.DUMMYFUNCTION("""COMPUTED_VALUE"""),"")</f>
        <v/>
      </c>
      <c r="O749" s="141" t="s">
        <v>133</v>
      </c>
      <c r="P749" s="136" t="str">
        <f>IFERROR(__xludf.DUMMYFUNCTION("""COMPUTED_VALUE"""),"")</f>
        <v/>
      </c>
      <c r="Q749" s="136" t="str">
        <f>IFERROR(__xludf.DUMMYFUNCTION("""COMPUTED_VALUE"""),"")</f>
        <v/>
      </c>
      <c r="R749" s="106" t="str">
        <f>IFERROR(__xludf.DUMMYFUNCTION("""COMPUTED_VALUE"""),"")</f>
        <v/>
      </c>
      <c r="S749" s="106" t="str">
        <f>IFERROR(__xludf.DUMMYFUNCTION("""COMPUTED_VALUE"""),"")</f>
        <v/>
      </c>
      <c r="T749" s="139" t="str">
        <f>IFERROR(__xludf.DUMMYFUNCTION("""COMPUTED_VALUE"""),"")</f>
        <v/>
      </c>
      <c r="U749" s="139" t="str">
        <f>IFERROR(__xludf.DUMMYFUNCTION("""COMPUTED_VALUE"""),"")</f>
        <v/>
      </c>
      <c r="V749" s="136" t="str">
        <f>IFERROR(__xludf.DUMMYFUNCTION("""COMPUTED_VALUE"""),"")</f>
        <v/>
      </c>
      <c r="W749" s="106" t="str">
        <f>IFERROR(__xludf.DUMMYFUNCTION("""COMPUTED_VALUE"""),"")</f>
        <v/>
      </c>
      <c r="X749" s="143" t="str">
        <f t="shared" si="2"/>
        <v/>
      </c>
      <c r="Y749" s="139" t="str">
        <f>IFERROR(__xludf.DUMMYFUNCTION("""COMPUTED_VALUE"""),"")</f>
        <v/>
      </c>
      <c r="Z749" s="141" t="str">
        <f>IFERROR(__xludf.DUMMYFUNCTION("""COMPUTED_VALUE"""),"")</f>
        <v/>
      </c>
    </row>
    <row r="750">
      <c r="C750" s="136" t="str">
        <f>IFERROR(__xludf.DUMMYFUNCTION("""COMPUTED_VALUE"""),"")</f>
        <v/>
      </c>
      <c r="D750" s="136" t="str">
        <f t="shared" si="3"/>
        <v/>
      </c>
      <c r="E750" s="152" t="str">
        <f>IFERROR(__xludf.DUMMYFUNCTION("""COMPUTED_VALUE"""),"")</f>
        <v/>
      </c>
      <c r="F750" s="106" t="s">
        <v>133</v>
      </c>
      <c r="G750" s="152" t="str">
        <f>IFERROR(__xludf.DUMMYFUNCTION("""COMPUTED_VALUE"""),"")</f>
        <v/>
      </c>
      <c r="H750" s="106" t="s">
        <v>133</v>
      </c>
      <c r="I750" s="136"/>
      <c r="J750" s="139" t="s">
        <v>133</v>
      </c>
      <c r="K750" s="136" t="s">
        <v>133</v>
      </c>
      <c r="L750" s="153" t="str">
        <f>IFERROR(__xludf.DUMMYFUNCTION("""COMPUTED_VALUE"""),"")</f>
        <v/>
      </c>
      <c r="M750" s="136" t="str">
        <f t="shared" si="1"/>
        <v/>
      </c>
      <c r="N750" s="136" t="str">
        <f>IFERROR(__xludf.DUMMYFUNCTION("""COMPUTED_VALUE"""),"")</f>
        <v/>
      </c>
      <c r="O750" s="141" t="s">
        <v>133</v>
      </c>
      <c r="P750" s="136" t="str">
        <f>IFERROR(__xludf.DUMMYFUNCTION("""COMPUTED_VALUE"""),"")</f>
        <v/>
      </c>
      <c r="Q750" s="136" t="str">
        <f>IFERROR(__xludf.DUMMYFUNCTION("""COMPUTED_VALUE"""),"")</f>
        <v/>
      </c>
      <c r="R750" s="106" t="str">
        <f>IFERROR(__xludf.DUMMYFUNCTION("""COMPUTED_VALUE"""),"")</f>
        <v/>
      </c>
      <c r="S750" s="106" t="str">
        <f>IFERROR(__xludf.DUMMYFUNCTION("""COMPUTED_VALUE"""),"")</f>
        <v/>
      </c>
      <c r="T750" s="139" t="str">
        <f>IFERROR(__xludf.DUMMYFUNCTION("""COMPUTED_VALUE"""),"")</f>
        <v/>
      </c>
      <c r="U750" s="139" t="str">
        <f>IFERROR(__xludf.DUMMYFUNCTION("""COMPUTED_VALUE"""),"")</f>
        <v/>
      </c>
      <c r="V750" s="136" t="str">
        <f>IFERROR(__xludf.DUMMYFUNCTION("""COMPUTED_VALUE"""),"")</f>
        <v/>
      </c>
      <c r="W750" s="106" t="str">
        <f>IFERROR(__xludf.DUMMYFUNCTION("""COMPUTED_VALUE"""),"")</f>
        <v/>
      </c>
      <c r="X750" s="143" t="str">
        <f t="shared" si="2"/>
        <v/>
      </c>
      <c r="Y750" s="139" t="str">
        <f>IFERROR(__xludf.DUMMYFUNCTION("""COMPUTED_VALUE"""),"")</f>
        <v/>
      </c>
      <c r="Z750" s="141" t="str">
        <f>IFERROR(__xludf.DUMMYFUNCTION("""COMPUTED_VALUE"""),"")</f>
        <v/>
      </c>
    </row>
    <row r="751">
      <c r="C751" s="136" t="str">
        <f>IFERROR(__xludf.DUMMYFUNCTION("""COMPUTED_VALUE"""),"")</f>
        <v/>
      </c>
      <c r="D751" s="136" t="str">
        <f t="shared" si="3"/>
        <v/>
      </c>
      <c r="E751" s="152" t="str">
        <f>IFERROR(__xludf.DUMMYFUNCTION("""COMPUTED_VALUE"""),"")</f>
        <v/>
      </c>
      <c r="F751" s="106" t="s">
        <v>133</v>
      </c>
      <c r="G751" s="152" t="str">
        <f>IFERROR(__xludf.DUMMYFUNCTION("""COMPUTED_VALUE"""),"")</f>
        <v/>
      </c>
      <c r="H751" s="106" t="s">
        <v>133</v>
      </c>
      <c r="I751" s="136"/>
      <c r="J751" s="139" t="s">
        <v>133</v>
      </c>
      <c r="K751" s="136" t="s">
        <v>133</v>
      </c>
      <c r="L751" s="153" t="str">
        <f>IFERROR(__xludf.DUMMYFUNCTION("""COMPUTED_VALUE"""),"")</f>
        <v/>
      </c>
      <c r="M751" s="136" t="str">
        <f t="shared" si="1"/>
        <v/>
      </c>
      <c r="N751" s="136" t="str">
        <f>IFERROR(__xludf.DUMMYFUNCTION("""COMPUTED_VALUE"""),"")</f>
        <v/>
      </c>
      <c r="O751" s="141" t="s">
        <v>133</v>
      </c>
      <c r="P751" s="136" t="str">
        <f>IFERROR(__xludf.DUMMYFUNCTION("""COMPUTED_VALUE"""),"")</f>
        <v/>
      </c>
      <c r="Q751" s="136" t="str">
        <f>IFERROR(__xludf.DUMMYFUNCTION("""COMPUTED_VALUE"""),"")</f>
        <v/>
      </c>
      <c r="R751" s="106" t="str">
        <f>IFERROR(__xludf.DUMMYFUNCTION("""COMPUTED_VALUE"""),"")</f>
        <v/>
      </c>
      <c r="S751" s="106" t="str">
        <f>IFERROR(__xludf.DUMMYFUNCTION("""COMPUTED_VALUE"""),"")</f>
        <v/>
      </c>
      <c r="T751" s="139" t="str">
        <f>IFERROR(__xludf.DUMMYFUNCTION("""COMPUTED_VALUE"""),"")</f>
        <v/>
      </c>
      <c r="U751" s="139" t="str">
        <f>IFERROR(__xludf.DUMMYFUNCTION("""COMPUTED_VALUE"""),"")</f>
        <v/>
      </c>
      <c r="V751" s="136" t="str">
        <f>IFERROR(__xludf.DUMMYFUNCTION("""COMPUTED_VALUE"""),"")</f>
        <v/>
      </c>
      <c r="W751" s="106" t="str">
        <f>IFERROR(__xludf.DUMMYFUNCTION("""COMPUTED_VALUE"""),"")</f>
        <v/>
      </c>
      <c r="X751" s="143" t="str">
        <f t="shared" si="2"/>
        <v/>
      </c>
      <c r="Y751" s="139" t="str">
        <f>IFERROR(__xludf.DUMMYFUNCTION("""COMPUTED_VALUE"""),"")</f>
        <v/>
      </c>
      <c r="Z751" s="141" t="str">
        <f>IFERROR(__xludf.DUMMYFUNCTION("""COMPUTED_VALUE"""),"")</f>
        <v/>
      </c>
    </row>
    <row r="752">
      <c r="C752" s="136" t="str">
        <f>IFERROR(__xludf.DUMMYFUNCTION("""COMPUTED_VALUE"""),"")</f>
        <v/>
      </c>
      <c r="D752" s="136" t="str">
        <f t="shared" si="3"/>
        <v/>
      </c>
      <c r="E752" s="152" t="str">
        <f>IFERROR(__xludf.DUMMYFUNCTION("""COMPUTED_VALUE"""),"")</f>
        <v/>
      </c>
      <c r="F752" s="106" t="s">
        <v>133</v>
      </c>
      <c r="G752" s="152" t="str">
        <f>IFERROR(__xludf.DUMMYFUNCTION("""COMPUTED_VALUE"""),"")</f>
        <v/>
      </c>
      <c r="H752" s="106" t="s">
        <v>133</v>
      </c>
      <c r="I752" s="136"/>
      <c r="J752" s="139" t="s">
        <v>133</v>
      </c>
      <c r="K752" s="136" t="s">
        <v>133</v>
      </c>
      <c r="L752" s="153" t="str">
        <f>IFERROR(__xludf.DUMMYFUNCTION("""COMPUTED_VALUE"""),"")</f>
        <v/>
      </c>
      <c r="M752" s="136" t="str">
        <f t="shared" si="1"/>
        <v/>
      </c>
      <c r="N752" s="136" t="str">
        <f>IFERROR(__xludf.DUMMYFUNCTION("""COMPUTED_VALUE"""),"")</f>
        <v/>
      </c>
      <c r="O752" s="141" t="s">
        <v>133</v>
      </c>
      <c r="P752" s="136" t="str">
        <f>IFERROR(__xludf.DUMMYFUNCTION("""COMPUTED_VALUE"""),"")</f>
        <v/>
      </c>
      <c r="Q752" s="136" t="str">
        <f>IFERROR(__xludf.DUMMYFUNCTION("""COMPUTED_VALUE"""),"")</f>
        <v/>
      </c>
      <c r="R752" s="106" t="str">
        <f>IFERROR(__xludf.DUMMYFUNCTION("""COMPUTED_VALUE"""),"")</f>
        <v/>
      </c>
      <c r="S752" s="106" t="str">
        <f>IFERROR(__xludf.DUMMYFUNCTION("""COMPUTED_VALUE"""),"")</f>
        <v/>
      </c>
      <c r="T752" s="139" t="str">
        <f>IFERROR(__xludf.DUMMYFUNCTION("""COMPUTED_VALUE"""),"")</f>
        <v/>
      </c>
      <c r="U752" s="139" t="str">
        <f>IFERROR(__xludf.DUMMYFUNCTION("""COMPUTED_VALUE"""),"")</f>
        <v/>
      </c>
      <c r="V752" s="136" t="str">
        <f>IFERROR(__xludf.DUMMYFUNCTION("""COMPUTED_VALUE"""),"")</f>
        <v/>
      </c>
      <c r="W752" s="106" t="str">
        <f>IFERROR(__xludf.DUMMYFUNCTION("""COMPUTED_VALUE"""),"")</f>
        <v/>
      </c>
      <c r="X752" s="143" t="str">
        <f t="shared" si="2"/>
        <v/>
      </c>
      <c r="Y752" s="139" t="str">
        <f>IFERROR(__xludf.DUMMYFUNCTION("""COMPUTED_VALUE"""),"")</f>
        <v/>
      </c>
      <c r="Z752" s="141" t="str">
        <f>IFERROR(__xludf.DUMMYFUNCTION("""COMPUTED_VALUE"""),"")</f>
        <v/>
      </c>
    </row>
    <row r="753">
      <c r="C753" s="136" t="str">
        <f>IFERROR(__xludf.DUMMYFUNCTION("""COMPUTED_VALUE"""),"")</f>
        <v/>
      </c>
      <c r="D753" s="136" t="str">
        <f t="shared" si="3"/>
        <v/>
      </c>
      <c r="E753" s="152" t="str">
        <f>IFERROR(__xludf.DUMMYFUNCTION("""COMPUTED_VALUE"""),"")</f>
        <v/>
      </c>
      <c r="F753" s="106" t="s">
        <v>133</v>
      </c>
      <c r="G753" s="152" t="str">
        <f>IFERROR(__xludf.DUMMYFUNCTION("""COMPUTED_VALUE"""),"")</f>
        <v/>
      </c>
      <c r="H753" s="106" t="s">
        <v>133</v>
      </c>
      <c r="I753" s="136"/>
      <c r="J753" s="139" t="s">
        <v>133</v>
      </c>
      <c r="K753" s="136" t="s">
        <v>133</v>
      </c>
      <c r="L753" s="153" t="str">
        <f>IFERROR(__xludf.DUMMYFUNCTION("""COMPUTED_VALUE"""),"")</f>
        <v/>
      </c>
      <c r="M753" s="136" t="str">
        <f t="shared" si="1"/>
        <v/>
      </c>
      <c r="N753" s="136" t="str">
        <f>IFERROR(__xludf.DUMMYFUNCTION("""COMPUTED_VALUE"""),"")</f>
        <v/>
      </c>
      <c r="O753" s="141" t="s">
        <v>133</v>
      </c>
      <c r="P753" s="136" t="str">
        <f>IFERROR(__xludf.DUMMYFUNCTION("""COMPUTED_VALUE"""),"")</f>
        <v/>
      </c>
      <c r="Q753" s="136" t="str">
        <f>IFERROR(__xludf.DUMMYFUNCTION("""COMPUTED_VALUE"""),"")</f>
        <v/>
      </c>
      <c r="R753" s="106" t="str">
        <f>IFERROR(__xludf.DUMMYFUNCTION("""COMPUTED_VALUE"""),"")</f>
        <v/>
      </c>
      <c r="S753" s="106" t="str">
        <f>IFERROR(__xludf.DUMMYFUNCTION("""COMPUTED_VALUE"""),"")</f>
        <v/>
      </c>
      <c r="T753" s="139" t="str">
        <f>IFERROR(__xludf.DUMMYFUNCTION("""COMPUTED_VALUE"""),"")</f>
        <v/>
      </c>
      <c r="U753" s="139" t="str">
        <f>IFERROR(__xludf.DUMMYFUNCTION("""COMPUTED_VALUE"""),"")</f>
        <v/>
      </c>
      <c r="V753" s="136" t="str">
        <f>IFERROR(__xludf.DUMMYFUNCTION("""COMPUTED_VALUE"""),"")</f>
        <v/>
      </c>
      <c r="W753" s="106" t="str">
        <f>IFERROR(__xludf.DUMMYFUNCTION("""COMPUTED_VALUE"""),"")</f>
        <v/>
      </c>
      <c r="X753" s="143" t="str">
        <f t="shared" si="2"/>
        <v/>
      </c>
      <c r="Y753" s="139" t="str">
        <f>IFERROR(__xludf.DUMMYFUNCTION("""COMPUTED_VALUE"""),"")</f>
        <v/>
      </c>
      <c r="Z753" s="141" t="str">
        <f>IFERROR(__xludf.DUMMYFUNCTION("""COMPUTED_VALUE"""),"")</f>
        <v/>
      </c>
    </row>
    <row r="754">
      <c r="C754" s="136" t="str">
        <f>IFERROR(__xludf.DUMMYFUNCTION("""COMPUTED_VALUE"""),"")</f>
        <v/>
      </c>
      <c r="D754" s="136" t="str">
        <f t="shared" si="3"/>
        <v/>
      </c>
      <c r="E754" s="152" t="str">
        <f>IFERROR(__xludf.DUMMYFUNCTION("""COMPUTED_VALUE"""),"")</f>
        <v/>
      </c>
      <c r="F754" s="106" t="s">
        <v>133</v>
      </c>
      <c r="G754" s="152" t="str">
        <f>IFERROR(__xludf.DUMMYFUNCTION("""COMPUTED_VALUE"""),"")</f>
        <v/>
      </c>
      <c r="H754" s="106" t="s">
        <v>133</v>
      </c>
      <c r="I754" s="136"/>
      <c r="J754" s="139" t="s">
        <v>133</v>
      </c>
      <c r="K754" s="136" t="s">
        <v>133</v>
      </c>
      <c r="L754" s="153" t="str">
        <f>IFERROR(__xludf.DUMMYFUNCTION("""COMPUTED_VALUE"""),"")</f>
        <v/>
      </c>
      <c r="M754" s="136" t="str">
        <f t="shared" si="1"/>
        <v/>
      </c>
      <c r="N754" s="136" t="str">
        <f>IFERROR(__xludf.DUMMYFUNCTION("""COMPUTED_VALUE"""),"")</f>
        <v/>
      </c>
      <c r="O754" s="141" t="s">
        <v>133</v>
      </c>
      <c r="P754" s="136" t="str">
        <f>IFERROR(__xludf.DUMMYFUNCTION("""COMPUTED_VALUE"""),"")</f>
        <v/>
      </c>
      <c r="Q754" s="136" t="str">
        <f>IFERROR(__xludf.DUMMYFUNCTION("""COMPUTED_VALUE"""),"")</f>
        <v/>
      </c>
      <c r="R754" s="106" t="str">
        <f>IFERROR(__xludf.DUMMYFUNCTION("""COMPUTED_VALUE"""),"")</f>
        <v/>
      </c>
      <c r="S754" s="106" t="str">
        <f>IFERROR(__xludf.DUMMYFUNCTION("""COMPUTED_VALUE"""),"")</f>
        <v/>
      </c>
      <c r="T754" s="139" t="str">
        <f>IFERROR(__xludf.DUMMYFUNCTION("""COMPUTED_VALUE"""),"")</f>
        <v/>
      </c>
      <c r="U754" s="139" t="str">
        <f>IFERROR(__xludf.DUMMYFUNCTION("""COMPUTED_VALUE"""),"")</f>
        <v/>
      </c>
      <c r="V754" s="136" t="str">
        <f>IFERROR(__xludf.DUMMYFUNCTION("""COMPUTED_VALUE"""),"")</f>
        <v/>
      </c>
      <c r="W754" s="106" t="str">
        <f>IFERROR(__xludf.DUMMYFUNCTION("""COMPUTED_VALUE"""),"")</f>
        <v/>
      </c>
      <c r="X754" s="143" t="str">
        <f t="shared" si="2"/>
        <v/>
      </c>
      <c r="Y754" s="139" t="str">
        <f>IFERROR(__xludf.DUMMYFUNCTION("""COMPUTED_VALUE"""),"")</f>
        <v/>
      </c>
      <c r="Z754" s="141" t="str">
        <f>IFERROR(__xludf.DUMMYFUNCTION("""COMPUTED_VALUE"""),"")</f>
        <v/>
      </c>
    </row>
    <row r="755">
      <c r="C755" s="136" t="str">
        <f>IFERROR(__xludf.DUMMYFUNCTION("""COMPUTED_VALUE"""),"")</f>
        <v/>
      </c>
      <c r="D755" s="136" t="str">
        <f t="shared" si="3"/>
        <v/>
      </c>
      <c r="E755" s="152" t="str">
        <f>IFERROR(__xludf.DUMMYFUNCTION("""COMPUTED_VALUE"""),"")</f>
        <v/>
      </c>
      <c r="F755" s="106" t="s">
        <v>133</v>
      </c>
      <c r="G755" s="152" t="str">
        <f>IFERROR(__xludf.DUMMYFUNCTION("""COMPUTED_VALUE"""),"")</f>
        <v/>
      </c>
      <c r="H755" s="106" t="s">
        <v>133</v>
      </c>
      <c r="I755" s="136"/>
      <c r="J755" s="139" t="s">
        <v>133</v>
      </c>
      <c r="K755" s="136" t="s">
        <v>133</v>
      </c>
      <c r="L755" s="153" t="str">
        <f>IFERROR(__xludf.DUMMYFUNCTION("""COMPUTED_VALUE"""),"")</f>
        <v/>
      </c>
      <c r="M755" s="136" t="str">
        <f t="shared" si="1"/>
        <v/>
      </c>
      <c r="N755" s="136" t="str">
        <f>IFERROR(__xludf.DUMMYFUNCTION("""COMPUTED_VALUE"""),"")</f>
        <v/>
      </c>
      <c r="O755" s="141" t="s">
        <v>133</v>
      </c>
      <c r="P755" s="136" t="str">
        <f>IFERROR(__xludf.DUMMYFUNCTION("""COMPUTED_VALUE"""),"")</f>
        <v/>
      </c>
      <c r="Q755" s="136" t="str">
        <f>IFERROR(__xludf.DUMMYFUNCTION("""COMPUTED_VALUE"""),"")</f>
        <v/>
      </c>
      <c r="R755" s="106" t="str">
        <f>IFERROR(__xludf.DUMMYFUNCTION("""COMPUTED_VALUE"""),"")</f>
        <v/>
      </c>
      <c r="S755" s="106" t="str">
        <f>IFERROR(__xludf.DUMMYFUNCTION("""COMPUTED_VALUE"""),"")</f>
        <v/>
      </c>
      <c r="T755" s="139" t="str">
        <f>IFERROR(__xludf.DUMMYFUNCTION("""COMPUTED_VALUE"""),"")</f>
        <v/>
      </c>
      <c r="U755" s="139" t="str">
        <f>IFERROR(__xludf.DUMMYFUNCTION("""COMPUTED_VALUE"""),"")</f>
        <v/>
      </c>
      <c r="V755" s="136" t="str">
        <f>IFERROR(__xludf.DUMMYFUNCTION("""COMPUTED_VALUE"""),"")</f>
        <v/>
      </c>
      <c r="W755" s="106" t="str">
        <f>IFERROR(__xludf.DUMMYFUNCTION("""COMPUTED_VALUE"""),"")</f>
        <v/>
      </c>
      <c r="X755" s="143" t="str">
        <f t="shared" si="2"/>
        <v/>
      </c>
      <c r="Y755" s="139" t="str">
        <f>IFERROR(__xludf.DUMMYFUNCTION("""COMPUTED_VALUE"""),"")</f>
        <v/>
      </c>
      <c r="Z755" s="141" t="str">
        <f>IFERROR(__xludf.DUMMYFUNCTION("""COMPUTED_VALUE"""),"")</f>
        <v/>
      </c>
    </row>
    <row r="756">
      <c r="C756" s="136" t="str">
        <f>IFERROR(__xludf.DUMMYFUNCTION("""COMPUTED_VALUE"""),"")</f>
        <v/>
      </c>
      <c r="D756" s="136" t="str">
        <f t="shared" si="3"/>
        <v/>
      </c>
      <c r="E756" s="152" t="str">
        <f>IFERROR(__xludf.DUMMYFUNCTION("""COMPUTED_VALUE"""),"")</f>
        <v/>
      </c>
      <c r="F756" s="106" t="s">
        <v>133</v>
      </c>
      <c r="G756" s="152" t="str">
        <f>IFERROR(__xludf.DUMMYFUNCTION("""COMPUTED_VALUE"""),"")</f>
        <v/>
      </c>
      <c r="H756" s="106" t="s">
        <v>133</v>
      </c>
      <c r="I756" s="136"/>
      <c r="J756" s="139" t="s">
        <v>133</v>
      </c>
      <c r="K756" s="136" t="s">
        <v>133</v>
      </c>
      <c r="L756" s="153" t="str">
        <f>IFERROR(__xludf.DUMMYFUNCTION("""COMPUTED_VALUE"""),"")</f>
        <v/>
      </c>
      <c r="M756" s="136" t="str">
        <f t="shared" si="1"/>
        <v/>
      </c>
      <c r="N756" s="136" t="str">
        <f>IFERROR(__xludf.DUMMYFUNCTION("""COMPUTED_VALUE"""),"")</f>
        <v/>
      </c>
      <c r="O756" s="141" t="s">
        <v>133</v>
      </c>
      <c r="P756" s="136" t="str">
        <f>IFERROR(__xludf.DUMMYFUNCTION("""COMPUTED_VALUE"""),"")</f>
        <v/>
      </c>
      <c r="Q756" s="136" t="str">
        <f>IFERROR(__xludf.DUMMYFUNCTION("""COMPUTED_VALUE"""),"")</f>
        <v/>
      </c>
      <c r="R756" s="106" t="str">
        <f>IFERROR(__xludf.DUMMYFUNCTION("""COMPUTED_VALUE"""),"")</f>
        <v/>
      </c>
      <c r="S756" s="106" t="str">
        <f>IFERROR(__xludf.DUMMYFUNCTION("""COMPUTED_VALUE"""),"")</f>
        <v/>
      </c>
      <c r="T756" s="139" t="str">
        <f>IFERROR(__xludf.DUMMYFUNCTION("""COMPUTED_VALUE"""),"")</f>
        <v/>
      </c>
      <c r="U756" s="139" t="str">
        <f>IFERROR(__xludf.DUMMYFUNCTION("""COMPUTED_VALUE"""),"")</f>
        <v/>
      </c>
      <c r="V756" s="136" t="str">
        <f>IFERROR(__xludf.DUMMYFUNCTION("""COMPUTED_VALUE"""),"")</f>
        <v/>
      </c>
      <c r="W756" s="106" t="str">
        <f>IFERROR(__xludf.DUMMYFUNCTION("""COMPUTED_VALUE"""),"")</f>
        <v/>
      </c>
      <c r="X756" s="143" t="str">
        <f t="shared" si="2"/>
        <v/>
      </c>
      <c r="Y756" s="139" t="str">
        <f>IFERROR(__xludf.DUMMYFUNCTION("""COMPUTED_VALUE"""),"")</f>
        <v/>
      </c>
      <c r="Z756" s="141" t="str">
        <f>IFERROR(__xludf.DUMMYFUNCTION("""COMPUTED_VALUE"""),"")</f>
        <v/>
      </c>
    </row>
    <row r="757">
      <c r="C757" s="136" t="str">
        <f>IFERROR(__xludf.DUMMYFUNCTION("""COMPUTED_VALUE"""),"")</f>
        <v/>
      </c>
      <c r="D757" s="136" t="str">
        <f t="shared" si="3"/>
        <v/>
      </c>
      <c r="E757" s="152" t="str">
        <f>IFERROR(__xludf.DUMMYFUNCTION("""COMPUTED_VALUE"""),"")</f>
        <v/>
      </c>
      <c r="F757" s="106" t="s">
        <v>133</v>
      </c>
      <c r="G757" s="152" t="str">
        <f>IFERROR(__xludf.DUMMYFUNCTION("""COMPUTED_VALUE"""),"")</f>
        <v/>
      </c>
      <c r="H757" s="106" t="s">
        <v>133</v>
      </c>
      <c r="I757" s="136"/>
      <c r="J757" s="139" t="s">
        <v>133</v>
      </c>
      <c r="K757" s="136" t="s">
        <v>133</v>
      </c>
      <c r="L757" s="153" t="str">
        <f>IFERROR(__xludf.DUMMYFUNCTION("""COMPUTED_VALUE"""),"")</f>
        <v/>
      </c>
      <c r="M757" s="136" t="str">
        <f t="shared" si="1"/>
        <v/>
      </c>
      <c r="N757" s="136" t="str">
        <f>IFERROR(__xludf.DUMMYFUNCTION("""COMPUTED_VALUE"""),"")</f>
        <v/>
      </c>
      <c r="O757" s="141" t="s">
        <v>133</v>
      </c>
      <c r="P757" s="136" t="str">
        <f>IFERROR(__xludf.DUMMYFUNCTION("""COMPUTED_VALUE"""),"")</f>
        <v/>
      </c>
      <c r="Q757" s="136" t="str">
        <f>IFERROR(__xludf.DUMMYFUNCTION("""COMPUTED_VALUE"""),"")</f>
        <v/>
      </c>
      <c r="R757" s="106" t="str">
        <f>IFERROR(__xludf.DUMMYFUNCTION("""COMPUTED_VALUE"""),"")</f>
        <v/>
      </c>
      <c r="S757" s="106" t="str">
        <f>IFERROR(__xludf.DUMMYFUNCTION("""COMPUTED_VALUE"""),"")</f>
        <v/>
      </c>
      <c r="T757" s="139" t="str">
        <f>IFERROR(__xludf.DUMMYFUNCTION("""COMPUTED_VALUE"""),"")</f>
        <v/>
      </c>
      <c r="U757" s="139" t="str">
        <f>IFERROR(__xludf.DUMMYFUNCTION("""COMPUTED_VALUE"""),"")</f>
        <v/>
      </c>
      <c r="V757" s="136" t="str">
        <f>IFERROR(__xludf.DUMMYFUNCTION("""COMPUTED_VALUE"""),"")</f>
        <v/>
      </c>
      <c r="W757" s="106" t="str">
        <f>IFERROR(__xludf.DUMMYFUNCTION("""COMPUTED_VALUE"""),"")</f>
        <v/>
      </c>
      <c r="X757" s="143" t="str">
        <f t="shared" si="2"/>
        <v/>
      </c>
      <c r="Y757" s="139" t="str">
        <f>IFERROR(__xludf.DUMMYFUNCTION("""COMPUTED_VALUE"""),"")</f>
        <v/>
      </c>
      <c r="Z757" s="141" t="str">
        <f>IFERROR(__xludf.DUMMYFUNCTION("""COMPUTED_VALUE"""),"")</f>
        <v/>
      </c>
    </row>
    <row r="758">
      <c r="C758" s="136" t="str">
        <f>IFERROR(__xludf.DUMMYFUNCTION("""COMPUTED_VALUE"""),"")</f>
        <v/>
      </c>
      <c r="D758" s="136" t="str">
        <f t="shared" si="3"/>
        <v/>
      </c>
      <c r="E758" s="152" t="str">
        <f>IFERROR(__xludf.DUMMYFUNCTION("""COMPUTED_VALUE"""),"")</f>
        <v/>
      </c>
      <c r="F758" s="106" t="s">
        <v>133</v>
      </c>
      <c r="G758" s="152" t="str">
        <f>IFERROR(__xludf.DUMMYFUNCTION("""COMPUTED_VALUE"""),"")</f>
        <v/>
      </c>
      <c r="H758" s="106" t="s">
        <v>133</v>
      </c>
      <c r="I758" s="136"/>
      <c r="J758" s="139" t="s">
        <v>133</v>
      </c>
      <c r="K758" s="136" t="s">
        <v>133</v>
      </c>
      <c r="L758" s="153" t="str">
        <f>IFERROR(__xludf.DUMMYFUNCTION("""COMPUTED_VALUE"""),"")</f>
        <v/>
      </c>
      <c r="M758" s="136" t="str">
        <f t="shared" si="1"/>
        <v/>
      </c>
      <c r="N758" s="136" t="str">
        <f>IFERROR(__xludf.DUMMYFUNCTION("""COMPUTED_VALUE"""),"")</f>
        <v/>
      </c>
      <c r="O758" s="141" t="s">
        <v>133</v>
      </c>
      <c r="P758" s="136" t="str">
        <f>IFERROR(__xludf.DUMMYFUNCTION("""COMPUTED_VALUE"""),"")</f>
        <v/>
      </c>
      <c r="Q758" s="136" t="str">
        <f>IFERROR(__xludf.DUMMYFUNCTION("""COMPUTED_VALUE"""),"")</f>
        <v/>
      </c>
      <c r="R758" s="106" t="str">
        <f>IFERROR(__xludf.DUMMYFUNCTION("""COMPUTED_VALUE"""),"")</f>
        <v/>
      </c>
      <c r="S758" s="106" t="str">
        <f>IFERROR(__xludf.DUMMYFUNCTION("""COMPUTED_VALUE"""),"")</f>
        <v/>
      </c>
      <c r="T758" s="139" t="str">
        <f>IFERROR(__xludf.DUMMYFUNCTION("""COMPUTED_VALUE"""),"")</f>
        <v/>
      </c>
      <c r="U758" s="139" t="str">
        <f>IFERROR(__xludf.DUMMYFUNCTION("""COMPUTED_VALUE"""),"")</f>
        <v/>
      </c>
      <c r="V758" s="136" t="str">
        <f>IFERROR(__xludf.DUMMYFUNCTION("""COMPUTED_VALUE"""),"")</f>
        <v/>
      </c>
      <c r="W758" s="106" t="str">
        <f>IFERROR(__xludf.DUMMYFUNCTION("""COMPUTED_VALUE"""),"")</f>
        <v/>
      </c>
      <c r="X758" s="143" t="str">
        <f t="shared" si="2"/>
        <v/>
      </c>
      <c r="Y758" s="139" t="str">
        <f>IFERROR(__xludf.DUMMYFUNCTION("""COMPUTED_VALUE"""),"")</f>
        <v/>
      </c>
      <c r="Z758" s="141" t="str">
        <f>IFERROR(__xludf.DUMMYFUNCTION("""COMPUTED_VALUE"""),"")</f>
        <v/>
      </c>
    </row>
    <row r="759">
      <c r="C759" s="136" t="str">
        <f>IFERROR(__xludf.DUMMYFUNCTION("""COMPUTED_VALUE"""),"")</f>
        <v/>
      </c>
      <c r="D759" s="136" t="str">
        <f t="shared" si="3"/>
        <v/>
      </c>
      <c r="E759" s="152" t="str">
        <f>IFERROR(__xludf.DUMMYFUNCTION("""COMPUTED_VALUE"""),"")</f>
        <v/>
      </c>
      <c r="F759" s="106" t="s">
        <v>133</v>
      </c>
      <c r="G759" s="152" t="str">
        <f>IFERROR(__xludf.DUMMYFUNCTION("""COMPUTED_VALUE"""),"")</f>
        <v/>
      </c>
      <c r="H759" s="106" t="s">
        <v>133</v>
      </c>
      <c r="I759" s="136"/>
      <c r="J759" s="139" t="s">
        <v>133</v>
      </c>
      <c r="K759" s="136" t="s">
        <v>133</v>
      </c>
      <c r="L759" s="153" t="str">
        <f>IFERROR(__xludf.DUMMYFUNCTION("""COMPUTED_VALUE"""),"")</f>
        <v/>
      </c>
      <c r="M759" s="136" t="str">
        <f t="shared" si="1"/>
        <v/>
      </c>
      <c r="N759" s="136" t="str">
        <f>IFERROR(__xludf.DUMMYFUNCTION("""COMPUTED_VALUE"""),"")</f>
        <v/>
      </c>
      <c r="O759" s="141" t="s">
        <v>133</v>
      </c>
      <c r="P759" s="136" t="str">
        <f>IFERROR(__xludf.DUMMYFUNCTION("""COMPUTED_VALUE"""),"")</f>
        <v/>
      </c>
      <c r="Q759" s="136" t="str">
        <f>IFERROR(__xludf.DUMMYFUNCTION("""COMPUTED_VALUE"""),"")</f>
        <v/>
      </c>
      <c r="R759" s="106" t="str">
        <f>IFERROR(__xludf.DUMMYFUNCTION("""COMPUTED_VALUE"""),"")</f>
        <v/>
      </c>
      <c r="S759" s="106" t="str">
        <f>IFERROR(__xludf.DUMMYFUNCTION("""COMPUTED_VALUE"""),"")</f>
        <v/>
      </c>
      <c r="T759" s="139" t="str">
        <f>IFERROR(__xludf.DUMMYFUNCTION("""COMPUTED_VALUE"""),"")</f>
        <v/>
      </c>
      <c r="U759" s="139" t="str">
        <f>IFERROR(__xludf.DUMMYFUNCTION("""COMPUTED_VALUE"""),"")</f>
        <v/>
      </c>
      <c r="V759" s="136" t="str">
        <f>IFERROR(__xludf.DUMMYFUNCTION("""COMPUTED_VALUE"""),"")</f>
        <v/>
      </c>
      <c r="W759" s="106" t="str">
        <f>IFERROR(__xludf.DUMMYFUNCTION("""COMPUTED_VALUE"""),"")</f>
        <v/>
      </c>
      <c r="X759" s="143" t="str">
        <f t="shared" si="2"/>
        <v/>
      </c>
      <c r="Y759" s="139" t="str">
        <f>IFERROR(__xludf.DUMMYFUNCTION("""COMPUTED_VALUE"""),"")</f>
        <v/>
      </c>
      <c r="Z759" s="141" t="str">
        <f>IFERROR(__xludf.DUMMYFUNCTION("""COMPUTED_VALUE"""),"")</f>
        <v/>
      </c>
    </row>
    <row r="760">
      <c r="C760" s="136" t="str">
        <f>IFERROR(__xludf.DUMMYFUNCTION("""COMPUTED_VALUE"""),"")</f>
        <v/>
      </c>
      <c r="D760" s="136" t="str">
        <f t="shared" si="3"/>
        <v/>
      </c>
      <c r="E760" s="152" t="str">
        <f>IFERROR(__xludf.DUMMYFUNCTION("""COMPUTED_VALUE"""),"")</f>
        <v/>
      </c>
      <c r="F760" s="106" t="s">
        <v>133</v>
      </c>
      <c r="G760" s="152" t="str">
        <f>IFERROR(__xludf.DUMMYFUNCTION("""COMPUTED_VALUE"""),"")</f>
        <v/>
      </c>
      <c r="H760" s="106" t="s">
        <v>133</v>
      </c>
      <c r="I760" s="136"/>
      <c r="J760" s="139" t="s">
        <v>133</v>
      </c>
      <c r="K760" s="136" t="s">
        <v>133</v>
      </c>
      <c r="L760" s="153" t="str">
        <f>IFERROR(__xludf.DUMMYFUNCTION("""COMPUTED_VALUE"""),"")</f>
        <v/>
      </c>
      <c r="M760" s="136" t="str">
        <f t="shared" si="1"/>
        <v/>
      </c>
      <c r="N760" s="136" t="str">
        <f>IFERROR(__xludf.DUMMYFUNCTION("""COMPUTED_VALUE"""),"")</f>
        <v/>
      </c>
      <c r="O760" s="141" t="s">
        <v>133</v>
      </c>
      <c r="P760" s="136" t="str">
        <f>IFERROR(__xludf.DUMMYFUNCTION("""COMPUTED_VALUE"""),"")</f>
        <v/>
      </c>
      <c r="Q760" s="136" t="str">
        <f>IFERROR(__xludf.DUMMYFUNCTION("""COMPUTED_VALUE"""),"")</f>
        <v/>
      </c>
      <c r="R760" s="106" t="str">
        <f>IFERROR(__xludf.DUMMYFUNCTION("""COMPUTED_VALUE"""),"")</f>
        <v/>
      </c>
      <c r="S760" s="106" t="str">
        <f>IFERROR(__xludf.DUMMYFUNCTION("""COMPUTED_VALUE"""),"")</f>
        <v/>
      </c>
      <c r="T760" s="139" t="str">
        <f>IFERROR(__xludf.DUMMYFUNCTION("""COMPUTED_VALUE"""),"")</f>
        <v/>
      </c>
      <c r="U760" s="139" t="str">
        <f>IFERROR(__xludf.DUMMYFUNCTION("""COMPUTED_VALUE"""),"")</f>
        <v/>
      </c>
      <c r="V760" s="136" t="str">
        <f>IFERROR(__xludf.DUMMYFUNCTION("""COMPUTED_VALUE"""),"")</f>
        <v/>
      </c>
      <c r="W760" s="106" t="str">
        <f>IFERROR(__xludf.DUMMYFUNCTION("""COMPUTED_VALUE"""),"")</f>
        <v/>
      </c>
      <c r="X760" s="143" t="str">
        <f t="shared" si="2"/>
        <v/>
      </c>
      <c r="Y760" s="139" t="str">
        <f>IFERROR(__xludf.DUMMYFUNCTION("""COMPUTED_VALUE"""),"")</f>
        <v/>
      </c>
      <c r="Z760" s="141" t="str">
        <f>IFERROR(__xludf.DUMMYFUNCTION("""COMPUTED_VALUE"""),"")</f>
        <v/>
      </c>
    </row>
    <row r="761">
      <c r="C761" s="136" t="str">
        <f>IFERROR(__xludf.DUMMYFUNCTION("""COMPUTED_VALUE"""),"")</f>
        <v/>
      </c>
      <c r="D761" s="136" t="str">
        <f t="shared" si="3"/>
        <v/>
      </c>
      <c r="E761" s="152" t="str">
        <f>IFERROR(__xludf.DUMMYFUNCTION("""COMPUTED_VALUE"""),"")</f>
        <v/>
      </c>
      <c r="F761" s="106" t="s">
        <v>133</v>
      </c>
      <c r="G761" s="152" t="str">
        <f>IFERROR(__xludf.DUMMYFUNCTION("""COMPUTED_VALUE"""),"")</f>
        <v/>
      </c>
      <c r="H761" s="106" t="s">
        <v>133</v>
      </c>
      <c r="I761" s="136"/>
      <c r="J761" s="139" t="s">
        <v>133</v>
      </c>
      <c r="K761" s="136" t="s">
        <v>133</v>
      </c>
      <c r="L761" s="153" t="str">
        <f>IFERROR(__xludf.DUMMYFUNCTION("""COMPUTED_VALUE"""),"")</f>
        <v/>
      </c>
      <c r="M761" s="136" t="str">
        <f t="shared" si="1"/>
        <v/>
      </c>
      <c r="N761" s="136" t="str">
        <f>IFERROR(__xludf.DUMMYFUNCTION("""COMPUTED_VALUE"""),"")</f>
        <v/>
      </c>
      <c r="O761" s="141" t="s">
        <v>133</v>
      </c>
      <c r="P761" s="136" t="str">
        <f>IFERROR(__xludf.DUMMYFUNCTION("""COMPUTED_VALUE"""),"")</f>
        <v/>
      </c>
      <c r="Q761" s="136" t="str">
        <f>IFERROR(__xludf.DUMMYFUNCTION("""COMPUTED_VALUE"""),"")</f>
        <v/>
      </c>
      <c r="R761" s="106" t="str">
        <f>IFERROR(__xludf.DUMMYFUNCTION("""COMPUTED_VALUE"""),"")</f>
        <v/>
      </c>
      <c r="S761" s="106" t="str">
        <f>IFERROR(__xludf.DUMMYFUNCTION("""COMPUTED_VALUE"""),"")</f>
        <v/>
      </c>
      <c r="T761" s="139" t="str">
        <f>IFERROR(__xludf.DUMMYFUNCTION("""COMPUTED_VALUE"""),"")</f>
        <v/>
      </c>
      <c r="U761" s="139" t="str">
        <f>IFERROR(__xludf.DUMMYFUNCTION("""COMPUTED_VALUE"""),"")</f>
        <v/>
      </c>
      <c r="V761" s="136" t="str">
        <f>IFERROR(__xludf.DUMMYFUNCTION("""COMPUTED_VALUE"""),"")</f>
        <v/>
      </c>
      <c r="W761" s="106" t="str">
        <f>IFERROR(__xludf.DUMMYFUNCTION("""COMPUTED_VALUE"""),"")</f>
        <v/>
      </c>
      <c r="X761" s="143" t="str">
        <f t="shared" si="2"/>
        <v/>
      </c>
      <c r="Y761" s="139" t="str">
        <f>IFERROR(__xludf.DUMMYFUNCTION("""COMPUTED_VALUE"""),"")</f>
        <v/>
      </c>
      <c r="Z761" s="141" t="str">
        <f>IFERROR(__xludf.DUMMYFUNCTION("""COMPUTED_VALUE"""),"")</f>
        <v/>
      </c>
    </row>
    <row r="762">
      <c r="C762" s="136" t="str">
        <f>IFERROR(__xludf.DUMMYFUNCTION("""COMPUTED_VALUE"""),"")</f>
        <v/>
      </c>
      <c r="D762" s="136" t="str">
        <f t="shared" si="3"/>
        <v/>
      </c>
      <c r="E762" s="152" t="str">
        <f>IFERROR(__xludf.DUMMYFUNCTION("""COMPUTED_VALUE"""),"")</f>
        <v/>
      </c>
      <c r="F762" s="106" t="s">
        <v>133</v>
      </c>
      <c r="G762" s="152" t="str">
        <f>IFERROR(__xludf.DUMMYFUNCTION("""COMPUTED_VALUE"""),"")</f>
        <v/>
      </c>
      <c r="H762" s="106" t="s">
        <v>133</v>
      </c>
      <c r="I762" s="136"/>
      <c r="J762" s="139" t="s">
        <v>133</v>
      </c>
      <c r="K762" s="136" t="s">
        <v>133</v>
      </c>
      <c r="L762" s="153" t="str">
        <f>IFERROR(__xludf.DUMMYFUNCTION("""COMPUTED_VALUE"""),"")</f>
        <v/>
      </c>
      <c r="M762" s="136" t="str">
        <f t="shared" si="1"/>
        <v/>
      </c>
      <c r="N762" s="136" t="str">
        <f>IFERROR(__xludf.DUMMYFUNCTION("""COMPUTED_VALUE"""),"")</f>
        <v/>
      </c>
      <c r="O762" s="141" t="s">
        <v>133</v>
      </c>
      <c r="P762" s="136" t="str">
        <f>IFERROR(__xludf.DUMMYFUNCTION("""COMPUTED_VALUE"""),"")</f>
        <v/>
      </c>
      <c r="Q762" s="136" t="str">
        <f>IFERROR(__xludf.DUMMYFUNCTION("""COMPUTED_VALUE"""),"")</f>
        <v/>
      </c>
      <c r="R762" s="106" t="str">
        <f>IFERROR(__xludf.DUMMYFUNCTION("""COMPUTED_VALUE"""),"")</f>
        <v/>
      </c>
      <c r="S762" s="106" t="str">
        <f>IFERROR(__xludf.DUMMYFUNCTION("""COMPUTED_VALUE"""),"")</f>
        <v/>
      </c>
      <c r="T762" s="139" t="str">
        <f>IFERROR(__xludf.DUMMYFUNCTION("""COMPUTED_VALUE"""),"")</f>
        <v/>
      </c>
      <c r="U762" s="139" t="str">
        <f>IFERROR(__xludf.DUMMYFUNCTION("""COMPUTED_VALUE"""),"")</f>
        <v/>
      </c>
      <c r="V762" s="136" t="str">
        <f>IFERROR(__xludf.DUMMYFUNCTION("""COMPUTED_VALUE"""),"")</f>
        <v/>
      </c>
      <c r="W762" s="106" t="str">
        <f>IFERROR(__xludf.DUMMYFUNCTION("""COMPUTED_VALUE"""),"")</f>
        <v/>
      </c>
      <c r="X762" s="143" t="str">
        <f t="shared" si="2"/>
        <v/>
      </c>
      <c r="Y762" s="139" t="str">
        <f>IFERROR(__xludf.DUMMYFUNCTION("""COMPUTED_VALUE"""),"")</f>
        <v/>
      </c>
      <c r="Z762" s="141" t="str">
        <f>IFERROR(__xludf.DUMMYFUNCTION("""COMPUTED_VALUE"""),"")</f>
        <v/>
      </c>
    </row>
    <row r="763">
      <c r="C763" s="136" t="str">
        <f>IFERROR(__xludf.DUMMYFUNCTION("""COMPUTED_VALUE"""),"")</f>
        <v/>
      </c>
      <c r="D763" s="136" t="str">
        <f t="shared" si="3"/>
        <v/>
      </c>
      <c r="E763" s="152" t="str">
        <f>IFERROR(__xludf.DUMMYFUNCTION("""COMPUTED_VALUE"""),"")</f>
        <v/>
      </c>
      <c r="F763" s="106" t="s">
        <v>133</v>
      </c>
      <c r="G763" s="152" t="str">
        <f>IFERROR(__xludf.DUMMYFUNCTION("""COMPUTED_VALUE"""),"")</f>
        <v/>
      </c>
      <c r="H763" s="106" t="s">
        <v>133</v>
      </c>
      <c r="I763" s="136"/>
      <c r="J763" s="139" t="s">
        <v>133</v>
      </c>
      <c r="K763" s="136" t="s">
        <v>133</v>
      </c>
      <c r="L763" s="153" t="str">
        <f>IFERROR(__xludf.DUMMYFUNCTION("""COMPUTED_VALUE"""),"")</f>
        <v/>
      </c>
      <c r="M763" s="136" t="str">
        <f t="shared" si="1"/>
        <v/>
      </c>
      <c r="N763" s="136" t="str">
        <f>IFERROR(__xludf.DUMMYFUNCTION("""COMPUTED_VALUE"""),"")</f>
        <v/>
      </c>
      <c r="O763" s="141" t="s">
        <v>133</v>
      </c>
      <c r="P763" s="136" t="str">
        <f>IFERROR(__xludf.DUMMYFUNCTION("""COMPUTED_VALUE"""),"")</f>
        <v/>
      </c>
      <c r="Q763" s="136" t="str">
        <f>IFERROR(__xludf.DUMMYFUNCTION("""COMPUTED_VALUE"""),"")</f>
        <v/>
      </c>
      <c r="R763" s="106" t="str">
        <f>IFERROR(__xludf.DUMMYFUNCTION("""COMPUTED_VALUE"""),"")</f>
        <v/>
      </c>
      <c r="S763" s="106" t="str">
        <f>IFERROR(__xludf.DUMMYFUNCTION("""COMPUTED_VALUE"""),"")</f>
        <v/>
      </c>
      <c r="T763" s="139" t="str">
        <f>IFERROR(__xludf.DUMMYFUNCTION("""COMPUTED_VALUE"""),"")</f>
        <v/>
      </c>
      <c r="U763" s="139" t="str">
        <f>IFERROR(__xludf.DUMMYFUNCTION("""COMPUTED_VALUE"""),"")</f>
        <v/>
      </c>
      <c r="V763" s="136" t="str">
        <f>IFERROR(__xludf.DUMMYFUNCTION("""COMPUTED_VALUE"""),"")</f>
        <v/>
      </c>
      <c r="W763" s="106" t="str">
        <f>IFERROR(__xludf.DUMMYFUNCTION("""COMPUTED_VALUE"""),"")</f>
        <v/>
      </c>
      <c r="X763" s="143" t="str">
        <f t="shared" si="2"/>
        <v/>
      </c>
      <c r="Y763" s="139" t="str">
        <f>IFERROR(__xludf.DUMMYFUNCTION("""COMPUTED_VALUE"""),"")</f>
        <v/>
      </c>
      <c r="Z763" s="141" t="str">
        <f>IFERROR(__xludf.DUMMYFUNCTION("""COMPUTED_VALUE"""),"")</f>
        <v/>
      </c>
    </row>
    <row r="764">
      <c r="C764" s="136" t="str">
        <f>IFERROR(__xludf.DUMMYFUNCTION("""COMPUTED_VALUE"""),"")</f>
        <v/>
      </c>
      <c r="D764" s="136" t="str">
        <f t="shared" si="3"/>
        <v/>
      </c>
      <c r="E764" s="152" t="str">
        <f>IFERROR(__xludf.DUMMYFUNCTION("""COMPUTED_VALUE"""),"")</f>
        <v/>
      </c>
      <c r="F764" s="106" t="s">
        <v>133</v>
      </c>
      <c r="G764" s="152" t="str">
        <f>IFERROR(__xludf.DUMMYFUNCTION("""COMPUTED_VALUE"""),"")</f>
        <v/>
      </c>
      <c r="H764" s="106" t="s">
        <v>133</v>
      </c>
      <c r="I764" s="136"/>
      <c r="J764" s="139" t="s">
        <v>133</v>
      </c>
      <c r="K764" s="136" t="s">
        <v>133</v>
      </c>
      <c r="L764" s="153" t="str">
        <f>IFERROR(__xludf.DUMMYFUNCTION("""COMPUTED_VALUE"""),"")</f>
        <v/>
      </c>
      <c r="M764" s="136" t="str">
        <f t="shared" si="1"/>
        <v/>
      </c>
      <c r="N764" s="136" t="str">
        <f>IFERROR(__xludf.DUMMYFUNCTION("""COMPUTED_VALUE"""),"")</f>
        <v/>
      </c>
      <c r="O764" s="141" t="s">
        <v>133</v>
      </c>
      <c r="P764" s="136" t="str">
        <f>IFERROR(__xludf.DUMMYFUNCTION("""COMPUTED_VALUE"""),"")</f>
        <v/>
      </c>
      <c r="Q764" s="136" t="str">
        <f>IFERROR(__xludf.DUMMYFUNCTION("""COMPUTED_VALUE"""),"")</f>
        <v/>
      </c>
      <c r="R764" s="106" t="str">
        <f>IFERROR(__xludf.DUMMYFUNCTION("""COMPUTED_VALUE"""),"")</f>
        <v/>
      </c>
      <c r="S764" s="106" t="str">
        <f>IFERROR(__xludf.DUMMYFUNCTION("""COMPUTED_VALUE"""),"")</f>
        <v/>
      </c>
      <c r="T764" s="139" t="str">
        <f>IFERROR(__xludf.DUMMYFUNCTION("""COMPUTED_VALUE"""),"")</f>
        <v/>
      </c>
      <c r="U764" s="139" t="str">
        <f>IFERROR(__xludf.DUMMYFUNCTION("""COMPUTED_VALUE"""),"")</f>
        <v/>
      </c>
      <c r="V764" s="136" t="str">
        <f>IFERROR(__xludf.DUMMYFUNCTION("""COMPUTED_VALUE"""),"")</f>
        <v/>
      </c>
      <c r="W764" s="106" t="str">
        <f>IFERROR(__xludf.DUMMYFUNCTION("""COMPUTED_VALUE"""),"")</f>
        <v/>
      </c>
      <c r="X764" s="143" t="str">
        <f t="shared" si="2"/>
        <v/>
      </c>
      <c r="Y764" s="139" t="str">
        <f>IFERROR(__xludf.DUMMYFUNCTION("""COMPUTED_VALUE"""),"")</f>
        <v/>
      </c>
      <c r="Z764" s="141" t="str">
        <f>IFERROR(__xludf.DUMMYFUNCTION("""COMPUTED_VALUE"""),"")</f>
        <v/>
      </c>
    </row>
    <row r="765">
      <c r="C765" s="136" t="str">
        <f>IFERROR(__xludf.DUMMYFUNCTION("""COMPUTED_VALUE"""),"")</f>
        <v/>
      </c>
      <c r="D765" s="136" t="str">
        <f t="shared" si="3"/>
        <v/>
      </c>
      <c r="E765" s="152" t="str">
        <f>IFERROR(__xludf.DUMMYFUNCTION("""COMPUTED_VALUE"""),"")</f>
        <v/>
      </c>
      <c r="F765" s="106" t="s">
        <v>133</v>
      </c>
      <c r="G765" s="152" t="str">
        <f>IFERROR(__xludf.DUMMYFUNCTION("""COMPUTED_VALUE"""),"")</f>
        <v/>
      </c>
      <c r="H765" s="106" t="s">
        <v>133</v>
      </c>
      <c r="I765" s="136"/>
      <c r="J765" s="139" t="s">
        <v>133</v>
      </c>
      <c r="K765" s="136" t="s">
        <v>133</v>
      </c>
      <c r="L765" s="153" t="str">
        <f>IFERROR(__xludf.DUMMYFUNCTION("""COMPUTED_VALUE"""),"")</f>
        <v/>
      </c>
      <c r="M765" s="136" t="str">
        <f t="shared" si="1"/>
        <v/>
      </c>
      <c r="N765" s="136" t="str">
        <f>IFERROR(__xludf.DUMMYFUNCTION("""COMPUTED_VALUE"""),"")</f>
        <v/>
      </c>
      <c r="O765" s="141" t="s">
        <v>133</v>
      </c>
      <c r="P765" s="136" t="str">
        <f>IFERROR(__xludf.DUMMYFUNCTION("""COMPUTED_VALUE"""),"")</f>
        <v/>
      </c>
      <c r="Q765" s="136" t="str">
        <f>IFERROR(__xludf.DUMMYFUNCTION("""COMPUTED_VALUE"""),"")</f>
        <v/>
      </c>
      <c r="R765" s="106" t="str">
        <f>IFERROR(__xludf.DUMMYFUNCTION("""COMPUTED_VALUE"""),"")</f>
        <v/>
      </c>
      <c r="S765" s="106" t="str">
        <f>IFERROR(__xludf.DUMMYFUNCTION("""COMPUTED_VALUE"""),"")</f>
        <v/>
      </c>
      <c r="T765" s="139" t="str">
        <f>IFERROR(__xludf.DUMMYFUNCTION("""COMPUTED_VALUE"""),"")</f>
        <v/>
      </c>
      <c r="U765" s="139" t="str">
        <f>IFERROR(__xludf.DUMMYFUNCTION("""COMPUTED_VALUE"""),"")</f>
        <v/>
      </c>
      <c r="V765" s="136" t="str">
        <f>IFERROR(__xludf.DUMMYFUNCTION("""COMPUTED_VALUE"""),"")</f>
        <v/>
      </c>
      <c r="W765" s="106" t="str">
        <f>IFERROR(__xludf.DUMMYFUNCTION("""COMPUTED_VALUE"""),"")</f>
        <v/>
      </c>
      <c r="X765" s="143" t="str">
        <f t="shared" si="2"/>
        <v/>
      </c>
      <c r="Y765" s="139" t="str">
        <f>IFERROR(__xludf.DUMMYFUNCTION("""COMPUTED_VALUE"""),"")</f>
        <v/>
      </c>
      <c r="Z765" s="141" t="str">
        <f>IFERROR(__xludf.DUMMYFUNCTION("""COMPUTED_VALUE"""),"")</f>
        <v/>
      </c>
    </row>
    <row r="766">
      <c r="C766" s="136" t="str">
        <f>IFERROR(__xludf.DUMMYFUNCTION("""COMPUTED_VALUE"""),"")</f>
        <v/>
      </c>
      <c r="D766" s="136" t="str">
        <f t="shared" si="3"/>
        <v/>
      </c>
      <c r="E766" s="152" t="str">
        <f>IFERROR(__xludf.DUMMYFUNCTION("""COMPUTED_VALUE"""),"")</f>
        <v/>
      </c>
      <c r="F766" s="106" t="s">
        <v>133</v>
      </c>
      <c r="G766" s="152" t="str">
        <f>IFERROR(__xludf.DUMMYFUNCTION("""COMPUTED_VALUE"""),"")</f>
        <v/>
      </c>
      <c r="H766" s="106" t="s">
        <v>133</v>
      </c>
      <c r="I766" s="136"/>
      <c r="J766" s="139" t="s">
        <v>133</v>
      </c>
      <c r="K766" s="136" t="s">
        <v>133</v>
      </c>
      <c r="L766" s="153" t="str">
        <f>IFERROR(__xludf.DUMMYFUNCTION("""COMPUTED_VALUE"""),"")</f>
        <v/>
      </c>
      <c r="M766" s="136" t="str">
        <f t="shared" si="1"/>
        <v/>
      </c>
      <c r="N766" s="136" t="str">
        <f>IFERROR(__xludf.DUMMYFUNCTION("""COMPUTED_VALUE"""),"")</f>
        <v/>
      </c>
      <c r="O766" s="141" t="s">
        <v>133</v>
      </c>
      <c r="P766" s="136" t="str">
        <f>IFERROR(__xludf.DUMMYFUNCTION("""COMPUTED_VALUE"""),"")</f>
        <v/>
      </c>
      <c r="Q766" s="136" t="str">
        <f>IFERROR(__xludf.DUMMYFUNCTION("""COMPUTED_VALUE"""),"")</f>
        <v/>
      </c>
      <c r="R766" s="106" t="str">
        <f>IFERROR(__xludf.DUMMYFUNCTION("""COMPUTED_VALUE"""),"")</f>
        <v/>
      </c>
      <c r="S766" s="106" t="str">
        <f>IFERROR(__xludf.DUMMYFUNCTION("""COMPUTED_VALUE"""),"")</f>
        <v/>
      </c>
      <c r="T766" s="139" t="str">
        <f>IFERROR(__xludf.DUMMYFUNCTION("""COMPUTED_VALUE"""),"")</f>
        <v/>
      </c>
      <c r="U766" s="139" t="str">
        <f>IFERROR(__xludf.DUMMYFUNCTION("""COMPUTED_VALUE"""),"")</f>
        <v/>
      </c>
      <c r="V766" s="136" t="str">
        <f>IFERROR(__xludf.DUMMYFUNCTION("""COMPUTED_VALUE"""),"")</f>
        <v/>
      </c>
      <c r="W766" s="106" t="str">
        <f>IFERROR(__xludf.DUMMYFUNCTION("""COMPUTED_VALUE"""),"")</f>
        <v/>
      </c>
      <c r="X766" s="143" t="str">
        <f t="shared" si="2"/>
        <v/>
      </c>
      <c r="Y766" s="139" t="str">
        <f>IFERROR(__xludf.DUMMYFUNCTION("""COMPUTED_VALUE"""),"")</f>
        <v/>
      </c>
      <c r="Z766" s="141" t="str">
        <f>IFERROR(__xludf.DUMMYFUNCTION("""COMPUTED_VALUE"""),"")</f>
        <v/>
      </c>
    </row>
    <row r="767">
      <c r="C767" s="136" t="str">
        <f>IFERROR(__xludf.DUMMYFUNCTION("""COMPUTED_VALUE"""),"")</f>
        <v/>
      </c>
      <c r="D767" s="136" t="str">
        <f t="shared" si="3"/>
        <v/>
      </c>
      <c r="E767" s="152" t="str">
        <f>IFERROR(__xludf.DUMMYFUNCTION("""COMPUTED_VALUE"""),"")</f>
        <v/>
      </c>
      <c r="F767" s="106" t="s">
        <v>133</v>
      </c>
      <c r="G767" s="152" t="str">
        <f>IFERROR(__xludf.DUMMYFUNCTION("""COMPUTED_VALUE"""),"")</f>
        <v/>
      </c>
      <c r="H767" s="106" t="s">
        <v>133</v>
      </c>
      <c r="I767" s="136"/>
      <c r="J767" s="139" t="s">
        <v>133</v>
      </c>
      <c r="K767" s="136" t="s">
        <v>133</v>
      </c>
      <c r="L767" s="153" t="str">
        <f>IFERROR(__xludf.DUMMYFUNCTION("""COMPUTED_VALUE"""),"")</f>
        <v/>
      </c>
      <c r="M767" s="136" t="str">
        <f t="shared" si="1"/>
        <v/>
      </c>
      <c r="N767" s="136" t="str">
        <f>IFERROR(__xludf.DUMMYFUNCTION("""COMPUTED_VALUE"""),"")</f>
        <v/>
      </c>
      <c r="O767" s="141" t="s">
        <v>133</v>
      </c>
      <c r="P767" s="136" t="str">
        <f>IFERROR(__xludf.DUMMYFUNCTION("""COMPUTED_VALUE"""),"")</f>
        <v/>
      </c>
      <c r="Q767" s="136" t="str">
        <f>IFERROR(__xludf.DUMMYFUNCTION("""COMPUTED_VALUE"""),"")</f>
        <v/>
      </c>
      <c r="R767" s="106" t="str">
        <f>IFERROR(__xludf.DUMMYFUNCTION("""COMPUTED_VALUE"""),"")</f>
        <v/>
      </c>
      <c r="S767" s="106" t="str">
        <f>IFERROR(__xludf.DUMMYFUNCTION("""COMPUTED_VALUE"""),"")</f>
        <v/>
      </c>
      <c r="T767" s="139" t="str">
        <f>IFERROR(__xludf.DUMMYFUNCTION("""COMPUTED_VALUE"""),"")</f>
        <v/>
      </c>
      <c r="U767" s="139" t="str">
        <f>IFERROR(__xludf.DUMMYFUNCTION("""COMPUTED_VALUE"""),"")</f>
        <v/>
      </c>
      <c r="V767" s="136" t="str">
        <f>IFERROR(__xludf.DUMMYFUNCTION("""COMPUTED_VALUE"""),"")</f>
        <v/>
      </c>
      <c r="W767" s="106" t="str">
        <f>IFERROR(__xludf.DUMMYFUNCTION("""COMPUTED_VALUE"""),"")</f>
        <v/>
      </c>
      <c r="X767" s="143" t="str">
        <f t="shared" si="2"/>
        <v/>
      </c>
      <c r="Y767" s="139" t="str">
        <f>IFERROR(__xludf.DUMMYFUNCTION("""COMPUTED_VALUE"""),"")</f>
        <v/>
      </c>
      <c r="Z767" s="141" t="str">
        <f>IFERROR(__xludf.DUMMYFUNCTION("""COMPUTED_VALUE"""),"")</f>
        <v/>
      </c>
    </row>
    <row r="768">
      <c r="C768" s="136" t="str">
        <f>IFERROR(__xludf.DUMMYFUNCTION("""COMPUTED_VALUE"""),"")</f>
        <v/>
      </c>
      <c r="D768" s="136" t="str">
        <f t="shared" si="3"/>
        <v/>
      </c>
      <c r="E768" s="152" t="str">
        <f>IFERROR(__xludf.DUMMYFUNCTION("""COMPUTED_VALUE"""),"")</f>
        <v/>
      </c>
      <c r="F768" s="106" t="s">
        <v>133</v>
      </c>
      <c r="G768" s="152" t="str">
        <f>IFERROR(__xludf.DUMMYFUNCTION("""COMPUTED_VALUE"""),"")</f>
        <v/>
      </c>
      <c r="H768" s="106" t="s">
        <v>133</v>
      </c>
      <c r="I768" s="136"/>
      <c r="J768" s="139" t="s">
        <v>133</v>
      </c>
      <c r="K768" s="136" t="s">
        <v>133</v>
      </c>
      <c r="L768" s="153" t="str">
        <f>IFERROR(__xludf.DUMMYFUNCTION("""COMPUTED_VALUE"""),"")</f>
        <v/>
      </c>
      <c r="M768" s="136" t="str">
        <f t="shared" si="1"/>
        <v/>
      </c>
      <c r="N768" s="136" t="str">
        <f>IFERROR(__xludf.DUMMYFUNCTION("""COMPUTED_VALUE"""),"")</f>
        <v/>
      </c>
      <c r="O768" s="141" t="s">
        <v>133</v>
      </c>
      <c r="P768" s="136" t="str">
        <f>IFERROR(__xludf.DUMMYFUNCTION("""COMPUTED_VALUE"""),"")</f>
        <v/>
      </c>
      <c r="Q768" s="136" t="str">
        <f>IFERROR(__xludf.DUMMYFUNCTION("""COMPUTED_VALUE"""),"")</f>
        <v/>
      </c>
      <c r="R768" s="106" t="str">
        <f>IFERROR(__xludf.DUMMYFUNCTION("""COMPUTED_VALUE"""),"")</f>
        <v/>
      </c>
      <c r="S768" s="106" t="str">
        <f>IFERROR(__xludf.DUMMYFUNCTION("""COMPUTED_VALUE"""),"")</f>
        <v/>
      </c>
      <c r="T768" s="139" t="str">
        <f>IFERROR(__xludf.DUMMYFUNCTION("""COMPUTED_VALUE"""),"")</f>
        <v/>
      </c>
      <c r="U768" s="139" t="str">
        <f>IFERROR(__xludf.DUMMYFUNCTION("""COMPUTED_VALUE"""),"")</f>
        <v/>
      </c>
      <c r="V768" s="136" t="str">
        <f>IFERROR(__xludf.DUMMYFUNCTION("""COMPUTED_VALUE"""),"")</f>
        <v/>
      </c>
      <c r="W768" s="106" t="str">
        <f>IFERROR(__xludf.DUMMYFUNCTION("""COMPUTED_VALUE"""),"")</f>
        <v/>
      </c>
      <c r="X768" s="143" t="str">
        <f t="shared" si="2"/>
        <v/>
      </c>
      <c r="Y768" s="139" t="str">
        <f>IFERROR(__xludf.DUMMYFUNCTION("""COMPUTED_VALUE"""),"")</f>
        <v/>
      </c>
      <c r="Z768" s="141" t="str">
        <f>IFERROR(__xludf.DUMMYFUNCTION("""COMPUTED_VALUE"""),"")</f>
        <v/>
      </c>
    </row>
    <row r="769">
      <c r="C769" s="136" t="str">
        <f>IFERROR(__xludf.DUMMYFUNCTION("""COMPUTED_VALUE"""),"")</f>
        <v/>
      </c>
      <c r="D769" s="136" t="str">
        <f t="shared" si="3"/>
        <v/>
      </c>
      <c r="E769" s="152" t="str">
        <f>IFERROR(__xludf.DUMMYFUNCTION("""COMPUTED_VALUE"""),"")</f>
        <v/>
      </c>
      <c r="F769" s="106" t="s">
        <v>133</v>
      </c>
      <c r="G769" s="152" t="str">
        <f>IFERROR(__xludf.DUMMYFUNCTION("""COMPUTED_VALUE"""),"")</f>
        <v/>
      </c>
      <c r="H769" s="106" t="s">
        <v>133</v>
      </c>
      <c r="I769" s="136"/>
      <c r="J769" s="139" t="s">
        <v>133</v>
      </c>
      <c r="K769" s="136" t="s">
        <v>133</v>
      </c>
      <c r="L769" s="153" t="str">
        <f>IFERROR(__xludf.DUMMYFUNCTION("""COMPUTED_VALUE"""),"")</f>
        <v/>
      </c>
      <c r="M769" s="136" t="str">
        <f t="shared" si="1"/>
        <v/>
      </c>
      <c r="N769" s="136" t="str">
        <f>IFERROR(__xludf.DUMMYFUNCTION("""COMPUTED_VALUE"""),"")</f>
        <v/>
      </c>
      <c r="O769" s="141" t="s">
        <v>133</v>
      </c>
      <c r="P769" s="136" t="str">
        <f>IFERROR(__xludf.DUMMYFUNCTION("""COMPUTED_VALUE"""),"")</f>
        <v/>
      </c>
      <c r="Q769" s="136" t="str">
        <f>IFERROR(__xludf.DUMMYFUNCTION("""COMPUTED_VALUE"""),"")</f>
        <v/>
      </c>
      <c r="R769" s="106" t="str">
        <f>IFERROR(__xludf.DUMMYFUNCTION("""COMPUTED_VALUE"""),"")</f>
        <v/>
      </c>
      <c r="S769" s="106" t="str">
        <f>IFERROR(__xludf.DUMMYFUNCTION("""COMPUTED_VALUE"""),"")</f>
        <v/>
      </c>
      <c r="T769" s="139" t="str">
        <f>IFERROR(__xludf.DUMMYFUNCTION("""COMPUTED_VALUE"""),"")</f>
        <v/>
      </c>
      <c r="U769" s="139" t="str">
        <f>IFERROR(__xludf.DUMMYFUNCTION("""COMPUTED_VALUE"""),"")</f>
        <v/>
      </c>
      <c r="V769" s="136" t="str">
        <f>IFERROR(__xludf.DUMMYFUNCTION("""COMPUTED_VALUE"""),"")</f>
        <v/>
      </c>
      <c r="W769" s="106" t="str">
        <f>IFERROR(__xludf.DUMMYFUNCTION("""COMPUTED_VALUE"""),"")</f>
        <v/>
      </c>
      <c r="X769" s="143" t="str">
        <f t="shared" si="2"/>
        <v/>
      </c>
      <c r="Y769" s="139" t="str">
        <f>IFERROR(__xludf.DUMMYFUNCTION("""COMPUTED_VALUE"""),"")</f>
        <v/>
      </c>
      <c r="Z769" s="141" t="str">
        <f>IFERROR(__xludf.DUMMYFUNCTION("""COMPUTED_VALUE"""),"")</f>
        <v/>
      </c>
    </row>
    <row r="770">
      <c r="C770" s="136" t="str">
        <f>IFERROR(__xludf.DUMMYFUNCTION("""COMPUTED_VALUE"""),"")</f>
        <v/>
      </c>
      <c r="D770" s="136" t="str">
        <f t="shared" si="3"/>
        <v/>
      </c>
      <c r="E770" s="152" t="str">
        <f>IFERROR(__xludf.DUMMYFUNCTION("""COMPUTED_VALUE"""),"")</f>
        <v/>
      </c>
      <c r="F770" s="106" t="s">
        <v>133</v>
      </c>
      <c r="G770" s="152" t="str">
        <f>IFERROR(__xludf.DUMMYFUNCTION("""COMPUTED_VALUE"""),"")</f>
        <v/>
      </c>
      <c r="H770" s="106" t="s">
        <v>133</v>
      </c>
      <c r="I770" s="136"/>
      <c r="J770" s="139" t="s">
        <v>133</v>
      </c>
      <c r="K770" s="136" t="s">
        <v>133</v>
      </c>
      <c r="L770" s="153" t="str">
        <f>IFERROR(__xludf.DUMMYFUNCTION("""COMPUTED_VALUE"""),"")</f>
        <v/>
      </c>
      <c r="M770" s="136" t="str">
        <f t="shared" si="1"/>
        <v/>
      </c>
      <c r="N770" s="136" t="str">
        <f>IFERROR(__xludf.DUMMYFUNCTION("""COMPUTED_VALUE"""),"")</f>
        <v/>
      </c>
      <c r="O770" s="141" t="s">
        <v>133</v>
      </c>
      <c r="P770" s="136" t="str">
        <f>IFERROR(__xludf.DUMMYFUNCTION("""COMPUTED_VALUE"""),"")</f>
        <v/>
      </c>
      <c r="Q770" s="136" t="str">
        <f>IFERROR(__xludf.DUMMYFUNCTION("""COMPUTED_VALUE"""),"")</f>
        <v/>
      </c>
      <c r="R770" s="106" t="str">
        <f>IFERROR(__xludf.DUMMYFUNCTION("""COMPUTED_VALUE"""),"")</f>
        <v/>
      </c>
      <c r="S770" s="106" t="str">
        <f>IFERROR(__xludf.DUMMYFUNCTION("""COMPUTED_VALUE"""),"")</f>
        <v/>
      </c>
      <c r="T770" s="139" t="str">
        <f>IFERROR(__xludf.DUMMYFUNCTION("""COMPUTED_VALUE"""),"")</f>
        <v/>
      </c>
      <c r="U770" s="139" t="str">
        <f>IFERROR(__xludf.DUMMYFUNCTION("""COMPUTED_VALUE"""),"")</f>
        <v/>
      </c>
      <c r="V770" s="136" t="str">
        <f>IFERROR(__xludf.DUMMYFUNCTION("""COMPUTED_VALUE"""),"")</f>
        <v/>
      </c>
      <c r="W770" s="106" t="str">
        <f>IFERROR(__xludf.DUMMYFUNCTION("""COMPUTED_VALUE"""),"")</f>
        <v/>
      </c>
      <c r="X770" s="143" t="str">
        <f t="shared" si="2"/>
        <v/>
      </c>
      <c r="Y770" s="139" t="str">
        <f>IFERROR(__xludf.DUMMYFUNCTION("""COMPUTED_VALUE"""),"")</f>
        <v/>
      </c>
      <c r="Z770" s="141" t="str">
        <f>IFERROR(__xludf.DUMMYFUNCTION("""COMPUTED_VALUE"""),"")</f>
        <v/>
      </c>
    </row>
    <row r="771">
      <c r="C771" s="136" t="str">
        <f>IFERROR(__xludf.DUMMYFUNCTION("""COMPUTED_VALUE"""),"")</f>
        <v/>
      </c>
      <c r="D771" s="136" t="str">
        <f t="shared" si="3"/>
        <v/>
      </c>
      <c r="E771" s="152" t="str">
        <f>IFERROR(__xludf.DUMMYFUNCTION("""COMPUTED_VALUE"""),"")</f>
        <v/>
      </c>
      <c r="F771" s="106" t="s">
        <v>133</v>
      </c>
      <c r="G771" s="152" t="str">
        <f>IFERROR(__xludf.DUMMYFUNCTION("""COMPUTED_VALUE"""),"")</f>
        <v/>
      </c>
      <c r="H771" s="106" t="s">
        <v>133</v>
      </c>
      <c r="I771" s="136"/>
      <c r="J771" s="139" t="s">
        <v>133</v>
      </c>
      <c r="K771" s="136" t="s">
        <v>133</v>
      </c>
      <c r="L771" s="153" t="str">
        <f>IFERROR(__xludf.DUMMYFUNCTION("""COMPUTED_VALUE"""),"")</f>
        <v/>
      </c>
      <c r="M771" s="136" t="str">
        <f t="shared" si="1"/>
        <v/>
      </c>
      <c r="N771" s="136" t="str">
        <f>IFERROR(__xludf.DUMMYFUNCTION("""COMPUTED_VALUE"""),"")</f>
        <v/>
      </c>
      <c r="O771" s="141" t="s">
        <v>133</v>
      </c>
      <c r="P771" s="136" t="str">
        <f>IFERROR(__xludf.DUMMYFUNCTION("""COMPUTED_VALUE"""),"")</f>
        <v/>
      </c>
      <c r="Q771" s="136" t="str">
        <f>IFERROR(__xludf.DUMMYFUNCTION("""COMPUTED_VALUE"""),"")</f>
        <v/>
      </c>
      <c r="R771" s="106" t="str">
        <f>IFERROR(__xludf.DUMMYFUNCTION("""COMPUTED_VALUE"""),"")</f>
        <v/>
      </c>
      <c r="S771" s="106" t="str">
        <f>IFERROR(__xludf.DUMMYFUNCTION("""COMPUTED_VALUE"""),"")</f>
        <v/>
      </c>
      <c r="T771" s="139" t="str">
        <f>IFERROR(__xludf.DUMMYFUNCTION("""COMPUTED_VALUE"""),"")</f>
        <v/>
      </c>
      <c r="U771" s="139" t="str">
        <f>IFERROR(__xludf.DUMMYFUNCTION("""COMPUTED_VALUE"""),"")</f>
        <v/>
      </c>
      <c r="V771" s="136" t="str">
        <f>IFERROR(__xludf.DUMMYFUNCTION("""COMPUTED_VALUE"""),"")</f>
        <v/>
      </c>
      <c r="W771" s="106" t="str">
        <f>IFERROR(__xludf.DUMMYFUNCTION("""COMPUTED_VALUE"""),"")</f>
        <v/>
      </c>
      <c r="X771" s="143" t="str">
        <f t="shared" si="2"/>
        <v/>
      </c>
      <c r="Y771" s="139" t="str">
        <f>IFERROR(__xludf.DUMMYFUNCTION("""COMPUTED_VALUE"""),"")</f>
        <v/>
      </c>
      <c r="Z771" s="141" t="str">
        <f>IFERROR(__xludf.DUMMYFUNCTION("""COMPUTED_VALUE"""),"")</f>
        <v/>
      </c>
    </row>
    <row r="772">
      <c r="C772" s="136" t="str">
        <f>IFERROR(__xludf.DUMMYFUNCTION("""COMPUTED_VALUE"""),"")</f>
        <v/>
      </c>
      <c r="D772" s="136" t="str">
        <f t="shared" si="3"/>
        <v/>
      </c>
      <c r="E772" s="152" t="str">
        <f>IFERROR(__xludf.DUMMYFUNCTION("""COMPUTED_VALUE"""),"")</f>
        <v/>
      </c>
      <c r="F772" s="106" t="s">
        <v>133</v>
      </c>
      <c r="G772" s="152" t="str">
        <f>IFERROR(__xludf.DUMMYFUNCTION("""COMPUTED_VALUE"""),"")</f>
        <v/>
      </c>
      <c r="H772" s="106" t="s">
        <v>133</v>
      </c>
      <c r="I772" s="136"/>
      <c r="J772" s="139" t="s">
        <v>133</v>
      </c>
      <c r="K772" s="136" t="s">
        <v>133</v>
      </c>
      <c r="L772" s="153" t="str">
        <f>IFERROR(__xludf.DUMMYFUNCTION("""COMPUTED_VALUE"""),"")</f>
        <v/>
      </c>
      <c r="M772" s="136" t="str">
        <f t="shared" si="1"/>
        <v/>
      </c>
      <c r="N772" s="136" t="str">
        <f>IFERROR(__xludf.DUMMYFUNCTION("""COMPUTED_VALUE"""),"")</f>
        <v/>
      </c>
      <c r="O772" s="141" t="s">
        <v>133</v>
      </c>
      <c r="P772" s="136" t="str">
        <f>IFERROR(__xludf.DUMMYFUNCTION("""COMPUTED_VALUE"""),"")</f>
        <v/>
      </c>
      <c r="Q772" s="136" t="str">
        <f>IFERROR(__xludf.DUMMYFUNCTION("""COMPUTED_VALUE"""),"")</f>
        <v/>
      </c>
      <c r="R772" s="106" t="str">
        <f>IFERROR(__xludf.DUMMYFUNCTION("""COMPUTED_VALUE"""),"")</f>
        <v/>
      </c>
      <c r="S772" s="106" t="str">
        <f>IFERROR(__xludf.DUMMYFUNCTION("""COMPUTED_VALUE"""),"")</f>
        <v/>
      </c>
      <c r="T772" s="139" t="str">
        <f>IFERROR(__xludf.DUMMYFUNCTION("""COMPUTED_VALUE"""),"")</f>
        <v/>
      </c>
      <c r="U772" s="139" t="str">
        <f>IFERROR(__xludf.DUMMYFUNCTION("""COMPUTED_VALUE"""),"")</f>
        <v/>
      </c>
      <c r="V772" s="136" t="str">
        <f>IFERROR(__xludf.DUMMYFUNCTION("""COMPUTED_VALUE"""),"")</f>
        <v/>
      </c>
      <c r="W772" s="106" t="str">
        <f>IFERROR(__xludf.DUMMYFUNCTION("""COMPUTED_VALUE"""),"")</f>
        <v/>
      </c>
      <c r="X772" s="143" t="str">
        <f t="shared" si="2"/>
        <v/>
      </c>
      <c r="Y772" s="139" t="str">
        <f>IFERROR(__xludf.DUMMYFUNCTION("""COMPUTED_VALUE"""),"")</f>
        <v/>
      </c>
      <c r="Z772" s="141" t="str">
        <f>IFERROR(__xludf.DUMMYFUNCTION("""COMPUTED_VALUE"""),"")</f>
        <v/>
      </c>
    </row>
    <row r="773">
      <c r="C773" s="136" t="str">
        <f>IFERROR(__xludf.DUMMYFUNCTION("""COMPUTED_VALUE"""),"")</f>
        <v/>
      </c>
      <c r="D773" s="136" t="str">
        <f t="shared" si="3"/>
        <v/>
      </c>
      <c r="E773" s="152" t="str">
        <f>IFERROR(__xludf.DUMMYFUNCTION("""COMPUTED_VALUE"""),"")</f>
        <v/>
      </c>
      <c r="F773" s="106" t="s">
        <v>133</v>
      </c>
      <c r="G773" s="152" t="str">
        <f>IFERROR(__xludf.DUMMYFUNCTION("""COMPUTED_VALUE"""),"")</f>
        <v/>
      </c>
      <c r="H773" s="106" t="s">
        <v>133</v>
      </c>
      <c r="I773" s="136"/>
      <c r="J773" s="139" t="s">
        <v>133</v>
      </c>
      <c r="K773" s="136" t="s">
        <v>133</v>
      </c>
      <c r="L773" s="153" t="str">
        <f>IFERROR(__xludf.DUMMYFUNCTION("""COMPUTED_VALUE"""),"")</f>
        <v/>
      </c>
      <c r="M773" s="136" t="str">
        <f t="shared" si="1"/>
        <v/>
      </c>
      <c r="N773" s="136" t="str">
        <f>IFERROR(__xludf.DUMMYFUNCTION("""COMPUTED_VALUE"""),"")</f>
        <v/>
      </c>
      <c r="O773" s="141" t="s">
        <v>133</v>
      </c>
      <c r="P773" s="136" t="str">
        <f>IFERROR(__xludf.DUMMYFUNCTION("""COMPUTED_VALUE"""),"")</f>
        <v/>
      </c>
      <c r="Q773" s="136" t="str">
        <f>IFERROR(__xludf.DUMMYFUNCTION("""COMPUTED_VALUE"""),"")</f>
        <v/>
      </c>
      <c r="R773" s="106" t="str">
        <f>IFERROR(__xludf.DUMMYFUNCTION("""COMPUTED_VALUE"""),"")</f>
        <v/>
      </c>
      <c r="S773" s="106" t="str">
        <f>IFERROR(__xludf.DUMMYFUNCTION("""COMPUTED_VALUE"""),"")</f>
        <v/>
      </c>
      <c r="T773" s="139" t="str">
        <f>IFERROR(__xludf.DUMMYFUNCTION("""COMPUTED_VALUE"""),"")</f>
        <v/>
      </c>
      <c r="U773" s="139" t="str">
        <f>IFERROR(__xludf.DUMMYFUNCTION("""COMPUTED_VALUE"""),"")</f>
        <v/>
      </c>
      <c r="V773" s="136" t="str">
        <f>IFERROR(__xludf.DUMMYFUNCTION("""COMPUTED_VALUE"""),"")</f>
        <v/>
      </c>
      <c r="W773" s="106" t="str">
        <f>IFERROR(__xludf.DUMMYFUNCTION("""COMPUTED_VALUE"""),"")</f>
        <v/>
      </c>
      <c r="X773" s="143" t="str">
        <f t="shared" si="2"/>
        <v/>
      </c>
      <c r="Y773" s="139" t="str">
        <f>IFERROR(__xludf.DUMMYFUNCTION("""COMPUTED_VALUE"""),"")</f>
        <v/>
      </c>
      <c r="Z773" s="141" t="str">
        <f>IFERROR(__xludf.DUMMYFUNCTION("""COMPUTED_VALUE"""),"")</f>
        <v/>
      </c>
    </row>
    <row r="774">
      <c r="C774" s="136" t="str">
        <f>IFERROR(__xludf.DUMMYFUNCTION("""COMPUTED_VALUE"""),"")</f>
        <v/>
      </c>
      <c r="D774" s="136" t="str">
        <f t="shared" si="3"/>
        <v/>
      </c>
      <c r="E774" s="152" t="str">
        <f>IFERROR(__xludf.DUMMYFUNCTION("""COMPUTED_VALUE"""),"")</f>
        <v/>
      </c>
      <c r="F774" s="106" t="s">
        <v>133</v>
      </c>
      <c r="G774" s="152" t="str">
        <f>IFERROR(__xludf.DUMMYFUNCTION("""COMPUTED_VALUE"""),"")</f>
        <v/>
      </c>
      <c r="H774" s="106" t="s">
        <v>133</v>
      </c>
      <c r="I774" s="136"/>
      <c r="J774" s="139" t="s">
        <v>133</v>
      </c>
      <c r="K774" s="136" t="s">
        <v>133</v>
      </c>
      <c r="L774" s="153" t="str">
        <f>IFERROR(__xludf.DUMMYFUNCTION("""COMPUTED_VALUE"""),"")</f>
        <v/>
      </c>
      <c r="M774" s="136" t="str">
        <f t="shared" si="1"/>
        <v/>
      </c>
      <c r="N774" s="136" t="str">
        <f>IFERROR(__xludf.DUMMYFUNCTION("""COMPUTED_VALUE"""),"")</f>
        <v/>
      </c>
      <c r="O774" s="141" t="s">
        <v>133</v>
      </c>
      <c r="P774" s="136" t="str">
        <f>IFERROR(__xludf.DUMMYFUNCTION("""COMPUTED_VALUE"""),"")</f>
        <v/>
      </c>
      <c r="Q774" s="136" t="str">
        <f>IFERROR(__xludf.DUMMYFUNCTION("""COMPUTED_VALUE"""),"")</f>
        <v/>
      </c>
      <c r="R774" s="106" t="str">
        <f>IFERROR(__xludf.DUMMYFUNCTION("""COMPUTED_VALUE"""),"")</f>
        <v/>
      </c>
      <c r="S774" s="106" t="str">
        <f>IFERROR(__xludf.DUMMYFUNCTION("""COMPUTED_VALUE"""),"")</f>
        <v/>
      </c>
      <c r="T774" s="139" t="str">
        <f>IFERROR(__xludf.DUMMYFUNCTION("""COMPUTED_VALUE"""),"")</f>
        <v/>
      </c>
      <c r="U774" s="139" t="str">
        <f>IFERROR(__xludf.DUMMYFUNCTION("""COMPUTED_VALUE"""),"")</f>
        <v/>
      </c>
      <c r="V774" s="136" t="str">
        <f>IFERROR(__xludf.DUMMYFUNCTION("""COMPUTED_VALUE"""),"")</f>
        <v/>
      </c>
      <c r="W774" s="106" t="str">
        <f>IFERROR(__xludf.DUMMYFUNCTION("""COMPUTED_VALUE"""),"")</f>
        <v/>
      </c>
      <c r="X774" s="143" t="str">
        <f t="shared" si="2"/>
        <v/>
      </c>
      <c r="Y774" s="139" t="str">
        <f>IFERROR(__xludf.DUMMYFUNCTION("""COMPUTED_VALUE"""),"")</f>
        <v/>
      </c>
      <c r="Z774" s="141" t="str">
        <f>IFERROR(__xludf.DUMMYFUNCTION("""COMPUTED_VALUE"""),"")</f>
        <v/>
      </c>
    </row>
    <row r="775">
      <c r="C775" s="136" t="str">
        <f>IFERROR(__xludf.DUMMYFUNCTION("""COMPUTED_VALUE"""),"")</f>
        <v/>
      </c>
      <c r="D775" s="136" t="str">
        <f t="shared" si="3"/>
        <v/>
      </c>
      <c r="E775" s="152" t="str">
        <f>IFERROR(__xludf.DUMMYFUNCTION("""COMPUTED_VALUE"""),"")</f>
        <v/>
      </c>
      <c r="F775" s="106" t="s">
        <v>133</v>
      </c>
      <c r="G775" s="152" t="str">
        <f>IFERROR(__xludf.DUMMYFUNCTION("""COMPUTED_VALUE"""),"")</f>
        <v/>
      </c>
      <c r="H775" s="106" t="s">
        <v>133</v>
      </c>
      <c r="I775" s="136"/>
      <c r="J775" s="139" t="s">
        <v>133</v>
      </c>
      <c r="K775" s="136" t="s">
        <v>133</v>
      </c>
      <c r="L775" s="153" t="str">
        <f>IFERROR(__xludf.DUMMYFUNCTION("""COMPUTED_VALUE"""),"")</f>
        <v/>
      </c>
      <c r="M775" s="136" t="str">
        <f t="shared" si="1"/>
        <v/>
      </c>
      <c r="N775" s="136" t="str">
        <f>IFERROR(__xludf.DUMMYFUNCTION("""COMPUTED_VALUE"""),"")</f>
        <v/>
      </c>
      <c r="O775" s="141" t="s">
        <v>133</v>
      </c>
      <c r="P775" s="136" t="str">
        <f>IFERROR(__xludf.DUMMYFUNCTION("""COMPUTED_VALUE"""),"")</f>
        <v/>
      </c>
      <c r="Q775" s="136" t="str">
        <f>IFERROR(__xludf.DUMMYFUNCTION("""COMPUTED_VALUE"""),"")</f>
        <v/>
      </c>
      <c r="R775" s="106" t="str">
        <f>IFERROR(__xludf.DUMMYFUNCTION("""COMPUTED_VALUE"""),"")</f>
        <v/>
      </c>
      <c r="S775" s="106" t="str">
        <f>IFERROR(__xludf.DUMMYFUNCTION("""COMPUTED_VALUE"""),"")</f>
        <v/>
      </c>
      <c r="T775" s="139" t="str">
        <f>IFERROR(__xludf.DUMMYFUNCTION("""COMPUTED_VALUE"""),"")</f>
        <v/>
      </c>
      <c r="U775" s="139" t="str">
        <f>IFERROR(__xludf.DUMMYFUNCTION("""COMPUTED_VALUE"""),"")</f>
        <v/>
      </c>
      <c r="V775" s="136" t="str">
        <f>IFERROR(__xludf.DUMMYFUNCTION("""COMPUTED_VALUE"""),"")</f>
        <v/>
      </c>
      <c r="W775" s="106" t="str">
        <f>IFERROR(__xludf.DUMMYFUNCTION("""COMPUTED_VALUE"""),"")</f>
        <v/>
      </c>
      <c r="X775" s="143" t="str">
        <f t="shared" si="2"/>
        <v/>
      </c>
      <c r="Y775" s="139" t="str">
        <f>IFERROR(__xludf.DUMMYFUNCTION("""COMPUTED_VALUE"""),"")</f>
        <v/>
      </c>
      <c r="Z775" s="141" t="str">
        <f>IFERROR(__xludf.DUMMYFUNCTION("""COMPUTED_VALUE"""),"")</f>
        <v/>
      </c>
    </row>
    <row r="776">
      <c r="C776" s="136" t="str">
        <f>IFERROR(__xludf.DUMMYFUNCTION("""COMPUTED_VALUE"""),"")</f>
        <v/>
      </c>
      <c r="D776" s="136" t="str">
        <f t="shared" si="3"/>
        <v/>
      </c>
      <c r="E776" s="152" t="str">
        <f>IFERROR(__xludf.DUMMYFUNCTION("""COMPUTED_VALUE"""),"")</f>
        <v/>
      </c>
      <c r="F776" s="106" t="s">
        <v>133</v>
      </c>
      <c r="G776" s="152" t="str">
        <f>IFERROR(__xludf.DUMMYFUNCTION("""COMPUTED_VALUE"""),"")</f>
        <v/>
      </c>
      <c r="H776" s="106" t="s">
        <v>133</v>
      </c>
      <c r="I776" s="136"/>
      <c r="J776" s="139" t="s">
        <v>133</v>
      </c>
      <c r="K776" s="136" t="s">
        <v>133</v>
      </c>
      <c r="L776" s="153" t="str">
        <f>IFERROR(__xludf.DUMMYFUNCTION("""COMPUTED_VALUE"""),"")</f>
        <v/>
      </c>
      <c r="M776" s="136" t="str">
        <f t="shared" si="1"/>
        <v/>
      </c>
      <c r="N776" s="136" t="str">
        <f>IFERROR(__xludf.DUMMYFUNCTION("""COMPUTED_VALUE"""),"")</f>
        <v/>
      </c>
      <c r="O776" s="141" t="s">
        <v>133</v>
      </c>
      <c r="P776" s="136" t="str">
        <f>IFERROR(__xludf.DUMMYFUNCTION("""COMPUTED_VALUE"""),"")</f>
        <v/>
      </c>
      <c r="Q776" s="136" t="str">
        <f>IFERROR(__xludf.DUMMYFUNCTION("""COMPUTED_VALUE"""),"")</f>
        <v/>
      </c>
      <c r="R776" s="106" t="str">
        <f>IFERROR(__xludf.DUMMYFUNCTION("""COMPUTED_VALUE"""),"")</f>
        <v/>
      </c>
      <c r="S776" s="106" t="str">
        <f>IFERROR(__xludf.DUMMYFUNCTION("""COMPUTED_VALUE"""),"")</f>
        <v/>
      </c>
      <c r="T776" s="139" t="str">
        <f>IFERROR(__xludf.DUMMYFUNCTION("""COMPUTED_VALUE"""),"")</f>
        <v/>
      </c>
      <c r="U776" s="139" t="str">
        <f>IFERROR(__xludf.DUMMYFUNCTION("""COMPUTED_VALUE"""),"")</f>
        <v/>
      </c>
      <c r="V776" s="136" t="str">
        <f>IFERROR(__xludf.DUMMYFUNCTION("""COMPUTED_VALUE"""),"")</f>
        <v/>
      </c>
      <c r="W776" s="106" t="str">
        <f>IFERROR(__xludf.DUMMYFUNCTION("""COMPUTED_VALUE"""),"")</f>
        <v/>
      </c>
      <c r="X776" s="143" t="str">
        <f t="shared" si="2"/>
        <v/>
      </c>
      <c r="Y776" s="139" t="str">
        <f>IFERROR(__xludf.DUMMYFUNCTION("""COMPUTED_VALUE"""),"")</f>
        <v/>
      </c>
      <c r="Z776" s="141" t="str">
        <f>IFERROR(__xludf.DUMMYFUNCTION("""COMPUTED_VALUE"""),"")</f>
        <v/>
      </c>
    </row>
    <row r="777">
      <c r="C777" s="136" t="str">
        <f>IFERROR(__xludf.DUMMYFUNCTION("""COMPUTED_VALUE"""),"")</f>
        <v/>
      </c>
      <c r="D777" s="136" t="str">
        <f t="shared" si="3"/>
        <v/>
      </c>
      <c r="E777" s="152" t="str">
        <f>IFERROR(__xludf.DUMMYFUNCTION("""COMPUTED_VALUE"""),"")</f>
        <v/>
      </c>
      <c r="F777" s="106" t="s">
        <v>133</v>
      </c>
      <c r="G777" s="152" t="str">
        <f>IFERROR(__xludf.DUMMYFUNCTION("""COMPUTED_VALUE"""),"")</f>
        <v/>
      </c>
      <c r="H777" s="106" t="s">
        <v>133</v>
      </c>
      <c r="I777" s="136"/>
      <c r="J777" s="139" t="s">
        <v>133</v>
      </c>
      <c r="K777" s="136" t="s">
        <v>133</v>
      </c>
      <c r="L777" s="153" t="str">
        <f>IFERROR(__xludf.DUMMYFUNCTION("""COMPUTED_VALUE"""),"")</f>
        <v/>
      </c>
      <c r="M777" s="136" t="str">
        <f t="shared" si="1"/>
        <v/>
      </c>
      <c r="N777" s="136" t="str">
        <f>IFERROR(__xludf.DUMMYFUNCTION("""COMPUTED_VALUE"""),"")</f>
        <v/>
      </c>
      <c r="O777" s="141" t="s">
        <v>133</v>
      </c>
      <c r="P777" s="136" t="str">
        <f>IFERROR(__xludf.DUMMYFUNCTION("""COMPUTED_VALUE"""),"")</f>
        <v/>
      </c>
      <c r="Q777" s="136" t="str">
        <f>IFERROR(__xludf.DUMMYFUNCTION("""COMPUTED_VALUE"""),"")</f>
        <v/>
      </c>
      <c r="R777" s="106" t="str">
        <f>IFERROR(__xludf.DUMMYFUNCTION("""COMPUTED_VALUE"""),"")</f>
        <v/>
      </c>
      <c r="S777" s="106" t="str">
        <f>IFERROR(__xludf.DUMMYFUNCTION("""COMPUTED_VALUE"""),"")</f>
        <v/>
      </c>
      <c r="T777" s="139" t="str">
        <f>IFERROR(__xludf.DUMMYFUNCTION("""COMPUTED_VALUE"""),"")</f>
        <v/>
      </c>
      <c r="U777" s="139" t="str">
        <f>IFERROR(__xludf.DUMMYFUNCTION("""COMPUTED_VALUE"""),"")</f>
        <v/>
      </c>
      <c r="V777" s="136" t="str">
        <f>IFERROR(__xludf.DUMMYFUNCTION("""COMPUTED_VALUE"""),"")</f>
        <v/>
      </c>
      <c r="W777" s="106" t="str">
        <f>IFERROR(__xludf.DUMMYFUNCTION("""COMPUTED_VALUE"""),"")</f>
        <v/>
      </c>
      <c r="X777" s="143" t="str">
        <f t="shared" si="2"/>
        <v/>
      </c>
      <c r="Y777" s="139" t="str">
        <f>IFERROR(__xludf.DUMMYFUNCTION("""COMPUTED_VALUE"""),"")</f>
        <v/>
      </c>
      <c r="Z777" s="141" t="str">
        <f>IFERROR(__xludf.DUMMYFUNCTION("""COMPUTED_VALUE"""),"")</f>
        <v/>
      </c>
    </row>
    <row r="778">
      <c r="C778" s="136" t="str">
        <f>IFERROR(__xludf.DUMMYFUNCTION("""COMPUTED_VALUE"""),"")</f>
        <v/>
      </c>
      <c r="D778" s="136" t="str">
        <f t="shared" si="3"/>
        <v/>
      </c>
      <c r="E778" s="152" t="str">
        <f>IFERROR(__xludf.DUMMYFUNCTION("""COMPUTED_VALUE"""),"")</f>
        <v/>
      </c>
      <c r="F778" s="106" t="s">
        <v>133</v>
      </c>
      <c r="G778" s="152" t="str">
        <f>IFERROR(__xludf.DUMMYFUNCTION("""COMPUTED_VALUE"""),"")</f>
        <v/>
      </c>
      <c r="H778" s="106" t="s">
        <v>133</v>
      </c>
      <c r="I778" s="136"/>
      <c r="J778" s="139" t="s">
        <v>133</v>
      </c>
      <c r="K778" s="136" t="s">
        <v>133</v>
      </c>
      <c r="L778" s="153" t="str">
        <f>IFERROR(__xludf.DUMMYFUNCTION("""COMPUTED_VALUE"""),"")</f>
        <v/>
      </c>
      <c r="M778" s="136" t="str">
        <f t="shared" si="1"/>
        <v/>
      </c>
      <c r="N778" s="136" t="str">
        <f>IFERROR(__xludf.DUMMYFUNCTION("""COMPUTED_VALUE"""),"")</f>
        <v/>
      </c>
      <c r="O778" s="141" t="s">
        <v>133</v>
      </c>
      <c r="P778" s="136" t="str">
        <f>IFERROR(__xludf.DUMMYFUNCTION("""COMPUTED_VALUE"""),"")</f>
        <v/>
      </c>
      <c r="Q778" s="136" t="str">
        <f>IFERROR(__xludf.DUMMYFUNCTION("""COMPUTED_VALUE"""),"")</f>
        <v/>
      </c>
      <c r="R778" s="106" t="str">
        <f>IFERROR(__xludf.DUMMYFUNCTION("""COMPUTED_VALUE"""),"")</f>
        <v/>
      </c>
      <c r="S778" s="106" t="str">
        <f>IFERROR(__xludf.DUMMYFUNCTION("""COMPUTED_VALUE"""),"")</f>
        <v/>
      </c>
      <c r="T778" s="139" t="str">
        <f>IFERROR(__xludf.DUMMYFUNCTION("""COMPUTED_VALUE"""),"")</f>
        <v/>
      </c>
      <c r="U778" s="139" t="str">
        <f>IFERROR(__xludf.DUMMYFUNCTION("""COMPUTED_VALUE"""),"")</f>
        <v/>
      </c>
      <c r="V778" s="136" t="str">
        <f>IFERROR(__xludf.DUMMYFUNCTION("""COMPUTED_VALUE"""),"")</f>
        <v/>
      </c>
      <c r="W778" s="106" t="str">
        <f>IFERROR(__xludf.DUMMYFUNCTION("""COMPUTED_VALUE"""),"")</f>
        <v/>
      </c>
      <c r="X778" s="143" t="str">
        <f t="shared" si="2"/>
        <v/>
      </c>
      <c r="Y778" s="139" t="str">
        <f>IFERROR(__xludf.DUMMYFUNCTION("""COMPUTED_VALUE"""),"")</f>
        <v/>
      </c>
      <c r="Z778" s="141" t="str">
        <f>IFERROR(__xludf.DUMMYFUNCTION("""COMPUTED_VALUE"""),"")</f>
        <v/>
      </c>
    </row>
    <row r="779">
      <c r="C779" s="136" t="str">
        <f>IFERROR(__xludf.DUMMYFUNCTION("""COMPUTED_VALUE"""),"")</f>
        <v/>
      </c>
      <c r="D779" s="136" t="str">
        <f t="shared" si="3"/>
        <v/>
      </c>
      <c r="E779" s="152" t="str">
        <f>IFERROR(__xludf.DUMMYFUNCTION("""COMPUTED_VALUE"""),"")</f>
        <v/>
      </c>
      <c r="F779" s="106" t="s">
        <v>133</v>
      </c>
      <c r="G779" s="152" t="str">
        <f>IFERROR(__xludf.DUMMYFUNCTION("""COMPUTED_VALUE"""),"")</f>
        <v/>
      </c>
      <c r="H779" s="106" t="s">
        <v>133</v>
      </c>
      <c r="I779" s="136"/>
      <c r="J779" s="139" t="s">
        <v>133</v>
      </c>
      <c r="K779" s="136" t="s">
        <v>133</v>
      </c>
      <c r="L779" s="153" t="str">
        <f>IFERROR(__xludf.DUMMYFUNCTION("""COMPUTED_VALUE"""),"")</f>
        <v/>
      </c>
      <c r="M779" s="136" t="str">
        <f t="shared" si="1"/>
        <v/>
      </c>
      <c r="N779" s="136" t="str">
        <f>IFERROR(__xludf.DUMMYFUNCTION("""COMPUTED_VALUE"""),"")</f>
        <v/>
      </c>
      <c r="O779" s="141" t="s">
        <v>133</v>
      </c>
      <c r="P779" s="136" t="str">
        <f>IFERROR(__xludf.DUMMYFUNCTION("""COMPUTED_VALUE"""),"")</f>
        <v/>
      </c>
      <c r="Q779" s="136" t="str">
        <f>IFERROR(__xludf.DUMMYFUNCTION("""COMPUTED_VALUE"""),"")</f>
        <v/>
      </c>
      <c r="R779" s="106" t="str">
        <f>IFERROR(__xludf.DUMMYFUNCTION("""COMPUTED_VALUE"""),"")</f>
        <v/>
      </c>
      <c r="S779" s="106" t="str">
        <f>IFERROR(__xludf.DUMMYFUNCTION("""COMPUTED_VALUE"""),"")</f>
        <v/>
      </c>
      <c r="T779" s="139" t="str">
        <f>IFERROR(__xludf.DUMMYFUNCTION("""COMPUTED_VALUE"""),"")</f>
        <v/>
      </c>
      <c r="U779" s="139" t="str">
        <f>IFERROR(__xludf.DUMMYFUNCTION("""COMPUTED_VALUE"""),"")</f>
        <v/>
      </c>
      <c r="V779" s="136" t="str">
        <f>IFERROR(__xludf.DUMMYFUNCTION("""COMPUTED_VALUE"""),"")</f>
        <v/>
      </c>
      <c r="W779" s="106" t="str">
        <f>IFERROR(__xludf.DUMMYFUNCTION("""COMPUTED_VALUE"""),"")</f>
        <v/>
      </c>
      <c r="X779" s="143" t="str">
        <f t="shared" si="2"/>
        <v/>
      </c>
      <c r="Y779" s="139" t="str">
        <f>IFERROR(__xludf.DUMMYFUNCTION("""COMPUTED_VALUE"""),"")</f>
        <v/>
      </c>
      <c r="Z779" s="141" t="str">
        <f>IFERROR(__xludf.DUMMYFUNCTION("""COMPUTED_VALUE"""),"")</f>
        <v/>
      </c>
    </row>
    <row r="780">
      <c r="C780" s="136" t="str">
        <f>IFERROR(__xludf.DUMMYFUNCTION("""COMPUTED_VALUE"""),"")</f>
        <v/>
      </c>
      <c r="D780" s="136" t="str">
        <f t="shared" si="3"/>
        <v/>
      </c>
      <c r="E780" s="152" t="str">
        <f>IFERROR(__xludf.DUMMYFUNCTION("""COMPUTED_VALUE"""),"")</f>
        <v/>
      </c>
      <c r="F780" s="106" t="s">
        <v>133</v>
      </c>
      <c r="G780" s="152" t="str">
        <f>IFERROR(__xludf.DUMMYFUNCTION("""COMPUTED_VALUE"""),"")</f>
        <v/>
      </c>
      <c r="H780" s="106" t="s">
        <v>133</v>
      </c>
      <c r="I780" s="136"/>
      <c r="J780" s="139" t="s">
        <v>133</v>
      </c>
      <c r="K780" s="136" t="s">
        <v>133</v>
      </c>
      <c r="L780" s="153" t="str">
        <f>IFERROR(__xludf.DUMMYFUNCTION("""COMPUTED_VALUE"""),"")</f>
        <v/>
      </c>
      <c r="M780" s="136" t="str">
        <f t="shared" si="1"/>
        <v/>
      </c>
      <c r="N780" s="136" t="str">
        <f>IFERROR(__xludf.DUMMYFUNCTION("""COMPUTED_VALUE"""),"")</f>
        <v/>
      </c>
      <c r="O780" s="141" t="s">
        <v>133</v>
      </c>
      <c r="P780" s="136" t="str">
        <f>IFERROR(__xludf.DUMMYFUNCTION("""COMPUTED_VALUE"""),"")</f>
        <v/>
      </c>
      <c r="Q780" s="136" t="str">
        <f>IFERROR(__xludf.DUMMYFUNCTION("""COMPUTED_VALUE"""),"")</f>
        <v/>
      </c>
      <c r="R780" s="106" t="str">
        <f>IFERROR(__xludf.DUMMYFUNCTION("""COMPUTED_VALUE"""),"")</f>
        <v/>
      </c>
      <c r="S780" s="106" t="str">
        <f>IFERROR(__xludf.DUMMYFUNCTION("""COMPUTED_VALUE"""),"")</f>
        <v/>
      </c>
      <c r="T780" s="139" t="str">
        <f>IFERROR(__xludf.DUMMYFUNCTION("""COMPUTED_VALUE"""),"")</f>
        <v/>
      </c>
      <c r="U780" s="139" t="str">
        <f>IFERROR(__xludf.DUMMYFUNCTION("""COMPUTED_VALUE"""),"")</f>
        <v/>
      </c>
      <c r="V780" s="136" t="str">
        <f>IFERROR(__xludf.DUMMYFUNCTION("""COMPUTED_VALUE"""),"")</f>
        <v/>
      </c>
      <c r="W780" s="106" t="str">
        <f>IFERROR(__xludf.DUMMYFUNCTION("""COMPUTED_VALUE"""),"")</f>
        <v/>
      </c>
      <c r="X780" s="143" t="str">
        <f t="shared" si="2"/>
        <v/>
      </c>
      <c r="Y780" s="139" t="str">
        <f>IFERROR(__xludf.DUMMYFUNCTION("""COMPUTED_VALUE"""),"")</f>
        <v/>
      </c>
      <c r="Z780" s="141" t="str">
        <f>IFERROR(__xludf.DUMMYFUNCTION("""COMPUTED_VALUE"""),"")</f>
        <v/>
      </c>
    </row>
    <row r="781">
      <c r="C781" s="136" t="str">
        <f>IFERROR(__xludf.DUMMYFUNCTION("""COMPUTED_VALUE"""),"")</f>
        <v/>
      </c>
      <c r="D781" s="136" t="str">
        <f t="shared" si="3"/>
        <v/>
      </c>
      <c r="E781" s="152" t="str">
        <f>IFERROR(__xludf.DUMMYFUNCTION("""COMPUTED_VALUE"""),"")</f>
        <v/>
      </c>
      <c r="F781" s="106" t="s">
        <v>133</v>
      </c>
      <c r="G781" s="152" t="str">
        <f>IFERROR(__xludf.DUMMYFUNCTION("""COMPUTED_VALUE"""),"")</f>
        <v/>
      </c>
      <c r="H781" s="106" t="s">
        <v>133</v>
      </c>
      <c r="I781" s="136"/>
      <c r="J781" s="139" t="s">
        <v>133</v>
      </c>
      <c r="K781" s="136" t="s">
        <v>133</v>
      </c>
      <c r="L781" s="153" t="str">
        <f>IFERROR(__xludf.DUMMYFUNCTION("""COMPUTED_VALUE"""),"")</f>
        <v/>
      </c>
      <c r="M781" s="136" t="str">
        <f t="shared" si="1"/>
        <v/>
      </c>
      <c r="N781" s="136" t="str">
        <f>IFERROR(__xludf.DUMMYFUNCTION("""COMPUTED_VALUE"""),"")</f>
        <v/>
      </c>
      <c r="O781" s="141" t="s">
        <v>133</v>
      </c>
      <c r="P781" s="136" t="str">
        <f>IFERROR(__xludf.DUMMYFUNCTION("""COMPUTED_VALUE"""),"")</f>
        <v/>
      </c>
      <c r="Q781" s="136" t="str">
        <f>IFERROR(__xludf.DUMMYFUNCTION("""COMPUTED_VALUE"""),"")</f>
        <v/>
      </c>
      <c r="R781" s="106" t="str">
        <f>IFERROR(__xludf.DUMMYFUNCTION("""COMPUTED_VALUE"""),"")</f>
        <v/>
      </c>
      <c r="S781" s="106" t="str">
        <f>IFERROR(__xludf.DUMMYFUNCTION("""COMPUTED_VALUE"""),"")</f>
        <v/>
      </c>
      <c r="T781" s="139" t="str">
        <f>IFERROR(__xludf.DUMMYFUNCTION("""COMPUTED_VALUE"""),"")</f>
        <v/>
      </c>
      <c r="U781" s="139" t="str">
        <f>IFERROR(__xludf.DUMMYFUNCTION("""COMPUTED_VALUE"""),"")</f>
        <v/>
      </c>
      <c r="V781" s="136" t="str">
        <f>IFERROR(__xludf.DUMMYFUNCTION("""COMPUTED_VALUE"""),"")</f>
        <v/>
      </c>
      <c r="W781" s="106" t="str">
        <f>IFERROR(__xludf.DUMMYFUNCTION("""COMPUTED_VALUE"""),"")</f>
        <v/>
      </c>
      <c r="X781" s="143" t="str">
        <f t="shared" si="2"/>
        <v/>
      </c>
      <c r="Y781" s="139" t="str">
        <f>IFERROR(__xludf.DUMMYFUNCTION("""COMPUTED_VALUE"""),"")</f>
        <v/>
      </c>
      <c r="Z781" s="141" t="str">
        <f>IFERROR(__xludf.DUMMYFUNCTION("""COMPUTED_VALUE"""),"")</f>
        <v/>
      </c>
    </row>
    <row r="782">
      <c r="C782" s="136" t="str">
        <f>IFERROR(__xludf.DUMMYFUNCTION("""COMPUTED_VALUE"""),"")</f>
        <v/>
      </c>
      <c r="D782" s="136" t="str">
        <f t="shared" si="3"/>
        <v/>
      </c>
      <c r="E782" s="152" t="str">
        <f>IFERROR(__xludf.DUMMYFUNCTION("""COMPUTED_VALUE"""),"")</f>
        <v/>
      </c>
      <c r="F782" s="106" t="s">
        <v>133</v>
      </c>
      <c r="G782" s="152" t="str">
        <f>IFERROR(__xludf.DUMMYFUNCTION("""COMPUTED_VALUE"""),"")</f>
        <v/>
      </c>
      <c r="H782" s="106" t="s">
        <v>133</v>
      </c>
      <c r="I782" s="136"/>
      <c r="J782" s="139" t="s">
        <v>133</v>
      </c>
      <c r="K782" s="136" t="s">
        <v>133</v>
      </c>
      <c r="L782" s="153" t="str">
        <f>IFERROR(__xludf.DUMMYFUNCTION("""COMPUTED_VALUE"""),"")</f>
        <v/>
      </c>
      <c r="M782" s="136" t="str">
        <f t="shared" si="1"/>
        <v/>
      </c>
      <c r="N782" s="136" t="str">
        <f>IFERROR(__xludf.DUMMYFUNCTION("""COMPUTED_VALUE"""),"")</f>
        <v/>
      </c>
      <c r="O782" s="141" t="s">
        <v>133</v>
      </c>
      <c r="P782" s="136" t="str">
        <f>IFERROR(__xludf.DUMMYFUNCTION("""COMPUTED_VALUE"""),"")</f>
        <v/>
      </c>
      <c r="Q782" s="136" t="str">
        <f>IFERROR(__xludf.DUMMYFUNCTION("""COMPUTED_VALUE"""),"")</f>
        <v/>
      </c>
      <c r="R782" s="106" t="str">
        <f>IFERROR(__xludf.DUMMYFUNCTION("""COMPUTED_VALUE"""),"")</f>
        <v/>
      </c>
      <c r="S782" s="106" t="str">
        <f>IFERROR(__xludf.DUMMYFUNCTION("""COMPUTED_VALUE"""),"")</f>
        <v/>
      </c>
      <c r="T782" s="139" t="str">
        <f>IFERROR(__xludf.DUMMYFUNCTION("""COMPUTED_VALUE"""),"")</f>
        <v/>
      </c>
      <c r="U782" s="139" t="str">
        <f>IFERROR(__xludf.DUMMYFUNCTION("""COMPUTED_VALUE"""),"")</f>
        <v/>
      </c>
      <c r="V782" s="136" t="str">
        <f>IFERROR(__xludf.DUMMYFUNCTION("""COMPUTED_VALUE"""),"")</f>
        <v/>
      </c>
      <c r="W782" s="106" t="str">
        <f>IFERROR(__xludf.DUMMYFUNCTION("""COMPUTED_VALUE"""),"")</f>
        <v/>
      </c>
      <c r="X782" s="143" t="str">
        <f t="shared" si="2"/>
        <v/>
      </c>
      <c r="Y782" s="139" t="str">
        <f>IFERROR(__xludf.DUMMYFUNCTION("""COMPUTED_VALUE"""),"")</f>
        <v/>
      </c>
      <c r="Z782" s="141" t="str">
        <f>IFERROR(__xludf.DUMMYFUNCTION("""COMPUTED_VALUE"""),"")</f>
        <v/>
      </c>
    </row>
    <row r="783">
      <c r="C783" s="136" t="str">
        <f>IFERROR(__xludf.DUMMYFUNCTION("""COMPUTED_VALUE"""),"")</f>
        <v/>
      </c>
      <c r="D783" s="136" t="str">
        <f t="shared" si="3"/>
        <v/>
      </c>
      <c r="E783" s="152" t="str">
        <f>IFERROR(__xludf.DUMMYFUNCTION("""COMPUTED_VALUE"""),"")</f>
        <v/>
      </c>
      <c r="F783" s="106" t="s">
        <v>133</v>
      </c>
      <c r="G783" s="152" t="str">
        <f>IFERROR(__xludf.DUMMYFUNCTION("""COMPUTED_VALUE"""),"")</f>
        <v/>
      </c>
      <c r="H783" s="106" t="s">
        <v>133</v>
      </c>
      <c r="I783" s="136"/>
      <c r="J783" s="139" t="s">
        <v>133</v>
      </c>
      <c r="K783" s="136" t="s">
        <v>133</v>
      </c>
      <c r="L783" s="153" t="str">
        <f>IFERROR(__xludf.DUMMYFUNCTION("""COMPUTED_VALUE"""),"")</f>
        <v/>
      </c>
      <c r="M783" s="136" t="str">
        <f t="shared" si="1"/>
        <v/>
      </c>
      <c r="N783" s="136" t="str">
        <f>IFERROR(__xludf.DUMMYFUNCTION("""COMPUTED_VALUE"""),"")</f>
        <v/>
      </c>
      <c r="O783" s="141" t="s">
        <v>133</v>
      </c>
      <c r="P783" s="136" t="str">
        <f>IFERROR(__xludf.DUMMYFUNCTION("""COMPUTED_VALUE"""),"")</f>
        <v/>
      </c>
      <c r="Q783" s="136" t="str">
        <f>IFERROR(__xludf.DUMMYFUNCTION("""COMPUTED_VALUE"""),"")</f>
        <v/>
      </c>
      <c r="R783" s="106" t="str">
        <f>IFERROR(__xludf.DUMMYFUNCTION("""COMPUTED_VALUE"""),"")</f>
        <v/>
      </c>
      <c r="S783" s="106" t="str">
        <f>IFERROR(__xludf.DUMMYFUNCTION("""COMPUTED_VALUE"""),"")</f>
        <v/>
      </c>
      <c r="T783" s="139" t="str">
        <f>IFERROR(__xludf.DUMMYFUNCTION("""COMPUTED_VALUE"""),"")</f>
        <v/>
      </c>
      <c r="U783" s="139" t="str">
        <f>IFERROR(__xludf.DUMMYFUNCTION("""COMPUTED_VALUE"""),"")</f>
        <v/>
      </c>
      <c r="V783" s="136" t="str">
        <f>IFERROR(__xludf.DUMMYFUNCTION("""COMPUTED_VALUE"""),"")</f>
        <v/>
      </c>
      <c r="W783" s="106" t="str">
        <f>IFERROR(__xludf.DUMMYFUNCTION("""COMPUTED_VALUE"""),"")</f>
        <v/>
      </c>
      <c r="X783" s="143" t="str">
        <f t="shared" si="2"/>
        <v/>
      </c>
      <c r="Y783" s="139" t="str">
        <f>IFERROR(__xludf.DUMMYFUNCTION("""COMPUTED_VALUE"""),"")</f>
        <v/>
      </c>
      <c r="Z783" s="141" t="str">
        <f>IFERROR(__xludf.DUMMYFUNCTION("""COMPUTED_VALUE"""),"")</f>
        <v/>
      </c>
    </row>
    <row r="784">
      <c r="C784" s="136" t="str">
        <f>IFERROR(__xludf.DUMMYFUNCTION("""COMPUTED_VALUE"""),"")</f>
        <v/>
      </c>
      <c r="D784" s="136" t="str">
        <f t="shared" si="3"/>
        <v/>
      </c>
      <c r="E784" s="152" t="str">
        <f>IFERROR(__xludf.DUMMYFUNCTION("""COMPUTED_VALUE"""),"")</f>
        <v/>
      </c>
      <c r="F784" s="106" t="s">
        <v>133</v>
      </c>
      <c r="G784" s="152" t="str">
        <f>IFERROR(__xludf.DUMMYFUNCTION("""COMPUTED_VALUE"""),"")</f>
        <v/>
      </c>
      <c r="H784" s="106" t="s">
        <v>133</v>
      </c>
      <c r="I784" s="136"/>
      <c r="J784" s="139" t="s">
        <v>133</v>
      </c>
      <c r="K784" s="136" t="s">
        <v>133</v>
      </c>
      <c r="L784" s="153" t="str">
        <f>IFERROR(__xludf.DUMMYFUNCTION("""COMPUTED_VALUE"""),"")</f>
        <v/>
      </c>
      <c r="M784" s="136" t="str">
        <f t="shared" si="1"/>
        <v/>
      </c>
      <c r="N784" s="136" t="str">
        <f>IFERROR(__xludf.DUMMYFUNCTION("""COMPUTED_VALUE"""),"")</f>
        <v/>
      </c>
      <c r="O784" s="141" t="s">
        <v>133</v>
      </c>
      <c r="P784" s="136" t="str">
        <f>IFERROR(__xludf.DUMMYFUNCTION("""COMPUTED_VALUE"""),"")</f>
        <v/>
      </c>
      <c r="Q784" s="136" t="str">
        <f>IFERROR(__xludf.DUMMYFUNCTION("""COMPUTED_VALUE"""),"")</f>
        <v/>
      </c>
      <c r="R784" s="106" t="str">
        <f>IFERROR(__xludf.DUMMYFUNCTION("""COMPUTED_VALUE"""),"")</f>
        <v/>
      </c>
      <c r="S784" s="106" t="str">
        <f>IFERROR(__xludf.DUMMYFUNCTION("""COMPUTED_VALUE"""),"")</f>
        <v/>
      </c>
      <c r="T784" s="139" t="str">
        <f>IFERROR(__xludf.DUMMYFUNCTION("""COMPUTED_VALUE"""),"")</f>
        <v/>
      </c>
      <c r="U784" s="139" t="str">
        <f>IFERROR(__xludf.DUMMYFUNCTION("""COMPUTED_VALUE"""),"")</f>
        <v/>
      </c>
      <c r="V784" s="136" t="str">
        <f>IFERROR(__xludf.DUMMYFUNCTION("""COMPUTED_VALUE"""),"")</f>
        <v/>
      </c>
      <c r="W784" s="106" t="str">
        <f>IFERROR(__xludf.DUMMYFUNCTION("""COMPUTED_VALUE"""),"")</f>
        <v/>
      </c>
      <c r="X784" s="143" t="str">
        <f t="shared" si="2"/>
        <v/>
      </c>
      <c r="Y784" s="139" t="str">
        <f>IFERROR(__xludf.DUMMYFUNCTION("""COMPUTED_VALUE"""),"")</f>
        <v/>
      </c>
      <c r="Z784" s="141" t="str">
        <f>IFERROR(__xludf.DUMMYFUNCTION("""COMPUTED_VALUE"""),"")</f>
        <v/>
      </c>
    </row>
    <row r="785">
      <c r="C785" s="136" t="str">
        <f>IFERROR(__xludf.DUMMYFUNCTION("""COMPUTED_VALUE"""),"")</f>
        <v/>
      </c>
      <c r="D785" s="136" t="str">
        <f t="shared" si="3"/>
        <v/>
      </c>
      <c r="E785" s="152" t="str">
        <f>IFERROR(__xludf.DUMMYFUNCTION("""COMPUTED_VALUE"""),"")</f>
        <v/>
      </c>
      <c r="F785" s="106" t="s">
        <v>133</v>
      </c>
      <c r="G785" s="152" t="str">
        <f>IFERROR(__xludf.DUMMYFUNCTION("""COMPUTED_VALUE"""),"")</f>
        <v/>
      </c>
      <c r="H785" s="106" t="s">
        <v>133</v>
      </c>
      <c r="I785" s="136"/>
      <c r="J785" s="139" t="s">
        <v>133</v>
      </c>
      <c r="K785" s="136" t="s">
        <v>133</v>
      </c>
      <c r="L785" s="153" t="str">
        <f>IFERROR(__xludf.DUMMYFUNCTION("""COMPUTED_VALUE"""),"")</f>
        <v/>
      </c>
      <c r="M785" s="136" t="str">
        <f t="shared" si="1"/>
        <v/>
      </c>
      <c r="N785" s="136" t="str">
        <f>IFERROR(__xludf.DUMMYFUNCTION("""COMPUTED_VALUE"""),"")</f>
        <v/>
      </c>
      <c r="O785" s="141" t="s">
        <v>133</v>
      </c>
      <c r="P785" s="136" t="str">
        <f>IFERROR(__xludf.DUMMYFUNCTION("""COMPUTED_VALUE"""),"")</f>
        <v/>
      </c>
      <c r="Q785" s="136" t="str">
        <f>IFERROR(__xludf.DUMMYFUNCTION("""COMPUTED_VALUE"""),"")</f>
        <v/>
      </c>
      <c r="R785" s="106" t="str">
        <f>IFERROR(__xludf.DUMMYFUNCTION("""COMPUTED_VALUE"""),"")</f>
        <v/>
      </c>
      <c r="S785" s="106" t="str">
        <f>IFERROR(__xludf.DUMMYFUNCTION("""COMPUTED_VALUE"""),"")</f>
        <v/>
      </c>
      <c r="T785" s="139" t="str">
        <f>IFERROR(__xludf.DUMMYFUNCTION("""COMPUTED_VALUE"""),"")</f>
        <v/>
      </c>
      <c r="U785" s="139" t="str">
        <f>IFERROR(__xludf.DUMMYFUNCTION("""COMPUTED_VALUE"""),"")</f>
        <v/>
      </c>
      <c r="V785" s="136" t="str">
        <f>IFERROR(__xludf.DUMMYFUNCTION("""COMPUTED_VALUE"""),"")</f>
        <v/>
      </c>
      <c r="W785" s="106" t="str">
        <f>IFERROR(__xludf.DUMMYFUNCTION("""COMPUTED_VALUE"""),"")</f>
        <v/>
      </c>
      <c r="X785" s="143" t="str">
        <f t="shared" si="2"/>
        <v/>
      </c>
      <c r="Y785" s="139" t="str">
        <f>IFERROR(__xludf.DUMMYFUNCTION("""COMPUTED_VALUE"""),"")</f>
        <v/>
      </c>
      <c r="Z785" s="141" t="str">
        <f>IFERROR(__xludf.DUMMYFUNCTION("""COMPUTED_VALUE"""),"")</f>
        <v/>
      </c>
    </row>
    <row r="786">
      <c r="C786" s="136" t="str">
        <f>IFERROR(__xludf.DUMMYFUNCTION("""COMPUTED_VALUE"""),"")</f>
        <v/>
      </c>
      <c r="D786" s="136" t="str">
        <f t="shared" si="3"/>
        <v/>
      </c>
      <c r="E786" s="152" t="str">
        <f>IFERROR(__xludf.DUMMYFUNCTION("""COMPUTED_VALUE"""),"")</f>
        <v/>
      </c>
      <c r="F786" s="106" t="s">
        <v>133</v>
      </c>
      <c r="G786" s="152" t="str">
        <f>IFERROR(__xludf.DUMMYFUNCTION("""COMPUTED_VALUE"""),"")</f>
        <v/>
      </c>
      <c r="H786" s="106" t="s">
        <v>133</v>
      </c>
      <c r="I786" s="136"/>
      <c r="J786" s="139" t="s">
        <v>133</v>
      </c>
      <c r="K786" s="136" t="s">
        <v>133</v>
      </c>
      <c r="L786" s="153" t="str">
        <f>IFERROR(__xludf.DUMMYFUNCTION("""COMPUTED_VALUE"""),"")</f>
        <v/>
      </c>
      <c r="M786" s="136" t="str">
        <f t="shared" si="1"/>
        <v/>
      </c>
      <c r="N786" s="136" t="str">
        <f>IFERROR(__xludf.DUMMYFUNCTION("""COMPUTED_VALUE"""),"")</f>
        <v/>
      </c>
      <c r="O786" s="141" t="s">
        <v>133</v>
      </c>
      <c r="P786" s="136" t="str">
        <f>IFERROR(__xludf.DUMMYFUNCTION("""COMPUTED_VALUE"""),"")</f>
        <v/>
      </c>
      <c r="Q786" s="136" t="str">
        <f>IFERROR(__xludf.DUMMYFUNCTION("""COMPUTED_VALUE"""),"")</f>
        <v/>
      </c>
      <c r="R786" s="106" t="str">
        <f>IFERROR(__xludf.DUMMYFUNCTION("""COMPUTED_VALUE"""),"")</f>
        <v/>
      </c>
      <c r="S786" s="106" t="str">
        <f>IFERROR(__xludf.DUMMYFUNCTION("""COMPUTED_VALUE"""),"")</f>
        <v/>
      </c>
      <c r="T786" s="139" t="str">
        <f>IFERROR(__xludf.DUMMYFUNCTION("""COMPUTED_VALUE"""),"")</f>
        <v/>
      </c>
      <c r="U786" s="139" t="str">
        <f>IFERROR(__xludf.DUMMYFUNCTION("""COMPUTED_VALUE"""),"")</f>
        <v/>
      </c>
      <c r="V786" s="136" t="str">
        <f>IFERROR(__xludf.DUMMYFUNCTION("""COMPUTED_VALUE"""),"")</f>
        <v/>
      </c>
      <c r="W786" s="106" t="str">
        <f>IFERROR(__xludf.DUMMYFUNCTION("""COMPUTED_VALUE"""),"")</f>
        <v/>
      </c>
      <c r="X786" s="143" t="str">
        <f t="shared" si="2"/>
        <v/>
      </c>
      <c r="Y786" s="139" t="str">
        <f>IFERROR(__xludf.DUMMYFUNCTION("""COMPUTED_VALUE"""),"")</f>
        <v/>
      </c>
      <c r="Z786" s="141" t="str">
        <f>IFERROR(__xludf.DUMMYFUNCTION("""COMPUTED_VALUE"""),"")</f>
        <v/>
      </c>
    </row>
    <row r="787">
      <c r="C787" s="136" t="str">
        <f>IFERROR(__xludf.DUMMYFUNCTION("""COMPUTED_VALUE"""),"")</f>
        <v/>
      </c>
      <c r="D787" s="136" t="str">
        <f t="shared" si="3"/>
        <v/>
      </c>
      <c r="E787" s="152" t="str">
        <f>IFERROR(__xludf.DUMMYFUNCTION("""COMPUTED_VALUE"""),"")</f>
        <v/>
      </c>
      <c r="F787" s="106" t="s">
        <v>133</v>
      </c>
      <c r="G787" s="152" t="str">
        <f>IFERROR(__xludf.DUMMYFUNCTION("""COMPUTED_VALUE"""),"")</f>
        <v/>
      </c>
      <c r="H787" s="106" t="s">
        <v>133</v>
      </c>
      <c r="I787" s="136"/>
      <c r="J787" s="139" t="s">
        <v>133</v>
      </c>
      <c r="K787" s="136" t="s">
        <v>133</v>
      </c>
      <c r="L787" s="153" t="str">
        <f>IFERROR(__xludf.DUMMYFUNCTION("""COMPUTED_VALUE"""),"")</f>
        <v/>
      </c>
      <c r="M787" s="136" t="str">
        <f t="shared" si="1"/>
        <v/>
      </c>
      <c r="N787" s="136" t="str">
        <f>IFERROR(__xludf.DUMMYFUNCTION("""COMPUTED_VALUE"""),"")</f>
        <v/>
      </c>
      <c r="O787" s="141" t="s">
        <v>133</v>
      </c>
      <c r="P787" s="136" t="str">
        <f>IFERROR(__xludf.DUMMYFUNCTION("""COMPUTED_VALUE"""),"")</f>
        <v/>
      </c>
      <c r="Q787" s="136" t="str">
        <f>IFERROR(__xludf.DUMMYFUNCTION("""COMPUTED_VALUE"""),"")</f>
        <v/>
      </c>
      <c r="R787" s="106" t="str">
        <f>IFERROR(__xludf.DUMMYFUNCTION("""COMPUTED_VALUE"""),"")</f>
        <v/>
      </c>
      <c r="S787" s="106" t="str">
        <f>IFERROR(__xludf.DUMMYFUNCTION("""COMPUTED_VALUE"""),"")</f>
        <v/>
      </c>
      <c r="T787" s="139" t="str">
        <f>IFERROR(__xludf.DUMMYFUNCTION("""COMPUTED_VALUE"""),"")</f>
        <v/>
      </c>
      <c r="U787" s="139" t="str">
        <f>IFERROR(__xludf.DUMMYFUNCTION("""COMPUTED_VALUE"""),"")</f>
        <v/>
      </c>
      <c r="V787" s="136" t="str">
        <f>IFERROR(__xludf.DUMMYFUNCTION("""COMPUTED_VALUE"""),"")</f>
        <v/>
      </c>
      <c r="W787" s="106" t="str">
        <f>IFERROR(__xludf.DUMMYFUNCTION("""COMPUTED_VALUE"""),"")</f>
        <v/>
      </c>
      <c r="X787" s="143" t="str">
        <f t="shared" si="2"/>
        <v/>
      </c>
      <c r="Y787" s="139" t="str">
        <f>IFERROR(__xludf.DUMMYFUNCTION("""COMPUTED_VALUE"""),"")</f>
        <v/>
      </c>
      <c r="Z787" s="141" t="str">
        <f>IFERROR(__xludf.DUMMYFUNCTION("""COMPUTED_VALUE"""),"")</f>
        <v/>
      </c>
    </row>
    <row r="788">
      <c r="C788" s="136" t="str">
        <f>IFERROR(__xludf.DUMMYFUNCTION("""COMPUTED_VALUE"""),"")</f>
        <v/>
      </c>
      <c r="D788" s="136" t="str">
        <f t="shared" si="3"/>
        <v/>
      </c>
      <c r="E788" s="152" t="str">
        <f>IFERROR(__xludf.DUMMYFUNCTION("""COMPUTED_VALUE"""),"")</f>
        <v/>
      </c>
      <c r="F788" s="106" t="s">
        <v>133</v>
      </c>
      <c r="G788" s="152" t="str">
        <f>IFERROR(__xludf.DUMMYFUNCTION("""COMPUTED_VALUE"""),"")</f>
        <v/>
      </c>
      <c r="H788" s="106" t="s">
        <v>133</v>
      </c>
      <c r="I788" s="136"/>
      <c r="J788" s="139" t="s">
        <v>133</v>
      </c>
      <c r="K788" s="136" t="s">
        <v>133</v>
      </c>
      <c r="L788" s="153" t="str">
        <f>IFERROR(__xludf.DUMMYFUNCTION("""COMPUTED_VALUE"""),"")</f>
        <v/>
      </c>
      <c r="M788" s="136" t="str">
        <f t="shared" si="1"/>
        <v/>
      </c>
      <c r="N788" s="136" t="str">
        <f>IFERROR(__xludf.DUMMYFUNCTION("""COMPUTED_VALUE"""),"")</f>
        <v/>
      </c>
      <c r="O788" s="141" t="s">
        <v>133</v>
      </c>
      <c r="P788" s="136" t="str">
        <f>IFERROR(__xludf.DUMMYFUNCTION("""COMPUTED_VALUE"""),"")</f>
        <v/>
      </c>
      <c r="Q788" s="136" t="str">
        <f>IFERROR(__xludf.DUMMYFUNCTION("""COMPUTED_VALUE"""),"")</f>
        <v/>
      </c>
      <c r="R788" s="106" t="str">
        <f>IFERROR(__xludf.DUMMYFUNCTION("""COMPUTED_VALUE"""),"")</f>
        <v/>
      </c>
      <c r="S788" s="106" t="str">
        <f>IFERROR(__xludf.DUMMYFUNCTION("""COMPUTED_VALUE"""),"")</f>
        <v/>
      </c>
      <c r="T788" s="139" t="str">
        <f>IFERROR(__xludf.DUMMYFUNCTION("""COMPUTED_VALUE"""),"")</f>
        <v/>
      </c>
      <c r="U788" s="139" t="str">
        <f>IFERROR(__xludf.DUMMYFUNCTION("""COMPUTED_VALUE"""),"")</f>
        <v/>
      </c>
      <c r="V788" s="136" t="str">
        <f>IFERROR(__xludf.DUMMYFUNCTION("""COMPUTED_VALUE"""),"")</f>
        <v/>
      </c>
      <c r="W788" s="106" t="str">
        <f>IFERROR(__xludf.DUMMYFUNCTION("""COMPUTED_VALUE"""),"")</f>
        <v/>
      </c>
      <c r="X788" s="143" t="str">
        <f t="shared" si="2"/>
        <v/>
      </c>
      <c r="Y788" s="139" t="str">
        <f>IFERROR(__xludf.DUMMYFUNCTION("""COMPUTED_VALUE"""),"")</f>
        <v/>
      </c>
      <c r="Z788" s="141" t="str">
        <f>IFERROR(__xludf.DUMMYFUNCTION("""COMPUTED_VALUE"""),"")</f>
        <v/>
      </c>
    </row>
    <row r="789">
      <c r="C789" s="136" t="str">
        <f>IFERROR(__xludf.DUMMYFUNCTION("""COMPUTED_VALUE"""),"")</f>
        <v/>
      </c>
      <c r="D789" s="136" t="str">
        <f t="shared" si="3"/>
        <v/>
      </c>
      <c r="E789" s="152" t="str">
        <f>IFERROR(__xludf.DUMMYFUNCTION("""COMPUTED_VALUE"""),"")</f>
        <v/>
      </c>
      <c r="F789" s="106" t="s">
        <v>133</v>
      </c>
      <c r="G789" s="152" t="str">
        <f>IFERROR(__xludf.DUMMYFUNCTION("""COMPUTED_VALUE"""),"")</f>
        <v/>
      </c>
      <c r="H789" s="106" t="s">
        <v>133</v>
      </c>
      <c r="I789" s="136"/>
      <c r="J789" s="139" t="s">
        <v>133</v>
      </c>
      <c r="K789" s="136" t="s">
        <v>133</v>
      </c>
      <c r="L789" s="153" t="str">
        <f>IFERROR(__xludf.DUMMYFUNCTION("""COMPUTED_VALUE"""),"")</f>
        <v/>
      </c>
      <c r="M789" s="136" t="str">
        <f t="shared" si="1"/>
        <v/>
      </c>
      <c r="N789" s="136" t="str">
        <f>IFERROR(__xludf.DUMMYFUNCTION("""COMPUTED_VALUE"""),"")</f>
        <v/>
      </c>
      <c r="O789" s="141" t="s">
        <v>133</v>
      </c>
      <c r="P789" s="136" t="str">
        <f>IFERROR(__xludf.DUMMYFUNCTION("""COMPUTED_VALUE"""),"")</f>
        <v/>
      </c>
      <c r="Q789" s="136" t="str">
        <f>IFERROR(__xludf.DUMMYFUNCTION("""COMPUTED_VALUE"""),"")</f>
        <v/>
      </c>
      <c r="R789" s="106" t="str">
        <f>IFERROR(__xludf.DUMMYFUNCTION("""COMPUTED_VALUE"""),"")</f>
        <v/>
      </c>
      <c r="S789" s="106" t="str">
        <f>IFERROR(__xludf.DUMMYFUNCTION("""COMPUTED_VALUE"""),"")</f>
        <v/>
      </c>
      <c r="T789" s="139" t="str">
        <f>IFERROR(__xludf.DUMMYFUNCTION("""COMPUTED_VALUE"""),"")</f>
        <v/>
      </c>
      <c r="U789" s="139" t="str">
        <f>IFERROR(__xludf.DUMMYFUNCTION("""COMPUTED_VALUE"""),"")</f>
        <v/>
      </c>
      <c r="V789" s="136" t="str">
        <f>IFERROR(__xludf.DUMMYFUNCTION("""COMPUTED_VALUE"""),"")</f>
        <v/>
      </c>
      <c r="W789" s="106" t="str">
        <f>IFERROR(__xludf.DUMMYFUNCTION("""COMPUTED_VALUE"""),"")</f>
        <v/>
      </c>
      <c r="X789" s="143" t="str">
        <f t="shared" si="2"/>
        <v/>
      </c>
      <c r="Y789" s="139" t="str">
        <f>IFERROR(__xludf.DUMMYFUNCTION("""COMPUTED_VALUE"""),"")</f>
        <v/>
      </c>
      <c r="Z789" s="141" t="str">
        <f>IFERROR(__xludf.DUMMYFUNCTION("""COMPUTED_VALUE"""),"")</f>
        <v/>
      </c>
    </row>
    <row r="790">
      <c r="C790" s="136" t="str">
        <f>IFERROR(__xludf.DUMMYFUNCTION("""COMPUTED_VALUE"""),"")</f>
        <v/>
      </c>
      <c r="D790" s="136" t="str">
        <f t="shared" si="3"/>
        <v/>
      </c>
      <c r="E790" s="152" t="str">
        <f>IFERROR(__xludf.DUMMYFUNCTION("""COMPUTED_VALUE"""),"")</f>
        <v/>
      </c>
      <c r="F790" s="106" t="s">
        <v>133</v>
      </c>
      <c r="G790" s="152" t="str">
        <f>IFERROR(__xludf.DUMMYFUNCTION("""COMPUTED_VALUE"""),"")</f>
        <v/>
      </c>
      <c r="H790" s="106" t="s">
        <v>133</v>
      </c>
      <c r="I790" s="136"/>
      <c r="J790" s="139" t="s">
        <v>133</v>
      </c>
      <c r="K790" s="136" t="s">
        <v>133</v>
      </c>
      <c r="L790" s="153" t="str">
        <f>IFERROR(__xludf.DUMMYFUNCTION("""COMPUTED_VALUE"""),"")</f>
        <v/>
      </c>
      <c r="M790" s="136" t="str">
        <f t="shared" si="1"/>
        <v/>
      </c>
      <c r="N790" s="136" t="str">
        <f>IFERROR(__xludf.DUMMYFUNCTION("""COMPUTED_VALUE"""),"")</f>
        <v/>
      </c>
      <c r="O790" s="141" t="s">
        <v>133</v>
      </c>
      <c r="P790" s="136" t="str">
        <f>IFERROR(__xludf.DUMMYFUNCTION("""COMPUTED_VALUE"""),"")</f>
        <v/>
      </c>
      <c r="Q790" s="136" t="str">
        <f>IFERROR(__xludf.DUMMYFUNCTION("""COMPUTED_VALUE"""),"")</f>
        <v/>
      </c>
      <c r="R790" s="106" t="str">
        <f>IFERROR(__xludf.DUMMYFUNCTION("""COMPUTED_VALUE"""),"")</f>
        <v/>
      </c>
      <c r="S790" s="106" t="str">
        <f>IFERROR(__xludf.DUMMYFUNCTION("""COMPUTED_VALUE"""),"")</f>
        <v/>
      </c>
      <c r="T790" s="139" t="str">
        <f>IFERROR(__xludf.DUMMYFUNCTION("""COMPUTED_VALUE"""),"")</f>
        <v/>
      </c>
      <c r="U790" s="139" t="str">
        <f>IFERROR(__xludf.DUMMYFUNCTION("""COMPUTED_VALUE"""),"")</f>
        <v/>
      </c>
      <c r="V790" s="136" t="str">
        <f>IFERROR(__xludf.DUMMYFUNCTION("""COMPUTED_VALUE"""),"")</f>
        <v/>
      </c>
      <c r="W790" s="106" t="str">
        <f>IFERROR(__xludf.DUMMYFUNCTION("""COMPUTED_VALUE"""),"")</f>
        <v/>
      </c>
      <c r="X790" s="143" t="str">
        <f t="shared" si="2"/>
        <v/>
      </c>
      <c r="Y790" s="139" t="str">
        <f>IFERROR(__xludf.DUMMYFUNCTION("""COMPUTED_VALUE"""),"")</f>
        <v/>
      </c>
      <c r="Z790" s="141" t="str">
        <f>IFERROR(__xludf.DUMMYFUNCTION("""COMPUTED_VALUE"""),"")</f>
        <v/>
      </c>
    </row>
    <row r="791">
      <c r="C791" s="136" t="str">
        <f>IFERROR(__xludf.DUMMYFUNCTION("""COMPUTED_VALUE"""),"")</f>
        <v/>
      </c>
      <c r="D791" s="136" t="str">
        <f t="shared" si="3"/>
        <v/>
      </c>
      <c r="E791" s="152" t="str">
        <f>IFERROR(__xludf.DUMMYFUNCTION("""COMPUTED_VALUE"""),"")</f>
        <v/>
      </c>
      <c r="F791" s="106" t="s">
        <v>133</v>
      </c>
      <c r="G791" s="152" t="str">
        <f>IFERROR(__xludf.DUMMYFUNCTION("""COMPUTED_VALUE"""),"")</f>
        <v/>
      </c>
      <c r="H791" s="106" t="s">
        <v>133</v>
      </c>
      <c r="I791" s="136"/>
      <c r="J791" s="139" t="s">
        <v>133</v>
      </c>
      <c r="K791" s="136" t="s">
        <v>133</v>
      </c>
      <c r="L791" s="153" t="str">
        <f>IFERROR(__xludf.DUMMYFUNCTION("""COMPUTED_VALUE"""),"")</f>
        <v/>
      </c>
      <c r="M791" s="136" t="str">
        <f t="shared" si="1"/>
        <v/>
      </c>
      <c r="N791" s="136" t="str">
        <f>IFERROR(__xludf.DUMMYFUNCTION("""COMPUTED_VALUE"""),"")</f>
        <v/>
      </c>
      <c r="O791" s="141" t="s">
        <v>133</v>
      </c>
      <c r="P791" s="136" t="str">
        <f>IFERROR(__xludf.DUMMYFUNCTION("""COMPUTED_VALUE"""),"")</f>
        <v/>
      </c>
      <c r="Q791" s="136" t="str">
        <f>IFERROR(__xludf.DUMMYFUNCTION("""COMPUTED_VALUE"""),"")</f>
        <v/>
      </c>
      <c r="R791" s="106" t="str">
        <f>IFERROR(__xludf.DUMMYFUNCTION("""COMPUTED_VALUE"""),"")</f>
        <v/>
      </c>
      <c r="S791" s="106" t="str">
        <f>IFERROR(__xludf.DUMMYFUNCTION("""COMPUTED_VALUE"""),"")</f>
        <v/>
      </c>
      <c r="T791" s="139" t="str">
        <f>IFERROR(__xludf.DUMMYFUNCTION("""COMPUTED_VALUE"""),"")</f>
        <v/>
      </c>
      <c r="U791" s="139" t="str">
        <f>IFERROR(__xludf.DUMMYFUNCTION("""COMPUTED_VALUE"""),"")</f>
        <v/>
      </c>
      <c r="V791" s="136" t="str">
        <f>IFERROR(__xludf.DUMMYFUNCTION("""COMPUTED_VALUE"""),"")</f>
        <v/>
      </c>
      <c r="W791" s="106" t="str">
        <f>IFERROR(__xludf.DUMMYFUNCTION("""COMPUTED_VALUE"""),"")</f>
        <v/>
      </c>
      <c r="X791" s="143" t="str">
        <f t="shared" si="2"/>
        <v/>
      </c>
      <c r="Y791" s="139" t="str">
        <f>IFERROR(__xludf.DUMMYFUNCTION("""COMPUTED_VALUE"""),"")</f>
        <v/>
      </c>
      <c r="Z791" s="141" t="str">
        <f>IFERROR(__xludf.DUMMYFUNCTION("""COMPUTED_VALUE"""),"")</f>
        <v/>
      </c>
    </row>
    <row r="792">
      <c r="C792" s="136" t="str">
        <f>IFERROR(__xludf.DUMMYFUNCTION("""COMPUTED_VALUE"""),"")</f>
        <v/>
      </c>
      <c r="D792" s="136" t="str">
        <f t="shared" si="3"/>
        <v/>
      </c>
      <c r="E792" s="152" t="str">
        <f>IFERROR(__xludf.DUMMYFUNCTION("""COMPUTED_VALUE"""),"")</f>
        <v/>
      </c>
      <c r="F792" s="106" t="s">
        <v>133</v>
      </c>
      <c r="G792" s="152" t="str">
        <f>IFERROR(__xludf.DUMMYFUNCTION("""COMPUTED_VALUE"""),"")</f>
        <v/>
      </c>
      <c r="H792" s="106" t="s">
        <v>133</v>
      </c>
      <c r="I792" s="136"/>
      <c r="J792" s="139" t="s">
        <v>133</v>
      </c>
      <c r="K792" s="136" t="s">
        <v>133</v>
      </c>
      <c r="L792" s="153" t="str">
        <f>IFERROR(__xludf.DUMMYFUNCTION("""COMPUTED_VALUE"""),"")</f>
        <v/>
      </c>
      <c r="M792" s="136" t="str">
        <f t="shared" si="1"/>
        <v/>
      </c>
      <c r="N792" s="136" t="str">
        <f>IFERROR(__xludf.DUMMYFUNCTION("""COMPUTED_VALUE"""),"")</f>
        <v/>
      </c>
      <c r="O792" s="141" t="s">
        <v>133</v>
      </c>
      <c r="P792" s="136" t="str">
        <f>IFERROR(__xludf.DUMMYFUNCTION("""COMPUTED_VALUE"""),"")</f>
        <v/>
      </c>
      <c r="Q792" s="136" t="str">
        <f>IFERROR(__xludf.DUMMYFUNCTION("""COMPUTED_VALUE"""),"")</f>
        <v/>
      </c>
      <c r="R792" s="106" t="str">
        <f>IFERROR(__xludf.DUMMYFUNCTION("""COMPUTED_VALUE"""),"")</f>
        <v/>
      </c>
      <c r="S792" s="106" t="str">
        <f>IFERROR(__xludf.DUMMYFUNCTION("""COMPUTED_VALUE"""),"")</f>
        <v/>
      </c>
      <c r="T792" s="139" t="str">
        <f>IFERROR(__xludf.DUMMYFUNCTION("""COMPUTED_VALUE"""),"")</f>
        <v/>
      </c>
      <c r="U792" s="139" t="str">
        <f>IFERROR(__xludf.DUMMYFUNCTION("""COMPUTED_VALUE"""),"")</f>
        <v/>
      </c>
      <c r="V792" s="136" t="str">
        <f>IFERROR(__xludf.DUMMYFUNCTION("""COMPUTED_VALUE"""),"")</f>
        <v/>
      </c>
      <c r="W792" s="106" t="str">
        <f>IFERROR(__xludf.DUMMYFUNCTION("""COMPUTED_VALUE"""),"")</f>
        <v/>
      </c>
      <c r="X792" s="143" t="str">
        <f t="shared" si="2"/>
        <v/>
      </c>
      <c r="Y792" s="139" t="str">
        <f>IFERROR(__xludf.DUMMYFUNCTION("""COMPUTED_VALUE"""),"")</f>
        <v/>
      </c>
      <c r="Z792" s="141" t="str">
        <f>IFERROR(__xludf.DUMMYFUNCTION("""COMPUTED_VALUE"""),"")</f>
        <v/>
      </c>
    </row>
    <row r="793">
      <c r="C793" s="136" t="str">
        <f>IFERROR(__xludf.DUMMYFUNCTION("""COMPUTED_VALUE"""),"")</f>
        <v/>
      </c>
      <c r="D793" s="136" t="str">
        <f t="shared" si="3"/>
        <v/>
      </c>
      <c r="E793" s="152" t="str">
        <f>IFERROR(__xludf.DUMMYFUNCTION("""COMPUTED_VALUE"""),"")</f>
        <v/>
      </c>
      <c r="F793" s="106" t="s">
        <v>133</v>
      </c>
      <c r="G793" s="152" t="str">
        <f>IFERROR(__xludf.DUMMYFUNCTION("""COMPUTED_VALUE"""),"")</f>
        <v/>
      </c>
      <c r="H793" s="106" t="s">
        <v>133</v>
      </c>
      <c r="I793" s="136"/>
      <c r="J793" s="139" t="s">
        <v>133</v>
      </c>
      <c r="K793" s="136" t="s">
        <v>133</v>
      </c>
      <c r="L793" s="153" t="str">
        <f>IFERROR(__xludf.DUMMYFUNCTION("""COMPUTED_VALUE"""),"")</f>
        <v/>
      </c>
      <c r="M793" s="136" t="str">
        <f t="shared" si="1"/>
        <v/>
      </c>
      <c r="N793" s="136" t="str">
        <f>IFERROR(__xludf.DUMMYFUNCTION("""COMPUTED_VALUE"""),"")</f>
        <v/>
      </c>
      <c r="O793" s="141" t="s">
        <v>133</v>
      </c>
      <c r="P793" s="136" t="str">
        <f>IFERROR(__xludf.DUMMYFUNCTION("""COMPUTED_VALUE"""),"")</f>
        <v/>
      </c>
      <c r="Q793" s="136" t="str">
        <f>IFERROR(__xludf.DUMMYFUNCTION("""COMPUTED_VALUE"""),"")</f>
        <v/>
      </c>
      <c r="R793" s="106" t="str">
        <f>IFERROR(__xludf.DUMMYFUNCTION("""COMPUTED_VALUE"""),"")</f>
        <v/>
      </c>
      <c r="S793" s="106" t="str">
        <f>IFERROR(__xludf.DUMMYFUNCTION("""COMPUTED_VALUE"""),"")</f>
        <v/>
      </c>
      <c r="T793" s="139" t="str">
        <f>IFERROR(__xludf.DUMMYFUNCTION("""COMPUTED_VALUE"""),"")</f>
        <v/>
      </c>
      <c r="U793" s="139" t="str">
        <f>IFERROR(__xludf.DUMMYFUNCTION("""COMPUTED_VALUE"""),"")</f>
        <v/>
      </c>
      <c r="V793" s="136" t="str">
        <f>IFERROR(__xludf.DUMMYFUNCTION("""COMPUTED_VALUE"""),"")</f>
        <v/>
      </c>
      <c r="W793" s="106" t="str">
        <f>IFERROR(__xludf.DUMMYFUNCTION("""COMPUTED_VALUE"""),"")</f>
        <v/>
      </c>
      <c r="X793" s="143" t="str">
        <f t="shared" si="2"/>
        <v/>
      </c>
      <c r="Y793" s="139" t="str">
        <f>IFERROR(__xludf.DUMMYFUNCTION("""COMPUTED_VALUE"""),"")</f>
        <v/>
      </c>
      <c r="Z793" s="141" t="str">
        <f>IFERROR(__xludf.DUMMYFUNCTION("""COMPUTED_VALUE"""),"")</f>
        <v/>
      </c>
    </row>
    <row r="794">
      <c r="C794" s="136" t="str">
        <f>IFERROR(__xludf.DUMMYFUNCTION("""COMPUTED_VALUE"""),"")</f>
        <v/>
      </c>
      <c r="D794" s="136" t="str">
        <f t="shared" si="3"/>
        <v/>
      </c>
      <c r="E794" s="152" t="str">
        <f>IFERROR(__xludf.DUMMYFUNCTION("""COMPUTED_VALUE"""),"")</f>
        <v/>
      </c>
      <c r="F794" s="106" t="s">
        <v>133</v>
      </c>
      <c r="G794" s="152" t="str">
        <f>IFERROR(__xludf.DUMMYFUNCTION("""COMPUTED_VALUE"""),"")</f>
        <v/>
      </c>
      <c r="H794" s="106" t="s">
        <v>133</v>
      </c>
      <c r="I794" s="136"/>
      <c r="J794" s="139" t="s">
        <v>133</v>
      </c>
      <c r="K794" s="136" t="s">
        <v>133</v>
      </c>
      <c r="L794" s="153" t="str">
        <f>IFERROR(__xludf.DUMMYFUNCTION("""COMPUTED_VALUE"""),"")</f>
        <v/>
      </c>
      <c r="M794" s="136" t="str">
        <f t="shared" si="1"/>
        <v/>
      </c>
      <c r="N794" s="136" t="str">
        <f>IFERROR(__xludf.DUMMYFUNCTION("""COMPUTED_VALUE"""),"")</f>
        <v/>
      </c>
      <c r="O794" s="141" t="s">
        <v>133</v>
      </c>
      <c r="P794" s="136" t="str">
        <f>IFERROR(__xludf.DUMMYFUNCTION("""COMPUTED_VALUE"""),"")</f>
        <v/>
      </c>
      <c r="Q794" s="136" t="str">
        <f>IFERROR(__xludf.DUMMYFUNCTION("""COMPUTED_VALUE"""),"")</f>
        <v/>
      </c>
      <c r="R794" s="106" t="str">
        <f>IFERROR(__xludf.DUMMYFUNCTION("""COMPUTED_VALUE"""),"")</f>
        <v/>
      </c>
      <c r="S794" s="106" t="str">
        <f>IFERROR(__xludf.DUMMYFUNCTION("""COMPUTED_VALUE"""),"")</f>
        <v/>
      </c>
      <c r="T794" s="139" t="str">
        <f>IFERROR(__xludf.DUMMYFUNCTION("""COMPUTED_VALUE"""),"")</f>
        <v/>
      </c>
      <c r="U794" s="139" t="str">
        <f>IFERROR(__xludf.DUMMYFUNCTION("""COMPUTED_VALUE"""),"")</f>
        <v/>
      </c>
      <c r="V794" s="136" t="str">
        <f>IFERROR(__xludf.DUMMYFUNCTION("""COMPUTED_VALUE"""),"")</f>
        <v/>
      </c>
      <c r="W794" s="106" t="str">
        <f>IFERROR(__xludf.DUMMYFUNCTION("""COMPUTED_VALUE"""),"")</f>
        <v/>
      </c>
      <c r="X794" s="143" t="str">
        <f t="shared" si="2"/>
        <v/>
      </c>
      <c r="Y794" s="139" t="str">
        <f>IFERROR(__xludf.DUMMYFUNCTION("""COMPUTED_VALUE"""),"")</f>
        <v/>
      </c>
      <c r="Z794" s="141" t="str">
        <f>IFERROR(__xludf.DUMMYFUNCTION("""COMPUTED_VALUE"""),"")</f>
        <v/>
      </c>
    </row>
    <row r="795">
      <c r="C795" s="136" t="str">
        <f>IFERROR(__xludf.DUMMYFUNCTION("""COMPUTED_VALUE"""),"")</f>
        <v/>
      </c>
      <c r="D795" s="136" t="str">
        <f t="shared" si="3"/>
        <v/>
      </c>
      <c r="E795" s="152" t="str">
        <f>IFERROR(__xludf.DUMMYFUNCTION("""COMPUTED_VALUE"""),"")</f>
        <v/>
      </c>
      <c r="F795" s="106" t="s">
        <v>133</v>
      </c>
      <c r="G795" s="152" t="str">
        <f>IFERROR(__xludf.DUMMYFUNCTION("""COMPUTED_VALUE"""),"")</f>
        <v/>
      </c>
      <c r="H795" s="106" t="s">
        <v>133</v>
      </c>
      <c r="I795" s="136"/>
      <c r="J795" s="139" t="s">
        <v>133</v>
      </c>
      <c r="K795" s="136" t="s">
        <v>133</v>
      </c>
      <c r="L795" s="153" t="str">
        <f>IFERROR(__xludf.DUMMYFUNCTION("""COMPUTED_VALUE"""),"")</f>
        <v/>
      </c>
      <c r="M795" s="136" t="str">
        <f t="shared" si="1"/>
        <v/>
      </c>
      <c r="N795" s="136" t="str">
        <f>IFERROR(__xludf.DUMMYFUNCTION("""COMPUTED_VALUE"""),"")</f>
        <v/>
      </c>
      <c r="O795" s="141" t="s">
        <v>133</v>
      </c>
      <c r="P795" s="136" t="str">
        <f>IFERROR(__xludf.DUMMYFUNCTION("""COMPUTED_VALUE"""),"")</f>
        <v/>
      </c>
      <c r="Q795" s="136" t="str">
        <f>IFERROR(__xludf.DUMMYFUNCTION("""COMPUTED_VALUE"""),"")</f>
        <v/>
      </c>
      <c r="R795" s="106" t="str">
        <f>IFERROR(__xludf.DUMMYFUNCTION("""COMPUTED_VALUE"""),"")</f>
        <v/>
      </c>
      <c r="S795" s="106" t="str">
        <f>IFERROR(__xludf.DUMMYFUNCTION("""COMPUTED_VALUE"""),"")</f>
        <v/>
      </c>
      <c r="T795" s="139" t="str">
        <f>IFERROR(__xludf.DUMMYFUNCTION("""COMPUTED_VALUE"""),"")</f>
        <v/>
      </c>
      <c r="U795" s="139" t="str">
        <f>IFERROR(__xludf.DUMMYFUNCTION("""COMPUTED_VALUE"""),"")</f>
        <v/>
      </c>
      <c r="V795" s="136" t="str">
        <f>IFERROR(__xludf.DUMMYFUNCTION("""COMPUTED_VALUE"""),"")</f>
        <v/>
      </c>
      <c r="W795" s="106" t="str">
        <f>IFERROR(__xludf.DUMMYFUNCTION("""COMPUTED_VALUE"""),"")</f>
        <v/>
      </c>
      <c r="X795" s="143" t="str">
        <f t="shared" si="2"/>
        <v/>
      </c>
      <c r="Y795" s="139" t="str">
        <f>IFERROR(__xludf.DUMMYFUNCTION("""COMPUTED_VALUE"""),"")</f>
        <v/>
      </c>
      <c r="Z795" s="141" t="str">
        <f>IFERROR(__xludf.DUMMYFUNCTION("""COMPUTED_VALUE"""),"")</f>
        <v/>
      </c>
    </row>
    <row r="796">
      <c r="C796" s="136" t="str">
        <f>IFERROR(__xludf.DUMMYFUNCTION("""COMPUTED_VALUE"""),"")</f>
        <v/>
      </c>
      <c r="D796" s="136" t="str">
        <f t="shared" si="3"/>
        <v/>
      </c>
      <c r="E796" s="152" t="str">
        <f>IFERROR(__xludf.DUMMYFUNCTION("""COMPUTED_VALUE"""),"")</f>
        <v/>
      </c>
      <c r="F796" s="106" t="s">
        <v>133</v>
      </c>
      <c r="G796" s="152" t="str">
        <f>IFERROR(__xludf.DUMMYFUNCTION("""COMPUTED_VALUE"""),"")</f>
        <v/>
      </c>
      <c r="H796" s="106" t="s">
        <v>133</v>
      </c>
      <c r="I796" s="136"/>
      <c r="J796" s="139" t="s">
        <v>133</v>
      </c>
      <c r="K796" s="136" t="s">
        <v>133</v>
      </c>
      <c r="L796" s="153" t="str">
        <f>IFERROR(__xludf.DUMMYFUNCTION("""COMPUTED_VALUE"""),"")</f>
        <v/>
      </c>
      <c r="M796" s="136" t="str">
        <f t="shared" si="1"/>
        <v/>
      </c>
      <c r="N796" s="136" t="str">
        <f>IFERROR(__xludf.DUMMYFUNCTION("""COMPUTED_VALUE"""),"")</f>
        <v/>
      </c>
      <c r="O796" s="141" t="s">
        <v>133</v>
      </c>
      <c r="P796" s="136" t="str">
        <f>IFERROR(__xludf.DUMMYFUNCTION("""COMPUTED_VALUE"""),"")</f>
        <v/>
      </c>
      <c r="Q796" s="136" t="str">
        <f>IFERROR(__xludf.DUMMYFUNCTION("""COMPUTED_VALUE"""),"")</f>
        <v/>
      </c>
      <c r="R796" s="106" t="str">
        <f>IFERROR(__xludf.DUMMYFUNCTION("""COMPUTED_VALUE"""),"")</f>
        <v/>
      </c>
      <c r="S796" s="106" t="str">
        <f>IFERROR(__xludf.DUMMYFUNCTION("""COMPUTED_VALUE"""),"")</f>
        <v/>
      </c>
      <c r="T796" s="139" t="str">
        <f>IFERROR(__xludf.DUMMYFUNCTION("""COMPUTED_VALUE"""),"")</f>
        <v/>
      </c>
      <c r="U796" s="139" t="str">
        <f>IFERROR(__xludf.DUMMYFUNCTION("""COMPUTED_VALUE"""),"")</f>
        <v/>
      </c>
      <c r="V796" s="136" t="str">
        <f>IFERROR(__xludf.DUMMYFUNCTION("""COMPUTED_VALUE"""),"")</f>
        <v/>
      </c>
      <c r="W796" s="106" t="str">
        <f>IFERROR(__xludf.DUMMYFUNCTION("""COMPUTED_VALUE"""),"")</f>
        <v/>
      </c>
      <c r="X796" s="143" t="str">
        <f t="shared" si="2"/>
        <v/>
      </c>
      <c r="Y796" s="139" t="str">
        <f>IFERROR(__xludf.DUMMYFUNCTION("""COMPUTED_VALUE"""),"")</f>
        <v/>
      </c>
      <c r="Z796" s="141" t="str">
        <f>IFERROR(__xludf.DUMMYFUNCTION("""COMPUTED_VALUE"""),"")</f>
        <v/>
      </c>
    </row>
    <row r="797">
      <c r="C797" s="136" t="str">
        <f>IFERROR(__xludf.DUMMYFUNCTION("""COMPUTED_VALUE"""),"")</f>
        <v/>
      </c>
      <c r="D797" s="136" t="str">
        <f t="shared" si="3"/>
        <v/>
      </c>
      <c r="E797" s="152" t="str">
        <f>IFERROR(__xludf.DUMMYFUNCTION("""COMPUTED_VALUE"""),"")</f>
        <v/>
      </c>
      <c r="F797" s="106" t="s">
        <v>133</v>
      </c>
      <c r="G797" s="152" t="str">
        <f>IFERROR(__xludf.DUMMYFUNCTION("""COMPUTED_VALUE"""),"")</f>
        <v/>
      </c>
      <c r="H797" s="106" t="s">
        <v>133</v>
      </c>
      <c r="I797" s="136"/>
      <c r="J797" s="139" t="s">
        <v>133</v>
      </c>
      <c r="K797" s="136" t="s">
        <v>133</v>
      </c>
      <c r="L797" s="153" t="str">
        <f>IFERROR(__xludf.DUMMYFUNCTION("""COMPUTED_VALUE"""),"")</f>
        <v/>
      </c>
      <c r="M797" s="136" t="str">
        <f t="shared" si="1"/>
        <v/>
      </c>
      <c r="N797" s="136" t="str">
        <f>IFERROR(__xludf.DUMMYFUNCTION("""COMPUTED_VALUE"""),"")</f>
        <v/>
      </c>
      <c r="O797" s="141" t="s">
        <v>133</v>
      </c>
      <c r="P797" s="136" t="str">
        <f>IFERROR(__xludf.DUMMYFUNCTION("""COMPUTED_VALUE"""),"")</f>
        <v/>
      </c>
      <c r="Q797" s="136" t="str">
        <f>IFERROR(__xludf.DUMMYFUNCTION("""COMPUTED_VALUE"""),"")</f>
        <v/>
      </c>
      <c r="R797" s="106" t="str">
        <f>IFERROR(__xludf.DUMMYFUNCTION("""COMPUTED_VALUE"""),"")</f>
        <v/>
      </c>
      <c r="S797" s="106" t="str">
        <f>IFERROR(__xludf.DUMMYFUNCTION("""COMPUTED_VALUE"""),"")</f>
        <v/>
      </c>
      <c r="T797" s="139" t="str">
        <f>IFERROR(__xludf.DUMMYFUNCTION("""COMPUTED_VALUE"""),"")</f>
        <v/>
      </c>
      <c r="U797" s="139" t="str">
        <f>IFERROR(__xludf.DUMMYFUNCTION("""COMPUTED_VALUE"""),"")</f>
        <v/>
      </c>
      <c r="V797" s="136" t="str">
        <f>IFERROR(__xludf.DUMMYFUNCTION("""COMPUTED_VALUE"""),"")</f>
        <v/>
      </c>
      <c r="W797" s="106" t="str">
        <f>IFERROR(__xludf.DUMMYFUNCTION("""COMPUTED_VALUE"""),"")</f>
        <v/>
      </c>
      <c r="X797" s="143" t="str">
        <f t="shared" si="2"/>
        <v/>
      </c>
      <c r="Y797" s="139" t="str">
        <f>IFERROR(__xludf.DUMMYFUNCTION("""COMPUTED_VALUE"""),"")</f>
        <v/>
      </c>
      <c r="Z797" s="141" t="str">
        <f>IFERROR(__xludf.DUMMYFUNCTION("""COMPUTED_VALUE"""),"")</f>
        <v/>
      </c>
    </row>
    <row r="798">
      <c r="C798" s="136" t="str">
        <f>IFERROR(__xludf.DUMMYFUNCTION("""COMPUTED_VALUE"""),"")</f>
        <v/>
      </c>
      <c r="D798" s="136" t="str">
        <f t="shared" si="3"/>
        <v/>
      </c>
      <c r="E798" s="152" t="str">
        <f>IFERROR(__xludf.DUMMYFUNCTION("""COMPUTED_VALUE"""),"")</f>
        <v/>
      </c>
      <c r="F798" s="106" t="s">
        <v>133</v>
      </c>
      <c r="G798" s="152" t="str">
        <f>IFERROR(__xludf.DUMMYFUNCTION("""COMPUTED_VALUE"""),"")</f>
        <v/>
      </c>
      <c r="H798" s="106" t="s">
        <v>133</v>
      </c>
      <c r="I798" s="136"/>
      <c r="J798" s="139" t="s">
        <v>133</v>
      </c>
      <c r="K798" s="136" t="s">
        <v>133</v>
      </c>
      <c r="L798" s="153" t="str">
        <f>IFERROR(__xludf.DUMMYFUNCTION("""COMPUTED_VALUE"""),"")</f>
        <v/>
      </c>
      <c r="M798" s="136" t="str">
        <f t="shared" si="1"/>
        <v/>
      </c>
      <c r="N798" s="136" t="str">
        <f>IFERROR(__xludf.DUMMYFUNCTION("""COMPUTED_VALUE"""),"")</f>
        <v/>
      </c>
      <c r="O798" s="141" t="s">
        <v>133</v>
      </c>
      <c r="P798" s="136" t="str">
        <f>IFERROR(__xludf.DUMMYFUNCTION("""COMPUTED_VALUE"""),"")</f>
        <v/>
      </c>
      <c r="Q798" s="136" t="str">
        <f>IFERROR(__xludf.DUMMYFUNCTION("""COMPUTED_VALUE"""),"")</f>
        <v/>
      </c>
      <c r="R798" s="106" t="str">
        <f>IFERROR(__xludf.DUMMYFUNCTION("""COMPUTED_VALUE"""),"")</f>
        <v/>
      </c>
      <c r="S798" s="106" t="str">
        <f>IFERROR(__xludf.DUMMYFUNCTION("""COMPUTED_VALUE"""),"")</f>
        <v/>
      </c>
      <c r="T798" s="139" t="str">
        <f>IFERROR(__xludf.DUMMYFUNCTION("""COMPUTED_VALUE"""),"")</f>
        <v/>
      </c>
      <c r="U798" s="139" t="str">
        <f>IFERROR(__xludf.DUMMYFUNCTION("""COMPUTED_VALUE"""),"")</f>
        <v/>
      </c>
      <c r="V798" s="136" t="str">
        <f>IFERROR(__xludf.DUMMYFUNCTION("""COMPUTED_VALUE"""),"")</f>
        <v/>
      </c>
      <c r="W798" s="106" t="str">
        <f>IFERROR(__xludf.DUMMYFUNCTION("""COMPUTED_VALUE"""),"")</f>
        <v/>
      </c>
      <c r="X798" s="143" t="str">
        <f t="shared" si="2"/>
        <v/>
      </c>
      <c r="Y798" s="139" t="str">
        <f>IFERROR(__xludf.DUMMYFUNCTION("""COMPUTED_VALUE"""),"")</f>
        <v/>
      </c>
      <c r="Z798" s="141" t="str">
        <f>IFERROR(__xludf.DUMMYFUNCTION("""COMPUTED_VALUE"""),"")</f>
        <v/>
      </c>
    </row>
    <row r="799">
      <c r="C799" s="136" t="str">
        <f>IFERROR(__xludf.DUMMYFUNCTION("""COMPUTED_VALUE"""),"")</f>
        <v/>
      </c>
      <c r="D799" s="136" t="str">
        <f t="shared" si="3"/>
        <v/>
      </c>
      <c r="E799" s="152" t="str">
        <f>IFERROR(__xludf.DUMMYFUNCTION("""COMPUTED_VALUE"""),"")</f>
        <v/>
      </c>
      <c r="F799" s="106" t="s">
        <v>133</v>
      </c>
      <c r="G799" s="152" t="str">
        <f>IFERROR(__xludf.DUMMYFUNCTION("""COMPUTED_VALUE"""),"")</f>
        <v/>
      </c>
      <c r="H799" s="106" t="s">
        <v>133</v>
      </c>
      <c r="I799" s="136"/>
      <c r="J799" s="139" t="s">
        <v>133</v>
      </c>
      <c r="K799" s="136" t="s">
        <v>133</v>
      </c>
      <c r="L799" s="153" t="str">
        <f>IFERROR(__xludf.DUMMYFUNCTION("""COMPUTED_VALUE"""),"")</f>
        <v/>
      </c>
      <c r="M799" s="136" t="str">
        <f t="shared" si="1"/>
        <v/>
      </c>
      <c r="N799" s="136" t="str">
        <f>IFERROR(__xludf.DUMMYFUNCTION("""COMPUTED_VALUE"""),"")</f>
        <v/>
      </c>
      <c r="O799" s="141" t="s">
        <v>133</v>
      </c>
      <c r="P799" s="136" t="str">
        <f>IFERROR(__xludf.DUMMYFUNCTION("""COMPUTED_VALUE"""),"")</f>
        <v/>
      </c>
      <c r="Q799" s="136" t="str">
        <f>IFERROR(__xludf.DUMMYFUNCTION("""COMPUTED_VALUE"""),"")</f>
        <v/>
      </c>
      <c r="R799" s="106" t="str">
        <f>IFERROR(__xludf.DUMMYFUNCTION("""COMPUTED_VALUE"""),"")</f>
        <v/>
      </c>
      <c r="S799" s="106" t="str">
        <f>IFERROR(__xludf.DUMMYFUNCTION("""COMPUTED_VALUE"""),"")</f>
        <v/>
      </c>
      <c r="T799" s="139" t="str">
        <f>IFERROR(__xludf.DUMMYFUNCTION("""COMPUTED_VALUE"""),"")</f>
        <v/>
      </c>
      <c r="U799" s="139" t="str">
        <f>IFERROR(__xludf.DUMMYFUNCTION("""COMPUTED_VALUE"""),"")</f>
        <v/>
      </c>
      <c r="V799" s="136" t="str">
        <f>IFERROR(__xludf.DUMMYFUNCTION("""COMPUTED_VALUE"""),"")</f>
        <v/>
      </c>
      <c r="W799" s="106" t="str">
        <f>IFERROR(__xludf.DUMMYFUNCTION("""COMPUTED_VALUE"""),"")</f>
        <v/>
      </c>
      <c r="X799" s="143" t="str">
        <f t="shared" si="2"/>
        <v/>
      </c>
      <c r="Y799" s="139" t="str">
        <f>IFERROR(__xludf.DUMMYFUNCTION("""COMPUTED_VALUE"""),"")</f>
        <v/>
      </c>
      <c r="Z799" s="141" t="str">
        <f>IFERROR(__xludf.DUMMYFUNCTION("""COMPUTED_VALUE"""),"")</f>
        <v/>
      </c>
    </row>
    <row r="800">
      <c r="C800" s="136" t="str">
        <f>IFERROR(__xludf.DUMMYFUNCTION("""COMPUTED_VALUE"""),"")</f>
        <v/>
      </c>
      <c r="D800" s="136" t="str">
        <f t="shared" si="3"/>
        <v/>
      </c>
      <c r="E800" s="152" t="str">
        <f>IFERROR(__xludf.DUMMYFUNCTION("""COMPUTED_VALUE"""),"")</f>
        <v/>
      </c>
      <c r="F800" s="106" t="s">
        <v>133</v>
      </c>
      <c r="G800" s="152" t="str">
        <f>IFERROR(__xludf.DUMMYFUNCTION("""COMPUTED_VALUE"""),"")</f>
        <v/>
      </c>
      <c r="H800" s="106" t="s">
        <v>133</v>
      </c>
      <c r="I800" s="136"/>
      <c r="J800" s="139" t="s">
        <v>133</v>
      </c>
      <c r="K800" s="136" t="s">
        <v>133</v>
      </c>
      <c r="L800" s="153" t="str">
        <f>IFERROR(__xludf.DUMMYFUNCTION("""COMPUTED_VALUE"""),"")</f>
        <v/>
      </c>
      <c r="M800" s="136" t="str">
        <f t="shared" si="1"/>
        <v/>
      </c>
      <c r="N800" s="136" t="str">
        <f>IFERROR(__xludf.DUMMYFUNCTION("""COMPUTED_VALUE"""),"")</f>
        <v/>
      </c>
      <c r="O800" s="141" t="s">
        <v>133</v>
      </c>
      <c r="P800" s="136" t="str">
        <f>IFERROR(__xludf.DUMMYFUNCTION("""COMPUTED_VALUE"""),"")</f>
        <v/>
      </c>
      <c r="Q800" s="136" t="str">
        <f>IFERROR(__xludf.DUMMYFUNCTION("""COMPUTED_VALUE"""),"")</f>
        <v/>
      </c>
      <c r="R800" s="106" t="str">
        <f>IFERROR(__xludf.DUMMYFUNCTION("""COMPUTED_VALUE"""),"")</f>
        <v/>
      </c>
      <c r="S800" s="106" t="str">
        <f>IFERROR(__xludf.DUMMYFUNCTION("""COMPUTED_VALUE"""),"")</f>
        <v/>
      </c>
      <c r="T800" s="139" t="str">
        <f>IFERROR(__xludf.DUMMYFUNCTION("""COMPUTED_VALUE"""),"")</f>
        <v/>
      </c>
      <c r="U800" s="139" t="str">
        <f>IFERROR(__xludf.DUMMYFUNCTION("""COMPUTED_VALUE"""),"")</f>
        <v/>
      </c>
      <c r="V800" s="136" t="str">
        <f>IFERROR(__xludf.DUMMYFUNCTION("""COMPUTED_VALUE"""),"")</f>
        <v/>
      </c>
      <c r="W800" s="106" t="str">
        <f>IFERROR(__xludf.DUMMYFUNCTION("""COMPUTED_VALUE"""),"")</f>
        <v/>
      </c>
      <c r="X800" s="143" t="str">
        <f t="shared" si="2"/>
        <v/>
      </c>
      <c r="Y800" s="139" t="str">
        <f>IFERROR(__xludf.DUMMYFUNCTION("""COMPUTED_VALUE"""),"")</f>
        <v/>
      </c>
      <c r="Z800" s="141" t="str">
        <f>IFERROR(__xludf.DUMMYFUNCTION("""COMPUTED_VALUE"""),"")</f>
        <v/>
      </c>
    </row>
    <row r="801">
      <c r="C801" s="136" t="str">
        <f>IFERROR(__xludf.DUMMYFUNCTION("""COMPUTED_VALUE"""),"")</f>
        <v/>
      </c>
      <c r="D801" s="136" t="str">
        <f t="shared" si="3"/>
        <v/>
      </c>
      <c r="E801" s="152" t="str">
        <f>IFERROR(__xludf.DUMMYFUNCTION("""COMPUTED_VALUE"""),"")</f>
        <v/>
      </c>
      <c r="F801" s="106" t="s">
        <v>133</v>
      </c>
      <c r="G801" s="152" t="str">
        <f>IFERROR(__xludf.DUMMYFUNCTION("""COMPUTED_VALUE"""),"")</f>
        <v/>
      </c>
      <c r="H801" s="106" t="s">
        <v>133</v>
      </c>
      <c r="I801" s="136"/>
      <c r="J801" s="139" t="s">
        <v>133</v>
      </c>
      <c r="K801" s="136" t="s">
        <v>133</v>
      </c>
      <c r="L801" s="153" t="str">
        <f>IFERROR(__xludf.DUMMYFUNCTION("""COMPUTED_VALUE"""),"")</f>
        <v/>
      </c>
      <c r="M801" s="136" t="str">
        <f t="shared" si="1"/>
        <v/>
      </c>
      <c r="N801" s="136" t="str">
        <f>IFERROR(__xludf.DUMMYFUNCTION("""COMPUTED_VALUE"""),"")</f>
        <v/>
      </c>
      <c r="O801" s="141" t="s">
        <v>133</v>
      </c>
      <c r="P801" s="136" t="str">
        <f>IFERROR(__xludf.DUMMYFUNCTION("""COMPUTED_VALUE"""),"")</f>
        <v/>
      </c>
      <c r="Q801" s="136" t="str">
        <f>IFERROR(__xludf.DUMMYFUNCTION("""COMPUTED_VALUE"""),"")</f>
        <v/>
      </c>
      <c r="R801" s="106" t="str">
        <f>IFERROR(__xludf.DUMMYFUNCTION("""COMPUTED_VALUE"""),"")</f>
        <v/>
      </c>
      <c r="S801" s="106" t="str">
        <f>IFERROR(__xludf.DUMMYFUNCTION("""COMPUTED_VALUE"""),"")</f>
        <v/>
      </c>
      <c r="T801" s="139" t="str">
        <f>IFERROR(__xludf.DUMMYFUNCTION("""COMPUTED_VALUE"""),"")</f>
        <v/>
      </c>
      <c r="U801" s="139" t="str">
        <f>IFERROR(__xludf.DUMMYFUNCTION("""COMPUTED_VALUE"""),"")</f>
        <v/>
      </c>
      <c r="V801" s="136" t="str">
        <f>IFERROR(__xludf.DUMMYFUNCTION("""COMPUTED_VALUE"""),"")</f>
        <v/>
      </c>
      <c r="W801" s="106" t="str">
        <f>IFERROR(__xludf.DUMMYFUNCTION("""COMPUTED_VALUE"""),"")</f>
        <v/>
      </c>
      <c r="X801" s="143" t="str">
        <f t="shared" si="2"/>
        <v/>
      </c>
      <c r="Y801" s="139" t="str">
        <f>IFERROR(__xludf.DUMMYFUNCTION("""COMPUTED_VALUE"""),"")</f>
        <v/>
      </c>
      <c r="Z801" s="141" t="str">
        <f>IFERROR(__xludf.DUMMYFUNCTION("""COMPUTED_VALUE"""),"")</f>
        <v/>
      </c>
    </row>
    <row r="802">
      <c r="C802" s="136" t="str">
        <f>IFERROR(__xludf.DUMMYFUNCTION("""COMPUTED_VALUE"""),"")</f>
        <v/>
      </c>
      <c r="D802" s="136" t="str">
        <f t="shared" si="3"/>
        <v/>
      </c>
      <c r="E802" s="152" t="str">
        <f>IFERROR(__xludf.DUMMYFUNCTION("""COMPUTED_VALUE"""),"")</f>
        <v/>
      </c>
      <c r="F802" s="106" t="s">
        <v>133</v>
      </c>
      <c r="G802" s="152" t="str">
        <f>IFERROR(__xludf.DUMMYFUNCTION("""COMPUTED_VALUE"""),"")</f>
        <v/>
      </c>
      <c r="H802" s="106" t="s">
        <v>133</v>
      </c>
      <c r="I802" s="136"/>
      <c r="J802" s="139" t="s">
        <v>133</v>
      </c>
      <c r="K802" s="136" t="s">
        <v>133</v>
      </c>
      <c r="L802" s="153" t="str">
        <f>IFERROR(__xludf.DUMMYFUNCTION("""COMPUTED_VALUE"""),"")</f>
        <v/>
      </c>
      <c r="M802" s="136" t="str">
        <f t="shared" si="1"/>
        <v/>
      </c>
      <c r="N802" s="136" t="str">
        <f>IFERROR(__xludf.DUMMYFUNCTION("""COMPUTED_VALUE"""),"")</f>
        <v/>
      </c>
      <c r="O802" s="141" t="s">
        <v>133</v>
      </c>
      <c r="P802" s="136" t="str">
        <f>IFERROR(__xludf.DUMMYFUNCTION("""COMPUTED_VALUE"""),"")</f>
        <v/>
      </c>
      <c r="Q802" s="136" t="str">
        <f>IFERROR(__xludf.DUMMYFUNCTION("""COMPUTED_VALUE"""),"")</f>
        <v/>
      </c>
      <c r="R802" s="106" t="str">
        <f>IFERROR(__xludf.DUMMYFUNCTION("""COMPUTED_VALUE"""),"")</f>
        <v/>
      </c>
      <c r="S802" s="106" t="str">
        <f>IFERROR(__xludf.DUMMYFUNCTION("""COMPUTED_VALUE"""),"")</f>
        <v/>
      </c>
      <c r="T802" s="139" t="str">
        <f>IFERROR(__xludf.DUMMYFUNCTION("""COMPUTED_VALUE"""),"")</f>
        <v/>
      </c>
      <c r="U802" s="139" t="str">
        <f>IFERROR(__xludf.DUMMYFUNCTION("""COMPUTED_VALUE"""),"")</f>
        <v/>
      </c>
      <c r="V802" s="136" t="str">
        <f>IFERROR(__xludf.DUMMYFUNCTION("""COMPUTED_VALUE"""),"")</f>
        <v/>
      </c>
      <c r="W802" s="106" t="str">
        <f>IFERROR(__xludf.DUMMYFUNCTION("""COMPUTED_VALUE"""),"")</f>
        <v/>
      </c>
      <c r="X802" s="143" t="str">
        <f t="shared" si="2"/>
        <v/>
      </c>
      <c r="Y802" s="139" t="str">
        <f>IFERROR(__xludf.DUMMYFUNCTION("""COMPUTED_VALUE"""),"")</f>
        <v/>
      </c>
      <c r="Z802" s="141" t="str">
        <f>IFERROR(__xludf.DUMMYFUNCTION("""COMPUTED_VALUE"""),"")</f>
        <v/>
      </c>
    </row>
    <row r="803">
      <c r="C803" s="136" t="str">
        <f>IFERROR(__xludf.DUMMYFUNCTION("""COMPUTED_VALUE"""),"")</f>
        <v/>
      </c>
      <c r="D803" s="136" t="str">
        <f t="shared" si="3"/>
        <v/>
      </c>
      <c r="E803" s="152" t="str">
        <f>IFERROR(__xludf.DUMMYFUNCTION("""COMPUTED_VALUE"""),"")</f>
        <v/>
      </c>
      <c r="F803" s="106" t="s">
        <v>133</v>
      </c>
      <c r="G803" s="152" t="str">
        <f>IFERROR(__xludf.DUMMYFUNCTION("""COMPUTED_VALUE"""),"")</f>
        <v/>
      </c>
      <c r="H803" s="106" t="s">
        <v>133</v>
      </c>
      <c r="I803" s="136"/>
      <c r="J803" s="139" t="s">
        <v>133</v>
      </c>
      <c r="K803" s="136" t="s">
        <v>133</v>
      </c>
      <c r="L803" s="153" t="str">
        <f>IFERROR(__xludf.DUMMYFUNCTION("""COMPUTED_VALUE"""),"")</f>
        <v/>
      </c>
      <c r="M803" s="136" t="str">
        <f t="shared" si="1"/>
        <v/>
      </c>
      <c r="N803" s="136" t="str">
        <f>IFERROR(__xludf.DUMMYFUNCTION("""COMPUTED_VALUE"""),"")</f>
        <v/>
      </c>
      <c r="O803" s="141" t="s">
        <v>133</v>
      </c>
      <c r="P803" s="136" t="str">
        <f>IFERROR(__xludf.DUMMYFUNCTION("""COMPUTED_VALUE"""),"")</f>
        <v/>
      </c>
      <c r="Q803" s="136" t="str">
        <f>IFERROR(__xludf.DUMMYFUNCTION("""COMPUTED_VALUE"""),"")</f>
        <v/>
      </c>
      <c r="R803" s="106" t="str">
        <f>IFERROR(__xludf.DUMMYFUNCTION("""COMPUTED_VALUE"""),"")</f>
        <v/>
      </c>
      <c r="S803" s="106" t="str">
        <f>IFERROR(__xludf.DUMMYFUNCTION("""COMPUTED_VALUE"""),"")</f>
        <v/>
      </c>
      <c r="T803" s="139" t="str">
        <f>IFERROR(__xludf.DUMMYFUNCTION("""COMPUTED_VALUE"""),"")</f>
        <v/>
      </c>
      <c r="U803" s="139" t="str">
        <f>IFERROR(__xludf.DUMMYFUNCTION("""COMPUTED_VALUE"""),"")</f>
        <v/>
      </c>
      <c r="V803" s="136" t="str">
        <f>IFERROR(__xludf.DUMMYFUNCTION("""COMPUTED_VALUE"""),"")</f>
        <v/>
      </c>
      <c r="W803" s="106" t="str">
        <f>IFERROR(__xludf.DUMMYFUNCTION("""COMPUTED_VALUE"""),"")</f>
        <v/>
      </c>
      <c r="X803" s="143" t="str">
        <f t="shared" si="2"/>
        <v/>
      </c>
      <c r="Y803" s="139" t="str">
        <f>IFERROR(__xludf.DUMMYFUNCTION("""COMPUTED_VALUE"""),"")</f>
        <v/>
      </c>
      <c r="Z803" s="141" t="str">
        <f>IFERROR(__xludf.DUMMYFUNCTION("""COMPUTED_VALUE"""),"")</f>
        <v/>
      </c>
    </row>
    <row r="804">
      <c r="C804" s="136" t="str">
        <f>IFERROR(__xludf.DUMMYFUNCTION("""COMPUTED_VALUE"""),"")</f>
        <v/>
      </c>
      <c r="D804" s="136" t="str">
        <f t="shared" si="3"/>
        <v/>
      </c>
      <c r="E804" s="152" t="str">
        <f>IFERROR(__xludf.DUMMYFUNCTION("""COMPUTED_VALUE"""),"")</f>
        <v/>
      </c>
      <c r="F804" s="106" t="s">
        <v>133</v>
      </c>
      <c r="G804" s="152" t="str">
        <f>IFERROR(__xludf.DUMMYFUNCTION("""COMPUTED_VALUE"""),"")</f>
        <v/>
      </c>
      <c r="H804" s="106" t="s">
        <v>133</v>
      </c>
      <c r="I804" s="136"/>
      <c r="J804" s="139" t="s">
        <v>133</v>
      </c>
      <c r="K804" s="136" t="s">
        <v>133</v>
      </c>
      <c r="L804" s="153" t="str">
        <f>IFERROR(__xludf.DUMMYFUNCTION("""COMPUTED_VALUE"""),"")</f>
        <v/>
      </c>
      <c r="M804" s="136" t="str">
        <f t="shared" si="1"/>
        <v/>
      </c>
      <c r="N804" s="136" t="str">
        <f>IFERROR(__xludf.DUMMYFUNCTION("""COMPUTED_VALUE"""),"")</f>
        <v/>
      </c>
      <c r="O804" s="141" t="s">
        <v>133</v>
      </c>
      <c r="P804" s="136" t="str">
        <f>IFERROR(__xludf.DUMMYFUNCTION("""COMPUTED_VALUE"""),"")</f>
        <v/>
      </c>
      <c r="Q804" s="136" t="str">
        <f>IFERROR(__xludf.DUMMYFUNCTION("""COMPUTED_VALUE"""),"")</f>
        <v/>
      </c>
      <c r="R804" s="106" t="str">
        <f>IFERROR(__xludf.DUMMYFUNCTION("""COMPUTED_VALUE"""),"")</f>
        <v/>
      </c>
      <c r="S804" s="106" t="str">
        <f>IFERROR(__xludf.DUMMYFUNCTION("""COMPUTED_VALUE"""),"")</f>
        <v/>
      </c>
      <c r="T804" s="139" t="str">
        <f>IFERROR(__xludf.DUMMYFUNCTION("""COMPUTED_VALUE"""),"")</f>
        <v/>
      </c>
      <c r="U804" s="139" t="str">
        <f>IFERROR(__xludf.DUMMYFUNCTION("""COMPUTED_VALUE"""),"")</f>
        <v/>
      </c>
      <c r="V804" s="136" t="str">
        <f>IFERROR(__xludf.DUMMYFUNCTION("""COMPUTED_VALUE"""),"")</f>
        <v/>
      </c>
      <c r="W804" s="106" t="str">
        <f>IFERROR(__xludf.DUMMYFUNCTION("""COMPUTED_VALUE"""),"")</f>
        <v/>
      </c>
      <c r="X804" s="143" t="str">
        <f t="shared" si="2"/>
        <v/>
      </c>
      <c r="Y804" s="139" t="str">
        <f>IFERROR(__xludf.DUMMYFUNCTION("""COMPUTED_VALUE"""),"")</f>
        <v/>
      </c>
      <c r="Z804" s="141" t="str">
        <f>IFERROR(__xludf.DUMMYFUNCTION("""COMPUTED_VALUE"""),"")</f>
        <v/>
      </c>
    </row>
    <row r="805">
      <c r="C805" s="136" t="str">
        <f>IFERROR(__xludf.DUMMYFUNCTION("""COMPUTED_VALUE"""),"")</f>
        <v/>
      </c>
      <c r="D805" s="136" t="str">
        <f t="shared" si="3"/>
        <v/>
      </c>
      <c r="E805" s="152" t="str">
        <f>IFERROR(__xludf.DUMMYFUNCTION("""COMPUTED_VALUE"""),"")</f>
        <v/>
      </c>
      <c r="F805" s="106" t="s">
        <v>133</v>
      </c>
      <c r="G805" s="152" t="str">
        <f>IFERROR(__xludf.DUMMYFUNCTION("""COMPUTED_VALUE"""),"")</f>
        <v/>
      </c>
      <c r="H805" s="106" t="s">
        <v>133</v>
      </c>
      <c r="I805" s="136"/>
      <c r="J805" s="139" t="s">
        <v>133</v>
      </c>
      <c r="K805" s="136" t="s">
        <v>133</v>
      </c>
      <c r="L805" s="153" t="str">
        <f>IFERROR(__xludf.DUMMYFUNCTION("""COMPUTED_VALUE"""),"")</f>
        <v/>
      </c>
      <c r="M805" s="136" t="str">
        <f t="shared" si="1"/>
        <v/>
      </c>
      <c r="N805" s="136" t="str">
        <f>IFERROR(__xludf.DUMMYFUNCTION("""COMPUTED_VALUE"""),"")</f>
        <v/>
      </c>
      <c r="O805" s="141" t="s">
        <v>133</v>
      </c>
      <c r="P805" s="136" t="str">
        <f>IFERROR(__xludf.DUMMYFUNCTION("""COMPUTED_VALUE"""),"")</f>
        <v/>
      </c>
      <c r="Q805" s="136" t="str">
        <f>IFERROR(__xludf.DUMMYFUNCTION("""COMPUTED_VALUE"""),"")</f>
        <v/>
      </c>
      <c r="R805" s="106" t="str">
        <f>IFERROR(__xludf.DUMMYFUNCTION("""COMPUTED_VALUE"""),"")</f>
        <v/>
      </c>
      <c r="S805" s="106" t="str">
        <f>IFERROR(__xludf.DUMMYFUNCTION("""COMPUTED_VALUE"""),"")</f>
        <v/>
      </c>
      <c r="T805" s="139" t="str">
        <f>IFERROR(__xludf.DUMMYFUNCTION("""COMPUTED_VALUE"""),"")</f>
        <v/>
      </c>
      <c r="U805" s="139" t="str">
        <f>IFERROR(__xludf.DUMMYFUNCTION("""COMPUTED_VALUE"""),"")</f>
        <v/>
      </c>
      <c r="V805" s="136" t="str">
        <f>IFERROR(__xludf.DUMMYFUNCTION("""COMPUTED_VALUE"""),"")</f>
        <v/>
      </c>
      <c r="W805" s="106" t="str">
        <f>IFERROR(__xludf.DUMMYFUNCTION("""COMPUTED_VALUE"""),"")</f>
        <v/>
      </c>
      <c r="X805" s="143" t="str">
        <f t="shared" si="2"/>
        <v/>
      </c>
      <c r="Y805" s="139" t="str">
        <f>IFERROR(__xludf.DUMMYFUNCTION("""COMPUTED_VALUE"""),"")</f>
        <v/>
      </c>
      <c r="Z805" s="141" t="str">
        <f>IFERROR(__xludf.DUMMYFUNCTION("""COMPUTED_VALUE"""),"")</f>
        <v/>
      </c>
    </row>
    <row r="806">
      <c r="C806" s="136" t="str">
        <f>IFERROR(__xludf.DUMMYFUNCTION("""COMPUTED_VALUE"""),"")</f>
        <v/>
      </c>
      <c r="D806" s="136" t="str">
        <f t="shared" si="3"/>
        <v/>
      </c>
      <c r="E806" s="152" t="str">
        <f>IFERROR(__xludf.DUMMYFUNCTION("""COMPUTED_VALUE"""),"")</f>
        <v/>
      </c>
      <c r="F806" s="106" t="s">
        <v>133</v>
      </c>
      <c r="G806" s="152" t="str">
        <f>IFERROR(__xludf.DUMMYFUNCTION("""COMPUTED_VALUE"""),"")</f>
        <v/>
      </c>
      <c r="H806" s="106" t="s">
        <v>133</v>
      </c>
      <c r="I806" s="136"/>
      <c r="J806" s="139" t="s">
        <v>133</v>
      </c>
      <c r="K806" s="136" t="s">
        <v>133</v>
      </c>
      <c r="L806" s="153" t="str">
        <f>IFERROR(__xludf.DUMMYFUNCTION("""COMPUTED_VALUE"""),"")</f>
        <v/>
      </c>
      <c r="M806" s="136" t="str">
        <f t="shared" si="1"/>
        <v/>
      </c>
      <c r="N806" s="136" t="str">
        <f>IFERROR(__xludf.DUMMYFUNCTION("""COMPUTED_VALUE"""),"")</f>
        <v/>
      </c>
      <c r="O806" s="141" t="s">
        <v>133</v>
      </c>
      <c r="P806" s="136" t="str">
        <f>IFERROR(__xludf.DUMMYFUNCTION("""COMPUTED_VALUE"""),"")</f>
        <v/>
      </c>
      <c r="Q806" s="136" t="str">
        <f>IFERROR(__xludf.DUMMYFUNCTION("""COMPUTED_VALUE"""),"")</f>
        <v/>
      </c>
      <c r="R806" s="106" t="str">
        <f>IFERROR(__xludf.DUMMYFUNCTION("""COMPUTED_VALUE"""),"")</f>
        <v/>
      </c>
      <c r="S806" s="106" t="str">
        <f>IFERROR(__xludf.DUMMYFUNCTION("""COMPUTED_VALUE"""),"")</f>
        <v/>
      </c>
      <c r="T806" s="139" t="str">
        <f>IFERROR(__xludf.DUMMYFUNCTION("""COMPUTED_VALUE"""),"")</f>
        <v/>
      </c>
      <c r="U806" s="139" t="str">
        <f>IFERROR(__xludf.DUMMYFUNCTION("""COMPUTED_VALUE"""),"")</f>
        <v/>
      </c>
      <c r="V806" s="136" t="str">
        <f>IFERROR(__xludf.DUMMYFUNCTION("""COMPUTED_VALUE"""),"")</f>
        <v/>
      </c>
      <c r="W806" s="106" t="str">
        <f>IFERROR(__xludf.DUMMYFUNCTION("""COMPUTED_VALUE"""),"")</f>
        <v/>
      </c>
      <c r="X806" s="143" t="str">
        <f t="shared" si="2"/>
        <v/>
      </c>
      <c r="Y806" s="139" t="str">
        <f>IFERROR(__xludf.DUMMYFUNCTION("""COMPUTED_VALUE"""),"")</f>
        <v/>
      </c>
      <c r="Z806" s="141" t="str">
        <f>IFERROR(__xludf.DUMMYFUNCTION("""COMPUTED_VALUE"""),"")</f>
        <v/>
      </c>
    </row>
    <row r="807">
      <c r="C807" s="136" t="str">
        <f>IFERROR(__xludf.DUMMYFUNCTION("""COMPUTED_VALUE"""),"")</f>
        <v/>
      </c>
      <c r="D807" s="136" t="str">
        <f t="shared" si="3"/>
        <v/>
      </c>
      <c r="E807" s="152" t="str">
        <f>IFERROR(__xludf.DUMMYFUNCTION("""COMPUTED_VALUE"""),"")</f>
        <v/>
      </c>
      <c r="F807" s="106" t="s">
        <v>133</v>
      </c>
      <c r="G807" s="152" t="str">
        <f>IFERROR(__xludf.DUMMYFUNCTION("""COMPUTED_VALUE"""),"")</f>
        <v/>
      </c>
      <c r="H807" s="106" t="s">
        <v>133</v>
      </c>
      <c r="I807" s="136"/>
      <c r="J807" s="139" t="s">
        <v>133</v>
      </c>
      <c r="K807" s="136" t="s">
        <v>133</v>
      </c>
      <c r="L807" s="153" t="str">
        <f>IFERROR(__xludf.DUMMYFUNCTION("""COMPUTED_VALUE"""),"")</f>
        <v/>
      </c>
      <c r="M807" s="136" t="str">
        <f t="shared" si="1"/>
        <v/>
      </c>
      <c r="N807" s="136" t="str">
        <f>IFERROR(__xludf.DUMMYFUNCTION("""COMPUTED_VALUE"""),"")</f>
        <v/>
      </c>
      <c r="O807" s="141" t="s">
        <v>133</v>
      </c>
      <c r="P807" s="136" t="str">
        <f>IFERROR(__xludf.DUMMYFUNCTION("""COMPUTED_VALUE"""),"")</f>
        <v/>
      </c>
      <c r="Q807" s="136" t="str">
        <f>IFERROR(__xludf.DUMMYFUNCTION("""COMPUTED_VALUE"""),"")</f>
        <v/>
      </c>
      <c r="R807" s="106" t="str">
        <f>IFERROR(__xludf.DUMMYFUNCTION("""COMPUTED_VALUE"""),"")</f>
        <v/>
      </c>
      <c r="S807" s="106" t="str">
        <f>IFERROR(__xludf.DUMMYFUNCTION("""COMPUTED_VALUE"""),"")</f>
        <v/>
      </c>
      <c r="T807" s="139" t="str">
        <f>IFERROR(__xludf.DUMMYFUNCTION("""COMPUTED_VALUE"""),"")</f>
        <v/>
      </c>
      <c r="U807" s="139" t="str">
        <f>IFERROR(__xludf.DUMMYFUNCTION("""COMPUTED_VALUE"""),"")</f>
        <v/>
      </c>
      <c r="V807" s="136" t="str">
        <f>IFERROR(__xludf.DUMMYFUNCTION("""COMPUTED_VALUE"""),"")</f>
        <v/>
      </c>
      <c r="W807" s="106" t="str">
        <f>IFERROR(__xludf.DUMMYFUNCTION("""COMPUTED_VALUE"""),"")</f>
        <v/>
      </c>
      <c r="X807" s="143" t="str">
        <f t="shared" si="2"/>
        <v/>
      </c>
      <c r="Y807" s="139" t="str">
        <f>IFERROR(__xludf.DUMMYFUNCTION("""COMPUTED_VALUE"""),"")</f>
        <v/>
      </c>
      <c r="Z807" s="141" t="str">
        <f>IFERROR(__xludf.DUMMYFUNCTION("""COMPUTED_VALUE"""),"")</f>
        <v/>
      </c>
    </row>
    <row r="808">
      <c r="C808" s="136" t="str">
        <f>IFERROR(__xludf.DUMMYFUNCTION("""COMPUTED_VALUE"""),"")</f>
        <v/>
      </c>
      <c r="D808" s="136" t="str">
        <f t="shared" si="3"/>
        <v/>
      </c>
      <c r="E808" s="152" t="str">
        <f>IFERROR(__xludf.DUMMYFUNCTION("""COMPUTED_VALUE"""),"")</f>
        <v/>
      </c>
      <c r="F808" s="106" t="s">
        <v>133</v>
      </c>
      <c r="G808" s="152" t="str">
        <f>IFERROR(__xludf.DUMMYFUNCTION("""COMPUTED_VALUE"""),"")</f>
        <v/>
      </c>
      <c r="H808" s="106" t="s">
        <v>133</v>
      </c>
      <c r="I808" s="136"/>
      <c r="J808" s="139" t="s">
        <v>133</v>
      </c>
      <c r="K808" s="136" t="s">
        <v>133</v>
      </c>
      <c r="L808" s="153" t="str">
        <f>IFERROR(__xludf.DUMMYFUNCTION("""COMPUTED_VALUE"""),"")</f>
        <v/>
      </c>
      <c r="M808" s="136" t="str">
        <f t="shared" si="1"/>
        <v/>
      </c>
      <c r="N808" s="136" t="str">
        <f>IFERROR(__xludf.DUMMYFUNCTION("""COMPUTED_VALUE"""),"")</f>
        <v/>
      </c>
      <c r="O808" s="141" t="s">
        <v>133</v>
      </c>
      <c r="P808" s="136" t="str">
        <f>IFERROR(__xludf.DUMMYFUNCTION("""COMPUTED_VALUE"""),"")</f>
        <v/>
      </c>
      <c r="Q808" s="136" t="str">
        <f>IFERROR(__xludf.DUMMYFUNCTION("""COMPUTED_VALUE"""),"")</f>
        <v/>
      </c>
      <c r="R808" s="106" t="str">
        <f>IFERROR(__xludf.DUMMYFUNCTION("""COMPUTED_VALUE"""),"")</f>
        <v/>
      </c>
      <c r="S808" s="106" t="str">
        <f>IFERROR(__xludf.DUMMYFUNCTION("""COMPUTED_VALUE"""),"")</f>
        <v/>
      </c>
      <c r="T808" s="139" t="str">
        <f>IFERROR(__xludf.DUMMYFUNCTION("""COMPUTED_VALUE"""),"")</f>
        <v/>
      </c>
      <c r="U808" s="139" t="str">
        <f>IFERROR(__xludf.DUMMYFUNCTION("""COMPUTED_VALUE"""),"")</f>
        <v/>
      </c>
      <c r="V808" s="136" t="str">
        <f>IFERROR(__xludf.DUMMYFUNCTION("""COMPUTED_VALUE"""),"")</f>
        <v/>
      </c>
      <c r="W808" s="106" t="str">
        <f>IFERROR(__xludf.DUMMYFUNCTION("""COMPUTED_VALUE"""),"")</f>
        <v/>
      </c>
      <c r="X808" s="143" t="str">
        <f t="shared" si="2"/>
        <v/>
      </c>
      <c r="Y808" s="139" t="str">
        <f>IFERROR(__xludf.DUMMYFUNCTION("""COMPUTED_VALUE"""),"")</f>
        <v/>
      </c>
      <c r="Z808" s="141" t="str">
        <f>IFERROR(__xludf.DUMMYFUNCTION("""COMPUTED_VALUE"""),"")</f>
        <v/>
      </c>
    </row>
    <row r="809">
      <c r="C809" s="136" t="str">
        <f>IFERROR(__xludf.DUMMYFUNCTION("""COMPUTED_VALUE"""),"")</f>
        <v/>
      </c>
      <c r="D809" s="136" t="str">
        <f t="shared" si="3"/>
        <v/>
      </c>
      <c r="E809" s="152" t="str">
        <f>IFERROR(__xludf.DUMMYFUNCTION("""COMPUTED_VALUE"""),"")</f>
        <v/>
      </c>
      <c r="F809" s="106" t="s">
        <v>133</v>
      </c>
      <c r="G809" s="152" t="str">
        <f>IFERROR(__xludf.DUMMYFUNCTION("""COMPUTED_VALUE"""),"")</f>
        <v/>
      </c>
      <c r="H809" s="106" t="s">
        <v>133</v>
      </c>
      <c r="I809" s="136"/>
      <c r="J809" s="139" t="s">
        <v>133</v>
      </c>
      <c r="K809" s="136" t="s">
        <v>133</v>
      </c>
      <c r="L809" s="153" t="str">
        <f>IFERROR(__xludf.DUMMYFUNCTION("""COMPUTED_VALUE"""),"")</f>
        <v/>
      </c>
      <c r="M809" s="136" t="str">
        <f t="shared" si="1"/>
        <v/>
      </c>
      <c r="N809" s="136" t="str">
        <f>IFERROR(__xludf.DUMMYFUNCTION("""COMPUTED_VALUE"""),"")</f>
        <v/>
      </c>
      <c r="O809" s="141" t="s">
        <v>133</v>
      </c>
      <c r="P809" s="136" t="str">
        <f>IFERROR(__xludf.DUMMYFUNCTION("""COMPUTED_VALUE"""),"")</f>
        <v/>
      </c>
      <c r="Q809" s="136" t="str">
        <f>IFERROR(__xludf.DUMMYFUNCTION("""COMPUTED_VALUE"""),"")</f>
        <v/>
      </c>
      <c r="R809" s="106" t="str">
        <f>IFERROR(__xludf.DUMMYFUNCTION("""COMPUTED_VALUE"""),"")</f>
        <v/>
      </c>
      <c r="S809" s="106" t="str">
        <f>IFERROR(__xludf.DUMMYFUNCTION("""COMPUTED_VALUE"""),"")</f>
        <v/>
      </c>
      <c r="T809" s="139" t="str">
        <f>IFERROR(__xludf.DUMMYFUNCTION("""COMPUTED_VALUE"""),"")</f>
        <v/>
      </c>
      <c r="U809" s="139" t="str">
        <f>IFERROR(__xludf.DUMMYFUNCTION("""COMPUTED_VALUE"""),"")</f>
        <v/>
      </c>
      <c r="V809" s="136" t="str">
        <f>IFERROR(__xludf.DUMMYFUNCTION("""COMPUTED_VALUE"""),"")</f>
        <v/>
      </c>
      <c r="W809" s="106" t="str">
        <f>IFERROR(__xludf.DUMMYFUNCTION("""COMPUTED_VALUE"""),"")</f>
        <v/>
      </c>
      <c r="X809" s="143" t="str">
        <f t="shared" si="2"/>
        <v/>
      </c>
      <c r="Y809" s="139" t="str">
        <f>IFERROR(__xludf.DUMMYFUNCTION("""COMPUTED_VALUE"""),"")</f>
        <v/>
      </c>
      <c r="Z809" s="141" t="str">
        <f>IFERROR(__xludf.DUMMYFUNCTION("""COMPUTED_VALUE"""),"")</f>
        <v/>
      </c>
    </row>
    <row r="810">
      <c r="C810" s="136" t="str">
        <f>IFERROR(__xludf.DUMMYFUNCTION("""COMPUTED_VALUE"""),"")</f>
        <v/>
      </c>
      <c r="D810" s="136" t="str">
        <f t="shared" si="3"/>
        <v/>
      </c>
      <c r="E810" s="152" t="str">
        <f>IFERROR(__xludf.DUMMYFUNCTION("""COMPUTED_VALUE"""),"")</f>
        <v/>
      </c>
      <c r="F810" s="106" t="s">
        <v>133</v>
      </c>
      <c r="G810" s="152" t="str">
        <f>IFERROR(__xludf.DUMMYFUNCTION("""COMPUTED_VALUE"""),"")</f>
        <v/>
      </c>
      <c r="H810" s="106" t="s">
        <v>133</v>
      </c>
      <c r="I810" s="136"/>
      <c r="J810" s="139" t="s">
        <v>133</v>
      </c>
      <c r="K810" s="136" t="s">
        <v>133</v>
      </c>
      <c r="L810" s="153" t="str">
        <f>IFERROR(__xludf.DUMMYFUNCTION("""COMPUTED_VALUE"""),"")</f>
        <v/>
      </c>
      <c r="M810" s="136" t="str">
        <f t="shared" si="1"/>
        <v/>
      </c>
      <c r="N810" s="136" t="str">
        <f>IFERROR(__xludf.DUMMYFUNCTION("""COMPUTED_VALUE"""),"")</f>
        <v/>
      </c>
      <c r="O810" s="141" t="s">
        <v>133</v>
      </c>
      <c r="P810" s="136" t="str">
        <f>IFERROR(__xludf.DUMMYFUNCTION("""COMPUTED_VALUE"""),"")</f>
        <v/>
      </c>
      <c r="Q810" s="136" t="str">
        <f>IFERROR(__xludf.DUMMYFUNCTION("""COMPUTED_VALUE"""),"")</f>
        <v/>
      </c>
      <c r="R810" s="106" t="str">
        <f>IFERROR(__xludf.DUMMYFUNCTION("""COMPUTED_VALUE"""),"")</f>
        <v/>
      </c>
      <c r="S810" s="106" t="str">
        <f>IFERROR(__xludf.DUMMYFUNCTION("""COMPUTED_VALUE"""),"")</f>
        <v/>
      </c>
      <c r="T810" s="139" t="str">
        <f>IFERROR(__xludf.DUMMYFUNCTION("""COMPUTED_VALUE"""),"")</f>
        <v/>
      </c>
      <c r="U810" s="139" t="str">
        <f>IFERROR(__xludf.DUMMYFUNCTION("""COMPUTED_VALUE"""),"")</f>
        <v/>
      </c>
      <c r="V810" s="136" t="str">
        <f>IFERROR(__xludf.DUMMYFUNCTION("""COMPUTED_VALUE"""),"")</f>
        <v/>
      </c>
      <c r="W810" s="106" t="str">
        <f>IFERROR(__xludf.DUMMYFUNCTION("""COMPUTED_VALUE"""),"")</f>
        <v/>
      </c>
      <c r="X810" s="143" t="str">
        <f t="shared" si="2"/>
        <v/>
      </c>
      <c r="Y810" s="139" t="str">
        <f>IFERROR(__xludf.DUMMYFUNCTION("""COMPUTED_VALUE"""),"")</f>
        <v/>
      </c>
      <c r="Z810" s="141" t="str">
        <f>IFERROR(__xludf.DUMMYFUNCTION("""COMPUTED_VALUE"""),"")</f>
        <v/>
      </c>
    </row>
    <row r="811">
      <c r="C811" s="136" t="str">
        <f>IFERROR(__xludf.DUMMYFUNCTION("""COMPUTED_VALUE"""),"")</f>
        <v/>
      </c>
      <c r="D811" s="136" t="str">
        <f t="shared" si="3"/>
        <v/>
      </c>
      <c r="E811" s="152" t="str">
        <f>IFERROR(__xludf.DUMMYFUNCTION("""COMPUTED_VALUE"""),"")</f>
        <v/>
      </c>
      <c r="F811" s="106" t="s">
        <v>133</v>
      </c>
      <c r="G811" s="152" t="str">
        <f>IFERROR(__xludf.DUMMYFUNCTION("""COMPUTED_VALUE"""),"")</f>
        <v/>
      </c>
      <c r="H811" s="106" t="s">
        <v>133</v>
      </c>
      <c r="I811" s="136"/>
      <c r="J811" s="139" t="s">
        <v>133</v>
      </c>
      <c r="K811" s="136" t="s">
        <v>133</v>
      </c>
      <c r="L811" s="153" t="str">
        <f>IFERROR(__xludf.DUMMYFUNCTION("""COMPUTED_VALUE"""),"")</f>
        <v/>
      </c>
      <c r="M811" s="136" t="str">
        <f t="shared" si="1"/>
        <v/>
      </c>
      <c r="N811" s="136" t="str">
        <f>IFERROR(__xludf.DUMMYFUNCTION("""COMPUTED_VALUE"""),"")</f>
        <v/>
      </c>
      <c r="O811" s="141" t="s">
        <v>133</v>
      </c>
      <c r="P811" s="136" t="str">
        <f>IFERROR(__xludf.DUMMYFUNCTION("""COMPUTED_VALUE"""),"")</f>
        <v/>
      </c>
      <c r="Q811" s="136" t="str">
        <f>IFERROR(__xludf.DUMMYFUNCTION("""COMPUTED_VALUE"""),"")</f>
        <v/>
      </c>
      <c r="R811" s="106" t="str">
        <f>IFERROR(__xludf.DUMMYFUNCTION("""COMPUTED_VALUE"""),"")</f>
        <v/>
      </c>
      <c r="S811" s="106" t="str">
        <f>IFERROR(__xludf.DUMMYFUNCTION("""COMPUTED_VALUE"""),"")</f>
        <v/>
      </c>
      <c r="T811" s="139" t="str">
        <f>IFERROR(__xludf.DUMMYFUNCTION("""COMPUTED_VALUE"""),"")</f>
        <v/>
      </c>
      <c r="U811" s="139" t="str">
        <f>IFERROR(__xludf.DUMMYFUNCTION("""COMPUTED_VALUE"""),"")</f>
        <v/>
      </c>
      <c r="V811" s="136" t="str">
        <f>IFERROR(__xludf.DUMMYFUNCTION("""COMPUTED_VALUE"""),"")</f>
        <v/>
      </c>
      <c r="W811" s="106" t="str">
        <f>IFERROR(__xludf.DUMMYFUNCTION("""COMPUTED_VALUE"""),"")</f>
        <v/>
      </c>
      <c r="X811" s="143" t="str">
        <f t="shared" si="2"/>
        <v/>
      </c>
      <c r="Y811" s="139" t="str">
        <f>IFERROR(__xludf.DUMMYFUNCTION("""COMPUTED_VALUE"""),"")</f>
        <v/>
      </c>
      <c r="Z811" s="141" t="str">
        <f>IFERROR(__xludf.DUMMYFUNCTION("""COMPUTED_VALUE"""),"")</f>
        <v/>
      </c>
    </row>
    <row r="812">
      <c r="C812" s="136" t="str">
        <f>IFERROR(__xludf.DUMMYFUNCTION("""COMPUTED_VALUE"""),"")</f>
        <v/>
      </c>
      <c r="D812" s="136" t="str">
        <f t="shared" si="3"/>
        <v/>
      </c>
      <c r="E812" s="152" t="str">
        <f>IFERROR(__xludf.DUMMYFUNCTION("""COMPUTED_VALUE"""),"")</f>
        <v/>
      </c>
      <c r="F812" s="106" t="s">
        <v>133</v>
      </c>
      <c r="G812" s="152" t="str">
        <f>IFERROR(__xludf.DUMMYFUNCTION("""COMPUTED_VALUE"""),"")</f>
        <v/>
      </c>
      <c r="H812" s="106" t="s">
        <v>133</v>
      </c>
      <c r="I812" s="136"/>
      <c r="J812" s="139" t="s">
        <v>133</v>
      </c>
      <c r="K812" s="136" t="s">
        <v>133</v>
      </c>
      <c r="L812" s="153" t="str">
        <f>IFERROR(__xludf.DUMMYFUNCTION("""COMPUTED_VALUE"""),"")</f>
        <v/>
      </c>
      <c r="M812" s="136" t="str">
        <f t="shared" si="1"/>
        <v/>
      </c>
      <c r="N812" s="136" t="str">
        <f>IFERROR(__xludf.DUMMYFUNCTION("""COMPUTED_VALUE"""),"")</f>
        <v/>
      </c>
      <c r="O812" s="141" t="s">
        <v>133</v>
      </c>
      <c r="P812" s="136" t="str">
        <f>IFERROR(__xludf.DUMMYFUNCTION("""COMPUTED_VALUE"""),"")</f>
        <v/>
      </c>
      <c r="Q812" s="136" t="str">
        <f>IFERROR(__xludf.DUMMYFUNCTION("""COMPUTED_VALUE"""),"")</f>
        <v/>
      </c>
      <c r="R812" s="106" t="str">
        <f>IFERROR(__xludf.DUMMYFUNCTION("""COMPUTED_VALUE"""),"")</f>
        <v/>
      </c>
      <c r="S812" s="106" t="str">
        <f>IFERROR(__xludf.DUMMYFUNCTION("""COMPUTED_VALUE"""),"")</f>
        <v/>
      </c>
      <c r="T812" s="139" t="str">
        <f>IFERROR(__xludf.DUMMYFUNCTION("""COMPUTED_VALUE"""),"")</f>
        <v/>
      </c>
      <c r="U812" s="139" t="str">
        <f>IFERROR(__xludf.DUMMYFUNCTION("""COMPUTED_VALUE"""),"")</f>
        <v/>
      </c>
      <c r="V812" s="136" t="str">
        <f>IFERROR(__xludf.DUMMYFUNCTION("""COMPUTED_VALUE"""),"")</f>
        <v/>
      </c>
      <c r="W812" s="106" t="str">
        <f>IFERROR(__xludf.DUMMYFUNCTION("""COMPUTED_VALUE"""),"")</f>
        <v/>
      </c>
      <c r="X812" s="143" t="str">
        <f t="shared" si="2"/>
        <v/>
      </c>
      <c r="Y812" s="139" t="str">
        <f>IFERROR(__xludf.DUMMYFUNCTION("""COMPUTED_VALUE"""),"")</f>
        <v/>
      </c>
      <c r="Z812" s="141" t="str">
        <f>IFERROR(__xludf.DUMMYFUNCTION("""COMPUTED_VALUE"""),"")</f>
        <v/>
      </c>
    </row>
    <row r="813">
      <c r="C813" s="136" t="str">
        <f>IFERROR(__xludf.DUMMYFUNCTION("""COMPUTED_VALUE"""),"")</f>
        <v/>
      </c>
      <c r="D813" s="136" t="str">
        <f t="shared" si="3"/>
        <v/>
      </c>
      <c r="E813" s="152" t="str">
        <f>IFERROR(__xludf.DUMMYFUNCTION("""COMPUTED_VALUE"""),"")</f>
        <v/>
      </c>
      <c r="F813" s="106" t="s">
        <v>133</v>
      </c>
      <c r="G813" s="152" t="str">
        <f>IFERROR(__xludf.DUMMYFUNCTION("""COMPUTED_VALUE"""),"")</f>
        <v/>
      </c>
      <c r="H813" s="106" t="s">
        <v>133</v>
      </c>
      <c r="I813" s="136"/>
      <c r="J813" s="139" t="s">
        <v>133</v>
      </c>
      <c r="K813" s="136" t="s">
        <v>133</v>
      </c>
      <c r="L813" s="153" t="str">
        <f>IFERROR(__xludf.DUMMYFUNCTION("""COMPUTED_VALUE"""),"")</f>
        <v/>
      </c>
      <c r="M813" s="136" t="str">
        <f t="shared" si="1"/>
        <v/>
      </c>
      <c r="N813" s="136" t="str">
        <f>IFERROR(__xludf.DUMMYFUNCTION("""COMPUTED_VALUE"""),"")</f>
        <v/>
      </c>
      <c r="O813" s="141" t="s">
        <v>133</v>
      </c>
      <c r="P813" s="136" t="str">
        <f>IFERROR(__xludf.DUMMYFUNCTION("""COMPUTED_VALUE"""),"")</f>
        <v/>
      </c>
      <c r="Q813" s="136" t="str">
        <f>IFERROR(__xludf.DUMMYFUNCTION("""COMPUTED_VALUE"""),"")</f>
        <v/>
      </c>
      <c r="R813" s="106" t="str">
        <f>IFERROR(__xludf.DUMMYFUNCTION("""COMPUTED_VALUE"""),"")</f>
        <v/>
      </c>
      <c r="S813" s="106" t="str">
        <f>IFERROR(__xludf.DUMMYFUNCTION("""COMPUTED_VALUE"""),"")</f>
        <v/>
      </c>
      <c r="T813" s="139" t="str">
        <f>IFERROR(__xludf.DUMMYFUNCTION("""COMPUTED_VALUE"""),"")</f>
        <v/>
      </c>
      <c r="U813" s="139" t="str">
        <f>IFERROR(__xludf.DUMMYFUNCTION("""COMPUTED_VALUE"""),"")</f>
        <v/>
      </c>
      <c r="V813" s="136" t="str">
        <f>IFERROR(__xludf.DUMMYFUNCTION("""COMPUTED_VALUE"""),"")</f>
        <v/>
      </c>
      <c r="W813" s="106" t="str">
        <f>IFERROR(__xludf.DUMMYFUNCTION("""COMPUTED_VALUE"""),"")</f>
        <v/>
      </c>
      <c r="X813" s="143" t="str">
        <f t="shared" si="2"/>
        <v/>
      </c>
      <c r="Y813" s="139" t="str">
        <f>IFERROR(__xludf.DUMMYFUNCTION("""COMPUTED_VALUE"""),"")</f>
        <v/>
      </c>
      <c r="Z813" s="141" t="str">
        <f>IFERROR(__xludf.DUMMYFUNCTION("""COMPUTED_VALUE"""),"")</f>
        <v/>
      </c>
    </row>
    <row r="814">
      <c r="C814" s="136" t="str">
        <f>IFERROR(__xludf.DUMMYFUNCTION("""COMPUTED_VALUE"""),"")</f>
        <v/>
      </c>
      <c r="D814" s="136" t="str">
        <f t="shared" si="3"/>
        <v/>
      </c>
      <c r="E814" s="152" t="str">
        <f>IFERROR(__xludf.DUMMYFUNCTION("""COMPUTED_VALUE"""),"")</f>
        <v/>
      </c>
      <c r="F814" s="106" t="s">
        <v>133</v>
      </c>
      <c r="G814" s="152" t="str">
        <f>IFERROR(__xludf.DUMMYFUNCTION("""COMPUTED_VALUE"""),"")</f>
        <v/>
      </c>
      <c r="H814" s="106" t="s">
        <v>133</v>
      </c>
      <c r="I814" s="136"/>
      <c r="J814" s="139" t="s">
        <v>133</v>
      </c>
      <c r="K814" s="136" t="s">
        <v>133</v>
      </c>
      <c r="L814" s="153" t="str">
        <f>IFERROR(__xludf.DUMMYFUNCTION("""COMPUTED_VALUE"""),"")</f>
        <v/>
      </c>
      <c r="M814" s="136" t="str">
        <f t="shared" si="1"/>
        <v/>
      </c>
      <c r="N814" s="136" t="str">
        <f>IFERROR(__xludf.DUMMYFUNCTION("""COMPUTED_VALUE"""),"")</f>
        <v/>
      </c>
      <c r="O814" s="141" t="s">
        <v>133</v>
      </c>
      <c r="P814" s="136" t="str">
        <f>IFERROR(__xludf.DUMMYFUNCTION("""COMPUTED_VALUE"""),"")</f>
        <v/>
      </c>
      <c r="Q814" s="136" t="str">
        <f>IFERROR(__xludf.DUMMYFUNCTION("""COMPUTED_VALUE"""),"")</f>
        <v/>
      </c>
      <c r="R814" s="106" t="str">
        <f>IFERROR(__xludf.DUMMYFUNCTION("""COMPUTED_VALUE"""),"")</f>
        <v/>
      </c>
      <c r="S814" s="106" t="str">
        <f>IFERROR(__xludf.DUMMYFUNCTION("""COMPUTED_VALUE"""),"")</f>
        <v/>
      </c>
      <c r="T814" s="139" t="str">
        <f>IFERROR(__xludf.DUMMYFUNCTION("""COMPUTED_VALUE"""),"")</f>
        <v/>
      </c>
      <c r="U814" s="139" t="str">
        <f>IFERROR(__xludf.DUMMYFUNCTION("""COMPUTED_VALUE"""),"")</f>
        <v/>
      </c>
      <c r="V814" s="136" t="str">
        <f>IFERROR(__xludf.DUMMYFUNCTION("""COMPUTED_VALUE"""),"")</f>
        <v/>
      </c>
      <c r="W814" s="106" t="str">
        <f>IFERROR(__xludf.DUMMYFUNCTION("""COMPUTED_VALUE"""),"")</f>
        <v/>
      </c>
      <c r="X814" s="143" t="str">
        <f t="shared" si="2"/>
        <v/>
      </c>
      <c r="Y814" s="139" t="str">
        <f>IFERROR(__xludf.DUMMYFUNCTION("""COMPUTED_VALUE"""),"")</f>
        <v/>
      </c>
      <c r="Z814" s="141" t="str">
        <f>IFERROR(__xludf.DUMMYFUNCTION("""COMPUTED_VALUE"""),"")</f>
        <v/>
      </c>
    </row>
    <row r="815">
      <c r="C815" s="136" t="str">
        <f>IFERROR(__xludf.DUMMYFUNCTION("""COMPUTED_VALUE"""),"")</f>
        <v/>
      </c>
      <c r="D815" s="136" t="str">
        <f t="shared" si="3"/>
        <v/>
      </c>
      <c r="E815" s="152" t="str">
        <f>IFERROR(__xludf.DUMMYFUNCTION("""COMPUTED_VALUE"""),"")</f>
        <v/>
      </c>
      <c r="F815" s="106" t="s">
        <v>133</v>
      </c>
      <c r="G815" s="152" t="str">
        <f>IFERROR(__xludf.DUMMYFUNCTION("""COMPUTED_VALUE"""),"")</f>
        <v/>
      </c>
      <c r="H815" s="106" t="s">
        <v>133</v>
      </c>
      <c r="I815" s="136"/>
      <c r="J815" s="139" t="s">
        <v>133</v>
      </c>
      <c r="K815" s="136" t="s">
        <v>133</v>
      </c>
      <c r="L815" s="153" t="str">
        <f>IFERROR(__xludf.DUMMYFUNCTION("""COMPUTED_VALUE"""),"")</f>
        <v/>
      </c>
      <c r="M815" s="136" t="str">
        <f t="shared" si="1"/>
        <v/>
      </c>
      <c r="N815" s="136" t="str">
        <f>IFERROR(__xludf.DUMMYFUNCTION("""COMPUTED_VALUE"""),"")</f>
        <v/>
      </c>
      <c r="O815" s="141" t="s">
        <v>133</v>
      </c>
      <c r="P815" s="136" t="str">
        <f>IFERROR(__xludf.DUMMYFUNCTION("""COMPUTED_VALUE"""),"")</f>
        <v/>
      </c>
      <c r="Q815" s="136" t="str">
        <f>IFERROR(__xludf.DUMMYFUNCTION("""COMPUTED_VALUE"""),"")</f>
        <v/>
      </c>
      <c r="R815" s="106" t="str">
        <f>IFERROR(__xludf.DUMMYFUNCTION("""COMPUTED_VALUE"""),"")</f>
        <v/>
      </c>
      <c r="S815" s="106" t="str">
        <f>IFERROR(__xludf.DUMMYFUNCTION("""COMPUTED_VALUE"""),"")</f>
        <v/>
      </c>
      <c r="T815" s="139" t="str">
        <f>IFERROR(__xludf.DUMMYFUNCTION("""COMPUTED_VALUE"""),"")</f>
        <v/>
      </c>
      <c r="U815" s="139" t="str">
        <f>IFERROR(__xludf.DUMMYFUNCTION("""COMPUTED_VALUE"""),"")</f>
        <v/>
      </c>
      <c r="V815" s="136" t="str">
        <f>IFERROR(__xludf.DUMMYFUNCTION("""COMPUTED_VALUE"""),"")</f>
        <v/>
      </c>
      <c r="W815" s="106" t="str">
        <f>IFERROR(__xludf.DUMMYFUNCTION("""COMPUTED_VALUE"""),"")</f>
        <v/>
      </c>
      <c r="X815" s="143" t="str">
        <f t="shared" si="2"/>
        <v/>
      </c>
      <c r="Y815" s="139" t="str">
        <f>IFERROR(__xludf.DUMMYFUNCTION("""COMPUTED_VALUE"""),"")</f>
        <v/>
      </c>
      <c r="Z815" s="141" t="str">
        <f>IFERROR(__xludf.DUMMYFUNCTION("""COMPUTED_VALUE"""),"")</f>
        <v/>
      </c>
    </row>
    <row r="816">
      <c r="C816" s="136" t="str">
        <f>IFERROR(__xludf.DUMMYFUNCTION("""COMPUTED_VALUE"""),"")</f>
        <v/>
      </c>
      <c r="D816" s="136" t="str">
        <f t="shared" si="3"/>
        <v/>
      </c>
      <c r="E816" s="152" t="str">
        <f>IFERROR(__xludf.DUMMYFUNCTION("""COMPUTED_VALUE"""),"")</f>
        <v/>
      </c>
      <c r="F816" s="106" t="s">
        <v>133</v>
      </c>
      <c r="G816" s="152" t="str">
        <f>IFERROR(__xludf.DUMMYFUNCTION("""COMPUTED_VALUE"""),"")</f>
        <v/>
      </c>
      <c r="H816" s="106" t="s">
        <v>133</v>
      </c>
      <c r="I816" s="136"/>
      <c r="J816" s="139" t="s">
        <v>133</v>
      </c>
      <c r="K816" s="136" t="s">
        <v>133</v>
      </c>
      <c r="L816" s="153" t="str">
        <f>IFERROR(__xludf.DUMMYFUNCTION("""COMPUTED_VALUE"""),"")</f>
        <v/>
      </c>
      <c r="M816" s="136" t="str">
        <f t="shared" si="1"/>
        <v/>
      </c>
      <c r="N816" s="136" t="str">
        <f>IFERROR(__xludf.DUMMYFUNCTION("""COMPUTED_VALUE"""),"")</f>
        <v/>
      </c>
      <c r="O816" s="141" t="s">
        <v>133</v>
      </c>
      <c r="P816" s="136" t="str">
        <f>IFERROR(__xludf.DUMMYFUNCTION("""COMPUTED_VALUE"""),"")</f>
        <v/>
      </c>
      <c r="Q816" s="136" t="str">
        <f>IFERROR(__xludf.DUMMYFUNCTION("""COMPUTED_VALUE"""),"")</f>
        <v/>
      </c>
      <c r="R816" s="106" t="str">
        <f>IFERROR(__xludf.DUMMYFUNCTION("""COMPUTED_VALUE"""),"")</f>
        <v/>
      </c>
      <c r="S816" s="106" t="str">
        <f>IFERROR(__xludf.DUMMYFUNCTION("""COMPUTED_VALUE"""),"")</f>
        <v/>
      </c>
      <c r="T816" s="139" t="str">
        <f>IFERROR(__xludf.DUMMYFUNCTION("""COMPUTED_VALUE"""),"")</f>
        <v/>
      </c>
      <c r="U816" s="139" t="str">
        <f>IFERROR(__xludf.DUMMYFUNCTION("""COMPUTED_VALUE"""),"")</f>
        <v/>
      </c>
      <c r="V816" s="136" t="str">
        <f>IFERROR(__xludf.DUMMYFUNCTION("""COMPUTED_VALUE"""),"")</f>
        <v/>
      </c>
      <c r="W816" s="106" t="str">
        <f>IFERROR(__xludf.DUMMYFUNCTION("""COMPUTED_VALUE"""),"")</f>
        <v/>
      </c>
      <c r="X816" s="143" t="str">
        <f t="shared" si="2"/>
        <v/>
      </c>
      <c r="Y816" s="139" t="str">
        <f>IFERROR(__xludf.DUMMYFUNCTION("""COMPUTED_VALUE"""),"")</f>
        <v/>
      </c>
      <c r="Z816" s="141" t="str">
        <f>IFERROR(__xludf.DUMMYFUNCTION("""COMPUTED_VALUE"""),"")</f>
        <v/>
      </c>
    </row>
    <row r="817">
      <c r="C817" s="136" t="str">
        <f>IFERROR(__xludf.DUMMYFUNCTION("""COMPUTED_VALUE"""),"")</f>
        <v/>
      </c>
      <c r="D817" s="136" t="str">
        <f t="shared" si="3"/>
        <v/>
      </c>
      <c r="E817" s="152" t="str">
        <f>IFERROR(__xludf.DUMMYFUNCTION("""COMPUTED_VALUE"""),"")</f>
        <v/>
      </c>
      <c r="F817" s="106" t="s">
        <v>133</v>
      </c>
      <c r="G817" s="152" t="str">
        <f>IFERROR(__xludf.DUMMYFUNCTION("""COMPUTED_VALUE"""),"")</f>
        <v/>
      </c>
      <c r="H817" s="106" t="s">
        <v>133</v>
      </c>
      <c r="I817" s="136"/>
      <c r="J817" s="139" t="s">
        <v>133</v>
      </c>
      <c r="K817" s="136" t="s">
        <v>133</v>
      </c>
      <c r="L817" s="153" t="str">
        <f>IFERROR(__xludf.DUMMYFUNCTION("""COMPUTED_VALUE"""),"")</f>
        <v/>
      </c>
      <c r="M817" s="136" t="str">
        <f t="shared" si="1"/>
        <v/>
      </c>
      <c r="N817" s="136" t="str">
        <f>IFERROR(__xludf.DUMMYFUNCTION("""COMPUTED_VALUE"""),"")</f>
        <v/>
      </c>
      <c r="O817" s="141" t="s">
        <v>133</v>
      </c>
      <c r="P817" s="136" t="str">
        <f>IFERROR(__xludf.DUMMYFUNCTION("""COMPUTED_VALUE"""),"")</f>
        <v/>
      </c>
      <c r="Q817" s="136" t="str">
        <f>IFERROR(__xludf.DUMMYFUNCTION("""COMPUTED_VALUE"""),"")</f>
        <v/>
      </c>
      <c r="R817" s="106" t="str">
        <f>IFERROR(__xludf.DUMMYFUNCTION("""COMPUTED_VALUE"""),"")</f>
        <v/>
      </c>
      <c r="S817" s="106" t="str">
        <f>IFERROR(__xludf.DUMMYFUNCTION("""COMPUTED_VALUE"""),"")</f>
        <v/>
      </c>
      <c r="T817" s="139" t="str">
        <f>IFERROR(__xludf.DUMMYFUNCTION("""COMPUTED_VALUE"""),"")</f>
        <v/>
      </c>
      <c r="U817" s="139" t="str">
        <f>IFERROR(__xludf.DUMMYFUNCTION("""COMPUTED_VALUE"""),"")</f>
        <v/>
      </c>
      <c r="V817" s="136" t="str">
        <f>IFERROR(__xludf.DUMMYFUNCTION("""COMPUTED_VALUE"""),"")</f>
        <v/>
      </c>
      <c r="W817" s="106" t="str">
        <f>IFERROR(__xludf.DUMMYFUNCTION("""COMPUTED_VALUE"""),"")</f>
        <v/>
      </c>
      <c r="X817" s="143" t="str">
        <f t="shared" si="2"/>
        <v/>
      </c>
      <c r="Y817" s="139" t="str">
        <f>IFERROR(__xludf.DUMMYFUNCTION("""COMPUTED_VALUE"""),"")</f>
        <v/>
      </c>
      <c r="Z817" s="141" t="str">
        <f>IFERROR(__xludf.DUMMYFUNCTION("""COMPUTED_VALUE"""),"")</f>
        <v/>
      </c>
    </row>
    <row r="818">
      <c r="C818" s="136" t="str">
        <f>IFERROR(__xludf.DUMMYFUNCTION("""COMPUTED_VALUE"""),"")</f>
        <v/>
      </c>
      <c r="D818" s="136" t="str">
        <f t="shared" si="3"/>
        <v/>
      </c>
      <c r="E818" s="152" t="str">
        <f>IFERROR(__xludf.DUMMYFUNCTION("""COMPUTED_VALUE"""),"")</f>
        <v/>
      </c>
      <c r="F818" s="106" t="s">
        <v>133</v>
      </c>
      <c r="G818" s="152" t="str">
        <f>IFERROR(__xludf.DUMMYFUNCTION("""COMPUTED_VALUE"""),"")</f>
        <v/>
      </c>
      <c r="H818" s="106" t="s">
        <v>133</v>
      </c>
      <c r="I818" s="136"/>
      <c r="J818" s="139" t="s">
        <v>133</v>
      </c>
      <c r="K818" s="136" t="s">
        <v>133</v>
      </c>
      <c r="L818" s="153" t="str">
        <f>IFERROR(__xludf.DUMMYFUNCTION("""COMPUTED_VALUE"""),"")</f>
        <v/>
      </c>
      <c r="M818" s="136" t="str">
        <f t="shared" si="1"/>
        <v/>
      </c>
      <c r="N818" s="136" t="str">
        <f>IFERROR(__xludf.DUMMYFUNCTION("""COMPUTED_VALUE"""),"")</f>
        <v/>
      </c>
      <c r="O818" s="141" t="s">
        <v>133</v>
      </c>
      <c r="P818" s="136" t="str">
        <f>IFERROR(__xludf.DUMMYFUNCTION("""COMPUTED_VALUE"""),"")</f>
        <v/>
      </c>
      <c r="Q818" s="136" t="str">
        <f>IFERROR(__xludf.DUMMYFUNCTION("""COMPUTED_VALUE"""),"")</f>
        <v/>
      </c>
      <c r="R818" s="106" t="str">
        <f>IFERROR(__xludf.DUMMYFUNCTION("""COMPUTED_VALUE"""),"")</f>
        <v/>
      </c>
      <c r="S818" s="106" t="str">
        <f>IFERROR(__xludf.DUMMYFUNCTION("""COMPUTED_VALUE"""),"")</f>
        <v/>
      </c>
      <c r="T818" s="139" t="str">
        <f>IFERROR(__xludf.DUMMYFUNCTION("""COMPUTED_VALUE"""),"")</f>
        <v/>
      </c>
      <c r="U818" s="139" t="str">
        <f>IFERROR(__xludf.DUMMYFUNCTION("""COMPUTED_VALUE"""),"")</f>
        <v/>
      </c>
      <c r="V818" s="136" t="str">
        <f>IFERROR(__xludf.DUMMYFUNCTION("""COMPUTED_VALUE"""),"")</f>
        <v/>
      </c>
      <c r="W818" s="106" t="str">
        <f>IFERROR(__xludf.DUMMYFUNCTION("""COMPUTED_VALUE"""),"")</f>
        <v/>
      </c>
      <c r="X818" s="143" t="str">
        <f t="shared" si="2"/>
        <v/>
      </c>
      <c r="Y818" s="139" t="str">
        <f>IFERROR(__xludf.DUMMYFUNCTION("""COMPUTED_VALUE"""),"")</f>
        <v/>
      </c>
      <c r="Z818" s="141" t="str">
        <f>IFERROR(__xludf.DUMMYFUNCTION("""COMPUTED_VALUE"""),"")</f>
        <v/>
      </c>
    </row>
    <row r="819">
      <c r="C819" s="136" t="str">
        <f>IFERROR(__xludf.DUMMYFUNCTION("""COMPUTED_VALUE"""),"")</f>
        <v/>
      </c>
      <c r="D819" s="136" t="str">
        <f t="shared" si="3"/>
        <v/>
      </c>
      <c r="E819" s="152" t="str">
        <f>IFERROR(__xludf.DUMMYFUNCTION("""COMPUTED_VALUE"""),"")</f>
        <v/>
      </c>
      <c r="F819" s="106" t="s">
        <v>133</v>
      </c>
      <c r="G819" s="152" t="str">
        <f>IFERROR(__xludf.DUMMYFUNCTION("""COMPUTED_VALUE"""),"")</f>
        <v/>
      </c>
      <c r="H819" s="106" t="s">
        <v>133</v>
      </c>
      <c r="I819" s="136"/>
      <c r="J819" s="139" t="s">
        <v>133</v>
      </c>
      <c r="K819" s="136" t="s">
        <v>133</v>
      </c>
      <c r="L819" s="153" t="str">
        <f>IFERROR(__xludf.DUMMYFUNCTION("""COMPUTED_VALUE"""),"")</f>
        <v/>
      </c>
      <c r="M819" s="136" t="str">
        <f t="shared" si="1"/>
        <v/>
      </c>
      <c r="N819" s="136" t="str">
        <f>IFERROR(__xludf.DUMMYFUNCTION("""COMPUTED_VALUE"""),"")</f>
        <v/>
      </c>
      <c r="O819" s="141" t="s">
        <v>133</v>
      </c>
      <c r="P819" s="136" t="str">
        <f>IFERROR(__xludf.DUMMYFUNCTION("""COMPUTED_VALUE"""),"")</f>
        <v/>
      </c>
      <c r="Q819" s="136" t="str">
        <f>IFERROR(__xludf.DUMMYFUNCTION("""COMPUTED_VALUE"""),"")</f>
        <v/>
      </c>
      <c r="R819" s="106" t="str">
        <f>IFERROR(__xludf.DUMMYFUNCTION("""COMPUTED_VALUE"""),"")</f>
        <v/>
      </c>
      <c r="S819" s="106" t="str">
        <f>IFERROR(__xludf.DUMMYFUNCTION("""COMPUTED_VALUE"""),"")</f>
        <v/>
      </c>
      <c r="T819" s="139" t="str">
        <f>IFERROR(__xludf.DUMMYFUNCTION("""COMPUTED_VALUE"""),"")</f>
        <v/>
      </c>
      <c r="U819" s="139" t="str">
        <f>IFERROR(__xludf.DUMMYFUNCTION("""COMPUTED_VALUE"""),"")</f>
        <v/>
      </c>
      <c r="V819" s="136" t="str">
        <f>IFERROR(__xludf.DUMMYFUNCTION("""COMPUTED_VALUE"""),"")</f>
        <v/>
      </c>
      <c r="W819" s="106" t="str">
        <f>IFERROR(__xludf.DUMMYFUNCTION("""COMPUTED_VALUE"""),"")</f>
        <v/>
      </c>
      <c r="X819" s="143" t="str">
        <f t="shared" si="2"/>
        <v/>
      </c>
      <c r="Y819" s="139" t="str">
        <f>IFERROR(__xludf.DUMMYFUNCTION("""COMPUTED_VALUE"""),"")</f>
        <v/>
      </c>
      <c r="Z819" s="141" t="str">
        <f>IFERROR(__xludf.DUMMYFUNCTION("""COMPUTED_VALUE"""),"")</f>
        <v/>
      </c>
    </row>
    <row r="820">
      <c r="C820" s="136" t="str">
        <f>IFERROR(__xludf.DUMMYFUNCTION("""COMPUTED_VALUE"""),"")</f>
        <v/>
      </c>
      <c r="D820" s="136" t="str">
        <f t="shared" si="3"/>
        <v/>
      </c>
      <c r="E820" s="152" t="str">
        <f>IFERROR(__xludf.DUMMYFUNCTION("""COMPUTED_VALUE"""),"")</f>
        <v/>
      </c>
      <c r="F820" s="106" t="s">
        <v>133</v>
      </c>
      <c r="G820" s="152" t="str">
        <f>IFERROR(__xludf.DUMMYFUNCTION("""COMPUTED_VALUE"""),"")</f>
        <v/>
      </c>
      <c r="H820" s="106" t="s">
        <v>133</v>
      </c>
      <c r="I820" s="136"/>
      <c r="J820" s="139" t="s">
        <v>133</v>
      </c>
      <c r="K820" s="136" t="s">
        <v>133</v>
      </c>
      <c r="L820" s="153" t="str">
        <f>IFERROR(__xludf.DUMMYFUNCTION("""COMPUTED_VALUE"""),"")</f>
        <v/>
      </c>
      <c r="M820" s="136" t="str">
        <f t="shared" si="1"/>
        <v/>
      </c>
      <c r="N820" s="136" t="str">
        <f>IFERROR(__xludf.DUMMYFUNCTION("""COMPUTED_VALUE"""),"")</f>
        <v/>
      </c>
      <c r="O820" s="141" t="s">
        <v>133</v>
      </c>
      <c r="P820" s="136" t="str">
        <f>IFERROR(__xludf.DUMMYFUNCTION("""COMPUTED_VALUE"""),"")</f>
        <v/>
      </c>
      <c r="Q820" s="136" t="str">
        <f>IFERROR(__xludf.DUMMYFUNCTION("""COMPUTED_VALUE"""),"")</f>
        <v/>
      </c>
      <c r="R820" s="106" t="str">
        <f>IFERROR(__xludf.DUMMYFUNCTION("""COMPUTED_VALUE"""),"")</f>
        <v/>
      </c>
      <c r="S820" s="106" t="str">
        <f>IFERROR(__xludf.DUMMYFUNCTION("""COMPUTED_VALUE"""),"")</f>
        <v/>
      </c>
      <c r="T820" s="139" t="str">
        <f>IFERROR(__xludf.DUMMYFUNCTION("""COMPUTED_VALUE"""),"")</f>
        <v/>
      </c>
      <c r="U820" s="139" t="str">
        <f>IFERROR(__xludf.DUMMYFUNCTION("""COMPUTED_VALUE"""),"")</f>
        <v/>
      </c>
      <c r="V820" s="136" t="str">
        <f>IFERROR(__xludf.DUMMYFUNCTION("""COMPUTED_VALUE"""),"")</f>
        <v/>
      </c>
      <c r="W820" s="106" t="str">
        <f>IFERROR(__xludf.DUMMYFUNCTION("""COMPUTED_VALUE"""),"")</f>
        <v/>
      </c>
      <c r="X820" s="143" t="str">
        <f t="shared" si="2"/>
        <v/>
      </c>
      <c r="Y820" s="139" t="str">
        <f>IFERROR(__xludf.DUMMYFUNCTION("""COMPUTED_VALUE"""),"")</f>
        <v/>
      </c>
      <c r="Z820" s="141" t="str">
        <f>IFERROR(__xludf.DUMMYFUNCTION("""COMPUTED_VALUE"""),"")</f>
        <v/>
      </c>
    </row>
    <row r="821">
      <c r="C821" s="136" t="str">
        <f>IFERROR(__xludf.DUMMYFUNCTION("""COMPUTED_VALUE"""),"")</f>
        <v/>
      </c>
      <c r="D821" s="136" t="str">
        <f t="shared" si="3"/>
        <v/>
      </c>
      <c r="E821" s="152" t="str">
        <f>IFERROR(__xludf.DUMMYFUNCTION("""COMPUTED_VALUE"""),"")</f>
        <v/>
      </c>
      <c r="F821" s="106" t="s">
        <v>133</v>
      </c>
      <c r="G821" s="152" t="str">
        <f>IFERROR(__xludf.DUMMYFUNCTION("""COMPUTED_VALUE"""),"")</f>
        <v/>
      </c>
      <c r="H821" s="106" t="s">
        <v>133</v>
      </c>
      <c r="I821" s="136"/>
      <c r="J821" s="139" t="s">
        <v>133</v>
      </c>
      <c r="K821" s="136" t="s">
        <v>133</v>
      </c>
      <c r="L821" s="153" t="str">
        <f>IFERROR(__xludf.DUMMYFUNCTION("""COMPUTED_VALUE"""),"")</f>
        <v/>
      </c>
      <c r="M821" s="136" t="str">
        <f t="shared" si="1"/>
        <v/>
      </c>
      <c r="N821" s="136" t="str">
        <f>IFERROR(__xludf.DUMMYFUNCTION("""COMPUTED_VALUE"""),"")</f>
        <v/>
      </c>
      <c r="O821" s="141" t="s">
        <v>133</v>
      </c>
      <c r="P821" s="136" t="str">
        <f>IFERROR(__xludf.DUMMYFUNCTION("""COMPUTED_VALUE"""),"")</f>
        <v/>
      </c>
      <c r="Q821" s="136" t="str">
        <f>IFERROR(__xludf.DUMMYFUNCTION("""COMPUTED_VALUE"""),"")</f>
        <v/>
      </c>
      <c r="R821" s="106" t="str">
        <f>IFERROR(__xludf.DUMMYFUNCTION("""COMPUTED_VALUE"""),"")</f>
        <v/>
      </c>
      <c r="S821" s="106" t="str">
        <f>IFERROR(__xludf.DUMMYFUNCTION("""COMPUTED_VALUE"""),"")</f>
        <v/>
      </c>
      <c r="T821" s="139" t="str">
        <f>IFERROR(__xludf.DUMMYFUNCTION("""COMPUTED_VALUE"""),"")</f>
        <v/>
      </c>
      <c r="U821" s="139" t="str">
        <f>IFERROR(__xludf.DUMMYFUNCTION("""COMPUTED_VALUE"""),"")</f>
        <v/>
      </c>
      <c r="V821" s="136" t="str">
        <f>IFERROR(__xludf.DUMMYFUNCTION("""COMPUTED_VALUE"""),"")</f>
        <v/>
      </c>
      <c r="W821" s="106" t="str">
        <f>IFERROR(__xludf.DUMMYFUNCTION("""COMPUTED_VALUE"""),"")</f>
        <v/>
      </c>
      <c r="X821" s="143" t="str">
        <f t="shared" si="2"/>
        <v/>
      </c>
      <c r="Y821" s="139" t="str">
        <f>IFERROR(__xludf.DUMMYFUNCTION("""COMPUTED_VALUE"""),"")</f>
        <v/>
      </c>
      <c r="Z821" s="141" t="str">
        <f>IFERROR(__xludf.DUMMYFUNCTION("""COMPUTED_VALUE"""),"")</f>
        <v/>
      </c>
    </row>
    <row r="822">
      <c r="C822" s="136" t="str">
        <f>IFERROR(__xludf.DUMMYFUNCTION("""COMPUTED_VALUE"""),"")</f>
        <v/>
      </c>
      <c r="D822" s="136" t="str">
        <f t="shared" si="3"/>
        <v/>
      </c>
      <c r="E822" s="152" t="str">
        <f>IFERROR(__xludf.DUMMYFUNCTION("""COMPUTED_VALUE"""),"")</f>
        <v/>
      </c>
      <c r="F822" s="106" t="s">
        <v>133</v>
      </c>
      <c r="G822" s="152" t="str">
        <f>IFERROR(__xludf.DUMMYFUNCTION("""COMPUTED_VALUE"""),"")</f>
        <v/>
      </c>
      <c r="H822" s="106" t="s">
        <v>133</v>
      </c>
      <c r="I822" s="136"/>
      <c r="J822" s="139" t="s">
        <v>133</v>
      </c>
      <c r="K822" s="136" t="s">
        <v>133</v>
      </c>
      <c r="L822" s="153" t="str">
        <f>IFERROR(__xludf.DUMMYFUNCTION("""COMPUTED_VALUE"""),"")</f>
        <v/>
      </c>
      <c r="M822" s="136" t="str">
        <f t="shared" si="1"/>
        <v/>
      </c>
      <c r="N822" s="136" t="str">
        <f>IFERROR(__xludf.DUMMYFUNCTION("""COMPUTED_VALUE"""),"")</f>
        <v/>
      </c>
      <c r="O822" s="141" t="s">
        <v>133</v>
      </c>
      <c r="P822" s="136" t="str">
        <f>IFERROR(__xludf.DUMMYFUNCTION("""COMPUTED_VALUE"""),"")</f>
        <v/>
      </c>
      <c r="Q822" s="136" t="str">
        <f>IFERROR(__xludf.DUMMYFUNCTION("""COMPUTED_VALUE"""),"")</f>
        <v/>
      </c>
      <c r="R822" s="106" t="str">
        <f>IFERROR(__xludf.DUMMYFUNCTION("""COMPUTED_VALUE"""),"")</f>
        <v/>
      </c>
      <c r="S822" s="106" t="str">
        <f>IFERROR(__xludf.DUMMYFUNCTION("""COMPUTED_VALUE"""),"")</f>
        <v/>
      </c>
      <c r="T822" s="139" t="str">
        <f>IFERROR(__xludf.DUMMYFUNCTION("""COMPUTED_VALUE"""),"")</f>
        <v/>
      </c>
      <c r="U822" s="139" t="str">
        <f>IFERROR(__xludf.DUMMYFUNCTION("""COMPUTED_VALUE"""),"")</f>
        <v/>
      </c>
      <c r="V822" s="136" t="str">
        <f>IFERROR(__xludf.DUMMYFUNCTION("""COMPUTED_VALUE"""),"")</f>
        <v/>
      </c>
      <c r="W822" s="106" t="str">
        <f>IFERROR(__xludf.DUMMYFUNCTION("""COMPUTED_VALUE"""),"")</f>
        <v/>
      </c>
      <c r="X822" s="143" t="str">
        <f t="shared" si="2"/>
        <v/>
      </c>
      <c r="Y822" s="139" t="str">
        <f>IFERROR(__xludf.DUMMYFUNCTION("""COMPUTED_VALUE"""),"")</f>
        <v/>
      </c>
      <c r="Z822" s="141" t="str">
        <f>IFERROR(__xludf.DUMMYFUNCTION("""COMPUTED_VALUE"""),"")</f>
        <v/>
      </c>
    </row>
    <row r="823">
      <c r="C823" s="136" t="str">
        <f>IFERROR(__xludf.DUMMYFUNCTION("""COMPUTED_VALUE"""),"")</f>
        <v/>
      </c>
      <c r="D823" s="136" t="str">
        <f t="shared" si="3"/>
        <v/>
      </c>
      <c r="E823" s="152" t="str">
        <f>IFERROR(__xludf.DUMMYFUNCTION("""COMPUTED_VALUE"""),"")</f>
        <v/>
      </c>
      <c r="F823" s="106" t="s">
        <v>133</v>
      </c>
      <c r="G823" s="152" t="str">
        <f>IFERROR(__xludf.DUMMYFUNCTION("""COMPUTED_VALUE"""),"")</f>
        <v/>
      </c>
      <c r="H823" s="106" t="s">
        <v>133</v>
      </c>
      <c r="I823" s="136"/>
      <c r="J823" s="139" t="s">
        <v>133</v>
      </c>
      <c r="K823" s="136" t="s">
        <v>133</v>
      </c>
      <c r="L823" s="153" t="str">
        <f>IFERROR(__xludf.DUMMYFUNCTION("""COMPUTED_VALUE"""),"")</f>
        <v/>
      </c>
      <c r="M823" s="136" t="str">
        <f t="shared" si="1"/>
        <v/>
      </c>
      <c r="N823" s="136" t="str">
        <f>IFERROR(__xludf.DUMMYFUNCTION("""COMPUTED_VALUE"""),"")</f>
        <v/>
      </c>
      <c r="O823" s="141" t="s">
        <v>133</v>
      </c>
      <c r="P823" s="136" t="str">
        <f>IFERROR(__xludf.DUMMYFUNCTION("""COMPUTED_VALUE"""),"")</f>
        <v/>
      </c>
      <c r="Q823" s="136" t="str">
        <f>IFERROR(__xludf.DUMMYFUNCTION("""COMPUTED_VALUE"""),"")</f>
        <v/>
      </c>
      <c r="R823" s="106" t="str">
        <f>IFERROR(__xludf.DUMMYFUNCTION("""COMPUTED_VALUE"""),"")</f>
        <v/>
      </c>
      <c r="S823" s="106" t="str">
        <f>IFERROR(__xludf.DUMMYFUNCTION("""COMPUTED_VALUE"""),"")</f>
        <v/>
      </c>
      <c r="T823" s="139" t="str">
        <f>IFERROR(__xludf.DUMMYFUNCTION("""COMPUTED_VALUE"""),"")</f>
        <v/>
      </c>
      <c r="U823" s="139" t="str">
        <f>IFERROR(__xludf.DUMMYFUNCTION("""COMPUTED_VALUE"""),"")</f>
        <v/>
      </c>
      <c r="V823" s="136" t="str">
        <f>IFERROR(__xludf.DUMMYFUNCTION("""COMPUTED_VALUE"""),"")</f>
        <v/>
      </c>
      <c r="W823" s="106" t="str">
        <f>IFERROR(__xludf.DUMMYFUNCTION("""COMPUTED_VALUE"""),"")</f>
        <v/>
      </c>
      <c r="X823" s="143" t="str">
        <f t="shared" si="2"/>
        <v/>
      </c>
      <c r="Y823" s="139" t="str">
        <f>IFERROR(__xludf.DUMMYFUNCTION("""COMPUTED_VALUE"""),"")</f>
        <v/>
      </c>
      <c r="Z823" s="141" t="str">
        <f>IFERROR(__xludf.DUMMYFUNCTION("""COMPUTED_VALUE"""),"")</f>
        <v/>
      </c>
    </row>
    <row r="824">
      <c r="C824" s="136" t="str">
        <f>IFERROR(__xludf.DUMMYFUNCTION("""COMPUTED_VALUE"""),"")</f>
        <v/>
      </c>
      <c r="D824" s="136" t="str">
        <f t="shared" si="3"/>
        <v/>
      </c>
      <c r="E824" s="152" t="str">
        <f>IFERROR(__xludf.DUMMYFUNCTION("""COMPUTED_VALUE"""),"")</f>
        <v/>
      </c>
      <c r="F824" s="106" t="s">
        <v>133</v>
      </c>
      <c r="G824" s="152" t="str">
        <f>IFERROR(__xludf.DUMMYFUNCTION("""COMPUTED_VALUE"""),"")</f>
        <v/>
      </c>
      <c r="H824" s="106" t="s">
        <v>133</v>
      </c>
      <c r="I824" s="136"/>
      <c r="J824" s="139" t="s">
        <v>133</v>
      </c>
      <c r="K824" s="136" t="s">
        <v>133</v>
      </c>
      <c r="L824" s="153" t="str">
        <f>IFERROR(__xludf.DUMMYFUNCTION("""COMPUTED_VALUE"""),"")</f>
        <v/>
      </c>
      <c r="M824" s="136" t="str">
        <f t="shared" si="1"/>
        <v/>
      </c>
      <c r="N824" s="136" t="str">
        <f>IFERROR(__xludf.DUMMYFUNCTION("""COMPUTED_VALUE"""),"")</f>
        <v/>
      </c>
      <c r="O824" s="141" t="s">
        <v>133</v>
      </c>
      <c r="P824" s="136" t="str">
        <f>IFERROR(__xludf.DUMMYFUNCTION("""COMPUTED_VALUE"""),"")</f>
        <v/>
      </c>
      <c r="Q824" s="136" t="str">
        <f>IFERROR(__xludf.DUMMYFUNCTION("""COMPUTED_VALUE"""),"")</f>
        <v/>
      </c>
      <c r="R824" s="106" t="str">
        <f>IFERROR(__xludf.DUMMYFUNCTION("""COMPUTED_VALUE"""),"")</f>
        <v/>
      </c>
      <c r="S824" s="106" t="str">
        <f>IFERROR(__xludf.DUMMYFUNCTION("""COMPUTED_VALUE"""),"")</f>
        <v/>
      </c>
      <c r="T824" s="139" t="str">
        <f>IFERROR(__xludf.DUMMYFUNCTION("""COMPUTED_VALUE"""),"")</f>
        <v/>
      </c>
      <c r="U824" s="139" t="str">
        <f>IFERROR(__xludf.DUMMYFUNCTION("""COMPUTED_VALUE"""),"")</f>
        <v/>
      </c>
      <c r="V824" s="136" t="str">
        <f>IFERROR(__xludf.DUMMYFUNCTION("""COMPUTED_VALUE"""),"")</f>
        <v/>
      </c>
      <c r="W824" s="106" t="str">
        <f>IFERROR(__xludf.DUMMYFUNCTION("""COMPUTED_VALUE"""),"")</f>
        <v/>
      </c>
      <c r="X824" s="143" t="str">
        <f t="shared" si="2"/>
        <v/>
      </c>
      <c r="Y824" s="139" t="str">
        <f>IFERROR(__xludf.DUMMYFUNCTION("""COMPUTED_VALUE"""),"")</f>
        <v/>
      </c>
      <c r="Z824" s="141" t="str">
        <f>IFERROR(__xludf.DUMMYFUNCTION("""COMPUTED_VALUE"""),"")</f>
        <v/>
      </c>
    </row>
    <row r="825">
      <c r="C825" s="136" t="str">
        <f>IFERROR(__xludf.DUMMYFUNCTION("""COMPUTED_VALUE"""),"")</f>
        <v/>
      </c>
      <c r="D825" s="136" t="str">
        <f t="shared" si="3"/>
        <v/>
      </c>
      <c r="E825" s="152" t="str">
        <f>IFERROR(__xludf.DUMMYFUNCTION("""COMPUTED_VALUE"""),"")</f>
        <v/>
      </c>
      <c r="F825" s="106" t="s">
        <v>133</v>
      </c>
      <c r="G825" s="152" t="str">
        <f>IFERROR(__xludf.DUMMYFUNCTION("""COMPUTED_VALUE"""),"")</f>
        <v/>
      </c>
      <c r="H825" s="106" t="s">
        <v>133</v>
      </c>
      <c r="I825" s="136"/>
      <c r="J825" s="139" t="s">
        <v>133</v>
      </c>
      <c r="K825" s="136" t="s">
        <v>133</v>
      </c>
      <c r="L825" s="153" t="str">
        <f>IFERROR(__xludf.DUMMYFUNCTION("""COMPUTED_VALUE"""),"")</f>
        <v/>
      </c>
      <c r="M825" s="136" t="str">
        <f t="shared" si="1"/>
        <v/>
      </c>
      <c r="N825" s="136" t="str">
        <f>IFERROR(__xludf.DUMMYFUNCTION("""COMPUTED_VALUE"""),"")</f>
        <v/>
      </c>
      <c r="O825" s="141" t="s">
        <v>133</v>
      </c>
      <c r="P825" s="136" t="str">
        <f>IFERROR(__xludf.DUMMYFUNCTION("""COMPUTED_VALUE"""),"")</f>
        <v/>
      </c>
      <c r="Q825" s="136" t="str">
        <f>IFERROR(__xludf.DUMMYFUNCTION("""COMPUTED_VALUE"""),"")</f>
        <v/>
      </c>
      <c r="R825" s="106" t="str">
        <f>IFERROR(__xludf.DUMMYFUNCTION("""COMPUTED_VALUE"""),"")</f>
        <v/>
      </c>
      <c r="S825" s="106" t="str">
        <f>IFERROR(__xludf.DUMMYFUNCTION("""COMPUTED_VALUE"""),"")</f>
        <v/>
      </c>
      <c r="T825" s="139" t="str">
        <f>IFERROR(__xludf.DUMMYFUNCTION("""COMPUTED_VALUE"""),"")</f>
        <v/>
      </c>
      <c r="U825" s="139" t="str">
        <f>IFERROR(__xludf.DUMMYFUNCTION("""COMPUTED_VALUE"""),"")</f>
        <v/>
      </c>
      <c r="V825" s="136" t="str">
        <f>IFERROR(__xludf.DUMMYFUNCTION("""COMPUTED_VALUE"""),"")</f>
        <v/>
      </c>
      <c r="W825" s="106" t="str">
        <f>IFERROR(__xludf.DUMMYFUNCTION("""COMPUTED_VALUE"""),"")</f>
        <v/>
      </c>
      <c r="X825" s="143" t="str">
        <f t="shared" si="2"/>
        <v/>
      </c>
      <c r="Y825" s="139" t="str">
        <f>IFERROR(__xludf.DUMMYFUNCTION("""COMPUTED_VALUE"""),"")</f>
        <v/>
      </c>
      <c r="Z825" s="141" t="str">
        <f>IFERROR(__xludf.DUMMYFUNCTION("""COMPUTED_VALUE"""),"")</f>
        <v/>
      </c>
    </row>
    <row r="826">
      <c r="C826" s="136" t="str">
        <f>IFERROR(__xludf.DUMMYFUNCTION("""COMPUTED_VALUE"""),"")</f>
        <v/>
      </c>
      <c r="D826" s="136" t="str">
        <f t="shared" si="3"/>
        <v/>
      </c>
      <c r="E826" s="152" t="str">
        <f>IFERROR(__xludf.DUMMYFUNCTION("""COMPUTED_VALUE"""),"")</f>
        <v/>
      </c>
      <c r="F826" s="106" t="s">
        <v>133</v>
      </c>
      <c r="G826" s="152" t="str">
        <f>IFERROR(__xludf.DUMMYFUNCTION("""COMPUTED_VALUE"""),"")</f>
        <v/>
      </c>
      <c r="H826" s="106" t="s">
        <v>133</v>
      </c>
      <c r="I826" s="136"/>
      <c r="J826" s="139" t="s">
        <v>133</v>
      </c>
      <c r="K826" s="136" t="s">
        <v>133</v>
      </c>
      <c r="L826" s="153" t="str">
        <f>IFERROR(__xludf.DUMMYFUNCTION("""COMPUTED_VALUE"""),"")</f>
        <v/>
      </c>
      <c r="M826" s="136" t="str">
        <f t="shared" si="1"/>
        <v/>
      </c>
      <c r="N826" s="136" t="str">
        <f>IFERROR(__xludf.DUMMYFUNCTION("""COMPUTED_VALUE"""),"")</f>
        <v/>
      </c>
      <c r="O826" s="141" t="s">
        <v>133</v>
      </c>
      <c r="P826" s="136" t="str">
        <f>IFERROR(__xludf.DUMMYFUNCTION("""COMPUTED_VALUE"""),"")</f>
        <v/>
      </c>
      <c r="Q826" s="136" t="str">
        <f>IFERROR(__xludf.DUMMYFUNCTION("""COMPUTED_VALUE"""),"")</f>
        <v/>
      </c>
      <c r="R826" s="106" t="str">
        <f>IFERROR(__xludf.DUMMYFUNCTION("""COMPUTED_VALUE"""),"")</f>
        <v/>
      </c>
      <c r="S826" s="106" t="str">
        <f>IFERROR(__xludf.DUMMYFUNCTION("""COMPUTED_VALUE"""),"")</f>
        <v/>
      </c>
      <c r="T826" s="139" t="str">
        <f>IFERROR(__xludf.DUMMYFUNCTION("""COMPUTED_VALUE"""),"")</f>
        <v/>
      </c>
      <c r="U826" s="139" t="str">
        <f>IFERROR(__xludf.DUMMYFUNCTION("""COMPUTED_VALUE"""),"")</f>
        <v/>
      </c>
      <c r="V826" s="136" t="str">
        <f>IFERROR(__xludf.DUMMYFUNCTION("""COMPUTED_VALUE"""),"")</f>
        <v/>
      </c>
      <c r="W826" s="106" t="str">
        <f>IFERROR(__xludf.DUMMYFUNCTION("""COMPUTED_VALUE"""),"")</f>
        <v/>
      </c>
      <c r="X826" s="143" t="str">
        <f t="shared" si="2"/>
        <v/>
      </c>
      <c r="Y826" s="139" t="str">
        <f>IFERROR(__xludf.DUMMYFUNCTION("""COMPUTED_VALUE"""),"")</f>
        <v/>
      </c>
      <c r="Z826" s="141" t="str">
        <f>IFERROR(__xludf.DUMMYFUNCTION("""COMPUTED_VALUE"""),"")</f>
        <v/>
      </c>
    </row>
    <row r="827">
      <c r="C827" s="136" t="str">
        <f>IFERROR(__xludf.DUMMYFUNCTION("""COMPUTED_VALUE"""),"")</f>
        <v/>
      </c>
      <c r="D827" s="136" t="str">
        <f t="shared" si="3"/>
        <v/>
      </c>
      <c r="E827" s="152" t="str">
        <f>IFERROR(__xludf.DUMMYFUNCTION("""COMPUTED_VALUE"""),"")</f>
        <v/>
      </c>
      <c r="F827" s="106" t="s">
        <v>133</v>
      </c>
      <c r="G827" s="152" t="str">
        <f>IFERROR(__xludf.DUMMYFUNCTION("""COMPUTED_VALUE"""),"")</f>
        <v/>
      </c>
      <c r="H827" s="106" t="s">
        <v>133</v>
      </c>
      <c r="I827" s="136"/>
      <c r="J827" s="139" t="s">
        <v>133</v>
      </c>
      <c r="K827" s="136" t="s">
        <v>133</v>
      </c>
      <c r="L827" s="153" t="str">
        <f>IFERROR(__xludf.DUMMYFUNCTION("""COMPUTED_VALUE"""),"")</f>
        <v/>
      </c>
      <c r="M827" s="136" t="str">
        <f t="shared" si="1"/>
        <v/>
      </c>
      <c r="N827" s="136" t="str">
        <f>IFERROR(__xludf.DUMMYFUNCTION("""COMPUTED_VALUE"""),"")</f>
        <v/>
      </c>
      <c r="O827" s="141" t="s">
        <v>133</v>
      </c>
      <c r="P827" s="136" t="str">
        <f>IFERROR(__xludf.DUMMYFUNCTION("""COMPUTED_VALUE"""),"")</f>
        <v/>
      </c>
      <c r="Q827" s="136" t="str">
        <f>IFERROR(__xludf.DUMMYFUNCTION("""COMPUTED_VALUE"""),"")</f>
        <v/>
      </c>
      <c r="R827" s="106" t="str">
        <f>IFERROR(__xludf.DUMMYFUNCTION("""COMPUTED_VALUE"""),"")</f>
        <v/>
      </c>
      <c r="S827" s="106" t="str">
        <f>IFERROR(__xludf.DUMMYFUNCTION("""COMPUTED_VALUE"""),"")</f>
        <v/>
      </c>
      <c r="T827" s="139" t="str">
        <f>IFERROR(__xludf.DUMMYFUNCTION("""COMPUTED_VALUE"""),"")</f>
        <v/>
      </c>
      <c r="U827" s="139" t="str">
        <f>IFERROR(__xludf.DUMMYFUNCTION("""COMPUTED_VALUE"""),"")</f>
        <v/>
      </c>
      <c r="V827" s="136" t="str">
        <f>IFERROR(__xludf.DUMMYFUNCTION("""COMPUTED_VALUE"""),"")</f>
        <v/>
      </c>
      <c r="W827" s="106" t="str">
        <f>IFERROR(__xludf.DUMMYFUNCTION("""COMPUTED_VALUE"""),"")</f>
        <v/>
      </c>
      <c r="X827" s="143" t="str">
        <f t="shared" si="2"/>
        <v/>
      </c>
      <c r="Y827" s="139" t="str">
        <f>IFERROR(__xludf.DUMMYFUNCTION("""COMPUTED_VALUE"""),"")</f>
        <v/>
      </c>
      <c r="Z827" s="141" t="str">
        <f>IFERROR(__xludf.DUMMYFUNCTION("""COMPUTED_VALUE"""),"")</f>
        <v/>
      </c>
    </row>
    <row r="828">
      <c r="C828" s="136" t="str">
        <f>IFERROR(__xludf.DUMMYFUNCTION("""COMPUTED_VALUE"""),"")</f>
        <v/>
      </c>
      <c r="D828" s="136" t="str">
        <f t="shared" si="3"/>
        <v/>
      </c>
      <c r="E828" s="152" t="str">
        <f>IFERROR(__xludf.DUMMYFUNCTION("""COMPUTED_VALUE"""),"")</f>
        <v/>
      </c>
      <c r="F828" s="106" t="s">
        <v>133</v>
      </c>
      <c r="G828" s="152" t="str">
        <f>IFERROR(__xludf.DUMMYFUNCTION("""COMPUTED_VALUE"""),"")</f>
        <v/>
      </c>
      <c r="H828" s="106" t="s">
        <v>133</v>
      </c>
      <c r="I828" s="136"/>
      <c r="J828" s="139" t="s">
        <v>133</v>
      </c>
      <c r="K828" s="136" t="s">
        <v>133</v>
      </c>
      <c r="L828" s="153" t="str">
        <f>IFERROR(__xludf.DUMMYFUNCTION("""COMPUTED_VALUE"""),"")</f>
        <v/>
      </c>
      <c r="M828" s="136" t="str">
        <f t="shared" si="1"/>
        <v/>
      </c>
      <c r="N828" s="136" t="str">
        <f>IFERROR(__xludf.DUMMYFUNCTION("""COMPUTED_VALUE"""),"")</f>
        <v/>
      </c>
      <c r="O828" s="141" t="s">
        <v>133</v>
      </c>
      <c r="P828" s="136" t="str">
        <f>IFERROR(__xludf.DUMMYFUNCTION("""COMPUTED_VALUE"""),"")</f>
        <v/>
      </c>
      <c r="Q828" s="136" t="str">
        <f>IFERROR(__xludf.DUMMYFUNCTION("""COMPUTED_VALUE"""),"")</f>
        <v/>
      </c>
      <c r="R828" s="106" t="str">
        <f>IFERROR(__xludf.DUMMYFUNCTION("""COMPUTED_VALUE"""),"")</f>
        <v/>
      </c>
      <c r="S828" s="106" t="str">
        <f>IFERROR(__xludf.DUMMYFUNCTION("""COMPUTED_VALUE"""),"")</f>
        <v/>
      </c>
      <c r="T828" s="139" t="str">
        <f>IFERROR(__xludf.DUMMYFUNCTION("""COMPUTED_VALUE"""),"")</f>
        <v/>
      </c>
      <c r="U828" s="139" t="str">
        <f>IFERROR(__xludf.DUMMYFUNCTION("""COMPUTED_VALUE"""),"")</f>
        <v/>
      </c>
      <c r="V828" s="136" t="str">
        <f>IFERROR(__xludf.DUMMYFUNCTION("""COMPUTED_VALUE"""),"")</f>
        <v/>
      </c>
      <c r="W828" s="106" t="str">
        <f>IFERROR(__xludf.DUMMYFUNCTION("""COMPUTED_VALUE"""),"")</f>
        <v/>
      </c>
      <c r="X828" s="143" t="str">
        <f t="shared" si="2"/>
        <v/>
      </c>
      <c r="Y828" s="139" t="str">
        <f>IFERROR(__xludf.DUMMYFUNCTION("""COMPUTED_VALUE"""),"")</f>
        <v/>
      </c>
      <c r="Z828" s="141" t="str">
        <f>IFERROR(__xludf.DUMMYFUNCTION("""COMPUTED_VALUE"""),"")</f>
        <v/>
      </c>
    </row>
    <row r="829">
      <c r="C829" s="136" t="str">
        <f>IFERROR(__xludf.DUMMYFUNCTION("""COMPUTED_VALUE"""),"")</f>
        <v/>
      </c>
      <c r="D829" s="136" t="str">
        <f t="shared" si="3"/>
        <v/>
      </c>
      <c r="E829" s="152" t="str">
        <f>IFERROR(__xludf.DUMMYFUNCTION("""COMPUTED_VALUE"""),"")</f>
        <v/>
      </c>
      <c r="F829" s="106" t="s">
        <v>133</v>
      </c>
      <c r="G829" s="152" t="str">
        <f>IFERROR(__xludf.DUMMYFUNCTION("""COMPUTED_VALUE"""),"")</f>
        <v/>
      </c>
      <c r="H829" s="106" t="s">
        <v>133</v>
      </c>
      <c r="I829" s="136"/>
      <c r="J829" s="139" t="s">
        <v>133</v>
      </c>
      <c r="K829" s="136" t="s">
        <v>133</v>
      </c>
      <c r="L829" s="153" t="str">
        <f>IFERROR(__xludf.DUMMYFUNCTION("""COMPUTED_VALUE"""),"")</f>
        <v/>
      </c>
      <c r="M829" s="136" t="str">
        <f t="shared" si="1"/>
        <v/>
      </c>
      <c r="N829" s="136" t="str">
        <f>IFERROR(__xludf.DUMMYFUNCTION("""COMPUTED_VALUE"""),"")</f>
        <v/>
      </c>
      <c r="O829" s="141" t="s">
        <v>133</v>
      </c>
      <c r="P829" s="136" t="str">
        <f>IFERROR(__xludf.DUMMYFUNCTION("""COMPUTED_VALUE"""),"")</f>
        <v/>
      </c>
      <c r="Q829" s="136" t="str">
        <f>IFERROR(__xludf.DUMMYFUNCTION("""COMPUTED_VALUE"""),"")</f>
        <v/>
      </c>
      <c r="R829" s="106" t="str">
        <f>IFERROR(__xludf.DUMMYFUNCTION("""COMPUTED_VALUE"""),"")</f>
        <v/>
      </c>
      <c r="S829" s="106" t="str">
        <f>IFERROR(__xludf.DUMMYFUNCTION("""COMPUTED_VALUE"""),"")</f>
        <v/>
      </c>
      <c r="T829" s="139" t="str">
        <f>IFERROR(__xludf.DUMMYFUNCTION("""COMPUTED_VALUE"""),"")</f>
        <v/>
      </c>
      <c r="U829" s="139" t="str">
        <f>IFERROR(__xludf.DUMMYFUNCTION("""COMPUTED_VALUE"""),"")</f>
        <v/>
      </c>
      <c r="V829" s="136" t="str">
        <f>IFERROR(__xludf.DUMMYFUNCTION("""COMPUTED_VALUE"""),"")</f>
        <v/>
      </c>
      <c r="W829" s="106" t="str">
        <f>IFERROR(__xludf.DUMMYFUNCTION("""COMPUTED_VALUE"""),"")</f>
        <v/>
      </c>
      <c r="X829" s="143" t="str">
        <f t="shared" si="2"/>
        <v/>
      </c>
      <c r="Y829" s="139" t="str">
        <f>IFERROR(__xludf.DUMMYFUNCTION("""COMPUTED_VALUE"""),"")</f>
        <v/>
      </c>
      <c r="Z829" s="141" t="str">
        <f>IFERROR(__xludf.DUMMYFUNCTION("""COMPUTED_VALUE"""),"")</f>
        <v/>
      </c>
    </row>
    <row r="830">
      <c r="C830" s="136" t="str">
        <f>IFERROR(__xludf.DUMMYFUNCTION("""COMPUTED_VALUE"""),"")</f>
        <v/>
      </c>
      <c r="D830" s="136" t="str">
        <f t="shared" si="3"/>
        <v/>
      </c>
      <c r="E830" s="152" t="str">
        <f>IFERROR(__xludf.DUMMYFUNCTION("""COMPUTED_VALUE"""),"")</f>
        <v/>
      </c>
      <c r="F830" s="106" t="s">
        <v>133</v>
      </c>
      <c r="G830" s="152" t="str">
        <f>IFERROR(__xludf.DUMMYFUNCTION("""COMPUTED_VALUE"""),"")</f>
        <v/>
      </c>
      <c r="H830" s="106" t="s">
        <v>133</v>
      </c>
      <c r="I830" s="136"/>
      <c r="J830" s="139" t="s">
        <v>133</v>
      </c>
      <c r="K830" s="136" t="s">
        <v>133</v>
      </c>
      <c r="L830" s="153" t="str">
        <f>IFERROR(__xludf.DUMMYFUNCTION("""COMPUTED_VALUE"""),"")</f>
        <v/>
      </c>
      <c r="M830" s="136" t="str">
        <f t="shared" si="1"/>
        <v/>
      </c>
      <c r="N830" s="136" t="str">
        <f>IFERROR(__xludf.DUMMYFUNCTION("""COMPUTED_VALUE"""),"")</f>
        <v/>
      </c>
      <c r="O830" s="141" t="s">
        <v>133</v>
      </c>
      <c r="P830" s="136" t="str">
        <f>IFERROR(__xludf.DUMMYFUNCTION("""COMPUTED_VALUE"""),"")</f>
        <v/>
      </c>
      <c r="Q830" s="136" t="str">
        <f>IFERROR(__xludf.DUMMYFUNCTION("""COMPUTED_VALUE"""),"")</f>
        <v/>
      </c>
      <c r="R830" s="106" t="str">
        <f>IFERROR(__xludf.DUMMYFUNCTION("""COMPUTED_VALUE"""),"")</f>
        <v/>
      </c>
      <c r="S830" s="106" t="str">
        <f>IFERROR(__xludf.DUMMYFUNCTION("""COMPUTED_VALUE"""),"")</f>
        <v/>
      </c>
      <c r="T830" s="139" t="str">
        <f>IFERROR(__xludf.DUMMYFUNCTION("""COMPUTED_VALUE"""),"")</f>
        <v/>
      </c>
      <c r="U830" s="139" t="str">
        <f>IFERROR(__xludf.DUMMYFUNCTION("""COMPUTED_VALUE"""),"")</f>
        <v/>
      </c>
      <c r="V830" s="136" t="str">
        <f>IFERROR(__xludf.DUMMYFUNCTION("""COMPUTED_VALUE"""),"")</f>
        <v/>
      </c>
      <c r="W830" s="106" t="str">
        <f>IFERROR(__xludf.DUMMYFUNCTION("""COMPUTED_VALUE"""),"")</f>
        <v/>
      </c>
      <c r="X830" s="143" t="str">
        <f t="shared" si="2"/>
        <v/>
      </c>
      <c r="Y830" s="139" t="str">
        <f>IFERROR(__xludf.DUMMYFUNCTION("""COMPUTED_VALUE"""),"")</f>
        <v/>
      </c>
      <c r="Z830" s="141" t="str">
        <f>IFERROR(__xludf.DUMMYFUNCTION("""COMPUTED_VALUE"""),"")</f>
        <v/>
      </c>
    </row>
    <row r="831">
      <c r="C831" s="136" t="str">
        <f>IFERROR(__xludf.DUMMYFUNCTION("""COMPUTED_VALUE"""),"")</f>
        <v/>
      </c>
      <c r="D831" s="136" t="str">
        <f t="shared" si="3"/>
        <v/>
      </c>
      <c r="E831" s="152" t="str">
        <f>IFERROR(__xludf.DUMMYFUNCTION("""COMPUTED_VALUE"""),"")</f>
        <v/>
      </c>
      <c r="F831" s="106" t="s">
        <v>133</v>
      </c>
      <c r="G831" s="152" t="str">
        <f>IFERROR(__xludf.DUMMYFUNCTION("""COMPUTED_VALUE"""),"")</f>
        <v/>
      </c>
      <c r="H831" s="106" t="s">
        <v>133</v>
      </c>
      <c r="I831" s="136"/>
      <c r="J831" s="139" t="s">
        <v>133</v>
      </c>
      <c r="K831" s="136" t="s">
        <v>133</v>
      </c>
      <c r="L831" s="153" t="str">
        <f>IFERROR(__xludf.DUMMYFUNCTION("""COMPUTED_VALUE"""),"")</f>
        <v/>
      </c>
      <c r="M831" s="136" t="str">
        <f t="shared" si="1"/>
        <v/>
      </c>
      <c r="N831" s="136" t="str">
        <f>IFERROR(__xludf.DUMMYFUNCTION("""COMPUTED_VALUE"""),"")</f>
        <v/>
      </c>
      <c r="O831" s="141" t="s">
        <v>133</v>
      </c>
      <c r="P831" s="136" t="str">
        <f>IFERROR(__xludf.DUMMYFUNCTION("""COMPUTED_VALUE"""),"")</f>
        <v/>
      </c>
      <c r="Q831" s="136" t="str">
        <f>IFERROR(__xludf.DUMMYFUNCTION("""COMPUTED_VALUE"""),"")</f>
        <v/>
      </c>
      <c r="R831" s="106" t="str">
        <f>IFERROR(__xludf.DUMMYFUNCTION("""COMPUTED_VALUE"""),"")</f>
        <v/>
      </c>
      <c r="S831" s="106" t="str">
        <f>IFERROR(__xludf.DUMMYFUNCTION("""COMPUTED_VALUE"""),"")</f>
        <v/>
      </c>
      <c r="T831" s="139" t="str">
        <f>IFERROR(__xludf.DUMMYFUNCTION("""COMPUTED_VALUE"""),"")</f>
        <v/>
      </c>
      <c r="U831" s="139" t="str">
        <f>IFERROR(__xludf.DUMMYFUNCTION("""COMPUTED_VALUE"""),"")</f>
        <v/>
      </c>
      <c r="V831" s="136" t="str">
        <f>IFERROR(__xludf.DUMMYFUNCTION("""COMPUTED_VALUE"""),"")</f>
        <v/>
      </c>
      <c r="W831" s="106" t="str">
        <f>IFERROR(__xludf.DUMMYFUNCTION("""COMPUTED_VALUE"""),"")</f>
        <v/>
      </c>
      <c r="X831" s="143" t="str">
        <f t="shared" si="2"/>
        <v/>
      </c>
      <c r="Y831" s="139" t="str">
        <f>IFERROR(__xludf.DUMMYFUNCTION("""COMPUTED_VALUE"""),"")</f>
        <v/>
      </c>
      <c r="Z831" s="141" t="str">
        <f>IFERROR(__xludf.DUMMYFUNCTION("""COMPUTED_VALUE"""),"")</f>
        <v/>
      </c>
    </row>
    <row r="832">
      <c r="C832" s="136" t="str">
        <f>IFERROR(__xludf.DUMMYFUNCTION("""COMPUTED_VALUE"""),"")</f>
        <v/>
      </c>
      <c r="D832" s="136" t="str">
        <f t="shared" si="3"/>
        <v/>
      </c>
      <c r="E832" s="152" t="str">
        <f>IFERROR(__xludf.DUMMYFUNCTION("""COMPUTED_VALUE"""),"")</f>
        <v/>
      </c>
      <c r="F832" s="106" t="s">
        <v>133</v>
      </c>
      <c r="G832" s="152" t="str">
        <f>IFERROR(__xludf.DUMMYFUNCTION("""COMPUTED_VALUE"""),"")</f>
        <v/>
      </c>
      <c r="H832" s="106" t="s">
        <v>133</v>
      </c>
      <c r="I832" s="136"/>
      <c r="J832" s="139" t="s">
        <v>133</v>
      </c>
      <c r="K832" s="136" t="s">
        <v>133</v>
      </c>
      <c r="L832" s="153" t="str">
        <f>IFERROR(__xludf.DUMMYFUNCTION("""COMPUTED_VALUE"""),"")</f>
        <v/>
      </c>
      <c r="M832" s="136" t="str">
        <f t="shared" si="1"/>
        <v/>
      </c>
      <c r="N832" s="136" t="str">
        <f>IFERROR(__xludf.DUMMYFUNCTION("""COMPUTED_VALUE"""),"")</f>
        <v/>
      </c>
      <c r="O832" s="141" t="s">
        <v>133</v>
      </c>
      <c r="P832" s="136" t="str">
        <f>IFERROR(__xludf.DUMMYFUNCTION("""COMPUTED_VALUE"""),"")</f>
        <v/>
      </c>
      <c r="Q832" s="136" t="str">
        <f>IFERROR(__xludf.DUMMYFUNCTION("""COMPUTED_VALUE"""),"")</f>
        <v/>
      </c>
      <c r="R832" s="106" t="str">
        <f>IFERROR(__xludf.DUMMYFUNCTION("""COMPUTED_VALUE"""),"")</f>
        <v/>
      </c>
      <c r="S832" s="106" t="str">
        <f>IFERROR(__xludf.DUMMYFUNCTION("""COMPUTED_VALUE"""),"")</f>
        <v/>
      </c>
      <c r="T832" s="139" t="str">
        <f>IFERROR(__xludf.DUMMYFUNCTION("""COMPUTED_VALUE"""),"")</f>
        <v/>
      </c>
      <c r="U832" s="139" t="str">
        <f>IFERROR(__xludf.DUMMYFUNCTION("""COMPUTED_VALUE"""),"")</f>
        <v/>
      </c>
      <c r="V832" s="136" t="str">
        <f>IFERROR(__xludf.DUMMYFUNCTION("""COMPUTED_VALUE"""),"")</f>
        <v/>
      </c>
      <c r="W832" s="106" t="str">
        <f>IFERROR(__xludf.DUMMYFUNCTION("""COMPUTED_VALUE"""),"")</f>
        <v/>
      </c>
      <c r="X832" s="143" t="str">
        <f t="shared" si="2"/>
        <v/>
      </c>
      <c r="Y832" s="139" t="str">
        <f>IFERROR(__xludf.DUMMYFUNCTION("""COMPUTED_VALUE"""),"")</f>
        <v/>
      </c>
      <c r="Z832" s="141" t="str">
        <f>IFERROR(__xludf.DUMMYFUNCTION("""COMPUTED_VALUE"""),"")</f>
        <v/>
      </c>
    </row>
    <row r="833">
      <c r="C833" s="136" t="str">
        <f>IFERROR(__xludf.DUMMYFUNCTION("""COMPUTED_VALUE"""),"")</f>
        <v/>
      </c>
      <c r="D833" s="136" t="str">
        <f t="shared" si="3"/>
        <v/>
      </c>
      <c r="E833" s="152" t="str">
        <f>IFERROR(__xludf.DUMMYFUNCTION("""COMPUTED_VALUE"""),"")</f>
        <v/>
      </c>
      <c r="F833" s="106" t="s">
        <v>133</v>
      </c>
      <c r="G833" s="152" t="str">
        <f>IFERROR(__xludf.DUMMYFUNCTION("""COMPUTED_VALUE"""),"")</f>
        <v/>
      </c>
      <c r="H833" s="106" t="s">
        <v>133</v>
      </c>
      <c r="I833" s="136"/>
      <c r="J833" s="139" t="s">
        <v>133</v>
      </c>
      <c r="K833" s="136" t="s">
        <v>133</v>
      </c>
      <c r="L833" s="153" t="str">
        <f>IFERROR(__xludf.DUMMYFUNCTION("""COMPUTED_VALUE"""),"")</f>
        <v/>
      </c>
      <c r="M833" s="136" t="str">
        <f t="shared" si="1"/>
        <v/>
      </c>
      <c r="N833" s="136" t="str">
        <f>IFERROR(__xludf.DUMMYFUNCTION("""COMPUTED_VALUE"""),"")</f>
        <v/>
      </c>
      <c r="O833" s="141" t="s">
        <v>133</v>
      </c>
      <c r="P833" s="136" t="str">
        <f>IFERROR(__xludf.DUMMYFUNCTION("""COMPUTED_VALUE"""),"")</f>
        <v/>
      </c>
      <c r="Q833" s="136" t="str">
        <f>IFERROR(__xludf.DUMMYFUNCTION("""COMPUTED_VALUE"""),"")</f>
        <v/>
      </c>
      <c r="R833" s="106" t="str">
        <f>IFERROR(__xludf.DUMMYFUNCTION("""COMPUTED_VALUE"""),"")</f>
        <v/>
      </c>
      <c r="S833" s="106" t="str">
        <f>IFERROR(__xludf.DUMMYFUNCTION("""COMPUTED_VALUE"""),"")</f>
        <v/>
      </c>
      <c r="T833" s="139" t="str">
        <f>IFERROR(__xludf.DUMMYFUNCTION("""COMPUTED_VALUE"""),"")</f>
        <v/>
      </c>
      <c r="U833" s="139" t="str">
        <f>IFERROR(__xludf.DUMMYFUNCTION("""COMPUTED_VALUE"""),"")</f>
        <v/>
      </c>
      <c r="V833" s="136" t="str">
        <f>IFERROR(__xludf.DUMMYFUNCTION("""COMPUTED_VALUE"""),"")</f>
        <v/>
      </c>
      <c r="W833" s="106" t="str">
        <f>IFERROR(__xludf.DUMMYFUNCTION("""COMPUTED_VALUE"""),"")</f>
        <v/>
      </c>
      <c r="X833" s="143" t="str">
        <f t="shared" si="2"/>
        <v/>
      </c>
      <c r="Y833" s="139" t="str">
        <f>IFERROR(__xludf.DUMMYFUNCTION("""COMPUTED_VALUE"""),"")</f>
        <v/>
      </c>
      <c r="Z833" s="141" t="str">
        <f>IFERROR(__xludf.DUMMYFUNCTION("""COMPUTED_VALUE"""),"")</f>
        <v/>
      </c>
    </row>
    <row r="834">
      <c r="C834" s="136" t="str">
        <f>IFERROR(__xludf.DUMMYFUNCTION("""COMPUTED_VALUE"""),"")</f>
        <v/>
      </c>
      <c r="D834" s="136" t="str">
        <f t="shared" si="3"/>
        <v/>
      </c>
      <c r="E834" s="152" t="str">
        <f>IFERROR(__xludf.DUMMYFUNCTION("""COMPUTED_VALUE"""),"")</f>
        <v/>
      </c>
      <c r="F834" s="106" t="s">
        <v>133</v>
      </c>
      <c r="G834" s="152" t="str">
        <f>IFERROR(__xludf.DUMMYFUNCTION("""COMPUTED_VALUE"""),"")</f>
        <v/>
      </c>
      <c r="H834" s="106" t="s">
        <v>133</v>
      </c>
      <c r="I834" s="136"/>
      <c r="J834" s="139" t="s">
        <v>133</v>
      </c>
      <c r="K834" s="136" t="s">
        <v>133</v>
      </c>
      <c r="L834" s="153" t="str">
        <f>IFERROR(__xludf.DUMMYFUNCTION("""COMPUTED_VALUE"""),"")</f>
        <v/>
      </c>
      <c r="M834" s="136" t="str">
        <f t="shared" si="1"/>
        <v/>
      </c>
      <c r="N834" s="136" t="str">
        <f>IFERROR(__xludf.DUMMYFUNCTION("""COMPUTED_VALUE"""),"")</f>
        <v/>
      </c>
      <c r="O834" s="141" t="s">
        <v>133</v>
      </c>
      <c r="P834" s="136" t="str">
        <f>IFERROR(__xludf.DUMMYFUNCTION("""COMPUTED_VALUE"""),"")</f>
        <v/>
      </c>
      <c r="Q834" s="136" t="str">
        <f>IFERROR(__xludf.DUMMYFUNCTION("""COMPUTED_VALUE"""),"")</f>
        <v/>
      </c>
      <c r="R834" s="106" t="str">
        <f>IFERROR(__xludf.DUMMYFUNCTION("""COMPUTED_VALUE"""),"")</f>
        <v/>
      </c>
      <c r="S834" s="106" t="str">
        <f>IFERROR(__xludf.DUMMYFUNCTION("""COMPUTED_VALUE"""),"")</f>
        <v/>
      </c>
      <c r="T834" s="139" t="str">
        <f>IFERROR(__xludf.DUMMYFUNCTION("""COMPUTED_VALUE"""),"")</f>
        <v/>
      </c>
      <c r="U834" s="139" t="str">
        <f>IFERROR(__xludf.DUMMYFUNCTION("""COMPUTED_VALUE"""),"")</f>
        <v/>
      </c>
      <c r="V834" s="136" t="str">
        <f>IFERROR(__xludf.DUMMYFUNCTION("""COMPUTED_VALUE"""),"")</f>
        <v/>
      </c>
      <c r="W834" s="106" t="str">
        <f>IFERROR(__xludf.DUMMYFUNCTION("""COMPUTED_VALUE"""),"")</f>
        <v/>
      </c>
      <c r="X834" s="143" t="str">
        <f t="shared" si="2"/>
        <v/>
      </c>
      <c r="Y834" s="139" t="str">
        <f>IFERROR(__xludf.DUMMYFUNCTION("""COMPUTED_VALUE"""),"")</f>
        <v/>
      </c>
      <c r="Z834" s="141" t="str">
        <f>IFERROR(__xludf.DUMMYFUNCTION("""COMPUTED_VALUE"""),"")</f>
        <v/>
      </c>
    </row>
    <row r="835">
      <c r="C835" s="136" t="str">
        <f>IFERROR(__xludf.DUMMYFUNCTION("""COMPUTED_VALUE"""),"")</f>
        <v/>
      </c>
      <c r="D835" s="136" t="str">
        <f t="shared" si="3"/>
        <v/>
      </c>
      <c r="E835" s="152" t="str">
        <f>IFERROR(__xludf.DUMMYFUNCTION("""COMPUTED_VALUE"""),"")</f>
        <v/>
      </c>
      <c r="F835" s="106" t="s">
        <v>133</v>
      </c>
      <c r="G835" s="152" t="str">
        <f>IFERROR(__xludf.DUMMYFUNCTION("""COMPUTED_VALUE"""),"")</f>
        <v/>
      </c>
      <c r="H835" s="106" t="s">
        <v>133</v>
      </c>
      <c r="I835" s="136"/>
      <c r="J835" s="139" t="s">
        <v>133</v>
      </c>
      <c r="K835" s="136" t="s">
        <v>133</v>
      </c>
      <c r="L835" s="153" t="str">
        <f>IFERROR(__xludf.DUMMYFUNCTION("""COMPUTED_VALUE"""),"")</f>
        <v/>
      </c>
      <c r="M835" s="136" t="str">
        <f t="shared" si="1"/>
        <v/>
      </c>
      <c r="N835" s="136" t="str">
        <f>IFERROR(__xludf.DUMMYFUNCTION("""COMPUTED_VALUE"""),"")</f>
        <v/>
      </c>
      <c r="O835" s="141" t="s">
        <v>133</v>
      </c>
      <c r="P835" s="136" t="str">
        <f>IFERROR(__xludf.DUMMYFUNCTION("""COMPUTED_VALUE"""),"")</f>
        <v/>
      </c>
      <c r="Q835" s="136" t="str">
        <f>IFERROR(__xludf.DUMMYFUNCTION("""COMPUTED_VALUE"""),"")</f>
        <v/>
      </c>
      <c r="R835" s="106" t="str">
        <f>IFERROR(__xludf.DUMMYFUNCTION("""COMPUTED_VALUE"""),"")</f>
        <v/>
      </c>
      <c r="S835" s="106" t="str">
        <f>IFERROR(__xludf.DUMMYFUNCTION("""COMPUTED_VALUE"""),"")</f>
        <v/>
      </c>
      <c r="T835" s="139" t="str">
        <f>IFERROR(__xludf.DUMMYFUNCTION("""COMPUTED_VALUE"""),"")</f>
        <v/>
      </c>
      <c r="U835" s="139" t="str">
        <f>IFERROR(__xludf.DUMMYFUNCTION("""COMPUTED_VALUE"""),"")</f>
        <v/>
      </c>
      <c r="V835" s="136" t="str">
        <f>IFERROR(__xludf.DUMMYFUNCTION("""COMPUTED_VALUE"""),"")</f>
        <v/>
      </c>
      <c r="W835" s="106" t="str">
        <f>IFERROR(__xludf.DUMMYFUNCTION("""COMPUTED_VALUE"""),"")</f>
        <v/>
      </c>
      <c r="X835" s="143" t="str">
        <f t="shared" si="2"/>
        <v/>
      </c>
      <c r="Y835" s="139" t="str">
        <f>IFERROR(__xludf.DUMMYFUNCTION("""COMPUTED_VALUE"""),"")</f>
        <v/>
      </c>
      <c r="Z835" s="141" t="str">
        <f>IFERROR(__xludf.DUMMYFUNCTION("""COMPUTED_VALUE"""),"")</f>
        <v/>
      </c>
    </row>
    <row r="836">
      <c r="C836" s="136" t="str">
        <f>IFERROR(__xludf.DUMMYFUNCTION("""COMPUTED_VALUE"""),"")</f>
        <v/>
      </c>
      <c r="D836" s="136" t="str">
        <f t="shared" si="3"/>
        <v/>
      </c>
      <c r="E836" s="152" t="str">
        <f>IFERROR(__xludf.DUMMYFUNCTION("""COMPUTED_VALUE"""),"")</f>
        <v/>
      </c>
      <c r="F836" s="106" t="s">
        <v>133</v>
      </c>
      <c r="G836" s="152" t="str">
        <f>IFERROR(__xludf.DUMMYFUNCTION("""COMPUTED_VALUE"""),"")</f>
        <v/>
      </c>
      <c r="H836" s="106" t="s">
        <v>133</v>
      </c>
      <c r="I836" s="136"/>
      <c r="J836" s="139" t="s">
        <v>133</v>
      </c>
      <c r="K836" s="136" t="s">
        <v>133</v>
      </c>
      <c r="L836" s="153" t="str">
        <f>IFERROR(__xludf.DUMMYFUNCTION("""COMPUTED_VALUE"""),"")</f>
        <v/>
      </c>
      <c r="M836" s="136" t="str">
        <f t="shared" si="1"/>
        <v/>
      </c>
      <c r="N836" s="136" t="str">
        <f>IFERROR(__xludf.DUMMYFUNCTION("""COMPUTED_VALUE"""),"")</f>
        <v/>
      </c>
      <c r="O836" s="141" t="s">
        <v>133</v>
      </c>
      <c r="P836" s="136" t="str">
        <f>IFERROR(__xludf.DUMMYFUNCTION("""COMPUTED_VALUE"""),"")</f>
        <v/>
      </c>
      <c r="Q836" s="136" t="str">
        <f>IFERROR(__xludf.DUMMYFUNCTION("""COMPUTED_VALUE"""),"")</f>
        <v/>
      </c>
      <c r="R836" s="106" t="str">
        <f>IFERROR(__xludf.DUMMYFUNCTION("""COMPUTED_VALUE"""),"")</f>
        <v/>
      </c>
      <c r="S836" s="106" t="str">
        <f>IFERROR(__xludf.DUMMYFUNCTION("""COMPUTED_VALUE"""),"")</f>
        <v/>
      </c>
      <c r="T836" s="139" t="str">
        <f>IFERROR(__xludf.DUMMYFUNCTION("""COMPUTED_VALUE"""),"")</f>
        <v/>
      </c>
      <c r="U836" s="139" t="str">
        <f>IFERROR(__xludf.DUMMYFUNCTION("""COMPUTED_VALUE"""),"")</f>
        <v/>
      </c>
      <c r="V836" s="136" t="str">
        <f>IFERROR(__xludf.DUMMYFUNCTION("""COMPUTED_VALUE"""),"")</f>
        <v/>
      </c>
      <c r="W836" s="106" t="str">
        <f>IFERROR(__xludf.DUMMYFUNCTION("""COMPUTED_VALUE"""),"")</f>
        <v/>
      </c>
      <c r="X836" s="143" t="str">
        <f t="shared" si="2"/>
        <v/>
      </c>
      <c r="Y836" s="139" t="str">
        <f>IFERROR(__xludf.DUMMYFUNCTION("""COMPUTED_VALUE"""),"")</f>
        <v/>
      </c>
      <c r="Z836" s="141" t="str">
        <f>IFERROR(__xludf.DUMMYFUNCTION("""COMPUTED_VALUE"""),"")</f>
        <v/>
      </c>
    </row>
    <row r="837">
      <c r="C837" s="136" t="str">
        <f>IFERROR(__xludf.DUMMYFUNCTION("""COMPUTED_VALUE"""),"")</f>
        <v/>
      </c>
      <c r="D837" s="136" t="str">
        <f t="shared" si="3"/>
        <v/>
      </c>
      <c r="E837" s="152" t="str">
        <f>IFERROR(__xludf.DUMMYFUNCTION("""COMPUTED_VALUE"""),"")</f>
        <v/>
      </c>
      <c r="F837" s="106" t="s">
        <v>133</v>
      </c>
      <c r="G837" s="152" t="str">
        <f>IFERROR(__xludf.DUMMYFUNCTION("""COMPUTED_VALUE"""),"")</f>
        <v/>
      </c>
      <c r="H837" s="106" t="s">
        <v>133</v>
      </c>
      <c r="I837" s="136"/>
      <c r="J837" s="139" t="s">
        <v>133</v>
      </c>
      <c r="K837" s="136" t="s">
        <v>133</v>
      </c>
      <c r="L837" s="153" t="str">
        <f>IFERROR(__xludf.DUMMYFUNCTION("""COMPUTED_VALUE"""),"")</f>
        <v/>
      </c>
      <c r="M837" s="136" t="str">
        <f t="shared" si="1"/>
        <v/>
      </c>
      <c r="N837" s="136" t="str">
        <f>IFERROR(__xludf.DUMMYFUNCTION("""COMPUTED_VALUE"""),"")</f>
        <v/>
      </c>
      <c r="O837" s="141" t="s">
        <v>133</v>
      </c>
      <c r="P837" s="136" t="str">
        <f>IFERROR(__xludf.DUMMYFUNCTION("""COMPUTED_VALUE"""),"")</f>
        <v/>
      </c>
      <c r="Q837" s="136" t="str">
        <f>IFERROR(__xludf.DUMMYFUNCTION("""COMPUTED_VALUE"""),"")</f>
        <v/>
      </c>
      <c r="R837" s="106" t="str">
        <f>IFERROR(__xludf.DUMMYFUNCTION("""COMPUTED_VALUE"""),"")</f>
        <v/>
      </c>
      <c r="S837" s="106" t="str">
        <f>IFERROR(__xludf.DUMMYFUNCTION("""COMPUTED_VALUE"""),"")</f>
        <v/>
      </c>
      <c r="T837" s="139" t="str">
        <f>IFERROR(__xludf.DUMMYFUNCTION("""COMPUTED_VALUE"""),"")</f>
        <v/>
      </c>
      <c r="U837" s="139" t="str">
        <f>IFERROR(__xludf.DUMMYFUNCTION("""COMPUTED_VALUE"""),"")</f>
        <v/>
      </c>
      <c r="V837" s="136" t="str">
        <f>IFERROR(__xludf.DUMMYFUNCTION("""COMPUTED_VALUE"""),"")</f>
        <v/>
      </c>
      <c r="W837" s="106" t="str">
        <f>IFERROR(__xludf.DUMMYFUNCTION("""COMPUTED_VALUE"""),"")</f>
        <v/>
      </c>
      <c r="X837" s="143" t="str">
        <f t="shared" si="2"/>
        <v/>
      </c>
      <c r="Y837" s="139" t="str">
        <f>IFERROR(__xludf.DUMMYFUNCTION("""COMPUTED_VALUE"""),"")</f>
        <v/>
      </c>
      <c r="Z837" s="141" t="str">
        <f>IFERROR(__xludf.DUMMYFUNCTION("""COMPUTED_VALUE"""),"")</f>
        <v/>
      </c>
    </row>
    <row r="838">
      <c r="C838" s="136" t="str">
        <f>IFERROR(__xludf.DUMMYFUNCTION("""COMPUTED_VALUE"""),"")</f>
        <v/>
      </c>
      <c r="D838" s="136" t="str">
        <f t="shared" si="3"/>
        <v/>
      </c>
      <c r="E838" s="152" t="str">
        <f>IFERROR(__xludf.DUMMYFUNCTION("""COMPUTED_VALUE"""),"")</f>
        <v/>
      </c>
      <c r="F838" s="106" t="s">
        <v>133</v>
      </c>
      <c r="G838" s="152" t="str">
        <f>IFERROR(__xludf.DUMMYFUNCTION("""COMPUTED_VALUE"""),"")</f>
        <v/>
      </c>
      <c r="H838" s="106" t="s">
        <v>133</v>
      </c>
      <c r="I838" s="136"/>
      <c r="J838" s="139" t="s">
        <v>133</v>
      </c>
      <c r="K838" s="136" t="s">
        <v>133</v>
      </c>
      <c r="L838" s="153" t="str">
        <f>IFERROR(__xludf.DUMMYFUNCTION("""COMPUTED_VALUE"""),"")</f>
        <v/>
      </c>
      <c r="M838" s="136" t="str">
        <f t="shared" si="1"/>
        <v/>
      </c>
      <c r="N838" s="136" t="str">
        <f>IFERROR(__xludf.DUMMYFUNCTION("""COMPUTED_VALUE"""),"")</f>
        <v/>
      </c>
      <c r="O838" s="141" t="s">
        <v>133</v>
      </c>
      <c r="P838" s="136" t="str">
        <f>IFERROR(__xludf.DUMMYFUNCTION("""COMPUTED_VALUE"""),"")</f>
        <v/>
      </c>
      <c r="Q838" s="136" t="str">
        <f>IFERROR(__xludf.DUMMYFUNCTION("""COMPUTED_VALUE"""),"")</f>
        <v/>
      </c>
      <c r="R838" s="106" t="str">
        <f>IFERROR(__xludf.DUMMYFUNCTION("""COMPUTED_VALUE"""),"")</f>
        <v/>
      </c>
      <c r="S838" s="106" t="str">
        <f>IFERROR(__xludf.DUMMYFUNCTION("""COMPUTED_VALUE"""),"")</f>
        <v/>
      </c>
      <c r="T838" s="139" t="str">
        <f>IFERROR(__xludf.DUMMYFUNCTION("""COMPUTED_VALUE"""),"")</f>
        <v/>
      </c>
      <c r="U838" s="139" t="str">
        <f>IFERROR(__xludf.DUMMYFUNCTION("""COMPUTED_VALUE"""),"")</f>
        <v/>
      </c>
      <c r="V838" s="136" t="str">
        <f>IFERROR(__xludf.DUMMYFUNCTION("""COMPUTED_VALUE"""),"")</f>
        <v/>
      </c>
      <c r="W838" s="106" t="str">
        <f>IFERROR(__xludf.DUMMYFUNCTION("""COMPUTED_VALUE"""),"")</f>
        <v/>
      </c>
      <c r="X838" s="143" t="str">
        <f t="shared" si="2"/>
        <v/>
      </c>
      <c r="Y838" s="139" t="str">
        <f>IFERROR(__xludf.DUMMYFUNCTION("""COMPUTED_VALUE"""),"")</f>
        <v/>
      </c>
      <c r="Z838" s="141" t="str">
        <f>IFERROR(__xludf.DUMMYFUNCTION("""COMPUTED_VALUE"""),"")</f>
        <v/>
      </c>
    </row>
    <row r="839">
      <c r="C839" s="136" t="str">
        <f>IFERROR(__xludf.DUMMYFUNCTION("""COMPUTED_VALUE"""),"")</f>
        <v/>
      </c>
      <c r="D839" s="136" t="str">
        <f t="shared" si="3"/>
        <v/>
      </c>
      <c r="E839" s="152" t="str">
        <f>IFERROR(__xludf.DUMMYFUNCTION("""COMPUTED_VALUE"""),"")</f>
        <v/>
      </c>
      <c r="F839" s="106" t="s">
        <v>133</v>
      </c>
      <c r="G839" s="152" t="str">
        <f>IFERROR(__xludf.DUMMYFUNCTION("""COMPUTED_VALUE"""),"")</f>
        <v/>
      </c>
      <c r="H839" s="106" t="s">
        <v>133</v>
      </c>
      <c r="I839" s="136"/>
      <c r="J839" s="139" t="s">
        <v>133</v>
      </c>
      <c r="K839" s="136" t="s">
        <v>133</v>
      </c>
      <c r="L839" s="153" t="str">
        <f>IFERROR(__xludf.DUMMYFUNCTION("""COMPUTED_VALUE"""),"")</f>
        <v/>
      </c>
      <c r="M839" s="136" t="str">
        <f t="shared" si="1"/>
        <v/>
      </c>
      <c r="N839" s="136" t="str">
        <f>IFERROR(__xludf.DUMMYFUNCTION("""COMPUTED_VALUE"""),"")</f>
        <v/>
      </c>
      <c r="O839" s="141" t="s">
        <v>133</v>
      </c>
      <c r="P839" s="136" t="str">
        <f>IFERROR(__xludf.DUMMYFUNCTION("""COMPUTED_VALUE"""),"")</f>
        <v/>
      </c>
      <c r="Q839" s="136" t="str">
        <f>IFERROR(__xludf.DUMMYFUNCTION("""COMPUTED_VALUE"""),"")</f>
        <v/>
      </c>
      <c r="R839" s="106" t="str">
        <f>IFERROR(__xludf.DUMMYFUNCTION("""COMPUTED_VALUE"""),"")</f>
        <v/>
      </c>
      <c r="S839" s="106" t="str">
        <f>IFERROR(__xludf.DUMMYFUNCTION("""COMPUTED_VALUE"""),"")</f>
        <v/>
      </c>
      <c r="T839" s="139" t="str">
        <f>IFERROR(__xludf.DUMMYFUNCTION("""COMPUTED_VALUE"""),"")</f>
        <v/>
      </c>
      <c r="U839" s="139" t="str">
        <f>IFERROR(__xludf.DUMMYFUNCTION("""COMPUTED_VALUE"""),"")</f>
        <v/>
      </c>
      <c r="V839" s="136" t="str">
        <f>IFERROR(__xludf.DUMMYFUNCTION("""COMPUTED_VALUE"""),"")</f>
        <v/>
      </c>
      <c r="W839" s="106" t="str">
        <f>IFERROR(__xludf.DUMMYFUNCTION("""COMPUTED_VALUE"""),"")</f>
        <v/>
      </c>
      <c r="X839" s="143" t="str">
        <f t="shared" si="2"/>
        <v/>
      </c>
      <c r="Y839" s="139" t="str">
        <f>IFERROR(__xludf.DUMMYFUNCTION("""COMPUTED_VALUE"""),"")</f>
        <v/>
      </c>
      <c r="Z839" s="141" t="str">
        <f>IFERROR(__xludf.DUMMYFUNCTION("""COMPUTED_VALUE"""),"")</f>
        <v/>
      </c>
    </row>
    <row r="840">
      <c r="C840" s="136" t="str">
        <f>IFERROR(__xludf.DUMMYFUNCTION("""COMPUTED_VALUE"""),"")</f>
        <v/>
      </c>
      <c r="D840" s="136" t="str">
        <f t="shared" si="3"/>
        <v/>
      </c>
      <c r="E840" s="152" t="str">
        <f>IFERROR(__xludf.DUMMYFUNCTION("""COMPUTED_VALUE"""),"")</f>
        <v/>
      </c>
      <c r="F840" s="106" t="s">
        <v>133</v>
      </c>
      <c r="G840" s="152" t="str">
        <f>IFERROR(__xludf.DUMMYFUNCTION("""COMPUTED_VALUE"""),"")</f>
        <v/>
      </c>
      <c r="H840" s="106" t="s">
        <v>133</v>
      </c>
      <c r="I840" s="136"/>
      <c r="J840" s="139" t="s">
        <v>133</v>
      </c>
      <c r="K840" s="136" t="s">
        <v>133</v>
      </c>
      <c r="L840" s="153" t="str">
        <f>IFERROR(__xludf.DUMMYFUNCTION("""COMPUTED_VALUE"""),"")</f>
        <v/>
      </c>
      <c r="M840" s="136" t="str">
        <f t="shared" si="1"/>
        <v/>
      </c>
      <c r="N840" s="136" t="str">
        <f>IFERROR(__xludf.DUMMYFUNCTION("""COMPUTED_VALUE"""),"")</f>
        <v/>
      </c>
      <c r="O840" s="141" t="s">
        <v>133</v>
      </c>
      <c r="P840" s="136" t="str">
        <f>IFERROR(__xludf.DUMMYFUNCTION("""COMPUTED_VALUE"""),"")</f>
        <v/>
      </c>
      <c r="Q840" s="136" t="str">
        <f>IFERROR(__xludf.DUMMYFUNCTION("""COMPUTED_VALUE"""),"")</f>
        <v/>
      </c>
      <c r="R840" s="106" t="str">
        <f>IFERROR(__xludf.DUMMYFUNCTION("""COMPUTED_VALUE"""),"")</f>
        <v/>
      </c>
      <c r="S840" s="106" t="str">
        <f>IFERROR(__xludf.DUMMYFUNCTION("""COMPUTED_VALUE"""),"")</f>
        <v/>
      </c>
      <c r="T840" s="139" t="str">
        <f>IFERROR(__xludf.DUMMYFUNCTION("""COMPUTED_VALUE"""),"")</f>
        <v/>
      </c>
      <c r="U840" s="139" t="str">
        <f>IFERROR(__xludf.DUMMYFUNCTION("""COMPUTED_VALUE"""),"")</f>
        <v/>
      </c>
      <c r="V840" s="136" t="str">
        <f>IFERROR(__xludf.DUMMYFUNCTION("""COMPUTED_VALUE"""),"")</f>
        <v/>
      </c>
      <c r="W840" s="106" t="str">
        <f>IFERROR(__xludf.DUMMYFUNCTION("""COMPUTED_VALUE"""),"")</f>
        <v/>
      </c>
      <c r="X840" s="143" t="str">
        <f t="shared" si="2"/>
        <v/>
      </c>
      <c r="Y840" s="139" t="str">
        <f>IFERROR(__xludf.DUMMYFUNCTION("""COMPUTED_VALUE"""),"")</f>
        <v/>
      </c>
      <c r="Z840" s="141" t="str">
        <f>IFERROR(__xludf.DUMMYFUNCTION("""COMPUTED_VALUE"""),"")</f>
        <v/>
      </c>
    </row>
    <row r="841">
      <c r="C841" s="136" t="str">
        <f>IFERROR(__xludf.DUMMYFUNCTION("""COMPUTED_VALUE"""),"")</f>
        <v/>
      </c>
      <c r="D841" s="136" t="str">
        <f t="shared" si="3"/>
        <v/>
      </c>
      <c r="E841" s="152" t="str">
        <f>IFERROR(__xludf.DUMMYFUNCTION("""COMPUTED_VALUE"""),"")</f>
        <v/>
      </c>
      <c r="F841" s="106" t="s">
        <v>133</v>
      </c>
      <c r="G841" s="152" t="str">
        <f>IFERROR(__xludf.DUMMYFUNCTION("""COMPUTED_VALUE"""),"")</f>
        <v/>
      </c>
      <c r="H841" s="106" t="s">
        <v>133</v>
      </c>
      <c r="I841" s="136"/>
      <c r="J841" s="139" t="s">
        <v>133</v>
      </c>
      <c r="K841" s="136" t="s">
        <v>133</v>
      </c>
      <c r="L841" s="153" t="str">
        <f>IFERROR(__xludf.DUMMYFUNCTION("""COMPUTED_VALUE"""),"")</f>
        <v/>
      </c>
      <c r="M841" s="136" t="str">
        <f t="shared" si="1"/>
        <v/>
      </c>
      <c r="N841" s="136" t="str">
        <f>IFERROR(__xludf.DUMMYFUNCTION("""COMPUTED_VALUE"""),"")</f>
        <v/>
      </c>
      <c r="O841" s="141" t="s">
        <v>133</v>
      </c>
      <c r="P841" s="136" t="str">
        <f>IFERROR(__xludf.DUMMYFUNCTION("""COMPUTED_VALUE"""),"")</f>
        <v/>
      </c>
      <c r="Q841" s="136" t="str">
        <f>IFERROR(__xludf.DUMMYFUNCTION("""COMPUTED_VALUE"""),"")</f>
        <v/>
      </c>
      <c r="R841" s="106" t="str">
        <f>IFERROR(__xludf.DUMMYFUNCTION("""COMPUTED_VALUE"""),"")</f>
        <v/>
      </c>
      <c r="S841" s="106" t="str">
        <f>IFERROR(__xludf.DUMMYFUNCTION("""COMPUTED_VALUE"""),"")</f>
        <v/>
      </c>
      <c r="T841" s="139" t="str">
        <f>IFERROR(__xludf.DUMMYFUNCTION("""COMPUTED_VALUE"""),"")</f>
        <v/>
      </c>
      <c r="U841" s="139" t="str">
        <f>IFERROR(__xludf.DUMMYFUNCTION("""COMPUTED_VALUE"""),"")</f>
        <v/>
      </c>
      <c r="V841" s="136" t="str">
        <f>IFERROR(__xludf.DUMMYFUNCTION("""COMPUTED_VALUE"""),"")</f>
        <v/>
      </c>
      <c r="W841" s="106" t="str">
        <f>IFERROR(__xludf.DUMMYFUNCTION("""COMPUTED_VALUE"""),"")</f>
        <v/>
      </c>
      <c r="X841" s="143" t="str">
        <f t="shared" si="2"/>
        <v/>
      </c>
      <c r="Y841" s="139" t="str">
        <f>IFERROR(__xludf.DUMMYFUNCTION("""COMPUTED_VALUE"""),"")</f>
        <v/>
      </c>
      <c r="Z841" s="141" t="str">
        <f>IFERROR(__xludf.DUMMYFUNCTION("""COMPUTED_VALUE"""),"")</f>
        <v/>
      </c>
    </row>
    <row r="842">
      <c r="C842" s="136" t="str">
        <f>IFERROR(__xludf.DUMMYFUNCTION("""COMPUTED_VALUE"""),"")</f>
        <v/>
      </c>
      <c r="D842" s="136" t="str">
        <f t="shared" si="3"/>
        <v/>
      </c>
      <c r="E842" s="152" t="str">
        <f>IFERROR(__xludf.DUMMYFUNCTION("""COMPUTED_VALUE"""),"")</f>
        <v/>
      </c>
      <c r="F842" s="106" t="s">
        <v>133</v>
      </c>
      <c r="G842" s="152" t="str">
        <f>IFERROR(__xludf.DUMMYFUNCTION("""COMPUTED_VALUE"""),"")</f>
        <v/>
      </c>
      <c r="H842" s="106" t="s">
        <v>133</v>
      </c>
      <c r="I842" s="136"/>
      <c r="J842" s="139" t="s">
        <v>133</v>
      </c>
      <c r="K842" s="136" t="s">
        <v>133</v>
      </c>
      <c r="L842" s="153" t="str">
        <f>IFERROR(__xludf.DUMMYFUNCTION("""COMPUTED_VALUE"""),"")</f>
        <v/>
      </c>
      <c r="M842" s="136" t="str">
        <f t="shared" si="1"/>
        <v/>
      </c>
      <c r="N842" s="136" t="str">
        <f>IFERROR(__xludf.DUMMYFUNCTION("""COMPUTED_VALUE"""),"")</f>
        <v/>
      </c>
      <c r="O842" s="141" t="s">
        <v>133</v>
      </c>
      <c r="P842" s="136" t="str">
        <f>IFERROR(__xludf.DUMMYFUNCTION("""COMPUTED_VALUE"""),"")</f>
        <v/>
      </c>
      <c r="Q842" s="136" t="str">
        <f>IFERROR(__xludf.DUMMYFUNCTION("""COMPUTED_VALUE"""),"")</f>
        <v/>
      </c>
      <c r="R842" s="106" t="str">
        <f>IFERROR(__xludf.DUMMYFUNCTION("""COMPUTED_VALUE"""),"")</f>
        <v/>
      </c>
      <c r="S842" s="106" t="str">
        <f>IFERROR(__xludf.DUMMYFUNCTION("""COMPUTED_VALUE"""),"")</f>
        <v/>
      </c>
      <c r="T842" s="139" t="str">
        <f>IFERROR(__xludf.DUMMYFUNCTION("""COMPUTED_VALUE"""),"")</f>
        <v/>
      </c>
      <c r="U842" s="139" t="str">
        <f>IFERROR(__xludf.DUMMYFUNCTION("""COMPUTED_VALUE"""),"")</f>
        <v/>
      </c>
      <c r="V842" s="136" t="str">
        <f>IFERROR(__xludf.DUMMYFUNCTION("""COMPUTED_VALUE"""),"")</f>
        <v/>
      </c>
      <c r="W842" s="106" t="str">
        <f>IFERROR(__xludf.DUMMYFUNCTION("""COMPUTED_VALUE"""),"")</f>
        <v/>
      </c>
      <c r="X842" s="143" t="str">
        <f t="shared" si="2"/>
        <v/>
      </c>
      <c r="Y842" s="139" t="str">
        <f>IFERROR(__xludf.DUMMYFUNCTION("""COMPUTED_VALUE"""),"")</f>
        <v/>
      </c>
      <c r="Z842" s="141" t="str">
        <f>IFERROR(__xludf.DUMMYFUNCTION("""COMPUTED_VALUE"""),"")</f>
        <v/>
      </c>
    </row>
    <row r="843">
      <c r="C843" s="136" t="str">
        <f>IFERROR(__xludf.DUMMYFUNCTION("""COMPUTED_VALUE"""),"")</f>
        <v/>
      </c>
      <c r="D843" s="136" t="str">
        <f t="shared" si="3"/>
        <v/>
      </c>
      <c r="E843" s="152" t="str">
        <f>IFERROR(__xludf.DUMMYFUNCTION("""COMPUTED_VALUE"""),"")</f>
        <v/>
      </c>
      <c r="F843" s="106" t="s">
        <v>133</v>
      </c>
      <c r="G843" s="152" t="str">
        <f>IFERROR(__xludf.DUMMYFUNCTION("""COMPUTED_VALUE"""),"")</f>
        <v/>
      </c>
      <c r="H843" s="106" t="s">
        <v>133</v>
      </c>
      <c r="I843" s="136"/>
      <c r="J843" s="139" t="s">
        <v>133</v>
      </c>
      <c r="K843" s="136" t="s">
        <v>133</v>
      </c>
      <c r="L843" s="153" t="str">
        <f>IFERROR(__xludf.DUMMYFUNCTION("""COMPUTED_VALUE"""),"")</f>
        <v/>
      </c>
      <c r="M843" s="136" t="str">
        <f t="shared" si="1"/>
        <v/>
      </c>
      <c r="N843" s="136" t="str">
        <f>IFERROR(__xludf.DUMMYFUNCTION("""COMPUTED_VALUE"""),"")</f>
        <v/>
      </c>
      <c r="O843" s="141" t="s">
        <v>133</v>
      </c>
      <c r="P843" s="136" t="str">
        <f>IFERROR(__xludf.DUMMYFUNCTION("""COMPUTED_VALUE"""),"")</f>
        <v/>
      </c>
      <c r="Q843" s="136" t="str">
        <f>IFERROR(__xludf.DUMMYFUNCTION("""COMPUTED_VALUE"""),"")</f>
        <v/>
      </c>
      <c r="R843" s="106" t="str">
        <f>IFERROR(__xludf.DUMMYFUNCTION("""COMPUTED_VALUE"""),"")</f>
        <v/>
      </c>
      <c r="S843" s="106" t="str">
        <f>IFERROR(__xludf.DUMMYFUNCTION("""COMPUTED_VALUE"""),"")</f>
        <v/>
      </c>
      <c r="T843" s="139" t="str">
        <f>IFERROR(__xludf.DUMMYFUNCTION("""COMPUTED_VALUE"""),"")</f>
        <v/>
      </c>
      <c r="U843" s="139" t="str">
        <f>IFERROR(__xludf.DUMMYFUNCTION("""COMPUTED_VALUE"""),"")</f>
        <v/>
      </c>
      <c r="V843" s="136" t="str">
        <f>IFERROR(__xludf.DUMMYFUNCTION("""COMPUTED_VALUE"""),"")</f>
        <v/>
      </c>
      <c r="W843" s="106" t="str">
        <f>IFERROR(__xludf.DUMMYFUNCTION("""COMPUTED_VALUE"""),"")</f>
        <v/>
      </c>
      <c r="X843" s="143" t="str">
        <f t="shared" si="2"/>
        <v/>
      </c>
      <c r="Y843" s="139" t="str">
        <f>IFERROR(__xludf.DUMMYFUNCTION("""COMPUTED_VALUE"""),"")</f>
        <v/>
      </c>
      <c r="Z843" s="141" t="str">
        <f>IFERROR(__xludf.DUMMYFUNCTION("""COMPUTED_VALUE"""),"")</f>
        <v/>
      </c>
    </row>
    <row r="844">
      <c r="C844" s="136" t="str">
        <f>IFERROR(__xludf.DUMMYFUNCTION("""COMPUTED_VALUE"""),"")</f>
        <v/>
      </c>
      <c r="D844" s="136" t="str">
        <f t="shared" si="3"/>
        <v/>
      </c>
      <c r="E844" s="152" t="str">
        <f>IFERROR(__xludf.DUMMYFUNCTION("""COMPUTED_VALUE"""),"")</f>
        <v/>
      </c>
      <c r="F844" s="106" t="s">
        <v>133</v>
      </c>
      <c r="G844" s="152" t="str">
        <f>IFERROR(__xludf.DUMMYFUNCTION("""COMPUTED_VALUE"""),"")</f>
        <v/>
      </c>
      <c r="H844" s="106" t="s">
        <v>133</v>
      </c>
      <c r="I844" s="136"/>
      <c r="J844" s="139" t="s">
        <v>133</v>
      </c>
      <c r="K844" s="136" t="s">
        <v>133</v>
      </c>
      <c r="L844" s="153" t="str">
        <f>IFERROR(__xludf.DUMMYFUNCTION("""COMPUTED_VALUE"""),"")</f>
        <v/>
      </c>
      <c r="M844" s="136" t="str">
        <f t="shared" si="1"/>
        <v/>
      </c>
      <c r="N844" s="136" t="str">
        <f>IFERROR(__xludf.DUMMYFUNCTION("""COMPUTED_VALUE"""),"")</f>
        <v/>
      </c>
      <c r="O844" s="141" t="s">
        <v>133</v>
      </c>
      <c r="P844" s="136" t="str">
        <f>IFERROR(__xludf.DUMMYFUNCTION("""COMPUTED_VALUE"""),"")</f>
        <v/>
      </c>
      <c r="Q844" s="136" t="str">
        <f>IFERROR(__xludf.DUMMYFUNCTION("""COMPUTED_VALUE"""),"")</f>
        <v/>
      </c>
      <c r="R844" s="106" t="str">
        <f>IFERROR(__xludf.DUMMYFUNCTION("""COMPUTED_VALUE"""),"")</f>
        <v/>
      </c>
      <c r="S844" s="106" t="str">
        <f>IFERROR(__xludf.DUMMYFUNCTION("""COMPUTED_VALUE"""),"")</f>
        <v/>
      </c>
      <c r="T844" s="139" t="str">
        <f>IFERROR(__xludf.DUMMYFUNCTION("""COMPUTED_VALUE"""),"")</f>
        <v/>
      </c>
      <c r="U844" s="139" t="str">
        <f>IFERROR(__xludf.DUMMYFUNCTION("""COMPUTED_VALUE"""),"")</f>
        <v/>
      </c>
      <c r="V844" s="136" t="str">
        <f>IFERROR(__xludf.DUMMYFUNCTION("""COMPUTED_VALUE"""),"")</f>
        <v/>
      </c>
      <c r="W844" s="106" t="str">
        <f>IFERROR(__xludf.DUMMYFUNCTION("""COMPUTED_VALUE"""),"")</f>
        <v/>
      </c>
      <c r="X844" s="143" t="str">
        <f t="shared" si="2"/>
        <v/>
      </c>
      <c r="Y844" s="139" t="str">
        <f>IFERROR(__xludf.DUMMYFUNCTION("""COMPUTED_VALUE"""),"")</f>
        <v/>
      </c>
      <c r="Z844" s="141" t="str">
        <f>IFERROR(__xludf.DUMMYFUNCTION("""COMPUTED_VALUE"""),"")</f>
        <v/>
      </c>
    </row>
    <row r="845">
      <c r="C845" s="136" t="str">
        <f>IFERROR(__xludf.DUMMYFUNCTION("""COMPUTED_VALUE"""),"")</f>
        <v/>
      </c>
      <c r="D845" s="136" t="str">
        <f t="shared" si="3"/>
        <v/>
      </c>
      <c r="E845" s="152" t="str">
        <f>IFERROR(__xludf.DUMMYFUNCTION("""COMPUTED_VALUE"""),"")</f>
        <v/>
      </c>
      <c r="F845" s="106" t="s">
        <v>133</v>
      </c>
      <c r="G845" s="152" t="str">
        <f>IFERROR(__xludf.DUMMYFUNCTION("""COMPUTED_VALUE"""),"")</f>
        <v/>
      </c>
      <c r="H845" s="106" t="s">
        <v>133</v>
      </c>
      <c r="I845" s="136"/>
      <c r="J845" s="139" t="s">
        <v>133</v>
      </c>
      <c r="K845" s="136" t="s">
        <v>133</v>
      </c>
      <c r="L845" s="153" t="str">
        <f>IFERROR(__xludf.DUMMYFUNCTION("""COMPUTED_VALUE"""),"")</f>
        <v/>
      </c>
      <c r="M845" s="136" t="str">
        <f t="shared" si="1"/>
        <v/>
      </c>
      <c r="N845" s="136" t="str">
        <f>IFERROR(__xludf.DUMMYFUNCTION("""COMPUTED_VALUE"""),"")</f>
        <v/>
      </c>
      <c r="O845" s="141" t="s">
        <v>133</v>
      </c>
      <c r="P845" s="136" t="str">
        <f>IFERROR(__xludf.DUMMYFUNCTION("""COMPUTED_VALUE"""),"")</f>
        <v/>
      </c>
      <c r="Q845" s="136" t="str">
        <f>IFERROR(__xludf.DUMMYFUNCTION("""COMPUTED_VALUE"""),"")</f>
        <v/>
      </c>
      <c r="R845" s="106" t="str">
        <f>IFERROR(__xludf.DUMMYFUNCTION("""COMPUTED_VALUE"""),"")</f>
        <v/>
      </c>
      <c r="S845" s="106" t="str">
        <f>IFERROR(__xludf.DUMMYFUNCTION("""COMPUTED_VALUE"""),"")</f>
        <v/>
      </c>
      <c r="T845" s="139" t="str">
        <f>IFERROR(__xludf.DUMMYFUNCTION("""COMPUTED_VALUE"""),"")</f>
        <v/>
      </c>
      <c r="U845" s="139" t="str">
        <f>IFERROR(__xludf.DUMMYFUNCTION("""COMPUTED_VALUE"""),"")</f>
        <v/>
      </c>
      <c r="V845" s="136" t="str">
        <f>IFERROR(__xludf.DUMMYFUNCTION("""COMPUTED_VALUE"""),"")</f>
        <v/>
      </c>
      <c r="W845" s="106" t="str">
        <f>IFERROR(__xludf.DUMMYFUNCTION("""COMPUTED_VALUE"""),"")</f>
        <v/>
      </c>
      <c r="X845" s="143" t="str">
        <f t="shared" si="2"/>
        <v/>
      </c>
      <c r="Y845" s="139" t="str">
        <f>IFERROR(__xludf.DUMMYFUNCTION("""COMPUTED_VALUE"""),"")</f>
        <v/>
      </c>
      <c r="Z845" s="141" t="str">
        <f>IFERROR(__xludf.DUMMYFUNCTION("""COMPUTED_VALUE"""),"")</f>
        <v/>
      </c>
    </row>
    <row r="846">
      <c r="C846" s="136" t="str">
        <f>IFERROR(__xludf.DUMMYFUNCTION("""COMPUTED_VALUE"""),"")</f>
        <v/>
      </c>
      <c r="D846" s="136" t="str">
        <f t="shared" si="3"/>
        <v/>
      </c>
      <c r="E846" s="152" t="str">
        <f>IFERROR(__xludf.DUMMYFUNCTION("""COMPUTED_VALUE"""),"")</f>
        <v/>
      </c>
      <c r="F846" s="106" t="s">
        <v>133</v>
      </c>
      <c r="G846" s="152" t="str">
        <f>IFERROR(__xludf.DUMMYFUNCTION("""COMPUTED_VALUE"""),"")</f>
        <v/>
      </c>
      <c r="H846" s="106" t="s">
        <v>133</v>
      </c>
      <c r="I846" s="136"/>
      <c r="J846" s="139" t="s">
        <v>133</v>
      </c>
      <c r="K846" s="136" t="s">
        <v>133</v>
      </c>
      <c r="L846" s="153" t="str">
        <f>IFERROR(__xludf.DUMMYFUNCTION("""COMPUTED_VALUE"""),"")</f>
        <v/>
      </c>
      <c r="M846" s="136" t="str">
        <f t="shared" si="1"/>
        <v/>
      </c>
      <c r="N846" s="136" t="str">
        <f>IFERROR(__xludf.DUMMYFUNCTION("""COMPUTED_VALUE"""),"")</f>
        <v/>
      </c>
      <c r="O846" s="141" t="s">
        <v>133</v>
      </c>
      <c r="P846" s="136" t="str">
        <f>IFERROR(__xludf.DUMMYFUNCTION("""COMPUTED_VALUE"""),"")</f>
        <v/>
      </c>
      <c r="Q846" s="136" t="str">
        <f>IFERROR(__xludf.DUMMYFUNCTION("""COMPUTED_VALUE"""),"")</f>
        <v/>
      </c>
      <c r="R846" s="106" t="str">
        <f>IFERROR(__xludf.DUMMYFUNCTION("""COMPUTED_VALUE"""),"")</f>
        <v/>
      </c>
      <c r="S846" s="106" t="str">
        <f>IFERROR(__xludf.DUMMYFUNCTION("""COMPUTED_VALUE"""),"")</f>
        <v/>
      </c>
      <c r="T846" s="139" t="str">
        <f>IFERROR(__xludf.DUMMYFUNCTION("""COMPUTED_VALUE"""),"")</f>
        <v/>
      </c>
      <c r="U846" s="139" t="str">
        <f>IFERROR(__xludf.DUMMYFUNCTION("""COMPUTED_VALUE"""),"")</f>
        <v/>
      </c>
      <c r="V846" s="136" t="str">
        <f>IFERROR(__xludf.DUMMYFUNCTION("""COMPUTED_VALUE"""),"")</f>
        <v/>
      </c>
      <c r="W846" s="106" t="str">
        <f>IFERROR(__xludf.DUMMYFUNCTION("""COMPUTED_VALUE"""),"")</f>
        <v/>
      </c>
      <c r="X846" s="143" t="str">
        <f t="shared" si="2"/>
        <v/>
      </c>
      <c r="Y846" s="139" t="str">
        <f>IFERROR(__xludf.DUMMYFUNCTION("""COMPUTED_VALUE"""),"")</f>
        <v/>
      </c>
      <c r="Z846" s="141" t="str">
        <f>IFERROR(__xludf.DUMMYFUNCTION("""COMPUTED_VALUE"""),"")</f>
        <v/>
      </c>
    </row>
    <row r="847">
      <c r="C847" s="136" t="str">
        <f>IFERROR(__xludf.DUMMYFUNCTION("""COMPUTED_VALUE"""),"")</f>
        <v/>
      </c>
      <c r="D847" s="136" t="str">
        <f t="shared" si="3"/>
        <v/>
      </c>
      <c r="E847" s="152" t="str">
        <f>IFERROR(__xludf.DUMMYFUNCTION("""COMPUTED_VALUE"""),"")</f>
        <v/>
      </c>
      <c r="F847" s="106" t="s">
        <v>133</v>
      </c>
      <c r="G847" s="152" t="str">
        <f>IFERROR(__xludf.DUMMYFUNCTION("""COMPUTED_VALUE"""),"")</f>
        <v/>
      </c>
      <c r="H847" s="106" t="s">
        <v>133</v>
      </c>
      <c r="I847" s="136"/>
      <c r="J847" s="139" t="s">
        <v>133</v>
      </c>
      <c r="K847" s="136" t="s">
        <v>133</v>
      </c>
      <c r="L847" s="153" t="str">
        <f>IFERROR(__xludf.DUMMYFUNCTION("""COMPUTED_VALUE"""),"")</f>
        <v/>
      </c>
      <c r="M847" s="136" t="str">
        <f t="shared" si="1"/>
        <v/>
      </c>
      <c r="N847" s="136" t="str">
        <f>IFERROR(__xludf.DUMMYFUNCTION("""COMPUTED_VALUE"""),"")</f>
        <v/>
      </c>
      <c r="O847" s="141" t="s">
        <v>133</v>
      </c>
      <c r="P847" s="136" t="str">
        <f>IFERROR(__xludf.DUMMYFUNCTION("""COMPUTED_VALUE"""),"")</f>
        <v/>
      </c>
      <c r="Q847" s="136" t="str">
        <f>IFERROR(__xludf.DUMMYFUNCTION("""COMPUTED_VALUE"""),"")</f>
        <v/>
      </c>
      <c r="R847" s="106" t="str">
        <f>IFERROR(__xludf.DUMMYFUNCTION("""COMPUTED_VALUE"""),"")</f>
        <v/>
      </c>
      <c r="S847" s="106" t="str">
        <f>IFERROR(__xludf.DUMMYFUNCTION("""COMPUTED_VALUE"""),"")</f>
        <v/>
      </c>
      <c r="T847" s="139" t="str">
        <f>IFERROR(__xludf.DUMMYFUNCTION("""COMPUTED_VALUE"""),"")</f>
        <v/>
      </c>
      <c r="U847" s="139" t="str">
        <f>IFERROR(__xludf.DUMMYFUNCTION("""COMPUTED_VALUE"""),"")</f>
        <v/>
      </c>
      <c r="V847" s="136" t="str">
        <f>IFERROR(__xludf.DUMMYFUNCTION("""COMPUTED_VALUE"""),"")</f>
        <v/>
      </c>
      <c r="W847" s="106" t="str">
        <f>IFERROR(__xludf.DUMMYFUNCTION("""COMPUTED_VALUE"""),"")</f>
        <v/>
      </c>
      <c r="X847" s="143" t="str">
        <f t="shared" si="2"/>
        <v/>
      </c>
      <c r="Y847" s="139" t="str">
        <f>IFERROR(__xludf.DUMMYFUNCTION("""COMPUTED_VALUE"""),"")</f>
        <v/>
      </c>
      <c r="Z847" s="141" t="str">
        <f>IFERROR(__xludf.DUMMYFUNCTION("""COMPUTED_VALUE"""),"")</f>
        <v/>
      </c>
    </row>
    <row r="848">
      <c r="C848" s="136" t="str">
        <f>IFERROR(__xludf.DUMMYFUNCTION("""COMPUTED_VALUE"""),"")</f>
        <v/>
      </c>
      <c r="D848" s="136" t="str">
        <f t="shared" si="3"/>
        <v/>
      </c>
      <c r="E848" s="152" t="str">
        <f>IFERROR(__xludf.DUMMYFUNCTION("""COMPUTED_VALUE"""),"")</f>
        <v/>
      </c>
      <c r="F848" s="106" t="s">
        <v>133</v>
      </c>
      <c r="G848" s="152" t="str">
        <f>IFERROR(__xludf.DUMMYFUNCTION("""COMPUTED_VALUE"""),"")</f>
        <v/>
      </c>
      <c r="H848" s="106" t="s">
        <v>133</v>
      </c>
      <c r="I848" s="136"/>
      <c r="J848" s="139" t="s">
        <v>133</v>
      </c>
      <c r="K848" s="136" t="s">
        <v>133</v>
      </c>
      <c r="L848" s="153" t="str">
        <f>IFERROR(__xludf.DUMMYFUNCTION("""COMPUTED_VALUE"""),"")</f>
        <v/>
      </c>
      <c r="M848" s="136" t="str">
        <f t="shared" si="1"/>
        <v/>
      </c>
      <c r="N848" s="136" t="str">
        <f>IFERROR(__xludf.DUMMYFUNCTION("""COMPUTED_VALUE"""),"")</f>
        <v/>
      </c>
      <c r="O848" s="141" t="s">
        <v>133</v>
      </c>
      <c r="P848" s="136" t="str">
        <f>IFERROR(__xludf.DUMMYFUNCTION("""COMPUTED_VALUE"""),"")</f>
        <v/>
      </c>
      <c r="Q848" s="136" t="str">
        <f>IFERROR(__xludf.DUMMYFUNCTION("""COMPUTED_VALUE"""),"")</f>
        <v/>
      </c>
      <c r="R848" s="106" t="str">
        <f>IFERROR(__xludf.DUMMYFUNCTION("""COMPUTED_VALUE"""),"")</f>
        <v/>
      </c>
      <c r="S848" s="106" t="str">
        <f>IFERROR(__xludf.DUMMYFUNCTION("""COMPUTED_VALUE"""),"")</f>
        <v/>
      </c>
      <c r="T848" s="139" t="str">
        <f>IFERROR(__xludf.DUMMYFUNCTION("""COMPUTED_VALUE"""),"")</f>
        <v/>
      </c>
      <c r="U848" s="139" t="str">
        <f>IFERROR(__xludf.DUMMYFUNCTION("""COMPUTED_VALUE"""),"")</f>
        <v/>
      </c>
      <c r="V848" s="136" t="str">
        <f>IFERROR(__xludf.DUMMYFUNCTION("""COMPUTED_VALUE"""),"")</f>
        <v/>
      </c>
      <c r="W848" s="106" t="str">
        <f>IFERROR(__xludf.DUMMYFUNCTION("""COMPUTED_VALUE"""),"")</f>
        <v/>
      </c>
      <c r="X848" s="143" t="str">
        <f t="shared" si="2"/>
        <v/>
      </c>
      <c r="Y848" s="139" t="str">
        <f>IFERROR(__xludf.DUMMYFUNCTION("""COMPUTED_VALUE"""),"")</f>
        <v/>
      </c>
      <c r="Z848" s="141" t="str">
        <f>IFERROR(__xludf.DUMMYFUNCTION("""COMPUTED_VALUE"""),"")</f>
        <v/>
      </c>
    </row>
    <row r="849">
      <c r="C849" s="136" t="str">
        <f>IFERROR(__xludf.DUMMYFUNCTION("""COMPUTED_VALUE"""),"")</f>
        <v/>
      </c>
      <c r="D849" s="136" t="str">
        <f t="shared" si="3"/>
        <v/>
      </c>
      <c r="E849" s="152" t="str">
        <f>IFERROR(__xludf.DUMMYFUNCTION("""COMPUTED_VALUE"""),"")</f>
        <v/>
      </c>
      <c r="F849" s="106" t="s">
        <v>133</v>
      </c>
      <c r="G849" s="152" t="str">
        <f>IFERROR(__xludf.DUMMYFUNCTION("""COMPUTED_VALUE"""),"")</f>
        <v/>
      </c>
      <c r="H849" s="106" t="s">
        <v>133</v>
      </c>
      <c r="I849" s="136"/>
      <c r="J849" s="139" t="s">
        <v>133</v>
      </c>
      <c r="K849" s="136" t="s">
        <v>133</v>
      </c>
      <c r="L849" s="153" t="str">
        <f>IFERROR(__xludf.DUMMYFUNCTION("""COMPUTED_VALUE"""),"")</f>
        <v/>
      </c>
      <c r="M849" s="136" t="str">
        <f t="shared" si="1"/>
        <v/>
      </c>
      <c r="N849" s="136" t="str">
        <f>IFERROR(__xludf.DUMMYFUNCTION("""COMPUTED_VALUE"""),"")</f>
        <v/>
      </c>
      <c r="O849" s="141" t="s">
        <v>133</v>
      </c>
      <c r="P849" s="136" t="str">
        <f>IFERROR(__xludf.DUMMYFUNCTION("""COMPUTED_VALUE"""),"")</f>
        <v/>
      </c>
      <c r="Q849" s="136" t="str">
        <f>IFERROR(__xludf.DUMMYFUNCTION("""COMPUTED_VALUE"""),"")</f>
        <v/>
      </c>
      <c r="R849" s="106" t="str">
        <f>IFERROR(__xludf.DUMMYFUNCTION("""COMPUTED_VALUE"""),"")</f>
        <v/>
      </c>
      <c r="S849" s="106" t="str">
        <f>IFERROR(__xludf.DUMMYFUNCTION("""COMPUTED_VALUE"""),"")</f>
        <v/>
      </c>
      <c r="T849" s="139" t="str">
        <f>IFERROR(__xludf.DUMMYFUNCTION("""COMPUTED_VALUE"""),"")</f>
        <v/>
      </c>
      <c r="U849" s="139" t="str">
        <f>IFERROR(__xludf.DUMMYFUNCTION("""COMPUTED_VALUE"""),"")</f>
        <v/>
      </c>
      <c r="V849" s="136" t="str">
        <f>IFERROR(__xludf.DUMMYFUNCTION("""COMPUTED_VALUE"""),"")</f>
        <v/>
      </c>
      <c r="W849" s="106" t="str">
        <f>IFERROR(__xludf.DUMMYFUNCTION("""COMPUTED_VALUE"""),"")</f>
        <v/>
      </c>
      <c r="X849" s="143" t="str">
        <f t="shared" si="2"/>
        <v/>
      </c>
      <c r="Y849" s="139" t="str">
        <f>IFERROR(__xludf.DUMMYFUNCTION("""COMPUTED_VALUE"""),"")</f>
        <v/>
      </c>
      <c r="Z849" s="141" t="str">
        <f>IFERROR(__xludf.DUMMYFUNCTION("""COMPUTED_VALUE"""),"")</f>
        <v/>
      </c>
    </row>
    <row r="850">
      <c r="C850" s="136" t="str">
        <f>IFERROR(__xludf.DUMMYFUNCTION("""COMPUTED_VALUE"""),"")</f>
        <v/>
      </c>
      <c r="D850" s="136" t="str">
        <f t="shared" si="3"/>
        <v/>
      </c>
      <c r="E850" s="152" t="str">
        <f>IFERROR(__xludf.DUMMYFUNCTION("""COMPUTED_VALUE"""),"")</f>
        <v/>
      </c>
      <c r="F850" s="106" t="s">
        <v>133</v>
      </c>
      <c r="G850" s="152" t="str">
        <f>IFERROR(__xludf.DUMMYFUNCTION("""COMPUTED_VALUE"""),"")</f>
        <v/>
      </c>
      <c r="H850" s="106" t="s">
        <v>133</v>
      </c>
      <c r="I850" s="136"/>
      <c r="J850" s="139" t="s">
        <v>133</v>
      </c>
      <c r="K850" s="136" t="s">
        <v>133</v>
      </c>
      <c r="L850" s="153" t="str">
        <f>IFERROR(__xludf.DUMMYFUNCTION("""COMPUTED_VALUE"""),"")</f>
        <v/>
      </c>
      <c r="M850" s="136" t="str">
        <f t="shared" si="1"/>
        <v/>
      </c>
      <c r="N850" s="136" t="str">
        <f>IFERROR(__xludf.DUMMYFUNCTION("""COMPUTED_VALUE"""),"")</f>
        <v/>
      </c>
      <c r="O850" s="141" t="s">
        <v>133</v>
      </c>
      <c r="P850" s="136" t="str">
        <f>IFERROR(__xludf.DUMMYFUNCTION("""COMPUTED_VALUE"""),"")</f>
        <v/>
      </c>
      <c r="Q850" s="136" t="str">
        <f>IFERROR(__xludf.DUMMYFUNCTION("""COMPUTED_VALUE"""),"")</f>
        <v/>
      </c>
      <c r="R850" s="106" t="str">
        <f>IFERROR(__xludf.DUMMYFUNCTION("""COMPUTED_VALUE"""),"")</f>
        <v/>
      </c>
      <c r="S850" s="106" t="str">
        <f>IFERROR(__xludf.DUMMYFUNCTION("""COMPUTED_VALUE"""),"")</f>
        <v/>
      </c>
      <c r="T850" s="139" t="str">
        <f>IFERROR(__xludf.DUMMYFUNCTION("""COMPUTED_VALUE"""),"")</f>
        <v/>
      </c>
      <c r="U850" s="139" t="str">
        <f>IFERROR(__xludf.DUMMYFUNCTION("""COMPUTED_VALUE"""),"")</f>
        <v/>
      </c>
      <c r="V850" s="136" t="str">
        <f>IFERROR(__xludf.DUMMYFUNCTION("""COMPUTED_VALUE"""),"")</f>
        <v/>
      </c>
      <c r="W850" s="106" t="str">
        <f>IFERROR(__xludf.DUMMYFUNCTION("""COMPUTED_VALUE"""),"")</f>
        <v/>
      </c>
      <c r="X850" s="143" t="str">
        <f t="shared" si="2"/>
        <v/>
      </c>
      <c r="Y850" s="139" t="str">
        <f>IFERROR(__xludf.DUMMYFUNCTION("""COMPUTED_VALUE"""),"")</f>
        <v/>
      </c>
      <c r="Z850" s="141" t="str">
        <f>IFERROR(__xludf.DUMMYFUNCTION("""COMPUTED_VALUE"""),"")</f>
        <v/>
      </c>
    </row>
    <row r="851">
      <c r="C851" s="136" t="str">
        <f>IFERROR(__xludf.DUMMYFUNCTION("""COMPUTED_VALUE"""),"")</f>
        <v/>
      </c>
      <c r="D851" s="136" t="str">
        <f t="shared" si="3"/>
        <v/>
      </c>
      <c r="E851" s="152" t="str">
        <f>IFERROR(__xludf.DUMMYFUNCTION("""COMPUTED_VALUE"""),"")</f>
        <v/>
      </c>
      <c r="F851" s="106" t="s">
        <v>133</v>
      </c>
      <c r="G851" s="152" t="str">
        <f>IFERROR(__xludf.DUMMYFUNCTION("""COMPUTED_VALUE"""),"")</f>
        <v/>
      </c>
      <c r="H851" s="106" t="s">
        <v>133</v>
      </c>
      <c r="I851" s="136"/>
      <c r="J851" s="139" t="s">
        <v>133</v>
      </c>
      <c r="K851" s="136" t="s">
        <v>133</v>
      </c>
      <c r="L851" s="153" t="str">
        <f>IFERROR(__xludf.DUMMYFUNCTION("""COMPUTED_VALUE"""),"")</f>
        <v/>
      </c>
      <c r="M851" s="136" t="str">
        <f t="shared" si="1"/>
        <v/>
      </c>
      <c r="N851" s="136" t="str">
        <f>IFERROR(__xludf.DUMMYFUNCTION("""COMPUTED_VALUE"""),"")</f>
        <v/>
      </c>
      <c r="O851" s="141" t="s">
        <v>133</v>
      </c>
      <c r="P851" s="136" t="str">
        <f>IFERROR(__xludf.DUMMYFUNCTION("""COMPUTED_VALUE"""),"")</f>
        <v/>
      </c>
      <c r="Q851" s="136" t="str">
        <f>IFERROR(__xludf.DUMMYFUNCTION("""COMPUTED_VALUE"""),"")</f>
        <v/>
      </c>
      <c r="R851" s="106" t="str">
        <f>IFERROR(__xludf.DUMMYFUNCTION("""COMPUTED_VALUE"""),"")</f>
        <v/>
      </c>
      <c r="S851" s="106" t="str">
        <f>IFERROR(__xludf.DUMMYFUNCTION("""COMPUTED_VALUE"""),"")</f>
        <v/>
      </c>
      <c r="T851" s="139" t="str">
        <f>IFERROR(__xludf.DUMMYFUNCTION("""COMPUTED_VALUE"""),"")</f>
        <v/>
      </c>
      <c r="U851" s="139" t="str">
        <f>IFERROR(__xludf.DUMMYFUNCTION("""COMPUTED_VALUE"""),"")</f>
        <v/>
      </c>
      <c r="V851" s="136" t="str">
        <f>IFERROR(__xludf.DUMMYFUNCTION("""COMPUTED_VALUE"""),"")</f>
        <v/>
      </c>
      <c r="W851" s="106" t="str">
        <f>IFERROR(__xludf.DUMMYFUNCTION("""COMPUTED_VALUE"""),"")</f>
        <v/>
      </c>
      <c r="X851" s="143" t="str">
        <f t="shared" si="2"/>
        <v/>
      </c>
      <c r="Y851" s="139" t="str">
        <f>IFERROR(__xludf.DUMMYFUNCTION("""COMPUTED_VALUE"""),"")</f>
        <v/>
      </c>
      <c r="Z851" s="141" t="str">
        <f>IFERROR(__xludf.DUMMYFUNCTION("""COMPUTED_VALUE"""),"")</f>
        <v/>
      </c>
    </row>
    <row r="852">
      <c r="C852" s="136" t="str">
        <f>IFERROR(__xludf.DUMMYFUNCTION("""COMPUTED_VALUE"""),"")</f>
        <v/>
      </c>
      <c r="D852" s="136" t="str">
        <f t="shared" si="3"/>
        <v/>
      </c>
      <c r="E852" s="152" t="str">
        <f>IFERROR(__xludf.DUMMYFUNCTION("""COMPUTED_VALUE"""),"")</f>
        <v/>
      </c>
      <c r="F852" s="106" t="s">
        <v>133</v>
      </c>
      <c r="G852" s="152" t="str">
        <f>IFERROR(__xludf.DUMMYFUNCTION("""COMPUTED_VALUE"""),"")</f>
        <v/>
      </c>
      <c r="H852" s="106" t="s">
        <v>133</v>
      </c>
      <c r="I852" s="136"/>
      <c r="J852" s="139" t="s">
        <v>133</v>
      </c>
      <c r="K852" s="136" t="s">
        <v>133</v>
      </c>
      <c r="L852" s="153" t="str">
        <f>IFERROR(__xludf.DUMMYFUNCTION("""COMPUTED_VALUE"""),"")</f>
        <v/>
      </c>
      <c r="M852" s="136" t="str">
        <f t="shared" si="1"/>
        <v/>
      </c>
      <c r="N852" s="136" t="str">
        <f>IFERROR(__xludf.DUMMYFUNCTION("""COMPUTED_VALUE"""),"")</f>
        <v/>
      </c>
      <c r="O852" s="141" t="s">
        <v>133</v>
      </c>
      <c r="P852" s="136" t="str">
        <f>IFERROR(__xludf.DUMMYFUNCTION("""COMPUTED_VALUE"""),"")</f>
        <v/>
      </c>
      <c r="Q852" s="136" t="str">
        <f>IFERROR(__xludf.DUMMYFUNCTION("""COMPUTED_VALUE"""),"")</f>
        <v/>
      </c>
      <c r="R852" s="106" t="str">
        <f>IFERROR(__xludf.DUMMYFUNCTION("""COMPUTED_VALUE"""),"")</f>
        <v/>
      </c>
      <c r="S852" s="106" t="str">
        <f>IFERROR(__xludf.DUMMYFUNCTION("""COMPUTED_VALUE"""),"")</f>
        <v/>
      </c>
      <c r="T852" s="139" t="str">
        <f>IFERROR(__xludf.DUMMYFUNCTION("""COMPUTED_VALUE"""),"")</f>
        <v/>
      </c>
      <c r="U852" s="139" t="str">
        <f>IFERROR(__xludf.DUMMYFUNCTION("""COMPUTED_VALUE"""),"")</f>
        <v/>
      </c>
      <c r="V852" s="136" t="str">
        <f>IFERROR(__xludf.DUMMYFUNCTION("""COMPUTED_VALUE"""),"")</f>
        <v/>
      </c>
      <c r="W852" s="106" t="str">
        <f>IFERROR(__xludf.DUMMYFUNCTION("""COMPUTED_VALUE"""),"")</f>
        <v/>
      </c>
      <c r="X852" s="143" t="str">
        <f t="shared" si="2"/>
        <v/>
      </c>
      <c r="Y852" s="139" t="str">
        <f>IFERROR(__xludf.DUMMYFUNCTION("""COMPUTED_VALUE"""),"")</f>
        <v/>
      </c>
      <c r="Z852" s="141" t="str">
        <f>IFERROR(__xludf.DUMMYFUNCTION("""COMPUTED_VALUE"""),"")</f>
        <v/>
      </c>
    </row>
    <row r="853">
      <c r="C853" s="136" t="str">
        <f>IFERROR(__xludf.DUMMYFUNCTION("""COMPUTED_VALUE"""),"")</f>
        <v/>
      </c>
      <c r="D853" s="136" t="str">
        <f t="shared" si="3"/>
        <v/>
      </c>
      <c r="E853" s="152" t="str">
        <f>IFERROR(__xludf.DUMMYFUNCTION("""COMPUTED_VALUE"""),"")</f>
        <v/>
      </c>
      <c r="F853" s="106" t="s">
        <v>133</v>
      </c>
      <c r="G853" s="152" t="str">
        <f>IFERROR(__xludf.DUMMYFUNCTION("""COMPUTED_VALUE"""),"")</f>
        <v/>
      </c>
      <c r="H853" s="106" t="s">
        <v>133</v>
      </c>
      <c r="I853" s="136"/>
      <c r="J853" s="139" t="s">
        <v>133</v>
      </c>
      <c r="K853" s="136" t="s">
        <v>133</v>
      </c>
      <c r="L853" s="153" t="str">
        <f>IFERROR(__xludf.DUMMYFUNCTION("""COMPUTED_VALUE"""),"")</f>
        <v/>
      </c>
      <c r="M853" s="136" t="str">
        <f t="shared" si="1"/>
        <v/>
      </c>
      <c r="N853" s="136" t="str">
        <f>IFERROR(__xludf.DUMMYFUNCTION("""COMPUTED_VALUE"""),"")</f>
        <v/>
      </c>
      <c r="O853" s="141" t="s">
        <v>133</v>
      </c>
      <c r="P853" s="136" t="str">
        <f>IFERROR(__xludf.DUMMYFUNCTION("""COMPUTED_VALUE"""),"")</f>
        <v/>
      </c>
      <c r="Q853" s="136" t="str">
        <f>IFERROR(__xludf.DUMMYFUNCTION("""COMPUTED_VALUE"""),"")</f>
        <v/>
      </c>
      <c r="R853" s="106" t="str">
        <f>IFERROR(__xludf.DUMMYFUNCTION("""COMPUTED_VALUE"""),"")</f>
        <v/>
      </c>
      <c r="S853" s="106" t="str">
        <f>IFERROR(__xludf.DUMMYFUNCTION("""COMPUTED_VALUE"""),"")</f>
        <v/>
      </c>
      <c r="T853" s="139" t="str">
        <f>IFERROR(__xludf.DUMMYFUNCTION("""COMPUTED_VALUE"""),"")</f>
        <v/>
      </c>
      <c r="U853" s="139" t="str">
        <f>IFERROR(__xludf.DUMMYFUNCTION("""COMPUTED_VALUE"""),"")</f>
        <v/>
      </c>
      <c r="V853" s="136" t="str">
        <f>IFERROR(__xludf.DUMMYFUNCTION("""COMPUTED_VALUE"""),"")</f>
        <v/>
      </c>
      <c r="W853" s="106" t="str">
        <f>IFERROR(__xludf.DUMMYFUNCTION("""COMPUTED_VALUE"""),"")</f>
        <v/>
      </c>
      <c r="X853" s="143" t="str">
        <f t="shared" si="2"/>
        <v/>
      </c>
      <c r="Y853" s="139" t="str">
        <f>IFERROR(__xludf.DUMMYFUNCTION("""COMPUTED_VALUE"""),"")</f>
        <v/>
      </c>
      <c r="Z853" s="141" t="str">
        <f>IFERROR(__xludf.DUMMYFUNCTION("""COMPUTED_VALUE"""),"")</f>
        <v/>
      </c>
    </row>
    <row r="854">
      <c r="C854" s="136" t="str">
        <f>IFERROR(__xludf.DUMMYFUNCTION("""COMPUTED_VALUE"""),"")</f>
        <v/>
      </c>
      <c r="D854" s="136" t="str">
        <f t="shared" si="3"/>
        <v/>
      </c>
      <c r="E854" s="152" t="str">
        <f>IFERROR(__xludf.DUMMYFUNCTION("""COMPUTED_VALUE"""),"")</f>
        <v/>
      </c>
      <c r="F854" s="106" t="s">
        <v>133</v>
      </c>
      <c r="G854" s="152" t="str">
        <f>IFERROR(__xludf.DUMMYFUNCTION("""COMPUTED_VALUE"""),"")</f>
        <v/>
      </c>
      <c r="H854" s="106" t="s">
        <v>133</v>
      </c>
      <c r="I854" s="136"/>
      <c r="J854" s="139" t="s">
        <v>133</v>
      </c>
      <c r="K854" s="136" t="s">
        <v>133</v>
      </c>
      <c r="L854" s="153" t="str">
        <f>IFERROR(__xludf.DUMMYFUNCTION("""COMPUTED_VALUE"""),"")</f>
        <v/>
      </c>
      <c r="M854" s="136" t="str">
        <f t="shared" si="1"/>
        <v/>
      </c>
      <c r="N854" s="136" t="str">
        <f>IFERROR(__xludf.DUMMYFUNCTION("""COMPUTED_VALUE"""),"")</f>
        <v/>
      </c>
      <c r="O854" s="141" t="s">
        <v>133</v>
      </c>
      <c r="P854" s="136" t="str">
        <f>IFERROR(__xludf.DUMMYFUNCTION("""COMPUTED_VALUE"""),"")</f>
        <v/>
      </c>
      <c r="Q854" s="136" t="str">
        <f>IFERROR(__xludf.DUMMYFUNCTION("""COMPUTED_VALUE"""),"")</f>
        <v/>
      </c>
      <c r="R854" s="106" t="str">
        <f>IFERROR(__xludf.DUMMYFUNCTION("""COMPUTED_VALUE"""),"")</f>
        <v/>
      </c>
      <c r="S854" s="106" t="str">
        <f>IFERROR(__xludf.DUMMYFUNCTION("""COMPUTED_VALUE"""),"")</f>
        <v/>
      </c>
      <c r="T854" s="139" t="str">
        <f>IFERROR(__xludf.DUMMYFUNCTION("""COMPUTED_VALUE"""),"")</f>
        <v/>
      </c>
      <c r="U854" s="139" t="str">
        <f>IFERROR(__xludf.DUMMYFUNCTION("""COMPUTED_VALUE"""),"")</f>
        <v/>
      </c>
      <c r="V854" s="136" t="str">
        <f>IFERROR(__xludf.DUMMYFUNCTION("""COMPUTED_VALUE"""),"")</f>
        <v/>
      </c>
      <c r="W854" s="106" t="str">
        <f>IFERROR(__xludf.DUMMYFUNCTION("""COMPUTED_VALUE"""),"")</f>
        <v/>
      </c>
      <c r="X854" s="143" t="str">
        <f t="shared" si="2"/>
        <v/>
      </c>
      <c r="Y854" s="139" t="str">
        <f>IFERROR(__xludf.DUMMYFUNCTION("""COMPUTED_VALUE"""),"")</f>
        <v/>
      </c>
      <c r="Z854" s="141" t="str">
        <f>IFERROR(__xludf.DUMMYFUNCTION("""COMPUTED_VALUE"""),"")</f>
        <v/>
      </c>
    </row>
    <row r="855">
      <c r="C855" s="136" t="str">
        <f>IFERROR(__xludf.DUMMYFUNCTION("""COMPUTED_VALUE"""),"")</f>
        <v/>
      </c>
      <c r="D855" s="136" t="str">
        <f t="shared" si="3"/>
        <v/>
      </c>
      <c r="E855" s="152" t="str">
        <f>IFERROR(__xludf.DUMMYFUNCTION("""COMPUTED_VALUE"""),"")</f>
        <v/>
      </c>
      <c r="F855" s="106" t="s">
        <v>133</v>
      </c>
      <c r="G855" s="152" t="str">
        <f>IFERROR(__xludf.DUMMYFUNCTION("""COMPUTED_VALUE"""),"")</f>
        <v/>
      </c>
      <c r="H855" s="106" t="s">
        <v>133</v>
      </c>
      <c r="I855" s="136"/>
      <c r="J855" s="139" t="s">
        <v>133</v>
      </c>
      <c r="K855" s="136" t="s">
        <v>133</v>
      </c>
      <c r="L855" s="153" t="str">
        <f>IFERROR(__xludf.DUMMYFUNCTION("""COMPUTED_VALUE"""),"")</f>
        <v/>
      </c>
      <c r="M855" s="136" t="str">
        <f t="shared" si="1"/>
        <v/>
      </c>
      <c r="N855" s="136" t="str">
        <f>IFERROR(__xludf.DUMMYFUNCTION("""COMPUTED_VALUE"""),"")</f>
        <v/>
      </c>
      <c r="O855" s="141" t="s">
        <v>133</v>
      </c>
      <c r="P855" s="136" t="str">
        <f>IFERROR(__xludf.DUMMYFUNCTION("""COMPUTED_VALUE"""),"")</f>
        <v/>
      </c>
      <c r="Q855" s="136" t="str">
        <f>IFERROR(__xludf.DUMMYFUNCTION("""COMPUTED_VALUE"""),"")</f>
        <v/>
      </c>
      <c r="R855" s="106" t="str">
        <f>IFERROR(__xludf.DUMMYFUNCTION("""COMPUTED_VALUE"""),"")</f>
        <v/>
      </c>
      <c r="S855" s="106" t="str">
        <f>IFERROR(__xludf.DUMMYFUNCTION("""COMPUTED_VALUE"""),"")</f>
        <v/>
      </c>
      <c r="T855" s="139" t="str">
        <f>IFERROR(__xludf.DUMMYFUNCTION("""COMPUTED_VALUE"""),"")</f>
        <v/>
      </c>
      <c r="U855" s="139" t="str">
        <f>IFERROR(__xludf.DUMMYFUNCTION("""COMPUTED_VALUE"""),"")</f>
        <v/>
      </c>
      <c r="V855" s="136" t="str">
        <f>IFERROR(__xludf.DUMMYFUNCTION("""COMPUTED_VALUE"""),"")</f>
        <v/>
      </c>
      <c r="W855" s="106" t="str">
        <f>IFERROR(__xludf.DUMMYFUNCTION("""COMPUTED_VALUE"""),"")</f>
        <v/>
      </c>
      <c r="X855" s="143" t="str">
        <f t="shared" si="2"/>
        <v/>
      </c>
      <c r="Y855" s="139" t="str">
        <f>IFERROR(__xludf.DUMMYFUNCTION("""COMPUTED_VALUE"""),"")</f>
        <v/>
      </c>
      <c r="Z855" s="141" t="str">
        <f>IFERROR(__xludf.DUMMYFUNCTION("""COMPUTED_VALUE"""),"")</f>
        <v/>
      </c>
    </row>
    <row r="856">
      <c r="C856" s="136" t="str">
        <f>IFERROR(__xludf.DUMMYFUNCTION("""COMPUTED_VALUE"""),"")</f>
        <v/>
      </c>
      <c r="D856" s="136" t="str">
        <f t="shared" si="3"/>
        <v/>
      </c>
      <c r="E856" s="152" t="str">
        <f>IFERROR(__xludf.DUMMYFUNCTION("""COMPUTED_VALUE"""),"")</f>
        <v/>
      </c>
      <c r="F856" s="106" t="s">
        <v>133</v>
      </c>
      <c r="G856" s="152" t="str">
        <f>IFERROR(__xludf.DUMMYFUNCTION("""COMPUTED_VALUE"""),"")</f>
        <v/>
      </c>
      <c r="H856" s="106" t="s">
        <v>133</v>
      </c>
      <c r="I856" s="136"/>
      <c r="J856" s="139" t="s">
        <v>133</v>
      </c>
      <c r="K856" s="136" t="s">
        <v>133</v>
      </c>
      <c r="L856" s="153" t="str">
        <f>IFERROR(__xludf.DUMMYFUNCTION("""COMPUTED_VALUE"""),"")</f>
        <v/>
      </c>
      <c r="M856" s="136" t="str">
        <f t="shared" si="1"/>
        <v/>
      </c>
      <c r="N856" s="136" t="str">
        <f>IFERROR(__xludf.DUMMYFUNCTION("""COMPUTED_VALUE"""),"")</f>
        <v/>
      </c>
      <c r="O856" s="141" t="s">
        <v>133</v>
      </c>
      <c r="P856" s="136" t="str">
        <f>IFERROR(__xludf.DUMMYFUNCTION("""COMPUTED_VALUE"""),"")</f>
        <v/>
      </c>
      <c r="Q856" s="136" t="str">
        <f>IFERROR(__xludf.DUMMYFUNCTION("""COMPUTED_VALUE"""),"")</f>
        <v/>
      </c>
      <c r="R856" s="106" t="str">
        <f>IFERROR(__xludf.DUMMYFUNCTION("""COMPUTED_VALUE"""),"")</f>
        <v/>
      </c>
      <c r="S856" s="106" t="str">
        <f>IFERROR(__xludf.DUMMYFUNCTION("""COMPUTED_VALUE"""),"")</f>
        <v/>
      </c>
      <c r="T856" s="139" t="str">
        <f>IFERROR(__xludf.DUMMYFUNCTION("""COMPUTED_VALUE"""),"")</f>
        <v/>
      </c>
      <c r="U856" s="139" t="str">
        <f>IFERROR(__xludf.DUMMYFUNCTION("""COMPUTED_VALUE"""),"")</f>
        <v/>
      </c>
      <c r="V856" s="136" t="str">
        <f>IFERROR(__xludf.DUMMYFUNCTION("""COMPUTED_VALUE"""),"")</f>
        <v/>
      </c>
      <c r="W856" s="106" t="str">
        <f>IFERROR(__xludf.DUMMYFUNCTION("""COMPUTED_VALUE"""),"")</f>
        <v/>
      </c>
      <c r="X856" s="143" t="str">
        <f t="shared" si="2"/>
        <v/>
      </c>
      <c r="Y856" s="139" t="str">
        <f>IFERROR(__xludf.DUMMYFUNCTION("""COMPUTED_VALUE"""),"")</f>
        <v/>
      </c>
      <c r="Z856" s="141" t="str">
        <f>IFERROR(__xludf.DUMMYFUNCTION("""COMPUTED_VALUE"""),"")</f>
        <v/>
      </c>
    </row>
    <row r="857">
      <c r="C857" s="136" t="str">
        <f>IFERROR(__xludf.DUMMYFUNCTION("""COMPUTED_VALUE"""),"")</f>
        <v/>
      </c>
      <c r="D857" s="136" t="str">
        <f t="shared" si="3"/>
        <v/>
      </c>
      <c r="E857" s="152" t="str">
        <f>IFERROR(__xludf.DUMMYFUNCTION("""COMPUTED_VALUE"""),"")</f>
        <v/>
      </c>
      <c r="F857" s="106" t="s">
        <v>133</v>
      </c>
      <c r="G857" s="152" t="str">
        <f>IFERROR(__xludf.DUMMYFUNCTION("""COMPUTED_VALUE"""),"")</f>
        <v/>
      </c>
      <c r="H857" s="106" t="s">
        <v>133</v>
      </c>
      <c r="I857" s="136"/>
      <c r="J857" s="139" t="s">
        <v>133</v>
      </c>
      <c r="K857" s="136" t="s">
        <v>133</v>
      </c>
      <c r="L857" s="153" t="str">
        <f>IFERROR(__xludf.DUMMYFUNCTION("""COMPUTED_VALUE"""),"")</f>
        <v/>
      </c>
      <c r="M857" s="136" t="str">
        <f t="shared" si="1"/>
        <v/>
      </c>
      <c r="N857" s="136" t="str">
        <f>IFERROR(__xludf.DUMMYFUNCTION("""COMPUTED_VALUE"""),"")</f>
        <v/>
      </c>
      <c r="O857" s="141" t="s">
        <v>133</v>
      </c>
      <c r="P857" s="136" t="str">
        <f>IFERROR(__xludf.DUMMYFUNCTION("""COMPUTED_VALUE"""),"")</f>
        <v/>
      </c>
      <c r="Q857" s="136" t="str">
        <f>IFERROR(__xludf.DUMMYFUNCTION("""COMPUTED_VALUE"""),"")</f>
        <v/>
      </c>
      <c r="R857" s="106" t="str">
        <f>IFERROR(__xludf.DUMMYFUNCTION("""COMPUTED_VALUE"""),"")</f>
        <v/>
      </c>
      <c r="S857" s="106" t="str">
        <f>IFERROR(__xludf.DUMMYFUNCTION("""COMPUTED_VALUE"""),"")</f>
        <v/>
      </c>
      <c r="T857" s="139" t="str">
        <f>IFERROR(__xludf.DUMMYFUNCTION("""COMPUTED_VALUE"""),"")</f>
        <v/>
      </c>
      <c r="U857" s="139" t="str">
        <f>IFERROR(__xludf.DUMMYFUNCTION("""COMPUTED_VALUE"""),"")</f>
        <v/>
      </c>
      <c r="V857" s="136" t="str">
        <f>IFERROR(__xludf.DUMMYFUNCTION("""COMPUTED_VALUE"""),"")</f>
        <v/>
      </c>
      <c r="W857" s="106" t="str">
        <f>IFERROR(__xludf.DUMMYFUNCTION("""COMPUTED_VALUE"""),"")</f>
        <v/>
      </c>
      <c r="X857" s="143" t="str">
        <f t="shared" si="2"/>
        <v/>
      </c>
      <c r="Y857" s="139" t="str">
        <f>IFERROR(__xludf.DUMMYFUNCTION("""COMPUTED_VALUE"""),"")</f>
        <v/>
      </c>
      <c r="Z857" s="141" t="str">
        <f>IFERROR(__xludf.DUMMYFUNCTION("""COMPUTED_VALUE"""),"")</f>
        <v/>
      </c>
    </row>
    <row r="858">
      <c r="C858" s="136" t="str">
        <f>IFERROR(__xludf.DUMMYFUNCTION("""COMPUTED_VALUE"""),"")</f>
        <v/>
      </c>
      <c r="D858" s="136" t="str">
        <f t="shared" si="3"/>
        <v/>
      </c>
      <c r="E858" s="152" t="str">
        <f>IFERROR(__xludf.DUMMYFUNCTION("""COMPUTED_VALUE"""),"")</f>
        <v/>
      </c>
      <c r="F858" s="106" t="s">
        <v>133</v>
      </c>
      <c r="G858" s="152" t="str">
        <f>IFERROR(__xludf.DUMMYFUNCTION("""COMPUTED_VALUE"""),"")</f>
        <v/>
      </c>
      <c r="H858" s="106" t="s">
        <v>133</v>
      </c>
      <c r="I858" s="136"/>
      <c r="J858" s="139" t="s">
        <v>133</v>
      </c>
      <c r="K858" s="136" t="s">
        <v>133</v>
      </c>
      <c r="L858" s="153" t="str">
        <f>IFERROR(__xludf.DUMMYFUNCTION("""COMPUTED_VALUE"""),"")</f>
        <v/>
      </c>
      <c r="M858" s="136" t="str">
        <f t="shared" si="1"/>
        <v/>
      </c>
      <c r="N858" s="136" t="str">
        <f>IFERROR(__xludf.DUMMYFUNCTION("""COMPUTED_VALUE"""),"")</f>
        <v/>
      </c>
      <c r="O858" s="141" t="s">
        <v>133</v>
      </c>
      <c r="P858" s="136" t="str">
        <f>IFERROR(__xludf.DUMMYFUNCTION("""COMPUTED_VALUE"""),"")</f>
        <v/>
      </c>
      <c r="Q858" s="136" t="str">
        <f>IFERROR(__xludf.DUMMYFUNCTION("""COMPUTED_VALUE"""),"")</f>
        <v/>
      </c>
      <c r="R858" s="106" t="str">
        <f>IFERROR(__xludf.DUMMYFUNCTION("""COMPUTED_VALUE"""),"")</f>
        <v/>
      </c>
      <c r="S858" s="106" t="str">
        <f>IFERROR(__xludf.DUMMYFUNCTION("""COMPUTED_VALUE"""),"")</f>
        <v/>
      </c>
      <c r="T858" s="139" t="str">
        <f>IFERROR(__xludf.DUMMYFUNCTION("""COMPUTED_VALUE"""),"")</f>
        <v/>
      </c>
      <c r="U858" s="139" t="str">
        <f>IFERROR(__xludf.DUMMYFUNCTION("""COMPUTED_VALUE"""),"")</f>
        <v/>
      </c>
      <c r="V858" s="136" t="str">
        <f>IFERROR(__xludf.DUMMYFUNCTION("""COMPUTED_VALUE"""),"")</f>
        <v/>
      </c>
      <c r="W858" s="106" t="str">
        <f>IFERROR(__xludf.DUMMYFUNCTION("""COMPUTED_VALUE"""),"")</f>
        <v/>
      </c>
      <c r="X858" s="143" t="str">
        <f t="shared" si="2"/>
        <v/>
      </c>
      <c r="Y858" s="139" t="str">
        <f>IFERROR(__xludf.DUMMYFUNCTION("""COMPUTED_VALUE"""),"")</f>
        <v/>
      </c>
      <c r="Z858" s="141" t="str">
        <f>IFERROR(__xludf.DUMMYFUNCTION("""COMPUTED_VALUE"""),"")</f>
        <v/>
      </c>
    </row>
    <row r="859">
      <c r="C859" s="136" t="str">
        <f>IFERROR(__xludf.DUMMYFUNCTION("""COMPUTED_VALUE"""),"")</f>
        <v/>
      </c>
      <c r="D859" s="136" t="str">
        <f t="shared" si="3"/>
        <v/>
      </c>
      <c r="E859" s="152" t="str">
        <f>IFERROR(__xludf.DUMMYFUNCTION("""COMPUTED_VALUE"""),"")</f>
        <v/>
      </c>
      <c r="F859" s="106" t="s">
        <v>133</v>
      </c>
      <c r="G859" s="152" t="str">
        <f>IFERROR(__xludf.DUMMYFUNCTION("""COMPUTED_VALUE"""),"")</f>
        <v/>
      </c>
      <c r="H859" s="106" t="s">
        <v>133</v>
      </c>
      <c r="I859" s="136"/>
      <c r="J859" s="139" t="s">
        <v>133</v>
      </c>
      <c r="K859" s="136" t="s">
        <v>133</v>
      </c>
      <c r="L859" s="153" t="str">
        <f>IFERROR(__xludf.DUMMYFUNCTION("""COMPUTED_VALUE"""),"")</f>
        <v/>
      </c>
      <c r="M859" s="136" t="str">
        <f t="shared" si="1"/>
        <v/>
      </c>
      <c r="N859" s="136" t="str">
        <f>IFERROR(__xludf.DUMMYFUNCTION("""COMPUTED_VALUE"""),"")</f>
        <v/>
      </c>
      <c r="O859" s="141" t="s">
        <v>133</v>
      </c>
      <c r="P859" s="136" t="str">
        <f>IFERROR(__xludf.DUMMYFUNCTION("""COMPUTED_VALUE"""),"")</f>
        <v/>
      </c>
      <c r="Q859" s="136" t="str">
        <f>IFERROR(__xludf.DUMMYFUNCTION("""COMPUTED_VALUE"""),"")</f>
        <v/>
      </c>
      <c r="R859" s="106" t="str">
        <f>IFERROR(__xludf.DUMMYFUNCTION("""COMPUTED_VALUE"""),"")</f>
        <v/>
      </c>
      <c r="S859" s="106" t="str">
        <f>IFERROR(__xludf.DUMMYFUNCTION("""COMPUTED_VALUE"""),"")</f>
        <v/>
      </c>
      <c r="T859" s="139" t="str">
        <f>IFERROR(__xludf.DUMMYFUNCTION("""COMPUTED_VALUE"""),"")</f>
        <v/>
      </c>
      <c r="U859" s="139" t="str">
        <f>IFERROR(__xludf.DUMMYFUNCTION("""COMPUTED_VALUE"""),"")</f>
        <v/>
      </c>
      <c r="V859" s="136" t="str">
        <f>IFERROR(__xludf.DUMMYFUNCTION("""COMPUTED_VALUE"""),"")</f>
        <v/>
      </c>
      <c r="W859" s="106" t="str">
        <f>IFERROR(__xludf.DUMMYFUNCTION("""COMPUTED_VALUE"""),"")</f>
        <v/>
      </c>
      <c r="X859" s="143" t="str">
        <f t="shared" si="2"/>
        <v/>
      </c>
      <c r="Y859" s="139" t="str">
        <f>IFERROR(__xludf.DUMMYFUNCTION("""COMPUTED_VALUE"""),"")</f>
        <v/>
      </c>
      <c r="Z859" s="141" t="str">
        <f>IFERROR(__xludf.DUMMYFUNCTION("""COMPUTED_VALUE"""),"")</f>
        <v/>
      </c>
    </row>
    <row r="860">
      <c r="C860" s="136" t="str">
        <f>IFERROR(__xludf.DUMMYFUNCTION("""COMPUTED_VALUE"""),"")</f>
        <v/>
      </c>
      <c r="D860" s="136" t="str">
        <f t="shared" si="3"/>
        <v/>
      </c>
      <c r="E860" s="152" t="str">
        <f>IFERROR(__xludf.DUMMYFUNCTION("""COMPUTED_VALUE"""),"")</f>
        <v/>
      </c>
      <c r="F860" s="106" t="s">
        <v>133</v>
      </c>
      <c r="G860" s="152" t="str">
        <f>IFERROR(__xludf.DUMMYFUNCTION("""COMPUTED_VALUE"""),"")</f>
        <v/>
      </c>
      <c r="H860" s="106" t="s">
        <v>133</v>
      </c>
      <c r="I860" s="136"/>
      <c r="J860" s="139" t="s">
        <v>133</v>
      </c>
      <c r="K860" s="136" t="s">
        <v>133</v>
      </c>
      <c r="L860" s="153" t="str">
        <f>IFERROR(__xludf.DUMMYFUNCTION("""COMPUTED_VALUE"""),"")</f>
        <v/>
      </c>
      <c r="M860" s="136" t="str">
        <f t="shared" si="1"/>
        <v/>
      </c>
      <c r="N860" s="136" t="str">
        <f>IFERROR(__xludf.DUMMYFUNCTION("""COMPUTED_VALUE"""),"")</f>
        <v/>
      </c>
      <c r="O860" s="141" t="s">
        <v>133</v>
      </c>
      <c r="P860" s="136" t="str">
        <f>IFERROR(__xludf.DUMMYFUNCTION("""COMPUTED_VALUE"""),"")</f>
        <v/>
      </c>
      <c r="Q860" s="136" t="str">
        <f>IFERROR(__xludf.DUMMYFUNCTION("""COMPUTED_VALUE"""),"")</f>
        <v/>
      </c>
      <c r="R860" s="106" t="str">
        <f>IFERROR(__xludf.DUMMYFUNCTION("""COMPUTED_VALUE"""),"")</f>
        <v/>
      </c>
      <c r="S860" s="106" t="str">
        <f>IFERROR(__xludf.DUMMYFUNCTION("""COMPUTED_VALUE"""),"")</f>
        <v/>
      </c>
      <c r="T860" s="139" t="str">
        <f>IFERROR(__xludf.DUMMYFUNCTION("""COMPUTED_VALUE"""),"")</f>
        <v/>
      </c>
      <c r="U860" s="139" t="str">
        <f>IFERROR(__xludf.DUMMYFUNCTION("""COMPUTED_VALUE"""),"")</f>
        <v/>
      </c>
      <c r="V860" s="136" t="str">
        <f>IFERROR(__xludf.DUMMYFUNCTION("""COMPUTED_VALUE"""),"")</f>
        <v/>
      </c>
      <c r="W860" s="106" t="str">
        <f>IFERROR(__xludf.DUMMYFUNCTION("""COMPUTED_VALUE"""),"")</f>
        <v/>
      </c>
      <c r="X860" s="143" t="str">
        <f t="shared" si="2"/>
        <v/>
      </c>
      <c r="Y860" s="139" t="str">
        <f>IFERROR(__xludf.DUMMYFUNCTION("""COMPUTED_VALUE"""),"")</f>
        <v/>
      </c>
      <c r="Z860" s="141" t="str">
        <f>IFERROR(__xludf.DUMMYFUNCTION("""COMPUTED_VALUE"""),"")</f>
        <v/>
      </c>
    </row>
    <row r="861">
      <c r="C861" s="136" t="str">
        <f>IFERROR(__xludf.DUMMYFUNCTION("""COMPUTED_VALUE"""),"")</f>
        <v/>
      </c>
      <c r="D861" s="136" t="str">
        <f t="shared" si="3"/>
        <v/>
      </c>
      <c r="E861" s="152" t="str">
        <f>IFERROR(__xludf.DUMMYFUNCTION("""COMPUTED_VALUE"""),"")</f>
        <v/>
      </c>
      <c r="F861" s="106" t="s">
        <v>133</v>
      </c>
      <c r="G861" s="152" t="str">
        <f>IFERROR(__xludf.DUMMYFUNCTION("""COMPUTED_VALUE"""),"")</f>
        <v/>
      </c>
      <c r="H861" s="106" t="s">
        <v>133</v>
      </c>
      <c r="I861" s="136"/>
      <c r="J861" s="139" t="s">
        <v>133</v>
      </c>
      <c r="K861" s="136" t="s">
        <v>133</v>
      </c>
      <c r="L861" s="153" t="str">
        <f>IFERROR(__xludf.DUMMYFUNCTION("""COMPUTED_VALUE"""),"")</f>
        <v/>
      </c>
      <c r="M861" s="136" t="str">
        <f t="shared" si="1"/>
        <v/>
      </c>
      <c r="N861" s="136" t="str">
        <f>IFERROR(__xludf.DUMMYFUNCTION("""COMPUTED_VALUE"""),"")</f>
        <v/>
      </c>
      <c r="O861" s="141" t="s">
        <v>133</v>
      </c>
      <c r="P861" s="136" t="str">
        <f>IFERROR(__xludf.DUMMYFUNCTION("""COMPUTED_VALUE"""),"")</f>
        <v/>
      </c>
      <c r="Q861" s="136" t="str">
        <f>IFERROR(__xludf.DUMMYFUNCTION("""COMPUTED_VALUE"""),"")</f>
        <v/>
      </c>
      <c r="R861" s="106" t="str">
        <f>IFERROR(__xludf.DUMMYFUNCTION("""COMPUTED_VALUE"""),"")</f>
        <v/>
      </c>
      <c r="S861" s="106" t="str">
        <f>IFERROR(__xludf.DUMMYFUNCTION("""COMPUTED_VALUE"""),"")</f>
        <v/>
      </c>
      <c r="T861" s="139" t="str">
        <f>IFERROR(__xludf.DUMMYFUNCTION("""COMPUTED_VALUE"""),"")</f>
        <v/>
      </c>
      <c r="U861" s="139" t="str">
        <f>IFERROR(__xludf.DUMMYFUNCTION("""COMPUTED_VALUE"""),"")</f>
        <v/>
      </c>
      <c r="V861" s="136" t="str">
        <f>IFERROR(__xludf.DUMMYFUNCTION("""COMPUTED_VALUE"""),"")</f>
        <v/>
      </c>
      <c r="W861" s="106" t="str">
        <f>IFERROR(__xludf.DUMMYFUNCTION("""COMPUTED_VALUE"""),"")</f>
        <v/>
      </c>
      <c r="X861" s="143" t="str">
        <f t="shared" si="2"/>
        <v/>
      </c>
      <c r="Y861" s="139" t="str">
        <f>IFERROR(__xludf.DUMMYFUNCTION("""COMPUTED_VALUE"""),"")</f>
        <v/>
      </c>
      <c r="Z861" s="141" t="str">
        <f>IFERROR(__xludf.DUMMYFUNCTION("""COMPUTED_VALUE"""),"")</f>
        <v/>
      </c>
    </row>
    <row r="862">
      <c r="C862" s="136" t="str">
        <f>IFERROR(__xludf.DUMMYFUNCTION("""COMPUTED_VALUE"""),"")</f>
        <v/>
      </c>
      <c r="D862" s="136" t="str">
        <f t="shared" si="3"/>
        <v/>
      </c>
      <c r="E862" s="152" t="str">
        <f>IFERROR(__xludf.DUMMYFUNCTION("""COMPUTED_VALUE"""),"")</f>
        <v/>
      </c>
      <c r="F862" s="106" t="s">
        <v>133</v>
      </c>
      <c r="G862" s="152" t="str">
        <f>IFERROR(__xludf.DUMMYFUNCTION("""COMPUTED_VALUE"""),"")</f>
        <v/>
      </c>
      <c r="H862" s="106" t="s">
        <v>133</v>
      </c>
      <c r="I862" s="136"/>
      <c r="J862" s="139" t="s">
        <v>133</v>
      </c>
      <c r="K862" s="136" t="s">
        <v>133</v>
      </c>
      <c r="L862" s="153" t="str">
        <f>IFERROR(__xludf.DUMMYFUNCTION("""COMPUTED_VALUE"""),"")</f>
        <v/>
      </c>
      <c r="M862" s="136" t="str">
        <f t="shared" si="1"/>
        <v/>
      </c>
      <c r="N862" s="136" t="str">
        <f>IFERROR(__xludf.DUMMYFUNCTION("""COMPUTED_VALUE"""),"")</f>
        <v/>
      </c>
      <c r="O862" s="141" t="s">
        <v>133</v>
      </c>
      <c r="P862" s="136" t="str">
        <f>IFERROR(__xludf.DUMMYFUNCTION("""COMPUTED_VALUE"""),"")</f>
        <v/>
      </c>
      <c r="Q862" s="136" t="str">
        <f>IFERROR(__xludf.DUMMYFUNCTION("""COMPUTED_VALUE"""),"")</f>
        <v/>
      </c>
      <c r="R862" s="106" t="str">
        <f>IFERROR(__xludf.DUMMYFUNCTION("""COMPUTED_VALUE"""),"")</f>
        <v/>
      </c>
      <c r="S862" s="106" t="str">
        <f>IFERROR(__xludf.DUMMYFUNCTION("""COMPUTED_VALUE"""),"")</f>
        <v/>
      </c>
      <c r="T862" s="139" t="str">
        <f>IFERROR(__xludf.DUMMYFUNCTION("""COMPUTED_VALUE"""),"")</f>
        <v/>
      </c>
      <c r="U862" s="139" t="str">
        <f>IFERROR(__xludf.DUMMYFUNCTION("""COMPUTED_VALUE"""),"")</f>
        <v/>
      </c>
      <c r="V862" s="136" t="str">
        <f>IFERROR(__xludf.DUMMYFUNCTION("""COMPUTED_VALUE"""),"")</f>
        <v/>
      </c>
      <c r="W862" s="106" t="str">
        <f>IFERROR(__xludf.DUMMYFUNCTION("""COMPUTED_VALUE"""),"")</f>
        <v/>
      </c>
      <c r="X862" s="143" t="str">
        <f t="shared" si="2"/>
        <v/>
      </c>
      <c r="Y862" s="139" t="str">
        <f>IFERROR(__xludf.DUMMYFUNCTION("""COMPUTED_VALUE"""),"")</f>
        <v/>
      </c>
      <c r="Z862" s="141" t="str">
        <f>IFERROR(__xludf.DUMMYFUNCTION("""COMPUTED_VALUE"""),"")</f>
        <v/>
      </c>
    </row>
    <row r="863">
      <c r="C863" s="136" t="str">
        <f>IFERROR(__xludf.DUMMYFUNCTION("""COMPUTED_VALUE"""),"")</f>
        <v/>
      </c>
      <c r="D863" s="136" t="str">
        <f t="shared" si="3"/>
        <v/>
      </c>
      <c r="E863" s="152" t="str">
        <f>IFERROR(__xludf.DUMMYFUNCTION("""COMPUTED_VALUE"""),"")</f>
        <v/>
      </c>
      <c r="F863" s="106" t="s">
        <v>133</v>
      </c>
      <c r="G863" s="152" t="str">
        <f>IFERROR(__xludf.DUMMYFUNCTION("""COMPUTED_VALUE"""),"")</f>
        <v/>
      </c>
      <c r="H863" s="106" t="s">
        <v>133</v>
      </c>
      <c r="I863" s="136"/>
      <c r="J863" s="139" t="s">
        <v>133</v>
      </c>
      <c r="K863" s="136" t="s">
        <v>133</v>
      </c>
      <c r="L863" s="153" t="str">
        <f>IFERROR(__xludf.DUMMYFUNCTION("""COMPUTED_VALUE"""),"")</f>
        <v/>
      </c>
      <c r="M863" s="136" t="str">
        <f t="shared" si="1"/>
        <v/>
      </c>
      <c r="N863" s="136" t="str">
        <f>IFERROR(__xludf.DUMMYFUNCTION("""COMPUTED_VALUE"""),"")</f>
        <v/>
      </c>
      <c r="O863" s="141" t="s">
        <v>133</v>
      </c>
      <c r="P863" s="136" t="str">
        <f>IFERROR(__xludf.DUMMYFUNCTION("""COMPUTED_VALUE"""),"")</f>
        <v/>
      </c>
      <c r="Q863" s="136" t="str">
        <f>IFERROR(__xludf.DUMMYFUNCTION("""COMPUTED_VALUE"""),"")</f>
        <v/>
      </c>
      <c r="R863" s="106" t="str">
        <f>IFERROR(__xludf.DUMMYFUNCTION("""COMPUTED_VALUE"""),"")</f>
        <v/>
      </c>
      <c r="S863" s="106" t="str">
        <f>IFERROR(__xludf.DUMMYFUNCTION("""COMPUTED_VALUE"""),"")</f>
        <v/>
      </c>
      <c r="T863" s="139" t="str">
        <f>IFERROR(__xludf.DUMMYFUNCTION("""COMPUTED_VALUE"""),"")</f>
        <v/>
      </c>
      <c r="U863" s="139" t="str">
        <f>IFERROR(__xludf.DUMMYFUNCTION("""COMPUTED_VALUE"""),"")</f>
        <v/>
      </c>
      <c r="V863" s="136" t="str">
        <f>IFERROR(__xludf.DUMMYFUNCTION("""COMPUTED_VALUE"""),"")</f>
        <v/>
      </c>
      <c r="W863" s="106" t="str">
        <f>IFERROR(__xludf.DUMMYFUNCTION("""COMPUTED_VALUE"""),"")</f>
        <v/>
      </c>
      <c r="X863" s="143" t="str">
        <f t="shared" si="2"/>
        <v/>
      </c>
      <c r="Y863" s="139" t="str">
        <f>IFERROR(__xludf.DUMMYFUNCTION("""COMPUTED_VALUE"""),"")</f>
        <v/>
      </c>
      <c r="Z863" s="141" t="str">
        <f>IFERROR(__xludf.DUMMYFUNCTION("""COMPUTED_VALUE"""),"")</f>
        <v/>
      </c>
    </row>
    <row r="864">
      <c r="C864" s="136" t="str">
        <f>IFERROR(__xludf.DUMMYFUNCTION("""COMPUTED_VALUE"""),"")</f>
        <v/>
      </c>
      <c r="D864" s="136" t="str">
        <f t="shared" si="3"/>
        <v/>
      </c>
      <c r="E864" s="152" t="str">
        <f>IFERROR(__xludf.DUMMYFUNCTION("""COMPUTED_VALUE"""),"")</f>
        <v/>
      </c>
      <c r="F864" s="106" t="s">
        <v>133</v>
      </c>
      <c r="G864" s="152" t="str">
        <f>IFERROR(__xludf.DUMMYFUNCTION("""COMPUTED_VALUE"""),"")</f>
        <v/>
      </c>
      <c r="H864" s="106" t="s">
        <v>133</v>
      </c>
      <c r="I864" s="136"/>
      <c r="J864" s="139" t="s">
        <v>133</v>
      </c>
      <c r="K864" s="136" t="s">
        <v>133</v>
      </c>
      <c r="L864" s="153" t="str">
        <f>IFERROR(__xludf.DUMMYFUNCTION("""COMPUTED_VALUE"""),"")</f>
        <v/>
      </c>
      <c r="M864" s="136" t="str">
        <f t="shared" si="1"/>
        <v/>
      </c>
      <c r="N864" s="136" t="str">
        <f>IFERROR(__xludf.DUMMYFUNCTION("""COMPUTED_VALUE"""),"")</f>
        <v/>
      </c>
      <c r="O864" s="141" t="s">
        <v>133</v>
      </c>
      <c r="P864" s="136" t="str">
        <f>IFERROR(__xludf.DUMMYFUNCTION("""COMPUTED_VALUE"""),"")</f>
        <v/>
      </c>
      <c r="Q864" s="136" t="str">
        <f>IFERROR(__xludf.DUMMYFUNCTION("""COMPUTED_VALUE"""),"")</f>
        <v/>
      </c>
      <c r="R864" s="106" t="str">
        <f>IFERROR(__xludf.DUMMYFUNCTION("""COMPUTED_VALUE"""),"")</f>
        <v/>
      </c>
      <c r="S864" s="106" t="str">
        <f>IFERROR(__xludf.DUMMYFUNCTION("""COMPUTED_VALUE"""),"")</f>
        <v/>
      </c>
      <c r="T864" s="139" t="str">
        <f>IFERROR(__xludf.DUMMYFUNCTION("""COMPUTED_VALUE"""),"")</f>
        <v/>
      </c>
      <c r="U864" s="139" t="str">
        <f>IFERROR(__xludf.DUMMYFUNCTION("""COMPUTED_VALUE"""),"")</f>
        <v/>
      </c>
      <c r="V864" s="136" t="str">
        <f>IFERROR(__xludf.DUMMYFUNCTION("""COMPUTED_VALUE"""),"")</f>
        <v/>
      </c>
      <c r="W864" s="106" t="str">
        <f>IFERROR(__xludf.DUMMYFUNCTION("""COMPUTED_VALUE"""),"")</f>
        <v/>
      </c>
      <c r="X864" s="143" t="str">
        <f t="shared" si="2"/>
        <v/>
      </c>
      <c r="Y864" s="139" t="str">
        <f>IFERROR(__xludf.DUMMYFUNCTION("""COMPUTED_VALUE"""),"")</f>
        <v/>
      </c>
      <c r="Z864" s="141" t="str">
        <f>IFERROR(__xludf.DUMMYFUNCTION("""COMPUTED_VALUE"""),"")</f>
        <v/>
      </c>
    </row>
    <row r="865">
      <c r="C865" s="136" t="str">
        <f>IFERROR(__xludf.DUMMYFUNCTION("""COMPUTED_VALUE"""),"")</f>
        <v/>
      </c>
      <c r="D865" s="136" t="str">
        <f t="shared" si="3"/>
        <v/>
      </c>
      <c r="E865" s="152" t="str">
        <f>IFERROR(__xludf.DUMMYFUNCTION("""COMPUTED_VALUE"""),"")</f>
        <v/>
      </c>
      <c r="F865" s="106" t="s">
        <v>133</v>
      </c>
      <c r="G865" s="152" t="str">
        <f>IFERROR(__xludf.DUMMYFUNCTION("""COMPUTED_VALUE"""),"")</f>
        <v/>
      </c>
      <c r="H865" s="106" t="s">
        <v>133</v>
      </c>
      <c r="I865" s="136"/>
      <c r="J865" s="139" t="s">
        <v>133</v>
      </c>
      <c r="K865" s="136" t="s">
        <v>133</v>
      </c>
      <c r="L865" s="153" t="str">
        <f>IFERROR(__xludf.DUMMYFUNCTION("""COMPUTED_VALUE"""),"")</f>
        <v/>
      </c>
      <c r="M865" s="136" t="str">
        <f t="shared" si="1"/>
        <v/>
      </c>
      <c r="N865" s="136" t="str">
        <f>IFERROR(__xludf.DUMMYFUNCTION("""COMPUTED_VALUE"""),"")</f>
        <v/>
      </c>
      <c r="O865" s="141" t="s">
        <v>133</v>
      </c>
      <c r="P865" s="136" t="str">
        <f>IFERROR(__xludf.DUMMYFUNCTION("""COMPUTED_VALUE"""),"")</f>
        <v/>
      </c>
      <c r="Q865" s="136" t="str">
        <f>IFERROR(__xludf.DUMMYFUNCTION("""COMPUTED_VALUE"""),"")</f>
        <v/>
      </c>
      <c r="R865" s="106" t="str">
        <f>IFERROR(__xludf.DUMMYFUNCTION("""COMPUTED_VALUE"""),"")</f>
        <v/>
      </c>
      <c r="S865" s="106" t="str">
        <f>IFERROR(__xludf.DUMMYFUNCTION("""COMPUTED_VALUE"""),"")</f>
        <v/>
      </c>
      <c r="T865" s="139" t="str">
        <f>IFERROR(__xludf.DUMMYFUNCTION("""COMPUTED_VALUE"""),"")</f>
        <v/>
      </c>
      <c r="U865" s="139" t="str">
        <f>IFERROR(__xludf.DUMMYFUNCTION("""COMPUTED_VALUE"""),"")</f>
        <v/>
      </c>
      <c r="V865" s="136" t="str">
        <f>IFERROR(__xludf.DUMMYFUNCTION("""COMPUTED_VALUE"""),"")</f>
        <v/>
      </c>
      <c r="W865" s="106" t="str">
        <f>IFERROR(__xludf.DUMMYFUNCTION("""COMPUTED_VALUE"""),"")</f>
        <v/>
      </c>
      <c r="X865" s="143" t="str">
        <f t="shared" si="2"/>
        <v/>
      </c>
      <c r="Y865" s="139" t="str">
        <f>IFERROR(__xludf.DUMMYFUNCTION("""COMPUTED_VALUE"""),"")</f>
        <v/>
      </c>
      <c r="Z865" s="141" t="str">
        <f>IFERROR(__xludf.DUMMYFUNCTION("""COMPUTED_VALUE"""),"")</f>
        <v/>
      </c>
    </row>
    <row r="866">
      <c r="C866" s="136" t="str">
        <f>IFERROR(__xludf.DUMMYFUNCTION("""COMPUTED_VALUE"""),"")</f>
        <v/>
      </c>
      <c r="D866" s="136" t="str">
        <f t="shared" si="3"/>
        <v/>
      </c>
      <c r="E866" s="152" t="str">
        <f>IFERROR(__xludf.DUMMYFUNCTION("""COMPUTED_VALUE"""),"")</f>
        <v/>
      </c>
      <c r="F866" s="106" t="s">
        <v>133</v>
      </c>
      <c r="G866" s="152" t="str">
        <f>IFERROR(__xludf.DUMMYFUNCTION("""COMPUTED_VALUE"""),"")</f>
        <v/>
      </c>
      <c r="H866" s="106" t="s">
        <v>133</v>
      </c>
      <c r="I866" s="136"/>
      <c r="J866" s="139" t="s">
        <v>133</v>
      </c>
      <c r="K866" s="136" t="s">
        <v>133</v>
      </c>
      <c r="L866" s="153" t="str">
        <f>IFERROR(__xludf.DUMMYFUNCTION("""COMPUTED_VALUE"""),"")</f>
        <v/>
      </c>
      <c r="M866" s="136" t="str">
        <f t="shared" si="1"/>
        <v/>
      </c>
      <c r="N866" s="136" t="str">
        <f>IFERROR(__xludf.DUMMYFUNCTION("""COMPUTED_VALUE"""),"")</f>
        <v/>
      </c>
      <c r="O866" s="141" t="s">
        <v>133</v>
      </c>
      <c r="P866" s="136" t="str">
        <f>IFERROR(__xludf.DUMMYFUNCTION("""COMPUTED_VALUE"""),"")</f>
        <v/>
      </c>
      <c r="Q866" s="136" t="str">
        <f>IFERROR(__xludf.DUMMYFUNCTION("""COMPUTED_VALUE"""),"")</f>
        <v/>
      </c>
      <c r="R866" s="106" t="str">
        <f>IFERROR(__xludf.DUMMYFUNCTION("""COMPUTED_VALUE"""),"")</f>
        <v/>
      </c>
      <c r="S866" s="106" t="str">
        <f>IFERROR(__xludf.DUMMYFUNCTION("""COMPUTED_VALUE"""),"")</f>
        <v/>
      </c>
      <c r="T866" s="139" t="str">
        <f>IFERROR(__xludf.DUMMYFUNCTION("""COMPUTED_VALUE"""),"")</f>
        <v/>
      </c>
      <c r="U866" s="139" t="str">
        <f>IFERROR(__xludf.DUMMYFUNCTION("""COMPUTED_VALUE"""),"")</f>
        <v/>
      </c>
      <c r="V866" s="136" t="str">
        <f>IFERROR(__xludf.DUMMYFUNCTION("""COMPUTED_VALUE"""),"")</f>
        <v/>
      </c>
      <c r="W866" s="106" t="str">
        <f>IFERROR(__xludf.DUMMYFUNCTION("""COMPUTED_VALUE"""),"")</f>
        <v/>
      </c>
      <c r="X866" s="143" t="str">
        <f t="shared" si="2"/>
        <v/>
      </c>
      <c r="Y866" s="139" t="str">
        <f>IFERROR(__xludf.DUMMYFUNCTION("""COMPUTED_VALUE"""),"")</f>
        <v/>
      </c>
      <c r="Z866" s="141" t="str">
        <f>IFERROR(__xludf.DUMMYFUNCTION("""COMPUTED_VALUE"""),"")</f>
        <v/>
      </c>
    </row>
    <row r="867">
      <c r="C867" s="136" t="str">
        <f>IFERROR(__xludf.DUMMYFUNCTION("""COMPUTED_VALUE"""),"")</f>
        <v/>
      </c>
      <c r="D867" s="136" t="str">
        <f t="shared" si="3"/>
        <v/>
      </c>
      <c r="E867" s="152" t="str">
        <f>IFERROR(__xludf.DUMMYFUNCTION("""COMPUTED_VALUE"""),"")</f>
        <v/>
      </c>
      <c r="F867" s="106" t="s">
        <v>133</v>
      </c>
      <c r="G867" s="152" t="str">
        <f>IFERROR(__xludf.DUMMYFUNCTION("""COMPUTED_VALUE"""),"")</f>
        <v/>
      </c>
      <c r="H867" s="106" t="s">
        <v>133</v>
      </c>
      <c r="I867" s="136"/>
      <c r="J867" s="139" t="s">
        <v>133</v>
      </c>
      <c r="K867" s="136" t="s">
        <v>133</v>
      </c>
      <c r="L867" s="153" t="str">
        <f>IFERROR(__xludf.DUMMYFUNCTION("""COMPUTED_VALUE"""),"")</f>
        <v/>
      </c>
      <c r="M867" s="136" t="str">
        <f t="shared" si="1"/>
        <v/>
      </c>
      <c r="N867" s="136" t="str">
        <f>IFERROR(__xludf.DUMMYFUNCTION("""COMPUTED_VALUE"""),"")</f>
        <v/>
      </c>
      <c r="O867" s="141" t="s">
        <v>133</v>
      </c>
      <c r="P867" s="136" t="str">
        <f>IFERROR(__xludf.DUMMYFUNCTION("""COMPUTED_VALUE"""),"")</f>
        <v/>
      </c>
      <c r="Q867" s="136" t="str">
        <f>IFERROR(__xludf.DUMMYFUNCTION("""COMPUTED_VALUE"""),"")</f>
        <v/>
      </c>
      <c r="R867" s="106" t="str">
        <f>IFERROR(__xludf.DUMMYFUNCTION("""COMPUTED_VALUE"""),"")</f>
        <v/>
      </c>
      <c r="S867" s="106" t="str">
        <f>IFERROR(__xludf.DUMMYFUNCTION("""COMPUTED_VALUE"""),"")</f>
        <v/>
      </c>
      <c r="T867" s="139" t="str">
        <f>IFERROR(__xludf.DUMMYFUNCTION("""COMPUTED_VALUE"""),"")</f>
        <v/>
      </c>
      <c r="U867" s="139" t="str">
        <f>IFERROR(__xludf.DUMMYFUNCTION("""COMPUTED_VALUE"""),"")</f>
        <v/>
      </c>
      <c r="V867" s="136" t="str">
        <f>IFERROR(__xludf.DUMMYFUNCTION("""COMPUTED_VALUE"""),"")</f>
        <v/>
      </c>
      <c r="W867" s="106" t="str">
        <f>IFERROR(__xludf.DUMMYFUNCTION("""COMPUTED_VALUE"""),"")</f>
        <v/>
      </c>
      <c r="X867" s="143" t="str">
        <f t="shared" si="2"/>
        <v/>
      </c>
      <c r="Y867" s="139" t="str">
        <f>IFERROR(__xludf.DUMMYFUNCTION("""COMPUTED_VALUE"""),"")</f>
        <v/>
      </c>
      <c r="Z867" s="141" t="str">
        <f>IFERROR(__xludf.DUMMYFUNCTION("""COMPUTED_VALUE"""),"")</f>
        <v/>
      </c>
    </row>
    <row r="868">
      <c r="C868" s="136" t="str">
        <f>IFERROR(__xludf.DUMMYFUNCTION("""COMPUTED_VALUE"""),"")</f>
        <v/>
      </c>
      <c r="D868" s="136" t="str">
        <f t="shared" si="3"/>
        <v/>
      </c>
      <c r="E868" s="152" t="str">
        <f>IFERROR(__xludf.DUMMYFUNCTION("""COMPUTED_VALUE"""),"")</f>
        <v/>
      </c>
      <c r="F868" s="106" t="s">
        <v>133</v>
      </c>
      <c r="G868" s="152" t="str">
        <f>IFERROR(__xludf.DUMMYFUNCTION("""COMPUTED_VALUE"""),"")</f>
        <v/>
      </c>
      <c r="H868" s="106" t="s">
        <v>133</v>
      </c>
      <c r="I868" s="136"/>
      <c r="J868" s="139" t="s">
        <v>133</v>
      </c>
      <c r="K868" s="136" t="s">
        <v>133</v>
      </c>
      <c r="L868" s="153" t="str">
        <f>IFERROR(__xludf.DUMMYFUNCTION("""COMPUTED_VALUE"""),"")</f>
        <v/>
      </c>
      <c r="M868" s="136" t="str">
        <f t="shared" si="1"/>
        <v/>
      </c>
      <c r="N868" s="136" t="str">
        <f>IFERROR(__xludf.DUMMYFUNCTION("""COMPUTED_VALUE"""),"")</f>
        <v/>
      </c>
      <c r="O868" s="141" t="s">
        <v>133</v>
      </c>
      <c r="P868" s="136" t="str">
        <f>IFERROR(__xludf.DUMMYFUNCTION("""COMPUTED_VALUE"""),"")</f>
        <v/>
      </c>
      <c r="Q868" s="136" t="str">
        <f>IFERROR(__xludf.DUMMYFUNCTION("""COMPUTED_VALUE"""),"")</f>
        <v/>
      </c>
      <c r="R868" s="106" t="str">
        <f>IFERROR(__xludf.DUMMYFUNCTION("""COMPUTED_VALUE"""),"")</f>
        <v/>
      </c>
      <c r="S868" s="106" t="str">
        <f>IFERROR(__xludf.DUMMYFUNCTION("""COMPUTED_VALUE"""),"")</f>
        <v/>
      </c>
      <c r="T868" s="139" t="str">
        <f>IFERROR(__xludf.DUMMYFUNCTION("""COMPUTED_VALUE"""),"")</f>
        <v/>
      </c>
      <c r="U868" s="139" t="str">
        <f>IFERROR(__xludf.DUMMYFUNCTION("""COMPUTED_VALUE"""),"")</f>
        <v/>
      </c>
      <c r="V868" s="136" t="str">
        <f>IFERROR(__xludf.DUMMYFUNCTION("""COMPUTED_VALUE"""),"")</f>
        <v/>
      </c>
      <c r="W868" s="106" t="str">
        <f>IFERROR(__xludf.DUMMYFUNCTION("""COMPUTED_VALUE"""),"")</f>
        <v/>
      </c>
      <c r="X868" s="143" t="str">
        <f t="shared" si="2"/>
        <v/>
      </c>
      <c r="Y868" s="139" t="str">
        <f>IFERROR(__xludf.DUMMYFUNCTION("""COMPUTED_VALUE"""),"")</f>
        <v/>
      </c>
      <c r="Z868" s="141" t="str">
        <f>IFERROR(__xludf.DUMMYFUNCTION("""COMPUTED_VALUE"""),"")</f>
        <v/>
      </c>
    </row>
    <row r="869">
      <c r="C869" s="136" t="str">
        <f>IFERROR(__xludf.DUMMYFUNCTION("""COMPUTED_VALUE"""),"")</f>
        <v/>
      </c>
      <c r="D869" s="136" t="str">
        <f t="shared" si="3"/>
        <v/>
      </c>
      <c r="E869" s="152" t="str">
        <f>IFERROR(__xludf.DUMMYFUNCTION("""COMPUTED_VALUE"""),"")</f>
        <v/>
      </c>
      <c r="F869" s="106" t="s">
        <v>133</v>
      </c>
      <c r="G869" s="152" t="str">
        <f>IFERROR(__xludf.DUMMYFUNCTION("""COMPUTED_VALUE"""),"")</f>
        <v/>
      </c>
      <c r="H869" s="106" t="s">
        <v>133</v>
      </c>
      <c r="I869" s="136"/>
      <c r="J869" s="139" t="s">
        <v>133</v>
      </c>
      <c r="K869" s="136" t="s">
        <v>133</v>
      </c>
      <c r="L869" s="153" t="str">
        <f>IFERROR(__xludf.DUMMYFUNCTION("""COMPUTED_VALUE"""),"")</f>
        <v/>
      </c>
      <c r="M869" s="136" t="str">
        <f t="shared" si="1"/>
        <v/>
      </c>
      <c r="N869" s="136" t="str">
        <f>IFERROR(__xludf.DUMMYFUNCTION("""COMPUTED_VALUE"""),"")</f>
        <v/>
      </c>
      <c r="O869" s="141" t="s">
        <v>133</v>
      </c>
      <c r="P869" s="136" t="str">
        <f>IFERROR(__xludf.DUMMYFUNCTION("""COMPUTED_VALUE"""),"")</f>
        <v/>
      </c>
      <c r="Q869" s="136" t="str">
        <f>IFERROR(__xludf.DUMMYFUNCTION("""COMPUTED_VALUE"""),"")</f>
        <v/>
      </c>
      <c r="R869" s="106" t="str">
        <f>IFERROR(__xludf.DUMMYFUNCTION("""COMPUTED_VALUE"""),"")</f>
        <v/>
      </c>
      <c r="S869" s="106" t="str">
        <f>IFERROR(__xludf.DUMMYFUNCTION("""COMPUTED_VALUE"""),"")</f>
        <v/>
      </c>
      <c r="T869" s="139" t="str">
        <f>IFERROR(__xludf.DUMMYFUNCTION("""COMPUTED_VALUE"""),"")</f>
        <v/>
      </c>
      <c r="U869" s="139" t="str">
        <f>IFERROR(__xludf.DUMMYFUNCTION("""COMPUTED_VALUE"""),"")</f>
        <v/>
      </c>
      <c r="V869" s="136" t="str">
        <f>IFERROR(__xludf.DUMMYFUNCTION("""COMPUTED_VALUE"""),"")</f>
        <v/>
      </c>
      <c r="W869" s="106" t="str">
        <f>IFERROR(__xludf.DUMMYFUNCTION("""COMPUTED_VALUE"""),"")</f>
        <v/>
      </c>
      <c r="X869" s="143" t="str">
        <f t="shared" si="2"/>
        <v/>
      </c>
      <c r="Y869" s="139" t="str">
        <f>IFERROR(__xludf.DUMMYFUNCTION("""COMPUTED_VALUE"""),"")</f>
        <v/>
      </c>
      <c r="Z869" s="141" t="str">
        <f>IFERROR(__xludf.DUMMYFUNCTION("""COMPUTED_VALUE"""),"")</f>
        <v/>
      </c>
    </row>
    <row r="870">
      <c r="C870" s="136" t="str">
        <f>IFERROR(__xludf.DUMMYFUNCTION("""COMPUTED_VALUE"""),"")</f>
        <v/>
      </c>
      <c r="D870" s="136" t="str">
        <f t="shared" si="3"/>
        <v/>
      </c>
      <c r="E870" s="152" t="str">
        <f>IFERROR(__xludf.DUMMYFUNCTION("""COMPUTED_VALUE"""),"")</f>
        <v/>
      </c>
      <c r="F870" s="106" t="s">
        <v>133</v>
      </c>
      <c r="G870" s="152" t="str">
        <f>IFERROR(__xludf.DUMMYFUNCTION("""COMPUTED_VALUE"""),"")</f>
        <v/>
      </c>
      <c r="H870" s="106" t="s">
        <v>133</v>
      </c>
      <c r="I870" s="136"/>
      <c r="J870" s="139" t="s">
        <v>133</v>
      </c>
      <c r="K870" s="136" t="s">
        <v>133</v>
      </c>
      <c r="L870" s="153" t="str">
        <f>IFERROR(__xludf.DUMMYFUNCTION("""COMPUTED_VALUE"""),"")</f>
        <v/>
      </c>
      <c r="M870" s="136" t="str">
        <f t="shared" si="1"/>
        <v/>
      </c>
      <c r="N870" s="136" t="str">
        <f>IFERROR(__xludf.DUMMYFUNCTION("""COMPUTED_VALUE"""),"")</f>
        <v/>
      </c>
      <c r="O870" s="141" t="s">
        <v>133</v>
      </c>
      <c r="P870" s="136" t="str">
        <f>IFERROR(__xludf.DUMMYFUNCTION("""COMPUTED_VALUE"""),"")</f>
        <v/>
      </c>
      <c r="Q870" s="136" t="str">
        <f>IFERROR(__xludf.DUMMYFUNCTION("""COMPUTED_VALUE"""),"")</f>
        <v/>
      </c>
      <c r="R870" s="106" t="str">
        <f>IFERROR(__xludf.DUMMYFUNCTION("""COMPUTED_VALUE"""),"")</f>
        <v/>
      </c>
      <c r="S870" s="106" t="str">
        <f>IFERROR(__xludf.DUMMYFUNCTION("""COMPUTED_VALUE"""),"")</f>
        <v/>
      </c>
      <c r="T870" s="139" t="str">
        <f>IFERROR(__xludf.DUMMYFUNCTION("""COMPUTED_VALUE"""),"")</f>
        <v/>
      </c>
      <c r="U870" s="139" t="str">
        <f>IFERROR(__xludf.DUMMYFUNCTION("""COMPUTED_VALUE"""),"")</f>
        <v/>
      </c>
      <c r="V870" s="136" t="str">
        <f>IFERROR(__xludf.DUMMYFUNCTION("""COMPUTED_VALUE"""),"")</f>
        <v/>
      </c>
      <c r="W870" s="106" t="str">
        <f>IFERROR(__xludf.DUMMYFUNCTION("""COMPUTED_VALUE"""),"")</f>
        <v/>
      </c>
      <c r="X870" s="143" t="str">
        <f t="shared" si="2"/>
        <v/>
      </c>
      <c r="Y870" s="139" t="str">
        <f>IFERROR(__xludf.DUMMYFUNCTION("""COMPUTED_VALUE"""),"")</f>
        <v/>
      </c>
      <c r="Z870" s="141" t="str">
        <f>IFERROR(__xludf.DUMMYFUNCTION("""COMPUTED_VALUE"""),"")</f>
        <v/>
      </c>
    </row>
    <row r="871">
      <c r="C871" s="136" t="str">
        <f>IFERROR(__xludf.DUMMYFUNCTION("""COMPUTED_VALUE"""),"")</f>
        <v/>
      </c>
      <c r="D871" s="136" t="str">
        <f t="shared" si="3"/>
        <v/>
      </c>
      <c r="E871" s="152" t="str">
        <f>IFERROR(__xludf.DUMMYFUNCTION("""COMPUTED_VALUE"""),"")</f>
        <v/>
      </c>
      <c r="F871" s="106" t="s">
        <v>133</v>
      </c>
      <c r="G871" s="152" t="str">
        <f>IFERROR(__xludf.DUMMYFUNCTION("""COMPUTED_VALUE"""),"")</f>
        <v/>
      </c>
      <c r="H871" s="106" t="s">
        <v>133</v>
      </c>
      <c r="I871" s="136"/>
      <c r="J871" s="139" t="s">
        <v>133</v>
      </c>
      <c r="K871" s="136" t="s">
        <v>133</v>
      </c>
      <c r="L871" s="153" t="str">
        <f>IFERROR(__xludf.DUMMYFUNCTION("""COMPUTED_VALUE"""),"")</f>
        <v/>
      </c>
      <c r="M871" s="136" t="str">
        <f t="shared" si="1"/>
        <v/>
      </c>
      <c r="N871" s="136" t="str">
        <f>IFERROR(__xludf.DUMMYFUNCTION("""COMPUTED_VALUE"""),"")</f>
        <v/>
      </c>
      <c r="O871" s="141" t="s">
        <v>133</v>
      </c>
      <c r="P871" s="136" t="str">
        <f>IFERROR(__xludf.DUMMYFUNCTION("""COMPUTED_VALUE"""),"")</f>
        <v/>
      </c>
      <c r="Q871" s="136" t="str">
        <f>IFERROR(__xludf.DUMMYFUNCTION("""COMPUTED_VALUE"""),"")</f>
        <v/>
      </c>
      <c r="R871" s="106" t="str">
        <f>IFERROR(__xludf.DUMMYFUNCTION("""COMPUTED_VALUE"""),"")</f>
        <v/>
      </c>
      <c r="S871" s="106" t="str">
        <f>IFERROR(__xludf.DUMMYFUNCTION("""COMPUTED_VALUE"""),"")</f>
        <v/>
      </c>
      <c r="T871" s="139" t="str">
        <f>IFERROR(__xludf.DUMMYFUNCTION("""COMPUTED_VALUE"""),"")</f>
        <v/>
      </c>
      <c r="U871" s="139" t="str">
        <f>IFERROR(__xludf.DUMMYFUNCTION("""COMPUTED_VALUE"""),"")</f>
        <v/>
      </c>
      <c r="V871" s="136" t="str">
        <f>IFERROR(__xludf.DUMMYFUNCTION("""COMPUTED_VALUE"""),"")</f>
        <v/>
      </c>
      <c r="W871" s="106" t="str">
        <f>IFERROR(__xludf.DUMMYFUNCTION("""COMPUTED_VALUE"""),"")</f>
        <v/>
      </c>
      <c r="X871" s="143" t="str">
        <f t="shared" si="2"/>
        <v/>
      </c>
      <c r="Y871" s="139" t="str">
        <f>IFERROR(__xludf.DUMMYFUNCTION("""COMPUTED_VALUE"""),"")</f>
        <v/>
      </c>
      <c r="Z871" s="141" t="str">
        <f>IFERROR(__xludf.DUMMYFUNCTION("""COMPUTED_VALUE"""),"")</f>
        <v/>
      </c>
    </row>
    <row r="872">
      <c r="C872" s="136" t="str">
        <f>IFERROR(__xludf.DUMMYFUNCTION("""COMPUTED_VALUE"""),"")</f>
        <v/>
      </c>
      <c r="D872" s="136" t="str">
        <f t="shared" si="3"/>
        <v/>
      </c>
      <c r="E872" s="152" t="str">
        <f>IFERROR(__xludf.DUMMYFUNCTION("""COMPUTED_VALUE"""),"")</f>
        <v/>
      </c>
      <c r="F872" s="106" t="s">
        <v>133</v>
      </c>
      <c r="G872" s="152" t="str">
        <f>IFERROR(__xludf.DUMMYFUNCTION("""COMPUTED_VALUE"""),"")</f>
        <v/>
      </c>
      <c r="H872" s="106" t="s">
        <v>133</v>
      </c>
      <c r="I872" s="136"/>
      <c r="J872" s="139" t="s">
        <v>133</v>
      </c>
      <c r="K872" s="136" t="s">
        <v>133</v>
      </c>
      <c r="L872" s="153" t="str">
        <f>IFERROR(__xludf.DUMMYFUNCTION("""COMPUTED_VALUE"""),"")</f>
        <v/>
      </c>
      <c r="M872" s="136" t="str">
        <f t="shared" si="1"/>
        <v/>
      </c>
      <c r="N872" s="136" t="str">
        <f>IFERROR(__xludf.DUMMYFUNCTION("""COMPUTED_VALUE"""),"")</f>
        <v/>
      </c>
      <c r="O872" s="141" t="s">
        <v>133</v>
      </c>
      <c r="P872" s="136" t="str">
        <f>IFERROR(__xludf.DUMMYFUNCTION("""COMPUTED_VALUE"""),"")</f>
        <v/>
      </c>
      <c r="Q872" s="136" t="str">
        <f>IFERROR(__xludf.DUMMYFUNCTION("""COMPUTED_VALUE"""),"")</f>
        <v/>
      </c>
      <c r="R872" s="106" t="str">
        <f>IFERROR(__xludf.DUMMYFUNCTION("""COMPUTED_VALUE"""),"")</f>
        <v/>
      </c>
      <c r="S872" s="106" t="str">
        <f>IFERROR(__xludf.DUMMYFUNCTION("""COMPUTED_VALUE"""),"")</f>
        <v/>
      </c>
      <c r="T872" s="139" t="str">
        <f>IFERROR(__xludf.DUMMYFUNCTION("""COMPUTED_VALUE"""),"")</f>
        <v/>
      </c>
      <c r="U872" s="139" t="str">
        <f>IFERROR(__xludf.DUMMYFUNCTION("""COMPUTED_VALUE"""),"")</f>
        <v/>
      </c>
      <c r="V872" s="136" t="str">
        <f>IFERROR(__xludf.DUMMYFUNCTION("""COMPUTED_VALUE"""),"")</f>
        <v/>
      </c>
      <c r="W872" s="106" t="str">
        <f>IFERROR(__xludf.DUMMYFUNCTION("""COMPUTED_VALUE"""),"")</f>
        <v/>
      </c>
      <c r="X872" s="143" t="str">
        <f t="shared" si="2"/>
        <v/>
      </c>
      <c r="Y872" s="139" t="str">
        <f>IFERROR(__xludf.DUMMYFUNCTION("""COMPUTED_VALUE"""),"")</f>
        <v/>
      </c>
      <c r="Z872" s="141" t="str">
        <f>IFERROR(__xludf.DUMMYFUNCTION("""COMPUTED_VALUE"""),"")</f>
        <v/>
      </c>
    </row>
    <row r="873">
      <c r="C873" s="136" t="str">
        <f>IFERROR(__xludf.DUMMYFUNCTION("""COMPUTED_VALUE"""),"")</f>
        <v/>
      </c>
      <c r="D873" s="136" t="str">
        <f t="shared" si="3"/>
        <v/>
      </c>
      <c r="E873" s="152" t="str">
        <f>IFERROR(__xludf.DUMMYFUNCTION("""COMPUTED_VALUE"""),"")</f>
        <v/>
      </c>
      <c r="F873" s="106" t="s">
        <v>133</v>
      </c>
      <c r="G873" s="152" t="str">
        <f>IFERROR(__xludf.DUMMYFUNCTION("""COMPUTED_VALUE"""),"")</f>
        <v/>
      </c>
      <c r="H873" s="106" t="s">
        <v>133</v>
      </c>
      <c r="I873" s="136"/>
      <c r="J873" s="139" t="s">
        <v>133</v>
      </c>
      <c r="K873" s="136" t="s">
        <v>133</v>
      </c>
      <c r="L873" s="153" t="str">
        <f>IFERROR(__xludf.DUMMYFUNCTION("""COMPUTED_VALUE"""),"")</f>
        <v/>
      </c>
      <c r="M873" s="136" t="str">
        <f t="shared" si="1"/>
        <v/>
      </c>
      <c r="N873" s="136" t="str">
        <f>IFERROR(__xludf.DUMMYFUNCTION("""COMPUTED_VALUE"""),"")</f>
        <v/>
      </c>
      <c r="O873" s="141" t="s">
        <v>133</v>
      </c>
      <c r="P873" s="136" t="str">
        <f>IFERROR(__xludf.DUMMYFUNCTION("""COMPUTED_VALUE"""),"")</f>
        <v/>
      </c>
      <c r="Q873" s="136" t="str">
        <f>IFERROR(__xludf.DUMMYFUNCTION("""COMPUTED_VALUE"""),"")</f>
        <v/>
      </c>
      <c r="R873" s="106" t="str">
        <f>IFERROR(__xludf.DUMMYFUNCTION("""COMPUTED_VALUE"""),"")</f>
        <v/>
      </c>
      <c r="S873" s="106" t="str">
        <f>IFERROR(__xludf.DUMMYFUNCTION("""COMPUTED_VALUE"""),"")</f>
        <v/>
      </c>
      <c r="T873" s="139" t="str">
        <f>IFERROR(__xludf.DUMMYFUNCTION("""COMPUTED_VALUE"""),"")</f>
        <v/>
      </c>
      <c r="U873" s="139" t="str">
        <f>IFERROR(__xludf.DUMMYFUNCTION("""COMPUTED_VALUE"""),"")</f>
        <v/>
      </c>
      <c r="V873" s="136" t="str">
        <f>IFERROR(__xludf.DUMMYFUNCTION("""COMPUTED_VALUE"""),"")</f>
        <v/>
      </c>
      <c r="W873" s="106" t="str">
        <f>IFERROR(__xludf.DUMMYFUNCTION("""COMPUTED_VALUE"""),"")</f>
        <v/>
      </c>
      <c r="X873" s="143" t="str">
        <f t="shared" si="2"/>
        <v/>
      </c>
      <c r="Y873" s="139" t="str">
        <f>IFERROR(__xludf.DUMMYFUNCTION("""COMPUTED_VALUE"""),"")</f>
        <v/>
      </c>
      <c r="Z873" s="141" t="str">
        <f>IFERROR(__xludf.DUMMYFUNCTION("""COMPUTED_VALUE"""),"")</f>
        <v/>
      </c>
    </row>
    <row r="874">
      <c r="C874" s="136" t="str">
        <f>IFERROR(__xludf.DUMMYFUNCTION("""COMPUTED_VALUE"""),"")</f>
        <v/>
      </c>
      <c r="D874" s="136" t="str">
        <f t="shared" si="3"/>
        <v/>
      </c>
      <c r="E874" s="152" t="str">
        <f>IFERROR(__xludf.DUMMYFUNCTION("""COMPUTED_VALUE"""),"")</f>
        <v/>
      </c>
      <c r="F874" s="106" t="s">
        <v>133</v>
      </c>
      <c r="G874" s="152" t="str">
        <f>IFERROR(__xludf.DUMMYFUNCTION("""COMPUTED_VALUE"""),"")</f>
        <v/>
      </c>
      <c r="H874" s="106" t="s">
        <v>133</v>
      </c>
      <c r="I874" s="136"/>
      <c r="J874" s="139" t="s">
        <v>133</v>
      </c>
      <c r="K874" s="136" t="s">
        <v>133</v>
      </c>
      <c r="L874" s="153" t="str">
        <f>IFERROR(__xludf.DUMMYFUNCTION("""COMPUTED_VALUE"""),"")</f>
        <v/>
      </c>
      <c r="M874" s="136" t="str">
        <f t="shared" si="1"/>
        <v/>
      </c>
      <c r="N874" s="136" t="str">
        <f>IFERROR(__xludf.DUMMYFUNCTION("""COMPUTED_VALUE"""),"")</f>
        <v/>
      </c>
      <c r="O874" s="141" t="s">
        <v>133</v>
      </c>
      <c r="P874" s="136" t="str">
        <f>IFERROR(__xludf.DUMMYFUNCTION("""COMPUTED_VALUE"""),"")</f>
        <v/>
      </c>
      <c r="Q874" s="136" t="str">
        <f>IFERROR(__xludf.DUMMYFUNCTION("""COMPUTED_VALUE"""),"")</f>
        <v/>
      </c>
      <c r="R874" s="106" t="str">
        <f>IFERROR(__xludf.DUMMYFUNCTION("""COMPUTED_VALUE"""),"")</f>
        <v/>
      </c>
      <c r="S874" s="106" t="str">
        <f>IFERROR(__xludf.DUMMYFUNCTION("""COMPUTED_VALUE"""),"")</f>
        <v/>
      </c>
      <c r="T874" s="139" t="str">
        <f>IFERROR(__xludf.DUMMYFUNCTION("""COMPUTED_VALUE"""),"")</f>
        <v/>
      </c>
      <c r="U874" s="139" t="str">
        <f>IFERROR(__xludf.DUMMYFUNCTION("""COMPUTED_VALUE"""),"")</f>
        <v/>
      </c>
      <c r="V874" s="136" t="str">
        <f>IFERROR(__xludf.DUMMYFUNCTION("""COMPUTED_VALUE"""),"")</f>
        <v/>
      </c>
      <c r="W874" s="106" t="str">
        <f>IFERROR(__xludf.DUMMYFUNCTION("""COMPUTED_VALUE"""),"")</f>
        <v/>
      </c>
      <c r="X874" s="143" t="str">
        <f t="shared" si="2"/>
        <v/>
      </c>
      <c r="Y874" s="139" t="str">
        <f>IFERROR(__xludf.DUMMYFUNCTION("""COMPUTED_VALUE"""),"")</f>
        <v/>
      </c>
      <c r="Z874" s="141" t="str">
        <f>IFERROR(__xludf.DUMMYFUNCTION("""COMPUTED_VALUE"""),"")</f>
        <v/>
      </c>
    </row>
    <row r="875">
      <c r="C875" s="136" t="str">
        <f>IFERROR(__xludf.DUMMYFUNCTION("""COMPUTED_VALUE"""),"")</f>
        <v/>
      </c>
      <c r="D875" s="136" t="str">
        <f t="shared" si="3"/>
        <v/>
      </c>
      <c r="E875" s="152" t="str">
        <f>IFERROR(__xludf.DUMMYFUNCTION("""COMPUTED_VALUE"""),"")</f>
        <v/>
      </c>
      <c r="F875" s="106" t="s">
        <v>133</v>
      </c>
      <c r="G875" s="152" t="str">
        <f>IFERROR(__xludf.DUMMYFUNCTION("""COMPUTED_VALUE"""),"")</f>
        <v/>
      </c>
      <c r="H875" s="106" t="s">
        <v>133</v>
      </c>
      <c r="I875" s="136"/>
      <c r="J875" s="139" t="s">
        <v>133</v>
      </c>
      <c r="K875" s="136" t="s">
        <v>133</v>
      </c>
      <c r="L875" s="153" t="str">
        <f>IFERROR(__xludf.DUMMYFUNCTION("""COMPUTED_VALUE"""),"")</f>
        <v/>
      </c>
      <c r="M875" s="136" t="str">
        <f t="shared" si="1"/>
        <v/>
      </c>
      <c r="N875" s="136" t="str">
        <f>IFERROR(__xludf.DUMMYFUNCTION("""COMPUTED_VALUE"""),"")</f>
        <v/>
      </c>
      <c r="O875" s="141" t="s">
        <v>133</v>
      </c>
      <c r="P875" s="136" t="str">
        <f>IFERROR(__xludf.DUMMYFUNCTION("""COMPUTED_VALUE"""),"")</f>
        <v/>
      </c>
      <c r="Q875" s="136" t="str">
        <f>IFERROR(__xludf.DUMMYFUNCTION("""COMPUTED_VALUE"""),"")</f>
        <v/>
      </c>
      <c r="R875" s="106" t="str">
        <f>IFERROR(__xludf.DUMMYFUNCTION("""COMPUTED_VALUE"""),"")</f>
        <v/>
      </c>
      <c r="S875" s="106" t="str">
        <f>IFERROR(__xludf.DUMMYFUNCTION("""COMPUTED_VALUE"""),"")</f>
        <v/>
      </c>
      <c r="T875" s="139" t="str">
        <f>IFERROR(__xludf.DUMMYFUNCTION("""COMPUTED_VALUE"""),"")</f>
        <v/>
      </c>
      <c r="U875" s="139" t="str">
        <f>IFERROR(__xludf.DUMMYFUNCTION("""COMPUTED_VALUE"""),"")</f>
        <v/>
      </c>
      <c r="V875" s="136" t="str">
        <f>IFERROR(__xludf.DUMMYFUNCTION("""COMPUTED_VALUE"""),"")</f>
        <v/>
      </c>
      <c r="W875" s="106" t="str">
        <f>IFERROR(__xludf.DUMMYFUNCTION("""COMPUTED_VALUE"""),"")</f>
        <v/>
      </c>
      <c r="X875" s="143" t="str">
        <f t="shared" si="2"/>
        <v/>
      </c>
      <c r="Y875" s="139" t="str">
        <f>IFERROR(__xludf.DUMMYFUNCTION("""COMPUTED_VALUE"""),"")</f>
        <v/>
      </c>
      <c r="Z875" s="141" t="str">
        <f>IFERROR(__xludf.DUMMYFUNCTION("""COMPUTED_VALUE"""),"")</f>
        <v/>
      </c>
    </row>
    <row r="876">
      <c r="C876" s="136" t="str">
        <f>IFERROR(__xludf.DUMMYFUNCTION("""COMPUTED_VALUE"""),"")</f>
        <v/>
      </c>
      <c r="D876" s="136" t="str">
        <f t="shared" si="3"/>
        <v/>
      </c>
      <c r="E876" s="152" t="str">
        <f>IFERROR(__xludf.DUMMYFUNCTION("""COMPUTED_VALUE"""),"")</f>
        <v/>
      </c>
      <c r="F876" s="106" t="s">
        <v>133</v>
      </c>
      <c r="G876" s="152" t="str">
        <f>IFERROR(__xludf.DUMMYFUNCTION("""COMPUTED_VALUE"""),"")</f>
        <v/>
      </c>
      <c r="H876" s="106" t="s">
        <v>133</v>
      </c>
      <c r="I876" s="136"/>
      <c r="J876" s="139" t="s">
        <v>133</v>
      </c>
      <c r="K876" s="136" t="s">
        <v>133</v>
      </c>
      <c r="L876" s="153" t="str">
        <f>IFERROR(__xludf.DUMMYFUNCTION("""COMPUTED_VALUE"""),"")</f>
        <v/>
      </c>
      <c r="M876" s="136" t="str">
        <f t="shared" si="1"/>
        <v/>
      </c>
      <c r="N876" s="136" t="str">
        <f>IFERROR(__xludf.DUMMYFUNCTION("""COMPUTED_VALUE"""),"")</f>
        <v/>
      </c>
      <c r="O876" s="141" t="s">
        <v>133</v>
      </c>
      <c r="P876" s="136" t="str">
        <f>IFERROR(__xludf.DUMMYFUNCTION("""COMPUTED_VALUE"""),"")</f>
        <v/>
      </c>
      <c r="Q876" s="136" t="str">
        <f>IFERROR(__xludf.DUMMYFUNCTION("""COMPUTED_VALUE"""),"")</f>
        <v/>
      </c>
      <c r="R876" s="106" t="str">
        <f>IFERROR(__xludf.DUMMYFUNCTION("""COMPUTED_VALUE"""),"")</f>
        <v/>
      </c>
      <c r="S876" s="106" t="str">
        <f>IFERROR(__xludf.DUMMYFUNCTION("""COMPUTED_VALUE"""),"")</f>
        <v/>
      </c>
      <c r="T876" s="139" t="str">
        <f>IFERROR(__xludf.DUMMYFUNCTION("""COMPUTED_VALUE"""),"")</f>
        <v/>
      </c>
      <c r="U876" s="139" t="str">
        <f>IFERROR(__xludf.DUMMYFUNCTION("""COMPUTED_VALUE"""),"")</f>
        <v/>
      </c>
      <c r="V876" s="136" t="str">
        <f>IFERROR(__xludf.DUMMYFUNCTION("""COMPUTED_VALUE"""),"")</f>
        <v/>
      </c>
      <c r="W876" s="106" t="str">
        <f>IFERROR(__xludf.DUMMYFUNCTION("""COMPUTED_VALUE"""),"")</f>
        <v/>
      </c>
      <c r="X876" s="143" t="str">
        <f t="shared" si="2"/>
        <v/>
      </c>
      <c r="Y876" s="139" t="str">
        <f>IFERROR(__xludf.DUMMYFUNCTION("""COMPUTED_VALUE"""),"")</f>
        <v/>
      </c>
      <c r="Z876" s="141" t="str">
        <f>IFERROR(__xludf.DUMMYFUNCTION("""COMPUTED_VALUE"""),"")</f>
        <v/>
      </c>
    </row>
    <row r="877">
      <c r="C877" s="136" t="str">
        <f>IFERROR(__xludf.DUMMYFUNCTION("""COMPUTED_VALUE"""),"")</f>
        <v/>
      </c>
      <c r="D877" s="136" t="str">
        <f t="shared" si="3"/>
        <v/>
      </c>
      <c r="E877" s="152" t="str">
        <f>IFERROR(__xludf.DUMMYFUNCTION("""COMPUTED_VALUE"""),"")</f>
        <v/>
      </c>
      <c r="F877" s="106" t="s">
        <v>133</v>
      </c>
      <c r="G877" s="152" t="str">
        <f>IFERROR(__xludf.DUMMYFUNCTION("""COMPUTED_VALUE"""),"")</f>
        <v/>
      </c>
      <c r="H877" s="106" t="s">
        <v>133</v>
      </c>
      <c r="I877" s="136"/>
      <c r="J877" s="139" t="s">
        <v>133</v>
      </c>
      <c r="K877" s="136" t="s">
        <v>133</v>
      </c>
      <c r="L877" s="153" t="str">
        <f>IFERROR(__xludf.DUMMYFUNCTION("""COMPUTED_VALUE"""),"")</f>
        <v/>
      </c>
      <c r="M877" s="136" t="str">
        <f t="shared" si="1"/>
        <v/>
      </c>
      <c r="N877" s="136" t="str">
        <f>IFERROR(__xludf.DUMMYFUNCTION("""COMPUTED_VALUE"""),"")</f>
        <v/>
      </c>
      <c r="O877" s="141" t="s">
        <v>133</v>
      </c>
      <c r="P877" s="136" t="str">
        <f>IFERROR(__xludf.DUMMYFUNCTION("""COMPUTED_VALUE"""),"")</f>
        <v/>
      </c>
      <c r="Q877" s="136" t="str">
        <f>IFERROR(__xludf.DUMMYFUNCTION("""COMPUTED_VALUE"""),"")</f>
        <v/>
      </c>
      <c r="R877" s="106" t="str">
        <f>IFERROR(__xludf.DUMMYFUNCTION("""COMPUTED_VALUE"""),"")</f>
        <v/>
      </c>
      <c r="S877" s="106" t="str">
        <f>IFERROR(__xludf.DUMMYFUNCTION("""COMPUTED_VALUE"""),"")</f>
        <v/>
      </c>
      <c r="T877" s="139" t="str">
        <f>IFERROR(__xludf.DUMMYFUNCTION("""COMPUTED_VALUE"""),"")</f>
        <v/>
      </c>
      <c r="U877" s="139" t="str">
        <f>IFERROR(__xludf.DUMMYFUNCTION("""COMPUTED_VALUE"""),"")</f>
        <v/>
      </c>
      <c r="V877" s="136" t="str">
        <f>IFERROR(__xludf.DUMMYFUNCTION("""COMPUTED_VALUE"""),"")</f>
        <v/>
      </c>
      <c r="W877" s="106" t="str">
        <f>IFERROR(__xludf.DUMMYFUNCTION("""COMPUTED_VALUE"""),"")</f>
        <v/>
      </c>
      <c r="X877" s="143" t="str">
        <f t="shared" si="2"/>
        <v/>
      </c>
      <c r="Y877" s="139" t="str">
        <f>IFERROR(__xludf.DUMMYFUNCTION("""COMPUTED_VALUE"""),"")</f>
        <v/>
      </c>
      <c r="Z877" s="141" t="str">
        <f>IFERROR(__xludf.DUMMYFUNCTION("""COMPUTED_VALUE"""),"")</f>
        <v/>
      </c>
    </row>
    <row r="878">
      <c r="C878" s="136" t="str">
        <f>IFERROR(__xludf.DUMMYFUNCTION("""COMPUTED_VALUE"""),"")</f>
        <v/>
      </c>
      <c r="D878" s="136" t="str">
        <f t="shared" si="3"/>
        <v/>
      </c>
      <c r="E878" s="152" t="str">
        <f>IFERROR(__xludf.DUMMYFUNCTION("""COMPUTED_VALUE"""),"")</f>
        <v/>
      </c>
      <c r="F878" s="106" t="s">
        <v>133</v>
      </c>
      <c r="G878" s="152" t="str">
        <f>IFERROR(__xludf.DUMMYFUNCTION("""COMPUTED_VALUE"""),"")</f>
        <v/>
      </c>
      <c r="H878" s="106" t="s">
        <v>133</v>
      </c>
      <c r="I878" s="136"/>
      <c r="J878" s="139" t="s">
        <v>133</v>
      </c>
      <c r="K878" s="136" t="s">
        <v>133</v>
      </c>
      <c r="L878" s="153" t="str">
        <f>IFERROR(__xludf.DUMMYFUNCTION("""COMPUTED_VALUE"""),"")</f>
        <v/>
      </c>
      <c r="M878" s="136" t="str">
        <f t="shared" si="1"/>
        <v/>
      </c>
      <c r="N878" s="136" t="str">
        <f>IFERROR(__xludf.DUMMYFUNCTION("""COMPUTED_VALUE"""),"")</f>
        <v/>
      </c>
      <c r="O878" s="141" t="s">
        <v>133</v>
      </c>
      <c r="P878" s="136" t="str">
        <f>IFERROR(__xludf.DUMMYFUNCTION("""COMPUTED_VALUE"""),"")</f>
        <v/>
      </c>
      <c r="Q878" s="136" t="str">
        <f>IFERROR(__xludf.DUMMYFUNCTION("""COMPUTED_VALUE"""),"")</f>
        <v/>
      </c>
      <c r="R878" s="106" t="str">
        <f>IFERROR(__xludf.DUMMYFUNCTION("""COMPUTED_VALUE"""),"")</f>
        <v/>
      </c>
      <c r="S878" s="106" t="str">
        <f>IFERROR(__xludf.DUMMYFUNCTION("""COMPUTED_VALUE"""),"")</f>
        <v/>
      </c>
      <c r="T878" s="139" t="str">
        <f>IFERROR(__xludf.DUMMYFUNCTION("""COMPUTED_VALUE"""),"")</f>
        <v/>
      </c>
      <c r="U878" s="139" t="str">
        <f>IFERROR(__xludf.DUMMYFUNCTION("""COMPUTED_VALUE"""),"")</f>
        <v/>
      </c>
      <c r="V878" s="136" t="str">
        <f>IFERROR(__xludf.DUMMYFUNCTION("""COMPUTED_VALUE"""),"")</f>
        <v/>
      </c>
      <c r="W878" s="106" t="str">
        <f>IFERROR(__xludf.DUMMYFUNCTION("""COMPUTED_VALUE"""),"")</f>
        <v/>
      </c>
      <c r="X878" s="143" t="str">
        <f t="shared" si="2"/>
        <v/>
      </c>
      <c r="Y878" s="139" t="str">
        <f>IFERROR(__xludf.DUMMYFUNCTION("""COMPUTED_VALUE"""),"")</f>
        <v/>
      </c>
      <c r="Z878" s="141" t="str">
        <f>IFERROR(__xludf.DUMMYFUNCTION("""COMPUTED_VALUE"""),"")</f>
        <v/>
      </c>
    </row>
    <row r="879">
      <c r="C879" s="136" t="str">
        <f>IFERROR(__xludf.DUMMYFUNCTION("""COMPUTED_VALUE"""),"")</f>
        <v/>
      </c>
      <c r="D879" s="136" t="str">
        <f t="shared" si="3"/>
        <v/>
      </c>
      <c r="E879" s="152" t="str">
        <f>IFERROR(__xludf.DUMMYFUNCTION("""COMPUTED_VALUE"""),"")</f>
        <v/>
      </c>
      <c r="F879" s="106" t="s">
        <v>133</v>
      </c>
      <c r="G879" s="152" t="str">
        <f>IFERROR(__xludf.DUMMYFUNCTION("""COMPUTED_VALUE"""),"")</f>
        <v/>
      </c>
      <c r="H879" s="106" t="s">
        <v>133</v>
      </c>
      <c r="I879" s="136"/>
      <c r="J879" s="139" t="s">
        <v>133</v>
      </c>
      <c r="K879" s="136" t="s">
        <v>133</v>
      </c>
      <c r="L879" s="153" t="str">
        <f>IFERROR(__xludf.DUMMYFUNCTION("""COMPUTED_VALUE"""),"")</f>
        <v/>
      </c>
      <c r="M879" s="136" t="str">
        <f t="shared" si="1"/>
        <v/>
      </c>
      <c r="N879" s="136" t="str">
        <f>IFERROR(__xludf.DUMMYFUNCTION("""COMPUTED_VALUE"""),"")</f>
        <v/>
      </c>
      <c r="O879" s="141" t="s">
        <v>133</v>
      </c>
      <c r="P879" s="136" t="str">
        <f>IFERROR(__xludf.DUMMYFUNCTION("""COMPUTED_VALUE"""),"")</f>
        <v/>
      </c>
      <c r="Q879" s="136" t="str">
        <f>IFERROR(__xludf.DUMMYFUNCTION("""COMPUTED_VALUE"""),"")</f>
        <v/>
      </c>
      <c r="R879" s="106" t="str">
        <f>IFERROR(__xludf.DUMMYFUNCTION("""COMPUTED_VALUE"""),"")</f>
        <v/>
      </c>
      <c r="S879" s="106" t="str">
        <f>IFERROR(__xludf.DUMMYFUNCTION("""COMPUTED_VALUE"""),"")</f>
        <v/>
      </c>
      <c r="T879" s="139" t="str">
        <f>IFERROR(__xludf.DUMMYFUNCTION("""COMPUTED_VALUE"""),"")</f>
        <v/>
      </c>
      <c r="U879" s="139" t="str">
        <f>IFERROR(__xludf.DUMMYFUNCTION("""COMPUTED_VALUE"""),"")</f>
        <v/>
      </c>
      <c r="V879" s="136" t="str">
        <f>IFERROR(__xludf.DUMMYFUNCTION("""COMPUTED_VALUE"""),"")</f>
        <v/>
      </c>
      <c r="W879" s="106" t="str">
        <f>IFERROR(__xludf.DUMMYFUNCTION("""COMPUTED_VALUE"""),"")</f>
        <v/>
      </c>
      <c r="X879" s="143" t="str">
        <f t="shared" si="2"/>
        <v/>
      </c>
      <c r="Y879" s="139" t="str">
        <f>IFERROR(__xludf.DUMMYFUNCTION("""COMPUTED_VALUE"""),"")</f>
        <v/>
      </c>
      <c r="Z879" s="141" t="str">
        <f>IFERROR(__xludf.DUMMYFUNCTION("""COMPUTED_VALUE"""),"")</f>
        <v/>
      </c>
    </row>
    <row r="880">
      <c r="C880" s="136" t="str">
        <f>IFERROR(__xludf.DUMMYFUNCTION("""COMPUTED_VALUE"""),"")</f>
        <v/>
      </c>
      <c r="D880" s="136" t="str">
        <f t="shared" si="3"/>
        <v/>
      </c>
      <c r="E880" s="152" t="str">
        <f>IFERROR(__xludf.DUMMYFUNCTION("""COMPUTED_VALUE"""),"")</f>
        <v/>
      </c>
      <c r="F880" s="106" t="s">
        <v>133</v>
      </c>
      <c r="G880" s="152" t="str">
        <f>IFERROR(__xludf.DUMMYFUNCTION("""COMPUTED_VALUE"""),"")</f>
        <v/>
      </c>
      <c r="H880" s="106" t="s">
        <v>133</v>
      </c>
      <c r="I880" s="136"/>
      <c r="J880" s="139" t="s">
        <v>133</v>
      </c>
      <c r="K880" s="136" t="s">
        <v>133</v>
      </c>
      <c r="L880" s="153" t="str">
        <f>IFERROR(__xludf.DUMMYFUNCTION("""COMPUTED_VALUE"""),"")</f>
        <v/>
      </c>
      <c r="M880" s="136" t="str">
        <f t="shared" si="1"/>
        <v/>
      </c>
      <c r="N880" s="136" t="str">
        <f>IFERROR(__xludf.DUMMYFUNCTION("""COMPUTED_VALUE"""),"")</f>
        <v/>
      </c>
      <c r="O880" s="141" t="s">
        <v>133</v>
      </c>
      <c r="P880" s="136" t="str">
        <f>IFERROR(__xludf.DUMMYFUNCTION("""COMPUTED_VALUE"""),"")</f>
        <v/>
      </c>
      <c r="Q880" s="136" t="str">
        <f>IFERROR(__xludf.DUMMYFUNCTION("""COMPUTED_VALUE"""),"")</f>
        <v/>
      </c>
      <c r="R880" s="106" t="str">
        <f>IFERROR(__xludf.DUMMYFUNCTION("""COMPUTED_VALUE"""),"")</f>
        <v/>
      </c>
      <c r="S880" s="106" t="str">
        <f>IFERROR(__xludf.DUMMYFUNCTION("""COMPUTED_VALUE"""),"")</f>
        <v/>
      </c>
      <c r="T880" s="139" t="str">
        <f>IFERROR(__xludf.DUMMYFUNCTION("""COMPUTED_VALUE"""),"")</f>
        <v/>
      </c>
      <c r="U880" s="139" t="str">
        <f>IFERROR(__xludf.DUMMYFUNCTION("""COMPUTED_VALUE"""),"")</f>
        <v/>
      </c>
      <c r="V880" s="136" t="str">
        <f>IFERROR(__xludf.DUMMYFUNCTION("""COMPUTED_VALUE"""),"")</f>
        <v/>
      </c>
      <c r="W880" s="106" t="str">
        <f>IFERROR(__xludf.DUMMYFUNCTION("""COMPUTED_VALUE"""),"")</f>
        <v/>
      </c>
      <c r="X880" s="143" t="str">
        <f t="shared" si="2"/>
        <v/>
      </c>
      <c r="Y880" s="139" t="str">
        <f>IFERROR(__xludf.DUMMYFUNCTION("""COMPUTED_VALUE"""),"")</f>
        <v/>
      </c>
      <c r="Z880" s="141" t="str">
        <f>IFERROR(__xludf.DUMMYFUNCTION("""COMPUTED_VALUE"""),"")</f>
        <v/>
      </c>
    </row>
    <row r="881">
      <c r="C881" s="136" t="str">
        <f>IFERROR(__xludf.DUMMYFUNCTION("""COMPUTED_VALUE"""),"")</f>
        <v/>
      </c>
      <c r="D881" s="136" t="str">
        <f t="shared" si="3"/>
        <v/>
      </c>
      <c r="E881" s="152" t="str">
        <f>IFERROR(__xludf.DUMMYFUNCTION("""COMPUTED_VALUE"""),"")</f>
        <v/>
      </c>
      <c r="F881" s="106" t="s">
        <v>133</v>
      </c>
      <c r="G881" s="152" t="str">
        <f>IFERROR(__xludf.DUMMYFUNCTION("""COMPUTED_VALUE"""),"")</f>
        <v/>
      </c>
      <c r="H881" s="106" t="s">
        <v>133</v>
      </c>
      <c r="I881" s="136"/>
      <c r="J881" s="139" t="s">
        <v>133</v>
      </c>
      <c r="K881" s="136" t="s">
        <v>133</v>
      </c>
      <c r="L881" s="153" t="str">
        <f>IFERROR(__xludf.DUMMYFUNCTION("""COMPUTED_VALUE"""),"")</f>
        <v/>
      </c>
      <c r="M881" s="136" t="str">
        <f t="shared" si="1"/>
        <v/>
      </c>
      <c r="N881" s="136" t="str">
        <f>IFERROR(__xludf.DUMMYFUNCTION("""COMPUTED_VALUE"""),"")</f>
        <v/>
      </c>
      <c r="O881" s="141" t="s">
        <v>133</v>
      </c>
      <c r="P881" s="136" t="str">
        <f>IFERROR(__xludf.DUMMYFUNCTION("""COMPUTED_VALUE"""),"")</f>
        <v/>
      </c>
      <c r="Q881" s="136" t="str">
        <f>IFERROR(__xludf.DUMMYFUNCTION("""COMPUTED_VALUE"""),"")</f>
        <v/>
      </c>
      <c r="R881" s="106" t="str">
        <f>IFERROR(__xludf.DUMMYFUNCTION("""COMPUTED_VALUE"""),"")</f>
        <v/>
      </c>
      <c r="S881" s="106" t="str">
        <f>IFERROR(__xludf.DUMMYFUNCTION("""COMPUTED_VALUE"""),"")</f>
        <v/>
      </c>
      <c r="T881" s="139" t="str">
        <f>IFERROR(__xludf.DUMMYFUNCTION("""COMPUTED_VALUE"""),"")</f>
        <v/>
      </c>
      <c r="U881" s="139" t="str">
        <f>IFERROR(__xludf.DUMMYFUNCTION("""COMPUTED_VALUE"""),"")</f>
        <v/>
      </c>
      <c r="V881" s="136" t="str">
        <f>IFERROR(__xludf.DUMMYFUNCTION("""COMPUTED_VALUE"""),"")</f>
        <v/>
      </c>
      <c r="W881" s="106" t="str">
        <f>IFERROR(__xludf.DUMMYFUNCTION("""COMPUTED_VALUE"""),"")</f>
        <v/>
      </c>
      <c r="X881" s="143" t="str">
        <f t="shared" si="2"/>
        <v/>
      </c>
      <c r="Y881" s="139" t="str">
        <f>IFERROR(__xludf.DUMMYFUNCTION("""COMPUTED_VALUE"""),"")</f>
        <v/>
      </c>
      <c r="Z881" s="141" t="str">
        <f>IFERROR(__xludf.DUMMYFUNCTION("""COMPUTED_VALUE"""),"")</f>
        <v/>
      </c>
    </row>
    <row r="882">
      <c r="C882" s="136" t="str">
        <f>IFERROR(__xludf.DUMMYFUNCTION("""COMPUTED_VALUE"""),"")</f>
        <v/>
      </c>
      <c r="D882" s="136" t="str">
        <f t="shared" si="3"/>
        <v/>
      </c>
      <c r="E882" s="152" t="str">
        <f>IFERROR(__xludf.DUMMYFUNCTION("""COMPUTED_VALUE"""),"")</f>
        <v/>
      </c>
      <c r="F882" s="106" t="s">
        <v>133</v>
      </c>
      <c r="G882" s="152" t="str">
        <f>IFERROR(__xludf.DUMMYFUNCTION("""COMPUTED_VALUE"""),"")</f>
        <v/>
      </c>
      <c r="H882" s="106" t="s">
        <v>133</v>
      </c>
      <c r="I882" s="136"/>
      <c r="J882" s="139" t="s">
        <v>133</v>
      </c>
      <c r="K882" s="136" t="s">
        <v>133</v>
      </c>
      <c r="L882" s="153" t="str">
        <f>IFERROR(__xludf.DUMMYFUNCTION("""COMPUTED_VALUE"""),"")</f>
        <v/>
      </c>
      <c r="M882" s="136" t="str">
        <f t="shared" si="1"/>
        <v/>
      </c>
      <c r="N882" s="136" t="str">
        <f>IFERROR(__xludf.DUMMYFUNCTION("""COMPUTED_VALUE"""),"")</f>
        <v/>
      </c>
      <c r="O882" s="141" t="s">
        <v>133</v>
      </c>
      <c r="P882" s="136" t="str">
        <f>IFERROR(__xludf.DUMMYFUNCTION("""COMPUTED_VALUE"""),"")</f>
        <v/>
      </c>
      <c r="Q882" s="136" t="str">
        <f>IFERROR(__xludf.DUMMYFUNCTION("""COMPUTED_VALUE"""),"")</f>
        <v/>
      </c>
      <c r="R882" s="106" t="str">
        <f>IFERROR(__xludf.DUMMYFUNCTION("""COMPUTED_VALUE"""),"")</f>
        <v/>
      </c>
      <c r="S882" s="106" t="str">
        <f>IFERROR(__xludf.DUMMYFUNCTION("""COMPUTED_VALUE"""),"")</f>
        <v/>
      </c>
      <c r="T882" s="139" t="str">
        <f>IFERROR(__xludf.DUMMYFUNCTION("""COMPUTED_VALUE"""),"")</f>
        <v/>
      </c>
      <c r="U882" s="139" t="str">
        <f>IFERROR(__xludf.DUMMYFUNCTION("""COMPUTED_VALUE"""),"")</f>
        <v/>
      </c>
      <c r="V882" s="136" t="str">
        <f>IFERROR(__xludf.DUMMYFUNCTION("""COMPUTED_VALUE"""),"")</f>
        <v/>
      </c>
      <c r="W882" s="106" t="str">
        <f>IFERROR(__xludf.DUMMYFUNCTION("""COMPUTED_VALUE"""),"")</f>
        <v/>
      </c>
      <c r="X882" s="143" t="str">
        <f t="shared" si="2"/>
        <v/>
      </c>
      <c r="Y882" s="139" t="str">
        <f>IFERROR(__xludf.DUMMYFUNCTION("""COMPUTED_VALUE"""),"")</f>
        <v/>
      </c>
      <c r="Z882" s="141" t="str">
        <f>IFERROR(__xludf.DUMMYFUNCTION("""COMPUTED_VALUE"""),"")</f>
        <v/>
      </c>
    </row>
    <row r="883">
      <c r="C883" s="136" t="str">
        <f>IFERROR(__xludf.DUMMYFUNCTION("""COMPUTED_VALUE"""),"")</f>
        <v/>
      </c>
      <c r="D883" s="136" t="str">
        <f t="shared" si="3"/>
        <v/>
      </c>
      <c r="E883" s="152" t="str">
        <f>IFERROR(__xludf.DUMMYFUNCTION("""COMPUTED_VALUE"""),"")</f>
        <v/>
      </c>
      <c r="F883" s="106" t="s">
        <v>133</v>
      </c>
      <c r="G883" s="152" t="str">
        <f>IFERROR(__xludf.DUMMYFUNCTION("""COMPUTED_VALUE"""),"")</f>
        <v/>
      </c>
      <c r="H883" s="106" t="s">
        <v>133</v>
      </c>
      <c r="I883" s="136"/>
      <c r="J883" s="139" t="s">
        <v>133</v>
      </c>
      <c r="K883" s="136" t="s">
        <v>133</v>
      </c>
      <c r="L883" s="153" t="str">
        <f>IFERROR(__xludf.DUMMYFUNCTION("""COMPUTED_VALUE"""),"")</f>
        <v/>
      </c>
      <c r="M883" s="136" t="str">
        <f t="shared" si="1"/>
        <v/>
      </c>
      <c r="N883" s="136" t="str">
        <f>IFERROR(__xludf.DUMMYFUNCTION("""COMPUTED_VALUE"""),"")</f>
        <v/>
      </c>
      <c r="O883" s="141" t="s">
        <v>133</v>
      </c>
      <c r="P883" s="136" t="str">
        <f>IFERROR(__xludf.DUMMYFUNCTION("""COMPUTED_VALUE"""),"")</f>
        <v/>
      </c>
      <c r="Q883" s="136" t="str">
        <f>IFERROR(__xludf.DUMMYFUNCTION("""COMPUTED_VALUE"""),"")</f>
        <v/>
      </c>
      <c r="R883" s="106" t="str">
        <f>IFERROR(__xludf.DUMMYFUNCTION("""COMPUTED_VALUE"""),"")</f>
        <v/>
      </c>
      <c r="S883" s="106" t="str">
        <f>IFERROR(__xludf.DUMMYFUNCTION("""COMPUTED_VALUE"""),"")</f>
        <v/>
      </c>
      <c r="T883" s="139" t="str">
        <f>IFERROR(__xludf.DUMMYFUNCTION("""COMPUTED_VALUE"""),"")</f>
        <v/>
      </c>
      <c r="U883" s="139" t="str">
        <f>IFERROR(__xludf.DUMMYFUNCTION("""COMPUTED_VALUE"""),"")</f>
        <v/>
      </c>
      <c r="V883" s="136" t="str">
        <f>IFERROR(__xludf.DUMMYFUNCTION("""COMPUTED_VALUE"""),"")</f>
        <v/>
      </c>
      <c r="W883" s="106" t="str">
        <f>IFERROR(__xludf.DUMMYFUNCTION("""COMPUTED_VALUE"""),"")</f>
        <v/>
      </c>
      <c r="X883" s="143" t="str">
        <f t="shared" si="2"/>
        <v/>
      </c>
      <c r="Y883" s="139" t="str">
        <f>IFERROR(__xludf.DUMMYFUNCTION("""COMPUTED_VALUE"""),"")</f>
        <v/>
      </c>
      <c r="Z883" s="141" t="str">
        <f>IFERROR(__xludf.DUMMYFUNCTION("""COMPUTED_VALUE"""),"")</f>
        <v/>
      </c>
    </row>
    <row r="884">
      <c r="C884" s="136" t="str">
        <f>IFERROR(__xludf.DUMMYFUNCTION("""COMPUTED_VALUE"""),"")</f>
        <v/>
      </c>
      <c r="D884" s="136" t="str">
        <f t="shared" si="3"/>
        <v/>
      </c>
      <c r="E884" s="152" t="str">
        <f>IFERROR(__xludf.DUMMYFUNCTION("""COMPUTED_VALUE"""),"")</f>
        <v/>
      </c>
      <c r="F884" s="106" t="s">
        <v>133</v>
      </c>
      <c r="G884" s="152" t="str">
        <f>IFERROR(__xludf.DUMMYFUNCTION("""COMPUTED_VALUE"""),"")</f>
        <v/>
      </c>
      <c r="H884" s="106" t="s">
        <v>133</v>
      </c>
      <c r="I884" s="136"/>
      <c r="J884" s="139" t="s">
        <v>133</v>
      </c>
      <c r="K884" s="136" t="s">
        <v>133</v>
      </c>
      <c r="L884" s="153" t="str">
        <f>IFERROR(__xludf.DUMMYFUNCTION("""COMPUTED_VALUE"""),"")</f>
        <v/>
      </c>
      <c r="M884" s="136" t="str">
        <f t="shared" si="1"/>
        <v/>
      </c>
      <c r="N884" s="136" t="str">
        <f>IFERROR(__xludf.DUMMYFUNCTION("""COMPUTED_VALUE"""),"")</f>
        <v/>
      </c>
      <c r="O884" s="141" t="s">
        <v>133</v>
      </c>
      <c r="P884" s="136" t="str">
        <f>IFERROR(__xludf.DUMMYFUNCTION("""COMPUTED_VALUE"""),"")</f>
        <v/>
      </c>
      <c r="Q884" s="136" t="str">
        <f>IFERROR(__xludf.DUMMYFUNCTION("""COMPUTED_VALUE"""),"")</f>
        <v/>
      </c>
      <c r="R884" s="106" t="str">
        <f>IFERROR(__xludf.DUMMYFUNCTION("""COMPUTED_VALUE"""),"")</f>
        <v/>
      </c>
      <c r="S884" s="106" t="str">
        <f>IFERROR(__xludf.DUMMYFUNCTION("""COMPUTED_VALUE"""),"")</f>
        <v/>
      </c>
      <c r="T884" s="139" t="str">
        <f>IFERROR(__xludf.DUMMYFUNCTION("""COMPUTED_VALUE"""),"")</f>
        <v/>
      </c>
      <c r="U884" s="139" t="str">
        <f>IFERROR(__xludf.DUMMYFUNCTION("""COMPUTED_VALUE"""),"")</f>
        <v/>
      </c>
      <c r="V884" s="136" t="str">
        <f>IFERROR(__xludf.DUMMYFUNCTION("""COMPUTED_VALUE"""),"")</f>
        <v/>
      </c>
      <c r="W884" s="106" t="str">
        <f>IFERROR(__xludf.DUMMYFUNCTION("""COMPUTED_VALUE"""),"")</f>
        <v/>
      </c>
      <c r="X884" s="143" t="str">
        <f t="shared" si="2"/>
        <v/>
      </c>
      <c r="Y884" s="139" t="str">
        <f>IFERROR(__xludf.DUMMYFUNCTION("""COMPUTED_VALUE"""),"")</f>
        <v/>
      </c>
      <c r="Z884" s="141" t="str">
        <f>IFERROR(__xludf.DUMMYFUNCTION("""COMPUTED_VALUE"""),"")</f>
        <v/>
      </c>
    </row>
    <row r="885">
      <c r="C885" s="136" t="str">
        <f>IFERROR(__xludf.DUMMYFUNCTION("""COMPUTED_VALUE"""),"")</f>
        <v/>
      </c>
      <c r="D885" s="136" t="str">
        <f t="shared" si="3"/>
        <v/>
      </c>
      <c r="E885" s="152" t="str">
        <f>IFERROR(__xludf.DUMMYFUNCTION("""COMPUTED_VALUE"""),"")</f>
        <v/>
      </c>
      <c r="F885" s="106" t="s">
        <v>133</v>
      </c>
      <c r="G885" s="152" t="str">
        <f>IFERROR(__xludf.DUMMYFUNCTION("""COMPUTED_VALUE"""),"")</f>
        <v/>
      </c>
      <c r="H885" s="106" t="s">
        <v>133</v>
      </c>
      <c r="I885" s="136"/>
      <c r="J885" s="139" t="s">
        <v>133</v>
      </c>
      <c r="K885" s="136" t="s">
        <v>133</v>
      </c>
      <c r="L885" s="153" t="str">
        <f>IFERROR(__xludf.DUMMYFUNCTION("""COMPUTED_VALUE"""),"")</f>
        <v/>
      </c>
      <c r="M885" s="136" t="str">
        <f t="shared" si="1"/>
        <v/>
      </c>
      <c r="N885" s="136" t="str">
        <f>IFERROR(__xludf.DUMMYFUNCTION("""COMPUTED_VALUE"""),"")</f>
        <v/>
      </c>
      <c r="O885" s="141" t="s">
        <v>133</v>
      </c>
      <c r="P885" s="136" t="str">
        <f>IFERROR(__xludf.DUMMYFUNCTION("""COMPUTED_VALUE"""),"")</f>
        <v/>
      </c>
      <c r="Q885" s="136" t="str">
        <f>IFERROR(__xludf.DUMMYFUNCTION("""COMPUTED_VALUE"""),"")</f>
        <v/>
      </c>
      <c r="R885" s="106" t="str">
        <f>IFERROR(__xludf.DUMMYFUNCTION("""COMPUTED_VALUE"""),"")</f>
        <v/>
      </c>
      <c r="S885" s="106" t="str">
        <f>IFERROR(__xludf.DUMMYFUNCTION("""COMPUTED_VALUE"""),"")</f>
        <v/>
      </c>
      <c r="T885" s="139" t="str">
        <f>IFERROR(__xludf.DUMMYFUNCTION("""COMPUTED_VALUE"""),"")</f>
        <v/>
      </c>
      <c r="U885" s="139" t="str">
        <f>IFERROR(__xludf.DUMMYFUNCTION("""COMPUTED_VALUE"""),"")</f>
        <v/>
      </c>
      <c r="V885" s="136" t="str">
        <f>IFERROR(__xludf.DUMMYFUNCTION("""COMPUTED_VALUE"""),"")</f>
        <v/>
      </c>
      <c r="W885" s="106" t="str">
        <f>IFERROR(__xludf.DUMMYFUNCTION("""COMPUTED_VALUE"""),"")</f>
        <v/>
      </c>
      <c r="X885" s="143" t="str">
        <f t="shared" si="2"/>
        <v/>
      </c>
      <c r="Y885" s="139" t="str">
        <f>IFERROR(__xludf.DUMMYFUNCTION("""COMPUTED_VALUE"""),"")</f>
        <v/>
      </c>
      <c r="Z885" s="141" t="str">
        <f>IFERROR(__xludf.DUMMYFUNCTION("""COMPUTED_VALUE"""),"")</f>
        <v/>
      </c>
    </row>
    <row r="886">
      <c r="C886" s="136" t="str">
        <f>IFERROR(__xludf.DUMMYFUNCTION("""COMPUTED_VALUE"""),"")</f>
        <v/>
      </c>
      <c r="D886" s="136" t="str">
        <f t="shared" si="3"/>
        <v/>
      </c>
      <c r="E886" s="152" t="str">
        <f>IFERROR(__xludf.DUMMYFUNCTION("""COMPUTED_VALUE"""),"")</f>
        <v/>
      </c>
      <c r="F886" s="106" t="s">
        <v>133</v>
      </c>
      <c r="G886" s="152" t="str">
        <f>IFERROR(__xludf.DUMMYFUNCTION("""COMPUTED_VALUE"""),"")</f>
        <v/>
      </c>
      <c r="H886" s="106" t="s">
        <v>133</v>
      </c>
      <c r="I886" s="136"/>
      <c r="J886" s="139" t="s">
        <v>133</v>
      </c>
      <c r="K886" s="136" t="s">
        <v>133</v>
      </c>
      <c r="L886" s="153" t="str">
        <f>IFERROR(__xludf.DUMMYFUNCTION("""COMPUTED_VALUE"""),"")</f>
        <v/>
      </c>
      <c r="M886" s="136" t="str">
        <f t="shared" si="1"/>
        <v/>
      </c>
      <c r="N886" s="136" t="str">
        <f>IFERROR(__xludf.DUMMYFUNCTION("""COMPUTED_VALUE"""),"")</f>
        <v/>
      </c>
      <c r="O886" s="141" t="s">
        <v>133</v>
      </c>
      <c r="P886" s="136" t="str">
        <f>IFERROR(__xludf.DUMMYFUNCTION("""COMPUTED_VALUE"""),"")</f>
        <v/>
      </c>
      <c r="Q886" s="136" t="str">
        <f>IFERROR(__xludf.DUMMYFUNCTION("""COMPUTED_VALUE"""),"")</f>
        <v/>
      </c>
      <c r="R886" s="106" t="str">
        <f>IFERROR(__xludf.DUMMYFUNCTION("""COMPUTED_VALUE"""),"")</f>
        <v/>
      </c>
      <c r="S886" s="106" t="str">
        <f>IFERROR(__xludf.DUMMYFUNCTION("""COMPUTED_VALUE"""),"")</f>
        <v/>
      </c>
      <c r="T886" s="139" t="str">
        <f>IFERROR(__xludf.DUMMYFUNCTION("""COMPUTED_VALUE"""),"")</f>
        <v/>
      </c>
      <c r="U886" s="139" t="str">
        <f>IFERROR(__xludf.DUMMYFUNCTION("""COMPUTED_VALUE"""),"")</f>
        <v/>
      </c>
      <c r="V886" s="136" t="str">
        <f>IFERROR(__xludf.DUMMYFUNCTION("""COMPUTED_VALUE"""),"")</f>
        <v/>
      </c>
      <c r="W886" s="106" t="str">
        <f>IFERROR(__xludf.DUMMYFUNCTION("""COMPUTED_VALUE"""),"")</f>
        <v/>
      </c>
      <c r="X886" s="143" t="str">
        <f t="shared" si="2"/>
        <v/>
      </c>
      <c r="Y886" s="139" t="str">
        <f>IFERROR(__xludf.DUMMYFUNCTION("""COMPUTED_VALUE"""),"")</f>
        <v/>
      </c>
      <c r="Z886" s="141" t="str">
        <f>IFERROR(__xludf.DUMMYFUNCTION("""COMPUTED_VALUE"""),"")</f>
        <v/>
      </c>
    </row>
    <row r="887">
      <c r="C887" s="136" t="str">
        <f>IFERROR(__xludf.DUMMYFUNCTION("""COMPUTED_VALUE"""),"")</f>
        <v/>
      </c>
      <c r="D887" s="136" t="str">
        <f t="shared" si="3"/>
        <v/>
      </c>
      <c r="E887" s="152" t="str">
        <f>IFERROR(__xludf.DUMMYFUNCTION("""COMPUTED_VALUE"""),"")</f>
        <v/>
      </c>
      <c r="F887" s="106" t="s">
        <v>133</v>
      </c>
      <c r="G887" s="152" t="str">
        <f>IFERROR(__xludf.DUMMYFUNCTION("""COMPUTED_VALUE"""),"")</f>
        <v/>
      </c>
      <c r="H887" s="106" t="s">
        <v>133</v>
      </c>
      <c r="I887" s="136"/>
      <c r="J887" s="139" t="s">
        <v>133</v>
      </c>
      <c r="K887" s="136" t="s">
        <v>133</v>
      </c>
      <c r="L887" s="153" t="str">
        <f>IFERROR(__xludf.DUMMYFUNCTION("""COMPUTED_VALUE"""),"")</f>
        <v/>
      </c>
      <c r="M887" s="136" t="str">
        <f t="shared" si="1"/>
        <v/>
      </c>
      <c r="N887" s="136" t="str">
        <f>IFERROR(__xludf.DUMMYFUNCTION("""COMPUTED_VALUE"""),"")</f>
        <v/>
      </c>
      <c r="O887" s="141" t="s">
        <v>133</v>
      </c>
      <c r="P887" s="136" t="str">
        <f>IFERROR(__xludf.DUMMYFUNCTION("""COMPUTED_VALUE"""),"")</f>
        <v/>
      </c>
      <c r="Q887" s="136" t="str">
        <f>IFERROR(__xludf.DUMMYFUNCTION("""COMPUTED_VALUE"""),"")</f>
        <v/>
      </c>
      <c r="R887" s="106" t="str">
        <f>IFERROR(__xludf.DUMMYFUNCTION("""COMPUTED_VALUE"""),"")</f>
        <v/>
      </c>
      <c r="S887" s="106" t="str">
        <f>IFERROR(__xludf.DUMMYFUNCTION("""COMPUTED_VALUE"""),"")</f>
        <v/>
      </c>
      <c r="T887" s="139" t="str">
        <f>IFERROR(__xludf.DUMMYFUNCTION("""COMPUTED_VALUE"""),"")</f>
        <v/>
      </c>
      <c r="U887" s="139" t="str">
        <f>IFERROR(__xludf.DUMMYFUNCTION("""COMPUTED_VALUE"""),"")</f>
        <v/>
      </c>
      <c r="V887" s="136" t="str">
        <f>IFERROR(__xludf.DUMMYFUNCTION("""COMPUTED_VALUE"""),"")</f>
        <v/>
      </c>
      <c r="W887" s="106" t="str">
        <f>IFERROR(__xludf.DUMMYFUNCTION("""COMPUTED_VALUE"""),"")</f>
        <v/>
      </c>
      <c r="X887" s="143" t="str">
        <f t="shared" si="2"/>
        <v/>
      </c>
      <c r="Y887" s="139" t="str">
        <f>IFERROR(__xludf.DUMMYFUNCTION("""COMPUTED_VALUE"""),"")</f>
        <v/>
      </c>
      <c r="Z887" s="141" t="str">
        <f>IFERROR(__xludf.DUMMYFUNCTION("""COMPUTED_VALUE"""),"")</f>
        <v/>
      </c>
    </row>
    <row r="888">
      <c r="C888" s="136" t="str">
        <f>IFERROR(__xludf.DUMMYFUNCTION("""COMPUTED_VALUE"""),"")</f>
        <v/>
      </c>
      <c r="D888" s="136" t="str">
        <f t="shared" si="3"/>
        <v/>
      </c>
      <c r="E888" s="152" t="str">
        <f>IFERROR(__xludf.DUMMYFUNCTION("""COMPUTED_VALUE"""),"")</f>
        <v/>
      </c>
      <c r="F888" s="106" t="s">
        <v>133</v>
      </c>
      <c r="G888" s="152" t="str">
        <f>IFERROR(__xludf.DUMMYFUNCTION("""COMPUTED_VALUE"""),"")</f>
        <v/>
      </c>
      <c r="H888" s="106" t="s">
        <v>133</v>
      </c>
      <c r="I888" s="136"/>
      <c r="J888" s="139" t="s">
        <v>133</v>
      </c>
      <c r="K888" s="136" t="s">
        <v>133</v>
      </c>
      <c r="L888" s="153" t="str">
        <f>IFERROR(__xludf.DUMMYFUNCTION("""COMPUTED_VALUE"""),"")</f>
        <v/>
      </c>
      <c r="M888" s="136" t="str">
        <f t="shared" si="1"/>
        <v/>
      </c>
      <c r="N888" s="136" t="str">
        <f>IFERROR(__xludf.DUMMYFUNCTION("""COMPUTED_VALUE"""),"")</f>
        <v/>
      </c>
      <c r="O888" s="141" t="s">
        <v>133</v>
      </c>
      <c r="P888" s="136" t="str">
        <f>IFERROR(__xludf.DUMMYFUNCTION("""COMPUTED_VALUE"""),"")</f>
        <v/>
      </c>
      <c r="Q888" s="136" t="str">
        <f>IFERROR(__xludf.DUMMYFUNCTION("""COMPUTED_VALUE"""),"")</f>
        <v/>
      </c>
      <c r="R888" s="106" t="str">
        <f>IFERROR(__xludf.DUMMYFUNCTION("""COMPUTED_VALUE"""),"")</f>
        <v/>
      </c>
      <c r="S888" s="106" t="str">
        <f>IFERROR(__xludf.DUMMYFUNCTION("""COMPUTED_VALUE"""),"")</f>
        <v/>
      </c>
      <c r="T888" s="139" t="str">
        <f>IFERROR(__xludf.DUMMYFUNCTION("""COMPUTED_VALUE"""),"")</f>
        <v/>
      </c>
      <c r="U888" s="139" t="str">
        <f>IFERROR(__xludf.DUMMYFUNCTION("""COMPUTED_VALUE"""),"")</f>
        <v/>
      </c>
      <c r="V888" s="136" t="str">
        <f>IFERROR(__xludf.DUMMYFUNCTION("""COMPUTED_VALUE"""),"")</f>
        <v/>
      </c>
      <c r="W888" s="106" t="str">
        <f>IFERROR(__xludf.DUMMYFUNCTION("""COMPUTED_VALUE"""),"")</f>
        <v/>
      </c>
      <c r="X888" s="143" t="str">
        <f t="shared" si="2"/>
        <v/>
      </c>
      <c r="Y888" s="139" t="str">
        <f>IFERROR(__xludf.DUMMYFUNCTION("""COMPUTED_VALUE"""),"")</f>
        <v/>
      </c>
      <c r="Z888" s="141" t="str">
        <f>IFERROR(__xludf.DUMMYFUNCTION("""COMPUTED_VALUE"""),"")</f>
        <v/>
      </c>
    </row>
    <row r="889">
      <c r="C889" s="136" t="str">
        <f>IFERROR(__xludf.DUMMYFUNCTION("""COMPUTED_VALUE"""),"")</f>
        <v/>
      </c>
      <c r="D889" s="136" t="str">
        <f t="shared" si="3"/>
        <v/>
      </c>
      <c r="E889" s="152" t="str">
        <f>IFERROR(__xludf.DUMMYFUNCTION("""COMPUTED_VALUE"""),"")</f>
        <v/>
      </c>
      <c r="F889" s="106" t="s">
        <v>133</v>
      </c>
      <c r="G889" s="152" t="str">
        <f>IFERROR(__xludf.DUMMYFUNCTION("""COMPUTED_VALUE"""),"")</f>
        <v/>
      </c>
      <c r="H889" s="106" t="s">
        <v>133</v>
      </c>
      <c r="I889" s="136"/>
      <c r="J889" s="139" t="s">
        <v>133</v>
      </c>
      <c r="K889" s="136" t="s">
        <v>133</v>
      </c>
      <c r="L889" s="153" t="str">
        <f>IFERROR(__xludf.DUMMYFUNCTION("""COMPUTED_VALUE"""),"")</f>
        <v/>
      </c>
      <c r="M889" s="136" t="str">
        <f t="shared" si="1"/>
        <v/>
      </c>
      <c r="N889" s="136" t="str">
        <f>IFERROR(__xludf.DUMMYFUNCTION("""COMPUTED_VALUE"""),"")</f>
        <v/>
      </c>
      <c r="O889" s="141" t="s">
        <v>133</v>
      </c>
      <c r="P889" s="136" t="str">
        <f>IFERROR(__xludf.DUMMYFUNCTION("""COMPUTED_VALUE"""),"")</f>
        <v/>
      </c>
      <c r="Q889" s="136" t="str">
        <f>IFERROR(__xludf.DUMMYFUNCTION("""COMPUTED_VALUE"""),"")</f>
        <v/>
      </c>
      <c r="R889" s="106" t="str">
        <f>IFERROR(__xludf.DUMMYFUNCTION("""COMPUTED_VALUE"""),"")</f>
        <v/>
      </c>
      <c r="S889" s="106" t="str">
        <f>IFERROR(__xludf.DUMMYFUNCTION("""COMPUTED_VALUE"""),"")</f>
        <v/>
      </c>
      <c r="T889" s="139" t="str">
        <f>IFERROR(__xludf.DUMMYFUNCTION("""COMPUTED_VALUE"""),"")</f>
        <v/>
      </c>
      <c r="U889" s="139" t="str">
        <f>IFERROR(__xludf.DUMMYFUNCTION("""COMPUTED_VALUE"""),"")</f>
        <v/>
      </c>
      <c r="V889" s="136" t="str">
        <f>IFERROR(__xludf.DUMMYFUNCTION("""COMPUTED_VALUE"""),"")</f>
        <v/>
      </c>
      <c r="W889" s="106" t="str">
        <f>IFERROR(__xludf.DUMMYFUNCTION("""COMPUTED_VALUE"""),"")</f>
        <v/>
      </c>
      <c r="X889" s="143" t="str">
        <f t="shared" si="2"/>
        <v/>
      </c>
      <c r="Y889" s="139" t="str">
        <f>IFERROR(__xludf.DUMMYFUNCTION("""COMPUTED_VALUE"""),"")</f>
        <v/>
      </c>
      <c r="Z889" s="141" t="str">
        <f>IFERROR(__xludf.DUMMYFUNCTION("""COMPUTED_VALUE"""),"")</f>
        <v/>
      </c>
    </row>
    <row r="890">
      <c r="C890" s="136" t="str">
        <f>IFERROR(__xludf.DUMMYFUNCTION("""COMPUTED_VALUE"""),"")</f>
        <v/>
      </c>
      <c r="D890" s="136" t="str">
        <f t="shared" si="3"/>
        <v/>
      </c>
      <c r="E890" s="152" t="str">
        <f>IFERROR(__xludf.DUMMYFUNCTION("""COMPUTED_VALUE"""),"")</f>
        <v/>
      </c>
      <c r="F890" s="106" t="s">
        <v>133</v>
      </c>
      <c r="G890" s="152" t="str">
        <f>IFERROR(__xludf.DUMMYFUNCTION("""COMPUTED_VALUE"""),"")</f>
        <v/>
      </c>
      <c r="H890" s="106" t="s">
        <v>133</v>
      </c>
      <c r="I890" s="136"/>
      <c r="J890" s="139" t="s">
        <v>133</v>
      </c>
      <c r="K890" s="136" t="s">
        <v>133</v>
      </c>
      <c r="L890" s="153" t="str">
        <f>IFERROR(__xludf.DUMMYFUNCTION("""COMPUTED_VALUE"""),"")</f>
        <v/>
      </c>
      <c r="M890" s="136" t="str">
        <f t="shared" si="1"/>
        <v/>
      </c>
      <c r="N890" s="136" t="str">
        <f>IFERROR(__xludf.DUMMYFUNCTION("""COMPUTED_VALUE"""),"")</f>
        <v/>
      </c>
      <c r="O890" s="141" t="s">
        <v>133</v>
      </c>
      <c r="P890" s="136" t="str">
        <f>IFERROR(__xludf.DUMMYFUNCTION("""COMPUTED_VALUE"""),"")</f>
        <v/>
      </c>
      <c r="Q890" s="136" t="str">
        <f>IFERROR(__xludf.DUMMYFUNCTION("""COMPUTED_VALUE"""),"")</f>
        <v/>
      </c>
      <c r="R890" s="106" t="str">
        <f>IFERROR(__xludf.DUMMYFUNCTION("""COMPUTED_VALUE"""),"")</f>
        <v/>
      </c>
      <c r="S890" s="106" t="str">
        <f>IFERROR(__xludf.DUMMYFUNCTION("""COMPUTED_VALUE"""),"")</f>
        <v/>
      </c>
      <c r="T890" s="139" t="str">
        <f>IFERROR(__xludf.DUMMYFUNCTION("""COMPUTED_VALUE"""),"")</f>
        <v/>
      </c>
      <c r="U890" s="139" t="str">
        <f>IFERROR(__xludf.DUMMYFUNCTION("""COMPUTED_VALUE"""),"")</f>
        <v/>
      </c>
      <c r="V890" s="136" t="str">
        <f>IFERROR(__xludf.DUMMYFUNCTION("""COMPUTED_VALUE"""),"")</f>
        <v/>
      </c>
      <c r="W890" s="106" t="str">
        <f>IFERROR(__xludf.DUMMYFUNCTION("""COMPUTED_VALUE"""),"")</f>
        <v/>
      </c>
      <c r="X890" s="143" t="str">
        <f t="shared" si="2"/>
        <v/>
      </c>
      <c r="Y890" s="139" t="str">
        <f>IFERROR(__xludf.DUMMYFUNCTION("""COMPUTED_VALUE"""),"")</f>
        <v/>
      </c>
      <c r="Z890" s="141" t="str">
        <f>IFERROR(__xludf.DUMMYFUNCTION("""COMPUTED_VALUE"""),"")</f>
        <v/>
      </c>
    </row>
    <row r="891">
      <c r="C891" s="136" t="str">
        <f>IFERROR(__xludf.DUMMYFUNCTION("""COMPUTED_VALUE"""),"")</f>
        <v/>
      </c>
      <c r="D891" s="136" t="str">
        <f t="shared" si="3"/>
        <v/>
      </c>
      <c r="E891" s="152" t="str">
        <f>IFERROR(__xludf.DUMMYFUNCTION("""COMPUTED_VALUE"""),"")</f>
        <v/>
      </c>
      <c r="F891" s="106" t="s">
        <v>133</v>
      </c>
      <c r="G891" s="152" t="str">
        <f>IFERROR(__xludf.DUMMYFUNCTION("""COMPUTED_VALUE"""),"")</f>
        <v/>
      </c>
      <c r="H891" s="106" t="s">
        <v>133</v>
      </c>
      <c r="I891" s="136"/>
      <c r="J891" s="139" t="s">
        <v>133</v>
      </c>
      <c r="K891" s="136" t="s">
        <v>133</v>
      </c>
      <c r="L891" s="153" t="str">
        <f>IFERROR(__xludf.DUMMYFUNCTION("""COMPUTED_VALUE"""),"")</f>
        <v/>
      </c>
      <c r="M891" s="136" t="str">
        <f t="shared" si="1"/>
        <v/>
      </c>
      <c r="N891" s="136" t="str">
        <f>IFERROR(__xludf.DUMMYFUNCTION("""COMPUTED_VALUE"""),"")</f>
        <v/>
      </c>
      <c r="O891" s="141" t="s">
        <v>133</v>
      </c>
      <c r="P891" s="136" t="str">
        <f>IFERROR(__xludf.DUMMYFUNCTION("""COMPUTED_VALUE"""),"")</f>
        <v/>
      </c>
      <c r="Q891" s="136" t="str">
        <f>IFERROR(__xludf.DUMMYFUNCTION("""COMPUTED_VALUE"""),"")</f>
        <v/>
      </c>
      <c r="R891" s="106" t="str">
        <f>IFERROR(__xludf.DUMMYFUNCTION("""COMPUTED_VALUE"""),"")</f>
        <v/>
      </c>
      <c r="S891" s="106" t="str">
        <f>IFERROR(__xludf.DUMMYFUNCTION("""COMPUTED_VALUE"""),"")</f>
        <v/>
      </c>
      <c r="T891" s="139" t="str">
        <f>IFERROR(__xludf.DUMMYFUNCTION("""COMPUTED_VALUE"""),"")</f>
        <v/>
      </c>
      <c r="U891" s="139" t="str">
        <f>IFERROR(__xludf.DUMMYFUNCTION("""COMPUTED_VALUE"""),"")</f>
        <v/>
      </c>
      <c r="V891" s="136" t="str">
        <f>IFERROR(__xludf.DUMMYFUNCTION("""COMPUTED_VALUE"""),"")</f>
        <v/>
      </c>
      <c r="W891" s="106" t="str">
        <f>IFERROR(__xludf.DUMMYFUNCTION("""COMPUTED_VALUE"""),"")</f>
        <v/>
      </c>
      <c r="X891" s="143" t="str">
        <f t="shared" si="2"/>
        <v/>
      </c>
      <c r="Y891" s="139" t="str">
        <f>IFERROR(__xludf.DUMMYFUNCTION("""COMPUTED_VALUE"""),"")</f>
        <v/>
      </c>
      <c r="Z891" s="141" t="str">
        <f>IFERROR(__xludf.DUMMYFUNCTION("""COMPUTED_VALUE"""),"")</f>
        <v/>
      </c>
    </row>
    <row r="892">
      <c r="C892" s="136" t="str">
        <f>IFERROR(__xludf.DUMMYFUNCTION("""COMPUTED_VALUE"""),"")</f>
        <v/>
      </c>
      <c r="D892" s="136" t="str">
        <f t="shared" si="3"/>
        <v/>
      </c>
      <c r="E892" s="152" t="str">
        <f>IFERROR(__xludf.DUMMYFUNCTION("""COMPUTED_VALUE"""),"")</f>
        <v/>
      </c>
      <c r="F892" s="106" t="s">
        <v>133</v>
      </c>
      <c r="G892" s="152" t="str">
        <f>IFERROR(__xludf.DUMMYFUNCTION("""COMPUTED_VALUE"""),"")</f>
        <v/>
      </c>
      <c r="H892" s="106" t="s">
        <v>133</v>
      </c>
      <c r="I892" s="136"/>
      <c r="J892" s="139" t="s">
        <v>133</v>
      </c>
      <c r="K892" s="136" t="s">
        <v>133</v>
      </c>
      <c r="L892" s="153" t="str">
        <f>IFERROR(__xludf.DUMMYFUNCTION("""COMPUTED_VALUE"""),"")</f>
        <v/>
      </c>
      <c r="M892" s="136" t="str">
        <f t="shared" si="1"/>
        <v/>
      </c>
      <c r="N892" s="136" t="str">
        <f>IFERROR(__xludf.DUMMYFUNCTION("""COMPUTED_VALUE"""),"")</f>
        <v/>
      </c>
      <c r="O892" s="141" t="s">
        <v>133</v>
      </c>
      <c r="P892" s="136" t="str">
        <f>IFERROR(__xludf.DUMMYFUNCTION("""COMPUTED_VALUE"""),"")</f>
        <v/>
      </c>
      <c r="Q892" s="136" t="str">
        <f>IFERROR(__xludf.DUMMYFUNCTION("""COMPUTED_VALUE"""),"")</f>
        <v/>
      </c>
      <c r="R892" s="106" t="str">
        <f>IFERROR(__xludf.DUMMYFUNCTION("""COMPUTED_VALUE"""),"")</f>
        <v/>
      </c>
      <c r="S892" s="106" t="str">
        <f>IFERROR(__xludf.DUMMYFUNCTION("""COMPUTED_VALUE"""),"")</f>
        <v/>
      </c>
      <c r="T892" s="139" t="str">
        <f>IFERROR(__xludf.DUMMYFUNCTION("""COMPUTED_VALUE"""),"")</f>
        <v/>
      </c>
      <c r="U892" s="139" t="str">
        <f>IFERROR(__xludf.DUMMYFUNCTION("""COMPUTED_VALUE"""),"")</f>
        <v/>
      </c>
      <c r="V892" s="136" t="str">
        <f>IFERROR(__xludf.DUMMYFUNCTION("""COMPUTED_VALUE"""),"")</f>
        <v/>
      </c>
      <c r="W892" s="106" t="str">
        <f>IFERROR(__xludf.DUMMYFUNCTION("""COMPUTED_VALUE"""),"")</f>
        <v/>
      </c>
      <c r="X892" s="143" t="str">
        <f t="shared" si="2"/>
        <v/>
      </c>
      <c r="Y892" s="139" t="str">
        <f>IFERROR(__xludf.DUMMYFUNCTION("""COMPUTED_VALUE"""),"")</f>
        <v/>
      </c>
      <c r="Z892" s="141" t="str">
        <f>IFERROR(__xludf.DUMMYFUNCTION("""COMPUTED_VALUE"""),"")</f>
        <v/>
      </c>
    </row>
    <row r="893">
      <c r="C893" s="136" t="str">
        <f>IFERROR(__xludf.DUMMYFUNCTION("""COMPUTED_VALUE"""),"")</f>
        <v/>
      </c>
      <c r="D893" s="136" t="str">
        <f t="shared" si="3"/>
        <v/>
      </c>
      <c r="E893" s="152" t="str">
        <f>IFERROR(__xludf.DUMMYFUNCTION("""COMPUTED_VALUE"""),"")</f>
        <v/>
      </c>
      <c r="F893" s="106" t="s">
        <v>133</v>
      </c>
      <c r="G893" s="152" t="str">
        <f>IFERROR(__xludf.DUMMYFUNCTION("""COMPUTED_VALUE"""),"")</f>
        <v/>
      </c>
      <c r="H893" s="106" t="s">
        <v>133</v>
      </c>
      <c r="I893" s="136"/>
      <c r="J893" s="139" t="s">
        <v>133</v>
      </c>
      <c r="K893" s="136" t="s">
        <v>133</v>
      </c>
      <c r="L893" s="153" t="str">
        <f>IFERROR(__xludf.DUMMYFUNCTION("""COMPUTED_VALUE"""),"")</f>
        <v/>
      </c>
      <c r="M893" s="136" t="str">
        <f t="shared" si="1"/>
        <v/>
      </c>
      <c r="N893" s="136" t="str">
        <f>IFERROR(__xludf.DUMMYFUNCTION("""COMPUTED_VALUE"""),"")</f>
        <v/>
      </c>
      <c r="O893" s="141" t="s">
        <v>133</v>
      </c>
      <c r="P893" s="136" t="str">
        <f>IFERROR(__xludf.DUMMYFUNCTION("""COMPUTED_VALUE"""),"")</f>
        <v/>
      </c>
      <c r="Q893" s="136" t="str">
        <f>IFERROR(__xludf.DUMMYFUNCTION("""COMPUTED_VALUE"""),"")</f>
        <v/>
      </c>
      <c r="R893" s="106" t="str">
        <f>IFERROR(__xludf.DUMMYFUNCTION("""COMPUTED_VALUE"""),"")</f>
        <v/>
      </c>
      <c r="S893" s="106" t="str">
        <f>IFERROR(__xludf.DUMMYFUNCTION("""COMPUTED_VALUE"""),"")</f>
        <v/>
      </c>
      <c r="T893" s="139" t="str">
        <f>IFERROR(__xludf.DUMMYFUNCTION("""COMPUTED_VALUE"""),"")</f>
        <v/>
      </c>
      <c r="U893" s="139" t="str">
        <f>IFERROR(__xludf.DUMMYFUNCTION("""COMPUTED_VALUE"""),"")</f>
        <v/>
      </c>
      <c r="V893" s="136" t="str">
        <f>IFERROR(__xludf.DUMMYFUNCTION("""COMPUTED_VALUE"""),"")</f>
        <v/>
      </c>
      <c r="W893" s="106" t="str">
        <f>IFERROR(__xludf.DUMMYFUNCTION("""COMPUTED_VALUE"""),"")</f>
        <v/>
      </c>
      <c r="X893" s="143" t="str">
        <f t="shared" si="2"/>
        <v/>
      </c>
      <c r="Y893" s="139" t="str">
        <f>IFERROR(__xludf.DUMMYFUNCTION("""COMPUTED_VALUE"""),"")</f>
        <v/>
      </c>
      <c r="Z893" s="141" t="str">
        <f>IFERROR(__xludf.DUMMYFUNCTION("""COMPUTED_VALUE"""),"")</f>
        <v/>
      </c>
    </row>
    <row r="894">
      <c r="C894" s="136" t="str">
        <f>IFERROR(__xludf.DUMMYFUNCTION("""COMPUTED_VALUE"""),"")</f>
        <v/>
      </c>
      <c r="D894" s="136" t="str">
        <f t="shared" si="3"/>
        <v/>
      </c>
      <c r="E894" s="152" t="str">
        <f>IFERROR(__xludf.DUMMYFUNCTION("""COMPUTED_VALUE"""),"")</f>
        <v/>
      </c>
      <c r="F894" s="106" t="s">
        <v>133</v>
      </c>
      <c r="G894" s="152" t="str">
        <f>IFERROR(__xludf.DUMMYFUNCTION("""COMPUTED_VALUE"""),"")</f>
        <v/>
      </c>
      <c r="H894" s="106" t="s">
        <v>133</v>
      </c>
      <c r="I894" s="136"/>
      <c r="J894" s="139" t="s">
        <v>133</v>
      </c>
      <c r="K894" s="136" t="s">
        <v>133</v>
      </c>
      <c r="L894" s="153" t="str">
        <f>IFERROR(__xludf.DUMMYFUNCTION("""COMPUTED_VALUE"""),"")</f>
        <v/>
      </c>
      <c r="M894" s="136" t="str">
        <f t="shared" si="1"/>
        <v/>
      </c>
      <c r="N894" s="136" t="str">
        <f>IFERROR(__xludf.DUMMYFUNCTION("""COMPUTED_VALUE"""),"")</f>
        <v/>
      </c>
      <c r="O894" s="141" t="s">
        <v>133</v>
      </c>
      <c r="P894" s="136" t="str">
        <f>IFERROR(__xludf.DUMMYFUNCTION("""COMPUTED_VALUE"""),"")</f>
        <v/>
      </c>
      <c r="Q894" s="136" t="str">
        <f>IFERROR(__xludf.DUMMYFUNCTION("""COMPUTED_VALUE"""),"")</f>
        <v/>
      </c>
      <c r="R894" s="106" t="str">
        <f>IFERROR(__xludf.DUMMYFUNCTION("""COMPUTED_VALUE"""),"")</f>
        <v/>
      </c>
      <c r="S894" s="106" t="str">
        <f>IFERROR(__xludf.DUMMYFUNCTION("""COMPUTED_VALUE"""),"")</f>
        <v/>
      </c>
      <c r="T894" s="139" t="str">
        <f>IFERROR(__xludf.DUMMYFUNCTION("""COMPUTED_VALUE"""),"")</f>
        <v/>
      </c>
      <c r="U894" s="139" t="str">
        <f>IFERROR(__xludf.DUMMYFUNCTION("""COMPUTED_VALUE"""),"")</f>
        <v/>
      </c>
      <c r="V894" s="136" t="str">
        <f>IFERROR(__xludf.DUMMYFUNCTION("""COMPUTED_VALUE"""),"")</f>
        <v/>
      </c>
      <c r="W894" s="106" t="str">
        <f>IFERROR(__xludf.DUMMYFUNCTION("""COMPUTED_VALUE"""),"")</f>
        <v/>
      </c>
      <c r="X894" s="143" t="str">
        <f t="shared" si="2"/>
        <v/>
      </c>
      <c r="Y894" s="139" t="str">
        <f>IFERROR(__xludf.DUMMYFUNCTION("""COMPUTED_VALUE"""),"")</f>
        <v/>
      </c>
      <c r="Z894" s="141" t="str">
        <f>IFERROR(__xludf.DUMMYFUNCTION("""COMPUTED_VALUE"""),"")</f>
        <v/>
      </c>
    </row>
    <row r="895">
      <c r="C895" s="136" t="str">
        <f>IFERROR(__xludf.DUMMYFUNCTION("""COMPUTED_VALUE"""),"")</f>
        <v/>
      </c>
      <c r="D895" s="136" t="str">
        <f t="shared" si="3"/>
        <v/>
      </c>
      <c r="E895" s="152" t="str">
        <f>IFERROR(__xludf.DUMMYFUNCTION("""COMPUTED_VALUE"""),"")</f>
        <v/>
      </c>
      <c r="F895" s="106" t="s">
        <v>133</v>
      </c>
      <c r="G895" s="152" t="str">
        <f>IFERROR(__xludf.DUMMYFUNCTION("""COMPUTED_VALUE"""),"")</f>
        <v/>
      </c>
      <c r="H895" s="106" t="s">
        <v>133</v>
      </c>
      <c r="I895" s="136"/>
      <c r="J895" s="139" t="s">
        <v>133</v>
      </c>
      <c r="K895" s="136" t="s">
        <v>133</v>
      </c>
      <c r="L895" s="153" t="str">
        <f>IFERROR(__xludf.DUMMYFUNCTION("""COMPUTED_VALUE"""),"")</f>
        <v/>
      </c>
      <c r="M895" s="136" t="str">
        <f t="shared" si="1"/>
        <v/>
      </c>
      <c r="N895" s="136" t="str">
        <f>IFERROR(__xludf.DUMMYFUNCTION("""COMPUTED_VALUE"""),"")</f>
        <v/>
      </c>
      <c r="O895" s="141" t="s">
        <v>133</v>
      </c>
      <c r="P895" s="136" t="str">
        <f>IFERROR(__xludf.DUMMYFUNCTION("""COMPUTED_VALUE"""),"")</f>
        <v/>
      </c>
      <c r="Q895" s="136" t="str">
        <f>IFERROR(__xludf.DUMMYFUNCTION("""COMPUTED_VALUE"""),"")</f>
        <v/>
      </c>
      <c r="R895" s="106" t="str">
        <f>IFERROR(__xludf.DUMMYFUNCTION("""COMPUTED_VALUE"""),"")</f>
        <v/>
      </c>
      <c r="S895" s="106" t="str">
        <f>IFERROR(__xludf.DUMMYFUNCTION("""COMPUTED_VALUE"""),"")</f>
        <v/>
      </c>
      <c r="T895" s="139" t="str">
        <f>IFERROR(__xludf.DUMMYFUNCTION("""COMPUTED_VALUE"""),"")</f>
        <v/>
      </c>
      <c r="U895" s="139" t="str">
        <f>IFERROR(__xludf.DUMMYFUNCTION("""COMPUTED_VALUE"""),"")</f>
        <v/>
      </c>
      <c r="V895" s="136" t="str">
        <f>IFERROR(__xludf.DUMMYFUNCTION("""COMPUTED_VALUE"""),"")</f>
        <v/>
      </c>
      <c r="W895" s="106" t="str">
        <f>IFERROR(__xludf.DUMMYFUNCTION("""COMPUTED_VALUE"""),"")</f>
        <v/>
      </c>
      <c r="X895" s="143" t="str">
        <f t="shared" si="2"/>
        <v/>
      </c>
      <c r="Y895" s="139" t="str">
        <f>IFERROR(__xludf.DUMMYFUNCTION("""COMPUTED_VALUE"""),"")</f>
        <v/>
      </c>
      <c r="Z895" s="141" t="str">
        <f>IFERROR(__xludf.DUMMYFUNCTION("""COMPUTED_VALUE"""),"")</f>
        <v/>
      </c>
    </row>
    <row r="896">
      <c r="C896" s="136" t="str">
        <f>IFERROR(__xludf.DUMMYFUNCTION("""COMPUTED_VALUE"""),"")</f>
        <v/>
      </c>
      <c r="D896" s="136" t="str">
        <f t="shared" si="3"/>
        <v/>
      </c>
      <c r="E896" s="152" t="str">
        <f>IFERROR(__xludf.DUMMYFUNCTION("""COMPUTED_VALUE"""),"")</f>
        <v/>
      </c>
      <c r="F896" s="106" t="s">
        <v>133</v>
      </c>
      <c r="G896" s="152" t="str">
        <f>IFERROR(__xludf.DUMMYFUNCTION("""COMPUTED_VALUE"""),"")</f>
        <v/>
      </c>
      <c r="H896" s="106" t="s">
        <v>133</v>
      </c>
      <c r="I896" s="136"/>
      <c r="J896" s="139" t="s">
        <v>133</v>
      </c>
      <c r="K896" s="136" t="s">
        <v>133</v>
      </c>
      <c r="L896" s="153" t="str">
        <f>IFERROR(__xludf.DUMMYFUNCTION("""COMPUTED_VALUE"""),"")</f>
        <v/>
      </c>
      <c r="M896" s="136" t="str">
        <f t="shared" si="1"/>
        <v/>
      </c>
      <c r="N896" s="136" t="str">
        <f>IFERROR(__xludf.DUMMYFUNCTION("""COMPUTED_VALUE"""),"")</f>
        <v/>
      </c>
      <c r="O896" s="141" t="s">
        <v>133</v>
      </c>
      <c r="P896" s="136" t="str">
        <f>IFERROR(__xludf.DUMMYFUNCTION("""COMPUTED_VALUE"""),"")</f>
        <v/>
      </c>
      <c r="Q896" s="136" t="str">
        <f>IFERROR(__xludf.DUMMYFUNCTION("""COMPUTED_VALUE"""),"")</f>
        <v/>
      </c>
      <c r="R896" s="106" t="str">
        <f>IFERROR(__xludf.DUMMYFUNCTION("""COMPUTED_VALUE"""),"")</f>
        <v/>
      </c>
      <c r="S896" s="106" t="str">
        <f>IFERROR(__xludf.DUMMYFUNCTION("""COMPUTED_VALUE"""),"")</f>
        <v/>
      </c>
      <c r="T896" s="139" t="str">
        <f>IFERROR(__xludf.DUMMYFUNCTION("""COMPUTED_VALUE"""),"")</f>
        <v/>
      </c>
      <c r="U896" s="139" t="str">
        <f>IFERROR(__xludf.DUMMYFUNCTION("""COMPUTED_VALUE"""),"")</f>
        <v/>
      </c>
      <c r="V896" s="136" t="str">
        <f>IFERROR(__xludf.DUMMYFUNCTION("""COMPUTED_VALUE"""),"")</f>
        <v/>
      </c>
      <c r="W896" s="106" t="str">
        <f>IFERROR(__xludf.DUMMYFUNCTION("""COMPUTED_VALUE"""),"")</f>
        <v/>
      </c>
      <c r="X896" s="143" t="str">
        <f t="shared" si="2"/>
        <v/>
      </c>
      <c r="Y896" s="139" t="str">
        <f>IFERROR(__xludf.DUMMYFUNCTION("""COMPUTED_VALUE"""),"")</f>
        <v/>
      </c>
      <c r="Z896" s="141" t="str">
        <f>IFERROR(__xludf.DUMMYFUNCTION("""COMPUTED_VALUE"""),"")</f>
        <v/>
      </c>
    </row>
    <row r="897">
      <c r="C897" s="136" t="str">
        <f>IFERROR(__xludf.DUMMYFUNCTION("""COMPUTED_VALUE"""),"")</f>
        <v/>
      </c>
      <c r="D897" s="136" t="str">
        <f t="shared" si="3"/>
        <v/>
      </c>
      <c r="E897" s="152" t="str">
        <f>IFERROR(__xludf.DUMMYFUNCTION("""COMPUTED_VALUE"""),"")</f>
        <v/>
      </c>
      <c r="F897" s="106" t="s">
        <v>133</v>
      </c>
      <c r="G897" s="152" t="str">
        <f>IFERROR(__xludf.DUMMYFUNCTION("""COMPUTED_VALUE"""),"")</f>
        <v/>
      </c>
      <c r="H897" s="106" t="s">
        <v>133</v>
      </c>
      <c r="I897" s="136"/>
      <c r="J897" s="139" t="s">
        <v>133</v>
      </c>
      <c r="K897" s="136" t="s">
        <v>133</v>
      </c>
      <c r="L897" s="153" t="str">
        <f>IFERROR(__xludf.DUMMYFUNCTION("""COMPUTED_VALUE"""),"")</f>
        <v/>
      </c>
      <c r="M897" s="136" t="str">
        <f t="shared" si="1"/>
        <v/>
      </c>
      <c r="N897" s="136" t="str">
        <f>IFERROR(__xludf.DUMMYFUNCTION("""COMPUTED_VALUE"""),"")</f>
        <v/>
      </c>
      <c r="O897" s="141" t="s">
        <v>133</v>
      </c>
      <c r="P897" s="136" t="str">
        <f>IFERROR(__xludf.DUMMYFUNCTION("""COMPUTED_VALUE"""),"")</f>
        <v/>
      </c>
      <c r="Q897" s="136" t="str">
        <f>IFERROR(__xludf.DUMMYFUNCTION("""COMPUTED_VALUE"""),"")</f>
        <v/>
      </c>
      <c r="R897" s="106" t="str">
        <f>IFERROR(__xludf.DUMMYFUNCTION("""COMPUTED_VALUE"""),"")</f>
        <v/>
      </c>
      <c r="S897" s="106" t="str">
        <f>IFERROR(__xludf.DUMMYFUNCTION("""COMPUTED_VALUE"""),"")</f>
        <v/>
      </c>
      <c r="T897" s="139" t="str">
        <f>IFERROR(__xludf.DUMMYFUNCTION("""COMPUTED_VALUE"""),"")</f>
        <v/>
      </c>
      <c r="U897" s="139" t="str">
        <f>IFERROR(__xludf.DUMMYFUNCTION("""COMPUTED_VALUE"""),"")</f>
        <v/>
      </c>
      <c r="V897" s="136" t="str">
        <f>IFERROR(__xludf.DUMMYFUNCTION("""COMPUTED_VALUE"""),"")</f>
        <v/>
      </c>
      <c r="W897" s="106" t="str">
        <f>IFERROR(__xludf.DUMMYFUNCTION("""COMPUTED_VALUE"""),"")</f>
        <v/>
      </c>
      <c r="X897" s="143" t="str">
        <f t="shared" si="2"/>
        <v/>
      </c>
      <c r="Y897" s="139" t="str">
        <f>IFERROR(__xludf.DUMMYFUNCTION("""COMPUTED_VALUE"""),"")</f>
        <v/>
      </c>
      <c r="Z897" s="141" t="str">
        <f>IFERROR(__xludf.DUMMYFUNCTION("""COMPUTED_VALUE"""),"")</f>
        <v/>
      </c>
    </row>
    <row r="898">
      <c r="C898" s="136" t="str">
        <f>IFERROR(__xludf.DUMMYFUNCTION("""COMPUTED_VALUE"""),"")</f>
        <v/>
      </c>
      <c r="D898" s="136" t="str">
        <f t="shared" si="3"/>
        <v/>
      </c>
      <c r="E898" s="152" t="str">
        <f>IFERROR(__xludf.DUMMYFUNCTION("""COMPUTED_VALUE"""),"")</f>
        <v/>
      </c>
      <c r="F898" s="106" t="s">
        <v>133</v>
      </c>
      <c r="G898" s="152" t="str">
        <f>IFERROR(__xludf.DUMMYFUNCTION("""COMPUTED_VALUE"""),"")</f>
        <v/>
      </c>
      <c r="H898" s="106" t="s">
        <v>133</v>
      </c>
      <c r="I898" s="136"/>
      <c r="J898" s="139" t="s">
        <v>133</v>
      </c>
      <c r="K898" s="136" t="s">
        <v>133</v>
      </c>
      <c r="L898" s="153" t="str">
        <f>IFERROR(__xludf.DUMMYFUNCTION("""COMPUTED_VALUE"""),"")</f>
        <v/>
      </c>
      <c r="M898" s="136" t="str">
        <f t="shared" si="1"/>
        <v/>
      </c>
      <c r="N898" s="136" t="str">
        <f>IFERROR(__xludf.DUMMYFUNCTION("""COMPUTED_VALUE"""),"")</f>
        <v/>
      </c>
      <c r="O898" s="141" t="s">
        <v>133</v>
      </c>
      <c r="P898" s="136" t="str">
        <f>IFERROR(__xludf.DUMMYFUNCTION("""COMPUTED_VALUE"""),"")</f>
        <v/>
      </c>
      <c r="Q898" s="136" t="str">
        <f>IFERROR(__xludf.DUMMYFUNCTION("""COMPUTED_VALUE"""),"")</f>
        <v/>
      </c>
      <c r="R898" s="106" t="str">
        <f>IFERROR(__xludf.DUMMYFUNCTION("""COMPUTED_VALUE"""),"")</f>
        <v/>
      </c>
      <c r="S898" s="106" t="str">
        <f>IFERROR(__xludf.DUMMYFUNCTION("""COMPUTED_VALUE"""),"")</f>
        <v/>
      </c>
      <c r="T898" s="139" t="str">
        <f>IFERROR(__xludf.DUMMYFUNCTION("""COMPUTED_VALUE"""),"")</f>
        <v/>
      </c>
      <c r="U898" s="139" t="str">
        <f>IFERROR(__xludf.DUMMYFUNCTION("""COMPUTED_VALUE"""),"")</f>
        <v/>
      </c>
      <c r="V898" s="136" t="str">
        <f>IFERROR(__xludf.DUMMYFUNCTION("""COMPUTED_VALUE"""),"")</f>
        <v/>
      </c>
      <c r="W898" s="106" t="str">
        <f>IFERROR(__xludf.DUMMYFUNCTION("""COMPUTED_VALUE"""),"")</f>
        <v/>
      </c>
      <c r="X898" s="143" t="str">
        <f t="shared" si="2"/>
        <v/>
      </c>
      <c r="Y898" s="139" t="str">
        <f>IFERROR(__xludf.DUMMYFUNCTION("""COMPUTED_VALUE"""),"")</f>
        <v/>
      </c>
      <c r="Z898" s="141" t="str">
        <f>IFERROR(__xludf.DUMMYFUNCTION("""COMPUTED_VALUE"""),"")</f>
        <v/>
      </c>
    </row>
    <row r="899">
      <c r="C899" s="136" t="str">
        <f>IFERROR(__xludf.DUMMYFUNCTION("""COMPUTED_VALUE"""),"")</f>
        <v/>
      </c>
      <c r="D899" s="136" t="str">
        <f t="shared" si="3"/>
        <v/>
      </c>
      <c r="E899" s="152" t="str">
        <f>IFERROR(__xludf.DUMMYFUNCTION("""COMPUTED_VALUE"""),"")</f>
        <v/>
      </c>
      <c r="F899" s="106" t="s">
        <v>133</v>
      </c>
      <c r="G899" s="152" t="str">
        <f>IFERROR(__xludf.DUMMYFUNCTION("""COMPUTED_VALUE"""),"")</f>
        <v/>
      </c>
      <c r="H899" s="106" t="s">
        <v>133</v>
      </c>
      <c r="I899" s="136"/>
      <c r="J899" s="139" t="s">
        <v>133</v>
      </c>
      <c r="K899" s="136" t="s">
        <v>133</v>
      </c>
      <c r="L899" s="153" t="str">
        <f>IFERROR(__xludf.DUMMYFUNCTION("""COMPUTED_VALUE"""),"")</f>
        <v/>
      </c>
      <c r="M899" s="136" t="str">
        <f t="shared" si="1"/>
        <v/>
      </c>
      <c r="N899" s="136" t="str">
        <f>IFERROR(__xludf.DUMMYFUNCTION("""COMPUTED_VALUE"""),"")</f>
        <v/>
      </c>
      <c r="O899" s="141" t="s">
        <v>133</v>
      </c>
      <c r="P899" s="136" t="str">
        <f>IFERROR(__xludf.DUMMYFUNCTION("""COMPUTED_VALUE"""),"")</f>
        <v/>
      </c>
      <c r="Q899" s="136" t="str">
        <f>IFERROR(__xludf.DUMMYFUNCTION("""COMPUTED_VALUE"""),"")</f>
        <v/>
      </c>
      <c r="R899" s="106" t="str">
        <f>IFERROR(__xludf.DUMMYFUNCTION("""COMPUTED_VALUE"""),"")</f>
        <v/>
      </c>
      <c r="S899" s="106" t="str">
        <f>IFERROR(__xludf.DUMMYFUNCTION("""COMPUTED_VALUE"""),"")</f>
        <v/>
      </c>
      <c r="T899" s="139" t="str">
        <f>IFERROR(__xludf.DUMMYFUNCTION("""COMPUTED_VALUE"""),"")</f>
        <v/>
      </c>
      <c r="U899" s="139" t="str">
        <f>IFERROR(__xludf.DUMMYFUNCTION("""COMPUTED_VALUE"""),"")</f>
        <v/>
      </c>
      <c r="V899" s="136" t="str">
        <f>IFERROR(__xludf.DUMMYFUNCTION("""COMPUTED_VALUE"""),"")</f>
        <v/>
      </c>
      <c r="W899" s="106" t="str">
        <f>IFERROR(__xludf.DUMMYFUNCTION("""COMPUTED_VALUE"""),"")</f>
        <v/>
      </c>
      <c r="X899" s="143" t="str">
        <f t="shared" si="2"/>
        <v/>
      </c>
      <c r="Y899" s="139" t="str">
        <f>IFERROR(__xludf.DUMMYFUNCTION("""COMPUTED_VALUE"""),"")</f>
        <v/>
      </c>
      <c r="Z899" s="141" t="str">
        <f>IFERROR(__xludf.DUMMYFUNCTION("""COMPUTED_VALUE"""),"")</f>
        <v/>
      </c>
    </row>
    <row r="900">
      <c r="C900" s="136" t="str">
        <f>IFERROR(__xludf.DUMMYFUNCTION("""COMPUTED_VALUE"""),"")</f>
        <v/>
      </c>
      <c r="D900" s="136" t="str">
        <f t="shared" si="3"/>
        <v/>
      </c>
      <c r="E900" s="152" t="str">
        <f>IFERROR(__xludf.DUMMYFUNCTION("""COMPUTED_VALUE"""),"")</f>
        <v/>
      </c>
      <c r="F900" s="106" t="s">
        <v>133</v>
      </c>
      <c r="G900" s="152" t="str">
        <f>IFERROR(__xludf.DUMMYFUNCTION("""COMPUTED_VALUE"""),"")</f>
        <v/>
      </c>
      <c r="H900" s="106" t="s">
        <v>133</v>
      </c>
      <c r="I900" s="136"/>
      <c r="J900" s="139" t="s">
        <v>133</v>
      </c>
      <c r="K900" s="136" t="s">
        <v>133</v>
      </c>
      <c r="L900" s="153" t="str">
        <f>IFERROR(__xludf.DUMMYFUNCTION("""COMPUTED_VALUE"""),"")</f>
        <v/>
      </c>
      <c r="M900" s="136" t="str">
        <f t="shared" si="1"/>
        <v/>
      </c>
      <c r="N900" s="136" t="str">
        <f>IFERROR(__xludf.DUMMYFUNCTION("""COMPUTED_VALUE"""),"")</f>
        <v/>
      </c>
      <c r="O900" s="141" t="s">
        <v>133</v>
      </c>
      <c r="P900" s="136" t="str">
        <f>IFERROR(__xludf.DUMMYFUNCTION("""COMPUTED_VALUE"""),"")</f>
        <v/>
      </c>
      <c r="Q900" s="136" t="str">
        <f>IFERROR(__xludf.DUMMYFUNCTION("""COMPUTED_VALUE"""),"")</f>
        <v/>
      </c>
      <c r="R900" s="106" t="str">
        <f>IFERROR(__xludf.DUMMYFUNCTION("""COMPUTED_VALUE"""),"")</f>
        <v/>
      </c>
      <c r="S900" s="106" t="str">
        <f>IFERROR(__xludf.DUMMYFUNCTION("""COMPUTED_VALUE"""),"")</f>
        <v/>
      </c>
      <c r="T900" s="139" t="str">
        <f>IFERROR(__xludf.DUMMYFUNCTION("""COMPUTED_VALUE"""),"")</f>
        <v/>
      </c>
      <c r="U900" s="139" t="str">
        <f>IFERROR(__xludf.DUMMYFUNCTION("""COMPUTED_VALUE"""),"")</f>
        <v/>
      </c>
      <c r="V900" s="136" t="str">
        <f>IFERROR(__xludf.DUMMYFUNCTION("""COMPUTED_VALUE"""),"")</f>
        <v/>
      </c>
      <c r="W900" s="106" t="str">
        <f>IFERROR(__xludf.DUMMYFUNCTION("""COMPUTED_VALUE"""),"")</f>
        <v/>
      </c>
      <c r="X900" s="143" t="str">
        <f t="shared" si="2"/>
        <v/>
      </c>
      <c r="Y900" s="139" t="str">
        <f>IFERROR(__xludf.DUMMYFUNCTION("""COMPUTED_VALUE"""),"")</f>
        <v/>
      </c>
      <c r="Z900" s="141" t="str">
        <f>IFERROR(__xludf.DUMMYFUNCTION("""COMPUTED_VALUE"""),"")</f>
        <v/>
      </c>
    </row>
    <row r="901">
      <c r="C901" s="136" t="str">
        <f>IFERROR(__xludf.DUMMYFUNCTION("""COMPUTED_VALUE"""),"")</f>
        <v/>
      </c>
      <c r="D901" s="136" t="str">
        <f t="shared" si="3"/>
        <v/>
      </c>
      <c r="E901" s="152" t="str">
        <f>IFERROR(__xludf.DUMMYFUNCTION("""COMPUTED_VALUE"""),"")</f>
        <v/>
      </c>
      <c r="F901" s="106" t="s">
        <v>133</v>
      </c>
      <c r="G901" s="152" t="str">
        <f>IFERROR(__xludf.DUMMYFUNCTION("""COMPUTED_VALUE"""),"")</f>
        <v/>
      </c>
      <c r="H901" s="106" t="s">
        <v>133</v>
      </c>
      <c r="I901" s="136"/>
      <c r="J901" s="139" t="s">
        <v>133</v>
      </c>
      <c r="K901" s="136" t="s">
        <v>133</v>
      </c>
      <c r="L901" s="153" t="str">
        <f>IFERROR(__xludf.DUMMYFUNCTION("""COMPUTED_VALUE"""),"")</f>
        <v/>
      </c>
      <c r="M901" s="136" t="str">
        <f t="shared" si="1"/>
        <v/>
      </c>
      <c r="N901" s="136" t="str">
        <f>IFERROR(__xludf.DUMMYFUNCTION("""COMPUTED_VALUE"""),"")</f>
        <v/>
      </c>
      <c r="O901" s="141" t="s">
        <v>133</v>
      </c>
      <c r="P901" s="136" t="str">
        <f>IFERROR(__xludf.DUMMYFUNCTION("""COMPUTED_VALUE"""),"")</f>
        <v/>
      </c>
      <c r="Q901" s="136" t="str">
        <f>IFERROR(__xludf.DUMMYFUNCTION("""COMPUTED_VALUE"""),"")</f>
        <v/>
      </c>
      <c r="R901" s="106" t="str">
        <f>IFERROR(__xludf.DUMMYFUNCTION("""COMPUTED_VALUE"""),"")</f>
        <v/>
      </c>
      <c r="S901" s="106" t="str">
        <f>IFERROR(__xludf.DUMMYFUNCTION("""COMPUTED_VALUE"""),"")</f>
        <v/>
      </c>
      <c r="T901" s="139" t="str">
        <f>IFERROR(__xludf.DUMMYFUNCTION("""COMPUTED_VALUE"""),"")</f>
        <v/>
      </c>
      <c r="U901" s="139" t="str">
        <f>IFERROR(__xludf.DUMMYFUNCTION("""COMPUTED_VALUE"""),"")</f>
        <v/>
      </c>
      <c r="V901" s="136" t="str">
        <f>IFERROR(__xludf.DUMMYFUNCTION("""COMPUTED_VALUE"""),"")</f>
        <v/>
      </c>
      <c r="W901" s="106" t="str">
        <f>IFERROR(__xludf.DUMMYFUNCTION("""COMPUTED_VALUE"""),"")</f>
        <v/>
      </c>
      <c r="X901" s="143" t="str">
        <f t="shared" si="2"/>
        <v/>
      </c>
      <c r="Y901" s="139" t="str">
        <f>IFERROR(__xludf.DUMMYFUNCTION("""COMPUTED_VALUE"""),"")</f>
        <v/>
      </c>
      <c r="Z901" s="141" t="str">
        <f>IFERROR(__xludf.DUMMYFUNCTION("""COMPUTED_VALUE"""),"")</f>
        <v/>
      </c>
    </row>
    <row r="902">
      <c r="C902" s="136" t="str">
        <f>IFERROR(__xludf.DUMMYFUNCTION("""COMPUTED_VALUE"""),"")</f>
        <v/>
      </c>
      <c r="D902" s="136" t="str">
        <f t="shared" si="3"/>
        <v/>
      </c>
      <c r="E902" s="152" t="str">
        <f>IFERROR(__xludf.DUMMYFUNCTION("""COMPUTED_VALUE"""),"")</f>
        <v/>
      </c>
      <c r="F902" s="106" t="s">
        <v>133</v>
      </c>
      <c r="G902" s="152" t="str">
        <f>IFERROR(__xludf.DUMMYFUNCTION("""COMPUTED_VALUE"""),"")</f>
        <v/>
      </c>
      <c r="H902" s="106" t="s">
        <v>133</v>
      </c>
      <c r="I902" s="136"/>
      <c r="J902" s="139" t="s">
        <v>133</v>
      </c>
      <c r="K902" s="136" t="s">
        <v>133</v>
      </c>
      <c r="L902" s="153" t="str">
        <f>IFERROR(__xludf.DUMMYFUNCTION("""COMPUTED_VALUE"""),"")</f>
        <v/>
      </c>
      <c r="M902" s="136" t="str">
        <f t="shared" si="1"/>
        <v/>
      </c>
      <c r="N902" s="136" t="str">
        <f>IFERROR(__xludf.DUMMYFUNCTION("""COMPUTED_VALUE"""),"")</f>
        <v/>
      </c>
      <c r="O902" s="141" t="s">
        <v>133</v>
      </c>
      <c r="P902" s="136" t="str">
        <f>IFERROR(__xludf.DUMMYFUNCTION("""COMPUTED_VALUE"""),"")</f>
        <v/>
      </c>
      <c r="Q902" s="136" t="str">
        <f>IFERROR(__xludf.DUMMYFUNCTION("""COMPUTED_VALUE"""),"")</f>
        <v/>
      </c>
      <c r="R902" s="106" t="str">
        <f>IFERROR(__xludf.DUMMYFUNCTION("""COMPUTED_VALUE"""),"")</f>
        <v/>
      </c>
      <c r="S902" s="106" t="str">
        <f>IFERROR(__xludf.DUMMYFUNCTION("""COMPUTED_VALUE"""),"")</f>
        <v/>
      </c>
      <c r="T902" s="139" t="str">
        <f>IFERROR(__xludf.DUMMYFUNCTION("""COMPUTED_VALUE"""),"")</f>
        <v/>
      </c>
      <c r="U902" s="139" t="str">
        <f>IFERROR(__xludf.DUMMYFUNCTION("""COMPUTED_VALUE"""),"")</f>
        <v/>
      </c>
      <c r="V902" s="136" t="str">
        <f>IFERROR(__xludf.DUMMYFUNCTION("""COMPUTED_VALUE"""),"")</f>
        <v/>
      </c>
      <c r="W902" s="106" t="str">
        <f>IFERROR(__xludf.DUMMYFUNCTION("""COMPUTED_VALUE"""),"")</f>
        <v/>
      </c>
      <c r="X902" s="143" t="str">
        <f t="shared" si="2"/>
        <v/>
      </c>
      <c r="Y902" s="139" t="str">
        <f>IFERROR(__xludf.DUMMYFUNCTION("""COMPUTED_VALUE"""),"")</f>
        <v/>
      </c>
      <c r="Z902" s="141" t="str">
        <f>IFERROR(__xludf.DUMMYFUNCTION("""COMPUTED_VALUE"""),"")</f>
        <v/>
      </c>
    </row>
    <row r="903">
      <c r="C903" s="136" t="str">
        <f>IFERROR(__xludf.DUMMYFUNCTION("""COMPUTED_VALUE"""),"")</f>
        <v/>
      </c>
      <c r="D903" s="136" t="str">
        <f t="shared" si="3"/>
        <v/>
      </c>
      <c r="E903" s="152" t="str">
        <f>IFERROR(__xludf.DUMMYFUNCTION("""COMPUTED_VALUE"""),"")</f>
        <v/>
      </c>
      <c r="F903" s="106" t="s">
        <v>133</v>
      </c>
      <c r="G903" s="152" t="str">
        <f>IFERROR(__xludf.DUMMYFUNCTION("""COMPUTED_VALUE"""),"")</f>
        <v/>
      </c>
      <c r="H903" s="106" t="s">
        <v>133</v>
      </c>
      <c r="I903" s="136"/>
      <c r="J903" s="139" t="s">
        <v>133</v>
      </c>
      <c r="K903" s="136" t="s">
        <v>133</v>
      </c>
      <c r="L903" s="153" t="str">
        <f>IFERROR(__xludf.DUMMYFUNCTION("""COMPUTED_VALUE"""),"")</f>
        <v/>
      </c>
      <c r="M903" s="136" t="str">
        <f t="shared" si="1"/>
        <v/>
      </c>
      <c r="N903" s="136" t="str">
        <f>IFERROR(__xludf.DUMMYFUNCTION("""COMPUTED_VALUE"""),"")</f>
        <v/>
      </c>
      <c r="O903" s="141" t="s">
        <v>133</v>
      </c>
      <c r="P903" s="136" t="str">
        <f>IFERROR(__xludf.DUMMYFUNCTION("""COMPUTED_VALUE"""),"")</f>
        <v/>
      </c>
      <c r="Q903" s="136" t="str">
        <f>IFERROR(__xludf.DUMMYFUNCTION("""COMPUTED_VALUE"""),"")</f>
        <v/>
      </c>
      <c r="R903" s="106" t="str">
        <f>IFERROR(__xludf.DUMMYFUNCTION("""COMPUTED_VALUE"""),"")</f>
        <v/>
      </c>
      <c r="S903" s="106" t="str">
        <f>IFERROR(__xludf.DUMMYFUNCTION("""COMPUTED_VALUE"""),"")</f>
        <v/>
      </c>
      <c r="T903" s="139" t="str">
        <f>IFERROR(__xludf.DUMMYFUNCTION("""COMPUTED_VALUE"""),"")</f>
        <v/>
      </c>
      <c r="U903" s="139" t="str">
        <f>IFERROR(__xludf.DUMMYFUNCTION("""COMPUTED_VALUE"""),"")</f>
        <v/>
      </c>
      <c r="V903" s="136" t="str">
        <f>IFERROR(__xludf.DUMMYFUNCTION("""COMPUTED_VALUE"""),"")</f>
        <v/>
      </c>
      <c r="W903" s="106" t="str">
        <f>IFERROR(__xludf.DUMMYFUNCTION("""COMPUTED_VALUE"""),"")</f>
        <v/>
      </c>
      <c r="X903" s="143" t="str">
        <f t="shared" si="2"/>
        <v/>
      </c>
      <c r="Y903" s="139" t="str">
        <f>IFERROR(__xludf.DUMMYFUNCTION("""COMPUTED_VALUE"""),"")</f>
        <v/>
      </c>
      <c r="Z903" s="141" t="str">
        <f>IFERROR(__xludf.DUMMYFUNCTION("""COMPUTED_VALUE"""),"")</f>
        <v/>
      </c>
    </row>
    <row r="904">
      <c r="C904" s="136" t="str">
        <f>IFERROR(__xludf.DUMMYFUNCTION("""COMPUTED_VALUE"""),"")</f>
        <v/>
      </c>
      <c r="D904" s="136" t="str">
        <f t="shared" si="3"/>
        <v/>
      </c>
      <c r="E904" s="152" t="str">
        <f>IFERROR(__xludf.DUMMYFUNCTION("""COMPUTED_VALUE"""),"")</f>
        <v/>
      </c>
      <c r="F904" s="106" t="s">
        <v>133</v>
      </c>
      <c r="G904" s="152" t="str">
        <f>IFERROR(__xludf.DUMMYFUNCTION("""COMPUTED_VALUE"""),"")</f>
        <v/>
      </c>
      <c r="H904" s="106" t="s">
        <v>133</v>
      </c>
      <c r="I904" s="136"/>
      <c r="J904" s="139" t="s">
        <v>133</v>
      </c>
      <c r="K904" s="136" t="s">
        <v>133</v>
      </c>
      <c r="L904" s="153" t="str">
        <f>IFERROR(__xludf.DUMMYFUNCTION("""COMPUTED_VALUE"""),"")</f>
        <v/>
      </c>
      <c r="M904" s="136" t="str">
        <f t="shared" si="1"/>
        <v/>
      </c>
      <c r="N904" s="136" t="str">
        <f>IFERROR(__xludf.DUMMYFUNCTION("""COMPUTED_VALUE"""),"")</f>
        <v/>
      </c>
      <c r="O904" s="141" t="s">
        <v>133</v>
      </c>
      <c r="P904" s="136" t="str">
        <f>IFERROR(__xludf.DUMMYFUNCTION("""COMPUTED_VALUE"""),"")</f>
        <v/>
      </c>
      <c r="Q904" s="136" t="str">
        <f>IFERROR(__xludf.DUMMYFUNCTION("""COMPUTED_VALUE"""),"")</f>
        <v/>
      </c>
      <c r="R904" s="106" t="str">
        <f>IFERROR(__xludf.DUMMYFUNCTION("""COMPUTED_VALUE"""),"")</f>
        <v/>
      </c>
      <c r="S904" s="106" t="str">
        <f>IFERROR(__xludf.DUMMYFUNCTION("""COMPUTED_VALUE"""),"")</f>
        <v/>
      </c>
      <c r="T904" s="139" t="str">
        <f>IFERROR(__xludf.DUMMYFUNCTION("""COMPUTED_VALUE"""),"")</f>
        <v/>
      </c>
      <c r="U904" s="139" t="str">
        <f>IFERROR(__xludf.DUMMYFUNCTION("""COMPUTED_VALUE"""),"")</f>
        <v/>
      </c>
      <c r="V904" s="136" t="str">
        <f>IFERROR(__xludf.DUMMYFUNCTION("""COMPUTED_VALUE"""),"")</f>
        <v/>
      </c>
      <c r="W904" s="106" t="str">
        <f>IFERROR(__xludf.DUMMYFUNCTION("""COMPUTED_VALUE"""),"")</f>
        <v/>
      </c>
      <c r="X904" s="143" t="str">
        <f t="shared" si="2"/>
        <v/>
      </c>
      <c r="Y904" s="139" t="str">
        <f>IFERROR(__xludf.DUMMYFUNCTION("""COMPUTED_VALUE"""),"")</f>
        <v/>
      </c>
      <c r="Z904" s="141" t="str">
        <f>IFERROR(__xludf.DUMMYFUNCTION("""COMPUTED_VALUE"""),"")</f>
        <v/>
      </c>
    </row>
    <row r="905">
      <c r="C905" s="136" t="str">
        <f>IFERROR(__xludf.DUMMYFUNCTION("""COMPUTED_VALUE"""),"")</f>
        <v/>
      </c>
      <c r="D905" s="136" t="str">
        <f t="shared" si="3"/>
        <v/>
      </c>
      <c r="E905" s="152" t="str">
        <f>IFERROR(__xludf.DUMMYFUNCTION("""COMPUTED_VALUE"""),"")</f>
        <v/>
      </c>
      <c r="F905" s="106" t="s">
        <v>133</v>
      </c>
      <c r="G905" s="152" t="str">
        <f>IFERROR(__xludf.DUMMYFUNCTION("""COMPUTED_VALUE"""),"")</f>
        <v/>
      </c>
      <c r="H905" s="106" t="s">
        <v>133</v>
      </c>
      <c r="I905" s="136"/>
      <c r="J905" s="139" t="s">
        <v>133</v>
      </c>
      <c r="K905" s="136" t="s">
        <v>133</v>
      </c>
      <c r="L905" s="153" t="str">
        <f>IFERROR(__xludf.DUMMYFUNCTION("""COMPUTED_VALUE"""),"")</f>
        <v/>
      </c>
      <c r="M905" s="136" t="str">
        <f t="shared" si="1"/>
        <v/>
      </c>
      <c r="N905" s="136" t="str">
        <f>IFERROR(__xludf.DUMMYFUNCTION("""COMPUTED_VALUE"""),"")</f>
        <v/>
      </c>
      <c r="O905" s="141" t="s">
        <v>133</v>
      </c>
      <c r="P905" s="136" t="str">
        <f>IFERROR(__xludf.DUMMYFUNCTION("""COMPUTED_VALUE"""),"")</f>
        <v/>
      </c>
      <c r="Q905" s="136" t="str">
        <f>IFERROR(__xludf.DUMMYFUNCTION("""COMPUTED_VALUE"""),"")</f>
        <v/>
      </c>
      <c r="R905" s="106" t="str">
        <f>IFERROR(__xludf.DUMMYFUNCTION("""COMPUTED_VALUE"""),"")</f>
        <v/>
      </c>
      <c r="S905" s="106" t="str">
        <f>IFERROR(__xludf.DUMMYFUNCTION("""COMPUTED_VALUE"""),"")</f>
        <v/>
      </c>
      <c r="T905" s="139" t="str">
        <f>IFERROR(__xludf.DUMMYFUNCTION("""COMPUTED_VALUE"""),"")</f>
        <v/>
      </c>
      <c r="U905" s="139" t="str">
        <f>IFERROR(__xludf.DUMMYFUNCTION("""COMPUTED_VALUE"""),"")</f>
        <v/>
      </c>
      <c r="V905" s="136" t="str">
        <f>IFERROR(__xludf.DUMMYFUNCTION("""COMPUTED_VALUE"""),"")</f>
        <v/>
      </c>
      <c r="W905" s="106" t="str">
        <f>IFERROR(__xludf.DUMMYFUNCTION("""COMPUTED_VALUE"""),"")</f>
        <v/>
      </c>
      <c r="X905" s="143" t="str">
        <f t="shared" si="2"/>
        <v/>
      </c>
      <c r="Y905" s="139" t="str">
        <f>IFERROR(__xludf.DUMMYFUNCTION("""COMPUTED_VALUE"""),"")</f>
        <v/>
      </c>
      <c r="Z905" s="141" t="str">
        <f>IFERROR(__xludf.DUMMYFUNCTION("""COMPUTED_VALUE"""),"")</f>
        <v/>
      </c>
    </row>
    <row r="906">
      <c r="C906" s="136" t="str">
        <f>IFERROR(__xludf.DUMMYFUNCTION("""COMPUTED_VALUE"""),"")</f>
        <v/>
      </c>
      <c r="D906" s="136" t="str">
        <f t="shared" si="3"/>
        <v/>
      </c>
      <c r="E906" s="152" t="str">
        <f>IFERROR(__xludf.DUMMYFUNCTION("""COMPUTED_VALUE"""),"")</f>
        <v/>
      </c>
      <c r="F906" s="106" t="s">
        <v>133</v>
      </c>
      <c r="G906" s="152" t="str">
        <f>IFERROR(__xludf.DUMMYFUNCTION("""COMPUTED_VALUE"""),"")</f>
        <v/>
      </c>
      <c r="H906" s="106" t="s">
        <v>133</v>
      </c>
      <c r="I906" s="136"/>
      <c r="J906" s="139" t="s">
        <v>133</v>
      </c>
      <c r="K906" s="136" t="s">
        <v>133</v>
      </c>
      <c r="L906" s="153" t="str">
        <f>IFERROR(__xludf.DUMMYFUNCTION("""COMPUTED_VALUE"""),"")</f>
        <v/>
      </c>
      <c r="M906" s="136" t="str">
        <f t="shared" si="1"/>
        <v/>
      </c>
      <c r="N906" s="136" t="str">
        <f>IFERROR(__xludf.DUMMYFUNCTION("""COMPUTED_VALUE"""),"")</f>
        <v/>
      </c>
      <c r="O906" s="141" t="s">
        <v>133</v>
      </c>
      <c r="P906" s="136" t="str">
        <f>IFERROR(__xludf.DUMMYFUNCTION("""COMPUTED_VALUE"""),"")</f>
        <v/>
      </c>
      <c r="Q906" s="136" t="str">
        <f>IFERROR(__xludf.DUMMYFUNCTION("""COMPUTED_VALUE"""),"")</f>
        <v/>
      </c>
      <c r="R906" s="106" t="str">
        <f>IFERROR(__xludf.DUMMYFUNCTION("""COMPUTED_VALUE"""),"")</f>
        <v/>
      </c>
      <c r="S906" s="106" t="str">
        <f>IFERROR(__xludf.DUMMYFUNCTION("""COMPUTED_VALUE"""),"")</f>
        <v/>
      </c>
      <c r="T906" s="139" t="str">
        <f>IFERROR(__xludf.DUMMYFUNCTION("""COMPUTED_VALUE"""),"")</f>
        <v/>
      </c>
      <c r="U906" s="139" t="str">
        <f>IFERROR(__xludf.DUMMYFUNCTION("""COMPUTED_VALUE"""),"")</f>
        <v/>
      </c>
      <c r="V906" s="136" t="str">
        <f>IFERROR(__xludf.DUMMYFUNCTION("""COMPUTED_VALUE"""),"")</f>
        <v/>
      </c>
      <c r="W906" s="106" t="str">
        <f>IFERROR(__xludf.DUMMYFUNCTION("""COMPUTED_VALUE"""),"")</f>
        <v/>
      </c>
      <c r="X906" s="143" t="str">
        <f t="shared" si="2"/>
        <v/>
      </c>
      <c r="Y906" s="139" t="str">
        <f>IFERROR(__xludf.DUMMYFUNCTION("""COMPUTED_VALUE"""),"")</f>
        <v/>
      </c>
      <c r="Z906" s="141" t="str">
        <f>IFERROR(__xludf.DUMMYFUNCTION("""COMPUTED_VALUE"""),"")</f>
        <v/>
      </c>
    </row>
    <row r="907">
      <c r="C907" s="136" t="str">
        <f>IFERROR(__xludf.DUMMYFUNCTION("""COMPUTED_VALUE"""),"")</f>
        <v/>
      </c>
      <c r="D907" s="136" t="str">
        <f t="shared" si="3"/>
        <v/>
      </c>
      <c r="E907" s="152" t="str">
        <f>IFERROR(__xludf.DUMMYFUNCTION("""COMPUTED_VALUE"""),"")</f>
        <v/>
      </c>
      <c r="F907" s="106" t="s">
        <v>133</v>
      </c>
      <c r="G907" s="152" t="str">
        <f>IFERROR(__xludf.DUMMYFUNCTION("""COMPUTED_VALUE"""),"")</f>
        <v/>
      </c>
      <c r="H907" s="106" t="s">
        <v>133</v>
      </c>
      <c r="I907" s="136"/>
      <c r="J907" s="139" t="s">
        <v>133</v>
      </c>
      <c r="K907" s="136" t="s">
        <v>133</v>
      </c>
      <c r="L907" s="153" t="str">
        <f>IFERROR(__xludf.DUMMYFUNCTION("""COMPUTED_VALUE"""),"")</f>
        <v/>
      </c>
      <c r="M907" s="136" t="str">
        <f t="shared" si="1"/>
        <v/>
      </c>
      <c r="N907" s="136" t="str">
        <f>IFERROR(__xludf.DUMMYFUNCTION("""COMPUTED_VALUE"""),"")</f>
        <v/>
      </c>
      <c r="O907" s="141" t="s">
        <v>133</v>
      </c>
      <c r="P907" s="136" t="str">
        <f>IFERROR(__xludf.DUMMYFUNCTION("""COMPUTED_VALUE"""),"")</f>
        <v/>
      </c>
      <c r="Q907" s="136" t="str">
        <f>IFERROR(__xludf.DUMMYFUNCTION("""COMPUTED_VALUE"""),"")</f>
        <v/>
      </c>
      <c r="R907" s="106" t="str">
        <f>IFERROR(__xludf.DUMMYFUNCTION("""COMPUTED_VALUE"""),"")</f>
        <v/>
      </c>
      <c r="S907" s="106" t="str">
        <f>IFERROR(__xludf.DUMMYFUNCTION("""COMPUTED_VALUE"""),"")</f>
        <v/>
      </c>
      <c r="T907" s="139" t="str">
        <f>IFERROR(__xludf.DUMMYFUNCTION("""COMPUTED_VALUE"""),"")</f>
        <v/>
      </c>
      <c r="U907" s="139" t="str">
        <f>IFERROR(__xludf.DUMMYFUNCTION("""COMPUTED_VALUE"""),"")</f>
        <v/>
      </c>
      <c r="V907" s="136" t="str">
        <f>IFERROR(__xludf.DUMMYFUNCTION("""COMPUTED_VALUE"""),"")</f>
        <v/>
      </c>
      <c r="W907" s="106" t="str">
        <f>IFERROR(__xludf.DUMMYFUNCTION("""COMPUTED_VALUE"""),"")</f>
        <v/>
      </c>
      <c r="X907" s="143" t="str">
        <f t="shared" si="2"/>
        <v/>
      </c>
      <c r="Y907" s="139" t="str">
        <f>IFERROR(__xludf.DUMMYFUNCTION("""COMPUTED_VALUE"""),"")</f>
        <v/>
      </c>
      <c r="Z907" s="141" t="str">
        <f>IFERROR(__xludf.DUMMYFUNCTION("""COMPUTED_VALUE"""),"")</f>
        <v/>
      </c>
    </row>
    <row r="908">
      <c r="C908" s="136" t="str">
        <f>IFERROR(__xludf.DUMMYFUNCTION("""COMPUTED_VALUE"""),"")</f>
        <v/>
      </c>
      <c r="D908" s="136" t="str">
        <f t="shared" si="3"/>
        <v/>
      </c>
      <c r="E908" s="152" t="str">
        <f>IFERROR(__xludf.DUMMYFUNCTION("""COMPUTED_VALUE"""),"")</f>
        <v/>
      </c>
      <c r="F908" s="106" t="s">
        <v>133</v>
      </c>
      <c r="G908" s="152" t="str">
        <f>IFERROR(__xludf.DUMMYFUNCTION("""COMPUTED_VALUE"""),"")</f>
        <v/>
      </c>
      <c r="H908" s="106" t="s">
        <v>133</v>
      </c>
      <c r="I908" s="136"/>
      <c r="J908" s="139" t="s">
        <v>133</v>
      </c>
      <c r="K908" s="136" t="s">
        <v>133</v>
      </c>
      <c r="L908" s="153" t="str">
        <f>IFERROR(__xludf.DUMMYFUNCTION("""COMPUTED_VALUE"""),"")</f>
        <v/>
      </c>
      <c r="M908" s="136" t="str">
        <f t="shared" si="1"/>
        <v/>
      </c>
      <c r="N908" s="136" t="str">
        <f>IFERROR(__xludf.DUMMYFUNCTION("""COMPUTED_VALUE"""),"")</f>
        <v/>
      </c>
      <c r="O908" s="141" t="s">
        <v>133</v>
      </c>
      <c r="P908" s="136" t="str">
        <f>IFERROR(__xludf.DUMMYFUNCTION("""COMPUTED_VALUE"""),"")</f>
        <v/>
      </c>
      <c r="Q908" s="136" t="str">
        <f>IFERROR(__xludf.DUMMYFUNCTION("""COMPUTED_VALUE"""),"")</f>
        <v/>
      </c>
      <c r="R908" s="106" t="str">
        <f>IFERROR(__xludf.DUMMYFUNCTION("""COMPUTED_VALUE"""),"")</f>
        <v/>
      </c>
      <c r="S908" s="106" t="str">
        <f>IFERROR(__xludf.DUMMYFUNCTION("""COMPUTED_VALUE"""),"")</f>
        <v/>
      </c>
      <c r="T908" s="139" t="str">
        <f>IFERROR(__xludf.DUMMYFUNCTION("""COMPUTED_VALUE"""),"")</f>
        <v/>
      </c>
      <c r="U908" s="139" t="str">
        <f>IFERROR(__xludf.DUMMYFUNCTION("""COMPUTED_VALUE"""),"")</f>
        <v/>
      </c>
      <c r="V908" s="136" t="str">
        <f>IFERROR(__xludf.DUMMYFUNCTION("""COMPUTED_VALUE"""),"")</f>
        <v/>
      </c>
      <c r="W908" s="106" t="str">
        <f>IFERROR(__xludf.DUMMYFUNCTION("""COMPUTED_VALUE"""),"")</f>
        <v/>
      </c>
      <c r="X908" s="143" t="str">
        <f t="shared" si="2"/>
        <v/>
      </c>
      <c r="Y908" s="139" t="str">
        <f>IFERROR(__xludf.DUMMYFUNCTION("""COMPUTED_VALUE"""),"")</f>
        <v/>
      </c>
      <c r="Z908" s="141" t="str">
        <f>IFERROR(__xludf.DUMMYFUNCTION("""COMPUTED_VALUE"""),"")</f>
        <v/>
      </c>
    </row>
    <row r="909">
      <c r="C909" s="136" t="str">
        <f>IFERROR(__xludf.DUMMYFUNCTION("""COMPUTED_VALUE"""),"")</f>
        <v/>
      </c>
      <c r="D909" s="136" t="str">
        <f t="shared" si="3"/>
        <v/>
      </c>
      <c r="E909" s="152" t="str">
        <f>IFERROR(__xludf.DUMMYFUNCTION("""COMPUTED_VALUE"""),"")</f>
        <v/>
      </c>
      <c r="F909" s="106" t="s">
        <v>133</v>
      </c>
      <c r="G909" s="152" t="str">
        <f>IFERROR(__xludf.DUMMYFUNCTION("""COMPUTED_VALUE"""),"")</f>
        <v/>
      </c>
      <c r="H909" s="106" t="s">
        <v>133</v>
      </c>
      <c r="I909" s="136"/>
      <c r="J909" s="139" t="s">
        <v>133</v>
      </c>
      <c r="K909" s="136" t="s">
        <v>133</v>
      </c>
      <c r="L909" s="153" t="str">
        <f>IFERROR(__xludf.DUMMYFUNCTION("""COMPUTED_VALUE"""),"")</f>
        <v/>
      </c>
      <c r="M909" s="136" t="str">
        <f t="shared" si="1"/>
        <v/>
      </c>
      <c r="N909" s="136" t="str">
        <f>IFERROR(__xludf.DUMMYFUNCTION("""COMPUTED_VALUE"""),"")</f>
        <v/>
      </c>
      <c r="O909" s="141" t="s">
        <v>133</v>
      </c>
      <c r="P909" s="136" t="str">
        <f>IFERROR(__xludf.DUMMYFUNCTION("""COMPUTED_VALUE"""),"")</f>
        <v/>
      </c>
      <c r="Q909" s="136" t="str">
        <f>IFERROR(__xludf.DUMMYFUNCTION("""COMPUTED_VALUE"""),"")</f>
        <v/>
      </c>
      <c r="R909" s="106" t="str">
        <f>IFERROR(__xludf.DUMMYFUNCTION("""COMPUTED_VALUE"""),"")</f>
        <v/>
      </c>
      <c r="S909" s="106" t="str">
        <f>IFERROR(__xludf.DUMMYFUNCTION("""COMPUTED_VALUE"""),"")</f>
        <v/>
      </c>
      <c r="T909" s="139" t="str">
        <f>IFERROR(__xludf.DUMMYFUNCTION("""COMPUTED_VALUE"""),"")</f>
        <v/>
      </c>
      <c r="U909" s="139" t="str">
        <f>IFERROR(__xludf.DUMMYFUNCTION("""COMPUTED_VALUE"""),"")</f>
        <v/>
      </c>
      <c r="V909" s="136" t="str">
        <f>IFERROR(__xludf.DUMMYFUNCTION("""COMPUTED_VALUE"""),"")</f>
        <v/>
      </c>
      <c r="W909" s="106" t="str">
        <f>IFERROR(__xludf.DUMMYFUNCTION("""COMPUTED_VALUE"""),"")</f>
        <v/>
      </c>
      <c r="X909" s="143" t="str">
        <f t="shared" si="2"/>
        <v/>
      </c>
      <c r="Y909" s="139" t="str">
        <f>IFERROR(__xludf.DUMMYFUNCTION("""COMPUTED_VALUE"""),"")</f>
        <v/>
      </c>
      <c r="Z909" s="141" t="str">
        <f>IFERROR(__xludf.DUMMYFUNCTION("""COMPUTED_VALUE"""),"")</f>
        <v/>
      </c>
    </row>
    <row r="910">
      <c r="C910" s="136" t="str">
        <f>IFERROR(__xludf.DUMMYFUNCTION("""COMPUTED_VALUE"""),"")</f>
        <v/>
      </c>
      <c r="D910" s="136" t="str">
        <f t="shared" si="3"/>
        <v/>
      </c>
      <c r="E910" s="152" t="str">
        <f>IFERROR(__xludf.DUMMYFUNCTION("""COMPUTED_VALUE"""),"")</f>
        <v/>
      </c>
      <c r="F910" s="106" t="s">
        <v>133</v>
      </c>
      <c r="G910" s="152" t="str">
        <f>IFERROR(__xludf.DUMMYFUNCTION("""COMPUTED_VALUE"""),"")</f>
        <v/>
      </c>
      <c r="H910" s="106" t="s">
        <v>133</v>
      </c>
      <c r="I910" s="136"/>
      <c r="J910" s="139" t="s">
        <v>133</v>
      </c>
      <c r="K910" s="136" t="s">
        <v>133</v>
      </c>
      <c r="L910" s="153" t="str">
        <f>IFERROR(__xludf.DUMMYFUNCTION("""COMPUTED_VALUE"""),"")</f>
        <v/>
      </c>
      <c r="M910" s="136" t="str">
        <f t="shared" si="1"/>
        <v/>
      </c>
      <c r="N910" s="136" t="str">
        <f>IFERROR(__xludf.DUMMYFUNCTION("""COMPUTED_VALUE"""),"")</f>
        <v/>
      </c>
      <c r="O910" s="141" t="s">
        <v>133</v>
      </c>
      <c r="P910" s="136" t="str">
        <f>IFERROR(__xludf.DUMMYFUNCTION("""COMPUTED_VALUE"""),"")</f>
        <v/>
      </c>
      <c r="Q910" s="136" t="str">
        <f>IFERROR(__xludf.DUMMYFUNCTION("""COMPUTED_VALUE"""),"")</f>
        <v/>
      </c>
      <c r="R910" s="106" t="str">
        <f>IFERROR(__xludf.DUMMYFUNCTION("""COMPUTED_VALUE"""),"")</f>
        <v/>
      </c>
      <c r="S910" s="106" t="str">
        <f>IFERROR(__xludf.DUMMYFUNCTION("""COMPUTED_VALUE"""),"")</f>
        <v/>
      </c>
      <c r="T910" s="139" t="str">
        <f>IFERROR(__xludf.DUMMYFUNCTION("""COMPUTED_VALUE"""),"")</f>
        <v/>
      </c>
      <c r="U910" s="139" t="str">
        <f>IFERROR(__xludf.DUMMYFUNCTION("""COMPUTED_VALUE"""),"")</f>
        <v/>
      </c>
      <c r="V910" s="136" t="str">
        <f>IFERROR(__xludf.DUMMYFUNCTION("""COMPUTED_VALUE"""),"")</f>
        <v/>
      </c>
      <c r="W910" s="106" t="str">
        <f>IFERROR(__xludf.DUMMYFUNCTION("""COMPUTED_VALUE"""),"")</f>
        <v/>
      </c>
      <c r="X910" s="143" t="str">
        <f t="shared" si="2"/>
        <v/>
      </c>
      <c r="Y910" s="139" t="str">
        <f>IFERROR(__xludf.DUMMYFUNCTION("""COMPUTED_VALUE"""),"")</f>
        <v/>
      </c>
      <c r="Z910" s="141" t="str">
        <f>IFERROR(__xludf.DUMMYFUNCTION("""COMPUTED_VALUE"""),"")</f>
        <v/>
      </c>
    </row>
    <row r="911">
      <c r="C911" s="136" t="str">
        <f>IFERROR(__xludf.DUMMYFUNCTION("""COMPUTED_VALUE"""),"")</f>
        <v/>
      </c>
      <c r="D911" s="136" t="str">
        <f t="shared" si="3"/>
        <v/>
      </c>
      <c r="E911" s="152" t="str">
        <f>IFERROR(__xludf.DUMMYFUNCTION("""COMPUTED_VALUE"""),"")</f>
        <v/>
      </c>
      <c r="F911" s="106" t="s">
        <v>133</v>
      </c>
      <c r="G911" s="152" t="str">
        <f>IFERROR(__xludf.DUMMYFUNCTION("""COMPUTED_VALUE"""),"")</f>
        <v/>
      </c>
      <c r="H911" s="106" t="s">
        <v>133</v>
      </c>
      <c r="I911" s="136"/>
      <c r="J911" s="139" t="s">
        <v>133</v>
      </c>
      <c r="K911" s="136" t="s">
        <v>133</v>
      </c>
      <c r="L911" s="153" t="str">
        <f>IFERROR(__xludf.DUMMYFUNCTION("""COMPUTED_VALUE"""),"")</f>
        <v/>
      </c>
      <c r="M911" s="136" t="str">
        <f t="shared" si="1"/>
        <v/>
      </c>
      <c r="N911" s="136" t="str">
        <f>IFERROR(__xludf.DUMMYFUNCTION("""COMPUTED_VALUE"""),"")</f>
        <v/>
      </c>
      <c r="O911" s="141" t="s">
        <v>133</v>
      </c>
      <c r="P911" s="136" t="str">
        <f>IFERROR(__xludf.DUMMYFUNCTION("""COMPUTED_VALUE"""),"")</f>
        <v/>
      </c>
      <c r="Q911" s="136" t="str">
        <f>IFERROR(__xludf.DUMMYFUNCTION("""COMPUTED_VALUE"""),"")</f>
        <v/>
      </c>
      <c r="R911" s="106" t="str">
        <f>IFERROR(__xludf.DUMMYFUNCTION("""COMPUTED_VALUE"""),"")</f>
        <v/>
      </c>
      <c r="S911" s="106" t="str">
        <f>IFERROR(__xludf.DUMMYFUNCTION("""COMPUTED_VALUE"""),"")</f>
        <v/>
      </c>
      <c r="T911" s="139" t="str">
        <f>IFERROR(__xludf.DUMMYFUNCTION("""COMPUTED_VALUE"""),"")</f>
        <v/>
      </c>
      <c r="U911" s="139" t="str">
        <f>IFERROR(__xludf.DUMMYFUNCTION("""COMPUTED_VALUE"""),"")</f>
        <v/>
      </c>
      <c r="V911" s="136" t="str">
        <f>IFERROR(__xludf.DUMMYFUNCTION("""COMPUTED_VALUE"""),"")</f>
        <v/>
      </c>
      <c r="W911" s="106" t="str">
        <f>IFERROR(__xludf.DUMMYFUNCTION("""COMPUTED_VALUE"""),"")</f>
        <v/>
      </c>
      <c r="X911" s="143" t="str">
        <f t="shared" si="2"/>
        <v/>
      </c>
      <c r="Y911" s="139" t="str">
        <f>IFERROR(__xludf.DUMMYFUNCTION("""COMPUTED_VALUE"""),"")</f>
        <v/>
      </c>
      <c r="Z911" s="141" t="str">
        <f>IFERROR(__xludf.DUMMYFUNCTION("""COMPUTED_VALUE"""),"")</f>
        <v/>
      </c>
    </row>
    <row r="912">
      <c r="C912" s="136" t="str">
        <f>IFERROR(__xludf.DUMMYFUNCTION("""COMPUTED_VALUE"""),"")</f>
        <v/>
      </c>
      <c r="D912" s="136" t="str">
        <f t="shared" si="3"/>
        <v/>
      </c>
      <c r="E912" s="152" t="str">
        <f>IFERROR(__xludf.DUMMYFUNCTION("""COMPUTED_VALUE"""),"")</f>
        <v/>
      </c>
      <c r="F912" s="106" t="s">
        <v>133</v>
      </c>
      <c r="G912" s="152" t="str">
        <f>IFERROR(__xludf.DUMMYFUNCTION("""COMPUTED_VALUE"""),"")</f>
        <v/>
      </c>
      <c r="H912" s="106" t="s">
        <v>133</v>
      </c>
      <c r="I912" s="136"/>
      <c r="J912" s="139" t="s">
        <v>133</v>
      </c>
      <c r="K912" s="136" t="s">
        <v>133</v>
      </c>
      <c r="L912" s="153" t="str">
        <f>IFERROR(__xludf.DUMMYFUNCTION("""COMPUTED_VALUE"""),"")</f>
        <v/>
      </c>
      <c r="M912" s="136" t="str">
        <f t="shared" si="1"/>
        <v/>
      </c>
      <c r="N912" s="136" t="str">
        <f>IFERROR(__xludf.DUMMYFUNCTION("""COMPUTED_VALUE"""),"")</f>
        <v/>
      </c>
      <c r="O912" s="141" t="s">
        <v>133</v>
      </c>
      <c r="P912" s="136" t="str">
        <f>IFERROR(__xludf.DUMMYFUNCTION("""COMPUTED_VALUE"""),"")</f>
        <v/>
      </c>
      <c r="Q912" s="136" t="str">
        <f>IFERROR(__xludf.DUMMYFUNCTION("""COMPUTED_VALUE"""),"")</f>
        <v/>
      </c>
      <c r="R912" s="106" t="str">
        <f>IFERROR(__xludf.DUMMYFUNCTION("""COMPUTED_VALUE"""),"")</f>
        <v/>
      </c>
      <c r="S912" s="106" t="str">
        <f>IFERROR(__xludf.DUMMYFUNCTION("""COMPUTED_VALUE"""),"")</f>
        <v/>
      </c>
      <c r="T912" s="139" t="str">
        <f>IFERROR(__xludf.DUMMYFUNCTION("""COMPUTED_VALUE"""),"")</f>
        <v/>
      </c>
      <c r="U912" s="139" t="str">
        <f>IFERROR(__xludf.DUMMYFUNCTION("""COMPUTED_VALUE"""),"")</f>
        <v/>
      </c>
      <c r="V912" s="136" t="str">
        <f>IFERROR(__xludf.DUMMYFUNCTION("""COMPUTED_VALUE"""),"")</f>
        <v/>
      </c>
      <c r="W912" s="106" t="str">
        <f>IFERROR(__xludf.DUMMYFUNCTION("""COMPUTED_VALUE"""),"")</f>
        <v/>
      </c>
      <c r="X912" s="143" t="str">
        <f t="shared" si="2"/>
        <v/>
      </c>
      <c r="Y912" s="139" t="str">
        <f>IFERROR(__xludf.DUMMYFUNCTION("""COMPUTED_VALUE"""),"")</f>
        <v/>
      </c>
      <c r="Z912" s="141" t="str">
        <f>IFERROR(__xludf.DUMMYFUNCTION("""COMPUTED_VALUE"""),"")</f>
        <v/>
      </c>
    </row>
    <row r="913">
      <c r="C913" s="136" t="str">
        <f>IFERROR(__xludf.DUMMYFUNCTION("""COMPUTED_VALUE"""),"")</f>
        <v/>
      </c>
      <c r="D913" s="136" t="str">
        <f t="shared" si="3"/>
        <v/>
      </c>
      <c r="E913" s="152" t="str">
        <f>IFERROR(__xludf.DUMMYFUNCTION("""COMPUTED_VALUE"""),"")</f>
        <v/>
      </c>
      <c r="F913" s="106" t="s">
        <v>133</v>
      </c>
      <c r="G913" s="152" t="str">
        <f>IFERROR(__xludf.DUMMYFUNCTION("""COMPUTED_VALUE"""),"")</f>
        <v/>
      </c>
      <c r="H913" s="106" t="s">
        <v>133</v>
      </c>
      <c r="I913" s="136"/>
      <c r="J913" s="139" t="s">
        <v>133</v>
      </c>
      <c r="K913" s="136" t="s">
        <v>133</v>
      </c>
      <c r="L913" s="153" t="str">
        <f>IFERROR(__xludf.DUMMYFUNCTION("""COMPUTED_VALUE"""),"")</f>
        <v/>
      </c>
      <c r="M913" s="136" t="str">
        <f t="shared" si="1"/>
        <v/>
      </c>
      <c r="N913" s="136" t="str">
        <f>IFERROR(__xludf.DUMMYFUNCTION("""COMPUTED_VALUE"""),"")</f>
        <v/>
      </c>
      <c r="O913" s="141" t="s">
        <v>133</v>
      </c>
      <c r="P913" s="136" t="str">
        <f>IFERROR(__xludf.DUMMYFUNCTION("""COMPUTED_VALUE"""),"")</f>
        <v/>
      </c>
      <c r="Q913" s="136" t="str">
        <f>IFERROR(__xludf.DUMMYFUNCTION("""COMPUTED_VALUE"""),"")</f>
        <v/>
      </c>
      <c r="R913" s="106" t="str">
        <f>IFERROR(__xludf.DUMMYFUNCTION("""COMPUTED_VALUE"""),"")</f>
        <v/>
      </c>
      <c r="S913" s="106" t="str">
        <f>IFERROR(__xludf.DUMMYFUNCTION("""COMPUTED_VALUE"""),"")</f>
        <v/>
      </c>
      <c r="T913" s="139" t="str">
        <f>IFERROR(__xludf.DUMMYFUNCTION("""COMPUTED_VALUE"""),"")</f>
        <v/>
      </c>
      <c r="U913" s="139" t="str">
        <f>IFERROR(__xludf.DUMMYFUNCTION("""COMPUTED_VALUE"""),"")</f>
        <v/>
      </c>
      <c r="V913" s="136" t="str">
        <f>IFERROR(__xludf.DUMMYFUNCTION("""COMPUTED_VALUE"""),"")</f>
        <v/>
      </c>
      <c r="W913" s="106" t="str">
        <f>IFERROR(__xludf.DUMMYFUNCTION("""COMPUTED_VALUE"""),"")</f>
        <v/>
      </c>
      <c r="X913" s="143" t="str">
        <f t="shared" si="2"/>
        <v/>
      </c>
      <c r="Y913" s="139" t="str">
        <f>IFERROR(__xludf.DUMMYFUNCTION("""COMPUTED_VALUE"""),"")</f>
        <v/>
      </c>
      <c r="Z913" s="141" t="str">
        <f>IFERROR(__xludf.DUMMYFUNCTION("""COMPUTED_VALUE"""),"")</f>
        <v/>
      </c>
    </row>
    <row r="914">
      <c r="C914" s="136" t="str">
        <f>IFERROR(__xludf.DUMMYFUNCTION("""COMPUTED_VALUE"""),"")</f>
        <v/>
      </c>
      <c r="D914" s="136" t="str">
        <f t="shared" si="3"/>
        <v/>
      </c>
      <c r="E914" s="152" t="str">
        <f>IFERROR(__xludf.DUMMYFUNCTION("""COMPUTED_VALUE"""),"")</f>
        <v/>
      </c>
      <c r="F914" s="106" t="s">
        <v>133</v>
      </c>
      <c r="G914" s="152" t="str">
        <f>IFERROR(__xludf.DUMMYFUNCTION("""COMPUTED_VALUE"""),"")</f>
        <v/>
      </c>
      <c r="H914" s="106" t="s">
        <v>133</v>
      </c>
      <c r="I914" s="136"/>
      <c r="J914" s="139" t="s">
        <v>133</v>
      </c>
      <c r="K914" s="136" t="s">
        <v>133</v>
      </c>
      <c r="L914" s="153" t="str">
        <f>IFERROR(__xludf.DUMMYFUNCTION("""COMPUTED_VALUE"""),"")</f>
        <v/>
      </c>
      <c r="M914" s="136" t="str">
        <f t="shared" si="1"/>
        <v/>
      </c>
      <c r="N914" s="136" t="str">
        <f>IFERROR(__xludf.DUMMYFUNCTION("""COMPUTED_VALUE"""),"")</f>
        <v/>
      </c>
      <c r="O914" s="141" t="s">
        <v>133</v>
      </c>
      <c r="P914" s="136" t="str">
        <f>IFERROR(__xludf.DUMMYFUNCTION("""COMPUTED_VALUE"""),"")</f>
        <v/>
      </c>
      <c r="Q914" s="136" t="str">
        <f>IFERROR(__xludf.DUMMYFUNCTION("""COMPUTED_VALUE"""),"")</f>
        <v/>
      </c>
      <c r="R914" s="106" t="str">
        <f>IFERROR(__xludf.DUMMYFUNCTION("""COMPUTED_VALUE"""),"")</f>
        <v/>
      </c>
      <c r="S914" s="106" t="str">
        <f>IFERROR(__xludf.DUMMYFUNCTION("""COMPUTED_VALUE"""),"")</f>
        <v/>
      </c>
      <c r="T914" s="139" t="str">
        <f>IFERROR(__xludf.DUMMYFUNCTION("""COMPUTED_VALUE"""),"")</f>
        <v/>
      </c>
      <c r="U914" s="139" t="str">
        <f>IFERROR(__xludf.DUMMYFUNCTION("""COMPUTED_VALUE"""),"")</f>
        <v/>
      </c>
      <c r="V914" s="136" t="str">
        <f>IFERROR(__xludf.DUMMYFUNCTION("""COMPUTED_VALUE"""),"")</f>
        <v/>
      </c>
      <c r="W914" s="106" t="str">
        <f>IFERROR(__xludf.DUMMYFUNCTION("""COMPUTED_VALUE"""),"")</f>
        <v/>
      </c>
      <c r="X914" s="143" t="str">
        <f t="shared" si="2"/>
        <v/>
      </c>
      <c r="Y914" s="139" t="str">
        <f>IFERROR(__xludf.DUMMYFUNCTION("""COMPUTED_VALUE"""),"")</f>
        <v/>
      </c>
      <c r="Z914" s="141" t="str">
        <f>IFERROR(__xludf.DUMMYFUNCTION("""COMPUTED_VALUE"""),"")</f>
        <v/>
      </c>
    </row>
    <row r="915">
      <c r="C915" s="136" t="str">
        <f>IFERROR(__xludf.DUMMYFUNCTION("""COMPUTED_VALUE"""),"")</f>
        <v/>
      </c>
      <c r="D915" s="136" t="str">
        <f t="shared" si="3"/>
        <v/>
      </c>
      <c r="E915" s="152" t="str">
        <f>IFERROR(__xludf.DUMMYFUNCTION("""COMPUTED_VALUE"""),"")</f>
        <v/>
      </c>
      <c r="F915" s="106" t="s">
        <v>133</v>
      </c>
      <c r="G915" s="152" t="str">
        <f>IFERROR(__xludf.DUMMYFUNCTION("""COMPUTED_VALUE"""),"")</f>
        <v/>
      </c>
      <c r="H915" s="106" t="s">
        <v>133</v>
      </c>
      <c r="I915" s="136"/>
      <c r="J915" s="139" t="s">
        <v>133</v>
      </c>
      <c r="K915" s="136" t="s">
        <v>133</v>
      </c>
      <c r="L915" s="153" t="str">
        <f>IFERROR(__xludf.DUMMYFUNCTION("""COMPUTED_VALUE"""),"")</f>
        <v/>
      </c>
      <c r="M915" s="136" t="str">
        <f t="shared" si="1"/>
        <v/>
      </c>
      <c r="N915" s="136" t="str">
        <f>IFERROR(__xludf.DUMMYFUNCTION("""COMPUTED_VALUE"""),"")</f>
        <v/>
      </c>
      <c r="O915" s="141" t="s">
        <v>133</v>
      </c>
      <c r="P915" s="136" t="str">
        <f>IFERROR(__xludf.DUMMYFUNCTION("""COMPUTED_VALUE"""),"")</f>
        <v/>
      </c>
      <c r="Q915" s="136" t="str">
        <f>IFERROR(__xludf.DUMMYFUNCTION("""COMPUTED_VALUE"""),"")</f>
        <v/>
      </c>
      <c r="R915" s="106" t="str">
        <f>IFERROR(__xludf.DUMMYFUNCTION("""COMPUTED_VALUE"""),"")</f>
        <v/>
      </c>
      <c r="S915" s="106" t="str">
        <f>IFERROR(__xludf.DUMMYFUNCTION("""COMPUTED_VALUE"""),"")</f>
        <v/>
      </c>
      <c r="T915" s="139" t="str">
        <f>IFERROR(__xludf.DUMMYFUNCTION("""COMPUTED_VALUE"""),"")</f>
        <v/>
      </c>
      <c r="U915" s="139" t="str">
        <f>IFERROR(__xludf.DUMMYFUNCTION("""COMPUTED_VALUE"""),"")</f>
        <v/>
      </c>
      <c r="V915" s="136" t="str">
        <f>IFERROR(__xludf.DUMMYFUNCTION("""COMPUTED_VALUE"""),"")</f>
        <v/>
      </c>
      <c r="W915" s="106" t="str">
        <f>IFERROR(__xludf.DUMMYFUNCTION("""COMPUTED_VALUE"""),"")</f>
        <v/>
      </c>
      <c r="X915" s="143" t="str">
        <f t="shared" si="2"/>
        <v/>
      </c>
      <c r="Y915" s="139" t="str">
        <f>IFERROR(__xludf.DUMMYFUNCTION("""COMPUTED_VALUE"""),"")</f>
        <v/>
      </c>
      <c r="Z915" s="141" t="str">
        <f>IFERROR(__xludf.DUMMYFUNCTION("""COMPUTED_VALUE"""),"")</f>
        <v/>
      </c>
    </row>
    <row r="916">
      <c r="C916" s="136" t="str">
        <f>IFERROR(__xludf.DUMMYFUNCTION("""COMPUTED_VALUE"""),"")</f>
        <v/>
      </c>
      <c r="D916" s="136" t="str">
        <f t="shared" si="3"/>
        <v/>
      </c>
      <c r="E916" s="152" t="str">
        <f>IFERROR(__xludf.DUMMYFUNCTION("""COMPUTED_VALUE"""),"")</f>
        <v/>
      </c>
      <c r="F916" s="106" t="s">
        <v>133</v>
      </c>
      <c r="G916" s="152" t="str">
        <f>IFERROR(__xludf.DUMMYFUNCTION("""COMPUTED_VALUE"""),"")</f>
        <v/>
      </c>
      <c r="H916" s="106" t="s">
        <v>133</v>
      </c>
      <c r="I916" s="136"/>
      <c r="J916" s="139" t="s">
        <v>133</v>
      </c>
      <c r="K916" s="136" t="s">
        <v>133</v>
      </c>
      <c r="L916" s="153" t="str">
        <f>IFERROR(__xludf.DUMMYFUNCTION("""COMPUTED_VALUE"""),"")</f>
        <v/>
      </c>
      <c r="M916" s="136" t="str">
        <f t="shared" si="1"/>
        <v/>
      </c>
      <c r="N916" s="136" t="str">
        <f>IFERROR(__xludf.DUMMYFUNCTION("""COMPUTED_VALUE"""),"")</f>
        <v/>
      </c>
      <c r="O916" s="141" t="s">
        <v>133</v>
      </c>
      <c r="P916" s="136" t="str">
        <f>IFERROR(__xludf.DUMMYFUNCTION("""COMPUTED_VALUE"""),"")</f>
        <v/>
      </c>
      <c r="Q916" s="136" t="str">
        <f>IFERROR(__xludf.DUMMYFUNCTION("""COMPUTED_VALUE"""),"")</f>
        <v/>
      </c>
      <c r="R916" s="106" t="str">
        <f>IFERROR(__xludf.DUMMYFUNCTION("""COMPUTED_VALUE"""),"")</f>
        <v/>
      </c>
      <c r="S916" s="106" t="str">
        <f>IFERROR(__xludf.DUMMYFUNCTION("""COMPUTED_VALUE"""),"")</f>
        <v/>
      </c>
      <c r="T916" s="139" t="str">
        <f>IFERROR(__xludf.DUMMYFUNCTION("""COMPUTED_VALUE"""),"")</f>
        <v/>
      </c>
      <c r="U916" s="139" t="str">
        <f>IFERROR(__xludf.DUMMYFUNCTION("""COMPUTED_VALUE"""),"")</f>
        <v/>
      </c>
      <c r="V916" s="136" t="str">
        <f>IFERROR(__xludf.DUMMYFUNCTION("""COMPUTED_VALUE"""),"")</f>
        <v/>
      </c>
      <c r="W916" s="106" t="str">
        <f>IFERROR(__xludf.DUMMYFUNCTION("""COMPUTED_VALUE"""),"")</f>
        <v/>
      </c>
      <c r="X916" s="143" t="str">
        <f t="shared" si="2"/>
        <v/>
      </c>
      <c r="Y916" s="139" t="str">
        <f>IFERROR(__xludf.DUMMYFUNCTION("""COMPUTED_VALUE"""),"")</f>
        <v/>
      </c>
      <c r="Z916" s="141" t="str">
        <f>IFERROR(__xludf.DUMMYFUNCTION("""COMPUTED_VALUE"""),"")</f>
        <v/>
      </c>
    </row>
    <row r="917">
      <c r="C917" s="136" t="str">
        <f>IFERROR(__xludf.DUMMYFUNCTION("""COMPUTED_VALUE"""),"")</f>
        <v/>
      </c>
      <c r="D917" s="136" t="str">
        <f t="shared" si="3"/>
        <v/>
      </c>
      <c r="E917" s="152" t="str">
        <f>IFERROR(__xludf.DUMMYFUNCTION("""COMPUTED_VALUE"""),"")</f>
        <v/>
      </c>
      <c r="F917" s="106" t="s">
        <v>133</v>
      </c>
      <c r="G917" s="152" t="str">
        <f>IFERROR(__xludf.DUMMYFUNCTION("""COMPUTED_VALUE"""),"")</f>
        <v/>
      </c>
      <c r="H917" s="106" t="s">
        <v>133</v>
      </c>
      <c r="I917" s="136"/>
      <c r="J917" s="139" t="s">
        <v>133</v>
      </c>
      <c r="K917" s="136" t="s">
        <v>133</v>
      </c>
      <c r="L917" s="153" t="str">
        <f>IFERROR(__xludf.DUMMYFUNCTION("""COMPUTED_VALUE"""),"")</f>
        <v/>
      </c>
      <c r="M917" s="136" t="str">
        <f t="shared" si="1"/>
        <v/>
      </c>
      <c r="N917" s="136" t="str">
        <f>IFERROR(__xludf.DUMMYFUNCTION("""COMPUTED_VALUE"""),"")</f>
        <v/>
      </c>
      <c r="O917" s="141" t="s">
        <v>133</v>
      </c>
      <c r="P917" s="136" t="str">
        <f>IFERROR(__xludf.DUMMYFUNCTION("""COMPUTED_VALUE"""),"")</f>
        <v/>
      </c>
      <c r="Q917" s="136" t="str">
        <f>IFERROR(__xludf.DUMMYFUNCTION("""COMPUTED_VALUE"""),"")</f>
        <v/>
      </c>
      <c r="R917" s="106" t="str">
        <f>IFERROR(__xludf.DUMMYFUNCTION("""COMPUTED_VALUE"""),"")</f>
        <v/>
      </c>
      <c r="S917" s="106" t="str">
        <f>IFERROR(__xludf.DUMMYFUNCTION("""COMPUTED_VALUE"""),"")</f>
        <v/>
      </c>
      <c r="T917" s="139" t="str">
        <f>IFERROR(__xludf.DUMMYFUNCTION("""COMPUTED_VALUE"""),"")</f>
        <v/>
      </c>
      <c r="U917" s="139" t="str">
        <f>IFERROR(__xludf.DUMMYFUNCTION("""COMPUTED_VALUE"""),"")</f>
        <v/>
      </c>
      <c r="V917" s="136" t="str">
        <f>IFERROR(__xludf.DUMMYFUNCTION("""COMPUTED_VALUE"""),"")</f>
        <v/>
      </c>
      <c r="W917" s="106" t="str">
        <f>IFERROR(__xludf.DUMMYFUNCTION("""COMPUTED_VALUE"""),"")</f>
        <v/>
      </c>
      <c r="X917" s="143" t="str">
        <f t="shared" si="2"/>
        <v/>
      </c>
      <c r="Y917" s="139" t="str">
        <f>IFERROR(__xludf.DUMMYFUNCTION("""COMPUTED_VALUE"""),"")</f>
        <v/>
      </c>
      <c r="Z917" s="141" t="str">
        <f>IFERROR(__xludf.DUMMYFUNCTION("""COMPUTED_VALUE"""),"")</f>
        <v/>
      </c>
    </row>
    <row r="918">
      <c r="C918" s="136" t="str">
        <f>IFERROR(__xludf.DUMMYFUNCTION("""COMPUTED_VALUE"""),"")</f>
        <v/>
      </c>
      <c r="D918" s="136" t="str">
        <f t="shared" si="3"/>
        <v/>
      </c>
      <c r="E918" s="152" t="str">
        <f>IFERROR(__xludf.DUMMYFUNCTION("""COMPUTED_VALUE"""),"")</f>
        <v/>
      </c>
      <c r="F918" s="106" t="s">
        <v>133</v>
      </c>
      <c r="G918" s="152" t="str">
        <f>IFERROR(__xludf.DUMMYFUNCTION("""COMPUTED_VALUE"""),"")</f>
        <v/>
      </c>
      <c r="H918" s="106" t="s">
        <v>133</v>
      </c>
      <c r="I918" s="136"/>
      <c r="J918" s="139" t="s">
        <v>133</v>
      </c>
      <c r="K918" s="136" t="s">
        <v>133</v>
      </c>
      <c r="L918" s="153" t="str">
        <f>IFERROR(__xludf.DUMMYFUNCTION("""COMPUTED_VALUE"""),"")</f>
        <v/>
      </c>
      <c r="M918" s="136" t="str">
        <f t="shared" si="1"/>
        <v/>
      </c>
      <c r="N918" s="136" t="str">
        <f>IFERROR(__xludf.DUMMYFUNCTION("""COMPUTED_VALUE"""),"")</f>
        <v/>
      </c>
      <c r="O918" s="141" t="s">
        <v>133</v>
      </c>
      <c r="P918" s="136" t="str">
        <f>IFERROR(__xludf.DUMMYFUNCTION("""COMPUTED_VALUE"""),"")</f>
        <v/>
      </c>
      <c r="Q918" s="136" t="str">
        <f>IFERROR(__xludf.DUMMYFUNCTION("""COMPUTED_VALUE"""),"")</f>
        <v/>
      </c>
      <c r="R918" s="106" t="str">
        <f>IFERROR(__xludf.DUMMYFUNCTION("""COMPUTED_VALUE"""),"")</f>
        <v/>
      </c>
      <c r="S918" s="106" t="str">
        <f>IFERROR(__xludf.DUMMYFUNCTION("""COMPUTED_VALUE"""),"")</f>
        <v/>
      </c>
      <c r="T918" s="139" t="str">
        <f>IFERROR(__xludf.DUMMYFUNCTION("""COMPUTED_VALUE"""),"")</f>
        <v/>
      </c>
      <c r="U918" s="139" t="str">
        <f>IFERROR(__xludf.DUMMYFUNCTION("""COMPUTED_VALUE"""),"")</f>
        <v/>
      </c>
      <c r="V918" s="136" t="str">
        <f>IFERROR(__xludf.DUMMYFUNCTION("""COMPUTED_VALUE"""),"")</f>
        <v/>
      </c>
      <c r="W918" s="106" t="str">
        <f>IFERROR(__xludf.DUMMYFUNCTION("""COMPUTED_VALUE"""),"")</f>
        <v/>
      </c>
      <c r="X918" s="143" t="str">
        <f t="shared" si="2"/>
        <v/>
      </c>
      <c r="Y918" s="139" t="str">
        <f>IFERROR(__xludf.DUMMYFUNCTION("""COMPUTED_VALUE"""),"")</f>
        <v/>
      </c>
      <c r="Z918" s="141" t="str">
        <f>IFERROR(__xludf.DUMMYFUNCTION("""COMPUTED_VALUE"""),"")</f>
        <v/>
      </c>
    </row>
    <row r="919">
      <c r="C919" s="136" t="str">
        <f>IFERROR(__xludf.DUMMYFUNCTION("""COMPUTED_VALUE"""),"")</f>
        <v/>
      </c>
      <c r="D919" s="136" t="str">
        <f t="shared" si="3"/>
        <v/>
      </c>
      <c r="E919" s="152" t="str">
        <f>IFERROR(__xludf.DUMMYFUNCTION("""COMPUTED_VALUE"""),"")</f>
        <v/>
      </c>
      <c r="F919" s="106" t="s">
        <v>133</v>
      </c>
      <c r="G919" s="152" t="str">
        <f>IFERROR(__xludf.DUMMYFUNCTION("""COMPUTED_VALUE"""),"")</f>
        <v/>
      </c>
      <c r="H919" s="106" t="s">
        <v>133</v>
      </c>
      <c r="I919" s="136"/>
      <c r="J919" s="139" t="s">
        <v>133</v>
      </c>
      <c r="K919" s="136" t="s">
        <v>133</v>
      </c>
      <c r="L919" s="153" t="str">
        <f>IFERROR(__xludf.DUMMYFUNCTION("""COMPUTED_VALUE"""),"")</f>
        <v/>
      </c>
      <c r="M919" s="136" t="str">
        <f t="shared" si="1"/>
        <v/>
      </c>
      <c r="N919" s="136" t="str">
        <f>IFERROR(__xludf.DUMMYFUNCTION("""COMPUTED_VALUE"""),"")</f>
        <v/>
      </c>
      <c r="O919" s="141" t="s">
        <v>133</v>
      </c>
      <c r="P919" s="136" t="str">
        <f>IFERROR(__xludf.DUMMYFUNCTION("""COMPUTED_VALUE"""),"")</f>
        <v/>
      </c>
      <c r="Q919" s="136" t="str">
        <f>IFERROR(__xludf.DUMMYFUNCTION("""COMPUTED_VALUE"""),"")</f>
        <v/>
      </c>
      <c r="R919" s="106" t="str">
        <f>IFERROR(__xludf.DUMMYFUNCTION("""COMPUTED_VALUE"""),"")</f>
        <v/>
      </c>
      <c r="S919" s="106" t="str">
        <f>IFERROR(__xludf.DUMMYFUNCTION("""COMPUTED_VALUE"""),"")</f>
        <v/>
      </c>
      <c r="T919" s="139" t="str">
        <f>IFERROR(__xludf.DUMMYFUNCTION("""COMPUTED_VALUE"""),"")</f>
        <v/>
      </c>
      <c r="U919" s="139" t="str">
        <f>IFERROR(__xludf.DUMMYFUNCTION("""COMPUTED_VALUE"""),"")</f>
        <v/>
      </c>
      <c r="V919" s="136" t="str">
        <f>IFERROR(__xludf.DUMMYFUNCTION("""COMPUTED_VALUE"""),"")</f>
        <v/>
      </c>
      <c r="W919" s="106" t="str">
        <f>IFERROR(__xludf.DUMMYFUNCTION("""COMPUTED_VALUE"""),"")</f>
        <v/>
      </c>
      <c r="X919" s="143" t="str">
        <f t="shared" si="2"/>
        <v/>
      </c>
      <c r="Y919" s="139" t="str">
        <f>IFERROR(__xludf.DUMMYFUNCTION("""COMPUTED_VALUE"""),"")</f>
        <v/>
      </c>
      <c r="Z919" s="141" t="str">
        <f>IFERROR(__xludf.DUMMYFUNCTION("""COMPUTED_VALUE"""),"")</f>
        <v/>
      </c>
    </row>
    <row r="920">
      <c r="C920" s="136" t="str">
        <f>IFERROR(__xludf.DUMMYFUNCTION("""COMPUTED_VALUE"""),"")</f>
        <v/>
      </c>
      <c r="D920" s="136" t="str">
        <f t="shared" si="3"/>
        <v/>
      </c>
      <c r="E920" s="152" t="str">
        <f>IFERROR(__xludf.DUMMYFUNCTION("""COMPUTED_VALUE"""),"")</f>
        <v/>
      </c>
      <c r="F920" s="106" t="s">
        <v>133</v>
      </c>
      <c r="G920" s="152" t="str">
        <f>IFERROR(__xludf.DUMMYFUNCTION("""COMPUTED_VALUE"""),"")</f>
        <v/>
      </c>
      <c r="H920" s="106" t="s">
        <v>133</v>
      </c>
      <c r="I920" s="136"/>
      <c r="J920" s="139" t="s">
        <v>133</v>
      </c>
      <c r="K920" s="136" t="s">
        <v>133</v>
      </c>
      <c r="L920" s="153" t="str">
        <f>IFERROR(__xludf.DUMMYFUNCTION("""COMPUTED_VALUE"""),"")</f>
        <v/>
      </c>
      <c r="M920" s="136" t="str">
        <f t="shared" si="1"/>
        <v/>
      </c>
      <c r="N920" s="136" t="str">
        <f>IFERROR(__xludf.DUMMYFUNCTION("""COMPUTED_VALUE"""),"")</f>
        <v/>
      </c>
      <c r="O920" s="141" t="s">
        <v>133</v>
      </c>
      <c r="P920" s="136" t="str">
        <f>IFERROR(__xludf.DUMMYFUNCTION("""COMPUTED_VALUE"""),"")</f>
        <v/>
      </c>
      <c r="Q920" s="136" t="str">
        <f>IFERROR(__xludf.DUMMYFUNCTION("""COMPUTED_VALUE"""),"")</f>
        <v/>
      </c>
      <c r="R920" s="106" t="str">
        <f>IFERROR(__xludf.DUMMYFUNCTION("""COMPUTED_VALUE"""),"")</f>
        <v/>
      </c>
      <c r="S920" s="106" t="str">
        <f>IFERROR(__xludf.DUMMYFUNCTION("""COMPUTED_VALUE"""),"")</f>
        <v/>
      </c>
      <c r="T920" s="139" t="str">
        <f>IFERROR(__xludf.DUMMYFUNCTION("""COMPUTED_VALUE"""),"")</f>
        <v/>
      </c>
      <c r="U920" s="139" t="str">
        <f>IFERROR(__xludf.DUMMYFUNCTION("""COMPUTED_VALUE"""),"")</f>
        <v/>
      </c>
      <c r="V920" s="136" t="str">
        <f>IFERROR(__xludf.DUMMYFUNCTION("""COMPUTED_VALUE"""),"")</f>
        <v/>
      </c>
      <c r="W920" s="106" t="str">
        <f>IFERROR(__xludf.DUMMYFUNCTION("""COMPUTED_VALUE"""),"")</f>
        <v/>
      </c>
      <c r="X920" s="143" t="str">
        <f t="shared" si="2"/>
        <v/>
      </c>
      <c r="Y920" s="139" t="str">
        <f>IFERROR(__xludf.DUMMYFUNCTION("""COMPUTED_VALUE"""),"")</f>
        <v/>
      </c>
      <c r="Z920" s="141" t="str">
        <f>IFERROR(__xludf.DUMMYFUNCTION("""COMPUTED_VALUE"""),"")</f>
        <v/>
      </c>
    </row>
    <row r="921">
      <c r="C921" s="136" t="str">
        <f>IFERROR(__xludf.DUMMYFUNCTION("""COMPUTED_VALUE"""),"")</f>
        <v/>
      </c>
      <c r="D921" s="136" t="str">
        <f t="shared" si="3"/>
        <v/>
      </c>
      <c r="E921" s="152" t="str">
        <f>IFERROR(__xludf.DUMMYFUNCTION("""COMPUTED_VALUE"""),"")</f>
        <v/>
      </c>
      <c r="F921" s="106" t="s">
        <v>133</v>
      </c>
      <c r="G921" s="152" t="str">
        <f>IFERROR(__xludf.DUMMYFUNCTION("""COMPUTED_VALUE"""),"")</f>
        <v/>
      </c>
      <c r="H921" s="106" t="s">
        <v>133</v>
      </c>
      <c r="I921" s="136"/>
      <c r="J921" s="139" t="s">
        <v>133</v>
      </c>
      <c r="K921" s="136" t="s">
        <v>133</v>
      </c>
      <c r="L921" s="153" t="str">
        <f>IFERROR(__xludf.DUMMYFUNCTION("""COMPUTED_VALUE"""),"")</f>
        <v/>
      </c>
      <c r="M921" s="136" t="str">
        <f t="shared" si="1"/>
        <v/>
      </c>
      <c r="N921" s="136" t="str">
        <f>IFERROR(__xludf.DUMMYFUNCTION("""COMPUTED_VALUE"""),"")</f>
        <v/>
      </c>
      <c r="O921" s="141" t="s">
        <v>133</v>
      </c>
      <c r="P921" s="136" t="str">
        <f>IFERROR(__xludf.DUMMYFUNCTION("""COMPUTED_VALUE"""),"")</f>
        <v/>
      </c>
      <c r="Q921" s="136" t="str">
        <f>IFERROR(__xludf.DUMMYFUNCTION("""COMPUTED_VALUE"""),"")</f>
        <v/>
      </c>
      <c r="R921" s="106" t="str">
        <f>IFERROR(__xludf.DUMMYFUNCTION("""COMPUTED_VALUE"""),"")</f>
        <v/>
      </c>
      <c r="S921" s="106" t="str">
        <f>IFERROR(__xludf.DUMMYFUNCTION("""COMPUTED_VALUE"""),"")</f>
        <v/>
      </c>
      <c r="T921" s="139" t="str">
        <f>IFERROR(__xludf.DUMMYFUNCTION("""COMPUTED_VALUE"""),"")</f>
        <v/>
      </c>
      <c r="U921" s="139" t="str">
        <f>IFERROR(__xludf.DUMMYFUNCTION("""COMPUTED_VALUE"""),"")</f>
        <v/>
      </c>
      <c r="V921" s="136" t="str">
        <f>IFERROR(__xludf.DUMMYFUNCTION("""COMPUTED_VALUE"""),"")</f>
        <v/>
      </c>
      <c r="W921" s="106" t="str">
        <f>IFERROR(__xludf.DUMMYFUNCTION("""COMPUTED_VALUE"""),"")</f>
        <v/>
      </c>
      <c r="X921" s="143" t="str">
        <f t="shared" si="2"/>
        <v/>
      </c>
      <c r="Y921" s="139" t="str">
        <f>IFERROR(__xludf.DUMMYFUNCTION("""COMPUTED_VALUE"""),"")</f>
        <v/>
      </c>
      <c r="Z921" s="141" t="str">
        <f>IFERROR(__xludf.DUMMYFUNCTION("""COMPUTED_VALUE"""),"")</f>
        <v/>
      </c>
    </row>
    <row r="922">
      <c r="C922" s="136" t="str">
        <f>IFERROR(__xludf.DUMMYFUNCTION("""COMPUTED_VALUE"""),"")</f>
        <v/>
      </c>
      <c r="D922" s="136" t="str">
        <f t="shared" si="3"/>
        <v/>
      </c>
      <c r="E922" s="152" t="str">
        <f>IFERROR(__xludf.DUMMYFUNCTION("""COMPUTED_VALUE"""),"")</f>
        <v/>
      </c>
      <c r="F922" s="106" t="s">
        <v>133</v>
      </c>
      <c r="G922" s="152" t="str">
        <f>IFERROR(__xludf.DUMMYFUNCTION("""COMPUTED_VALUE"""),"")</f>
        <v/>
      </c>
      <c r="H922" s="106" t="s">
        <v>133</v>
      </c>
      <c r="I922" s="136"/>
      <c r="J922" s="139" t="s">
        <v>133</v>
      </c>
      <c r="K922" s="136" t="s">
        <v>133</v>
      </c>
      <c r="L922" s="153" t="str">
        <f>IFERROR(__xludf.DUMMYFUNCTION("""COMPUTED_VALUE"""),"")</f>
        <v/>
      </c>
      <c r="M922" s="136" t="str">
        <f t="shared" si="1"/>
        <v/>
      </c>
      <c r="N922" s="136" t="str">
        <f>IFERROR(__xludf.DUMMYFUNCTION("""COMPUTED_VALUE"""),"")</f>
        <v/>
      </c>
      <c r="O922" s="141" t="s">
        <v>133</v>
      </c>
      <c r="P922" s="136" t="str">
        <f>IFERROR(__xludf.DUMMYFUNCTION("""COMPUTED_VALUE"""),"")</f>
        <v/>
      </c>
      <c r="Q922" s="136" t="str">
        <f>IFERROR(__xludf.DUMMYFUNCTION("""COMPUTED_VALUE"""),"")</f>
        <v/>
      </c>
      <c r="R922" s="106" t="str">
        <f>IFERROR(__xludf.DUMMYFUNCTION("""COMPUTED_VALUE"""),"")</f>
        <v/>
      </c>
      <c r="S922" s="106" t="str">
        <f>IFERROR(__xludf.DUMMYFUNCTION("""COMPUTED_VALUE"""),"")</f>
        <v/>
      </c>
      <c r="T922" s="139" t="str">
        <f>IFERROR(__xludf.DUMMYFUNCTION("""COMPUTED_VALUE"""),"")</f>
        <v/>
      </c>
      <c r="U922" s="139" t="str">
        <f>IFERROR(__xludf.DUMMYFUNCTION("""COMPUTED_VALUE"""),"")</f>
        <v/>
      </c>
      <c r="V922" s="136" t="str">
        <f>IFERROR(__xludf.DUMMYFUNCTION("""COMPUTED_VALUE"""),"")</f>
        <v/>
      </c>
      <c r="W922" s="106" t="str">
        <f>IFERROR(__xludf.DUMMYFUNCTION("""COMPUTED_VALUE"""),"")</f>
        <v/>
      </c>
      <c r="X922" s="143" t="str">
        <f t="shared" si="2"/>
        <v/>
      </c>
      <c r="Y922" s="139" t="str">
        <f>IFERROR(__xludf.DUMMYFUNCTION("""COMPUTED_VALUE"""),"")</f>
        <v/>
      </c>
      <c r="Z922" s="141" t="str">
        <f>IFERROR(__xludf.DUMMYFUNCTION("""COMPUTED_VALUE"""),"")</f>
        <v/>
      </c>
    </row>
    <row r="923">
      <c r="C923" s="136" t="str">
        <f>IFERROR(__xludf.DUMMYFUNCTION("""COMPUTED_VALUE"""),"")</f>
        <v/>
      </c>
      <c r="D923" s="136" t="str">
        <f t="shared" si="3"/>
        <v/>
      </c>
      <c r="E923" s="152" t="str">
        <f>IFERROR(__xludf.DUMMYFUNCTION("""COMPUTED_VALUE"""),"")</f>
        <v/>
      </c>
      <c r="F923" s="106" t="s">
        <v>133</v>
      </c>
      <c r="G923" s="152" t="str">
        <f>IFERROR(__xludf.DUMMYFUNCTION("""COMPUTED_VALUE"""),"")</f>
        <v/>
      </c>
      <c r="H923" s="106" t="s">
        <v>133</v>
      </c>
      <c r="I923" s="136"/>
      <c r="J923" s="139" t="s">
        <v>133</v>
      </c>
      <c r="K923" s="136" t="s">
        <v>133</v>
      </c>
      <c r="L923" s="153" t="str">
        <f>IFERROR(__xludf.DUMMYFUNCTION("""COMPUTED_VALUE"""),"")</f>
        <v/>
      </c>
      <c r="M923" s="136" t="str">
        <f t="shared" si="1"/>
        <v/>
      </c>
      <c r="N923" s="136" t="str">
        <f>IFERROR(__xludf.DUMMYFUNCTION("""COMPUTED_VALUE"""),"")</f>
        <v/>
      </c>
      <c r="O923" s="141" t="s">
        <v>133</v>
      </c>
      <c r="P923" s="136" t="str">
        <f>IFERROR(__xludf.DUMMYFUNCTION("""COMPUTED_VALUE"""),"")</f>
        <v/>
      </c>
      <c r="Q923" s="136" t="str">
        <f>IFERROR(__xludf.DUMMYFUNCTION("""COMPUTED_VALUE"""),"")</f>
        <v/>
      </c>
      <c r="R923" s="106" t="str">
        <f>IFERROR(__xludf.DUMMYFUNCTION("""COMPUTED_VALUE"""),"")</f>
        <v/>
      </c>
      <c r="S923" s="106" t="str">
        <f>IFERROR(__xludf.DUMMYFUNCTION("""COMPUTED_VALUE"""),"")</f>
        <v/>
      </c>
      <c r="T923" s="139" t="str">
        <f>IFERROR(__xludf.DUMMYFUNCTION("""COMPUTED_VALUE"""),"")</f>
        <v/>
      </c>
      <c r="U923" s="139" t="str">
        <f>IFERROR(__xludf.DUMMYFUNCTION("""COMPUTED_VALUE"""),"")</f>
        <v/>
      </c>
      <c r="V923" s="136" t="str">
        <f>IFERROR(__xludf.DUMMYFUNCTION("""COMPUTED_VALUE"""),"")</f>
        <v/>
      </c>
      <c r="W923" s="106" t="str">
        <f>IFERROR(__xludf.DUMMYFUNCTION("""COMPUTED_VALUE"""),"")</f>
        <v/>
      </c>
      <c r="X923" s="143" t="str">
        <f t="shared" si="2"/>
        <v/>
      </c>
      <c r="Y923" s="139" t="str">
        <f>IFERROR(__xludf.DUMMYFUNCTION("""COMPUTED_VALUE"""),"")</f>
        <v/>
      </c>
      <c r="Z923" s="141" t="str">
        <f>IFERROR(__xludf.DUMMYFUNCTION("""COMPUTED_VALUE"""),"")</f>
        <v/>
      </c>
    </row>
    <row r="924">
      <c r="C924" s="136" t="str">
        <f>IFERROR(__xludf.DUMMYFUNCTION("""COMPUTED_VALUE"""),"")</f>
        <v/>
      </c>
      <c r="D924" s="136" t="str">
        <f t="shared" si="3"/>
        <v/>
      </c>
      <c r="E924" s="152" t="str">
        <f>IFERROR(__xludf.DUMMYFUNCTION("""COMPUTED_VALUE"""),"")</f>
        <v/>
      </c>
      <c r="F924" s="106" t="s">
        <v>133</v>
      </c>
      <c r="G924" s="152" t="str">
        <f>IFERROR(__xludf.DUMMYFUNCTION("""COMPUTED_VALUE"""),"")</f>
        <v/>
      </c>
      <c r="H924" s="106" t="s">
        <v>133</v>
      </c>
      <c r="I924" s="136"/>
      <c r="J924" s="139" t="s">
        <v>133</v>
      </c>
      <c r="K924" s="136" t="s">
        <v>133</v>
      </c>
      <c r="L924" s="153" t="str">
        <f>IFERROR(__xludf.DUMMYFUNCTION("""COMPUTED_VALUE"""),"")</f>
        <v/>
      </c>
      <c r="M924" s="136" t="str">
        <f t="shared" si="1"/>
        <v/>
      </c>
      <c r="N924" s="136" t="str">
        <f>IFERROR(__xludf.DUMMYFUNCTION("""COMPUTED_VALUE"""),"")</f>
        <v/>
      </c>
      <c r="O924" s="141" t="s">
        <v>133</v>
      </c>
      <c r="P924" s="136" t="str">
        <f>IFERROR(__xludf.DUMMYFUNCTION("""COMPUTED_VALUE"""),"")</f>
        <v/>
      </c>
      <c r="Q924" s="136" t="str">
        <f>IFERROR(__xludf.DUMMYFUNCTION("""COMPUTED_VALUE"""),"")</f>
        <v/>
      </c>
      <c r="R924" s="106" t="str">
        <f>IFERROR(__xludf.DUMMYFUNCTION("""COMPUTED_VALUE"""),"")</f>
        <v/>
      </c>
      <c r="S924" s="106" t="str">
        <f>IFERROR(__xludf.DUMMYFUNCTION("""COMPUTED_VALUE"""),"")</f>
        <v/>
      </c>
      <c r="T924" s="139" t="str">
        <f>IFERROR(__xludf.DUMMYFUNCTION("""COMPUTED_VALUE"""),"")</f>
        <v/>
      </c>
      <c r="U924" s="139" t="str">
        <f>IFERROR(__xludf.DUMMYFUNCTION("""COMPUTED_VALUE"""),"")</f>
        <v/>
      </c>
      <c r="V924" s="136" t="str">
        <f>IFERROR(__xludf.DUMMYFUNCTION("""COMPUTED_VALUE"""),"")</f>
        <v/>
      </c>
      <c r="W924" s="106" t="str">
        <f>IFERROR(__xludf.DUMMYFUNCTION("""COMPUTED_VALUE"""),"")</f>
        <v/>
      </c>
      <c r="X924" s="143" t="str">
        <f t="shared" si="2"/>
        <v/>
      </c>
      <c r="Y924" s="139" t="str">
        <f>IFERROR(__xludf.DUMMYFUNCTION("""COMPUTED_VALUE"""),"")</f>
        <v/>
      </c>
      <c r="Z924" s="141" t="str">
        <f>IFERROR(__xludf.DUMMYFUNCTION("""COMPUTED_VALUE"""),"")</f>
        <v/>
      </c>
    </row>
    <row r="925">
      <c r="C925" s="136" t="str">
        <f>IFERROR(__xludf.DUMMYFUNCTION("""COMPUTED_VALUE"""),"")</f>
        <v/>
      </c>
      <c r="D925" s="136" t="str">
        <f t="shared" si="3"/>
        <v/>
      </c>
      <c r="E925" s="152" t="str">
        <f>IFERROR(__xludf.DUMMYFUNCTION("""COMPUTED_VALUE"""),"")</f>
        <v/>
      </c>
      <c r="F925" s="106" t="s">
        <v>133</v>
      </c>
      <c r="G925" s="152" t="str">
        <f>IFERROR(__xludf.DUMMYFUNCTION("""COMPUTED_VALUE"""),"")</f>
        <v/>
      </c>
      <c r="H925" s="106" t="s">
        <v>133</v>
      </c>
      <c r="I925" s="136"/>
      <c r="J925" s="139" t="s">
        <v>133</v>
      </c>
      <c r="K925" s="136" t="s">
        <v>133</v>
      </c>
      <c r="L925" s="153" t="str">
        <f>IFERROR(__xludf.DUMMYFUNCTION("""COMPUTED_VALUE"""),"")</f>
        <v/>
      </c>
      <c r="M925" s="136" t="str">
        <f t="shared" si="1"/>
        <v/>
      </c>
      <c r="N925" s="136" t="str">
        <f>IFERROR(__xludf.DUMMYFUNCTION("""COMPUTED_VALUE"""),"")</f>
        <v/>
      </c>
      <c r="O925" s="141" t="s">
        <v>133</v>
      </c>
      <c r="P925" s="136" t="str">
        <f>IFERROR(__xludf.DUMMYFUNCTION("""COMPUTED_VALUE"""),"")</f>
        <v/>
      </c>
      <c r="Q925" s="136" t="str">
        <f>IFERROR(__xludf.DUMMYFUNCTION("""COMPUTED_VALUE"""),"")</f>
        <v/>
      </c>
      <c r="R925" s="106" t="str">
        <f>IFERROR(__xludf.DUMMYFUNCTION("""COMPUTED_VALUE"""),"")</f>
        <v/>
      </c>
      <c r="S925" s="106" t="str">
        <f>IFERROR(__xludf.DUMMYFUNCTION("""COMPUTED_VALUE"""),"")</f>
        <v/>
      </c>
      <c r="T925" s="139" t="str">
        <f>IFERROR(__xludf.DUMMYFUNCTION("""COMPUTED_VALUE"""),"")</f>
        <v/>
      </c>
      <c r="U925" s="139" t="str">
        <f>IFERROR(__xludf.DUMMYFUNCTION("""COMPUTED_VALUE"""),"")</f>
        <v/>
      </c>
      <c r="V925" s="136" t="str">
        <f>IFERROR(__xludf.DUMMYFUNCTION("""COMPUTED_VALUE"""),"")</f>
        <v/>
      </c>
      <c r="W925" s="106" t="str">
        <f>IFERROR(__xludf.DUMMYFUNCTION("""COMPUTED_VALUE"""),"")</f>
        <v/>
      </c>
      <c r="X925" s="143" t="str">
        <f t="shared" si="2"/>
        <v/>
      </c>
      <c r="Y925" s="139" t="str">
        <f>IFERROR(__xludf.DUMMYFUNCTION("""COMPUTED_VALUE"""),"")</f>
        <v/>
      </c>
      <c r="Z925" s="141" t="str">
        <f>IFERROR(__xludf.DUMMYFUNCTION("""COMPUTED_VALUE"""),"")</f>
        <v/>
      </c>
    </row>
    <row r="926">
      <c r="C926" s="136" t="str">
        <f>IFERROR(__xludf.DUMMYFUNCTION("""COMPUTED_VALUE"""),"")</f>
        <v/>
      </c>
      <c r="D926" s="136" t="str">
        <f t="shared" si="3"/>
        <v/>
      </c>
      <c r="E926" s="152" t="str">
        <f>IFERROR(__xludf.DUMMYFUNCTION("""COMPUTED_VALUE"""),"")</f>
        <v/>
      </c>
      <c r="F926" s="106" t="s">
        <v>133</v>
      </c>
      <c r="G926" s="152" t="str">
        <f>IFERROR(__xludf.DUMMYFUNCTION("""COMPUTED_VALUE"""),"")</f>
        <v/>
      </c>
      <c r="H926" s="106" t="s">
        <v>133</v>
      </c>
      <c r="I926" s="136"/>
      <c r="J926" s="139" t="s">
        <v>133</v>
      </c>
      <c r="K926" s="136" t="s">
        <v>133</v>
      </c>
      <c r="L926" s="153" t="str">
        <f>IFERROR(__xludf.DUMMYFUNCTION("""COMPUTED_VALUE"""),"")</f>
        <v/>
      </c>
      <c r="M926" s="136" t="str">
        <f t="shared" si="1"/>
        <v/>
      </c>
      <c r="N926" s="136" t="str">
        <f>IFERROR(__xludf.DUMMYFUNCTION("""COMPUTED_VALUE"""),"")</f>
        <v/>
      </c>
      <c r="O926" s="141" t="s">
        <v>133</v>
      </c>
      <c r="P926" s="136" t="str">
        <f>IFERROR(__xludf.DUMMYFUNCTION("""COMPUTED_VALUE"""),"")</f>
        <v/>
      </c>
      <c r="Q926" s="136" t="str">
        <f>IFERROR(__xludf.DUMMYFUNCTION("""COMPUTED_VALUE"""),"")</f>
        <v/>
      </c>
      <c r="R926" s="106" t="str">
        <f>IFERROR(__xludf.DUMMYFUNCTION("""COMPUTED_VALUE"""),"")</f>
        <v/>
      </c>
      <c r="S926" s="106" t="str">
        <f>IFERROR(__xludf.DUMMYFUNCTION("""COMPUTED_VALUE"""),"")</f>
        <v/>
      </c>
      <c r="T926" s="139" t="str">
        <f>IFERROR(__xludf.DUMMYFUNCTION("""COMPUTED_VALUE"""),"")</f>
        <v/>
      </c>
      <c r="U926" s="139" t="str">
        <f>IFERROR(__xludf.DUMMYFUNCTION("""COMPUTED_VALUE"""),"")</f>
        <v/>
      </c>
      <c r="V926" s="136" t="str">
        <f>IFERROR(__xludf.DUMMYFUNCTION("""COMPUTED_VALUE"""),"")</f>
        <v/>
      </c>
      <c r="W926" s="106" t="str">
        <f>IFERROR(__xludf.DUMMYFUNCTION("""COMPUTED_VALUE"""),"")</f>
        <v/>
      </c>
      <c r="X926" s="143" t="str">
        <f t="shared" si="2"/>
        <v/>
      </c>
      <c r="Y926" s="139" t="str">
        <f>IFERROR(__xludf.DUMMYFUNCTION("""COMPUTED_VALUE"""),"")</f>
        <v/>
      </c>
      <c r="Z926" s="141" t="str">
        <f>IFERROR(__xludf.DUMMYFUNCTION("""COMPUTED_VALUE"""),"")</f>
        <v/>
      </c>
    </row>
    <row r="927">
      <c r="C927" s="136" t="str">
        <f>IFERROR(__xludf.DUMMYFUNCTION("""COMPUTED_VALUE"""),"")</f>
        <v/>
      </c>
      <c r="D927" s="136" t="str">
        <f t="shared" si="3"/>
        <v/>
      </c>
      <c r="E927" s="152" t="str">
        <f>IFERROR(__xludf.DUMMYFUNCTION("""COMPUTED_VALUE"""),"")</f>
        <v/>
      </c>
      <c r="F927" s="106" t="s">
        <v>133</v>
      </c>
      <c r="G927" s="152" t="str">
        <f>IFERROR(__xludf.DUMMYFUNCTION("""COMPUTED_VALUE"""),"")</f>
        <v/>
      </c>
      <c r="H927" s="106" t="s">
        <v>133</v>
      </c>
      <c r="I927" s="136"/>
      <c r="J927" s="139" t="s">
        <v>133</v>
      </c>
      <c r="K927" s="136" t="s">
        <v>133</v>
      </c>
      <c r="L927" s="153" t="str">
        <f>IFERROR(__xludf.DUMMYFUNCTION("""COMPUTED_VALUE"""),"")</f>
        <v/>
      </c>
      <c r="M927" s="136" t="str">
        <f t="shared" si="1"/>
        <v/>
      </c>
      <c r="N927" s="136" t="str">
        <f>IFERROR(__xludf.DUMMYFUNCTION("""COMPUTED_VALUE"""),"")</f>
        <v/>
      </c>
      <c r="O927" s="141" t="s">
        <v>133</v>
      </c>
      <c r="P927" s="136" t="str">
        <f>IFERROR(__xludf.DUMMYFUNCTION("""COMPUTED_VALUE"""),"")</f>
        <v/>
      </c>
      <c r="Q927" s="136" t="str">
        <f>IFERROR(__xludf.DUMMYFUNCTION("""COMPUTED_VALUE"""),"")</f>
        <v/>
      </c>
      <c r="R927" s="106" t="str">
        <f>IFERROR(__xludf.DUMMYFUNCTION("""COMPUTED_VALUE"""),"")</f>
        <v/>
      </c>
      <c r="S927" s="106" t="str">
        <f>IFERROR(__xludf.DUMMYFUNCTION("""COMPUTED_VALUE"""),"")</f>
        <v/>
      </c>
      <c r="T927" s="139" t="str">
        <f>IFERROR(__xludf.DUMMYFUNCTION("""COMPUTED_VALUE"""),"")</f>
        <v/>
      </c>
      <c r="U927" s="139" t="str">
        <f>IFERROR(__xludf.DUMMYFUNCTION("""COMPUTED_VALUE"""),"")</f>
        <v/>
      </c>
      <c r="V927" s="136" t="str">
        <f>IFERROR(__xludf.DUMMYFUNCTION("""COMPUTED_VALUE"""),"")</f>
        <v/>
      </c>
      <c r="W927" s="106" t="str">
        <f>IFERROR(__xludf.DUMMYFUNCTION("""COMPUTED_VALUE"""),"")</f>
        <v/>
      </c>
      <c r="X927" s="143" t="str">
        <f t="shared" si="2"/>
        <v/>
      </c>
      <c r="Y927" s="139" t="str">
        <f>IFERROR(__xludf.DUMMYFUNCTION("""COMPUTED_VALUE"""),"")</f>
        <v/>
      </c>
      <c r="Z927" s="141" t="str">
        <f>IFERROR(__xludf.DUMMYFUNCTION("""COMPUTED_VALUE"""),"")</f>
        <v/>
      </c>
    </row>
    <row r="928">
      <c r="C928" s="136" t="str">
        <f>IFERROR(__xludf.DUMMYFUNCTION("""COMPUTED_VALUE"""),"")</f>
        <v/>
      </c>
      <c r="D928" s="136" t="str">
        <f t="shared" si="3"/>
        <v/>
      </c>
      <c r="E928" s="152" t="str">
        <f>IFERROR(__xludf.DUMMYFUNCTION("""COMPUTED_VALUE"""),"")</f>
        <v/>
      </c>
      <c r="F928" s="106" t="s">
        <v>133</v>
      </c>
      <c r="G928" s="152" t="str">
        <f>IFERROR(__xludf.DUMMYFUNCTION("""COMPUTED_VALUE"""),"")</f>
        <v/>
      </c>
      <c r="H928" s="106" t="s">
        <v>133</v>
      </c>
      <c r="I928" s="136"/>
      <c r="J928" s="139" t="s">
        <v>133</v>
      </c>
      <c r="K928" s="136" t="s">
        <v>133</v>
      </c>
      <c r="L928" s="153" t="str">
        <f>IFERROR(__xludf.DUMMYFUNCTION("""COMPUTED_VALUE"""),"")</f>
        <v/>
      </c>
      <c r="M928" s="136" t="str">
        <f t="shared" si="1"/>
        <v/>
      </c>
      <c r="N928" s="136" t="str">
        <f>IFERROR(__xludf.DUMMYFUNCTION("""COMPUTED_VALUE"""),"")</f>
        <v/>
      </c>
      <c r="O928" s="141" t="s">
        <v>133</v>
      </c>
      <c r="P928" s="136" t="str">
        <f>IFERROR(__xludf.DUMMYFUNCTION("""COMPUTED_VALUE"""),"")</f>
        <v/>
      </c>
      <c r="Q928" s="136" t="str">
        <f>IFERROR(__xludf.DUMMYFUNCTION("""COMPUTED_VALUE"""),"")</f>
        <v/>
      </c>
      <c r="R928" s="106" t="str">
        <f>IFERROR(__xludf.DUMMYFUNCTION("""COMPUTED_VALUE"""),"")</f>
        <v/>
      </c>
      <c r="S928" s="106" t="str">
        <f>IFERROR(__xludf.DUMMYFUNCTION("""COMPUTED_VALUE"""),"")</f>
        <v/>
      </c>
      <c r="T928" s="139" t="str">
        <f>IFERROR(__xludf.DUMMYFUNCTION("""COMPUTED_VALUE"""),"")</f>
        <v/>
      </c>
      <c r="U928" s="139" t="str">
        <f>IFERROR(__xludf.DUMMYFUNCTION("""COMPUTED_VALUE"""),"")</f>
        <v/>
      </c>
      <c r="V928" s="136" t="str">
        <f>IFERROR(__xludf.DUMMYFUNCTION("""COMPUTED_VALUE"""),"")</f>
        <v/>
      </c>
      <c r="W928" s="106" t="str">
        <f>IFERROR(__xludf.DUMMYFUNCTION("""COMPUTED_VALUE"""),"")</f>
        <v/>
      </c>
      <c r="X928" s="143" t="str">
        <f t="shared" si="2"/>
        <v/>
      </c>
      <c r="Y928" s="139" t="str">
        <f>IFERROR(__xludf.DUMMYFUNCTION("""COMPUTED_VALUE"""),"")</f>
        <v/>
      </c>
      <c r="Z928" s="141" t="str">
        <f>IFERROR(__xludf.DUMMYFUNCTION("""COMPUTED_VALUE"""),"")</f>
        <v/>
      </c>
    </row>
    <row r="929">
      <c r="C929" s="136" t="str">
        <f>IFERROR(__xludf.DUMMYFUNCTION("""COMPUTED_VALUE"""),"")</f>
        <v/>
      </c>
      <c r="D929" s="136" t="str">
        <f t="shared" si="3"/>
        <v/>
      </c>
      <c r="E929" s="152" t="str">
        <f>IFERROR(__xludf.DUMMYFUNCTION("""COMPUTED_VALUE"""),"")</f>
        <v/>
      </c>
      <c r="F929" s="106" t="s">
        <v>133</v>
      </c>
      <c r="G929" s="152" t="str">
        <f>IFERROR(__xludf.DUMMYFUNCTION("""COMPUTED_VALUE"""),"")</f>
        <v/>
      </c>
      <c r="H929" s="106" t="s">
        <v>133</v>
      </c>
      <c r="I929" s="136"/>
      <c r="J929" s="139" t="s">
        <v>133</v>
      </c>
      <c r="K929" s="136" t="s">
        <v>133</v>
      </c>
      <c r="L929" s="153" t="str">
        <f>IFERROR(__xludf.DUMMYFUNCTION("""COMPUTED_VALUE"""),"")</f>
        <v/>
      </c>
      <c r="M929" s="136" t="str">
        <f t="shared" si="1"/>
        <v/>
      </c>
      <c r="N929" s="136" t="str">
        <f>IFERROR(__xludf.DUMMYFUNCTION("""COMPUTED_VALUE"""),"")</f>
        <v/>
      </c>
      <c r="O929" s="141" t="s">
        <v>133</v>
      </c>
      <c r="P929" s="136" t="str">
        <f>IFERROR(__xludf.DUMMYFUNCTION("""COMPUTED_VALUE"""),"")</f>
        <v/>
      </c>
      <c r="Q929" s="136" t="str">
        <f>IFERROR(__xludf.DUMMYFUNCTION("""COMPUTED_VALUE"""),"")</f>
        <v/>
      </c>
      <c r="R929" s="106" t="str">
        <f>IFERROR(__xludf.DUMMYFUNCTION("""COMPUTED_VALUE"""),"")</f>
        <v/>
      </c>
      <c r="S929" s="106" t="str">
        <f>IFERROR(__xludf.DUMMYFUNCTION("""COMPUTED_VALUE"""),"")</f>
        <v/>
      </c>
      <c r="T929" s="139" t="str">
        <f>IFERROR(__xludf.DUMMYFUNCTION("""COMPUTED_VALUE"""),"")</f>
        <v/>
      </c>
      <c r="U929" s="139" t="str">
        <f>IFERROR(__xludf.DUMMYFUNCTION("""COMPUTED_VALUE"""),"")</f>
        <v/>
      </c>
      <c r="V929" s="136" t="str">
        <f>IFERROR(__xludf.DUMMYFUNCTION("""COMPUTED_VALUE"""),"")</f>
        <v/>
      </c>
      <c r="W929" s="106" t="str">
        <f>IFERROR(__xludf.DUMMYFUNCTION("""COMPUTED_VALUE"""),"")</f>
        <v/>
      </c>
      <c r="X929" s="143" t="str">
        <f t="shared" si="2"/>
        <v/>
      </c>
      <c r="Y929" s="139" t="str">
        <f>IFERROR(__xludf.DUMMYFUNCTION("""COMPUTED_VALUE"""),"")</f>
        <v/>
      </c>
      <c r="Z929" s="141" t="str">
        <f>IFERROR(__xludf.DUMMYFUNCTION("""COMPUTED_VALUE"""),"")</f>
        <v/>
      </c>
    </row>
    <row r="930">
      <c r="C930" s="136" t="str">
        <f>IFERROR(__xludf.DUMMYFUNCTION("""COMPUTED_VALUE"""),"")</f>
        <v/>
      </c>
      <c r="D930" s="136" t="str">
        <f t="shared" si="3"/>
        <v/>
      </c>
      <c r="E930" s="152" t="str">
        <f>IFERROR(__xludf.DUMMYFUNCTION("""COMPUTED_VALUE"""),"")</f>
        <v/>
      </c>
      <c r="F930" s="106" t="s">
        <v>133</v>
      </c>
      <c r="G930" s="152" t="str">
        <f>IFERROR(__xludf.DUMMYFUNCTION("""COMPUTED_VALUE"""),"")</f>
        <v/>
      </c>
      <c r="H930" s="106" t="s">
        <v>133</v>
      </c>
      <c r="I930" s="136"/>
      <c r="J930" s="139" t="s">
        <v>133</v>
      </c>
      <c r="K930" s="136" t="s">
        <v>133</v>
      </c>
      <c r="L930" s="153" t="str">
        <f>IFERROR(__xludf.DUMMYFUNCTION("""COMPUTED_VALUE"""),"")</f>
        <v/>
      </c>
      <c r="M930" s="136" t="str">
        <f t="shared" si="1"/>
        <v/>
      </c>
      <c r="N930" s="136" t="str">
        <f>IFERROR(__xludf.DUMMYFUNCTION("""COMPUTED_VALUE"""),"")</f>
        <v/>
      </c>
      <c r="O930" s="141" t="s">
        <v>133</v>
      </c>
      <c r="P930" s="136" t="str">
        <f>IFERROR(__xludf.DUMMYFUNCTION("""COMPUTED_VALUE"""),"")</f>
        <v/>
      </c>
      <c r="Q930" s="136" t="str">
        <f>IFERROR(__xludf.DUMMYFUNCTION("""COMPUTED_VALUE"""),"")</f>
        <v/>
      </c>
      <c r="R930" s="106" t="str">
        <f>IFERROR(__xludf.DUMMYFUNCTION("""COMPUTED_VALUE"""),"")</f>
        <v/>
      </c>
      <c r="S930" s="106" t="str">
        <f>IFERROR(__xludf.DUMMYFUNCTION("""COMPUTED_VALUE"""),"")</f>
        <v/>
      </c>
      <c r="T930" s="139" t="str">
        <f>IFERROR(__xludf.DUMMYFUNCTION("""COMPUTED_VALUE"""),"")</f>
        <v/>
      </c>
      <c r="U930" s="139" t="str">
        <f>IFERROR(__xludf.DUMMYFUNCTION("""COMPUTED_VALUE"""),"")</f>
        <v/>
      </c>
      <c r="V930" s="136" t="str">
        <f>IFERROR(__xludf.DUMMYFUNCTION("""COMPUTED_VALUE"""),"")</f>
        <v/>
      </c>
      <c r="W930" s="106" t="str">
        <f>IFERROR(__xludf.DUMMYFUNCTION("""COMPUTED_VALUE"""),"")</f>
        <v/>
      </c>
      <c r="X930" s="143" t="str">
        <f t="shared" si="2"/>
        <v/>
      </c>
      <c r="Y930" s="139" t="str">
        <f>IFERROR(__xludf.DUMMYFUNCTION("""COMPUTED_VALUE"""),"")</f>
        <v/>
      </c>
      <c r="Z930" s="141" t="str">
        <f>IFERROR(__xludf.DUMMYFUNCTION("""COMPUTED_VALUE"""),"")</f>
        <v/>
      </c>
    </row>
    <row r="931">
      <c r="C931" s="136" t="str">
        <f>IFERROR(__xludf.DUMMYFUNCTION("""COMPUTED_VALUE"""),"")</f>
        <v/>
      </c>
      <c r="D931" s="136" t="str">
        <f t="shared" si="3"/>
        <v/>
      </c>
      <c r="E931" s="152" t="str">
        <f>IFERROR(__xludf.DUMMYFUNCTION("""COMPUTED_VALUE"""),"")</f>
        <v/>
      </c>
      <c r="F931" s="106" t="s">
        <v>133</v>
      </c>
      <c r="G931" s="152" t="str">
        <f>IFERROR(__xludf.DUMMYFUNCTION("""COMPUTED_VALUE"""),"")</f>
        <v/>
      </c>
      <c r="H931" s="106" t="s">
        <v>133</v>
      </c>
      <c r="I931" s="136"/>
      <c r="J931" s="139" t="s">
        <v>133</v>
      </c>
      <c r="K931" s="136" t="s">
        <v>133</v>
      </c>
      <c r="L931" s="153" t="str">
        <f>IFERROR(__xludf.DUMMYFUNCTION("""COMPUTED_VALUE"""),"")</f>
        <v/>
      </c>
      <c r="M931" s="136" t="str">
        <f t="shared" si="1"/>
        <v/>
      </c>
      <c r="N931" s="136" t="str">
        <f>IFERROR(__xludf.DUMMYFUNCTION("""COMPUTED_VALUE"""),"")</f>
        <v/>
      </c>
      <c r="O931" s="141" t="s">
        <v>133</v>
      </c>
      <c r="P931" s="136" t="str">
        <f>IFERROR(__xludf.DUMMYFUNCTION("""COMPUTED_VALUE"""),"")</f>
        <v/>
      </c>
      <c r="Q931" s="136" t="str">
        <f>IFERROR(__xludf.DUMMYFUNCTION("""COMPUTED_VALUE"""),"")</f>
        <v/>
      </c>
      <c r="R931" s="106" t="str">
        <f>IFERROR(__xludf.DUMMYFUNCTION("""COMPUTED_VALUE"""),"")</f>
        <v/>
      </c>
      <c r="S931" s="106" t="str">
        <f>IFERROR(__xludf.DUMMYFUNCTION("""COMPUTED_VALUE"""),"")</f>
        <v/>
      </c>
      <c r="T931" s="139" t="str">
        <f>IFERROR(__xludf.DUMMYFUNCTION("""COMPUTED_VALUE"""),"")</f>
        <v/>
      </c>
      <c r="U931" s="139" t="str">
        <f>IFERROR(__xludf.DUMMYFUNCTION("""COMPUTED_VALUE"""),"")</f>
        <v/>
      </c>
      <c r="V931" s="136" t="str">
        <f>IFERROR(__xludf.DUMMYFUNCTION("""COMPUTED_VALUE"""),"")</f>
        <v/>
      </c>
      <c r="W931" s="106" t="str">
        <f>IFERROR(__xludf.DUMMYFUNCTION("""COMPUTED_VALUE"""),"")</f>
        <v/>
      </c>
      <c r="X931" s="143" t="str">
        <f t="shared" si="2"/>
        <v/>
      </c>
      <c r="Y931" s="139" t="str">
        <f>IFERROR(__xludf.DUMMYFUNCTION("""COMPUTED_VALUE"""),"")</f>
        <v/>
      </c>
      <c r="Z931" s="141" t="str">
        <f>IFERROR(__xludf.DUMMYFUNCTION("""COMPUTED_VALUE"""),"")</f>
        <v/>
      </c>
    </row>
    <row r="932">
      <c r="C932" s="136" t="str">
        <f>IFERROR(__xludf.DUMMYFUNCTION("""COMPUTED_VALUE"""),"")</f>
        <v/>
      </c>
      <c r="D932" s="136" t="str">
        <f t="shared" si="3"/>
        <v/>
      </c>
      <c r="E932" s="152" t="str">
        <f>IFERROR(__xludf.DUMMYFUNCTION("""COMPUTED_VALUE"""),"")</f>
        <v/>
      </c>
      <c r="F932" s="106" t="s">
        <v>133</v>
      </c>
      <c r="G932" s="152" t="str">
        <f>IFERROR(__xludf.DUMMYFUNCTION("""COMPUTED_VALUE"""),"")</f>
        <v/>
      </c>
      <c r="H932" s="106" t="s">
        <v>133</v>
      </c>
      <c r="I932" s="136"/>
      <c r="J932" s="139" t="s">
        <v>133</v>
      </c>
      <c r="K932" s="136" t="s">
        <v>133</v>
      </c>
      <c r="L932" s="153" t="str">
        <f>IFERROR(__xludf.DUMMYFUNCTION("""COMPUTED_VALUE"""),"")</f>
        <v/>
      </c>
      <c r="M932" s="136" t="str">
        <f t="shared" si="1"/>
        <v/>
      </c>
      <c r="N932" s="136" t="str">
        <f>IFERROR(__xludf.DUMMYFUNCTION("""COMPUTED_VALUE"""),"")</f>
        <v/>
      </c>
      <c r="O932" s="141" t="s">
        <v>133</v>
      </c>
      <c r="P932" s="136" t="str">
        <f>IFERROR(__xludf.DUMMYFUNCTION("""COMPUTED_VALUE"""),"")</f>
        <v/>
      </c>
      <c r="Q932" s="136" t="str">
        <f>IFERROR(__xludf.DUMMYFUNCTION("""COMPUTED_VALUE"""),"")</f>
        <v/>
      </c>
      <c r="R932" s="106" t="str">
        <f>IFERROR(__xludf.DUMMYFUNCTION("""COMPUTED_VALUE"""),"")</f>
        <v/>
      </c>
      <c r="S932" s="106" t="str">
        <f>IFERROR(__xludf.DUMMYFUNCTION("""COMPUTED_VALUE"""),"")</f>
        <v/>
      </c>
      <c r="T932" s="139" t="str">
        <f>IFERROR(__xludf.DUMMYFUNCTION("""COMPUTED_VALUE"""),"")</f>
        <v/>
      </c>
      <c r="U932" s="139" t="str">
        <f>IFERROR(__xludf.DUMMYFUNCTION("""COMPUTED_VALUE"""),"")</f>
        <v/>
      </c>
      <c r="V932" s="136" t="str">
        <f>IFERROR(__xludf.DUMMYFUNCTION("""COMPUTED_VALUE"""),"")</f>
        <v/>
      </c>
      <c r="W932" s="106" t="str">
        <f>IFERROR(__xludf.DUMMYFUNCTION("""COMPUTED_VALUE"""),"")</f>
        <v/>
      </c>
      <c r="X932" s="143" t="str">
        <f t="shared" si="2"/>
        <v/>
      </c>
      <c r="Y932" s="139" t="str">
        <f>IFERROR(__xludf.DUMMYFUNCTION("""COMPUTED_VALUE"""),"")</f>
        <v/>
      </c>
      <c r="Z932" s="141" t="str">
        <f>IFERROR(__xludf.DUMMYFUNCTION("""COMPUTED_VALUE"""),"")</f>
        <v/>
      </c>
    </row>
    <row r="933">
      <c r="C933" s="136" t="str">
        <f>IFERROR(__xludf.DUMMYFUNCTION("""COMPUTED_VALUE"""),"")</f>
        <v/>
      </c>
      <c r="D933" s="136" t="str">
        <f t="shared" si="3"/>
        <v/>
      </c>
      <c r="E933" s="152" t="str">
        <f>IFERROR(__xludf.DUMMYFUNCTION("""COMPUTED_VALUE"""),"")</f>
        <v/>
      </c>
      <c r="F933" s="106" t="s">
        <v>133</v>
      </c>
      <c r="G933" s="152" t="str">
        <f>IFERROR(__xludf.DUMMYFUNCTION("""COMPUTED_VALUE"""),"")</f>
        <v/>
      </c>
      <c r="H933" s="106" t="s">
        <v>133</v>
      </c>
      <c r="I933" s="136"/>
      <c r="J933" s="139" t="s">
        <v>133</v>
      </c>
      <c r="K933" s="136" t="s">
        <v>133</v>
      </c>
      <c r="L933" s="153" t="str">
        <f>IFERROR(__xludf.DUMMYFUNCTION("""COMPUTED_VALUE"""),"")</f>
        <v/>
      </c>
      <c r="M933" s="136" t="str">
        <f t="shared" si="1"/>
        <v/>
      </c>
      <c r="N933" s="136" t="str">
        <f>IFERROR(__xludf.DUMMYFUNCTION("""COMPUTED_VALUE"""),"")</f>
        <v/>
      </c>
      <c r="O933" s="141" t="s">
        <v>133</v>
      </c>
      <c r="P933" s="136" t="str">
        <f>IFERROR(__xludf.DUMMYFUNCTION("""COMPUTED_VALUE"""),"")</f>
        <v/>
      </c>
      <c r="Q933" s="136" t="str">
        <f>IFERROR(__xludf.DUMMYFUNCTION("""COMPUTED_VALUE"""),"")</f>
        <v/>
      </c>
      <c r="R933" s="106" t="str">
        <f>IFERROR(__xludf.DUMMYFUNCTION("""COMPUTED_VALUE"""),"")</f>
        <v/>
      </c>
      <c r="S933" s="106" t="str">
        <f>IFERROR(__xludf.DUMMYFUNCTION("""COMPUTED_VALUE"""),"")</f>
        <v/>
      </c>
      <c r="T933" s="139" t="str">
        <f>IFERROR(__xludf.DUMMYFUNCTION("""COMPUTED_VALUE"""),"")</f>
        <v/>
      </c>
      <c r="U933" s="139" t="str">
        <f>IFERROR(__xludf.DUMMYFUNCTION("""COMPUTED_VALUE"""),"")</f>
        <v/>
      </c>
      <c r="V933" s="136" t="str">
        <f>IFERROR(__xludf.DUMMYFUNCTION("""COMPUTED_VALUE"""),"")</f>
        <v/>
      </c>
      <c r="W933" s="106" t="str">
        <f>IFERROR(__xludf.DUMMYFUNCTION("""COMPUTED_VALUE"""),"")</f>
        <v/>
      </c>
      <c r="X933" s="143" t="str">
        <f t="shared" si="2"/>
        <v/>
      </c>
      <c r="Y933" s="139" t="str">
        <f>IFERROR(__xludf.DUMMYFUNCTION("""COMPUTED_VALUE"""),"")</f>
        <v/>
      </c>
      <c r="Z933" s="141" t="str">
        <f>IFERROR(__xludf.DUMMYFUNCTION("""COMPUTED_VALUE"""),"")</f>
        <v/>
      </c>
    </row>
    <row r="934">
      <c r="C934" s="136" t="str">
        <f>IFERROR(__xludf.DUMMYFUNCTION("""COMPUTED_VALUE"""),"")</f>
        <v/>
      </c>
      <c r="D934" s="136" t="str">
        <f t="shared" si="3"/>
        <v/>
      </c>
      <c r="E934" s="152" t="str">
        <f>IFERROR(__xludf.DUMMYFUNCTION("""COMPUTED_VALUE"""),"")</f>
        <v/>
      </c>
      <c r="F934" s="106" t="s">
        <v>133</v>
      </c>
      <c r="G934" s="152" t="str">
        <f>IFERROR(__xludf.DUMMYFUNCTION("""COMPUTED_VALUE"""),"")</f>
        <v/>
      </c>
      <c r="H934" s="106" t="s">
        <v>133</v>
      </c>
      <c r="I934" s="136"/>
      <c r="J934" s="139" t="s">
        <v>133</v>
      </c>
      <c r="K934" s="136" t="s">
        <v>133</v>
      </c>
      <c r="L934" s="153" t="str">
        <f>IFERROR(__xludf.DUMMYFUNCTION("""COMPUTED_VALUE"""),"")</f>
        <v/>
      </c>
      <c r="M934" s="136" t="str">
        <f t="shared" si="1"/>
        <v/>
      </c>
      <c r="N934" s="136" t="str">
        <f>IFERROR(__xludf.DUMMYFUNCTION("""COMPUTED_VALUE"""),"")</f>
        <v/>
      </c>
      <c r="O934" s="141" t="s">
        <v>133</v>
      </c>
      <c r="P934" s="136" t="str">
        <f>IFERROR(__xludf.DUMMYFUNCTION("""COMPUTED_VALUE"""),"")</f>
        <v/>
      </c>
      <c r="Q934" s="136" t="str">
        <f>IFERROR(__xludf.DUMMYFUNCTION("""COMPUTED_VALUE"""),"")</f>
        <v/>
      </c>
      <c r="R934" s="106" t="str">
        <f>IFERROR(__xludf.DUMMYFUNCTION("""COMPUTED_VALUE"""),"")</f>
        <v/>
      </c>
      <c r="S934" s="106" t="str">
        <f>IFERROR(__xludf.DUMMYFUNCTION("""COMPUTED_VALUE"""),"")</f>
        <v/>
      </c>
      <c r="T934" s="139" t="str">
        <f>IFERROR(__xludf.DUMMYFUNCTION("""COMPUTED_VALUE"""),"")</f>
        <v/>
      </c>
      <c r="U934" s="139" t="str">
        <f>IFERROR(__xludf.DUMMYFUNCTION("""COMPUTED_VALUE"""),"")</f>
        <v/>
      </c>
      <c r="V934" s="136" t="str">
        <f>IFERROR(__xludf.DUMMYFUNCTION("""COMPUTED_VALUE"""),"")</f>
        <v/>
      </c>
      <c r="W934" s="106" t="str">
        <f>IFERROR(__xludf.DUMMYFUNCTION("""COMPUTED_VALUE"""),"")</f>
        <v/>
      </c>
      <c r="X934" s="143" t="str">
        <f t="shared" si="2"/>
        <v/>
      </c>
      <c r="Y934" s="139" t="str">
        <f>IFERROR(__xludf.DUMMYFUNCTION("""COMPUTED_VALUE"""),"")</f>
        <v/>
      </c>
      <c r="Z934" s="141" t="str">
        <f>IFERROR(__xludf.DUMMYFUNCTION("""COMPUTED_VALUE"""),"")</f>
        <v/>
      </c>
    </row>
    <row r="935">
      <c r="C935" s="136" t="str">
        <f>IFERROR(__xludf.DUMMYFUNCTION("""COMPUTED_VALUE"""),"")</f>
        <v/>
      </c>
      <c r="D935" s="136" t="str">
        <f t="shared" si="3"/>
        <v/>
      </c>
      <c r="E935" s="152" t="str">
        <f>IFERROR(__xludf.DUMMYFUNCTION("""COMPUTED_VALUE"""),"")</f>
        <v/>
      </c>
      <c r="F935" s="106" t="s">
        <v>133</v>
      </c>
      <c r="G935" s="152" t="str">
        <f>IFERROR(__xludf.DUMMYFUNCTION("""COMPUTED_VALUE"""),"")</f>
        <v/>
      </c>
      <c r="H935" s="106" t="s">
        <v>133</v>
      </c>
      <c r="I935" s="136"/>
      <c r="J935" s="139" t="s">
        <v>133</v>
      </c>
      <c r="K935" s="136" t="s">
        <v>133</v>
      </c>
      <c r="L935" s="153" t="str">
        <f>IFERROR(__xludf.DUMMYFUNCTION("""COMPUTED_VALUE"""),"")</f>
        <v/>
      </c>
      <c r="M935" s="136" t="str">
        <f t="shared" si="1"/>
        <v/>
      </c>
      <c r="N935" s="136" t="str">
        <f>IFERROR(__xludf.DUMMYFUNCTION("""COMPUTED_VALUE"""),"")</f>
        <v/>
      </c>
      <c r="O935" s="141" t="s">
        <v>133</v>
      </c>
      <c r="P935" s="136" t="str">
        <f>IFERROR(__xludf.DUMMYFUNCTION("""COMPUTED_VALUE"""),"")</f>
        <v/>
      </c>
      <c r="Q935" s="136" t="str">
        <f>IFERROR(__xludf.DUMMYFUNCTION("""COMPUTED_VALUE"""),"")</f>
        <v/>
      </c>
      <c r="R935" s="106" t="str">
        <f>IFERROR(__xludf.DUMMYFUNCTION("""COMPUTED_VALUE"""),"")</f>
        <v/>
      </c>
      <c r="S935" s="106" t="str">
        <f>IFERROR(__xludf.DUMMYFUNCTION("""COMPUTED_VALUE"""),"")</f>
        <v/>
      </c>
      <c r="T935" s="139" t="str">
        <f>IFERROR(__xludf.DUMMYFUNCTION("""COMPUTED_VALUE"""),"")</f>
        <v/>
      </c>
      <c r="U935" s="139" t="str">
        <f>IFERROR(__xludf.DUMMYFUNCTION("""COMPUTED_VALUE"""),"")</f>
        <v/>
      </c>
      <c r="V935" s="136" t="str">
        <f>IFERROR(__xludf.DUMMYFUNCTION("""COMPUTED_VALUE"""),"")</f>
        <v/>
      </c>
      <c r="W935" s="106" t="str">
        <f>IFERROR(__xludf.DUMMYFUNCTION("""COMPUTED_VALUE"""),"")</f>
        <v/>
      </c>
      <c r="X935" s="143" t="str">
        <f t="shared" si="2"/>
        <v/>
      </c>
      <c r="Y935" s="139" t="str">
        <f>IFERROR(__xludf.DUMMYFUNCTION("""COMPUTED_VALUE"""),"")</f>
        <v/>
      </c>
      <c r="Z935" s="141" t="str">
        <f>IFERROR(__xludf.DUMMYFUNCTION("""COMPUTED_VALUE"""),"")</f>
        <v/>
      </c>
    </row>
    <row r="936">
      <c r="C936" s="136" t="str">
        <f>IFERROR(__xludf.DUMMYFUNCTION("""COMPUTED_VALUE"""),"")</f>
        <v/>
      </c>
      <c r="D936" s="136" t="str">
        <f t="shared" si="3"/>
        <v/>
      </c>
      <c r="E936" s="152" t="str">
        <f>IFERROR(__xludf.DUMMYFUNCTION("""COMPUTED_VALUE"""),"")</f>
        <v/>
      </c>
      <c r="F936" s="106" t="s">
        <v>133</v>
      </c>
      <c r="G936" s="152" t="str">
        <f>IFERROR(__xludf.DUMMYFUNCTION("""COMPUTED_VALUE"""),"")</f>
        <v/>
      </c>
      <c r="H936" s="106" t="s">
        <v>133</v>
      </c>
      <c r="I936" s="136"/>
      <c r="J936" s="139" t="s">
        <v>133</v>
      </c>
      <c r="K936" s="136" t="s">
        <v>133</v>
      </c>
      <c r="L936" s="153" t="str">
        <f>IFERROR(__xludf.DUMMYFUNCTION("""COMPUTED_VALUE"""),"")</f>
        <v/>
      </c>
      <c r="M936" s="136" t="str">
        <f t="shared" si="1"/>
        <v/>
      </c>
      <c r="N936" s="136" t="str">
        <f>IFERROR(__xludf.DUMMYFUNCTION("""COMPUTED_VALUE"""),"")</f>
        <v/>
      </c>
      <c r="O936" s="141" t="s">
        <v>133</v>
      </c>
      <c r="P936" s="136" t="str">
        <f>IFERROR(__xludf.DUMMYFUNCTION("""COMPUTED_VALUE"""),"")</f>
        <v/>
      </c>
      <c r="Q936" s="136" t="str">
        <f>IFERROR(__xludf.DUMMYFUNCTION("""COMPUTED_VALUE"""),"")</f>
        <v/>
      </c>
      <c r="R936" s="106" t="str">
        <f>IFERROR(__xludf.DUMMYFUNCTION("""COMPUTED_VALUE"""),"")</f>
        <v/>
      </c>
      <c r="S936" s="106" t="str">
        <f>IFERROR(__xludf.DUMMYFUNCTION("""COMPUTED_VALUE"""),"")</f>
        <v/>
      </c>
      <c r="T936" s="139" t="str">
        <f>IFERROR(__xludf.DUMMYFUNCTION("""COMPUTED_VALUE"""),"")</f>
        <v/>
      </c>
      <c r="U936" s="139" t="str">
        <f>IFERROR(__xludf.DUMMYFUNCTION("""COMPUTED_VALUE"""),"")</f>
        <v/>
      </c>
      <c r="V936" s="136" t="str">
        <f>IFERROR(__xludf.DUMMYFUNCTION("""COMPUTED_VALUE"""),"")</f>
        <v/>
      </c>
      <c r="W936" s="106" t="str">
        <f>IFERROR(__xludf.DUMMYFUNCTION("""COMPUTED_VALUE"""),"")</f>
        <v/>
      </c>
      <c r="X936" s="143" t="str">
        <f t="shared" si="2"/>
        <v/>
      </c>
      <c r="Y936" s="139" t="str">
        <f>IFERROR(__xludf.DUMMYFUNCTION("""COMPUTED_VALUE"""),"")</f>
        <v/>
      </c>
      <c r="Z936" s="141" t="str">
        <f>IFERROR(__xludf.DUMMYFUNCTION("""COMPUTED_VALUE"""),"")</f>
        <v/>
      </c>
    </row>
    <row r="937">
      <c r="C937" s="136" t="str">
        <f>IFERROR(__xludf.DUMMYFUNCTION("""COMPUTED_VALUE"""),"")</f>
        <v/>
      </c>
      <c r="D937" s="136" t="str">
        <f t="shared" si="3"/>
        <v/>
      </c>
      <c r="E937" s="152" t="str">
        <f>IFERROR(__xludf.DUMMYFUNCTION("""COMPUTED_VALUE"""),"")</f>
        <v/>
      </c>
      <c r="F937" s="106" t="s">
        <v>133</v>
      </c>
      <c r="G937" s="152" t="str">
        <f>IFERROR(__xludf.DUMMYFUNCTION("""COMPUTED_VALUE"""),"")</f>
        <v/>
      </c>
      <c r="H937" s="106" t="s">
        <v>133</v>
      </c>
      <c r="I937" s="136"/>
      <c r="J937" s="139" t="s">
        <v>133</v>
      </c>
      <c r="K937" s="136" t="s">
        <v>133</v>
      </c>
      <c r="L937" s="153" t="str">
        <f>IFERROR(__xludf.DUMMYFUNCTION("""COMPUTED_VALUE"""),"")</f>
        <v/>
      </c>
      <c r="M937" s="136" t="str">
        <f t="shared" si="1"/>
        <v/>
      </c>
      <c r="N937" s="136" t="str">
        <f>IFERROR(__xludf.DUMMYFUNCTION("""COMPUTED_VALUE"""),"")</f>
        <v/>
      </c>
      <c r="O937" s="141" t="s">
        <v>133</v>
      </c>
      <c r="P937" s="136" t="str">
        <f>IFERROR(__xludf.DUMMYFUNCTION("""COMPUTED_VALUE"""),"")</f>
        <v/>
      </c>
      <c r="Q937" s="136" t="str">
        <f>IFERROR(__xludf.DUMMYFUNCTION("""COMPUTED_VALUE"""),"")</f>
        <v/>
      </c>
      <c r="R937" s="106" t="str">
        <f>IFERROR(__xludf.DUMMYFUNCTION("""COMPUTED_VALUE"""),"")</f>
        <v/>
      </c>
      <c r="S937" s="106" t="str">
        <f>IFERROR(__xludf.DUMMYFUNCTION("""COMPUTED_VALUE"""),"")</f>
        <v/>
      </c>
      <c r="T937" s="139" t="str">
        <f>IFERROR(__xludf.DUMMYFUNCTION("""COMPUTED_VALUE"""),"")</f>
        <v/>
      </c>
      <c r="U937" s="139" t="str">
        <f>IFERROR(__xludf.DUMMYFUNCTION("""COMPUTED_VALUE"""),"")</f>
        <v/>
      </c>
      <c r="V937" s="136" t="str">
        <f>IFERROR(__xludf.DUMMYFUNCTION("""COMPUTED_VALUE"""),"")</f>
        <v/>
      </c>
      <c r="W937" s="106" t="str">
        <f>IFERROR(__xludf.DUMMYFUNCTION("""COMPUTED_VALUE"""),"")</f>
        <v/>
      </c>
      <c r="X937" s="143" t="str">
        <f t="shared" si="2"/>
        <v/>
      </c>
      <c r="Y937" s="139" t="str">
        <f>IFERROR(__xludf.DUMMYFUNCTION("""COMPUTED_VALUE"""),"")</f>
        <v/>
      </c>
      <c r="Z937" s="141" t="str">
        <f>IFERROR(__xludf.DUMMYFUNCTION("""COMPUTED_VALUE"""),"")</f>
        <v/>
      </c>
    </row>
    <row r="938">
      <c r="C938" s="136" t="str">
        <f>IFERROR(__xludf.DUMMYFUNCTION("""COMPUTED_VALUE"""),"")</f>
        <v/>
      </c>
      <c r="D938" s="136" t="str">
        <f t="shared" si="3"/>
        <v/>
      </c>
      <c r="E938" s="152" t="str">
        <f>IFERROR(__xludf.DUMMYFUNCTION("""COMPUTED_VALUE"""),"")</f>
        <v/>
      </c>
      <c r="F938" s="106" t="s">
        <v>133</v>
      </c>
      <c r="G938" s="152" t="str">
        <f>IFERROR(__xludf.DUMMYFUNCTION("""COMPUTED_VALUE"""),"")</f>
        <v/>
      </c>
      <c r="H938" s="106" t="s">
        <v>133</v>
      </c>
      <c r="I938" s="136"/>
      <c r="J938" s="139" t="s">
        <v>133</v>
      </c>
      <c r="K938" s="136" t="s">
        <v>133</v>
      </c>
      <c r="L938" s="153" t="str">
        <f>IFERROR(__xludf.DUMMYFUNCTION("""COMPUTED_VALUE"""),"")</f>
        <v/>
      </c>
      <c r="M938" s="136" t="str">
        <f t="shared" si="1"/>
        <v/>
      </c>
      <c r="N938" s="136" t="str">
        <f>IFERROR(__xludf.DUMMYFUNCTION("""COMPUTED_VALUE"""),"")</f>
        <v/>
      </c>
      <c r="O938" s="141" t="s">
        <v>133</v>
      </c>
      <c r="P938" s="136" t="str">
        <f>IFERROR(__xludf.DUMMYFUNCTION("""COMPUTED_VALUE"""),"")</f>
        <v/>
      </c>
      <c r="Q938" s="136" t="str">
        <f>IFERROR(__xludf.DUMMYFUNCTION("""COMPUTED_VALUE"""),"")</f>
        <v/>
      </c>
      <c r="R938" s="106" t="str">
        <f>IFERROR(__xludf.DUMMYFUNCTION("""COMPUTED_VALUE"""),"")</f>
        <v/>
      </c>
      <c r="S938" s="106" t="str">
        <f>IFERROR(__xludf.DUMMYFUNCTION("""COMPUTED_VALUE"""),"")</f>
        <v/>
      </c>
      <c r="T938" s="139" t="str">
        <f>IFERROR(__xludf.DUMMYFUNCTION("""COMPUTED_VALUE"""),"")</f>
        <v/>
      </c>
      <c r="U938" s="139" t="str">
        <f>IFERROR(__xludf.DUMMYFUNCTION("""COMPUTED_VALUE"""),"")</f>
        <v/>
      </c>
      <c r="V938" s="136" t="str">
        <f>IFERROR(__xludf.DUMMYFUNCTION("""COMPUTED_VALUE"""),"")</f>
        <v/>
      </c>
      <c r="W938" s="106" t="str">
        <f>IFERROR(__xludf.DUMMYFUNCTION("""COMPUTED_VALUE"""),"")</f>
        <v/>
      </c>
      <c r="X938" s="143" t="str">
        <f t="shared" si="2"/>
        <v/>
      </c>
      <c r="Y938" s="139" t="str">
        <f>IFERROR(__xludf.DUMMYFUNCTION("""COMPUTED_VALUE"""),"")</f>
        <v/>
      </c>
      <c r="Z938" s="141" t="str">
        <f>IFERROR(__xludf.DUMMYFUNCTION("""COMPUTED_VALUE"""),"")</f>
        <v/>
      </c>
    </row>
    <row r="939">
      <c r="C939" s="136" t="str">
        <f>IFERROR(__xludf.DUMMYFUNCTION("""COMPUTED_VALUE"""),"")</f>
        <v/>
      </c>
      <c r="D939" s="136" t="str">
        <f t="shared" si="3"/>
        <v/>
      </c>
      <c r="E939" s="152" t="str">
        <f>IFERROR(__xludf.DUMMYFUNCTION("""COMPUTED_VALUE"""),"")</f>
        <v/>
      </c>
      <c r="F939" s="106" t="s">
        <v>133</v>
      </c>
      <c r="G939" s="152" t="str">
        <f>IFERROR(__xludf.DUMMYFUNCTION("""COMPUTED_VALUE"""),"")</f>
        <v/>
      </c>
      <c r="H939" s="106" t="s">
        <v>133</v>
      </c>
      <c r="I939" s="136"/>
      <c r="J939" s="139" t="s">
        <v>133</v>
      </c>
      <c r="K939" s="136" t="s">
        <v>133</v>
      </c>
      <c r="L939" s="153" t="str">
        <f>IFERROR(__xludf.DUMMYFUNCTION("""COMPUTED_VALUE"""),"")</f>
        <v/>
      </c>
      <c r="M939" s="136" t="str">
        <f t="shared" si="1"/>
        <v/>
      </c>
      <c r="N939" s="136" t="str">
        <f>IFERROR(__xludf.DUMMYFUNCTION("""COMPUTED_VALUE"""),"")</f>
        <v/>
      </c>
      <c r="O939" s="141" t="s">
        <v>133</v>
      </c>
      <c r="P939" s="136" t="str">
        <f>IFERROR(__xludf.DUMMYFUNCTION("""COMPUTED_VALUE"""),"")</f>
        <v/>
      </c>
      <c r="Q939" s="136" t="str">
        <f>IFERROR(__xludf.DUMMYFUNCTION("""COMPUTED_VALUE"""),"")</f>
        <v/>
      </c>
      <c r="R939" s="106" t="str">
        <f>IFERROR(__xludf.DUMMYFUNCTION("""COMPUTED_VALUE"""),"")</f>
        <v/>
      </c>
      <c r="S939" s="106" t="str">
        <f>IFERROR(__xludf.DUMMYFUNCTION("""COMPUTED_VALUE"""),"")</f>
        <v/>
      </c>
      <c r="T939" s="139" t="str">
        <f>IFERROR(__xludf.DUMMYFUNCTION("""COMPUTED_VALUE"""),"")</f>
        <v/>
      </c>
      <c r="U939" s="139" t="str">
        <f>IFERROR(__xludf.DUMMYFUNCTION("""COMPUTED_VALUE"""),"")</f>
        <v/>
      </c>
      <c r="V939" s="136" t="str">
        <f>IFERROR(__xludf.DUMMYFUNCTION("""COMPUTED_VALUE"""),"")</f>
        <v/>
      </c>
      <c r="W939" s="106" t="str">
        <f>IFERROR(__xludf.DUMMYFUNCTION("""COMPUTED_VALUE"""),"")</f>
        <v/>
      </c>
      <c r="X939" s="143" t="str">
        <f t="shared" si="2"/>
        <v/>
      </c>
      <c r="Y939" s="139" t="str">
        <f>IFERROR(__xludf.DUMMYFUNCTION("""COMPUTED_VALUE"""),"")</f>
        <v/>
      </c>
      <c r="Z939" s="141" t="str">
        <f>IFERROR(__xludf.DUMMYFUNCTION("""COMPUTED_VALUE"""),"")</f>
        <v/>
      </c>
    </row>
    <row r="940">
      <c r="C940" s="136" t="str">
        <f>IFERROR(__xludf.DUMMYFUNCTION("""COMPUTED_VALUE"""),"")</f>
        <v/>
      </c>
      <c r="D940" s="136" t="str">
        <f t="shared" si="3"/>
        <v/>
      </c>
      <c r="E940" s="152" t="str">
        <f>IFERROR(__xludf.DUMMYFUNCTION("""COMPUTED_VALUE"""),"")</f>
        <v/>
      </c>
      <c r="F940" s="106" t="s">
        <v>133</v>
      </c>
      <c r="G940" s="152" t="str">
        <f>IFERROR(__xludf.DUMMYFUNCTION("""COMPUTED_VALUE"""),"")</f>
        <v/>
      </c>
      <c r="H940" s="106" t="s">
        <v>133</v>
      </c>
      <c r="I940" s="136"/>
      <c r="J940" s="139" t="s">
        <v>133</v>
      </c>
      <c r="K940" s="136" t="s">
        <v>133</v>
      </c>
      <c r="L940" s="153" t="str">
        <f>IFERROR(__xludf.DUMMYFUNCTION("""COMPUTED_VALUE"""),"")</f>
        <v/>
      </c>
      <c r="M940" s="136" t="str">
        <f t="shared" si="1"/>
        <v/>
      </c>
      <c r="N940" s="136" t="str">
        <f>IFERROR(__xludf.DUMMYFUNCTION("""COMPUTED_VALUE"""),"")</f>
        <v/>
      </c>
      <c r="O940" s="141" t="s">
        <v>133</v>
      </c>
      <c r="P940" s="136" t="str">
        <f>IFERROR(__xludf.DUMMYFUNCTION("""COMPUTED_VALUE"""),"")</f>
        <v/>
      </c>
      <c r="Q940" s="136" t="str">
        <f>IFERROR(__xludf.DUMMYFUNCTION("""COMPUTED_VALUE"""),"")</f>
        <v/>
      </c>
      <c r="R940" s="106" t="str">
        <f>IFERROR(__xludf.DUMMYFUNCTION("""COMPUTED_VALUE"""),"")</f>
        <v/>
      </c>
      <c r="S940" s="106" t="str">
        <f>IFERROR(__xludf.DUMMYFUNCTION("""COMPUTED_VALUE"""),"")</f>
        <v/>
      </c>
      <c r="T940" s="139" t="str">
        <f>IFERROR(__xludf.DUMMYFUNCTION("""COMPUTED_VALUE"""),"")</f>
        <v/>
      </c>
      <c r="U940" s="139" t="str">
        <f>IFERROR(__xludf.DUMMYFUNCTION("""COMPUTED_VALUE"""),"")</f>
        <v/>
      </c>
      <c r="V940" s="136" t="str">
        <f>IFERROR(__xludf.DUMMYFUNCTION("""COMPUTED_VALUE"""),"")</f>
        <v/>
      </c>
      <c r="W940" s="106" t="str">
        <f>IFERROR(__xludf.DUMMYFUNCTION("""COMPUTED_VALUE"""),"")</f>
        <v/>
      </c>
      <c r="X940" s="143" t="str">
        <f t="shared" si="2"/>
        <v/>
      </c>
      <c r="Y940" s="139" t="str">
        <f>IFERROR(__xludf.DUMMYFUNCTION("""COMPUTED_VALUE"""),"")</f>
        <v/>
      </c>
      <c r="Z940" s="141" t="str">
        <f>IFERROR(__xludf.DUMMYFUNCTION("""COMPUTED_VALUE"""),"")</f>
        <v/>
      </c>
    </row>
    <row r="941">
      <c r="C941" s="136" t="str">
        <f>IFERROR(__xludf.DUMMYFUNCTION("""COMPUTED_VALUE"""),"")</f>
        <v/>
      </c>
      <c r="D941" s="136" t="str">
        <f t="shared" si="3"/>
        <v/>
      </c>
      <c r="E941" s="152" t="str">
        <f>IFERROR(__xludf.DUMMYFUNCTION("""COMPUTED_VALUE"""),"")</f>
        <v/>
      </c>
      <c r="F941" s="106" t="s">
        <v>133</v>
      </c>
      <c r="G941" s="152" t="str">
        <f>IFERROR(__xludf.DUMMYFUNCTION("""COMPUTED_VALUE"""),"")</f>
        <v/>
      </c>
      <c r="H941" s="106" t="s">
        <v>133</v>
      </c>
      <c r="I941" s="136"/>
      <c r="J941" s="139" t="s">
        <v>133</v>
      </c>
      <c r="K941" s="136" t="s">
        <v>133</v>
      </c>
      <c r="L941" s="153" t="str">
        <f>IFERROR(__xludf.DUMMYFUNCTION("""COMPUTED_VALUE"""),"")</f>
        <v/>
      </c>
      <c r="M941" s="136" t="str">
        <f t="shared" si="1"/>
        <v/>
      </c>
      <c r="N941" s="136" t="str">
        <f>IFERROR(__xludf.DUMMYFUNCTION("""COMPUTED_VALUE"""),"")</f>
        <v/>
      </c>
      <c r="O941" s="141" t="s">
        <v>133</v>
      </c>
      <c r="P941" s="136" t="str">
        <f>IFERROR(__xludf.DUMMYFUNCTION("""COMPUTED_VALUE"""),"")</f>
        <v/>
      </c>
      <c r="Q941" s="136" t="str">
        <f>IFERROR(__xludf.DUMMYFUNCTION("""COMPUTED_VALUE"""),"")</f>
        <v/>
      </c>
      <c r="R941" s="106" t="str">
        <f>IFERROR(__xludf.DUMMYFUNCTION("""COMPUTED_VALUE"""),"")</f>
        <v/>
      </c>
      <c r="S941" s="106" t="str">
        <f>IFERROR(__xludf.DUMMYFUNCTION("""COMPUTED_VALUE"""),"")</f>
        <v/>
      </c>
      <c r="T941" s="139" t="str">
        <f>IFERROR(__xludf.DUMMYFUNCTION("""COMPUTED_VALUE"""),"")</f>
        <v/>
      </c>
      <c r="U941" s="139" t="str">
        <f>IFERROR(__xludf.DUMMYFUNCTION("""COMPUTED_VALUE"""),"")</f>
        <v/>
      </c>
      <c r="V941" s="136" t="str">
        <f>IFERROR(__xludf.DUMMYFUNCTION("""COMPUTED_VALUE"""),"")</f>
        <v/>
      </c>
      <c r="W941" s="106" t="str">
        <f>IFERROR(__xludf.DUMMYFUNCTION("""COMPUTED_VALUE"""),"")</f>
        <v/>
      </c>
      <c r="X941" s="143" t="str">
        <f t="shared" si="2"/>
        <v/>
      </c>
      <c r="Y941" s="139" t="str">
        <f>IFERROR(__xludf.DUMMYFUNCTION("""COMPUTED_VALUE"""),"")</f>
        <v/>
      </c>
      <c r="Z941" s="141" t="str">
        <f>IFERROR(__xludf.DUMMYFUNCTION("""COMPUTED_VALUE"""),"")</f>
        <v/>
      </c>
    </row>
    <row r="942">
      <c r="C942" s="136" t="str">
        <f>IFERROR(__xludf.DUMMYFUNCTION("""COMPUTED_VALUE"""),"")</f>
        <v/>
      </c>
      <c r="D942" s="136" t="str">
        <f t="shared" si="3"/>
        <v/>
      </c>
      <c r="E942" s="152" t="str">
        <f>IFERROR(__xludf.DUMMYFUNCTION("""COMPUTED_VALUE"""),"")</f>
        <v/>
      </c>
      <c r="F942" s="106" t="s">
        <v>133</v>
      </c>
      <c r="G942" s="152" t="str">
        <f>IFERROR(__xludf.DUMMYFUNCTION("""COMPUTED_VALUE"""),"")</f>
        <v/>
      </c>
      <c r="H942" s="106" t="s">
        <v>133</v>
      </c>
      <c r="I942" s="136"/>
      <c r="J942" s="139" t="s">
        <v>133</v>
      </c>
      <c r="K942" s="136" t="s">
        <v>133</v>
      </c>
      <c r="L942" s="153" t="str">
        <f>IFERROR(__xludf.DUMMYFUNCTION("""COMPUTED_VALUE"""),"")</f>
        <v/>
      </c>
      <c r="M942" s="136" t="str">
        <f t="shared" si="1"/>
        <v/>
      </c>
      <c r="N942" s="136" t="str">
        <f>IFERROR(__xludf.DUMMYFUNCTION("""COMPUTED_VALUE"""),"")</f>
        <v/>
      </c>
      <c r="O942" s="141" t="s">
        <v>133</v>
      </c>
      <c r="P942" s="136" t="str">
        <f>IFERROR(__xludf.DUMMYFUNCTION("""COMPUTED_VALUE"""),"")</f>
        <v/>
      </c>
      <c r="Q942" s="136" t="str">
        <f>IFERROR(__xludf.DUMMYFUNCTION("""COMPUTED_VALUE"""),"")</f>
        <v/>
      </c>
      <c r="R942" s="106" t="str">
        <f>IFERROR(__xludf.DUMMYFUNCTION("""COMPUTED_VALUE"""),"")</f>
        <v/>
      </c>
      <c r="S942" s="106" t="str">
        <f>IFERROR(__xludf.DUMMYFUNCTION("""COMPUTED_VALUE"""),"")</f>
        <v/>
      </c>
      <c r="T942" s="139" t="str">
        <f>IFERROR(__xludf.DUMMYFUNCTION("""COMPUTED_VALUE"""),"")</f>
        <v/>
      </c>
      <c r="U942" s="139" t="str">
        <f>IFERROR(__xludf.DUMMYFUNCTION("""COMPUTED_VALUE"""),"")</f>
        <v/>
      </c>
      <c r="V942" s="136" t="str">
        <f>IFERROR(__xludf.DUMMYFUNCTION("""COMPUTED_VALUE"""),"")</f>
        <v/>
      </c>
      <c r="W942" s="106" t="str">
        <f>IFERROR(__xludf.DUMMYFUNCTION("""COMPUTED_VALUE"""),"")</f>
        <v/>
      </c>
      <c r="X942" s="143" t="str">
        <f t="shared" si="2"/>
        <v/>
      </c>
      <c r="Y942" s="139" t="str">
        <f>IFERROR(__xludf.DUMMYFUNCTION("""COMPUTED_VALUE"""),"")</f>
        <v/>
      </c>
      <c r="Z942" s="141" t="str">
        <f>IFERROR(__xludf.DUMMYFUNCTION("""COMPUTED_VALUE"""),"")</f>
        <v/>
      </c>
    </row>
    <row r="943">
      <c r="C943" s="136" t="str">
        <f>IFERROR(__xludf.DUMMYFUNCTION("""COMPUTED_VALUE"""),"")</f>
        <v/>
      </c>
      <c r="D943" s="136" t="str">
        <f t="shared" si="3"/>
        <v/>
      </c>
      <c r="E943" s="152" t="str">
        <f>IFERROR(__xludf.DUMMYFUNCTION("""COMPUTED_VALUE"""),"")</f>
        <v/>
      </c>
      <c r="F943" s="106" t="s">
        <v>133</v>
      </c>
      <c r="G943" s="152" t="str">
        <f>IFERROR(__xludf.DUMMYFUNCTION("""COMPUTED_VALUE"""),"")</f>
        <v/>
      </c>
      <c r="H943" s="106" t="s">
        <v>133</v>
      </c>
      <c r="I943" s="136"/>
      <c r="J943" s="139" t="s">
        <v>133</v>
      </c>
      <c r="K943" s="136" t="s">
        <v>133</v>
      </c>
      <c r="L943" s="153" t="str">
        <f>IFERROR(__xludf.DUMMYFUNCTION("""COMPUTED_VALUE"""),"")</f>
        <v/>
      </c>
      <c r="M943" s="136" t="str">
        <f t="shared" si="1"/>
        <v/>
      </c>
      <c r="N943" s="136" t="str">
        <f>IFERROR(__xludf.DUMMYFUNCTION("""COMPUTED_VALUE"""),"")</f>
        <v/>
      </c>
      <c r="O943" s="141" t="s">
        <v>133</v>
      </c>
      <c r="P943" s="136" t="str">
        <f>IFERROR(__xludf.DUMMYFUNCTION("""COMPUTED_VALUE"""),"")</f>
        <v/>
      </c>
      <c r="Q943" s="136" t="str">
        <f>IFERROR(__xludf.DUMMYFUNCTION("""COMPUTED_VALUE"""),"")</f>
        <v/>
      </c>
      <c r="R943" s="106" t="str">
        <f>IFERROR(__xludf.DUMMYFUNCTION("""COMPUTED_VALUE"""),"")</f>
        <v/>
      </c>
      <c r="S943" s="106" t="str">
        <f>IFERROR(__xludf.DUMMYFUNCTION("""COMPUTED_VALUE"""),"")</f>
        <v/>
      </c>
      <c r="T943" s="139" t="str">
        <f>IFERROR(__xludf.DUMMYFUNCTION("""COMPUTED_VALUE"""),"")</f>
        <v/>
      </c>
      <c r="U943" s="139" t="str">
        <f>IFERROR(__xludf.DUMMYFUNCTION("""COMPUTED_VALUE"""),"")</f>
        <v/>
      </c>
      <c r="V943" s="136" t="str">
        <f>IFERROR(__xludf.DUMMYFUNCTION("""COMPUTED_VALUE"""),"")</f>
        <v/>
      </c>
      <c r="W943" s="106" t="str">
        <f>IFERROR(__xludf.DUMMYFUNCTION("""COMPUTED_VALUE"""),"")</f>
        <v/>
      </c>
      <c r="X943" s="143" t="str">
        <f t="shared" si="2"/>
        <v/>
      </c>
      <c r="Y943" s="139" t="str">
        <f>IFERROR(__xludf.DUMMYFUNCTION("""COMPUTED_VALUE"""),"")</f>
        <v/>
      </c>
      <c r="Z943" s="141" t="str">
        <f>IFERROR(__xludf.DUMMYFUNCTION("""COMPUTED_VALUE"""),"")</f>
        <v/>
      </c>
    </row>
    <row r="944">
      <c r="C944" s="136" t="str">
        <f>IFERROR(__xludf.DUMMYFUNCTION("""COMPUTED_VALUE"""),"")</f>
        <v/>
      </c>
      <c r="D944" s="136" t="str">
        <f t="shared" si="3"/>
        <v/>
      </c>
      <c r="E944" s="152" t="str">
        <f>IFERROR(__xludf.DUMMYFUNCTION("""COMPUTED_VALUE"""),"")</f>
        <v/>
      </c>
      <c r="F944" s="106" t="s">
        <v>133</v>
      </c>
      <c r="G944" s="152" t="str">
        <f>IFERROR(__xludf.DUMMYFUNCTION("""COMPUTED_VALUE"""),"")</f>
        <v/>
      </c>
      <c r="H944" s="106" t="s">
        <v>133</v>
      </c>
      <c r="I944" s="136"/>
      <c r="J944" s="139" t="s">
        <v>133</v>
      </c>
      <c r="K944" s="136" t="s">
        <v>133</v>
      </c>
      <c r="L944" s="153" t="str">
        <f>IFERROR(__xludf.DUMMYFUNCTION("""COMPUTED_VALUE"""),"")</f>
        <v/>
      </c>
      <c r="M944" s="136" t="str">
        <f t="shared" si="1"/>
        <v/>
      </c>
      <c r="N944" s="136" t="str">
        <f>IFERROR(__xludf.DUMMYFUNCTION("""COMPUTED_VALUE"""),"")</f>
        <v/>
      </c>
      <c r="O944" s="141" t="s">
        <v>133</v>
      </c>
      <c r="P944" s="136" t="str">
        <f>IFERROR(__xludf.DUMMYFUNCTION("""COMPUTED_VALUE"""),"")</f>
        <v/>
      </c>
      <c r="Q944" s="136" t="str">
        <f>IFERROR(__xludf.DUMMYFUNCTION("""COMPUTED_VALUE"""),"")</f>
        <v/>
      </c>
      <c r="R944" s="106" t="str">
        <f>IFERROR(__xludf.DUMMYFUNCTION("""COMPUTED_VALUE"""),"")</f>
        <v/>
      </c>
      <c r="S944" s="106" t="str">
        <f>IFERROR(__xludf.DUMMYFUNCTION("""COMPUTED_VALUE"""),"")</f>
        <v/>
      </c>
      <c r="T944" s="139" t="str">
        <f>IFERROR(__xludf.DUMMYFUNCTION("""COMPUTED_VALUE"""),"")</f>
        <v/>
      </c>
      <c r="U944" s="139" t="str">
        <f>IFERROR(__xludf.DUMMYFUNCTION("""COMPUTED_VALUE"""),"")</f>
        <v/>
      </c>
      <c r="V944" s="136" t="str">
        <f>IFERROR(__xludf.DUMMYFUNCTION("""COMPUTED_VALUE"""),"")</f>
        <v/>
      </c>
      <c r="W944" s="106" t="str">
        <f>IFERROR(__xludf.DUMMYFUNCTION("""COMPUTED_VALUE"""),"")</f>
        <v/>
      </c>
      <c r="X944" s="143" t="str">
        <f t="shared" si="2"/>
        <v/>
      </c>
      <c r="Y944" s="139" t="str">
        <f>IFERROR(__xludf.DUMMYFUNCTION("""COMPUTED_VALUE"""),"")</f>
        <v/>
      </c>
      <c r="Z944" s="141" t="str">
        <f>IFERROR(__xludf.DUMMYFUNCTION("""COMPUTED_VALUE"""),"")</f>
        <v/>
      </c>
    </row>
    <row r="945">
      <c r="C945" s="136" t="str">
        <f>IFERROR(__xludf.DUMMYFUNCTION("""COMPUTED_VALUE"""),"")</f>
        <v/>
      </c>
      <c r="D945" s="136" t="str">
        <f t="shared" si="3"/>
        <v/>
      </c>
      <c r="E945" s="152" t="str">
        <f>IFERROR(__xludf.DUMMYFUNCTION("""COMPUTED_VALUE"""),"")</f>
        <v/>
      </c>
      <c r="F945" s="106" t="s">
        <v>133</v>
      </c>
      <c r="G945" s="152" t="str">
        <f>IFERROR(__xludf.DUMMYFUNCTION("""COMPUTED_VALUE"""),"")</f>
        <v/>
      </c>
      <c r="H945" s="106" t="s">
        <v>133</v>
      </c>
      <c r="I945" s="136"/>
      <c r="J945" s="139" t="s">
        <v>133</v>
      </c>
      <c r="K945" s="136" t="s">
        <v>133</v>
      </c>
      <c r="L945" s="153" t="str">
        <f>IFERROR(__xludf.DUMMYFUNCTION("""COMPUTED_VALUE"""),"")</f>
        <v/>
      </c>
      <c r="M945" s="136" t="str">
        <f t="shared" si="1"/>
        <v/>
      </c>
      <c r="N945" s="136" t="str">
        <f>IFERROR(__xludf.DUMMYFUNCTION("""COMPUTED_VALUE"""),"")</f>
        <v/>
      </c>
      <c r="O945" s="141" t="s">
        <v>133</v>
      </c>
      <c r="P945" s="136" t="str">
        <f>IFERROR(__xludf.DUMMYFUNCTION("""COMPUTED_VALUE"""),"")</f>
        <v/>
      </c>
      <c r="Q945" s="136" t="str">
        <f>IFERROR(__xludf.DUMMYFUNCTION("""COMPUTED_VALUE"""),"")</f>
        <v/>
      </c>
      <c r="R945" s="106" t="str">
        <f>IFERROR(__xludf.DUMMYFUNCTION("""COMPUTED_VALUE"""),"")</f>
        <v/>
      </c>
      <c r="S945" s="106" t="str">
        <f>IFERROR(__xludf.DUMMYFUNCTION("""COMPUTED_VALUE"""),"")</f>
        <v/>
      </c>
      <c r="T945" s="139" t="str">
        <f>IFERROR(__xludf.DUMMYFUNCTION("""COMPUTED_VALUE"""),"")</f>
        <v/>
      </c>
      <c r="U945" s="139" t="str">
        <f>IFERROR(__xludf.DUMMYFUNCTION("""COMPUTED_VALUE"""),"")</f>
        <v/>
      </c>
      <c r="V945" s="136" t="str">
        <f>IFERROR(__xludf.DUMMYFUNCTION("""COMPUTED_VALUE"""),"")</f>
        <v/>
      </c>
      <c r="W945" s="106" t="str">
        <f>IFERROR(__xludf.DUMMYFUNCTION("""COMPUTED_VALUE"""),"")</f>
        <v/>
      </c>
      <c r="X945" s="143" t="str">
        <f t="shared" si="2"/>
        <v/>
      </c>
      <c r="Y945" s="139" t="str">
        <f>IFERROR(__xludf.DUMMYFUNCTION("""COMPUTED_VALUE"""),"")</f>
        <v/>
      </c>
      <c r="Z945" s="141" t="str">
        <f>IFERROR(__xludf.DUMMYFUNCTION("""COMPUTED_VALUE"""),"")</f>
        <v/>
      </c>
    </row>
    <row r="946">
      <c r="C946" s="136" t="str">
        <f>IFERROR(__xludf.DUMMYFUNCTION("""COMPUTED_VALUE"""),"")</f>
        <v/>
      </c>
      <c r="D946" s="136" t="str">
        <f t="shared" si="3"/>
        <v/>
      </c>
      <c r="E946" s="152" t="str">
        <f>IFERROR(__xludf.DUMMYFUNCTION("""COMPUTED_VALUE"""),"")</f>
        <v/>
      </c>
      <c r="F946" s="106" t="s">
        <v>133</v>
      </c>
      <c r="G946" s="152" t="str">
        <f>IFERROR(__xludf.DUMMYFUNCTION("""COMPUTED_VALUE"""),"")</f>
        <v/>
      </c>
      <c r="H946" s="106" t="s">
        <v>133</v>
      </c>
      <c r="I946" s="136"/>
      <c r="J946" s="139" t="s">
        <v>133</v>
      </c>
      <c r="K946" s="136" t="s">
        <v>133</v>
      </c>
      <c r="L946" s="153" t="str">
        <f>IFERROR(__xludf.DUMMYFUNCTION("""COMPUTED_VALUE"""),"")</f>
        <v/>
      </c>
      <c r="M946" s="136" t="str">
        <f t="shared" si="1"/>
        <v/>
      </c>
      <c r="N946" s="136" t="str">
        <f>IFERROR(__xludf.DUMMYFUNCTION("""COMPUTED_VALUE"""),"")</f>
        <v/>
      </c>
      <c r="O946" s="141" t="s">
        <v>133</v>
      </c>
      <c r="P946" s="136" t="str">
        <f>IFERROR(__xludf.DUMMYFUNCTION("""COMPUTED_VALUE"""),"")</f>
        <v/>
      </c>
      <c r="Q946" s="136" t="str">
        <f>IFERROR(__xludf.DUMMYFUNCTION("""COMPUTED_VALUE"""),"")</f>
        <v/>
      </c>
      <c r="R946" s="106" t="str">
        <f>IFERROR(__xludf.DUMMYFUNCTION("""COMPUTED_VALUE"""),"")</f>
        <v/>
      </c>
      <c r="S946" s="106" t="str">
        <f>IFERROR(__xludf.DUMMYFUNCTION("""COMPUTED_VALUE"""),"")</f>
        <v/>
      </c>
      <c r="T946" s="139" t="str">
        <f>IFERROR(__xludf.DUMMYFUNCTION("""COMPUTED_VALUE"""),"")</f>
        <v/>
      </c>
      <c r="U946" s="139" t="str">
        <f>IFERROR(__xludf.DUMMYFUNCTION("""COMPUTED_VALUE"""),"")</f>
        <v/>
      </c>
      <c r="V946" s="136" t="str">
        <f>IFERROR(__xludf.DUMMYFUNCTION("""COMPUTED_VALUE"""),"")</f>
        <v/>
      </c>
      <c r="W946" s="106" t="str">
        <f>IFERROR(__xludf.DUMMYFUNCTION("""COMPUTED_VALUE"""),"")</f>
        <v/>
      </c>
      <c r="X946" s="143" t="str">
        <f t="shared" si="2"/>
        <v/>
      </c>
      <c r="Y946" s="139" t="str">
        <f>IFERROR(__xludf.DUMMYFUNCTION("""COMPUTED_VALUE"""),"")</f>
        <v/>
      </c>
      <c r="Z946" s="141" t="str">
        <f>IFERROR(__xludf.DUMMYFUNCTION("""COMPUTED_VALUE"""),"")</f>
        <v/>
      </c>
    </row>
    <row r="947">
      <c r="C947" s="136" t="str">
        <f>IFERROR(__xludf.DUMMYFUNCTION("""COMPUTED_VALUE"""),"")</f>
        <v/>
      </c>
      <c r="D947" s="136" t="str">
        <f t="shared" si="3"/>
        <v/>
      </c>
      <c r="E947" s="152" t="str">
        <f>IFERROR(__xludf.DUMMYFUNCTION("""COMPUTED_VALUE"""),"")</f>
        <v/>
      </c>
      <c r="F947" s="106" t="s">
        <v>133</v>
      </c>
      <c r="G947" s="152" t="str">
        <f>IFERROR(__xludf.DUMMYFUNCTION("""COMPUTED_VALUE"""),"")</f>
        <v/>
      </c>
      <c r="H947" s="106" t="s">
        <v>133</v>
      </c>
      <c r="I947" s="136"/>
      <c r="J947" s="139" t="s">
        <v>133</v>
      </c>
      <c r="K947" s="136" t="s">
        <v>133</v>
      </c>
      <c r="L947" s="153" t="str">
        <f>IFERROR(__xludf.DUMMYFUNCTION("""COMPUTED_VALUE"""),"")</f>
        <v/>
      </c>
      <c r="M947" s="136" t="str">
        <f t="shared" si="1"/>
        <v/>
      </c>
      <c r="N947" s="136" t="str">
        <f>IFERROR(__xludf.DUMMYFUNCTION("""COMPUTED_VALUE"""),"")</f>
        <v/>
      </c>
      <c r="O947" s="141" t="s">
        <v>133</v>
      </c>
      <c r="P947" s="136" t="str">
        <f>IFERROR(__xludf.DUMMYFUNCTION("""COMPUTED_VALUE"""),"")</f>
        <v/>
      </c>
      <c r="Q947" s="136" t="str">
        <f>IFERROR(__xludf.DUMMYFUNCTION("""COMPUTED_VALUE"""),"")</f>
        <v/>
      </c>
      <c r="R947" s="106" t="str">
        <f>IFERROR(__xludf.DUMMYFUNCTION("""COMPUTED_VALUE"""),"")</f>
        <v/>
      </c>
      <c r="S947" s="106" t="str">
        <f>IFERROR(__xludf.DUMMYFUNCTION("""COMPUTED_VALUE"""),"")</f>
        <v/>
      </c>
      <c r="T947" s="139" t="str">
        <f>IFERROR(__xludf.DUMMYFUNCTION("""COMPUTED_VALUE"""),"")</f>
        <v/>
      </c>
      <c r="U947" s="139" t="str">
        <f>IFERROR(__xludf.DUMMYFUNCTION("""COMPUTED_VALUE"""),"")</f>
        <v/>
      </c>
      <c r="V947" s="136" t="str">
        <f>IFERROR(__xludf.DUMMYFUNCTION("""COMPUTED_VALUE"""),"")</f>
        <v/>
      </c>
      <c r="W947" s="106" t="str">
        <f>IFERROR(__xludf.DUMMYFUNCTION("""COMPUTED_VALUE"""),"")</f>
        <v/>
      </c>
      <c r="X947" s="143" t="str">
        <f t="shared" si="2"/>
        <v/>
      </c>
      <c r="Y947" s="139" t="str">
        <f>IFERROR(__xludf.DUMMYFUNCTION("""COMPUTED_VALUE"""),"")</f>
        <v/>
      </c>
      <c r="Z947" s="141" t="str">
        <f>IFERROR(__xludf.DUMMYFUNCTION("""COMPUTED_VALUE"""),"")</f>
        <v/>
      </c>
    </row>
    <row r="948">
      <c r="C948" s="136" t="str">
        <f>IFERROR(__xludf.DUMMYFUNCTION("""COMPUTED_VALUE"""),"")</f>
        <v/>
      </c>
      <c r="D948" s="136" t="str">
        <f t="shared" si="3"/>
        <v/>
      </c>
      <c r="E948" s="152" t="str">
        <f>IFERROR(__xludf.DUMMYFUNCTION("""COMPUTED_VALUE"""),"")</f>
        <v/>
      </c>
      <c r="F948" s="106" t="s">
        <v>133</v>
      </c>
      <c r="G948" s="152" t="str">
        <f>IFERROR(__xludf.DUMMYFUNCTION("""COMPUTED_VALUE"""),"")</f>
        <v/>
      </c>
      <c r="H948" s="106" t="s">
        <v>133</v>
      </c>
      <c r="I948" s="136"/>
      <c r="J948" s="139" t="s">
        <v>133</v>
      </c>
      <c r="K948" s="136" t="s">
        <v>133</v>
      </c>
      <c r="L948" s="153" t="str">
        <f>IFERROR(__xludf.DUMMYFUNCTION("""COMPUTED_VALUE"""),"")</f>
        <v/>
      </c>
      <c r="M948" s="136" t="str">
        <f t="shared" si="1"/>
        <v/>
      </c>
      <c r="N948" s="136" t="str">
        <f>IFERROR(__xludf.DUMMYFUNCTION("""COMPUTED_VALUE"""),"")</f>
        <v/>
      </c>
      <c r="O948" s="141" t="s">
        <v>133</v>
      </c>
      <c r="P948" s="136" t="str">
        <f>IFERROR(__xludf.DUMMYFUNCTION("""COMPUTED_VALUE"""),"")</f>
        <v/>
      </c>
      <c r="Q948" s="136" t="str">
        <f>IFERROR(__xludf.DUMMYFUNCTION("""COMPUTED_VALUE"""),"")</f>
        <v/>
      </c>
      <c r="R948" s="106" t="str">
        <f>IFERROR(__xludf.DUMMYFUNCTION("""COMPUTED_VALUE"""),"")</f>
        <v/>
      </c>
      <c r="S948" s="106" t="str">
        <f>IFERROR(__xludf.DUMMYFUNCTION("""COMPUTED_VALUE"""),"")</f>
        <v/>
      </c>
      <c r="T948" s="139" t="str">
        <f>IFERROR(__xludf.DUMMYFUNCTION("""COMPUTED_VALUE"""),"")</f>
        <v/>
      </c>
      <c r="U948" s="139" t="str">
        <f>IFERROR(__xludf.DUMMYFUNCTION("""COMPUTED_VALUE"""),"")</f>
        <v/>
      </c>
      <c r="V948" s="136" t="str">
        <f>IFERROR(__xludf.DUMMYFUNCTION("""COMPUTED_VALUE"""),"")</f>
        <v/>
      </c>
      <c r="W948" s="106" t="str">
        <f>IFERROR(__xludf.DUMMYFUNCTION("""COMPUTED_VALUE"""),"")</f>
        <v/>
      </c>
      <c r="X948" s="143" t="str">
        <f t="shared" si="2"/>
        <v/>
      </c>
      <c r="Y948" s="139" t="str">
        <f>IFERROR(__xludf.DUMMYFUNCTION("""COMPUTED_VALUE"""),"")</f>
        <v/>
      </c>
      <c r="Z948" s="141" t="str">
        <f>IFERROR(__xludf.DUMMYFUNCTION("""COMPUTED_VALUE"""),"")</f>
        <v/>
      </c>
    </row>
    <row r="949">
      <c r="C949" s="136" t="str">
        <f>IFERROR(__xludf.DUMMYFUNCTION("""COMPUTED_VALUE"""),"")</f>
        <v/>
      </c>
      <c r="D949" s="136" t="str">
        <f t="shared" si="3"/>
        <v/>
      </c>
      <c r="E949" s="152" t="str">
        <f>IFERROR(__xludf.DUMMYFUNCTION("""COMPUTED_VALUE"""),"")</f>
        <v/>
      </c>
      <c r="F949" s="106" t="s">
        <v>133</v>
      </c>
      <c r="G949" s="152" t="str">
        <f>IFERROR(__xludf.DUMMYFUNCTION("""COMPUTED_VALUE"""),"")</f>
        <v/>
      </c>
      <c r="H949" s="106" t="s">
        <v>133</v>
      </c>
      <c r="I949" s="136"/>
      <c r="J949" s="139" t="s">
        <v>133</v>
      </c>
      <c r="K949" s="136" t="s">
        <v>133</v>
      </c>
      <c r="L949" s="153" t="str">
        <f>IFERROR(__xludf.DUMMYFUNCTION("""COMPUTED_VALUE"""),"")</f>
        <v/>
      </c>
      <c r="M949" s="136" t="str">
        <f t="shared" si="1"/>
        <v/>
      </c>
      <c r="N949" s="136" t="str">
        <f>IFERROR(__xludf.DUMMYFUNCTION("""COMPUTED_VALUE"""),"")</f>
        <v/>
      </c>
      <c r="O949" s="141" t="s">
        <v>133</v>
      </c>
      <c r="P949" s="136" t="str">
        <f>IFERROR(__xludf.DUMMYFUNCTION("""COMPUTED_VALUE"""),"")</f>
        <v/>
      </c>
      <c r="Q949" s="136" t="str">
        <f>IFERROR(__xludf.DUMMYFUNCTION("""COMPUTED_VALUE"""),"")</f>
        <v/>
      </c>
      <c r="R949" s="106" t="str">
        <f>IFERROR(__xludf.DUMMYFUNCTION("""COMPUTED_VALUE"""),"")</f>
        <v/>
      </c>
      <c r="S949" s="106" t="str">
        <f>IFERROR(__xludf.DUMMYFUNCTION("""COMPUTED_VALUE"""),"")</f>
        <v/>
      </c>
      <c r="T949" s="139" t="str">
        <f>IFERROR(__xludf.DUMMYFUNCTION("""COMPUTED_VALUE"""),"")</f>
        <v/>
      </c>
      <c r="U949" s="139" t="str">
        <f>IFERROR(__xludf.DUMMYFUNCTION("""COMPUTED_VALUE"""),"")</f>
        <v/>
      </c>
      <c r="V949" s="136" t="str">
        <f>IFERROR(__xludf.DUMMYFUNCTION("""COMPUTED_VALUE"""),"")</f>
        <v/>
      </c>
      <c r="W949" s="106" t="str">
        <f>IFERROR(__xludf.DUMMYFUNCTION("""COMPUTED_VALUE"""),"")</f>
        <v/>
      </c>
      <c r="X949" s="143" t="str">
        <f t="shared" si="2"/>
        <v/>
      </c>
      <c r="Y949" s="139" t="str">
        <f>IFERROR(__xludf.DUMMYFUNCTION("""COMPUTED_VALUE"""),"")</f>
        <v/>
      </c>
      <c r="Z949" s="141" t="str">
        <f>IFERROR(__xludf.DUMMYFUNCTION("""COMPUTED_VALUE"""),"")</f>
        <v/>
      </c>
    </row>
    <row r="950">
      <c r="C950" s="136" t="str">
        <f>IFERROR(__xludf.DUMMYFUNCTION("""COMPUTED_VALUE"""),"")</f>
        <v/>
      </c>
      <c r="D950" s="136" t="str">
        <f t="shared" si="3"/>
        <v/>
      </c>
      <c r="E950" s="152" t="str">
        <f>IFERROR(__xludf.DUMMYFUNCTION("""COMPUTED_VALUE"""),"")</f>
        <v/>
      </c>
      <c r="F950" s="106" t="s">
        <v>133</v>
      </c>
      <c r="G950" s="152" t="str">
        <f>IFERROR(__xludf.DUMMYFUNCTION("""COMPUTED_VALUE"""),"")</f>
        <v/>
      </c>
      <c r="H950" s="106" t="s">
        <v>133</v>
      </c>
      <c r="I950" s="136"/>
      <c r="J950" s="139" t="s">
        <v>133</v>
      </c>
      <c r="K950" s="136" t="s">
        <v>133</v>
      </c>
      <c r="L950" s="153" t="str">
        <f>IFERROR(__xludf.DUMMYFUNCTION("""COMPUTED_VALUE"""),"")</f>
        <v/>
      </c>
      <c r="M950" s="136" t="str">
        <f t="shared" si="1"/>
        <v/>
      </c>
      <c r="N950" s="136" t="str">
        <f>IFERROR(__xludf.DUMMYFUNCTION("""COMPUTED_VALUE"""),"")</f>
        <v/>
      </c>
      <c r="O950" s="141" t="s">
        <v>133</v>
      </c>
      <c r="P950" s="136" t="str">
        <f>IFERROR(__xludf.DUMMYFUNCTION("""COMPUTED_VALUE"""),"")</f>
        <v/>
      </c>
      <c r="Q950" s="136" t="str">
        <f>IFERROR(__xludf.DUMMYFUNCTION("""COMPUTED_VALUE"""),"")</f>
        <v/>
      </c>
      <c r="R950" s="106" t="str">
        <f>IFERROR(__xludf.DUMMYFUNCTION("""COMPUTED_VALUE"""),"")</f>
        <v/>
      </c>
      <c r="S950" s="106" t="str">
        <f>IFERROR(__xludf.DUMMYFUNCTION("""COMPUTED_VALUE"""),"")</f>
        <v/>
      </c>
      <c r="T950" s="139" t="str">
        <f>IFERROR(__xludf.DUMMYFUNCTION("""COMPUTED_VALUE"""),"")</f>
        <v/>
      </c>
      <c r="U950" s="139" t="str">
        <f>IFERROR(__xludf.DUMMYFUNCTION("""COMPUTED_VALUE"""),"")</f>
        <v/>
      </c>
      <c r="V950" s="136" t="str">
        <f>IFERROR(__xludf.DUMMYFUNCTION("""COMPUTED_VALUE"""),"")</f>
        <v/>
      </c>
      <c r="W950" s="106" t="str">
        <f>IFERROR(__xludf.DUMMYFUNCTION("""COMPUTED_VALUE"""),"")</f>
        <v/>
      </c>
      <c r="X950" s="143" t="str">
        <f t="shared" si="2"/>
        <v/>
      </c>
      <c r="Y950" s="139" t="str">
        <f>IFERROR(__xludf.DUMMYFUNCTION("""COMPUTED_VALUE"""),"")</f>
        <v/>
      </c>
      <c r="Z950" s="141" t="str">
        <f>IFERROR(__xludf.DUMMYFUNCTION("""COMPUTED_VALUE"""),"")</f>
        <v/>
      </c>
    </row>
    <row r="951">
      <c r="C951" s="136" t="str">
        <f>IFERROR(__xludf.DUMMYFUNCTION("""COMPUTED_VALUE"""),"")</f>
        <v/>
      </c>
      <c r="D951" s="136" t="str">
        <f t="shared" si="3"/>
        <v/>
      </c>
      <c r="E951" s="152" t="str">
        <f>IFERROR(__xludf.DUMMYFUNCTION("""COMPUTED_VALUE"""),"")</f>
        <v/>
      </c>
      <c r="F951" s="106" t="s">
        <v>133</v>
      </c>
      <c r="G951" s="152" t="str">
        <f>IFERROR(__xludf.DUMMYFUNCTION("""COMPUTED_VALUE"""),"")</f>
        <v/>
      </c>
      <c r="H951" s="106" t="s">
        <v>133</v>
      </c>
      <c r="I951" s="136"/>
      <c r="J951" s="139" t="s">
        <v>133</v>
      </c>
      <c r="K951" s="136" t="s">
        <v>133</v>
      </c>
      <c r="L951" s="153" t="str">
        <f>IFERROR(__xludf.DUMMYFUNCTION("""COMPUTED_VALUE"""),"")</f>
        <v/>
      </c>
      <c r="M951" s="136" t="str">
        <f t="shared" si="1"/>
        <v/>
      </c>
      <c r="N951" s="136" t="str">
        <f>IFERROR(__xludf.DUMMYFUNCTION("""COMPUTED_VALUE"""),"")</f>
        <v/>
      </c>
      <c r="O951" s="141" t="s">
        <v>133</v>
      </c>
      <c r="P951" s="136" t="str">
        <f>IFERROR(__xludf.DUMMYFUNCTION("""COMPUTED_VALUE"""),"")</f>
        <v/>
      </c>
      <c r="Q951" s="136" t="str">
        <f>IFERROR(__xludf.DUMMYFUNCTION("""COMPUTED_VALUE"""),"")</f>
        <v/>
      </c>
      <c r="R951" s="106" t="str">
        <f>IFERROR(__xludf.DUMMYFUNCTION("""COMPUTED_VALUE"""),"")</f>
        <v/>
      </c>
      <c r="S951" s="106" t="str">
        <f>IFERROR(__xludf.DUMMYFUNCTION("""COMPUTED_VALUE"""),"")</f>
        <v/>
      </c>
      <c r="T951" s="139" t="str">
        <f>IFERROR(__xludf.DUMMYFUNCTION("""COMPUTED_VALUE"""),"")</f>
        <v/>
      </c>
      <c r="U951" s="139" t="str">
        <f>IFERROR(__xludf.DUMMYFUNCTION("""COMPUTED_VALUE"""),"")</f>
        <v/>
      </c>
      <c r="V951" s="136" t="str">
        <f>IFERROR(__xludf.DUMMYFUNCTION("""COMPUTED_VALUE"""),"")</f>
        <v/>
      </c>
      <c r="W951" s="106" t="str">
        <f>IFERROR(__xludf.DUMMYFUNCTION("""COMPUTED_VALUE"""),"")</f>
        <v/>
      </c>
      <c r="X951" s="143" t="str">
        <f t="shared" si="2"/>
        <v/>
      </c>
      <c r="Y951" s="139" t="str">
        <f>IFERROR(__xludf.DUMMYFUNCTION("""COMPUTED_VALUE"""),"")</f>
        <v/>
      </c>
      <c r="Z951" s="141" t="str">
        <f>IFERROR(__xludf.DUMMYFUNCTION("""COMPUTED_VALUE"""),"")</f>
        <v/>
      </c>
    </row>
    <row r="952">
      <c r="C952" s="136" t="str">
        <f>IFERROR(__xludf.DUMMYFUNCTION("""COMPUTED_VALUE"""),"")</f>
        <v/>
      </c>
      <c r="D952" s="136" t="str">
        <f t="shared" si="3"/>
        <v/>
      </c>
      <c r="E952" s="152" t="str">
        <f>IFERROR(__xludf.DUMMYFUNCTION("""COMPUTED_VALUE"""),"")</f>
        <v/>
      </c>
      <c r="F952" s="106" t="s">
        <v>133</v>
      </c>
      <c r="G952" s="152" t="str">
        <f>IFERROR(__xludf.DUMMYFUNCTION("""COMPUTED_VALUE"""),"")</f>
        <v/>
      </c>
      <c r="H952" s="106" t="s">
        <v>133</v>
      </c>
      <c r="I952" s="136"/>
      <c r="J952" s="139" t="s">
        <v>133</v>
      </c>
      <c r="K952" s="136" t="s">
        <v>133</v>
      </c>
      <c r="L952" s="153" t="str">
        <f>IFERROR(__xludf.DUMMYFUNCTION("""COMPUTED_VALUE"""),"")</f>
        <v/>
      </c>
      <c r="M952" s="136" t="str">
        <f t="shared" si="1"/>
        <v/>
      </c>
      <c r="N952" s="136" t="str">
        <f>IFERROR(__xludf.DUMMYFUNCTION("""COMPUTED_VALUE"""),"")</f>
        <v/>
      </c>
      <c r="O952" s="141" t="s">
        <v>133</v>
      </c>
      <c r="P952" s="136" t="str">
        <f>IFERROR(__xludf.DUMMYFUNCTION("""COMPUTED_VALUE"""),"")</f>
        <v/>
      </c>
      <c r="Q952" s="136" t="str">
        <f>IFERROR(__xludf.DUMMYFUNCTION("""COMPUTED_VALUE"""),"")</f>
        <v/>
      </c>
      <c r="R952" s="106" t="str">
        <f>IFERROR(__xludf.DUMMYFUNCTION("""COMPUTED_VALUE"""),"")</f>
        <v/>
      </c>
      <c r="S952" s="106" t="str">
        <f>IFERROR(__xludf.DUMMYFUNCTION("""COMPUTED_VALUE"""),"")</f>
        <v/>
      </c>
      <c r="T952" s="139" t="str">
        <f>IFERROR(__xludf.DUMMYFUNCTION("""COMPUTED_VALUE"""),"")</f>
        <v/>
      </c>
      <c r="U952" s="139" t="str">
        <f>IFERROR(__xludf.DUMMYFUNCTION("""COMPUTED_VALUE"""),"")</f>
        <v/>
      </c>
      <c r="V952" s="136" t="str">
        <f>IFERROR(__xludf.DUMMYFUNCTION("""COMPUTED_VALUE"""),"")</f>
        <v/>
      </c>
      <c r="W952" s="106" t="str">
        <f>IFERROR(__xludf.DUMMYFUNCTION("""COMPUTED_VALUE"""),"")</f>
        <v/>
      </c>
      <c r="X952" s="143" t="str">
        <f t="shared" si="2"/>
        <v/>
      </c>
      <c r="Y952" s="139" t="str">
        <f>IFERROR(__xludf.DUMMYFUNCTION("""COMPUTED_VALUE"""),"")</f>
        <v/>
      </c>
      <c r="Z952" s="141" t="str">
        <f>IFERROR(__xludf.DUMMYFUNCTION("""COMPUTED_VALUE"""),"")</f>
        <v/>
      </c>
    </row>
    <row r="953">
      <c r="C953" s="136" t="str">
        <f>IFERROR(__xludf.DUMMYFUNCTION("""COMPUTED_VALUE"""),"")</f>
        <v/>
      </c>
      <c r="D953" s="136" t="str">
        <f t="shared" si="3"/>
        <v/>
      </c>
      <c r="E953" s="152" t="str">
        <f>IFERROR(__xludf.DUMMYFUNCTION("""COMPUTED_VALUE"""),"")</f>
        <v/>
      </c>
      <c r="F953" s="106" t="s">
        <v>133</v>
      </c>
      <c r="G953" s="152" t="str">
        <f>IFERROR(__xludf.DUMMYFUNCTION("""COMPUTED_VALUE"""),"")</f>
        <v/>
      </c>
      <c r="H953" s="106" t="s">
        <v>133</v>
      </c>
      <c r="I953" s="136"/>
      <c r="J953" s="139" t="s">
        <v>133</v>
      </c>
      <c r="K953" s="136" t="s">
        <v>133</v>
      </c>
      <c r="L953" s="153" t="str">
        <f>IFERROR(__xludf.DUMMYFUNCTION("""COMPUTED_VALUE"""),"")</f>
        <v/>
      </c>
      <c r="M953" s="136" t="str">
        <f t="shared" si="1"/>
        <v/>
      </c>
      <c r="N953" s="136" t="str">
        <f>IFERROR(__xludf.DUMMYFUNCTION("""COMPUTED_VALUE"""),"")</f>
        <v/>
      </c>
      <c r="O953" s="141" t="s">
        <v>133</v>
      </c>
      <c r="P953" s="136" t="str">
        <f>IFERROR(__xludf.DUMMYFUNCTION("""COMPUTED_VALUE"""),"")</f>
        <v/>
      </c>
      <c r="Q953" s="136" t="str">
        <f>IFERROR(__xludf.DUMMYFUNCTION("""COMPUTED_VALUE"""),"")</f>
        <v/>
      </c>
      <c r="R953" s="106" t="str">
        <f>IFERROR(__xludf.DUMMYFUNCTION("""COMPUTED_VALUE"""),"")</f>
        <v/>
      </c>
      <c r="S953" s="106" t="str">
        <f>IFERROR(__xludf.DUMMYFUNCTION("""COMPUTED_VALUE"""),"")</f>
        <v/>
      </c>
      <c r="T953" s="139" t="str">
        <f>IFERROR(__xludf.DUMMYFUNCTION("""COMPUTED_VALUE"""),"")</f>
        <v/>
      </c>
      <c r="U953" s="139" t="str">
        <f>IFERROR(__xludf.DUMMYFUNCTION("""COMPUTED_VALUE"""),"")</f>
        <v/>
      </c>
      <c r="V953" s="136" t="str">
        <f>IFERROR(__xludf.DUMMYFUNCTION("""COMPUTED_VALUE"""),"")</f>
        <v/>
      </c>
      <c r="W953" s="106" t="str">
        <f>IFERROR(__xludf.DUMMYFUNCTION("""COMPUTED_VALUE"""),"")</f>
        <v/>
      </c>
      <c r="X953" s="143" t="str">
        <f t="shared" si="2"/>
        <v/>
      </c>
      <c r="Y953" s="139" t="str">
        <f>IFERROR(__xludf.DUMMYFUNCTION("""COMPUTED_VALUE"""),"")</f>
        <v/>
      </c>
      <c r="Z953" s="141" t="str">
        <f>IFERROR(__xludf.DUMMYFUNCTION("""COMPUTED_VALUE"""),"")</f>
        <v/>
      </c>
    </row>
    <row r="954">
      <c r="C954" s="136" t="str">
        <f>IFERROR(__xludf.DUMMYFUNCTION("""COMPUTED_VALUE"""),"")</f>
        <v/>
      </c>
      <c r="D954" s="136" t="str">
        <f t="shared" si="3"/>
        <v/>
      </c>
      <c r="E954" s="152" t="str">
        <f>IFERROR(__xludf.DUMMYFUNCTION("""COMPUTED_VALUE"""),"")</f>
        <v/>
      </c>
      <c r="F954" s="106" t="s">
        <v>133</v>
      </c>
      <c r="G954" s="152" t="str">
        <f>IFERROR(__xludf.DUMMYFUNCTION("""COMPUTED_VALUE"""),"")</f>
        <v/>
      </c>
      <c r="H954" s="106" t="s">
        <v>133</v>
      </c>
      <c r="I954" s="136"/>
      <c r="J954" s="139" t="s">
        <v>133</v>
      </c>
      <c r="K954" s="136" t="s">
        <v>133</v>
      </c>
      <c r="L954" s="153" t="str">
        <f>IFERROR(__xludf.DUMMYFUNCTION("""COMPUTED_VALUE"""),"")</f>
        <v/>
      </c>
      <c r="M954" s="136" t="str">
        <f t="shared" si="1"/>
        <v/>
      </c>
      <c r="N954" s="136" t="str">
        <f>IFERROR(__xludf.DUMMYFUNCTION("""COMPUTED_VALUE"""),"")</f>
        <v/>
      </c>
      <c r="O954" s="141" t="s">
        <v>133</v>
      </c>
      <c r="P954" s="136" t="str">
        <f>IFERROR(__xludf.DUMMYFUNCTION("""COMPUTED_VALUE"""),"")</f>
        <v/>
      </c>
      <c r="Q954" s="136" t="str">
        <f>IFERROR(__xludf.DUMMYFUNCTION("""COMPUTED_VALUE"""),"")</f>
        <v/>
      </c>
      <c r="R954" s="106" t="str">
        <f>IFERROR(__xludf.DUMMYFUNCTION("""COMPUTED_VALUE"""),"")</f>
        <v/>
      </c>
      <c r="S954" s="106" t="str">
        <f>IFERROR(__xludf.DUMMYFUNCTION("""COMPUTED_VALUE"""),"")</f>
        <v/>
      </c>
      <c r="T954" s="139" t="str">
        <f>IFERROR(__xludf.DUMMYFUNCTION("""COMPUTED_VALUE"""),"")</f>
        <v/>
      </c>
      <c r="U954" s="139" t="str">
        <f>IFERROR(__xludf.DUMMYFUNCTION("""COMPUTED_VALUE"""),"")</f>
        <v/>
      </c>
      <c r="V954" s="136" t="str">
        <f>IFERROR(__xludf.DUMMYFUNCTION("""COMPUTED_VALUE"""),"")</f>
        <v/>
      </c>
      <c r="W954" s="106" t="str">
        <f>IFERROR(__xludf.DUMMYFUNCTION("""COMPUTED_VALUE"""),"")</f>
        <v/>
      </c>
      <c r="X954" s="143" t="str">
        <f t="shared" si="2"/>
        <v/>
      </c>
      <c r="Y954" s="139" t="str">
        <f>IFERROR(__xludf.DUMMYFUNCTION("""COMPUTED_VALUE"""),"")</f>
        <v/>
      </c>
      <c r="Z954" s="141" t="str">
        <f>IFERROR(__xludf.DUMMYFUNCTION("""COMPUTED_VALUE"""),"")</f>
        <v/>
      </c>
    </row>
    <row r="955">
      <c r="C955" s="136" t="str">
        <f>IFERROR(__xludf.DUMMYFUNCTION("""COMPUTED_VALUE"""),"")</f>
        <v/>
      </c>
      <c r="D955" s="136" t="str">
        <f t="shared" si="3"/>
        <v/>
      </c>
      <c r="E955" s="152" t="str">
        <f>IFERROR(__xludf.DUMMYFUNCTION("""COMPUTED_VALUE"""),"")</f>
        <v/>
      </c>
      <c r="F955" s="106" t="s">
        <v>133</v>
      </c>
      <c r="G955" s="152" t="str">
        <f>IFERROR(__xludf.DUMMYFUNCTION("""COMPUTED_VALUE"""),"")</f>
        <v/>
      </c>
      <c r="H955" s="106" t="s">
        <v>133</v>
      </c>
      <c r="I955" s="136"/>
      <c r="J955" s="139" t="s">
        <v>133</v>
      </c>
      <c r="K955" s="136" t="s">
        <v>133</v>
      </c>
      <c r="L955" s="153" t="str">
        <f>IFERROR(__xludf.DUMMYFUNCTION("""COMPUTED_VALUE"""),"")</f>
        <v/>
      </c>
      <c r="M955" s="136" t="str">
        <f t="shared" si="1"/>
        <v/>
      </c>
      <c r="N955" s="136" t="str">
        <f>IFERROR(__xludf.DUMMYFUNCTION("""COMPUTED_VALUE"""),"")</f>
        <v/>
      </c>
      <c r="O955" s="141" t="s">
        <v>133</v>
      </c>
      <c r="P955" s="136" t="str">
        <f>IFERROR(__xludf.DUMMYFUNCTION("""COMPUTED_VALUE"""),"")</f>
        <v/>
      </c>
      <c r="Q955" s="136" t="str">
        <f>IFERROR(__xludf.DUMMYFUNCTION("""COMPUTED_VALUE"""),"")</f>
        <v/>
      </c>
      <c r="R955" s="106" t="str">
        <f>IFERROR(__xludf.DUMMYFUNCTION("""COMPUTED_VALUE"""),"")</f>
        <v/>
      </c>
      <c r="S955" s="106" t="str">
        <f>IFERROR(__xludf.DUMMYFUNCTION("""COMPUTED_VALUE"""),"")</f>
        <v/>
      </c>
      <c r="T955" s="139" t="str">
        <f>IFERROR(__xludf.DUMMYFUNCTION("""COMPUTED_VALUE"""),"")</f>
        <v/>
      </c>
      <c r="U955" s="139" t="str">
        <f>IFERROR(__xludf.DUMMYFUNCTION("""COMPUTED_VALUE"""),"")</f>
        <v/>
      </c>
      <c r="V955" s="136" t="str">
        <f>IFERROR(__xludf.DUMMYFUNCTION("""COMPUTED_VALUE"""),"")</f>
        <v/>
      </c>
      <c r="W955" s="106" t="str">
        <f>IFERROR(__xludf.DUMMYFUNCTION("""COMPUTED_VALUE"""),"")</f>
        <v/>
      </c>
      <c r="X955" s="143" t="str">
        <f t="shared" si="2"/>
        <v/>
      </c>
      <c r="Y955" s="139" t="str">
        <f>IFERROR(__xludf.DUMMYFUNCTION("""COMPUTED_VALUE"""),"")</f>
        <v/>
      </c>
      <c r="Z955" s="141" t="str">
        <f>IFERROR(__xludf.DUMMYFUNCTION("""COMPUTED_VALUE"""),"")</f>
        <v/>
      </c>
    </row>
    <row r="956">
      <c r="C956" s="136" t="str">
        <f>IFERROR(__xludf.DUMMYFUNCTION("""COMPUTED_VALUE"""),"")</f>
        <v/>
      </c>
      <c r="D956" s="136" t="str">
        <f t="shared" si="3"/>
        <v/>
      </c>
      <c r="E956" s="152" t="str">
        <f>IFERROR(__xludf.DUMMYFUNCTION("""COMPUTED_VALUE"""),"")</f>
        <v/>
      </c>
      <c r="F956" s="106" t="s">
        <v>133</v>
      </c>
      <c r="G956" s="152" t="str">
        <f>IFERROR(__xludf.DUMMYFUNCTION("""COMPUTED_VALUE"""),"")</f>
        <v/>
      </c>
      <c r="H956" s="106" t="s">
        <v>133</v>
      </c>
      <c r="I956" s="136"/>
      <c r="J956" s="139" t="s">
        <v>133</v>
      </c>
      <c r="K956" s="136" t="s">
        <v>133</v>
      </c>
      <c r="L956" s="153" t="str">
        <f>IFERROR(__xludf.DUMMYFUNCTION("""COMPUTED_VALUE"""),"")</f>
        <v/>
      </c>
      <c r="M956" s="136" t="str">
        <f t="shared" si="1"/>
        <v/>
      </c>
      <c r="N956" s="136" t="str">
        <f>IFERROR(__xludf.DUMMYFUNCTION("""COMPUTED_VALUE"""),"")</f>
        <v/>
      </c>
      <c r="O956" s="141" t="s">
        <v>133</v>
      </c>
      <c r="P956" s="136" t="str">
        <f>IFERROR(__xludf.DUMMYFUNCTION("""COMPUTED_VALUE"""),"")</f>
        <v/>
      </c>
      <c r="Q956" s="136" t="str">
        <f>IFERROR(__xludf.DUMMYFUNCTION("""COMPUTED_VALUE"""),"")</f>
        <v/>
      </c>
      <c r="R956" s="106" t="str">
        <f>IFERROR(__xludf.DUMMYFUNCTION("""COMPUTED_VALUE"""),"")</f>
        <v/>
      </c>
      <c r="S956" s="106" t="str">
        <f>IFERROR(__xludf.DUMMYFUNCTION("""COMPUTED_VALUE"""),"")</f>
        <v/>
      </c>
      <c r="T956" s="139" t="str">
        <f>IFERROR(__xludf.DUMMYFUNCTION("""COMPUTED_VALUE"""),"")</f>
        <v/>
      </c>
      <c r="U956" s="139" t="str">
        <f>IFERROR(__xludf.DUMMYFUNCTION("""COMPUTED_VALUE"""),"")</f>
        <v/>
      </c>
      <c r="V956" s="136" t="str">
        <f>IFERROR(__xludf.DUMMYFUNCTION("""COMPUTED_VALUE"""),"")</f>
        <v/>
      </c>
      <c r="W956" s="106" t="str">
        <f>IFERROR(__xludf.DUMMYFUNCTION("""COMPUTED_VALUE"""),"")</f>
        <v/>
      </c>
      <c r="X956" s="143" t="str">
        <f t="shared" si="2"/>
        <v/>
      </c>
      <c r="Y956" s="139" t="str">
        <f>IFERROR(__xludf.DUMMYFUNCTION("""COMPUTED_VALUE"""),"")</f>
        <v/>
      </c>
      <c r="Z956" s="141" t="str">
        <f>IFERROR(__xludf.DUMMYFUNCTION("""COMPUTED_VALUE"""),"")</f>
        <v/>
      </c>
    </row>
    <row r="957">
      <c r="C957" s="136" t="str">
        <f>IFERROR(__xludf.DUMMYFUNCTION("""COMPUTED_VALUE"""),"")</f>
        <v/>
      </c>
      <c r="D957" s="136" t="str">
        <f t="shared" si="3"/>
        <v/>
      </c>
      <c r="E957" s="152" t="str">
        <f>IFERROR(__xludf.DUMMYFUNCTION("""COMPUTED_VALUE"""),"")</f>
        <v/>
      </c>
      <c r="F957" s="106" t="s">
        <v>133</v>
      </c>
      <c r="G957" s="152" t="str">
        <f>IFERROR(__xludf.DUMMYFUNCTION("""COMPUTED_VALUE"""),"")</f>
        <v/>
      </c>
      <c r="H957" s="106" t="s">
        <v>133</v>
      </c>
      <c r="I957" s="136"/>
      <c r="J957" s="139" t="s">
        <v>133</v>
      </c>
      <c r="K957" s="136" t="s">
        <v>133</v>
      </c>
      <c r="L957" s="153" t="str">
        <f>IFERROR(__xludf.DUMMYFUNCTION("""COMPUTED_VALUE"""),"")</f>
        <v/>
      </c>
      <c r="M957" s="136" t="str">
        <f t="shared" si="1"/>
        <v/>
      </c>
      <c r="N957" s="136" t="str">
        <f>IFERROR(__xludf.DUMMYFUNCTION("""COMPUTED_VALUE"""),"")</f>
        <v/>
      </c>
      <c r="O957" s="141" t="s">
        <v>133</v>
      </c>
      <c r="P957" s="136" t="str">
        <f>IFERROR(__xludf.DUMMYFUNCTION("""COMPUTED_VALUE"""),"")</f>
        <v/>
      </c>
      <c r="Q957" s="136" t="str">
        <f>IFERROR(__xludf.DUMMYFUNCTION("""COMPUTED_VALUE"""),"")</f>
        <v/>
      </c>
      <c r="R957" s="106" t="str">
        <f>IFERROR(__xludf.DUMMYFUNCTION("""COMPUTED_VALUE"""),"")</f>
        <v/>
      </c>
      <c r="S957" s="106" t="str">
        <f>IFERROR(__xludf.DUMMYFUNCTION("""COMPUTED_VALUE"""),"")</f>
        <v/>
      </c>
      <c r="T957" s="139" t="str">
        <f>IFERROR(__xludf.DUMMYFUNCTION("""COMPUTED_VALUE"""),"")</f>
        <v/>
      </c>
      <c r="U957" s="139" t="str">
        <f>IFERROR(__xludf.DUMMYFUNCTION("""COMPUTED_VALUE"""),"")</f>
        <v/>
      </c>
      <c r="V957" s="136" t="str">
        <f>IFERROR(__xludf.DUMMYFUNCTION("""COMPUTED_VALUE"""),"")</f>
        <v/>
      </c>
      <c r="W957" s="106" t="str">
        <f>IFERROR(__xludf.DUMMYFUNCTION("""COMPUTED_VALUE"""),"")</f>
        <v/>
      </c>
      <c r="X957" s="143" t="str">
        <f t="shared" si="2"/>
        <v/>
      </c>
      <c r="Y957" s="139" t="str">
        <f>IFERROR(__xludf.DUMMYFUNCTION("""COMPUTED_VALUE"""),"")</f>
        <v/>
      </c>
      <c r="Z957" s="141" t="str">
        <f>IFERROR(__xludf.DUMMYFUNCTION("""COMPUTED_VALUE"""),"")</f>
        <v/>
      </c>
    </row>
    <row r="958">
      <c r="C958" s="136" t="str">
        <f>IFERROR(__xludf.DUMMYFUNCTION("""COMPUTED_VALUE"""),"")</f>
        <v/>
      </c>
      <c r="D958" s="136" t="str">
        <f t="shared" si="3"/>
        <v/>
      </c>
      <c r="E958" s="152" t="str">
        <f>IFERROR(__xludf.DUMMYFUNCTION("""COMPUTED_VALUE"""),"")</f>
        <v/>
      </c>
      <c r="F958" s="106" t="s">
        <v>133</v>
      </c>
      <c r="G958" s="152" t="str">
        <f>IFERROR(__xludf.DUMMYFUNCTION("""COMPUTED_VALUE"""),"")</f>
        <v/>
      </c>
      <c r="H958" s="106" t="s">
        <v>133</v>
      </c>
      <c r="I958" s="136"/>
      <c r="J958" s="139" t="s">
        <v>133</v>
      </c>
      <c r="K958" s="136" t="s">
        <v>133</v>
      </c>
      <c r="L958" s="153" t="str">
        <f>IFERROR(__xludf.DUMMYFUNCTION("""COMPUTED_VALUE"""),"")</f>
        <v/>
      </c>
      <c r="M958" s="136" t="str">
        <f t="shared" si="1"/>
        <v/>
      </c>
      <c r="N958" s="136" t="str">
        <f>IFERROR(__xludf.DUMMYFUNCTION("""COMPUTED_VALUE"""),"")</f>
        <v/>
      </c>
      <c r="O958" s="141" t="s">
        <v>133</v>
      </c>
      <c r="P958" s="136" t="str">
        <f>IFERROR(__xludf.DUMMYFUNCTION("""COMPUTED_VALUE"""),"")</f>
        <v/>
      </c>
      <c r="Q958" s="136" t="str">
        <f>IFERROR(__xludf.DUMMYFUNCTION("""COMPUTED_VALUE"""),"")</f>
        <v/>
      </c>
      <c r="R958" s="106" t="str">
        <f>IFERROR(__xludf.DUMMYFUNCTION("""COMPUTED_VALUE"""),"")</f>
        <v/>
      </c>
      <c r="S958" s="106" t="str">
        <f>IFERROR(__xludf.DUMMYFUNCTION("""COMPUTED_VALUE"""),"")</f>
        <v/>
      </c>
      <c r="T958" s="139" t="str">
        <f>IFERROR(__xludf.DUMMYFUNCTION("""COMPUTED_VALUE"""),"")</f>
        <v/>
      </c>
      <c r="U958" s="139" t="str">
        <f>IFERROR(__xludf.DUMMYFUNCTION("""COMPUTED_VALUE"""),"")</f>
        <v/>
      </c>
      <c r="V958" s="136" t="str">
        <f>IFERROR(__xludf.DUMMYFUNCTION("""COMPUTED_VALUE"""),"")</f>
        <v/>
      </c>
      <c r="W958" s="106" t="str">
        <f>IFERROR(__xludf.DUMMYFUNCTION("""COMPUTED_VALUE"""),"")</f>
        <v/>
      </c>
      <c r="X958" s="143" t="str">
        <f t="shared" si="2"/>
        <v/>
      </c>
      <c r="Y958" s="139" t="str">
        <f>IFERROR(__xludf.DUMMYFUNCTION("""COMPUTED_VALUE"""),"")</f>
        <v/>
      </c>
      <c r="Z958" s="141" t="str">
        <f>IFERROR(__xludf.DUMMYFUNCTION("""COMPUTED_VALUE"""),"")</f>
        <v/>
      </c>
    </row>
    <row r="959">
      <c r="C959" s="136" t="str">
        <f>IFERROR(__xludf.DUMMYFUNCTION("""COMPUTED_VALUE"""),"")</f>
        <v/>
      </c>
      <c r="D959" s="136" t="str">
        <f t="shared" si="3"/>
        <v/>
      </c>
      <c r="E959" s="152" t="str">
        <f>IFERROR(__xludf.DUMMYFUNCTION("""COMPUTED_VALUE"""),"")</f>
        <v/>
      </c>
      <c r="F959" s="106" t="s">
        <v>133</v>
      </c>
      <c r="G959" s="152" t="str">
        <f>IFERROR(__xludf.DUMMYFUNCTION("""COMPUTED_VALUE"""),"")</f>
        <v/>
      </c>
      <c r="H959" s="106" t="s">
        <v>133</v>
      </c>
      <c r="I959" s="136"/>
      <c r="J959" s="139" t="s">
        <v>133</v>
      </c>
      <c r="K959" s="136" t="s">
        <v>133</v>
      </c>
      <c r="L959" s="153" t="str">
        <f>IFERROR(__xludf.DUMMYFUNCTION("""COMPUTED_VALUE"""),"")</f>
        <v/>
      </c>
      <c r="M959" s="136" t="str">
        <f t="shared" si="1"/>
        <v/>
      </c>
      <c r="N959" s="136" t="str">
        <f>IFERROR(__xludf.DUMMYFUNCTION("""COMPUTED_VALUE"""),"")</f>
        <v/>
      </c>
      <c r="O959" s="141" t="s">
        <v>133</v>
      </c>
      <c r="P959" s="136" t="str">
        <f>IFERROR(__xludf.DUMMYFUNCTION("""COMPUTED_VALUE"""),"")</f>
        <v/>
      </c>
      <c r="Q959" s="136" t="str">
        <f>IFERROR(__xludf.DUMMYFUNCTION("""COMPUTED_VALUE"""),"")</f>
        <v/>
      </c>
      <c r="R959" s="106" t="str">
        <f>IFERROR(__xludf.DUMMYFUNCTION("""COMPUTED_VALUE"""),"")</f>
        <v/>
      </c>
      <c r="S959" s="106" t="str">
        <f>IFERROR(__xludf.DUMMYFUNCTION("""COMPUTED_VALUE"""),"")</f>
        <v/>
      </c>
      <c r="T959" s="139" t="str">
        <f>IFERROR(__xludf.DUMMYFUNCTION("""COMPUTED_VALUE"""),"")</f>
        <v/>
      </c>
      <c r="U959" s="139" t="str">
        <f>IFERROR(__xludf.DUMMYFUNCTION("""COMPUTED_VALUE"""),"")</f>
        <v/>
      </c>
      <c r="V959" s="136" t="str">
        <f>IFERROR(__xludf.DUMMYFUNCTION("""COMPUTED_VALUE"""),"")</f>
        <v/>
      </c>
      <c r="W959" s="106" t="str">
        <f>IFERROR(__xludf.DUMMYFUNCTION("""COMPUTED_VALUE"""),"")</f>
        <v/>
      </c>
      <c r="X959" s="143" t="str">
        <f t="shared" si="2"/>
        <v/>
      </c>
      <c r="Y959" s="139" t="str">
        <f>IFERROR(__xludf.DUMMYFUNCTION("""COMPUTED_VALUE"""),"")</f>
        <v/>
      </c>
      <c r="Z959" s="141" t="str">
        <f>IFERROR(__xludf.DUMMYFUNCTION("""COMPUTED_VALUE"""),"")</f>
        <v/>
      </c>
    </row>
    <row r="960">
      <c r="C960" s="136" t="str">
        <f>IFERROR(__xludf.DUMMYFUNCTION("""COMPUTED_VALUE"""),"")</f>
        <v/>
      </c>
      <c r="D960" s="136" t="str">
        <f t="shared" si="3"/>
        <v/>
      </c>
      <c r="E960" s="152" t="str">
        <f>IFERROR(__xludf.DUMMYFUNCTION("""COMPUTED_VALUE"""),"")</f>
        <v/>
      </c>
      <c r="F960" s="106" t="s">
        <v>133</v>
      </c>
      <c r="G960" s="152" t="str">
        <f>IFERROR(__xludf.DUMMYFUNCTION("""COMPUTED_VALUE"""),"")</f>
        <v/>
      </c>
      <c r="H960" s="106" t="s">
        <v>133</v>
      </c>
      <c r="I960" s="136"/>
      <c r="J960" s="139" t="s">
        <v>133</v>
      </c>
      <c r="K960" s="136" t="s">
        <v>133</v>
      </c>
      <c r="L960" s="153" t="str">
        <f>IFERROR(__xludf.DUMMYFUNCTION("""COMPUTED_VALUE"""),"")</f>
        <v/>
      </c>
      <c r="M960" s="136" t="str">
        <f t="shared" si="1"/>
        <v/>
      </c>
      <c r="N960" s="136" t="str">
        <f>IFERROR(__xludf.DUMMYFUNCTION("""COMPUTED_VALUE"""),"")</f>
        <v/>
      </c>
      <c r="O960" s="141" t="s">
        <v>133</v>
      </c>
      <c r="P960" s="136" t="str">
        <f>IFERROR(__xludf.DUMMYFUNCTION("""COMPUTED_VALUE"""),"")</f>
        <v/>
      </c>
      <c r="Q960" s="136" t="str">
        <f>IFERROR(__xludf.DUMMYFUNCTION("""COMPUTED_VALUE"""),"")</f>
        <v/>
      </c>
      <c r="R960" s="106" t="str">
        <f>IFERROR(__xludf.DUMMYFUNCTION("""COMPUTED_VALUE"""),"")</f>
        <v/>
      </c>
      <c r="S960" s="106" t="str">
        <f>IFERROR(__xludf.DUMMYFUNCTION("""COMPUTED_VALUE"""),"")</f>
        <v/>
      </c>
      <c r="T960" s="139" t="str">
        <f>IFERROR(__xludf.DUMMYFUNCTION("""COMPUTED_VALUE"""),"")</f>
        <v/>
      </c>
      <c r="U960" s="139" t="str">
        <f>IFERROR(__xludf.DUMMYFUNCTION("""COMPUTED_VALUE"""),"")</f>
        <v/>
      </c>
      <c r="V960" s="136" t="str">
        <f>IFERROR(__xludf.DUMMYFUNCTION("""COMPUTED_VALUE"""),"")</f>
        <v/>
      </c>
      <c r="W960" s="106" t="str">
        <f>IFERROR(__xludf.DUMMYFUNCTION("""COMPUTED_VALUE"""),"")</f>
        <v/>
      </c>
      <c r="X960" s="143" t="str">
        <f t="shared" si="2"/>
        <v/>
      </c>
      <c r="Y960" s="139" t="str">
        <f>IFERROR(__xludf.DUMMYFUNCTION("""COMPUTED_VALUE"""),"")</f>
        <v/>
      </c>
      <c r="Z960" s="141" t="str">
        <f>IFERROR(__xludf.DUMMYFUNCTION("""COMPUTED_VALUE"""),"")</f>
        <v/>
      </c>
    </row>
    <row r="961">
      <c r="C961" s="136" t="str">
        <f>IFERROR(__xludf.DUMMYFUNCTION("""COMPUTED_VALUE"""),"")</f>
        <v/>
      </c>
      <c r="D961" s="136" t="str">
        <f t="shared" si="3"/>
        <v/>
      </c>
      <c r="E961" s="152" t="str">
        <f>IFERROR(__xludf.DUMMYFUNCTION("""COMPUTED_VALUE"""),"")</f>
        <v/>
      </c>
      <c r="F961" s="106" t="s">
        <v>133</v>
      </c>
      <c r="G961" s="152" t="str">
        <f>IFERROR(__xludf.DUMMYFUNCTION("""COMPUTED_VALUE"""),"")</f>
        <v/>
      </c>
      <c r="H961" s="106" t="s">
        <v>133</v>
      </c>
      <c r="I961" s="136"/>
      <c r="J961" s="139" t="s">
        <v>133</v>
      </c>
      <c r="K961" s="136" t="s">
        <v>133</v>
      </c>
      <c r="L961" s="153" t="str">
        <f>IFERROR(__xludf.DUMMYFUNCTION("""COMPUTED_VALUE"""),"")</f>
        <v/>
      </c>
      <c r="M961" s="136" t="str">
        <f t="shared" si="1"/>
        <v/>
      </c>
      <c r="N961" s="136" t="str">
        <f>IFERROR(__xludf.DUMMYFUNCTION("""COMPUTED_VALUE"""),"")</f>
        <v/>
      </c>
      <c r="O961" s="141" t="s">
        <v>133</v>
      </c>
      <c r="P961" s="136" t="str">
        <f>IFERROR(__xludf.DUMMYFUNCTION("""COMPUTED_VALUE"""),"")</f>
        <v/>
      </c>
      <c r="Q961" s="136" t="str">
        <f>IFERROR(__xludf.DUMMYFUNCTION("""COMPUTED_VALUE"""),"")</f>
        <v/>
      </c>
      <c r="R961" s="106" t="str">
        <f>IFERROR(__xludf.DUMMYFUNCTION("""COMPUTED_VALUE"""),"")</f>
        <v/>
      </c>
      <c r="S961" s="106" t="str">
        <f>IFERROR(__xludf.DUMMYFUNCTION("""COMPUTED_VALUE"""),"")</f>
        <v/>
      </c>
      <c r="T961" s="139" t="str">
        <f>IFERROR(__xludf.DUMMYFUNCTION("""COMPUTED_VALUE"""),"")</f>
        <v/>
      </c>
      <c r="U961" s="139" t="str">
        <f>IFERROR(__xludf.DUMMYFUNCTION("""COMPUTED_VALUE"""),"")</f>
        <v/>
      </c>
      <c r="V961" s="136" t="str">
        <f>IFERROR(__xludf.DUMMYFUNCTION("""COMPUTED_VALUE"""),"")</f>
        <v/>
      </c>
      <c r="W961" s="106" t="str">
        <f>IFERROR(__xludf.DUMMYFUNCTION("""COMPUTED_VALUE"""),"")</f>
        <v/>
      </c>
      <c r="X961" s="143" t="str">
        <f t="shared" si="2"/>
        <v/>
      </c>
      <c r="Y961" s="139" t="str">
        <f>IFERROR(__xludf.DUMMYFUNCTION("""COMPUTED_VALUE"""),"")</f>
        <v/>
      </c>
      <c r="Z961" s="141" t="str">
        <f>IFERROR(__xludf.DUMMYFUNCTION("""COMPUTED_VALUE"""),"")</f>
        <v/>
      </c>
    </row>
    <row r="962">
      <c r="C962" s="136" t="str">
        <f>IFERROR(__xludf.DUMMYFUNCTION("""COMPUTED_VALUE"""),"")</f>
        <v/>
      </c>
      <c r="D962" s="136" t="str">
        <f t="shared" si="3"/>
        <v/>
      </c>
      <c r="E962" s="152" t="str">
        <f>IFERROR(__xludf.DUMMYFUNCTION("""COMPUTED_VALUE"""),"")</f>
        <v/>
      </c>
      <c r="F962" s="106" t="s">
        <v>133</v>
      </c>
      <c r="G962" s="152" t="str">
        <f>IFERROR(__xludf.DUMMYFUNCTION("""COMPUTED_VALUE"""),"")</f>
        <v/>
      </c>
      <c r="H962" s="106" t="s">
        <v>133</v>
      </c>
      <c r="I962" s="136"/>
      <c r="J962" s="139" t="s">
        <v>133</v>
      </c>
      <c r="K962" s="136" t="s">
        <v>133</v>
      </c>
      <c r="L962" s="153" t="str">
        <f>IFERROR(__xludf.DUMMYFUNCTION("""COMPUTED_VALUE"""),"")</f>
        <v/>
      </c>
      <c r="M962" s="136" t="str">
        <f t="shared" si="1"/>
        <v/>
      </c>
      <c r="N962" s="136" t="str">
        <f>IFERROR(__xludf.DUMMYFUNCTION("""COMPUTED_VALUE"""),"")</f>
        <v/>
      </c>
      <c r="O962" s="141" t="s">
        <v>133</v>
      </c>
      <c r="P962" s="136" t="str">
        <f>IFERROR(__xludf.DUMMYFUNCTION("""COMPUTED_VALUE"""),"")</f>
        <v/>
      </c>
      <c r="Q962" s="136" t="str">
        <f>IFERROR(__xludf.DUMMYFUNCTION("""COMPUTED_VALUE"""),"")</f>
        <v/>
      </c>
      <c r="R962" s="106" t="str">
        <f>IFERROR(__xludf.DUMMYFUNCTION("""COMPUTED_VALUE"""),"")</f>
        <v/>
      </c>
      <c r="S962" s="106" t="str">
        <f>IFERROR(__xludf.DUMMYFUNCTION("""COMPUTED_VALUE"""),"")</f>
        <v/>
      </c>
      <c r="T962" s="139" t="str">
        <f>IFERROR(__xludf.DUMMYFUNCTION("""COMPUTED_VALUE"""),"")</f>
        <v/>
      </c>
      <c r="U962" s="139" t="str">
        <f>IFERROR(__xludf.DUMMYFUNCTION("""COMPUTED_VALUE"""),"")</f>
        <v/>
      </c>
      <c r="V962" s="136" t="str">
        <f>IFERROR(__xludf.DUMMYFUNCTION("""COMPUTED_VALUE"""),"")</f>
        <v/>
      </c>
      <c r="W962" s="106" t="str">
        <f>IFERROR(__xludf.DUMMYFUNCTION("""COMPUTED_VALUE"""),"")</f>
        <v/>
      </c>
      <c r="X962" s="143" t="str">
        <f t="shared" si="2"/>
        <v/>
      </c>
      <c r="Y962" s="139" t="str">
        <f>IFERROR(__xludf.DUMMYFUNCTION("""COMPUTED_VALUE"""),"")</f>
        <v/>
      </c>
      <c r="Z962" s="141" t="str">
        <f>IFERROR(__xludf.DUMMYFUNCTION("""COMPUTED_VALUE"""),"")</f>
        <v/>
      </c>
    </row>
    <row r="963">
      <c r="C963" s="136" t="str">
        <f>IFERROR(__xludf.DUMMYFUNCTION("""COMPUTED_VALUE"""),"")</f>
        <v/>
      </c>
      <c r="D963" s="136" t="str">
        <f t="shared" si="3"/>
        <v/>
      </c>
      <c r="E963" s="152" t="str">
        <f>IFERROR(__xludf.DUMMYFUNCTION("""COMPUTED_VALUE"""),"")</f>
        <v/>
      </c>
      <c r="F963" s="106" t="s">
        <v>133</v>
      </c>
      <c r="G963" s="152" t="str">
        <f>IFERROR(__xludf.DUMMYFUNCTION("""COMPUTED_VALUE"""),"")</f>
        <v/>
      </c>
      <c r="H963" s="106" t="s">
        <v>133</v>
      </c>
      <c r="I963" s="136"/>
      <c r="J963" s="139" t="s">
        <v>133</v>
      </c>
      <c r="K963" s="136" t="s">
        <v>133</v>
      </c>
      <c r="L963" s="153" t="str">
        <f>IFERROR(__xludf.DUMMYFUNCTION("""COMPUTED_VALUE"""),"")</f>
        <v/>
      </c>
      <c r="M963" s="136" t="str">
        <f t="shared" si="1"/>
        <v/>
      </c>
      <c r="N963" s="136" t="str">
        <f>IFERROR(__xludf.DUMMYFUNCTION("""COMPUTED_VALUE"""),"")</f>
        <v/>
      </c>
      <c r="O963" s="141" t="s">
        <v>133</v>
      </c>
      <c r="P963" s="136" t="str">
        <f>IFERROR(__xludf.DUMMYFUNCTION("""COMPUTED_VALUE"""),"")</f>
        <v/>
      </c>
      <c r="Q963" s="136" t="str">
        <f>IFERROR(__xludf.DUMMYFUNCTION("""COMPUTED_VALUE"""),"")</f>
        <v/>
      </c>
      <c r="R963" s="106" t="str">
        <f>IFERROR(__xludf.DUMMYFUNCTION("""COMPUTED_VALUE"""),"")</f>
        <v/>
      </c>
      <c r="S963" s="106" t="str">
        <f>IFERROR(__xludf.DUMMYFUNCTION("""COMPUTED_VALUE"""),"")</f>
        <v/>
      </c>
      <c r="T963" s="139" t="str">
        <f>IFERROR(__xludf.DUMMYFUNCTION("""COMPUTED_VALUE"""),"")</f>
        <v/>
      </c>
      <c r="U963" s="139" t="str">
        <f>IFERROR(__xludf.DUMMYFUNCTION("""COMPUTED_VALUE"""),"")</f>
        <v/>
      </c>
      <c r="V963" s="136" t="str">
        <f>IFERROR(__xludf.DUMMYFUNCTION("""COMPUTED_VALUE"""),"")</f>
        <v/>
      </c>
      <c r="W963" s="106" t="str">
        <f>IFERROR(__xludf.DUMMYFUNCTION("""COMPUTED_VALUE"""),"")</f>
        <v/>
      </c>
      <c r="X963" s="143" t="str">
        <f t="shared" si="2"/>
        <v/>
      </c>
      <c r="Y963" s="139" t="str">
        <f>IFERROR(__xludf.DUMMYFUNCTION("""COMPUTED_VALUE"""),"")</f>
        <v/>
      </c>
      <c r="Z963" s="141" t="str">
        <f>IFERROR(__xludf.DUMMYFUNCTION("""COMPUTED_VALUE"""),"")</f>
        <v/>
      </c>
    </row>
    <row r="964">
      <c r="C964" s="136" t="str">
        <f>IFERROR(__xludf.DUMMYFUNCTION("""COMPUTED_VALUE"""),"")</f>
        <v/>
      </c>
      <c r="D964" s="136" t="str">
        <f t="shared" si="3"/>
        <v/>
      </c>
      <c r="E964" s="152" t="str">
        <f>IFERROR(__xludf.DUMMYFUNCTION("""COMPUTED_VALUE"""),"")</f>
        <v/>
      </c>
      <c r="F964" s="106" t="s">
        <v>133</v>
      </c>
      <c r="G964" s="152" t="str">
        <f>IFERROR(__xludf.DUMMYFUNCTION("""COMPUTED_VALUE"""),"")</f>
        <v/>
      </c>
      <c r="H964" s="106" t="s">
        <v>133</v>
      </c>
      <c r="I964" s="136"/>
      <c r="J964" s="139" t="s">
        <v>133</v>
      </c>
      <c r="K964" s="136" t="s">
        <v>133</v>
      </c>
      <c r="L964" s="153" t="str">
        <f>IFERROR(__xludf.DUMMYFUNCTION("""COMPUTED_VALUE"""),"")</f>
        <v/>
      </c>
      <c r="M964" s="136" t="str">
        <f t="shared" si="1"/>
        <v/>
      </c>
      <c r="N964" s="136" t="str">
        <f>IFERROR(__xludf.DUMMYFUNCTION("""COMPUTED_VALUE"""),"")</f>
        <v/>
      </c>
      <c r="O964" s="141" t="s">
        <v>133</v>
      </c>
      <c r="P964" s="136" t="str">
        <f>IFERROR(__xludf.DUMMYFUNCTION("""COMPUTED_VALUE"""),"")</f>
        <v/>
      </c>
      <c r="Q964" s="136" t="str">
        <f>IFERROR(__xludf.DUMMYFUNCTION("""COMPUTED_VALUE"""),"")</f>
        <v/>
      </c>
      <c r="R964" s="106" t="str">
        <f>IFERROR(__xludf.DUMMYFUNCTION("""COMPUTED_VALUE"""),"")</f>
        <v/>
      </c>
      <c r="S964" s="106" t="str">
        <f>IFERROR(__xludf.DUMMYFUNCTION("""COMPUTED_VALUE"""),"")</f>
        <v/>
      </c>
      <c r="T964" s="139" t="str">
        <f>IFERROR(__xludf.DUMMYFUNCTION("""COMPUTED_VALUE"""),"")</f>
        <v/>
      </c>
      <c r="U964" s="139" t="str">
        <f>IFERROR(__xludf.DUMMYFUNCTION("""COMPUTED_VALUE"""),"")</f>
        <v/>
      </c>
      <c r="V964" s="136" t="str">
        <f>IFERROR(__xludf.DUMMYFUNCTION("""COMPUTED_VALUE"""),"")</f>
        <v/>
      </c>
      <c r="W964" s="106" t="str">
        <f>IFERROR(__xludf.DUMMYFUNCTION("""COMPUTED_VALUE"""),"")</f>
        <v/>
      </c>
      <c r="X964" s="143" t="str">
        <f t="shared" si="2"/>
        <v/>
      </c>
      <c r="Y964" s="139" t="str">
        <f>IFERROR(__xludf.DUMMYFUNCTION("""COMPUTED_VALUE"""),"")</f>
        <v/>
      </c>
      <c r="Z964" s="141" t="str">
        <f>IFERROR(__xludf.DUMMYFUNCTION("""COMPUTED_VALUE"""),"")</f>
        <v/>
      </c>
    </row>
    <row r="965">
      <c r="C965" s="136" t="str">
        <f>IFERROR(__xludf.DUMMYFUNCTION("""COMPUTED_VALUE"""),"")</f>
        <v/>
      </c>
      <c r="D965" s="136" t="str">
        <f t="shared" si="3"/>
        <v/>
      </c>
      <c r="E965" s="152" t="str">
        <f>IFERROR(__xludf.DUMMYFUNCTION("""COMPUTED_VALUE"""),"")</f>
        <v/>
      </c>
      <c r="F965" s="106" t="s">
        <v>133</v>
      </c>
      <c r="G965" s="152" t="str">
        <f>IFERROR(__xludf.DUMMYFUNCTION("""COMPUTED_VALUE"""),"")</f>
        <v/>
      </c>
      <c r="H965" s="106" t="s">
        <v>133</v>
      </c>
      <c r="I965" s="136"/>
      <c r="J965" s="139" t="s">
        <v>133</v>
      </c>
      <c r="K965" s="136" t="s">
        <v>133</v>
      </c>
      <c r="L965" s="153" t="str">
        <f>IFERROR(__xludf.DUMMYFUNCTION("""COMPUTED_VALUE"""),"")</f>
        <v/>
      </c>
      <c r="M965" s="136" t="str">
        <f t="shared" si="1"/>
        <v/>
      </c>
      <c r="N965" s="136" t="str">
        <f>IFERROR(__xludf.DUMMYFUNCTION("""COMPUTED_VALUE"""),"")</f>
        <v/>
      </c>
      <c r="O965" s="141" t="s">
        <v>133</v>
      </c>
      <c r="P965" s="136" t="str">
        <f>IFERROR(__xludf.DUMMYFUNCTION("""COMPUTED_VALUE"""),"")</f>
        <v/>
      </c>
      <c r="Q965" s="136" t="str">
        <f>IFERROR(__xludf.DUMMYFUNCTION("""COMPUTED_VALUE"""),"")</f>
        <v/>
      </c>
      <c r="R965" s="106" t="str">
        <f>IFERROR(__xludf.DUMMYFUNCTION("""COMPUTED_VALUE"""),"")</f>
        <v/>
      </c>
      <c r="S965" s="106" t="str">
        <f>IFERROR(__xludf.DUMMYFUNCTION("""COMPUTED_VALUE"""),"")</f>
        <v/>
      </c>
      <c r="T965" s="139" t="str">
        <f>IFERROR(__xludf.DUMMYFUNCTION("""COMPUTED_VALUE"""),"")</f>
        <v/>
      </c>
      <c r="U965" s="139" t="str">
        <f>IFERROR(__xludf.DUMMYFUNCTION("""COMPUTED_VALUE"""),"")</f>
        <v/>
      </c>
      <c r="V965" s="136" t="str">
        <f>IFERROR(__xludf.DUMMYFUNCTION("""COMPUTED_VALUE"""),"")</f>
        <v/>
      </c>
      <c r="W965" s="106" t="str">
        <f>IFERROR(__xludf.DUMMYFUNCTION("""COMPUTED_VALUE"""),"")</f>
        <v/>
      </c>
      <c r="X965" s="143" t="str">
        <f t="shared" si="2"/>
        <v/>
      </c>
      <c r="Y965" s="139" t="str">
        <f>IFERROR(__xludf.DUMMYFUNCTION("""COMPUTED_VALUE"""),"")</f>
        <v/>
      </c>
      <c r="Z965" s="141" t="str">
        <f>IFERROR(__xludf.DUMMYFUNCTION("""COMPUTED_VALUE"""),"")</f>
        <v/>
      </c>
    </row>
    <row r="966">
      <c r="C966" s="136" t="str">
        <f>IFERROR(__xludf.DUMMYFUNCTION("""COMPUTED_VALUE"""),"")</f>
        <v/>
      </c>
      <c r="D966" s="136" t="str">
        <f t="shared" si="3"/>
        <v/>
      </c>
      <c r="E966" s="152" t="str">
        <f>IFERROR(__xludf.DUMMYFUNCTION("""COMPUTED_VALUE"""),"")</f>
        <v/>
      </c>
      <c r="F966" s="106" t="s">
        <v>133</v>
      </c>
      <c r="G966" s="152" t="str">
        <f>IFERROR(__xludf.DUMMYFUNCTION("""COMPUTED_VALUE"""),"")</f>
        <v/>
      </c>
      <c r="H966" s="106" t="s">
        <v>133</v>
      </c>
      <c r="I966" s="136"/>
      <c r="J966" s="139" t="s">
        <v>133</v>
      </c>
      <c r="K966" s="136" t="s">
        <v>133</v>
      </c>
      <c r="L966" s="153" t="str">
        <f>IFERROR(__xludf.DUMMYFUNCTION("""COMPUTED_VALUE"""),"")</f>
        <v/>
      </c>
      <c r="M966" s="136" t="str">
        <f t="shared" si="1"/>
        <v/>
      </c>
      <c r="N966" s="136" t="str">
        <f>IFERROR(__xludf.DUMMYFUNCTION("""COMPUTED_VALUE"""),"")</f>
        <v/>
      </c>
      <c r="O966" s="141" t="s">
        <v>133</v>
      </c>
      <c r="P966" s="136" t="str">
        <f>IFERROR(__xludf.DUMMYFUNCTION("""COMPUTED_VALUE"""),"")</f>
        <v/>
      </c>
      <c r="Q966" s="136" t="str">
        <f>IFERROR(__xludf.DUMMYFUNCTION("""COMPUTED_VALUE"""),"")</f>
        <v/>
      </c>
      <c r="R966" s="106" t="str">
        <f>IFERROR(__xludf.DUMMYFUNCTION("""COMPUTED_VALUE"""),"")</f>
        <v/>
      </c>
      <c r="S966" s="106" t="str">
        <f>IFERROR(__xludf.DUMMYFUNCTION("""COMPUTED_VALUE"""),"")</f>
        <v/>
      </c>
      <c r="T966" s="139" t="str">
        <f>IFERROR(__xludf.DUMMYFUNCTION("""COMPUTED_VALUE"""),"")</f>
        <v/>
      </c>
      <c r="U966" s="139" t="str">
        <f>IFERROR(__xludf.DUMMYFUNCTION("""COMPUTED_VALUE"""),"")</f>
        <v/>
      </c>
      <c r="V966" s="136" t="str">
        <f>IFERROR(__xludf.DUMMYFUNCTION("""COMPUTED_VALUE"""),"")</f>
        <v/>
      </c>
      <c r="W966" s="106" t="str">
        <f>IFERROR(__xludf.DUMMYFUNCTION("""COMPUTED_VALUE"""),"")</f>
        <v/>
      </c>
      <c r="X966" s="143" t="str">
        <f t="shared" si="2"/>
        <v/>
      </c>
      <c r="Y966" s="139" t="str">
        <f>IFERROR(__xludf.DUMMYFUNCTION("""COMPUTED_VALUE"""),"")</f>
        <v/>
      </c>
      <c r="Z966" s="141" t="str">
        <f>IFERROR(__xludf.DUMMYFUNCTION("""COMPUTED_VALUE"""),"")</f>
        <v/>
      </c>
    </row>
    <row r="967">
      <c r="C967" s="136" t="str">
        <f>IFERROR(__xludf.DUMMYFUNCTION("""COMPUTED_VALUE"""),"")</f>
        <v/>
      </c>
      <c r="D967" s="136" t="str">
        <f t="shared" si="3"/>
        <v/>
      </c>
      <c r="E967" s="152" t="str">
        <f>IFERROR(__xludf.DUMMYFUNCTION("""COMPUTED_VALUE"""),"")</f>
        <v/>
      </c>
      <c r="F967" s="106" t="s">
        <v>133</v>
      </c>
      <c r="G967" s="152" t="str">
        <f>IFERROR(__xludf.DUMMYFUNCTION("""COMPUTED_VALUE"""),"")</f>
        <v/>
      </c>
      <c r="H967" s="106" t="s">
        <v>133</v>
      </c>
      <c r="I967" s="136"/>
      <c r="J967" s="139" t="s">
        <v>133</v>
      </c>
      <c r="K967" s="136" t="s">
        <v>133</v>
      </c>
      <c r="L967" s="153" t="str">
        <f>IFERROR(__xludf.DUMMYFUNCTION("""COMPUTED_VALUE"""),"")</f>
        <v/>
      </c>
      <c r="M967" s="136" t="str">
        <f t="shared" si="1"/>
        <v/>
      </c>
      <c r="N967" s="136" t="str">
        <f>IFERROR(__xludf.DUMMYFUNCTION("""COMPUTED_VALUE"""),"")</f>
        <v/>
      </c>
      <c r="O967" s="141" t="s">
        <v>133</v>
      </c>
      <c r="P967" s="136" t="str">
        <f>IFERROR(__xludf.DUMMYFUNCTION("""COMPUTED_VALUE"""),"")</f>
        <v/>
      </c>
      <c r="Q967" s="136" t="str">
        <f>IFERROR(__xludf.DUMMYFUNCTION("""COMPUTED_VALUE"""),"")</f>
        <v/>
      </c>
      <c r="R967" s="106" t="str">
        <f>IFERROR(__xludf.DUMMYFUNCTION("""COMPUTED_VALUE"""),"")</f>
        <v/>
      </c>
      <c r="S967" s="106" t="str">
        <f>IFERROR(__xludf.DUMMYFUNCTION("""COMPUTED_VALUE"""),"")</f>
        <v/>
      </c>
      <c r="T967" s="139" t="str">
        <f>IFERROR(__xludf.DUMMYFUNCTION("""COMPUTED_VALUE"""),"")</f>
        <v/>
      </c>
      <c r="U967" s="139" t="str">
        <f>IFERROR(__xludf.DUMMYFUNCTION("""COMPUTED_VALUE"""),"")</f>
        <v/>
      </c>
      <c r="V967" s="136" t="str">
        <f>IFERROR(__xludf.DUMMYFUNCTION("""COMPUTED_VALUE"""),"")</f>
        <v/>
      </c>
      <c r="W967" s="106" t="str">
        <f>IFERROR(__xludf.DUMMYFUNCTION("""COMPUTED_VALUE"""),"")</f>
        <v/>
      </c>
      <c r="X967" s="143" t="str">
        <f t="shared" si="2"/>
        <v/>
      </c>
      <c r="Y967" s="139" t="str">
        <f>IFERROR(__xludf.DUMMYFUNCTION("""COMPUTED_VALUE"""),"")</f>
        <v/>
      </c>
      <c r="Z967" s="141" t="str">
        <f>IFERROR(__xludf.DUMMYFUNCTION("""COMPUTED_VALUE"""),"")</f>
        <v/>
      </c>
    </row>
    <row r="968">
      <c r="C968" s="136" t="str">
        <f>IFERROR(__xludf.DUMMYFUNCTION("""COMPUTED_VALUE"""),"")</f>
        <v/>
      </c>
      <c r="D968" s="136" t="str">
        <f t="shared" si="3"/>
        <v/>
      </c>
      <c r="E968" s="152" t="str">
        <f>IFERROR(__xludf.DUMMYFUNCTION("""COMPUTED_VALUE"""),"")</f>
        <v/>
      </c>
      <c r="F968" s="106" t="s">
        <v>133</v>
      </c>
      <c r="G968" s="152" t="str">
        <f>IFERROR(__xludf.DUMMYFUNCTION("""COMPUTED_VALUE"""),"")</f>
        <v/>
      </c>
      <c r="H968" s="106" t="s">
        <v>133</v>
      </c>
      <c r="I968" s="136"/>
      <c r="J968" s="139" t="s">
        <v>133</v>
      </c>
      <c r="K968" s="136" t="s">
        <v>133</v>
      </c>
      <c r="L968" s="153" t="str">
        <f>IFERROR(__xludf.DUMMYFUNCTION("""COMPUTED_VALUE"""),"")</f>
        <v/>
      </c>
      <c r="M968" s="136" t="str">
        <f t="shared" si="1"/>
        <v/>
      </c>
      <c r="N968" s="136" t="str">
        <f>IFERROR(__xludf.DUMMYFUNCTION("""COMPUTED_VALUE"""),"")</f>
        <v/>
      </c>
      <c r="O968" s="141" t="s">
        <v>133</v>
      </c>
      <c r="P968" s="136" t="str">
        <f>IFERROR(__xludf.DUMMYFUNCTION("""COMPUTED_VALUE"""),"")</f>
        <v/>
      </c>
      <c r="Q968" s="136" t="str">
        <f>IFERROR(__xludf.DUMMYFUNCTION("""COMPUTED_VALUE"""),"")</f>
        <v/>
      </c>
      <c r="R968" s="106" t="str">
        <f>IFERROR(__xludf.DUMMYFUNCTION("""COMPUTED_VALUE"""),"")</f>
        <v/>
      </c>
      <c r="S968" s="106" t="str">
        <f>IFERROR(__xludf.DUMMYFUNCTION("""COMPUTED_VALUE"""),"")</f>
        <v/>
      </c>
      <c r="T968" s="139" t="str">
        <f>IFERROR(__xludf.DUMMYFUNCTION("""COMPUTED_VALUE"""),"")</f>
        <v/>
      </c>
      <c r="U968" s="139" t="str">
        <f>IFERROR(__xludf.DUMMYFUNCTION("""COMPUTED_VALUE"""),"")</f>
        <v/>
      </c>
      <c r="V968" s="136" t="str">
        <f>IFERROR(__xludf.DUMMYFUNCTION("""COMPUTED_VALUE"""),"")</f>
        <v/>
      </c>
      <c r="W968" s="106" t="str">
        <f>IFERROR(__xludf.DUMMYFUNCTION("""COMPUTED_VALUE"""),"")</f>
        <v/>
      </c>
      <c r="X968" s="143" t="str">
        <f t="shared" si="2"/>
        <v/>
      </c>
      <c r="Y968" s="139" t="str">
        <f>IFERROR(__xludf.DUMMYFUNCTION("""COMPUTED_VALUE"""),"")</f>
        <v/>
      </c>
      <c r="Z968" s="141" t="str">
        <f>IFERROR(__xludf.DUMMYFUNCTION("""COMPUTED_VALUE"""),"")</f>
        <v/>
      </c>
    </row>
    <row r="969">
      <c r="C969" s="136" t="str">
        <f>IFERROR(__xludf.DUMMYFUNCTION("""COMPUTED_VALUE"""),"")</f>
        <v/>
      </c>
      <c r="D969" s="136" t="str">
        <f t="shared" si="3"/>
        <v/>
      </c>
      <c r="E969" s="152" t="str">
        <f>IFERROR(__xludf.DUMMYFUNCTION("""COMPUTED_VALUE"""),"")</f>
        <v/>
      </c>
      <c r="F969" s="106" t="s">
        <v>133</v>
      </c>
      <c r="G969" s="152" t="str">
        <f>IFERROR(__xludf.DUMMYFUNCTION("""COMPUTED_VALUE"""),"")</f>
        <v/>
      </c>
      <c r="H969" s="106" t="s">
        <v>133</v>
      </c>
      <c r="I969" s="136"/>
      <c r="J969" s="139" t="s">
        <v>133</v>
      </c>
      <c r="K969" s="136" t="s">
        <v>133</v>
      </c>
      <c r="L969" s="153" t="str">
        <f>IFERROR(__xludf.DUMMYFUNCTION("""COMPUTED_VALUE"""),"")</f>
        <v/>
      </c>
      <c r="M969" s="136" t="str">
        <f t="shared" si="1"/>
        <v/>
      </c>
      <c r="N969" s="136" t="str">
        <f>IFERROR(__xludf.DUMMYFUNCTION("""COMPUTED_VALUE"""),"")</f>
        <v/>
      </c>
      <c r="O969" s="141" t="s">
        <v>133</v>
      </c>
      <c r="P969" s="136" t="str">
        <f>IFERROR(__xludf.DUMMYFUNCTION("""COMPUTED_VALUE"""),"")</f>
        <v/>
      </c>
      <c r="Q969" s="136" t="str">
        <f>IFERROR(__xludf.DUMMYFUNCTION("""COMPUTED_VALUE"""),"")</f>
        <v/>
      </c>
      <c r="R969" s="106" t="str">
        <f>IFERROR(__xludf.DUMMYFUNCTION("""COMPUTED_VALUE"""),"")</f>
        <v/>
      </c>
      <c r="S969" s="106" t="str">
        <f>IFERROR(__xludf.DUMMYFUNCTION("""COMPUTED_VALUE"""),"")</f>
        <v/>
      </c>
      <c r="T969" s="139" t="str">
        <f>IFERROR(__xludf.DUMMYFUNCTION("""COMPUTED_VALUE"""),"")</f>
        <v/>
      </c>
      <c r="U969" s="139" t="str">
        <f>IFERROR(__xludf.DUMMYFUNCTION("""COMPUTED_VALUE"""),"")</f>
        <v/>
      </c>
      <c r="V969" s="136" t="str">
        <f>IFERROR(__xludf.DUMMYFUNCTION("""COMPUTED_VALUE"""),"")</f>
        <v/>
      </c>
      <c r="W969" s="106" t="str">
        <f>IFERROR(__xludf.DUMMYFUNCTION("""COMPUTED_VALUE"""),"")</f>
        <v/>
      </c>
      <c r="X969" s="143" t="str">
        <f t="shared" si="2"/>
        <v/>
      </c>
      <c r="Y969" s="139" t="str">
        <f>IFERROR(__xludf.DUMMYFUNCTION("""COMPUTED_VALUE"""),"")</f>
        <v/>
      </c>
      <c r="Z969" s="141" t="str">
        <f>IFERROR(__xludf.DUMMYFUNCTION("""COMPUTED_VALUE"""),"")</f>
        <v/>
      </c>
    </row>
    <row r="970">
      <c r="C970" s="136" t="str">
        <f>IFERROR(__xludf.DUMMYFUNCTION("""COMPUTED_VALUE"""),"")</f>
        <v/>
      </c>
      <c r="D970" s="136" t="str">
        <f t="shared" si="3"/>
        <v/>
      </c>
      <c r="E970" s="152" t="str">
        <f>IFERROR(__xludf.DUMMYFUNCTION("""COMPUTED_VALUE"""),"")</f>
        <v/>
      </c>
      <c r="F970" s="106" t="s">
        <v>133</v>
      </c>
      <c r="G970" s="152" t="str">
        <f>IFERROR(__xludf.DUMMYFUNCTION("""COMPUTED_VALUE"""),"")</f>
        <v/>
      </c>
      <c r="H970" s="106" t="s">
        <v>133</v>
      </c>
      <c r="I970" s="136"/>
      <c r="J970" s="139" t="s">
        <v>133</v>
      </c>
      <c r="K970" s="136" t="s">
        <v>133</v>
      </c>
      <c r="L970" s="153" t="str">
        <f>IFERROR(__xludf.DUMMYFUNCTION("""COMPUTED_VALUE"""),"")</f>
        <v/>
      </c>
      <c r="M970" s="136" t="str">
        <f t="shared" si="1"/>
        <v/>
      </c>
      <c r="N970" s="136" t="str">
        <f>IFERROR(__xludf.DUMMYFUNCTION("""COMPUTED_VALUE"""),"")</f>
        <v/>
      </c>
      <c r="O970" s="141" t="s">
        <v>133</v>
      </c>
      <c r="P970" s="136" t="str">
        <f>IFERROR(__xludf.DUMMYFUNCTION("""COMPUTED_VALUE"""),"")</f>
        <v/>
      </c>
      <c r="Q970" s="136" t="str">
        <f>IFERROR(__xludf.DUMMYFUNCTION("""COMPUTED_VALUE"""),"")</f>
        <v/>
      </c>
      <c r="R970" s="106" t="str">
        <f>IFERROR(__xludf.DUMMYFUNCTION("""COMPUTED_VALUE"""),"")</f>
        <v/>
      </c>
      <c r="S970" s="106" t="str">
        <f>IFERROR(__xludf.DUMMYFUNCTION("""COMPUTED_VALUE"""),"")</f>
        <v/>
      </c>
      <c r="T970" s="139" t="str">
        <f>IFERROR(__xludf.DUMMYFUNCTION("""COMPUTED_VALUE"""),"")</f>
        <v/>
      </c>
      <c r="U970" s="139" t="str">
        <f>IFERROR(__xludf.DUMMYFUNCTION("""COMPUTED_VALUE"""),"")</f>
        <v/>
      </c>
      <c r="V970" s="136" t="str">
        <f>IFERROR(__xludf.DUMMYFUNCTION("""COMPUTED_VALUE"""),"")</f>
        <v/>
      </c>
      <c r="W970" s="106" t="str">
        <f>IFERROR(__xludf.DUMMYFUNCTION("""COMPUTED_VALUE"""),"")</f>
        <v/>
      </c>
      <c r="X970" s="143" t="str">
        <f t="shared" si="2"/>
        <v/>
      </c>
      <c r="Y970" s="139" t="str">
        <f>IFERROR(__xludf.DUMMYFUNCTION("""COMPUTED_VALUE"""),"")</f>
        <v/>
      </c>
      <c r="Z970" s="141" t="str">
        <f>IFERROR(__xludf.DUMMYFUNCTION("""COMPUTED_VALUE"""),"")</f>
        <v/>
      </c>
    </row>
    <row r="971">
      <c r="C971" s="136" t="str">
        <f>IFERROR(__xludf.DUMMYFUNCTION("""COMPUTED_VALUE"""),"")</f>
        <v/>
      </c>
      <c r="D971" s="136" t="str">
        <f t="shared" si="3"/>
        <v/>
      </c>
      <c r="E971" s="152" t="str">
        <f>IFERROR(__xludf.DUMMYFUNCTION("""COMPUTED_VALUE"""),"")</f>
        <v/>
      </c>
      <c r="F971" s="106" t="s">
        <v>133</v>
      </c>
      <c r="G971" s="152" t="str">
        <f>IFERROR(__xludf.DUMMYFUNCTION("""COMPUTED_VALUE"""),"")</f>
        <v/>
      </c>
      <c r="H971" s="106" t="s">
        <v>133</v>
      </c>
      <c r="I971" s="136"/>
      <c r="J971" s="139" t="s">
        <v>133</v>
      </c>
      <c r="K971" s="136" t="s">
        <v>133</v>
      </c>
      <c r="L971" s="153" t="str">
        <f>IFERROR(__xludf.DUMMYFUNCTION("""COMPUTED_VALUE"""),"")</f>
        <v/>
      </c>
      <c r="M971" s="136" t="str">
        <f t="shared" si="1"/>
        <v/>
      </c>
      <c r="N971" s="136" t="str">
        <f>IFERROR(__xludf.DUMMYFUNCTION("""COMPUTED_VALUE"""),"")</f>
        <v/>
      </c>
      <c r="O971" s="141" t="s">
        <v>133</v>
      </c>
      <c r="P971" s="136" t="str">
        <f>IFERROR(__xludf.DUMMYFUNCTION("""COMPUTED_VALUE"""),"")</f>
        <v/>
      </c>
      <c r="Q971" s="136" t="str">
        <f>IFERROR(__xludf.DUMMYFUNCTION("""COMPUTED_VALUE"""),"")</f>
        <v/>
      </c>
      <c r="R971" s="106" t="str">
        <f>IFERROR(__xludf.DUMMYFUNCTION("""COMPUTED_VALUE"""),"")</f>
        <v/>
      </c>
      <c r="S971" s="106" t="str">
        <f>IFERROR(__xludf.DUMMYFUNCTION("""COMPUTED_VALUE"""),"")</f>
        <v/>
      </c>
      <c r="T971" s="139" t="str">
        <f>IFERROR(__xludf.DUMMYFUNCTION("""COMPUTED_VALUE"""),"")</f>
        <v/>
      </c>
      <c r="U971" s="139" t="str">
        <f>IFERROR(__xludf.DUMMYFUNCTION("""COMPUTED_VALUE"""),"")</f>
        <v/>
      </c>
      <c r="V971" s="136" t="str">
        <f>IFERROR(__xludf.DUMMYFUNCTION("""COMPUTED_VALUE"""),"")</f>
        <v/>
      </c>
      <c r="W971" s="106" t="str">
        <f>IFERROR(__xludf.DUMMYFUNCTION("""COMPUTED_VALUE"""),"")</f>
        <v/>
      </c>
      <c r="X971" s="143" t="str">
        <f t="shared" si="2"/>
        <v/>
      </c>
      <c r="Y971" s="139" t="str">
        <f>IFERROR(__xludf.DUMMYFUNCTION("""COMPUTED_VALUE"""),"")</f>
        <v/>
      </c>
      <c r="Z971" s="141" t="str">
        <f>IFERROR(__xludf.DUMMYFUNCTION("""COMPUTED_VALUE"""),"")</f>
        <v/>
      </c>
    </row>
    <row r="972">
      <c r="C972" s="136" t="str">
        <f>IFERROR(__xludf.DUMMYFUNCTION("""COMPUTED_VALUE"""),"")</f>
        <v/>
      </c>
      <c r="D972" s="136" t="str">
        <f t="shared" si="3"/>
        <v/>
      </c>
      <c r="E972" s="152" t="str">
        <f>IFERROR(__xludf.DUMMYFUNCTION("""COMPUTED_VALUE"""),"")</f>
        <v/>
      </c>
      <c r="F972" s="106" t="s">
        <v>133</v>
      </c>
      <c r="G972" s="152" t="str">
        <f>IFERROR(__xludf.DUMMYFUNCTION("""COMPUTED_VALUE"""),"")</f>
        <v/>
      </c>
      <c r="H972" s="106" t="s">
        <v>133</v>
      </c>
      <c r="I972" s="136"/>
      <c r="J972" s="139" t="s">
        <v>133</v>
      </c>
      <c r="K972" s="136" t="s">
        <v>133</v>
      </c>
      <c r="L972" s="153" t="str">
        <f>IFERROR(__xludf.DUMMYFUNCTION("""COMPUTED_VALUE"""),"")</f>
        <v/>
      </c>
      <c r="M972" s="136" t="str">
        <f t="shared" si="1"/>
        <v/>
      </c>
      <c r="N972" s="136" t="str">
        <f>IFERROR(__xludf.DUMMYFUNCTION("""COMPUTED_VALUE"""),"")</f>
        <v/>
      </c>
      <c r="O972" s="141" t="s">
        <v>133</v>
      </c>
      <c r="P972" s="136" t="str">
        <f>IFERROR(__xludf.DUMMYFUNCTION("""COMPUTED_VALUE"""),"")</f>
        <v/>
      </c>
      <c r="Q972" s="136" t="str">
        <f>IFERROR(__xludf.DUMMYFUNCTION("""COMPUTED_VALUE"""),"")</f>
        <v/>
      </c>
      <c r="R972" s="106" t="str">
        <f>IFERROR(__xludf.DUMMYFUNCTION("""COMPUTED_VALUE"""),"")</f>
        <v/>
      </c>
      <c r="S972" s="106" t="str">
        <f>IFERROR(__xludf.DUMMYFUNCTION("""COMPUTED_VALUE"""),"")</f>
        <v/>
      </c>
      <c r="T972" s="139" t="str">
        <f>IFERROR(__xludf.DUMMYFUNCTION("""COMPUTED_VALUE"""),"")</f>
        <v/>
      </c>
      <c r="U972" s="139" t="str">
        <f>IFERROR(__xludf.DUMMYFUNCTION("""COMPUTED_VALUE"""),"")</f>
        <v/>
      </c>
      <c r="V972" s="136" t="str">
        <f>IFERROR(__xludf.DUMMYFUNCTION("""COMPUTED_VALUE"""),"")</f>
        <v/>
      </c>
      <c r="W972" s="106" t="str">
        <f>IFERROR(__xludf.DUMMYFUNCTION("""COMPUTED_VALUE"""),"")</f>
        <v/>
      </c>
      <c r="X972" s="143" t="str">
        <f t="shared" si="2"/>
        <v/>
      </c>
      <c r="Y972" s="139" t="str">
        <f>IFERROR(__xludf.DUMMYFUNCTION("""COMPUTED_VALUE"""),"")</f>
        <v/>
      </c>
      <c r="Z972" s="141" t="str">
        <f>IFERROR(__xludf.DUMMYFUNCTION("""COMPUTED_VALUE"""),"")</f>
        <v/>
      </c>
    </row>
    <row r="973">
      <c r="C973" s="136" t="str">
        <f>IFERROR(__xludf.DUMMYFUNCTION("""COMPUTED_VALUE"""),"")</f>
        <v/>
      </c>
      <c r="D973" s="136" t="str">
        <f t="shared" si="3"/>
        <v/>
      </c>
      <c r="E973" s="152" t="str">
        <f>IFERROR(__xludf.DUMMYFUNCTION("""COMPUTED_VALUE"""),"")</f>
        <v/>
      </c>
      <c r="F973" s="106" t="s">
        <v>133</v>
      </c>
      <c r="G973" s="152" t="str">
        <f>IFERROR(__xludf.DUMMYFUNCTION("""COMPUTED_VALUE"""),"")</f>
        <v/>
      </c>
      <c r="H973" s="106" t="s">
        <v>133</v>
      </c>
      <c r="I973" s="136"/>
      <c r="J973" s="139" t="s">
        <v>133</v>
      </c>
      <c r="K973" s="136" t="s">
        <v>133</v>
      </c>
      <c r="L973" s="153" t="str">
        <f>IFERROR(__xludf.DUMMYFUNCTION("""COMPUTED_VALUE"""),"")</f>
        <v/>
      </c>
      <c r="M973" s="136" t="str">
        <f t="shared" si="1"/>
        <v/>
      </c>
      <c r="N973" s="136" t="str">
        <f>IFERROR(__xludf.DUMMYFUNCTION("""COMPUTED_VALUE"""),"")</f>
        <v/>
      </c>
      <c r="O973" s="141" t="s">
        <v>133</v>
      </c>
      <c r="P973" s="136" t="str">
        <f>IFERROR(__xludf.DUMMYFUNCTION("""COMPUTED_VALUE"""),"")</f>
        <v/>
      </c>
      <c r="Q973" s="136" t="str">
        <f>IFERROR(__xludf.DUMMYFUNCTION("""COMPUTED_VALUE"""),"")</f>
        <v/>
      </c>
      <c r="R973" s="106" t="str">
        <f>IFERROR(__xludf.DUMMYFUNCTION("""COMPUTED_VALUE"""),"")</f>
        <v/>
      </c>
      <c r="S973" s="106" t="str">
        <f>IFERROR(__xludf.DUMMYFUNCTION("""COMPUTED_VALUE"""),"")</f>
        <v/>
      </c>
      <c r="T973" s="139" t="str">
        <f>IFERROR(__xludf.DUMMYFUNCTION("""COMPUTED_VALUE"""),"")</f>
        <v/>
      </c>
      <c r="U973" s="139" t="str">
        <f>IFERROR(__xludf.DUMMYFUNCTION("""COMPUTED_VALUE"""),"")</f>
        <v/>
      </c>
      <c r="V973" s="136" t="str">
        <f>IFERROR(__xludf.DUMMYFUNCTION("""COMPUTED_VALUE"""),"")</f>
        <v/>
      </c>
      <c r="W973" s="106" t="str">
        <f>IFERROR(__xludf.DUMMYFUNCTION("""COMPUTED_VALUE"""),"")</f>
        <v/>
      </c>
      <c r="X973" s="143" t="str">
        <f t="shared" si="2"/>
        <v/>
      </c>
      <c r="Y973" s="139" t="str">
        <f>IFERROR(__xludf.DUMMYFUNCTION("""COMPUTED_VALUE"""),"")</f>
        <v/>
      </c>
      <c r="Z973" s="141" t="str">
        <f>IFERROR(__xludf.DUMMYFUNCTION("""COMPUTED_VALUE"""),"")</f>
        <v/>
      </c>
    </row>
    <row r="974">
      <c r="C974" s="136" t="str">
        <f>IFERROR(__xludf.DUMMYFUNCTION("""COMPUTED_VALUE"""),"")</f>
        <v/>
      </c>
      <c r="D974" s="136" t="str">
        <f t="shared" si="3"/>
        <v/>
      </c>
      <c r="E974" s="152" t="str">
        <f>IFERROR(__xludf.DUMMYFUNCTION("""COMPUTED_VALUE"""),"")</f>
        <v/>
      </c>
      <c r="F974" s="106" t="s">
        <v>133</v>
      </c>
      <c r="G974" s="152" t="str">
        <f>IFERROR(__xludf.DUMMYFUNCTION("""COMPUTED_VALUE"""),"")</f>
        <v/>
      </c>
      <c r="H974" s="106" t="s">
        <v>133</v>
      </c>
      <c r="I974" s="136"/>
      <c r="J974" s="139" t="s">
        <v>133</v>
      </c>
      <c r="K974" s="136" t="s">
        <v>133</v>
      </c>
      <c r="L974" s="153" t="str">
        <f>IFERROR(__xludf.DUMMYFUNCTION("""COMPUTED_VALUE"""),"")</f>
        <v/>
      </c>
      <c r="M974" s="136" t="str">
        <f t="shared" si="1"/>
        <v/>
      </c>
      <c r="N974" s="136" t="str">
        <f>IFERROR(__xludf.DUMMYFUNCTION("""COMPUTED_VALUE"""),"")</f>
        <v/>
      </c>
      <c r="O974" s="141" t="s">
        <v>133</v>
      </c>
      <c r="P974" s="136" t="str">
        <f>IFERROR(__xludf.DUMMYFUNCTION("""COMPUTED_VALUE"""),"")</f>
        <v/>
      </c>
      <c r="Q974" s="136" t="str">
        <f>IFERROR(__xludf.DUMMYFUNCTION("""COMPUTED_VALUE"""),"")</f>
        <v/>
      </c>
      <c r="R974" s="106" t="str">
        <f>IFERROR(__xludf.DUMMYFUNCTION("""COMPUTED_VALUE"""),"")</f>
        <v/>
      </c>
      <c r="S974" s="106" t="str">
        <f>IFERROR(__xludf.DUMMYFUNCTION("""COMPUTED_VALUE"""),"")</f>
        <v/>
      </c>
      <c r="T974" s="139" t="str">
        <f>IFERROR(__xludf.DUMMYFUNCTION("""COMPUTED_VALUE"""),"")</f>
        <v/>
      </c>
      <c r="U974" s="139" t="str">
        <f>IFERROR(__xludf.DUMMYFUNCTION("""COMPUTED_VALUE"""),"")</f>
        <v/>
      </c>
      <c r="V974" s="136" t="str">
        <f>IFERROR(__xludf.DUMMYFUNCTION("""COMPUTED_VALUE"""),"")</f>
        <v/>
      </c>
      <c r="W974" s="106" t="str">
        <f>IFERROR(__xludf.DUMMYFUNCTION("""COMPUTED_VALUE"""),"")</f>
        <v/>
      </c>
      <c r="X974" s="143" t="str">
        <f t="shared" si="2"/>
        <v/>
      </c>
      <c r="Y974" s="139" t="str">
        <f>IFERROR(__xludf.DUMMYFUNCTION("""COMPUTED_VALUE"""),"")</f>
        <v/>
      </c>
      <c r="Z974" s="141" t="str">
        <f>IFERROR(__xludf.DUMMYFUNCTION("""COMPUTED_VALUE"""),"")</f>
        <v/>
      </c>
    </row>
    <row r="975">
      <c r="C975" s="136" t="str">
        <f>IFERROR(__xludf.DUMMYFUNCTION("""COMPUTED_VALUE"""),"")</f>
        <v/>
      </c>
      <c r="D975" s="136" t="str">
        <f t="shared" si="3"/>
        <v/>
      </c>
      <c r="E975" s="152" t="str">
        <f>IFERROR(__xludf.DUMMYFUNCTION("""COMPUTED_VALUE"""),"")</f>
        <v/>
      </c>
      <c r="F975" s="106" t="s">
        <v>133</v>
      </c>
      <c r="G975" s="152" t="str">
        <f>IFERROR(__xludf.DUMMYFUNCTION("""COMPUTED_VALUE"""),"")</f>
        <v/>
      </c>
      <c r="H975" s="106" t="s">
        <v>133</v>
      </c>
      <c r="I975" s="136"/>
      <c r="J975" s="139" t="s">
        <v>133</v>
      </c>
      <c r="K975" s="136" t="s">
        <v>133</v>
      </c>
      <c r="L975" s="153" t="str">
        <f>IFERROR(__xludf.DUMMYFUNCTION("""COMPUTED_VALUE"""),"")</f>
        <v/>
      </c>
      <c r="M975" s="136" t="str">
        <f t="shared" si="1"/>
        <v/>
      </c>
      <c r="N975" s="136" t="str">
        <f>IFERROR(__xludf.DUMMYFUNCTION("""COMPUTED_VALUE"""),"")</f>
        <v/>
      </c>
      <c r="O975" s="141" t="s">
        <v>133</v>
      </c>
      <c r="P975" s="136" t="str">
        <f>IFERROR(__xludf.DUMMYFUNCTION("""COMPUTED_VALUE"""),"")</f>
        <v/>
      </c>
      <c r="Q975" s="136" t="str">
        <f>IFERROR(__xludf.DUMMYFUNCTION("""COMPUTED_VALUE"""),"")</f>
        <v/>
      </c>
      <c r="R975" s="106" t="str">
        <f>IFERROR(__xludf.DUMMYFUNCTION("""COMPUTED_VALUE"""),"")</f>
        <v/>
      </c>
      <c r="S975" s="106" t="str">
        <f>IFERROR(__xludf.DUMMYFUNCTION("""COMPUTED_VALUE"""),"")</f>
        <v/>
      </c>
      <c r="T975" s="139" t="str">
        <f>IFERROR(__xludf.DUMMYFUNCTION("""COMPUTED_VALUE"""),"")</f>
        <v/>
      </c>
      <c r="U975" s="139" t="str">
        <f>IFERROR(__xludf.DUMMYFUNCTION("""COMPUTED_VALUE"""),"")</f>
        <v/>
      </c>
      <c r="V975" s="136" t="str">
        <f>IFERROR(__xludf.DUMMYFUNCTION("""COMPUTED_VALUE"""),"")</f>
        <v/>
      </c>
      <c r="W975" s="106" t="str">
        <f>IFERROR(__xludf.DUMMYFUNCTION("""COMPUTED_VALUE"""),"")</f>
        <v/>
      </c>
      <c r="X975" s="143" t="str">
        <f t="shared" si="2"/>
        <v/>
      </c>
      <c r="Y975" s="139" t="str">
        <f>IFERROR(__xludf.DUMMYFUNCTION("""COMPUTED_VALUE"""),"")</f>
        <v/>
      </c>
      <c r="Z975" s="141" t="str">
        <f>IFERROR(__xludf.DUMMYFUNCTION("""COMPUTED_VALUE"""),"")</f>
        <v/>
      </c>
    </row>
    <row r="976">
      <c r="C976" s="136" t="str">
        <f>IFERROR(__xludf.DUMMYFUNCTION("""COMPUTED_VALUE"""),"")</f>
        <v/>
      </c>
      <c r="D976" s="136" t="str">
        <f t="shared" si="3"/>
        <v/>
      </c>
      <c r="E976" s="152" t="str">
        <f>IFERROR(__xludf.DUMMYFUNCTION("""COMPUTED_VALUE"""),"")</f>
        <v/>
      </c>
      <c r="F976" s="106" t="s">
        <v>133</v>
      </c>
      <c r="G976" s="152" t="str">
        <f>IFERROR(__xludf.DUMMYFUNCTION("""COMPUTED_VALUE"""),"")</f>
        <v/>
      </c>
      <c r="H976" s="106" t="s">
        <v>133</v>
      </c>
      <c r="I976" s="136"/>
      <c r="J976" s="139" t="s">
        <v>133</v>
      </c>
      <c r="K976" s="136" t="s">
        <v>133</v>
      </c>
      <c r="L976" s="153" t="str">
        <f>IFERROR(__xludf.DUMMYFUNCTION("""COMPUTED_VALUE"""),"")</f>
        <v/>
      </c>
      <c r="M976" s="136" t="str">
        <f t="shared" si="1"/>
        <v/>
      </c>
      <c r="N976" s="136" t="str">
        <f>IFERROR(__xludf.DUMMYFUNCTION("""COMPUTED_VALUE"""),"")</f>
        <v/>
      </c>
      <c r="O976" s="141" t="s">
        <v>133</v>
      </c>
      <c r="P976" s="136" t="str">
        <f>IFERROR(__xludf.DUMMYFUNCTION("""COMPUTED_VALUE"""),"")</f>
        <v/>
      </c>
      <c r="Q976" s="136" t="str">
        <f>IFERROR(__xludf.DUMMYFUNCTION("""COMPUTED_VALUE"""),"")</f>
        <v/>
      </c>
      <c r="R976" s="106" t="str">
        <f>IFERROR(__xludf.DUMMYFUNCTION("""COMPUTED_VALUE"""),"")</f>
        <v/>
      </c>
      <c r="S976" s="106" t="str">
        <f>IFERROR(__xludf.DUMMYFUNCTION("""COMPUTED_VALUE"""),"")</f>
        <v/>
      </c>
      <c r="T976" s="139" t="str">
        <f>IFERROR(__xludf.DUMMYFUNCTION("""COMPUTED_VALUE"""),"")</f>
        <v/>
      </c>
      <c r="U976" s="139" t="str">
        <f>IFERROR(__xludf.DUMMYFUNCTION("""COMPUTED_VALUE"""),"")</f>
        <v/>
      </c>
      <c r="V976" s="136" t="str">
        <f>IFERROR(__xludf.DUMMYFUNCTION("""COMPUTED_VALUE"""),"")</f>
        <v/>
      </c>
      <c r="W976" s="106" t="str">
        <f>IFERROR(__xludf.DUMMYFUNCTION("""COMPUTED_VALUE"""),"")</f>
        <v/>
      </c>
      <c r="X976" s="143" t="str">
        <f t="shared" si="2"/>
        <v/>
      </c>
      <c r="Y976" s="139" t="str">
        <f>IFERROR(__xludf.DUMMYFUNCTION("""COMPUTED_VALUE"""),"")</f>
        <v/>
      </c>
      <c r="Z976" s="141" t="str">
        <f>IFERROR(__xludf.DUMMYFUNCTION("""COMPUTED_VALUE"""),"")</f>
        <v/>
      </c>
    </row>
    <row r="977">
      <c r="C977" s="136" t="str">
        <f>IFERROR(__xludf.DUMMYFUNCTION("""COMPUTED_VALUE"""),"")</f>
        <v/>
      </c>
      <c r="D977" s="136" t="str">
        <f t="shared" si="3"/>
        <v/>
      </c>
      <c r="E977" s="152" t="str">
        <f>IFERROR(__xludf.DUMMYFUNCTION("""COMPUTED_VALUE"""),"")</f>
        <v/>
      </c>
      <c r="F977" s="106" t="s">
        <v>133</v>
      </c>
      <c r="G977" s="152" t="str">
        <f>IFERROR(__xludf.DUMMYFUNCTION("""COMPUTED_VALUE"""),"")</f>
        <v/>
      </c>
      <c r="H977" s="106" t="s">
        <v>133</v>
      </c>
      <c r="I977" s="136"/>
      <c r="J977" s="139" t="s">
        <v>133</v>
      </c>
      <c r="K977" s="136" t="s">
        <v>133</v>
      </c>
      <c r="L977" s="153" t="str">
        <f>IFERROR(__xludf.DUMMYFUNCTION("""COMPUTED_VALUE"""),"")</f>
        <v/>
      </c>
      <c r="M977" s="136" t="str">
        <f t="shared" si="1"/>
        <v/>
      </c>
      <c r="N977" s="136" t="str">
        <f>IFERROR(__xludf.DUMMYFUNCTION("""COMPUTED_VALUE"""),"")</f>
        <v/>
      </c>
      <c r="O977" s="141" t="s">
        <v>133</v>
      </c>
      <c r="P977" s="136" t="str">
        <f>IFERROR(__xludf.DUMMYFUNCTION("""COMPUTED_VALUE"""),"")</f>
        <v/>
      </c>
      <c r="Q977" s="136" t="str">
        <f>IFERROR(__xludf.DUMMYFUNCTION("""COMPUTED_VALUE"""),"")</f>
        <v/>
      </c>
      <c r="R977" s="106" t="str">
        <f>IFERROR(__xludf.DUMMYFUNCTION("""COMPUTED_VALUE"""),"")</f>
        <v/>
      </c>
      <c r="S977" s="106" t="str">
        <f>IFERROR(__xludf.DUMMYFUNCTION("""COMPUTED_VALUE"""),"")</f>
        <v/>
      </c>
      <c r="T977" s="139" t="str">
        <f>IFERROR(__xludf.DUMMYFUNCTION("""COMPUTED_VALUE"""),"")</f>
        <v/>
      </c>
      <c r="U977" s="139" t="str">
        <f>IFERROR(__xludf.DUMMYFUNCTION("""COMPUTED_VALUE"""),"")</f>
        <v/>
      </c>
      <c r="V977" s="136" t="str">
        <f>IFERROR(__xludf.DUMMYFUNCTION("""COMPUTED_VALUE"""),"")</f>
        <v/>
      </c>
      <c r="W977" s="106" t="str">
        <f>IFERROR(__xludf.DUMMYFUNCTION("""COMPUTED_VALUE"""),"")</f>
        <v/>
      </c>
      <c r="X977" s="143" t="str">
        <f t="shared" si="2"/>
        <v/>
      </c>
      <c r="Y977" s="139" t="str">
        <f>IFERROR(__xludf.DUMMYFUNCTION("""COMPUTED_VALUE"""),"")</f>
        <v/>
      </c>
      <c r="Z977" s="141" t="str">
        <f>IFERROR(__xludf.DUMMYFUNCTION("""COMPUTED_VALUE"""),"")</f>
        <v/>
      </c>
    </row>
    <row r="978">
      <c r="C978" s="136" t="str">
        <f>IFERROR(__xludf.DUMMYFUNCTION("""COMPUTED_VALUE"""),"")</f>
        <v/>
      </c>
      <c r="D978" s="136" t="str">
        <f t="shared" si="3"/>
        <v/>
      </c>
      <c r="E978" s="152" t="str">
        <f>IFERROR(__xludf.DUMMYFUNCTION("""COMPUTED_VALUE"""),"")</f>
        <v/>
      </c>
      <c r="F978" s="106" t="s">
        <v>133</v>
      </c>
      <c r="G978" s="152" t="str">
        <f>IFERROR(__xludf.DUMMYFUNCTION("""COMPUTED_VALUE"""),"")</f>
        <v/>
      </c>
      <c r="H978" s="106" t="s">
        <v>133</v>
      </c>
      <c r="I978" s="136"/>
      <c r="J978" s="139" t="s">
        <v>133</v>
      </c>
      <c r="K978" s="136" t="s">
        <v>133</v>
      </c>
      <c r="L978" s="153" t="str">
        <f>IFERROR(__xludf.DUMMYFUNCTION("""COMPUTED_VALUE"""),"")</f>
        <v/>
      </c>
      <c r="M978" s="136" t="str">
        <f t="shared" si="1"/>
        <v/>
      </c>
      <c r="N978" s="136" t="str">
        <f>IFERROR(__xludf.DUMMYFUNCTION("""COMPUTED_VALUE"""),"")</f>
        <v/>
      </c>
      <c r="O978" s="141" t="s">
        <v>133</v>
      </c>
      <c r="P978" s="136" t="str">
        <f>IFERROR(__xludf.DUMMYFUNCTION("""COMPUTED_VALUE"""),"")</f>
        <v/>
      </c>
      <c r="Q978" s="136" t="str">
        <f>IFERROR(__xludf.DUMMYFUNCTION("""COMPUTED_VALUE"""),"")</f>
        <v/>
      </c>
      <c r="R978" s="106" t="str">
        <f>IFERROR(__xludf.DUMMYFUNCTION("""COMPUTED_VALUE"""),"")</f>
        <v/>
      </c>
      <c r="S978" s="106" t="str">
        <f>IFERROR(__xludf.DUMMYFUNCTION("""COMPUTED_VALUE"""),"")</f>
        <v/>
      </c>
      <c r="T978" s="139" t="str">
        <f>IFERROR(__xludf.DUMMYFUNCTION("""COMPUTED_VALUE"""),"")</f>
        <v/>
      </c>
      <c r="U978" s="139" t="str">
        <f>IFERROR(__xludf.DUMMYFUNCTION("""COMPUTED_VALUE"""),"")</f>
        <v/>
      </c>
      <c r="V978" s="136" t="str">
        <f>IFERROR(__xludf.DUMMYFUNCTION("""COMPUTED_VALUE"""),"")</f>
        <v/>
      </c>
      <c r="W978" s="106" t="str">
        <f>IFERROR(__xludf.DUMMYFUNCTION("""COMPUTED_VALUE"""),"")</f>
        <v/>
      </c>
      <c r="X978" s="143" t="str">
        <f t="shared" si="2"/>
        <v/>
      </c>
      <c r="Y978" s="139" t="str">
        <f>IFERROR(__xludf.DUMMYFUNCTION("""COMPUTED_VALUE"""),"")</f>
        <v/>
      </c>
      <c r="Z978" s="141" t="str">
        <f>IFERROR(__xludf.DUMMYFUNCTION("""COMPUTED_VALUE"""),"")</f>
        <v/>
      </c>
    </row>
    <row r="979">
      <c r="C979" s="136" t="str">
        <f>IFERROR(__xludf.DUMMYFUNCTION("""COMPUTED_VALUE"""),"")</f>
        <v/>
      </c>
      <c r="D979" s="136" t="str">
        <f t="shared" si="3"/>
        <v/>
      </c>
      <c r="E979" s="152" t="str">
        <f>IFERROR(__xludf.DUMMYFUNCTION("""COMPUTED_VALUE"""),"")</f>
        <v/>
      </c>
      <c r="F979" s="106" t="s">
        <v>133</v>
      </c>
      <c r="G979" s="152" t="str">
        <f>IFERROR(__xludf.DUMMYFUNCTION("""COMPUTED_VALUE"""),"")</f>
        <v/>
      </c>
      <c r="H979" s="106" t="s">
        <v>133</v>
      </c>
      <c r="I979" s="136"/>
      <c r="J979" s="139" t="s">
        <v>133</v>
      </c>
      <c r="K979" s="136" t="s">
        <v>133</v>
      </c>
      <c r="L979" s="153" t="str">
        <f>IFERROR(__xludf.DUMMYFUNCTION("""COMPUTED_VALUE"""),"")</f>
        <v/>
      </c>
      <c r="M979" s="136" t="str">
        <f t="shared" si="1"/>
        <v/>
      </c>
      <c r="N979" s="136" t="str">
        <f>IFERROR(__xludf.DUMMYFUNCTION("""COMPUTED_VALUE"""),"")</f>
        <v/>
      </c>
      <c r="O979" s="141" t="s">
        <v>133</v>
      </c>
      <c r="P979" s="136" t="str">
        <f>IFERROR(__xludf.DUMMYFUNCTION("""COMPUTED_VALUE"""),"")</f>
        <v/>
      </c>
      <c r="Q979" s="136" t="str">
        <f>IFERROR(__xludf.DUMMYFUNCTION("""COMPUTED_VALUE"""),"")</f>
        <v/>
      </c>
      <c r="R979" s="106" t="str">
        <f>IFERROR(__xludf.DUMMYFUNCTION("""COMPUTED_VALUE"""),"")</f>
        <v/>
      </c>
      <c r="S979" s="106" t="str">
        <f>IFERROR(__xludf.DUMMYFUNCTION("""COMPUTED_VALUE"""),"")</f>
        <v/>
      </c>
      <c r="T979" s="139" t="str">
        <f>IFERROR(__xludf.DUMMYFUNCTION("""COMPUTED_VALUE"""),"")</f>
        <v/>
      </c>
      <c r="U979" s="139" t="str">
        <f>IFERROR(__xludf.DUMMYFUNCTION("""COMPUTED_VALUE"""),"")</f>
        <v/>
      </c>
      <c r="V979" s="136" t="str">
        <f>IFERROR(__xludf.DUMMYFUNCTION("""COMPUTED_VALUE"""),"")</f>
        <v/>
      </c>
      <c r="W979" s="106" t="str">
        <f>IFERROR(__xludf.DUMMYFUNCTION("""COMPUTED_VALUE"""),"")</f>
        <v/>
      </c>
      <c r="X979" s="143" t="str">
        <f t="shared" si="2"/>
        <v/>
      </c>
      <c r="Y979" s="139" t="str">
        <f>IFERROR(__xludf.DUMMYFUNCTION("""COMPUTED_VALUE"""),"")</f>
        <v/>
      </c>
      <c r="Z979" s="141" t="str">
        <f>IFERROR(__xludf.DUMMYFUNCTION("""COMPUTED_VALUE"""),"")</f>
        <v/>
      </c>
    </row>
    <row r="980">
      <c r="C980" s="136" t="str">
        <f>IFERROR(__xludf.DUMMYFUNCTION("""COMPUTED_VALUE"""),"")</f>
        <v/>
      </c>
      <c r="D980" s="136" t="str">
        <f t="shared" si="3"/>
        <v/>
      </c>
      <c r="E980" s="152" t="str">
        <f>IFERROR(__xludf.DUMMYFUNCTION("""COMPUTED_VALUE"""),"")</f>
        <v/>
      </c>
      <c r="F980" s="106" t="s">
        <v>133</v>
      </c>
      <c r="G980" s="152" t="str">
        <f>IFERROR(__xludf.DUMMYFUNCTION("""COMPUTED_VALUE"""),"")</f>
        <v/>
      </c>
      <c r="H980" s="106" t="s">
        <v>133</v>
      </c>
      <c r="I980" s="136"/>
      <c r="J980" s="139" t="s">
        <v>133</v>
      </c>
      <c r="K980" s="136" t="s">
        <v>133</v>
      </c>
      <c r="L980" s="153" t="str">
        <f>IFERROR(__xludf.DUMMYFUNCTION("""COMPUTED_VALUE"""),"")</f>
        <v/>
      </c>
      <c r="M980" s="136" t="str">
        <f t="shared" si="1"/>
        <v/>
      </c>
      <c r="N980" s="136" t="str">
        <f>IFERROR(__xludf.DUMMYFUNCTION("""COMPUTED_VALUE"""),"")</f>
        <v/>
      </c>
      <c r="O980" s="141" t="s">
        <v>133</v>
      </c>
      <c r="P980" s="136" t="str">
        <f>IFERROR(__xludf.DUMMYFUNCTION("""COMPUTED_VALUE"""),"")</f>
        <v/>
      </c>
      <c r="Q980" s="136" t="str">
        <f>IFERROR(__xludf.DUMMYFUNCTION("""COMPUTED_VALUE"""),"")</f>
        <v/>
      </c>
      <c r="R980" s="106" t="str">
        <f>IFERROR(__xludf.DUMMYFUNCTION("""COMPUTED_VALUE"""),"")</f>
        <v/>
      </c>
      <c r="S980" s="106" t="str">
        <f>IFERROR(__xludf.DUMMYFUNCTION("""COMPUTED_VALUE"""),"")</f>
        <v/>
      </c>
      <c r="T980" s="139" t="str">
        <f>IFERROR(__xludf.DUMMYFUNCTION("""COMPUTED_VALUE"""),"")</f>
        <v/>
      </c>
      <c r="U980" s="139" t="str">
        <f>IFERROR(__xludf.DUMMYFUNCTION("""COMPUTED_VALUE"""),"")</f>
        <v/>
      </c>
      <c r="V980" s="136" t="str">
        <f>IFERROR(__xludf.DUMMYFUNCTION("""COMPUTED_VALUE"""),"")</f>
        <v/>
      </c>
      <c r="W980" s="106" t="str">
        <f>IFERROR(__xludf.DUMMYFUNCTION("""COMPUTED_VALUE"""),"")</f>
        <v/>
      </c>
      <c r="X980" s="143" t="str">
        <f t="shared" si="2"/>
        <v/>
      </c>
      <c r="Y980" s="139" t="str">
        <f>IFERROR(__xludf.DUMMYFUNCTION("""COMPUTED_VALUE"""),"")</f>
        <v/>
      </c>
      <c r="Z980" s="141" t="str">
        <f>IFERROR(__xludf.DUMMYFUNCTION("""COMPUTED_VALUE"""),"")</f>
        <v/>
      </c>
    </row>
    <row r="981">
      <c r="C981" s="136" t="str">
        <f>IFERROR(__xludf.DUMMYFUNCTION("""COMPUTED_VALUE"""),"")</f>
        <v/>
      </c>
      <c r="D981" s="136" t="str">
        <f t="shared" si="3"/>
        <v/>
      </c>
      <c r="E981" s="152" t="str">
        <f>IFERROR(__xludf.DUMMYFUNCTION("""COMPUTED_VALUE"""),"")</f>
        <v/>
      </c>
      <c r="F981" s="106" t="s">
        <v>133</v>
      </c>
      <c r="G981" s="152" t="str">
        <f>IFERROR(__xludf.DUMMYFUNCTION("""COMPUTED_VALUE"""),"")</f>
        <v/>
      </c>
      <c r="H981" s="106" t="s">
        <v>133</v>
      </c>
      <c r="I981" s="136"/>
      <c r="J981" s="139" t="s">
        <v>133</v>
      </c>
      <c r="K981" s="136" t="s">
        <v>133</v>
      </c>
      <c r="L981" s="153" t="str">
        <f>IFERROR(__xludf.DUMMYFUNCTION("""COMPUTED_VALUE"""),"")</f>
        <v/>
      </c>
      <c r="M981" s="136" t="str">
        <f t="shared" si="1"/>
        <v/>
      </c>
      <c r="N981" s="136" t="str">
        <f>IFERROR(__xludf.DUMMYFUNCTION("""COMPUTED_VALUE"""),"")</f>
        <v/>
      </c>
      <c r="O981" s="141" t="s">
        <v>133</v>
      </c>
      <c r="P981" s="136" t="str">
        <f>IFERROR(__xludf.DUMMYFUNCTION("""COMPUTED_VALUE"""),"")</f>
        <v/>
      </c>
      <c r="Q981" s="136" t="str">
        <f>IFERROR(__xludf.DUMMYFUNCTION("""COMPUTED_VALUE"""),"")</f>
        <v/>
      </c>
      <c r="R981" s="106" t="str">
        <f>IFERROR(__xludf.DUMMYFUNCTION("""COMPUTED_VALUE"""),"")</f>
        <v/>
      </c>
      <c r="S981" s="106" t="str">
        <f>IFERROR(__xludf.DUMMYFUNCTION("""COMPUTED_VALUE"""),"")</f>
        <v/>
      </c>
      <c r="T981" s="139" t="str">
        <f>IFERROR(__xludf.DUMMYFUNCTION("""COMPUTED_VALUE"""),"")</f>
        <v/>
      </c>
      <c r="U981" s="139" t="str">
        <f>IFERROR(__xludf.DUMMYFUNCTION("""COMPUTED_VALUE"""),"")</f>
        <v/>
      </c>
      <c r="V981" s="136" t="str">
        <f>IFERROR(__xludf.DUMMYFUNCTION("""COMPUTED_VALUE"""),"")</f>
        <v/>
      </c>
      <c r="W981" s="106" t="str">
        <f>IFERROR(__xludf.DUMMYFUNCTION("""COMPUTED_VALUE"""),"")</f>
        <v/>
      </c>
      <c r="X981" s="143" t="str">
        <f t="shared" si="2"/>
        <v/>
      </c>
      <c r="Y981" s="139" t="str">
        <f>IFERROR(__xludf.DUMMYFUNCTION("""COMPUTED_VALUE"""),"")</f>
        <v/>
      </c>
      <c r="Z981" s="141" t="str">
        <f>IFERROR(__xludf.DUMMYFUNCTION("""COMPUTED_VALUE"""),"")</f>
        <v/>
      </c>
    </row>
    <row r="982">
      <c r="C982" s="136" t="str">
        <f>IFERROR(__xludf.DUMMYFUNCTION("""COMPUTED_VALUE"""),"")</f>
        <v/>
      </c>
      <c r="D982" s="136" t="str">
        <f t="shared" si="3"/>
        <v/>
      </c>
      <c r="E982" s="152" t="str">
        <f>IFERROR(__xludf.DUMMYFUNCTION("""COMPUTED_VALUE"""),"")</f>
        <v/>
      </c>
      <c r="F982" s="106" t="s">
        <v>133</v>
      </c>
      <c r="G982" s="152" t="str">
        <f>IFERROR(__xludf.DUMMYFUNCTION("""COMPUTED_VALUE"""),"")</f>
        <v/>
      </c>
      <c r="H982" s="106" t="s">
        <v>133</v>
      </c>
      <c r="I982" s="136"/>
      <c r="J982" s="139" t="s">
        <v>133</v>
      </c>
      <c r="K982" s="136" t="s">
        <v>133</v>
      </c>
      <c r="L982" s="153" t="str">
        <f>IFERROR(__xludf.DUMMYFUNCTION("""COMPUTED_VALUE"""),"")</f>
        <v/>
      </c>
      <c r="M982" s="136" t="str">
        <f t="shared" si="1"/>
        <v/>
      </c>
      <c r="N982" s="136" t="str">
        <f>IFERROR(__xludf.DUMMYFUNCTION("""COMPUTED_VALUE"""),"")</f>
        <v/>
      </c>
      <c r="O982" s="141" t="s">
        <v>133</v>
      </c>
      <c r="P982" s="136" t="str">
        <f>IFERROR(__xludf.DUMMYFUNCTION("""COMPUTED_VALUE"""),"")</f>
        <v/>
      </c>
      <c r="Q982" s="136" t="str">
        <f>IFERROR(__xludf.DUMMYFUNCTION("""COMPUTED_VALUE"""),"")</f>
        <v/>
      </c>
      <c r="R982" s="106" t="str">
        <f>IFERROR(__xludf.DUMMYFUNCTION("""COMPUTED_VALUE"""),"")</f>
        <v/>
      </c>
      <c r="S982" s="106" t="str">
        <f>IFERROR(__xludf.DUMMYFUNCTION("""COMPUTED_VALUE"""),"")</f>
        <v/>
      </c>
      <c r="T982" s="139" t="str">
        <f>IFERROR(__xludf.DUMMYFUNCTION("""COMPUTED_VALUE"""),"")</f>
        <v/>
      </c>
      <c r="U982" s="139" t="str">
        <f>IFERROR(__xludf.DUMMYFUNCTION("""COMPUTED_VALUE"""),"")</f>
        <v/>
      </c>
      <c r="V982" s="136" t="str">
        <f>IFERROR(__xludf.DUMMYFUNCTION("""COMPUTED_VALUE"""),"")</f>
        <v/>
      </c>
      <c r="W982" s="106" t="str">
        <f>IFERROR(__xludf.DUMMYFUNCTION("""COMPUTED_VALUE"""),"")</f>
        <v/>
      </c>
      <c r="X982" s="143" t="str">
        <f t="shared" si="2"/>
        <v/>
      </c>
      <c r="Y982" s="139" t="str">
        <f>IFERROR(__xludf.DUMMYFUNCTION("""COMPUTED_VALUE"""),"")</f>
        <v/>
      </c>
      <c r="Z982" s="141" t="str">
        <f>IFERROR(__xludf.DUMMYFUNCTION("""COMPUTED_VALUE"""),"")</f>
        <v/>
      </c>
    </row>
    <row r="983">
      <c r="C983" s="136" t="str">
        <f>IFERROR(__xludf.DUMMYFUNCTION("""COMPUTED_VALUE"""),"")</f>
        <v/>
      </c>
      <c r="D983" s="136" t="str">
        <f t="shared" si="3"/>
        <v/>
      </c>
      <c r="E983" s="152" t="str">
        <f>IFERROR(__xludf.DUMMYFUNCTION("""COMPUTED_VALUE"""),"")</f>
        <v/>
      </c>
      <c r="F983" s="106" t="s">
        <v>133</v>
      </c>
      <c r="G983" s="152" t="str">
        <f>IFERROR(__xludf.DUMMYFUNCTION("""COMPUTED_VALUE"""),"")</f>
        <v/>
      </c>
      <c r="H983" s="106" t="s">
        <v>133</v>
      </c>
      <c r="I983" s="136"/>
      <c r="J983" s="139" t="s">
        <v>133</v>
      </c>
      <c r="K983" s="136" t="s">
        <v>133</v>
      </c>
      <c r="L983" s="153" t="str">
        <f>IFERROR(__xludf.DUMMYFUNCTION("""COMPUTED_VALUE"""),"")</f>
        <v/>
      </c>
      <c r="M983" s="136" t="str">
        <f t="shared" si="1"/>
        <v/>
      </c>
      <c r="N983" s="136" t="str">
        <f>IFERROR(__xludf.DUMMYFUNCTION("""COMPUTED_VALUE"""),"")</f>
        <v/>
      </c>
      <c r="O983" s="141" t="s">
        <v>133</v>
      </c>
      <c r="P983" s="136" t="str">
        <f>IFERROR(__xludf.DUMMYFUNCTION("""COMPUTED_VALUE"""),"")</f>
        <v/>
      </c>
      <c r="Q983" s="136" t="str">
        <f>IFERROR(__xludf.DUMMYFUNCTION("""COMPUTED_VALUE"""),"")</f>
        <v/>
      </c>
      <c r="R983" s="106" t="str">
        <f>IFERROR(__xludf.DUMMYFUNCTION("""COMPUTED_VALUE"""),"")</f>
        <v/>
      </c>
      <c r="S983" s="106" t="str">
        <f>IFERROR(__xludf.DUMMYFUNCTION("""COMPUTED_VALUE"""),"")</f>
        <v/>
      </c>
      <c r="T983" s="139" t="str">
        <f>IFERROR(__xludf.DUMMYFUNCTION("""COMPUTED_VALUE"""),"")</f>
        <v/>
      </c>
      <c r="U983" s="139" t="str">
        <f>IFERROR(__xludf.DUMMYFUNCTION("""COMPUTED_VALUE"""),"")</f>
        <v/>
      </c>
      <c r="V983" s="136" t="str">
        <f>IFERROR(__xludf.DUMMYFUNCTION("""COMPUTED_VALUE"""),"")</f>
        <v/>
      </c>
      <c r="W983" s="106" t="str">
        <f>IFERROR(__xludf.DUMMYFUNCTION("""COMPUTED_VALUE"""),"")</f>
        <v/>
      </c>
      <c r="X983" s="143" t="str">
        <f t="shared" si="2"/>
        <v/>
      </c>
      <c r="Y983" s="139" t="str">
        <f>IFERROR(__xludf.DUMMYFUNCTION("""COMPUTED_VALUE"""),"")</f>
        <v/>
      </c>
      <c r="Z983" s="141" t="str">
        <f>IFERROR(__xludf.DUMMYFUNCTION("""COMPUTED_VALUE"""),"")</f>
        <v/>
      </c>
    </row>
    <row r="984">
      <c r="C984" s="136" t="str">
        <f>IFERROR(__xludf.DUMMYFUNCTION("""COMPUTED_VALUE"""),"")</f>
        <v/>
      </c>
      <c r="D984" s="136" t="str">
        <f t="shared" si="3"/>
        <v/>
      </c>
      <c r="E984" s="152" t="str">
        <f>IFERROR(__xludf.DUMMYFUNCTION("""COMPUTED_VALUE"""),"")</f>
        <v/>
      </c>
      <c r="F984" s="106" t="s">
        <v>133</v>
      </c>
      <c r="G984" s="152" t="str">
        <f>IFERROR(__xludf.DUMMYFUNCTION("""COMPUTED_VALUE"""),"")</f>
        <v/>
      </c>
      <c r="H984" s="106" t="s">
        <v>133</v>
      </c>
      <c r="I984" s="136"/>
      <c r="J984" s="139" t="s">
        <v>133</v>
      </c>
      <c r="K984" s="136" t="s">
        <v>133</v>
      </c>
      <c r="L984" s="153" t="str">
        <f>IFERROR(__xludf.DUMMYFUNCTION("""COMPUTED_VALUE"""),"")</f>
        <v/>
      </c>
      <c r="M984" s="136" t="str">
        <f t="shared" si="1"/>
        <v/>
      </c>
      <c r="N984" s="136" t="str">
        <f>IFERROR(__xludf.DUMMYFUNCTION("""COMPUTED_VALUE"""),"")</f>
        <v/>
      </c>
      <c r="O984" s="141" t="s">
        <v>133</v>
      </c>
      <c r="P984" s="136" t="str">
        <f>IFERROR(__xludf.DUMMYFUNCTION("""COMPUTED_VALUE"""),"")</f>
        <v/>
      </c>
      <c r="Q984" s="136" t="str">
        <f>IFERROR(__xludf.DUMMYFUNCTION("""COMPUTED_VALUE"""),"")</f>
        <v/>
      </c>
      <c r="R984" s="106" t="str">
        <f>IFERROR(__xludf.DUMMYFUNCTION("""COMPUTED_VALUE"""),"")</f>
        <v/>
      </c>
      <c r="S984" s="106" t="str">
        <f>IFERROR(__xludf.DUMMYFUNCTION("""COMPUTED_VALUE"""),"")</f>
        <v/>
      </c>
      <c r="T984" s="139" t="str">
        <f>IFERROR(__xludf.DUMMYFUNCTION("""COMPUTED_VALUE"""),"")</f>
        <v/>
      </c>
      <c r="U984" s="139" t="str">
        <f>IFERROR(__xludf.DUMMYFUNCTION("""COMPUTED_VALUE"""),"")</f>
        <v/>
      </c>
      <c r="V984" s="136" t="str">
        <f>IFERROR(__xludf.DUMMYFUNCTION("""COMPUTED_VALUE"""),"")</f>
        <v/>
      </c>
      <c r="W984" s="106" t="str">
        <f>IFERROR(__xludf.DUMMYFUNCTION("""COMPUTED_VALUE"""),"")</f>
        <v/>
      </c>
      <c r="X984" s="143" t="str">
        <f t="shared" si="2"/>
        <v/>
      </c>
      <c r="Y984" s="139" t="str">
        <f>IFERROR(__xludf.DUMMYFUNCTION("""COMPUTED_VALUE"""),"")</f>
        <v/>
      </c>
      <c r="Z984" s="141" t="str">
        <f>IFERROR(__xludf.DUMMYFUNCTION("""COMPUTED_VALUE"""),"")</f>
        <v/>
      </c>
    </row>
    <row r="985">
      <c r="C985" s="136" t="str">
        <f>IFERROR(__xludf.DUMMYFUNCTION("""COMPUTED_VALUE"""),"")</f>
        <v/>
      </c>
      <c r="D985" s="136" t="str">
        <f t="shared" si="3"/>
        <v/>
      </c>
      <c r="E985" s="152" t="str">
        <f>IFERROR(__xludf.DUMMYFUNCTION("""COMPUTED_VALUE"""),"")</f>
        <v/>
      </c>
      <c r="F985" s="106" t="s">
        <v>133</v>
      </c>
      <c r="G985" s="152" t="str">
        <f>IFERROR(__xludf.DUMMYFUNCTION("""COMPUTED_VALUE"""),"")</f>
        <v/>
      </c>
      <c r="H985" s="106" t="s">
        <v>133</v>
      </c>
      <c r="I985" s="136"/>
      <c r="J985" s="139" t="s">
        <v>133</v>
      </c>
      <c r="K985" s="136" t="s">
        <v>133</v>
      </c>
      <c r="L985" s="153" t="str">
        <f>IFERROR(__xludf.DUMMYFUNCTION("""COMPUTED_VALUE"""),"")</f>
        <v/>
      </c>
      <c r="M985" s="136" t="str">
        <f t="shared" si="1"/>
        <v/>
      </c>
      <c r="N985" s="136" t="str">
        <f>IFERROR(__xludf.DUMMYFUNCTION("""COMPUTED_VALUE"""),"")</f>
        <v/>
      </c>
      <c r="O985" s="141" t="s">
        <v>133</v>
      </c>
      <c r="P985" s="136" t="str">
        <f>IFERROR(__xludf.DUMMYFUNCTION("""COMPUTED_VALUE"""),"")</f>
        <v/>
      </c>
      <c r="Q985" s="136" t="str">
        <f>IFERROR(__xludf.DUMMYFUNCTION("""COMPUTED_VALUE"""),"")</f>
        <v/>
      </c>
      <c r="R985" s="106" t="str">
        <f>IFERROR(__xludf.DUMMYFUNCTION("""COMPUTED_VALUE"""),"")</f>
        <v/>
      </c>
      <c r="S985" s="106" t="str">
        <f>IFERROR(__xludf.DUMMYFUNCTION("""COMPUTED_VALUE"""),"")</f>
        <v/>
      </c>
      <c r="T985" s="139" t="str">
        <f>IFERROR(__xludf.DUMMYFUNCTION("""COMPUTED_VALUE"""),"")</f>
        <v/>
      </c>
      <c r="U985" s="139" t="str">
        <f>IFERROR(__xludf.DUMMYFUNCTION("""COMPUTED_VALUE"""),"")</f>
        <v/>
      </c>
      <c r="V985" s="136" t="str">
        <f>IFERROR(__xludf.DUMMYFUNCTION("""COMPUTED_VALUE"""),"")</f>
        <v/>
      </c>
      <c r="W985" s="106" t="str">
        <f>IFERROR(__xludf.DUMMYFUNCTION("""COMPUTED_VALUE"""),"")</f>
        <v/>
      </c>
      <c r="X985" s="143" t="str">
        <f t="shared" si="2"/>
        <v/>
      </c>
      <c r="Y985" s="139" t="str">
        <f>IFERROR(__xludf.DUMMYFUNCTION("""COMPUTED_VALUE"""),"")</f>
        <v/>
      </c>
      <c r="Z985" s="141" t="str">
        <f>IFERROR(__xludf.DUMMYFUNCTION("""COMPUTED_VALUE"""),"")</f>
        <v/>
      </c>
    </row>
    <row r="986">
      <c r="C986" s="136" t="str">
        <f>IFERROR(__xludf.DUMMYFUNCTION("""COMPUTED_VALUE"""),"")</f>
        <v/>
      </c>
      <c r="D986" s="136" t="str">
        <f t="shared" si="3"/>
        <v/>
      </c>
      <c r="E986" s="152" t="str">
        <f>IFERROR(__xludf.DUMMYFUNCTION("""COMPUTED_VALUE"""),"")</f>
        <v/>
      </c>
      <c r="F986" s="106" t="s">
        <v>133</v>
      </c>
      <c r="G986" s="152" t="str">
        <f>IFERROR(__xludf.DUMMYFUNCTION("""COMPUTED_VALUE"""),"")</f>
        <v/>
      </c>
      <c r="H986" s="106" t="s">
        <v>133</v>
      </c>
      <c r="I986" s="136"/>
      <c r="J986" s="139" t="s">
        <v>133</v>
      </c>
      <c r="K986" s="136" t="s">
        <v>133</v>
      </c>
      <c r="L986" s="153" t="str">
        <f>IFERROR(__xludf.DUMMYFUNCTION("""COMPUTED_VALUE"""),"")</f>
        <v/>
      </c>
      <c r="M986" s="136" t="str">
        <f t="shared" si="1"/>
        <v/>
      </c>
      <c r="N986" s="136" t="str">
        <f>IFERROR(__xludf.DUMMYFUNCTION("""COMPUTED_VALUE"""),"")</f>
        <v/>
      </c>
      <c r="O986" s="141" t="s">
        <v>133</v>
      </c>
      <c r="P986" s="136" t="str">
        <f>IFERROR(__xludf.DUMMYFUNCTION("""COMPUTED_VALUE"""),"")</f>
        <v/>
      </c>
      <c r="Q986" s="136" t="str">
        <f>IFERROR(__xludf.DUMMYFUNCTION("""COMPUTED_VALUE"""),"")</f>
        <v/>
      </c>
      <c r="R986" s="106" t="str">
        <f>IFERROR(__xludf.DUMMYFUNCTION("""COMPUTED_VALUE"""),"")</f>
        <v/>
      </c>
      <c r="S986" s="106" t="str">
        <f>IFERROR(__xludf.DUMMYFUNCTION("""COMPUTED_VALUE"""),"")</f>
        <v/>
      </c>
      <c r="T986" s="139" t="str">
        <f>IFERROR(__xludf.DUMMYFUNCTION("""COMPUTED_VALUE"""),"")</f>
        <v/>
      </c>
      <c r="U986" s="139" t="str">
        <f>IFERROR(__xludf.DUMMYFUNCTION("""COMPUTED_VALUE"""),"")</f>
        <v/>
      </c>
      <c r="V986" s="136" t="str">
        <f>IFERROR(__xludf.DUMMYFUNCTION("""COMPUTED_VALUE"""),"")</f>
        <v/>
      </c>
      <c r="W986" s="106" t="str">
        <f>IFERROR(__xludf.DUMMYFUNCTION("""COMPUTED_VALUE"""),"")</f>
        <v/>
      </c>
      <c r="X986" s="143" t="str">
        <f t="shared" si="2"/>
        <v/>
      </c>
      <c r="Y986" s="139" t="str">
        <f>IFERROR(__xludf.DUMMYFUNCTION("""COMPUTED_VALUE"""),"")</f>
        <v/>
      </c>
      <c r="Z986" s="141" t="str">
        <f>IFERROR(__xludf.DUMMYFUNCTION("""COMPUTED_VALUE"""),"")</f>
        <v/>
      </c>
    </row>
    <row r="987">
      <c r="C987" s="136" t="str">
        <f>IFERROR(__xludf.DUMMYFUNCTION("""COMPUTED_VALUE"""),"")</f>
        <v/>
      </c>
      <c r="D987" s="136" t="str">
        <f t="shared" si="3"/>
        <v/>
      </c>
      <c r="E987" s="152" t="str">
        <f>IFERROR(__xludf.DUMMYFUNCTION("""COMPUTED_VALUE"""),"")</f>
        <v/>
      </c>
      <c r="F987" s="106" t="s">
        <v>133</v>
      </c>
      <c r="G987" s="152" t="str">
        <f>IFERROR(__xludf.DUMMYFUNCTION("""COMPUTED_VALUE"""),"")</f>
        <v/>
      </c>
      <c r="H987" s="106" t="s">
        <v>133</v>
      </c>
      <c r="I987" s="136"/>
      <c r="J987" s="139" t="s">
        <v>133</v>
      </c>
      <c r="K987" s="136" t="s">
        <v>133</v>
      </c>
      <c r="L987" s="153" t="str">
        <f>IFERROR(__xludf.DUMMYFUNCTION("""COMPUTED_VALUE"""),"")</f>
        <v/>
      </c>
      <c r="M987" s="136" t="str">
        <f t="shared" si="1"/>
        <v/>
      </c>
      <c r="N987" s="136" t="str">
        <f>IFERROR(__xludf.DUMMYFUNCTION("""COMPUTED_VALUE"""),"")</f>
        <v/>
      </c>
      <c r="O987" s="141" t="s">
        <v>133</v>
      </c>
      <c r="P987" s="136" t="str">
        <f>IFERROR(__xludf.DUMMYFUNCTION("""COMPUTED_VALUE"""),"")</f>
        <v/>
      </c>
      <c r="Q987" s="136" t="str">
        <f>IFERROR(__xludf.DUMMYFUNCTION("""COMPUTED_VALUE"""),"")</f>
        <v/>
      </c>
      <c r="R987" s="106" t="str">
        <f>IFERROR(__xludf.DUMMYFUNCTION("""COMPUTED_VALUE"""),"")</f>
        <v/>
      </c>
      <c r="S987" s="106" t="str">
        <f>IFERROR(__xludf.DUMMYFUNCTION("""COMPUTED_VALUE"""),"")</f>
        <v/>
      </c>
      <c r="T987" s="139" t="str">
        <f>IFERROR(__xludf.DUMMYFUNCTION("""COMPUTED_VALUE"""),"")</f>
        <v/>
      </c>
      <c r="U987" s="139" t="str">
        <f>IFERROR(__xludf.DUMMYFUNCTION("""COMPUTED_VALUE"""),"")</f>
        <v/>
      </c>
      <c r="V987" s="136" t="str">
        <f>IFERROR(__xludf.DUMMYFUNCTION("""COMPUTED_VALUE"""),"")</f>
        <v/>
      </c>
      <c r="W987" s="106" t="str">
        <f>IFERROR(__xludf.DUMMYFUNCTION("""COMPUTED_VALUE"""),"")</f>
        <v/>
      </c>
      <c r="X987" s="143" t="str">
        <f t="shared" si="2"/>
        <v/>
      </c>
      <c r="Y987" s="139" t="str">
        <f>IFERROR(__xludf.DUMMYFUNCTION("""COMPUTED_VALUE"""),"")</f>
        <v/>
      </c>
      <c r="Z987" s="141" t="str">
        <f>IFERROR(__xludf.DUMMYFUNCTION("""COMPUTED_VALUE"""),"")</f>
        <v/>
      </c>
    </row>
    <row r="988">
      <c r="C988" s="136" t="str">
        <f>IFERROR(__xludf.DUMMYFUNCTION("""COMPUTED_VALUE"""),"")</f>
        <v/>
      </c>
      <c r="D988" s="136" t="str">
        <f t="shared" si="3"/>
        <v/>
      </c>
      <c r="E988" s="152" t="str">
        <f>IFERROR(__xludf.DUMMYFUNCTION("""COMPUTED_VALUE"""),"")</f>
        <v/>
      </c>
      <c r="F988" s="106" t="s">
        <v>133</v>
      </c>
      <c r="G988" s="152" t="str">
        <f>IFERROR(__xludf.DUMMYFUNCTION("""COMPUTED_VALUE"""),"")</f>
        <v/>
      </c>
      <c r="H988" s="106" t="s">
        <v>133</v>
      </c>
      <c r="I988" s="136"/>
      <c r="J988" s="139" t="s">
        <v>133</v>
      </c>
      <c r="K988" s="136" t="s">
        <v>133</v>
      </c>
      <c r="L988" s="153" t="str">
        <f>IFERROR(__xludf.DUMMYFUNCTION("""COMPUTED_VALUE"""),"")</f>
        <v/>
      </c>
      <c r="M988" s="136" t="str">
        <f t="shared" si="1"/>
        <v/>
      </c>
      <c r="N988" s="136" t="str">
        <f>IFERROR(__xludf.DUMMYFUNCTION("""COMPUTED_VALUE"""),"")</f>
        <v/>
      </c>
      <c r="O988" s="141" t="s">
        <v>133</v>
      </c>
      <c r="P988" s="136" t="str">
        <f>IFERROR(__xludf.DUMMYFUNCTION("""COMPUTED_VALUE"""),"")</f>
        <v/>
      </c>
      <c r="Q988" s="136" t="str">
        <f>IFERROR(__xludf.DUMMYFUNCTION("""COMPUTED_VALUE"""),"")</f>
        <v/>
      </c>
      <c r="R988" s="106" t="str">
        <f>IFERROR(__xludf.DUMMYFUNCTION("""COMPUTED_VALUE"""),"")</f>
        <v/>
      </c>
      <c r="S988" s="106" t="str">
        <f>IFERROR(__xludf.DUMMYFUNCTION("""COMPUTED_VALUE"""),"")</f>
        <v/>
      </c>
      <c r="T988" s="139" t="str">
        <f>IFERROR(__xludf.DUMMYFUNCTION("""COMPUTED_VALUE"""),"")</f>
        <v/>
      </c>
      <c r="U988" s="139" t="str">
        <f>IFERROR(__xludf.DUMMYFUNCTION("""COMPUTED_VALUE"""),"")</f>
        <v/>
      </c>
      <c r="V988" s="136" t="str">
        <f>IFERROR(__xludf.DUMMYFUNCTION("""COMPUTED_VALUE"""),"")</f>
        <v/>
      </c>
      <c r="W988" s="106" t="str">
        <f>IFERROR(__xludf.DUMMYFUNCTION("""COMPUTED_VALUE"""),"")</f>
        <v/>
      </c>
      <c r="X988" s="143" t="str">
        <f t="shared" si="2"/>
        <v/>
      </c>
      <c r="Y988" s="139" t="str">
        <f>IFERROR(__xludf.DUMMYFUNCTION("""COMPUTED_VALUE"""),"")</f>
        <v/>
      </c>
      <c r="Z988" s="141" t="str">
        <f>IFERROR(__xludf.DUMMYFUNCTION("""COMPUTED_VALUE"""),"")</f>
        <v/>
      </c>
    </row>
    <row r="989">
      <c r="C989" s="136" t="str">
        <f>IFERROR(__xludf.DUMMYFUNCTION("""COMPUTED_VALUE"""),"")</f>
        <v/>
      </c>
      <c r="D989" s="136" t="str">
        <f t="shared" si="3"/>
        <v/>
      </c>
      <c r="E989" s="152" t="str">
        <f>IFERROR(__xludf.DUMMYFUNCTION("""COMPUTED_VALUE"""),"")</f>
        <v/>
      </c>
      <c r="F989" s="106" t="s">
        <v>133</v>
      </c>
      <c r="G989" s="152" t="str">
        <f>IFERROR(__xludf.DUMMYFUNCTION("""COMPUTED_VALUE"""),"")</f>
        <v/>
      </c>
      <c r="H989" s="106" t="s">
        <v>133</v>
      </c>
      <c r="I989" s="136"/>
      <c r="J989" s="139" t="s">
        <v>133</v>
      </c>
      <c r="K989" s="136" t="s">
        <v>133</v>
      </c>
      <c r="L989" s="153" t="str">
        <f>IFERROR(__xludf.DUMMYFUNCTION("""COMPUTED_VALUE"""),"")</f>
        <v/>
      </c>
      <c r="M989" s="136" t="str">
        <f t="shared" si="1"/>
        <v/>
      </c>
      <c r="N989" s="136" t="str">
        <f>IFERROR(__xludf.DUMMYFUNCTION("""COMPUTED_VALUE"""),"")</f>
        <v/>
      </c>
      <c r="O989" s="141" t="s">
        <v>133</v>
      </c>
      <c r="P989" s="136" t="str">
        <f>IFERROR(__xludf.DUMMYFUNCTION("""COMPUTED_VALUE"""),"")</f>
        <v/>
      </c>
      <c r="Q989" s="136" t="str">
        <f>IFERROR(__xludf.DUMMYFUNCTION("""COMPUTED_VALUE"""),"")</f>
        <v/>
      </c>
      <c r="R989" s="106" t="str">
        <f>IFERROR(__xludf.DUMMYFUNCTION("""COMPUTED_VALUE"""),"")</f>
        <v/>
      </c>
      <c r="S989" s="106" t="str">
        <f>IFERROR(__xludf.DUMMYFUNCTION("""COMPUTED_VALUE"""),"")</f>
        <v/>
      </c>
      <c r="T989" s="139" t="str">
        <f>IFERROR(__xludf.DUMMYFUNCTION("""COMPUTED_VALUE"""),"")</f>
        <v/>
      </c>
      <c r="U989" s="139" t="str">
        <f>IFERROR(__xludf.DUMMYFUNCTION("""COMPUTED_VALUE"""),"")</f>
        <v/>
      </c>
      <c r="V989" s="136" t="str">
        <f>IFERROR(__xludf.DUMMYFUNCTION("""COMPUTED_VALUE"""),"")</f>
        <v/>
      </c>
      <c r="W989" s="106" t="str">
        <f>IFERROR(__xludf.DUMMYFUNCTION("""COMPUTED_VALUE"""),"")</f>
        <v/>
      </c>
      <c r="X989" s="143" t="str">
        <f t="shared" si="2"/>
        <v/>
      </c>
      <c r="Y989" s="139" t="str">
        <f>IFERROR(__xludf.DUMMYFUNCTION("""COMPUTED_VALUE"""),"")</f>
        <v/>
      </c>
      <c r="Z989" s="141" t="str">
        <f>IFERROR(__xludf.DUMMYFUNCTION("""COMPUTED_VALUE"""),"")</f>
        <v/>
      </c>
    </row>
    <row r="990">
      <c r="C990" s="136" t="str">
        <f>IFERROR(__xludf.DUMMYFUNCTION("""COMPUTED_VALUE"""),"")</f>
        <v/>
      </c>
      <c r="D990" s="136" t="str">
        <f t="shared" si="3"/>
        <v/>
      </c>
      <c r="E990" s="152" t="str">
        <f>IFERROR(__xludf.DUMMYFUNCTION("""COMPUTED_VALUE"""),"")</f>
        <v/>
      </c>
      <c r="F990" s="106" t="s">
        <v>133</v>
      </c>
      <c r="G990" s="152" t="str">
        <f>IFERROR(__xludf.DUMMYFUNCTION("""COMPUTED_VALUE"""),"")</f>
        <v/>
      </c>
      <c r="H990" s="106" t="s">
        <v>133</v>
      </c>
      <c r="I990" s="136"/>
      <c r="J990" s="139" t="s">
        <v>133</v>
      </c>
      <c r="K990" s="136" t="s">
        <v>133</v>
      </c>
      <c r="L990" s="153" t="str">
        <f>IFERROR(__xludf.DUMMYFUNCTION("""COMPUTED_VALUE"""),"")</f>
        <v/>
      </c>
      <c r="M990" s="136" t="str">
        <f t="shared" si="1"/>
        <v/>
      </c>
      <c r="N990" s="136" t="str">
        <f>IFERROR(__xludf.DUMMYFUNCTION("""COMPUTED_VALUE"""),"")</f>
        <v/>
      </c>
      <c r="O990" s="141" t="s">
        <v>133</v>
      </c>
      <c r="P990" s="136" t="str">
        <f>IFERROR(__xludf.DUMMYFUNCTION("""COMPUTED_VALUE"""),"")</f>
        <v/>
      </c>
      <c r="Q990" s="136" t="str">
        <f>IFERROR(__xludf.DUMMYFUNCTION("""COMPUTED_VALUE"""),"")</f>
        <v/>
      </c>
      <c r="R990" s="106" t="str">
        <f>IFERROR(__xludf.DUMMYFUNCTION("""COMPUTED_VALUE"""),"")</f>
        <v/>
      </c>
      <c r="S990" s="106" t="str">
        <f>IFERROR(__xludf.DUMMYFUNCTION("""COMPUTED_VALUE"""),"")</f>
        <v/>
      </c>
      <c r="T990" s="139" t="str">
        <f>IFERROR(__xludf.DUMMYFUNCTION("""COMPUTED_VALUE"""),"")</f>
        <v/>
      </c>
      <c r="U990" s="139" t="str">
        <f>IFERROR(__xludf.DUMMYFUNCTION("""COMPUTED_VALUE"""),"")</f>
        <v/>
      </c>
      <c r="V990" s="136" t="str">
        <f>IFERROR(__xludf.DUMMYFUNCTION("""COMPUTED_VALUE"""),"")</f>
        <v/>
      </c>
      <c r="W990" s="106" t="str">
        <f>IFERROR(__xludf.DUMMYFUNCTION("""COMPUTED_VALUE"""),"")</f>
        <v/>
      </c>
      <c r="X990" s="143" t="str">
        <f t="shared" si="2"/>
        <v/>
      </c>
      <c r="Y990" s="139" t="str">
        <f>IFERROR(__xludf.DUMMYFUNCTION("""COMPUTED_VALUE"""),"")</f>
        <v/>
      </c>
      <c r="Z990" s="141" t="str">
        <f>IFERROR(__xludf.DUMMYFUNCTION("""COMPUTED_VALUE"""),"")</f>
        <v/>
      </c>
    </row>
    <row r="991">
      <c r="C991" s="136" t="str">
        <f>IFERROR(__xludf.DUMMYFUNCTION("""COMPUTED_VALUE"""),"")</f>
        <v/>
      </c>
      <c r="D991" s="136" t="str">
        <f t="shared" si="3"/>
        <v/>
      </c>
      <c r="E991" s="152" t="str">
        <f>IFERROR(__xludf.DUMMYFUNCTION("""COMPUTED_VALUE"""),"")</f>
        <v/>
      </c>
      <c r="F991" s="106" t="s">
        <v>133</v>
      </c>
      <c r="G991" s="152" t="str">
        <f>IFERROR(__xludf.DUMMYFUNCTION("""COMPUTED_VALUE"""),"")</f>
        <v/>
      </c>
      <c r="H991" s="106" t="s">
        <v>133</v>
      </c>
      <c r="I991" s="136"/>
      <c r="J991" s="139" t="s">
        <v>133</v>
      </c>
      <c r="K991" s="136" t="s">
        <v>133</v>
      </c>
      <c r="L991" s="153" t="str">
        <f>IFERROR(__xludf.DUMMYFUNCTION("""COMPUTED_VALUE"""),"")</f>
        <v/>
      </c>
      <c r="M991" s="136" t="str">
        <f t="shared" si="1"/>
        <v/>
      </c>
      <c r="N991" s="136" t="str">
        <f>IFERROR(__xludf.DUMMYFUNCTION("""COMPUTED_VALUE"""),"")</f>
        <v/>
      </c>
      <c r="O991" s="141" t="s">
        <v>133</v>
      </c>
      <c r="P991" s="136" t="str">
        <f>IFERROR(__xludf.DUMMYFUNCTION("""COMPUTED_VALUE"""),"")</f>
        <v/>
      </c>
      <c r="Q991" s="136" t="str">
        <f>IFERROR(__xludf.DUMMYFUNCTION("""COMPUTED_VALUE"""),"")</f>
        <v/>
      </c>
      <c r="R991" s="106" t="str">
        <f>IFERROR(__xludf.DUMMYFUNCTION("""COMPUTED_VALUE"""),"")</f>
        <v/>
      </c>
      <c r="S991" s="106" t="str">
        <f>IFERROR(__xludf.DUMMYFUNCTION("""COMPUTED_VALUE"""),"")</f>
        <v/>
      </c>
      <c r="T991" s="139" t="str">
        <f>IFERROR(__xludf.DUMMYFUNCTION("""COMPUTED_VALUE"""),"")</f>
        <v/>
      </c>
      <c r="U991" s="139" t="str">
        <f>IFERROR(__xludf.DUMMYFUNCTION("""COMPUTED_VALUE"""),"")</f>
        <v/>
      </c>
      <c r="V991" s="136" t="str">
        <f>IFERROR(__xludf.DUMMYFUNCTION("""COMPUTED_VALUE"""),"")</f>
        <v/>
      </c>
      <c r="W991" s="106" t="str">
        <f>IFERROR(__xludf.DUMMYFUNCTION("""COMPUTED_VALUE"""),"")</f>
        <v/>
      </c>
      <c r="X991" s="143" t="str">
        <f t="shared" si="2"/>
        <v/>
      </c>
      <c r="Y991" s="139" t="str">
        <f>IFERROR(__xludf.DUMMYFUNCTION("""COMPUTED_VALUE"""),"")</f>
        <v/>
      </c>
      <c r="Z991" s="141" t="str">
        <f>IFERROR(__xludf.DUMMYFUNCTION("""COMPUTED_VALUE"""),"")</f>
        <v/>
      </c>
    </row>
    <row r="992">
      <c r="C992" s="136" t="str">
        <f>IFERROR(__xludf.DUMMYFUNCTION("""COMPUTED_VALUE"""),"")</f>
        <v/>
      </c>
      <c r="D992" s="136" t="str">
        <f t="shared" si="3"/>
        <v/>
      </c>
      <c r="E992" s="152" t="str">
        <f>IFERROR(__xludf.DUMMYFUNCTION("""COMPUTED_VALUE"""),"")</f>
        <v/>
      </c>
      <c r="F992" s="106" t="s">
        <v>133</v>
      </c>
      <c r="G992" s="152" t="str">
        <f>IFERROR(__xludf.DUMMYFUNCTION("""COMPUTED_VALUE"""),"")</f>
        <v/>
      </c>
      <c r="H992" s="106" t="s">
        <v>133</v>
      </c>
      <c r="I992" s="136"/>
      <c r="J992" s="139" t="s">
        <v>133</v>
      </c>
      <c r="K992" s="136" t="s">
        <v>133</v>
      </c>
      <c r="L992" s="153" t="str">
        <f>IFERROR(__xludf.DUMMYFUNCTION("""COMPUTED_VALUE"""),"")</f>
        <v/>
      </c>
      <c r="M992" s="136" t="str">
        <f t="shared" si="1"/>
        <v/>
      </c>
      <c r="N992" s="136" t="str">
        <f>IFERROR(__xludf.DUMMYFUNCTION("""COMPUTED_VALUE"""),"")</f>
        <v/>
      </c>
      <c r="O992" s="141" t="s">
        <v>133</v>
      </c>
      <c r="P992" s="136" t="str">
        <f>IFERROR(__xludf.DUMMYFUNCTION("""COMPUTED_VALUE"""),"")</f>
        <v/>
      </c>
      <c r="Q992" s="136" t="str">
        <f>IFERROR(__xludf.DUMMYFUNCTION("""COMPUTED_VALUE"""),"")</f>
        <v/>
      </c>
      <c r="R992" s="106" t="str">
        <f>IFERROR(__xludf.DUMMYFUNCTION("""COMPUTED_VALUE"""),"")</f>
        <v/>
      </c>
      <c r="S992" s="106" t="str">
        <f>IFERROR(__xludf.DUMMYFUNCTION("""COMPUTED_VALUE"""),"")</f>
        <v/>
      </c>
      <c r="T992" s="139" t="str">
        <f>IFERROR(__xludf.DUMMYFUNCTION("""COMPUTED_VALUE"""),"")</f>
        <v/>
      </c>
      <c r="U992" s="139" t="str">
        <f>IFERROR(__xludf.DUMMYFUNCTION("""COMPUTED_VALUE"""),"")</f>
        <v/>
      </c>
      <c r="V992" s="136" t="str">
        <f>IFERROR(__xludf.DUMMYFUNCTION("""COMPUTED_VALUE"""),"")</f>
        <v/>
      </c>
      <c r="W992" s="106" t="str">
        <f>IFERROR(__xludf.DUMMYFUNCTION("""COMPUTED_VALUE"""),"")</f>
        <v/>
      </c>
      <c r="X992" s="143" t="str">
        <f t="shared" si="2"/>
        <v/>
      </c>
      <c r="Y992" s="139" t="str">
        <f>IFERROR(__xludf.DUMMYFUNCTION("""COMPUTED_VALUE"""),"")</f>
        <v/>
      </c>
      <c r="Z992" s="141" t="str">
        <f>IFERROR(__xludf.DUMMYFUNCTION("""COMPUTED_VALUE"""),"")</f>
        <v/>
      </c>
    </row>
    <row r="993">
      <c r="C993" s="136" t="str">
        <f>IFERROR(__xludf.DUMMYFUNCTION("""COMPUTED_VALUE"""),"")</f>
        <v/>
      </c>
      <c r="D993" s="136" t="str">
        <f t="shared" si="3"/>
        <v/>
      </c>
      <c r="E993" s="152" t="str">
        <f>IFERROR(__xludf.DUMMYFUNCTION("""COMPUTED_VALUE"""),"")</f>
        <v/>
      </c>
      <c r="F993" s="106" t="s">
        <v>133</v>
      </c>
      <c r="G993" s="152" t="str">
        <f>IFERROR(__xludf.DUMMYFUNCTION("""COMPUTED_VALUE"""),"")</f>
        <v/>
      </c>
      <c r="H993" s="106" t="s">
        <v>133</v>
      </c>
      <c r="I993" s="136"/>
      <c r="J993" s="139" t="s">
        <v>133</v>
      </c>
      <c r="K993" s="136" t="s">
        <v>133</v>
      </c>
      <c r="L993" s="153" t="str">
        <f>IFERROR(__xludf.DUMMYFUNCTION("""COMPUTED_VALUE"""),"")</f>
        <v/>
      </c>
      <c r="M993" s="136" t="str">
        <f t="shared" si="1"/>
        <v/>
      </c>
      <c r="N993" s="136" t="str">
        <f>IFERROR(__xludf.DUMMYFUNCTION("""COMPUTED_VALUE"""),"")</f>
        <v/>
      </c>
      <c r="O993" s="141" t="s">
        <v>133</v>
      </c>
      <c r="P993" s="136" t="str">
        <f>IFERROR(__xludf.DUMMYFUNCTION("""COMPUTED_VALUE"""),"")</f>
        <v/>
      </c>
      <c r="Q993" s="136" t="str">
        <f>IFERROR(__xludf.DUMMYFUNCTION("""COMPUTED_VALUE"""),"")</f>
        <v/>
      </c>
      <c r="R993" s="106" t="str">
        <f>IFERROR(__xludf.DUMMYFUNCTION("""COMPUTED_VALUE"""),"")</f>
        <v/>
      </c>
      <c r="S993" s="106" t="str">
        <f>IFERROR(__xludf.DUMMYFUNCTION("""COMPUTED_VALUE"""),"")</f>
        <v/>
      </c>
      <c r="T993" s="139" t="str">
        <f>IFERROR(__xludf.DUMMYFUNCTION("""COMPUTED_VALUE"""),"")</f>
        <v/>
      </c>
      <c r="U993" s="139" t="str">
        <f>IFERROR(__xludf.DUMMYFUNCTION("""COMPUTED_VALUE"""),"")</f>
        <v/>
      </c>
      <c r="V993" s="136" t="str">
        <f>IFERROR(__xludf.DUMMYFUNCTION("""COMPUTED_VALUE"""),"")</f>
        <v/>
      </c>
      <c r="W993" s="106" t="str">
        <f>IFERROR(__xludf.DUMMYFUNCTION("""COMPUTED_VALUE"""),"")</f>
        <v/>
      </c>
      <c r="X993" s="143" t="str">
        <f t="shared" si="2"/>
        <v/>
      </c>
      <c r="Y993" s="139" t="str">
        <f>IFERROR(__xludf.DUMMYFUNCTION("""COMPUTED_VALUE"""),"")</f>
        <v/>
      </c>
      <c r="Z993" s="141" t="str">
        <f>IFERROR(__xludf.DUMMYFUNCTION("""COMPUTED_VALUE"""),"")</f>
        <v/>
      </c>
    </row>
    <row r="994">
      <c r="C994" s="136" t="str">
        <f>IFERROR(__xludf.DUMMYFUNCTION("""COMPUTED_VALUE"""),"")</f>
        <v/>
      </c>
      <c r="D994" s="136" t="str">
        <f t="shared" si="3"/>
        <v/>
      </c>
      <c r="E994" s="152" t="str">
        <f>IFERROR(__xludf.DUMMYFUNCTION("""COMPUTED_VALUE"""),"")</f>
        <v/>
      </c>
      <c r="F994" s="106" t="s">
        <v>133</v>
      </c>
      <c r="G994" s="152" t="str">
        <f>IFERROR(__xludf.DUMMYFUNCTION("""COMPUTED_VALUE"""),"")</f>
        <v/>
      </c>
      <c r="H994" s="106" t="s">
        <v>133</v>
      </c>
      <c r="I994" s="136"/>
      <c r="J994" s="139" t="s">
        <v>133</v>
      </c>
      <c r="K994" s="136" t="s">
        <v>133</v>
      </c>
      <c r="L994" s="153" t="str">
        <f>IFERROR(__xludf.DUMMYFUNCTION("""COMPUTED_VALUE"""),"")</f>
        <v/>
      </c>
      <c r="M994" s="136" t="str">
        <f t="shared" si="1"/>
        <v/>
      </c>
      <c r="N994" s="136" t="str">
        <f>IFERROR(__xludf.DUMMYFUNCTION("""COMPUTED_VALUE"""),"")</f>
        <v/>
      </c>
      <c r="O994" s="141" t="s">
        <v>133</v>
      </c>
      <c r="P994" s="136" t="str">
        <f>IFERROR(__xludf.DUMMYFUNCTION("""COMPUTED_VALUE"""),"")</f>
        <v/>
      </c>
      <c r="Q994" s="136" t="str">
        <f>IFERROR(__xludf.DUMMYFUNCTION("""COMPUTED_VALUE"""),"")</f>
        <v/>
      </c>
      <c r="R994" s="106" t="str">
        <f>IFERROR(__xludf.DUMMYFUNCTION("""COMPUTED_VALUE"""),"")</f>
        <v/>
      </c>
      <c r="S994" s="106" t="str">
        <f>IFERROR(__xludf.DUMMYFUNCTION("""COMPUTED_VALUE"""),"")</f>
        <v/>
      </c>
      <c r="T994" s="139" t="str">
        <f>IFERROR(__xludf.DUMMYFUNCTION("""COMPUTED_VALUE"""),"")</f>
        <v/>
      </c>
      <c r="U994" s="139" t="str">
        <f>IFERROR(__xludf.DUMMYFUNCTION("""COMPUTED_VALUE"""),"")</f>
        <v/>
      </c>
      <c r="V994" s="136" t="str">
        <f>IFERROR(__xludf.DUMMYFUNCTION("""COMPUTED_VALUE"""),"")</f>
        <v/>
      </c>
      <c r="W994" s="106" t="str">
        <f>IFERROR(__xludf.DUMMYFUNCTION("""COMPUTED_VALUE"""),"")</f>
        <v/>
      </c>
      <c r="X994" s="143" t="str">
        <f t="shared" si="2"/>
        <v/>
      </c>
      <c r="Y994" s="139" t="str">
        <f>IFERROR(__xludf.DUMMYFUNCTION("""COMPUTED_VALUE"""),"")</f>
        <v/>
      </c>
      <c r="Z994" s="141" t="str">
        <f>IFERROR(__xludf.DUMMYFUNCTION("""COMPUTED_VALUE"""),"")</f>
        <v/>
      </c>
    </row>
    <row r="995">
      <c r="C995" s="136" t="str">
        <f>IFERROR(__xludf.DUMMYFUNCTION("""COMPUTED_VALUE"""),"")</f>
        <v/>
      </c>
      <c r="D995" s="136" t="str">
        <f t="shared" si="3"/>
        <v/>
      </c>
      <c r="E995" s="152" t="str">
        <f>IFERROR(__xludf.DUMMYFUNCTION("""COMPUTED_VALUE"""),"")</f>
        <v/>
      </c>
      <c r="F995" s="106" t="s">
        <v>133</v>
      </c>
      <c r="G995" s="152" t="str">
        <f>IFERROR(__xludf.DUMMYFUNCTION("""COMPUTED_VALUE"""),"")</f>
        <v/>
      </c>
      <c r="H995" s="106" t="s">
        <v>133</v>
      </c>
      <c r="I995" s="136"/>
      <c r="J995" s="139" t="s">
        <v>133</v>
      </c>
      <c r="K995" s="136" t="s">
        <v>133</v>
      </c>
      <c r="L995" s="153" t="str">
        <f>IFERROR(__xludf.DUMMYFUNCTION("""COMPUTED_VALUE"""),"")</f>
        <v/>
      </c>
      <c r="M995" s="136" t="str">
        <f t="shared" si="1"/>
        <v/>
      </c>
      <c r="N995" s="136" t="str">
        <f>IFERROR(__xludf.DUMMYFUNCTION("""COMPUTED_VALUE"""),"")</f>
        <v/>
      </c>
      <c r="O995" s="141" t="s">
        <v>133</v>
      </c>
      <c r="P995" s="136" t="str">
        <f>IFERROR(__xludf.DUMMYFUNCTION("""COMPUTED_VALUE"""),"")</f>
        <v/>
      </c>
      <c r="Q995" s="136" t="str">
        <f>IFERROR(__xludf.DUMMYFUNCTION("""COMPUTED_VALUE"""),"")</f>
        <v/>
      </c>
      <c r="R995" s="106" t="str">
        <f>IFERROR(__xludf.DUMMYFUNCTION("""COMPUTED_VALUE"""),"")</f>
        <v/>
      </c>
      <c r="S995" s="106" t="str">
        <f>IFERROR(__xludf.DUMMYFUNCTION("""COMPUTED_VALUE"""),"")</f>
        <v/>
      </c>
      <c r="T995" s="139" t="str">
        <f>IFERROR(__xludf.DUMMYFUNCTION("""COMPUTED_VALUE"""),"")</f>
        <v/>
      </c>
      <c r="U995" s="139" t="str">
        <f>IFERROR(__xludf.DUMMYFUNCTION("""COMPUTED_VALUE"""),"")</f>
        <v/>
      </c>
      <c r="V995" s="136" t="str">
        <f>IFERROR(__xludf.DUMMYFUNCTION("""COMPUTED_VALUE"""),"")</f>
        <v/>
      </c>
      <c r="W995" s="106" t="str">
        <f>IFERROR(__xludf.DUMMYFUNCTION("""COMPUTED_VALUE"""),"")</f>
        <v/>
      </c>
      <c r="X995" s="143" t="str">
        <f t="shared" si="2"/>
        <v/>
      </c>
      <c r="Y995" s="139" t="str">
        <f>IFERROR(__xludf.DUMMYFUNCTION("""COMPUTED_VALUE"""),"")</f>
        <v/>
      </c>
      <c r="Z995" s="141" t="str">
        <f>IFERROR(__xludf.DUMMYFUNCTION("""COMPUTED_VALUE"""),"")</f>
        <v/>
      </c>
    </row>
    <row r="996">
      <c r="C996" s="136" t="str">
        <f>IFERROR(__xludf.DUMMYFUNCTION("""COMPUTED_VALUE"""),"")</f>
        <v/>
      </c>
      <c r="D996" s="136" t="str">
        <f t="shared" si="3"/>
        <v/>
      </c>
      <c r="E996" s="152" t="str">
        <f>IFERROR(__xludf.DUMMYFUNCTION("""COMPUTED_VALUE"""),"")</f>
        <v/>
      </c>
      <c r="F996" s="106" t="s">
        <v>133</v>
      </c>
      <c r="G996" s="152" t="str">
        <f>IFERROR(__xludf.DUMMYFUNCTION("""COMPUTED_VALUE"""),"")</f>
        <v/>
      </c>
      <c r="H996" s="106" t="s">
        <v>133</v>
      </c>
      <c r="I996" s="136"/>
      <c r="J996" s="139" t="s">
        <v>133</v>
      </c>
      <c r="K996" s="136" t="s">
        <v>133</v>
      </c>
      <c r="L996" s="153" t="str">
        <f>IFERROR(__xludf.DUMMYFUNCTION("""COMPUTED_VALUE"""),"")</f>
        <v/>
      </c>
      <c r="M996" s="136" t="str">
        <f t="shared" si="1"/>
        <v/>
      </c>
      <c r="N996" s="136" t="str">
        <f>IFERROR(__xludf.DUMMYFUNCTION("""COMPUTED_VALUE"""),"")</f>
        <v/>
      </c>
      <c r="O996" s="141" t="s">
        <v>133</v>
      </c>
      <c r="P996" s="136" t="str">
        <f>IFERROR(__xludf.DUMMYFUNCTION("""COMPUTED_VALUE"""),"")</f>
        <v/>
      </c>
      <c r="Q996" s="136" t="str">
        <f>IFERROR(__xludf.DUMMYFUNCTION("""COMPUTED_VALUE"""),"")</f>
        <v/>
      </c>
      <c r="R996" s="106" t="str">
        <f>IFERROR(__xludf.DUMMYFUNCTION("""COMPUTED_VALUE"""),"")</f>
        <v/>
      </c>
      <c r="S996" s="106" t="str">
        <f>IFERROR(__xludf.DUMMYFUNCTION("""COMPUTED_VALUE"""),"")</f>
        <v/>
      </c>
      <c r="T996" s="139" t="str">
        <f>IFERROR(__xludf.DUMMYFUNCTION("""COMPUTED_VALUE"""),"")</f>
        <v/>
      </c>
      <c r="U996" s="139" t="str">
        <f>IFERROR(__xludf.DUMMYFUNCTION("""COMPUTED_VALUE"""),"")</f>
        <v/>
      </c>
      <c r="V996" s="136" t="str">
        <f>IFERROR(__xludf.DUMMYFUNCTION("""COMPUTED_VALUE"""),"")</f>
        <v/>
      </c>
      <c r="W996" s="106" t="str">
        <f>IFERROR(__xludf.DUMMYFUNCTION("""COMPUTED_VALUE"""),"")</f>
        <v/>
      </c>
      <c r="X996" s="143" t="str">
        <f t="shared" si="2"/>
        <v/>
      </c>
      <c r="Y996" s="139" t="str">
        <f>IFERROR(__xludf.DUMMYFUNCTION("""COMPUTED_VALUE"""),"")</f>
        <v/>
      </c>
      <c r="Z996" s="141" t="str">
        <f>IFERROR(__xludf.DUMMYFUNCTION("""COMPUTED_VALUE"""),"")</f>
        <v/>
      </c>
    </row>
    <row r="997">
      <c r="C997" s="136" t="str">
        <f>IFERROR(__xludf.DUMMYFUNCTION("""COMPUTED_VALUE"""),"")</f>
        <v/>
      </c>
      <c r="D997" s="136" t="str">
        <f t="shared" si="3"/>
        <v/>
      </c>
      <c r="E997" s="152" t="str">
        <f>IFERROR(__xludf.DUMMYFUNCTION("""COMPUTED_VALUE"""),"")</f>
        <v/>
      </c>
      <c r="F997" s="106" t="s">
        <v>133</v>
      </c>
      <c r="G997" s="152" t="str">
        <f>IFERROR(__xludf.DUMMYFUNCTION("""COMPUTED_VALUE"""),"")</f>
        <v/>
      </c>
      <c r="H997" s="106" t="s">
        <v>133</v>
      </c>
      <c r="I997" s="136"/>
      <c r="J997" s="139" t="s">
        <v>133</v>
      </c>
      <c r="K997" s="136" t="s">
        <v>133</v>
      </c>
      <c r="L997" s="153" t="str">
        <f>IFERROR(__xludf.DUMMYFUNCTION("""COMPUTED_VALUE"""),"")</f>
        <v/>
      </c>
      <c r="M997" s="136" t="str">
        <f t="shared" si="1"/>
        <v/>
      </c>
      <c r="N997" s="136" t="str">
        <f>IFERROR(__xludf.DUMMYFUNCTION("""COMPUTED_VALUE"""),"")</f>
        <v/>
      </c>
      <c r="O997" s="141" t="s">
        <v>133</v>
      </c>
      <c r="P997" s="136" t="str">
        <f>IFERROR(__xludf.DUMMYFUNCTION("""COMPUTED_VALUE"""),"")</f>
        <v/>
      </c>
      <c r="Q997" s="136" t="str">
        <f>IFERROR(__xludf.DUMMYFUNCTION("""COMPUTED_VALUE"""),"")</f>
        <v/>
      </c>
      <c r="R997" s="106" t="str">
        <f>IFERROR(__xludf.DUMMYFUNCTION("""COMPUTED_VALUE"""),"")</f>
        <v/>
      </c>
      <c r="S997" s="106" t="str">
        <f>IFERROR(__xludf.DUMMYFUNCTION("""COMPUTED_VALUE"""),"")</f>
        <v/>
      </c>
      <c r="T997" s="139" t="str">
        <f>IFERROR(__xludf.DUMMYFUNCTION("""COMPUTED_VALUE"""),"")</f>
        <v/>
      </c>
      <c r="U997" s="139" t="str">
        <f>IFERROR(__xludf.DUMMYFUNCTION("""COMPUTED_VALUE"""),"")</f>
        <v/>
      </c>
      <c r="V997" s="136" t="str">
        <f>IFERROR(__xludf.DUMMYFUNCTION("""COMPUTED_VALUE"""),"")</f>
        <v/>
      </c>
      <c r="W997" s="106" t="str">
        <f>IFERROR(__xludf.DUMMYFUNCTION("""COMPUTED_VALUE"""),"")</f>
        <v/>
      </c>
      <c r="X997" s="143" t="str">
        <f t="shared" si="2"/>
        <v/>
      </c>
      <c r="Y997" s="139" t="str">
        <f>IFERROR(__xludf.DUMMYFUNCTION("""COMPUTED_VALUE"""),"")</f>
        <v/>
      </c>
      <c r="Z997" s="141" t="str">
        <f>IFERROR(__xludf.DUMMYFUNCTION("""COMPUTED_VALUE"""),"")</f>
        <v/>
      </c>
    </row>
    <row r="998">
      <c r="C998" s="136" t="str">
        <f>IFERROR(__xludf.DUMMYFUNCTION("""COMPUTED_VALUE"""),"")</f>
        <v/>
      </c>
      <c r="D998" s="136" t="str">
        <f t="shared" si="3"/>
        <v/>
      </c>
      <c r="E998" s="152" t="str">
        <f>IFERROR(__xludf.DUMMYFUNCTION("""COMPUTED_VALUE"""),"")</f>
        <v/>
      </c>
      <c r="F998" s="106" t="s">
        <v>133</v>
      </c>
      <c r="G998" s="152" t="str">
        <f>IFERROR(__xludf.DUMMYFUNCTION("""COMPUTED_VALUE"""),"")</f>
        <v/>
      </c>
      <c r="H998" s="106" t="s">
        <v>133</v>
      </c>
      <c r="I998" s="136"/>
      <c r="J998" s="139" t="s">
        <v>133</v>
      </c>
      <c r="K998" s="136" t="s">
        <v>133</v>
      </c>
      <c r="L998" s="153" t="str">
        <f>IFERROR(__xludf.DUMMYFUNCTION("""COMPUTED_VALUE"""),"")</f>
        <v/>
      </c>
      <c r="M998" s="136" t="str">
        <f t="shared" si="1"/>
        <v/>
      </c>
      <c r="N998" s="136" t="str">
        <f>IFERROR(__xludf.DUMMYFUNCTION("""COMPUTED_VALUE"""),"")</f>
        <v/>
      </c>
      <c r="O998" s="141" t="s">
        <v>133</v>
      </c>
      <c r="P998" s="136" t="str">
        <f>IFERROR(__xludf.DUMMYFUNCTION("""COMPUTED_VALUE"""),"")</f>
        <v/>
      </c>
      <c r="Q998" s="136" t="str">
        <f>IFERROR(__xludf.DUMMYFUNCTION("""COMPUTED_VALUE"""),"")</f>
        <v/>
      </c>
      <c r="R998" s="106" t="str">
        <f>IFERROR(__xludf.DUMMYFUNCTION("""COMPUTED_VALUE"""),"")</f>
        <v/>
      </c>
      <c r="S998" s="106" t="str">
        <f>IFERROR(__xludf.DUMMYFUNCTION("""COMPUTED_VALUE"""),"")</f>
        <v/>
      </c>
      <c r="T998" s="139" t="str">
        <f>IFERROR(__xludf.DUMMYFUNCTION("""COMPUTED_VALUE"""),"")</f>
        <v/>
      </c>
      <c r="U998" s="139" t="str">
        <f>IFERROR(__xludf.DUMMYFUNCTION("""COMPUTED_VALUE"""),"")</f>
        <v/>
      </c>
      <c r="V998" s="136" t="str">
        <f>IFERROR(__xludf.DUMMYFUNCTION("""COMPUTED_VALUE"""),"")</f>
        <v/>
      </c>
      <c r="W998" s="106" t="str">
        <f>IFERROR(__xludf.DUMMYFUNCTION("""COMPUTED_VALUE"""),"")</f>
        <v/>
      </c>
      <c r="X998" s="143" t="str">
        <f t="shared" si="2"/>
        <v/>
      </c>
      <c r="Y998" s="139" t="str">
        <f>IFERROR(__xludf.DUMMYFUNCTION("""COMPUTED_VALUE"""),"")</f>
        <v/>
      </c>
      <c r="Z998" s="141" t="str">
        <f>IFERROR(__xludf.DUMMYFUNCTION("""COMPUTED_VALUE"""),"")</f>
        <v/>
      </c>
    </row>
    <row r="999">
      <c r="C999" s="136" t="str">
        <f>IFERROR(__xludf.DUMMYFUNCTION("""COMPUTED_VALUE"""),"")</f>
        <v/>
      </c>
      <c r="D999" s="136" t="str">
        <f t="shared" si="3"/>
        <v/>
      </c>
      <c r="E999" s="152" t="str">
        <f>IFERROR(__xludf.DUMMYFUNCTION("""COMPUTED_VALUE"""),"")</f>
        <v/>
      </c>
      <c r="F999" s="106" t="s">
        <v>133</v>
      </c>
      <c r="G999" s="152" t="str">
        <f>IFERROR(__xludf.DUMMYFUNCTION("""COMPUTED_VALUE"""),"")</f>
        <v/>
      </c>
      <c r="H999" s="106" t="s">
        <v>133</v>
      </c>
      <c r="I999" s="136"/>
      <c r="J999" s="139" t="s">
        <v>133</v>
      </c>
      <c r="K999" s="136" t="s">
        <v>133</v>
      </c>
      <c r="L999" s="153" t="str">
        <f>IFERROR(__xludf.DUMMYFUNCTION("""COMPUTED_VALUE"""),"")</f>
        <v/>
      </c>
      <c r="M999" s="136" t="str">
        <f t="shared" si="1"/>
        <v/>
      </c>
      <c r="N999" s="136" t="str">
        <f>IFERROR(__xludf.DUMMYFUNCTION("""COMPUTED_VALUE"""),"")</f>
        <v/>
      </c>
      <c r="O999" s="141" t="s">
        <v>133</v>
      </c>
      <c r="P999" s="136" t="str">
        <f>IFERROR(__xludf.DUMMYFUNCTION("""COMPUTED_VALUE"""),"")</f>
        <v/>
      </c>
      <c r="Q999" s="136" t="str">
        <f>IFERROR(__xludf.DUMMYFUNCTION("""COMPUTED_VALUE"""),"")</f>
        <v/>
      </c>
      <c r="R999" s="106" t="str">
        <f>IFERROR(__xludf.DUMMYFUNCTION("""COMPUTED_VALUE"""),"")</f>
        <v/>
      </c>
      <c r="S999" s="106" t="str">
        <f>IFERROR(__xludf.DUMMYFUNCTION("""COMPUTED_VALUE"""),"")</f>
        <v/>
      </c>
      <c r="T999" s="139" t="str">
        <f>IFERROR(__xludf.DUMMYFUNCTION("""COMPUTED_VALUE"""),"")</f>
        <v/>
      </c>
      <c r="U999" s="139" t="str">
        <f>IFERROR(__xludf.DUMMYFUNCTION("""COMPUTED_VALUE"""),"")</f>
        <v/>
      </c>
      <c r="V999" s="136" t="str">
        <f>IFERROR(__xludf.DUMMYFUNCTION("""COMPUTED_VALUE"""),"")</f>
        <v/>
      </c>
      <c r="W999" s="106" t="str">
        <f>IFERROR(__xludf.DUMMYFUNCTION("""COMPUTED_VALUE"""),"")</f>
        <v/>
      </c>
      <c r="X999" s="143" t="str">
        <f t="shared" si="2"/>
        <v/>
      </c>
      <c r="Y999" s="139" t="str">
        <f>IFERROR(__xludf.DUMMYFUNCTION("""COMPUTED_VALUE"""),"")</f>
        <v/>
      </c>
      <c r="Z999" s="141" t="str">
        <f>IFERROR(__xludf.DUMMYFUNCTION("""COMPUTED_VALUE"""),"")</f>
        <v/>
      </c>
    </row>
    <row r="1000">
      <c r="C1000" s="136" t="str">
        <f>IFERROR(__xludf.DUMMYFUNCTION("""COMPUTED_VALUE"""),"")</f>
        <v/>
      </c>
      <c r="D1000" s="136" t="str">
        <f t="shared" si="3"/>
        <v/>
      </c>
      <c r="E1000" s="152" t="str">
        <f>IFERROR(__xludf.DUMMYFUNCTION("""COMPUTED_VALUE"""),"")</f>
        <v/>
      </c>
      <c r="F1000" s="106" t="s">
        <v>133</v>
      </c>
      <c r="G1000" s="152" t="str">
        <f>IFERROR(__xludf.DUMMYFUNCTION("""COMPUTED_VALUE"""),"")</f>
        <v/>
      </c>
      <c r="H1000" s="106" t="s">
        <v>133</v>
      </c>
      <c r="I1000" s="136"/>
      <c r="J1000" s="139" t="s">
        <v>133</v>
      </c>
      <c r="K1000" s="136" t="s">
        <v>133</v>
      </c>
      <c r="L1000" s="153" t="str">
        <f>IFERROR(__xludf.DUMMYFUNCTION("""COMPUTED_VALUE"""),"")</f>
        <v/>
      </c>
      <c r="M1000" s="136" t="str">
        <f t="shared" si="1"/>
        <v/>
      </c>
      <c r="N1000" s="136" t="str">
        <f>IFERROR(__xludf.DUMMYFUNCTION("""COMPUTED_VALUE"""),"")</f>
        <v/>
      </c>
      <c r="O1000" s="141" t="s">
        <v>133</v>
      </c>
      <c r="P1000" s="136" t="str">
        <f>IFERROR(__xludf.DUMMYFUNCTION("""COMPUTED_VALUE"""),"")</f>
        <v/>
      </c>
      <c r="Q1000" s="136" t="str">
        <f>IFERROR(__xludf.DUMMYFUNCTION("""COMPUTED_VALUE"""),"")</f>
        <v/>
      </c>
      <c r="R1000" s="106" t="str">
        <f>IFERROR(__xludf.DUMMYFUNCTION("""COMPUTED_VALUE"""),"")</f>
        <v/>
      </c>
      <c r="S1000" s="106" t="str">
        <f>IFERROR(__xludf.DUMMYFUNCTION("""COMPUTED_VALUE"""),"")</f>
        <v/>
      </c>
      <c r="T1000" s="139" t="str">
        <f>IFERROR(__xludf.DUMMYFUNCTION("""COMPUTED_VALUE"""),"")</f>
        <v/>
      </c>
      <c r="U1000" s="139" t="str">
        <f>IFERROR(__xludf.DUMMYFUNCTION("""COMPUTED_VALUE"""),"")</f>
        <v/>
      </c>
      <c r="V1000" s="136" t="str">
        <f>IFERROR(__xludf.DUMMYFUNCTION("""COMPUTED_VALUE"""),"")</f>
        <v/>
      </c>
      <c r="W1000" s="106" t="str">
        <f>IFERROR(__xludf.DUMMYFUNCTION("""COMPUTED_VALUE"""),"")</f>
        <v/>
      </c>
      <c r="X1000" s="143" t="str">
        <f t="shared" si="2"/>
        <v/>
      </c>
      <c r="Y1000" s="139" t="str">
        <f>IFERROR(__xludf.DUMMYFUNCTION("""COMPUTED_VALUE"""),"")</f>
        <v/>
      </c>
      <c r="Z1000" s="141" t="str">
        <f>IFERROR(__xludf.DUMMYFUNCTION("""COMPUTED_VALUE"""),"")</f>
        <v/>
      </c>
    </row>
    <row r="1001">
      <c r="C1001" s="136" t="str">
        <f>IFERROR(__xludf.DUMMYFUNCTION("""COMPUTED_VALUE"""),"")</f>
        <v/>
      </c>
      <c r="D1001" s="136" t="str">
        <f t="shared" si="3"/>
        <v/>
      </c>
      <c r="E1001" s="152" t="str">
        <f>IFERROR(__xludf.DUMMYFUNCTION("""COMPUTED_VALUE"""),"")</f>
        <v/>
      </c>
      <c r="F1001" s="106" t="s">
        <v>133</v>
      </c>
      <c r="G1001" s="152" t="str">
        <f>IFERROR(__xludf.DUMMYFUNCTION("""COMPUTED_VALUE"""),"")</f>
        <v/>
      </c>
      <c r="H1001" s="106" t="s">
        <v>133</v>
      </c>
      <c r="I1001" s="136"/>
      <c r="J1001" s="139" t="s">
        <v>133</v>
      </c>
      <c r="K1001" s="136" t="s">
        <v>133</v>
      </c>
      <c r="L1001" s="153" t="str">
        <f>IFERROR(__xludf.DUMMYFUNCTION("""COMPUTED_VALUE"""),"")</f>
        <v/>
      </c>
      <c r="M1001" s="136" t="str">
        <f t="shared" si="1"/>
        <v/>
      </c>
      <c r="N1001" s="136" t="str">
        <f>IFERROR(__xludf.DUMMYFUNCTION("""COMPUTED_VALUE"""),"")</f>
        <v/>
      </c>
      <c r="O1001" s="141" t="s">
        <v>133</v>
      </c>
      <c r="P1001" s="136" t="str">
        <f>IFERROR(__xludf.DUMMYFUNCTION("""COMPUTED_VALUE"""),"")</f>
        <v/>
      </c>
      <c r="Q1001" s="136" t="str">
        <f>IFERROR(__xludf.DUMMYFUNCTION("""COMPUTED_VALUE"""),"")</f>
        <v/>
      </c>
      <c r="R1001" s="106" t="str">
        <f>IFERROR(__xludf.DUMMYFUNCTION("""COMPUTED_VALUE"""),"")</f>
        <v/>
      </c>
      <c r="S1001" s="106" t="str">
        <f>IFERROR(__xludf.DUMMYFUNCTION("""COMPUTED_VALUE"""),"")</f>
        <v/>
      </c>
      <c r="T1001" s="139" t="str">
        <f>IFERROR(__xludf.DUMMYFUNCTION("""COMPUTED_VALUE"""),"")</f>
        <v/>
      </c>
      <c r="U1001" s="139" t="str">
        <f>IFERROR(__xludf.DUMMYFUNCTION("""COMPUTED_VALUE"""),"")</f>
        <v/>
      </c>
      <c r="V1001" s="136" t="str">
        <f>IFERROR(__xludf.DUMMYFUNCTION("""COMPUTED_VALUE"""),"")</f>
        <v/>
      </c>
      <c r="W1001" s="106" t="str">
        <f>IFERROR(__xludf.DUMMYFUNCTION("""COMPUTED_VALUE"""),"")</f>
        <v/>
      </c>
      <c r="X1001" s="143" t="str">
        <f t="shared" si="2"/>
        <v/>
      </c>
      <c r="Y1001" s="139" t="str">
        <f>IFERROR(__xludf.DUMMYFUNCTION("""COMPUTED_VALUE"""),"")</f>
        <v/>
      </c>
      <c r="Z1001" s="141" t="str">
        <f>IFERROR(__xludf.DUMMYFUNCTION("""COMPUTED_VALUE"""),"")</f>
        <v/>
      </c>
    </row>
    <row r="1002">
      <c r="C1002" s="136" t="str">
        <f>IFERROR(__xludf.DUMMYFUNCTION("""COMPUTED_VALUE"""),"")</f>
        <v/>
      </c>
      <c r="D1002" s="136" t="str">
        <f t="shared" si="3"/>
        <v/>
      </c>
      <c r="E1002" s="152" t="str">
        <f>IFERROR(__xludf.DUMMYFUNCTION("""COMPUTED_VALUE"""),"")</f>
        <v/>
      </c>
      <c r="F1002" s="106" t="s">
        <v>133</v>
      </c>
      <c r="G1002" s="152" t="str">
        <f>IFERROR(__xludf.DUMMYFUNCTION("""COMPUTED_VALUE"""),"")</f>
        <v/>
      </c>
      <c r="H1002" s="106" t="s">
        <v>133</v>
      </c>
      <c r="I1002" s="136"/>
      <c r="J1002" s="139" t="s">
        <v>133</v>
      </c>
      <c r="K1002" s="136" t="s">
        <v>133</v>
      </c>
      <c r="L1002" s="153" t="str">
        <f>IFERROR(__xludf.DUMMYFUNCTION("""COMPUTED_VALUE"""),"")</f>
        <v/>
      </c>
      <c r="M1002" s="136" t="str">
        <f t="shared" si="1"/>
        <v/>
      </c>
      <c r="N1002" s="136" t="str">
        <f>IFERROR(__xludf.DUMMYFUNCTION("""COMPUTED_VALUE"""),"")</f>
        <v/>
      </c>
      <c r="O1002" s="141" t="s">
        <v>133</v>
      </c>
      <c r="P1002" s="136" t="str">
        <f>IFERROR(__xludf.DUMMYFUNCTION("""COMPUTED_VALUE"""),"")</f>
        <v/>
      </c>
      <c r="Q1002" s="136" t="str">
        <f>IFERROR(__xludf.DUMMYFUNCTION("""COMPUTED_VALUE"""),"")</f>
        <v/>
      </c>
      <c r="R1002" s="106" t="str">
        <f>IFERROR(__xludf.DUMMYFUNCTION("""COMPUTED_VALUE"""),"")</f>
        <v/>
      </c>
      <c r="S1002" s="106" t="str">
        <f>IFERROR(__xludf.DUMMYFUNCTION("""COMPUTED_VALUE"""),"")</f>
        <v/>
      </c>
      <c r="T1002" s="139" t="str">
        <f>IFERROR(__xludf.DUMMYFUNCTION("""COMPUTED_VALUE"""),"")</f>
        <v/>
      </c>
      <c r="U1002" s="139" t="str">
        <f>IFERROR(__xludf.DUMMYFUNCTION("""COMPUTED_VALUE"""),"")</f>
        <v/>
      </c>
      <c r="V1002" s="136" t="str">
        <f>IFERROR(__xludf.DUMMYFUNCTION("""COMPUTED_VALUE"""),"")</f>
        <v/>
      </c>
      <c r="W1002" s="106" t="str">
        <f>IFERROR(__xludf.DUMMYFUNCTION("""COMPUTED_VALUE"""),"")</f>
        <v/>
      </c>
      <c r="X1002" s="143" t="str">
        <f t="shared" si="2"/>
        <v/>
      </c>
      <c r="Y1002" s="139" t="str">
        <f>IFERROR(__xludf.DUMMYFUNCTION("""COMPUTED_VALUE"""),"")</f>
        <v/>
      </c>
      <c r="Z1002" s="141" t="str">
        <f>IFERROR(__xludf.DUMMYFUNCTION("""COMPUTED_VALUE"""),"")</f>
        <v/>
      </c>
    </row>
    <row r="1003">
      <c r="D1003" s="136" t="str">
        <f t="shared" si="3"/>
        <v/>
      </c>
      <c r="E1003" s="152"/>
      <c r="F1003" s="106" t="s">
        <v>133</v>
      </c>
      <c r="G1003" s="152"/>
      <c r="H1003" s="106" t="s">
        <v>133</v>
      </c>
      <c r="J1003" s="139" t="s">
        <v>133</v>
      </c>
      <c r="K1003" s="136" t="s">
        <v>133</v>
      </c>
      <c r="L1003" s="153"/>
      <c r="M1003" s="136" t="str">
        <f t="shared" si="1"/>
        <v/>
      </c>
      <c r="O1003" s="141" t="s">
        <v>133</v>
      </c>
      <c r="P1003" s="136" t="str">
        <f>IFERROR(__xludf.DUMMYFUNCTION("""COMPUTED_VALUE"""),"")</f>
        <v/>
      </c>
      <c r="Q1003" s="136" t="str">
        <f>IFERROR(__xludf.DUMMYFUNCTION("""COMPUTED_VALUE"""),"")</f>
        <v/>
      </c>
      <c r="R1003" s="106" t="str">
        <f>IFERROR(__xludf.DUMMYFUNCTION("""COMPUTED_VALUE"""),"")</f>
        <v/>
      </c>
      <c r="S1003" s="106" t="str">
        <f>IFERROR(__xludf.DUMMYFUNCTION("""COMPUTED_VALUE"""),"")</f>
        <v/>
      </c>
      <c r="T1003" s="139" t="str">
        <f>IFERROR(__xludf.DUMMYFUNCTION("""COMPUTED_VALUE"""),"")</f>
        <v/>
      </c>
      <c r="U1003" s="139" t="str">
        <f>IFERROR(__xludf.DUMMYFUNCTION("""COMPUTED_VALUE"""),"")</f>
        <v/>
      </c>
      <c r="V1003" s="136" t="str">
        <f>IFERROR(__xludf.DUMMYFUNCTION("""COMPUTED_VALUE"""),"")</f>
        <v/>
      </c>
      <c r="W1003" s="106" t="str">
        <f>IFERROR(__xludf.DUMMYFUNCTION("""COMPUTED_VALUE"""),"")</f>
        <v/>
      </c>
      <c r="X1003" s="143" t="str">
        <f t="shared" si="2"/>
        <v/>
      </c>
      <c r="Y1003" s="139" t="str">
        <f>IFERROR(__xludf.DUMMYFUNCTION("""COMPUTED_VALUE"""),"")</f>
        <v/>
      </c>
      <c r="Z1003" s="141" t="str">
        <f>IFERROR(__xludf.DUMMYFUNCTION("""COMPUTED_VALUE"""),"")</f>
        <v/>
      </c>
    </row>
    <row r="1004">
      <c r="D1004" s="136" t="str">
        <f t="shared" si="3"/>
        <v/>
      </c>
      <c r="E1004" s="152"/>
      <c r="F1004" s="106" t="s">
        <v>133</v>
      </c>
      <c r="G1004" s="152"/>
      <c r="H1004" s="106" t="s">
        <v>133</v>
      </c>
      <c r="J1004" s="139" t="s">
        <v>133</v>
      </c>
      <c r="K1004" s="136" t="s">
        <v>133</v>
      </c>
      <c r="L1004" s="153"/>
      <c r="M1004" s="136" t="str">
        <f t="shared" si="1"/>
        <v/>
      </c>
      <c r="O1004" s="141" t="s">
        <v>133</v>
      </c>
      <c r="P1004" s="136" t="str">
        <f>IFERROR(__xludf.DUMMYFUNCTION("""COMPUTED_VALUE"""),"")</f>
        <v/>
      </c>
      <c r="Q1004" s="136" t="str">
        <f>IFERROR(__xludf.DUMMYFUNCTION("""COMPUTED_VALUE"""),"")</f>
        <v/>
      </c>
      <c r="R1004" s="106" t="str">
        <f>IFERROR(__xludf.DUMMYFUNCTION("""COMPUTED_VALUE"""),"")</f>
        <v/>
      </c>
      <c r="S1004" s="106" t="str">
        <f>IFERROR(__xludf.DUMMYFUNCTION("""COMPUTED_VALUE"""),"")</f>
        <v/>
      </c>
      <c r="T1004" s="139" t="str">
        <f>IFERROR(__xludf.DUMMYFUNCTION("""COMPUTED_VALUE"""),"")</f>
        <v/>
      </c>
      <c r="U1004" s="139" t="str">
        <f>IFERROR(__xludf.DUMMYFUNCTION("""COMPUTED_VALUE"""),"")</f>
        <v/>
      </c>
      <c r="V1004" s="136" t="str">
        <f>IFERROR(__xludf.DUMMYFUNCTION("""COMPUTED_VALUE"""),"")</f>
        <v/>
      </c>
      <c r="W1004" s="106" t="str">
        <f>IFERROR(__xludf.DUMMYFUNCTION("""COMPUTED_VALUE"""),"")</f>
        <v/>
      </c>
      <c r="X1004" s="143" t="str">
        <f t="shared" si="2"/>
        <v/>
      </c>
      <c r="Y1004" s="139" t="str">
        <f>IFERROR(__xludf.DUMMYFUNCTION("""COMPUTED_VALUE"""),"")</f>
        <v/>
      </c>
      <c r="Z1004" s="141" t="str">
        <f>IFERROR(__xludf.DUMMYFUNCTION("""COMPUTED_VALUE"""),"")</f>
        <v/>
      </c>
    </row>
    <row r="1005">
      <c r="D1005" s="136" t="str">
        <f t="shared" si="3"/>
        <v/>
      </c>
      <c r="E1005" s="152"/>
      <c r="F1005" s="106" t="s">
        <v>133</v>
      </c>
      <c r="G1005" s="152"/>
      <c r="H1005" s="106" t="s">
        <v>133</v>
      </c>
      <c r="J1005" s="139" t="s">
        <v>133</v>
      </c>
      <c r="K1005" s="136" t="s">
        <v>133</v>
      </c>
      <c r="L1005" s="153"/>
      <c r="M1005" s="136" t="str">
        <f t="shared" si="1"/>
        <v/>
      </c>
      <c r="O1005" s="141" t="s">
        <v>133</v>
      </c>
      <c r="P1005" s="136" t="str">
        <f>IFERROR(__xludf.DUMMYFUNCTION("""COMPUTED_VALUE"""),"")</f>
        <v/>
      </c>
      <c r="Q1005" s="136" t="str">
        <f>IFERROR(__xludf.DUMMYFUNCTION("""COMPUTED_VALUE"""),"")</f>
        <v/>
      </c>
      <c r="R1005" s="106" t="str">
        <f>IFERROR(__xludf.DUMMYFUNCTION("""COMPUTED_VALUE"""),"")</f>
        <v/>
      </c>
      <c r="S1005" s="106" t="str">
        <f>IFERROR(__xludf.DUMMYFUNCTION("""COMPUTED_VALUE"""),"")</f>
        <v/>
      </c>
      <c r="T1005" s="139" t="str">
        <f>IFERROR(__xludf.DUMMYFUNCTION("""COMPUTED_VALUE"""),"")</f>
        <v/>
      </c>
      <c r="U1005" s="139" t="str">
        <f>IFERROR(__xludf.DUMMYFUNCTION("""COMPUTED_VALUE"""),"")</f>
        <v/>
      </c>
      <c r="V1005" s="136" t="str">
        <f>IFERROR(__xludf.DUMMYFUNCTION("""COMPUTED_VALUE"""),"")</f>
        <v/>
      </c>
      <c r="W1005" s="106" t="str">
        <f>IFERROR(__xludf.DUMMYFUNCTION("""COMPUTED_VALUE"""),"")</f>
        <v/>
      </c>
      <c r="X1005" s="143" t="str">
        <f t="shared" si="2"/>
        <v/>
      </c>
      <c r="Y1005" s="139" t="str">
        <f>IFERROR(__xludf.DUMMYFUNCTION("""COMPUTED_VALUE"""),"")</f>
        <v/>
      </c>
      <c r="Z1005" s="141" t="str">
        <f>IFERROR(__xludf.DUMMYFUNCTION("""COMPUTED_VALUE"""),"")</f>
        <v/>
      </c>
    </row>
    <row r="1006">
      <c r="D1006" s="136" t="str">
        <f t="shared" si="3"/>
        <v/>
      </c>
      <c r="E1006" s="152"/>
      <c r="F1006" s="106" t="s">
        <v>133</v>
      </c>
      <c r="G1006" s="152"/>
      <c r="H1006" s="106" t="s">
        <v>133</v>
      </c>
      <c r="J1006" s="139" t="s">
        <v>133</v>
      </c>
      <c r="K1006" s="136" t="s">
        <v>133</v>
      </c>
      <c r="L1006" s="153"/>
      <c r="M1006" s="136" t="str">
        <f t="shared" si="1"/>
        <v/>
      </c>
      <c r="O1006" s="141" t="s">
        <v>133</v>
      </c>
      <c r="P1006" s="136" t="str">
        <f>IFERROR(__xludf.DUMMYFUNCTION("""COMPUTED_VALUE"""),"")</f>
        <v/>
      </c>
      <c r="Q1006" s="136" t="str">
        <f>IFERROR(__xludf.DUMMYFUNCTION("""COMPUTED_VALUE"""),"")</f>
        <v/>
      </c>
      <c r="R1006" s="106" t="str">
        <f>IFERROR(__xludf.DUMMYFUNCTION("""COMPUTED_VALUE"""),"")</f>
        <v/>
      </c>
      <c r="S1006" s="106" t="str">
        <f>IFERROR(__xludf.DUMMYFUNCTION("""COMPUTED_VALUE"""),"")</f>
        <v/>
      </c>
      <c r="T1006" s="139" t="str">
        <f>IFERROR(__xludf.DUMMYFUNCTION("""COMPUTED_VALUE"""),"")</f>
        <v/>
      </c>
      <c r="U1006" s="139" t="str">
        <f>IFERROR(__xludf.DUMMYFUNCTION("""COMPUTED_VALUE"""),"")</f>
        <v/>
      </c>
      <c r="V1006" s="136" t="str">
        <f>IFERROR(__xludf.DUMMYFUNCTION("""COMPUTED_VALUE"""),"")</f>
        <v/>
      </c>
      <c r="W1006" s="106" t="str">
        <f>IFERROR(__xludf.DUMMYFUNCTION("""COMPUTED_VALUE"""),"")</f>
        <v/>
      </c>
      <c r="X1006" s="143" t="str">
        <f t="shared" si="2"/>
        <v/>
      </c>
      <c r="Y1006" s="139" t="str">
        <f>IFERROR(__xludf.DUMMYFUNCTION("""COMPUTED_VALUE"""),"")</f>
        <v/>
      </c>
      <c r="Z1006" s="141" t="str">
        <f>IFERROR(__xludf.DUMMYFUNCTION("""COMPUTED_VALUE"""),"")</f>
        <v/>
      </c>
    </row>
    <row r="1007">
      <c r="D1007" s="136" t="str">
        <f t="shared" si="3"/>
        <v/>
      </c>
      <c r="E1007" s="152"/>
      <c r="F1007" s="106" t="s">
        <v>133</v>
      </c>
      <c r="G1007" s="152"/>
      <c r="H1007" s="106" t="s">
        <v>133</v>
      </c>
      <c r="J1007" s="139" t="s">
        <v>133</v>
      </c>
      <c r="K1007" s="136" t="s">
        <v>133</v>
      </c>
      <c r="L1007" s="153"/>
      <c r="M1007" s="136" t="str">
        <f t="shared" si="1"/>
        <v/>
      </c>
      <c r="O1007" s="141" t="s">
        <v>133</v>
      </c>
      <c r="P1007" s="136" t="str">
        <f>IFERROR(__xludf.DUMMYFUNCTION("""COMPUTED_VALUE"""),"")</f>
        <v/>
      </c>
      <c r="Q1007" s="136" t="str">
        <f>IFERROR(__xludf.DUMMYFUNCTION("""COMPUTED_VALUE"""),"")</f>
        <v/>
      </c>
      <c r="R1007" s="106" t="str">
        <f>IFERROR(__xludf.DUMMYFUNCTION("""COMPUTED_VALUE"""),"")</f>
        <v/>
      </c>
      <c r="S1007" s="106" t="str">
        <f>IFERROR(__xludf.DUMMYFUNCTION("""COMPUTED_VALUE"""),"")</f>
        <v/>
      </c>
      <c r="T1007" s="139" t="str">
        <f>IFERROR(__xludf.DUMMYFUNCTION("""COMPUTED_VALUE"""),"")</f>
        <v/>
      </c>
      <c r="U1007" s="139" t="str">
        <f>IFERROR(__xludf.DUMMYFUNCTION("""COMPUTED_VALUE"""),"")</f>
        <v/>
      </c>
      <c r="V1007" s="136" t="str">
        <f>IFERROR(__xludf.DUMMYFUNCTION("""COMPUTED_VALUE"""),"")</f>
        <v/>
      </c>
      <c r="W1007" s="106" t="str">
        <f>IFERROR(__xludf.DUMMYFUNCTION("""COMPUTED_VALUE"""),"")</f>
        <v/>
      </c>
      <c r="X1007" s="143" t="str">
        <f t="shared" si="2"/>
        <v/>
      </c>
      <c r="Y1007" s="139" t="str">
        <f>IFERROR(__xludf.DUMMYFUNCTION("""COMPUTED_VALUE"""),"")</f>
        <v/>
      </c>
      <c r="Z1007" s="141" t="str">
        <f>IFERROR(__xludf.DUMMYFUNCTION("""COMPUTED_VALUE"""),"")</f>
        <v/>
      </c>
    </row>
    <row r="1008">
      <c r="D1008" s="136" t="str">
        <f t="shared" si="3"/>
        <v/>
      </c>
      <c r="E1008" s="152"/>
      <c r="F1008" s="106" t="s">
        <v>133</v>
      </c>
      <c r="G1008" s="152"/>
      <c r="H1008" s="106" t="s">
        <v>133</v>
      </c>
      <c r="J1008" s="139" t="s">
        <v>133</v>
      </c>
      <c r="K1008" s="136" t="s">
        <v>133</v>
      </c>
      <c r="L1008" s="153"/>
      <c r="M1008" s="136" t="str">
        <f t="shared" si="1"/>
        <v/>
      </c>
      <c r="O1008" s="141" t="s">
        <v>133</v>
      </c>
      <c r="P1008" s="136" t="str">
        <f>IFERROR(__xludf.DUMMYFUNCTION("""COMPUTED_VALUE"""),"")</f>
        <v/>
      </c>
      <c r="Q1008" s="136" t="str">
        <f>IFERROR(__xludf.DUMMYFUNCTION("""COMPUTED_VALUE"""),"")</f>
        <v/>
      </c>
      <c r="R1008" s="106" t="str">
        <f>IFERROR(__xludf.DUMMYFUNCTION("""COMPUTED_VALUE"""),"")</f>
        <v/>
      </c>
      <c r="S1008" s="106" t="str">
        <f>IFERROR(__xludf.DUMMYFUNCTION("""COMPUTED_VALUE"""),"")</f>
        <v/>
      </c>
      <c r="T1008" s="139" t="str">
        <f>IFERROR(__xludf.DUMMYFUNCTION("""COMPUTED_VALUE"""),"")</f>
        <v/>
      </c>
      <c r="U1008" s="139" t="str">
        <f>IFERROR(__xludf.DUMMYFUNCTION("""COMPUTED_VALUE"""),"")</f>
        <v/>
      </c>
      <c r="V1008" s="136" t="str">
        <f>IFERROR(__xludf.DUMMYFUNCTION("""COMPUTED_VALUE"""),"")</f>
        <v/>
      </c>
      <c r="W1008" s="106" t="str">
        <f>IFERROR(__xludf.DUMMYFUNCTION("""COMPUTED_VALUE"""),"")</f>
        <v/>
      </c>
      <c r="X1008" s="143" t="str">
        <f t="shared" si="2"/>
        <v/>
      </c>
      <c r="Y1008" s="139" t="str">
        <f>IFERROR(__xludf.DUMMYFUNCTION("""COMPUTED_VALUE"""),"")</f>
        <v/>
      </c>
      <c r="Z1008" s="141" t="str">
        <f>IFERROR(__xludf.DUMMYFUNCTION("""COMPUTED_VALUE"""),"")</f>
        <v/>
      </c>
    </row>
    <row r="1009">
      <c r="D1009" s="136" t="str">
        <f t="shared" si="3"/>
        <v/>
      </c>
      <c r="E1009" s="152"/>
      <c r="F1009" s="106" t="s">
        <v>133</v>
      </c>
      <c r="G1009" s="152"/>
      <c r="H1009" s="106" t="s">
        <v>133</v>
      </c>
      <c r="J1009" s="139" t="s">
        <v>133</v>
      </c>
      <c r="K1009" s="136" t="s">
        <v>133</v>
      </c>
      <c r="L1009" s="153"/>
      <c r="M1009" s="136" t="str">
        <f t="shared" si="1"/>
        <v/>
      </c>
      <c r="O1009" s="141" t="s">
        <v>133</v>
      </c>
      <c r="P1009" s="136" t="str">
        <f>IFERROR(__xludf.DUMMYFUNCTION("""COMPUTED_VALUE"""),"")</f>
        <v/>
      </c>
      <c r="Q1009" s="136" t="str">
        <f>IFERROR(__xludf.DUMMYFUNCTION("""COMPUTED_VALUE"""),"")</f>
        <v/>
      </c>
      <c r="R1009" s="106" t="str">
        <f>IFERROR(__xludf.DUMMYFUNCTION("""COMPUTED_VALUE"""),"")</f>
        <v/>
      </c>
      <c r="S1009" s="106" t="str">
        <f>IFERROR(__xludf.DUMMYFUNCTION("""COMPUTED_VALUE"""),"")</f>
        <v/>
      </c>
      <c r="T1009" s="139" t="str">
        <f>IFERROR(__xludf.DUMMYFUNCTION("""COMPUTED_VALUE"""),"")</f>
        <v/>
      </c>
      <c r="U1009" s="139" t="str">
        <f>IFERROR(__xludf.DUMMYFUNCTION("""COMPUTED_VALUE"""),"")</f>
        <v/>
      </c>
      <c r="V1009" s="136" t="str">
        <f>IFERROR(__xludf.DUMMYFUNCTION("""COMPUTED_VALUE"""),"")</f>
        <v/>
      </c>
      <c r="W1009" s="106" t="str">
        <f>IFERROR(__xludf.DUMMYFUNCTION("""COMPUTED_VALUE"""),"")</f>
        <v/>
      </c>
      <c r="X1009" s="143" t="str">
        <f t="shared" si="2"/>
        <v/>
      </c>
      <c r="Y1009" s="139" t="str">
        <f>IFERROR(__xludf.DUMMYFUNCTION("""COMPUTED_VALUE"""),"")</f>
        <v/>
      </c>
      <c r="Z1009" s="141" t="str">
        <f>IFERROR(__xludf.DUMMYFUNCTION("""COMPUTED_VALUE"""),"")</f>
        <v/>
      </c>
    </row>
    <row r="1010">
      <c r="D1010" s="136" t="str">
        <f t="shared" si="3"/>
        <v/>
      </c>
      <c r="E1010" s="152"/>
      <c r="F1010" s="106" t="s">
        <v>133</v>
      </c>
      <c r="G1010" s="152"/>
      <c r="H1010" s="106" t="s">
        <v>133</v>
      </c>
      <c r="J1010" s="139" t="s">
        <v>133</v>
      </c>
      <c r="K1010" s="136" t="s">
        <v>133</v>
      </c>
      <c r="L1010" s="153"/>
      <c r="M1010" s="136" t="str">
        <f t="shared" si="1"/>
        <v/>
      </c>
      <c r="O1010" s="141" t="s">
        <v>133</v>
      </c>
      <c r="P1010" s="136" t="str">
        <f>IFERROR(__xludf.DUMMYFUNCTION("""COMPUTED_VALUE"""),"")</f>
        <v/>
      </c>
      <c r="Q1010" s="136" t="str">
        <f>IFERROR(__xludf.DUMMYFUNCTION("""COMPUTED_VALUE"""),"")</f>
        <v/>
      </c>
      <c r="R1010" s="106" t="str">
        <f>IFERROR(__xludf.DUMMYFUNCTION("""COMPUTED_VALUE"""),"")</f>
        <v/>
      </c>
      <c r="S1010" s="106" t="str">
        <f>IFERROR(__xludf.DUMMYFUNCTION("""COMPUTED_VALUE"""),"")</f>
        <v/>
      </c>
      <c r="T1010" s="139" t="str">
        <f>IFERROR(__xludf.DUMMYFUNCTION("""COMPUTED_VALUE"""),"")</f>
        <v/>
      </c>
      <c r="U1010" s="139" t="str">
        <f>IFERROR(__xludf.DUMMYFUNCTION("""COMPUTED_VALUE"""),"")</f>
        <v/>
      </c>
      <c r="V1010" s="136" t="str">
        <f>IFERROR(__xludf.DUMMYFUNCTION("""COMPUTED_VALUE"""),"")</f>
        <v/>
      </c>
      <c r="W1010" s="106" t="str">
        <f>IFERROR(__xludf.DUMMYFUNCTION("""COMPUTED_VALUE"""),"")</f>
        <v/>
      </c>
      <c r="X1010" s="143" t="str">
        <f t="shared" si="2"/>
        <v/>
      </c>
      <c r="Y1010" s="139" t="str">
        <f>IFERROR(__xludf.DUMMYFUNCTION("""COMPUTED_VALUE"""),"")</f>
        <v/>
      </c>
      <c r="Z1010" s="141" t="str">
        <f>IFERROR(__xludf.DUMMYFUNCTION("""COMPUTED_VALUE"""),"")</f>
        <v/>
      </c>
    </row>
    <row r="1011">
      <c r="D1011" s="136" t="str">
        <f t="shared" si="3"/>
        <v/>
      </c>
      <c r="E1011" s="152"/>
      <c r="F1011" s="106" t="s">
        <v>133</v>
      </c>
      <c r="G1011" s="152"/>
      <c r="H1011" s="106" t="s">
        <v>133</v>
      </c>
      <c r="J1011" s="139" t="s">
        <v>133</v>
      </c>
      <c r="K1011" s="136" t="s">
        <v>133</v>
      </c>
      <c r="L1011" s="153"/>
      <c r="M1011" s="136" t="str">
        <f t="shared" si="1"/>
        <v/>
      </c>
      <c r="O1011" s="141" t="s">
        <v>133</v>
      </c>
      <c r="P1011" s="136" t="str">
        <f>IFERROR(__xludf.DUMMYFUNCTION("""COMPUTED_VALUE"""),"")</f>
        <v/>
      </c>
      <c r="Q1011" s="136" t="str">
        <f>IFERROR(__xludf.DUMMYFUNCTION("""COMPUTED_VALUE"""),"")</f>
        <v/>
      </c>
      <c r="R1011" s="106" t="str">
        <f>IFERROR(__xludf.DUMMYFUNCTION("""COMPUTED_VALUE"""),"")</f>
        <v/>
      </c>
      <c r="S1011" s="106" t="str">
        <f>IFERROR(__xludf.DUMMYFUNCTION("""COMPUTED_VALUE"""),"")</f>
        <v/>
      </c>
      <c r="T1011" s="139" t="str">
        <f>IFERROR(__xludf.DUMMYFUNCTION("""COMPUTED_VALUE"""),"")</f>
        <v/>
      </c>
      <c r="U1011" s="139" t="str">
        <f>IFERROR(__xludf.DUMMYFUNCTION("""COMPUTED_VALUE"""),"")</f>
        <v/>
      </c>
      <c r="V1011" s="136" t="str">
        <f>IFERROR(__xludf.DUMMYFUNCTION("""COMPUTED_VALUE"""),"")</f>
        <v/>
      </c>
      <c r="W1011" s="106" t="str">
        <f>IFERROR(__xludf.DUMMYFUNCTION("""COMPUTED_VALUE"""),"")</f>
        <v/>
      </c>
      <c r="X1011" s="143" t="str">
        <f t="shared" si="2"/>
        <v/>
      </c>
      <c r="Y1011" s="139" t="str">
        <f>IFERROR(__xludf.DUMMYFUNCTION("""COMPUTED_VALUE"""),"")</f>
        <v/>
      </c>
      <c r="Z1011" s="141" t="str">
        <f>IFERROR(__xludf.DUMMYFUNCTION("""COMPUTED_VALUE"""),"")</f>
        <v/>
      </c>
    </row>
    <row r="1012">
      <c r="D1012" s="136" t="str">
        <f t="shared" si="3"/>
        <v/>
      </c>
      <c r="E1012" s="152"/>
      <c r="F1012" s="106" t="s">
        <v>133</v>
      </c>
      <c r="G1012" s="152"/>
      <c r="H1012" s="106" t="s">
        <v>133</v>
      </c>
      <c r="J1012" s="139" t="s">
        <v>133</v>
      </c>
      <c r="K1012" s="136" t="s">
        <v>133</v>
      </c>
      <c r="L1012" s="153"/>
      <c r="M1012" s="136" t="str">
        <f t="shared" si="1"/>
        <v/>
      </c>
      <c r="O1012" s="141" t="s">
        <v>133</v>
      </c>
      <c r="P1012" s="136" t="str">
        <f>IFERROR(__xludf.DUMMYFUNCTION("""COMPUTED_VALUE"""),"")</f>
        <v/>
      </c>
      <c r="Q1012" s="136" t="str">
        <f>IFERROR(__xludf.DUMMYFUNCTION("""COMPUTED_VALUE"""),"")</f>
        <v/>
      </c>
      <c r="R1012" s="106" t="str">
        <f>IFERROR(__xludf.DUMMYFUNCTION("""COMPUTED_VALUE"""),"")</f>
        <v/>
      </c>
      <c r="S1012" s="106" t="str">
        <f>IFERROR(__xludf.DUMMYFUNCTION("""COMPUTED_VALUE"""),"")</f>
        <v/>
      </c>
      <c r="T1012" s="139" t="str">
        <f>IFERROR(__xludf.DUMMYFUNCTION("""COMPUTED_VALUE"""),"")</f>
        <v/>
      </c>
      <c r="U1012" s="139" t="str">
        <f>IFERROR(__xludf.DUMMYFUNCTION("""COMPUTED_VALUE"""),"")</f>
        <v/>
      </c>
      <c r="V1012" s="136" t="str">
        <f>IFERROR(__xludf.DUMMYFUNCTION("""COMPUTED_VALUE"""),"")</f>
        <v/>
      </c>
      <c r="W1012" s="106" t="str">
        <f>IFERROR(__xludf.DUMMYFUNCTION("""COMPUTED_VALUE"""),"")</f>
        <v/>
      </c>
      <c r="X1012" s="143" t="str">
        <f t="shared" si="2"/>
        <v/>
      </c>
      <c r="Y1012" s="139" t="str">
        <f>IFERROR(__xludf.DUMMYFUNCTION("""COMPUTED_VALUE"""),"")</f>
        <v/>
      </c>
      <c r="Z1012" s="141" t="str">
        <f>IFERROR(__xludf.DUMMYFUNCTION("""COMPUTED_VALUE"""),"")</f>
        <v/>
      </c>
    </row>
    <row r="1013">
      <c r="D1013" s="136" t="str">
        <f t="shared" si="3"/>
        <v/>
      </c>
      <c r="E1013" s="152"/>
      <c r="F1013" s="106" t="s">
        <v>133</v>
      </c>
      <c r="G1013" s="152"/>
      <c r="H1013" s="106" t="s">
        <v>133</v>
      </c>
      <c r="J1013" s="139" t="s">
        <v>133</v>
      </c>
      <c r="K1013" s="136" t="s">
        <v>133</v>
      </c>
      <c r="L1013" s="153"/>
      <c r="M1013" s="136" t="str">
        <f t="shared" si="1"/>
        <v/>
      </c>
      <c r="O1013" s="141" t="s">
        <v>133</v>
      </c>
      <c r="P1013" s="136" t="str">
        <f>IFERROR(__xludf.DUMMYFUNCTION("""COMPUTED_VALUE"""),"")</f>
        <v/>
      </c>
      <c r="Q1013" s="136" t="str">
        <f>IFERROR(__xludf.DUMMYFUNCTION("""COMPUTED_VALUE"""),"")</f>
        <v/>
      </c>
      <c r="R1013" s="106" t="str">
        <f>IFERROR(__xludf.DUMMYFUNCTION("""COMPUTED_VALUE"""),"")</f>
        <v/>
      </c>
      <c r="S1013" s="106" t="str">
        <f>IFERROR(__xludf.DUMMYFUNCTION("""COMPUTED_VALUE"""),"")</f>
        <v/>
      </c>
      <c r="T1013" s="139" t="str">
        <f>IFERROR(__xludf.DUMMYFUNCTION("""COMPUTED_VALUE"""),"")</f>
        <v/>
      </c>
      <c r="U1013" s="139" t="str">
        <f>IFERROR(__xludf.DUMMYFUNCTION("""COMPUTED_VALUE"""),"")</f>
        <v/>
      </c>
      <c r="V1013" s="136" t="str">
        <f>IFERROR(__xludf.DUMMYFUNCTION("""COMPUTED_VALUE"""),"")</f>
        <v/>
      </c>
      <c r="W1013" s="106" t="str">
        <f>IFERROR(__xludf.DUMMYFUNCTION("""COMPUTED_VALUE"""),"")</f>
        <v/>
      </c>
      <c r="X1013" s="143" t="str">
        <f t="shared" si="2"/>
        <v/>
      </c>
      <c r="Y1013" s="139" t="str">
        <f>IFERROR(__xludf.DUMMYFUNCTION("""COMPUTED_VALUE"""),"")</f>
        <v/>
      </c>
      <c r="Z1013" s="141" t="str">
        <f>IFERROR(__xludf.DUMMYFUNCTION("""COMPUTED_VALUE"""),"")</f>
        <v/>
      </c>
    </row>
    <row r="1014">
      <c r="D1014" s="136" t="str">
        <f t="shared" si="3"/>
        <v/>
      </c>
      <c r="E1014" s="152"/>
      <c r="F1014" s="106" t="s">
        <v>133</v>
      </c>
      <c r="G1014" s="152"/>
      <c r="H1014" s="106" t="s">
        <v>133</v>
      </c>
      <c r="J1014" s="139" t="s">
        <v>133</v>
      </c>
      <c r="K1014" s="136" t="s">
        <v>133</v>
      </c>
      <c r="L1014" s="153"/>
      <c r="M1014" s="136" t="str">
        <f t="shared" si="1"/>
        <v/>
      </c>
      <c r="O1014" s="141" t="s">
        <v>133</v>
      </c>
      <c r="P1014" s="136" t="str">
        <f>IFERROR(__xludf.DUMMYFUNCTION("""COMPUTED_VALUE"""),"")</f>
        <v/>
      </c>
      <c r="Q1014" s="136" t="str">
        <f>IFERROR(__xludf.DUMMYFUNCTION("""COMPUTED_VALUE"""),"")</f>
        <v/>
      </c>
      <c r="R1014" s="106" t="str">
        <f>IFERROR(__xludf.DUMMYFUNCTION("""COMPUTED_VALUE"""),"")</f>
        <v/>
      </c>
      <c r="S1014" s="106" t="str">
        <f>IFERROR(__xludf.DUMMYFUNCTION("""COMPUTED_VALUE"""),"")</f>
        <v/>
      </c>
      <c r="T1014" s="139" t="str">
        <f>IFERROR(__xludf.DUMMYFUNCTION("""COMPUTED_VALUE"""),"")</f>
        <v/>
      </c>
      <c r="U1014" s="139" t="str">
        <f>IFERROR(__xludf.DUMMYFUNCTION("""COMPUTED_VALUE"""),"")</f>
        <v/>
      </c>
      <c r="V1014" s="136" t="str">
        <f>IFERROR(__xludf.DUMMYFUNCTION("""COMPUTED_VALUE"""),"")</f>
        <v/>
      </c>
      <c r="W1014" s="106" t="str">
        <f>IFERROR(__xludf.DUMMYFUNCTION("""COMPUTED_VALUE"""),"")</f>
        <v/>
      </c>
      <c r="X1014" s="143" t="str">
        <f t="shared" si="2"/>
        <v/>
      </c>
      <c r="Y1014" s="139" t="str">
        <f>IFERROR(__xludf.DUMMYFUNCTION("""COMPUTED_VALUE"""),"")</f>
        <v/>
      </c>
      <c r="Z1014" s="141" t="str">
        <f>IFERROR(__xludf.DUMMYFUNCTION("""COMPUTED_VALUE"""),"")</f>
        <v/>
      </c>
    </row>
    <row r="1015">
      <c r="D1015" s="136" t="str">
        <f t="shared" si="3"/>
        <v/>
      </c>
      <c r="E1015" s="152"/>
      <c r="F1015" s="106" t="s">
        <v>133</v>
      </c>
      <c r="G1015" s="152"/>
      <c r="H1015" s="106" t="s">
        <v>133</v>
      </c>
      <c r="J1015" s="139" t="s">
        <v>133</v>
      </c>
      <c r="K1015" s="136" t="s">
        <v>133</v>
      </c>
      <c r="L1015" s="153"/>
      <c r="M1015" s="136" t="str">
        <f t="shared" si="1"/>
        <v/>
      </c>
      <c r="O1015" s="141" t="s">
        <v>133</v>
      </c>
      <c r="P1015" s="136" t="str">
        <f>IFERROR(__xludf.DUMMYFUNCTION("""COMPUTED_VALUE"""),"")</f>
        <v/>
      </c>
      <c r="Q1015" s="136" t="str">
        <f>IFERROR(__xludf.DUMMYFUNCTION("""COMPUTED_VALUE"""),"")</f>
        <v/>
      </c>
      <c r="R1015" s="106" t="str">
        <f>IFERROR(__xludf.DUMMYFUNCTION("""COMPUTED_VALUE"""),"")</f>
        <v/>
      </c>
      <c r="S1015" s="106" t="str">
        <f>IFERROR(__xludf.DUMMYFUNCTION("""COMPUTED_VALUE"""),"")</f>
        <v/>
      </c>
      <c r="T1015" s="139" t="str">
        <f>IFERROR(__xludf.DUMMYFUNCTION("""COMPUTED_VALUE"""),"")</f>
        <v/>
      </c>
      <c r="U1015" s="139" t="str">
        <f>IFERROR(__xludf.DUMMYFUNCTION("""COMPUTED_VALUE"""),"")</f>
        <v/>
      </c>
      <c r="V1015" s="136" t="str">
        <f>IFERROR(__xludf.DUMMYFUNCTION("""COMPUTED_VALUE"""),"")</f>
        <v/>
      </c>
      <c r="W1015" s="106" t="str">
        <f>IFERROR(__xludf.DUMMYFUNCTION("""COMPUTED_VALUE"""),"")</f>
        <v/>
      </c>
      <c r="X1015" s="143" t="str">
        <f t="shared" si="2"/>
        <v/>
      </c>
      <c r="Y1015" s="139" t="str">
        <f>IFERROR(__xludf.DUMMYFUNCTION("""COMPUTED_VALUE"""),"")</f>
        <v/>
      </c>
      <c r="Z1015" s="141" t="str">
        <f>IFERROR(__xludf.DUMMYFUNCTION("""COMPUTED_VALUE"""),"")</f>
        <v/>
      </c>
    </row>
    <row r="1016">
      <c r="D1016" s="136" t="str">
        <f t="shared" si="3"/>
        <v/>
      </c>
      <c r="E1016" s="152"/>
      <c r="F1016" s="106" t="s">
        <v>133</v>
      </c>
      <c r="G1016" s="152"/>
      <c r="H1016" s="106" t="s">
        <v>133</v>
      </c>
      <c r="J1016" s="139" t="s">
        <v>133</v>
      </c>
      <c r="K1016" s="136" t="s">
        <v>133</v>
      </c>
      <c r="L1016" s="153"/>
      <c r="M1016" s="136" t="str">
        <f t="shared" si="1"/>
        <v/>
      </c>
      <c r="O1016" s="141" t="s">
        <v>133</v>
      </c>
      <c r="P1016" s="136" t="str">
        <f>IFERROR(__xludf.DUMMYFUNCTION("""COMPUTED_VALUE"""),"")</f>
        <v/>
      </c>
      <c r="Q1016" s="136" t="str">
        <f>IFERROR(__xludf.DUMMYFUNCTION("""COMPUTED_VALUE"""),"")</f>
        <v/>
      </c>
      <c r="R1016" s="106" t="str">
        <f>IFERROR(__xludf.DUMMYFUNCTION("""COMPUTED_VALUE"""),"")</f>
        <v/>
      </c>
      <c r="S1016" s="106" t="str">
        <f>IFERROR(__xludf.DUMMYFUNCTION("""COMPUTED_VALUE"""),"")</f>
        <v/>
      </c>
      <c r="T1016" s="139" t="str">
        <f>IFERROR(__xludf.DUMMYFUNCTION("""COMPUTED_VALUE"""),"")</f>
        <v/>
      </c>
      <c r="U1016" s="139" t="str">
        <f>IFERROR(__xludf.DUMMYFUNCTION("""COMPUTED_VALUE"""),"")</f>
        <v/>
      </c>
      <c r="V1016" s="136" t="str">
        <f>IFERROR(__xludf.DUMMYFUNCTION("""COMPUTED_VALUE"""),"")</f>
        <v/>
      </c>
      <c r="W1016" s="106" t="str">
        <f>IFERROR(__xludf.DUMMYFUNCTION("""COMPUTED_VALUE"""),"")</f>
        <v/>
      </c>
      <c r="X1016" s="143" t="str">
        <f t="shared" si="2"/>
        <v/>
      </c>
      <c r="Y1016" s="139" t="str">
        <f>IFERROR(__xludf.DUMMYFUNCTION("""COMPUTED_VALUE"""),"")</f>
        <v/>
      </c>
      <c r="Z1016" s="141" t="str">
        <f>IFERROR(__xludf.DUMMYFUNCTION("""COMPUTED_VALUE"""),"")</f>
        <v/>
      </c>
    </row>
    <row r="1017">
      <c r="D1017" s="136" t="str">
        <f t="shared" si="3"/>
        <v/>
      </c>
      <c r="E1017" s="152"/>
      <c r="F1017" s="106" t="s">
        <v>133</v>
      </c>
      <c r="G1017" s="152"/>
      <c r="H1017" s="106" t="s">
        <v>133</v>
      </c>
      <c r="J1017" s="139" t="s">
        <v>133</v>
      </c>
      <c r="K1017" s="136" t="s">
        <v>133</v>
      </c>
      <c r="L1017" s="153"/>
      <c r="M1017" s="136" t="str">
        <f t="shared" si="1"/>
        <v/>
      </c>
      <c r="O1017" s="141" t="s">
        <v>133</v>
      </c>
      <c r="P1017" s="136" t="str">
        <f>IFERROR(__xludf.DUMMYFUNCTION("""COMPUTED_VALUE"""),"")</f>
        <v/>
      </c>
      <c r="Q1017" s="136" t="str">
        <f>IFERROR(__xludf.DUMMYFUNCTION("""COMPUTED_VALUE"""),"")</f>
        <v/>
      </c>
      <c r="R1017" s="106" t="str">
        <f>IFERROR(__xludf.DUMMYFUNCTION("""COMPUTED_VALUE"""),"")</f>
        <v/>
      </c>
      <c r="S1017" s="106" t="str">
        <f>IFERROR(__xludf.DUMMYFUNCTION("""COMPUTED_VALUE"""),"")</f>
        <v/>
      </c>
      <c r="T1017" s="139" t="str">
        <f>IFERROR(__xludf.DUMMYFUNCTION("""COMPUTED_VALUE"""),"")</f>
        <v/>
      </c>
      <c r="U1017" s="139" t="str">
        <f>IFERROR(__xludf.DUMMYFUNCTION("""COMPUTED_VALUE"""),"")</f>
        <v/>
      </c>
      <c r="V1017" s="136" t="str">
        <f>IFERROR(__xludf.DUMMYFUNCTION("""COMPUTED_VALUE"""),"")</f>
        <v/>
      </c>
      <c r="W1017" s="106" t="str">
        <f>IFERROR(__xludf.DUMMYFUNCTION("""COMPUTED_VALUE"""),"")</f>
        <v/>
      </c>
      <c r="X1017" s="143" t="str">
        <f t="shared" si="2"/>
        <v/>
      </c>
      <c r="Y1017" s="139" t="str">
        <f>IFERROR(__xludf.DUMMYFUNCTION("""COMPUTED_VALUE"""),"")</f>
        <v/>
      </c>
      <c r="Z1017" s="141" t="str">
        <f>IFERROR(__xludf.DUMMYFUNCTION("""COMPUTED_VALUE"""),"")</f>
        <v/>
      </c>
    </row>
    <row r="1018">
      <c r="D1018" s="136" t="str">
        <f t="shared" si="3"/>
        <v/>
      </c>
      <c r="E1018" s="152"/>
      <c r="F1018" s="106" t="s">
        <v>133</v>
      </c>
      <c r="G1018" s="152"/>
      <c r="H1018" s="106" t="s">
        <v>133</v>
      </c>
      <c r="J1018" s="139" t="s">
        <v>133</v>
      </c>
      <c r="K1018" s="136" t="s">
        <v>133</v>
      </c>
      <c r="L1018" s="153"/>
      <c r="M1018" s="136" t="str">
        <f t="shared" si="1"/>
        <v/>
      </c>
      <c r="O1018" s="141" t="s">
        <v>133</v>
      </c>
      <c r="P1018" s="136" t="str">
        <f>IFERROR(__xludf.DUMMYFUNCTION("""COMPUTED_VALUE"""),"")</f>
        <v/>
      </c>
      <c r="Q1018" s="136" t="str">
        <f>IFERROR(__xludf.DUMMYFUNCTION("""COMPUTED_VALUE"""),"")</f>
        <v/>
      </c>
      <c r="R1018" s="106" t="str">
        <f>IFERROR(__xludf.DUMMYFUNCTION("""COMPUTED_VALUE"""),"")</f>
        <v/>
      </c>
      <c r="S1018" s="106" t="str">
        <f>IFERROR(__xludf.DUMMYFUNCTION("""COMPUTED_VALUE"""),"")</f>
        <v/>
      </c>
      <c r="T1018" s="139" t="str">
        <f>IFERROR(__xludf.DUMMYFUNCTION("""COMPUTED_VALUE"""),"")</f>
        <v/>
      </c>
      <c r="U1018" s="139" t="str">
        <f>IFERROR(__xludf.DUMMYFUNCTION("""COMPUTED_VALUE"""),"")</f>
        <v/>
      </c>
      <c r="V1018" s="136" t="str">
        <f>IFERROR(__xludf.DUMMYFUNCTION("""COMPUTED_VALUE"""),"")</f>
        <v/>
      </c>
      <c r="W1018" s="106" t="str">
        <f>IFERROR(__xludf.DUMMYFUNCTION("""COMPUTED_VALUE"""),"")</f>
        <v/>
      </c>
      <c r="X1018" s="143" t="str">
        <f t="shared" si="2"/>
        <v/>
      </c>
      <c r="Y1018" s="139" t="str">
        <f>IFERROR(__xludf.DUMMYFUNCTION("""COMPUTED_VALUE"""),"")</f>
        <v/>
      </c>
      <c r="Z1018" s="141" t="str">
        <f>IFERROR(__xludf.DUMMYFUNCTION("""COMPUTED_VALUE"""),"")</f>
        <v/>
      </c>
    </row>
    <row r="1019">
      <c r="D1019" s="136" t="str">
        <f t="shared" si="3"/>
        <v/>
      </c>
      <c r="E1019" s="152"/>
      <c r="F1019" s="106" t="s">
        <v>133</v>
      </c>
      <c r="G1019" s="152"/>
      <c r="H1019" s="106" t="s">
        <v>133</v>
      </c>
      <c r="J1019" s="139" t="s">
        <v>133</v>
      </c>
      <c r="K1019" s="136" t="s">
        <v>133</v>
      </c>
      <c r="L1019" s="153"/>
      <c r="M1019" s="136" t="str">
        <f t="shared" si="1"/>
        <v/>
      </c>
      <c r="O1019" s="141" t="s">
        <v>133</v>
      </c>
      <c r="P1019" s="136" t="str">
        <f>IFERROR(__xludf.DUMMYFUNCTION("""COMPUTED_VALUE"""),"")</f>
        <v/>
      </c>
      <c r="Q1019" s="136" t="str">
        <f>IFERROR(__xludf.DUMMYFUNCTION("""COMPUTED_VALUE"""),"")</f>
        <v/>
      </c>
      <c r="R1019" s="106" t="str">
        <f>IFERROR(__xludf.DUMMYFUNCTION("""COMPUTED_VALUE"""),"")</f>
        <v/>
      </c>
      <c r="S1019" s="106" t="str">
        <f>IFERROR(__xludf.DUMMYFUNCTION("""COMPUTED_VALUE"""),"")</f>
        <v/>
      </c>
      <c r="T1019" s="139" t="str">
        <f>IFERROR(__xludf.DUMMYFUNCTION("""COMPUTED_VALUE"""),"")</f>
        <v/>
      </c>
      <c r="U1019" s="139" t="str">
        <f>IFERROR(__xludf.DUMMYFUNCTION("""COMPUTED_VALUE"""),"")</f>
        <v/>
      </c>
      <c r="V1019" s="136" t="str">
        <f>IFERROR(__xludf.DUMMYFUNCTION("""COMPUTED_VALUE"""),"")</f>
        <v/>
      </c>
      <c r="W1019" s="106" t="str">
        <f>IFERROR(__xludf.DUMMYFUNCTION("""COMPUTED_VALUE"""),"")</f>
        <v/>
      </c>
      <c r="X1019" s="143" t="str">
        <f t="shared" si="2"/>
        <v/>
      </c>
      <c r="Y1019" s="139" t="str">
        <f>IFERROR(__xludf.DUMMYFUNCTION("""COMPUTED_VALUE"""),"")</f>
        <v/>
      </c>
      <c r="Z1019" s="141" t="str">
        <f>IFERROR(__xludf.DUMMYFUNCTION("""COMPUTED_VALUE"""),"")</f>
        <v/>
      </c>
    </row>
    <row r="1020">
      <c r="D1020" s="136" t="str">
        <f t="shared" si="3"/>
        <v/>
      </c>
      <c r="E1020" s="152"/>
      <c r="F1020" s="106" t="s">
        <v>133</v>
      </c>
      <c r="G1020" s="152"/>
      <c r="H1020" s="106" t="s">
        <v>133</v>
      </c>
      <c r="J1020" s="139" t="s">
        <v>133</v>
      </c>
      <c r="K1020" s="136" t="s">
        <v>133</v>
      </c>
      <c r="L1020" s="153"/>
      <c r="M1020" s="136" t="str">
        <f t="shared" si="1"/>
        <v/>
      </c>
      <c r="O1020" s="141" t="s">
        <v>133</v>
      </c>
      <c r="P1020" s="136" t="str">
        <f>IFERROR(__xludf.DUMMYFUNCTION("""COMPUTED_VALUE"""),"")</f>
        <v/>
      </c>
      <c r="Q1020" s="136" t="str">
        <f>IFERROR(__xludf.DUMMYFUNCTION("""COMPUTED_VALUE"""),"")</f>
        <v/>
      </c>
      <c r="R1020" s="106" t="str">
        <f>IFERROR(__xludf.DUMMYFUNCTION("""COMPUTED_VALUE"""),"")</f>
        <v/>
      </c>
      <c r="S1020" s="106" t="str">
        <f>IFERROR(__xludf.DUMMYFUNCTION("""COMPUTED_VALUE"""),"")</f>
        <v/>
      </c>
      <c r="T1020" s="139" t="str">
        <f>IFERROR(__xludf.DUMMYFUNCTION("""COMPUTED_VALUE"""),"")</f>
        <v/>
      </c>
      <c r="U1020" s="139" t="str">
        <f>IFERROR(__xludf.DUMMYFUNCTION("""COMPUTED_VALUE"""),"")</f>
        <v/>
      </c>
      <c r="V1020" s="136" t="str">
        <f>IFERROR(__xludf.DUMMYFUNCTION("""COMPUTED_VALUE"""),"")</f>
        <v/>
      </c>
      <c r="W1020" s="106" t="str">
        <f>IFERROR(__xludf.DUMMYFUNCTION("""COMPUTED_VALUE"""),"")</f>
        <v/>
      </c>
      <c r="X1020" s="143" t="str">
        <f t="shared" si="2"/>
        <v/>
      </c>
      <c r="Y1020" s="139" t="str">
        <f>IFERROR(__xludf.DUMMYFUNCTION("""COMPUTED_VALUE"""),"")</f>
        <v/>
      </c>
      <c r="Z1020" s="141" t="str">
        <f>IFERROR(__xludf.DUMMYFUNCTION("""COMPUTED_VALUE"""),"")</f>
        <v/>
      </c>
    </row>
    <row r="1021">
      <c r="D1021" s="136" t="str">
        <f t="shared" si="3"/>
        <v/>
      </c>
      <c r="E1021" s="152"/>
      <c r="F1021" s="106" t="s">
        <v>133</v>
      </c>
      <c r="G1021" s="152"/>
      <c r="H1021" s="106" t="s">
        <v>133</v>
      </c>
      <c r="J1021" s="139" t="s">
        <v>133</v>
      </c>
      <c r="K1021" s="136" t="s">
        <v>133</v>
      </c>
      <c r="L1021" s="153"/>
      <c r="M1021" s="136" t="str">
        <f t="shared" si="1"/>
        <v/>
      </c>
      <c r="O1021" s="141" t="s">
        <v>133</v>
      </c>
      <c r="P1021" s="136" t="str">
        <f>IFERROR(__xludf.DUMMYFUNCTION("""COMPUTED_VALUE"""),"")</f>
        <v/>
      </c>
      <c r="Q1021" s="136" t="str">
        <f>IFERROR(__xludf.DUMMYFUNCTION("""COMPUTED_VALUE"""),"")</f>
        <v/>
      </c>
      <c r="R1021" s="106" t="str">
        <f>IFERROR(__xludf.DUMMYFUNCTION("""COMPUTED_VALUE"""),"")</f>
        <v/>
      </c>
      <c r="S1021" s="106" t="str">
        <f>IFERROR(__xludf.DUMMYFUNCTION("""COMPUTED_VALUE"""),"")</f>
        <v/>
      </c>
      <c r="T1021" s="139" t="str">
        <f>IFERROR(__xludf.DUMMYFUNCTION("""COMPUTED_VALUE"""),"")</f>
        <v/>
      </c>
      <c r="U1021" s="139" t="str">
        <f>IFERROR(__xludf.DUMMYFUNCTION("""COMPUTED_VALUE"""),"")</f>
        <v/>
      </c>
      <c r="V1021" s="136" t="str">
        <f>IFERROR(__xludf.DUMMYFUNCTION("""COMPUTED_VALUE"""),"")</f>
        <v/>
      </c>
      <c r="W1021" s="106" t="str">
        <f>IFERROR(__xludf.DUMMYFUNCTION("""COMPUTED_VALUE"""),"")</f>
        <v/>
      </c>
      <c r="X1021" s="143" t="str">
        <f t="shared" si="2"/>
        <v/>
      </c>
      <c r="Y1021" s="139" t="str">
        <f>IFERROR(__xludf.DUMMYFUNCTION("""COMPUTED_VALUE"""),"")</f>
        <v/>
      </c>
      <c r="Z1021" s="141" t="str">
        <f>IFERROR(__xludf.DUMMYFUNCTION("""COMPUTED_VALUE"""),"")</f>
        <v/>
      </c>
    </row>
    <row r="1022">
      <c r="D1022" s="136" t="str">
        <f t="shared" si="3"/>
        <v/>
      </c>
      <c r="E1022" s="152"/>
      <c r="F1022" s="106" t="s">
        <v>133</v>
      </c>
      <c r="G1022" s="152"/>
      <c r="H1022" s="106" t="s">
        <v>133</v>
      </c>
      <c r="J1022" s="139" t="s">
        <v>133</v>
      </c>
      <c r="K1022" s="136" t="s">
        <v>133</v>
      </c>
      <c r="L1022" s="153"/>
      <c r="M1022" s="136" t="str">
        <f t="shared" si="1"/>
        <v/>
      </c>
      <c r="O1022" s="141" t="s">
        <v>133</v>
      </c>
      <c r="P1022" s="136" t="str">
        <f>IFERROR(__xludf.DUMMYFUNCTION("""COMPUTED_VALUE"""),"")</f>
        <v/>
      </c>
      <c r="Q1022" s="136" t="str">
        <f>IFERROR(__xludf.DUMMYFUNCTION("""COMPUTED_VALUE"""),"")</f>
        <v/>
      </c>
      <c r="R1022" s="106" t="str">
        <f>IFERROR(__xludf.DUMMYFUNCTION("""COMPUTED_VALUE"""),"")</f>
        <v/>
      </c>
      <c r="S1022" s="106" t="str">
        <f>IFERROR(__xludf.DUMMYFUNCTION("""COMPUTED_VALUE"""),"")</f>
        <v/>
      </c>
      <c r="T1022" s="139" t="str">
        <f>IFERROR(__xludf.DUMMYFUNCTION("""COMPUTED_VALUE"""),"")</f>
        <v/>
      </c>
      <c r="U1022" s="139" t="str">
        <f>IFERROR(__xludf.DUMMYFUNCTION("""COMPUTED_VALUE"""),"")</f>
        <v/>
      </c>
      <c r="V1022" s="136" t="str">
        <f>IFERROR(__xludf.DUMMYFUNCTION("""COMPUTED_VALUE"""),"")</f>
        <v/>
      </c>
      <c r="W1022" s="106" t="str">
        <f>IFERROR(__xludf.DUMMYFUNCTION("""COMPUTED_VALUE"""),"")</f>
        <v/>
      </c>
      <c r="X1022" s="143" t="str">
        <f t="shared" si="2"/>
        <v/>
      </c>
      <c r="Y1022" s="139" t="str">
        <f>IFERROR(__xludf.DUMMYFUNCTION("""COMPUTED_VALUE"""),"")</f>
        <v/>
      </c>
      <c r="Z1022" s="141" t="str">
        <f>IFERROR(__xludf.DUMMYFUNCTION("""COMPUTED_VALUE"""),"")</f>
        <v/>
      </c>
    </row>
    <row r="1023">
      <c r="D1023" s="136" t="str">
        <f t="shared" si="3"/>
        <v/>
      </c>
      <c r="E1023" s="152"/>
      <c r="F1023" s="106" t="s">
        <v>133</v>
      </c>
      <c r="G1023" s="152"/>
      <c r="H1023" s="106" t="s">
        <v>133</v>
      </c>
      <c r="J1023" s="139" t="s">
        <v>133</v>
      </c>
      <c r="K1023" s="136" t="s">
        <v>133</v>
      </c>
      <c r="L1023" s="153"/>
      <c r="M1023" s="136" t="str">
        <f t="shared" si="1"/>
        <v/>
      </c>
      <c r="O1023" s="141" t="s">
        <v>133</v>
      </c>
      <c r="P1023" s="136" t="str">
        <f>IFERROR(__xludf.DUMMYFUNCTION("""COMPUTED_VALUE"""),"")</f>
        <v/>
      </c>
      <c r="Q1023" s="136" t="str">
        <f>IFERROR(__xludf.DUMMYFUNCTION("""COMPUTED_VALUE"""),"")</f>
        <v/>
      </c>
      <c r="R1023" s="106" t="str">
        <f>IFERROR(__xludf.DUMMYFUNCTION("""COMPUTED_VALUE"""),"")</f>
        <v/>
      </c>
      <c r="S1023" s="106" t="str">
        <f>IFERROR(__xludf.DUMMYFUNCTION("""COMPUTED_VALUE"""),"")</f>
        <v/>
      </c>
      <c r="T1023" s="139" t="str">
        <f>IFERROR(__xludf.DUMMYFUNCTION("""COMPUTED_VALUE"""),"")</f>
        <v/>
      </c>
      <c r="U1023" s="139" t="str">
        <f>IFERROR(__xludf.DUMMYFUNCTION("""COMPUTED_VALUE"""),"")</f>
        <v/>
      </c>
      <c r="V1023" s="136" t="str">
        <f>IFERROR(__xludf.DUMMYFUNCTION("""COMPUTED_VALUE"""),"")</f>
        <v/>
      </c>
      <c r="W1023" s="106" t="str">
        <f>IFERROR(__xludf.DUMMYFUNCTION("""COMPUTED_VALUE"""),"")</f>
        <v/>
      </c>
      <c r="X1023" s="143" t="str">
        <f t="shared" si="2"/>
        <v/>
      </c>
      <c r="Y1023" s="139" t="str">
        <f>IFERROR(__xludf.DUMMYFUNCTION("""COMPUTED_VALUE"""),"")</f>
        <v/>
      </c>
      <c r="Z1023" s="141" t="str">
        <f>IFERROR(__xludf.DUMMYFUNCTION("""COMPUTED_VALUE"""),"")</f>
        <v/>
      </c>
    </row>
    <row r="1024">
      <c r="D1024" s="136" t="str">
        <f t="shared" si="3"/>
        <v/>
      </c>
      <c r="E1024" s="152"/>
      <c r="F1024" s="106" t="s">
        <v>133</v>
      </c>
      <c r="G1024" s="152"/>
      <c r="H1024" s="106" t="s">
        <v>133</v>
      </c>
      <c r="J1024" s="139" t="s">
        <v>133</v>
      </c>
      <c r="K1024" s="136" t="s">
        <v>133</v>
      </c>
      <c r="L1024" s="153"/>
      <c r="M1024" s="136" t="str">
        <f t="shared" si="1"/>
        <v/>
      </c>
      <c r="O1024" s="141" t="s">
        <v>133</v>
      </c>
      <c r="P1024" s="136" t="str">
        <f>IFERROR(__xludf.DUMMYFUNCTION("""COMPUTED_VALUE"""),"")</f>
        <v/>
      </c>
      <c r="Q1024" s="136" t="str">
        <f>IFERROR(__xludf.DUMMYFUNCTION("""COMPUTED_VALUE"""),"")</f>
        <v/>
      </c>
      <c r="R1024" s="106" t="str">
        <f>IFERROR(__xludf.DUMMYFUNCTION("""COMPUTED_VALUE"""),"")</f>
        <v/>
      </c>
      <c r="S1024" s="106" t="str">
        <f>IFERROR(__xludf.DUMMYFUNCTION("""COMPUTED_VALUE"""),"")</f>
        <v/>
      </c>
      <c r="T1024" s="139" t="str">
        <f>IFERROR(__xludf.DUMMYFUNCTION("""COMPUTED_VALUE"""),"")</f>
        <v/>
      </c>
      <c r="U1024" s="139" t="str">
        <f>IFERROR(__xludf.DUMMYFUNCTION("""COMPUTED_VALUE"""),"")</f>
        <v/>
      </c>
      <c r="V1024" s="136" t="str">
        <f>IFERROR(__xludf.DUMMYFUNCTION("""COMPUTED_VALUE"""),"")</f>
        <v/>
      </c>
      <c r="W1024" s="106" t="str">
        <f>IFERROR(__xludf.DUMMYFUNCTION("""COMPUTED_VALUE"""),"")</f>
        <v/>
      </c>
      <c r="X1024" s="143" t="str">
        <f t="shared" si="2"/>
        <v/>
      </c>
      <c r="Y1024" s="139" t="str">
        <f>IFERROR(__xludf.DUMMYFUNCTION("""COMPUTED_VALUE"""),"")</f>
        <v/>
      </c>
      <c r="Z1024" s="141" t="str">
        <f>IFERROR(__xludf.DUMMYFUNCTION("""COMPUTED_VALUE"""),"")</f>
        <v/>
      </c>
    </row>
    <row r="1025">
      <c r="D1025" s="136" t="str">
        <f t="shared" si="3"/>
        <v/>
      </c>
      <c r="E1025" s="152"/>
      <c r="F1025" s="106" t="s">
        <v>133</v>
      </c>
      <c r="G1025" s="152"/>
      <c r="H1025" s="106" t="s">
        <v>133</v>
      </c>
      <c r="J1025" s="139" t="s">
        <v>133</v>
      </c>
      <c r="K1025" s="136" t="s">
        <v>133</v>
      </c>
      <c r="L1025" s="153"/>
      <c r="M1025" s="136" t="str">
        <f t="shared" si="1"/>
        <v/>
      </c>
      <c r="O1025" s="141" t="s">
        <v>133</v>
      </c>
      <c r="P1025" s="136" t="str">
        <f>IFERROR(__xludf.DUMMYFUNCTION("""COMPUTED_VALUE"""),"")</f>
        <v/>
      </c>
      <c r="Q1025" s="136" t="str">
        <f>IFERROR(__xludf.DUMMYFUNCTION("""COMPUTED_VALUE"""),"")</f>
        <v/>
      </c>
      <c r="R1025" s="106" t="str">
        <f>IFERROR(__xludf.DUMMYFUNCTION("""COMPUTED_VALUE"""),"")</f>
        <v/>
      </c>
      <c r="S1025" s="106" t="str">
        <f>IFERROR(__xludf.DUMMYFUNCTION("""COMPUTED_VALUE"""),"")</f>
        <v/>
      </c>
      <c r="T1025" s="139" t="str">
        <f>IFERROR(__xludf.DUMMYFUNCTION("""COMPUTED_VALUE"""),"")</f>
        <v/>
      </c>
      <c r="U1025" s="139" t="str">
        <f>IFERROR(__xludf.DUMMYFUNCTION("""COMPUTED_VALUE"""),"")</f>
        <v/>
      </c>
      <c r="V1025" s="136" t="str">
        <f>IFERROR(__xludf.DUMMYFUNCTION("""COMPUTED_VALUE"""),"")</f>
        <v/>
      </c>
      <c r="W1025" s="106" t="str">
        <f>IFERROR(__xludf.DUMMYFUNCTION("""COMPUTED_VALUE"""),"")</f>
        <v/>
      </c>
      <c r="X1025" s="143" t="str">
        <f t="shared" si="2"/>
        <v/>
      </c>
      <c r="Y1025" s="139" t="str">
        <f>IFERROR(__xludf.DUMMYFUNCTION("""COMPUTED_VALUE"""),"")</f>
        <v/>
      </c>
      <c r="Z1025" s="141" t="str">
        <f>IFERROR(__xludf.DUMMYFUNCTION("""COMPUTED_VALUE"""),"")</f>
        <v/>
      </c>
    </row>
    <row r="1026">
      <c r="D1026" s="136" t="str">
        <f t="shared" si="3"/>
        <v/>
      </c>
      <c r="E1026" s="152"/>
      <c r="F1026" s="106" t="s">
        <v>133</v>
      </c>
      <c r="G1026" s="152"/>
      <c r="H1026" s="106" t="s">
        <v>133</v>
      </c>
      <c r="J1026" s="139" t="s">
        <v>133</v>
      </c>
      <c r="K1026" s="136" t="s">
        <v>133</v>
      </c>
      <c r="L1026" s="153"/>
      <c r="M1026" s="136" t="str">
        <f t="shared" si="1"/>
        <v/>
      </c>
      <c r="O1026" s="141" t="s">
        <v>133</v>
      </c>
      <c r="P1026" s="136" t="str">
        <f>IFERROR(__xludf.DUMMYFUNCTION("""COMPUTED_VALUE"""),"")</f>
        <v/>
      </c>
      <c r="Q1026" s="136" t="str">
        <f>IFERROR(__xludf.DUMMYFUNCTION("""COMPUTED_VALUE"""),"")</f>
        <v/>
      </c>
      <c r="R1026" s="106" t="str">
        <f>IFERROR(__xludf.DUMMYFUNCTION("""COMPUTED_VALUE"""),"")</f>
        <v/>
      </c>
      <c r="S1026" s="106" t="str">
        <f>IFERROR(__xludf.DUMMYFUNCTION("""COMPUTED_VALUE"""),"")</f>
        <v/>
      </c>
      <c r="T1026" s="139" t="str">
        <f>IFERROR(__xludf.DUMMYFUNCTION("""COMPUTED_VALUE"""),"")</f>
        <v/>
      </c>
      <c r="U1026" s="139" t="str">
        <f>IFERROR(__xludf.DUMMYFUNCTION("""COMPUTED_VALUE"""),"")</f>
        <v/>
      </c>
      <c r="V1026" s="136" t="str">
        <f>IFERROR(__xludf.DUMMYFUNCTION("""COMPUTED_VALUE"""),"")</f>
        <v/>
      </c>
      <c r="W1026" s="106" t="str">
        <f>IFERROR(__xludf.DUMMYFUNCTION("""COMPUTED_VALUE"""),"")</f>
        <v/>
      </c>
      <c r="X1026" s="143" t="str">
        <f t="shared" si="2"/>
        <v/>
      </c>
      <c r="Y1026" s="139" t="str">
        <f>IFERROR(__xludf.DUMMYFUNCTION("""COMPUTED_VALUE"""),"")</f>
        <v/>
      </c>
      <c r="Z1026" s="141" t="str">
        <f>IFERROR(__xludf.DUMMYFUNCTION("""COMPUTED_VALUE"""),"")</f>
        <v/>
      </c>
    </row>
    <row r="1027">
      <c r="D1027" s="136" t="str">
        <f t="shared" si="3"/>
        <v/>
      </c>
      <c r="E1027" s="152"/>
      <c r="F1027" s="106" t="s">
        <v>133</v>
      </c>
      <c r="G1027" s="152"/>
      <c r="H1027" s="106" t="s">
        <v>133</v>
      </c>
      <c r="J1027" s="139" t="s">
        <v>133</v>
      </c>
      <c r="K1027" s="136" t="s">
        <v>133</v>
      </c>
      <c r="L1027" s="153"/>
      <c r="M1027" s="136" t="str">
        <f t="shared" si="1"/>
        <v/>
      </c>
      <c r="O1027" s="141" t="s">
        <v>133</v>
      </c>
      <c r="P1027" s="136" t="str">
        <f>IFERROR(__xludf.DUMMYFUNCTION("""COMPUTED_VALUE"""),"")</f>
        <v/>
      </c>
      <c r="Q1027" s="136" t="str">
        <f>IFERROR(__xludf.DUMMYFUNCTION("""COMPUTED_VALUE"""),"")</f>
        <v/>
      </c>
      <c r="R1027" s="106" t="str">
        <f>IFERROR(__xludf.DUMMYFUNCTION("""COMPUTED_VALUE"""),"")</f>
        <v/>
      </c>
      <c r="S1027" s="106" t="str">
        <f>IFERROR(__xludf.DUMMYFUNCTION("""COMPUTED_VALUE"""),"")</f>
        <v/>
      </c>
      <c r="T1027" s="139" t="str">
        <f>IFERROR(__xludf.DUMMYFUNCTION("""COMPUTED_VALUE"""),"")</f>
        <v/>
      </c>
      <c r="U1027" s="139" t="str">
        <f>IFERROR(__xludf.DUMMYFUNCTION("""COMPUTED_VALUE"""),"")</f>
        <v/>
      </c>
      <c r="V1027" s="136" t="str">
        <f>IFERROR(__xludf.DUMMYFUNCTION("""COMPUTED_VALUE"""),"")</f>
        <v/>
      </c>
      <c r="W1027" s="106" t="str">
        <f>IFERROR(__xludf.DUMMYFUNCTION("""COMPUTED_VALUE"""),"")</f>
        <v/>
      </c>
      <c r="X1027" s="143" t="str">
        <f t="shared" si="2"/>
        <v/>
      </c>
      <c r="Y1027" s="139" t="str">
        <f>IFERROR(__xludf.DUMMYFUNCTION("""COMPUTED_VALUE"""),"")</f>
        <v/>
      </c>
      <c r="Z1027" s="141" t="str">
        <f>IFERROR(__xludf.DUMMYFUNCTION("""COMPUTED_VALUE"""),"")</f>
        <v/>
      </c>
    </row>
    <row r="1028">
      <c r="D1028" s="136" t="str">
        <f t="shared" si="3"/>
        <v/>
      </c>
      <c r="E1028" s="152"/>
      <c r="F1028" s="106" t="s">
        <v>133</v>
      </c>
      <c r="G1028" s="152"/>
      <c r="H1028" s="106" t="s">
        <v>133</v>
      </c>
      <c r="J1028" s="139" t="s">
        <v>133</v>
      </c>
      <c r="K1028" s="136" t="s">
        <v>133</v>
      </c>
      <c r="L1028" s="153"/>
      <c r="M1028" s="136" t="str">
        <f t="shared" si="1"/>
        <v/>
      </c>
      <c r="O1028" s="141" t="s">
        <v>133</v>
      </c>
      <c r="P1028" s="136" t="str">
        <f>IFERROR(__xludf.DUMMYFUNCTION("""COMPUTED_VALUE"""),"")</f>
        <v/>
      </c>
      <c r="Q1028" s="136" t="str">
        <f>IFERROR(__xludf.DUMMYFUNCTION("""COMPUTED_VALUE"""),"")</f>
        <v/>
      </c>
      <c r="R1028" s="106" t="str">
        <f>IFERROR(__xludf.DUMMYFUNCTION("""COMPUTED_VALUE"""),"")</f>
        <v/>
      </c>
      <c r="S1028" s="106" t="str">
        <f>IFERROR(__xludf.DUMMYFUNCTION("""COMPUTED_VALUE"""),"")</f>
        <v/>
      </c>
      <c r="T1028" s="139" t="str">
        <f>IFERROR(__xludf.DUMMYFUNCTION("""COMPUTED_VALUE"""),"")</f>
        <v/>
      </c>
      <c r="U1028" s="139" t="str">
        <f>IFERROR(__xludf.DUMMYFUNCTION("""COMPUTED_VALUE"""),"")</f>
        <v/>
      </c>
      <c r="V1028" s="136" t="str">
        <f>IFERROR(__xludf.DUMMYFUNCTION("""COMPUTED_VALUE"""),"")</f>
        <v/>
      </c>
      <c r="W1028" s="106" t="str">
        <f>IFERROR(__xludf.DUMMYFUNCTION("""COMPUTED_VALUE"""),"")</f>
        <v/>
      </c>
      <c r="X1028" s="143" t="str">
        <f t="shared" si="2"/>
        <v/>
      </c>
      <c r="Y1028" s="139" t="str">
        <f>IFERROR(__xludf.DUMMYFUNCTION("""COMPUTED_VALUE"""),"")</f>
        <v/>
      </c>
      <c r="Z1028" s="141" t="str">
        <f>IFERROR(__xludf.DUMMYFUNCTION("""COMPUTED_VALUE"""),"")</f>
        <v/>
      </c>
    </row>
    <row r="1029">
      <c r="D1029" s="136" t="str">
        <f t="shared" si="3"/>
        <v/>
      </c>
      <c r="E1029" s="152"/>
      <c r="F1029" s="106" t="s">
        <v>133</v>
      </c>
      <c r="G1029" s="152"/>
      <c r="H1029" s="106" t="s">
        <v>133</v>
      </c>
      <c r="J1029" s="139" t="s">
        <v>133</v>
      </c>
      <c r="K1029" s="136" t="s">
        <v>133</v>
      </c>
      <c r="L1029" s="153"/>
      <c r="M1029" s="136" t="str">
        <f t="shared" si="1"/>
        <v/>
      </c>
      <c r="O1029" s="141" t="s">
        <v>133</v>
      </c>
      <c r="P1029" s="136" t="str">
        <f>IFERROR(__xludf.DUMMYFUNCTION("""COMPUTED_VALUE"""),"")</f>
        <v/>
      </c>
      <c r="Q1029" s="136" t="str">
        <f>IFERROR(__xludf.DUMMYFUNCTION("""COMPUTED_VALUE"""),"")</f>
        <v/>
      </c>
      <c r="R1029" s="106" t="str">
        <f>IFERROR(__xludf.DUMMYFUNCTION("""COMPUTED_VALUE"""),"")</f>
        <v/>
      </c>
      <c r="S1029" s="106" t="str">
        <f>IFERROR(__xludf.DUMMYFUNCTION("""COMPUTED_VALUE"""),"")</f>
        <v/>
      </c>
      <c r="T1029" s="139" t="str">
        <f>IFERROR(__xludf.DUMMYFUNCTION("""COMPUTED_VALUE"""),"")</f>
        <v/>
      </c>
      <c r="U1029" s="139" t="str">
        <f>IFERROR(__xludf.DUMMYFUNCTION("""COMPUTED_VALUE"""),"")</f>
        <v/>
      </c>
      <c r="V1029" s="136" t="str">
        <f>IFERROR(__xludf.DUMMYFUNCTION("""COMPUTED_VALUE"""),"")</f>
        <v/>
      </c>
      <c r="W1029" s="106" t="str">
        <f>IFERROR(__xludf.DUMMYFUNCTION("""COMPUTED_VALUE"""),"")</f>
        <v/>
      </c>
      <c r="X1029" s="143" t="str">
        <f t="shared" si="2"/>
        <v/>
      </c>
      <c r="Y1029" s="139" t="str">
        <f>IFERROR(__xludf.DUMMYFUNCTION("""COMPUTED_VALUE"""),"")</f>
        <v/>
      </c>
      <c r="Z1029" s="141" t="str">
        <f>IFERROR(__xludf.DUMMYFUNCTION("""COMPUTED_VALUE"""),"")</f>
        <v/>
      </c>
    </row>
    <row r="1030">
      <c r="D1030" s="136" t="str">
        <f t="shared" si="3"/>
        <v/>
      </c>
      <c r="E1030" s="152"/>
      <c r="F1030" s="106" t="s">
        <v>133</v>
      </c>
      <c r="G1030" s="152"/>
      <c r="H1030" s="106" t="s">
        <v>133</v>
      </c>
      <c r="J1030" s="139" t="s">
        <v>133</v>
      </c>
      <c r="K1030" s="136" t="s">
        <v>133</v>
      </c>
      <c r="L1030" s="153"/>
      <c r="M1030" s="136" t="str">
        <f t="shared" si="1"/>
        <v/>
      </c>
      <c r="O1030" s="141" t="s">
        <v>133</v>
      </c>
      <c r="P1030" s="136" t="str">
        <f>IFERROR(__xludf.DUMMYFUNCTION("""COMPUTED_VALUE"""),"")</f>
        <v/>
      </c>
      <c r="Q1030" s="136" t="str">
        <f>IFERROR(__xludf.DUMMYFUNCTION("""COMPUTED_VALUE"""),"")</f>
        <v/>
      </c>
      <c r="R1030" s="106" t="str">
        <f>IFERROR(__xludf.DUMMYFUNCTION("""COMPUTED_VALUE"""),"")</f>
        <v/>
      </c>
      <c r="S1030" s="106" t="str">
        <f>IFERROR(__xludf.DUMMYFUNCTION("""COMPUTED_VALUE"""),"")</f>
        <v/>
      </c>
      <c r="T1030" s="139" t="str">
        <f>IFERROR(__xludf.DUMMYFUNCTION("""COMPUTED_VALUE"""),"")</f>
        <v/>
      </c>
      <c r="U1030" s="139" t="str">
        <f>IFERROR(__xludf.DUMMYFUNCTION("""COMPUTED_VALUE"""),"")</f>
        <v/>
      </c>
      <c r="V1030" s="136" t="str">
        <f>IFERROR(__xludf.DUMMYFUNCTION("""COMPUTED_VALUE"""),"")</f>
        <v/>
      </c>
      <c r="W1030" s="106" t="str">
        <f>IFERROR(__xludf.DUMMYFUNCTION("""COMPUTED_VALUE"""),"")</f>
        <v/>
      </c>
      <c r="X1030" s="143" t="str">
        <f t="shared" si="2"/>
        <v/>
      </c>
      <c r="Y1030" s="139" t="str">
        <f>IFERROR(__xludf.DUMMYFUNCTION("""COMPUTED_VALUE"""),"")</f>
        <v/>
      </c>
      <c r="Z1030" s="141" t="str">
        <f>IFERROR(__xludf.DUMMYFUNCTION("""COMPUTED_VALUE"""),"")</f>
        <v/>
      </c>
    </row>
    <row r="1031">
      <c r="D1031" s="136" t="str">
        <f t="shared" si="3"/>
        <v/>
      </c>
      <c r="E1031" s="152"/>
      <c r="F1031" s="106" t="s">
        <v>133</v>
      </c>
      <c r="G1031" s="152"/>
      <c r="H1031" s="106" t="s">
        <v>133</v>
      </c>
      <c r="J1031" s="139" t="s">
        <v>133</v>
      </c>
      <c r="K1031" s="136" t="s">
        <v>133</v>
      </c>
      <c r="L1031" s="153"/>
      <c r="M1031" s="136" t="str">
        <f t="shared" si="1"/>
        <v/>
      </c>
      <c r="O1031" s="141" t="s">
        <v>133</v>
      </c>
      <c r="P1031" s="136" t="str">
        <f>IFERROR(__xludf.DUMMYFUNCTION("""COMPUTED_VALUE"""),"")</f>
        <v/>
      </c>
      <c r="Q1031" s="136" t="str">
        <f>IFERROR(__xludf.DUMMYFUNCTION("""COMPUTED_VALUE"""),"")</f>
        <v/>
      </c>
      <c r="R1031" s="106" t="str">
        <f>IFERROR(__xludf.DUMMYFUNCTION("""COMPUTED_VALUE"""),"")</f>
        <v/>
      </c>
      <c r="S1031" s="106" t="str">
        <f>IFERROR(__xludf.DUMMYFUNCTION("""COMPUTED_VALUE"""),"")</f>
        <v/>
      </c>
      <c r="T1031" s="139" t="str">
        <f>IFERROR(__xludf.DUMMYFUNCTION("""COMPUTED_VALUE"""),"")</f>
        <v/>
      </c>
      <c r="U1031" s="139" t="str">
        <f>IFERROR(__xludf.DUMMYFUNCTION("""COMPUTED_VALUE"""),"")</f>
        <v/>
      </c>
      <c r="V1031" s="136" t="str">
        <f>IFERROR(__xludf.DUMMYFUNCTION("""COMPUTED_VALUE"""),"")</f>
        <v/>
      </c>
      <c r="W1031" s="106" t="str">
        <f>IFERROR(__xludf.DUMMYFUNCTION("""COMPUTED_VALUE"""),"")</f>
        <v/>
      </c>
      <c r="X1031" s="143" t="str">
        <f t="shared" si="2"/>
        <v/>
      </c>
      <c r="Y1031" s="139" t="str">
        <f>IFERROR(__xludf.DUMMYFUNCTION("""COMPUTED_VALUE"""),"")</f>
        <v/>
      </c>
      <c r="Z1031" s="141" t="str">
        <f>IFERROR(__xludf.DUMMYFUNCTION("""COMPUTED_VALUE"""),"")</f>
        <v/>
      </c>
    </row>
    <row r="1032">
      <c r="D1032" s="136" t="str">
        <f t="shared" si="3"/>
        <v/>
      </c>
      <c r="E1032" s="152"/>
      <c r="F1032" s="106" t="s">
        <v>133</v>
      </c>
      <c r="G1032" s="152"/>
      <c r="H1032" s="106" t="s">
        <v>133</v>
      </c>
      <c r="J1032" s="139" t="s">
        <v>133</v>
      </c>
      <c r="K1032" s="136" t="s">
        <v>133</v>
      </c>
      <c r="L1032" s="153"/>
      <c r="M1032" s="136" t="str">
        <f t="shared" si="1"/>
        <v/>
      </c>
      <c r="O1032" s="141" t="s">
        <v>133</v>
      </c>
      <c r="P1032" s="136" t="str">
        <f>IFERROR(__xludf.DUMMYFUNCTION("""COMPUTED_VALUE"""),"")</f>
        <v/>
      </c>
      <c r="Q1032" s="136" t="str">
        <f>IFERROR(__xludf.DUMMYFUNCTION("""COMPUTED_VALUE"""),"")</f>
        <v/>
      </c>
      <c r="R1032" s="106" t="str">
        <f>IFERROR(__xludf.DUMMYFUNCTION("""COMPUTED_VALUE"""),"")</f>
        <v/>
      </c>
      <c r="S1032" s="106" t="str">
        <f>IFERROR(__xludf.DUMMYFUNCTION("""COMPUTED_VALUE"""),"")</f>
        <v/>
      </c>
      <c r="T1032" s="139" t="str">
        <f>IFERROR(__xludf.DUMMYFUNCTION("""COMPUTED_VALUE"""),"")</f>
        <v/>
      </c>
      <c r="U1032" s="139" t="str">
        <f>IFERROR(__xludf.DUMMYFUNCTION("""COMPUTED_VALUE"""),"")</f>
        <v/>
      </c>
      <c r="V1032" s="136" t="str">
        <f>IFERROR(__xludf.DUMMYFUNCTION("""COMPUTED_VALUE"""),"")</f>
        <v/>
      </c>
      <c r="W1032" s="106" t="str">
        <f>IFERROR(__xludf.DUMMYFUNCTION("""COMPUTED_VALUE"""),"")</f>
        <v/>
      </c>
      <c r="X1032" s="143" t="str">
        <f t="shared" si="2"/>
        <v/>
      </c>
      <c r="Y1032" s="139" t="str">
        <f>IFERROR(__xludf.DUMMYFUNCTION("""COMPUTED_VALUE"""),"")</f>
        <v/>
      </c>
      <c r="Z1032" s="141" t="str">
        <f>IFERROR(__xludf.DUMMYFUNCTION("""COMPUTED_VALUE"""),"")</f>
        <v/>
      </c>
    </row>
    <row r="1033">
      <c r="D1033" s="136" t="str">
        <f t="shared" si="3"/>
        <v/>
      </c>
      <c r="E1033" s="152"/>
      <c r="F1033" s="106" t="s">
        <v>133</v>
      </c>
      <c r="G1033" s="152"/>
      <c r="H1033" s="106" t="s">
        <v>133</v>
      </c>
      <c r="J1033" s="139" t="s">
        <v>133</v>
      </c>
      <c r="K1033" s="136" t="s">
        <v>133</v>
      </c>
      <c r="L1033" s="153"/>
      <c r="M1033" s="136" t="str">
        <f t="shared" si="1"/>
        <v/>
      </c>
      <c r="O1033" s="141" t="s">
        <v>133</v>
      </c>
      <c r="P1033" s="136" t="str">
        <f>IFERROR(__xludf.DUMMYFUNCTION("""COMPUTED_VALUE"""),"")</f>
        <v/>
      </c>
      <c r="Q1033" s="136" t="str">
        <f>IFERROR(__xludf.DUMMYFUNCTION("""COMPUTED_VALUE"""),"")</f>
        <v/>
      </c>
      <c r="R1033" s="106" t="str">
        <f>IFERROR(__xludf.DUMMYFUNCTION("""COMPUTED_VALUE"""),"")</f>
        <v/>
      </c>
      <c r="S1033" s="106" t="str">
        <f>IFERROR(__xludf.DUMMYFUNCTION("""COMPUTED_VALUE"""),"")</f>
        <v/>
      </c>
      <c r="T1033" s="139" t="str">
        <f>IFERROR(__xludf.DUMMYFUNCTION("""COMPUTED_VALUE"""),"")</f>
        <v/>
      </c>
      <c r="U1033" s="139" t="str">
        <f>IFERROR(__xludf.DUMMYFUNCTION("""COMPUTED_VALUE"""),"")</f>
        <v/>
      </c>
      <c r="V1033" s="136" t="str">
        <f>IFERROR(__xludf.DUMMYFUNCTION("""COMPUTED_VALUE"""),"")</f>
        <v/>
      </c>
      <c r="W1033" s="106" t="str">
        <f>IFERROR(__xludf.DUMMYFUNCTION("""COMPUTED_VALUE"""),"")</f>
        <v/>
      </c>
      <c r="X1033" s="143" t="str">
        <f t="shared" si="2"/>
        <v/>
      </c>
      <c r="Y1033" s="139" t="str">
        <f>IFERROR(__xludf.DUMMYFUNCTION("""COMPUTED_VALUE"""),"")</f>
        <v/>
      </c>
      <c r="Z1033" s="141" t="str">
        <f>IFERROR(__xludf.DUMMYFUNCTION("""COMPUTED_VALUE"""),"")</f>
        <v/>
      </c>
    </row>
    <row r="1034">
      <c r="D1034" s="136" t="str">
        <f t="shared" si="3"/>
        <v/>
      </c>
      <c r="E1034" s="152"/>
      <c r="F1034" s="106" t="s">
        <v>133</v>
      </c>
      <c r="G1034" s="152"/>
      <c r="H1034" s="106" t="s">
        <v>133</v>
      </c>
      <c r="J1034" s="139" t="s">
        <v>133</v>
      </c>
      <c r="K1034" s="136" t="s">
        <v>133</v>
      </c>
      <c r="L1034" s="153"/>
      <c r="M1034" s="136" t="str">
        <f t="shared" si="1"/>
        <v/>
      </c>
      <c r="O1034" s="141" t="s">
        <v>133</v>
      </c>
      <c r="P1034" s="136" t="str">
        <f>IFERROR(__xludf.DUMMYFUNCTION("""COMPUTED_VALUE"""),"")</f>
        <v/>
      </c>
      <c r="Q1034" s="136" t="str">
        <f>IFERROR(__xludf.DUMMYFUNCTION("""COMPUTED_VALUE"""),"")</f>
        <v/>
      </c>
      <c r="R1034" s="106" t="str">
        <f>IFERROR(__xludf.DUMMYFUNCTION("""COMPUTED_VALUE"""),"")</f>
        <v/>
      </c>
      <c r="S1034" s="106" t="str">
        <f>IFERROR(__xludf.DUMMYFUNCTION("""COMPUTED_VALUE"""),"")</f>
        <v/>
      </c>
      <c r="T1034" s="139" t="str">
        <f>IFERROR(__xludf.DUMMYFUNCTION("""COMPUTED_VALUE"""),"")</f>
        <v/>
      </c>
      <c r="U1034" s="139" t="str">
        <f>IFERROR(__xludf.DUMMYFUNCTION("""COMPUTED_VALUE"""),"")</f>
        <v/>
      </c>
      <c r="V1034" s="136" t="str">
        <f>IFERROR(__xludf.DUMMYFUNCTION("""COMPUTED_VALUE"""),"")</f>
        <v/>
      </c>
      <c r="W1034" s="106" t="str">
        <f>IFERROR(__xludf.DUMMYFUNCTION("""COMPUTED_VALUE"""),"")</f>
        <v/>
      </c>
      <c r="X1034" s="143" t="str">
        <f t="shared" si="2"/>
        <v/>
      </c>
      <c r="Y1034" s="139" t="str">
        <f>IFERROR(__xludf.DUMMYFUNCTION("""COMPUTED_VALUE"""),"")</f>
        <v/>
      </c>
      <c r="Z1034" s="141" t="str">
        <f>IFERROR(__xludf.DUMMYFUNCTION("""COMPUTED_VALUE"""),"")</f>
        <v/>
      </c>
    </row>
    <row r="1035">
      <c r="D1035" s="136" t="str">
        <f t="shared" si="3"/>
        <v/>
      </c>
      <c r="E1035" s="152"/>
      <c r="F1035" s="106" t="s">
        <v>133</v>
      </c>
      <c r="G1035" s="152"/>
      <c r="H1035" s="106" t="s">
        <v>133</v>
      </c>
      <c r="J1035" s="139" t="s">
        <v>133</v>
      </c>
      <c r="K1035" s="136" t="s">
        <v>133</v>
      </c>
      <c r="L1035" s="153"/>
      <c r="M1035" s="136" t="str">
        <f t="shared" si="1"/>
        <v/>
      </c>
      <c r="O1035" s="141" t="s">
        <v>133</v>
      </c>
      <c r="P1035" s="136" t="str">
        <f>IFERROR(__xludf.DUMMYFUNCTION("""COMPUTED_VALUE"""),"")</f>
        <v/>
      </c>
      <c r="Q1035" s="136" t="str">
        <f>IFERROR(__xludf.DUMMYFUNCTION("""COMPUTED_VALUE"""),"")</f>
        <v/>
      </c>
      <c r="R1035" s="106" t="str">
        <f>IFERROR(__xludf.DUMMYFUNCTION("""COMPUTED_VALUE"""),"")</f>
        <v/>
      </c>
      <c r="S1035" s="106" t="str">
        <f>IFERROR(__xludf.DUMMYFUNCTION("""COMPUTED_VALUE"""),"")</f>
        <v/>
      </c>
      <c r="T1035" s="139" t="str">
        <f>IFERROR(__xludf.DUMMYFUNCTION("""COMPUTED_VALUE"""),"")</f>
        <v/>
      </c>
      <c r="U1035" s="139" t="str">
        <f>IFERROR(__xludf.DUMMYFUNCTION("""COMPUTED_VALUE"""),"")</f>
        <v/>
      </c>
      <c r="V1035" s="136" t="str">
        <f>IFERROR(__xludf.DUMMYFUNCTION("""COMPUTED_VALUE"""),"")</f>
        <v/>
      </c>
      <c r="W1035" s="106" t="str">
        <f>IFERROR(__xludf.DUMMYFUNCTION("""COMPUTED_VALUE"""),"")</f>
        <v/>
      </c>
      <c r="X1035" s="143" t="str">
        <f t="shared" si="2"/>
        <v/>
      </c>
      <c r="Y1035" s="139" t="str">
        <f>IFERROR(__xludf.DUMMYFUNCTION("""COMPUTED_VALUE"""),"")</f>
        <v/>
      </c>
      <c r="Z1035" s="141" t="str">
        <f>IFERROR(__xludf.DUMMYFUNCTION("""COMPUTED_VALUE"""),"")</f>
        <v/>
      </c>
    </row>
    <row r="1036">
      <c r="D1036" s="136" t="str">
        <f t="shared" si="3"/>
        <v/>
      </c>
      <c r="E1036" s="152"/>
      <c r="F1036" s="106" t="s">
        <v>133</v>
      </c>
      <c r="G1036" s="152"/>
      <c r="H1036" s="106" t="s">
        <v>133</v>
      </c>
      <c r="J1036" s="139" t="s">
        <v>133</v>
      </c>
      <c r="K1036" s="136" t="s">
        <v>133</v>
      </c>
      <c r="L1036" s="153"/>
      <c r="M1036" s="136" t="str">
        <f t="shared" si="1"/>
        <v/>
      </c>
      <c r="O1036" s="141" t="s">
        <v>133</v>
      </c>
      <c r="P1036" s="136" t="str">
        <f>IFERROR(__xludf.DUMMYFUNCTION("""COMPUTED_VALUE"""),"")</f>
        <v/>
      </c>
      <c r="Q1036" s="136" t="str">
        <f>IFERROR(__xludf.DUMMYFUNCTION("""COMPUTED_VALUE"""),"")</f>
        <v/>
      </c>
      <c r="R1036" s="106" t="str">
        <f>IFERROR(__xludf.DUMMYFUNCTION("""COMPUTED_VALUE"""),"")</f>
        <v/>
      </c>
      <c r="S1036" s="106" t="str">
        <f>IFERROR(__xludf.DUMMYFUNCTION("""COMPUTED_VALUE"""),"")</f>
        <v/>
      </c>
      <c r="T1036" s="139" t="str">
        <f>IFERROR(__xludf.DUMMYFUNCTION("""COMPUTED_VALUE"""),"")</f>
        <v/>
      </c>
      <c r="U1036" s="139" t="str">
        <f>IFERROR(__xludf.DUMMYFUNCTION("""COMPUTED_VALUE"""),"")</f>
        <v/>
      </c>
      <c r="V1036" s="136" t="str">
        <f>IFERROR(__xludf.DUMMYFUNCTION("""COMPUTED_VALUE"""),"")</f>
        <v/>
      </c>
      <c r="W1036" s="106" t="str">
        <f>IFERROR(__xludf.DUMMYFUNCTION("""COMPUTED_VALUE"""),"")</f>
        <v/>
      </c>
      <c r="X1036" s="143" t="str">
        <f t="shared" si="2"/>
        <v/>
      </c>
      <c r="Y1036" s="139" t="str">
        <f>IFERROR(__xludf.DUMMYFUNCTION("""COMPUTED_VALUE"""),"")</f>
        <v/>
      </c>
      <c r="Z1036" s="141" t="str">
        <f>IFERROR(__xludf.DUMMYFUNCTION("""COMPUTED_VALUE"""),"")</f>
        <v/>
      </c>
    </row>
    <row r="1037">
      <c r="D1037" s="136" t="str">
        <f t="shared" si="3"/>
        <v/>
      </c>
      <c r="E1037" s="152"/>
      <c r="F1037" s="106" t="s">
        <v>133</v>
      </c>
      <c r="G1037" s="152"/>
      <c r="H1037" s="106" t="s">
        <v>133</v>
      </c>
      <c r="J1037" s="139" t="s">
        <v>133</v>
      </c>
      <c r="K1037" s="136" t="s">
        <v>133</v>
      </c>
      <c r="L1037" s="153"/>
      <c r="M1037" s="136" t="str">
        <f t="shared" si="1"/>
        <v/>
      </c>
      <c r="O1037" s="141" t="s">
        <v>133</v>
      </c>
      <c r="P1037" s="136" t="str">
        <f>IFERROR(__xludf.DUMMYFUNCTION("""COMPUTED_VALUE"""),"")</f>
        <v/>
      </c>
      <c r="Q1037" s="136" t="str">
        <f>IFERROR(__xludf.DUMMYFUNCTION("""COMPUTED_VALUE"""),"")</f>
        <v/>
      </c>
      <c r="R1037" s="106" t="str">
        <f>IFERROR(__xludf.DUMMYFUNCTION("""COMPUTED_VALUE"""),"")</f>
        <v/>
      </c>
      <c r="S1037" s="106" t="str">
        <f>IFERROR(__xludf.DUMMYFUNCTION("""COMPUTED_VALUE"""),"")</f>
        <v/>
      </c>
      <c r="T1037" s="139" t="str">
        <f>IFERROR(__xludf.DUMMYFUNCTION("""COMPUTED_VALUE"""),"")</f>
        <v/>
      </c>
      <c r="U1037" s="139" t="str">
        <f>IFERROR(__xludf.DUMMYFUNCTION("""COMPUTED_VALUE"""),"")</f>
        <v/>
      </c>
      <c r="V1037" s="136" t="str">
        <f>IFERROR(__xludf.DUMMYFUNCTION("""COMPUTED_VALUE"""),"")</f>
        <v/>
      </c>
      <c r="W1037" s="106" t="str">
        <f>IFERROR(__xludf.DUMMYFUNCTION("""COMPUTED_VALUE"""),"")</f>
        <v/>
      </c>
      <c r="X1037" s="143" t="str">
        <f t="shared" si="2"/>
        <v/>
      </c>
      <c r="Y1037" s="139" t="str">
        <f>IFERROR(__xludf.DUMMYFUNCTION("""COMPUTED_VALUE"""),"")</f>
        <v/>
      </c>
      <c r="Z1037" s="141" t="str">
        <f>IFERROR(__xludf.DUMMYFUNCTION("""COMPUTED_VALUE"""),"")</f>
        <v/>
      </c>
    </row>
    <row r="1038">
      <c r="D1038" s="136" t="str">
        <f t="shared" si="3"/>
        <v/>
      </c>
      <c r="E1038" s="152"/>
      <c r="F1038" s="106" t="s">
        <v>133</v>
      </c>
      <c r="G1038" s="152"/>
      <c r="H1038" s="106" t="s">
        <v>133</v>
      </c>
      <c r="J1038" s="139" t="s">
        <v>133</v>
      </c>
      <c r="K1038" s="136" t="s">
        <v>133</v>
      </c>
      <c r="L1038" s="153"/>
      <c r="M1038" s="136" t="str">
        <f t="shared" si="1"/>
        <v/>
      </c>
      <c r="O1038" s="141" t="s">
        <v>133</v>
      </c>
      <c r="P1038" s="136" t="str">
        <f>IFERROR(__xludf.DUMMYFUNCTION("""COMPUTED_VALUE"""),"")</f>
        <v/>
      </c>
      <c r="Q1038" s="136" t="str">
        <f>IFERROR(__xludf.DUMMYFUNCTION("""COMPUTED_VALUE"""),"")</f>
        <v/>
      </c>
      <c r="R1038" s="106" t="str">
        <f>IFERROR(__xludf.DUMMYFUNCTION("""COMPUTED_VALUE"""),"")</f>
        <v/>
      </c>
      <c r="S1038" s="106" t="str">
        <f>IFERROR(__xludf.DUMMYFUNCTION("""COMPUTED_VALUE"""),"")</f>
        <v/>
      </c>
      <c r="T1038" s="139" t="str">
        <f>IFERROR(__xludf.DUMMYFUNCTION("""COMPUTED_VALUE"""),"")</f>
        <v/>
      </c>
      <c r="U1038" s="139" t="str">
        <f>IFERROR(__xludf.DUMMYFUNCTION("""COMPUTED_VALUE"""),"")</f>
        <v/>
      </c>
      <c r="V1038" s="136" t="str">
        <f>IFERROR(__xludf.DUMMYFUNCTION("""COMPUTED_VALUE"""),"")</f>
        <v/>
      </c>
      <c r="W1038" s="106" t="str">
        <f>IFERROR(__xludf.DUMMYFUNCTION("""COMPUTED_VALUE"""),"")</f>
        <v/>
      </c>
      <c r="X1038" s="143" t="str">
        <f t="shared" si="2"/>
        <v/>
      </c>
      <c r="Y1038" s="139" t="str">
        <f>IFERROR(__xludf.DUMMYFUNCTION("""COMPUTED_VALUE"""),"")</f>
        <v/>
      </c>
      <c r="Z1038" s="141" t="str">
        <f>IFERROR(__xludf.DUMMYFUNCTION("""COMPUTED_VALUE"""),"")</f>
        <v/>
      </c>
    </row>
    <row r="1039">
      <c r="D1039" s="136" t="str">
        <f t="shared" si="3"/>
        <v/>
      </c>
      <c r="E1039" s="152"/>
      <c r="F1039" s="106" t="s">
        <v>133</v>
      </c>
      <c r="G1039" s="152"/>
      <c r="H1039" s="106" t="s">
        <v>133</v>
      </c>
      <c r="J1039" s="139" t="s">
        <v>133</v>
      </c>
      <c r="K1039" s="136" t="s">
        <v>133</v>
      </c>
      <c r="L1039" s="153"/>
      <c r="M1039" s="136" t="str">
        <f t="shared" si="1"/>
        <v/>
      </c>
      <c r="O1039" s="141" t="s">
        <v>133</v>
      </c>
      <c r="P1039" s="136" t="str">
        <f>IFERROR(__xludf.DUMMYFUNCTION("""COMPUTED_VALUE"""),"")</f>
        <v/>
      </c>
      <c r="Q1039" s="136" t="str">
        <f>IFERROR(__xludf.DUMMYFUNCTION("""COMPUTED_VALUE"""),"")</f>
        <v/>
      </c>
      <c r="R1039" s="106" t="str">
        <f>IFERROR(__xludf.DUMMYFUNCTION("""COMPUTED_VALUE"""),"")</f>
        <v/>
      </c>
      <c r="S1039" s="106" t="str">
        <f>IFERROR(__xludf.DUMMYFUNCTION("""COMPUTED_VALUE"""),"")</f>
        <v/>
      </c>
      <c r="T1039" s="139" t="str">
        <f>IFERROR(__xludf.DUMMYFUNCTION("""COMPUTED_VALUE"""),"")</f>
        <v/>
      </c>
      <c r="U1039" s="139" t="str">
        <f>IFERROR(__xludf.DUMMYFUNCTION("""COMPUTED_VALUE"""),"")</f>
        <v/>
      </c>
      <c r="V1039" s="136" t="str">
        <f>IFERROR(__xludf.DUMMYFUNCTION("""COMPUTED_VALUE"""),"")</f>
        <v/>
      </c>
      <c r="W1039" s="106" t="str">
        <f>IFERROR(__xludf.DUMMYFUNCTION("""COMPUTED_VALUE"""),"")</f>
        <v/>
      </c>
      <c r="X1039" s="143" t="str">
        <f t="shared" si="2"/>
        <v/>
      </c>
      <c r="Y1039" s="139" t="str">
        <f>IFERROR(__xludf.DUMMYFUNCTION("""COMPUTED_VALUE"""),"")</f>
        <v/>
      </c>
      <c r="Z1039" s="141" t="str">
        <f>IFERROR(__xludf.DUMMYFUNCTION("""COMPUTED_VALUE"""),"")</f>
        <v/>
      </c>
    </row>
    <row r="1040">
      <c r="D1040" s="136" t="str">
        <f t="shared" si="3"/>
        <v/>
      </c>
      <c r="E1040" s="152"/>
      <c r="F1040" s="106" t="s">
        <v>133</v>
      </c>
      <c r="G1040" s="152"/>
      <c r="H1040" s="106" t="s">
        <v>133</v>
      </c>
      <c r="J1040" s="139" t="s">
        <v>133</v>
      </c>
      <c r="K1040" s="136" t="s">
        <v>133</v>
      </c>
      <c r="L1040" s="153"/>
      <c r="M1040" s="136" t="str">
        <f t="shared" si="1"/>
        <v/>
      </c>
      <c r="O1040" s="141" t="s">
        <v>133</v>
      </c>
      <c r="P1040" s="136" t="str">
        <f>IFERROR(__xludf.DUMMYFUNCTION("""COMPUTED_VALUE"""),"")</f>
        <v/>
      </c>
      <c r="Q1040" s="136" t="str">
        <f>IFERROR(__xludf.DUMMYFUNCTION("""COMPUTED_VALUE"""),"")</f>
        <v/>
      </c>
      <c r="R1040" s="106" t="str">
        <f>IFERROR(__xludf.DUMMYFUNCTION("""COMPUTED_VALUE"""),"")</f>
        <v/>
      </c>
      <c r="S1040" s="106" t="str">
        <f>IFERROR(__xludf.DUMMYFUNCTION("""COMPUTED_VALUE"""),"")</f>
        <v/>
      </c>
      <c r="T1040" s="139" t="str">
        <f>IFERROR(__xludf.DUMMYFUNCTION("""COMPUTED_VALUE"""),"")</f>
        <v/>
      </c>
      <c r="U1040" s="139" t="str">
        <f>IFERROR(__xludf.DUMMYFUNCTION("""COMPUTED_VALUE"""),"")</f>
        <v/>
      </c>
      <c r="V1040" s="136" t="str">
        <f>IFERROR(__xludf.DUMMYFUNCTION("""COMPUTED_VALUE"""),"")</f>
        <v/>
      </c>
      <c r="W1040" s="106" t="str">
        <f>IFERROR(__xludf.DUMMYFUNCTION("""COMPUTED_VALUE"""),"")</f>
        <v/>
      </c>
      <c r="X1040" s="143" t="str">
        <f t="shared" si="2"/>
        <v/>
      </c>
      <c r="Y1040" s="139" t="str">
        <f>IFERROR(__xludf.DUMMYFUNCTION("""COMPUTED_VALUE"""),"")</f>
        <v/>
      </c>
      <c r="Z1040" s="141" t="str">
        <f>IFERROR(__xludf.DUMMYFUNCTION("""COMPUTED_VALUE"""),"")</f>
        <v/>
      </c>
    </row>
    <row r="1041">
      <c r="D1041" s="136" t="str">
        <f t="shared" si="3"/>
        <v/>
      </c>
      <c r="E1041" s="152"/>
      <c r="F1041" s="106" t="s">
        <v>133</v>
      </c>
      <c r="G1041" s="152"/>
      <c r="H1041" s="106" t="s">
        <v>133</v>
      </c>
      <c r="J1041" s="139" t="s">
        <v>133</v>
      </c>
      <c r="K1041" s="136" t="s">
        <v>133</v>
      </c>
      <c r="L1041" s="153"/>
      <c r="M1041" s="136" t="str">
        <f t="shared" si="1"/>
        <v/>
      </c>
      <c r="O1041" s="141" t="s">
        <v>133</v>
      </c>
      <c r="P1041" s="136" t="str">
        <f>IFERROR(__xludf.DUMMYFUNCTION("""COMPUTED_VALUE"""),"")</f>
        <v/>
      </c>
      <c r="Q1041" s="136" t="str">
        <f>IFERROR(__xludf.DUMMYFUNCTION("""COMPUTED_VALUE"""),"")</f>
        <v/>
      </c>
      <c r="R1041" s="106" t="str">
        <f>IFERROR(__xludf.DUMMYFUNCTION("""COMPUTED_VALUE"""),"")</f>
        <v/>
      </c>
      <c r="S1041" s="106" t="str">
        <f>IFERROR(__xludf.DUMMYFUNCTION("""COMPUTED_VALUE"""),"")</f>
        <v/>
      </c>
      <c r="T1041" s="139" t="str">
        <f>IFERROR(__xludf.DUMMYFUNCTION("""COMPUTED_VALUE"""),"")</f>
        <v/>
      </c>
      <c r="U1041" s="139" t="str">
        <f>IFERROR(__xludf.DUMMYFUNCTION("""COMPUTED_VALUE"""),"")</f>
        <v/>
      </c>
      <c r="V1041" s="136" t="str">
        <f>IFERROR(__xludf.DUMMYFUNCTION("""COMPUTED_VALUE"""),"")</f>
        <v/>
      </c>
      <c r="W1041" s="106" t="str">
        <f>IFERROR(__xludf.DUMMYFUNCTION("""COMPUTED_VALUE"""),"")</f>
        <v/>
      </c>
      <c r="X1041" s="143" t="str">
        <f t="shared" si="2"/>
        <v/>
      </c>
      <c r="Y1041" s="139" t="str">
        <f>IFERROR(__xludf.DUMMYFUNCTION("""COMPUTED_VALUE"""),"")</f>
        <v/>
      </c>
      <c r="Z1041" s="141" t="str">
        <f>IFERROR(__xludf.DUMMYFUNCTION("""COMPUTED_VALUE"""),"")</f>
        <v/>
      </c>
    </row>
    <row r="1042">
      <c r="D1042" s="136" t="str">
        <f t="shared" si="3"/>
        <v/>
      </c>
      <c r="E1042" s="152"/>
      <c r="F1042" s="106" t="s">
        <v>133</v>
      </c>
      <c r="G1042" s="152"/>
      <c r="H1042" s="106" t="s">
        <v>133</v>
      </c>
      <c r="J1042" s="139" t="s">
        <v>133</v>
      </c>
      <c r="K1042" s="136" t="s">
        <v>133</v>
      </c>
      <c r="L1042" s="153"/>
      <c r="M1042" s="136" t="str">
        <f t="shared" si="1"/>
        <v/>
      </c>
      <c r="O1042" s="141" t="s">
        <v>133</v>
      </c>
      <c r="P1042" s="136" t="str">
        <f>IFERROR(__xludf.DUMMYFUNCTION("""COMPUTED_VALUE"""),"")</f>
        <v/>
      </c>
      <c r="Q1042" s="136" t="str">
        <f>IFERROR(__xludf.DUMMYFUNCTION("""COMPUTED_VALUE"""),"")</f>
        <v/>
      </c>
      <c r="R1042" s="106" t="str">
        <f>IFERROR(__xludf.DUMMYFUNCTION("""COMPUTED_VALUE"""),"")</f>
        <v/>
      </c>
      <c r="S1042" s="106" t="str">
        <f>IFERROR(__xludf.DUMMYFUNCTION("""COMPUTED_VALUE"""),"")</f>
        <v/>
      </c>
      <c r="T1042" s="139" t="str">
        <f>IFERROR(__xludf.DUMMYFUNCTION("""COMPUTED_VALUE"""),"")</f>
        <v/>
      </c>
      <c r="U1042" s="139" t="str">
        <f>IFERROR(__xludf.DUMMYFUNCTION("""COMPUTED_VALUE"""),"")</f>
        <v/>
      </c>
      <c r="V1042" s="136" t="str">
        <f>IFERROR(__xludf.DUMMYFUNCTION("""COMPUTED_VALUE"""),"")</f>
        <v/>
      </c>
      <c r="W1042" s="106" t="str">
        <f>IFERROR(__xludf.DUMMYFUNCTION("""COMPUTED_VALUE"""),"")</f>
        <v/>
      </c>
      <c r="X1042" s="143" t="str">
        <f t="shared" si="2"/>
        <v/>
      </c>
      <c r="Y1042" s="139" t="str">
        <f>IFERROR(__xludf.DUMMYFUNCTION("""COMPUTED_VALUE"""),"")</f>
        <v/>
      </c>
      <c r="Z1042" s="141" t="str">
        <f>IFERROR(__xludf.DUMMYFUNCTION("""COMPUTED_VALUE"""),"")</f>
        <v/>
      </c>
    </row>
    <row r="1043">
      <c r="D1043" s="136" t="str">
        <f t="shared" si="3"/>
        <v/>
      </c>
      <c r="E1043" s="152"/>
      <c r="F1043" s="106" t="s">
        <v>133</v>
      </c>
      <c r="G1043" s="152"/>
      <c r="H1043" s="106" t="s">
        <v>133</v>
      </c>
      <c r="J1043" s="139" t="s">
        <v>133</v>
      </c>
      <c r="K1043" s="136" t="s">
        <v>133</v>
      </c>
      <c r="L1043" s="153"/>
      <c r="M1043" s="136" t="str">
        <f t="shared" si="1"/>
        <v/>
      </c>
      <c r="O1043" s="141" t="s">
        <v>133</v>
      </c>
      <c r="P1043" s="136" t="str">
        <f>IFERROR(__xludf.DUMMYFUNCTION("""COMPUTED_VALUE"""),"")</f>
        <v/>
      </c>
      <c r="Q1043" s="136" t="str">
        <f>IFERROR(__xludf.DUMMYFUNCTION("""COMPUTED_VALUE"""),"")</f>
        <v/>
      </c>
      <c r="R1043" s="106" t="str">
        <f>IFERROR(__xludf.DUMMYFUNCTION("""COMPUTED_VALUE"""),"")</f>
        <v/>
      </c>
      <c r="S1043" s="106" t="str">
        <f>IFERROR(__xludf.DUMMYFUNCTION("""COMPUTED_VALUE"""),"")</f>
        <v/>
      </c>
      <c r="T1043" s="139" t="str">
        <f>IFERROR(__xludf.DUMMYFUNCTION("""COMPUTED_VALUE"""),"")</f>
        <v/>
      </c>
      <c r="U1043" s="139" t="str">
        <f>IFERROR(__xludf.DUMMYFUNCTION("""COMPUTED_VALUE"""),"")</f>
        <v/>
      </c>
      <c r="V1043" s="136" t="str">
        <f>IFERROR(__xludf.DUMMYFUNCTION("""COMPUTED_VALUE"""),"")</f>
        <v/>
      </c>
      <c r="W1043" s="106" t="str">
        <f>IFERROR(__xludf.DUMMYFUNCTION("""COMPUTED_VALUE"""),"")</f>
        <v/>
      </c>
      <c r="X1043" s="143" t="str">
        <f t="shared" si="2"/>
        <v/>
      </c>
      <c r="Y1043" s="139" t="str">
        <f>IFERROR(__xludf.DUMMYFUNCTION("""COMPUTED_VALUE"""),"")</f>
        <v/>
      </c>
      <c r="Z1043" s="141" t="str">
        <f>IFERROR(__xludf.DUMMYFUNCTION("""COMPUTED_VALUE"""),"")</f>
        <v/>
      </c>
    </row>
    <row r="1044">
      <c r="D1044" s="136" t="str">
        <f t="shared" si="3"/>
        <v/>
      </c>
      <c r="E1044" s="152"/>
      <c r="F1044" s="106" t="s">
        <v>133</v>
      </c>
      <c r="G1044" s="152"/>
      <c r="H1044" s="106" t="s">
        <v>133</v>
      </c>
      <c r="J1044" s="139" t="s">
        <v>133</v>
      </c>
      <c r="K1044" s="136" t="s">
        <v>133</v>
      </c>
      <c r="L1044" s="153"/>
      <c r="M1044" s="136" t="str">
        <f t="shared" si="1"/>
        <v/>
      </c>
      <c r="O1044" s="141" t="s">
        <v>133</v>
      </c>
      <c r="P1044" s="136" t="str">
        <f>IFERROR(__xludf.DUMMYFUNCTION("""COMPUTED_VALUE"""),"")</f>
        <v/>
      </c>
      <c r="Q1044" s="136" t="str">
        <f>IFERROR(__xludf.DUMMYFUNCTION("""COMPUTED_VALUE"""),"")</f>
        <v/>
      </c>
      <c r="R1044" s="106" t="str">
        <f>IFERROR(__xludf.DUMMYFUNCTION("""COMPUTED_VALUE"""),"")</f>
        <v/>
      </c>
      <c r="S1044" s="106" t="str">
        <f>IFERROR(__xludf.DUMMYFUNCTION("""COMPUTED_VALUE"""),"")</f>
        <v/>
      </c>
      <c r="T1044" s="139" t="str">
        <f>IFERROR(__xludf.DUMMYFUNCTION("""COMPUTED_VALUE"""),"")</f>
        <v/>
      </c>
      <c r="U1044" s="139" t="str">
        <f>IFERROR(__xludf.DUMMYFUNCTION("""COMPUTED_VALUE"""),"")</f>
        <v/>
      </c>
      <c r="V1044" s="136" t="str">
        <f>IFERROR(__xludf.DUMMYFUNCTION("""COMPUTED_VALUE"""),"")</f>
        <v/>
      </c>
      <c r="W1044" s="106" t="str">
        <f>IFERROR(__xludf.DUMMYFUNCTION("""COMPUTED_VALUE"""),"")</f>
        <v/>
      </c>
      <c r="X1044" s="143" t="str">
        <f t="shared" si="2"/>
        <v/>
      </c>
      <c r="Y1044" s="139" t="str">
        <f>IFERROR(__xludf.DUMMYFUNCTION("""COMPUTED_VALUE"""),"")</f>
        <v/>
      </c>
      <c r="Z1044" s="141" t="str">
        <f>IFERROR(__xludf.DUMMYFUNCTION("""COMPUTED_VALUE"""),"")</f>
        <v/>
      </c>
    </row>
    <row r="1045">
      <c r="D1045" s="136" t="str">
        <f t="shared" si="3"/>
        <v/>
      </c>
      <c r="E1045" s="152"/>
      <c r="F1045" s="106" t="s">
        <v>133</v>
      </c>
      <c r="G1045" s="152"/>
      <c r="H1045" s="106" t="s">
        <v>133</v>
      </c>
      <c r="J1045" s="139" t="s">
        <v>133</v>
      </c>
      <c r="K1045" s="136" t="s">
        <v>133</v>
      </c>
      <c r="L1045" s="153"/>
      <c r="M1045" s="136" t="str">
        <f t="shared" si="1"/>
        <v/>
      </c>
      <c r="O1045" s="141" t="s">
        <v>133</v>
      </c>
      <c r="P1045" s="136" t="str">
        <f>IFERROR(__xludf.DUMMYFUNCTION("""COMPUTED_VALUE"""),"")</f>
        <v/>
      </c>
      <c r="Q1045" s="136" t="str">
        <f>IFERROR(__xludf.DUMMYFUNCTION("""COMPUTED_VALUE"""),"")</f>
        <v/>
      </c>
      <c r="R1045" s="106" t="str">
        <f>IFERROR(__xludf.DUMMYFUNCTION("""COMPUTED_VALUE"""),"")</f>
        <v/>
      </c>
      <c r="S1045" s="106" t="str">
        <f>IFERROR(__xludf.DUMMYFUNCTION("""COMPUTED_VALUE"""),"")</f>
        <v/>
      </c>
      <c r="T1045" s="139" t="str">
        <f>IFERROR(__xludf.DUMMYFUNCTION("""COMPUTED_VALUE"""),"")</f>
        <v/>
      </c>
      <c r="U1045" s="139" t="str">
        <f>IFERROR(__xludf.DUMMYFUNCTION("""COMPUTED_VALUE"""),"")</f>
        <v/>
      </c>
      <c r="V1045" s="136" t="str">
        <f>IFERROR(__xludf.DUMMYFUNCTION("""COMPUTED_VALUE"""),"")</f>
        <v/>
      </c>
      <c r="W1045" s="106" t="str">
        <f>IFERROR(__xludf.DUMMYFUNCTION("""COMPUTED_VALUE"""),"")</f>
        <v/>
      </c>
      <c r="X1045" s="143" t="str">
        <f t="shared" si="2"/>
        <v/>
      </c>
      <c r="Y1045" s="139" t="str">
        <f>IFERROR(__xludf.DUMMYFUNCTION("""COMPUTED_VALUE"""),"")</f>
        <v/>
      </c>
      <c r="Z1045" s="141" t="str">
        <f>IFERROR(__xludf.DUMMYFUNCTION("""COMPUTED_VALUE"""),"")</f>
        <v/>
      </c>
    </row>
    <row r="1046">
      <c r="D1046" s="136" t="str">
        <f t="shared" si="3"/>
        <v/>
      </c>
      <c r="E1046" s="152"/>
      <c r="F1046" s="106" t="s">
        <v>133</v>
      </c>
      <c r="G1046" s="152"/>
      <c r="H1046" s="106" t="s">
        <v>133</v>
      </c>
      <c r="J1046" s="139" t="s">
        <v>133</v>
      </c>
      <c r="K1046" s="136" t="s">
        <v>133</v>
      </c>
      <c r="L1046" s="153"/>
      <c r="M1046" s="136" t="str">
        <f t="shared" si="1"/>
        <v/>
      </c>
      <c r="O1046" s="141" t="s">
        <v>133</v>
      </c>
      <c r="P1046" s="136" t="str">
        <f>IFERROR(__xludf.DUMMYFUNCTION("""COMPUTED_VALUE"""),"")</f>
        <v/>
      </c>
      <c r="Q1046" s="136" t="str">
        <f>IFERROR(__xludf.DUMMYFUNCTION("""COMPUTED_VALUE"""),"")</f>
        <v/>
      </c>
      <c r="R1046" s="106" t="str">
        <f>IFERROR(__xludf.DUMMYFUNCTION("""COMPUTED_VALUE"""),"")</f>
        <v/>
      </c>
      <c r="S1046" s="106" t="str">
        <f>IFERROR(__xludf.DUMMYFUNCTION("""COMPUTED_VALUE"""),"")</f>
        <v/>
      </c>
      <c r="T1046" s="139" t="str">
        <f>IFERROR(__xludf.DUMMYFUNCTION("""COMPUTED_VALUE"""),"")</f>
        <v/>
      </c>
      <c r="U1046" s="139" t="str">
        <f>IFERROR(__xludf.DUMMYFUNCTION("""COMPUTED_VALUE"""),"")</f>
        <v/>
      </c>
      <c r="V1046" s="136" t="str">
        <f>IFERROR(__xludf.DUMMYFUNCTION("""COMPUTED_VALUE"""),"")</f>
        <v/>
      </c>
      <c r="W1046" s="106" t="str">
        <f>IFERROR(__xludf.DUMMYFUNCTION("""COMPUTED_VALUE"""),"")</f>
        <v/>
      </c>
      <c r="X1046" s="143" t="str">
        <f t="shared" si="2"/>
        <v/>
      </c>
      <c r="Y1046" s="139" t="str">
        <f>IFERROR(__xludf.DUMMYFUNCTION("""COMPUTED_VALUE"""),"")</f>
        <v/>
      </c>
      <c r="Z1046" s="141" t="str">
        <f>IFERROR(__xludf.DUMMYFUNCTION("""COMPUTED_VALUE"""),"")</f>
        <v/>
      </c>
    </row>
    <row r="1047">
      <c r="D1047" s="136" t="str">
        <f t="shared" si="3"/>
        <v/>
      </c>
      <c r="E1047" s="152"/>
      <c r="F1047" s="106" t="s">
        <v>133</v>
      </c>
      <c r="G1047" s="152"/>
      <c r="H1047" s="106" t="s">
        <v>133</v>
      </c>
      <c r="J1047" s="139" t="s">
        <v>133</v>
      </c>
      <c r="K1047" s="136" t="s">
        <v>133</v>
      </c>
      <c r="L1047" s="153"/>
      <c r="M1047" s="136" t="str">
        <f t="shared" si="1"/>
        <v/>
      </c>
      <c r="O1047" s="141" t="s">
        <v>133</v>
      </c>
      <c r="P1047" s="136" t="str">
        <f>IFERROR(__xludf.DUMMYFUNCTION("""COMPUTED_VALUE"""),"")</f>
        <v/>
      </c>
      <c r="Q1047" s="136" t="str">
        <f>IFERROR(__xludf.DUMMYFUNCTION("""COMPUTED_VALUE"""),"")</f>
        <v/>
      </c>
      <c r="R1047" s="106" t="str">
        <f>IFERROR(__xludf.DUMMYFUNCTION("""COMPUTED_VALUE"""),"")</f>
        <v/>
      </c>
      <c r="S1047" s="106" t="str">
        <f>IFERROR(__xludf.DUMMYFUNCTION("""COMPUTED_VALUE"""),"")</f>
        <v/>
      </c>
      <c r="T1047" s="139" t="str">
        <f>IFERROR(__xludf.DUMMYFUNCTION("""COMPUTED_VALUE"""),"")</f>
        <v/>
      </c>
      <c r="U1047" s="139" t="str">
        <f>IFERROR(__xludf.DUMMYFUNCTION("""COMPUTED_VALUE"""),"")</f>
        <v/>
      </c>
      <c r="V1047" s="136" t="str">
        <f>IFERROR(__xludf.DUMMYFUNCTION("""COMPUTED_VALUE"""),"")</f>
        <v/>
      </c>
      <c r="W1047" s="106" t="str">
        <f>IFERROR(__xludf.DUMMYFUNCTION("""COMPUTED_VALUE"""),"")</f>
        <v/>
      </c>
      <c r="X1047" s="143" t="str">
        <f t="shared" si="2"/>
        <v/>
      </c>
      <c r="Y1047" s="139" t="str">
        <f>IFERROR(__xludf.DUMMYFUNCTION("""COMPUTED_VALUE"""),"")</f>
        <v/>
      </c>
      <c r="Z1047" s="141" t="str">
        <f>IFERROR(__xludf.DUMMYFUNCTION("""COMPUTED_VALUE"""),"")</f>
        <v/>
      </c>
    </row>
    <row r="1048">
      <c r="D1048" s="136" t="str">
        <f t="shared" si="3"/>
        <v/>
      </c>
      <c r="E1048" s="152"/>
      <c r="F1048" s="106" t="s">
        <v>133</v>
      </c>
      <c r="G1048" s="152"/>
      <c r="H1048" s="106" t="s">
        <v>133</v>
      </c>
      <c r="J1048" s="139" t="s">
        <v>133</v>
      </c>
      <c r="K1048" s="136" t="s">
        <v>133</v>
      </c>
      <c r="L1048" s="153"/>
      <c r="M1048" s="136" t="str">
        <f t="shared" si="1"/>
        <v/>
      </c>
      <c r="O1048" s="141" t="s">
        <v>133</v>
      </c>
      <c r="P1048" s="136" t="str">
        <f>IFERROR(__xludf.DUMMYFUNCTION("""COMPUTED_VALUE"""),"")</f>
        <v/>
      </c>
      <c r="Q1048" s="136" t="str">
        <f>IFERROR(__xludf.DUMMYFUNCTION("""COMPUTED_VALUE"""),"")</f>
        <v/>
      </c>
      <c r="R1048" s="106" t="str">
        <f>IFERROR(__xludf.DUMMYFUNCTION("""COMPUTED_VALUE"""),"")</f>
        <v/>
      </c>
      <c r="S1048" s="106" t="str">
        <f>IFERROR(__xludf.DUMMYFUNCTION("""COMPUTED_VALUE"""),"")</f>
        <v/>
      </c>
      <c r="T1048" s="139" t="str">
        <f>IFERROR(__xludf.DUMMYFUNCTION("""COMPUTED_VALUE"""),"")</f>
        <v/>
      </c>
      <c r="U1048" s="139" t="str">
        <f>IFERROR(__xludf.DUMMYFUNCTION("""COMPUTED_VALUE"""),"")</f>
        <v/>
      </c>
      <c r="V1048" s="136" t="str">
        <f>IFERROR(__xludf.DUMMYFUNCTION("""COMPUTED_VALUE"""),"")</f>
        <v/>
      </c>
      <c r="W1048" s="106" t="str">
        <f>IFERROR(__xludf.DUMMYFUNCTION("""COMPUTED_VALUE"""),"")</f>
        <v/>
      </c>
      <c r="X1048" s="143" t="str">
        <f t="shared" si="2"/>
        <v/>
      </c>
      <c r="Y1048" s="139" t="str">
        <f>IFERROR(__xludf.DUMMYFUNCTION("""COMPUTED_VALUE"""),"")</f>
        <v/>
      </c>
      <c r="Z1048" s="141" t="str">
        <f>IFERROR(__xludf.DUMMYFUNCTION("""COMPUTED_VALUE"""),"")</f>
        <v/>
      </c>
    </row>
    <row r="1049">
      <c r="D1049" s="136" t="str">
        <f t="shared" si="3"/>
        <v/>
      </c>
      <c r="E1049" s="152"/>
      <c r="F1049" s="106" t="s">
        <v>133</v>
      </c>
      <c r="G1049" s="152"/>
      <c r="H1049" s="106" t="s">
        <v>133</v>
      </c>
      <c r="J1049" s="139" t="s">
        <v>133</v>
      </c>
      <c r="K1049" s="136" t="s">
        <v>133</v>
      </c>
      <c r="L1049" s="153"/>
      <c r="M1049" s="136" t="str">
        <f t="shared" si="1"/>
        <v/>
      </c>
      <c r="O1049" s="141" t="s">
        <v>133</v>
      </c>
      <c r="P1049" s="136" t="str">
        <f>IFERROR(__xludf.DUMMYFUNCTION("""COMPUTED_VALUE"""),"")</f>
        <v/>
      </c>
      <c r="Q1049" s="136" t="str">
        <f>IFERROR(__xludf.DUMMYFUNCTION("""COMPUTED_VALUE"""),"")</f>
        <v/>
      </c>
      <c r="R1049" s="106" t="str">
        <f>IFERROR(__xludf.DUMMYFUNCTION("""COMPUTED_VALUE"""),"")</f>
        <v/>
      </c>
      <c r="S1049" s="106" t="str">
        <f>IFERROR(__xludf.DUMMYFUNCTION("""COMPUTED_VALUE"""),"")</f>
        <v/>
      </c>
      <c r="T1049" s="139" t="str">
        <f>IFERROR(__xludf.DUMMYFUNCTION("""COMPUTED_VALUE"""),"")</f>
        <v/>
      </c>
      <c r="U1049" s="139" t="str">
        <f>IFERROR(__xludf.DUMMYFUNCTION("""COMPUTED_VALUE"""),"")</f>
        <v/>
      </c>
      <c r="V1049" s="136" t="str">
        <f>IFERROR(__xludf.DUMMYFUNCTION("""COMPUTED_VALUE"""),"")</f>
        <v/>
      </c>
      <c r="W1049" s="106" t="str">
        <f>IFERROR(__xludf.DUMMYFUNCTION("""COMPUTED_VALUE"""),"")</f>
        <v/>
      </c>
      <c r="X1049" s="143" t="str">
        <f t="shared" si="2"/>
        <v/>
      </c>
      <c r="Y1049" s="139" t="str">
        <f>IFERROR(__xludf.DUMMYFUNCTION("""COMPUTED_VALUE"""),"")</f>
        <v/>
      </c>
      <c r="Z1049" s="141" t="str">
        <f>IFERROR(__xludf.DUMMYFUNCTION("""COMPUTED_VALUE"""),"")</f>
        <v/>
      </c>
    </row>
    <row r="1050">
      <c r="D1050" s="136" t="str">
        <f t="shared" si="3"/>
        <v/>
      </c>
      <c r="E1050" s="152"/>
      <c r="F1050" s="106" t="s">
        <v>133</v>
      </c>
      <c r="G1050" s="152"/>
      <c r="H1050" s="106" t="s">
        <v>133</v>
      </c>
      <c r="J1050" s="139" t="s">
        <v>133</v>
      </c>
      <c r="K1050" s="136" t="s">
        <v>133</v>
      </c>
      <c r="L1050" s="153"/>
      <c r="M1050" s="136" t="str">
        <f t="shared" si="1"/>
        <v/>
      </c>
      <c r="O1050" s="141" t="s">
        <v>133</v>
      </c>
      <c r="P1050" s="136" t="str">
        <f>IFERROR(__xludf.DUMMYFUNCTION("""COMPUTED_VALUE"""),"")</f>
        <v/>
      </c>
      <c r="Q1050" s="136" t="str">
        <f>IFERROR(__xludf.DUMMYFUNCTION("""COMPUTED_VALUE"""),"")</f>
        <v/>
      </c>
      <c r="R1050" s="106" t="str">
        <f>IFERROR(__xludf.DUMMYFUNCTION("""COMPUTED_VALUE"""),"")</f>
        <v/>
      </c>
      <c r="S1050" s="106" t="str">
        <f>IFERROR(__xludf.DUMMYFUNCTION("""COMPUTED_VALUE"""),"")</f>
        <v/>
      </c>
      <c r="T1050" s="139" t="str">
        <f>IFERROR(__xludf.DUMMYFUNCTION("""COMPUTED_VALUE"""),"")</f>
        <v/>
      </c>
      <c r="U1050" s="139" t="str">
        <f>IFERROR(__xludf.DUMMYFUNCTION("""COMPUTED_VALUE"""),"")</f>
        <v/>
      </c>
      <c r="V1050" s="136" t="str">
        <f>IFERROR(__xludf.DUMMYFUNCTION("""COMPUTED_VALUE"""),"")</f>
        <v/>
      </c>
      <c r="W1050" s="106" t="str">
        <f>IFERROR(__xludf.DUMMYFUNCTION("""COMPUTED_VALUE"""),"")</f>
        <v/>
      </c>
      <c r="X1050" s="143" t="str">
        <f t="shared" si="2"/>
        <v/>
      </c>
      <c r="Y1050" s="139" t="str">
        <f>IFERROR(__xludf.DUMMYFUNCTION("""COMPUTED_VALUE"""),"")</f>
        <v/>
      </c>
      <c r="Z1050" s="141" t="str">
        <f>IFERROR(__xludf.DUMMYFUNCTION("""COMPUTED_VALUE"""),"")</f>
        <v/>
      </c>
    </row>
    <row r="1051">
      <c r="D1051" s="136" t="str">
        <f t="shared" si="3"/>
        <v/>
      </c>
      <c r="E1051" s="152"/>
      <c r="F1051" s="106" t="s">
        <v>133</v>
      </c>
      <c r="G1051" s="152"/>
      <c r="H1051" s="106" t="s">
        <v>133</v>
      </c>
      <c r="J1051" s="139" t="s">
        <v>133</v>
      </c>
      <c r="K1051" s="136" t="s">
        <v>133</v>
      </c>
      <c r="L1051" s="153"/>
      <c r="M1051" s="136" t="str">
        <f t="shared" si="1"/>
        <v/>
      </c>
      <c r="O1051" s="141" t="s">
        <v>133</v>
      </c>
      <c r="P1051" s="136" t="str">
        <f>IFERROR(__xludf.DUMMYFUNCTION("""COMPUTED_VALUE"""),"")</f>
        <v/>
      </c>
      <c r="Q1051" s="136" t="str">
        <f>IFERROR(__xludf.DUMMYFUNCTION("""COMPUTED_VALUE"""),"")</f>
        <v/>
      </c>
      <c r="R1051" s="106" t="str">
        <f>IFERROR(__xludf.DUMMYFUNCTION("""COMPUTED_VALUE"""),"")</f>
        <v/>
      </c>
      <c r="S1051" s="106" t="str">
        <f>IFERROR(__xludf.DUMMYFUNCTION("""COMPUTED_VALUE"""),"")</f>
        <v/>
      </c>
      <c r="T1051" s="139" t="str">
        <f>IFERROR(__xludf.DUMMYFUNCTION("""COMPUTED_VALUE"""),"")</f>
        <v/>
      </c>
      <c r="U1051" s="139" t="str">
        <f>IFERROR(__xludf.DUMMYFUNCTION("""COMPUTED_VALUE"""),"")</f>
        <v/>
      </c>
      <c r="V1051" s="136" t="str">
        <f>IFERROR(__xludf.DUMMYFUNCTION("""COMPUTED_VALUE"""),"")</f>
        <v/>
      </c>
      <c r="W1051" s="106" t="str">
        <f>IFERROR(__xludf.DUMMYFUNCTION("""COMPUTED_VALUE"""),"")</f>
        <v/>
      </c>
      <c r="X1051" s="143" t="str">
        <f t="shared" si="2"/>
        <v/>
      </c>
      <c r="Y1051" s="139" t="str">
        <f>IFERROR(__xludf.DUMMYFUNCTION("""COMPUTED_VALUE"""),"")</f>
        <v/>
      </c>
      <c r="Z1051" s="141" t="str">
        <f>IFERROR(__xludf.DUMMYFUNCTION("""COMPUTED_VALUE"""),"")</f>
        <v/>
      </c>
    </row>
    <row r="1052">
      <c r="D1052" s="136" t="str">
        <f t="shared" si="3"/>
        <v/>
      </c>
      <c r="E1052" s="152"/>
      <c r="F1052" s="106" t="s">
        <v>133</v>
      </c>
      <c r="G1052" s="152"/>
      <c r="H1052" s="106" t="s">
        <v>133</v>
      </c>
      <c r="J1052" s="139" t="s">
        <v>133</v>
      </c>
      <c r="K1052" s="136" t="s">
        <v>133</v>
      </c>
      <c r="L1052" s="153"/>
      <c r="M1052" s="136" t="str">
        <f t="shared" si="1"/>
        <v/>
      </c>
      <c r="O1052" s="141" t="s">
        <v>133</v>
      </c>
      <c r="P1052" s="136" t="str">
        <f>IFERROR(__xludf.DUMMYFUNCTION("""COMPUTED_VALUE"""),"")</f>
        <v/>
      </c>
      <c r="Q1052" s="136" t="str">
        <f>IFERROR(__xludf.DUMMYFUNCTION("""COMPUTED_VALUE"""),"")</f>
        <v/>
      </c>
      <c r="R1052" s="106" t="str">
        <f>IFERROR(__xludf.DUMMYFUNCTION("""COMPUTED_VALUE"""),"")</f>
        <v/>
      </c>
      <c r="S1052" s="106" t="str">
        <f>IFERROR(__xludf.DUMMYFUNCTION("""COMPUTED_VALUE"""),"")</f>
        <v/>
      </c>
      <c r="T1052" s="139" t="str">
        <f>IFERROR(__xludf.DUMMYFUNCTION("""COMPUTED_VALUE"""),"")</f>
        <v/>
      </c>
      <c r="U1052" s="139" t="str">
        <f>IFERROR(__xludf.DUMMYFUNCTION("""COMPUTED_VALUE"""),"")</f>
        <v/>
      </c>
      <c r="V1052" s="136" t="str">
        <f>IFERROR(__xludf.DUMMYFUNCTION("""COMPUTED_VALUE"""),"")</f>
        <v/>
      </c>
      <c r="W1052" s="106" t="str">
        <f>IFERROR(__xludf.DUMMYFUNCTION("""COMPUTED_VALUE"""),"")</f>
        <v/>
      </c>
      <c r="X1052" s="143" t="str">
        <f t="shared" si="2"/>
        <v/>
      </c>
      <c r="Y1052" s="139" t="str">
        <f>IFERROR(__xludf.DUMMYFUNCTION("""COMPUTED_VALUE"""),"")</f>
        <v/>
      </c>
      <c r="Z1052" s="141" t="str">
        <f>IFERROR(__xludf.DUMMYFUNCTION("""COMPUTED_VALUE"""),"")</f>
        <v/>
      </c>
    </row>
    <row r="1053">
      <c r="D1053" s="136" t="str">
        <f t="shared" si="3"/>
        <v/>
      </c>
      <c r="E1053" s="152"/>
      <c r="F1053" s="106" t="s">
        <v>133</v>
      </c>
      <c r="G1053" s="152"/>
      <c r="H1053" s="106" t="s">
        <v>133</v>
      </c>
      <c r="J1053" s="139" t="s">
        <v>133</v>
      </c>
      <c r="K1053" s="136" t="s">
        <v>133</v>
      </c>
      <c r="L1053" s="153"/>
      <c r="M1053" s="136" t="str">
        <f t="shared" si="1"/>
        <v/>
      </c>
      <c r="O1053" s="141" t="s">
        <v>133</v>
      </c>
      <c r="P1053" s="136" t="str">
        <f>IFERROR(__xludf.DUMMYFUNCTION("""COMPUTED_VALUE"""),"")</f>
        <v/>
      </c>
      <c r="Q1053" s="136" t="str">
        <f>IFERROR(__xludf.DUMMYFUNCTION("""COMPUTED_VALUE"""),"")</f>
        <v/>
      </c>
      <c r="R1053" s="106" t="str">
        <f>IFERROR(__xludf.DUMMYFUNCTION("""COMPUTED_VALUE"""),"")</f>
        <v/>
      </c>
      <c r="S1053" s="106" t="str">
        <f>IFERROR(__xludf.DUMMYFUNCTION("""COMPUTED_VALUE"""),"")</f>
        <v/>
      </c>
      <c r="T1053" s="139" t="str">
        <f>IFERROR(__xludf.DUMMYFUNCTION("""COMPUTED_VALUE"""),"")</f>
        <v/>
      </c>
      <c r="U1053" s="139" t="str">
        <f>IFERROR(__xludf.DUMMYFUNCTION("""COMPUTED_VALUE"""),"")</f>
        <v/>
      </c>
      <c r="V1053" s="136" t="str">
        <f>IFERROR(__xludf.DUMMYFUNCTION("""COMPUTED_VALUE"""),"")</f>
        <v/>
      </c>
      <c r="W1053" s="106" t="str">
        <f>IFERROR(__xludf.DUMMYFUNCTION("""COMPUTED_VALUE"""),"")</f>
        <v/>
      </c>
      <c r="X1053" s="143" t="str">
        <f t="shared" si="2"/>
        <v/>
      </c>
      <c r="Y1053" s="139" t="str">
        <f>IFERROR(__xludf.DUMMYFUNCTION("""COMPUTED_VALUE"""),"")</f>
        <v/>
      </c>
      <c r="Z1053" s="141" t="str">
        <f>IFERROR(__xludf.DUMMYFUNCTION("""COMPUTED_VALUE"""),"")</f>
        <v/>
      </c>
    </row>
    <row r="1054">
      <c r="D1054" s="136" t="str">
        <f t="shared" si="3"/>
        <v/>
      </c>
      <c r="E1054" s="152"/>
      <c r="F1054" s="106" t="s">
        <v>133</v>
      </c>
      <c r="G1054" s="152"/>
      <c r="H1054" s="106" t="s">
        <v>133</v>
      </c>
      <c r="J1054" s="139" t="s">
        <v>133</v>
      </c>
      <c r="K1054" s="136" t="s">
        <v>133</v>
      </c>
      <c r="L1054" s="153"/>
      <c r="M1054" s="136" t="str">
        <f t="shared" si="1"/>
        <v/>
      </c>
      <c r="O1054" s="141" t="s">
        <v>133</v>
      </c>
      <c r="P1054" s="136" t="str">
        <f>IFERROR(__xludf.DUMMYFUNCTION("""COMPUTED_VALUE"""),"")</f>
        <v/>
      </c>
      <c r="Q1054" s="136" t="str">
        <f>IFERROR(__xludf.DUMMYFUNCTION("""COMPUTED_VALUE"""),"")</f>
        <v/>
      </c>
      <c r="R1054" s="106" t="str">
        <f>IFERROR(__xludf.DUMMYFUNCTION("""COMPUTED_VALUE"""),"")</f>
        <v/>
      </c>
      <c r="S1054" s="106" t="str">
        <f>IFERROR(__xludf.DUMMYFUNCTION("""COMPUTED_VALUE"""),"")</f>
        <v/>
      </c>
      <c r="T1054" s="139" t="str">
        <f>IFERROR(__xludf.DUMMYFUNCTION("""COMPUTED_VALUE"""),"")</f>
        <v/>
      </c>
      <c r="U1054" s="139" t="str">
        <f>IFERROR(__xludf.DUMMYFUNCTION("""COMPUTED_VALUE"""),"")</f>
        <v/>
      </c>
      <c r="V1054" s="136" t="str">
        <f>IFERROR(__xludf.DUMMYFUNCTION("""COMPUTED_VALUE"""),"")</f>
        <v/>
      </c>
      <c r="W1054" s="106" t="str">
        <f>IFERROR(__xludf.DUMMYFUNCTION("""COMPUTED_VALUE"""),"")</f>
        <v/>
      </c>
      <c r="X1054" s="143" t="str">
        <f t="shared" si="2"/>
        <v/>
      </c>
      <c r="Y1054" s="139" t="str">
        <f>IFERROR(__xludf.DUMMYFUNCTION("""COMPUTED_VALUE"""),"")</f>
        <v/>
      </c>
      <c r="Z1054" s="141" t="str">
        <f>IFERROR(__xludf.DUMMYFUNCTION("""COMPUTED_VALUE"""),"")</f>
        <v/>
      </c>
    </row>
    <row r="1055">
      <c r="D1055" s="136" t="str">
        <f t="shared" si="3"/>
        <v/>
      </c>
      <c r="E1055" s="152"/>
      <c r="F1055" s="106" t="s">
        <v>133</v>
      </c>
      <c r="G1055" s="152"/>
      <c r="H1055" s="106" t="s">
        <v>133</v>
      </c>
      <c r="J1055" s="139" t="s">
        <v>133</v>
      </c>
      <c r="K1055" s="136" t="s">
        <v>133</v>
      </c>
      <c r="L1055" s="153"/>
      <c r="M1055" s="136" t="str">
        <f t="shared" si="1"/>
        <v/>
      </c>
      <c r="O1055" s="141" t="s">
        <v>133</v>
      </c>
      <c r="P1055" s="136" t="str">
        <f>IFERROR(__xludf.DUMMYFUNCTION("""COMPUTED_VALUE"""),"")</f>
        <v/>
      </c>
      <c r="Q1055" s="136" t="str">
        <f>IFERROR(__xludf.DUMMYFUNCTION("""COMPUTED_VALUE"""),"")</f>
        <v/>
      </c>
      <c r="R1055" s="106" t="str">
        <f>IFERROR(__xludf.DUMMYFUNCTION("""COMPUTED_VALUE"""),"")</f>
        <v/>
      </c>
      <c r="S1055" s="106" t="str">
        <f>IFERROR(__xludf.DUMMYFUNCTION("""COMPUTED_VALUE"""),"")</f>
        <v/>
      </c>
      <c r="T1055" s="139" t="str">
        <f>IFERROR(__xludf.DUMMYFUNCTION("""COMPUTED_VALUE"""),"")</f>
        <v/>
      </c>
      <c r="U1055" s="139" t="str">
        <f>IFERROR(__xludf.DUMMYFUNCTION("""COMPUTED_VALUE"""),"")</f>
        <v/>
      </c>
      <c r="V1055" s="136" t="str">
        <f>IFERROR(__xludf.DUMMYFUNCTION("""COMPUTED_VALUE"""),"")</f>
        <v/>
      </c>
      <c r="W1055" s="106" t="str">
        <f>IFERROR(__xludf.DUMMYFUNCTION("""COMPUTED_VALUE"""),"")</f>
        <v/>
      </c>
      <c r="X1055" s="143" t="str">
        <f t="shared" si="2"/>
        <v/>
      </c>
      <c r="Y1055" s="139" t="str">
        <f>IFERROR(__xludf.DUMMYFUNCTION("""COMPUTED_VALUE"""),"")</f>
        <v/>
      </c>
      <c r="Z1055" s="141" t="str">
        <f>IFERROR(__xludf.DUMMYFUNCTION("""COMPUTED_VALUE"""),"")</f>
        <v/>
      </c>
    </row>
    <row r="1056">
      <c r="D1056" s="136" t="str">
        <f t="shared" si="3"/>
        <v/>
      </c>
      <c r="E1056" s="152"/>
      <c r="F1056" s="106" t="s">
        <v>133</v>
      </c>
      <c r="G1056" s="152"/>
      <c r="H1056" s="106" t="s">
        <v>133</v>
      </c>
      <c r="J1056" s="139" t="s">
        <v>133</v>
      </c>
      <c r="K1056" s="136" t="s">
        <v>133</v>
      </c>
      <c r="L1056" s="153"/>
      <c r="M1056" s="136" t="str">
        <f t="shared" si="1"/>
        <v/>
      </c>
      <c r="O1056" s="141" t="s">
        <v>133</v>
      </c>
      <c r="P1056" s="136" t="str">
        <f>IFERROR(__xludf.DUMMYFUNCTION("""COMPUTED_VALUE"""),"")</f>
        <v/>
      </c>
      <c r="Q1056" s="136" t="str">
        <f>IFERROR(__xludf.DUMMYFUNCTION("""COMPUTED_VALUE"""),"")</f>
        <v/>
      </c>
      <c r="R1056" s="106" t="str">
        <f>IFERROR(__xludf.DUMMYFUNCTION("""COMPUTED_VALUE"""),"")</f>
        <v/>
      </c>
      <c r="S1056" s="106" t="str">
        <f>IFERROR(__xludf.DUMMYFUNCTION("""COMPUTED_VALUE"""),"")</f>
        <v/>
      </c>
      <c r="T1056" s="139" t="str">
        <f>IFERROR(__xludf.DUMMYFUNCTION("""COMPUTED_VALUE"""),"")</f>
        <v/>
      </c>
      <c r="U1056" s="139" t="str">
        <f>IFERROR(__xludf.DUMMYFUNCTION("""COMPUTED_VALUE"""),"")</f>
        <v/>
      </c>
      <c r="V1056" s="136" t="str">
        <f>IFERROR(__xludf.DUMMYFUNCTION("""COMPUTED_VALUE"""),"")</f>
        <v/>
      </c>
      <c r="W1056" s="106" t="str">
        <f>IFERROR(__xludf.DUMMYFUNCTION("""COMPUTED_VALUE"""),"")</f>
        <v/>
      </c>
      <c r="X1056" s="143" t="str">
        <f t="shared" si="2"/>
        <v/>
      </c>
      <c r="Y1056" s="139" t="str">
        <f>IFERROR(__xludf.DUMMYFUNCTION("""COMPUTED_VALUE"""),"")</f>
        <v/>
      </c>
      <c r="Z1056" s="141" t="str">
        <f>IFERROR(__xludf.DUMMYFUNCTION("""COMPUTED_VALUE"""),"")</f>
        <v/>
      </c>
    </row>
    <row r="1057">
      <c r="D1057" s="136" t="str">
        <f t="shared" si="3"/>
        <v/>
      </c>
      <c r="E1057" s="152"/>
      <c r="F1057" s="106" t="s">
        <v>133</v>
      </c>
      <c r="G1057" s="152"/>
      <c r="H1057" s="106" t="s">
        <v>133</v>
      </c>
      <c r="J1057" s="139" t="s">
        <v>133</v>
      </c>
      <c r="K1057" s="136" t="s">
        <v>133</v>
      </c>
      <c r="L1057" s="153"/>
      <c r="M1057" s="136" t="str">
        <f t="shared" si="1"/>
        <v/>
      </c>
      <c r="O1057" s="141" t="s">
        <v>133</v>
      </c>
      <c r="P1057" s="136" t="str">
        <f>IFERROR(__xludf.DUMMYFUNCTION("""COMPUTED_VALUE"""),"")</f>
        <v/>
      </c>
      <c r="Q1057" s="136" t="str">
        <f>IFERROR(__xludf.DUMMYFUNCTION("""COMPUTED_VALUE"""),"")</f>
        <v/>
      </c>
      <c r="R1057" s="106" t="str">
        <f>IFERROR(__xludf.DUMMYFUNCTION("""COMPUTED_VALUE"""),"")</f>
        <v/>
      </c>
      <c r="S1057" s="106" t="str">
        <f>IFERROR(__xludf.DUMMYFUNCTION("""COMPUTED_VALUE"""),"")</f>
        <v/>
      </c>
      <c r="T1057" s="139" t="str">
        <f>IFERROR(__xludf.DUMMYFUNCTION("""COMPUTED_VALUE"""),"")</f>
        <v/>
      </c>
      <c r="U1057" s="139" t="str">
        <f>IFERROR(__xludf.DUMMYFUNCTION("""COMPUTED_VALUE"""),"")</f>
        <v/>
      </c>
      <c r="V1057" s="136" t="str">
        <f>IFERROR(__xludf.DUMMYFUNCTION("""COMPUTED_VALUE"""),"")</f>
        <v/>
      </c>
      <c r="W1057" s="106" t="str">
        <f>IFERROR(__xludf.DUMMYFUNCTION("""COMPUTED_VALUE"""),"")</f>
        <v/>
      </c>
      <c r="X1057" s="143" t="str">
        <f t="shared" si="2"/>
        <v/>
      </c>
      <c r="Y1057" s="139" t="str">
        <f>IFERROR(__xludf.DUMMYFUNCTION("""COMPUTED_VALUE"""),"")</f>
        <v/>
      </c>
      <c r="Z1057" s="141" t="str">
        <f>IFERROR(__xludf.DUMMYFUNCTION("""COMPUTED_VALUE"""),"")</f>
        <v/>
      </c>
    </row>
    <row r="1058">
      <c r="D1058" s="136" t="str">
        <f t="shared" si="3"/>
        <v/>
      </c>
      <c r="E1058" s="152"/>
      <c r="F1058" s="106" t="s">
        <v>133</v>
      </c>
      <c r="G1058" s="152"/>
      <c r="H1058" s="106" t="s">
        <v>133</v>
      </c>
      <c r="J1058" s="139" t="s">
        <v>133</v>
      </c>
      <c r="K1058" s="136" t="s">
        <v>133</v>
      </c>
      <c r="L1058" s="153"/>
      <c r="M1058" s="136" t="str">
        <f t="shared" si="1"/>
        <v/>
      </c>
      <c r="O1058" s="141" t="s">
        <v>133</v>
      </c>
      <c r="P1058" s="136" t="str">
        <f>IFERROR(__xludf.DUMMYFUNCTION("""COMPUTED_VALUE"""),"")</f>
        <v/>
      </c>
      <c r="Q1058" s="136" t="str">
        <f>IFERROR(__xludf.DUMMYFUNCTION("""COMPUTED_VALUE"""),"")</f>
        <v/>
      </c>
      <c r="R1058" s="106" t="str">
        <f>IFERROR(__xludf.DUMMYFUNCTION("""COMPUTED_VALUE"""),"")</f>
        <v/>
      </c>
      <c r="S1058" s="106" t="str">
        <f>IFERROR(__xludf.DUMMYFUNCTION("""COMPUTED_VALUE"""),"")</f>
        <v/>
      </c>
      <c r="T1058" s="139" t="str">
        <f>IFERROR(__xludf.DUMMYFUNCTION("""COMPUTED_VALUE"""),"")</f>
        <v/>
      </c>
      <c r="U1058" s="139" t="str">
        <f>IFERROR(__xludf.DUMMYFUNCTION("""COMPUTED_VALUE"""),"")</f>
        <v/>
      </c>
      <c r="V1058" s="136" t="str">
        <f>IFERROR(__xludf.DUMMYFUNCTION("""COMPUTED_VALUE"""),"")</f>
        <v/>
      </c>
      <c r="W1058" s="106" t="str">
        <f>IFERROR(__xludf.DUMMYFUNCTION("""COMPUTED_VALUE"""),"")</f>
        <v/>
      </c>
      <c r="X1058" s="143" t="str">
        <f t="shared" si="2"/>
        <v/>
      </c>
      <c r="Y1058" s="139" t="str">
        <f>IFERROR(__xludf.DUMMYFUNCTION("""COMPUTED_VALUE"""),"")</f>
        <v/>
      </c>
      <c r="Z1058" s="141" t="str">
        <f>IFERROR(__xludf.DUMMYFUNCTION("""COMPUTED_VALUE"""),"")</f>
        <v/>
      </c>
    </row>
    <row r="1059">
      <c r="D1059" s="136" t="str">
        <f t="shared" si="3"/>
        <v/>
      </c>
      <c r="E1059" s="152"/>
      <c r="F1059" s="106" t="s">
        <v>133</v>
      </c>
      <c r="G1059" s="152"/>
      <c r="H1059" s="106" t="s">
        <v>133</v>
      </c>
      <c r="J1059" s="139" t="s">
        <v>133</v>
      </c>
      <c r="K1059" s="136" t="s">
        <v>133</v>
      </c>
      <c r="L1059" s="153"/>
      <c r="M1059" s="136" t="str">
        <f t="shared" si="1"/>
        <v/>
      </c>
      <c r="O1059" s="141" t="s">
        <v>133</v>
      </c>
      <c r="P1059" s="136" t="str">
        <f>IFERROR(__xludf.DUMMYFUNCTION("""COMPUTED_VALUE"""),"")</f>
        <v/>
      </c>
      <c r="Q1059" s="136" t="str">
        <f>IFERROR(__xludf.DUMMYFUNCTION("""COMPUTED_VALUE"""),"")</f>
        <v/>
      </c>
      <c r="R1059" s="106" t="str">
        <f>IFERROR(__xludf.DUMMYFUNCTION("""COMPUTED_VALUE"""),"")</f>
        <v/>
      </c>
      <c r="S1059" s="106" t="str">
        <f>IFERROR(__xludf.DUMMYFUNCTION("""COMPUTED_VALUE"""),"")</f>
        <v/>
      </c>
      <c r="T1059" s="139" t="str">
        <f>IFERROR(__xludf.DUMMYFUNCTION("""COMPUTED_VALUE"""),"")</f>
        <v/>
      </c>
      <c r="U1059" s="139" t="str">
        <f>IFERROR(__xludf.DUMMYFUNCTION("""COMPUTED_VALUE"""),"")</f>
        <v/>
      </c>
      <c r="V1059" s="136" t="str">
        <f>IFERROR(__xludf.DUMMYFUNCTION("""COMPUTED_VALUE"""),"")</f>
        <v/>
      </c>
      <c r="W1059" s="106" t="str">
        <f>IFERROR(__xludf.DUMMYFUNCTION("""COMPUTED_VALUE"""),"")</f>
        <v/>
      </c>
      <c r="X1059" s="143" t="str">
        <f t="shared" si="2"/>
        <v/>
      </c>
      <c r="Y1059" s="139" t="str">
        <f>IFERROR(__xludf.DUMMYFUNCTION("""COMPUTED_VALUE"""),"")</f>
        <v/>
      </c>
      <c r="Z1059" s="141" t="str">
        <f>IFERROR(__xludf.DUMMYFUNCTION("""COMPUTED_VALUE"""),"")</f>
        <v/>
      </c>
    </row>
    <row r="1060">
      <c r="D1060" s="136" t="str">
        <f t="shared" si="3"/>
        <v/>
      </c>
      <c r="E1060" s="152"/>
      <c r="F1060" s="106" t="s">
        <v>133</v>
      </c>
      <c r="G1060" s="152"/>
      <c r="H1060" s="106" t="s">
        <v>133</v>
      </c>
      <c r="J1060" s="139" t="s">
        <v>133</v>
      </c>
      <c r="K1060" s="136" t="s">
        <v>133</v>
      </c>
      <c r="L1060" s="153"/>
      <c r="M1060" s="136" t="str">
        <f t="shared" si="1"/>
        <v/>
      </c>
      <c r="O1060" s="141" t="s">
        <v>133</v>
      </c>
      <c r="P1060" s="136" t="str">
        <f>IFERROR(__xludf.DUMMYFUNCTION("""COMPUTED_VALUE"""),"")</f>
        <v/>
      </c>
      <c r="Q1060" s="136" t="str">
        <f>IFERROR(__xludf.DUMMYFUNCTION("""COMPUTED_VALUE"""),"")</f>
        <v/>
      </c>
      <c r="R1060" s="106" t="str">
        <f>IFERROR(__xludf.DUMMYFUNCTION("""COMPUTED_VALUE"""),"")</f>
        <v/>
      </c>
      <c r="S1060" s="106" t="str">
        <f>IFERROR(__xludf.DUMMYFUNCTION("""COMPUTED_VALUE"""),"")</f>
        <v/>
      </c>
      <c r="T1060" s="139" t="str">
        <f>IFERROR(__xludf.DUMMYFUNCTION("""COMPUTED_VALUE"""),"")</f>
        <v/>
      </c>
      <c r="U1060" s="139" t="str">
        <f>IFERROR(__xludf.DUMMYFUNCTION("""COMPUTED_VALUE"""),"")</f>
        <v/>
      </c>
      <c r="V1060" s="136" t="str">
        <f>IFERROR(__xludf.DUMMYFUNCTION("""COMPUTED_VALUE"""),"")</f>
        <v/>
      </c>
      <c r="W1060" s="106" t="str">
        <f>IFERROR(__xludf.DUMMYFUNCTION("""COMPUTED_VALUE"""),"")</f>
        <v/>
      </c>
      <c r="X1060" s="143" t="str">
        <f t="shared" si="2"/>
        <v/>
      </c>
      <c r="Y1060" s="139" t="str">
        <f>IFERROR(__xludf.DUMMYFUNCTION("""COMPUTED_VALUE"""),"")</f>
        <v/>
      </c>
      <c r="Z1060" s="141" t="str">
        <f>IFERROR(__xludf.DUMMYFUNCTION("""COMPUTED_VALUE"""),"")</f>
        <v/>
      </c>
    </row>
    <row r="1061">
      <c r="D1061" s="136" t="str">
        <f t="shared" si="3"/>
        <v/>
      </c>
      <c r="E1061" s="152"/>
      <c r="F1061" s="106" t="s">
        <v>133</v>
      </c>
      <c r="G1061" s="152"/>
      <c r="H1061" s="106" t="s">
        <v>133</v>
      </c>
      <c r="J1061" s="139" t="s">
        <v>133</v>
      </c>
      <c r="K1061" s="136" t="s">
        <v>133</v>
      </c>
      <c r="L1061" s="153"/>
      <c r="M1061" s="136" t="str">
        <f t="shared" si="1"/>
        <v/>
      </c>
      <c r="O1061" s="141" t="s">
        <v>133</v>
      </c>
      <c r="P1061" s="136" t="str">
        <f>IFERROR(__xludf.DUMMYFUNCTION("""COMPUTED_VALUE"""),"")</f>
        <v/>
      </c>
      <c r="Q1061" s="136" t="str">
        <f>IFERROR(__xludf.DUMMYFUNCTION("""COMPUTED_VALUE"""),"")</f>
        <v/>
      </c>
      <c r="R1061" s="106" t="str">
        <f>IFERROR(__xludf.DUMMYFUNCTION("""COMPUTED_VALUE"""),"")</f>
        <v/>
      </c>
      <c r="S1061" s="106" t="str">
        <f>IFERROR(__xludf.DUMMYFUNCTION("""COMPUTED_VALUE"""),"")</f>
        <v/>
      </c>
      <c r="T1061" s="139" t="str">
        <f>IFERROR(__xludf.DUMMYFUNCTION("""COMPUTED_VALUE"""),"")</f>
        <v/>
      </c>
      <c r="U1061" s="139" t="str">
        <f>IFERROR(__xludf.DUMMYFUNCTION("""COMPUTED_VALUE"""),"")</f>
        <v/>
      </c>
      <c r="V1061" s="136" t="str">
        <f>IFERROR(__xludf.DUMMYFUNCTION("""COMPUTED_VALUE"""),"")</f>
        <v/>
      </c>
      <c r="W1061" s="106" t="str">
        <f>IFERROR(__xludf.DUMMYFUNCTION("""COMPUTED_VALUE"""),"")</f>
        <v/>
      </c>
      <c r="X1061" s="143" t="str">
        <f t="shared" si="2"/>
        <v/>
      </c>
      <c r="Y1061" s="139" t="str">
        <f>IFERROR(__xludf.DUMMYFUNCTION("""COMPUTED_VALUE"""),"")</f>
        <v/>
      </c>
      <c r="Z1061" s="141" t="str">
        <f>IFERROR(__xludf.DUMMYFUNCTION("""COMPUTED_VALUE"""),"")</f>
        <v/>
      </c>
    </row>
    <row r="1062">
      <c r="D1062" s="136" t="str">
        <f t="shared" si="3"/>
        <v/>
      </c>
      <c r="E1062" s="152"/>
      <c r="F1062" s="106" t="s">
        <v>133</v>
      </c>
      <c r="G1062" s="152"/>
      <c r="H1062" s="106" t="s">
        <v>133</v>
      </c>
      <c r="J1062" s="139" t="s">
        <v>133</v>
      </c>
      <c r="K1062" s="136" t="s">
        <v>133</v>
      </c>
      <c r="L1062" s="153"/>
      <c r="M1062" s="136" t="str">
        <f t="shared" si="1"/>
        <v/>
      </c>
      <c r="O1062" s="141" t="s">
        <v>133</v>
      </c>
      <c r="P1062" s="136" t="str">
        <f>IFERROR(__xludf.DUMMYFUNCTION("""COMPUTED_VALUE"""),"")</f>
        <v/>
      </c>
      <c r="Q1062" s="136" t="str">
        <f>IFERROR(__xludf.DUMMYFUNCTION("""COMPUTED_VALUE"""),"")</f>
        <v/>
      </c>
      <c r="R1062" s="106" t="str">
        <f>IFERROR(__xludf.DUMMYFUNCTION("""COMPUTED_VALUE"""),"")</f>
        <v/>
      </c>
      <c r="S1062" s="106" t="str">
        <f>IFERROR(__xludf.DUMMYFUNCTION("""COMPUTED_VALUE"""),"")</f>
        <v/>
      </c>
      <c r="T1062" s="139" t="str">
        <f>IFERROR(__xludf.DUMMYFUNCTION("""COMPUTED_VALUE"""),"")</f>
        <v/>
      </c>
      <c r="U1062" s="139" t="str">
        <f>IFERROR(__xludf.DUMMYFUNCTION("""COMPUTED_VALUE"""),"")</f>
        <v/>
      </c>
      <c r="V1062" s="136" t="str">
        <f>IFERROR(__xludf.DUMMYFUNCTION("""COMPUTED_VALUE"""),"")</f>
        <v/>
      </c>
      <c r="W1062" s="106" t="str">
        <f>IFERROR(__xludf.DUMMYFUNCTION("""COMPUTED_VALUE"""),"")</f>
        <v/>
      </c>
      <c r="X1062" s="143" t="str">
        <f t="shared" si="2"/>
        <v/>
      </c>
      <c r="Y1062" s="139" t="str">
        <f>IFERROR(__xludf.DUMMYFUNCTION("""COMPUTED_VALUE"""),"")</f>
        <v/>
      </c>
      <c r="Z1062" s="141" t="str">
        <f>IFERROR(__xludf.DUMMYFUNCTION("""COMPUTED_VALUE"""),"")</f>
        <v/>
      </c>
    </row>
    <row r="1063">
      <c r="D1063" s="136" t="str">
        <f t="shared" si="3"/>
        <v/>
      </c>
      <c r="E1063" s="152"/>
      <c r="F1063" s="106" t="s">
        <v>133</v>
      </c>
      <c r="G1063" s="152"/>
      <c r="H1063" s="106" t="s">
        <v>133</v>
      </c>
      <c r="J1063" s="139" t="s">
        <v>133</v>
      </c>
      <c r="K1063" s="136" t="s">
        <v>133</v>
      </c>
      <c r="L1063" s="153"/>
      <c r="M1063" s="136" t="str">
        <f t="shared" si="1"/>
        <v/>
      </c>
      <c r="O1063" s="141" t="s">
        <v>133</v>
      </c>
      <c r="P1063" s="136" t="str">
        <f>IFERROR(__xludf.DUMMYFUNCTION("""COMPUTED_VALUE"""),"")</f>
        <v/>
      </c>
      <c r="Q1063" s="136" t="str">
        <f>IFERROR(__xludf.DUMMYFUNCTION("""COMPUTED_VALUE"""),"")</f>
        <v/>
      </c>
      <c r="R1063" s="106" t="str">
        <f>IFERROR(__xludf.DUMMYFUNCTION("""COMPUTED_VALUE"""),"")</f>
        <v/>
      </c>
      <c r="S1063" s="106" t="str">
        <f>IFERROR(__xludf.DUMMYFUNCTION("""COMPUTED_VALUE"""),"")</f>
        <v/>
      </c>
      <c r="T1063" s="139" t="str">
        <f>IFERROR(__xludf.DUMMYFUNCTION("""COMPUTED_VALUE"""),"")</f>
        <v/>
      </c>
      <c r="U1063" s="139" t="str">
        <f>IFERROR(__xludf.DUMMYFUNCTION("""COMPUTED_VALUE"""),"")</f>
        <v/>
      </c>
      <c r="V1063" s="136" t="str">
        <f>IFERROR(__xludf.DUMMYFUNCTION("""COMPUTED_VALUE"""),"")</f>
        <v/>
      </c>
      <c r="W1063" s="106" t="str">
        <f>IFERROR(__xludf.DUMMYFUNCTION("""COMPUTED_VALUE"""),"")</f>
        <v/>
      </c>
      <c r="X1063" s="143" t="str">
        <f t="shared" si="2"/>
        <v/>
      </c>
      <c r="Y1063" s="139" t="str">
        <f>IFERROR(__xludf.DUMMYFUNCTION("""COMPUTED_VALUE"""),"")</f>
        <v/>
      </c>
      <c r="Z1063" s="141" t="str">
        <f>IFERROR(__xludf.DUMMYFUNCTION("""COMPUTED_VALUE"""),"")</f>
        <v/>
      </c>
    </row>
    <row r="1064">
      <c r="D1064" s="136" t="str">
        <f t="shared" si="3"/>
        <v/>
      </c>
      <c r="E1064" s="152"/>
      <c r="F1064" s="106" t="s">
        <v>133</v>
      </c>
      <c r="G1064" s="152"/>
      <c r="H1064" s="106" t="s">
        <v>133</v>
      </c>
      <c r="J1064" s="139" t="s">
        <v>133</v>
      </c>
      <c r="K1064" s="136" t="s">
        <v>133</v>
      </c>
      <c r="L1064" s="153"/>
      <c r="M1064" s="136" t="str">
        <f t="shared" si="1"/>
        <v/>
      </c>
      <c r="O1064" s="141" t="s">
        <v>133</v>
      </c>
      <c r="P1064" s="136" t="str">
        <f>IFERROR(__xludf.DUMMYFUNCTION("""COMPUTED_VALUE"""),"")</f>
        <v/>
      </c>
      <c r="Q1064" s="136" t="str">
        <f>IFERROR(__xludf.DUMMYFUNCTION("""COMPUTED_VALUE"""),"")</f>
        <v/>
      </c>
      <c r="R1064" s="106" t="str">
        <f>IFERROR(__xludf.DUMMYFUNCTION("""COMPUTED_VALUE"""),"")</f>
        <v/>
      </c>
      <c r="S1064" s="106" t="str">
        <f>IFERROR(__xludf.DUMMYFUNCTION("""COMPUTED_VALUE"""),"")</f>
        <v/>
      </c>
      <c r="T1064" s="139" t="str">
        <f>IFERROR(__xludf.DUMMYFUNCTION("""COMPUTED_VALUE"""),"")</f>
        <v/>
      </c>
      <c r="U1064" s="139" t="str">
        <f>IFERROR(__xludf.DUMMYFUNCTION("""COMPUTED_VALUE"""),"")</f>
        <v/>
      </c>
      <c r="V1064" s="136" t="str">
        <f>IFERROR(__xludf.DUMMYFUNCTION("""COMPUTED_VALUE"""),"")</f>
        <v/>
      </c>
      <c r="W1064" s="106" t="str">
        <f>IFERROR(__xludf.DUMMYFUNCTION("""COMPUTED_VALUE"""),"")</f>
        <v/>
      </c>
      <c r="X1064" s="143" t="str">
        <f t="shared" si="2"/>
        <v/>
      </c>
      <c r="Y1064" s="139" t="str">
        <f>IFERROR(__xludf.DUMMYFUNCTION("""COMPUTED_VALUE"""),"")</f>
        <v/>
      </c>
      <c r="Z1064" s="141" t="str">
        <f>IFERROR(__xludf.DUMMYFUNCTION("""COMPUTED_VALUE"""),"")</f>
        <v/>
      </c>
    </row>
    <row r="1065">
      <c r="D1065" s="136" t="str">
        <f t="shared" si="3"/>
        <v/>
      </c>
      <c r="E1065" s="152"/>
      <c r="F1065" s="106" t="s">
        <v>133</v>
      </c>
      <c r="G1065" s="152"/>
      <c r="H1065" s="106" t="s">
        <v>133</v>
      </c>
      <c r="J1065" s="139" t="s">
        <v>133</v>
      </c>
      <c r="K1065" s="136" t="s">
        <v>133</v>
      </c>
      <c r="L1065" s="153"/>
      <c r="M1065" s="136" t="str">
        <f t="shared" si="1"/>
        <v/>
      </c>
      <c r="O1065" s="141" t="s">
        <v>133</v>
      </c>
      <c r="P1065" s="136" t="str">
        <f>IFERROR(__xludf.DUMMYFUNCTION("""COMPUTED_VALUE"""),"")</f>
        <v/>
      </c>
      <c r="Q1065" s="136" t="str">
        <f>IFERROR(__xludf.DUMMYFUNCTION("""COMPUTED_VALUE"""),"")</f>
        <v/>
      </c>
      <c r="R1065" s="106" t="str">
        <f>IFERROR(__xludf.DUMMYFUNCTION("""COMPUTED_VALUE"""),"")</f>
        <v/>
      </c>
      <c r="S1065" s="106" t="str">
        <f>IFERROR(__xludf.DUMMYFUNCTION("""COMPUTED_VALUE"""),"")</f>
        <v/>
      </c>
      <c r="T1065" s="139" t="str">
        <f>IFERROR(__xludf.DUMMYFUNCTION("""COMPUTED_VALUE"""),"")</f>
        <v/>
      </c>
      <c r="U1065" s="139" t="str">
        <f>IFERROR(__xludf.DUMMYFUNCTION("""COMPUTED_VALUE"""),"")</f>
        <v/>
      </c>
      <c r="V1065" s="136" t="str">
        <f>IFERROR(__xludf.DUMMYFUNCTION("""COMPUTED_VALUE"""),"")</f>
        <v/>
      </c>
      <c r="W1065" s="106" t="str">
        <f>IFERROR(__xludf.DUMMYFUNCTION("""COMPUTED_VALUE"""),"")</f>
        <v/>
      </c>
      <c r="X1065" s="143" t="str">
        <f t="shared" si="2"/>
        <v/>
      </c>
      <c r="Y1065" s="139" t="str">
        <f>IFERROR(__xludf.DUMMYFUNCTION("""COMPUTED_VALUE"""),"")</f>
        <v/>
      </c>
      <c r="Z1065" s="141" t="str">
        <f>IFERROR(__xludf.DUMMYFUNCTION("""COMPUTED_VALUE"""),"")</f>
        <v/>
      </c>
    </row>
    <row r="1066">
      <c r="D1066" s="136" t="str">
        <f t="shared" si="3"/>
        <v/>
      </c>
      <c r="E1066" s="152"/>
      <c r="F1066" s="106" t="s">
        <v>133</v>
      </c>
      <c r="G1066" s="152"/>
      <c r="H1066" s="106" t="s">
        <v>133</v>
      </c>
      <c r="J1066" s="139" t="s">
        <v>133</v>
      </c>
      <c r="K1066" s="136" t="s">
        <v>133</v>
      </c>
      <c r="L1066" s="153"/>
      <c r="M1066" s="136" t="str">
        <f t="shared" si="1"/>
        <v/>
      </c>
      <c r="O1066" s="141" t="s">
        <v>133</v>
      </c>
      <c r="P1066" s="136" t="str">
        <f>IFERROR(__xludf.DUMMYFUNCTION("""COMPUTED_VALUE"""),"")</f>
        <v/>
      </c>
      <c r="Q1066" s="136" t="str">
        <f>IFERROR(__xludf.DUMMYFUNCTION("""COMPUTED_VALUE"""),"")</f>
        <v/>
      </c>
      <c r="R1066" s="106" t="str">
        <f>IFERROR(__xludf.DUMMYFUNCTION("""COMPUTED_VALUE"""),"")</f>
        <v/>
      </c>
      <c r="S1066" s="106" t="str">
        <f>IFERROR(__xludf.DUMMYFUNCTION("""COMPUTED_VALUE"""),"")</f>
        <v/>
      </c>
      <c r="T1066" s="139" t="str">
        <f>IFERROR(__xludf.DUMMYFUNCTION("""COMPUTED_VALUE"""),"")</f>
        <v/>
      </c>
      <c r="U1066" s="139" t="str">
        <f>IFERROR(__xludf.DUMMYFUNCTION("""COMPUTED_VALUE"""),"")</f>
        <v/>
      </c>
      <c r="V1066" s="136" t="str">
        <f>IFERROR(__xludf.DUMMYFUNCTION("""COMPUTED_VALUE"""),"")</f>
        <v/>
      </c>
      <c r="W1066" s="106" t="str">
        <f>IFERROR(__xludf.DUMMYFUNCTION("""COMPUTED_VALUE"""),"")</f>
        <v/>
      </c>
      <c r="X1066" s="143" t="str">
        <f t="shared" si="2"/>
        <v/>
      </c>
      <c r="Y1066" s="139" t="str">
        <f>IFERROR(__xludf.DUMMYFUNCTION("""COMPUTED_VALUE"""),"")</f>
        <v/>
      </c>
      <c r="Z1066" s="141" t="str">
        <f>IFERROR(__xludf.DUMMYFUNCTION("""COMPUTED_VALUE"""),"")</f>
        <v/>
      </c>
    </row>
    <row r="1067">
      <c r="D1067" s="136" t="str">
        <f t="shared" si="3"/>
        <v/>
      </c>
      <c r="E1067" s="152"/>
      <c r="F1067" s="106" t="s">
        <v>133</v>
      </c>
      <c r="G1067" s="152"/>
      <c r="H1067" s="106" t="s">
        <v>133</v>
      </c>
      <c r="J1067" s="139" t="s">
        <v>133</v>
      </c>
      <c r="K1067" s="136" t="s">
        <v>133</v>
      </c>
      <c r="L1067" s="153"/>
      <c r="M1067" s="136" t="str">
        <f t="shared" si="1"/>
        <v/>
      </c>
      <c r="O1067" s="141" t="s">
        <v>133</v>
      </c>
      <c r="P1067" s="136" t="str">
        <f>IFERROR(__xludf.DUMMYFUNCTION("""COMPUTED_VALUE"""),"")</f>
        <v/>
      </c>
      <c r="Q1067" s="136" t="str">
        <f>IFERROR(__xludf.DUMMYFUNCTION("""COMPUTED_VALUE"""),"")</f>
        <v/>
      </c>
      <c r="R1067" s="106" t="str">
        <f>IFERROR(__xludf.DUMMYFUNCTION("""COMPUTED_VALUE"""),"")</f>
        <v/>
      </c>
      <c r="S1067" s="106" t="str">
        <f>IFERROR(__xludf.DUMMYFUNCTION("""COMPUTED_VALUE"""),"")</f>
        <v/>
      </c>
      <c r="T1067" s="139" t="str">
        <f>IFERROR(__xludf.DUMMYFUNCTION("""COMPUTED_VALUE"""),"")</f>
        <v/>
      </c>
      <c r="U1067" s="139" t="str">
        <f>IFERROR(__xludf.DUMMYFUNCTION("""COMPUTED_VALUE"""),"")</f>
        <v/>
      </c>
      <c r="V1067" s="136" t="str">
        <f>IFERROR(__xludf.DUMMYFUNCTION("""COMPUTED_VALUE"""),"")</f>
        <v/>
      </c>
      <c r="W1067" s="106" t="str">
        <f>IFERROR(__xludf.DUMMYFUNCTION("""COMPUTED_VALUE"""),"")</f>
        <v/>
      </c>
      <c r="X1067" s="143" t="str">
        <f t="shared" si="2"/>
        <v/>
      </c>
      <c r="Y1067" s="139" t="str">
        <f>IFERROR(__xludf.DUMMYFUNCTION("""COMPUTED_VALUE"""),"")</f>
        <v/>
      </c>
      <c r="Z1067" s="141" t="str">
        <f>IFERROR(__xludf.DUMMYFUNCTION("""COMPUTED_VALUE"""),"")</f>
        <v/>
      </c>
    </row>
    <row r="1068">
      <c r="D1068" s="136" t="str">
        <f t="shared" si="3"/>
        <v/>
      </c>
      <c r="E1068" s="152"/>
      <c r="F1068" s="106" t="s">
        <v>133</v>
      </c>
      <c r="G1068" s="152"/>
      <c r="H1068" s="106" t="s">
        <v>133</v>
      </c>
      <c r="J1068" s="139" t="s">
        <v>133</v>
      </c>
      <c r="K1068" s="136" t="s">
        <v>133</v>
      </c>
      <c r="L1068" s="153"/>
      <c r="M1068" s="136" t="str">
        <f t="shared" si="1"/>
        <v/>
      </c>
      <c r="O1068" s="141" t="s">
        <v>133</v>
      </c>
      <c r="P1068" s="136" t="str">
        <f>IFERROR(__xludf.DUMMYFUNCTION("""COMPUTED_VALUE"""),"")</f>
        <v/>
      </c>
      <c r="Q1068" s="136" t="str">
        <f>IFERROR(__xludf.DUMMYFUNCTION("""COMPUTED_VALUE"""),"")</f>
        <v/>
      </c>
      <c r="R1068" s="106" t="str">
        <f>IFERROR(__xludf.DUMMYFUNCTION("""COMPUTED_VALUE"""),"")</f>
        <v/>
      </c>
      <c r="S1068" s="106" t="str">
        <f>IFERROR(__xludf.DUMMYFUNCTION("""COMPUTED_VALUE"""),"")</f>
        <v/>
      </c>
      <c r="T1068" s="139" t="str">
        <f>IFERROR(__xludf.DUMMYFUNCTION("""COMPUTED_VALUE"""),"")</f>
        <v/>
      </c>
      <c r="U1068" s="139" t="str">
        <f>IFERROR(__xludf.DUMMYFUNCTION("""COMPUTED_VALUE"""),"")</f>
        <v/>
      </c>
      <c r="V1068" s="136" t="str">
        <f>IFERROR(__xludf.DUMMYFUNCTION("""COMPUTED_VALUE"""),"")</f>
        <v/>
      </c>
      <c r="W1068" s="106" t="str">
        <f>IFERROR(__xludf.DUMMYFUNCTION("""COMPUTED_VALUE"""),"")</f>
        <v/>
      </c>
      <c r="X1068" s="143" t="str">
        <f t="shared" si="2"/>
        <v/>
      </c>
      <c r="Y1068" s="139" t="str">
        <f>IFERROR(__xludf.DUMMYFUNCTION("""COMPUTED_VALUE"""),"")</f>
        <v/>
      </c>
      <c r="Z1068" s="141" t="str">
        <f>IFERROR(__xludf.DUMMYFUNCTION("""COMPUTED_VALUE"""),"")</f>
        <v/>
      </c>
    </row>
    <row r="1069">
      <c r="D1069" s="136" t="str">
        <f t="shared" si="3"/>
        <v/>
      </c>
      <c r="E1069" s="152"/>
      <c r="F1069" s="106" t="s">
        <v>133</v>
      </c>
      <c r="G1069" s="152"/>
      <c r="H1069" s="106" t="s">
        <v>133</v>
      </c>
      <c r="J1069" s="139" t="s">
        <v>133</v>
      </c>
      <c r="K1069" s="136" t="s">
        <v>133</v>
      </c>
      <c r="L1069" s="153"/>
      <c r="M1069" s="136" t="str">
        <f t="shared" si="1"/>
        <v/>
      </c>
      <c r="O1069" s="141" t="s">
        <v>133</v>
      </c>
      <c r="P1069" s="136" t="str">
        <f>IFERROR(__xludf.DUMMYFUNCTION("""COMPUTED_VALUE"""),"")</f>
        <v/>
      </c>
      <c r="Q1069" s="136" t="str">
        <f>IFERROR(__xludf.DUMMYFUNCTION("""COMPUTED_VALUE"""),"")</f>
        <v/>
      </c>
      <c r="R1069" s="106" t="str">
        <f>IFERROR(__xludf.DUMMYFUNCTION("""COMPUTED_VALUE"""),"")</f>
        <v/>
      </c>
      <c r="S1069" s="106" t="str">
        <f>IFERROR(__xludf.DUMMYFUNCTION("""COMPUTED_VALUE"""),"")</f>
        <v/>
      </c>
      <c r="T1069" s="139" t="str">
        <f>IFERROR(__xludf.DUMMYFUNCTION("""COMPUTED_VALUE"""),"")</f>
        <v/>
      </c>
      <c r="U1069" s="139" t="str">
        <f>IFERROR(__xludf.DUMMYFUNCTION("""COMPUTED_VALUE"""),"")</f>
        <v/>
      </c>
      <c r="V1069" s="136" t="str">
        <f>IFERROR(__xludf.DUMMYFUNCTION("""COMPUTED_VALUE"""),"")</f>
        <v/>
      </c>
      <c r="W1069" s="106" t="str">
        <f>IFERROR(__xludf.DUMMYFUNCTION("""COMPUTED_VALUE"""),"")</f>
        <v/>
      </c>
      <c r="X1069" s="143" t="str">
        <f t="shared" si="2"/>
        <v/>
      </c>
      <c r="Y1069" s="139" t="str">
        <f>IFERROR(__xludf.DUMMYFUNCTION("""COMPUTED_VALUE"""),"")</f>
        <v/>
      </c>
      <c r="Z1069" s="141" t="str">
        <f>IFERROR(__xludf.DUMMYFUNCTION("""COMPUTED_VALUE"""),"")</f>
        <v/>
      </c>
    </row>
    <row r="1070">
      <c r="D1070" s="136" t="str">
        <f t="shared" si="3"/>
        <v/>
      </c>
      <c r="E1070" s="152"/>
      <c r="F1070" s="106" t="s">
        <v>133</v>
      </c>
      <c r="G1070" s="152"/>
      <c r="H1070" s="106" t="s">
        <v>133</v>
      </c>
      <c r="J1070" s="139" t="s">
        <v>133</v>
      </c>
      <c r="K1070" s="136" t="s">
        <v>133</v>
      </c>
      <c r="L1070" s="153"/>
      <c r="M1070" s="136" t="str">
        <f t="shared" si="1"/>
        <v/>
      </c>
      <c r="O1070" s="141" t="s">
        <v>133</v>
      </c>
      <c r="P1070" s="136" t="str">
        <f>IFERROR(__xludf.DUMMYFUNCTION("""COMPUTED_VALUE"""),"")</f>
        <v/>
      </c>
      <c r="Q1070" s="136" t="str">
        <f>IFERROR(__xludf.DUMMYFUNCTION("""COMPUTED_VALUE"""),"")</f>
        <v/>
      </c>
      <c r="R1070" s="106" t="str">
        <f>IFERROR(__xludf.DUMMYFUNCTION("""COMPUTED_VALUE"""),"")</f>
        <v/>
      </c>
      <c r="S1070" s="106" t="str">
        <f>IFERROR(__xludf.DUMMYFUNCTION("""COMPUTED_VALUE"""),"")</f>
        <v/>
      </c>
      <c r="T1070" s="139" t="str">
        <f>IFERROR(__xludf.DUMMYFUNCTION("""COMPUTED_VALUE"""),"")</f>
        <v/>
      </c>
      <c r="U1070" s="139" t="str">
        <f>IFERROR(__xludf.DUMMYFUNCTION("""COMPUTED_VALUE"""),"")</f>
        <v/>
      </c>
      <c r="V1070" s="136" t="str">
        <f>IFERROR(__xludf.DUMMYFUNCTION("""COMPUTED_VALUE"""),"")</f>
        <v/>
      </c>
      <c r="W1070" s="106" t="str">
        <f>IFERROR(__xludf.DUMMYFUNCTION("""COMPUTED_VALUE"""),"")</f>
        <v/>
      </c>
      <c r="X1070" s="143" t="str">
        <f t="shared" si="2"/>
        <v/>
      </c>
      <c r="Y1070" s="139" t="str">
        <f>IFERROR(__xludf.DUMMYFUNCTION("""COMPUTED_VALUE"""),"")</f>
        <v/>
      </c>
      <c r="Z1070" s="141" t="str">
        <f>IFERROR(__xludf.DUMMYFUNCTION("""COMPUTED_VALUE"""),"")</f>
        <v/>
      </c>
    </row>
    <row r="1071">
      <c r="D1071" s="136" t="str">
        <f t="shared" si="3"/>
        <v/>
      </c>
      <c r="E1071" s="152"/>
      <c r="F1071" s="106" t="s">
        <v>133</v>
      </c>
      <c r="G1071" s="152"/>
      <c r="H1071" s="106" t="s">
        <v>133</v>
      </c>
      <c r="J1071" s="139" t="s">
        <v>133</v>
      </c>
      <c r="K1071" s="136" t="s">
        <v>133</v>
      </c>
      <c r="L1071" s="153"/>
      <c r="M1071" s="136" t="str">
        <f t="shared" si="1"/>
        <v/>
      </c>
      <c r="O1071" s="141" t="s">
        <v>133</v>
      </c>
      <c r="P1071" s="136" t="str">
        <f>IFERROR(__xludf.DUMMYFUNCTION("""COMPUTED_VALUE"""),"")</f>
        <v/>
      </c>
      <c r="Q1071" s="136" t="str">
        <f>IFERROR(__xludf.DUMMYFUNCTION("""COMPUTED_VALUE"""),"")</f>
        <v/>
      </c>
      <c r="R1071" s="106" t="str">
        <f>IFERROR(__xludf.DUMMYFUNCTION("""COMPUTED_VALUE"""),"")</f>
        <v/>
      </c>
      <c r="S1071" s="106" t="str">
        <f>IFERROR(__xludf.DUMMYFUNCTION("""COMPUTED_VALUE"""),"")</f>
        <v/>
      </c>
      <c r="T1071" s="139" t="str">
        <f>IFERROR(__xludf.DUMMYFUNCTION("""COMPUTED_VALUE"""),"")</f>
        <v/>
      </c>
      <c r="U1071" s="139" t="str">
        <f>IFERROR(__xludf.DUMMYFUNCTION("""COMPUTED_VALUE"""),"")</f>
        <v/>
      </c>
      <c r="V1071" s="136" t="str">
        <f>IFERROR(__xludf.DUMMYFUNCTION("""COMPUTED_VALUE"""),"")</f>
        <v/>
      </c>
      <c r="W1071" s="106" t="str">
        <f>IFERROR(__xludf.DUMMYFUNCTION("""COMPUTED_VALUE"""),"")</f>
        <v/>
      </c>
      <c r="X1071" s="143" t="str">
        <f t="shared" si="2"/>
        <v/>
      </c>
      <c r="Y1071" s="139" t="str">
        <f>IFERROR(__xludf.DUMMYFUNCTION("""COMPUTED_VALUE"""),"")</f>
        <v/>
      </c>
      <c r="Z1071" s="141" t="str">
        <f>IFERROR(__xludf.DUMMYFUNCTION("""COMPUTED_VALUE"""),"")</f>
        <v/>
      </c>
    </row>
    <row r="1072">
      <c r="D1072" s="136" t="str">
        <f t="shared" si="3"/>
        <v/>
      </c>
      <c r="E1072" s="152"/>
      <c r="F1072" s="106" t="s">
        <v>133</v>
      </c>
      <c r="G1072" s="152"/>
      <c r="H1072" s="106" t="s">
        <v>133</v>
      </c>
      <c r="J1072" s="139" t="s">
        <v>133</v>
      </c>
      <c r="K1072" s="136" t="s">
        <v>133</v>
      </c>
      <c r="L1072" s="153"/>
      <c r="M1072" s="136" t="str">
        <f t="shared" si="1"/>
        <v/>
      </c>
      <c r="O1072" s="141" t="s">
        <v>133</v>
      </c>
      <c r="P1072" s="136" t="str">
        <f>IFERROR(__xludf.DUMMYFUNCTION("""COMPUTED_VALUE"""),"")</f>
        <v/>
      </c>
      <c r="Q1072" s="136" t="str">
        <f>IFERROR(__xludf.DUMMYFUNCTION("""COMPUTED_VALUE"""),"")</f>
        <v/>
      </c>
      <c r="R1072" s="106" t="str">
        <f>IFERROR(__xludf.DUMMYFUNCTION("""COMPUTED_VALUE"""),"")</f>
        <v/>
      </c>
      <c r="S1072" s="106" t="str">
        <f>IFERROR(__xludf.DUMMYFUNCTION("""COMPUTED_VALUE"""),"")</f>
        <v/>
      </c>
      <c r="T1072" s="139" t="str">
        <f>IFERROR(__xludf.DUMMYFUNCTION("""COMPUTED_VALUE"""),"")</f>
        <v/>
      </c>
      <c r="U1072" s="139" t="str">
        <f>IFERROR(__xludf.DUMMYFUNCTION("""COMPUTED_VALUE"""),"")</f>
        <v/>
      </c>
      <c r="V1072" s="136" t="str">
        <f>IFERROR(__xludf.DUMMYFUNCTION("""COMPUTED_VALUE"""),"")</f>
        <v/>
      </c>
      <c r="W1072" s="106" t="str">
        <f>IFERROR(__xludf.DUMMYFUNCTION("""COMPUTED_VALUE"""),"")</f>
        <v/>
      </c>
      <c r="X1072" s="143" t="str">
        <f t="shared" si="2"/>
        <v/>
      </c>
      <c r="Y1072" s="139" t="str">
        <f>IFERROR(__xludf.DUMMYFUNCTION("""COMPUTED_VALUE"""),"")</f>
        <v/>
      </c>
      <c r="Z1072" s="141" t="str">
        <f>IFERROR(__xludf.DUMMYFUNCTION("""COMPUTED_VALUE"""),"")</f>
        <v/>
      </c>
    </row>
    <row r="1073">
      <c r="D1073" s="136" t="str">
        <f t="shared" si="3"/>
        <v/>
      </c>
      <c r="E1073" s="152"/>
      <c r="F1073" s="106" t="s">
        <v>133</v>
      </c>
      <c r="G1073" s="152"/>
      <c r="H1073" s="106" t="s">
        <v>133</v>
      </c>
      <c r="J1073" s="139" t="s">
        <v>133</v>
      </c>
      <c r="K1073" s="136" t="s">
        <v>133</v>
      </c>
      <c r="L1073" s="153"/>
      <c r="M1073" s="136" t="str">
        <f t="shared" si="1"/>
        <v/>
      </c>
      <c r="O1073" s="141" t="s">
        <v>133</v>
      </c>
      <c r="P1073" s="136" t="str">
        <f>IFERROR(__xludf.DUMMYFUNCTION("""COMPUTED_VALUE"""),"")</f>
        <v/>
      </c>
      <c r="Q1073" s="136" t="str">
        <f>IFERROR(__xludf.DUMMYFUNCTION("""COMPUTED_VALUE"""),"")</f>
        <v/>
      </c>
      <c r="R1073" s="106" t="str">
        <f>IFERROR(__xludf.DUMMYFUNCTION("""COMPUTED_VALUE"""),"")</f>
        <v/>
      </c>
      <c r="S1073" s="106" t="str">
        <f>IFERROR(__xludf.DUMMYFUNCTION("""COMPUTED_VALUE"""),"")</f>
        <v/>
      </c>
      <c r="T1073" s="139" t="str">
        <f>IFERROR(__xludf.DUMMYFUNCTION("""COMPUTED_VALUE"""),"")</f>
        <v/>
      </c>
      <c r="U1073" s="139" t="str">
        <f>IFERROR(__xludf.DUMMYFUNCTION("""COMPUTED_VALUE"""),"")</f>
        <v/>
      </c>
      <c r="V1073" s="136" t="str">
        <f>IFERROR(__xludf.DUMMYFUNCTION("""COMPUTED_VALUE"""),"")</f>
        <v/>
      </c>
      <c r="W1073" s="106" t="str">
        <f>IFERROR(__xludf.DUMMYFUNCTION("""COMPUTED_VALUE"""),"")</f>
        <v/>
      </c>
      <c r="X1073" s="143" t="str">
        <f t="shared" si="2"/>
        <v/>
      </c>
      <c r="Y1073" s="139" t="str">
        <f>IFERROR(__xludf.DUMMYFUNCTION("""COMPUTED_VALUE"""),"")</f>
        <v/>
      </c>
      <c r="Z1073" s="141" t="str">
        <f>IFERROR(__xludf.DUMMYFUNCTION("""COMPUTED_VALUE"""),"")</f>
        <v/>
      </c>
    </row>
    <row r="1074">
      <c r="D1074" s="136" t="str">
        <f t="shared" si="3"/>
        <v/>
      </c>
      <c r="E1074" s="152"/>
      <c r="F1074" s="106" t="s">
        <v>133</v>
      </c>
      <c r="G1074" s="152"/>
      <c r="H1074" s="106" t="s">
        <v>133</v>
      </c>
      <c r="J1074" s="139" t="s">
        <v>133</v>
      </c>
      <c r="K1074" s="136" t="s">
        <v>133</v>
      </c>
      <c r="L1074" s="153"/>
      <c r="M1074" s="136" t="str">
        <f t="shared" si="1"/>
        <v/>
      </c>
      <c r="O1074" s="141" t="s">
        <v>133</v>
      </c>
      <c r="P1074" s="136" t="str">
        <f>IFERROR(__xludf.DUMMYFUNCTION("""COMPUTED_VALUE"""),"")</f>
        <v/>
      </c>
      <c r="Q1074" s="136" t="str">
        <f>IFERROR(__xludf.DUMMYFUNCTION("""COMPUTED_VALUE"""),"")</f>
        <v/>
      </c>
      <c r="R1074" s="106" t="str">
        <f>IFERROR(__xludf.DUMMYFUNCTION("""COMPUTED_VALUE"""),"")</f>
        <v/>
      </c>
      <c r="S1074" s="106" t="str">
        <f>IFERROR(__xludf.DUMMYFUNCTION("""COMPUTED_VALUE"""),"")</f>
        <v/>
      </c>
      <c r="T1074" s="139" t="str">
        <f>IFERROR(__xludf.DUMMYFUNCTION("""COMPUTED_VALUE"""),"")</f>
        <v/>
      </c>
      <c r="U1074" s="139" t="str">
        <f>IFERROR(__xludf.DUMMYFUNCTION("""COMPUTED_VALUE"""),"")</f>
        <v/>
      </c>
      <c r="V1074" s="136" t="str">
        <f>IFERROR(__xludf.DUMMYFUNCTION("""COMPUTED_VALUE"""),"")</f>
        <v/>
      </c>
      <c r="W1074" s="106" t="str">
        <f>IFERROR(__xludf.DUMMYFUNCTION("""COMPUTED_VALUE"""),"")</f>
        <v/>
      </c>
      <c r="X1074" s="143" t="str">
        <f t="shared" si="2"/>
        <v/>
      </c>
      <c r="Y1074" s="139" t="str">
        <f>IFERROR(__xludf.DUMMYFUNCTION("""COMPUTED_VALUE"""),"")</f>
        <v/>
      </c>
      <c r="Z1074" s="141" t="str">
        <f>IFERROR(__xludf.DUMMYFUNCTION("""COMPUTED_VALUE"""),"")</f>
        <v/>
      </c>
    </row>
    <row r="1075">
      <c r="D1075" s="136" t="str">
        <f t="shared" si="3"/>
        <v/>
      </c>
      <c r="E1075" s="152"/>
      <c r="F1075" s="106" t="s">
        <v>133</v>
      </c>
      <c r="G1075" s="152"/>
      <c r="H1075" s="106" t="s">
        <v>133</v>
      </c>
      <c r="J1075" s="139" t="s">
        <v>133</v>
      </c>
      <c r="K1075" s="136" t="s">
        <v>133</v>
      </c>
      <c r="L1075" s="153"/>
      <c r="M1075" s="136" t="str">
        <f t="shared" si="1"/>
        <v/>
      </c>
      <c r="O1075" s="141" t="s">
        <v>133</v>
      </c>
      <c r="P1075" s="136" t="str">
        <f>IFERROR(__xludf.DUMMYFUNCTION("""COMPUTED_VALUE"""),"")</f>
        <v/>
      </c>
      <c r="Q1075" s="136" t="str">
        <f>IFERROR(__xludf.DUMMYFUNCTION("""COMPUTED_VALUE"""),"")</f>
        <v/>
      </c>
      <c r="R1075" s="106" t="str">
        <f>IFERROR(__xludf.DUMMYFUNCTION("""COMPUTED_VALUE"""),"")</f>
        <v/>
      </c>
      <c r="S1075" s="106" t="str">
        <f>IFERROR(__xludf.DUMMYFUNCTION("""COMPUTED_VALUE"""),"")</f>
        <v/>
      </c>
      <c r="T1075" s="139" t="str">
        <f>IFERROR(__xludf.DUMMYFUNCTION("""COMPUTED_VALUE"""),"")</f>
        <v/>
      </c>
      <c r="U1075" s="139" t="str">
        <f>IFERROR(__xludf.DUMMYFUNCTION("""COMPUTED_VALUE"""),"")</f>
        <v/>
      </c>
      <c r="V1075" s="136" t="str">
        <f>IFERROR(__xludf.DUMMYFUNCTION("""COMPUTED_VALUE"""),"")</f>
        <v/>
      </c>
      <c r="W1075" s="106" t="str">
        <f>IFERROR(__xludf.DUMMYFUNCTION("""COMPUTED_VALUE"""),"")</f>
        <v/>
      </c>
      <c r="X1075" s="143" t="str">
        <f t="shared" si="2"/>
        <v/>
      </c>
      <c r="Y1075" s="139" t="str">
        <f>IFERROR(__xludf.DUMMYFUNCTION("""COMPUTED_VALUE"""),"")</f>
        <v/>
      </c>
      <c r="Z1075" s="141" t="str">
        <f>IFERROR(__xludf.DUMMYFUNCTION("""COMPUTED_VALUE"""),"")</f>
        <v/>
      </c>
    </row>
    <row r="1076">
      <c r="D1076" s="136" t="str">
        <f t="shared" si="3"/>
        <v/>
      </c>
      <c r="E1076" s="152"/>
      <c r="F1076" s="106" t="s">
        <v>133</v>
      </c>
      <c r="G1076" s="152"/>
      <c r="H1076" s="106" t="s">
        <v>133</v>
      </c>
      <c r="J1076" s="139" t="s">
        <v>133</v>
      </c>
      <c r="K1076" s="136" t="s">
        <v>133</v>
      </c>
      <c r="L1076" s="153"/>
      <c r="M1076" s="136" t="str">
        <f t="shared" si="1"/>
        <v/>
      </c>
      <c r="O1076" s="141" t="s">
        <v>133</v>
      </c>
      <c r="P1076" s="136" t="str">
        <f>IFERROR(__xludf.DUMMYFUNCTION("""COMPUTED_VALUE"""),"")</f>
        <v/>
      </c>
      <c r="Q1076" s="136" t="str">
        <f>IFERROR(__xludf.DUMMYFUNCTION("""COMPUTED_VALUE"""),"")</f>
        <v/>
      </c>
      <c r="R1076" s="106" t="str">
        <f>IFERROR(__xludf.DUMMYFUNCTION("""COMPUTED_VALUE"""),"")</f>
        <v/>
      </c>
      <c r="S1076" s="106" t="str">
        <f>IFERROR(__xludf.DUMMYFUNCTION("""COMPUTED_VALUE"""),"")</f>
        <v/>
      </c>
      <c r="T1076" s="139" t="str">
        <f>IFERROR(__xludf.DUMMYFUNCTION("""COMPUTED_VALUE"""),"")</f>
        <v/>
      </c>
      <c r="U1076" s="139" t="str">
        <f>IFERROR(__xludf.DUMMYFUNCTION("""COMPUTED_VALUE"""),"")</f>
        <v/>
      </c>
      <c r="V1076" s="136" t="str">
        <f>IFERROR(__xludf.DUMMYFUNCTION("""COMPUTED_VALUE"""),"")</f>
        <v/>
      </c>
      <c r="W1076" s="106" t="str">
        <f>IFERROR(__xludf.DUMMYFUNCTION("""COMPUTED_VALUE"""),"")</f>
        <v/>
      </c>
      <c r="X1076" s="143" t="str">
        <f t="shared" si="2"/>
        <v/>
      </c>
      <c r="Y1076" s="139" t="str">
        <f>IFERROR(__xludf.DUMMYFUNCTION("""COMPUTED_VALUE"""),"")</f>
        <v/>
      </c>
      <c r="Z1076" s="141" t="str">
        <f>IFERROR(__xludf.DUMMYFUNCTION("""COMPUTED_VALUE"""),"")</f>
        <v/>
      </c>
    </row>
    <row r="1077">
      <c r="D1077" s="136" t="str">
        <f t="shared" si="3"/>
        <v/>
      </c>
      <c r="E1077" s="152"/>
      <c r="F1077" s="106" t="s">
        <v>133</v>
      </c>
      <c r="G1077" s="152"/>
      <c r="H1077" s="106" t="s">
        <v>133</v>
      </c>
      <c r="J1077" s="139" t="s">
        <v>133</v>
      </c>
      <c r="K1077" s="136" t="s">
        <v>133</v>
      </c>
      <c r="L1077" s="153"/>
      <c r="M1077" s="136" t="str">
        <f t="shared" si="1"/>
        <v/>
      </c>
      <c r="O1077" s="141" t="s">
        <v>133</v>
      </c>
      <c r="P1077" s="136" t="str">
        <f>IFERROR(__xludf.DUMMYFUNCTION("""COMPUTED_VALUE"""),"")</f>
        <v/>
      </c>
      <c r="Q1077" s="136" t="str">
        <f>IFERROR(__xludf.DUMMYFUNCTION("""COMPUTED_VALUE"""),"")</f>
        <v/>
      </c>
      <c r="R1077" s="106" t="str">
        <f>IFERROR(__xludf.DUMMYFUNCTION("""COMPUTED_VALUE"""),"")</f>
        <v/>
      </c>
      <c r="S1077" s="106" t="str">
        <f>IFERROR(__xludf.DUMMYFUNCTION("""COMPUTED_VALUE"""),"")</f>
        <v/>
      </c>
      <c r="T1077" s="139" t="str">
        <f>IFERROR(__xludf.DUMMYFUNCTION("""COMPUTED_VALUE"""),"")</f>
        <v/>
      </c>
      <c r="U1077" s="139" t="str">
        <f>IFERROR(__xludf.DUMMYFUNCTION("""COMPUTED_VALUE"""),"")</f>
        <v/>
      </c>
      <c r="V1077" s="136" t="str">
        <f>IFERROR(__xludf.DUMMYFUNCTION("""COMPUTED_VALUE"""),"")</f>
        <v/>
      </c>
      <c r="W1077" s="106" t="str">
        <f>IFERROR(__xludf.DUMMYFUNCTION("""COMPUTED_VALUE"""),"")</f>
        <v/>
      </c>
      <c r="X1077" s="143" t="str">
        <f t="shared" si="2"/>
        <v/>
      </c>
      <c r="Y1077" s="139" t="str">
        <f>IFERROR(__xludf.DUMMYFUNCTION("""COMPUTED_VALUE"""),"")</f>
        <v/>
      </c>
      <c r="Z1077" s="141" t="str">
        <f>IFERROR(__xludf.DUMMYFUNCTION("""COMPUTED_VALUE"""),"")</f>
        <v/>
      </c>
    </row>
    <row r="1078">
      <c r="D1078" s="136" t="str">
        <f t="shared" si="3"/>
        <v/>
      </c>
      <c r="E1078" s="152"/>
      <c r="F1078" s="106" t="s">
        <v>133</v>
      </c>
      <c r="G1078" s="152"/>
      <c r="H1078" s="106" t="s">
        <v>133</v>
      </c>
      <c r="J1078" s="139" t="s">
        <v>133</v>
      </c>
      <c r="K1078" s="136" t="s">
        <v>133</v>
      </c>
      <c r="L1078" s="153"/>
      <c r="M1078" s="136" t="str">
        <f t="shared" si="1"/>
        <v/>
      </c>
      <c r="O1078" s="141" t="s">
        <v>133</v>
      </c>
      <c r="P1078" s="136" t="str">
        <f>IFERROR(__xludf.DUMMYFUNCTION("""COMPUTED_VALUE"""),"")</f>
        <v/>
      </c>
      <c r="Q1078" s="136" t="str">
        <f>IFERROR(__xludf.DUMMYFUNCTION("""COMPUTED_VALUE"""),"")</f>
        <v/>
      </c>
      <c r="R1078" s="106" t="str">
        <f>IFERROR(__xludf.DUMMYFUNCTION("""COMPUTED_VALUE"""),"")</f>
        <v/>
      </c>
      <c r="S1078" s="106" t="str">
        <f>IFERROR(__xludf.DUMMYFUNCTION("""COMPUTED_VALUE"""),"")</f>
        <v/>
      </c>
      <c r="T1078" s="139" t="str">
        <f>IFERROR(__xludf.DUMMYFUNCTION("""COMPUTED_VALUE"""),"")</f>
        <v/>
      </c>
      <c r="U1078" s="139" t="str">
        <f>IFERROR(__xludf.DUMMYFUNCTION("""COMPUTED_VALUE"""),"")</f>
        <v/>
      </c>
      <c r="V1078" s="136" t="str">
        <f>IFERROR(__xludf.DUMMYFUNCTION("""COMPUTED_VALUE"""),"")</f>
        <v/>
      </c>
      <c r="W1078" s="106" t="str">
        <f>IFERROR(__xludf.DUMMYFUNCTION("""COMPUTED_VALUE"""),"")</f>
        <v/>
      </c>
      <c r="X1078" s="143" t="str">
        <f t="shared" si="2"/>
        <v/>
      </c>
      <c r="Y1078" s="139" t="str">
        <f>IFERROR(__xludf.DUMMYFUNCTION("""COMPUTED_VALUE"""),"")</f>
        <v/>
      </c>
      <c r="Z1078" s="141" t="str">
        <f>IFERROR(__xludf.DUMMYFUNCTION("""COMPUTED_VALUE"""),"")</f>
        <v/>
      </c>
    </row>
    <row r="1079">
      <c r="D1079" s="136" t="str">
        <f t="shared" si="3"/>
        <v/>
      </c>
      <c r="E1079" s="152"/>
      <c r="F1079" s="106" t="s">
        <v>133</v>
      </c>
      <c r="G1079" s="152"/>
      <c r="H1079" s="106" t="s">
        <v>133</v>
      </c>
      <c r="J1079" s="139" t="s">
        <v>133</v>
      </c>
      <c r="K1079" s="136" t="s">
        <v>133</v>
      </c>
      <c r="L1079" s="153"/>
      <c r="M1079" s="136" t="str">
        <f t="shared" si="1"/>
        <v/>
      </c>
      <c r="O1079" s="141" t="s">
        <v>133</v>
      </c>
      <c r="P1079" s="136" t="str">
        <f>IFERROR(__xludf.DUMMYFUNCTION("""COMPUTED_VALUE"""),"")</f>
        <v/>
      </c>
      <c r="Q1079" s="136" t="str">
        <f>IFERROR(__xludf.DUMMYFUNCTION("""COMPUTED_VALUE"""),"")</f>
        <v/>
      </c>
      <c r="R1079" s="106" t="str">
        <f>IFERROR(__xludf.DUMMYFUNCTION("""COMPUTED_VALUE"""),"")</f>
        <v/>
      </c>
      <c r="S1079" s="106" t="str">
        <f>IFERROR(__xludf.DUMMYFUNCTION("""COMPUTED_VALUE"""),"")</f>
        <v/>
      </c>
      <c r="T1079" s="139" t="str">
        <f>IFERROR(__xludf.DUMMYFUNCTION("""COMPUTED_VALUE"""),"")</f>
        <v/>
      </c>
      <c r="U1079" s="139" t="str">
        <f>IFERROR(__xludf.DUMMYFUNCTION("""COMPUTED_VALUE"""),"")</f>
        <v/>
      </c>
      <c r="V1079" s="136" t="str">
        <f>IFERROR(__xludf.DUMMYFUNCTION("""COMPUTED_VALUE"""),"")</f>
        <v/>
      </c>
      <c r="W1079" s="106" t="str">
        <f>IFERROR(__xludf.DUMMYFUNCTION("""COMPUTED_VALUE"""),"")</f>
        <v/>
      </c>
      <c r="X1079" s="143" t="str">
        <f t="shared" si="2"/>
        <v/>
      </c>
      <c r="Y1079" s="139" t="str">
        <f>IFERROR(__xludf.DUMMYFUNCTION("""COMPUTED_VALUE"""),"")</f>
        <v/>
      </c>
      <c r="Z1079" s="141" t="str">
        <f>IFERROR(__xludf.DUMMYFUNCTION("""COMPUTED_VALUE"""),"")</f>
        <v/>
      </c>
    </row>
    <row r="1080">
      <c r="D1080" s="136" t="str">
        <f t="shared" si="3"/>
        <v/>
      </c>
      <c r="E1080" s="152"/>
      <c r="F1080" s="106" t="s">
        <v>133</v>
      </c>
      <c r="G1080" s="152"/>
      <c r="H1080" s="106" t="s">
        <v>133</v>
      </c>
      <c r="J1080" s="139" t="s">
        <v>133</v>
      </c>
      <c r="K1080" s="136" t="s">
        <v>133</v>
      </c>
      <c r="L1080" s="153"/>
      <c r="M1080" s="136" t="str">
        <f t="shared" si="1"/>
        <v/>
      </c>
      <c r="O1080" s="141" t="s">
        <v>133</v>
      </c>
      <c r="P1080" s="136" t="str">
        <f>IFERROR(__xludf.DUMMYFUNCTION("""COMPUTED_VALUE"""),"")</f>
        <v/>
      </c>
      <c r="Q1080" s="136" t="str">
        <f>IFERROR(__xludf.DUMMYFUNCTION("""COMPUTED_VALUE"""),"")</f>
        <v/>
      </c>
      <c r="R1080" s="106" t="str">
        <f>IFERROR(__xludf.DUMMYFUNCTION("""COMPUTED_VALUE"""),"")</f>
        <v/>
      </c>
      <c r="S1080" s="106" t="str">
        <f>IFERROR(__xludf.DUMMYFUNCTION("""COMPUTED_VALUE"""),"")</f>
        <v/>
      </c>
      <c r="T1080" s="139" t="str">
        <f>IFERROR(__xludf.DUMMYFUNCTION("""COMPUTED_VALUE"""),"")</f>
        <v/>
      </c>
      <c r="U1080" s="139" t="str">
        <f>IFERROR(__xludf.DUMMYFUNCTION("""COMPUTED_VALUE"""),"")</f>
        <v/>
      </c>
      <c r="V1080" s="136" t="str">
        <f>IFERROR(__xludf.DUMMYFUNCTION("""COMPUTED_VALUE"""),"")</f>
        <v/>
      </c>
      <c r="W1080" s="106" t="str">
        <f>IFERROR(__xludf.DUMMYFUNCTION("""COMPUTED_VALUE"""),"")</f>
        <v/>
      </c>
      <c r="X1080" s="143" t="str">
        <f t="shared" si="2"/>
        <v/>
      </c>
      <c r="Y1080" s="139" t="str">
        <f>IFERROR(__xludf.DUMMYFUNCTION("""COMPUTED_VALUE"""),"")</f>
        <v/>
      </c>
      <c r="Z1080" s="141" t="str">
        <f>IFERROR(__xludf.DUMMYFUNCTION("""COMPUTED_VALUE"""),"")</f>
        <v/>
      </c>
    </row>
    <row r="1081">
      <c r="D1081" s="136" t="str">
        <f t="shared" si="3"/>
        <v/>
      </c>
      <c r="E1081" s="152"/>
      <c r="F1081" s="106" t="s">
        <v>133</v>
      </c>
      <c r="G1081" s="152"/>
      <c r="H1081" s="106" t="s">
        <v>133</v>
      </c>
      <c r="J1081" s="139" t="s">
        <v>133</v>
      </c>
      <c r="K1081" s="136" t="s">
        <v>133</v>
      </c>
      <c r="L1081" s="153"/>
      <c r="M1081" s="136" t="str">
        <f t="shared" si="1"/>
        <v/>
      </c>
      <c r="O1081" s="141" t="s">
        <v>133</v>
      </c>
      <c r="P1081" s="136" t="str">
        <f>IFERROR(__xludf.DUMMYFUNCTION("""COMPUTED_VALUE"""),"")</f>
        <v/>
      </c>
      <c r="Q1081" s="136" t="str">
        <f>IFERROR(__xludf.DUMMYFUNCTION("""COMPUTED_VALUE"""),"")</f>
        <v/>
      </c>
      <c r="R1081" s="106" t="str">
        <f>IFERROR(__xludf.DUMMYFUNCTION("""COMPUTED_VALUE"""),"")</f>
        <v/>
      </c>
      <c r="S1081" s="106" t="str">
        <f>IFERROR(__xludf.DUMMYFUNCTION("""COMPUTED_VALUE"""),"")</f>
        <v/>
      </c>
      <c r="T1081" s="139" t="str">
        <f>IFERROR(__xludf.DUMMYFUNCTION("""COMPUTED_VALUE"""),"")</f>
        <v/>
      </c>
      <c r="U1081" s="139" t="str">
        <f>IFERROR(__xludf.DUMMYFUNCTION("""COMPUTED_VALUE"""),"")</f>
        <v/>
      </c>
      <c r="V1081" s="136" t="str">
        <f>IFERROR(__xludf.DUMMYFUNCTION("""COMPUTED_VALUE"""),"")</f>
        <v/>
      </c>
      <c r="W1081" s="106" t="str">
        <f>IFERROR(__xludf.DUMMYFUNCTION("""COMPUTED_VALUE"""),"")</f>
        <v/>
      </c>
      <c r="X1081" s="143" t="str">
        <f t="shared" si="2"/>
        <v/>
      </c>
      <c r="Y1081" s="139" t="str">
        <f>IFERROR(__xludf.DUMMYFUNCTION("""COMPUTED_VALUE"""),"")</f>
        <v/>
      </c>
      <c r="Z1081" s="141" t="str">
        <f>IFERROR(__xludf.DUMMYFUNCTION("""COMPUTED_VALUE"""),"")</f>
        <v/>
      </c>
    </row>
    <row r="1082">
      <c r="D1082" s="136" t="str">
        <f t="shared" si="3"/>
        <v/>
      </c>
      <c r="E1082" s="152"/>
      <c r="F1082" s="106" t="s">
        <v>133</v>
      </c>
      <c r="G1082" s="152"/>
      <c r="H1082" s="106" t="s">
        <v>133</v>
      </c>
      <c r="J1082" s="139" t="s">
        <v>133</v>
      </c>
      <c r="K1082" s="136" t="s">
        <v>133</v>
      </c>
      <c r="L1082" s="153"/>
      <c r="M1082" s="136" t="str">
        <f t="shared" si="1"/>
        <v/>
      </c>
      <c r="O1082" s="141" t="s">
        <v>133</v>
      </c>
      <c r="P1082" s="136" t="str">
        <f>IFERROR(__xludf.DUMMYFUNCTION("""COMPUTED_VALUE"""),"")</f>
        <v/>
      </c>
      <c r="Q1082" s="136" t="str">
        <f>IFERROR(__xludf.DUMMYFUNCTION("""COMPUTED_VALUE"""),"")</f>
        <v/>
      </c>
      <c r="R1082" s="106" t="str">
        <f>IFERROR(__xludf.DUMMYFUNCTION("""COMPUTED_VALUE"""),"")</f>
        <v/>
      </c>
      <c r="S1082" s="106" t="str">
        <f>IFERROR(__xludf.DUMMYFUNCTION("""COMPUTED_VALUE"""),"")</f>
        <v/>
      </c>
      <c r="T1082" s="139" t="str">
        <f>IFERROR(__xludf.DUMMYFUNCTION("""COMPUTED_VALUE"""),"")</f>
        <v/>
      </c>
      <c r="U1082" s="139" t="str">
        <f>IFERROR(__xludf.DUMMYFUNCTION("""COMPUTED_VALUE"""),"")</f>
        <v/>
      </c>
      <c r="V1082" s="136" t="str">
        <f>IFERROR(__xludf.DUMMYFUNCTION("""COMPUTED_VALUE"""),"")</f>
        <v/>
      </c>
      <c r="W1082" s="106" t="str">
        <f>IFERROR(__xludf.DUMMYFUNCTION("""COMPUTED_VALUE"""),"")</f>
        <v/>
      </c>
      <c r="X1082" s="143" t="str">
        <f t="shared" si="2"/>
        <v/>
      </c>
      <c r="Y1082" s="139" t="str">
        <f>IFERROR(__xludf.DUMMYFUNCTION("""COMPUTED_VALUE"""),"")</f>
        <v/>
      </c>
      <c r="Z1082" s="141" t="str">
        <f>IFERROR(__xludf.DUMMYFUNCTION("""COMPUTED_VALUE"""),"")</f>
        <v/>
      </c>
    </row>
    <row r="1083">
      <c r="D1083" s="136" t="str">
        <f t="shared" si="3"/>
        <v/>
      </c>
      <c r="E1083" s="152"/>
      <c r="F1083" s="106" t="s">
        <v>133</v>
      </c>
      <c r="G1083" s="152"/>
      <c r="H1083" s="106" t="s">
        <v>133</v>
      </c>
      <c r="J1083" s="139" t="s">
        <v>133</v>
      </c>
      <c r="K1083" s="136" t="s">
        <v>133</v>
      </c>
      <c r="L1083" s="153"/>
      <c r="M1083" s="136" t="str">
        <f t="shared" si="1"/>
        <v/>
      </c>
      <c r="O1083" s="141" t="s">
        <v>133</v>
      </c>
      <c r="P1083" s="136" t="str">
        <f>IFERROR(__xludf.DUMMYFUNCTION("""COMPUTED_VALUE"""),"")</f>
        <v/>
      </c>
      <c r="Q1083" s="136" t="str">
        <f>IFERROR(__xludf.DUMMYFUNCTION("""COMPUTED_VALUE"""),"")</f>
        <v/>
      </c>
      <c r="R1083" s="106" t="str">
        <f>IFERROR(__xludf.DUMMYFUNCTION("""COMPUTED_VALUE"""),"")</f>
        <v/>
      </c>
      <c r="S1083" s="106" t="str">
        <f>IFERROR(__xludf.DUMMYFUNCTION("""COMPUTED_VALUE"""),"")</f>
        <v/>
      </c>
      <c r="T1083" s="139" t="str">
        <f>IFERROR(__xludf.DUMMYFUNCTION("""COMPUTED_VALUE"""),"")</f>
        <v/>
      </c>
      <c r="U1083" s="139" t="str">
        <f>IFERROR(__xludf.DUMMYFUNCTION("""COMPUTED_VALUE"""),"")</f>
        <v/>
      </c>
      <c r="V1083" s="136" t="str">
        <f>IFERROR(__xludf.DUMMYFUNCTION("""COMPUTED_VALUE"""),"")</f>
        <v/>
      </c>
      <c r="W1083" s="106" t="str">
        <f>IFERROR(__xludf.DUMMYFUNCTION("""COMPUTED_VALUE"""),"")</f>
        <v/>
      </c>
      <c r="X1083" s="143" t="str">
        <f t="shared" si="2"/>
        <v/>
      </c>
      <c r="Y1083" s="139" t="str">
        <f>IFERROR(__xludf.DUMMYFUNCTION("""COMPUTED_VALUE"""),"")</f>
        <v/>
      </c>
      <c r="Z1083" s="141" t="str">
        <f>IFERROR(__xludf.DUMMYFUNCTION("""COMPUTED_VALUE"""),"")</f>
        <v/>
      </c>
    </row>
    <row r="1084">
      <c r="D1084" s="136" t="str">
        <f t="shared" si="3"/>
        <v/>
      </c>
      <c r="E1084" s="152"/>
      <c r="F1084" s="106" t="s">
        <v>133</v>
      </c>
      <c r="G1084" s="152"/>
      <c r="H1084" s="106" t="s">
        <v>133</v>
      </c>
      <c r="J1084" s="139" t="s">
        <v>133</v>
      </c>
      <c r="K1084" s="136" t="s">
        <v>133</v>
      </c>
      <c r="L1084" s="153"/>
      <c r="M1084" s="136" t="str">
        <f t="shared" si="1"/>
        <v/>
      </c>
      <c r="O1084" s="141" t="s">
        <v>133</v>
      </c>
      <c r="P1084" s="136" t="str">
        <f>IFERROR(__xludf.DUMMYFUNCTION("""COMPUTED_VALUE"""),"")</f>
        <v/>
      </c>
      <c r="Q1084" s="136" t="str">
        <f>IFERROR(__xludf.DUMMYFUNCTION("""COMPUTED_VALUE"""),"")</f>
        <v/>
      </c>
      <c r="R1084" s="106" t="str">
        <f>IFERROR(__xludf.DUMMYFUNCTION("""COMPUTED_VALUE"""),"")</f>
        <v/>
      </c>
      <c r="S1084" s="106" t="str">
        <f>IFERROR(__xludf.DUMMYFUNCTION("""COMPUTED_VALUE"""),"")</f>
        <v/>
      </c>
      <c r="T1084" s="139" t="str">
        <f>IFERROR(__xludf.DUMMYFUNCTION("""COMPUTED_VALUE"""),"")</f>
        <v/>
      </c>
      <c r="U1084" s="139" t="str">
        <f>IFERROR(__xludf.DUMMYFUNCTION("""COMPUTED_VALUE"""),"")</f>
        <v/>
      </c>
      <c r="V1084" s="136" t="str">
        <f>IFERROR(__xludf.DUMMYFUNCTION("""COMPUTED_VALUE"""),"")</f>
        <v/>
      </c>
      <c r="W1084" s="106" t="str">
        <f>IFERROR(__xludf.DUMMYFUNCTION("""COMPUTED_VALUE"""),"")</f>
        <v/>
      </c>
      <c r="X1084" s="143" t="str">
        <f t="shared" si="2"/>
        <v/>
      </c>
      <c r="Y1084" s="139" t="str">
        <f>IFERROR(__xludf.DUMMYFUNCTION("""COMPUTED_VALUE"""),"")</f>
        <v/>
      </c>
      <c r="Z1084" s="141" t="str">
        <f>IFERROR(__xludf.DUMMYFUNCTION("""COMPUTED_VALUE"""),"")</f>
        <v/>
      </c>
    </row>
    <row r="1085">
      <c r="D1085" s="136" t="str">
        <f t="shared" si="3"/>
        <v/>
      </c>
      <c r="E1085" s="152"/>
      <c r="F1085" s="106" t="s">
        <v>133</v>
      </c>
      <c r="G1085" s="152"/>
      <c r="H1085" s="106" t="s">
        <v>133</v>
      </c>
      <c r="J1085" s="139" t="s">
        <v>133</v>
      </c>
      <c r="K1085" s="136" t="s">
        <v>133</v>
      </c>
      <c r="L1085" s="153"/>
      <c r="M1085" s="136" t="str">
        <f t="shared" si="1"/>
        <v/>
      </c>
      <c r="O1085" s="141" t="s">
        <v>133</v>
      </c>
      <c r="P1085" s="136" t="str">
        <f>IFERROR(__xludf.DUMMYFUNCTION("""COMPUTED_VALUE"""),"")</f>
        <v/>
      </c>
      <c r="Q1085" s="136" t="str">
        <f>IFERROR(__xludf.DUMMYFUNCTION("""COMPUTED_VALUE"""),"")</f>
        <v/>
      </c>
      <c r="R1085" s="106" t="str">
        <f>IFERROR(__xludf.DUMMYFUNCTION("""COMPUTED_VALUE"""),"")</f>
        <v/>
      </c>
      <c r="S1085" s="106" t="str">
        <f>IFERROR(__xludf.DUMMYFUNCTION("""COMPUTED_VALUE"""),"")</f>
        <v/>
      </c>
      <c r="T1085" s="139" t="str">
        <f>IFERROR(__xludf.DUMMYFUNCTION("""COMPUTED_VALUE"""),"")</f>
        <v/>
      </c>
      <c r="U1085" s="139" t="str">
        <f>IFERROR(__xludf.DUMMYFUNCTION("""COMPUTED_VALUE"""),"")</f>
        <v/>
      </c>
      <c r="V1085" s="136" t="str">
        <f>IFERROR(__xludf.DUMMYFUNCTION("""COMPUTED_VALUE"""),"")</f>
        <v/>
      </c>
      <c r="W1085" s="106" t="str">
        <f>IFERROR(__xludf.DUMMYFUNCTION("""COMPUTED_VALUE"""),"")</f>
        <v/>
      </c>
      <c r="X1085" s="143" t="str">
        <f t="shared" si="2"/>
        <v/>
      </c>
      <c r="Y1085" s="139" t="str">
        <f>IFERROR(__xludf.DUMMYFUNCTION("""COMPUTED_VALUE"""),"")</f>
        <v/>
      </c>
      <c r="Z1085" s="141" t="str">
        <f>IFERROR(__xludf.DUMMYFUNCTION("""COMPUTED_VALUE"""),"")</f>
        <v/>
      </c>
    </row>
    <row r="1086">
      <c r="D1086" s="136" t="str">
        <f t="shared" si="3"/>
        <v/>
      </c>
      <c r="E1086" s="152"/>
      <c r="F1086" s="106" t="s">
        <v>133</v>
      </c>
      <c r="G1086" s="152"/>
      <c r="H1086" s="106" t="s">
        <v>133</v>
      </c>
      <c r="J1086" s="139" t="s">
        <v>133</v>
      </c>
      <c r="K1086" s="136" t="s">
        <v>133</v>
      </c>
      <c r="L1086" s="153"/>
      <c r="M1086" s="136" t="str">
        <f t="shared" si="1"/>
        <v/>
      </c>
      <c r="O1086" s="141" t="s">
        <v>133</v>
      </c>
      <c r="P1086" s="136" t="str">
        <f>IFERROR(__xludf.DUMMYFUNCTION("""COMPUTED_VALUE"""),"")</f>
        <v/>
      </c>
      <c r="Q1086" s="136" t="str">
        <f>IFERROR(__xludf.DUMMYFUNCTION("""COMPUTED_VALUE"""),"")</f>
        <v/>
      </c>
      <c r="R1086" s="106" t="str">
        <f>IFERROR(__xludf.DUMMYFUNCTION("""COMPUTED_VALUE"""),"")</f>
        <v/>
      </c>
      <c r="S1086" s="106" t="str">
        <f>IFERROR(__xludf.DUMMYFUNCTION("""COMPUTED_VALUE"""),"")</f>
        <v/>
      </c>
      <c r="T1086" s="139" t="str">
        <f>IFERROR(__xludf.DUMMYFUNCTION("""COMPUTED_VALUE"""),"")</f>
        <v/>
      </c>
      <c r="U1086" s="139" t="str">
        <f>IFERROR(__xludf.DUMMYFUNCTION("""COMPUTED_VALUE"""),"")</f>
        <v/>
      </c>
      <c r="V1086" s="136" t="str">
        <f>IFERROR(__xludf.DUMMYFUNCTION("""COMPUTED_VALUE"""),"")</f>
        <v/>
      </c>
      <c r="W1086" s="106" t="str">
        <f>IFERROR(__xludf.DUMMYFUNCTION("""COMPUTED_VALUE"""),"")</f>
        <v/>
      </c>
      <c r="X1086" s="143" t="str">
        <f t="shared" si="2"/>
        <v/>
      </c>
      <c r="Y1086" s="139" t="str">
        <f>IFERROR(__xludf.DUMMYFUNCTION("""COMPUTED_VALUE"""),"")</f>
        <v/>
      </c>
      <c r="Z1086" s="141" t="str">
        <f>IFERROR(__xludf.DUMMYFUNCTION("""COMPUTED_VALUE"""),"")</f>
        <v/>
      </c>
    </row>
    <row r="1087">
      <c r="D1087" s="136" t="str">
        <f t="shared" si="3"/>
        <v/>
      </c>
      <c r="E1087" s="152"/>
      <c r="F1087" s="106" t="s">
        <v>133</v>
      </c>
      <c r="G1087" s="152"/>
      <c r="H1087" s="106" t="s">
        <v>133</v>
      </c>
      <c r="J1087" s="139" t="s">
        <v>133</v>
      </c>
      <c r="K1087" s="136" t="s">
        <v>133</v>
      </c>
      <c r="L1087" s="153"/>
      <c r="M1087" s="136" t="str">
        <f t="shared" si="1"/>
        <v/>
      </c>
      <c r="O1087" s="141" t="s">
        <v>133</v>
      </c>
      <c r="P1087" s="136" t="str">
        <f>IFERROR(__xludf.DUMMYFUNCTION("""COMPUTED_VALUE"""),"")</f>
        <v/>
      </c>
      <c r="Q1087" s="136" t="str">
        <f>IFERROR(__xludf.DUMMYFUNCTION("""COMPUTED_VALUE"""),"")</f>
        <v/>
      </c>
      <c r="R1087" s="106" t="str">
        <f>IFERROR(__xludf.DUMMYFUNCTION("""COMPUTED_VALUE"""),"")</f>
        <v/>
      </c>
      <c r="S1087" s="106" t="str">
        <f>IFERROR(__xludf.DUMMYFUNCTION("""COMPUTED_VALUE"""),"")</f>
        <v/>
      </c>
      <c r="T1087" s="139" t="str">
        <f>IFERROR(__xludf.DUMMYFUNCTION("""COMPUTED_VALUE"""),"")</f>
        <v/>
      </c>
      <c r="U1087" s="139" t="str">
        <f>IFERROR(__xludf.DUMMYFUNCTION("""COMPUTED_VALUE"""),"")</f>
        <v/>
      </c>
      <c r="V1087" s="136" t="str">
        <f>IFERROR(__xludf.DUMMYFUNCTION("""COMPUTED_VALUE"""),"")</f>
        <v/>
      </c>
      <c r="W1087" s="106" t="str">
        <f>IFERROR(__xludf.DUMMYFUNCTION("""COMPUTED_VALUE"""),"")</f>
        <v/>
      </c>
      <c r="X1087" s="143" t="str">
        <f t="shared" si="2"/>
        <v/>
      </c>
      <c r="Y1087" s="139" t="str">
        <f>IFERROR(__xludf.DUMMYFUNCTION("""COMPUTED_VALUE"""),"")</f>
        <v/>
      </c>
      <c r="Z1087" s="141" t="str">
        <f>IFERROR(__xludf.DUMMYFUNCTION("""COMPUTED_VALUE"""),"")</f>
        <v/>
      </c>
    </row>
    <row r="1088">
      <c r="D1088" s="136" t="str">
        <f t="shared" si="3"/>
        <v/>
      </c>
      <c r="E1088" s="152"/>
      <c r="F1088" s="106" t="s">
        <v>133</v>
      </c>
      <c r="G1088" s="152"/>
      <c r="H1088" s="106" t="s">
        <v>133</v>
      </c>
      <c r="J1088" s="139" t="s">
        <v>133</v>
      </c>
      <c r="K1088" s="136" t="s">
        <v>133</v>
      </c>
      <c r="L1088" s="153"/>
      <c r="M1088" s="136" t="str">
        <f t="shared" si="1"/>
        <v/>
      </c>
      <c r="O1088" s="141" t="s">
        <v>133</v>
      </c>
      <c r="P1088" s="136" t="str">
        <f>IFERROR(__xludf.DUMMYFUNCTION("""COMPUTED_VALUE"""),"")</f>
        <v/>
      </c>
      <c r="Q1088" s="136" t="str">
        <f>IFERROR(__xludf.DUMMYFUNCTION("""COMPUTED_VALUE"""),"")</f>
        <v/>
      </c>
      <c r="R1088" s="106" t="str">
        <f>IFERROR(__xludf.DUMMYFUNCTION("""COMPUTED_VALUE"""),"")</f>
        <v/>
      </c>
      <c r="S1088" s="106" t="str">
        <f>IFERROR(__xludf.DUMMYFUNCTION("""COMPUTED_VALUE"""),"")</f>
        <v/>
      </c>
      <c r="T1088" s="139" t="str">
        <f>IFERROR(__xludf.DUMMYFUNCTION("""COMPUTED_VALUE"""),"")</f>
        <v/>
      </c>
      <c r="U1088" s="139" t="str">
        <f>IFERROR(__xludf.DUMMYFUNCTION("""COMPUTED_VALUE"""),"")</f>
        <v/>
      </c>
      <c r="V1088" s="136" t="str">
        <f>IFERROR(__xludf.DUMMYFUNCTION("""COMPUTED_VALUE"""),"")</f>
        <v/>
      </c>
      <c r="W1088" s="106" t="str">
        <f>IFERROR(__xludf.DUMMYFUNCTION("""COMPUTED_VALUE"""),"")</f>
        <v/>
      </c>
      <c r="X1088" s="143" t="str">
        <f t="shared" si="2"/>
        <v/>
      </c>
      <c r="Y1088" s="139" t="str">
        <f>IFERROR(__xludf.DUMMYFUNCTION("""COMPUTED_VALUE"""),"")</f>
        <v/>
      </c>
      <c r="Z1088" s="141" t="str">
        <f>IFERROR(__xludf.DUMMYFUNCTION("""COMPUTED_VALUE"""),"")</f>
        <v/>
      </c>
    </row>
    <row r="1089">
      <c r="D1089" s="136" t="str">
        <f t="shared" si="3"/>
        <v/>
      </c>
      <c r="E1089" s="152"/>
      <c r="F1089" s="106" t="s">
        <v>133</v>
      </c>
      <c r="G1089" s="152"/>
      <c r="H1089" s="106" t="s">
        <v>133</v>
      </c>
      <c r="J1089" s="139" t="s">
        <v>133</v>
      </c>
      <c r="K1089" s="136" t="s">
        <v>133</v>
      </c>
      <c r="L1089" s="153"/>
      <c r="M1089" s="136" t="str">
        <f t="shared" si="1"/>
        <v/>
      </c>
      <c r="O1089" s="141" t="s">
        <v>133</v>
      </c>
      <c r="P1089" s="136" t="str">
        <f>IFERROR(__xludf.DUMMYFUNCTION("""COMPUTED_VALUE"""),"")</f>
        <v/>
      </c>
      <c r="Q1089" s="136" t="str">
        <f>IFERROR(__xludf.DUMMYFUNCTION("""COMPUTED_VALUE"""),"")</f>
        <v/>
      </c>
      <c r="R1089" s="106" t="str">
        <f>IFERROR(__xludf.DUMMYFUNCTION("""COMPUTED_VALUE"""),"")</f>
        <v/>
      </c>
      <c r="S1089" s="106" t="str">
        <f>IFERROR(__xludf.DUMMYFUNCTION("""COMPUTED_VALUE"""),"")</f>
        <v/>
      </c>
      <c r="T1089" s="139" t="str">
        <f>IFERROR(__xludf.DUMMYFUNCTION("""COMPUTED_VALUE"""),"")</f>
        <v/>
      </c>
      <c r="U1089" s="139" t="str">
        <f>IFERROR(__xludf.DUMMYFUNCTION("""COMPUTED_VALUE"""),"")</f>
        <v/>
      </c>
      <c r="V1089" s="136" t="str">
        <f>IFERROR(__xludf.DUMMYFUNCTION("""COMPUTED_VALUE"""),"")</f>
        <v/>
      </c>
      <c r="W1089" s="106" t="str">
        <f>IFERROR(__xludf.DUMMYFUNCTION("""COMPUTED_VALUE"""),"")</f>
        <v/>
      </c>
      <c r="X1089" s="143" t="str">
        <f t="shared" si="2"/>
        <v/>
      </c>
      <c r="Y1089" s="139" t="str">
        <f>IFERROR(__xludf.DUMMYFUNCTION("""COMPUTED_VALUE"""),"")</f>
        <v/>
      </c>
      <c r="Z1089" s="141" t="str">
        <f>IFERROR(__xludf.DUMMYFUNCTION("""COMPUTED_VALUE"""),"")</f>
        <v/>
      </c>
    </row>
    <row r="1090">
      <c r="D1090" s="136" t="str">
        <f t="shared" si="3"/>
        <v/>
      </c>
      <c r="E1090" s="152"/>
      <c r="F1090" s="106" t="s">
        <v>133</v>
      </c>
      <c r="G1090" s="152"/>
      <c r="H1090" s="106" t="s">
        <v>133</v>
      </c>
      <c r="J1090" s="139" t="s">
        <v>133</v>
      </c>
      <c r="K1090" s="136" t="s">
        <v>133</v>
      </c>
      <c r="L1090" s="153"/>
      <c r="M1090" s="136" t="str">
        <f t="shared" si="1"/>
        <v/>
      </c>
      <c r="O1090" s="141" t="s">
        <v>133</v>
      </c>
      <c r="P1090" s="136" t="str">
        <f>IFERROR(__xludf.DUMMYFUNCTION("""COMPUTED_VALUE"""),"")</f>
        <v/>
      </c>
      <c r="Q1090" s="136" t="str">
        <f>IFERROR(__xludf.DUMMYFUNCTION("""COMPUTED_VALUE"""),"")</f>
        <v/>
      </c>
      <c r="R1090" s="106" t="str">
        <f>IFERROR(__xludf.DUMMYFUNCTION("""COMPUTED_VALUE"""),"")</f>
        <v/>
      </c>
      <c r="S1090" s="106" t="str">
        <f>IFERROR(__xludf.DUMMYFUNCTION("""COMPUTED_VALUE"""),"")</f>
        <v/>
      </c>
      <c r="T1090" s="139" t="str">
        <f>IFERROR(__xludf.DUMMYFUNCTION("""COMPUTED_VALUE"""),"")</f>
        <v/>
      </c>
      <c r="U1090" s="139" t="str">
        <f>IFERROR(__xludf.DUMMYFUNCTION("""COMPUTED_VALUE"""),"")</f>
        <v/>
      </c>
      <c r="V1090" s="136" t="str">
        <f>IFERROR(__xludf.DUMMYFUNCTION("""COMPUTED_VALUE"""),"")</f>
        <v/>
      </c>
      <c r="W1090" s="106" t="str">
        <f>IFERROR(__xludf.DUMMYFUNCTION("""COMPUTED_VALUE"""),"")</f>
        <v/>
      </c>
      <c r="X1090" s="143" t="str">
        <f t="shared" si="2"/>
        <v/>
      </c>
      <c r="Y1090" s="139" t="str">
        <f>IFERROR(__xludf.DUMMYFUNCTION("""COMPUTED_VALUE"""),"")</f>
        <v/>
      </c>
      <c r="Z1090" s="141" t="str">
        <f>IFERROR(__xludf.DUMMYFUNCTION("""COMPUTED_VALUE"""),"")</f>
        <v/>
      </c>
    </row>
    <row r="1091">
      <c r="D1091" s="136" t="str">
        <f t="shared" si="3"/>
        <v/>
      </c>
      <c r="E1091" s="152"/>
      <c r="F1091" s="106" t="s">
        <v>133</v>
      </c>
      <c r="G1091" s="152"/>
      <c r="H1091" s="106" t="s">
        <v>133</v>
      </c>
      <c r="J1091" s="139" t="s">
        <v>133</v>
      </c>
      <c r="K1091" s="136" t="s">
        <v>133</v>
      </c>
      <c r="L1091" s="153"/>
      <c r="M1091" s="136" t="str">
        <f t="shared" si="1"/>
        <v/>
      </c>
      <c r="O1091" s="141" t="s">
        <v>133</v>
      </c>
      <c r="P1091" s="136" t="str">
        <f>IFERROR(__xludf.DUMMYFUNCTION("""COMPUTED_VALUE"""),"")</f>
        <v/>
      </c>
      <c r="Q1091" s="136" t="str">
        <f>IFERROR(__xludf.DUMMYFUNCTION("""COMPUTED_VALUE"""),"")</f>
        <v/>
      </c>
      <c r="R1091" s="106" t="str">
        <f>IFERROR(__xludf.DUMMYFUNCTION("""COMPUTED_VALUE"""),"")</f>
        <v/>
      </c>
      <c r="S1091" s="106" t="str">
        <f>IFERROR(__xludf.DUMMYFUNCTION("""COMPUTED_VALUE"""),"")</f>
        <v/>
      </c>
      <c r="T1091" s="139" t="str">
        <f>IFERROR(__xludf.DUMMYFUNCTION("""COMPUTED_VALUE"""),"")</f>
        <v/>
      </c>
      <c r="U1091" s="139" t="str">
        <f>IFERROR(__xludf.DUMMYFUNCTION("""COMPUTED_VALUE"""),"")</f>
        <v/>
      </c>
      <c r="V1091" s="136" t="str">
        <f>IFERROR(__xludf.DUMMYFUNCTION("""COMPUTED_VALUE"""),"")</f>
        <v/>
      </c>
      <c r="W1091" s="106" t="str">
        <f>IFERROR(__xludf.DUMMYFUNCTION("""COMPUTED_VALUE"""),"")</f>
        <v/>
      </c>
      <c r="X1091" s="143" t="str">
        <f t="shared" si="2"/>
        <v/>
      </c>
      <c r="Y1091" s="139" t="str">
        <f>IFERROR(__xludf.DUMMYFUNCTION("""COMPUTED_VALUE"""),"")</f>
        <v/>
      </c>
      <c r="Z1091" s="141" t="str">
        <f>IFERROR(__xludf.DUMMYFUNCTION("""COMPUTED_VALUE"""),"")</f>
        <v/>
      </c>
    </row>
    <row r="1092">
      <c r="D1092" s="136" t="str">
        <f t="shared" si="3"/>
        <v/>
      </c>
      <c r="E1092" s="152"/>
      <c r="F1092" s="106" t="s">
        <v>133</v>
      </c>
      <c r="G1092" s="152"/>
      <c r="H1092" s="106" t="s">
        <v>133</v>
      </c>
      <c r="J1092" s="139" t="s">
        <v>133</v>
      </c>
      <c r="K1092" s="136" t="s">
        <v>133</v>
      </c>
      <c r="L1092" s="153"/>
      <c r="M1092" s="136" t="str">
        <f t="shared" si="1"/>
        <v/>
      </c>
      <c r="O1092" s="141" t="s">
        <v>133</v>
      </c>
      <c r="P1092" s="136" t="str">
        <f>IFERROR(__xludf.DUMMYFUNCTION("""COMPUTED_VALUE"""),"")</f>
        <v/>
      </c>
      <c r="Q1092" s="136" t="str">
        <f>IFERROR(__xludf.DUMMYFUNCTION("""COMPUTED_VALUE"""),"")</f>
        <v/>
      </c>
      <c r="R1092" s="106" t="str">
        <f>IFERROR(__xludf.DUMMYFUNCTION("""COMPUTED_VALUE"""),"")</f>
        <v/>
      </c>
      <c r="S1092" s="106" t="str">
        <f>IFERROR(__xludf.DUMMYFUNCTION("""COMPUTED_VALUE"""),"")</f>
        <v/>
      </c>
      <c r="T1092" s="139" t="str">
        <f>IFERROR(__xludf.DUMMYFUNCTION("""COMPUTED_VALUE"""),"")</f>
        <v/>
      </c>
      <c r="U1092" s="139" t="str">
        <f>IFERROR(__xludf.DUMMYFUNCTION("""COMPUTED_VALUE"""),"")</f>
        <v/>
      </c>
      <c r="V1092" s="136" t="str">
        <f>IFERROR(__xludf.DUMMYFUNCTION("""COMPUTED_VALUE"""),"")</f>
        <v/>
      </c>
      <c r="W1092" s="106" t="str">
        <f>IFERROR(__xludf.DUMMYFUNCTION("""COMPUTED_VALUE"""),"")</f>
        <v/>
      </c>
      <c r="X1092" s="143" t="str">
        <f t="shared" si="2"/>
        <v/>
      </c>
      <c r="Y1092" s="139" t="str">
        <f>IFERROR(__xludf.DUMMYFUNCTION("""COMPUTED_VALUE"""),"")</f>
        <v/>
      </c>
      <c r="Z1092" s="141" t="str">
        <f>IFERROR(__xludf.DUMMYFUNCTION("""COMPUTED_VALUE"""),"")</f>
        <v/>
      </c>
    </row>
    <row r="1093">
      <c r="D1093" s="136" t="str">
        <f t="shared" si="3"/>
        <v/>
      </c>
      <c r="E1093" s="152"/>
      <c r="F1093" s="106" t="s">
        <v>133</v>
      </c>
      <c r="G1093" s="152"/>
      <c r="H1093" s="106" t="s">
        <v>133</v>
      </c>
      <c r="J1093" s="139" t="s">
        <v>133</v>
      </c>
      <c r="K1093" s="136" t="s">
        <v>133</v>
      </c>
      <c r="L1093" s="153"/>
      <c r="M1093" s="136" t="str">
        <f t="shared" si="1"/>
        <v/>
      </c>
      <c r="O1093" s="141" t="s">
        <v>133</v>
      </c>
      <c r="P1093" s="136" t="str">
        <f>IFERROR(__xludf.DUMMYFUNCTION("""COMPUTED_VALUE"""),"")</f>
        <v/>
      </c>
      <c r="Q1093" s="136" t="str">
        <f>IFERROR(__xludf.DUMMYFUNCTION("""COMPUTED_VALUE"""),"")</f>
        <v/>
      </c>
      <c r="R1093" s="106" t="str">
        <f>IFERROR(__xludf.DUMMYFUNCTION("""COMPUTED_VALUE"""),"")</f>
        <v/>
      </c>
      <c r="S1093" s="106" t="str">
        <f>IFERROR(__xludf.DUMMYFUNCTION("""COMPUTED_VALUE"""),"")</f>
        <v/>
      </c>
      <c r="T1093" s="139" t="str">
        <f>IFERROR(__xludf.DUMMYFUNCTION("""COMPUTED_VALUE"""),"")</f>
        <v/>
      </c>
      <c r="U1093" s="139" t="str">
        <f>IFERROR(__xludf.DUMMYFUNCTION("""COMPUTED_VALUE"""),"")</f>
        <v/>
      </c>
      <c r="V1093" s="136" t="str">
        <f>IFERROR(__xludf.DUMMYFUNCTION("""COMPUTED_VALUE"""),"")</f>
        <v/>
      </c>
      <c r="W1093" s="106" t="str">
        <f>IFERROR(__xludf.DUMMYFUNCTION("""COMPUTED_VALUE"""),"")</f>
        <v/>
      </c>
      <c r="X1093" s="143" t="str">
        <f t="shared" si="2"/>
        <v/>
      </c>
      <c r="Y1093" s="139" t="str">
        <f>IFERROR(__xludf.DUMMYFUNCTION("""COMPUTED_VALUE"""),"")</f>
        <v/>
      </c>
      <c r="Z1093" s="141" t="str">
        <f>IFERROR(__xludf.DUMMYFUNCTION("""COMPUTED_VALUE"""),"")</f>
        <v/>
      </c>
    </row>
    <row r="1094">
      <c r="D1094" s="136" t="str">
        <f t="shared" si="3"/>
        <v/>
      </c>
      <c r="E1094" s="152"/>
      <c r="F1094" s="106" t="s">
        <v>133</v>
      </c>
      <c r="G1094" s="152"/>
      <c r="H1094" s="106" t="s">
        <v>133</v>
      </c>
      <c r="J1094" s="139" t="s">
        <v>133</v>
      </c>
      <c r="K1094" s="136" t="s">
        <v>133</v>
      </c>
      <c r="L1094" s="153"/>
      <c r="M1094" s="136" t="str">
        <f t="shared" si="1"/>
        <v/>
      </c>
      <c r="O1094" s="141" t="s">
        <v>133</v>
      </c>
      <c r="P1094" s="136" t="str">
        <f>IFERROR(__xludf.DUMMYFUNCTION("""COMPUTED_VALUE"""),"")</f>
        <v/>
      </c>
      <c r="Q1094" s="136" t="str">
        <f>IFERROR(__xludf.DUMMYFUNCTION("""COMPUTED_VALUE"""),"")</f>
        <v/>
      </c>
      <c r="R1094" s="106" t="str">
        <f>IFERROR(__xludf.DUMMYFUNCTION("""COMPUTED_VALUE"""),"")</f>
        <v/>
      </c>
      <c r="S1094" s="106" t="str">
        <f>IFERROR(__xludf.DUMMYFUNCTION("""COMPUTED_VALUE"""),"")</f>
        <v/>
      </c>
      <c r="T1094" s="139" t="str">
        <f>IFERROR(__xludf.DUMMYFUNCTION("""COMPUTED_VALUE"""),"")</f>
        <v/>
      </c>
      <c r="U1094" s="139" t="str">
        <f>IFERROR(__xludf.DUMMYFUNCTION("""COMPUTED_VALUE"""),"")</f>
        <v/>
      </c>
      <c r="V1094" s="136" t="str">
        <f>IFERROR(__xludf.DUMMYFUNCTION("""COMPUTED_VALUE"""),"")</f>
        <v/>
      </c>
      <c r="W1094" s="106" t="str">
        <f>IFERROR(__xludf.DUMMYFUNCTION("""COMPUTED_VALUE"""),"")</f>
        <v/>
      </c>
      <c r="X1094" s="143" t="str">
        <f t="shared" si="2"/>
        <v/>
      </c>
      <c r="Y1094" s="139" t="str">
        <f>IFERROR(__xludf.DUMMYFUNCTION("""COMPUTED_VALUE"""),"")</f>
        <v/>
      </c>
      <c r="Z1094" s="141" t="str">
        <f>IFERROR(__xludf.DUMMYFUNCTION("""COMPUTED_VALUE"""),"")</f>
        <v/>
      </c>
    </row>
    <row r="1095">
      <c r="D1095" s="136" t="str">
        <f t="shared" si="3"/>
        <v/>
      </c>
      <c r="E1095" s="152"/>
      <c r="F1095" s="106" t="s">
        <v>133</v>
      </c>
      <c r="G1095" s="152"/>
      <c r="H1095" s="106" t="s">
        <v>133</v>
      </c>
      <c r="J1095" s="139" t="s">
        <v>133</v>
      </c>
      <c r="K1095" s="136" t="s">
        <v>133</v>
      </c>
      <c r="L1095" s="153"/>
      <c r="M1095" s="136" t="str">
        <f t="shared" si="1"/>
        <v/>
      </c>
      <c r="O1095" s="141" t="s">
        <v>133</v>
      </c>
      <c r="P1095" s="136" t="str">
        <f>IFERROR(__xludf.DUMMYFUNCTION("""COMPUTED_VALUE"""),"")</f>
        <v/>
      </c>
      <c r="Q1095" s="136" t="str">
        <f>IFERROR(__xludf.DUMMYFUNCTION("""COMPUTED_VALUE"""),"")</f>
        <v/>
      </c>
      <c r="R1095" s="106" t="str">
        <f>IFERROR(__xludf.DUMMYFUNCTION("""COMPUTED_VALUE"""),"")</f>
        <v/>
      </c>
      <c r="S1095" s="106" t="str">
        <f>IFERROR(__xludf.DUMMYFUNCTION("""COMPUTED_VALUE"""),"")</f>
        <v/>
      </c>
      <c r="T1095" s="139" t="str">
        <f>IFERROR(__xludf.DUMMYFUNCTION("""COMPUTED_VALUE"""),"")</f>
        <v/>
      </c>
      <c r="U1095" s="139" t="str">
        <f>IFERROR(__xludf.DUMMYFUNCTION("""COMPUTED_VALUE"""),"")</f>
        <v/>
      </c>
      <c r="V1095" s="136" t="str">
        <f>IFERROR(__xludf.DUMMYFUNCTION("""COMPUTED_VALUE"""),"")</f>
        <v/>
      </c>
      <c r="W1095" s="106" t="str">
        <f>IFERROR(__xludf.DUMMYFUNCTION("""COMPUTED_VALUE"""),"")</f>
        <v/>
      </c>
      <c r="X1095" s="143" t="str">
        <f t="shared" si="2"/>
        <v/>
      </c>
      <c r="Y1095" s="139" t="str">
        <f>IFERROR(__xludf.DUMMYFUNCTION("""COMPUTED_VALUE"""),"")</f>
        <v/>
      </c>
      <c r="Z1095" s="141" t="str">
        <f>IFERROR(__xludf.DUMMYFUNCTION("""COMPUTED_VALUE"""),"")</f>
        <v/>
      </c>
    </row>
    <row r="1096">
      <c r="D1096" s="136" t="str">
        <f t="shared" si="3"/>
        <v/>
      </c>
      <c r="E1096" s="152"/>
      <c r="F1096" s="106" t="s">
        <v>133</v>
      </c>
      <c r="G1096" s="152"/>
      <c r="H1096" s="106" t="s">
        <v>133</v>
      </c>
      <c r="J1096" s="139" t="s">
        <v>133</v>
      </c>
      <c r="K1096" s="136" t="s">
        <v>133</v>
      </c>
      <c r="L1096" s="153"/>
      <c r="M1096" s="136" t="str">
        <f t="shared" si="1"/>
        <v/>
      </c>
      <c r="O1096" s="141" t="s">
        <v>133</v>
      </c>
      <c r="P1096" s="136" t="str">
        <f>IFERROR(__xludf.DUMMYFUNCTION("""COMPUTED_VALUE"""),"")</f>
        <v/>
      </c>
      <c r="Q1096" s="136" t="str">
        <f>IFERROR(__xludf.DUMMYFUNCTION("""COMPUTED_VALUE"""),"")</f>
        <v/>
      </c>
      <c r="R1096" s="106" t="str">
        <f>IFERROR(__xludf.DUMMYFUNCTION("""COMPUTED_VALUE"""),"")</f>
        <v/>
      </c>
      <c r="S1096" s="106" t="str">
        <f>IFERROR(__xludf.DUMMYFUNCTION("""COMPUTED_VALUE"""),"")</f>
        <v/>
      </c>
      <c r="T1096" s="139" t="str">
        <f>IFERROR(__xludf.DUMMYFUNCTION("""COMPUTED_VALUE"""),"")</f>
        <v/>
      </c>
      <c r="U1096" s="139" t="str">
        <f>IFERROR(__xludf.DUMMYFUNCTION("""COMPUTED_VALUE"""),"")</f>
        <v/>
      </c>
      <c r="V1096" s="136" t="str">
        <f>IFERROR(__xludf.DUMMYFUNCTION("""COMPUTED_VALUE"""),"")</f>
        <v/>
      </c>
      <c r="W1096" s="106" t="str">
        <f>IFERROR(__xludf.DUMMYFUNCTION("""COMPUTED_VALUE"""),"")</f>
        <v/>
      </c>
      <c r="X1096" s="143" t="str">
        <f t="shared" si="2"/>
        <v/>
      </c>
      <c r="Y1096" s="139" t="str">
        <f>IFERROR(__xludf.DUMMYFUNCTION("""COMPUTED_VALUE"""),"")</f>
        <v/>
      </c>
      <c r="Z1096" s="141" t="str">
        <f>IFERROR(__xludf.DUMMYFUNCTION("""COMPUTED_VALUE"""),"")</f>
        <v/>
      </c>
    </row>
    <row r="1097">
      <c r="D1097" s="136" t="str">
        <f t="shared" si="3"/>
        <v/>
      </c>
      <c r="E1097" s="152"/>
      <c r="F1097" s="106" t="s">
        <v>133</v>
      </c>
      <c r="G1097" s="152"/>
      <c r="H1097" s="106" t="s">
        <v>133</v>
      </c>
      <c r="J1097" s="139" t="s">
        <v>133</v>
      </c>
      <c r="K1097" s="136" t="s">
        <v>133</v>
      </c>
      <c r="L1097" s="153"/>
      <c r="M1097" s="136" t="str">
        <f t="shared" si="1"/>
        <v/>
      </c>
      <c r="O1097" s="141" t="s">
        <v>133</v>
      </c>
      <c r="P1097" s="136" t="str">
        <f>IFERROR(__xludf.DUMMYFUNCTION("""COMPUTED_VALUE"""),"")</f>
        <v/>
      </c>
      <c r="Q1097" s="136" t="str">
        <f>IFERROR(__xludf.DUMMYFUNCTION("""COMPUTED_VALUE"""),"")</f>
        <v/>
      </c>
      <c r="R1097" s="106" t="str">
        <f>IFERROR(__xludf.DUMMYFUNCTION("""COMPUTED_VALUE"""),"")</f>
        <v/>
      </c>
      <c r="S1097" s="106" t="str">
        <f>IFERROR(__xludf.DUMMYFUNCTION("""COMPUTED_VALUE"""),"")</f>
        <v/>
      </c>
      <c r="T1097" s="139" t="str">
        <f>IFERROR(__xludf.DUMMYFUNCTION("""COMPUTED_VALUE"""),"")</f>
        <v/>
      </c>
      <c r="U1097" s="139" t="str">
        <f>IFERROR(__xludf.DUMMYFUNCTION("""COMPUTED_VALUE"""),"")</f>
        <v/>
      </c>
      <c r="V1097" s="136" t="str">
        <f>IFERROR(__xludf.DUMMYFUNCTION("""COMPUTED_VALUE"""),"")</f>
        <v/>
      </c>
      <c r="W1097" s="106" t="str">
        <f>IFERROR(__xludf.DUMMYFUNCTION("""COMPUTED_VALUE"""),"")</f>
        <v/>
      </c>
      <c r="X1097" s="143" t="str">
        <f t="shared" si="2"/>
        <v/>
      </c>
      <c r="Y1097" s="139" t="str">
        <f>IFERROR(__xludf.DUMMYFUNCTION("""COMPUTED_VALUE"""),"")</f>
        <v/>
      </c>
      <c r="Z1097" s="141" t="str">
        <f>IFERROR(__xludf.DUMMYFUNCTION("""COMPUTED_VALUE"""),"")</f>
        <v/>
      </c>
    </row>
    <row r="1098">
      <c r="D1098" s="136" t="str">
        <f t="shared" si="3"/>
        <v/>
      </c>
      <c r="E1098" s="152"/>
      <c r="F1098" s="106" t="s">
        <v>133</v>
      </c>
      <c r="G1098" s="152"/>
      <c r="H1098" s="106" t="s">
        <v>133</v>
      </c>
      <c r="J1098" s="139" t="s">
        <v>133</v>
      </c>
      <c r="K1098" s="136" t="s">
        <v>133</v>
      </c>
      <c r="L1098" s="153"/>
      <c r="M1098" s="136" t="str">
        <f t="shared" si="1"/>
        <v/>
      </c>
      <c r="O1098" s="141" t="s">
        <v>133</v>
      </c>
      <c r="P1098" s="136" t="str">
        <f>IFERROR(__xludf.DUMMYFUNCTION("""COMPUTED_VALUE"""),"")</f>
        <v/>
      </c>
      <c r="Q1098" s="136" t="str">
        <f>IFERROR(__xludf.DUMMYFUNCTION("""COMPUTED_VALUE"""),"")</f>
        <v/>
      </c>
      <c r="R1098" s="106" t="str">
        <f>IFERROR(__xludf.DUMMYFUNCTION("""COMPUTED_VALUE"""),"")</f>
        <v/>
      </c>
      <c r="S1098" s="106" t="str">
        <f>IFERROR(__xludf.DUMMYFUNCTION("""COMPUTED_VALUE"""),"")</f>
        <v/>
      </c>
      <c r="T1098" s="139" t="str">
        <f>IFERROR(__xludf.DUMMYFUNCTION("""COMPUTED_VALUE"""),"")</f>
        <v/>
      </c>
      <c r="U1098" s="139" t="str">
        <f>IFERROR(__xludf.DUMMYFUNCTION("""COMPUTED_VALUE"""),"")</f>
        <v/>
      </c>
      <c r="V1098" s="136" t="str">
        <f>IFERROR(__xludf.DUMMYFUNCTION("""COMPUTED_VALUE"""),"")</f>
        <v/>
      </c>
      <c r="W1098" s="106" t="str">
        <f>IFERROR(__xludf.DUMMYFUNCTION("""COMPUTED_VALUE"""),"")</f>
        <v/>
      </c>
      <c r="X1098" s="143" t="str">
        <f t="shared" si="2"/>
        <v/>
      </c>
      <c r="Y1098" s="139" t="str">
        <f>IFERROR(__xludf.DUMMYFUNCTION("""COMPUTED_VALUE"""),"")</f>
        <v/>
      </c>
      <c r="Z1098" s="141" t="str">
        <f>IFERROR(__xludf.DUMMYFUNCTION("""COMPUTED_VALUE"""),"")</f>
        <v/>
      </c>
    </row>
    <row r="1099">
      <c r="D1099" s="136" t="str">
        <f t="shared" si="3"/>
        <v/>
      </c>
      <c r="E1099" s="152"/>
      <c r="F1099" s="106" t="s">
        <v>133</v>
      </c>
      <c r="G1099" s="152"/>
      <c r="H1099" s="106" t="s">
        <v>133</v>
      </c>
      <c r="J1099" s="139" t="s">
        <v>133</v>
      </c>
      <c r="K1099" s="136" t="s">
        <v>133</v>
      </c>
      <c r="L1099" s="153"/>
      <c r="M1099" s="136" t="str">
        <f t="shared" si="1"/>
        <v/>
      </c>
      <c r="O1099" s="141" t="s">
        <v>133</v>
      </c>
      <c r="P1099" s="136" t="str">
        <f>IFERROR(__xludf.DUMMYFUNCTION("""COMPUTED_VALUE"""),"")</f>
        <v/>
      </c>
      <c r="Q1099" s="136" t="str">
        <f>IFERROR(__xludf.DUMMYFUNCTION("""COMPUTED_VALUE"""),"")</f>
        <v/>
      </c>
      <c r="R1099" s="106" t="str">
        <f>IFERROR(__xludf.DUMMYFUNCTION("""COMPUTED_VALUE"""),"")</f>
        <v/>
      </c>
      <c r="S1099" s="106" t="str">
        <f>IFERROR(__xludf.DUMMYFUNCTION("""COMPUTED_VALUE"""),"")</f>
        <v/>
      </c>
      <c r="T1099" s="139" t="str">
        <f>IFERROR(__xludf.DUMMYFUNCTION("""COMPUTED_VALUE"""),"")</f>
        <v/>
      </c>
      <c r="U1099" s="139" t="str">
        <f>IFERROR(__xludf.DUMMYFUNCTION("""COMPUTED_VALUE"""),"")</f>
        <v/>
      </c>
      <c r="V1099" s="136" t="str">
        <f>IFERROR(__xludf.DUMMYFUNCTION("""COMPUTED_VALUE"""),"")</f>
        <v/>
      </c>
      <c r="W1099" s="106" t="str">
        <f>IFERROR(__xludf.DUMMYFUNCTION("""COMPUTED_VALUE"""),"")</f>
        <v/>
      </c>
      <c r="X1099" s="143" t="str">
        <f t="shared" si="2"/>
        <v/>
      </c>
      <c r="Y1099" s="139" t="str">
        <f>IFERROR(__xludf.DUMMYFUNCTION("""COMPUTED_VALUE"""),"")</f>
        <v/>
      </c>
      <c r="Z1099" s="141" t="str">
        <f>IFERROR(__xludf.DUMMYFUNCTION("""COMPUTED_VALUE"""),"")</f>
        <v/>
      </c>
    </row>
    <row r="1100">
      <c r="D1100" s="136" t="str">
        <f t="shared" si="3"/>
        <v/>
      </c>
      <c r="E1100" s="152"/>
      <c r="F1100" s="106" t="s">
        <v>133</v>
      </c>
      <c r="G1100" s="152"/>
      <c r="H1100" s="106" t="s">
        <v>133</v>
      </c>
      <c r="J1100" s="139" t="s">
        <v>133</v>
      </c>
      <c r="K1100" s="136" t="s">
        <v>133</v>
      </c>
      <c r="L1100" s="153"/>
      <c r="M1100" s="136" t="str">
        <f t="shared" si="1"/>
        <v/>
      </c>
      <c r="O1100" s="141" t="s">
        <v>133</v>
      </c>
      <c r="P1100" s="136" t="str">
        <f>IFERROR(__xludf.DUMMYFUNCTION("""COMPUTED_VALUE"""),"")</f>
        <v/>
      </c>
      <c r="Q1100" s="136" t="str">
        <f>IFERROR(__xludf.DUMMYFUNCTION("""COMPUTED_VALUE"""),"")</f>
        <v/>
      </c>
      <c r="R1100" s="106" t="str">
        <f>IFERROR(__xludf.DUMMYFUNCTION("""COMPUTED_VALUE"""),"")</f>
        <v/>
      </c>
      <c r="S1100" s="106" t="str">
        <f>IFERROR(__xludf.DUMMYFUNCTION("""COMPUTED_VALUE"""),"")</f>
        <v/>
      </c>
      <c r="T1100" s="139" t="str">
        <f>IFERROR(__xludf.DUMMYFUNCTION("""COMPUTED_VALUE"""),"")</f>
        <v/>
      </c>
      <c r="U1100" s="139" t="str">
        <f>IFERROR(__xludf.DUMMYFUNCTION("""COMPUTED_VALUE"""),"")</f>
        <v/>
      </c>
      <c r="V1100" s="136" t="str">
        <f>IFERROR(__xludf.DUMMYFUNCTION("""COMPUTED_VALUE"""),"")</f>
        <v/>
      </c>
      <c r="W1100" s="106" t="str">
        <f>IFERROR(__xludf.DUMMYFUNCTION("""COMPUTED_VALUE"""),"")</f>
        <v/>
      </c>
      <c r="X1100" s="143" t="str">
        <f t="shared" si="2"/>
        <v/>
      </c>
      <c r="Y1100" s="139" t="str">
        <f>IFERROR(__xludf.DUMMYFUNCTION("""COMPUTED_VALUE"""),"")</f>
        <v/>
      </c>
      <c r="Z1100" s="141" t="str">
        <f>IFERROR(__xludf.DUMMYFUNCTION("""COMPUTED_VALUE"""),"")</f>
        <v/>
      </c>
    </row>
    <row r="1101">
      <c r="D1101" s="136" t="str">
        <f t="shared" si="3"/>
        <v/>
      </c>
      <c r="E1101" s="152"/>
      <c r="F1101" s="106" t="s">
        <v>133</v>
      </c>
      <c r="G1101" s="152"/>
      <c r="H1101" s="106" t="s">
        <v>133</v>
      </c>
      <c r="J1101" s="139" t="s">
        <v>133</v>
      </c>
      <c r="K1101" s="136" t="s">
        <v>133</v>
      </c>
      <c r="L1101" s="153"/>
      <c r="M1101" s="136" t="str">
        <f t="shared" si="1"/>
        <v/>
      </c>
      <c r="O1101" s="141" t="s">
        <v>133</v>
      </c>
      <c r="P1101" s="136" t="str">
        <f>IFERROR(__xludf.DUMMYFUNCTION("""COMPUTED_VALUE"""),"")</f>
        <v/>
      </c>
      <c r="Q1101" s="136" t="str">
        <f>IFERROR(__xludf.DUMMYFUNCTION("""COMPUTED_VALUE"""),"")</f>
        <v/>
      </c>
      <c r="R1101" s="106" t="str">
        <f>IFERROR(__xludf.DUMMYFUNCTION("""COMPUTED_VALUE"""),"")</f>
        <v/>
      </c>
      <c r="S1101" s="106" t="str">
        <f>IFERROR(__xludf.DUMMYFUNCTION("""COMPUTED_VALUE"""),"")</f>
        <v/>
      </c>
      <c r="T1101" s="139" t="str">
        <f>IFERROR(__xludf.DUMMYFUNCTION("""COMPUTED_VALUE"""),"")</f>
        <v/>
      </c>
      <c r="U1101" s="139" t="str">
        <f>IFERROR(__xludf.DUMMYFUNCTION("""COMPUTED_VALUE"""),"")</f>
        <v/>
      </c>
      <c r="V1101" s="136" t="str">
        <f>IFERROR(__xludf.DUMMYFUNCTION("""COMPUTED_VALUE"""),"")</f>
        <v/>
      </c>
      <c r="W1101" s="106" t="str">
        <f>IFERROR(__xludf.DUMMYFUNCTION("""COMPUTED_VALUE"""),"")</f>
        <v/>
      </c>
      <c r="X1101" s="143" t="str">
        <f t="shared" si="2"/>
        <v/>
      </c>
      <c r="Y1101" s="139" t="str">
        <f>IFERROR(__xludf.DUMMYFUNCTION("""COMPUTED_VALUE"""),"")</f>
        <v/>
      </c>
      <c r="Z1101" s="141" t="str">
        <f>IFERROR(__xludf.DUMMYFUNCTION("""COMPUTED_VALUE"""),"")</f>
        <v/>
      </c>
    </row>
    <row r="1102">
      <c r="D1102" s="136" t="str">
        <f t="shared" si="3"/>
        <v/>
      </c>
      <c r="E1102" s="152"/>
      <c r="F1102" s="106" t="s">
        <v>133</v>
      </c>
      <c r="G1102" s="152"/>
      <c r="H1102" s="106" t="s">
        <v>133</v>
      </c>
      <c r="J1102" s="139" t="s">
        <v>133</v>
      </c>
      <c r="K1102" s="136" t="s">
        <v>133</v>
      </c>
      <c r="L1102" s="153"/>
      <c r="M1102" s="136" t="str">
        <f t="shared" si="1"/>
        <v/>
      </c>
      <c r="O1102" s="141" t="s">
        <v>133</v>
      </c>
      <c r="P1102" s="136" t="str">
        <f>IFERROR(__xludf.DUMMYFUNCTION("""COMPUTED_VALUE"""),"")</f>
        <v/>
      </c>
      <c r="Q1102" s="136" t="str">
        <f>IFERROR(__xludf.DUMMYFUNCTION("""COMPUTED_VALUE"""),"")</f>
        <v/>
      </c>
      <c r="R1102" s="106" t="str">
        <f>IFERROR(__xludf.DUMMYFUNCTION("""COMPUTED_VALUE"""),"")</f>
        <v/>
      </c>
      <c r="S1102" s="106" t="str">
        <f>IFERROR(__xludf.DUMMYFUNCTION("""COMPUTED_VALUE"""),"")</f>
        <v/>
      </c>
      <c r="T1102" s="139" t="str">
        <f>IFERROR(__xludf.DUMMYFUNCTION("""COMPUTED_VALUE"""),"")</f>
        <v/>
      </c>
      <c r="U1102" s="139" t="str">
        <f>IFERROR(__xludf.DUMMYFUNCTION("""COMPUTED_VALUE"""),"")</f>
        <v/>
      </c>
      <c r="V1102" s="136" t="str">
        <f>IFERROR(__xludf.DUMMYFUNCTION("""COMPUTED_VALUE"""),"")</f>
        <v/>
      </c>
      <c r="W1102" s="106" t="str">
        <f>IFERROR(__xludf.DUMMYFUNCTION("""COMPUTED_VALUE"""),"")</f>
        <v/>
      </c>
      <c r="X1102" s="143" t="str">
        <f t="shared" si="2"/>
        <v/>
      </c>
      <c r="Y1102" s="139" t="str">
        <f>IFERROR(__xludf.DUMMYFUNCTION("""COMPUTED_VALUE"""),"")</f>
        <v/>
      </c>
      <c r="Z1102" s="141" t="str">
        <f>IFERROR(__xludf.DUMMYFUNCTION("""COMPUTED_VALUE"""),"")</f>
        <v/>
      </c>
    </row>
    <row r="1103">
      <c r="D1103" s="136" t="str">
        <f t="shared" si="3"/>
        <v/>
      </c>
      <c r="E1103" s="152"/>
      <c r="F1103" s="106" t="s">
        <v>133</v>
      </c>
      <c r="G1103" s="152"/>
      <c r="H1103" s="106" t="s">
        <v>133</v>
      </c>
      <c r="J1103" s="139" t="s">
        <v>133</v>
      </c>
      <c r="K1103" s="136" t="s">
        <v>133</v>
      </c>
      <c r="L1103" s="153"/>
      <c r="M1103" s="136" t="str">
        <f t="shared" si="1"/>
        <v/>
      </c>
      <c r="O1103" s="141" t="s">
        <v>133</v>
      </c>
      <c r="P1103" s="136" t="str">
        <f>IFERROR(__xludf.DUMMYFUNCTION("""COMPUTED_VALUE"""),"")</f>
        <v/>
      </c>
      <c r="Q1103" s="136" t="str">
        <f>IFERROR(__xludf.DUMMYFUNCTION("""COMPUTED_VALUE"""),"")</f>
        <v/>
      </c>
      <c r="R1103" s="106" t="str">
        <f>IFERROR(__xludf.DUMMYFUNCTION("""COMPUTED_VALUE"""),"")</f>
        <v/>
      </c>
      <c r="S1103" s="106" t="str">
        <f>IFERROR(__xludf.DUMMYFUNCTION("""COMPUTED_VALUE"""),"")</f>
        <v/>
      </c>
      <c r="T1103" s="139" t="str">
        <f>IFERROR(__xludf.DUMMYFUNCTION("""COMPUTED_VALUE"""),"")</f>
        <v/>
      </c>
      <c r="U1103" s="139" t="str">
        <f>IFERROR(__xludf.DUMMYFUNCTION("""COMPUTED_VALUE"""),"")</f>
        <v/>
      </c>
      <c r="V1103" s="136" t="str">
        <f>IFERROR(__xludf.DUMMYFUNCTION("""COMPUTED_VALUE"""),"")</f>
        <v/>
      </c>
      <c r="W1103" s="106" t="str">
        <f>IFERROR(__xludf.DUMMYFUNCTION("""COMPUTED_VALUE"""),"")</f>
        <v/>
      </c>
      <c r="X1103" s="143" t="str">
        <f t="shared" si="2"/>
        <v/>
      </c>
      <c r="Y1103" s="139" t="str">
        <f>IFERROR(__xludf.DUMMYFUNCTION("""COMPUTED_VALUE"""),"")</f>
        <v/>
      </c>
      <c r="Z1103" s="141" t="str">
        <f>IFERROR(__xludf.DUMMYFUNCTION("""COMPUTED_VALUE"""),"")</f>
        <v/>
      </c>
    </row>
    <row r="1104">
      <c r="D1104" s="136" t="str">
        <f t="shared" si="3"/>
        <v/>
      </c>
      <c r="E1104" s="152"/>
      <c r="F1104" s="106" t="s">
        <v>133</v>
      </c>
      <c r="G1104" s="152"/>
      <c r="H1104" s="106" t="s">
        <v>133</v>
      </c>
      <c r="J1104" s="139" t="s">
        <v>133</v>
      </c>
      <c r="K1104" s="136" t="s">
        <v>133</v>
      </c>
      <c r="L1104" s="153"/>
      <c r="M1104" s="136" t="str">
        <f t="shared" si="1"/>
        <v/>
      </c>
      <c r="O1104" s="141" t="s">
        <v>133</v>
      </c>
      <c r="P1104" s="136" t="str">
        <f>IFERROR(__xludf.DUMMYFUNCTION("""COMPUTED_VALUE"""),"")</f>
        <v/>
      </c>
      <c r="Q1104" s="136" t="str">
        <f>IFERROR(__xludf.DUMMYFUNCTION("""COMPUTED_VALUE"""),"")</f>
        <v/>
      </c>
      <c r="R1104" s="106" t="str">
        <f>IFERROR(__xludf.DUMMYFUNCTION("""COMPUTED_VALUE"""),"")</f>
        <v/>
      </c>
      <c r="S1104" s="106" t="str">
        <f>IFERROR(__xludf.DUMMYFUNCTION("""COMPUTED_VALUE"""),"")</f>
        <v/>
      </c>
      <c r="T1104" s="139" t="str">
        <f>IFERROR(__xludf.DUMMYFUNCTION("""COMPUTED_VALUE"""),"")</f>
        <v/>
      </c>
      <c r="U1104" s="139" t="str">
        <f>IFERROR(__xludf.DUMMYFUNCTION("""COMPUTED_VALUE"""),"")</f>
        <v/>
      </c>
      <c r="V1104" s="136" t="str">
        <f>IFERROR(__xludf.DUMMYFUNCTION("""COMPUTED_VALUE"""),"")</f>
        <v/>
      </c>
      <c r="W1104" s="106" t="str">
        <f>IFERROR(__xludf.DUMMYFUNCTION("""COMPUTED_VALUE"""),"")</f>
        <v/>
      </c>
      <c r="X1104" s="143" t="str">
        <f t="shared" si="2"/>
        <v/>
      </c>
      <c r="Y1104" s="139" t="str">
        <f>IFERROR(__xludf.DUMMYFUNCTION("""COMPUTED_VALUE"""),"")</f>
        <v/>
      </c>
      <c r="Z1104" s="141" t="str">
        <f>IFERROR(__xludf.DUMMYFUNCTION("""COMPUTED_VALUE"""),"")</f>
        <v/>
      </c>
    </row>
    <row r="1105">
      <c r="D1105" s="136" t="str">
        <f t="shared" si="3"/>
        <v/>
      </c>
      <c r="E1105" s="152"/>
      <c r="F1105" s="106" t="s">
        <v>133</v>
      </c>
      <c r="G1105" s="152"/>
      <c r="H1105" s="106" t="s">
        <v>133</v>
      </c>
      <c r="J1105" s="139" t="s">
        <v>133</v>
      </c>
      <c r="K1105" s="136" t="s">
        <v>133</v>
      </c>
      <c r="L1105" s="153"/>
      <c r="M1105" s="136" t="str">
        <f t="shared" si="1"/>
        <v/>
      </c>
      <c r="O1105" s="141" t="s">
        <v>133</v>
      </c>
      <c r="P1105" s="136" t="str">
        <f>IFERROR(__xludf.DUMMYFUNCTION("""COMPUTED_VALUE"""),"")</f>
        <v/>
      </c>
      <c r="Q1105" s="136" t="str">
        <f>IFERROR(__xludf.DUMMYFUNCTION("""COMPUTED_VALUE"""),"")</f>
        <v/>
      </c>
      <c r="R1105" s="106" t="str">
        <f>IFERROR(__xludf.DUMMYFUNCTION("""COMPUTED_VALUE"""),"")</f>
        <v/>
      </c>
      <c r="S1105" s="106" t="str">
        <f>IFERROR(__xludf.DUMMYFUNCTION("""COMPUTED_VALUE"""),"")</f>
        <v/>
      </c>
      <c r="T1105" s="139" t="str">
        <f>IFERROR(__xludf.DUMMYFUNCTION("""COMPUTED_VALUE"""),"")</f>
        <v/>
      </c>
      <c r="U1105" s="139" t="str">
        <f>IFERROR(__xludf.DUMMYFUNCTION("""COMPUTED_VALUE"""),"")</f>
        <v/>
      </c>
      <c r="V1105" s="136" t="str">
        <f>IFERROR(__xludf.DUMMYFUNCTION("""COMPUTED_VALUE"""),"")</f>
        <v/>
      </c>
      <c r="W1105" s="106" t="str">
        <f>IFERROR(__xludf.DUMMYFUNCTION("""COMPUTED_VALUE"""),"")</f>
        <v/>
      </c>
      <c r="X1105" s="143" t="str">
        <f t="shared" si="2"/>
        <v/>
      </c>
      <c r="Y1105" s="139" t="str">
        <f>IFERROR(__xludf.DUMMYFUNCTION("""COMPUTED_VALUE"""),"")</f>
        <v/>
      </c>
      <c r="Z1105" s="141" t="str">
        <f>IFERROR(__xludf.DUMMYFUNCTION("""COMPUTED_VALUE"""),"")</f>
        <v/>
      </c>
    </row>
    <row r="1106">
      <c r="D1106" s="136" t="str">
        <f t="shared" si="3"/>
        <v/>
      </c>
      <c r="E1106" s="152"/>
      <c r="F1106" s="106" t="s">
        <v>133</v>
      </c>
      <c r="G1106" s="152"/>
      <c r="H1106" s="106" t="s">
        <v>133</v>
      </c>
      <c r="J1106" s="139" t="s">
        <v>133</v>
      </c>
      <c r="K1106" s="136" t="s">
        <v>133</v>
      </c>
      <c r="L1106" s="153"/>
      <c r="M1106" s="136" t="str">
        <f t="shared" si="1"/>
        <v/>
      </c>
      <c r="O1106" s="141" t="s">
        <v>133</v>
      </c>
      <c r="P1106" s="136" t="str">
        <f>IFERROR(__xludf.DUMMYFUNCTION("""COMPUTED_VALUE"""),"")</f>
        <v/>
      </c>
      <c r="Q1106" s="136" t="str">
        <f>IFERROR(__xludf.DUMMYFUNCTION("""COMPUTED_VALUE"""),"")</f>
        <v/>
      </c>
      <c r="R1106" s="106" t="str">
        <f>IFERROR(__xludf.DUMMYFUNCTION("""COMPUTED_VALUE"""),"")</f>
        <v/>
      </c>
      <c r="S1106" s="106" t="str">
        <f>IFERROR(__xludf.DUMMYFUNCTION("""COMPUTED_VALUE"""),"")</f>
        <v/>
      </c>
      <c r="T1106" s="139" t="str">
        <f>IFERROR(__xludf.DUMMYFUNCTION("""COMPUTED_VALUE"""),"")</f>
        <v/>
      </c>
      <c r="U1106" s="139" t="str">
        <f>IFERROR(__xludf.DUMMYFUNCTION("""COMPUTED_VALUE"""),"")</f>
        <v/>
      </c>
      <c r="V1106" s="136" t="str">
        <f>IFERROR(__xludf.DUMMYFUNCTION("""COMPUTED_VALUE"""),"")</f>
        <v/>
      </c>
      <c r="W1106" s="106" t="str">
        <f>IFERROR(__xludf.DUMMYFUNCTION("""COMPUTED_VALUE"""),"")</f>
        <v/>
      </c>
      <c r="X1106" s="143" t="str">
        <f t="shared" si="2"/>
        <v/>
      </c>
      <c r="Y1106" s="139" t="str">
        <f>IFERROR(__xludf.DUMMYFUNCTION("""COMPUTED_VALUE"""),"")</f>
        <v/>
      </c>
      <c r="Z1106" s="141" t="str">
        <f>IFERROR(__xludf.DUMMYFUNCTION("""COMPUTED_VALUE"""),"")</f>
        <v/>
      </c>
    </row>
    <row r="1107">
      <c r="D1107" s="136" t="str">
        <f t="shared" si="3"/>
        <v/>
      </c>
      <c r="E1107" s="152"/>
      <c r="F1107" s="106" t="s">
        <v>133</v>
      </c>
      <c r="G1107" s="152"/>
      <c r="H1107" s="106" t="s">
        <v>133</v>
      </c>
      <c r="J1107" s="139" t="s">
        <v>133</v>
      </c>
      <c r="K1107" s="136" t="s">
        <v>133</v>
      </c>
      <c r="L1107" s="153"/>
      <c r="M1107" s="136" t="str">
        <f t="shared" si="1"/>
        <v/>
      </c>
      <c r="O1107" s="141" t="s">
        <v>133</v>
      </c>
      <c r="P1107" s="136" t="str">
        <f>IFERROR(__xludf.DUMMYFUNCTION("""COMPUTED_VALUE"""),"")</f>
        <v/>
      </c>
      <c r="Q1107" s="136" t="str">
        <f>IFERROR(__xludf.DUMMYFUNCTION("""COMPUTED_VALUE"""),"")</f>
        <v/>
      </c>
      <c r="R1107" s="106" t="str">
        <f>IFERROR(__xludf.DUMMYFUNCTION("""COMPUTED_VALUE"""),"")</f>
        <v/>
      </c>
      <c r="S1107" s="106" t="str">
        <f>IFERROR(__xludf.DUMMYFUNCTION("""COMPUTED_VALUE"""),"")</f>
        <v/>
      </c>
      <c r="T1107" s="139" t="str">
        <f>IFERROR(__xludf.DUMMYFUNCTION("""COMPUTED_VALUE"""),"")</f>
        <v/>
      </c>
      <c r="U1107" s="139" t="str">
        <f>IFERROR(__xludf.DUMMYFUNCTION("""COMPUTED_VALUE"""),"")</f>
        <v/>
      </c>
      <c r="V1107" s="136" t="str">
        <f>IFERROR(__xludf.DUMMYFUNCTION("""COMPUTED_VALUE"""),"")</f>
        <v/>
      </c>
      <c r="W1107" s="106" t="str">
        <f>IFERROR(__xludf.DUMMYFUNCTION("""COMPUTED_VALUE"""),"")</f>
        <v/>
      </c>
      <c r="X1107" s="143" t="str">
        <f t="shared" si="2"/>
        <v/>
      </c>
      <c r="Y1107" s="139" t="str">
        <f>IFERROR(__xludf.DUMMYFUNCTION("""COMPUTED_VALUE"""),"")</f>
        <v/>
      </c>
      <c r="Z1107" s="141" t="str">
        <f>IFERROR(__xludf.DUMMYFUNCTION("""COMPUTED_VALUE"""),"")</f>
        <v/>
      </c>
    </row>
    <row r="1108">
      <c r="D1108" s="136" t="str">
        <f t="shared" si="3"/>
        <v/>
      </c>
      <c r="E1108" s="152"/>
      <c r="F1108" s="106" t="s">
        <v>133</v>
      </c>
      <c r="G1108" s="152"/>
      <c r="H1108" s="106" t="s">
        <v>133</v>
      </c>
      <c r="J1108" s="139" t="s">
        <v>133</v>
      </c>
      <c r="K1108" s="136" t="s">
        <v>133</v>
      </c>
      <c r="L1108" s="153"/>
      <c r="M1108" s="136" t="str">
        <f t="shared" si="1"/>
        <v/>
      </c>
      <c r="O1108" s="141" t="s">
        <v>133</v>
      </c>
      <c r="P1108" s="136" t="str">
        <f>IFERROR(__xludf.DUMMYFUNCTION("""COMPUTED_VALUE"""),"")</f>
        <v/>
      </c>
      <c r="Q1108" s="136" t="str">
        <f>IFERROR(__xludf.DUMMYFUNCTION("""COMPUTED_VALUE"""),"")</f>
        <v/>
      </c>
      <c r="R1108" s="106" t="str">
        <f>IFERROR(__xludf.DUMMYFUNCTION("""COMPUTED_VALUE"""),"")</f>
        <v/>
      </c>
      <c r="S1108" s="106" t="str">
        <f>IFERROR(__xludf.DUMMYFUNCTION("""COMPUTED_VALUE"""),"")</f>
        <v/>
      </c>
      <c r="T1108" s="139" t="str">
        <f>IFERROR(__xludf.DUMMYFUNCTION("""COMPUTED_VALUE"""),"")</f>
        <v/>
      </c>
      <c r="U1108" s="139" t="str">
        <f>IFERROR(__xludf.DUMMYFUNCTION("""COMPUTED_VALUE"""),"")</f>
        <v/>
      </c>
      <c r="V1108" s="136" t="str">
        <f>IFERROR(__xludf.DUMMYFUNCTION("""COMPUTED_VALUE"""),"")</f>
        <v/>
      </c>
      <c r="W1108" s="106" t="str">
        <f>IFERROR(__xludf.DUMMYFUNCTION("""COMPUTED_VALUE"""),"")</f>
        <v/>
      </c>
      <c r="X1108" s="143" t="str">
        <f t="shared" si="2"/>
        <v/>
      </c>
      <c r="Y1108" s="139" t="str">
        <f>IFERROR(__xludf.DUMMYFUNCTION("""COMPUTED_VALUE"""),"")</f>
        <v/>
      </c>
      <c r="Z1108" s="141" t="str">
        <f>IFERROR(__xludf.DUMMYFUNCTION("""COMPUTED_VALUE"""),"")</f>
        <v/>
      </c>
    </row>
    <row r="1109">
      <c r="D1109" s="136" t="str">
        <f t="shared" si="3"/>
        <v/>
      </c>
      <c r="E1109" s="152"/>
      <c r="F1109" s="106" t="s">
        <v>133</v>
      </c>
      <c r="G1109" s="152"/>
      <c r="H1109" s="106" t="s">
        <v>133</v>
      </c>
      <c r="J1109" s="139" t="s">
        <v>133</v>
      </c>
      <c r="K1109" s="136" t="s">
        <v>133</v>
      </c>
      <c r="L1109" s="153"/>
      <c r="M1109" s="136" t="str">
        <f t="shared" si="1"/>
        <v/>
      </c>
      <c r="O1109" s="141" t="s">
        <v>133</v>
      </c>
      <c r="P1109" s="136" t="str">
        <f>IFERROR(__xludf.DUMMYFUNCTION("""COMPUTED_VALUE"""),"")</f>
        <v/>
      </c>
      <c r="Q1109" s="136" t="str">
        <f>IFERROR(__xludf.DUMMYFUNCTION("""COMPUTED_VALUE"""),"")</f>
        <v/>
      </c>
      <c r="R1109" s="106" t="str">
        <f>IFERROR(__xludf.DUMMYFUNCTION("""COMPUTED_VALUE"""),"")</f>
        <v/>
      </c>
      <c r="S1109" s="106" t="str">
        <f>IFERROR(__xludf.DUMMYFUNCTION("""COMPUTED_VALUE"""),"")</f>
        <v/>
      </c>
      <c r="T1109" s="139" t="str">
        <f>IFERROR(__xludf.DUMMYFUNCTION("""COMPUTED_VALUE"""),"")</f>
        <v/>
      </c>
      <c r="U1109" s="139" t="str">
        <f>IFERROR(__xludf.DUMMYFUNCTION("""COMPUTED_VALUE"""),"")</f>
        <v/>
      </c>
      <c r="V1109" s="136" t="str">
        <f>IFERROR(__xludf.DUMMYFUNCTION("""COMPUTED_VALUE"""),"")</f>
        <v/>
      </c>
      <c r="W1109" s="106" t="str">
        <f>IFERROR(__xludf.DUMMYFUNCTION("""COMPUTED_VALUE"""),"")</f>
        <v/>
      </c>
      <c r="X1109" s="143" t="str">
        <f t="shared" si="2"/>
        <v/>
      </c>
      <c r="Y1109" s="139" t="str">
        <f>IFERROR(__xludf.DUMMYFUNCTION("""COMPUTED_VALUE"""),"")</f>
        <v/>
      </c>
      <c r="Z1109" s="141" t="str">
        <f>IFERROR(__xludf.DUMMYFUNCTION("""COMPUTED_VALUE"""),"")</f>
        <v/>
      </c>
    </row>
    <row r="1110">
      <c r="D1110" s="136" t="str">
        <f t="shared" si="3"/>
        <v/>
      </c>
      <c r="E1110" s="152"/>
      <c r="F1110" s="106" t="s">
        <v>133</v>
      </c>
      <c r="G1110" s="152"/>
      <c r="H1110" s="106" t="s">
        <v>133</v>
      </c>
      <c r="J1110" s="139" t="s">
        <v>133</v>
      </c>
      <c r="K1110" s="136" t="s">
        <v>133</v>
      </c>
      <c r="L1110" s="153"/>
      <c r="M1110" s="136" t="str">
        <f t="shared" si="1"/>
        <v/>
      </c>
      <c r="O1110" s="141" t="s">
        <v>133</v>
      </c>
      <c r="P1110" s="136" t="str">
        <f>IFERROR(__xludf.DUMMYFUNCTION("""COMPUTED_VALUE"""),"")</f>
        <v/>
      </c>
      <c r="Q1110" s="136" t="str">
        <f>IFERROR(__xludf.DUMMYFUNCTION("""COMPUTED_VALUE"""),"")</f>
        <v/>
      </c>
      <c r="R1110" s="106" t="str">
        <f>IFERROR(__xludf.DUMMYFUNCTION("""COMPUTED_VALUE"""),"")</f>
        <v/>
      </c>
      <c r="S1110" s="106" t="str">
        <f>IFERROR(__xludf.DUMMYFUNCTION("""COMPUTED_VALUE"""),"")</f>
        <v/>
      </c>
      <c r="T1110" s="139" t="str">
        <f>IFERROR(__xludf.DUMMYFUNCTION("""COMPUTED_VALUE"""),"")</f>
        <v/>
      </c>
      <c r="U1110" s="139" t="str">
        <f>IFERROR(__xludf.DUMMYFUNCTION("""COMPUTED_VALUE"""),"")</f>
        <v/>
      </c>
      <c r="V1110" s="136" t="str">
        <f>IFERROR(__xludf.DUMMYFUNCTION("""COMPUTED_VALUE"""),"")</f>
        <v/>
      </c>
      <c r="W1110" s="106" t="str">
        <f>IFERROR(__xludf.DUMMYFUNCTION("""COMPUTED_VALUE"""),"")</f>
        <v/>
      </c>
      <c r="X1110" s="143" t="str">
        <f t="shared" si="2"/>
        <v/>
      </c>
      <c r="Y1110" s="139" t="str">
        <f>IFERROR(__xludf.DUMMYFUNCTION("""COMPUTED_VALUE"""),"")</f>
        <v/>
      </c>
      <c r="Z1110" s="141" t="str">
        <f>IFERROR(__xludf.DUMMYFUNCTION("""COMPUTED_VALUE"""),"")</f>
        <v/>
      </c>
    </row>
    <row r="1111">
      <c r="D1111" s="136" t="str">
        <f t="shared" si="3"/>
        <v/>
      </c>
      <c r="E1111" s="152"/>
      <c r="F1111" s="106" t="s">
        <v>133</v>
      </c>
      <c r="G1111" s="152"/>
      <c r="H1111" s="106" t="s">
        <v>133</v>
      </c>
      <c r="J1111" s="139" t="s">
        <v>133</v>
      </c>
      <c r="K1111" s="136" t="s">
        <v>133</v>
      </c>
      <c r="L1111" s="153"/>
      <c r="M1111" s="136" t="str">
        <f t="shared" si="1"/>
        <v/>
      </c>
      <c r="O1111" s="141" t="s">
        <v>133</v>
      </c>
      <c r="P1111" s="136" t="str">
        <f>IFERROR(__xludf.DUMMYFUNCTION("""COMPUTED_VALUE"""),"")</f>
        <v/>
      </c>
      <c r="Q1111" s="136" t="str">
        <f>IFERROR(__xludf.DUMMYFUNCTION("""COMPUTED_VALUE"""),"")</f>
        <v/>
      </c>
      <c r="R1111" s="106" t="str">
        <f>IFERROR(__xludf.DUMMYFUNCTION("""COMPUTED_VALUE"""),"")</f>
        <v/>
      </c>
      <c r="S1111" s="106" t="str">
        <f>IFERROR(__xludf.DUMMYFUNCTION("""COMPUTED_VALUE"""),"")</f>
        <v/>
      </c>
      <c r="T1111" s="139" t="str">
        <f>IFERROR(__xludf.DUMMYFUNCTION("""COMPUTED_VALUE"""),"")</f>
        <v/>
      </c>
      <c r="U1111" s="139" t="str">
        <f>IFERROR(__xludf.DUMMYFUNCTION("""COMPUTED_VALUE"""),"")</f>
        <v/>
      </c>
      <c r="V1111" s="136" t="str">
        <f>IFERROR(__xludf.DUMMYFUNCTION("""COMPUTED_VALUE"""),"")</f>
        <v/>
      </c>
      <c r="W1111" s="106" t="str">
        <f>IFERROR(__xludf.DUMMYFUNCTION("""COMPUTED_VALUE"""),"")</f>
        <v/>
      </c>
      <c r="X1111" s="143" t="str">
        <f t="shared" si="2"/>
        <v/>
      </c>
      <c r="Y1111" s="139" t="str">
        <f>IFERROR(__xludf.DUMMYFUNCTION("""COMPUTED_VALUE"""),"")</f>
        <v/>
      </c>
      <c r="Z1111" s="141" t="str">
        <f>IFERROR(__xludf.DUMMYFUNCTION("""COMPUTED_VALUE"""),"")</f>
        <v/>
      </c>
    </row>
    <row r="1112">
      <c r="D1112" s="136" t="str">
        <f t="shared" si="3"/>
        <v/>
      </c>
      <c r="E1112" s="152"/>
      <c r="F1112" s="106" t="s">
        <v>133</v>
      </c>
      <c r="G1112" s="152"/>
      <c r="H1112" s="106" t="s">
        <v>133</v>
      </c>
      <c r="J1112" s="139" t="s">
        <v>133</v>
      </c>
      <c r="K1112" s="136" t="s">
        <v>133</v>
      </c>
      <c r="L1112" s="153"/>
      <c r="M1112" s="136" t="str">
        <f t="shared" si="1"/>
        <v/>
      </c>
      <c r="O1112" s="141" t="s">
        <v>133</v>
      </c>
      <c r="P1112" s="136" t="str">
        <f>IFERROR(__xludf.DUMMYFUNCTION("""COMPUTED_VALUE"""),"")</f>
        <v/>
      </c>
      <c r="Q1112" s="136" t="str">
        <f>IFERROR(__xludf.DUMMYFUNCTION("""COMPUTED_VALUE"""),"")</f>
        <v/>
      </c>
      <c r="R1112" s="106" t="str">
        <f>IFERROR(__xludf.DUMMYFUNCTION("""COMPUTED_VALUE"""),"")</f>
        <v/>
      </c>
      <c r="S1112" s="106" t="str">
        <f>IFERROR(__xludf.DUMMYFUNCTION("""COMPUTED_VALUE"""),"")</f>
        <v/>
      </c>
      <c r="T1112" s="139" t="str">
        <f>IFERROR(__xludf.DUMMYFUNCTION("""COMPUTED_VALUE"""),"")</f>
        <v/>
      </c>
      <c r="U1112" s="139" t="str">
        <f>IFERROR(__xludf.DUMMYFUNCTION("""COMPUTED_VALUE"""),"")</f>
        <v/>
      </c>
      <c r="V1112" s="136" t="str">
        <f>IFERROR(__xludf.DUMMYFUNCTION("""COMPUTED_VALUE"""),"")</f>
        <v/>
      </c>
      <c r="W1112" s="106" t="str">
        <f>IFERROR(__xludf.DUMMYFUNCTION("""COMPUTED_VALUE"""),"")</f>
        <v/>
      </c>
      <c r="X1112" s="143" t="str">
        <f t="shared" si="2"/>
        <v/>
      </c>
      <c r="Y1112" s="139" t="str">
        <f>IFERROR(__xludf.DUMMYFUNCTION("""COMPUTED_VALUE"""),"")</f>
        <v/>
      </c>
      <c r="Z1112" s="141" t="str">
        <f>IFERROR(__xludf.DUMMYFUNCTION("""COMPUTED_VALUE"""),"")</f>
        <v/>
      </c>
    </row>
    <row r="1113">
      <c r="D1113" s="136" t="str">
        <f t="shared" si="3"/>
        <v/>
      </c>
      <c r="E1113" s="152"/>
      <c r="F1113" s="106" t="s">
        <v>133</v>
      </c>
      <c r="G1113" s="152"/>
      <c r="H1113" s="106" t="s">
        <v>133</v>
      </c>
      <c r="J1113" s="139" t="s">
        <v>133</v>
      </c>
      <c r="K1113" s="136" t="s">
        <v>133</v>
      </c>
      <c r="L1113" s="153"/>
      <c r="M1113" s="136" t="str">
        <f t="shared" si="1"/>
        <v/>
      </c>
      <c r="O1113" s="141" t="s">
        <v>133</v>
      </c>
      <c r="P1113" s="136" t="str">
        <f>IFERROR(__xludf.DUMMYFUNCTION("""COMPUTED_VALUE"""),"")</f>
        <v/>
      </c>
      <c r="Q1113" s="136" t="str">
        <f>IFERROR(__xludf.DUMMYFUNCTION("""COMPUTED_VALUE"""),"")</f>
        <v/>
      </c>
      <c r="R1113" s="106" t="str">
        <f>IFERROR(__xludf.DUMMYFUNCTION("""COMPUTED_VALUE"""),"")</f>
        <v/>
      </c>
      <c r="S1113" s="106" t="str">
        <f>IFERROR(__xludf.DUMMYFUNCTION("""COMPUTED_VALUE"""),"")</f>
        <v/>
      </c>
      <c r="T1113" s="139" t="str">
        <f>IFERROR(__xludf.DUMMYFUNCTION("""COMPUTED_VALUE"""),"")</f>
        <v/>
      </c>
      <c r="U1113" s="139" t="str">
        <f>IFERROR(__xludf.DUMMYFUNCTION("""COMPUTED_VALUE"""),"")</f>
        <v/>
      </c>
      <c r="V1113" s="136" t="str">
        <f>IFERROR(__xludf.DUMMYFUNCTION("""COMPUTED_VALUE"""),"")</f>
        <v/>
      </c>
      <c r="W1113" s="106" t="str">
        <f>IFERROR(__xludf.DUMMYFUNCTION("""COMPUTED_VALUE"""),"")</f>
        <v/>
      </c>
      <c r="X1113" s="143" t="str">
        <f t="shared" si="2"/>
        <v/>
      </c>
      <c r="Y1113" s="139" t="str">
        <f>IFERROR(__xludf.DUMMYFUNCTION("""COMPUTED_VALUE"""),"")</f>
        <v/>
      </c>
      <c r="Z1113" s="141" t="str">
        <f>IFERROR(__xludf.DUMMYFUNCTION("""COMPUTED_VALUE"""),"")</f>
        <v/>
      </c>
    </row>
    <row r="1114">
      <c r="D1114" s="136" t="str">
        <f t="shared" si="3"/>
        <v/>
      </c>
      <c r="E1114" s="152"/>
      <c r="F1114" s="106" t="s">
        <v>133</v>
      </c>
      <c r="G1114" s="152"/>
      <c r="H1114" s="106" t="s">
        <v>133</v>
      </c>
      <c r="J1114" s="139" t="s">
        <v>133</v>
      </c>
      <c r="K1114" s="136" t="s">
        <v>133</v>
      </c>
      <c r="L1114" s="153"/>
      <c r="M1114" s="136" t="str">
        <f t="shared" si="1"/>
        <v/>
      </c>
      <c r="O1114" s="141" t="s">
        <v>133</v>
      </c>
      <c r="P1114" s="136" t="str">
        <f>IFERROR(__xludf.DUMMYFUNCTION("""COMPUTED_VALUE"""),"")</f>
        <v/>
      </c>
      <c r="Q1114" s="136" t="str">
        <f>IFERROR(__xludf.DUMMYFUNCTION("""COMPUTED_VALUE"""),"")</f>
        <v/>
      </c>
      <c r="R1114" s="106" t="str">
        <f>IFERROR(__xludf.DUMMYFUNCTION("""COMPUTED_VALUE"""),"")</f>
        <v/>
      </c>
      <c r="S1114" s="106" t="str">
        <f>IFERROR(__xludf.DUMMYFUNCTION("""COMPUTED_VALUE"""),"")</f>
        <v/>
      </c>
      <c r="T1114" s="139" t="str">
        <f>IFERROR(__xludf.DUMMYFUNCTION("""COMPUTED_VALUE"""),"")</f>
        <v/>
      </c>
      <c r="U1114" s="139" t="str">
        <f>IFERROR(__xludf.DUMMYFUNCTION("""COMPUTED_VALUE"""),"")</f>
        <v/>
      </c>
      <c r="V1114" s="136" t="str">
        <f>IFERROR(__xludf.DUMMYFUNCTION("""COMPUTED_VALUE"""),"")</f>
        <v/>
      </c>
      <c r="W1114" s="106" t="str">
        <f>IFERROR(__xludf.DUMMYFUNCTION("""COMPUTED_VALUE"""),"")</f>
        <v/>
      </c>
      <c r="X1114" s="143" t="str">
        <f t="shared" si="2"/>
        <v/>
      </c>
      <c r="Y1114" s="139" t="str">
        <f>IFERROR(__xludf.DUMMYFUNCTION("""COMPUTED_VALUE"""),"")</f>
        <v/>
      </c>
      <c r="Z1114" s="141" t="str">
        <f>IFERROR(__xludf.DUMMYFUNCTION("""COMPUTED_VALUE"""),"")</f>
        <v/>
      </c>
    </row>
    <row r="1115">
      <c r="D1115" s="136" t="str">
        <f t="shared" si="3"/>
        <v/>
      </c>
      <c r="E1115" s="152"/>
      <c r="F1115" s="106" t="s">
        <v>133</v>
      </c>
      <c r="G1115" s="152"/>
      <c r="H1115" s="106" t="s">
        <v>133</v>
      </c>
      <c r="J1115" s="139" t="s">
        <v>133</v>
      </c>
      <c r="K1115" s="136" t="s">
        <v>133</v>
      </c>
      <c r="L1115" s="153"/>
      <c r="M1115" s="136" t="str">
        <f t="shared" si="1"/>
        <v/>
      </c>
      <c r="O1115" s="141" t="s">
        <v>133</v>
      </c>
      <c r="P1115" s="136" t="str">
        <f>IFERROR(__xludf.DUMMYFUNCTION("""COMPUTED_VALUE"""),"")</f>
        <v/>
      </c>
      <c r="Q1115" s="136" t="str">
        <f>IFERROR(__xludf.DUMMYFUNCTION("""COMPUTED_VALUE"""),"")</f>
        <v/>
      </c>
      <c r="R1115" s="106" t="str">
        <f>IFERROR(__xludf.DUMMYFUNCTION("""COMPUTED_VALUE"""),"")</f>
        <v/>
      </c>
      <c r="S1115" s="106" t="str">
        <f>IFERROR(__xludf.DUMMYFUNCTION("""COMPUTED_VALUE"""),"")</f>
        <v/>
      </c>
      <c r="T1115" s="139" t="str">
        <f>IFERROR(__xludf.DUMMYFUNCTION("""COMPUTED_VALUE"""),"")</f>
        <v/>
      </c>
      <c r="U1115" s="139" t="str">
        <f>IFERROR(__xludf.DUMMYFUNCTION("""COMPUTED_VALUE"""),"")</f>
        <v/>
      </c>
      <c r="V1115" s="136" t="str">
        <f>IFERROR(__xludf.DUMMYFUNCTION("""COMPUTED_VALUE"""),"")</f>
        <v/>
      </c>
      <c r="W1115" s="106" t="str">
        <f>IFERROR(__xludf.DUMMYFUNCTION("""COMPUTED_VALUE"""),"")</f>
        <v/>
      </c>
      <c r="X1115" s="143" t="str">
        <f t="shared" si="2"/>
        <v/>
      </c>
      <c r="Y1115" s="139" t="str">
        <f>IFERROR(__xludf.DUMMYFUNCTION("""COMPUTED_VALUE"""),"")</f>
        <v/>
      </c>
      <c r="Z1115" s="141" t="str">
        <f>IFERROR(__xludf.DUMMYFUNCTION("""COMPUTED_VALUE"""),"")</f>
        <v/>
      </c>
    </row>
    <row r="1116">
      <c r="D1116" s="136" t="str">
        <f t="shared" si="3"/>
        <v/>
      </c>
      <c r="E1116" s="152"/>
      <c r="F1116" s="106" t="s">
        <v>133</v>
      </c>
      <c r="G1116" s="152"/>
      <c r="H1116" s="106" t="s">
        <v>133</v>
      </c>
      <c r="J1116" s="139" t="s">
        <v>133</v>
      </c>
      <c r="K1116" s="136" t="s">
        <v>133</v>
      </c>
      <c r="L1116" s="153"/>
      <c r="M1116" s="136" t="str">
        <f t="shared" si="1"/>
        <v/>
      </c>
      <c r="O1116" s="141" t="s">
        <v>133</v>
      </c>
      <c r="P1116" s="136" t="str">
        <f>IFERROR(__xludf.DUMMYFUNCTION("""COMPUTED_VALUE"""),"")</f>
        <v/>
      </c>
      <c r="Q1116" s="136" t="str">
        <f>IFERROR(__xludf.DUMMYFUNCTION("""COMPUTED_VALUE"""),"")</f>
        <v/>
      </c>
      <c r="R1116" s="106" t="str">
        <f>IFERROR(__xludf.DUMMYFUNCTION("""COMPUTED_VALUE"""),"")</f>
        <v/>
      </c>
      <c r="S1116" s="106" t="str">
        <f>IFERROR(__xludf.DUMMYFUNCTION("""COMPUTED_VALUE"""),"")</f>
        <v/>
      </c>
      <c r="T1116" s="139" t="str">
        <f>IFERROR(__xludf.DUMMYFUNCTION("""COMPUTED_VALUE"""),"")</f>
        <v/>
      </c>
      <c r="U1116" s="139" t="str">
        <f>IFERROR(__xludf.DUMMYFUNCTION("""COMPUTED_VALUE"""),"")</f>
        <v/>
      </c>
      <c r="V1116" s="136" t="str">
        <f>IFERROR(__xludf.DUMMYFUNCTION("""COMPUTED_VALUE"""),"")</f>
        <v/>
      </c>
      <c r="W1116" s="106" t="str">
        <f>IFERROR(__xludf.DUMMYFUNCTION("""COMPUTED_VALUE"""),"")</f>
        <v/>
      </c>
      <c r="X1116" s="143" t="str">
        <f t="shared" si="2"/>
        <v/>
      </c>
      <c r="Y1116" s="139" t="str">
        <f>IFERROR(__xludf.DUMMYFUNCTION("""COMPUTED_VALUE"""),"")</f>
        <v/>
      </c>
      <c r="Z1116" s="141" t="str">
        <f>IFERROR(__xludf.DUMMYFUNCTION("""COMPUTED_VALUE"""),"")</f>
        <v/>
      </c>
    </row>
    <row r="1117">
      <c r="D1117" s="136" t="str">
        <f t="shared" si="3"/>
        <v/>
      </c>
      <c r="E1117" s="152"/>
      <c r="F1117" s="106" t="s">
        <v>133</v>
      </c>
      <c r="G1117" s="152"/>
      <c r="H1117" s="106" t="s">
        <v>133</v>
      </c>
      <c r="J1117" s="139" t="s">
        <v>133</v>
      </c>
      <c r="K1117" s="136" t="s">
        <v>133</v>
      </c>
      <c r="L1117" s="153"/>
      <c r="M1117" s="136" t="str">
        <f t="shared" si="1"/>
        <v/>
      </c>
      <c r="O1117" s="141" t="s">
        <v>133</v>
      </c>
      <c r="P1117" s="136" t="str">
        <f>IFERROR(__xludf.DUMMYFUNCTION("""COMPUTED_VALUE"""),"")</f>
        <v/>
      </c>
      <c r="Q1117" s="136" t="str">
        <f>IFERROR(__xludf.DUMMYFUNCTION("""COMPUTED_VALUE"""),"")</f>
        <v/>
      </c>
      <c r="R1117" s="106" t="str">
        <f>IFERROR(__xludf.DUMMYFUNCTION("""COMPUTED_VALUE"""),"")</f>
        <v/>
      </c>
      <c r="S1117" s="106" t="str">
        <f>IFERROR(__xludf.DUMMYFUNCTION("""COMPUTED_VALUE"""),"")</f>
        <v/>
      </c>
      <c r="T1117" s="139" t="str">
        <f>IFERROR(__xludf.DUMMYFUNCTION("""COMPUTED_VALUE"""),"")</f>
        <v/>
      </c>
      <c r="U1117" s="139" t="str">
        <f>IFERROR(__xludf.DUMMYFUNCTION("""COMPUTED_VALUE"""),"")</f>
        <v/>
      </c>
      <c r="V1117" s="136" t="str">
        <f>IFERROR(__xludf.DUMMYFUNCTION("""COMPUTED_VALUE"""),"")</f>
        <v/>
      </c>
      <c r="W1117" s="106" t="str">
        <f>IFERROR(__xludf.DUMMYFUNCTION("""COMPUTED_VALUE"""),"")</f>
        <v/>
      </c>
      <c r="X1117" s="143" t="str">
        <f t="shared" si="2"/>
        <v/>
      </c>
      <c r="Y1117" s="139" t="str">
        <f>IFERROR(__xludf.DUMMYFUNCTION("""COMPUTED_VALUE"""),"")</f>
        <v/>
      </c>
      <c r="Z1117" s="141" t="str">
        <f>IFERROR(__xludf.DUMMYFUNCTION("""COMPUTED_VALUE"""),"")</f>
        <v/>
      </c>
    </row>
    <row r="1118">
      <c r="D1118" s="136" t="str">
        <f t="shared" si="3"/>
        <v/>
      </c>
      <c r="E1118" s="152"/>
      <c r="F1118" s="106" t="s">
        <v>133</v>
      </c>
      <c r="G1118" s="152"/>
      <c r="H1118" s="106" t="s">
        <v>133</v>
      </c>
      <c r="J1118" s="139" t="s">
        <v>133</v>
      </c>
      <c r="K1118" s="136" t="s">
        <v>133</v>
      </c>
      <c r="L1118" s="153"/>
      <c r="M1118" s="136" t="str">
        <f t="shared" si="1"/>
        <v/>
      </c>
      <c r="O1118" s="141" t="s">
        <v>133</v>
      </c>
      <c r="P1118" s="136" t="str">
        <f>IFERROR(__xludf.DUMMYFUNCTION("""COMPUTED_VALUE"""),"")</f>
        <v/>
      </c>
      <c r="Q1118" s="136" t="str">
        <f>IFERROR(__xludf.DUMMYFUNCTION("""COMPUTED_VALUE"""),"")</f>
        <v/>
      </c>
      <c r="R1118" s="106" t="str">
        <f>IFERROR(__xludf.DUMMYFUNCTION("""COMPUTED_VALUE"""),"")</f>
        <v/>
      </c>
      <c r="S1118" s="106" t="str">
        <f>IFERROR(__xludf.DUMMYFUNCTION("""COMPUTED_VALUE"""),"")</f>
        <v/>
      </c>
      <c r="T1118" s="139" t="str">
        <f>IFERROR(__xludf.DUMMYFUNCTION("""COMPUTED_VALUE"""),"")</f>
        <v/>
      </c>
      <c r="U1118" s="139" t="str">
        <f>IFERROR(__xludf.DUMMYFUNCTION("""COMPUTED_VALUE"""),"")</f>
        <v/>
      </c>
      <c r="V1118" s="136" t="str">
        <f>IFERROR(__xludf.DUMMYFUNCTION("""COMPUTED_VALUE"""),"")</f>
        <v/>
      </c>
      <c r="W1118" s="106" t="str">
        <f>IFERROR(__xludf.DUMMYFUNCTION("""COMPUTED_VALUE"""),"")</f>
        <v/>
      </c>
      <c r="X1118" s="143" t="str">
        <f t="shared" si="2"/>
        <v/>
      </c>
      <c r="Y1118" s="139" t="str">
        <f>IFERROR(__xludf.DUMMYFUNCTION("""COMPUTED_VALUE"""),"")</f>
        <v/>
      </c>
      <c r="Z1118" s="141" t="str">
        <f>IFERROR(__xludf.DUMMYFUNCTION("""COMPUTED_VALUE"""),"")</f>
        <v/>
      </c>
    </row>
    <row r="1119">
      <c r="D1119" s="136" t="str">
        <f t="shared" si="3"/>
        <v/>
      </c>
      <c r="E1119" s="152"/>
      <c r="F1119" s="106" t="s">
        <v>133</v>
      </c>
      <c r="G1119" s="152"/>
      <c r="H1119" s="106" t="s">
        <v>133</v>
      </c>
      <c r="J1119" s="139" t="s">
        <v>133</v>
      </c>
      <c r="K1119" s="136" t="s">
        <v>133</v>
      </c>
      <c r="L1119" s="153"/>
      <c r="M1119" s="136" t="str">
        <f t="shared" si="1"/>
        <v/>
      </c>
      <c r="O1119" s="141" t="s">
        <v>133</v>
      </c>
      <c r="P1119" s="136" t="str">
        <f>IFERROR(__xludf.DUMMYFUNCTION("""COMPUTED_VALUE"""),"")</f>
        <v/>
      </c>
      <c r="Q1119" s="136" t="str">
        <f>IFERROR(__xludf.DUMMYFUNCTION("""COMPUTED_VALUE"""),"")</f>
        <v/>
      </c>
      <c r="R1119" s="106" t="str">
        <f>IFERROR(__xludf.DUMMYFUNCTION("""COMPUTED_VALUE"""),"")</f>
        <v/>
      </c>
      <c r="S1119" s="106" t="str">
        <f>IFERROR(__xludf.DUMMYFUNCTION("""COMPUTED_VALUE"""),"")</f>
        <v/>
      </c>
      <c r="T1119" s="139" t="str">
        <f>IFERROR(__xludf.DUMMYFUNCTION("""COMPUTED_VALUE"""),"")</f>
        <v/>
      </c>
      <c r="U1119" s="139" t="str">
        <f>IFERROR(__xludf.DUMMYFUNCTION("""COMPUTED_VALUE"""),"")</f>
        <v/>
      </c>
      <c r="V1119" s="136" t="str">
        <f>IFERROR(__xludf.DUMMYFUNCTION("""COMPUTED_VALUE"""),"")</f>
        <v/>
      </c>
      <c r="W1119" s="106" t="str">
        <f>IFERROR(__xludf.DUMMYFUNCTION("""COMPUTED_VALUE"""),"")</f>
        <v/>
      </c>
      <c r="X1119" s="143" t="str">
        <f t="shared" si="2"/>
        <v/>
      </c>
      <c r="Y1119" s="139" t="str">
        <f>IFERROR(__xludf.DUMMYFUNCTION("""COMPUTED_VALUE"""),"")</f>
        <v/>
      </c>
      <c r="Z1119" s="141" t="str">
        <f>IFERROR(__xludf.DUMMYFUNCTION("""COMPUTED_VALUE"""),"")</f>
        <v/>
      </c>
    </row>
    <row r="1120">
      <c r="D1120" s="136" t="str">
        <f t="shared" si="3"/>
        <v/>
      </c>
      <c r="E1120" s="152"/>
      <c r="F1120" s="106" t="s">
        <v>133</v>
      </c>
      <c r="G1120" s="152"/>
      <c r="H1120" s="106" t="s">
        <v>133</v>
      </c>
      <c r="J1120" s="139" t="s">
        <v>133</v>
      </c>
      <c r="K1120" s="136" t="s">
        <v>133</v>
      </c>
      <c r="L1120" s="153"/>
      <c r="M1120" s="136" t="str">
        <f t="shared" si="1"/>
        <v/>
      </c>
      <c r="O1120" s="141" t="s">
        <v>133</v>
      </c>
      <c r="P1120" s="136" t="str">
        <f>IFERROR(__xludf.DUMMYFUNCTION("""COMPUTED_VALUE"""),"")</f>
        <v/>
      </c>
      <c r="Q1120" s="136" t="str">
        <f>IFERROR(__xludf.DUMMYFUNCTION("""COMPUTED_VALUE"""),"")</f>
        <v/>
      </c>
      <c r="R1120" s="106" t="str">
        <f>IFERROR(__xludf.DUMMYFUNCTION("""COMPUTED_VALUE"""),"")</f>
        <v/>
      </c>
      <c r="S1120" s="106" t="str">
        <f>IFERROR(__xludf.DUMMYFUNCTION("""COMPUTED_VALUE"""),"")</f>
        <v/>
      </c>
      <c r="T1120" s="139" t="str">
        <f>IFERROR(__xludf.DUMMYFUNCTION("""COMPUTED_VALUE"""),"")</f>
        <v/>
      </c>
      <c r="U1120" s="139" t="str">
        <f>IFERROR(__xludf.DUMMYFUNCTION("""COMPUTED_VALUE"""),"")</f>
        <v/>
      </c>
      <c r="V1120" s="136" t="str">
        <f>IFERROR(__xludf.DUMMYFUNCTION("""COMPUTED_VALUE"""),"")</f>
        <v/>
      </c>
      <c r="W1120" s="106" t="str">
        <f>IFERROR(__xludf.DUMMYFUNCTION("""COMPUTED_VALUE"""),"")</f>
        <v/>
      </c>
      <c r="X1120" s="143" t="str">
        <f t="shared" si="2"/>
        <v/>
      </c>
      <c r="Y1120" s="139" t="str">
        <f>IFERROR(__xludf.DUMMYFUNCTION("""COMPUTED_VALUE"""),"")</f>
        <v/>
      </c>
      <c r="Z1120" s="141" t="str">
        <f>IFERROR(__xludf.DUMMYFUNCTION("""COMPUTED_VALUE"""),"")</f>
        <v/>
      </c>
    </row>
    <row r="1121">
      <c r="D1121" s="136" t="str">
        <f t="shared" si="3"/>
        <v/>
      </c>
      <c r="E1121" s="152"/>
      <c r="F1121" s="106" t="s">
        <v>133</v>
      </c>
      <c r="G1121" s="152"/>
      <c r="H1121" s="106" t="s">
        <v>133</v>
      </c>
      <c r="J1121" s="139" t="s">
        <v>133</v>
      </c>
      <c r="K1121" s="136" t="s">
        <v>133</v>
      </c>
      <c r="L1121" s="153"/>
      <c r="M1121" s="136" t="str">
        <f t="shared" si="1"/>
        <v/>
      </c>
      <c r="O1121" s="141" t="s">
        <v>133</v>
      </c>
      <c r="P1121" s="136" t="str">
        <f>IFERROR(__xludf.DUMMYFUNCTION("""COMPUTED_VALUE"""),"")</f>
        <v/>
      </c>
      <c r="Q1121" s="136" t="str">
        <f>IFERROR(__xludf.DUMMYFUNCTION("""COMPUTED_VALUE"""),"")</f>
        <v/>
      </c>
      <c r="R1121" s="106" t="str">
        <f>IFERROR(__xludf.DUMMYFUNCTION("""COMPUTED_VALUE"""),"")</f>
        <v/>
      </c>
      <c r="S1121" s="106" t="str">
        <f>IFERROR(__xludf.DUMMYFUNCTION("""COMPUTED_VALUE"""),"")</f>
        <v/>
      </c>
      <c r="T1121" s="139" t="str">
        <f>IFERROR(__xludf.DUMMYFUNCTION("""COMPUTED_VALUE"""),"")</f>
        <v/>
      </c>
      <c r="U1121" s="139" t="str">
        <f>IFERROR(__xludf.DUMMYFUNCTION("""COMPUTED_VALUE"""),"")</f>
        <v/>
      </c>
      <c r="V1121" s="136" t="str">
        <f>IFERROR(__xludf.DUMMYFUNCTION("""COMPUTED_VALUE"""),"")</f>
        <v/>
      </c>
      <c r="W1121" s="106" t="str">
        <f>IFERROR(__xludf.DUMMYFUNCTION("""COMPUTED_VALUE"""),"")</f>
        <v/>
      </c>
      <c r="X1121" s="143" t="str">
        <f t="shared" si="2"/>
        <v/>
      </c>
      <c r="Y1121" s="139" t="str">
        <f>IFERROR(__xludf.DUMMYFUNCTION("""COMPUTED_VALUE"""),"")</f>
        <v/>
      </c>
      <c r="Z1121" s="141" t="str">
        <f>IFERROR(__xludf.DUMMYFUNCTION("""COMPUTED_VALUE"""),"")</f>
        <v/>
      </c>
    </row>
    <row r="1122">
      <c r="D1122" s="136" t="str">
        <f t="shared" si="3"/>
        <v/>
      </c>
      <c r="E1122" s="152"/>
      <c r="F1122" s="106" t="s">
        <v>133</v>
      </c>
      <c r="G1122" s="152"/>
      <c r="H1122" s="106" t="s">
        <v>133</v>
      </c>
      <c r="J1122" s="139" t="s">
        <v>133</v>
      </c>
      <c r="K1122" s="136" t="s">
        <v>133</v>
      </c>
      <c r="L1122" s="153"/>
      <c r="M1122" s="136" t="str">
        <f t="shared" si="1"/>
        <v/>
      </c>
      <c r="O1122" s="141" t="s">
        <v>133</v>
      </c>
      <c r="P1122" s="136" t="str">
        <f>IFERROR(__xludf.DUMMYFUNCTION("""COMPUTED_VALUE"""),"")</f>
        <v/>
      </c>
      <c r="Q1122" s="136" t="str">
        <f>IFERROR(__xludf.DUMMYFUNCTION("""COMPUTED_VALUE"""),"")</f>
        <v/>
      </c>
      <c r="R1122" s="106" t="str">
        <f>IFERROR(__xludf.DUMMYFUNCTION("""COMPUTED_VALUE"""),"")</f>
        <v/>
      </c>
      <c r="S1122" s="106" t="str">
        <f>IFERROR(__xludf.DUMMYFUNCTION("""COMPUTED_VALUE"""),"")</f>
        <v/>
      </c>
      <c r="T1122" s="139" t="str">
        <f>IFERROR(__xludf.DUMMYFUNCTION("""COMPUTED_VALUE"""),"")</f>
        <v/>
      </c>
      <c r="U1122" s="139" t="str">
        <f>IFERROR(__xludf.DUMMYFUNCTION("""COMPUTED_VALUE"""),"")</f>
        <v/>
      </c>
      <c r="V1122" s="136" t="str">
        <f>IFERROR(__xludf.DUMMYFUNCTION("""COMPUTED_VALUE"""),"")</f>
        <v/>
      </c>
      <c r="W1122" s="106" t="str">
        <f>IFERROR(__xludf.DUMMYFUNCTION("""COMPUTED_VALUE"""),"")</f>
        <v/>
      </c>
      <c r="X1122" s="143" t="str">
        <f t="shared" si="2"/>
        <v/>
      </c>
      <c r="Y1122" s="139" t="str">
        <f>IFERROR(__xludf.DUMMYFUNCTION("""COMPUTED_VALUE"""),"")</f>
        <v/>
      </c>
      <c r="Z1122" s="141" t="str">
        <f>IFERROR(__xludf.DUMMYFUNCTION("""COMPUTED_VALUE"""),"")</f>
        <v/>
      </c>
    </row>
    <row r="1123">
      <c r="D1123" s="136" t="str">
        <f t="shared" si="3"/>
        <v/>
      </c>
      <c r="E1123" s="152"/>
      <c r="F1123" s="106" t="s">
        <v>133</v>
      </c>
      <c r="G1123" s="152"/>
      <c r="H1123" s="106" t="s">
        <v>133</v>
      </c>
      <c r="J1123" s="139" t="s">
        <v>133</v>
      </c>
      <c r="K1123" s="136" t="s">
        <v>133</v>
      </c>
      <c r="L1123" s="153"/>
      <c r="M1123" s="136" t="str">
        <f t="shared" si="1"/>
        <v/>
      </c>
      <c r="O1123" s="141" t="s">
        <v>133</v>
      </c>
      <c r="P1123" s="136" t="str">
        <f>IFERROR(__xludf.DUMMYFUNCTION("""COMPUTED_VALUE"""),"")</f>
        <v/>
      </c>
      <c r="Q1123" s="136" t="str">
        <f>IFERROR(__xludf.DUMMYFUNCTION("""COMPUTED_VALUE"""),"")</f>
        <v/>
      </c>
      <c r="R1123" s="106" t="str">
        <f>IFERROR(__xludf.DUMMYFUNCTION("""COMPUTED_VALUE"""),"")</f>
        <v/>
      </c>
      <c r="S1123" s="106" t="str">
        <f>IFERROR(__xludf.DUMMYFUNCTION("""COMPUTED_VALUE"""),"")</f>
        <v/>
      </c>
      <c r="T1123" s="139" t="str">
        <f>IFERROR(__xludf.DUMMYFUNCTION("""COMPUTED_VALUE"""),"")</f>
        <v/>
      </c>
      <c r="U1123" s="139" t="str">
        <f>IFERROR(__xludf.DUMMYFUNCTION("""COMPUTED_VALUE"""),"")</f>
        <v/>
      </c>
      <c r="V1123" s="136" t="str">
        <f>IFERROR(__xludf.DUMMYFUNCTION("""COMPUTED_VALUE"""),"")</f>
        <v/>
      </c>
      <c r="W1123" s="106" t="str">
        <f>IFERROR(__xludf.DUMMYFUNCTION("""COMPUTED_VALUE"""),"")</f>
        <v/>
      </c>
      <c r="X1123" s="143" t="str">
        <f t="shared" si="2"/>
        <v/>
      </c>
      <c r="Y1123" s="139" t="str">
        <f>IFERROR(__xludf.DUMMYFUNCTION("""COMPUTED_VALUE"""),"")</f>
        <v/>
      </c>
      <c r="Z1123" s="141" t="str">
        <f>IFERROR(__xludf.DUMMYFUNCTION("""COMPUTED_VALUE"""),"")</f>
        <v/>
      </c>
    </row>
    <row r="1124">
      <c r="D1124" s="136" t="str">
        <f t="shared" si="3"/>
        <v/>
      </c>
      <c r="E1124" s="152"/>
      <c r="F1124" s="106" t="s">
        <v>133</v>
      </c>
      <c r="G1124" s="152"/>
      <c r="H1124" s="106" t="s">
        <v>133</v>
      </c>
      <c r="J1124" s="139" t="s">
        <v>133</v>
      </c>
      <c r="K1124" s="136" t="s">
        <v>133</v>
      </c>
      <c r="L1124" s="153"/>
      <c r="M1124" s="136" t="str">
        <f t="shared" si="1"/>
        <v/>
      </c>
      <c r="O1124" s="141" t="s">
        <v>133</v>
      </c>
      <c r="P1124" s="136" t="str">
        <f>IFERROR(__xludf.DUMMYFUNCTION("""COMPUTED_VALUE"""),"")</f>
        <v/>
      </c>
      <c r="Q1124" s="136" t="str">
        <f>IFERROR(__xludf.DUMMYFUNCTION("""COMPUTED_VALUE"""),"")</f>
        <v/>
      </c>
      <c r="R1124" s="106" t="str">
        <f>IFERROR(__xludf.DUMMYFUNCTION("""COMPUTED_VALUE"""),"")</f>
        <v/>
      </c>
      <c r="S1124" s="106" t="str">
        <f>IFERROR(__xludf.DUMMYFUNCTION("""COMPUTED_VALUE"""),"")</f>
        <v/>
      </c>
      <c r="T1124" s="139" t="str">
        <f>IFERROR(__xludf.DUMMYFUNCTION("""COMPUTED_VALUE"""),"")</f>
        <v/>
      </c>
      <c r="U1124" s="139" t="str">
        <f>IFERROR(__xludf.DUMMYFUNCTION("""COMPUTED_VALUE"""),"")</f>
        <v/>
      </c>
      <c r="V1124" s="136" t="str">
        <f>IFERROR(__xludf.DUMMYFUNCTION("""COMPUTED_VALUE"""),"")</f>
        <v/>
      </c>
      <c r="W1124" s="106" t="str">
        <f>IFERROR(__xludf.DUMMYFUNCTION("""COMPUTED_VALUE"""),"")</f>
        <v/>
      </c>
      <c r="X1124" s="143" t="str">
        <f t="shared" si="2"/>
        <v/>
      </c>
      <c r="Y1124" s="139" t="str">
        <f>IFERROR(__xludf.DUMMYFUNCTION("""COMPUTED_VALUE"""),"")</f>
        <v/>
      </c>
      <c r="Z1124" s="141" t="str">
        <f>IFERROR(__xludf.DUMMYFUNCTION("""COMPUTED_VALUE"""),"")</f>
        <v/>
      </c>
    </row>
    <row r="1125">
      <c r="D1125" s="136" t="str">
        <f t="shared" si="3"/>
        <v/>
      </c>
      <c r="E1125" s="152"/>
      <c r="F1125" s="106" t="s">
        <v>133</v>
      </c>
      <c r="G1125" s="152"/>
      <c r="H1125" s="106" t="s">
        <v>133</v>
      </c>
      <c r="J1125" s="139" t="s">
        <v>133</v>
      </c>
      <c r="K1125" s="136" t="s">
        <v>133</v>
      </c>
      <c r="L1125" s="153"/>
      <c r="M1125" s="136" t="str">
        <f t="shared" si="1"/>
        <v/>
      </c>
      <c r="O1125" s="141" t="s">
        <v>133</v>
      </c>
      <c r="P1125" s="136" t="str">
        <f>IFERROR(__xludf.DUMMYFUNCTION("""COMPUTED_VALUE"""),"")</f>
        <v/>
      </c>
      <c r="Q1125" s="136" t="str">
        <f>IFERROR(__xludf.DUMMYFUNCTION("""COMPUTED_VALUE"""),"")</f>
        <v/>
      </c>
      <c r="R1125" s="106" t="str">
        <f>IFERROR(__xludf.DUMMYFUNCTION("""COMPUTED_VALUE"""),"")</f>
        <v/>
      </c>
      <c r="S1125" s="106" t="str">
        <f>IFERROR(__xludf.DUMMYFUNCTION("""COMPUTED_VALUE"""),"")</f>
        <v/>
      </c>
      <c r="T1125" s="139" t="str">
        <f>IFERROR(__xludf.DUMMYFUNCTION("""COMPUTED_VALUE"""),"")</f>
        <v/>
      </c>
      <c r="U1125" s="139" t="str">
        <f>IFERROR(__xludf.DUMMYFUNCTION("""COMPUTED_VALUE"""),"")</f>
        <v/>
      </c>
      <c r="V1125" s="136" t="str">
        <f>IFERROR(__xludf.DUMMYFUNCTION("""COMPUTED_VALUE"""),"")</f>
        <v/>
      </c>
      <c r="W1125" s="106" t="str">
        <f>IFERROR(__xludf.DUMMYFUNCTION("""COMPUTED_VALUE"""),"")</f>
        <v/>
      </c>
      <c r="X1125" s="143" t="str">
        <f t="shared" si="2"/>
        <v/>
      </c>
      <c r="Y1125" s="139" t="str">
        <f>IFERROR(__xludf.DUMMYFUNCTION("""COMPUTED_VALUE"""),"")</f>
        <v/>
      </c>
      <c r="Z1125" s="141" t="str">
        <f>IFERROR(__xludf.DUMMYFUNCTION("""COMPUTED_VALUE"""),"")</f>
        <v/>
      </c>
    </row>
    <row r="1126">
      <c r="D1126" s="136" t="str">
        <f t="shared" si="3"/>
        <v/>
      </c>
      <c r="E1126" s="152"/>
      <c r="F1126" s="106" t="s">
        <v>133</v>
      </c>
      <c r="G1126" s="152"/>
      <c r="H1126" s="106" t="s">
        <v>133</v>
      </c>
      <c r="J1126" s="139" t="s">
        <v>133</v>
      </c>
      <c r="K1126" s="136" t="s">
        <v>133</v>
      </c>
      <c r="L1126" s="153"/>
      <c r="M1126" s="136" t="str">
        <f t="shared" si="1"/>
        <v/>
      </c>
      <c r="O1126" s="141" t="s">
        <v>133</v>
      </c>
      <c r="P1126" s="136" t="str">
        <f>IFERROR(__xludf.DUMMYFUNCTION("""COMPUTED_VALUE"""),"")</f>
        <v/>
      </c>
      <c r="Q1126" s="136" t="str">
        <f>IFERROR(__xludf.DUMMYFUNCTION("""COMPUTED_VALUE"""),"")</f>
        <v/>
      </c>
      <c r="R1126" s="106" t="str">
        <f>IFERROR(__xludf.DUMMYFUNCTION("""COMPUTED_VALUE"""),"")</f>
        <v/>
      </c>
      <c r="S1126" s="106" t="str">
        <f>IFERROR(__xludf.DUMMYFUNCTION("""COMPUTED_VALUE"""),"")</f>
        <v/>
      </c>
      <c r="T1126" s="139" t="str">
        <f>IFERROR(__xludf.DUMMYFUNCTION("""COMPUTED_VALUE"""),"")</f>
        <v/>
      </c>
      <c r="U1126" s="139" t="str">
        <f>IFERROR(__xludf.DUMMYFUNCTION("""COMPUTED_VALUE"""),"")</f>
        <v/>
      </c>
      <c r="V1126" s="136" t="str">
        <f>IFERROR(__xludf.DUMMYFUNCTION("""COMPUTED_VALUE"""),"")</f>
        <v/>
      </c>
      <c r="W1126" s="106" t="str">
        <f>IFERROR(__xludf.DUMMYFUNCTION("""COMPUTED_VALUE"""),"")</f>
        <v/>
      </c>
      <c r="X1126" s="143" t="str">
        <f t="shared" si="2"/>
        <v/>
      </c>
      <c r="Y1126" s="139" t="str">
        <f>IFERROR(__xludf.DUMMYFUNCTION("""COMPUTED_VALUE"""),"")</f>
        <v/>
      </c>
      <c r="Z1126" s="141" t="str">
        <f>IFERROR(__xludf.DUMMYFUNCTION("""COMPUTED_VALUE"""),"")</f>
        <v/>
      </c>
    </row>
    <row r="1127">
      <c r="D1127" s="136" t="str">
        <f t="shared" si="3"/>
        <v/>
      </c>
      <c r="E1127" s="152"/>
      <c r="F1127" s="106" t="s">
        <v>133</v>
      </c>
      <c r="G1127" s="152"/>
      <c r="H1127" s="106" t="s">
        <v>133</v>
      </c>
      <c r="J1127" s="139" t="s">
        <v>133</v>
      </c>
      <c r="K1127" s="136" t="s">
        <v>133</v>
      </c>
      <c r="L1127" s="153"/>
      <c r="M1127" s="136" t="str">
        <f t="shared" si="1"/>
        <v/>
      </c>
      <c r="O1127" s="141" t="s">
        <v>133</v>
      </c>
      <c r="P1127" s="136" t="str">
        <f>IFERROR(__xludf.DUMMYFUNCTION("""COMPUTED_VALUE"""),"")</f>
        <v/>
      </c>
      <c r="Q1127" s="136" t="str">
        <f>IFERROR(__xludf.DUMMYFUNCTION("""COMPUTED_VALUE"""),"")</f>
        <v/>
      </c>
      <c r="R1127" s="106" t="str">
        <f>IFERROR(__xludf.DUMMYFUNCTION("""COMPUTED_VALUE"""),"")</f>
        <v/>
      </c>
      <c r="S1127" s="106" t="str">
        <f>IFERROR(__xludf.DUMMYFUNCTION("""COMPUTED_VALUE"""),"")</f>
        <v/>
      </c>
      <c r="T1127" s="139" t="str">
        <f>IFERROR(__xludf.DUMMYFUNCTION("""COMPUTED_VALUE"""),"")</f>
        <v/>
      </c>
      <c r="U1127" s="139" t="str">
        <f>IFERROR(__xludf.DUMMYFUNCTION("""COMPUTED_VALUE"""),"")</f>
        <v/>
      </c>
      <c r="V1127" s="136" t="str">
        <f>IFERROR(__xludf.DUMMYFUNCTION("""COMPUTED_VALUE"""),"")</f>
        <v/>
      </c>
      <c r="W1127" s="106" t="str">
        <f>IFERROR(__xludf.DUMMYFUNCTION("""COMPUTED_VALUE"""),"")</f>
        <v/>
      </c>
      <c r="X1127" s="143" t="str">
        <f t="shared" si="2"/>
        <v/>
      </c>
      <c r="Y1127" s="139" t="str">
        <f>IFERROR(__xludf.DUMMYFUNCTION("""COMPUTED_VALUE"""),"")</f>
        <v/>
      </c>
      <c r="Z1127" s="141" t="str">
        <f>IFERROR(__xludf.DUMMYFUNCTION("""COMPUTED_VALUE"""),"")</f>
        <v/>
      </c>
    </row>
    <row r="1128">
      <c r="D1128" s="136" t="str">
        <f t="shared" si="3"/>
        <v/>
      </c>
      <c r="E1128" s="152"/>
      <c r="F1128" s="106" t="s">
        <v>133</v>
      </c>
      <c r="G1128" s="152"/>
      <c r="H1128" s="106" t="s">
        <v>133</v>
      </c>
      <c r="J1128" s="139" t="s">
        <v>133</v>
      </c>
      <c r="K1128" s="136" t="s">
        <v>133</v>
      </c>
      <c r="L1128" s="153"/>
      <c r="M1128" s="136" t="str">
        <f t="shared" si="1"/>
        <v/>
      </c>
      <c r="O1128" s="141" t="s">
        <v>133</v>
      </c>
      <c r="P1128" s="136" t="str">
        <f>IFERROR(__xludf.DUMMYFUNCTION("""COMPUTED_VALUE"""),"")</f>
        <v/>
      </c>
      <c r="Q1128" s="136" t="str">
        <f>IFERROR(__xludf.DUMMYFUNCTION("""COMPUTED_VALUE"""),"")</f>
        <v/>
      </c>
      <c r="R1128" s="106" t="str">
        <f>IFERROR(__xludf.DUMMYFUNCTION("""COMPUTED_VALUE"""),"")</f>
        <v/>
      </c>
      <c r="S1128" s="106" t="str">
        <f>IFERROR(__xludf.DUMMYFUNCTION("""COMPUTED_VALUE"""),"")</f>
        <v/>
      </c>
      <c r="T1128" s="139" t="str">
        <f>IFERROR(__xludf.DUMMYFUNCTION("""COMPUTED_VALUE"""),"")</f>
        <v/>
      </c>
      <c r="U1128" s="139" t="str">
        <f>IFERROR(__xludf.DUMMYFUNCTION("""COMPUTED_VALUE"""),"")</f>
        <v/>
      </c>
      <c r="V1128" s="136" t="str">
        <f>IFERROR(__xludf.DUMMYFUNCTION("""COMPUTED_VALUE"""),"")</f>
        <v/>
      </c>
      <c r="W1128" s="106" t="str">
        <f>IFERROR(__xludf.DUMMYFUNCTION("""COMPUTED_VALUE"""),"")</f>
        <v/>
      </c>
      <c r="X1128" s="143" t="str">
        <f t="shared" si="2"/>
        <v/>
      </c>
      <c r="Y1128" s="139" t="str">
        <f>IFERROR(__xludf.DUMMYFUNCTION("""COMPUTED_VALUE"""),"")</f>
        <v/>
      </c>
      <c r="Z1128" s="141" t="str">
        <f>IFERROR(__xludf.DUMMYFUNCTION("""COMPUTED_VALUE"""),"")</f>
        <v/>
      </c>
    </row>
    <row r="1129">
      <c r="D1129" s="136" t="str">
        <f t="shared" si="3"/>
        <v/>
      </c>
      <c r="E1129" s="152"/>
      <c r="F1129" s="106" t="s">
        <v>133</v>
      </c>
      <c r="G1129" s="152"/>
      <c r="H1129" s="106" t="s">
        <v>133</v>
      </c>
      <c r="J1129" s="139" t="s">
        <v>133</v>
      </c>
      <c r="K1129" s="136" t="s">
        <v>133</v>
      </c>
      <c r="L1129" s="153"/>
      <c r="M1129" s="136" t="str">
        <f t="shared" si="1"/>
        <v/>
      </c>
      <c r="O1129" s="141" t="s">
        <v>133</v>
      </c>
      <c r="P1129" s="136" t="str">
        <f>IFERROR(__xludf.DUMMYFUNCTION("""COMPUTED_VALUE"""),"")</f>
        <v/>
      </c>
      <c r="Q1129" s="136" t="str">
        <f>IFERROR(__xludf.DUMMYFUNCTION("""COMPUTED_VALUE"""),"")</f>
        <v/>
      </c>
      <c r="R1129" s="106" t="str">
        <f>IFERROR(__xludf.DUMMYFUNCTION("""COMPUTED_VALUE"""),"")</f>
        <v/>
      </c>
      <c r="S1129" s="106" t="str">
        <f>IFERROR(__xludf.DUMMYFUNCTION("""COMPUTED_VALUE"""),"")</f>
        <v/>
      </c>
      <c r="T1129" s="139" t="str">
        <f>IFERROR(__xludf.DUMMYFUNCTION("""COMPUTED_VALUE"""),"")</f>
        <v/>
      </c>
      <c r="U1129" s="139" t="str">
        <f>IFERROR(__xludf.DUMMYFUNCTION("""COMPUTED_VALUE"""),"")</f>
        <v/>
      </c>
      <c r="V1129" s="136" t="str">
        <f>IFERROR(__xludf.DUMMYFUNCTION("""COMPUTED_VALUE"""),"")</f>
        <v/>
      </c>
      <c r="W1129" s="106" t="str">
        <f>IFERROR(__xludf.DUMMYFUNCTION("""COMPUTED_VALUE"""),"")</f>
        <v/>
      </c>
      <c r="X1129" s="143" t="str">
        <f t="shared" si="2"/>
        <v/>
      </c>
      <c r="Y1129" s="139" t="str">
        <f>IFERROR(__xludf.DUMMYFUNCTION("""COMPUTED_VALUE"""),"")</f>
        <v/>
      </c>
      <c r="Z1129" s="141" t="str">
        <f>IFERROR(__xludf.DUMMYFUNCTION("""COMPUTED_VALUE"""),"")</f>
        <v/>
      </c>
    </row>
    <row r="1130">
      <c r="D1130" s="136" t="str">
        <f t="shared" si="3"/>
        <v/>
      </c>
      <c r="E1130" s="152"/>
      <c r="F1130" s="106" t="s">
        <v>133</v>
      </c>
      <c r="G1130" s="152"/>
      <c r="H1130" s="106" t="s">
        <v>133</v>
      </c>
      <c r="J1130" s="139" t="s">
        <v>133</v>
      </c>
      <c r="K1130" s="136" t="s">
        <v>133</v>
      </c>
      <c r="L1130" s="153"/>
      <c r="M1130" s="136" t="str">
        <f t="shared" si="1"/>
        <v/>
      </c>
      <c r="O1130" s="141" t="s">
        <v>133</v>
      </c>
      <c r="P1130" s="136" t="str">
        <f>IFERROR(__xludf.DUMMYFUNCTION("""COMPUTED_VALUE"""),"")</f>
        <v/>
      </c>
      <c r="Q1130" s="136" t="str">
        <f>IFERROR(__xludf.DUMMYFUNCTION("""COMPUTED_VALUE"""),"")</f>
        <v/>
      </c>
      <c r="R1130" s="106" t="str">
        <f>IFERROR(__xludf.DUMMYFUNCTION("""COMPUTED_VALUE"""),"")</f>
        <v/>
      </c>
      <c r="S1130" s="106" t="str">
        <f>IFERROR(__xludf.DUMMYFUNCTION("""COMPUTED_VALUE"""),"")</f>
        <v/>
      </c>
      <c r="T1130" s="139" t="str">
        <f>IFERROR(__xludf.DUMMYFUNCTION("""COMPUTED_VALUE"""),"")</f>
        <v/>
      </c>
      <c r="U1130" s="139" t="str">
        <f>IFERROR(__xludf.DUMMYFUNCTION("""COMPUTED_VALUE"""),"")</f>
        <v/>
      </c>
      <c r="V1130" s="136" t="str">
        <f>IFERROR(__xludf.DUMMYFUNCTION("""COMPUTED_VALUE"""),"")</f>
        <v/>
      </c>
      <c r="W1130" s="106" t="str">
        <f>IFERROR(__xludf.DUMMYFUNCTION("""COMPUTED_VALUE"""),"")</f>
        <v/>
      </c>
      <c r="X1130" s="143" t="str">
        <f t="shared" si="2"/>
        <v/>
      </c>
      <c r="Y1130" s="139" t="str">
        <f>IFERROR(__xludf.DUMMYFUNCTION("""COMPUTED_VALUE"""),"")</f>
        <v/>
      </c>
      <c r="Z1130" s="141" t="str">
        <f>IFERROR(__xludf.DUMMYFUNCTION("""COMPUTED_VALUE"""),"")</f>
        <v/>
      </c>
    </row>
    <row r="1131">
      <c r="D1131" s="136" t="str">
        <f t="shared" si="3"/>
        <v/>
      </c>
      <c r="E1131" s="152"/>
      <c r="F1131" s="106" t="s">
        <v>133</v>
      </c>
      <c r="G1131" s="152"/>
      <c r="H1131" s="106" t="s">
        <v>133</v>
      </c>
      <c r="J1131" s="139" t="s">
        <v>133</v>
      </c>
      <c r="K1131" s="136" t="s">
        <v>133</v>
      </c>
      <c r="L1131" s="153"/>
      <c r="M1131" s="136" t="str">
        <f t="shared" si="1"/>
        <v/>
      </c>
      <c r="O1131" s="141" t="s">
        <v>133</v>
      </c>
      <c r="P1131" s="136" t="str">
        <f>IFERROR(__xludf.DUMMYFUNCTION("""COMPUTED_VALUE"""),"")</f>
        <v/>
      </c>
      <c r="Q1131" s="136" t="str">
        <f>IFERROR(__xludf.DUMMYFUNCTION("""COMPUTED_VALUE"""),"")</f>
        <v/>
      </c>
      <c r="R1131" s="106" t="str">
        <f>IFERROR(__xludf.DUMMYFUNCTION("""COMPUTED_VALUE"""),"")</f>
        <v/>
      </c>
      <c r="S1131" s="106" t="str">
        <f>IFERROR(__xludf.DUMMYFUNCTION("""COMPUTED_VALUE"""),"")</f>
        <v/>
      </c>
      <c r="T1131" s="139" t="str">
        <f>IFERROR(__xludf.DUMMYFUNCTION("""COMPUTED_VALUE"""),"")</f>
        <v/>
      </c>
      <c r="U1131" s="139" t="str">
        <f>IFERROR(__xludf.DUMMYFUNCTION("""COMPUTED_VALUE"""),"")</f>
        <v/>
      </c>
      <c r="V1131" s="136" t="str">
        <f>IFERROR(__xludf.DUMMYFUNCTION("""COMPUTED_VALUE"""),"")</f>
        <v/>
      </c>
      <c r="W1131" s="106" t="str">
        <f>IFERROR(__xludf.DUMMYFUNCTION("""COMPUTED_VALUE"""),"")</f>
        <v/>
      </c>
      <c r="X1131" s="143" t="str">
        <f t="shared" si="2"/>
        <v/>
      </c>
      <c r="Y1131" s="139" t="str">
        <f>IFERROR(__xludf.DUMMYFUNCTION("""COMPUTED_VALUE"""),"")</f>
        <v/>
      </c>
      <c r="Z1131" s="141" t="str">
        <f>IFERROR(__xludf.DUMMYFUNCTION("""COMPUTED_VALUE"""),"")</f>
        <v/>
      </c>
    </row>
    <row r="1132">
      <c r="D1132" s="136" t="str">
        <f t="shared" si="3"/>
        <v/>
      </c>
      <c r="E1132" s="152"/>
      <c r="F1132" s="106" t="s">
        <v>133</v>
      </c>
      <c r="G1132" s="152"/>
      <c r="H1132" s="106" t="s">
        <v>133</v>
      </c>
      <c r="J1132" s="139" t="s">
        <v>133</v>
      </c>
      <c r="K1132" s="136" t="s">
        <v>133</v>
      </c>
      <c r="L1132" s="153"/>
      <c r="M1132" s="136" t="str">
        <f t="shared" si="1"/>
        <v/>
      </c>
      <c r="O1132" s="141" t="s">
        <v>133</v>
      </c>
      <c r="P1132" s="136" t="str">
        <f>IFERROR(__xludf.DUMMYFUNCTION("""COMPUTED_VALUE"""),"")</f>
        <v/>
      </c>
      <c r="Q1132" s="136" t="str">
        <f>IFERROR(__xludf.DUMMYFUNCTION("""COMPUTED_VALUE"""),"")</f>
        <v/>
      </c>
      <c r="R1132" s="106" t="str">
        <f>IFERROR(__xludf.DUMMYFUNCTION("""COMPUTED_VALUE"""),"")</f>
        <v/>
      </c>
      <c r="S1132" s="106" t="str">
        <f>IFERROR(__xludf.DUMMYFUNCTION("""COMPUTED_VALUE"""),"")</f>
        <v/>
      </c>
      <c r="T1132" s="139" t="str">
        <f>IFERROR(__xludf.DUMMYFUNCTION("""COMPUTED_VALUE"""),"")</f>
        <v/>
      </c>
      <c r="U1132" s="139" t="str">
        <f>IFERROR(__xludf.DUMMYFUNCTION("""COMPUTED_VALUE"""),"")</f>
        <v/>
      </c>
      <c r="V1132" s="136" t="str">
        <f>IFERROR(__xludf.DUMMYFUNCTION("""COMPUTED_VALUE"""),"")</f>
        <v/>
      </c>
      <c r="W1132" s="106" t="str">
        <f>IFERROR(__xludf.DUMMYFUNCTION("""COMPUTED_VALUE"""),"")</f>
        <v/>
      </c>
      <c r="X1132" s="143" t="str">
        <f t="shared" si="2"/>
        <v/>
      </c>
      <c r="Y1132" s="139" t="str">
        <f>IFERROR(__xludf.DUMMYFUNCTION("""COMPUTED_VALUE"""),"")</f>
        <v/>
      </c>
      <c r="Z1132" s="141" t="str">
        <f>IFERROR(__xludf.DUMMYFUNCTION("""COMPUTED_VALUE"""),"")</f>
        <v/>
      </c>
    </row>
    <row r="1133">
      <c r="D1133" s="136" t="str">
        <f t="shared" si="3"/>
        <v/>
      </c>
      <c r="E1133" s="152"/>
      <c r="F1133" s="106" t="s">
        <v>133</v>
      </c>
      <c r="G1133" s="152"/>
      <c r="H1133" s="106" t="s">
        <v>133</v>
      </c>
      <c r="J1133" s="139" t="s">
        <v>133</v>
      </c>
      <c r="K1133" s="136" t="s">
        <v>133</v>
      </c>
      <c r="L1133" s="153"/>
      <c r="M1133" s="136" t="str">
        <f t="shared" si="1"/>
        <v/>
      </c>
      <c r="O1133" s="141" t="s">
        <v>133</v>
      </c>
      <c r="P1133" s="136" t="str">
        <f>IFERROR(__xludf.DUMMYFUNCTION("""COMPUTED_VALUE"""),"")</f>
        <v/>
      </c>
      <c r="Q1133" s="136" t="str">
        <f>IFERROR(__xludf.DUMMYFUNCTION("""COMPUTED_VALUE"""),"")</f>
        <v/>
      </c>
      <c r="R1133" s="106" t="str">
        <f>IFERROR(__xludf.DUMMYFUNCTION("""COMPUTED_VALUE"""),"")</f>
        <v/>
      </c>
      <c r="S1133" s="106" t="str">
        <f>IFERROR(__xludf.DUMMYFUNCTION("""COMPUTED_VALUE"""),"")</f>
        <v/>
      </c>
      <c r="T1133" s="139" t="str">
        <f>IFERROR(__xludf.DUMMYFUNCTION("""COMPUTED_VALUE"""),"")</f>
        <v/>
      </c>
      <c r="U1133" s="139" t="str">
        <f>IFERROR(__xludf.DUMMYFUNCTION("""COMPUTED_VALUE"""),"")</f>
        <v/>
      </c>
      <c r="V1133" s="136" t="str">
        <f>IFERROR(__xludf.DUMMYFUNCTION("""COMPUTED_VALUE"""),"")</f>
        <v/>
      </c>
      <c r="W1133" s="106" t="str">
        <f>IFERROR(__xludf.DUMMYFUNCTION("""COMPUTED_VALUE"""),"")</f>
        <v/>
      </c>
      <c r="X1133" s="143" t="str">
        <f t="shared" si="2"/>
        <v/>
      </c>
      <c r="Y1133" s="139" t="str">
        <f>IFERROR(__xludf.DUMMYFUNCTION("""COMPUTED_VALUE"""),"")</f>
        <v/>
      </c>
      <c r="Z1133" s="141" t="str">
        <f>IFERROR(__xludf.DUMMYFUNCTION("""COMPUTED_VALUE"""),"")</f>
        <v/>
      </c>
    </row>
    <row r="1134">
      <c r="D1134" s="136" t="str">
        <f t="shared" si="3"/>
        <v/>
      </c>
      <c r="E1134" s="152"/>
      <c r="F1134" s="106" t="s">
        <v>133</v>
      </c>
      <c r="G1134" s="152"/>
      <c r="H1134" s="106" t="s">
        <v>133</v>
      </c>
      <c r="J1134" s="139" t="s">
        <v>133</v>
      </c>
      <c r="K1134" s="136" t="s">
        <v>133</v>
      </c>
      <c r="L1134" s="153"/>
      <c r="M1134" s="136" t="str">
        <f t="shared" si="1"/>
        <v/>
      </c>
      <c r="O1134" s="141" t="s">
        <v>133</v>
      </c>
      <c r="P1134" s="136" t="str">
        <f>IFERROR(__xludf.DUMMYFUNCTION("""COMPUTED_VALUE"""),"")</f>
        <v/>
      </c>
      <c r="Q1134" s="136" t="str">
        <f>IFERROR(__xludf.DUMMYFUNCTION("""COMPUTED_VALUE"""),"")</f>
        <v/>
      </c>
      <c r="R1134" s="106" t="str">
        <f>IFERROR(__xludf.DUMMYFUNCTION("""COMPUTED_VALUE"""),"")</f>
        <v/>
      </c>
      <c r="S1134" s="106" t="str">
        <f>IFERROR(__xludf.DUMMYFUNCTION("""COMPUTED_VALUE"""),"")</f>
        <v/>
      </c>
      <c r="T1134" s="139" t="str">
        <f>IFERROR(__xludf.DUMMYFUNCTION("""COMPUTED_VALUE"""),"")</f>
        <v/>
      </c>
      <c r="U1134" s="139" t="str">
        <f>IFERROR(__xludf.DUMMYFUNCTION("""COMPUTED_VALUE"""),"")</f>
        <v/>
      </c>
      <c r="V1134" s="136" t="str">
        <f>IFERROR(__xludf.DUMMYFUNCTION("""COMPUTED_VALUE"""),"")</f>
        <v/>
      </c>
      <c r="W1134" s="106" t="str">
        <f>IFERROR(__xludf.DUMMYFUNCTION("""COMPUTED_VALUE"""),"")</f>
        <v/>
      </c>
      <c r="X1134" s="143" t="str">
        <f t="shared" si="2"/>
        <v/>
      </c>
      <c r="Y1134" s="139" t="str">
        <f>IFERROR(__xludf.DUMMYFUNCTION("""COMPUTED_VALUE"""),"")</f>
        <v/>
      </c>
      <c r="Z1134" s="141" t="str">
        <f>IFERROR(__xludf.DUMMYFUNCTION("""COMPUTED_VALUE"""),"")</f>
        <v/>
      </c>
    </row>
    <row r="1135">
      <c r="D1135" s="136" t="str">
        <f t="shared" si="3"/>
        <v/>
      </c>
      <c r="E1135" s="152"/>
      <c r="F1135" s="106" t="s">
        <v>133</v>
      </c>
      <c r="G1135" s="152"/>
      <c r="H1135" s="106" t="s">
        <v>133</v>
      </c>
      <c r="J1135" s="139" t="s">
        <v>133</v>
      </c>
      <c r="K1135" s="136" t="s">
        <v>133</v>
      </c>
      <c r="L1135" s="153"/>
      <c r="M1135" s="136" t="str">
        <f t="shared" si="1"/>
        <v/>
      </c>
      <c r="O1135" s="141" t="s">
        <v>133</v>
      </c>
      <c r="P1135" s="136" t="str">
        <f>IFERROR(__xludf.DUMMYFUNCTION("""COMPUTED_VALUE"""),"")</f>
        <v/>
      </c>
      <c r="Q1135" s="136" t="str">
        <f>IFERROR(__xludf.DUMMYFUNCTION("""COMPUTED_VALUE"""),"")</f>
        <v/>
      </c>
      <c r="R1135" s="106" t="str">
        <f>IFERROR(__xludf.DUMMYFUNCTION("""COMPUTED_VALUE"""),"")</f>
        <v/>
      </c>
      <c r="S1135" s="106" t="str">
        <f>IFERROR(__xludf.DUMMYFUNCTION("""COMPUTED_VALUE"""),"")</f>
        <v/>
      </c>
      <c r="T1135" s="139" t="str">
        <f>IFERROR(__xludf.DUMMYFUNCTION("""COMPUTED_VALUE"""),"")</f>
        <v/>
      </c>
      <c r="U1135" s="139" t="str">
        <f>IFERROR(__xludf.DUMMYFUNCTION("""COMPUTED_VALUE"""),"")</f>
        <v/>
      </c>
      <c r="V1135" s="136" t="str">
        <f>IFERROR(__xludf.DUMMYFUNCTION("""COMPUTED_VALUE"""),"")</f>
        <v/>
      </c>
      <c r="W1135" s="106" t="str">
        <f>IFERROR(__xludf.DUMMYFUNCTION("""COMPUTED_VALUE"""),"")</f>
        <v/>
      </c>
      <c r="X1135" s="143" t="str">
        <f t="shared" si="2"/>
        <v/>
      </c>
      <c r="Y1135" s="139" t="str">
        <f>IFERROR(__xludf.DUMMYFUNCTION("""COMPUTED_VALUE"""),"")</f>
        <v/>
      </c>
      <c r="Z1135" s="141" t="str">
        <f>IFERROR(__xludf.DUMMYFUNCTION("""COMPUTED_VALUE"""),"")</f>
        <v/>
      </c>
    </row>
    <row r="1136">
      <c r="D1136" s="136" t="str">
        <f t="shared" si="3"/>
        <v/>
      </c>
      <c r="E1136" s="152"/>
      <c r="F1136" s="106" t="s">
        <v>133</v>
      </c>
      <c r="G1136" s="152"/>
      <c r="H1136" s="106" t="s">
        <v>133</v>
      </c>
      <c r="J1136" s="139" t="s">
        <v>133</v>
      </c>
      <c r="K1136" s="136" t="s">
        <v>133</v>
      </c>
      <c r="L1136" s="153"/>
      <c r="M1136" s="136" t="str">
        <f t="shared" si="1"/>
        <v/>
      </c>
      <c r="O1136" s="141" t="s">
        <v>133</v>
      </c>
      <c r="P1136" s="136" t="str">
        <f>IFERROR(__xludf.DUMMYFUNCTION("""COMPUTED_VALUE"""),"")</f>
        <v/>
      </c>
      <c r="Q1136" s="136" t="str">
        <f>IFERROR(__xludf.DUMMYFUNCTION("""COMPUTED_VALUE"""),"")</f>
        <v/>
      </c>
      <c r="R1136" s="106" t="str">
        <f>IFERROR(__xludf.DUMMYFUNCTION("""COMPUTED_VALUE"""),"")</f>
        <v/>
      </c>
      <c r="S1136" s="106" t="str">
        <f>IFERROR(__xludf.DUMMYFUNCTION("""COMPUTED_VALUE"""),"")</f>
        <v/>
      </c>
      <c r="T1136" s="139" t="str">
        <f>IFERROR(__xludf.DUMMYFUNCTION("""COMPUTED_VALUE"""),"")</f>
        <v/>
      </c>
      <c r="U1136" s="139" t="str">
        <f>IFERROR(__xludf.DUMMYFUNCTION("""COMPUTED_VALUE"""),"")</f>
        <v/>
      </c>
      <c r="V1136" s="136" t="str">
        <f>IFERROR(__xludf.DUMMYFUNCTION("""COMPUTED_VALUE"""),"")</f>
        <v/>
      </c>
      <c r="W1136" s="106" t="str">
        <f>IFERROR(__xludf.DUMMYFUNCTION("""COMPUTED_VALUE"""),"")</f>
        <v/>
      </c>
      <c r="X1136" s="143" t="str">
        <f t="shared" si="2"/>
        <v/>
      </c>
      <c r="Y1136" s="139" t="str">
        <f>IFERROR(__xludf.DUMMYFUNCTION("""COMPUTED_VALUE"""),"")</f>
        <v/>
      </c>
      <c r="Z1136" s="141" t="str">
        <f>IFERROR(__xludf.DUMMYFUNCTION("""COMPUTED_VALUE"""),"")</f>
        <v/>
      </c>
    </row>
    <row r="1137">
      <c r="D1137" s="136" t="str">
        <f t="shared" si="3"/>
        <v/>
      </c>
      <c r="E1137" s="152"/>
      <c r="F1137" s="106" t="s">
        <v>133</v>
      </c>
      <c r="G1137" s="152"/>
      <c r="H1137" s="106" t="s">
        <v>133</v>
      </c>
      <c r="J1137" s="139" t="s">
        <v>133</v>
      </c>
      <c r="K1137" s="136" t="s">
        <v>133</v>
      </c>
      <c r="L1137" s="153"/>
      <c r="M1137" s="136" t="str">
        <f t="shared" si="1"/>
        <v/>
      </c>
      <c r="O1137" s="141" t="s">
        <v>133</v>
      </c>
      <c r="P1137" s="136" t="str">
        <f>IFERROR(__xludf.DUMMYFUNCTION("""COMPUTED_VALUE"""),"")</f>
        <v/>
      </c>
      <c r="Q1137" s="136" t="str">
        <f>IFERROR(__xludf.DUMMYFUNCTION("""COMPUTED_VALUE"""),"")</f>
        <v/>
      </c>
      <c r="R1137" s="106" t="str">
        <f>IFERROR(__xludf.DUMMYFUNCTION("""COMPUTED_VALUE"""),"")</f>
        <v/>
      </c>
      <c r="S1137" s="106" t="str">
        <f>IFERROR(__xludf.DUMMYFUNCTION("""COMPUTED_VALUE"""),"")</f>
        <v/>
      </c>
      <c r="T1137" s="139" t="str">
        <f>IFERROR(__xludf.DUMMYFUNCTION("""COMPUTED_VALUE"""),"")</f>
        <v/>
      </c>
      <c r="U1137" s="139" t="str">
        <f>IFERROR(__xludf.DUMMYFUNCTION("""COMPUTED_VALUE"""),"")</f>
        <v/>
      </c>
      <c r="V1137" s="136" t="str">
        <f>IFERROR(__xludf.DUMMYFUNCTION("""COMPUTED_VALUE"""),"")</f>
        <v/>
      </c>
      <c r="W1137" s="106" t="str">
        <f>IFERROR(__xludf.DUMMYFUNCTION("""COMPUTED_VALUE"""),"")</f>
        <v/>
      </c>
      <c r="X1137" s="143" t="str">
        <f t="shared" si="2"/>
        <v/>
      </c>
      <c r="Y1137" s="139" t="str">
        <f>IFERROR(__xludf.DUMMYFUNCTION("""COMPUTED_VALUE"""),"")</f>
        <v/>
      </c>
      <c r="Z1137" s="141" t="str">
        <f>IFERROR(__xludf.DUMMYFUNCTION("""COMPUTED_VALUE"""),"")</f>
        <v/>
      </c>
    </row>
    <row r="1138">
      <c r="D1138" s="136" t="str">
        <f t="shared" si="3"/>
        <v/>
      </c>
      <c r="E1138" s="152"/>
      <c r="F1138" s="106" t="s">
        <v>133</v>
      </c>
      <c r="G1138" s="152"/>
      <c r="H1138" s="106" t="s">
        <v>133</v>
      </c>
      <c r="J1138" s="139" t="s">
        <v>133</v>
      </c>
      <c r="K1138" s="136" t="s">
        <v>133</v>
      </c>
      <c r="L1138" s="153"/>
      <c r="M1138" s="136" t="str">
        <f t="shared" si="1"/>
        <v/>
      </c>
      <c r="O1138" s="141" t="s">
        <v>133</v>
      </c>
      <c r="P1138" s="136" t="str">
        <f>IFERROR(__xludf.DUMMYFUNCTION("""COMPUTED_VALUE"""),"")</f>
        <v/>
      </c>
      <c r="Q1138" s="136" t="str">
        <f>IFERROR(__xludf.DUMMYFUNCTION("""COMPUTED_VALUE"""),"")</f>
        <v/>
      </c>
      <c r="R1138" s="106" t="str">
        <f>IFERROR(__xludf.DUMMYFUNCTION("""COMPUTED_VALUE"""),"")</f>
        <v/>
      </c>
      <c r="S1138" s="106" t="str">
        <f>IFERROR(__xludf.DUMMYFUNCTION("""COMPUTED_VALUE"""),"")</f>
        <v/>
      </c>
      <c r="T1138" s="139" t="str">
        <f>IFERROR(__xludf.DUMMYFUNCTION("""COMPUTED_VALUE"""),"")</f>
        <v/>
      </c>
      <c r="U1138" s="139" t="str">
        <f>IFERROR(__xludf.DUMMYFUNCTION("""COMPUTED_VALUE"""),"")</f>
        <v/>
      </c>
      <c r="V1138" s="136" t="str">
        <f>IFERROR(__xludf.DUMMYFUNCTION("""COMPUTED_VALUE"""),"")</f>
        <v/>
      </c>
      <c r="W1138" s="106" t="str">
        <f>IFERROR(__xludf.DUMMYFUNCTION("""COMPUTED_VALUE"""),"")</f>
        <v/>
      </c>
      <c r="X1138" s="143" t="str">
        <f t="shared" si="2"/>
        <v/>
      </c>
      <c r="Y1138" s="139" t="str">
        <f>IFERROR(__xludf.DUMMYFUNCTION("""COMPUTED_VALUE"""),"")</f>
        <v/>
      </c>
      <c r="Z1138" s="141" t="str">
        <f>IFERROR(__xludf.DUMMYFUNCTION("""COMPUTED_VALUE"""),"")</f>
        <v/>
      </c>
    </row>
    <row r="1139">
      <c r="D1139" s="136" t="str">
        <f t="shared" si="3"/>
        <v/>
      </c>
      <c r="E1139" s="152"/>
      <c r="F1139" s="106" t="s">
        <v>133</v>
      </c>
      <c r="G1139" s="152"/>
      <c r="H1139" s="106" t="s">
        <v>133</v>
      </c>
      <c r="J1139" s="139" t="s">
        <v>133</v>
      </c>
      <c r="K1139" s="136" t="s">
        <v>133</v>
      </c>
      <c r="L1139" s="153"/>
      <c r="M1139" s="136" t="str">
        <f t="shared" si="1"/>
        <v/>
      </c>
      <c r="O1139" s="141" t="s">
        <v>133</v>
      </c>
      <c r="P1139" s="136" t="str">
        <f>IFERROR(__xludf.DUMMYFUNCTION("""COMPUTED_VALUE"""),"")</f>
        <v/>
      </c>
      <c r="Q1139" s="136" t="str">
        <f>IFERROR(__xludf.DUMMYFUNCTION("""COMPUTED_VALUE"""),"")</f>
        <v/>
      </c>
      <c r="R1139" s="106" t="str">
        <f>IFERROR(__xludf.DUMMYFUNCTION("""COMPUTED_VALUE"""),"")</f>
        <v/>
      </c>
      <c r="S1139" s="106" t="str">
        <f>IFERROR(__xludf.DUMMYFUNCTION("""COMPUTED_VALUE"""),"")</f>
        <v/>
      </c>
      <c r="T1139" s="139" t="str">
        <f>IFERROR(__xludf.DUMMYFUNCTION("""COMPUTED_VALUE"""),"")</f>
        <v/>
      </c>
      <c r="U1139" s="139" t="str">
        <f>IFERROR(__xludf.DUMMYFUNCTION("""COMPUTED_VALUE"""),"")</f>
        <v/>
      </c>
      <c r="V1139" s="136" t="str">
        <f>IFERROR(__xludf.DUMMYFUNCTION("""COMPUTED_VALUE"""),"")</f>
        <v/>
      </c>
      <c r="W1139" s="106" t="str">
        <f>IFERROR(__xludf.DUMMYFUNCTION("""COMPUTED_VALUE"""),"")</f>
        <v/>
      </c>
      <c r="X1139" s="143" t="str">
        <f t="shared" si="2"/>
        <v/>
      </c>
      <c r="Y1139" s="139" t="str">
        <f>IFERROR(__xludf.DUMMYFUNCTION("""COMPUTED_VALUE"""),"")</f>
        <v/>
      </c>
      <c r="Z1139" s="141" t="str">
        <f>IFERROR(__xludf.DUMMYFUNCTION("""COMPUTED_VALUE"""),"")</f>
        <v/>
      </c>
    </row>
    <row r="1140">
      <c r="D1140" s="136" t="str">
        <f t="shared" si="3"/>
        <v/>
      </c>
      <c r="E1140" s="152"/>
      <c r="F1140" s="106" t="s">
        <v>133</v>
      </c>
      <c r="G1140" s="152"/>
      <c r="H1140" s="106" t="s">
        <v>133</v>
      </c>
      <c r="J1140" s="139" t="s">
        <v>133</v>
      </c>
      <c r="K1140" s="136" t="s">
        <v>133</v>
      </c>
      <c r="L1140" s="153"/>
      <c r="M1140" s="136" t="str">
        <f t="shared" si="1"/>
        <v/>
      </c>
      <c r="O1140" s="141" t="s">
        <v>133</v>
      </c>
      <c r="P1140" s="136" t="str">
        <f>IFERROR(__xludf.DUMMYFUNCTION("""COMPUTED_VALUE"""),"")</f>
        <v/>
      </c>
      <c r="Q1140" s="136" t="str">
        <f>IFERROR(__xludf.DUMMYFUNCTION("""COMPUTED_VALUE"""),"")</f>
        <v/>
      </c>
      <c r="R1140" s="106" t="str">
        <f>IFERROR(__xludf.DUMMYFUNCTION("""COMPUTED_VALUE"""),"")</f>
        <v/>
      </c>
      <c r="S1140" s="106" t="str">
        <f>IFERROR(__xludf.DUMMYFUNCTION("""COMPUTED_VALUE"""),"")</f>
        <v/>
      </c>
      <c r="T1140" s="139" t="str">
        <f>IFERROR(__xludf.DUMMYFUNCTION("""COMPUTED_VALUE"""),"")</f>
        <v/>
      </c>
      <c r="U1140" s="139" t="str">
        <f>IFERROR(__xludf.DUMMYFUNCTION("""COMPUTED_VALUE"""),"")</f>
        <v/>
      </c>
      <c r="V1140" s="136" t="str">
        <f>IFERROR(__xludf.DUMMYFUNCTION("""COMPUTED_VALUE"""),"")</f>
        <v/>
      </c>
      <c r="W1140" s="106" t="str">
        <f>IFERROR(__xludf.DUMMYFUNCTION("""COMPUTED_VALUE"""),"")</f>
        <v/>
      </c>
      <c r="X1140" s="143" t="str">
        <f t="shared" si="2"/>
        <v/>
      </c>
      <c r="Y1140" s="139" t="str">
        <f>IFERROR(__xludf.DUMMYFUNCTION("""COMPUTED_VALUE"""),"")</f>
        <v/>
      </c>
      <c r="Z1140" s="141" t="str">
        <f>IFERROR(__xludf.DUMMYFUNCTION("""COMPUTED_VALUE"""),"")</f>
        <v/>
      </c>
    </row>
    <row r="1141">
      <c r="D1141" s="136" t="str">
        <f t="shared" si="3"/>
        <v/>
      </c>
      <c r="E1141" s="152"/>
      <c r="F1141" s="106" t="s">
        <v>133</v>
      </c>
      <c r="G1141" s="152"/>
      <c r="H1141" s="106" t="s">
        <v>133</v>
      </c>
      <c r="J1141" s="139" t="s">
        <v>133</v>
      </c>
      <c r="K1141" s="136" t="s">
        <v>133</v>
      </c>
      <c r="L1141" s="153"/>
      <c r="M1141" s="136" t="str">
        <f t="shared" si="1"/>
        <v/>
      </c>
      <c r="O1141" s="141" t="s">
        <v>133</v>
      </c>
      <c r="P1141" s="136" t="str">
        <f>IFERROR(__xludf.DUMMYFUNCTION("""COMPUTED_VALUE"""),"")</f>
        <v/>
      </c>
      <c r="Q1141" s="136" t="str">
        <f>IFERROR(__xludf.DUMMYFUNCTION("""COMPUTED_VALUE"""),"")</f>
        <v/>
      </c>
      <c r="R1141" s="106" t="str">
        <f>IFERROR(__xludf.DUMMYFUNCTION("""COMPUTED_VALUE"""),"")</f>
        <v/>
      </c>
      <c r="S1141" s="106" t="str">
        <f>IFERROR(__xludf.DUMMYFUNCTION("""COMPUTED_VALUE"""),"")</f>
        <v/>
      </c>
      <c r="T1141" s="139" t="str">
        <f>IFERROR(__xludf.DUMMYFUNCTION("""COMPUTED_VALUE"""),"")</f>
        <v/>
      </c>
      <c r="U1141" s="139" t="str">
        <f>IFERROR(__xludf.DUMMYFUNCTION("""COMPUTED_VALUE"""),"")</f>
        <v/>
      </c>
      <c r="V1141" s="136" t="str">
        <f>IFERROR(__xludf.DUMMYFUNCTION("""COMPUTED_VALUE"""),"")</f>
        <v/>
      </c>
      <c r="W1141" s="106" t="str">
        <f>IFERROR(__xludf.DUMMYFUNCTION("""COMPUTED_VALUE"""),"")</f>
        <v/>
      </c>
      <c r="X1141" s="143" t="str">
        <f t="shared" si="2"/>
        <v/>
      </c>
      <c r="Y1141" s="139" t="str">
        <f>IFERROR(__xludf.DUMMYFUNCTION("""COMPUTED_VALUE"""),"")</f>
        <v/>
      </c>
      <c r="Z1141" s="141" t="str">
        <f>IFERROR(__xludf.DUMMYFUNCTION("""COMPUTED_VALUE"""),"")</f>
        <v/>
      </c>
    </row>
    <row r="1142">
      <c r="D1142" s="136" t="str">
        <f t="shared" si="3"/>
        <v/>
      </c>
      <c r="E1142" s="152"/>
      <c r="F1142" s="106" t="s">
        <v>133</v>
      </c>
      <c r="G1142" s="152"/>
      <c r="H1142" s="106" t="s">
        <v>133</v>
      </c>
      <c r="J1142" s="139" t="s">
        <v>133</v>
      </c>
      <c r="K1142" s="136" t="s">
        <v>133</v>
      </c>
      <c r="L1142" s="153"/>
      <c r="M1142" s="136" t="str">
        <f t="shared" si="1"/>
        <v/>
      </c>
      <c r="O1142" s="141" t="s">
        <v>133</v>
      </c>
      <c r="P1142" s="136" t="str">
        <f>IFERROR(__xludf.DUMMYFUNCTION("""COMPUTED_VALUE"""),"")</f>
        <v/>
      </c>
      <c r="Q1142" s="136" t="str">
        <f>IFERROR(__xludf.DUMMYFUNCTION("""COMPUTED_VALUE"""),"")</f>
        <v/>
      </c>
      <c r="R1142" s="106" t="str">
        <f>IFERROR(__xludf.DUMMYFUNCTION("""COMPUTED_VALUE"""),"")</f>
        <v/>
      </c>
      <c r="S1142" s="106" t="str">
        <f>IFERROR(__xludf.DUMMYFUNCTION("""COMPUTED_VALUE"""),"")</f>
        <v/>
      </c>
      <c r="T1142" s="139" t="str">
        <f>IFERROR(__xludf.DUMMYFUNCTION("""COMPUTED_VALUE"""),"")</f>
        <v/>
      </c>
      <c r="U1142" s="139" t="str">
        <f>IFERROR(__xludf.DUMMYFUNCTION("""COMPUTED_VALUE"""),"")</f>
        <v/>
      </c>
      <c r="V1142" s="136" t="str">
        <f>IFERROR(__xludf.DUMMYFUNCTION("""COMPUTED_VALUE"""),"")</f>
        <v/>
      </c>
      <c r="W1142" s="106" t="str">
        <f>IFERROR(__xludf.DUMMYFUNCTION("""COMPUTED_VALUE"""),"")</f>
        <v/>
      </c>
      <c r="X1142" s="143" t="str">
        <f t="shared" si="2"/>
        <v/>
      </c>
      <c r="Y1142" s="139" t="str">
        <f>IFERROR(__xludf.DUMMYFUNCTION("""COMPUTED_VALUE"""),"")</f>
        <v/>
      </c>
      <c r="Z1142" s="141" t="str">
        <f>IFERROR(__xludf.DUMMYFUNCTION("""COMPUTED_VALUE"""),"")</f>
        <v/>
      </c>
    </row>
    <row r="1143">
      <c r="D1143" s="136" t="str">
        <f t="shared" si="3"/>
        <v/>
      </c>
      <c r="E1143" s="152"/>
      <c r="F1143" s="106" t="s">
        <v>133</v>
      </c>
      <c r="G1143" s="152"/>
      <c r="H1143" s="106" t="s">
        <v>133</v>
      </c>
      <c r="J1143" s="139" t="s">
        <v>133</v>
      </c>
      <c r="K1143" s="136" t="s">
        <v>133</v>
      </c>
      <c r="L1143" s="153"/>
      <c r="M1143" s="136" t="str">
        <f t="shared" si="1"/>
        <v/>
      </c>
      <c r="O1143" s="141" t="s">
        <v>133</v>
      </c>
      <c r="P1143" s="136" t="str">
        <f>IFERROR(__xludf.DUMMYFUNCTION("""COMPUTED_VALUE"""),"")</f>
        <v/>
      </c>
      <c r="Q1143" s="136" t="str">
        <f>IFERROR(__xludf.DUMMYFUNCTION("""COMPUTED_VALUE"""),"")</f>
        <v/>
      </c>
      <c r="R1143" s="106" t="str">
        <f>IFERROR(__xludf.DUMMYFUNCTION("""COMPUTED_VALUE"""),"")</f>
        <v/>
      </c>
      <c r="S1143" s="106" t="str">
        <f>IFERROR(__xludf.DUMMYFUNCTION("""COMPUTED_VALUE"""),"")</f>
        <v/>
      </c>
      <c r="T1143" s="139" t="str">
        <f>IFERROR(__xludf.DUMMYFUNCTION("""COMPUTED_VALUE"""),"")</f>
        <v/>
      </c>
      <c r="U1143" s="139" t="str">
        <f>IFERROR(__xludf.DUMMYFUNCTION("""COMPUTED_VALUE"""),"")</f>
        <v/>
      </c>
      <c r="V1143" s="136" t="str">
        <f>IFERROR(__xludf.DUMMYFUNCTION("""COMPUTED_VALUE"""),"")</f>
        <v/>
      </c>
      <c r="W1143" s="106" t="str">
        <f>IFERROR(__xludf.DUMMYFUNCTION("""COMPUTED_VALUE"""),"")</f>
        <v/>
      </c>
      <c r="X1143" s="143" t="str">
        <f t="shared" si="2"/>
        <v/>
      </c>
      <c r="Y1143" s="139" t="str">
        <f>IFERROR(__xludf.DUMMYFUNCTION("""COMPUTED_VALUE"""),"")</f>
        <v/>
      </c>
      <c r="Z1143" s="141" t="str">
        <f>IFERROR(__xludf.DUMMYFUNCTION("""COMPUTED_VALUE"""),"")</f>
        <v/>
      </c>
    </row>
    <row r="1144">
      <c r="D1144" s="136" t="str">
        <f t="shared" si="3"/>
        <v/>
      </c>
      <c r="E1144" s="152"/>
      <c r="F1144" s="106" t="s">
        <v>133</v>
      </c>
      <c r="G1144" s="152"/>
      <c r="H1144" s="106" t="s">
        <v>133</v>
      </c>
      <c r="J1144" s="139" t="s">
        <v>133</v>
      </c>
      <c r="K1144" s="136" t="s">
        <v>133</v>
      </c>
      <c r="L1144" s="153"/>
      <c r="M1144" s="136" t="str">
        <f t="shared" si="1"/>
        <v/>
      </c>
      <c r="O1144" s="141" t="s">
        <v>133</v>
      </c>
      <c r="P1144" s="136" t="str">
        <f>IFERROR(__xludf.DUMMYFUNCTION("""COMPUTED_VALUE"""),"")</f>
        <v/>
      </c>
      <c r="Q1144" s="136" t="str">
        <f>IFERROR(__xludf.DUMMYFUNCTION("""COMPUTED_VALUE"""),"")</f>
        <v/>
      </c>
      <c r="R1144" s="106" t="str">
        <f>IFERROR(__xludf.DUMMYFUNCTION("""COMPUTED_VALUE"""),"")</f>
        <v/>
      </c>
      <c r="S1144" s="106" t="str">
        <f>IFERROR(__xludf.DUMMYFUNCTION("""COMPUTED_VALUE"""),"")</f>
        <v/>
      </c>
      <c r="T1144" s="139" t="str">
        <f>IFERROR(__xludf.DUMMYFUNCTION("""COMPUTED_VALUE"""),"")</f>
        <v/>
      </c>
      <c r="U1144" s="139" t="str">
        <f>IFERROR(__xludf.DUMMYFUNCTION("""COMPUTED_VALUE"""),"")</f>
        <v/>
      </c>
      <c r="V1144" s="136" t="str">
        <f>IFERROR(__xludf.DUMMYFUNCTION("""COMPUTED_VALUE"""),"")</f>
        <v/>
      </c>
      <c r="W1144" s="106" t="str">
        <f>IFERROR(__xludf.DUMMYFUNCTION("""COMPUTED_VALUE"""),"")</f>
        <v/>
      </c>
      <c r="X1144" s="143" t="str">
        <f t="shared" si="2"/>
        <v/>
      </c>
      <c r="Y1144" s="139" t="str">
        <f>IFERROR(__xludf.DUMMYFUNCTION("""COMPUTED_VALUE"""),"")</f>
        <v/>
      </c>
      <c r="Z1144" s="141" t="str">
        <f>IFERROR(__xludf.DUMMYFUNCTION("""COMPUTED_VALUE"""),"")</f>
        <v/>
      </c>
    </row>
    <row r="1145">
      <c r="D1145" s="136" t="str">
        <f t="shared" si="3"/>
        <v/>
      </c>
      <c r="E1145" s="152"/>
      <c r="F1145" s="106" t="s">
        <v>133</v>
      </c>
      <c r="G1145" s="152"/>
      <c r="H1145" s="106" t="s">
        <v>133</v>
      </c>
      <c r="J1145" s="139" t="s">
        <v>133</v>
      </c>
      <c r="K1145" s="136" t="s">
        <v>133</v>
      </c>
      <c r="L1145" s="153"/>
      <c r="M1145" s="136" t="str">
        <f t="shared" si="1"/>
        <v/>
      </c>
      <c r="O1145" s="141" t="s">
        <v>133</v>
      </c>
      <c r="P1145" s="136" t="str">
        <f>IFERROR(__xludf.DUMMYFUNCTION("""COMPUTED_VALUE"""),"")</f>
        <v/>
      </c>
      <c r="Q1145" s="136" t="str">
        <f>IFERROR(__xludf.DUMMYFUNCTION("""COMPUTED_VALUE"""),"")</f>
        <v/>
      </c>
      <c r="R1145" s="106" t="str">
        <f>IFERROR(__xludf.DUMMYFUNCTION("""COMPUTED_VALUE"""),"")</f>
        <v/>
      </c>
      <c r="S1145" s="106" t="str">
        <f>IFERROR(__xludf.DUMMYFUNCTION("""COMPUTED_VALUE"""),"")</f>
        <v/>
      </c>
      <c r="T1145" s="139" t="str">
        <f>IFERROR(__xludf.DUMMYFUNCTION("""COMPUTED_VALUE"""),"")</f>
        <v/>
      </c>
      <c r="U1145" s="139" t="str">
        <f>IFERROR(__xludf.DUMMYFUNCTION("""COMPUTED_VALUE"""),"")</f>
        <v/>
      </c>
      <c r="V1145" s="136" t="str">
        <f>IFERROR(__xludf.DUMMYFUNCTION("""COMPUTED_VALUE"""),"")</f>
        <v/>
      </c>
      <c r="W1145" s="106" t="str">
        <f>IFERROR(__xludf.DUMMYFUNCTION("""COMPUTED_VALUE"""),"")</f>
        <v/>
      </c>
      <c r="X1145" s="143" t="str">
        <f t="shared" si="2"/>
        <v/>
      </c>
      <c r="Y1145" s="139" t="str">
        <f>IFERROR(__xludf.DUMMYFUNCTION("""COMPUTED_VALUE"""),"")</f>
        <v/>
      </c>
      <c r="Z1145" s="141" t="str">
        <f>IFERROR(__xludf.DUMMYFUNCTION("""COMPUTED_VALUE"""),"")</f>
        <v/>
      </c>
    </row>
    <row r="1146">
      <c r="D1146" s="136" t="str">
        <f t="shared" si="3"/>
        <v/>
      </c>
      <c r="E1146" s="152"/>
      <c r="F1146" s="106" t="s">
        <v>133</v>
      </c>
      <c r="G1146" s="152"/>
      <c r="H1146" s="106" t="s">
        <v>133</v>
      </c>
      <c r="J1146" s="139" t="s">
        <v>133</v>
      </c>
      <c r="K1146" s="136" t="s">
        <v>133</v>
      </c>
      <c r="L1146" s="153"/>
      <c r="M1146" s="136" t="str">
        <f t="shared" si="1"/>
        <v/>
      </c>
      <c r="O1146" s="141" t="s">
        <v>133</v>
      </c>
      <c r="P1146" s="136" t="str">
        <f>IFERROR(__xludf.DUMMYFUNCTION("""COMPUTED_VALUE"""),"")</f>
        <v/>
      </c>
      <c r="Q1146" s="136" t="str">
        <f>IFERROR(__xludf.DUMMYFUNCTION("""COMPUTED_VALUE"""),"")</f>
        <v/>
      </c>
      <c r="R1146" s="106" t="str">
        <f>IFERROR(__xludf.DUMMYFUNCTION("""COMPUTED_VALUE"""),"")</f>
        <v/>
      </c>
      <c r="S1146" s="106" t="str">
        <f>IFERROR(__xludf.DUMMYFUNCTION("""COMPUTED_VALUE"""),"")</f>
        <v/>
      </c>
      <c r="T1146" s="139" t="str">
        <f>IFERROR(__xludf.DUMMYFUNCTION("""COMPUTED_VALUE"""),"")</f>
        <v/>
      </c>
      <c r="U1146" s="139" t="str">
        <f>IFERROR(__xludf.DUMMYFUNCTION("""COMPUTED_VALUE"""),"")</f>
        <v/>
      </c>
      <c r="V1146" s="136" t="str">
        <f>IFERROR(__xludf.DUMMYFUNCTION("""COMPUTED_VALUE"""),"")</f>
        <v/>
      </c>
      <c r="W1146" s="106" t="str">
        <f>IFERROR(__xludf.DUMMYFUNCTION("""COMPUTED_VALUE"""),"")</f>
        <v/>
      </c>
      <c r="X1146" s="143" t="str">
        <f t="shared" si="2"/>
        <v/>
      </c>
      <c r="Y1146" s="139" t="str">
        <f>IFERROR(__xludf.DUMMYFUNCTION("""COMPUTED_VALUE"""),"")</f>
        <v/>
      </c>
      <c r="Z1146" s="141" t="str">
        <f>IFERROR(__xludf.DUMMYFUNCTION("""COMPUTED_VALUE"""),"")</f>
        <v/>
      </c>
    </row>
    <row r="1147">
      <c r="D1147" s="136" t="str">
        <f t="shared" si="3"/>
        <v/>
      </c>
      <c r="E1147" s="152"/>
      <c r="F1147" s="106" t="s">
        <v>133</v>
      </c>
      <c r="G1147" s="152"/>
      <c r="H1147" s="106" t="s">
        <v>133</v>
      </c>
      <c r="J1147" s="139" t="s">
        <v>133</v>
      </c>
      <c r="K1147" s="136" t="s">
        <v>133</v>
      </c>
      <c r="L1147" s="153"/>
      <c r="M1147" s="136" t="str">
        <f t="shared" si="1"/>
        <v/>
      </c>
      <c r="O1147" s="141" t="s">
        <v>133</v>
      </c>
      <c r="P1147" s="136" t="str">
        <f>IFERROR(__xludf.DUMMYFUNCTION("""COMPUTED_VALUE"""),"")</f>
        <v/>
      </c>
      <c r="Q1147" s="136" t="str">
        <f>IFERROR(__xludf.DUMMYFUNCTION("""COMPUTED_VALUE"""),"")</f>
        <v/>
      </c>
      <c r="R1147" s="106" t="str">
        <f>IFERROR(__xludf.DUMMYFUNCTION("""COMPUTED_VALUE"""),"")</f>
        <v/>
      </c>
      <c r="S1147" s="106" t="str">
        <f>IFERROR(__xludf.DUMMYFUNCTION("""COMPUTED_VALUE"""),"")</f>
        <v/>
      </c>
      <c r="T1147" s="139" t="str">
        <f>IFERROR(__xludf.DUMMYFUNCTION("""COMPUTED_VALUE"""),"")</f>
        <v/>
      </c>
      <c r="U1147" s="139" t="str">
        <f>IFERROR(__xludf.DUMMYFUNCTION("""COMPUTED_VALUE"""),"")</f>
        <v/>
      </c>
      <c r="V1147" s="136" t="str">
        <f>IFERROR(__xludf.DUMMYFUNCTION("""COMPUTED_VALUE"""),"")</f>
        <v/>
      </c>
      <c r="W1147" s="106" t="str">
        <f>IFERROR(__xludf.DUMMYFUNCTION("""COMPUTED_VALUE"""),"")</f>
        <v/>
      </c>
      <c r="X1147" s="143" t="str">
        <f t="shared" si="2"/>
        <v/>
      </c>
      <c r="Y1147" s="139" t="str">
        <f>IFERROR(__xludf.DUMMYFUNCTION("""COMPUTED_VALUE"""),"")</f>
        <v/>
      </c>
      <c r="Z1147" s="141" t="str">
        <f>IFERROR(__xludf.DUMMYFUNCTION("""COMPUTED_VALUE"""),"")</f>
        <v/>
      </c>
    </row>
    <row r="1148">
      <c r="D1148" s="136" t="str">
        <f t="shared" si="3"/>
        <v/>
      </c>
      <c r="E1148" s="152"/>
      <c r="F1148" s="106" t="s">
        <v>133</v>
      </c>
      <c r="G1148" s="152"/>
      <c r="H1148" s="106" t="s">
        <v>133</v>
      </c>
      <c r="J1148" s="139" t="s">
        <v>133</v>
      </c>
      <c r="K1148" s="136" t="s">
        <v>133</v>
      </c>
      <c r="L1148" s="153"/>
      <c r="M1148" s="136" t="str">
        <f t="shared" si="1"/>
        <v/>
      </c>
      <c r="O1148" s="141" t="s">
        <v>133</v>
      </c>
      <c r="P1148" s="136" t="str">
        <f>IFERROR(__xludf.DUMMYFUNCTION("""COMPUTED_VALUE"""),"")</f>
        <v/>
      </c>
      <c r="Q1148" s="136" t="str">
        <f>IFERROR(__xludf.DUMMYFUNCTION("""COMPUTED_VALUE"""),"")</f>
        <v/>
      </c>
      <c r="R1148" s="106" t="str">
        <f>IFERROR(__xludf.DUMMYFUNCTION("""COMPUTED_VALUE"""),"")</f>
        <v/>
      </c>
      <c r="S1148" s="106" t="str">
        <f>IFERROR(__xludf.DUMMYFUNCTION("""COMPUTED_VALUE"""),"")</f>
        <v/>
      </c>
      <c r="T1148" s="139" t="str">
        <f>IFERROR(__xludf.DUMMYFUNCTION("""COMPUTED_VALUE"""),"")</f>
        <v/>
      </c>
      <c r="U1148" s="139" t="str">
        <f>IFERROR(__xludf.DUMMYFUNCTION("""COMPUTED_VALUE"""),"")</f>
        <v/>
      </c>
      <c r="V1148" s="136" t="str">
        <f>IFERROR(__xludf.DUMMYFUNCTION("""COMPUTED_VALUE"""),"")</f>
        <v/>
      </c>
      <c r="W1148" s="106" t="str">
        <f>IFERROR(__xludf.DUMMYFUNCTION("""COMPUTED_VALUE"""),"")</f>
        <v/>
      </c>
      <c r="X1148" s="143" t="str">
        <f t="shared" si="2"/>
        <v/>
      </c>
      <c r="Y1148" s="139" t="str">
        <f>IFERROR(__xludf.DUMMYFUNCTION("""COMPUTED_VALUE"""),"")</f>
        <v/>
      </c>
      <c r="Z1148" s="141" t="str">
        <f>IFERROR(__xludf.DUMMYFUNCTION("""COMPUTED_VALUE"""),"")</f>
        <v/>
      </c>
    </row>
    <row r="1149">
      <c r="D1149" s="136" t="str">
        <f t="shared" si="3"/>
        <v/>
      </c>
      <c r="E1149" s="152"/>
      <c r="F1149" s="106" t="s">
        <v>133</v>
      </c>
      <c r="G1149" s="152"/>
      <c r="H1149" s="106" t="s">
        <v>133</v>
      </c>
      <c r="J1149" s="139" t="s">
        <v>133</v>
      </c>
      <c r="K1149" s="136" t="s">
        <v>133</v>
      </c>
      <c r="L1149" s="153"/>
      <c r="M1149" s="136" t="str">
        <f t="shared" si="1"/>
        <v/>
      </c>
      <c r="O1149" s="141" t="s">
        <v>133</v>
      </c>
      <c r="P1149" s="136" t="str">
        <f>IFERROR(__xludf.DUMMYFUNCTION("""COMPUTED_VALUE"""),"")</f>
        <v/>
      </c>
      <c r="Q1149" s="136" t="str">
        <f>IFERROR(__xludf.DUMMYFUNCTION("""COMPUTED_VALUE"""),"")</f>
        <v/>
      </c>
      <c r="R1149" s="106" t="str">
        <f>IFERROR(__xludf.DUMMYFUNCTION("""COMPUTED_VALUE"""),"")</f>
        <v/>
      </c>
      <c r="S1149" s="106" t="str">
        <f>IFERROR(__xludf.DUMMYFUNCTION("""COMPUTED_VALUE"""),"")</f>
        <v/>
      </c>
      <c r="T1149" s="139" t="str">
        <f>IFERROR(__xludf.DUMMYFUNCTION("""COMPUTED_VALUE"""),"")</f>
        <v/>
      </c>
      <c r="U1149" s="139" t="str">
        <f>IFERROR(__xludf.DUMMYFUNCTION("""COMPUTED_VALUE"""),"")</f>
        <v/>
      </c>
      <c r="V1149" s="136" t="str">
        <f>IFERROR(__xludf.DUMMYFUNCTION("""COMPUTED_VALUE"""),"")</f>
        <v/>
      </c>
      <c r="W1149" s="106" t="str">
        <f>IFERROR(__xludf.DUMMYFUNCTION("""COMPUTED_VALUE"""),"")</f>
        <v/>
      </c>
      <c r="X1149" s="143" t="str">
        <f t="shared" si="2"/>
        <v/>
      </c>
      <c r="Y1149" s="139" t="str">
        <f>IFERROR(__xludf.DUMMYFUNCTION("""COMPUTED_VALUE"""),"")</f>
        <v/>
      </c>
      <c r="Z1149" s="141" t="str">
        <f>IFERROR(__xludf.DUMMYFUNCTION("""COMPUTED_VALUE"""),"")</f>
        <v/>
      </c>
    </row>
    <row r="1150">
      <c r="D1150" s="136" t="str">
        <f t="shared" si="3"/>
        <v/>
      </c>
      <c r="E1150" s="152"/>
      <c r="F1150" s="106" t="s">
        <v>133</v>
      </c>
      <c r="G1150" s="152"/>
      <c r="H1150" s="106" t="s">
        <v>133</v>
      </c>
      <c r="J1150" s="139" t="s">
        <v>133</v>
      </c>
      <c r="K1150" s="136" t="s">
        <v>133</v>
      </c>
      <c r="L1150" s="153"/>
      <c r="M1150" s="136" t="str">
        <f t="shared" si="1"/>
        <v/>
      </c>
      <c r="O1150" s="141" t="s">
        <v>133</v>
      </c>
      <c r="P1150" s="136" t="str">
        <f>IFERROR(__xludf.DUMMYFUNCTION("""COMPUTED_VALUE"""),"")</f>
        <v/>
      </c>
      <c r="Q1150" s="136" t="str">
        <f>IFERROR(__xludf.DUMMYFUNCTION("""COMPUTED_VALUE"""),"")</f>
        <v/>
      </c>
      <c r="R1150" s="106" t="str">
        <f>IFERROR(__xludf.DUMMYFUNCTION("""COMPUTED_VALUE"""),"")</f>
        <v/>
      </c>
      <c r="S1150" s="106" t="str">
        <f>IFERROR(__xludf.DUMMYFUNCTION("""COMPUTED_VALUE"""),"")</f>
        <v/>
      </c>
      <c r="T1150" s="139" t="str">
        <f>IFERROR(__xludf.DUMMYFUNCTION("""COMPUTED_VALUE"""),"")</f>
        <v/>
      </c>
      <c r="U1150" s="139" t="str">
        <f>IFERROR(__xludf.DUMMYFUNCTION("""COMPUTED_VALUE"""),"")</f>
        <v/>
      </c>
      <c r="V1150" s="136" t="str">
        <f>IFERROR(__xludf.DUMMYFUNCTION("""COMPUTED_VALUE"""),"")</f>
        <v/>
      </c>
      <c r="W1150" s="106" t="str">
        <f>IFERROR(__xludf.DUMMYFUNCTION("""COMPUTED_VALUE"""),"")</f>
        <v/>
      </c>
      <c r="X1150" s="143" t="str">
        <f t="shared" si="2"/>
        <v/>
      </c>
      <c r="Y1150" s="139" t="str">
        <f>IFERROR(__xludf.DUMMYFUNCTION("""COMPUTED_VALUE"""),"")</f>
        <v/>
      </c>
      <c r="Z1150" s="141" t="str">
        <f>IFERROR(__xludf.DUMMYFUNCTION("""COMPUTED_VALUE"""),"")</f>
        <v/>
      </c>
    </row>
    <row r="1151">
      <c r="D1151" s="136" t="str">
        <f t="shared" si="3"/>
        <v/>
      </c>
      <c r="E1151" s="152"/>
      <c r="F1151" s="106" t="s">
        <v>133</v>
      </c>
      <c r="G1151" s="152"/>
      <c r="H1151" s="106" t="s">
        <v>133</v>
      </c>
      <c r="J1151" s="139" t="s">
        <v>133</v>
      </c>
      <c r="K1151" s="136" t="s">
        <v>133</v>
      </c>
      <c r="L1151" s="153"/>
      <c r="M1151" s="136" t="str">
        <f t="shared" si="1"/>
        <v/>
      </c>
      <c r="O1151" s="141" t="s">
        <v>133</v>
      </c>
      <c r="P1151" s="136" t="str">
        <f>IFERROR(__xludf.DUMMYFUNCTION("""COMPUTED_VALUE"""),"")</f>
        <v/>
      </c>
      <c r="Q1151" s="136" t="str">
        <f>IFERROR(__xludf.DUMMYFUNCTION("""COMPUTED_VALUE"""),"")</f>
        <v/>
      </c>
      <c r="R1151" s="106" t="str">
        <f>IFERROR(__xludf.DUMMYFUNCTION("""COMPUTED_VALUE"""),"")</f>
        <v/>
      </c>
      <c r="S1151" s="106" t="str">
        <f>IFERROR(__xludf.DUMMYFUNCTION("""COMPUTED_VALUE"""),"")</f>
        <v/>
      </c>
      <c r="T1151" s="139" t="str">
        <f>IFERROR(__xludf.DUMMYFUNCTION("""COMPUTED_VALUE"""),"")</f>
        <v/>
      </c>
      <c r="U1151" s="139" t="str">
        <f>IFERROR(__xludf.DUMMYFUNCTION("""COMPUTED_VALUE"""),"")</f>
        <v/>
      </c>
      <c r="V1151" s="136" t="str">
        <f>IFERROR(__xludf.DUMMYFUNCTION("""COMPUTED_VALUE"""),"")</f>
        <v/>
      </c>
      <c r="W1151" s="106" t="str">
        <f>IFERROR(__xludf.DUMMYFUNCTION("""COMPUTED_VALUE"""),"")</f>
        <v/>
      </c>
      <c r="X1151" s="143" t="str">
        <f t="shared" si="2"/>
        <v/>
      </c>
      <c r="Y1151" s="139" t="str">
        <f>IFERROR(__xludf.DUMMYFUNCTION("""COMPUTED_VALUE"""),"")</f>
        <v/>
      </c>
      <c r="Z1151" s="141" t="str">
        <f>IFERROR(__xludf.DUMMYFUNCTION("""COMPUTED_VALUE"""),"")</f>
        <v/>
      </c>
    </row>
    <row r="1152">
      <c r="D1152" s="136" t="str">
        <f t="shared" si="3"/>
        <v/>
      </c>
      <c r="E1152" s="152"/>
      <c r="F1152" s="106" t="s">
        <v>133</v>
      </c>
      <c r="G1152" s="152"/>
      <c r="H1152" s="106" t="s">
        <v>133</v>
      </c>
      <c r="J1152" s="139" t="s">
        <v>133</v>
      </c>
      <c r="K1152" s="136" t="s">
        <v>133</v>
      </c>
      <c r="L1152" s="153"/>
      <c r="M1152" s="136" t="str">
        <f t="shared" si="1"/>
        <v/>
      </c>
      <c r="O1152" s="141" t="s">
        <v>133</v>
      </c>
      <c r="P1152" s="136" t="str">
        <f>IFERROR(__xludf.DUMMYFUNCTION("""COMPUTED_VALUE"""),"")</f>
        <v/>
      </c>
      <c r="Q1152" s="136" t="str">
        <f>IFERROR(__xludf.DUMMYFUNCTION("""COMPUTED_VALUE"""),"")</f>
        <v/>
      </c>
      <c r="R1152" s="106" t="str">
        <f>IFERROR(__xludf.DUMMYFUNCTION("""COMPUTED_VALUE"""),"")</f>
        <v/>
      </c>
      <c r="S1152" s="106" t="str">
        <f>IFERROR(__xludf.DUMMYFUNCTION("""COMPUTED_VALUE"""),"")</f>
        <v/>
      </c>
      <c r="T1152" s="139" t="str">
        <f>IFERROR(__xludf.DUMMYFUNCTION("""COMPUTED_VALUE"""),"")</f>
        <v/>
      </c>
      <c r="U1152" s="139" t="str">
        <f>IFERROR(__xludf.DUMMYFUNCTION("""COMPUTED_VALUE"""),"")</f>
        <v/>
      </c>
      <c r="V1152" s="136" t="str">
        <f>IFERROR(__xludf.DUMMYFUNCTION("""COMPUTED_VALUE"""),"")</f>
        <v/>
      </c>
      <c r="W1152" s="106" t="str">
        <f>IFERROR(__xludf.DUMMYFUNCTION("""COMPUTED_VALUE"""),"")</f>
        <v/>
      </c>
      <c r="X1152" s="143" t="str">
        <f t="shared" si="2"/>
        <v/>
      </c>
      <c r="Y1152" s="139" t="str">
        <f>IFERROR(__xludf.DUMMYFUNCTION("""COMPUTED_VALUE"""),"")</f>
        <v/>
      </c>
      <c r="Z1152" s="141" t="str">
        <f>IFERROR(__xludf.DUMMYFUNCTION("""COMPUTED_VALUE"""),"")</f>
        <v/>
      </c>
    </row>
    <row r="1153">
      <c r="D1153" s="136" t="str">
        <f t="shared" si="3"/>
        <v/>
      </c>
      <c r="E1153" s="152"/>
      <c r="F1153" s="106" t="s">
        <v>133</v>
      </c>
      <c r="G1153" s="152"/>
      <c r="H1153" s="106" t="s">
        <v>133</v>
      </c>
      <c r="J1153" s="139" t="s">
        <v>133</v>
      </c>
      <c r="K1153" s="136" t="s">
        <v>133</v>
      </c>
      <c r="L1153" s="153"/>
      <c r="M1153" s="136" t="str">
        <f t="shared" si="1"/>
        <v/>
      </c>
      <c r="O1153" s="141" t="s">
        <v>133</v>
      </c>
      <c r="P1153" s="136" t="str">
        <f>IFERROR(__xludf.DUMMYFUNCTION("""COMPUTED_VALUE"""),"")</f>
        <v/>
      </c>
      <c r="Q1153" s="136" t="str">
        <f>IFERROR(__xludf.DUMMYFUNCTION("""COMPUTED_VALUE"""),"")</f>
        <v/>
      </c>
      <c r="R1153" s="106" t="str">
        <f>IFERROR(__xludf.DUMMYFUNCTION("""COMPUTED_VALUE"""),"")</f>
        <v/>
      </c>
      <c r="S1153" s="106" t="str">
        <f>IFERROR(__xludf.DUMMYFUNCTION("""COMPUTED_VALUE"""),"")</f>
        <v/>
      </c>
      <c r="T1153" s="139" t="str">
        <f>IFERROR(__xludf.DUMMYFUNCTION("""COMPUTED_VALUE"""),"")</f>
        <v/>
      </c>
      <c r="U1153" s="139" t="str">
        <f>IFERROR(__xludf.DUMMYFUNCTION("""COMPUTED_VALUE"""),"")</f>
        <v/>
      </c>
      <c r="V1153" s="136" t="str">
        <f>IFERROR(__xludf.DUMMYFUNCTION("""COMPUTED_VALUE"""),"")</f>
        <v/>
      </c>
      <c r="W1153" s="106" t="str">
        <f>IFERROR(__xludf.DUMMYFUNCTION("""COMPUTED_VALUE"""),"")</f>
        <v/>
      </c>
      <c r="X1153" s="143" t="str">
        <f t="shared" si="2"/>
        <v/>
      </c>
      <c r="Y1153" s="139" t="str">
        <f>IFERROR(__xludf.DUMMYFUNCTION("""COMPUTED_VALUE"""),"")</f>
        <v/>
      </c>
      <c r="Z1153" s="141" t="str">
        <f>IFERROR(__xludf.DUMMYFUNCTION("""COMPUTED_VALUE"""),"")</f>
        <v/>
      </c>
    </row>
    <row r="1154">
      <c r="D1154" s="136" t="str">
        <f t="shared" si="3"/>
        <v/>
      </c>
      <c r="E1154" s="152"/>
      <c r="F1154" s="106" t="s">
        <v>133</v>
      </c>
      <c r="G1154" s="152"/>
      <c r="H1154" s="106" t="s">
        <v>133</v>
      </c>
      <c r="J1154" s="139" t="s">
        <v>133</v>
      </c>
      <c r="K1154" s="136" t="s">
        <v>133</v>
      </c>
      <c r="L1154" s="153"/>
      <c r="M1154" s="136" t="str">
        <f t="shared" si="1"/>
        <v/>
      </c>
      <c r="O1154" s="141" t="s">
        <v>133</v>
      </c>
      <c r="P1154" s="136" t="str">
        <f>IFERROR(__xludf.DUMMYFUNCTION("""COMPUTED_VALUE"""),"")</f>
        <v/>
      </c>
      <c r="Q1154" s="136" t="str">
        <f>IFERROR(__xludf.DUMMYFUNCTION("""COMPUTED_VALUE"""),"")</f>
        <v/>
      </c>
      <c r="R1154" s="106" t="str">
        <f>IFERROR(__xludf.DUMMYFUNCTION("""COMPUTED_VALUE"""),"")</f>
        <v/>
      </c>
      <c r="S1154" s="106" t="str">
        <f>IFERROR(__xludf.DUMMYFUNCTION("""COMPUTED_VALUE"""),"")</f>
        <v/>
      </c>
      <c r="T1154" s="139" t="str">
        <f>IFERROR(__xludf.DUMMYFUNCTION("""COMPUTED_VALUE"""),"")</f>
        <v/>
      </c>
      <c r="U1154" s="139" t="str">
        <f>IFERROR(__xludf.DUMMYFUNCTION("""COMPUTED_VALUE"""),"")</f>
        <v/>
      </c>
      <c r="V1154" s="136" t="str">
        <f>IFERROR(__xludf.DUMMYFUNCTION("""COMPUTED_VALUE"""),"")</f>
        <v/>
      </c>
      <c r="W1154" s="106" t="str">
        <f>IFERROR(__xludf.DUMMYFUNCTION("""COMPUTED_VALUE"""),"")</f>
        <v/>
      </c>
      <c r="X1154" s="143" t="str">
        <f t="shared" si="2"/>
        <v/>
      </c>
      <c r="Y1154" s="139" t="str">
        <f>IFERROR(__xludf.DUMMYFUNCTION("""COMPUTED_VALUE"""),"")</f>
        <v/>
      </c>
      <c r="Z1154" s="141" t="str">
        <f>IFERROR(__xludf.DUMMYFUNCTION("""COMPUTED_VALUE"""),"")</f>
        <v/>
      </c>
    </row>
    <row r="1155">
      <c r="D1155" s="136" t="str">
        <f t="shared" si="3"/>
        <v/>
      </c>
      <c r="E1155" s="152"/>
      <c r="F1155" s="106" t="s">
        <v>133</v>
      </c>
      <c r="G1155" s="152"/>
      <c r="H1155" s="106" t="s">
        <v>133</v>
      </c>
      <c r="J1155" s="139" t="s">
        <v>133</v>
      </c>
      <c r="K1155" s="136" t="s">
        <v>133</v>
      </c>
      <c r="L1155" s="153"/>
      <c r="M1155" s="136" t="str">
        <f t="shared" si="1"/>
        <v/>
      </c>
      <c r="O1155" s="141" t="s">
        <v>133</v>
      </c>
      <c r="P1155" s="136" t="str">
        <f>IFERROR(__xludf.DUMMYFUNCTION("""COMPUTED_VALUE"""),"")</f>
        <v/>
      </c>
      <c r="Q1155" s="136" t="str">
        <f>IFERROR(__xludf.DUMMYFUNCTION("""COMPUTED_VALUE"""),"")</f>
        <v/>
      </c>
      <c r="R1155" s="106" t="str">
        <f>IFERROR(__xludf.DUMMYFUNCTION("""COMPUTED_VALUE"""),"")</f>
        <v/>
      </c>
      <c r="S1155" s="106" t="str">
        <f>IFERROR(__xludf.DUMMYFUNCTION("""COMPUTED_VALUE"""),"")</f>
        <v/>
      </c>
      <c r="T1155" s="139" t="str">
        <f>IFERROR(__xludf.DUMMYFUNCTION("""COMPUTED_VALUE"""),"")</f>
        <v/>
      </c>
      <c r="U1155" s="139" t="str">
        <f>IFERROR(__xludf.DUMMYFUNCTION("""COMPUTED_VALUE"""),"")</f>
        <v/>
      </c>
      <c r="V1155" s="136" t="str">
        <f>IFERROR(__xludf.DUMMYFUNCTION("""COMPUTED_VALUE"""),"")</f>
        <v/>
      </c>
      <c r="W1155" s="106" t="str">
        <f>IFERROR(__xludf.DUMMYFUNCTION("""COMPUTED_VALUE"""),"")</f>
        <v/>
      </c>
      <c r="X1155" s="143" t="str">
        <f t="shared" si="2"/>
        <v/>
      </c>
      <c r="Y1155" s="139" t="str">
        <f>IFERROR(__xludf.DUMMYFUNCTION("""COMPUTED_VALUE"""),"")</f>
        <v/>
      </c>
      <c r="Z1155" s="141" t="str">
        <f>IFERROR(__xludf.DUMMYFUNCTION("""COMPUTED_VALUE"""),"")</f>
        <v/>
      </c>
    </row>
    <row r="1156">
      <c r="D1156" s="136" t="str">
        <f t="shared" si="3"/>
        <v/>
      </c>
      <c r="E1156" s="152"/>
      <c r="F1156" s="106" t="s">
        <v>133</v>
      </c>
      <c r="G1156" s="152"/>
      <c r="H1156" s="106" t="s">
        <v>133</v>
      </c>
      <c r="J1156" s="139" t="s">
        <v>133</v>
      </c>
      <c r="K1156" s="136" t="s">
        <v>133</v>
      </c>
      <c r="L1156" s="153"/>
      <c r="M1156" s="136" t="str">
        <f t="shared" si="1"/>
        <v/>
      </c>
      <c r="O1156" s="141" t="s">
        <v>133</v>
      </c>
      <c r="P1156" s="136" t="str">
        <f>IFERROR(__xludf.DUMMYFUNCTION("""COMPUTED_VALUE"""),"")</f>
        <v/>
      </c>
      <c r="Q1156" s="136" t="str">
        <f>IFERROR(__xludf.DUMMYFUNCTION("""COMPUTED_VALUE"""),"")</f>
        <v/>
      </c>
      <c r="R1156" s="106" t="str">
        <f>IFERROR(__xludf.DUMMYFUNCTION("""COMPUTED_VALUE"""),"")</f>
        <v/>
      </c>
      <c r="S1156" s="106" t="str">
        <f>IFERROR(__xludf.DUMMYFUNCTION("""COMPUTED_VALUE"""),"")</f>
        <v/>
      </c>
      <c r="T1156" s="139" t="str">
        <f>IFERROR(__xludf.DUMMYFUNCTION("""COMPUTED_VALUE"""),"")</f>
        <v/>
      </c>
      <c r="U1156" s="139" t="str">
        <f>IFERROR(__xludf.DUMMYFUNCTION("""COMPUTED_VALUE"""),"")</f>
        <v/>
      </c>
      <c r="V1156" s="136" t="str">
        <f>IFERROR(__xludf.DUMMYFUNCTION("""COMPUTED_VALUE"""),"")</f>
        <v/>
      </c>
      <c r="W1156" s="106" t="str">
        <f>IFERROR(__xludf.DUMMYFUNCTION("""COMPUTED_VALUE"""),"")</f>
        <v/>
      </c>
      <c r="X1156" s="143" t="str">
        <f t="shared" si="2"/>
        <v/>
      </c>
      <c r="Y1156" s="139" t="str">
        <f>IFERROR(__xludf.DUMMYFUNCTION("""COMPUTED_VALUE"""),"")</f>
        <v/>
      </c>
      <c r="Z1156" s="141" t="str">
        <f>IFERROR(__xludf.DUMMYFUNCTION("""COMPUTED_VALUE"""),"")</f>
        <v/>
      </c>
    </row>
    <row r="1157">
      <c r="D1157" s="136" t="str">
        <f t="shared" si="3"/>
        <v/>
      </c>
      <c r="E1157" s="152"/>
      <c r="F1157" s="106" t="s">
        <v>133</v>
      </c>
      <c r="G1157" s="152"/>
      <c r="H1157" s="106" t="s">
        <v>133</v>
      </c>
      <c r="J1157" s="139" t="s">
        <v>133</v>
      </c>
      <c r="K1157" s="136" t="s">
        <v>133</v>
      </c>
      <c r="L1157" s="153"/>
      <c r="M1157" s="136" t="str">
        <f t="shared" si="1"/>
        <v/>
      </c>
      <c r="O1157" s="141" t="s">
        <v>133</v>
      </c>
      <c r="P1157" s="136" t="str">
        <f>IFERROR(__xludf.DUMMYFUNCTION("""COMPUTED_VALUE"""),"")</f>
        <v/>
      </c>
      <c r="Q1157" s="136" t="str">
        <f>IFERROR(__xludf.DUMMYFUNCTION("""COMPUTED_VALUE"""),"")</f>
        <v/>
      </c>
      <c r="R1157" s="106" t="str">
        <f>IFERROR(__xludf.DUMMYFUNCTION("""COMPUTED_VALUE"""),"")</f>
        <v/>
      </c>
      <c r="S1157" s="106" t="str">
        <f>IFERROR(__xludf.DUMMYFUNCTION("""COMPUTED_VALUE"""),"")</f>
        <v/>
      </c>
      <c r="T1157" s="139" t="str">
        <f>IFERROR(__xludf.DUMMYFUNCTION("""COMPUTED_VALUE"""),"")</f>
        <v/>
      </c>
      <c r="U1157" s="139" t="str">
        <f>IFERROR(__xludf.DUMMYFUNCTION("""COMPUTED_VALUE"""),"")</f>
        <v/>
      </c>
      <c r="V1157" s="136" t="str">
        <f>IFERROR(__xludf.DUMMYFUNCTION("""COMPUTED_VALUE"""),"")</f>
        <v/>
      </c>
      <c r="W1157" s="106" t="str">
        <f>IFERROR(__xludf.DUMMYFUNCTION("""COMPUTED_VALUE"""),"")</f>
        <v/>
      </c>
      <c r="X1157" s="143" t="str">
        <f t="shared" si="2"/>
        <v/>
      </c>
      <c r="Y1157" s="139" t="str">
        <f>IFERROR(__xludf.DUMMYFUNCTION("""COMPUTED_VALUE"""),"")</f>
        <v/>
      </c>
      <c r="Z1157" s="141" t="str">
        <f>IFERROR(__xludf.DUMMYFUNCTION("""COMPUTED_VALUE"""),"")</f>
        <v/>
      </c>
    </row>
    <row r="1158">
      <c r="D1158" s="136" t="str">
        <f t="shared" si="3"/>
        <v/>
      </c>
      <c r="E1158" s="152"/>
      <c r="F1158" s="106" t="s">
        <v>133</v>
      </c>
      <c r="G1158" s="152"/>
      <c r="H1158" s="106" t="s">
        <v>133</v>
      </c>
      <c r="J1158" s="139" t="s">
        <v>133</v>
      </c>
      <c r="K1158" s="136" t="s">
        <v>133</v>
      </c>
      <c r="L1158" s="153"/>
      <c r="M1158" s="136" t="str">
        <f t="shared" si="1"/>
        <v/>
      </c>
      <c r="O1158" s="141" t="s">
        <v>133</v>
      </c>
      <c r="P1158" s="136" t="str">
        <f>IFERROR(__xludf.DUMMYFUNCTION("""COMPUTED_VALUE"""),"")</f>
        <v/>
      </c>
      <c r="Q1158" s="136" t="str">
        <f>IFERROR(__xludf.DUMMYFUNCTION("""COMPUTED_VALUE"""),"")</f>
        <v/>
      </c>
      <c r="R1158" s="106" t="str">
        <f>IFERROR(__xludf.DUMMYFUNCTION("""COMPUTED_VALUE"""),"")</f>
        <v/>
      </c>
      <c r="S1158" s="106" t="str">
        <f>IFERROR(__xludf.DUMMYFUNCTION("""COMPUTED_VALUE"""),"")</f>
        <v/>
      </c>
      <c r="T1158" s="139" t="str">
        <f>IFERROR(__xludf.DUMMYFUNCTION("""COMPUTED_VALUE"""),"")</f>
        <v/>
      </c>
      <c r="U1158" s="139" t="str">
        <f>IFERROR(__xludf.DUMMYFUNCTION("""COMPUTED_VALUE"""),"")</f>
        <v/>
      </c>
      <c r="V1158" s="136" t="str">
        <f>IFERROR(__xludf.DUMMYFUNCTION("""COMPUTED_VALUE"""),"")</f>
        <v/>
      </c>
      <c r="W1158" s="106" t="str">
        <f>IFERROR(__xludf.DUMMYFUNCTION("""COMPUTED_VALUE"""),"")</f>
        <v/>
      </c>
      <c r="X1158" s="143" t="str">
        <f t="shared" si="2"/>
        <v/>
      </c>
      <c r="Y1158" s="139" t="str">
        <f>IFERROR(__xludf.DUMMYFUNCTION("""COMPUTED_VALUE"""),"")</f>
        <v/>
      </c>
      <c r="Z1158" s="141" t="str">
        <f>IFERROR(__xludf.DUMMYFUNCTION("""COMPUTED_VALUE"""),"")</f>
        <v/>
      </c>
    </row>
    <row r="1159">
      <c r="D1159" s="136" t="str">
        <f t="shared" si="3"/>
        <v/>
      </c>
      <c r="E1159" s="152"/>
      <c r="F1159" s="106" t="s">
        <v>133</v>
      </c>
      <c r="G1159" s="152"/>
      <c r="H1159" s="106" t="s">
        <v>133</v>
      </c>
      <c r="J1159" s="139" t="s">
        <v>133</v>
      </c>
      <c r="K1159" s="136" t="s">
        <v>133</v>
      </c>
      <c r="L1159" s="153"/>
      <c r="M1159" s="136" t="str">
        <f t="shared" si="1"/>
        <v/>
      </c>
      <c r="O1159" s="141" t="s">
        <v>133</v>
      </c>
      <c r="P1159" s="136" t="str">
        <f>IFERROR(__xludf.DUMMYFUNCTION("""COMPUTED_VALUE"""),"")</f>
        <v/>
      </c>
      <c r="Q1159" s="136" t="str">
        <f>IFERROR(__xludf.DUMMYFUNCTION("""COMPUTED_VALUE"""),"")</f>
        <v/>
      </c>
      <c r="R1159" s="106" t="str">
        <f>IFERROR(__xludf.DUMMYFUNCTION("""COMPUTED_VALUE"""),"")</f>
        <v/>
      </c>
      <c r="S1159" s="106" t="str">
        <f>IFERROR(__xludf.DUMMYFUNCTION("""COMPUTED_VALUE"""),"")</f>
        <v/>
      </c>
      <c r="T1159" s="139" t="str">
        <f>IFERROR(__xludf.DUMMYFUNCTION("""COMPUTED_VALUE"""),"")</f>
        <v/>
      </c>
      <c r="U1159" s="139" t="str">
        <f>IFERROR(__xludf.DUMMYFUNCTION("""COMPUTED_VALUE"""),"")</f>
        <v/>
      </c>
      <c r="V1159" s="136" t="str">
        <f>IFERROR(__xludf.DUMMYFUNCTION("""COMPUTED_VALUE"""),"")</f>
        <v/>
      </c>
      <c r="W1159" s="106" t="str">
        <f>IFERROR(__xludf.DUMMYFUNCTION("""COMPUTED_VALUE"""),"")</f>
        <v/>
      </c>
      <c r="X1159" s="143" t="str">
        <f t="shared" si="2"/>
        <v/>
      </c>
      <c r="Y1159" s="139" t="str">
        <f>IFERROR(__xludf.DUMMYFUNCTION("""COMPUTED_VALUE"""),"")</f>
        <v/>
      </c>
      <c r="Z1159" s="141" t="str">
        <f>IFERROR(__xludf.DUMMYFUNCTION("""COMPUTED_VALUE"""),"")</f>
        <v/>
      </c>
    </row>
    <row r="1160">
      <c r="D1160" s="136" t="str">
        <f t="shared" si="3"/>
        <v/>
      </c>
      <c r="E1160" s="152"/>
      <c r="F1160" s="106" t="s">
        <v>133</v>
      </c>
      <c r="G1160" s="152"/>
      <c r="H1160" s="106" t="s">
        <v>133</v>
      </c>
      <c r="J1160" s="139" t="s">
        <v>133</v>
      </c>
      <c r="K1160" s="136" t="s">
        <v>133</v>
      </c>
      <c r="L1160" s="153"/>
      <c r="M1160" s="136" t="str">
        <f t="shared" si="1"/>
        <v/>
      </c>
      <c r="O1160" s="141" t="s">
        <v>133</v>
      </c>
      <c r="P1160" s="136" t="str">
        <f>IFERROR(__xludf.DUMMYFUNCTION("""COMPUTED_VALUE"""),"")</f>
        <v/>
      </c>
      <c r="Q1160" s="136" t="str">
        <f>IFERROR(__xludf.DUMMYFUNCTION("""COMPUTED_VALUE"""),"")</f>
        <v/>
      </c>
      <c r="R1160" s="106" t="str">
        <f>IFERROR(__xludf.DUMMYFUNCTION("""COMPUTED_VALUE"""),"")</f>
        <v/>
      </c>
      <c r="S1160" s="106" t="str">
        <f>IFERROR(__xludf.DUMMYFUNCTION("""COMPUTED_VALUE"""),"")</f>
        <v/>
      </c>
      <c r="T1160" s="139" t="str">
        <f>IFERROR(__xludf.DUMMYFUNCTION("""COMPUTED_VALUE"""),"")</f>
        <v/>
      </c>
      <c r="U1160" s="139" t="str">
        <f>IFERROR(__xludf.DUMMYFUNCTION("""COMPUTED_VALUE"""),"")</f>
        <v/>
      </c>
      <c r="V1160" s="136" t="str">
        <f>IFERROR(__xludf.DUMMYFUNCTION("""COMPUTED_VALUE"""),"")</f>
        <v/>
      </c>
      <c r="W1160" s="106" t="str">
        <f>IFERROR(__xludf.DUMMYFUNCTION("""COMPUTED_VALUE"""),"")</f>
        <v/>
      </c>
      <c r="X1160" s="143" t="str">
        <f t="shared" si="2"/>
        <v/>
      </c>
      <c r="Y1160" s="139" t="str">
        <f>IFERROR(__xludf.DUMMYFUNCTION("""COMPUTED_VALUE"""),"")</f>
        <v/>
      </c>
      <c r="Z1160" s="141" t="str">
        <f>IFERROR(__xludf.DUMMYFUNCTION("""COMPUTED_VALUE"""),"")</f>
        <v/>
      </c>
    </row>
    <row r="1161">
      <c r="D1161" s="136" t="str">
        <f t="shared" si="3"/>
        <v/>
      </c>
      <c r="E1161" s="152"/>
      <c r="F1161" s="106" t="s">
        <v>133</v>
      </c>
      <c r="G1161" s="152"/>
      <c r="H1161" s="106" t="s">
        <v>133</v>
      </c>
      <c r="J1161" s="139" t="s">
        <v>133</v>
      </c>
      <c r="K1161" s="136" t="s">
        <v>133</v>
      </c>
      <c r="L1161" s="153"/>
      <c r="M1161" s="136" t="str">
        <f t="shared" si="1"/>
        <v/>
      </c>
      <c r="O1161" s="141" t="s">
        <v>133</v>
      </c>
      <c r="P1161" s="136" t="str">
        <f>IFERROR(__xludf.DUMMYFUNCTION("""COMPUTED_VALUE"""),"")</f>
        <v/>
      </c>
      <c r="Q1161" s="136" t="str">
        <f>IFERROR(__xludf.DUMMYFUNCTION("""COMPUTED_VALUE"""),"")</f>
        <v/>
      </c>
      <c r="R1161" s="106" t="str">
        <f>IFERROR(__xludf.DUMMYFUNCTION("""COMPUTED_VALUE"""),"")</f>
        <v/>
      </c>
      <c r="S1161" s="106" t="str">
        <f>IFERROR(__xludf.DUMMYFUNCTION("""COMPUTED_VALUE"""),"")</f>
        <v/>
      </c>
      <c r="T1161" s="139" t="str">
        <f>IFERROR(__xludf.DUMMYFUNCTION("""COMPUTED_VALUE"""),"")</f>
        <v/>
      </c>
      <c r="U1161" s="139" t="str">
        <f>IFERROR(__xludf.DUMMYFUNCTION("""COMPUTED_VALUE"""),"")</f>
        <v/>
      </c>
      <c r="V1161" s="136" t="str">
        <f>IFERROR(__xludf.DUMMYFUNCTION("""COMPUTED_VALUE"""),"")</f>
        <v/>
      </c>
      <c r="W1161" s="106" t="str">
        <f>IFERROR(__xludf.DUMMYFUNCTION("""COMPUTED_VALUE"""),"")</f>
        <v/>
      </c>
      <c r="X1161" s="143" t="str">
        <f t="shared" si="2"/>
        <v/>
      </c>
      <c r="Y1161" s="139" t="str">
        <f>IFERROR(__xludf.DUMMYFUNCTION("""COMPUTED_VALUE"""),"")</f>
        <v/>
      </c>
      <c r="Z1161" s="141" t="str">
        <f>IFERROR(__xludf.DUMMYFUNCTION("""COMPUTED_VALUE"""),"")</f>
        <v/>
      </c>
    </row>
    <row r="1162">
      <c r="D1162" s="136" t="str">
        <f t="shared" si="3"/>
        <v/>
      </c>
      <c r="E1162" s="152"/>
      <c r="F1162" s="106" t="s">
        <v>133</v>
      </c>
      <c r="G1162" s="152"/>
      <c r="H1162" s="106" t="s">
        <v>133</v>
      </c>
      <c r="J1162" s="139" t="s">
        <v>133</v>
      </c>
      <c r="K1162" s="136" t="s">
        <v>133</v>
      </c>
      <c r="L1162" s="153"/>
      <c r="M1162" s="136" t="str">
        <f t="shared" si="1"/>
        <v/>
      </c>
      <c r="O1162" s="141" t="s">
        <v>133</v>
      </c>
      <c r="P1162" s="136" t="str">
        <f>IFERROR(__xludf.DUMMYFUNCTION("""COMPUTED_VALUE"""),"")</f>
        <v/>
      </c>
      <c r="Q1162" s="136" t="str">
        <f>IFERROR(__xludf.DUMMYFUNCTION("""COMPUTED_VALUE"""),"")</f>
        <v/>
      </c>
      <c r="R1162" s="106" t="str">
        <f>IFERROR(__xludf.DUMMYFUNCTION("""COMPUTED_VALUE"""),"")</f>
        <v/>
      </c>
      <c r="S1162" s="106" t="str">
        <f>IFERROR(__xludf.DUMMYFUNCTION("""COMPUTED_VALUE"""),"")</f>
        <v/>
      </c>
      <c r="T1162" s="139" t="str">
        <f>IFERROR(__xludf.DUMMYFUNCTION("""COMPUTED_VALUE"""),"")</f>
        <v/>
      </c>
      <c r="U1162" s="139" t="str">
        <f>IFERROR(__xludf.DUMMYFUNCTION("""COMPUTED_VALUE"""),"")</f>
        <v/>
      </c>
      <c r="V1162" s="136" t="str">
        <f>IFERROR(__xludf.DUMMYFUNCTION("""COMPUTED_VALUE"""),"")</f>
        <v/>
      </c>
      <c r="W1162" s="106" t="str">
        <f>IFERROR(__xludf.DUMMYFUNCTION("""COMPUTED_VALUE"""),"")</f>
        <v/>
      </c>
      <c r="X1162" s="143" t="str">
        <f t="shared" si="2"/>
        <v/>
      </c>
      <c r="Y1162" s="139" t="str">
        <f>IFERROR(__xludf.DUMMYFUNCTION("""COMPUTED_VALUE"""),"")</f>
        <v/>
      </c>
      <c r="Z1162" s="141" t="str">
        <f>IFERROR(__xludf.DUMMYFUNCTION("""COMPUTED_VALUE"""),"")</f>
        <v/>
      </c>
    </row>
    <row r="1163">
      <c r="D1163" s="136" t="str">
        <f t="shared" si="3"/>
        <v/>
      </c>
      <c r="E1163" s="152"/>
      <c r="F1163" s="106" t="s">
        <v>133</v>
      </c>
      <c r="G1163" s="152"/>
      <c r="H1163" s="106" t="s">
        <v>133</v>
      </c>
      <c r="J1163" s="139" t="s">
        <v>133</v>
      </c>
      <c r="K1163" s="136" t="s">
        <v>133</v>
      </c>
      <c r="L1163" s="153"/>
      <c r="M1163" s="136" t="str">
        <f t="shared" si="1"/>
        <v/>
      </c>
      <c r="O1163" s="141" t="s">
        <v>133</v>
      </c>
      <c r="P1163" s="136" t="str">
        <f>IFERROR(__xludf.DUMMYFUNCTION("""COMPUTED_VALUE"""),"")</f>
        <v/>
      </c>
      <c r="Q1163" s="136" t="str">
        <f>IFERROR(__xludf.DUMMYFUNCTION("""COMPUTED_VALUE"""),"")</f>
        <v/>
      </c>
      <c r="R1163" s="106" t="str">
        <f>IFERROR(__xludf.DUMMYFUNCTION("""COMPUTED_VALUE"""),"")</f>
        <v/>
      </c>
      <c r="S1163" s="106" t="str">
        <f>IFERROR(__xludf.DUMMYFUNCTION("""COMPUTED_VALUE"""),"")</f>
        <v/>
      </c>
      <c r="T1163" s="139" t="str">
        <f>IFERROR(__xludf.DUMMYFUNCTION("""COMPUTED_VALUE"""),"")</f>
        <v/>
      </c>
      <c r="U1163" s="139" t="str">
        <f>IFERROR(__xludf.DUMMYFUNCTION("""COMPUTED_VALUE"""),"")</f>
        <v/>
      </c>
      <c r="V1163" s="136" t="str">
        <f>IFERROR(__xludf.DUMMYFUNCTION("""COMPUTED_VALUE"""),"")</f>
        <v/>
      </c>
      <c r="W1163" s="106" t="str">
        <f>IFERROR(__xludf.DUMMYFUNCTION("""COMPUTED_VALUE"""),"")</f>
        <v/>
      </c>
      <c r="X1163" s="143" t="str">
        <f t="shared" si="2"/>
        <v/>
      </c>
      <c r="Y1163" s="139" t="str">
        <f>IFERROR(__xludf.DUMMYFUNCTION("""COMPUTED_VALUE"""),"")</f>
        <v/>
      </c>
      <c r="Z1163" s="141" t="str">
        <f>IFERROR(__xludf.DUMMYFUNCTION("""COMPUTED_VALUE"""),"")</f>
        <v/>
      </c>
    </row>
    <row r="1164">
      <c r="D1164" s="136" t="str">
        <f t="shared" si="3"/>
        <v/>
      </c>
      <c r="E1164" s="152"/>
      <c r="F1164" s="106" t="s">
        <v>133</v>
      </c>
      <c r="G1164" s="152"/>
      <c r="H1164" s="106" t="s">
        <v>133</v>
      </c>
      <c r="J1164" s="139" t="s">
        <v>133</v>
      </c>
      <c r="K1164" s="136" t="s">
        <v>133</v>
      </c>
      <c r="L1164" s="153"/>
      <c r="M1164" s="136" t="str">
        <f t="shared" si="1"/>
        <v/>
      </c>
      <c r="O1164" s="141" t="s">
        <v>133</v>
      </c>
      <c r="P1164" s="136" t="str">
        <f>IFERROR(__xludf.DUMMYFUNCTION("""COMPUTED_VALUE"""),"")</f>
        <v/>
      </c>
      <c r="Q1164" s="136" t="str">
        <f>IFERROR(__xludf.DUMMYFUNCTION("""COMPUTED_VALUE"""),"")</f>
        <v/>
      </c>
      <c r="R1164" s="106" t="str">
        <f>IFERROR(__xludf.DUMMYFUNCTION("""COMPUTED_VALUE"""),"")</f>
        <v/>
      </c>
      <c r="S1164" s="106" t="str">
        <f>IFERROR(__xludf.DUMMYFUNCTION("""COMPUTED_VALUE"""),"")</f>
        <v/>
      </c>
      <c r="T1164" s="139" t="str">
        <f>IFERROR(__xludf.DUMMYFUNCTION("""COMPUTED_VALUE"""),"")</f>
        <v/>
      </c>
      <c r="U1164" s="139" t="str">
        <f>IFERROR(__xludf.DUMMYFUNCTION("""COMPUTED_VALUE"""),"")</f>
        <v/>
      </c>
      <c r="V1164" s="136" t="str">
        <f>IFERROR(__xludf.DUMMYFUNCTION("""COMPUTED_VALUE"""),"")</f>
        <v/>
      </c>
      <c r="W1164" s="106" t="str">
        <f>IFERROR(__xludf.DUMMYFUNCTION("""COMPUTED_VALUE"""),"")</f>
        <v/>
      </c>
      <c r="X1164" s="143" t="str">
        <f t="shared" si="2"/>
        <v/>
      </c>
      <c r="Y1164" s="139" t="str">
        <f>IFERROR(__xludf.DUMMYFUNCTION("""COMPUTED_VALUE"""),"")</f>
        <v/>
      </c>
      <c r="Z1164" s="141" t="str">
        <f>IFERROR(__xludf.DUMMYFUNCTION("""COMPUTED_VALUE"""),"")</f>
        <v/>
      </c>
    </row>
    <row r="1165">
      <c r="D1165" s="136" t="str">
        <f t="shared" si="3"/>
        <v/>
      </c>
      <c r="E1165" s="152"/>
      <c r="F1165" s="106" t="s">
        <v>133</v>
      </c>
      <c r="G1165" s="152"/>
      <c r="H1165" s="106" t="s">
        <v>133</v>
      </c>
      <c r="J1165" s="139" t="s">
        <v>133</v>
      </c>
      <c r="K1165" s="136" t="s">
        <v>133</v>
      </c>
      <c r="L1165" s="153"/>
      <c r="M1165" s="136" t="str">
        <f t="shared" si="1"/>
        <v/>
      </c>
      <c r="O1165" s="141" t="s">
        <v>133</v>
      </c>
      <c r="P1165" s="136" t="str">
        <f>IFERROR(__xludf.DUMMYFUNCTION("""COMPUTED_VALUE"""),"")</f>
        <v/>
      </c>
      <c r="Q1165" s="136" t="str">
        <f>IFERROR(__xludf.DUMMYFUNCTION("""COMPUTED_VALUE"""),"")</f>
        <v/>
      </c>
      <c r="R1165" s="106" t="str">
        <f>IFERROR(__xludf.DUMMYFUNCTION("""COMPUTED_VALUE"""),"")</f>
        <v/>
      </c>
      <c r="S1165" s="106" t="str">
        <f>IFERROR(__xludf.DUMMYFUNCTION("""COMPUTED_VALUE"""),"")</f>
        <v/>
      </c>
      <c r="T1165" s="139" t="str">
        <f>IFERROR(__xludf.DUMMYFUNCTION("""COMPUTED_VALUE"""),"")</f>
        <v/>
      </c>
      <c r="U1165" s="139" t="str">
        <f>IFERROR(__xludf.DUMMYFUNCTION("""COMPUTED_VALUE"""),"")</f>
        <v/>
      </c>
      <c r="V1165" s="136" t="str">
        <f>IFERROR(__xludf.DUMMYFUNCTION("""COMPUTED_VALUE"""),"")</f>
        <v/>
      </c>
      <c r="W1165" s="106" t="str">
        <f>IFERROR(__xludf.DUMMYFUNCTION("""COMPUTED_VALUE"""),"")</f>
        <v/>
      </c>
      <c r="X1165" s="143" t="str">
        <f t="shared" si="2"/>
        <v/>
      </c>
      <c r="Y1165" s="139" t="str">
        <f>IFERROR(__xludf.DUMMYFUNCTION("""COMPUTED_VALUE"""),"")</f>
        <v/>
      </c>
      <c r="Z1165" s="141" t="str">
        <f>IFERROR(__xludf.DUMMYFUNCTION("""COMPUTED_VALUE"""),"")</f>
        <v/>
      </c>
    </row>
    <row r="1166">
      <c r="D1166" s="136" t="str">
        <f t="shared" si="3"/>
        <v/>
      </c>
      <c r="E1166" s="152"/>
      <c r="F1166" s="106" t="s">
        <v>133</v>
      </c>
      <c r="G1166" s="152"/>
      <c r="H1166" s="106" t="s">
        <v>133</v>
      </c>
      <c r="J1166" s="139" t="s">
        <v>133</v>
      </c>
      <c r="K1166" s="136" t="s">
        <v>133</v>
      </c>
      <c r="L1166" s="153"/>
      <c r="M1166" s="136" t="str">
        <f t="shared" si="1"/>
        <v/>
      </c>
      <c r="O1166" s="141" t="s">
        <v>133</v>
      </c>
      <c r="P1166" s="136" t="str">
        <f>IFERROR(__xludf.DUMMYFUNCTION("""COMPUTED_VALUE"""),"")</f>
        <v/>
      </c>
      <c r="Q1166" s="136" t="str">
        <f>IFERROR(__xludf.DUMMYFUNCTION("""COMPUTED_VALUE"""),"")</f>
        <v/>
      </c>
      <c r="R1166" s="106" t="str">
        <f>IFERROR(__xludf.DUMMYFUNCTION("""COMPUTED_VALUE"""),"")</f>
        <v/>
      </c>
      <c r="S1166" s="106" t="str">
        <f>IFERROR(__xludf.DUMMYFUNCTION("""COMPUTED_VALUE"""),"")</f>
        <v/>
      </c>
      <c r="T1166" s="139" t="str">
        <f>IFERROR(__xludf.DUMMYFUNCTION("""COMPUTED_VALUE"""),"")</f>
        <v/>
      </c>
      <c r="U1166" s="139" t="str">
        <f>IFERROR(__xludf.DUMMYFUNCTION("""COMPUTED_VALUE"""),"")</f>
        <v/>
      </c>
      <c r="V1166" s="136" t="str">
        <f>IFERROR(__xludf.DUMMYFUNCTION("""COMPUTED_VALUE"""),"")</f>
        <v/>
      </c>
      <c r="W1166" s="106" t="str">
        <f>IFERROR(__xludf.DUMMYFUNCTION("""COMPUTED_VALUE"""),"")</f>
        <v/>
      </c>
      <c r="X1166" s="143" t="str">
        <f t="shared" si="2"/>
        <v/>
      </c>
      <c r="Y1166" s="139" t="str">
        <f>IFERROR(__xludf.DUMMYFUNCTION("""COMPUTED_VALUE"""),"")</f>
        <v/>
      </c>
      <c r="Z1166" s="141" t="str">
        <f>IFERROR(__xludf.DUMMYFUNCTION("""COMPUTED_VALUE"""),"")</f>
        <v/>
      </c>
    </row>
    <row r="1167">
      <c r="D1167" s="136" t="str">
        <f t="shared" si="3"/>
        <v/>
      </c>
      <c r="E1167" s="152"/>
      <c r="F1167" s="106" t="s">
        <v>133</v>
      </c>
      <c r="G1167" s="152"/>
      <c r="H1167" s="106" t="s">
        <v>133</v>
      </c>
      <c r="J1167" s="139" t="s">
        <v>133</v>
      </c>
      <c r="K1167" s="136" t="s">
        <v>133</v>
      </c>
      <c r="L1167" s="153"/>
      <c r="M1167" s="136" t="str">
        <f t="shared" si="1"/>
        <v/>
      </c>
      <c r="O1167" s="141" t="s">
        <v>133</v>
      </c>
      <c r="P1167" s="136" t="str">
        <f>IFERROR(__xludf.DUMMYFUNCTION("""COMPUTED_VALUE"""),"")</f>
        <v/>
      </c>
      <c r="Q1167" s="136" t="str">
        <f>IFERROR(__xludf.DUMMYFUNCTION("""COMPUTED_VALUE"""),"")</f>
        <v/>
      </c>
      <c r="R1167" s="106" t="str">
        <f>IFERROR(__xludf.DUMMYFUNCTION("""COMPUTED_VALUE"""),"")</f>
        <v/>
      </c>
      <c r="S1167" s="106" t="str">
        <f>IFERROR(__xludf.DUMMYFUNCTION("""COMPUTED_VALUE"""),"")</f>
        <v/>
      </c>
      <c r="T1167" s="139" t="str">
        <f>IFERROR(__xludf.DUMMYFUNCTION("""COMPUTED_VALUE"""),"")</f>
        <v/>
      </c>
      <c r="U1167" s="139" t="str">
        <f>IFERROR(__xludf.DUMMYFUNCTION("""COMPUTED_VALUE"""),"")</f>
        <v/>
      </c>
      <c r="V1167" s="136" t="str">
        <f>IFERROR(__xludf.DUMMYFUNCTION("""COMPUTED_VALUE"""),"")</f>
        <v/>
      </c>
      <c r="W1167" s="106" t="str">
        <f>IFERROR(__xludf.DUMMYFUNCTION("""COMPUTED_VALUE"""),"")</f>
        <v/>
      </c>
      <c r="X1167" s="143" t="str">
        <f t="shared" si="2"/>
        <v/>
      </c>
      <c r="Y1167" s="139" t="str">
        <f>IFERROR(__xludf.DUMMYFUNCTION("""COMPUTED_VALUE"""),"")</f>
        <v/>
      </c>
      <c r="Z1167" s="141" t="str">
        <f>IFERROR(__xludf.DUMMYFUNCTION("""COMPUTED_VALUE"""),"")</f>
        <v/>
      </c>
    </row>
    <row r="1168">
      <c r="D1168" s="136" t="str">
        <f t="shared" si="3"/>
        <v/>
      </c>
      <c r="E1168" s="152"/>
      <c r="F1168" s="106" t="s">
        <v>133</v>
      </c>
      <c r="G1168" s="152"/>
      <c r="H1168" s="106" t="s">
        <v>133</v>
      </c>
      <c r="J1168" s="139" t="s">
        <v>133</v>
      </c>
      <c r="K1168" s="136" t="s">
        <v>133</v>
      </c>
      <c r="L1168" s="153"/>
      <c r="M1168" s="136" t="str">
        <f t="shared" si="1"/>
        <v/>
      </c>
      <c r="O1168" s="141" t="s">
        <v>133</v>
      </c>
      <c r="P1168" s="136" t="str">
        <f>IFERROR(__xludf.DUMMYFUNCTION("""COMPUTED_VALUE"""),"")</f>
        <v/>
      </c>
      <c r="Q1168" s="136" t="str">
        <f>IFERROR(__xludf.DUMMYFUNCTION("""COMPUTED_VALUE"""),"")</f>
        <v/>
      </c>
      <c r="R1168" s="106" t="str">
        <f>IFERROR(__xludf.DUMMYFUNCTION("""COMPUTED_VALUE"""),"")</f>
        <v/>
      </c>
      <c r="S1168" s="106" t="str">
        <f>IFERROR(__xludf.DUMMYFUNCTION("""COMPUTED_VALUE"""),"")</f>
        <v/>
      </c>
      <c r="T1168" s="139" t="str">
        <f>IFERROR(__xludf.DUMMYFUNCTION("""COMPUTED_VALUE"""),"")</f>
        <v/>
      </c>
      <c r="U1168" s="139" t="str">
        <f>IFERROR(__xludf.DUMMYFUNCTION("""COMPUTED_VALUE"""),"")</f>
        <v/>
      </c>
      <c r="V1168" s="136" t="str">
        <f>IFERROR(__xludf.DUMMYFUNCTION("""COMPUTED_VALUE"""),"")</f>
        <v/>
      </c>
      <c r="W1168" s="106" t="str">
        <f>IFERROR(__xludf.DUMMYFUNCTION("""COMPUTED_VALUE"""),"")</f>
        <v/>
      </c>
      <c r="X1168" s="143" t="str">
        <f t="shared" si="2"/>
        <v/>
      </c>
      <c r="Y1168" s="139" t="str">
        <f>IFERROR(__xludf.DUMMYFUNCTION("""COMPUTED_VALUE"""),"")</f>
        <v/>
      </c>
      <c r="Z1168" s="141" t="str">
        <f>IFERROR(__xludf.DUMMYFUNCTION("""COMPUTED_VALUE"""),"")</f>
        <v/>
      </c>
    </row>
    <row r="1169">
      <c r="D1169" s="136" t="str">
        <f t="shared" si="3"/>
        <v/>
      </c>
      <c r="E1169" s="152"/>
      <c r="F1169" s="106" t="s">
        <v>133</v>
      </c>
      <c r="G1169" s="152"/>
      <c r="H1169" s="106" t="s">
        <v>133</v>
      </c>
      <c r="J1169" s="139" t="s">
        <v>133</v>
      </c>
      <c r="K1169" s="136" t="s">
        <v>133</v>
      </c>
      <c r="L1169" s="153"/>
      <c r="M1169" s="136" t="str">
        <f t="shared" si="1"/>
        <v/>
      </c>
      <c r="O1169" s="141" t="s">
        <v>133</v>
      </c>
      <c r="P1169" s="136" t="str">
        <f>IFERROR(__xludf.DUMMYFUNCTION("""COMPUTED_VALUE"""),"")</f>
        <v/>
      </c>
      <c r="Q1169" s="136" t="str">
        <f>IFERROR(__xludf.DUMMYFUNCTION("""COMPUTED_VALUE"""),"")</f>
        <v/>
      </c>
      <c r="R1169" s="106" t="str">
        <f>IFERROR(__xludf.DUMMYFUNCTION("""COMPUTED_VALUE"""),"")</f>
        <v/>
      </c>
      <c r="S1169" s="106" t="str">
        <f>IFERROR(__xludf.DUMMYFUNCTION("""COMPUTED_VALUE"""),"")</f>
        <v/>
      </c>
      <c r="T1169" s="139" t="str">
        <f>IFERROR(__xludf.DUMMYFUNCTION("""COMPUTED_VALUE"""),"")</f>
        <v/>
      </c>
      <c r="U1169" s="139" t="str">
        <f>IFERROR(__xludf.DUMMYFUNCTION("""COMPUTED_VALUE"""),"")</f>
        <v/>
      </c>
      <c r="V1169" s="136" t="str">
        <f>IFERROR(__xludf.DUMMYFUNCTION("""COMPUTED_VALUE"""),"")</f>
        <v/>
      </c>
      <c r="W1169" s="106" t="str">
        <f>IFERROR(__xludf.DUMMYFUNCTION("""COMPUTED_VALUE"""),"")</f>
        <v/>
      </c>
      <c r="X1169" s="143" t="str">
        <f t="shared" si="2"/>
        <v/>
      </c>
      <c r="Y1169" s="139" t="str">
        <f>IFERROR(__xludf.DUMMYFUNCTION("""COMPUTED_VALUE"""),"")</f>
        <v/>
      </c>
      <c r="Z1169" s="141" t="str">
        <f>IFERROR(__xludf.DUMMYFUNCTION("""COMPUTED_VALUE"""),"")</f>
        <v/>
      </c>
    </row>
    <row r="1170">
      <c r="D1170" s="136" t="str">
        <f t="shared" si="3"/>
        <v/>
      </c>
      <c r="E1170" s="152"/>
      <c r="F1170" s="106" t="s">
        <v>133</v>
      </c>
      <c r="G1170" s="152"/>
      <c r="H1170" s="106" t="s">
        <v>133</v>
      </c>
      <c r="J1170" s="139" t="s">
        <v>133</v>
      </c>
      <c r="K1170" s="136" t="s">
        <v>133</v>
      </c>
      <c r="L1170" s="153"/>
      <c r="M1170" s="136" t="str">
        <f t="shared" si="1"/>
        <v/>
      </c>
      <c r="O1170" s="141" t="s">
        <v>133</v>
      </c>
      <c r="P1170" s="136" t="str">
        <f>IFERROR(__xludf.DUMMYFUNCTION("""COMPUTED_VALUE"""),"")</f>
        <v/>
      </c>
      <c r="Q1170" s="136" t="str">
        <f>IFERROR(__xludf.DUMMYFUNCTION("""COMPUTED_VALUE"""),"")</f>
        <v/>
      </c>
      <c r="R1170" s="106" t="str">
        <f>IFERROR(__xludf.DUMMYFUNCTION("""COMPUTED_VALUE"""),"")</f>
        <v/>
      </c>
      <c r="S1170" s="106" t="str">
        <f>IFERROR(__xludf.DUMMYFUNCTION("""COMPUTED_VALUE"""),"")</f>
        <v/>
      </c>
      <c r="T1170" s="139" t="str">
        <f>IFERROR(__xludf.DUMMYFUNCTION("""COMPUTED_VALUE"""),"")</f>
        <v/>
      </c>
      <c r="U1170" s="139" t="str">
        <f>IFERROR(__xludf.DUMMYFUNCTION("""COMPUTED_VALUE"""),"")</f>
        <v/>
      </c>
      <c r="V1170" s="136" t="str">
        <f>IFERROR(__xludf.DUMMYFUNCTION("""COMPUTED_VALUE"""),"")</f>
        <v/>
      </c>
      <c r="W1170" s="106" t="str">
        <f>IFERROR(__xludf.DUMMYFUNCTION("""COMPUTED_VALUE"""),"")</f>
        <v/>
      </c>
      <c r="X1170" s="143" t="str">
        <f t="shared" si="2"/>
        <v/>
      </c>
      <c r="Y1170" s="139" t="str">
        <f>IFERROR(__xludf.DUMMYFUNCTION("""COMPUTED_VALUE"""),"")</f>
        <v/>
      </c>
      <c r="Z1170" s="141" t="str">
        <f>IFERROR(__xludf.DUMMYFUNCTION("""COMPUTED_VALUE"""),"")</f>
        <v/>
      </c>
    </row>
    <row r="1171">
      <c r="D1171" s="136" t="str">
        <f t="shared" si="3"/>
        <v/>
      </c>
      <c r="E1171" s="152"/>
      <c r="F1171" s="106" t="s">
        <v>133</v>
      </c>
      <c r="G1171" s="152"/>
      <c r="H1171" s="106" t="s">
        <v>133</v>
      </c>
      <c r="J1171" s="139" t="s">
        <v>133</v>
      </c>
      <c r="K1171" s="136" t="s">
        <v>133</v>
      </c>
      <c r="L1171" s="153"/>
      <c r="M1171" s="136" t="str">
        <f t="shared" si="1"/>
        <v/>
      </c>
      <c r="O1171" s="141" t="s">
        <v>133</v>
      </c>
      <c r="P1171" s="136" t="str">
        <f>IFERROR(__xludf.DUMMYFUNCTION("""COMPUTED_VALUE"""),"")</f>
        <v/>
      </c>
      <c r="Q1171" s="136" t="str">
        <f>IFERROR(__xludf.DUMMYFUNCTION("""COMPUTED_VALUE"""),"")</f>
        <v/>
      </c>
      <c r="R1171" s="106" t="str">
        <f>IFERROR(__xludf.DUMMYFUNCTION("""COMPUTED_VALUE"""),"")</f>
        <v/>
      </c>
      <c r="S1171" s="106" t="str">
        <f>IFERROR(__xludf.DUMMYFUNCTION("""COMPUTED_VALUE"""),"")</f>
        <v/>
      </c>
      <c r="T1171" s="139" t="str">
        <f>IFERROR(__xludf.DUMMYFUNCTION("""COMPUTED_VALUE"""),"")</f>
        <v/>
      </c>
      <c r="U1171" s="139" t="str">
        <f>IFERROR(__xludf.DUMMYFUNCTION("""COMPUTED_VALUE"""),"")</f>
        <v/>
      </c>
      <c r="V1171" s="136" t="str">
        <f>IFERROR(__xludf.DUMMYFUNCTION("""COMPUTED_VALUE"""),"")</f>
        <v/>
      </c>
      <c r="W1171" s="106" t="str">
        <f>IFERROR(__xludf.DUMMYFUNCTION("""COMPUTED_VALUE"""),"")</f>
        <v/>
      </c>
      <c r="X1171" s="143" t="str">
        <f t="shared" si="2"/>
        <v/>
      </c>
      <c r="Y1171" s="139" t="str">
        <f>IFERROR(__xludf.DUMMYFUNCTION("""COMPUTED_VALUE"""),"")</f>
        <v/>
      </c>
      <c r="Z1171" s="141" t="str">
        <f>IFERROR(__xludf.DUMMYFUNCTION("""COMPUTED_VALUE"""),"")</f>
        <v/>
      </c>
    </row>
    <row r="1172">
      <c r="D1172" s="136" t="str">
        <f t="shared" si="3"/>
        <v/>
      </c>
      <c r="E1172" s="152"/>
      <c r="F1172" s="106" t="s">
        <v>133</v>
      </c>
      <c r="G1172" s="152"/>
      <c r="H1172" s="106" t="s">
        <v>133</v>
      </c>
      <c r="J1172" s="139" t="s">
        <v>133</v>
      </c>
      <c r="K1172" s="136" t="s">
        <v>133</v>
      </c>
      <c r="L1172" s="153"/>
      <c r="M1172" s="136" t="str">
        <f t="shared" si="1"/>
        <v/>
      </c>
      <c r="O1172" s="141" t="s">
        <v>133</v>
      </c>
      <c r="P1172" s="136" t="str">
        <f>IFERROR(__xludf.DUMMYFUNCTION("""COMPUTED_VALUE"""),"")</f>
        <v/>
      </c>
      <c r="Q1172" s="136" t="str">
        <f>IFERROR(__xludf.DUMMYFUNCTION("""COMPUTED_VALUE"""),"")</f>
        <v/>
      </c>
      <c r="R1172" s="106" t="str">
        <f>IFERROR(__xludf.DUMMYFUNCTION("""COMPUTED_VALUE"""),"")</f>
        <v/>
      </c>
      <c r="S1172" s="106" t="str">
        <f>IFERROR(__xludf.DUMMYFUNCTION("""COMPUTED_VALUE"""),"")</f>
        <v/>
      </c>
      <c r="T1172" s="139" t="str">
        <f>IFERROR(__xludf.DUMMYFUNCTION("""COMPUTED_VALUE"""),"")</f>
        <v/>
      </c>
      <c r="U1172" s="139" t="str">
        <f>IFERROR(__xludf.DUMMYFUNCTION("""COMPUTED_VALUE"""),"")</f>
        <v/>
      </c>
      <c r="V1172" s="136" t="str">
        <f>IFERROR(__xludf.DUMMYFUNCTION("""COMPUTED_VALUE"""),"")</f>
        <v/>
      </c>
      <c r="W1172" s="106" t="str">
        <f>IFERROR(__xludf.DUMMYFUNCTION("""COMPUTED_VALUE"""),"")</f>
        <v/>
      </c>
      <c r="X1172" s="143" t="str">
        <f t="shared" si="2"/>
        <v/>
      </c>
      <c r="Y1172" s="139" t="str">
        <f>IFERROR(__xludf.DUMMYFUNCTION("""COMPUTED_VALUE"""),"")</f>
        <v/>
      </c>
      <c r="Z1172" s="141" t="str">
        <f>IFERROR(__xludf.DUMMYFUNCTION("""COMPUTED_VALUE"""),"")</f>
        <v/>
      </c>
    </row>
    <row r="1173">
      <c r="D1173" s="136" t="str">
        <f t="shared" si="3"/>
        <v/>
      </c>
      <c r="E1173" s="152"/>
      <c r="F1173" s="106" t="s">
        <v>133</v>
      </c>
      <c r="G1173" s="152"/>
      <c r="H1173" s="106" t="s">
        <v>133</v>
      </c>
      <c r="J1173" s="139" t="s">
        <v>133</v>
      </c>
      <c r="K1173" s="136" t="s">
        <v>133</v>
      </c>
      <c r="L1173" s="153"/>
      <c r="M1173" s="136" t="str">
        <f t="shared" si="1"/>
        <v/>
      </c>
      <c r="O1173" s="141" t="s">
        <v>133</v>
      </c>
      <c r="P1173" s="136" t="str">
        <f>IFERROR(__xludf.DUMMYFUNCTION("""COMPUTED_VALUE"""),"")</f>
        <v/>
      </c>
      <c r="Q1173" s="136" t="str">
        <f>IFERROR(__xludf.DUMMYFUNCTION("""COMPUTED_VALUE"""),"")</f>
        <v/>
      </c>
      <c r="R1173" s="106" t="str">
        <f>IFERROR(__xludf.DUMMYFUNCTION("""COMPUTED_VALUE"""),"")</f>
        <v/>
      </c>
      <c r="S1173" s="106" t="str">
        <f>IFERROR(__xludf.DUMMYFUNCTION("""COMPUTED_VALUE"""),"")</f>
        <v/>
      </c>
      <c r="T1173" s="139" t="str">
        <f>IFERROR(__xludf.DUMMYFUNCTION("""COMPUTED_VALUE"""),"")</f>
        <v/>
      </c>
      <c r="U1173" s="139" t="str">
        <f>IFERROR(__xludf.DUMMYFUNCTION("""COMPUTED_VALUE"""),"")</f>
        <v/>
      </c>
      <c r="V1173" s="136" t="str">
        <f>IFERROR(__xludf.DUMMYFUNCTION("""COMPUTED_VALUE"""),"")</f>
        <v/>
      </c>
      <c r="W1173" s="106" t="str">
        <f>IFERROR(__xludf.DUMMYFUNCTION("""COMPUTED_VALUE"""),"")</f>
        <v/>
      </c>
      <c r="X1173" s="143" t="str">
        <f t="shared" si="2"/>
        <v/>
      </c>
      <c r="Y1173" s="139" t="str">
        <f>IFERROR(__xludf.DUMMYFUNCTION("""COMPUTED_VALUE"""),"")</f>
        <v/>
      </c>
      <c r="Z1173" s="141" t="str">
        <f>IFERROR(__xludf.DUMMYFUNCTION("""COMPUTED_VALUE"""),"")</f>
        <v/>
      </c>
    </row>
    <row r="1174">
      <c r="D1174" s="136" t="str">
        <f t="shared" si="3"/>
        <v/>
      </c>
      <c r="E1174" s="152"/>
      <c r="F1174" s="106" t="s">
        <v>133</v>
      </c>
      <c r="G1174" s="152"/>
      <c r="H1174" s="106" t="s">
        <v>133</v>
      </c>
      <c r="J1174" s="139" t="s">
        <v>133</v>
      </c>
      <c r="K1174" s="136" t="s">
        <v>133</v>
      </c>
      <c r="L1174" s="153"/>
      <c r="M1174" s="136" t="str">
        <f t="shared" si="1"/>
        <v/>
      </c>
      <c r="O1174" s="141" t="s">
        <v>133</v>
      </c>
      <c r="P1174" s="136" t="str">
        <f>IFERROR(__xludf.DUMMYFUNCTION("""COMPUTED_VALUE"""),"")</f>
        <v/>
      </c>
      <c r="Q1174" s="136" t="str">
        <f>IFERROR(__xludf.DUMMYFUNCTION("""COMPUTED_VALUE"""),"")</f>
        <v/>
      </c>
      <c r="R1174" s="106" t="str">
        <f>IFERROR(__xludf.DUMMYFUNCTION("""COMPUTED_VALUE"""),"")</f>
        <v/>
      </c>
      <c r="S1174" s="106" t="str">
        <f>IFERROR(__xludf.DUMMYFUNCTION("""COMPUTED_VALUE"""),"")</f>
        <v/>
      </c>
      <c r="T1174" s="139" t="str">
        <f>IFERROR(__xludf.DUMMYFUNCTION("""COMPUTED_VALUE"""),"")</f>
        <v/>
      </c>
      <c r="U1174" s="139" t="str">
        <f>IFERROR(__xludf.DUMMYFUNCTION("""COMPUTED_VALUE"""),"")</f>
        <v/>
      </c>
      <c r="V1174" s="136" t="str">
        <f>IFERROR(__xludf.DUMMYFUNCTION("""COMPUTED_VALUE"""),"")</f>
        <v/>
      </c>
      <c r="W1174" s="106" t="str">
        <f>IFERROR(__xludf.DUMMYFUNCTION("""COMPUTED_VALUE"""),"")</f>
        <v/>
      </c>
      <c r="X1174" s="143" t="str">
        <f t="shared" si="2"/>
        <v/>
      </c>
      <c r="Y1174" s="139" t="str">
        <f>IFERROR(__xludf.DUMMYFUNCTION("""COMPUTED_VALUE"""),"")</f>
        <v/>
      </c>
      <c r="Z1174" s="141" t="str">
        <f>IFERROR(__xludf.DUMMYFUNCTION("""COMPUTED_VALUE"""),"")</f>
        <v/>
      </c>
    </row>
    <row r="1175">
      <c r="D1175" s="136" t="str">
        <f t="shared" si="3"/>
        <v/>
      </c>
      <c r="E1175" s="152"/>
      <c r="F1175" s="106" t="s">
        <v>133</v>
      </c>
      <c r="G1175" s="152"/>
      <c r="H1175" s="106" t="s">
        <v>133</v>
      </c>
      <c r="J1175" s="139" t="s">
        <v>133</v>
      </c>
      <c r="K1175" s="136" t="s">
        <v>133</v>
      </c>
      <c r="L1175" s="153"/>
      <c r="M1175" s="136" t="str">
        <f t="shared" si="1"/>
        <v/>
      </c>
      <c r="O1175" s="141" t="s">
        <v>133</v>
      </c>
      <c r="P1175" s="136" t="str">
        <f>IFERROR(__xludf.DUMMYFUNCTION("""COMPUTED_VALUE"""),"")</f>
        <v/>
      </c>
      <c r="Q1175" s="136" t="str">
        <f>IFERROR(__xludf.DUMMYFUNCTION("""COMPUTED_VALUE"""),"")</f>
        <v/>
      </c>
      <c r="R1175" s="106" t="str">
        <f>IFERROR(__xludf.DUMMYFUNCTION("""COMPUTED_VALUE"""),"")</f>
        <v/>
      </c>
      <c r="S1175" s="106" t="str">
        <f>IFERROR(__xludf.DUMMYFUNCTION("""COMPUTED_VALUE"""),"")</f>
        <v/>
      </c>
      <c r="T1175" s="139" t="str">
        <f>IFERROR(__xludf.DUMMYFUNCTION("""COMPUTED_VALUE"""),"")</f>
        <v/>
      </c>
      <c r="U1175" s="139" t="str">
        <f>IFERROR(__xludf.DUMMYFUNCTION("""COMPUTED_VALUE"""),"")</f>
        <v/>
      </c>
      <c r="V1175" s="136" t="str">
        <f>IFERROR(__xludf.DUMMYFUNCTION("""COMPUTED_VALUE"""),"")</f>
        <v/>
      </c>
      <c r="W1175" s="106" t="str">
        <f>IFERROR(__xludf.DUMMYFUNCTION("""COMPUTED_VALUE"""),"")</f>
        <v/>
      </c>
      <c r="X1175" s="143" t="str">
        <f t="shared" si="2"/>
        <v/>
      </c>
      <c r="Y1175" s="139" t="str">
        <f>IFERROR(__xludf.DUMMYFUNCTION("""COMPUTED_VALUE"""),"")</f>
        <v/>
      </c>
      <c r="Z1175" s="141" t="str">
        <f>IFERROR(__xludf.DUMMYFUNCTION("""COMPUTED_VALUE"""),"")</f>
        <v/>
      </c>
    </row>
    <row r="1176">
      <c r="D1176" s="136" t="str">
        <f t="shared" si="3"/>
        <v/>
      </c>
      <c r="E1176" s="152"/>
      <c r="F1176" s="106" t="s">
        <v>133</v>
      </c>
      <c r="G1176" s="152"/>
      <c r="H1176" s="106" t="s">
        <v>133</v>
      </c>
      <c r="J1176" s="139" t="s">
        <v>133</v>
      </c>
      <c r="K1176" s="136" t="s">
        <v>133</v>
      </c>
      <c r="L1176" s="153"/>
      <c r="M1176" s="136" t="str">
        <f t="shared" si="1"/>
        <v/>
      </c>
      <c r="O1176" s="141" t="s">
        <v>133</v>
      </c>
      <c r="P1176" s="136" t="str">
        <f>IFERROR(__xludf.DUMMYFUNCTION("""COMPUTED_VALUE"""),"")</f>
        <v/>
      </c>
      <c r="Q1176" s="136" t="str">
        <f>IFERROR(__xludf.DUMMYFUNCTION("""COMPUTED_VALUE"""),"")</f>
        <v/>
      </c>
      <c r="R1176" s="106" t="str">
        <f>IFERROR(__xludf.DUMMYFUNCTION("""COMPUTED_VALUE"""),"")</f>
        <v/>
      </c>
      <c r="S1176" s="106" t="str">
        <f>IFERROR(__xludf.DUMMYFUNCTION("""COMPUTED_VALUE"""),"")</f>
        <v/>
      </c>
      <c r="T1176" s="139" t="str">
        <f>IFERROR(__xludf.DUMMYFUNCTION("""COMPUTED_VALUE"""),"")</f>
        <v/>
      </c>
      <c r="U1176" s="139" t="str">
        <f>IFERROR(__xludf.DUMMYFUNCTION("""COMPUTED_VALUE"""),"")</f>
        <v/>
      </c>
      <c r="V1176" s="136" t="str">
        <f>IFERROR(__xludf.DUMMYFUNCTION("""COMPUTED_VALUE"""),"")</f>
        <v/>
      </c>
      <c r="W1176" s="106" t="str">
        <f>IFERROR(__xludf.DUMMYFUNCTION("""COMPUTED_VALUE"""),"")</f>
        <v/>
      </c>
      <c r="X1176" s="143" t="str">
        <f t="shared" si="2"/>
        <v/>
      </c>
      <c r="Y1176" s="139" t="str">
        <f>IFERROR(__xludf.DUMMYFUNCTION("""COMPUTED_VALUE"""),"")</f>
        <v/>
      </c>
      <c r="Z1176" s="141" t="str">
        <f>IFERROR(__xludf.DUMMYFUNCTION("""COMPUTED_VALUE"""),"")</f>
        <v/>
      </c>
    </row>
    <row r="1177">
      <c r="D1177" s="136" t="str">
        <f t="shared" si="3"/>
        <v/>
      </c>
      <c r="E1177" s="152"/>
      <c r="F1177" s="106" t="s">
        <v>133</v>
      </c>
      <c r="G1177" s="152"/>
      <c r="H1177" s="106" t="s">
        <v>133</v>
      </c>
      <c r="J1177" s="139" t="s">
        <v>133</v>
      </c>
      <c r="K1177" s="136" t="s">
        <v>133</v>
      </c>
      <c r="L1177" s="153"/>
      <c r="M1177" s="136" t="str">
        <f t="shared" si="1"/>
        <v/>
      </c>
      <c r="O1177" s="141" t="s">
        <v>133</v>
      </c>
      <c r="P1177" s="136" t="str">
        <f>IFERROR(__xludf.DUMMYFUNCTION("""COMPUTED_VALUE"""),"")</f>
        <v/>
      </c>
      <c r="Q1177" s="136" t="str">
        <f>IFERROR(__xludf.DUMMYFUNCTION("""COMPUTED_VALUE"""),"")</f>
        <v/>
      </c>
      <c r="R1177" s="106" t="str">
        <f>IFERROR(__xludf.DUMMYFUNCTION("""COMPUTED_VALUE"""),"")</f>
        <v/>
      </c>
      <c r="S1177" s="106" t="str">
        <f>IFERROR(__xludf.DUMMYFUNCTION("""COMPUTED_VALUE"""),"")</f>
        <v/>
      </c>
      <c r="T1177" s="139" t="str">
        <f>IFERROR(__xludf.DUMMYFUNCTION("""COMPUTED_VALUE"""),"")</f>
        <v/>
      </c>
      <c r="U1177" s="139" t="str">
        <f>IFERROR(__xludf.DUMMYFUNCTION("""COMPUTED_VALUE"""),"")</f>
        <v/>
      </c>
      <c r="V1177" s="136" t="str">
        <f>IFERROR(__xludf.DUMMYFUNCTION("""COMPUTED_VALUE"""),"")</f>
        <v/>
      </c>
      <c r="W1177" s="106" t="str">
        <f>IFERROR(__xludf.DUMMYFUNCTION("""COMPUTED_VALUE"""),"")</f>
        <v/>
      </c>
      <c r="X1177" s="143" t="str">
        <f t="shared" si="2"/>
        <v/>
      </c>
      <c r="Y1177" s="139" t="str">
        <f>IFERROR(__xludf.DUMMYFUNCTION("""COMPUTED_VALUE"""),"")</f>
        <v/>
      </c>
      <c r="Z1177" s="141" t="str">
        <f>IFERROR(__xludf.DUMMYFUNCTION("""COMPUTED_VALUE"""),"")</f>
        <v/>
      </c>
    </row>
    <row r="1178">
      <c r="D1178" s="136" t="str">
        <f t="shared" si="3"/>
        <v/>
      </c>
      <c r="E1178" s="152"/>
      <c r="F1178" s="106" t="s">
        <v>133</v>
      </c>
      <c r="G1178" s="152"/>
      <c r="H1178" s="106" t="s">
        <v>133</v>
      </c>
      <c r="J1178" s="139" t="s">
        <v>133</v>
      </c>
      <c r="K1178" s="136" t="s">
        <v>133</v>
      </c>
      <c r="L1178" s="153"/>
      <c r="M1178" s="136" t="str">
        <f t="shared" si="1"/>
        <v/>
      </c>
      <c r="O1178" s="141" t="s">
        <v>133</v>
      </c>
      <c r="P1178" s="136" t="str">
        <f>IFERROR(__xludf.DUMMYFUNCTION("""COMPUTED_VALUE"""),"")</f>
        <v/>
      </c>
      <c r="Q1178" s="136" t="str">
        <f>IFERROR(__xludf.DUMMYFUNCTION("""COMPUTED_VALUE"""),"")</f>
        <v/>
      </c>
      <c r="R1178" s="106" t="str">
        <f>IFERROR(__xludf.DUMMYFUNCTION("""COMPUTED_VALUE"""),"")</f>
        <v/>
      </c>
      <c r="S1178" s="106" t="str">
        <f>IFERROR(__xludf.DUMMYFUNCTION("""COMPUTED_VALUE"""),"")</f>
        <v/>
      </c>
      <c r="T1178" s="139" t="str">
        <f>IFERROR(__xludf.DUMMYFUNCTION("""COMPUTED_VALUE"""),"")</f>
        <v/>
      </c>
      <c r="U1178" s="139" t="str">
        <f>IFERROR(__xludf.DUMMYFUNCTION("""COMPUTED_VALUE"""),"")</f>
        <v/>
      </c>
      <c r="V1178" s="136" t="str">
        <f>IFERROR(__xludf.DUMMYFUNCTION("""COMPUTED_VALUE"""),"")</f>
        <v/>
      </c>
      <c r="W1178" s="106" t="str">
        <f>IFERROR(__xludf.DUMMYFUNCTION("""COMPUTED_VALUE"""),"")</f>
        <v/>
      </c>
      <c r="X1178" s="143" t="str">
        <f t="shared" si="2"/>
        <v/>
      </c>
      <c r="Y1178" s="139" t="str">
        <f>IFERROR(__xludf.DUMMYFUNCTION("""COMPUTED_VALUE"""),"")</f>
        <v/>
      </c>
      <c r="Z1178" s="141" t="str">
        <f>IFERROR(__xludf.DUMMYFUNCTION("""COMPUTED_VALUE"""),"")</f>
        <v/>
      </c>
    </row>
    <row r="1179">
      <c r="D1179" s="136" t="str">
        <f t="shared" si="3"/>
        <v/>
      </c>
      <c r="E1179" s="152"/>
      <c r="F1179" s="106" t="s">
        <v>133</v>
      </c>
      <c r="G1179" s="152"/>
      <c r="H1179" s="106" t="s">
        <v>133</v>
      </c>
      <c r="J1179" s="139" t="s">
        <v>133</v>
      </c>
      <c r="K1179" s="136" t="s">
        <v>133</v>
      </c>
      <c r="L1179" s="153"/>
      <c r="M1179" s="136" t="str">
        <f t="shared" si="1"/>
        <v/>
      </c>
      <c r="O1179" s="141" t="s">
        <v>133</v>
      </c>
      <c r="P1179" s="136" t="str">
        <f>IFERROR(__xludf.DUMMYFUNCTION("""COMPUTED_VALUE"""),"")</f>
        <v/>
      </c>
      <c r="Q1179" s="136" t="str">
        <f>IFERROR(__xludf.DUMMYFUNCTION("""COMPUTED_VALUE"""),"")</f>
        <v/>
      </c>
      <c r="R1179" s="106" t="str">
        <f>IFERROR(__xludf.DUMMYFUNCTION("""COMPUTED_VALUE"""),"")</f>
        <v/>
      </c>
      <c r="S1179" s="106" t="str">
        <f>IFERROR(__xludf.DUMMYFUNCTION("""COMPUTED_VALUE"""),"")</f>
        <v/>
      </c>
      <c r="T1179" s="139" t="str">
        <f>IFERROR(__xludf.DUMMYFUNCTION("""COMPUTED_VALUE"""),"")</f>
        <v/>
      </c>
      <c r="U1179" s="139" t="str">
        <f>IFERROR(__xludf.DUMMYFUNCTION("""COMPUTED_VALUE"""),"")</f>
        <v/>
      </c>
      <c r="V1179" s="136" t="str">
        <f>IFERROR(__xludf.DUMMYFUNCTION("""COMPUTED_VALUE"""),"")</f>
        <v/>
      </c>
      <c r="W1179" s="106" t="str">
        <f>IFERROR(__xludf.DUMMYFUNCTION("""COMPUTED_VALUE"""),"")</f>
        <v/>
      </c>
      <c r="X1179" s="143" t="str">
        <f t="shared" si="2"/>
        <v/>
      </c>
      <c r="Y1179" s="139" t="str">
        <f>IFERROR(__xludf.DUMMYFUNCTION("""COMPUTED_VALUE"""),"")</f>
        <v/>
      </c>
      <c r="Z1179" s="141" t="str">
        <f>IFERROR(__xludf.DUMMYFUNCTION("""COMPUTED_VALUE"""),"")</f>
        <v/>
      </c>
    </row>
    <row r="1180">
      <c r="D1180" s="136" t="str">
        <f t="shared" si="3"/>
        <v/>
      </c>
      <c r="E1180" s="152"/>
      <c r="F1180" s="106" t="s">
        <v>133</v>
      </c>
      <c r="G1180" s="152"/>
      <c r="H1180" s="106" t="s">
        <v>133</v>
      </c>
      <c r="J1180" s="139" t="s">
        <v>133</v>
      </c>
      <c r="K1180" s="136" t="s">
        <v>133</v>
      </c>
      <c r="L1180" s="153"/>
      <c r="M1180" s="136" t="str">
        <f t="shared" si="1"/>
        <v/>
      </c>
      <c r="O1180" s="141" t="s">
        <v>133</v>
      </c>
      <c r="P1180" s="136" t="str">
        <f>IFERROR(__xludf.DUMMYFUNCTION("""COMPUTED_VALUE"""),"")</f>
        <v/>
      </c>
      <c r="Q1180" s="136" t="str">
        <f>IFERROR(__xludf.DUMMYFUNCTION("""COMPUTED_VALUE"""),"")</f>
        <v/>
      </c>
      <c r="R1180" s="106" t="str">
        <f>IFERROR(__xludf.DUMMYFUNCTION("""COMPUTED_VALUE"""),"")</f>
        <v/>
      </c>
      <c r="S1180" s="106" t="str">
        <f>IFERROR(__xludf.DUMMYFUNCTION("""COMPUTED_VALUE"""),"")</f>
        <v/>
      </c>
      <c r="T1180" s="139" t="str">
        <f>IFERROR(__xludf.DUMMYFUNCTION("""COMPUTED_VALUE"""),"")</f>
        <v/>
      </c>
      <c r="U1180" s="139" t="str">
        <f>IFERROR(__xludf.DUMMYFUNCTION("""COMPUTED_VALUE"""),"")</f>
        <v/>
      </c>
      <c r="V1180" s="136" t="str">
        <f>IFERROR(__xludf.DUMMYFUNCTION("""COMPUTED_VALUE"""),"")</f>
        <v/>
      </c>
      <c r="W1180" s="106" t="str">
        <f>IFERROR(__xludf.DUMMYFUNCTION("""COMPUTED_VALUE"""),"")</f>
        <v/>
      </c>
      <c r="X1180" s="143" t="str">
        <f t="shared" si="2"/>
        <v/>
      </c>
      <c r="Y1180" s="139" t="str">
        <f>IFERROR(__xludf.DUMMYFUNCTION("""COMPUTED_VALUE"""),"")</f>
        <v/>
      </c>
      <c r="Z1180" s="141" t="str">
        <f>IFERROR(__xludf.DUMMYFUNCTION("""COMPUTED_VALUE"""),"")</f>
        <v/>
      </c>
    </row>
    <row r="1181">
      <c r="D1181" s="136" t="str">
        <f t="shared" si="3"/>
        <v/>
      </c>
      <c r="E1181" s="152"/>
      <c r="F1181" s="106" t="s">
        <v>133</v>
      </c>
      <c r="G1181" s="152"/>
      <c r="H1181" s="106" t="s">
        <v>133</v>
      </c>
      <c r="J1181" s="139" t="s">
        <v>133</v>
      </c>
      <c r="K1181" s="136" t="s">
        <v>133</v>
      </c>
      <c r="L1181" s="153"/>
      <c r="M1181" s="136" t="str">
        <f t="shared" si="1"/>
        <v/>
      </c>
      <c r="O1181" s="141" t="s">
        <v>133</v>
      </c>
      <c r="P1181" s="136" t="str">
        <f>IFERROR(__xludf.DUMMYFUNCTION("""COMPUTED_VALUE"""),"")</f>
        <v/>
      </c>
      <c r="Q1181" s="136" t="str">
        <f>IFERROR(__xludf.DUMMYFUNCTION("""COMPUTED_VALUE"""),"")</f>
        <v/>
      </c>
      <c r="R1181" s="106" t="str">
        <f>IFERROR(__xludf.DUMMYFUNCTION("""COMPUTED_VALUE"""),"")</f>
        <v/>
      </c>
      <c r="S1181" s="106" t="str">
        <f>IFERROR(__xludf.DUMMYFUNCTION("""COMPUTED_VALUE"""),"")</f>
        <v/>
      </c>
      <c r="T1181" s="139" t="str">
        <f>IFERROR(__xludf.DUMMYFUNCTION("""COMPUTED_VALUE"""),"")</f>
        <v/>
      </c>
      <c r="U1181" s="139" t="str">
        <f>IFERROR(__xludf.DUMMYFUNCTION("""COMPUTED_VALUE"""),"")</f>
        <v/>
      </c>
      <c r="V1181" s="136" t="str">
        <f>IFERROR(__xludf.DUMMYFUNCTION("""COMPUTED_VALUE"""),"")</f>
        <v/>
      </c>
      <c r="W1181" s="106" t="str">
        <f>IFERROR(__xludf.DUMMYFUNCTION("""COMPUTED_VALUE"""),"")</f>
        <v/>
      </c>
      <c r="X1181" s="143" t="str">
        <f t="shared" si="2"/>
        <v/>
      </c>
      <c r="Y1181" s="139" t="str">
        <f>IFERROR(__xludf.DUMMYFUNCTION("""COMPUTED_VALUE"""),"")</f>
        <v/>
      </c>
      <c r="Z1181" s="141" t="str">
        <f>IFERROR(__xludf.DUMMYFUNCTION("""COMPUTED_VALUE"""),"")</f>
        <v/>
      </c>
    </row>
    <row r="1182">
      <c r="D1182" s="136" t="str">
        <f t="shared" si="3"/>
        <v/>
      </c>
      <c r="E1182" s="152"/>
      <c r="F1182" s="106" t="s">
        <v>133</v>
      </c>
      <c r="G1182" s="152"/>
      <c r="H1182" s="106" t="s">
        <v>133</v>
      </c>
      <c r="J1182" s="139" t="s">
        <v>133</v>
      </c>
      <c r="K1182" s="136" t="s">
        <v>133</v>
      </c>
      <c r="L1182" s="153"/>
      <c r="M1182" s="136" t="str">
        <f t="shared" si="1"/>
        <v/>
      </c>
      <c r="O1182" s="141" t="s">
        <v>133</v>
      </c>
      <c r="P1182" s="136" t="str">
        <f>IFERROR(__xludf.DUMMYFUNCTION("""COMPUTED_VALUE"""),"")</f>
        <v/>
      </c>
      <c r="Q1182" s="136" t="str">
        <f>IFERROR(__xludf.DUMMYFUNCTION("""COMPUTED_VALUE"""),"")</f>
        <v/>
      </c>
      <c r="R1182" s="106" t="str">
        <f>IFERROR(__xludf.DUMMYFUNCTION("""COMPUTED_VALUE"""),"")</f>
        <v/>
      </c>
      <c r="S1182" s="106" t="str">
        <f>IFERROR(__xludf.DUMMYFUNCTION("""COMPUTED_VALUE"""),"")</f>
        <v/>
      </c>
      <c r="T1182" s="139" t="str">
        <f>IFERROR(__xludf.DUMMYFUNCTION("""COMPUTED_VALUE"""),"")</f>
        <v/>
      </c>
      <c r="U1182" s="139" t="str">
        <f>IFERROR(__xludf.DUMMYFUNCTION("""COMPUTED_VALUE"""),"")</f>
        <v/>
      </c>
      <c r="V1182" s="136" t="str">
        <f>IFERROR(__xludf.DUMMYFUNCTION("""COMPUTED_VALUE"""),"")</f>
        <v/>
      </c>
      <c r="W1182" s="106" t="str">
        <f>IFERROR(__xludf.DUMMYFUNCTION("""COMPUTED_VALUE"""),"")</f>
        <v/>
      </c>
      <c r="X1182" s="143" t="str">
        <f t="shared" si="2"/>
        <v/>
      </c>
      <c r="Y1182" s="139" t="str">
        <f>IFERROR(__xludf.DUMMYFUNCTION("""COMPUTED_VALUE"""),"")</f>
        <v/>
      </c>
      <c r="Z1182" s="141" t="str">
        <f>IFERROR(__xludf.DUMMYFUNCTION("""COMPUTED_VALUE"""),"")</f>
        <v/>
      </c>
    </row>
    <row r="1183">
      <c r="D1183" s="136" t="str">
        <f t="shared" si="3"/>
        <v/>
      </c>
      <c r="E1183" s="152"/>
      <c r="F1183" s="106" t="s">
        <v>133</v>
      </c>
      <c r="G1183" s="152"/>
      <c r="H1183" s="106" t="s">
        <v>133</v>
      </c>
      <c r="J1183" s="139" t="s">
        <v>133</v>
      </c>
      <c r="K1183" s="136" t="s">
        <v>133</v>
      </c>
      <c r="L1183" s="153"/>
      <c r="M1183" s="136" t="str">
        <f t="shared" si="1"/>
        <v/>
      </c>
      <c r="O1183" s="141" t="s">
        <v>133</v>
      </c>
      <c r="P1183" s="136" t="str">
        <f>IFERROR(__xludf.DUMMYFUNCTION("""COMPUTED_VALUE"""),"")</f>
        <v/>
      </c>
      <c r="Q1183" s="136" t="str">
        <f>IFERROR(__xludf.DUMMYFUNCTION("""COMPUTED_VALUE"""),"")</f>
        <v/>
      </c>
      <c r="R1183" s="106" t="str">
        <f>IFERROR(__xludf.DUMMYFUNCTION("""COMPUTED_VALUE"""),"")</f>
        <v/>
      </c>
      <c r="S1183" s="106" t="str">
        <f>IFERROR(__xludf.DUMMYFUNCTION("""COMPUTED_VALUE"""),"")</f>
        <v/>
      </c>
      <c r="T1183" s="139" t="str">
        <f>IFERROR(__xludf.DUMMYFUNCTION("""COMPUTED_VALUE"""),"")</f>
        <v/>
      </c>
      <c r="U1183" s="139" t="str">
        <f>IFERROR(__xludf.DUMMYFUNCTION("""COMPUTED_VALUE"""),"")</f>
        <v/>
      </c>
      <c r="V1183" s="136" t="str">
        <f>IFERROR(__xludf.DUMMYFUNCTION("""COMPUTED_VALUE"""),"")</f>
        <v/>
      </c>
      <c r="W1183" s="106" t="str">
        <f>IFERROR(__xludf.DUMMYFUNCTION("""COMPUTED_VALUE"""),"")</f>
        <v/>
      </c>
      <c r="X1183" s="143" t="str">
        <f t="shared" si="2"/>
        <v/>
      </c>
      <c r="Y1183" s="139" t="str">
        <f>IFERROR(__xludf.DUMMYFUNCTION("""COMPUTED_VALUE"""),"")</f>
        <v/>
      </c>
      <c r="Z1183" s="141" t="str">
        <f>IFERROR(__xludf.DUMMYFUNCTION("""COMPUTED_VALUE"""),"")</f>
        <v/>
      </c>
    </row>
    <row r="1184">
      <c r="D1184" s="136" t="str">
        <f t="shared" si="3"/>
        <v/>
      </c>
      <c r="E1184" s="152"/>
      <c r="F1184" s="106" t="s">
        <v>133</v>
      </c>
      <c r="G1184" s="152"/>
      <c r="H1184" s="106" t="s">
        <v>133</v>
      </c>
      <c r="J1184" s="139" t="s">
        <v>133</v>
      </c>
      <c r="K1184" s="136" t="s">
        <v>133</v>
      </c>
      <c r="L1184" s="153"/>
      <c r="M1184" s="136" t="str">
        <f t="shared" si="1"/>
        <v/>
      </c>
      <c r="O1184" s="141" t="s">
        <v>133</v>
      </c>
      <c r="P1184" s="136" t="str">
        <f>IFERROR(__xludf.DUMMYFUNCTION("""COMPUTED_VALUE"""),"")</f>
        <v/>
      </c>
      <c r="Q1184" s="136" t="str">
        <f>IFERROR(__xludf.DUMMYFUNCTION("""COMPUTED_VALUE"""),"")</f>
        <v/>
      </c>
      <c r="R1184" s="106" t="str">
        <f>IFERROR(__xludf.DUMMYFUNCTION("""COMPUTED_VALUE"""),"")</f>
        <v/>
      </c>
      <c r="S1184" s="106" t="str">
        <f>IFERROR(__xludf.DUMMYFUNCTION("""COMPUTED_VALUE"""),"")</f>
        <v/>
      </c>
      <c r="T1184" s="139" t="str">
        <f>IFERROR(__xludf.DUMMYFUNCTION("""COMPUTED_VALUE"""),"")</f>
        <v/>
      </c>
      <c r="U1184" s="139" t="str">
        <f>IFERROR(__xludf.DUMMYFUNCTION("""COMPUTED_VALUE"""),"")</f>
        <v/>
      </c>
      <c r="V1184" s="136" t="str">
        <f>IFERROR(__xludf.DUMMYFUNCTION("""COMPUTED_VALUE"""),"")</f>
        <v/>
      </c>
      <c r="W1184" s="106" t="str">
        <f>IFERROR(__xludf.DUMMYFUNCTION("""COMPUTED_VALUE"""),"")</f>
        <v/>
      </c>
      <c r="X1184" s="143" t="str">
        <f t="shared" si="2"/>
        <v/>
      </c>
      <c r="Y1184" s="139" t="str">
        <f>IFERROR(__xludf.DUMMYFUNCTION("""COMPUTED_VALUE"""),"")</f>
        <v/>
      </c>
      <c r="Z1184" s="141" t="str">
        <f>IFERROR(__xludf.DUMMYFUNCTION("""COMPUTED_VALUE"""),"")</f>
        <v/>
      </c>
    </row>
    <row r="1185">
      <c r="D1185" s="136" t="str">
        <f t="shared" si="3"/>
        <v/>
      </c>
      <c r="E1185" s="152"/>
      <c r="F1185" s="106" t="s">
        <v>133</v>
      </c>
      <c r="G1185" s="152"/>
      <c r="H1185" s="106" t="s">
        <v>133</v>
      </c>
      <c r="J1185" s="139" t="s">
        <v>133</v>
      </c>
      <c r="K1185" s="136" t="s">
        <v>133</v>
      </c>
      <c r="L1185" s="153"/>
      <c r="M1185" s="136" t="str">
        <f t="shared" si="1"/>
        <v/>
      </c>
      <c r="O1185" s="141" t="s">
        <v>133</v>
      </c>
      <c r="P1185" s="136" t="str">
        <f>IFERROR(__xludf.DUMMYFUNCTION("""COMPUTED_VALUE"""),"")</f>
        <v/>
      </c>
      <c r="Q1185" s="136" t="str">
        <f>IFERROR(__xludf.DUMMYFUNCTION("""COMPUTED_VALUE"""),"")</f>
        <v/>
      </c>
      <c r="R1185" s="106" t="str">
        <f>IFERROR(__xludf.DUMMYFUNCTION("""COMPUTED_VALUE"""),"")</f>
        <v/>
      </c>
      <c r="S1185" s="106" t="str">
        <f>IFERROR(__xludf.DUMMYFUNCTION("""COMPUTED_VALUE"""),"")</f>
        <v/>
      </c>
      <c r="T1185" s="139" t="str">
        <f>IFERROR(__xludf.DUMMYFUNCTION("""COMPUTED_VALUE"""),"")</f>
        <v/>
      </c>
      <c r="U1185" s="139" t="str">
        <f>IFERROR(__xludf.DUMMYFUNCTION("""COMPUTED_VALUE"""),"")</f>
        <v/>
      </c>
      <c r="V1185" s="136" t="str">
        <f>IFERROR(__xludf.DUMMYFUNCTION("""COMPUTED_VALUE"""),"")</f>
        <v/>
      </c>
      <c r="W1185" s="106" t="str">
        <f>IFERROR(__xludf.DUMMYFUNCTION("""COMPUTED_VALUE"""),"")</f>
        <v/>
      </c>
      <c r="X1185" s="143" t="str">
        <f t="shared" si="2"/>
        <v/>
      </c>
      <c r="Y1185" s="139" t="str">
        <f>IFERROR(__xludf.DUMMYFUNCTION("""COMPUTED_VALUE"""),"")</f>
        <v/>
      </c>
      <c r="Z1185" s="141" t="str">
        <f>IFERROR(__xludf.DUMMYFUNCTION("""COMPUTED_VALUE"""),"")</f>
        <v/>
      </c>
    </row>
    <row r="1186">
      <c r="D1186" s="136" t="str">
        <f t="shared" si="3"/>
        <v/>
      </c>
      <c r="E1186" s="152"/>
      <c r="F1186" s="106" t="s">
        <v>133</v>
      </c>
      <c r="G1186" s="152"/>
      <c r="H1186" s="106" t="s">
        <v>133</v>
      </c>
      <c r="J1186" s="139" t="s">
        <v>133</v>
      </c>
      <c r="K1186" s="136" t="s">
        <v>133</v>
      </c>
      <c r="L1186" s="153"/>
      <c r="M1186" s="136" t="str">
        <f t="shared" si="1"/>
        <v/>
      </c>
      <c r="O1186" s="141" t="s">
        <v>133</v>
      </c>
      <c r="P1186" s="136" t="str">
        <f>IFERROR(__xludf.DUMMYFUNCTION("""COMPUTED_VALUE"""),"")</f>
        <v/>
      </c>
      <c r="Q1186" s="136" t="str">
        <f>IFERROR(__xludf.DUMMYFUNCTION("""COMPUTED_VALUE"""),"")</f>
        <v/>
      </c>
      <c r="R1186" s="106" t="str">
        <f>IFERROR(__xludf.DUMMYFUNCTION("""COMPUTED_VALUE"""),"")</f>
        <v/>
      </c>
      <c r="S1186" s="106" t="str">
        <f>IFERROR(__xludf.DUMMYFUNCTION("""COMPUTED_VALUE"""),"")</f>
        <v/>
      </c>
      <c r="T1186" s="139" t="str">
        <f>IFERROR(__xludf.DUMMYFUNCTION("""COMPUTED_VALUE"""),"")</f>
        <v/>
      </c>
      <c r="U1186" s="139" t="str">
        <f>IFERROR(__xludf.DUMMYFUNCTION("""COMPUTED_VALUE"""),"")</f>
        <v/>
      </c>
      <c r="V1186" s="136" t="str">
        <f>IFERROR(__xludf.DUMMYFUNCTION("""COMPUTED_VALUE"""),"")</f>
        <v/>
      </c>
      <c r="W1186" s="106" t="str">
        <f>IFERROR(__xludf.DUMMYFUNCTION("""COMPUTED_VALUE"""),"")</f>
        <v/>
      </c>
      <c r="X1186" s="143" t="str">
        <f t="shared" si="2"/>
        <v/>
      </c>
      <c r="Y1186" s="139" t="str">
        <f>IFERROR(__xludf.DUMMYFUNCTION("""COMPUTED_VALUE"""),"")</f>
        <v/>
      </c>
      <c r="Z1186" s="141" t="str">
        <f>IFERROR(__xludf.DUMMYFUNCTION("""COMPUTED_VALUE"""),"")</f>
        <v/>
      </c>
    </row>
    <row r="1187">
      <c r="D1187" s="136" t="str">
        <f t="shared" si="3"/>
        <v/>
      </c>
      <c r="E1187" s="152"/>
      <c r="F1187" s="106" t="s">
        <v>133</v>
      </c>
      <c r="G1187" s="152"/>
      <c r="H1187" s="106" t="s">
        <v>133</v>
      </c>
      <c r="J1187" s="139" t="s">
        <v>133</v>
      </c>
      <c r="K1187" s="136" t="s">
        <v>133</v>
      </c>
      <c r="L1187" s="153"/>
      <c r="M1187" s="136" t="str">
        <f t="shared" si="1"/>
        <v/>
      </c>
      <c r="O1187" s="141" t="s">
        <v>133</v>
      </c>
      <c r="P1187" s="136" t="str">
        <f>IFERROR(__xludf.DUMMYFUNCTION("""COMPUTED_VALUE"""),"")</f>
        <v/>
      </c>
      <c r="Q1187" s="136" t="str">
        <f>IFERROR(__xludf.DUMMYFUNCTION("""COMPUTED_VALUE"""),"")</f>
        <v/>
      </c>
      <c r="R1187" s="106" t="str">
        <f>IFERROR(__xludf.DUMMYFUNCTION("""COMPUTED_VALUE"""),"")</f>
        <v/>
      </c>
      <c r="S1187" s="106" t="str">
        <f>IFERROR(__xludf.DUMMYFUNCTION("""COMPUTED_VALUE"""),"")</f>
        <v/>
      </c>
      <c r="T1187" s="139" t="str">
        <f>IFERROR(__xludf.DUMMYFUNCTION("""COMPUTED_VALUE"""),"")</f>
        <v/>
      </c>
      <c r="U1187" s="139" t="str">
        <f>IFERROR(__xludf.DUMMYFUNCTION("""COMPUTED_VALUE"""),"")</f>
        <v/>
      </c>
      <c r="V1187" s="136" t="str">
        <f>IFERROR(__xludf.DUMMYFUNCTION("""COMPUTED_VALUE"""),"")</f>
        <v/>
      </c>
      <c r="W1187" s="106" t="str">
        <f>IFERROR(__xludf.DUMMYFUNCTION("""COMPUTED_VALUE"""),"")</f>
        <v/>
      </c>
      <c r="X1187" s="143" t="str">
        <f t="shared" si="2"/>
        <v/>
      </c>
      <c r="Y1187" s="139" t="str">
        <f>IFERROR(__xludf.DUMMYFUNCTION("""COMPUTED_VALUE"""),"")</f>
        <v/>
      </c>
      <c r="Z1187" s="141" t="str">
        <f>IFERROR(__xludf.DUMMYFUNCTION("""COMPUTED_VALUE"""),"")</f>
        <v/>
      </c>
    </row>
    <row r="1188">
      <c r="D1188" s="136" t="str">
        <f t="shared" si="3"/>
        <v/>
      </c>
      <c r="E1188" s="152"/>
      <c r="F1188" s="106" t="s">
        <v>133</v>
      </c>
      <c r="G1188" s="152"/>
      <c r="H1188" s="106" t="s">
        <v>133</v>
      </c>
      <c r="J1188" s="139" t="s">
        <v>133</v>
      </c>
      <c r="K1188" s="136" t="s">
        <v>133</v>
      </c>
      <c r="L1188" s="153"/>
      <c r="M1188" s="136" t="str">
        <f t="shared" si="1"/>
        <v/>
      </c>
      <c r="O1188" s="141" t="s">
        <v>133</v>
      </c>
      <c r="P1188" s="136" t="str">
        <f>IFERROR(__xludf.DUMMYFUNCTION("""COMPUTED_VALUE"""),"")</f>
        <v/>
      </c>
      <c r="Q1188" s="136" t="str">
        <f>IFERROR(__xludf.DUMMYFUNCTION("""COMPUTED_VALUE"""),"")</f>
        <v/>
      </c>
      <c r="R1188" s="106" t="str">
        <f>IFERROR(__xludf.DUMMYFUNCTION("""COMPUTED_VALUE"""),"")</f>
        <v/>
      </c>
      <c r="S1188" s="106" t="str">
        <f>IFERROR(__xludf.DUMMYFUNCTION("""COMPUTED_VALUE"""),"")</f>
        <v/>
      </c>
      <c r="T1188" s="139" t="str">
        <f>IFERROR(__xludf.DUMMYFUNCTION("""COMPUTED_VALUE"""),"")</f>
        <v/>
      </c>
      <c r="U1188" s="139" t="str">
        <f>IFERROR(__xludf.DUMMYFUNCTION("""COMPUTED_VALUE"""),"")</f>
        <v/>
      </c>
      <c r="V1188" s="136" t="str">
        <f>IFERROR(__xludf.DUMMYFUNCTION("""COMPUTED_VALUE"""),"")</f>
        <v/>
      </c>
      <c r="W1188" s="106" t="str">
        <f>IFERROR(__xludf.DUMMYFUNCTION("""COMPUTED_VALUE"""),"")</f>
        <v/>
      </c>
      <c r="X1188" s="143" t="str">
        <f t="shared" si="2"/>
        <v/>
      </c>
      <c r="Y1188" s="139" t="str">
        <f>IFERROR(__xludf.DUMMYFUNCTION("""COMPUTED_VALUE"""),"")</f>
        <v/>
      </c>
      <c r="Z1188" s="141" t="str">
        <f>IFERROR(__xludf.DUMMYFUNCTION("""COMPUTED_VALUE"""),"")</f>
        <v/>
      </c>
    </row>
    <row r="1189">
      <c r="D1189" s="136" t="str">
        <f t="shared" si="3"/>
        <v/>
      </c>
      <c r="E1189" s="152"/>
      <c r="F1189" s="106" t="s">
        <v>133</v>
      </c>
      <c r="G1189" s="152"/>
      <c r="H1189" s="106" t="s">
        <v>133</v>
      </c>
      <c r="J1189" s="139" t="s">
        <v>133</v>
      </c>
      <c r="K1189" s="136" t="s">
        <v>133</v>
      </c>
      <c r="L1189" s="153"/>
      <c r="M1189" s="136" t="str">
        <f t="shared" si="1"/>
        <v/>
      </c>
      <c r="O1189" s="141" t="s">
        <v>133</v>
      </c>
      <c r="P1189" s="136" t="str">
        <f>IFERROR(__xludf.DUMMYFUNCTION("""COMPUTED_VALUE"""),"")</f>
        <v/>
      </c>
      <c r="Q1189" s="136" t="str">
        <f>IFERROR(__xludf.DUMMYFUNCTION("""COMPUTED_VALUE"""),"")</f>
        <v/>
      </c>
      <c r="R1189" s="106" t="str">
        <f>IFERROR(__xludf.DUMMYFUNCTION("""COMPUTED_VALUE"""),"")</f>
        <v/>
      </c>
      <c r="S1189" s="106" t="str">
        <f>IFERROR(__xludf.DUMMYFUNCTION("""COMPUTED_VALUE"""),"")</f>
        <v/>
      </c>
      <c r="T1189" s="139" t="str">
        <f>IFERROR(__xludf.DUMMYFUNCTION("""COMPUTED_VALUE"""),"")</f>
        <v/>
      </c>
      <c r="U1189" s="139" t="str">
        <f>IFERROR(__xludf.DUMMYFUNCTION("""COMPUTED_VALUE"""),"")</f>
        <v/>
      </c>
      <c r="V1189" s="136" t="str">
        <f>IFERROR(__xludf.DUMMYFUNCTION("""COMPUTED_VALUE"""),"")</f>
        <v/>
      </c>
      <c r="W1189" s="106" t="str">
        <f>IFERROR(__xludf.DUMMYFUNCTION("""COMPUTED_VALUE"""),"")</f>
        <v/>
      </c>
      <c r="X1189" s="143" t="str">
        <f t="shared" si="2"/>
        <v/>
      </c>
      <c r="Y1189" s="139" t="str">
        <f>IFERROR(__xludf.DUMMYFUNCTION("""COMPUTED_VALUE"""),"")</f>
        <v/>
      </c>
      <c r="Z1189" s="141" t="str">
        <f>IFERROR(__xludf.DUMMYFUNCTION("""COMPUTED_VALUE"""),"")</f>
        <v/>
      </c>
    </row>
    <row r="1190">
      <c r="D1190" s="136" t="str">
        <f t="shared" si="3"/>
        <v/>
      </c>
      <c r="E1190" s="152"/>
      <c r="F1190" s="106" t="s">
        <v>133</v>
      </c>
      <c r="G1190" s="152"/>
      <c r="H1190" s="106" t="s">
        <v>133</v>
      </c>
      <c r="J1190" s="139" t="s">
        <v>133</v>
      </c>
      <c r="K1190" s="136" t="s">
        <v>133</v>
      </c>
      <c r="L1190" s="153"/>
      <c r="M1190" s="136" t="str">
        <f t="shared" si="1"/>
        <v/>
      </c>
      <c r="O1190" s="141" t="s">
        <v>133</v>
      </c>
      <c r="P1190" s="136" t="str">
        <f>IFERROR(__xludf.DUMMYFUNCTION("""COMPUTED_VALUE"""),"")</f>
        <v/>
      </c>
      <c r="Q1190" s="136" t="str">
        <f>IFERROR(__xludf.DUMMYFUNCTION("""COMPUTED_VALUE"""),"")</f>
        <v/>
      </c>
      <c r="R1190" s="106" t="str">
        <f>IFERROR(__xludf.DUMMYFUNCTION("""COMPUTED_VALUE"""),"")</f>
        <v/>
      </c>
      <c r="S1190" s="106" t="str">
        <f>IFERROR(__xludf.DUMMYFUNCTION("""COMPUTED_VALUE"""),"")</f>
        <v/>
      </c>
      <c r="T1190" s="139" t="str">
        <f>IFERROR(__xludf.DUMMYFUNCTION("""COMPUTED_VALUE"""),"")</f>
        <v/>
      </c>
      <c r="U1190" s="139" t="str">
        <f>IFERROR(__xludf.DUMMYFUNCTION("""COMPUTED_VALUE"""),"")</f>
        <v/>
      </c>
      <c r="V1190" s="136" t="str">
        <f>IFERROR(__xludf.DUMMYFUNCTION("""COMPUTED_VALUE"""),"")</f>
        <v/>
      </c>
      <c r="W1190" s="106" t="str">
        <f>IFERROR(__xludf.DUMMYFUNCTION("""COMPUTED_VALUE"""),"")</f>
        <v/>
      </c>
      <c r="X1190" s="143" t="str">
        <f t="shared" si="2"/>
        <v/>
      </c>
      <c r="Y1190" s="139" t="str">
        <f>IFERROR(__xludf.DUMMYFUNCTION("""COMPUTED_VALUE"""),"")</f>
        <v/>
      </c>
      <c r="Z1190" s="141" t="str">
        <f>IFERROR(__xludf.DUMMYFUNCTION("""COMPUTED_VALUE"""),"")</f>
        <v/>
      </c>
    </row>
    <row r="1191">
      <c r="D1191" s="136" t="str">
        <f t="shared" si="3"/>
        <v/>
      </c>
      <c r="E1191" s="152"/>
      <c r="F1191" s="106" t="s">
        <v>133</v>
      </c>
      <c r="G1191" s="152"/>
      <c r="H1191" s="106" t="s">
        <v>133</v>
      </c>
      <c r="J1191" s="139" t="s">
        <v>133</v>
      </c>
      <c r="K1191" s="136" t="s">
        <v>133</v>
      </c>
      <c r="L1191" s="153"/>
      <c r="M1191" s="136" t="str">
        <f t="shared" si="1"/>
        <v/>
      </c>
      <c r="O1191" s="141" t="s">
        <v>133</v>
      </c>
      <c r="P1191" s="136" t="str">
        <f>IFERROR(__xludf.DUMMYFUNCTION("""COMPUTED_VALUE"""),"")</f>
        <v/>
      </c>
      <c r="Q1191" s="136" t="str">
        <f>IFERROR(__xludf.DUMMYFUNCTION("""COMPUTED_VALUE"""),"")</f>
        <v/>
      </c>
      <c r="R1191" s="106" t="str">
        <f>IFERROR(__xludf.DUMMYFUNCTION("""COMPUTED_VALUE"""),"")</f>
        <v/>
      </c>
      <c r="S1191" s="106" t="str">
        <f>IFERROR(__xludf.DUMMYFUNCTION("""COMPUTED_VALUE"""),"")</f>
        <v/>
      </c>
      <c r="T1191" s="139" t="str">
        <f>IFERROR(__xludf.DUMMYFUNCTION("""COMPUTED_VALUE"""),"")</f>
        <v/>
      </c>
      <c r="U1191" s="139" t="str">
        <f>IFERROR(__xludf.DUMMYFUNCTION("""COMPUTED_VALUE"""),"")</f>
        <v/>
      </c>
      <c r="V1191" s="136" t="str">
        <f>IFERROR(__xludf.DUMMYFUNCTION("""COMPUTED_VALUE"""),"")</f>
        <v/>
      </c>
      <c r="W1191" s="106" t="str">
        <f>IFERROR(__xludf.DUMMYFUNCTION("""COMPUTED_VALUE"""),"")</f>
        <v/>
      </c>
      <c r="X1191" s="143" t="str">
        <f t="shared" si="2"/>
        <v/>
      </c>
      <c r="Y1191" s="139" t="str">
        <f>IFERROR(__xludf.DUMMYFUNCTION("""COMPUTED_VALUE"""),"")</f>
        <v/>
      </c>
      <c r="Z1191" s="141" t="str">
        <f>IFERROR(__xludf.DUMMYFUNCTION("""COMPUTED_VALUE"""),"")</f>
        <v/>
      </c>
    </row>
    <row r="1192">
      <c r="D1192" s="136" t="str">
        <f t="shared" si="3"/>
        <v/>
      </c>
      <c r="E1192" s="152"/>
      <c r="F1192" s="106" t="s">
        <v>133</v>
      </c>
      <c r="G1192" s="152"/>
      <c r="H1192" s="106" t="s">
        <v>133</v>
      </c>
      <c r="J1192" s="139" t="s">
        <v>133</v>
      </c>
      <c r="K1192" s="136" t="s">
        <v>133</v>
      </c>
      <c r="L1192" s="153"/>
      <c r="M1192" s="136" t="str">
        <f t="shared" si="1"/>
        <v/>
      </c>
      <c r="O1192" s="141" t="s">
        <v>133</v>
      </c>
      <c r="P1192" s="136" t="str">
        <f>IFERROR(__xludf.DUMMYFUNCTION("""COMPUTED_VALUE"""),"")</f>
        <v/>
      </c>
      <c r="Q1192" s="136" t="str">
        <f>IFERROR(__xludf.DUMMYFUNCTION("""COMPUTED_VALUE"""),"")</f>
        <v/>
      </c>
      <c r="R1192" s="106" t="str">
        <f>IFERROR(__xludf.DUMMYFUNCTION("""COMPUTED_VALUE"""),"")</f>
        <v/>
      </c>
      <c r="S1192" s="106" t="str">
        <f>IFERROR(__xludf.DUMMYFUNCTION("""COMPUTED_VALUE"""),"")</f>
        <v/>
      </c>
      <c r="T1192" s="139" t="str">
        <f>IFERROR(__xludf.DUMMYFUNCTION("""COMPUTED_VALUE"""),"")</f>
        <v/>
      </c>
      <c r="U1192" s="139" t="str">
        <f>IFERROR(__xludf.DUMMYFUNCTION("""COMPUTED_VALUE"""),"")</f>
        <v/>
      </c>
      <c r="V1192" s="136" t="str">
        <f>IFERROR(__xludf.DUMMYFUNCTION("""COMPUTED_VALUE"""),"")</f>
        <v/>
      </c>
      <c r="W1192" s="106" t="str">
        <f>IFERROR(__xludf.DUMMYFUNCTION("""COMPUTED_VALUE"""),"")</f>
        <v/>
      </c>
      <c r="X1192" s="143" t="str">
        <f t="shared" si="2"/>
        <v/>
      </c>
      <c r="Y1192" s="139" t="str">
        <f>IFERROR(__xludf.DUMMYFUNCTION("""COMPUTED_VALUE"""),"")</f>
        <v/>
      </c>
      <c r="Z1192" s="141" t="str">
        <f>IFERROR(__xludf.DUMMYFUNCTION("""COMPUTED_VALUE"""),"")</f>
        <v/>
      </c>
    </row>
    <row r="1193">
      <c r="D1193" s="136" t="str">
        <f t="shared" si="3"/>
        <v/>
      </c>
      <c r="E1193" s="152"/>
      <c r="F1193" s="106" t="s">
        <v>133</v>
      </c>
      <c r="G1193" s="152"/>
      <c r="H1193" s="106" t="s">
        <v>133</v>
      </c>
      <c r="J1193" s="139" t="s">
        <v>133</v>
      </c>
      <c r="K1193" s="136" t="s">
        <v>133</v>
      </c>
      <c r="L1193" s="153"/>
      <c r="M1193" s="136" t="str">
        <f t="shared" si="1"/>
        <v/>
      </c>
      <c r="O1193" s="141" t="s">
        <v>133</v>
      </c>
      <c r="P1193" s="136" t="str">
        <f>IFERROR(__xludf.DUMMYFUNCTION("""COMPUTED_VALUE"""),"")</f>
        <v/>
      </c>
      <c r="Q1193" s="136" t="str">
        <f>IFERROR(__xludf.DUMMYFUNCTION("""COMPUTED_VALUE"""),"")</f>
        <v/>
      </c>
      <c r="R1193" s="106" t="str">
        <f>IFERROR(__xludf.DUMMYFUNCTION("""COMPUTED_VALUE"""),"")</f>
        <v/>
      </c>
      <c r="S1193" s="106" t="str">
        <f>IFERROR(__xludf.DUMMYFUNCTION("""COMPUTED_VALUE"""),"")</f>
        <v/>
      </c>
      <c r="T1193" s="139" t="str">
        <f>IFERROR(__xludf.DUMMYFUNCTION("""COMPUTED_VALUE"""),"")</f>
        <v/>
      </c>
      <c r="U1193" s="139" t="str">
        <f>IFERROR(__xludf.DUMMYFUNCTION("""COMPUTED_VALUE"""),"")</f>
        <v/>
      </c>
      <c r="V1193" s="136" t="str">
        <f>IFERROR(__xludf.DUMMYFUNCTION("""COMPUTED_VALUE"""),"")</f>
        <v/>
      </c>
      <c r="W1193" s="106" t="str">
        <f>IFERROR(__xludf.DUMMYFUNCTION("""COMPUTED_VALUE"""),"")</f>
        <v/>
      </c>
      <c r="X1193" s="143" t="str">
        <f t="shared" si="2"/>
        <v/>
      </c>
      <c r="Y1193" s="139" t="str">
        <f>IFERROR(__xludf.DUMMYFUNCTION("""COMPUTED_VALUE"""),"")</f>
        <v/>
      </c>
      <c r="Z1193" s="141" t="str">
        <f>IFERROR(__xludf.DUMMYFUNCTION("""COMPUTED_VALUE"""),"")</f>
        <v/>
      </c>
    </row>
    <row r="1194">
      <c r="D1194" s="136" t="str">
        <f t="shared" si="3"/>
        <v/>
      </c>
      <c r="E1194" s="152"/>
      <c r="F1194" s="106" t="s">
        <v>133</v>
      </c>
      <c r="G1194" s="152"/>
      <c r="H1194" s="106" t="s">
        <v>133</v>
      </c>
      <c r="J1194" s="139" t="s">
        <v>133</v>
      </c>
      <c r="K1194" s="136" t="s">
        <v>133</v>
      </c>
      <c r="L1194" s="153"/>
      <c r="M1194" s="136" t="str">
        <f t="shared" si="1"/>
        <v/>
      </c>
      <c r="O1194" s="141" t="s">
        <v>133</v>
      </c>
      <c r="P1194" s="136" t="str">
        <f>IFERROR(__xludf.DUMMYFUNCTION("""COMPUTED_VALUE"""),"")</f>
        <v/>
      </c>
      <c r="Q1194" s="136" t="str">
        <f>IFERROR(__xludf.DUMMYFUNCTION("""COMPUTED_VALUE"""),"")</f>
        <v/>
      </c>
      <c r="R1194" s="106" t="str">
        <f>IFERROR(__xludf.DUMMYFUNCTION("""COMPUTED_VALUE"""),"")</f>
        <v/>
      </c>
      <c r="S1194" s="106" t="str">
        <f>IFERROR(__xludf.DUMMYFUNCTION("""COMPUTED_VALUE"""),"")</f>
        <v/>
      </c>
      <c r="T1194" s="139" t="str">
        <f>IFERROR(__xludf.DUMMYFUNCTION("""COMPUTED_VALUE"""),"")</f>
        <v/>
      </c>
      <c r="U1194" s="139" t="str">
        <f>IFERROR(__xludf.DUMMYFUNCTION("""COMPUTED_VALUE"""),"")</f>
        <v/>
      </c>
      <c r="V1194" s="136" t="str">
        <f>IFERROR(__xludf.DUMMYFUNCTION("""COMPUTED_VALUE"""),"")</f>
        <v/>
      </c>
      <c r="W1194" s="106" t="str">
        <f>IFERROR(__xludf.DUMMYFUNCTION("""COMPUTED_VALUE"""),"")</f>
        <v/>
      </c>
      <c r="X1194" s="143" t="str">
        <f t="shared" si="2"/>
        <v/>
      </c>
      <c r="Y1194" s="139" t="str">
        <f>IFERROR(__xludf.DUMMYFUNCTION("""COMPUTED_VALUE"""),"")</f>
        <v/>
      </c>
      <c r="Z1194" s="141" t="str">
        <f>IFERROR(__xludf.DUMMYFUNCTION("""COMPUTED_VALUE"""),"")</f>
        <v/>
      </c>
    </row>
    <row r="1195">
      <c r="D1195" s="136" t="str">
        <f t="shared" si="3"/>
        <v/>
      </c>
      <c r="E1195" s="152"/>
      <c r="F1195" s="106" t="s">
        <v>133</v>
      </c>
      <c r="G1195" s="152"/>
      <c r="H1195" s="106" t="s">
        <v>133</v>
      </c>
      <c r="J1195" s="139" t="s">
        <v>133</v>
      </c>
      <c r="K1195" s="136" t="s">
        <v>133</v>
      </c>
      <c r="L1195" s="153"/>
      <c r="M1195" s="136" t="str">
        <f t="shared" si="1"/>
        <v/>
      </c>
      <c r="O1195" s="141" t="s">
        <v>133</v>
      </c>
      <c r="P1195" s="136" t="str">
        <f>IFERROR(__xludf.DUMMYFUNCTION("""COMPUTED_VALUE"""),"")</f>
        <v/>
      </c>
      <c r="Q1195" s="136" t="str">
        <f>IFERROR(__xludf.DUMMYFUNCTION("""COMPUTED_VALUE"""),"")</f>
        <v/>
      </c>
      <c r="R1195" s="106" t="str">
        <f>IFERROR(__xludf.DUMMYFUNCTION("""COMPUTED_VALUE"""),"")</f>
        <v/>
      </c>
      <c r="S1195" s="106" t="str">
        <f>IFERROR(__xludf.DUMMYFUNCTION("""COMPUTED_VALUE"""),"")</f>
        <v/>
      </c>
      <c r="T1195" s="139" t="str">
        <f>IFERROR(__xludf.DUMMYFUNCTION("""COMPUTED_VALUE"""),"")</f>
        <v/>
      </c>
      <c r="U1195" s="139" t="str">
        <f>IFERROR(__xludf.DUMMYFUNCTION("""COMPUTED_VALUE"""),"")</f>
        <v/>
      </c>
      <c r="V1195" s="136" t="str">
        <f>IFERROR(__xludf.DUMMYFUNCTION("""COMPUTED_VALUE"""),"")</f>
        <v/>
      </c>
      <c r="W1195" s="106" t="str">
        <f>IFERROR(__xludf.DUMMYFUNCTION("""COMPUTED_VALUE"""),"")</f>
        <v/>
      </c>
      <c r="X1195" s="143" t="str">
        <f t="shared" si="2"/>
        <v/>
      </c>
      <c r="Y1195" s="139" t="str">
        <f>IFERROR(__xludf.DUMMYFUNCTION("""COMPUTED_VALUE"""),"")</f>
        <v/>
      </c>
      <c r="Z1195" s="141" t="str">
        <f>IFERROR(__xludf.DUMMYFUNCTION("""COMPUTED_VALUE"""),"")</f>
        <v/>
      </c>
    </row>
    <row r="1196">
      <c r="D1196" s="136" t="str">
        <f t="shared" si="3"/>
        <v/>
      </c>
      <c r="E1196" s="152"/>
      <c r="F1196" s="106" t="s">
        <v>133</v>
      </c>
      <c r="G1196" s="152"/>
      <c r="H1196" s="106" t="s">
        <v>133</v>
      </c>
      <c r="J1196" s="139" t="s">
        <v>133</v>
      </c>
      <c r="K1196" s="136" t="s">
        <v>133</v>
      </c>
      <c r="L1196" s="153"/>
      <c r="M1196" s="136" t="str">
        <f t="shared" si="1"/>
        <v/>
      </c>
      <c r="O1196" s="141" t="s">
        <v>133</v>
      </c>
      <c r="P1196" s="136" t="str">
        <f>IFERROR(__xludf.DUMMYFUNCTION("""COMPUTED_VALUE"""),"")</f>
        <v/>
      </c>
      <c r="Q1196" s="136" t="str">
        <f>IFERROR(__xludf.DUMMYFUNCTION("""COMPUTED_VALUE"""),"")</f>
        <v/>
      </c>
      <c r="R1196" s="106" t="str">
        <f>IFERROR(__xludf.DUMMYFUNCTION("""COMPUTED_VALUE"""),"")</f>
        <v/>
      </c>
      <c r="S1196" s="106" t="str">
        <f>IFERROR(__xludf.DUMMYFUNCTION("""COMPUTED_VALUE"""),"")</f>
        <v/>
      </c>
      <c r="T1196" s="139" t="str">
        <f>IFERROR(__xludf.DUMMYFUNCTION("""COMPUTED_VALUE"""),"")</f>
        <v/>
      </c>
      <c r="U1196" s="139" t="str">
        <f>IFERROR(__xludf.DUMMYFUNCTION("""COMPUTED_VALUE"""),"")</f>
        <v/>
      </c>
      <c r="V1196" s="136" t="str">
        <f>IFERROR(__xludf.DUMMYFUNCTION("""COMPUTED_VALUE"""),"")</f>
        <v/>
      </c>
      <c r="W1196" s="106" t="str">
        <f>IFERROR(__xludf.DUMMYFUNCTION("""COMPUTED_VALUE"""),"")</f>
        <v/>
      </c>
      <c r="X1196" s="143" t="str">
        <f t="shared" si="2"/>
        <v/>
      </c>
      <c r="Y1196" s="139" t="str">
        <f>IFERROR(__xludf.DUMMYFUNCTION("""COMPUTED_VALUE"""),"")</f>
        <v/>
      </c>
      <c r="Z1196" s="141" t="str">
        <f>IFERROR(__xludf.DUMMYFUNCTION("""COMPUTED_VALUE"""),"")</f>
        <v/>
      </c>
    </row>
    <row r="1197">
      <c r="D1197" s="136" t="str">
        <f t="shared" si="3"/>
        <v/>
      </c>
      <c r="E1197" s="152"/>
      <c r="F1197" s="106" t="s">
        <v>133</v>
      </c>
      <c r="G1197" s="152"/>
      <c r="H1197" s="106" t="s">
        <v>133</v>
      </c>
      <c r="J1197" s="139" t="s">
        <v>133</v>
      </c>
      <c r="K1197" s="136" t="s">
        <v>133</v>
      </c>
      <c r="L1197" s="153"/>
      <c r="M1197" s="136" t="str">
        <f t="shared" si="1"/>
        <v/>
      </c>
      <c r="O1197" s="141" t="s">
        <v>133</v>
      </c>
      <c r="P1197" s="136" t="str">
        <f>IFERROR(__xludf.DUMMYFUNCTION("""COMPUTED_VALUE"""),"")</f>
        <v/>
      </c>
      <c r="Q1197" s="136" t="str">
        <f>IFERROR(__xludf.DUMMYFUNCTION("""COMPUTED_VALUE"""),"")</f>
        <v/>
      </c>
      <c r="R1197" s="106" t="str">
        <f>IFERROR(__xludf.DUMMYFUNCTION("""COMPUTED_VALUE"""),"")</f>
        <v/>
      </c>
      <c r="S1197" s="106" t="str">
        <f>IFERROR(__xludf.DUMMYFUNCTION("""COMPUTED_VALUE"""),"")</f>
        <v/>
      </c>
      <c r="T1197" s="139" t="str">
        <f>IFERROR(__xludf.DUMMYFUNCTION("""COMPUTED_VALUE"""),"")</f>
        <v/>
      </c>
      <c r="U1197" s="139" t="str">
        <f>IFERROR(__xludf.DUMMYFUNCTION("""COMPUTED_VALUE"""),"")</f>
        <v/>
      </c>
      <c r="V1197" s="136" t="str">
        <f>IFERROR(__xludf.DUMMYFUNCTION("""COMPUTED_VALUE"""),"")</f>
        <v/>
      </c>
      <c r="W1197" s="106" t="str">
        <f>IFERROR(__xludf.DUMMYFUNCTION("""COMPUTED_VALUE"""),"")</f>
        <v/>
      </c>
      <c r="X1197" s="143" t="str">
        <f t="shared" si="2"/>
        <v/>
      </c>
      <c r="Y1197" s="139" t="str">
        <f>IFERROR(__xludf.DUMMYFUNCTION("""COMPUTED_VALUE"""),"")</f>
        <v/>
      </c>
      <c r="Z1197" s="141" t="str">
        <f>IFERROR(__xludf.DUMMYFUNCTION("""COMPUTED_VALUE"""),"")</f>
        <v/>
      </c>
    </row>
    <row r="1198">
      <c r="D1198" s="136" t="str">
        <f t="shared" si="3"/>
        <v/>
      </c>
      <c r="E1198" s="152"/>
      <c r="F1198" s="106" t="s">
        <v>133</v>
      </c>
      <c r="G1198" s="152"/>
      <c r="H1198" s="106" t="s">
        <v>133</v>
      </c>
      <c r="J1198" s="139" t="s">
        <v>133</v>
      </c>
      <c r="K1198" s="136" t="s">
        <v>133</v>
      </c>
      <c r="L1198" s="153"/>
      <c r="M1198" s="136" t="str">
        <f t="shared" si="1"/>
        <v/>
      </c>
      <c r="O1198" s="141" t="s">
        <v>133</v>
      </c>
      <c r="P1198" s="136" t="str">
        <f>IFERROR(__xludf.DUMMYFUNCTION("""COMPUTED_VALUE"""),"")</f>
        <v/>
      </c>
      <c r="Q1198" s="136" t="str">
        <f>IFERROR(__xludf.DUMMYFUNCTION("""COMPUTED_VALUE"""),"")</f>
        <v/>
      </c>
      <c r="R1198" s="106" t="str">
        <f>IFERROR(__xludf.DUMMYFUNCTION("""COMPUTED_VALUE"""),"")</f>
        <v/>
      </c>
      <c r="S1198" s="106" t="str">
        <f>IFERROR(__xludf.DUMMYFUNCTION("""COMPUTED_VALUE"""),"")</f>
        <v/>
      </c>
      <c r="T1198" s="139" t="str">
        <f>IFERROR(__xludf.DUMMYFUNCTION("""COMPUTED_VALUE"""),"")</f>
        <v/>
      </c>
      <c r="U1198" s="139" t="str">
        <f>IFERROR(__xludf.DUMMYFUNCTION("""COMPUTED_VALUE"""),"")</f>
        <v/>
      </c>
      <c r="V1198" s="136" t="str">
        <f>IFERROR(__xludf.DUMMYFUNCTION("""COMPUTED_VALUE"""),"")</f>
        <v/>
      </c>
      <c r="W1198" s="106" t="str">
        <f>IFERROR(__xludf.DUMMYFUNCTION("""COMPUTED_VALUE"""),"")</f>
        <v/>
      </c>
      <c r="X1198" s="143" t="str">
        <f t="shared" si="2"/>
        <v/>
      </c>
      <c r="Y1198" s="139" t="str">
        <f>IFERROR(__xludf.DUMMYFUNCTION("""COMPUTED_VALUE"""),"")</f>
        <v/>
      </c>
      <c r="Z1198" s="141" t="str">
        <f>IFERROR(__xludf.DUMMYFUNCTION("""COMPUTED_VALUE"""),"")</f>
        <v/>
      </c>
    </row>
    <row r="1199">
      <c r="D1199" s="136" t="str">
        <f t="shared" si="3"/>
        <v/>
      </c>
      <c r="E1199" s="152"/>
      <c r="F1199" s="106" t="s">
        <v>133</v>
      </c>
      <c r="G1199" s="152"/>
      <c r="H1199" s="106" t="s">
        <v>133</v>
      </c>
      <c r="J1199" s="139" t="s">
        <v>133</v>
      </c>
      <c r="K1199" s="136" t="s">
        <v>133</v>
      </c>
      <c r="L1199" s="153"/>
      <c r="M1199" s="136" t="str">
        <f t="shared" si="1"/>
        <v/>
      </c>
      <c r="O1199" s="141" t="s">
        <v>133</v>
      </c>
      <c r="P1199" s="136" t="str">
        <f>IFERROR(__xludf.DUMMYFUNCTION("""COMPUTED_VALUE"""),"")</f>
        <v/>
      </c>
      <c r="Q1199" s="136" t="str">
        <f>IFERROR(__xludf.DUMMYFUNCTION("""COMPUTED_VALUE"""),"")</f>
        <v/>
      </c>
      <c r="R1199" s="106" t="str">
        <f>IFERROR(__xludf.DUMMYFUNCTION("""COMPUTED_VALUE"""),"")</f>
        <v/>
      </c>
      <c r="S1199" s="106" t="str">
        <f>IFERROR(__xludf.DUMMYFUNCTION("""COMPUTED_VALUE"""),"")</f>
        <v/>
      </c>
      <c r="T1199" s="139" t="str">
        <f>IFERROR(__xludf.DUMMYFUNCTION("""COMPUTED_VALUE"""),"")</f>
        <v/>
      </c>
      <c r="U1199" s="139" t="str">
        <f>IFERROR(__xludf.DUMMYFUNCTION("""COMPUTED_VALUE"""),"")</f>
        <v/>
      </c>
      <c r="V1199" s="136" t="str">
        <f>IFERROR(__xludf.DUMMYFUNCTION("""COMPUTED_VALUE"""),"")</f>
        <v/>
      </c>
      <c r="W1199" s="106" t="str">
        <f>IFERROR(__xludf.DUMMYFUNCTION("""COMPUTED_VALUE"""),"")</f>
        <v/>
      </c>
      <c r="X1199" s="143" t="str">
        <f t="shared" si="2"/>
        <v/>
      </c>
      <c r="Y1199" s="139" t="str">
        <f>IFERROR(__xludf.DUMMYFUNCTION("""COMPUTED_VALUE"""),"")</f>
        <v/>
      </c>
      <c r="Z1199" s="141" t="str">
        <f>IFERROR(__xludf.DUMMYFUNCTION("""COMPUTED_VALUE"""),"")</f>
        <v/>
      </c>
    </row>
    <row r="1200">
      <c r="D1200" s="136" t="str">
        <f t="shared" si="3"/>
        <v/>
      </c>
      <c r="E1200" s="152"/>
      <c r="F1200" s="106" t="s">
        <v>133</v>
      </c>
      <c r="G1200" s="152"/>
      <c r="H1200" s="106" t="s">
        <v>133</v>
      </c>
      <c r="J1200" s="139" t="s">
        <v>133</v>
      </c>
      <c r="K1200" s="136" t="s">
        <v>133</v>
      </c>
      <c r="L1200" s="153"/>
      <c r="M1200" s="136" t="str">
        <f t="shared" si="1"/>
        <v/>
      </c>
      <c r="O1200" s="141" t="s">
        <v>133</v>
      </c>
      <c r="P1200" s="136" t="str">
        <f>IFERROR(__xludf.DUMMYFUNCTION("""COMPUTED_VALUE"""),"")</f>
        <v/>
      </c>
      <c r="Q1200" s="136" t="str">
        <f>IFERROR(__xludf.DUMMYFUNCTION("""COMPUTED_VALUE"""),"")</f>
        <v/>
      </c>
      <c r="R1200" s="106" t="str">
        <f>IFERROR(__xludf.DUMMYFUNCTION("""COMPUTED_VALUE"""),"")</f>
        <v/>
      </c>
      <c r="S1200" s="106" t="str">
        <f>IFERROR(__xludf.DUMMYFUNCTION("""COMPUTED_VALUE"""),"")</f>
        <v/>
      </c>
      <c r="T1200" s="139" t="str">
        <f>IFERROR(__xludf.DUMMYFUNCTION("""COMPUTED_VALUE"""),"")</f>
        <v/>
      </c>
      <c r="U1200" s="139" t="str">
        <f>IFERROR(__xludf.DUMMYFUNCTION("""COMPUTED_VALUE"""),"")</f>
        <v/>
      </c>
      <c r="V1200" s="136" t="str">
        <f>IFERROR(__xludf.DUMMYFUNCTION("""COMPUTED_VALUE"""),"")</f>
        <v/>
      </c>
      <c r="W1200" s="106" t="str">
        <f>IFERROR(__xludf.DUMMYFUNCTION("""COMPUTED_VALUE"""),"")</f>
        <v/>
      </c>
      <c r="X1200" s="143" t="str">
        <f t="shared" si="2"/>
        <v/>
      </c>
      <c r="Y1200" s="139" t="str">
        <f>IFERROR(__xludf.DUMMYFUNCTION("""COMPUTED_VALUE"""),"")</f>
        <v/>
      </c>
      <c r="Z1200" s="141" t="str">
        <f>IFERROR(__xludf.DUMMYFUNCTION("""COMPUTED_VALUE"""),"")</f>
        <v/>
      </c>
    </row>
    <row r="1201">
      <c r="D1201" s="136" t="str">
        <f t="shared" si="3"/>
        <v/>
      </c>
      <c r="E1201" s="152"/>
      <c r="F1201" s="106" t="s">
        <v>133</v>
      </c>
      <c r="G1201" s="152"/>
      <c r="H1201" s="106" t="s">
        <v>133</v>
      </c>
      <c r="J1201" s="139" t="s">
        <v>133</v>
      </c>
      <c r="K1201" s="136" t="s">
        <v>133</v>
      </c>
      <c r="L1201" s="153"/>
      <c r="M1201" s="136" t="str">
        <f t="shared" si="1"/>
        <v/>
      </c>
      <c r="O1201" s="141" t="s">
        <v>133</v>
      </c>
      <c r="P1201" s="136" t="str">
        <f>IFERROR(__xludf.DUMMYFUNCTION("""COMPUTED_VALUE"""),"")</f>
        <v/>
      </c>
      <c r="Q1201" s="136" t="str">
        <f>IFERROR(__xludf.DUMMYFUNCTION("""COMPUTED_VALUE"""),"")</f>
        <v/>
      </c>
      <c r="R1201" s="106" t="str">
        <f>IFERROR(__xludf.DUMMYFUNCTION("""COMPUTED_VALUE"""),"")</f>
        <v/>
      </c>
      <c r="S1201" s="106" t="str">
        <f>IFERROR(__xludf.DUMMYFUNCTION("""COMPUTED_VALUE"""),"")</f>
        <v/>
      </c>
      <c r="T1201" s="139" t="str">
        <f>IFERROR(__xludf.DUMMYFUNCTION("""COMPUTED_VALUE"""),"")</f>
        <v/>
      </c>
      <c r="U1201" s="139" t="str">
        <f>IFERROR(__xludf.DUMMYFUNCTION("""COMPUTED_VALUE"""),"")</f>
        <v/>
      </c>
      <c r="V1201" s="136" t="str">
        <f>IFERROR(__xludf.DUMMYFUNCTION("""COMPUTED_VALUE"""),"")</f>
        <v/>
      </c>
      <c r="W1201" s="106" t="str">
        <f>IFERROR(__xludf.DUMMYFUNCTION("""COMPUTED_VALUE"""),"")</f>
        <v/>
      </c>
      <c r="X1201" s="143" t="str">
        <f t="shared" si="2"/>
        <v/>
      </c>
      <c r="Y1201" s="139" t="str">
        <f>IFERROR(__xludf.DUMMYFUNCTION("""COMPUTED_VALUE"""),"")</f>
        <v/>
      </c>
      <c r="Z1201" s="141" t="str">
        <f>IFERROR(__xludf.DUMMYFUNCTION("""COMPUTED_VALUE"""),"")</f>
        <v/>
      </c>
    </row>
    <row r="1202">
      <c r="D1202" s="136" t="str">
        <f t="shared" si="3"/>
        <v/>
      </c>
      <c r="E1202" s="152"/>
      <c r="F1202" s="106" t="s">
        <v>133</v>
      </c>
      <c r="G1202" s="152"/>
      <c r="H1202" s="106" t="s">
        <v>133</v>
      </c>
      <c r="J1202" s="139" t="s">
        <v>133</v>
      </c>
      <c r="K1202" s="136" t="s">
        <v>133</v>
      </c>
      <c r="L1202" s="153"/>
      <c r="M1202" s="136" t="str">
        <f t="shared" si="1"/>
        <v/>
      </c>
      <c r="O1202" s="141" t="s">
        <v>133</v>
      </c>
      <c r="P1202" s="136" t="str">
        <f>IFERROR(__xludf.DUMMYFUNCTION("""COMPUTED_VALUE"""),"")</f>
        <v/>
      </c>
      <c r="Q1202" s="136" t="str">
        <f>IFERROR(__xludf.DUMMYFUNCTION("""COMPUTED_VALUE"""),"")</f>
        <v/>
      </c>
      <c r="R1202" s="106" t="str">
        <f>IFERROR(__xludf.DUMMYFUNCTION("""COMPUTED_VALUE"""),"")</f>
        <v/>
      </c>
      <c r="S1202" s="106" t="str">
        <f>IFERROR(__xludf.DUMMYFUNCTION("""COMPUTED_VALUE"""),"")</f>
        <v/>
      </c>
      <c r="T1202" s="139" t="str">
        <f>IFERROR(__xludf.DUMMYFUNCTION("""COMPUTED_VALUE"""),"")</f>
        <v/>
      </c>
      <c r="U1202" s="139" t="str">
        <f>IFERROR(__xludf.DUMMYFUNCTION("""COMPUTED_VALUE"""),"")</f>
        <v/>
      </c>
      <c r="V1202" s="136" t="str">
        <f>IFERROR(__xludf.DUMMYFUNCTION("""COMPUTED_VALUE"""),"")</f>
        <v/>
      </c>
      <c r="W1202" s="106" t="str">
        <f>IFERROR(__xludf.DUMMYFUNCTION("""COMPUTED_VALUE"""),"")</f>
        <v/>
      </c>
      <c r="X1202" s="143" t="str">
        <f t="shared" si="2"/>
        <v/>
      </c>
      <c r="Y1202" s="139" t="str">
        <f>IFERROR(__xludf.DUMMYFUNCTION("""COMPUTED_VALUE"""),"")</f>
        <v/>
      </c>
      <c r="Z1202" s="141" t="str">
        <f>IFERROR(__xludf.DUMMYFUNCTION("""COMPUTED_VALUE"""),"")</f>
        <v/>
      </c>
    </row>
    <row r="1203">
      <c r="D1203" s="136" t="str">
        <f t="shared" si="3"/>
        <v/>
      </c>
      <c r="E1203" s="152"/>
      <c r="F1203" s="106" t="s">
        <v>133</v>
      </c>
      <c r="G1203" s="152"/>
      <c r="H1203" s="106" t="s">
        <v>133</v>
      </c>
      <c r="J1203" s="139" t="s">
        <v>133</v>
      </c>
      <c r="K1203" s="136" t="s">
        <v>133</v>
      </c>
      <c r="L1203" s="153"/>
      <c r="M1203" s="136" t="str">
        <f t="shared" si="1"/>
        <v/>
      </c>
      <c r="O1203" s="141" t="s">
        <v>133</v>
      </c>
      <c r="P1203" s="136" t="str">
        <f>IFERROR(__xludf.DUMMYFUNCTION("""COMPUTED_VALUE"""),"")</f>
        <v/>
      </c>
      <c r="Q1203" s="136" t="str">
        <f>IFERROR(__xludf.DUMMYFUNCTION("""COMPUTED_VALUE"""),"")</f>
        <v/>
      </c>
      <c r="R1203" s="106" t="str">
        <f>IFERROR(__xludf.DUMMYFUNCTION("""COMPUTED_VALUE"""),"")</f>
        <v/>
      </c>
      <c r="S1203" s="106" t="str">
        <f>IFERROR(__xludf.DUMMYFUNCTION("""COMPUTED_VALUE"""),"")</f>
        <v/>
      </c>
      <c r="T1203" s="139" t="str">
        <f>IFERROR(__xludf.DUMMYFUNCTION("""COMPUTED_VALUE"""),"")</f>
        <v/>
      </c>
      <c r="U1203" s="139" t="str">
        <f>IFERROR(__xludf.DUMMYFUNCTION("""COMPUTED_VALUE"""),"")</f>
        <v/>
      </c>
      <c r="V1203" s="136" t="str">
        <f>IFERROR(__xludf.DUMMYFUNCTION("""COMPUTED_VALUE"""),"")</f>
        <v/>
      </c>
      <c r="W1203" s="106" t="str">
        <f>IFERROR(__xludf.DUMMYFUNCTION("""COMPUTED_VALUE"""),"")</f>
        <v/>
      </c>
      <c r="X1203" s="143" t="str">
        <f t="shared" si="2"/>
        <v/>
      </c>
      <c r="Y1203" s="139" t="str">
        <f>IFERROR(__xludf.DUMMYFUNCTION("""COMPUTED_VALUE"""),"")</f>
        <v/>
      </c>
      <c r="Z1203" s="141" t="str">
        <f>IFERROR(__xludf.DUMMYFUNCTION("""COMPUTED_VALUE"""),"")</f>
        <v/>
      </c>
    </row>
    <row r="1204">
      <c r="D1204" s="136" t="str">
        <f t="shared" si="3"/>
        <v/>
      </c>
      <c r="E1204" s="152"/>
      <c r="F1204" s="106" t="s">
        <v>133</v>
      </c>
      <c r="G1204" s="152"/>
      <c r="H1204" s="106" t="s">
        <v>133</v>
      </c>
      <c r="J1204" s="139" t="s">
        <v>133</v>
      </c>
      <c r="K1204" s="136" t="s">
        <v>133</v>
      </c>
      <c r="L1204" s="153"/>
      <c r="M1204" s="136" t="str">
        <f t="shared" si="1"/>
        <v/>
      </c>
      <c r="O1204" s="141" t="s">
        <v>133</v>
      </c>
      <c r="P1204" s="136" t="str">
        <f>IFERROR(__xludf.DUMMYFUNCTION("""COMPUTED_VALUE"""),"")</f>
        <v/>
      </c>
      <c r="Q1204" s="136" t="str">
        <f>IFERROR(__xludf.DUMMYFUNCTION("""COMPUTED_VALUE"""),"")</f>
        <v/>
      </c>
      <c r="R1204" s="106" t="str">
        <f>IFERROR(__xludf.DUMMYFUNCTION("""COMPUTED_VALUE"""),"")</f>
        <v/>
      </c>
      <c r="S1204" s="106" t="str">
        <f>IFERROR(__xludf.DUMMYFUNCTION("""COMPUTED_VALUE"""),"")</f>
        <v/>
      </c>
      <c r="T1204" s="139" t="str">
        <f>IFERROR(__xludf.DUMMYFUNCTION("""COMPUTED_VALUE"""),"")</f>
        <v/>
      </c>
      <c r="U1204" s="139" t="str">
        <f>IFERROR(__xludf.DUMMYFUNCTION("""COMPUTED_VALUE"""),"")</f>
        <v/>
      </c>
      <c r="V1204" s="136" t="str">
        <f>IFERROR(__xludf.DUMMYFUNCTION("""COMPUTED_VALUE"""),"")</f>
        <v/>
      </c>
      <c r="W1204" s="106" t="str">
        <f>IFERROR(__xludf.DUMMYFUNCTION("""COMPUTED_VALUE"""),"")</f>
        <v/>
      </c>
      <c r="X1204" s="143" t="str">
        <f t="shared" si="2"/>
        <v/>
      </c>
      <c r="Y1204" s="139" t="str">
        <f>IFERROR(__xludf.DUMMYFUNCTION("""COMPUTED_VALUE"""),"")</f>
        <v/>
      </c>
      <c r="Z1204" s="141" t="str">
        <f>IFERROR(__xludf.DUMMYFUNCTION("""COMPUTED_VALUE"""),"")</f>
        <v/>
      </c>
    </row>
    <row r="1205">
      <c r="D1205" s="136" t="str">
        <f t="shared" si="3"/>
        <v/>
      </c>
      <c r="E1205" s="152"/>
      <c r="F1205" s="106" t="s">
        <v>133</v>
      </c>
      <c r="G1205" s="152"/>
      <c r="H1205" s="106" t="s">
        <v>133</v>
      </c>
      <c r="J1205" s="139" t="s">
        <v>133</v>
      </c>
      <c r="K1205" s="136" t="s">
        <v>133</v>
      </c>
      <c r="L1205" s="153"/>
      <c r="M1205" s="136" t="str">
        <f t="shared" si="1"/>
        <v/>
      </c>
      <c r="O1205" s="141" t="s">
        <v>133</v>
      </c>
      <c r="P1205" s="136" t="str">
        <f>IFERROR(__xludf.DUMMYFUNCTION("""COMPUTED_VALUE"""),"")</f>
        <v/>
      </c>
      <c r="Q1205" s="136" t="str">
        <f>IFERROR(__xludf.DUMMYFUNCTION("""COMPUTED_VALUE"""),"")</f>
        <v/>
      </c>
      <c r="R1205" s="106" t="str">
        <f>IFERROR(__xludf.DUMMYFUNCTION("""COMPUTED_VALUE"""),"")</f>
        <v/>
      </c>
      <c r="S1205" s="106" t="str">
        <f>IFERROR(__xludf.DUMMYFUNCTION("""COMPUTED_VALUE"""),"")</f>
        <v/>
      </c>
      <c r="T1205" s="139" t="str">
        <f>IFERROR(__xludf.DUMMYFUNCTION("""COMPUTED_VALUE"""),"")</f>
        <v/>
      </c>
      <c r="U1205" s="139" t="str">
        <f>IFERROR(__xludf.DUMMYFUNCTION("""COMPUTED_VALUE"""),"")</f>
        <v/>
      </c>
      <c r="V1205" s="136" t="str">
        <f>IFERROR(__xludf.DUMMYFUNCTION("""COMPUTED_VALUE"""),"")</f>
        <v/>
      </c>
      <c r="W1205" s="106" t="str">
        <f>IFERROR(__xludf.DUMMYFUNCTION("""COMPUTED_VALUE"""),"")</f>
        <v/>
      </c>
      <c r="X1205" s="143" t="str">
        <f t="shared" si="2"/>
        <v/>
      </c>
      <c r="Y1205" s="139" t="str">
        <f>IFERROR(__xludf.DUMMYFUNCTION("""COMPUTED_VALUE"""),"")</f>
        <v/>
      </c>
      <c r="Z1205" s="141" t="str">
        <f>IFERROR(__xludf.DUMMYFUNCTION("""COMPUTED_VALUE"""),"")</f>
        <v/>
      </c>
    </row>
    <row r="1206">
      <c r="D1206" s="136" t="str">
        <f t="shared" si="3"/>
        <v/>
      </c>
      <c r="E1206" s="152"/>
      <c r="F1206" s="106" t="s">
        <v>133</v>
      </c>
      <c r="G1206" s="152"/>
      <c r="H1206" s="106" t="s">
        <v>133</v>
      </c>
      <c r="J1206" s="139" t="s">
        <v>133</v>
      </c>
      <c r="K1206" s="136" t="s">
        <v>133</v>
      </c>
      <c r="L1206" s="153"/>
      <c r="M1206" s="136" t="str">
        <f t="shared" si="1"/>
        <v/>
      </c>
      <c r="O1206" s="141" t="s">
        <v>133</v>
      </c>
      <c r="P1206" s="136" t="str">
        <f>IFERROR(__xludf.DUMMYFUNCTION("""COMPUTED_VALUE"""),"")</f>
        <v/>
      </c>
      <c r="Q1206" s="136" t="str">
        <f>IFERROR(__xludf.DUMMYFUNCTION("""COMPUTED_VALUE"""),"")</f>
        <v/>
      </c>
      <c r="R1206" s="106" t="str">
        <f>IFERROR(__xludf.DUMMYFUNCTION("""COMPUTED_VALUE"""),"")</f>
        <v/>
      </c>
      <c r="S1206" s="106" t="str">
        <f>IFERROR(__xludf.DUMMYFUNCTION("""COMPUTED_VALUE"""),"")</f>
        <v/>
      </c>
      <c r="T1206" s="139" t="str">
        <f>IFERROR(__xludf.DUMMYFUNCTION("""COMPUTED_VALUE"""),"")</f>
        <v/>
      </c>
      <c r="U1206" s="139" t="str">
        <f>IFERROR(__xludf.DUMMYFUNCTION("""COMPUTED_VALUE"""),"")</f>
        <v/>
      </c>
      <c r="V1206" s="136" t="str">
        <f>IFERROR(__xludf.DUMMYFUNCTION("""COMPUTED_VALUE"""),"")</f>
        <v/>
      </c>
      <c r="W1206" s="106" t="str">
        <f>IFERROR(__xludf.DUMMYFUNCTION("""COMPUTED_VALUE"""),"")</f>
        <v/>
      </c>
      <c r="X1206" s="143" t="str">
        <f t="shared" si="2"/>
        <v/>
      </c>
      <c r="Y1206" s="139" t="str">
        <f>IFERROR(__xludf.DUMMYFUNCTION("""COMPUTED_VALUE"""),"")</f>
        <v/>
      </c>
      <c r="Z1206" s="141" t="str">
        <f>IFERROR(__xludf.DUMMYFUNCTION("""COMPUTED_VALUE"""),"")</f>
        <v/>
      </c>
    </row>
    <row r="1207">
      <c r="D1207" s="136" t="str">
        <f t="shared" si="3"/>
        <v/>
      </c>
      <c r="E1207" s="152"/>
      <c r="F1207" s="106" t="s">
        <v>133</v>
      </c>
      <c r="G1207" s="152"/>
      <c r="H1207" s="106" t="s">
        <v>133</v>
      </c>
      <c r="J1207" s="139" t="s">
        <v>133</v>
      </c>
      <c r="K1207" s="136" t="s">
        <v>133</v>
      </c>
      <c r="L1207" s="153"/>
      <c r="M1207" s="136" t="str">
        <f t="shared" si="1"/>
        <v/>
      </c>
      <c r="O1207" s="141" t="s">
        <v>133</v>
      </c>
      <c r="P1207" s="136" t="str">
        <f>IFERROR(__xludf.DUMMYFUNCTION("""COMPUTED_VALUE"""),"")</f>
        <v/>
      </c>
      <c r="Q1207" s="136" t="str">
        <f>IFERROR(__xludf.DUMMYFUNCTION("""COMPUTED_VALUE"""),"")</f>
        <v/>
      </c>
      <c r="R1207" s="106" t="str">
        <f>IFERROR(__xludf.DUMMYFUNCTION("""COMPUTED_VALUE"""),"")</f>
        <v/>
      </c>
      <c r="S1207" s="106" t="str">
        <f>IFERROR(__xludf.DUMMYFUNCTION("""COMPUTED_VALUE"""),"")</f>
        <v/>
      </c>
      <c r="T1207" s="139" t="str">
        <f>IFERROR(__xludf.DUMMYFUNCTION("""COMPUTED_VALUE"""),"")</f>
        <v/>
      </c>
      <c r="U1207" s="139" t="str">
        <f>IFERROR(__xludf.DUMMYFUNCTION("""COMPUTED_VALUE"""),"")</f>
        <v/>
      </c>
      <c r="V1207" s="136" t="str">
        <f>IFERROR(__xludf.DUMMYFUNCTION("""COMPUTED_VALUE"""),"")</f>
        <v/>
      </c>
      <c r="W1207" s="106" t="str">
        <f>IFERROR(__xludf.DUMMYFUNCTION("""COMPUTED_VALUE"""),"")</f>
        <v/>
      </c>
      <c r="X1207" s="143" t="str">
        <f t="shared" si="2"/>
        <v/>
      </c>
      <c r="Y1207" s="139" t="str">
        <f>IFERROR(__xludf.DUMMYFUNCTION("""COMPUTED_VALUE"""),"")</f>
        <v/>
      </c>
      <c r="Z1207" s="141" t="str">
        <f>IFERROR(__xludf.DUMMYFUNCTION("""COMPUTED_VALUE"""),"")</f>
        <v/>
      </c>
    </row>
    <row r="1208">
      <c r="D1208" s="136" t="str">
        <f t="shared" si="3"/>
        <v/>
      </c>
      <c r="E1208" s="152"/>
      <c r="F1208" s="106" t="s">
        <v>133</v>
      </c>
      <c r="G1208" s="152"/>
      <c r="H1208" s="106" t="s">
        <v>133</v>
      </c>
      <c r="J1208" s="139" t="s">
        <v>133</v>
      </c>
      <c r="K1208" s="136" t="s">
        <v>133</v>
      </c>
      <c r="L1208" s="153"/>
      <c r="M1208" s="136" t="str">
        <f t="shared" si="1"/>
        <v/>
      </c>
      <c r="O1208" s="141" t="s">
        <v>133</v>
      </c>
      <c r="P1208" s="136" t="str">
        <f>IFERROR(__xludf.DUMMYFUNCTION("""COMPUTED_VALUE"""),"")</f>
        <v/>
      </c>
      <c r="Q1208" s="136" t="str">
        <f>IFERROR(__xludf.DUMMYFUNCTION("""COMPUTED_VALUE"""),"")</f>
        <v/>
      </c>
      <c r="R1208" s="106" t="str">
        <f>IFERROR(__xludf.DUMMYFUNCTION("""COMPUTED_VALUE"""),"")</f>
        <v/>
      </c>
      <c r="S1208" s="106" t="str">
        <f>IFERROR(__xludf.DUMMYFUNCTION("""COMPUTED_VALUE"""),"")</f>
        <v/>
      </c>
      <c r="T1208" s="139" t="str">
        <f>IFERROR(__xludf.DUMMYFUNCTION("""COMPUTED_VALUE"""),"")</f>
        <v/>
      </c>
      <c r="U1208" s="139" t="str">
        <f>IFERROR(__xludf.DUMMYFUNCTION("""COMPUTED_VALUE"""),"")</f>
        <v/>
      </c>
      <c r="V1208" s="136" t="str">
        <f>IFERROR(__xludf.DUMMYFUNCTION("""COMPUTED_VALUE"""),"")</f>
        <v/>
      </c>
      <c r="W1208" s="106" t="str">
        <f>IFERROR(__xludf.DUMMYFUNCTION("""COMPUTED_VALUE"""),"")</f>
        <v/>
      </c>
      <c r="X1208" s="143" t="str">
        <f t="shared" si="2"/>
        <v/>
      </c>
      <c r="Y1208" s="139" t="str">
        <f>IFERROR(__xludf.DUMMYFUNCTION("""COMPUTED_VALUE"""),"")</f>
        <v/>
      </c>
      <c r="Z1208" s="141" t="str">
        <f>IFERROR(__xludf.DUMMYFUNCTION("""COMPUTED_VALUE"""),"")</f>
        <v/>
      </c>
    </row>
    <row r="1209">
      <c r="D1209" s="136" t="str">
        <f t="shared" si="3"/>
        <v/>
      </c>
      <c r="E1209" s="152"/>
      <c r="F1209" s="106" t="s">
        <v>133</v>
      </c>
      <c r="G1209" s="152"/>
      <c r="H1209" s="106" t="s">
        <v>133</v>
      </c>
      <c r="J1209" s="139" t="s">
        <v>133</v>
      </c>
      <c r="K1209" s="136" t="s">
        <v>133</v>
      </c>
      <c r="L1209" s="153"/>
      <c r="M1209" s="136" t="str">
        <f t="shared" si="1"/>
        <v/>
      </c>
      <c r="O1209" s="141" t="s">
        <v>133</v>
      </c>
      <c r="P1209" s="136" t="str">
        <f>IFERROR(__xludf.DUMMYFUNCTION("""COMPUTED_VALUE"""),"")</f>
        <v/>
      </c>
      <c r="Q1209" s="136" t="str">
        <f>IFERROR(__xludf.DUMMYFUNCTION("""COMPUTED_VALUE"""),"")</f>
        <v/>
      </c>
      <c r="R1209" s="106" t="str">
        <f>IFERROR(__xludf.DUMMYFUNCTION("""COMPUTED_VALUE"""),"")</f>
        <v/>
      </c>
      <c r="S1209" s="106" t="str">
        <f>IFERROR(__xludf.DUMMYFUNCTION("""COMPUTED_VALUE"""),"")</f>
        <v/>
      </c>
      <c r="T1209" s="139" t="str">
        <f>IFERROR(__xludf.DUMMYFUNCTION("""COMPUTED_VALUE"""),"")</f>
        <v/>
      </c>
      <c r="U1209" s="139" t="str">
        <f>IFERROR(__xludf.DUMMYFUNCTION("""COMPUTED_VALUE"""),"")</f>
        <v/>
      </c>
      <c r="V1209" s="136" t="str">
        <f>IFERROR(__xludf.DUMMYFUNCTION("""COMPUTED_VALUE"""),"")</f>
        <v/>
      </c>
      <c r="W1209" s="106" t="str">
        <f>IFERROR(__xludf.DUMMYFUNCTION("""COMPUTED_VALUE"""),"")</f>
        <v/>
      </c>
      <c r="X1209" s="143" t="str">
        <f t="shared" si="2"/>
        <v/>
      </c>
      <c r="Y1209" s="139" t="str">
        <f>IFERROR(__xludf.DUMMYFUNCTION("""COMPUTED_VALUE"""),"")</f>
        <v/>
      </c>
      <c r="Z1209" s="141" t="str">
        <f>IFERROR(__xludf.DUMMYFUNCTION("""COMPUTED_VALUE"""),"")</f>
        <v/>
      </c>
    </row>
    <row r="1210">
      <c r="D1210" s="136" t="str">
        <f t="shared" si="3"/>
        <v/>
      </c>
      <c r="E1210" s="152"/>
      <c r="F1210" s="106" t="s">
        <v>133</v>
      </c>
      <c r="G1210" s="152"/>
      <c r="H1210" s="106" t="s">
        <v>133</v>
      </c>
      <c r="J1210" s="139" t="s">
        <v>133</v>
      </c>
      <c r="K1210" s="136" t="s">
        <v>133</v>
      </c>
      <c r="L1210" s="153"/>
      <c r="M1210" s="136" t="str">
        <f t="shared" si="1"/>
        <v/>
      </c>
      <c r="O1210" s="141" t="s">
        <v>133</v>
      </c>
      <c r="P1210" s="136" t="str">
        <f>IFERROR(__xludf.DUMMYFUNCTION("""COMPUTED_VALUE"""),"")</f>
        <v/>
      </c>
      <c r="Q1210" s="136" t="str">
        <f>IFERROR(__xludf.DUMMYFUNCTION("""COMPUTED_VALUE"""),"")</f>
        <v/>
      </c>
      <c r="R1210" s="106" t="str">
        <f>IFERROR(__xludf.DUMMYFUNCTION("""COMPUTED_VALUE"""),"")</f>
        <v/>
      </c>
      <c r="S1210" s="106" t="str">
        <f>IFERROR(__xludf.DUMMYFUNCTION("""COMPUTED_VALUE"""),"")</f>
        <v/>
      </c>
      <c r="T1210" s="139" t="str">
        <f>IFERROR(__xludf.DUMMYFUNCTION("""COMPUTED_VALUE"""),"")</f>
        <v/>
      </c>
      <c r="U1210" s="139" t="str">
        <f>IFERROR(__xludf.DUMMYFUNCTION("""COMPUTED_VALUE"""),"")</f>
        <v/>
      </c>
      <c r="V1210" s="136" t="str">
        <f>IFERROR(__xludf.DUMMYFUNCTION("""COMPUTED_VALUE"""),"")</f>
        <v/>
      </c>
      <c r="W1210" s="106" t="str">
        <f>IFERROR(__xludf.DUMMYFUNCTION("""COMPUTED_VALUE"""),"")</f>
        <v/>
      </c>
      <c r="X1210" s="143" t="str">
        <f t="shared" si="2"/>
        <v/>
      </c>
      <c r="Y1210" s="139" t="str">
        <f>IFERROR(__xludf.DUMMYFUNCTION("""COMPUTED_VALUE"""),"")</f>
        <v/>
      </c>
      <c r="Z1210" s="141" t="str">
        <f>IFERROR(__xludf.DUMMYFUNCTION("""COMPUTED_VALUE"""),"")</f>
        <v/>
      </c>
    </row>
    <row r="1211">
      <c r="D1211" s="136" t="str">
        <f t="shared" si="3"/>
        <v/>
      </c>
      <c r="E1211" s="152"/>
      <c r="F1211" s="106" t="s">
        <v>133</v>
      </c>
      <c r="G1211" s="152"/>
      <c r="H1211" s="106" t="s">
        <v>133</v>
      </c>
      <c r="J1211" s="139" t="s">
        <v>133</v>
      </c>
      <c r="K1211" s="136" t="s">
        <v>133</v>
      </c>
      <c r="L1211" s="153"/>
      <c r="M1211" s="136" t="str">
        <f t="shared" si="1"/>
        <v/>
      </c>
      <c r="O1211" s="141" t="s">
        <v>133</v>
      </c>
      <c r="P1211" s="136" t="str">
        <f>IFERROR(__xludf.DUMMYFUNCTION("""COMPUTED_VALUE"""),"")</f>
        <v/>
      </c>
      <c r="Q1211" s="136" t="str">
        <f>IFERROR(__xludf.DUMMYFUNCTION("""COMPUTED_VALUE"""),"")</f>
        <v/>
      </c>
      <c r="R1211" s="106" t="str">
        <f>IFERROR(__xludf.DUMMYFUNCTION("""COMPUTED_VALUE"""),"")</f>
        <v/>
      </c>
      <c r="S1211" s="106" t="str">
        <f>IFERROR(__xludf.DUMMYFUNCTION("""COMPUTED_VALUE"""),"")</f>
        <v/>
      </c>
      <c r="T1211" s="139" t="str">
        <f>IFERROR(__xludf.DUMMYFUNCTION("""COMPUTED_VALUE"""),"")</f>
        <v/>
      </c>
      <c r="U1211" s="139" t="str">
        <f>IFERROR(__xludf.DUMMYFUNCTION("""COMPUTED_VALUE"""),"")</f>
        <v/>
      </c>
      <c r="V1211" s="136" t="str">
        <f>IFERROR(__xludf.DUMMYFUNCTION("""COMPUTED_VALUE"""),"")</f>
        <v/>
      </c>
      <c r="W1211" s="106" t="str">
        <f>IFERROR(__xludf.DUMMYFUNCTION("""COMPUTED_VALUE"""),"")</f>
        <v/>
      </c>
      <c r="X1211" s="143" t="str">
        <f t="shared" si="2"/>
        <v/>
      </c>
      <c r="Y1211" s="139" t="str">
        <f>IFERROR(__xludf.DUMMYFUNCTION("""COMPUTED_VALUE"""),"")</f>
        <v/>
      </c>
      <c r="Z1211" s="141" t="str">
        <f>IFERROR(__xludf.DUMMYFUNCTION("""COMPUTED_VALUE"""),"")</f>
        <v/>
      </c>
    </row>
    <row r="1212">
      <c r="D1212" s="136" t="str">
        <f t="shared" si="3"/>
        <v/>
      </c>
      <c r="E1212" s="152"/>
      <c r="F1212" s="106" t="s">
        <v>133</v>
      </c>
      <c r="G1212" s="152"/>
      <c r="H1212" s="106" t="s">
        <v>133</v>
      </c>
      <c r="J1212" s="139" t="s">
        <v>133</v>
      </c>
      <c r="K1212" s="136" t="s">
        <v>133</v>
      </c>
      <c r="L1212" s="153"/>
      <c r="M1212" s="136" t="str">
        <f t="shared" si="1"/>
        <v/>
      </c>
      <c r="O1212" s="141" t="s">
        <v>133</v>
      </c>
      <c r="P1212" s="136" t="str">
        <f>IFERROR(__xludf.DUMMYFUNCTION("""COMPUTED_VALUE"""),"")</f>
        <v/>
      </c>
      <c r="Q1212" s="136" t="str">
        <f>IFERROR(__xludf.DUMMYFUNCTION("""COMPUTED_VALUE"""),"")</f>
        <v/>
      </c>
      <c r="R1212" s="106" t="str">
        <f>IFERROR(__xludf.DUMMYFUNCTION("""COMPUTED_VALUE"""),"")</f>
        <v/>
      </c>
      <c r="S1212" s="106" t="str">
        <f>IFERROR(__xludf.DUMMYFUNCTION("""COMPUTED_VALUE"""),"")</f>
        <v/>
      </c>
      <c r="T1212" s="139" t="str">
        <f>IFERROR(__xludf.DUMMYFUNCTION("""COMPUTED_VALUE"""),"")</f>
        <v/>
      </c>
      <c r="U1212" s="139" t="str">
        <f>IFERROR(__xludf.DUMMYFUNCTION("""COMPUTED_VALUE"""),"")</f>
        <v/>
      </c>
      <c r="V1212" s="136" t="str">
        <f>IFERROR(__xludf.DUMMYFUNCTION("""COMPUTED_VALUE"""),"")</f>
        <v/>
      </c>
      <c r="W1212" s="106" t="str">
        <f>IFERROR(__xludf.DUMMYFUNCTION("""COMPUTED_VALUE"""),"")</f>
        <v/>
      </c>
      <c r="X1212" s="143" t="str">
        <f t="shared" si="2"/>
        <v/>
      </c>
      <c r="Y1212" s="139" t="str">
        <f>IFERROR(__xludf.DUMMYFUNCTION("""COMPUTED_VALUE"""),"")</f>
        <v/>
      </c>
      <c r="Z1212" s="141" t="str">
        <f>IFERROR(__xludf.DUMMYFUNCTION("""COMPUTED_VALUE"""),"")</f>
        <v/>
      </c>
    </row>
    <row r="1213">
      <c r="D1213" s="136" t="str">
        <f t="shared" si="3"/>
        <v/>
      </c>
      <c r="E1213" s="152"/>
      <c r="F1213" s="106" t="s">
        <v>133</v>
      </c>
      <c r="G1213" s="152"/>
      <c r="H1213" s="106" t="s">
        <v>133</v>
      </c>
      <c r="J1213" s="139" t="s">
        <v>133</v>
      </c>
      <c r="K1213" s="136" t="s">
        <v>133</v>
      </c>
      <c r="L1213" s="153"/>
      <c r="M1213" s="136" t="str">
        <f t="shared" si="1"/>
        <v/>
      </c>
      <c r="O1213" s="141" t="s">
        <v>133</v>
      </c>
      <c r="P1213" s="136" t="str">
        <f>IFERROR(__xludf.DUMMYFUNCTION("""COMPUTED_VALUE"""),"")</f>
        <v/>
      </c>
      <c r="Q1213" s="136" t="str">
        <f>IFERROR(__xludf.DUMMYFUNCTION("""COMPUTED_VALUE"""),"")</f>
        <v/>
      </c>
      <c r="R1213" s="106" t="str">
        <f>IFERROR(__xludf.DUMMYFUNCTION("""COMPUTED_VALUE"""),"")</f>
        <v/>
      </c>
      <c r="S1213" s="106" t="str">
        <f>IFERROR(__xludf.DUMMYFUNCTION("""COMPUTED_VALUE"""),"")</f>
        <v/>
      </c>
      <c r="T1213" s="139" t="str">
        <f>IFERROR(__xludf.DUMMYFUNCTION("""COMPUTED_VALUE"""),"")</f>
        <v/>
      </c>
      <c r="U1213" s="139" t="str">
        <f>IFERROR(__xludf.DUMMYFUNCTION("""COMPUTED_VALUE"""),"")</f>
        <v/>
      </c>
      <c r="V1213" s="136" t="str">
        <f>IFERROR(__xludf.DUMMYFUNCTION("""COMPUTED_VALUE"""),"")</f>
        <v/>
      </c>
      <c r="W1213" s="106" t="str">
        <f>IFERROR(__xludf.DUMMYFUNCTION("""COMPUTED_VALUE"""),"")</f>
        <v/>
      </c>
      <c r="X1213" s="143" t="str">
        <f t="shared" si="2"/>
        <v/>
      </c>
      <c r="Y1213" s="139" t="str">
        <f>IFERROR(__xludf.DUMMYFUNCTION("""COMPUTED_VALUE"""),"")</f>
        <v/>
      </c>
      <c r="Z1213" s="141" t="str">
        <f>IFERROR(__xludf.DUMMYFUNCTION("""COMPUTED_VALUE"""),"")</f>
        <v/>
      </c>
    </row>
    <row r="1214">
      <c r="D1214" s="136" t="str">
        <f t="shared" si="3"/>
        <v/>
      </c>
      <c r="E1214" s="152"/>
      <c r="F1214" s="106" t="s">
        <v>133</v>
      </c>
      <c r="G1214" s="152"/>
      <c r="H1214" s="106" t="s">
        <v>133</v>
      </c>
      <c r="J1214" s="139" t="s">
        <v>133</v>
      </c>
      <c r="K1214" s="136" t="s">
        <v>133</v>
      </c>
      <c r="L1214" s="153"/>
      <c r="M1214" s="136" t="str">
        <f t="shared" si="1"/>
        <v/>
      </c>
      <c r="O1214" s="141" t="s">
        <v>133</v>
      </c>
      <c r="P1214" s="136" t="str">
        <f>IFERROR(__xludf.DUMMYFUNCTION("""COMPUTED_VALUE"""),"")</f>
        <v/>
      </c>
      <c r="Q1214" s="136" t="str">
        <f>IFERROR(__xludf.DUMMYFUNCTION("""COMPUTED_VALUE"""),"")</f>
        <v/>
      </c>
      <c r="R1214" s="106" t="str">
        <f>IFERROR(__xludf.DUMMYFUNCTION("""COMPUTED_VALUE"""),"")</f>
        <v/>
      </c>
      <c r="S1214" s="106" t="str">
        <f>IFERROR(__xludf.DUMMYFUNCTION("""COMPUTED_VALUE"""),"")</f>
        <v/>
      </c>
      <c r="T1214" s="139" t="str">
        <f>IFERROR(__xludf.DUMMYFUNCTION("""COMPUTED_VALUE"""),"")</f>
        <v/>
      </c>
      <c r="U1214" s="139" t="str">
        <f>IFERROR(__xludf.DUMMYFUNCTION("""COMPUTED_VALUE"""),"")</f>
        <v/>
      </c>
      <c r="V1214" s="136" t="str">
        <f>IFERROR(__xludf.DUMMYFUNCTION("""COMPUTED_VALUE"""),"")</f>
        <v/>
      </c>
      <c r="W1214" s="106" t="str">
        <f>IFERROR(__xludf.DUMMYFUNCTION("""COMPUTED_VALUE"""),"")</f>
        <v/>
      </c>
      <c r="X1214" s="143" t="str">
        <f t="shared" si="2"/>
        <v/>
      </c>
      <c r="Y1214" s="139" t="str">
        <f>IFERROR(__xludf.DUMMYFUNCTION("""COMPUTED_VALUE"""),"")</f>
        <v/>
      </c>
      <c r="Z1214" s="141" t="str">
        <f>IFERROR(__xludf.DUMMYFUNCTION("""COMPUTED_VALUE"""),"")</f>
        <v/>
      </c>
    </row>
    <row r="1215">
      <c r="D1215" s="136" t="str">
        <f t="shared" si="3"/>
        <v/>
      </c>
      <c r="E1215" s="152"/>
      <c r="F1215" s="106" t="s">
        <v>133</v>
      </c>
      <c r="G1215" s="152"/>
      <c r="H1215" s="106" t="s">
        <v>133</v>
      </c>
      <c r="J1215" s="139" t="s">
        <v>133</v>
      </c>
      <c r="K1215" s="136" t="s">
        <v>133</v>
      </c>
      <c r="L1215" s="153"/>
      <c r="M1215" s="136" t="str">
        <f t="shared" si="1"/>
        <v/>
      </c>
      <c r="O1215" s="141" t="s">
        <v>133</v>
      </c>
      <c r="P1215" s="136" t="str">
        <f>IFERROR(__xludf.DUMMYFUNCTION("""COMPUTED_VALUE"""),"")</f>
        <v/>
      </c>
      <c r="Q1215" s="136" t="str">
        <f>IFERROR(__xludf.DUMMYFUNCTION("""COMPUTED_VALUE"""),"")</f>
        <v/>
      </c>
      <c r="R1215" s="106" t="str">
        <f>IFERROR(__xludf.DUMMYFUNCTION("""COMPUTED_VALUE"""),"")</f>
        <v/>
      </c>
      <c r="S1215" s="106" t="str">
        <f>IFERROR(__xludf.DUMMYFUNCTION("""COMPUTED_VALUE"""),"")</f>
        <v/>
      </c>
      <c r="T1215" s="139" t="str">
        <f>IFERROR(__xludf.DUMMYFUNCTION("""COMPUTED_VALUE"""),"")</f>
        <v/>
      </c>
      <c r="U1215" s="139" t="str">
        <f>IFERROR(__xludf.DUMMYFUNCTION("""COMPUTED_VALUE"""),"")</f>
        <v/>
      </c>
      <c r="V1215" s="136" t="str">
        <f>IFERROR(__xludf.DUMMYFUNCTION("""COMPUTED_VALUE"""),"")</f>
        <v/>
      </c>
      <c r="W1215" s="106" t="str">
        <f>IFERROR(__xludf.DUMMYFUNCTION("""COMPUTED_VALUE"""),"")</f>
        <v/>
      </c>
      <c r="X1215" s="143" t="str">
        <f t="shared" si="2"/>
        <v/>
      </c>
      <c r="Y1215" s="139" t="str">
        <f>IFERROR(__xludf.DUMMYFUNCTION("""COMPUTED_VALUE"""),"")</f>
        <v/>
      </c>
      <c r="Z1215" s="141" t="str">
        <f>IFERROR(__xludf.DUMMYFUNCTION("""COMPUTED_VALUE"""),"")</f>
        <v/>
      </c>
    </row>
    <row r="1216">
      <c r="D1216" s="136" t="str">
        <f t="shared" si="3"/>
        <v/>
      </c>
      <c r="E1216" s="152"/>
      <c r="F1216" s="106" t="s">
        <v>133</v>
      </c>
      <c r="G1216" s="152"/>
      <c r="H1216" s="106" t="s">
        <v>133</v>
      </c>
      <c r="J1216" s="139" t="s">
        <v>133</v>
      </c>
      <c r="K1216" s="136" t="s">
        <v>133</v>
      </c>
      <c r="L1216" s="153"/>
      <c r="M1216" s="136" t="str">
        <f t="shared" si="1"/>
        <v/>
      </c>
      <c r="O1216" s="141" t="s">
        <v>133</v>
      </c>
      <c r="P1216" s="136" t="str">
        <f>IFERROR(__xludf.DUMMYFUNCTION("""COMPUTED_VALUE"""),"")</f>
        <v/>
      </c>
      <c r="Q1216" s="136" t="str">
        <f>IFERROR(__xludf.DUMMYFUNCTION("""COMPUTED_VALUE"""),"")</f>
        <v/>
      </c>
      <c r="R1216" s="106" t="str">
        <f>IFERROR(__xludf.DUMMYFUNCTION("""COMPUTED_VALUE"""),"")</f>
        <v/>
      </c>
      <c r="S1216" s="106" t="str">
        <f>IFERROR(__xludf.DUMMYFUNCTION("""COMPUTED_VALUE"""),"")</f>
        <v/>
      </c>
      <c r="T1216" s="139" t="str">
        <f>IFERROR(__xludf.DUMMYFUNCTION("""COMPUTED_VALUE"""),"")</f>
        <v/>
      </c>
      <c r="U1216" s="139" t="str">
        <f>IFERROR(__xludf.DUMMYFUNCTION("""COMPUTED_VALUE"""),"")</f>
        <v/>
      </c>
      <c r="V1216" s="136" t="str">
        <f>IFERROR(__xludf.DUMMYFUNCTION("""COMPUTED_VALUE"""),"")</f>
        <v/>
      </c>
      <c r="W1216" s="106" t="str">
        <f>IFERROR(__xludf.DUMMYFUNCTION("""COMPUTED_VALUE"""),"")</f>
        <v/>
      </c>
      <c r="X1216" s="143" t="str">
        <f t="shared" si="2"/>
        <v/>
      </c>
      <c r="Y1216" s="139" t="str">
        <f>IFERROR(__xludf.DUMMYFUNCTION("""COMPUTED_VALUE"""),"")</f>
        <v/>
      </c>
      <c r="Z1216" s="141" t="str">
        <f>IFERROR(__xludf.DUMMYFUNCTION("""COMPUTED_VALUE"""),"")</f>
        <v/>
      </c>
    </row>
    <row r="1217">
      <c r="D1217" s="136" t="str">
        <f t="shared" si="3"/>
        <v/>
      </c>
      <c r="E1217" s="152"/>
      <c r="F1217" s="106" t="s">
        <v>133</v>
      </c>
      <c r="G1217" s="152"/>
      <c r="H1217" s="106" t="s">
        <v>133</v>
      </c>
      <c r="J1217" s="139" t="s">
        <v>133</v>
      </c>
      <c r="K1217" s="136" t="s">
        <v>133</v>
      </c>
      <c r="L1217" s="153"/>
      <c r="M1217" s="136" t="str">
        <f t="shared" si="1"/>
        <v/>
      </c>
      <c r="O1217" s="141" t="s">
        <v>133</v>
      </c>
      <c r="P1217" s="136" t="str">
        <f>IFERROR(__xludf.DUMMYFUNCTION("""COMPUTED_VALUE"""),"")</f>
        <v/>
      </c>
      <c r="Q1217" s="136" t="str">
        <f>IFERROR(__xludf.DUMMYFUNCTION("""COMPUTED_VALUE"""),"")</f>
        <v/>
      </c>
      <c r="R1217" s="106" t="str">
        <f>IFERROR(__xludf.DUMMYFUNCTION("""COMPUTED_VALUE"""),"")</f>
        <v/>
      </c>
      <c r="S1217" s="106" t="str">
        <f>IFERROR(__xludf.DUMMYFUNCTION("""COMPUTED_VALUE"""),"")</f>
        <v/>
      </c>
      <c r="T1217" s="139" t="str">
        <f>IFERROR(__xludf.DUMMYFUNCTION("""COMPUTED_VALUE"""),"")</f>
        <v/>
      </c>
      <c r="U1217" s="139" t="str">
        <f>IFERROR(__xludf.DUMMYFUNCTION("""COMPUTED_VALUE"""),"")</f>
        <v/>
      </c>
      <c r="V1217" s="136" t="str">
        <f>IFERROR(__xludf.DUMMYFUNCTION("""COMPUTED_VALUE"""),"")</f>
        <v/>
      </c>
      <c r="W1217" s="106" t="str">
        <f>IFERROR(__xludf.DUMMYFUNCTION("""COMPUTED_VALUE"""),"")</f>
        <v/>
      </c>
      <c r="X1217" s="143" t="str">
        <f t="shared" si="2"/>
        <v/>
      </c>
      <c r="Y1217" s="139" t="str">
        <f>IFERROR(__xludf.DUMMYFUNCTION("""COMPUTED_VALUE"""),"")</f>
        <v/>
      </c>
      <c r="Z1217" s="141" t="str">
        <f>IFERROR(__xludf.DUMMYFUNCTION("""COMPUTED_VALUE"""),"")</f>
        <v/>
      </c>
    </row>
    <row r="1218">
      <c r="D1218" s="136" t="str">
        <f t="shared" si="3"/>
        <v/>
      </c>
      <c r="E1218" s="152"/>
      <c r="F1218" s="106" t="s">
        <v>133</v>
      </c>
      <c r="G1218" s="152"/>
      <c r="H1218" s="106" t="s">
        <v>133</v>
      </c>
      <c r="J1218" s="139" t="s">
        <v>133</v>
      </c>
      <c r="K1218" s="136" t="s">
        <v>133</v>
      </c>
      <c r="L1218" s="153"/>
      <c r="M1218" s="136" t="str">
        <f t="shared" si="1"/>
        <v/>
      </c>
      <c r="O1218" s="141" t="s">
        <v>133</v>
      </c>
      <c r="P1218" s="136" t="str">
        <f>IFERROR(__xludf.DUMMYFUNCTION("""COMPUTED_VALUE"""),"")</f>
        <v/>
      </c>
      <c r="Q1218" s="136" t="str">
        <f>IFERROR(__xludf.DUMMYFUNCTION("""COMPUTED_VALUE"""),"")</f>
        <v/>
      </c>
      <c r="R1218" s="106" t="str">
        <f>IFERROR(__xludf.DUMMYFUNCTION("""COMPUTED_VALUE"""),"")</f>
        <v/>
      </c>
      <c r="S1218" s="106" t="str">
        <f>IFERROR(__xludf.DUMMYFUNCTION("""COMPUTED_VALUE"""),"")</f>
        <v/>
      </c>
      <c r="T1218" s="139" t="str">
        <f>IFERROR(__xludf.DUMMYFUNCTION("""COMPUTED_VALUE"""),"")</f>
        <v/>
      </c>
      <c r="U1218" s="139" t="str">
        <f>IFERROR(__xludf.DUMMYFUNCTION("""COMPUTED_VALUE"""),"")</f>
        <v/>
      </c>
      <c r="V1218" s="136" t="str">
        <f>IFERROR(__xludf.DUMMYFUNCTION("""COMPUTED_VALUE"""),"")</f>
        <v/>
      </c>
      <c r="W1218" s="106" t="str">
        <f>IFERROR(__xludf.DUMMYFUNCTION("""COMPUTED_VALUE"""),"")</f>
        <v/>
      </c>
      <c r="X1218" s="143" t="str">
        <f t="shared" si="2"/>
        <v/>
      </c>
      <c r="Y1218" s="139" t="str">
        <f>IFERROR(__xludf.DUMMYFUNCTION("""COMPUTED_VALUE"""),"")</f>
        <v/>
      </c>
      <c r="Z1218" s="141" t="str">
        <f>IFERROR(__xludf.DUMMYFUNCTION("""COMPUTED_VALUE"""),"")</f>
        <v/>
      </c>
    </row>
    <row r="1219">
      <c r="D1219" s="136" t="str">
        <f t="shared" si="3"/>
        <v/>
      </c>
      <c r="E1219" s="152"/>
      <c r="F1219" s="106" t="s">
        <v>133</v>
      </c>
      <c r="G1219" s="152"/>
      <c r="H1219" s="106" t="s">
        <v>133</v>
      </c>
      <c r="J1219" s="139" t="s">
        <v>133</v>
      </c>
      <c r="K1219" s="136" t="s">
        <v>133</v>
      </c>
      <c r="L1219" s="153"/>
      <c r="M1219" s="136" t="str">
        <f t="shared" si="1"/>
        <v/>
      </c>
      <c r="O1219" s="141" t="s">
        <v>133</v>
      </c>
      <c r="P1219" s="136" t="str">
        <f>IFERROR(__xludf.DUMMYFUNCTION("""COMPUTED_VALUE"""),"")</f>
        <v/>
      </c>
      <c r="Q1219" s="136" t="str">
        <f>IFERROR(__xludf.DUMMYFUNCTION("""COMPUTED_VALUE"""),"")</f>
        <v/>
      </c>
      <c r="R1219" s="106" t="str">
        <f>IFERROR(__xludf.DUMMYFUNCTION("""COMPUTED_VALUE"""),"")</f>
        <v/>
      </c>
      <c r="S1219" s="106" t="str">
        <f>IFERROR(__xludf.DUMMYFUNCTION("""COMPUTED_VALUE"""),"")</f>
        <v/>
      </c>
      <c r="T1219" s="139" t="str">
        <f>IFERROR(__xludf.DUMMYFUNCTION("""COMPUTED_VALUE"""),"")</f>
        <v/>
      </c>
      <c r="U1219" s="139" t="str">
        <f>IFERROR(__xludf.DUMMYFUNCTION("""COMPUTED_VALUE"""),"")</f>
        <v/>
      </c>
      <c r="V1219" s="136" t="str">
        <f>IFERROR(__xludf.DUMMYFUNCTION("""COMPUTED_VALUE"""),"")</f>
        <v/>
      </c>
      <c r="W1219" s="106" t="str">
        <f>IFERROR(__xludf.DUMMYFUNCTION("""COMPUTED_VALUE"""),"")</f>
        <v/>
      </c>
      <c r="X1219" s="143" t="str">
        <f t="shared" si="2"/>
        <v/>
      </c>
      <c r="Y1219" s="139" t="str">
        <f>IFERROR(__xludf.DUMMYFUNCTION("""COMPUTED_VALUE"""),"")</f>
        <v/>
      </c>
      <c r="Z1219" s="141" t="str">
        <f>IFERROR(__xludf.DUMMYFUNCTION("""COMPUTED_VALUE"""),"")</f>
        <v/>
      </c>
    </row>
    <row r="1220">
      <c r="D1220" s="136" t="str">
        <f t="shared" si="3"/>
        <v/>
      </c>
      <c r="E1220" s="152"/>
      <c r="F1220" s="106" t="s">
        <v>133</v>
      </c>
      <c r="G1220" s="152"/>
      <c r="H1220" s="106" t="s">
        <v>133</v>
      </c>
      <c r="J1220" s="139" t="s">
        <v>133</v>
      </c>
      <c r="K1220" s="136" t="s">
        <v>133</v>
      </c>
      <c r="L1220" s="153"/>
      <c r="M1220" s="136" t="str">
        <f t="shared" si="1"/>
        <v/>
      </c>
      <c r="O1220" s="141" t="s">
        <v>133</v>
      </c>
      <c r="P1220" s="136" t="str">
        <f>IFERROR(__xludf.DUMMYFUNCTION("""COMPUTED_VALUE"""),"")</f>
        <v/>
      </c>
      <c r="Q1220" s="136" t="str">
        <f>IFERROR(__xludf.DUMMYFUNCTION("""COMPUTED_VALUE"""),"")</f>
        <v/>
      </c>
      <c r="R1220" s="106" t="str">
        <f>IFERROR(__xludf.DUMMYFUNCTION("""COMPUTED_VALUE"""),"")</f>
        <v/>
      </c>
      <c r="S1220" s="106" t="str">
        <f>IFERROR(__xludf.DUMMYFUNCTION("""COMPUTED_VALUE"""),"")</f>
        <v/>
      </c>
      <c r="T1220" s="139" t="str">
        <f>IFERROR(__xludf.DUMMYFUNCTION("""COMPUTED_VALUE"""),"")</f>
        <v/>
      </c>
      <c r="U1220" s="139" t="str">
        <f>IFERROR(__xludf.DUMMYFUNCTION("""COMPUTED_VALUE"""),"")</f>
        <v/>
      </c>
      <c r="V1220" s="136" t="str">
        <f>IFERROR(__xludf.DUMMYFUNCTION("""COMPUTED_VALUE"""),"")</f>
        <v/>
      </c>
      <c r="W1220" s="106" t="str">
        <f>IFERROR(__xludf.DUMMYFUNCTION("""COMPUTED_VALUE"""),"")</f>
        <v/>
      </c>
      <c r="X1220" s="143" t="str">
        <f t="shared" si="2"/>
        <v/>
      </c>
      <c r="Y1220" s="139" t="str">
        <f>IFERROR(__xludf.DUMMYFUNCTION("""COMPUTED_VALUE"""),"")</f>
        <v/>
      </c>
      <c r="Z1220" s="141" t="str">
        <f>IFERROR(__xludf.DUMMYFUNCTION("""COMPUTED_VALUE"""),"")</f>
        <v/>
      </c>
    </row>
    <row r="1221">
      <c r="D1221" s="136" t="str">
        <f t="shared" si="3"/>
        <v/>
      </c>
      <c r="E1221" s="152"/>
      <c r="F1221" s="106" t="s">
        <v>133</v>
      </c>
      <c r="G1221" s="152"/>
      <c r="H1221" s="106" t="s">
        <v>133</v>
      </c>
      <c r="J1221" s="139" t="s">
        <v>133</v>
      </c>
      <c r="K1221" s="136" t="s">
        <v>133</v>
      </c>
      <c r="L1221" s="153"/>
      <c r="M1221" s="136" t="str">
        <f t="shared" si="1"/>
        <v/>
      </c>
      <c r="O1221" s="141" t="s">
        <v>133</v>
      </c>
      <c r="P1221" s="136" t="str">
        <f>IFERROR(__xludf.DUMMYFUNCTION("""COMPUTED_VALUE"""),"")</f>
        <v/>
      </c>
      <c r="Q1221" s="136" t="str">
        <f>IFERROR(__xludf.DUMMYFUNCTION("""COMPUTED_VALUE"""),"")</f>
        <v/>
      </c>
      <c r="R1221" s="106" t="str">
        <f>IFERROR(__xludf.DUMMYFUNCTION("""COMPUTED_VALUE"""),"")</f>
        <v/>
      </c>
      <c r="S1221" s="106" t="str">
        <f>IFERROR(__xludf.DUMMYFUNCTION("""COMPUTED_VALUE"""),"")</f>
        <v/>
      </c>
      <c r="T1221" s="139" t="str">
        <f>IFERROR(__xludf.DUMMYFUNCTION("""COMPUTED_VALUE"""),"")</f>
        <v/>
      </c>
      <c r="U1221" s="139" t="str">
        <f>IFERROR(__xludf.DUMMYFUNCTION("""COMPUTED_VALUE"""),"")</f>
        <v/>
      </c>
      <c r="V1221" s="136" t="str">
        <f>IFERROR(__xludf.DUMMYFUNCTION("""COMPUTED_VALUE"""),"")</f>
        <v/>
      </c>
      <c r="W1221" s="106" t="str">
        <f>IFERROR(__xludf.DUMMYFUNCTION("""COMPUTED_VALUE"""),"")</f>
        <v/>
      </c>
      <c r="X1221" s="143" t="str">
        <f t="shared" si="2"/>
        <v/>
      </c>
      <c r="Y1221" s="139" t="str">
        <f>IFERROR(__xludf.DUMMYFUNCTION("""COMPUTED_VALUE"""),"")</f>
        <v/>
      </c>
      <c r="Z1221" s="141" t="str">
        <f>IFERROR(__xludf.DUMMYFUNCTION("""COMPUTED_VALUE"""),"")</f>
        <v/>
      </c>
    </row>
    <row r="1222">
      <c r="D1222" s="136" t="str">
        <f t="shared" si="3"/>
        <v/>
      </c>
      <c r="E1222" s="152"/>
      <c r="F1222" s="106" t="s">
        <v>133</v>
      </c>
      <c r="G1222" s="152"/>
      <c r="H1222" s="106" t="s">
        <v>133</v>
      </c>
      <c r="J1222" s="139" t="s">
        <v>133</v>
      </c>
      <c r="K1222" s="136" t="s">
        <v>133</v>
      </c>
      <c r="L1222" s="153"/>
      <c r="M1222" s="136" t="str">
        <f t="shared" si="1"/>
        <v/>
      </c>
      <c r="O1222" s="141" t="s">
        <v>133</v>
      </c>
      <c r="P1222" s="136" t="str">
        <f>IFERROR(__xludf.DUMMYFUNCTION("""COMPUTED_VALUE"""),"")</f>
        <v/>
      </c>
      <c r="Q1222" s="136" t="str">
        <f>IFERROR(__xludf.DUMMYFUNCTION("""COMPUTED_VALUE"""),"")</f>
        <v/>
      </c>
      <c r="R1222" s="106" t="str">
        <f>IFERROR(__xludf.DUMMYFUNCTION("""COMPUTED_VALUE"""),"")</f>
        <v/>
      </c>
      <c r="S1222" s="106" t="str">
        <f>IFERROR(__xludf.DUMMYFUNCTION("""COMPUTED_VALUE"""),"")</f>
        <v/>
      </c>
      <c r="T1222" s="139" t="str">
        <f>IFERROR(__xludf.DUMMYFUNCTION("""COMPUTED_VALUE"""),"")</f>
        <v/>
      </c>
      <c r="U1222" s="139" t="str">
        <f>IFERROR(__xludf.DUMMYFUNCTION("""COMPUTED_VALUE"""),"")</f>
        <v/>
      </c>
      <c r="V1222" s="136" t="str">
        <f>IFERROR(__xludf.DUMMYFUNCTION("""COMPUTED_VALUE"""),"")</f>
        <v/>
      </c>
      <c r="W1222" s="106" t="str">
        <f>IFERROR(__xludf.DUMMYFUNCTION("""COMPUTED_VALUE"""),"")</f>
        <v/>
      </c>
      <c r="X1222" s="143" t="str">
        <f t="shared" si="2"/>
        <v/>
      </c>
      <c r="Y1222" s="139" t="str">
        <f>IFERROR(__xludf.DUMMYFUNCTION("""COMPUTED_VALUE"""),"")</f>
        <v/>
      </c>
      <c r="Z1222" s="141" t="str">
        <f>IFERROR(__xludf.DUMMYFUNCTION("""COMPUTED_VALUE"""),"")</f>
        <v/>
      </c>
    </row>
    <row r="1223">
      <c r="D1223" s="136" t="str">
        <f t="shared" si="3"/>
        <v/>
      </c>
      <c r="E1223" s="152"/>
      <c r="F1223" s="106" t="s">
        <v>133</v>
      </c>
      <c r="G1223" s="152"/>
      <c r="H1223" s="106" t="s">
        <v>133</v>
      </c>
      <c r="J1223" s="139" t="s">
        <v>133</v>
      </c>
      <c r="K1223" s="136" t="s">
        <v>133</v>
      </c>
      <c r="L1223" s="153"/>
      <c r="M1223" s="136" t="str">
        <f t="shared" si="1"/>
        <v/>
      </c>
      <c r="O1223" s="141" t="s">
        <v>133</v>
      </c>
      <c r="P1223" s="136" t="str">
        <f>IFERROR(__xludf.DUMMYFUNCTION("""COMPUTED_VALUE"""),"")</f>
        <v/>
      </c>
      <c r="Q1223" s="136" t="str">
        <f>IFERROR(__xludf.DUMMYFUNCTION("""COMPUTED_VALUE"""),"")</f>
        <v/>
      </c>
      <c r="R1223" s="106" t="str">
        <f>IFERROR(__xludf.DUMMYFUNCTION("""COMPUTED_VALUE"""),"")</f>
        <v/>
      </c>
      <c r="S1223" s="106" t="str">
        <f>IFERROR(__xludf.DUMMYFUNCTION("""COMPUTED_VALUE"""),"")</f>
        <v/>
      </c>
      <c r="T1223" s="139" t="str">
        <f>IFERROR(__xludf.DUMMYFUNCTION("""COMPUTED_VALUE"""),"")</f>
        <v/>
      </c>
      <c r="U1223" s="139" t="str">
        <f>IFERROR(__xludf.DUMMYFUNCTION("""COMPUTED_VALUE"""),"")</f>
        <v/>
      </c>
      <c r="V1223" s="136" t="str">
        <f>IFERROR(__xludf.DUMMYFUNCTION("""COMPUTED_VALUE"""),"")</f>
        <v/>
      </c>
      <c r="W1223" s="106" t="str">
        <f>IFERROR(__xludf.DUMMYFUNCTION("""COMPUTED_VALUE"""),"")</f>
        <v/>
      </c>
      <c r="X1223" s="143" t="str">
        <f t="shared" si="2"/>
        <v/>
      </c>
      <c r="Y1223" s="139" t="str">
        <f>IFERROR(__xludf.DUMMYFUNCTION("""COMPUTED_VALUE"""),"")</f>
        <v/>
      </c>
      <c r="Z1223" s="141" t="str">
        <f>IFERROR(__xludf.DUMMYFUNCTION("""COMPUTED_VALUE"""),"")</f>
        <v/>
      </c>
    </row>
    <row r="1224">
      <c r="D1224" s="136" t="str">
        <f t="shared" si="3"/>
        <v/>
      </c>
      <c r="E1224" s="152"/>
      <c r="F1224" s="106" t="s">
        <v>133</v>
      </c>
      <c r="G1224" s="152"/>
      <c r="H1224" s="106" t="s">
        <v>133</v>
      </c>
      <c r="J1224" s="139" t="s">
        <v>133</v>
      </c>
      <c r="K1224" s="136" t="s">
        <v>133</v>
      </c>
      <c r="L1224" s="153"/>
      <c r="M1224" s="136" t="str">
        <f t="shared" si="1"/>
        <v/>
      </c>
      <c r="O1224" s="141" t="s">
        <v>133</v>
      </c>
      <c r="P1224" s="136" t="str">
        <f>IFERROR(__xludf.DUMMYFUNCTION("""COMPUTED_VALUE"""),"")</f>
        <v/>
      </c>
      <c r="Q1224" s="136" t="str">
        <f>IFERROR(__xludf.DUMMYFUNCTION("""COMPUTED_VALUE"""),"")</f>
        <v/>
      </c>
      <c r="R1224" s="106" t="str">
        <f>IFERROR(__xludf.DUMMYFUNCTION("""COMPUTED_VALUE"""),"")</f>
        <v/>
      </c>
      <c r="S1224" s="106" t="str">
        <f>IFERROR(__xludf.DUMMYFUNCTION("""COMPUTED_VALUE"""),"")</f>
        <v/>
      </c>
      <c r="T1224" s="139" t="str">
        <f>IFERROR(__xludf.DUMMYFUNCTION("""COMPUTED_VALUE"""),"")</f>
        <v/>
      </c>
      <c r="U1224" s="139" t="str">
        <f>IFERROR(__xludf.DUMMYFUNCTION("""COMPUTED_VALUE"""),"")</f>
        <v/>
      </c>
      <c r="V1224" s="136" t="str">
        <f>IFERROR(__xludf.DUMMYFUNCTION("""COMPUTED_VALUE"""),"")</f>
        <v/>
      </c>
      <c r="W1224" s="106" t="str">
        <f>IFERROR(__xludf.DUMMYFUNCTION("""COMPUTED_VALUE"""),"")</f>
        <v/>
      </c>
      <c r="X1224" s="143" t="str">
        <f t="shared" si="2"/>
        <v/>
      </c>
      <c r="Y1224" s="139" t="str">
        <f>IFERROR(__xludf.DUMMYFUNCTION("""COMPUTED_VALUE"""),"")</f>
        <v/>
      </c>
      <c r="Z1224" s="141" t="str">
        <f>IFERROR(__xludf.DUMMYFUNCTION("""COMPUTED_VALUE"""),"")</f>
        <v/>
      </c>
    </row>
    <row r="1225">
      <c r="D1225" s="136" t="str">
        <f t="shared" si="3"/>
        <v/>
      </c>
      <c r="E1225" s="152"/>
      <c r="F1225" s="106" t="s">
        <v>133</v>
      </c>
      <c r="G1225" s="152"/>
      <c r="H1225" s="106" t="s">
        <v>133</v>
      </c>
      <c r="J1225" s="139" t="s">
        <v>133</v>
      </c>
      <c r="K1225" s="136" t="s">
        <v>133</v>
      </c>
      <c r="L1225" s="153"/>
      <c r="M1225" s="136" t="str">
        <f t="shared" si="1"/>
        <v/>
      </c>
      <c r="O1225" s="141" t="s">
        <v>133</v>
      </c>
      <c r="P1225" s="136" t="str">
        <f>IFERROR(__xludf.DUMMYFUNCTION("""COMPUTED_VALUE"""),"")</f>
        <v/>
      </c>
      <c r="Q1225" s="136" t="str">
        <f>IFERROR(__xludf.DUMMYFUNCTION("""COMPUTED_VALUE"""),"")</f>
        <v/>
      </c>
      <c r="R1225" s="106" t="str">
        <f>IFERROR(__xludf.DUMMYFUNCTION("""COMPUTED_VALUE"""),"")</f>
        <v/>
      </c>
      <c r="S1225" s="106" t="str">
        <f>IFERROR(__xludf.DUMMYFUNCTION("""COMPUTED_VALUE"""),"")</f>
        <v/>
      </c>
      <c r="T1225" s="139" t="str">
        <f>IFERROR(__xludf.DUMMYFUNCTION("""COMPUTED_VALUE"""),"")</f>
        <v/>
      </c>
      <c r="U1225" s="139" t="str">
        <f>IFERROR(__xludf.DUMMYFUNCTION("""COMPUTED_VALUE"""),"")</f>
        <v/>
      </c>
      <c r="V1225" s="136" t="str">
        <f>IFERROR(__xludf.DUMMYFUNCTION("""COMPUTED_VALUE"""),"")</f>
        <v/>
      </c>
      <c r="W1225" s="106" t="str">
        <f>IFERROR(__xludf.DUMMYFUNCTION("""COMPUTED_VALUE"""),"")</f>
        <v/>
      </c>
      <c r="X1225" s="143" t="str">
        <f t="shared" si="2"/>
        <v/>
      </c>
      <c r="Y1225" s="139" t="str">
        <f>IFERROR(__xludf.DUMMYFUNCTION("""COMPUTED_VALUE"""),"")</f>
        <v/>
      </c>
      <c r="Z1225" s="141" t="str">
        <f>IFERROR(__xludf.DUMMYFUNCTION("""COMPUTED_VALUE"""),"")</f>
        <v/>
      </c>
    </row>
    <row r="1226">
      <c r="D1226" s="136" t="str">
        <f t="shared" si="3"/>
        <v/>
      </c>
      <c r="E1226" s="152"/>
      <c r="F1226" s="106" t="s">
        <v>133</v>
      </c>
      <c r="G1226" s="152"/>
      <c r="H1226" s="106" t="s">
        <v>133</v>
      </c>
      <c r="J1226" s="139" t="s">
        <v>133</v>
      </c>
      <c r="K1226" s="136" t="s">
        <v>133</v>
      </c>
      <c r="L1226" s="153"/>
      <c r="M1226" s="136" t="str">
        <f t="shared" si="1"/>
        <v/>
      </c>
      <c r="O1226" s="141" t="s">
        <v>133</v>
      </c>
      <c r="P1226" s="136" t="str">
        <f>IFERROR(__xludf.DUMMYFUNCTION("""COMPUTED_VALUE"""),"")</f>
        <v/>
      </c>
      <c r="Q1226" s="136" t="str">
        <f>IFERROR(__xludf.DUMMYFUNCTION("""COMPUTED_VALUE"""),"")</f>
        <v/>
      </c>
      <c r="R1226" s="106" t="str">
        <f>IFERROR(__xludf.DUMMYFUNCTION("""COMPUTED_VALUE"""),"")</f>
        <v/>
      </c>
      <c r="S1226" s="106" t="str">
        <f>IFERROR(__xludf.DUMMYFUNCTION("""COMPUTED_VALUE"""),"")</f>
        <v/>
      </c>
      <c r="T1226" s="139" t="str">
        <f>IFERROR(__xludf.DUMMYFUNCTION("""COMPUTED_VALUE"""),"")</f>
        <v/>
      </c>
      <c r="U1226" s="139" t="str">
        <f>IFERROR(__xludf.DUMMYFUNCTION("""COMPUTED_VALUE"""),"")</f>
        <v/>
      </c>
      <c r="V1226" s="136" t="str">
        <f>IFERROR(__xludf.DUMMYFUNCTION("""COMPUTED_VALUE"""),"")</f>
        <v/>
      </c>
      <c r="W1226" s="106" t="str">
        <f>IFERROR(__xludf.DUMMYFUNCTION("""COMPUTED_VALUE"""),"")</f>
        <v/>
      </c>
      <c r="X1226" s="143" t="str">
        <f t="shared" si="2"/>
        <v/>
      </c>
      <c r="Y1226" s="139" t="str">
        <f>IFERROR(__xludf.DUMMYFUNCTION("""COMPUTED_VALUE"""),"")</f>
        <v/>
      </c>
      <c r="Z1226" s="141" t="str">
        <f>IFERROR(__xludf.DUMMYFUNCTION("""COMPUTED_VALUE"""),"")</f>
        <v/>
      </c>
    </row>
    <row r="1227">
      <c r="D1227" s="136" t="str">
        <f t="shared" si="3"/>
        <v/>
      </c>
      <c r="E1227" s="152"/>
      <c r="F1227" s="106" t="s">
        <v>133</v>
      </c>
      <c r="G1227" s="152"/>
      <c r="H1227" s="106" t="s">
        <v>133</v>
      </c>
      <c r="J1227" s="139" t="s">
        <v>133</v>
      </c>
      <c r="K1227" s="136" t="s">
        <v>133</v>
      </c>
      <c r="L1227" s="153"/>
      <c r="M1227" s="136" t="str">
        <f t="shared" si="1"/>
        <v/>
      </c>
      <c r="O1227" s="141" t="s">
        <v>133</v>
      </c>
      <c r="P1227" s="136" t="str">
        <f>IFERROR(__xludf.DUMMYFUNCTION("""COMPUTED_VALUE"""),"")</f>
        <v/>
      </c>
      <c r="Q1227" s="136" t="str">
        <f>IFERROR(__xludf.DUMMYFUNCTION("""COMPUTED_VALUE"""),"")</f>
        <v/>
      </c>
      <c r="R1227" s="106" t="str">
        <f>IFERROR(__xludf.DUMMYFUNCTION("""COMPUTED_VALUE"""),"")</f>
        <v/>
      </c>
      <c r="S1227" s="106" t="str">
        <f>IFERROR(__xludf.DUMMYFUNCTION("""COMPUTED_VALUE"""),"")</f>
        <v/>
      </c>
      <c r="T1227" s="139" t="str">
        <f>IFERROR(__xludf.DUMMYFUNCTION("""COMPUTED_VALUE"""),"")</f>
        <v/>
      </c>
      <c r="U1227" s="139" t="str">
        <f>IFERROR(__xludf.DUMMYFUNCTION("""COMPUTED_VALUE"""),"")</f>
        <v/>
      </c>
      <c r="V1227" s="136" t="str">
        <f>IFERROR(__xludf.DUMMYFUNCTION("""COMPUTED_VALUE"""),"")</f>
        <v/>
      </c>
      <c r="W1227" s="106" t="str">
        <f>IFERROR(__xludf.DUMMYFUNCTION("""COMPUTED_VALUE"""),"")</f>
        <v/>
      </c>
      <c r="X1227" s="143" t="str">
        <f t="shared" si="2"/>
        <v/>
      </c>
      <c r="Y1227" s="139" t="str">
        <f>IFERROR(__xludf.DUMMYFUNCTION("""COMPUTED_VALUE"""),"")</f>
        <v/>
      </c>
      <c r="Z1227" s="141" t="str">
        <f>IFERROR(__xludf.DUMMYFUNCTION("""COMPUTED_VALUE"""),"")</f>
        <v/>
      </c>
    </row>
    <row r="1228">
      <c r="D1228" s="136" t="str">
        <f t="shared" si="3"/>
        <v/>
      </c>
      <c r="E1228" s="152"/>
      <c r="F1228" s="106" t="s">
        <v>133</v>
      </c>
      <c r="G1228" s="152"/>
      <c r="H1228" s="106" t="s">
        <v>133</v>
      </c>
      <c r="J1228" s="139" t="s">
        <v>133</v>
      </c>
      <c r="K1228" s="136" t="s">
        <v>133</v>
      </c>
      <c r="L1228" s="153"/>
      <c r="M1228" s="136" t="str">
        <f t="shared" si="1"/>
        <v/>
      </c>
      <c r="O1228" s="141" t="s">
        <v>133</v>
      </c>
      <c r="P1228" s="136" t="str">
        <f>IFERROR(__xludf.DUMMYFUNCTION("""COMPUTED_VALUE"""),"")</f>
        <v/>
      </c>
      <c r="Q1228" s="136" t="str">
        <f>IFERROR(__xludf.DUMMYFUNCTION("""COMPUTED_VALUE"""),"")</f>
        <v/>
      </c>
      <c r="R1228" s="106" t="str">
        <f>IFERROR(__xludf.DUMMYFUNCTION("""COMPUTED_VALUE"""),"")</f>
        <v/>
      </c>
      <c r="S1228" s="106" t="str">
        <f>IFERROR(__xludf.DUMMYFUNCTION("""COMPUTED_VALUE"""),"")</f>
        <v/>
      </c>
      <c r="T1228" s="139" t="str">
        <f>IFERROR(__xludf.DUMMYFUNCTION("""COMPUTED_VALUE"""),"")</f>
        <v/>
      </c>
      <c r="U1228" s="139" t="str">
        <f>IFERROR(__xludf.DUMMYFUNCTION("""COMPUTED_VALUE"""),"")</f>
        <v/>
      </c>
      <c r="V1228" s="136" t="str">
        <f>IFERROR(__xludf.DUMMYFUNCTION("""COMPUTED_VALUE"""),"")</f>
        <v/>
      </c>
      <c r="W1228" s="106" t="str">
        <f>IFERROR(__xludf.DUMMYFUNCTION("""COMPUTED_VALUE"""),"")</f>
        <v/>
      </c>
      <c r="X1228" s="143" t="str">
        <f t="shared" si="2"/>
        <v/>
      </c>
      <c r="Y1228" s="139" t="str">
        <f>IFERROR(__xludf.DUMMYFUNCTION("""COMPUTED_VALUE"""),"")</f>
        <v/>
      </c>
      <c r="Z1228" s="141" t="str">
        <f>IFERROR(__xludf.DUMMYFUNCTION("""COMPUTED_VALUE"""),"")</f>
        <v/>
      </c>
    </row>
    <row r="1229">
      <c r="D1229" s="136" t="str">
        <f t="shared" si="3"/>
        <v/>
      </c>
      <c r="E1229" s="152"/>
      <c r="F1229" s="106" t="s">
        <v>133</v>
      </c>
      <c r="G1229" s="152"/>
      <c r="H1229" s="106" t="s">
        <v>133</v>
      </c>
      <c r="J1229" s="139" t="s">
        <v>133</v>
      </c>
      <c r="K1229" s="136" t="s">
        <v>133</v>
      </c>
      <c r="L1229" s="153"/>
      <c r="M1229" s="136" t="str">
        <f t="shared" si="1"/>
        <v/>
      </c>
      <c r="O1229" s="141" t="s">
        <v>133</v>
      </c>
      <c r="P1229" s="136" t="str">
        <f>IFERROR(__xludf.DUMMYFUNCTION("""COMPUTED_VALUE"""),"")</f>
        <v/>
      </c>
      <c r="Q1229" s="136" t="str">
        <f>IFERROR(__xludf.DUMMYFUNCTION("""COMPUTED_VALUE"""),"")</f>
        <v/>
      </c>
      <c r="R1229" s="106" t="str">
        <f>IFERROR(__xludf.DUMMYFUNCTION("""COMPUTED_VALUE"""),"")</f>
        <v/>
      </c>
      <c r="S1229" s="106" t="str">
        <f>IFERROR(__xludf.DUMMYFUNCTION("""COMPUTED_VALUE"""),"")</f>
        <v/>
      </c>
      <c r="T1229" s="139" t="str">
        <f>IFERROR(__xludf.DUMMYFUNCTION("""COMPUTED_VALUE"""),"")</f>
        <v/>
      </c>
      <c r="U1229" s="139" t="str">
        <f>IFERROR(__xludf.DUMMYFUNCTION("""COMPUTED_VALUE"""),"")</f>
        <v/>
      </c>
      <c r="V1229" s="136" t="str">
        <f>IFERROR(__xludf.DUMMYFUNCTION("""COMPUTED_VALUE"""),"")</f>
        <v/>
      </c>
      <c r="W1229" s="106" t="str">
        <f>IFERROR(__xludf.DUMMYFUNCTION("""COMPUTED_VALUE"""),"")</f>
        <v/>
      </c>
      <c r="X1229" s="143" t="str">
        <f t="shared" si="2"/>
        <v/>
      </c>
      <c r="Y1229" s="139" t="str">
        <f>IFERROR(__xludf.DUMMYFUNCTION("""COMPUTED_VALUE"""),"")</f>
        <v/>
      </c>
      <c r="Z1229" s="141" t="str">
        <f>IFERROR(__xludf.DUMMYFUNCTION("""COMPUTED_VALUE"""),"")</f>
        <v/>
      </c>
    </row>
    <row r="1230">
      <c r="D1230" s="136" t="str">
        <f t="shared" si="3"/>
        <v/>
      </c>
      <c r="E1230" s="152"/>
      <c r="F1230" s="106" t="s">
        <v>133</v>
      </c>
      <c r="G1230" s="152"/>
      <c r="H1230" s="106" t="s">
        <v>133</v>
      </c>
      <c r="J1230" s="139" t="s">
        <v>133</v>
      </c>
      <c r="K1230" s="136" t="s">
        <v>133</v>
      </c>
      <c r="L1230" s="153"/>
      <c r="M1230" s="136" t="str">
        <f t="shared" si="1"/>
        <v/>
      </c>
      <c r="O1230" s="141" t="s">
        <v>133</v>
      </c>
      <c r="P1230" s="136" t="str">
        <f>IFERROR(__xludf.DUMMYFUNCTION("""COMPUTED_VALUE"""),"")</f>
        <v/>
      </c>
      <c r="Q1230" s="136" t="str">
        <f>IFERROR(__xludf.DUMMYFUNCTION("""COMPUTED_VALUE"""),"")</f>
        <v/>
      </c>
      <c r="R1230" s="106" t="str">
        <f>IFERROR(__xludf.DUMMYFUNCTION("""COMPUTED_VALUE"""),"")</f>
        <v/>
      </c>
      <c r="S1230" s="106" t="str">
        <f>IFERROR(__xludf.DUMMYFUNCTION("""COMPUTED_VALUE"""),"")</f>
        <v/>
      </c>
      <c r="T1230" s="139" t="str">
        <f>IFERROR(__xludf.DUMMYFUNCTION("""COMPUTED_VALUE"""),"")</f>
        <v/>
      </c>
      <c r="U1230" s="139" t="str">
        <f>IFERROR(__xludf.DUMMYFUNCTION("""COMPUTED_VALUE"""),"")</f>
        <v/>
      </c>
      <c r="V1230" s="136" t="str">
        <f>IFERROR(__xludf.DUMMYFUNCTION("""COMPUTED_VALUE"""),"")</f>
        <v/>
      </c>
      <c r="W1230" s="106" t="str">
        <f>IFERROR(__xludf.DUMMYFUNCTION("""COMPUTED_VALUE"""),"")</f>
        <v/>
      </c>
      <c r="X1230" s="143" t="str">
        <f t="shared" si="2"/>
        <v/>
      </c>
      <c r="Y1230" s="139" t="str">
        <f>IFERROR(__xludf.DUMMYFUNCTION("""COMPUTED_VALUE"""),"")</f>
        <v/>
      </c>
      <c r="Z1230" s="141" t="str">
        <f>IFERROR(__xludf.DUMMYFUNCTION("""COMPUTED_VALUE"""),"")</f>
        <v/>
      </c>
    </row>
    <row r="1231">
      <c r="D1231" s="136" t="str">
        <f t="shared" si="3"/>
        <v/>
      </c>
      <c r="E1231" s="152"/>
      <c r="F1231" s="106" t="s">
        <v>133</v>
      </c>
      <c r="G1231" s="152"/>
      <c r="H1231" s="106" t="s">
        <v>133</v>
      </c>
      <c r="J1231" s="139" t="s">
        <v>133</v>
      </c>
      <c r="K1231" s="136" t="s">
        <v>133</v>
      </c>
      <c r="L1231" s="153"/>
      <c r="M1231" s="136" t="str">
        <f t="shared" si="1"/>
        <v/>
      </c>
      <c r="O1231" s="141" t="s">
        <v>133</v>
      </c>
      <c r="P1231" s="136" t="str">
        <f>IFERROR(__xludf.DUMMYFUNCTION("""COMPUTED_VALUE"""),"")</f>
        <v/>
      </c>
      <c r="Q1231" s="136" t="str">
        <f>IFERROR(__xludf.DUMMYFUNCTION("""COMPUTED_VALUE"""),"")</f>
        <v/>
      </c>
      <c r="R1231" s="106" t="str">
        <f>IFERROR(__xludf.DUMMYFUNCTION("""COMPUTED_VALUE"""),"")</f>
        <v/>
      </c>
      <c r="S1231" s="106" t="str">
        <f>IFERROR(__xludf.DUMMYFUNCTION("""COMPUTED_VALUE"""),"")</f>
        <v/>
      </c>
      <c r="T1231" s="139" t="str">
        <f>IFERROR(__xludf.DUMMYFUNCTION("""COMPUTED_VALUE"""),"")</f>
        <v/>
      </c>
      <c r="U1231" s="139" t="str">
        <f>IFERROR(__xludf.DUMMYFUNCTION("""COMPUTED_VALUE"""),"")</f>
        <v/>
      </c>
      <c r="V1231" s="136" t="str">
        <f>IFERROR(__xludf.DUMMYFUNCTION("""COMPUTED_VALUE"""),"")</f>
        <v/>
      </c>
      <c r="W1231" s="106" t="str">
        <f>IFERROR(__xludf.DUMMYFUNCTION("""COMPUTED_VALUE"""),"")</f>
        <v/>
      </c>
      <c r="X1231" s="143" t="str">
        <f t="shared" si="2"/>
        <v/>
      </c>
      <c r="Y1231" s="139" t="str">
        <f>IFERROR(__xludf.DUMMYFUNCTION("""COMPUTED_VALUE"""),"")</f>
        <v/>
      </c>
      <c r="Z1231" s="141" t="str">
        <f>IFERROR(__xludf.DUMMYFUNCTION("""COMPUTED_VALUE"""),"")</f>
        <v/>
      </c>
    </row>
    <row r="1232">
      <c r="D1232" s="136" t="str">
        <f t="shared" si="3"/>
        <v/>
      </c>
      <c r="E1232" s="152"/>
      <c r="F1232" s="106" t="s">
        <v>133</v>
      </c>
      <c r="G1232" s="152"/>
      <c r="H1232" s="106" t="s">
        <v>133</v>
      </c>
      <c r="J1232" s="139" t="s">
        <v>133</v>
      </c>
      <c r="K1232" s="136" t="s">
        <v>133</v>
      </c>
      <c r="L1232" s="153"/>
      <c r="M1232" s="136" t="str">
        <f t="shared" si="1"/>
        <v/>
      </c>
      <c r="O1232" s="141" t="s">
        <v>133</v>
      </c>
      <c r="P1232" s="136" t="str">
        <f>IFERROR(__xludf.DUMMYFUNCTION("""COMPUTED_VALUE"""),"")</f>
        <v/>
      </c>
      <c r="Q1232" s="136" t="str">
        <f>IFERROR(__xludf.DUMMYFUNCTION("""COMPUTED_VALUE"""),"")</f>
        <v/>
      </c>
      <c r="R1232" s="106" t="str">
        <f>IFERROR(__xludf.DUMMYFUNCTION("""COMPUTED_VALUE"""),"")</f>
        <v/>
      </c>
      <c r="S1232" s="106" t="str">
        <f>IFERROR(__xludf.DUMMYFUNCTION("""COMPUTED_VALUE"""),"")</f>
        <v/>
      </c>
      <c r="T1232" s="139" t="str">
        <f>IFERROR(__xludf.DUMMYFUNCTION("""COMPUTED_VALUE"""),"")</f>
        <v/>
      </c>
      <c r="U1232" s="139" t="str">
        <f>IFERROR(__xludf.DUMMYFUNCTION("""COMPUTED_VALUE"""),"")</f>
        <v/>
      </c>
      <c r="V1232" s="136" t="str">
        <f>IFERROR(__xludf.DUMMYFUNCTION("""COMPUTED_VALUE"""),"")</f>
        <v/>
      </c>
      <c r="W1232" s="106" t="str">
        <f>IFERROR(__xludf.DUMMYFUNCTION("""COMPUTED_VALUE"""),"")</f>
        <v/>
      </c>
      <c r="X1232" s="143" t="str">
        <f t="shared" si="2"/>
        <v/>
      </c>
      <c r="Y1232" s="139" t="str">
        <f>IFERROR(__xludf.DUMMYFUNCTION("""COMPUTED_VALUE"""),"")</f>
        <v/>
      </c>
      <c r="Z1232" s="141" t="str">
        <f>IFERROR(__xludf.DUMMYFUNCTION("""COMPUTED_VALUE"""),"")</f>
        <v/>
      </c>
    </row>
    <row r="1233">
      <c r="D1233" s="136" t="str">
        <f t="shared" si="3"/>
        <v/>
      </c>
      <c r="E1233" s="152"/>
      <c r="F1233" s="106" t="s">
        <v>133</v>
      </c>
      <c r="G1233" s="152"/>
      <c r="H1233" s="106" t="s">
        <v>133</v>
      </c>
      <c r="J1233" s="139" t="s">
        <v>133</v>
      </c>
      <c r="K1233" s="136" t="s">
        <v>133</v>
      </c>
      <c r="L1233" s="153"/>
      <c r="M1233" s="136" t="str">
        <f t="shared" si="1"/>
        <v/>
      </c>
      <c r="O1233" s="141" t="s">
        <v>133</v>
      </c>
      <c r="P1233" s="136" t="str">
        <f>IFERROR(__xludf.DUMMYFUNCTION("""COMPUTED_VALUE"""),"")</f>
        <v/>
      </c>
      <c r="Q1233" s="136" t="str">
        <f>IFERROR(__xludf.DUMMYFUNCTION("""COMPUTED_VALUE"""),"")</f>
        <v/>
      </c>
      <c r="R1233" s="106" t="str">
        <f>IFERROR(__xludf.DUMMYFUNCTION("""COMPUTED_VALUE"""),"")</f>
        <v/>
      </c>
      <c r="S1233" s="106" t="str">
        <f>IFERROR(__xludf.DUMMYFUNCTION("""COMPUTED_VALUE"""),"")</f>
        <v/>
      </c>
      <c r="T1233" s="139" t="str">
        <f>IFERROR(__xludf.DUMMYFUNCTION("""COMPUTED_VALUE"""),"")</f>
        <v/>
      </c>
      <c r="U1233" s="139" t="str">
        <f>IFERROR(__xludf.DUMMYFUNCTION("""COMPUTED_VALUE"""),"")</f>
        <v/>
      </c>
      <c r="V1233" s="136" t="str">
        <f>IFERROR(__xludf.DUMMYFUNCTION("""COMPUTED_VALUE"""),"")</f>
        <v/>
      </c>
      <c r="W1233" s="106" t="str">
        <f>IFERROR(__xludf.DUMMYFUNCTION("""COMPUTED_VALUE"""),"")</f>
        <v/>
      </c>
      <c r="X1233" s="143" t="str">
        <f t="shared" si="2"/>
        <v/>
      </c>
      <c r="Y1233" s="139" t="str">
        <f>IFERROR(__xludf.DUMMYFUNCTION("""COMPUTED_VALUE"""),"")</f>
        <v/>
      </c>
      <c r="Z1233" s="141" t="str">
        <f>IFERROR(__xludf.DUMMYFUNCTION("""COMPUTED_VALUE"""),"")</f>
        <v/>
      </c>
    </row>
    <row r="1234">
      <c r="D1234" s="136" t="str">
        <f t="shared" si="3"/>
        <v/>
      </c>
      <c r="E1234" s="152"/>
      <c r="F1234" s="106" t="s">
        <v>133</v>
      </c>
      <c r="G1234" s="152"/>
      <c r="H1234" s="106" t="s">
        <v>133</v>
      </c>
      <c r="J1234" s="139" t="s">
        <v>133</v>
      </c>
      <c r="K1234" s="136" t="s">
        <v>133</v>
      </c>
      <c r="L1234" s="153"/>
      <c r="M1234" s="136" t="str">
        <f t="shared" si="1"/>
        <v/>
      </c>
      <c r="O1234" s="141" t="s">
        <v>133</v>
      </c>
      <c r="P1234" s="136" t="str">
        <f>IFERROR(__xludf.DUMMYFUNCTION("""COMPUTED_VALUE"""),"")</f>
        <v/>
      </c>
      <c r="Q1234" s="136" t="str">
        <f>IFERROR(__xludf.DUMMYFUNCTION("""COMPUTED_VALUE"""),"")</f>
        <v/>
      </c>
      <c r="R1234" s="106" t="str">
        <f>IFERROR(__xludf.DUMMYFUNCTION("""COMPUTED_VALUE"""),"")</f>
        <v/>
      </c>
      <c r="S1234" s="106" t="str">
        <f>IFERROR(__xludf.DUMMYFUNCTION("""COMPUTED_VALUE"""),"")</f>
        <v/>
      </c>
      <c r="T1234" s="139" t="str">
        <f>IFERROR(__xludf.DUMMYFUNCTION("""COMPUTED_VALUE"""),"")</f>
        <v/>
      </c>
      <c r="U1234" s="139" t="str">
        <f>IFERROR(__xludf.DUMMYFUNCTION("""COMPUTED_VALUE"""),"")</f>
        <v/>
      </c>
      <c r="V1234" s="136" t="str">
        <f>IFERROR(__xludf.DUMMYFUNCTION("""COMPUTED_VALUE"""),"")</f>
        <v/>
      </c>
      <c r="W1234" s="106" t="str">
        <f>IFERROR(__xludf.DUMMYFUNCTION("""COMPUTED_VALUE"""),"")</f>
        <v/>
      </c>
      <c r="X1234" s="143" t="str">
        <f t="shared" si="2"/>
        <v/>
      </c>
      <c r="Y1234" s="139" t="str">
        <f>IFERROR(__xludf.DUMMYFUNCTION("""COMPUTED_VALUE"""),"")</f>
        <v/>
      </c>
      <c r="Z1234" s="141" t="str">
        <f>IFERROR(__xludf.DUMMYFUNCTION("""COMPUTED_VALUE"""),"")</f>
        <v/>
      </c>
    </row>
    <row r="1235">
      <c r="D1235" s="136" t="str">
        <f t="shared" si="3"/>
        <v/>
      </c>
      <c r="E1235" s="152"/>
      <c r="F1235" s="106" t="s">
        <v>133</v>
      </c>
      <c r="G1235" s="152"/>
      <c r="H1235" s="106" t="s">
        <v>133</v>
      </c>
      <c r="J1235" s="139" t="s">
        <v>133</v>
      </c>
      <c r="K1235" s="136" t="s">
        <v>133</v>
      </c>
      <c r="L1235" s="153"/>
      <c r="M1235" s="136" t="str">
        <f t="shared" si="1"/>
        <v/>
      </c>
      <c r="O1235" s="141" t="s">
        <v>133</v>
      </c>
      <c r="P1235" s="136" t="str">
        <f>IFERROR(__xludf.DUMMYFUNCTION("""COMPUTED_VALUE"""),"")</f>
        <v/>
      </c>
      <c r="Q1235" s="136" t="str">
        <f>IFERROR(__xludf.DUMMYFUNCTION("""COMPUTED_VALUE"""),"")</f>
        <v/>
      </c>
      <c r="R1235" s="106" t="str">
        <f>IFERROR(__xludf.DUMMYFUNCTION("""COMPUTED_VALUE"""),"")</f>
        <v/>
      </c>
      <c r="S1235" s="106" t="str">
        <f>IFERROR(__xludf.DUMMYFUNCTION("""COMPUTED_VALUE"""),"")</f>
        <v/>
      </c>
      <c r="T1235" s="139" t="str">
        <f>IFERROR(__xludf.DUMMYFUNCTION("""COMPUTED_VALUE"""),"")</f>
        <v/>
      </c>
      <c r="U1235" s="139" t="str">
        <f>IFERROR(__xludf.DUMMYFUNCTION("""COMPUTED_VALUE"""),"")</f>
        <v/>
      </c>
      <c r="V1235" s="136" t="str">
        <f>IFERROR(__xludf.DUMMYFUNCTION("""COMPUTED_VALUE"""),"")</f>
        <v/>
      </c>
      <c r="W1235" s="106" t="str">
        <f>IFERROR(__xludf.DUMMYFUNCTION("""COMPUTED_VALUE"""),"")</f>
        <v/>
      </c>
      <c r="X1235" s="143" t="str">
        <f t="shared" si="2"/>
        <v/>
      </c>
      <c r="Y1235" s="139" t="str">
        <f>IFERROR(__xludf.DUMMYFUNCTION("""COMPUTED_VALUE"""),"")</f>
        <v/>
      </c>
      <c r="Z1235" s="141" t="str">
        <f>IFERROR(__xludf.DUMMYFUNCTION("""COMPUTED_VALUE"""),"")</f>
        <v/>
      </c>
    </row>
    <row r="1236">
      <c r="D1236" s="136" t="str">
        <f t="shared" si="3"/>
        <v/>
      </c>
      <c r="E1236" s="152"/>
      <c r="F1236" s="106" t="s">
        <v>133</v>
      </c>
      <c r="G1236" s="152"/>
      <c r="H1236" s="106" t="s">
        <v>133</v>
      </c>
      <c r="J1236" s="139" t="s">
        <v>133</v>
      </c>
      <c r="K1236" s="136" t="s">
        <v>133</v>
      </c>
      <c r="L1236" s="153"/>
      <c r="M1236" s="136" t="str">
        <f t="shared" si="1"/>
        <v/>
      </c>
      <c r="O1236" s="141" t="s">
        <v>133</v>
      </c>
      <c r="P1236" s="136" t="str">
        <f>IFERROR(__xludf.DUMMYFUNCTION("""COMPUTED_VALUE"""),"")</f>
        <v/>
      </c>
      <c r="Q1236" s="136" t="str">
        <f>IFERROR(__xludf.DUMMYFUNCTION("""COMPUTED_VALUE"""),"")</f>
        <v/>
      </c>
      <c r="R1236" s="106" t="str">
        <f>IFERROR(__xludf.DUMMYFUNCTION("""COMPUTED_VALUE"""),"")</f>
        <v/>
      </c>
      <c r="S1236" s="106" t="str">
        <f>IFERROR(__xludf.DUMMYFUNCTION("""COMPUTED_VALUE"""),"")</f>
        <v/>
      </c>
      <c r="T1236" s="139" t="str">
        <f>IFERROR(__xludf.DUMMYFUNCTION("""COMPUTED_VALUE"""),"")</f>
        <v/>
      </c>
      <c r="U1236" s="139" t="str">
        <f>IFERROR(__xludf.DUMMYFUNCTION("""COMPUTED_VALUE"""),"")</f>
        <v/>
      </c>
      <c r="V1236" s="136" t="str">
        <f>IFERROR(__xludf.DUMMYFUNCTION("""COMPUTED_VALUE"""),"")</f>
        <v/>
      </c>
      <c r="W1236" s="106" t="str">
        <f>IFERROR(__xludf.DUMMYFUNCTION("""COMPUTED_VALUE"""),"")</f>
        <v/>
      </c>
      <c r="X1236" s="143" t="str">
        <f t="shared" si="2"/>
        <v/>
      </c>
      <c r="Y1236" s="139" t="str">
        <f>IFERROR(__xludf.DUMMYFUNCTION("""COMPUTED_VALUE"""),"")</f>
        <v/>
      </c>
      <c r="Z1236" s="141" t="str">
        <f>IFERROR(__xludf.DUMMYFUNCTION("""COMPUTED_VALUE"""),"")</f>
        <v/>
      </c>
    </row>
    <row r="1237">
      <c r="D1237" s="136" t="str">
        <f t="shared" si="3"/>
        <v/>
      </c>
      <c r="E1237" s="152"/>
      <c r="F1237" s="106" t="s">
        <v>133</v>
      </c>
      <c r="G1237" s="152"/>
      <c r="H1237" s="106" t="s">
        <v>133</v>
      </c>
      <c r="J1237" s="139" t="s">
        <v>133</v>
      </c>
      <c r="K1237" s="136" t="s">
        <v>133</v>
      </c>
      <c r="L1237" s="153"/>
      <c r="M1237" s="136" t="str">
        <f t="shared" si="1"/>
        <v/>
      </c>
      <c r="O1237" s="141" t="s">
        <v>133</v>
      </c>
      <c r="P1237" s="136" t="str">
        <f>IFERROR(__xludf.DUMMYFUNCTION("""COMPUTED_VALUE"""),"")</f>
        <v/>
      </c>
      <c r="Q1237" s="136" t="str">
        <f>IFERROR(__xludf.DUMMYFUNCTION("""COMPUTED_VALUE"""),"")</f>
        <v/>
      </c>
      <c r="R1237" s="106" t="str">
        <f>IFERROR(__xludf.DUMMYFUNCTION("""COMPUTED_VALUE"""),"")</f>
        <v/>
      </c>
      <c r="S1237" s="106" t="str">
        <f>IFERROR(__xludf.DUMMYFUNCTION("""COMPUTED_VALUE"""),"")</f>
        <v/>
      </c>
      <c r="T1237" s="139" t="str">
        <f>IFERROR(__xludf.DUMMYFUNCTION("""COMPUTED_VALUE"""),"")</f>
        <v/>
      </c>
      <c r="U1237" s="139" t="str">
        <f>IFERROR(__xludf.DUMMYFUNCTION("""COMPUTED_VALUE"""),"")</f>
        <v/>
      </c>
      <c r="V1237" s="136" t="str">
        <f>IFERROR(__xludf.DUMMYFUNCTION("""COMPUTED_VALUE"""),"")</f>
        <v/>
      </c>
      <c r="W1237" s="106" t="str">
        <f>IFERROR(__xludf.DUMMYFUNCTION("""COMPUTED_VALUE"""),"")</f>
        <v/>
      </c>
      <c r="X1237" s="143" t="str">
        <f t="shared" si="2"/>
        <v/>
      </c>
      <c r="Y1237" s="139" t="str">
        <f>IFERROR(__xludf.DUMMYFUNCTION("""COMPUTED_VALUE"""),"")</f>
        <v/>
      </c>
      <c r="Z1237" s="141" t="str">
        <f>IFERROR(__xludf.DUMMYFUNCTION("""COMPUTED_VALUE"""),"")</f>
        <v/>
      </c>
    </row>
    <row r="1238">
      <c r="D1238" s="136" t="str">
        <f t="shared" si="3"/>
        <v/>
      </c>
      <c r="E1238" s="152"/>
      <c r="F1238" s="106" t="s">
        <v>133</v>
      </c>
      <c r="G1238" s="152"/>
      <c r="H1238" s="106" t="s">
        <v>133</v>
      </c>
      <c r="J1238" s="139" t="s">
        <v>133</v>
      </c>
      <c r="K1238" s="136" t="s">
        <v>133</v>
      </c>
      <c r="L1238" s="153"/>
      <c r="M1238" s="136" t="str">
        <f t="shared" si="1"/>
        <v/>
      </c>
      <c r="O1238" s="141" t="s">
        <v>133</v>
      </c>
      <c r="P1238" s="136" t="str">
        <f>IFERROR(__xludf.DUMMYFUNCTION("""COMPUTED_VALUE"""),"")</f>
        <v/>
      </c>
      <c r="Q1238" s="136" t="str">
        <f>IFERROR(__xludf.DUMMYFUNCTION("""COMPUTED_VALUE"""),"")</f>
        <v/>
      </c>
      <c r="R1238" s="106" t="str">
        <f>IFERROR(__xludf.DUMMYFUNCTION("""COMPUTED_VALUE"""),"")</f>
        <v/>
      </c>
      <c r="S1238" s="106" t="str">
        <f>IFERROR(__xludf.DUMMYFUNCTION("""COMPUTED_VALUE"""),"")</f>
        <v/>
      </c>
      <c r="T1238" s="139" t="str">
        <f>IFERROR(__xludf.DUMMYFUNCTION("""COMPUTED_VALUE"""),"")</f>
        <v/>
      </c>
      <c r="U1238" s="139" t="str">
        <f>IFERROR(__xludf.DUMMYFUNCTION("""COMPUTED_VALUE"""),"")</f>
        <v/>
      </c>
      <c r="V1238" s="136" t="str">
        <f>IFERROR(__xludf.DUMMYFUNCTION("""COMPUTED_VALUE"""),"")</f>
        <v/>
      </c>
      <c r="W1238" s="106" t="str">
        <f>IFERROR(__xludf.DUMMYFUNCTION("""COMPUTED_VALUE"""),"")</f>
        <v/>
      </c>
      <c r="X1238" s="143" t="str">
        <f t="shared" si="2"/>
        <v/>
      </c>
      <c r="Y1238" s="139" t="str">
        <f>IFERROR(__xludf.DUMMYFUNCTION("""COMPUTED_VALUE"""),"")</f>
        <v/>
      </c>
      <c r="Z1238" s="141" t="str">
        <f>IFERROR(__xludf.DUMMYFUNCTION("""COMPUTED_VALUE"""),"")</f>
        <v/>
      </c>
    </row>
    <row r="1239">
      <c r="D1239" s="136" t="str">
        <f t="shared" si="3"/>
        <v/>
      </c>
      <c r="E1239" s="152"/>
      <c r="F1239" s="106" t="s">
        <v>133</v>
      </c>
      <c r="G1239" s="152"/>
      <c r="H1239" s="106" t="s">
        <v>133</v>
      </c>
      <c r="J1239" s="139" t="s">
        <v>133</v>
      </c>
      <c r="K1239" s="136" t="s">
        <v>133</v>
      </c>
      <c r="L1239" s="153"/>
      <c r="M1239" s="136" t="str">
        <f t="shared" si="1"/>
        <v/>
      </c>
      <c r="O1239" s="141" t="s">
        <v>133</v>
      </c>
      <c r="P1239" s="136" t="str">
        <f>IFERROR(__xludf.DUMMYFUNCTION("""COMPUTED_VALUE"""),"")</f>
        <v/>
      </c>
      <c r="Q1239" s="136" t="str">
        <f>IFERROR(__xludf.DUMMYFUNCTION("""COMPUTED_VALUE"""),"")</f>
        <v/>
      </c>
      <c r="R1239" s="106" t="str">
        <f>IFERROR(__xludf.DUMMYFUNCTION("""COMPUTED_VALUE"""),"")</f>
        <v/>
      </c>
      <c r="S1239" s="106" t="str">
        <f>IFERROR(__xludf.DUMMYFUNCTION("""COMPUTED_VALUE"""),"")</f>
        <v/>
      </c>
      <c r="T1239" s="139" t="str">
        <f>IFERROR(__xludf.DUMMYFUNCTION("""COMPUTED_VALUE"""),"")</f>
        <v/>
      </c>
      <c r="U1239" s="139" t="str">
        <f>IFERROR(__xludf.DUMMYFUNCTION("""COMPUTED_VALUE"""),"")</f>
        <v/>
      </c>
      <c r="V1239" s="136" t="str">
        <f>IFERROR(__xludf.DUMMYFUNCTION("""COMPUTED_VALUE"""),"")</f>
        <v/>
      </c>
      <c r="W1239" s="106" t="str">
        <f>IFERROR(__xludf.DUMMYFUNCTION("""COMPUTED_VALUE"""),"")</f>
        <v/>
      </c>
      <c r="X1239" s="143" t="str">
        <f t="shared" si="2"/>
        <v/>
      </c>
      <c r="Y1239" s="139" t="str">
        <f>IFERROR(__xludf.DUMMYFUNCTION("""COMPUTED_VALUE"""),"")</f>
        <v/>
      </c>
      <c r="Z1239" s="141" t="str">
        <f>IFERROR(__xludf.DUMMYFUNCTION("""COMPUTED_VALUE"""),"")</f>
        <v/>
      </c>
    </row>
    <row r="1240">
      <c r="D1240" s="136" t="str">
        <f t="shared" si="3"/>
        <v/>
      </c>
      <c r="E1240" s="152"/>
      <c r="F1240" s="106" t="s">
        <v>133</v>
      </c>
      <c r="G1240" s="152"/>
      <c r="H1240" s="106" t="s">
        <v>133</v>
      </c>
      <c r="J1240" s="139" t="s">
        <v>133</v>
      </c>
      <c r="K1240" s="136" t="s">
        <v>133</v>
      </c>
      <c r="L1240" s="153"/>
      <c r="M1240" s="136" t="str">
        <f t="shared" si="1"/>
        <v/>
      </c>
      <c r="O1240" s="141" t="s">
        <v>133</v>
      </c>
      <c r="P1240" s="136" t="str">
        <f>IFERROR(__xludf.DUMMYFUNCTION("""COMPUTED_VALUE"""),"")</f>
        <v/>
      </c>
      <c r="Q1240" s="136" t="str">
        <f>IFERROR(__xludf.DUMMYFUNCTION("""COMPUTED_VALUE"""),"")</f>
        <v/>
      </c>
      <c r="R1240" s="106" t="str">
        <f>IFERROR(__xludf.DUMMYFUNCTION("""COMPUTED_VALUE"""),"")</f>
        <v/>
      </c>
      <c r="S1240" s="106" t="str">
        <f>IFERROR(__xludf.DUMMYFUNCTION("""COMPUTED_VALUE"""),"")</f>
        <v/>
      </c>
      <c r="T1240" s="139" t="str">
        <f>IFERROR(__xludf.DUMMYFUNCTION("""COMPUTED_VALUE"""),"")</f>
        <v/>
      </c>
      <c r="U1240" s="139" t="str">
        <f>IFERROR(__xludf.DUMMYFUNCTION("""COMPUTED_VALUE"""),"")</f>
        <v/>
      </c>
      <c r="V1240" s="136" t="str">
        <f>IFERROR(__xludf.DUMMYFUNCTION("""COMPUTED_VALUE"""),"")</f>
        <v/>
      </c>
      <c r="W1240" s="106" t="str">
        <f>IFERROR(__xludf.DUMMYFUNCTION("""COMPUTED_VALUE"""),"")</f>
        <v/>
      </c>
      <c r="X1240" s="143" t="str">
        <f t="shared" si="2"/>
        <v/>
      </c>
      <c r="Y1240" s="139" t="str">
        <f>IFERROR(__xludf.DUMMYFUNCTION("""COMPUTED_VALUE"""),"")</f>
        <v/>
      </c>
      <c r="Z1240" s="141" t="str">
        <f>IFERROR(__xludf.DUMMYFUNCTION("""COMPUTED_VALUE"""),"")</f>
        <v/>
      </c>
    </row>
    <row r="1241">
      <c r="D1241" s="136" t="str">
        <f t="shared" si="3"/>
        <v/>
      </c>
      <c r="E1241" s="152"/>
      <c r="F1241" s="106" t="s">
        <v>133</v>
      </c>
      <c r="G1241" s="152"/>
      <c r="H1241" s="106" t="s">
        <v>133</v>
      </c>
      <c r="J1241" s="139" t="s">
        <v>133</v>
      </c>
      <c r="K1241" s="136" t="s">
        <v>133</v>
      </c>
      <c r="L1241" s="153"/>
      <c r="M1241" s="136" t="str">
        <f t="shared" si="1"/>
        <v/>
      </c>
      <c r="O1241" s="141" t="s">
        <v>133</v>
      </c>
      <c r="P1241" s="136" t="str">
        <f>IFERROR(__xludf.DUMMYFUNCTION("""COMPUTED_VALUE"""),"")</f>
        <v/>
      </c>
      <c r="Q1241" s="136" t="str">
        <f>IFERROR(__xludf.DUMMYFUNCTION("""COMPUTED_VALUE"""),"")</f>
        <v/>
      </c>
      <c r="R1241" s="106" t="str">
        <f>IFERROR(__xludf.DUMMYFUNCTION("""COMPUTED_VALUE"""),"")</f>
        <v/>
      </c>
      <c r="S1241" s="106" t="str">
        <f>IFERROR(__xludf.DUMMYFUNCTION("""COMPUTED_VALUE"""),"")</f>
        <v/>
      </c>
      <c r="T1241" s="139" t="str">
        <f>IFERROR(__xludf.DUMMYFUNCTION("""COMPUTED_VALUE"""),"")</f>
        <v/>
      </c>
      <c r="U1241" s="139" t="str">
        <f>IFERROR(__xludf.DUMMYFUNCTION("""COMPUTED_VALUE"""),"")</f>
        <v/>
      </c>
      <c r="V1241" s="136" t="str">
        <f>IFERROR(__xludf.DUMMYFUNCTION("""COMPUTED_VALUE"""),"")</f>
        <v/>
      </c>
      <c r="W1241" s="106" t="str">
        <f>IFERROR(__xludf.DUMMYFUNCTION("""COMPUTED_VALUE"""),"")</f>
        <v/>
      </c>
      <c r="X1241" s="143" t="str">
        <f t="shared" si="2"/>
        <v/>
      </c>
      <c r="Y1241" s="139" t="str">
        <f>IFERROR(__xludf.DUMMYFUNCTION("""COMPUTED_VALUE"""),"")</f>
        <v/>
      </c>
      <c r="Z1241" s="141" t="str">
        <f>IFERROR(__xludf.DUMMYFUNCTION("""COMPUTED_VALUE"""),"")</f>
        <v/>
      </c>
    </row>
    <row r="1242">
      <c r="D1242" s="136" t="str">
        <f t="shared" si="3"/>
        <v/>
      </c>
      <c r="E1242" s="152"/>
      <c r="F1242" s="106" t="s">
        <v>133</v>
      </c>
      <c r="G1242" s="152"/>
      <c r="H1242" s="106" t="s">
        <v>133</v>
      </c>
      <c r="J1242" s="139" t="s">
        <v>133</v>
      </c>
      <c r="K1242" s="136" t="s">
        <v>133</v>
      </c>
      <c r="L1242" s="153"/>
      <c r="M1242" s="136" t="str">
        <f t="shared" si="1"/>
        <v/>
      </c>
      <c r="O1242" s="141" t="s">
        <v>133</v>
      </c>
      <c r="P1242" s="136" t="str">
        <f>IFERROR(__xludf.DUMMYFUNCTION("""COMPUTED_VALUE"""),"")</f>
        <v/>
      </c>
      <c r="Q1242" s="136" t="str">
        <f>IFERROR(__xludf.DUMMYFUNCTION("""COMPUTED_VALUE"""),"")</f>
        <v/>
      </c>
      <c r="R1242" s="106" t="str">
        <f>IFERROR(__xludf.DUMMYFUNCTION("""COMPUTED_VALUE"""),"")</f>
        <v/>
      </c>
      <c r="S1242" s="106" t="str">
        <f>IFERROR(__xludf.DUMMYFUNCTION("""COMPUTED_VALUE"""),"")</f>
        <v/>
      </c>
      <c r="T1242" s="139" t="str">
        <f>IFERROR(__xludf.DUMMYFUNCTION("""COMPUTED_VALUE"""),"")</f>
        <v/>
      </c>
      <c r="U1242" s="139" t="str">
        <f>IFERROR(__xludf.DUMMYFUNCTION("""COMPUTED_VALUE"""),"")</f>
        <v/>
      </c>
      <c r="V1242" s="136" t="str">
        <f>IFERROR(__xludf.DUMMYFUNCTION("""COMPUTED_VALUE"""),"")</f>
        <v/>
      </c>
      <c r="W1242" s="106" t="str">
        <f>IFERROR(__xludf.DUMMYFUNCTION("""COMPUTED_VALUE"""),"")</f>
        <v/>
      </c>
      <c r="X1242" s="143" t="str">
        <f t="shared" si="2"/>
        <v/>
      </c>
      <c r="Y1242" s="139" t="str">
        <f>IFERROR(__xludf.DUMMYFUNCTION("""COMPUTED_VALUE"""),"")</f>
        <v/>
      </c>
      <c r="Z1242" s="141" t="str">
        <f>IFERROR(__xludf.DUMMYFUNCTION("""COMPUTED_VALUE"""),"")</f>
        <v/>
      </c>
    </row>
    <row r="1243">
      <c r="D1243" s="136" t="str">
        <f t="shared" si="3"/>
        <v/>
      </c>
      <c r="E1243" s="152"/>
      <c r="F1243" s="106" t="s">
        <v>133</v>
      </c>
      <c r="G1243" s="152"/>
      <c r="H1243" s="106" t="s">
        <v>133</v>
      </c>
      <c r="J1243" s="139" t="s">
        <v>133</v>
      </c>
      <c r="K1243" s="136" t="s">
        <v>133</v>
      </c>
      <c r="L1243" s="153"/>
      <c r="M1243" s="136" t="str">
        <f t="shared" si="1"/>
        <v/>
      </c>
      <c r="O1243" s="141" t="s">
        <v>133</v>
      </c>
      <c r="P1243" s="136" t="str">
        <f>IFERROR(__xludf.DUMMYFUNCTION("""COMPUTED_VALUE"""),"")</f>
        <v/>
      </c>
      <c r="Q1243" s="136" t="str">
        <f>IFERROR(__xludf.DUMMYFUNCTION("""COMPUTED_VALUE"""),"")</f>
        <v/>
      </c>
      <c r="R1243" s="106" t="str">
        <f>IFERROR(__xludf.DUMMYFUNCTION("""COMPUTED_VALUE"""),"")</f>
        <v/>
      </c>
      <c r="S1243" s="106" t="str">
        <f>IFERROR(__xludf.DUMMYFUNCTION("""COMPUTED_VALUE"""),"")</f>
        <v/>
      </c>
      <c r="T1243" s="139" t="str">
        <f>IFERROR(__xludf.DUMMYFUNCTION("""COMPUTED_VALUE"""),"")</f>
        <v/>
      </c>
      <c r="U1243" s="139" t="str">
        <f>IFERROR(__xludf.DUMMYFUNCTION("""COMPUTED_VALUE"""),"")</f>
        <v/>
      </c>
      <c r="V1243" s="136" t="str">
        <f>IFERROR(__xludf.DUMMYFUNCTION("""COMPUTED_VALUE"""),"")</f>
        <v/>
      </c>
      <c r="W1243" s="106" t="str">
        <f>IFERROR(__xludf.DUMMYFUNCTION("""COMPUTED_VALUE"""),"")</f>
        <v/>
      </c>
      <c r="X1243" s="143" t="str">
        <f t="shared" si="2"/>
        <v/>
      </c>
      <c r="Y1243" s="139" t="str">
        <f>IFERROR(__xludf.DUMMYFUNCTION("""COMPUTED_VALUE"""),"")</f>
        <v/>
      </c>
      <c r="Z1243" s="141" t="str">
        <f>IFERROR(__xludf.DUMMYFUNCTION("""COMPUTED_VALUE"""),"")</f>
        <v/>
      </c>
    </row>
    <row r="1244">
      <c r="D1244" s="136" t="str">
        <f t="shared" si="3"/>
        <v/>
      </c>
      <c r="E1244" s="152"/>
      <c r="F1244" s="106" t="s">
        <v>133</v>
      </c>
      <c r="G1244" s="152"/>
      <c r="H1244" s="106" t="s">
        <v>133</v>
      </c>
      <c r="J1244" s="139" t="s">
        <v>133</v>
      </c>
      <c r="K1244" s="136" t="s">
        <v>133</v>
      </c>
      <c r="L1244" s="153"/>
      <c r="M1244" s="136" t="str">
        <f t="shared" si="1"/>
        <v/>
      </c>
      <c r="O1244" s="141" t="s">
        <v>133</v>
      </c>
      <c r="P1244" s="136" t="str">
        <f>IFERROR(__xludf.DUMMYFUNCTION("""COMPUTED_VALUE"""),"")</f>
        <v/>
      </c>
      <c r="Q1244" s="136" t="str">
        <f>IFERROR(__xludf.DUMMYFUNCTION("""COMPUTED_VALUE"""),"")</f>
        <v/>
      </c>
      <c r="R1244" s="106" t="str">
        <f>IFERROR(__xludf.DUMMYFUNCTION("""COMPUTED_VALUE"""),"")</f>
        <v/>
      </c>
      <c r="S1244" s="106" t="str">
        <f>IFERROR(__xludf.DUMMYFUNCTION("""COMPUTED_VALUE"""),"")</f>
        <v/>
      </c>
      <c r="T1244" s="139" t="str">
        <f>IFERROR(__xludf.DUMMYFUNCTION("""COMPUTED_VALUE"""),"")</f>
        <v/>
      </c>
      <c r="U1244" s="139" t="str">
        <f>IFERROR(__xludf.DUMMYFUNCTION("""COMPUTED_VALUE"""),"")</f>
        <v/>
      </c>
      <c r="V1244" s="136" t="str">
        <f>IFERROR(__xludf.DUMMYFUNCTION("""COMPUTED_VALUE"""),"")</f>
        <v/>
      </c>
      <c r="W1244" s="106" t="str">
        <f>IFERROR(__xludf.DUMMYFUNCTION("""COMPUTED_VALUE"""),"")</f>
        <v/>
      </c>
      <c r="X1244" s="143" t="str">
        <f t="shared" si="2"/>
        <v/>
      </c>
      <c r="Y1244" s="139" t="str">
        <f>IFERROR(__xludf.DUMMYFUNCTION("""COMPUTED_VALUE"""),"")</f>
        <v/>
      </c>
      <c r="Z1244" s="141" t="str">
        <f>IFERROR(__xludf.DUMMYFUNCTION("""COMPUTED_VALUE"""),"")</f>
        <v/>
      </c>
    </row>
    <row r="1245">
      <c r="D1245" s="136" t="str">
        <f t="shared" si="3"/>
        <v/>
      </c>
      <c r="E1245" s="152"/>
      <c r="F1245" s="106" t="s">
        <v>133</v>
      </c>
      <c r="G1245" s="152"/>
      <c r="H1245" s="106" t="s">
        <v>133</v>
      </c>
      <c r="J1245" s="139" t="s">
        <v>133</v>
      </c>
      <c r="K1245" s="136" t="s">
        <v>133</v>
      </c>
      <c r="L1245" s="153"/>
      <c r="M1245" s="136" t="str">
        <f t="shared" si="1"/>
        <v/>
      </c>
      <c r="O1245" s="141" t="s">
        <v>133</v>
      </c>
      <c r="P1245" s="136" t="str">
        <f>IFERROR(__xludf.DUMMYFUNCTION("""COMPUTED_VALUE"""),"")</f>
        <v/>
      </c>
      <c r="Q1245" s="136" t="str">
        <f>IFERROR(__xludf.DUMMYFUNCTION("""COMPUTED_VALUE"""),"")</f>
        <v/>
      </c>
      <c r="R1245" s="106" t="str">
        <f>IFERROR(__xludf.DUMMYFUNCTION("""COMPUTED_VALUE"""),"")</f>
        <v/>
      </c>
      <c r="S1245" s="106" t="str">
        <f>IFERROR(__xludf.DUMMYFUNCTION("""COMPUTED_VALUE"""),"")</f>
        <v/>
      </c>
      <c r="T1245" s="139" t="str">
        <f>IFERROR(__xludf.DUMMYFUNCTION("""COMPUTED_VALUE"""),"")</f>
        <v/>
      </c>
      <c r="U1245" s="139" t="str">
        <f>IFERROR(__xludf.DUMMYFUNCTION("""COMPUTED_VALUE"""),"")</f>
        <v/>
      </c>
      <c r="V1245" s="136" t="str">
        <f>IFERROR(__xludf.DUMMYFUNCTION("""COMPUTED_VALUE"""),"")</f>
        <v/>
      </c>
      <c r="W1245" s="106" t="str">
        <f>IFERROR(__xludf.DUMMYFUNCTION("""COMPUTED_VALUE"""),"")</f>
        <v/>
      </c>
      <c r="X1245" s="143" t="str">
        <f t="shared" si="2"/>
        <v/>
      </c>
      <c r="Y1245" s="139" t="str">
        <f>IFERROR(__xludf.DUMMYFUNCTION("""COMPUTED_VALUE"""),"")</f>
        <v/>
      </c>
      <c r="Z1245" s="141" t="str">
        <f>IFERROR(__xludf.DUMMYFUNCTION("""COMPUTED_VALUE"""),"")</f>
        <v/>
      </c>
    </row>
    <row r="1246">
      <c r="D1246" s="136" t="str">
        <f t="shared" si="3"/>
        <v/>
      </c>
      <c r="E1246" s="152"/>
      <c r="F1246" s="106" t="s">
        <v>133</v>
      </c>
      <c r="G1246" s="152"/>
      <c r="H1246" s="106" t="s">
        <v>133</v>
      </c>
      <c r="J1246" s="139" t="s">
        <v>133</v>
      </c>
      <c r="K1246" s="136" t="s">
        <v>133</v>
      </c>
      <c r="L1246" s="153"/>
      <c r="M1246" s="136" t="str">
        <f t="shared" si="1"/>
        <v/>
      </c>
      <c r="O1246" s="141" t="s">
        <v>133</v>
      </c>
      <c r="P1246" s="136" t="str">
        <f>IFERROR(__xludf.DUMMYFUNCTION("""COMPUTED_VALUE"""),"")</f>
        <v/>
      </c>
      <c r="Q1246" s="136" t="str">
        <f>IFERROR(__xludf.DUMMYFUNCTION("""COMPUTED_VALUE"""),"")</f>
        <v/>
      </c>
      <c r="R1246" s="106" t="str">
        <f>IFERROR(__xludf.DUMMYFUNCTION("""COMPUTED_VALUE"""),"")</f>
        <v/>
      </c>
      <c r="S1246" s="106" t="str">
        <f>IFERROR(__xludf.DUMMYFUNCTION("""COMPUTED_VALUE"""),"")</f>
        <v/>
      </c>
      <c r="T1246" s="139" t="str">
        <f>IFERROR(__xludf.DUMMYFUNCTION("""COMPUTED_VALUE"""),"")</f>
        <v/>
      </c>
      <c r="U1246" s="139" t="str">
        <f>IFERROR(__xludf.DUMMYFUNCTION("""COMPUTED_VALUE"""),"")</f>
        <v/>
      </c>
      <c r="V1246" s="136" t="str">
        <f>IFERROR(__xludf.DUMMYFUNCTION("""COMPUTED_VALUE"""),"")</f>
        <v/>
      </c>
      <c r="W1246" s="106" t="str">
        <f>IFERROR(__xludf.DUMMYFUNCTION("""COMPUTED_VALUE"""),"")</f>
        <v/>
      </c>
      <c r="X1246" s="143" t="str">
        <f t="shared" si="2"/>
        <v/>
      </c>
      <c r="Y1246" s="139" t="str">
        <f>IFERROR(__xludf.DUMMYFUNCTION("""COMPUTED_VALUE"""),"")</f>
        <v/>
      </c>
      <c r="Z1246" s="141" t="str">
        <f>IFERROR(__xludf.DUMMYFUNCTION("""COMPUTED_VALUE"""),"")</f>
        <v/>
      </c>
    </row>
    <row r="1247">
      <c r="D1247" s="136" t="str">
        <f t="shared" si="3"/>
        <v/>
      </c>
      <c r="E1247" s="152"/>
      <c r="F1247" s="106" t="s">
        <v>133</v>
      </c>
      <c r="G1247" s="152"/>
      <c r="H1247" s="106" t="s">
        <v>133</v>
      </c>
      <c r="J1247" s="139" t="s">
        <v>133</v>
      </c>
      <c r="K1247" s="136" t="s">
        <v>133</v>
      </c>
      <c r="L1247" s="153"/>
      <c r="M1247" s="136" t="str">
        <f t="shared" si="1"/>
        <v/>
      </c>
      <c r="O1247" s="141" t="s">
        <v>133</v>
      </c>
      <c r="P1247" s="136" t="str">
        <f>IFERROR(__xludf.DUMMYFUNCTION("""COMPUTED_VALUE"""),"")</f>
        <v/>
      </c>
      <c r="Q1247" s="136" t="str">
        <f>IFERROR(__xludf.DUMMYFUNCTION("""COMPUTED_VALUE"""),"")</f>
        <v/>
      </c>
      <c r="R1247" s="106" t="str">
        <f>IFERROR(__xludf.DUMMYFUNCTION("""COMPUTED_VALUE"""),"")</f>
        <v/>
      </c>
      <c r="S1247" s="106" t="str">
        <f>IFERROR(__xludf.DUMMYFUNCTION("""COMPUTED_VALUE"""),"")</f>
        <v/>
      </c>
      <c r="T1247" s="139" t="str">
        <f>IFERROR(__xludf.DUMMYFUNCTION("""COMPUTED_VALUE"""),"")</f>
        <v/>
      </c>
      <c r="U1247" s="139" t="str">
        <f>IFERROR(__xludf.DUMMYFUNCTION("""COMPUTED_VALUE"""),"")</f>
        <v/>
      </c>
      <c r="V1247" s="136" t="str">
        <f>IFERROR(__xludf.DUMMYFUNCTION("""COMPUTED_VALUE"""),"")</f>
        <v/>
      </c>
      <c r="W1247" s="106" t="str">
        <f>IFERROR(__xludf.DUMMYFUNCTION("""COMPUTED_VALUE"""),"")</f>
        <v/>
      </c>
      <c r="X1247" s="143" t="str">
        <f t="shared" si="2"/>
        <v/>
      </c>
      <c r="Y1247" s="139" t="str">
        <f>IFERROR(__xludf.DUMMYFUNCTION("""COMPUTED_VALUE"""),"")</f>
        <v/>
      </c>
      <c r="Z1247" s="141" t="str">
        <f>IFERROR(__xludf.DUMMYFUNCTION("""COMPUTED_VALUE"""),"")</f>
        <v/>
      </c>
    </row>
    <row r="1248">
      <c r="D1248" s="136" t="str">
        <f t="shared" si="3"/>
        <v/>
      </c>
      <c r="E1248" s="152"/>
      <c r="F1248" s="106" t="s">
        <v>133</v>
      </c>
      <c r="G1248" s="152"/>
      <c r="H1248" s="106" t="s">
        <v>133</v>
      </c>
      <c r="J1248" s="139" t="s">
        <v>133</v>
      </c>
      <c r="K1248" s="136" t="s">
        <v>133</v>
      </c>
      <c r="L1248" s="153"/>
      <c r="M1248" s="136" t="str">
        <f t="shared" si="1"/>
        <v/>
      </c>
      <c r="O1248" s="141" t="s">
        <v>133</v>
      </c>
      <c r="P1248" s="136" t="str">
        <f>IFERROR(__xludf.DUMMYFUNCTION("""COMPUTED_VALUE"""),"")</f>
        <v/>
      </c>
      <c r="Q1248" s="136" t="str">
        <f>IFERROR(__xludf.DUMMYFUNCTION("""COMPUTED_VALUE"""),"")</f>
        <v/>
      </c>
      <c r="R1248" s="106" t="str">
        <f>IFERROR(__xludf.DUMMYFUNCTION("""COMPUTED_VALUE"""),"")</f>
        <v/>
      </c>
      <c r="S1248" s="106" t="str">
        <f>IFERROR(__xludf.DUMMYFUNCTION("""COMPUTED_VALUE"""),"")</f>
        <v/>
      </c>
      <c r="T1248" s="139" t="str">
        <f>IFERROR(__xludf.DUMMYFUNCTION("""COMPUTED_VALUE"""),"")</f>
        <v/>
      </c>
      <c r="U1248" s="139" t="str">
        <f>IFERROR(__xludf.DUMMYFUNCTION("""COMPUTED_VALUE"""),"")</f>
        <v/>
      </c>
      <c r="V1248" s="136" t="str">
        <f>IFERROR(__xludf.DUMMYFUNCTION("""COMPUTED_VALUE"""),"")</f>
        <v/>
      </c>
      <c r="W1248" s="106" t="str">
        <f>IFERROR(__xludf.DUMMYFUNCTION("""COMPUTED_VALUE"""),"")</f>
        <v/>
      </c>
      <c r="X1248" s="143" t="str">
        <f t="shared" si="2"/>
        <v/>
      </c>
      <c r="Y1248" s="139" t="str">
        <f>IFERROR(__xludf.DUMMYFUNCTION("""COMPUTED_VALUE"""),"")</f>
        <v/>
      </c>
      <c r="Z1248" s="141" t="str">
        <f>IFERROR(__xludf.DUMMYFUNCTION("""COMPUTED_VALUE"""),"")</f>
        <v/>
      </c>
    </row>
    <row r="1249">
      <c r="D1249" s="136" t="str">
        <f t="shared" si="3"/>
        <v/>
      </c>
      <c r="E1249" s="152"/>
      <c r="F1249" s="106" t="s">
        <v>133</v>
      </c>
      <c r="G1249" s="152"/>
      <c r="H1249" s="106" t="s">
        <v>133</v>
      </c>
      <c r="J1249" s="139" t="s">
        <v>133</v>
      </c>
      <c r="K1249" s="136" t="s">
        <v>133</v>
      </c>
      <c r="L1249" s="153"/>
      <c r="M1249" s="136" t="str">
        <f t="shared" si="1"/>
        <v/>
      </c>
      <c r="O1249" s="141" t="s">
        <v>133</v>
      </c>
      <c r="P1249" s="136" t="str">
        <f>IFERROR(__xludf.DUMMYFUNCTION("""COMPUTED_VALUE"""),"")</f>
        <v/>
      </c>
      <c r="Q1249" s="136" t="str">
        <f>IFERROR(__xludf.DUMMYFUNCTION("""COMPUTED_VALUE"""),"")</f>
        <v/>
      </c>
      <c r="R1249" s="106" t="str">
        <f>IFERROR(__xludf.DUMMYFUNCTION("""COMPUTED_VALUE"""),"")</f>
        <v/>
      </c>
      <c r="S1249" s="106" t="str">
        <f>IFERROR(__xludf.DUMMYFUNCTION("""COMPUTED_VALUE"""),"")</f>
        <v/>
      </c>
      <c r="T1249" s="139" t="str">
        <f>IFERROR(__xludf.DUMMYFUNCTION("""COMPUTED_VALUE"""),"")</f>
        <v/>
      </c>
      <c r="U1249" s="139" t="str">
        <f>IFERROR(__xludf.DUMMYFUNCTION("""COMPUTED_VALUE"""),"")</f>
        <v/>
      </c>
      <c r="V1249" s="136" t="str">
        <f>IFERROR(__xludf.DUMMYFUNCTION("""COMPUTED_VALUE"""),"")</f>
        <v/>
      </c>
      <c r="W1249" s="106" t="str">
        <f>IFERROR(__xludf.DUMMYFUNCTION("""COMPUTED_VALUE"""),"")</f>
        <v/>
      </c>
      <c r="X1249" s="143" t="str">
        <f t="shared" si="2"/>
        <v/>
      </c>
      <c r="Y1249" s="139" t="str">
        <f>IFERROR(__xludf.DUMMYFUNCTION("""COMPUTED_VALUE"""),"")</f>
        <v/>
      </c>
      <c r="Z1249" s="141" t="str">
        <f>IFERROR(__xludf.DUMMYFUNCTION("""COMPUTED_VALUE"""),"")</f>
        <v/>
      </c>
    </row>
    <row r="1250">
      <c r="D1250" s="136" t="str">
        <f t="shared" si="3"/>
        <v/>
      </c>
      <c r="E1250" s="152"/>
      <c r="F1250" s="106" t="s">
        <v>133</v>
      </c>
      <c r="G1250" s="152"/>
      <c r="H1250" s="106" t="s">
        <v>133</v>
      </c>
      <c r="J1250" s="139" t="s">
        <v>133</v>
      </c>
      <c r="K1250" s="136" t="s">
        <v>133</v>
      </c>
      <c r="L1250" s="153"/>
      <c r="M1250" s="136" t="str">
        <f t="shared" si="1"/>
        <v/>
      </c>
      <c r="O1250" s="141" t="s">
        <v>133</v>
      </c>
      <c r="P1250" s="136" t="str">
        <f>IFERROR(__xludf.DUMMYFUNCTION("""COMPUTED_VALUE"""),"")</f>
        <v/>
      </c>
      <c r="Q1250" s="136" t="str">
        <f>IFERROR(__xludf.DUMMYFUNCTION("""COMPUTED_VALUE"""),"")</f>
        <v/>
      </c>
      <c r="R1250" s="106" t="str">
        <f>IFERROR(__xludf.DUMMYFUNCTION("""COMPUTED_VALUE"""),"")</f>
        <v/>
      </c>
      <c r="S1250" s="106" t="str">
        <f>IFERROR(__xludf.DUMMYFUNCTION("""COMPUTED_VALUE"""),"")</f>
        <v/>
      </c>
      <c r="T1250" s="139" t="str">
        <f>IFERROR(__xludf.DUMMYFUNCTION("""COMPUTED_VALUE"""),"")</f>
        <v/>
      </c>
      <c r="U1250" s="139" t="str">
        <f>IFERROR(__xludf.DUMMYFUNCTION("""COMPUTED_VALUE"""),"")</f>
        <v/>
      </c>
      <c r="V1250" s="136" t="str">
        <f>IFERROR(__xludf.DUMMYFUNCTION("""COMPUTED_VALUE"""),"")</f>
        <v/>
      </c>
      <c r="W1250" s="106" t="str">
        <f>IFERROR(__xludf.DUMMYFUNCTION("""COMPUTED_VALUE"""),"")</f>
        <v/>
      </c>
      <c r="X1250" s="143" t="str">
        <f t="shared" si="2"/>
        <v/>
      </c>
      <c r="Y1250" s="139" t="str">
        <f>IFERROR(__xludf.DUMMYFUNCTION("""COMPUTED_VALUE"""),"")</f>
        <v/>
      </c>
      <c r="Z1250" s="141" t="str">
        <f>IFERROR(__xludf.DUMMYFUNCTION("""COMPUTED_VALUE"""),"")</f>
        <v/>
      </c>
    </row>
    <row r="1251">
      <c r="D1251" s="136" t="str">
        <f t="shared" si="3"/>
        <v/>
      </c>
      <c r="E1251" s="152"/>
      <c r="F1251" s="106" t="s">
        <v>133</v>
      </c>
      <c r="G1251" s="152"/>
      <c r="H1251" s="106" t="s">
        <v>133</v>
      </c>
      <c r="J1251" s="139" t="s">
        <v>133</v>
      </c>
      <c r="K1251" s="136" t="s">
        <v>133</v>
      </c>
      <c r="L1251" s="153"/>
      <c r="M1251" s="136" t="str">
        <f t="shared" si="1"/>
        <v/>
      </c>
      <c r="O1251" s="141" t="s">
        <v>133</v>
      </c>
      <c r="P1251" s="136" t="str">
        <f>IFERROR(__xludf.DUMMYFUNCTION("""COMPUTED_VALUE"""),"")</f>
        <v/>
      </c>
      <c r="Q1251" s="136" t="str">
        <f>IFERROR(__xludf.DUMMYFUNCTION("""COMPUTED_VALUE"""),"")</f>
        <v/>
      </c>
      <c r="R1251" s="106" t="str">
        <f>IFERROR(__xludf.DUMMYFUNCTION("""COMPUTED_VALUE"""),"")</f>
        <v/>
      </c>
      <c r="S1251" s="106" t="str">
        <f>IFERROR(__xludf.DUMMYFUNCTION("""COMPUTED_VALUE"""),"")</f>
        <v/>
      </c>
      <c r="T1251" s="139" t="str">
        <f>IFERROR(__xludf.DUMMYFUNCTION("""COMPUTED_VALUE"""),"")</f>
        <v/>
      </c>
      <c r="U1251" s="139" t="str">
        <f>IFERROR(__xludf.DUMMYFUNCTION("""COMPUTED_VALUE"""),"")</f>
        <v/>
      </c>
      <c r="V1251" s="136" t="str">
        <f>IFERROR(__xludf.DUMMYFUNCTION("""COMPUTED_VALUE"""),"")</f>
        <v/>
      </c>
      <c r="W1251" s="106" t="str">
        <f>IFERROR(__xludf.DUMMYFUNCTION("""COMPUTED_VALUE"""),"")</f>
        <v/>
      </c>
      <c r="X1251" s="143" t="str">
        <f t="shared" si="2"/>
        <v/>
      </c>
      <c r="Y1251" s="139" t="str">
        <f>IFERROR(__xludf.DUMMYFUNCTION("""COMPUTED_VALUE"""),"")</f>
        <v/>
      </c>
      <c r="Z1251" s="141" t="str">
        <f>IFERROR(__xludf.DUMMYFUNCTION("""COMPUTED_VALUE"""),"")</f>
        <v/>
      </c>
    </row>
    <row r="1252">
      <c r="D1252" s="136" t="str">
        <f t="shared" si="3"/>
        <v/>
      </c>
      <c r="E1252" s="152"/>
      <c r="F1252" s="106" t="s">
        <v>133</v>
      </c>
      <c r="G1252" s="152"/>
      <c r="H1252" s="106" t="s">
        <v>133</v>
      </c>
      <c r="J1252" s="139" t="s">
        <v>133</v>
      </c>
      <c r="K1252" s="136" t="s">
        <v>133</v>
      </c>
      <c r="L1252" s="153"/>
      <c r="M1252" s="136" t="str">
        <f t="shared" si="1"/>
        <v/>
      </c>
      <c r="O1252" s="141" t="s">
        <v>133</v>
      </c>
      <c r="P1252" s="136" t="str">
        <f>IFERROR(__xludf.DUMMYFUNCTION("""COMPUTED_VALUE"""),"")</f>
        <v/>
      </c>
      <c r="Q1252" s="136" t="str">
        <f>IFERROR(__xludf.DUMMYFUNCTION("""COMPUTED_VALUE"""),"")</f>
        <v/>
      </c>
      <c r="R1252" s="106" t="str">
        <f>IFERROR(__xludf.DUMMYFUNCTION("""COMPUTED_VALUE"""),"")</f>
        <v/>
      </c>
      <c r="S1252" s="106" t="str">
        <f>IFERROR(__xludf.DUMMYFUNCTION("""COMPUTED_VALUE"""),"")</f>
        <v/>
      </c>
      <c r="T1252" s="139" t="str">
        <f>IFERROR(__xludf.DUMMYFUNCTION("""COMPUTED_VALUE"""),"")</f>
        <v/>
      </c>
      <c r="U1252" s="139" t="str">
        <f>IFERROR(__xludf.DUMMYFUNCTION("""COMPUTED_VALUE"""),"")</f>
        <v/>
      </c>
      <c r="V1252" s="136" t="str">
        <f>IFERROR(__xludf.DUMMYFUNCTION("""COMPUTED_VALUE"""),"")</f>
        <v/>
      </c>
      <c r="W1252" s="106" t="str">
        <f>IFERROR(__xludf.DUMMYFUNCTION("""COMPUTED_VALUE"""),"")</f>
        <v/>
      </c>
      <c r="X1252" s="143" t="str">
        <f t="shared" si="2"/>
        <v/>
      </c>
      <c r="Y1252" s="139" t="str">
        <f>IFERROR(__xludf.DUMMYFUNCTION("""COMPUTED_VALUE"""),"")</f>
        <v/>
      </c>
      <c r="Z1252" s="141" t="str">
        <f>IFERROR(__xludf.DUMMYFUNCTION("""COMPUTED_VALUE"""),"")</f>
        <v/>
      </c>
    </row>
    <row r="1253">
      <c r="D1253" s="136" t="str">
        <f t="shared" si="3"/>
        <v/>
      </c>
      <c r="E1253" s="152"/>
      <c r="F1253" s="106" t="s">
        <v>133</v>
      </c>
      <c r="G1253" s="152"/>
      <c r="H1253" s="106" t="s">
        <v>133</v>
      </c>
      <c r="J1253" s="139" t="s">
        <v>133</v>
      </c>
      <c r="K1253" s="136" t="s">
        <v>133</v>
      </c>
      <c r="L1253" s="153"/>
      <c r="M1253" s="136" t="str">
        <f t="shared" si="1"/>
        <v/>
      </c>
      <c r="O1253" s="141" t="s">
        <v>133</v>
      </c>
      <c r="P1253" s="136" t="str">
        <f>IFERROR(__xludf.DUMMYFUNCTION("""COMPUTED_VALUE"""),"")</f>
        <v/>
      </c>
      <c r="Q1253" s="136" t="str">
        <f>IFERROR(__xludf.DUMMYFUNCTION("""COMPUTED_VALUE"""),"")</f>
        <v/>
      </c>
      <c r="R1253" s="106" t="str">
        <f>IFERROR(__xludf.DUMMYFUNCTION("""COMPUTED_VALUE"""),"")</f>
        <v/>
      </c>
      <c r="S1253" s="106" t="str">
        <f>IFERROR(__xludf.DUMMYFUNCTION("""COMPUTED_VALUE"""),"")</f>
        <v/>
      </c>
      <c r="T1253" s="139" t="str">
        <f>IFERROR(__xludf.DUMMYFUNCTION("""COMPUTED_VALUE"""),"")</f>
        <v/>
      </c>
      <c r="U1253" s="139" t="str">
        <f>IFERROR(__xludf.DUMMYFUNCTION("""COMPUTED_VALUE"""),"")</f>
        <v/>
      </c>
      <c r="V1253" s="136" t="str">
        <f>IFERROR(__xludf.DUMMYFUNCTION("""COMPUTED_VALUE"""),"")</f>
        <v/>
      </c>
      <c r="W1253" s="106" t="str">
        <f>IFERROR(__xludf.DUMMYFUNCTION("""COMPUTED_VALUE"""),"")</f>
        <v/>
      </c>
      <c r="X1253" s="143" t="str">
        <f t="shared" si="2"/>
        <v/>
      </c>
      <c r="Y1253" s="139" t="str">
        <f>IFERROR(__xludf.DUMMYFUNCTION("""COMPUTED_VALUE"""),"")</f>
        <v/>
      </c>
      <c r="Z1253" s="141" t="str">
        <f>IFERROR(__xludf.DUMMYFUNCTION("""COMPUTED_VALUE"""),"")</f>
        <v/>
      </c>
    </row>
    <row r="1254">
      <c r="D1254" s="136" t="str">
        <f t="shared" si="3"/>
        <v/>
      </c>
      <c r="E1254" s="152"/>
      <c r="F1254" s="106" t="s">
        <v>133</v>
      </c>
      <c r="G1254" s="152"/>
      <c r="H1254" s="106" t="s">
        <v>133</v>
      </c>
      <c r="J1254" s="139" t="s">
        <v>133</v>
      </c>
      <c r="K1254" s="136" t="s">
        <v>133</v>
      </c>
      <c r="L1254" s="153"/>
      <c r="M1254" s="136" t="str">
        <f t="shared" si="1"/>
        <v/>
      </c>
      <c r="O1254" s="141" t="s">
        <v>133</v>
      </c>
      <c r="P1254" s="136" t="str">
        <f>IFERROR(__xludf.DUMMYFUNCTION("""COMPUTED_VALUE"""),"")</f>
        <v/>
      </c>
      <c r="Q1254" s="136" t="str">
        <f>IFERROR(__xludf.DUMMYFUNCTION("""COMPUTED_VALUE"""),"")</f>
        <v/>
      </c>
      <c r="R1254" s="106" t="str">
        <f>IFERROR(__xludf.DUMMYFUNCTION("""COMPUTED_VALUE"""),"")</f>
        <v/>
      </c>
      <c r="S1254" s="106" t="str">
        <f>IFERROR(__xludf.DUMMYFUNCTION("""COMPUTED_VALUE"""),"")</f>
        <v/>
      </c>
      <c r="T1254" s="139" t="str">
        <f>IFERROR(__xludf.DUMMYFUNCTION("""COMPUTED_VALUE"""),"")</f>
        <v/>
      </c>
      <c r="U1254" s="139" t="str">
        <f>IFERROR(__xludf.DUMMYFUNCTION("""COMPUTED_VALUE"""),"")</f>
        <v/>
      </c>
      <c r="V1254" s="136" t="str">
        <f>IFERROR(__xludf.DUMMYFUNCTION("""COMPUTED_VALUE"""),"")</f>
        <v/>
      </c>
      <c r="W1254" s="106" t="str">
        <f>IFERROR(__xludf.DUMMYFUNCTION("""COMPUTED_VALUE"""),"")</f>
        <v/>
      </c>
      <c r="X1254" s="143" t="str">
        <f t="shared" si="2"/>
        <v/>
      </c>
      <c r="Y1254" s="139" t="str">
        <f>IFERROR(__xludf.DUMMYFUNCTION("""COMPUTED_VALUE"""),"")</f>
        <v/>
      </c>
      <c r="Z1254" s="141" t="str">
        <f>IFERROR(__xludf.DUMMYFUNCTION("""COMPUTED_VALUE"""),"")</f>
        <v/>
      </c>
    </row>
    <row r="1255">
      <c r="D1255" s="136" t="str">
        <f t="shared" si="3"/>
        <v/>
      </c>
      <c r="E1255" s="152"/>
      <c r="F1255" s="106" t="s">
        <v>133</v>
      </c>
      <c r="G1255" s="152"/>
      <c r="H1255" s="106" t="s">
        <v>133</v>
      </c>
      <c r="J1255" s="139" t="s">
        <v>133</v>
      </c>
      <c r="K1255" s="136" t="s">
        <v>133</v>
      </c>
      <c r="L1255" s="153"/>
      <c r="M1255" s="136" t="str">
        <f t="shared" si="1"/>
        <v/>
      </c>
      <c r="O1255" s="141" t="s">
        <v>133</v>
      </c>
      <c r="P1255" s="136" t="str">
        <f>IFERROR(__xludf.DUMMYFUNCTION("""COMPUTED_VALUE"""),"")</f>
        <v/>
      </c>
      <c r="Q1255" s="136" t="str">
        <f>IFERROR(__xludf.DUMMYFUNCTION("""COMPUTED_VALUE"""),"")</f>
        <v/>
      </c>
      <c r="R1255" s="106" t="str">
        <f>IFERROR(__xludf.DUMMYFUNCTION("""COMPUTED_VALUE"""),"")</f>
        <v/>
      </c>
      <c r="S1255" s="106" t="str">
        <f>IFERROR(__xludf.DUMMYFUNCTION("""COMPUTED_VALUE"""),"")</f>
        <v/>
      </c>
      <c r="T1255" s="139" t="str">
        <f>IFERROR(__xludf.DUMMYFUNCTION("""COMPUTED_VALUE"""),"")</f>
        <v/>
      </c>
      <c r="U1255" s="139" t="str">
        <f>IFERROR(__xludf.DUMMYFUNCTION("""COMPUTED_VALUE"""),"")</f>
        <v/>
      </c>
      <c r="V1255" s="136" t="str">
        <f>IFERROR(__xludf.DUMMYFUNCTION("""COMPUTED_VALUE"""),"")</f>
        <v/>
      </c>
      <c r="W1255" s="106" t="str">
        <f>IFERROR(__xludf.DUMMYFUNCTION("""COMPUTED_VALUE"""),"")</f>
        <v/>
      </c>
      <c r="X1255" s="143" t="str">
        <f t="shared" si="2"/>
        <v/>
      </c>
      <c r="Y1255" s="139" t="str">
        <f>IFERROR(__xludf.DUMMYFUNCTION("""COMPUTED_VALUE"""),"")</f>
        <v/>
      </c>
      <c r="Z1255" s="141" t="str">
        <f>IFERROR(__xludf.DUMMYFUNCTION("""COMPUTED_VALUE"""),"")</f>
        <v/>
      </c>
    </row>
    <row r="1256">
      <c r="D1256" s="136" t="str">
        <f t="shared" si="3"/>
        <v/>
      </c>
      <c r="E1256" s="152"/>
      <c r="F1256" s="106" t="s">
        <v>133</v>
      </c>
      <c r="G1256" s="152"/>
      <c r="H1256" s="106" t="s">
        <v>133</v>
      </c>
      <c r="J1256" s="139" t="s">
        <v>133</v>
      </c>
      <c r="K1256" s="136" t="s">
        <v>133</v>
      </c>
      <c r="L1256" s="153"/>
      <c r="M1256" s="136" t="str">
        <f t="shared" si="1"/>
        <v/>
      </c>
      <c r="O1256" s="141" t="s">
        <v>133</v>
      </c>
      <c r="P1256" s="136" t="str">
        <f>IFERROR(__xludf.DUMMYFUNCTION("""COMPUTED_VALUE"""),"")</f>
        <v/>
      </c>
      <c r="Q1256" s="136" t="str">
        <f>IFERROR(__xludf.DUMMYFUNCTION("""COMPUTED_VALUE"""),"")</f>
        <v/>
      </c>
      <c r="R1256" s="106" t="str">
        <f>IFERROR(__xludf.DUMMYFUNCTION("""COMPUTED_VALUE"""),"")</f>
        <v/>
      </c>
      <c r="S1256" s="106" t="str">
        <f>IFERROR(__xludf.DUMMYFUNCTION("""COMPUTED_VALUE"""),"")</f>
        <v/>
      </c>
      <c r="T1256" s="139" t="str">
        <f>IFERROR(__xludf.DUMMYFUNCTION("""COMPUTED_VALUE"""),"")</f>
        <v/>
      </c>
      <c r="U1256" s="139" t="str">
        <f>IFERROR(__xludf.DUMMYFUNCTION("""COMPUTED_VALUE"""),"")</f>
        <v/>
      </c>
      <c r="V1256" s="136" t="str">
        <f>IFERROR(__xludf.DUMMYFUNCTION("""COMPUTED_VALUE"""),"")</f>
        <v/>
      </c>
      <c r="W1256" s="106" t="str">
        <f>IFERROR(__xludf.DUMMYFUNCTION("""COMPUTED_VALUE"""),"")</f>
        <v/>
      </c>
      <c r="X1256" s="143" t="str">
        <f t="shared" si="2"/>
        <v/>
      </c>
      <c r="Y1256" s="139" t="str">
        <f>IFERROR(__xludf.DUMMYFUNCTION("""COMPUTED_VALUE"""),"")</f>
        <v/>
      </c>
      <c r="Z1256" s="141" t="str">
        <f>IFERROR(__xludf.DUMMYFUNCTION("""COMPUTED_VALUE"""),"")</f>
        <v/>
      </c>
    </row>
    <row r="1257">
      <c r="D1257" s="136" t="str">
        <f t="shared" si="3"/>
        <v/>
      </c>
      <c r="E1257" s="152"/>
      <c r="F1257" s="106" t="s">
        <v>133</v>
      </c>
      <c r="G1257" s="152"/>
      <c r="H1257" s="106" t="s">
        <v>133</v>
      </c>
      <c r="J1257" s="139" t="s">
        <v>133</v>
      </c>
      <c r="K1257" s="136" t="s">
        <v>133</v>
      </c>
      <c r="L1257" s="153"/>
      <c r="M1257" s="136" t="str">
        <f t="shared" si="1"/>
        <v/>
      </c>
      <c r="O1257" s="141" t="s">
        <v>133</v>
      </c>
      <c r="P1257" s="136" t="str">
        <f>IFERROR(__xludf.DUMMYFUNCTION("""COMPUTED_VALUE"""),"")</f>
        <v/>
      </c>
      <c r="Q1257" s="136" t="str">
        <f>IFERROR(__xludf.DUMMYFUNCTION("""COMPUTED_VALUE"""),"")</f>
        <v/>
      </c>
      <c r="R1257" s="106" t="str">
        <f>IFERROR(__xludf.DUMMYFUNCTION("""COMPUTED_VALUE"""),"")</f>
        <v/>
      </c>
      <c r="S1257" s="106" t="str">
        <f>IFERROR(__xludf.DUMMYFUNCTION("""COMPUTED_VALUE"""),"")</f>
        <v/>
      </c>
      <c r="T1257" s="139" t="str">
        <f>IFERROR(__xludf.DUMMYFUNCTION("""COMPUTED_VALUE"""),"")</f>
        <v/>
      </c>
      <c r="U1257" s="139" t="str">
        <f>IFERROR(__xludf.DUMMYFUNCTION("""COMPUTED_VALUE"""),"")</f>
        <v/>
      </c>
      <c r="V1257" s="136" t="str">
        <f>IFERROR(__xludf.DUMMYFUNCTION("""COMPUTED_VALUE"""),"")</f>
        <v/>
      </c>
      <c r="W1257" s="106" t="str">
        <f>IFERROR(__xludf.DUMMYFUNCTION("""COMPUTED_VALUE"""),"")</f>
        <v/>
      </c>
      <c r="X1257" s="143" t="str">
        <f t="shared" si="2"/>
        <v/>
      </c>
      <c r="Y1257" s="139" t="str">
        <f>IFERROR(__xludf.DUMMYFUNCTION("""COMPUTED_VALUE"""),"")</f>
        <v/>
      </c>
      <c r="Z1257" s="141" t="str">
        <f>IFERROR(__xludf.DUMMYFUNCTION("""COMPUTED_VALUE"""),"")</f>
        <v/>
      </c>
    </row>
    <row r="1258">
      <c r="D1258" s="136" t="str">
        <f t="shared" si="3"/>
        <v/>
      </c>
      <c r="E1258" s="152"/>
      <c r="F1258" s="106" t="s">
        <v>133</v>
      </c>
      <c r="G1258" s="152"/>
      <c r="H1258" s="106" t="s">
        <v>133</v>
      </c>
      <c r="J1258" s="139" t="s">
        <v>133</v>
      </c>
      <c r="K1258" s="136" t="s">
        <v>133</v>
      </c>
      <c r="L1258" s="153"/>
      <c r="M1258" s="136" t="str">
        <f t="shared" si="1"/>
        <v/>
      </c>
      <c r="O1258" s="141" t="s">
        <v>133</v>
      </c>
      <c r="P1258" s="136" t="str">
        <f>IFERROR(__xludf.DUMMYFUNCTION("""COMPUTED_VALUE"""),"")</f>
        <v/>
      </c>
      <c r="Q1258" s="136" t="str">
        <f>IFERROR(__xludf.DUMMYFUNCTION("""COMPUTED_VALUE"""),"")</f>
        <v/>
      </c>
      <c r="R1258" s="106" t="str">
        <f>IFERROR(__xludf.DUMMYFUNCTION("""COMPUTED_VALUE"""),"")</f>
        <v/>
      </c>
      <c r="S1258" s="106" t="str">
        <f>IFERROR(__xludf.DUMMYFUNCTION("""COMPUTED_VALUE"""),"")</f>
        <v/>
      </c>
      <c r="T1258" s="139" t="str">
        <f>IFERROR(__xludf.DUMMYFUNCTION("""COMPUTED_VALUE"""),"")</f>
        <v/>
      </c>
      <c r="U1258" s="139" t="str">
        <f>IFERROR(__xludf.DUMMYFUNCTION("""COMPUTED_VALUE"""),"")</f>
        <v/>
      </c>
      <c r="V1258" s="136" t="str">
        <f>IFERROR(__xludf.DUMMYFUNCTION("""COMPUTED_VALUE"""),"")</f>
        <v/>
      </c>
      <c r="W1258" s="106" t="str">
        <f>IFERROR(__xludf.DUMMYFUNCTION("""COMPUTED_VALUE"""),"")</f>
        <v/>
      </c>
      <c r="X1258" s="143" t="str">
        <f t="shared" si="2"/>
        <v/>
      </c>
      <c r="Y1258" s="139" t="str">
        <f>IFERROR(__xludf.DUMMYFUNCTION("""COMPUTED_VALUE"""),"")</f>
        <v/>
      </c>
      <c r="Z1258" s="141" t="str">
        <f>IFERROR(__xludf.DUMMYFUNCTION("""COMPUTED_VALUE"""),"")</f>
        <v/>
      </c>
    </row>
    <row r="1259">
      <c r="D1259" s="136" t="str">
        <f t="shared" si="3"/>
        <v/>
      </c>
      <c r="E1259" s="152"/>
      <c r="F1259" s="106" t="s">
        <v>133</v>
      </c>
      <c r="G1259" s="152"/>
      <c r="H1259" s="106" t="s">
        <v>133</v>
      </c>
      <c r="J1259" s="139" t="s">
        <v>133</v>
      </c>
      <c r="K1259" s="136" t="s">
        <v>133</v>
      </c>
      <c r="L1259" s="153"/>
      <c r="M1259" s="136" t="str">
        <f t="shared" si="1"/>
        <v/>
      </c>
      <c r="O1259" s="141" t="s">
        <v>133</v>
      </c>
      <c r="P1259" s="136" t="str">
        <f>IFERROR(__xludf.DUMMYFUNCTION("""COMPUTED_VALUE"""),"")</f>
        <v/>
      </c>
      <c r="Q1259" s="136" t="str">
        <f>IFERROR(__xludf.DUMMYFUNCTION("""COMPUTED_VALUE"""),"")</f>
        <v/>
      </c>
      <c r="R1259" s="106" t="str">
        <f>IFERROR(__xludf.DUMMYFUNCTION("""COMPUTED_VALUE"""),"")</f>
        <v/>
      </c>
      <c r="S1259" s="106" t="str">
        <f>IFERROR(__xludf.DUMMYFUNCTION("""COMPUTED_VALUE"""),"")</f>
        <v/>
      </c>
      <c r="T1259" s="139" t="str">
        <f>IFERROR(__xludf.DUMMYFUNCTION("""COMPUTED_VALUE"""),"")</f>
        <v/>
      </c>
      <c r="U1259" s="139" t="str">
        <f>IFERROR(__xludf.DUMMYFUNCTION("""COMPUTED_VALUE"""),"")</f>
        <v/>
      </c>
      <c r="V1259" s="136" t="str">
        <f>IFERROR(__xludf.DUMMYFUNCTION("""COMPUTED_VALUE"""),"")</f>
        <v/>
      </c>
      <c r="W1259" s="106" t="str">
        <f>IFERROR(__xludf.DUMMYFUNCTION("""COMPUTED_VALUE"""),"")</f>
        <v/>
      </c>
      <c r="X1259" s="143" t="str">
        <f t="shared" si="2"/>
        <v/>
      </c>
      <c r="Y1259" s="139" t="str">
        <f>IFERROR(__xludf.DUMMYFUNCTION("""COMPUTED_VALUE"""),"")</f>
        <v/>
      </c>
      <c r="Z1259" s="141" t="str">
        <f>IFERROR(__xludf.DUMMYFUNCTION("""COMPUTED_VALUE"""),"")</f>
        <v/>
      </c>
    </row>
    <row r="1260">
      <c r="D1260" s="136" t="str">
        <f t="shared" si="3"/>
        <v/>
      </c>
      <c r="E1260" s="152"/>
      <c r="F1260" s="106" t="s">
        <v>133</v>
      </c>
      <c r="G1260" s="152"/>
      <c r="H1260" s="106" t="s">
        <v>133</v>
      </c>
      <c r="J1260" s="139" t="s">
        <v>133</v>
      </c>
      <c r="K1260" s="136" t="s">
        <v>133</v>
      </c>
      <c r="L1260" s="153"/>
      <c r="M1260" s="136" t="str">
        <f t="shared" si="1"/>
        <v/>
      </c>
      <c r="O1260" s="141" t="s">
        <v>133</v>
      </c>
      <c r="P1260" s="136" t="str">
        <f>IFERROR(__xludf.DUMMYFUNCTION("""COMPUTED_VALUE"""),"")</f>
        <v/>
      </c>
      <c r="Q1260" s="136" t="str">
        <f>IFERROR(__xludf.DUMMYFUNCTION("""COMPUTED_VALUE"""),"")</f>
        <v/>
      </c>
      <c r="R1260" s="106" t="str">
        <f>IFERROR(__xludf.DUMMYFUNCTION("""COMPUTED_VALUE"""),"")</f>
        <v/>
      </c>
      <c r="S1260" s="106" t="str">
        <f>IFERROR(__xludf.DUMMYFUNCTION("""COMPUTED_VALUE"""),"")</f>
        <v/>
      </c>
      <c r="T1260" s="139" t="str">
        <f>IFERROR(__xludf.DUMMYFUNCTION("""COMPUTED_VALUE"""),"")</f>
        <v/>
      </c>
      <c r="U1260" s="139" t="str">
        <f>IFERROR(__xludf.DUMMYFUNCTION("""COMPUTED_VALUE"""),"")</f>
        <v/>
      </c>
      <c r="V1260" s="136" t="str">
        <f>IFERROR(__xludf.DUMMYFUNCTION("""COMPUTED_VALUE"""),"")</f>
        <v/>
      </c>
      <c r="W1260" s="106" t="str">
        <f>IFERROR(__xludf.DUMMYFUNCTION("""COMPUTED_VALUE"""),"")</f>
        <v/>
      </c>
      <c r="X1260" s="143" t="str">
        <f t="shared" si="2"/>
        <v/>
      </c>
      <c r="Y1260" s="139" t="str">
        <f>IFERROR(__xludf.DUMMYFUNCTION("""COMPUTED_VALUE"""),"")</f>
        <v/>
      </c>
      <c r="Z1260" s="141" t="str">
        <f>IFERROR(__xludf.DUMMYFUNCTION("""COMPUTED_VALUE"""),"")</f>
        <v/>
      </c>
    </row>
    <row r="1261">
      <c r="D1261" s="136" t="str">
        <f t="shared" si="3"/>
        <v/>
      </c>
      <c r="E1261" s="152"/>
      <c r="F1261" s="106" t="s">
        <v>133</v>
      </c>
      <c r="G1261" s="152"/>
      <c r="H1261" s="106" t="s">
        <v>133</v>
      </c>
      <c r="J1261" s="139" t="s">
        <v>133</v>
      </c>
      <c r="K1261" s="136" t="s">
        <v>133</v>
      </c>
      <c r="L1261" s="153"/>
      <c r="M1261" s="136" t="str">
        <f t="shared" si="1"/>
        <v/>
      </c>
      <c r="O1261" s="141" t="s">
        <v>133</v>
      </c>
      <c r="P1261" s="136" t="str">
        <f>IFERROR(__xludf.DUMMYFUNCTION("""COMPUTED_VALUE"""),"")</f>
        <v/>
      </c>
      <c r="Q1261" s="136" t="str">
        <f>IFERROR(__xludf.DUMMYFUNCTION("""COMPUTED_VALUE"""),"")</f>
        <v/>
      </c>
      <c r="R1261" s="106" t="str">
        <f>IFERROR(__xludf.DUMMYFUNCTION("""COMPUTED_VALUE"""),"")</f>
        <v/>
      </c>
      <c r="S1261" s="106" t="str">
        <f>IFERROR(__xludf.DUMMYFUNCTION("""COMPUTED_VALUE"""),"")</f>
        <v/>
      </c>
      <c r="T1261" s="139" t="str">
        <f>IFERROR(__xludf.DUMMYFUNCTION("""COMPUTED_VALUE"""),"")</f>
        <v/>
      </c>
      <c r="U1261" s="139" t="str">
        <f>IFERROR(__xludf.DUMMYFUNCTION("""COMPUTED_VALUE"""),"")</f>
        <v/>
      </c>
      <c r="V1261" s="136" t="str">
        <f>IFERROR(__xludf.DUMMYFUNCTION("""COMPUTED_VALUE"""),"")</f>
        <v/>
      </c>
      <c r="W1261" s="106" t="str">
        <f>IFERROR(__xludf.DUMMYFUNCTION("""COMPUTED_VALUE"""),"")</f>
        <v/>
      </c>
      <c r="X1261" s="143" t="str">
        <f t="shared" si="2"/>
        <v/>
      </c>
      <c r="Y1261" s="139" t="str">
        <f>IFERROR(__xludf.DUMMYFUNCTION("""COMPUTED_VALUE"""),"")</f>
        <v/>
      </c>
      <c r="Z1261" s="141" t="str">
        <f>IFERROR(__xludf.DUMMYFUNCTION("""COMPUTED_VALUE"""),"")</f>
        <v/>
      </c>
    </row>
    <row r="1262">
      <c r="D1262" s="136" t="str">
        <f t="shared" si="3"/>
        <v/>
      </c>
      <c r="E1262" s="152"/>
      <c r="F1262" s="106" t="s">
        <v>133</v>
      </c>
      <c r="G1262" s="152"/>
      <c r="H1262" s="106" t="s">
        <v>133</v>
      </c>
      <c r="J1262" s="139" t="s">
        <v>133</v>
      </c>
      <c r="K1262" s="136" t="s">
        <v>133</v>
      </c>
      <c r="L1262" s="153"/>
      <c r="M1262" s="136" t="str">
        <f t="shared" si="1"/>
        <v/>
      </c>
      <c r="O1262" s="141" t="s">
        <v>133</v>
      </c>
      <c r="P1262" s="136" t="str">
        <f>IFERROR(__xludf.DUMMYFUNCTION("""COMPUTED_VALUE"""),"")</f>
        <v/>
      </c>
      <c r="Q1262" s="136" t="str">
        <f>IFERROR(__xludf.DUMMYFUNCTION("""COMPUTED_VALUE"""),"")</f>
        <v/>
      </c>
      <c r="R1262" s="106" t="str">
        <f>IFERROR(__xludf.DUMMYFUNCTION("""COMPUTED_VALUE"""),"")</f>
        <v/>
      </c>
      <c r="S1262" s="106" t="str">
        <f>IFERROR(__xludf.DUMMYFUNCTION("""COMPUTED_VALUE"""),"")</f>
        <v/>
      </c>
      <c r="T1262" s="139" t="str">
        <f>IFERROR(__xludf.DUMMYFUNCTION("""COMPUTED_VALUE"""),"")</f>
        <v/>
      </c>
      <c r="U1262" s="139" t="str">
        <f>IFERROR(__xludf.DUMMYFUNCTION("""COMPUTED_VALUE"""),"")</f>
        <v/>
      </c>
      <c r="V1262" s="136" t="str">
        <f>IFERROR(__xludf.DUMMYFUNCTION("""COMPUTED_VALUE"""),"")</f>
        <v/>
      </c>
      <c r="W1262" s="106" t="str">
        <f>IFERROR(__xludf.DUMMYFUNCTION("""COMPUTED_VALUE"""),"")</f>
        <v/>
      </c>
      <c r="X1262" s="143" t="str">
        <f t="shared" si="2"/>
        <v/>
      </c>
      <c r="Y1262" s="139" t="str">
        <f>IFERROR(__xludf.DUMMYFUNCTION("""COMPUTED_VALUE"""),"")</f>
        <v/>
      </c>
      <c r="Z1262" s="141" t="str">
        <f>IFERROR(__xludf.DUMMYFUNCTION("""COMPUTED_VALUE"""),"")</f>
        <v/>
      </c>
    </row>
    <row r="1263">
      <c r="D1263" s="136" t="str">
        <f t="shared" si="3"/>
        <v/>
      </c>
      <c r="E1263" s="152"/>
      <c r="F1263" s="106" t="s">
        <v>133</v>
      </c>
      <c r="G1263" s="152"/>
      <c r="H1263" s="106" t="s">
        <v>133</v>
      </c>
      <c r="J1263" s="139" t="s">
        <v>133</v>
      </c>
      <c r="K1263" s="136" t="s">
        <v>133</v>
      </c>
      <c r="L1263" s="153"/>
      <c r="M1263" s="136" t="str">
        <f t="shared" si="1"/>
        <v/>
      </c>
      <c r="O1263" s="141" t="s">
        <v>133</v>
      </c>
      <c r="P1263" s="136" t="str">
        <f>IFERROR(__xludf.DUMMYFUNCTION("""COMPUTED_VALUE"""),"")</f>
        <v/>
      </c>
      <c r="Q1263" s="136" t="str">
        <f>IFERROR(__xludf.DUMMYFUNCTION("""COMPUTED_VALUE"""),"")</f>
        <v/>
      </c>
      <c r="R1263" s="106" t="str">
        <f>IFERROR(__xludf.DUMMYFUNCTION("""COMPUTED_VALUE"""),"")</f>
        <v/>
      </c>
      <c r="S1263" s="106" t="str">
        <f>IFERROR(__xludf.DUMMYFUNCTION("""COMPUTED_VALUE"""),"")</f>
        <v/>
      </c>
      <c r="T1263" s="139" t="str">
        <f>IFERROR(__xludf.DUMMYFUNCTION("""COMPUTED_VALUE"""),"")</f>
        <v/>
      </c>
      <c r="U1263" s="139" t="str">
        <f>IFERROR(__xludf.DUMMYFUNCTION("""COMPUTED_VALUE"""),"")</f>
        <v/>
      </c>
      <c r="V1263" s="136" t="str">
        <f>IFERROR(__xludf.DUMMYFUNCTION("""COMPUTED_VALUE"""),"")</f>
        <v/>
      </c>
      <c r="W1263" s="106" t="str">
        <f>IFERROR(__xludf.DUMMYFUNCTION("""COMPUTED_VALUE"""),"")</f>
        <v/>
      </c>
      <c r="X1263" s="143" t="str">
        <f t="shared" si="2"/>
        <v/>
      </c>
      <c r="Y1263" s="139" t="str">
        <f>IFERROR(__xludf.DUMMYFUNCTION("""COMPUTED_VALUE"""),"")</f>
        <v/>
      </c>
      <c r="Z1263" s="141" t="str">
        <f>IFERROR(__xludf.DUMMYFUNCTION("""COMPUTED_VALUE"""),"")</f>
        <v/>
      </c>
    </row>
    <row r="1264">
      <c r="D1264" s="136" t="str">
        <f t="shared" si="3"/>
        <v/>
      </c>
      <c r="E1264" s="152"/>
      <c r="F1264" s="106" t="s">
        <v>133</v>
      </c>
      <c r="G1264" s="152"/>
      <c r="H1264" s="106" t="s">
        <v>133</v>
      </c>
      <c r="J1264" s="139" t="s">
        <v>133</v>
      </c>
      <c r="K1264" s="136" t="s">
        <v>133</v>
      </c>
      <c r="L1264" s="153"/>
      <c r="M1264" s="136" t="str">
        <f t="shared" si="1"/>
        <v/>
      </c>
      <c r="O1264" s="141" t="s">
        <v>133</v>
      </c>
      <c r="P1264" s="136" t="str">
        <f>IFERROR(__xludf.DUMMYFUNCTION("""COMPUTED_VALUE"""),"")</f>
        <v/>
      </c>
      <c r="Q1264" s="136" t="str">
        <f>IFERROR(__xludf.DUMMYFUNCTION("""COMPUTED_VALUE"""),"")</f>
        <v/>
      </c>
      <c r="R1264" s="106" t="str">
        <f>IFERROR(__xludf.DUMMYFUNCTION("""COMPUTED_VALUE"""),"")</f>
        <v/>
      </c>
      <c r="S1264" s="106" t="str">
        <f>IFERROR(__xludf.DUMMYFUNCTION("""COMPUTED_VALUE"""),"")</f>
        <v/>
      </c>
      <c r="T1264" s="139" t="str">
        <f>IFERROR(__xludf.DUMMYFUNCTION("""COMPUTED_VALUE"""),"")</f>
        <v/>
      </c>
      <c r="U1264" s="139" t="str">
        <f>IFERROR(__xludf.DUMMYFUNCTION("""COMPUTED_VALUE"""),"")</f>
        <v/>
      </c>
      <c r="V1264" s="136" t="str">
        <f>IFERROR(__xludf.DUMMYFUNCTION("""COMPUTED_VALUE"""),"")</f>
        <v/>
      </c>
      <c r="W1264" s="106" t="str">
        <f>IFERROR(__xludf.DUMMYFUNCTION("""COMPUTED_VALUE"""),"")</f>
        <v/>
      </c>
      <c r="X1264" s="143" t="str">
        <f t="shared" si="2"/>
        <v/>
      </c>
      <c r="Y1264" s="139" t="str">
        <f>IFERROR(__xludf.DUMMYFUNCTION("""COMPUTED_VALUE"""),"")</f>
        <v/>
      </c>
      <c r="Z1264" s="141" t="str">
        <f>IFERROR(__xludf.DUMMYFUNCTION("""COMPUTED_VALUE"""),"")</f>
        <v/>
      </c>
    </row>
    <row r="1265">
      <c r="D1265" s="136" t="str">
        <f t="shared" si="3"/>
        <v/>
      </c>
      <c r="E1265" s="152"/>
      <c r="F1265" s="106" t="s">
        <v>133</v>
      </c>
      <c r="G1265" s="152"/>
      <c r="H1265" s="106" t="s">
        <v>133</v>
      </c>
      <c r="J1265" s="139" t="s">
        <v>133</v>
      </c>
      <c r="K1265" s="136" t="s">
        <v>133</v>
      </c>
      <c r="L1265" s="153"/>
      <c r="M1265" s="136" t="str">
        <f t="shared" si="1"/>
        <v/>
      </c>
      <c r="O1265" s="141" t="s">
        <v>133</v>
      </c>
      <c r="P1265" s="136" t="str">
        <f>IFERROR(__xludf.DUMMYFUNCTION("""COMPUTED_VALUE"""),"")</f>
        <v/>
      </c>
      <c r="Q1265" s="136" t="str">
        <f>IFERROR(__xludf.DUMMYFUNCTION("""COMPUTED_VALUE"""),"")</f>
        <v/>
      </c>
      <c r="R1265" s="106" t="str">
        <f>IFERROR(__xludf.DUMMYFUNCTION("""COMPUTED_VALUE"""),"")</f>
        <v/>
      </c>
      <c r="S1265" s="106" t="str">
        <f>IFERROR(__xludf.DUMMYFUNCTION("""COMPUTED_VALUE"""),"")</f>
        <v/>
      </c>
      <c r="T1265" s="139" t="str">
        <f>IFERROR(__xludf.DUMMYFUNCTION("""COMPUTED_VALUE"""),"")</f>
        <v/>
      </c>
      <c r="U1265" s="139" t="str">
        <f>IFERROR(__xludf.DUMMYFUNCTION("""COMPUTED_VALUE"""),"")</f>
        <v/>
      </c>
      <c r="V1265" s="136" t="str">
        <f>IFERROR(__xludf.DUMMYFUNCTION("""COMPUTED_VALUE"""),"")</f>
        <v/>
      </c>
      <c r="W1265" s="106" t="str">
        <f>IFERROR(__xludf.DUMMYFUNCTION("""COMPUTED_VALUE"""),"")</f>
        <v/>
      </c>
      <c r="X1265" s="143" t="str">
        <f t="shared" si="2"/>
        <v/>
      </c>
      <c r="Y1265" s="139" t="str">
        <f>IFERROR(__xludf.DUMMYFUNCTION("""COMPUTED_VALUE"""),"")</f>
        <v/>
      </c>
      <c r="Z1265" s="141" t="str">
        <f>IFERROR(__xludf.DUMMYFUNCTION("""COMPUTED_VALUE"""),"")</f>
        <v/>
      </c>
    </row>
    <row r="1266">
      <c r="D1266" s="136" t="str">
        <f t="shared" si="3"/>
        <v/>
      </c>
      <c r="E1266" s="152"/>
      <c r="F1266" s="106" t="s">
        <v>133</v>
      </c>
      <c r="G1266" s="152"/>
      <c r="H1266" s="106" t="s">
        <v>133</v>
      </c>
      <c r="J1266" s="139" t="s">
        <v>133</v>
      </c>
      <c r="K1266" s="136" t="s">
        <v>133</v>
      </c>
      <c r="L1266" s="153"/>
      <c r="M1266" s="136" t="str">
        <f t="shared" si="1"/>
        <v/>
      </c>
      <c r="O1266" s="141" t="s">
        <v>133</v>
      </c>
      <c r="P1266" s="136" t="str">
        <f>IFERROR(__xludf.DUMMYFUNCTION("""COMPUTED_VALUE"""),"")</f>
        <v/>
      </c>
      <c r="Q1266" s="136" t="str">
        <f>IFERROR(__xludf.DUMMYFUNCTION("""COMPUTED_VALUE"""),"")</f>
        <v/>
      </c>
      <c r="R1266" s="106" t="str">
        <f>IFERROR(__xludf.DUMMYFUNCTION("""COMPUTED_VALUE"""),"")</f>
        <v/>
      </c>
      <c r="S1266" s="106" t="str">
        <f>IFERROR(__xludf.DUMMYFUNCTION("""COMPUTED_VALUE"""),"")</f>
        <v/>
      </c>
      <c r="T1266" s="139" t="str">
        <f>IFERROR(__xludf.DUMMYFUNCTION("""COMPUTED_VALUE"""),"")</f>
        <v/>
      </c>
      <c r="U1266" s="139" t="str">
        <f>IFERROR(__xludf.DUMMYFUNCTION("""COMPUTED_VALUE"""),"")</f>
        <v/>
      </c>
      <c r="V1266" s="136" t="str">
        <f>IFERROR(__xludf.DUMMYFUNCTION("""COMPUTED_VALUE"""),"")</f>
        <v/>
      </c>
      <c r="W1266" s="106" t="str">
        <f>IFERROR(__xludf.DUMMYFUNCTION("""COMPUTED_VALUE"""),"")</f>
        <v/>
      </c>
      <c r="X1266" s="143" t="str">
        <f t="shared" si="2"/>
        <v/>
      </c>
      <c r="Y1266" s="139" t="str">
        <f>IFERROR(__xludf.DUMMYFUNCTION("""COMPUTED_VALUE"""),"")</f>
        <v/>
      </c>
      <c r="Z1266" s="141" t="str">
        <f>IFERROR(__xludf.DUMMYFUNCTION("""COMPUTED_VALUE"""),"")</f>
        <v/>
      </c>
    </row>
    <row r="1267">
      <c r="D1267" s="136" t="str">
        <f t="shared" si="3"/>
        <v/>
      </c>
      <c r="E1267" s="152"/>
      <c r="F1267" s="106" t="s">
        <v>133</v>
      </c>
      <c r="G1267" s="152"/>
      <c r="H1267" s="106" t="s">
        <v>133</v>
      </c>
      <c r="J1267" s="139" t="s">
        <v>133</v>
      </c>
      <c r="K1267" s="136" t="s">
        <v>133</v>
      </c>
      <c r="L1267" s="153"/>
      <c r="M1267" s="136" t="str">
        <f t="shared" si="1"/>
        <v/>
      </c>
      <c r="O1267" s="141" t="s">
        <v>133</v>
      </c>
      <c r="P1267" s="136" t="str">
        <f>IFERROR(__xludf.DUMMYFUNCTION("""COMPUTED_VALUE"""),"")</f>
        <v/>
      </c>
      <c r="Q1267" s="136" t="str">
        <f>IFERROR(__xludf.DUMMYFUNCTION("""COMPUTED_VALUE"""),"")</f>
        <v/>
      </c>
      <c r="R1267" s="106" t="str">
        <f>IFERROR(__xludf.DUMMYFUNCTION("""COMPUTED_VALUE"""),"")</f>
        <v/>
      </c>
      <c r="S1267" s="106" t="str">
        <f>IFERROR(__xludf.DUMMYFUNCTION("""COMPUTED_VALUE"""),"")</f>
        <v/>
      </c>
      <c r="T1267" s="139" t="str">
        <f>IFERROR(__xludf.DUMMYFUNCTION("""COMPUTED_VALUE"""),"")</f>
        <v/>
      </c>
      <c r="U1267" s="139" t="str">
        <f>IFERROR(__xludf.DUMMYFUNCTION("""COMPUTED_VALUE"""),"")</f>
        <v/>
      </c>
      <c r="V1267" s="136" t="str">
        <f>IFERROR(__xludf.DUMMYFUNCTION("""COMPUTED_VALUE"""),"")</f>
        <v/>
      </c>
      <c r="W1267" s="106" t="str">
        <f>IFERROR(__xludf.DUMMYFUNCTION("""COMPUTED_VALUE"""),"")</f>
        <v/>
      </c>
      <c r="X1267" s="143" t="str">
        <f t="shared" si="2"/>
        <v/>
      </c>
      <c r="Y1267" s="139" t="str">
        <f>IFERROR(__xludf.DUMMYFUNCTION("""COMPUTED_VALUE"""),"")</f>
        <v/>
      </c>
      <c r="Z1267" s="141" t="str">
        <f>IFERROR(__xludf.DUMMYFUNCTION("""COMPUTED_VALUE"""),"")</f>
        <v/>
      </c>
    </row>
    <row r="1268">
      <c r="D1268" s="136" t="str">
        <f t="shared" si="3"/>
        <v/>
      </c>
      <c r="E1268" s="152"/>
      <c r="F1268" s="106" t="s">
        <v>133</v>
      </c>
      <c r="G1268" s="152"/>
      <c r="H1268" s="106" t="s">
        <v>133</v>
      </c>
      <c r="J1268" s="139" t="s">
        <v>133</v>
      </c>
      <c r="K1268" s="136" t="s">
        <v>133</v>
      </c>
      <c r="L1268" s="153"/>
      <c r="M1268" s="136" t="str">
        <f t="shared" si="1"/>
        <v/>
      </c>
      <c r="O1268" s="141" t="s">
        <v>133</v>
      </c>
      <c r="P1268" s="136" t="str">
        <f>IFERROR(__xludf.DUMMYFUNCTION("""COMPUTED_VALUE"""),"")</f>
        <v/>
      </c>
      <c r="Q1268" s="136" t="str">
        <f>IFERROR(__xludf.DUMMYFUNCTION("""COMPUTED_VALUE"""),"")</f>
        <v/>
      </c>
      <c r="R1268" s="106" t="str">
        <f>IFERROR(__xludf.DUMMYFUNCTION("""COMPUTED_VALUE"""),"")</f>
        <v/>
      </c>
      <c r="S1268" s="106" t="str">
        <f>IFERROR(__xludf.DUMMYFUNCTION("""COMPUTED_VALUE"""),"")</f>
        <v/>
      </c>
      <c r="T1268" s="139" t="str">
        <f>IFERROR(__xludf.DUMMYFUNCTION("""COMPUTED_VALUE"""),"")</f>
        <v/>
      </c>
      <c r="U1268" s="139" t="str">
        <f>IFERROR(__xludf.DUMMYFUNCTION("""COMPUTED_VALUE"""),"")</f>
        <v/>
      </c>
      <c r="V1268" s="136" t="str">
        <f>IFERROR(__xludf.DUMMYFUNCTION("""COMPUTED_VALUE"""),"")</f>
        <v/>
      </c>
      <c r="W1268" s="106" t="str">
        <f>IFERROR(__xludf.DUMMYFUNCTION("""COMPUTED_VALUE"""),"")</f>
        <v/>
      </c>
      <c r="X1268" s="143" t="str">
        <f t="shared" si="2"/>
        <v/>
      </c>
      <c r="Y1268" s="139" t="str">
        <f>IFERROR(__xludf.DUMMYFUNCTION("""COMPUTED_VALUE"""),"")</f>
        <v/>
      </c>
      <c r="Z1268" s="141" t="str">
        <f>IFERROR(__xludf.DUMMYFUNCTION("""COMPUTED_VALUE"""),"")</f>
        <v/>
      </c>
    </row>
    <row r="1269">
      <c r="D1269" s="136" t="str">
        <f t="shared" si="3"/>
        <v/>
      </c>
      <c r="E1269" s="152"/>
      <c r="F1269" s="106" t="s">
        <v>133</v>
      </c>
      <c r="G1269" s="152"/>
      <c r="H1269" s="106" t="s">
        <v>133</v>
      </c>
      <c r="J1269" s="139" t="s">
        <v>133</v>
      </c>
      <c r="K1269" s="136" t="s">
        <v>133</v>
      </c>
      <c r="L1269" s="153"/>
      <c r="M1269" s="136" t="str">
        <f t="shared" si="1"/>
        <v/>
      </c>
      <c r="O1269" s="141" t="s">
        <v>133</v>
      </c>
      <c r="P1269" s="136" t="str">
        <f>IFERROR(__xludf.DUMMYFUNCTION("""COMPUTED_VALUE"""),"")</f>
        <v/>
      </c>
      <c r="Q1269" s="136" t="str">
        <f>IFERROR(__xludf.DUMMYFUNCTION("""COMPUTED_VALUE"""),"")</f>
        <v/>
      </c>
      <c r="R1269" s="106" t="str">
        <f>IFERROR(__xludf.DUMMYFUNCTION("""COMPUTED_VALUE"""),"")</f>
        <v/>
      </c>
      <c r="S1269" s="106" t="str">
        <f>IFERROR(__xludf.DUMMYFUNCTION("""COMPUTED_VALUE"""),"")</f>
        <v/>
      </c>
      <c r="T1269" s="139" t="str">
        <f>IFERROR(__xludf.DUMMYFUNCTION("""COMPUTED_VALUE"""),"")</f>
        <v/>
      </c>
      <c r="U1269" s="139" t="str">
        <f>IFERROR(__xludf.DUMMYFUNCTION("""COMPUTED_VALUE"""),"")</f>
        <v/>
      </c>
      <c r="V1269" s="136" t="str">
        <f>IFERROR(__xludf.DUMMYFUNCTION("""COMPUTED_VALUE"""),"")</f>
        <v/>
      </c>
      <c r="W1269" s="106" t="str">
        <f>IFERROR(__xludf.DUMMYFUNCTION("""COMPUTED_VALUE"""),"")</f>
        <v/>
      </c>
      <c r="X1269" s="143" t="str">
        <f t="shared" si="2"/>
        <v/>
      </c>
      <c r="Y1269" s="139" t="str">
        <f>IFERROR(__xludf.DUMMYFUNCTION("""COMPUTED_VALUE"""),"")</f>
        <v/>
      </c>
      <c r="Z1269" s="141" t="str">
        <f>IFERROR(__xludf.DUMMYFUNCTION("""COMPUTED_VALUE"""),"")</f>
        <v/>
      </c>
    </row>
    <row r="1270">
      <c r="D1270" s="136" t="str">
        <f t="shared" si="3"/>
        <v/>
      </c>
      <c r="E1270" s="152"/>
      <c r="F1270" s="106" t="s">
        <v>133</v>
      </c>
      <c r="G1270" s="152"/>
      <c r="H1270" s="106" t="s">
        <v>133</v>
      </c>
      <c r="J1270" s="139" t="s">
        <v>133</v>
      </c>
      <c r="K1270" s="136" t="s">
        <v>133</v>
      </c>
      <c r="L1270" s="153"/>
      <c r="M1270" s="136" t="str">
        <f t="shared" si="1"/>
        <v/>
      </c>
      <c r="O1270" s="141" t="s">
        <v>133</v>
      </c>
      <c r="P1270" s="136" t="str">
        <f>IFERROR(__xludf.DUMMYFUNCTION("""COMPUTED_VALUE"""),"")</f>
        <v/>
      </c>
      <c r="Q1270" s="136" t="str">
        <f>IFERROR(__xludf.DUMMYFUNCTION("""COMPUTED_VALUE"""),"")</f>
        <v/>
      </c>
      <c r="R1270" s="106" t="str">
        <f>IFERROR(__xludf.DUMMYFUNCTION("""COMPUTED_VALUE"""),"")</f>
        <v/>
      </c>
      <c r="S1270" s="106" t="str">
        <f>IFERROR(__xludf.DUMMYFUNCTION("""COMPUTED_VALUE"""),"")</f>
        <v/>
      </c>
      <c r="T1270" s="139" t="str">
        <f>IFERROR(__xludf.DUMMYFUNCTION("""COMPUTED_VALUE"""),"")</f>
        <v/>
      </c>
      <c r="U1270" s="139" t="str">
        <f>IFERROR(__xludf.DUMMYFUNCTION("""COMPUTED_VALUE"""),"")</f>
        <v/>
      </c>
      <c r="V1270" s="136" t="str">
        <f>IFERROR(__xludf.DUMMYFUNCTION("""COMPUTED_VALUE"""),"")</f>
        <v/>
      </c>
      <c r="W1270" s="106" t="str">
        <f>IFERROR(__xludf.DUMMYFUNCTION("""COMPUTED_VALUE"""),"")</f>
        <v/>
      </c>
      <c r="X1270" s="143" t="str">
        <f t="shared" si="2"/>
        <v/>
      </c>
      <c r="Y1270" s="139" t="str">
        <f>IFERROR(__xludf.DUMMYFUNCTION("""COMPUTED_VALUE"""),"")</f>
        <v/>
      </c>
      <c r="Z1270" s="141" t="str">
        <f>IFERROR(__xludf.DUMMYFUNCTION("""COMPUTED_VALUE"""),"")</f>
        <v/>
      </c>
    </row>
    <row r="1271">
      <c r="D1271" s="136" t="str">
        <f t="shared" si="3"/>
        <v/>
      </c>
      <c r="E1271" s="152"/>
      <c r="F1271" s="106" t="s">
        <v>133</v>
      </c>
      <c r="G1271" s="152"/>
      <c r="H1271" s="106" t="s">
        <v>133</v>
      </c>
      <c r="J1271" s="139" t="s">
        <v>133</v>
      </c>
      <c r="K1271" s="136" t="s">
        <v>133</v>
      </c>
      <c r="L1271" s="153"/>
      <c r="M1271" s="136" t="str">
        <f t="shared" si="1"/>
        <v/>
      </c>
      <c r="O1271" s="141" t="s">
        <v>133</v>
      </c>
      <c r="P1271" s="136" t="str">
        <f>IFERROR(__xludf.DUMMYFUNCTION("""COMPUTED_VALUE"""),"")</f>
        <v/>
      </c>
      <c r="Q1271" s="136" t="str">
        <f>IFERROR(__xludf.DUMMYFUNCTION("""COMPUTED_VALUE"""),"")</f>
        <v/>
      </c>
      <c r="R1271" s="106" t="str">
        <f>IFERROR(__xludf.DUMMYFUNCTION("""COMPUTED_VALUE"""),"")</f>
        <v/>
      </c>
      <c r="S1271" s="106" t="str">
        <f>IFERROR(__xludf.DUMMYFUNCTION("""COMPUTED_VALUE"""),"")</f>
        <v/>
      </c>
      <c r="T1271" s="139" t="str">
        <f>IFERROR(__xludf.DUMMYFUNCTION("""COMPUTED_VALUE"""),"")</f>
        <v/>
      </c>
      <c r="U1271" s="139" t="str">
        <f>IFERROR(__xludf.DUMMYFUNCTION("""COMPUTED_VALUE"""),"")</f>
        <v/>
      </c>
      <c r="V1271" s="136" t="str">
        <f>IFERROR(__xludf.DUMMYFUNCTION("""COMPUTED_VALUE"""),"")</f>
        <v/>
      </c>
      <c r="W1271" s="106" t="str">
        <f>IFERROR(__xludf.DUMMYFUNCTION("""COMPUTED_VALUE"""),"")</f>
        <v/>
      </c>
      <c r="X1271" s="143" t="str">
        <f t="shared" si="2"/>
        <v/>
      </c>
      <c r="Y1271" s="139" t="str">
        <f>IFERROR(__xludf.DUMMYFUNCTION("""COMPUTED_VALUE"""),"")</f>
        <v/>
      </c>
      <c r="Z1271" s="141" t="str">
        <f>IFERROR(__xludf.DUMMYFUNCTION("""COMPUTED_VALUE"""),"")</f>
        <v/>
      </c>
    </row>
    <row r="1272">
      <c r="D1272" s="136" t="str">
        <f t="shared" si="3"/>
        <v/>
      </c>
      <c r="E1272" s="152"/>
      <c r="F1272" s="106" t="s">
        <v>133</v>
      </c>
      <c r="G1272" s="152"/>
      <c r="H1272" s="106" t="s">
        <v>133</v>
      </c>
      <c r="J1272" s="139" t="s">
        <v>133</v>
      </c>
      <c r="K1272" s="136" t="s">
        <v>133</v>
      </c>
      <c r="L1272" s="153"/>
      <c r="M1272" s="136" t="str">
        <f t="shared" si="1"/>
        <v/>
      </c>
      <c r="O1272" s="141" t="s">
        <v>133</v>
      </c>
      <c r="P1272" s="136" t="str">
        <f>IFERROR(__xludf.DUMMYFUNCTION("""COMPUTED_VALUE"""),"")</f>
        <v/>
      </c>
      <c r="Q1272" s="136" t="str">
        <f>IFERROR(__xludf.DUMMYFUNCTION("""COMPUTED_VALUE"""),"")</f>
        <v/>
      </c>
      <c r="R1272" s="106" t="str">
        <f>IFERROR(__xludf.DUMMYFUNCTION("""COMPUTED_VALUE"""),"")</f>
        <v/>
      </c>
      <c r="S1272" s="106" t="str">
        <f>IFERROR(__xludf.DUMMYFUNCTION("""COMPUTED_VALUE"""),"")</f>
        <v/>
      </c>
      <c r="T1272" s="139" t="str">
        <f>IFERROR(__xludf.DUMMYFUNCTION("""COMPUTED_VALUE"""),"")</f>
        <v/>
      </c>
      <c r="U1272" s="139" t="str">
        <f>IFERROR(__xludf.DUMMYFUNCTION("""COMPUTED_VALUE"""),"")</f>
        <v/>
      </c>
      <c r="V1272" s="136" t="str">
        <f>IFERROR(__xludf.DUMMYFUNCTION("""COMPUTED_VALUE"""),"")</f>
        <v/>
      </c>
      <c r="W1272" s="106" t="str">
        <f>IFERROR(__xludf.DUMMYFUNCTION("""COMPUTED_VALUE"""),"")</f>
        <v/>
      </c>
      <c r="X1272" s="143" t="str">
        <f t="shared" si="2"/>
        <v/>
      </c>
      <c r="Y1272" s="139" t="str">
        <f>IFERROR(__xludf.DUMMYFUNCTION("""COMPUTED_VALUE"""),"")</f>
        <v/>
      </c>
      <c r="Z1272" s="141" t="str">
        <f>IFERROR(__xludf.DUMMYFUNCTION("""COMPUTED_VALUE"""),"")</f>
        <v/>
      </c>
    </row>
    <row r="1273">
      <c r="D1273" s="136" t="str">
        <f t="shared" si="3"/>
        <v/>
      </c>
      <c r="E1273" s="152"/>
      <c r="F1273" s="106" t="s">
        <v>133</v>
      </c>
      <c r="G1273" s="152"/>
      <c r="H1273" s="106" t="s">
        <v>133</v>
      </c>
      <c r="J1273" s="139" t="s">
        <v>133</v>
      </c>
      <c r="K1273" s="136" t="s">
        <v>133</v>
      </c>
      <c r="L1273" s="153"/>
      <c r="M1273" s="136" t="str">
        <f t="shared" si="1"/>
        <v/>
      </c>
      <c r="O1273" s="141" t="s">
        <v>133</v>
      </c>
      <c r="P1273" s="136" t="str">
        <f>IFERROR(__xludf.DUMMYFUNCTION("""COMPUTED_VALUE"""),"")</f>
        <v/>
      </c>
      <c r="Q1273" s="136" t="str">
        <f>IFERROR(__xludf.DUMMYFUNCTION("""COMPUTED_VALUE"""),"")</f>
        <v/>
      </c>
      <c r="R1273" s="106" t="str">
        <f>IFERROR(__xludf.DUMMYFUNCTION("""COMPUTED_VALUE"""),"")</f>
        <v/>
      </c>
      <c r="S1273" s="106" t="str">
        <f>IFERROR(__xludf.DUMMYFUNCTION("""COMPUTED_VALUE"""),"")</f>
        <v/>
      </c>
      <c r="T1273" s="139" t="str">
        <f>IFERROR(__xludf.DUMMYFUNCTION("""COMPUTED_VALUE"""),"")</f>
        <v/>
      </c>
      <c r="U1273" s="139" t="str">
        <f>IFERROR(__xludf.DUMMYFUNCTION("""COMPUTED_VALUE"""),"")</f>
        <v/>
      </c>
      <c r="V1273" s="136" t="str">
        <f>IFERROR(__xludf.DUMMYFUNCTION("""COMPUTED_VALUE"""),"")</f>
        <v/>
      </c>
      <c r="W1273" s="106" t="str">
        <f>IFERROR(__xludf.DUMMYFUNCTION("""COMPUTED_VALUE"""),"")</f>
        <v/>
      </c>
      <c r="X1273" s="143" t="str">
        <f t="shared" si="2"/>
        <v/>
      </c>
      <c r="Y1273" s="139" t="str">
        <f>IFERROR(__xludf.DUMMYFUNCTION("""COMPUTED_VALUE"""),"")</f>
        <v/>
      </c>
      <c r="Z1273" s="141" t="str">
        <f>IFERROR(__xludf.DUMMYFUNCTION("""COMPUTED_VALUE"""),"")</f>
        <v/>
      </c>
    </row>
    <row r="1274">
      <c r="D1274" s="136" t="str">
        <f t="shared" si="3"/>
        <v/>
      </c>
      <c r="E1274" s="152"/>
      <c r="F1274" s="106" t="s">
        <v>133</v>
      </c>
      <c r="G1274" s="152"/>
      <c r="H1274" s="106" t="s">
        <v>133</v>
      </c>
      <c r="J1274" s="139" t="s">
        <v>133</v>
      </c>
      <c r="K1274" s="136" t="s">
        <v>133</v>
      </c>
      <c r="L1274" s="153"/>
      <c r="M1274" s="136" t="str">
        <f t="shared" si="1"/>
        <v/>
      </c>
      <c r="O1274" s="141" t="s">
        <v>133</v>
      </c>
      <c r="P1274" s="136" t="str">
        <f>IFERROR(__xludf.DUMMYFUNCTION("""COMPUTED_VALUE"""),"")</f>
        <v/>
      </c>
      <c r="Q1274" s="136" t="str">
        <f>IFERROR(__xludf.DUMMYFUNCTION("""COMPUTED_VALUE"""),"")</f>
        <v/>
      </c>
      <c r="R1274" s="106" t="str">
        <f>IFERROR(__xludf.DUMMYFUNCTION("""COMPUTED_VALUE"""),"")</f>
        <v/>
      </c>
      <c r="S1274" s="106" t="str">
        <f>IFERROR(__xludf.DUMMYFUNCTION("""COMPUTED_VALUE"""),"")</f>
        <v/>
      </c>
      <c r="T1274" s="139" t="str">
        <f>IFERROR(__xludf.DUMMYFUNCTION("""COMPUTED_VALUE"""),"")</f>
        <v/>
      </c>
      <c r="U1274" s="139" t="str">
        <f>IFERROR(__xludf.DUMMYFUNCTION("""COMPUTED_VALUE"""),"")</f>
        <v/>
      </c>
      <c r="V1274" s="136" t="str">
        <f>IFERROR(__xludf.DUMMYFUNCTION("""COMPUTED_VALUE"""),"")</f>
        <v/>
      </c>
      <c r="W1274" s="106" t="str">
        <f>IFERROR(__xludf.DUMMYFUNCTION("""COMPUTED_VALUE"""),"")</f>
        <v/>
      </c>
      <c r="X1274" s="143" t="str">
        <f t="shared" si="2"/>
        <v/>
      </c>
      <c r="Y1274" s="139" t="str">
        <f>IFERROR(__xludf.DUMMYFUNCTION("""COMPUTED_VALUE"""),"")</f>
        <v/>
      </c>
      <c r="Z1274" s="141" t="str">
        <f>IFERROR(__xludf.DUMMYFUNCTION("""COMPUTED_VALUE"""),"")</f>
        <v/>
      </c>
    </row>
    <row r="1275">
      <c r="D1275" s="136" t="str">
        <f t="shared" si="3"/>
        <v/>
      </c>
      <c r="E1275" s="152"/>
      <c r="F1275" s="106" t="s">
        <v>133</v>
      </c>
      <c r="G1275" s="152"/>
      <c r="H1275" s="106" t="s">
        <v>133</v>
      </c>
      <c r="J1275" s="139" t="s">
        <v>133</v>
      </c>
      <c r="K1275" s="136" t="s">
        <v>133</v>
      </c>
      <c r="L1275" s="153"/>
      <c r="M1275" s="136" t="str">
        <f t="shared" si="1"/>
        <v/>
      </c>
      <c r="O1275" s="141" t="s">
        <v>133</v>
      </c>
      <c r="P1275" s="136" t="str">
        <f>IFERROR(__xludf.DUMMYFUNCTION("""COMPUTED_VALUE"""),"")</f>
        <v/>
      </c>
      <c r="Q1275" s="136" t="str">
        <f>IFERROR(__xludf.DUMMYFUNCTION("""COMPUTED_VALUE"""),"")</f>
        <v/>
      </c>
      <c r="R1275" s="106" t="str">
        <f>IFERROR(__xludf.DUMMYFUNCTION("""COMPUTED_VALUE"""),"")</f>
        <v/>
      </c>
      <c r="S1275" s="106" t="str">
        <f>IFERROR(__xludf.DUMMYFUNCTION("""COMPUTED_VALUE"""),"")</f>
        <v/>
      </c>
      <c r="T1275" s="139" t="str">
        <f>IFERROR(__xludf.DUMMYFUNCTION("""COMPUTED_VALUE"""),"")</f>
        <v/>
      </c>
      <c r="U1275" s="139" t="str">
        <f>IFERROR(__xludf.DUMMYFUNCTION("""COMPUTED_VALUE"""),"")</f>
        <v/>
      </c>
      <c r="V1275" s="136" t="str">
        <f>IFERROR(__xludf.DUMMYFUNCTION("""COMPUTED_VALUE"""),"")</f>
        <v/>
      </c>
      <c r="W1275" s="106" t="str">
        <f>IFERROR(__xludf.DUMMYFUNCTION("""COMPUTED_VALUE"""),"")</f>
        <v/>
      </c>
      <c r="X1275" s="143" t="str">
        <f t="shared" si="2"/>
        <v/>
      </c>
      <c r="Y1275" s="139" t="str">
        <f>IFERROR(__xludf.DUMMYFUNCTION("""COMPUTED_VALUE"""),"")</f>
        <v/>
      </c>
      <c r="Z1275" s="141" t="str">
        <f>IFERROR(__xludf.DUMMYFUNCTION("""COMPUTED_VALUE"""),"")</f>
        <v/>
      </c>
    </row>
    <row r="1276">
      <c r="D1276" s="136" t="str">
        <f t="shared" si="3"/>
        <v/>
      </c>
      <c r="E1276" s="152"/>
      <c r="F1276" s="106" t="s">
        <v>133</v>
      </c>
      <c r="G1276" s="152"/>
      <c r="H1276" s="106" t="s">
        <v>133</v>
      </c>
      <c r="J1276" s="139" t="s">
        <v>133</v>
      </c>
      <c r="K1276" s="136" t="s">
        <v>133</v>
      </c>
      <c r="L1276" s="153"/>
      <c r="M1276" s="136" t="str">
        <f t="shared" si="1"/>
        <v/>
      </c>
      <c r="O1276" s="141" t="s">
        <v>133</v>
      </c>
      <c r="P1276" s="136" t="str">
        <f>IFERROR(__xludf.DUMMYFUNCTION("""COMPUTED_VALUE"""),"")</f>
        <v/>
      </c>
      <c r="Q1276" s="136" t="str">
        <f>IFERROR(__xludf.DUMMYFUNCTION("""COMPUTED_VALUE"""),"")</f>
        <v/>
      </c>
      <c r="R1276" s="106" t="str">
        <f>IFERROR(__xludf.DUMMYFUNCTION("""COMPUTED_VALUE"""),"")</f>
        <v/>
      </c>
      <c r="S1276" s="106" t="str">
        <f>IFERROR(__xludf.DUMMYFUNCTION("""COMPUTED_VALUE"""),"")</f>
        <v/>
      </c>
      <c r="T1276" s="139" t="str">
        <f>IFERROR(__xludf.DUMMYFUNCTION("""COMPUTED_VALUE"""),"")</f>
        <v/>
      </c>
      <c r="U1276" s="139" t="str">
        <f>IFERROR(__xludf.DUMMYFUNCTION("""COMPUTED_VALUE"""),"")</f>
        <v/>
      </c>
      <c r="V1276" s="136" t="str">
        <f>IFERROR(__xludf.DUMMYFUNCTION("""COMPUTED_VALUE"""),"")</f>
        <v/>
      </c>
      <c r="W1276" s="106" t="str">
        <f>IFERROR(__xludf.DUMMYFUNCTION("""COMPUTED_VALUE"""),"")</f>
        <v/>
      </c>
      <c r="X1276" s="143" t="str">
        <f t="shared" si="2"/>
        <v/>
      </c>
      <c r="Y1276" s="139" t="str">
        <f>IFERROR(__xludf.DUMMYFUNCTION("""COMPUTED_VALUE"""),"")</f>
        <v/>
      </c>
      <c r="Z1276" s="141" t="str">
        <f>IFERROR(__xludf.DUMMYFUNCTION("""COMPUTED_VALUE"""),"")</f>
        <v/>
      </c>
    </row>
    <row r="1277">
      <c r="D1277" s="136" t="str">
        <f t="shared" si="3"/>
        <v/>
      </c>
      <c r="E1277" s="152"/>
      <c r="F1277" s="106" t="s">
        <v>133</v>
      </c>
      <c r="G1277" s="152"/>
      <c r="H1277" s="106" t="s">
        <v>133</v>
      </c>
      <c r="J1277" s="139" t="s">
        <v>133</v>
      </c>
      <c r="K1277" s="136" t="s">
        <v>133</v>
      </c>
      <c r="L1277" s="153"/>
      <c r="M1277" s="136" t="str">
        <f t="shared" si="1"/>
        <v/>
      </c>
      <c r="O1277" s="141" t="s">
        <v>133</v>
      </c>
      <c r="P1277" s="136" t="str">
        <f>IFERROR(__xludf.DUMMYFUNCTION("""COMPUTED_VALUE"""),"")</f>
        <v/>
      </c>
      <c r="Q1277" s="136" t="str">
        <f>IFERROR(__xludf.DUMMYFUNCTION("""COMPUTED_VALUE"""),"")</f>
        <v/>
      </c>
      <c r="R1277" s="106" t="str">
        <f>IFERROR(__xludf.DUMMYFUNCTION("""COMPUTED_VALUE"""),"")</f>
        <v/>
      </c>
      <c r="S1277" s="106" t="str">
        <f>IFERROR(__xludf.DUMMYFUNCTION("""COMPUTED_VALUE"""),"")</f>
        <v/>
      </c>
      <c r="T1277" s="139" t="str">
        <f>IFERROR(__xludf.DUMMYFUNCTION("""COMPUTED_VALUE"""),"")</f>
        <v/>
      </c>
      <c r="U1277" s="139" t="str">
        <f>IFERROR(__xludf.DUMMYFUNCTION("""COMPUTED_VALUE"""),"")</f>
        <v/>
      </c>
      <c r="V1277" s="136" t="str">
        <f>IFERROR(__xludf.DUMMYFUNCTION("""COMPUTED_VALUE"""),"")</f>
        <v/>
      </c>
      <c r="W1277" s="106" t="str">
        <f>IFERROR(__xludf.DUMMYFUNCTION("""COMPUTED_VALUE"""),"")</f>
        <v/>
      </c>
      <c r="X1277" s="143" t="str">
        <f t="shared" si="2"/>
        <v/>
      </c>
      <c r="Y1277" s="139" t="str">
        <f>IFERROR(__xludf.DUMMYFUNCTION("""COMPUTED_VALUE"""),"")</f>
        <v/>
      </c>
      <c r="Z1277" s="141" t="str">
        <f>IFERROR(__xludf.DUMMYFUNCTION("""COMPUTED_VALUE"""),"")</f>
        <v/>
      </c>
    </row>
    <row r="1278">
      <c r="D1278" s="136" t="str">
        <f t="shared" si="3"/>
        <v/>
      </c>
      <c r="E1278" s="152"/>
      <c r="F1278" s="106" t="s">
        <v>133</v>
      </c>
      <c r="G1278" s="152"/>
      <c r="H1278" s="106" t="s">
        <v>133</v>
      </c>
      <c r="J1278" s="139" t="s">
        <v>133</v>
      </c>
      <c r="K1278" s="136" t="s">
        <v>133</v>
      </c>
      <c r="L1278" s="153"/>
      <c r="M1278" s="136" t="str">
        <f t="shared" si="1"/>
        <v/>
      </c>
      <c r="O1278" s="141" t="s">
        <v>133</v>
      </c>
      <c r="P1278" s="136" t="str">
        <f>IFERROR(__xludf.DUMMYFUNCTION("""COMPUTED_VALUE"""),"")</f>
        <v/>
      </c>
      <c r="Q1278" s="136" t="str">
        <f>IFERROR(__xludf.DUMMYFUNCTION("""COMPUTED_VALUE"""),"")</f>
        <v/>
      </c>
      <c r="R1278" s="106" t="str">
        <f>IFERROR(__xludf.DUMMYFUNCTION("""COMPUTED_VALUE"""),"")</f>
        <v/>
      </c>
      <c r="S1278" s="106" t="str">
        <f>IFERROR(__xludf.DUMMYFUNCTION("""COMPUTED_VALUE"""),"")</f>
        <v/>
      </c>
      <c r="T1278" s="139" t="str">
        <f>IFERROR(__xludf.DUMMYFUNCTION("""COMPUTED_VALUE"""),"")</f>
        <v/>
      </c>
      <c r="U1278" s="139" t="str">
        <f>IFERROR(__xludf.DUMMYFUNCTION("""COMPUTED_VALUE"""),"")</f>
        <v/>
      </c>
      <c r="V1278" s="136" t="str">
        <f>IFERROR(__xludf.DUMMYFUNCTION("""COMPUTED_VALUE"""),"")</f>
        <v/>
      </c>
      <c r="W1278" s="106" t="str">
        <f>IFERROR(__xludf.DUMMYFUNCTION("""COMPUTED_VALUE"""),"")</f>
        <v/>
      </c>
      <c r="X1278" s="143" t="str">
        <f t="shared" si="2"/>
        <v/>
      </c>
      <c r="Y1278" s="139" t="str">
        <f>IFERROR(__xludf.DUMMYFUNCTION("""COMPUTED_VALUE"""),"")</f>
        <v/>
      </c>
      <c r="Z1278" s="141" t="str">
        <f>IFERROR(__xludf.DUMMYFUNCTION("""COMPUTED_VALUE"""),"")</f>
        <v/>
      </c>
    </row>
    <row r="1279">
      <c r="D1279" s="136" t="str">
        <f t="shared" si="3"/>
        <v/>
      </c>
      <c r="E1279" s="152"/>
      <c r="F1279" s="106" t="s">
        <v>133</v>
      </c>
      <c r="G1279" s="152"/>
      <c r="H1279" s="106" t="s">
        <v>133</v>
      </c>
      <c r="J1279" s="139" t="s">
        <v>133</v>
      </c>
      <c r="K1279" s="136" t="s">
        <v>133</v>
      </c>
      <c r="L1279" s="153"/>
      <c r="M1279" s="136" t="str">
        <f t="shared" si="1"/>
        <v/>
      </c>
      <c r="O1279" s="141" t="s">
        <v>133</v>
      </c>
      <c r="P1279" s="136" t="str">
        <f>IFERROR(__xludf.DUMMYFUNCTION("""COMPUTED_VALUE"""),"")</f>
        <v/>
      </c>
      <c r="Q1279" s="136" t="str">
        <f>IFERROR(__xludf.DUMMYFUNCTION("""COMPUTED_VALUE"""),"")</f>
        <v/>
      </c>
      <c r="R1279" s="106" t="str">
        <f>IFERROR(__xludf.DUMMYFUNCTION("""COMPUTED_VALUE"""),"")</f>
        <v/>
      </c>
      <c r="S1279" s="106" t="str">
        <f>IFERROR(__xludf.DUMMYFUNCTION("""COMPUTED_VALUE"""),"")</f>
        <v/>
      </c>
      <c r="T1279" s="139" t="str">
        <f>IFERROR(__xludf.DUMMYFUNCTION("""COMPUTED_VALUE"""),"")</f>
        <v/>
      </c>
      <c r="U1279" s="139" t="str">
        <f>IFERROR(__xludf.DUMMYFUNCTION("""COMPUTED_VALUE"""),"")</f>
        <v/>
      </c>
      <c r="V1279" s="136" t="str">
        <f>IFERROR(__xludf.DUMMYFUNCTION("""COMPUTED_VALUE"""),"")</f>
        <v/>
      </c>
      <c r="W1279" s="106" t="str">
        <f>IFERROR(__xludf.DUMMYFUNCTION("""COMPUTED_VALUE"""),"")</f>
        <v/>
      </c>
      <c r="X1279" s="143" t="str">
        <f t="shared" si="2"/>
        <v/>
      </c>
      <c r="Y1279" s="139" t="str">
        <f>IFERROR(__xludf.DUMMYFUNCTION("""COMPUTED_VALUE"""),"")</f>
        <v/>
      </c>
      <c r="Z1279" s="141" t="str">
        <f>IFERROR(__xludf.DUMMYFUNCTION("""COMPUTED_VALUE"""),"")</f>
        <v/>
      </c>
    </row>
    <row r="1280">
      <c r="D1280" s="136" t="str">
        <f t="shared" si="3"/>
        <v/>
      </c>
      <c r="E1280" s="152"/>
      <c r="F1280" s="106" t="s">
        <v>133</v>
      </c>
      <c r="G1280" s="152"/>
      <c r="H1280" s="106" t="s">
        <v>133</v>
      </c>
      <c r="J1280" s="139" t="s">
        <v>133</v>
      </c>
      <c r="K1280" s="136" t="s">
        <v>133</v>
      </c>
      <c r="L1280" s="153"/>
      <c r="M1280" s="136" t="str">
        <f t="shared" si="1"/>
        <v/>
      </c>
      <c r="O1280" s="141" t="s">
        <v>133</v>
      </c>
      <c r="P1280" s="136" t="str">
        <f>IFERROR(__xludf.DUMMYFUNCTION("""COMPUTED_VALUE"""),"")</f>
        <v/>
      </c>
      <c r="Q1280" s="136" t="str">
        <f>IFERROR(__xludf.DUMMYFUNCTION("""COMPUTED_VALUE"""),"")</f>
        <v/>
      </c>
      <c r="R1280" s="106" t="str">
        <f>IFERROR(__xludf.DUMMYFUNCTION("""COMPUTED_VALUE"""),"")</f>
        <v/>
      </c>
      <c r="S1280" s="106" t="str">
        <f>IFERROR(__xludf.DUMMYFUNCTION("""COMPUTED_VALUE"""),"")</f>
        <v/>
      </c>
      <c r="T1280" s="139" t="str">
        <f>IFERROR(__xludf.DUMMYFUNCTION("""COMPUTED_VALUE"""),"")</f>
        <v/>
      </c>
      <c r="U1280" s="139" t="str">
        <f>IFERROR(__xludf.DUMMYFUNCTION("""COMPUTED_VALUE"""),"")</f>
        <v/>
      </c>
      <c r="V1280" s="136" t="str">
        <f>IFERROR(__xludf.DUMMYFUNCTION("""COMPUTED_VALUE"""),"")</f>
        <v/>
      </c>
      <c r="W1280" s="106" t="str">
        <f>IFERROR(__xludf.DUMMYFUNCTION("""COMPUTED_VALUE"""),"")</f>
        <v/>
      </c>
      <c r="X1280" s="143" t="str">
        <f t="shared" si="2"/>
        <v/>
      </c>
      <c r="Y1280" s="139" t="str">
        <f>IFERROR(__xludf.DUMMYFUNCTION("""COMPUTED_VALUE"""),"")</f>
        <v/>
      </c>
      <c r="Z1280" s="141" t="str">
        <f>IFERROR(__xludf.DUMMYFUNCTION("""COMPUTED_VALUE"""),"")</f>
        <v/>
      </c>
    </row>
    <row r="1281">
      <c r="D1281" s="136" t="str">
        <f t="shared" si="3"/>
        <v/>
      </c>
      <c r="E1281" s="152"/>
      <c r="F1281" s="106" t="s">
        <v>133</v>
      </c>
      <c r="G1281" s="152"/>
      <c r="H1281" s="106" t="s">
        <v>133</v>
      </c>
      <c r="J1281" s="139" t="s">
        <v>133</v>
      </c>
      <c r="K1281" s="136" t="s">
        <v>133</v>
      </c>
      <c r="L1281" s="153"/>
      <c r="M1281" s="136" t="str">
        <f t="shared" si="1"/>
        <v/>
      </c>
      <c r="O1281" s="141" t="s">
        <v>133</v>
      </c>
      <c r="P1281" s="136" t="str">
        <f>IFERROR(__xludf.DUMMYFUNCTION("""COMPUTED_VALUE"""),"")</f>
        <v/>
      </c>
      <c r="Q1281" s="136" t="str">
        <f>IFERROR(__xludf.DUMMYFUNCTION("""COMPUTED_VALUE"""),"")</f>
        <v/>
      </c>
      <c r="R1281" s="106" t="str">
        <f>IFERROR(__xludf.DUMMYFUNCTION("""COMPUTED_VALUE"""),"")</f>
        <v/>
      </c>
      <c r="S1281" s="106" t="str">
        <f>IFERROR(__xludf.DUMMYFUNCTION("""COMPUTED_VALUE"""),"")</f>
        <v/>
      </c>
      <c r="T1281" s="139" t="str">
        <f>IFERROR(__xludf.DUMMYFUNCTION("""COMPUTED_VALUE"""),"")</f>
        <v/>
      </c>
      <c r="U1281" s="139" t="str">
        <f>IFERROR(__xludf.DUMMYFUNCTION("""COMPUTED_VALUE"""),"")</f>
        <v/>
      </c>
      <c r="V1281" s="136" t="str">
        <f>IFERROR(__xludf.DUMMYFUNCTION("""COMPUTED_VALUE"""),"")</f>
        <v/>
      </c>
      <c r="W1281" s="106" t="str">
        <f>IFERROR(__xludf.DUMMYFUNCTION("""COMPUTED_VALUE"""),"")</f>
        <v/>
      </c>
      <c r="X1281" s="143" t="str">
        <f t="shared" si="2"/>
        <v/>
      </c>
      <c r="Y1281" s="139" t="str">
        <f>IFERROR(__xludf.DUMMYFUNCTION("""COMPUTED_VALUE"""),"")</f>
        <v/>
      </c>
      <c r="Z1281" s="141" t="str">
        <f>IFERROR(__xludf.DUMMYFUNCTION("""COMPUTED_VALUE"""),"")</f>
        <v/>
      </c>
    </row>
    <row r="1282">
      <c r="D1282" s="136" t="str">
        <f t="shared" si="3"/>
        <v/>
      </c>
      <c r="E1282" s="152"/>
      <c r="F1282" s="106" t="s">
        <v>133</v>
      </c>
      <c r="G1282" s="152"/>
      <c r="H1282" s="106" t="s">
        <v>133</v>
      </c>
      <c r="J1282" s="139" t="s">
        <v>133</v>
      </c>
      <c r="K1282" s="136" t="s">
        <v>133</v>
      </c>
      <c r="L1282" s="153"/>
      <c r="M1282" s="136" t="str">
        <f t="shared" si="1"/>
        <v/>
      </c>
      <c r="O1282" s="141" t="s">
        <v>133</v>
      </c>
      <c r="P1282" s="136" t="str">
        <f>IFERROR(__xludf.DUMMYFUNCTION("""COMPUTED_VALUE"""),"")</f>
        <v/>
      </c>
      <c r="Q1282" s="136" t="str">
        <f>IFERROR(__xludf.DUMMYFUNCTION("""COMPUTED_VALUE"""),"")</f>
        <v/>
      </c>
      <c r="R1282" s="106" t="str">
        <f>IFERROR(__xludf.DUMMYFUNCTION("""COMPUTED_VALUE"""),"")</f>
        <v/>
      </c>
      <c r="S1282" s="106" t="str">
        <f>IFERROR(__xludf.DUMMYFUNCTION("""COMPUTED_VALUE"""),"")</f>
        <v/>
      </c>
      <c r="T1282" s="139" t="str">
        <f>IFERROR(__xludf.DUMMYFUNCTION("""COMPUTED_VALUE"""),"")</f>
        <v/>
      </c>
      <c r="U1282" s="139" t="str">
        <f>IFERROR(__xludf.DUMMYFUNCTION("""COMPUTED_VALUE"""),"")</f>
        <v/>
      </c>
      <c r="V1282" s="136" t="str">
        <f>IFERROR(__xludf.DUMMYFUNCTION("""COMPUTED_VALUE"""),"")</f>
        <v/>
      </c>
      <c r="W1282" s="106" t="str">
        <f>IFERROR(__xludf.DUMMYFUNCTION("""COMPUTED_VALUE"""),"")</f>
        <v/>
      </c>
      <c r="X1282" s="143" t="str">
        <f t="shared" si="2"/>
        <v/>
      </c>
      <c r="Y1282" s="139" t="str">
        <f>IFERROR(__xludf.DUMMYFUNCTION("""COMPUTED_VALUE"""),"")</f>
        <v/>
      </c>
      <c r="Z1282" s="141" t="str">
        <f>IFERROR(__xludf.DUMMYFUNCTION("""COMPUTED_VALUE"""),"")</f>
        <v/>
      </c>
    </row>
    <row r="1283">
      <c r="D1283" s="136" t="str">
        <f t="shared" si="3"/>
        <v/>
      </c>
      <c r="E1283" s="152"/>
      <c r="F1283" s="106" t="s">
        <v>133</v>
      </c>
      <c r="G1283" s="152"/>
      <c r="H1283" s="106" t="s">
        <v>133</v>
      </c>
      <c r="J1283" s="139" t="s">
        <v>133</v>
      </c>
      <c r="K1283" s="136" t="s">
        <v>133</v>
      </c>
      <c r="L1283" s="153"/>
      <c r="M1283" s="136" t="str">
        <f t="shared" si="1"/>
        <v/>
      </c>
      <c r="O1283" s="141" t="s">
        <v>133</v>
      </c>
      <c r="P1283" s="136" t="str">
        <f>IFERROR(__xludf.DUMMYFUNCTION("""COMPUTED_VALUE"""),"")</f>
        <v/>
      </c>
      <c r="Q1283" s="136" t="str">
        <f>IFERROR(__xludf.DUMMYFUNCTION("""COMPUTED_VALUE"""),"")</f>
        <v/>
      </c>
      <c r="R1283" s="106" t="str">
        <f>IFERROR(__xludf.DUMMYFUNCTION("""COMPUTED_VALUE"""),"")</f>
        <v/>
      </c>
      <c r="S1283" s="106" t="str">
        <f>IFERROR(__xludf.DUMMYFUNCTION("""COMPUTED_VALUE"""),"")</f>
        <v/>
      </c>
      <c r="T1283" s="139" t="str">
        <f>IFERROR(__xludf.DUMMYFUNCTION("""COMPUTED_VALUE"""),"")</f>
        <v/>
      </c>
      <c r="U1283" s="139" t="str">
        <f>IFERROR(__xludf.DUMMYFUNCTION("""COMPUTED_VALUE"""),"")</f>
        <v/>
      </c>
      <c r="V1283" s="136" t="str">
        <f>IFERROR(__xludf.DUMMYFUNCTION("""COMPUTED_VALUE"""),"")</f>
        <v/>
      </c>
      <c r="W1283" s="106" t="str">
        <f>IFERROR(__xludf.DUMMYFUNCTION("""COMPUTED_VALUE"""),"")</f>
        <v/>
      </c>
      <c r="X1283" s="143" t="str">
        <f t="shared" si="2"/>
        <v/>
      </c>
      <c r="Y1283" s="139" t="str">
        <f>IFERROR(__xludf.DUMMYFUNCTION("""COMPUTED_VALUE"""),"")</f>
        <v/>
      </c>
      <c r="Z1283" s="141" t="str">
        <f>IFERROR(__xludf.DUMMYFUNCTION("""COMPUTED_VALUE"""),"")</f>
        <v/>
      </c>
    </row>
    <row r="1284">
      <c r="D1284" s="136" t="str">
        <f t="shared" si="3"/>
        <v/>
      </c>
      <c r="E1284" s="152"/>
      <c r="F1284" s="106" t="s">
        <v>133</v>
      </c>
      <c r="G1284" s="152"/>
      <c r="H1284" s="106" t="s">
        <v>133</v>
      </c>
      <c r="J1284" s="139" t="s">
        <v>133</v>
      </c>
      <c r="K1284" s="136" t="s">
        <v>133</v>
      </c>
      <c r="L1284" s="153"/>
      <c r="M1284" s="136" t="str">
        <f t="shared" si="1"/>
        <v/>
      </c>
      <c r="O1284" s="141" t="s">
        <v>133</v>
      </c>
      <c r="P1284" s="136" t="str">
        <f>IFERROR(__xludf.DUMMYFUNCTION("""COMPUTED_VALUE"""),"")</f>
        <v/>
      </c>
      <c r="Q1284" s="136" t="str">
        <f>IFERROR(__xludf.DUMMYFUNCTION("""COMPUTED_VALUE"""),"")</f>
        <v/>
      </c>
      <c r="R1284" s="106" t="str">
        <f>IFERROR(__xludf.DUMMYFUNCTION("""COMPUTED_VALUE"""),"")</f>
        <v/>
      </c>
      <c r="S1284" s="106" t="str">
        <f>IFERROR(__xludf.DUMMYFUNCTION("""COMPUTED_VALUE"""),"")</f>
        <v/>
      </c>
      <c r="T1284" s="139" t="str">
        <f>IFERROR(__xludf.DUMMYFUNCTION("""COMPUTED_VALUE"""),"")</f>
        <v/>
      </c>
      <c r="U1284" s="139" t="str">
        <f>IFERROR(__xludf.DUMMYFUNCTION("""COMPUTED_VALUE"""),"")</f>
        <v/>
      </c>
      <c r="V1284" s="136" t="str">
        <f>IFERROR(__xludf.DUMMYFUNCTION("""COMPUTED_VALUE"""),"")</f>
        <v/>
      </c>
      <c r="W1284" s="106" t="str">
        <f>IFERROR(__xludf.DUMMYFUNCTION("""COMPUTED_VALUE"""),"")</f>
        <v/>
      </c>
      <c r="X1284" s="143" t="str">
        <f t="shared" si="2"/>
        <v/>
      </c>
      <c r="Y1284" s="139" t="str">
        <f>IFERROR(__xludf.DUMMYFUNCTION("""COMPUTED_VALUE"""),"")</f>
        <v/>
      </c>
      <c r="Z1284" s="141" t="str">
        <f>IFERROR(__xludf.DUMMYFUNCTION("""COMPUTED_VALUE"""),"")</f>
        <v/>
      </c>
    </row>
    <row r="1285">
      <c r="D1285" s="136" t="str">
        <f t="shared" si="3"/>
        <v/>
      </c>
      <c r="E1285" s="152"/>
      <c r="F1285" s="106" t="s">
        <v>133</v>
      </c>
      <c r="G1285" s="152"/>
      <c r="H1285" s="106" t="s">
        <v>133</v>
      </c>
      <c r="J1285" s="139" t="s">
        <v>133</v>
      </c>
      <c r="K1285" s="136" t="s">
        <v>133</v>
      </c>
      <c r="L1285" s="153"/>
      <c r="M1285" s="136" t="str">
        <f t="shared" si="1"/>
        <v/>
      </c>
      <c r="O1285" s="141" t="s">
        <v>133</v>
      </c>
      <c r="P1285" s="136" t="str">
        <f>IFERROR(__xludf.DUMMYFUNCTION("""COMPUTED_VALUE"""),"")</f>
        <v/>
      </c>
      <c r="Q1285" s="136" t="str">
        <f>IFERROR(__xludf.DUMMYFUNCTION("""COMPUTED_VALUE"""),"")</f>
        <v/>
      </c>
      <c r="R1285" s="106" t="str">
        <f>IFERROR(__xludf.DUMMYFUNCTION("""COMPUTED_VALUE"""),"")</f>
        <v/>
      </c>
      <c r="S1285" s="106" t="str">
        <f>IFERROR(__xludf.DUMMYFUNCTION("""COMPUTED_VALUE"""),"")</f>
        <v/>
      </c>
      <c r="T1285" s="139" t="str">
        <f>IFERROR(__xludf.DUMMYFUNCTION("""COMPUTED_VALUE"""),"")</f>
        <v/>
      </c>
      <c r="U1285" s="139" t="str">
        <f>IFERROR(__xludf.DUMMYFUNCTION("""COMPUTED_VALUE"""),"")</f>
        <v/>
      </c>
      <c r="V1285" s="136" t="str">
        <f>IFERROR(__xludf.DUMMYFUNCTION("""COMPUTED_VALUE"""),"")</f>
        <v/>
      </c>
      <c r="W1285" s="106" t="str">
        <f>IFERROR(__xludf.DUMMYFUNCTION("""COMPUTED_VALUE"""),"")</f>
        <v/>
      </c>
      <c r="X1285" s="143" t="str">
        <f t="shared" si="2"/>
        <v/>
      </c>
      <c r="Y1285" s="139" t="str">
        <f>IFERROR(__xludf.DUMMYFUNCTION("""COMPUTED_VALUE"""),"")</f>
        <v/>
      </c>
      <c r="Z1285" s="141" t="str">
        <f>IFERROR(__xludf.DUMMYFUNCTION("""COMPUTED_VALUE"""),"")</f>
        <v/>
      </c>
    </row>
    <row r="1286">
      <c r="D1286" s="136" t="str">
        <f t="shared" si="3"/>
        <v/>
      </c>
      <c r="E1286" s="152"/>
      <c r="F1286" s="106" t="s">
        <v>133</v>
      </c>
      <c r="G1286" s="152"/>
      <c r="H1286" s="106" t="s">
        <v>133</v>
      </c>
      <c r="J1286" s="139" t="s">
        <v>133</v>
      </c>
      <c r="K1286" s="136" t="s">
        <v>133</v>
      </c>
      <c r="L1286" s="153"/>
      <c r="M1286" s="136" t="str">
        <f t="shared" si="1"/>
        <v/>
      </c>
      <c r="O1286" s="141" t="s">
        <v>133</v>
      </c>
      <c r="P1286" s="136" t="str">
        <f>IFERROR(__xludf.DUMMYFUNCTION("""COMPUTED_VALUE"""),"")</f>
        <v/>
      </c>
      <c r="Q1286" s="136" t="str">
        <f>IFERROR(__xludf.DUMMYFUNCTION("""COMPUTED_VALUE"""),"")</f>
        <v/>
      </c>
      <c r="R1286" s="106" t="str">
        <f>IFERROR(__xludf.DUMMYFUNCTION("""COMPUTED_VALUE"""),"")</f>
        <v/>
      </c>
      <c r="S1286" s="106" t="str">
        <f>IFERROR(__xludf.DUMMYFUNCTION("""COMPUTED_VALUE"""),"")</f>
        <v/>
      </c>
      <c r="T1286" s="139" t="str">
        <f>IFERROR(__xludf.DUMMYFUNCTION("""COMPUTED_VALUE"""),"")</f>
        <v/>
      </c>
      <c r="U1286" s="139" t="str">
        <f>IFERROR(__xludf.DUMMYFUNCTION("""COMPUTED_VALUE"""),"")</f>
        <v/>
      </c>
      <c r="V1286" s="136" t="str">
        <f>IFERROR(__xludf.DUMMYFUNCTION("""COMPUTED_VALUE"""),"")</f>
        <v/>
      </c>
      <c r="W1286" s="106" t="str">
        <f>IFERROR(__xludf.DUMMYFUNCTION("""COMPUTED_VALUE"""),"")</f>
        <v/>
      </c>
      <c r="X1286" s="143" t="str">
        <f t="shared" si="2"/>
        <v/>
      </c>
      <c r="Y1286" s="139" t="str">
        <f>IFERROR(__xludf.DUMMYFUNCTION("""COMPUTED_VALUE"""),"")</f>
        <v/>
      </c>
      <c r="Z1286" s="141" t="str">
        <f>IFERROR(__xludf.DUMMYFUNCTION("""COMPUTED_VALUE"""),"")</f>
        <v/>
      </c>
    </row>
    <row r="1287">
      <c r="D1287" s="136" t="str">
        <f t="shared" si="3"/>
        <v/>
      </c>
      <c r="E1287" s="152"/>
      <c r="F1287" s="106" t="s">
        <v>133</v>
      </c>
      <c r="G1287" s="152"/>
      <c r="H1287" s="106" t="s">
        <v>133</v>
      </c>
      <c r="J1287" s="139" t="s">
        <v>133</v>
      </c>
      <c r="K1287" s="136" t="s">
        <v>133</v>
      </c>
      <c r="L1287" s="153"/>
      <c r="M1287" s="136" t="str">
        <f t="shared" si="1"/>
        <v/>
      </c>
      <c r="O1287" s="141" t="s">
        <v>133</v>
      </c>
      <c r="P1287" s="136" t="str">
        <f>IFERROR(__xludf.DUMMYFUNCTION("""COMPUTED_VALUE"""),"")</f>
        <v/>
      </c>
      <c r="Q1287" s="136" t="str">
        <f>IFERROR(__xludf.DUMMYFUNCTION("""COMPUTED_VALUE"""),"")</f>
        <v/>
      </c>
      <c r="R1287" s="106" t="str">
        <f>IFERROR(__xludf.DUMMYFUNCTION("""COMPUTED_VALUE"""),"")</f>
        <v/>
      </c>
      <c r="S1287" s="106" t="str">
        <f>IFERROR(__xludf.DUMMYFUNCTION("""COMPUTED_VALUE"""),"")</f>
        <v/>
      </c>
      <c r="T1287" s="139" t="str">
        <f>IFERROR(__xludf.DUMMYFUNCTION("""COMPUTED_VALUE"""),"")</f>
        <v/>
      </c>
      <c r="U1287" s="139" t="str">
        <f>IFERROR(__xludf.DUMMYFUNCTION("""COMPUTED_VALUE"""),"")</f>
        <v/>
      </c>
      <c r="V1287" s="136" t="str">
        <f>IFERROR(__xludf.DUMMYFUNCTION("""COMPUTED_VALUE"""),"")</f>
        <v/>
      </c>
      <c r="W1287" s="106" t="str">
        <f>IFERROR(__xludf.DUMMYFUNCTION("""COMPUTED_VALUE"""),"")</f>
        <v/>
      </c>
      <c r="X1287" s="143" t="str">
        <f t="shared" si="2"/>
        <v/>
      </c>
      <c r="Y1287" s="139" t="str">
        <f>IFERROR(__xludf.DUMMYFUNCTION("""COMPUTED_VALUE"""),"")</f>
        <v/>
      </c>
      <c r="Z1287" s="141" t="str">
        <f>IFERROR(__xludf.DUMMYFUNCTION("""COMPUTED_VALUE"""),"")</f>
        <v/>
      </c>
    </row>
    <row r="1288">
      <c r="D1288" s="136" t="str">
        <f t="shared" si="3"/>
        <v/>
      </c>
      <c r="E1288" s="152"/>
      <c r="F1288" s="106" t="s">
        <v>133</v>
      </c>
      <c r="G1288" s="152"/>
      <c r="H1288" s="106" t="s">
        <v>133</v>
      </c>
      <c r="J1288" s="139" t="s">
        <v>133</v>
      </c>
      <c r="K1288" s="136" t="s">
        <v>133</v>
      </c>
      <c r="L1288" s="153"/>
      <c r="M1288" s="136" t="str">
        <f t="shared" si="1"/>
        <v/>
      </c>
      <c r="O1288" s="141" t="s">
        <v>133</v>
      </c>
      <c r="P1288" s="136" t="str">
        <f>IFERROR(__xludf.DUMMYFUNCTION("""COMPUTED_VALUE"""),"")</f>
        <v/>
      </c>
      <c r="Q1288" s="136" t="str">
        <f>IFERROR(__xludf.DUMMYFUNCTION("""COMPUTED_VALUE"""),"")</f>
        <v/>
      </c>
      <c r="R1288" s="106" t="str">
        <f>IFERROR(__xludf.DUMMYFUNCTION("""COMPUTED_VALUE"""),"")</f>
        <v/>
      </c>
      <c r="S1288" s="106" t="str">
        <f>IFERROR(__xludf.DUMMYFUNCTION("""COMPUTED_VALUE"""),"")</f>
        <v/>
      </c>
      <c r="T1288" s="139" t="str">
        <f>IFERROR(__xludf.DUMMYFUNCTION("""COMPUTED_VALUE"""),"")</f>
        <v/>
      </c>
      <c r="U1288" s="139" t="str">
        <f>IFERROR(__xludf.DUMMYFUNCTION("""COMPUTED_VALUE"""),"")</f>
        <v/>
      </c>
      <c r="V1288" s="136" t="str">
        <f>IFERROR(__xludf.DUMMYFUNCTION("""COMPUTED_VALUE"""),"")</f>
        <v/>
      </c>
      <c r="W1288" s="106" t="str">
        <f>IFERROR(__xludf.DUMMYFUNCTION("""COMPUTED_VALUE"""),"")</f>
        <v/>
      </c>
      <c r="X1288" s="143" t="str">
        <f t="shared" si="2"/>
        <v/>
      </c>
      <c r="Y1288" s="139" t="str">
        <f>IFERROR(__xludf.DUMMYFUNCTION("""COMPUTED_VALUE"""),"")</f>
        <v/>
      </c>
      <c r="Z1288" s="141" t="str">
        <f>IFERROR(__xludf.DUMMYFUNCTION("""COMPUTED_VALUE"""),"")</f>
        <v/>
      </c>
    </row>
    <row r="1289">
      <c r="D1289" s="136" t="str">
        <f t="shared" si="3"/>
        <v/>
      </c>
      <c r="E1289" s="152"/>
      <c r="F1289" s="106" t="s">
        <v>133</v>
      </c>
      <c r="G1289" s="152"/>
      <c r="H1289" s="106" t="s">
        <v>133</v>
      </c>
      <c r="J1289" s="139" t="s">
        <v>133</v>
      </c>
      <c r="K1289" s="136" t="s">
        <v>133</v>
      </c>
      <c r="L1289" s="153"/>
      <c r="M1289" s="136" t="str">
        <f t="shared" si="1"/>
        <v/>
      </c>
      <c r="O1289" s="141" t="s">
        <v>133</v>
      </c>
      <c r="P1289" s="136" t="str">
        <f>IFERROR(__xludf.DUMMYFUNCTION("""COMPUTED_VALUE"""),"")</f>
        <v/>
      </c>
      <c r="Q1289" s="136" t="str">
        <f>IFERROR(__xludf.DUMMYFUNCTION("""COMPUTED_VALUE"""),"")</f>
        <v/>
      </c>
      <c r="R1289" s="106" t="str">
        <f>IFERROR(__xludf.DUMMYFUNCTION("""COMPUTED_VALUE"""),"")</f>
        <v/>
      </c>
      <c r="S1289" s="106" t="str">
        <f>IFERROR(__xludf.DUMMYFUNCTION("""COMPUTED_VALUE"""),"")</f>
        <v/>
      </c>
      <c r="T1289" s="139" t="str">
        <f>IFERROR(__xludf.DUMMYFUNCTION("""COMPUTED_VALUE"""),"")</f>
        <v/>
      </c>
      <c r="U1289" s="139" t="str">
        <f>IFERROR(__xludf.DUMMYFUNCTION("""COMPUTED_VALUE"""),"")</f>
        <v/>
      </c>
      <c r="V1289" s="136" t="str">
        <f>IFERROR(__xludf.DUMMYFUNCTION("""COMPUTED_VALUE"""),"")</f>
        <v/>
      </c>
      <c r="W1289" s="106" t="str">
        <f>IFERROR(__xludf.DUMMYFUNCTION("""COMPUTED_VALUE"""),"")</f>
        <v/>
      </c>
      <c r="X1289" s="143" t="str">
        <f t="shared" si="2"/>
        <v/>
      </c>
      <c r="Y1289" s="139" t="str">
        <f>IFERROR(__xludf.DUMMYFUNCTION("""COMPUTED_VALUE"""),"")</f>
        <v/>
      </c>
      <c r="Z1289" s="141" t="str">
        <f>IFERROR(__xludf.DUMMYFUNCTION("""COMPUTED_VALUE"""),"")</f>
        <v/>
      </c>
    </row>
    <row r="1290">
      <c r="D1290" s="136" t="str">
        <f t="shared" si="3"/>
        <v/>
      </c>
      <c r="E1290" s="152"/>
      <c r="F1290" s="106" t="s">
        <v>133</v>
      </c>
      <c r="G1290" s="152"/>
      <c r="H1290" s="106" t="s">
        <v>133</v>
      </c>
      <c r="J1290" s="139" t="s">
        <v>133</v>
      </c>
      <c r="K1290" s="136" t="s">
        <v>133</v>
      </c>
      <c r="L1290" s="153"/>
      <c r="M1290" s="136" t="str">
        <f t="shared" si="1"/>
        <v/>
      </c>
      <c r="O1290" s="141" t="s">
        <v>133</v>
      </c>
      <c r="P1290" s="136" t="str">
        <f>IFERROR(__xludf.DUMMYFUNCTION("""COMPUTED_VALUE"""),"")</f>
        <v/>
      </c>
      <c r="Q1290" s="136" t="str">
        <f>IFERROR(__xludf.DUMMYFUNCTION("""COMPUTED_VALUE"""),"")</f>
        <v/>
      </c>
      <c r="R1290" s="106" t="str">
        <f>IFERROR(__xludf.DUMMYFUNCTION("""COMPUTED_VALUE"""),"")</f>
        <v/>
      </c>
      <c r="S1290" s="106" t="str">
        <f>IFERROR(__xludf.DUMMYFUNCTION("""COMPUTED_VALUE"""),"")</f>
        <v/>
      </c>
      <c r="T1290" s="139" t="str">
        <f>IFERROR(__xludf.DUMMYFUNCTION("""COMPUTED_VALUE"""),"")</f>
        <v/>
      </c>
      <c r="U1290" s="139" t="str">
        <f>IFERROR(__xludf.DUMMYFUNCTION("""COMPUTED_VALUE"""),"")</f>
        <v/>
      </c>
      <c r="V1290" s="136" t="str">
        <f>IFERROR(__xludf.DUMMYFUNCTION("""COMPUTED_VALUE"""),"")</f>
        <v/>
      </c>
      <c r="W1290" s="106" t="str">
        <f>IFERROR(__xludf.DUMMYFUNCTION("""COMPUTED_VALUE"""),"")</f>
        <v/>
      </c>
      <c r="X1290" s="143" t="str">
        <f t="shared" si="2"/>
        <v/>
      </c>
      <c r="Y1290" s="139" t="str">
        <f>IFERROR(__xludf.DUMMYFUNCTION("""COMPUTED_VALUE"""),"")</f>
        <v/>
      </c>
      <c r="Z1290" s="141" t="str">
        <f>IFERROR(__xludf.DUMMYFUNCTION("""COMPUTED_VALUE"""),"")</f>
        <v/>
      </c>
    </row>
    <row r="1291">
      <c r="D1291" s="136" t="str">
        <f t="shared" si="3"/>
        <v/>
      </c>
      <c r="E1291" s="152"/>
      <c r="F1291" s="106" t="s">
        <v>133</v>
      </c>
      <c r="G1291" s="152"/>
      <c r="H1291" s="106" t="s">
        <v>133</v>
      </c>
      <c r="J1291" s="139" t="s">
        <v>133</v>
      </c>
      <c r="K1291" s="136" t="s">
        <v>133</v>
      </c>
      <c r="L1291" s="153"/>
      <c r="M1291" s="136" t="str">
        <f t="shared" si="1"/>
        <v/>
      </c>
      <c r="O1291" s="141" t="s">
        <v>133</v>
      </c>
      <c r="P1291" s="136" t="str">
        <f>IFERROR(__xludf.DUMMYFUNCTION("""COMPUTED_VALUE"""),"")</f>
        <v/>
      </c>
      <c r="Q1291" s="136" t="str">
        <f>IFERROR(__xludf.DUMMYFUNCTION("""COMPUTED_VALUE"""),"")</f>
        <v/>
      </c>
      <c r="R1291" s="106" t="str">
        <f>IFERROR(__xludf.DUMMYFUNCTION("""COMPUTED_VALUE"""),"")</f>
        <v/>
      </c>
      <c r="S1291" s="106" t="str">
        <f>IFERROR(__xludf.DUMMYFUNCTION("""COMPUTED_VALUE"""),"")</f>
        <v/>
      </c>
      <c r="T1291" s="139" t="str">
        <f>IFERROR(__xludf.DUMMYFUNCTION("""COMPUTED_VALUE"""),"")</f>
        <v/>
      </c>
      <c r="U1291" s="139" t="str">
        <f>IFERROR(__xludf.DUMMYFUNCTION("""COMPUTED_VALUE"""),"")</f>
        <v/>
      </c>
      <c r="V1291" s="136" t="str">
        <f>IFERROR(__xludf.DUMMYFUNCTION("""COMPUTED_VALUE"""),"")</f>
        <v/>
      </c>
      <c r="W1291" s="106" t="str">
        <f>IFERROR(__xludf.DUMMYFUNCTION("""COMPUTED_VALUE"""),"")</f>
        <v/>
      </c>
      <c r="X1291" s="143" t="str">
        <f t="shared" si="2"/>
        <v/>
      </c>
      <c r="Y1291" s="139" t="str">
        <f>IFERROR(__xludf.DUMMYFUNCTION("""COMPUTED_VALUE"""),"")</f>
        <v/>
      </c>
      <c r="Z1291" s="141" t="str">
        <f>IFERROR(__xludf.DUMMYFUNCTION("""COMPUTED_VALUE"""),"")</f>
        <v/>
      </c>
    </row>
    <row r="1292">
      <c r="D1292" s="136" t="str">
        <f t="shared" si="3"/>
        <v/>
      </c>
      <c r="E1292" s="152"/>
      <c r="F1292" s="106" t="s">
        <v>133</v>
      </c>
      <c r="G1292" s="152"/>
      <c r="H1292" s="106" t="s">
        <v>133</v>
      </c>
      <c r="J1292" s="139" t="s">
        <v>133</v>
      </c>
      <c r="K1292" s="136" t="s">
        <v>133</v>
      </c>
      <c r="L1292" s="153"/>
      <c r="M1292" s="136" t="str">
        <f t="shared" si="1"/>
        <v/>
      </c>
      <c r="O1292" s="141" t="s">
        <v>133</v>
      </c>
      <c r="P1292" s="136" t="str">
        <f>IFERROR(__xludf.DUMMYFUNCTION("""COMPUTED_VALUE"""),"")</f>
        <v/>
      </c>
      <c r="Q1292" s="136" t="str">
        <f>IFERROR(__xludf.DUMMYFUNCTION("""COMPUTED_VALUE"""),"")</f>
        <v/>
      </c>
      <c r="R1292" s="106" t="str">
        <f>IFERROR(__xludf.DUMMYFUNCTION("""COMPUTED_VALUE"""),"")</f>
        <v/>
      </c>
      <c r="S1292" s="106" t="str">
        <f>IFERROR(__xludf.DUMMYFUNCTION("""COMPUTED_VALUE"""),"")</f>
        <v/>
      </c>
      <c r="T1292" s="139" t="str">
        <f>IFERROR(__xludf.DUMMYFUNCTION("""COMPUTED_VALUE"""),"")</f>
        <v/>
      </c>
      <c r="U1292" s="139" t="str">
        <f>IFERROR(__xludf.DUMMYFUNCTION("""COMPUTED_VALUE"""),"")</f>
        <v/>
      </c>
      <c r="V1292" s="136" t="str">
        <f>IFERROR(__xludf.DUMMYFUNCTION("""COMPUTED_VALUE"""),"")</f>
        <v/>
      </c>
      <c r="W1292" s="106" t="str">
        <f>IFERROR(__xludf.DUMMYFUNCTION("""COMPUTED_VALUE"""),"")</f>
        <v/>
      </c>
      <c r="X1292" s="143" t="str">
        <f t="shared" si="2"/>
        <v/>
      </c>
      <c r="Y1292" s="139" t="str">
        <f>IFERROR(__xludf.DUMMYFUNCTION("""COMPUTED_VALUE"""),"")</f>
        <v/>
      </c>
      <c r="Z1292" s="141" t="str">
        <f>IFERROR(__xludf.DUMMYFUNCTION("""COMPUTED_VALUE"""),"")</f>
        <v/>
      </c>
    </row>
    <row r="1293">
      <c r="D1293" s="136" t="str">
        <f t="shared" si="3"/>
        <v/>
      </c>
      <c r="E1293" s="152"/>
      <c r="F1293" s="106" t="s">
        <v>133</v>
      </c>
      <c r="G1293" s="152"/>
      <c r="H1293" s="106" t="s">
        <v>133</v>
      </c>
      <c r="J1293" s="139" t="s">
        <v>133</v>
      </c>
      <c r="K1293" s="136" t="s">
        <v>133</v>
      </c>
      <c r="L1293" s="153"/>
      <c r="M1293" s="136" t="str">
        <f t="shared" si="1"/>
        <v/>
      </c>
      <c r="O1293" s="141" t="s">
        <v>133</v>
      </c>
      <c r="P1293" s="136" t="str">
        <f>IFERROR(__xludf.DUMMYFUNCTION("""COMPUTED_VALUE"""),"")</f>
        <v/>
      </c>
      <c r="Q1293" s="136" t="str">
        <f>IFERROR(__xludf.DUMMYFUNCTION("""COMPUTED_VALUE"""),"")</f>
        <v/>
      </c>
      <c r="R1293" s="106" t="str">
        <f>IFERROR(__xludf.DUMMYFUNCTION("""COMPUTED_VALUE"""),"")</f>
        <v/>
      </c>
      <c r="S1293" s="106" t="str">
        <f>IFERROR(__xludf.DUMMYFUNCTION("""COMPUTED_VALUE"""),"")</f>
        <v/>
      </c>
      <c r="T1293" s="139" t="str">
        <f>IFERROR(__xludf.DUMMYFUNCTION("""COMPUTED_VALUE"""),"")</f>
        <v/>
      </c>
      <c r="U1293" s="139" t="str">
        <f>IFERROR(__xludf.DUMMYFUNCTION("""COMPUTED_VALUE"""),"")</f>
        <v/>
      </c>
      <c r="V1293" s="136" t="str">
        <f>IFERROR(__xludf.DUMMYFUNCTION("""COMPUTED_VALUE"""),"")</f>
        <v/>
      </c>
      <c r="W1293" s="106" t="str">
        <f>IFERROR(__xludf.DUMMYFUNCTION("""COMPUTED_VALUE"""),"")</f>
        <v/>
      </c>
      <c r="X1293" s="143" t="str">
        <f t="shared" si="2"/>
        <v/>
      </c>
      <c r="Y1293" s="139" t="str">
        <f>IFERROR(__xludf.DUMMYFUNCTION("""COMPUTED_VALUE"""),"")</f>
        <v/>
      </c>
      <c r="Z1293" s="141" t="str">
        <f>IFERROR(__xludf.DUMMYFUNCTION("""COMPUTED_VALUE"""),"")</f>
        <v/>
      </c>
    </row>
    <row r="1294">
      <c r="D1294" s="136" t="str">
        <f t="shared" si="3"/>
        <v/>
      </c>
      <c r="E1294" s="152"/>
      <c r="F1294" s="106" t="s">
        <v>133</v>
      </c>
      <c r="G1294" s="152"/>
      <c r="H1294" s="106" t="s">
        <v>133</v>
      </c>
      <c r="J1294" s="139" t="s">
        <v>133</v>
      </c>
      <c r="K1294" s="136" t="s">
        <v>133</v>
      </c>
      <c r="L1294" s="153"/>
      <c r="M1294" s="136" t="str">
        <f t="shared" si="1"/>
        <v/>
      </c>
      <c r="O1294" s="141" t="s">
        <v>133</v>
      </c>
      <c r="P1294" s="136" t="str">
        <f>IFERROR(__xludf.DUMMYFUNCTION("""COMPUTED_VALUE"""),"")</f>
        <v/>
      </c>
      <c r="Q1294" s="136" t="str">
        <f>IFERROR(__xludf.DUMMYFUNCTION("""COMPUTED_VALUE"""),"")</f>
        <v/>
      </c>
      <c r="R1294" s="106" t="str">
        <f>IFERROR(__xludf.DUMMYFUNCTION("""COMPUTED_VALUE"""),"")</f>
        <v/>
      </c>
      <c r="S1294" s="106" t="str">
        <f>IFERROR(__xludf.DUMMYFUNCTION("""COMPUTED_VALUE"""),"")</f>
        <v/>
      </c>
      <c r="T1294" s="139" t="str">
        <f>IFERROR(__xludf.DUMMYFUNCTION("""COMPUTED_VALUE"""),"")</f>
        <v/>
      </c>
      <c r="U1294" s="139" t="str">
        <f>IFERROR(__xludf.DUMMYFUNCTION("""COMPUTED_VALUE"""),"")</f>
        <v/>
      </c>
      <c r="V1294" s="136" t="str">
        <f>IFERROR(__xludf.DUMMYFUNCTION("""COMPUTED_VALUE"""),"")</f>
        <v/>
      </c>
      <c r="W1294" s="106" t="str">
        <f>IFERROR(__xludf.DUMMYFUNCTION("""COMPUTED_VALUE"""),"")</f>
        <v/>
      </c>
      <c r="X1294" s="143" t="str">
        <f t="shared" si="2"/>
        <v/>
      </c>
      <c r="Y1294" s="139" t="str">
        <f>IFERROR(__xludf.DUMMYFUNCTION("""COMPUTED_VALUE"""),"")</f>
        <v/>
      </c>
      <c r="Z1294" s="141" t="str">
        <f>IFERROR(__xludf.DUMMYFUNCTION("""COMPUTED_VALUE"""),"")</f>
        <v/>
      </c>
    </row>
    <row r="1295">
      <c r="D1295" s="136" t="str">
        <f t="shared" si="3"/>
        <v/>
      </c>
      <c r="E1295" s="152"/>
      <c r="F1295" s="106" t="s">
        <v>133</v>
      </c>
      <c r="G1295" s="152"/>
      <c r="H1295" s="106" t="s">
        <v>133</v>
      </c>
      <c r="J1295" s="139" t="s">
        <v>133</v>
      </c>
      <c r="K1295" s="136" t="s">
        <v>133</v>
      </c>
      <c r="L1295" s="153"/>
      <c r="M1295" s="136" t="str">
        <f t="shared" si="1"/>
        <v/>
      </c>
      <c r="O1295" s="141" t="s">
        <v>133</v>
      </c>
      <c r="P1295" s="136" t="str">
        <f>IFERROR(__xludf.DUMMYFUNCTION("""COMPUTED_VALUE"""),"")</f>
        <v/>
      </c>
      <c r="Q1295" s="136" t="str">
        <f>IFERROR(__xludf.DUMMYFUNCTION("""COMPUTED_VALUE"""),"")</f>
        <v/>
      </c>
      <c r="R1295" s="106" t="str">
        <f>IFERROR(__xludf.DUMMYFUNCTION("""COMPUTED_VALUE"""),"")</f>
        <v/>
      </c>
      <c r="S1295" s="106" t="str">
        <f>IFERROR(__xludf.DUMMYFUNCTION("""COMPUTED_VALUE"""),"")</f>
        <v/>
      </c>
      <c r="T1295" s="139" t="str">
        <f>IFERROR(__xludf.DUMMYFUNCTION("""COMPUTED_VALUE"""),"")</f>
        <v/>
      </c>
      <c r="U1295" s="139" t="str">
        <f>IFERROR(__xludf.DUMMYFUNCTION("""COMPUTED_VALUE"""),"")</f>
        <v/>
      </c>
      <c r="V1295" s="136" t="str">
        <f>IFERROR(__xludf.DUMMYFUNCTION("""COMPUTED_VALUE"""),"")</f>
        <v/>
      </c>
      <c r="W1295" s="106" t="str">
        <f>IFERROR(__xludf.DUMMYFUNCTION("""COMPUTED_VALUE"""),"")</f>
        <v/>
      </c>
      <c r="X1295" s="143" t="str">
        <f t="shared" si="2"/>
        <v/>
      </c>
      <c r="Y1295" s="139" t="str">
        <f>IFERROR(__xludf.DUMMYFUNCTION("""COMPUTED_VALUE"""),"")</f>
        <v/>
      </c>
      <c r="Z1295" s="141" t="str">
        <f>IFERROR(__xludf.DUMMYFUNCTION("""COMPUTED_VALUE"""),"")</f>
        <v/>
      </c>
    </row>
    <row r="1296">
      <c r="D1296" s="136" t="str">
        <f t="shared" si="3"/>
        <v/>
      </c>
      <c r="E1296" s="152"/>
      <c r="F1296" s="106" t="s">
        <v>133</v>
      </c>
      <c r="G1296" s="152"/>
      <c r="H1296" s="106" t="s">
        <v>133</v>
      </c>
      <c r="J1296" s="139" t="s">
        <v>133</v>
      </c>
      <c r="K1296" s="136" t="s">
        <v>133</v>
      </c>
      <c r="L1296" s="153"/>
      <c r="M1296" s="136" t="str">
        <f t="shared" si="1"/>
        <v/>
      </c>
      <c r="O1296" s="141" t="s">
        <v>133</v>
      </c>
      <c r="P1296" s="136" t="str">
        <f>IFERROR(__xludf.DUMMYFUNCTION("""COMPUTED_VALUE"""),"")</f>
        <v/>
      </c>
      <c r="Q1296" s="136" t="str">
        <f>IFERROR(__xludf.DUMMYFUNCTION("""COMPUTED_VALUE"""),"")</f>
        <v/>
      </c>
      <c r="R1296" s="106" t="str">
        <f>IFERROR(__xludf.DUMMYFUNCTION("""COMPUTED_VALUE"""),"")</f>
        <v/>
      </c>
      <c r="S1296" s="106" t="str">
        <f>IFERROR(__xludf.DUMMYFUNCTION("""COMPUTED_VALUE"""),"")</f>
        <v/>
      </c>
      <c r="T1296" s="139" t="str">
        <f>IFERROR(__xludf.DUMMYFUNCTION("""COMPUTED_VALUE"""),"")</f>
        <v/>
      </c>
      <c r="U1296" s="139" t="str">
        <f>IFERROR(__xludf.DUMMYFUNCTION("""COMPUTED_VALUE"""),"")</f>
        <v/>
      </c>
      <c r="V1296" s="136" t="str">
        <f>IFERROR(__xludf.DUMMYFUNCTION("""COMPUTED_VALUE"""),"")</f>
        <v/>
      </c>
      <c r="W1296" s="106" t="str">
        <f>IFERROR(__xludf.DUMMYFUNCTION("""COMPUTED_VALUE"""),"")</f>
        <v/>
      </c>
      <c r="X1296" s="143" t="str">
        <f t="shared" si="2"/>
        <v/>
      </c>
      <c r="Y1296" s="139" t="str">
        <f>IFERROR(__xludf.DUMMYFUNCTION("""COMPUTED_VALUE"""),"")</f>
        <v/>
      </c>
      <c r="Z1296" s="141" t="str">
        <f>IFERROR(__xludf.DUMMYFUNCTION("""COMPUTED_VALUE"""),"")</f>
        <v/>
      </c>
    </row>
    <row r="1297">
      <c r="D1297" s="136" t="str">
        <f t="shared" si="3"/>
        <v/>
      </c>
      <c r="E1297" s="152"/>
      <c r="F1297" s="106" t="s">
        <v>133</v>
      </c>
      <c r="G1297" s="152"/>
      <c r="H1297" s="106" t="s">
        <v>133</v>
      </c>
      <c r="J1297" s="139" t="s">
        <v>133</v>
      </c>
      <c r="K1297" s="136" t="s">
        <v>133</v>
      </c>
      <c r="L1297" s="153"/>
      <c r="M1297" s="136" t="str">
        <f t="shared" si="1"/>
        <v/>
      </c>
      <c r="O1297" s="141" t="s">
        <v>133</v>
      </c>
      <c r="P1297" s="136" t="str">
        <f>IFERROR(__xludf.DUMMYFUNCTION("""COMPUTED_VALUE"""),"")</f>
        <v/>
      </c>
      <c r="Q1297" s="136" t="str">
        <f>IFERROR(__xludf.DUMMYFUNCTION("""COMPUTED_VALUE"""),"")</f>
        <v/>
      </c>
      <c r="R1297" s="106" t="str">
        <f>IFERROR(__xludf.DUMMYFUNCTION("""COMPUTED_VALUE"""),"")</f>
        <v/>
      </c>
      <c r="S1297" s="106" t="str">
        <f>IFERROR(__xludf.DUMMYFUNCTION("""COMPUTED_VALUE"""),"")</f>
        <v/>
      </c>
      <c r="T1297" s="139" t="str">
        <f>IFERROR(__xludf.DUMMYFUNCTION("""COMPUTED_VALUE"""),"")</f>
        <v/>
      </c>
      <c r="U1297" s="139" t="str">
        <f>IFERROR(__xludf.DUMMYFUNCTION("""COMPUTED_VALUE"""),"")</f>
        <v/>
      </c>
      <c r="V1297" s="136" t="str">
        <f>IFERROR(__xludf.DUMMYFUNCTION("""COMPUTED_VALUE"""),"")</f>
        <v/>
      </c>
      <c r="W1297" s="106" t="str">
        <f>IFERROR(__xludf.DUMMYFUNCTION("""COMPUTED_VALUE"""),"")</f>
        <v/>
      </c>
      <c r="X1297" s="143" t="str">
        <f t="shared" si="2"/>
        <v/>
      </c>
      <c r="Y1297" s="139" t="str">
        <f>IFERROR(__xludf.DUMMYFUNCTION("""COMPUTED_VALUE"""),"")</f>
        <v/>
      </c>
      <c r="Z1297" s="141" t="str">
        <f>IFERROR(__xludf.DUMMYFUNCTION("""COMPUTED_VALUE"""),"")</f>
        <v/>
      </c>
    </row>
    <row r="1298">
      <c r="D1298" s="136" t="str">
        <f t="shared" si="3"/>
        <v/>
      </c>
      <c r="E1298" s="152"/>
      <c r="F1298" s="106" t="s">
        <v>133</v>
      </c>
      <c r="G1298" s="152"/>
      <c r="H1298" s="106" t="s">
        <v>133</v>
      </c>
      <c r="J1298" s="139" t="s">
        <v>133</v>
      </c>
      <c r="K1298" s="136" t="s">
        <v>133</v>
      </c>
      <c r="L1298" s="153"/>
      <c r="M1298" s="136" t="str">
        <f t="shared" si="1"/>
        <v/>
      </c>
      <c r="O1298" s="141" t="s">
        <v>133</v>
      </c>
      <c r="P1298" s="136" t="str">
        <f>IFERROR(__xludf.DUMMYFUNCTION("""COMPUTED_VALUE"""),"")</f>
        <v/>
      </c>
      <c r="Q1298" s="136" t="str">
        <f>IFERROR(__xludf.DUMMYFUNCTION("""COMPUTED_VALUE"""),"")</f>
        <v/>
      </c>
      <c r="R1298" s="106" t="str">
        <f>IFERROR(__xludf.DUMMYFUNCTION("""COMPUTED_VALUE"""),"")</f>
        <v/>
      </c>
      <c r="S1298" s="106" t="str">
        <f>IFERROR(__xludf.DUMMYFUNCTION("""COMPUTED_VALUE"""),"")</f>
        <v/>
      </c>
      <c r="T1298" s="139" t="str">
        <f>IFERROR(__xludf.DUMMYFUNCTION("""COMPUTED_VALUE"""),"")</f>
        <v/>
      </c>
      <c r="U1298" s="139" t="str">
        <f>IFERROR(__xludf.DUMMYFUNCTION("""COMPUTED_VALUE"""),"")</f>
        <v/>
      </c>
      <c r="V1298" s="136" t="str">
        <f>IFERROR(__xludf.DUMMYFUNCTION("""COMPUTED_VALUE"""),"")</f>
        <v/>
      </c>
      <c r="W1298" s="106" t="str">
        <f>IFERROR(__xludf.DUMMYFUNCTION("""COMPUTED_VALUE"""),"")</f>
        <v/>
      </c>
      <c r="X1298" s="143" t="str">
        <f t="shared" si="2"/>
        <v/>
      </c>
      <c r="Y1298" s="139" t="str">
        <f>IFERROR(__xludf.DUMMYFUNCTION("""COMPUTED_VALUE"""),"")</f>
        <v/>
      </c>
      <c r="Z1298" s="141" t="str">
        <f>IFERROR(__xludf.DUMMYFUNCTION("""COMPUTED_VALUE"""),"")</f>
        <v/>
      </c>
    </row>
    <row r="1299">
      <c r="D1299" s="136" t="str">
        <f t="shared" si="3"/>
        <v/>
      </c>
      <c r="E1299" s="152"/>
      <c r="F1299" s="106" t="s">
        <v>133</v>
      </c>
      <c r="G1299" s="152"/>
      <c r="H1299" s="106" t="s">
        <v>133</v>
      </c>
      <c r="J1299" s="139" t="s">
        <v>133</v>
      </c>
      <c r="K1299" s="136" t="s">
        <v>133</v>
      </c>
      <c r="L1299" s="153"/>
      <c r="M1299" s="136" t="str">
        <f t="shared" si="1"/>
        <v/>
      </c>
      <c r="O1299" s="141" t="s">
        <v>133</v>
      </c>
      <c r="P1299" s="136" t="str">
        <f>IFERROR(__xludf.DUMMYFUNCTION("""COMPUTED_VALUE"""),"")</f>
        <v/>
      </c>
      <c r="Q1299" s="136" t="str">
        <f>IFERROR(__xludf.DUMMYFUNCTION("""COMPUTED_VALUE"""),"")</f>
        <v/>
      </c>
      <c r="R1299" s="106" t="str">
        <f>IFERROR(__xludf.DUMMYFUNCTION("""COMPUTED_VALUE"""),"")</f>
        <v/>
      </c>
      <c r="S1299" s="106" t="str">
        <f>IFERROR(__xludf.DUMMYFUNCTION("""COMPUTED_VALUE"""),"")</f>
        <v/>
      </c>
      <c r="T1299" s="139" t="str">
        <f>IFERROR(__xludf.DUMMYFUNCTION("""COMPUTED_VALUE"""),"")</f>
        <v/>
      </c>
      <c r="U1299" s="139" t="str">
        <f>IFERROR(__xludf.DUMMYFUNCTION("""COMPUTED_VALUE"""),"")</f>
        <v/>
      </c>
      <c r="V1299" s="136" t="str">
        <f>IFERROR(__xludf.DUMMYFUNCTION("""COMPUTED_VALUE"""),"")</f>
        <v/>
      </c>
      <c r="W1299" s="106" t="str">
        <f>IFERROR(__xludf.DUMMYFUNCTION("""COMPUTED_VALUE"""),"")</f>
        <v/>
      </c>
      <c r="X1299" s="143" t="str">
        <f t="shared" si="2"/>
        <v/>
      </c>
      <c r="Y1299" s="139" t="str">
        <f>IFERROR(__xludf.DUMMYFUNCTION("""COMPUTED_VALUE"""),"")</f>
        <v/>
      </c>
      <c r="Z1299" s="141" t="str">
        <f>IFERROR(__xludf.DUMMYFUNCTION("""COMPUTED_VALUE"""),"")</f>
        <v/>
      </c>
    </row>
    <row r="1300">
      <c r="D1300" s="136" t="str">
        <f t="shared" si="3"/>
        <v/>
      </c>
      <c r="E1300" s="152"/>
      <c r="F1300" s="106" t="s">
        <v>133</v>
      </c>
      <c r="G1300" s="152"/>
      <c r="H1300" s="106" t="s">
        <v>133</v>
      </c>
      <c r="J1300" s="139" t="s">
        <v>133</v>
      </c>
      <c r="K1300" s="136" t="s">
        <v>133</v>
      </c>
      <c r="L1300" s="153"/>
      <c r="M1300" s="136" t="str">
        <f t="shared" si="1"/>
        <v/>
      </c>
      <c r="O1300" s="141" t="s">
        <v>133</v>
      </c>
      <c r="P1300" s="136" t="str">
        <f>IFERROR(__xludf.DUMMYFUNCTION("""COMPUTED_VALUE"""),"")</f>
        <v/>
      </c>
      <c r="Q1300" s="136" t="str">
        <f>IFERROR(__xludf.DUMMYFUNCTION("""COMPUTED_VALUE"""),"")</f>
        <v/>
      </c>
      <c r="R1300" s="106" t="str">
        <f>IFERROR(__xludf.DUMMYFUNCTION("""COMPUTED_VALUE"""),"")</f>
        <v/>
      </c>
      <c r="S1300" s="106" t="str">
        <f>IFERROR(__xludf.DUMMYFUNCTION("""COMPUTED_VALUE"""),"")</f>
        <v/>
      </c>
      <c r="T1300" s="139" t="str">
        <f>IFERROR(__xludf.DUMMYFUNCTION("""COMPUTED_VALUE"""),"")</f>
        <v/>
      </c>
      <c r="U1300" s="139" t="str">
        <f>IFERROR(__xludf.DUMMYFUNCTION("""COMPUTED_VALUE"""),"")</f>
        <v/>
      </c>
      <c r="V1300" s="136" t="str">
        <f>IFERROR(__xludf.DUMMYFUNCTION("""COMPUTED_VALUE"""),"")</f>
        <v/>
      </c>
      <c r="W1300" s="106" t="str">
        <f>IFERROR(__xludf.DUMMYFUNCTION("""COMPUTED_VALUE"""),"")</f>
        <v/>
      </c>
      <c r="X1300" s="143" t="str">
        <f t="shared" si="2"/>
        <v/>
      </c>
      <c r="Y1300" s="139" t="str">
        <f>IFERROR(__xludf.DUMMYFUNCTION("""COMPUTED_VALUE"""),"")</f>
        <v/>
      </c>
      <c r="Z1300" s="141" t="str">
        <f>IFERROR(__xludf.DUMMYFUNCTION("""COMPUTED_VALUE"""),"")</f>
        <v/>
      </c>
    </row>
    <row r="1301">
      <c r="D1301" s="136" t="str">
        <f t="shared" si="3"/>
        <v/>
      </c>
      <c r="E1301" s="152"/>
      <c r="F1301" s="106" t="s">
        <v>133</v>
      </c>
      <c r="G1301" s="152"/>
      <c r="H1301" s="106" t="s">
        <v>133</v>
      </c>
      <c r="J1301" s="139" t="s">
        <v>133</v>
      </c>
      <c r="K1301" s="136" t="s">
        <v>133</v>
      </c>
      <c r="L1301" s="153"/>
      <c r="M1301" s="136" t="str">
        <f t="shared" si="1"/>
        <v/>
      </c>
      <c r="O1301" s="141" t="s">
        <v>133</v>
      </c>
      <c r="P1301" s="136" t="str">
        <f>IFERROR(__xludf.DUMMYFUNCTION("""COMPUTED_VALUE"""),"")</f>
        <v/>
      </c>
      <c r="Q1301" s="136" t="str">
        <f>IFERROR(__xludf.DUMMYFUNCTION("""COMPUTED_VALUE"""),"")</f>
        <v/>
      </c>
      <c r="R1301" s="106" t="str">
        <f>IFERROR(__xludf.DUMMYFUNCTION("""COMPUTED_VALUE"""),"")</f>
        <v/>
      </c>
      <c r="S1301" s="106" t="str">
        <f>IFERROR(__xludf.DUMMYFUNCTION("""COMPUTED_VALUE"""),"")</f>
        <v/>
      </c>
      <c r="T1301" s="139" t="str">
        <f>IFERROR(__xludf.DUMMYFUNCTION("""COMPUTED_VALUE"""),"")</f>
        <v/>
      </c>
      <c r="U1301" s="139" t="str">
        <f>IFERROR(__xludf.DUMMYFUNCTION("""COMPUTED_VALUE"""),"")</f>
        <v/>
      </c>
      <c r="V1301" s="136" t="str">
        <f>IFERROR(__xludf.DUMMYFUNCTION("""COMPUTED_VALUE"""),"")</f>
        <v/>
      </c>
      <c r="W1301" s="106" t="str">
        <f>IFERROR(__xludf.DUMMYFUNCTION("""COMPUTED_VALUE"""),"")</f>
        <v/>
      </c>
      <c r="X1301" s="143" t="str">
        <f t="shared" si="2"/>
        <v/>
      </c>
      <c r="Y1301" s="139" t="str">
        <f>IFERROR(__xludf.DUMMYFUNCTION("""COMPUTED_VALUE"""),"")</f>
        <v/>
      </c>
      <c r="Z1301" s="141" t="str">
        <f>IFERROR(__xludf.DUMMYFUNCTION("""COMPUTED_VALUE"""),"")</f>
        <v/>
      </c>
    </row>
    <row r="1302">
      <c r="D1302" s="136" t="str">
        <f t="shared" si="3"/>
        <v/>
      </c>
      <c r="E1302" s="152"/>
      <c r="F1302" s="106" t="s">
        <v>133</v>
      </c>
      <c r="G1302" s="152"/>
      <c r="H1302" s="106" t="s">
        <v>133</v>
      </c>
      <c r="J1302" s="139" t="s">
        <v>133</v>
      </c>
      <c r="K1302" s="136" t="s">
        <v>133</v>
      </c>
      <c r="L1302" s="153"/>
      <c r="M1302" s="136" t="str">
        <f t="shared" si="1"/>
        <v/>
      </c>
      <c r="O1302" s="141" t="s">
        <v>133</v>
      </c>
      <c r="P1302" s="136" t="str">
        <f>IFERROR(__xludf.DUMMYFUNCTION("""COMPUTED_VALUE"""),"")</f>
        <v/>
      </c>
      <c r="Q1302" s="136" t="str">
        <f>IFERROR(__xludf.DUMMYFUNCTION("""COMPUTED_VALUE"""),"")</f>
        <v/>
      </c>
      <c r="R1302" s="106" t="str">
        <f>IFERROR(__xludf.DUMMYFUNCTION("""COMPUTED_VALUE"""),"")</f>
        <v/>
      </c>
      <c r="S1302" s="106" t="str">
        <f>IFERROR(__xludf.DUMMYFUNCTION("""COMPUTED_VALUE"""),"")</f>
        <v/>
      </c>
      <c r="T1302" s="139" t="str">
        <f>IFERROR(__xludf.DUMMYFUNCTION("""COMPUTED_VALUE"""),"")</f>
        <v/>
      </c>
      <c r="U1302" s="139" t="str">
        <f>IFERROR(__xludf.DUMMYFUNCTION("""COMPUTED_VALUE"""),"")</f>
        <v/>
      </c>
      <c r="V1302" s="136" t="str">
        <f>IFERROR(__xludf.DUMMYFUNCTION("""COMPUTED_VALUE"""),"")</f>
        <v/>
      </c>
      <c r="W1302" s="106" t="str">
        <f>IFERROR(__xludf.DUMMYFUNCTION("""COMPUTED_VALUE"""),"")</f>
        <v/>
      </c>
      <c r="X1302" s="143" t="str">
        <f t="shared" si="2"/>
        <v/>
      </c>
      <c r="Y1302" s="139" t="str">
        <f>IFERROR(__xludf.DUMMYFUNCTION("""COMPUTED_VALUE"""),"")</f>
        <v/>
      </c>
      <c r="Z1302" s="141" t="str">
        <f>IFERROR(__xludf.DUMMYFUNCTION("""COMPUTED_VALUE"""),"")</f>
        <v/>
      </c>
    </row>
    <row r="1303">
      <c r="D1303" s="136" t="str">
        <f t="shared" si="3"/>
        <v/>
      </c>
      <c r="E1303" s="152"/>
      <c r="F1303" s="106" t="s">
        <v>133</v>
      </c>
      <c r="G1303" s="152"/>
      <c r="H1303" s="106" t="s">
        <v>133</v>
      </c>
      <c r="J1303" s="139" t="s">
        <v>133</v>
      </c>
      <c r="K1303" s="136" t="s">
        <v>133</v>
      </c>
      <c r="L1303" s="153"/>
      <c r="M1303" s="136" t="str">
        <f t="shared" si="1"/>
        <v/>
      </c>
      <c r="O1303" s="141" t="s">
        <v>133</v>
      </c>
      <c r="P1303" s="136" t="str">
        <f>IFERROR(__xludf.DUMMYFUNCTION("""COMPUTED_VALUE"""),"")</f>
        <v/>
      </c>
      <c r="Q1303" s="136" t="str">
        <f>IFERROR(__xludf.DUMMYFUNCTION("""COMPUTED_VALUE"""),"")</f>
        <v/>
      </c>
      <c r="R1303" s="106" t="str">
        <f>IFERROR(__xludf.DUMMYFUNCTION("""COMPUTED_VALUE"""),"")</f>
        <v/>
      </c>
      <c r="S1303" s="106" t="str">
        <f>IFERROR(__xludf.DUMMYFUNCTION("""COMPUTED_VALUE"""),"")</f>
        <v/>
      </c>
      <c r="T1303" s="139" t="str">
        <f>IFERROR(__xludf.DUMMYFUNCTION("""COMPUTED_VALUE"""),"")</f>
        <v/>
      </c>
      <c r="U1303" s="139" t="str">
        <f>IFERROR(__xludf.DUMMYFUNCTION("""COMPUTED_VALUE"""),"")</f>
        <v/>
      </c>
      <c r="V1303" s="136" t="str">
        <f>IFERROR(__xludf.DUMMYFUNCTION("""COMPUTED_VALUE"""),"")</f>
        <v/>
      </c>
      <c r="W1303" s="106" t="str">
        <f>IFERROR(__xludf.DUMMYFUNCTION("""COMPUTED_VALUE"""),"")</f>
        <v/>
      </c>
      <c r="X1303" s="143" t="str">
        <f t="shared" si="2"/>
        <v/>
      </c>
      <c r="Y1303" s="139" t="str">
        <f>IFERROR(__xludf.DUMMYFUNCTION("""COMPUTED_VALUE"""),"")</f>
        <v/>
      </c>
      <c r="Z1303" s="141" t="str">
        <f>IFERROR(__xludf.DUMMYFUNCTION("""COMPUTED_VALUE"""),"")</f>
        <v/>
      </c>
    </row>
    <row r="1304">
      <c r="D1304" s="136" t="str">
        <f t="shared" si="3"/>
        <v/>
      </c>
      <c r="E1304" s="152"/>
      <c r="F1304" s="106" t="s">
        <v>133</v>
      </c>
      <c r="G1304" s="152"/>
      <c r="H1304" s="106" t="s">
        <v>133</v>
      </c>
      <c r="J1304" s="139" t="s">
        <v>133</v>
      </c>
      <c r="K1304" s="136" t="s">
        <v>133</v>
      </c>
      <c r="L1304" s="153"/>
      <c r="M1304" s="136" t="str">
        <f t="shared" si="1"/>
        <v/>
      </c>
      <c r="O1304" s="141" t="s">
        <v>133</v>
      </c>
      <c r="P1304" s="136" t="str">
        <f>IFERROR(__xludf.DUMMYFUNCTION("""COMPUTED_VALUE"""),"")</f>
        <v/>
      </c>
      <c r="Q1304" s="136" t="str">
        <f>IFERROR(__xludf.DUMMYFUNCTION("""COMPUTED_VALUE"""),"")</f>
        <v/>
      </c>
      <c r="R1304" s="106" t="str">
        <f>IFERROR(__xludf.DUMMYFUNCTION("""COMPUTED_VALUE"""),"")</f>
        <v/>
      </c>
      <c r="S1304" s="106" t="str">
        <f>IFERROR(__xludf.DUMMYFUNCTION("""COMPUTED_VALUE"""),"")</f>
        <v/>
      </c>
      <c r="T1304" s="139" t="str">
        <f>IFERROR(__xludf.DUMMYFUNCTION("""COMPUTED_VALUE"""),"")</f>
        <v/>
      </c>
      <c r="U1304" s="139" t="str">
        <f>IFERROR(__xludf.DUMMYFUNCTION("""COMPUTED_VALUE"""),"")</f>
        <v/>
      </c>
      <c r="V1304" s="136" t="str">
        <f>IFERROR(__xludf.DUMMYFUNCTION("""COMPUTED_VALUE"""),"")</f>
        <v/>
      </c>
      <c r="W1304" s="106" t="str">
        <f>IFERROR(__xludf.DUMMYFUNCTION("""COMPUTED_VALUE"""),"")</f>
        <v/>
      </c>
      <c r="X1304" s="143" t="str">
        <f t="shared" si="2"/>
        <v/>
      </c>
      <c r="Y1304" s="139" t="str">
        <f>IFERROR(__xludf.DUMMYFUNCTION("""COMPUTED_VALUE"""),"")</f>
        <v/>
      </c>
      <c r="Z1304" s="141" t="str">
        <f>IFERROR(__xludf.DUMMYFUNCTION("""COMPUTED_VALUE"""),"")</f>
        <v/>
      </c>
    </row>
    <row r="1305">
      <c r="D1305" s="136" t="str">
        <f t="shared" si="3"/>
        <v/>
      </c>
      <c r="E1305" s="152"/>
      <c r="F1305" s="106" t="s">
        <v>133</v>
      </c>
      <c r="G1305" s="152"/>
      <c r="H1305" s="106" t="s">
        <v>133</v>
      </c>
      <c r="J1305" s="139" t="s">
        <v>133</v>
      </c>
      <c r="K1305" s="136" t="s">
        <v>133</v>
      </c>
      <c r="L1305" s="153"/>
      <c r="M1305" s="136" t="str">
        <f t="shared" si="1"/>
        <v/>
      </c>
      <c r="O1305" s="141" t="s">
        <v>133</v>
      </c>
      <c r="P1305" s="136" t="str">
        <f>IFERROR(__xludf.DUMMYFUNCTION("""COMPUTED_VALUE"""),"")</f>
        <v/>
      </c>
      <c r="Q1305" s="136" t="str">
        <f>IFERROR(__xludf.DUMMYFUNCTION("""COMPUTED_VALUE"""),"")</f>
        <v/>
      </c>
      <c r="R1305" s="106" t="str">
        <f>IFERROR(__xludf.DUMMYFUNCTION("""COMPUTED_VALUE"""),"")</f>
        <v/>
      </c>
      <c r="S1305" s="106" t="str">
        <f>IFERROR(__xludf.DUMMYFUNCTION("""COMPUTED_VALUE"""),"")</f>
        <v/>
      </c>
      <c r="T1305" s="139" t="str">
        <f>IFERROR(__xludf.DUMMYFUNCTION("""COMPUTED_VALUE"""),"")</f>
        <v/>
      </c>
      <c r="U1305" s="139" t="str">
        <f>IFERROR(__xludf.DUMMYFUNCTION("""COMPUTED_VALUE"""),"")</f>
        <v/>
      </c>
      <c r="V1305" s="136" t="str">
        <f>IFERROR(__xludf.DUMMYFUNCTION("""COMPUTED_VALUE"""),"")</f>
        <v/>
      </c>
      <c r="W1305" s="106" t="str">
        <f>IFERROR(__xludf.DUMMYFUNCTION("""COMPUTED_VALUE"""),"")</f>
        <v/>
      </c>
      <c r="X1305" s="143" t="str">
        <f t="shared" si="2"/>
        <v/>
      </c>
      <c r="Y1305" s="139" t="str">
        <f>IFERROR(__xludf.DUMMYFUNCTION("""COMPUTED_VALUE"""),"")</f>
        <v/>
      </c>
      <c r="Z1305" s="141" t="str">
        <f>IFERROR(__xludf.DUMMYFUNCTION("""COMPUTED_VALUE"""),"")</f>
        <v/>
      </c>
    </row>
    <row r="1306">
      <c r="D1306" s="136" t="str">
        <f t="shared" si="3"/>
        <v/>
      </c>
      <c r="E1306" s="152"/>
      <c r="F1306" s="106" t="s">
        <v>133</v>
      </c>
      <c r="G1306" s="152"/>
      <c r="H1306" s="106" t="s">
        <v>133</v>
      </c>
      <c r="J1306" s="139" t="s">
        <v>133</v>
      </c>
      <c r="K1306" s="136" t="s">
        <v>133</v>
      </c>
      <c r="L1306" s="153"/>
      <c r="M1306" s="136" t="str">
        <f t="shared" si="1"/>
        <v/>
      </c>
      <c r="O1306" s="141" t="s">
        <v>133</v>
      </c>
      <c r="P1306" s="136" t="str">
        <f>IFERROR(__xludf.DUMMYFUNCTION("""COMPUTED_VALUE"""),"")</f>
        <v/>
      </c>
      <c r="Q1306" s="136" t="str">
        <f>IFERROR(__xludf.DUMMYFUNCTION("""COMPUTED_VALUE"""),"")</f>
        <v/>
      </c>
      <c r="R1306" s="106" t="str">
        <f>IFERROR(__xludf.DUMMYFUNCTION("""COMPUTED_VALUE"""),"")</f>
        <v/>
      </c>
      <c r="S1306" s="106" t="str">
        <f>IFERROR(__xludf.DUMMYFUNCTION("""COMPUTED_VALUE"""),"")</f>
        <v/>
      </c>
      <c r="T1306" s="139" t="str">
        <f>IFERROR(__xludf.DUMMYFUNCTION("""COMPUTED_VALUE"""),"")</f>
        <v/>
      </c>
      <c r="U1306" s="139" t="str">
        <f>IFERROR(__xludf.DUMMYFUNCTION("""COMPUTED_VALUE"""),"")</f>
        <v/>
      </c>
      <c r="V1306" s="136" t="str">
        <f>IFERROR(__xludf.DUMMYFUNCTION("""COMPUTED_VALUE"""),"")</f>
        <v/>
      </c>
      <c r="W1306" s="106" t="str">
        <f>IFERROR(__xludf.DUMMYFUNCTION("""COMPUTED_VALUE"""),"")</f>
        <v/>
      </c>
      <c r="X1306" s="143" t="str">
        <f t="shared" si="2"/>
        <v/>
      </c>
      <c r="Y1306" s="139" t="str">
        <f>IFERROR(__xludf.DUMMYFUNCTION("""COMPUTED_VALUE"""),"")</f>
        <v/>
      </c>
      <c r="Z1306" s="141" t="str">
        <f>IFERROR(__xludf.DUMMYFUNCTION("""COMPUTED_VALUE"""),"")</f>
        <v/>
      </c>
    </row>
    <row r="1307">
      <c r="D1307" s="136" t="str">
        <f t="shared" si="3"/>
        <v/>
      </c>
      <c r="E1307" s="152"/>
      <c r="F1307" s="106" t="s">
        <v>133</v>
      </c>
      <c r="G1307" s="152"/>
      <c r="H1307" s="106" t="s">
        <v>133</v>
      </c>
      <c r="J1307" s="139" t="s">
        <v>133</v>
      </c>
      <c r="K1307" s="136" t="s">
        <v>133</v>
      </c>
      <c r="L1307" s="153"/>
      <c r="M1307" s="136" t="str">
        <f t="shared" si="1"/>
        <v/>
      </c>
      <c r="O1307" s="141" t="s">
        <v>133</v>
      </c>
      <c r="P1307" s="136" t="str">
        <f>IFERROR(__xludf.DUMMYFUNCTION("""COMPUTED_VALUE"""),"")</f>
        <v/>
      </c>
      <c r="Q1307" s="136" t="str">
        <f>IFERROR(__xludf.DUMMYFUNCTION("""COMPUTED_VALUE"""),"")</f>
        <v/>
      </c>
      <c r="R1307" s="106" t="str">
        <f>IFERROR(__xludf.DUMMYFUNCTION("""COMPUTED_VALUE"""),"")</f>
        <v/>
      </c>
      <c r="S1307" s="106" t="str">
        <f>IFERROR(__xludf.DUMMYFUNCTION("""COMPUTED_VALUE"""),"")</f>
        <v/>
      </c>
      <c r="T1307" s="139" t="str">
        <f>IFERROR(__xludf.DUMMYFUNCTION("""COMPUTED_VALUE"""),"")</f>
        <v/>
      </c>
      <c r="U1307" s="139" t="str">
        <f>IFERROR(__xludf.DUMMYFUNCTION("""COMPUTED_VALUE"""),"")</f>
        <v/>
      </c>
      <c r="V1307" s="136" t="str">
        <f>IFERROR(__xludf.DUMMYFUNCTION("""COMPUTED_VALUE"""),"")</f>
        <v/>
      </c>
      <c r="W1307" s="106" t="str">
        <f>IFERROR(__xludf.DUMMYFUNCTION("""COMPUTED_VALUE"""),"")</f>
        <v/>
      </c>
      <c r="X1307" s="143" t="str">
        <f t="shared" si="2"/>
        <v/>
      </c>
      <c r="Y1307" s="139" t="str">
        <f>IFERROR(__xludf.DUMMYFUNCTION("""COMPUTED_VALUE"""),"")</f>
        <v/>
      </c>
      <c r="Z1307" s="141" t="str">
        <f>IFERROR(__xludf.DUMMYFUNCTION("""COMPUTED_VALUE"""),"")</f>
        <v/>
      </c>
    </row>
    <row r="1308">
      <c r="D1308" s="136" t="str">
        <f t="shared" si="3"/>
        <v/>
      </c>
      <c r="E1308" s="152"/>
      <c r="F1308" s="106" t="s">
        <v>133</v>
      </c>
      <c r="G1308" s="152"/>
      <c r="H1308" s="106" t="s">
        <v>133</v>
      </c>
      <c r="J1308" s="139" t="s">
        <v>133</v>
      </c>
      <c r="K1308" s="136" t="s">
        <v>133</v>
      </c>
      <c r="L1308" s="153"/>
      <c r="M1308" s="136" t="str">
        <f t="shared" si="1"/>
        <v/>
      </c>
      <c r="O1308" s="141" t="s">
        <v>133</v>
      </c>
      <c r="P1308" s="136" t="str">
        <f>IFERROR(__xludf.DUMMYFUNCTION("""COMPUTED_VALUE"""),"")</f>
        <v/>
      </c>
      <c r="Q1308" s="136" t="str">
        <f>IFERROR(__xludf.DUMMYFUNCTION("""COMPUTED_VALUE"""),"")</f>
        <v/>
      </c>
      <c r="R1308" s="106" t="str">
        <f>IFERROR(__xludf.DUMMYFUNCTION("""COMPUTED_VALUE"""),"")</f>
        <v/>
      </c>
      <c r="S1308" s="106" t="str">
        <f>IFERROR(__xludf.DUMMYFUNCTION("""COMPUTED_VALUE"""),"")</f>
        <v/>
      </c>
      <c r="T1308" s="139" t="str">
        <f>IFERROR(__xludf.DUMMYFUNCTION("""COMPUTED_VALUE"""),"")</f>
        <v/>
      </c>
      <c r="U1308" s="139" t="str">
        <f>IFERROR(__xludf.DUMMYFUNCTION("""COMPUTED_VALUE"""),"")</f>
        <v/>
      </c>
      <c r="V1308" s="136" t="str">
        <f>IFERROR(__xludf.DUMMYFUNCTION("""COMPUTED_VALUE"""),"")</f>
        <v/>
      </c>
      <c r="W1308" s="106" t="str">
        <f>IFERROR(__xludf.DUMMYFUNCTION("""COMPUTED_VALUE"""),"")</f>
        <v/>
      </c>
      <c r="X1308" s="143" t="str">
        <f t="shared" si="2"/>
        <v/>
      </c>
      <c r="Y1308" s="139" t="str">
        <f>IFERROR(__xludf.DUMMYFUNCTION("""COMPUTED_VALUE"""),"")</f>
        <v/>
      </c>
      <c r="Z1308" s="141" t="str">
        <f>IFERROR(__xludf.DUMMYFUNCTION("""COMPUTED_VALUE"""),"")</f>
        <v/>
      </c>
    </row>
    <row r="1309">
      <c r="D1309" s="136" t="str">
        <f t="shared" si="3"/>
        <v/>
      </c>
      <c r="E1309" s="152"/>
      <c r="F1309" s="106" t="s">
        <v>133</v>
      </c>
      <c r="G1309" s="152"/>
      <c r="H1309" s="106" t="s">
        <v>133</v>
      </c>
      <c r="J1309" s="139" t="s">
        <v>133</v>
      </c>
      <c r="K1309" s="136" t="s">
        <v>133</v>
      </c>
      <c r="L1309" s="153"/>
      <c r="M1309" s="136" t="str">
        <f t="shared" si="1"/>
        <v/>
      </c>
      <c r="O1309" s="141" t="s">
        <v>133</v>
      </c>
      <c r="P1309" s="136" t="str">
        <f>IFERROR(__xludf.DUMMYFUNCTION("""COMPUTED_VALUE"""),"")</f>
        <v/>
      </c>
      <c r="Q1309" s="136" t="str">
        <f>IFERROR(__xludf.DUMMYFUNCTION("""COMPUTED_VALUE"""),"")</f>
        <v/>
      </c>
      <c r="R1309" s="106" t="str">
        <f>IFERROR(__xludf.DUMMYFUNCTION("""COMPUTED_VALUE"""),"")</f>
        <v/>
      </c>
      <c r="S1309" s="106" t="str">
        <f>IFERROR(__xludf.DUMMYFUNCTION("""COMPUTED_VALUE"""),"")</f>
        <v/>
      </c>
      <c r="T1309" s="139" t="str">
        <f>IFERROR(__xludf.DUMMYFUNCTION("""COMPUTED_VALUE"""),"")</f>
        <v/>
      </c>
      <c r="U1309" s="139" t="str">
        <f>IFERROR(__xludf.DUMMYFUNCTION("""COMPUTED_VALUE"""),"")</f>
        <v/>
      </c>
      <c r="V1309" s="136" t="str">
        <f>IFERROR(__xludf.DUMMYFUNCTION("""COMPUTED_VALUE"""),"")</f>
        <v/>
      </c>
      <c r="W1309" s="106" t="str">
        <f>IFERROR(__xludf.DUMMYFUNCTION("""COMPUTED_VALUE"""),"")</f>
        <v/>
      </c>
      <c r="X1309" s="143" t="str">
        <f t="shared" si="2"/>
        <v/>
      </c>
      <c r="Y1309" s="139" t="str">
        <f>IFERROR(__xludf.DUMMYFUNCTION("""COMPUTED_VALUE"""),"")</f>
        <v/>
      </c>
      <c r="Z1309" s="141" t="str">
        <f>IFERROR(__xludf.DUMMYFUNCTION("""COMPUTED_VALUE"""),"")</f>
        <v/>
      </c>
    </row>
    <row r="1310">
      <c r="D1310" s="136" t="str">
        <f t="shared" si="3"/>
        <v/>
      </c>
      <c r="E1310" s="152"/>
      <c r="F1310" s="106" t="s">
        <v>133</v>
      </c>
      <c r="G1310" s="152"/>
      <c r="H1310" s="106" t="s">
        <v>133</v>
      </c>
      <c r="J1310" s="139" t="s">
        <v>133</v>
      </c>
      <c r="K1310" s="136" t="s">
        <v>133</v>
      </c>
      <c r="L1310" s="153"/>
      <c r="M1310" s="136" t="str">
        <f t="shared" si="1"/>
        <v/>
      </c>
      <c r="O1310" s="141" t="s">
        <v>133</v>
      </c>
      <c r="P1310" s="136" t="str">
        <f>IFERROR(__xludf.DUMMYFUNCTION("""COMPUTED_VALUE"""),"")</f>
        <v/>
      </c>
      <c r="Q1310" s="136" t="str">
        <f>IFERROR(__xludf.DUMMYFUNCTION("""COMPUTED_VALUE"""),"")</f>
        <v/>
      </c>
      <c r="R1310" s="106" t="str">
        <f>IFERROR(__xludf.DUMMYFUNCTION("""COMPUTED_VALUE"""),"")</f>
        <v/>
      </c>
      <c r="S1310" s="106" t="str">
        <f>IFERROR(__xludf.DUMMYFUNCTION("""COMPUTED_VALUE"""),"")</f>
        <v/>
      </c>
      <c r="T1310" s="139" t="str">
        <f>IFERROR(__xludf.DUMMYFUNCTION("""COMPUTED_VALUE"""),"")</f>
        <v/>
      </c>
      <c r="U1310" s="139" t="str">
        <f>IFERROR(__xludf.DUMMYFUNCTION("""COMPUTED_VALUE"""),"")</f>
        <v/>
      </c>
      <c r="V1310" s="136" t="str">
        <f>IFERROR(__xludf.DUMMYFUNCTION("""COMPUTED_VALUE"""),"")</f>
        <v/>
      </c>
      <c r="W1310" s="106" t="str">
        <f>IFERROR(__xludf.DUMMYFUNCTION("""COMPUTED_VALUE"""),"")</f>
        <v/>
      </c>
      <c r="X1310" s="143" t="str">
        <f t="shared" si="2"/>
        <v/>
      </c>
      <c r="Y1310" s="139" t="str">
        <f>IFERROR(__xludf.DUMMYFUNCTION("""COMPUTED_VALUE"""),"")</f>
        <v/>
      </c>
      <c r="Z1310" s="141" t="str">
        <f>IFERROR(__xludf.DUMMYFUNCTION("""COMPUTED_VALUE"""),"")</f>
        <v/>
      </c>
    </row>
    <row r="1311">
      <c r="D1311" s="136" t="str">
        <f t="shared" si="3"/>
        <v/>
      </c>
      <c r="E1311" s="152"/>
      <c r="F1311" s="106" t="s">
        <v>133</v>
      </c>
      <c r="G1311" s="152"/>
      <c r="H1311" s="106" t="s">
        <v>133</v>
      </c>
      <c r="J1311" s="139" t="s">
        <v>133</v>
      </c>
      <c r="K1311" s="136" t="s">
        <v>133</v>
      </c>
      <c r="L1311" s="153"/>
      <c r="M1311" s="136" t="str">
        <f t="shared" si="1"/>
        <v/>
      </c>
      <c r="O1311" s="141" t="s">
        <v>133</v>
      </c>
      <c r="P1311" s="136" t="str">
        <f>IFERROR(__xludf.DUMMYFUNCTION("""COMPUTED_VALUE"""),"")</f>
        <v/>
      </c>
      <c r="Q1311" s="136" t="str">
        <f>IFERROR(__xludf.DUMMYFUNCTION("""COMPUTED_VALUE"""),"")</f>
        <v/>
      </c>
      <c r="R1311" s="106" t="str">
        <f>IFERROR(__xludf.DUMMYFUNCTION("""COMPUTED_VALUE"""),"")</f>
        <v/>
      </c>
      <c r="S1311" s="106" t="str">
        <f>IFERROR(__xludf.DUMMYFUNCTION("""COMPUTED_VALUE"""),"")</f>
        <v/>
      </c>
      <c r="T1311" s="139" t="str">
        <f>IFERROR(__xludf.DUMMYFUNCTION("""COMPUTED_VALUE"""),"")</f>
        <v/>
      </c>
      <c r="U1311" s="139" t="str">
        <f>IFERROR(__xludf.DUMMYFUNCTION("""COMPUTED_VALUE"""),"")</f>
        <v/>
      </c>
      <c r="V1311" s="136" t="str">
        <f>IFERROR(__xludf.DUMMYFUNCTION("""COMPUTED_VALUE"""),"")</f>
        <v/>
      </c>
      <c r="W1311" s="106" t="str">
        <f>IFERROR(__xludf.DUMMYFUNCTION("""COMPUTED_VALUE"""),"")</f>
        <v/>
      </c>
      <c r="X1311" s="143" t="str">
        <f t="shared" si="2"/>
        <v/>
      </c>
      <c r="Y1311" s="139" t="str">
        <f>IFERROR(__xludf.DUMMYFUNCTION("""COMPUTED_VALUE"""),"")</f>
        <v/>
      </c>
      <c r="Z1311" s="141" t="str">
        <f>IFERROR(__xludf.DUMMYFUNCTION("""COMPUTED_VALUE"""),"")</f>
        <v/>
      </c>
    </row>
    <row r="1312">
      <c r="D1312" s="136" t="str">
        <f t="shared" si="3"/>
        <v/>
      </c>
      <c r="E1312" s="152"/>
      <c r="F1312" s="106" t="s">
        <v>133</v>
      </c>
      <c r="G1312" s="152"/>
      <c r="H1312" s="106" t="s">
        <v>133</v>
      </c>
      <c r="J1312" s="139" t="s">
        <v>133</v>
      </c>
      <c r="K1312" s="136" t="s">
        <v>133</v>
      </c>
      <c r="L1312" s="153"/>
      <c r="M1312" s="136" t="str">
        <f t="shared" si="1"/>
        <v/>
      </c>
      <c r="O1312" s="141" t="s">
        <v>133</v>
      </c>
      <c r="P1312" s="136" t="str">
        <f>IFERROR(__xludf.DUMMYFUNCTION("""COMPUTED_VALUE"""),"")</f>
        <v/>
      </c>
      <c r="Q1312" s="136" t="str">
        <f>IFERROR(__xludf.DUMMYFUNCTION("""COMPUTED_VALUE"""),"")</f>
        <v/>
      </c>
      <c r="R1312" s="106" t="str">
        <f>IFERROR(__xludf.DUMMYFUNCTION("""COMPUTED_VALUE"""),"")</f>
        <v/>
      </c>
      <c r="S1312" s="106" t="str">
        <f>IFERROR(__xludf.DUMMYFUNCTION("""COMPUTED_VALUE"""),"")</f>
        <v/>
      </c>
      <c r="T1312" s="139" t="str">
        <f>IFERROR(__xludf.DUMMYFUNCTION("""COMPUTED_VALUE"""),"")</f>
        <v/>
      </c>
      <c r="U1312" s="139" t="str">
        <f>IFERROR(__xludf.DUMMYFUNCTION("""COMPUTED_VALUE"""),"")</f>
        <v/>
      </c>
      <c r="V1312" s="136" t="str">
        <f>IFERROR(__xludf.DUMMYFUNCTION("""COMPUTED_VALUE"""),"")</f>
        <v/>
      </c>
      <c r="W1312" s="106" t="str">
        <f>IFERROR(__xludf.DUMMYFUNCTION("""COMPUTED_VALUE"""),"")</f>
        <v/>
      </c>
      <c r="X1312" s="143" t="str">
        <f t="shared" si="2"/>
        <v/>
      </c>
      <c r="Y1312" s="139" t="str">
        <f>IFERROR(__xludf.DUMMYFUNCTION("""COMPUTED_VALUE"""),"")</f>
        <v/>
      </c>
      <c r="Z1312" s="141" t="str">
        <f>IFERROR(__xludf.DUMMYFUNCTION("""COMPUTED_VALUE"""),"")</f>
        <v/>
      </c>
    </row>
    <row r="1313">
      <c r="D1313" s="136" t="str">
        <f t="shared" si="3"/>
        <v/>
      </c>
      <c r="E1313" s="152"/>
      <c r="F1313" s="106" t="s">
        <v>133</v>
      </c>
      <c r="G1313" s="152"/>
      <c r="H1313" s="106" t="s">
        <v>133</v>
      </c>
      <c r="J1313" s="139" t="s">
        <v>133</v>
      </c>
      <c r="K1313" s="136" t="s">
        <v>133</v>
      </c>
      <c r="L1313" s="153"/>
      <c r="M1313" s="136" t="str">
        <f t="shared" si="1"/>
        <v/>
      </c>
      <c r="O1313" s="141" t="s">
        <v>133</v>
      </c>
      <c r="P1313" s="136" t="str">
        <f>IFERROR(__xludf.DUMMYFUNCTION("""COMPUTED_VALUE"""),"")</f>
        <v/>
      </c>
      <c r="Q1313" s="136" t="str">
        <f>IFERROR(__xludf.DUMMYFUNCTION("""COMPUTED_VALUE"""),"")</f>
        <v/>
      </c>
      <c r="R1313" s="106" t="str">
        <f>IFERROR(__xludf.DUMMYFUNCTION("""COMPUTED_VALUE"""),"")</f>
        <v/>
      </c>
      <c r="S1313" s="106" t="str">
        <f>IFERROR(__xludf.DUMMYFUNCTION("""COMPUTED_VALUE"""),"")</f>
        <v/>
      </c>
      <c r="T1313" s="139" t="str">
        <f>IFERROR(__xludf.DUMMYFUNCTION("""COMPUTED_VALUE"""),"")</f>
        <v/>
      </c>
      <c r="U1313" s="139" t="str">
        <f>IFERROR(__xludf.DUMMYFUNCTION("""COMPUTED_VALUE"""),"")</f>
        <v/>
      </c>
      <c r="V1313" s="136" t="str">
        <f>IFERROR(__xludf.DUMMYFUNCTION("""COMPUTED_VALUE"""),"")</f>
        <v/>
      </c>
      <c r="W1313" s="106" t="str">
        <f>IFERROR(__xludf.DUMMYFUNCTION("""COMPUTED_VALUE"""),"")</f>
        <v/>
      </c>
      <c r="X1313" s="143" t="str">
        <f t="shared" si="2"/>
        <v/>
      </c>
      <c r="Y1313" s="139" t="str">
        <f>IFERROR(__xludf.DUMMYFUNCTION("""COMPUTED_VALUE"""),"")</f>
        <v/>
      </c>
      <c r="Z1313" s="141" t="str">
        <f>IFERROR(__xludf.DUMMYFUNCTION("""COMPUTED_VALUE"""),"")</f>
        <v/>
      </c>
    </row>
    <row r="1314">
      <c r="D1314" s="136" t="str">
        <f t="shared" si="3"/>
        <v/>
      </c>
      <c r="E1314" s="152"/>
      <c r="F1314" s="106" t="s">
        <v>133</v>
      </c>
      <c r="G1314" s="152"/>
      <c r="H1314" s="106" t="s">
        <v>133</v>
      </c>
      <c r="J1314" s="139" t="s">
        <v>133</v>
      </c>
      <c r="K1314" s="136" t="s">
        <v>133</v>
      </c>
      <c r="L1314" s="153"/>
      <c r="M1314" s="136" t="str">
        <f t="shared" si="1"/>
        <v/>
      </c>
      <c r="O1314" s="141" t="s">
        <v>133</v>
      </c>
      <c r="P1314" s="136" t="str">
        <f>IFERROR(__xludf.DUMMYFUNCTION("""COMPUTED_VALUE"""),"")</f>
        <v/>
      </c>
      <c r="Q1314" s="136" t="str">
        <f>IFERROR(__xludf.DUMMYFUNCTION("""COMPUTED_VALUE"""),"")</f>
        <v/>
      </c>
      <c r="R1314" s="106" t="str">
        <f>IFERROR(__xludf.DUMMYFUNCTION("""COMPUTED_VALUE"""),"")</f>
        <v/>
      </c>
      <c r="S1314" s="106" t="str">
        <f>IFERROR(__xludf.DUMMYFUNCTION("""COMPUTED_VALUE"""),"")</f>
        <v/>
      </c>
      <c r="T1314" s="139" t="str">
        <f>IFERROR(__xludf.DUMMYFUNCTION("""COMPUTED_VALUE"""),"")</f>
        <v/>
      </c>
      <c r="U1314" s="139" t="str">
        <f>IFERROR(__xludf.DUMMYFUNCTION("""COMPUTED_VALUE"""),"")</f>
        <v/>
      </c>
      <c r="V1314" s="136" t="str">
        <f>IFERROR(__xludf.DUMMYFUNCTION("""COMPUTED_VALUE"""),"")</f>
        <v/>
      </c>
      <c r="W1314" s="106" t="str">
        <f>IFERROR(__xludf.DUMMYFUNCTION("""COMPUTED_VALUE"""),"")</f>
        <v/>
      </c>
      <c r="X1314" s="143" t="str">
        <f t="shared" si="2"/>
        <v/>
      </c>
      <c r="Y1314" s="139" t="str">
        <f>IFERROR(__xludf.DUMMYFUNCTION("""COMPUTED_VALUE"""),"")</f>
        <v/>
      </c>
      <c r="Z1314" s="141" t="str">
        <f>IFERROR(__xludf.DUMMYFUNCTION("""COMPUTED_VALUE"""),"")</f>
        <v/>
      </c>
    </row>
    <row r="1315">
      <c r="D1315" s="136" t="str">
        <f t="shared" si="3"/>
        <v/>
      </c>
      <c r="E1315" s="152"/>
      <c r="F1315" s="106" t="s">
        <v>133</v>
      </c>
      <c r="G1315" s="152"/>
      <c r="H1315" s="106" t="s">
        <v>133</v>
      </c>
      <c r="J1315" s="139" t="s">
        <v>133</v>
      </c>
      <c r="K1315" s="136" t="s">
        <v>133</v>
      </c>
      <c r="L1315" s="153"/>
      <c r="M1315" s="136" t="str">
        <f t="shared" si="1"/>
        <v/>
      </c>
      <c r="O1315" s="141" t="s">
        <v>133</v>
      </c>
      <c r="P1315" s="136" t="str">
        <f>IFERROR(__xludf.DUMMYFUNCTION("""COMPUTED_VALUE"""),"")</f>
        <v/>
      </c>
      <c r="Q1315" s="136" t="str">
        <f>IFERROR(__xludf.DUMMYFUNCTION("""COMPUTED_VALUE"""),"")</f>
        <v/>
      </c>
      <c r="R1315" s="106" t="str">
        <f>IFERROR(__xludf.DUMMYFUNCTION("""COMPUTED_VALUE"""),"")</f>
        <v/>
      </c>
      <c r="S1315" s="106" t="str">
        <f>IFERROR(__xludf.DUMMYFUNCTION("""COMPUTED_VALUE"""),"")</f>
        <v/>
      </c>
      <c r="T1315" s="139" t="str">
        <f>IFERROR(__xludf.DUMMYFUNCTION("""COMPUTED_VALUE"""),"")</f>
        <v/>
      </c>
      <c r="U1315" s="139" t="str">
        <f>IFERROR(__xludf.DUMMYFUNCTION("""COMPUTED_VALUE"""),"")</f>
        <v/>
      </c>
      <c r="V1315" s="136" t="str">
        <f>IFERROR(__xludf.DUMMYFUNCTION("""COMPUTED_VALUE"""),"")</f>
        <v/>
      </c>
      <c r="W1315" s="106" t="str">
        <f>IFERROR(__xludf.DUMMYFUNCTION("""COMPUTED_VALUE"""),"")</f>
        <v/>
      </c>
      <c r="X1315" s="143" t="str">
        <f t="shared" si="2"/>
        <v/>
      </c>
      <c r="Y1315" s="139" t="str">
        <f>IFERROR(__xludf.DUMMYFUNCTION("""COMPUTED_VALUE"""),"")</f>
        <v/>
      </c>
      <c r="Z1315" s="141" t="str">
        <f>IFERROR(__xludf.DUMMYFUNCTION("""COMPUTED_VALUE"""),"")</f>
        <v/>
      </c>
    </row>
    <row r="1316">
      <c r="D1316" s="136" t="str">
        <f t="shared" si="3"/>
        <v/>
      </c>
      <c r="E1316" s="152"/>
      <c r="F1316" s="106" t="s">
        <v>133</v>
      </c>
      <c r="G1316" s="152"/>
      <c r="H1316" s="106" t="s">
        <v>133</v>
      </c>
      <c r="J1316" s="139" t="s">
        <v>133</v>
      </c>
      <c r="K1316" s="136" t="s">
        <v>133</v>
      </c>
      <c r="L1316" s="153"/>
      <c r="M1316" s="136" t="str">
        <f t="shared" si="1"/>
        <v/>
      </c>
      <c r="O1316" s="141" t="s">
        <v>133</v>
      </c>
      <c r="P1316" s="136" t="str">
        <f>IFERROR(__xludf.DUMMYFUNCTION("""COMPUTED_VALUE"""),"")</f>
        <v/>
      </c>
      <c r="Q1316" s="136" t="str">
        <f>IFERROR(__xludf.DUMMYFUNCTION("""COMPUTED_VALUE"""),"")</f>
        <v/>
      </c>
      <c r="R1316" s="106" t="str">
        <f>IFERROR(__xludf.DUMMYFUNCTION("""COMPUTED_VALUE"""),"")</f>
        <v/>
      </c>
      <c r="S1316" s="106" t="str">
        <f>IFERROR(__xludf.DUMMYFUNCTION("""COMPUTED_VALUE"""),"")</f>
        <v/>
      </c>
      <c r="T1316" s="139" t="str">
        <f>IFERROR(__xludf.DUMMYFUNCTION("""COMPUTED_VALUE"""),"")</f>
        <v/>
      </c>
      <c r="U1316" s="139" t="str">
        <f>IFERROR(__xludf.DUMMYFUNCTION("""COMPUTED_VALUE"""),"")</f>
        <v/>
      </c>
      <c r="V1316" s="136" t="str">
        <f>IFERROR(__xludf.DUMMYFUNCTION("""COMPUTED_VALUE"""),"")</f>
        <v/>
      </c>
      <c r="W1316" s="106" t="str">
        <f>IFERROR(__xludf.DUMMYFUNCTION("""COMPUTED_VALUE"""),"")</f>
        <v/>
      </c>
      <c r="X1316" s="143" t="str">
        <f t="shared" si="2"/>
        <v/>
      </c>
      <c r="Y1316" s="139" t="str">
        <f>IFERROR(__xludf.DUMMYFUNCTION("""COMPUTED_VALUE"""),"")</f>
        <v/>
      </c>
      <c r="Z1316" s="141" t="str">
        <f>IFERROR(__xludf.DUMMYFUNCTION("""COMPUTED_VALUE"""),"")</f>
        <v/>
      </c>
    </row>
    <row r="1317">
      <c r="D1317" s="136" t="str">
        <f t="shared" si="3"/>
        <v/>
      </c>
      <c r="E1317" s="152"/>
      <c r="F1317" s="106" t="s">
        <v>133</v>
      </c>
      <c r="G1317" s="152"/>
      <c r="H1317" s="106" t="s">
        <v>133</v>
      </c>
      <c r="J1317" s="139" t="s">
        <v>133</v>
      </c>
      <c r="K1317" s="136" t="s">
        <v>133</v>
      </c>
      <c r="L1317" s="153"/>
      <c r="M1317" s="136" t="str">
        <f t="shared" si="1"/>
        <v/>
      </c>
      <c r="O1317" s="141" t="s">
        <v>133</v>
      </c>
      <c r="P1317" s="136" t="str">
        <f>IFERROR(__xludf.DUMMYFUNCTION("""COMPUTED_VALUE"""),"")</f>
        <v/>
      </c>
      <c r="Q1317" s="136" t="str">
        <f>IFERROR(__xludf.DUMMYFUNCTION("""COMPUTED_VALUE"""),"")</f>
        <v/>
      </c>
      <c r="R1317" s="106" t="str">
        <f>IFERROR(__xludf.DUMMYFUNCTION("""COMPUTED_VALUE"""),"")</f>
        <v/>
      </c>
      <c r="S1317" s="106" t="str">
        <f>IFERROR(__xludf.DUMMYFUNCTION("""COMPUTED_VALUE"""),"")</f>
        <v/>
      </c>
      <c r="T1317" s="139" t="str">
        <f>IFERROR(__xludf.DUMMYFUNCTION("""COMPUTED_VALUE"""),"")</f>
        <v/>
      </c>
      <c r="U1317" s="139" t="str">
        <f>IFERROR(__xludf.DUMMYFUNCTION("""COMPUTED_VALUE"""),"")</f>
        <v/>
      </c>
      <c r="V1317" s="136" t="str">
        <f>IFERROR(__xludf.DUMMYFUNCTION("""COMPUTED_VALUE"""),"")</f>
        <v/>
      </c>
      <c r="W1317" s="106" t="str">
        <f>IFERROR(__xludf.DUMMYFUNCTION("""COMPUTED_VALUE"""),"")</f>
        <v/>
      </c>
      <c r="X1317" s="143" t="str">
        <f t="shared" si="2"/>
        <v/>
      </c>
      <c r="Y1317" s="139" t="str">
        <f>IFERROR(__xludf.DUMMYFUNCTION("""COMPUTED_VALUE"""),"")</f>
        <v/>
      </c>
      <c r="Z1317" s="141" t="str">
        <f>IFERROR(__xludf.DUMMYFUNCTION("""COMPUTED_VALUE"""),"")</f>
        <v/>
      </c>
    </row>
    <row r="1318">
      <c r="D1318" s="136" t="str">
        <f t="shared" si="3"/>
        <v/>
      </c>
      <c r="E1318" s="152"/>
      <c r="F1318" s="106" t="s">
        <v>133</v>
      </c>
      <c r="G1318" s="152"/>
      <c r="H1318" s="106" t="s">
        <v>133</v>
      </c>
      <c r="J1318" s="139" t="s">
        <v>133</v>
      </c>
      <c r="K1318" s="136" t="s">
        <v>133</v>
      </c>
      <c r="L1318" s="153"/>
      <c r="M1318" s="136" t="str">
        <f t="shared" si="1"/>
        <v/>
      </c>
      <c r="O1318" s="141" t="s">
        <v>133</v>
      </c>
      <c r="P1318" s="136" t="str">
        <f>IFERROR(__xludf.DUMMYFUNCTION("""COMPUTED_VALUE"""),"")</f>
        <v/>
      </c>
      <c r="Q1318" s="136" t="str">
        <f>IFERROR(__xludf.DUMMYFUNCTION("""COMPUTED_VALUE"""),"")</f>
        <v/>
      </c>
      <c r="R1318" s="106" t="str">
        <f>IFERROR(__xludf.DUMMYFUNCTION("""COMPUTED_VALUE"""),"")</f>
        <v/>
      </c>
      <c r="S1318" s="106" t="str">
        <f>IFERROR(__xludf.DUMMYFUNCTION("""COMPUTED_VALUE"""),"")</f>
        <v/>
      </c>
      <c r="T1318" s="139" t="str">
        <f>IFERROR(__xludf.DUMMYFUNCTION("""COMPUTED_VALUE"""),"")</f>
        <v/>
      </c>
      <c r="U1318" s="139" t="str">
        <f>IFERROR(__xludf.DUMMYFUNCTION("""COMPUTED_VALUE"""),"")</f>
        <v/>
      </c>
      <c r="V1318" s="136" t="str">
        <f>IFERROR(__xludf.DUMMYFUNCTION("""COMPUTED_VALUE"""),"")</f>
        <v/>
      </c>
      <c r="W1318" s="106" t="str">
        <f>IFERROR(__xludf.DUMMYFUNCTION("""COMPUTED_VALUE"""),"")</f>
        <v/>
      </c>
      <c r="X1318" s="143" t="str">
        <f t="shared" si="2"/>
        <v/>
      </c>
      <c r="Y1318" s="139" t="str">
        <f>IFERROR(__xludf.DUMMYFUNCTION("""COMPUTED_VALUE"""),"")</f>
        <v/>
      </c>
      <c r="Z1318" s="141" t="str">
        <f>IFERROR(__xludf.DUMMYFUNCTION("""COMPUTED_VALUE"""),"")</f>
        <v/>
      </c>
    </row>
    <row r="1319">
      <c r="D1319" s="136" t="str">
        <f t="shared" si="3"/>
        <v/>
      </c>
      <c r="E1319" s="152"/>
      <c r="F1319" s="106" t="s">
        <v>133</v>
      </c>
      <c r="G1319" s="152"/>
      <c r="H1319" s="106" t="s">
        <v>133</v>
      </c>
      <c r="J1319" s="139" t="s">
        <v>133</v>
      </c>
      <c r="K1319" s="136" t="s">
        <v>133</v>
      </c>
      <c r="L1319" s="153"/>
      <c r="M1319" s="136" t="str">
        <f t="shared" si="1"/>
        <v/>
      </c>
      <c r="O1319" s="141" t="s">
        <v>133</v>
      </c>
      <c r="P1319" s="136" t="str">
        <f>IFERROR(__xludf.DUMMYFUNCTION("""COMPUTED_VALUE"""),"")</f>
        <v/>
      </c>
      <c r="Q1319" s="136" t="str">
        <f>IFERROR(__xludf.DUMMYFUNCTION("""COMPUTED_VALUE"""),"")</f>
        <v/>
      </c>
      <c r="R1319" s="106" t="str">
        <f>IFERROR(__xludf.DUMMYFUNCTION("""COMPUTED_VALUE"""),"")</f>
        <v/>
      </c>
      <c r="S1319" s="106" t="str">
        <f>IFERROR(__xludf.DUMMYFUNCTION("""COMPUTED_VALUE"""),"")</f>
        <v/>
      </c>
      <c r="T1319" s="139" t="str">
        <f>IFERROR(__xludf.DUMMYFUNCTION("""COMPUTED_VALUE"""),"")</f>
        <v/>
      </c>
      <c r="U1319" s="139" t="str">
        <f>IFERROR(__xludf.DUMMYFUNCTION("""COMPUTED_VALUE"""),"")</f>
        <v/>
      </c>
      <c r="V1319" s="136" t="str">
        <f>IFERROR(__xludf.DUMMYFUNCTION("""COMPUTED_VALUE"""),"")</f>
        <v/>
      </c>
      <c r="W1319" s="106" t="str">
        <f>IFERROR(__xludf.DUMMYFUNCTION("""COMPUTED_VALUE"""),"")</f>
        <v/>
      </c>
      <c r="X1319" s="143" t="str">
        <f t="shared" si="2"/>
        <v/>
      </c>
      <c r="Y1319" s="139" t="str">
        <f>IFERROR(__xludf.DUMMYFUNCTION("""COMPUTED_VALUE"""),"")</f>
        <v/>
      </c>
      <c r="Z1319" s="141" t="str">
        <f>IFERROR(__xludf.DUMMYFUNCTION("""COMPUTED_VALUE"""),"")</f>
        <v/>
      </c>
    </row>
    <row r="1320">
      <c r="D1320" s="136" t="str">
        <f t="shared" si="3"/>
        <v/>
      </c>
      <c r="E1320" s="152"/>
      <c r="F1320" s="106" t="s">
        <v>133</v>
      </c>
      <c r="G1320" s="152"/>
      <c r="H1320" s="106" t="s">
        <v>133</v>
      </c>
      <c r="J1320" s="139" t="s">
        <v>133</v>
      </c>
      <c r="K1320" s="136" t="s">
        <v>133</v>
      </c>
      <c r="L1320" s="153"/>
      <c r="M1320" s="136" t="str">
        <f t="shared" si="1"/>
        <v/>
      </c>
      <c r="O1320" s="141" t="s">
        <v>133</v>
      </c>
      <c r="P1320" s="136" t="str">
        <f>IFERROR(__xludf.DUMMYFUNCTION("""COMPUTED_VALUE"""),"")</f>
        <v/>
      </c>
      <c r="Q1320" s="136" t="str">
        <f>IFERROR(__xludf.DUMMYFUNCTION("""COMPUTED_VALUE"""),"")</f>
        <v/>
      </c>
      <c r="R1320" s="106" t="str">
        <f>IFERROR(__xludf.DUMMYFUNCTION("""COMPUTED_VALUE"""),"")</f>
        <v/>
      </c>
      <c r="S1320" s="106" t="str">
        <f>IFERROR(__xludf.DUMMYFUNCTION("""COMPUTED_VALUE"""),"")</f>
        <v/>
      </c>
      <c r="T1320" s="139" t="str">
        <f>IFERROR(__xludf.DUMMYFUNCTION("""COMPUTED_VALUE"""),"")</f>
        <v/>
      </c>
      <c r="U1320" s="139" t="str">
        <f>IFERROR(__xludf.DUMMYFUNCTION("""COMPUTED_VALUE"""),"")</f>
        <v/>
      </c>
      <c r="V1320" s="136" t="str">
        <f>IFERROR(__xludf.DUMMYFUNCTION("""COMPUTED_VALUE"""),"")</f>
        <v/>
      </c>
      <c r="W1320" s="106" t="str">
        <f>IFERROR(__xludf.DUMMYFUNCTION("""COMPUTED_VALUE"""),"")</f>
        <v/>
      </c>
      <c r="X1320" s="143" t="str">
        <f t="shared" si="2"/>
        <v/>
      </c>
      <c r="Y1320" s="139" t="str">
        <f>IFERROR(__xludf.DUMMYFUNCTION("""COMPUTED_VALUE"""),"")</f>
        <v/>
      </c>
      <c r="Z1320" s="141" t="str">
        <f>IFERROR(__xludf.DUMMYFUNCTION("""COMPUTED_VALUE"""),"")</f>
        <v/>
      </c>
    </row>
    <row r="1321">
      <c r="D1321" s="136" t="str">
        <f t="shared" si="3"/>
        <v/>
      </c>
      <c r="E1321" s="152"/>
      <c r="F1321" s="106" t="s">
        <v>133</v>
      </c>
      <c r="G1321" s="152"/>
      <c r="H1321" s="106" t="s">
        <v>133</v>
      </c>
      <c r="J1321" s="139" t="s">
        <v>133</v>
      </c>
      <c r="K1321" s="136" t="s">
        <v>133</v>
      </c>
      <c r="L1321" s="153"/>
      <c r="M1321" s="136" t="str">
        <f t="shared" si="1"/>
        <v/>
      </c>
      <c r="O1321" s="141" t="s">
        <v>133</v>
      </c>
      <c r="P1321" s="136" t="str">
        <f>IFERROR(__xludf.DUMMYFUNCTION("""COMPUTED_VALUE"""),"")</f>
        <v/>
      </c>
      <c r="Q1321" s="136" t="str">
        <f>IFERROR(__xludf.DUMMYFUNCTION("""COMPUTED_VALUE"""),"")</f>
        <v/>
      </c>
      <c r="R1321" s="106" t="str">
        <f>IFERROR(__xludf.DUMMYFUNCTION("""COMPUTED_VALUE"""),"")</f>
        <v/>
      </c>
      <c r="S1321" s="106" t="str">
        <f>IFERROR(__xludf.DUMMYFUNCTION("""COMPUTED_VALUE"""),"")</f>
        <v/>
      </c>
      <c r="T1321" s="139" t="str">
        <f>IFERROR(__xludf.DUMMYFUNCTION("""COMPUTED_VALUE"""),"")</f>
        <v/>
      </c>
      <c r="U1321" s="139" t="str">
        <f>IFERROR(__xludf.DUMMYFUNCTION("""COMPUTED_VALUE"""),"")</f>
        <v/>
      </c>
      <c r="V1321" s="136" t="str">
        <f>IFERROR(__xludf.DUMMYFUNCTION("""COMPUTED_VALUE"""),"")</f>
        <v/>
      </c>
      <c r="W1321" s="106" t="str">
        <f>IFERROR(__xludf.DUMMYFUNCTION("""COMPUTED_VALUE"""),"")</f>
        <v/>
      </c>
      <c r="X1321" s="143" t="str">
        <f t="shared" si="2"/>
        <v/>
      </c>
      <c r="Y1321" s="139" t="str">
        <f>IFERROR(__xludf.DUMMYFUNCTION("""COMPUTED_VALUE"""),"")</f>
        <v/>
      </c>
      <c r="Z1321" s="141" t="str">
        <f>IFERROR(__xludf.DUMMYFUNCTION("""COMPUTED_VALUE"""),"")</f>
        <v/>
      </c>
    </row>
    <row r="1322">
      <c r="D1322" s="136" t="str">
        <f t="shared" si="3"/>
        <v/>
      </c>
      <c r="E1322" s="152"/>
      <c r="F1322" s="106" t="s">
        <v>133</v>
      </c>
      <c r="G1322" s="152"/>
      <c r="H1322" s="106" t="s">
        <v>133</v>
      </c>
      <c r="J1322" s="139" t="s">
        <v>133</v>
      </c>
      <c r="K1322" s="136" t="s">
        <v>133</v>
      </c>
      <c r="L1322" s="153"/>
      <c r="M1322" s="136" t="str">
        <f t="shared" si="1"/>
        <v/>
      </c>
      <c r="O1322" s="141" t="s">
        <v>133</v>
      </c>
      <c r="P1322" s="136" t="str">
        <f>IFERROR(__xludf.DUMMYFUNCTION("""COMPUTED_VALUE"""),"")</f>
        <v/>
      </c>
      <c r="Q1322" s="136" t="str">
        <f>IFERROR(__xludf.DUMMYFUNCTION("""COMPUTED_VALUE"""),"")</f>
        <v/>
      </c>
      <c r="R1322" s="106" t="str">
        <f>IFERROR(__xludf.DUMMYFUNCTION("""COMPUTED_VALUE"""),"")</f>
        <v/>
      </c>
      <c r="S1322" s="106" t="str">
        <f>IFERROR(__xludf.DUMMYFUNCTION("""COMPUTED_VALUE"""),"")</f>
        <v/>
      </c>
      <c r="T1322" s="139" t="str">
        <f>IFERROR(__xludf.DUMMYFUNCTION("""COMPUTED_VALUE"""),"")</f>
        <v/>
      </c>
      <c r="U1322" s="139" t="str">
        <f>IFERROR(__xludf.DUMMYFUNCTION("""COMPUTED_VALUE"""),"")</f>
        <v/>
      </c>
      <c r="V1322" s="136" t="str">
        <f>IFERROR(__xludf.DUMMYFUNCTION("""COMPUTED_VALUE"""),"")</f>
        <v/>
      </c>
      <c r="W1322" s="106" t="str">
        <f>IFERROR(__xludf.DUMMYFUNCTION("""COMPUTED_VALUE"""),"")</f>
        <v/>
      </c>
      <c r="X1322" s="143" t="str">
        <f t="shared" si="2"/>
        <v/>
      </c>
      <c r="Y1322" s="139" t="str">
        <f>IFERROR(__xludf.DUMMYFUNCTION("""COMPUTED_VALUE"""),"")</f>
        <v/>
      </c>
      <c r="Z1322" s="141" t="str">
        <f>IFERROR(__xludf.DUMMYFUNCTION("""COMPUTED_VALUE"""),"")</f>
        <v/>
      </c>
    </row>
    <row r="1323">
      <c r="D1323" s="136" t="str">
        <f t="shared" si="3"/>
        <v/>
      </c>
      <c r="E1323" s="152"/>
      <c r="F1323" s="106" t="s">
        <v>133</v>
      </c>
      <c r="G1323" s="152"/>
      <c r="H1323" s="106" t="s">
        <v>133</v>
      </c>
      <c r="J1323" s="139" t="s">
        <v>133</v>
      </c>
      <c r="K1323" s="136" t="s">
        <v>133</v>
      </c>
      <c r="L1323" s="153"/>
      <c r="M1323" s="136" t="str">
        <f t="shared" si="1"/>
        <v/>
      </c>
      <c r="O1323" s="141" t="s">
        <v>133</v>
      </c>
      <c r="P1323" s="136" t="str">
        <f>IFERROR(__xludf.DUMMYFUNCTION("""COMPUTED_VALUE"""),"")</f>
        <v/>
      </c>
      <c r="Q1323" s="136" t="str">
        <f>IFERROR(__xludf.DUMMYFUNCTION("""COMPUTED_VALUE"""),"")</f>
        <v/>
      </c>
      <c r="R1323" s="106" t="str">
        <f>IFERROR(__xludf.DUMMYFUNCTION("""COMPUTED_VALUE"""),"")</f>
        <v/>
      </c>
      <c r="S1323" s="106" t="str">
        <f>IFERROR(__xludf.DUMMYFUNCTION("""COMPUTED_VALUE"""),"")</f>
        <v/>
      </c>
      <c r="T1323" s="139" t="str">
        <f>IFERROR(__xludf.DUMMYFUNCTION("""COMPUTED_VALUE"""),"")</f>
        <v/>
      </c>
      <c r="U1323" s="139" t="str">
        <f>IFERROR(__xludf.DUMMYFUNCTION("""COMPUTED_VALUE"""),"")</f>
        <v/>
      </c>
      <c r="V1323" s="136" t="str">
        <f>IFERROR(__xludf.DUMMYFUNCTION("""COMPUTED_VALUE"""),"")</f>
        <v/>
      </c>
      <c r="W1323" s="106" t="str">
        <f>IFERROR(__xludf.DUMMYFUNCTION("""COMPUTED_VALUE"""),"")</f>
        <v/>
      </c>
      <c r="X1323" s="143" t="str">
        <f t="shared" si="2"/>
        <v/>
      </c>
      <c r="Y1323" s="139" t="str">
        <f>IFERROR(__xludf.DUMMYFUNCTION("""COMPUTED_VALUE"""),"")</f>
        <v/>
      </c>
      <c r="Z1323" s="141" t="str">
        <f>IFERROR(__xludf.DUMMYFUNCTION("""COMPUTED_VALUE"""),"")</f>
        <v/>
      </c>
    </row>
    <row r="1324">
      <c r="D1324" s="136" t="str">
        <f t="shared" si="3"/>
        <v/>
      </c>
      <c r="E1324" s="152"/>
      <c r="F1324" s="106" t="s">
        <v>133</v>
      </c>
      <c r="G1324" s="152"/>
      <c r="H1324" s="106" t="s">
        <v>133</v>
      </c>
      <c r="J1324" s="139" t="s">
        <v>133</v>
      </c>
      <c r="K1324" s="136" t="s">
        <v>133</v>
      </c>
      <c r="L1324" s="153"/>
      <c r="M1324" s="136" t="str">
        <f t="shared" si="1"/>
        <v/>
      </c>
      <c r="O1324" s="141" t="s">
        <v>133</v>
      </c>
      <c r="P1324" s="136" t="str">
        <f>IFERROR(__xludf.DUMMYFUNCTION("""COMPUTED_VALUE"""),"")</f>
        <v/>
      </c>
      <c r="Q1324" s="136" t="str">
        <f>IFERROR(__xludf.DUMMYFUNCTION("""COMPUTED_VALUE"""),"")</f>
        <v/>
      </c>
      <c r="R1324" s="106" t="str">
        <f>IFERROR(__xludf.DUMMYFUNCTION("""COMPUTED_VALUE"""),"")</f>
        <v/>
      </c>
      <c r="S1324" s="106" t="str">
        <f>IFERROR(__xludf.DUMMYFUNCTION("""COMPUTED_VALUE"""),"")</f>
        <v/>
      </c>
      <c r="T1324" s="139" t="str">
        <f>IFERROR(__xludf.DUMMYFUNCTION("""COMPUTED_VALUE"""),"")</f>
        <v/>
      </c>
      <c r="U1324" s="139" t="str">
        <f>IFERROR(__xludf.DUMMYFUNCTION("""COMPUTED_VALUE"""),"")</f>
        <v/>
      </c>
      <c r="V1324" s="136" t="str">
        <f>IFERROR(__xludf.DUMMYFUNCTION("""COMPUTED_VALUE"""),"")</f>
        <v/>
      </c>
      <c r="W1324" s="106" t="str">
        <f>IFERROR(__xludf.DUMMYFUNCTION("""COMPUTED_VALUE"""),"")</f>
        <v/>
      </c>
      <c r="X1324" s="143" t="str">
        <f t="shared" si="2"/>
        <v/>
      </c>
      <c r="Y1324" s="139" t="str">
        <f>IFERROR(__xludf.DUMMYFUNCTION("""COMPUTED_VALUE"""),"")</f>
        <v/>
      </c>
      <c r="Z1324" s="141" t="str">
        <f>IFERROR(__xludf.DUMMYFUNCTION("""COMPUTED_VALUE"""),"")</f>
        <v/>
      </c>
    </row>
    <row r="1325">
      <c r="D1325" s="136" t="str">
        <f t="shared" si="3"/>
        <v/>
      </c>
      <c r="E1325" s="152"/>
      <c r="F1325" s="106" t="s">
        <v>133</v>
      </c>
      <c r="G1325" s="152"/>
      <c r="H1325" s="106" t="s">
        <v>133</v>
      </c>
      <c r="J1325" s="139" t="s">
        <v>133</v>
      </c>
      <c r="K1325" s="136" t="s">
        <v>133</v>
      </c>
      <c r="L1325" s="153"/>
      <c r="M1325" s="136" t="str">
        <f t="shared" si="1"/>
        <v/>
      </c>
      <c r="O1325" s="141" t="s">
        <v>133</v>
      </c>
      <c r="P1325" s="136" t="str">
        <f>IFERROR(__xludf.DUMMYFUNCTION("""COMPUTED_VALUE"""),"")</f>
        <v/>
      </c>
      <c r="Q1325" s="136" t="str">
        <f>IFERROR(__xludf.DUMMYFUNCTION("""COMPUTED_VALUE"""),"")</f>
        <v/>
      </c>
      <c r="R1325" s="106" t="str">
        <f>IFERROR(__xludf.DUMMYFUNCTION("""COMPUTED_VALUE"""),"")</f>
        <v/>
      </c>
      <c r="S1325" s="106" t="str">
        <f>IFERROR(__xludf.DUMMYFUNCTION("""COMPUTED_VALUE"""),"")</f>
        <v/>
      </c>
      <c r="T1325" s="139" t="str">
        <f>IFERROR(__xludf.DUMMYFUNCTION("""COMPUTED_VALUE"""),"")</f>
        <v/>
      </c>
      <c r="U1325" s="139" t="str">
        <f>IFERROR(__xludf.DUMMYFUNCTION("""COMPUTED_VALUE"""),"")</f>
        <v/>
      </c>
      <c r="V1325" s="136" t="str">
        <f>IFERROR(__xludf.DUMMYFUNCTION("""COMPUTED_VALUE"""),"")</f>
        <v/>
      </c>
      <c r="W1325" s="106" t="str">
        <f>IFERROR(__xludf.DUMMYFUNCTION("""COMPUTED_VALUE"""),"")</f>
        <v/>
      </c>
      <c r="X1325" s="143" t="str">
        <f t="shared" si="2"/>
        <v/>
      </c>
      <c r="Y1325" s="139" t="str">
        <f>IFERROR(__xludf.DUMMYFUNCTION("""COMPUTED_VALUE"""),"")</f>
        <v/>
      </c>
      <c r="Z1325" s="141" t="str">
        <f>IFERROR(__xludf.DUMMYFUNCTION("""COMPUTED_VALUE"""),"")</f>
        <v/>
      </c>
    </row>
    <row r="1326">
      <c r="D1326" s="136" t="str">
        <f t="shared" si="3"/>
        <v/>
      </c>
      <c r="E1326" s="152"/>
      <c r="F1326" s="106" t="s">
        <v>133</v>
      </c>
      <c r="G1326" s="152"/>
      <c r="H1326" s="106" t="s">
        <v>133</v>
      </c>
      <c r="J1326" s="139" t="s">
        <v>133</v>
      </c>
      <c r="K1326" s="136" t="s">
        <v>133</v>
      </c>
      <c r="L1326" s="153"/>
      <c r="M1326" s="136" t="str">
        <f t="shared" si="1"/>
        <v/>
      </c>
      <c r="O1326" s="141" t="s">
        <v>133</v>
      </c>
      <c r="P1326" s="136" t="str">
        <f>IFERROR(__xludf.DUMMYFUNCTION("""COMPUTED_VALUE"""),"")</f>
        <v/>
      </c>
      <c r="Q1326" s="136" t="str">
        <f>IFERROR(__xludf.DUMMYFUNCTION("""COMPUTED_VALUE"""),"")</f>
        <v/>
      </c>
      <c r="R1326" s="106" t="str">
        <f>IFERROR(__xludf.DUMMYFUNCTION("""COMPUTED_VALUE"""),"")</f>
        <v/>
      </c>
      <c r="S1326" s="106" t="str">
        <f>IFERROR(__xludf.DUMMYFUNCTION("""COMPUTED_VALUE"""),"")</f>
        <v/>
      </c>
      <c r="T1326" s="139" t="str">
        <f>IFERROR(__xludf.DUMMYFUNCTION("""COMPUTED_VALUE"""),"")</f>
        <v/>
      </c>
      <c r="U1326" s="139" t="str">
        <f>IFERROR(__xludf.DUMMYFUNCTION("""COMPUTED_VALUE"""),"")</f>
        <v/>
      </c>
      <c r="V1326" s="136" t="str">
        <f>IFERROR(__xludf.DUMMYFUNCTION("""COMPUTED_VALUE"""),"")</f>
        <v/>
      </c>
      <c r="W1326" s="106" t="str">
        <f>IFERROR(__xludf.DUMMYFUNCTION("""COMPUTED_VALUE"""),"")</f>
        <v/>
      </c>
      <c r="X1326" s="143" t="str">
        <f t="shared" si="2"/>
        <v/>
      </c>
      <c r="Y1326" s="139" t="str">
        <f>IFERROR(__xludf.DUMMYFUNCTION("""COMPUTED_VALUE"""),"")</f>
        <v/>
      </c>
      <c r="Z1326" s="141" t="str">
        <f>IFERROR(__xludf.DUMMYFUNCTION("""COMPUTED_VALUE"""),"")</f>
        <v/>
      </c>
    </row>
    <row r="1327">
      <c r="D1327" s="136" t="str">
        <f t="shared" si="3"/>
        <v/>
      </c>
      <c r="E1327" s="152"/>
      <c r="F1327" s="106" t="s">
        <v>133</v>
      </c>
      <c r="G1327" s="152"/>
      <c r="H1327" s="106" t="s">
        <v>133</v>
      </c>
      <c r="J1327" s="139" t="s">
        <v>133</v>
      </c>
      <c r="K1327" s="136" t="s">
        <v>133</v>
      </c>
      <c r="L1327" s="153"/>
      <c r="M1327" s="136" t="str">
        <f t="shared" si="1"/>
        <v/>
      </c>
      <c r="O1327" s="141" t="s">
        <v>133</v>
      </c>
      <c r="P1327" s="136" t="str">
        <f>IFERROR(__xludf.DUMMYFUNCTION("""COMPUTED_VALUE"""),"")</f>
        <v/>
      </c>
      <c r="Q1327" s="136" t="str">
        <f>IFERROR(__xludf.DUMMYFUNCTION("""COMPUTED_VALUE"""),"")</f>
        <v/>
      </c>
      <c r="R1327" s="106" t="str">
        <f>IFERROR(__xludf.DUMMYFUNCTION("""COMPUTED_VALUE"""),"")</f>
        <v/>
      </c>
      <c r="S1327" s="106" t="str">
        <f>IFERROR(__xludf.DUMMYFUNCTION("""COMPUTED_VALUE"""),"")</f>
        <v/>
      </c>
      <c r="T1327" s="139" t="str">
        <f>IFERROR(__xludf.DUMMYFUNCTION("""COMPUTED_VALUE"""),"")</f>
        <v/>
      </c>
      <c r="U1327" s="139" t="str">
        <f>IFERROR(__xludf.DUMMYFUNCTION("""COMPUTED_VALUE"""),"")</f>
        <v/>
      </c>
      <c r="V1327" s="136" t="str">
        <f>IFERROR(__xludf.DUMMYFUNCTION("""COMPUTED_VALUE"""),"")</f>
        <v/>
      </c>
      <c r="W1327" s="106" t="str">
        <f>IFERROR(__xludf.DUMMYFUNCTION("""COMPUTED_VALUE"""),"")</f>
        <v/>
      </c>
      <c r="X1327" s="143" t="str">
        <f t="shared" si="2"/>
        <v/>
      </c>
      <c r="Y1327" s="139" t="str">
        <f>IFERROR(__xludf.DUMMYFUNCTION("""COMPUTED_VALUE"""),"")</f>
        <v/>
      </c>
      <c r="Z1327" s="141" t="str">
        <f>IFERROR(__xludf.DUMMYFUNCTION("""COMPUTED_VALUE"""),"")</f>
        <v/>
      </c>
    </row>
    <row r="1328">
      <c r="D1328" s="136" t="str">
        <f t="shared" si="3"/>
        <v/>
      </c>
      <c r="E1328" s="152"/>
      <c r="F1328" s="106" t="s">
        <v>133</v>
      </c>
      <c r="G1328" s="152"/>
      <c r="H1328" s="106" t="s">
        <v>133</v>
      </c>
      <c r="J1328" s="139" t="s">
        <v>133</v>
      </c>
      <c r="K1328" s="136" t="s">
        <v>133</v>
      </c>
      <c r="L1328" s="153"/>
      <c r="M1328" s="136" t="str">
        <f t="shared" si="1"/>
        <v/>
      </c>
      <c r="O1328" s="141" t="s">
        <v>133</v>
      </c>
      <c r="P1328" s="136" t="str">
        <f>IFERROR(__xludf.DUMMYFUNCTION("""COMPUTED_VALUE"""),"")</f>
        <v/>
      </c>
      <c r="Q1328" s="136" t="str">
        <f>IFERROR(__xludf.DUMMYFUNCTION("""COMPUTED_VALUE"""),"")</f>
        <v/>
      </c>
      <c r="R1328" s="106" t="str">
        <f>IFERROR(__xludf.DUMMYFUNCTION("""COMPUTED_VALUE"""),"")</f>
        <v/>
      </c>
      <c r="S1328" s="106" t="str">
        <f>IFERROR(__xludf.DUMMYFUNCTION("""COMPUTED_VALUE"""),"")</f>
        <v/>
      </c>
      <c r="T1328" s="139" t="str">
        <f>IFERROR(__xludf.DUMMYFUNCTION("""COMPUTED_VALUE"""),"")</f>
        <v/>
      </c>
      <c r="U1328" s="139" t="str">
        <f>IFERROR(__xludf.DUMMYFUNCTION("""COMPUTED_VALUE"""),"")</f>
        <v/>
      </c>
      <c r="V1328" s="136" t="str">
        <f>IFERROR(__xludf.DUMMYFUNCTION("""COMPUTED_VALUE"""),"")</f>
        <v/>
      </c>
      <c r="W1328" s="106" t="str">
        <f>IFERROR(__xludf.DUMMYFUNCTION("""COMPUTED_VALUE"""),"")</f>
        <v/>
      </c>
      <c r="X1328" s="143" t="str">
        <f t="shared" si="2"/>
        <v/>
      </c>
      <c r="Y1328" s="139" t="str">
        <f>IFERROR(__xludf.DUMMYFUNCTION("""COMPUTED_VALUE"""),"")</f>
        <v/>
      </c>
      <c r="Z1328" s="141" t="str">
        <f>IFERROR(__xludf.DUMMYFUNCTION("""COMPUTED_VALUE"""),"")</f>
        <v/>
      </c>
    </row>
    <row r="1329">
      <c r="D1329" s="136" t="str">
        <f t="shared" si="3"/>
        <v/>
      </c>
      <c r="E1329" s="152"/>
      <c r="F1329" s="106" t="s">
        <v>133</v>
      </c>
      <c r="G1329" s="152"/>
      <c r="H1329" s="106" t="s">
        <v>133</v>
      </c>
      <c r="J1329" s="139" t="s">
        <v>133</v>
      </c>
      <c r="K1329" s="136" t="s">
        <v>133</v>
      </c>
      <c r="L1329" s="153"/>
      <c r="M1329" s="136" t="str">
        <f t="shared" si="1"/>
        <v/>
      </c>
      <c r="O1329" s="141" t="s">
        <v>133</v>
      </c>
      <c r="P1329" s="136" t="str">
        <f>IFERROR(__xludf.DUMMYFUNCTION("""COMPUTED_VALUE"""),"")</f>
        <v/>
      </c>
      <c r="Q1329" s="136" t="str">
        <f>IFERROR(__xludf.DUMMYFUNCTION("""COMPUTED_VALUE"""),"")</f>
        <v/>
      </c>
      <c r="R1329" s="106" t="str">
        <f>IFERROR(__xludf.DUMMYFUNCTION("""COMPUTED_VALUE"""),"")</f>
        <v/>
      </c>
      <c r="S1329" s="106" t="str">
        <f>IFERROR(__xludf.DUMMYFUNCTION("""COMPUTED_VALUE"""),"")</f>
        <v/>
      </c>
      <c r="T1329" s="139" t="str">
        <f>IFERROR(__xludf.DUMMYFUNCTION("""COMPUTED_VALUE"""),"")</f>
        <v/>
      </c>
      <c r="U1329" s="139" t="str">
        <f>IFERROR(__xludf.DUMMYFUNCTION("""COMPUTED_VALUE"""),"")</f>
        <v/>
      </c>
      <c r="V1329" s="136" t="str">
        <f>IFERROR(__xludf.DUMMYFUNCTION("""COMPUTED_VALUE"""),"")</f>
        <v/>
      </c>
      <c r="W1329" s="106" t="str">
        <f>IFERROR(__xludf.DUMMYFUNCTION("""COMPUTED_VALUE"""),"")</f>
        <v/>
      </c>
      <c r="X1329" s="143" t="str">
        <f t="shared" si="2"/>
        <v/>
      </c>
      <c r="Y1329" s="139" t="str">
        <f>IFERROR(__xludf.DUMMYFUNCTION("""COMPUTED_VALUE"""),"")</f>
        <v/>
      </c>
      <c r="Z1329" s="141" t="str">
        <f>IFERROR(__xludf.DUMMYFUNCTION("""COMPUTED_VALUE"""),"")</f>
        <v/>
      </c>
    </row>
    <row r="1330">
      <c r="D1330" s="136" t="str">
        <f t="shared" si="3"/>
        <v/>
      </c>
      <c r="E1330" s="152"/>
      <c r="F1330" s="106" t="s">
        <v>133</v>
      </c>
      <c r="G1330" s="152"/>
      <c r="H1330" s="106" t="s">
        <v>133</v>
      </c>
      <c r="J1330" s="139" t="s">
        <v>133</v>
      </c>
      <c r="K1330" s="136" t="s">
        <v>133</v>
      </c>
      <c r="L1330" s="153"/>
      <c r="M1330" s="136" t="str">
        <f t="shared" si="1"/>
        <v/>
      </c>
      <c r="O1330" s="141" t="s">
        <v>133</v>
      </c>
      <c r="P1330" s="136" t="str">
        <f>IFERROR(__xludf.DUMMYFUNCTION("""COMPUTED_VALUE"""),"")</f>
        <v/>
      </c>
      <c r="Q1330" s="136" t="str">
        <f>IFERROR(__xludf.DUMMYFUNCTION("""COMPUTED_VALUE"""),"")</f>
        <v/>
      </c>
      <c r="R1330" s="106" t="str">
        <f>IFERROR(__xludf.DUMMYFUNCTION("""COMPUTED_VALUE"""),"")</f>
        <v/>
      </c>
      <c r="S1330" s="106" t="str">
        <f>IFERROR(__xludf.DUMMYFUNCTION("""COMPUTED_VALUE"""),"")</f>
        <v/>
      </c>
      <c r="T1330" s="139" t="str">
        <f>IFERROR(__xludf.DUMMYFUNCTION("""COMPUTED_VALUE"""),"")</f>
        <v/>
      </c>
      <c r="U1330" s="139" t="str">
        <f>IFERROR(__xludf.DUMMYFUNCTION("""COMPUTED_VALUE"""),"")</f>
        <v/>
      </c>
      <c r="V1330" s="136" t="str">
        <f>IFERROR(__xludf.DUMMYFUNCTION("""COMPUTED_VALUE"""),"")</f>
        <v/>
      </c>
      <c r="W1330" s="106" t="str">
        <f>IFERROR(__xludf.DUMMYFUNCTION("""COMPUTED_VALUE"""),"")</f>
        <v/>
      </c>
      <c r="X1330" s="143" t="str">
        <f t="shared" si="2"/>
        <v/>
      </c>
      <c r="Y1330" s="139" t="str">
        <f>IFERROR(__xludf.DUMMYFUNCTION("""COMPUTED_VALUE"""),"")</f>
        <v/>
      </c>
      <c r="Z1330" s="141" t="str">
        <f>IFERROR(__xludf.DUMMYFUNCTION("""COMPUTED_VALUE"""),"")</f>
        <v/>
      </c>
    </row>
    <row r="1331">
      <c r="D1331" s="136" t="str">
        <f t="shared" si="3"/>
        <v/>
      </c>
      <c r="E1331" s="152"/>
      <c r="F1331" s="106" t="s">
        <v>133</v>
      </c>
      <c r="G1331" s="152"/>
      <c r="H1331" s="106" t="s">
        <v>133</v>
      </c>
      <c r="J1331" s="139" t="s">
        <v>133</v>
      </c>
      <c r="K1331" s="136" t="s">
        <v>133</v>
      </c>
      <c r="L1331" s="153"/>
      <c r="M1331" s="136" t="str">
        <f t="shared" si="1"/>
        <v/>
      </c>
      <c r="O1331" s="141" t="s">
        <v>133</v>
      </c>
      <c r="P1331" s="136" t="str">
        <f>IFERROR(__xludf.DUMMYFUNCTION("""COMPUTED_VALUE"""),"")</f>
        <v/>
      </c>
      <c r="Q1331" s="136" t="str">
        <f>IFERROR(__xludf.DUMMYFUNCTION("""COMPUTED_VALUE"""),"")</f>
        <v/>
      </c>
      <c r="R1331" s="106" t="str">
        <f>IFERROR(__xludf.DUMMYFUNCTION("""COMPUTED_VALUE"""),"")</f>
        <v/>
      </c>
      <c r="S1331" s="106" t="str">
        <f>IFERROR(__xludf.DUMMYFUNCTION("""COMPUTED_VALUE"""),"")</f>
        <v/>
      </c>
      <c r="T1331" s="139" t="str">
        <f>IFERROR(__xludf.DUMMYFUNCTION("""COMPUTED_VALUE"""),"")</f>
        <v/>
      </c>
      <c r="U1331" s="139" t="str">
        <f>IFERROR(__xludf.DUMMYFUNCTION("""COMPUTED_VALUE"""),"")</f>
        <v/>
      </c>
      <c r="V1331" s="136" t="str">
        <f>IFERROR(__xludf.DUMMYFUNCTION("""COMPUTED_VALUE"""),"")</f>
        <v/>
      </c>
      <c r="W1331" s="106" t="str">
        <f>IFERROR(__xludf.DUMMYFUNCTION("""COMPUTED_VALUE"""),"")</f>
        <v/>
      </c>
      <c r="X1331" s="143" t="str">
        <f t="shared" si="2"/>
        <v/>
      </c>
      <c r="Y1331" s="139" t="str">
        <f>IFERROR(__xludf.DUMMYFUNCTION("""COMPUTED_VALUE"""),"")</f>
        <v/>
      </c>
      <c r="Z1331" s="141" t="str">
        <f>IFERROR(__xludf.DUMMYFUNCTION("""COMPUTED_VALUE"""),"")</f>
        <v/>
      </c>
    </row>
    <row r="1332">
      <c r="D1332" s="136" t="str">
        <f t="shared" si="3"/>
        <v/>
      </c>
      <c r="E1332" s="152"/>
      <c r="F1332" s="106" t="s">
        <v>133</v>
      </c>
      <c r="G1332" s="152"/>
      <c r="H1332" s="106" t="s">
        <v>133</v>
      </c>
      <c r="J1332" s="139" t="s">
        <v>133</v>
      </c>
      <c r="K1332" s="136" t="s">
        <v>133</v>
      </c>
      <c r="L1332" s="153"/>
      <c r="M1332" s="136" t="str">
        <f t="shared" si="1"/>
        <v/>
      </c>
      <c r="O1332" s="141" t="s">
        <v>133</v>
      </c>
      <c r="P1332" s="136" t="str">
        <f>IFERROR(__xludf.DUMMYFUNCTION("""COMPUTED_VALUE"""),"")</f>
        <v/>
      </c>
      <c r="Q1332" s="136" t="str">
        <f>IFERROR(__xludf.DUMMYFUNCTION("""COMPUTED_VALUE"""),"")</f>
        <v/>
      </c>
      <c r="R1332" s="106" t="str">
        <f>IFERROR(__xludf.DUMMYFUNCTION("""COMPUTED_VALUE"""),"")</f>
        <v/>
      </c>
      <c r="S1332" s="106" t="str">
        <f>IFERROR(__xludf.DUMMYFUNCTION("""COMPUTED_VALUE"""),"")</f>
        <v/>
      </c>
      <c r="T1332" s="139" t="str">
        <f>IFERROR(__xludf.DUMMYFUNCTION("""COMPUTED_VALUE"""),"")</f>
        <v/>
      </c>
      <c r="U1332" s="139" t="str">
        <f>IFERROR(__xludf.DUMMYFUNCTION("""COMPUTED_VALUE"""),"")</f>
        <v/>
      </c>
      <c r="V1332" s="136" t="str">
        <f>IFERROR(__xludf.DUMMYFUNCTION("""COMPUTED_VALUE"""),"")</f>
        <v/>
      </c>
      <c r="W1332" s="106" t="str">
        <f>IFERROR(__xludf.DUMMYFUNCTION("""COMPUTED_VALUE"""),"")</f>
        <v/>
      </c>
      <c r="X1332" s="143" t="str">
        <f t="shared" si="2"/>
        <v/>
      </c>
      <c r="Y1332" s="139" t="str">
        <f>IFERROR(__xludf.DUMMYFUNCTION("""COMPUTED_VALUE"""),"")</f>
        <v/>
      </c>
      <c r="Z1332" s="141" t="str">
        <f>IFERROR(__xludf.DUMMYFUNCTION("""COMPUTED_VALUE"""),"")</f>
        <v/>
      </c>
    </row>
    <row r="1333">
      <c r="D1333" s="136" t="str">
        <f t="shared" si="3"/>
        <v/>
      </c>
      <c r="E1333" s="152"/>
      <c r="F1333" s="106" t="s">
        <v>133</v>
      </c>
      <c r="G1333" s="152"/>
      <c r="H1333" s="106" t="s">
        <v>133</v>
      </c>
      <c r="J1333" s="139" t="s">
        <v>133</v>
      </c>
      <c r="K1333" s="136" t="s">
        <v>133</v>
      </c>
      <c r="L1333" s="153"/>
      <c r="M1333" s="136" t="str">
        <f t="shared" si="1"/>
        <v/>
      </c>
      <c r="O1333" s="141" t="s">
        <v>133</v>
      </c>
      <c r="P1333" s="136" t="str">
        <f>IFERROR(__xludf.DUMMYFUNCTION("""COMPUTED_VALUE"""),"")</f>
        <v/>
      </c>
      <c r="Q1333" s="136" t="str">
        <f>IFERROR(__xludf.DUMMYFUNCTION("""COMPUTED_VALUE"""),"")</f>
        <v/>
      </c>
      <c r="R1333" s="106" t="str">
        <f>IFERROR(__xludf.DUMMYFUNCTION("""COMPUTED_VALUE"""),"")</f>
        <v/>
      </c>
      <c r="S1333" s="106" t="str">
        <f>IFERROR(__xludf.DUMMYFUNCTION("""COMPUTED_VALUE"""),"")</f>
        <v/>
      </c>
      <c r="T1333" s="139" t="str">
        <f>IFERROR(__xludf.DUMMYFUNCTION("""COMPUTED_VALUE"""),"")</f>
        <v/>
      </c>
      <c r="U1333" s="139" t="str">
        <f>IFERROR(__xludf.DUMMYFUNCTION("""COMPUTED_VALUE"""),"")</f>
        <v/>
      </c>
      <c r="V1333" s="136" t="str">
        <f>IFERROR(__xludf.DUMMYFUNCTION("""COMPUTED_VALUE"""),"")</f>
        <v/>
      </c>
      <c r="W1333" s="106" t="str">
        <f>IFERROR(__xludf.DUMMYFUNCTION("""COMPUTED_VALUE"""),"")</f>
        <v/>
      </c>
      <c r="X1333" s="143" t="str">
        <f t="shared" si="2"/>
        <v/>
      </c>
      <c r="Y1333" s="139" t="str">
        <f>IFERROR(__xludf.DUMMYFUNCTION("""COMPUTED_VALUE"""),"")</f>
        <v/>
      </c>
      <c r="Z1333" s="141" t="str">
        <f>IFERROR(__xludf.DUMMYFUNCTION("""COMPUTED_VALUE"""),"")</f>
        <v/>
      </c>
    </row>
    <row r="1334">
      <c r="D1334" s="136" t="str">
        <f t="shared" si="3"/>
        <v/>
      </c>
      <c r="E1334" s="152"/>
      <c r="F1334" s="106" t="s">
        <v>133</v>
      </c>
      <c r="G1334" s="152"/>
      <c r="H1334" s="106" t="s">
        <v>133</v>
      </c>
      <c r="J1334" s="139" t="s">
        <v>133</v>
      </c>
      <c r="K1334" s="136" t="s">
        <v>133</v>
      </c>
      <c r="L1334" s="153"/>
      <c r="M1334" s="136" t="str">
        <f t="shared" si="1"/>
        <v/>
      </c>
      <c r="O1334" s="141" t="s">
        <v>133</v>
      </c>
      <c r="P1334" s="136" t="str">
        <f>IFERROR(__xludf.DUMMYFUNCTION("""COMPUTED_VALUE"""),"")</f>
        <v/>
      </c>
      <c r="Q1334" s="136" t="str">
        <f>IFERROR(__xludf.DUMMYFUNCTION("""COMPUTED_VALUE"""),"")</f>
        <v/>
      </c>
      <c r="R1334" s="106" t="str">
        <f>IFERROR(__xludf.DUMMYFUNCTION("""COMPUTED_VALUE"""),"")</f>
        <v/>
      </c>
      <c r="S1334" s="106" t="str">
        <f>IFERROR(__xludf.DUMMYFUNCTION("""COMPUTED_VALUE"""),"")</f>
        <v/>
      </c>
      <c r="T1334" s="139" t="str">
        <f>IFERROR(__xludf.DUMMYFUNCTION("""COMPUTED_VALUE"""),"")</f>
        <v/>
      </c>
      <c r="U1334" s="139" t="str">
        <f>IFERROR(__xludf.DUMMYFUNCTION("""COMPUTED_VALUE"""),"")</f>
        <v/>
      </c>
      <c r="V1334" s="136" t="str">
        <f>IFERROR(__xludf.DUMMYFUNCTION("""COMPUTED_VALUE"""),"")</f>
        <v/>
      </c>
      <c r="W1334" s="106" t="str">
        <f>IFERROR(__xludf.DUMMYFUNCTION("""COMPUTED_VALUE"""),"")</f>
        <v/>
      </c>
      <c r="X1334" s="143" t="str">
        <f t="shared" si="2"/>
        <v/>
      </c>
      <c r="Y1334" s="139" t="str">
        <f>IFERROR(__xludf.DUMMYFUNCTION("""COMPUTED_VALUE"""),"")</f>
        <v/>
      </c>
      <c r="Z1334" s="141" t="str">
        <f>IFERROR(__xludf.DUMMYFUNCTION("""COMPUTED_VALUE"""),"")</f>
        <v/>
      </c>
    </row>
    <row r="1335">
      <c r="D1335" s="136" t="str">
        <f t="shared" si="3"/>
        <v/>
      </c>
      <c r="E1335" s="152"/>
      <c r="F1335" s="106" t="s">
        <v>133</v>
      </c>
      <c r="G1335" s="152"/>
      <c r="H1335" s="106" t="s">
        <v>133</v>
      </c>
      <c r="J1335" s="139" t="s">
        <v>133</v>
      </c>
      <c r="K1335" s="136" t="s">
        <v>133</v>
      </c>
      <c r="L1335" s="153"/>
      <c r="M1335" s="136" t="str">
        <f t="shared" si="1"/>
        <v/>
      </c>
      <c r="O1335" s="141" t="s">
        <v>133</v>
      </c>
      <c r="P1335" s="136" t="str">
        <f>IFERROR(__xludf.DUMMYFUNCTION("""COMPUTED_VALUE"""),"")</f>
        <v/>
      </c>
      <c r="Q1335" s="136" t="str">
        <f>IFERROR(__xludf.DUMMYFUNCTION("""COMPUTED_VALUE"""),"")</f>
        <v/>
      </c>
      <c r="R1335" s="106" t="str">
        <f>IFERROR(__xludf.DUMMYFUNCTION("""COMPUTED_VALUE"""),"")</f>
        <v/>
      </c>
      <c r="S1335" s="106" t="str">
        <f>IFERROR(__xludf.DUMMYFUNCTION("""COMPUTED_VALUE"""),"")</f>
        <v/>
      </c>
      <c r="T1335" s="139" t="str">
        <f>IFERROR(__xludf.DUMMYFUNCTION("""COMPUTED_VALUE"""),"")</f>
        <v/>
      </c>
      <c r="U1335" s="139" t="str">
        <f>IFERROR(__xludf.DUMMYFUNCTION("""COMPUTED_VALUE"""),"")</f>
        <v/>
      </c>
      <c r="V1335" s="136" t="str">
        <f>IFERROR(__xludf.DUMMYFUNCTION("""COMPUTED_VALUE"""),"")</f>
        <v/>
      </c>
      <c r="W1335" s="106" t="str">
        <f>IFERROR(__xludf.DUMMYFUNCTION("""COMPUTED_VALUE"""),"")</f>
        <v/>
      </c>
      <c r="X1335" s="143" t="str">
        <f t="shared" si="2"/>
        <v/>
      </c>
      <c r="Y1335" s="139" t="str">
        <f>IFERROR(__xludf.DUMMYFUNCTION("""COMPUTED_VALUE"""),"")</f>
        <v/>
      </c>
      <c r="Z1335" s="141" t="str">
        <f>IFERROR(__xludf.DUMMYFUNCTION("""COMPUTED_VALUE"""),"")</f>
        <v/>
      </c>
    </row>
    <row r="1336">
      <c r="D1336" s="136" t="str">
        <f t="shared" si="3"/>
        <v/>
      </c>
      <c r="E1336" s="152"/>
      <c r="F1336" s="106" t="s">
        <v>133</v>
      </c>
      <c r="G1336" s="152"/>
      <c r="H1336" s="106" t="s">
        <v>133</v>
      </c>
      <c r="J1336" s="139" t="s">
        <v>133</v>
      </c>
      <c r="K1336" s="136" t="s">
        <v>133</v>
      </c>
      <c r="L1336" s="153"/>
      <c r="M1336" s="136" t="str">
        <f t="shared" si="1"/>
        <v/>
      </c>
      <c r="O1336" s="141" t="s">
        <v>133</v>
      </c>
      <c r="P1336" s="136" t="str">
        <f>IFERROR(__xludf.DUMMYFUNCTION("""COMPUTED_VALUE"""),"")</f>
        <v/>
      </c>
      <c r="Q1336" s="136" t="str">
        <f>IFERROR(__xludf.DUMMYFUNCTION("""COMPUTED_VALUE"""),"")</f>
        <v/>
      </c>
      <c r="R1336" s="106" t="str">
        <f>IFERROR(__xludf.DUMMYFUNCTION("""COMPUTED_VALUE"""),"")</f>
        <v/>
      </c>
      <c r="S1336" s="106" t="str">
        <f>IFERROR(__xludf.DUMMYFUNCTION("""COMPUTED_VALUE"""),"")</f>
        <v/>
      </c>
      <c r="T1336" s="139" t="str">
        <f>IFERROR(__xludf.DUMMYFUNCTION("""COMPUTED_VALUE"""),"")</f>
        <v/>
      </c>
      <c r="U1336" s="139" t="str">
        <f>IFERROR(__xludf.DUMMYFUNCTION("""COMPUTED_VALUE"""),"")</f>
        <v/>
      </c>
      <c r="V1336" s="136" t="str">
        <f>IFERROR(__xludf.DUMMYFUNCTION("""COMPUTED_VALUE"""),"")</f>
        <v/>
      </c>
      <c r="W1336" s="106" t="str">
        <f>IFERROR(__xludf.DUMMYFUNCTION("""COMPUTED_VALUE"""),"")</f>
        <v/>
      </c>
      <c r="X1336" s="143" t="str">
        <f t="shared" si="2"/>
        <v/>
      </c>
      <c r="Y1336" s="139" t="str">
        <f>IFERROR(__xludf.DUMMYFUNCTION("""COMPUTED_VALUE"""),"")</f>
        <v/>
      </c>
      <c r="Z1336" s="141" t="str">
        <f>IFERROR(__xludf.DUMMYFUNCTION("""COMPUTED_VALUE"""),"")</f>
        <v/>
      </c>
    </row>
    <row r="1337">
      <c r="D1337" s="136" t="str">
        <f t="shared" si="3"/>
        <v/>
      </c>
      <c r="E1337" s="152"/>
      <c r="F1337" s="106" t="s">
        <v>133</v>
      </c>
      <c r="G1337" s="152"/>
      <c r="H1337" s="106" t="s">
        <v>133</v>
      </c>
      <c r="J1337" s="139" t="s">
        <v>133</v>
      </c>
      <c r="K1337" s="136" t="s">
        <v>133</v>
      </c>
      <c r="L1337" s="153"/>
      <c r="M1337" s="136" t="str">
        <f t="shared" si="1"/>
        <v/>
      </c>
      <c r="O1337" s="141" t="s">
        <v>133</v>
      </c>
      <c r="P1337" s="136" t="str">
        <f>IFERROR(__xludf.DUMMYFUNCTION("""COMPUTED_VALUE"""),"")</f>
        <v/>
      </c>
      <c r="Q1337" s="136" t="str">
        <f>IFERROR(__xludf.DUMMYFUNCTION("""COMPUTED_VALUE"""),"")</f>
        <v/>
      </c>
      <c r="R1337" s="106" t="str">
        <f>IFERROR(__xludf.DUMMYFUNCTION("""COMPUTED_VALUE"""),"")</f>
        <v/>
      </c>
      <c r="S1337" s="106" t="str">
        <f>IFERROR(__xludf.DUMMYFUNCTION("""COMPUTED_VALUE"""),"")</f>
        <v/>
      </c>
      <c r="T1337" s="139" t="str">
        <f>IFERROR(__xludf.DUMMYFUNCTION("""COMPUTED_VALUE"""),"")</f>
        <v/>
      </c>
      <c r="U1337" s="139" t="str">
        <f>IFERROR(__xludf.DUMMYFUNCTION("""COMPUTED_VALUE"""),"")</f>
        <v/>
      </c>
      <c r="V1337" s="136" t="str">
        <f>IFERROR(__xludf.DUMMYFUNCTION("""COMPUTED_VALUE"""),"")</f>
        <v/>
      </c>
      <c r="W1337" s="106" t="str">
        <f>IFERROR(__xludf.DUMMYFUNCTION("""COMPUTED_VALUE"""),"")</f>
        <v/>
      </c>
      <c r="X1337" s="143" t="str">
        <f t="shared" si="2"/>
        <v/>
      </c>
      <c r="Y1337" s="139" t="str">
        <f>IFERROR(__xludf.DUMMYFUNCTION("""COMPUTED_VALUE"""),"")</f>
        <v/>
      </c>
      <c r="Z1337" s="141" t="str">
        <f>IFERROR(__xludf.DUMMYFUNCTION("""COMPUTED_VALUE"""),"")</f>
        <v/>
      </c>
    </row>
    <row r="1338">
      <c r="D1338" s="136" t="str">
        <f t="shared" si="3"/>
        <v/>
      </c>
      <c r="E1338" s="152"/>
      <c r="F1338" s="106" t="s">
        <v>133</v>
      </c>
      <c r="G1338" s="152"/>
      <c r="H1338" s="106" t="s">
        <v>133</v>
      </c>
      <c r="J1338" s="139" t="s">
        <v>133</v>
      </c>
      <c r="K1338" s="136" t="s">
        <v>133</v>
      </c>
      <c r="L1338" s="153"/>
      <c r="M1338" s="136" t="str">
        <f t="shared" si="1"/>
        <v/>
      </c>
      <c r="O1338" s="141" t="s">
        <v>133</v>
      </c>
      <c r="P1338" s="136" t="str">
        <f>IFERROR(__xludf.DUMMYFUNCTION("""COMPUTED_VALUE"""),"")</f>
        <v/>
      </c>
      <c r="Q1338" s="136" t="str">
        <f>IFERROR(__xludf.DUMMYFUNCTION("""COMPUTED_VALUE"""),"")</f>
        <v/>
      </c>
      <c r="R1338" s="106" t="str">
        <f>IFERROR(__xludf.DUMMYFUNCTION("""COMPUTED_VALUE"""),"")</f>
        <v/>
      </c>
      <c r="S1338" s="106" t="str">
        <f>IFERROR(__xludf.DUMMYFUNCTION("""COMPUTED_VALUE"""),"")</f>
        <v/>
      </c>
      <c r="T1338" s="139" t="str">
        <f>IFERROR(__xludf.DUMMYFUNCTION("""COMPUTED_VALUE"""),"")</f>
        <v/>
      </c>
      <c r="U1338" s="139" t="str">
        <f>IFERROR(__xludf.DUMMYFUNCTION("""COMPUTED_VALUE"""),"")</f>
        <v/>
      </c>
      <c r="V1338" s="136" t="str">
        <f>IFERROR(__xludf.DUMMYFUNCTION("""COMPUTED_VALUE"""),"")</f>
        <v/>
      </c>
      <c r="W1338" s="106" t="str">
        <f>IFERROR(__xludf.DUMMYFUNCTION("""COMPUTED_VALUE"""),"")</f>
        <v/>
      </c>
      <c r="X1338" s="143" t="str">
        <f t="shared" si="2"/>
        <v/>
      </c>
      <c r="Y1338" s="139" t="str">
        <f>IFERROR(__xludf.DUMMYFUNCTION("""COMPUTED_VALUE"""),"")</f>
        <v/>
      </c>
      <c r="Z1338" s="141" t="str">
        <f>IFERROR(__xludf.DUMMYFUNCTION("""COMPUTED_VALUE"""),"")</f>
        <v/>
      </c>
    </row>
    <row r="1339">
      <c r="D1339" s="136" t="str">
        <f t="shared" si="3"/>
        <v/>
      </c>
      <c r="E1339" s="152"/>
      <c r="F1339" s="106" t="s">
        <v>133</v>
      </c>
      <c r="G1339" s="152"/>
      <c r="H1339" s="106" t="s">
        <v>133</v>
      </c>
      <c r="J1339" s="139" t="s">
        <v>133</v>
      </c>
      <c r="K1339" s="136" t="s">
        <v>133</v>
      </c>
      <c r="L1339" s="153"/>
      <c r="M1339" s="136" t="str">
        <f t="shared" si="1"/>
        <v/>
      </c>
      <c r="O1339" s="141" t="s">
        <v>133</v>
      </c>
      <c r="P1339" s="136" t="str">
        <f>IFERROR(__xludf.DUMMYFUNCTION("""COMPUTED_VALUE"""),"")</f>
        <v/>
      </c>
      <c r="Q1339" s="136" t="str">
        <f>IFERROR(__xludf.DUMMYFUNCTION("""COMPUTED_VALUE"""),"")</f>
        <v/>
      </c>
      <c r="R1339" s="106" t="str">
        <f>IFERROR(__xludf.DUMMYFUNCTION("""COMPUTED_VALUE"""),"")</f>
        <v/>
      </c>
      <c r="S1339" s="106" t="str">
        <f>IFERROR(__xludf.DUMMYFUNCTION("""COMPUTED_VALUE"""),"")</f>
        <v/>
      </c>
      <c r="T1339" s="139" t="str">
        <f>IFERROR(__xludf.DUMMYFUNCTION("""COMPUTED_VALUE"""),"")</f>
        <v/>
      </c>
      <c r="U1339" s="139" t="str">
        <f>IFERROR(__xludf.DUMMYFUNCTION("""COMPUTED_VALUE"""),"")</f>
        <v/>
      </c>
      <c r="V1339" s="136" t="str">
        <f>IFERROR(__xludf.DUMMYFUNCTION("""COMPUTED_VALUE"""),"")</f>
        <v/>
      </c>
      <c r="W1339" s="106" t="str">
        <f>IFERROR(__xludf.DUMMYFUNCTION("""COMPUTED_VALUE"""),"")</f>
        <v/>
      </c>
      <c r="X1339" s="143" t="str">
        <f t="shared" si="2"/>
        <v/>
      </c>
      <c r="Y1339" s="139" t="str">
        <f>IFERROR(__xludf.DUMMYFUNCTION("""COMPUTED_VALUE"""),"")</f>
        <v/>
      </c>
      <c r="Z1339" s="141" t="str">
        <f>IFERROR(__xludf.DUMMYFUNCTION("""COMPUTED_VALUE"""),"")</f>
        <v/>
      </c>
    </row>
    <row r="1340">
      <c r="D1340" s="136" t="str">
        <f t="shared" si="3"/>
        <v/>
      </c>
      <c r="E1340" s="152"/>
      <c r="F1340" s="106" t="s">
        <v>133</v>
      </c>
      <c r="G1340" s="152"/>
      <c r="H1340" s="106" t="s">
        <v>133</v>
      </c>
      <c r="J1340" s="139" t="s">
        <v>133</v>
      </c>
      <c r="K1340" s="136" t="s">
        <v>133</v>
      </c>
      <c r="L1340" s="153"/>
      <c r="M1340" s="136" t="str">
        <f t="shared" si="1"/>
        <v/>
      </c>
      <c r="O1340" s="141" t="s">
        <v>133</v>
      </c>
      <c r="P1340" s="136" t="str">
        <f>IFERROR(__xludf.DUMMYFUNCTION("""COMPUTED_VALUE"""),"")</f>
        <v/>
      </c>
      <c r="Q1340" s="136" t="str">
        <f>IFERROR(__xludf.DUMMYFUNCTION("""COMPUTED_VALUE"""),"")</f>
        <v/>
      </c>
      <c r="R1340" s="106" t="str">
        <f>IFERROR(__xludf.DUMMYFUNCTION("""COMPUTED_VALUE"""),"")</f>
        <v/>
      </c>
      <c r="S1340" s="106" t="str">
        <f>IFERROR(__xludf.DUMMYFUNCTION("""COMPUTED_VALUE"""),"")</f>
        <v/>
      </c>
      <c r="T1340" s="139" t="str">
        <f>IFERROR(__xludf.DUMMYFUNCTION("""COMPUTED_VALUE"""),"")</f>
        <v/>
      </c>
      <c r="U1340" s="139" t="str">
        <f>IFERROR(__xludf.DUMMYFUNCTION("""COMPUTED_VALUE"""),"")</f>
        <v/>
      </c>
      <c r="V1340" s="136" t="str">
        <f>IFERROR(__xludf.DUMMYFUNCTION("""COMPUTED_VALUE"""),"")</f>
        <v/>
      </c>
      <c r="W1340" s="106" t="str">
        <f>IFERROR(__xludf.DUMMYFUNCTION("""COMPUTED_VALUE"""),"")</f>
        <v/>
      </c>
      <c r="X1340" s="143" t="str">
        <f t="shared" si="2"/>
        <v/>
      </c>
      <c r="Y1340" s="139" t="str">
        <f>IFERROR(__xludf.DUMMYFUNCTION("""COMPUTED_VALUE"""),"")</f>
        <v/>
      </c>
      <c r="Z1340" s="141" t="str">
        <f>IFERROR(__xludf.DUMMYFUNCTION("""COMPUTED_VALUE"""),"")</f>
        <v/>
      </c>
    </row>
    <row r="1341">
      <c r="D1341" s="136" t="str">
        <f t="shared" si="3"/>
        <v/>
      </c>
      <c r="E1341" s="152"/>
      <c r="F1341" s="106" t="s">
        <v>133</v>
      </c>
      <c r="G1341" s="152"/>
      <c r="H1341" s="106" t="s">
        <v>133</v>
      </c>
      <c r="J1341" s="139" t="s">
        <v>133</v>
      </c>
      <c r="K1341" s="136" t="s">
        <v>133</v>
      </c>
      <c r="L1341" s="153"/>
      <c r="M1341" s="136" t="str">
        <f t="shared" si="1"/>
        <v/>
      </c>
      <c r="O1341" s="141" t="s">
        <v>133</v>
      </c>
      <c r="P1341" s="136" t="str">
        <f>IFERROR(__xludf.DUMMYFUNCTION("""COMPUTED_VALUE"""),"")</f>
        <v/>
      </c>
      <c r="Q1341" s="136" t="str">
        <f>IFERROR(__xludf.DUMMYFUNCTION("""COMPUTED_VALUE"""),"")</f>
        <v/>
      </c>
      <c r="R1341" s="106" t="str">
        <f>IFERROR(__xludf.DUMMYFUNCTION("""COMPUTED_VALUE"""),"")</f>
        <v/>
      </c>
      <c r="S1341" s="106" t="str">
        <f>IFERROR(__xludf.DUMMYFUNCTION("""COMPUTED_VALUE"""),"")</f>
        <v/>
      </c>
      <c r="T1341" s="139" t="str">
        <f>IFERROR(__xludf.DUMMYFUNCTION("""COMPUTED_VALUE"""),"")</f>
        <v/>
      </c>
      <c r="U1341" s="139" t="str">
        <f>IFERROR(__xludf.DUMMYFUNCTION("""COMPUTED_VALUE"""),"")</f>
        <v/>
      </c>
      <c r="V1341" s="136" t="str">
        <f>IFERROR(__xludf.DUMMYFUNCTION("""COMPUTED_VALUE"""),"")</f>
        <v/>
      </c>
      <c r="W1341" s="106" t="str">
        <f>IFERROR(__xludf.DUMMYFUNCTION("""COMPUTED_VALUE"""),"")</f>
        <v/>
      </c>
      <c r="X1341" s="143" t="str">
        <f t="shared" si="2"/>
        <v/>
      </c>
      <c r="Y1341" s="139" t="str">
        <f>IFERROR(__xludf.DUMMYFUNCTION("""COMPUTED_VALUE"""),"")</f>
        <v/>
      </c>
      <c r="Z1341" s="141" t="str">
        <f>IFERROR(__xludf.DUMMYFUNCTION("""COMPUTED_VALUE"""),"")</f>
        <v/>
      </c>
    </row>
    <row r="1342">
      <c r="D1342" s="136" t="str">
        <f t="shared" si="3"/>
        <v/>
      </c>
      <c r="E1342" s="152"/>
      <c r="F1342" s="106" t="s">
        <v>133</v>
      </c>
      <c r="G1342" s="152"/>
      <c r="H1342" s="106" t="s">
        <v>133</v>
      </c>
      <c r="J1342" s="139" t="s">
        <v>133</v>
      </c>
      <c r="K1342" s="136" t="s">
        <v>133</v>
      </c>
      <c r="L1342" s="153"/>
      <c r="M1342" s="136" t="str">
        <f t="shared" si="1"/>
        <v/>
      </c>
      <c r="O1342" s="141" t="s">
        <v>133</v>
      </c>
      <c r="P1342" s="136" t="str">
        <f>IFERROR(__xludf.DUMMYFUNCTION("""COMPUTED_VALUE"""),"")</f>
        <v/>
      </c>
      <c r="Q1342" s="136" t="str">
        <f>IFERROR(__xludf.DUMMYFUNCTION("""COMPUTED_VALUE"""),"")</f>
        <v/>
      </c>
      <c r="R1342" s="106" t="str">
        <f>IFERROR(__xludf.DUMMYFUNCTION("""COMPUTED_VALUE"""),"")</f>
        <v/>
      </c>
      <c r="S1342" s="106" t="str">
        <f>IFERROR(__xludf.DUMMYFUNCTION("""COMPUTED_VALUE"""),"")</f>
        <v/>
      </c>
      <c r="T1342" s="139" t="str">
        <f>IFERROR(__xludf.DUMMYFUNCTION("""COMPUTED_VALUE"""),"")</f>
        <v/>
      </c>
      <c r="U1342" s="139" t="str">
        <f>IFERROR(__xludf.DUMMYFUNCTION("""COMPUTED_VALUE"""),"")</f>
        <v/>
      </c>
      <c r="V1342" s="136" t="str">
        <f>IFERROR(__xludf.DUMMYFUNCTION("""COMPUTED_VALUE"""),"")</f>
        <v/>
      </c>
      <c r="W1342" s="106" t="str">
        <f>IFERROR(__xludf.DUMMYFUNCTION("""COMPUTED_VALUE"""),"")</f>
        <v/>
      </c>
      <c r="X1342" s="143" t="str">
        <f t="shared" si="2"/>
        <v/>
      </c>
      <c r="Y1342" s="139" t="str">
        <f>IFERROR(__xludf.DUMMYFUNCTION("""COMPUTED_VALUE"""),"")</f>
        <v/>
      </c>
      <c r="Z1342" s="141" t="str">
        <f>IFERROR(__xludf.DUMMYFUNCTION("""COMPUTED_VALUE"""),"")</f>
        <v/>
      </c>
    </row>
    <row r="1343">
      <c r="D1343" s="136" t="str">
        <f t="shared" si="3"/>
        <v/>
      </c>
      <c r="E1343" s="152"/>
      <c r="F1343" s="106" t="s">
        <v>133</v>
      </c>
      <c r="G1343" s="152"/>
      <c r="H1343" s="106" t="s">
        <v>133</v>
      </c>
      <c r="J1343" s="139" t="s">
        <v>133</v>
      </c>
      <c r="K1343" s="136" t="s">
        <v>133</v>
      </c>
      <c r="L1343" s="153"/>
      <c r="M1343" s="136" t="str">
        <f t="shared" si="1"/>
        <v/>
      </c>
      <c r="O1343" s="141" t="s">
        <v>133</v>
      </c>
      <c r="P1343" s="136" t="str">
        <f>IFERROR(__xludf.DUMMYFUNCTION("""COMPUTED_VALUE"""),"")</f>
        <v/>
      </c>
      <c r="Q1343" s="136" t="str">
        <f>IFERROR(__xludf.DUMMYFUNCTION("""COMPUTED_VALUE"""),"")</f>
        <v/>
      </c>
      <c r="R1343" s="106" t="str">
        <f>IFERROR(__xludf.DUMMYFUNCTION("""COMPUTED_VALUE"""),"")</f>
        <v/>
      </c>
      <c r="S1343" s="106" t="str">
        <f>IFERROR(__xludf.DUMMYFUNCTION("""COMPUTED_VALUE"""),"")</f>
        <v/>
      </c>
      <c r="T1343" s="139" t="str">
        <f>IFERROR(__xludf.DUMMYFUNCTION("""COMPUTED_VALUE"""),"")</f>
        <v/>
      </c>
      <c r="U1343" s="139" t="str">
        <f>IFERROR(__xludf.DUMMYFUNCTION("""COMPUTED_VALUE"""),"")</f>
        <v/>
      </c>
      <c r="V1343" s="136" t="str">
        <f>IFERROR(__xludf.DUMMYFUNCTION("""COMPUTED_VALUE"""),"")</f>
        <v/>
      </c>
      <c r="W1343" s="106" t="str">
        <f>IFERROR(__xludf.DUMMYFUNCTION("""COMPUTED_VALUE"""),"")</f>
        <v/>
      </c>
      <c r="X1343" s="143" t="str">
        <f t="shared" si="2"/>
        <v/>
      </c>
      <c r="Y1343" s="139" t="str">
        <f>IFERROR(__xludf.DUMMYFUNCTION("""COMPUTED_VALUE"""),"")</f>
        <v/>
      </c>
      <c r="Z1343" s="141" t="str">
        <f>IFERROR(__xludf.DUMMYFUNCTION("""COMPUTED_VALUE"""),"")</f>
        <v/>
      </c>
    </row>
    <row r="1344">
      <c r="D1344" s="136" t="str">
        <f t="shared" si="3"/>
        <v/>
      </c>
      <c r="E1344" s="152"/>
      <c r="F1344" s="106" t="s">
        <v>133</v>
      </c>
      <c r="G1344" s="152"/>
      <c r="H1344" s="106" t="s">
        <v>133</v>
      </c>
      <c r="J1344" s="139" t="s">
        <v>133</v>
      </c>
      <c r="K1344" s="136" t="s">
        <v>133</v>
      </c>
      <c r="L1344" s="153"/>
      <c r="M1344" s="136" t="str">
        <f t="shared" si="1"/>
        <v/>
      </c>
      <c r="O1344" s="141" t="s">
        <v>133</v>
      </c>
      <c r="P1344" s="136" t="str">
        <f>IFERROR(__xludf.DUMMYFUNCTION("""COMPUTED_VALUE"""),"")</f>
        <v/>
      </c>
      <c r="Q1344" s="136" t="str">
        <f>IFERROR(__xludf.DUMMYFUNCTION("""COMPUTED_VALUE"""),"")</f>
        <v/>
      </c>
      <c r="R1344" s="106" t="str">
        <f>IFERROR(__xludf.DUMMYFUNCTION("""COMPUTED_VALUE"""),"")</f>
        <v/>
      </c>
      <c r="S1344" s="106" t="str">
        <f>IFERROR(__xludf.DUMMYFUNCTION("""COMPUTED_VALUE"""),"")</f>
        <v/>
      </c>
      <c r="T1344" s="139" t="str">
        <f>IFERROR(__xludf.DUMMYFUNCTION("""COMPUTED_VALUE"""),"")</f>
        <v/>
      </c>
      <c r="U1344" s="139" t="str">
        <f>IFERROR(__xludf.DUMMYFUNCTION("""COMPUTED_VALUE"""),"")</f>
        <v/>
      </c>
      <c r="V1344" s="136" t="str">
        <f>IFERROR(__xludf.DUMMYFUNCTION("""COMPUTED_VALUE"""),"")</f>
        <v/>
      </c>
      <c r="W1344" s="106" t="str">
        <f>IFERROR(__xludf.DUMMYFUNCTION("""COMPUTED_VALUE"""),"")</f>
        <v/>
      </c>
      <c r="X1344" s="143" t="str">
        <f t="shared" si="2"/>
        <v/>
      </c>
      <c r="Y1344" s="139" t="str">
        <f>IFERROR(__xludf.DUMMYFUNCTION("""COMPUTED_VALUE"""),"")</f>
        <v/>
      </c>
      <c r="Z1344" s="141" t="str">
        <f>IFERROR(__xludf.DUMMYFUNCTION("""COMPUTED_VALUE"""),"")</f>
        <v/>
      </c>
    </row>
    <row r="1345">
      <c r="D1345" s="136" t="str">
        <f t="shared" si="3"/>
        <v/>
      </c>
      <c r="E1345" s="152"/>
      <c r="F1345" s="106" t="s">
        <v>133</v>
      </c>
      <c r="G1345" s="152"/>
      <c r="H1345" s="106" t="s">
        <v>133</v>
      </c>
      <c r="J1345" s="139" t="s">
        <v>133</v>
      </c>
      <c r="K1345" s="136" t="s">
        <v>133</v>
      </c>
      <c r="L1345" s="153"/>
      <c r="M1345" s="136" t="str">
        <f t="shared" si="1"/>
        <v/>
      </c>
      <c r="O1345" s="141" t="s">
        <v>133</v>
      </c>
      <c r="P1345" s="136" t="str">
        <f>IFERROR(__xludf.DUMMYFUNCTION("""COMPUTED_VALUE"""),"")</f>
        <v/>
      </c>
      <c r="Q1345" s="136" t="str">
        <f>IFERROR(__xludf.DUMMYFUNCTION("""COMPUTED_VALUE"""),"")</f>
        <v/>
      </c>
      <c r="R1345" s="106" t="str">
        <f>IFERROR(__xludf.DUMMYFUNCTION("""COMPUTED_VALUE"""),"")</f>
        <v/>
      </c>
      <c r="S1345" s="106" t="str">
        <f>IFERROR(__xludf.DUMMYFUNCTION("""COMPUTED_VALUE"""),"")</f>
        <v/>
      </c>
      <c r="T1345" s="139" t="str">
        <f>IFERROR(__xludf.DUMMYFUNCTION("""COMPUTED_VALUE"""),"")</f>
        <v/>
      </c>
      <c r="U1345" s="139" t="str">
        <f>IFERROR(__xludf.DUMMYFUNCTION("""COMPUTED_VALUE"""),"")</f>
        <v/>
      </c>
      <c r="V1345" s="136" t="str">
        <f>IFERROR(__xludf.DUMMYFUNCTION("""COMPUTED_VALUE"""),"")</f>
        <v/>
      </c>
      <c r="W1345" s="106" t="str">
        <f>IFERROR(__xludf.DUMMYFUNCTION("""COMPUTED_VALUE"""),"")</f>
        <v/>
      </c>
      <c r="X1345" s="143" t="str">
        <f t="shared" si="2"/>
        <v/>
      </c>
      <c r="Y1345" s="139" t="str">
        <f>IFERROR(__xludf.DUMMYFUNCTION("""COMPUTED_VALUE"""),"")</f>
        <v/>
      </c>
      <c r="Z1345" s="141" t="str">
        <f>IFERROR(__xludf.DUMMYFUNCTION("""COMPUTED_VALUE"""),"")</f>
        <v/>
      </c>
    </row>
    <row r="1346">
      <c r="D1346" s="136" t="str">
        <f t="shared" si="3"/>
        <v/>
      </c>
      <c r="E1346" s="152"/>
      <c r="F1346" s="106" t="s">
        <v>133</v>
      </c>
      <c r="G1346" s="152"/>
      <c r="H1346" s="106" t="s">
        <v>133</v>
      </c>
      <c r="J1346" s="139" t="s">
        <v>133</v>
      </c>
      <c r="K1346" s="136" t="s">
        <v>133</v>
      </c>
      <c r="L1346" s="153"/>
      <c r="M1346" s="136" t="str">
        <f t="shared" si="1"/>
        <v/>
      </c>
      <c r="O1346" s="141" t="s">
        <v>133</v>
      </c>
      <c r="P1346" s="136" t="str">
        <f>IFERROR(__xludf.DUMMYFUNCTION("""COMPUTED_VALUE"""),"")</f>
        <v/>
      </c>
      <c r="Q1346" s="136" t="str">
        <f>IFERROR(__xludf.DUMMYFUNCTION("""COMPUTED_VALUE"""),"")</f>
        <v/>
      </c>
      <c r="R1346" s="106" t="str">
        <f>IFERROR(__xludf.DUMMYFUNCTION("""COMPUTED_VALUE"""),"")</f>
        <v/>
      </c>
      <c r="S1346" s="106" t="str">
        <f>IFERROR(__xludf.DUMMYFUNCTION("""COMPUTED_VALUE"""),"")</f>
        <v/>
      </c>
      <c r="T1346" s="139" t="str">
        <f>IFERROR(__xludf.DUMMYFUNCTION("""COMPUTED_VALUE"""),"")</f>
        <v/>
      </c>
      <c r="U1346" s="139" t="str">
        <f>IFERROR(__xludf.DUMMYFUNCTION("""COMPUTED_VALUE"""),"")</f>
        <v/>
      </c>
      <c r="V1346" s="136" t="str">
        <f>IFERROR(__xludf.DUMMYFUNCTION("""COMPUTED_VALUE"""),"")</f>
        <v/>
      </c>
      <c r="W1346" s="106" t="str">
        <f>IFERROR(__xludf.DUMMYFUNCTION("""COMPUTED_VALUE"""),"")</f>
        <v/>
      </c>
      <c r="X1346" s="143" t="str">
        <f t="shared" si="2"/>
        <v/>
      </c>
      <c r="Y1346" s="139" t="str">
        <f>IFERROR(__xludf.DUMMYFUNCTION("""COMPUTED_VALUE"""),"")</f>
        <v/>
      </c>
      <c r="Z1346" s="141" t="str">
        <f>IFERROR(__xludf.DUMMYFUNCTION("""COMPUTED_VALUE"""),"")</f>
        <v/>
      </c>
    </row>
    <row r="1347">
      <c r="D1347" s="136" t="str">
        <f t="shared" si="3"/>
        <v/>
      </c>
      <c r="E1347" s="152"/>
      <c r="F1347" s="106" t="s">
        <v>133</v>
      </c>
      <c r="G1347" s="152"/>
      <c r="H1347" s="106" t="s">
        <v>133</v>
      </c>
      <c r="J1347" s="139" t="s">
        <v>133</v>
      </c>
      <c r="K1347" s="136" t="s">
        <v>133</v>
      </c>
      <c r="L1347" s="153"/>
      <c r="M1347" s="136" t="str">
        <f t="shared" si="1"/>
        <v/>
      </c>
      <c r="O1347" s="141" t="s">
        <v>133</v>
      </c>
      <c r="P1347" s="136" t="str">
        <f>IFERROR(__xludf.DUMMYFUNCTION("""COMPUTED_VALUE"""),"")</f>
        <v/>
      </c>
      <c r="Q1347" s="136" t="str">
        <f>IFERROR(__xludf.DUMMYFUNCTION("""COMPUTED_VALUE"""),"")</f>
        <v/>
      </c>
      <c r="R1347" s="106" t="str">
        <f>IFERROR(__xludf.DUMMYFUNCTION("""COMPUTED_VALUE"""),"")</f>
        <v/>
      </c>
      <c r="S1347" s="106" t="str">
        <f>IFERROR(__xludf.DUMMYFUNCTION("""COMPUTED_VALUE"""),"")</f>
        <v/>
      </c>
      <c r="T1347" s="139" t="str">
        <f>IFERROR(__xludf.DUMMYFUNCTION("""COMPUTED_VALUE"""),"")</f>
        <v/>
      </c>
      <c r="U1347" s="139" t="str">
        <f>IFERROR(__xludf.DUMMYFUNCTION("""COMPUTED_VALUE"""),"")</f>
        <v/>
      </c>
      <c r="V1347" s="136" t="str">
        <f>IFERROR(__xludf.DUMMYFUNCTION("""COMPUTED_VALUE"""),"")</f>
        <v/>
      </c>
      <c r="W1347" s="106" t="str">
        <f>IFERROR(__xludf.DUMMYFUNCTION("""COMPUTED_VALUE"""),"")</f>
        <v/>
      </c>
      <c r="X1347" s="143" t="str">
        <f t="shared" si="2"/>
        <v/>
      </c>
      <c r="Y1347" s="139" t="str">
        <f>IFERROR(__xludf.DUMMYFUNCTION("""COMPUTED_VALUE"""),"")</f>
        <v/>
      </c>
      <c r="Z1347" s="141" t="str">
        <f>IFERROR(__xludf.DUMMYFUNCTION("""COMPUTED_VALUE"""),"")</f>
        <v/>
      </c>
    </row>
    <row r="1348">
      <c r="D1348" s="136" t="str">
        <f t="shared" si="3"/>
        <v/>
      </c>
      <c r="E1348" s="152"/>
      <c r="F1348" s="106" t="s">
        <v>133</v>
      </c>
      <c r="G1348" s="152"/>
      <c r="H1348" s="106" t="s">
        <v>133</v>
      </c>
      <c r="J1348" s="139" t="s">
        <v>133</v>
      </c>
      <c r="K1348" s="136" t="s">
        <v>133</v>
      </c>
      <c r="L1348" s="153"/>
      <c r="M1348" s="136" t="str">
        <f t="shared" si="1"/>
        <v/>
      </c>
      <c r="O1348" s="141" t="s">
        <v>133</v>
      </c>
      <c r="P1348" s="136" t="str">
        <f>IFERROR(__xludf.DUMMYFUNCTION("""COMPUTED_VALUE"""),"")</f>
        <v/>
      </c>
      <c r="Q1348" s="136" t="str">
        <f>IFERROR(__xludf.DUMMYFUNCTION("""COMPUTED_VALUE"""),"")</f>
        <v/>
      </c>
      <c r="R1348" s="106" t="str">
        <f>IFERROR(__xludf.DUMMYFUNCTION("""COMPUTED_VALUE"""),"")</f>
        <v/>
      </c>
      <c r="S1348" s="106" t="str">
        <f>IFERROR(__xludf.DUMMYFUNCTION("""COMPUTED_VALUE"""),"")</f>
        <v/>
      </c>
      <c r="T1348" s="139" t="str">
        <f>IFERROR(__xludf.DUMMYFUNCTION("""COMPUTED_VALUE"""),"")</f>
        <v/>
      </c>
      <c r="U1348" s="139" t="str">
        <f>IFERROR(__xludf.DUMMYFUNCTION("""COMPUTED_VALUE"""),"")</f>
        <v/>
      </c>
      <c r="V1348" s="136" t="str">
        <f>IFERROR(__xludf.DUMMYFUNCTION("""COMPUTED_VALUE"""),"")</f>
        <v/>
      </c>
      <c r="W1348" s="106" t="str">
        <f>IFERROR(__xludf.DUMMYFUNCTION("""COMPUTED_VALUE"""),"")</f>
        <v/>
      </c>
      <c r="X1348" s="143" t="str">
        <f t="shared" si="2"/>
        <v/>
      </c>
      <c r="Y1348" s="139" t="str">
        <f>IFERROR(__xludf.DUMMYFUNCTION("""COMPUTED_VALUE"""),"")</f>
        <v/>
      </c>
      <c r="Z1348" s="141" t="str">
        <f>IFERROR(__xludf.DUMMYFUNCTION("""COMPUTED_VALUE"""),"")</f>
        <v/>
      </c>
    </row>
    <row r="1349">
      <c r="D1349" s="136" t="str">
        <f t="shared" si="3"/>
        <v/>
      </c>
      <c r="E1349" s="152"/>
      <c r="F1349" s="106" t="s">
        <v>133</v>
      </c>
      <c r="G1349" s="152"/>
      <c r="H1349" s="106" t="s">
        <v>133</v>
      </c>
      <c r="J1349" s="139" t="s">
        <v>133</v>
      </c>
      <c r="K1349" s="136" t="s">
        <v>133</v>
      </c>
      <c r="L1349" s="153"/>
      <c r="M1349" s="136" t="str">
        <f t="shared" si="1"/>
        <v/>
      </c>
      <c r="O1349" s="141" t="s">
        <v>133</v>
      </c>
      <c r="P1349" s="136" t="str">
        <f>IFERROR(__xludf.DUMMYFUNCTION("""COMPUTED_VALUE"""),"")</f>
        <v/>
      </c>
      <c r="Q1349" s="136" t="str">
        <f>IFERROR(__xludf.DUMMYFUNCTION("""COMPUTED_VALUE"""),"")</f>
        <v/>
      </c>
      <c r="R1349" s="106" t="str">
        <f>IFERROR(__xludf.DUMMYFUNCTION("""COMPUTED_VALUE"""),"")</f>
        <v/>
      </c>
      <c r="S1349" s="106" t="str">
        <f>IFERROR(__xludf.DUMMYFUNCTION("""COMPUTED_VALUE"""),"")</f>
        <v/>
      </c>
      <c r="T1349" s="139" t="str">
        <f>IFERROR(__xludf.DUMMYFUNCTION("""COMPUTED_VALUE"""),"")</f>
        <v/>
      </c>
      <c r="U1349" s="139" t="str">
        <f>IFERROR(__xludf.DUMMYFUNCTION("""COMPUTED_VALUE"""),"")</f>
        <v/>
      </c>
      <c r="V1349" s="136" t="str">
        <f>IFERROR(__xludf.DUMMYFUNCTION("""COMPUTED_VALUE"""),"")</f>
        <v/>
      </c>
      <c r="W1349" s="106" t="str">
        <f>IFERROR(__xludf.DUMMYFUNCTION("""COMPUTED_VALUE"""),"")</f>
        <v/>
      </c>
      <c r="X1349" s="143" t="str">
        <f t="shared" si="2"/>
        <v/>
      </c>
      <c r="Y1349" s="139" t="str">
        <f>IFERROR(__xludf.DUMMYFUNCTION("""COMPUTED_VALUE"""),"")</f>
        <v/>
      </c>
      <c r="Z1349" s="141" t="str">
        <f>IFERROR(__xludf.DUMMYFUNCTION("""COMPUTED_VALUE"""),"")</f>
        <v/>
      </c>
    </row>
    <row r="1350">
      <c r="D1350" s="136" t="str">
        <f t="shared" si="3"/>
        <v/>
      </c>
      <c r="E1350" s="152"/>
      <c r="F1350" s="106" t="s">
        <v>133</v>
      </c>
      <c r="G1350" s="152"/>
      <c r="H1350" s="106" t="s">
        <v>133</v>
      </c>
      <c r="J1350" s="139" t="s">
        <v>133</v>
      </c>
      <c r="K1350" s="136" t="s">
        <v>133</v>
      </c>
      <c r="L1350" s="153"/>
      <c r="M1350" s="136" t="str">
        <f t="shared" si="1"/>
        <v/>
      </c>
      <c r="O1350" s="141" t="s">
        <v>133</v>
      </c>
      <c r="P1350" s="136" t="str">
        <f>IFERROR(__xludf.DUMMYFUNCTION("""COMPUTED_VALUE"""),"")</f>
        <v/>
      </c>
      <c r="Q1350" s="136" t="str">
        <f>IFERROR(__xludf.DUMMYFUNCTION("""COMPUTED_VALUE"""),"")</f>
        <v/>
      </c>
      <c r="R1350" s="106" t="str">
        <f>IFERROR(__xludf.DUMMYFUNCTION("""COMPUTED_VALUE"""),"")</f>
        <v/>
      </c>
      <c r="S1350" s="106" t="str">
        <f>IFERROR(__xludf.DUMMYFUNCTION("""COMPUTED_VALUE"""),"")</f>
        <v/>
      </c>
      <c r="T1350" s="139" t="str">
        <f>IFERROR(__xludf.DUMMYFUNCTION("""COMPUTED_VALUE"""),"")</f>
        <v/>
      </c>
      <c r="U1350" s="139" t="str">
        <f>IFERROR(__xludf.DUMMYFUNCTION("""COMPUTED_VALUE"""),"")</f>
        <v/>
      </c>
      <c r="V1350" s="136" t="str">
        <f>IFERROR(__xludf.DUMMYFUNCTION("""COMPUTED_VALUE"""),"")</f>
        <v/>
      </c>
      <c r="W1350" s="106" t="str">
        <f>IFERROR(__xludf.DUMMYFUNCTION("""COMPUTED_VALUE"""),"")</f>
        <v/>
      </c>
      <c r="X1350" s="143" t="str">
        <f t="shared" si="2"/>
        <v/>
      </c>
      <c r="Y1350" s="139" t="str">
        <f>IFERROR(__xludf.DUMMYFUNCTION("""COMPUTED_VALUE"""),"")</f>
        <v/>
      </c>
      <c r="Z1350" s="141" t="str">
        <f>IFERROR(__xludf.DUMMYFUNCTION("""COMPUTED_VALUE"""),"")</f>
        <v/>
      </c>
    </row>
    <row r="1351">
      <c r="D1351" s="136" t="str">
        <f t="shared" si="3"/>
        <v/>
      </c>
      <c r="E1351" s="152"/>
      <c r="F1351" s="106" t="s">
        <v>133</v>
      </c>
      <c r="G1351" s="152"/>
      <c r="H1351" s="106" t="s">
        <v>133</v>
      </c>
      <c r="J1351" s="139" t="s">
        <v>133</v>
      </c>
      <c r="K1351" s="136" t="s">
        <v>133</v>
      </c>
      <c r="L1351" s="153"/>
      <c r="M1351" s="136" t="str">
        <f t="shared" si="1"/>
        <v/>
      </c>
      <c r="O1351" s="141" t="s">
        <v>133</v>
      </c>
      <c r="P1351" s="136" t="str">
        <f>IFERROR(__xludf.DUMMYFUNCTION("""COMPUTED_VALUE"""),"")</f>
        <v/>
      </c>
      <c r="Q1351" s="136" t="str">
        <f>IFERROR(__xludf.DUMMYFUNCTION("""COMPUTED_VALUE"""),"")</f>
        <v/>
      </c>
      <c r="R1351" s="106" t="str">
        <f>IFERROR(__xludf.DUMMYFUNCTION("""COMPUTED_VALUE"""),"")</f>
        <v/>
      </c>
      <c r="S1351" s="106" t="str">
        <f>IFERROR(__xludf.DUMMYFUNCTION("""COMPUTED_VALUE"""),"")</f>
        <v/>
      </c>
      <c r="T1351" s="139" t="str">
        <f>IFERROR(__xludf.DUMMYFUNCTION("""COMPUTED_VALUE"""),"")</f>
        <v/>
      </c>
      <c r="U1351" s="139" t="str">
        <f>IFERROR(__xludf.DUMMYFUNCTION("""COMPUTED_VALUE"""),"")</f>
        <v/>
      </c>
      <c r="V1351" s="136" t="str">
        <f>IFERROR(__xludf.DUMMYFUNCTION("""COMPUTED_VALUE"""),"")</f>
        <v/>
      </c>
      <c r="W1351" s="106" t="str">
        <f>IFERROR(__xludf.DUMMYFUNCTION("""COMPUTED_VALUE"""),"")</f>
        <v/>
      </c>
      <c r="X1351" s="143" t="str">
        <f t="shared" si="2"/>
        <v/>
      </c>
      <c r="Y1351" s="139" t="str">
        <f>IFERROR(__xludf.DUMMYFUNCTION("""COMPUTED_VALUE"""),"")</f>
        <v/>
      </c>
      <c r="Z1351" s="141" t="str">
        <f>IFERROR(__xludf.DUMMYFUNCTION("""COMPUTED_VALUE"""),"")</f>
        <v/>
      </c>
    </row>
    <row r="1352">
      <c r="D1352" s="136" t="str">
        <f t="shared" si="3"/>
        <v/>
      </c>
      <c r="E1352" s="152"/>
      <c r="F1352" s="106" t="s">
        <v>133</v>
      </c>
      <c r="G1352" s="152"/>
      <c r="H1352" s="106" t="s">
        <v>133</v>
      </c>
      <c r="J1352" s="139" t="s">
        <v>133</v>
      </c>
      <c r="K1352" s="136" t="s">
        <v>133</v>
      </c>
      <c r="L1352" s="153"/>
      <c r="M1352" s="136" t="str">
        <f t="shared" si="1"/>
        <v/>
      </c>
      <c r="O1352" s="141" t="s">
        <v>133</v>
      </c>
      <c r="P1352" s="136" t="str">
        <f>IFERROR(__xludf.DUMMYFUNCTION("""COMPUTED_VALUE"""),"")</f>
        <v/>
      </c>
      <c r="Q1352" s="136" t="str">
        <f>IFERROR(__xludf.DUMMYFUNCTION("""COMPUTED_VALUE"""),"")</f>
        <v/>
      </c>
      <c r="R1352" s="106" t="str">
        <f>IFERROR(__xludf.DUMMYFUNCTION("""COMPUTED_VALUE"""),"")</f>
        <v/>
      </c>
      <c r="S1352" s="106" t="str">
        <f>IFERROR(__xludf.DUMMYFUNCTION("""COMPUTED_VALUE"""),"")</f>
        <v/>
      </c>
      <c r="T1352" s="139" t="str">
        <f>IFERROR(__xludf.DUMMYFUNCTION("""COMPUTED_VALUE"""),"")</f>
        <v/>
      </c>
      <c r="U1352" s="139" t="str">
        <f>IFERROR(__xludf.DUMMYFUNCTION("""COMPUTED_VALUE"""),"")</f>
        <v/>
      </c>
      <c r="V1352" s="136" t="str">
        <f>IFERROR(__xludf.DUMMYFUNCTION("""COMPUTED_VALUE"""),"")</f>
        <v/>
      </c>
      <c r="W1352" s="106" t="str">
        <f>IFERROR(__xludf.DUMMYFUNCTION("""COMPUTED_VALUE"""),"")</f>
        <v/>
      </c>
      <c r="X1352" s="143" t="str">
        <f t="shared" si="2"/>
        <v/>
      </c>
      <c r="Y1352" s="139" t="str">
        <f>IFERROR(__xludf.DUMMYFUNCTION("""COMPUTED_VALUE"""),"")</f>
        <v/>
      </c>
      <c r="Z1352" s="141" t="str">
        <f>IFERROR(__xludf.DUMMYFUNCTION("""COMPUTED_VALUE"""),"")</f>
        <v/>
      </c>
    </row>
    <row r="1353">
      <c r="D1353" s="136" t="str">
        <f t="shared" si="3"/>
        <v/>
      </c>
      <c r="E1353" s="152"/>
      <c r="F1353" s="106" t="s">
        <v>133</v>
      </c>
      <c r="G1353" s="152"/>
      <c r="H1353" s="106" t="s">
        <v>133</v>
      </c>
      <c r="J1353" s="139" t="s">
        <v>133</v>
      </c>
      <c r="K1353" s="136" t="s">
        <v>133</v>
      </c>
      <c r="L1353" s="153"/>
      <c r="M1353" s="136" t="str">
        <f t="shared" si="1"/>
        <v/>
      </c>
      <c r="O1353" s="141" t="s">
        <v>133</v>
      </c>
      <c r="P1353" s="136" t="str">
        <f>IFERROR(__xludf.DUMMYFUNCTION("""COMPUTED_VALUE"""),"")</f>
        <v/>
      </c>
      <c r="Q1353" s="136" t="str">
        <f>IFERROR(__xludf.DUMMYFUNCTION("""COMPUTED_VALUE"""),"")</f>
        <v/>
      </c>
      <c r="R1353" s="106" t="str">
        <f>IFERROR(__xludf.DUMMYFUNCTION("""COMPUTED_VALUE"""),"")</f>
        <v/>
      </c>
      <c r="S1353" s="106" t="str">
        <f>IFERROR(__xludf.DUMMYFUNCTION("""COMPUTED_VALUE"""),"")</f>
        <v/>
      </c>
      <c r="T1353" s="139" t="str">
        <f>IFERROR(__xludf.DUMMYFUNCTION("""COMPUTED_VALUE"""),"")</f>
        <v/>
      </c>
      <c r="U1353" s="139" t="str">
        <f>IFERROR(__xludf.DUMMYFUNCTION("""COMPUTED_VALUE"""),"")</f>
        <v/>
      </c>
      <c r="V1353" s="136" t="str">
        <f>IFERROR(__xludf.DUMMYFUNCTION("""COMPUTED_VALUE"""),"")</f>
        <v/>
      </c>
      <c r="W1353" s="106" t="str">
        <f>IFERROR(__xludf.DUMMYFUNCTION("""COMPUTED_VALUE"""),"")</f>
        <v/>
      </c>
      <c r="X1353" s="143" t="str">
        <f t="shared" si="2"/>
        <v/>
      </c>
      <c r="Y1353" s="139" t="str">
        <f>IFERROR(__xludf.DUMMYFUNCTION("""COMPUTED_VALUE"""),"")</f>
        <v/>
      </c>
      <c r="Z1353" s="141" t="str">
        <f>IFERROR(__xludf.DUMMYFUNCTION("""COMPUTED_VALUE"""),"")</f>
        <v/>
      </c>
    </row>
    <row r="1354">
      <c r="D1354" s="136" t="str">
        <f t="shared" si="3"/>
        <v/>
      </c>
      <c r="E1354" s="152"/>
      <c r="F1354" s="106" t="s">
        <v>133</v>
      </c>
      <c r="G1354" s="152"/>
      <c r="H1354" s="106" t="s">
        <v>133</v>
      </c>
      <c r="J1354" s="139" t="s">
        <v>133</v>
      </c>
      <c r="K1354" s="136" t="s">
        <v>133</v>
      </c>
      <c r="L1354" s="153"/>
      <c r="M1354" s="136" t="str">
        <f t="shared" si="1"/>
        <v/>
      </c>
      <c r="O1354" s="141" t="s">
        <v>133</v>
      </c>
      <c r="P1354" s="136" t="str">
        <f>IFERROR(__xludf.DUMMYFUNCTION("""COMPUTED_VALUE"""),"")</f>
        <v/>
      </c>
      <c r="Q1354" s="136" t="str">
        <f>IFERROR(__xludf.DUMMYFUNCTION("""COMPUTED_VALUE"""),"")</f>
        <v/>
      </c>
      <c r="R1354" s="106" t="str">
        <f>IFERROR(__xludf.DUMMYFUNCTION("""COMPUTED_VALUE"""),"")</f>
        <v/>
      </c>
      <c r="S1354" s="106" t="str">
        <f>IFERROR(__xludf.DUMMYFUNCTION("""COMPUTED_VALUE"""),"")</f>
        <v/>
      </c>
      <c r="T1354" s="139" t="str">
        <f>IFERROR(__xludf.DUMMYFUNCTION("""COMPUTED_VALUE"""),"")</f>
        <v/>
      </c>
      <c r="U1354" s="139" t="str">
        <f>IFERROR(__xludf.DUMMYFUNCTION("""COMPUTED_VALUE"""),"")</f>
        <v/>
      </c>
      <c r="V1354" s="136" t="str">
        <f>IFERROR(__xludf.DUMMYFUNCTION("""COMPUTED_VALUE"""),"")</f>
        <v/>
      </c>
      <c r="W1354" s="106" t="str">
        <f>IFERROR(__xludf.DUMMYFUNCTION("""COMPUTED_VALUE"""),"")</f>
        <v/>
      </c>
      <c r="X1354" s="143" t="str">
        <f t="shared" si="2"/>
        <v/>
      </c>
      <c r="Y1354" s="139" t="str">
        <f>IFERROR(__xludf.DUMMYFUNCTION("""COMPUTED_VALUE"""),"")</f>
        <v/>
      </c>
      <c r="Z1354" s="141" t="str">
        <f>IFERROR(__xludf.DUMMYFUNCTION("""COMPUTED_VALUE"""),"")</f>
        <v/>
      </c>
    </row>
    <row r="1355">
      <c r="D1355" s="136" t="str">
        <f t="shared" si="3"/>
        <v/>
      </c>
      <c r="E1355" s="152"/>
      <c r="F1355" s="106" t="s">
        <v>133</v>
      </c>
      <c r="G1355" s="152"/>
      <c r="H1355" s="106" t="s">
        <v>133</v>
      </c>
      <c r="J1355" s="139" t="s">
        <v>133</v>
      </c>
      <c r="K1355" s="136" t="s">
        <v>133</v>
      </c>
      <c r="L1355" s="153"/>
      <c r="M1355" s="136" t="str">
        <f t="shared" si="1"/>
        <v/>
      </c>
      <c r="O1355" s="141" t="s">
        <v>133</v>
      </c>
      <c r="P1355" s="136" t="str">
        <f>IFERROR(__xludf.DUMMYFUNCTION("""COMPUTED_VALUE"""),"")</f>
        <v/>
      </c>
      <c r="Q1355" s="136" t="str">
        <f>IFERROR(__xludf.DUMMYFUNCTION("""COMPUTED_VALUE"""),"")</f>
        <v/>
      </c>
      <c r="R1355" s="106" t="str">
        <f>IFERROR(__xludf.DUMMYFUNCTION("""COMPUTED_VALUE"""),"")</f>
        <v/>
      </c>
      <c r="S1355" s="106" t="str">
        <f>IFERROR(__xludf.DUMMYFUNCTION("""COMPUTED_VALUE"""),"")</f>
        <v/>
      </c>
      <c r="T1355" s="139" t="str">
        <f>IFERROR(__xludf.DUMMYFUNCTION("""COMPUTED_VALUE"""),"")</f>
        <v/>
      </c>
      <c r="U1355" s="139" t="str">
        <f>IFERROR(__xludf.DUMMYFUNCTION("""COMPUTED_VALUE"""),"")</f>
        <v/>
      </c>
      <c r="V1355" s="136" t="str">
        <f>IFERROR(__xludf.DUMMYFUNCTION("""COMPUTED_VALUE"""),"")</f>
        <v/>
      </c>
      <c r="W1355" s="106" t="str">
        <f>IFERROR(__xludf.DUMMYFUNCTION("""COMPUTED_VALUE"""),"")</f>
        <v/>
      </c>
      <c r="X1355" s="143" t="str">
        <f t="shared" si="2"/>
        <v/>
      </c>
      <c r="Y1355" s="139" t="str">
        <f>IFERROR(__xludf.DUMMYFUNCTION("""COMPUTED_VALUE"""),"")</f>
        <v/>
      </c>
      <c r="Z1355" s="141" t="str">
        <f>IFERROR(__xludf.DUMMYFUNCTION("""COMPUTED_VALUE"""),"")</f>
        <v/>
      </c>
    </row>
    <row r="1356">
      <c r="D1356" s="136" t="str">
        <f t="shared" si="3"/>
        <v/>
      </c>
      <c r="E1356" s="152"/>
      <c r="F1356" s="106" t="s">
        <v>133</v>
      </c>
      <c r="G1356" s="152"/>
      <c r="H1356" s="106" t="s">
        <v>133</v>
      </c>
      <c r="J1356" s="139" t="s">
        <v>133</v>
      </c>
      <c r="K1356" s="136" t="s">
        <v>133</v>
      </c>
      <c r="L1356" s="153"/>
      <c r="M1356" s="136" t="str">
        <f t="shared" si="1"/>
        <v/>
      </c>
      <c r="O1356" s="141" t="s">
        <v>133</v>
      </c>
      <c r="P1356" s="136" t="str">
        <f>IFERROR(__xludf.DUMMYFUNCTION("""COMPUTED_VALUE"""),"")</f>
        <v/>
      </c>
      <c r="Q1356" s="136" t="str">
        <f>IFERROR(__xludf.DUMMYFUNCTION("""COMPUTED_VALUE"""),"")</f>
        <v/>
      </c>
      <c r="R1356" s="106" t="str">
        <f>IFERROR(__xludf.DUMMYFUNCTION("""COMPUTED_VALUE"""),"")</f>
        <v/>
      </c>
      <c r="S1356" s="106" t="str">
        <f>IFERROR(__xludf.DUMMYFUNCTION("""COMPUTED_VALUE"""),"")</f>
        <v/>
      </c>
      <c r="T1356" s="139" t="str">
        <f>IFERROR(__xludf.DUMMYFUNCTION("""COMPUTED_VALUE"""),"")</f>
        <v/>
      </c>
      <c r="U1356" s="139" t="str">
        <f>IFERROR(__xludf.DUMMYFUNCTION("""COMPUTED_VALUE"""),"")</f>
        <v/>
      </c>
      <c r="V1356" s="136" t="str">
        <f>IFERROR(__xludf.DUMMYFUNCTION("""COMPUTED_VALUE"""),"")</f>
        <v/>
      </c>
      <c r="W1356" s="106" t="str">
        <f>IFERROR(__xludf.DUMMYFUNCTION("""COMPUTED_VALUE"""),"")</f>
        <v/>
      </c>
      <c r="X1356" s="143" t="str">
        <f t="shared" si="2"/>
        <v/>
      </c>
      <c r="Y1356" s="139" t="str">
        <f>IFERROR(__xludf.DUMMYFUNCTION("""COMPUTED_VALUE"""),"")</f>
        <v/>
      </c>
      <c r="Z1356" s="141" t="str">
        <f>IFERROR(__xludf.DUMMYFUNCTION("""COMPUTED_VALUE"""),"")</f>
        <v/>
      </c>
    </row>
    <row r="1357">
      <c r="D1357" s="136" t="str">
        <f t="shared" si="3"/>
        <v/>
      </c>
      <c r="E1357" s="152"/>
      <c r="F1357" s="106" t="s">
        <v>133</v>
      </c>
      <c r="G1357" s="152"/>
      <c r="H1357" s="106" t="s">
        <v>133</v>
      </c>
      <c r="J1357" s="139" t="s">
        <v>133</v>
      </c>
      <c r="K1357" s="136" t="s">
        <v>133</v>
      </c>
      <c r="L1357" s="153"/>
      <c r="M1357" s="136" t="str">
        <f t="shared" si="1"/>
        <v/>
      </c>
      <c r="O1357" s="141" t="s">
        <v>133</v>
      </c>
      <c r="P1357" s="136" t="str">
        <f>IFERROR(__xludf.DUMMYFUNCTION("""COMPUTED_VALUE"""),"")</f>
        <v/>
      </c>
      <c r="Q1357" s="136" t="str">
        <f>IFERROR(__xludf.DUMMYFUNCTION("""COMPUTED_VALUE"""),"")</f>
        <v/>
      </c>
      <c r="R1357" s="106" t="str">
        <f>IFERROR(__xludf.DUMMYFUNCTION("""COMPUTED_VALUE"""),"")</f>
        <v/>
      </c>
      <c r="S1357" s="106" t="str">
        <f>IFERROR(__xludf.DUMMYFUNCTION("""COMPUTED_VALUE"""),"")</f>
        <v/>
      </c>
      <c r="T1357" s="139" t="str">
        <f>IFERROR(__xludf.DUMMYFUNCTION("""COMPUTED_VALUE"""),"")</f>
        <v/>
      </c>
      <c r="U1357" s="139" t="str">
        <f>IFERROR(__xludf.DUMMYFUNCTION("""COMPUTED_VALUE"""),"")</f>
        <v/>
      </c>
      <c r="V1357" s="136" t="str">
        <f>IFERROR(__xludf.DUMMYFUNCTION("""COMPUTED_VALUE"""),"")</f>
        <v/>
      </c>
      <c r="W1357" s="106" t="str">
        <f>IFERROR(__xludf.DUMMYFUNCTION("""COMPUTED_VALUE"""),"")</f>
        <v/>
      </c>
      <c r="X1357" s="143" t="str">
        <f t="shared" si="2"/>
        <v/>
      </c>
      <c r="Y1357" s="139" t="str">
        <f>IFERROR(__xludf.DUMMYFUNCTION("""COMPUTED_VALUE"""),"")</f>
        <v/>
      </c>
      <c r="Z1357" s="141" t="str">
        <f>IFERROR(__xludf.DUMMYFUNCTION("""COMPUTED_VALUE"""),"")</f>
        <v/>
      </c>
    </row>
    <row r="1358">
      <c r="D1358" s="136" t="str">
        <f t="shared" si="3"/>
        <v/>
      </c>
      <c r="E1358" s="152"/>
      <c r="F1358" s="106" t="s">
        <v>133</v>
      </c>
      <c r="G1358" s="152"/>
      <c r="H1358" s="106" t="s">
        <v>133</v>
      </c>
      <c r="J1358" s="139" t="s">
        <v>133</v>
      </c>
      <c r="K1358" s="136" t="s">
        <v>133</v>
      </c>
      <c r="L1358" s="153"/>
      <c r="M1358" s="136" t="str">
        <f t="shared" si="1"/>
        <v/>
      </c>
      <c r="O1358" s="141" t="s">
        <v>133</v>
      </c>
      <c r="P1358" s="136" t="str">
        <f>IFERROR(__xludf.DUMMYFUNCTION("""COMPUTED_VALUE"""),"")</f>
        <v/>
      </c>
      <c r="Q1358" s="136" t="str">
        <f>IFERROR(__xludf.DUMMYFUNCTION("""COMPUTED_VALUE"""),"")</f>
        <v/>
      </c>
      <c r="R1358" s="106" t="str">
        <f>IFERROR(__xludf.DUMMYFUNCTION("""COMPUTED_VALUE"""),"")</f>
        <v/>
      </c>
      <c r="S1358" s="106" t="str">
        <f>IFERROR(__xludf.DUMMYFUNCTION("""COMPUTED_VALUE"""),"")</f>
        <v/>
      </c>
      <c r="T1358" s="139" t="str">
        <f>IFERROR(__xludf.DUMMYFUNCTION("""COMPUTED_VALUE"""),"")</f>
        <v/>
      </c>
      <c r="U1358" s="139" t="str">
        <f>IFERROR(__xludf.DUMMYFUNCTION("""COMPUTED_VALUE"""),"")</f>
        <v/>
      </c>
      <c r="V1358" s="136" t="str">
        <f>IFERROR(__xludf.DUMMYFUNCTION("""COMPUTED_VALUE"""),"")</f>
        <v/>
      </c>
      <c r="W1358" s="106" t="str">
        <f>IFERROR(__xludf.DUMMYFUNCTION("""COMPUTED_VALUE"""),"")</f>
        <v/>
      </c>
      <c r="X1358" s="143" t="str">
        <f t="shared" si="2"/>
        <v/>
      </c>
      <c r="Y1358" s="139" t="str">
        <f>IFERROR(__xludf.DUMMYFUNCTION("""COMPUTED_VALUE"""),"")</f>
        <v/>
      </c>
      <c r="Z1358" s="141" t="str">
        <f>IFERROR(__xludf.DUMMYFUNCTION("""COMPUTED_VALUE"""),"")</f>
        <v/>
      </c>
    </row>
    <row r="1359">
      <c r="D1359" s="136" t="str">
        <f t="shared" si="3"/>
        <v/>
      </c>
      <c r="E1359" s="152"/>
      <c r="F1359" s="106" t="s">
        <v>133</v>
      </c>
      <c r="G1359" s="152"/>
      <c r="H1359" s="106" t="s">
        <v>133</v>
      </c>
      <c r="J1359" s="139" t="s">
        <v>133</v>
      </c>
      <c r="K1359" s="136" t="s">
        <v>133</v>
      </c>
      <c r="L1359" s="153"/>
      <c r="M1359" s="136" t="str">
        <f t="shared" si="1"/>
        <v/>
      </c>
      <c r="O1359" s="141" t="s">
        <v>133</v>
      </c>
      <c r="P1359" s="136" t="str">
        <f>IFERROR(__xludf.DUMMYFUNCTION("""COMPUTED_VALUE"""),"")</f>
        <v/>
      </c>
      <c r="Q1359" s="136" t="str">
        <f>IFERROR(__xludf.DUMMYFUNCTION("""COMPUTED_VALUE"""),"")</f>
        <v/>
      </c>
      <c r="R1359" s="106" t="str">
        <f>IFERROR(__xludf.DUMMYFUNCTION("""COMPUTED_VALUE"""),"")</f>
        <v/>
      </c>
      <c r="S1359" s="106" t="str">
        <f>IFERROR(__xludf.DUMMYFUNCTION("""COMPUTED_VALUE"""),"")</f>
        <v/>
      </c>
      <c r="T1359" s="139" t="str">
        <f>IFERROR(__xludf.DUMMYFUNCTION("""COMPUTED_VALUE"""),"")</f>
        <v/>
      </c>
      <c r="U1359" s="139" t="str">
        <f>IFERROR(__xludf.DUMMYFUNCTION("""COMPUTED_VALUE"""),"")</f>
        <v/>
      </c>
      <c r="V1359" s="136" t="str">
        <f>IFERROR(__xludf.DUMMYFUNCTION("""COMPUTED_VALUE"""),"")</f>
        <v/>
      </c>
      <c r="W1359" s="106" t="str">
        <f>IFERROR(__xludf.DUMMYFUNCTION("""COMPUTED_VALUE"""),"")</f>
        <v/>
      </c>
      <c r="X1359" s="143" t="str">
        <f t="shared" si="2"/>
        <v/>
      </c>
      <c r="Y1359" s="139" t="str">
        <f>IFERROR(__xludf.DUMMYFUNCTION("""COMPUTED_VALUE"""),"")</f>
        <v/>
      </c>
      <c r="Z1359" s="141" t="str">
        <f>IFERROR(__xludf.DUMMYFUNCTION("""COMPUTED_VALUE"""),"")</f>
        <v/>
      </c>
    </row>
    <row r="1360">
      <c r="D1360" s="136" t="str">
        <f t="shared" si="3"/>
        <v/>
      </c>
      <c r="E1360" s="152"/>
      <c r="F1360" s="106" t="s">
        <v>133</v>
      </c>
      <c r="G1360" s="152"/>
      <c r="H1360" s="106" t="s">
        <v>133</v>
      </c>
      <c r="J1360" s="139" t="s">
        <v>133</v>
      </c>
      <c r="K1360" s="136" t="s">
        <v>133</v>
      </c>
      <c r="L1360" s="153"/>
      <c r="M1360" s="136" t="str">
        <f t="shared" si="1"/>
        <v/>
      </c>
      <c r="O1360" s="141" t="s">
        <v>133</v>
      </c>
      <c r="P1360" s="136" t="str">
        <f>IFERROR(__xludf.DUMMYFUNCTION("""COMPUTED_VALUE"""),"")</f>
        <v/>
      </c>
      <c r="Q1360" s="136" t="str">
        <f>IFERROR(__xludf.DUMMYFUNCTION("""COMPUTED_VALUE"""),"")</f>
        <v/>
      </c>
      <c r="R1360" s="106" t="str">
        <f>IFERROR(__xludf.DUMMYFUNCTION("""COMPUTED_VALUE"""),"")</f>
        <v/>
      </c>
      <c r="S1360" s="106" t="str">
        <f>IFERROR(__xludf.DUMMYFUNCTION("""COMPUTED_VALUE"""),"")</f>
        <v/>
      </c>
      <c r="T1360" s="139" t="str">
        <f>IFERROR(__xludf.DUMMYFUNCTION("""COMPUTED_VALUE"""),"")</f>
        <v/>
      </c>
      <c r="U1360" s="139" t="str">
        <f>IFERROR(__xludf.DUMMYFUNCTION("""COMPUTED_VALUE"""),"")</f>
        <v/>
      </c>
      <c r="V1360" s="136" t="str">
        <f>IFERROR(__xludf.DUMMYFUNCTION("""COMPUTED_VALUE"""),"")</f>
        <v/>
      </c>
      <c r="W1360" s="106" t="str">
        <f>IFERROR(__xludf.DUMMYFUNCTION("""COMPUTED_VALUE"""),"")</f>
        <v/>
      </c>
      <c r="X1360" s="143" t="str">
        <f t="shared" si="2"/>
        <v/>
      </c>
      <c r="Y1360" s="139" t="str">
        <f>IFERROR(__xludf.DUMMYFUNCTION("""COMPUTED_VALUE"""),"")</f>
        <v/>
      </c>
      <c r="Z1360" s="141" t="str">
        <f>IFERROR(__xludf.DUMMYFUNCTION("""COMPUTED_VALUE"""),"")</f>
        <v/>
      </c>
    </row>
    <row r="1361">
      <c r="D1361" s="136" t="str">
        <f t="shared" si="3"/>
        <v/>
      </c>
      <c r="E1361" s="152"/>
      <c r="F1361" s="106" t="s">
        <v>133</v>
      </c>
      <c r="G1361" s="152"/>
      <c r="H1361" s="106" t="s">
        <v>133</v>
      </c>
      <c r="J1361" s="139" t="s">
        <v>133</v>
      </c>
      <c r="K1361" s="136" t="s">
        <v>133</v>
      </c>
      <c r="L1361" s="153"/>
      <c r="M1361" s="136" t="str">
        <f t="shared" si="1"/>
        <v/>
      </c>
      <c r="O1361" s="141" t="s">
        <v>133</v>
      </c>
      <c r="P1361" s="136" t="str">
        <f>IFERROR(__xludf.DUMMYFUNCTION("""COMPUTED_VALUE"""),"")</f>
        <v/>
      </c>
      <c r="Q1361" s="136" t="str">
        <f>IFERROR(__xludf.DUMMYFUNCTION("""COMPUTED_VALUE"""),"")</f>
        <v/>
      </c>
      <c r="R1361" s="106" t="str">
        <f>IFERROR(__xludf.DUMMYFUNCTION("""COMPUTED_VALUE"""),"")</f>
        <v/>
      </c>
      <c r="S1361" s="106" t="str">
        <f>IFERROR(__xludf.DUMMYFUNCTION("""COMPUTED_VALUE"""),"")</f>
        <v/>
      </c>
      <c r="T1361" s="139" t="str">
        <f>IFERROR(__xludf.DUMMYFUNCTION("""COMPUTED_VALUE"""),"")</f>
        <v/>
      </c>
      <c r="U1361" s="139" t="str">
        <f>IFERROR(__xludf.DUMMYFUNCTION("""COMPUTED_VALUE"""),"")</f>
        <v/>
      </c>
      <c r="V1361" s="136" t="str">
        <f>IFERROR(__xludf.DUMMYFUNCTION("""COMPUTED_VALUE"""),"")</f>
        <v/>
      </c>
      <c r="W1361" s="106" t="str">
        <f>IFERROR(__xludf.DUMMYFUNCTION("""COMPUTED_VALUE"""),"")</f>
        <v/>
      </c>
      <c r="X1361" s="143" t="str">
        <f t="shared" si="2"/>
        <v/>
      </c>
      <c r="Y1361" s="139" t="str">
        <f>IFERROR(__xludf.DUMMYFUNCTION("""COMPUTED_VALUE"""),"")</f>
        <v/>
      </c>
      <c r="Z1361" s="141" t="str">
        <f>IFERROR(__xludf.DUMMYFUNCTION("""COMPUTED_VALUE"""),"")</f>
        <v/>
      </c>
    </row>
    <row r="1362">
      <c r="D1362" s="136" t="str">
        <f t="shared" si="3"/>
        <v/>
      </c>
      <c r="E1362" s="152"/>
      <c r="F1362" s="106" t="s">
        <v>133</v>
      </c>
      <c r="G1362" s="152"/>
      <c r="H1362" s="106" t="s">
        <v>133</v>
      </c>
      <c r="J1362" s="139" t="s">
        <v>133</v>
      </c>
      <c r="K1362" s="136" t="s">
        <v>133</v>
      </c>
      <c r="L1362" s="153"/>
      <c r="M1362" s="136" t="str">
        <f t="shared" si="1"/>
        <v/>
      </c>
      <c r="O1362" s="141" t="s">
        <v>133</v>
      </c>
      <c r="P1362" s="136" t="str">
        <f>IFERROR(__xludf.DUMMYFUNCTION("""COMPUTED_VALUE"""),"")</f>
        <v/>
      </c>
      <c r="Q1362" s="136" t="str">
        <f>IFERROR(__xludf.DUMMYFUNCTION("""COMPUTED_VALUE"""),"")</f>
        <v/>
      </c>
      <c r="R1362" s="106" t="str">
        <f>IFERROR(__xludf.DUMMYFUNCTION("""COMPUTED_VALUE"""),"")</f>
        <v/>
      </c>
      <c r="S1362" s="106" t="str">
        <f>IFERROR(__xludf.DUMMYFUNCTION("""COMPUTED_VALUE"""),"")</f>
        <v/>
      </c>
      <c r="T1362" s="139" t="str">
        <f>IFERROR(__xludf.DUMMYFUNCTION("""COMPUTED_VALUE"""),"")</f>
        <v/>
      </c>
      <c r="U1362" s="139" t="str">
        <f>IFERROR(__xludf.DUMMYFUNCTION("""COMPUTED_VALUE"""),"")</f>
        <v/>
      </c>
      <c r="V1362" s="136" t="str">
        <f>IFERROR(__xludf.DUMMYFUNCTION("""COMPUTED_VALUE"""),"")</f>
        <v/>
      </c>
      <c r="W1362" s="106" t="str">
        <f>IFERROR(__xludf.DUMMYFUNCTION("""COMPUTED_VALUE"""),"")</f>
        <v/>
      </c>
      <c r="X1362" s="143" t="str">
        <f t="shared" si="2"/>
        <v/>
      </c>
      <c r="Y1362" s="139" t="str">
        <f>IFERROR(__xludf.DUMMYFUNCTION("""COMPUTED_VALUE"""),"")</f>
        <v/>
      </c>
      <c r="Z1362" s="141" t="str">
        <f>IFERROR(__xludf.DUMMYFUNCTION("""COMPUTED_VALUE"""),"")</f>
        <v/>
      </c>
    </row>
    <row r="1363">
      <c r="D1363" s="136" t="str">
        <f t="shared" si="3"/>
        <v/>
      </c>
      <c r="E1363" s="152"/>
      <c r="F1363" s="106" t="s">
        <v>133</v>
      </c>
      <c r="G1363" s="152"/>
      <c r="H1363" s="106" t="s">
        <v>133</v>
      </c>
      <c r="J1363" s="139" t="s">
        <v>133</v>
      </c>
      <c r="K1363" s="136" t="s">
        <v>133</v>
      </c>
      <c r="L1363" s="153"/>
      <c r="M1363" s="136" t="str">
        <f t="shared" si="1"/>
        <v/>
      </c>
      <c r="O1363" s="141" t="s">
        <v>133</v>
      </c>
      <c r="P1363" s="136" t="str">
        <f>IFERROR(__xludf.DUMMYFUNCTION("""COMPUTED_VALUE"""),"")</f>
        <v/>
      </c>
      <c r="Q1363" s="136" t="str">
        <f>IFERROR(__xludf.DUMMYFUNCTION("""COMPUTED_VALUE"""),"")</f>
        <v/>
      </c>
      <c r="R1363" s="106" t="str">
        <f>IFERROR(__xludf.DUMMYFUNCTION("""COMPUTED_VALUE"""),"")</f>
        <v/>
      </c>
      <c r="S1363" s="106" t="str">
        <f>IFERROR(__xludf.DUMMYFUNCTION("""COMPUTED_VALUE"""),"")</f>
        <v/>
      </c>
      <c r="T1363" s="139" t="str">
        <f>IFERROR(__xludf.DUMMYFUNCTION("""COMPUTED_VALUE"""),"")</f>
        <v/>
      </c>
      <c r="U1363" s="139" t="str">
        <f>IFERROR(__xludf.DUMMYFUNCTION("""COMPUTED_VALUE"""),"")</f>
        <v/>
      </c>
      <c r="V1363" s="136" t="str">
        <f>IFERROR(__xludf.DUMMYFUNCTION("""COMPUTED_VALUE"""),"")</f>
        <v/>
      </c>
      <c r="W1363" s="106" t="str">
        <f>IFERROR(__xludf.DUMMYFUNCTION("""COMPUTED_VALUE"""),"")</f>
        <v/>
      </c>
      <c r="X1363" s="143" t="str">
        <f t="shared" si="2"/>
        <v/>
      </c>
      <c r="Y1363" s="139" t="str">
        <f>IFERROR(__xludf.DUMMYFUNCTION("""COMPUTED_VALUE"""),"")</f>
        <v/>
      </c>
      <c r="Z1363" s="141" t="str">
        <f>IFERROR(__xludf.DUMMYFUNCTION("""COMPUTED_VALUE"""),"")</f>
        <v/>
      </c>
    </row>
    <row r="1364">
      <c r="D1364" s="136" t="str">
        <f t="shared" si="3"/>
        <v/>
      </c>
      <c r="E1364" s="152"/>
      <c r="F1364" s="106" t="s">
        <v>133</v>
      </c>
      <c r="G1364" s="152"/>
      <c r="H1364" s="106" t="s">
        <v>133</v>
      </c>
      <c r="J1364" s="139" t="s">
        <v>133</v>
      </c>
      <c r="K1364" s="136" t="s">
        <v>133</v>
      </c>
      <c r="L1364" s="153"/>
      <c r="M1364" s="136" t="str">
        <f t="shared" si="1"/>
        <v/>
      </c>
      <c r="O1364" s="141" t="s">
        <v>133</v>
      </c>
      <c r="P1364" s="136" t="str">
        <f>IFERROR(__xludf.DUMMYFUNCTION("""COMPUTED_VALUE"""),"")</f>
        <v/>
      </c>
      <c r="Q1364" s="136" t="str">
        <f>IFERROR(__xludf.DUMMYFUNCTION("""COMPUTED_VALUE"""),"")</f>
        <v/>
      </c>
      <c r="R1364" s="106" t="str">
        <f>IFERROR(__xludf.DUMMYFUNCTION("""COMPUTED_VALUE"""),"")</f>
        <v/>
      </c>
      <c r="S1364" s="106" t="str">
        <f>IFERROR(__xludf.DUMMYFUNCTION("""COMPUTED_VALUE"""),"")</f>
        <v/>
      </c>
      <c r="T1364" s="139" t="str">
        <f>IFERROR(__xludf.DUMMYFUNCTION("""COMPUTED_VALUE"""),"")</f>
        <v/>
      </c>
      <c r="U1364" s="139" t="str">
        <f>IFERROR(__xludf.DUMMYFUNCTION("""COMPUTED_VALUE"""),"")</f>
        <v/>
      </c>
      <c r="V1364" s="136" t="str">
        <f>IFERROR(__xludf.DUMMYFUNCTION("""COMPUTED_VALUE"""),"")</f>
        <v/>
      </c>
      <c r="W1364" s="106" t="str">
        <f>IFERROR(__xludf.DUMMYFUNCTION("""COMPUTED_VALUE"""),"")</f>
        <v/>
      </c>
      <c r="X1364" s="143" t="str">
        <f t="shared" si="2"/>
        <v/>
      </c>
      <c r="Y1364" s="139" t="str">
        <f>IFERROR(__xludf.DUMMYFUNCTION("""COMPUTED_VALUE"""),"")</f>
        <v/>
      </c>
      <c r="Z1364" s="141" t="str">
        <f>IFERROR(__xludf.DUMMYFUNCTION("""COMPUTED_VALUE"""),"")</f>
        <v/>
      </c>
    </row>
    <row r="1365">
      <c r="D1365" s="136" t="str">
        <f t="shared" si="3"/>
        <v/>
      </c>
      <c r="E1365" s="152"/>
      <c r="F1365" s="106" t="s">
        <v>133</v>
      </c>
      <c r="G1365" s="152"/>
      <c r="H1365" s="106" t="s">
        <v>133</v>
      </c>
      <c r="J1365" s="139" t="s">
        <v>133</v>
      </c>
      <c r="K1365" s="136" t="s">
        <v>133</v>
      </c>
      <c r="L1365" s="153"/>
      <c r="M1365" s="136" t="str">
        <f t="shared" si="1"/>
        <v/>
      </c>
      <c r="O1365" s="141" t="s">
        <v>133</v>
      </c>
      <c r="P1365" s="136" t="str">
        <f>IFERROR(__xludf.DUMMYFUNCTION("""COMPUTED_VALUE"""),"")</f>
        <v/>
      </c>
      <c r="Q1365" s="136" t="str">
        <f>IFERROR(__xludf.DUMMYFUNCTION("""COMPUTED_VALUE"""),"")</f>
        <v/>
      </c>
      <c r="R1365" s="106" t="str">
        <f>IFERROR(__xludf.DUMMYFUNCTION("""COMPUTED_VALUE"""),"")</f>
        <v/>
      </c>
      <c r="S1365" s="106" t="str">
        <f>IFERROR(__xludf.DUMMYFUNCTION("""COMPUTED_VALUE"""),"")</f>
        <v/>
      </c>
      <c r="T1365" s="139" t="str">
        <f>IFERROR(__xludf.DUMMYFUNCTION("""COMPUTED_VALUE"""),"")</f>
        <v/>
      </c>
      <c r="U1365" s="139" t="str">
        <f>IFERROR(__xludf.DUMMYFUNCTION("""COMPUTED_VALUE"""),"")</f>
        <v/>
      </c>
      <c r="V1365" s="136" t="str">
        <f>IFERROR(__xludf.DUMMYFUNCTION("""COMPUTED_VALUE"""),"")</f>
        <v/>
      </c>
      <c r="W1365" s="106" t="str">
        <f>IFERROR(__xludf.DUMMYFUNCTION("""COMPUTED_VALUE"""),"")</f>
        <v/>
      </c>
      <c r="X1365" s="143" t="str">
        <f t="shared" si="2"/>
        <v/>
      </c>
      <c r="Y1365" s="139" t="str">
        <f>IFERROR(__xludf.DUMMYFUNCTION("""COMPUTED_VALUE"""),"")</f>
        <v/>
      </c>
      <c r="Z1365" s="141" t="str">
        <f>IFERROR(__xludf.DUMMYFUNCTION("""COMPUTED_VALUE"""),"")</f>
        <v/>
      </c>
    </row>
    <row r="1366">
      <c r="D1366" s="136" t="str">
        <f t="shared" si="3"/>
        <v/>
      </c>
      <c r="E1366" s="152"/>
      <c r="F1366" s="106" t="s">
        <v>133</v>
      </c>
      <c r="G1366" s="152"/>
      <c r="H1366" s="106" t="s">
        <v>133</v>
      </c>
      <c r="J1366" s="139" t="s">
        <v>133</v>
      </c>
      <c r="K1366" s="136" t="s">
        <v>133</v>
      </c>
      <c r="L1366" s="153"/>
      <c r="M1366" s="136" t="str">
        <f t="shared" si="1"/>
        <v/>
      </c>
      <c r="O1366" s="141" t="s">
        <v>133</v>
      </c>
      <c r="P1366" s="136" t="str">
        <f>IFERROR(__xludf.DUMMYFUNCTION("""COMPUTED_VALUE"""),"")</f>
        <v/>
      </c>
      <c r="Q1366" s="136" t="str">
        <f>IFERROR(__xludf.DUMMYFUNCTION("""COMPUTED_VALUE"""),"")</f>
        <v/>
      </c>
      <c r="R1366" s="106" t="str">
        <f>IFERROR(__xludf.DUMMYFUNCTION("""COMPUTED_VALUE"""),"")</f>
        <v/>
      </c>
      <c r="S1366" s="106" t="str">
        <f>IFERROR(__xludf.DUMMYFUNCTION("""COMPUTED_VALUE"""),"")</f>
        <v/>
      </c>
      <c r="T1366" s="139" t="str">
        <f>IFERROR(__xludf.DUMMYFUNCTION("""COMPUTED_VALUE"""),"")</f>
        <v/>
      </c>
      <c r="U1366" s="139" t="str">
        <f>IFERROR(__xludf.DUMMYFUNCTION("""COMPUTED_VALUE"""),"")</f>
        <v/>
      </c>
      <c r="V1366" s="136" t="str">
        <f>IFERROR(__xludf.DUMMYFUNCTION("""COMPUTED_VALUE"""),"")</f>
        <v/>
      </c>
      <c r="W1366" s="106" t="str">
        <f>IFERROR(__xludf.DUMMYFUNCTION("""COMPUTED_VALUE"""),"")</f>
        <v/>
      </c>
      <c r="X1366" s="143" t="str">
        <f t="shared" si="2"/>
        <v/>
      </c>
      <c r="Y1366" s="139" t="str">
        <f>IFERROR(__xludf.DUMMYFUNCTION("""COMPUTED_VALUE"""),"")</f>
        <v/>
      </c>
      <c r="Z1366" s="141" t="str">
        <f>IFERROR(__xludf.DUMMYFUNCTION("""COMPUTED_VALUE"""),"")</f>
        <v/>
      </c>
    </row>
    <row r="1367">
      <c r="D1367" s="136" t="str">
        <f t="shared" si="3"/>
        <v/>
      </c>
      <c r="E1367" s="152"/>
      <c r="F1367" s="106" t="s">
        <v>133</v>
      </c>
      <c r="G1367" s="152"/>
      <c r="H1367" s="106" t="s">
        <v>133</v>
      </c>
      <c r="J1367" s="139" t="s">
        <v>133</v>
      </c>
      <c r="K1367" s="136" t="s">
        <v>133</v>
      </c>
      <c r="L1367" s="153"/>
      <c r="M1367" s="136" t="str">
        <f t="shared" si="1"/>
        <v/>
      </c>
      <c r="O1367" s="141" t="s">
        <v>133</v>
      </c>
      <c r="P1367" s="136" t="str">
        <f>IFERROR(__xludf.DUMMYFUNCTION("""COMPUTED_VALUE"""),"")</f>
        <v/>
      </c>
      <c r="Q1367" s="136" t="str">
        <f>IFERROR(__xludf.DUMMYFUNCTION("""COMPUTED_VALUE"""),"")</f>
        <v/>
      </c>
      <c r="R1367" s="106" t="str">
        <f>IFERROR(__xludf.DUMMYFUNCTION("""COMPUTED_VALUE"""),"")</f>
        <v/>
      </c>
      <c r="S1367" s="106" t="str">
        <f>IFERROR(__xludf.DUMMYFUNCTION("""COMPUTED_VALUE"""),"")</f>
        <v/>
      </c>
      <c r="T1367" s="139" t="str">
        <f>IFERROR(__xludf.DUMMYFUNCTION("""COMPUTED_VALUE"""),"")</f>
        <v/>
      </c>
      <c r="U1367" s="139" t="str">
        <f>IFERROR(__xludf.DUMMYFUNCTION("""COMPUTED_VALUE"""),"")</f>
        <v/>
      </c>
      <c r="V1367" s="136" t="str">
        <f>IFERROR(__xludf.DUMMYFUNCTION("""COMPUTED_VALUE"""),"")</f>
        <v/>
      </c>
      <c r="W1367" s="106" t="str">
        <f>IFERROR(__xludf.DUMMYFUNCTION("""COMPUTED_VALUE"""),"")</f>
        <v/>
      </c>
      <c r="X1367" s="143" t="str">
        <f t="shared" si="2"/>
        <v/>
      </c>
      <c r="Y1367" s="139" t="str">
        <f>IFERROR(__xludf.DUMMYFUNCTION("""COMPUTED_VALUE"""),"")</f>
        <v/>
      </c>
      <c r="Z1367" s="141" t="str">
        <f>IFERROR(__xludf.DUMMYFUNCTION("""COMPUTED_VALUE"""),"")</f>
        <v/>
      </c>
    </row>
    <row r="1368">
      <c r="D1368" s="136" t="str">
        <f t="shared" si="3"/>
        <v/>
      </c>
      <c r="E1368" s="152"/>
      <c r="F1368" s="106" t="s">
        <v>133</v>
      </c>
      <c r="G1368" s="152"/>
      <c r="H1368" s="106" t="s">
        <v>133</v>
      </c>
      <c r="J1368" s="139" t="s">
        <v>133</v>
      </c>
      <c r="K1368" s="136" t="s">
        <v>133</v>
      </c>
      <c r="L1368" s="153"/>
      <c r="M1368" s="136" t="str">
        <f t="shared" si="1"/>
        <v/>
      </c>
      <c r="O1368" s="141" t="s">
        <v>133</v>
      </c>
      <c r="P1368" s="136" t="str">
        <f>IFERROR(__xludf.DUMMYFUNCTION("""COMPUTED_VALUE"""),"")</f>
        <v/>
      </c>
      <c r="Q1368" s="136" t="str">
        <f>IFERROR(__xludf.DUMMYFUNCTION("""COMPUTED_VALUE"""),"")</f>
        <v/>
      </c>
      <c r="R1368" s="106" t="str">
        <f>IFERROR(__xludf.DUMMYFUNCTION("""COMPUTED_VALUE"""),"")</f>
        <v/>
      </c>
      <c r="S1368" s="106" t="str">
        <f>IFERROR(__xludf.DUMMYFUNCTION("""COMPUTED_VALUE"""),"")</f>
        <v/>
      </c>
      <c r="T1368" s="139" t="str">
        <f>IFERROR(__xludf.DUMMYFUNCTION("""COMPUTED_VALUE"""),"")</f>
        <v/>
      </c>
      <c r="U1368" s="139" t="str">
        <f>IFERROR(__xludf.DUMMYFUNCTION("""COMPUTED_VALUE"""),"")</f>
        <v/>
      </c>
      <c r="V1368" s="136" t="str">
        <f>IFERROR(__xludf.DUMMYFUNCTION("""COMPUTED_VALUE"""),"")</f>
        <v/>
      </c>
      <c r="W1368" s="106" t="str">
        <f>IFERROR(__xludf.DUMMYFUNCTION("""COMPUTED_VALUE"""),"")</f>
        <v/>
      </c>
      <c r="X1368" s="143" t="str">
        <f t="shared" si="2"/>
        <v/>
      </c>
      <c r="Y1368" s="139" t="str">
        <f>IFERROR(__xludf.DUMMYFUNCTION("""COMPUTED_VALUE"""),"")</f>
        <v/>
      </c>
      <c r="Z1368" s="141" t="str">
        <f>IFERROR(__xludf.DUMMYFUNCTION("""COMPUTED_VALUE"""),"")</f>
        <v/>
      </c>
    </row>
    <row r="1369">
      <c r="D1369" s="136" t="str">
        <f t="shared" si="3"/>
        <v/>
      </c>
      <c r="E1369" s="152"/>
      <c r="F1369" s="106" t="s">
        <v>133</v>
      </c>
      <c r="G1369" s="152"/>
      <c r="H1369" s="106" t="s">
        <v>133</v>
      </c>
      <c r="J1369" s="139" t="s">
        <v>133</v>
      </c>
      <c r="K1369" s="136" t="s">
        <v>133</v>
      </c>
      <c r="L1369" s="153"/>
      <c r="M1369" s="136" t="str">
        <f t="shared" si="1"/>
        <v/>
      </c>
      <c r="O1369" s="141" t="s">
        <v>133</v>
      </c>
      <c r="P1369" s="136" t="str">
        <f>IFERROR(__xludf.DUMMYFUNCTION("""COMPUTED_VALUE"""),"")</f>
        <v/>
      </c>
      <c r="Q1369" s="136" t="str">
        <f>IFERROR(__xludf.DUMMYFUNCTION("""COMPUTED_VALUE"""),"")</f>
        <v/>
      </c>
      <c r="R1369" s="106" t="str">
        <f>IFERROR(__xludf.DUMMYFUNCTION("""COMPUTED_VALUE"""),"")</f>
        <v/>
      </c>
      <c r="S1369" s="106" t="str">
        <f>IFERROR(__xludf.DUMMYFUNCTION("""COMPUTED_VALUE"""),"")</f>
        <v/>
      </c>
      <c r="T1369" s="139" t="str">
        <f>IFERROR(__xludf.DUMMYFUNCTION("""COMPUTED_VALUE"""),"")</f>
        <v/>
      </c>
      <c r="U1369" s="139" t="str">
        <f>IFERROR(__xludf.DUMMYFUNCTION("""COMPUTED_VALUE"""),"")</f>
        <v/>
      </c>
      <c r="V1369" s="136" t="str">
        <f>IFERROR(__xludf.DUMMYFUNCTION("""COMPUTED_VALUE"""),"")</f>
        <v/>
      </c>
      <c r="W1369" s="106" t="str">
        <f>IFERROR(__xludf.DUMMYFUNCTION("""COMPUTED_VALUE"""),"")</f>
        <v/>
      </c>
      <c r="X1369" s="143" t="str">
        <f t="shared" si="2"/>
        <v/>
      </c>
      <c r="Y1369" s="139" t="str">
        <f>IFERROR(__xludf.DUMMYFUNCTION("""COMPUTED_VALUE"""),"")</f>
        <v/>
      </c>
      <c r="Z1369" s="141" t="str">
        <f>IFERROR(__xludf.DUMMYFUNCTION("""COMPUTED_VALUE"""),"")</f>
        <v/>
      </c>
    </row>
    <row r="1370">
      <c r="D1370" s="136" t="str">
        <f t="shared" si="3"/>
        <v/>
      </c>
      <c r="E1370" s="152"/>
      <c r="F1370" s="106" t="s">
        <v>133</v>
      </c>
      <c r="G1370" s="152"/>
      <c r="H1370" s="106" t="s">
        <v>133</v>
      </c>
      <c r="J1370" s="139" t="s">
        <v>133</v>
      </c>
      <c r="K1370" s="136" t="s">
        <v>133</v>
      </c>
      <c r="L1370" s="153"/>
      <c r="M1370" s="136" t="str">
        <f t="shared" si="1"/>
        <v/>
      </c>
      <c r="O1370" s="141" t="s">
        <v>133</v>
      </c>
      <c r="P1370" s="136" t="str">
        <f>IFERROR(__xludf.DUMMYFUNCTION("""COMPUTED_VALUE"""),"")</f>
        <v/>
      </c>
      <c r="Q1370" s="136" t="str">
        <f>IFERROR(__xludf.DUMMYFUNCTION("""COMPUTED_VALUE"""),"")</f>
        <v/>
      </c>
      <c r="R1370" s="106" t="str">
        <f>IFERROR(__xludf.DUMMYFUNCTION("""COMPUTED_VALUE"""),"")</f>
        <v/>
      </c>
      <c r="S1370" s="106" t="str">
        <f>IFERROR(__xludf.DUMMYFUNCTION("""COMPUTED_VALUE"""),"")</f>
        <v/>
      </c>
      <c r="T1370" s="139" t="str">
        <f>IFERROR(__xludf.DUMMYFUNCTION("""COMPUTED_VALUE"""),"")</f>
        <v/>
      </c>
      <c r="U1370" s="139" t="str">
        <f>IFERROR(__xludf.DUMMYFUNCTION("""COMPUTED_VALUE"""),"")</f>
        <v/>
      </c>
      <c r="V1370" s="136" t="str">
        <f>IFERROR(__xludf.DUMMYFUNCTION("""COMPUTED_VALUE"""),"")</f>
        <v/>
      </c>
      <c r="W1370" s="106" t="str">
        <f>IFERROR(__xludf.DUMMYFUNCTION("""COMPUTED_VALUE"""),"")</f>
        <v/>
      </c>
      <c r="X1370" s="143" t="str">
        <f t="shared" si="2"/>
        <v/>
      </c>
      <c r="Y1370" s="139" t="str">
        <f>IFERROR(__xludf.DUMMYFUNCTION("""COMPUTED_VALUE"""),"")</f>
        <v/>
      </c>
      <c r="Z1370" s="141" t="str">
        <f>IFERROR(__xludf.DUMMYFUNCTION("""COMPUTED_VALUE"""),"")</f>
        <v/>
      </c>
    </row>
    <row r="1371">
      <c r="D1371" s="136" t="str">
        <f t="shared" si="3"/>
        <v/>
      </c>
      <c r="E1371" s="152"/>
      <c r="F1371" s="106" t="s">
        <v>133</v>
      </c>
      <c r="G1371" s="152"/>
      <c r="H1371" s="106" t="s">
        <v>133</v>
      </c>
      <c r="J1371" s="139" t="s">
        <v>133</v>
      </c>
      <c r="K1371" s="136" t="s">
        <v>133</v>
      </c>
      <c r="L1371" s="153"/>
      <c r="M1371" s="136" t="str">
        <f t="shared" si="1"/>
        <v/>
      </c>
      <c r="O1371" s="141" t="s">
        <v>133</v>
      </c>
      <c r="P1371" s="136" t="str">
        <f>IFERROR(__xludf.DUMMYFUNCTION("""COMPUTED_VALUE"""),"")</f>
        <v/>
      </c>
      <c r="Q1371" s="136" t="str">
        <f>IFERROR(__xludf.DUMMYFUNCTION("""COMPUTED_VALUE"""),"")</f>
        <v/>
      </c>
      <c r="R1371" s="106" t="str">
        <f>IFERROR(__xludf.DUMMYFUNCTION("""COMPUTED_VALUE"""),"")</f>
        <v/>
      </c>
      <c r="S1371" s="106" t="str">
        <f>IFERROR(__xludf.DUMMYFUNCTION("""COMPUTED_VALUE"""),"")</f>
        <v/>
      </c>
      <c r="T1371" s="139" t="str">
        <f>IFERROR(__xludf.DUMMYFUNCTION("""COMPUTED_VALUE"""),"")</f>
        <v/>
      </c>
      <c r="U1371" s="139" t="str">
        <f>IFERROR(__xludf.DUMMYFUNCTION("""COMPUTED_VALUE"""),"")</f>
        <v/>
      </c>
      <c r="V1371" s="136" t="str">
        <f>IFERROR(__xludf.DUMMYFUNCTION("""COMPUTED_VALUE"""),"")</f>
        <v/>
      </c>
      <c r="W1371" s="106" t="str">
        <f>IFERROR(__xludf.DUMMYFUNCTION("""COMPUTED_VALUE"""),"")</f>
        <v/>
      </c>
      <c r="X1371" s="143" t="str">
        <f t="shared" si="2"/>
        <v/>
      </c>
      <c r="Y1371" s="139" t="str">
        <f>IFERROR(__xludf.DUMMYFUNCTION("""COMPUTED_VALUE"""),"")</f>
        <v/>
      </c>
      <c r="Z1371" s="141" t="str">
        <f>IFERROR(__xludf.DUMMYFUNCTION("""COMPUTED_VALUE"""),"")</f>
        <v/>
      </c>
    </row>
    <row r="1372">
      <c r="D1372" s="136" t="str">
        <f t="shared" si="3"/>
        <v/>
      </c>
      <c r="E1372" s="152"/>
      <c r="F1372" s="106" t="s">
        <v>133</v>
      </c>
      <c r="G1372" s="152"/>
      <c r="H1372" s="106" t="s">
        <v>133</v>
      </c>
      <c r="J1372" s="139" t="s">
        <v>133</v>
      </c>
      <c r="K1372" s="136" t="s">
        <v>133</v>
      </c>
      <c r="L1372" s="153"/>
      <c r="M1372" s="136" t="str">
        <f t="shared" si="1"/>
        <v/>
      </c>
      <c r="O1372" s="141" t="s">
        <v>133</v>
      </c>
      <c r="P1372" s="136" t="str">
        <f>IFERROR(__xludf.DUMMYFUNCTION("""COMPUTED_VALUE"""),"")</f>
        <v/>
      </c>
      <c r="Q1372" s="136" t="str">
        <f>IFERROR(__xludf.DUMMYFUNCTION("""COMPUTED_VALUE"""),"")</f>
        <v/>
      </c>
      <c r="R1372" s="106" t="str">
        <f>IFERROR(__xludf.DUMMYFUNCTION("""COMPUTED_VALUE"""),"")</f>
        <v/>
      </c>
      <c r="S1372" s="106" t="str">
        <f>IFERROR(__xludf.DUMMYFUNCTION("""COMPUTED_VALUE"""),"")</f>
        <v/>
      </c>
      <c r="T1372" s="139" t="str">
        <f>IFERROR(__xludf.DUMMYFUNCTION("""COMPUTED_VALUE"""),"")</f>
        <v/>
      </c>
      <c r="U1372" s="139" t="str">
        <f>IFERROR(__xludf.DUMMYFUNCTION("""COMPUTED_VALUE"""),"")</f>
        <v/>
      </c>
      <c r="V1372" s="136" t="str">
        <f>IFERROR(__xludf.DUMMYFUNCTION("""COMPUTED_VALUE"""),"")</f>
        <v/>
      </c>
      <c r="W1372" s="106" t="str">
        <f>IFERROR(__xludf.DUMMYFUNCTION("""COMPUTED_VALUE"""),"")</f>
        <v/>
      </c>
      <c r="X1372" s="143" t="str">
        <f t="shared" si="2"/>
        <v/>
      </c>
      <c r="Y1372" s="139" t="str">
        <f>IFERROR(__xludf.DUMMYFUNCTION("""COMPUTED_VALUE"""),"")</f>
        <v/>
      </c>
      <c r="Z1372" s="141" t="str">
        <f>IFERROR(__xludf.DUMMYFUNCTION("""COMPUTED_VALUE"""),"")</f>
        <v/>
      </c>
    </row>
    <row r="1373">
      <c r="D1373" s="136" t="str">
        <f t="shared" si="3"/>
        <v/>
      </c>
      <c r="E1373" s="152"/>
      <c r="F1373" s="106" t="s">
        <v>133</v>
      </c>
      <c r="G1373" s="152"/>
      <c r="H1373" s="106" t="s">
        <v>133</v>
      </c>
      <c r="J1373" s="139" t="s">
        <v>133</v>
      </c>
      <c r="K1373" s="136" t="s">
        <v>133</v>
      </c>
      <c r="L1373" s="153"/>
      <c r="M1373" s="136" t="str">
        <f t="shared" si="1"/>
        <v/>
      </c>
      <c r="O1373" s="141" t="s">
        <v>133</v>
      </c>
      <c r="P1373" s="136" t="str">
        <f>IFERROR(__xludf.DUMMYFUNCTION("""COMPUTED_VALUE"""),"")</f>
        <v/>
      </c>
      <c r="Q1373" s="136" t="str">
        <f>IFERROR(__xludf.DUMMYFUNCTION("""COMPUTED_VALUE"""),"")</f>
        <v/>
      </c>
      <c r="R1373" s="106" t="str">
        <f>IFERROR(__xludf.DUMMYFUNCTION("""COMPUTED_VALUE"""),"")</f>
        <v/>
      </c>
      <c r="S1373" s="106" t="str">
        <f>IFERROR(__xludf.DUMMYFUNCTION("""COMPUTED_VALUE"""),"")</f>
        <v/>
      </c>
      <c r="T1373" s="139" t="str">
        <f>IFERROR(__xludf.DUMMYFUNCTION("""COMPUTED_VALUE"""),"")</f>
        <v/>
      </c>
      <c r="U1373" s="139" t="str">
        <f>IFERROR(__xludf.DUMMYFUNCTION("""COMPUTED_VALUE"""),"")</f>
        <v/>
      </c>
      <c r="V1373" s="136" t="str">
        <f>IFERROR(__xludf.DUMMYFUNCTION("""COMPUTED_VALUE"""),"")</f>
        <v/>
      </c>
      <c r="W1373" s="106" t="str">
        <f>IFERROR(__xludf.DUMMYFUNCTION("""COMPUTED_VALUE"""),"")</f>
        <v/>
      </c>
      <c r="X1373" s="143" t="str">
        <f t="shared" si="2"/>
        <v/>
      </c>
      <c r="Y1373" s="139" t="str">
        <f>IFERROR(__xludf.DUMMYFUNCTION("""COMPUTED_VALUE"""),"")</f>
        <v/>
      </c>
      <c r="Z1373" s="141" t="str">
        <f>IFERROR(__xludf.DUMMYFUNCTION("""COMPUTED_VALUE"""),"")</f>
        <v/>
      </c>
    </row>
    <row r="1374">
      <c r="D1374" s="136" t="str">
        <f t="shared" si="3"/>
        <v/>
      </c>
      <c r="E1374" s="152"/>
      <c r="F1374" s="106" t="s">
        <v>133</v>
      </c>
      <c r="G1374" s="152"/>
      <c r="H1374" s="106" t="s">
        <v>133</v>
      </c>
      <c r="J1374" s="139" t="s">
        <v>133</v>
      </c>
      <c r="K1374" s="136" t="s">
        <v>133</v>
      </c>
      <c r="L1374" s="153"/>
      <c r="M1374" s="136" t="str">
        <f t="shared" si="1"/>
        <v/>
      </c>
      <c r="O1374" s="141" t="s">
        <v>133</v>
      </c>
      <c r="P1374" s="136" t="str">
        <f>IFERROR(__xludf.DUMMYFUNCTION("""COMPUTED_VALUE"""),"")</f>
        <v/>
      </c>
      <c r="Q1374" s="136" t="str">
        <f>IFERROR(__xludf.DUMMYFUNCTION("""COMPUTED_VALUE"""),"")</f>
        <v/>
      </c>
      <c r="R1374" s="106" t="str">
        <f>IFERROR(__xludf.DUMMYFUNCTION("""COMPUTED_VALUE"""),"")</f>
        <v/>
      </c>
      <c r="S1374" s="106" t="str">
        <f>IFERROR(__xludf.DUMMYFUNCTION("""COMPUTED_VALUE"""),"")</f>
        <v/>
      </c>
      <c r="T1374" s="139" t="str">
        <f>IFERROR(__xludf.DUMMYFUNCTION("""COMPUTED_VALUE"""),"")</f>
        <v/>
      </c>
      <c r="U1374" s="139" t="str">
        <f>IFERROR(__xludf.DUMMYFUNCTION("""COMPUTED_VALUE"""),"")</f>
        <v/>
      </c>
      <c r="V1374" s="136" t="str">
        <f>IFERROR(__xludf.DUMMYFUNCTION("""COMPUTED_VALUE"""),"")</f>
        <v/>
      </c>
      <c r="W1374" s="106" t="str">
        <f>IFERROR(__xludf.DUMMYFUNCTION("""COMPUTED_VALUE"""),"")</f>
        <v/>
      </c>
      <c r="X1374" s="143" t="str">
        <f t="shared" si="2"/>
        <v/>
      </c>
      <c r="Y1374" s="139" t="str">
        <f>IFERROR(__xludf.DUMMYFUNCTION("""COMPUTED_VALUE"""),"")</f>
        <v/>
      </c>
      <c r="Z1374" s="141" t="str">
        <f>IFERROR(__xludf.DUMMYFUNCTION("""COMPUTED_VALUE"""),"")</f>
        <v/>
      </c>
    </row>
    <row r="1375">
      <c r="D1375" s="136" t="str">
        <f t="shared" si="3"/>
        <v/>
      </c>
      <c r="E1375" s="152"/>
      <c r="F1375" s="106" t="s">
        <v>133</v>
      </c>
      <c r="G1375" s="152"/>
      <c r="H1375" s="106" t="s">
        <v>133</v>
      </c>
      <c r="J1375" s="139" t="s">
        <v>133</v>
      </c>
      <c r="K1375" s="136" t="s">
        <v>133</v>
      </c>
      <c r="L1375" s="153"/>
      <c r="M1375" s="136" t="str">
        <f t="shared" si="1"/>
        <v/>
      </c>
      <c r="O1375" s="141" t="s">
        <v>133</v>
      </c>
      <c r="P1375" s="136" t="str">
        <f>IFERROR(__xludf.DUMMYFUNCTION("""COMPUTED_VALUE"""),"")</f>
        <v/>
      </c>
      <c r="Q1375" s="136" t="str">
        <f>IFERROR(__xludf.DUMMYFUNCTION("""COMPUTED_VALUE"""),"")</f>
        <v/>
      </c>
      <c r="R1375" s="106" t="str">
        <f>IFERROR(__xludf.DUMMYFUNCTION("""COMPUTED_VALUE"""),"")</f>
        <v/>
      </c>
      <c r="S1375" s="106" t="str">
        <f>IFERROR(__xludf.DUMMYFUNCTION("""COMPUTED_VALUE"""),"")</f>
        <v/>
      </c>
      <c r="T1375" s="139" t="str">
        <f>IFERROR(__xludf.DUMMYFUNCTION("""COMPUTED_VALUE"""),"")</f>
        <v/>
      </c>
      <c r="U1375" s="139" t="str">
        <f>IFERROR(__xludf.DUMMYFUNCTION("""COMPUTED_VALUE"""),"")</f>
        <v/>
      </c>
      <c r="V1375" s="136" t="str">
        <f>IFERROR(__xludf.DUMMYFUNCTION("""COMPUTED_VALUE"""),"")</f>
        <v/>
      </c>
      <c r="W1375" s="106" t="str">
        <f>IFERROR(__xludf.DUMMYFUNCTION("""COMPUTED_VALUE"""),"")</f>
        <v/>
      </c>
      <c r="X1375" s="143" t="str">
        <f t="shared" si="2"/>
        <v/>
      </c>
      <c r="Y1375" s="139" t="str">
        <f>IFERROR(__xludf.DUMMYFUNCTION("""COMPUTED_VALUE"""),"")</f>
        <v/>
      </c>
      <c r="Z1375" s="141" t="str">
        <f>IFERROR(__xludf.DUMMYFUNCTION("""COMPUTED_VALUE"""),"")</f>
        <v/>
      </c>
    </row>
    <row r="1376">
      <c r="D1376" s="136" t="str">
        <f t="shared" si="3"/>
        <v/>
      </c>
      <c r="E1376" s="152"/>
      <c r="F1376" s="106" t="s">
        <v>133</v>
      </c>
      <c r="G1376" s="152"/>
      <c r="H1376" s="106" t="s">
        <v>133</v>
      </c>
      <c r="J1376" s="139" t="s">
        <v>133</v>
      </c>
      <c r="K1376" s="136" t="s">
        <v>133</v>
      </c>
      <c r="L1376" s="153"/>
      <c r="M1376" s="136" t="str">
        <f t="shared" si="1"/>
        <v/>
      </c>
      <c r="O1376" s="141" t="s">
        <v>133</v>
      </c>
      <c r="P1376" s="136" t="str">
        <f>IFERROR(__xludf.DUMMYFUNCTION("""COMPUTED_VALUE"""),"")</f>
        <v/>
      </c>
      <c r="Q1376" s="136" t="str">
        <f>IFERROR(__xludf.DUMMYFUNCTION("""COMPUTED_VALUE"""),"")</f>
        <v/>
      </c>
      <c r="R1376" s="106" t="str">
        <f>IFERROR(__xludf.DUMMYFUNCTION("""COMPUTED_VALUE"""),"")</f>
        <v/>
      </c>
      <c r="S1376" s="106" t="str">
        <f>IFERROR(__xludf.DUMMYFUNCTION("""COMPUTED_VALUE"""),"")</f>
        <v/>
      </c>
      <c r="T1376" s="139" t="str">
        <f>IFERROR(__xludf.DUMMYFUNCTION("""COMPUTED_VALUE"""),"")</f>
        <v/>
      </c>
      <c r="U1376" s="139" t="str">
        <f>IFERROR(__xludf.DUMMYFUNCTION("""COMPUTED_VALUE"""),"")</f>
        <v/>
      </c>
      <c r="V1376" s="136" t="str">
        <f>IFERROR(__xludf.DUMMYFUNCTION("""COMPUTED_VALUE"""),"")</f>
        <v/>
      </c>
      <c r="W1376" s="106" t="str">
        <f>IFERROR(__xludf.DUMMYFUNCTION("""COMPUTED_VALUE"""),"")</f>
        <v/>
      </c>
      <c r="X1376" s="143" t="str">
        <f t="shared" si="2"/>
        <v/>
      </c>
      <c r="Y1376" s="139" t="str">
        <f>IFERROR(__xludf.DUMMYFUNCTION("""COMPUTED_VALUE"""),"")</f>
        <v/>
      </c>
      <c r="Z1376" s="141" t="str">
        <f>IFERROR(__xludf.DUMMYFUNCTION("""COMPUTED_VALUE"""),"")</f>
        <v/>
      </c>
    </row>
    <row r="1377">
      <c r="D1377" s="136" t="str">
        <f t="shared" si="3"/>
        <v/>
      </c>
      <c r="E1377" s="152"/>
      <c r="F1377" s="106" t="s">
        <v>133</v>
      </c>
      <c r="G1377" s="152"/>
      <c r="H1377" s="106" t="s">
        <v>133</v>
      </c>
      <c r="J1377" s="139" t="s">
        <v>133</v>
      </c>
      <c r="K1377" s="136" t="s">
        <v>133</v>
      </c>
      <c r="L1377" s="153"/>
      <c r="M1377" s="136" t="str">
        <f t="shared" si="1"/>
        <v/>
      </c>
      <c r="O1377" s="141" t="s">
        <v>133</v>
      </c>
      <c r="P1377" s="136" t="str">
        <f>IFERROR(__xludf.DUMMYFUNCTION("""COMPUTED_VALUE"""),"")</f>
        <v/>
      </c>
      <c r="Q1377" s="136" t="str">
        <f>IFERROR(__xludf.DUMMYFUNCTION("""COMPUTED_VALUE"""),"")</f>
        <v/>
      </c>
      <c r="R1377" s="106" t="str">
        <f>IFERROR(__xludf.DUMMYFUNCTION("""COMPUTED_VALUE"""),"")</f>
        <v/>
      </c>
      <c r="S1377" s="106" t="str">
        <f>IFERROR(__xludf.DUMMYFUNCTION("""COMPUTED_VALUE"""),"")</f>
        <v/>
      </c>
      <c r="T1377" s="139" t="str">
        <f>IFERROR(__xludf.DUMMYFUNCTION("""COMPUTED_VALUE"""),"")</f>
        <v/>
      </c>
      <c r="U1377" s="139" t="str">
        <f>IFERROR(__xludf.DUMMYFUNCTION("""COMPUTED_VALUE"""),"")</f>
        <v/>
      </c>
      <c r="V1377" s="136" t="str">
        <f>IFERROR(__xludf.DUMMYFUNCTION("""COMPUTED_VALUE"""),"")</f>
        <v/>
      </c>
      <c r="W1377" s="106" t="str">
        <f>IFERROR(__xludf.DUMMYFUNCTION("""COMPUTED_VALUE"""),"")</f>
        <v/>
      </c>
      <c r="X1377" s="143" t="str">
        <f t="shared" si="2"/>
        <v/>
      </c>
      <c r="Y1377" s="139" t="str">
        <f>IFERROR(__xludf.DUMMYFUNCTION("""COMPUTED_VALUE"""),"")</f>
        <v/>
      </c>
      <c r="Z1377" s="141" t="str">
        <f>IFERROR(__xludf.DUMMYFUNCTION("""COMPUTED_VALUE"""),"")</f>
        <v/>
      </c>
    </row>
    <row r="1378">
      <c r="D1378" s="136" t="str">
        <f t="shared" si="3"/>
        <v/>
      </c>
      <c r="E1378" s="152"/>
      <c r="F1378" s="106" t="s">
        <v>133</v>
      </c>
      <c r="G1378" s="152"/>
      <c r="H1378" s="106" t="s">
        <v>133</v>
      </c>
      <c r="J1378" s="139" t="s">
        <v>133</v>
      </c>
      <c r="K1378" s="136" t="s">
        <v>133</v>
      </c>
      <c r="L1378" s="153"/>
      <c r="M1378" s="136" t="str">
        <f t="shared" si="1"/>
        <v/>
      </c>
      <c r="O1378" s="141" t="s">
        <v>133</v>
      </c>
      <c r="P1378" s="136" t="str">
        <f>IFERROR(__xludf.DUMMYFUNCTION("""COMPUTED_VALUE"""),"")</f>
        <v/>
      </c>
      <c r="Q1378" s="136" t="str">
        <f>IFERROR(__xludf.DUMMYFUNCTION("""COMPUTED_VALUE"""),"")</f>
        <v/>
      </c>
      <c r="R1378" s="106" t="str">
        <f>IFERROR(__xludf.DUMMYFUNCTION("""COMPUTED_VALUE"""),"")</f>
        <v/>
      </c>
      <c r="S1378" s="106" t="str">
        <f>IFERROR(__xludf.DUMMYFUNCTION("""COMPUTED_VALUE"""),"")</f>
        <v/>
      </c>
      <c r="T1378" s="139" t="str">
        <f>IFERROR(__xludf.DUMMYFUNCTION("""COMPUTED_VALUE"""),"")</f>
        <v/>
      </c>
      <c r="U1378" s="139" t="str">
        <f>IFERROR(__xludf.DUMMYFUNCTION("""COMPUTED_VALUE"""),"")</f>
        <v/>
      </c>
      <c r="V1378" s="136" t="str">
        <f>IFERROR(__xludf.DUMMYFUNCTION("""COMPUTED_VALUE"""),"")</f>
        <v/>
      </c>
      <c r="W1378" s="106" t="str">
        <f>IFERROR(__xludf.DUMMYFUNCTION("""COMPUTED_VALUE"""),"")</f>
        <v/>
      </c>
      <c r="X1378" s="143" t="str">
        <f t="shared" si="2"/>
        <v/>
      </c>
      <c r="Y1378" s="139" t="str">
        <f>IFERROR(__xludf.DUMMYFUNCTION("""COMPUTED_VALUE"""),"")</f>
        <v/>
      </c>
      <c r="Z1378" s="141" t="str">
        <f>IFERROR(__xludf.DUMMYFUNCTION("""COMPUTED_VALUE"""),"")</f>
        <v/>
      </c>
    </row>
    <row r="1379">
      <c r="D1379" s="136" t="str">
        <f t="shared" si="3"/>
        <v/>
      </c>
      <c r="E1379" s="152"/>
      <c r="F1379" s="106" t="s">
        <v>133</v>
      </c>
      <c r="G1379" s="152"/>
      <c r="H1379" s="106" t="s">
        <v>133</v>
      </c>
      <c r="J1379" s="139" t="s">
        <v>133</v>
      </c>
      <c r="K1379" s="136" t="s">
        <v>133</v>
      </c>
      <c r="L1379" s="153"/>
      <c r="M1379" s="136" t="str">
        <f t="shared" si="1"/>
        <v/>
      </c>
      <c r="O1379" s="141" t="s">
        <v>133</v>
      </c>
      <c r="P1379" s="136" t="str">
        <f>IFERROR(__xludf.DUMMYFUNCTION("""COMPUTED_VALUE"""),"")</f>
        <v/>
      </c>
      <c r="Q1379" s="136" t="str">
        <f>IFERROR(__xludf.DUMMYFUNCTION("""COMPUTED_VALUE"""),"")</f>
        <v/>
      </c>
      <c r="R1379" s="106" t="str">
        <f>IFERROR(__xludf.DUMMYFUNCTION("""COMPUTED_VALUE"""),"")</f>
        <v/>
      </c>
      <c r="S1379" s="106" t="str">
        <f>IFERROR(__xludf.DUMMYFUNCTION("""COMPUTED_VALUE"""),"")</f>
        <v/>
      </c>
      <c r="T1379" s="139" t="str">
        <f>IFERROR(__xludf.DUMMYFUNCTION("""COMPUTED_VALUE"""),"")</f>
        <v/>
      </c>
      <c r="U1379" s="139" t="str">
        <f>IFERROR(__xludf.DUMMYFUNCTION("""COMPUTED_VALUE"""),"")</f>
        <v/>
      </c>
      <c r="V1379" s="136" t="str">
        <f>IFERROR(__xludf.DUMMYFUNCTION("""COMPUTED_VALUE"""),"")</f>
        <v/>
      </c>
      <c r="W1379" s="106" t="str">
        <f>IFERROR(__xludf.DUMMYFUNCTION("""COMPUTED_VALUE"""),"")</f>
        <v/>
      </c>
      <c r="X1379" s="143" t="str">
        <f t="shared" si="2"/>
        <v/>
      </c>
      <c r="Y1379" s="139" t="str">
        <f>IFERROR(__xludf.DUMMYFUNCTION("""COMPUTED_VALUE"""),"")</f>
        <v/>
      </c>
      <c r="Z1379" s="141" t="str">
        <f>IFERROR(__xludf.DUMMYFUNCTION("""COMPUTED_VALUE"""),"")</f>
        <v/>
      </c>
    </row>
    <row r="1380">
      <c r="D1380" s="136" t="str">
        <f t="shared" si="3"/>
        <v/>
      </c>
      <c r="E1380" s="152"/>
      <c r="F1380" s="106" t="s">
        <v>133</v>
      </c>
      <c r="G1380" s="152"/>
      <c r="H1380" s="106" t="s">
        <v>133</v>
      </c>
      <c r="J1380" s="139" t="s">
        <v>133</v>
      </c>
      <c r="K1380" s="136" t="s">
        <v>133</v>
      </c>
      <c r="L1380" s="153"/>
      <c r="M1380" s="136" t="str">
        <f t="shared" si="1"/>
        <v/>
      </c>
      <c r="O1380" s="141" t="s">
        <v>133</v>
      </c>
      <c r="P1380" s="136" t="str">
        <f>IFERROR(__xludf.DUMMYFUNCTION("""COMPUTED_VALUE"""),"")</f>
        <v/>
      </c>
      <c r="Q1380" s="136" t="str">
        <f>IFERROR(__xludf.DUMMYFUNCTION("""COMPUTED_VALUE"""),"")</f>
        <v/>
      </c>
      <c r="R1380" s="106" t="str">
        <f>IFERROR(__xludf.DUMMYFUNCTION("""COMPUTED_VALUE"""),"")</f>
        <v/>
      </c>
      <c r="S1380" s="106" t="str">
        <f>IFERROR(__xludf.DUMMYFUNCTION("""COMPUTED_VALUE"""),"")</f>
        <v/>
      </c>
      <c r="T1380" s="139" t="str">
        <f>IFERROR(__xludf.DUMMYFUNCTION("""COMPUTED_VALUE"""),"")</f>
        <v/>
      </c>
      <c r="U1380" s="139" t="str">
        <f>IFERROR(__xludf.DUMMYFUNCTION("""COMPUTED_VALUE"""),"")</f>
        <v/>
      </c>
      <c r="V1380" s="136" t="str">
        <f>IFERROR(__xludf.DUMMYFUNCTION("""COMPUTED_VALUE"""),"")</f>
        <v/>
      </c>
      <c r="W1380" s="106" t="str">
        <f>IFERROR(__xludf.DUMMYFUNCTION("""COMPUTED_VALUE"""),"")</f>
        <v/>
      </c>
      <c r="X1380" s="143" t="str">
        <f t="shared" si="2"/>
        <v/>
      </c>
      <c r="Y1380" s="139" t="str">
        <f>IFERROR(__xludf.DUMMYFUNCTION("""COMPUTED_VALUE"""),"")</f>
        <v/>
      </c>
      <c r="Z1380" s="141" t="str">
        <f>IFERROR(__xludf.DUMMYFUNCTION("""COMPUTED_VALUE"""),"")</f>
        <v/>
      </c>
    </row>
    <row r="1381">
      <c r="D1381" s="136" t="str">
        <f t="shared" si="3"/>
        <v/>
      </c>
      <c r="E1381" s="152"/>
      <c r="F1381" s="106" t="s">
        <v>133</v>
      </c>
      <c r="G1381" s="152"/>
      <c r="H1381" s="106" t="s">
        <v>133</v>
      </c>
      <c r="J1381" s="139" t="s">
        <v>133</v>
      </c>
      <c r="K1381" s="136" t="s">
        <v>133</v>
      </c>
      <c r="L1381" s="153"/>
      <c r="M1381" s="136" t="str">
        <f t="shared" si="1"/>
        <v/>
      </c>
      <c r="O1381" s="141" t="s">
        <v>133</v>
      </c>
      <c r="P1381" s="136" t="str">
        <f>IFERROR(__xludf.DUMMYFUNCTION("""COMPUTED_VALUE"""),"")</f>
        <v/>
      </c>
      <c r="Q1381" s="136" t="str">
        <f>IFERROR(__xludf.DUMMYFUNCTION("""COMPUTED_VALUE"""),"")</f>
        <v/>
      </c>
      <c r="R1381" s="106" t="str">
        <f>IFERROR(__xludf.DUMMYFUNCTION("""COMPUTED_VALUE"""),"")</f>
        <v/>
      </c>
      <c r="S1381" s="106" t="str">
        <f>IFERROR(__xludf.DUMMYFUNCTION("""COMPUTED_VALUE"""),"")</f>
        <v/>
      </c>
      <c r="T1381" s="139" t="str">
        <f>IFERROR(__xludf.DUMMYFUNCTION("""COMPUTED_VALUE"""),"")</f>
        <v/>
      </c>
      <c r="U1381" s="139" t="str">
        <f>IFERROR(__xludf.DUMMYFUNCTION("""COMPUTED_VALUE"""),"")</f>
        <v/>
      </c>
      <c r="V1381" s="136" t="str">
        <f>IFERROR(__xludf.DUMMYFUNCTION("""COMPUTED_VALUE"""),"")</f>
        <v/>
      </c>
      <c r="W1381" s="106" t="str">
        <f>IFERROR(__xludf.DUMMYFUNCTION("""COMPUTED_VALUE"""),"")</f>
        <v/>
      </c>
      <c r="X1381" s="143" t="str">
        <f t="shared" si="2"/>
        <v/>
      </c>
      <c r="Y1381" s="139" t="str">
        <f>IFERROR(__xludf.DUMMYFUNCTION("""COMPUTED_VALUE"""),"")</f>
        <v/>
      </c>
      <c r="Z1381" s="141" t="str">
        <f>IFERROR(__xludf.DUMMYFUNCTION("""COMPUTED_VALUE"""),"")</f>
        <v/>
      </c>
    </row>
    <row r="1382">
      <c r="D1382" s="136" t="str">
        <f t="shared" si="3"/>
        <v/>
      </c>
      <c r="E1382" s="152"/>
      <c r="F1382" s="106" t="s">
        <v>133</v>
      </c>
      <c r="G1382" s="152"/>
      <c r="H1382" s="106" t="s">
        <v>133</v>
      </c>
      <c r="J1382" s="139" t="s">
        <v>133</v>
      </c>
      <c r="K1382" s="136" t="s">
        <v>133</v>
      </c>
      <c r="L1382" s="153"/>
      <c r="M1382" s="136" t="str">
        <f t="shared" si="1"/>
        <v/>
      </c>
      <c r="O1382" s="141" t="s">
        <v>133</v>
      </c>
      <c r="P1382" s="136" t="str">
        <f>IFERROR(__xludf.DUMMYFUNCTION("""COMPUTED_VALUE"""),"")</f>
        <v/>
      </c>
      <c r="Q1382" s="136" t="str">
        <f>IFERROR(__xludf.DUMMYFUNCTION("""COMPUTED_VALUE"""),"")</f>
        <v/>
      </c>
      <c r="R1382" s="106" t="str">
        <f>IFERROR(__xludf.DUMMYFUNCTION("""COMPUTED_VALUE"""),"")</f>
        <v/>
      </c>
      <c r="S1382" s="106" t="str">
        <f>IFERROR(__xludf.DUMMYFUNCTION("""COMPUTED_VALUE"""),"")</f>
        <v/>
      </c>
      <c r="T1382" s="139" t="str">
        <f>IFERROR(__xludf.DUMMYFUNCTION("""COMPUTED_VALUE"""),"")</f>
        <v/>
      </c>
      <c r="U1382" s="139" t="str">
        <f>IFERROR(__xludf.DUMMYFUNCTION("""COMPUTED_VALUE"""),"")</f>
        <v/>
      </c>
      <c r="V1382" s="136" t="str">
        <f>IFERROR(__xludf.DUMMYFUNCTION("""COMPUTED_VALUE"""),"")</f>
        <v/>
      </c>
      <c r="W1382" s="106" t="str">
        <f>IFERROR(__xludf.DUMMYFUNCTION("""COMPUTED_VALUE"""),"")</f>
        <v/>
      </c>
      <c r="X1382" s="143" t="str">
        <f t="shared" si="2"/>
        <v/>
      </c>
      <c r="Y1382" s="139" t="str">
        <f>IFERROR(__xludf.DUMMYFUNCTION("""COMPUTED_VALUE"""),"")</f>
        <v/>
      </c>
      <c r="Z1382" s="141" t="str">
        <f>IFERROR(__xludf.DUMMYFUNCTION("""COMPUTED_VALUE"""),"")</f>
        <v/>
      </c>
    </row>
    <row r="1383">
      <c r="D1383" s="136" t="str">
        <f t="shared" si="3"/>
        <v/>
      </c>
      <c r="E1383" s="152"/>
      <c r="F1383" s="106" t="s">
        <v>133</v>
      </c>
      <c r="G1383" s="152"/>
      <c r="H1383" s="106" t="s">
        <v>133</v>
      </c>
      <c r="J1383" s="139" t="s">
        <v>133</v>
      </c>
      <c r="K1383" s="136" t="s">
        <v>133</v>
      </c>
      <c r="L1383" s="153"/>
      <c r="M1383" s="136" t="str">
        <f t="shared" si="1"/>
        <v/>
      </c>
      <c r="O1383" s="141" t="s">
        <v>133</v>
      </c>
      <c r="P1383" s="136" t="str">
        <f>IFERROR(__xludf.DUMMYFUNCTION("""COMPUTED_VALUE"""),"")</f>
        <v/>
      </c>
      <c r="Q1383" s="136" t="str">
        <f>IFERROR(__xludf.DUMMYFUNCTION("""COMPUTED_VALUE"""),"")</f>
        <v/>
      </c>
      <c r="R1383" s="106" t="str">
        <f>IFERROR(__xludf.DUMMYFUNCTION("""COMPUTED_VALUE"""),"")</f>
        <v/>
      </c>
      <c r="S1383" s="106" t="str">
        <f>IFERROR(__xludf.DUMMYFUNCTION("""COMPUTED_VALUE"""),"")</f>
        <v/>
      </c>
      <c r="T1383" s="139" t="str">
        <f>IFERROR(__xludf.DUMMYFUNCTION("""COMPUTED_VALUE"""),"")</f>
        <v/>
      </c>
      <c r="U1383" s="139" t="str">
        <f>IFERROR(__xludf.DUMMYFUNCTION("""COMPUTED_VALUE"""),"")</f>
        <v/>
      </c>
      <c r="V1383" s="136" t="str">
        <f>IFERROR(__xludf.DUMMYFUNCTION("""COMPUTED_VALUE"""),"")</f>
        <v/>
      </c>
      <c r="W1383" s="106" t="str">
        <f>IFERROR(__xludf.DUMMYFUNCTION("""COMPUTED_VALUE"""),"")</f>
        <v/>
      </c>
      <c r="X1383" s="143" t="str">
        <f t="shared" si="2"/>
        <v/>
      </c>
      <c r="Y1383" s="139" t="str">
        <f>IFERROR(__xludf.DUMMYFUNCTION("""COMPUTED_VALUE"""),"")</f>
        <v/>
      </c>
      <c r="Z1383" s="141" t="str">
        <f>IFERROR(__xludf.DUMMYFUNCTION("""COMPUTED_VALUE"""),"")</f>
        <v/>
      </c>
    </row>
    <row r="1384">
      <c r="D1384" s="136" t="str">
        <f t="shared" si="3"/>
        <v/>
      </c>
      <c r="E1384" s="152"/>
      <c r="F1384" s="106" t="s">
        <v>133</v>
      </c>
      <c r="G1384" s="152"/>
      <c r="H1384" s="106" t="s">
        <v>133</v>
      </c>
      <c r="J1384" s="139" t="s">
        <v>133</v>
      </c>
      <c r="K1384" s="136" t="s">
        <v>133</v>
      </c>
      <c r="L1384" s="153"/>
      <c r="M1384" s="136" t="str">
        <f t="shared" si="1"/>
        <v/>
      </c>
      <c r="O1384" s="141" t="s">
        <v>133</v>
      </c>
      <c r="P1384" s="136" t="str">
        <f>IFERROR(__xludf.DUMMYFUNCTION("""COMPUTED_VALUE"""),"")</f>
        <v/>
      </c>
      <c r="Q1384" s="136" t="str">
        <f>IFERROR(__xludf.DUMMYFUNCTION("""COMPUTED_VALUE"""),"")</f>
        <v/>
      </c>
      <c r="R1384" s="106" t="str">
        <f>IFERROR(__xludf.DUMMYFUNCTION("""COMPUTED_VALUE"""),"")</f>
        <v/>
      </c>
      <c r="S1384" s="106" t="str">
        <f>IFERROR(__xludf.DUMMYFUNCTION("""COMPUTED_VALUE"""),"")</f>
        <v/>
      </c>
      <c r="T1384" s="139" t="str">
        <f>IFERROR(__xludf.DUMMYFUNCTION("""COMPUTED_VALUE"""),"")</f>
        <v/>
      </c>
      <c r="U1384" s="139" t="str">
        <f>IFERROR(__xludf.DUMMYFUNCTION("""COMPUTED_VALUE"""),"")</f>
        <v/>
      </c>
      <c r="V1384" s="136" t="str">
        <f>IFERROR(__xludf.DUMMYFUNCTION("""COMPUTED_VALUE"""),"")</f>
        <v/>
      </c>
      <c r="W1384" s="106" t="str">
        <f>IFERROR(__xludf.DUMMYFUNCTION("""COMPUTED_VALUE"""),"")</f>
        <v/>
      </c>
      <c r="X1384" s="143" t="str">
        <f t="shared" si="2"/>
        <v/>
      </c>
      <c r="Y1384" s="139" t="str">
        <f>IFERROR(__xludf.DUMMYFUNCTION("""COMPUTED_VALUE"""),"")</f>
        <v/>
      </c>
      <c r="Z1384" s="141" t="str">
        <f>IFERROR(__xludf.DUMMYFUNCTION("""COMPUTED_VALUE"""),"")</f>
        <v/>
      </c>
    </row>
    <row r="1385">
      <c r="D1385" s="136" t="str">
        <f t="shared" si="3"/>
        <v/>
      </c>
      <c r="E1385" s="152"/>
      <c r="F1385" s="106" t="s">
        <v>133</v>
      </c>
      <c r="G1385" s="152"/>
      <c r="H1385" s="106" t="s">
        <v>133</v>
      </c>
      <c r="J1385" s="139" t="s">
        <v>133</v>
      </c>
      <c r="K1385" s="136" t="s">
        <v>133</v>
      </c>
      <c r="L1385" s="153"/>
      <c r="M1385" s="136" t="str">
        <f t="shared" si="1"/>
        <v/>
      </c>
      <c r="O1385" s="141" t="s">
        <v>133</v>
      </c>
      <c r="P1385" s="136" t="str">
        <f>IFERROR(__xludf.DUMMYFUNCTION("""COMPUTED_VALUE"""),"")</f>
        <v/>
      </c>
      <c r="Q1385" s="136" t="str">
        <f>IFERROR(__xludf.DUMMYFUNCTION("""COMPUTED_VALUE"""),"")</f>
        <v/>
      </c>
      <c r="R1385" s="106" t="str">
        <f>IFERROR(__xludf.DUMMYFUNCTION("""COMPUTED_VALUE"""),"")</f>
        <v/>
      </c>
      <c r="S1385" s="106" t="str">
        <f>IFERROR(__xludf.DUMMYFUNCTION("""COMPUTED_VALUE"""),"")</f>
        <v/>
      </c>
      <c r="T1385" s="139" t="str">
        <f>IFERROR(__xludf.DUMMYFUNCTION("""COMPUTED_VALUE"""),"")</f>
        <v/>
      </c>
      <c r="U1385" s="139" t="str">
        <f>IFERROR(__xludf.DUMMYFUNCTION("""COMPUTED_VALUE"""),"")</f>
        <v/>
      </c>
      <c r="V1385" s="136" t="str">
        <f>IFERROR(__xludf.DUMMYFUNCTION("""COMPUTED_VALUE"""),"")</f>
        <v/>
      </c>
      <c r="W1385" s="106" t="str">
        <f>IFERROR(__xludf.DUMMYFUNCTION("""COMPUTED_VALUE"""),"")</f>
        <v/>
      </c>
      <c r="X1385" s="143" t="str">
        <f t="shared" si="2"/>
        <v/>
      </c>
      <c r="Y1385" s="139" t="str">
        <f>IFERROR(__xludf.DUMMYFUNCTION("""COMPUTED_VALUE"""),"")</f>
        <v/>
      </c>
      <c r="Z1385" s="141" t="str">
        <f>IFERROR(__xludf.DUMMYFUNCTION("""COMPUTED_VALUE"""),"")</f>
        <v/>
      </c>
    </row>
    <row r="1386">
      <c r="D1386" s="136" t="str">
        <f t="shared" si="3"/>
        <v/>
      </c>
      <c r="E1386" s="152"/>
      <c r="F1386" s="106" t="s">
        <v>133</v>
      </c>
      <c r="G1386" s="152"/>
      <c r="H1386" s="106" t="s">
        <v>133</v>
      </c>
      <c r="J1386" s="139" t="s">
        <v>133</v>
      </c>
      <c r="K1386" s="136" t="s">
        <v>133</v>
      </c>
      <c r="L1386" s="153"/>
      <c r="M1386" s="136" t="str">
        <f t="shared" si="1"/>
        <v/>
      </c>
      <c r="O1386" s="141" t="s">
        <v>133</v>
      </c>
      <c r="P1386" s="136" t="str">
        <f>IFERROR(__xludf.DUMMYFUNCTION("""COMPUTED_VALUE"""),"")</f>
        <v/>
      </c>
      <c r="Q1386" s="136" t="str">
        <f>IFERROR(__xludf.DUMMYFUNCTION("""COMPUTED_VALUE"""),"")</f>
        <v/>
      </c>
      <c r="R1386" s="106" t="str">
        <f>IFERROR(__xludf.DUMMYFUNCTION("""COMPUTED_VALUE"""),"")</f>
        <v/>
      </c>
      <c r="S1386" s="106" t="str">
        <f>IFERROR(__xludf.DUMMYFUNCTION("""COMPUTED_VALUE"""),"")</f>
        <v/>
      </c>
      <c r="T1386" s="139" t="str">
        <f>IFERROR(__xludf.DUMMYFUNCTION("""COMPUTED_VALUE"""),"")</f>
        <v/>
      </c>
      <c r="U1386" s="139" t="str">
        <f>IFERROR(__xludf.DUMMYFUNCTION("""COMPUTED_VALUE"""),"")</f>
        <v/>
      </c>
      <c r="V1386" s="136" t="str">
        <f>IFERROR(__xludf.DUMMYFUNCTION("""COMPUTED_VALUE"""),"")</f>
        <v/>
      </c>
      <c r="W1386" s="106" t="str">
        <f>IFERROR(__xludf.DUMMYFUNCTION("""COMPUTED_VALUE"""),"")</f>
        <v/>
      </c>
      <c r="X1386" s="143" t="str">
        <f t="shared" si="2"/>
        <v/>
      </c>
      <c r="Y1386" s="139" t="str">
        <f>IFERROR(__xludf.DUMMYFUNCTION("""COMPUTED_VALUE"""),"")</f>
        <v/>
      </c>
      <c r="Z1386" s="141" t="str">
        <f>IFERROR(__xludf.DUMMYFUNCTION("""COMPUTED_VALUE"""),"")</f>
        <v/>
      </c>
    </row>
    <row r="1387">
      <c r="D1387" s="136" t="str">
        <f t="shared" si="3"/>
        <v/>
      </c>
      <c r="E1387" s="152"/>
      <c r="F1387" s="106" t="s">
        <v>133</v>
      </c>
      <c r="G1387" s="152"/>
      <c r="H1387" s="106" t="s">
        <v>133</v>
      </c>
      <c r="J1387" s="139" t="s">
        <v>133</v>
      </c>
      <c r="K1387" s="136" t="s">
        <v>133</v>
      </c>
      <c r="L1387" s="153"/>
      <c r="M1387" s="136" t="str">
        <f t="shared" si="1"/>
        <v/>
      </c>
      <c r="O1387" s="141" t="s">
        <v>133</v>
      </c>
      <c r="P1387" s="136" t="str">
        <f>IFERROR(__xludf.DUMMYFUNCTION("""COMPUTED_VALUE"""),"")</f>
        <v/>
      </c>
      <c r="Q1387" s="136" t="str">
        <f>IFERROR(__xludf.DUMMYFUNCTION("""COMPUTED_VALUE"""),"")</f>
        <v/>
      </c>
      <c r="R1387" s="106" t="str">
        <f>IFERROR(__xludf.DUMMYFUNCTION("""COMPUTED_VALUE"""),"")</f>
        <v/>
      </c>
      <c r="S1387" s="106" t="str">
        <f>IFERROR(__xludf.DUMMYFUNCTION("""COMPUTED_VALUE"""),"")</f>
        <v/>
      </c>
      <c r="T1387" s="139" t="str">
        <f>IFERROR(__xludf.DUMMYFUNCTION("""COMPUTED_VALUE"""),"")</f>
        <v/>
      </c>
      <c r="U1387" s="139" t="str">
        <f>IFERROR(__xludf.DUMMYFUNCTION("""COMPUTED_VALUE"""),"")</f>
        <v/>
      </c>
      <c r="V1387" s="136" t="str">
        <f>IFERROR(__xludf.DUMMYFUNCTION("""COMPUTED_VALUE"""),"")</f>
        <v/>
      </c>
      <c r="W1387" s="106" t="str">
        <f>IFERROR(__xludf.DUMMYFUNCTION("""COMPUTED_VALUE"""),"")</f>
        <v/>
      </c>
      <c r="X1387" s="143" t="str">
        <f t="shared" si="2"/>
        <v/>
      </c>
      <c r="Y1387" s="139" t="str">
        <f>IFERROR(__xludf.DUMMYFUNCTION("""COMPUTED_VALUE"""),"")</f>
        <v/>
      </c>
      <c r="Z1387" s="141" t="str">
        <f>IFERROR(__xludf.DUMMYFUNCTION("""COMPUTED_VALUE"""),"")</f>
        <v/>
      </c>
    </row>
    <row r="1388">
      <c r="D1388" s="136" t="str">
        <f t="shared" si="3"/>
        <v/>
      </c>
      <c r="E1388" s="152"/>
      <c r="F1388" s="106" t="s">
        <v>133</v>
      </c>
      <c r="G1388" s="152"/>
      <c r="H1388" s="106" t="s">
        <v>133</v>
      </c>
      <c r="J1388" s="139" t="s">
        <v>133</v>
      </c>
      <c r="K1388" s="136" t="s">
        <v>133</v>
      </c>
      <c r="L1388" s="153"/>
      <c r="M1388" s="136" t="str">
        <f t="shared" si="1"/>
        <v/>
      </c>
      <c r="O1388" s="141" t="s">
        <v>133</v>
      </c>
      <c r="P1388" s="136" t="str">
        <f>IFERROR(__xludf.DUMMYFUNCTION("""COMPUTED_VALUE"""),"")</f>
        <v/>
      </c>
      <c r="Q1388" s="136" t="str">
        <f>IFERROR(__xludf.DUMMYFUNCTION("""COMPUTED_VALUE"""),"")</f>
        <v/>
      </c>
      <c r="R1388" s="106" t="str">
        <f>IFERROR(__xludf.DUMMYFUNCTION("""COMPUTED_VALUE"""),"")</f>
        <v/>
      </c>
      <c r="S1388" s="106" t="str">
        <f>IFERROR(__xludf.DUMMYFUNCTION("""COMPUTED_VALUE"""),"")</f>
        <v/>
      </c>
      <c r="T1388" s="139" t="str">
        <f>IFERROR(__xludf.DUMMYFUNCTION("""COMPUTED_VALUE"""),"")</f>
        <v/>
      </c>
      <c r="U1388" s="139" t="str">
        <f>IFERROR(__xludf.DUMMYFUNCTION("""COMPUTED_VALUE"""),"")</f>
        <v/>
      </c>
      <c r="V1388" s="136" t="str">
        <f>IFERROR(__xludf.DUMMYFUNCTION("""COMPUTED_VALUE"""),"")</f>
        <v/>
      </c>
      <c r="W1388" s="106" t="str">
        <f>IFERROR(__xludf.DUMMYFUNCTION("""COMPUTED_VALUE"""),"")</f>
        <v/>
      </c>
      <c r="X1388" s="143" t="str">
        <f t="shared" si="2"/>
        <v/>
      </c>
      <c r="Y1388" s="139" t="str">
        <f>IFERROR(__xludf.DUMMYFUNCTION("""COMPUTED_VALUE"""),"")</f>
        <v/>
      </c>
      <c r="Z1388" s="141" t="str">
        <f>IFERROR(__xludf.DUMMYFUNCTION("""COMPUTED_VALUE"""),"")</f>
        <v/>
      </c>
    </row>
    <row r="1389">
      <c r="D1389" s="136" t="str">
        <f t="shared" si="3"/>
        <v/>
      </c>
      <c r="E1389" s="152"/>
      <c r="F1389" s="106" t="s">
        <v>133</v>
      </c>
      <c r="G1389" s="152"/>
      <c r="H1389" s="106" t="s">
        <v>133</v>
      </c>
      <c r="J1389" s="139" t="s">
        <v>133</v>
      </c>
      <c r="K1389" s="136" t="s">
        <v>133</v>
      </c>
      <c r="L1389" s="153"/>
      <c r="M1389" s="136" t="str">
        <f t="shared" si="1"/>
        <v/>
      </c>
      <c r="O1389" s="141" t="s">
        <v>133</v>
      </c>
      <c r="P1389" s="136" t="str">
        <f>IFERROR(__xludf.DUMMYFUNCTION("""COMPUTED_VALUE"""),"")</f>
        <v/>
      </c>
      <c r="Q1389" s="136" t="str">
        <f>IFERROR(__xludf.DUMMYFUNCTION("""COMPUTED_VALUE"""),"")</f>
        <v/>
      </c>
      <c r="R1389" s="106" t="str">
        <f>IFERROR(__xludf.DUMMYFUNCTION("""COMPUTED_VALUE"""),"")</f>
        <v/>
      </c>
      <c r="S1389" s="106" t="str">
        <f>IFERROR(__xludf.DUMMYFUNCTION("""COMPUTED_VALUE"""),"")</f>
        <v/>
      </c>
      <c r="T1389" s="139" t="str">
        <f>IFERROR(__xludf.DUMMYFUNCTION("""COMPUTED_VALUE"""),"")</f>
        <v/>
      </c>
      <c r="U1389" s="139" t="str">
        <f>IFERROR(__xludf.DUMMYFUNCTION("""COMPUTED_VALUE"""),"")</f>
        <v/>
      </c>
      <c r="V1389" s="136" t="str">
        <f>IFERROR(__xludf.DUMMYFUNCTION("""COMPUTED_VALUE"""),"")</f>
        <v/>
      </c>
      <c r="W1389" s="106" t="str">
        <f>IFERROR(__xludf.DUMMYFUNCTION("""COMPUTED_VALUE"""),"")</f>
        <v/>
      </c>
      <c r="X1389" s="143" t="str">
        <f t="shared" si="2"/>
        <v/>
      </c>
      <c r="Y1389" s="139" t="str">
        <f>IFERROR(__xludf.DUMMYFUNCTION("""COMPUTED_VALUE"""),"")</f>
        <v/>
      </c>
      <c r="Z1389" s="141" t="str">
        <f>IFERROR(__xludf.DUMMYFUNCTION("""COMPUTED_VALUE"""),"")</f>
        <v/>
      </c>
    </row>
    <row r="1390">
      <c r="D1390" s="136" t="str">
        <f t="shared" si="3"/>
        <v/>
      </c>
      <c r="E1390" s="152"/>
      <c r="F1390" s="106" t="s">
        <v>133</v>
      </c>
      <c r="G1390" s="152"/>
      <c r="H1390" s="106" t="s">
        <v>133</v>
      </c>
      <c r="J1390" s="139" t="s">
        <v>133</v>
      </c>
      <c r="K1390" s="136" t="s">
        <v>133</v>
      </c>
      <c r="L1390" s="153"/>
      <c r="M1390" s="136" t="str">
        <f t="shared" si="1"/>
        <v/>
      </c>
      <c r="O1390" s="141" t="s">
        <v>133</v>
      </c>
      <c r="P1390" s="136" t="str">
        <f>IFERROR(__xludf.DUMMYFUNCTION("""COMPUTED_VALUE"""),"")</f>
        <v/>
      </c>
      <c r="Q1390" s="136" t="str">
        <f>IFERROR(__xludf.DUMMYFUNCTION("""COMPUTED_VALUE"""),"")</f>
        <v/>
      </c>
      <c r="R1390" s="106" t="str">
        <f>IFERROR(__xludf.DUMMYFUNCTION("""COMPUTED_VALUE"""),"")</f>
        <v/>
      </c>
      <c r="S1390" s="106" t="str">
        <f>IFERROR(__xludf.DUMMYFUNCTION("""COMPUTED_VALUE"""),"")</f>
        <v/>
      </c>
      <c r="T1390" s="139" t="str">
        <f>IFERROR(__xludf.DUMMYFUNCTION("""COMPUTED_VALUE"""),"")</f>
        <v/>
      </c>
      <c r="U1390" s="139" t="str">
        <f>IFERROR(__xludf.DUMMYFUNCTION("""COMPUTED_VALUE"""),"")</f>
        <v/>
      </c>
      <c r="V1390" s="136" t="str">
        <f>IFERROR(__xludf.DUMMYFUNCTION("""COMPUTED_VALUE"""),"")</f>
        <v/>
      </c>
      <c r="W1390" s="106" t="str">
        <f>IFERROR(__xludf.DUMMYFUNCTION("""COMPUTED_VALUE"""),"")</f>
        <v/>
      </c>
      <c r="X1390" s="143" t="str">
        <f t="shared" si="2"/>
        <v/>
      </c>
      <c r="Y1390" s="139" t="str">
        <f>IFERROR(__xludf.DUMMYFUNCTION("""COMPUTED_VALUE"""),"")</f>
        <v/>
      </c>
      <c r="Z1390" s="141" t="str">
        <f>IFERROR(__xludf.DUMMYFUNCTION("""COMPUTED_VALUE"""),"")</f>
        <v/>
      </c>
    </row>
    <row r="1391">
      <c r="D1391" s="136" t="str">
        <f t="shared" si="3"/>
        <v/>
      </c>
      <c r="E1391" s="152"/>
      <c r="F1391" s="106" t="s">
        <v>133</v>
      </c>
      <c r="G1391" s="152"/>
      <c r="H1391" s="106" t="s">
        <v>133</v>
      </c>
      <c r="J1391" s="139" t="s">
        <v>133</v>
      </c>
      <c r="K1391" s="136" t="s">
        <v>133</v>
      </c>
      <c r="L1391" s="153"/>
      <c r="M1391" s="136" t="str">
        <f t="shared" si="1"/>
        <v/>
      </c>
      <c r="O1391" s="141" t="s">
        <v>133</v>
      </c>
      <c r="P1391" s="136" t="str">
        <f>IFERROR(__xludf.DUMMYFUNCTION("""COMPUTED_VALUE"""),"")</f>
        <v/>
      </c>
      <c r="Q1391" s="136" t="str">
        <f>IFERROR(__xludf.DUMMYFUNCTION("""COMPUTED_VALUE"""),"")</f>
        <v/>
      </c>
      <c r="R1391" s="106" t="str">
        <f>IFERROR(__xludf.DUMMYFUNCTION("""COMPUTED_VALUE"""),"")</f>
        <v/>
      </c>
      <c r="S1391" s="106" t="str">
        <f>IFERROR(__xludf.DUMMYFUNCTION("""COMPUTED_VALUE"""),"")</f>
        <v/>
      </c>
      <c r="T1391" s="139" t="str">
        <f>IFERROR(__xludf.DUMMYFUNCTION("""COMPUTED_VALUE"""),"")</f>
        <v/>
      </c>
      <c r="U1391" s="139" t="str">
        <f>IFERROR(__xludf.DUMMYFUNCTION("""COMPUTED_VALUE"""),"")</f>
        <v/>
      </c>
      <c r="V1391" s="136" t="str">
        <f>IFERROR(__xludf.DUMMYFUNCTION("""COMPUTED_VALUE"""),"")</f>
        <v/>
      </c>
      <c r="W1391" s="106" t="str">
        <f>IFERROR(__xludf.DUMMYFUNCTION("""COMPUTED_VALUE"""),"")</f>
        <v/>
      </c>
      <c r="X1391" s="143" t="str">
        <f t="shared" si="2"/>
        <v/>
      </c>
      <c r="Y1391" s="139" t="str">
        <f>IFERROR(__xludf.DUMMYFUNCTION("""COMPUTED_VALUE"""),"")</f>
        <v/>
      </c>
      <c r="Z1391" s="141" t="str">
        <f>IFERROR(__xludf.DUMMYFUNCTION("""COMPUTED_VALUE"""),"")</f>
        <v/>
      </c>
    </row>
    <row r="1392">
      <c r="D1392" s="136" t="str">
        <f t="shared" si="3"/>
        <v/>
      </c>
      <c r="E1392" s="152"/>
      <c r="F1392" s="106" t="s">
        <v>133</v>
      </c>
      <c r="G1392" s="152"/>
      <c r="H1392" s="106" t="s">
        <v>133</v>
      </c>
      <c r="J1392" s="139" t="s">
        <v>133</v>
      </c>
      <c r="K1392" s="136" t="s">
        <v>133</v>
      </c>
      <c r="L1392" s="153"/>
      <c r="M1392" s="136" t="str">
        <f t="shared" si="1"/>
        <v/>
      </c>
      <c r="O1392" s="141" t="s">
        <v>133</v>
      </c>
      <c r="P1392" s="136" t="str">
        <f>IFERROR(__xludf.DUMMYFUNCTION("""COMPUTED_VALUE"""),"")</f>
        <v/>
      </c>
      <c r="Q1392" s="136" t="str">
        <f>IFERROR(__xludf.DUMMYFUNCTION("""COMPUTED_VALUE"""),"")</f>
        <v/>
      </c>
      <c r="R1392" s="106" t="str">
        <f>IFERROR(__xludf.DUMMYFUNCTION("""COMPUTED_VALUE"""),"")</f>
        <v/>
      </c>
      <c r="S1392" s="106" t="str">
        <f>IFERROR(__xludf.DUMMYFUNCTION("""COMPUTED_VALUE"""),"")</f>
        <v/>
      </c>
      <c r="T1392" s="139" t="str">
        <f>IFERROR(__xludf.DUMMYFUNCTION("""COMPUTED_VALUE"""),"")</f>
        <v/>
      </c>
      <c r="U1392" s="139" t="str">
        <f>IFERROR(__xludf.DUMMYFUNCTION("""COMPUTED_VALUE"""),"")</f>
        <v/>
      </c>
      <c r="V1392" s="136" t="str">
        <f>IFERROR(__xludf.DUMMYFUNCTION("""COMPUTED_VALUE"""),"")</f>
        <v/>
      </c>
      <c r="W1392" s="106" t="str">
        <f>IFERROR(__xludf.DUMMYFUNCTION("""COMPUTED_VALUE"""),"")</f>
        <v/>
      </c>
      <c r="X1392" s="143" t="str">
        <f t="shared" si="2"/>
        <v/>
      </c>
      <c r="Y1392" s="139" t="str">
        <f>IFERROR(__xludf.DUMMYFUNCTION("""COMPUTED_VALUE"""),"")</f>
        <v/>
      </c>
      <c r="Z1392" s="141" t="str">
        <f>IFERROR(__xludf.DUMMYFUNCTION("""COMPUTED_VALUE"""),"")</f>
        <v/>
      </c>
    </row>
    <row r="1393">
      <c r="D1393" s="136" t="str">
        <f t="shared" si="3"/>
        <v/>
      </c>
      <c r="E1393" s="152"/>
      <c r="F1393" s="106" t="s">
        <v>133</v>
      </c>
      <c r="G1393" s="152"/>
      <c r="H1393" s="106" t="s">
        <v>133</v>
      </c>
      <c r="J1393" s="139" t="s">
        <v>133</v>
      </c>
      <c r="K1393" s="136" t="s">
        <v>133</v>
      </c>
      <c r="L1393" s="153"/>
      <c r="M1393" s="136" t="str">
        <f t="shared" si="1"/>
        <v/>
      </c>
      <c r="O1393" s="141" t="s">
        <v>133</v>
      </c>
      <c r="P1393" s="136" t="str">
        <f>IFERROR(__xludf.DUMMYFUNCTION("""COMPUTED_VALUE"""),"")</f>
        <v/>
      </c>
      <c r="Q1393" s="136" t="str">
        <f>IFERROR(__xludf.DUMMYFUNCTION("""COMPUTED_VALUE"""),"")</f>
        <v/>
      </c>
      <c r="R1393" s="106" t="str">
        <f>IFERROR(__xludf.DUMMYFUNCTION("""COMPUTED_VALUE"""),"")</f>
        <v/>
      </c>
      <c r="S1393" s="106" t="str">
        <f>IFERROR(__xludf.DUMMYFUNCTION("""COMPUTED_VALUE"""),"")</f>
        <v/>
      </c>
      <c r="T1393" s="139" t="str">
        <f>IFERROR(__xludf.DUMMYFUNCTION("""COMPUTED_VALUE"""),"")</f>
        <v/>
      </c>
      <c r="U1393" s="139" t="str">
        <f>IFERROR(__xludf.DUMMYFUNCTION("""COMPUTED_VALUE"""),"")</f>
        <v/>
      </c>
      <c r="V1393" s="136" t="str">
        <f>IFERROR(__xludf.DUMMYFUNCTION("""COMPUTED_VALUE"""),"")</f>
        <v/>
      </c>
      <c r="W1393" s="106" t="str">
        <f>IFERROR(__xludf.DUMMYFUNCTION("""COMPUTED_VALUE"""),"")</f>
        <v/>
      </c>
      <c r="X1393" s="143" t="str">
        <f t="shared" si="2"/>
        <v/>
      </c>
      <c r="Y1393" s="139" t="str">
        <f>IFERROR(__xludf.DUMMYFUNCTION("""COMPUTED_VALUE"""),"")</f>
        <v/>
      </c>
      <c r="Z1393" s="141" t="str">
        <f>IFERROR(__xludf.DUMMYFUNCTION("""COMPUTED_VALUE"""),"")</f>
        <v/>
      </c>
    </row>
    <row r="1394">
      <c r="D1394" s="136" t="str">
        <f t="shared" si="3"/>
        <v/>
      </c>
      <c r="E1394" s="152"/>
      <c r="F1394" s="106" t="s">
        <v>133</v>
      </c>
      <c r="G1394" s="152"/>
      <c r="H1394" s="106" t="s">
        <v>133</v>
      </c>
      <c r="J1394" s="139" t="s">
        <v>133</v>
      </c>
      <c r="K1394" s="136" t="s">
        <v>133</v>
      </c>
      <c r="L1394" s="153"/>
      <c r="M1394" s="136" t="str">
        <f t="shared" si="1"/>
        <v/>
      </c>
      <c r="O1394" s="141" t="s">
        <v>133</v>
      </c>
      <c r="P1394" s="136" t="str">
        <f>IFERROR(__xludf.DUMMYFUNCTION("""COMPUTED_VALUE"""),"")</f>
        <v/>
      </c>
      <c r="Q1394" s="136" t="str">
        <f>IFERROR(__xludf.DUMMYFUNCTION("""COMPUTED_VALUE"""),"")</f>
        <v/>
      </c>
      <c r="R1394" s="106" t="str">
        <f>IFERROR(__xludf.DUMMYFUNCTION("""COMPUTED_VALUE"""),"")</f>
        <v/>
      </c>
      <c r="S1394" s="106" t="str">
        <f>IFERROR(__xludf.DUMMYFUNCTION("""COMPUTED_VALUE"""),"")</f>
        <v/>
      </c>
      <c r="T1394" s="139" t="str">
        <f>IFERROR(__xludf.DUMMYFUNCTION("""COMPUTED_VALUE"""),"")</f>
        <v/>
      </c>
      <c r="U1394" s="139" t="str">
        <f>IFERROR(__xludf.DUMMYFUNCTION("""COMPUTED_VALUE"""),"")</f>
        <v/>
      </c>
      <c r="V1394" s="136" t="str">
        <f>IFERROR(__xludf.DUMMYFUNCTION("""COMPUTED_VALUE"""),"")</f>
        <v/>
      </c>
      <c r="W1394" s="106" t="str">
        <f>IFERROR(__xludf.DUMMYFUNCTION("""COMPUTED_VALUE"""),"")</f>
        <v/>
      </c>
      <c r="X1394" s="143" t="str">
        <f t="shared" si="2"/>
        <v/>
      </c>
      <c r="Y1394" s="139" t="str">
        <f>IFERROR(__xludf.DUMMYFUNCTION("""COMPUTED_VALUE"""),"")</f>
        <v/>
      </c>
      <c r="Z1394" s="141" t="str">
        <f>IFERROR(__xludf.DUMMYFUNCTION("""COMPUTED_VALUE"""),"")</f>
        <v/>
      </c>
    </row>
    <row r="1395">
      <c r="D1395" s="136" t="str">
        <f t="shared" si="3"/>
        <v/>
      </c>
      <c r="E1395" s="152"/>
      <c r="F1395" s="106" t="s">
        <v>133</v>
      </c>
      <c r="G1395" s="152"/>
      <c r="H1395" s="106" t="s">
        <v>133</v>
      </c>
      <c r="J1395" s="139" t="s">
        <v>133</v>
      </c>
      <c r="K1395" s="136" t="s">
        <v>133</v>
      </c>
      <c r="L1395" s="153"/>
      <c r="M1395" s="136" t="str">
        <f t="shared" si="1"/>
        <v/>
      </c>
      <c r="O1395" s="141" t="s">
        <v>133</v>
      </c>
      <c r="P1395" s="136" t="str">
        <f>IFERROR(__xludf.DUMMYFUNCTION("""COMPUTED_VALUE"""),"")</f>
        <v/>
      </c>
      <c r="Q1395" s="136" t="str">
        <f>IFERROR(__xludf.DUMMYFUNCTION("""COMPUTED_VALUE"""),"")</f>
        <v/>
      </c>
      <c r="R1395" s="106" t="str">
        <f>IFERROR(__xludf.DUMMYFUNCTION("""COMPUTED_VALUE"""),"")</f>
        <v/>
      </c>
      <c r="S1395" s="106" t="str">
        <f>IFERROR(__xludf.DUMMYFUNCTION("""COMPUTED_VALUE"""),"")</f>
        <v/>
      </c>
      <c r="T1395" s="139" t="str">
        <f>IFERROR(__xludf.DUMMYFUNCTION("""COMPUTED_VALUE"""),"")</f>
        <v/>
      </c>
      <c r="U1395" s="139" t="str">
        <f>IFERROR(__xludf.DUMMYFUNCTION("""COMPUTED_VALUE"""),"")</f>
        <v/>
      </c>
      <c r="V1395" s="136" t="str">
        <f>IFERROR(__xludf.DUMMYFUNCTION("""COMPUTED_VALUE"""),"")</f>
        <v/>
      </c>
      <c r="W1395" s="106" t="str">
        <f>IFERROR(__xludf.DUMMYFUNCTION("""COMPUTED_VALUE"""),"")</f>
        <v/>
      </c>
      <c r="X1395" s="143" t="str">
        <f t="shared" si="2"/>
        <v/>
      </c>
      <c r="Y1395" s="139" t="str">
        <f>IFERROR(__xludf.DUMMYFUNCTION("""COMPUTED_VALUE"""),"")</f>
        <v/>
      </c>
      <c r="Z1395" s="141" t="str">
        <f>IFERROR(__xludf.DUMMYFUNCTION("""COMPUTED_VALUE"""),"")</f>
        <v/>
      </c>
    </row>
    <row r="1396">
      <c r="D1396" s="136" t="str">
        <f t="shared" si="3"/>
        <v/>
      </c>
      <c r="E1396" s="152"/>
      <c r="F1396" s="106" t="s">
        <v>133</v>
      </c>
      <c r="G1396" s="152"/>
      <c r="H1396" s="106" t="s">
        <v>133</v>
      </c>
      <c r="J1396" s="139" t="s">
        <v>133</v>
      </c>
      <c r="K1396" s="136" t="s">
        <v>133</v>
      </c>
      <c r="L1396" s="153"/>
      <c r="M1396" s="136" t="str">
        <f t="shared" si="1"/>
        <v/>
      </c>
      <c r="O1396" s="141" t="s">
        <v>133</v>
      </c>
      <c r="P1396" s="136" t="str">
        <f>IFERROR(__xludf.DUMMYFUNCTION("""COMPUTED_VALUE"""),"")</f>
        <v/>
      </c>
      <c r="Q1396" s="136" t="str">
        <f>IFERROR(__xludf.DUMMYFUNCTION("""COMPUTED_VALUE"""),"")</f>
        <v/>
      </c>
      <c r="R1396" s="106" t="str">
        <f>IFERROR(__xludf.DUMMYFUNCTION("""COMPUTED_VALUE"""),"")</f>
        <v/>
      </c>
      <c r="S1396" s="106" t="str">
        <f>IFERROR(__xludf.DUMMYFUNCTION("""COMPUTED_VALUE"""),"")</f>
        <v/>
      </c>
      <c r="T1396" s="139" t="str">
        <f>IFERROR(__xludf.DUMMYFUNCTION("""COMPUTED_VALUE"""),"")</f>
        <v/>
      </c>
      <c r="U1396" s="139" t="str">
        <f>IFERROR(__xludf.DUMMYFUNCTION("""COMPUTED_VALUE"""),"")</f>
        <v/>
      </c>
      <c r="V1396" s="136" t="str">
        <f>IFERROR(__xludf.DUMMYFUNCTION("""COMPUTED_VALUE"""),"")</f>
        <v/>
      </c>
      <c r="W1396" s="106" t="str">
        <f>IFERROR(__xludf.DUMMYFUNCTION("""COMPUTED_VALUE"""),"")</f>
        <v/>
      </c>
      <c r="X1396" s="143" t="str">
        <f t="shared" si="2"/>
        <v/>
      </c>
      <c r="Y1396" s="139" t="str">
        <f>IFERROR(__xludf.DUMMYFUNCTION("""COMPUTED_VALUE"""),"")</f>
        <v/>
      </c>
      <c r="Z1396" s="141" t="str">
        <f>IFERROR(__xludf.DUMMYFUNCTION("""COMPUTED_VALUE"""),"")</f>
        <v/>
      </c>
    </row>
    <row r="1397">
      <c r="D1397" s="136" t="str">
        <f t="shared" si="3"/>
        <v/>
      </c>
      <c r="E1397" s="152"/>
      <c r="F1397" s="106" t="s">
        <v>133</v>
      </c>
      <c r="G1397" s="152"/>
      <c r="H1397" s="106" t="s">
        <v>133</v>
      </c>
      <c r="J1397" s="139" t="s">
        <v>133</v>
      </c>
      <c r="K1397" s="136" t="s">
        <v>133</v>
      </c>
      <c r="L1397" s="153"/>
      <c r="M1397" s="136" t="str">
        <f t="shared" si="1"/>
        <v/>
      </c>
      <c r="O1397" s="141" t="s">
        <v>133</v>
      </c>
      <c r="P1397" s="136" t="str">
        <f>IFERROR(__xludf.DUMMYFUNCTION("""COMPUTED_VALUE"""),"")</f>
        <v/>
      </c>
      <c r="Q1397" s="136" t="str">
        <f>IFERROR(__xludf.DUMMYFUNCTION("""COMPUTED_VALUE"""),"")</f>
        <v/>
      </c>
      <c r="R1397" s="106" t="str">
        <f>IFERROR(__xludf.DUMMYFUNCTION("""COMPUTED_VALUE"""),"")</f>
        <v/>
      </c>
      <c r="S1397" s="106" t="str">
        <f>IFERROR(__xludf.DUMMYFUNCTION("""COMPUTED_VALUE"""),"")</f>
        <v/>
      </c>
      <c r="T1397" s="139" t="str">
        <f>IFERROR(__xludf.DUMMYFUNCTION("""COMPUTED_VALUE"""),"")</f>
        <v/>
      </c>
      <c r="U1397" s="139" t="str">
        <f>IFERROR(__xludf.DUMMYFUNCTION("""COMPUTED_VALUE"""),"")</f>
        <v/>
      </c>
      <c r="V1397" s="136" t="str">
        <f>IFERROR(__xludf.DUMMYFUNCTION("""COMPUTED_VALUE"""),"")</f>
        <v/>
      </c>
      <c r="W1397" s="106" t="str">
        <f>IFERROR(__xludf.DUMMYFUNCTION("""COMPUTED_VALUE"""),"")</f>
        <v/>
      </c>
      <c r="X1397" s="143" t="str">
        <f t="shared" si="2"/>
        <v/>
      </c>
      <c r="Y1397" s="139" t="str">
        <f>IFERROR(__xludf.DUMMYFUNCTION("""COMPUTED_VALUE"""),"")</f>
        <v/>
      </c>
      <c r="Z1397" s="141" t="str">
        <f>IFERROR(__xludf.DUMMYFUNCTION("""COMPUTED_VALUE"""),"")</f>
        <v/>
      </c>
    </row>
    <row r="1398">
      <c r="D1398" s="136" t="str">
        <f t="shared" si="3"/>
        <v/>
      </c>
      <c r="E1398" s="152"/>
      <c r="F1398" s="106" t="s">
        <v>133</v>
      </c>
      <c r="G1398" s="152"/>
      <c r="H1398" s="106" t="s">
        <v>133</v>
      </c>
      <c r="J1398" s="139" t="s">
        <v>133</v>
      </c>
      <c r="K1398" s="136" t="s">
        <v>133</v>
      </c>
      <c r="L1398" s="153"/>
      <c r="M1398" s="136" t="str">
        <f t="shared" si="1"/>
        <v/>
      </c>
      <c r="O1398" s="141" t="s">
        <v>133</v>
      </c>
      <c r="P1398" s="136" t="str">
        <f>IFERROR(__xludf.DUMMYFUNCTION("""COMPUTED_VALUE"""),"")</f>
        <v/>
      </c>
      <c r="Q1398" s="136" t="str">
        <f>IFERROR(__xludf.DUMMYFUNCTION("""COMPUTED_VALUE"""),"")</f>
        <v/>
      </c>
      <c r="R1398" s="106" t="str">
        <f>IFERROR(__xludf.DUMMYFUNCTION("""COMPUTED_VALUE"""),"")</f>
        <v/>
      </c>
      <c r="S1398" s="106" t="str">
        <f>IFERROR(__xludf.DUMMYFUNCTION("""COMPUTED_VALUE"""),"")</f>
        <v/>
      </c>
      <c r="T1398" s="139" t="str">
        <f>IFERROR(__xludf.DUMMYFUNCTION("""COMPUTED_VALUE"""),"")</f>
        <v/>
      </c>
      <c r="U1398" s="139" t="str">
        <f>IFERROR(__xludf.DUMMYFUNCTION("""COMPUTED_VALUE"""),"")</f>
        <v/>
      </c>
      <c r="V1398" s="136" t="str">
        <f>IFERROR(__xludf.DUMMYFUNCTION("""COMPUTED_VALUE"""),"")</f>
        <v/>
      </c>
      <c r="W1398" s="106" t="str">
        <f>IFERROR(__xludf.DUMMYFUNCTION("""COMPUTED_VALUE"""),"")</f>
        <v/>
      </c>
      <c r="X1398" s="143" t="str">
        <f t="shared" si="2"/>
        <v/>
      </c>
      <c r="Y1398" s="139" t="str">
        <f>IFERROR(__xludf.DUMMYFUNCTION("""COMPUTED_VALUE"""),"")</f>
        <v/>
      </c>
      <c r="Z1398" s="141" t="str">
        <f>IFERROR(__xludf.DUMMYFUNCTION("""COMPUTED_VALUE"""),"")</f>
        <v/>
      </c>
    </row>
    <row r="1399">
      <c r="D1399" s="136" t="str">
        <f t="shared" si="3"/>
        <v/>
      </c>
      <c r="E1399" s="152"/>
      <c r="F1399" s="106" t="s">
        <v>133</v>
      </c>
      <c r="G1399" s="152"/>
      <c r="H1399" s="106" t="s">
        <v>133</v>
      </c>
      <c r="J1399" s="139" t="s">
        <v>133</v>
      </c>
      <c r="K1399" s="136" t="s">
        <v>133</v>
      </c>
      <c r="L1399" s="153"/>
      <c r="M1399" s="136" t="str">
        <f t="shared" si="1"/>
        <v/>
      </c>
      <c r="O1399" s="141" t="s">
        <v>133</v>
      </c>
      <c r="P1399" s="136" t="str">
        <f>IFERROR(__xludf.DUMMYFUNCTION("""COMPUTED_VALUE"""),"")</f>
        <v/>
      </c>
      <c r="Q1399" s="136" t="str">
        <f>IFERROR(__xludf.DUMMYFUNCTION("""COMPUTED_VALUE"""),"")</f>
        <v/>
      </c>
      <c r="R1399" s="106" t="str">
        <f>IFERROR(__xludf.DUMMYFUNCTION("""COMPUTED_VALUE"""),"")</f>
        <v/>
      </c>
      <c r="S1399" s="106" t="str">
        <f>IFERROR(__xludf.DUMMYFUNCTION("""COMPUTED_VALUE"""),"")</f>
        <v/>
      </c>
      <c r="T1399" s="139" t="str">
        <f>IFERROR(__xludf.DUMMYFUNCTION("""COMPUTED_VALUE"""),"")</f>
        <v/>
      </c>
      <c r="U1399" s="139" t="str">
        <f>IFERROR(__xludf.DUMMYFUNCTION("""COMPUTED_VALUE"""),"")</f>
        <v/>
      </c>
      <c r="V1399" s="136" t="str">
        <f>IFERROR(__xludf.DUMMYFUNCTION("""COMPUTED_VALUE"""),"")</f>
        <v/>
      </c>
      <c r="W1399" s="106" t="str">
        <f>IFERROR(__xludf.DUMMYFUNCTION("""COMPUTED_VALUE"""),"")</f>
        <v/>
      </c>
      <c r="X1399" s="143" t="str">
        <f t="shared" si="2"/>
        <v/>
      </c>
      <c r="Y1399" s="139" t="str">
        <f>IFERROR(__xludf.DUMMYFUNCTION("""COMPUTED_VALUE"""),"")</f>
        <v/>
      </c>
      <c r="Z1399" s="141" t="str">
        <f>IFERROR(__xludf.DUMMYFUNCTION("""COMPUTED_VALUE"""),"")</f>
        <v/>
      </c>
    </row>
    <row r="1400">
      <c r="D1400" s="136" t="str">
        <f t="shared" si="3"/>
        <v/>
      </c>
      <c r="E1400" s="152"/>
      <c r="F1400" s="106" t="s">
        <v>133</v>
      </c>
      <c r="G1400" s="152"/>
      <c r="H1400" s="106" t="s">
        <v>133</v>
      </c>
      <c r="J1400" s="139" t="s">
        <v>133</v>
      </c>
      <c r="K1400" s="136" t="s">
        <v>133</v>
      </c>
      <c r="L1400" s="153"/>
      <c r="M1400" s="136" t="str">
        <f t="shared" si="1"/>
        <v/>
      </c>
      <c r="O1400" s="141" t="s">
        <v>133</v>
      </c>
      <c r="P1400" s="136" t="str">
        <f>IFERROR(__xludf.DUMMYFUNCTION("""COMPUTED_VALUE"""),"")</f>
        <v/>
      </c>
      <c r="Q1400" s="136" t="str">
        <f>IFERROR(__xludf.DUMMYFUNCTION("""COMPUTED_VALUE"""),"")</f>
        <v/>
      </c>
      <c r="R1400" s="106" t="str">
        <f>IFERROR(__xludf.DUMMYFUNCTION("""COMPUTED_VALUE"""),"")</f>
        <v/>
      </c>
      <c r="S1400" s="106" t="str">
        <f>IFERROR(__xludf.DUMMYFUNCTION("""COMPUTED_VALUE"""),"")</f>
        <v/>
      </c>
      <c r="T1400" s="139" t="str">
        <f>IFERROR(__xludf.DUMMYFUNCTION("""COMPUTED_VALUE"""),"")</f>
        <v/>
      </c>
      <c r="U1400" s="139" t="str">
        <f>IFERROR(__xludf.DUMMYFUNCTION("""COMPUTED_VALUE"""),"")</f>
        <v/>
      </c>
      <c r="V1400" s="136" t="str">
        <f>IFERROR(__xludf.DUMMYFUNCTION("""COMPUTED_VALUE"""),"")</f>
        <v/>
      </c>
      <c r="W1400" s="106" t="str">
        <f>IFERROR(__xludf.DUMMYFUNCTION("""COMPUTED_VALUE"""),"")</f>
        <v/>
      </c>
      <c r="X1400" s="143" t="str">
        <f t="shared" si="2"/>
        <v/>
      </c>
      <c r="Y1400" s="139" t="str">
        <f>IFERROR(__xludf.DUMMYFUNCTION("""COMPUTED_VALUE"""),"")</f>
        <v/>
      </c>
      <c r="Z1400" s="141" t="str">
        <f>IFERROR(__xludf.DUMMYFUNCTION("""COMPUTED_VALUE"""),"")</f>
        <v/>
      </c>
    </row>
    <row r="1401">
      <c r="D1401" s="136" t="str">
        <f t="shared" si="3"/>
        <v/>
      </c>
      <c r="E1401" s="152"/>
      <c r="F1401" s="106" t="s">
        <v>133</v>
      </c>
      <c r="G1401" s="152"/>
      <c r="H1401" s="106" t="s">
        <v>133</v>
      </c>
      <c r="J1401" s="139" t="s">
        <v>133</v>
      </c>
      <c r="K1401" s="136" t="s">
        <v>133</v>
      </c>
      <c r="L1401" s="153"/>
      <c r="M1401" s="136" t="str">
        <f t="shared" si="1"/>
        <v/>
      </c>
      <c r="O1401" s="141" t="s">
        <v>133</v>
      </c>
      <c r="P1401" s="136" t="str">
        <f>IFERROR(__xludf.DUMMYFUNCTION("""COMPUTED_VALUE"""),"")</f>
        <v/>
      </c>
      <c r="Q1401" s="136" t="str">
        <f>IFERROR(__xludf.DUMMYFUNCTION("""COMPUTED_VALUE"""),"")</f>
        <v/>
      </c>
      <c r="R1401" s="106" t="str">
        <f>IFERROR(__xludf.DUMMYFUNCTION("""COMPUTED_VALUE"""),"")</f>
        <v/>
      </c>
      <c r="S1401" s="106" t="str">
        <f>IFERROR(__xludf.DUMMYFUNCTION("""COMPUTED_VALUE"""),"")</f>
        <v/>
      </c>
      <c r="T1401" s="139" t="str">
        <f>IFERROR(__xludf.DUMMYFUNCTION("""COMPUTED_VALUE"""),"")</f>
        <v/>
      </c>
      <c r="U1401" s="139" t="str">
        <f>IFERROR(__xludf.DUMMYFUNCTION("""COMPUTED_VALUE"""),"")</f>
        <v/>
      </c>
      <c r="V1401" s="136" t="str">
        <f>IFERROR(__xludf.DUMMYFUNCTION("""COMPUTED_VALUE"""),"")</f>
        <v/>
      </c>
      <c r="W1401" s="106" t="str">
        <f>IFERROR(__xludf.DUMMYFUNCTION("""COMPUTED_VALUE"""),"")</f>
        <v/>
      </c>
      <c r="X1401" s="143" t="str">
        <f t="shared" si="2"/>
        <v/>
      </c>
      <c r="Y1401" s="139" t="str">
        <f>IFERROR(__xludf.DUMMYFUNCTION("""COMPUTED_VALUE"""),"")</f>
        <v/>
      </c>
      <c r="Z1401" s="141" t="str">
        <f>IFERROR(__xludf.DUMMYFUNCTION("""COMPUTED_VALUE"""),"")</f>
        <v/>
      </c>
    </row>
    <row r="1402">
      <c r="D1402" s="136" t="str">
        <f t="shared" si="3"/>
        <v/>
      </c>
      <c r="E1402" s="152"/>
      <c r="F1402" s="106" t="s">
        <v>133</v>
      </c>
      <c r="G1402" s="152"/>
      <c r="H1402" s="106" t="s">
        <v>133</v>
      </c>
      <c r="J1402" s="139" t="s">
        <v>133</v>
      </c>
      <c r="K1402" s="136" t="s">
        <v>133</v>
      </c>
      <c r="L1402" s="153"/>
      <c r="M1402" s="136" t="str">
        <f t="shared" si="1"/>
        <v/>
      </c>
      <c r="O1402" s="141" t="s">
        <v>133</v>
      </c>
      <c r="P1402" s="136" t="str">
        <f>IFERROR(__xludf.DUMMYFUNCTION("""COMPUTED_VALUE"""),"")</f>
        <v/>
      </c>
      <c r="Q1402" s="136" t="str">
        <f>IFERROR(__xludf.DUMMYFUNCTION("""COMPUTED_VALUE"""),"")</f>
        <v/>
      </c>
      <c r="R1402" s="106" t="str">
        <f>IFERROR(__xludf.DUMMYFUNCTION("""COMPUTED_VALUE"""),"")</f>
        <v/>
      </c>
      <c r="S1402" s="106" t="str">
        <f>IFERROR(__xludf.DUMMYFUNCTION("""COMPUTED_VALUE"""),"")</f>
        <v/>
      </c>
      <c r="T1402" s="139" t="str">
        <f>IFERROR(__xludf.DUMMYFUNCTION("""COMPUTED_VALUE"""),"")</f>
        <v/>
      </c>
      <c r="U1402" s="139" t="str">
        <f>IFERROR(__xludf.DUMMYFUNCTION("""COMPUTED_VALUE"""),"")</f>
        <v/>
      </c>
      <c r="V1402" s="136" t="str">
        <f>IFERROR(__xludf.DUMMYFUNCTION("""COMPUTED_VALUE"""),"")</f>
        <v/>
      </c>
      <c r="W1402" s="106" t="str">
        <f>IFERROR(__xludf.DUMMYFUNCTION("""COMPUTED_VALUE"""),"")</f>
        <v/>
      </c>
      <c r="X1402" s="143" t="str">
        <f t="shared" si="2"/>
        <v/>
      </c>
      <c r="Y1402" s="139" t="str">
        <f>IFERROR(__xludf.DUMMYFUNCTION("""COMPUTED_VALUE"""),"")</f>
        <v/>
      </c>
      <c r="Z1402" s="141" t="str">
        <f>IFERROR(__xludf.DUMMYFUNCTION("""COMPUTED_VALUE"""),"")</f>
        <v/>
      </c>
    </row>
    <row r="1403">
      <c r="D1403" s="136" t="str">
        <f t="shared" si="3"/>
        <v/>
      </c>
      <c r="E1403" s="152"/>
      <c r="F1403" s="106" t="s">
        <v>133</v>
      </c>
      <c r="G1403" s="152"/>
      <c r="H1403" s="106" t="s">
        <v>133</v>
      </c>
      <c r="J1403" s="139" t="s">
        <v>133</v>
      </c>
      <c r="K1403" s="136" t="s">
        <v>133</v>
      </c>
      <c r="L1403" s="153"/>
      <c r="M1403" s="136" t="str">
        <f t="shared" si="1"/>
        <v/>
      </c>
      <c r="O1403" s="141" t="s">
        <v>133</v>
      </c>
      <c r="P1403" s="136" t="str">
        <f>IFERROR(__xludf.DUMMYFUNCTION("""COMPUTED_VALUE"""),"")</f>
        <v/>
      </c>
      <c r="Q1403" s="136" t="str">
        <f>IFERROR(__xludf.DUMMYFUNCTION("""COMPUTED_VALUE"""),"")</f>
        <v/>
      </c>
      <c r="R1403" s="106" t="str">
        <f>IFERROR(__xludf.DUMMYFUNCTION("""COMPUTED_VALUE"""),"")</f>
        <v/>
      </c>
      <c r="S1403" s="106" t="str">
        <f>IFERROR(__xludf.DUMMYFUNCTION("""COMPUTED_VALUE"""),"")</f>
        <v/>
      </c>
      <c r="T1403" s="139" t="str">
        <f>IFERROR(__xludf.DUMMYFUNCTION("""COMPUTED_VALUE"""),"")</f>
        <v/>
      </c>
      <c r="U1403" s="139" t="str">
        <f>IFERROR(__xludf.DUMMYFUNCTION("""COMPUTED_VALUE"""),"")</f>
        <v/>
      </c>
      <c r="V1403" s="136" t="str">
        <f>IFERROR(__xludf.DUMMYFUNCTION("""COMPUTED_VALUE"""),"")</f>
        <v/>
      </c>
      <c r="W1403" s="106" t="str">
        <f>IFERROR(__xludf.DUMMYFUNCTION("""COMPUTED_VALUE"""),"")</f>
        <v/>
      </c>
      <c r="X1403" s="143" t="str">
        <f t="shared" si="2"/>
        <v/>
      </c>
      <c r="Y1403" s="139" t="str">
        <f>IFERROR(__xludf.DUMMYFUNCTION("""COMPUTED_VALUE"""),"")</f>
        <v/>
      </c>
      <c r="Z1403" s="141" t="str">
        <f>IFERROR(__xludf.DUMMYFUNCTION("""COMPUTED_VALUE"""),"")</f>
        <v/>
      </c>
    </row>
    <row r="1404">
      <c r="D1404" s="136" t="str">
        <f t="shared" si="3"/>
        <v/>
      </c>
      <c r="E1404" s="152"/>
      <c r="F1404" s="106" t="s">
        <v>133</v>
      </c>
      <c r="G1404" s="152"/>
      <c r="H1404" s="106" t="s">
        <v>133</v>
      </c>
      <c r="J1404" s="139" t="s">
        <v>133</v>
      </c>
      <c r="K1404" s="136" t="s">
        <v>133</v>
      </c>
      <c r="L1404" s="153"/>
      <c r="M1404" s="136" t="str">
        <f t="shared" si="1"/>
        <v/>
      </c>
      <c r="O1404" s="141" t="s">
        <v>133</v>
      </c>
      <c r="P1404" s="136" t="str">
        <f>IFERROR(__xludf.DUMMYFUNCTION("""COMPUTED_VALUE"""),"")</f>
        <v/>
      </c>
      <c r="Q1404" s="136" t="str">
        <f>IFERROR(__xludf.DUMMYFUNCTION("""COMPUTED_VALUE"""),"")</f>
        <v/>
      </c>
      <c r="R1404" s="106" t="str">
        <f>IFERROR(__xludf.DUMMYFUNCTION("""COMPUTED_VALUE"""),"")</f>
        <v/>
      </c>
      <c r="S1404" s="106" t="str">
        <f>IFERROR(__xludf.DUMMYFUNCTION("""COMPUTED_VALUE"""),"")</f>
        <v/>
      </c>
      <c r="T1404" s="139" t="str">
        <f>IFERROR(__xludf.DUMMYFUNCTION("""COMPUTED_VALUE"""),"")</f>
        <v/>
      </c>
      <c r="U1404" s="139" t="str">
        <f>IFERROR(__xludf.DUMMYFUNCTION("""COMPUTED_VALUE"""),"")</f>
        <v/>
      </c>
      <c r="V1404" s="136" t="str">
        <f>IFERROR(__xludf.DUMMYFUNCTION("""COMPUTED_VALUE"""),"")</f>
        <v/>
      </c>
      <c r="W1404" s="106" t="str">
        <f>IFERROR(__xludf.DUMMYFUNCTION("""COMPUTED_VALUE"""),"")</f>
        <v/>
      </c>
      <c r="X1404" s="143" t="str">
        <f t="shared" si="2"/>
        <v/>
      </c>
      <c r="Y1404" s="139" t="str">
        <f>IFERROR(__xludf.DUMMYFUNCTION("""COMPUTED_VALUE"""),"")</f>
        <v/>
      </c>
      <c r="Z1404" s="141" t="str">
        <f>IFERROR(__xludf.DUMMYFUNCTION("""COMPUTED_VALUE"""),"")</f>
        <v/>
      </c>
    </row>
    <row r="1405">
      <c r="D1405" s="136" t="str">
        <f t="shared" si="3"/>
        <v/>
      </c>
      <c r="E1405" s="152"/>
      <c r="F1405" s="106" t="s">
        <v>133</v>
      </c>
      <c r="G1405" s="152"/>
      <c r="H1405" s="106" t="s">
        <v>133</v>
      </c>
      <c r="J1405" s="139" t="s">
        <v>133</v>
      </c>
      <c r="K1405" s="136" t="s">
        <v>133</v>
      </c>
      <c r="L1405" s="153"/>
      <c r="M1405" s="136" t="str">
        <f t="shared" si="1"/>
        <v/>
      </c>
      <c r="O1405" s="141" t="s">
        <v>133</v>
      </c>
      <c r="P1405" s="136" t="str">
        <f>IFERROR(__xludf.DUMMYFUNCTION("""COMPUTED_VALUE"""),"")</f>
        <v/>
      </c>
      <c r="Q1405" s="136" t="str">
        <f>IFERROR(__xludf.DUMMYFUNCTION("""COMPUTED_VALUE"""),"")</f>
        <v/>
      </c>
      <c r="R1405" s="106" t="str">
        <f>IFERROR(__xludf.DUMMYFUNCTION("""COMPUTED_VALUE"""),"")</f>
        <v/>
      </c>
      <c r="S1405" s="106" t="str">
        <f>IFERROR(__xludf.DUMMYFUNCTION("""COMPUTED_VALUE"""),"")</f>
        <v/>
      </c>
      <c r="T1405" s="139" t="str">
        <f>IFERROR(__xludf.DUMMYFUNCTION("""COMPUTED_VALUE"""),"")</f>
        <v/>
      </c>
      <c r="U1405" s="139" t="str">
        <f>IFERROR(__xludf.DUMMYFUNCTION("""COMPUTED_VALUE"""),"")</f>
        <v/>
      </c>
      <c r="V1405" s="136" t="str">
        <f>IFERROR(__xludf.DUMMYFUNCTION("""COMPUTED_VALUE"""),"")</f>
        <v/>
      </c>
      <c r="W1405" s="106" t="str">
        <f>IFERROR(__xludf.DUMMYFUNCTION("""COMPUTED_VALUE"""),"")</f>
        <v/>
      </c>
      <c r="X1405" s="143" t="str">
        <f t="shared" si="2"/>
        <v/>
      </c>
      <c r="Y1405" s="139" t="str">
        <f>IFERROR(__xludf.DUMMYFUNCTION("""COMPUTED_VALUE"""),"")</f>
        <v/>
      </c>
      <c r="Z1405" s="141" t="str">
        <f>IFERROR(__xludf.DUMMYFUNCTION("""COMPUTED_VALUE"""),"")</f>
        <v/>
      </c>
    </row>
    <row r="1406">
      <c r="D1406" s="136" t="str">
        <f t="shared" si="3"/>
        <v/>
      </c>
      <c r="E1406" s="152"/>
      <c r="F1406" s="106" t="s">
        <v>133</v>
      </c>
      <c r="G1406" s="152"/>
      <c r="H1406" s="106" t="s">
        <v>133</v>
      </c>
      <c r="J1406" s="139" t="s">
        <v>133</v>
      </c>
      <c r="K1406" s="136" t="s">
        <v>133</v>
      </c>
      <c r="L1406" s="153"/>
      <c r="M1406" s="136" t="str">
        <f t="shared" si="1"/>
        <v/>
      </c>
      <c r="O1406" s="141" t="s">
        <v>133</v>
      </c>
      <c r="P1406" s="136" t="str">
        <f>IFERROR(__xludf.DUMMYFUNCTION("""COMPUTED_VALUE"""),"")</f>
        <v/>
      </c>
      <c r="Q1406" s="136" t="str">
        <f>IFERROR(__xludf.DUMMYFUNCTION("""COMPUTED_VALUE"""),"")</f>
        <v/>
      </c>
      <c r="R1406" s="106" t="str">
        <f>IFERROR(__xludf.DUMMYFUNCTION("""COMPUTED_VALUE"""),"")</f>
        <v/>
      </c>
      <c r="S1406" s="106" t="str">
        <f>IFERROR(__xludf.DUMMYFUNCTION("""COMPUTED_VALUE"""),"")</f>
        <v/>
      </c>
      <c r="T1406" s="139" t="str">
        <f>IFERROR(__xludf.DUMMYFUNCTION("""COMPUTED_VALUE"""),"")</f>
        <v/>
      </c>
      <c r="U1406" s="139" t="str">
        <f>IFERROR(__xludf.DUMMYFUNCTION("""COMPUTED_VALUE"""),"")</f>
        <v/>
      </c>
      <c r="V1406" s="136" t="str">
        <f>IFERROR(__xludf.DUMMYFUNCTION("""COMPUTED_VALUE"""),"")</f>
        <v/>
      </c>
      <c r="W1406" s="106" t="str">
        <f>IFERROR(__xludf.DUMMYFUNCTION("""COMPUTED_VALUE"""),"")</f>
        <v/>
      </c>
      <c r="X1406" s="143" t="str">
        <f t="shared" si="2"/>
        <v/>
      </c>
      <c r="Y1406" s="139" t="str">
        <f>IFERROR(__xludf.DUMMYFUNCTION("""COMPUTED_VALUE"""),"")</f>
        <v/>
      </c>
      <c r="Z1406" s="141" t="str">
        <f>IFERROR(__xludf.DUMMYFUNCTION("""COMPUTED_VALUE"""),"")</f>
        <v/>
      </c>
    </row>
    <row r="1407">
      <c r="D1407" s="136" t="str">
        <f t="shared" si="3"/>
        <v/>
      </c>
      <c r="E1407" s="152"/>
      <c r="F1407" s="106" t="s">
        <v>133</v>
      </c>
      <c r="G1407" s="152"/>
      <c r="H1407" s="106" t="s">
        <v>133</v>
      </c>
      <c r="J1407" s="139" t="s">
        <v>133</v>
      </c>
      <c r="K1407" s="136" t="s">
        <v>133</v>
      </c>
      <c r="L1407" s="153"/>
      <c r="M1407" s="136" t="str">
        <f t="shared" si="1"/>
        <v/>
      </c>
      <c r="O1407" s="141" t="s">
        <v>133</v>
      </c>
      <c r="P1407" s="136" t="str">
        <f>IFERROR(__xludf.DUMMYFUNCTION("""COMPUTED_VALUE"""),"")</f>
        <v/>
      </c>
      <c r="Q1407" s="136" t="str">
        <f>IFERROR(__xludf.DUMMYFUNCTION("""COMPUTED_VALUE"""),"")</f>
        <v/>
      </c>
      <c r="R1407" s="106" t="str">
        <f>IFERROR(__xludf.DUMMYFUNCTION("""COMPUTED_VALUE"""),"")</f>
        <v/>
      </c>
      <c r="S1407" s="106" t="str">
        <f>IFERROR(__xludf.DUMMYFUNCTION("""COMPUTED_VALUE"""),"")</f>
        <v/>
      </c>
      <c r="T1407" s="139" t="str">
        <f>IFERROR(__xludf.DUMMYFUNCTION("""COMPUTED_VALUE"""),"")</f>
        <v/>
      </c>
      <c r="U1407" s="139" t="str">
        <f>IFERROR(__xludf.DUMMYFUNCTION("""COMPUTED_VALUE"""),"")</f>
        <v/>
      </c>
      <c r="V1407" s="136" t="str">
        <f>IFERROR(__xludf.DUMMYFUNCTION("""COMPUTED_VALUE"""),"")</f>
        <v/>
      </c>
      <c r="W1407" s="106" t="str">
        <f>IFERROR(__xludf.DUMMYFUNCTION("""COMPUTED_VALUE"""),"")</f>
        <v/>
      </c>
      <c r="X1407" s="143" t="str">
        <f t="shared" si="2"/>
        <v/>
      </c>
      <c r="Y1407" s="139" t="str">
        <f>IFERROR(__xludf.DUMMYFUNCTION("""COMPUTED_VALUE"""),"")</f>
        <v/>
      </c>
      <c r="Z1407" s="141" t="str">
        <f>IFERROR(__xludf.DUMMYFUNCTION("""COMPUTED_VALUE"""),"")</f>
        <v/>
      </c>
    </row>
    <row r="1408">
      <c r="D1408" s="136" t="str">
        <f t="shared" si="3"/>
        <v/>
      </c>
      <c r="E1408" s="152"/>
      <c r="F1408" s="106" t="s">
        <v>133</v>
      </c>
      <c r="G1408" s="152"/>
      <c r="H1408" s="106" t="s">
        <v>133</v>
      </c>
      <c r="J1408" s="139" t="s">
        <v>133</v>
      </c>
      <c r="K1408" s="136" t="s">
        <v>133</v>
      </c>
      <c r="L1408" s="153"/>
      <c r="M1408" s="136" t="str">
        <f t="shared" si="1"/>
        <v/>
      </c>
      <c r="O1408" s="141" t="s">
        <v>133</v>
      </c>
      <c r="P1408" s="136" t="str">
        <f>IFERROR(__xludf.DUMMYFUNCTION("""COMPUTED_VALUE"""),"")</f>
        <v/>
      </c>
      <c r="Q1408" s="136" t="str">
        <f>IFERROR(__xludf.DUMMYFUNCTION("""COMPUTED_VALUE"""),"")</f>
        <v/>
      </c>
      <c r="R1408" s="106" t="str">
        <f>IFERROR(__xludf.DUMMYFUNCTION("""COMPUTED_VALUE"""),"")</f>
        <v/>
      </c>
      <c r="S1408" s="106" t="str">
        <f>IFERROR(__xludf.DUMMYFUNCTION("""COMPUTED_VALUE"""),"")</f>
        <v/>
      </c>
      <c r="T1408" s="139" t="str">
        <f>IFERROR(__xludf.DUMMYFUNCTION("""COMPUTED_VALUE"""),"")</f>
        <v/>
      </c>
      <c r="U1408" s="139" t="str">
        <f>IFERROR(__xludf.DUMMYFUNCTION("""COMPUTED_VALUE"""),"")</f>
        <v/>
      </c>
      <c r="V1408" s="136" t="str">
        <f>IFERROR(__xludf.DUMMYFUNCTION("""COMPUTED_VALUE"""),"")</f>
        <v/>
      </c>
      <c r="W1408" s="106" t="str">
        <f>IFERROR(__xludf.DUMMYFUNCTION("""COMPUTED_VALUE"""),"")</f>
        <v/>
      </c>
      <c r="X1408" s="143" t="str">
        <f t="shared" si="2"/>
        <v/>
      </c>
      <c r="Y1408" s="139" t="str">
        <f>IFERROR(__xludf.DUMMYFUNCTION("""COMPUTED_VALUE"""),"")</f>
        <v/>
      </c>
      <c r="Z1408" s="141" t="str">
        <f>IFERROR(__xludf.DUMMYFUNCTION("""COMPUTED_VALUE"""),"")</f>
        <v/>
      </c>
    </row>
    <row r="1409">
      <c r="D1409" s="136" t="str">
        <f t="shared" si="3"/>
        <v/>
      </c>
      <c r="E1409" s="152"/>
      <c r="F1409" s="106" t="s">
        <v>133</v>
      </c>
      <c r="G1409" s="152"/>
      <c r="H1409" s="106" t="s">
        <v>133</v>
      </c>
      <c r="J1409" s="139" t="s">
        <v>133</v>
      </c>
      <c r="K1409" s="136" t="s">
        <v>133</v>
      </c>
      <c r="L1409" s="153"/>
      <c r="M1409" s="136" t="str">
        <f t="shared" si="1"/>
        <v/>
      </c>
      <c r="O1409" s="141" t="s">
        <v>133</v>
      </c>
      <c r="P1409" s="136" t="str">
        <f>IFERROR(__xludf.DUMMYFUNCTION("""COMPUTED_VALUE"""),"")</f>
        <v/>
      </c>
      <c r="Q1409" s="136" t="str">
        <f>IFERROR(__xludf.DUMMYFUNCTION("""COMPUTED_VALUE"""),"")</f>
        <v/>
      </c>
      <c r="R1409" s="106" t="str">
        <f>IFERROR(__xludf.DUMMYFUNCTION("""COMPUTED_VALUE"""),"")</f>
        <v/>
      </c>
      <c r="S1409" s="106" t="str">
        <f>IFERROR(__xludf.DUMMYFUNCTION("""COMPUTED_VALUE"""),"")</f>
        <v/>
      </c>
      <c r="T1409" s="139" t="str">
        <f>IFERROR(__xludf.DUMMYFUNCTION("""COMPUTED_VALUE"""),"")</f>
        <v/>
      </c>
      <c r="U1409" s="139" t="str">
        <f>IFERROR(__xludf.DUMMYFUNCTION("""COMPUTED_VALUE"""),"")</f>
        <v/>
      </c>
      <c r="V1409" s="136" t="str">
        <f>IFERROR(__xludf.DUMMYFUNCTION("""COMPUTED_VALUE"""),"")</f>
        <v/>
      </c>
      <c r="W1409" s="106" t="str">
        <f>IFERROR(__xludf.DUMMYFUNCTION("""COMPUTED_VALUE"""),"")</f>
        <v/>
      </c>
      <c r="X1409" s="143" t="str">
        <f t="shared" si="2"/>
        <v/>
      </c>
      <c r="Y1409" s="139" t="str">
        <f>IFERROR(__xludf.DUMMYFUNCTION("""COMPUTED_VALUE"""),"")</f>
        <v/>
      </c>
      <c r="Z1409" s="141" t="str">
        <f>IFERROR(__xludf.DUMMYFUNCTION("""COMPUTED_VALUE"""),"")</f>
        <v/>
      </c>
    </row>
    <row r="1410">
      <c r="D1410" s="136" t="str">
        <f t="shared" si="3"/>
        <v/>
      </c>
      <c r="E1410" s="152"/>
      <c r="F1410" s="106" t="s">
        <v>133</v>
      </c>
      <c r="G1410" s="152"/>
      <c r="H1410" s="106" t="s">
        <v>133</v>
      </c>
      <c r="J1410" s="139" t="s">
        <v>133</v>
      </c>
      <c r="K1410" s="136" t="s">
        <v>133</v>
      </c>
      <c r="L1410" s="153"/>
      <c r="M1410" s="136" t="str">
        <f t="shared" si="1"/>
        <v/>
      </c>
      <c r="O1410" s="141" t="s">
        <v>133</v>
      </c>
      <c r="P1410" s="136" t="str">
        <f>IFERROR(__xludf.DUMMYFUNCTION("""COMPUTED_VALUE"""),"")</f>
        <v/>
      </c>
      <c r="Q1410" s="136" t="str">
        <f>IFERROR(__xludf.DUMMYFUNCTION("""COMPUTED_VALUE"""),"")</f>
        <v/>
      </c>
      <c r="R1410" s="106" t="str">
        <f>IFERROR(__xludf.DUMMYFUNCTION("""COMPUTED_VALUE"""),"")</f>
        <v/>
      </c>
      <c r="S1410" s="106" t="str">
        <f>IFERROR(__xludf.DUMMYFUNCTION("""COMPUTED_VALUE"""),"")</f>
        <v/>
      </c>
      <c r="T1410" s="139" t="str">
        <f>IFERROR(__xludf.DUMMYFUNCTION("""COMPUTED_VALUE"""),"")</f>
        <v/>
      </c>
      <c r="U1410" s="139" t="str">
        <f>IFERROR(__xludf.DUMMYFUNCTION("""COMPUTED_VALUE"""),"")</f>
        <v/>
      </c>
      <c r="V1410" s="136" t="str">
        <f>IFERROR(__xludf.DUMMYFUNCTION("""COMPUTED_VALUE"""),"")</f>
        <v/>
      </c>
      <c r="W1410" s="106" t="str">
        <f>IFERROR(__xludf.DUMMYFUNCTION("""COMPUTED_VALUE"""),"")</f>
        <v/>
      </c>
      <c r="X1410" s="143" t="str">
        <f t="shared" si="2"/>
        <v/>
      </c>
      <c r="Y1410" s="139" t="str">
        <f>IFERROR(__xludf.DUMMYFUNCTION("""COMPUTED_VALUE"""),"")</f>
        <v/>
      </c>
      <c r="Z1410" s="141" t="str">
        <f>IFERROR(__xludf.DUMMYFUNCTION("""COMPUTED_VALUE"""),"")</f>
        <v/>
      </c>
    </row>
    <row r="1411">
      <c r="D1411" s="136" t="str">
        <f t="shared" si="3"/>
        <v/>
      </c>
      <c r="E1411" s="152"/>
      <c r="F1411" s="106" t="s">
        <v>133</v>
      </c>
      <c r="G1411" s="152"/>
      <c r="H1411" s="106" t="s">
        <v>133</v>
      </c>
      <c r="J1411" s="139" t="s">
        <v>133</v>
      </c>
      <c r="K1411" s="136" t="s">
        <v>133</v>
      </c>
      <c r="L1411" s="153"/>
      <c r="M1411" s="136" t="str">
        <f t="shared" si="1"/>
        <v/>
      </c>
      <c r="O1411" s="141" t="s">
        <v>133</v>
      </c>
      <c r="P1411" s="136" t="str">
        <f>IFERROR(__xludf.DUMMYFUNCTION("""COMPUTED_VALUE"""),"")</f>
        <v/>
      </c>
      <c r="Q1411" s="136" t="str">
        <f>IFERROR(__xludf.DUMMYFUNCTION("""COMPUTED_VALUE"""),"")</f>
        <v/>
      </c>
      <c r="R1411" s="106" t="str">
        <f>IFERROR(__xludf.DUMMYFUNCTION("""COMPUTED_VALUE"""),"")</f>
        <v/>
      </c>
      <c r="S1411" s="106" t="str">
        <f>IFERROR(__xludf.DUMMYFUNCTION("""COMPUTED_VALUE"""),"")</f>
        <v/>
      </c>
      <c r="T1411" s="139" t="str">
        <f>IFERROR(__xludf.DUMMYFUNCTION("""COMPUTED_VALUE"""),"")</f>
        <v/>
      </c>
      <c r="U1411" s="139" t="str">
        <f>IFERROR(__xludf.DUMMYFUNCTION("""COMPUTED_VALUE"""),"")</f>
        <v/>
      </c>
      <c r="V1411" s="136" t="str">
        <f>IFERROR(__xludf.DUMMYFUNCTION("""COMPUTED_VALUE"""),"")</f>
        <v/>
      </c>
      <c r="W1411" s="106" t="str">
        <f>IFERROR(__xludf.DUMMYFUNCTION("""COMPUTED_VALUE"""),"")</f>
        <v/>
      </c>
      <c r="X1411" s="143" t="str">
        <f t="shared" si="2"/>
        <v/>
      </c>
      <c r="Y1411" s="139" t="str">
        <f>IFERROR(__xludf.DUMMYFUNCTION("""COMPUTED_VALUE"""),"")</f>
        <v/>
      </c>
      <c r="Z1411" s="141" t="str">
        <f>IFERROR(__xludf.DUMMYFUNCTION("""COMPUTED_VALUE"""),"")</f>
        <v/>
      </c>
    </row>
    <row r="1412">
      <c r="D1412" s="136" t="str">
        <f t="shared" si="3"/>
        <v/>
      </c>
      <c r="E1412" s="152"/>
      <c r="F1412" s="106" t="s">
        <v>133</v>
      </c>
      <c r="G1412" s="152"/>
      <c r="H1412" s="106" t="s">
        <v>133</v>
      </c>
      <c r="J1412" s="139" t="s">
        <v>133</v>
      </c>
      <c r="K1412" s="136" t="s">
        <v>133</v>
      </c>
      <c r="L1412" s="153"/>
      <c r="M1412" s="136" t="str">
        <f t="shared" si="1"/>
        <v/>
      </c>
      <c r="O1412" s="141" t="s">
        <v>133</v>
      </c>
      <c r="P1412" s="136" t="str">
        <f>IFERROR(__xludf.DUMMYFUNCTION("""COMPUTED_VALUE"""),"")</f>
        <v/>
      </c>
      <c r="Q1412" s="136" t="str">
        <f>IFERROR(__xludf.DUMMYFUNCTION("""COMPUTED_VALUE"""),"")</f>
        <v/>
      </c>
      <c r="R1412" s="106" t="str">
        <f>IFERROR(__xludf.DUMMYFUNCTION("""COMPUTED_VALUE"""),"")</f>
        <v/>
      </c>
      <c r="S1412" s="106" t="str">
        <f>IFERROR(__xludf.DUMMYFUNCTION("""COMPUTED_VALUE"""),"")</f>
        <v/>
      </c>
      <c r="T1412" s="139" t="str">
        <f>IFERROR(__xludf.DUMMYFUNCTION("""COMPUTED_VALUE"""),"")</f>
        <v/>
      </c>
      <c r="U1412" s="139" t="str">
        <f>IFERROR(__xludf.DUMMYFUNCTION("""COMPUTED_VALUE"""),"")</f>
        <v/>
      </c>
      <c r="V1412" s="136" t="str">
        <f>IFERROR(__xludf.DUMMYFUNCTION("""COMPUTED_VALUE"""),"")</f>
        <v/>
      </c>
      <c r="W1412" s="106" t="str">
        <f>IFERROR(__xludf.DUMMYFUNCTION("""COMPUTED_VALUE"""),"")</f>
        <v/>
      </c>
      <c r="X1412" s="143" t="str">
        <f t="shared" si="2"/>
        <v/>
      </c>
      <c r="Y1412" s="139" t="str">
        <f>IFERROR(__xludf.DUMMYFUNCTION("""COMPUTED_VALUE"""),"")</f>
        <v/>
      </c>
      <c r="Z1412" s="141" t="str">
        <f>IFERROR(__xludf.DUMMYFUNCTION("""COMPUTED_VALUE"""),"")</f>
        <v/>
      </c>
    </row>
    <row r="1413">
      <c r="D1413" s="136" t="str">
        <f t="shared" si="3"/>
        <v/>
      </c>
      <c r="E1413" s="152"/>
      <c r="F1413" s="106" t="s">
        <v>133</v>
      </c>
      <c r="G1413" s="152"/>
      <c r="H1413" s="106" t="s">
        <v>133</v>
      </c>
      <c r="J1413" s="139" t="s">
        <v>133</v>
      </c>
      <c r="K1413" s="136" t="s">
        <v>133</v>
      </c>
      <c r="L1413" s="153"/>
      <c r="M1413" s="136" t="str">
        <f t="shared" si="1"/>
        <v/>
      </c>
      <c r="O1413" s="141" t="s">
        <v>133</v>
      </c>
      <c r="P1413" s="136" t="str">
        <f>IFERROR(__xludf.DUMMYFUNCTION("""COMPUTED_VALUE"""),"")</f>
        <v/>
      </c>
      <c r="Q1413" s="136" t="str">
        <f>IFERROR(__xludf.DUMMYFUNCTION("""COMPUTED_VALUE"""),"")</f>
        <v/>
      </c>
      <c r="R1413" s="106" t="str">
        <f>IFERROR(__xludf.DUMMYFUNCTION("""COMPUTED_VALUE"""),"")</f>
        <v/>
      </c>
      <c r="S1413" s="106" t="str">
        <f>IFERROR(__xludf.DUMMYFUNCTION("""COMPUTED_VALUE"""),"")</f>
        <v/>
      </c>
      <c r="T1413" s="139" t="str">
        <f>IFERROR(__xludf.DUMMYFUNCTION("""COMPUTED_VALUE"""),"")</f>
        <v/>
      </c>
      <c r="U1413" s="139" t="str">
        <f>IFERROR(__xludf.DUMMYFUNCTION("""COMPUTED_VALUE"""),"")</f>
        <v/>
      </c>
      <c r="V1413" s="136" t="str">
        <f>IFERROR(__xludf.DUMMYFUNCTION("""COMPUTED_VALUE"""),"")</f>
        <v/>
      </c>
      <c r="W1413" s="106" t="str">
        <f>IFERROR(__xludf.DUMMYFUNCTION("""COMPUTED_VALUE"""),"")</f>
        <v/>
      </c>
      <c r="X1413" s="143" t="str">
        <f t="shared" si="2"/>
        <v/>
      </c>
      <c r="Y1413" s="139" t="str">
        <f>IFERROR(__xludf.DUMMYFUNCTION("""COMPUTED_VALUE"""),"")</f>
        <v/>
      </c>
      <c r="Z1413" s="141" t="str">
        <f>IFERROR(__xludf.DUMMYFUNCTION("""COMPUTED_VALUE"""),"")</f>
        <v/>
      </c>
    </row>
    <row r="1414">
      <c r="D1414" s="136" t="str">
        <f t="shared" si="3"/>
        <v/>
      </c>
      <c r="E1414" s="152"/>
      <c r="F1414" s="106" t="s">
        <v>133</v>
      </c>
      <c r="G1414" s="152"/>
      <c r="H1414" s="106" t="s">
        <v>133</v>
      </c>
      <c r="J1414" s="139" t="s">
        <v>133</v>
      </c>
      <c r="K1414" s="136" t="s">
        <v>133</v>
      </c>
      <c r="L1414" s="153"/>
      <c r="M1414" s="136" t="str">
        <f t="shared" si="1"/>
        <v/>
      </c>
      <c r="O1414" s="141" t="s">
        <v>133</v>
      </c>
      <c r="P1414" s="136" t="str">
        <f>IFERROR(__xludf.DUMMYFUNCTION("""COMPUTED_VALUE"""),"")</f>
        <v/>
      </c>
      <c r="Q1414" s="136" t="str">
        <f>IFERROR(__xludf.DUMMYFUNCTION("""COMPUTED_VALUE"""),"")</f>
        <v/>
      </c>
      <c r="R1414" s="106" t="str">
        <f>IFERROR(__xludf.DUMMYFUNCTION("""COMPUTED_VALUE"""),"")</f>
        <v/>
      </c>
      <c r="S1414" s="106" t="str">
        <f>IFERROR(__xludf.DUMMYFUNCTION("""COMPUTED_VALUE"""),"")</f>
        <v/>
      </c>
      <c r="T1414" s="139" t="str">
        <f>IFERROR(__xludf.DUMMYFUNCTION("""COMPUTED_VALUE"""),"")</f>
        <v/>
      </c>
      <c r="U1414" s="139" t="str">
        <f>IFERROR(__xludf.DUMMYFUNCTION("""COMPUTED_VALUE"""),"")</f>
        <v/>
      </c>
      <c r="V1414" s="136" t="str">
        <f>IFERROR(__xludf.DUMMYFUNCTION("""COMPUTED_VALUE"""),"")</f>
        <v/>
      </c>
      <c r="W1414" s="106" t="str">
        <f>IFERROR(__xludf.DUMMYFUNCTION("""COMPUTED_VALUE"""),"")</f>
        <v/>
      </c>
      <c r="X1414" s="143" t="str">
        <f t="shared" si="2"/>
        <v/>
      </c>
      <c r="Y1414" s="139" t="str">
        <f>IFERROR(__xludf.DUMMYFUNCTION("""COMPUTED_VALUE"""),"")</f>
        <v/>
      </c>
      <c r="Z1414" s="141" t="str">
        <f>IFERROR(__xludf.DUMMYFUNCTION("""COMPUTED_VALUE"""),"")</f>
        <v/>
      </c>
    </row>
    <row r="1415">
      <c r="D1415" s="136" t="str">
        <f t="shared" si="3"/>
        <v/>
      </c>
      <c r="E1415" s="152"/>
      <c r="F1415" s="106" t="s">
        <v>133</v>
      </c>
      <c r="G1415" s="152"/>
      <c r="H1415" s="106" t="s">
        <v>133</v>
      </c>
      <c r="J1415" s="139" t="s">
        <v>133</v>
      </c>
      <c r="K1415" s="136" t="s">
        <v>133</v>
      </c>
      <c r="L1415" s="153"/>
      <c r="M1415" s="136" t="str">
        <f t="shared" si="1"/>
        <v/>
      </c>
      <c r="O1415" s="141" t="s">
        <v>133</v>
      </c>
      <c r="P1415" s="136" t="str">
        <f>IFERROR(__xludf.DUMMYFUNCTION("""COMPUTED_VALUE"""),"")</f>
        <v/>
      </c>
      <c r="Q1415" s="136" t="str">
        <f>IFERROR(__xludf.DUMMYFUNCTION("""COMPUTED_VALUE"""),"")</f>
        <v/>
      </c>
      <c r="R1415" s="106" t="str">
        <f>IFERROR(__xludf.DUMMYFUNCTION("""COMPUTED_VALUE"""),"")</f>
        <v/>
      </c>
      <c r="S1415" s="106" t="str">
        <f>IFERROR(__xludf.DUMMYFUNCTION("""COMPUTED_VALUE"""),"")</f>
        <v/>
      </c>
      <c r="T1415" s="139" t="str">
        <f>IFERROR(__xludf.DUMMYFUNCTION("""COMPUTED_VALUE"""),"")</f>
        <v/>
      </c>
      <c r="U1415" s="139" t="str">
        <f>IFERROR(__xludf.DUMMYFUNCTION("""COMPUTED_VALUE"""),"")</f>
        <v/>
      </c>
      <c r="V1415" s="136" t="str">
        <f>IFERROR(__xludf.DUMMYFUNCTION("""COMPUTED_VALUE"""),"")</f>
        <v/>
      </c>
      <c r="W1415" s="106" t="str">
        <f>IFERROR(__xludf.DUMMYFUNCTION("""COMPUTED_VALUE"""),"")</f>
        <v/>
      </c>
      <c r="X1415" s="143" t="str">
        <f t="shared" si="2"/>
        <v/>
      </c>
      <c r="Y1415" s="139" t="str">
        <f>IFERROR(__xludf.DUMMYFUNCTION("""COMPUTED_VALUE"""),"")</f>
        <v/>
      </c>
      <c r="Z1415" s="141" t="str">
        <f>IFERROR(__xludf.DUMMYFUNCTION("""COMPUTED_VALUE"""),"")</f>
        <v/>
      </c>
    </row>
    <row r="1416">
      <c r="D1416" s="136" t="str">
        <f t="shared" si="3"/>
        <v/>
      </c>
      <c r="E1416" s="152"/>
      <c r="F1416" s="106" t="s">
        <v>133</v>
      </c>
      <c r="G1416" s="152"/>
      <c r="H1416" s="106" t="s">
        <v>133</v>
      </c>
      <c r="J1416" s="139" t="s">
        <v>133</v>
      </c>
      <c r="K1416" s="136" t="s">
        <v>133</v>
      </c>
      <c r="L1416" s="153"/>
      <c r="M1416" s="136" t="str">
        <f t="shared" si="1"/>
        <v/>
      </c>
      <c r="O1416" s="141" t="s">
        <v>133</v>
      </c>
      <c r="P1416" s="136" t="str">
        <f>IFERROR(__xludf.DUMMYFUNCTION("""COMPUTED_VALUE"""),"")</f>
        <v/>
      </c>
      <c r="Q1416" s="136" t="str">
        <f>IFERROR(__xludf.DUMMYFUNCTION("""COMPUTED_VALUE"""),"")</f>
        <v/>
      </c>
      <c r="R1416" s="106" t="str">
        <f>IFERROR(__xludf.DUMMYFUNCTION("""COMPUTED_VALUE"""),"")</f>
        <v/>
      </c>
      <c r="S1416" s="106" t="str">
        <f>IFERROR(__xludf.DUMMYFUNCTION("""COMPUTED_VALUE"""),"")</f>
        <v/>
      </c>
      <c r="T1416" s="139" t="str">
        <f>IFERROR(__xludf.DUMMYFUNCTION("""COMPUTED_VALUE"""),"")</f>
        <v/>
      </c>
      <c r="U1416" s="139" t="str">
        <f>IFERROR(__xludf.DUMMYFUNCTION("""COMPUTED_VALUE"""),"")</f>
        <v/>
      </c>
      <c r="V1416" s="136" t="str">
        <f>IFERROR(__xludf.DUMMYFUNCTION("""COMPUTED_VALUE"""),"")</f>
        <v/>
      </c>
      <c r="W1416" s="106" t="str">
        <f>IFERROR(__xludf.DUMMYFUNCTION("""COMPUTED_VALUE"""),"")</f>
        <v/>
      </c>
      <c r="X1416" s="143" t="str">
        <f t="shared" si="2"/>
        <v/>
      </c>
      <c r="Y1416" s="139" t="str">
        <f>IFERROR(__xludf.DUMMYFUNCTION("""COMPUTED_VALUE"""),"")</f>
        <v/>
      </c>
      <c r="Z1416" s="141" t="str">
        <f>IFERROR(__xludf.DUMMYFUNCTION("""COMPUTED_VALUE"""),"")</f>
        <v/>
      </c>
    </row>
    <row r="1417">
      <c r="D1417" s="136" t="str">
        <f t="shared" si="3"/>
        <v/>
      </c>
      <c r="E1417" s="152"/>
      <c r="F1417" s="106" t="s">
        <v>133</v>
      </c>
      <c r="G1417" s="152"/>
      <c r="H1417" s="106" t="s">
        <v>133</v>
      </c>
      <c r="J1417" s="139" t="s">
        <v>133</v>
      </c>
      <c r="K1417" s="136" t="s">
        <v>133</v>
      </c>
      <c r="L1417" s="153"/>
      <c r="M1417" s="136" t="str">
        <f t="shared" si="1"/>
        <v/>
      </c>
      <c r="O1417" s="141" t="s">
        <v>133</v>
      </c>
      <c r="P1417" s="136" t="str">
        <f>IFERROR(__xludf.DUMMYFUNCTION("""COMPUTED_VALUE"""),"")</f>
        <v/>
      </c>
      <c r="Q1417" s="136" t="str">
        <f>IFERROR(__xludf.DUMMYFUNCTION("""COMPUTED_VALUE"""),"")</f>
        <v/>
      </c>
      <c r="R1417" s="106" t="str">
        <f>IFERROR(__xludf.DUMMYFUNCTION("""COMPUTED_VALUE"""),"")</f>
        <v/>
      </c>
      <c r="S1417" s="106" t="str">
        <f>IFERROR(__xludf.DUMMYFUNCTION("""COMPUTED_VALUE"""),"")</f>
        <v/>
      </c>
      <c r="T1417" s="139" t="str">
        <f>IFERROR(__xludf.DUMMYFUNCTION("""COMPUTED_VALUE"""),"")</f>
        <v/>
      </c>
      <c r="U1417" s="139" t="str">
        <f>IFERROR(__xludf.DUMMYFUNCTION("""COMPUTED_VALUE"""),"")</f>
        <v/>
      </c>
      <c r="V1417" s="136" t="str">
        <f>IFERROR(__xludf.DUMMYFUNCTION("""COMPUTED_VALUE"""),"")</f>
        <v/>
      </c>
      <c r="W1417" s="106" t="str">
        <f>IFERROR(__xludf.DUMMYFUNCTION("""COMPUTED_VALUE"""),"")</f>
        <v/>
      </c>
      <c r="X1417" s="143" t="str">
        <f t="shared" si="2"/>
        <v/>
      </c>
      <c r="Y1417" s="139" t="str">
        <f>IFERROR(__xludf.DUMMYFUNCTION("""COMPUTED_VALUE"""),"")</f>
        <v/>
      </c>
      <c r="Z1417" s="141" t="str">
        <f>IFERROR(__xludf.DUMMYFUNCTION("""COMPUTED_VALUE"""),"")</f>
        <v/>
      </c>
    </row>
    <row r="1418">
      <c r="D1418" s="136" t="str">
        <f t="shared" si="3"/>
        <v/>
      </c>
      <c r="E1418" s="152"/>
      <c r="F1418" s="106" t="s">
        <v>133</v>
      </c>
      <c r="G1418" s="152"/>
      <c r="H1418" s="106" t="s">
        <v>133</v>
      </c>
      <c r="J1418" s="139" t="s">
        <v>133</v>
      </c>
      <c r="K1418" s="136" t="s">
        <v>133</v>
      </c>
      <c r="L1418" s="153"/>
      <c r="M1418" s="136" t="str">
        <f t="shared" si="1"/>
        <v/>
      </c>
      <c r="O1418" s="141" t="s">
        <v>133</v>
      </c>
      <c r="P1418" s="136" t="str">
        <f>IFERROR(__xludf.DUMMYFUNCTION("""COMPUTED_VALUE"""),"")</f>
        <v/>
      </c>
      <c r="Q1418" s="136" t="str">
        <f>IFERROR(__xludf.DUMMYFUNCTION("""COMPUTED_VALUE"""),"")</f>
        <v/>
      </c>
      <c r="R1418" s="106" t="str">
        <f>IFERROR(__xludf.DUMMYFUNCTION("""COMPUTED_VALUE"""),"")</f>
        <v/>
      </c>
      <c r="S1418" s="106" t="str">
        <f>IFERROR(__xludf.DUMMYFUNCTION("""COMPUTED_VALUE"""),"")</f>
        <v/>
      </c>
      <c r="T1418" s="139" t="str">
        <f>IFERROR(__xludf.DUMMYFUNCTION("""COMPUTED_VALUE"""),"")</f>
        <v/>
      </c>
      <c r="U1418" s="139" t="str">
        <f>IFERROR(__xludf.DUMMYFUNCTION("""COMPUTED_VALUE"""),"")</f>
        <v/>
      </c>
      <c r="V1418" s="136" t="str">
        <f>IFERROR(__xludf.DUMMYFUNCTION("""COMPUTED_VALUE"""),"")</f>
        <v/>
      </c>
      <c r="W1418" s="106" t="str">
        <f>IFERROR(__xludf.DUMMYFUNCTION("""COMPUTED_VALUE"""),"")</f>
        <v/>
      </c>
      <c r="X1418" s="143" t="str">
        <f t="shared" si="2"/>
        <v/>
      </c>
      <c r="Y1418" s="139" t="str">
        <f>IFERROR(__xludf.DUMMYFUNCTION("""COMPUTED_VALUE"""),"")</f>
        <v/>
      </c>
      <c r="Z1418" s="141" t="str">
        <f>IFERROR(__xludf.DUMMYFUNCTION("""COMPUTED_VALUE"""),"")</f>
        <v/>
      </c>
    </row>
    <row r="1419">
      <c r="D1419" s="136" t="str">
        <f t="shared" si="3"/>
        <v/>
      </c>
      <c r="E1419" s="152"/>
      <c r="F1419" s="106" t="s">
        <v>133</v>
      </c>
      <c r="G1419" s="152"/>
      <c r="H1419" s="106" t="s">
        <v>133</v>
      </c>
      <c r="J1419" s="139" t="s">
        <v>133</v>
      </c>
      <c r="K1419" s="136" t="s">
        <v>133</v>
      </c>
      <c r="L1419" s="153"/>
      <c r="M1419" s="136" t="str">
        <f t="shared" si="1"/>
        <v/>
      </c>
      <c r="O1419" s="141" t="s">
        <v>133</v>
      </c>
      <c r="P1419" s="136" t="str">
        <f>IFERROR(__xludf.DUMMYFUNCTION("""COMPUTED_VALUE"""),"")</f>
        <v/>
      </c>
      <c r="Q1419" s="136" t="str">
        <f>IFERROR(__xludf.DUMMYFUNCTION("""COMPUTED_VALUE"""),"")</f>
        <v/>
      </c>
      <c r="R1419" s="106" t="str">
        <f>IFERROR(__xludf.DUMMYFUNCTION("""COMPUTED_VALUE"""),"")</f>
        <v/>
      </c>
      <c r="S1419" s="106" t="str">
        <f>IFERROR(__xludf.DUMMYFUNCTION("""COMPUTED_VALUE"""),"")</f>
        <v/>
      </c>
      <c r="T1419" s="139" t="str">
        <f>IFERROR(__xludf.DUMMYFUNCTION("""COMPUTED_VALUE"""),"")</f>
        <v/>
      </c>
      <c r="U1419" s="139" t="str">
        <f>IFERROR(__xludf.DUMMYFUNCTION("""COMPUTED_VALUE"""),"")</f>
        <v/>
      </c>
      <c r="V1419" s="136" t="str">
        <f>IFERROR(__xludf.DUMMYFUNCTION("""COMPUTED_VALUE"""),"")</f>
        <v/>
      </c>
      <c r="W1419" s="106" t="str">
        <f>IFERROR(__xludf.DUMMYFUNCTION("""COMPUTED_VALUE"""),"")</f>
        <v/>
      </c>
      <c r="X1419" s="143" t="str">
        <f t="shared" si="2"/>
        <v/>
      </c>
      <c r="Y1419" s="139" t="str">
        <f>IFERROR(__xludf.DUMMYFUNCTION("""COMPUTED_VALUE"""),"")</f>
        <v/>
      </c>
      <c r="Z1419" s="141" t="str">
        <f>IFERROR(__xludf.DUMMYFUNCTION("""COMPUTED_VALUE"""),"")</f>
        <v/>
      </c>
    </row>
    <row r="1420">
      <c r="D1420" s="136" t="str">
        <f t="shared" si="3"/>
        <v/>
      </c>
      <c r="E1420" s="152"/>
      <c r="F1420" s="106" t="s">
        <v>133</v>
      </c>
      <c r="G1420" s="152"/>
      <c r="H1420" s="106" t="s">
        <v>133</v>
      </c>
      <c r="J1420" s="139" t="s">
        <v>133</v>
      </c>
      <c r="K1420" s="136" t="s">
        <v>133</v>
      </c>
      <c r="L1420" s="153"/>
      <c r="M1420" s="136" t="str">
        <f t="shared" si="1"/>
        <v/>
      </c>
      <c r="O1420" s="141" t="s">
        <v>133</v>
      </c>
      <c r="P1420" s="136" t="str">
        <f>IFERROR(__xludf.DUMMYFUNCTION("""COMPUTED_VALUE"""),"")</f>
        <v/>
      </c>
      <c r="Q1420" s="136" t="str">
        <f>IFERROR(__xludf.DUMMYFUNCTION("""COMPUTED_VALUE"""),"")</f>
        <v/>
      </c>
      <c r="R1420" s="106" t="str">
        <f>IFERROR(__xludf.DUMMYFUNCTION("""COMPUTED_VALUE"""),"")</f>
        <v/>
      </c>
      <c r="S1420" s="106" t="str">
        <f>IFERROR(__xludf.DUMMYFUNCTION("""COMPUTED_VALUE"""),"")</f>
        <v/>
      </c>
      <c r="T1420" s="139" t="str">
        <f>IFERROR(__xludf.DUMMYFUNCTION("""COMPUTED_VALUE"""),"")</f>
        <v/>
      </c>
      <c r="U1420" s="139" t="str">
        <f>IFERROR(__xludf.DUMMYFUNCTION("""COMPUTED_VALUE"""),"")</f>
        <v/>
      </c>
      <c r="V1420" s="136" t="str">
        <f>IFERROR(__xludf.DUMMYFUNCTION("""COMPUTED_VALUE"""),"")</f>
        <v/>
      </c>
      <c r="W1420" s="106" t="str">
        <f>IFERROR(__xludf.DUMMYFUNCTION("""COMPUTED_VALUE"""),"")</f>
        <v/>
      </c>
      <c r="X1420" s="143" t="str">
        <f t="shared" si="2"/>
        <v/>
      </c>
      <c r="Y1420" s="139" t="str">
        <f>IFERROR(__xludf.DUMMYFUNCTION("""COMPUTED_VALUE"""),"")</f>
        <v/>
      </c>
      <c r="Z1420" s="141" t="str">
        <f>IFERROR(__xludf.DUMMYFUNCTION("""COMPUTED_VALUE"""),"")</f>
        <v/>
      </c>
    </row>
    <row r="1421">
      <c r="D1421" s="136" t="str">
        <f t="shared" si="3"/>
        <v/>
      </c>
      <c r="E1421" s="152"/>
      <c r="F1421" s="106" t="s">
        <v>133</v>
      </c>
      <c r="G1421" s="152"/>
      <c r="H1421" s="106" t="s">
        <v>133</v>
      </c>
      <c r="J1421" s="139" t="s">
        <v>133</v>
      </c>
      <c r="K1421" s="136" t="s">
        <v>133</v>
      </c>
      <c r="L1421" s="153"/>
      <c r="M1421" s="136" t="str">
        <f t="shared" si="1"/>
        <v/>
      </c>
      <c r="O1421" s="141" t="s">
        <v>133</v>
      </c>
      <c r="P1421" s="136" t="str">
        <f>IFERROR(__xludf.DUMMYFUNCTION("""COMPUTED_VALUE"""),"")</f>
        <v/>
      </c>
      <c r="Q1421" s="136" t="str">
        <f>IFERROR(__xludf.DUMMYFUNCTION("""COMPUTED_VALUE"""),"")</f>
        <v/>
      </c>
      <c r="R1421" s="106" t="str">
        <f>IFERROR(__xludf.DUMMYFUNCTION("""COMPUTED_VALUE"""),"")</f>
        <v/>
      </c>
      <c r="S1421" s="106" t="str">
        <f>IFERROR(__xludf.DUMMYFUNCTION("""COMPUTED_VALUE"""),"")</f>
        <v/>
      </c>
      <c r="T1421" s="139" t="str">
        <f>IFERROR(__xludf.DUMMYFUNCTION("""COMPUTED_VALUE"""),"")</f>
        <v/>
      </c>
      <c r="U1421" s="139" t="str">
        <f>IFERROR(__xludf.DUMMYFUNCTION("""COMPUTED_VALUE"""),"")</f>
        <v/>
      </c>
      <c r="V1421" s="136" t="str">
        <f>IFERROR(__xludf.DUMMYFUNCTION("""COMPUTED_VALUE"""),"")</f>
        <v/>
      </c>
      <c r="W1421" s="106" t="str">
        <f>IFERROR(__xludf.DUMMYFUNCTION("""COMPUTED_VALUE"""),"")</f>
        <v/>
      </c>
      <c r="X1421" s="143" t="str">
        <f t="shared" si="2"/>
        <v/>
      </c>
      <c r="Y1421" s="139" t="str">
        <f>IFERROR(__xludf.DUMMYFUNCTION("""COMPUTED_VALUE"""),"")</f>
        <v/>
      </c>
      <c r="Z1421" s="141" t="str">
        <f>IFERROR(__xludf.DUMMYFUNCTION("""COMPUTED_VALUE"""),"")</f>
        <v/>
      </c>
    </row>
    <row r="1422">
      <c r="D1422" s="136" t="str">
        <f t="shared" si="3"/>
        <v/>
      </c>
      <c r="E1422" s="152"/>
      <c r="F1422" s="106" t="s">
        <v>133</v>
      </c>
      <c r="G1422" s="152"/>
      <c r="H1422" s="106" t="s">
        <v>133</v>
      </c>
      <c r="J1422" s="139" t="s">
        <v>133</v>
      </c>
      <c r="K1422" s="136" t="s">
        <v>133</v>
      </c>
      <c r="L1422" s="153"/>
      <c r="M1422" s="136" t="str">
        <f t="shared" si="1"/>
        <v/>
      </c>
      <c r="O1422" s="141" t="s">
        <v>133</v>
      </c>
      <c r="P1422" s="136" t="str">
        <f>IFERROR(__xludf.DUMMYFUNCTION("""COMPUTED_VALUE"""),"")</f>
        <v/>
      </c>
      <c r="Q1422" s="136" t="str">
        <f>IFERROR(__xludf.DUMMYFUNCTION("""COMPUTED_VALUE"""),"")</f>
        <v/>
      </c>
      <c r="R1422" s="106" t="str">
        <f>IFERROR(__xludf.DUMMYFUNCTION("""COMPUTED_VALUE"""),"")</f>
        <v/>
      </c>
      <c r="S1422" s="106" t="str">
        <f>IFERROR(__xludf.DUMMYFUNCTION("""COMPUTED_VALUE"""),"")</f>
        <v/>
      </c>
      <c r="T1422" s="139" t="str">
        <f>IFERROR(__xludf.DUMMYFUNCTION("""COMPUTED_VALUE"""),"")</f>
        <v/>
      </c>
      <c r="U1422" s="139" t="str">
        <f>IFERROR(__xludf.DUMMYFUNCTION("""COMPUTED_VALUE"""),"")</f>
        <v/>
      </c>
      <c r="V1422" s="136" t="str">
        <f>IFERROR(__xludf.DUMMYFUNCTION("""COMPUTED_VALUE"""),"")</f>
        <v/>
      </c>
      <c r="W1422" s="106" t="str">
        <f>IFERROR(__xludf.DUMMYFUNCTION("""COMPUTED_VALUE"""),"")</f>
        <v/>
      </c>
      <c r="X1422" s="143" t="str">
        <f t="shared" si="2"/>
        <v/>
      </c>
      <c r="Y1422" s="139" t="str">
        <f>IFERROR(__xludf.DUMMYFUNCTION("""COMPUTED_VALUE"""),"")</f>
        <v/>
      </c>
      <c r="Z1422" s="141" t="str">
        <f>IFERROR(__xludf.DUMMYFUNCTION("""COMPUTED_VALUE"""),"")</f>
        <v/>
      </c>
    </row>
    <row r="1423">
      <c r="D1423" s="136" t="str">
        <f t="shared" si="3"/>
        <v/>
      </c>
      <c r="E1423" s="152"/>
      <c r="F1423" s="106" t="s">
        <v>133</v>
      </c>
      <c r="G1423" s="152"/>
      <c r="H1423" s="106" t="s">
        <v>133</v>
      </c>
      <c r="J1423" s="139" t="s">
        <v>133</v>
      </c>
      <c r="K1423" s="136" t="s">
        <v>133</v>
      </c>
      <c r="L1423" s="153"/>
      <c r="M1423" s="136" t="str">
        <f t="shared" si="1"/>
        <v/>
      </c>
      <c r="O1423" s="141" t="s">
        <v>133</v>
      </c>
      <c r="P1423" s="136" t="str">
        <f>IFERROR(__xludf.DUMMYFUNCTION("""COMPUTED_VALUE"""),"")</f>
        <v/>
      </c>
      <c r="Q1423" s="136" t="str">
        <f>IFERROR(__xludf.DUMMYFUNCTION("""COMPUTED_VALUE"""),"")</f>
        <v/>
      </c>
      <c r="R1423" s="106" t="str">
        <f>IFERROR(__xludf.DUMMYFUNCTION("""COMPUTED_VALUE"""),"")</f>
        <v/>
      </c>
      <c r="S1423" s="106" t="str">
        <f>IFERROR(__xludf.DUMMYFUNCTION("""COMPUTED_VALUE"""),"")</f>
        <v/>
      </c>
      <c r="T1423" s="139" t="str">
        <f>IFERROR(__xludf.DUMMYFUNCTION("""COMPUTED_VALUE"""),"")</f>
        <v/>
      </c>
      <c r="U1423" s="139" t="str">
        <f>IFERROR(__xludf.DUMMYFUNCTION("""COMPUTED_VALUE"""),"")</f>
        <v/>
      </c>
      <c r="V1423" s="136" t="str">
        <f>IFERROR(__xludf.DUMMYFUNCTION("""COMPUTED_VALUE"""),"")</f>
        <v/>
      </c>
      <c r="W1423" s="106" t="str">
        <f>IFERROR(__xludf.DUMMYFUNCTION("""COMPUTED_VALUE"""),"")</f>
        <v/>
      </c>
      <c r="X1423" s="143" t="str">
        <f t="shared" si="2"/>
        <v/>
      </c>
      <c r="Y1423" s="139" t="str">
        <f>IFERROR(__xludf.DUMMYFUNCTION("""COMPUTED_VALUE"""),"")</f>
        <v/>
      </c>
      <c r="Z1423" s="141" t="str">
        <f>IFERROR(__xludf.DUMMYFUNCTION("""COMPUTED_VALUE"""),"")</f>
        <v/>
      </c>
    </row>
    <row r="1424">
      <c r="D1424" s="136" t="str">
        <f t="shared" si="3"/>
        <v/>
      </c>
      <c r="E1424" s="152"/>
      <c r="F1424" s="106" t="s">
        <v>133</v>
      </c>
      <c r="G1424" s="152"/>
      <c r="H1424" s="106" t="s">
        <v>133</v>
      </c>
      <c r="J1424" s="139" t="s">
        <v>133</v>
      </c>
      <c r="K1424" s="136" t="s">
        <v>133</v>
      </c>
      <c r="L1424" s="153"/>
      <c r="M1424" s="136" t="str">
        <f t="shared" si="1"/>
        <v/>
      </c>
      <c r="O1424" s="141" t="s">
        <v>133</v>
      </c>
      <c r="P1424" s="136" t="str">
        <f>IFERROR(__xludf.DUMMYFUNCTION("""COMPUTED_VALUE"""),"")</f>
        <v/>
      </c>
      <c r="Q1424" s="136" t="str">
        <f>IFERROR(__xludf.DUMMYFUNCTION("""COMPUTED_VALUE"""),"")</f>
        <v/>
      </c>
      <c r="R1424" s="106" t="str">
        <f>IFERROR(__xludf.DUMMYFUNCTION("""COMPUTED_VALUE"""),"")</f>
        <v/>
      </c>
      <c r="S1424" s="106" t="str">
        <f>IFERROR(__xludf.DUMMYFUNCTION("""COMPUTED_VALUE"""),"")</f>
        <v/>
      </c>
      <c r="T1424" s="139" t="str">
        <f>IFERROR(__xludf.DUMMYFUNCTION("""COMPUTED_VALUE"""),"")</f>
        <v/>
      </c>
      <c r="U1424" s="139" t="str">
        <f>IFERROR(__xludf.DUMMYFUNCTION("""COMPUTED_VALUE"""),"")</f>
        <v/>
      </c>
      <c r="V1424" s="136" t="str">
        <f>IFERROR(__xludf.DUMMYFUNCTION("""COMPUTED_VALUE"""),"")</f>
        <v/>
      </c>
      <c r="W1424" s="106" t="str">
        <f>IFERROR(__xludf.DUMMYFUNCTION("""COMPUTED_VALUE"""),"")</f>
        <v/>
      </c>
      <c r="X1424" s="143" t="str">
        <f t="shared" si="2"/>
        <v/>
      </c>
      <c r="Y1424" s="139" t="str">
        <f>IFERROR(__xludf.DUMMYFUNCTION("""COMPUTED_VALUE"""),"")</f>
        <v/>
      </c>
      <c r="Z1424" s="141" t="str">
        <f>IFERROR(__xludf.DUMMYFUNCTION("""COMPUTED_VALUE"""),"")</f>
        <v/>
      </c>
    </row>
    <row r="1425">
      <c r="D1425" s="136" t="str">
        <f t="shared" si="3"/>
        <v/>
      </c>
      <c r="E1425" s="152"/>
      <c r="F1425" s="106" t="s">
        <v>133</v>
      </c>
      <c r="G1425" s="152"/>
      <c r="H1425" s="106" t="s">
        <v>133</v>
      </c>
      <c r="J1425" s="139" t="s">
        <v>133</v>
      </c>
      <c r="K1425" s="136" t="s">
        <v>133</v>
      </c>
      <c r="L1425" s="153"/>
      <c r="M1425" s="136" t="str">
        <f t="shared" si="1"/>
        <v/>
      </c>
      <c r="O1425" s="141" t="s">
        <v>133</v>
      </c>
      <c r="P1425" s="136" t="str">
        <f>IFERROR(__xludf.DUMMYFUNCTION("""COMPUTED_VALUE"""),"")</f>
        <v/>
      </c>
      <c r="Q1425" s="136" t="str">
        <f>IFERROR(__xludf.DUMMYFUNCTION("""COMPUTED_VALUE"""),"")</f>
        <v/>
      </c>
      <c r="R1425" s="106" t="str">
        <f>IFERROR(__xludf.DUMMYFUNCTION("""COMPUTED_VALUE"""),"")</f>
        <v/>
      </c>
      <c r="S1425" s="106" t="str">
        <f>IFERROR(__xludf.DUMMYFUNCTION("""COMPUTED_VALUE"""),"")</f>
        <v/>
      </c>
      <c r="T1425" s="139" t="str">
        <f>IFERROR(__xludf.DUMMYFUNCTION("""COMPUTED_VALUE"""),"")</f>
        <v/>
      </c>
      <c r="U1425" s="139" t="str">
        <f>IFERROR(__xludf.DUMMYFUNCTION("""COMPUTED_VALUE"""),"")</f>
        <v/>
      </c>
      <c r="V1425" s="136" t="str">
        <f>IFERROR(__xludf.DUMMYFUNCTION("""COMPUTED_VALUE"""),"")</f>
        <v/>
      </c>
      <c r="W1425" s="106" t="str">
        <f>IFERROR(__xludf.DUMMYFUNCTION("""COMPUTED_VALUE"""),"")</f>
        <v/>
      </c>
      <c r="X1425" s="143" t="str">
        <f t="shared" si="2"/>
        <v/>
      </c>
      <c r="Y1425" s="139" t="str">
        <f>IFERROR(__xludf.DUMMYFUNCTION("""COMPUTED_VALUE"""),"")</f>
        <v/>
      </c>
      <c r="Z1425" s="141" t="str">
        <f>IFERROR(__xludf.DUMMYFUNCTION("""COMPUTED_VALUE"""),"")</f>
        <v/>
      </c>
    </row>
    <row r="1426">
      <c r="D1426" s="136" t="str">
        <f t="shared" si="3"/>
        <v/>
      </c>
      <c r="E1426" s="152"/>
      <c r="F1426" s="106" t="s">
        <v>133</v>
      </c>
      <c r="G1426" s="152"/>
      <c r="H1426" s="106" t="s">
        <v>133</v>
      </c>
      <c r="J1426" s="139" t="s">
        <v>133</v>
      </c>
      <c r="K1426" s="136" t="s">
        <v>133</v>
      </c>
      <c r="L1426" s="153"/>
      <c r="M1426" s="136" t="str">
        <f t="shared" si="1"/>
        <v/>
      </c>
      <c r="O1426" s="141" t="s">
        <v>133</v>
      </c>
      <c r="P1426" s="136" t="str">
        <f>IFERROR(__xludf.DUMMYFUNCTION("""COMPUTED_VALUE"""),"")</f>
        <v/>
      </c>
      <c r="Q1426" s="136" t="str">
        <f>IFERROR(__xludf.DUMMYFUNCTION("""COMPUTED_VALUE"""),"")</f>
        <v/>
      </c>
      <c r="R1426" s="106" t="str">
        <f>IFERROR(__xludf.DUMMYFUNCTION("""COMPUTED_VALUE"""),"")</f>
        <v/>
      </c>
      <c r="S1426" s="106" t="str">
        <f>IFERROR(__xludf.DUMMYFUNCTION("""COMPUTED_VALUE"""),"")</f>
        <v/>
      </c>
      <c r="T1426" s="139" t="str">
        <f>IFERROR(__xludf.DUMMYFUNCTION("""COMPUTED_VALUE"""),"")</f>
        <v/>
      </c>
      <c r="U1426" s="139" t="str">
        <f>IFERROR(__xludf.DUMMYFUNCTION("""COMPUTED_VALUE"""),"")</f>
        <v/>
      </c>
      <c r="V1426" s="136" t="str">
        <f>IFERROR(__xludf.DUMMYFUNCTION("""COMPUTED_VALUE"""),"")</f>
        <v/>
      </c>
      <c r="W1426" s="106" t="str">
        <f>IFERROR(__xludf.DUMMYFUNCTION("""COMPUTED_VALUE"""),"")</f>
        <v/>
      </c>
      <c r="X1426" s="143" t="str">
        <f t="shared" si="2"/>
        <v/>
      </c>
      <c r="Y1426" s="139" t="str">
        <f>IFERROR(__xludf.DUMMYFUNCTION("""COMPUTED_VALUE"""),"")</f>
        <v/>
      </c>
      <c r="Z1426" s="141" t="str">
        <f>IFERROR(__xludf.DUMMYFUNCTION("""COMPUTED_VALUE"""),"")</f>
        <v/>
      </c>
    </row>
    <row r="1427">
      <c r="D1427" s="136" t="str">
        <f t="shared" si="3"/>
        <v/>
      </c>
      <c r="E1427" s="152"/>
      <c r="F1427" s="106" t="s">
        <v>133</v>
      </c>
      <c r="G1427" s="152"/>
      <c r="H1427" s="106" t="s">
        <v>133</v>
      </c>
      <c r="J1427" s="139" t="s">
        <v>133</v>
      </c>
      <c r="K1427" s="136" t="s">
        <v>133</v>
      </c>
      <c r="L1427" s="153"/>
      <c r="M1427" s="136" t="str">
        <f t="shared" si="1"/>
        <v/>
      </c>
      <c r="O1427" s="141" t="s">
        <v>133</v>
      </c>
      <c r="P1427" s="136" t="str">
        <f>IFERROR(__xludf.DUMMYFUNCTION("""COMPUTED_VALUE"""),"")</f>
        <v/>
      </c>
      <c r="Q1427" s="136" t="str">
        <f>IFERROR(__xludf.DUMMYFUNCTION("""COMPUTED_VALUE"""),"")</f>
        <v/>
      </c>
      <c r="R1427" s="106" t="str">
        <f>IFERROR(__xludf.DUMMYFUNCTION("""COMPUTED_VALUE"""),"")</f>
        <v/>
      </c>
      <c r="S1427" s="106" t="str">
        <f>IFERROR(__xludf.DUMMYFUNCTION("""COMPUTED_VALUE"""),"")</f>
        <v/>
      </c>
      <c r="T1427" s="139" t="str">
        <f>IFERROR(__xludf.DUMMYFUNCTION("""COMPUTED_VALUE"""),"")</f>
        <v/>
      </c>
      <c r="U1427" s="139" t="str">
        <f>IFERROR(__xludf.DUMMYFUNCTION("""COMPUTED_VALUE"""),"")</f>
        <v/>
      </c>
      <c r="V1427" s="136" t="str">
        <f>IFERROR(__xludf.DUMMYFUNCTION("""COMPUTED_VALUE"""),"")</f>
        <v/>
      </c>
      <c r="W1427" s="106" t="str">
        <f>IFERROR(__xludf.DUMMYFUNCTION("""COMPUTED_VALUE"""),"")</f>
        <v/>
      </c>
      <c r="X1427" s="143" t="str">
        <f t="shared" si="2"/>
        <v/>
      </c>
      <c r="Y1427" s="139" t="str">
        <f>IFERROR(__xludf.DUMMYFUNCTION("""COMPUTED_VALUE"""),"")</f>
        <v/>
      </c>
      <c r="Z1427" s="141" t="str">
        <f>IFERROR(__xludf.DUMMYFUNCTION("""COMPUTED_VALUE"""),"")</f>
        <v/>
      </c>
    </row>
    <row r="1428">
      <c r="D1428" s="136" t="str">
        <f t="shared" si="3"/>
        <v/>
      </c>
      <c r="E1428" s="152"/>
      <c r="F1428" s="106" t="s">
        <v>133</v>
      </c>
      <c r="G1428" s="152"/>
      <c r="H1428" s="106" t="s">
        <v>133</v>
      </c>
      <c r="J1428" s="139" t="s">
        <v>133</v>
      </c>
      <c r="K1428" s="136" t="s">
        <v>133</v>
      </c>
      <c r="L1428" s="153"/>
      <c r="M1428" s="136" t="str">
        <f t="shared" si="1"/>
        <v/>
      </c>
      <c r="O1428" s="141" t="s">
        <v>133</v>
      </c>
      <c r="P1428" s="136" t="str">
        <f>IFERROR(__xludf.DUMMYFUNCTION("""COMPUTED_VALUE"""),"")</f>
        <v/>
      </c>
      <c r="Q1428" s="136" t="str">
        <f>IFERROR(__xludf.DUMMYFUNCTION("""COMPUTED_VALUE"""),"")</f>
        <v/>
      </c>
      <c r="R1428" s="106" t="str">
        <f>IFERROR(__xludf.DUMMYFUNCTION("""COMPUTED_VALUE"""),"")</f>
        <v/>
      </c>
      <c r="S1428" s="106" t="str">
        <f>IFERROR(__xludf.DUMMYFUNCTION("""COMPUTED_VALUE"""),"")</f>
        <v/>
      </c>
      <c r="T1428" s="139" t="str">
        <f>IFERROR(__xludf.DUMMYFUNCTION("""COMPUTED_VALUE"""),"")</f>
        <v/>
      </c>
      <c r="U1428" s="139" t="str">
        <f>IFERROR(__xludf.DUMMYFUNCTION("""COMPUTED_VALUE"""),"")</f>
        <v/>
      </c>
      <c r="V1428" s="136" t="str">
        <f>IFERROR(__xludf.DUMMYFUNCTION("""COMPUTED_VALUE"""),"")</f>
        <v/>
      </c>
      <c r="W1428" s="106" t="str">
        <f>IFERROR(__xludf.DUMMYFUNCTION("""COMPUTED_VALUE"""),"")</f>
        <v/>
      </c>
      <c r="X1428" s="143" t="str">
        <f t="shared" si="2"/>
        <v/>
      </c>
      <c r="Y1428" s="139" t="str">
        <f>IFERROR(__xludf.DUMMYFUNCTION("""COMPUTED_VALUE"""),"")</f>
        <v/>
      </c>
      <c r="Z1428" s="141" t="str">
        <f>IFERROR(__xludf.DUMMYFUNCTION("""COMPUTED_VALUE"""),"")</f>
        <v/>
      </c>
    </row>
    <row r="1429">
      <c r="D1429" s="136" t="str">
        <f t="shared" si="3"/>
        <v/>
      </c>
      <c r="E1429" s="152"/>
      <c r="F1429" s="106" t="s">
        <v>133</v>
      </c>
      <c r="G1429" s="152"/>
      <c r="H1429" s="106" t="s">
        <v>133</v>
      </c>
      <c r="J1429" s="139" t="s">
        <v>133</v>
      </c>
      <c r="K1429" s="136" t="s">
        <v>133</v>
      </c>
      <c r="L1429" s="153"/>
      <c r="M1429" s="136" t="str">
        <f t="shared" si="1"/>
        <v/>
      </c>
      <c r="O1429" s="141" t="s">
        <v>133</v>
      </c>
      <c r="P1429" s="136" t="str">
        <f>IFERROR(__xludf.DUMMYFUNCTION("""COMPUTED_VALUE"""),"")</f>
        <v/>
      </c>
      <c r="Q1429" s="136" t="str">
        <f>IFERROR(__xludf.DUMMYFUNCTION("""COMPUTED_VALUE"""),"")</f>
        <v/>
      </c>
      <c r="R1429" s="106" t="str">
        <f>IFERROR(__xludf.DUMMYFUNCTION("""COMPUTED_VALUE"""),"")</f>
        <v/>
      </c>
      <c r="S1429" s="106" t="str">
        <f>IFERROR(__xludf.DUMMYFUNCTION("""COMPUTED_VALUE"""),"")</f>
        <v/>
      </c>
      <c r="T1429" s="139" t="str">
        <f>IFERROR(__xludf.DUMMYFUNCTION("""COMPUTED_VALUE"""),"")</f>
        <v/>
      </c>
      <c r="U1429" s="139" t="str">
        <f>IFERROR(__xludf.DUMMYFUNCTION("""COMPUTED_VALUE"""),"")</f>
        <v/>
      </c>
      <c r="V1429" s="136" t="str">
        <f>IFERROR(__xludf.DUMMYFUNCTION("""COMPUTED_VALUE"""),"")</f>
        <v/>
      </c>
      <c r="W1429" s="106" t="str">
        <f>IFERROR(__xludf.DUMMYFUNCTION("""COMPUTED_VALUE"""),"")</f>
        <v/>
      </c>
      <c r="X1429" s="143" t="str">
        <f t="shared" si="2"/>
        <v/>
      </c>
      <c r="Y1429" s="139" t="str">
        <f>IFERROR(__xludf.DUMMYFUNCTION("""COMPUTED_VALUE"""),"")</f>
        <v/>
      </c>
      <c r="Z1429" s="141" t="str">
        <f>IFERROR(__xludf.DUMMYFUNCTION("""COMPUTED_VALUE"""),"")</f>
        <v/>
      </c>
    </row>
    <row r="1430">
      <c r="D1430" s="136" t="str">
        <f t="shared" si="3"/>
        <v/>
      </c>
      <c r="E1430" s="152"/>
      <c r="F1430" s="106" t="s">
        <v>133</v>
      </c>
      <c r="G1430" s="152"/>
      <c r="H1430" s="106" t="s">
        <v>133</v>
      </c>
      <c r="J1430" s="139" t="s">
        <v>133</v>
      </c>
      <c r="K1430" s="136" t="s">
        <v>133</v>
      </c>
      <c r="L1430" s="153"/>
      <c r="M1430" s="136" t="str">
        <f t="shared" si="1"/>
        <v/>
      </c>
      <c r="O1430" s="141" t="s">
        <v>133</v>
      </c>
      <c r="P1430" s="136" t="str">
        <f>IFERROR(__xludf.DUMMYFUNCTION("""COMPUTED_VALUE"""),"")</f>
        <v/>
      </c>
      <c r="Q1430" s="136" t="str">
        <f>IFERROR(__xludf.DUMMYFUNCTION("""COMPUTED_VALUE"""),"")</f>
        <v/>
      </c>
      <c r="R1430" s="106" t="str">
        <f>IFERROR(__xludf.DUMMYFUNCTION("""COMPUTED_VALUE"""),"")</f>
        <v/>
      </c>
      <c r="S1430" s="106" t="str">
        <f>IFERROR(__xludf.DUMMYFUNCTION("""COMPUTED_VALUE"""),"")</f>
        <v/>
      </c>
      <c r="T1430" s="139" t="str">
        <f>IFERROR(__xludf.DUMMYFUNCTION("""COMPUTED_VALUE"""),"")</f>
        <v/>
      </c>
      <c r="U1430" s="139" t="str">
        <f>IFERROR(__xludf.DUMMYFUNCTION("""COMPUTED_VALUE"""),"")</f>
        <v/>
      </c>
      <c r="V1430" s="136" t="str">
        <f>IFERROR(__xludf.DUMMYFUNCTION("""COMPUTED_VALUE"""),"")</f>
        <v/>
      </c>
      <c r="W1430" s="106" t="str">
        <f>IFERROR(__xludf.DUMMYFUNCTION("""COMPUTED_VALUE"""),"")</f>
        <v/>
      </c>
      <c r="X1430" s="143" t="str">
        <f t="shared" si="2"/>
        <v/>
      </c>
      <c r="Y1430" s="139" t="str">
        <f>IFERROR(__xludf.DUMMYFUNCTION("""COMPUTED_VALUE"""),"")</f>
        <v/>
      </c>
      <c r="Z1430" s="141" t="str">
        <f>IFERROR(__xludf.DUMMYFUNCTION("""COMPUTED_VALUE"""),"")</f>
        <v/>
      </c>
    </row>
    <row r="1431">
      <c r="D1431" s="136" t="str">
        <f t="shared" si="3"/>
        <v/>
      </c>
      <c r="E1431" s="152"/>
      <c r="F1431" s="106" t="s">
        <v>133</v>
      </c>
      <c r="G1431" s="152"/>
      <c r="H1431" s="106" t="s">
        <v>133</v>
      </c>
      <c r="J1431" s="139" t="s">
        <v>133</v>
      </c>
      <c r="K1431" s="136" t="s">
        <v>133</v>
      </c>
      <c r="L1431" s="153"/>
      <c r="M1431" s="136" t="str">
        <f t="shared" si="1"/>
        <v/>
      </c>
      <c r="O1431" s="141" t="s">
        <v>133</v>
      </c>
      <c r="P1431" s="136" t="str">
        <f>IFERROR(__xludf.DUMMYFUNCTION("""COMPUTED_VALUE"""),"")</f>
        <v/>
      </c>
      <c r="Q1431" s="136" t="str">
        <f>IFERROR(__xludf.DUMMYFUNCTION("""COMPUTED_VALUE"""),"")</f>
        <v/>
      </c>
      <c r="R1431" s="106" t="str">
        <f>IFERROR(__xludf.DUMMYFUNCTION("""COMPUTED_VALUE"""),"")</f>
        <v/>
      </c>
      <c r="S1431" s="106" t="str">
        <f>IFERROR(__xludf.DUMMYFUNCTION("""COMPUTED_VALUE"""),"")</f>
        <v/>
      </c>
      <c r="T1431" s="139" t="str">
        <f>IFERROR(__xludf.DUMMYFUNCTION("""COMPUTED_VALUE"""),"")</f>
        <v/>
      </c>
      <c r="U1431" s="139" t="str">
        <f>IFERROR(__xludf.DUMMYFUNCTION("""COMPUTED_VALUE"""),"")</f>
        <v/>
      </c>
      <c r="V1431" s="136" t="str">
        <f>IFERROR(__xludf.DUMMYFUNCTION("""COMPUTED_VALUE"""),"")</f>
        <v/>
      </c>
      <c r="W1431" s="106" t="str">
        <f>IFERROR(__xludf.DUMMYFUNCTION("""COMPUTED_VALUE"""),"")</f>
        <v/>
      </c>
      <c r="X1431" s="143" t="str">
        <f t="shared" si="2"/>
        <v/>
      </c>
      <c r="Y1431" s="139" t="str">
        <f>IFERROR(__xludf.DUMMYFUNCTION("""COMPUTED_VALUE"""),"")</f>
        <v/>
      </c>
      <c r="Z1431" s="141" t="str">
        <f>IFERROR(__xludf.DUMMYFUNCTION("""COMPUTED_VALUE"""),"")</f>
        <v/>
      </c>
    </row>
    <row r="1432">
      <c r="D1432" s="136" t="str">
        <f t="shared" si="3"/>
        <v/>
      </c>
      <c r="E1432" s="152"/>
      <c r="F1432" s="106" t="s">
        <v>133</v>
      </c>
      <c r="G1432" s="152"/>
      <c r="H1432" s="106" t="s">
        <v>133</v>
      </c>
      <c r="J1432" s="139" t="s">
        <v>133</v>
      </c>
      <c r="K1432" s="136" t="s">
        <v>133</v>
      </c>
      <c r="L1432" s="153"/>
      <c r="M1432" s="136" t="str">
        <f t="shared" si="1"/>
        <v/>
      </c>
      <c r="O1432" s="141" t="s">
        <v>133</v>
      </c>
      <c r="P1432" s="136" t="str">
        <f>IFERROR(__xludf.DUMMYFUNCTION("""COMPUTED_VALUE"""),"")</f>
        <v/>
      </c>
      <c r="Q1432" s="136" t="str">
        <f>IFERROR(__xludf.DUMMYFUNCTION("""COMPUTED_VALUE"""),"")</f>
        <v/>
      </c>
      <c r="R1432" s="106" t="str">
        <f>IFERROR(__xludf.DUMMYFUNCTION("""COMPUTED_VALUE"""),"")</f>
        <v/>
      </c>
      <c r="S1432" s="106" t="str">
        <f>IFERROR(__xludf.DUMMYFUNCTION("""COMPUTED_VALUE"""),"")</f>
        <v/>
      </c>
      <c r="T1432" s="139" t="str">
        <f>IFERROR(__xludf.DUMMYFUNCTION("""COMPUTED_VALUE"""),"")</f>
        <v/>
      </c>
      <c r="U1432" s="139" t="str">
        <f>IFERROR(__xludf.DUMMYFUNCTION("""COMPUTED_VALUE"""),"")</f>
        <v/>
      </c>
      <c r="V1432" s="136" t="str">
        <f>IFERROR(__xludf.DUMMYFUNCTION("""COMPUTED_VALUE"""),"")</f>
        <v/>
      </c>
      <c r="W1432" s="106" t="str">
        <f>IFERROR(__xludf.DUMMYFUNCTION("""COMPUTED_VALUE"""),"")</f>
        <v/>
      </c>
      <c r="X1432" s="143" t="str">
        <f t="shared" si="2"/>
        <v/>
      </c>
      <c r="Y1432" s="139" t="str">
        <f>IFERROR(__xludf.DUMMYFUNCTION("""COMPUTED_VALUE"""),"")</f>
        <v/>
      </c>
      <c r="Z1432" s="141" t="str">
        <f>IFERROR(__xludf.DUMMYFUNCTION("""COMPUTED_VALUE"""),"")</f>
        <v/>
      </c>
    </row>
    <row r="1433">
      <c r="D1433" s="136" t="str">
        <f t="shared" si="3"/>
        <v/>
      </c>
      <c r="E1433" s="152"/>
      <c r="F1433" s="106" t="s">
        <v>133</v>
      </c>
      <c r="G1433" s="152"/>
      <c r="H1433" s="106" t="s">
        <v>133</v>
      </c>
      <c r="J1433" s="139" t="s">
        <v>133</v>
      </c>
      <c r="K1433" s="136" t="s">
        <v>133</v>
      </c>
      <c r="L1433" s="153"/>
      <c r="M1433" s="136" t="str">
        <f t="shared" si="1"/>
        <v/>
      </c>
      <c r="O1433" s="141" t="s">
        <v>133</v>
      </c>
      <c r="P1433" s="136" t="str">
        <f>IFERROR(__xludf.DUMMYFUNCTION("""COMPUTED_VALUE"""),"")</f>
        <v/>
      </c>
      <c r="Q1433" s="136" t="str">
        <f>IFERROR(__xludf.DUMMYFUNCTION("""COMPUTED_VALUE"""),"")</f>
        <v/>
      </c>
      <c r="R1433" s="106" t="str">
        <f>IFERROR(__xludf.DUMMYFUNCTION("""COMPUTED_VALUE"""),"")</f>
        <v/>
      </c>
      <c r="S1433" s="106" t="str">
        <f>IFERROR(__xludf.DUMMYFUNCTION("""COMPUTED_VALUE"""),"")</f>
        <v/>
      </c>
      <c r="T1433" s="139" t="str">
        <f>IFERROR(__xludf.DUMMYFUNCTION("""COMPUTED_VALUE"""),"")</f>
        <v/>
      </c>
      <c r="U1433" s="139" t="str">
        <f>IFERROR(__xludf.DUMMYFUNCTION("""COMPUTED_VALUE"""),"")</f>
        <v/>
      </c>
      <c r="V1433" s="136" t="str">
        <f>IFERROR(__xludf.DUMMYFUNCTION("""COMPUTED_VALUE"""),"")</f>
        <v/>
      </c>
      <c r="W1433" s="106" t="str">
        <f>IFERROR(__xludf.DUMMYFUNCTION("""COMPUTED_VALUE"""),"")</f>
        <v/>
      </c>
      <c r="X1433" s="143" t="str">
        <f t="shared" si="2"/>
        <v/>
      </c>
      <c r="Y1433" s="139" t="str">
        <f>IFERROR(__xludf.DUMMYFUNCTION("""COMPUTED_VALUE"""),"")</f>
        <v/>
      </c>
      <c r="Z1433" s="141" t="str">
        <f>IFERROR(__xludf.DUMMYFUNCTION("""COMPUTED_VALUE"""),"")</f>
        <v/>
      </c>
    </row>
    <row r="1434">
      <c r="D1434" s="136" t="str">
        <f t="shared" si="3"/>
        <v/>
      </c>
      <c r="E1434" s="152"/>
      <c r="F1434" s="106" t="s">
        <v>133</v>
      </c>
      <c r="G1434" s="152"/>
      <c r="H1434" s="106" t="s">
        <v>133</v>
      </c>
      <c r="J1434" s="139" t="s">
        <v>133</v>
      </c>
      <c r="K1434" s="136" t="s">
        <v>133</v>
      </c>
      <c r="L1434" s="153"/>
      <c r="M1434" s="136" t="str">
        <f t="shared" si="1"/>
        <v/>
      </c>
      <c r="O1434" s="141" t="s">
        <v>133</v>
      </c>
      <c r="P1434" s="136" t="str">
        <f>IFERROR(__xludf.DUMMYFUNCTION("""COMPUTED_VALUE"""),"")</f>
        <v/>
      </c>
      <c r="Q1434" s="136" t="str">
        <f>IFERROR(__xludf.DUMMYFUNCTION("""COMPUTED_VALUE"""),"")</f>
        <v/>
      </c>
      <c r="R1434" s="106" t="str">
        <f>IFERROR(__xludf.DUMMYFUNCTION("""COMPUTED_VALUE"""),"")</f>
        <v/>
      </c>
      <c r="S1434" s="106" t="str">
        <f>IFERROR(__xludf.DUMMYFUNCTION("""COMPUTED_VALUE"""),"")</f>
        <v/>
      </c>
      <c r="T1434" s="139" t="str">
        <f>IFERROR(__xludf.DUMMYFUNCTION("""COMPUTED_VALUE"""),"")</f>
        <v/>
      </c>
      <c r="U1434" s="139" t="str">
        <f>IFERROR(__xludf.DUMMYFUNCTION("""COMPUTED_VALUE"""),"")</f>
        <v/>
      </c>
      <c r="V1434" s="136" t="str">
        <f>IFERROR(__xludf.DUMMYFUNCTION("""COMPUTED_VALUE"""),"")</f>
        <v/>
      </c>
      <c r="W1434" s="106" t="str">
        <f>IFERROR(__xludf.DUMMYFUNCTION("""COMPUTED_VALUE"""),"")</f>
        <v/>
      </c>
      <c r="X1434" s="143" t="str">
        <f t="shared" si="2"/>
        <v/>
      </c>
      <c r="Y1434" s="139" t="str">
        <f>IFERROR(__xludf.DUMMYFUNCTION("""COMPUTED_VALUE"""),"")</f>
        <v/>
      </c>
      <c r="Z1434" s="141" t="str">
        <f>IFERROR(__xludf.DUMMYFUNCTION("""COMPUTED_VALUE"""),"")</f>
        <v/>
      </c>
    </row>
    <row r="1435">
      <c r="D1435" s="136" t="str">
        <f t="shared" si="3"/>
        <v/>
      </c>
      <c r="E1435" s="152"/>
      <c r="F1435" s="106" t="s">
        <v>133</v>
      </c>
      <c r="G1435" s="152"/>
      <c r="H1435" s="106" t="s">
        <v>133</v>
      </c>
      <c r="J1435" s="139" t="s">
        <v>133</v>
      </c>
      <c r="K1435" s="136" t="s">
        <v>133</v>
      </c>
      <c r="L1435" s="153"/>
      <c r="M1435" s="136" t="str">
        <f t="shared" si="1"/>
        <v/>
      </c>
      <c r="O1435" s="141" t="s">
        <v>133</v>
      </c>
      <c r="P1435" s="136" t="str">
        <f>IFERROR(__xludf.DUMMYFUNCTION("""COMPUTED_VALUE"""),"")</f>
        <v/>
      </c>
      <c r="Q1435" s="136" t="str">
        <f>IFERROR(__xludf.DUMMYFUNCTION("""COMPUTED_VALUE"""),"")</f>
        <v/>
      </c>
      <c r="R1435" s="106" t="str">
        <f>IFERROR(__xludf.DUMMYFUNCTION("""COMPUTED_VALUE"""),"")</f>
        <v/>
      </c>
      <c r="S1435" s="106" t="str">
        <f>IFERROR(__xludf.DUMMYFUNCTION("""COMPUTED_VALUE"""),"")</f>
        <v/>
      </c>
      <c r="T1435" s="139" t="str">
        <f>IFERROR(__xludf.DUMMYFUNCTION("""COMPUTED_VALUE"""),"")</f>
        <v/>
      </c>
      <c r="U1435" s="139" t="str">
        <f>IFERROR(__xludf.DUMMYFUNCTION("""COMPUTED_VALUE"""),"")</f>
        <v/>
      </c>
      <c r="V1435" s="136" t="str">
        <f>IFERROR(__xludf.DUMMYFUNCTION("""COMPUTED_VALUE"""),"")</f>
        <v/>
      </c>
      <c r="W1435" s="106" t="str">
        <f>IFERROR(__xludf.DUMMYFUNCTION("""COMPUTED_VALUE"""),"")</f>
        <v/>
      </c>
      <c r="X1435" s="143" t="str">
        <f t="shared" si="2"/>
        <v/>
      </c>
      <c r="Y1435" s="139" t="str">
        <f>IFERROR(__xludf.DUMMYFUNCTION("""COMPUTED_VALUE"""),"")</f>
        <v/>
      </c>
      <c r="Z1435" s="141" t="str">
        <f>IFERROR(__xludf.DUMMYFUNCTION("""COMPUTED_VALUE"""),"")</f>
        <v/>
      </c>
    </row>
    <row r="1436">
      <c r="D1436" s="136" t="str">
        <f t="shared" si="3"/>
        <v/>
      </c>
      <c r="E1436" s="152"/>
      <c r="F1436" s="106" t="s">
        <v>133</v>
      </c>
      <c r="G1436" s="152"/>
      <c r="H1436" s="106" t="s">
        <v>133</v>
      </c>
      <c r="J1436" s="139" t="s">
        <v>133</v>
      </c>
      <c r="K1436" s="136" t="s">
        <v>133</v>
      </c>
      <c r="L1436" s="153"/>
      <c r="M1436" s="136" t="str">
        <f t="shared" si="1"/>
        <v/>
      </c>
      <c r="O1436" s="141" t="s">
        <v>133</v>
      </c>
      <c r="P1436" s="136" t="str">
        <f>IFERROR(__xludf.DUMMYFUNCTION("""COMPUTED_VALUE"""),"")</f>
        <v/>
      </c>
      <c r="Q1436" s="136" t="str">
        <f>IFERROR(__xludf.DUMMYFUNCTION("""COMPUTED_VALUE"""),"")</f>
        <v/>
      </c>
      <c r="R1436" s="106" t="str">
        <f>IFERROR(__xludf.DUMMYFUNCTION("""COMPUTED_VALUE"""),"")</f>
        <v/>
      </c>
      <c r="S1436" s="106" t="str">
        <f>IFERROR(__xludf.DUMMYFUNCTION("""COMPUTED_VALUE"""),"")</f>
        <v/>
      </c>
      <c r="T1436" s="139" t="str">
        <f>IFERROR(__xludf.DUMMYFUNCTION("""COMPUTED_VALUE"""),"")</f>
        <v/>
      </c>
      <c r="U1436" s="139" t="str">
        <f>IFERROR(__xludf.DUMMYFUNCTION("""COMPUTED_VALUE"""),"")</f>
        <v/>
      </c>
      <c r="V1436" s="136" t="str">
        <f>IFERROR(__xludf.DUMMYFUNCTION("""COMPUTED_VALUE"""),"")</f>
        <v/>
      </c>
      <c r="W1436" s="106" t="str">
        <f>IFERROR(__xludf.DUMMYFUNCTION("""COMPUTED_VALUE"""),"")</f>
        <v/>
      </c>
      <c r="X1436" s="143" t="str">
        <f t="shared" si="2"/>
        <v/>
      </c>
      <c r="Y1436" s="139" t="str">
        <f>IFERROR(__xludf.DUMMYFUNCTION("""COMPUTED_VALUE"""),"")</f>
        <v/>
      </c>
      <c r="Z1436" s="141" t="str">
        <f>IFERROR(__xludf.DUMMYFUNCTION("""COMPUTED_VALUE"""),"")</f>
        <v/>
      </c>
    </row>
    <row r="1437">
      <c r="D1437" s="136" t="str">
        <f t="shared" si="3"/>
        <v/>
      </c>
      <c r="E1437" s="152"/>
      <c r="F1437" s="106" t="s">
        <v>133</v>
      </c>
      <c r="G1437" s="152"/>
      <c r="H1437" s="106" t="s">
        <v>133</v>
      </c>
      <c r="J1437" s="139" t="s">
        <v>133</v>
      </c>
      <c r="K1437" s="136" t="s">
        <v>133</v>
      </c>
      <c r="L1437" s="153"/>
      <c r="M1437" s="136" t="str">
        <f t="shared" si="1"/>
        <v/>
      </c>
      <c r="O1437" s="141" t="s">
        <v>133</v>
      </c>
      <c r="P1437" s="136" t="str">
        <f>IFERROR(__xludf.DUMMYFUNCTION("""COMPUTED_VALUE"""),"")</f>
        <v/>
      </c>
      <c r="Q1437" s="136" t="str">
        <f>IFERROR(__xludf.DUMMYFUNCTION("""COMPUTED_VALUE"""),"")</f>
        <v/>
      </c>
      <c r="R1437" s="106" t="str">
        <f>IFERROR(__xludf.DUMMYFUNCTION("""COMPUTED_VALUE"""),"")</f>
        <v/>
      </c>
      <c r="S1437" s="106" t="str">
        <f>IFERROR(__xludf.DUMMYFUNCTION("""COMPUTED_VALUE"""),"")</f>
        <v/>
      </c>
      <c r="T1437" s="139" t="str">
        <f>IFERROR(__xludf.DUMMYFUNCTION("""COMPUTED_VALUE"""),"")</f>
        <v/>
      </c>
      <c r="U1437" s="139" t="str">
        <f>IFERROR(__xludf.DUMMYFUNCTION("""COMPUTED_VALUE"""),"")</f>
        <v/>
      </c>
      <c r="V1437" s="136" t="str">
        <f>IFERROR(__xludf.DUMMYFUNCTION("""COMPUTED_VALUE"""),"")</f>
        <v/>
      </c>
      <c r="W1437" s="106" t="str">
        <f>IFERROR(__xludf.DUMMYFUNCTION("""COMPUTED_VALUE"""),"")</f>
        <v/>
      </c>
      <c r="X1437" s="143" t="str">
        <f t="shared" si="2"/>
        <v/>
      </c>
      <c r="Y1437" s="139" t="str">
        <f>IFERROR(__xludf.DUMMYFUNCTION("""COMPUTED_VALUE"""),"")</f>
        <v/>
      </c>
      <c r="Z1437" s="141" t="str">
        <f>IFERROR(__xludf.DUMMYFUNCTION("""COMPUTED_VALUE"""),"")</f>
        <v/>
      </c>
    </row>
    <row r="1438">
      <c r="D1438" s="136" t="str">
        <f t="shared" si="3"/>
        <v/>
      </c>
      <c r="E1438" s="152"/>
      <c r="F1438" s="106" t="s">
        <v>133</v>
      </c>
      <c r="G1438" s="152"/>
      <c r="H1438" s="106" t="s">
        <v>133</v>
      </c>
      <c r="J1438" s="139" t="s">
        <v>133</v>
      </c>
      <c r="K1438" s="136" t="s">
        <v>133</v>
      </c>
      <c r="L1438" s="153"/>
      <c r="M1438" s="136" t="str">
        <f t="shared" si="1"/>
        <v/>
      </c>
      <c r="O1438" s="141" t="s">
        <v>133</v>
      </c>
      <c r="P1438" s="136" t="str">
        <f>IFERROR(__xludf.DUMMYFUNCTION("""COMPUTED_VALUE"""),"")</f>
        <v/>
      </c>
      <c r="Q1438" s="136" t="str">
        <f>IFERROR(__xludf.DUMMYFUNCTION("""COMPUTED_VALUE"""),"")</f>
        <v/>
      </c>
      <c r="R1438" s="106" t="str">
        <f>IFERROR(__xludf.DUMMYFUNCTION("""COMPUTED_VALUE"""),"")</f>
        <v/>
      </c>
      <c r="S1438" s="106" t="str">
        <f>IFERROR(__xludf.DUMMYFUNCTION("""COMPUTED_VALUE"""),"")</f>
        <v/>
      </c>
      <c r="T1438" s="139" t="str">
        <f>IFERROR(__xludf.DUMMYFUNCTION("""COMPUTED_VALUE"""),"")</f>
        <v/>
      </c>
      <c r="U1438" s="139" t="str">
        <f>IFERROR(__xludf.DUMMYFUNCTION("""COMPUTED_VALUE"""),"")</f>
        <v/>
      </c>
      <c r="V1438" s="136" t="str">
        <f>IFERROR(__xludf.DUMMYFUNCTION("""COMPUTED_VALUE"""),"")</f>
        <v/>
      </c>
      <c r="W1438" s="106" t="str">
        <f>IFERROR(__xludf.DUMMYFUNCTION("""COMPUTED_VALUE"""),"")</f>
        <v/>
      </c>
      <c r="X1438" s="143" t="str">
        <f t="shared" si="2"/>
        <v/>
      </c>
      <c r="Y1438" s="139" t="str">
        <f>IFERROR(__xludf.DUMMYFUNCTION("""COMPUTED_VALUE"""),"")</f>
        <v/>
      </c>
      <c r="Z1438" s="141" t="str">
        <f>IFERROR(__xludf.DUMMYFUNCTION("""COMPUTED_VALUE"""),"")</f>
        <v/>
      </c>
    </row>
    <row r="1439">
      <c r="D1439" s="136" t="str">
        <f t="shared" si="3"/>
        <v/>
      </c>
      <c r="E1439" s="152"/>
      <c r="F1439" s="106" t="s">
        <v>133</v>
      </c>
      <c r="G1439" s="152"/>
      <c r="H1439" s="106" t="s">
        <v>133</v>
      </c>
      <c r="J1439" s="139" t="s">
        <v>133</v>
      </c>
      <c r="K1439" s="136" t="s">
        <v>133</v>
      </c>
      <c r="L1439" s="153"/>
      <c r="M1439" s="136" t="str">
        <f t="shared" si="1"/>
        <v/>
      </c>
      <c r="O1439" s="141" t="s">
        <v>133</v>
      </c>
      <c r="P1439" s="136" t="str">
        <f>IFERROR(__xludf.DUMMYFUNCTION("""COMPUTED_VALUE"""),"")</f>
        <v/>
      </c>
      <c r="Q1439" s="136" t="str">
        <f>IFERROR(__xludf.DUMMYFUNCTION("""COMPUTED_VALUE"""),"")</f>
        <v/>
      </c>
      <c r="R1439" s="106" t="str">
        <f>IFERROR(__xludf.DUMMYFUNCTION("""COMPUTED_VALUE"""),"")</f>
        <v/>
      </c>
      <c r="S1439" s="106" t="str">
        <f>IFERROR(__xludf.DUMMYFUNCTION("""COMPUTED_VALUE"""),"")</f>
        <v/>
      </c>
      <c r="T1439" s="139" t="str">
        <f>IFERROR(__xludf.DUMMYFUNCTION("""COMPUTED_VALUE"""),"")</f>
        <v/>
      </c>
      <c r="U1439" s="139" t="str">
        <f>IFERROR(__xludf.DUMMYFUNCTION("""COMPUTED_VALUE"""),"")</f>
        <v/>
      </c>
      <c r="V1439" s="136" t="str">
        <f>IFERROR(__xludf.DUMMYFUNCTION("""COMPUTED_VALUE"""),"")</f>
        <v/>
      </c>
      <c r="W1439" s="106" t="str">
        <f>IFERROR(__xludf.DUMMYFUNCTION("""COMPUTED_VALUE"""),"")</f>
        <v/>
      </c>
      <c r="X1439" s="143" t="str">
        <f t="shared" si="2"/>
        <v/>
      </c>
      <c r="Y1439" s="139" t="str">
        <f>IFERROR(__xludf.DUMMYFUNCTION("""COMPUTED_VALUE"""),"")</f>
        <v/>
      </c>
      <c r="Z1439" s="141" t="str">
        <f>IFERROR(__xludf.DUMMYFUNCTION("""COMPUTED_VALUE"""),"")</f>
        <v/>
      </c>
    </row>
    <row r="1440">
      <c r="D1440" s="136" t="str">
        <f t="shared" si="3"/>
        <v/>
      </c>
      <c r="E1440" s="152"/>
      <c r="F1440" s="106" t="s">
        <v>133</v>
      </c>
      <c r="G1440" s="152"/>
      <c r="H1440" s="106" t="s">
        <v>133</v>
      </c>
      <c r="J1440" s="139" t="s">
        <v>133</v>
      </c>
      <c r="K1440" s="136" t="s">
        <v>133</v>
      </c>
      <c r="L1440" s="153"/>
      <c r="M1440" s="136" t="str">
        <f t="shared" si="1"/>
        <v/>
      </c>
      <c r="O1440" s="141" t="s">
        <v>133</v>
      </c>
      <c r="P1440" s="136" t="str">
        <f>IFERROR(__xludf.DUMMYFUNCTION("""COMPUTED_VALUE"""),"")</f>
        <v/>
      </c>
      <c r="Q1440" s="136" t="str">
        <f>IFERROR(__xludf.DUMMYFUNCTION("""COMPUTED_VALUE"""),"")</f>
        <v/>
      </c>
      <c r="R1440" s="106" t="str">
        <f>IFERROR(__xludf.DUMMYFUNCTION("""COMPUTED_VALUE"""),"")</f>
        <v/>
      </c>
      <c r="S1440" s="106" t="str">
        <f>IFERROR(__xludf.DUMMYFUNCTION("""COMPUTED_VALUE"""),"")</f>
        <v/>
      </c>
      <c r="T1440" s="139" t="str">
        <f>IFERROR(__xludf.DUMMYFUNCTION("""COMPUTED_VALUE"""),"")</f>
        <v/>
      </c>
      <c r="U1440" s="139" t="str">
        <f>IFERROR(__xludf.DUMMYFUNCTION("""COMPUTED_VALUE"""),"")</f>
        <v/>
      </c>
      <c r="V1440" s="136" t="str">
        <f>IFERROR(__xludf.DUMMYFUNCTION("""COMPUTED_VALUE"""),"")</f>
        <v/>
      </c>
      <c r="W1440" s="106" t="str">
        <f>IFERROR(__xludf.DUMMYFUNCTION("""COMPUTED_VALUE"""),"")</f>
        <v/>
      </c>
      <c r="X1440" s="143" t="str">
        <f t="shared" si="2"/>
        <v/>
      </c>
      <c r="Y1440" s="139" t="str">
        <f>IFERROR(__xludf.DUMMYFUNCTION("""COMPUTED_VALUE"""),"")</f>
        <v/>
      </c>
      <c r="Z1440" s="141" t="str">
        <f>IFERROR(__xludf.DUMMYFUNCTION("""COMPUTED_VALUE"""),"")</f>
        <v/>
      </c>
    </row>
    <row r="1441">
      <c r="D1441" s="136" t="str">
        <f t="shared" si="3"/>
        <v/>
      </c>
      <c r="E1441" s="152"/>
      <c r="F1441" s="106" t="s">
        <v>133</v>
      </c>
      <c r="G1441" s="152"/>
      <c r="H1441" s="106" t="s">
        <v>133</v>
      </c>
      <c r="J1441" s="139" t="s">
        <v>133</v>
      </c>
      <c r="K1441" s="136" t="s">
        <v>133</v>
      </c>
      <c r="L1441" s="153"/>
      <c r="M1441" s="136" t="str">
        <f t="shared" si="1"/>
        <v/>
      </c>
      <c r="O1441" s="141" t="s">
        <v>133</v>
      </c>
      <c r="P1441" s="136" t="str">
        <f>IFERROR(__xludf.DUMMYFUNCTION("""COMPUTED_VALUE"""),"")</f>
        <v/>
      </c>
      <c r="Q1441" s="136" t="str">
        <f>IFERROR(__xludf.DUMMYFUNCTION("""COMPUTED_VALUE"""),"")</f>
        <v/>
      </c>
      <c r="R1441" s="106" t="str">
        <f>IFERROR(__xludf.DUMMYFUNCTION("""COMPUTED_VALUE"""),"")</f>
        <v/>
      </c>
      <c r="S1441" s="106" t="str">
        <f>IFERROR(__xludf.DUMMYFUNCTION("""COMPUTED_VALUE"""),"")</f>
        <v/>
      </c>
      <c r="T1441" s="139" t="str">
        <f>IFERROR(__xludf.DUMMYFUNCTION("""COMPUTED_VALUE"""),"")</f>
        <v/>
      </c>
      <c r="U1441" s="139" t="str">
        <f>IFERROR(__xludf.DUMMYFUNCTION("""COMPUTED_VALUE"""),"")</f>
        <v/>
      </c>
      <c r="V1441" s="136" t="str">
        <f>IFERROR(__xludf.DUMMYFUNCTION("""COMPUTED_VALUE"""),"")</f>
        <v/>
      </c>
      <c r="W1441" s="106" t="str">
        <f>IFERROR(__xludf.DUMMYFUNCTION("""COMPUTED_VALUE"""),"")</f>
        <v/>
      </c>
      <c r="X1441" s="143" t="str">
        <f t="shared" si="2"/>
        <v/>
      </c>
      <c r="Y1441" s="139" t="str">
        <f>IFERROR(__xludf.DUMMYFUNCTION("""COMPUTED_VALUE"""),"")</f>
        <v/>
      </c>
      <c r="Z1441" s="141" t="str">
        <f>IFERROR(__xludf.DUMMYFUNCTION("""COMPUTED_VALUE"""),"")</f>
        <v/>
      </c>
    </row>
    <row r="1442">
      <c r="D1442" s="136" t="str">
        <f t="shared" si="3"/>
        <v/>
      </c>
      <c r="E1442" s="152"/>
      <c r="F1442" s="106" t="s">
        <v>133</v>
      </c>
      <c r="G1442" s="152"/>
      <c r="H1442" s="106" t="s">
        <v>133</v>
      </c>
      <c r="J1442" s="139" t="s">
        <v>133</v>
      </c>
      <c r="K1442" s="136" t="s">
        <v>133</v>
      </c>
      <c r="L1442" s="153"/>
      <c r="M1442" s="136" t="str">
        <f t="shared" si="1"/>
        <v/>
      </c>
      <c r="O1442" s="141" t="s">
        <v>133</v>
      </c>
      <c r="P1442" s="136" t="str">
        <f>IFERROR(__xludf.DUMMYFUNCTION("""COMPUTED_VALUE"""),"")</f>
        <v/>
      </c>
      <c r="Q1442" s="136" t="str">
        <f>IFERROR(__xludf.DUMMYFUNCTION("""COMPUTED_VALUE"""),"")</f>
        <v/>
      </c>
      <c r="R1442" s="106" t="str">
        <f>IFERROR(__xludf.DUMMYFUNCTION("""COMPUTED_VALUE"""),"")</f>
        <v/>
      </c>
      <c r="S1442" s="106" t="str">
        <f>IFERROR(__xludf.DUMMYFUNCTION("""COMPUTED_VALUE"""),"")</f>
        <v/>
      </c>
      <c r="T1442" s="139" t="str">
        <f>IFERROR(__xludf.DUMMYFUNCTION("""COMPUTED_VALUE"""),"")</f>
        <v/>
      </c>
      <c r="U1442" s="139" t="str">
        <f>IFERROR(__xludf.DUMMYFUNCTION("""COMPUTED_VALUE"""),"")</f>
        <v/>
      </c>
      <c r="V1442" s="136" t="str">
        <f>IFERROR(__xludf.DUMMYFUNCTION("""COMPUTED_VALUE"""),"")</f>
        <v/>
      </c>
      <c r="W1442" s="106" t="str">
        <f>IFERROR(__xludf.DUMMYFUNCTION("""COMPUTED_VALUE"""),"")</f>
        <v/>
      </c>
      <c r="X1442" s="143" t="str">
        <f t="shared" si="2"/>
        <v/>
      </c>
      <c r="Y1442" s="139" t="str">
        <f>IFERROR(__xludf.DUMMYFUNCTION("""COMPUTED_VALUE"""),"")</f>
        <v/>
      </c>
      <c r="Z1442" s="141" t="str">
        <f>IFERROR(__xludf.DUMMYFUNCTION("""COMPUTED_VALUE"""),"")</f>
        <v/>
      </c>
    </row>
    <row r="1443">
      <c r="D1443" s="136" t="str">
        <f t="shared" si="3"/>
        <v/>
      </c>
      <c r="E1443" s="152"/>
      <c r="F1443" s="106" t="s">
        <v>133</v>
      </c>
      <c r="G1443" s="152"/>
      <c r="H1443" s="106" t="s">
        <v>133</v>
      </c>
      <c r="J1443" s="139" t="s">
        <v>133</v>
      </c>
      <c r="K1443" s="136" t="s">
        <v>133</v>
      </c>
      <c r="L1443" s="153"/>
      <c r="M1443" s="136" t="str">
        <f t="shared" si="1"/>
        <v/>
      </c>
      <c r="O1443" s="141" t="s">
        <v>133</v>
      </c>
      <c r="P1443" s="136" t="str">
        <f>IFERROR(__xludf.DUMMYFUNCTION("""COMPUTED_VALUE"""),"")</f>
        <v/>
      </c>
      <c r="Q1443" s="136" t="str">
        <f>IFERROR(__xludf.DUMMYFUNCTION("""COMPUTED_VALUE"""),"")</f>
        <v/>
      </c>
      <c r="R1443" s="106" t="str">
        <f>IFERROR(__xludf.DUMMYFUNCTION("""COMPUTED_VALUE"""),"")</f>
        <v/>
      </c>
      <c r="S1443" s="106" t="str">
        <f>IFERROR(__xludf.DUMMYFUNCTION("""COMPUTED_VALUE"""),"")</f>
        <v/>
      </c>
      <c r="T1443" s="139" t="str">
        <f>IFERROR(__xludf.DUMMYFUNCTION("""COMPUTED_VALUE"""),"")</f>
        <v/>
      </c>
      <c r="U1443" s="139" t="str">
        <f>IFERROR(__xludf.DUMMYFUNCTION("""COMPUTED_VALUE"""),"")</f>
        <v/>
      </c>
      <c r="V1443" s="136" t="str">
        <f>IFERROR(__xludf.DUMMYFUNCTION("""COMPUTED_VALUE"""),"")</f>
        <v/>
      </c>
      <c r="W1443" s="106" t="str">
        <f>IFERROR(__xludf.DUMMYFUNCTION("""COMPUTED_VALUE"""),"")</f>
        <v/>
      </c>
      <c r="X1443" s="143" t="str">
        <f t="shared" si="2"/>
        <v/>
      </c>
      <c r="Y1443" s="139" t="str">
        <f>IFERROR(__xludf.DUMMYFUNCTION("""COMPUTED_VALUE"""),"")</f>
        <v/>
      </c>
      <c r="Z1443" s="141" t="str">
        <f>IFERROR(__xludf.DUMMYFUNCTION("""COMPUTED_VALUE"""),"")</f>
        <v/>
      </c>
    </row>
    <row r="1444">
      <c r="D1444" s="136" t="str">
        <f t="shared" si="3"/>
        <v/>
      </c>
      <c r="E1444" s="152"/>
      <c r="F1444" s="106" t="s">
        <v>133</v>
      </c>
      <c r="G1444" s="152"/>
      <c r="H1444" s="106" t="s">
        <v>133</v>
      </c>
      <c r="J1444" s="139" t="s">
        <v>133</v>
      </c>
      <c r="K1444" s="136" t="s">
        <v>133</v>
      </c>
      <c r="L1444" s="153"/>
      <c r="M1444" s="136" t="str">
        <f t="shared" si="1"/>
        <v/>
      </c>
      <c r="O1444" s="141" t="s">
        <v>133</v>
      </c>
      <c r="P1444" s="136" t="str">
        <f>IFERROR(__xludf.DUMMYFUNCTION("""COMPUTED_VALUE"""),"")</f>
        <v/>
      </c>
      <c r="Q1444" s="136" t="str">
        <f>IFERROR(__xludf.DUMMYFUNCTION("""COMPUTED_VALUE"""),"")</f>
        <v/>
      </c>
      <c r="R1444" s="106" t="str">
        <f>IFERROR(__xludf.DUMMYFUNCTION("""COMPUTED_VALUE"""),"")</f>
        <v/>
      </c>
      <c r="S1444" s="106" t="str">
        <f>IFERROR(__xludf.DUMMYFUNCTION("""COMPUTED_VALUE"""),"")</f>
        <v/>
      </c>
      <c r="T1444" s="139" t="str">
        <f>IFERROR(__xludf.DUMMYFUNCTION("""COMPUTED_VALUE"""),"")</f>
        <v/>
      </c>
      <c r="U1444" s="139" t="str">
        <f>IFERROR(__xludf.DUMMYFUNCTION("""COMPUTED_VALUE"""),"")</f>
        <v/>
      </c>
      <c r="V1444" s="136" t="str">
        <f>IFERROR(__xludf.DUMMYFUNCTION("""COMPUTED_VALUE"""),"")</f>
        <v/>
      </c>
      <c r="W1444" s="106" t="str">
        <f>IFERROR(__xludf.DUMMYFUNCTION("""COMPUTED_VALUE"""),"")</f>
        <v/>
      </c>
      <c r="X1444" s="143" t="str">
        <f t="shared" si="2"/>
        <v/>
      </c>
      <c r="Y1444" s="139" t="str">
        <f>IFERROR(__xludf.DUMMYFUNCTION("""COMPUTED_VALUE"""),"")</f>
        <v/>
      </c>
      <c r="Z1444" s="141" t="str">
        <f>IFERROR(__xludf.DUMMYFUNCTION("""COMPUTED_VALUE"""),"")</f>
        <v/>
      </c>
    </row>
    <row r="1445">
      <c r="D1445" s="136" t="str">
        <f t="shared" si="3"/>
        <v/>
      </c>
      <c r="E1445" s="152"/>
      <c r="F1445" s="106" t="s">
        <v>133</v>
      </c>
      <c r="G1445" s="152"/>
      <c r="H1445" s="106" t="s">
        <v>133</v>
      </c>
      <c r="J1445" s="139" t="s">
        <v>133</v>
      </c>
      <c r="K1445" s="136" t="s">
        <v>133</v>
      </c>
      <c r="L1445" s="153"/>
      <c r="M1445" s="136" t="str">
        <f t="shared" si="1"/>
        <v/>
      </c>
      <c r="O1445" s="141" t="s">
        <v>133</v>
      </c>
      <c r="P1445" s="136" t="str">
        <f>IFERROR(__xludf.DUMMYFUNCTION("""COMPUTED_VALUE"""),"")</f>
        <v/>
      </c>
      <c r="Q1445" s="136" t="str">
        <f>IFERROR(__xludf.DUMMYFUNCTION("""COMPUTED_VALUE"""),"")</f>
        <v/>
      </c>
      <c r="R1445" s="106" t="str">
        <f>IFERROR(__xludf.DUMMYFUNCTION("""COMPUTED_VALUE"""),"")</f>
        <v/>
      </c>
      <c r="S1445" s="106" t="str">
        <f>IFERROR(__xludf.DUMMYFUNCTION("""COMPUTED_VALUE"""),"")</f>
        <v/>
      </c>
      <c r="T1445" s="139" t="str">
        <f>IFERROR(__xludf.DUMMYFUNCTION("""COMPUTED_VALUE"""),"")</f>
        <v/>
      </c>
      <c r="U1445" s="139" t="str">
        <f>IFERROR(__xludf.DUMMYFUNCTION("""COMPUTED_VALUE"""),"")</f>
        <v/>
      </c>
      <c r="V1445" s="136" t="str">
        <f>IFERROR(__xludf.DUMMYFUNCTION("""COMPUTED_VALUE"""),"")</f>
        <v/>
      </c>
      <c r="W1445" s="106" t="str">
        <f>IFERROR(__xludf.DUMMYFUNCTION("""COMPUTED_VALUE"""),"")</f>
        <v/>
      </c>
      <c r="X1445" s="143" t="str">
        <f t="shared" si="2"/>
        <v/>
      </c>
      <c r="Y1445" s="139" t="str">
        <f>IFERROR(__xludf.DUMMYFUNCTION("""COMPUTED_VALUE"""),"")</f>
        <v/>
      </c>
      <c r="Z1445" s="141" t="str">
        <f>IFERROR(__xludf.DUMMYFUNCTION("""COMPUTED_VALUE"""),"")</f>
        <v/>
      </c>
    </row>
    <row r="1446">
      <c r="D1446" s="136" t="str">
        <f t="shared" si="3"/>
        <v/>
      </c>
      <c r="E1446" s="152"/>
      <c r="F1446" s="106" t="s">
        <v>133</v>
      </c>
      <c r="G1446" s="152"/>
      <c r="H1446" s="106" t="s">
        <v>133</v>
      </c>
      <c r="J1446" s="139" t="s">
        <v>133</v>
      </c>
      <c r="K1446" s="136" t="s">
        <v>133</v>
      </c>
      <c r="L1446" s="153"/>
      <c r="M1446" s="136" t="str">
        <f t="shared" si="1"/>
        <v/>
      </c>
      <c r="O1446" s="141" t="s">
        <v>133</v>
      </c>
      <c r="P1446" s="136" t="str">
        <f>IFERROR(__xludf.DUMMYFUNCTION("""COMPUTED_VALUE"""),"")</f>
        <v/>
      </c>
      <c r="Q1446" s="136" t="str">
        <f>IFERROR(__xludf.DUMMYFUNCTION("""COMPUTED_VALUE"""),"")</f>
        <v/>
      </c>
      <c r="R1446" s="106" t="str">
        <f>IFERROR(__xludf.DUMMYFUNCTION("""COMPUTED_VALUE"""),"")</f>
        <v/>
      </c>
      <c r="S1446" s="106" t="str">
        <f>IFERROR(__xludf.DUMMYFUNCTION("""COMPUTED_VALUE"""),"")</f>
        <v/>
      </c>
      <c r="T1446" s="139" t="str">
        <f>IFERROR(__xludf.DUMMYFUNCTION("""COMPUTED_VALUE"""),"")</f>
        <v/>
      </c>
      <c r="U1446" s="139" t="str">
        <f>IFERROR(__xludf.DUMMYFUNCTION("""COMPUTED_VALUE"""),"")</f>
        <v/>
      </c>
      <c r="V1446" s="136" t="str">
        <f>IFERROR(__xludf.DUMMYFUNCTION("""COMPUTED_VALUE"""),"")</f>
        <v/>
      </c>
      <c r="W1446" s="106" t="str">
        <f>IFERROR(__xludf.DUMMYFUNCTION("""COMPUTED_VALUE"""),"")</f>
        <v/>
      </c>
      <c r="X1446" s="143" t="str">
        <f t="shared" si="2"/>
        <v/>
      </c>
      <c r="Y1446" s="139" t="str">
        <f>IFERROR(__xludf.DUMMYFUNCTION("""COMPUTED_VALUE"""),"")</f>
        <v/>
      </c>
      <c r="Z1446" s="141" t="str">
        <f>IFERROR(__xludf.DUMMYFUNCTION("""COMPUTED_VALUE"""),"")</f>
        <v/>
      </c>
    </row>
    <row r="1447">
      <c r="D1447" s="136" t="str">
        <f t="shared" si="3"/>
        <v/>
      </c>
      <c r="E1447" s="152"/>
      <c r="F1447" s="106" t="s">
        <v>133</v>
      </c>
      <c r="G1447" s="152"/>
      <c r="H1447" s="106" t="s">
        <v>133</v>
      </c>
      <c r="J1447" s="139" t="s">
        <v>133</v>
      </c>
      <c r="K1447" s="136" t="s">
        <v>133</v>
      </c>
      <c r="L1447" s="153"/>
      <c r="M1447" s="136" t="str">
        <f t="shared" si="1"/>
        <v/>
      </c>
      <c r="O1447" s="141" t="s">
        <v>133</v>
      </c>
      <c r="P1447" s="136" t="str">
        <f>IFERROR(__xludf.DUMMYFUNCTION("""COMPUTED_VALUE"""),"")</f>
        <v/>
      </c>
      <c r="Q1447" s="136" t="str">
        <f>IFERROR(__xludf.DUMMYFUNCTION("""COMPUTED_VALUE"""),"")</f>
        <v/>
      </c>
      <c r="R1447" s="106" t="str">
        <f>IFERROR(__xludf.DUMMYFUNCTION("""COMPUTED_VALUE"""),"")</f>
        <v/>
      </c>
      <c r="S1447" s="106" t="str">
        <f>IFERROR(__xludf.DUMMYFUNCTION("""COMPUTED_VALUE"""),"")</f>
        <v/>
      </c>
      <c r="T1447" s="139" t="str">
        <f>IFERROR(__xludf.DUMMYFUNCTION("""COMPUTED_VALUE"""),"")</f>
        <v/>
      </c>
      <c r="U1447" s="139" t="str">
        <f>IFERROR(__xludf.DUMMYFUNCTION("""COMPUTED_VALUE"""),"")</f>
        <v/>
      </c>
      <c r="V1447" s="136" t="str">
        <f>IFERROR(__xludf.DUMMYFUNCTION("""COMPUTED_VALUE"""),"")</f>
        <v/>
      </c>
      <c r="W1447" s="106" t="str">
        <f>IFERROR(__xludf.DUMMYFUNCTION("""COMPUTED_VALUE"""),"")</f>
        <v/>
      </c>
      <c r="X1447" s="143" t="str">
        <f t="shared" si="2"/>
        <v/>
      </c>
      <c r="Y1447" s="139" t="str">
        <f>IFERROR(__xludf.DUMMYFUNCTION("""COMPUTED_VALUE"""),"")</f>
        <v/>
      </c>
      <c r="Z1447" s="141" t="str">
        <f>IFERROR(__xludf.DUMMYFUNCTION("""COMPUTED_VALUE"""),"")</f>
        <v/>
      </c>
    </row>
    <row r="1448">
      <c r="D1448" s="136" t="str">
        <f t="shared" si="3"/>
        <v/>
      </c>
      <c r="E1448" s="152"/>
      <c r="F1448" s="106" t="s">
        <v>133</v>
      </c>
      <c r="G1448" s="152"/>
      <c r="H1448" s="106" t="s">
        <v>133</v>
      </c>
      <c r="J1448" s="139" t="s">
        <v>133</v>
      </c>
      <c r="K1448" s="136" t="s">
        <v>133</v>
      </c>
      <c r="L1448" s="153"/>
      <c r="M1448" s="136" t="str">
        <f t="shared" si="1"/>
        <v/>
      </c>
      <c r="O1448" s="141" t="s">
        <v>133</v>
      </c>
      <c r="P1448" s="136" t="str">
        <f>IFERROR(__xludf.DUMMYFUNCTION("""COMPUTED_VALUE"""),"")</f>
        <v/>
      </c>
      <c r="Q1448" s="136" t="str">
        <f>IFERROR(__xludf.DUMMYFUNCTION("""COMPUTED_VALUE"""),"")</f>
        <v/>
      </c>
      <c r="R1448" s="106" t="str">
        <f>IFERROR(__xludf.DUMMYFUNCTION("""COMPUTED_VALUE"""),"")</f>
        <v/>
      </c>
      <c r="S1448" s="106" t="str">
        <f>IFERROR(__xludf.DUMMYFUNCTION("""COMPUTED_VALUE"""),"")</f>
        <v/>
      </c>
      <c r="T1448" s="139" t="str">
        <f>IFERROR(__xludf.DUMMYFUNCTION("""COMPUTED_VALUE"""),"")</f>
        <v/>
      </c>
      <c r="U1448" s="139" t="str">
        <f>IFERROR(__xludf.DUMMYFUNCTION("""COMPUTED_VALUE"""),"")</f>
        <v/>
      </c>
      <c r="V1448" s="136" t="str">
        <f>IFERROR(__xludf.DUMMYFUNCTION("""COMPUTED_VALUE"""),"")</f>
        <v/>
      </c>
      <c r="W1448" s="106" t="str">
        <f>IFERROR(__xludf.DUMMYFUNCTION("""COMPUTED_VALUE"""),"")</f>
        <v/>
      </c>
      <c r="X1448" s="143" t="str">
        <f t="shared" si="2"/>
        <v/>
      </c>
      <c r="Y1448" s="139" t="str">
        <f>IFERROR(__xludf.DUMMYFUNCTION("""COMPUTED_VALUE"""),"")</f>
        <v/>
      </c>
      <c r="Z1448" s="141" t="str">
        <f>IFERROR(__xludf.DUMMYFUNCTION("""COMPUTED_VALUE"""),"")</f>
        <v/>
      </c>
    </row>
    <row r="1449">
      <c r="D1449" s="136" t="str">
        <f t="shared" si="3"/>
        <v/>
      </c>
      <c r="E1449" s="152"/>
      <c r="F1449" s="106" t="s">
        <v>133</v>
      </c>
      <c r="G1449" s="152"/>
      <c r="H1449" s="106" t="s">
        <v>133</v>
      </c>
      <c r="J1449" s="139" t="s">
        <v>133</v>
      </c>
      <c r="K1449" s="136" t="s">
        <v>133</v>
      </c>
      <c r="L1449" s="153"/>
      <c r="M1449" s="136" t="str">
        <f t="shared" si="1"/>
        <v/>
      </c>
      <c r="O1449" s="141" t="s">
        <v>133</v>
      </c>
      <c r="P1449" s="136" t="str">
        <f>IFERROR(__xludf.DUMMYFUNCTION("""COMPUTED_VALUE"""),"")</f>
        <v/>
      </c>
      <c r="Q1449" s="136" t="str">
        <f>IFERROR(__xludf.DUMMYFUNCTION("""COMPUTED_VALUE"""),"")</f>
        <v/>
      </c>
      <c r="R1449" s="106" t="str">
        <f>IFERROR(__xludf.DUMMYFUNCTION("""COMPUTED_VALUE"""),"")</f>
        <v/>
      </c>
      <c r="S1449" s="106" t="str">
        <f>IFERROR(__xludf.DUMMYFUNCTION("""COMPUTED_VALUE"""),"")</f>
        <v/>
      </c>
      <c r="T1449" s="139" t="str">
        <f>IFERROR(__xludf.DUMMYFUNCTION("""COMPUTED_VALUE"""),"")</f>
        <v/>
      </c>
      <c r="U1449" s="139" t="str">
        <f>IFERROR(__xludf.DUMMYFUNCTION("""COMPUTED_VALUE"""),"")</f>
        <v/>
      </c>
      <c r="V1449" s="136" t="str">
        <f>IFERROR(__xludf.DUMMYFUNCTION("""COMPUTED_VALUE"""),"")</f>
        <v/>
      </c>
      <c r="W1449" s="106" t="str">
        <f>IFERROR(__xludf.DUMMYFUNCTION("""COMPUTED_VALUE"""),"")</f>
        <v/>
      </c>
      <c r="X1449" s="143" t="str">
        <f t="shared" si="2"/>
        <v/>
      </c>
      <c r="Y1449" s="139" t="str">
        <f>IFERROR(__xludf.DUMMYFUNCTION("""COMPUTED_VALUE"""),"")</f>
        <v/>
      </c>
      <c r="Z1449" s="141" t="str">
        <f>IFERROR(__xludf.DUMMYFUNCTION("""COMPUTED_VALUE"""),"")</f>
        <v/>
      </c>
    </row>
    <row r="1450">
      <c r="D1450" s="136" t="str">
        <f t="shared" si="3"/>
        <v/>
      </c>
      <c r="E1450" s="152"/>
      <c r="F1450" s="106" t="s">
        <v>133</v>
      </c>
      <c r="G1450" s="152"/>
      <c r="H1450" s="106" t="s">
        <v>133</v>
      </c>
      <c r="J1450" s="139" t="s">
        <v>133</v>
      </c>
      <c r="K1450" s="136" t="s">
        <v>133</v>
      </c>
      <c r="L1450" s="153"/>
      <c r="M1450" s="136" t="str">
        <f t="shared" si="1"/>
        <v/>
      </c>
      <c r="O1450" s="141" t="s">
        <v>133</v>
      </c>
      <c r="P1450" s="136" t="str">
        <f>IFERROR(__xludf.DUMMYFUNCTION("""COMPUTED_VALUE"""),"")</f>
        <v/>
      </c>
      <c r="Q1450" s="136" t="str">
        <f>IFERROR(__xludf.DUMMYFUNCTION("""COMPUTED_VALUE"""),"")</f>
        <v/>
      </c>
      <c r="R1450" s="106" t="str">
        <f>IFERROR(__xludf.DUMMYFUNCTION("""COMPUTED_VALUE"""),"")</f>
        <v/>
      </c>
      <c r="S1450" s="106" t="str">
        <f>IFERROR(__xludf.DUMMYFUNCTION("""COMPUTED_VALUE"""),"")</f>
        <v/>
      </c>
      <c r="T1450" s="139" t="str">
        <f>IFERROR(__xludf.DUMMYFUNCTION("""COMPUTED_VALUE"""),"")</f>
        <v/>
      </c>
      <c r="U1450" s="139" t="str">
        <f>IFERROR(__xludf.DUMMYFUNCTION("""COMPUTED_VALUE"""),"")</f>
        <v/>
      </c>
      <c r="V1450" s="136" t="str">
        <f>IFERROR(__xludf.DUMMYFUNCTION("""COMPUTED_VALUE"""),"")</f>
        <v/>
      </c>
      <c r="W1450" s="106" t="str">
        <f>IFERROR(__xludf.DUMMYFUNCTION("""COMPUTED_VALUE"""),"")</f>
        <v/>
      </c>
      <c r="X1450" s="143" t="str">
        <f t="shared" si="2"/>
        <v/>
      </c>
      <c r="Y1450" s="139" t="str">
        <f>IFERROR(__xludf.DUMMYFUNCTION("""COMPUTED_VALUE"""),"")</f>
        <v/>
      </c>
      <c r="Z1450" s="141" t="str">
        <f>IFERROR(__xludf.DUMMYFUNCTION("""COMPUTED_VALUE"""),"")</f>
        <v/>
      </c>
    </row>
    <row r="1451">
      <c r="D1451" s="136" t="str">
        <f t="shared" si="3"/>
        <v/>
      </c>
      <c r="E1451" s="152"/>
      <c r="F1451" s="106" t="s">
        <v>133</v>
      </c>
      <c r="G1451" s="152"/>
      <c r="H1451" s="106" t="s">
        <v>133</v>
      </c>
      <c r="J1451" s="139" t="s">
        <v>133</v>
      </c>
      <c r="K1451" s="136" t="s">
        <v>133</v>
      </c>
      <c r="L1451" s="153"/>
      <c r="M1451" s="136" t="str">
        <f t="shared" si="1"/>
        <v/>
      </c>
      <c r="O1451" s="141" t="s">
        <v>133</v>
      </c>
      <c r="P1451" s="136" t="str">
        <f>IFERROR(__xludf.DUMMYFUNCTION("""COMPUTED_VALUE"""),"")</f>
        <v/>
      </c>
      <c r="Q1451" s="136" t="str">
        <f>IFERROR(__xludf.DUMMYFUNCTION("""COMPUTED_VALUE"""),"")</f>
        <v/>
      </c>
      <c r="R1451" s="106" t="str">
        <f>IFERROR(__xludf.DUMMYFUNCTION("""COMPUTED_VALUE"""),"")</f>
        <v/>
      </c>
      <c r="S1451" s="106" t="str">
        <f>IFERROR(__xludf.DUMMYFUNCTION("""COMPUTED_VALUE"""),"")</f>
        <v/>
      </c>
      <c r="T1451" s="139" t="str">
        <f>IFERROR(__xludf.DUMMYFUNCTION("""COMPUTED_VALUE"""),"")</f>
        <v/>
      </c>
      <c r="U1451" s="139" t="str">
        <f>IFERROR(__xludf.DUMMYFUNCTION("""COMPUTED_VALUE"""),"")</f>
        <v/>
      </c>
      <c r="V1451" s="136" t="str">
        <f>IFERROR(__xludf.DUMMYFUNCTION("""COMPUTED_VALUE"""),"")</f>
        <v/>
      </c>
      <c r="W1451" s="106" t="str">
        <f>IFERROR(__xludf.DUMMYFUNCTION("""COMPUTED_VALUE"""),"")</f>
        <v/>
      </c>
      <c r="X1451" s="143" t="str">
        <f t="shared" si="2"/>
        <v/>
      </c>
      <c r="Y1451" s="139" t="str">
        <f>IFERROR(__xludf.DUMMYFUNCTION("""COMPUTED_VALUE"""),"")</f>
        <v/>
      </c>
      <c r="Z1451" s="141" t="str">
        <f>IFERROR(__xludf.DUMMYFUNCTION("""COMPUTED_VALUE"""),"")</f>
        <v/>
      </c>
    </row>
    <row r="1452">
      <c r="D1452" s="136" t="str">
        <f t="shared" si="3"/>
        <v/>
      </c>
      <c r="E1452" s="152"/>
      <c r="F1452" s="106" t="s">
        <v>133</v>
      </c>
      <c r="G1452" s="152"/>
      <c r="H1452" s="106" t="s">
        <v>133</v>
      </c>
      <c r="J1452" s="139" t="s">
        <v>133</v>
      </c>
      <c r="K1452" s="136" t="s">
        <v>133</v>
      </c>
      <c r="L1452" s="153"/>
      <c r="M1452" s="136" t="str">
        <f t="shared" si="1"/>
        <v/>
      </c>
      <c r="O1452" s="141" t="s">
        <v>133</v>
      </c>
      <c r="P1452" s="136" t="str">
        <f>IFERROR(__xludf.DUMMYFUNCTION("""COMPUTED_VALUE"""),"")</f>
        <v/>
      </c>
      <c r="Q1452" s="136" t="str">
        <f>IFERROR(__xludf.DUMMYFUNCTION("""COMPUTED_VALUE"""),"")</f>
        <v/>
      </c>
      <c r="R1452" s="106" t="str">
        <f>IFERROR(__xludf.DUMMYFUNCTION("""COMPUTED_VALUE"""),"")</f>
        <v/>
      </c>
      <c r="S1452" s="106" t="str">
        <f>IFERROR(__xludf.DUMMYFUNCTION("""COMPUTED_VALUE"""),"")</f>
        <v/>
      </c>
      <c r="T1452" s="139" t="str">
        <f>IFERROR(__xludf.DUMMYFUNCTION("""COMPUTED_VALUE"""),"")</f>
        <v/>
      </c>
      <c r="U1452" s="139" t="str">
        <f>IFERROR(__xludf.DUMMYFUNCTION("""COMPUTED_VALUE"""),"")</f>
        <v/>
      </c>
      <c r="V1452" s="136" t="str">
        <f>IFERROR(__xludf.DUMMYFUNCTION("""COMPUTED_VALUE"""),"")</f>
        <v/>
      </c>
      <c r="W1452" s="106" t="str">
        <f>IFERROR(__xludf.DUMMYFUNCTION("""COMPUTED_VALUE"""),"")</f>
        <v/>
      </c>
      <c r="X1452" s="143" t="str">
        <f t="shared" si="2"/>
        <v/>
      </c>
      <c r="Y1452" s="139" t="str">
        <f>IFERROR(__xludf.DUMMYFUNCTION("""COMPUTED_VALUE"""),"")</f>
        <v/>
      </c>
      <c r="Z1452" s="141" t="str">
        <f>IFERROR(__xludf.DUMMYFUNCTION("""COMPUTED_VALUE"""),"")</f>
        <v/>
      </c>
    </row>
    <row r="1453">
      <c r="D1453" s="136" t="str">
        <f t="shared" si="3"/>
        <v/>
      </c>
      <c r="E1453" s="152"/>
      <c r="F1453" s="106" t="s">
        <v>133</v>
      </c>
      <c r="G1453" s="152"/>
      <c r="H1453" s="106" t="s">
        <v>133</v>
      </c>
      <c r="J1453" s="139" t="s">
        <v>133</v>
      </c>
      <c r="K1453" s="136" t="s">
        <v>133</v>
      </c>
      <c r="L1453" s="153"/>
      <c r="M1453" s="136" t="str">
        <f t="shared" si="1"/>
        <v/>
      </c>
      <c r="O1453" s="141" t="s">
        <v>133</v>
      </c>
      <c r="P1453" s="136" t="str">
        <f>IFERROR(__xludf.DUMMYFUNCTION("""COMPUTED_VALUE"""),"")</f>
        <v/>
      </c>
      <c r="Q1453" s="136" t="str">
        <f>IFERROR(__xludf.DUMMYFUNCTION("""COMPUTED_VALUE"""),"")</f>
        <v/>
      </c>
      <c r="R1453" s="106" t="str">
        <f>IFERROR(__xludf.DUMMYFUNCTION("""COMPUTED_VALUE"""),"")</f>
        <v/>
      </c>
      <c r="S1453" s="106" t="str">
        <f>IFERROR(__xludf.DUMMYFUNCTION("""COMPUTED_VALUE"""),"")</f>
        <v/>
      </c>
      <c r="T1453" s="139" t="str">
        <f>IFERROR(__xludf.DUMMYFUNCTION("""COMPUTED_VALUE"""),"")</f>
        <v/>
      </c>
      <c r="U1453" s="139" t="str">
        <f>IFERROR(__xludf.DUMMYFUNCTION("""COMPUTED_VALUE"""),"")</f>
        <v/>
      </c>
      <c r="V1453" s="136" t="str">
        <f>IFERROR(__xludf.DUMMYFUNCTION("""COMPUTED_VALUE"""),"")</f>
        <v/>
      </c>
      <c r="W1453" s="106" t="str">
        <f>IFERROR(__xludf.DUMMYFUNCTION("""COMPUTED_VALUE"""),"")</f>
        <v/>
      </c>
      <c r="X1453" s="143" t="str">
        <f t="shared" si="2"/>
        <v/>
      </c>
      <c r="Y1453" s="139" t="str">
        <f>IFERROR(__xludf.DUMMYFUNCTION("""COMPUTED_VALUE"""),"")</f>
        <v/>
      </c>
      <c r="Z1453" s="141" t="str">
        <f>IFERROR(__xludf.DUMMYFUNCTION("""COMPUTED_VALUE"""),"")</f>
        <v/>
      </c>
    </row>
    <row r="1454">
      <c r="D1454" s="136" t="str">
        <f t="shared" si="3"/>
        <v/>
      </c>
      <c r="E1454" s="152"/>
      <c r="F1454" s="106" t="s">
        <v>133</v>
      </c>
      <c r="G1454" s="152"/>
      <c r="H1454" s="106" t="s">
        <v>133</v>
      </c>
      <c r="J1454" s="139" t="s">
        <v>133</v>
      </c>
      <c r="K1454" s="136" t="s">
        <v>133</v>
      </c>
      <c r="L1454" s="153"/>
      <c r="M1454" s="136" t="str">
        <f t="shared" si="1"/>
        <v/>
      </c>
      <c r="O1454" s="141" t="s">
        <v>133</v>
      </c>
      <c r="P1454" s="136" t="str">
        <f>IFERROR(__xludf.DUMMYFUNCTION("""COMPUTED_VALUE"""),"")</f>
        <v/>
      </c>
      <c r="Q1454" s="136" t="str">
        <f>IFERROR(__xludf.DUMMYFUNCTION("""COMPUTED_VALUE"""),"")</f>
        <v/>
      </c>
      <c r="R1454" s="106" t="str">
        <f>IFERROR(__xludf.DUMMYFUNCTION("""COMPUTED_VALUE"""),"")</f>
        <v/>
      </c>
      <c r="S1454" s="106" t="str">
        <f>IFERROR(__xludf.DUMMYFUNCTION("""COMPUTED_VALUE"""),"")</f>
        <v/>
      </c>
      <c r="T1454" s="139" t="str">
        <f>IFERROR(__xludf.DUMMYFUNCTION("""COMPUTED_VALUE"""),"")</f>
        <v/>
      </c>
      <c r="U1454" s="139" t="str">
        <f>IFERROR(__xludf.DUMMYFUNCTION("""COMPUTED_VALUE"""),"")</f>
        <v/>
      </c>
      <c r="V1454" s="136" t="str">
        <f>IFERROR(__xludf.DUMMYFUNCTION("""COMPUTED_VALUE"""),"")</f>
        <v/>
      </c>
      <c r="W1454" s="106" t="str">
        <f>IFERROR(__xludf.DUMMYFUNCTION("""COMPUTED_VALUE"""),"")</f>
        <v/>
      </c>
      <c r="X1454" s="143" t="str">
        <f t="shared" si="2"/>
        <v/>
      </c>
      <c r="Y1454" s="139" t="str">
        <f>IFERROR(__xludf.DUMMYFUNCTION("""COMPUTED_VALUE"""),"")</f>
        <v/>
      </c>
      <c r="Z1454" s="141" t="str">
        <f>IFERROR(__xludf.DUMMYFUNCTION("""COMPUTED_VALUE"""),"")</f>
        <v/>
      </c>
    </row>
    <row r="1455">
      <c r="D1455" s="136" t="str">
        <f t="shared" si="3"/>
        <v/>
      </c>
      <c r="E1455" s="152"/>
      <c r="F1455" s="106" t="s">
        <v>133</v>
      </c>
      <c r="G1455" s="152"/>
      <c r="H1455" s="106" t="s">
        <v>133</v>
      </c>
      <c r="J1455" s="139" t="s">
        <v>133</v>
      </c>
      <c r="K1455" s="136" t="s">
        <v>133</v>
      </c>
      <c r="L1455" s="153"/>
      <c r="M1455" s="136" t="str">
        <f t="shared" si="1"/>
        <v/>
      </c>
      <c r="O1455" s="141" t="s">
        <v>133</v>
      </c>
      <c r="P1455" s="136" t="str">
        <f>IFERROR(__xludf.DUMMYFUNCTION("""COMPUTED_VALUE"""),"")</f>
        <v/>
      </c>
      <c r="Q1455" s="136" t="str">
        <f>IFERROR(__xludf.DUMMYFUNCTION("""COMPUTED_VALUE"""),"")</f>
        <v/>
      </c>
      <c r="R1455" s="106" t="str">
        <f>IFERROR(__xludf.DUMMYFUNCTION("""COMPUTED_VALUE"""),"")</f>
        <v/>
      </c>
      <c r="S1455" s="106" t="str">
        <f>IFERROR(__xludf.DUMMYFUNCTION("""COMPUTED_VALUE"""),"")</f>
        <v/>
      </c>
      <c r="T1455" s="139" t="str">
        <f>IFERROR(__xludf.DUMMYFUNCTION("""COMPUTED_VALUE"""),"")</f>
        <v/>
      </c>
      <c r="U1455" s="139" t="str">
        <f>IFERROR(__xludf.DUMMYFUNCTION("""COMPUTED_VALUE"""),"")</f>
        <v/>
      </c>
      <c r="V1455" s="136" t="str">
        <f>IFERROR(__xludf.DUMMYFUNCTION("""COMPUTED_VALUE"""),"")</f>
        <v/>
      </c>
      <c r="W1455" s="106" t="str">
        <f>IFERROR(__xludf.DUMMYFUNCTION("""COMPUTED_VALUE"""),"")</f>
        <v/>
      </c>
      <c r="X1455" s="143" t="str">
        <f t="shared" si="2"/>
        <v/>
      </c>
      <c r="Y1455" s="139" t="str">
        <f>IFERROR(__xludf.DUMMYFUNCTION("""COMPUTED_VALUE"""),"")</f>
        <v/>
      </c>
      <c r="Z1455" s="141" t="str">
        <f>IFERROR(__xludf.DUMMYFUNCTION("""COMPUTED_VALUE"""),"")</f>
        <v/>
      </c>
    </row>
    <row r="1456">
      <c r="D1456" s="136" t="str">
        <f t="shared" si="3"/>
        <v/>
      </c>
      <c r="E1456" s="152"/>
      <c r="F1456" s="106" t="s">
        <v>133</v>
      </c>
      <c r="G1456" s="152"/>
      <c r="H1456" s="106" t="s">
        <v>133</v>
      </c>
      <c r="J1456" s="139" t="s">
        <v>133</v>
      </c>
      <c r="K1456" s="136" t="s">
        <v>133</v>
      </c>
      <c r="L1456" s="153"/>
      <c r="M1456" s="136" t="str">
        <f t="shared" si="1"/>
        <v/>
      </c>
      <c r="O1456" s="141" t="s">
        <v>133</v>
      </c>
      <c r="P1456" s="136" t="str">
        <f>IFERROR(__xludf.DUMMYFUNCTION("""COMPUTED_VALUE"""),"")</f>
        <v/>
      </c>
      <c r="Q1456" s="136" t="str">
        <f>IFERROR(__xludf.DUMMYFUNCTION("""COMPUTED_VALUE"""),"")</f>
        <v/>
      </c>
      <c r="R1456" s="106" t="str">
        <f>IFERROR(__xludf.DUMMYFUNCTION("""COMPUTED_VALUE"""),"")</f>
        <v/>
      </c>
      <c r="S1456" s="106" t="str">
        <f>IFERROR(__xludf.DUMMYFUNCTION("""COMPUTED_VALUE"""),"")</f>
        <v/>
      </c>
      <c r="T1456" s="139" t="str">
        <f>IFERROR(__xludf.DUMMYFUNCTION("""COMPUTED_VALUE"""),"")</f>
        <v/>
      </c>
      <c r="U1456" s="139" t="str">
        <f>IFERROR(__xludf.DUMMYFUNCTION("""COMPUTED_VALUE"""),"")</f>
        <v/>
      </c>
      <c r="V1456" s="136" t="str">
        <f>IFERROR(__xludf.DUMMYFUNCTION("""COMPUTED_VALUE"""),"")</f>
        <v/>
      </c>
      <c r="W1456" s="106" t="str">
        <f>IFERROR(__xludf.DUMMYFUNCTION("""COMPUTED_VALUE"""),"")</f>
        <v/>
      </c>
      <c r="X1456" s="143" t="str">
        <f t="shared" si="2"/>
        <v/>
      </c>
      <c r="Y1456" s="139" t="str">
        <f>IFERROR(__xludf.DUMMYFUNCTION("""COMPUTED_VALUE"""),"")</f>
        <v/>
      </c>
      <c r="Z1456" s="141" t="str">
        <f>IFERROR(__xludf.DUMMYFUNCTION("""COMPUTED_VALUE"""),"")</f>
        <v/>
      </c>
    </row>
    <row r="1457">
      <c r="D1457" s="136" t="str">
        <f t="shared" si="3"/>
        <v/>
      </c>
      <c r="E1457" s="152"/>
      <c r="F1457" s="106" t="s">
        <v>133</v>
      </c>
      <c r="G1457" s="152"/>
      <c r="H1457" s="106" t="s">
        <v>133</v>
      </c>
      <c r="J1457" s="139" t="s">
        <v>133</v>
      </c>
      <c r="K1457" s="136" t="s">
        <v>133</v>
      </c>
      <c r="L1457" s="153"/>
      <c r="M1457" s="136" t="str">
        <f t="shared" si="1"/>
        <v/>
      </c>
      <c r="O1457" s="141" t="s">
        <v>133</v>
      </c>
      <c r="P1457" s="136" t="str">
        <f>IFERROR(__xludf.DUMMYFUNCTION("""COMPUTED_VALUE"""),"")</f>
        <v/>
      </c>
      <c r="Q1457" s="136" t="str">
        <f>IFERROR(__xludf.DUMMYFUNCTION("""COMPUTED_VALUE"""),"")</f>
        <v/>
      </c>
      <c r="R1457" s="106" t="str">
        <f>IFERROR(__xludf.DUMMYFUNCTION("""COMPUTED_VALUE"""),"")</f>
        <v/>
      </c>
      <c r="S1457" s="106" t="str">
        <f>IFERROR(__xludf.DUMMYFUNCTION("""COMPUTED_VALUE"""),"")</f>
        <v/>
      </c>
      <c r="T1457" s="139" t="str">
        <f>IFERROR(__xludf.DUMMYFUNCTION("""COMPUTED_VALUE"""),"")</f>
        <v/>
      </c>
      <c r="U1457" s="139" t="str">
        <f>IFERROR(__xludf.DUMMYFUNCTION("""COMPUTED_VALUE"""),"")</f>
        <v/>
      </c>
      <c r="V1457" s="136" t="str">
        <f>IFERROR(__xludf.DUMMYFUNCTION("""COMPUTED_VALUE"""),"")</f>
        <v/>
      </c>
      <c r="W1457" s="106" t="str">
        <f>IFERROR(__xludf.DUMMYFUNCTION("""COMPUTED_VALUE"""),"")</f>
        <v/>
      </c>
      <c r="X1457" s="143" t="str">
        <f t="shared" si="2"/>
        <v/>
      </c>
      <c r="Y1457" s="139" t="str">
        <f>IFERROR(__xludf.DUMMYFUNCTION("""COMPUTED_VALUE"""),"")</f>
        <v/>
      </c>
      <c r="Z1457" s="141" t="str">
        <f>IFERROR(__xludf.DUMMYFUNCTION("""COMPUTED_VALUE"""),"")</f>
        <v/>
      </c>
    </row>
    <row r="1458">
      <c r="D1458" s="136" t="str">
        <f t="shared" si="3"/>
        <v/>
      </c>
      <c r="E1458" s="152"/>
      <c r="F1458" s="106" t="s">
        <v>133</v>
      </c>
      <c r="G1458" s="152"/>
      <c r="H1458" s="106" t="s">
        <v>133</v>
      </c>
      <c r="J1458" s="139" t="s">
        <v>133</v>
      </c>
      <c r="K1458" s="136" t="s">
        <v>133</v>
      </c>
      <c r="L1458" s="153"/>
      <c r="M1458" s="136" t="str">
        <f t="shared" si="1"/>
        <v/>
      </c>
      <c r="O1458" s="141" t="s">
        <v>133</v>
      </c>
      <c r="P1458" s="136" t="str">
        <f>IFERROR(__xludf.DUMMYFUNCTION("""COMPUTED_VALUE"""),"")</f>
        <v/>
      </c>
      <c r="Q1458" s="136" t="str">
        <f>IFERROR(__xludf.DUMMYFUNCTION("""COMPUTED_VALUE"""),"")</f>
        <v/>
      </c>
      <c r="R1458" s="106" t="str">
        <f>IFERROR(__xludf.DUMMYFUNCTION("""COMPUTED_VALUE"""),"")</f>
        <v/>
      </c>
      <c r="S1458" s="106" t="str">
        <f>IFERROR(__xludf.DUMMYFUNCTION("""COMPUTED_VALUE"""),"")</f>
        <v/>
      </c>
      <c r="T1458" s="139" t="str">
        <f>IFERROR(__xludf.DUMMYFUNCTION("""COMPUTED_VALUE"""),"")</f>
        <v/>
      </c>
      <c r="U1458" s="139" t="str">
        <f>IFERROR(__xludf.DUMMYFUNCTION("""COMPUTED_VALUE"""),"")</f>
        <v/>
      </c>
      <c r="V1458" s="136" t="str">
        <f>IFERROR(__xludf.DUMMYFUNCTION("""COMPUTED_VALUE"""),"")</f>
        <v/>
      </c>
      <c r="W1458" s="106" t="str">
        <f>IFERROR(__xludf.DUMMYFUNCTION("""COMPUTED_VALUE"""),"")</f>
        <v/>
      </c>
      <c r="X1458" s="143" t="str">
        <f t="shared" si="2"/>
        <v/>
      </c>
      <c r="Y1458" s="139" t="str">
        <f>IFERROR(__xludf.DUMMYFUNCTION("""COMPUTED_VALUE"""),"")</f>
        <v/>
      </c>
      <c r="Z1458" s="141" t="str">
        <f>IFERROR(__xludf.DUMMYFUNCTION("""COMPUTED_VALUE"""),"")</f>
        <v/>
      </c>
    </row>
    <row r="1459">
      <c r="D1459" s="136" t="str">
        <f t="shared" si="3"/>
        <v/>
      </c>
      <c r="E1459" s="152"/>
      <c r="F1459" s="106" t="s">
        <v>133</v>
      </c>
      <c r="G1459" s="152"/>
      <c r="H1459" s="106" t="s">
        <v>133</v>
      </c>
      <c r="J1459" s="139" t="s">
        <v>133</v>
      </c>
      <c r="K1459" s="136" t="s">
        <v>133</v>
      </c>
      <c r="L1459" s="153"/>
      <c r="M1459" s="136" t="str">
        <f t="shared" si="1"/>
        <v/>
      </c>
      <c r="O1459" s="141" t="s">
        <v>133</v>
      </c>
      <c r="P1459" s="136" t="str">
        <f>IFERROR(__xludf.DUMMYFUNCTION("""COMPUTED_VALUE"""),"")</f>
        <v/>
      </c>
      <c r="Q1459" s="136" t="str">
        <f>IFERROR(__xludf.DUMMYFUNCTION("""COMPUTED_VALUE"""),"")</f>
        <v/>
      </c>
      <c r="R1459" s="106" t="str">
        <f>IFERROR(__xludf.DUMMYFUNCTION("""COMPUTED_VALUE"""),"")</f>
        <v/>
      </c>
      <c r="S1459" s="106" t="str">
        <f>IFERROR(__xludf.DUMMYFUNCTION("""COMPUTED_VALUE"""),"")</f>
        <v/>
      </c>
      <c r="T1459" s="139" t="str">
        <f>IFERROR(__xludf.DUMMYFUNCTION("""COMPUTED_VALUE"""),"")</f>
        <v/>
      </c>
      <c r="U1459" s="139" t="str">
        <f>IFERROR(__xludf.DUMMYFUNCTION("""COMPUTED_VALUE"""),"")</f>
        <v/>
      </c>
      <c r="V1459" s="136" t="str">
        <f>IFERROR(__xludf.DUMMYFUNCTION("""COMPUTED_VALUE"""),"")</f>
        <v/>
      </c>
      <c r="W1459" s="106" t="str">
        <f>IFERROR(__xludf.DUMMYFUNCTION("""COMPUTED_VALUE"""),"")</f>
        <v/>
      </c>
      <c r="X1459" s="143" t="str">
        <f t="shared" si="2"/>
        <v/>
      </c>
      <c r="Y1459" s="139" t="str">
        <f>IFERROR(__xludf.DUMMYFUNCTION("""COMPUTED_VALUE"""),"")</f>
        <v/>
      </c>
      <c r="Z1459" s="141" t="str">
        <f>IFERROR(__xludf.DUMMYFUNCTION("""COMPUTED_VALUE"""),"")</f>
        <v/>
      </c>
    </row>
    <row r="1460">
      <c r="D1460" s="136" t="str">
        <f t="shared" si="3"/>
        <v/>
      </c>
      <c r="E1460" s="152"/>
      <c r="F1460" s="106" t="s">
        <v>133</v>
      </c>
      <c r="G1460" s="152"/>
      <c r="H1460" s="106" t="s">
        <v>133</v>
      </c>
      <c r="J1460" s="139" t="s">
        <v>133</v>
      </c>
      <c r="K1460" s="136" t="s">
        <v>133</v>
      </c>
      <c r="L1460" s="153"/>
      <c r="M1460" s="136" t="str">
        <f t="shared" si="1"/>
        <v/>
      </c>
      <c r="O1460" s="141" t="s">
        <v>133</v>
      </c>
      <c r="P1460" s="136" t="str">
        <f>IFERROR(__xludf.DUMMYFUNCTION("""COMPUTED_VALUE"""),"")</f>
        <v/>
      </c>
      <c r="Q1460" s="136" t="str">
        <f>IFERROR(__xludf.DUMMYFUNCTION("""COMPUTED_VALUE"""),"")</f>
        <v/>
      </c>
      <c r="R1460" s="106" t="str">
        <f>IFERROR(__xludf.DUMMYFUNCTION("""COMPUTED_VALUE"""),"")</f>
        <v/>
      </c>
      <c r="S1460" s="106" t="str">
        <f>IFERROR(__xludf.DUMMYFUNCTION("""COMPUTED_VALUE"""),"")</f>
        <v/>
      </c>
      <c r="T1460" s="139" t="str">
        <f>IFERROR(__xludf.DUMMYFUNCTION("""COMPUTED_VALUE"""),"")</f>
        <v/>
      </c>
      <c r="U1460" s="139" t="str">
        <f>IFERROR(__xludf.DUMMYFUNCTION("""COMPUTED_VALUE"""),"")</f>
        <v/>
      </c>
      <c r="V1460" s="136" t="str">
        <f>IFERROR(__xludf.DUMMYFUNCTION("""COMPUTED_VALUE"""),"")</f>
        <v/>
      </c>
      <c r="W1460" s="106" t="str">
        <f>IFERROR(__xludf.DUMMYFUNCTION("""COMPUTED_VALUE"""),"")</f>
        <v/>
      </c>
      <c r="X1460" s="143" t="str">
        <f t="shared" si="2"/>
        <v/>
      </c>
      <c r="Y1460" s="139" t="str">
        <f>IFERROR(__xludf.DUMMYFUNCTION("""COMPUTED_VALUE"""),"")</f>
        <v/>
      </c>
      <c r="Z1460" s="141" t="str">
        <f>IFERROR(__xludf.DUMMYFUNCTION("""COMPUTED_VALUE"""),"")</f>
        <v/>
      </c>
    </row>
    <row r="1461">
      <c r="D1461" s="136" t="str">
        <f t="shared" si="3"/>
        <v/>
      </c>
      <c r="E1461" s="152"/>
      <c r="F1461" s="106" t="s">
        <v>133</v>
      </c>
      <c r="G1461" s="152"/>
      <c r="H1461" s="106" t="s">
        <v>133</v>
      </c>
      <c r="J1461" s="139" t="s">
        <v>133</v>
      </c>
      <c r="K1461" s="136" t="s">
        <v>133</v>
      </c>
      <c r="L1461" s="153"/>
      <c r="M1461" s="136" t="str">
        <f t="shared" si="1"/>
        <v/>
      </c>
      <c r="O1461" s="141" t="s">
        <v>133</v>
      </c>
      <c r="P1461" s="136" t="str">
        <f>IFERROR(__xludf.DUMMYFUNCTION("""COMPUTED_VALUE"""),"")</f>
        <v/>
      </c>
      <c r="Q1461" s="136" t="str">
        <f>IFERROR(__xludf.DUMMYFUNCTION("""COMPUTED_VALUE"""),"")</f>
        <v/>
      </c>
      <c r="R1461" s="106" t="str">
        <f>IFERROR(__xludf.DUMMYFUNCTION("""COMPUTED_VALUE"""),"")</f>
        <v/>
      </c>
      <c r="S1461" s="106" t="str">
        <f>IFERROR(__xludf.DUMMYFUNCTION("""COMPUTED_VALUE"""),"")</f>
        <v/>
      </c>
      <c r="T1461" s="139" t="str">
        <f>IFERROR(__xludf.DUMMYFUNCTION("""COMPUTED_VALUE"""),"")</f>
        <v/>
      </c>
      <c r="U1461" s="139" t="str">
        <f>IFERROR(__xludf.DUMMYFUNCTION("""COMPUTED_VALUE"""),"")</f>
        <v/>
      </c>
      <c r="V1461" s="136" t="str">
        <f>IFERROR(__xludf.DUMMYFUNCTION("""COMPUTED_VALUE"""),"")</f>
        <v/>
      </c>
      <c r="W1461" s="106" t="str">
        <f>IFERROR(__xludf.DUMMYFUNCTION("""COMPUTED_VALUE"""),"")</f>
        <v/>
      </c>
      <c r="X1461" s="143" t="str">
        <f t="shared" si="2"/>
        <v/>
      </c>
      <c r="Y1461" s="139" t="str">
        <f>IFERROR(__xludf.DUMMYFUNCTION("""COMPUTED_VALUE"""),"")</f>
        <v/>
      </c>
      <c r="Z1461" s="141" t="str">
        <f>IFERROR(__xludf.DUMMYFUNCTION("""COMPUTED_VALUE"""),"")</f>
        <v/>
      </c>
    </row>
    <row r="1462">
      <c r="D1462" s="136" t="str">
        <f t="shared" si="3"/>
        <v/>
      </c>
      <c r="E1462" s="152"/>
      <c r="F1462" s="106" t="s">
        <v>133</v>
      </c>
      <c r="G1462" s="152"/>
      <c r="H1462" s="106" t="s">
        <v>133</v>
      </c>
      <c r="J1462" s="139" t="s">
        <v>133</v>
      </c>
      <c r="K1462" s="136" t="s">
        <v>133</v>
      </c>
      <c r="L1462" s="153"/>
      <c r="M1462" s="136" t="str">
        <f t="shared" si="1"/>
        <v/>
      </c>
      <c r="O1462" s="141" t="s">
        <v>133</v>
      </c>
      <c r="P1462" s="136" t="str">
        <f>IFERROR(__xludf.DUMMYFUNCTION("""COMPUTED_VALUE"""),"")</f>
        <v/>
      </c>
      <c r="Q1462" s="136" t="str">
        <f>IFERROR(__xludf.DUMMYFUNCTION("""COMPUTED_VALUE"""),"")</f>
        <v/>
      </c>
      <c r="R1462" s="106" t="str">
        <f>IFERROR(__xludf.DUMMYFUNCTION("""COMPUTED_VALUE"""),"")</f>
        <v/>
      </c>
      <c r="S1462" s="106" t="str">
        <f>IFERROR(__xludf.DUMMYFUNCTION("""COMPUTED_VALUE"""),"")</f>
        <v/>
      </c>
      <c r="T1462" s="139" t="str">
        <f>IFERROR(__xludf.DUMMYFUNCTION("""COMPUTED_VALUE"""),"")</f>
        <v/>
      </c>
      <c r="U1462" s="139" t="str">
        <f>IFERROR(__xludf.DUMMYFUNCTION("""COMPUTED_VALUE"""),"")</f>
        <v/>
      </c>
      <c r="V1462" s="136" t="str">
        <f>IFERROR(__xludf.DUMMYFUNCTION("""COMPUTED_VALUE"""),"")</f>
        <v/>
      </c>
      <c r="W1462" s="106" t="str">
        <f>IFERROR(__xludf.DUMMYFUNCTION("""COMPUTED_VALUE"""),"")</f>
        <v/>
      </c>
      <c r="X1462" s="143" t="str">
        <f t="shared" si="2"/>
        <v/>
      </c>
      <c r="Y1462" s="139" t="str">
        <f>IFERROR(__xludf.DUMMYFUNCTION("""COMPUTED_VALUE"""),"")</f>
        <v/>
      </c>
      <c r="Z1462" s="141" t="str">
        <f>IFERROR(__xludf.DUMMYFUNCTION("""COMPUTED_VALUE"""),"")</f>
        <v/>
      </c>
    </row>
    <row r="1463">
      <c r="D1463" s="136" t="str">
        <f t="shared" si="3"/>
        <v/>
      </c>
      <c r="E1463" s="152"/>
      <c r="F1463" s="106" t="s">
        <v>133</v>
      </c>
      <c r="G1463" s="152"/>
      <c r="H1463" s="106" t="s">
        <v>133</v>
      </c>
      <c r="J1463" s="139" t="s">
        <v>133</v>
      </c>
      <c r="K1463" s="136" t="s">
        <v>133</v>
      </c>
      <c r="L1463" s="153"/>
      <c r="M1463" s="136" t="str">
        <f t="shared" si="1"/>
        <v/>
      </c>
      <c r="O1463" s="141" t="s">
        <v>133</v>
      </c>
      <c r="P1463" s="136" t="str">
        <f>IFERROR(__xludf.DUMMYFUNCTION("""COMPUTED_VALUE"""),"")</f>
        <v/>
      </c>
      <c r="Q1463" s="136" t="str">
        <f>IFERROR(__xludf.DUMMYFUNCTION("""COMPUTED_VALUE"""),"")</f>
        <v/>
      </c>
      <c r="R1463" s="106" t="str">
        <f>IFERROR(__xludf.DUMMYFUNCTION("""COMPUTED_VALUE"""),"")</f>
        <v/>
      </c>
      <c r="S1463" s="106" t="str">
        <f>IFERROR(__xludf.DUMMYFUNCTION("""COMPUTED_VALUE"""),"")</f>
        <v/>
      </c>
      <c r="T1463" s="139" t="str">
        <f>IFERROR(__xludf.DUMMYFUNCTION("""COMPUTED_VALUE"""),"")</f>
        <v/>
      </c>
      <c r="U1463" s="139" t="str">
        <f>IFERROR(__xludf.DUMMYFUNCTION("""COMPUTED_VALUE"""),"")</f>
        <v/>
      </c>
      <c r="V1463" s="136" t="str">
        <f>IFERROR(__xludf.DUMMYFUNCTION("""COMPUTED_VALUE"""),"")</f>
        <v/>
      </c>
      <c r="W1463" s="106" t="str">
        <f>IFERROR(__xludf.DUMMYFUNCTION("""COMPUTED_VALUE"""),"")</f>
        <v/>
      </c>
      <c r="X1463" s="143" t="str">
        <f t="shared" si="2"/>
        <v/>
      </c>
      <c r="Y1463" s="139" t="str">
        <f>IFERROR(__xludf.DUMMYFUNCTION("""COMPUTED_VALUE"""),"")</f>
        <v/>
      </c>
      <c r="Z1463" s="141" t="str">
        <f>IFERROR(__xludf.DUMMYFUNCTION("""COMPUTED_VALUE"""),"")</f>
        <v/>
      </c>
    </row>
    <row r="1464">
      <c r="D1464" s="136" t="str">
        <f t="shared" si="3"/>
        <v/>
      </c>
      <c r="E1464" s="152"/>
      <c r="F1464" s="106" t="s">
        <v>133</v>
      </c>
      <c r="G1464" s="152"/>
      <c r="H1464" s="106" t="s">
        <v>133</v>
      </c>
      <c r="J1464" s="139" t="s">
        <v>133</v>
      </c>
      <c r="K1464" s="136" t="s">
        <v>133</v>
      </c>
      <c r="L1464" s="153"/>
      <c r="M1464" s="136" t="str">
        <f t="shared" si="1"/>
        <v/>
      </c>
      <c r="O1464" s="141" t="s">
        <v>133</v>
      </c>
      <c r="P1464" s="136" t="str">
        <f>IFERROR(__xludf.DUMMYFUNCTION("""COMPUTED_VALUE"""),"")</f>
        <v/>
      </c>
      <c r="Q1464" s="136" t="str">
        <f>IFERROR(__xludf.DUMMYFUNCTION("""COMPUTED_VALUE"""),"")</f>
        <v/>
      </c>
      <c r="R1464" s="106" t="str">
        <f>IFERROR(__xludf.DUMMYFUNCTION("""COMPUTED_VALUE"""),"")</f>
        <v/>
      </c>
      <c r="S1464" s="106" t="str">
        <f>IFERROR(__xludf.DUMMYFUNCTION("""COMPUTED_VALUE"""),"")</f>
        <v/>
      </c>
      <c r="T1464" s="139" t="str">
        <f>IFERROR(__xludf.DUMMYFUNCTION("""COMPUTED_VALUE"""),"")</f>
        <v/>
      </c>
      <c r="U1464" s="139" t="str">
        <f>IFERROR(__xludf.DUMMYFUNCTION("""COMPUTED_VALUE"""),"")</f>
        <v/>
      </c>
      <c r="V1464" s="136" t="str">
        <f>IFERROR(__xludf.DUMMYFUNCTION("""COMPUTED_VALUE"""),"")</f>
        <v/>
      </c>
      <c r="W1464" s="106" t="str">
        <f>IFERROR(__xludf.DUMMYFUNCTION("""COMPUTED_VALUE"""),"")</f>
        <v/>
      </c>
      <c r="X1464" s="143" t="str">
        <f t="shared" si="2"/>
        <v/>
      </c>
      <c r="Y1464" s="139" t="str">
        <f>IFERROR(__xludf.DUMMYFUNCTION("""COMPUTED_VALUE"""),"")</f>
        <v/>
      </c>
      <c r="Z1464" s="141" t="str">
        <f>IFERROR(__xludf.DUMMYFUNCTION("""COMPUTED_VALUE"""),"")</f>
        <v/>
      </c>
    </row>
    <row r="1465">
      <c r="D1465" s="136" t="str">
        <f t="shared" si="3"/>
        <v/>
      </c>
      <c r="E1465" s="152"/>
      <c r="F1465" s="106" t="s">
        <v>133</v>
      </c>
      <c r="G1465" s="152"/>
      <c r="H1465" s="106" t="s">
        <v>133</v>
      </c>
      <c r="J1465" s="139" t="s">
        <v>133</v>
      </c>
      <c r="K1465" s="136" t="s">
        <v>133</v>
      </c>
      <c r="L1465" s="153"/>
      <c r="M1465" s="136" t="str">
        <f t="shared" si="1"/>
        <v/>
      </c>
      <c r="O1465" s="141" t="s">
        <v>133</v>
      </c>
      <c r="P1465" s="136" t="str">
        <f>IFERROR(__xludf.DUMMYFUNCTION("""COMPUTED_VALUE"""),"")</f>
        <v/>
      </c>
      <c r="Q1465" s="136" t="str">
        <f>IFERROR(__xludf.DUMMYFUNCTION("""COMPUTED_VALUE"""),"")</f>
        <v/>
      </c>
      <c r="R1465" s="106" t="str">
        <f>IFERROR(__xludf.DUMMYFUNCTION("""COMPUTED_VALUE"""),"")</f>
        <v/>
      </c>
      <c r="S1465" s="106" t="str">
        <f>IFERROR(__xludf.DUMMYFUNCTION("""COMPUTED_VALUE"""),"")</f>
        <v/>
      </c>
      <c r="T1465" s="139" t="str">
        <f>IFERROR(__xludf.DUMMYFUNCTION("""COMPUTED_VALUE"""),"")</f>
        <v/>
      </c>
      <c r="U1465" s="139" t="str">
        <f>IFERROR(__xludf.DUMMYFUNCTION("""COMPUTED_VALUE"""),"")</f>
        <v/>
      </c>
      <c r="V1465" s="136" t="str">
        <f>IFERROR(__xludf.DUMMYFUNCTION("""COMPUTED_VALUE"""),"")</f>
        <v/>
      </c>
      <c r="W1465" s="106" t="str">
        <f>IFERROR(__xludf.DUMMYFUNCTION("""COMPUTED_VALUE"""),"")</f>
        <v/>
      </c>
      <c r="X1465" s="143" t="str">
        <f t="shared" si="2"/>
        <v/>
      </c>
      <c r="Y1465" s="139" t="str">
        <f>IFERROR(__xludf.DUMMYFUNCTION("""COMPUTED_VALUE"""),"")</f>
        <v/>
      </c>
      <c r="Z1465" s="141" t="str">
        <f>IFERROR(__xludf.DUMMYFUNCTION("""COMPUTED_VALUE"""),"")</f>
        <v/>
      </c>
    </row>
    <row r="1466">
      <c r="D1466" s="136" t="str">
        <f t="shared" si="3"/>
        <v/>
      </c>
      <c r="E1466" s="152"/>
      <c r="F1466" s="106" t="s">
        <v>133</v>
      </c>
      <c r="G1466" s="152"/>
      <c r="H1466" s="106" t="s">
        <v>133</v>
      </c>
      <c r="J1466" s="139" t="s">
        <v>133</v>
      </c>
      <c r="K1466" s="136" t="s">
        <v>133</v>
      </c>
      <c r="L1466" s="153"/>
      <c r="M1466" s="136" t="str">
        <f t="shared" si="1"/>
        <v/>
      </c>
      <c r="O1466" s="141" t="s">
        <v>133</v>
      </c>
      <c r="P1466" s="136" t="str">
        <f>IFERROR(__xludf.DUMMYFUNCTION("""COMPUTED_VALUE"""),"")</f>
        <v/>
      </c>
      <c r="Q1466" s="136" t="str">
        <f>IFERROR(__xludf.DUMMYFUNCTION("""COMPUTED_VALUE"""),"")</f>
        <v/>
      </c>
      <c r="R1466" s="106" t="str">
        <f>IFERROR(__xludf.DUMMYFUNCTION("""COMPUTED_VALUE"""),"")</f>
        <v/>
      </c>
      <c r="S1466" s="106" t="str">
        <f>IFERROR(__xludf.DUMMYFUNCTION("""COMPUTED_VALUE"""),"")</f>
        <v/>
      </c>
      <c r="T1466" s="139" t="str">
        <f>IFERROR(__xludf.DUMMYFUNCTION("""COMPUTED_VALUE"""),"")</f>
        <v/>
      </c>
      <c r="U1466" s="139" t="str">
        <f>IFERROR(__xludf.DUMMYFUNCTION("""COMPUTED_VALUE"""),"")</f>
        <v/>
      </c>
      <c r="V1466" s="136" t="str">
        <f>IFERROR(__xludf.DUMMYFUNCTION("""COMPUTED_VALUE"""),"")</f>
        <v/>
      </c>
      <c r="W1466" s="106" t="str">
        <f>IFERROR(__xludf.DUMMYFUNCTION("""COMPUTED_VALUE"""),"")</f>
        <v/>
      </c>
      <c r="X1466" s="143" t="str">
        <f t="shared" si="2"/>
        <v/>
      </c>
      <c r="Y1466" s="139" t="str">
        <f>IFERROR(__xludf.DUMMYFUNCTION("""COMPUTED_VALUE"""),"")</f>
        <v/>
      </c>
      <c r="Z1466" s="141" t="str">
        <f>IFERROR(__xludf.DUMMYFUNCTION("""COMPUTED_VALUE"""),"")</f>
        <v/>
      </c>
    </row>
    <row r="1467">
      <c r="D1467" s="136" t="str">
        <f t="shared" si="3"/>
        <v/>
      </c>
      <c r="E1467" s="152"/>
      <c r="F1467" s="106" t="s">
        <v>133</v>
      </c>
      <c r="G1467" s="152"/>
      <c r="H1467" s="106" t="s">
        <v>133</v>
      </c>
      <c r="J1467" s="139" t="s">
        <v>133</v>
      </c>
      <c r="K1467" s="136" t="s">
        <v>133</v>
      </c>
      <c r="L1467" s="153"/>
      <c r="M1467" s="136" t="str">
        <f t="shared" si="1"/>
        <v/>
      </c>
      <c r="O1467" s="141" t="s">
        <v>133</v>
      </c>
      <c r="P1467" s="136" t="str">
        <f>IFERROR(__xludf.DUMMYFUNCTION("""COMPUTED_VALUE"""),"")</f>
        <v/>
      </c>
      <c r="Q1467" s="136" t="str">
        <f>IFERROR(__xludf.DUMMYFUNCTION("""COMPUTED_VALUE"""),"")</f>
        <v/>
      </c>
      <c r="R1467" s="106" t="str">
        <f>IFERROR(__xludf.DUMMYFUNCTION("""COMPUTED_VALUE"""),"")</f>
        <v/>
      </c>
      <c r="S1467" s="106" t="str">
        <f>IFERROR(__xludf.DUMMYFUNCTION("""COMPUTED_VALUE"""),"")</f>
        <v/>
      </c>
      <c r="T1467" s="139" t="str">
        <f>IFERROR(__xludf.DUMMYFUNCTION("""COMPUTED_VALUE"""),"")</f>
        <v/>
      </c>
      <c r="U1467" s="139" t="str">
        <f>IFERROR(__xludf.DUMMYFUNCTION("""COMPUTED_VALUE"""),"")</f>
        <v/>
      </c>
      <c r="V1467" s="136" t="str">
        <f>IFERROR(__xludf.DUMMYFUNCTION("""COMPUTED_VALUE"""),"")</f>
        <v/>
      </c>
      <c r="W1467" s="106" t="str">
        <f>IFERROR(__xludf.DUMMYFUNCTION("""COMPUTED_VALUE"""),"")</f>
        <v/>
      </c>
      <c r="X1467" s="143" t="str">
        <f t="shared" si="2"/>
        <v/>
      </c>
      <c r="Y1467" s="139" t="str">
        <f>IFERROR(__xludf.DUMMYFUNCTION("""COMPUTED_VALUE"""),"")</f>
        <v/>
      </c>
      <c r="Z1467" s="141" t="str">
        <f>IFERROR(__xludf.DUMMYFUNCTION("""COMPUTED_VALUE"""),"")</f>
        <v/>
      </c>
    </row>
    <row r="1468">
      <c r="D1468" s="136" t="str">
        <f t="shared" si="3"/>
        <v/>
      </c>
      <c r="E1468" s="152"/>
      <c r="F1468" s="106" t="s">
        <v>133</v>
      </c>
      <c r="G1468" s="152"/>
      <c r="H1468" s="106" t="s">
        <v>133</v>
      </c>
      <c r="J1468" s="139" t="s">
        <v>133</v>
      </c>
      <c r="K1468" s="136" t="s">
        <v>133</v>
      </c>
      <c r="L1468" s="153"/>
      <c r="M1468" s="136" t="str">
        <f t="shared" si="1"/>
        <v/>
      </c>
      <c r="O1468" s="141" t="s">
        <v>133</v>
      </c>
      <c r="P1468" s="136" t="str">
        <f>IFERROR(__xludf.DUMMYFUNCTION("""COMPUTED_VALUE"""),"")</f>
        <v/>
      </c>
      <c r="Q1468" s="136" t="str">
        <f>IFERROR(__xludf.DUMMYFUNCTION("""COMPUTED_VALUE"""),"")</f>
        <v/>
      </c>
      <c r="R1468" s="106" t="str">
        <f>IFERROR(__xludf.DUMMYFUNCTION("""COMPUTED_VALUE"""),"")</f>
        <v/>
      </c>
      <c r="S1468" s="106" t="str">
        <f>IFERROR(__xludf.DUMMYFUNCTION("""COMPUTED_VALUE"""),"")</f>
        <v/>
      </c>
      <c r="T1468" s="139" t="str">
        <f>IFERROR(__xludf.DUMMYFUNCTION("""COMPUTED_VALUE"""),"")</f>
        <v/>
      </c>
      <c r="U1468" s="139" t="str">
        <f>IFERROR(__xludf.DUMMYFUNCTION("""COMPUTED_VALUE"""),"")</f>
        <v/>
      </c>
      <c r="V1468" s="136" t="str">
        <f>IFERROR(__xludf.DUMMYFUNCTION("""COMPUTED_VALUE"""),"")</f>
        <v/>
      </c>
      <c r="W1468" s="106" t="str">
        <f>IFERROR(__xludf.DUMMYFUNCTION("""COMPUTED_VALUE"""),"")</f>
        <v/>
      </c>
      <c r="X1468" s="143" t="str">
        <f t="shared" si="2"/>
        <v/>
      </c>
      <c r="Y1468" s="139" t="str">
        <f>IFERROR(__xludf.DUMMYFUNCTION("""COMPUTED_VALUE"""),"")</f>
        <v/>
      </c>
      <c r="Z1468" s="141" t="str">
        <f>IFERROR(__xludf.DUMMYFUNCTION("""COMPUTED_VALUE"""),"")</f>
        <v/>
      </c>
    </row>
    <row r="1469">
      <c r="D1469" s="136" t="str">
        <f t="shared" si="3"/>
        <v/>
      </c>
      <c r="E1469" s="152"/>
      <c r="F1469" s="106" t="s">
        <v>133</v>
      </c>
      <c r="G1469" s="152"/>
      <c r="H1469" s="106" t="s">
        <v>133</v>
      </c>
      <c r="J1469" s="139" t="s">
        <v>133</v>
      </c>
      <c r="K1469" s="136" t="s">
        <v>133</v>
      </c>
      <c r="L1469" s="153"/>
      <c r="M1469" s="136" t="str">
        <f t="shared" si="1"/>
        <v/>
      </c>
      <c r="O1469" s="141" t="s">
        <v>133</v>
      </c>
      <c r="P1469" s="136" t="str">
        <f>IFERROR(__xludf.DUMMYFUNCTION("""COMPUTED_VALUE"""),"")</f>
        <v/>
      </c>
      <c r="Q1469" s="136" t="str">
        <f>IFERROR(__xludf.DUMMYFUNCTION("""COMPUTED_VALUE"""),"")</f>
        <v/>
      </c>
      <c r="R1469" s="106" t="str">
        <f>IFERROR(__xludf.DUMMYFUNCTION("""COMPUTED_VALUE"""),"")</f>
        <v/>
      </c>
      <c r="S1469" s="106" t="str">
        <f>IFERROR(__xludf.DUMMYFUNCTION("""COMPUTED_VALUE"""),"")</f>
        <v/>
      </c>
      <c r="T1469" s="139" t="str">
        <f>IFERROR(__xludf.DUMMYFUNCTION("""COMPUTED_VALUE"""),"")</f>
        <v/>
      </c>
      <c r="U1469" s="139" t="str">
        <f>IFERROR(__xludf.DUMMYFUNCTION("""COMPUTED_VALUE"""),"")</f>
        <v/>
      </c>
      <c r="V1469" s="136" t="str">
        <f>IFERROR(__xludf.DUMMYFUNCTION("""COMPUTED_VALUE"""),"")</f>
        <v/>
      </c>
      <c r="W1469" s="106" t="str">
        <f>IFERROR(__xludf.DUMMYFUNCTION("""COMPUTED_VALUE"""),"")</f>
        <v/>
      </c>
      <c r="X1469" s="143" t="str">
        <f t="shared" si="2"/>
        <v/>
      </c>
      <c r="Y1469" s="139" t="str">
        <f>IFERROR(__xludf.DUMMYFUNCTION("""COMPUTED_VALUE"""),"")</f>
        <v/>
      </c>
      <c r="Z1469" s="141" t="str">
        <f>IFERROR(__xludf.DUMMYFUNCTION("""COMPUTED_VALUE"""),"")</f>
        <v/>
      </c>
    </row>
    <row r="1470">
      <c r="D1470" s="136" t="str">
        <f t="shared" si="3"/>
        <v/>
      </c>
      <c r="E1470" s="152"/>
      <c r="F1470" s="106" t="s">
        <v>133</v>
      </c>
      <c r="G1470" s="152"/>
      <c r="H1470" s="106" t="s">
        <v>133</v>
      </c>
      <c r="J1470" s="139" t="s">
        <v>133</v>
      </c>
      <c r="K1470" s="136" t="s">
        <v>133</v>
      </c>
      <c r="L1470" s="153"/>
      <c r="M1470" s="136" t="str">
        <f t="shared" si="1"/>
        <v/>
      </c>
      <c r="O1470" s="141" t="s">
        <v>133</v>
      </c>
      <c r="P1470" s="136" t="str">
        <f>IFERROR(__xludf.DUMMYFUNCTION("""COMPUTED_VALUE"""),"")</f>
        <v/>
      </c>
      <c r="Q1470" s="136" t="str">
        <f>IFERROR(__xludf.DUMMYFUNCTION("""COMPUTED_VALUE"""),"")</f>
        <v/>
      </c>
      <c r="R1470" s="106" t="str">
        <f>IFERROR(__xludf.DUMMYFUNCTION("""COMPUTED_VALUE"""),"")</f>
        <v/>
      </c>
      <c r="S1470" s="106" t="str">
        <f>IFERROR(__xludf.DUMMYFUNCTION("""COMPUTED_VALUE"""),"")</f>
        <v/>
      </c>
      <c r="T1470" s="139" t="str">
        <f>IFERROR(__xludf.DUMMYFUNCTION("""COMPUTED_VALUE"""),"")</f>
        <v/>
      </c>
      <c r="U1470" s="139" t="str">
        <f>IFERROR(__xludf.DUMMYFUNCTION("""COMPUTED_VALUE"""),"")</f>
        <v/>
      </c>
      <c r="V1470" s="136" t="str">
        <f>IFERROR(__xludf.DUMMYFUNCTION("""COMPUTED_VALUE"""),"")</f>
        <v/>
      </c>
      <c r="W1470" s="106" t="str">
        <f>IFERROR(__xludf.DUMMYFUNCTION("""COMPUTED_VALUE"""),"")</f>
        <v/>
      </c>
      <c r="X1470" s="143" t="str">
        <f t="shared" si="2"/>
        <v/>
      </c>
      <c r="Y1470" s="139" t="str">
        <f>IFERROR(__xludf.DUMMYFUNCTION("""COMPUTED_VALUE"""),"")</f>
        <v/>
      </c>
      <c r="Z1470" s="141" t="str">
        <f>IFERROR(__xludf.DUMMYFUNCTION("""COMPUTED_VALUE"""),"")</f>
        <v/>
      </c>
    </row>
    <row r="1471">
      <c r="D1471" s="136" t="str">
        <f t="shared" si="3"/>
        <v/>
      </c>
      <c r="E1471" s="152"/>
      <c r="F1471" s="106" t="s">
        <v>133</v>
      </c>
      <c r="G1471" s="152"/>
      <c r="H1471" s="106" t="s">
        <v>133</v>
      </c>
      <c r="J1471" s="139" t="s">
        <v>133</v>
      </c>
      <c r="K1471" s="136" t="s">
        <v>133</v>
      </c>
      <c r="L1471" s="153"/>
      <c r="M1471" s="136" t="str">
        <f t="shared" si="1"/>
        <v/>
      </c>
      <c r="O1471" s="141" t="s">
        <v>133</v>
      </c>
      <c r="P1471" s="136" t="str">
        <f>IFERROR(__xludf.DUMMYFUNCTION("""COMPUTED_VALUE"""),"")</f>
        <v/>
      </c>
      <c r="Q1471" s="136" t="str">
        <f>IFERROR(__xludf.DUMMYFUNCTION("""COMPUTED_VALUE"""),"")</f>
        <v/>
      </c>
      <c r="R1471" s="106" t="str">
        <f>IFERROR(__xludf.DUMMYFUNCTION("""COMPUTED_VALUE"""),"")</f>
        <v/>
      </c>
      <c r="S1471" s="106" t="str">
        <f>IFERROR(__xludf.DUMMYFUNCTION("""COMPUTED_VALUE"""),"")</f>
        <v/>
      </c>
      <c r="T1471" s="139" t="str">
        <f>IFERROR(__xludf.DUMMYFUNCTION("""COMPUTED_VALUE"""),"")</f>
        <v/>
      </c>
      <c r="U1471" s="139" t="str">
        <f>IFERROR(__xludf.DUMMYFUNCTION("""COMPUTED_VALUE"""),"")</f>
        <v/>
      </c>
      <c r="V1471" s="136" t="str">
        <f>IFERROR(__xludf.DUMMYFUNCTION("""COMPUTED_VALUE"""),"")</f>
        <v/>
      </c>
      <c r="W1471" s="106" t="str">
        <f>IFERROR(__xludf.DUMMYFUNCTION("""COMPUTED_VALUE"""),"")</f>
        <v/>
      </c>
      <c r="X1471" s="143" t="str">
        <f t="shared" si="2"/>
        <v/>
      </c>
      <c r="Y1471" s="139" t="str">
        <f>IFERROR(__xludf.DUMMYFUNCTION("""COMPUTED_VALUE"""),"")</f>
        <v/>
      </c>
      <c r="Z1471" s="141" t="str">
        <f>IFERROR(__xludf.DUMMYFUNCTION("""COMPUTED_VALUE"""),"")</f>
        <v/>
      </c>
    </row>
    <row r="1472">
      <c r="D1472" s="136" t="str">
        <f t="shared" si="3"/>
        <v/>
      </c>
      <c r="E1472" s="152"/>
      <c r="F1472" s="106" t="s">
        <v>133</v>
      </c>
      <c r="G1472" s="152"/>
      <c r="H1472" s="106" t="s">
        <v>133</v>
      </c>
      <c r="J1472" s="139" t="s">
        <v>133</v>
      </c>
      <c r="K1472" s="136" t="s">
        <v>133</v>
      </c>
      <c r="L1472" s="153"/>
      <c r="M1472" s="136" t="str">
        <f t="shared" si="1"/>
        <v/>
      </c>
      <c r="O1472" s="141" t="s">
        <v>133</v>
      </c>
      <c r="P1472" s="136" t="str">
        <f>IFERROR(__xludf.DUMMYFUNCTION("""COMPUTED_VALUE"""),"")</f>
        <v/>
      </c>
      <c r="Q1472" s="136" t="str">
        <f>IFERROR(__xludf.DUMMYFUNCTION("""COMPUTED_VALUE"""),"")</f>
        <v/>
      </c>
      <c r="R1472" s="106" t="str">
        <f>IFERROR(__xludf.DUMMYFUNCTION("""COMPUTED_VALUE"""),"")</f>
        <v/>
      </c>
      <c r="S1472" s="106" t="str">
        <f>IFERROR(__xludf.DUMMYFUNCTION("""COMPUTED_VALUE"""),"")</f>
        <v/>
      </c>
      <c r="T1472" s="139" t="str">
        <f>IFERROR(__xludf.DUMMYFUNCTION("""COMPUTED_VALUE"""),"")</f>
        <v/>
      </c>
      <c r="U1472" s="139" t="str">
        <f>IFERROR(__xludf.DUMMYFUNCTION("""COMPUTED_VALUE"""),"")</f>
        <v/>
      </c>
      <c r="V1472" s="136" t="str">
        <f>IFERROR(__xludf.DUMMYFUNCTION("""COMPUTED_VALUE"""),"")</f>
        <v/>
      </c>
      <c r="W1472" s="106" t="str">
        <f>IFERROR(__xludf.DUMMYFUNCTION("""COMPUTED_VALUE"""),"")</f>
        <v/>
      </c>
      <c r="X1472" s="143" t="str">
        <f t="shared" si="2"/>
        <v/>
      </c>
      <c r="Y1472" s="139" t="str">
        <f>IFERROR(__xludf.DUMMYFUNCTION("""COMPUTED_VALUE"""),"")</f>
        <v/>
      </c>
      <c r="Z1472" s="141" t="str">
        <f>IFERROR(__xludf.DUMMYFUNCTION("""COMPUTED_VALUE"""),"")</f>
        <v/>
      </c>
    </row>
    <row r="1473">
      <c r="D1473" s="136" t="str">
        <f t="shared" si="3"/>
        <v/>
      </c>
      <c r="E1473" s="152"/>
      <c r="F1473" s="106" t="s">
        <v>133</v>
      </c>
      <c r="G1473" s="152"/>
      <c r="H1473" s="106" t="s">
        <v>133</v>
      </c>
      <c r="J1473" s="139" t="s">
        <v>133</v>
      </c>
      <c r="K1473" s="136" t="s">
        <v>133</v>
      </c>
      <c r="L1473" s="153"/>
      <c r="M1473" s="136" t="str">
        <f t="shared" si="1"/>
        <v/>
      </c>
      <c r="O1473" s="141" t="s">
        <v>133</v>
      </c>
      <c r="P1473" s="136" t="str">
        <f>IFERROR(__xludf.DUMMYFUNCTION("""COMPUTED_VALUE"""),"")</f>
        <v/>
      </c>
      <c r="Q1473" s="136" t="str">
        <f>IFERROR(__xludf.DUMMYFUNCTION("""COMPUTED_VALUE"""),"")</f>
        <v/>
      </c>
      <c r="R1473" s="106" t="str">
        <f>IFERROR(__xludf.DUMMYFUNCTION("""COMPUTED_VALUE"""),"")</f>
        <v/>
      </c>
      <c r="S1473" s="106" t="str">
        <f>IFERROR(__xludf.DUMMYFUNCTION("""COMPUTED_VALUE"""),"")</f>
        <v/>
      </c>
      <c r="T1473" s="139" t="str">
        <f>IFERROR(__xludf.DUMMYFUNCTION("""COMPUTED_VALUE"""),"")</f>
        <v/>
      </c>
      <c r="U1473" s="139" t="str">
        <f>IFERROR(__xludf.DUMMYFUNCTION("""COMPUTED_VALUE"""),"")</f>
        <v/>
      </c>
      <c r="V1473" s="136" t="str">
        <f>IFERROR(__xludf.DUMMYFUNCTION("""COMPUTED_VALUE"""),"")</f>
        <v/>
      </c>
      <c r="W1473" s="106" t="str">
        <f>IFERROR(__xludf.DUMMYFUNCTION("""COMPUTED_VALUE"""),"")</f>
        <v/>
      </c>
      <c r="X1473" s="143" t="str">
        <f t="shared" si="2"/>
        <v/>
      </c>
      <c r="Y1473" s="139" t="str">
        <f>IFERROR(__xludf.DUMMYFUNCTION("""COMPUTED_VALUE"""),"")</f>
        <v/>
      </c>
      <c r="Z1473" s="141" t="str">
        <f>IFERROR(__xludf.DUMMYFUNCTION("""COMPUTED_VALUE"""),"")</f>
        <v/>
      </c>
    </row>
    <row r="1474">
      <c r="D1474" s="136" t="str">
        <f t="shared" si="3"/>
        <v/>
      </c>
      <c r="E1474" s="152"/>
      <c r="F1474" s="106" t="s">
        <v>133</v>
      </c>
      <c r="G1474" s="152"/>
      <c r="H1474" s="106" t="s">
        <v>133</v>
      </c>
      <c r="J1474" s="139" t="s">
        <v>133</v>
      </c>
      <c r="K1474" s="136" t="s">
        <v>133</v>
      </c>
      <c r="L1474" s="153"/>
      <c r="M1474" s="136" t="str">
        <f t="shared" si="1"/>
        <v/>
      </c>
      <c r="O1474" s="141" t="s">
        <v>133</v>
      </c>
      <c r="P1474" s="136" t="str">
        <f>IFERROR(__xludf.DUMMYFUNCTION("""COMPUTED_VALUE"""),"")</f>
        <v/>
      </c>
      <c r="Q1474" s="136" t="str">
        <f>IFERROR(__xludf.DUMMYFUNCTION("""COMPUTED_VALUE"""),"")</f>
        <v/>
      </c>
      <c r="R1474" s="106" t="str">
        <f>IFERROR(__xludf.DUMMYFUNCTION("""COMPUTED_VALUE"""),"")</f>
        <v/>
      </c>
      <c r="S1474" s="106" t="str">
        <f>IFERROR(__xludf.DUMMYFUNCTION("""COMPUTED_VALUE"""),"")</f>
        <v/>
      </c>
      <c r="T1474" s="139" t="str">
        <f>IFERROR(__xludf.DUMMYFUNCTION("""COMPUTED_VALUE"""),"")</f>
        <v/>
      </c>
      <c r="U1474" s="139" t="str">
        <f>IFERROR(__xludf.DUMMYFUNCTION("""COMPUTED_VALUE"""),"")</f>
        <v/>
      </c>
      <c r="V1474" s="136" t="str">
        <f>IFERROR(__xludf.DUMMYFUNCTION("""COMPUTED_VALUE"""),"")</f>
        <v/>
      </c>
      <c r="W1474" s="106" t="str">
        <f>IFERROR(__xludf.DUMMYFUNCTION("""COMPUTED_VALUE"""),"")</f>
        <v/>
      </c>
      <c r="X1474" s="143" t="str">
        <f t="shared" si="2"/>
        <v/>
      </c>
      <c r="Y1474" s="139" t="str">
        <f>IFERROR(__xludf.DUMMYFUNCTION("""COMPUTED_VALUE"""),"")</f>
        <v/>
      </c>
      <c r="Z1474" s="141" t="str">
        <f>IFERROR(__xludf.DUMMYFUNCTION("""COMPUTED_VALUE"""),"")</f>
        <v/>
      </c>
    </row>
    <row r="1475">
      <c r="D1475" s="136" t="str">
        <f t="shared" si="3"/>
        <v/>
      </c>
      <c r="E1475" s="152"/>
      <c r="F1475" s="106" t="s">
        <v>133</v>
      </c>
      <c r="G1475" s="152"/>
      <c r="H1475" s="106" t="s">
        <v>133</v>
      </c>
      <c r="J1475" s="139" t="s">
        <v>133</v>
      </c>
      <c r="K1475" s="136" t="s">
        <v>133</v>
      </c>
      <c r="L1475" s="153"/>
      <c r="M1475" s="136" t="str">
        <f t="shared" si="1"/>
        <v/>
      </c>
      <c r="O1475" s="141" t="s">
        <v>133</v>
      </c>
      <c r="P1475" s="136" t="str">
        <f>IFERROR(__xludf.DUMMYFUNCTION("""COMPUTED_VALUE"""),"")</f>
        <v/>
      </c>
      <c r="Q1475" s="136" t="str">
        <f>IFERROR(__xludf.DUMMYFUNCTION("""COMPUTED_VALUE"""),"")</f>
        <v/>
      </c>
      <c r="R1475" s="106" t="str">
        <f>IFERROR(__xludf.DUMMYFUNCTION("""COMPUTED_VALUE"""),"")</f>
        <v/>
      </c>
      <c r="S1475" s="106" t="str">
        <f>IFERROR(__xludf.DUMMYFUNCTION("""COMPUTED_VALUE"""),"")</f>
        <v/>
      </c>
      <c r="T1475" s="139" t="str">
        <f>IFERROR(__xludf.DUMMYFUNCTION("""COMPUTED_VALUE"""),"")</f>
        <v/>
      </c>
      <c r="U1475" s="139" t="str">
        <f>IFERROR(__xludf.DUMMYFUNCTION("""COMPUTED_VALUE"""),"")</f>
        <v/>
      </c>
      <c r="V1475" s="136" t="str">
        <f>IFERROR(__xludf.DUMMYFUNCTION("""COMPUTED_VALUE"""),"")</f>
        <v/>
      </c>
      <c r="W1475" s="106" t="str">
        <f>IFERROR(__xludf.DUMMYFUNCTION("""COMPUTED_VALUE"""),"")</f>
        <v/>
      </c>
      <c r="X1475" s="143" t="str">
        <f t="shared" si="2"/>
        <v/>
      </c>
      <c r="Y1475" s="139" t="str">
        <f>IFERROR(__xludf.DUMMYFUNCTION("""COMPUTED_VALUE"""),"")</f>
        <v/>
      </c>
      <c r="Z1475" s="141" t="str">
        <f>IFERROR(__xludf.DUMMYFUNCTION("""COMPUTED_VALUE"""),"")</f>
        <v/>
      </c>
    </row>
    <row r="1476">
      <c r="D1476" s="136" t="str">
        <f t="shared" si="3"/>
        <v/>
      </c>
      <c r="E1476" s="152"/>
      <c r="F1476" s="106" t="s">
        <v>133</v>
      </c>
      <c r="G1476" s="152"/>
      <c r="H1476" s="106" t="s">
        <v>133</v>
      </c>
      <c r="J1476" s="139" t="s">
        <v>133</v>
      </c>
      <c r="K1476" s="136" t="s">
        <v>133</v>
      </c>
      <c r="L1476" s="153"/>
      <c r="M1476" s="136" t="str">
        <f t="shared" si="1"/>
        <v/>
      </c>
      <c r="O1476" s="141" t="s">
        <v>133</v>
      </c>
      <c r="P1476" s="136" t="str">
        <f>IFERROR(__xludf.DUMMYFUNCTION("""COMPUTED_VALUE"""),"")</f>
        <v/>
      </c>
      <c r="Q1476" s="136" t="str">
        <f>IFERROR(__xludf.DUMMYFUNCTION("""COMPUTED_VALUE"""),"")</f>
        <v/>
      </c>
      <c r="R1476" s="106" t="str">
        <f>IFERROR(__xludf.DUMMYFUNCTION("""COMPUTED_VALUE"""),"")</f>
        <v/>
      </c>
      <c r="S1476" s="106" t="str">
        <f>IFERROR(__xludf.DUMMYFUNCTION("""COMPUTED_VALUE"""),"")</f>
        <v/>
      </c>
      <c r="T1476" s="139" t="str">
        <f>IFERROR(__xludf.DUMMYFUNCTION("""COMPUTED_VALUE"""),"")</f>
        <v/>
      </c>
      <c r="U1476" s="139" t="str">
        <f>IFERROR(__xludf.DUMMYFUNCTION("""COMPUTED_VALUE"""),"")</f>
        <v/>
      </c>
      <c r="V1476" s="136" t="str">
        <f>IFERROR(__xludf.DUMMYFUNCTION("""COMPUTED_VALUE"""),"")</f>
        <v/>
      </c>
      <c r="W1476" s="106" t="str">
        <f>IFERROR(__xludf.DUMMYFUNCTION("""COMPUTED_VALUE"""),"")</f>
        <v/>
      </c>
      <c r="X1476" s="143" t="str">
        <f t="shared" si="2"/>
        <v/>
      </c>
      <c r="Y1476" s="139" t="str">
        <f>IFERROR(__xludf.DUMMYFUNCTION("""COMPUTED_VALUE"""),"")</f>
        <v/>
      </c>
      <c r="Z1476" s="141" t="str">
        <f>IFERROR(__xludf.DUMMYFUNCTION("""COMPUTED_VALUE"""),"")</f>
        <v/>
      </c>
    </row>
    <row r="1477">
      <c r="D1477" s="136" t="str">
        <f t="shared" si="3"/>
        <v/>
      </c>
      <c r="E1477" s="152"/>
      <c r="F1477" s="106" t="s">
        <v>133</v>
      </c>
      <c r="G1477" s="152"/>
      <c r="H1477" s="106" t="s">
        <v>133</v>
      </c>
      <c r="J1477" s="139" t="s">
        <v>133</v>
      </c>
      <c r="K1477" s="136" t="s">
        <v>133</v>
      </c>
      <c r="L1477" s="153"/>
      <c r="M1477" s="136" t="str">
        <f t="shared" si="1"/>
        <v/>
      </c>
      <c r="O1477" s="141" t="s">
        <v>133</v>
      </c>
      <c r="P1477" s="136" t="str">
        <f>IFERROR(__xludf.DUMMYFUNCTION("""COMPUTED_VALUE"""),"")</f>
        <v/>
      </c>
      <c r="Q1477" s="136" t="str">
        <f>IFERROR(__xludf.DUMMYFUNCTION("""COMPUTED_VALUE"""),"")</f>
        <v/>
      </c>
      <c r="R1477" s="106" t="str">
        <f>IFERROR(__xludf.DUMMYFUNCTION("""COMPUTED_VALUE"""),"")</f>
        <v/>
      </c>
      <c r="S1477" s="106" t="str">
        <f>IFERROR(__xludf.DUMMYFUNCTION("""COMPUTED_VALUE"""),"")</f>
        <v/>
      </c>
      <c r="T1477" s="139" t="str">
        <f>IFERROR(__xludf.DUMMYFUNCTION("""COMPUTED_VALUE"""),"")</f>
        <v/>
      </c>
      <c r="U1477" s="139" t="str">
        <f>IFERROR(__xludf.DUMMYFUNCTION("""COMPUTED_VALUE"""),"")</f>
        <v/>
      </c>
      <c r="V1477" s="136" t="str">
        <f>IFERROR(__xludf.DUMMYFUNCTION("""COMPUTED_VALUE"""),"")</f>
        <v/>
      </c>
      <c r="W1477" s="106" t="str">
        <f>IFERROR(__xludf.DUMMYFUNCTION("""COMPUTED_VALUE"""),"")</f>
        <v/>
      </c>
      <c r="X1477" s="143" t="str">
        <f t="shared" si="2"/>
        <v/>
      </c>
      <c r="Y1477" s="139" t="str">
        <f>IFERROR(__xludf.DUMMYFUNCTION("""COMPUTED_VALUE"""),"")</f>
        <v/>
      </c>
      <c r="Z1477" s="141" t="str">
        <f>IFERROR(__xludf.DUMMYFUNCTION("""COMPUTED_VALUE"""),"")</f>
        <v/>
      </c>
    </row>
    <row r="1478">
      <c r="D1478" s="136" t="str">
        <f t="shared" si="3"/>
        <v/>
      </c>
      <c r="E1478" s="152"/>
      <c r="F1478" s="106" t="s">
        <v>133</v>
      </c>
      <c r="G1478" s="152"/>
      <c r="H1478" s="106" t="s">
        <v>133</v>
      </c>
      <c r="J1478" s="139" t="s">
        <v>133</v>
      </c>
      <c r="K1478" s="136" t="s">
        <v>133</v>
      </c>
      <c r="L1478" s="153"/>
      <c r="M1478" s="136" t="str">
        <f t="shared" si="1"/>
        <v/>
      </c>
      <c r="O1478" s="141" t="s">
        <v>133</v>
      </c>
      <c r="P1478" s="136" t="str">
        <f>IFERROR(__xludf.DUMMYFUNCTION("""COMPUTED_VALUE"""),"")</f>
        <v/>
      </c>
      <c r="Q1478" s="136" t="str">
        <f>IFERROR(__xludf.DUMMYFUNCTION("""COMPUTED_VALUE"""),"")</f>
        <v/>
      </c>
      <c r="R1478" s="106" t="str">
        <f>IFERROR(__xludf.DUMMYFUNCTION("""COMPUTED_VALUE"""),"")</f>
        <v/>
      </c>
      <c r="S1478" s="106" t="str">
        <f>IFERROR(__xludf.DUMMYFUNCTION("""COMPUTED_VALUE"""),"")</f>
        <v/>
      </c>
      <c r="T1478" s="139" t="str">
        <f>IFERROR(__xludf.DUMMYFUNCTION("""COMPUTED_VALUE"""),"")</f>
        <v/>
      </c>
      <c r="U1478" s="139" t="str">
        <f>IFERROR(__xludf.DUMMYFUNCTION("""COMPUTED_VALUE"""),"")</f>
        <v/>
      </c>
      <c r="V1478" s="136" t="str">
        <f>IFERROR(__xludf.DUMMYFUNCTION("""COMPUTED_VALUE"""),"")</f>
        <v/>
      </c>
      <c r="W1478" s="106" t="str">
        <f>IFERROR(__xludf.DUMMYFUNCTION("""COMPUTED_VALUE"""),"")</f>
        <v/>
      </c>
      <c r="X1478" s="143" t="str">
        <f t="shared" si="2"/>
        <v/>
      </c>
      <c r="Y1478" s="139" t="str">
        <f>IFERROR(__xludf.DUMMYFUNCTION("""COMPUTED_VALUE"""),"")</f>
        <v/>
      </c>
      <c r="Z1478" s="141" t="str">
        <f>IFERROR(__xludf.DUMMYFUNCTION("""COMPUTED_VALUE"""),"")</f>
        <v/>
      </c>
    </row>
    <row r="1479">
      <c r="D1479" s="136" t="str">
        <f t="shared" si="3"/>
        <v/>
      </c>
      <c r="E1479" s="152"/>
      <c r="F1479" s="106" t="s">
        <v>133</v>
      </c>
      <c r="G1479" s="152"/>
      <c r="H1479" s="106" t="s">
        <v>133</v>
      </c>
      <c r="J1479" s="139" t="s">
        <v>133</v>
      </c>
      <c r="K1479" s="136" t="s">
        <v>133</v>
      </c>
      <c r="L1479" s="153"/>
      <c r="M1479" s="136" t="str">
        <f t="shared" si="1"/>
        <v/>
      </c>
      <c r="O1479" s="141" t="s">
        <v>133</v>
      </c>
      <c r="P1479" s="136" t="str">
        <f>IFERROR(__xludf.DUMMYFUNCTION("""COMPUTED_VALUE"""),"")</f>
        <v/>
      </c>
      <c r="Q1479" s="136" t="str">
        <f>IFERROR(__xludf.DUMMYFUNCTION("""COMPUTED_VALUE"""),"")</f>
        <v/>
      </c>
      <c r="R1479" s="106" t="str">
        <f>IFERROR(__xludf.DUMMYFUNCTION("""COMPUTED_VALUE"""),"")</f>
        <v/>
      </c>
      <c r="S1479" s="106" t="str">
        <f>IFERROR(__xludf.DUMMYFUNCTION("""COMPUTED_VALUE"""),"")</f>
        <v/>
      </c>
      <c r="T1479" s="139" t="str">
        <f>IFERROR(__xludf.DUMMYFUNCTION("""COMPUTED_VALUE"""),"")</f>
        <v/>
      </c>
      <c r="U1479" s="139" t="str">
        <f>IFERROR(__xludf.DUMMYFUNCTION("""COMPUTED_VALUE"""),"")</f>
        <v/>
      </c>
      <c r="V1479" s="136" t="str">
        <f>IFERROR(__xludf.DUMMYFUNCTION("""COMPUTED_VALUE"""),"")</f>
        <v/>
      </c>
      <c r="W1479" s="106" t="str">
        <f>IFERROR(__xludf.DUMMYFUNCTION("""COMPUTED_VALUE"""),"")</f>
        <v/>
      </c>
      <c r="X1479" s="143" t="str">
        <f t="shared" si="2"/>
        <v/>
      </c>
      <c r="Y1479" s="139" t="str">
        <f>IFERROR(__xludf.DUMMYFUNCTION("""COMPUTED_VALUE"""),"")</f>
        <v/>
      </c>
      <c r="Z1479" s="141" t="str">
        <f>IFERROR(__xludf.DUMMYFUNCTION("""COMPUTED_VALUE"""),"")</f>
        <v/>
      </c>
    </row>
    <row r="1480">
      <c r="D1480" s="136" t="str">
        <f t="shared" si="3"/>
        <v/>
      </c>
      <c r="E1480" s="152"/>
      <c r="F1480" s="106" t="s">
        <v>133</v>
      </c>
      <c r="G1480" s="152"/>
      <c r="H1480" s="106" t="s">
        <v>133</v>
      </c>
      <c r="J1480" s="139" t="s">
        <v>133</v>
      </c>
      <c r="K1480" s="136" t="s">
        <v>133</v>
      </c>
      <c r="L1480" s="153"/>
      <c r="M1480" s="136" t="str">
        <f t="shared" si="1"/>
        <v/>
      </c>
      <c r="O1480" s="141" t="s">
        <v>133</v>
      </c>
      <c r="P1480" s="136" t="str">
        <f>IFERROR(__xludf.DUMMYFUNCTION("""COMPUTED_VALUE"""),"")</f>
        <v/>
      </c>
      <c r="Q1480" s="136" t="str">
        <f>IFERROR(__xludf.DUMMYFUNCTION("""COMPUTED_VALUE"""),"")</f>
        <v/>
      </c>
      <c r="R1480" s="106" t="str">
        <f>IFERROR(__xludf.DUMMYFUNCTION("""COMPUTED_VALUE"""),"")</f>
        <v/>
      </c>
      <c r="S1480" s="106" t="str">
        <f>IFERROR(__xludf.DUMMYFUNCTION("""COMPUTED_VALUE"""),"")</f>
        <v/>
      </c>
      <c r="T1480" s="139" t="str">
        <f>IFERROR(__xludf.DUMMYFUNCTION("""COMPUTED_VALUE"""),"")</f>
        <v/>
      </c>
      <c r="U1480" s="139" t="str">
        <f>IFERROR(__xludf.DUMMYFUNCTION("""COMPUTED_VALUE"""),"")</f>
        <v/>
      </c>
      <c r="V1480" s="136" t="str">
        <f>IFERROR(__xludf.DUMMYFUNCTION("""COMPUTED_VALUE"""),"")</f>
        <v/>
      </c>
      <c r="W1480" s="106" t="str">
        <f>IFERROR(__xludf.DUMMYFUNCTION("""COMPUTED_VALUE"""),"")</f>
        <v/>
      </c>
      <c r="X1480" s="143" t="str">
        <f t="shared" si="2"/>
        <v/>
      </c>
      <c r="Y1480" s="139" t="str">
        <f>IFERROR(__xludf.DUMMYFUNCTION("""COMPUTED_VALUE"""),"")</f>
        <v/>
      </c>
      <c r="Z1480" s="141" t="str">
        <f>IFERROR(__xludf.DUMMYFUNCTION("""COMPUTED_VALUE"""),"")</f>
        <v/>
      </c>
    </row>
    <row r="1481">
      <c r="D1481" s="136" t="str">
        <f t="shared" si="3"/>
        <v/>
      </c>
      <c r="E1481" s="152"/>
      <c r="F1481" s="106" t="s">
        <v>133</v>
      </c>
      <c r="G1481" s="152"/>
      <c r="H1481" s="106" t="s">
        <v>133</v>
      </c>
      <c r="J1481" s="139" t="s">
        <v>133</v>
      </c>
      <c r="K1481" s="136" t="s">
        <v>133</v>
      </c>
      <c r="L1481" s="153"/>
      <c r="M1481" s="136" t="str">
        <f t="shared" si="1"/>
        <v/>
      </c>
      <c r="O1481" s="141" t="s">
        <v>133</v>
      </c>
      <c r="P1481" s="136" t="str">
        <f>IFERROR(__xludf.DUMMYFUNCTION("""COMPUTED_VALUE"""),"")</f>
        <v/>
      </c>
      <c r="Q1481" s="136" t="str">
        <f>IFERROR(__xludf.DUMMYFUNCTION("""COMPUTED_VALUE"""),"")</f>
        <v/>
      </c>
      <c r="R1481" s="106" t="str">
        <f>IFERROR(__xludf.DUMMYFUNCTION("""COMPUTED_VALUE"""),"")</f>
        <v/>
      </c>
      <c r="S1481" s="106" t="str">
        <f>IFERROR(__xludf.DUMMYFUNCTION("""COMPUTED_VALUE"""),"")</f>
        <v/>
      </c>
      <c r="T1481" s="139" t="str">
        <f>IFERROR(__xludf.DUMMYFUNCTION("""COMPUTED_VALUE"""),"")</f>
        <v/>
      </c>
      <c r="U1481" s="139" t="str">
        <f>IFERROR(__xludf.DUMMYFUNCTION("""COMPUTED_VALUE"""),"")</f>
        <v/>
      </c>
      <c r="V1481" s="136" t="str">
        <f>IFERROR(__xludf.DUMMYFUNCTION("""COMPUTED_VALUE"""),"")</f>
        <v/>
      </c>
      <c r="W1481" s="106" t="str">
        <f>IFERROR(__xludf.DUMMYFUNCTION("""COMPUTED_VALUE"""),"")</f>
        <v/>
      </c>
      <c r="X1481" s="143" t="str">
        <f t="shared" si="2"/>
        <v/>
      </c>
      <c r="Y1481" s="139" t="str">
        <f>IFERROR(__xludf.DUMMYFUNCTION("""COMPUTED_VALUE"""),"")</f>
        <v/>
      </c>
      <c r="Z1481" s="141" t="str">
        <f>IFERROR(__xludf.DUMMYFUNCTION("""COMPUTED_VALUE"""),"")</f>
        <v/>
      </c>
    </row>
    <row r="1482">
      <c r="D1482" s="136" t="str">
        <f t="shared" si="3"/>
        <v/>
      </c>
      <c r="E1482" s="152"/>
      <c r="F1482" s="106" t="s">
        <v>133</v>
      </c>
      <c r="G1482" s="152"/>
      <c r="H1482" s="106" t="s">
        <v>133</v>
      </c>
      <c r="J1482" s="139" t="s">
        <v>133</v>
      </c>
      <c r="K1482" s="136" t="s">
        <v>133</v>
      </c>
      <c r="L1482" s="153"/>
      <c r="M1482" s="136" t="str">
        <f t="shared" si="1"/>
        <v/>
      </c>
      <c r="O1482" s="141" t="s">
        <v>133</v>
      </c>
      <c r="P1482" s="136" t="str">
        <f>IFERROR(__xludf.DUMMYFUNCTION("""COMPUTED_VALUE"""),"")</f>
        <v/>
      </c>
      <c r="Q1482" s="136" t="str">
        <f>IFERROR(__xludf.DUMMYFUNCTION("""COMPUTED_VALUE"""),"")</f>
        <v/>
      </c>
      <c r="R1482" s="106" t="str">
        <f>IFERROR(__xludf.DUMMYFUNCTION("""COMPUTED_VALUE"""),"")</f>
        <v/>
      </c>
      <c r="S1482" s="106" t="str">
        <f>IFERROR(__xludf.DUMMYFUNCTION("""COMPUTED_VALUE"""),"")</f>
        <v/>
      </c>
      <c r="T1482" s="139" t="str">
        <f>IFERROR(__xludf.DUMMYFUNCTION("""COMPUTED_VALUE"""),"")</f>
        <v/>
      </c>
      <c r="U1482" s="139" t="str">
        <f>IFERROR(__xludf.DUMMYFUNCTION("""COMPUTED_VALUE"""),"")</f>
        <v/>
      </c>
      <c r="V1482" s="136" t="str">
        <f>IFERROR(__xludf.DUMMYFUNCTION("""COMPUTED_VALUE"""),"")</f>
        <v/>
      </c>
      <c r="W1482" s="106" t="str">
        <f>IFERROR(__xludf.DUMMYFUNCTION("""COMPUTED_VALUE"""),"")</f>
        <v/>
      </c>
      <c r="X1482" s="143" t="str">
        <f t="shared" si="2"/>
        <v/>
      </c>
      <c r="Y1482" s="139" t="str">
        <f>IFERROR(__xludf.DUMMYFUNCTION("""COMPUTED_VALUE"""),"")</f>
        <v/>
      </c>
      <c r="Z1482" s="141" t="str">
        <f>IFERROR(__xludf.DUMMYFUNCTION("""COMPUTED_VALUE"""),"")</f>
        <v/>
      </c>
    </row>
    <row r="1483">
      <c r="D1483" s="136" t="str">
        <f t="shared" si="3"/>
        <v/>
      </c>
      <c r="E1483" s="152"/>
      <c r="F1483" s="106" t="s">
        <v>133</v>
      </c>
      <c r="G1483" s="152"/>
      <c r="H1483" s="106" t="s">
        <v>133</v>
      </c>
      <c r="J1483" s="139" t="s">
        <v>133</v>
      </c>
      <c r="K1483" s="136" t="s">
        <v>133</v>
      </c>
      <c r="L1483" s="153"/>
      <c r="M1483" s="136" t="str">
        <f t="shared" si="1"/>
        <v/>
      </c>
      <c r="O1483" s="141" t="s">
        <v>133</v>
      </c>
      <c r="P1483" s="136" t="str">
        <f>IFERROR(__xludf.DUMMYFUNCTION("""COMPUTED_VALUE"""),"")</f>
        <v/>
      </c>
      <c r="Q1483" s="136" t="str">
        <f>IFERROR(__xludf.DUMMYFUNCTION("""COMPUTED_VALUE"""),"")</f>
        <v/>
      </c>
      <c r="R1483" s="106" t="str">
        <f>IFERROR(__xludf.DUMMYFUNCTION("""COMPUTED_VALUE"""),"")</f>
        <v/>
      </c>
      <c r="S1483" s="106" t="str">
        <f>IFERROR(__xludf.DUMMYFUNCTION("""COMPUTED_VALUE"""),"")</f>
        <v/>
      </c>
      <c r="T1483" s="139" t="str">
        <f>IFERROR(__xludf.DUMMYFUNCTION("""COMPUTED_VALUE"""),"")</f>
        <v/>
      </c>
      <c r="U1483" s="139" t="str">
        <f>IFERROR(__xludf.DUMMYFUNCTION("""COMPUTED_VALUE"""),"")</f>
        <v/>
      </c>
      <c r="V1483" s="136" t="str">
        <f>IFERROR(__xludf.DUMMYFUNCTION("""COMPUTED_VALUE"""),"")</f>
        <v/>
      </c>
      <c r="W1483" s="106" t="str">
        <f>IFERROR(__xludf.DUMMYFUNCTION("""COMPUTED_VALUE"""),"")</f>
        <v/>
      </c>
      <c r="X1483" s="143" t="str">
        <f t="shared" si="2"/>
        <v/>
      </c>
      <c r="Y1483" s="139" t="str">
        <f>IFERROR(__xludf.DUMMYFUNCTION("""COMPUTED_VALUE"""),"")</f>
        <v/>
      </c>
      <c r="Z1483" s="141" t="str">
        <f>IFERROR(__xludf.DUMMYFUNCTION("""COMPUTED_VALUE"""),"")</f>
        <v/>
      </c>
    </row>
    <row r="1484">
      <c r="D1484" s="136" t="str">
        <f t="shared" si="3"/>
        <v/>
      </c>
      <c r="E1484" s="152"/>
      <c r="F1484" s="106" t="s">
        <v>133</v>
      </c>
      <c r="G1484" s="152"/>
      <c r="H1484" s="106" t="s">
        <v>133</v>
      </c>
      <c r="J1484" s="139" t="s">
        <v>133</v>
      </c>
      <c r="K1484" s="136" t="s">
        <v>133</v>
      </c>
      <c r="L1484" s="153"/>
      <c r="M1484" s="136" t="str">
        <f t="shared" si="1"/>
        <v/>
      </c>
      <c r="O1484" s="141" t="s">
        <v>133</v>
      </c>
      <c r="P1484" s="136" t="str">
        <f>IFERROR(__xludf.DUMMYFUNCTION("""COMPUTED_VALUE"""),"")</f>
        <v/>
      </c>
      <c r="Q1484" s="136" t="str">
        <f>IFERROR(__xludf.DUMMYFUNCTION("""COMPUTED_VALUE"""),"")</f>
        <v/>
      </c>
      <c r="R1484" s="106" t="str">
        <f>IFERROR(__xludf.DUMMYFUNCTION("""COMPUTED_VALUE"""),"")</f>
        <v/>
      </c>
      <c r="S1484" s="106" t="str">
        <f>IFERROR(__xludf.DUMMYFUNCTION("""COMPUTED_VALUE"""),"")</f>
        <v/>
      </c>
      <c r="T1484" s="139" t="str">
        <f>IFERROR(__xludf.DUMMYFUNCTION("""COMPUTED_VALUE"""),"")</f>
        <v/>
      </c>
      <c r="U1484" s="139" t="str">
        <f>IFERROR(__xludf.DUMMYFUNCTION("""COMPUTED_VALUE"""),"")</f>
        <v/>
      </c>
      <c r="V1484" s="136" t="str">
        <f>IFERROR(__xludf.DUMMYFUNCTION("""COMPUTED_VALUE"""),"")</f>
        <v/>
      </c>
      <c r="W1484" s="106" t="str">
        <f>IFERROR(__xludf.DUMMYFUNCTION("""COMPUTED_VALUE"""),"")</f>
        <v/>
      </c>
      <c r="X1484" s="143" t="str">
        <f t="shared" si="2"/>
        <v/>
      </c>
      <c r="Y1484" s="139" t="str">
        <f>IFERROR(__xludf.DUMMYFUNCTION("""COMPUTED_VALUE"""),"")</f>
        <v/>
      </c>
      <c r="Z1484" s="141" t="str">
        <f>IFERROR(__xludf.DUMMYFUNCTION("""COMPUTED_VALUE"""),"")</f>
        <v/>
      </c>
    </row>
    <row r="1485">
      <c r="D1485" s="136" t="str">
        <f t="shared" si="3"/>
        <v/>
      </c>
      <c r="E1485" s="152"/>
      <c r="F1485" s="106" t="s">
        <v>133</v>
      </c>
      <c r="G1485" s="152"/>
      <c r="H1485" s="106" t="s">
        <v>133</v>
      </c>
      <c r="J1485" s="139" t="s">
        <v>133</v>
      </c>
      <c r="K1485" s="136" t="s">
        <v>133</v>
      </c>
      <c r="L1485" s="153"/>
      <c r="M1485" s="136" t="str">
        <f t="shared" si="1"/>
        <v/>
      </c>
      <c r="O1485" s="141" t="s">
        <v>133</v>
      </c>
      <c r="P1485" s="136" t="str">
        <f>IFERROR(__xludf.DUMMYFUNCTION("""COMPUTED_VALUE"""),"")</f>
        <v/>
      </c>
      <c r="Q1485" s="136" t="str">
        <f>IFERROR(__xludf.DUMMYFUNCTION("""COMPUTED_VALUE"""),"")</f>
        <v/>
      </c>
      <c r="R1485" s="106" t="str">
        <f>IFERROR(__xludf.DUMMYFUNCTION("""COMPUTED_VALUE"""),"")</f>
        <v/>
      </c>
      <c r="S1485" s="106" t="str">
        <f>IFERROR(__xludf.DUMMYFUNCTION("""COMPUTED_VALUE"""),"")</f>
        <v/>
      </c>
      <c r="T1485" s="139" t="str">
        <f>IFERROR(__xludf.DUMMYFUNCTION("""COMPUTED_VALUE"""),"")</f>
        <v/>
      </c>
      <c r="U1485" s="139" t="str">
        <f>IFERROR(__xludf.DUMMYFUNCTION("""COMPUTED_VALUE"""),"")</f>
        <v/>
      </c>
      <c r="V1485" s="136" t="str">
        <f>IFERROR(__xludf.DUMMYFUNCTION("""COMPUTED_VALUE"""),"")</f>
        <v/>
      </c>
      <c r="W1485" s="106" t="str">
        <f>IFERROR(__xludf.DUMMYFUNCTION("""COMPUTED_VALUE"""),"")</f>
        <v/>
      </c>
      <c r="X1485" s="143" t="str">
        <f t="shared" si="2"/>
        <v/>
      </c>
      <c r="Y1485" s="139" t="str">
        <f>IFERROR(__xludf.DUMMYFUNCTION("""COMPUTED_VALUE"""),"")</f>
        <v/>
      </c>
      <c r="Z1485" s="141" t="str">
        <f>IFERROR(__xludf.DUMMYFUNCTION("""COMPUTED_VALUE"""),"")</f>
        <v/>
      </c>
    </row>
    <row r="1486">
      <c r="D1486" s="136" t="str">
        <f t="shared" si="3"/>
        <v/>
      </c>
      <c r="E1486" s="152"/>
      <c r="F1486" s="106" t="s">
        <v>133</v>
      </c>
      <c r="G1486" s="152"/>
      <c r="H1486" s="106" t="s">
        <v>133</v>
      </c>
      <c r="J1486" s="139" t="s">
        <v>133</v>
      </c>
      <c r="K1486" s="136" t="s">
        <v>133</v>
      </c>
      <c r="L1486" s="153"/>
      <c r="M1486" s="136" t="str">
        <f t="shared" si="1"/>
        <v/>
      </c>
      <c r="O1486" s="141" t="s">
        <v>133</v>
      </c>
      <c r="P1486" s="136" t="str">
        <f>IFERROR(__xludf.DUMMYFUNCTION("""COMPUTED_VALUE"""),"")</f>
        <v/>
      </c>
      <c r="Q1486" s="136" t="str">
        <f>IFERROR(__xludf.DUMMYFUNCTION("""COMPUTED_VALUE"""),"")</f>
        <v/>
      </c>
      <c r="R1486" s="106" t="str">
        <f>IFERROR(__xludf.DUMMYFUNCTION("""COMPUTED_VALUE"""),"")</f>
        <v/>
      </c>
      <c r="S1486" s="106" t="str">
        <f>IFERROR(__xludf.DUMMYFUNCTION("""COMPUTED_VALUE"""),"")</f>
        <v/>
      </c>
      <c r="T1486" s="139" t="str">
        <f>IFERROR(__xludf.DUMMYFUNCTION("""COMPUTED_VALUE"""),"")</f>
        <v/>
      </c>
      <c r="U1486" s="139" t="str">
        <f>IFERROR(__xludf.DUMMYFUNCTION("""COMPUTED_VALUE"""),"")</f>
        <v/>
      </c>
      <c r="V1486" s="136" t="str">
        <f>IFERROR(__xludf.DUMMYFUNCTION("""COMPUTED_VALUE"""),"")</f>
        <v/>
      </c>
      <c r="W1486" s="106" t="str">
        <f>IFERROR(__xludf.DUMMYFUNCTION("""COMPUTED_VALUE"""),"")</f>
        <v/>
      </c>
      <c r="X1486" s="143" t="str">
        <f t="shared" si="2"/>
        <v/>
      </c>
      <c r="Y1486" s="139" t="str">
        <f>IFERROR(__xludf.DUMMYFUNCTION("""COMPUTED_VALUE"""),"")</f>
        <v/>
      </c>
      <c r="Z1486" s="141" t="str">
        <f>IFERROR(__xludf.DUMMYFUNCTION("""COMPUTED_VALUE"""),"")</f>
        <v/>
      </c>
    </row>
    <row r="1487">
      <c r="D1487" s="136" t="str">
        <f t="shared" si="3"/>
        <v/>
      </c>
      <c r="E1487" s="152"/>
      <c r="F1487" s="106" t="s">
        <v>133</v>
      </c>
      <c r="G1487" s="152"/>
      <c r="H1487" s="106" t="s">
        <v>133</v>
      </c>
      <c r="J1487" s="139" t="s">
        <v>133</v>
      </c>
      <c r="K1487" s="136" t="s">
        <v>133</v>
      </c>
      <c r="L1487" s="153"/>
      <c r="M1487" s="136" t="str">
        <f t="shared" si="1"/>
        <v/>
      </c>
      <c r="O1487" s="141" t="s">
        <v>133</v>
      </c>
      <c r="P1487" s="136" t="str">
        <f>IFERROR(__xludf.DUMMYFUNCTION("""COMPUTED_VALUE"""),"")</f>
        <v/>
      </c>
      <c r="Q1487" s="136" t="str">
        <f>IFERROR(__xludf.DUMMYFUNCTION("""COMPUTED_VALUE"""),"")</f>
        <v/>
      </c>
      <c r="R1487" s="106" t="str">
        <f>IFERROR(__xludf.DUMMYFUNCTION("""COMPUTED_VALUE"""),"")</f>
        <v/>
      </c>
      <c r="S1487" s="106" t="str">
        <f>IFERROR(__xludf.DUMMYFUNCTION("""COMPUTED_VALUE"""),"")</f>
        <v/>
      </c>
      <c r="T1487" s="139" t="str">
        <f>IFERROR(__xludf.DUMMYFUNCTION("""COMPUTED_VALUE"""),"")</f>
        <v/>
      </c>
      <c r="U1487" s="139" t="str">
        <f>IFERROR(__xludf.DUMMYFUNCTION("""COMPUTED_VALUE"""),"")</f>
        <v/>
      </c>
      <c r="V1487" s="136" t="str">
        <f>IFERROR(__xludf.DUMMYFUNCTION("""COMPUTED_VALUE"""),"")</f>
        <v/>
      </c>
      <c r="W1487" s="106" t="str">
        <f>IFERROR(__xludf.DUMMYFUNCTION("""COMPUTED_VALUE"""),"")</f>
        <v/>
      </c>
      <c r="X1487" s="143" t="str">
        <f t="shared" si="2"/>
        <v/>
      </c>
      <c r="Y1487" s="139" t="str">
        <f>IFERROR(__xludf.DUMMYFUNCTION("""COMPUTED_VALUE"""),"")</f>
        <v/>
      </c>
      <c r="Z1487" s="141" t="str">
        <f>IFERROR(__xludf.DUMMYFUNCTION("""COMPUTED_VALUE"""),"")</f>
        <v/>
      </c>
    </row>
    <row r="1488">
      <c r="D1488" s="136" t="str">
        <f t="shared" si="3"/>
        <v/>
      </c>
      <c r="E1488" s="152"/>
      <c r="F1488" s="106" t="s">
        <v>133</v>
      </c>
      <c r="G1488" s="152"/>
      <c r="H1488" s="106" t="s">
        <v>133</v>
      </c>
      <c r="J1488" s="139" t="s">
        <v>133</v>
      </c>
      <c r="K1488" s="136" t="s">
        <v>133</v>
      </c>
      <c r="L1488" s="153"/>
      <c r="M1488" s="136" t="str">
        <f t="shared" si="1"/>
        <v/>
      </c>
      <c r="O1488" s="141" t="s">
        <v>133</v>
      </c>
      <c r="P1488" s="136" t="str">
        <f>IFERROR(__xludf.DUMMYFUNCTION("""COMPUTED_VALUE"""),"")</f>
        <v/>
      </c>
      <c r="Q1488" s="136" t="str">
        <f>IFERROR(__xludf.DUMMYFUNCTION("""COMPUTED_VALUE"""),"")</f>
        <v/>
      </c>
      <c r="R1488" s="106" t="str">
        <f>IFERROR(__xludf.DUMMYFUNCTION("""COMPUTED_VALUE"""),"")</f>
        <v/>
      </c>
      <c r="S1488" s="106" t="str">
        <f>IFERROR(__xludf.DUMMYFUNCTION("""COMPUTED_VALUE"""),"")</f>
        <v/>
      </c>
      <c r="T1488" s="139" t="str">
        <f>IFERROR(__xludf.DUMMYFUNCTION("""COMPUTED_VALUE"""),"")</f>
        <v/>
      </c>
      <c r="U1488" s="139" t="str">
        <f>IFERROR(__xludf.DUMMYFUNCTION("""COMPUTED_VALUE"""),"")</f>
        <v/>
      </c>
      <c r="V1488" s="136" t="str">
        <f>IFERROR(__xludf.DUMMYFUNCTION("""COMPUTED_VALUE"""),"")</f>
        <v/>
      </c>
      <c r="W1488" s="106" t="str">
        <f>IFERROR(__xludf.DUMMYFUNCTION("""COMPUTED_VALUE"""),"")</f>
        <v/>
      </c>
      <c r="X1488" s="143" t="str">
        <f t="shared" si="2"/>
        <v/>
      </c>
      <c r="Y1488" s="139" t="str">
        <f>IFERROR(__xludf.DUMMYFUNCTION("""COMPUTED_VALUE"""),"")</f>
        <v/>
      </c>
      <c r="Z1488" s="141" t="str">
        <f>IFERROR(__xludf.DUMMYFUNCTION("""COMPUTED_VALUE"""),"")</f>
        <v/>
      </c>
    </row>
    <row r="1489">
      <c r="D1489" s="136" t="str">
        <f t="shared" si="3"/>
        <v/>
      </c>
      <c r="E1489" s="152"/>
      <c r="F1489" s="106" t="s">
        <v>133</v>
      </c>
      <c r="G1489" s="152"/>
      <c r="H1489" s="106" t="s">
        <v>133</v>
      </c>
      <c r="J1489" s="139" t="s">
        <v>133</v>
      </c>
      <c r="K1489" s="136" t="s">
        <v>133</v>
      </c>
      <c r="L1489" s="153"/>
      <c r="M1489" s="136" t="str">
        <f t="shared" si="1"/>
        <v/>
      </c>
      <c r="O1489" s="141" t="s">
        <v>133</v>
      </c>
      <c r="P1489" s="136" t="str">
        <f>IFERROR(__xludf.DUMMYFUNCTION("""COMPUTED_VALUE"""),"")</f>
        <v/>
      </c>
      <c r="Q1489" s="136" t="str">
        <f>IFERROR(__xludf.DUMMYFUNCTION("""COMPUTED_VALUE"""),"")</f>
        <v/>
      </c>
      <c r="R1489" s="106" t="str">
        <f>IFERROR(__xludf.DUMMYFUNCTION("""COMPUTED_VALUE"""),"")</f>
        <v/>
      </c>
      <c r="S1489" s="106" t="str">
        <f>IFERROR(__xludf.DUMMYFUNCTION("""COMPUTED_VALUE"""),"")</f>
        <v/>
      </c>
      <c r="T1489" s="139" t="str">
        <f>IFERROR(__xludf.DUMMYFUNCTION("""COMPUTED_VALUE"""),"")</f>
        <v/>
      </c>
      <c r="U1489" s="139" t="str">
        <f>IFERROR(__xludf.DUMMYFUNCTION("""COMPUTED_VALUE"""),"")</f>
        <v/>
      </c>
      <c r="V1489" s="136" t="str">
        <f>IFERROR(__xludf.DUMMYFUNCTION("""COMPUTED_VALUE"""),"")</f>
        <v/>
      </c>
      <c r="W1489" s="106" t="str">
        <f>IFERROR(__xludf.DUMMYFUNCTION("""COMPUTED_VALUE"""),"")</f>
        <v/>
      </c>
      <c r="X1489" s="143" t="str">
        <f t="shared" si="2"/>
        <v/>
      </c>
      <c r="Y1489" s="139" t="str">
        <f>IFERROR(__xludf.DUMMYFUNCTION("""COMPUTED_VALUE"""),"")</f>
        <v/>
      </c>
      <c r="Z1489" s="141" t="str">
        <f>IFERROR(__xludf.DUMMYFUNCTION("""COMPUTED_VALUE"""),"")</f>
        <v/>
      </c>
    </row>
    <row r="1490">
      <c r="D1490" s="136" t="str">
        <f t="shared" si="3"/>
        <v/>
      </c>
      <c r="E1490" s="152"/>
      <c r="F1490" s="106" t="s">
        <v>133</v>
      </c>
      <c r="G1490" s="152"/>
      <c r="H1490" s="106" t="s">
        <v>133</v>
      </c>
      <c r="J1490" s="139" t="s">
        <v>133</v>
      </c>
      <c r="K1490" s="136" t="s">
        <v>133</v>
      </c>
      <c r="L1490" s="153"/>
      <c r="M1490" s="136" t="str">
        <f t="shared" si="1"/>
        <v/>
      </c>
      <c r="O1490" s="141" t="s">
        <v>133</v>
      </c>
      <c r="P1490" s="136" t="str">
        <f>IFERROR(__xludf.DUMMYFUNCTION("""COMPUTED_VALUE"""),"")</f>
        <v/>
      </c>
      <c r="Q1490" s="136" t="str">
        <f>IFERROR(__xludf.DUMMYFUNCTION("""COMPUTED_VALUE"""),"")</f>
        <v/>
      </c>
      <c r="R1490" s="106" t="str">
        <f>IFERROR(__xludf.DUMMYFUNCTION("""COMPUTED_VALUE"""),"")</f>
        <v/>
      </c>
      <c r="S1490" s="106" t="str">
        <f>IFERROR(__xludf.DUMMYFUNCTION("""COMPUTED_VALUE"""),"")</f>
        <v/>
      </c>
      <c r="T1490" s="139" t="str">
        <f>IFERROR(__xludf.DUMMYFUNCTION("""COMPUTED_VALUE"""),"")</f>
        <v/>
      </c>
      <c r="U1490" s="139" t="str">
        <f>IFERROR(__xludf.DUMMYFUNCTION("""COMPUTED_VALUE"""),"")</f>
        <v/>
      </c>
      <c r="V1490" s="136" t="str">
        <f>IFERROR(__xludf.DUMMYFUNCTION("""COMPUTED_VALUE"""),"")</f>
        <v/>
      </c>
      <c r="W1490" s="106" t="str">
        <f>IFERROR(__xludf.DUMMYFUNCTION("""COMPUTED_VALUE"""),"")</f>
        <v/>
      </c>
      <c r="X1490" s="143" t="str">
        <f t="shared" si="2"/>
        <v/>
      </c>
      <c r="Y1490" s="139" t="str">
        <f>IFERROR(__xludf.DUMMYFUNCTION("""COMPUTED_VALUE"""),"")</f>
        <v/>
      </c>
      <c r="Z1490" s="141" t="str">
        <f>IFERROR(__xludf.DUMMYFUNCTION("""COMPUTED_VALUE"""),"")</f>
        <v/>
      </c>
    </row>
    <row r="1491">
      <c r="D1491" s="136" t="str">
        <f t="shared" si="3"/>
        <v/>
      </c>
      <c r="E1491" s="152"/>
      <c r="F1491" s="106" t="s">
        <v>133</v>
      </c>
      <c r="G1491" s="152"/>
      <c r="H1491" s="106" t="s">
        <v>133</v>
      </c>
      <c r="J1491" s="139" t="s">
        <v>133</v>
      </c>
      <c r="K1491" s="136" t="s">
        <v>133</v>
      </c>
      <c r="L1491" s="153"/>
      <c r="M1491" s="136" t="str">
        <f t="shared" si="1"/>
        <v/>
      </c>
      <c r="O1491" s="141" t="s">
        <v>133</v>
      </c>
      <c r="P1491" s="136" t="str">
        <f>IFERROR(__xludf.DUMMYFUNCTION("""COMPUTED_VALUE"""),"")</f>
        <v/>
      </c>
      <c r="Q1491" s="136" t="str">
        <f>IFERROR(__xludf.DUMMYFUNCTION("""COMPUTED_VALUE"""),"")</f>
        <v/>
      </c>
      <c r="R1491" s="106" t="str">
        <f>IFERROR(__xludf.DUMMYFUNCTION("""COMPUTED_VALUE"""),"")</f>
        <v/>
      </c>
      <c r="S1491" s="106" t="str">
        <f>IFERROR(__xludf.DUMMYFUNCTION("""COMPUTED_VALUE"""),"")</f>
        <v/>
      </c>
      <c r="T1491" s="139" t="str">
        <f>IFERROR(__xludf.DUMMYFUNCTION("""COMPUTED_VALUE"""),"")</f>
        <v/>
      </c>
      <c r="U1491" s="139" t="str">
        <f>IFERROR(__xludf.DUMMYFUNCTION("""COMPUTED_VALUE"""),"")</f>
        <v/>
      </c>
      <c r="V1491" s="136" t="str">
        <f>IFERROR(__xludf.DUMMYFUNCTION("""COMPUTED_VALUE"""),"")</f>
        <v/>
      </c>
      <c r="W1491" s="106" t="str">
        <f>IFERROR(__xludf.DUMMYFUNCTION("""COMPUTED_VALUE"""),"")</f>
        <v/>
      </c>
      <c r="X1491" s="143" t="str">
        <f t="shared" si="2"/>
        <v/>
      </c>
      <c r="Y1491" s="139" t="str">
        <f>IFERROR(__xludf.DUMMYFUNCTION("""COMPUTED_VALUE"""),"")</f>
        <v/>
      </c>
      <c r="Z1491" s="141" t="str">
        <f>IFERROR(__xludf.DUMMYFUNCTION("""COMPUTED_VALUE"""),"")</f>
        <v/>
      </c>
    </row>
    <row r="1492">
      <c r="D1492" s="136" t="str">
        <f t="shared" si="3"/>
        <v/>
      </c>
      <c r="E1492" s="152"/>
      <c r="F1492" s="106" t="s">
        <v>133</v>
      </c>
      <c r="G1492" s="152"/>
      <c r="H1492" s="106" t="s">
        <v>133</v>
      </c>
      <c r="J1492" s="139" t="s">
        <v>133</v>
      </c>
      <c r="K1492" s="136" t="s">
        <v>133</v>
      </c>
      <c r="L1492" s="153"/>
      <c r="M1492" s="136" t="str">
        <f t="shared" si="1"/>
        <v/>
      </c>
      <c r="O1492" s="141" t="s">
        <v>133</v>
      </c>
      <c r="P1492" s="136" t="str">
        <f>IFERROR(__xludf.DUMMYFUNCTION("""COMPUTED_VALUE"""),"")</f>
        <v/>
      </c>
      <c r="Q1492" s="136" t="str">
        <f>IFERROR(__xludf.DUMMYFUNCTION("""COMPUTED_VALUE"""),"")</f>
        <v/>
      </c>
      <c r="R1492" s="106" t="str">
        <f>IFERROR(__xludf.DUMMYFUNCTION("""COMPUTED_VALUE"""),"")</f>
        <v/>
      </c>
      <c r="S1492" s="106" t="str">
        <f>IFERROR(__xludf.DUMMYFUNCTION("""COMPUTED_VALUE"""),"")</f>
        <v/>
      </c>
      <c r="T1492" s="139" t="str">
        <f>IFERROR(__xludf.DUMMYFUNCTION("""COMPUTED_VALUE"""),"")</f>
        <v/>
      </c>
      <c r="U1492" s="139" t="str">
        <f>IFERROR(__xludf.DUMMYFUNCTION("""COMPUTED_VALUE"""),"")</f>
        <v/>
      </c>
      <c r="V1492" s="136" t="str">
        <f>IFERROR(__xludf.DUMMYFUNCTION("""COMPUTED_VALUE"""),"")</f>
        <v/>
      </c>
      <c r="W1492" s="106" t="str">
        <f>IFERROR(__xludf.DUMMYFUNCTION("""COMPUTED_VALUE"""),"")</f>
        <v/>
      </c>
      <c r="X1492" s="143" t="str">
        <f t="shared" si="2"/>
        <v/>
      </c>
      <c r="Y1492" s="139" t="str">
        <f>IFERROR(__xludf.DUMMYFUNCTION("""COMPUTED_VALUE"""),"")</f>
        <v/>
      </c>
      <c r="Z1492" s="141" t="str">
        <f>IFERROR(__xludf.DUMMYFUNCTION("""COMPUTED_VALUE"""),"")</f>
        <v/>
      </c>
    </row>
    <row r="1493">
      <c r="D1493" s="136" t="str">
        <f t="shared" si="3"/>
        <v/>
      </c>
      <c r="E1493" s="152"/>
      <c r="F1493" s="106" t="s">
        <v>133</v>
      </c>
      <c r="G1493" s="152"/>
      <c r="H1493" s="106" t="s">
        <v>133</v>
      </c>
      <c r="J1493" s="139" t="s">
        <v>133</v>
      </c>
      <c r="K1493" s="136" t="s">
        <v>133</v>
      </c>
      <c r="L1493" s="153"/>
      <c r="M1493" s="136" t="str">
        <f t="shared" si="1"/>
        <v/>
      </c>
      <c r="O1493" s="141" t="s">
        <v>133</v>
      </c>
      <c r="P1493" s="136" t="str">
        <f>IFERROR(__xludf.DUMMYFUNCTION("""COMPUTED_VALUE"""),"")</f>
        <v/>
      </c>
      <c r="Q1493" s="136" t="str">
        <f>IFERROR(__xludf.DUMMYFUNCTION("""COMPUTED_VALUE"""),"")</f>
        <v/>
      </c>
      <c r="R1493" s="106" t="str">
        <f>IFERROR(__xludf.DUMMYFUNCTION("""COMPUTED_VALUE"""),"")</f>
        <v/>
      </c>
      <c r="S1493" s="106" t="str">
        <f>IFERROR(__xludf.DUMMYFUNCTION("""COMPUTED_VALUE"""),"")</f>
        <v/>
      </c>
      <c r="T1493" s="139" t="str">
        <f>IFERROR(__xludf.DUMMYFUNCTION("""COMPUTED_VALUE"""),"")</f>
        <v/>
      </c>
      <c r="U1493" s="139" t="str">
        <f>IFERROR(__xludf.DUMMYFUNCTION("""COMPUTED_VALUE"""),"")</f>
        <v/>
      </c>
      <c r="V1493" s="136" t="str">
        <f>IFERROR(__xludf.DUMMYFUNCTION("""COMPUTED_VALUE"""),"")</f>
        <v/>
      </c>
      <c r="W1493" s="106" t="str">
        <f>IFERROR(__xludf.DUMMYFUNCTION("""COMPUTED_VALUE"""),"")</f>
        <v/>
      </c>
      <c r="X1493" s="143" t="str">
        <f t="shared" si="2"/>
        <v/>
      </c>
      <c r="Y1493" s="139" t="str">
        <f>IFERROR(__xludf.DUMMYFUNCTION("""COMPUTED_VALUE"""),"")</f>
        <v/>
      </c>
      <c r="Z1493" s="141" t="str">
        <f>IFERROR(__xludf.DUMMYFUNCTION("""COMPUTED_VALUE"""),"")</f>
        <v/>
      </c>
    </row>
    <row r="1494">
      <c r="D1494" s="136" t="str">
        <f t="shared" si="3"/>
        <v/>
      </c>
      <c r="E1494" s="152"/>
      <c r="F1494" s="106" t="s">
        <v>133</v>
      </c>
      <c r="G1494" s="152"/>
      <c r="H1494" s="106" t="s">
        <v>133</v>
      </c>
      <c r="J1494" s="139" t="s">
        <v>133</v>
      </c>
      <c r="K1494" s="136" t="s">
        <v>133</v>
      </c>
      <c r="L1494" s="153"/>
      <c r="M1494" s="136" t="str">
        <f t="shared" si="1"/>
        <v/>
      </c>
      <c r="O1494" s="141" t="s">
        <v>133</v>
      </c>
      <c r="P1494" s="136" t="str">
        <f>IFERROR(__xludf.DUMMYFUNCTION("""COMPUTED_VALUE"""),"")</f>
        <v/>
      </c>
      <c r="Q1494" s="136" t="str">
        <f>IFERROR(__xludf.DUMMYFUNCTION("""COMPUTED_VALUE"""),"")</f>
        <v/>
      </c>
      <c r="R1494" s="106" t="str">
        <f>IFERROR(__xludf.DUMMYFUNCTION("""COMPUTED_VALUE"""),"")</f>
        <v/>
      </c>
      <c r="S1494" s="106" t="str">
        <f>IFERROR(__xludf.DUMMYFUNCTION("""COMPUTED_VALUE"""),"")</f>
        <v/>
      </c>
      <c r="T1494" s="139" t="str">
        <f>IFERROR(__xludf.DUMMYFUNCTION("""COMPUTED_VALUE"""),"")</f>
        <v/>
      </c>
      <c r="U1494" s="139" t="str">
        <f>IFERROR(__xludf.DUMMYFUNCTION("""COMPUTED_VALUE"""),"")</f>
        <v/>
      </c>
      <c r="V1494" s="136" t="str">
        <f>IFERROR(__xludf.DUMMYFUNCTION("""COMPUTED_VALUE"""),"")</f>
        <v/>
      </c>
      <c r="W1494" s="106" t="str">
        <f>IFERROR(__xludf.DUMMYFUNCTION("""COMPUTED_VALUE"""),"")</f>
        <v/>
      </c>
      <c r="X1494" s="143" t="str">
        <f t="shared" si="2"/>
        <v/>
      </c>
      <c r="Y1494" s="139" t="str">
        <f>IFERROR(__xludf.DUMMYFUNCTION("""COMPUTED_VALUE"""),"")</f>
        <v/>
      </c>
      <c r="Z1494" s="141" t="str">
        <f>IFERROR(__xludf.DUMMYFUNCTION("""COMPUTED_VALUE"""),"")</f>
        <v/>
      </c>
    </row>
    <row r="1495">
      <c r="D1495" s="136" t="str">
        <f t="shared" si="3"/>
        <v/>
      </c>
      <c r="E1495" s="152"/>
      <c r="F1495" s="106" t="s">
        <v>133</v>
      </c>
      <c r="G1495" s="152"/>
      <c r="H1495" s="106" t="s">
        <v>133</v>
      </c>
      <c r="J1495" s="139" t="s">
        <v>133</v>
      </c>
      <c r="K1495" s="136" t="s">
        <v>133</v>
      </c>
      <c r="L1495" s="153"/>
      <c r="M1495" s="136" t="str">
        <f t="shared" si="1"/>
        <v/>
      </c>
      <c r="O1495" s="141" t="s">
        <v>133</v>
      </c>
      <c r="P1495" s="136" t="str">
        <f>IFERROR(__xludf.DUMMYFUNCTION("""COMPUTED_VALUE"""),"")</f>
        <v/>
      </c>
      <c r="Q1495" s="136" t="str">
        <f>IFERROR(__xludf.DUMMYFUNCTION("""COMPUTED_VALUE"""),"")</f>
        <v/>
      </c>
      <c r="R1495" s="106" t="str">
        <f>IFERROR(__xludf.DUMMYFUNCTION("""COMPUTED_VALUE"""),"")</f>
        <v/>
      </c>
      <c r="S1495" s="106" t="str">
        <f>IFERROR(__xludf.DUMMYFUNCTION("""COMPUTED_VALUE"""),"")</f>
        <v/>
      </c>
      <c r="T1495" s="139" t="str">
        <f>IFERROR(__xludf.DUMMYFUNCTION("""COMPUTED_VALUE"""),"")</f>
        <v/>
      </c>
      <c r="U1495" s="139" t="str">
        <f>IFERROR(__xludf.DUMMYFUNCTION("""COMPUTED_VALUE"""),"")</f>
        <v/>
      </c>
      <c r="V1495" s="136" t="str">
        <f>IFERROR(__xludf.DUMMYFUNCTION("""COMPUTED_VALUE"""),"")</f>
        <v/>
      </c>
      <c r="W1495" s="106" t="str">
        <f>IFERROR(__xludf.DUMMYFUNCTION("""COMPUTED_VALUE"""),"")</f>
        <v/>
      </c>
      <c r="X1495" s="143" t="str">
        <f t="shared" si="2"/>
        <v/>
      </c>
      <c r="Y1495" s="139" t="str">
        <f>IFERROR(__xludf.DUMMYFUNCTION("""COMPUTED_VALUE"""),"")</f>
        <v/>
      </c>
      <c r="Z1495" s="141" t="str">
        <f>IFERROR(__xludf.DUMMYFUNCTION("""COMPUTED_VALUE"""),"")</f>
        <v/>
      </c>
    </row>
    <row r="1496">
      <c r="D1496" s="136" t="str">
        <f t="shared" si="3"/>
        <v/>
      </c>
      <c r="E1496" s="152"/>
      <c r="F1496" s="106" t="s">
        <v>133</v>
      </c>
      <c r="G1496" s="152"/>
      <c r="H1496" s="106" t="s">
        <v>133</v>
      </c>
      <c r="J1496" s="139" t="s">
        <v>133</v>
      </c>
      <c r="K1496" s="136" t="s">
        <v>133</v>
      </c>
      <c r="L1496" s="153"/>
      <c r="M1496" s="136" t="str">
        <f t="shared" si="1"/>
        <v/>
      </c>
      <c r="O1496" s="141" t="s">
        <v>133</v>
      </c>
      <c r="P1496" s="136" t="str">
        <f>IFERROR(__xludf.DUMMYFUNCTION("""COMPUTED_VALUE"""),"")</f>
        <v/>
      </c>
      <c r="Q1496" s="136" t="str">
        <f>IFERROR(__xludf.DUMMYFUNCTION("""COMPUTED_VALUE"""),"")</f>
        <v/>
      </c>
      <c r="R1496" s="106" t="str">
        <f>IFERROR(__xludf.DUMMYFUNCTION("""COMPUTED_VALUE"""),"")</f>
        <v/>
      </c>
      <c r="S1496" s="106" t="str">
        <f>IFERROR(__xludf.DUMMYFUNCTION("""COMPUTED_VALUE"""),"")</f>
        <v/>
      </c>
      <c r="T1496" s="139" t="str">
        <f>IFERROR(__xludf.DUMMYFUNCTION("""COMPUTED_VALUE"""),"")</f>
        <v/>
      </c>
      <c r="U1496" s="139" t="str">
        <f>IFERROR(__xludf.DUMMYFUNCTION("""COMPUTED_VALUE"""),"")</f>
        <v/>
      </c>
      <c r="V1496" s="136" t="str">
        <f>IFERROR(__xludf.DUMMYFUNCTION("""COMPUTED_VALUE"""),"")</f>
        <v/>
      </c>
      <c r="W1496" s="106" t="str">
        <f>IFERROR(__xludf.DUMMYFUNCTION("""COMPUTED_VALUE"""),"")</f>
        <v/>
      </c>
      <c r="X1496" s="143" t="str">
        <f t="shared" si="2"/>
        <v/>
      </c>
      <c r="Y1496" s="139" t="str">
        <f>IFERROR(__xludf.DUMMYFUNCTION("""COMPUTED_VALUE"""),"")</f>
        <v/>
      </c>
      <c r="Z1496" s="141" t="str">
        <f>IFERROR(__xludf.DUMMYFUNCTION("""COMPUTED_VALUE"""),"")</f>
        <v/>
      </c>
    </row>
    <row r="1497">
      <c r="D1497" s="136" t="str">
        <f t="shared" si="3"/>
        <v/>
      </c>
      <c r="E1497" s="152"/>
      <c r="F1497" s="106" t="s">
        <v>133</v>
      </c>
      <c r="G1497" s="152"/>
      <c r="H1497" s="106" t="s">
        <v>133</v>
      </c>
      <c r="J1497" s="139" t="s">
        <v>133</v>
      </c>
      <c r="K1497" s="136" t="s">
        <v>133</v>
      </c>
      <c r="L1497" s="153"/>
      <c r="M1497" s="136" t="str">
        <f t="shared" si="1"/>
        <v/>
      </c>
      <c r="O1497" s="141" t="s">
        <v>133</v>
      </c>
      <c r="P1497" s="136" t="str">
        <f>IFERROR(__xludf.DUMMYFUNCTION("""COMPUTED_VALUE"""),"")</f>
        <v/>
      </c>
      <c r="Q1497" s="136" t="str">
        <f>IFERROR(__xludf.DUMMYFUNCTION("""COMPUTED_VALUE"""),"")</f>
        <v/>
      </c>
      <c r="R1497" s="106" t="str">
        <f>IFERROR(__xludf.DUMMYFUNCTION("""COMPUTED_VALUE"""),"")</f>
        <v/>
      </c>
      <c r="S1497" s="106" t="str">
        <f>IFERROR(__xludf.DUMMYFUNCTION("""COMPUTED_VALUE"""),"")</f>
        <v/>
      </c>
      <c r="T1497" s="139" t="str">
        <f>IFERROR(__xludf.DUMMYFUNCTION("""COMPUTED_VALUE"""),"")</f>
        <v/>
      </c>
      <c r="U1497" s="139" t="str">
        <f>IFERROR(__xludf.DUMMYFUNCTION("""COMPUTED_VALUE"""),"")</f>
        <v/>
      </c>
      <c r="V1497" s="136" t="str">
        <f>IFERROR(__xludf.DUMMYFUNCTION("""COMPUTED_VALUE"""),"")</f>
        <v/>
      </c>
      <c r="W1497" s="106" t="str">
        <f>IFERROR(__xludf.DUMMYFUNCTION("""COMPUTED_VALUE"""),"")</f>
        <v/>
      </c>
      <c r="X1497" s="143" t="str">
        <f t="shared" si="2"/>
        <v/>
      </c>
      <c r="Y1497" s="139" t="str">
        <f>IFERROR(__xludf.DUMMYFUNCTION("""COMPUTED_VALUE"""),"")</f>
        <v/>
      </c>
      <c r="Z1497" s="141" t="str">
        <f>IFERROR(__xludf.DUMMYFUNCTION("""COMPUTED_VALUE"""),"")</f>
        <v/>
      </c>
    </row>
    <row r="1498">
      <c r="D1498" s="136" t="str">
        <f t="shared" si="3"/>
        <v/>
      </c>
      <c r="E1498" s="152"/>
      <c r="F1498" s="106" t="s">
        <v>133</v>
      </c>
      <c r="G1498" s="152"/>
      <c r="H1498" s="106" t="s">
        <v>133</v>
      </c>
      <c r="J1498" s="139" t="s">
        <v>133</v>
      </c>
      <c r="K1498" s="136" t="s">
        <v>133</v>
      </c>
      <c r="L1498" s="153"/>
      <c r="M1498" s="136" t="str">
        <f t="shared" si="1"/>
        <v/>
      </c>
      <c r="O1498" s="141" t="s">
        <v>133</v>
      </c>
      <c r="P1498" s="136" t="str">
        <f>IFERROR(__xludf.DUMMYFUNCTION("""COMPUTED_VALUE"""),"")</f>
        <v/>
      </c>
      <c r="Q1498" s="136" t="str">
        <f>IFERROR(__xludf.DUMMYFUNCTION("""COMPUTED_VALUE"""),"")</f>
        <v/>
      </c>
      <c r="R1498" s="106" t="str">
        <f>IFERROR(__xludf.DUMMYFUNCTION("""COMPUTED_VALUE"""),"")</f>
        <v/>
      </c>
      <c r="S1498" s="106" t="str">
        <f>IFERROR(__xludf.DUMMYFUNCTION("""COMPUTED_VALUE"""),"")</f>
        <v/>
      </c>
      <c r="T1498" s="139" t="str">
        <f>IFERROR(__xludf.DUMMYFUNCTION("""COMPUTED_VALUE"""),"")</f>
        <v/>
      </c>
      <c r="U1498" s="139" t="str">
        <f>IFERROR(__xludf.DUMMYFUNCTION("""COMPUTED_VALUE"""),"")</f>
        <v/>
      </c>
      <c r="V1498" s="136" t="str">
        <f>IFERROR(__xludf.DUMMYFUNCTION("""COMPUTED_VALUE"""),"")</f>
        <v/>
      </c>
      <c r="W1498" s="106" t="str">
        <f>IFERROR(__xludf.DUMMYFUNCTION("""COMPUTED_VALUE"""),"")</f>
        <v/>
      </c>
      <c r="X1498" s="143" t="str">
        <f t="shared" si="2"/>
        <v/>
      </c>
      <c r="Y1498" s="139" t="str">
        <f>IFERROR(__xludf.DUMMYFUNCTION("""COMPUTED_VALUE"""),"")</f>
        <v/>
      </c>
      <c r="Z1498" s="141" t="str">
        <f>IFERROR(__xludf.DUMMYFUNCTION("""COMPUTED_VALUE"""),"")</f>
        <v/>
      </c>
    </row>
    <row r="1499">
      <c r="D1499" s="136" t="str">
        <f t="shared" si="3"/>
        <v/>
      </c>
      <c r="E1499" s="152"/>
      <c r="F1499" s="106" t="s">
        <v>133</v>
      </c>
      <c r="G1499" s="152"/>
      <c r="H1499" s="106" t="s">
        <v>133</v>
      </c>
      <c r="J1499" s="139" t="s">
        <v>133</v>
      </c>
      <c r="K1499" s="136" t="s">
        <v>133</v>
      </c>
      <c r="L1499" s="153"/>
      <c r="M1499" s="136" t="str">
        <f t="shared" si="1"/>
        <v/>
      </c>
      <c r="O1499" s="141" t="s">
        <v>133</v>
      </c>
      <c r="P1499" s="136" t="str">
        <f>IFERROR(__xludf.DUMMYFUNCTION("""COMPUTED_VALUE"""),"")</f>
        <v/>
      </c>
      <c r="Q1499" s="136" t="str">
        <f>IFERROR(__xludf.DUMMYFUNCTION("""COMPUTED_VALUE"""),"")</f>
        <v/>
      </c>
      <c r="R1499" s="106" t="str">
        <f>IFERROR(__xludf.DUMMYFUNCTION("""COMPUTED_VALUE"""),"")</f>
        <v/>
      </c>
      <c r="S1499" s="106" t="str">
        <f>IFERROR(__xludf.DUMMYFUNCTION("""COMPUTED_VALUE"""),"")</f>
        <v/>
      </c>
      <c r="T1499" s="139" t="str">
        <f>IFERROR(__xludf.DUMMYFUNCTION("""COMPUTED_VALUE"""),"")</f>
        <v/>
      </c>
      <c r="U1499" s="139" t="str">
        <f>IFERROR(__xludf.DUMMYFUNCTION("""COMPUTED_VALUE"""),"")</f>
        <v/>
      </c>
      <c r="V1499" s="136" t="str">
        <f>IFERROR(__xludf.DUMMYFUNCTION("""COMPUTED_VALUE"""),"")</f>
        <v/>
      </c>
      <c r="W1499" s="106" t="str">
        <f>IFERROR(__xludf.DUMMYFUNCTION("""COMPUTED_VALUE"""),"")</f>
        <v/>
      </c>
      <c r="X1499" s="143" t="str">
        <f t="shared" si="2"/>
        <v/>
      </c>
      <c r="Y1499" s="139" t="str">
        <f>IFERROR(__xludf.DUMMYFUNCTION("""COMPUTED_VALUE"""),"")</f>
        <v/>
      </c>
      <c r="Z1499" s="141" t="str">
        <f>IFERROR(__xludf.DUMMYFUNCTION("""COMPUTED_VALUE"""),"")</f>
        <v/>
      </c>
    </row>
    <row r="1500">
      <c r="D1500" s="136" t="str">
        <f t="shared" si="3"/>
        <v/>
      </c>
      <c r="E1500" s="152"/>
      <c r="F1500" s="106" t="s">
        <v>133</v>
      </c>
      <c r="G1500" s="152"/>
      <c r="H1500" s="106" t="s">
        <v>133</v>
      </c>
      <c r="J1500" s="139" t="s">
        <v>133</v>
      </c>
      <c r="K1500" s="136" t="s">
        <v>133</v>
      </c>
      <c r="L1500" s="153"/>
      <c r="M1500" s="136" t="str">
        <f t="shared" si="1"/>
        <v/>
      </c>
      <c r="O1500" s="141" t="s">
        <v>133</v>
      </c>
      <c r="P1500" s="136" t="str">
        <f>IFERROR(__xludf.DUMMYFUNCTION("""COMPUTED_VALUE"""),"")</f>
        <v/>
      </c>
      <c r="Q1500" s="136" t="str">
        <f>IFERROR(__xludf.DUMMYFUNCTION("""COMPUTED_VALUE"""),"")</f>
        <v/>
      </c>
      <c r="R1500" s="106" t="str">
        <f>IFERROR(__xludf.DUMMYFUNCTION("""COMPUTED_VALUE"""),"")</f>
        <v/>
      </c>
      <c r="S1500" s="106" t="str">
        <f>IFERROR(__xludf.DUMMYFUNCTION("""COMPUTED_VALUE"""),"")</f>
        <v/>
      </c>
      <c r="T1500" s="139" t="str">
        <f>IFERROR(__xludf.DUMMYFUNCTION("""COMPUTED_VALUE"""),"")</f>
        <v/>
      </c>
      <c r="U1500" s="139" t="str">
        <f>IFERROR(__xludf.DUMMYFUNCTION("""COMPUTED_VALUE"""),"")</f>
        <v/>
      </c>
      <c r="V1500" s="136" t="str">
        <f>IFERROR(__xludf.DUMMYFUNCTION("""COMPUTED_VALUE"""),"")</f>
        <v/>
      </c>
      <c r="W1500" s="106" t="str">
        <f>IFERROR(__xludf.DUMMYFUNCTION("""COMPUTED_VALUE"""),"")</f>
        <v/>
      </c>
      <c r="X1500" s="143" t="str">
        <f t="shared" si="2"/>
        <v/>
      </c>
      <c r="Y1500" s="139" t="str">
        <f>IFERROR(__xludf.DUMMYFUNCTION("""COMPUTED_VALUE"""),"")</f>
        <v/>
      </c>
      <c r="Z1500" s="141" t="str">
        <f>IFERROR(__xludf.DUMMYFUNCTION("""COMPUTED_VALUE"""),"")</f>
        <v/>
      </c>
    </row>
    <row r="1501">
      <c r="D1501" s="136" t="str">
        <f t="shared" si="3"/>
        <v/>
      </c>
      <c r="E1501" s="152"/>
      <c r="F1501" s="106" t="s">
        <v>133</v>
      </c>
      <c r="G1501" s="152"/>
      <c r="H1501" s="106" t="s">
        <v>133</v>
      </c>
      <c r="J1501" s="139" t="s">
        <v>133</v>
      </c>
      <c r="K1501" s="136" t="s">
        <v>133</v>
      </c>
      <c r="L1501" s="153"/>
      <c r="M1501" s="136" t="str">
        <f t="shared" si="1"/>
        <v/>
      </c>
      <c r="O1501" s="141" t="s">
        <v>133</v>
      </c>
      <c r="P1501" s="136" t="str">
        <f>IFERROR(__xludf.DUMMYFUNCTION("""COMPUTED_VALUE"""),"")</f>
        <v/>
      </c>
      <c r="Q1501" s="136" t="str">
        <f>IFERROR(__xludf.DUMMYFUNCTION("""COMPUTED_VALUE"""),"")</f>
        <v/>
      </c>
      <c r="R1501" s="106" t="str">
        <f>IFERROR(__xludf.DUMMYFUNCTION("""COMPUTED_VALUE"""),"")</f>
        <v/>
      </c>
      <c r="S1501" s="106" t="str">
        <f>IFERROR(__xludf.DUMMYFUNCTION("""COMPUTED_VALUE"""),"")</f>
        <v/>
      </c>
      <c r="T1501" s="139" t="str">
        <f>IFERROR(__xludf.DUMMYFUNCTION("""COMPUTED_VALUE"""),"")</f>
        <v/>
      </c>
      <c r="U1501" s="139" t="str">
        <f>IFERROR(__xludf.DUMMYFUNCTION("""COMPUTED_VALUE"""),"")</f>
        <v/>
      </c>
      <c r="V1501" s="136" t="str">
        <f>IFERROR(__xludf.DUMMYFUNCTION("""COMPUTED_VALUE"""),"")</f>
        <v/>
      </c>
      <c r="W1501" s="106" t="str">
        <f>IFERROR(__xludf.DUMMYFUNCTION("""COMPUTED_VALUE"""),"")</f>
        <v/>
      </c>
      <c r="X1501" s="143" t="str">
        <f t="shared" si="2"/>
        <v/>
      </c>
      <c r="Y1501" s="139" t="str">
        <f>IFERROR(__xludf.DUMMYFUNCTION("""COMPUTED_VALUE"""),"")</f>
        <v/>
      </c>
      <c r="Z1501" s="141" t="str">
        <f>IFERROR(__xludf.DUMMYFUNCTION("""COMPUTED_VALUE"""),"")</f>
        <v/>
      </c>
    </row>
    <row r="1502">
      <c r="D1502" s="136" t="str">
        <f t="shared" si="3"/>
        <v/>
      </c>
      <c r="E1502" s="152"/>
      <c r="F1502" s="106" t="s">
        <v>133</v>
      </c>
      <c r="G1502" s="152"/>
      <c r="H1502" s="106" t="s">
        <v>133</v>
      </c>
      <c r="J1502" s="139" t="s">
        <v>133</v>
      </c>
      <c r="K1502" s="136" t="s">
        <v>133</v>
      </c>
      <c r="L1502" s="153"/>
      <c r="M1502" s="136" t="str">
        <f t="shared" si="1"/>
        <v/>
      </c>
      <c r="O1502" s="141" t="s">
        <v>133</v>
      </c>
      <c r="P1502" s="136" t="str">
        <f>IFERROR(__xludf.DUMMYFUNCTION("""COMPUTED_VALUE"""),"")</f>
        <v/>
      </c>
      <c r="Q1502" s="136" t="str">
        <f>IFERROR(__xludf.DUMMYFUNCTION("""COMPUTED_VALUE"""),"")</f>
        <v/>
      </c>
      <c r="R1502" s="106" t="str">
        <f>IFERROR(__xludf.DUMMYFUNCTION("""COMPUTED_VALUE"""),"")</f>
        <v/>
      </c>
      <c r="S1502" s="106" t="str">
        <f>IFERROR(__xludf.DUMMYFUNCTION("""COMPUTED_VALUE"""),"")</f>
        <v/>
      </c>
      <c r="T1502" s="139" t="str">
        <f>IFERROR(__xludf.DUMMYFUNCTION("""COMPUTED_VALUE"""),"")</f>
        <v/>
      </c>
      <c r="U1502" s="139" t="str">
        <f>IFERROR(__xludf.DUMMYFUNCTION("""COMPUTED_VALUE"""),"")</f>
        <v/>
      </c>
      <c r="V1502" s="136" t="str">
        <f>IFERROR(__xludf.DUMMYFUNCTION("""COMPUTED_VALUE"""),"")</f>
        <v/>
      </c>
      <c r="W1502" s="106" t="str">
        <f>IFERROR(__xludf.DUMMYFUNCTION("""COMPUTED_VALUE"""),"")</f>
        <v/>
      </c>
      <c r="X1502" s="143" t="str">
        <f t="shared" si="2"/>
        <v/>
      </c>
      <c r="Y1502" s="139" t="str">
        <f>IFERROR(__xludf.DUMMYFUNCTION("""COMPUTED_VALUE"""),"")</f>
        <v/>
      </c>
      <c r="Z1502" s="141" t="str">
        <f>IFERROR(__xludf.DUMMYFUNCTION("""COMPUTED_VALUE"""),"")</f>
        <v/>
      </c>
    </row>
    <row r="1503">
      <c r="D1503" s="136" t="str">
        <f t="shared" si="3"/>
        <v/>
      </c>
      <c r="E1503" s="152"/>
      <c r="F1503" s="106" t="s">
        <v>133</v>
      </c>
      <c r="G1503" s="152"/>
      <c r="H1503" s="106" t="s">
        <v>133</v>
      </c>
      <c r="J1503" s="139" t="s">
        <v>133</v>
      </c>
      <c r="K1503" s="136" t="s">
        <v>133</v>
      </c>
      <c r="L1503" s="153"/>
      <c r="M1503" s="136" t="str">
        <f t="shared" si="1"/>
        <v/>
      </c>
      <c r="O1503" s="141" t="s">
        <v>133</v>
      </c>
      <c r="P1503" s="136" t="str">
        <f>IFERROR(__xludf.DUMMYFUNCTION("""COMPUTED_VALUE"""),"")</f>
        <v/>
      </c>
      <c r="Q1503" s="136" t="str">
        <f>IFERROR(__xludf.DUMMYFUNCTION("""COMPUTED_VALUE"""),"")</f>
        <v/>
      </c>
      <c r="R1503" s="106" t="str">
        <f>IFERROR(__xludf.DUMMYFUNCTION("""COMPUTED_VALUE"""),"")</f>
        <v/>
      </c>
      <c r="S1503" s="106" t="str">
        <f>IFERROR(__xludf.DUMMYFUNCTION("""COMPUTED_VALUE"""),"")</f>
        <v/>
      </c>
      <c r="T1503" s="139" t="str">
        <f>IFERROR(__xludf.DUMMYFUNCTION("""COMPUTED_VALUE"""),"")</f>
        <v/>
      </c>
      <c r="U1503" s="139" t="str">
        <f>IFERROR(__xludf.DUMMYFUNCTION("""COMPUTED_VALUE"""),"")</f>
        <v/>
      </c>
      <c r="V1503" s="136" t="str">
        <f>IFERROR(__xludf.DUMMYFUNCTION("""COMPUTED_VALUE"""),"")</f>
        <v/>
      </c>
      <c r="W1503" s="106" t="str">
        <f>IFERROR(__xludf.DUMMYFUNCTION("""COMPUTED_VALUE"""),"")</f>
        <v/>
      </c>
      <c r="X1503" s="143" t="str">
        <f t="shared" si="2"/>
        <v/>
      </c>
      <c r="Y1503" s="139" t="str">
        <f>IFERROR(__xludf.DUMMYFUNCTION("""COMPUTED_VALUE"""),"")</f>
        <v/>
      </c>
      <c r="Z1503" s="141" t="str">
        <f>IFERROR(__xludf.DUMMYFUNCTION("""COMPUTED_VALUE"""),"")</f>
        <v/>
      </c>
    </row>
    <row r="1504">
      <c r="D1504" s="136" t="str">
        <f t="shared" si="3"/>
        <v/>
      </c>
      <c r="E1504" s="152"/>
      <c r="F1504" s="106" t="s">
        <v>133</v>
      </c>
      <c r="G1504" s="152"/>
      <c r="H1504" s="106" t="s">
        <v>133</v>
      </c>
      <c r="J1504" s="139" t="s">
        <v>133</v>
      </c>
      <c r="K1504" s="136" t="s">
        <v>133</v>
      </c>
      <c r="L1504" s="153"/>
      <c r="M1504" s="136" t="str">
        <f t="shared" si="1"/>
        <v/>
      </c>
      <c r="O1504" s="141" t="s">
        <v>133</v>
      </c>
      <c r="P1504" s="136" t="str">
        <f>IFERROR(__xludf.DUMMYFUNCTION("""COMPUTED_VALUE"""),"")</f>
        <v/>
      </c>
      <c r="Q1504" s="136" t="str">
        <f>IFERROR(__xludf.DUMMYFUNCTION("""COMPUTED_VALUE"""),"")</f>
        <v/>
      </c>
      <c r="R1504" s="106" t="str">
        <f>IFERROR(__xludf.DUMMYFUNCTION("""COMPUTED_VALUE"""),"")</f>
        <v/>
      </c>
      <c r="S1504" s="106" t="str">
        <f>IFERROR(__xludf.DUMMYFUNCTION("""COMPUTED_VALUE"""),"")</f>
        <v/>
      </c>
      <c r="T1504" s="139" t="str">
        <f>IFERROR(__xludf.DUMMYFUNCTION("""COMPUTED_VALUE"""),"")</f>
        <v/>
      </c>
      <c r="U1504" s="139" t="str">
        <f>IFERROR(__xludf.DUMMYFUNCTION("""COMPUTED_VALUE"""),"")</f>
        <v/>
      </c>
      <c r="V1504" s="136" t="str">
        <f>IFERROR(__xludf.DUMMYFUNCTION("""COMPUTED_VALUE"""),"")</f>
        <v/>
      </c>
      <c r="W1504" s="106" t="str">
        <f>IFERROR(__xludf.DUMMYFUNCTION("""COMPUTED_VALUE"""),"")</f>
        <v/>
      </c>
      <c r="X1504" s="143" t="str">
        <f t="shared" si="2"/>
        <v/>
      </c>
      <c r="Y1504" s="139" t="str">
        <f>IFERROR(__xludf.DUMMYFUNCTION("""COMPUTED_VALUE"""),"")</f>
        <v/>
      </c>
      <c r="Z1504" s="141" t="str">
        <f>IFERROR(__xludf.DUMMYFUNCTION("""COMPUTED_VALUE"""),"")</f>
        <v/>
      </c>
    </row>
    <row r="1505">
      <c r="D1505" s="136" t="str">
        <f t="shared" si="3"/>
        <v/>
      </c>
      <c r="E1505" s="152"/>
      <c r="F1505" s="106" t="s">
        <v>133</v>
      </c>
      <c r="G1505" s="152"/>
      <c r="H1505" s="106" t="s">
        <v>133</v>
      </c>
      <c r="J1505" s="139" t="s">
        <v>133</v>
      </c>
      <c r="K1505" s="136" t="s">
        <v>133</v>
      </c>
      <c r="L1505" s="153"/>
      <c r="M1505" s="136" t="str">
        <f t="shared" si="1"/>
        <v/>
      </c>
      <c r="O1505" s="141" t="s">
        <v>133</v>
      </c>
      <c r="P1505" s="136" t="str">
        <f>IFERROR(__xludf.DUMMYFUNCTION("""COMPUTED_VALUE"""),"")</f>
        <v/>
      </c>
      <c r="Q1505" s="136" t="str">
        <f>IFERROR(__xludf.DUMMYFUNCTION("""COMPUTED_VALUE"""),"")</f>
        <v/>
      </c>
      <c r="R1505" s="106" t="str">
        <f>IFERROR(__xludf.DUMMYFUNCTION("""COMPUTED_VALUE"""),"")</f>
        <v/>
      </c>
      <c r="S1505" s="106" t="str">
        <f>IFERROR(__xludf.DUMMYFUNCTION("""COMPUTED_VALUE"""),"")</f>
        <v/>
      </c>
      <c r="T1505" s="139" t="str">
        <f>IFERROR(__xludf.DUMMYFUNCTION("""COMPUTED_VALUE"""),"")</f>
        <v/>
      </c>
      <c r="U1505" s="139" t="str">
        <f>IFERROR(__xludf.DUMMYFUNCTION("""COMPUTED_VALUE"""),"")</f>
        <v/>
      </c>
      <c r="V1505" s="136" t="str">
        <f>IFERROR(__xludf.DUMMYFUNCTION("""COMPUTED_VALUE"""),"")</f>
        <v/>
      </c>
      <c r="W1505" s="106" t="str">
        <f>IFERROR(__xludf.DUMMYFUNCTION("""COMPUTED_VALUE"""),"")</f>
        <v/>
      </c>
      <c r="X1505" s="143" t="str">
        <f t="shared" si="2"/>
        <v/>
      </c>
      <c r="Y1505" s="139" t="str">
        <f>IFERROR(__xludf.DUMMYFUNCTION("""COMPUTED_VALUE"""),"")</f>
        <v/>
      </c>
      <c r="Z1505" s="141" t="str">
        <f>IFERROR(__xludf.DUMMYFUNCTION("""COMPUTED_VALUE"""),"")</f>
        <v/>
      </c>
    </row>
    <row r="1506">
      <c r="D1506" s="136" t="str">
        <f t="shared" si="3"/>
        <v/>
      </c>
      <c r="E1506" s="152"/>
      <c r="F1506" s="106" t="s">
        <v>133</v>
      </c>
      <c r="G1506" s="152"/>
      <c r="H1506" s="106" t="s">
        <v>133</v>
      </c>
      <c r="J1506" s="139" t="s">
        <v>133</v>
      </c>
      <c r="K1506" s="136" t="s">
        <v>133</v>
      </c>
      <c r="L1506" s="153"/>
      <c r="M1506" s="136" t="str">
        <f t="shared" si="1"/>
        <v/>
      </c>
      <c r="O1506" s="141" t="s">
        <v>133</v>
      </c>
      <c r="P1506" s="136" t="str">
        <f>IFERROR(__xludf.DUMMYFUNCTION("""COMPUTED_VALUE"""),"")</f>
        <v/>
      </c>
      <c r="Q1506" s="136" t="str">
        <f>IFERROR(__xludf.DUMMYFUNCTION("""COMPUTED_VALUE"""),"")</f>
        <v/>
      </c>
      <c r="R1506" s="106" t="str">
        <f>IFERROR(__xludf.DUMMYFUNCTION("""COMPUTED_VALUE"""),"")</f>
        <v/>
      </c>
      <c r="S1506" s="106" t="str">
        <f>IFERROR(__xludf.DUMMYFUNCTION("""COMPUTED_VALUE"""),"")</f>
        <v/>
      </c>
      <c r="T1506" s="139" t="str">
        <f>IFERROR(__xludf.DUMMYFUNCTION("""COMPUTED_VALUE"""),"")</f>
        <v/>
      </c>
      <c r="U1506" s="139" t="str">
        <f>IFERROR(__xludf.DUMMYFUNCTION("""COMPUTED_VALUE"""),"")</f>
        <v/>
      </c>
      <c r="V1506" s="136" t="str">
        <f>IFERROR(__xludf.DUMMYFUNCTION("""COMPUTED_VALUE"""),"")</f>
        <v/>
      </c>
      <c r="W1506" s="106" t="str">
        <f>IFERROR(__xludf.DUMMYFUNCTION("""COMPUTED_VALUE"""),"")</f>
        <v/>
      </c>
      <c r="X1506" s="143" t="str">
        <f t="shared" si="2"/>
        <v/>
      </c>
      <c r="Y1506" s="139" t="str">
        <f>IFERROR(__xludf.DUMMYFUNCTION("""COMPUTED_VALUE"""),"")</f>
        <v/>
      </c>
      <c r="Z1506" s="141" t="str">
        <f>IFERROR(__xludf.DUMMYFUNCTION("""COMPUTED_VALUE"""),"")</f>
        <v/>
      </c>
    </row>
    <row r="1507">
      <c r="D1507" s="136" t="str">
        <f t="shared" si="3"/>
        <v/>
      </c>
      <c r="E1507" s="152"/>
      <c r="F1507" s="106" t="s">
        <v>133</v>
      </c>
      <c r="G1507" s="152"/>
      <c r="H1507" s="106" t="s">
        <v>133</v>
      </c>
      <c r="J1507" s="139" t="s">
        <v>133</v>
      </c>
      <c r="K1507" s="136" t="s">
        <v>133</v>
      </c>
      <c r="L1507" s="153"/>
      <c r="M1507" s="136" t="str">
        <f t="shared" si="1"/>
        <v/>
      </c>
      <c r="O1507" s="141" t="s">
        <v>133</v>
      </c>
      <c r="P1507" s="136" t="str">
        <f>IFERROR(__xludf.DUMMYFUNCTION("""COMPUTED_VALUE"""),"")</f>
        <v/>
      </c>
      <c r="Q1507" s="136" t="str">
        <f>IFERROR(__xludf.DUMMYFUNCTION("""COMPUTED_VALUE"""),"")</f>
        <v/>
      </c>
      <c r="R1507" s="106" t="str">
        <f>IFERROR(__xludf.DUMMYFUNCTION("""COMPUTED_VALUE"""),"")</f>
        <v/>
      </c>
      <c r="S1507" s="106" t="str">
        <f>IFERROR(__xludf.DUMMYFUNCTION("""COMPUTED_VALUE"""),"")</f>
        <v/>
      </c>
      <c r="T1507" s="139" t="str">
        <f>IFERROR(__xludf.DUMMYFUNCTION("""COMPUTED_VALUE"""),"")</f>
        <v/>
      </c>
      <c r="U1507" s="139" t="str">
        <f>IFERROR(__xludf.DUMMYFUNCTION("""COMPUTED_VALUE"""),"")</f>
        <v/>
      </c>
      <c r="V1507" s="136" t="str">
        <f>IFERROR(__xludf.DUMMYFUNCTION("""COMPUTED_VALUE"""),"")</f>
        <v/>
      </c>
      <c r="W1507" s="106" t="str">
        <f>IFERROR(__xludf.DUMMYFUNCTION("""COMPUTED_VALUE"""),"")</f>
        <v/>
      </c>
      <c r="X1507" s="143" t="str">
        <f t="shared" si="2"/>
        <v/>
      </c>
      <c r="Y1507" s="139" t="str">
        <f>IFERROR(__xludf.DUMMYFUNCTION("""COMPUTED_VALUE"""),"")</f>
        <v/>
      </c>
      <c r="Z1507" s="141" t="str">
        <f>IFERROR(__xludf.DUMMYFUNCTION("""COMPUTED_VALUE"""),"")</f>
        <v/>
      </c>
    </row>
    <row r="1508">
      <c r="D1508" s="136" t="str">
        <f t="shared" si="3"/>
        <v/>
      </c>
      <c r="E1508" s="152"/>
      <c r="F1508" s="106" t="s">
        <v>133</v>
      </c>
      <c r="G1508" s="152"/>
      <c r="H1508" s="106" t="s">
        <v>133</v>
      </c>
      <c r="J1508" s="139" t="s">
        <v>133</v>
      </c>
      <c r="K1508" s="136" t="s">
        <v>133</v>
      </c>
      <c r="L1508" s="153"/>
      <c r="M1508" s="136" t="str">
        <f t="shared" si="1"/>
        <v/>
      </c>
      <c r="O1508" s="141" t="s">
        <v>133</v>
      </c>
      <c r="P1508" s="136" t="str">
        <f>IFERROR(__xludf.DUMMYFUNCTION("""COMPUTED_VALUE"""),"")</f>
        <v/>
      </c>
      <c r="Q1508" s="136" t="str">
        <f>IFERROR(__xludf.DUMMYFUNCTION("""COMPUTED_VALUE"""),"")</f>
        <v/>
      </c>
      <c r="R1508" s="106" t="str">
        <f>IFERROR(__xludf.DUMMYFUNCTION("""COMPUTED_VALUE"""),"")</f>
        <v/>
      </c>
      <c r="S1508" s="106" t="str">
        <f>IFERROR(__xludf.DUMMYFUNCTION("""COMPUTED_VALUE"""),"")</f>
        <v/>
      </c>
      <c r="T1508" s="139" t="str">
        <f>IFERROR(__xludf.DUMMYFUNCTION("""COMPUTED_VALUE"""),"")</f>
        <v/>
      </c>
      <c r="U1508" s="139" t="str">
        <f>IFERROR(__xludf.DUMMYFUNCTION("""COMPUTED_VALUE"""),"")</f>
        <v/>
      </c>
      <c r="V1508" s="136" t="str">
        <f>IFERROR(__xludf.DUMMYFUNCTION("""COMPUTED_VALUE"""),"")</f>
        <v/>
      </c>
      <c r="W1508" s="106" t="str">
        <f>IFERROR(__xludf.DUMMYFUNCTION("""COMPUTED_VALUE"""),"")</f>
        <v/>
      </c>
      <c r="X1508" s="143" t="str">
        <f t="shared" si="2"/>
        <v/>
      </c>
      <c r="Y1508" s="139" t="str">
        <f>IFERROR(__xludf.DUMMYFUNCTION("""COMPUTED_VALUE"""),"")</f>
        <v/>
      </c>
      <c r="Z1508" s="141" t="str">
        <f>IFERROR(__xludf.DUMMYFUNCTION("""COMPUTED_VALUE"""),"")</f>
        <v/>
      </c>
    </row>
    <row r="1509">
      <c r="D1509" s="136" t="str">
        <f t="shared" si="3"/>
        <v/>
      </c>
      <c r="E1509" s="152"/>
      <c r="F1509" s="106" t="s">
        <v>133</v>
      </c>
      <c r="G1509" s="152"/>
      <c r="H1509" s="106" t="s">
        <v>133</v>
      </c>
      <c r="J1509" s="139" t="s">
        <v>133</v>
      </c>
      <c r="K1509" s="136" t="s">
        <v>133</v>
      </c>
      <c r="L1509" s="153"/>
      <c r="M1509" s="136" t="str">
        <f t="shared" si="1"/>
        <v/>
      </c>
      <c r="O1509" s="141" t="s">
        <v>133</v>
      </c>
      <c r="P1509" s="136" t="str">
        <f>IFERROR(__xludf.DUMMYFUNCTION("""COMPUTED_VALUE"""),"")</f>
        <v/>
      </c>
      <c r="Q1509" s="136" t="str">
        <f>IFERROR(__xludf.DUMMYFUNCTION("""COMPUTED_VALUE"""),"")</f>
        <v/>
      </c>
      <c r="R1509" s="106" t="str">
        <f>IFERROR(__xludf.DUMMYFUNCTION("""COMPUTED_VALUE"""),"")</f>
        <v/>
      </c>
      <c r="S1509" s="106" t="str">
        <f>IFERROR(__xludf.DUMMYFUNCTION("""COMPUTED_VALUE"""),"")</f>
        <v/>
      </c>
      <c r="T1509" s="139" t="str">
        <f>IFERROR(__xludf.DUMMYFUNCTION("""COMPUTED_VALUE"""),"")</f>
        <v/>
      </c>
      <c r="U1509" s="139" t="str">
        <f>IFERROR(__xludf.DUMMYFUNCTION("""COMPUTED_VALUE"""),"")</f>
        <v/>
      </c>
      <c r="V1509" s="136" t="str">
        <f>IFERROR(__xludf.DUMMYFUNCTION("""COMPUTED_VALUE"""),"")</f>
        <v/>
      </c>
      <c r="W1509" s="106" t="str">
        <f>IFERROR(__xludf.DUMMYFUNCTION("""COMPUTED_VALUE"""),"")</f>
        <v/>
      </c>
      <c r="X1509" s="143" t="str">
        <f t="shared" si="2"/>
        <v/>
      </c>
      <c r="Y1509" s="139" t="str">
        <f>IFERROR(__xludf.DUMMYFUNCTION("""COMPUTED_VALUE"""),"")</f>
        <v/>
      </c>
      <c r="Z1509" s="141" t="str">
        <f>IFERROR(__xludf.DUMMYFUNCTION("""COMPUTED_VALUE"""),"")</f>
        <v/>
      </c>
    </row>
    <row r="1510">
      <c r="D1510" s="136" t="str">
        <f t="shared" si="3"/>
        <v/>
      </c>
      <c r="E1510" s="152"/>
      <c r="F1510" s="106" t="s">
        <v>133</v>
      </c>
      <c r="G1510" s="152"/>
      <c r="H1510" s="106" t="s">
        <v>133</v>
      </c>
      <c r="J1510" s="139" t="s">
        <v>133</v>
      </c>
      <c r="K1510" s="136" t="s">
        <v>133</v>
      </c>
      <c r="L1510" s="153"/>
      <c r="M1510" s="136" t="str">
        <f t="shared" si="1"/>
        <v/>
      </c>
      <c r="O1510" s="141" t="s">
        <v>133</v>
      </c>
      <c r="P1510" s="136" t="str">
        <f>IFERROR(__xludf.DUMMYFUNCTION("""COMPUTED_VALUE"""),"")</f>
        <v/>
      </c>
      <c r="Q1510" s="136" t="str">
        <f>IFERROR(__xludf.DUMMYFUNCTION("""COMPUTED_VALUE"""),"")</f>
        <v/>
      </c>
      <c r="R1510" s="106" t="str">
        <f>IFERROR(__xludf.DUMMYFUNCTION("""COMPUTED_VALUE"""),"")</f>
        <v/>
      </c>
      <c r="S1510" s="106" t="str">
        <f>IFERROR(__xludf.DUMMYFUNCTION("""COMPUTED_VALUE"""),"")</f>
        <v/>
      </c>
      <c r="T1510" s="139" t="str">
        <f>IFERROR(__xludf.DUMMYFUNCTION("""COMPUTED_VALUE"""),"")</f>
        <v/>
      </c>
      <c r="U1510" s="139" t="str">
        <f>IFERROR(__xludf.DUMMYFUNCTION("""COMPUTED_VALUE"""),"")</f>
        <v/>
      </c>
      <c r="V1510" s="136" t="str">
        <f>IFERROR(__xludf.DUMMYFUNCTION("""COMPUTED_VALUE"""),"")</f>
        <v/>
      </c>
      <c r="W1510" s="106" t="str">
        <f>IFERROR(__xludf.DUMMYFUNCTION("""COMPUTED_VALUE"""),"")</f>
        <v/>
      </c>
      <c r="X1510" s="143" t="str">
        <f t="shared" si="2"/>
        <v/>
      </c>
      <c r="Y1510" s="139" t="str">
        <f>IFERROR(__xludf.DUMMYFUNCTION("""COMPUTED_VALUE"""),"")</f>
        <v/>
      </c>
      <c r="Z1510" s="141" t="str">
        <f>IFERROR(__xludf.DUMMYFUNCTION("""COMPUTED_VALUE"""),"")</f>
        <v/>
      </c>
    </row>
    <row r="1511">
      <c r="D1511" s="136" t="str">
        <f t="shared" si="3"/>
        <v/>
      </c>
      <c r="E1511" s="152"/>
      <c r="F1511" s="106" t="s">
        <v>133</v>
      </c>
      <c r="G1511" s="152"/>
      <c r="H1511" s="106" t="s">
        <v>133</v>
      </c>
      <c r="J1511" s="139" t="s">
        <v>133</v>
      </c>
      <c r="K1511" s="136" t="s">
        <v>133</v>
      </c>
      <c r="L1511" s="153"/>
      <c r="M1511" s="136" t="str">
        <f t="shared" si="1"/>
        <v/>
      </c>
      <c r="O1511" s="141" t="s">
        <v>133</v>
      </c>
      <c r="P1511" s="136" t="str">
        <f>IFERROR(__xludf.DUMMYFUNCTION("""COMPUTED_VALUE"""),"")</f>
        <v/>
      </c>
      <c r="Q1511" s="136" t="str">
        <f>IFERROR(__xludf.DUMMYFUNCTION("""COMPUTED_VALUE"""),"")</f>
        <v/>
      </c>
      <c r="R1511" s="106" t="str">
        <f>IFERROR(__xludf.DUMMYFUNCTION("""COMPUTED_VALUE"""),"")</f>
        <v/>
      </c>
      <c r="S1511" s="106" t="str">
        <f>IFERROR(__xludf.DUMMYFUNCTION("""COMPUTED_VALUE"""),"")</f>
        <v/>
      </c>
      <c r="T1511" s="139" t="str">
        <f>IFERROR(__xludf.DUMMYFUNCTION("""COMPUTED_VALUE"""),"")</f>
        <v/>
      </c>
      <c r="U1511" s="139" t="str">
        <f>IFERROR(__xludf.DUMMYFUNCTION("""COMPUTED_VALUE"""),"")</f>
        <v/>
      </c>
      <c r="V1511" s="136" t="str">
        <f>IFERROR(__xludf.DUMMYFUNCTION("""COMPUTED_VALUE"""),"")</f>
        <v/>
      </c>
      <c r="W1511" s="106" t="str">
        <f>IFERROR(__xludf.DUMMYFUNCTION("""COMPUTED_VALUE"""),"")</f>
        <v/>
      </c>
      <c r="X1511" s="143" t="str">
        <f t="shared" si="2"/>
        <v/>
      </c>
      <c r="Y1511" s="139" t="str">
        <f>IFERROR(__xludf.DUMMYFUNCTION("""COMPUTED_VALUE"""),"")</f>
        <v/>
      </c>
      <c r="Z1511" s="141" t="str">
        <f>IFERROR(__xludf.DUMMYFUNCTION("""COMPUTED_VALUE"""),"")</f>
        <v/>
      </c>
    </row>
    <row r="1512">
      <c r="D1512" s="136" t="str">
        <f t="shared" si="3"/>
        <v/>
      </c>
      <c r="E1512" s="152"/>
      <c r="F1512" s="106" t="s">
        <v>133</v>
      </c>
      <c r="G1512" s="152"/>
      <c r="H1512" s="106" t="s">
        <v>133</v>
      </c>
      <c r="J1512" s="139" t="s">
        <v>133</v>
      </c>
      <c r="K1512" s="136" t="s">
        <v>133</v>
      </c>
      <c r="L1512" s="153"/>
      <c r="M1512" s="136" t="str">
        <f t="shared" si="1"/>
        <v/>
      </c>
      <c r="O1512" s="141" t="s">
        <v>133</v>
      </c>
      <c r="P1512" s="136" t="str">
        <f>IFERROR(__xludf.DUMMYFUNCTION("""COMPUTED_VALUE"""),"")</f>
        <v/>
      </c>
      <c r="Q1512" s="136" t="str">
        <f>IFERROR(__xludf.DUMMYFUNCTION("""COMPUTED_VALUE"""),"")</f>
        <v/>
      </c>
      <c r="R1512" s="106" t="str">
        <f>IFERROR(__xludf.DUMMYFUNCTION("""COMPUTED_VALUE"""),"")</f>
        <v/>
      </c>
      <c r="S1512" s="106" t="str">
        <f>IFERROR(__xludf.DUMMYFUNCTION("""COMPUTED_VALUE"""),"")</f>
        <v/>
      </c>
      <c r="T1512" s="139" t="str">
        <f>IFERROR(__xludf.DUMMYFUNCTION("""COMPUTED_VALUE"""),"")</f>
        <v/>
      </c>
      <c r="U1512" s="139" t="str">
        <f>IFERROR(__xludf.DUMMYFUNCTION("""COMPUTED_VALUE"""),"")</f>
        <v/>
      </c>
      <c r="V1512" s="136" t="str">
        <f>IFERROR(__xludf.DUMMYFUNCTION("""COMPUTED_VALUE"""),"")</f>
        <v/>
      </c>
      <c r="W1512" s="106" t="str">
        <f>IFERROR(__xludf.DUMMYFUNCTION("""COMPUTED_VALUE"""),"")</f>
        <v/>
      </c>
      <c r="X1512" s="143" t="str">
        <f t="shared" si="2"/>
        <v/>
      </c>
      <c r="Y1512" s="139" t="str">
        <f>IFERROR(__xludf.DUMMYFUNCTION("""COMPUTED_VALUE"""),"")</f>
        <v/>
      </c>
      <c r="Z1512" s="141" t="str">
        <f>IFERROR(__xludf.DUMMYFUNCTION("""COMPUTED_VALUE"""),"")</f>
        <v/>
      </c>
    </row>
    <row r="1513">
      <c r="D1513" s="136" t="str">
        <f t="shared" si="3"/>
        <v/>
      </c>
      <c r="E1513" s="152"/>
      <c r="F1513" s="106" t="s">
        <v>133</v>
      </c>
      <c r="G1513" s="152"/>
      <c r="H1513" s="106" t="s">
        <v>133</v>
      </c>
      <c r="J1513" s="139" t="s">
        <v>133</v>
      </c>
      <c r="K1513" s="136" t="s">
        <v>133</v>
      </c>
      <c r="L1513" s="153"/>
      <c r="M1513" s="136" t="str">
        <f t="shared" si="1"/>
        <v/>
      </c>
      <c r="O1513" s="141" t="s">
        <v>133</v>
      </c>
      <c r="P1513" s="136" t="str">
        <f>IFERROR(__xludf.DUMMYFUNCTION("""COMPUTED_VALUE"""),"")</f>
        <v/>
      </c>
      <c r="Q1513" s="136" t="str">
        <f>IFERROR(__xludf.DUMMYFUNCTION("""COMPUTED_VALUE"""),"")</f>
        <v/>
      </c>
      <c r="R1513" s="106" t="str">
        <f>IFERROR(__xludf.DUMMYFUNCTION("""COMPUTED_VALUE"""),"")</f>
        <v/>
      </c>
      <c r="S1513" s="106" t="str">
        <f>IFERROR(__xludf.DUMMYFUNCTION("""COMPUTED_VALUE"""),"")</f>
        <v/>
      </c>
      <c r="T1513" s="139" t="str">
        <f>IFERROR(__xludf.DUMMYFUNCTION("""COMPUTED_VALUE"""),"")</f>
        <v/>
      </c>
      <c r="U1513" s="139" t="str">
        <f>IFERROR(__xludf.DUMMYFUNCTION("""COMPUTED_VALUE"""),"")</f>
        <v/>
      </c>
      <c r="V1513" s="136" t="str">
        <f>IFERROR(__xludf.DUMMYFUNCTION("""COMPUTED_VALUE"""),"")</f>
        <v/>
      </c>
      <c r="W1513" s="106" t="str">
        <f>IFERROR(__xludf.DUMMYFUNCTION("""COMPUTED_VALUE"""),"")</f>
        <v/>
      </c>
      <c r="X1513" s="143" t="str">
        <f t="shared" si="2"/>
        <v/>
      </c>
      <c r="Y1513" s="139" t="str">
        <f>IFERROR(__xludf.DUMMYFUNCTION("""COMPUTED_VALUE"""),"")</f>
        <v/>
      </c>
      <c r="Z1513" s="141" t="str">
        <f>IFERROR(__xludf.DUMMYFUNCTION("""COMPUTED_VALUE"""),"")</f>
        <v/>
      </c>
    </row>
    <row r="1514">
      <c r="D1514" s="136" t="str">
        <f t="shared" si="3"/>
        <v/>
      </c>
      <c r="E1514" s="152"/>
      <c r="F1514" s="106" t="s">
        <v>133</v>
      </c>
      <c r="G1514" s="152"/>
      <c r="H1514" s="106" t="s">
        <v>133</v>
      </c>
      <c r="J1514" s="139" t="s">
        <v>133</v>
      </c>
      <c r="K1514" s="136" t="s">
        <v>133</v>
      </c>
      <c r="L1514" s="153"/>
      <c r="M1514" s="136" t="str">
        <f t="shared" si="1"/>
        <v/>
      </c>
      <c r="O1514" s="141" t="s">
        <v>133</v>
      </c>
      <c r="P1514" s="136" t="str">
        <f>IFERROR(__xludf.DUMMYFUNCTION("""COMPUTED_VALUE"""),"")</f>
        <v/>
      </c>
      <c r="Q1514" s="136" t="str">
        <f>IFERROR(__xludf.DUMMYFUNCTION("""COMPUTED_VALUE"""),"")</f>
        <v/>
      </c>
      <c r="R1514" s="106" t="str">
        <f>IFERROR(__xludf.DUMMYFUNCTION("""COMPUTED_VALUE"""),"")</f>
        <v/>
      </c>
      <c r="S1514" s="106" t="str">
        <f>IFERROR(__xludf.DUMMYFUNCTION("""COMPUTED_VALUE"""),"")</f>
        <v/>
      </c>
      <c r="T1514" s="139" t="str">
        <f>IFERROR(__xludf.DUMMYFUNCTION("""COMPUTED_VALUE"""),"")</f>
        <v/>
      </c>
      <c r="U1514" s="139" t="str">
        <f>IFERROR(__xludf.DUMMYFUNCTION("""COMPUTED_VALUE"""),"")</f>
        <v/>
      </c>
      <c r="V1514" s="136" t="str">
        <f>IFERROR(__xludf.DUMMYFUNCTION("""COMPUTED_VALUE"""),"")</f>
        <v/>
      </c>
      <c r="W1514" s="106" t="str">
        <f>IFERROR(__xludf.DUMMYFUNCTION("""COMPUTED_VALUE"""),"")</f>
        <v/>
      </c>
      <c r="X1514" s="143" t="str">
        <f t="shared" si="2"/>
        <v/>
      </c>
      <c r="Y1514" s="139" t="str">
        <f>IFERROR(__xludf.DUMMYFUNCTION("""COMPUTED_VALUE"""),"")</f>
        <v/>
      </c>
      <c r="Z1514" s="141" t="str">
        <f>IFERROR(__xludf.DUMMYFUNCTION("""COMPUTED_VALUE"""),"")</f>
        <v/>
      </c>
    </row>
    <row r="1515">
      <c r="D1515" s="136" t="str">
        <f t="shared" si="3"/>
        <v/>
      </c>
      <c r="E1515" s="152"/>
      <c r="F1515" s="106" t="s">
        <v>133</v>
      </c>
      <c r="G1515" s="152"/>
      <c r="H1515" s="106" t="s">
        <v>133</v>
      </c>
      <c r="J1515" s="139" t="s">
        <v>133</v>
      </c>
      <c r="K1515" s="136" t="s">
        <v>133</v>
      </c>
      <c r="L1515" s="153"/>
      <c r="M1515" s="136" t="str">
        <f t="shared" si="1"/>
        <v/>
      </c>
      <c r="O1515" s="141" t="s">
        <v>133</v>
      </c>
      <c r="P1515" s="136" t="str">
        <f>IFERROR(__xludf.DUMMYFUNCTION("""COMPUTED_VALUE"""),"")</f>
        <v/>
      </c>
      <c r="Q1515" s="136" t="str">
        <f>IFERROR(__xludf.DUMMYFUNCTION("""COMPUTED_VALUE"""),"")</f>
        <v/>
      </c>
      <c r="R1515" s="106" t="str">
        <f>IFERROR(__xludf.DUMMYFUNCTION("""COMPUTED_VALUE"""),"")</f>
        <v/>
      </c>
      <c r="S1515" s="106" t="str">
        <f>IFERROR(__xludf.DUMMYFUNCTION("""COMPUTED_VALUE"""),"")</f>
        <v/>
      </c>
      <c r="T1515" s="139" t="str">
        <f>IFERROR(__xludf.DUMMYFUNCTION("""COMPUTED_VALUE"""),"")</f>
        <v/>
      </c>
      <c r="U1515" s="139" t="str">
        <f>IFERROR(__xludf.DUMMYFUNCTION("""COMPUTED_VALUE"""),"")</f>
        <v/>
      </c>
      <c r="V1515" s="136" t="str">
        <f>IFERROR(__xludf.DUMMYFUNCTION("""COMPUTED_VALUE"""),"")</f>
        <v/>
      </c>
      <c r="W1515" s="106" t="str">
        <f>IFERROR(__xludf.DUMMYFUNCTION("""COMPUTED_VALUE"""),"")</f>
        <v/>
      </c>
      <c r="X1515" s="143" t="str">
        <f t="shared" si="2"/>
        <v/>
      </c>
      <c r="Y1515" s="139" t="str">
        <f>IFERROR(__xludf.DUMMYFUNCTION("""COMPUTED_VALUE"""),"")</f>
        <v/>
      </c>
      <c r="Z1515" s="141" t="str">
        <f>IFERROR(__xludf.DUMMYFUNCTION("""COMPUTED_VALUE"""),"")</f>
        <v/>
      </c>
    </row>
    <row r="1516">
      <c r="D1516" s="136" t="str">
        <f t="shared" si="3"/>
        <v/>
      </c>
      <c r="E1516" s="152"/>
      <c r="F1516" s="106" t="s">
        <v>133</v>
      </c>
      <c r="G1516" s="152"/>
      <c r="H1516" s="106" t="s">
        <v>133</v>
      </c>
      <c r="J1516" s="139" t="s">
        <v>133</v>
      </c>
      <c r="K1516" s="136" t="s">
        <v>133</v>
      </c>
      <c r="L1516" s="153"/>
      <c r="M1516" s="136" t="str">
        <f t="shared" si="1"/>
        <v/>
      </c>
      <c r="O1516" s="141" t="s">
        <v>133</v>
      </c>
      <c r="P1516" s="136" t="str">
        <f>IFERROR(__xludf.DUMMYFUNCTION("""COMPUTED_VALUE"""),"")</f>
        <v/>
      </c>
      <c r="Q1516" s="136" t="str">
        <f>IFERROR(__xludf.DUMMYFUNCTION("""COMPUTED_VALUE"""),"")</f>
        <v/>
      </c>
      <c r="R1516" s="106" t="str">
        <f>IFERROR(__xludf.DUMMYFUNCTION("""COMPUTED_VALUE"""),"")</f>
        <v/>
      </c>
      <c r="S1516" s="106" t="str">
        <f>IFERROR(__xludf.DUMMYFUNCTION("""COMPUTED_VALUE"""),"")</f>
        <v/>
      </c>
      <c r="T1516" s="139" t="str">
        <f>IFERROR(__xludf.DUMMYFUNCTION("""COMPUTED_VALUE"""),"")</f>
        <v/>
      </c>
      <c r="U1516" s="139" t="str">
        <f>IFERROR(__xludf.DUMMYFUNCTION("""COMPUTED_VALUE"""),"")</f>
        <v/>
      </c>
      <c r="V1516" s="136" t="str">
        <f>IFERROR(__xludf.DUMMYFUNCTION("""COMPUTED_VALUE"""),"")</f>
        <v/>
      </c>
      <c r="W1516" s="106" t="str">
        <f>IFERROR(__xludf.DUMMYFUNCTION("""COMPUTED_VALUE"""),"")</f>
        <v/>
      </c>
      <c r="X1516" s="143" t="str">
        <f t="shared" si="2"/>
        <v/>
      </c>
      <c r="Y1516" s="139" t="str">
        <f>IFERROR(__xludf.DUMMYFUNCTION("""COMPUTED_VALUE"""),"")</f>
        <v/>
      </c>
      <c r="Z1516" s="141" t="str">
        <f>IFERROR(__xludf.DUMMYFUNCTION("""COMPUTED_VALUE"""),"")</f>
        <v/>
      </c>
    </row>
    <row r="1517">
      <c r="D1517" s="136" t="str">
        <f t="shared" si="3"/>
        <v/>
      </c>
      <c r="E1517" s="152"/>
      <c r="F1517" s="106" t="s">
        <v>133</v>
      </c>
      <c r="G1517" s="152"/>
      <c r="H1517" s="106" t="s">
        <v>133</v>
      </c>
      <c r="J1517" s="139" t="s">
        <v>133</v>
      </c>
      <c r="K1517" s="136" t="s">
        <v>133</v>
      </c>
      <c r="L1517" s="153"/>
      <c r="M1517" s="136" t="str">
        <f t="shared" si="1"/>
        <v/>
      </c>
      <c r="O1517" s="141" t="s">
        <v>133</v>
      </c>
      <c r="P1517" s="136" t="str">
        <f>IFERROR(__xludf.DUMMYFUNCTION("""COMPUTED_VALUE"""),"")</f>
        <v/>
      </c>
      <c r="Q1517" s="136" t="str">
        <f>IFERROR(__xludf.DUMMYFUNCTION("""COMPUTED_VALUE"""),"")</f>
        <v/>
      </c>
      <c r="R1517" s="106" t="str">
        <f>IFERROR(__xludf.DUMMYFUNCTION("""COMPUTED_VALUE"""),"")</f>
        <v/>
      </c>
      <c r="S1517" s="106" t="str">
        <f>IFERROR(__xludf.DUMMYFUNCTION("""COMPUTED_VALUE"""),"")</f>
        <v/>
      </c>
      <c r="T1517" s="139" t="str">
        <f>IFERROR(__xludf.DUMMYFUNCTION("""COMPUTED_VALUE"""),"")</f>
        <v/>
      </c>
      <c r="U1517" s="139" t="str">
        <f>IFERROR(__xludf.DUMMYFUNCTION("""COMPUTED_VALUE"""),"")</f>
        <v/>
      </c>
      <c r="V1517" s="136" t="str">
        <f>IFERROR(__xludf.DUMMYFUNCTION("""COMPUTED_VALUE"""),"")</f>
        <v/>
      </c>
      <c r="W1517" s="106" t="str">
        <f>IFERROR(__xludf.DUMMYFUNCTION("""COMPUTED_VALUE"""),"")</f>
        <v/>
      </c>
      <c r="X1517" s="143" t="str">
        <f t="shared" si="2"/>
        <v/>
      </c>
      <c r="Y1517" s="139" t="str">
        <f>IFERROR(__xludf.DUMMYFUNCTION("""COMPUTED_VALUE"""),"")</f>
        <v/>
      </c>
      <c r="Z1517" s="141" t="str">
        <f>IFERROR(__xludf.DUMMYFUNCTION("""COMPUTED_VALUE"""),"")</f>
        <v/>
      </c>
    </row>
    <row r="1518">
      <c r="D1518" s="136" t="str">
        <f t="shared" si="3"/>
        <v/>
      </c>
      <c r="E1518" s="152"/>
      <c r="F1518" s="106" t="s">
        <v>133</v>
      </c>
      <c r="G1518" s="152"/>
      <c r="H1518" s="106" t="s">
        <v>133</v>
      </c>
      <c r="J1518" s="139" t="s">
        <v>133</v>
      </c>
      <c r="K1518" s="136" t="s">
        <v>133</v>
      </c>
      <c r="L1518" s="153"/>
      <c r="M1518" s="136" t="str">
        <f t="shared" si="1"/>
        <v/>
      </c>
      <c r="O1518" s="141" t="s">
        <v>133</v>
      </c>
      <c r="P1518" s="136" t="str">
        <f>IFERROR(__xludf.DUMMYFUNCTION("""COMPUTED_VALUE"""),"")</f>
        <v/>
      </c>
      <c r="Q1518" s="136" t="str">
        <f>IFERROR(__xludf.DUMMYFUNCTION("""COMPUTED_VALUE"""),"")</f>
        <v/>
      </c>
      <c r="R1518" s="106" t="str">
        <f>IFERROR(__xludf.DUMMYFUNCTION("""COMPUTED_VALUE"""),"")</f>
        <v/>
      </c>
      <c r="S1518" s="106" t="str">
        <f>IFERROR(__xludf.DUMMYFUNCTION("""COMPUTED_VALUE"""),"")</f>
        <v/>
      </c>
      <c r="T1518" s="139" t="str">
        <f>IFERROR(__xludf.DUMMYFUNCTION("""COMPUTED_VALUE"""),"")</f>
        <v/>
      </c>
      <c r="U1518" s="139" t="str">
        <f>IFERROR(__xludf.DUMMYFUNCTION("""COMPUTED_VALUE"""),"")</f>
        <v/>
      </c>
      <c r="V1518" s="136" t="str">
        <f>IFERROR(__xludf.DUMMYFUNCTION("""COMPUTED_VALUE"""),"")</f>
        <v/>
      </c>
      <c r="W1518" s="106" t="str">
        <f>IFERROR(__xludf.DUMMYFUNCTION("""COMPUTED_VALUE"""),"")</f>
        <v/>
      </c>
      <c r="X1518" s="143" t="str">
        <f t="shared" si="2"/>
        <v/>
      </c>
      <c r="Y1518" s="139" t="str">
        <f>IFERROR(__xludf.DUMMYFUNCTION("""COMPUTED_VALUE"""),"")</f>
        <v/>
      </c>
      <c r="Z1518" s="141" t="str">
        <f>IFERROR(__xludf.DUMMYFUNCTION("""COMPUTED_VALUE"""),"")</f>
        <v/>
      </c>
    </row>
    <row r="1519">
      <c r="D1519" s="136" t="str">
        <f t="shared" si="3"/>
        <v/>
      </c>
      <c r="E1519" s="152"/>
      <c r="F1519" s="106" t="s">
        <v>133</v>
      </c>
      <c r="G1519" s="152"/>
      <c r="H1519" s="106" t="s">
        <v>133</v>
      </c>
      <c r="J1519" s="139" t="s">
        <v>133</v>
      </c>
      <c r="K1519" s="136" t="s">
        <v>133</v>
      </c>
      <c r="L1519" s="153"/>
      <c r="M1519" s="136" t="str">
        <f t="shared" si="1"/>
        <v/>
      </c>
      <c r="O1519" s="141" t="s">
        <v>133</v>
      </c>
      <c r="P1519" s="136" t="str">
        <f>IFERROR(__xludf.DUMMYFUNCTION("""COMPUTED_VALUE"""),"")</f>
        <v/>
      </c>
      <c r="Q1519" s="136" t="str">
        <f>IFERROR(__xludf.DUMMYFUNCTION("""COMPUTED_VALUE"""),"")</f>
        <v/>
      </c>
      <c r="R1519" s="106" t="str">
        <f>IFERROR(__xludf.DUMMYFUNCTION("""COMPUTED_VALUE"""),"")</f>
        <v/>
      </c>
      <c r="S1519" s="106" t="str">
        <f>IFERROR(__xludf.DUMMYFUNCTION("""COMPUTED_VALUE"""),"")</f>
        <v/>
      </c>
      <c r="T1519" s="139" t="str">
        <f>IFERROR(__xludf.DUMMYFUNCTION("""COMPUTED_VALUE"""),"")</f>
        <v/>
      </c>
      <c r="U1519" s="139" t="str">
        <f>IFERROR(__xludf.DUMMYFUNCTION("""COMPUTED_VALUE"""),"")</f>
        <v/>
      </c>
      <c r="V1519" s="136" t="str">
        <f>IFERROR(__xludf.DUMMYFUNCTION("""COMPUTED_VALUE"""),"")</f>
        <v/>
      </c>
      <c r="W1519" s="106" t="str">
        <f>IFERROR(__xludf.DUMMYFUNCTION("""COMPUTED_VALUE"""),"")</f>
        <v/>
      </c>
      <c r="X1519" s="143" t="str">
        <f t="shared" si="2"/>
        <v/>
      </c>
      <c r="Y1519" s="139" t="str">
        <f>IFERROR(__xludf.DUMMYFUNCTION("""COMPUTED_VALUE"""),"")</f>
        <v/>
      </c>
      <c r="Z1519" s="141" t="str">
        <f>IFERROR(__xludf.DUMMYFUNCTION("""COMPUTED_VALUE"""),"")</f>
        <v/>
      </c>
    </row>
    <row r="1520">
      <c r="D1520" s="136" t="str">
        <f t="shared" si="3"/>
        <v/>
      </c>
      <c r="E1520" s="152"/>
      <c r="F1520" s="106" t="s">
        <v>133</v>
      </c>
      <c r="G1520" s="152"/>
      <c r="H1520" s="106" t="s">
        <v>133</v>
      </c>
      <c r="J1520" s="139" t="s">
        <v>133</v>
      </c>
      <c r="K1520" s="136" t="s">
        <v>133</v>
      </c>
      <c r="L1520" s="153"/>
      <c r="M1520" s="136" t="str">
        <f t="shared" si="1"/>
        <v/>
      </c>
      <c r="O1520" s="141" t="s">
        <v>133</v>
      </c>
      <c r="P1520" s="136" t="str">
        <f>IFERROR(__xludf.DUMMYFUNCTION("""COMPUTED_VALUE"""),"")</f>
        <v/>
      </c>
      <c r="Q1520" s="136" t="str">
        <f>IFERROR(__xludf.DUMMYFUNCTION("""COMPUTED_VALUE"""),"")</f>
        <v/>
      </c>
      <c r="R1520" s="106" t="str">
        <f>IFERROR(__xludf.DUMMYFUNCTION("""COMPUTED_VALUE"""),"")</f>
        <v/>
      </c>
      <c r="S1520" s="106" t="str">
        <f>IFERROR(__xludf.DUMMYFUNCTION("""COMPUTED_VALUE"""),"")</f>
        <v/>
      </c>
      <c r="T1520" s="139" t="str">
        <f>IFERROR(__xludf.DUMMYFUNCTION("""COMPUTED_VALUE"""),"")</f>
        <v/>
      </c>
      <c r="U1520" s="139" t="str">
        <f>IFERROR(__xludf.DUMMYFUNCTION("""COMPUTED_VALUE"""),"")</f>
        <v/>
      </c>
      <c r="V1520" s="136" t="str">
        <f>IFERROR(__xludf.DUMMYFUNCTION("""COMPUTED_VALUE"""),"")</f>
        <v/>
      </c>
      <c r="W1520" s="106" t="str">
        <f>IFERROR(__xludf.DUMMYFUNCTION("""COMPUTED_VALUE"""),"")</f>
        <v/>
      </c>
      <c r="X1520" s="143" t="str">
        <f t="shared" si="2"/>
        <v/>
      </c>
      <c r="Y1520" s="139" t="str">
        <f>IFERROR(__xludf.DUMMYFUNCTION("""COMPUTED_VALUE"""),"")</f>
        <v/>
      </c>
      <c r="Z1520" s="141" t="str">
        <f>IFERROR(__xludf.DUMMYFUNCTION("""COMPUTED_VALUE"""),"")</f>
        <v/>
      </c>
    </row>
    <row r="1521">
      <c r="D1521" s="136" t="str">
        <f t="shared" si="3"/>
        <v/>
      </c>
      <c r="E1521" s="152"/>
      <c r="F1521" s="106" t="s">
        <v>133</v>
      </c>
      <c r="G1521" s="152"/>
      <c r="H1521" s="106" t="s">
        <v>133</v>
      </c>
      <c r="J1521" s="139" t="s">
        <v>133</v>
      </c>
      <c r="K1521" s="136" t="s">
        <v>133</v>
      </c>
      <c r="L1521" s="153"/>
      <c r="M1521" s="136" t="str">
        <f t="shared" si="1"/>
        <v/>
      </c>
      <c r="O1521" s="141" t="s">
        <v>133</v>
      </c>
      <c r="P1521" s="136" t="str">
        <f>IFERROR(__xludf.DUMMYFUNCTION("""COMPUTED_VALUE"""),"")</f>
        <v/>
      </c>
      <c r="Q1521" s="136" t="str">
        <f>IFERROR(__xludf.DUMMYFUNCTION("""COMPUTED_VALUE"""),"")</f>
        <v/>
      </c>
      <c r="R1521" s="106" t="str">
        <f>IFERROR(__xludf.DUMMYFUNCTION("""COMPUTED_VALUE"""),"")</f>
        <v/>
      </c>
      <c r="S1521" s="106" t="str">
        <f>IFERROR(__xludf.DUMMYFUNCTION("""COMPUTED_VALUE"""),"")</f>
        <v/>
      </c>
      <c r="T1521" s="139" t="str">
        <f>IFERROR(__xludf.DUMMYFUNCTION("""COMPUTED_VALUE"""),"")</f>
        <v/>
      </c>
      <c r="U1521" s="139" t="str">
        <f>IFERROR(__xludf.DUMMYFUNCTION("""COMPUTED_VALUE"""),"")</f>
        <v/>
      </c>
      <c r="V1521" s="136" t="str">
        <f>IFERROR(__xludf.DUMMYFUNCTION("""COMPUTED_VALUE"""),"")</f>
        <v/>
      </c>
      <c r="W1521" s="106" t="str">
        <f>IFERROR(__xludf.DUMMYFUNCTION("""COMPUTED_VALUE"""),"")</f>
        <v/>
      </c>
      <c r="X1521" s="143" t="str">
        <f t="shared" si="2"/>
        <v/>
      </c>
      <c r="Y1521" s="139" t="str">
        <f>IFERROR(__xludf.DUMMYFUNCTION("""COMPUTED_VALUE"""),"")</f>
        <v/>
      </c>
      <c r="Z1521" s="141" t="str">
        <f>IFERROR(__xludf.DUMMYFUNCTION("""COMPUTED_VALUE"""),"")</f>
        <v/>
      </c>
    </row>
    <row r="1522">
      <c r="D1522" s="136" t="str">
        <f t="shared" si="3"/>
        <v/>
      </c>
      <c r="E1522" s="152"/>
      <c r="F1522" s="106" t="s">
        <v>133</v>
      </c>
      <c r="G1522" s="152"/>
      <c r="H1522" s="106" t="s">
        <v>133</v>
      </c>
      <c r="J1522" s="139" t="s">
        <v>133</v>
      </c>
      <c r="K1522" s="136" t="s">
        <v>133</v>
      </c>
      <c r="L1522" s="153"/>
      <c r="M1522" s="136" t="str">
        <f t="shared" si="1"/>
        <v/>
      </c>
      <c r="O1522" s="141" t="s">
        <v>133</v>
      </c>
      <c r="P1522" s="136" t="str">
        <f>IFERROR(__xludf.DUMMYFUNCTION("""COMPUTED_VALUE"""),"")</f>
        <v/>
      </c>
      <c r="Q1522" s="136" t="str">
        <f>IFERROR(__xludf.DUMMYFUNCTION("""COMPUTED_VALUE"""),"")</f>
        <v/>
      </c>
      <c r="R1522" s="106" t="str">
        <f>IFERROR(__xludf.DUMMYFUNCTION("""COMPUTED_VALUE"""),"")</f>
        <v/>
      </c>
      <c r="S1522" s="106" t="str">
        <f>IFERROR(__xludf.DUMMYFUNCTION("""COMPUTED_VALUE"""),"")</f>
        <v/>
      </c>
      <c r="T1522" s="139" t="str">
        <f>IFERROR(__xludf.DUMMYFUNCTION("""COMPUTED_VALUE"""),"")</f>
        <v/>
      </c>
      <c r="U1522" s="139" t="str">
        <f>IFERROR(__xludf.DUMMYFUNCTION("""COMPUTED_VALUE"""),"")</f>
        <v/>
      </c>
      <c r="V1522" s="136" t="str">
        <f>IFERROR(__xludf.DUMMYFUNCTION("""COMPUTED_VALUE"""),"")</f>
        <v/>
      </c>
      <c r="W1522" s="106" t="str">
        <f>IFERROR(__xludf.DUMMYFUNCTION("""COMPUTED_VALUE"""),"")</f>
        <v/>
      </c>
      <c r="X1522" s="143" t="str">
        <f t="shared" si="2"/>
        <v/>
      </c>
      <c r="Y1522" s="139" t="str">
        <f>IFERROR(__xludf.DUMMYFUNCTION("""COMPUTED_VALUE"""),"")</f>
        <v/>
      </c>
      <c r="Z1522" s="141" t="str">
        <f>IFERROR(__xludf.DUMMYFUNCTION("""COMPUTED_VALUE"""),"")</f>
        <v/>
      </c>
    </row>
    <row r="1523">
      <c r="D1523" s="136" t="str">
        <f t="shared" si="3"/>
        <v/>
      </c>
      <c r="E1523" s="152"/>
      <c r="F1523" s="106" t="s">
        <v>133</v>
      </c>
      <c r="G1523" s="152"/>
      <c r="H1523" s="106" t="s">
        <v>133</v>
      </c>
      <c r="J1523" s="139" t="s">
        <v>133</v>
      </c>
      <c r="K1523" s="136" t="s">
        <v>133</v>
      </c>
      <c r="L1523" s="153"/>
      <c r="M1523" s="136" t="str">
        <f t="shared" si="1"/>
        <v/>
      </c>
      <c r="O1523" s="141" t="s">
        <v>133</v>
      </c>
      <c r="P1523" s="136" t="str">
        <f>IFERROR(__xludf.DUMMYFUNCTION("""COMPUTED_VALUE"""),"")</f>
        <v/>
      </c>
      <c r="Q1523" s="136" t="str">
        <f>IFERROR(__xludf.DUMMYFUNCTION("""COMPUTED_VALUE"""),"")</f>
        <v/>
      </c>
      <c r="R1523" s="106" t="str">
        <f>IFERROR(__xludf.DUMMYFUNCTION("""COMPUTED_VALUE"""),"")</f>
        <v/>
      </c>
      <c r="S1523" s="106" t="str">
        <f>IFERROR(__xludf.DUMMYFUNCTION("""COMPUTED_VALUE"""),"")</f>
        <v/>
      </c>
      <c r="T1523" s="139" t="str">
        <f>IFERROR(__xludf.DUMMYFUNCTION("""COMPUTED_VALUE"""),"")</f>
        <v/>
      </c>
      <c r="U1523" s="139" t="str">
        <f>IFERROR(__xludf.DUMMYFUNCTION("""COMPUTED_VALUE"""),"")</f>
        <v/>
      </c>
      <c r="V1523" s="136" t="str">
        <f>IFERROR(__xludf.DUMMYFUNCTION("""COMPUTED_VALUE"""),"")</f>
        <v/>
      </c>
      <c r="W1523" s="106" t="str">
        <f>IFERROR(__xludf.DUMMYFUNCTION("""COMPUTED_VALUE"""),"")</f>
        <v/>
      </c>
      <c r="X1523" s="143" t="str">
        <f t="shared" si="2"/>
        <v/>
      </c>
      <c r="Y1523" s="139" t="str">
        <f>IFERROR(__xludf.DUMMYFUNCTION("""COMPUTED_VALUE"""),"")</f>
        <v/>
      </c>
      <c r="Z1523" s="141" t="str">
        <f>IFERROR(__xludf.DUMMYFUNCTION("""COMPUTED_VALUE"""),"")</f>
        <v/>
      </c>
    </row>
    <row r="1524">
      <c r="D1524" s="136" t="str">
        <f t="shared" si="3"/>
        <v/>
      </c>
      <c r="E1524" s="152"/>
      <c r="F1524" s="106" t="s">
        <v>133</v>
      </c>
      <c r="G1524" s="152"/>
      <c r="H1524" s="106" t="s">
        <v>133</v>
      </c>
      <c r="J1524" s="139" t="s">
        <v>133</v>
      </c>
      <c r="K1524" s="136" t="s">
        <v>133</v>
      </c>
      <c r="L1524" s="153"/>
      <c r="M1524" s="136" t="str">
        <f t="shared" si="1"/>
        <v/>
      </c>
      <c r="O1524" s="141" t="s">
        <v>133</v>
      </c>
      <c r="P1524" s="136" t="str">
        <f>IFERROR(__xludf.DUMMYFUNCTION("""COMPUTED_VALUE"""),"")</f>
        <v/>
      </c>
      <c r="Q1524" s="136" t="str">
        <f>IFERROR(__xludf.DUMMYFUNCTION("""COMPUTED_VALUE"""),"")</f>
        <v/>
      </c>
      <c r="R1524" s="106" t="str">
        <f>IFERROR(__xludf.DUMMYFUNCTION("""COMPUTED_VALUE"""),"")</f>
        <v/>
      </c>
      <c r="S1524" s="106" t="str">
        <f>IFERROR(__xludf.DUMMYFUNCTION("""COMPUTED_VALUE"""),"")</f>
        <v/>
      </c>
      <c r="T1524" s="139" t="str">
        <f>IFERROR(__xludf.DUMMYFUNCTION("""COMPUTED_VALUE"""),"")</f>
        <v/>
      </c>
      <c r="U1524" s="139" t="str">
        <f>IFERROR(__xludf.DUMMYFUNCTION("""COMPUTED_VALUE"""),"")</f>
        <v/>
      </c>
      <c r="V1524" s="136" t="str">
        <f>IFERROR(__xludf.DUMMYFUNCTION("""COMPUTED_VALUE"""),"")</f>
        <v/>
      </c>
      <c r="W1524" s="106" t="str">
        <f>IFERROR(__xludf.DUMMYFUNCTION("""COMPUTED_VALUE"""),"")</f>
        <v/>
      </c>
      <c r="X1524" s="143" t="str">
        <f t="shared" si="2"/>
        <v/>
      </c>
      <c r="Y1524" s="139" t="str">
        <f>IFERROR(__xludf.DUMMYFUNCTION("""COMPUTED_VALUE"""),"")</f>
        <v/>
      </c>
      <c r="Z1524" s="141" t="str">
        <f>IFERROR(__xludf.DUMMYFUNCTION("""COMPUTED_VALUE"""),"")</f>
        <v/>
      </c>
    </row>
    <row r="1525">
      <c r="D1525" s="136" t="str">
        <f t="shared" si="3"/>
        <v/>
      </c>
      <c r="E1525" s="152"/>
      <c r="F1525" s="106" t="s">
        <v>133</v>
      </c>
      <c r="G1525" s="152"/>
      <c r="H1525" s="106" t="s">
        <v>133</v>
      </c>
      <c r="J1525" s="139" t="s">
        <v>133</v>
      </c>
      <c r="K1525" s="136" t="s">
        <v>133</v>
      </c>
      <c r="L1525" s="153"/>
      <c r="M1525" s="136" t="str">
        <f t="shared" si="1"/>
        <v/>
      </c>
      <c r="O1525" s="141" t="s">
        <v>133</v>
      </c>
      <c r="P1525" s="136" t="str">
        <f>IFERROR(__xludf.DUMMYFUNCTION("""COMPUTED_VALUE"""),"")</f>
        <v/>
      </c>
      <c r="Q1525" s="136" t="str">
        <f>IFERROR(__xludf.DUMMYFUNCTION("""COMPUTED_VALUE"""),"")</f>
        <v/>
      </c>
      <c r="R1525" s="106" t="str">
        <f>IFERROR(__xludf.DUMMYFUNCTION("""COMPUTED_VALUE"""),"")</f>
        <v/>
      </c>
      <c r="S1525" s="106" t="str">
        <f>IFERROR(__xludf.DUMMYFUNCTION("""COMPUTED_VALUE"""),"")</f>
        <v/>
      </c>
      <c r="T1525" s="139" t="str">
        <f>IFERROR(__xludf.DUMMYFUNCTION("""COMPUTED_VALUE"""),"")</f>
        <v/>
      </c>
      <c r="U1525" s="139" t="str">
        <f>IFERROR(__xludf.DUMMYFUNCTION("""COMPUTED_VALUE"""),"")</f>
        <v/>
      </c>
      <c r="V1525" s="136" t="str">
        <f>IFERROR(__xludf.DUMMYFUNCTION("""COMPUTED_VALUE"""),"")</f>
        <v/>
      </c>
      <c r="W1525" s="106" t="str">
        <f>IFERROR(__xludf.DUMMYFUNCTION("""COMPUTED_VALUE"""),"")</f>
        <v/>
      </c>
      <c r="X1525" s="143" t="str">
        <f t="shared" si="2"/>
        <v/>
      </c>
      <c r="Y1525" s="139" t="str">
        <f>IFERROR(__xludf.DUMMYFUNCTION("""COMPUTED_VALUE"""),"")</f>
        <v/>
      </c>
      <c r="Z1525" s="141" t="str">
        <f>IFERROR(__xludf.DUMMYFUNCTION("""COMPUTED_VALUE"""),"")</f>
        <v/>
      </c>
    </row>
    <row r="1526">
      <c r="D1526" s="136" t="str">
        <f t="shared" si="3"/>
        <v/>
      </c>
      <c r="E1526" s="152"/>
      <c r="F1526" s="106" t="s">
        <v>133</v>
      </c>
      <c r="G1526" s="152"/>
      <c r="H1526" s="106" t="s">
        <v>133</v>
      </c>
      <c r="J1526" s="139" t="s">
        <v>133</v>
      </c>
      <c r="K1526" s="136" t="s">
        <v>133</v>
      </c>
      <c r="L1526" s="153"/>
      <c r="M1526" s="136" t="str">
        <f t="shared" si="1"/>
        <v/>
      </c>
      <c r="O1526" s="141" t="s">
        <v>133</v>
      </c>
      <c r="P1526" s="136" t="str">
        <f>IFERROR(__xludf.DUMMYFUNCTION("""COMPUTED_VALUE"""),"")</f>
        <v/>
      </c>
      <c r="Q1526" s="136" t="str">
        <f>IFERROR(__xludf.DUMMYFUNCTION("""COMPUTED_VALUE"""),"")</f>
        <v/>
      </c>
      <c r="R1526" s="106" t="str">
        <f>IFERROR(__xludf.DUMMYFUNCTION("""COMPUTED_VALUE"""),"")</f>
        <v/>
      </c>
      <c r="S1526" s="106" t="str">
        <f>IFERROR(__xludf.DUMMYFUNCTION("""COMPUTED_VALUE"""),"")</f>
        <v/>
      </c>
      <c r="T1526" s="139" t="str">
        <f>IFERROR(__xludf.DUMMYFUNCTION("""COMPUTED_VALUE"""),"")</f>
        <v/>
      </c>
      <c r="U1526" s="139" t="str">
        <f>IFERROR(__xludf.DUMMYFUNCTION("""COMPUTED_VALUE"""),"")</f>
        <v/>
      </c>
      <c r="V1526" s="136" t="str">
        <f>IFERROR(__xludf.DUMMYFUNCTION("""COMPUTED_VALUE"""),"")</f>
        <v/>
      </c>
      <c r="W1526" s="106" t="str">
        <f>IFERROR(__xludf.DUMMYFUNCTION("""COMPUTED_VALUE"""),"")</f>
        <v/>
      </c>
      <c r="X1526" s="143" t="str">
        <f t="shared" si="2"/>
        <v/>
      </c>
      <c r="Y1526" s="139" t="str">
        <f>IFERROR(__xludf.DUMMYFUNCTION("""COMPUTED_VALUE"""),"")</f>
        <v/>
      </c>
      <c r="Z1526" s="141" t="str">
        <f>IFERROR(__xludf.DUMMYFUNCTION("""COMPUTED_VALUE"""),"")</f>
        <v/>
      </c>
    </row>
    <row r="1527">
      <c r="D1527" s="136" t="str">
        <f t="shared" si="3"/>
        <v/>
      </c>
      <c r="E1527" s="152"/>
      <c r="F1527" s="106" t="s">
        <v>133</v>
      </c>
      <c r="G1527" s="152"/>
      <c r="H1527" s="106" t="s">
        <v>133</v>
      </c>
      <c r="J1527" s="139" t="s">
        <v>133</v>
      </c>
      <c r="K1527" s="136" t="s">
        <v>133</v>
      </c>
      <c r="L1527" s="153"/>
      <c r="M1527" s="136" t="str">
        <f t="shared" si="1"/>
        <v/>
      </c>
      <c r="O1527" s="141" t="s">
        <v>133</v>
      </c>
      <c r="P1527" s="136" t="str">
        <f>IFERROR(__xludf.DUMMYFUNCTION("""COMPUTED_VALUE"""),"")</f>
        <v/>
      </c>
      <c r="Q1527" s="136" t="str">
        <f>IFERROR(__xludf.DUMMYFUNCTION("""COMPUTED_VALUE"""),"")</f>
        <v/>
      </c>
      <c r="R1527" s="106" t="str">
        <f>IFERROR(__xludf.DUMMYFUNCTION("""COMPUTED_VALUE"""),"")</f>
        <v/>
      </c>
      <c r="S1527" s="106" t="str">
        <f>IFERROR(__xludf.DUMMYFUNCTION("""COMPUTED_VALUE"""),"")</f>
        <v/>
      </c>
      <c r="T1527" s="139" t="str">
        <f>IFERROR(__xludf.DUMMYFUNCTION("""COMPUTED_VALUE"""),"")</f>
        <v/>
      </c>
      <c r="U1527" s="139" t="str">
        <f>IFERROR(__xludf.DUMMYFUNCTION("""COMPUTED_VALUE"""),"")</f>
        <v/>
      </c>
      <c r="V1527" s="136" t="str">
        <f>IFERROR(__xludf.DUMMYFUNCTION("""COMPUTED_VALUE"""),"")</f>
        <v/>
      </c>
      <c r="W1527" s="106" t="str">
        <f>IFERROR(__xludf.DUMMYFUNCTION("""COMPUTED_VALUE"""),"")</f>
        <v/>
      </c>
      <c r="X1527" s="143" t="str">
        <f t="shared" si="2"/>
        <v/>
      </c>
      <c r="Y1527" s="139" t="str">
        <f>IFERROR(__xludf.DUMMYFUNCTION("""COMPUTED_VALUE"""),"")</f>
        <v/>
      </c>
      <c r="Z1527" s="141" t="str">
        <f>IFERROR(__xludf.DUMMYFUNCTION("""COMPUTED_VALUE"""),"")</f>
        <v/>
      </c>
    </row>
    <row r="1528">
      <c r="D1528" s="136" t="str">
        <f t="shared" si="3"/>
        <v/>
      </c>
      <c r="E1528" s="152"/>
      <c r="F1528" s="106" t="s">
        <v>133</v>
      </c>
      <c r="G1528" s="152"/>
      <c r="H1528" s="106" t="s">
        <v>133</v>
      </c>
      <c r="J1528" s="139" t="s">
        <v>133</v>
      </c>
      <c r="K1528" s="136" t="s">
        <v>133</v>
      </c>
      <c r="L1528" s="153"/>
      <c r="M1528" s="136" t="str">
        <f t="shared" si="1"/>
        <v/>
      </c>
      <c r="O1528" s="141" t="s">
        <v>133</v>
      </c>
      <c r="P1528" s="136" t="str">
        <f>IFERROR(__xludf.DUMMYFUNCTION("""COMPUTED_VALUE"""),"")</f>
        <v/>
      </c>
      <c r="Q1528" s="136" t="str">
        <f>IFERROR(__xludf.DUMMYFUNCTION("""COMPUTED_VALUE"""),"")</f>
        <v/>
      </c>
      <c r="R1528" s="106" t="str">
        <f>IFERROR(__xludf.DUMMYFUNCTION("""COMPUTED_VALUE"""),"")</f>
        <v/>
      </c>
      <c r="S1528" s="106" t="str">
        <f>IFERROR(__xludf.DUMMYFUNCTION("""COMPUTED_VALUE"""),"")</f>
        <v/>
      </c>
      <c r="T1528" s="139" t="str">
        <f>IFERROR(__xludf.DUMMYFUNCTION("""COMPUTED_VALUE"""),"")</f>
        <v/>
      </c>
      <c r="U1528" s="139" t="str">
        <f>IFERROR(__xludf.DUMMYFUNCTION("""COMPUTED_VALUE"""),"")</f>
        <v/>
      </c>
      <c r="V1528" s="136" t="str">
        <f>IFERROR(__xludf.DUMMYFUNCTION("""COMPUTED_VALUE"""),"")</f>
        <v/>
      </c>
      <c r="W1528" s="106" t="str">
        <f>IFERROR(__xludf.DUMMYFUNCTION("""COMPUTED_VALUE"""),"")</f>
        <v/>
      </c>
      <c r="X1528" s="143" t="str">
        <f t="shared" si="2"/>
        <v/>
      </c>
      <c r="Y1528" s="139" t="str">
        <f>IFERROR(__xludf.DUMMYFUNCTION("""COMPUTED_VALUE"""),"")</f>
        <v/>
      </c>
      <c r="Z1528" s="141" t="str">
        <f>IFERROR(__xludf.DUMMYFUNCTION("""COMPUTED_VALUE"""),"")</f>
        <v/>
      </c>
    </row>
    <row r="1529">
      <c r="D1529" s="136" t="str">
        <f t="shared" si="3"/>
        <v/>
      </c>
      <c r="E1529" s="152"/>
      <c r="F1529" s="106" t="s">
        <v>133</v>
      </c>
      <c r="G1529" s="152"/>
      <c r="H1529" s="106" t="s">
        <v>133</v>
      </c>
      <c r="J1529" s="139" t="s">
        <v>133</v>
      </c>
      <c r="K1529" s="136" t="s">
        <v>133</v>
      </c>
      <c r="L1529" s="153"/>
      <c r="M1529" s="136" t="str">
        <f t="shared" si="1"/>
        <v/>
      </c>
      <c r="O1529" s="141" t="s">
        <v>133</v>
      </c>
      <c r="P1529" s="136" t="str">
        <f>IFERROR(__xludf.DUMMYFUNCTION("""COMPUTED_VALUE"""),"")</f>
        <v/>
      </c>
      <c r="Q1529" s="136" t="str">
        <f>IFERROR(__xludf.DUMMYFUNCTION("""COMPUTED_VALUE"""),"")</f>
        <v/>
      </c>
      <c r="R1529" s="106" t="str">
        <f>IFERROR(__xludf.DUMMYFUNCTION("""COMPUTED_VALUE"""),"")</f>
        <v/>
      </c>
      <c r="S1529" s="106" t="str">
        <f>IFERROR(__xludf.DUMMYFUNCTION("""COMPUTED_VALUE"""),"")</f>
        <v/>
      </c>
      <c r="T1529" s="139" t="str">
        <f>IFERROR(__xludf.DUMMYFUNCTION("""COMPUTED_VALUE"""),"")</f>
        <v/>
      </c>
      <c r="U1529" s="139" t="str">
        <f>IFERROR(__xludf.DUMMYFUNCTION("""COMPUTED_VALUE"""),"")</f>
        <v/>
      </c>
      <c r="V1529" s="136" t="str">
        <f>IFERROR(__xludf.DUMMYFUNCTION("""COMPUTED_VALUE"""),"")</f>
        <v/>
      </c>
      <c r="W1529" s="106" t="str">
        <f>IFERROR(__xludf.DUMMYFUNCTION("""COMPUTED_VALUE"""),"")</f>
        <v/>
      </c>
      <c r="X1529" s="143" t="str">
        <f t="shared" si="2"/>
        <v/>
      </c>
      <c r="Y1529" s="139" t="str">
        <f>IFERROR(__xludf.DUMMYFUNCTION("""COMPUTED_VALUE"""),"")</f>
        <v/>
      </c>
      <c r="Z1529" s="141" t="str">
        <f>IFERROR(__xludf.DUMMYFUNCTION("""COMPUTED_VALUE"""),"")</f>
        <v/>
      </c>
    </row>
    <row r="1530">
      <c r="D1530" s="136" t="str">
        <f t="shared" si="3"/>
        <v/>
      </c>
      <c r="E1530" s="152"/>
      <c r="F1530" s="106" t="s">
        <v>133</v>
      </c>
      <c r="G1530" s="152"/>
      <c r="H1530" s="106" t="s">
        <v>133</v>
      </c>
      <c r="J1530" s="139" t="s">
        <v>133</v>
      </c>
      <c r="K1530" s="136" t="s">
        <v>133</v>
      </c>
      <c r="L1530" s="153"/>
      <c r="M1530" s="136" t="str">
        <f t="shared" si="1"/>
        <v/>
      </c>
      <c r="O1530" s="141" t="s">
        <v>133</v>
      </c>
      <c r="P1530" s="136" t="str">
        <f>IFERROR(__xludf.DUMMYFUNCTION("""COMPUTED_VALUE"""),"")</f>
        <v/>
      </c>
      <c r="Q1530" s="136" t="str">
        <f>IFERROR(__xludf.DUMMYFUNCTION("""COMPUTED_VALUE"""),"")</f>
        <v/>
      </c>
      <c r="R1530" s="106" t="str">
        <f>IFERROR(__xludf.DUMMYFUNCTION("""COMPUTED_VALUE"""),"")</f>
        <v/>
      </c>
      <c r="S1530" s="106" t="str">
        <f>IFERROR(__xludf.DUMMYFUNCTION("""COMPUTED_VALUE"""),"")</f>
        <v/>
      </c>
      <c r="T1530" s="139" t="str">
        <f>IFERROR(__xludf.DUMMYFUNCTION("""COMPUTED_VALUE"""),"")</f>
        <v/>
      </c>
      <c r="U1530" s="139" t="str">
        <f>IFERROR(__xludf.DUMMYFUNCTION("""COMPUTED_VALUE"""),"")</f>
        <v/>
      </c>
      <c r="V1530" s="136" t="str">
        <f>IFERROR(__xludf.DUMMYFUNCTION("""COMPUTED_VALUE"""),"")</f>
        <v/>
      </c>
      <c r="W1530" s="106" t="str">
        <f>IFERROR(__xludf.DUMMYFUNCTION("""COMPUTED_VALUE"""),"")</f>
        <v/>
      </c>
      <c r="X1530" s="143" t="str">
        <f t="shared" si="2"/>
        <v/>
      </c>
      <c r="Y1530" s="139" t="str">
        <f>IFERROR(__xludf.DUMMYFUNCTION("""COMPUTED_VALUE"""),"")</f>
        <v/>
      </c>
      <c r="Z1530" s="141" t="str">
        <f>IFERROR(__xludf.DUMMYFUNCTION("""COMPUTED_VALUE"""),"")</f>
        <v/>
      </c>
    </row>
    <row r="1531">
      <c r="D1531" s="136" t="str">
        <f t="shared" si="3"/>
        <v/>
      </c>
      <c r="E1531" s="152"/>
      <c r="F1531" s="106" t="s">
        <v>133</v>
      </c>
      <c r="G1531" s="152"/>
      <c r="H1531" s="106" t="s">
        <v>133</v>
      </c>
      <c r="J1531" s="139" t="s">
        <v>133</v>
      </c>
      <c r="K1531" s="136" t="s">
        <v>133</v>
      </c>
      <c r="L1531" s="153"/>
      <c r="M1531" s="136" t="str">
        <f t="shared" si="1"/>
        <v/>
      </c>
      <c r="O1531" s="141" t="s">
        <v>133</v>
      </c>
      <c r="P1531" s="136" t="str">
        <f>IFERROR(__xludf.DUMMYFUNCTION("""COMPUTED_VALUE"""),"")</f>
        <v/>
      </c>
      <c r="Q1531" s="136" t="str">
        <f>IFERROR(__xludf.DUMMYFUNCTION("""COMPUTED_VALUE"""),"")</f>
        <v/>
      </c>
      <c r="R1531" s="106" t="str">
        <f>IFERROR(__xludf.DUMMYFUNCTION("""COMPUTED_VALUE"""),"")</f>
        <v/>
      </c>
      <c r="S1531" s="106" t="str">
        <f>IFERROR(__xludf.DUMMYFUNCTION("""COMPUTED_VALUE"""),"")</f>
        <v/>
      </c>
      <c r="T1531" s="139" t="str">
        <f>IFERROR(__xludf.DUMMYFUNCTION("""COMPUTED_VALUE"""),"")</f>
        <v/>
      </c>
      <c r="U1531" s="139" t="str">
        <f>IFERROR(__xludf.DUMMYFUNCTION("""COMPUTED_VALUE"""),"")</f>
        <v/>
      </c>
      <c r="V1531" s="136" t="str">
        <f>IFERROR(__xludf.DUMMYFUNCTION("""COMPUTED_VALUE"""),"")</f>
        <v/>
      </c>
      <c r="W1531" s="106" t="str">
        <f>IFERROR(__xludf.DUMMYFUNCTION("""COMPUTED_VALUE"""),"")</f>
        <v/>
      </c>
      <c r="X1531" s="143" t="str">
        <f t="shared" si="2"/>
        <v/>
      </c>
      <c r="Y1531" s="139" t="str">
        <f>IFERROR(__xludf.DUMMYFUNCTION("""COMPUTED_VALUE"""),"")</f>
        <v/>
      </c>
      <c r="Z1531" s="141" t="str">
        <f>IFERROR(__xludf.DUMMYFUNCTION("""COMPUTED_VALUE"""),"")</f>
        <v/>
      </c>
    </row>
    <row r="1532">
      <c r="D1532" s="136" t="str">
        <f t="shared" si="3"/>
        <v/>
      </c>
      <c r="E1532" s="152"/>
      <c r="F1532" s="106" t="s">
        <v>133</v>
      </c>
      <c r="G1532" s="152"/>
      <c r="H1532" s="106" t="s">
        <v>133</v>
      </c>
      <c r="J1532" s="139" t="s">
        <v>133</v>
      </c>
      <c r="K1532" s="136" t="s">
        <v>133</v>
      </c>
      <c r="L1532" s="153"/>
      <c r="M1532" s="136" t="str">
        <f t="shared" si="1"/>
        <v/>
      </c>
      <c r="O1532" s="141" t="s">
        <v>133</v>
      </c>
      <c r="P1532" s="136" t="str">
        <f>IFERROR(__xludf.DUMMYFUNCTION("""COMPUTED_VALUE"""),"")</f>
        <v/>
      </c>
      <c r="Q1532" s="136" t="str">
        <f>IFERROR(__xludf.DUMMYFUNCTION("""COMPUTED_VALUE"""),"")</f>
        <v/>
      </c>
      <c r="R1532" s="106" t="str">
        <f>IFERROR(__xludf.DUMMYFUNCTION("""COMPUTED_VALUE"""),"")</f>
        <v/>
      </c>
      <c r="S1532" s="106" t="str">
        <f>IFERROR(__xludf.DUMMYFUNCTION("""COMPUTED_VALUE"""),"")</f>
        <v/>
      </c>
      <c r="T1532" s="139" t="str">
        <f>IFERROR(__xludf.DUMMYFUNCTION("""COMPUTED_VALUE"""),"")</f>
        <v/>
      </c>
      <c r="U1532" s="139" t="str">
        <f>IFERROR(__xludf.DUMMYFUNCTION("""COMPUTED_VALUE"""),"")</f>
        <v/>
      </c>
      <c r="V1532" s="136" t="str">
        <f>IFERROR(__xludf.DUMMYFUNCTION("""COMPUTED_VALUE"""),"")</f>
        <v/>
      </c>
      <c r="W1532" s="106" t="str">
        <f>IFERROR(__xludf.DUMMYFUNCTION("""COMPUTED_VALUE"""),"")</f>
        <v/>
      </c>
      <c r="X1532" s="143" t="str">
        <f t="shared" si="2"/>
        <v/>
      </c>
      <c r="Y1532" s="139" t="str">
        <f>IFERROR(__xludf.DUMMYFUNCTION("""COMPUTED_VALUE"""),"")</f>
        <v/>
      </c>
      <c r="Z1532" s="141" t="str">
        <f>IFERROR(__xludf.DUMMYFUNCTION("""COMPUTED_VALUE"""),"")</f>
        <v/>
      </c>
    </row>
    <row r="1533">
      <c r="D1533" s="136" t="str">
        <f t="shared" si="3"/>
        <v/>
      </c>
      <c r="E1533" s="152"/>
      <c r="F1533" s="106" t="s">
        <v>133</v>
      </c>
      <c r="G1533" s="152"/>
      <c r="H1533" s="106" t="s">
        <v>133</v>
      </c>
      <c r="J1533" s="139" t="s">
        <v>133</v>
      </c>
      <c r="K1533" s="136" t="s">
        <v>133</v>
      </c>
      <c r="L1533" s="153"/>
      <c r="M1533" s="136" t="str">
        <f t="shared" si="1"/>
        <v/>
      </c>
      <c r="O1533" s="141" t="s">
        <v>133</v>
      </c>
      <c r="P1533" s="136" t="str">
        <f>IFERROR(__xludf.DUMMYFUNCTION("""COMPUTED_VALUE"""),"")</f>
        <v/>
      </c>
      <c r="Q1533" s="136" t="str">
        <f>IFERROR(__xludf.DUMMYFUNCTION("""COMPUTED_VALUE"""),"")</f>
        <v/>
      </c>
      <c r="R1533" s="106" t="str">
        <f>IFERROR(__xludf.DUMMYFUNCTION("""COMPUTED_VALUE"""),"")</f>
        <v/>
      </c>
      <c r="S1533" s="106" t="str">
        <f>IFERROR(__xludf.DUMMYFUNCTION("""COMPUTED_VALUE"""),"")</f>
        <v/>
      </c>
      <c r="T1533" s="139" t="str">
        <f>IFERROR(__xludf.DUMMYFUNCTION("""COMPUTED_VALUE"""),"")</f>
        <v/>
      </c>
      <c r="U1533" s="139" t="str">
        <f>IFERROR(__xludf.DUMMYFUNCTION("""COMPUTED_VALUE"""),"")</f>
        <v/>
      </c>
      <c r="V1533" s="136" t="str">
        <f>IFERROR(__xludf.DUMMYFUNCTION("""COMPUTED_VALUE"""),"")</f>
        <v/>
      </c>
      <c r="W1533" s="106" t="str">
        <f>IFERROR(__xludf.DUMMYFUNCTION("""COMPUTED_VALUE"""),"")</f>
        <v/>
      </c>
      <c r="X1533" s="143" t="str">
        <f t="shared" si="2"/>
        <v/>
      </c>
      <c r="Y1533" s="139" t="str">
        <f>IFERROR(__xludf.DUMMYFUNCTION("""COMPUTED_VALUE"""),"")</f>
        <v/>
      </c>
      <c r="Z1533" s="141" t="str">
        <f>IFERROR(__xludf.DUMMYFUNCTION("""COMPUTED_VALUE"""),"")</f>
        <v/>
      </c>
    </row>
    <row r="1534">
      <c r="D1534" s="136" t="str">
        <f t="shared" si="3"/>
        <v/>
      </c>
      <c r="E1534" s="152"/>
      <c r="F1534" s="106" t="s">
        <v>133</v>
      </c>
      <c r="G1534" s="152"/>
      <c r="H1534" s="106" t="s">
        <v>133</v>
      </c>
      <c r="J1534" s="139" t="s">
        <v>133</v>
      </c>
      <c r="K1534" s="136" t="s">
        <v>133</v>
      </c>
      <c r="L1534" s="153"/>
      <c r="M1534" s="136" t="str">
        <f t="shared" si="1"/>
        <v/>
      </c>
      <c r="O1534" s="141" t="s">
        <v>133</v>
      </c>
      <c r="P1534" s="136" t="str">
        <f>IFERROR(__xludf.DUMMYFUNCTION("""COMPUTED_VALUE"""),"")</f>
        <v/>
      </c>
      <c r="Q1534" s="136" t="str">
        <f>IFERROR(__xludf.DUMMYFUNCTION("""COMPUTED_VALUE"""),"")</f>
        <v/>
      </c>
      <c r="R1534" s="106" t="str">
        <f>IFERROR(__xludf.DUMMYFUNCTION("""COMPUTED_VALUE"""),"")</f>
        <v/>
      </c>
      <c r="S1534" s="106" t="str">
        <f>IFERROR(__xludf.DUMMYFUNCTION("""COMPUTED_VALUE"""),"")</f>
        <v/>
      </c>
      <c r="T1534" s="139" t="str">
        <f>IFERROR(__xludf.DUMMYFUNCTION("""COMPUTED_VALUE"""),"")</f>
        <v/>
      </c>
      <c r="U1534" s="139" t="str">
        <f>IFERROR(__xludf.DUMMYFUNCTION("""COMPUTED_VALUE"""),"")</f>
        <v/>
      </c>
      <c r="V1534" s="136" t="str">
        <f>IFERROR(__xludf.DUMMYFUNCTION("""COMPUTED_VALUE"""),"")</f>
        <v/>
      </c>
      <c r="W1534" s="106" t="str">
        <f>IFERROR(__xludf.DUMMYFUNCTION("""COMPUTED_VALUE"""),"")</f>
        <v/>
      </c>
      <c r="X1534" s="143" t="str">
        <f t="shared" si="2"/>
        <v/>
      </c>
      <c r="Y1534" s="139" t="str">
        <f>IFERROR(__xludf.DUMMYFUNCTION("""COMPUTED_VALUE"""),"")</f>
        <v/>
      </c>
      <c r="Z1534" s="141" t="str">
        <f>IFERROR(__xludf.DUMMYFUNCTION("""COMPUTED_VALUE"""),"")</f>
        <v/>
      </c>
    </row>
    <row r="1535">
      <c r="D1535" s="136" t="str">
        <f t="shared" si="3"/>
        <v/>
      </c>
      <c r="E1535" s="152"/>
      <c r="F1535" s="106" t="s">
        <v>133</v>
      </c>
      <c r="G1535" s="152"/>
      <c r="H1535" s="106" t="s">
        <v>133</v>
      </c>
      <c r="J1535" s="139" t="s">
        <v>133</v>
      </c>
      <c r="K1535" s="136" t="s">
        <v>133</v>
      </c>
      <c r="L1535" s="153"/>
      <c r="M1535" s="136" t="str">
        <f t="shared" si="1"/>
        <v/>
      </c>
      <c r="O1535" s="141" t="s">
        <v>133</v>
      </c>
      <c r="P1535" s="136" t="str">
        <f>IFERROR(__xludf.DUMMYFUNCTION("""COMPUTED_VALUE"""),"")</f>
        <v/>
      </c>
      <c r="Q1535" s="136" t="str">
        <f>IFERROR(__xludf.DUMMYFUNCTION("""COMPUTED_VALUE"""),"")</f>
        <v/>
      </c>
      <c r="R1535" s="106" t="str">
        <f>IFERROR(__xludf.DUMMYFUNCTION("""COMPUTED_VALUE"""),"")</f>
        <v/>
      </c>
      <c r="S1535" s="106" t="str">
        <f>IFERROR(__xludf.DUMMYFUNCTION("""COMPUTED_VALUE"""),"")</f>
        <v/>
      </c>
      <c r="T1535" s="139" t="str">
        <f>IFERROR(__xludf.DUMMYFUNCTION("""COMPUTED_VALUE"""),"")</f>
        <v/>
      </c>
      <c r="U1535" s="139" t="str">
        <f>IFERROR(__xludf.DUMMYFUNCTION("""COMPUTED_VALUE"""),"")</f>
        <v/>
      </c>
      <c r="V1535" s="136" t="str">
        <f>IFERROR(__xludf.DUMMYFUNCTION("""COMPUTED_VALUE"""),"")</f>
        <v/>
      </c>
      <c r="W1535" s="106" t="str">
        <f>IFERROR(__xludf.DUMMYFUNCTION("""COMPUTED_VALUE"""),"")</f>
        <v/>
      </c>
      <c r="X1535" s="143" t="str">
        <f t="shared" si="2"/>
        <v/>
      </c>
      <c r="Y1535" s="139" t="str">
        <f>IFERROR(__xludf.DUMMYFUNCTION("""COMPUTED_VALUE"""),"")</f>
        <v/>
      </c>
      <c r="Z1535" s="141" t="str">
        <f>IFERROR(__xludf.DUMMYFUNCTION("""COMPUTED_VALUE"""),"")</f>
        <v/>
      </c>
    </row>
    <row r="1536">
      <c r="D1536" s="136" t="str">
        <f t="shared" si="3"/>
        <v/>
      </c>
      <c r="E1536" s="152"/>
      <c r="F1536" s="106" t="s">
        <v>133</v>
      </c>
      <c r="G1536" s="152"/>
      <c r="H1536" s="106" t="s">
        <v>133</v>
      </c>
      <c r="J1536" s="139" t="s">
        <v>133</v>
      </c>
      <c r="K1536" s="136" t="s">
        <v>133</v>
      </c>
      <c r="L1536" s="153"/>
      <c r="M1536" s="136" t="str">
        <f t="shared" si="1"/>
        <v/>
      </c>
      <c r="O1536" s="141" t="s">
        <v>133</v>
      </c>
      <c r="P1536" s="136" t="str">
        <f>IFERROR(__xludf.DUMMYFUNCTION("""COMPUTED_VALUE"""),"")</f>
        <v/>
      </c>
      <c r="Q1536" s="136" t="str">
        <f>IFERROR(__xludf.DUMMYFUNCTION("""COMPUTED_VALUE"""),"")</f>
        <v/>
      </c>
      <c r="R1536" s="106" t="str">
        <f>IFERROR(__xludf.DUMMYFUNCTION("""COMPUTED_VALUE"""),"")</f>
        <v/>
      </c>
      <c r="S1536" s="106" t="str">
        <f>IFERROR(__xludf.DUMMYFUNCTION("""COMPUTED_VALUE"""),"")</f>
        <v/>
      </c>
      <c r="T1536" s="139" t="str">
        <f>IFERROR(__xludf.DUMMYFUNCTION("""COMPUTED_VALUE"""),"")</f>
        <v/>
      </c>
      <c r="U1536" s="139" t="str">
        <f>IFERROR(__xludf.DUMMYFUNCTION("""COMPUTED_VALUE"""),"")</f>
        <v/>
      </c>
      <c r="V1536" s="136" t="str">
        <f>IFERROR(__xludf.DUMMYFUNCTION("""COMPUTED_VALUE"""),"")</f>
        <v/>
      </c>
      <c r="W1536" s="106" t="str">
        <f>IFERROR(__xludf.DUMMYFUNCTION("""COMPUTED_VALUE"""),"")</f>
        <v/>
      </c>
      <c r="X1536" s="143" t="str">
        <f t="shared" si="2"/>
        <v/>
      </c>
      <c r="Y1536" s="139" t="str">
        <f>IFERROR(__xludf.DUMMYFUNCTION("""COMPUTED_VALUE"""),"")</f>
        <v/>
      </c>
      <c r="Z1536" s="141" t="str">
        <f>IFERROR(__xludf.DUMMYFUNCTION("""COMPUTED_VALUE"""),"")</f>
        <v/>
      </c>
    </row>
    <row r="1537">
      <c r="D1537" s="136" t="str">
        <f t="shared" si="3"/>
        <v/>
      </c>
      <c r="E1537" s="152"/>
      <c r="F1537" s="106" t="s">
        <v>133</v>
      </c>
      <c r="G1537" s="152"/>
      <c r="H1537" s="106" t="s">
        <v>133</v>
      </c>
      <c r="J1537" s="139" t="s">
        <v>133</v>
      </c>
      <c r="K1537" s="136" t="s">
        <v>133</v>
      </c>
      <c r="L1537" s="153"/>
      <c r="M1537" s="136" t="str">
        <f t="shared" si="1"/>
        <v/>
      </c>
      <c r="O1537" s="141" t="s">
        <v>133</v>
      </c>
      <c r="P1537" s="136" t="str">
        <f>IFERROR(__xludf.DUMMYFUNCTION("""COMPUTED_VALUE"""),"")</f>
        <v/>
      </c>
      <c r="Q1537" s="136" t="str">
        <f>IFERROR(__xludf.DUMMYFUNCTION("""COMPUTED_VALUE"""),"")</f>
        <v/>
      </c>
      <c r="R1537" s="106" t="str">
        <f>IFERROR(__xludf.DUMMYFUNCTION("""COMPUTED_VALUE"""),"")</f>
        <v/>
      </c>
      <c r="S1537" s="106" t="str">
        <f>IFERROR(__xludf.DUMMYFUNCTION("""COMPUTED_VALUE"""),"")</f>
        <v/>
      </c>
      <c r="T1537" s="139" t="str">
        <f>IFERROR(__xludf.DUMMYFUNCTION("""COMPUTED_VALUE"""),"")</f>
        <v/>
      </c>
      <c r="U1537" s="139" t="str">
        <f>IFERROR(__xludf.DUMMYFUNCTION("""COMPUTED_VALUE"""),"")</f>
        <v/>
      </c>
      <c r="V1537" s="136" t="str">
        <f>IFERROR(__xludf.DUMMYFUNCTION("""COMPUTED_VALUE"""),"")</f>
        <v/>
      </c>
      <c r="W1537" s="106" t="str">
        <f>IFERROR(__xludf.DUMMYFUNCTION("""COMPUTED_VALUE"""),"")</f>
        <v/>
      </c>
      <c r="X1537" s="143" t="str">
        <f t="shared" si="2"/>
        <v/>
      </c>
      <c r="Y1537" s="139" t="str">
        <f>IFERROR(__xludf.DUMMYFUNCTION("""COMPUTED_VALUE"""),"")</f>
        <v/>
      </c>
      <c r="Z1537" s="141" t="str">
        <f>IFERROR(__xludf.DUMMYFUNCTION("""COMPUTED_VALUE"""),"")</f>
        <v/>
      </c>
    </row>
    <row r="1538">
      <c r="D1538" s="136" t="str">
        <f t="shared" si="3"/>
        <v/>
      </c>
      <c r="E1538" s="152"/>
      <c r="F1538" s="106" t="s">
        <v>133</v>
      </c>
      <c r="G1538" s="152"/>
      <c r="H1538" s="106" t="s">
        <v>133</v>
      </c>
      <c r="J1538" s="139" t="s">
        <v>133</v>
      </c>
      <c r="K1538" s="136" t="s">
        <v>133</v>
      </c>
      <c r="L1538" s="153"/>
      <c r="M1538" s="136" t="str">
        <f t="shared" si="1"/>
        <v/>
      </c>
      <c r="O1538" s="141" t="s">
        <v>133</v>
      </c>
      <c r="P1538" s="136" t="str">
        <f>IFERROR(__xludf.DUMMYFUNCTION("""COMPUTED_VALUE"""),"")</f>
        <v/>
      </c>
      <c r="Q1538" s="136" t="str">
        <f>IFERROR(__xludf.DUMMYFUNCTION("""COMPUTED_VALUE"""),"")</f>
        <v/>
      </c>
      <c r="R1538" s="106" t="str">
        <f>IFERROR(__xludf.DUMMYFUNCTION("""COMPUTED_VALUE"""),"")</f>
        <v/>
      </c>
      <c r="S1538" s="106" t="str">
        <f>IFERROR(__xludf.DUMMYFUNCTION("""COMPUTED_VALUE"""),"")</f>
        <v/>
      </c>
      <c r="T1538" s="139" t="str">
        <f>IFERROR(__xludf.DUMMYFUNCTION("""COMPUTED_VALUE"""),"")</f>
        <v/>
      </c>
      <c r="U1538" s="139" t="str">
        <f>IFERROR(__xludf.DUMMYFUNCTION("""COMPUTED_VALUE"""),"")</f>
        <v/>
      </c>
      <c r="V1538" s="136" t="str">
        <f>IFERROR(__xludf.DUMMYFUNCTION("""COMPUTED_VALUE"""),"")</f>
        <v/>
      </c>
      <c r="W1538" s="106" t="str">
        <f>IFERROR(__xludf.DUMMYFUNCTION("""COMPUTED_VALUE"""),"")</f>
        <v/>
      </c>
      <c r="X1538" s="143" t="str">
        <f t="shared" si="2"/>
        <v/>
      </c>
      <c r="Y1538" s="139" t="str">
        <f>IFERROR(__xludf.DUMMYFUNCTION("""COMPUTED_VALUE"""),"")</f>
        <v/>
      </c>
      <c r="Z1538" s="141" t="str">
        <f>IFERROR(__xludf.DUMMYFUNCTION("""COMPUTED_VALUE"""),"")</f>
        <v/>
      </c>
    </row>
    <row r="1539">
      <c r="D1539" s="136" t="str">
        <f t="shared" si="3"/>
        <v/>
      </c>
      <c r="E1539" s="152"/>
      <c r="F1539" s="106" t="s">
        <v>133</v>
      </c>
      <c r="G1539" s="152"/>
      <c r="H1539" s="106" t="s">
        <v>133</v>
      </c>
      <c r="J1539" s="139" t="s">
        <v>133</v>
      </c>
      <c r="K1539" s="136" t="s">
        <v>133</v>
      </c>
      <c r="L1539" s="153"/>
      <c r="M1539" s="136" t="str">
        <f t="shared" si="1"/>
        <v/>
      </c>
      <c r="O1539" s="141" t="s">
        <v>133</v>
      </c>
      <c r="P1539" s="136" t="str">
        <f>IFERROR(__xludf.DUMMYFUNCTION("""COMPUTED_VALUE"""),"")</f>
        <v/>
      </c>
      <c r="Q1539" s="136" t="str">
        <f>IFERROR(__xludf.DUMMYFUNCTION("""COMPUTED_VALUE"""),"")</f>
        <v/>
      </c>
      <c r="R1539" s="106" t="str">
        <f>IFERROR(__xludf.DUMMYFUNCTION("""COMPUTED_VALUE"""),"")</f>
        <v/>
      </c>
      <c r="S1539" s="106" t="str">
        <f>IFERROR(__xludf.DUMMYFUNCTION("""COMPUTED_VALUE"""),"")</f>
        <v/>
      </c>
      <c r="T1539" s="139" t="str">
        <f>IFERROR(__xludf.DUMMYFUNCTION("""COMPUTED_VALUE"""),"")</f>
        <v/>
      </c>
      <c r="U1539" s="139" t="str">
        <f>IFERROR(__xludf.DUMMYFUNCTION("""COMPUTED_VALUE"""),"")</f>
        <v/>
      </c>
      <c r="V1539" s="136" t="str">
        <f>IFERROR(__xludf.DUMMYFUNCTION("""COMPUTED_VALUE"""),"")</f>
        <v/>
      </c>
      <c r="W1539" s="106" t="str">
        <f>IFERROR(__xludf.DUMMYFUNCTION("""COMPUTED_VALUE"""),"")</f>
        <v/>
      </c>
      <c r="X1539" s="143" t="str">
        <f t="shared" si="2"/>
        <v/>
      </c>
      <c r="Y1539" s="139" t="str">
        <f>IFERROR(__xludf.DUMMYFUNCTION("""COMPUTED_VALUE"""),"")</f>
        <v/>
      </c>
      <c r="Z1539" s="141" t="str">
        <f>IFERROR(__xludf.DUMMYFUNCTION("""COMPUTED_VALUE"""),"")</f>
        <v/>
      </c>
    </row>
    <row r="1540">
      <c r="D1540" s="136" t="str">
        <f t="shared" si="3"/>
        <v/>
      </c>
      <c r="E1540" s="152"/>
      <c r="F1540" s="106" t="s">
        <v>133</v>
      </c>
      <c r="G1540" s="152"/>
      <c r="H1540" s="106" t="s">
        <v>133</v>
      </c>
      <c r="J1540" s="139" t="s">
        <v>133</v>
      </c>
      <c r="K1540" s="136" t="s">
        <v>133</v>
      </c>
      <c r="L1540" s="153"/>
      <c r="M1540" s="136" t="str">
        <f t="shared" si="1"/>
        <v/>
      </c>
      <c r="O1540" s="141" t="s">
        <v>133</v>
      </c>
      <c r="P1540" s="136" t="str">
        <f>IFERROR(__xludf.DUMMYFUNCTION("""COMPUTED_VALUE"""),"")</f>
        <v/>
      </c>
      <c r="Q1540" s="136" t="str">
        <f>IFERROR(__xludf.DUMMYFUNCTION("""COMPUTED_VALUE"""),"")</f>
        <v/>
      </c>
      <c r="R1540" s="106" t="str">
        <f>IFERROR(__xludf.DUMMYFUNCTION("""COMPUTED_VALUE"""),"")</f>
        <v/>
      </c>
      <c r="S1540" s="106" t="str">
        <f>IFERROR(__xludf.DUMMYFUNCTION("""COMPUTED_VALUE"""),"")</f>
        <v/>
      </c>
      <c r="T1540" s="139" t="str">
        <f>IFERROR(__xludf.DUMMYFUNCTION("""COMPUTED_VALUE"""),"")</f>
        <v/>
      </c>
      <c r="U1540" s="139" t="str">
        <f>IFERROR(__xludf.DUMMYFUNCTION("""COMPUTED_VALUE"""),"")</f>
        <v/>
      </c>
      <c r="V1540" s="136" t="str">
        <f>IFERROR(__xludf.DUMMYFUNCTION("""COMPUTED_VALUE"""),"")</f>
        <v/>
      </c>
      <c r="W1540" s="106" t="str">
        <f>IFERROR(__xludf.DUMMYFUNCTION("""COMPUTED_VALUE"""),"")</f>
        <v/>
      </c>
      <c r="X1540" s="143" t="str">
        <f t="shared" si="2"/>
        <v/>
      </c>
      <c r="Y1540" s="139" t="str">
        <f>IFERROR(__xludf.DUMMYFUNCTION("""COMPUTED_VALUE"""),"")</f>
        <v/>
      </c>
      <c r="Z1540" s="141" t="str">
        <f>IFERROR(__xludf.DUMMYFUNCTION("""COMPUTED_VALUE"""),"")</f>
        <v/>
      </c>
    </row>
    <row r="1541">
      <c r="D1541" s="136" t="str">
        <f t="shared" si="3"/>
        <v/>
      </c>
      <c r="E1541" s="152"/>
      <c r="F1541" s="106" t="s">
        <v>133</v>
      </c>
      <c r="G1541" s="152"/>
      <c r="H1541" s="106" t="s">
        <v>133</v>
      </c>
      <c r="J1541" s="139" t="s">
        <v>133</v>
      </c>
      <c r="K1541" s="136" t="s">
        <v>133</v>
      </c>
      <c r="L1541" s="153"/>
      <c r="M1541" s="136" t="str">
        <f t="shared" si="1"/>
        <v/>
      </c>
      <c r="O1541" s="141" t="s">
        <v>133</v>
      </c>
      <c r="P1541" s="136" t="str">
        <f>IFERROR(__xludf.DUMMYFUNCTION("""COMPUTED_VALUE"""),"")</f>
        <v/>
      </c>
      <c r="Q1541" s="136" t="str">
        <f>IFERROR(__xludf.DUMMYFUNCTION("""COMPUTED_VALUE"""),"")</f>
        <v/>
      </c>
      <c r="R1541" s="106" t="str">
        <f>IFERROR(__xludf.DUMMYFUNCTION("""COMPUTED_VALUE"""),"")</f>
        <v/>
      </c>
      <c r="S1541" s="106" t="str">
        <f>IFERROR(__xludf.DUMMYFUNCTION("""COMPUTED_VALUE"""),"")</f>
        <v/>
      </c>
      <c r="T1541" s="139" t="str">
        <f>IFERROR(__xludf.DUMMYFUNCTION("""COMPUTED_VALUE"""),"")</f>
        <v/>
      </c>
      <c r="U1541" s="139" t="str">
        <f>IFERROR(__xludf.DUMMYFUNCTION("""COMPUTED_VALUE"""),"")</f>
        <v/>
      </c>
      <c r="V1541" s="136" t="str">
        <f>IFERROR(__xludf.DUMMYFUNCTION("""COMPUTED_VALUE"""),"")</f>
        <v/>
      </c>
      <c r="W1541" s="106" t="str">
        <f>IFERROR(__xludf.DUMMYFUNCTION("""COMPUTED_VALUE"""),"")</f>
        <v/>
      </c>
      <c r="X1541" s="143" t="str">
        <f t="shared" si="2"/>
        <v/>
      </c>
      <c r="Y1541" s="139" t="str">
        <f>IFERROR(__xludf.DUMMYFUNCTION("""COMPUTED_VALUE"""),"")</f>
        <v/>
      </c>
      <c r="Z1541" s="141" t="str">
        <f>IFERROR(__xludf.DUMMYFUNCTION("""COMPUTED_VALUE"""),"")</f>
        <v/>
      </c>
    </row>
    <row r="1542">
      <c r="D1542" s="136" t="str">
        <f t="shared" si="3"/>
        <v/>
      </c>
      <c r="E1542" s="152"/>
      <c r="F1542" s="106" t="s">
        <v>133</v>
      </c>
      <c r="G1542" s="152"/>
      <c r="H1542" s="106" t="s">
        <v>133</v>
      </c>
      <c r="J1542" s="139" t="s">
        <v>133</v>
      </c>
      <c r="K1542" s="136" t="s">
        <v>133</v>
      </c>
      <c r="L1542" s="153"/>
      <c r="M1542" s="136" t="str">
        <f t="shared" si="1"/>
        <v/>
      </c>
      <c r="O1542" s="141" t="s">
        <v>133</v>
      </c>
      <c r="P1542" s="136" t="str">
        <f>IFERROR(__xludf.DUMMYFUNCTION("""COMPUTED_VALUE"""),"")</f>
        <v/>
      </c>
      <c r="Q1542" s="136" t="str">
        <f>IFERROR(__xludf.DUMMYFUNCTION("""COMPUTED_VALUE"""),"")</f>
        <v/>
      </c>
      <c r="R1542" s="106" t="str">
        <f>IFERROR(__xludf.DUMMYFUNCTION("""COMPUTED_VALUE"""),"")</f>
        <v/>
      </c>
      <c r="S1542" s="106" t="str">
        <f>IFERROR(__xludf.DUMMYFUNCTION("""COMPUTED_VALUE"""),"")</f>
        <v/>
      </c>
      <c r="T1542" s="139" t="str">
        <f>IFERROR(__xludf.DUMMYFUNCTION("""COMPUTED_VALUE"""),"")</f>
        <v/>
      </c>
      <c r="U1542" s="139" t="str">
        <f>IFERROR(__xludf.DUMMYFUNCTION("""COMPUTED_VALUE"""),"")</f>
        <v/>
      </c>
      <c r="V1542" s="136" t="str">
        <f>IFERROR(__xludf.DUMMYFUNCTION("""COMPUTED_VALUE"""),"")</f>
        <v/>
      </c>
      <c r="W1542" s="106" t="str">
        <f>IFERROR(__xludf.DUMMYFUNCTION("""COMPUTED_VALUE"""),"")</f>
        <v/>
      </c>
      <c r="X1542" s="143" t="str">
        <f t="shared" si="2"/>
        <v/>
      </c>
      <c r="Y1542" s="139" t="str">
        <f>IFERROR(__xludf.DUMMYFUNCTION("""COMPUTED_VALUE"""),"")</f>
        <v/>
      </c>
      <c r="Z1542" s="141" t="str">
        <f>IFERROR(__xludf.DUMMYFUNCTION("""COMPUTED_VALUE"""),"")</f>
        <v/>
      </c>
    </row>
    <row r="1543">
      <c r="D1543" s="136" t="str">
        <f t="shared" si="3"/>
        <v/>
      </c>
      <c r="E1543" s="152"/>
      <c r="F1543" s="106" t="s">
        <v>133</v>
      </c>
      <c r="G1543" s="152"/>
      <c r="H1543" s="106" t="s">
        <v>133</v>
      </c>
      <c r="J1543" s="139" t="s">
        <v>133</v>
      </c>
      <c r="K1543" s="136" t="s">
        <v>133</v>
      </c>
      <c r="L1543" s="153"/>
      <c r="M1543" s="136" t="str">
        <f t="shared" si="1"/>
        <v/>
      </c>
      <c r="O1543" s="141" t="s">
        <v>133</v>
      </c>
      <c r="P1543" s="136" t="str">
        <f>IFERROR(__xludf.DUMMYFUNCTION("""COMPUTED_VALUE"""),"")</f>
        <v/>
      </c>
      <c r="Q1543" s="136" t="str">
        <f>IFERROR(__xludf.DUMMYFUNCTION("""COMPUTED_VALUE"""),"")</f>
        <v/>
      </c>
      <c r="R1543" s="106" t="str">
        <f>IFERROR(__xludf.DUMMYFUNCTION("""COMPUTED_VALUE"""),"")</f>
        <v/>
      </c>
      <c r="S1543" s="106" t="str">
        <f>IFERROR(__xludf.DUMMYFUNCTION("""COMPUTED_VALUE"""),"")</f>
        <v/>
      </c>
      <c r="T1543" s="139" t="str">
        <f>IFERROR(__xludf.DUMMYFUNCTION("""COMPUTED_VALUE"""),"")</f>
        <v/>
      </c>
      <c r="U1543" s="139" t="str">
        <f>IFERROR(__xludf.DUMMYFUNCTION("""COMPUTED_VALUE"""),"")</f>
        <v/>
      </c>
      <c r="V1543" s="136" t="str">
        <f>IFERROR(__xludf.DUMMYFUNCTION("""COMPUTED_VALUE"""),"")</f>
        <v/>
      </c>
      <c r="W1543" s="106" t="str">
        <f>IFERROR(__xludf.DUMMYFUNCTION("""COMPUTED_VALUE"""),"")</f>
        <v/>
      </c>
      <c r="X1543" s="143" t="str">
        <f t="shared" si="2"/>
        <v/>
      </c>
      <c r="Y1543" s="139" t="str">
        <f>IFERROR(__xludf.DUMMYFUNCTION("""COMPUTED_VALUE"""),"")</f>
        <v/>
      </c>
      <c r="Z1543" s="141" t="str">
        <f>IFERROR(__xludf.DUMMYFUNCTION("""COMPUTED_VALUE"""),"")</f>
        <v/>
      </c>
    </row>
    <row r="1544">
      <c r="D1544" s="136" t="str">
        <f t="shared" si="3"/>
        <v/>
      </c>
      <c r="E1544" s="152"/>
      <c r="F1544" s="106" t="s">
        <v>133</v>
      </c>
      <c r="G1544" s="152"/>
      <c r="H1544" s="106" t="s">
        <v>133</v>
      </c>
      <c r="J1544" s="139" t="s">
        <v>133</v>
      </c>
      <c r="K1544" s="136" t="s">
        <v>133</v>
      </c>
      <c r="L1544" s="153"/>
      <c r="M1544" s="136" t="str">
        <f t="shared" si="1"/>
        <v/>
      </c>
      <c r="O1544" s="141" t="s">
        <v>133</v>
      </c>
      <c r="P1544" s="136" t="str">
        <f>IFERROR(__xludf.DUMMYFUNCTION("""COMPUTED_VALUE"""),"")</f>
        <v/>
      </c>
      <c r="Q1544" s="136" t="str">
        <f>IFERROR(__xludf.DUMMYFUNCTION("""COMPUTED_VALUE"""),"")</f>
        <v/>
      </c>
      <c r="R1544" s="106" t="str">
        <f>IFERROR(__xludf.DUMMYFUNCTION("""COMPUTED_VALUE"""),"")</f>
        <v/>
      </c>
      <c r="S1544" s="106" t="str">
        <f>IFERROR(__xludf.DUMMYFUNCTION("""COMPUTED_VALUE"""),"")</f>
        <v/>
      </c>
      <c r="T1544" s="139" t="str">
        <f>IFERROR(__xludf.DUMMYFUNCTION("""COMPUTED_VALUE"""),"")</f>
        <v/>
      </c>
      <c r="U1544" s="139" t="str">
        <f>IFERROR(__xludf.DUMMYFUNCTION("""COMPUTED_VALUE"""),"")</f>
        <v/>
      </c>
      <c r="V1544" s="136" t="str">
        <f>IFERROR(__xludf.DUMMYFUNCTION("""COMPUTED_VALUE"""),"")</f>
        <v/>
      </c>
      <c r="W1544" s="106" t="str">
        <f>IFERROR(__xludf.DUMMYFUNCTION("""COMPUTED_VALUE"""),"")</f>
        <v/>
      </c>
      <c r="X1544" s="143" t="str">
        <f t="shared" si="2"/>
        <v/>
      </c>
      <c r="Y1544" s="139" t="str">
        <f>IFERROR(__xludf.DUMMYFUNCTION("""COMPUTED_VALUE"""),"")</f>
        <v/>
      </c>
      <c r="Z1544" s="141" t="str">
        <f>IFERROR(__xludf.DUMMYFUNCTION("""COMPUTED_VALUE"""),"")</f>
        <v/>
      </c>
    </row>
    <row r="1545">
      <c r="D1545" s="136" t="str">
        <f t="shared" si="3"/>
        <v/>
      </c>
      <c r="E1545" s="152"/>
      <c r="F1545" s="106" t="s">
        <v>133</v>
      </c>
      <c r="G1545" s="152"/>
      <c r="H1545" s="106" t="s">
        <v>133</v>
      </c>
      <c r="J1545" s="139" t="s">
        <v>133</v>
      </c>
      <c r="K1545" s="136" t="s">
        <v>133</v>
      </c>
      <c r="L1545" s="153"/>
      <c r="M1545" s="136" t="str">
        <f t="shared" si="1"/>
        <v/>
      </c>
      <c r="O1545" s="141" t="s">
        <v>133</v>
      </c>
      <c r="P1545" s="136" t="str">
        <f>IFERROR(__xludf.DUMMYFUNCTION("""COMPUTED_VALUE"""),"")</f>
        <v/>
      </c>
      <c r="Q1545" s="136" t="str">
        <f>IFERROR(__xludf.DUMMYFUNCTION("""COMPUTED_VALUE"""),"")</f>
        <v/>
      </c>
      <c r="R1545" s="106" t="str">
        <f>IFERROR(__xludf.DUMMYFUNCTION("""COMPUTED_VALUE"""),"")</f>
        <v/>
      </c>
      <c r="S1545" s="106" t="str">
        <f>IFERROR(__xludf.DUMMYFUNCTION("""COMPUTED_VALUE"""),"")</f>
        <v/>
      </c>
      <c r="T1545" s="139" t="str">
        <f>IFERROR(__xludf.DUMMYFUNCTION("""COMPUTED_VALUE"""),"")</f>
        <v/>
      </c>
      <c r="U1545" s="139" t="str">
        <f>IFERROR(__xludf.DUMMYFUNCTION("""COMPUTED_VALUE"""),"")</f>
        <v/>
      </c>
      <c r="V1545" s="136" t="str">
        <f>IFERROR(__xludf.DUMMYFUNCTION("""COMPUTED_VALUE"""),"")</f>
        <v/>
      </c>
      <c r="W1545" s="106" t="str">
        <f>IFERROR(__xludf.DUMMYFUNCTION("""COMPUTED_VALUE"""),"")</f>
        <v/>
      </c>
      <c r="X1545" s="143" t="str">
        <f t="shared" si="2"/>
        <v/>
      </c>
      <c r="Y1545" s="139" t="str">
        <f>IFERROR(__xludf.DUMMYFUNCTION("""COMPUTED_VALUE"""),"")</f>
        <v/>
      </c>
      <c r="Z1545" s="141" t="str">
        <f>IFERROR(__xludf.DUMMYFUNCTION("""COMPUTED_VALUE"""),"")</f>
        <v/>
      </c>
    </row>
    <row r="1546">
      <c r="D1546" s="136" t="str">
        <f t="shared" si="3"/>
        <v/>
      </c>
      <c r="E1546" s="152"/>
      <c r="F1546" s="106" t="s">
        <v>133</v>
      </c>
      <c r="G1546" s="152"/>
      <c r="H1546" s="106" t="s">
        <v>133</v>
      </c>
      <c r="J1546" s="139" t="s">
        <v>133</v>
      </c>
      <c r="K1546" s="136" t="s">
        <v>133</v>
      </c>
      <c r="L1546" s="153"/>
      <c r="M1546" s="136" t="str">
        <f t="shared" si="1"/>
        <v/>
      </c>
      <c r="O1546" s="141" t="s">
        <v>133</v>
      </c>
      <c r="P1546" s="136" t="str">
        <f>IFERROR(__xludf.DUMMYFUNCTION("""COMPUTED_VALUE"""),"")</f>
        <v/>
      </c>
      <c r="Q1546" s="136" t="str">
        <f>IFERROR(__xludf.DUMMYFUNCTION("""COMPUTED_VALUE"""),"")</f>
        <v/>
      </c>
      <c r="R1546" s="106" t="str">
        <f>IFERROR(__xludf.DUMMYFUNCTION("""COMPUTED_VALUE"""),"")</f>
        <v/>
      </c>
      <c r="S1546" s="106" t="str">
        <f>IFERROR(__xludf.DUMMYFUNCTION("""COMPUTED_VALUE"""),"")</f>
        <v/>
      </c>
      <c r="T1546" s="139" t="str">
        <f>IFERROR(__xludf.DUMMYFUNCTION("""COMPUTED_VALUE"""),"")</f>
        <v/>
      </c>
      <c r="U1546" s="139" t="str">
        <f>IFERROR(__xludf.DUMMYFUNCTION("""COMPUTED_VALUE"""),"")</f>
        <v/>
      </c>
      <c r="V1546" s="136" t="str">
        <f>IFERROR(__xludf.DUMMYFUNCTION("""COMPUTED_VALUE"""),"")</f>
        <v/>
      </c>
      <c r="W1546" s="106" t="str">
        <f>IFERROR(__xludf.DUMMYFUNCTION("""COMPUTED_VALUE"""),"")</f>
        <v/>
      </c>
      <c r="X1546" s="143" t="str">
        <f t="shared" si="2"/>
        <v/>
      </c>
      <c r="Y1546" s="139" t="str">
        <f>IFERROR(__xludf.DUMMYFUNCTION("""COMPUTED_VALUE"""),"")</f>
        <v/>
      </c>
      <c r="Z1546" s="141" t="str">
        <f>IFERROR(__xludf.DUMMYFUNCTION("""COMPUTED_VALUE"""),"")</f>
        <v/>
      </c>
    </row>
    <row r="1547">
      <c r="D1547" s="136" t="str">
        <f t="shared" si="3"/>
        <v/>
      </c>
      <c r="E1547" s="152"/>
      <c r="F1547" s="106" t="s">
        <v>133</v>
      </c>
      <c r="G1547" s="152"/>
      <c r="H1547" s="106" t="s">
        <v>133</v>
      </c>
      <c r="J1547" s="139" t="s">
        <v>133</v>
      </c>
      <c r="K1547" s="136" t="s">
        <v>133</v>
      </c>
      <c r="L1547" s="153"/>
      <c r="M1547" s="136" t="str">
        <f t="shared" si="1"/>
        <v/>
      </c>
      <c r="O1547" s="141" t="s">
        <v>133</v>
      </c>
      <c r="P1547" s="136" t="str">
        <f>IFERROR(__xludf.DUMMYFUNCTION("""COMPUTED_VALUE"""),"")</f>
        <v/>
      </c>
      <c r="Q1547" s="136" t="str">
        <f>IFERROR(__xludf.DUMMYFUNCTION("""COMPUTED_VALUE"""),"")</f>
        <v/>
      </c>
      <c r="R1547" s="106" t="str">
        <f>IFERROR(__xludf.DUMMYFUNCTION("""COMPUTED_VALUE"""),"")</f>
        <v/>
      </c>
      <c r="S1547" s="106" t="str">
        <f>IFERROR(__xludf.DUMMYFUNCTION("""COMPUTED_VALUE"""),"")</f>
        <v/>
      </c>
      <c r="T1547" s="139" t="str">
        <f>IFERROR(__xludf.DUMMYFUNCTION("""COMPUTED_VALUE"""),"")</f>
        <v/>
      </c>
      <c r="U1547" s="139" t="str">
        <f>IFERROR(__xludf.DUMMYFUNCTION("""COMPUTED_VALUE"""),"")</f>
        <v/>
      </c>
      <c r="V1547" s="136" t="str">
        <f>IFERROR(__xludf.DUMMYFUNCTION("""COMPUTED_VALUE"""),"")</f>
        <v/>
      </c>
      <c r="W1547" s="106" t="str">
        <f>IFERROR(__xludf.DUMMYFUNCTION("""COMPUTED_VALUE"""),"")</f>
        <v/>
      </c>
      <c r="X1547" s="143" t="str">
        <f t="shared" si="2"/>
        <v/>
      </c>
      <c r="Y1547" s="139" t="str">
        <f>IFERROR(__xludf.DUMMYFUNCTION("""COMPUTED_VALUE"""),"")</f>
        <v/>
      </c>
      <c r="Z1547" s="141" t="str">
        <f>IFERROR(__xludf.DUMMYFUNCTION("""COMPUTED_VALUE"""),"")</f>
        <v/>
      </c>
    </row>
    <row r="1548">
      <c r="D1548" s="136" t="str">
        <f t="shared" si="3"/>
        <v/>
      </c>
      <c r="E1548" s="152"/>
      <c r="F1548" s="106" t="s">
        <v>133</v>
      </c>
      <c r="G1548" s="152"/>
      <c r="H1548" s="106" t="s">
        <v>133</v>
      </c>
      <c r="J1548" s="139" t="s">
        <v>133</v>
      </c>
      <c r="K1548" s="136" t="s">
        <v>133</v>
      </c>
      <c r="L1548" s="153"/>
      <c r="M1548" s="136" t="str">
        <f t="shared" si="1"/>
        <v/>
      </c>
      <c r="O1548" s="141" t="s">
        <v>133</v>
      </c>
      <c r="P1548" s="136" t="str">
        <f>IFERROR(__xludf.DUMMYFUNCTION("""COMPUTED_VALUE"""),"")</f>
        <v/>
      </c>
      <c r="Q1548" s="136" t="str">
        <f>IFERROR(__xludf.DUMMYFUNCTION("""COMPUTED_VALUE"""),"")</f>
        <v/>
      </c>
      <c r="R1548" s="106" t="str">
        <f>IFERROR(__xludf.DUMMYFUNCTION("""COMPUTED_VALUE"""),"")</f>
        <v/>
      </c>
      <c r="S1548" s="106" t="str">
        <f>IFERROR(__xludf.DUMMYFUNCTION("""COMPUTED_VALUE"""),"")</f>
        <v/>
      </c>
      <c r="T1548" s="139" t="str">
        <f>IFERROR(__xludf.DUMMYFUNCTION("""COMPUTED_VALUE"""),"")</f>
        <v/>
      </c>
      <c r="U1548" s="139" t="str">
        <f>IFERROR(__xludf.DUMMYFUNCTION("""COMPUTED_VALUE"""),"")</f>
        <v/>
      </c>
      <c r="V1548" s="136" t="str">
        <f>IFERROR(__xludf.DUMMYFUNCTION("""COMPUTED_VALUE"""),"")</f>
        <v/>
      </c>
      <c r="W1548" s="106" t="str">
        <f>IFERROR(__xludf.DUMMYFUNCTION("""COMPUTED_VALUE"""),"")</f>
        <v/>
      </c>
      <c r="X1548" s="143" t="str">
        <f t="shared" si="2"/>
        <v/>
      </c>
      <c r="Y1548" s="139" t="str">
        <f>IFERROR(__xludf.DUMMYFUNCTION("""COMPUTED_VALUE"""),"")</f>
        <v/>
      </c>
      <c r="Z1548" s="141" t="str">
        <f>IFERROR(__xludf.DUMMYFUNCTION("""COMPUTED_VALUE"""),"")</f>
        <v/>
      </c>
    </row>
    <row r="1549">
      <c r="D1549" s="136" t="str">
        <f t="shared" si="3"/>
        <v/>
      </c>
      <c r="E1549" s="152"/>
      <c r="F1549" s="106" t="s">
        <v>133</v>
      </c>
      <c r="G1549" s="152"/>
      <c r="H1549" s="106" t="s">
        <v>133</v>
      </c>
      <c r="J1549" s="139" t="s">
        <v>133</v>
      </c>
      <c r="K1549" s="136" t="s">
        <v>133</v>
      </c>
      <c r="L1549" s="153"/>
      <c r="M1549" s="136" t="str">
        <f t="shared" si="1"/>
        <v/>
      </c>
      <c r="O1549" s="141" t="s">
        <v>133</v>
      </c>
      <c r="P1549" s="136" t="str">
        <f>IFERROR(__xludf.DUMMYFUNCTION("""COMPUTED_VALUE"""),"")</f>
        <v/>
      </c>
      <c r="Q1549" s="136" t="str">
        <f>IFERROR(__xludf.DUMMYFUNCTION("""COMPUTED_VALUE"""),"")</f>
        <v/>
      </c>
      <c r="R1549" s="106" t="str">
        <f>IFERROR(__xludf.DUMMYFUNCTION("""COMPUTED_VALUE"""),"")</f>
        <v/>
      </c>
      <c r="S1549" s="106" t="str">
        <f>IFERROR(__xludf.DUMMYFUNCTION("""COMPUTED_VALUE"""),"")</f>
        <v/>
      </c>
      <c r="T1549" s="139" t="str">
        <f>IFERROR(__xludf.DUMMYFUNCTION("""COMPUTED_VALUE"""),"")</f>
        <v/>
      </c>
      <c r="U1549" s="139" t="str">
        <f>IFERROR(__xludf.DUMMYFUNCTION("""COMPUTED_VALUE"""),"")</f>
        <v/>
      </c>
      <c r="V1549" s="136" t="str">
        <f>IFERROR(__xludf.DUMMYFUNCTION("""COMPUTED_VALUE"""),"")</f>
        <v/>
      </c>
      <c r="W1549" s="106" t="str">
        <f>IFERROR(__xludf.DUMMYFUNCTION("""COMPUTED_VALUE"""),"")</f>
        <v/>
      </c>
      <c r="X1549" s="143" t="str">
        <f t="shared" si="2"/>
        <v/>
      </c>
      <c r="Y1549" s="139" t="str">
        <f>IFERROR(__xludf.DUMMYFUNCTION("""COMPUTED_VALUE"""),"")</f>
        <v/>
      </c>
      <c r="Z1549" s="141" t="str">
        <f>IFERROR(__xludf.DUMMYFUNCTION("""COMPUTED_VALUE"""),"")</f>
        <v/>
      </c>
    </row>
    <row r="1550">
      <c r="D1550" s="136" t="str">
        <f t="shared" si="3"/>
        <v/>
      </c>
      <c r="E1550" s="152"/>
      <c r="F1550" s="106" t="s">
        <v>133</v>
      </c>
      <c r="G1550" s="152"/>
      <c r="H1550" s="106" t="s">
        <v>133</v>
      </c>
      <c r="J1550" s="139" t="s">
        <v>133</v>
      </c>
      <c r="K1550" s="136" t="s">
        <v>133</v>
      </c>
      <c r="L1550" s="153"/>
      <c r="M1550" s="136" t="str">
        <f t="shared" si="1"/>
        <v/>
      </c>
      <c r="O1550" s="141" t="s">
        <v>133</v>
      </c>
      <c r="P1550" s="136" t="str">
        <f>IFERROR(__xludf.DUMMYFUNCTION("""COMPUTED_VALUE"""),"")</f>
        <v/>
      </c>
      <c r="Q1550" s="136" t="str">
        <f>IFERROR(__xludf.DUMMYFUNCTION("""COMPUTED_VALUE"""),"")</f>
        <v/>
      </c>
      <c r="R1550" s="106" t="str">
        <f>IFERROR(__xludf.DUMMYFUNCTION("""COMPUTED_VALUE"""),"")</f>
        <v/>
      </c>
      <c r="S1550" s="106" t="str">
        <f>IFERROR(__xludf.DUMMYFUNCTION("""COMPUTED_VALUE"""),"")</f>
        <v/>
      </c>
      <c r="T1550" s="139" t="str">
        <f>IFERROR(__xludf.DUMMYFUNCTION("""COMPUTED_VALUE"""),"")</f>
        <v/>
      </c>
      <c r="U1550" s="139" t="str">
        <f>IFERROR(__xludf.DUMMYFUNCTION("""COMPUTED_VALUE"""),"")</f>
        <v/>
      </c>
      <c r="V1550" s="136" t="str">
        <f>IFERROR(__xludf.DUMMYFUNCTION("""COMPUTED_VALUE"""),"")</f>
        <v/>
      </c>
      <c r="W1550" s="106" t="str">
        <f>IFERROR(__xludf.DUMMYFUNCTION("""COMPUTED_VALUE"""),"")</f>
        <v/>
      </c>
      <c r="X1550" s="143" t="str">
        <f t="shared" si="2"/>
        <v/>
      </c>
      <c r="Y1550" s="139" t="str">
        <f>IFERROR(__xludf.DUMMYFUNCTION("""COMPUTED_VALUE"""),"")</f>
        <v/>
      </c>
      <c r="Z1550" s="141" t="str">
        <f>IFERROR(__xludf.DUMMYFUNCTION("""COMPUTED_VALUE"""),"")</f>
        <v/>
      </c>
    </row>
    <row r="1551">
      <c r="D1551" s="136" t="str">
        <f t="shared" si="3"/>
        <v/>
      </c>
      <c r="E1551" s="152"/>
      <c r="F1551" s="106" t="s">
        <v>133</v>
      </c>
      <c r="G1551" s="152"/>
      <c r="H1551" s="106" t="s">
        <v>133</v>
      </c>
      <c r="J1551" s="139" t="s">
        <v>133</v>
      </c>
      <c r="K1551" s="136" t="s">
        <v>133</v>
      </c>
      <c r="L1551" s="153"/>
      <c r="M1551" s="136" t="str">
        <f t="shared" si="1"/>
        <v/>
      </c>
      <c r="O1551" s="141" t="s">
        <v>133</v>
      </c>
      <c r="P1551" s="136" t="str">
        <f>IFERROR(__xludf.DUMMYFUNCTION("""COMPUTED_VALUE"""),"")</f>
        <v/>
      </c>
      <c r="Q1551" s="136" t="str">
        <f>IFERROR(__xludf.DUMMYFUNCTION("""COMPUTED_VALUE"""),"")</f>
        <v/>
      </c>
      <c r="R1551" s="106" t="str">
        <f>IFERROR(__xludf.DUMMYFUNCTION("""COMPUTED_VALUE"""),"")</f>
        <v/>
      </c>
      <c r="S1551" s="106" t="str">
        <f>IFERROR(__xludf.DUMMYFUNCTION("""COMPUTED_VALUE"""),"")</f>
        <v/>
      </c>
      <c r="T1551" s="139" t="str">
        <f>IFERROR(__xludf.DUMMYFUNCTION("""COMPUTED_VALUE"""),"")</f>
        <v/>
      </c>
      <c r="U1551" s="139" t="str">
        <f>IFERROR(__xludf.DUMMYFUNCTION("""COMPUTED_VALUE"""),"")</f>
        <v/>
      </c>
      <c r="V1551" s="136" t="str">
        <f>IFERROR(__xludf.DUMMYFUNCTION("""COMPUTED_VALUE"""),"")</f>
        <v/>
      </c>
      <c r="W1551" s="106" t="str">
        <f>IFERROR(__xludf.DUMMYFUNCTION("""COMPUTED_VALUE"""),"")</f>
        <v/>
      </c>
      <c r="X1551" s="143" t="str">
        <f t="shared" si="2"/>
        <v/>
      </c>
      <c r="Y1551" s="139" t="str">
        <f>IFERROR(__xludf.DUMMYFUNCTION("""COMPUTED_VALUE"""),"")</f>
        <v/>
      </c>
      <c r="Z1551" s="141" t="str">
        <f>IFERROR(__xludf.DUMMYFUNCTION("""COMPUTED_VALUE"""),"")</f>
        <v/>
      </c>
    </row>
    <row r="1552">
      <c r="D1552" s="136" t="str">
        <f t="shared" si="3"/>
        <v/>
      </c>
      <c r="E1552" s="152"/>
      <c r="F1552" s="106" t="s">
        <v>133</v>
      </c>
      <c r="G1552" s="152"/>
      <c r="H1552" s="106" t="s">
        <v>133</v>
      </c>
      <c r="J1552" s="139" t="s">
        <v>133</v>
      </c>
      <c r="K1552" s="136" t="s">
        <v>133</v>
      </c>
      <c r="L1552" s="153"/>
      <c r="M1552" s="136" t="str">
        <f t="shared" si="1"/>
        <v/>
      </c>
      <c r="O1552" s="141" t="s">
        <v>133</v>
      </c>
      <c r="P1552" s="136" t="str">
        <f>IFERROR(__xludf.DUMMYFUNCTION("""COMPUTED_VALUE"""),"")</f>
        <v/>
      </c>
      <c r="Q1552" s="136" t="str">
        <f>IFERROR(__xludf.DUMMYFUNCTION("""COMPUTED_VALUE"""),"")</f>
        <v/>
      </c>
      <c r="R1552" s="106" t="str">
        <f>IFERROR(__xludf.DUMMYFUNCTION("""COMPUTED_VALUE"""),"")</f>
        <v/>
      </c>
      <c r="S1552" s="106" t="str">
        <f>IFERROR(__xludf.DUMMYFUNCTION("""COMPUTED_VALUE"""),"")</f>
        <v/>
      </c>
      <c r="T1552" s="139" t="str">
        <f>IFERROR(__xludf.DUMMYFUNCTION("""COMPUTED_VALUE"""),"")</f>
        <v/>
      </c>
      <c r="U1552" s="139" t="str">
        <f>IFERROR(__xludf.DUMMYFUNCTION("""COMPUTED_VALUE"""),"")</f>
        <v/>
      </c>
      <c r="V1552" s="136" t="str">
        <f>IFERROR(__xludf.DUMMYFUNCTION("""COMPUTED_VALUE"""),"")</f>
        <v/>
      </c>
      <c r="W1552" s="106" t="str">
        <f>IFERROR(__xludf.DUMMYFUNCTION("""COMPUTED_VALUE"""),"")</f>
        <v/>
      </c>
      <c r="X1552" s="143" t="str">
        <f t="shared" si="2"/>
        <v/>
      </c>
      <c r="Y1552" s="139" t="str">
        <f>IFERROR(__xludf.DUMMYFUNCTION("""COMPUTED_VALUE"""),"")</f>
        <v/>
      </c>
      <c r="Z1552" s="141" t="str">
        <f>IFERROR(__xludf.DUMMYFUNCTION("""COMPUTED_VALUE"""),"")</f>
        <v/>
      </c>
    </row>
    <row r="1553">
      <c r="D1553" s="136" t="str">
        <f t="shared" si="3"/>
        <v/>
      </c>
      <c r="E1553" s="152"/>
      <c r="F1553" s="106" t="s">
        <v>133</v>
      </c>
      <c r="G1553" s="152"/>
      <c r="H1553" s="106" t="s">
        <v>133</v>
      </c>
      <c r="J1553" s="139" t="s">
        <v>133</v>
      </c>
      <c r="K1553" s="136" t="s">
        <v>133</v>
      </c>
      <c r="L1553" s="153"/>
      <c r="M1553" s="136" t="str">
        <f t="shared" si="1"/>
        <v/>
      </c>
      <c r="O1553" s="141" t="s">
        <v>133</v>
      </c>
      <c r="P1553" s="136" t="str">
        <f>IFERROR(__xludf.DUMMYFUNCTION("""COMPUTED_VALUE"""),"")</f>
        <v/>
      </c>
      <c r="Q1553" s="136" t="str">
        <f>IFERROR(__xludf.DUMMYFUNCTION("""COMPUTED_VALUE"""),"")</f>
        <v/>
      </c>
      <c r="R1553" s="106" t="str">
        <f>IFERROR(__xludf.DUMMYFUNCTION("""COMPUTED_VALUE"""),"")</f>
        <v/>
      </c>
      <c r="S1553" s="106" t="str">
        <f>IFERROR(__xludf.DUMMYFUNCTION("""COMPUTED_VALUE"""),"")</f>
        <v/>
      </c>
      <c r="T1553" s="139" t="str">
        <f>IFERROR(__xludf.DUMMYFUNCTION("""COMPUTED_VALUE"""),"")</f>
        <v/>
      </c>
      <c r="U1553" s="139" t="str">
        <f>IFERROR(__xludf.DUMMYFUNCTION("""COMPUTED_VALUE"""),"")</f>
        <v/>
      </c>
      <c r="V1553" s="136" t="str">
        <f>IFERROR(__xludf.DUMMYFUNCTION("""COMPUTED_VALUE"""),"")</f>
        <v/>
      </c>
      <c r="W1553" s="106" t="str">
        <f>IFERROR(__xludf.DUMMYFUNCTION("""COMPUTED_VALUE"""),"")</f>
        <v/>
      </c>
      <c r="X1553" s="143" t="str">
        <f t="shared" si="2"/>
        <v/>
      </c>
      <c r="Y1553" s="139" t="str">
        <f>IFERROR(__xludf.DUMMYFUNCTION("""COMPUTED_VALUE"""),"")</f>
        <v/>
      </c>
      <c r="Z1553" s="141" t="str">
        <f>IFERROR(__xludf.DUMMYFUNCTION("""COMPUTED_VALUE"""),"")</f>
        <v/>
      </c>
    </row>
    <row r="1554">
      <c r="D1554" s="136" t="str">
        <f t="shared" si="3"/>
        <v/>
      </c>
      <c r="E1554" s="152"/>
      <c r="F1554" s="106" t="s">
        <v>133</v>
      </c>
      <c r="G1554" s="152"/>
      <c r="H1554" s="106" t="s">
        <v>133</v>
      </c>
      <c r="J1554" s="139" t="s">
        <v>133</v>
      </c>
      <c r="K1554" s="136" t="s">
        <v>133</v>
      </c>
      <c r="L1554" s="153"/>
      <c r="M1554" s="136" t="str">
        <f t="shared" si="1"/>
        <v/>
      </c>
      <c r="O1554" s="141" t="s">
        <v>133</v>
      </c>
      <c r="P1554" s="136" t="str">
        <f>IFERROR(__xludf.DUMMYFUNCTION("""COMPUTED_VALUE"""),"")</f>
        <v/>
      </c>
      <c r="Q1554" s="136" t="str">
        <f>IFERROR(__xludf.DUMMYFUNCTION("""COMPUTED_VALUE"""),"")</f>
        <v/>
      </c>
      <c r="R1554" s="106" t="str">
        <f>IFERROR(__xludf.DUMMYFUNCTION("""COMPUTED_VALUE"""),"")</f>
        <v/>
      </c>
      <c r="S1554" s="106" t="str">
        <f>IFERROR(__xludf.DUMMYFUNCTION("""COMPUTED_VALUE"""),"")</f>
        <v/>
      </c>
      <c r="T1554" s="139" t="str">
        <f>IFERROR(__xludf.DUMMYFUNCTION("""COMPUTED_VALUE"""),"")</f>
        <v/>
      </c>
      <c r="U1554" s="139" t="str">
        <f>IFERROR(__xludf.DUMMYFUNCTION("""COMPUTED_VALUE"""),"")</f>
        <v/>
      </c>
      <c r="V1554" s="136" t="str">
        <f>IFERROR(__xludf.DUMMYFUNCTION("""COMPUTED_VALUE"""),"")</f>
        <v/>
      </c>
      <c r="W1554" s="106" t="str">
        <f>IFERROR(__xludf.DUMMYFUNCTION("""COMPUTED_VALUE"""),"")</f>
        <v/>
      </c>
      <c r="X1554" s="143" t="str">
        <f t="shared" si="2"/>
        <v/>
      </c>
      <c r="Y1554" s="139" t="str">
        <f>IFERROR(__xludf.DUMMYFUNCTION("""COMPUTED_VALUE"""),"")</f>
        <v/>
      </c>
      <c r="Z1554" s="141" t="str">
        <f>IFERROR(__xludf.DUMMYFUNCTION("""COMPUTED_VALUE"""),"")</f>
        <v/>
      </c>
    </row>
    <row r="1555">
      <c r="D1555" s="136" t="str">
        <f t="shared" si="3"/>
        <v/>
      </c>
      <c r="E1555" s="152"/>
      <c r="F1555" s="106" t="s">
        <v>133</v>
      </c>
      <c r="G1555" s="152"/>
      <c r="H1555" s="106" t="s">
        <v>133</v>
      </c>
      <c r="J1555" s="139" t="s">
        <v>133</v>
      </c>
      <c r="K1555" s="136" t="s">
        <v>133</v>
      </c>
      <c r="L1555" s="153"/>
      <c r="M1555" s="136" t="str">
        <f t="shared" si="1"/>
        <v/>
      </c>
      <c r="O1555" s="141" t="s">
        <v>133</v>
      </c>
      <c r="P1555" s="136" t="str">
        <f>IFERROR(__xludf.DUMMYFUNCTION("""COMPUTED_VALUE"""),"")</f>
        <v/>
      </c>
      <c r="Q1555" s="136" t="str">
        <f>IFERROR(__xludf.DUMMYFUNCTION("""COMPUTED_VALUE"""),"")</f>
        <v/>
      </c>
      <c r="R1555" s="106" t="str">
        <f>IFERROR(__xludf.DUMMYFUNCTION("""COMPUTED_VALUE"""),"")</f>
        <v/>
      </c>
      <c r="S1555" s="106" t="str">
        <f>IFERROR(__xludf.DUMMYFUNCTION("""COMPUTED_VALUE"""),"")</f>
        <v/>
      </c>
      <c r="T1555" s="139" t="str">
        <f>IFERROR(__xludf.DUMMYFUNCTION("""COMPUTED_VALUE"""),"")</f>
        <v/>
      </c>
      <c r="U1555" s="139" t="str">
        <f>IFERROR(__xludf.DUMMYFUNCTION("""COMPUTED_VALUE"""),"")</f>
        <v/>
      </c>
      <c r="V1555" s="136" t="str">
        <f>IFERROR(__xludf.DUMMYFUNCTION("""COMPUTED_VALUE"""),"")</f>
        <v/>
      </c>
      <c r="W1555" s="106" t="str">
        <f>IFERROR(__xludf.DUMMYFUNCTION("""COMPUTED_VALUE"""),"")</f>
        <v/>
      </c>
      <c r="X1555" s="143" t="str">
        <f t="shared" si="2"/>
        <v/>
      </c>
      <c r="Y1555" s="139" t="str">
        <f>IFERROR(__xludf.DUMMYFUNCTION("""COMPUTED_VALUE"""),"")</f>
        <v/>
      </c>
      <c r="Z1555" s="141" t="str">
        <f>IFERROR(__xludf.DUMMYFUNCTION("""COMPUTED_VALUE"""),"")</f>
        <v/>
      </c>
    </row>
    <row r="1556">
      <c r="D1556" s="136" t="str">
        <f t="shared" si="3"/>
        <v/>
      </c>
      <c r="E1556" s="152"/>
      <c r="F1556" s="106" t="s">
        <v>133</v>
      </c>
      <c r="G1556" s="152"/>
      <c r="H1556" s="106" t="s">
        <v>133</v>
      </c>
      <c r="J1556" s="139" t="s">
        <v>133</v>
      </c>
      <c r="K1556" s="136" t="s">
        <v>133</v>
      </c>
      <c r="L1556" s="153"/>
      <c r="M1556" s="136" t="str">
        <f t="shared" si="1"/>
        <v/>
      </c>
      <c r="O1556" s="141" t="s">
        <v>133</v>
      </c>
      <c r="P1556" s="136" t="str">
        <f>IFERROR(__xludf.DUMMYFUNCTION("""COMPUTED_VALUE"""),"")</f>
        <v/>
      </c>
      <c r="Q1556" s="136" t="str">
        <f>IFERROR(__xludf.DUMMYFUNCTION("""COMPUTED_VALUE"""),"")</f>
        <v/>
      </c>
      <c r="R1556" s="106" t="str">
        <f>IFERROR(__xludf.DUMMYFUNCTION("""COMPUTED_VALUE"""),"")</f>
        <v/>
      </c>
      <c r="S1556" s="106" t="str">
        <f>IFERROR(__xludf.DUMMYFUNCTION("""COMPUTED_VALUE"""),"")</f>
        <v/>
      </c>
      <c r="T1556" s="139" t="str">
        <f>IFERROR(__xludf.DUMMYFUNCTION("""COMPUTED_VALUE"""),"")</f>
        <v/>
      </c>
      <c r="U1556" s="139" t="str">
        <f>IFERROR(__xludf.DUMMYFUNCTION("""COMPUTED_VALUE"""),"")</f>
        <v/>
      </c>
      <c r="V1556" s="136" t="str">
        <f>IFERROR(__xludf.DUMMYFUNCTION("""COMPUTED_VALUE"""),"")</f>
        <v/>
      </c>
      <c r="W1556" s="106" t="str">
        <f>IFERROR(__xludf.DUMMYFUNCTION("""COMPUTED_VALUE"""),"")</f>
        <v/>
      </c>
      <c r="X1556" s="143" t="str">
        <f t="shared" si="2"/>
        <v/>
      </c>
      <c r="Y1556" s="139" t="str">
        <f>IFERROR(__xludf.DUMMYFUNCTION("""COMPUTED_VALUE"""),"")</f>
        <v/>
      </c>
      <c r="Z1556" s="141" t="str">
        <f>IFERROR(__xludf.DUMMYFUNCTION("""COMPUTED_VALUE"""),"")</f>
        <v/>
      </c>
    </row>
    <row r="1557">
      <c r="D1557" s="136" t="str">
        <f t="shared" si="3"/>
        <v/>
      </c>
      <c r="E1557" s="152"/>
      <c r="F1557" s="106" t="s">
        <v>133</v>
      </c>
      <c r="G1557" s="152"/>
      <c r="H1557" s="106" t="s">
        <v>133</v>
      </c>
      <c r="J1557" s="139" t="s">
        <v>133</v>
      </c>
      <c r="K1557" s="136" t="s">
        <v>133</v>
      </c>
      <c r="L1557" s="153"/>
      <c r="M1557" s="136" t="str">
        <f t="shared" si="1"/>
        <v/>
      </c>
      <c r="O1557" s="141" t="s">
        <v>133</v>
      </c>
      <c r="P1557" s="136" t="str">
        <f>IFERROR(__xludf.DUMMYFUNCTION("""COMPUTED_VALUE"""),"")</f>
        <v/>
      </c>
      <c r="Q1557" s="136" t="str">
        <f>IFERROR(__xludf.DUMMYFUNCTION("""COMPUTED_VALUE"""),"")</f>
        <v/>
      </c>
      <c r="R1557" s="106" t="str">
        <f>IFERROR(__xludf.DUMMYFUNCTION("""COMPUTED_VALUE"""),"")</f>
        <v/>
      </c>
      <c r="S1557" s="106" t="str">
        <f>IFERROR(__xludf.DUMMYFUNCTION("""COMPUTED_VALUE"""),"")</f>
        <v/>
      </c>
      <c r="T1557" s="139" t="str">
        <f>IFERROR(__xludf.DUMMYFUNCTION("""COMPUTED_VALUE"""),"")</f>
        <v/>
      </c>
      <c r="U1557" s="139" t="str">
        <f>IFERROR(__xludf.DUMMYFUNCTION("""COMPUTED_VALUE"""),"")</f>
        <v/>
      </c>
      <c r="V1557" s="136" t="str">
        <f>IFERROR(__xludf.DUMMYFUNCTION("""COMPUTED_VALUE"""),"")</f>
        <v/>
      </c>
      <c r="W1557" s="106" t="str">
        <f>IFERROR(__xludf.DUMMYFUNCTION("""COMPUTED_VALUE"""),"")</f>
        <v/>
      </c>
      <c r="X1557" s="143" t="str">
        <f t="shared" si="2"/>
        <v/>
      </c>
      <c r="Y1557" s="139" t="str">
        <f>IFERROR(__xludf.DUMMYFUNCTION("""COMPUTED_VALUE"""),"")</f>
        <v/>
      </c>
      <c r="Z1557" s="141" t="str">
        <f>IFERROR(__xludf.DUMMYFUNCTION("""COMPUTED_VALUE"""),"")</f>
        <v/>
      </c>
    </row>
    <row r="1558">
      <c r="D1558" s="136" t="str">
        <f t="shared" si="3"/>
        <v/>
      </c>
      <c r="E1558" s="152"/>
      <c r="F1558" s="106" t="s">
        <v>133</v>
      </c>
      <c r="G1558" s="152"/>
      <c r="H1558" s="106" t="s">
        <v>133</v>
      </c>
      <c r="J1558" s="139" t="s">
        <v>133</v>
      </c>
      <c r="K1558" s="136" t="s">
        <v>133</v>
      </c>
      <c r="L1558" s="153"/>
      <c r="M1558" s="136" t="str">
        <f t="shared" si="1"/>
        <v/>
      </c>
      <c r="O1558" s="141" t="s">
        <v>133</v>
      </c>
      <c r="P1558" s="136" t="str">
        <f>IFERROR(__xludf.DUMMYFUNCTION("""COMPUTED_VALUE"""),"")</f>
        <v/>
      </c>
      <c r="Q1558" s="136" t="str">
        <f>IFERROR(__xludf.DUMMYFUNCTION("""COMPUTED_VALUE"""),"")</f>
        <v/>
      </c>
      <c r="R1558" s="106" t="str">
        <f>IFERROR(__xludf.DUMMYFUNCTION("""COMPUTED_VALUE"""),"")</f>
        <v/>
      </c>
      <c r="S1558" s="106" t="str">
        <f>IFERROR(__xludf.DUMMYFUNCTION("""COMPUTED_VALUE"""),"")</f>
        <v/>
      </c>
      <c r="T1558" s="139" t="str">
        <f>IFERROR(__xludf.DUMMYFUNCTION("""COMPUTED_VALUE"""),"")</f>
        <v/>
      </c>
      <c r="U1558" s="139" t="str">
        <f>IFERROR(__xludf.DUMMYFUNCTION("""COMPUTED_VALUE"""),"")</f>
        <v/>
      </c>
      <c r="V1558" s="136" t="str">
        <f>IFERROR(__xludf.DUMMYFUNCTION("""COMPUTED_VALUE"""),"")</f>
        <v/>
      </c>
      <c r="W1558" s="106" t="str">
        <f>IFERROR(__xludf.DUMMYFUNCTION("""COMPUTED_VALUE"""),"")</f>
        <v/>
      </c>
      <c r="X1558" s="143" t="str">
        <f t="shared" si="2"/>
        <v/>
      </c>
      <c r="Y1558" s="139" t="str">
        <f>IFERROR(__xludf.DUMMYFUNCTION("""COMPUTED_VALUE"""),"")</f>
        <v/>
      </c>
      <c r="Z1558" s="141" t="str">
        <f>IFERROR(__xludf.DUMMYFUNCTION("""COMPUTED_VALUE"""),"")</f>
        <v/>
      </c>
    </row>
    <row r="1559">
      <c r="D1559" s="136" t="str">
        <f t="shared" si="3"/>
        <v/>
      </c>
      <c r="E1559" s="152"/>
      <c r="F1559" s="106" t="s">
        <v>133</v>
      </c>
      <c r="G1559" s="152"/>
      <c r="H1559" s="106" t="s">
        <v>133</v>
      </c>
      <c r="J1559" s="139" t="s">
        <v>133</v>
      </c>
      <c r="K1559" s="136" t="s">
        <v>133</v>
      </c>
      <c r="L1559" s="153"/>
      <c r="M1559" s="136" t="str">
        <f t="shared" si="1"/>
        <v/>
      </c>
      <c r="O1559" s="141" t="s">
        <v>133</v>
      </c>
      <c r="P1559" s="136" t="str">
        <f>IFERROR(__xludf.DUMMYFUNCTION("""COMPUTED_VALUE"""),"")</f>
        <v/>
      </c>
      <c r="Q1559" s="136" t="str">
        <f>IFERROR(__xludf.DUMMYFUNCTION("""COMPUTED_VALUE"""),"")</f>
        <v/>
      </c>
      <c r="R1559" s="106" t="str">
        <f>IFERROR(__xludf.DUMMYFUNCTION("""COMPUTED_VALUE"""),"")</f>
        <v/>
      </c>
      <c r="S1559" s="106" t="str">
        <f>IFERROR(__xludf.DUMMYFUNCTION("""COMPUTED_VALUE"""),"")</f>
        <v/>
      </c>
      <c r="T1559" s="139" t="str">
        <f>IFERROR(__xludf.DUMMYFUNCTION("""COMPUTED_VALUE"""),"")</f>
        <v/>
      </c>
      <c r="U1559" s="139" t="str">
        <f>IFERROR(__xludf.DUMMYFUNCTION("""COMPUTED_VALUE"""),"")</f>
        <v/>
      </c>
      <c r="V1559" s="136" t="str">
        <f>IFERROR(__xludf.DUMMYFUNCTION("""COMPUTED_VALUE"""),"")</f>
        <v/>
      </c>
      <c r="W1559" s="106" t="str">
        <f>IFERROR(__xludf.DUMMYFUNCTION("""COMPUTED_VALUE"""),"")</f>
        <v/>
      </c>
      <c r="X1559" s="143" t="str">
        <f t="shared" si="2"/>
        <v/>
      </c>
      <c r="Y1559" s="139" t="str">
        <f>IFERROR(__xludf.DUMMYFUNCTION("""COMPUTED_VALUE"""),"")</f>
        <v/>
      </c>
      <c r="Z1559" s="141" t="str">
        <f>IFERROR(__xludf.DUMMYFUNCTION("""COMPUTED_VALUE"""),"")</f>
        <v/>
      </c>
    </row>
    <row r="1560">
      <c r="D1560" s="136" t="str">
        <f t="shared" si="3"/>
        <v/>
      </c>
      <c r="E1560" s="152"/>
      <c r="F1560" s="106" t="s">
        <v>133</v>
      </c>
      <c r="G1560" s="152"/>
      <c r="H1560" s="106" t="s">
        <v>133</v>
      </c>
      <c r="J1560" s="139" t="s">
        <v>133</v>
      </c>
      <c r="K1560" s="136" t="s">
        <v>133</v>
      </c>
      <c r="L1560" s="153"/>
      <c r="M1560" s="136" t="str">
        <f t="shared" si="1"/>
        <v/>
      </c>
      <c r="O1560" s="141" t="s">
        <v>133</v>
      </c>
      <c r="P1560" s="136" t="str">
        <f>IFERROR(__xludf.DUMMYFUNCTION("""COMPUTED_VALUE"""),"")</f>
        <v/>
      </c>
      <c r="Q1560" s="136" t="str">
        <f>IFERROR(__xludf.DUMMYFUNCTION("""COMPUTED_VALUE"""),"")</f>
        <v/>
      </c>
      <c r="R1560" s="106" t="str">
        <f>IFERROR(__xludf.DUMMYFUNCTION("""COMPUTED_VALUE"""),"")</f>
        <v/>
      </c>
      <c r="S1560" s="106" t="str">
        <f>IFERROR(__xludf.DUMMYFUNCTION("""COMPUTED_VALUE"""),"")</f>
        <v/>
      </c>
      <c r="T1560" s="139" t="str">
        <f>IFERROR(__xludf.DUMMYFUNCTION("""COMPUTED_VALUE"""),"")</f>
        <v/>
      </c>
      <c r="U1560" s="139" t="str">
        <f>IFERROR(__xludf.DUMMYFUNCTION("""COMPUTED_VALUE"""),"")</f>
        <v/>
      </c>
      <c r="V1560" s="136" t="str">
        <f>IFERROR(__xludf.DUMMYFUNCTION("""COMPUTED_VALUE"""),"")</f>
        <v/>
      </c>
      <c r="W1560" s="106" t="str">
        <f>IFERROR(__xludf.DUMMYFUNCTION("""COMPUTED_VALUE"""),"")</f>
        <v/>
      </c>
      <c r="X1560" s="143" t="str">
        <f t="shared" si="2"/>
        <v/>
      </c>
      <c r="Y1560" s="139" t="str">
        <f>IFERROR(__xludf.DUMMYFUNCTION("""COMPUTED_VALUE"""),"")</f>
        <v/>
      </c>
      <c r="Z1560" s="141" t="str">
        <f>IFERROR(__xludf.DUMMYFUNCTION("""COMPUTED_VALUE"""),"")</f>
        <v/>
      </c>
    </row>
    <row r="1561">
      <c r="D1561" s="136" t="str">
        <f t="shared" si="3"/>
        <v/>
      </c>
      <c r="E1561" s="152"/>
      <c r="F1561" s="106" t="s">
        <v>133</v>
      </c>
      <c r="G1561" s="152"/>
      <c r="H1561" s="106" t="s">
        <v>133</v>
      </c>
      <c r="J1561" s="139" t="s">
        <v>133</v>
      </c>
      <c r="K1561" s="136" t="s">
        <v>133</v>
      </c>
      <c r="L1561" s="153"/>
      <c r="M1561" s="136" t="str">
        <f t="shared" si="1"/>
        <v/>
      </c>
      <c r="O1561" s="141" t="s">
        <v>133</v>
      </c>
      <c r="P1561" s="136" t="str">
        <f>IFERROR(__xludf.DUMMYFUNCTION("""COMPUTED_VALUE"""),"")</f>
        <v/>
      </c>
      <c r="Q1561" s="136" t="str">
        <f>IFERROR(__xludf.DUMMYFUNCTION("""COMPUTED_VALUE"""),"")</f>
        <v/>
      </c>
      <c r="R1561" s="106" t="str">
        <f>IFERROR(__xludf.DUMMYFUNCTION("""COMPUTED_VALUE"""),"")</f>
        <v/>
      </c>
      <c r="S1561" s="106" t="str">
        <f>IFERROR(__xludf.DUMMYFUNCTION("""COMPUTED_VALUE"""),"")</f>
        <v/>
      </c>
      <c r="T1561" s="139" t="str">
        <f>IFERROR(__xludf.DUMMYFUNCTION("""COMPUTED_VALUE"""),"")</f>
        <v/>
      </c>
      <c r="U1561" s="139" t="str">
        <f>IFERROR(__xludf.DUMMYFUNCTION("""COMPUTED_VALUE"""),"")</f>
        <v/>
      </c>
      <c r="V1561" s="136" t="str">
        <f>IFERROR(__xludf.DUMMYFUNCTION("""COMPUTED_VALUE"""),"")</f>
        <v/>
      </c>
      <c r="W1561" s="106" t="str">
        <f>IFERROR(__xludf.DUMMYFUNCTION("""COMPUTED_VALUE"""),"")</f>
        <v/>
      </c>
      <c r="X1561" s="143" t="str">
        <f t="shared" si="2"/>
        <v/>
      </c>
      <c r="Y1561" s="139" t="str">
        <f>IFERROR(__xludf.DUMMYFUNCTION("""COMPUTED_VALUE"""),"")</f>
        <v/>
      </c>
      <c r="Z1561" s="141" t="str">
        <f>IFERROR(__xludf.DUMMYFUNCTION("""COMPUTED_VALUE"""),"")</f>
        <v/>
      </c>
    </row>
    <row r="1562">
      <c r="D1562" s="136" t="str">
        <f t="shared" si="3"/>
        <v/>
      </c>
      <c r="E1562" s="152"/>
      <c r="F1562" s="106" t="s">
        <v>133</v>
      </c>
      <c r="G1562" s="152"/>
      <c r="H1562" s="106" t="s">
        <v>133</v>
      </c>
      <c r="J1562" s="139" t="s">
        <v>133</v>
      </c>
      <c r="K1562" s="136" t="s">
        <v>133</v>
      </c>
      <c r="L1562" s="153"/>
      <c r="M1562" s="136" t="str">
        <f t="shared" si="1"/>
        <v/>
      </c>
      <c r="O1562" s="141" t="s">
        <v>133</v>
      </c>
      <c r="P1562" s="136" t="str">
        <f>IFERROR(__xludf.DUMMYFUNCTION("""COMPUTED_VALUE"""),"")</f>
        <v/>
      </c>
      <c r="Q1562" s="136" t="str">
        <f>IFERROR(__xludf.DUMMYFUNCTION("""COMPUTED_VALUE"""),"")</f>
        <v/>
      </c>
      <c r="R1562" s="106" t="str">
        <f>IFERROR(__xludf.DUMMYFUNCTION("""COMPUTED_VALUE"""),"")</f>
        <v/>
      </c>
      <c r="S1562" s="106" t="str">
        <f>IFERROR(__xludf.DUMMYFUNCTION("""COMPUTED_VALUE"""),"")</f>
        <v/>
      </c>
      <c r="T1562" s="139" t="str">
        <f>IFERROR(__xludf.DUMMYFUNCTION("""COMPUTED_VALUE"""),"")</f>
        <v/>
      </c>
      <c r="U1562" s="139" t="str">
        <f>IFERROR(__xludf.DUMMYFUNCTION("""COMPUTED_VALUE"""),"")</f>
        <v/>
      </c>
      <c r="V1562" s="136" t="str">
        <f>IFERROR(__xludf.DUMMYFUNCTION("""COMPUTED_VALUE"""),"")</f>
        <v/>
      </c>
      <c r="W1562" s="106" t="str">
        <f>IFERROR(__xludf.DUMMYFUNCTION("""COMPUTED_VALUE"""),"")</f>
        <v/>
      </c>
      <c r="X1562" s="143" t="str">
        <f t="shared" si="2"/>
        <v/>
      </c>
      <c r="Y1562" s="139" t="str">
        <f>IFERROR(__xludf.DUMMYFUNCTION("""COMPUTED_VALUE"""),"")</f>
        <v/>
      </c>
      <c r="Z1562" s="141" t="str">
        <f>IFERROR(__xludf.DUMMYFUNCTION("""COMPUTED_VALUE"""),"")</f>
        <v/>
      </c>
    </row>
    <row r="1563">
      <c r="D1563" s="136" t="str">
        <f t="shared" si="3"/>
        <v/>
      </c>
      <c r="E1563" s="152"/>
      <c r="F1563" s="106" t="s">
        <v>133</v>
      </c>
      <c r="G1563" s="152"/>
      <c r="H1563" s="106" t="s">
        <v>133</v>
      </c>
      <c r="J1563" s="139" t="s">
        <v>133</v>
      </c>
      <c r="K1563" s="136" t="s">
        <v>133</v>
      </c>
      <c r="L1563" s="153"/>
      <c r="M1563" s="136" t="str">
        <f t="shared" si="1"/>
        <v/>
      </c>
      <c r="O1563" s="141" t="s">
        <v>133</v>
      </c>
      <c r="P1563" s="136" t="str">
        <f>IFERROR(__xludf.DUMMYFUNCTION("""COMPUTED_VALUE"""),"")</f>
        <v/>
      </c>
      <c r="Q1563" s="136" t="str">
        <f>IFERROR(__xludf.DUMMYFUNCTION("""COMPUTED_VALUE"""),"")</f>
        <v/>
      </c>
      <c r="R1563" s="106" t="str">
        <f>IFERROR(__xludf.DUMMYFUNCTION("""COMPUTED_VALUE"""),"")</f>
        <v/>
      </c>
      <c r="S1563" s="106" t="str">
        <f>IFERROR(__xludf.DUMMYFUNCTION("""COMPUTED_VALUE"""),"")</f>
        <v/>
      </c>
      <c r="T1563" s="139" t="str">
        <f>IFERROR(__xludf.DUMMYFUNCTION("""COMPUTED_VALUE"""),"")</f>
        <v/>
      </c>
      <c r="U1563" s="139" t="str">
        <f>IFERROR(__xludf.DUMMYFUNCTION("""COMPUTED_VALUE"""),"")</f>
        <v/>
      </c>
      <c r="V1563" s="136" t="str">
        <f>IFERROR(__xludf.DUMMYFUNCTION("""COMPUTED_VALUE"""),"")</f>
        <v/>
      </c>
      <c r="W1563" s="106" t="str">
        <f>IFERROR(__xludf.DUMMYFUNCTION("""COMPUTED_VALUE"""),"")</f>
        <v/>
      </c>
      <c r="X1563" s="143" t="str">
        <f t="shared" si="2"/>
        <v/>
      </c>
      <c r="Y1563" s="139" t="str">
        <f>IFERROR(__xludf.DUMMYFUNCTION("""COMPUTED_VALUE"""),"")</f>
        <v/>
      </c>
      <c r="Z1563" s="141" t="str">
        <f>IFERROR(__xludf.DUMMYFUNCTION("""COMPUTED_VALUE"""),"")</f>
        <v/>
      </c>
    </row>
    <row r="1564">
      <c r="D1564" s="136" t="str">
        <f t="shared" si="3"/>
        <v/>
      </c>
      <c r="E1564" s="152"/>
      <c r="F1564" s="106" t="s">
        <v>133</v>
      </c>
      <c r="G1564" s="152"/>
      <c r="H1564" s="106" t="s">
        <v>133</v>
      </c>
      <c r="J1564" s="139" t="s">
        <v>133</v>
      </c>
      <c r="K1564" s="136" t="s">
        <v>133</v>
      </c>
      <c r="L1564" s="153"/>
      <c r="M1564" s="136" t="str">
        <f t="shared" si="1"/>
        <v/>
      </c>
      <c r="O1564" s="141" t="s">
        <v>133</v>
      </c>
      <c r="P1564" s="136" t="str">
        <f>IFERROR(__xludf.DUMMYFUNCTION("""COMPUTED_VALUE"""),"")</f>
        <v/>
      </c>
      <c r="Q1564" s="136" t="str">
        <f>IFERROR(__xludf.DUMMYFUNCTION("""COMPUTED_VALUE"""),"")</f>
        <v/>
      </c>
      <c r="R1564" s="106" t="str">
        <f>IFERROR(__xludf.DUMMYFUNCTION("""COMPUTED_VALUE"""),"")</f>
        <v/>
      </c>
      <c r="S1564" s="106" t="str">
        <f>IFERROR(__xludf.DUMMYFUNCTION("""COMPUTED_VALUE"""),"")</f>
        <v/>
      </c>
      <c r="T1564" s="139" t="str">
        <f>IFERROR(__xludf.DUMMYFUNCTION("""COMPUTED_VALUE"""),"")</f>
        <v/>
      </c>
      <c r="U1564" s="139" t="str">
        <f>IFERROR(__xludf.DUMMYFUNCTION("""COMPUTED_VALUE"""),"")</f>
        <v/>
      </c>
      <c r="V1564" s="136" t="str">
        <f>IFERROR(__xludf.DUMMYFUNCTION("""COMPUTED_VALUE"""),"")</f>
        <v/>
      </c>
      <c r="W1564" s="106" t="str">
        <f>IFERROR(__xludf.DUMMYFUNCTION("""COMPUTED_VALUE"""),"")</f>
        <v/>
      </c>
      <c r="X1564" s="143" t="str">
        <f t="shared" si="2"/>
        <v/>
      </c>
      <c r="Y1564" s="139" t="str">
        <f>IFERROR(__xludf.DUMMYFUNCTION("""COMPUTED_VALUE"""),"")</f>
        <v/>
      </c>
      <c r="Z1564" s="141" t="str">
        <f>IFERROR(__xludf.DUMMYFUNCTION("""COMPUTED_VALUE"""),"")</f>
        <v/>
      </c>
    </row>
    <row r="1565">
      <c r="D1565" s="136" t="str">
        <f t="shared" si="3"/>
        <v/>
      </c>
      <c r="E1565" s="152"/>
      <c r="F1565" s="106" t="s">
        <v>133</v>
      </c>
      <c r="G1565" s="152"/>
      <c r="H1565" s="106" t="s">
        <v>133</v>
      </c>
      <c r="J1565" s="139" t="s">
        <v>133</v>
      </c>
      <c r="K1565" s="136" t="s">
        <v>133</v>
      </c>
      <c r="L1565" s="153"/>
      <c r="M1565" s="136" t="str">
        <f t="shared" si="1"/>
        <v/>
      </c>
      <c r="O1565" s="141" t="s">
        <v>133</v>
      </c>
      <c r="P1565" s="136" t="str">
        <f>IFERROR(__xludf.DUMMYFUNCTION("""COMPUTED_VALUE"""),"")</f>
        <v/>
      </c>
      <c r="Q1565" s="136" t="str">
        <f>IFERROR(__xludf.DUMMYFUNCTION("""COMPUTED_VALUE"""),"")</f>
        <v/>
      </c>
      <c r="R1565" s="106" t="str">
        <f>IFERROR(__xludf.DUMMYFUNCTION("""COMPUTED_VALUE"""),"")</f>
        <v/>
      </c>
      <c r="S1565" s="106" t="str">
        <f>IFERROR(__xludf.DUMMYFUNCTION("""COMPUTED_VALUE"""),"")</f>
        <v/>
      </c>
      <c r="T1565" s="139" t="str">
        <f>IFERROR(__xludf.DUMMYFUNCTION("""COMPUTED_VALUE"""),"")</f>
        <v/>
      </c>
      <c r="U1565" s="139" t="str">
        <f>IFERROR(__xludf.DUMMYFUNCTION("""COMPUTED_VALUE"""),"")</f>
        <v/>
      </c>
      <c r="V1565" s="136" t="str">
        <f>IFERROR(__xludf.DUMMYFUNCTION("""COMPUTED_VALUE"""),"")</f>
        <v/>
      </c>
      <c r="W1565" s="106" t="str">
        <f>IFERROR(__xludf.DUMMYFUNCTION("""COMPUTED_VALUE"""),"")</f>
        <v/>
      </c>
      <c r="X1565" s="143" t="str">
        <f t="shared" si="2"/>
        <v/>
      </c>
      <c r="Y1565" s="139" t="str">
        <f>IFERROR(__xludf.DUMMYFUNCTION("""COMPUTED_VALUE"""),"")</f>
        <v/>
      </c>
      <c r="Z1565" s="141" t="str">
        <f>IFERROR(__xludf.DUMMYFUNCTION("""COMPUTED_VALUE"""),"")</f>
        <v/>
      </c>
    </row>
    <row r="1566">
      <c r="D1566" s="136" t="str">
        <f t="shared" si="3"/>
        <v/>
      </c>
      <c r="E1566" s="152"/>
      <c r="F1566" s="106" t="s">
        <v>133</v>
      </c>
      <c r="G1566" s="152"/>
      <c r="H1566" s="106" t="s">
        <v>133</v>
      </c>
      <c r="J1566" s="139" t="s">
        <v>133</v>
      </c>
      <c r="K1566" s="136" t="s">
        <v>133</v>
      </c>
      <c r="L1566" s="153"/>
      <c r="M1566" s="136" t="str">
        <f t="shared" si="1"/>
        <v/>
      </c>
      <c r="O1566" s="141" t="s">
        <v>133</v>
      </c>
      <c r="P1566" s="136" t="str">
        <f>IFERROR(__xludf.DUMMYFUNCTION("""COMPUTED_VALUE"""),"")</f>
        <v/>
      </c>
      <c r="Q1566" s="136" t="str">
        <f>IFERROR(__xludf.DUMMYFUNCTION("""COMPUTED_VALUE"""),"")</f>
        <v/>
      </c>
      <c r="R1566" s="106" t="str">
        <f>IFERROR(__xludf.DUMMYFUNCTION("""COMPUTED_VALUE"""),"")</f>
        <v/>
      </c>
      <c r="S1566" s="106" t="str">
        <f>IFERROR(__xludf.DUMMYFUNCTION("""COMPUTED_VALUE"""),"")</f>
        <v/>
      </c>
      <c r="T1566" s="139" t="str">
        <f>IFERROR(__xludf.DUMMYFUNCTION("""COMPUTED_VALUE"""),"")</f>
        <v/>
      </c>
      <c r="U1566" s="139" t="str">
        <f>IFERROR(__xludf.DUMMYFUNCTION("""COMPUTED_VALUE"""),"")</f>
        <v/>
      </c>
      <c r="V1566" s="136" t="str">
        <f>IFERROR(__xludf.DUMMYFUNCTION("""COMPUTED_VALUE"""),"")</f>
        <v/>
      </c>
      <c r="W1566" s="106" t="str">
        <f>IFERROR(__xludf.DUMMYFUNCTION("""COMPUTED_VALUE"""),"")</f>
        <v/>
      </c>
      <c r="X1566" s="143" t="str">
        <f t="shared" si="2"/>
        <v/>
      </c>
      <c r="Y1566" s="139" t="str">
        <f>IFERROR(__xludf.DUMMYFUNCTION("""COMPUTED_VALUE"""),"")</f>
        <v/>
      </c>
      <c r="Z1566" s="141" t="str">
        <f>IFERROR(__xludf.DUMMYFUNCTION("""COMPUTED_VALUE"""),"")</f>
        <v/>
      </c>
    </row>
    <row r="1567">
      <c r="D1567" s="136" t="str">
        <f t="shared" si="3"/>
        <v/>
      </c>
      <c r="E1567" s="152"/>
      <c r="F1567" s="106" t="s">
        <v>133</v>
      </c>
      <c r="G1567" s="152"/>
      <c r="H1567" s="106" t="s">
        <v>133</v>
      </c>
      <c r="J1567" s="139" t="s">
        <v>133</v>
      </c>
      <c r="K1567" s="136" t="s">
        <v>133</v>
      </c>
      <c r="L1567" s="153"/>
      <c r="M1567" s="136" t="str">
        <f t="shared" si="1"/>
        <v/>
      </c>
      <c r="O1567" s="141" t="s">
        <v>133</v>
      </c>
      <c r="P1567" s="136" t="str">
        <f>IFERROR(__xludf.DUMMYFUNCTION("""COMPUTED_VALUE"""),"")</f>
        <v/>
      </c>
      <c r="Q1567" s="136" t="str">
        <f>IFERROR(__xludf.DUMMYFUNCTION("""COMPUTED_VALUE"""),"")</f>
        <v/>
      </c>
      <c r="R1567" s="106" t="str">
        <f>IFERROR(__xludf.DUMMYFUNCTION("""COMPUTED_VALUE"""),"")</f>
        <v/>
      </c>
      <c r="S1567" s="106" t="str">
        <f>IFERROR(__xludf.DUMMYFUNCTION("""COMPUTED_VALUE"""),"")</f>
        <v/>
      </c>
      <c r="T1567" s="139" t="str">
        <f>IFERROR(__xludf.DUMMYFUNCTION("""COMPUTED_VALUE"""),"")</f>
        <v/>
      </c>
      <c r="U1567" s="139" t="str">
        <f>IFERROR(__xludf.DUMMYFUNCTION("""COMPUTED_VALUE"""),"")</f>
        <v/>
      </c>
      <c r="V1567" s="136" t="str">
        <f>IFERROR(__xludf.DUMMYFUNCTION("""COMPUTED_VALUE"""),"")</f>
        <v/>
      </c>
      <c r="W1567" s="106" t="str">
        <f>IFERROR(__xludf.DUMMYFUNCTION("""COMPUTED_VALUE"""),"")</f>
        <v/>
      </c>
      <c r="X1567" s="143" t="str">
        <f t="shared" si="2"/>
        <v/>
      </c>
      <c r="Y1567" s="139" t="str">
        <f>IFERROR(__xludf.DUMMYFUNCTION("""COMPUTED_VALUE"""),"")</f>
        <v/>
      </c>
      <c r="Z1567" s="141" t="str">
        <f>IFERROR(__xludf.DUMMYFUNCTION("""COMPUTED_VALUE"""),"")</f>
        <v/>
      </c>
    </row>
    <row r="1568">
      <c r="D1568" s="136" t="str">
        <f t="shared" si="3"/>
        <v/>
      </c>
      <c r="E1568" s="152"/>
      <c r="F1568" s="106" t="s">
        <v>133</v>
      </c>
      <c r="G1568" s="152"/>
      <c r="H1568" s="106" t="s">
        <v>133</v>
      </c>
      <c r="J1568" s="139" t="s">
        <v>133</v>
      </c>
      <c r="K1568" s="136" t="s">
        <v>133</v>
      </c>
      <c r="L1568" s="153"/>
      <c r="M1568" s="136" t="str">
        <f t="shared" si="1"/>
        <v/>
      </c>
      <c r="O1568" s="141" t="s">
        <v>133</v>
      </c>
      <c r="P1568" s="136" t="str">
        <f>IFERROR(__xludf.DUMMYFUNCTION("""COMPUTED_VALUE"""),"")</f>
        <v/>
      </c>
      <c r="Q1568" s="136" t="str">
        <f>IFERROR(__xludf.DUMMYFUNCTION("""COMPUTED_VALUE"""),"")</f>
        <v/>
      </c>
      <c r="R1568" s="106" t="str">
        <f>IFERROR(__xludf.DUMMYFUNCTION("""COMPUTED_VALUE"""),"")</f>
        <v/>
      </c>
      <c r="S1568" s="106" t="str">
        <f>IFERROR(__xludf.DUMMYFUNCTION("""COMPUTED_VALUE"""),"")</f>
        <v/>
      </c>
      <c r="T1568" s="139" t="str">
        <f>IFERROR(__xludf.DUMMYFUNCTION("""COMPUTED_VALUE"""),"")</f>
        <v/>
      </c>
      <c r="U1568" s="139" t="str">
        <f>IFERROR(__xludf.DUMMYFUNCTION("""COMPUTED_VALUE"""),"")</f>
        <v/>
      </c>
      <c r="V1568" s="136" t="str">
        <f>IFERROR(__xludf.DUMMYFUNCTION("""COMPUTED_VALUE"""),"")</f>
        <v/>
      </c>
      <c r="W1568" s="106" t="str">
        <f>IFERROR(__xludf.DUMMYFUNCTION("""COMPUTED_VALUE"""),"")</f>
        <v/>
      </c>
      <c r="X1568" s="143" t="str">
        <f t="shared" si="2"/>
        <v/>
      </c>
      <c r="Y1568" s="139" t="str">
        <f>IFERROR(__xludf.DUMMYFUNCTION("""COMPUTED_VALUE"""),"")</f>
        <v/>
      </c>
      <c r="Z1568" s="141" t="str">
        <f>IFERROR(__xludf.DUMMYFUNCTION("""COMPUTED_VALUE"""),"")</f>
        <v/>
      </c>
    </row>
    <row r="1569">
      <c r="D1569" s="136" t="str">
        <f t="shared" si="3"/>
        <v/>
      </c>
      <c r="E1569" s="152"/>
      <c r="F1569" s="106" t="s">
        <v>133</v>
      </c>
      <c r="G1569" s="152"/>
      <c r="H1569" s="106" t="s">
        <v>133</v>
      </c>
      <c r="J1569" s="139" t="s">
        <v>133</v>
      </c>
      <c r="K1569" s="136" t="s">
        <v>133</v>
      </c>
      <c r="L1569" s="153"/>
      <c r="M1569" s="136" t="str">
        <f t="shared" si="1"/>
        <v/>
      </c>
      <c r="O1569" s="141" t="s">
        <v>133</v>
      </c>
      <c r="P1569" s="136" t="str">
        <f>IFERROR(__xludf.DUMMYFUNCTION("""COMPUTED_VALUE"""),"")</f>
        <v/>
      </c>
      <c r="Q1569" s="136" t="str">
        <f>IFERROR(__xludf.DUMMYFUNCTION("""COMPUTED_VALUE"""),"")</f>
        <v/>
      </c>
      <c r="R1569" s="106" t="str">
        <f>IFERROR(__xludf.DUMMYFUNCTION("""COMPUTED_VALUE"""),"")</f>
        <v/>
      </c>
      <c r="S1569" s="106" t="str">
        <f>IFERROR(__xludf.DUMMYFUNCTION("""COMPUTED_VALUE"""),"")</f>
        <v/>
      </c>
      <c r="T1569" s="139" t="str">
        <f>IFERROR(__xludf.DUMMYFUNCTION("""COMPUTED_VALUE"""),"")</f>
        <v/>
      </c>
      <c r="U1569" s="139" t="str">
        <f>IFERROR(__xludf.DUMMYFUNCTION("""COMPUTED_VALUE"""),"")</f>
        <v/>
      </c>
      <c r="V1569" s="136" t="str">
        <f>IFERROR(__xludf.DUMMYFUNCTION("""COMPUTED_VALUE"""),"")</f>
        <v/>
      </c>
      <c r="W1569" s="106" t="str">
        <f>IFERROR(__xludf.DUMMYFUNCTION("""COMPUTED_VALUE"""),"")</f>
        <v/>
      </c>
      <c r="X1569" s="143" t="str">
        <f t="shared" si="2"/>
        <v/>
      </c>
      <c r="Y1569" s="139" t="str">
        <f>IFERROR(__xludf.DUMMYFUNCTION("""COMPUTED_VALUE"""),"")</f>
        <v/>
      </c>
      <c r="Z1569" s="141" t="str">
        <f>IFERROR(__xludf.DUMMYFUNCTION("""COMPUTED_VALUE"""),"")</f>
        <v/>
      </c>
    </row>
    <row r="1570">
      <c r="D1570" s="136" t="str">
        <f t="shared" si="3"/>
        <v/>
      </c>
      <c r="E1570" s="152"/>
      <c r="F1570" s="106" t="s">
        <v>133</v>
      </c>
      <c r="G1570" s="152"/>
      <c r="H1570" s="106" t="s">
        <v>133</v>
      </c>
      <c r="J1570" s="139" t="s">
        <v>133</v>
      </c>
      <c r="K1570" s="136" t="s">
        <v>133</v>
      </c>
      <c r="L1570" s="153"/>
      <c r="M1570" s="136" t="str">
        <f t="shared" si="1"/>
        <v/>
      </c>
      <c r="O1570" s="141" t="s">
        <v>133</v>
      </c>
      <c r="P1570" s="136" t="str">
        <f>IFERROR(__xludf.DUMMYFUNCTION("""COMPUTED_VALUE"""),"")</f>
        <v/>
      </c>
      <c r="Q1570" s="136" t="str">
        <f>IFERROR(__xludf.DUMMYFUNCTION("""COMPUTED_VALUE"""),"")</f>
        <v/>
      </c>
      <c r="R1570" s="106" t="str">
        <f>IFERROR(__xludf.DUMMYFUNCTION("""COMPUTED_VALUE"""),"")</f>
        <v/>
      </c>
      <c r="S1570" s="106" t="str">
        <f>IFERROR(__xludf.DUMMYFUNCTION("""COMPUTED_VALUE"""),"")</f>
        <v/>
      </c>
      <c r="T1570" s="139" t="str">
        <f>IFERROR(__xludf.DUMMYFUNCTION("""COMPUTED_VALUE"""),"")</f>
        <v/>
      </c>
      <c r="U1570" s="139" t="str">
        <f>IFERROR(__xludf.DUMMYFUNCTION("""COMPUTED_VALUE"""),"")</f>
        <v/>
      </c>
      <c r="V1570" s="136" t="str">
        <f>IFERROR(__xludf.DUMMYFUNCTION("""COMPUTED_VALUE"""),"")</f>
        <v/>
      </c>
      <c r="W1570" s="106" t="str">
        <f>IFERROR(__xludf.DUMMYFUNCTION("""COMPUTED_VALUE"""),"")</f>
        <v/>
      </c>
      <c r="X1570" s="143" t="str">
        <f t="shared" si="2"/>
        <v/>
      </c>
      <c r="Y1570" s="139" t="str">
        <f>IFERROR(__xludf.DUMMYFUNCTION("""COMPUTED_VALUE"""),"")</f>
        <v/>
      </c>
      <c r="Z1570" s="141" t="str">
        <f>IFERROR(__xludf.DUMMYFUNCTION("""COMPUTED_VALUE"""),"")</f>
        <v/>
      </c>
    </row>
    <row r="1571">
      <c r="D1571" s="136" t="str">
        <f t="shared" si="3"/>
        <v/>
      </c>
      <c r="E1571" s="152"/>
      <c r="F1571" s="106" t="s">
        <v>133</v>
      </c>
      <c r="G1571" s="152"/>
      <c r="H1571" s="106" t="s">
        <v>133</v>
      </c>
      <c r="J1571" s="139" t="s">
        <v>133</v>
      </c>
      <c r="K1571" s="136" t="s">
        <v>133</v>
      </c>
      <c r="L1571" s="153"/>
      <c r="M1571" s="136" t="str">
        <f t="shared" si="1"/>
        <v/>
      </c>
      <c r="O1571" s="141" t="s">
        <v>133</v>
      </c>
      <c r="P1571" s="136" t="str">
        <f>IFERROR(__xludf.DUMMYFUNCTION("""COMPUTED_VALUE"""),"")</f>
        <v/>
      </c>
      <c r="Q1571" s="136" t="str">
        <f>IFERROR(__xludf.DUMMYFUNCTION("""COMPUTED_VALUE"""),"")</f>
        <v/>
      </c>
      <c r="R1571" s="106" t="str">
        <f>IFERROR(__xludf.DUMMYFUNCTION("""COMPUTED_VALUE"""),"")</f>
        <v/>
      </c>
      <c r="S1571" s="106" t="str">
        <f>IFERROR(__xludf.DUMMYFUNCTION("""COMPUTED_VALUE"""),"")</f>
        <v/>
      </c>
      <c r="T1571" s="139" t="str">
        <f>IFERROR(__xludf.DUMMYFUNCTION("""COMPUTED_VALUE"""),"")</f>
        <v/>
      </c>
      <c r="U1571" s="139" t="str">
        <f>IFERROR(__xludf.DUMMYFUNCTION("""COMPUTED_VALUE"""),"")</f>
        <v/>
      </c>
      <c r="V1571" s="136" t="str">
        <f>IFERROR(__xludf.DUMMYFUNCTION("""COMPUTED_VALUE"""),"")</f>
        <v/>
      </c>
      <c r="W1571" s="106" t="str">
        <f>IFERROR(__xludf.DUMMYFUNCTION("""COMPUTED_VALUE"""),"")</f>
        <v/>
      </c>
      <c r="X1571" s="143" t="str">
        <f t="shared" si="2"/>
        <v/>
      </c>
      <c r="Y1571" s="139" t="str">
        <f>IFERROR(__xludf.DUMMYFUNCTION("""COMPUTED_VALUE"""),"")</f>
        <v/>
      </c>
      <c r="Z1571" s="141" t="str">
        <f>IFERROR(__xludf.DUMMYFUNCTION("""COMPUTED_VALUE"""),"")</f>
        <v/>
      </c>
    </row>
    <row r="1572">
      <c r="D1572" s="136" t="str">
        <f t="shared" si="3"/>
        <v/>
      </c>
      <c r="E1572" s="152"/>
      <c r="F1572" s="106" t="s">
        <v>133</v>
      </c>
      <c r="G1572" s="152"/>
      <c r="H1572" s="106" t="s">
        <v>133</v>
      </c>
      <c r="J1572" s="139" t="s">
        <v>133</v>
      </c>
      <c r="K1572" s="136" t="s">
        <v>133</v>
      </c>
      <c r="L1572" s="153"/>
      <c r="M1572" s="136" t="str">
        <f t="shared" si="1"/>
        <v/>
      </c>
      <c r="O1572" s="141" t="s">
        <v>133</v>
      </c>
      <c r="P1572" s="136" t="str">
        <f>IFERROR(__xludf.DUMMYFUNCTION("""COMPUTED_VALUE"""),"")</f>
        <v/>
      </c>
      <c r="Q1572" s="136" t="str">
        <f>IFERROR(__xludf.DUMMYFUNCTION("""COMPUTED_VALUE"""),"")</f>
        <v/>
      </c>
      <c r="R1572" s="106" t="str">
        <f>IFERROR(__xludf.DUMMYFUNCTION("""COMPUTED_VALUE"""),"")</f>
        <v/>
      </c>
      <c r="S1572" s="106" t="str">
        <f>IFERROR(__xludf.DUMMYFUNCTION("""COMPUTED_VALUE"""),"")</f>
        <v/>
      </c>
      <c r="T1572" s="139" t="str">
        <f>IFERROR(__xludf.DUMMYFUNCTION("""COMPUTED_VALUE"""),"")</f>
        <v/>
      </c>
      <c r="U1572" s="139" t="str">
        <f>IFERROR(__xludf.DUMMYFUNCTION("""COMPUTED_VALUE"""),"")</f>
        <v/>
      </c>
      <c r="V1572" s="136" t="str">
        <f>IFERROR(__xludf.DUMMYFUNCTION("""COMPUTED_VALUE"""),"")</f>
        <v/>
      </c>
      <c r="W1572" s="106" t="str">
        <f>IFERROR(__xludf.DUMMYFUNCTION("""COMPUTED_VALUE"""),"")</f>
        <v/>
      </c>
      <c r="X1572" s="143" t="str">
        <f t="shared" si="2"/>
        <v/>
      </c>
      <c r="Y1572" s="139" t="str">
        <f>IFERROR(__xludf.DUMMYFUNCTION("""COMPUTED_VALUE"""),"")</f>
        <v/>
      </c>
      <c r="Z1572" s="141" t="str">
        <f>IFERROR(__xludf.DUMMYFUNCTION("""COMPUTED_VALUE"""),"")</f>
        <v/>
      </c>
    </row>
    <row r="1573">
      <c r="D1573" s="136" t="str">
        <f t="shared" si="3"/>
        <v/>
      </c>
      <c r="E1573" s="152"/>
      <c r="F1573" s="106" t="s">
        <v>133</v>
      </c>
      <c r="G1573" s="152"/>
      <c r="H1573" s="106" t="s">
        <v>133</v>
      </c>
      <c r="J1573" s="139" t="s">
        <v>133</v>
      </c>
      <c r="K1573" s="136" t="s">
        <v>133</v>
      </c>
      <c r="L1573" s="153"/>
      <c r="M1573" s="136" t="str">
        <f t="shared" si="1"/>
        <v/>
      </c>
      <c r="O1573" s="141" t="s">
        <v>133</v>
      </c>
      <c r="P1573" s="136" t="str">
        <f>IFERROR(__xludf.DUMMYFUNCTION("""COMPUTED_VALUE"""),"")</f>
        <v/>
      </c>
      <c r="Q1573" s="136" t="str">
        <f>IFERROR(__xludf.DUMMYFUNCTION("""COMPUTED_VALUE"""),"")</f>
        <v/>
      </c>
      <c r="R1573" s="106" t="str">
        <f>IFERROR(__xludf.DUMMYFUNCTION("""COMPUTED_VALUE"""),"")</f>
        <v/>
      </c>
      <c r="S1573" s="106" t="str">
        <f>IFERROR(__xludf.DUMMYFUNCTION("""COMPUTED_VALUE"""),"")</f>
        <v/>
      </c>
      <c r="T1573" s="139" t="str">
        <f>IFERROR(__xludf.DUMMYFUNCTION("""COMPUTED_VALUE"""),"")</f>
        <v/>
      </c>
      <c r="U1573" s="139" t="str">
        <f>IFERROR(__xludf.DUMMYFUNCTION("""COMPUTED_VALUE"""),"")</f>
        <v/>
      </c>
      <c r="V1573" s="136" t="str">
        <f>IFERROR(__xludf.DUMMYFUNCTION("""COMPUTED_VALUE"""),"")</f>
        <v/>
      </c>
      <c r="W1573" s="106" t="str">
        <f>IFERROR(__xludf.DUMMYFUNCTION("""COMPUTED_VALUE"""),"")</f>
        <v/>
      </c>
      <c r="X1573" s="143" t="str">
        <f t="shared" si="2"/>
        <v/>
      </c>
      <c r="Y1573" s="139" t="str">
        <f>IFERROR(__xludf.DUMMYFUNCTION("""COMPUTED_VALUE"""),"")</f>
        <v/>
      </c>
      <c r="Z1573" s="141" t="str">
        <f>IFERROR(__xludf.DUMMYFUNCTION("""COMPUTED_VALUE"""),"")</f>
        <v/>
      </c>
    </row>
    <row r="1574">
      <c r="D1574" s="136" t="str">
        <f t="shared" si="3"/>
        <v/>
      </c>
      <c r="E1574" s="152"/>
      <c r="F1574" s="106" t="s">
        <v>133</v>
      </c>
      <c r="G1574" s="152"/>
      <c r="H1574" s="106" t="s">
        <v>133</v>
      </c>
      <c r="J1574" s="139" t="s">
        <v>133</v>
      </c>
      <c r="K1574" s="136" t="s">
        <v>133</v>
      </c>
      <c r="L1574" s="153"/>
      <c r="M1574" s="136" t="str">
        <f t="shared" si="1"/>
        <v/>
      </c>
      <c r="O1574" s="141" t="s">
        <v>133</v>
      </c>
      <c r="P1574" s="136" t="str">
        <f>IFERROR(__xludf.DUMMYFUNCTION("""COMPUTED_VALUE"""),"")</f>
        <v/>
      </c>
      <c r="Q1574" s="136" t="str">
        <f>IFERROR(__xludf.DUMMYFUNCTION("""COMPUTED_VALUE"""),"")</f>
        <v/>
      </c>
      <c r="R1574" s="106" t="str">
        <f>IFERROR(__xludf.DUMMYFUNCTION("""COMPUTED_VALUE"""),"")</f>
        <v/>
      </c>
      <c r="S1574" s="106" t="str">
        <f>IFERROR(__xludf.DUMMYFUNCTION("""COMPUTED_VALUE"""),"")</f>
        <v/>
      </c>
      <c r="T1574" s="139" t="str">
        <f>IFERROR(__xludf.DUMMYFUNCTION("""COMPUTED_VALUE"""),"")</f>
        <v/>
      </c>
      <c r="U1574" s="139" t="str">
        <f>IFERROR(__xludf.DUMMYFUNCTION("""COMPUTED_VALUE"""),"")</f>
        <v/>
      </c>
      <c r="V1574" s="136" t="str">
        <f>IFERROR(__xludf.DUMMYFUNCTION("""COMPUTED_VALUE"""),"")</f>
        <v/>
      </c>
      <c r="W1574" s="106" t="str">
        <f>IFERROR(__xludf.DUMMYFUNCTION("""COMPUTED_VALUE"""),"")</f>
        <v/>
      </c>
      <c r="X1574" s="143" t="str">
        <f t="shared" si="2"/>
        <v/>
      </c>
      <c r="Y1574" s="139" t="str">
        <f>IFERROR(__xludf.DUMMYFUNCTION("""COMPUTED_VALUE"""),"")</f>
        <v/>
      </c>
      <c r="Z1574" s="141" t="str">
        <f>IFERROR(__xludf.DUMMYFUNCTION("""COMPUTED_VALUE"""),"")</f>
        <v/>
      </c>
    </row>
    <row r="1575">
      <c r="D1575" s="136" t="str">
        <f t="shared" si="3"/>
        <v/>
      </c>
      <c r="E1575" s="152"/>
      <c r="F1575" s="106" t="s">
        <v>133</v>
      </c>
      <c r="G1575" s="152"/>
      <c r="H1575" s="106" t="s">
        <v>133</v>
      </c>
      <c r="J1575" s="139" t="s">
        <v>133</v>
      </c>
      <c r="K1575" s="136" t="s">
        <v>133</v>
      </c>
      <c r="L1575" s="153"/>
      <c r="M1575" s="136" t="str">
        <f t="shared" si="1"/>
        <v/>
      </c>
      <c r="O1575" s="141" t="s">
        <v>133</v>
      </c>
      <c r="P1575" s="136" t="str">
        <f>IFERROR(__xludf.DUMMYFUNCTION("""COMPUTED_VALUE"""),"")</f>
        <v/>
      </c>
      <c r="Q1575" s="136" t="str">
        <f>IFERROR(__xludf.DUMMYFUNCTION("""COMPUTED_VALUE"""),"")</f>
        <v/>
      </c>
      <c r="R1575" s="106" t="str">
        <f>IFERROR(__xludf.DUMMYFUNCTION("""COMPUTED_VALUE"""),"")</f>
        <v/>
      </c>
      <c r="S1575" s="106" t="str">
        <f>IFERROR(__xludf.DUMMYFUNCTION("""COMPUTED_VALUE"""),"")</f>
        <v/>
      </c>
      <c r="T1575" s="139" t="str">
        <f>IFERROR(__xludf.DUMMYFUNCTION("""COMPUTED_VALUE"""),"")</f>
        <v/>
      </c>
      <c r="U1575" s="139" t="str">
        <f>IFERROR(__xludf.DUMMYFUNCTION("""COMPUTED_VALUE"""),"")</f>
        <v/>
      </c>
      <c r="V1575" s="136" t="str">
        <f>IFERROR(__xludf.DUMMYFUNCTION("""COMPUTED_VALUE"""),"")</f>
        <v/>
      </c>
      <c r="W1575" s="106" t="str">
        <f>IFERROR(__xludf.DUMMYFUNCTION("""COMPUTED_VALUE"""),"")</f>
        <v/>
      </c>
      <c r="X1575" s="143" t="str">
        <f t="shared" si="2"/>
        <v/>
      </c>
      <c r="Y1575" s="139" t="str">
        <f>IFERROR(__xludf.DUMMYFUNCTION("""COMPUTED_VALUE"""),"")</f>
        <v/>
      </c>
      <c r="Z1575" s="141" t="str">
        <f>IFERROR(__xludf.DUMMYFUNCTION("""COMPUTED_VALUE"""),"")</f>
        <v/>
      </c>
    </row>
    <row r="1576">
      <c r="D1576" s="136" t="str">
        <f t="shared" si="3"/>
        <v/>
      </c>
      <c r="E1576" s="152"/>
      <c r="F1576" s="106" t="s">
        <v>133</v>
      </c>
      <c r="G1576" s="152"/>
      <c r="H1576" s="106" t="s">
        <v>133</v>
      </c>
      <c r="J1576" s="139" t="s">
        <v>133</v>
      </c>
      <c r="K1576" s="136" t="s">
        <v>133</v>
      </c>
      <c r="L1576" s="153"/>
      <c r="M1576" s="136" t="str">
        <f t="shared" si="1"/>
        <v/>
      </c>
      <c r="O1576" s="141" t="s">
        <v>133</v>
      </c>
      <c r="P1576" s="136" t="str">
        <f>IFERROR(__xludf.DUMMYFUNCTION("""COMPUTED_VALUE"""),"")</f>
        <v/>
      </c>
      <c r="Q1576" s="136" t="str">
        <f>IFERROR(__xludf.DUMMYFUNCTION("""COMPUTED_VALUE"""),"")</f>
        <v/>
      </c>
      <c r="R1576" s="106" t="str">
        <f>IFERROR(__xludf.DUMMYFUNCTION("""COMPUTED_VALUE"""),"")</f>
        <v/>
      </c>
      <c r="S1576" s="106" t="str">
        <f>IFERROR(__xludf.DUMMYFUNCTION("""COMPUTED_VALUE"""),"")</f>
        <v/>
      </c>
      <c r="T1576" s="139" t="str">
        <f>IFERROR(__xludf.DUMMYFUNCTION("""COMPUTED_VALUE"""),"")</f>
        <v/>
      </c>
      <c r="U1576" s="139" t="str">
        <f>IFERROR(__xludf.DUMMYFUNCTION("""COMPUTED_VALUE"""),"")</f>
        <v/>
      </c>
      <c r="V1576" s="136" t="str">
        <f>IFERROR(__xludf.DUMMYFUNCTION("""COMPUTED_VALUE"""),"")</f>
        <v/>
      </c>
      <c r="W1576" s="106" t="str">
        <f>IFERROR(__xludf.DUMMYFUNCTION("""COMPUTED_VALUE"""),"")</f>
        <v/>
      </c>
      <c r="X1576" s="143" t="str">
        <f t="shared" si="2"/>
        <v/>
      </c>
      <c r="Y1576" s="139" t="str">
        <f>IFERROR(__xludf.DUMMYFUNCTION("""COMPUTED_VALUE"""),"")</f>
        <v/>
      </c>
      <c r="Z1576" s="141" t="str">
        <f>IFERROR(__xludf.DUMMYFUNCTION("""COMPUTED_VALUE"""),"")</f>
        <v/>
      </c>
    </row>
    <row r="1577">
      <c r="D1577" s="136" t="str">
        <f t="shared" si="3"/>
        <v/>
      </c>
      <c r="E1577" s="152"/>
      <c r="F1577" s="106" t="s">
        <v>133</v>
      </c>
      <c r="G1577" s="152"/>
      <c r="H1577" s="106" t="s">
        <v>133</v>
      </c>
      <c r="J1577" s="139" t="s">
        <v>133</v>
      </c>
      <c r="K1577" s="136" t="s">
        <v>133</v>
      </c>
      <c r="L1577" s="153"/>
      <c r="M1577" s="136" t="str">
        <f t="shared" si="1"/>
        <v/>
      </c>
      <c r="O1577" s="141" t="s">
        <v>133</v>
      </c>
      <c r="P1577" s="136" t="str">
        <f>IFERROR(__xludf.DUMMYFUNCTION("""COMPUTED_VALUE"""),"")</f>
        <v/>
      </c>
      <c r="Q1577" s="136" t="str">
        <f>IFERROR(__xludf.DUMMYFUNCTION("""COMPUTED_VALUE"""),"")</f>
        <v/>
      </c>
      <c r="R1577" s="106" t="str">
        <f>IFERROR(__xludf.DUMMYFUNCTION("""COMPUTED_VALUE"""),"")</f>
        <v/>
      </c>
      <c r="S1577" s="106" t="str">
        <f>IFERROR(__xludf.DUMMYFUNCTION("""COMPUTED_VALUE"""),"")</f>
        <v/>
      </c>
      <c r="T1577" s="139" t="str">
        <f>IFERROR(__xludf.DUMMYFUNCTION("""COMPUTED_VALUE"""),"")</f>
        <v/>
      </c>
      <c r="U1577" s="139" t="str">
        <f>IFERROR(__xludf.DUMMYFUNCTION("""COMPUTED_VALUE"""),"")</f>
        <v/>
      </c>
      <c r="V1577" s="136" t="str">
        <f>IFERROR(__xludf.DUMMYFUNCTION("""COMPUTED_VALUE"""),"")</f>
        <v/>
      </c>
      <c r="W1577" s="106" t="str">
        <f>IFERROR(__xludf.DUMMYFUNCTION("""COMPUTED_VALUE"""),"")</f>
        <v/>
      </c>
      <c r="X1577" s="143" t="str">
        <f t="shared" si="2"/>
        <v/>
      </c>
      <c r="Y1577" s="139" t="str">
        <f>IFERROR(__xludf.DUMMYFUNCTION("""COMPUTED_VALUE"""),"")</f>
        <v/>
      </c>
      <c r="Z1577" s="141" t="str">
        <f>IFERROR(__xludf.DUMMYFUNCTION("""COMPUTED_VALUE"""),"")</f>
        <v/>
      </c>
    </row>
    <row r="1578">
      <c r="D1578" s="136" t="str">
        <f t="shared" si="3"/>
        <v/>
      </c>
      <c r="E1578" s="152"/>
      <c r="F1578" s="106" t="s">
        <v>133</v>
      </c>
      <c r="G1578" s="152"/>
      <c r="H1578" s="106" t="s">
        <v>133</v>
      </c>
      <c r="J1578" s="139" t="s">
        <v>133</v>
      </c>
      <c r="K1578" s="136" t="s">
        <v>133</v>
      </c>
      <c r="L1578" s="153"/>
      <c r="M1578" s="136" t="str">
        <f t="shared" si="1"/>
        <v/>
      </c>
      <c r="O1578" s="141" t="s">
        <v>133</v>
      </c>
      <c r="P1578" s="136" t="str">
        <f>IFERROR(__xludf.DUMMYFUNCTION("""COMPUTED_VALUE"""),"")</f>
        <v/>
      </c>
      <c r="Q1578" s="136" t="str">
        <f>IFERROR(__xludf.DUMMYFUNCTION("""COMPUTED_VALUE"""),"")</f>
        <v/>
      </c>
      <c r="R1578" s="106" t="str">
        <f>IFERROR(__xludf.DUMMYFUNCTION("""COMPUTED_VALUE"""),"")</f>
        <v/>
      </c>
      <c r="S1578" s="106" t="str">
        <f>IFERROR(__xludf.DUMMYFUNCTION("""COMPUTED_VALUE"""),"")</f>
        <v/>
      </c>
      <c r="T1578" s="139" t="str">
        <f>IFERROR(__xludf.DUMMYFUNCTION("""COMPUTED_VALUE"""),"")</f>
        <v/>
      </c>
      <c r="U1578" s="139" t="str">
        <f>IFERROR(__xludf.DUMMYFUNCTION("""COMPUTED_VALUE"""),"")</f>
        <v/>
      </c>
      <c r="V1578" s="136" t="str">
        <f>IFERROR(__xludf.DUMMYFUNCTION("""COMPUTED_VALUE"""),"")</f>
        <v/>
      </c>
      <c r="W1578" s="106" t="str">
        <f>IFERROR(__xludf.DUMMYFUNCTION("""COMPUTED_VALUE"""),"")</f>
        <v/>
      </c>
      <c r="X1578" s="143" t="str">
        <f t="shared" si="2"/>
        <v/>
      </c>
      <c r="Y1578" s="139" t="str">
        <f>IFERROR(__xludf.DUMMYFUNCTION("""COMPUTED_VALUE"""),"")</f>
        <v/>
      </c>
      <c r="Z1578" s="141" t="str">
        <f>IFERROR(__xludf.DUMMYFUNCTION("""COMPUTED_VALUE"""),"")</f>
        <v/>
      </c>
    </row>
    <row r="1579">
      <c r="D1579" s="136" t="str">
        <f t="shared" si="3"/>
        <v/>
      </c>
      <c r="E1579" s="152"/>
      <c r="F1579" s="106" t="s">
        <v>133</v>
      </c>
      <c r="G1579" s="152"/>
      <c r="H1579" s="106" t="s">
        <v>133</v>
      </c>
      <c r="J1579" s="139" t="s">
        <v>133</v>
      </c>
      <c r="K1579" s="136" t="s">
        <v>133</v>
      </c>
      <c r="L1579" s="153"/>
      <c r="M1579" s="136" t="str">
        <f t="shared" si="1"/>
        <v/>
      </c>
      <c r="O1579" s="141" t="s">
        <v>133</v>
      </c>
      <c r="P1579" s="136" t="str">
        <f>IFERROR(__xludf.DUMMYFUNCTION("""COMPUTED_VALUE"""),"")</f>
        <v/>
      </c>
      <c r="Q1579" s="136" t="str">
        <f>IFERROR(__xludf.DUMMYFUNCTION("""COMPUTED_VALUE"""),"")</f>
        <v/>
      </c>
      <c r="R1579" s="106" t="str">
        <f>IFERROR(__xludf.DUMMYFUNCTION("""COMPUTED_VALUE"""),"")</f>
        <v/>
      </c>
      <c r="S1579" s="106" t="str">
        <f>IFERROR(__xludf.DUMMYFUNCTION("""COMPUTED_VALUE"""),"")</f>
        <v/>
      </c>
      <c r="T1579" s="139" t="str">
        <f>IFERROR(__xludf.DUMMYFUNCTION("""COMPUTED_VALUE"""),"")</f>
        <v/>
      </c>
      <c r="U1579" s="139" t="str">
        <f>IFERROR(__xludf.DUMMYFUNCTION("""COMPUTED_VALUE"""),"")</f>
        <v/>
      </c>
      <c r="V1579" s="136" t="str">
        <f>IFERROR(__xludf.DUMMYFUNCTION("""COMPUTED_VALUE"""),"")</f>
        <v/>
      </c>
      <c r="W1579" s="106" t="str">
        <f>IFERROR(__xludf.DUMMYFUNCTION("""COMPUTED_VALUE"""),"")</f>
        <v/>
      </c>
      <c r="X1579" s="143" t="str">
        <f t="shared" si="2"/>
        <v/>
      </c>
      <c r="Y1579" s="139" t="str">
        <f>IFERROR(__xludf.DUMMYFUNCTION("""COMPUTED_VALUE"""),"")</f>
        <v/>
      </c>
      <c r="Z1579" s="141" t="str">
        <f>IFERROR(__xludf.DUMMYFUNCTION("""COMPUTED_VALUE"""),"")</f>
        <v/>
      </c>
    </row>
    <row r="1580">
      <c r="D1580" s="136" t="str">
        <f t="shared" si="3"/>
        <v/>
      </c>
      <c r="E1580" s="152"/>
      <c r="F1580" s="106" t="s">
        <v>133</v>
      </c>
      <c r="G1580" s="152"/>
      <c r="H1580" s="106" t="s">
        <v>133</v>
      </c>
      <c r="J1580" s="139" t="s">
        <v>133</v>
      </c>
      <c r="K1580" s="136" t="s">
        <v>133</v>
      </c>
      <c r="L1580" s="153"/>
      <c r="M1580" s="136" t="str">
        <f t="shared" si="1"/>
        <v/>
      </c>
      <c r="O1580" s="141" t="s">
        <v>133</v>
      </c>
      <c r="P1580" s="136" t="str">
        <f>IFERROR(__xludf.DUMMYFUNCTION("""COMPUTED_VALUE"""),"")</f>
        <v/>
      </c>
      <c r="Q1580" s="136" t="str">
        <f>IFERROR(__xludf.DUMMYFUNCTION("""COMPUTED_VALUE"""),"")</f>
        <v/>
      </c>
      <c r="R1580" s="106" t="str">
        <f>IFERROR(__xludf.DUMMYFUNCTION("""COMPUTED_VALUE"""),"")</f>
        <v/>
      </c>
      <c r="S1580" s="106" t="str">
        <f>IFERROR(__xludf.DUMMYFUNCTION("""COMPUTED_VALUE"""),"")</f>
        <v/>
      </c>
      <c r="T1580" s="139" t="str">
        <f>IFERROR(__xludf.DUMMYFUNCTION("""COMPUTED_VALUE"""),"")</f>
        <v/>
      </c>
      <c r="U1580" s="139" t="str">
        <f>IFERROR(__xludf.DUMMYFUNCTION("""COMPUTED_VALUE"""),"")</f>
        <v/>
      </c>
      <c r="V1580" s="136" t="str">
        <f>IFERROR(__xludf.DUMMYFUNCTION("""COMPUTED_VALUE"""),"")</f>
        <v/>
      </c>
      <c r="W1580" s="106" t="str">
        <f>IFERROR(__xludf.DUMMYFUNCTION("""COMPUTED_VALUE"""),"")</f>
        <v/>
      </c>
      <c r="X1580" s="143" t="str">
        <f t="shared" si="2"/>
        <v/>
      </c>
      <c r="Y1580" s="139" t="str">
        <f>IFERROR(__xludf.DUMMYFUNCTION("""COMPUTED_VALUE"""),"")</f>
        <v/>
      </c>
      <c r="Z1580" s="141" t="str">
        <f>IFERROR(__xludf.DUMMYFUNCTION("""COMPUTED_VALUE"""),"")</f>
        <v/>
      </c>
    </row>
    <row r="1581">
      <c r="D1581" s="136" t="str">
        <f t="shared" si="3"/>
        <v/>
      </c>
      <c r="E1581" s="152"/>
      <c r="F1581" s="106" t="s">
        <v>133</v>
      </c>
      <c r="G1581" s="152"/>
      <c r="H1581" s="106" t="s">
        <v>133</v>
      </c>
      <c r="J1581" s="139" t="s">
        <v>133</v>
      </c>
      <c r="K1581" s="136" t="s">
        <v>133</v>
      </c>
      <c r="L1581" s="153"/>
      <c r="M1581" s="136" t="str">
        <f t="shared" si="1"/>
        <v/>
      </c>
      <c r="O1581" s="141" t="s">
        <v>133</v>
      </c>
      <c r="P1581" s="136" t="str">
        <f>IFERROR(__xludf.DUMMYFUNCTION("""COMPUTED_VALUE"""),"")</f>
        <v/>
      </c>
      <c r="Q1581" s="136" t="str">
        <f>IFERROR(__xludf.DUMMYFUNCTION("""COMPUTED_VALUE"""),"")</f>
        <v/>
      </c>
      <c r="R1581" s="106" t="str">
        <f>IFERROR(__xludf.DUMMYFUNCTION("""COMPUTED_VALUE"""),"")</f>
        <v/>
      </c>
      <c r="S1581" s="106" t="str">
        <f>IFERROR(__xludf.DUMMYFUNCTION("""COMPUTED_VALUE"""),"")</f>
        <v/>
      </c>
      <c r="T1581" s="139" t="str">
        <f>IFERROR(__xludf.DUMMYFUNCTION("""COMPUTED_VALUE"""),"")</f>
        <v/>
      </c>
      <c r="U1581" s="139" t="str">
        <f>IFERROR(__xludf.DUMMYFUNCTION("""COMPUTED_VALUE"""),"")</f>
        <v/>
      </c>
      <c r="V1581" s="136" t="str">
        <f>IFERROR(__xludf.DUMMYFUNCTION("""COMPUTED_VALUE"""),"")</f>
        <v/>
      </c>
      <c r="W1581" s="106" t="str">
        <f>IFERROR(__xludf.DUMMYFUNCTION("""COMPUTED_VALUE"""),"")</f>
        <v/>
      </c>
      <c r="X1581" s="143" t="str">
        <f t="shared" si="2"/>
        <v/>
      </c>
      <c r="Y1581" s="139" t="str">
        <f>IFERROR(__xludf.DUMMYFUNCTION("""COMPUTED_VALUE"""),"")</f>
        <v/>
      </c>
      <c r="Z1581" s="141" t="str">
        <f>IFERROR(__xludf.DUMMYFUNCTION("""COMPUTED_VALUE"""),"")</f>
        <v/>
      </c>
    </row>
    <row r="1582">
      <c r="D1582" s="136" t="str">
        <f t="shared" si="3"/>
        <v/>
      </c>
      <c r="E1582" s="152"/>
      <c r="F1582" s="106" t="s">
        <v>133</v>
      </c>
      <c r="G1582" s="152"/>
      <c r="H1582" s="106" t="s">
        <v>133</v>
      </c>
      <c r="J1582" s="139" t="s">
        <v>133</v>
      </c>
      <c r="K1582" s="136" t="s">
        <v>133</v>
      </c>
      <c r="L1582" s="153"/>
      <c r="M1582" s="136" t="str">
        <f t="shared" si="1"/>
        <v/>
      </c>
      <c r="O1582" s="141" t="s">
        <v>133</v>
      </c>
      <c r="P1582" s="136" t="str">
        <f>IFERROR(__xludf.DUMMYFUNCTION("""COMPUTED_VALUE"""),"")</f>
        <v/>
      </c>
      <c r="Q1582" s="136" t="str">
        <f>IFERROR(__xludf.DUMMYFUNCTION("""COMPUTED_VALUE"""),"")</f>
        <v/>
      </c>
      <c r="R1582" s="106" t="str">
        <f>IFERROR(__xludf.DUMMYFUNCTION("""COMPUTED_VALUE"""),"")</f>
        <v/>
      </c>
      <c r="S1582" s="106" t="str">
        <f>IFERROR(__xludf.DUMMYFUNCTION("""COMPUTED_VALUE"""),"")</f>
        <v/>
      </c>
      <c r="T1582" s="139" t="str">
        <f>IFERROR(__xludf.DUMMYFUNCTION("""COMPUTED_VALUE"""),"")</f>
        <v/>
      </c>
      <c r="U1582" s="139" t="str">
        <f>IFERROR(__xludf.DUMMYFUNCTION("""COMPUTED_VALUE"""),"")</f>
        <v/>
      </c>
      <c r="V1582" s="136" t="str">
        <f>IFERROR(__xludf.DUMMYFUNCTION("""COMPUTED_VALUE"""),"")</f>
        <v/>
      </c>
      <c r="W1582" s="106" t="str">
        <f>IFERROR(__xludf.DUMMYFUNCTION("""COMPUTED_VALUE"""),"")</f>
        <v/>
      </c>
      <c r="X1582" s="143" t="str">
        <f t="shared" si="2"/>
        <v/>
      </c>
      <c r="Y1582" s="139" t="str">
        <f>IFERROR(__xludf.DUMMYFUNCTION("""COMPUTED_VALUE"""),"")</f>
        <v/>
      </c>
      <c r="Z1582" s="141" t="str">
        <f>IFERROR(__xludf.DUMMYFUNCTION("""COMPUTED_VALUE"""),"")</f>
        <v/>
      </c>
    </row>
    <row r="1583">
      <c r="D1583" s="136" t="str">
        <f t="shared" si="3"/>
        <v/>
      </c>
      <c r="E1583" s="152"/>
      <c r="F1583" s="106" t="s">
        <v>133</v>
      </c>
      <c r="G1583" s="152"/>
      <c r="H1583" s="106" t="s">
        <v>133</v>
      </c>
      <c r="J1583" s="139" t="s">
        <v>133</v>
      </c>
      <c r="K1583" s="136" t="s">
        <v>133</v>
      </c>
      <c r="L1583" s="153"/>
      <c r="M1583" s="136" t="str">
        <f t="shared" si="1"/>
        <v/>
      </c>
      <c r="O1583" s="141" t="s">
        <v>133</v>
      </c>
      <c r="P1583" s="136" t="str">
        <f>IFERROR(__xludf.DUMMYFUNCTION("""COMPUTED_VALUE"""),"")</f>
        <v/>
      </c>
      <c r="Q1583" s="136" t="str">
        <f>IFERROR(__xludf.DUMMYFUNCTION("""COMPUTED_VALUE"""),"")</f>
        <v/>
      </c>
      <c r="R1583" s="106" t="str">
        <f>IFERROR(__xludf.DUMMYFUNCTION("""COMPUTED_VALUE"""),"")</f>
        <v/>
      </c>
      <c r="S1583" s="106" t="str">
        <f>IFERROR(__xludf.DUMMYFUNCTION("""COMPUTED_VALUE"""),"")</f>
        <v/>
      </c>
      <c r="T1583" s="139" t="str">
        <f>IFERROR(__xludf.DUMMYFUNCTION("""COMPUTED_VALUE"""),"")</f>
        <v/>
      </c>
      <c r="U1583" s="139" t="str">
        <f>IFERROR(__xludf.DUMMYFUNCTION("""COMPUTED_VALUE"""),"")</f>
        <v/>
      </c>
      <c r="V1583" s="136" t="str">
        <f>IFERROR(__xludf.DUMMYFUNCTION("""COMPUTED_VALUE"""),"")</f>
        <v/>
      </c>
      <c r="W1583" s="106" t="str">
        <f>IFERROR(__xludf.DUMMYFUNCTION("""COMPUTED_VALUE"""),"")</f>
        <v/>
      </c>
      <c r="X1583" s="143" t="str">
        <f t="shared" si="2"/>
        <v/>
      </c>
      <c r="Y1583" s="139" t="str">
        <f>IFERROR(__xludf.DUMMYFUNCTION("""COMPUTED_VALUE"""),"")</f>
        <v/>
      </c>
      <c r="Z1583" s="141" t="str">
        <f>IFERROR(__xludf.DUMMYFUNCTION("""COMPUTED_VALUE"""),"")</f>
        <v/>
      </c>
    </row>
    <row r="1584">
      <c r="D1584" s="136" t="str">
        <f t="shared" si="3"/>
        <v/>
      </c>
      <c r="E1584" s="152"/>
      <c r="F1584" s="106" t="s">
        <v>133</v>
      </c>
      <c r="G1584" s="152"/>
      <c r="H1584" s="106" t="s">
        <v>133</v>
      </c>
      <c r="J1584" s="139" t="s">
        <v>133</v>
      </c>
      <c r="K1584" s="136" t="s">
        <v>133</v>
      </c>
      <c r="L1584" s="153"/>
      <c r="M1584" s="136" t="str">
        <f t="shared" si="1"/>
        <v/>
      </c>
      <c r="O1584" s="141" t="s">
        <v>133</v>
      </c>
      <c r="P1584" s="136" t="str">
        <f>IFERROR(__xludf.DUMMYFUNCTION("""COMPUTED_VALUE"""),"")</f>
        <v/>
      </c>
      <c r="Q1584" s="136" t="str">
        <f>IFERROR(__xludf.DUMMYFUNCTION("""COMPUTED_VALUE"""),"")</f>
        <v/>
      </c>
      <c r="R1584" s="106" t="str">
        <f>IFERROR(__xludf.DUMMYFUNCTION("""COMPUTED_VALUE"""),"")</f>
        <v/>
      </c>
      <c r="S1584" s="106" t="str">
        <f>IFERROR(__xludf.DUMMYFUNCTION("""COMPUTED_VALUE"""),"")</f>
        <v/>
      </c>
      <c r="T1584" s="139" t="str">
        <f>IFERROR(__xludf.DUMMYFUNCTION("""COMPUTED_VALUE"""),"")</f>
        <v/>
      </c>
      <c r="U1584" s="139" t="str">
        <f>IFERROR(__xludf.DUMMYFUNCTION("""COMPUTED_VALUE"""),"")</f>
        <v/>
      </c>
      <c r="V1584" s="136" t="str">
        <f>IFERROR(__xludf.DUMMYFUNCTION("""COMPUTED_VALUE"""),"")</f>
        <v/>
      </c>
      <c r="W1584" s="106" t="str">
        <f>IFERROR(__xludf.DUMMYFUNCTION("""COMPUTED_VALUE"""),"")</f>
        <v/>
      </c>
      <c r="X1584" s="143" t="str">
        <f t="shared" si="2"/>
        <v/>
      </c>
      <c r="Y1584" s="139" t="str">
        <f>IFERROR(__xludf.DUMMYFUNCTION("""COMPUTED_VALUE"""),"")</f>
        <v/>
      </c>
      <c r="Z1584" s="141" t="str">
        <f>IFERROR(__xludf.DUMMYFUNCTION("""COMPUTED_VALUE"""),"")</f>
        <v/>
      </c>
    </row>
    <row r="1585">
      <c r="D1585" s="136" t="str">
        <f t="shared" si="3"/>
        <v/>
      </c>
      <c r="E1585" s="152"/>
      <c r="F1585" s="106" t="s">
        <v>133</v>
      </c>
      <c r="G1585" s="152"/>
      <c r="H1585" s="106" t="s">
        <v>133</v>
      </c>
      <c r="J1585" s="139" t="s">
        <v>133</v>
      </c>
      <c r="K1585" s="136" t="s">
        <v>133</v>
      </c>
      <c r="L1585" s="153"/>
      <c r="M1585" s="136" t="str">
        <f t="shared" si="1"/>
        <v/>
      </c>
      <c r="O1585" s="141" t="s">
        <v>133</v>
      </c>
      <c r="P1585" s="136" t="str">
        <f>IFERROR(__xludf.DUMMYFUNCTION("""COMPUTED_VALUE"""),"")</f>
        <v/>
      </c>
      <c r="Q1585" s="136" t="str">
        <f>IFERROR(__xludf.DUMMYFUNCTION("""COMPUTED_VALUE"""),"")</f>
        <v/>
      </c>
      <c r="R1585" s="106" t="str">
        <f>IFERROR(__xludf.DUMMYFUNCTION("""COMPUTED_VALUE"""),"")</f>
        <v/>
      </c>
      <c r="S1585" s="106" t="str">
        <f>IFERROR(__xludf.DUMMYFUNCTION("""COMPUTED_VALUE"""),"")</f>
        <v/>
      </c>
      <c r="T1585" s="139" t="str">
        <f>IFERROR(__xludf.DUMMYFUNCTION("""COMPUTED_VALUE"""),"")</f>
        <v/>
      </c>
      <c r="U1585" s="139" t="str">
        <f>IFERROR(__xludf.DUMMYFUNCTION("""COMPUTED_VALUE"""),"")</f>
        <v/>
      </c>
      <c r="V1585" s="136" t="str">
        <f>IFERROR(__xludf.DUMMYFUNCTION("""COMPUTED_VALUE"""),"")</f>
        <v/>
      </c>
      <c r="W1585" s="106" t="str">
        <f>IFERROR(__xludf.DUMMYFUNCTION("""COMPUTED_VALUE"""),"")</f>
        <v/>
      </c>
      <c r="X1585" s="143" t="str">
        <f t="shared" si="2"/>
        <v/>
      </c>
      <c r="Y1585" s="139" t="str">
        <f>IFERROR(__xludf.DUMMYFUNCTION("""COMPUTED_VALUE"""),"")</f>
        <v/>
      </c>
      <c r="Z1585" s="141" t="str">
        <f>IFERROR(__xludf.DUMMYFUNCTION("""COMPUTED_VALUE"""),"")</f>
        <v/>
      </c>
    </row>
    <row r="1586">
      <c r="D1586" s="136" t="str">
        <f t="shared" si="3"/>
        <v/>
      </c>
      <c r="E1586" s="152"/>
      <c r="F1586" s="106" t="s">
        <v>133</v>
      </c>
      <c r="G1586" s="152"/>
      <c r="H1586" s="106" t="s">
        <v>133</v>
      </c>
      <c r="J1586" s="139" t="s">
        <v>133</v>
      </c>
      <c r="K1586" s="136" t="s">
        <v>133</v>
      </c>
      <c r="L1586" s="153"/>
      <c r="M1586" s="136" t="str">
        <f t="shared" si="1"/>
        <v/>
      </c>
      <c r="O1586" s="141" t="s">
        <v>133</v>
      </c>
      <c r="P1586" s="136" t="str">
        <f>IFERROR(__xludf.DUMMYFUNCTION("""COMPUTED_VALUE"""),"")</f>
        <v/>
      </c>
      <c r="Q1586" s="136" t="str">
        <f>IFERROR(__xludf.DUMMYFUNCTION("""COMPUTED_VALUE"""),"")</f>
        <v/>
      </c>
      <c r="R1586" s="106" t="str">
        <f>IFERROR(__xludf.DUMMYFUNCTION("""COMPUTED_VALUE"""),"")</f>
        <v/>
      </c>
      <c r="S1586" s="106" t="str">
        <f>IFERROR(__xludf.DUMMYFUNCTION("""COMPUTED_VALUE"""),"")</f>
        <v/>
      </c>
      <c r="T1586" s="139" t="str">
        <f>IFERROR(__xludf.DUMMYFUNCTION("""COMPUTED_VALUE"""),"")</f>
        <v/>
      </c>
      <c r="U1586" s="139" t="str">
        <f>IFERROR(__xludf.DUMMYFUNCTION("""COMPUTED_VALUE"""),"")</f>
        <v/>
      </c>
      <c r="V1586" s="136" t="str">
        <f>IFERROR(__xludf.DUMMYFUNCTION("""COMPUTED_VALUE"""),"")</f>
        <v/>
      </c>
      <c r="W1586" s="106" t="str">
        <f>IFERROR(__xludf.DUMMYFUNCTION("""COMPUTED_VALUE"""),"")</f>
        <v/>
      </c>
      <c r="X1586" s="143" t="str">
        <f t="shared" si="2"/>
        <v/>
      </c>
      <c r="Y1586" s="139" t="str">
        <f>IFERROR(__xludf.DUMMYFUNCTION("""COMPUTED_VALUE"""),"")</f>
        <v/>
      </c>
      <c r="Z1586" s="141" t="str">
        <f>IFERROR(__xludf.DUMMYFUNCTION("""COMPUTED_VALUE"""),"")</f>
        <v/>
      </c>
    </row>
    <row r="1587">
      <c r="D1587" s="136" t="str">
        <f t="shared" si="3"/>
        <v/>
      </c>
      <c r="E1587" s="152"/>
      <c r="F1587" s="106" t="s">
        <v>133</v>
      </c>
      <c r="G1587" s="152"/>
      <c r="H1587" s="106" t="s">
        <v>133</v>
      </c>
      <c r="J1587" s="139" t="s">
        <v>133</v>
      </c>
      <c r="K1587" s="136" t="s">
        <v>133</v>
      </c>
      <c r="L1587" s="153"/>
      <c r="M1587" s="136" t="str">
        <f t="shared" si="1"/>
        <v/>
      </c>
      <c r="O1587" s="141" t="s">
        <v>133</v>
      </c>
      <c r="P1587" s="136" t="str">
        <f>IFERROR(__xludf.DUMMYFUNCTION("""COMPUTED_VALUE"""),"")</f>
        <v/>
      </c>
      <c r="Q1587" s="136" t="str">
        <f>IFERROR(__xludf.DUMMYFUNCTION("""COMPUTED_VALUE"""),"")</f>
        <v/>
      </c>
      <c r="R1587" s="106" t="str">
        <f>IFERROR(__xludf.DUMMYFUNCTION("""COMPUTED_VALUE"""),"")</f>
        <v/>
      </c>
      <c r="S1587" s="106" t="str">
        <f>IFERROR(__xludf.DUMMYFUNCTION("""COMPUTED_VALUE"""),"")</f>
        <v/>
      </c>
      <c r="T1587" s="139" t="str">
        <f>IFERROR(__xludf.DUMMYFUNCTION("""COMPUTED_VALUE"""),"")</f>
        <v/>
      </c>
      <c r="U1587" s="139" t="str">
        <f>IFERROR(__xludf.DUMMYFUNCTION("""COMPUTED_VALUE"""),"")</f>
        <v/>
      </c>
      <c r="V1587" s="136" t="str">
        <f>IFERROR(__xludf.DUMMYFUNCTION("""COMPUTED_VALUE"""),"")</f>
        <v/>
      </c>
      <c r="W1587" s="106" t="str">
        <f>IFERROR(__xludf.DUMMYFUNCTION("""COMPUTED_VALUE"""),"")</f>
        <v/>
      </c>
      <c r="X1587" s="143" t="str">
        <f t="shared" si="2"/>
        <v/>
      </c>
      <c r="Y1587" s="139" t="str">
        <f>IFERROR(__xludf.DUMMYFUNCTION("""COMPUTED_VALUE"""),"")</f>
        <v/>
      </c>
      <c r="Z1587" s="141" t="str">
        <f>IFERROR(__xludf.DUMMYFUNCTION("""COMPUTED_VALUE"""),"")</f>
        <v/>
      </c>
    </row>
    <row r="1588">
      <c r="D1588" s="136" t="str">
        <f t="shared" si="3"/>
        <v/>
      </c>
      <c r="E1588" s="152"/>
      <c r="F1588" s="106" t="s">
        <v>133</v>
      </c>
      <c r="G1588" s="152"/>
      <c r="H1588" s="106" t="s">
        <v>133</v>
      </c>
      <c r="J1588" s="139" t="s">
        <v>133</v>
      </c>
      <c r="K1588" s="136" t="s">
        <v>133</v>
      </c>
      <c r="L1588" s="153"/>
      <c r="M1588" s="136" t="str">
        <f t="shared" si="1"/>
        <v/>
      </c>
      <c r="O1588" s="141" t="s">
        <v>133</v>
      </c>
      <c r="P1588" s="136" t="str">
        <f>IFERROR(__xludf.DUMMYFUNCTION("""COMPUTED_VALUE"""),"")</f>
        <v/>
      </c>
      <c r="Q1588" s="136" t="str">
        <f>IFERROR(__xludf.DUMMYFUNCTION("""COMPUTED_VALUE"""),"")</f>
        <v/>
      </c>
      <c r="R1588" s="106" t="str">
        <f>IFERROR(__xludf.DUMMYFUNCTION("""COMPUTED_VALUE"""),"")</f>
        <v/>
      </c>
      <c r="S1588" s="106" t="str">
        <f>IFERROR(__xludf.DUMMYFUNCTION("""COMPUTED_VALUE"""),"")</f>
        <v/>
      </c>
      <c r="T1588" s="139" t="str">
        <f>IFERROR(__xludf.DUMMYFUNCTION("""COMPUTED_VALUE"""),"")</f>
        <v/>
      </c>
      <c r="U1588" s="139" t="str">
        <f>IFERROR(__xludf.DUMMYFUNCTION("""COMPUTED_VALUE"""),"")</f>
        <v/>
      </c>
      <c r="V1588" s="136" t="str">
        <f>IFERROR(__xludf.DUMMYFUNCTION("""COMPUTED_VALUE"""),"")</f>
        <v/>
      </c>
      <c r="W1588" s="106" t="str">
        <f>IFERROR(__xludf.DUMMYFUNCTION("""COMPUTED_VALUE"""),"")</f>
        <v/>
      </c>
      <c r="X1588" s="143" t="str">
        <f t="shared" si="2"/>
        <v/>
      </c>
      <c r="Y1588" s="139" t="str">
        <f>IFERROR(__xludf.DUMMYFUNCTION("""COMPUTED_VALUE"""),"")</f>
        <v/>
      </c>
      <c r="Z1588" s="141" t="str">
        <f>IFERROR(__xludf.DUMMYFUNCTION("""COMPUTED_VALUE"""),"")</f>
        <v/>
      </c>
    </row>
    <row r="1589">
      <c r="D1589" s="136" t="str">
        <f t="shared" si="3"/>
        <v/>
      </c>
      <c r="E1589" s="152"/>
      <c r="F1589" s="106" t="s">
        <v>133</v>
      </c>
      <c r="G1589" s="152"/>
      <c r="H1589" s="106" t="s">
        <v>133</v>
      </c>
      <c r="J1589" s="139" t="s">
        <v>133</v>
      </c>
      <c r="K1589" s="136" t="s">
        <v>133</v>
      </c>
      <c r="L1589" s="153"/>
      <c r="M1589" s="136" t="str">
        <f t="shared" si="1"/>
        <v/>
      </c>
      <c r="O1589" s="141" t="s">
        <v>133</v>
      </c>
      <c r="P1589" s="136" t="str">
        <f>IFERROR(__xludf.DUMMYFUNCTION("""COMPUTED_VALUE"""),"")</f>
        <v/>
      </c>
      <c r="Q1589" s="136" t="str">
        <f>IFERROR(__xludf.DUMMYFUNCTION("""COMPUTED_VALUE"""),"")</f>
        <v/>
      </c>
      <c r="R1589" s="106" t="str">
        <f>IFERROR(__xludf.DUMMYFUNCTION("""COMPUTED_VALUE"""),"")</f>
        <v/>
      </c>
      <c r="S1589" s="106" t="str">
        <f>IFERROR(__xludf.DUMMYFUNCTION("""COMPUTED_VALUE"""),"")</f>
        <v/>
      </c>
      <c r="T1589" s="139" t="str">
        <f>IFERROR(__xludf.DUMMYFUNCTION("""COMPUTED_VALUE"""),"")</f>
        <v/>
      </c>
      <c r="U1589" s="139" t="str">
        <f>IFERROR(__xludf.DUMMYFUNCTION("""COMPUTED_VALUE"""),"")</f>
        <v/>
      </c>
      <c r="V1589" s="136" t="str">
        <f>IFERROR(__xludf.DUMMYFUNCTION("""COMPUTED_VALUE"""),"")</f>
        <v/>
      </c>
      <c r="W1589" s="106" t="str">
        <f>IFERROR(__xludf.DUMMYFUNCTION("""COMPUTED_VALUE"""),"")</f>
        <v/>
      </c>
      <c r="X1589" s="143" t="str">
        <f t="shared" si="2"/>
        <v/>
      </c>
      <c r="Y1589" s="139" t="str">
        <f>IFERROR(__xludf.DUMMYFUNCTION("""COMPUTED_VALUE"""),"")</f>
        <v/>
      </c>
      <c r="Z1589" s="141" t="str">
        <f>IFERROR(__xludf.DUMMYFUNCTION("""COMPUTED_VALUE"""),"")</f>
        <v/>
      </c>
    </row>
    <row r="1590">
      <c r="D1590" s="136" t="str">
        <f t="shared" si="3"/>
        <v/>
      </c>
      <c r="E1590" s="152"/>
      <c r="F1590" s="106" t="s">
        <v>133</v>
      </c>
      <c r="G1590" s="152"/>
      <c r="H1590" s="106" t="s">
        <v>133</v>
      </c>
      <c r="J1590" s="139" t="s">
        <v>133</v>
      </c>
      <c r="K1590" s="136" t="s">
        <v>133</v>
      </c>
      <c r="L1590" s="153"/>
      <c r="M1590" s="136" t="str">
        <f t="shared" si="1"/>
        <v/>
      </c>
      <c r="O1590" s="141" t="s">
        <v>133</v>
      </c>
      <c r="P1590" s="136" t="str">
        <f>IFERROR(__xludf.DUMMYFUNCTION("""COMPUTED_VALUE"""),"")</f>
        <v/>
      </c>
      <c r="Q1590" s="136" t="str">
        <f>IFERROR(__xludf.DUMMYFUNCTION("""COMPUTED_VALUE"""),"")</f>
        <v/>
      </c>
      <c r="R1590" s="106" t="str">
        <f>IFERROR(__xludf.DUMMYFUNCTION("""COMPUTED_VALUE"""),"")</f>
        <v/>
      </c>
      <c r="S1590" s="106" t="str">
        <f>IFERROR(__xludf.DUMMYFUNCTION("""COMPUTED_VALUE"""),"")</f>
        <v/>
      </c>
      <c r="T1590" s="139" t="str">
        <f>IFERROR(__xludf.DUMMYFUNCTION("""COMPUTED_VALUE"""),"")</f>
        <v/>
      </c>
      <c r="U1590" s="139" t="str">
        <f>IFERROR(__xludf.DUMMYFUNCTION("""COMPUTED_VALUE"""),"")</f>
        <v/>
      </c>
      <c r="V1590" s="136" t="str">
        <f>IFERROR(__xludf.DUMMYFUNCTION("""COMPUTED_VALUE"""),"")</f>
        <v/>
      </c>
      <c r="W1590" s="106" t="str">
        <f>IFERROR(__xludf.DUMMYFUNCTION("""COMPUTED_VALUE"""),"")</f>
        <v/>
      </c>
      <c r="X1590" s="143" t="str">
        <f t="shared" si="2"/>
        <v/>
      </c>
      <c r="Y1590" s="139" t="str">
        <f>IFERROR(__xludf.DUMMYFUNCTION("""COMPUTED_VALUE"""),"")</f>
        <v/>
      </c>
      <c r="Z1590" s="141" t="str">
        <f>IFERROR(__xludf.DUMMYFUNCTION("""COMPUTED_VALUE"""),"")</f>
        <v/>
      </c>
    </row>
    <row r="1591">
      <c r="D1591" s="136" t="str">
        <f t="shared" si="3"/>
        <v/>
      </c>
      <c r="E1591" s="152"/>
      <c r="F1591" s="106" t="s">
        <v>133</v>
      </c>
      <c r="G1591" s="152"/>
      <c r="H1591" s="106" t="s">
        <v>133</v>
      </c>
      <c r="J1591" s="139" t="s">
        <v>133</v>
      </c>
      <c r="K1591" s="136" t="s">
        <v>133</v>
      </c>
      <c r="L1591" s="153"/>
      <c r="M1591" s="136" t="str">
        <f t="shared" si="1"/>
        <v/>
      </c>
      <c r="O1591" s="141" t="s">
        <v>133</v>
      </c>
      <c r="P1591" s="136" t="str">
        <f>IFERROR(__xludf.DUMMYFUNCTION("""COMPUTED_VALUE"""),"")</f>
        <v/>
      </c>
      <c r="Q1591" s="136" t="str">
        <f>IFERROR(__xludf.DUMMYFUNCTION("""COMPUTED_VALUE"""),"")</f>
        <v/>
      </c>
      <c r="R1591" s="106" t="str">
        <f>IFERROR(__xludf.DUMMYFUNCTION("""COMPUTED_VALUE"""),"")</f>
        <v/>
      </c>
      <c r="S1591" s="106" t="str">
        <f>IFERROR(__xludf.DUMMYFUNCTION("""COMPUTED_VALUE"""),"")</f>
        <v/>
      </c>
      <c r="T1591" s="139" t="str">
        <f>IFERROR(__xludf.DUMMYFUNCTION("""COMPUTED_VALUE"""),"")</f>
        <v/>
      </c>
      <c r="U1591" s="139" t="str">
        <f>IFERROR(__xludf.DUMMYFUNCTION("""COMPUTED_VALUE"""),"")</f>
        <v/>
      </c>
      <c r="V1591" s="136" t="str">
        <f>IFERROR(__xludf.DUMMYFUNCTION("""COMPUTED_VALUE"""),"")</f>
        <v/>
      </c>
      <c r="W1591" s="106" t="str">
        <f>IFERROR(__xludf.DUMMYFUNCTION("""COMPUTED_VALUE"""),"")</f>
        <v/>
      </c>
      <c r="X1591" s="143" t="str">
        <f t="shared" si="2"/>
        <v/>
      </c>
      <c r="Y1591" s="139" t="str">
        <f>IFERROR(__xludf.DUMMYFUNCTION("""COMPUTED_VALUE"""),"")</f>
        <v/>
      </c>
      <c r="Z1591" s="141" t="str">
        <f>IFERROR(__xludf.DUMMYFUNCTION("""COMPUTED_VALUE"""),"")</f>
        <v/>
      </c>
    </row>
    <row r="1592">
      <c r="D1592" s="136" t="str">
        <f t="shared" si="3"/>
        <v/>
      </c>
      <c r="E1592" s="152"/>
      <c r="F1592" s="106" t="s">
        <v>133</v>
      </c>
      <c r="G1592" s="152"/>
      <c r="H1592" s="106" t="s">
        <v>133</v>
      </c>
      <c r="J1592" s="139" t="s">
        <v>133</v>
      </c>
      <c r="K1592" s="136" t="s">
        <v>133</v>
      </c>
      <c r="L1592" s="153"/>
      <c r="M1592" s="136" t="str">
        <f t="shared" si="1"/>
        <v/>
      </c>
      <c r="O1592" s="141" t="s">
        <v>133</v>
      </c>
      <c r="P1592" s="136" t="str">
        <f>IFERROR(__xludf.DUMMYFUNCTION("""COMPUTED_VALUE"""),"")</f>
        <v/>
      </c>
      <c r="Q1592" s="136" t="str">
        <f>IFERROR(__xludf.DUMMYFUNCTION("""COMPUTED_VALUE"""),"")</f>
        <v/>
      </c>
      <c r="R1592" s="106" t="str">
        <f>IFERROR(__xludf.DUMMYFUNCTION("""COMPUTED_VALUE"""),"")</f>
        <v/>
      </c>
      <c r="S1592" s="106" t="str">
        <f>IFERROR(__xludf.DUMMYFUNCTION("""COMPUTED_VALUE"""),"")</f>
        <v/>
      </c>
      <c r="T1592" s="139" t="str">
        <f>IFERROR(__xludf.DUMMYFUNCTION("""COMPUTED_VALUE"""),"")</f>
        <v/>
      </c>
      <c r="U1592" s="139" t="str">
        <f>IFERROR(__xludf.DUMMYFUNCTION("""COMPUTED_VALUE"""),"")</f>
        <v/>
      </c>
      <c r="V1592" s="136" t="str">
        <f>IFERROR(__xludf.DUMMYFUNCTION("""COMPUTED_VALUE"""),"")</f>
        <v/>
      </c>
      <c r="W1592" s="106" t="str">
        <f>IFERROR(__xludf.DUMMYFUNCTION("""COMPUTED_VALUE"""),"")</f>
        <v/>
      </c>
      <c r="X1592" s="143" t="str">
        <f t="shared" si="2"/>
        <v/>
      </c>
      <c r="Y1592" s="139" t="str">
        <f>IFERROR(__xludf.DUMMYFUNCTION("""COMPUTED_VALUE"""),"")</f>
        <v/>
      </c>
      <c r="Z1592" s="141" t="str">
        <f>IFERROR(__xludf.DUMMYFUNCTION("""COMPUTED_VALUE"""),"")</f>
        <v/>
      </c>
    </row>
    <row r="1593">
      <c r="D1593" s="136" t="str">
        <f t="shared" si="3"/>
        <v/>
      </c>
      <c r="E1593" s="152"/>
      <c r="F1593" s="106" t="s">
        <v>133</v>
      </c>
      <c r="G1593" s="152"/>
      <c r="H1593" s="106" t="s">
        <v>133</v>
      </c>
      <c r="J1593" s="139" t="s">
        <v>133</v>
      </c>
      <c r="K1593" s="136" t="s">
        <v>133</v>
      </c>
      <c r="L1593" s="153"/>
      <c r="M1593" s="136" t="str">
        <f t="shared" si="1"/>
        <v/>
      </c>
      <c r="O1593" s="141" t="s">
        <v>133</v>
      </c>
      <c r="P1593" s="136" t="str">
        <f>IFERROR(__xludf.DUMMYFUNCTION("""COMPUTED_VALUE"""),"")</f>
        <v/>
      </c>
      <c r="Q1593" s="136" t="str">
        <f>IFERROR(__xludf.DUMMYFUNCTION("""COMPUTED_VALUE"""),"")</f>
        <v/>
      </c>
      <c r="R1593" s="106" t="str">
        <f>IFERROR(__xludf.DUMMYFUNCTION("""COMPUTED_VALUE"""),"")</f>
        <v/>
      </c>
      <c r="S1593" s="106" t="str">
        <f>IFERROR(__xludf.DUMMYFUNCTION("""COMPUTED_VALUE"""),"")</f>
        <v/>
      </c>
      <c r="T1593" s="139" t="str">
        <f>IFERROR(__xludf.DUMMYFUNCTION("""COMPUTED_VALUE"""),"")</f>
        <v/>
      </c>
      <c r="U1593" s="139" t="str">
        <f>IFERROR(__xludf.DUMMYFUNCTION("""COMPUTED_VALUE"""),"")</f>
        <v/>
      </c>
      <c r="V1593" s="136" t="str">
        <f>IFERROR(__xludf.DUMMYFUNCTION("""COMPUTED_VALUE"""),"")</f>
        <v/>
      </c>
      <c r="W1593" s="106" t="str">
        <f>IFERROR(__xludf.DUMMYFUNCTION("""COMPUTED_VALUE"""),"")</f>
        <v/>
      </c>
      <c r="X1593" s="143" t="str">
        <f t="shared" si="2"/>
        <v/>
      </c>
      <c r="Y1593" s="139" t="str">
        <f>IFERROR(__xludf.DUMMYFUNCTION("""COMPUTED_VALUE"""),"")</f>
        <v/>
      </c>
      <c r="Z1593" s="141" t="str">
        <f>IFERROR(__xludf.DUMMYFUNCTION("""COMPUTED_VALUE"""),"")</f>
        <v/>
      </c>
    </row>
    <row r="1594">
      <c r="D1594" s="136" t="str">
        <f t="shared" si="3"/>
        <v/>
      </c>
      <c r="E1594" s="152"/>
      <c r="F1594" s="106" t="s">
        <v>133</v>
      </c>
      <c r="G1594" s="152"/>
      <c r="H1594" s="106" t="s">
        <v>133</v>
      </c>
      <c r="J1594" s="139" t="s">
        <v>133</v>
      </c>
      <c r="K1594" s="136" t="s">
        <v>133</v>
      </c>
      <c r="L1594" s="153"/>
      <c r="M1594" s="136" t="str">
        <f t="shared" si="1"/>
        <v/>
      </c>
      <c r="O1594" s="141" t="s">
        <v>133</v>
      </c>
      <c r="P1594" s="136" t="str">
        <f>IFERROR(__xludf.DUMMYFUNCTION("""COMPUTED_VALUE"""),"")</f>
        <v/>
      </c>
      <c r="Q1594" s="136" t="str">
        <f>IFERROR(__xludf.DUMMYFUNCTION("""COMPUTED_VALUE"""),"")</f>
        <v/>
      </c>
      <c r="R1594" s="106" t="str">
        <f>IFERROR(__xludf.DUMMYFUNCTION("""COMPUTED_VALUE"""),"")</f>
        <v/>
      </c>
      <c r="S1594" s="106" t="str">
        <f>IFERROR(__xludf.DUMMYFUNCTION("""COMPUTED_VALUE"""),"")</f>
        <v/>
      </c>
      <c r="T1594" s="139" t="str">
        <f>IFERROR(__xludf.DUMMYFUNCTION("""COMPUTED_VALUE"""),"")</f>
        <v/>
      </c>
      <c r="U1594" s="139" t="str">
        <f>IFERROR(__xludf.DUMMYFUNCTION("""COMPUTED_VALUE"""),"")</f>
        <v/>
      </c>
      <c r="V1594" s="136" t="str">
        <f>IFERROR(__xludf.DUMMYFUNCTION("""COMPUTED_VALUE"""),"")</f>
        <v/>
      </c>
      <c r="W1594" s="106" t="str">
        <f>IFERROR(__xludf.DUMMYFUNCTION("""COMPUTED_VALUE"""),"")</f>
        <v/>
      </c>
      <c r="X1594" s="143" t="str">
        <f t="shared" si="2"/>
        <v/>
      </c>
      <c r="Y1594" s="139" t="str">
        <f>IFERROR(__xludf.DUMMYFUNCTION("""COMPUTED_VALUE"""),"")</f>
        <v/>
      </c>
      <c r="Z1594" s="141" t="str">
        <f>IFERROR(__xludf.DUMMYFUNCTION("""COMPUTED_VALUE"""),"")</f>
        <v/>
      </c>
    </row>
    <row r="1595">
      <c r="D1595" s="136" t="str">
        <f t="shared" si="3"/>
        <v/>
      </c>
      <c r="E1595" s="152"/>
      <c r="F1595" s="106" t="s">
        <v>133</v>
      </c>
      <c r="G1595" s="152"/>
      <c r="H1595" s="106" t="s">
        <v>133</v>
      </c>
      <c r="J1595" s="139" t="s">
        <v>133</v>
      </c>
      <c r="K1595" s="136" t="s">
        <v>133</v>
      </c>
      <c r="L1595" s="153"/>
      <c r="M1595" s="136" t="str">
        <f t="shared" si="1"/>
        <v/>
      </c>
      <c r="O1595" s="141" t="s">
        <v>133</v>
      </c>
      <c r="P1595" s="136" t="str">
        <f>IFERROR(__xludf.DUMMYFUNCTION("""COMPUTED_VALUE"""),"")</f>
        <v/>
      </c>
      <c r="Q1595" s="136" t="str">
        <f>IFERROR(__xludf.DUMMYFUNCTION("""COMPUTED_VALUE"""),"")</f>
        <v/>
      </c>
      <c r="R1595" s="106" t="str">
        <f>IFERROR(__xludf.DUMMYFUNCTION("""COMPUTED_VALUE"""),"")</f>
        <v/>
      </c>
      <c r="S1595" s="106" t="str">
        <f>IFERROR(__xludf.DUMMYFUNCTION("""COMPUTED_VALUE"""),"")</f>
        <v/>
      </c>
      <c r="T1595" s="139" t="str">
        <f>IFERROR(__xludf.DUMMYFUNCTION("""COMPUTED_VALUE"""),"")</f>
        <v/>
      </c>
      <c r="U1595" s="139" t="str">
        <f>IFERROR(__xludf.DUMMYFUNCTION("""COMPUTED_VALUE"""),"")</f>
        <v/>
      </c>
      <c r="V1595" s="136" t="str">
        <f>IFERROR(__xludf.DUMMYFUNCTION("""COMPUTED_VALUE"""),"")</f>
        <v/>
      </c>
      <c r="W1595" s="106" t="str">
        <f>IFERROR(__xludf.DUMMYFUNCTION("""COMPUTED_VALUE"""),"")</f>
        <v/>
      </c>
      <c r="X1595" s="143" t="str">
        <f t="shared" si="2"/>
        <v/>
      </c>
      <c r="Y1595" s="139" t="str">
        <f>IFERROR(__xludf.DUMMYFUNCTION("""COMPUTED_VALUE"""),"")</f>
        <v/>
      </c>
      <c r="Z1595" s="141" t="str">
        <f>IFERROR(__xludf.DUMMYFUNCTION("""COMPUTED_VALUE"""),"")</f>
        <v/>
      </c>
    </row>
    <row r="1596">
      <c r="D1596" s="136" t="str">
        <f t="shared" si="3"/>
        <v/>
      </c>
      <c r="E1596" s="152"/>
      <c r="F1596" s="106" t="s">
        <v>133</v>
      </c>
      <c r="G1596" s="152"/>
      <c r="H1596" s="106" t="s">
        <v>133</v>
      </c>
      <c r="J1596" s="139" t="s">
        <v>133</v>
      </c>
      <c r="K1596" s="136" t="s">
        <v>133</v>
      </c>
      <c r="L1596" s="153"/>
      <c r="M1596" s="136" t="str">
        <f t="shared" si="1"/>
        <v/>
      </c>
      <c r="O1596" s="141" t="s">
        <v>133</v>
      </c>
      <c r="P1596" s="136" t="str">
        <f>IFERROR(__xludf.DUMMYFUNCTION("""COMPUTED_VALUE"""),"")</f>
        <v/>
      </c>
      <c r="Q1596" s="136" t="str">
        <f>IFERROR(__xludf.DUMMYFUNCTION("""COMPUTED_VALUE"""),"")</f>
        <v/>
      </c>
      <c r="R1596" s="106" t="str">
        <f>IFERROR(__xludf.DUMMYFUNCTION("""COMPUTED_VALUE"""),"")</f>
        <v/>
      </c>
      <c r="S1596" s="106" t="str">
        <f>IFERROR(__xludf.DUMMYFUNCTION("""COMPUTED_VALUE"""),"")</f>
        <v/>
      </c>
      <c r="T1596" s="139" t="str">
        <f>IFERROR(__xludf.DUMMYFUNCTION("""COMPUTED_VALUE"""),"")</f>
        <v/>
      </c>
      <c r="U1596" s="139" t="str">
        <f>IFERROR(__xludf.DUMMYFUNCTION("""COMPUTED_VALUE"""),"")</f>
        <v/>
      </c>
      <c r="V1596" s="136" t="str">
        <f>IFERROR(__xludf.DUMMYFUNCTION("""COMPUTED_VALUE"""),"")</f>
        <v/>
      </c>
      <c r="W1596" s="106" t="str">
        <f>IFERROR(__xludf.DUMMYFUNCTION("""COMPUTED_VALUE"""),"")</f>
        <v/>
      </c>
      <c r="X1596" s="143" t="str">
        <f t="shared" si="2"/>
        <v/>
      </c>
      <c r="Y1596" s="139" t="str">
        <f>IFERROR(__xludf.DUMMYFUNCTION("""COMPUTED_VALUE"""),"")</f>
        <v/>
      </c>
      <c r="Z1596" s="141" t="str">
        <f>IFERROR(__xludf.DUMMYFUNCTION("""COMPUTED_VALUE"""),"")</f>
        <v/>
      </c>
    </row>
    <row r="1597">
      <c r="D1597" s="136" t="str">
        <f t="shared" si="3"/>
        <v/>
      </c>
      <c r="E1597" s="152"/>
      <c r="F1597" s="106" t="s">
        <v>133</v>
      </c>
      <c r="G1597" s="152"/>
      <c r="H1597" s="106" t="s">
        <v>133</v>
      </c>
      <c r="J1597" s="139" t="s">
        <v>133</v>
      </c>
      <c r="K1597" s="136" t="s">
        <v>133</v>
      </c>
      <c r="L1597" s="153"/>
      <c r="M1597" s="136" t="str">
        <f t="shared" si="1"/>
        <v/>
      </c>
      <c r="O1597" s="141" t="s">
        <v>133</v>
      </c>
      <c r="P1597" s="136" t="str">
        <f>IFERROR(__xludf.DUMMYFUNCTION("""COMPUTED_VALUE"""),"")</f>
        <v/>
      </c>
      <c r="Q1597" s="136" t="str">
        <f>IFERROR(__xludf.DUMMYFUNCTION("""COMPUTED_VALUE"""),"")</f>
        <v/>
      </c>
      <c r="R1597" s="106" t="str">
        <f>IFERROR(__xludf.DUMMYFUNCTION("""COMPUTED_VALUE"""),"")</f>
        <v/>
      </c>
      <c r="S1597" s="106" t="str">
        <f>IFERROR(__xludf.DUMMYFUNCTION("""COMPUTED_VALUE"""),"")</f>
        <v/>
      </c>
      <c r="T1597" s="139" t="str">
        <f>IFERROR(__xludf.DUMMYFUNCTION("""COMPUTED_VALUE"""),"")</f>
        <v/>
      </c>
      <c r="U1597" s="139" t="str">
        <f>IFERROR(__xludf.DUMMYFUNCTION("""COMPUTED_VALUE"""),"")</f>
        <v/>
      </c>
      <c r="V1597" s="136" t="str">
        <f>IFERROR(__xludf.DUMMYFUNCTION("""COMPUTED_VALUE"""),"")</f>
        <v/>
      </c>
      <c r="W1597" s="106" t="str">
        <f>IFERROR(__xludf.DUMMYFUNCTION("""COMPUTED_VALUE"""),"")</f>
        <v/>
      </c>
      <c r="X1597" s="143" t="str">
        <f t="shared" si="2"/>
        <v/>
      </c>
      <c r="Y1597" s="139" t="str">
        <f>IFERROR(__xludf.DUMMYFUNCTION("""COMPUTED_VALUE"""),"")</f>
        <v/>
      </c>
      <c r="Z1597" s="141" t="str">
        <f>IFERROR(__xludf.DUMMYFUNCTION("""COMPUTED_VALUE"""),"")</f>
        <v/>
      </c>
    </row>
    <row r="1598">
      <c r="D1598" s="136" t="str">
        <f t="shared" si="3"/>
        <v/>
      </c>
      <c r="E1598" s="152"/>
      <c r="F1598" s="106" t="s">
        <v>133</v>
      </c>
      <c r="G1598" s="152"/>
      <c r="H1598" s="106" t="s">
        <v>133</v>
      </c>
      <c r="J1598" s="139" t="s">
        <v>133</v>
      </c>
      <c r="K1598" s="136" t="s">
        <v>133</v>
      </c>
      <c r="L1598" s="153"/>
      <c r="M1598" s="136" t="str">
        <f t="shared" si="1"/>
        <v/>
      </c>
      <c r="O1598" s="141" t="s">
        <v>133</v>
      </c>
      <c r="P1598" s="136" t="str">
        <f>IFERROR(__xludf.DUMMYFUNCTION("""COMPUTED_VALUE"""),"")</f>
        <v/>
      </c>
      <c r="Q1598" s="136" t="str">
        <f>IFERROR(__xludf.DUMMYFUNCTION("""COMPUTED_VALUE"""),"")</f>
        <v/>
      </c>
      <c r="R1598" s="106" t="str">
        <f>IFERROR(__xludf.DUMMYFUNCTION("""COMPUTED_VALUE"""),"")</f>
        <v/>
      </c>
      <c r="S1598" s="106" t="str">
        <f>IFERROR(__xludf.DUMMYFUNCTION("""COMPUTED_VALUE"""),"")</f>
        <v/>
      </c>
      <c r="T1598" s="139" t="str">
        <f>IFERROR(__xludf.DUMMYFUNCTION("""COMPUTED_VALUE"""),"")</f>
        <v/>
      </c>
      <c r="U1598" s="139" t="str">
        <f>IFERROR(__xludf.DUMMYFUNCTION("""COMPUTED_VALUE"""),"")</f>
        <v/>
      </c>
      <c r="V1598" s="136" t="str">
        <f>IFERROR(__xludf.DUMMYFUNCTION("""COMPUTED_VALUE"""),"")</f>
        <v/>
      </c>
      <c r="W1598" s="106" t="str">
        <f>IFERROR(__xludf.DUMMYFUNCTION("""COMPUTED_VALUE"""),"")</f>
        <v/>
      </c>
      <c r="X1598" s="143" t="str">
        <f t="shared" si="2"/>
        <v/>
      </c>
      <c r="Y1598" s="139" t="str">
        <f>IFERROR(__xludf.DUMMYFUNCTION("""COMPUTED_VALUE"""),"")</f>
        <v/>
      </c>
      <c r="Z1598" s="141" t="str">
        <f>IFERROR(__xludf.DUMMYFUNCTION("""COMPUTED_VALUE"""),"")</f>
        <v/>
      </c>
    </row>
    <row r="1599">
      <c r="D1599" s="136" t="str">
        <f t="shared" si="3"/>
        <v/>
      </c>
      <c r="E1599" s="152"/>
      <c r="F1599" s="106" t="s">
        <v>133</v>
      </c>
      <c r="G1599" s="152"/>
      <c r="H1599" s="106" t="s">
        <v>133</v>
      </c>
      <c r="J1599" s="139" t="s">
        <v>133</v>
      </c>
      <c r="K1599" s="136" t="s">
        <v>133</v>
      </c>
      <c r="L1599" s="153"/>
      <c r="M1599" s="136" t="str">
        <f t="shared" si="1"/>
        <v/>
      </c>
      <c r="O1599" s="141" t="s">
        <v>133</v>
      </c>
      <c r="P1599" s="136" t="str">
        <f>IFERROR(__xludf.DUMMYFUNCTION("""COMPUTED_VALUE"""),"")</f>
        <v/>
      </c>
      <c r="Q1599" s="136" t="str">
        <f>IFERROR(__xludf.DUMMYFUNCTION("""COMPUTED_VALUE"""),"")</f>
        <v/>
      </c>
      <c r="R1599" s="106" t="str">
        <f>IFERROR(__xludf.DUMMYFUNCTION("""COMPUTED_VALUE"""),"")</f>
        <v/>
      </c>
      <c r="S1599" s="106" t="str">
        <f>IFERROR(__xludf.DUMMYFUNCTION("""COMPUTED_VALUE"""),"")</f>
        <v/>
      </c>
      <c r="T1599" s="139" t="str">
        <f>IFERROR(__xludf.DUMMYFUNCTION("""COMPUTED_VALUE"""),"")</f>
        <v/>
      </c>
      <c r="U1599" s="139" t="str">
        <f>IFERROR(__xludf.DUMMYFUNCTION("""COMPUTED_VALUE"""),"")</f>
        <v/>
      </c>
      <c r="V1599" s="136" t="str">
        <f>IFERROR(__xludf.DUMMYFUNCTION("""COMPUTED_VALUE"""),"")</f>
        <v/>
      </c>
      <c r="W1599" s="106" t="str">
        <f>IFERROR(__xludf.DUMMYFUNCTION("""COMPUTED_VALUE"""),"")</f>
        <v/>
      </c>
      <c r="X1599" s="143" t="str">
        <f t="shared" si="2"/>
        <v/>
      </c>
      <c r="Y1599" s="139" t="str">
        <f>IFERROR(__xludf.DUMMYFUNCTION("""COMPUTED_VALUE"""),"")</f>
        <v/>
      </c>
      <c r="Z1599" s="141" t="str">
        <f>IFERROR(__xludf.DUMMYFUNCTION("""COMPUTED_VALUE"""),"")</f>
        <v/>
      </c>
    </row>
    <row r="1600">
      <c r="D1600" s="136" t="str">
        <f t="shared" si="3"/>
        <v/>
      </c>
      <c r="E1600" s="152"/>
      <c r="F1600" s="106" t="s">
        <v>133</v>
      </c>
      <c r="G1600" s="152"/>
      <c r="H1600" s="106" t="s">
        <v>133</v>
      </c>
      <c r="J1600" s="139" t="s">
        <v>133</v>
      </c>
      <c r="K1600" s="136" t="s">
        <v>133</v>
      </c>
      <c r="L1600" s="153"/>
      <c r="M1600" s="136" t="str">
        <f t="shared" si="1"/>
        <v/>
      </c>
      <c r="O1600" s="141" t="s">
        <v>133</v>
      </c>
      <c r="P1600" s="136" t="str">
        <f>IFERROR(__xludf.DUMMYFUNCTION("""COMPUTED_VALUE"""),"")</f>
        <v/>
      </c>
      <c r="Q1600" s="136" t="str">
        <f>IFERROR(__xludf.DUMMYFUNCTION("""COMPUTED_VALUE"""),"")</f>
        <v/>
      </c>
      <c r="R1600" s="106" t="str">
        <f>IFERROR(__xludf.DUMMYFUNCTION("""COMPUTED_VALUE"""),"")</f>
        <v/>
      </c>
      <c r="S1600" s="106" t="str">
        <f>IFERROR(__xludf.DUMMYFUNCTION("""COMPUTED_VALUE"""),"")</f>
        <v/>
      </c>
      <c r="T1600" s="139" t="str">
        <f>IFERROR(__xludf.DUMMYFUNCTION("""COMPUTED_VALUE"""),"")</f>
        <v/>
      </c>
      <c r="U1600" s="139" t="str">
        <f>IFERROR(__xludf.DUMMYFUNCTION("""COMPUTED_VALUE"""),"")</f>
        <v/>
      </c>
      <c r="V1600" s="136" t="str">
        <f>IFERROR(__xludf.DUMMYFUNCTION("""COMPUTED_VALUE"""),"")</f>
        <v/>
      </c>
      <c r="W1600" s="106" t="str">
        <f>IFERROR(__xludf.DUMMYFUNCTION("""COMPUTED_VALUE"""),"")</f>
        <v/>
      </c>
      <c r="X1600" s="143" t="str">
        <f t="shared" si="2"/>
        <v/>
      </c>
      <c r="Y1600" s="139" t="str">
        <f>IFERROR(__xludf.DUMMYFUNCTION("""COMPUTED_VALUE"""),"")</f>
        <v/>
      </c>
      <c r="Z1600" s="141" t="str">
        <f>IFERROR(__xludf.DUMMYFUNCTION("""COMPUTED_VALUE"""),"")</f>
        <v/>
      </c>
    </row>
    <row r="1601">
      <c r="D1601" s="136" t="str">
        <f t="shared" si="3"/>
        <v/>
      </c>
      <c r="E1601" s="152"/>
      <c r="F1601" s="106" t="s">
        <v>133</v>
      </c>
      <c r="G1601" s="152"/>
      <c r="H1601" s="106" t="s">
        <v>133</v>
      </c>
      <c r="J1601" s="139" t="s">
        <v>133</v>
      </c>
      <c r="K1601" s="136" t="s">
        <v>133</v>
      </c>
      <c r="L1601" s="153"/>
      <c r="M1601" s="136" t="str">
        <f t="shared" si="1"/>
        <v/>
      </c>
      <c r="O1601" s="141" t="s">
        <v>133</v>
      </c>
      <c r="P1601" s="136" t="str">
        <f>IFERROR(__xludf.DUMMYFUNCTION("""COMPUTED_VALUE"""),"")</f>
        <v/>
      </c>
      <c r="Q1601" s="136" t="str">
        <f>IFERROR(__xludf.DUMMYFUNCTION("""COMPUTED_VALUE"""),"")</f>
        <v/>
      </c>
      <c r="R1601" s="106" t="str">
        <f>IFERROR(__xludf.DUMMYFUNCTION("""COMPUTED_VALUE"""),"")</f>
        <v/>
      </c>
      <c r="S1601" s="106" t="str">
        <f>IFERROR(__xludf.DUMMYFUNCTION("""COMPUTED_VALUE"""),"")</f>
        <v/>
      </c>
      <c r="T1601" s="139" t="str">
        <f>IFERROR(__xludf.DUMMYFUNCTION("""COMPUTED_VALUE"""),"")</f>
        <v/>
      </c>
      <c r="U1601" s="139" t="str">
        <f>IFERROR(__xludf.DUMMYFUNCTION("""COMPUTED_VALUE"""),"")</f>
        <v/>
      </c>
      <c r="V1601" s="136" t="str">
        <f>IFERROR(__xludf.DUMMYFUNCTION("""COMPUTED_VALUE"""),"")</f>
        <v/>
      </c>
      <c r="W1601" s="106" t="str">
        <f>IFERROR(__xludf.DUMMYFUNCTION("""COMPUTED_VALUE"""),"")</f>
        <v/>
      </c>
      <c r="X1601" s="143" t="str">
        <f t="shared" si="2"/>
        <v/>
      </c>
      <c r="Y1601" s="139" t="str">
        <f>IFERROR(__xludf.DUMMYFUNCTION("""COMPUTED_VALUE"""),"")</f>
        <v/>
      </c>
      <c r="Z1601" s="141" t="str">
        <f>IFERROR(__xludf.DUMMYFUNCTION("""COMPUTED_VALUE"""),"")</f>
        <v/>
      </c>
    </row>
    <row r="1602">
      <c r="D1602" s="136" t="str">
        <f t="shared" si="3"/>
        <v/>
      </c>
      <c r="E1602" s="152"/>
      <c r="F1602" s="106" t="s">
        <v>133</v>
      </c>
      <c r="G1602" s="152"/>
      <c r="H1602" s="106" t="s">
        <v>133</v>
      </c>
      <c r="J1602" s="139" t="s">
        <v>133</v>
      </c>
      <c r="K1602" s="136" t="s">
        <v>133</v>
      </c>
      <c r="L1602" s="153"/>
      <c r="M1602" s="136" t="str">
        <f t="shared" si="1"/>
        <v/>
      </c>
      <c r="O1602" s="141" t="s">
        <v>133</v>
      </c>
      <c r="P1602" s="136" t="str">
        <f>IFERROR(__xludf.DUMMYFUNCTION("""COMPUTED_VALUE"""),"")</f>
        <v/>
      </c>
      <c r="Q1602" s="136" t="str">
        <f>IFERROR(__xludf.DUMMYFUNCTION("""COMPUTED_VALUE"""),"")</f>
        <v/>
      </c>
      <c r="R1602" s="106" t="str">
        <f>IFERROR(__xludf.DUMMYFUNCTION("""COMPUTED_VALUE"""),"")</f>
        <v/>
      </c>
      <c r="S1602" s="106" t="str">
        <f>IFERROR(__xludf.DUMMYFUNCTION("""COMPUTED_VALUE"""),"")</f>
        <v/>
      </c>
      <c r="T1602" s="139" t="str">
        <f>IFERROR(__xludf.DUMMYFUNCTION("""COMPUTED_VALUE"""),"")</f>
        <v/>
      </c>
      <c r="U1602" s="139" t="str">
        <f>IFERROR(__xludf.DUMMYFUNCTION("""COMPUTED_VALUE"""),"")</f>
        <v/>
      </c>
      <c r="V1602" s="136" t="str">
        <f>IFERROR(__xludf.DUMMYFUNCTION("""COMPUTED_VALUE"""),"")</f>
        <v/>
      </c>
      <c r="W1602" s="106" t="str">
        <f>IFERROR(__xludf.DUMMYFUNCTION("""COMPUTED_VALUE"""),"")</f>
        <v/>
      </c>
      <c r="X1602" s="143" t="str">
        <f t="shared" si="2"/>
        <v/>
      </c>
      <c r="Y1602" s="139" t="str">
        <f>IFERROR(__xludf.DUMMYFUNCTION("""COMPUTED_VALUE"""),"")</f>
        <v/>
      </c>
      <c r="Z1602" s="141" t="str">
        <f>IFERROR(__xludf.DUMMYFUNCTION("""COMPUTED_VALUE"""),"")</f>
        <v/>
      </c>
    </row>
    <row r="1603">
      <c r="D1603" s="136" t="str">
        <f t="shared" si="3"/>
        <v/>
      </c>
      <c r="E1603" s="152"/>
      <c r="F1603" s="106" t="s">
        <v>133</v>
      </c>
      <c r="G1603" s="152"/>
      <c r="H1603" s="106" t="s">
        <v>133</v>
      </c>
      <c r="J1603" s="139" t="s">
        <v>133</v>
      </c>
      <c r="K1603" s="136" t="s">
        <v>133</v>
      </c>
      <c r="L1603" s="153"/>
      <c r="M1603" s="136" t="str">
        <f t="shared" si="1"/>
        <v/>
      </c>
      <c r="O1603" s="141" t="s">
        <v>133</v>
      </c>
      <c r="P1603" s="136" t="str">
        <f>IFERROR(__xludf.DUMMYFUNCTION("""COMPUTED_VALUE"""),"")</f>
        <v/>
      </c>
      <c r="Q1603" s="136" t="str">
        <f>IFERROR(__xludf.DUMMYFUNCTION("""COMPUTED_VALUE"""),"")</f>
        <v/>
      </c>
      <c r="R1603" s="106" t="str">
        <f>IFERROR(__xludf.DUMMYFUNCTION("""COMPUTED_VALUE"""),"")</f>
        <v/>
      </c>
      <c r="S1603" s="106" t="str">
        <f>IFERROR(__xludf.DUMMYFUNCTION("""COMPUTED_VALUE"""),"")</f>
        <v/>
      </c>
      <c r="T1603" s="139" t="str">
        <f>IFERROR(__xludf.DUMMYFUNCTION("""COMPUTED_VALUE"""),"")</f>
        <v/>
      </c>
      <c r="U1603" s="139" t="str">
        <f>IFERROR(__xludf.DUMMYFUNCTION("""COMPUTED_VALUE"""),"")</f>
        <v/>
      </c>
      <c r="V1603" s="136" t="str">
        <f>IFERROR(__xludf.DUMMYFUNCTION("""COMPUTED_VALUE"""),"")</f>
        <v/>
      </c>
      <c r="W1603" s="106" t="str">
        <f>IFERROR(__xludf.DUMMYFUNCTION("""COMPUTED_VALUE"""),"")</f>
        <v/>
      </c>
      <c r="X1603" s="143" t="str">
        <f t="shared" si="2"/>
        <v/>
      </c>
      <c r="Y1603" s="139" t="str">
        <f>IFERROR(__xludf.DUMMYFUNCTION("""COMPUTED_VALUE"""),"")</f>
        <v/>
      </c>
      <c r="Z1603" s="141" t="str">
        <f>IFERROR(__xludf.DUMMYFUNCTION("""COMPUTED_VALUE"""),"")</f>
        <v/>
      </c>
    </row>
    <row r="1604">
      <c r="D1604" s="136" t="str">
        <f t="shared" si="3"/>
        <v/>
      </c>
      <c r="E1604" s="152"/>
      <c r="F1604" s="106" t="s">
        <v>133</v>
      </c>
      <c r="G1604" s="152"/>
      <c r="H1604" s="106" t="s">
        <v>133</v>
      </c>
      <c r="J1604" s="139" t="s">
        <v>133</v>
      </c>
      <c r="K1604" s="136" t="s">
        <v>133</v>
      </c>
      <c r="L1604" s="153"/>
      <c r="M1604" s="136" t="str">
        <f t="shared" si="1"/>
        <v/>
      </c>
      <c r="O1604" s="141" t="s">
        <v>133</v>
      </c>
      <c r="P1604" s="136" t="str">
        <f>IFERROR(__xludf.DUMMYFUNCTION("""COMPUTED_VALUE"""),"")</f>
        <v/>
      </c>
      <c r="Q1604" s="136" t="str">
        <f>IFERROR(__xludf.DUMMYFUNCTION("""COMPUTED_VALUE"""),"")</f>
        <v/>
      </c>
      <c r="R1604" s="106" t="str">
        <f>IFERROR(__xludf.DUMMYFUNCTION("""COMPUTED_VALUE"""),"")</f>
        <v/>
      </c>
      <c r="S1604" s="106" t="str">
        <f>IFERROR(__xludf.DUMMYFUNCTION("""COMPUTED_VALUE"""),"")</f>
        <v/>
      </c>
      <c r="T1604" s="139" t="str">
        <f>IFERROR(__xludf.DUMMYFUNCTION("""COMPUTED_VALUE"""),"")</f>
        <v/>
      </c>
      <c r="U1604" s="139" t="str">
        <f>IFERROR(__xludf.DUMMYFUNCTION("""COMPUTED_VALUE"""),"")</f>
        <v/>
      </c>
      <c r="V1604" s="136" t="str">
        <f>IFERROR(__xludf.DUMMYFUNCTION("""COMPUTED_VALUE"""),"")</f>
        <v/>
      </c>
      <c r="W1604" s="106" t="str">
        <f>IFERROR(__xludf.DUMMYFUNCTION("""COMPUTED_VALUE"""),"")</f>
        <v/>
      </c>
      <c r="X1604" s="143" t="str">
        <f t="shared" si="2"/>
        <v/>
      </c>
      <c r="Y1604" s="139" t="str">
        <f>IFERROR(__xludf.DUMMYFUNCTION("""COMPUTED_VALUE"""),"")</f>
        <v/>
      </c>
      <c r="Z1604" s="141" t="str">
        <f>IFERROR(__xludf.DUMMYFUNCTION("""COMPUTED_VALUE"""),"")</f>
        <v/>
      </c>
    </row>
    <row r="1605">
      <c r="D1605" s="136" t="str">
        <f t="shared" si="3"/>
        <v/>
      </c>
      <c r="E1605" s="152"/>
      <c r="F1605" s="106" t="s">
        <v>133</v>
      </c>
      <c r="G1605" s="152"/>
      <c r="H1605" s="106" t="s">
        <v>133</v>
      </c>
      <c r="J1605" s="139" t="s">
        <v>133</v>
      </c>
      <c r="K1605" s="136" t="s">
        <v>133</v>
      </c>
      <c r="L1605" s="153"/>
      <c r="M1605" s="136" t="str">
        <f t="shared" si="1"/>
        <v/>
      </c>
      <c r="O1605" s="141" t="s">
        <v>133</v>
      </c>
      <c r="P1605" s="136" t="str">
        <f>IFERROR(__xludf.DUMMYFUNCTION("""COMPUTED_VALUE"""),"")</f>
        <v/>
      </c>
      <c r="Q1605" s="136" t="str">
        <f>IFERROR(__xludf.DUMMYFUNCTION("""COMPUTED_VALUE"""),"")</f>
        <v/>
      </c>
      <c r="R1605" s="106" t="str">
        <f>IFERROR(__xludf.DUMMYFUNCTION("""COMPUTED_VALUE"""),"")</f>
        <v/>
      </c>
      <c r="S1605" s="106" t="str">
        <f>IFERROR(__xludf.DUMMYFUNCTION("""COMPUTED_VALUE"""),"")</f>
        <v/>
      </c>
      <c r="T1605" s="139" t="str">
        <f>IFERROR(__xludf.DUMMYFUNCTION("""COMPUTED_VALUE"""),"")</f>
        <v/>
      </c>
      <c r="U1605" s="139" t="str">
        <f>IFERROR(__xludf.DUMMYFUNCTION("""COMPUTED_VALUE"""),"")</f>
        <v/>
      </c>
      <c r="V1605" s="136" t="str">
        <f>IFERROR(__xludf.DUMMYFUNCTION("""COMPUTED_VALUE"""),"")</f>
        <v/>
      </c>
      <c r="W1605" s="106" t="str">
        <f>IFERROR(__xludf.DUMMYFUNCTION("""COMPUTED_VALUE"""),"")</f>
        <v/>
      </c>
      <c r="X1605" s="143" t="str">
        <f t="shared" si="2"/>
        <v/>
      </c>
      <c r="Y1605" s="139" t="str">
        <f>IFERROR(__xludf.DUMMYFUNCTION("""COMPUTED_VALUE"""),"")</f>
        <v/>
      </c>
      <c r="Z1605" s="141" t="str">
        <f>IFERROR(__xludf.DUMMYFUNCTION("""COMPUTED_VALUE"""),"")</f>
        <v/>
      </c>
    </row>
    <row r="1606">
      <c r="D1606" s="136" t="str">
        <f t="shared" si="3"/>
        <v/>
      </c>
      <c r="E1606" s="152"/>
      <c r="F1606" s="106" t="s">
        <v>133</v>
      </c>
      <c r="G1606" s="152"/>
      <c r="H1606" s="106" t="s">
        <v>133</v>
      </c>
      <c r="J1606" s="139" t="s">
        <v>133</v>
      </c>
      <c r="K1606" s="136" t="s">
        <v>133</v>
      </c>
      <c r="L1606" s="153"/>
      <c r="M1606" s="136" t="str">
        <f t="shared" si="1"/>
        <v/>
      </c>
      <c r="O1606" s="141" t="s">
        <v>133</v>
      </c>
      <c r="P1606" s="136" t="str">
        <f>IFERROR(__xludf.DUMMYFUNCTION("""COMPUTED_VALUE"""),"")</f>
        <v/>
      </c>
      <c r="Q1606" s="136" t="str">
        <f>IFERROR(__xludf.DUMMYFUNCTION("""COMPUTED_VALUE"""),"")</f>
        <v/>
      </c>
      <c r="R1606" s="106" t="str">
        <f>IFERROR(__xludf.DUMMYFUNCTION("""COMPUTED_VALUE"""),"")</f>
        <v/>
      </c>
      <c r="S1606" s="106" t="str">
        <f>IFERROR(__xludf.DUMMYFUNCTION("""COMPUTED_VALUE"""),"")</f>
        <v/>
      </c>
      <c r="T1606" s="139" t="str">
        <f>IFERROR(__xludf.DUMMYFUNCTION("""COMPUTED_VALUE"""),"")</f>
        <v/>
      </c>
      <c r="U1606" s="139" t="str">
        <f>IFERROR(__xludf.DUMMYFUNCTION("""COMPUTED_VALUE"""),"")</f>
        <v/>
      </c>
      <c r="V1606" s="136" t="str">
        <f>IFERROR(__xludf.DUMMYFUNCTION("""COMPUTED_VALUE"""),"")</f>
        <v/>
      </c>
      <c r="W1606" s="106" t="str">
        <f>IFERROR(__xludf.DUMMYFUNCTION("""COMPUTED_VALUE"""),"")</f>
        <v/>
      </c>
      <c r="X1606" s="143" t="str">
        <f t="shared" si="2"/>
        <v/>
      </c>
      <c r="Y1606" s="139" t="str">
        <f>IFERROR(__xludf.DUMMYFUNCTION("""COMPUTED_VALUE"""),"")</f>
        <v/>
      </c>
      <c r="Z1606" s="141" t="str">
        <f>IFERROR(__xludf.DUMMYFUNCTION("""COMPUTED_VALUE"""),"")</f>
        <v/>
      </c>
    </row>
    <row r="1607">
      <c r="D1607" s="136" t="str">
        <f t="shared" si="3"/>
        <v/>
      </c>
      <c r="E1607" s="152"/>
      <c r="F1607" s="106" t="s">
        <v>133</v>
      </c>
      <c r="G1607" s="152"/>
      <c r="H1607" s="106" t="s">
        <v>133</v>
      </c>
      <c r="J1607" s="139" t="s">
        <v>133</v>
      </c>
      <c r="K1607" s="136" t="s">
        <v>133</v>
      </c>
      <c r="L1607" s="153"/>
      <c r="M1607" s="136" t="str">
        <f t="shared" si="1"/>
        <v/>
      </c>
      <c r="O1607" s="141" t="s">
        <v>133</v>
      </c>
      <c r="P1607" s="136" t="str">
        <f>IFERROR(__xludf.DUMMYFUNCTION("""COMPUTED_VALUE"""),"")</f>
        <v/>
      </c>
      <c r="Q1607" s="136" t="str">
        <f>IFERROR(__xludf.DUMMYFUNCTION("""COMPUTED_VALUE"""),"")</f>
        <v/>
      </c>
      <c r="R1607" s="106" t="str">
        <f>IFERROR(__xludf.DUMMYFUNCTION("""COMPUTED_VALUE"""),"")</f>
        <v/>
      </c>
      <c r="S1607" s="106" t="str">
        <f>IFERROR(__xludf.DUMMYFUNCTION("""COMPUTED_VALUE"""),"")</f>
        <v/>
      </c>
      <c r="T1607" s="139" t="str">
        <f>IFERROR(__xludf.DUMMYFUNCTION("""COMPUTED_VALUE"""),"")</f>
        <v/>
      </c>
      <c r="U1607" s="139" t="str">
        <f>IFERROR(__xludf.DUMMYFUNCTION("""COMPUTED_VALUE"""),"")</f>
        <v/>
      </c>
      <c r="V1607" s="136" t="str">
        <f>IFERROR(__xludf.DUMMYFUNCTION("""COMPUTED_VALUE"""),"")</f>
        <v/>
      </c>
      <c r="W1607" s="106" t="str">
        <f>IFERROR(__xludf.DUMMYFUNCTION("""COMPUTED_VALUE"""),"")</f>
        <v/>
      </c>
      <c r="X1607" s="143" t="str">
        <f t="shared" si="2"/>
        <v/>
      </c>
      <c r="Y1607" s="139" t="str">
        <f>IFERROR(__xludf.DUMMYFUNCTION("""COMPUTED_VALUE"""),"")</f>
        <v/>
      </c>
      <c r="Z1607" s="141" t="str">
        <f>IFERROR(__xludf.DUMMYFUNCTION("""COMPUTED_VALUE"""),"")</f>
        <v/>
      </c>
    </row>
    <row r="1608">
      <c r="D1608" s="136" t="str">
        <f t="shared" si="3"/>
        <v/>
      </c>
      <c r="E1608" s="152"/>
      <c r="F1608" s="106" t="s">
        <v>133</v>
      </c>
      <c r="G1608" s="152"/>
      <c r="H1608" s="106" t="s">
        <v>133</v>
      </c>
      <c r="J1608" s="139" t="s">
        <v>133</v>
      </c>
      <c r="K1608" s="136" t="s">
        <v>133</v>
      </c>
      <c r="L1608" s="153"/>
      <c r="M1608" s="136" t="str">
        <f t="shared" si="1"/>
        <v/>
      </c>
      <c r="O1608" s="141" t="s">
        <v>133</v>
      </c>
      <c r="P1608" s="136" t="str">
        <f>IFERROR(__xludf.DUMMYFUNCTION("""COMPUTED_VALUE"""),"")</f>
        <v/>
      </c>
      <c r="Q1608" s="136" t="str">
        <f>IFERROR(__xludf.DUMMYFUNCTION("""COMPUTED_VALUE"""),"")</f>
        <v/>
      </c>
      <c r="R1608" s="106" t="str">
        <f>IFERROR(__xludf.DUMMYFUNCTION("""COMPUTED_VALUE"""),"")</f>
        <v/>
      </c>
      <c r="S1608" s="106" t="str">
        <f>IFERROR(__xludf.DUMMYFUNCTION("""COMPUTED_VALUE"""),"")</f>
        <v/>
      </c>
      <c r="T1608" s="139" t="str">
        <f>IFERROR(__xludf.DUMMYFUNCTION("""COMPUTED_VALUE"""),"")</f>
        <v/>
      </c>
      <c r="U1608" s="139" t="str">
        <f>IFERROR(__xludf.DUMMYFUNCTION("""COMPUTED_VALUE"""),"")</f>
        <v/>
      </c>
      <c r="V1608" s="136" t="str">
        <f>IFERROR(__xludf.DUMMYFUNCTION("""COMPUTED_VALUE"""),"")</f>
        <v/>
      </c>
      <c r="W1608" s="106" t="str">
        <f>IFERROR(__xludf.DUMMYFUNCTION("""COMPUTED_VALUE"""),"")</f>
        <v/>
      </c>
      <c r="X1608" s="143" t="str">
        <f t="shared" si="2"/>
        <v/>
      </c>
      <c r="Y1608" s="139" t="str">
        <f>IFERROR(__xludf.DUMMYFUNCTION("""COMPUTED_VALUE"""),"")</f>
        <v/>
      </c>
      <c r="Z1608" s="141" t="str">
        <f>IFERROR(__xludf.DUMMYFUNCTION("""COMPUTED_VALUE"""),"")</f>
        <v/>
      </c>
    </row>
    <row r="1609">
      <c r="D1609" s="136" t="str">
        <f t="shared" si="3"/>
        <v/>
      </c>
      <c r="E1609" s="152"/>
      <c r="F1609" s="106" t="s">
        <v>133</v>
      </c>
      <c r="G1609" s="152"/>
      <c r="H1609" s="106" t="s">
        <v>133</v>
      </c>
      <c r="J1609" s="139" t="s">
        <v>133</v>
      </c>
      <c r="K1609" s="136" t="s">
        <v>133</v>
      </c>
      <c r="L1609" s="153"/>
      <c r="M1609" s="136" t="str">
        <f t="shared" si="1"/>
        <v/>
      </c>
      <c r="O1609" s="141" t="s">
        <v>133</v>
      </c>
      <c r="P1609" s="136" t="str">
        <f>IFERROR(__xludf.DUMMYFUNCTION("""COMPUTED_VALUE"""),"")</f>
        <v/>
      </c>
      <c r="Q1609" s="136" t="str">
        <f>IFERROR(__xludf.DUMMYFUNCTION("""COMPUTED_VALUE"""),"")</f>
        <v/>
      </c>
      <c r="R1609" s="106" t="str">
        <f>IFERROR(__xludf.DUMMYFUNCTION("""COMPUTED_VALUE"""),"")</f>
        <v/>
      </c>
      <c r="S1609" s="106" t="str">
        <f>IFERROR(__xludf.DUMMYFUNCTION("""COMPUTED_VALUE"""),"")</f>
        <v/>
      </c>
      <c r="T1609" s="139" t="str">
        <f>IFERROR(__xludf.DUMMYFUNCTION("""COMPUTED_VALUE"""),"")</f>
        <v/>
      </c>
      <c r="U1609" s="139" t="str">
        <f>IFERROR(__xludf.DUMMYFUNCTION("""COMPUTED_VALUE"""),"")</f>
        <v/>
      </c>
      <c r="V1609" s="136" t="str">
        <f>IFERROR(__xludf.DUMMYFUNCTION("""COMPUTED_VALUE"""),"")</f>
        <v/>
      </c>
      <c r="W1609" s="106" t="str">
        <f>IFERROR(__xludf.DUMMYFUNCTION("""COMPUTED_VALUE"""),"")</f>
        <v/>
      </c>
      <c r="X1609" s="143" t="str">
        <f t="shared" si="2"/>
        <v/>
      </c>
      <c r="Y1609" s="139" t="str">
        <f>IFERROR(__xludf.DUMMYFUNCTION("""COMPUTED_VALUE"""),"")</f>
        <v/>
      </c>
      <c r="Z1609" s="141" t="str">
        <f>IFERROR(__xludf.DUMMYFUNCTION("""COMPUTED_VALUE"""),"")</f>
        <v/>
      </c>
    </row>
    <row r="1610">
      <c r="D1610" s="136" t="str">
        <f t="shared" si="3"/>
        <v/>
      </c>
      <c r="E1610" s="152"/>
      <c r="F1610" s="106" t="s">
        <v>133</v>
      </c>
      <c r="G1610" s="152"/>
      <c r="H1610" s="106" t="s">
        <v>133</v>
      </c>
      <c r="J1610" s="139" t="s">
        <v>133</v>
      </c>
      <c r="K1610" s="136" t="s">
        <v>133</v>
      </c>
      <c r="L1610" s="153"/>
      <c r="M1610" s="136" t="str">
        <f t="shared" si="1"/>
        <v/>
      </c>
      <c r="O1610" s="141" t="s">
        <v>133</v>
      </c>
      <c r="P1610" s="136" t="str">
        <f>IFERROR(__xludf.DUMMYFUNCTION("""COMPUTED_VALUE"""),"")</f>
        <v/>
      </c>
      <c r="Q1610" s="136" t="str">
        <f>IFERROR(__xludf.DUMMYFUNCTION("""COMPUTED_VALUE"""),"")</f>
        <v/>
      </c>
      <c r="R1610" s="106" t="str">
        <f>IFERROR(__xludf.DUMMYFUNCTION("""COMPUTED_VALUE"""),"")</f>
        <v/>
      </c>
      <c r="S1610" s="106" t="str">
        <f>IFERROR(__xludf.DUMMYFUNCTION("""COMPUTED_VALUE"""),"")</f>
        <v/>
      </c>
      <c r="T1610" s="139" t="str">
        <f>IFERROR(__xludf.DUMMYFUNCTION("""COMPUTED_VALUE"""),"")</f>
        <v/>
      </c>
      <c r="U1610" s="139" t="str">
        <f>IFERROR(__xludf.DUMMYFUNCTION("""COMPUTED_VALUE"""),"")</f>
        <v/>
      </c>
      <c r="V1610" s="136" t="str">
        <f>IFERROR(__xludf.DUMMYFUNCTION("""COMPUTED_VALUE"""),"")</f>
        <v/>
      </c>
      <c r="W1610" s="106" t="str">
        <f>IFERROR(__xludf.DUMMYFUNCTION("""COMPUTED_VALUE"""),"")</f>
        <v/>
      </c>
      <c r="X1610" s="143" t="str">
        <f t="shared" si="2"/>
        <v/>
      </c>
      <c r="Y1610" s="139" t="str">
        <f>IFERROR(__xludf.DUMMYFUNCTION("""COMPUTED_VALUE"""),"")</f>
        <v/>
      </c>
      <c r="Z1610" s="141" t="str">
        <f>IFERROR(__xludf.DUMMYFUNCTION("""COMPUTED_VALUE"""),"")</f>
        <v/>
      </c>
    </row>
    <row r="1611">
      <c r="D1611" s="136" t="str">
        <f t="shared" si="3"/>
        <v/>
      </c>
      <c r="E1611" s="152"/>
      <c r="F1611" s="106" t="s">
        <v>133</v>
      </c>
      <c r="G1611" s="152"/>
      <c r="H1611" s="106" t="s">
        <v>133</v>
      </c>
      <c r="J1611" s="139" t="s">
        <v>133</v>
      </c>
      <c r="K1611" s="136" t="s">
        <v>133</v>
      </c>
      <c r="L1611" s="153"/>
      <c r="M1611" s="136" t="str">
        <f t="shared" si="1"/>
        <v/>
      </c>
      <c r="O1611" s="141" t="s">
        <v>133</v>
      </c>
      <c r="P1611" s="136" t="str">
        <f>IFERROR(__xludf.DUMMYFUNCTION("""COMPUTED_VALUE"""),"")</f>
        <v/>
      </c>
      <c r="Q1611" s="136" t="str">
        <f>IFERROR(__xludf.DUMMYFUNCTION("""COMPUTED_VALUE"""),"")</f>
        <v/>
      </c>
      <c r="R1611" s="106" t="str">
        <f>IFERROR(__xludf.DUMMYFUNCTION("""COMPUTED_VALUE"""),"")</f>
        <v/>
      </c>
      <c r="S1611" s="106" t="str">
        <f>IFERROR(__xludf.DUMMYFUNCTION("""COMPUTED_VALUE"""),"")</f>
        <v/>
      </c>
      <c r="T1611" s="139" t="str">
        <f>IFERROR(__xludf.DUMMYFUNCTION("""COMPUTED_VALUE"""),"")</f>
        <v/>
      </c>
      <c r="U1611" s="139" t="str">
        <f>IFERROR(__xludf.DUMMYFUNCTION("""COMPUTED_VALUE"""),"")</f>
        <v/>
      </c>
      <c r="V1611" s="136" t="str">
        <f>IFERROR(__xludf.DUMMYFUNCTION("""COMPUTED_VALUE"""),"")</f>
        <v/>
      </c>
      <c r="W1611" s="106" t="str">
        <f>IFERROR(__xludf.DUMMYFUNCTION("""COMPUTED_VALUE"""),"")</f>
        <v/>
      </c>
      <c r="X1611" s="143" t="str">
        <f t="shared" si="2"/>
        <v/>
      </c>
      <c r="Y1611" s="139" t="str">
        <f>IFERROR(__xludf.DUMMYFUNCTION("""COMPUTED_VALUE"""),"")</f>
        <v/>
      </c>
      <c r="Z1611" s="141" t="str">
        <f>IFERROR(__xludf.DUMMYFUNCTION("""COMPUTED_VALUE"""),"")</f>
        <v/>
      </c>
    </row>
    <row r="1612">
      <c r="D1612" s="136" t="str">
        <f t="shared" si="3"/>
        <v/>
      </c>
      <c r="E1612" s="152"/>
      <c r="F1612" s="106" t="s">
        <v>133</v>
      </c>
      <c r="G1612" s="152"/>
      <c r="H1612" s="106" t="s">
        <v>133</v>
      </c>
      <c r="J1612" s="139" t="s">
        <v>133</v>
      </c>
      <c r="K1612" s="136" t="s">
        <v>133</v>
      </c>
      <c r="L1612" s="153"/>
      <c r="M1612" s="136" t="str">
        <f t="shared" si="1"/>
        <v/>
      </c>
      <c r="O1612" s="141" t="s">
        <v>133</v>
      </c>
      <c r="P1612" s="136" t="str">
        <f>IFERROR(__xludf.DUMMYFUNCTION("""COMPUTED_VALUE"""),"")</f>
        <v/>
      </c>
      <c r="Q1612" s="136" t="str">
        <f>IFERROR(__xludf.DUMMYFUNCTION("""COMPUTED_VALUE"""),"")</f>
        <v/>
      </c>
      <c r="R1612" s="106" t="str">
        <f>IFERROR(__xludf.DUMMYFUNCTION("""COMPUTED_VALUE"""),"")</f>
        <v/>
      </c>
      <c r="S1612" s="106" t="str">
        <f>IFERROR(__xludf.DUMMYFUNCTION("""COMPUTED_VALUE"""),"")</f>
        <v/>
      </c>
      <c r="T1612" s="139" t="str">
        <f>IFERROR(__xludf.DUMMYFUNCTION("""COMPUTED_VALUE"""),"")</f>
        <v/>
      </c>
      <c r="U1612" s="139" t="str">
        <f>IFERROR(__xludf.DUMMYFUNCTION("""COMPUTED_VALUE"""),"")</f>
        <v/>
      </c>
      <c r="V1612" s="136" t="str">
        <f>IFERROR(__xludf.DUMMYFUNCTION("""COMPUTED_VALUE"""),"")</f>
        <v/>
      </c>
      <c r="W1612" s="106" t="str">
        <f>IFERROR(__xludf.DUMMYFUNCTION("""COMPUTED_VALUE"""),"")</f>
        <v/>
      </c>
      <c r="X1612" s="143" t="str">
        <f t="shared" si="2"/>
        <v/>
      </c>
      <c r="Y1612" s="139" t="str">
        <f>IFERROR(__xludf.DUMMYFUNCTION("""COMPUTED_VALUE"""),"")</f>
        <v/>
      </c>
      <c r="Z1612" s="141" t="str">
        <f>IFERROR(__xludf.DUMMYFUNCTION("""COMPUTED_VALUE"""),"")</f>
        <v/>
      </c>
    </row>
    <row r="1613">
      <c r="D1613" s="136" t="str">
        <f t="shared" si="3"/>
        <v/>
      </c>
      <c r="E1613" s="152"/>
      <c r="F1613" s="106" t="s">
        <v>133</v>
      </c>
      <c r="G1613" s="152"/>
      <c r="H1613" s="106" t="s">
        <v>133</v>
      </c>
      <c r="J1613" s="139" t="s">
        <v>133</v>
      </c>
      <c r="K1613" s="136" t="s">
        <v>133</v>
      </c>
      <c r="L1613" s="153"/>
      <c r="M1613" s="136" t="str">
        <f t="shared" si="1"/>
        <v/>
      </c>
      <c r="O1613" s="141" t="s">
        <v>133</v>
      </c>
      <c r="P1613" s="136" t="str">
        <f>IFERROR(__xludf.DUMMYFUNCTION("""COMPUTED_VALUE"""),"")</f>
        <v/>
      </c>
      <c r="Q1613" s="136" t="str">
        <f>IFERROR(__xludf.DUMMYFUNCTION("""COMPUTED_VALUE"""),"")</f>
        <v/>
      </c>
      <c r="R1613" s="106" t="str">
        <f>IFERROR(__xludf.DUMMYFUNCTION("""COMPUTED_VALUE"""),"")</f>
        <v/>
      </c>
      <c r="S1613" s="106" t="str">
        <f>IFERROR(__xludf.DUMMYFUNCTION("""COMPUTED_VALUE"""),"")</f>
        <v/>
      </c>
      <c r="T1613" s="139" t="str">
        <f>IFERROR(__xludf.DUMMYFUNCTION("""COMPUTED_VALUE"""),"")</f>
        <v/>
      </c>
      <c r="U1613" s="139" t="str">
        <f>IFERROR(__xludf.DUMMYFUNCTION("""COMPUTED_VALUE"""),"")</f>
        <v/>
      </c>
      <c r="V1613" s="136" t="str">
        <f>IFERROR(__xludf.DUMMYFUNCTION("""COMPUTED_VALUE"""),"")</f>
        <v/>
      </c>
      <c r="W1613" s="106" t="str">
        <f>IFERROR(__xludf.DUMMYFUNCTION("""COMPUTED_VALUE"""),"")</f>
        <v/>
      </c>
      <c r="X1613" s="143" t="str">
        <f t="shared" si="2"/>
        <v/>
      </c>
      <c r="Y1613" s="139" t="str">
        <f>IFERROR(__xludf.DUMMYFUNCTION("""COMPUTED_VALUE"""),"")</f>
        <v/>
      </c>
      <c r="Z1613" s="141" t="str">
        <f>IFERROR(__xludf.DUMMYFUNCTION("""COMPUTED_VALUE"""),"")</f>
        <v/>
      </c>
    </row>
    <row r="1614">
      <c r="D1614" s="136" t="str">
        <f t="shared" si="3"/>
        <v/>
      </c>
      <c r="E1614" s="152"/>
      <c r="F1614" s="106" t="s">
        <v>133</v>
      </c>
      <c r="G1614" s="152"/>
      <c r="H1614" s="106" t="s">
        <v>133</v>
      </c>
      <c r="J1614" s="139" t="s">
        <v>133</v>
      </c>
      <c r="K1614" s="136" t="s">
        <v>133</v>
      </c>
      <c r="L1614" s="153"/>
      <c r="M1614" s="136" t="str">
        <f t="shared" si="1"/>
        <v/>
      </c>
      <c r="O1614" s="141" t="s">
        <v>133</v>
      </c>
      <c r="P1614" s="136" t="str">
        <f>IFERROR(__xludf.DUMMYFUNCTION("""COMPUTED_VALUE"""),"")</f>
        <v/>
      </c>
      <c r="Q1614" s="136" t="str">
        <f>IFERROR(__xludf.DUMMYFUNCTION("""COMPUTED_VALUE"""),"")</f>
        <v/>
      </c>
      <c r="R1614" s="106" t="str">
        <f>IFERROR(__xludf.DUMMYFUNCTION("""COMPUTED_VALUE"""),"")</f>
        <v/>
      </c>
      <c r="S1614" s="106" t="str">
        <f>IFERROR(__xludf.DUMMYFUNCTION("""COMPUTED_VALUE"""),"")</f>
        <v/>
      </c>
      <c r="T1614" s="139" t="str">
        <f>IFERROR(__xludf.DUMMYFUNCTION("""COMPUTED_VALUE"""),"")</f>
        <v/>
      </c>
      <c r="U1614" s="139" t="str">
        <f>IFERROR(__xludf.DUMMYFUNCTION("""COMPUTED_VALUE"""),"")</f>
        <v/>
      </c>
      <c r="V1614" s="136" t="str">
        <f>IFERROR(__xludf.DUMMYFUNCTION("""COMPUTED_VALUE"""),"")</f>
        <v/>
      </c>
      <c r="W1614" s="106" t="str">
        <f>IFERROR(__xludf.DUMMYFUNCTION("""COMPUTED_VALUE"""),"")</f>
        <v/>
      </c>
      <c r="X1614" s="143" t="str">
        <f t="shared" si="2"/>
        <v/>
      </c>
      <c r="Y1614" s="139" t="str">
        <f>IFERROR(__xludf.DUMMYFUNCTION("""COMPUTED_VALUE"""),"")</f>
        <v/>
      </c>
      <c r="Z1614" s="141" t="str">
        <f>IFERROR(__xludf.DUMMYFUNCTION("""COMPUTED_VALUE"""),"")</f>
        <v/>
      </c>
    </row>
    <row r="1615">
      <c r="D1615" s="136" t="str">
        <f t="shared" si="3"/>
        <v/>
      </c>
      <c r="E1615" s="152"/>
      <c r="F1615" s="106" t="s">
        <v>133</v>
      </c>
      <c r="G1615" s="152"/>
      <c r="H1615" s="106" t="s">
        <v>133</v>
      </c>
      <c r="J1615" s="139" t="s">
        <v>133</v>
      </c>
      <c r="K1615" s="136" t="s">
        <v>133</v>
      </c>
      <c r="L1615" s="153"/>
      <c r="M1615" s="136" t="str">
        <f t="shared" si="1"/>
        <v/>
      </c>
      <c r="O1615" s="141" t="s">
        <v>133</v>
      </c>
      <c r="P1615" s="136" t="str">
        <f>IFERROR(__xludf.DUMMYFUNCTION("""COMPUTED_VALUE"""),"")</f>
        <v/>
      </c>
      <c r="Q1615" s="136" t="str">
        <f>IFERROR(__xludf.DUMMYFUNCTION("""COMPUTED_VALUE"""),"")</f>
        <v/>
      </c>
      <c r="R1615" s="106" t="str">
        <f>IFERROR(__xludf.DUMMYFUNCTION("""COMPUTED_VALUE"""),"")</f>
        <v/>
      </c>
      <c r="S1615" s="106" t="str">
        <f>IFERROR(__xludf.DUMMYFUNCTION("""COMPUTED_VALUE"""),"")</f>
        <v/>
      </c>
      <c r="T1615" s="139" t="str">
        <f>IFERROR(__xludf.DUMMYFUNCTION("""COMPUTED_VALUE"""),"")</f>
        <v/>
      </c>
      <c r="U1615" s="139" t="str">
        <f>IFERROR(__xludf.DUMMYFUNCTION("""COMPUTED_VALUE"""),"")</f>
        <v/>
      </c>
      <c r="V1615" s="136" t="str">
        <f>IFERROR(__xludf.DUMMYFUNCTION("""COMPUTED_VALUE"""),"")</f>
        <v/>
      </c>
      <c r="W1615" s="106" t="str">
        <f>IFERROR(__xludf.DUMMYFUNCTION("""COMPUTED_VALUE"""),"")</f>
        <v/>
      </c>
      <c r="X1615" s="143" t="str">
        <f t="shared" si="2"/>
        <v/>
      </c>
      <c r="Y1615" s="139" t="str">
        <f>IFERROR(__xludf.DUMMYFUNCTION("""COMPUTED_VALUE"""),"")</f>
        <v/>
      </c>
      <c r="Z1615" s="141" t="str">
        <f>IFERROR(__xludf.DUMMYFUNCTION("""COMPUTED_VALUE"""),"")</f>
        <v/>
      </c>
    </row>
    <row r="1616">
      <c r="D1616" s="136" t="str">
        <f t="shared" si="3"/>
        <v/>
      </c>
      <c r="E1616" s="152"/>
      <c r="F1616" s="106" t="s">
        <v>133</v>
      </c>
      <c r="G1616" s="152"/>
      <c r="H1616" s="106" t="s">
        <v>133</v>
      </c>
      <c r="J1616" s="139" t="s">
        <v>133</v>
      </c>
      <c r="K1616" s="136" t="s">
        <v>133</v>
      </c>
      <c r="L1616" s="153"/>
      <c r="M1616" s="136" t="str">
        <f t="shared" si="1"/>
        <v/>
      </c>
      <c r="O1616" s="141" t="s">
        <v>133</v>
      </c>
      <c r="P1616" s="136" t="str">
        <f>IFERROR(__xludf.DUMMYFUNCTION("""COMPUTED_VALUE"""),"")</f>
        <v/>
      </c>
      <c r="Q1616" s="136" t="str">
        <f>IFERROR(__xludf.DUMMYFUNCTION("""COMPUTED_VALUE"""),"")</f>
        <v/>
      </c>
      <c r="R1616" s="106" t="str">
        <f>IFERROR(__xludf.DUMMYFUNCTION("""COMPUTED_VALUE"""),"")</f>
        <v/>
      </c>
      <c r="S1616" s="106" t="str">
        <f>IFERROR(__xludf.DUMMYFUNCTION("""COMPUTED_VALUE"""),"")</f>
        <v/>
      </c>
      <c r="T1616" s="139" t="str">
        <f>IFERROR(__xludf.DUMMYFUNCTION("""COMPUTED_VALUE"""),"")</f>
        <v/>
      </c>
      <c r="U1616" s="139" t="str">
        <f>IFERROR(__xludf.DUMMYFUNCTION("""COMPUTED_VALUE"""),"")</f>
        <v/>
      </c>
      <c r="V1616" s="136" t="str">
        <f>IFERROR(__xludf.DUMMYFUNCTION("""COMPUTED_VALUE"""),"")</f>
        <v/>
      </c>
      <c r="W1616" s="106" t="str">
        <f>IFERROR(__xludf.DUMMYFUNCTION("""COMPUTED_VALUE"""),"")</f>
        <v/>
      </c>
      <c r="X1616" s="143" t="str">
        <f t="shared" si="2"/>
        <v/>
      </c>
      <c r="Y1616" s="139" t="str">
        <f>IFERROR(__xludf.DUMMYFUNCTION("""COMPUTED_VALUE"""),"")</f>
        <v/>
      </c>
      <c r="Z1616" s="141" t="str">
        <f>IFERROR(__xludf.DUMMYFUNCTION("""COMPUTED_VALUE"""),"")</f>
        <v/>
      </c>
    </row>
    <row r="1617">
      <c r="D1617" s="136" t="str">
        <f t="shared" si="3"/>
        <v/>
      </c>
      <c r="E1617" s="152"/>
      <c r="F1617" s="106" t="s">
        <v>133</v>
      </c>
      <c r="G1617" s="152"/>
      <c r="H1617" s="106" t="s">
        <v>133</v>
      </c>
      <c r="J1617" s="139" t="s">
        <v>133</v>
      </c>
      <c r="K1617" s="136" t="s">
        <v>133</v>
      </c>
      <c r="L1617" s="153"/>
      <c r="M1617" s="136" t="str">
        <f t="shared" si="1"/>
        <v/>
      </c>
      <c r="O1617" s="141" t="s">
        <v>133</v>
      </c>
      <c r="P1617" s="136" t="str">
        <f>IFERROR(__xludf.DUMMYFUNCTION("""COMPUTED_VALUE"""),"")</f>
        <v/>
      </c>
      <c r="Q1617" s="136" t="str">
        <f>IFERROR(__xludf.DUMMYFUNCTION("""COMPUTED_VALUE"""),"")</f>
        <v/>
      </c>
      <c r="R1617" s="106" t="str">
        <f>IFERROR(__xludf.DUMMYFUNCTION("""COMPUTED_VALUE"""),"")</f>
        <v/>
      </c>
      <c r="S1617" s="106" t="str">
        <f>IFERROR(__xludf.DUMMYFUNCTION("""COMPUTED_VALUE"""),"")</f>
        <v/>
      </c>
      <c r="T1617" s="139" t="str">
        <f>IFERROR(__xludf.DUMMYFUNCTION("""COMPUTED_VALUE"""),"")</f>
        <v/>
      </c>
      <c r="U1617" s="139" t="str">
        <f>IFERROR(__xludf.DUMMYFUNCTION("""COMPUTED_VALUE"""),"")</f>
        <v/>
      </c>
      <c r="V1617" s="136" t="str">
        <f>IFERROR(__xludf.DUMMYFUNCTION("""COMPUTED_VALUE"""),"")</f>
        <v/>
      </c>
      <c r="W1617" s="106" t="str">
        <f>IFERROR(__xludf.DUMMYFUNCTION("""COMPUTED_VALUE"""),"")</f>
        <v/>
      </c>
      <c r="X1617" s="143" t="str">
        <f t="shared" si="2"/>
        <v/>
      </c>
      <c r="Y1617" s="139" t="str">
        <f>IFERROR(__xludf.DUMMYFUNCTION("""COMPUTED_VALUE"""),"")</f>
        <v/>
      </c>
      <c r="Z1617" s="141" t="str">
        <f>IFERROR(__xludf.DUMMYFUNCTION("""COMPUTED_VALUE"""),"")</f>
        <v/>
      </c>
    </row>
    <row r="1618">
      <c r="D1618" s="136" t="str">
        <f t="shared" si="3"/>
        <v/>
      </c>
      <c r="E1618" s="152"/>
      <c r="F1618" s="106" t="s">
        <v>133</v>
      </c>
      <c r="G1618" s="152"/>
      <c r="H1618" s="106" t="s">
        <v>133</v>
      </c>
      <c r="J1618" s="139" t="s">
        <v>133</v>
      </c>
      <c r="K1618" s="136" t="s">
        <v>133</v>
      </c>
      <c r="L1618" s="153"/>
      <c r="M1618" s="136" t="str">
        <f t="shared" si="1"/>
        <v/>
      </c>
      <c r="O1618" s="141" t="s">
        <v>133</v>
      </c>
      <c r="P1618" s="136" t="str">
        <f>IFERROR(__xludf.DUMMYFUNCTION("""COMPUTED_VALUE"""),"")</f>
        <v/>
      </c>
      <c r="Q1618" s="136" t="str">
        <f>IFERROR(__xludf.DUMMYFUNCTION("""COMPUTED_VALUE"""),"")</f>
        <v/>
      </c>
      <c r="R1618" s="106" t="str">
        <f>IFERROR(__xludf.DUMMYFUNCTION("""COMPUTED_VALUE"""),"")</f>
        <v/>
      </c>
      <c r="S1618" s="106" t="str">
        <f>IFERROR(__xludf.DUMMYFUNCTION("""COMPUTED_VALUE"""),"")</f>
        <v/>
      </c>
      <c r="T1618" s="139" t="str">
        <f>IFERROR(__xludf.DUMMYFUNCTION("""COMPUTED_VALUE"""),"")</f>
        <v/>
      </c>
      <c r="U1618" s="139" t="str">
        <f>IFERROR(__xludf.DUMMYFUNCTION("""COMPUTED_VALUE"""),"")</f>
        <v/>
      </c>
      <c r="V1618" s="136" t="str">
        <f>IFERROR(__xludf.DUMMYFUNCTION("""COMPUTED_VALUE"""),"")</f>
        <v/>
      </c>
      <c r="W1618" s="106" t="str">
        <f>IFERROR(__xludf.DUMMYFUNCTION("""COMPUTED_VALUE"""),"")</f>
        <v/>
      </c>
      <c r="X1618" s="143" t="str">
        <f t="shared" si="2"/>
        <v/>
      </c>
      <c r="Y1618" s="139" t="str">
        <f>IFERROR(__xludf.DUMMYFUNCTION("""COMPUTED_VALUE"""),"")</f>
        <v/>
      </c>
      <c r="Z1618" s="141" t="str">
        <f>IFERROR(__xludf.DUMMYFUNCTION("""COMPUTED_VALUE"""),"")</f>
        <v/>
      </c>
    </row>
    <row r="1619">
      <c r="D1619" s="136" t="str">
        <f t="shared" si="3"/>
        <v/>
      </c>
      <c r="E1619" s="152"/>
      <c r="F1619" s="106" t="s">
        <v>133</v>
      </c>
      <c r="G1619" s="152"/>
      <c r="H1619" s="106" t="s">
        <v>133</v>
      </c>
      <c r="J1619" s="139" t="s">
        <v>133</v>
      </c>
      <c r="K1619" s="136" t="s">
        <v>133</v>
      </c>
      <c r="L1619" s="153"/>
      <c r="M1619" s="136" t="str">
        <f t="shared" si="1"/>
        <v/>
      </c>
      <c r="O1619" s="141" t="s">
        <v>133</v>
      </c>
      <c r="P1619" s="136" t="str">
        <f>IFERROR(__xludf.DUMMYFUNCTION("""COMPUTED_VALUE"""),"")</f>
        <v/>
      </c>
      <c r="Q1619" s="136" t="str">
        <f>IFERROR(__xludf.DUMMYFUNCTION("""COMPUTED_VALUE"""),"")</f>
        <v/>
      </c>
      <c r="R1619" s="106" t="str">
        <f>IFERROR(__xludf.DUMMYFUNCTION("""COMPUTED_VALUE"""),"")</f>
        <v/>
      </c>
      <c r="S1619" s="106" t="str">
        <f>IFERROR(__xludf.DUMMYFUNCTION("""COMPUTED_VALUE"""),"")</f>
        <v/>
      </c>
      <c r="T1619" s="139" t="str">
        <f>IFERROR(__xludf.DUMMYFUNCTION("""COMPUTED_VALUE"""),"")</f>
        <v/>
      </c>
      <c r="U1619" s="139" t="str">
        <f>IFERROR(__xludf.DUMMYFUNCTION("""COMPUTED_VALUE"""),"")</f>
        <v/>
      </c>
      <c r="V1619" s="136" t="str">
        <f>IFERROR(__xludf.DUMMYFUNCTION("""COMPUTED_VALUE"""),"")</f>
        <v/>
      </c>
      <c r="W1619" s="106" t="str">
        <f>IFERROR(__xludf.DUMMYFUNCTION("""COMPUTED_VALUE"""),"")</f>
        <v/>
      </c>
      <c r="X1619" s="143" t="str">
        <f t="shared" si="2"/>
        <v/>
      </c>
      <c r="Y1619" s="139" t="str">
        <f>IFERROR(__xludf.DUMMYFUNCTION("""COMPUTED_VALUE"""),"")</f>
        <v/>
      </c>
      <c r="Z1619" s="141" t="str">
        <f>IFERROR(__xludf.DUMMYFUNCTION("""COMPUTED_VALUE"""),"")</f>
        <v/>
      </c>
    </row>
    <row r="1620">
      <c r="D1620" s="136" t="str">
        <f t="shared" si="3"/>
        <v/>
      </c>
      <c r="E1620" s="152"/>
      <c r="F1620" s="106" t="s">
        <v>133</v>
      </c>
      <c r="G1620" s="152"/>
      <c r="H1620" s="106" t="s">
        <v>133</v>
      </c>
      <c r="J1620" s="139" t="s">
        <v>133</v>
      </c>
      <c r="K1620" s="136" t="s">
        <v>133</v>
      </c>
      <c r="L1620" s="153"/>
      <c r="M1620" s="136" t="str">
        <f t="shared" si="1"/>
        <v/>
      </c>
      <c r="O1620" s="141" t="s">
        <v>133</v>
      </c>
      <c r="P1620" s="136" t="str">
        <f>IFERROR(__xludf.DUMMYFUNCTION("""COMPUTED_VALUE"""),"")</f>
        <v/>
      </c>
      <c r="Q1620" s="136" t="str">
        <f>IFERROR(__xludf.DUMMYFUNCTION("""COMPUTED_VALUE"""),"")</f>
        <v/>
      </c>
      <c r="R1620" s="106" t="str">
        <f>IFERROR(__xludf.DUMMYFUNCTION("""COMPUTED_VALUE"""),"")</f>
        <v/>
      </c>
      <c r="S1620" s="106" t="str">
        <f>IFERROR(__xludf.DUMMYFUNCTION("""COMPUTED_VALUE"""),"")</f>
        <v/>
      </c>
      <c r="T1620" s="139" t="str">
        <f>IFERROR(__xludf.DUMMYFUNCTION("""COMPUTED_VALUE"""),"")</f>
        <v/>
      </c>
      <c r="U1620" s="139" t="str">
        <f>IFERROR(__xludf.DUMMYFUNCTION("""COMPUTED_VALUE"""),"")</f>
        <v/>
      </c>
      <c r="V1620" s="136" t="str">
        <f>IFERROR(__xludf.DUMMYFUNCTION("""COMPUTED_VALUE"""),"")</f>
        <v/>
      </c>
      <c r="W1620" s="106" t="str">
        <f>IFERROR(__xludf.DUMMYFUNCTION("""COMPUTED_VALUE"""),"")</f>
        <v/>
      </c>
      <c r="X1620" s="143" t="str">
        <f t="shared" si="2"/>
        <v/>
      </c>
      <c r="Y1620" s="139" t="str">
        <f>IFERROR(__xludf.DUMMYFUNCTION("""COMPUTED_VALUE"""),"")</f>
        <v/>
      </c>
      <c r="Z1620" s="141" t="str">
        <f>IFERROR(__xludf.DUMMYFUNCTION("""COMPUTED_VALUE"""),"")</f>
        <v/>
      </c>
    </row>
    <row r="1621">
      <c r="D1621" s="136" t="str">
        <f t="shared" si="3"/>
        <v/>
      </c>
      <c r="E1621" s="152"/>
      <c r="F1621" s="106" t="s">
        <v>133</v>
      </c>
      <c r="G1621" s="152"/>
      <c r="H1621" s="106" t="s">
        <v>133</v>
      </c>
      <c r="J1621" s="139" t="s">
        <v>133</v>
      </c>
      <c r="K1621" s="136" t="s">
        <v>133</v>
      </c>
      <c r="L1621" s="153"/>
      <c r="M1621" s="136" t="str">
        <f t="shared" si="1"/>
        <v/>
      </c>
      <c r="O1621" s="141" t="s">
        <v>133</v>
      </c>
      <c r="P1621" s="136" t="str">
        <f>IFERROR(__xludf.DUMMYFUNCTION("""COMPUTED_VALUE"""),"")</f>
        <v/>
      </c>
      <c r="Q1621" s="136" t="str">
        <f>IFERROR(__xludf.DUMMYFUNCTION("""COMPUTED_VALUE"""),"")</f>
        <v/>
      </c>
      <c r="R1621" s="106" t="str">
        <f>IFERROR(__xludf.DUMMYFUNCTION("""COMPUTED_VALUE"""),"")</f>
        <v/>
      </c>
      <c r="S1621" s="106" t="str">
        <f>IFERROR(__xludf.DUMMYFUNCTION("""COMPUTED_VALUE"""),"")</f>
        <v/>
      </c>
      <c r="T1621" s="139" t="str">
        <f>IFERROR(__xludf.DUMMYFUNCTION("""COMPUTED_VALUE"""),"")</f>
        <v/>
      </c>
      <c r="U1621" s="139" t="str">
        <f>IFERROR(__xludf.DUMMYFUNCTION("""COMPUTED_VALUE"""),"")</f>
        <v/>
      </c>
      <c r="V1621" s="136" t="str">
        <f>IFERROR(__xludf.DUMMYFUNCTION("""COMPUTED_VALUE"""),"")</f>
        <v/>
      </c>
      <c r="W1621" s="106" t="str">
        <f>IFERROR(__xludf.DUMMYFUNCTION("""COMPUTED_VALUE"""),"")</f>
        <v/>
      </c>
      <c r="X1621" s="143" t="str">
        <f t="shared" si="2"/>
        <v/>
      </c>
      <c r="Y1621" s="139" t="str">
        <f>IFERROR(__xludf.DUMMYFUNCTION("""COMPUTED_VALUE"""),"")</f>
        <v/>
      </c>
      <c r="Z1621" s="141" t="str">
        <f>IFERROR(__xludf.DUMMYFUNCTION("""COMPUTED_VALUE"""),"")</f>
        <v/>
      </c>
    </row>
    <row r="1622">
      <c r="D1622" s="136" t="str">
        <f t="shared" si="3"/>
        <v/>
      </c>
      <c r="E1622" s="152"/>
      <c r="F1622" s="106" t="s">
        <v>133</v>
      </c>
      <c r="G1622" s="152"/>
      <c r="H1622" s="106" t="s">
        <v>133</v>
      </c>
      <c r="J1622" s="139" t="s">
        <v>133</v>
      </c>
      <c r="K1622" s="136" t="s">
        <v>133</v>
      </c>
      <c r="L1622" s="153"/>
      <c r="M1622" s="136" t="str">
        <f t="shared" si="1"/>
        <v/>
      </c>
      <c r="O1622" s="141" t="s">
        <v>133</v>
      </c>
      <c r="P1622" s="136" t="str">
        <f>IFERROR(__xludf.DUMMYFUNCTION("""COMPUTED_VALUE"""),"")</f>
        <v/>
      </c>
      <c r="Q1622" s="136" t="str">
        <f>IFERROR(__xludf.DUMMYFUNCTION("""COMPUTED_VALUE"""),"")</f>
        <v/>
      </c>
      <c r="R1622" s="106" t="str">
        <f>IFERROR(__xludf.DUMMYFUNCTION("""COMPUTED_VALUE"""),"")</f>
        <v/>
      </c>
      <c r="S1622" s="106" t="str">
        <f>IFERROR(__xludf.DUMMYFUNCTION("""COMPUTED_VALUE"""),"")</f>
        <v/>
      </c>
      <c r="T1622" s="139" t="str">
        <f>IFERROR(__xludf.DUMMYFUNCTION("""COMPUTED_VALUE"""),"")</f>
        <v/>
      </c>
      <c r="U1622" s="139" t="str">
        <f>IFERROR(__xludf.DUMMYFUNCTION("""COMPUTED_VALUE"""),"")</f>
        <v/>
      </c>
      <c r="V1622" s="136" t="str">
        <f>IFERROR(__xludf.DUMMYFUNCTION("""COMPUTED_VALUE"""),"")</f>
        <v/>
      </c>
      <c r="W1622" s="106" t="str">
        <f>IFERROR(__xludf.DUMMYFUNCTION("""COMPUTED_VALUE"""),"")</f>
        <v/>
      </c>
      <c r="X1622" s="143" t="str">
        <f t="shared" si="2"/>
        <v/>
      </c>
      <c r="Y1622" s="139" t="str">
        <f>IFERROR(__xludf.DUMMYFUNCTION("""COMPUTED_VALUE"""),"")</f>
        <v/>
      </c>
      <c r="Z1622" s="141" t="str">
        <f>IFERROR(__xludf.DUMMYFUNCTION("""COMPUTED_VALUE"""),"")</f>
        <v/>
      </c>
    </row>
    <row r="1623">
      <c r="D1623" s="136" t="str">
        <f t="shared" si="3"/>
        <v/>
      </c>
      <c r="E1623" s="152"/>
      <c r="F1623" s="106" t="s">
        <v>133</v>
      </c>
      <c r="G1623" s="152"/>
      <c r="H1623" s="106" t="s">
        <v>133</v>
      </c>
      <c r="J1623" s="139" t="s">
        <v>133</v>
      </c>
      <c r="K1623" s="136" t="s">
        <v>133</v>
      </c>
      <c r="L1623" s="153"/>
      <c r="M1623" s="136" t="str">
        <f t="shared" si="1"/>
        <v/>
      </c>
      <c r="O1623" s="141" t="s">
        <v>133</v>
      </c>
      <c r="P1623" s="136" t="str">
        <f>IFERROR(__xludf.DUMMYFUNCTION("""COMPUTED_VALUE"""),"")</f>
        <v/>
      </c>
      <c r="Q1623" s="136" t="str">
        <f>IFERROR(__xludf.DUMMYFUNCTION("""COMPUTED_VALUE"""),"")</f>
        <v/>
      </c>
      <c r="R1623" s="106" t="str">
        <f>IFERROR(__xludf.DUMMYFUNCTION("""COMPUTED_VALUE"""),"")</f>
        <v/>
      </c>
      <c r="S1623" s="106" t="str">
        <f>IFERROR(__xludf.DUMMYFUNCTION("""COMPUTED_VALUE"""),"")</f>
        <v/>
      </c>
      <c r="T1623" s="139" t="str">
        <f>IFERROR(__xludf.DUMMYFUNCTION("""COMPUTED_VALUE"""),"")</f>
        <v/>
      </c>
      <c r="U1623" s="139" t="str">
        <f>IFERROR(__xludf.DUMMYFUNCTION("""COMPUTED_VALUE"""),"")</f>
        <v/>
      </c>
      <c r="V1623" s="136" t="str">
        <f>IFERROR(__xludf.DUMMYFUNCTION("""COMPUTED_VALUE"""),"")</f>
        <v/>
      </c>
      <c r="W1623" s="106" t="str">
        <f>IFERROR(__xludf.DUMMYFUNCTION("""COMPUTED_VALUE"""),"")</f>
        <v/>
      </c>
      <c r="X1623" s="143" t="str">
        <f t="shared" si="2"/>
        <v/>
      </c>
      <c r="Y1623" s="139" t="str">
        <f>IFERROR(__xludf.DUMMYFUNCTION("""COMPUTED_VALUE"""),"")</f>
        <v/>
      </c>
      <c r="Z1623" s="141" t="str">
        <f>IFERROR(__xludf.DUMMYFUNCTION("""COMPUTED_VALUE"""),"")</f>
        <v/>
      </c>
    </row>
    <row r="1624">
      <c r="D1624" s="136" t="str">
        <f t="shared" si="3"/>
        <v/>
      </c>
      <c r="E1624" s="152"/>
      <c r="F1624" s="106" t="s">
        <v>133</v>
      </c>
      <c r="G1624" s="152"/>
      <c r="H1624" s="106" t="s">
        <v>133</v>
      </c>
      <c r="J1624" s="139" t="s">
        <v>133</v>
      </c>
      <c r="K1624" s="136" t="s">
        <v>133</v>
      </c>
      <c r="L1624" s="153"/>
      <c r="M1624" s="136" t="str">
        <f t="shared" si="1"/>
        <v/>
      </c>
      <c r="O1624" s="141" t="s">
        <v>133</v>
      </c>
      <c r="P1624" s="136" t="str">
        <f>IFERROR(__xludf.DUMMYFUNCTION("""COMPUTED_VALUE"""),"")</f>
        <v/>
      </c>
      <c r="Q1624" s="136" t="str">
        <f>IFERROR(__xludf.DUMMYFUNCTION("""COMPUTED_VALUE"""),"")</f>
        <v/>
      </c>
      <c r="R1624" s="106" t="str">
        <f>IFERROR(__xludf.DUMMYFUNCTION("""COMPUTED_VALUE"""),"")</f>
        <v/>
      </c>
      <c r="S1624" s="106" t="str">
        <f>IFERROR(__xludf.DUMMYFUNCTION("""COMPUTED_VALUE"""),"")</f>
        <v/>
      </c>
      <c r="T1624" s="139" t="str">
        <f>IFERROR(__xludf.DUMMYFUNCTION("""COMPUTED_VALUE"""),"")</f>
        <v/>
      </c>
      <c r="U1624" s="139" t="str">
        <f>IFERROR(__xludf.DUMMYFUNCTION("""COMPUTED_VALUE"""),"")</f>
        <v/>
      </c>
      <c r="V1624" s="136" t="str">
        <f>IFERROR(__xludf.DUMMYFUNCTION("""COMPUTED_VALUE"""),"")</f>
        <v/>
      </c>
      <c r="W1624" s="106" t="str">
        <f>IFERROR(__xludf.DUMMYFUNCTION("""COMPUTED_VALUE"""),"")</f>
        <v/>
      </c>
      <c r="X1624" s="143" t="str">
        <f t="shared" si="2"/>
        <v/>
      </c>
      <c r="Y1624" s="139" t="str">
        <f>IFERROR(__xludf.DUMMYFUNCTION("""COMPUTED_VALUE"""),"")</f>
        <v/>
      </c>
      <c r="Z1624" s="141" t="str">
        <f>IFERROR(__xludf.DUMMYFUNCTION("""COMPUTED_VALUE"""),"")</f>
        <v/>
      </c>
    </row>
    <row r="1625">
      <c r="D1625" s="136" t="str">
        <f t="shared" si="3"/>
        <v/>
      </c>
      <c r="E1625" s="152"/>
      <c r="F1625" s="106" t="s">
        <v>133</v>
      </c>
      <c r="G1625" s="152"/>
      <c r="H1625" s="106" t="s">
        <v>133</v>
      </c>
      <c r="J1625" s="139" t="s">
        <v>133</v>
      </c>
      <c r="K1625" s="136" t="s">
        <v>133</v>
      </c>
      <c r="L1625" s="153"/>
      <c r="M1625" s="136" t="str">
        <f t="shared" si="1"/>
        <v/>
      </c>
      <c r="O1625" s="141" t="s">
        <v>133</v>
      </c>
      <c r="P1625" s="136" t="str">
        <f>IFERROR(__xludf.DUMMYFUNCTION("""COMPUTED_VALUE"""),"")</f>
        <v/>
      </c>
      <c r="Q1625" s="136" t="str">
        <f>IFERROR(__xludf.DUMMYFUNCTION("""COMPUTED_VALUE"""),"")</f>
        <v/>
      </c>
      <c r="R1625" s="106" t="str">
        <f>IFERROR(__xludf.DUMMYFUNCTION("""COMPUTED_VALUE"""),"")</f>
        <v/>
      </c>
      <c r="S1625" s="106" t="str">
        <f>IFERROR(__xludf.DUMMYFUNCTION("""COMPUTED_VALUE"""),"")</f>
        <v/>
      </c>
      <c r="T1625" s="139" t="str">
        <f>IFERROR(__xludf.DUMMYFUNCTION("""COMPUTED_VALUE"""),"")</f>
        <v/>
      </c>
      <c r="U1625" s="139" t="str">
        <f>IFERROR(__xludf.DUMMYFUNCTION("""COMPUTED_VALUE"""),"")</f>
        <v/>
      </c>
      <c r="V1625" s="136" t="str">
        <f>IFERROR(__xludf.DUMMYFUNCTION("""COMPUTED_VALUE"""),"")</f>
        <v/>
      </c>
      <c r="W1625" s="106" t="str">
        <f>IFERROR(__xludf.DUMMYFUNCTION("""COMPUTED_VALUE"""),"")</f>
        <v/>
      </c>
      <c r="X1625" s="143" t="str">
        <f t="shared" si="2"/>
        <v/>
      </c>
      <c r="Y1625" s="139" t="str">
        <f>IFERROR(__xludf.DUMMYFUNCTION("""COMPUTED_VALUE"""),"")</f>
        <v/>
      </c>
      <c r="Z1625" s="141" t="str">
        <f>IFERROR(__xludf.DUMMYFUNCTION("""COMPUTED_VALUE"""),"")</f>
        <v/>
      </c>
    </row>
    <row r="1626">
      <c r="D1626" s="136" t="str">
        <f t="shared" si="3"/>
        <v/>
      </c>
      <c r="E1626" s="152"/>
      <c r="F1626" s="106" t="s">
        <v>133</v>
      </c>
      <c r="G1626" s="152"/>
      <c r="H1626" s="106" t="s">
        <v>133</v>
      </c>
      <c r="J1626" s="139" t="s">
        <v>133</v>
      </c>
      <c r="K1626" s="136" t="s">
        <v>133</v>
      </c>
      <c r="L1626" s="153"/>
      <c r="M1626" s="136" t="str">
        <f t="shared" si="1"/>
        <v/>
      </c>
      <c r="O1626" s="141" t="s">
        <v>133</v>
      </c>
      <c r="P1626" s="136" t="str">
        <f>IFERROR(__xludf.DUMMYFUNCTION("""COMPUTED_VALUE"""),"")</f>
        <v/>
      </c>
      <c r="Q1626" s="136" t="str">
        <f>IFERROR(__xludf.DUMMYFUNCTION("""COMPUTED_VALUE"""),"")</f>
        <v/>
      </c>
      <c r="R1626" s="106" t="str">
        <f>IFERROR(__xludf.DUMMYFUNCTION("""COMPUTED_VALUE"""),"")</f>
        <v/>
      </c>
      <c r="S1626" s="106" t="str">
        <f>IFERROR(__xludf.DUMMYFUNCTION("""COMPUTED_VALUE"""),"")</f>
        <v/>
      </c>
      <c r="T1626" s="139" t="str">
        <f>IFERROR(__xludf.DUMMYFUNCTION("""COMPUTED_VALUE"""),"")</f>
        <v/>
      </c>
      <c r="U1626" s="139" t="str">
        <f>IFERROR(__xludf.DUMMYFUNCTION("""COMPUTED_VALUE"""),"")</f>
        <v/>
      </c>
      <c r="V1626" s="136" t="str">
        <f>IFERROR(__xludf.DUMMYFUNCTION("""COMPUTED_VALUE"""),"")</f>
        <v/>
      </c>
      <c r="W1626" s="106" t="str">
        <f>IFERROR(__xludf.DUMMYFUNCTION("""COMPUTED_VALUE"""),"")</f>
        <v/>
      </c>
      <c r="X1626" s="143" t="str">
        <f t="shared" si="2"/>
        <v/>
      </c>
      <c r="Y1626" s="139" t="str">
        <f>IFERROR(__xludf.DUMMYFUNCTION("""COMPUTED_VALUE"""),"")</f>
        <v/>
      </c>
      <c r="Z1626" s="141" t="str">
        <f>IFERROR(__xludf.DUMMYFUNCTION("""COMPUTED_VALUE"""),"")</f>
        <v/>
      </c>
    </row>
    <row r="1627">
      <c r="D1627" s="136" t="str">
        <f t="shared" si="3"/>
        <v/>
      </c>
      <c r="E1627" s="152"/>
      <c r="F1627" s="106" t="s">
        <v>133</v>
      </c>
      <c r="G1627" s="152"/>
      <c r="H1627" s="106" t="s">
        <v>133</v>
      </c>
      <c r="J1627" s="139" t="s">
        <v>133</v>
      </c>
      <c r="K1627" s="136" t="s">
        <v>133</v>
      </c>
      <c r="L1627" s="153"/>
      <c r="M1627" s="136" t="str">
        <f t="shared" si="1"/>
        <v/>
      </c>
      <c r="O1627" s="141" t="s">
        <v>133</v>
      </c>
      <c r="P1627" s="136" t="str">
        <f>IFERROR(__xludf.DUMMYFUNCTION("""COMPUTED_VALUE"""),"")</f>
        <v/>
      </c>
      <c r="Q1627" s="136" t="str">
        <f>IFERROR(__xludf.DUMMYFUNCTION("""COMPUTED_VALUE"""),"")</f>
        <v/>
      </c>
      <c r="R1627" s="106" t="str">
        <f>IFERROR(__xludf.DUMMYFUNCTION("""COMPUTED_VALUE"""),"")</f>
        <v/>
      </c>
      <c r="S1627" s="106" t="str">
        <f>IFERROR(__xludf.DUMMYFUNCTION("""COMPUTED_VALUE"""),"")</f>
        <v/>
      </c>
      <c r="T1627" s="139" t="str">
        <f>IFERROR(__xludf.DUMMYFUNCTION("""COMPUTED_VALUE"""),"")</f>
        <v/>
      </c>
      <c r="U1627" s="139" t="str">
        <f>IFERROR(__xludf.DUMMYFUNCTION("""COMPUTED_VALUE"""),"")</f>
        <v/>
      </c>
      <c r="V1627" s="136" t="str">
        <f>IFERROR(__xludf.DUMMYFUNCTION("""COMPUTED_VALUE"""),"")</f>
        <v/>
      </c>
      <c r="W1627" s="106" t="str">
        <f>IFERROR(__xludf.DUMMYFUNCTION("""COMPUTED_VALUE"""),"")</f>
        <v/>
      </c>
      <c r="X1627" s="143" t="str">
        <f t="shared" si="2"/>
        <v/>
      </c>
      <c r="Y1627" s="139" t="str">
        <f>IFERROR(__xludf.DUMMYFUNCTION("""COMPUTED_VALUE"""),"")</f>
        <v/>
      </c>
      <c r="Z1627" s="141" t="str">
        <f>IFERROR(__xludf.DUMMYFUNCTION("""COMPUTED_VALUE"""),"")</f>
        <v/>
      </c>
    </row>
    <row r="1628">
      <c r="D1628" s="136" t="str">
        <f t="shared" si="3"/>
        <v/>
      </c>
      <c r="E1628" s="152"/>
      <c r="F1628" s="106" t="s">
        <v>133</v>
      </c>
      <c r="G1628" s="152"/>
      <c r="H1628" s="106" t="s">
        <v>133</v>
      </c>
      <c r="J1628" s="139" t="s">
        <v>133</v>
      </c>
      <c r="K1628" s="136" t="s">
        <v>133</v>
      </c>
      <c r="L1628" s="153"/>
      <c r="M1628" s="136" t="str">
        <f t="shared" si="1"/>
        <v/>
      </c>
      <c r="O1628" s="141" t="s">
        <v>133</v>
      </c>
      <c r="P1628" s="136" t="str">
        <f>IFERROR(__xludf.DUMMYFUNCTION("""COMPUTED_VALUE"""),"")</f>
        <v/>
      </c>
      <c r="Q1628" s="136" t="str">
        <f>IFERROR(__xludf.DUMMYFUNCTION("""COMPUTED_VALUE"""),"")</f>
        <v/>
      </c>
      <c r="R1628" s="106" t="str">
        <f>IFERROR(__xludf.DUMMYFUNCTION("""COMPUTED_VALUE"""),"")</f>
        <v/>
      </c>
      <c r="S1628" s="106" t="str">
        <f>IFERROR(__xludf.DUMMYFUNCTION("""COMPUTED_VALUE"""),"")</f>
        <v/>
      </c>
      <c r="T1628" s="139" t="str">
        <f>IFERROR(__xludf.DUMMYFUNCTION("""COMPUTED_VALUE"""),"")</f>
        <v/>
      </c>
      <c r="U1628" s="139" t="str">
        <f>IFERROR(__xludf.DUMMYFUNCTION("""COMPUTED_VALUE"""),"")</f>
        <v/>
      </c>
      <c r="V1628" s="136" t="str">
        <f>IFERROR(__xludf.DUMMYFUNCTION("""COMPUTED_VALUE"""),"")</f>
        <v/>
      </c>
      <c r="W1628" s="106" t="str">
        <f>IFERROR(__xludf.DUMMYFUNCTION("""COMPUTED_VALUE"""),"")</f>
        <v/>
      </c>
      <c r="X1628" s="143" t="str">
        <f t="shared" si="2"/>
        <v/>
      </c>
      <c r="Y1628" s="139" t="str">
        <f>IFERROR(__xludf.DUMMYFUNCTION("""COMPUTED_VALUE"""),"")</f>
        <v/>
      </c>
      <c r="Z1628" s="141" t="str">
        <f>IFERROR(__xludf.DUMMYFUNCTION("""COMPUTED_VALUE"""),"")</f>
        <v/>
      </c>
    </row>
    <row r="1629">
      <c r="D1629" s="136" t="str">
        <f t="shared" si="3"/>
        <v/>
      </c>
      <c r="E1629" s="152"/>
      <c r="F1629" s="106" t="s">
        <v>133</v>
      </c>
      <c r="G1629" s="152"/>
      <c r="H1629" s="106" t="s">
        <v>133</v>
      </c>
      <c r="J1629" s="139" t="s">
        <v>133</v>
      </c>
      <c r="K1629" s="136" t="s">
        <v>133</v>
      </c>
      <c r="L1629" s="153"/>
      <c r="M1629" s="136" t="str">
        <f t="shared" si="1"/>
        <v/>
      </c>
      <c r="O1629" s="141" t="s">
        <v>133</v>
      </c>
      <c r="P1629" s="136" t="str">
        <f>IFERROR(__xludf.DUMMYFUNCTION("""COMPUTED_VALUE"""),"")</f>
        <v/>
      </c>
      <c r="Q1629" s="136" t="str">
        <f>IFERROR(__xludf.DUMMYFUNCTION("""COMPUTED_VALUE"""),"")</f>
        <v/>
      </c>
      <c r="R1629" s="106" t="str">
        <f>IFERROR(__xludf.DUMMYFUNCTION("""COMPUTED_VALUE"""),"")</f>
        <v/>
      </c>
      <c r="S1629" s="106" t="str">
        <f>IFERROR(__xludf.DUMMYFUNCTION("""COMPUTED_VALUE"""),"")</f>
        <v/>
      </c>
      <c r="T1629" s="139" t="str">
        <f>IFERROR(__xludf.DUMMYFUNCTION("""COMPUTED_VALUE"""),"")</f>
        <v/>
      </c>
      <c r="U1629" s="139" t="str">
        <f>IFERROR(__xludf.DUMMYFUNCTION("""COMPUTED_VALUE"""),"")</f>
        <v/>
      </c>
      <c r="V1629" s="136" t="str">
        <f>IFERROR(__xludf.DUMMYFUNCTION("""COMPUTED_VALUE"""),"")</f>
        <v/>
      </c>
      <c r="W1629" s="106" t="str">
        <f>IFERROR(__xludf.DUMMYFUNCTION("""COMPUTED_VALUE"""),"")</f>
        <v/>
      </c>
      <c r="X1629" s="143" t="str">
        <f t="shared" si="2"/>
        <v/>
      </c>
      <c r="Y1629" s="139" t="str">
        <f>IFERROR(__xludf.DUMMYFUNCTION("""COMPUTED_VALUE"""),"")</f>
        <v/>
      </c>
      <c r="Z1629" s="141" t="str">
        <f>IFERROR(__xludf.DUMMYFUNCTION("""COMPUTED_VALUE"""),"")</f>
        <v/>
      </c>
    </row>
    <row r="1630">
      <c r="D1630" s="136" t="str">
        <f t="shared" si="3"/>
        <v/>
      </c>
      <c r="E1630" s="152"/>
      <c r="F1630" s="106" t="s">
        <v>133</v>
      </c>
      <c r="G1630" s="152"/>
      <c r="H1630" s="106" t="s">
        <v>133</v>
      </c>
      <c r="J1630" s="139" t="s">
        <v>133</v>
      </c>
      <c r="K1630" s="136" t="s">
        <v>133</v>
      </c>
      <c r="L1630" s="153"/>
      <c r="M1630" s="136" t="str">
        <f t="shared" si="1"/>
        <v/>
      </c>
      <c r="O1630" s="141" t="s">
        <v>133</v>
      </c>
      <c r="P1630" s="136" t="str">
        <f>IFERROR(__xludf.DUMMYFUNCTION("""COMPUTED_VALUE"""),"")</f>
        <v/>
      </c>
      <c r="Q1630" s="136" t="str">
        <f>IFERROR(__xludf.DUMMYFUNCTION("""COMPUTED_VALUE"""),"")</f>
        <v/>
      </c>
      <c r="R1630" s="106" t="str">
        <f>IFERROR(__xludf.DUMMYFUNCTION("""COMPUTED_VALUE"""),"")</f>
        <v/>
      </c>
      <c r="S1630" s="106" t="str">
        <f>IFERROR(__xludf.DUMMYFUNCTION("""COMPUTED_VALUE"""),"")</f>
        <v/>
      </c>
      <c r="T1630" s="139" t="str">
        <f>IFERROR(__xludf.DUMMYFUNCTION("""COMPUTED_VALUE"""),"")</f>
        <v/>
      </c>
      <c r="U1630" s="139" t="str">
        <f>IFERROR(__xludf.DUMMYFUNCTION("""COMPUTED_VALUE"""),"")</f>
        <v/>
      </c>
      <c r="V1630" s="136" t="str">
        <f>IFERROR(__xludf.DUMMYFUNCTION("""COMPUTED_VALUE"""),"")</f>
        <v/>
      </c>
      <c r="W1630" s="106" t="str">
        <f>IFERROR(__xludf.DUMMYFUNCTION("""COMPUTED_VALUE"""),"")</f>
        <v/>
      </c>
      <c r="X1630" s="143" t="str">
        <f t="shared" si="2"/>
        <v/>
      </c>
      <c r="Y1630" s="139" t="str">
        <f>IFERROR(__xludf.DUMMYFUNCTION("""COMPUTED_VALUE"""),"")</f>
        <v/>
      </c>
      <c r="Z1630" s="141" t="str">
        <f>IFERROR(__xludf.DUMMYFUNCTION("""COMPUTED_VALUE"""),"")</f>
        <v/>
      </c>
    </row>
    <row r="1631">
      <c r="D1631" s="136" t="str">
        <f t="shared" si="3"/>
        <v/>
      </c>
      <c r="E1631" s="152"/>
      <c r="F1631" s="106" t="s">
        <v>133</v>
      </c>
      <c r="G1631" s="152"/>
      <c r="H1631" s="106" t="s">
        <v>133</v>
      </c>
      <c r="J1631" s="139" t="s">
        <v>133</v>
      </c>
      <c r="K1631" s="136" t="s">
        <v>133</v>
      </c>
      <c r="L1631" s="153"/>
      <c r="M1631" s="136" t="str">
        <f t="shared" si="1"/>
        <v/>
      </c>
      <c r="O1631" s="141" t="s">
        <v>133</v>
      </c>
      <c r="P1631" s="136" t="str">
        <f>IFERROR(__xludf.DUMMYFUNCTION("""COMPUTED_VALUE"""),"")</f>
        <v/>
      </c>
      <c r="Q1631" s="136" t="str">
        <f>IFERROR(__xludf.DUMMYFUNCTION("""COMPUTED_VALUE"""),"")</f>
        <v/>
      </c>
      <c r="R1631" s="106" t="str">
        <f>IFERROR(__xludf.DUMMYFUNCTION("""COMPUTED_VALUE"""),"")</f>
        <v/>
      </c>
      <c r="S1631" s="106" t="str">
        <f>IFERROR(__xludf.DUMMYFUNCTION("""COMPUTED_VALUE"""),"")</f>
        <v/>
      </c>
      <c r="T1631" s="139" t="str">
        <f>IFERROR(__xludf.DUMMYFUNCTION("""COMPUTED_VALUE"""),"")</f>
        <v/>
      </c>
      <c r="U1631" s="139" t="str">
        <f>IFERROR(__xludf.DUMMYFUNCTION("""COMPUTED_VALUE"""),"")</f>
        <v/>
      </c>
      <c r="V1631" s="136" t="str">
        <f>IFERROR(__xludf.DUMMYFUNCTION("""COMPUTED_VALUE"""),"")</f>
        <v/>
      </c>
      <c r="W1631" s="106" t="str">
        <f>IFERROR(__xludf.DUMMYFUNCTION("""COMPUTED_VALUE"""),"")</f>
        <v/>
      </c>
      <c r="X1631" s="143" t="str">
        <f t="shared" si="2"/>
        <v/>
      </c>
      <c r="Y1631" s="139" t="str">
        <f>IFERROR(__xludf.DUMMYFUNCTION("""COMPUTED_VALUE"""),"")</f>
        <v/>
      </c>
      <c r="Z1631" s="141" t="str">
        <f>IFERROR(__xludf.DUMMYFUNCTION("""COMPUTED_VALUE"""),"")</f>
        <v/>
      </c>
    </row>
    <row r="1632">
      <c r="D1632" s="136" t="str">
        <f t="shared" si="3"/>
        <v/>
      </c>
      <c r="E1632" s="152"/>
      <c r="F1632" s="106" t="s">
        <v>133</v>
      </c>
      <c r="G1632" s="152"/>
      <c r="H1632" s="106" t="s">
        <v>133</v>
      </c>
      <c r="J1632" s="139" t="s">
        <v>133</v>
      </c>
      <c r="K1632" s="136" t="s">
        <v>133</v>
      </c>
      <c r="L1632" s="153"/>
      <c r="M1632" s="136" t="str">
        <f t="shared" si="1"/>
        <v/>
      </c>
      <c r="O1632" s="141" t="s">
        <v>133</v>
      </c>
      <c r="P1632" s="136" t="str">
        <f>IFERROR(__xludf.DUMMYFUNCTION("""COMPUTED_VALUE"""),"")</f>
        <v/>
      </c>
      <c r="Q1632" s="136" t="str">
        <f>IFERROR(__xludf.DUMMYFUNCTION("""COMPUTED_VALUE"""),"")</f>
        <v/>
      </c>
      <c r="R1632" s="106" t="str">
        <f>IFERROR(__xludf.DUMMYFUNCTION("""COMPUTED_VALUE"""),"")</f>
        <v/>
      </c>
      <c r="S1632" s="106" t="str">
        <f>IFERROR(__xludf.DUMMYFUNCTION("""COMPUTED_VALUE"""),"")</f>
        <v/>
      </c>
      <c r="T1632" s="139" t="str">
        <f>IFERROR(__xludf.DUMMYFUNCTION("""COMPUTED_VALUE"""),"")</f>
        <v/>
      </c>
      <c r="U1632" s="139" t="str">
        <f>IFERROR(__xludf.DUMMYFUNCTION("""COMPUTED_VALUE"""),"")</f>
        <v/>
      </c>
      <c r="V1632" s="136" t="str">
        <f>IFERROR(__xludf.DUMMYFUNCTION("""COMPUTED_VALUE"""),"")</f>
        <v/>
      </c>
      <c r="W1632" s="106" t="str">
        <f>IFERROR(__xludf.DUMMYFUNCTION("""COMPUTED_VALUE"""),"")</f>
        <v/>
      </c>
      <c r="X1632" s="143" t="str">
        <f t="shared" si="2"/>
        <v/>
      </c>
      <c r="Y1632" s="139" t="str">
        <f>IFERROR(__xludf.DUMMYFUNCTION("""COMPUTED_VALUE"""),"")</f>
        <v/>
      </c>
      <c r="Z1632" s="141" t="str">
        <f>IFERROR(__xludf.DUMMYFUNCTION("""COMPUTED_VALUE"""),"")</f>
        <v/>
      </c>
    </row>
    <row r="1633">
      <c r="D1633" s="136" t="str">
        <f t="shared" si="3"/>
        <v/>
      </c>
      <c r="E1633" s="152"/>
      <c r="F1633" s="106" t="s">
        <v>133</v>
      </c>
      <c r="G1633" s="152"/>
      <c r="H1633" s="106" t="s">
        <v>133</v>
      </c>
      <c r="J1633" s="139" t="s">
        <v>133</v>
      </c>
      <c r="K1633" s="136" t="s">
        <v>133</v>
      </c>
      <c r="L1633" s="153"/>
      <c r="M1633" s="136" t="str">
        <f t="shared" si="1"/>
        <v/>
      </c>
      <c r="O1633" s="141" t="s">
        <v>133</v>
      </c>
      <c r="P1633" s="136" t="str">
        <f>IFERROR(__xludf.DUMMYFUNCTION("""COMPUTED_VALUE"""),"")</f>
        <v/>
      </c>
      <c r="Q1633" s="136" t="str">
        <f>IFERROR(__xludf.DUMMYFUNCTION("""COMPUTED_VALUE"""),"")</f>
        <v/>
      </c>
      <c r="R1633" s="106" t="str">
        <f>IFERROR(__xludf.DUMMYFUNCTION("""COMPUTED_VALUE"""),"")</f>
        <v/>
      </c>
      <c r="S1633" s="106" t="str">
        <f>IFERROR(__xludf.DUMMYFUNCTION("""COMPUTED_VALUE"""),"")</f>
        <v/>
      </c>
      <c r="T1633" s="139" t="str">
        <f>IFERROR(__xludf.DUMMYFUNCTION("""COMPUTED_VALUE"""),"")</f>
        <v/>
      </c>
      <c r="U1633" s="139" t="str">
        <f>IFERROR(__xludf.DUMMYFUNCTION("""COMPUTED_VALUE"""),"")</f>
        <v/>
      </c>
      <c r="V1633" s="136" t="str">
        <f>IFERROR(__xludf.DUMMYFUNCTION("""COMPUTED_VALUE"""),"")</f>
        <v/>
      </c>
      <c r="W1633" s="106" t="str">
        <f>IFERROR(__xludf.DUMMYFUNCTION("""COMPUTED_VALUE"""),"")</f>
        <v/>
      </c>
      <c r="X1633" s="143" t="str">
        <f t="shared" si="2"/>
        <v/>
      </c>
      <c r="Y1633" s="139" t="str">
        <f>IFERROR(__xludf.DUMMYFUNCTION("""COMPUTED_VALUE"""),"")</f>
        <v/>
      </c>
      <c r="Z1633" s="141" t="str">
        <f>IFERROR(__xludf.DUMMYFUNCTION("""COMPUTED_VALUE"""),"")</f>
        <v/>
      </c>
    </row>
    <row r="1634">
      <c r="D1634" s="136" t="str">
        <f t="shared" si="3"/>
        <v/>
      </c>
      <c r="E1634" s="152"/>
      <c r="F1634" s="106" t="s">
        <v>133</v>
      </c>
      <c r="G1634" s="152"/>
      <c r="H1634" s="106" t="s">
        <v>133</v>
      </c>
      <c r="J1634" s="139" t="s">
        <v>133</v>
      </c>
      <c r="K1634" s="136" t="s">
        <v>133</v>
      </c>
      <c r="L1634" s="153"/>
      <c r="M1634" s="136" t="str">
        <f t="shared" si="1"/>
        <v/>
      </c>
      <c r="O1634" s="141" t="s">
        <v>133</v>
      </c>
      <c r="P1634" s="136" t="str">
        <f>IFERROR(__xludf.DUMMYFUNCTION("""COMPUTED_VALUE"""),"")</f>
        <v/>
      </c>
      <c r="Q1634" s="136" t="str">
        <f>IFERROR(__xludf.DUMMYFUNCTION("""COMPUTED_VALUE"""),"")</f>
        <v/>
      </c>
      <c r="R1634" s="106" t="str">
        <f>IFERROR(__xludf.DUMMYFUNCTION("""COMPUTED_VALUE"""),"")</f>
        <v/>
      </c>
      <c r="S1634" s="106" t="str">
        <f>IFERROR(__xludf.DUMMYFUNCTION("""COMPUTED_VALUE"""),"")</f>
        <v/>
      </c>
      <c r="T1634" s="139" t="str">
        <f>IFERROR(__xludf.DUMMYFUNCTION("""COMPUTED_VALUE"""),"")</f>
        <v/>
      </c>
      <c r="U1634" s="139" t="str">
        <f>IFERROR(__xludf.DUMMYFUNCTION("""COMPUTED_VALUE"""),"")</f>
        <v/>
      </c>
      <c r="V1634" s="136" t="str">
        <f>IFERROR(__xludf.DUMMYFUNCTION("""COMPUTED_VALUE"""),"")</f>
        <v/>
      </c>
      <c r="W1634" s="106" t="str">
        <f>IFERROR(__xludf.DUMMYFUNCTION("""COMPUTED_VALUE"""),"")</f>
        <v/>
      </c>
      <c r="X1634" s="143" t="str">
        <f t="shared" si="2"/>
        <v/>
      </c>
      <c r="Y1634" s="139" t="str">
        <f>IFERROR(__xludf.DUMMYFUNCTION("""COMPUTED_VALUE"""),"")</f>
        <v/>
      </c>
      <c r="Z1634" s="141" t="str">
        <f>IFERROR(__xludf.DUMMYFUNCTION("""COMPUTED_VALUE"""),"")</f>
        <v/>
      </c>
    </row>
    <row r="1635">
      <c r="D1635" s="136" t="str">
        <f t="shared" si="3"/>
        <v/>
      </c>
      <c r="E1635" s="152"/>
      <c r="F1635" s="106" t="s">
        <v>133</v>
      </c>
      <c r="G1635" s="152"/>
      <c r="H1635" s="106" t="s">
        <v>133</v>
      </c>
      <c r="J1635" s="139" t="s">
        <v>133</v>
      </c>
      <c r="K1635" s="136" t="s">
        <v>133</v>
      </c>
      <c r="L1635" s="153"/>
      <c r="M1635" s="136" t="str">
        <f t="shared" si="1"/>
        <v/>
      </c>
      <c r="O1635" s="141" t="s">
        <v>133</v>
      </c>
      <c r="P1635" s="136" t="str">
        <f>IFERROR(__xludf.DUMMYFUNCTION("""COMPUTED_VALUE"""),"")</f>
        <v/>
      </c>
      <c r="Q1635" s="136" t="str">
        <f>IFERROR(__xludf.DUMMYFUNCTION("""COMPUTED_VALUE"""),"")</f>
        <v/>
      </c>
      <c r="R1635" s="106" t="str">
        <f>IFERROR(__xludf.DUMMYFUNCTION("""COMPUTED_VALUE"""),"")</f>
        <v/>
      </c>
      <c r="S1635" s="106" t="str">
        <f>IFERROR(__xludf.DUMMYFUNCTION("""COMPUTED_VALUE"""),"")</f>
        <v/>
      </c>
      <c r="T1635" s="139" t="str">
        <f>IFERROR(__xludf.DUMMYFUNCTION("""COMPUTED_VALUE"""),"")</f>
        <v/>
      </c>
      <c r="U1635" s="139" t="str">
        <f>IFERROR(__xludf.DUMMYFUNCTION("""COMPUTED_VALUE"""),"")</f>
        <v/>
      </c>
      <c r="V1635" s="136" t="str">
        <f>IFERROR(__xludf.DUMMYFUNCTION("""COMPUTED_VALUE"""),"")</f>
        <v/>
      </c>
      <c r="W1635" s="106" t="str">
        <f>IFERROR(__xludf.DUMMYFUNCTION("""COMPUTED_VALUE"""),"")</f>
        <v/>
      </c>
      <c r="X1635" s="143" t="str">
        <f t="shared" si="2"/>
        <v/>
      </c>
      <c r="Y1635" s="139" t="str">
        <f>IFERROR(__xludf.DUMMYFUNCTION("""COMPUTED_VALUE"""),"")</f>
        <v/>
      </c>
      <c r="Z1635" s="141" t="str">
        <f>IFERROR(__xludf.DUMMYFUNCTION("""COMPUTED_VALUE"""),"")</f>
        <v/>
      </c>
    </row>
    <row r="1636">
      <c r="D1636" s="136" t="str">
        <f t="shared" si="3"/>
        <v/>
      </c>
      <c r="E1636" s="152"/>
      <c r="F1636" s="106" t="s">
        <v>133</v>
      </c>
      <c r="G1636" s="152"/>
      <c r="H1636" s="106" t="s">
        <v>133</v>
      </c>
      <c r="J1636" s="139" t="s">
        <v>133</v>
      </c>
      <c r="K1636" s="136" t="s">
        <v>133</v>
      </c>
      <c r="L1636" s="153"/>
      <c r="M1636" s="136" t="str">
        <f t="shared" si="1"/>
        <v/>
      </c>
      <c r="O1636" s="141" t="s">
        <v>133</v>
      </c>
      <c r="P1636" s="136" t="str">
        <f>IFERROR(__xludf.DUMMYFUNCTION("""COMPUTED_VALUE"""),"")</f>
        <v/>
      </c>
      <c r="Q1636" s="136" t="str">
        <f>IFERROR(__xludf.DUMMYFUNCTION("""COMPUTED_VALUE"""),"")</f>
        <v/>
      </c>
      <c r="R1636" s="106" t="str">
        <f>IFERROR(__xludf.DUMMYFUNCTION("""COMPUTED_VALUE"""),"")</f>
        <v/>
      </c>
      <c r="S1636" s="106" t="str">
        <f>IFERROR(__xludf.DUMMYFUNCTION("""COMPUTED_VALUE"""),"")</f>
        <v/>
      </c>
      <c r="T1636" s="139" t="str">
        <f>IFERROR(__xludf.DUMMYFUNCTION("""COMPUTED_VALUE"""),"")</f>
        <v/>
      </c>
      <c r="U1636" s="139" t="str">
        <f>IFERROR(__xludf.DUMMYFUNCTION("""COMPUTED_VALUE"""),"")</f>
        <v/>
      </c>
      <c r="V1636" s="136" t="str">
        <f>IFERROR(__xludf.DUMMYFUNCTION("""COMPUTED_VALUE"""),"")</f>
        <v/>
      </c>
      <c r="W1636" s="106" t="str">
        <f>IFERROR(__xludf.DUMMYFUNCTION("""COMPUTED_VALUE"""),"")</f>
        <v/>
      </c>
      <c r="X1636" s="143" t="str">
        <f t="shared" si="2"/>
        <v/>
      </c>
      <c r="Y1636" s="139" t="str">
        <f>IFERROR(__xludf.DUMMYFUNCTION("""COMPUTED_VALUE"""),"")</f>
        <v/>
      </c>
      <c r="Z1636" s="141" t="str">
        <f>IFERROR(__xludf.DUMMYFUNCTION("""COMPUTED_VALUE"""),"")</f>
        <v/>
      </c>
    </row>
    <row r="1637">
      <c r="D1637" s="136" t="str">
        <f t="shared" si="3"/>
        <v/>
      </c>
      <c r="E1637" s="152"/>
      <c r="F1637" s="106" t="s">
        <v>133</v>
      </c>
      <c r="G1637" s="152"/>
      <c r="H1637" s="106" t="s">
        <v>133</v>
      </c>
      <c r="J1637" s="139" t="s">
        <v>133</v>
      </c>
      <c r="K1637" s="136" t="s">
        <v>133</v>
      </c>
      <c r="L1637" s="153"/>
      <c r="M1637" s="136" t="str">
        <f t="shared" si="1"/>
        <v/>
      </c>
      <c r="O1637" s="141" t="s">
        <v>133</v>
      </c>
      <c r="P1637" s="136" t="str">
        <f>IFERROR(__xludf.DUMMYFUNCTION("""COMPUTED_VALUE"""),"")</f>
        <v/>
      </c>
      <c r="Q1637" s="136" t="str">
        <f>IFERROR(__xludf.DUMMYFUNCTION("""COMPUTED_VALUE"""),"")</f>
        <v/>
      </c>
      <c r="R1637" s="106" t="str">
        <f>IFERROR(__xludf.DUMMYFUNCTION("""COMPUTED_VALUE"""),"")</f>
        <v/>
      </c>
      <c r="S1637" s="106" t="str">
        <f>IFERROR(__xludf.DUMMYFUNCTION("""COMPUTED_VALUE"""),"")</f>
        <v/>
      </c>
      <c r="T1637" s="139" t="str">
        <f>IFERROR(__xludf.DUMMYFUNCTION("""COMPUTED_VALUE"""),"")</f>
        <v/>
      </c>
      <c r="U1637" s="139" t="str">
        <f>IFERROR(__xludf.DUMMYFUNCTION("""COMPUTED_VALUE"""),"")</f>
        <v/>
      </c>
      <c r="V1637" s="136" t="str">
        <f>IFERROR(__xludf.DUMMYFUNCTION("""COMPUTED_VALUE"""),"")</f>
        <v/>
      </c>
      <c r="W1637" s="106" t="str">
        <f>IFERROR(__xludf.DUMMYFUNCTION("""COMPUTED_VALUE"""),"")</f>
        <v/>
      </c>
      <c r="X1637" s="143" t="str">
        <f t="shared" si="2"/>
        <v/>
      </c>
      <c r="Y1637" s="139" t="str">
        <f>IFERROR(__xludf.DUMMYFUNCTION("""COMPUTED_VALUE"""),"")</f>
        <v/>
      </c>
      <c r="Z1637" s="141" t="str">
        <f>IFERROR(__xludf.DUMMYFUNCTION("""COMPUTED_VALUE"""),"")</f>
        <v/>
      </c>
    </row>
    <row r="1638">
      <c r="D1638" s="136" t="str">
        <f t="shared" si="3"/>
        <v/>
      </c>
      <c r="E1638" s="152"/>
      <c r="F1638" s="106" t="s">
        <v>133</v>
      </c>
      <c r="G1638" s="152"/>
      <c r="H1638" s="106" t="s">
        <v>133</v>
      </c>
      <c r="J1638" s="139" t="s">
        <v>133</v>
      </c>
      <c r="K1638" s="136" t="s">
        <v>133</v>
      </c>
      <c r="L1638" s="153"/>
      <c r="M1638" s="136" t="str">
        <f t="shared" si="1"/>
        <v/>
      </c>
      <c r="O1638" s="141" t="s">
        <v>133</v>
      </c>
      <c r="P1638" s="136" t="str">
        <f>IFERROR(__xludf.DUMMYFUNCTION("""COMPUTED_VALUE"""),"")</f>
        <v/>
      </c>
      <c r="Q1638" s="136" t="str">
        <f>IFERROR(__xludf.DUMMYFUNCTION("""COMPUTED_VALUE"""),"")</f>
        <v/>
      </c>
      <c r="R1638" s="106" t="str">
        <f>IFERROR(__xludf.DUMMYFUNCTION("""COMPUTED_VALUE"""),"")</f>
        <v/>
      </c>
      <c r="S1638" s="106" t="str">
        <f>IFERROR(__xludf.DUMMYFUNCTION("""COMPUTED_VALUE"""),"")</f>
        <v/>
      </c>
      <c r="T1638" s="139" t="str">
        <f>IFERROR(__xludf.DUMMYFUNCTION("""COMPUTED_VALUE"""),"")</f>
        <v/>
      </c>
      <c r="U1638" s="139" t="str">
        <f>IFERROR(__xludf.DUMMYFUNCTION("""COMPUTED_VALUE"""),"")</f>
        <v/>
      </c>
      <c r="V1638" s="136" t="str">
        <f>IFERROR(__xludf.DUMMYFUNCTION("""COMPUTED_VALUE"""),"")</f>
        <v/>
      </c>
      <c r="W1638" s="106" t="str">
        <f>IFERROR(__xludf.DUMMYFUNCTION("""COMPUTED_VALUE"""),"")</f>
        <v/>
      </c>
      <c r="X1638" s="143" t="str">
        <f t="shared" si="2"/>
        <v/>
      </c>
      <c r="Y1638" s="139" t="str">
        <f>IFERROR(__xludf.DUMMYFUNCTION("""COMPUTED_VALUE"""),"")</f>
        <v/>
      </c>
      <c r="Z1638" s="141" t="str">
        <f>IFERROR(__xludf.DUMMYFUNCTION("""COMPUTED_VALUE"""),"")</f>
        <v/>
      </c>
    </row>
    <row r="1639">
      <c r="D1639" s="136" t="str">
        <f t="shared" si="3"/>
        <v/>
      </c>
      <c r="E1639" s="152"/>
      <c r="F1639" s="106" t="s">
        <v>133</v>
      </c>
      <c r="G1639" s="152"/>
      <c r="H1639" s="106" t="s">
        <v>133</v>
      </c>
      <c r="J1639" s="139" t="s">
        <v>133</v>
      </c>
      <c r="K1639" s="136" t="s">
        <v>133</v>
      </c>
      <c r="L1639" s="153"/>
      <c r="M1639" s="136" t="str">
        <f t="shared" si="1"/>
        <v/>
      </c>
      <c r="O1639" s="141" t="s">
        <v>133</v>
      </c>
      <c r="P1639" s="136" t="str">
        <f>IFERROR(__xludf.DUMMYFUNCTION("""COMPUTED_VALUE"""),"")</f>
        <v/>
      </c>
      <c r="Q1639" s="136" t="str">
        <f>IFERROR(__xludf.DUMMYFUNCTION("""COMPUTED_VALUE"""),"")</f>
        <v/>
      </c>
      <c r="R1639" s="106" t="str">
        <f>IFERROR(__xludf.DUMMYFUNCTION("""COMPUTED_VALUE"""),"")</f>
        <v/>
      </c>
      <c r="S1639" s="106" t="str">
        <f>IFERROR(__xludf.DUMMYFUNCTION("""COMPUTED_VALUE"""),"")</f>
        <v/>
      </c>
      <c r="T1639" s="139" t="str">
        <f>IFERROR(__xludf.DUMMYFUNCTION("""COMPUTED_VALUE"""),"")</f>
        <v/>
      </c>
      <c r="U1639" s="139" t="str">
        <f>IFERROR(__xludf.DUMMYFUNCTION("""COMPUTED_VALUE"""),"")</f>
        <v/>
      </c>
      <c r="V1639" s="136" t="str">
        <f>IFERROR(__xludf.DUMMYFUNCTION("""COMPUTED_VALUE"""),"")</f>
        <v/>
      </c>
      <c r="W1639" s="106" t="str">
        <f>IFERROR(__xludf.DUMMYFUNCTION("""COMPUTED_VALUE"""),"")</f>
        <v/>
      </c>
      <c r="X1639" s="143" t="str">
        <f t="shared" si="2"/>
        <v/>
      </c>
      <c r="Y1639" s="139" t="str">
        <f>IFERROR(__xludf.DUMMYFUNCTION("""COMPUTED_VALUE"""),"")</f>
        <v/>
      </c>
      <c r="Z1639" s="141" t="str">
        <f>IFERROR(__xludf.DUMMYFUNCTION("""COMPUTED_VALUE"""),"")</f>
        <v/>
      </c>
    </row>
    <row r="1640">
      <c r="D1640" s="136" t="str">
        <f t="shared" si="3"/>
        <v/>
      </c>
      <c r="E1640" s="152"/>
      <c r="F1640" s="106" t="s">
        <v>133</v>
      </c>
      <c r="G1640" s="152"/>
      <c r="H1640" s="106" t="s">
        <v>133</v>
      </c>
      <c r="J1640" s="139" t="s">
        <v>133</v>
      </c>
      <c r="K1640" s="136" t="s">
        <v>133</v>
      </c>
      <c r="L1640" s="153"/>
      <c r="M1640" s="136" t="str">
        <f t="shared" si="1"/>
        <v/>
      </c>
      <c r="O1640" s="141" t="s">
        <v>133</v>
      </c>
      <c r="P1640" s="136" t="str">
        <f>IFERROR(__xludf.DUMMYFUNCTION("""COMPUTED_VALUE"""),"")</f>
        <v/>
      </c>
      <c r="Q1640" s="136" t="str">
        <f>IFERROR(__xludf.DUMMYFUNCTION("""COMPUTED_VALUE"""),"")</f>
        <v/>
      </c>
      <c r="R1640" s="106" t="str">
        <f>IFERROR(__xludf.DUMMYFUNCTION("""COMPUTED_VALUE"""),"")</f>
        <v/>
      </c>
      <c r="S1640" s="106" t="str">
        <f>IFERROR(__xludf.DUMMYFUNCTION("""COMPUTED_VALUE"""),"")</f>
        <v/>
      </c>
      <c r="T1640" s="139" t="str">
        <f>IFERROR(__xludf.DUMMYFUNCTION("""COMPUTED_VALUE"""),"")</f>
        <v/>
      </c>
      <c r="U1640" s="139" t="str">
        <f>IFERROR(__xludf.DUMMYFUNCTION("""COMPUTED_VALUE"""),"")</f>
        <v/>
      </c>
      <c r="V1640" s="136" t="str">
        <f>IFERROR(__xludf.DUMMYFUNCTION("""COMPUTED_VALUE"""),"")</f>
        <v/>
      </c>
      <c r="W1640" s="106" t="str">
        <f>IFERROR(__xludf.DUMMYFUNCTION("""COMPUTED_VALUE"""),"")</f>
        <v/>
      </c>
      <c r="X1640" s="143" t="str">
        <f t="shared" si="2"/>
        <v/>
      </c>
      <c r="Y1640" s="139" t="str">
        <f>IFERROR(__xludf.DUMMYFUNCTION("""COMPUTED_VALUE"""),"")</f>
        <v/>
      </c>
      <c r="Z1640" s="141" t="str">
        <f>IFERROR(__xludf.DUMMYFUNCTION("""COMPUTED_VALUE"""),"")</f>
        <v/>
      </c>
    </row>
    <row r="1641">
      <c r="D1641" s="136" t="str">
        <f t="shared" si="3"/>
        <v/>
      </c>
      <c r="E1641" s="152"/>
      <c r="F1641" s="106" t="s">
        <v>133</v>
      </c>
      <c r="G1641" s="152"/>
      <c r="H1641" s="106" t="s">
        <v>133</v>
      </c>
      <c r="J1641" s="139" t="s">
        <v>133</v>
      </c>
      <c r="K1641" s="136" t="s">
        <v>133</v>
      </c>
      <c r="L1641" s="153"/>
      <c r="M1641" s="136" t="str">
        <f t="shared" si="1"/>
        <v/>
      </c>
      <c r="O1641" s="141" t="s">
        <v>133</v>
      </c>
      <c r="P1641" s="136" t="str">
        <f>IFERROR(__xludf.DUMMYFUNCTION("""COMPUTED_VALUE"""),"")</f>
        <v/>
      </c>
      <c r="Q1641" s="136" t="str">
        <f>IFERROR(__xludf.DUMMYFUNCTION("""COMPUTED_VALUE"""),"")</f>
        <v/>
      </c>
      <c r="R1641" s="106" t="str">
        <f>IFERROR(__xludf.DUMMYFUNCTION("""COMPUTED_VALUE"""),"")</f>
        <v/>
      </c>
      <c r="S1641" s="106" t="str">
        <f>IFERROR(__xludf.DUMMYFUNCTION("""COMPUTED_VALUE"""),"")</f>
        <v/>
      </c>
      <c r="T1641" s="139" t="str">
        <f>IFERROR(__xludf.DUMMYFUNCTION("""COMPUTED_VALUE"""),"")</f>
        <v/>
      </c>
      <c r="U1641" s="139" t="str">
        <f>IFERROR(__xludf.DUMMYFUNCTION("""COMPUTED_VALUE"""),"")</f>
        <v/>
      </c>
      <c r="V1641" s="136" t="str">
        <f>IFERROR(__xludf.DUMMYFUNCTION("""COMPUTED_VALUE"""),"")</f>
        <v/>
      </c>
      <c r="W1641" s="106" t="str">
        <f>IFERROR(__xludf.DUMMYFUNCTION("""COMPUTED_VALUE"""),"")</f>
        <v/>
      </c>
      <c r="X1641" s="143" t="str">
        <f t="shared" si="2"/>
        <v/>
      </c>
      <c r="Y1641" s="139" t="str">
        <f>IFERROR(__xludf.DUMMYFUNCTION("""COMPUTED_VALUE"""),"")</f>
        <v/>
      </c>
      <c r="Z1641" s="141" t="str">
        <f>IFERROR(__xludf.DUMMYFUNCTION("""COMPUTED_VALUE"""),"")</f>
        <v/>
      </c>
    </row>
    <row r="1642">
      <c r="D1642" s="136" t="str">
        <f t="shared" si="3"/>
        <v/>
      </c>
      <c r="E1642" s="152"/>
      <c r="F1642" s="106" t="s">
        <v>133</v>
      </c>
      <c r="G1642" s="152"/>
      <c r="H1642" s="106" t="s">
        <v>133</v>
      </c>
      <c r="J1642" s="139" t="s">
        <v>133</v>
      </c>
      <c r="K1642" s="136" t="s">
        <v>133</v>
      </c>
      <c r="L1642" s="153"/>
      <c r="M1642" s="136" t="str">
        <f t="shared" si="1"/>
        <v/>
      </c>
      <c r="O1642" s="141" t="s">
        <v>133</v>
      </c>
      <c r="P1642" s="136" t="str">
        <f>IFERROR(__xludf.DUMMYFUNCTION("""COMPUTED_VALUE"""),"")</f>
        <v/>
      </c>
      <c r="Q1642" s="136" t="str">
        <f>IFERROR(__xludf.DUMMYFUNCTION("""COMPUTED_VALUE"""),"")</f>
        <v/>
      </c>
      <c r="R1642" s="106" t="str">
        <f>IFERROR(__xludf.DUMMYFUNCTION("""COMPUTED_VALUE"""),"")</f>
        <v/>
      </c>
      <c r="S1642" s="106" t="str">
        <f>IFERROR(__xludf.DUMMYFUNCTION("""COMPUTED_VALUE"""),"")</f>
        <v/>
      </c>
      <c r="T1642" s="139" t="str">
        <f>IFERROR(__xludf.DUMMYFUNCTION("""COMPUTED_VALUE"""),"")</f>
        <v/>
      </c>
      <c r="U1642" s="139" t="str">
        <f>IFERROR(__xludf.DUMMYFUNCTION("""COMPUTED_VALUE"""),"")</f>
        <v/>
      </c>
      <c r="V1642" s="136" t="str">
        <f>IFERROR(__xludf.DUMMYFUNCTION("""COMPUTED_VALUE"""),"")</f>
        <v/>
      </c>
      <c r="W1642" s="106" t="str">
        <f>IFERROR(__xludf.DUMMYFUNCTION("""COMPUTED_VALUE"""),"")</f>
        <v/>
      </c>
      <c r="X1642" s="143" t="str">
        <f t="shared" si="2"/>
        <v/>
      </c>
      <c r="Y1642" s="139" t="str">
        <f>IFERROR(__xludf.DUMMYFUNCTION("""COMPUTED_VALUE"""),"")</f>
        <v/>
      </c>
      <c r="Z1642" s="141" t="str">
        <f>IFERROR(__xludf.DUMMYFUNCTION("""COMPUTED_VALUE"""),"")</f>
        <v/>
      </c>
    </row>
    <row r="1643">
      <c r="D1643" s="136" t="str">
        <f t="shared" si="3"/>
        <v/>
      </c>
      <c r="E1643" s="152"/>
      <c r="F1643" s="106" t="s">
        <v>133</v>
      </c>
      <c r="G1643" s="152"/>
      <c r="H1643" s="106" t="s">
        <v>133</v>
      </c>
      <c r="J1643" s="139" t="s">
        <v>133</v>
      </c>
      <c r="K1643" s="136" t="s">
        <v>133</v>
      </c>
      <c r="L1643" s="153"/>
      <c r="M1643" s="136" t="str">
        <f t="shared" si="1"/>
        <v/>
      </c>
      <c r="O1643" s="141" t="s">
        <v>133</v>
      </c>
      <c r="P1643" s="136" t="str">
        <f>IFERROR(__xludf.DUMMYFUNCTION("""COMPUTED_VALUE"""),"")</f>
        <v/>
      </c>
      <c r="Q1643" s="136" t="str">
        <f>IFERROR(__xludf.DUMMYFUNCTION("""COMPUTED_VALUE"""),"")</f>
        <v/>
      </c>
      <c r="R1643" s="106" t="str">
        <f>IFERROR(__xludf.DUMMYFUNCTION("""COMPUTED_VALUE"""),"")</f>
        <v/>
      </c>
      <c r="S1643" s="106" t="str">
        <f>IFERROR(__xludf.DUMMYFUNCTION("""COMPUTED_VALUE"""),"")</f>
        <v/>
      </c>
      <c r="T1643" s="139" t="str">
        <f>IFERROR(__xludf.DUMMYFUNCTION("""COMPUTED_VALUE"""),"")</f>
        <v/>
      </c>
      <c r="U1643" s="139" t="str">
        <f>IFERROR(__xludf.DUMMYFUNCTION("""COMPUTED_VALUE"""),"")</f>
        <v/>
      </c>
      <c r="V1643" s="136" t="str">
        <f>IFERROR(__xludf.DUMMYFUNCTION("""COMPUTED_VALUE"""),"")</f>
        <v/>
      </c>
      <c r="W1643" s="106" t="str">
        <f>IFERROR(__xludf.DUMMYFUNCTION("""COMPUTED_VALUE"""),"")</f>
        <v/>
      </c>
      <c r="X1643" s="143" t="str">
        <f t="shared" si="2"/>
        <v/>
      </c>
      <c r="Y1643" s="139" t="str">
        <f>IFERROR(__xludf.DUMMYFUNCTION("""COMPUTED_VALUE"""),"")</f>
        <v/>
      </c>
      <c r="Z1643" s="141" t="str">
        <f>IFERROR(__xludf.DUMMYFUNCTION("""COMPUTED_VALUE"""),"")</f>
        <v/>
      </c>
    </row>
    <row r="1644">
      <c r="D1644" s="136" t="str">
        <f t="shared" si="3"/>
        <v/>
      </c>
      <c r="E1644" s="152"/>
      <c r="F1644" s="106" t="s">
        <v>133</v>
      </c>
      <c r="G1644" s="152"/>
      <c r="H1644" s="106" t="s">
        <v>133</v>
      </c>
      <c r="J1644" s="139" t="s">
        <v>133</v>
      </c>
      <c r="K1644" s="136" t="s">
        <v>133</v>
      </c>
      <c r="L1644" s="153"/>
      <c r="M1644" s="136" t="str">
        <f t="shared" si="1"/>
        <v/>
      </c>
      <c r="O1644" s="141" t="s">
        <v>133</v>
      </c>
      <c r="P1644" s="136" t="str">
        <f>IFERROR(__xludf.DUMMYFUNCTION("""COMPUTED_VALUE"""),"")</f>
        <v/>
      </c>
      <c r="Q1644" s="136" t="str">
        <f>IFERROR(__xludf.DUMMYFUNCTION("""COMPUTED_VALUE"""),"")</f>
        <v/>
      </c>
      <c r="R1644" s="106" t="str">
        <f>IFERROR(__xludf.DUMMYFUNCTION("""COMPUTED_VALUE"""),"")</f>
        <v/>
      </c>
      <c r="S1644" s="106" t="str">
        <f>IFERROR(__xludf.DUMMYFUNCTION("""COMPUTED_VALUE"""),"")</f>
        <v/>
      </c>
      <c r="T1644" s="139" t="str">
        <f>IFERROR(__xludf.DUMMYFUNCTION("""COMPUTED_VALUE"""),"")</f>
        <v/>
      </c>
      <c r="U1644" s="139" t="str">
        <f>IFERROR(__xludf.DUMMYFUNCTION("""COMPUTED_VALUE"""),"")</f>
        <v/>
      </c>
      <c r="V1644" s="136" t="str">
        <f>IFERROR(__xludf.DUMMYFUNCTION("""COMPUTED_VALUE"""),"")</f>
        <v/>
      </c>
      <c r="W1644" s="106" t="str">
        <f>IFERROR(__xludf.DUMMYFUNCTION("""COMPUTED_VALUE"""),"")</f>
        <v/>
      </c>
      <c r="X1644" s="143" t="str">
        <f t="shared" si="2"/>
        <v/>
      </c>
      <c r="Y1644" s="139" t="str">
        <f>IFERROR(__xludf.DUMMYFUNCTION("""COMPUTED_VALUE"""),"")</f>
        <v/>
      </c>
      <c r="Z1644" s="141" t="str">
        <f>IFERROR(__xludf.DUMMYFUNCTION("""COMPUTED_VALUE"""),"")</f>
        <v/>
      </c>
    </row>
    <row r="1645">
      <c r="D1645" s="136" t="str">
        <f t="shared" si="3"/>
        <v/>
      </c>
      <c r="E1645" s="152"/>
      <c r="F1645" s="106" t="s">
        <v>133</v>
      </c>
      <c r="G1645" s="152"/>
      <c r="H1645" s="106" t="s">
        <v>133</v>
      </c>
      <c r="J1645" s="139" t="s">
        <v>133</v>
      </c>
      <c r="K1645" s="136" t="s">
        <v>133</v>
      </c>
      <c r="L1645" s="153"/>
      <c r="M1645" s="136" t="str">
        <f t="shared" si="1"/>
        <v/>
      </c>
      <c r="O1645" s="141" t="s">
        <v>133</v>
      </c>
      <c r="P1645" s="136" t="str">
        <f>IFERROR(__xludf.DUMMYFUNCTION("""COMPUTED_VALUE"""),"")</f>
        <v/>
      </c>
      <c r="Q1645" s="136" t="str">
        <f>IFERROR(__xludf.DUMMYFUNCTION("""COMPUTED_VALUE"""),"")</f>
        <v/>
      </c>
      <c r="R1645" s="106" t="str">
        <f>IFERROR(__xludf.DUMMYFUNCTION("""COMPUTED_VALUE"""),"")</f>
        <v/>
      </c>
      <c r="S1645" s="106" t="str">
        <f>IFERROR(__xludf.DUMMYFUNCTION("""COMPUTED_VALUE"""),"")</f>
        <v/>
      </c>
      <c r="T1645" s="139" t="str">
        <f>IFERROR(__xludf.DUMMYFUNCTION("""COMPUTED_VALUE"""),"")</f>
        <v/>
      </c>
      <c r="U1645" s="139" t="str">
        <f>IFERROR(__xludf.DUMMYFUNCTION("""COMPUTED_VALUE"""),"")</f>
        <v/>
      </c>
      <c r="V1645" s="136" t="str">
        <f>IFERROR(__xludf.DUMMYFUNCTION("""COMPUTED_VALUE"""),"")</f>
        <v/>
      </c>
      <c r="W1645" s="106" t="str">
        <f>IFERROR(__xludf.DUMMYFUNCTION("""COMPUTED_VALUE"""),"")</f>
        <v/>
      </c>
      <c r="X1645" s="143" t="str">
        <f t="shared" si="2"/>
        <v/>
      </c>
      <c r="Y1645" s="139" t="str">
        <f>IFERROR(__xludf.DUMMYFUNCTION("""COMPUTED_VALUE"""),"")</f>
        <v/>
      </c>
      <c r="Z1645" s="141" t="str">
        <f>IFERROR(__xludf.DUMMYFUNCTION("""COMPUTED_VALUE"""),"")</f>
        <v/>
      </c>
    </row>
    <row r="1646">
      <c r="D1646" s="136" t="str">
        <f t="shared" si="3"/>
        <v/>
      </c>
      <c r="E1646" s="152"/>
      <c r="F1646" s="106" t="s">
        <v>133</v>
      </c>
      <c r="G1646" s="152"/>
      <c r="H1646" s="106" t="s">
        <v>133</v>
      </c>
      <c r="J1646" s="139" t="s">
        <v>133</v>
      </c>
      <c r="K1646" s="136" t="s">
        <v>133</v>
      </c>
      <c r="L1646" s="153"/>
      <c r="M1646" s="136" t="str">
        <f t="shared" si="1"/>
        <v/>
      </c>
      <c r="O1646" s="141" t="s">
        <v>133</v>
      </c>
      <c r="P1646" s="136" t="str">
        <f>IFERROR(__xludf.DUMMYFUNCTION("""COMPUTED_VALUE"""),"")</f>
        <v/>
      </c>
      <c r="Q1646" s="136" t="str">
        <f>IFERROR(__xludf.DUMMYFUNCTION("""COMPUTED_VALUE"""),"")</f>
        <v/>
      </c>
      <c r="R1646" s="106" t="str">
        <f>IFERROR(__xludf.DUMMYFUNCTION("""COMPUTED_VALUE"""),"")</f>
        <v/>
      </c>
      <c r="S1646" s="106" t="str">
        <f>IFERROR(__xludf.DUMMYFUNCTION("""COMPUTED_VALUE"""),"")</f>
        <v/>
      </c>
      <c r="T1646" s="139" t="str">
        <f>IFERROR(__xludf.DUMMYFUNCTION("""COMPUTED_VALUE"""),"")</f>
        <v/>
      </c>
      <c r="U1646" s="139" t="str">
        <f>IFERROR(__xludf.DUMMYFUNCTION("""COMPUTED_VALUE"""),"")</f>
        <v/>
      </c>
      <c r="V1646" s="136" t="str">
        <f>IFERROR(__xludf.DUMMYFUNCTION("""COMPUTED_VALUE"""),"")</f>
        <v/>
      </c>
      <c r="W1646" s="106" t="str">
        <f>IFERROR(__xludf.DUMMYFUNCTION("""COMPUTED_VALUE"""),"")</f>
        <v/>
      </c>
      <c r="X1646" s="143" t="str">
        <f t="shared" si="2"/>
        <v/>
      </c>
      <c r="Y1646" s="139" t="str">
        <f>IFERROR(__xludf.DUMMYFUNCTION("""COMPUTED_VALUE"""),"")</f>
        <v/>
      </c>
      <c r="Z1646" s="141" t="str">
        <f>IFERROR(__xludf.DUMMYFUNCTION("""COMPUTED_VALUE"""),"")</f>
        <v/>
      </c>
    </row>
    <row r="1647">
      <c r="D1647" s="136" t="str">
        <f t="shared" si="3"/>
        <v/>
      </c>
      <c r="E1647" s="152"/>
      <c r="F1647" s="106" t="s">
        <v>133</v>
      </c>
      <c r="G1647" s="152"/>
      <c r="H1647" s="106" t="s">
        <v>133</v>
      </c>
      <c r="J1647" s="139" t="s">
        <v>133</v>
      </c>
      <c r="K1647" s="136" t="s">
        <v>133</v>
      </c>
      <c r="L1647" s="153"/>
      <c r="M1647" s="136" t="str">
        <f t="shared" si="1"/>
        <v/>
      </c>
      <c r="O1647" s="141" t="s">
        <v>133</v>
      </c>
      <c r="P1647" s="136" t="str">
        <f>IFERROR(__xludf.DUMMYFUNCTION("""COMPUTED_VALUE"""),"")</f>
        <v/>
      </c>
      <c r="Q1647" s="136" t="str">
        <f>IFERROR(__xludf.DUMMYFUNCTION("""COMPUTED_VALUE"""),"")</f>
        <v/>
      </c>
      <c r="R1647" s="106" t="str">
        <f>IFERROR(__xludf.DUMMYFUNCTION("""COMPUTED_VALUE"""),"")</f>
        <v/>
      </c>
      <c r="S1647" s="106" t="str">
        <f>IFERROR(__xludf.DUMMYFUNCTION("""COMPUTED_VALUE"""),"")</f>
        <v/>
      </c>
      <c r="T1647" s="139" t="str">
        <f>IFERROR(__xludf.DUMMYFUNCTION("""COMPUTED_VALUE"""),"")</f>
        <v/>
      </c>
      <c r="U1647" s="139" t="str">
        <f>IFERROR(__xludf.DUMMYFUNCTION("""COMPUTED_VALUE"""),"")</f>
        <v/>
      </c>
      <c r="V1647" s="136" t="str">
        <f>IFERROR(__xludf.DUMMYFUNCTION("""COMPUTED_VALUE"""),"")</f>
        <v/>
      </c>
      <c r="W1647" s="106" t="str">
        <f>IFERROR(__xludf.DUMMYFUNCTION("""COMPUTED_VALUE"""),"")</f>
        <v/>
      </c>
      <c r="X1647" s="143" t="str">
        <f t="shared" si="2"/>
        <v/>
      </c>
      <c r="Y1647" s="139" t="str">
        <f>IFERROR(__xludf.DUMMYFUNCTION("""COMPUTED_VALUE"""),"")</f>
        <v/>
      </c>
      <c r="Z1647" s="141" t="str">
        <f>IFERROR(__xludf.DUMMYFUNCTION("""COMPUTED_VALUE"""),"")</f>
        <v/>
      </c>
    </row>
    <row r="1648">
      <c r="D1648" s="136" t="str">
        <f t="shared" si="3"/>
        <v/>
      </c>
      <c r="E1648" s="152"/>
      <c r="F1648" s="106" t="s">
        <v>133</v>
      </c>
      <c r="G1648" s="152"/>
      <c r="H1648" s="106" t="s">
        <v>133</v>
      </c>
      <c r="J1648" s="139" t="s">
        <v>133</v>
      </c>
      <c r="K1648" s="136" t="s">
        <v>133</v>
      </c>
      <c r="L1648" s="153"/>
      <c r="M1648" s="136" t="str">
        <f t="shared" si="1"/>
        <v/>
      </c>
      <c r="O1648" s="141" t="s">
        <v>133</v>
      </c>
      <c r="P1648" s="136" t="str">
        <f>IFERROR(__xludf.DUMMYFUNCTION("""COMPUTED_VALUE"""),"")</f>
        <v/>
      </c>
      <c r="Q1648" s="136" t="str">
        <f>IFERROR(__xludf.DUMMYFUNCTION("""COMPUTED_VALUE"""),"")</f>
        <v/>
      </c>
      <c r="R1648" s="106" t="str">
        <f>IFERROR(__xludf.DUMMYFUNCTION("""COMPUTED_VALUE"""),"")</f>
        <v/>
      </c>
      <c r="S1648" s="106" t="str">
        <f>IFERROR(__xludf.DUMMYFUNCTION("""COMPUTED_VALUE"""),"")</f>
        <v/>
      </c>
      <c r="T1648" s="139" t="str">
        <f>IFERROR(__xludf.DUMMYFUNCTION("""COMPUTED_VALUE"""),"")</f>
        <v/>
      </c>
      <c r="U1648" s="139" t="str">
        <f>IFERROR(__xludf.DUMMYFUNCTION("""COMPUTED_VALUE"""),"")</f>
        <v/>
      </c>
      <c r="V1648" s="136" t="str">
        <f>IFERROR(__xludf.DUMMYFUNCTION("""COMPUTED_VALUE"""),"")</f>
        <v/>
      </c>
      <c r="W1648" s="106" t="str">
        <f>IFERROR(__xludf.DUMMYFUNCTION("""COMPUTED_VALUE"""),"")</f>
        <v/>
      </c>
      <c r="X1648" s="143" t="str">
        <f t="shared" si="2"/>
        <v/>
      </c>
      <c r="Y1648" s="139" t="str">
        <f>IFERROR(__xludf.DUMMYFUNCTION("""COMPUTED_VALUE"""),"")</f>
        <v/>
      </c>
      <c r="Z1648" s="141" t="str">
        <f>IFERROR(__xludf.DUMMYFUNCTION("""COMPUTED_VALUE"""),"")</f>
        <v/>
      </c>
    </row>
    <row r="1649">
      <c r="D1649" s="136" t="str">
        <f t="shared" si="3"/>
        <v/>
      </c>
      <c r="E1649" s="152"/>
      <c r="F1649" s="106" t="s">
        <v>133</v>
      </c>
      <c r="G1649" s="152"/>
      <c r="H1649" s="106" t="s">
        <v>133</v>
      </c>
      <c r="J1649" s="139" t="s">
        <v>133</v>
      </c>
      <c r="K1649" s="136" t="s">
        <v>133</v>
      </c>
      <c r="L1649" s="153"/>
      <c r="M1649" s="136" t="str">
        <f t="shared" si="1"/>
        <v/>
      </c>
      <c r="O1649" s="141" t="s">
        <v>133</v>
      </c>
      <c r="P1649" s="136" t="str">
        <f>IFERROR(__xludf.DUMMYFUNCTION("""COMPUTED_VALUE"""),"")</f>
        <v/>
      </c>
      <c r="Q1649" s="136" t="str">
        <f>IFERROR(__xludf.DUMMYFUNCTION("""COMPUTED_VALUE"""),"")</f>
        <v/>
      </c>
      <c r="R1649" s="106" t="str">
        <f>IFERROR(__xludf.DUMMYFUNCTION("""COMPUTED_VALUE"""),"")</f>
        <v/>
      </c>
      <c r="S1649" s="106" t="str">
        <f>IFERROR(__xludf.DUMMYFUNCTION("""COMPUTED_VALUE"""),"")</f>
        <v/>
      </c>
      <c r="T1649" s="139" t="str">
        <f>IFERROR(__xludf.DUMMYFUNCTION("""COMPUTED_VALUE"""),"")</f>
        <v/>
      </c>
      <c r="U1649" s="139" t="str">
        <f>IFERROR(__xludf.DUMMYFUNCTION("""COMPUTED_VALUE"""),"")</f>
        <v/>
      </c>
      <c r="V1649" s="136" t="str">
        <f>IFERROR(__xludf.DUMMYFUNCTION("""COMPUTED_VALUE"""),"")</f>
        <v/>
      </c>
      <c r="W1649" s="106" t="str">
        <f>IFERROR(__xludf.DUMMYFUNCTION("""COMPUTED_VALUE"""),"")</f>
        <v/>
      </c>
      <c r="X1649" s="143" t="str">
        <f t="shared" si="2"/>
        <v/>
      </c>
      <c r="Y1649" s="139" t="str">
        <f>IFERROR(__xludf.DUMMYFUNCTION("""COMPUTED_VALUE"""),"")</f>
        <v/>
      </c>
      <c r="Z1649" s="141" t="str">
        <f>IFERROR(__xludf.DUMMYFUNCTION("""COMPUTED_VALUE"""),"")</f>
        <v/>
      </c>
    </row>
    <row r="1650">
      <c r="D1650" s="136" t="str">
        <f t="shared" si="3"/>
        <v/>
      </c>
      <c r="E1650" s="152"/>
      <c r="F1650" s="106" t="s">
        <v>133</v>
      </c>
      <c r="G1650" s="152"/>
      <c r="H1650" s="106" t="s">
        <v>133</v>
      </c>
      <c r="J1650" s="139" t="s">
        <v>133</v>
      </c>
      <c r="K1650" s="136" t="s">
        <v>133</v>
      </c>
      <c r="L1650" s="153"/>
      <c r="M1650" s="136" t="str">
        <f t="shared" si="1"/>
        <v/>
      </c>
      <c r="O1650" s="141" t="s">
        <v>133</v>
      </c>
      <c r="P1650" s="136" t="str">
        <f>IFERROR(__xludf.DUMMYFUNCTION("""COMPUTED_VALUE"""),"")</f>
        <v/>
      </c>
      <c r="Q1650" s="136" t="str">
        <f>IFERROR(__xludf.DUMMYFUNCTION("""COMPUTED_VALUE"""),"")</f>
        <v/>
      </c>
      <c r="R1650" s="106" t="str">
        <f>IFERROR(__xludf.DUMMYFUNCTION("""COMPUTED_VALUE"""),"")</f>
        <v/>
      </c>
      <c r="S1650" s="106" t="str">
        <f>IFERROR(__xludf.DUMMYFUNCTION("""COMPUTED_VALUE"""),"")</f>
        <v/>
      </c>
      <c r="T1650" s="139" t="str">
        <f>IFERROR(__xludf.DUMMYFUNCTION("""COMPUTED_VALUE"""),"")</f>
        <v/>
      </c>
      <c r="U1650" s="139" t="str">
        <f>IFERROR(__xludf.DUMMYFUNCTION("""COMPUTED_VALUE"""),"")</f>
        <v/>
      </c>
      <c r="V1650" s="136" t="str">
        <f>IFERROR(__xludf.DUMMYFUNCTION("""COMPUTED_VALUE"""),"")</f>
        <v/>
      </c>
      <c r="W1650" s="106" t="str">
        <f>IFERROR(__xludf.DUMMYFUNCTION("""COMPUTED_VALUE"""),"")</f>
        <v/>
      </c>
      <c r="X1650" s="143" t="str">
        <f t="shared" si="2"/>
        <v/>
      </c>
      <c r="Y1650" s="139" t="str">
        <f>IFERROR(__xludf.DUMMYFUNCTION("""COMPUTED_VALUE"""),"")</f>
        <v/>
      </c>
      <c r="Z1650" s="141" t="str">
        <f>IFERROR(__xludf.DUMMYFUNCTION("""COMPUTED_VALUE"""),"")</f>
        <v/>
      </c>
    </row>
    <row r="1651">
      <c r="D1651" s="136" t="str">
        <f t="shared" si="3"/>
        <v/>
      </c>
      <c r="E1651" s="152"/>
      <c r="F1651" s="106" t="s">
        <v>133</v>
      </c>
      <c r="G1651" s="152"/>
      <c r="H1651" s="106" t="s">
        <v>133</v>
      </c>
      <c r="J1651" s="139" t="s">
        <v>133</v>
      </c>
      <c r="K1651" s="136" t="s">
        <v>133</v>
      </c>
      <c r="L1651" s="153"/>
      <c r="M1651" s="136" t="str">
        <f t="shared" si="1"/>
        <v/>
      </c>
      <c r="O1651" s="141" t="s">
        <v>133</v>
      </c>
      <c r="P1651" s="136" t="str">
        <f>IFERROR(__xludf.DUMMYFUNCTION("""COMPUTED_VALUE"""),"")</f>
        <v/>
      </c>
      <c r="Q1651" s="136" t="str">
        <f>IFERROR(__xludf.DUMMYFUNCTION("""COMPUTED_VALUE"""),"")</f>
        <v/>
      </c>
      <c r="R1651" s="106" t="str">
        <f>IFERROR(__xludf.DUMMYFUNCTION("""COMPUTED_VALUE"""),"")</f>
        <v/>
      </c>
      <c r="S1651" s="106" t="str">
        <f>IFERROR(__xludf.DUMMYFUNCTION("""COMPUTED_VALUE"""),"")</f>
        <v/>
      </c>
      <c r="T1651" s="139" t="str">
        <f>IFERROR(__xludf.DUMMYFUNCTION("""COMPUTED_VALUE"""),"")</f>
        <v/>
      </c>
      <c r="U1651" s="139" t="str">
        <f>IFERROR(__xludf.DUMMYFUNCTION("""COMPUTED_VALUE"""),"")</f>
        <v/>
      </c>
      <c r="V1651" s="136" t="str">
        <f>IFERROR(__xludf.DUMMYFUNCTION("""COMPUTED_VALUE"""),"")</f>
        <v/>
      </c>
      <c r="W1651" s="106" t="str">
        <f>IFERROR(__xludf.DUMMYFUNCTION("""COMPUTED_VALUE"""),"")</f>
        <v/>
      </c>
      <c r="X1651" s="143" t="str">
        <f t="shared" si="2"/>
        <v/>
      </c>
      <c r="Y1651" s="139" t="str">
        <f>IFERROR(__xludf.DUMMYFUNCTION("""COMPUTED_VALUE"""),"")</f>
        <v/>
      </c>
      <c r="Z1651" s="141" t="str">
        <f>IFERROR(__xludf.DUMMYFUNCTION("""COMPUTED_VALUE"""),"")</f>
        <v/>
      </c>
    </row>
    <row r="1652">
      <c r="D1652" s="136" t="str">
        <f t="shared" si="3"/>
        <v/>
      </c>
      <c r="E1652" s="152"/>
      <c r="F1652" s="106" t="s">
        <v>133</v>
      </c>
      <c r="G1652" s="152"/>
      <c r="H1652" s="106" t="s">
        <v>133</v>
      </c>
      <c r="J1652" s="139" t="s">
        <v>133</v>
      </c>
      <c r="K1652" s="136" t="s">
        <v>133</v>
      </c>
      <c r="L1652" s="153"/>
      <c r="M1652" s="136" t="str">
        <f t="shared" si="1"/>
        <v/>
      </c>
      <c r="O1652" s="141" t="s">
        <v>133</v>
      </c>
      <c r="P1652" s="136" t="str">
        <f>IFERROR(__xludf.DUMMYFUNCTION("""COMPUTED_VALUE"""),"")</f>
        <v/>
      </c>
      <c r="Q1652" s="136" t="str">
        <f>IFERROR(__xludf.DUMMYFUNCTION("""COMPUTED_VALUE"""),"")</f>
        <v/>
      </c>
      <c r="R1652" s="106" t="str">
        <f>IFERROR(__xludf.DUMMYFUNCTION("""COMPUTED_VALUE"""),"")</f>
        <v/>
      </c>
      <c r="S1652" s="106" t="str">
        <f>IFERROR(__xludf.DUMMYFUNCTION("""COMPUTED_VALUE"""),"")</f>
        <v/>
      </c>
      <c r="T1652" s="139" t="str">
        <f>IFERROR(__xludf.DUMMYFUNCTION("""COMPUTED_VALUE"""),"")</f>
        <v/>
      </c>
      <c r="U1652" s="139" t="str">
        <f>IFERROR(__xludf.DUMMYFUNCTION("""COMPUTED_VALUE"""),"")</f>
        <v/>
      </c>
      <c r="V1652" s="136" t="str">
        <f>IFERROR(__xludf.DUMMYFUNCTION("""COMPUTED_VALUE"""),"")</f>
        <v/>
      </c>
      <c r="W1652" s="106" t="str">
        <f>IFERROR(__xludf.DUMMYFUNCTION("""COMPUTED_VALUE"""),"")</f>
        <v/>
      </c>
      <c r="X1652" s="143" t="str">
        <f t="shared" si="2"/>
        <v/>
      </c>
      <c r="Y1652" s="139" t="str">
        <f>IFERROR(__xludf.DUMMYFUNCTION("""COMPUTED_VALUE"""),"")</f>
        <v/>
      </c>
      <c r="Z1652" s="141" t="str">
        <f>IFERROR(__xludf.DUMMYFUNCTION("""COMPUTED_VALUE"""),"")</f>
        <v/>
      </c>
    </row>
    <row r="1653">
      <c r="D1653" s="136" t="str">
        <f t="shared" si="3"/>
        <v/>
      </c>
      <c r="E1653" s="152"/>
      <c r="F1653" s="106" t="s">
        <v>133</v>
      </c>
      <c r="G1653" s="152"/>
      <c r="H1653" s="106" t="s">
        <v>133</v>
      </c>
      <c r="J1653" s="139" t="s">
        <v>133</v>
      </c>
      <c r="K1653" s="136" t="s">
        <v>133</v>
      </c>
      <c r="L1653" s="153"/>
      <c r="M1653" s="136" t="str">
        <f t="shared" si="1"/>
        <v/>
      </c>
      <c r="O1653" s="141" t="s">
        <v>133</v>
      </c>
      <c r="P1653" s="136" t="str">
        <f>IFERROR(__xludf.DUMMYFUNCTION("""COMPUTED_VALUE"""),"")</f>
        <v/>
      </c>
      <c r="Q1653" s="136" t="str">
        <f>IFERROR(__xludf.DUMMYFUNCTION("""COMPUTED_VALUE"""),"")</f>
        <v/>
      </c>
      <c r="R1653" s="106" t="str">
        <f>IFERROR(__xludf.DUMMYFUNCTION("""COMPUTED_VALUE"""),"")</f>
        <v/>
      </c>
      <c r="S1653" s="106" t="str">
        <f>IFERROR(__xludf.DUMMYFUNCTION("""COMPUTED_VALUE"""),"")</f>
        <v/>
      </c>
      <c r="T1653" s="139" t="str">
        <f>IFERROR(__xludf.DUMMYFUNCTION("""COMPUTED_VALUE"""),"")</f>
        <v/>
      </c>
      <c r="U1653" s="139" t="str">
        <f>IFERROR(__xludf.DUMMYFUNCTION("""COMPUTED_VALUE"""),"")</f>
        <v/>
      </c>
      <c r="V1653" s="136" t="str">
        <f>IFERROR(__xludf.DUMMYFUNCTION("""COMPUTED_VALUE"""),"")</f>
        <v/>
      </c>
      <c r="W1653" s="106" t="str">
        <f>IFERROR(__xludf.DUMMYFUNCTION("""COMPUTED_VALUE"""),"")</f>
        <v/>
      </c>
      <c r="X1653" s="143" t="str">
        <f t="shared" si="2"/>
        <v/>
      </c>
      <c r="Y1653" s="139" t="str">
        <f>IFERROR(__xludf.DUMMYFUNCTION("""COMPUTED_VALUE"""),"")</f>
        <v/>
      </c>
      <c r="Z1653" s="141" t="str">
        <f>IFERROR(__xludf.DUMMYFUNCTION("""COMPUTED_VALUE"""),"")</f>
        <v/>
      </c>
    </row>
    <row r="1654">
      <c r="D1654" s="136" t="str">
        <f t="shared" si="3"/>
        <v/>
      </c>
      <c r="E1654" s="152"/>
      <c r="F1654" s="106" t="s">
        <v>133</v>
      </c>
      <c r="G1654" s="152"/>
      <c r="H1654" s="106" t="s">
        <v>133</v>
      </c>
      <c r="J1654" s="139" t="s">
        <v>133</v>
      </c>
      <c r="K1654" s="136" t="s">
        <v>133</v>
      </c>
      <c r="L1654" s="153"/>
      <c r="M1654" s="136" t="str">
        <f t="shared" si="1"/>
        <v/>
      </c>
      <c r="O1654" s="141" t="s">
        <v>133</v>
      </c>
      <c r="P1654" s="136" t="str">
        <f>IFERROR(__xludf.DUMMYFUNCTION("""COMPUTED_VALUE"""),"")</f>
        <v/>
      </c>
      <c r="Q1654" s="136" t="str">
        <f>IFERROR(__xludf.DUMMYFUNCTION("""COMPUTED_VALUE"""),"")</f>
        <v/>
      </c>
      <c r="R1654" s="106" t="str">
        <f>IFERROR(__xludf.DUMMYFUNCTION("""COMPUTED_VALUE"""),"")</f>
        <v/>
      </c>
      <c r="S1654" s="106" t="str">
        <f>IFERROR(__xludf.DUMMYFUNCTION("""COMPUTED_VALUE"""),"")</f>
        <v/>
      </c>
      <c r="T1654" s="139" t="str">
        <f>IFERROR(__xludf.DUMMYFUNCTION("""COMPUTED_VALUE"""),"")</f>
        <v/>
      </c>
      <c r="U1654" s="139" t="str">
        <f>IFERROR(__xludf.DUMMYFUNCTION("""COMPUTED_VALUE"""),"")</f>
        <v/>
      </c>
      <c r="V1654" s="136" t="str">
        <f>IFERROR(__xludf.DUMMYFUNCTION("""COMPUTED_VALUE"""),"")</f>
        <v/>
      </c>
      <c r="W1654" s="106" t="str">
        <f>IFERROR(__xludf.DUMMYFUNCTION("""COMPUTED_VALUE"""),"")</f>
        <v/>
      </c>
      <c r="X1654" s="143" t="str">
        <f t="shared" si="2"/>
        <v/>
      </c>
      <c r="Y1654" s="139" t="str">
        <f>IFERROR(__xludf.DUMMYFUNCTION("""COMPUTED_VALUE"""),"")</f>
        <v/>
      </c>
      <c r="Z1654" s="141" t="str">
        <f>IFERROR(__xludf.DUMMYFUNCTION("""COMPUTED_VALUE"""),"")</f>
        <v/>
      </c>
    </row>
    <row r="1655">
      <c r="D1655" s="136" t="str">
        <f t="shared" si="3"/>
        <v/>
      </c>
      <c r="E1655" s="152"/>
      <c r="F1655" s="106" t="s">
        <v>133</v>
      </c>
      <c r="G1655" s="152"/>
      <c r="H1655" s="106" t="s">
        <v>133</v>
      </c>
      <c r="J1655" s="139" t="s">
        <v>133</v>
      </c>
      <c r="K1655" s="136" t="s">
        <v>133</v>
      </c>
      <c r="L1655" s="153"/>
      <c r="M1655" s="136" t="str">
        <f t="shared" si="1"/>
        <v/>
      </c>
      <c r="O1655" s="141" t="s">
        <v>133</v>
      </c>
      <c r="P1655" s="136" t="str">
        <f>IFERROR(__xludf.DUMMYFUNCTION("""COMPUTED_VALUE"""),"")</f>
        <v/>
      </c>
      <c r="Q1655" s="136" t="str">
        <f>IFERROR(__xludf.DUMMYFUNCTION("""COMPUTED_VALUE"""),"")</f>
        <v/>
      </c>
      <c r="R1655" s="106" t="str">
        <f>IFERROR(__xludf.DUMMYFUNCTION("""COMPUTED_VALUE"""),"")</f>
        <v/>
      </c>
      <c r="S1655" s="106" t="str">
        <f>IFERROR(__xludf.DUMMYFUNCTION("""COMPUTED_VALUE"""),"")</f>
        <v/>
      </c>
      <c r="T1655" s="139" t="str">
        <f>IFERROR(__xludf.DUMMYFUNCTION("""COMPUTED_VALUE"""),"")</f>
        <v/>
      </c>
      <c r="U1655" s="139" t="str">
        <f>IFERROR(__xludf.DUMMYFUNCTION("""COMPUTED_VALUE"""),"")</f>
        <v/>
      </c>
      <c r="V1655" s="136" t="str">
        <f>IFERROR(__xludf.DUMMYFUNCTION("""COMPUTED_VALUE"""),"")</f>
        <v/>
      </c>
      <c r="W1655" s="106" t="str">
        <f>IFERROR(__xludf.DUMMYFUNCTION("""COMPUTED_VALUE"""),"")</f>
        <v/>
      </c>
      <c r="X1655" s="143" t="str">
        <f t="shared" si="2"/>
        <v/>
      </c>
      <c r="Y1655" s="139" t="str">
        <f>IFERROR(__xludf.DUMMYFUNCTION("""COMPUTED_VALUE"""),"")</f>
        <v/>
      </c>
      <c r="Z1655" s="141" t="str">
        <f>IFERROR(__xludf.DUMMYFUNCTION("""COMPUTED_VALUE"""),"")</f>
        <v/>
      </c>
    </row>
    <row r="1656">
      <c r="D1656" s="136" t="str">
        <f t="shared" si="3"/>
        <v/>
      </c>
      <c r="E1656" s="152"/>
      <c r="F1656" s="106" t="s">
        <v>133</v>
      </c>
      <c r="G1656" s="152"/>
      <c r="H1656" s="106" t="s">
        <v>133</v>
      </c>
      <c r="J1656" s="139" t="s">
        <v>133</v>
      </c>
      <c r="K1656" s="136" t="s">
        <v>133</v>
      </c>
      <c r="L1656" s="153"/>
      <c r="M1656" s="136" t="str">
        <f t="shared" si="1"/>
        <v/>
      </c>
      <c r="O1656" s="141" t="s">
        <v>133</v>
      </c>
      <c r="P1656" s="136" t="str">
        <f>IFERROR(__xludf.DUMMYFUNCTION("""COMPUTED_VALUE"""),"")</f>
        <v/>
      </c>
      <c r="Q1656" s="136" t="str">
        <f>IFERROR(__xludf.DUMMYFUNCTION("""COMPUTED_VALUE"""),"")</f>
        <v/>
      </c>
      <c r="R1656" s="106" t="str">
        <f>IFERROR(__xludf.DUMMYFUNCTION("""COMPUTED_VALUE"""),"")</f>
        <v/>
      </c>
      <c r="S1656" s="106" t="str">
        <f>IFERROR(__xludf.DUMMYFUNCTION("""COMPUTED_VALUE"""),"")</f>
        <v/>
      </c>
      <c r="T1656" s="139" t="str">
        <f>IFERROR(__xludf.DUMMYFUNCTION("""COMPUTED_VALUE"""),"")</f>
        <v/>
      </c>
      <c r="U1656" s="139" t="str">
        <f>IFERROR(__xludf.DUMMYFUNCTION("""COMPUTED_VALUE"""),"")</f>
        <v/>
      </c>
      <c r="V1656" s="136" t="str">
        <f>IFERROR(__xludf.DUMMYFUNCTION("""COMPUTED_VALUE"""),"")</f>
        <v/>
      </c>
      <c r="W1656" s="106" t="str">
        <f>IFERROR(__xludf.DUMMYFUNCTION("""COMPUTED_VALUE"""),"")</f>
        <v/>
      </c>
      <c r="X1656" s="143" t="str">
        <f t="shared" si="2"/>
        <v/>
      </c>
      <c r="Y1656" s="139" t="str">
        <f>IFERROR(__xludf.DUMMYFUNCTION("""COMPUTED_VALUE"""),"")</f>
        <v/>
      </c>
      <c r="Z1656" s="141" t="str">
        <f>IFERROR(__xludf.DUMMYFUNCTION("""COMPUTED_VALUE"""),"")</f>
        <v/>
      </c>
    </row>
    <row r="1657">
      <c r="D1657" s="136" t="str">
        <f t="shared" si="3"/>
        <v/>
      </c>
      <c r="E1657" s="152"/>
      <c r="F1657" s="106" t="s">
        <v>133</v>
      </c>
      <c r="G1657" s="152"/>
      <c r="H1657" s="106" t="s">
        <v>133</v>
      </c>
      <c r="J1657" s="139" t="s">
        <v>133</v>
      </c>
      <c r="K1657" s="136" t="s">
        <v>133</v>
      </c>
      <c r="L1657" s="153"/>
      <c r="M1657" s="136" t="str">
        <f t="shared" si="1"/>
        <v/>
      </c>
      <c r="O1657" s="141" t="s">
        <v>133</v>
      </c>
      <c r="P1657" s="136" t="str">
        <f>IFERROR(__xludf.DUMMYFUNCTION("""COMPUTED_VALUE"""),"")</f>
        <v/>
      </c>
      <c r="Q1657" s="136" t="str">
        <f>IFERROR(__xludf.DUMMYFUNCTION("""COMPUTED_VALUE"""),"")</f>
        <v/>
      </c>
      <c r="R1657" s="106" t="str">
        <f>IFERROR(__xludf.DUMMYFUNCTION("""COMPUTED_VALUE"""),"")</f>
        <v/>
      </c>
      <c r="S1657" s="106" t="str">
        <f>IFERROR(__xludf.DUMMYFUNCTION("""COMPUTED_VALUE"""),"")</f>
        <v/>
      </c>
      <c r="T1657" s="139" t="str">
        <f>IFERROR(__xludf.DUMMYFUNCTION("""COMPUTED_VALUE"""),"")</f>
        <v/>
      </c>
      <c r="U1657" s="139" t="str">
        <f>IFERROR(__xludf.DUMMYFUNCTION("""COMPUTED_VALUE"""),"")</f>
        <v/>
      </c>
      <c r="V1657" s="136" t="str">
        <f>IFERROR(__xludf.DUMMYFUNCTION("""COMPUTED_VALUE"""),"")</f>
        <v/>
      </c>
      <c r="W1657" s="106" t="str">
        <f>IFERROR(__xludf.DUMMYFUNCTION("""COMPUTED_VALUE"""),"")</f>
        <v/>
      </c>
      <c r="X1657" s="143" t="str">
        <f t="shared" si="2"/>
        <v/>
      </c>
      <c r="Y1657" s="139" t="str">
        <f>IFERROR(__xludf.DUMMYFUNCTION("""COMPUTED_VALUE"""),"")</f>
        <v/>
      </c>
      <c r="Z1657" s="141" t="str">
        <f>IFERROR(__xludf.DUMMYFUNCTION("""COMPUTED_VALUE"""),"")</f>
        <v/>
      </c>
    </row>
    <row r="1658">
      <c r="D1658" s="136" t="str">
        <f t="shared" si="3"/>
        <v/>
      </c>
      <c r="E1658" s="152"/>
      <c r="F1658" s="106" t="s">
        <v>133</v>
      </c>
      <c r="G1658" s="152"/>
      <c r="H1658" s="106" t="s">
        <v>133</v>
      </c>
      <c r="J1658" s="139" t="s">
        <v>133</v>
      </c>
      <c r="K1658" s="136" t="s">
        <v>133</v>
      </c>
      <c r="L1658" s="153"/>
      <c r="M1658" s="136" t="str">
        <f t="shared" si="1"/>
        <v/>
      </c>
      <c r="O1658" s="141" t="s">
        <v>133</v>
      </c>
      <c r="P1658" s="136" t="str">
        <f>IFERROR(__xludf.DUMMYFUNCTION("""COMPUTED_VALUE"""),"")</f>
        <v/>
      </c>
      <c r="Q1658" s="136" t="str">
        <f>IFERROR(__xludf.DUMMYFUNCTION("""COMPUTED_VALUE"""),"")</f>
        <v/>
      </c>
      <c r="R1658" s="106" t="str">
        <f>IFERROR(__xludf.DUMMYFUNCTION("""COMPUTED_VALUE"""),"")</f>
        <v/>
      </c>
      <c r="S1658" s="106" t="str">
        <f>IFERROR(__xludf.DUMMYFUNCTION("""COMPUTED_VALUE"""),"")</f>
        <v/>
      </c>
      <c r="T1658" s="139" t="str">
        <f>IFERROR(__xludf.DUMMYFUNCTION("""COMPUTED_VALUE"""),"")</f>
        <v/>
      </c>
      <c r="U1658" s="139" t="str">
        <f>IFERROR(__xludf.DUMMYFUNCTION("""COMPUTED_VALUE"""),"")</f>
        <v/>
      </c>
      <c r="V1658" s="136" t="str">
        <f>IFERROR(__xludf.DUMMYFUNCTION("""COMPUTED_VALUE"""),"")</f>
        <v/>
      </c>
      <c r="W1658" s="106" t="str">
        <f>IFERROR(__xludf.DUMMYFUNCTION("""COMPUTED_VALUE"""),"")</f>
        <v/>
      </c>
      <c r="X1658" s="143" t="str">
        <f t="shared" si="2"/>
        <v/>
      </c>
      <c r="Y1658" s="139" t="str">
        <f>IFERROR(__xludf.DUMMYFUNCTION("""COMPUTED_VALUE"""),"")</f>
        <v/>
      </c>
      <c r="Z1658" s="141" t="str">
        <f>IFERROR(__xludf.DUMMYFUNCTION("""COMPUTED_VALUE"""),"")</f>
        <v/>
      </c>
    </row>
    <row r="1659">
      <c r="D1659" s="136" t="str">
        <f t="shared" si="3"/>
        <v/>
      </c>
      <c r="E1659" s="152"/>
      <c r="F1659" s="106" t="s">
        <v>133</v>
      </c>
      <c r="G1659" s="152"/>
      <c r="H1659" s="106" t="s">
        <v>133</v>
      </c>
      <c r="J1659" s="139" t="s">
        <v>133</v>
      </c>
      <c r="K1659" s="136" t="s">
        <v>133</v>
      </c>
      <c r="L1659" s="153"/>
      <c r="M1659" s="136" t="str">
        <f t="shared" si="1"/>
        <v/>
      </c>
      <c r="O1659" s="141" t="s">
        <v>133</v>
      </c>
      <c r="P1659" s="136" t="str">
        <f>IFERROR(__xludf.DUMMYFUNCTION("""COMPUTED_VALUE"""),"")</f>
        <v/>
      </c>
      <c r="Q1659" s="136" t="str">
        <f>IFERROR(__xludf.DUMMYFUNCTION("""COMPUTED_VALUE"""),"")</f>
        <v/>
      </c>
      <c r="R1659" s="106" t="str">
        <f>IFERROR(__xludf.DUMMYFUNCTION("""COMPUTED_VALUE"""),"")</f>
        <v/>
      </c>
      <c r="S1659" s="106" t="str">
        <f>IFERROR(__xludf.DUMMYFUNCTION("""COMPUTED_VALUE"""),"")</f>
        <v/>
      </c>
      <c r="T1659" s="139" t="str">
        <f>IFERROR(__xludf.DUMMYFUNCTION("""COMPUTED_VALUE"""),"")</f>
        <v/>
      </c>
      <c r="U1659" s="139" t="str">
        <f>IFERROR(__xludf.DUMMYFUNCTION("""COMPUTED_VALUE"""),"")</f>
        <v/>
      </c>
      <c r="V1659" s="136" t="str">
        <f>IFERROR(__xludf.DUMMYFUNCTION("""COMPUTED_VALUE"""),"")</f>
        <v/>
      </c>
      <c r="W1659" s="106" t="str">
        <f>IFERROR(__xludf.DUMMYFUNCTION("""COMPUTED_VALUE"""),"")</f>
        <v/>
      </c>
      <c r="X1659" s="143" t="str">
        <f t="shared" si="2"/>
        <v/>
      </c>
      <c r="Y1659" s="139" t="str">
        <f>IFERROR(__xludf.DUMMYFUNCTION("""COMPUTED_VALUE"""),"")</f>
        <v/>
      </c>
      <c r="Z1659" s="141" t="str">
        <f>IFERROR(__xludf.DUMMYFUNCTION("""COMPUTED_VALUE"""),"")</f>
        <v/>
      </c>
    </row>
    <row r="1660">
      <c r="D1660" s="136" t="str">
        <f t="shared" si="3"/>
        <v/>
      </c>
      <c r="E1660" s="152"/>
      <c r="F1660" s="106" t="s">
        <v>133</v>
      </c>
      <c r="G1660" s="152"/>
      <c r="H1660" s="106" t="s">
        <v>133</v>
      </c>
      <c r="J1660" s="139" t="s">
        <v>133</v>
      </c>
      <c r="K1660" s="136" t="s">
        <v>133</v>
      </c>
      <c r="L1660" s="153"/>
      <c r="M1660" s="136" t="str">
        <f t="shared" si="1"/>
        <v/>
      </c>
      <c r="O1660" s="141" t="s">
        <v>133</v>
      </c>
      <c r="P1660" s="136" t="str">
        <f>IFERROR(__xludf.DUMMYFUNCTION("""COMPUTED_VALUE"""),"")</f>
        <v/>
      </c>
      <c r="Q1660" s="136" t="str">
        <f>IFERROR(__xludf.DUMMYFUNCTION("""COMPUTED_VALUE"""),"")</f>
        <v/>
      </c>
      <c r="R1660" s="106" t="str">
        <f>IFERROR(__xludf.DUMMYFUNCTION("""COMPUTED_VALUE"""),"")</f>
        <v/>
      </c>
      <c r="S1660" s="106" t="str">
        <f>IFERROR(__xludf.DUMMYFUNCTION("""COMPUTED_VALUE"""),"")</f>
        <v/>
      </c>
      <c r="T1660" s="139" t="str">
        <f>IFERROR(__xludf.DUMMYFUNCTION("""COMPUTED_VALUE"""),"")</f>
        <v/>
      </c>
      <c r="U1660" s="139" t="str">
        <f>IFERROR(__xludf.DUMMYFUNCTION("""COMPUTED_VALUE"""),"")</f>
        <v/>
      </c>
      <c r="V1660" s="136" t="str">
        <f>IFERROR(__xludf.DUMMYFUNCTION("""COMPUTED_VALUE"""),"")</f>
        <v/>
      </c>
      <c r="W1660" s="106" t="str">
        <f>IFERROR(__xludf.DUMMYFUNCTION("""COMPUTED_VALUE"""),"")</f>
        <v/>
      </c>
      <c r="X1660" s="143" t="str">
        <f t="shared" si="2"/>
        <v/>
      </c>
      <c r="Y1660" s="139" t="str">
        <f>IFERROR(__xludf.DUMMYFUNCTION("""COMPUTED_VALUE"""),"")</f>
        <v/>
      </c>
      <c r="Z1660" s="141" t="str">
        <f>IFERROR(__xludf.DUMMYFUNCTION("""COMPUTED_VALUE"""),"")</f>
        <v/>
      </c>
    </row>
    <row r="1661">
      <c r="D1661" s="136" t="str">
        <f t="shared" si="3"/>
        <v/>
      </c>
      <c r="E1661" s="152"/>
      <c r="F1661" s="106" t="s">
        <v>133</v>
      </c>
      <c r="G1661" s="152"/>
      <c r="H1661" s="106" t="s">
        <v>133</v>
      </c>
      <c r="J1661" s="139" t="s">
        <v>133</v>
      </c>
      <c r="K1661" s="136" t="s">
        <v>133</v>
      </c>
      <c r="L1661" s="153"/>
      <c r="M1661" s="136" t="str">
        <f t="shared" si="1"/>
        <v/>
      </c>
      <c r="O1661" s="141" t="s">
        <v>133</v>
      </c>
      <c r="P1661" s="136" t="str">
        <f>IFERROR(__xludf.DUMMYFUNCTION("""COMPUTED_VALUE"""),"")</f>
        <v/>
      </c>
      <c r="Q1661" s="136" t="str">
        <f>IFERROR(__xludf.DUMMYFUNCTION("""COMPUTED_VALUE"""),"")</f>
        <v/>
      </c>
      <c r="R1661" s="106" t="str">
        <f>IFERROR(__xludf.DUMMYFUNCTION("""COMPUTED_VALUE"""),"")</f>
        <v/>
      </c>
      <c r="S1661" s="106" t="str">
        <f>IFERROR(__xludf.DUMMYFUNCTION("""COMPUTED_VALUE"""),"")</f>
        <v/>
      </c>
      <c r="T1661" s="139" t="str">
        <f>IFERROR(__xludf.DUMMYFUNCTION("""COMPUTED_VALUE"""),"")</f>
        <v/>
      </c>
      <c r="U1661" s="139" t="str">
        <f>IFERROR(__xludf.DUMMYFUNCTION("""COMPUTED_VALUE"""),"")</f>
        <v/>
      </c>
      <c r="V1661" s="136" t="str">
        <f>IFERROR(__xludf.DUMMYFUNCTION("""COMPUTED_VALUE"""),"")</f>
        <v/>
      </c>
      <c r="W1661" s="106" t="str">
        <f>IFERROR(__xludf.DUMMYFUNCTION("""COMPUTED_VALUE"""),"")</f>
        <v/>
      </c>
      <c r="X1661" s="143" t="str">
        <f t="shared" si="2"/>
        <v/>
      </c>
      <c r="Y1661" s="139" t="str">
        <f>IFERROR(__xludf.DUMMYFUNCTION("""COMPUTED_VALUE"""),"")</f>
        <v/>
      </c>
      <c r="Z1661" s="141" t="str">
        <f>IFERROR(__xludf.DUMMYFUNCTION("""COMPUTED_VALUE"""),"")</f>
        <v/>
      </c>
    </row>
    <row r="1662">
      <c r="D1662" s="136" t="str">
        <f t="shared" si="3"/>
        <v/>
      </c>
      <c r="E1662" s="152"/>
      <c r="F1662" s="106" t="s">
        <v>133</v>
      </c>
      <c r="G1662" s="152"/>
      <c r="H1662" s="106" t="s">
        <v>133</v>
      </c>
      <c r="J1662" s="139" t="s">
        <v>133</v>
      </c>
      <c r="K1662" s="136" t="s">
        <v>133</v>
      </c>
      <c r="L1662" s="153"/>
      <c r="M1662" s="136" t="str">
        <f t="shared" si="1"/>
        <v/>
      </c>
      <c r="O1662" s="141" t="s">
        <v>133</v>
      </c>
      <c r="P1662" s="136" t="str">
        <f>IFERROR(__xludf.DUMMYFUNCTION("""COMPUTED_VALUE"""),"")</f>
        <v/>
      </c>
      <c r="Q1662" s="136" t="str">
        <f>IFERROR(__xludf.DUMMYFUNCTION("""COMPUTED_VALUE"""),"")</f>
        <v/>
      </c>
      <c r="R1662" s="106" t="str">
        <f>IFERROR(__xludf.DUMMYFUNCTION("""COMPUTED_VALUE"""),"")</f>
        <v/>
      </c>
      <c r="S1662" s="106" t="str">
        <f>IFERROR(__xludf.DUMMYFUNCTION("""COMPUTED_VALUE"""),"")</f>
        <v/>
      </c>
      <c r="T1662" s="139" t="str">
        <f>IFERROR(__xludf.DUMMYFUNCTION("""COMPUTED_VALUE"""),"")</f>
        <v/>
      </c>
      <c r="U1662" s="139" t="str">
        <f>IFERROR(__xludf.DUMMYFUNCTION("""COMPUTED_VALUE"""),"")</f>
        <v/>
      </c>
      <c r="V1662" s="136" t="str">
        <f>IFERROR(__xludf.DUMMYFUNCTION("""COMPUTED_VALUE"""),"")</f>
        <v/>
      </c>
      <c r="W1662" s="106" t="str">
        <f>IFERROR(__xludf.DUMMYFUNCTION("""COMPUTED_VALUE"""),"")</f>
        <v/>
      </c>
      <c r="X1662" s="143" t="str">
        <f t="shared" si="2"/>
        <v/>
      </c>
      <c r="Y1662" s="139" t="str">
        <f>IFERROR(__xludf.DUMMYFUNCTION("""COMPUTED_VALUE"""),"")</f>
        <v/>
      </c>
      <c r="Z1662" s="141" t="str">
        <f>IFERROR(__xludf.DUMMYFUNCTION("""COMPUTED_VALUE"""),"")</f>
        <v/>
      </c>
    </row>
    <row r="1663">
      <c r="D1663" s="136" t="str">
        <f t="shared" si="3"/>
        <v/>
      </c>
      <c r="E1663" s="152"/>
      <c r="F1663" s="106" t="s">
        <v>133</v>
      </c>
      <c r="G1663" s="152"/>
      <c r="H1663" s="106" t="s">
        <v>133</v>
      </c>
      <c r="J1663" s="139" t="s">
        <v>133</v>
      </c>
      <c r="K1663" s="136" t="s">
        <v>133</v>
      </c>
      <c r="L1663" s="153"/>
      <c r="M1663" s="136" t="str">
        <f t="shared" si="1"/>
        <v/>
      </c>
      <c r="O1663" s="141" t="s">
        <v>133</v>
      </c>
      <c r="P1663" s="136" t="str">
        <f>IFERROR(__xludf.DUMMYFUNCTION("""COMPUTED_VALUE"""),"")</f>
        <v/>
      </c>
      <c r="Q1663" s="136" t="str">
        <f>IFERROR(__xludf.DUMMYFUNCTION("""COMPUTED_VALUE"""),"")</f>
        <v/>
      </c>
      <c r="R1663" s="106" t="str">
        <f>IFERROR(__xludf.DUMMYFUNCTION("""COMPUTED_VALUE"""),"")</f>
        <v/>
      </c>
      <c r="S1663" s="106" t="str">
        <f>IFERROR(__xludf.DUMMYFUNCTION("""COMPUTED_VALUE"""),"")</f>
        <v/>
      </c>
      <c r="T1663" s="139" t="str">
        <f>IFERROR(__xludf.DUMMYFUNCTION("""COMPUTED_VALUE"""),"")</f>
        <v/>
      </c>
      <c r="U1663" s="139" t="str">
        <f>IFERROR(__xludf.DUMMYFUNCTION("""COMPUTED_VALUE"""),"")</f>
        <v/>
      </c>
      <c r="V1663" s="136" t="str">
        <f>IFERROR(__xludf.DUMMYFUNCTION("""COMPUTED_VALUE"""),"")</f>
        <v/>
      </c>
      <c r="W1663" s="106" t="str">
        <f>IFERROR(__xludf.DUMMYFUNCTION("""COMPUTED_VALUE"""),"")</f>
        <v/>
      </c>
      <c r="X1663" s="143" t="str">
        <f t="shared" si="2"/>
        <v/>
      </c>
      <c r="Y1663" s="139" t="str">
        <f>IFERROR(__xludf.DUMMYFUNCTION("""COMPUTED_VALUE"""),"")</f>
        <v/>
      </c>
      <c r="Z1663" s="141" t="str">
        <f>IFERROR(__xludf.DUMMYFUNCTION("""COMPUTED_VALUE"""),"")</f>
        <v/>
      </c>
    </row>
    <row r="1664">
      <c r="D1664" s="136" t="str">
        <f t="shared" si="3"/>
        <v/>
      </c>
      <c r="E1664" s="152"/>
      <c r="F1664" s="106" t="s">
        <v>133</v>
      </c>
      <c r="G1664" s="152"/>
      <c r="H1664" s="106" t="s">
        <v>133</v>
      </c>
      <c r="J1664" s="139" t="s">
        <v>133</v>
      </c>
      <c r="K1664" s="136" t="s">
        <v>133</v>
      </c>
      <c r="L1664" s="153"/>
      <c r="M1664" s="136" t="str">
        <f t="shared" si="1"/>
        <v/>
      </c>
      <c r="O1664" s="141" t="s">
        <v>133</v>
      </c>
      <c r="P1664" s="136" t="str">
        <f>IFERROR(__xludf.DUMMYFUNCTION("""COMPUTED_VALUE"""),"")</f>
        <v/>
      </c>
      <c r="Q1664" s="136" t="str">
        <f>IFERROR(__xludf.DUMMYFUNCTION("""COMPUTED_VALUE"""),"")</f>
        <v/>
      </c>
      <c r="R1664" s="106" t="str">
        <f>IFERROR(__xludf.DUMMYFUNCTION("""COMPUTED_VALUE"""),"")</f>
        <v/>
      </c>
      <c r="S1664" s="106" t="str">
        <f>IFERROR(__xludf.DUMMYFUNCTION("""COMPUTED_VALUE"""),"")</f>
        <v/>
      </c>
      <c r="T1664" s="139" t="str">
        <f>IFERROR(__xludf.DUMMYFUNCTION("""COMPUTED_VALUE"""),"")</f>
        <v/>
      </c>
      <c r="U1664" s="139" t="str">
        <f>IFERROR(__xludf.DUMMYFUNCTION("""COMPUTED_VALUE"""),"")</f>
        <v/>
      </c>
      <c r="V1664" s="136" t="str">
        <f>IFERROR(__xludf.DUMMYFUNCTION("""COMPUTED_VALUE"""),"")</f>
        <v/>
      </c>
      <c r="W1664" s="106" t="str">
        <f>IFERROR(__xludf.DUMMYFUNCTION("""COMPUTED_VALUE"""),"")</f>
        <v/>
      </c>
      <c r="X1664" s="143" t="str">
        <f t="shared" si="2"/>
        <v/>
      </c>
      <c r="Y1664" s="139" t="str">
        <f>IFERROR(__xludf.DUMMYFUNCTION("""COMPUTED_VALUE"""),"")</f>
        <v/>
      </c>
      <c r="Z1664" s="141" t="str">
        <f>IFERROR(__xludf.DUMMYFUNCTION("""COMPUTED_VALUE"""),"")</f>
        <v/>
      </c>
    </row>
    <row r="1665">
      <c r="D1665" s="136" t="str">
        <f t="shared" si="3"/>
        <v/>
      </c>
      <c r="E1665" s="152"/>
      <c r="F1665" s="106" t="s">
        <v>133</v>
      </c>
      <c r="G1665" s="152"/>
      <c r="H1665" s="106" t="s">
        <v>133</v>
      </c>
      <c r="J1665" s="139" t="s">
        <v>133</v>
      </c>
      <c r="K1665" s="136" t="s">
        <v>133</v>
      </c>
      <c r="L1665" s="153"/>
      <c r="M1665" s="136" t="str">
        <f t="shared" si="1"/>
        <v/>
      </c>
      <c r="O1665" s="141" t="s">
        <v>133</v>
      </c>
      <c r="P1665" s="136" t="str">
        <f>IFERROR(__xludf.DUMMYFUNCTION("""COMPUTED_VALUE"""),"")</f>
        <v/>
      </c>
      <c r="Q1665" s="136" t="str">
        <f>IFERROR(__xludf.DUMMYFUNCTION("""COMPUTED_VALUE"""),"")</f>
        <v/>
      </c>
      <c r="R1665" s="106" t="str">
        <f>IFERROR(__xludf.DUMMYFUNCTION("""COMPUTED_VALUE"""),"")</f>
        <v/>
      </c>
      <c r="S1665" s="106" t="str">
        <f>IFERROR(__xludf.DUMMYFUNCTION("""COMPUTED_VALUE"""),"")</f>
        <v/>
      </c>
      <c r="T1665" s="139" t="str">
        <f>IFERROR(__xludf.DUMMYFUNCTION("""COMPUTED_VALUE"""),"")</f>
        <v/>
      </c>
      <c r="U1665" s="139" t="str">
        <f>IFERROR(__xludf.DUMMYFUNCTION("""COMPUTED_VALUE"""),"")</f>
        <v/>
      </c>
      <c r="V1665" s="136" t="str">
        <f>IFERROR(__xludf.DUMMYFUNCTION("""COMPUTED_VALUE"""),"")</f>
        <v/>
      </c>
      <c r="W1665" s="106" t="str">
        <f>IFERROR(__xludf.DUMMYFUNCTION("""COMPUTED_VALUE"""),"")</f>
        <v/>
      </c>
      <c r="X1665" s="143" t="str">
        <f t="shared" si="2"/>
        <v/>
      </c>
      <c r="Y1665" s="139" t="str">
        <f>IFERROR(__xludf.DUMMYFUNCTION("""COMPUTED_VALUE"""),"")</f>
        <v/>
      </c>
      <c r="Z1665" s="141" t="str">
        <f>IFERROR(__xludf.DUMMYFUNCTION("""COMPUTED_VALUE"""),"")</f>
        <v/>
      </c>
    </row>
    <row r="1666">
      <c r="D1666" s="136" t="str">
        <f t="shared" si="3"/>
        <v/>
      </c>
      <c r="E1666" s="152"/>
      <c r="F1666" s="106" t="s">
        <v>133</v>
      </c>
      <c r="G1666" s="152"/>
      <c r="H1666" s="106" t="s">
        <v>133</v>
      </c>
      <c r="J1666" s="139" t="s">
        <v>133</v>
      </c>
      <c r="K1666" s="136" t="s">
        <v>133</v>
      </c>
      <c r="L1666" s="153"/>
      <c r="M1666" s="136" t="str">
        <f t="shared" si="1"/>
        <v/>
      </c>
      <c r="O1666" s="141" t="s">
        <v>133</v>
      </c>
      <c r="P1666" s="136" t="str">
        <f>IFERROR(__xludf.DUMMYFUNCTION("""COMPUTED_VALUE"""),"")</f>
        <v/>
      </c>
      <c r="Q1666" s="136" t="str">
        <f>IFERROR(__xludf.DUMMYFUNCTION("""COMPUTED_VALUE"""),"")</f>
        <v/>
      </c>
      <c r="R1666" s="106" t="str">
        <f>IFERROR(__xludf.DUMMYFUNCTION("""COMPUTED_VALUE"""),"")</f>
        <v/>
      </c>
      <c r="S1666" s="106" t="str">
        <f>IFERROR(__xludf.DUMMYFUNCTION("""COMPUTED_VALUE"""),"")</f>
        <v/>
      </c>
      <c r="T1666" s="139" t="str">
        <f>IFERROR(__xludf.DUMMYFUNCTION("""COMPUTED_VALUE"""),"")</f>
        <v/>
      </c>
      <c r="U1666" s="139" t="str">
        <f>IFERROR(__xludf.DUMMYFUNCTION("""COMPUTED_VALUE"""),"")</f>
        <v/>
      </c>
      <c r="V1666" s="136" t="str">
        <f>IFERROR(__xludf.DUMMYFUNCTION("""COMPUTED_VALUE"""),"")</f>
        <v/>
      </c>
      <c r="W1666" s="106" t="str">
        <f>IFERROR(__xludf.DUMMYFUNCTION("""COMPUTED_VALUE"""),"")</f>
        <v/>
      </c>
      <c r="X1666" s="143" t="str">
        <f t="shared" si="2"/>
        <v/>
      </c>
      <c r="Y1666" s="139" t="str">
        <f>IFERROR(__xludf.DUMMYFUNCTION("""COMPUTED_VALUE"""),"")</f>
        <v/>
      </c>
      <c r="Z1666" s="141" t="str">
        <f>IFERROR(__xludf.DUMMYFUNCTION("""COMPUTED_VALUE"""),"")</f>
        <v/>
      </c>
    </row>
    <row r="1667">
      <c r="D1667" s="136" t="str">
        <f t="shared" si="3"/>
        <v/>
      </c>
      <c r="E1667" s="152"/>
      <c r="F1667" s="106" t="s">
        <v>133</v>
      </c>
      <c r="G1667" s="152"/>
      <c r="H1667" s="106" t="s">
        <v>133</v>
      </c>
      <c r="J1667" s="139" t="s">
        <v>133</v>
      </c>
      <c r="K1667" s="136" t="s">
        <v>133</v>
      </c>
      <c r="L1667" s="153"/>
      <c r="M1667" s="136" t="str">
        <f t="shared" si="1"/>
        <v/>
      </c>
      <c r="O1667" s="141" t="s">
        <v>133</v>
      </c>
      <c r="P1667" s="136" t="str">
        <f>IFERROR(__xludf.DUMMYFUNCTION("""COMPUTED_VALUE"""),"")</f>
        <v/>
      </c>
      <c r="Q1667" s="136" t="str">
        <f>IFERROR(__xludf.DUMMYFUNCTION("""COMPUTED_VALUE"""),"")</f>
        <v/>
      </c>
      <c r="R1667" s="106" t="str">
        <f>IFERROR(__xludf.DUMMYFUNCTION("""COMPUTED_VALUE"""),"")</f>
        <v/>
      </c>
      <c r="S1667" s="106" t="str">
        <f>IFERROR(__xludf.DUMMYFUNCTION("""COMPUTED_VALUE"""),"")</f>
        <v/>
      </c>
      <c r="T1667" s="139" t="str">
        <f>IFERROR(__xludf.DUMMYFUNCTION("""COMPUTED_VALUE"""),"")</f>
        <v/>
      </c>
      <c r="U1667" s="139" t="str">
        <f>IFERROR(__xludf.DUMMYFUNCTION("""COMPUTED_VALUE"""),"")</f>
        <v/>
      </c>
      <c r="V1667" s="136" t="str">
        <f>IFERROR(__xludf.DUMMYFUNCTION("""COMPUTED_VALUE"""),"")</f>
        <v/>
      </c>
      <c r="W1667" s="106" t="str">
        <f>IFERROR(__xludf.DUMMYFUNCTION("""COMPUTED_VALUE"""),"")</f>
        <v/>
      </c>
      <c r="X1667" s="143" t="str">
        <f t="shared" si="2"/>
        <v/>
      </c>
      <c r="Y1667" s="139" t="str">
        <f>IFERROR(__xludf.DUMMYFUNCTION("""COMPUTED_VALUE"""),"")</f>
        <v/>
      </c>
      <c r="Z1667" s="141" t="str">
        <f>IFERROR(__xludf.DUMMYFUNCTION("""COMPUTED_VALUE"""),"")</f>
        <v/>
      </c>
    </row>
    <row r="1668">
      <c r="D1668" s="136" t="str">
        <f t="shared" si="3"/>
        <v/>
      </c>
      <c r="E1668" s="152"/>
      <c r="F1668" s="106" t="s">
        <v>133</v>
      </c>
      <c r="G1668" s="152"/>
      <c r="H1668" s="106" t="s">
        <v>133</v>
      </c>
      <c r="J1668" s="139" t="s">
        <v>133</v>
      </c>
      <c r="K1668" s="136" t="s">
        <v>133</v>
      </c>
      <c r="L1668" s="153"/>
      <c r="M1668" s="136" t="str">
        <f t="shared" si="1"/>
        <v/>
      </c>
      <c r="O1668" s="141" t="s">
        <v>133</v>
      </c>
      <c r="P1668" s="136" t="str">
        <f>IFERROR(__xludf.DUMMYFUNCTION("""COMPUTED_VALUE"""),"")</f>
        <v/>
      </c>
      <c r="Q1668" s="136" t="str">
        <f>IFERROR(__xludf.DUMMYFUNCTION("""COMPUTED_VALUE"""),"")</f>
        <v/>
      </c>
      <c r="R1668" s="106" t="str">
        <f>IFERROR(__xludf.DUMMYFUNCTION("""COMPUTED_VALUE"""),"")</f>
        <v/>
      </c>
      <c r="S1668" s="106" t="str">
        <f>IFERROR(__xludf.DUMMYFUNCTION("""COMPUTED_VALUE"""),"")</f>
        <v/>
      </c>
      <c r="T1668" s="139" t="str">
        <f>IFERROR(__xludf.DUMMYFUNCTION("""COMPUTED_VALUE"""),"")</f>
        <v/>
      </c>
      <c r="U1668" s="139" t="str">
        <f>IFERROR(__xludf.DUMMYFUNCTION("""COMPUTED_VALUE"""),"")</f>
        <v/>
      </c>
      <c r="V1668" s="136" t="str">
        <f>IFERROR(__xludf.DUMMYFUNCTION("""COMPUTED_VALUE"""),"")</f>
        <v/>
      </c>
      <c r="W1668" s="106" t="str">
        <f>IFERROR(__xludf.DUMMYFUNCTION("""COMPUTED_VALUE"""),"")</f>
        <v/>
      </c>
      <c r="X1668" s="143" t="str">
        <f t="shared" si="2"/>
        <v/>
      </c>
      <c r="Y1668" s="139" t="str">
        <f>IFERROR(__xludf.DUMMYFUNCTION("""COMPUTED_VALUE"""),"")</f>
        <v/>
      </c>
      <c r="Z1668" s="141" t="str">
        <f>IFERROR(__xludf.DUMMYFUNCTION("""COMPUTED_VALUE"""),"")</f>
        <v/>
      </c>
    </row>
    <row r="1669">
      <c r="D1669" s="136" t="str">
        <f t="shared" si="3"/>
        <v/>
      </c>
      <c r="E1669" s="152"/>
      <c r="F1669" s="106" t="s">
        <v>133</v>
      </c>
      <c r="G1669" s="152"/>
      <c r="H1669" s="106" t="s">
        <v>133</v>
      </c>
      <c r="J1669" s="139" t="s">
        <v>133</v>
      </c>
      <c r="K1669" s="136" t="s">
        <v>133</v>
      </c>
      <c r="L1669" s="153"/>
      <c r="M1669" s="136" t="str">
        <f t="shared" si="1"/>
        <v/>
      </c>
      <c r="O1669" s="141" t="s">
        <v>133</v>
      </c>
      <c r="P1669" s="136" t="str">
        <f>IFERROR(__xludf.DUMMYFUNCTION("""COMPUTED_VALUE"""),"")</f>
        <v/>
      </c>
      <c r="Q1669" s="136" t="str">
        <f>IFERROR(__xludf.DUMMYFUNCTION("""COMPUTED_VALUE"""),"")</f>
        <v/>
      </c>
      <c r="R1669" s="106" t="str">
        <f>IFERROR(__xludf.DUMMYFUNCTION("""COMPUTED_VALUE"""),"")</f>
        <v/>
      </c>
      <c r="S1669" s="106" t="str">
        <f>IFERROR(__xludf.DUMMYFUNCTION("""COMPUTED_VALUE"""),"")</f>
        <v/>
      </c>
      <c r="T1669" s="139" t="str">
        <f>IFERROR(__xludf.DUMMYFUNCTION("""COMPUTED_VALUE"""),"")</f>
        <v/>
      </c>
      <c r="U1669" s="139" t="str">
        <f>IFERROR(__xludf.DUMMYFUNCTION("""COMPUTED_VALUE"""),"")</f>
        <v/>
      </c>
      <c r="V1669" s="136" t="str">
        <f>IFERROR(__xludf.DUMMYFUNCTION("""COMPUTED_VALUE"""),"")</f>
        <v/>
      </c>
      <c r="W1669" s="106" t="str">
        <f>IFERROR(__xludf.DUMMYFUNCTION("""COMPUTED_VALUE"""),"")</f>
        <v/>
      </c>
      <c r="X1669" s="143" t="str">
        <f t="shared" si="2"/>
        <v/>
      </c>
      <c r="Y1669" s="139" t="str">
        <f>IFERROR(__xludf.DUMMYFUNCTION("""COMPUTED_VALUE"""),"")</f>
        <v/>
      </c>
      <c r="Z1669" s="141" t="str">
        <f>IFERROR(__xludf.DUMMYFUNCTION("""COMPUTED_VALUE"""),"")</f>
        <v/>
      </c>
    </row>
    <row r="1670">
      <c r="D1670" s="136" t="str">
        <f t="shared" si="3"/>
        <v/>
      </c>
      <c r="E1670" s="152"/>
      <c r="F1670" s="106" t="s">
        <v>133</v>
      </c>
      <c r="G1670" s="152"/>
      <c r="H1670" s="106" t="s">
        <v>133</v>
      </c>
      <c r="J1670" s="139" t="s">
        <v>133</v>
      </c>
      <c r="K1670" s="136" t="s">
        <v>133</v>
      </c>
      <c r="L1670" s="153"/>
      <c r="M1670" s="136" t="str">
        <f t="shared" si="1"/>
        <v/>
      </c>
      <c r="O1670" s="141" t="s">
        <v>133</v>
      </c>
      <c r="P1670" s="136" t="str">
        <f>IFERROR(__xludf.DUMMYFUNCTION("""COMPUTED_VALUE"""),"")</f>
        <v/>
      </c>
      <c r="Q1670" s="136" t="str">
        <f>IFERROR(__xludf.DUMMYFUNCTION("""COMPUTED_VALUE"""),"")</f>
        <v/>
      </c>
      <c r="R1670" s="106" t="str">
        <f>IFERROR(__xludf.DUMMYFUNCTION("""COMPUTED_VALUE"""),"")</f>
        <v/>
      </c>
      <c r="S1670" s="106" t="str">
        <f>IFERROR(__xludf.DUMMYFUNCTION("""COMPUTED_VALUE"""),"")</f>
        <v/>
      </c>
      <c r="T1670" s="139" t="str">
        <f>IFERROR(__xludf.DUMMYFUNCTION("""COMPUTED_VALUE"""),"")</f>
        <v/>
      </c>
      <c r="U1670" s="139" t="str">
        <f>IFERROR(__xludf.DUMMYFUNCTION("""COMPUTED_VALUE"""),"")</f>
        <v/>
      </c>
      <c r="V1670" s="136" t="str">
        <f>IFERROR(__xludf.DUMMYFUNCTION("""COMPUTED_VALUE"""),"")</f>
        <v/>
      </c>
      <c r="W1670" s="106" t="str">
        <f>IFERROR(__xludf.DUMMYFUNCTION("""COMPUTED_VALUE"""),"")</f>
        <v/>
      </c>
      <c r="X1670" s="143" t="str">
        <f t="shared" si="2"/>
        <v/>
      </c>
      <c r="Y1670" s="139" t="str">
        <f>IFERROR(__xludf.DUMMYFUNCTION("""COMPUTED_VALUE"""),"")</f>
        <v/>
      </c>
      <c r="Z1670" s="141" t="str">
        <f>IFERROR(__xludf.DUMMYFUNCTION("""COMPUTED_VALUE"""),"")</f>
        <v/>
      </c>
    </row>
    <row r="1671">
      <c r="D1671" s="136" t="str">
        <f t="shared" si="3"/>
        <v/>
      </c>
      <c r="E1671" s="152"/>
      <c r="F1671" s="106" t="s">
        <v>133</v>
      </c>
      <c r="G1671" s="152"/>
      <c r="H1671" s="106" t="s">
        <v>133</v>
      </c>
      <c r="J1671" s="139" t="s">
        <v>133</v>
      </c>
      <c r="K1671" s="136" t="s">
        <v>133</v>
      </c>
      <c r="L1671" s="153"/>
      <c r="M1671" s="136" t="str">
        <f t="shared" si="1"/>
        <v/>
      </c>
      <c r="O1671" s="141" t="s">
        <v>133</v>
      </c>
      <c r="P1671" s="136" t="str">
        <f>IFERROR(__xludf.DUMMYFUNCTION("""COMPUTED_VALUE"""),"")</f>
        <v/>
      </c>
      <c r="Q1671" s="136" t="str">
        <f>IFERROR(__xludf.DUMMYFUNCTION("""COMPUTED_VALUE"""),"")</f>
        <v/>
      </c>
      <c r="R1671" s="106" t="str">
        <f>IFERROR(__xludf.DUMMYFUNCTION("""COMPUTED_VALUE"""),"")</f>
        <v/>
      </c>
      <c r="S1671" s="106" t="str">
        <f>IFERROR(__xludf.DUMMYFUNCTION("""COMPUTED_VALUE"""),"")</f>
        <v/>
      </c>
      <c r="T1671" s="139" t="str">
        <f>IFERROR(__xludf.DUMMYFUNCTION("""COMPUTED_VALUE"""),"")</f>
        <v/>
      </c>
      <c r="U1671" s="139" t="str">
        <f>IFERROR(__xludf.DUMMYFUNCTION("""COMPUTED_VALUE"""),"")</f>
        <v/>
      </c>
      <c r="V1671" s="136" t="str">
        <f>IFERROR(__xludf.DUMMYFUNCTION("""COMPUTED_VALUE"""),"")</f>
        <v/>
      </c>
      <c r="W1671" s="106" t="str">
        <f>IFERROR(__xludf.DUMMYFUNCTION("""COMPUTED_VALUE"""),"")</f>
        <v/>
      </c>
      <c r="X1671" s="143" t="str">
        <f t="shared" si="2"/>
        <v/>
      </c>
      <c r="Y1671" s="139" t="str">
        <f>IFERROR(__xludf.DUMMYFUNCTION("""COMPUTED_VALUE"""),"")</f>
        <v/>
      </c>
      <c r="Z1671" s="141" t="str">
        <f>IFERROR(__xludf.DUMMYFUNCTION("""COMPUTED_VALUE"""),"")</f>
        <v/>
      </c>
    </row>
    <row r="1672">
      <c r="D1672" s="136" t="str">
        <f t="shared" si="3"/>
        <v/>
      </c>
      <c r="E1672" s="152"/>
      <c r="F1672" s="106" t="s">
        <v>133</v>
      </c>
      <c r="G1672" s="152"/>
      <c r="H1672" s="106" t="s">
        <v>133</v>
      </c>
      <c r="J1672" s="139" t="s">
        <v>133</v>
      </c>
      <c r="K1672" s="136" t="s">
        <v>133</v>
      </c>
      <c r="L1672" s="153"/>
      <c r="M1672" s="136" t="str">
        <f t="shared" si="1"/>
        <v/>
      </c>
      <c r="O1672" s="141" t="s">
        <v>133</v>
      </c>
      <c r="P1672" s="136" t="str">
        <f>IFERROR(__xludf.DUMMYFUNCTION("""COMPUTED_VALUE"""),"")</f>
        <v/>
      </c>
      <c r="Q1672" s="136" t="str">
        <f>IFERROR(__xludf.DUMMYFUNCTION("""COMPUTED_VALUE"""),"")</f>
        <v/>
      </c>
      <c r="R1672" s="106" t="str">
        <f>IFERROR(__xludf.DUMMYFUNCTION("""COMPUTED_VALUE"""),"")</f>
        <v/>
      </c>
      <c r="S1672" s="106" t="str">
        <f>IFERROR(__xludf.DUMMYFUNCTION("""COMPUTED_VALUE"""),"")</f>
        <v/>
      </c>
      <c r="T1672" s="139" t="str">
        <f>IFERROR(__xludf.DUMMYFUNCTION("""COMPUTED_VALUE"""),"")</f>
        <v/>
      </c>
      <c r="U1672" s="139" t="str">
        <f>IFERROR(__xludf.DUMMYFUNCTION("""COMPUTED_VALUE"""),"")</f>
        <v/>
      </c>
      <c r="V1672" s="136" t="str">
        <f>IFERROR(__xludf.DUMMYFUNCTION("""COMPUTED_VALUE"""),"")</f>
        <v/>
      </c>
      <c r="W1672" s="106" t="str">
        <f>IFERROR(__xludf.DUMMYFUNCTION("""COMPUTED_VALUE"""),"")</f>
        <v/>
      </c>
      <c r="X1672" s="143" t="str">
        <f t="shared" si="2"/>
        <v/>
      </c>
      <c r="Y1672" s="139" t="str">
        <f>IFERROR(__xludf.DUMMYFUNCTION("""COMPUTED_VALUE"""),"")</f>
        <v/>
      </c>
      <c r="Z1672" s="141" t="str">
        <f>IFERROR(__xludf.DUMMYFUNCTION("""COMPUTED_VALUE"""),"")</f>
        <v/>
      </c>
    </row>
    <row r="1673">
      <c r="D1673" s="136" t="str">
        <f t="shared" si="3"/>
        <v/>
      </c>
      <c r="E1673" s="152"/>
      <c r="F1673" s="106" t="s">
        <v>133</v>
      </c>
      <c r="G1673" s="152"/>
      <c r="H1673" s="106" t="s">
        <v>133</v>
      </c>
      <c r="J1673" s="139" t="s">
        <v>133</v>
      </c>
      <c r="K1673" s="136" t="s">
        <v>133</v>
      </c>
      <c r="L1673" s="153"/>
      <c r="M1673" s="136" t="str">
        <f t="shared" si="1"/>
        <v/>
      </c>
      <c r="O1673" s="141" t="s">
        <v>133</v>
      </c>
      <c r="P1673" s="136" t="str">
        <f>IFERROR(__xludf.DUMMYFUNCTION("""COMPUTED_VALUE"""),"")</f>
        <v/>
      </c>
      <c r="Q1673" s="136" t="str">
        <f>IFERROR(__xludf.DUMMYFUNCTION("""COMPUTED_VALUE"""),"")</f>
        <v/>
      </c>
      <c r="R1673" s="106" t="str">
        <f>IFERROR(__xludf.DUMMYFUNCTION("""COMPUTED_VALUE"""),"")</f>
        <v/>
      </c>
      <c r="S1673" s="106" t="str">
        <f>IFERROR(__xludf.DUMMYFUNCTION("""COMPUTED_VALUE"""),"")</f>
        <v/>
      </c>
      <c r="T1673" s="139" t="str">
        <f>IFERROR(__xludf.DUMMYFUNCTION("""COMPUTED_VALUE"""),"")</f>
        <v/>
      </c>
      <c r="U1673" s="139" t="str">
        <f>IFERROR(__xludf.DUMMYFUNCTION("""COMPUTED_VALUE"""),"")</f>
        <v/>
      </c>
      <c r="V1673" s="136" t="str">
        <f>IFERROR(__xludf.DUMMYFUNCTION("""COMPUTED_VALUE"""),"")</f>
        <v/>
      </c>
      <c r="W1673" s="106" t="str">
        <f>IFERROR(__xludf.DUMMYFUNCTION("""COMPUTED_VALUE"""),"")</f>
        <v/>
      </c>
      <c r="X1673" s="143" t="str">
        <f t="shared" si="2"/>
        <v/>
      </c>
      <c r="Y1673" s="139" t="str">
        <f>IFERROR(__xludf.DUMMYFUNCTION("""COMPUTED_VALUE"""),"")</f>
        <v/>
      </c>
      <c r="Z1673" s="141" t="str">
        <f>IFERROR(__xludf.DUMMYFUNCTION("""COMPUTED_VALUE"""),"")</f>
        <v/>
      </c>
    </row>
    <row r="1674">
      <c r="D1674" s="136" t="str">
        <f t="shared" si="3"/>
        <v/>
      </c>
      <c r="E1674" s="152"/>
      <c r="F1674" s="106" t="s">
        <v>133</v>
      </c>
      <c r="G1674" s="152"/>
      <c r="H1674" s="106" t="s">
        <v>133</v>
      </c>
      <c r="J1674" s="139" t="s">
        <v>133</v>
      </c>
      <c r="K1674" s="136" t="s">
        <v>133</v>
      </c>
      <c r="L1674" s="153"/>
      <c r="M1674" s="136" t="str">
        <f t="shared" si="1"/>
        <v/>
      </c>
      <c r="O1674" s="141" t="s">
        <v>133</v>
      </c>
      <c r="P1674" s="136" t="str">
        <f>IFERROR(__xludf.DUMMYFUNCTION("""COMPUTED_VALUE"""),"")</f>
        <v/>
      </c>
      <c r="Q1674" s="136" t="str">
        <f>IFERROR(__xludf.DUMMYFUNCTION("""COMPUTED_VALUE"""),"")</f>
        <v/>
      </c>
      <c r="R1674" s="106" t="str">
        <f>IFERROR(__xludf.DUMMYFUNCTION("""COMPUTED_VALUE"""),"")</f>
        <v/>
      </c>
      <c r="S1674" s="106" t="str">
        <f>IFERROR(__xludf.DUMMYFUNCTION("""COMPUTED_VALUE"""),"")</f>
        <v/>
      </c>
      <c r="T1674" s="139" t="str">
        <f>IFERROR(__xludf.DUMMYFUNCTION("""COMPUTED_VALUE"""),"")</f>
        <v/>
      </c>
      <c r="U1674" s="139" t="str">
        <f>IFERROR(__xludf.DUMMYFUNCTION("""COMPUTED_VALUE"""),"")</f>
        <v/>
      </c>
      <c r="V1674" s="136" t="str">
        <f>IFERROR(__xludf.DUMMYFUNCTION("""COMPUTED_VALUE"""),"")</f>
        <v/>
      </c>
      <c r="W1674" s="106" t="str">
        <f>IFERROR(__xludf.DUMMYFUNCTION("""COMPUTED_VALUE"""),"")</f>
        <v/>
      </c>
      <c r="X1674" s="143" t="str">
        <f t="shared" si="2"/>
        <v/>
      </c>
      <c r="Y1674" s="139" t="str">
        <f>IFERROR(__xludf.DUMMYFUNCTION("""COMPUTED_VALUE"""),"")</f>
        <v/>
      </c>
      <c r="Z1674" s="141" t="str">
        <f>IFERROR(__xludf.DUMMYFUNCTION("""COMPUTED_VALUE"""),"")</f>
        <v/>
      </c>
    </row>
    <row r="1675">
      <c r="D1675" s="136" t="str">
        <f t="shared" si="3"/>
        <v/>
      </c>
      <c r="E1675" s="152"/>
      <c r="F1675" s="106" t="s">
        <v>133</v>
      </c>
      <c r="G1675" s="152"/>
      <c r="H1675" s="106" t="s">
        <v>133</v>
      </c>
      <c r="J1675" s="139" t="s">
        <v>133</v>
      </c>
      <c r="K1675" s="136" t="s">
        <v>133</v>
      </c>
      <c r="L1675" s="153"/>
      <c r="M1675" s="136" t="str">
        <f t="shared" si="1"/>
        <v/>
      </c>
      <c r="O1675" s="141" t="s">
        <v>133</v>
      </c>
      <c r="P1675" s="136" t="str">
        <f>IFERROR(__xludf.DUMMYFUNCTION("""COMPUTED_VALUE"""),"")</f>
        <v/>
      </c>
      <c r="Q1675" s="136" t="str">
        <f>IFERROR(__xludf.DUMMYFUNCTION("""COMPUTED_VALUE"""),"")</f>
        <v/>
      </c>
      <c r="R1675" s="106" t="str">
        <f>IFERROR(__xludf.DUMMYFUNCTION("""COMPUTED_VALUE"""),"")</f>
        <v/>
      </c>
      <c r="S1675" s="106" t="str">
        <f>IFERROR(__xludf.DUMMYFUNCTION("""COMPUTED_VALUE"""),"")</f>
        <v/>
      </c>
      <c r="T1675" s="139" t="str">
        <f>IFERROR(__xludf.DUMMYFUNCTION("""COMPUTED_VALUE"""),"")</f>
        <v/>
      </c>
      <c r="U1675" s="139" t="str">
        <f>IFERROR(__xludf.DUMMYFUNCTION("""COMPUTED_VALUE"""),"")</f>
        <v/>
      </c>
      <c r="V1675" s="136" t="str">
        <f>IFERROR(__xludf.DUMMYFUNCTION("""COMPUTED_VALUE"""),"")</f>
        <v/>
      </c>
      <c r="W1675" s="106" t="str">
        <f>IFERROR(__xludf.DUMMYFUNCTION("""COMPUTED_VALUE"""),"")</f>
        <v/>
      </c>
      <c r="X1675" s="143" t="str">
        <f t="shared" si="2"/>
        <v/>
      </c>
      <c r="Y1675" s="139" t="str">
        <f>IFERROR(__xludf.DUMMYFUNCTION("""COMPUTED_VALUE"""),"")</f>
        <v/>
      </c>
      <c r="Z1675" s="141" t="str">
        <f>IFERROR(__xludf.DUMMYFUNCTION("""COMPUTED_VALUE"""),"")</f>
        <v/>
      </c>
    </row>
    <row r="1676">
      <c r="D1676" s="136" t="str">
        <f t="shared" si="3"/>
        <v/>
      </c>
      <c r="E1676" s="152"/>
      <c r="F1676" s="106" t="s">
        <v>133</v>
      </c>
      <c r="G1676" s="152"/>
      <c r="H1676" s="106" t="s">
        <v>133</v>
      </c>
      <c r="J1676" s="139" t="s">
        <v>133</v>
      </c>
      <c r="K1676" s="136" t="s">
        <v>133</v>
      </c>
      <c r="L1676" s="153"/>
      <c r="M1676" s="136" t="str">
        <f t="shared" si="1"/>
        <v/>
      </c>
      <c r="O1676" s="141" t="s">
        <v>133</v>
      </c>
      <c r="P1676" s="136" t="str">
        <f>IFERROR(__xludf.DUMMYFUNCTION("""COMPUTED_VALUE"""),"")</f>
        <v/>
      </c>
      <c r="Q1676" s="136" t="str">
        <f>IFERROR(__xludf.DUMMYFUNCTION("""COMPUTED_VALUE"""),"")</f>
        <v/>
      </c>
      <c r="R1676" s="106" t="str">
        <f>IFERROR(__xludf.DUMMYFUNCTION("""COMPUTED_VALUE"""),"")</f>
        <v/>
      </c>
      <c r="S1676" s="106" t="str">
        <f>IFERROR(__xludf.DUMMYFUNCTION("""COMPUTED_VALUE"""),"")</f>
        <v/>
      </c>
      <c r="T1676" s="139" t="str">
        <f>IFERROR(__xludf.DUMMYFUNCTION("""COMPUTED_VALUE"""),"")</f>
        <v/>
      </c>
      <c r="U1676" s="139" t="str">
        <f>IFERROR(__xludf.DUMMYFUNCTION("""COMPUTED_VALUE"""),"")</f>
        <v/>
      </c>
      <c r="V1676" s="136" t="str">
        <f>IFERROR(__xludf.DUMMYFUNCTION("""COMPUTED_VALUE"""),"")</f>
        <v/>
      </c>
      <c r="W1676" s="106" t="str">
        <f>IFERROR(__xludf.DUMMYFUNCTION("""COMPUTED_VALUE"""),"")</f>
        <v/>
      </c>
      <c r="X1676" s="143" t="str">
        <f t="shared" si="2"/>
        <v/>
      </c>
      <c r="Y1676" s="139" t="str">
        <f>IFERROR(__xludf.DUMMYFUNCTION("""COMPUTED_VALUE"""),"")</f>
        <v/>
      </c>
      <c r="Z1676" s="141" t="str">
        <f>IFERROR(__xludf.DUMMYFUNCTION("""COMPUTED_VALUE"""),"")</f>
        <v/>
      </c>
    </row>
    <row r="1677">
      <c r="D1677" s="136" t="str">
        <f t="shared" si="3"/>
        <v/>
      </c>
      <c r="E1677" s="152"/>
      <c r="F1677" s="106" t="s">
        <v>133</v>
      </c>
      <c r="G1677" s="152"/>
      <c r="H1677" s="106" t="s">
        <v>133</v>
      </c>
      <c r="J1677" s="139" t="s">
        <v>133</v>
      </c>
      <c r="K1677" s="136" t="s">
        <v>133</v>
      </c>
      <c r="L1677" s="153"/>
      <c r="M1677" s="136" t="str">
        <f t="shared" si="1"/>
        <v/>
      </c>
      <c r="O1677" s="141" t="s">
        <v>133</v>
      </c>
      <c r="P1677" s="136" t="str">
        <f>IFERROR(__xludf.DUMMYFUNCTION("""COMPUTED_VALUE"""),"")</f>
        <v/>
      </c>
      <c r="Q1677" s="136" t="str">
        <f>IFERROR(__xludf.DUMMYFUNCTION("""COMPUTED_VALUE"""),"")</f>
        <v/>
      </c>
      <c r="R1677" s="106" t="str">
        <f>IFERROR(__xludf.DUMMYFUNCTION("""COMPUTED_VALUE"""),"")</f>
        <v/>
      </c>
      <c r="S1677" s="106" t="str">
        <f>IFERROR(__xludf.DUMMYFUNCTION("""COMPUTED_VALUE"""),"")</f>
        <v/>
      </c>
      <c r="T1677" s="139" t="str">
        <f>IFERROR(__xludf.DUMMYFUNCTION("""COMPUTED_VALUE"""),"")</f>
        <v/>
      </c>
      <c r="U1677" s="139" t="str">
        <f>IFERROR(__xludf.DUMMYFUNCTION("""COMPUTED_VALUE"""),"")</f>
        <v/>
      </c>
      <c r="V1677" s="136" t="str">
        <f>IFERROR(__xludf.DUMMYFUNCTION("""COMPUTED_VALUE"""),"")</f>
        <v/>
      </c>
      <c r="W1677" s="106" t="str">
        <f>IFERROR(__xludf.DUMMYFUNCTION("""COMPUTED_VALUE"""),"")</f>
        <v/>
      </c>
      <c r="X1677" s="143" t="str">
        <f t="shared" si="2"/>
        <v/>
      </c>
      <c r="Y1677" s="139" t="str">
        <f>IFERROR(__xludf.DUMMYFUNCTION("""COMPUTED_VALUE"""),"")</f>
        <v/>
      </c>
      <c r="Z1677" s="141" t="str">
        <f>IFERROR(__xludf.DUMMYFUNCTION("""COMPUTED_VALUE"""),"")</f>
        <v/>
      </c>
    </row>
    <row r="1678">
      <c r="D1678" s="136" t="str">
        <f t="shared" si="3"/>
        <v/>
      </c>
      <c r="E1678" s="152"/>
      <c r="F1678" s="106" t="s">
        <v>133</v>
      </c>
      <c r="G1678" s="152"/>
      <c r="H1678" s="106" t="s">
        <v>133</v>
      </c>
      <c r="J1678" s="139" t="s">
        <v>133</v>
      </c>
      <c r="K1678" s="136" t="s">
        <v>133</v>
      </c>
      <c r="L1678" s="153"/>
      <c r="M1678" s="136" t="str">
        <f t="shared" si="1"/>
        <v/>
      </c>
      <c r="O1678" s="141" t="s">
        <v>133</v>
      </c>
      <c r="P1678" s="136" t="str">
        <f>IFERROR(__xludf.DUMMYFUNCTION("""COMPUTED_VALUE"""),"")</f>
        <v/>
      </c>
      <c r="Q1678" s="136" t="str">
        <f>IFERROR(__xludf.DUMMYFUNCTION("""COMPUTED_VALUE"""),"")</f>
        <v/>
      </c>
      <c r="R1678" s="106" t="str">
        <f>IFERROR(__xludf.DUMMYFUNCTION("""COMPUTED_VALUE"""),"")</f>
        <v/>
      </c>
      <c r="S1678" s="106" t="str">
        <f>IFERROR(__xludf.DUMMYFUNCTION("""COMPUTED_VALUE"""),"")</f>
        <v/>
      </c>
      <c r="T1678" s="139" t="str">
        <f>IFERROR(__xludf.DUMMYFUNCTION("""COMPUTED_VALUE"""),"")</f>
        <v/>
      </c>
      <c r="U1678" s="139" t="str">
        <f>IFERROR(__xludf.DUMMYFUNCTION("""COMPUTED_VALUE"""),"")</f>
        <v/>
      </c>
      <c r="V1678" s="136" t="str">
        <f>IFERROR(__xludf.DUMMYFUNCTION("""COMPUTED_VALUE"""),"")</f>
        <v/>
      </c>
      <c r="W1678" s="106" t="str">
        <f>IFERROR(__xludf.DUMMYFUNCTION("""COMPUTED_VALUE"""),"")</f>
        <v/>
      </c>
      <c r="X1678" s="143" t="str">
        <f t="shared" si="2"/>
        <v/>
      </c>
      <c r="Y1678" s="139" t="str">
        <f>IFERROR(__xludf.DUMMYFUNCTION("""COMPUTED_VALUE"""),"")</f>
        <v/>
      </c>
      <c r="Z1678" s="141" t="str">
        <f>IFERROR(__xludf.DUMMYFUNCTION("""COMPUTED_VALUE"""),"")</f>
        <v/>
      </c>
    </row>
    <row r="1679">
      <c r="D1679" s="136" t="str">
        <f t="shared" si="3"/>
        <v/>
      </c>
      <c r="E1679" s="152"/>
      <c r="F1679" s="106" t="s">
        <v>133</v>
      </c>
      <c r="G1679" s="152"/>
      <c r="H1679" s="106" t="s">
        <v>133</v>
      </c>
      <c r="J1679" s="139" t="s">
        <v>133</v>
      </c>
      <c r="K1679" s="136" t="s">
        <v>133</v>
      </c>
      <c r="L1679" s="153"/>
      <c r="M1679" s="136" t="str">
        <f t="shared" si="1"/>
        <v/>
      </c>
      <c r="O1679" s="141" t="s">
        <v>133</v>
      </c>
      <c r="P1679" s="136" t="str">
        <f>IFERROR(__xludf.DUMMYFUNCTION("""COMPUTED_VALUE"""),"")</f>
        <v/>
      </c>
      <c r="Q1679" s="136" t="str">
        <f>IFERROR(__xludf.DUMMYFUNCTION("""COMPUTED_VALUE"""),"")</f>
        <v/>
      </c>
      <c r="R1679" s="106" t="str">
        <f>IFERROR(__xludf.DUMMYFUNCTION("""COMPUTED_VALUE"""),"")</f>
        <v/>
      </c>
      <c r="S1679" s="106" t="str">
        <f>IFERROR(__xludf.DUMMYFUNCTION("""COMPUTED_VALUE"""),"")</f>
        <v/>
      </c>
      <c r="T1679" s="139" t="str">
        <f>IFERROR(__xludf.DUMMYFUNCTION("""COMPUTED_VALUE"""),"")</f>
        <v/>
      </c>
      <c r="U1679" s="139" t="str">
        <f>IFERROR(__xludf.DUMMYFUNCTION("""COMPUTED_VALUE"""),"")</f>
        <v/>
      </c>
      <c r="V1679" s="136" t="str">
        <f>IFERROR(__xludf.DUMMYFUNCTION("""COMPUTED_VALUE"""),"")</f>
        <v/>
      </c>
      <c r="W1679" s="106" t="str">
        <f>IFERROR(__xludf.DUMMYFUNCTION("""COMPUTED_VALUE"""),"")</f>
        <v/>
      </c>
      <c r="X1679" s="143" t="str">
        <f t="shared" si="2"/>
        <v/>
      </c>
      <c r="Y1679" s="139" t="str">
        <f>IFERROR(__xludf.DUMMYFUNCTION("""COMPUTED_VALUE"""),"")</f>
        <v/>
      </c>
      <c r="Z1679" s="141" t="str">
        <f>IFERROR(__xludf.DUMMYFUNCTION("""COMPUTED_VALUE"""),"")</f>
        <v/>
      </c>
    </row>
    <row r="1680">
      <c r="D1680" s="136" t="str">
        <f t="shared" si="3"/>
        <v/>
      </c>
      <c r="E1680" s="152"/>
      <c r="F1680" s="106" t="s">
        <v>133</v>
      </c>
      <c r="G1680" s="152"/>
      <c r="H1680" s="106" t="s">
        <v>133</v>
      </c>
      <c r="J1680" s="139" t="s">
        <v>133</v>
      </c>
      <c r="K1680" s="136" t="s">
        <v>133</v>
      </c>
      <c r="L1680" s="153"/>
      <c r="M1680" s="136" t="str">
        <f t="shared" si="1"/>
        <v/>
      </c>
      <c r="O1680" s="141" t="s">
        <v>133</v>
      </c>
      <c r="P1680" s="136" t="str">
        <f>IFERROR(__xludf.DUMMYFUNCTION("""COMPUTED_VALUE"""),"")</f>
        <v/>
      </c>
      <c r="Q1680" s="136" t="str">
        <f>IFERROR(__xludf.DUMMYFUNCTION("""COMPUTED_VALUE"""),"")</f>
        <v/>
      </c>
      <c r="R1680" s="106" t="str">
        <f>IFERROR(__xludf.DUMMYFUNCTION("""COMPUTED_VALUE"""),"")</f>
        <v/>
      </c>
      <c r="S1680" s="106" t="str">
        <f>IFERROR(__xludf.DUMMYFUNCTION("""COMPUTED_VALUE"""),"")</f>
        <v/>
      </c>
      <c r="T1680" s="139" t="str">
        <f>IFERROR(__xludf.DUMMYFUNCTION("""COMPUTED_VALUE"""),"")</f>
        <v/>
      </c>
      <c r="U1680" s="139" t="str">
        <f>IFERROR(__xludf.DUMMYFUNCTION("""COMPUTED_VALUE"""),"")</f>
        <v/>
      </c>
      <c r="V1680" s="136" t="str">
        <f>IFERROR(__xludf.DUMMYFUNCTION("""COMPUTED_VALUE"""),"")</f>
        <v/>
      </c>
      <c r="W1680" s="106" t="str">
        <f>IFERROR(__xludf.DUMMYFUNCTION("""COMPUTED_VALUE"""),"")</f>
        <v/>
      </c>
      <c r="X1680" s="143" t="str">
        <f t="shared" si="2"/>
        <v/>
      </c>
      <c r="Y1680" s="139" t="str">
        <f>IFERROR(__xludf.DUMMYFUNCTION("""COMPUTED_VALUE"""),"")</f>
        <v/>
      </c>
      <c r="Z1680" s="141" t="str">
        <f>IFERROR(__xludf.DUMMYFUNCTION("""COMPUTED_VALUE"""),"")</f>
        <v/>
      </c>
    </row>
    <row r="1681">
      <c r="D1681" s="136" t="str">
        <f t="shared" si="3"/>
        <v/>
      </c>
      <c r="E1681" s="152"/>
      <c r="F1681" s="106" t="s">
        <v>133</v>
      </c>
      <c r="G1681" s="152"/>
      <c r="H1681" s="106" t="s">
        <v>133</v>
      </c>
      <c r="J1681" s="139" t="s">
        <v>133</v>
      </c>
      <c r="K1681" s="136" t="s">
        <v>133</v>
      </c>
      <c r="L1681" s="153"/>
      <c r="M1681" s="136" t="str">
        <f t="shared" si="1"/>
        <v/>
      </c>
      <c r="O1681" s="141" t="s">
        <v>133</v>
      </c>
      <c r="P1681" s="136" t="str">
        <f>IFERROR(__xludf.DUMMYFUNCTION("""COMPUTED_VALUE"""),"")</f>
        <v/>
      </c>
      <c r="Q1681" s="136" t="str">
        <f>IFERROR(__xludf.DUMMYFUNCTION("""COMPUTED_VALUE"""),"")</f>
        <v/>
      </c>
      <c r="R1681" s="106" t="str">
        <f>IFERROR(__xludf.DUMMYFUNCTION("""COMPUTED_VALUE"""),"")</f>
        <v/>
      </c>
      <c r="S1681" s="106" t="str">
        <f>IFERROR(__xludf.DUMMYFUNCTION("""COMPUTED_VALUE"""),"")</f>
        <v/>
      </c>
      <c r="T1681" s="139" t="str">
        <f>IFERROR(__xludf.DUMMYFUNCTION("""COMPUTED_VALUE"""),"")</f>
        <v/>
      </c>
      <c r="U1681" s="139" t="str">
        <f>IFERROR(__xludf.DUMMYFUNCTION("""COMPUTED_VALUE"""),"")</f>
        <v/>
      </c>
      <c r="V1681" s="136" t="str">
        <f>IFERROR(__xludf.DUMMYFUNCTION("""COMPUTED_VALUE"""),"")</f>
        <v/>
      </c>
      <c r="W1681" s="106" t="str">
        <f>IFERROR(__xludf.DUMMYFUNCTION("""COMPUTED_VALUE"""),"")</f>
        <v/>
      </c>
      <c r="X1681" s="143" t="str">
        <f t="shared" si="2"/>
        <v/>
      </c>
      <c r="Y1681" s="139" t="str">
        <f>IFERROR(__xludf.DUMMYFUNCTION("""COMPUTED_VALUE"""),"")</f>
        <v/>
      </c>
      <c r="Z1681" s="141" t="str">
        <f>IFERROR(__xludf.DUMMYFUNCTION("""COMPUTED_VALUE"""),"")</f>
        <v/>
      </c>
    </row>
    <row r="1682">
      <c r="D1682" s="136" t="str">
        <f t="shared" si="3"/>
        <v/>
      </c>
      <c r="E1682" s="152"/>
      <c r="F1682" s="106" t="s">
        <v>133</v>
      </c>
      <c r="G1682" s="152"/>
      <c r="H1682" s="106" t="s">
        <v>133</v>
      </c>
      <c r="J1682" s="139" t="s">
        <v>133</v>
      </c>
      <c r="K1682" s="136" t="s">
        <v>133</v>
      </c>
      <c r="L1682" s="153"/>
      <c r="M1682" s="136" t="str">
        <f t="shared" si="1"/>
        <v/>
      </c>
      <c r="O1682" s="141" t="s">
        <v>133</v>
      </c>
      <c r="P1682" s="136" t="str">
        <f>IFERROR(__xludf.DUMMYFUNCTION("""COMPUTED_VALUE"""),"")</f>
        <v/>
      </c>
      <c r="Q1682" s="136" t="str">
        <f>IFERROR(__xludf.DUMMYFUNCTION("""COMPUTED_VALUE"""),"")</f>
        <v/>
      </c>
      <c r="R1682" s="106" t="str">
        <f>IFERROR(__xludf.DUMMYFUNCTION("""COMPUTED_VALUE"""),"")</f>
        <v/>
      </c>
      <c r="S1682" s="106" t="str">
        <f>IFERROR(__xludf.DUMMYFUNCTION("""COMPUTED_VALUE"""),"")</f>
        <v/>
      </c>
      <c r="T1682" s="139" t="str">
        <f>IFERROR(__xludf.DUMMYFUNCTION("""COMPUTED_VALUE"""),"")</f>
        <v/>
      </c>
      <c r="U1682" s="139" t="str">
        <f>IFERROR(__xludf.DUMMYFUNCTION("""COMPUTED_VALUE"""),"")</f>
        <v/>
      </c>
      <c r="V1682" s="136" t="str">
        <f>IFERROR(__xludf.DUMMYFUNCTION("""COMPUTED_VALUE"""),"")</f>
        <v/>
      </c>
      <c r="W1682" s="106" t="str">
        <f>IFERROR(__xludf.DUMMYFUNCTION("""COMPUTED_VALUE"""),"")</f>
        <v/>
      </c>
      <c r="X1682" s="143" t="str">
        <f t="shared" si="2"/>
        <v/>
      </c>
      <c r="Y1682" s="139" t="str">
        <f>IFERROR(__xludf.DUMMYFUNCTION("""COMPUTED_VALUE"""),"")</f>
        <v/>
      </c>
      <c r="Z1682" s="141" t="str">
        <f>IFERROR(__xludf.DUMMYFUNCTION("""COMPUTED_VALUE"""),"")</f>
        <v/>
      </c>
    </row>
    <row r="1683">
      <c r="D1683" s="136" t="str">
        <f t="shared" si="3"/>
        <v/>
      </c>
      <c r="E1683" s="152"/>
      <c r="F1683" s="106" t="s">
        <v>133</v>
      </c>
      <c r="G1683" s="152"/>
      <c r="H1683" s="106" t="s">
        <v>133</v>
      </c>
      <c r="J1683" s="139" t="s">
        <v>133</v>
      </c>
      <c r="K1683" s="136" t="s">
        <v>133</v>
      </c>
      <c r="L1683" s="153"/>
      <c r="M1683" s="136" t="str">
        <f t="shared" si="1"/>
        <v/>
      </c>
      <c r="O1683" s="141" t="s">
        <v>133</v>
      </c>
      <c r="P1683" s="136" t="str">
        <f>IFERROR(__xludf.DUMMYFUNCTION("""COMPUTED_VALUE"""),"")</f>
        <v/>
      </c>
      <c r="Q1683" s="136" t="str">
        <f>IFERROR(__xludf.DUMMYFUNCTION("""COMPUTED_VALUE"""),"")</f>
        <v/>
      </c>
      <c r="R1683" s="106" t="str">
        <f>IFERROR(__xludf.DUMMYFUNCTION("""COMPUTED_VALUE"""),"")</f>
        <v/>
      </c>
      <c r="S1683" s="106" t="str">
        <f>IFERROR(__xludf.DUMMYFUNCTION("""COMPUTED_VALUE"""),"")</f>
        <v/>
      </c>
      <c r="T1683" s="139" t="str">
        <f>IFERROR(__xludf.DUMMYFUNCTION("""COMPUTED_VALUE"""),"")</f>
        <v/>
      </c>
      <c r="U1683" s="139" t="str">
        <f>IFERROR(__xludf.DUMMYFUNCTION("""COMPUTED_VALUE"""),"")</f>
        <v/>
      </c>
      <c r="V1683" s="136" t="str">
        <f>IFERROR(__xludf.DUMMYFUNCTION("""COMPUTED_VALUE"""),"")</f>
        <v/>
      </c>
      <c r="W1683" s="106" t="str">
        <f>IFERROR(__xludf.DUMMYFUNCTION("""COMPUTED_VALUE"""),"")</f>
        <v/>
      </c>
      <c r="X1683" s="143" t="str">
        <f t="shared" si="2"/>
        <v/>
      </c>
      <c r="Y1683" s="139" t="str">
        <f>IFERROR(__xludf.DUMMYFUNCTION("""COMPUTED_VALUE"""),"")</f>
        <v/>
      </c>
      <c r="Z1683" s="141" t="str">
        <f>IFERROR(__xludf.DUMMYFUNCTION("""COMPUTED_VALUE"""),"")</f>
        <v/>
      </c>
    </row>
    <row r="1684">
      <c r="D1684" s="136" t="str">
        <f t="shared" si="3"/>
        <v/>
      </c>
      <c r="E1684" s="152"/>
      <c r="F1684" s="106" t="s">
        <v>133</v>
      </c>
      <c r="G1684" s="152"/>
      <c r="H1684" s="106" t="s">
        <v>133</v>
      </c>
      <c r="J1684" s="139" t="s">
        <v>133</v>
      </c>
      <c r="K1684" s="136" t="s">
        <v>133</v>
      </c>
      <c r="L1684" s="153"/>
      <c r="M1684" s="136" t="str">
        <f t="shared" si="1"/>
        <v/>
      </c>
      <c r="O1684" s="141" t="s">
        <v>133</v>
      </c>
      <c r="P1684" s="136" t="str">
        <f>IFERROR(__xludf.DUMMYFUNCTION("""COMPUTED_VALUE"""),"")</f>
        <v/>
      </c>
      <c r="Q1684" s="136" t="str">
        <f>IFERROR(__xludf.DUMMYFUNCTION("""COMPUTED_VALUE"""),"")</f>
        <v/>
      </c>
      <c r="R1684" s="106" t="str">
        <f>IFERROR(__xludf.DUMMYFUNCTION("""COMPUTED_VALUE"""),"")</f>
        <v/>
      </c>
      <c r="S1684" s="106" t="str">
        <f>IFERROR(__xludf.DUMMYFUNCTION("""COMPUTED_VALUE"""),"")</f>
        <v/>
      </c>
      <c r="T1684" s="139" t="str">
        <f>IFERROR(__xludf.DUMMYFUNCTION("""COMPUTED_VALUE"""),"")</f>
        <v/>
      </c>
      <c r="U1684" s="139" t="str">
        <f>IFERROR(__xludf.DUMMYFUNCTION("""COMPUTED_VALUE"""),"")</f>
        <v/>
      </c>
      <c r="V1684" s="136" t="str">
        <f>IFERROR(__xludf.DUMMYFUNCTION("""COMPUTED_VALUE"""),"")</f>
        <v/>
      </c>
      <c r="W1684" s="106" t="str">
        <f>IFERROR(__xludf.DUMMYFUNCTION("""COMPUTED_VALUE"""),"")</f>
        <v/>
      </c>
      <c r="X1684" s="143" t="str">
        <f t="shared" si="2"/>
        <v/>
      </c>
      <c r="Y1684" s="139" t="str">
        <f>IFERROR(__xludf.DUMMYFUNCTION("""COMPUTED_VALUE"""),"")</f>
        <v/>
      </c>
      <c r="Z1684" s="141" t="str">
        <f>IFERROR(__xludf.DUMMYFUNCTION("""COMPUTED_VALUE"""),"")</f>
        <v/>
      </c>
    </row>
    <row r="1685">
      <c r="D1685" s="136" t="str">
        <f t="shared" si="3"/>
        <v/>
      </c>
      <c r="E1685" s="152"/>
      <c r="F1685" s="106" t="s">
        <v>133</v>
      </c>
      <c r="G1685" s="152"/>
      <c r="H1685" s="106" t="s">
        <v>133</v>
      </c>
      <c r="J1685" s="139" t="s">
        <v>133</v>
      </c>
      <c r="K1685" s="136" t="s">
        <v>133</v>
      </c>
      <c r="L1685" s="153"/>
      <c r="M1685" s="136" t="str">
        <f t="shared" si="1"/>
        <v/>
      </c>
      <c r="O1685" s="141" t="s">
        <v>133</v>
      </c>
      <c r="P1685" s="136" t="str">
        <f>IFERROR(__xludf.DUMMYFUNCTION("""COMPUTED_VALUE"""),"")</f>
        <v/>
      </c>
      <c r="Q1685" s="136" t="str">
        <f>IFERROR(__xludf.DUMMYFUNCTION("""COMPUTED_VALUE"""),"")</f>
        <v/>
      </c>
      <c r="R1685" s="106" t="str">
        <f>IFERROR(__xludf.DUMMYFUNCTION("""COMPUTED_VALUE"""),"")</f>
        <v/>
      </c>
      <c r="S1685" s="106" t="str">
        <f>IFERROR(__xludf.DUMMYFUNCTION("""COMPUTED_VALUE"""),"")</f>
        <v/>
      </c>
      <c r="T1685" s="139" t="str">
        <f>IFERROR(__xludf.DUMMYFUNCTION("""COMPUTED_VALUE"""),"")</f>
        <v/>
      </c>
      <c r="U1685" s="139" t="str">
        <f>IFERROR(__xludf.DUMMYFUNCTION("""COMPUTED_VALUE"""),"")</f>
        <v/>
      </c>
      <c r="V1685" s="136" t="str">
        <f>IFERROR(__xludf.DUMMYFUNCTION("""COMPUTED_VALUE"""),"")</f>
        <v/>
      </c>
      <c r="W1685" s="106" t="str">
        <f>IFERROR(__xludf.DUMMYFUNCTION("""COMPUTED_VALUE"""),"")</f>
        <v/>
      </c>
      <c r="X1685" s="143" t="str">
        <f t="shared" si="2"/>
        <v/>
      </c>
      <c r="Y1685" s="139" t="str">
        <f>IFERROR(__xludf.DUMMYFUNCTION("""COMPUTED_VALUE"""),"")</f>
        <v/>
      </c>
      <c r="Z1685" s="141" t="str">
        <f>IFERROR(__xludf.DUMMYFUNCTION("""COMPUTED_VALUE"""),"")</f>
        <v/>
      </c>
    </row>
    <row r="1686">
      <c r="D1686" s="136" t="str">
        <f t="shared" si="3"/>
        <v/>
      </c>
      <c r="E1686" s="152"/>
      <c r="F1686" s="106" t="s">
        <v>133</v>
      </c>
      <c r="G1686" s="152"/>
      <c r="H1686" s="106" t="s">
        <v>133</v>
      </c>
      <c r="J1686" s="139" t="s">
        <v>133</v>
      </c>
      <c r="K1686" s="136" t="s">
        <v>133</v>
      </c>
      <c r="L1686" s="153"/>
      <c r="M1686" s="136" t="str">
        <f t="shared" si="1"/>
        <v/>
      </c>
      <c r="O1686" s="141" t="s">
        <v>133</v>
      </c>
      <c r="P1686" s="136" t="str">
        <f>IFERROR(__xludf.DUMMYFUNCTION("""COMPUTED_VALUE"""),"")</f>
        <v/>
      </c>
      <c r="Q1686" s="136" t="str">
        <f>IFERROR(__xludf.DUMMYFUNCTION("""COMPUTED_VALUE"""),"")</f>
        <v/>
      </c>
      <c r="R1686" s="106" t="str">
        <f>IFERROR(__xludf.DUMMYFUNCTION("""COMPUTED_VALUE"""),"")</f>
        <v/>
      </c>
      <c r="S1686" s="106" t="str">
        <f>IFERROR(__xludf.DUMMYFUNCTION("""COMPUTED_VALUE"""),"")</f>
        <v/>
      </c>
      <c r="T1686" s="139" t="str">
        <f>IFERROR(__xludf.DUMMYFUNCTION("""COMPUTED_VALUE"""),"")</f>
        <v/>
      </c>
      <c r="U1686" s="139" t="str">
        <f>IFERROR(__xludf.DUMMYFUNCTION("""COMPUTED_VALUE"""),"")</f>
        <v/>
      </c>
      <c r="V1686" s="136" t="str">
        <f>IFERROR(__xludf.DUMMYFUNCTION("""COMPUTED_VALUE"""),"")</f>
        <v/>
      </c>
      <c r="W1686" s="106" t="str">
        <f>IFERROR(__xludf.DUMMYFUNCTION("""COMPUTED_VALUE"""),"")</f>
        <v/>
      </c>
      <c r="X1686" s="143" t="str">
        <f t="shared" si="2"/>
        <v/>
      </c>
      <c r="Y1686" s="139" t="str">
        <f>IFERROR(__xludf.DUMMYFUNCTION("""COMPUTED_VALUE"""),"")</f>
        <v/>
      </c>
      <c r="Z1686" s="141" t="str">
        <f>IFERROR(__xludf.DUMMYFUNCTION("""COMPUTED_VALUE"""),"")</f>
        <v/>
      </c>
    </row>
    <row r="1687">
      <c r="D1687" s="136" t="str">
        <f t="shared" si="3"/>
        <v/>
      </c>
      <c r="E1687" s="152"/>
      <c r="F1687" s="106" t="s">
        <v>133</v>
      </c>
      <c r="G1687" s="152"/>
      <c r="H1687" s="106" t="s">
        <v>133</v>
      </c>
      <c r="J1687" s="139" t="s">
        <v>133</v>
      </c>
      <c r="K1687" s="136" t="s">
        <v>133</v>
      </c>
      <c r="L1687" s="153"/>
      <c r="M1687" s="136" t="str">
        <f t="shared" si="1"/>
        <v/>
      </c>
      <c r="O1687" s="141" t="s">
        <v>133</v>
      </c>
      <c r="P1687" s="136" t="str">
        <f>IFERROR(__xludf.DUMMYFUNCTION("""COMPUTED_VALUE"""),"")</f>
        <v/>
      </c>
      <c r="Q1687" s="136" t="str">
        <f>IFERROR(__xludf.DUMMYFUNCTION("""COMPUTED_VALUE"""),"")</f>
        <v/>
      </c>
      <c r="R1687" s="106" t="str">
        <f>IFERROR(__xludf.DUMMYFUNCTION("""COMPUTED_VALUE"""),"")</f>
        <v/>
      </c>
      <c r="S1687" s="106" t="str">
        <f>IFERROR(__xludf.DUMMYFUNCTION("""COMPUTED_VALUE"""),"")</f>
        <v/>
      </c>
      <c r="T1687" s="139" t="str">
        <f>IFERROR(__xludf.DUMMYFUNCTION("""COMPUTED_VALUE"""),"")</f>
        <v/>
      </c>
      <c r="U1687" s="139" t="str">
        <f>IFERROR(__xludf.DUMMYFUNCTION("""COMPUTED_VALUE"""),"")</f>
        <v/>
      </c>
      <c r="V1687" s="136" t="str">
        <f>IFERROR(__xludf.DUMMYFUNCTION("""COMPUTED_VALUE"""),"")</f>
        <v/>
      </c>
      <c r="W1687" s="106" t="str">
        <f>IFERROR(__xludf.DUMMYFUNCTION("""COMPUTED_VALUE"""),"")</f>
        <v/>
      </c>
      <c r="X1687" s="143" t="str">
        <f t="shared" si="2"/>
        <v/>
      </c>
      <c r="Y1687" s="139" t="str">
        <f>IFERROR(__xludf.DUMMYFUNCTION("""COMPUTED_VALUE"""),"")</f>
        <v/>
      </c>
      <c r="Z1687" s="141" t="str">
        <f>IFERROR(__xludf.DUMMYFUNCTION("""COMPUTED_VALUE"""),"")</f>
        <v/>
      </c>
    </row>
    <row r="1688">
      <c r="D1688" s="136" t="str">
        <f t="shared" si="3"/>
        <v/>
      </c>
      <c r="E1688" s="152"/>
      <c r="F1688" s="106" t="s">
        <v>133</v>
      </c>
      <c r="G1688" s="152"/>
      <c r="H1688" s="106" t="s">
        <v>133</v>
      </c>
      <c r="J1688" s="139" t="s">
        <v>133</v>
      </c>
      <c r="K1688" s="136" t="s">
        <v>133</v>
      </c>
      <c r="L1688" s="153"/>
      <c r="M1688" s="136" t="str">
        <f t="shared" si="1"/>
        <v/>
      </c>
      <c r="O1688" s="141" t="s">
        <v>133</v>
      </c>
      <c r="P1688" s="136" t="str">
        <f>IFERROR(__xludf.DUMMYFUNCTION("""COMPUTED_VALUE"""),"")</f>
        <v/>
      </c>
      <c r="Q1688" s="136" t="str">
        <f>IFERROR(__xludf.DUMMYFUNCTION("""COMPUTED_VALUE"""),"")</f>
        <v/>
      </c>
      <c r="R1688" s="106" t="str">
        <f>IFERROR(__xludf.DUMMYFUNCTION("""COMPUTED_VALUE"""),"")</f>
        <v/>
      </c>
      <c r="S1688" s="106" t="str">
        <f>IFERROR(__xludf.DUMMYFUNCTION("""COMPUTED_VALUE"""),"")</f>
        <v/>
      </c>
      <c r="T1688" s="139" t="str">
        <f>IFERROR(__xludf.DUMMYFUNCTION("""COMPUTED_VALUE"""),"")</f>
        <v/>
      </c>
      <c r="U1688" s="139" t="str">
        <f>IFERROR(__xludf.DUMMYFUNCTION("""COMPUTED_VALUE"""),"")</f>
        <v/>
      </c>
      <c r="V1688" s="136" t="str">
        <f>IFERROR(__xludf.DUMMYFUNCTION("""COMPUTED_VALUE"""),"")</f>
        <v/>
      </c>
      <c r="W1688" s="106" t="str">
        <f>IFERROR(__xludf.DUMMYFUNCTION("""COMPUTED_VALUE"""),"")</f>
        <v/>
      </c>
      <c r="X1688" s="143" t="str">
        <f t="shared" si="2"/>
        <v/>
      </c>
      <c r="Y1688" s="139" t="str">
        <f>IFERROR(__xludf.DUMMYFUNCTION("""COMPUTED_VALUE"""),"")</f>
        <v/>
      </c>
      <c r="Z1688" s="141" t="str">
        <f>IFERROR(__xludf.DUMMYFUNCTION("""COMPUTED_VALUE"""),"")</f>
        <v/>
      </c>
    </row>
    <row r="1689">
      <c r="D1689" s="136" t="str">
        <f t="shared" si="3"/>
        <v/>
      </c>
      <c r="E1689" s="152"/>
      <c r="F1689" s="106" t="s">
        <v>133</v>
      </c>
      <c r="G1689" s="152"/>
      <c r="H1689" s="106" t="s">
        <v>133</v>
      </c>
      <c r="J1689" s="139" t="s">
        <v>133</v>
      </c>
      <c r="K1689" s="136" t="s">
        <v>133</v>
      </c>
      <c r="L1689" s="153"/>
      <c r="M1689" s="136" t="str">
        <f t="shared" si="1"/>
        <v/>
      </c>
      <c r="O1689" s="141" t="s">
        <v>133</v>
      </c>
      <c r="P1689" s="136" t="str">
        <f>IFERROR(__xludf.DUMMYFUNCTION("""COMPUTED_VALUE"""),"")</f>
        <v/>
      </c>
      <c r="Q1689" s="136" t="str">
        <f>IFERROR(__xludf.DUMMYFUNCTION("""COMPUTED_VALUE"""),"")</f>
        <v/>
      </c>
      <c r="R1689" s="106" t="str">
        <f>IFERROR(__xludf.DUMMYFUNCTION("""COMPUTED_VALUE"""),"")</f>
        <v/>
      </c>
      <c r="S1689" s="106" t="str">
        <f>IFERROR(__xludf.DUMMYFUNCTION("""COMPUTED_VALUE"""),"")</f>
        <v/>
      </c>
      <c r="T1689" s="139" t="str">
        <f>IFERROR(__xludf.DUMMYFUNCTION("""COMPUTED_VALUE"""),"")</f>
        <v/>
      </c>
      <c r="U1689" s="139" t="str">
        <f>IFERROR(__xludf.DUMMYFUNCTION("""COMPUTED_VALUE"""),"")</f>
        <v/>
      </c>
      <c r="V1689" s="136" t="str">
        <f>IFERROR(__xludf.DUMMYFUNCTION("""COMPUTED_VALUE"""),"")</f>
        <v/>
      </c>
      <c r="W1689" s="106" t="str">
        <f>IFERROR(__xludf.DUMMYFUNCTION("""COMPUTED_VALUE"""),"")</f>
        <v/>
      </c>
      <c r="X1689" s="143" t="str">
        <f t="shared" si="2"/>
        <v/>
      </c>
      <c r="Y1689" s="139" t="str">
        <f>IFERROR(__xludf.DUMMYFUNCTION("""COMPUTED_VALUE"""),"")</f>
        <v/>
      </c>
      <c r="Z1689" s="141" t="str">
        <f>IFERROR(__xludf.DUMMYFUNCTION("""COMPUTED_VALUE"""),"")</f>
        <v/>
      </c>
    </row>
    <row r="1690">
      <c r="D1690" s="136" t="str">
        <f t="shared" si="3"/>
        <v/>
      </c>
      <c r="E1690" s="152"/>
      <c r="F1690" s="106" t="s">
        <v>133</v>
      </c>
      <c r="G1690" s="152"/>
      <c r="H1690" s="106" t="s">
        <v>133</v>
      </c>
      <c r="J1690" s="139" t="s">
        <v>133</v>
      </c>
      <c r="K1690" s="136" t="s">
        <v>133</v>
      </c>
      <c r="L1690" s="153"/>
      <c r="M1690" s="136" t="str">
        <f t="shared" si="1"/>
        <v/>
      </c>
      <c r="O1690" s="141" t="s">
        <v>133</v>
      </c>
      <c r="P1690" s="136" t="str">
        <f>IFERROR(__xludf.DUMMYFUNCTION("""COMPUTED_VALUE"""),"")</f>
        <v/>
      </c>
      <c r="Q1690" s="136" t="str">
        <f>IFERROR(__xludf.DUMMYFUNCTION("""COMPUTED_VALUE"""),"")</f>
        <v/>
      </c>
      <c r="R1690" s="106" t="str">
        <f>IFERROR(__xludf.DUMMYFUNCTION("""COMPUTED_VALUE"""),"")</f>
        <v/>
      </c>
      <c r="S1690" s="106" t="str">
        <f>IFERROR(__xludf.DUMMYFUNCTION("""COMPUTED_VALUE"""),"")</f>
        <v/>
      </c>
      <c r="T1690" s="139" t="str">
        <f>IFERROR(__xludf.DUMMYFUNCTION("""COMPUTED_VALUE"""),"")</f>
        <v/>
      </c>
      <c r="U1690" s="139" t="str">
        <f>IFERROR(__xludf.DUMMYFUNCTION("""COMPUTED_VALUE"""),"")</f>
        <v/>
      </c>
      <c r="V1690" s="136" t="str">
        <f>IFERROR(__xludf.DUMMYFUNCTION("""COMPUTED_VALUE"""),"")</f>
        <v/>
      </c>
      <c r="W1690" s="106" t="str">
        <f>IFERROR(__xludf.DUMMYFUNCTION("""COMPUTED_VALUE"""),"")</f>
        <v/>
      </c>
      <c r="X1690" s="143" t="str">
        <f t="shared" si="2"/>
        <v/>
      </c>
      <c r="Y1690" s="139" t="str">
        <f>IFERROR(__xludf.DUMMYFUNCTION("""COMPUTED_VALUE"""),"")</f>
        <v/>
      </c>
      <c r="Z1690" s="141" t="str">
        <f>IFERROR(__xludf.DUMMYFUNCTION("""COMPUTED_VALUE"""),"")</f>
        <v/>
      </c>
    </row>
    <row r="1691">
      <c r="D1691" s="136" t="str">
        <f t="shared" si="3"/>
        <v/>
      </c>
      <c r="E1691" s="152"/>
      <c r="F1691" s="106" t="s">
        <v>133</v>
      </c>
      <c r="G1691" s="152"/>
      <c r="H1691" s="106" t="s">
        <v>133</v>
      </c>
      <c r="J1691" s="139" t="s">
        <v>133</v>
      </c>
      <c r="K1691" s="136" t="s">
        <v>133</v>
      </c>
      <c r="L1691" s="153"/>
      <c r="M1691" s="136" t="str">
        <f t="shared" si="1"/>
        <v/>
      </c>
      <c r="O1691" s="141" t="s">
        <v>133</v>
      </c>
      <c r="P1691" s="136" t="str">
        <f>IFERROR(__xludf.DUMMYFUNCTION("""COMPUTED_VALUE"""),"")</f>
        <v/>
      </c>
      <c r="Q1691" s="136" t="str">
        <f>IFERROR(__xludf.DUMMYFUNCTION("""COMPUTED_VALUE"""),"")</f>
        <v/>
      </c>
      <c r="R1691" s="106" t="str">
        <f>IFERROR(__xludf.DUMMYFUNCTION("""COMPUTED_VALUE"""),"")</f>
        <v/>
      </c>
      <c r="S1691" s="106" t="str">
        <f>IFERROR(__xludf.DUMMYFUNCTION("""COMPUTED_VALUE"""),"")</f>
        <v/>
      </c>
      <c r="T1691" s="139" t="str">
        <f>IFERROR(__xludf.DUMMYFUNCTION("""COMPUTED_VALUE"""),"")</f>
        <v/>
      </c>
      <c r="U1691" s="139" t="str">
        <f>IFERROR(__xludf.DUMMYFUNCTION("""COMPUTED_VALUE"""),"")</f>
        <v/>
      </c>
      <c r="V1691" s="136" t="str">
        <f>IFERROR(__xludf.DUMMYFUNCTION("""COMPUTED_VALUE"""),"")</f>
        <v/>
      </c>
      <c r="W1691" s="106" t="str">
        <f>IFERROR(__xludf.DUMMYFUNCTION("""COMPUTED_VALUE"""),"")</f>
        <v/>
      </c>
      <c r="X1691" s="143" t="str">
        <f t="shared" si="2"/>
        <v/>
      </c>
      <c r="Y1691" s="139" t="str">
        <f>IFERROR(__xludf.DUMMYFUNCTION("""COMPUTED_VALUE"""),"")</f>
        <v/>
      </c>
      <c r="Z1691" s="141" t="str">
        <f>IFERROR(__xludf.DUMMYFUNCTION("""COMPUTED_VALUE"""),"")</f>
        <v/>
      </c>
    </row>
    <row r="1692">
      <c r="D1692" s="136" t="str">
        <f t="shared" si="3"/>
        <v/>
      </c>
      <c r="E1692" s="152"/>
      <c r="F1692" s="106" t="s">
        <v>133</v>
      </c>
      <c r="G1692" s="152"/>
      <c r="H1692" s="106" t="s">
        <v>133</v>
      </c>
      <c r="J1692" s="139" t="s">
        <v>133</v>
      </c>
      <c r="K1692" s="136" t="s">
        <v>133</v>
      </c>
      <c r="L1692" s="153"/>
      <c r="M1692" s="136" t="str">
        <f t="shared" si="1"/>
        <v/>
      </c>
      <c r="O1692" s="141" t="s">
        <v>133</v>
      </c>
      <c r="P1692" s="136" t="str">
        <f>IFERROR(__xludf.DUMMYFUNCTION("""COMPUTED_VALUE"""),"")</f>
        <v/>
      </c>
      <c r="Q1692" s="136" t="str">
        <f>IFERROR(__xludf.DUMMYFUNCTION("""COMPUTED_VALUE"""),"")</f>
        <v/>
      </c>
      <c r="R1692" s="106" t="str">
        <f>IFERROR(__xludf.DUMMYFUNCTION("""COMPUTED_VALUE"""),"")</f>
        <v/>
      </c>
      <c r="S1692" s="106" t="str">
        <f>IFERROR(__xludf.DUMMYFUNCTION("""COMPUTED_VALUE"""),"")</f>
        <v/>
      </c>
      <c r="T1692" s="139" t="str">
        <f>IFERROR(__xludf.DUMMYFUNCTION("""COMPUTED_VALUE"""),"")</f>
        <v/>
      </c>
      <c r="U1692" s="139" t="str">
        <f>IFERROR(__xludf.DUMMYFUNCTION("""COMPUTED_VALUE"""),"")</f>
        <v/>
      </c>
      <c r="V1692" s="136" t="str">
        <f>IFERROR(__xludf.DUMMYFUNCTION("""COMPUTED_VALUE"""),"")</f>
        <v/>
      </c>
      <c r="W1692" s="106" t="str">
        <f>IFERROR(__xludf.DUMMYFUNCTION("""COMPUTED_VALUE"""),"")</f>
        <v/>
      </c>
      <c r="X1692" s="143" t="str">
        <f t="shared" si="2"/>
        <v/>
      </c>
      <c r="Y1692" s="139" t="str">
        <f>IFERROR(__xludf.DUMMYFUNCTION("""COMPUTED_VALUE"""),"")</f>
        <v/>
      </c>
      <c r="Z1692" s="141" t="str">
        <f>IFERROR(__xludf.DUMMYFUNCTION("""COMPUTED_VALUE"""),"")</f>
        <v/>
      </c>
    </row>
    <row r="1693">
      <c r="D1693" s="136" t="str">
        <f t="shared" si="3"/>
        <v/>
      </c>
      <c r="E1693" s="152"/>
      <c r="F1693" s="106" t="s">
        <v>133</v>
      </c>
      <c r="G1693" s="152"/>
      <c r="H1693" s="106" t="s">
        <v>133</v>
      </c>
      <c r="J1693" s="139" t="s">
        <v>133</v>
      </c>
      <c r="K1693" s="136" t="s">
        <v>133</v>
      </c>
      <c r="L1693" s="153"/>
      <c r="M1693" s="136" t="str">
        <f t="shared" si="1"/>
        <v/>
      </c>
      <c r="O1693" s="141" t="s">
        <v>133</v>
      </c>
      <c r="P1693" s="136" t="str">
        <f>IFERROR(__xludf.DUMMYFUNCTION("""COMPUTED_VALUE"""),"")</f>
        <v/>
      </c>
      <c r="Q1693" s="136" t="str">
        <f>IFERROR(__xludf.DUMMYFUNCTION("""COMPUTED_VALUE"""),"")</f>
        <v/>
      </c>
      <c r="R1693" s="106" t="str">
        <f>IFERROR(__xludf.DUMMYFUNCTION("""COMPUTED_VALUE"""),"")</f>
        <v/>
      </c>
      <c r="S1693" s="106" t="str">
        <f>IFERROR(__xludf.DUMMYFUNCTION("""COMPUTED_VALUE"""),"")</f>
        <v/>
      </c>
      <c r="T1693" s="139" t="str">
        <f>IFERROR(__xludf.DUMMYFUNCTION("""COMPUTED_VALUE"""),"")</f>
        <v/>
      </c>
      <c r="U1693" s="139" t="str">
        <f>IFERROR(__xludf.DUMMYFUNCTION("""COMPUTED_VALUE"""),"")</f>
        <v/>
      </c>
      <c r="V1693" s="136" t="str">
        <f>IFERROR(__xludf.DUMMYFUNCTION("""COMPUTED_VALUE"""),"")</f>
        <v/>
      </c>
      <c r="W1693" s="106" t="str">
        <f>IFERROR(__xludf.DUMMYFUNCTION("""COMPUTED_VALUE"""),"")</f>
        <v/>
      </c>
      <c r="X1693" s="143" t="str">
        <f t="shared" si="2"/>
        <v/>
      </c>
      <c r="Y1693" s="139" t="str">
        <f>IFERROR(__xludf.DUMMYFUNCTION("""COMPUTED_VALUE"""),"")</f>
        <v/>
      </c>
      <c r="Z1693" s="141" t="str">
        <f>IFERROR(__xludf.DUMMYFUNCTION("""COMPUTED_VALUE"""),"")</f>
        <v/>
      </c>
    </row>
    <row r="1694">
      <c r="D1694" s="136" t="str">
        <f t="shared" si="3"/>
        <v/>
      </c>
      <c r="E1694" s="152"/>
      <c r="F1694" s="106" t="s">
        <v>133</v>
      </c>
      <c r="G1694" s="152"/>
      <c r="H1694" s="106" t="s">
        <v>133</v>
      </c>
      <c r="J1694" s="139" t="s">
        <v>133</v>
      </c>
      <c r="K1694" s="136" t="s">
        <v>133</v>
      </c>
      <c r="L1694" s="153"/>
      <c r="M1694" s="136" t="str">
        <f t="shared" si="1"/>
        <v/>
      </c>
      <c r="O1694" s="141" t="s">
        <v>133</v>
      </c>
      <c r="P1694" s="136" t="str">
        <f>IFERROR(__xludf.DUMMYFUNCTION("""COMPUTED_VALUE"""),"")</f>
        <v/>
      </c>
      <c r="Q1694" s="136" t="str">
        <f>IFERROR(__xludf.DUMMYFUNCTION("""COMPUTED_VALUE"""),"")</f>
        <v/>
      </c>
      <c r="R1694" s="106" t="str">
        <f>IFERROR(__xludf.DUMMYFUNCTION("""COMPUTED_VALUE"""),"")</f>
        <v/>
      </c>
      <c r="S1694" s="106" t="str">
        <f>IFERROR(__xludf.DUMMYFUNCTION("""COMPUTED_VALUE"""),"")</f>
        <v/>
      </c>
      <c r="T1694" s="139" t="str">
        <f>IFERROR(__xludf.DUMMYFUNCTION("""COMPUTED_VALUE"""),"")</f>
        <v/>
      </c>
      <c r="U1694" s="139" t="str">
        <f>IFERROR(__xludf.DUMMYFUNCTION("""COMPUTED_VALUE"""),"")</f>
        <v/>
      </c>
      <c r="V1694" s="136" t="str">
        <f>IFERROR(__xludf.DUMMYFUNCTION("""COMPUTED_VALUE"""),"")</f>
        <v/>
      </c>
      <c r="W1694" s="106" t="str">
        <f>IFERROR(__xludf.DUMMYFUNCTION("""COMPUTED_VALUE"""),"")</f>
        <v/>
      </c>
      <c r="X1694" s="143" t="str">
        <f t="shared" si="2"/>
        <v/>
      </c>
      <c r="Y1694" s="139" t="str">
        <f>IFERROR(__xludf.DUMMYFUNCTION("""COMPUTED_VALUE"""),"")</f>
        <v/>
      </c>
      <c r="Z1694" s="141" t="str">
        <f>IFERROR(__xludf.DUMMYFUNCTION("""COMPUTED_VALUE"""),"")</f>
        <v/>
      </c>
    </row>
    <row r="1695">
      <c r="D1695" s="136" t="str">
        <f t="shared" si="3"/>
        <v/>
      </c>
      <c r="E1695" s="152"/>
      <c r="F1695" s="106" t="s">
        <v>133</v>
      </c>
      <c r="G1695" s="152"/>
      <c r="H1695" s="106" t="s">
        <v>133</v>
      </c>
      <c r="J1695" s="139" t="s">
        <v>133</v>
      </c>
      <c r="K1695" s="136" t="s">
        <v>133</v>
      </c>
      <c r="L1695" s="153"/>
      <c r="M1695" s="136" t="str">
        <f t="shared" si="1"/>
        <v/>
      </c>
      <c r="O1695" s="141" t="s">
        <v>133</v>
      </c>
      <c r="P1695" s="136" t="str">
        <f>IFERROR(__xludf.DUMMYFUNCTION("""COMPUTED_VALUE"""),"")</f>
        <v/>
      </c>
      <c r="Q1695" s="136" t="str">
        <f>IFERROR(__xludf.DUMMYFUNCTION("""COMPUTED_VALUE"""),"")</f>
        <v/>
      </c>
      <c r="R1695" s="106" t="str">
        <f>IFERROR(__xludf.DUMMYFUNCTION("""COMPUTED_VALUE"""),"")</f>
        <v/>
      </c>
      <c r="S1695" s="106" t="str">
        <f>IFERROR(__xludf.DUMMYFUNCTION("""COMPUTED_VALUE"""),"")</f>
        <v/>
      </c>
      <c r="T1695" s="139" t="str">
        <f>IFERROR(__xludf.DUMMYFUNCTION("""COMPUTED_VALUE"""),"")</f>
        <v/>
      </c>
      <c r="U1695" s="139" t="str">
        <f>IFERROR(__xludf.DUMMYFUNCTION("""COMPUTED_VALUE"""),"")</f>
        <v/>
      </c>
      <c r="V1695" s="136" t="str">
        <f>IFERROR(__xludf.DUMMYFUNCTION("""COMPUTED_VALUE"""),"")</f>
        <v/>
      </c>
      <c r="W1695" s="106" t="str">
        <f>IFERROR(__xludf.DUMMYFUNCTION("""COMPUTED_VALUE"""),"")</f>
        <v/>
      </c>
      <c r="X1695" s="143" t="str">
        <f t="shared" si="2"/>
        <v/>
      </c>
      <c r="Y1695" s="139" t="str">
        <f>IFERROR(__xludf.DUMMYFUNCTION("""COMPUTED_VALUE"""),"")</f>
        <v/>
      </c>
      <c r="Z1695" s="141" t="str">
        <f>IFERROR(__xludf.DUMMYFUNCTION("""COMPUTED_VALUE"""),"")</f>
        <v/>
      </c>
    </row>
    <row r="1696">
      <c r="D1696" s="136" t="str">
        <f t="shared" si="3"/>
        <v/>
      </c>
      <c r="E1696" s="152"/>
      <c r="F1696" s="106" t="s">
        <v>133</v>
      </c>
      <c r="G1696" s="152"/>
      <c r="H1696" s="106" t="s">
        <v>133</v>
      </c>
      <c r="J1696" s="139" t="s">
        <v>133</v>
      </c>
      <c r="K1696" s="136" t="s">
        <v>133</v>
      </c>
      <c r="L1696" s="153"/>
      <c r="M1696" s="136" t="str">
        <f t="shared" si="1"/>
        <v/>
      </c>
      <c r="O1696" s="141" t="s">
        <v>133</v>
      </c>
      <c r="P1696" s="136" t="str">
        <f>IFERROR(__xludf.DUMMYFUNCTION("""COMPUTED_VALUE"""),"")</f>
        <v/>
      </c>
      <c r="Q1696" s="136" t="str">
        <f>IFERROR(__xludf.DUMMYFUNCTION("""COMPUTED_VALUE"""),"")</f>
        <v/>
      </c>
      <c r="R1696" s="106" t="str">
        <f>IFERROR(__xludf.DUMMYFUNCTION("""COMPUTED_VALUE"""),"")</f>
        <v/>
      </c>
      <c r="S1696" s="106" t="str">
        <f>IFERROR(__xludf.DUMMYFUNCTION("""COMPUTED_VALUE"""),"")</f>
        <v/>
      </c>
      <c r="T1696" s="139" t="str">
        <f>IFERROR(__xludf.DUMMYFUNCTION("""COMPUTED_VALUE"""),"")</f>
        <v/>
      </c>
      <c r="U1696" s="139" t="str">
        <f>IFERROR(__xludf.DUMMYFUNCTION("""COMPUTED_VALUE"""),"")</f>
        <v/>
      </c>
      <c r="V1696" s="136" t="str">
        <f>IFERROR(__xludf.DUMMYFUNCTION("""COMPUTED_VALUE"""),"")</f>
        <v/>
      </c>
      <c r="W1696" s="106" t="str">
        <f>IFERROR(__xludf.DUMMYFUNCTION("""COMPUTED_VALUE"""),"")</f>
        <v/>
      </c>
      <c r="X1696" s="143" t="str">
        <f t="shared" si="2"/>
        <v/>
      </c>
      <c r="Y1696" s="139" t="str">
        <f>IFERROR(__xludf.DUMMYFUNCTION("""COMPUTED_VALUE"""),"")</f>
        <v/>
      </c>
      <c r="Z1696" s="141" t="str">
        <f>IFERROR(__xludf.DUMMYFUNCTION("""COMPUTED_VALUE"""),"")</f>
        <v/>
      </c>
    </row>
    <row r="1697">
      <c r="D1697" s="136" t="str">
        <f t="shared" si="3"/>
        <v/>
      </c>
      <c r="E1697" s="152"/>
      <c r="F1697" s="106" t="s">
        <v>133</v>
      </c>
      <c r="G1697" s="152"/>
      <c r="H1697" s="106" t="s">
        <v>133</v>
      </c>
      <c r="J1697" s="139" t="s">
        <v>133</v>
      </c>
      <c r="K1697" s="136" t="s">
        <v>133</v>
      </c>
      <c r="L1697" s="153"/>
      <c r="M1697" s="136" t="str">
        <f t="shared" si="1"/>
        <v/>
      </c>
      <c r="O1697" s="141" t="s">
        <v>133</v>
      </c>
      <c r="P1697" s="136" t="str">
        <f>IFERROR(__xludf.DUMMYFUNCTION("""COMPUTED_VALUE"""),"")</f>
        <v/>
      </c>
      <c r="Q1697" s="136" t="str">
        <f>IFERROR(__xludf.DUMMYFUNCTION("""COMPUTED_VALUE"""),"")</f>
        <v/>
      </c>
      <c r="R1697" s="106" t="str">
        <f>IFERROR(__xludf.DUMMYFUNCTION("""COMPUTED_VALUE"""),"")</f>
        <v/>
      </c>
      <c r="S1697" s="106" t="str">
        <f>IFERROR(__xludf.DUMMYFUNCTION("""COMPUTED_VALUE"""),"")</f>
        <v/>
      </c>
      <c r="T1697" s="139" t="str">
        <f>IFERROR(__xludf.DUMMYFUNCTION("""COMPUTED_VALUE"""),"")</f>
        <v/>
      </c>
      <c r="U1697" s="139" t="str">
        <f>IFERROR(__xludf.DUMMYFUNCTION("""COMPUTED_VALUE"""),"")</f>
        <v/>
      </c>
      <c r="V1697" s="136" t="str">
        <f>IFERROR(__xludf.DUMMYFUNCTION("""COMPUTED_VALUE"""),"")</f>
        <v/>
      </c>
      <c r="W1697" s="106" t="str">
        <f>IFERROR(__xludf.DUMMYFUNCTION("""COMPUTED_VALUE"""),"")</f>
        <v/>
      </c>
      <c r="X1697" s="143" t="str">
        <f t="shared" si="2"/>
        <v/>
      </c>
      <c r="Y1697" s="139" t="str">
        <f>IFERROR(__xludf.DUMMYFUNCTION("""COMPUTED_VALUE"""),"")</f>
        <v/>
      </c>
      <c r="Z1697" s="141" t="str">
        <f>IFERROR(__xludf.DUMMYFUNCTION("""COMPUTED_VALUE"""),"")</f>
        <v/>
      </c>
    </row>
    <row r="1698">
      <c r="D1698" s="136" t="str">
        <f t="shared" si="3"/>
        <v/>
      </c>
      <c r="E1698" s="152"/>
      <c r="F1698" s="106" t="s">
        <v>133</v>
      </c>
      <c r="G1698" s="152"/>
      <c r="H1698" s="106" t="s">
        <v>133</v>
      </c>
      <c r="J1698" s="139" t="s">
        <v>133</v>
      </c>
      <c r="K1698" s="136" t="s">
        <v>133</v>
      </c>
      <c r="L1698" s="153"/>
      <c r="M1698" s="136" t="str">
        <f t="shared" si="1"/>
        <v/>
      </c>
      <c r="O1698" s="141" t="s">
        <v>133</v>
      </c>
      <c r="P1698" s="136" t="str">
        <f>IFERROR(__xludf.DUMMYFUNCTION("""COMPUTED_VALUE"""),"")</f>
        <v/>
      </c>
      <c r="Q1698" s="136" t="str">
        <f>IFERROR(__xludf.DUMMYFUNCTION("""COMPUTED_VALUE"""),"")</f>
        <v/>
      </c>
      <c r="R1698" s="106" t="str">
        <f>IFERROR(__xludf.DUMMYFUNCTION("""COMPUTED_VALUE"""),"")</f>
        <v/>
      </c>
      <c r="S1698" s="106" t="str">
        <f>IFERROR(__xludf.DUMMYFUNCTION("""COMPUTED_VALUE"""),"")</f>
        <v/>
      </c>
      <c r="T1698" s="139" t="str">
        <f>IFERROR(__xludf.DUMMYFUNCTION("""COMPUTED_VALUE"""),"")</f>
        <v/>
      </c>
      <c r="U1698" s="139" t="str">
        <f>IFERROR(__xludf.DUMMYFUNCTION("""COMPUTED_VALUE"""),"")</f>
        <v/>
      </c>
      <c r="V1698" s="136" t="str">
        <f>IFERROR(__xludf.DUMMYFUNCTION("""COMPUTED_VALUE"""),"")</f>
        <v/>
      </c>
      <c r="W1698" s="106" t="str">
        <f>IFERROR(__xludf.DUMMYFUNCTION("""COMPUTED_VALUE"""),"")</f>
        <v/>
      </c>
      <c r="X1698" s="143" t="str">
        <f t="shared" si="2"/>
        <v/>
      </c>
      <c r="Y1698" s="139" t="str">
        <f>IFERROR(__xludf.DUMMYFUNCTION("""COMPUTED_VALUE"""),"")</f>
        <v/>
      </c>
      <c r="Z1698" s="141" t="str">
        <f>IFERROR(__xludf.DUMMYFUNCTION("""COMPUTED_VALUE"""),"")</f>
        <v/>
      </c>
    </row>
    <row r="1699">
      <c r="D1699" s="136" t="str">
        <f t="shared" si="3"/>
        <v/>
      </c>
      <c r="E1699" s="152"/>
      <c r="F1699" s="106" t="s">
        <v>133</v>
      </c>
      <c r="G1699" s="152"/>
      <c r="H1699" s="106" t="s">
        <v>133</v>
      </c>
      <c r="J1699" s="139" t="s">
        <v>133</v>
      </c>
      <c r="K1699" s="136" t="s">
        <v>133</v>
      </c>
      <c r="L1699" s="153"/>
      <c r="M1699" s="136" t="str">
        <f t="shared" si="1"/>
        <v/>
      </c>
      <c r="O1699" s="141" t="s">
        <v>133</v>
      </c>
      <c r="P1699" s="136" t="str">
        <f>IFERROR(__xludf.DUMMYFUNCTION("""COMPUTED_VALUE"""),"")</f>
        <v/>
      </c>
      <c r="Q1699" s="136" t="str">
        <f>IFERROR(__xludf.DUMMYFUNCTION("""COMPUTED_VALUE"""),"")</f>
        <v/>
      </c>
      <c r="R1699" s="106" t="str">
        <f>IFERROR(__xludf.DUMMYFUNCTION("""COMPUTED_VALUE"""),"")</f>
        <v/>
      </c>
      <c r="S1699" s="106" t="str">
        <f>IFERROR(__xludf.DUMMYFUNCTION("""COMPUTED_VALUE"""),"")</f>
        <v/>
      </c>
      <c r="T1699" s="139" t="str">
        <f>IFERROR(__xludf.DUMMYFUNCTION("""COMPUTED_VALUE"""),"")</f>
        <v/>
      </c>
      <c r="U1699" s="139" t="str">
        <f>IFERROR(__xludf.DUMMYFUNCTION("""COMPUTED_VALUE"""),"")</f>
        <v/>
      </c>
      <c r="V1699" s="136" t="str">
        <f>IFERROR(__xludf.DUMMYFUNCTION("""COMPUTED_VALUE"""),"")</f>
        <v/>
      </c>
      <c r="W1699" s="106" t="str">
        <f>IFERROR(__xludf.DUMMYFUNCTION("""COMPUTED_VALUE"""),"")</f>
        <v/>
      </c>
      <c r="X1699" s="143" t="str">
        <f t="shared" si="2"/>
        <v/>
      </c>
      <c r="Y1699" s="139" t="str">
        <f>IFERROR(__xludf.DUMMYFUNCTION("""COMPUTED_VALUE"""),"")</f>
        <v/>
      </c>
      <c r="Z1699" s="141" t="str">
        <f>IFERROR(__xludf.DUMMYFUNCTION("""COMPUTED_VALUE"""),"")</f>
        <v/>
      </c>
    </row>
    <row r="1700">
      <c r="D1700" s="136" t="str">
        <f t="shared" si="3"/>
        <v/>
      </c>
      <c r="E1700" s="152"/>
      <c r="F1700" s="106" t="s">
        <v>133</v>
      </c>
      <c r="G1700" s="152"/>
      <c r="H1700" s="106" t="s">
        <v>133</v>
      </c>
      <c r="J1700" s="139" t="s">
        <v>133</v>
      </c>
      <c r="K1700" s="136" t="s">
        <v>133</v>
      </c>
      <c r="L1700" s="153"/>
      <c r="M1700" s="136" t="str">
        <f t="shared" si="1"/>
        <v/>
      </c>
      <c r="O1700" s="141" t="s">
        <v>133</v>
      </c>
      <c r="P1700" s="136" t="str">
        <f>IFERROR(__xludf.DUMMYFUNCTION("""COMPUTED_VALUE"""),"")</f>
        <v/>
      </c>
      <c r="Q1700" s="136" t="str">
        <f>IFERROR(__xludf.DUMMYFUNCTION("""COMPUTED_VALUE"""),"")</f>
        <v/>
      </c>
      <c r="R1700" s="106" t="str">
        <f>IFERROR(__xludf.DUMMYFUNCTION("""COMPUTED_VALUE"""),"")</f>
        <v/>
      </c>
      <c r="S1700" s="106" t="str">
        <f>IFERROR(__xludf.DUMMYFUNCTION("""COMPUTED_VALUE"""),"")</f>
        <v/>
      </c>
      <c r="T1700" s="139" t="str">
        <f>IFERROR(__xludf.DUMMYFUNCTION("""COMPUTED_VALUE"""),"")</f>
        <v/>
      </c>
      <c r="U1700" s="139" t="str">
        <f>IFERROR(__xludf.DUMMYFUNCTION("""COMPUTED_VALUE"""),"")</f>
        <v/>
      </c>
      <c r="V1700" s="136" t="str">
        <f>IFERROR(__xludf.DUMMYFUNCTION("""COMPUTED_VALUE"""),"")</f>
        <v/>
      </c>
      <c r="W1700" s="106" t="str">
        <f>IFERROR(__xludf.DUMMYFUNCTION("""COMPUTED_VALUE"""),"")</f>
        <v/>
      </c>
      <c r="X1700" s="143" t="str">
        <f t="shared" si="2"/>
        <v/>
      </c>
      <c r="Y1700" s="139" t="str">
        <f>IFERROR(__xludf.DUMMYFUNCTION("""COMPUTED_VALUE"""),"")</f>
        <v/>
      </c>
      <c r="Z1700" s="141" t="str">
        <f>IFERROR(__xludf.DUMMYFUNCTION("""COMPUTED_VALUE"""),"")</f>
        <v/>
      </c>
    </row>
    <row r="1701">
      <c r="D1701" s="136" t="str">
        <f t="shared" si="3"/>
        <v/>
      </c>
      <c r="E1701" s="152"/>
      <c r="F1701" s="106" t="s">
        <v>133</v>
      </c>
      <c r="G1701" s="152"/>
      <c r="H1701" s="106" t="s">
        <v>133</v>
      </c>
      <c r="J1701" s="139" t="s">
        <v>133</v>
      </c>
      <c r="K1701" s="136" t="s">
        <v>133</v>
      </c>
      <c r="L1701" s="153"/>
      <c r="M1701" s="136" t="str">
        <f t="shared" si="1"/>
        <v/>
      </c>
      <c r="O1701" s="141" t="s">
        <v>133</v>
      </c>
      <c r="P1701" s="136" t="str">
        <f>IFERROR(__xludf.DUMMYFUNCTION("""COMPUTED_VALUE"""),"")</f>
        <v/>
      </c>
      <c r="Q1701" s="136" t="str">
        <f>IFERROR(__xludf.DUMMYFUNCTION("""COMPUTED_VALUE"""),"")</f>
        <v/>
      </c>
      <c r="R1701" s="106" t="str">
        <f>IFERROR(__xludf.DUMMYFUNCTION("""COMPUTED_VALUE"""),"")</f>
        <v/>
      </c>
      <c r="S1701" s="106" t="str">
        <f>IFERROR(__xludf.DUMMYFUNCTION("""COMPUTED_VALUE"""),"")</f>
        <v/>
      </c>
      <c r="T1701" s="139" t="str">
        <f>IFERROR(__xludf.DUMMYFUNCTION("""COMPUTED_VALUE"""),"")</f>
        <v/>
      </c>
      <c r="U1701" s="139" t="str">
        <f>IFERROR(__xludf.DUMMYFUNCTION("""COMPUTED_VALUE"""),"")</f>
        <v/>
      </c>
      <c r="V1701" s="136" t="str">
        <f>IFERROR(__xludf.DUMMYFUNCTION("""COMPUTED_VALUE"""),"")</f>
        <v/>
      </c>
      <c r="W1701" s="106" t="str">
        <f>IFERROR(__xludf.DUMMYFUNCTION("""COMPUTED_VALUE"""),"")</f>
        <v/>
      </c>
      <c r="X1701" s="143" t="str">
        <f t="shared" si="2"/>
        <v/>
      </c>
      <c r="Y1701" s="139" t="str">
        <f>IFERROR(__xludf.DUMMYFUNCTION("""COMPUTED_VALUE"""),"")</f>
        <v/>
      </c>
      <c r="Z1701" s="141" t="str">
        <f>IFERROR(__xludf.DUMMYFUNCTION("""COMPUTED_VALUE"""),"")</f>
        <v/>
      </c>
    </row>
    <row r="1702">
      <c r="D1702" s="136" t="str">
        <f t="shared" si="3"/>
        <v/>
      </c>
      <c r="E1702" s="152"/>
      <c r="F1702" s="106" t="s">
        <v>133</v>
      </c>
      <c r="G1702" s="152"/>
      <c r="H1702" s="106" t="s">
        <v>133</v>
      </c>
      <c r="J1702" s="139" t="s">
        <v>133</v>
      </c>
      <c r="K1702" s="136" t="s">
        <v>133</v>
      </c>
      <c r="L1702" s="153"/>
      <c r="M1702" s="136" t="str">
        <f t="shared" si="1"/>
        <v/>
      </c>
      <c r="O1702" s="141" t="s">
        <v>133</v>
      </c>
      <c r="P1702" s="136" t="str">
        <f>IFERROR(__xludf.DUMMYFUNCTION("""COMPUTED_VALUE"""),"")</f>
        <v/>
      </c>
      <c r="Q1702" s="136" t="str">
        <f>IFERROR(__xludf.DUMMYFUNCTION("""COMPUTED_VALUE"""),"")</f>
        <v/>
      </c>
      <c r="R1702" s="106" t="str">
        <f>IFERROR(__xludf.DUMMYFUNCTION("""COMPUTED_VALUE"""),"")</f>
        <v/>
      </c>
      <c r="S1702" s="106" t="str">
        <f>IFERROR(__xludf.DUMMYFUNCTION("""COMPUTED_VALUE"""),"")</f>
        <v/>
      </c>
      <c r="T1702" s="139" t="str">
        <f>IFERROR(__xludf.DUMMYFUNCTION("""COMPUTED_VALUE"""),"")</f>
        <v/>
      </c>
      <c r="U1702" s="139" t="str">
        <f>IFERROR(__xludf.DUMMYFUNCTION("""COMPUTED_VALUE"""),"")</f>
        <v/>
      </c>
      <c r="V1702" s="136" t="str">
        <f>IFERROR(__xludf.DUMMYFUNCTION("""COMPUTED_VALUE"""),"")</f>
        <v/>
      </c>
      <c r="W1702" s="106" t="str">
        <f>IFERROR(__xludf.DUMMYFUNCTION("""COMPUTED_VALUE"""),"")</f>
        <v/>
      </c>
      <c r="X1702" s="143" t="str">
        <f t="shared" si="2"/>
        <v/>
      </c>
      <c r="Y1702" s="139" t="str">
        <f>IFERROR(__xludf.DUMMYFUNCTION("""COMPUTED_VALUE"""),"")</f>
        <v/>
      </c>
      <c r="Z1702" s="141" t="str">
        <f>IFERROR(__xludf.DUMMYFUNCTION("""COMPUTED_VALUE"""),"")</f>
        <v/>
      </c>
    </row>
    <row r="1703">
      <c r="D1703" s="136" t="str">
        <f t="shared" si="3"/>
        <v/>
      </c>
      <c r="E1703" s="152"/>
      <c r="F1703" s="106" t="s">
        <v>133</v>
      </c>
      <c r="G1703" s="152"/>
      <c r="H1703" s="106" t="s">
        <v>133</v>
      </c>
      <c r="J1703" s="139" t="s">
        <v>133</v>
      </c>
      <c r="K1703" s="136" t="s">
        <v>133</v>
      </c>
      <c r="L1703" s="153"/>
      <c r="M1703" s="136" t="str">
        <f t="shared" si="1"/>
        <v/>
      </c>
      <c r="O1703" s="141" t="s">
        <v>133</v>
      </c>
      <c r="P1703" s="136" t="str">
        <f>IFERROR(__xludf.DUMMYFUNCTION("""COMPUTED_VALUE"""),"")</f>
        <v/>
      </c>
      <c r="Q1703" s="136" t="str">
        <f>IFERROR(__xludf.DUMMYFUNCTION("""COMPUTED_VALUE"""),"")</f>
        <v/>
      </c>
      <c r="R1703" s="106" t="str">
        <f>IFERROR(__xludf.DUMMYFUNCTION("""COMPUTED_VALUE"""),"")</f>
        <v/>
      </c>
      <c r="S1703" s="106" t="str">
        <f>IFERROR(__xludf.DUMMYFUNCTION("""COMPUTED_VALUE"""),"")</f>
        <v/>
      </c>
      <c r="T1703" s="139" t="str">
        <f>IFERROR(__xludf.DUMMYFUNCTION("""COMPUTED_VALUE"""),"")</f>
        <v/>
      </c>
      <c r="U1703" s="139" t="str">
        <f>IFERROR(__xludf.DUMMYFUNCTION("""COMPUTED_VALUE"""),"")</f>
        <v/>
      </c>
      <c r="V1703" s="136" t="str">
        <f>IFERROR(__xludf.DUMMYFUNCTION("""COMPUTED_VALUE"""),"")</f>
        <v/>
      </c>
      <c r="W1703" s="106" t="str">
        <f>IFERROR(__xludf.DUMMYFUNCTION("""COMPUTED_VALUE"""),"")</f>
        <v/>
      </c>
      <c r="X1703" s="143" t="str">
        <f t="shared" si="2"/>
        <v/>
      </c>
      <c r="Y1703" s="139" t="str">
        <f>IFERROR(__xludf.DUMMYFUNCTION("""COMPUTED_VALUE"""),"")</f>
        <v/>
      </c>
      <c r="Z1703" s="141" t="str">
        <f>IFERROR(__xludf.DUMMYFUNCTION("""COMPUTED_VALUE"""),"")</f>
        <v/>
      </c>
    </row>
    <row r="1704">
      <c r="D1704" s="136" t="str">
        <f t="shared" si="3"/>
        <v/>
      </c>
      <c r="E1704" s="152"/>
      <c r="F1704" s="106" t="s">
        <v>133</v>
      </c>
      <c r="G1704" s="152"/>
      <c r="H1704" s="106" t="s">
        <v>133</v>
      </c>
      <c r="J1704" s="139" t="s">
        <v>133</v>
      </c>
      <c r="K1704" s="136" t="s">
        <v>133</v>
      </c>
      <c r="L1704" s="153"/>
      <c r="M1704" s="136" t="str">
        <f t="shared" si="1"/>
        <v/>
      </c>
      <c r="O1704" s="141" t="s">
        <v>133</v>
      </c>
      <c r="P1704" s="136" t="str">
        <f>IFERROR(__xludf.DUMMYFUNCTION("""COMPUTED_VALUE"""),"")</f>
        <v/>
      </c>
      <c r="Q1704" s="136" t="str">
        <f>IFERROR(__xludf.DUMMYFUNCTION("""COMPUTED_VALUE"""),"")</f>
        <v/>
      </c>
      <c r="R1704" s="106" t="str">
        <f>IFERROR(__xludf.DUMMYFUNCTION("""COMPUTED_VALUE"""),"")</f>
        <v/>
      </c>
      <c r="S1704" s="106" t="str">
        <f>IFERROR(__xludf.DUMMYFUNCTION("""COMPUTED_VALUE"""),"")</f>
        <v/>
      </c>
      <c r="T1704" s="139" t="str">
        <f>IFERROR(__xludf.DUMMYFUNCTION("""COMPUTED_VALUE"""),"")</f>
        <v/>
      </c>
      <c r="U1704" s="139" t="str">
        <f>IFERROR(__xludf.DUMMYFUNCTION("""COMPUTED_VALUE"""),"")</f>
        <v/>
      </c>
      <c r="V1704" s="136" t="str">
        <f>IFERROR(__xludf.DUMMYFUNCTION("""COMPUTED_VALUE"""),"")</f>
        <v/>
      </c>
      <c r="W1704" s="106" t="str">
        <f>IFERROR(__xludf.DUMMYFUNCTION("""COMPUTED_VALUE"""),"")</f>
        <v/>
      </c>
      <c r="X1704" s="143" t="str">
        <f t="shared" si="2"/>
        <v/>
      </c>
      <c r="Y1704" s="139" t="str">
        <f>IFERROR(__xludf.DUMMYFUNCTION("""COMPUTED_VALUE"""),"")</f>
        <v/>
      </c>
      <c r="Z1704" s="141" t="str">
        <f>IFERROR(__xludf.DUMMYFUNCTION("""COMPUTED_VALUE"""),"")</f>
        <v/>
      </c>
    </row>
    <row r="1705">
      <c r="D1705" s="136" t="str">
        <f t="shared" si="3"/>
        <v/>
      </c>
      <c r="E1705" s="152"/>
      <c r="F1705" s="106" t="s">
        <v>133</v>
      </c>
      <c r="G1705" s="152"/>
      <c r="H1705" s="106" t="s">
        <v>133</v>
      </c>
      <c r="J1705" s="139" t="s">
        <v>133</v>
      </c>
      <c r="K1705" s="136" t="s">
        <v>133</v>
      </c>
      <c r="L1705" s="153"/>
      <c r="M1705" s="136" t="str">
        <f t="shared" si="1"/>
        <v/>
      </c>
      <c r="O1705" s="141" t="s">
        <v>133</v>
      </c>
      <c r="P1705" s="136" t="str">
        <f>IFERROR(__xludf.DUMMYFUNCTION("""COMPUTED_VALUE"""),"")</f>
        <v/>
      </c>
      <c r="Q1705" s="136" t="str">
        <f>IFERROR(__xludf.DUMMYFUNCTION("""COMPUTED_VALUE"""),"")</f>
        <v/>
      </c>
      <c r="R1705" s="106" t="str">
        <f>IFERROR(__xludf.DUMMYFUNCTION("""COMPUTED_VALUE"""),"")</f>
        <v/>
      </c>
      <c r="S1705" s="106" t="str">
        <f>IFERROR(__xludf.DUMMYFUNCTION("""COMPUTED_VALUE"""),"")</f>
        <v/>
      </c>
      <c r="T1705" s="139" t="str">
        <f>IFERROR(__xludf.DUMMYFUNCTION("""COMPUTED_VALUE"""),"")</f>
        <v/>
      </c>
      <c r="U1705" s="139" t="str">
        <f>IFERROR(__xludf.DUMMYFUNCTION("""COMPUTED_VALUE"""),"")</f>
        <v/>
      </c>
      <c r="V1705" s="136" t="str">
        <f>IFERROR(__xludf.DUMMYFUNCTION("""COMPUTED_VALUE"""),"")</f>
        <v/>
      </c>
      <c r="W1705" s="106" t="str">
        <f>IFERROR(__xludf.DUMMYFUNCTION("""COMPUTED_VALUE"""),"")</f>
        <v/>
      </c>
      <c r="X1705" s="143" t="str">
        <f t="shared" si="2"/>
        <v/>
      </c>
      <c r="Y1705" s="139" t="str">
        <f>IFERROR(__xludf.DUMMYFUNCTION("""COMPUTED_VALUE"""),"")</f>
        <v/>
      </c>
      <c r="Z1705" s="141" t="str">
        <f>IFERROR(__xludf.DUMMYFUNCTION("""COMPUTED_VALUE"""),"")</f>
        <v/>
      </c>
    </row>
    <row r="1706">
      <c r="D1706" s="136" t="str">
        <f t="shared" si="3"/>
        <v/>
      </c>
      <c r="E1706" s="152"/>
      <c r="F1706" s="106" t="s">
        <v>133</v>
      </c>
      <c r="G1706" s="152"/>
      <c r="H1706" s="106" t="s">
        <v>133</v>
      </c>
      <c r="J1706" s="139" t="s">
        <v>133</v>
      </c>
      <c r="K1706" s="136" t="s">
        <v>133</v>
      </c>
      <c r="L1706" s="153"/>
      <c r="M1706" s="136" t="str">
        <f t="shared" si="1"/>
        <v/>
      </c>
      <c r="O1706" s="141" t="s">
        <v>133</v>
      </c>
      <c r="P1706" s="136" t="str">
        <f>IFERROR(__xludf.DUMMYFUNCTION("""COMPUTED_VALUE"""),"")</f>
        <v/>
      </c>
      <c r="Q1706" s="136" t="str">
        <f>IFERROR(__xludf.DUMMYFUNCTION("""COMPUTED_VALUE"""),"")</f>
        <v/>
      </c>
      <c r="R1706" s="106" t="str">
        <f>IFERROR(__xludf.DUMMYFUNCTION("""COMPUTED_VALUE"""),"")</f>
        <v/>
      </c>
      <c r="S1706" s="106" t="str">
        <f>IFERROR(__xludf.DUMMYFUNCTION("""COMPUTED_VALUE"""),"")</f>
        <v/>
      </c>
      <c r="T1706" s="139" t="str">
        <f>IFERROR(__xludf.DUMMYFUNCTION("""COMPUTED_VALUE"""),"")</f>
        <v/>
      </c>
      <c r="U1706" s="139" t="str">
        <f>IFERROR(__xludf.DUMMYFUNCTION("""COMPUTED_VALUE"""),"")</f>
        <v/>
      </c>
      <c r="V1706" s="136" t="str">
        <f>IFERROR(__xludf.DUMMYFUNCTION("""COMPUTED_VALUE"""),"")</f>
        <v/>
      </c>
      <c r="W1706" s="106" t="str">
        <f>IFERROR(__xludf.DUMMYFUNCTION("""COMPUTED_VALUE"""),"")</f>
        <v/>
      </c>
      <c r="X1706" s="143" t="str">
        <f t="shared" si="2"/>
        <v/>
      </c>
      <c r="Y1706" s="139" t="str">
        <f>IFERROR(__xludf.DUMMYFUNCTION("""COMPUTED_VALUE"""),"")</f>
        <v/>
      </c>
      <c r="Z1706" s="141" t="str">
        <f>IFERROR(__xludf.DUMMYFUNCTION("""COMPUTED_VALUE"""),"")</f>
        <v/>
      </c>
    </row>
    <row r="1707">
      <c r="D1707" s="136" t="str">
        <f t="shared" si="3"/>
        <v/>
      </c>
      <c r="E1707" s="152"/>
      <c r="F1707" s="106" t="s">
        <v>133</v>
      </c>
      <c r="G1707" s="152"/>
      <c r="H1707" s="106" t="s">
        <v>133</v>
      </c>
      <c r="J1707" s="139" t="s">
        <v>133</v>
      </c>
      <c r="K1707" s="136" t="s">
        <v>133</v>
      </c>
      <c r="L1707" s="153"/>
      <c r="M1707" s="136" t="str">
        <f t="shared" si="1"/>
        <v/>
      </c>
      <c r="O1707" s="141" t="s">
        <v>133</v>
      </c>
      <c r="P1707" s="136" t="str">
        <f>IFERROR(__xludf.DUMMYFUNCTION("""COMPUTED_VALUE"""),"")</f>
        <v/>
      </c>
      <c r="Q1707" s="136" t="str">
        <f>IFERROR(__xludf.DUMMYFUNCTION("""COMPUTED_VALUE"""),"")</f>
        <v/>
      </c>
      <c r="R1707" s="106" t="str">
        <f>IFERROR(__xludf.DUMMYFUNCTION("""COMPUTED_VALUE"""),"")</f>
        <v/>
      </c>
      <c r="S1707" s="106" t="str">
        <f>IFERROR(__xludf.DUMMYFUNCTION("""COMPUTED_VALUE"""),"")</f>
        <v/>
      </c>
      <c r="T1707" s="139" t="str">
        <f>IFERROR(__xludf.DUMMYFUNCTION("""COMPUTED_VALUE"""),"")</f>
        <v/>
      </c>
      <c r="U1707" s="139" t="str">
        <f>IFERROR(__xludf.DUMMYFUNCTION("""COMPUTED_VALUE"""),"")</f>
        <v/>
      </c>
      <c r="V1707" s="136" t="str">
        <f>IFERROR(__xludf.DUMMYFUNCTION("""COMPUTED_VALUE"""),"")</f>
        <v/>
      </c>
      <c r="W1707" s="106" t="str">
        <f>IFERROR(__xludf.DUMMYFUNCTION("""COMPUTED_VALUE"""),"")</f>
        <v/>
      </c>
      <c r="X1707" s="143" t="str">
        <f t="shared" si="2"/>
        <v/>
      </c>
      <c r="Y1707" s="139" t="str">
        <f>IFERROR(__xludf.DUMMYFUNCTION("""COMPUTED_VALUE"""),"")</f>
        <v/>
      </c>
      <c r="Z1707" s="141" t="str">
        <f>IFERROR(__xludf.DUMMYFUNCTION("""COMPUTED_VALUE"""),"")</f>
        <v/>
      </c>
    </row>
    <row r="1708">
      <c r="D1708" s="136" t="str">
        <f t="shared" si="3"/>
        <v/>
      </c>
      <c r="E1708" s="152"/>
      <c r="F1708" s="106" t="s">
        <v>133</v>
      </c>
      <c r="G1708" s="152"/>
      <c r="H1708" s="106" t="s">
        <v>133</v>
      </c>
      <c r="J1708" s="139" t="s">
        <v>133</v>
      </c>
      <c r="K1708" s="136" t="s">
        <v>133</v>
      </c>
      <c r="L1708" s="153"/>
      <c r="M1708" s="136" t="str">
        <f t="shared" si="1"/>
        <v/>
      </c>
      <c r="O1708" s="141" t="s">
        <v>133</v>
      </c>
      <c r="P1708" s="136" t="str">
        <f>IFERROR(__xludf.DUMMYFUNCTION("""COMPUTED_VALUE"""),"")</f>
        <v/>
      </c>
      <c r="Q1708" s="136" t="str">
        <f>IFERROR(__xludf.DUMMYFUNCTION("""COMPUTED_VALUE"""),"")</f>
        <v/>
      </c>
      <c r="R1708" s="106" t="str">
        <f>IFERROR(__xludf.DUMMYFUNCTION("""COMPUTED_VALUE"""),"")</f>
        <v/>
      </c>
      <c r="S1708" s="106" t="str">
        <f>IFERROR(__xludf.DUMMYFUNCTION("""COMPUTED_VALUE"""),"")</f>
        <v/>
      </c>
      <c r="T1708" s="139" t="str">
        <f>IFERROR(__xludf.DUMMYFUNCTION("""COMPUTED_VALUE"""),"")</f>
        <v/>
      </c>
      <c r="U1708" s="139" t="str">
        <f>IFERROR(__xludf.DUMMYFUNCTION("""COMPUTED_VALUE"""),"")</f>
        <v/>
      </c>
      <c r="V1708" s="136" t="str">
        <f>IFERROR(__xludf.DUMMYFUNCTION("""COMPUTED_VALUE"""),"")</f>
        <v/>
      </c>
      <c r="W1708" s="106" t="str">
        <f>IFERROR(__xludf.DUMMYFUNCTION("""COMPUTED_VALUE"""),"")</f>
        <v/>
      </c>
      <c r="X1708" s="143" t="str">
        <f t="shared" si="2"/>
        <v/>
      </c>
      <c r="Y1708" s="139" t="str">
        <f>IFERROR(__xludf.DUMMYFUNCTION("""COMPUTED_VALUE"""),"")</f>
        <v/>
      </c>
      <c r="Z1708" s="141" t="str">
        <f>IFERROR(__xludf.DUMMYFUNCTION("""COMPUTED_VALUE"""),"")</f>
        <v/>
      </c>
    </row>
    <row r="1709">
      <c r="D1709" s="136" t="str">
        <f t="shared" si="3"/>
        <v/>
      </c>
      <c r="E1709" s="152"/>
      <c r="F1709" s="106" t="s">
        <v>133</v>
      </c>
      <c r="G1709" s="152"/>
      <c r="H1709" s="106" t="s">
        <v>133</v>
      </c>
      <c r="J1709" s="139" t="s">
        <v>133</v>
      </c>
      <c r="K1709" s="136" t="s">
        <v>133</v>
      </c>
      <c r="L1709" s="153"/>
      <c r="M1709" s="136" t="str">
        <f t="shared" si="1"/>
        <v/>
      </c>
      <c r="O1709" s="141" t="s">
        <v>133</v>
      </c>
      <c r="P1709" s="136" t="str">
        <f>IFERROR(__xludf.DUMMYFUNCTION("""COMPUTED_VALUE"""),"")</f>
        <v/>
      </c>
      <c r="Q1709" s="136" t="str">
        <f>IFERROR(__xludf.DUMMYFUNCTION("""COMPUTED_VALUE"""),"")</f>
        <v/>
      </c>
      <c r="R1709" s="106" t="str">
        <f>IFERROR(__xludf.DUMMYFUNCTION("""COMPUTED_VALUE"""),"")</f>
        <v/>
      </c>
      <c r="S1709" s="106" t="str">
        <f>IFERROR(__xludf.DUMMYFUNCTION("""COMPUTED_VALUE"""),"")</f>
        <v/>
      </c>
      <c r="T1709" s="139" t="str">
        <f>IFERROR(__xludf.DUMMYFUNCTION("""COMPUTED_VALUE"""),"")</f>
        <v/>
      </c>
      <c r="U1709" s="139" t="str">
        <f>IFERROR(__xludf.DUMMYFUNCTION("""COMPUTED_VALUE"""),"")</f>
        <v/>
      </c>
      <c r="V1709" s="136" t="str">
        <f>IFERROR(__xludf.DUMMYFUNCTION("""COMPUTED_VALUE"""),"")</f>
        <v/>
      </c>
      <c r="W1709" s="106" t="str">
        <f>IFERROR(__xludf.DUMMYFUNCTION("""COMPUTED_VALUE"""),"")</f>
        <v/>
      </c>
      <c r="X1709" s="143" t="str">
        <f t="shared" si="2"/>
        <v/>
      </c>
      <c r="Y1709" s="139" t="str">
        <f>IFERROR(__xludf.DUMMYFUNCTION("""COMPUTED_VALUE"""),"")</f>
        <v/>
      </c>
      <c r="Z1709" s="141" t="str">
        <f>IFERROR(__xludf.DUMMYFUNCTION("""COMPUTED_VALUE"""),"")</f>
        <v/>
      </c>
    </row>
    <row r="1710">
      <c r="D1710" s="136" t="str">
        <f t="shared" si="3"/>
        <v/>
      </c>
      <c r="E1710" s="152"/>
      <c r="F1710" s="106" t="s">
        <v>133</v>
      </c>
      <c r="G1710" s="152"/>
      <c r="H1710" s="106" t="s">
        <v>133</v>
      </c>
      <c r="J1710" s="139" t="s">
        <v>133</v>
      </c>
      <c r="K1710" s="136" t="s">
        <v>133</v>
      </c>
      <c r="L1710" s="153"/>
      <c r="M1710" s="136" t="str">
        <f t="shared" si="1"/>
        <v/>
      </c>
      <c r="O1710" s="141" t="s">
        <v>133</v>
      </c>
      <c r="P1710" s="136" t="str">
        <f>IFERROR(__xludf.DUMMYFUNCTION("""COMPUTED_VALUE"""),"")</f>
        <v/>
      </c>
      <c r="Q1710" s="136" t="str">
        <f>IFERROR(__xludf.DUMMYFUNCTION("""COMPUTED_VALUE"""),"")</f>
        <v/>
      </c>
      <c r="R1710" s="106" t="str">
        <f>IFERROR(__xludf.DUMMYFUNCTION("""COMPUTED_VALUE"""),"")</f>
        <v/>
      </c>
      <c r="S1710" s="106" t="str">
        <f>IFERROR(__xludf.DUMMYFUNCTION("""COMPUTED_VALUE"""),"")</f>
        <v/>
      </c>
      <c r="T1710" s="139" t="str">
        <f>IFERROR(__xludf.DUMMYFUNCTION("""COMPUTED_VALUE"""),"")</f>
        <v/>
      </c>
      <c r="U1710" s="139" t="str">
        <f>IFERROR(__xludf.DUMMYFUNCTION("""COMPUTED_VALUE"""),"")</f>
        <v/>
      </c>
      <c r="V1710" s="136" t="str">
        <f>IFERROR(__xludf.DUMMYFUNCTION("""COMPUTED_VALUE"""),"")</f>
        <v/>
      </c>
      <c r="W1710" s="106" t="str">
        <f>IFERROR(__xludf.DUMMYFUNCTION("""COMPUTED_VALUE"""),"")</f>
        <v/>
      </c>
      <c r="X1710" s="143" t="str">
        <f t="shared" si="2"/>
        <v/>
      </c>
      <c r="Y1710" s="139" t="str">
        <f>IFERROR(__xludf.DUMMYFUNCTION("""COMPUTED_VALUE"""),"")</f>
        <v/>
      </c>
      <c r="Z1710" s="141" t="str">
        <f>IFERROR(__xludf.DUMMYFUNCTION("""COMPUTED_VALUE"""),"")</f>
        <v/>
      </c>
    </row>
    <row r="1711">
      <c r="D1711" s="136" t="str">
        <f t="shared" si="3"/>
        <v/>
      </c>
      <c r="E1711" s="152"/>
      <c r="F1711" s="106" t="s">
        <v>133</v>
      </c>
      <c r="G1711" s="152"/>
      <c r="H1711" s="106" t="s">
        <v>133</v>
      </c>
      <c r="J1711" s="139" t="s">
        <v>133</v>
      </c>
      <c r="K1711" s="136" t="s">
        <v>133</v>
      </c>
      <c r="L1711" s="153"/>
      <c r="M1711" s="136" t="str">
        <f t="shared" si="1"/>
        <v/>
      </c>
      <c r="O1711" s="141" t="s">
        <v>133</v>
      </c>
      <c r="P1711" s="136" t="str">
        <f>IFERROR(__xludf.DUMMYFUNCTION("""COMPUTED_VALUE"""),"")</f>
        <v/>
      </c>
      <c r="Q1711" s="136" t="str">
        <f>IFERROR(__xludf.DUMMYFUNCTION("""COMPUTED_VALUE"""),"")</f>
        <v/>
      </c>
      <c r="R1711" s="106" t="str">
        <f>IFERROR(__xludf.DUMMYFUNCTION("""COMPUTED_VALUE"""),"")</f>
        <v/>
      </c>
      <c r="S1711" s="106" t="str">
        <f>IFERROR(__xludf.DUMMYFUNCTION("""COMPUTED_VALUE"""),"")</f>
        <v/>
      </c>
      <c r="T1711" s="139" t="str">
        <f>IFERROR(__xludf.DUMMYFUNCTION("""COMPUTED_VALUE"""),"")</f>
        <v/>
      </c>
      <c r="U1711" s="139" t="str">
        <f>IFERROR(__xludf.DUMMYFUNCTION("""COMPUTED_VALUE"""),"")</f>
        <v/>
      </c>
      <c r="V1711" s="136" t="str">
        <f>IFERROR(__xludf.DUMMYFUNCTION("""COMPUTED_VALUE"""),"")</f>
        <v/>
      </c>
      <c r="W1711" s="106" t="str">
        <f>IFERROR(__xludf.DUMMYFUNCTION("""COMPUTED_VALUE"""),"")</f>
        <v/>
      </c>
      <c r="X1711" s="143" t="str">
        <f t="shared" si="2"/>
        <v/>
      </c>
      <c r="Y1711" s="139" t="str">
        <f>IFERROR(__xludf.DUMMYFUNCTION("""COMPUTED_VALUE"""),"")</f>
        <v/>
      </c>
      <c r="Z1711" s="141" t="str">
        <f>IFERROR(__xludf.DUMMYFUNCTION("""COMPUTED_VALUE"""),"")</f>
        <v/>
      </c>
    </row>
    <row r="1712">
      <c r="D1712" s="136" t="str">
        <f t="shared" si="3"/>
        <v/>
      </c>
      <c r="E1712" s="152"/>
      <c r="F1712" s="106" t="s">
        <v>133</v>
      </c>
      <c r="G1712" s="152"/>
      <c r="H1712" s="106" t="s">
        <v>133</v>
      </c>
      <c r="J1712" s="139" t="s">
        <v>133</v>
      </c>
      <c r="K1712" s="136" t="s">
        <v>133</v>
      </c>
      <c r="L1712" s="153"/>
      <c r="M1712" s="136" t="str">
        <f t="shared" si="1"/>
        <v/>
      </c>
      <c r="O1712" s="141" t="s">
        <v>133</v>
      </c>
      <c r="P1712" s="136" t="str">
        <f>IFERROR(__xludf.DUMMYFUNCTION("""COMPUTED_VALUE"""),"")</f>
        <v/>
      </c>
      <c r="Q1712" s="136" t="str">
        <f>IFERROR(__xludf.DUMMYFUNCTION("""COMPUTED_VALUE"""),"")</f>
        <v/>
      </c>
      <c r="R1712" s="106" t="str">
        <f>IFERROR(__xludf.DUMMYFUNCTION("""COMPUTED_VALUE"""),"")</f>
        <v/>
      </c>
      <c r="S1712" s="106" t="str">
        <f>IFERROR(__xludf.DUMMYFUNCTION("""COMPUTED_VALUE"""),"")</f>
        <v/>
      </c>
      <c r="T1712" s="139" t="str">
        <f>IFERROR(__xludf.DUMMYFUNCTION("""COMPUTED_VALUE"""),"")</f>
        <v/>
      </c>
      <c r="U1712" s="139" t="str">
        <f>IFERROR(__xludf.DUMMYFUNCTION("""COMPUTED_VALUE"""),"")</f>
        <v/>
      </c>
      <c r="V1712" s="136" t="str">
        <f>IFERROR(__xludf.DUMMYFUNCTION("""COMPUTED_VALUE"""),"")</f>
        <v/>
      </c>
      <c r="W1712" s="106" t="str">
        <f>IFERROR(__xludf.DUMMYFUNCTION("""COMPUTED_VALUE"""),"")</f>
        <v/>
      </c>
      <c r="X1712" s="143" t="str">
        <f t="shared" si="2"/>
        <v/>
      </c>
      <c r="Y1712" s="139" t="str">
        <f>IFERROR(__xludf.DUMMYFUNCTION("""COMPUTED_VALUE"""),"")</f>
        <v/>
      </c>
      <c r="Z1712" s="141" t="str">
        <f>IFERROR(__xludf.DUMMYFUNCTION("""COMPUTED_VALUE"""),"")</f>
        <v/>
      </c>
    </row>
    <row r="1713">
      <c r="D1713" s="136" t="str">
        <f t="shared" si="3"/>
        <v/>
      </c>
      <c r="E1713" s="152"/>
      <c r="F1713" s="106" t="s">
        <v>133</v>
      </c>
      <c r="G1713" s="152"/>
      <c r="H1713" s="106" t="s">
        <v>133</v>
      </c>
      <c r="J1713" s="139" t="s">
        <v>133</v>
      </c>
      <c r="K1713" s="136" t="s">
        <v>133</v>
      </c>
      <c r="L1713" s="153"/>
      <c r="M1713" s="136" t="str">
        <f t="shared" si="1"/>
        <v/>
      </c>
      <c r="O1713" s="141" t="s">
        <v>133</v>
      </c>
      <c r="P1713" s="136" t="str">
        <f>IFERROR(__xludf.DUMMYFUNCTION("""COMPUTED_VALUE"""),"")</f>
        <v/>
      </c>
      <c r="Q1713" s="136" t="str">
        <f>IFERROR(__xludf.DUMMYFUNCTION("""COMPUTED_VALUE"""),"")</f>
        <v/>
      </c>
      <c r="R1713" s="106" t="str">
        <f>IFERROR(__xludf.DUMMYFUNCTION("""COMPUTED_VALUE"""),"")</f>
        <v/>
      </c>
      <c r="S1713" s="106" t="str">
        <f>IFERROR(__xludf.DUMMYFUNCTION("""COMPUTED_VALUE"""),"")</f>
        <v/>
      </c>
      <c r="T1713" s="139" t="str">
        <f>IFERROR(__xludf.DUMMYFUNCTION("""COMPUTED_VALUE"""),"")</f>
        <v/>
      </c>
      <c r="U1713" s="139" t="str">
        <f>IFERROR(__xludf.DUMMYFUNCTION("""COMPUTED_VALUE"""),"")</f>
        <v/>
      </c>
      <c r="V1713" s="136" t="str">
        <f>IFERROR(__xludf.DUMMYFUNCTION("""COMPUTED_VALUE"""),"")</f>
        <v/>
      </c>
      <c r="W1713" s="106" t="str">
        <f>IFERROR(__xludf.DUMMYFUNCTION("""COMPUTED_VALUE"""),"")</f>
        <v/>
      </c>
      <c r="X1713" s="143" t="str">
        <f t="shared" si="2"/>
        <v/>
      </c>
      <c r="Y1713" s="139" t="str">
        <f>IFERROR(__xludf.DUMMYFUNCTION("""COMPUTED_VALUE"""),"")</f>
        <v/>
      </c>
      <c r="Z1713" s="141" t="str">
        <f>IFERROR(__xludf.DUMMYFUNCTION("""COMPUTED_VALUE"""),"")</f>
        <v/>
      </c>
    </row>
    <row r="1714">
      <c r="D1714" s="136" t="str">
        <f t="shared" si="3"/>
        <v/>
      </c>
      <c r="E1714" s="152"/>
      <c r="F1714" s="106" t="s">
        <v>133</v>
      </c>
      <c r="G1714" s="152"/>
      <c r="H1714" s="106" t="s">
        <v>133</v>
      </c>
      <c r="J1714" s="139" t="s">
        <v>133</v>
      </c>
      <c r="K1714" s="136" t="s">
        <v>133</v>
      </c>
      <c r="L1714" s="153"/>
      <c r="M1714" s="136" t="str">
        <f t="shared" si="1"/>
        <v/>
      </c>
      <c r="O1714" s="141" t="s">
        <v>133</v>
      </c>
      <c r="P1714" s="136" t="str">
        <f>IFERROR(__xludf.DUMMYFUNCTION("""COMPUTED_VALUE"""),"")</f>
        <v/>
      </c>
      <c r="Q1714" s="136" t="str">
        <f>IFERROR(__xludf.DUMMYFUNCTION("""COMPUTED_VALUE"""),"")</f>
        <v/>
      </c>
      <c r="R1714" s="106" t="str">
        <f>IFERROR(__xludf.DUMMYFUNCTION("""COMPUTED_VALUE"""),"")</f>
        <v/>
      </c>
      <c r="S1714" s="106" t="str">
        <f>IFERROR(__xludf.DUMMYFUNCTION("""COMPUTED_VALUE"""),"")</f>
        <v/>
      </c>
      <c r="T1714" s="139" t="str">
        <f>IFERROR(__xludf.DUMMYFUNCTION("""COMPUTED_VALUE"""),"")</f>
        <v/>
      </c>
      <c r="U1714" s="139" t="str">
        <f>IFERROR(__xludf.DUMMYFUNCTION("""COMPUTED_VALUE"""),"")</f>
        <v/>
      </c>
      <c r="V1714" s="136" t="str">
        <f>IFERROR(__xludf.DUMMYFUNCTION("""COMPUTED_VALUE"""),"")</f>
        <v/>
      </c>
      <c r="W1714" s="106" t="str">
        <f>IFERROR(__xludf.DUMMYFUNCTION("""COMPUTED_VALUE"""),"")</f>
        <v/>
      </c>
      <c r="X1714" s="143" t="str">
        <f t="shared" si="2"/>
        <v/>
      </c>
      <c r="Y1714" s="139" t="str">
        <f>IFERROR(__xludf.DUMMYFUNCTION("""COMPUTED_VALUE"""),"")</f>
        <v/>
      </c>
      <c r="Z1714" s="141" t="str">
        <f>IFERROR(__xludf.DUMMYFUNCTION("""COMPUTED_VALUE"""),"")</f>
        <v/>
      </c>
    </row>
    <row r="1715">
      <c r="D1715" s="136" t="str">
        <f t="shared" si="3"/>
        <v/>
      </c>
      <c r="E1715" s="152"/>
      <c r="F1715" s="106" t="s">
        <v>133</v>
      </c>
      <c r="G1715" s="152"/>
      <c r="H1715" s="106" t="s">
        <v>133</v>
      </c>
      <c r="J1715" s="139" t="s">
        <v>133</v>
      </c>
      <c r="K1715" s="136" t="s">
        <v>133</v>
      </c>
      <c r="L1715" s="153"/>
      <c r="M1715" s="136" t="str">
        <f t="shared" si="1"/>
        <v/>
      </c>
      <c r="O1715" s="141" t="s">
        <v>133</v>
      </c>
      <c r="P1715" s="136" t="str">
        <f>IFERROR(__xludf.DUMMYFUNCTION("""COMPUTED_VALUE"""),"")</f>
        <v/>
      </c>
      <c r="Q1715" s="136" t="str">
        <f>IFERROR(__xludf.DUMMYFUNCTION("""COMPUTED_VALUE"""),"")</f>
        <v/>
      </c>
      <c r="R1715" s="106" t="str">
        <f>IFERROR(__xludf.DUMMYFUNCTION("""COMPUTED_VALUE"""),"")</f>
        <v/>
      </c>
      <c r="S1715" s="106" t="str">
        <f>IFERROR(__xludf.DUMMYFUNCTION("""COMPUTED_VALUE"""),"")</f>
        <v/>
      </c>
      <c r="T1715" s="139" t="str">
        <f>IFERROR(__xludf.DUMMYFUNCTION("""COMPUTED_VALUE"""),"")</f>
        <v/>
      </c>
      <c r="U1715" s="139" t="str">
        <f>IFERROR(__xludf.DUMMYFUNCTION("""COMPUTED_VALUE"""),"")</f>
        <v/>
      </c>
      <c r="V1715" s="136" t="str">
        <f>IFERROR(__xludf.DUMMYFUNCTION("""COMPUTED_VALUE"""),"")</f>
        <v/>
      </c>
      <c r="W1715" s="106" t="str">
        <f>IFERROR(__xludf.DUMMYFUNCTION("""COMPUTED_VALUE"""),"")</f>
        <v/>
      </c>
      <c r="X1715" s="143" t="str">
        <f t="shared" si="2"/>
        <v/>
      </c>
      <c r="Y1715" s="139" t="str">
        <f>IFERROR(__xludf.DUMMYFUNCTION("""COMPUTED_VALUE"""),"")</f>
        <v/>
      </c>
      <c r="Z1715" s="141" t="str">
        <f>IFERROR(__xludf.DUMMYFUNCTION("""COMPUTED_VALUE"""),"")</f>
        <v/>
      </c>
    </row>
    <row r="1716">
      <c r="D1716" s="136" t="str">
        <f t="shared" si="3"/>
        <v/>
      </c>
      <c r="E1716" s="152"/>
      <c r="F1716" s="106" t="s">
        <v>133</v>
      </c>
      <c r="G1716" s="152"/>
      <c r="H1716" s="106" t="s">
        <v>133</v>
      </c>
      <c r="J1716" s="139" t="s">
        <v>133</v>
      </c>
      <c r="K1716" s="136" t="s">
        <v>133</v>
      </c>
      <c r="L1716" s="153"/>
      <c r="M1716" s="136" t="str">
        <f t="shared" si="1"/>
        <v/>
      </c>
      <c r="O1716" s="141" t="s">
        <v>133</v>
      </c>
      <c r="P1716" s="136" t="str">
        <f>IFERROR(__xludf.DUMMYFUNCTION("""COMPUTED_VALUE"""),"")</f>
        <v/>
      </c>
      <c r="Q1716" s="136" t="str">
        <f>IFERROR(__xludf.DUMMYFUNCTION("""COMPUTED_VALUE"""),"")</f>
        <v/>
      </c>
      <c r="R1716" s="106" t="str">
        <f>IFERROR(__xludf.DUMMYFUNCTION("""COMPUTED_VALUE"""),"")</f>
        <v/>
      </c>
      <c r="S1716" s="106" t="str">
        <f>IFERROR(__xludf.DUMMYFUNCTION("""COMPUTED_VALUE"""),"")</f>
        <v/>
      </c>
      <c r="T1716" s="139" t="str">
        <f>IFERROR(__xludf.DUMMYFUNCTION("""COMPUTED_VALUE"""),"")</f>
        <v/>
      </c>
      <c r="U1716" s="139" t="str">
        <f>IFERROR(__xludf.DUMMYFUNCTION("""COMPUTED_VALUE"""),"")</f>
        <v/>
      </c>
      <c r="V1716" s="136" t="str">
        <f>IFERROR(__xludf.DUMMYFUNCTION("""COMPUTED_VALUE"""),"")</f>
        <v/>
      </c>
      <c r="W1716" s="106" t="str">
        <f>IFERROR(__xludf.DUMMYFUNCTION("""COMPUTED_VALUE"""),"")</f>
        <v/>
      </c>
      <c r="X1716" s="143" t="str">
        <f t="shared" si="2"/>
        <v/>
      </c>
      <c r="Y1716" s="139" t="str">
        <f>IFERROR(__xludf.DUMMYFUNCTION("""COMPUTED_VALUE"""),"")</f>
        <v/>
      </c>
      <c r="Z1716" s="141" t="str">
        <f>IFERROR(__xludf.DUMMYFUNCTION("""COMPUTED_VALUE"""),"")</f>
        <v/>
      </c>
    </row>
    <row r="1717">
      <c r="D1717" s="136" t="str">
        <f t="shared" si="3"/>
        <v/>
      </c>
      <c r="E1717" s="152"/>
      <c r="F1717" s="106" t="s">
        <v>133</v>
      </c>
      <c r="G1717" s="152"/>
      <c r="H1717" s="106" t="s">
        <v>133</v>
      </c>
      <c r="J1717" s="139" t="s">
        <v>133</v>
      </c>
      <c r="K1717" s="136" t="s">
        <v>133</v>
      </c>
      <c r="L1717" s="153"/>
      <c r="M1717" s="136" t="str">
        <f t="shared" si="1"/>
        <v/>
      </c>
      <c r="O1717" s="141" t="s">
        <v>133</v>
      </c>
      <c r="P1717" s="136" t="str">
        <f>IFERROR(__xludf.DUMMYFUNCTION("""COMPUTED_VALUE"""),"")</f>
        <v/>
      </c>
      <c r="Q1717" s="136" t="str">
        <f>IFERROR(__xludf.DUMMYFUNCTION("""COMPUTED_VALUE"""),"")</f>
        <v/>
      </c>
      <c r="R1717" s="106" t="str">
        <f>IFERROR(__xludf.DUMMYFUNCTION("""COMPUTED_VALUE"""),"")</f>
        <v/>
      </c>
      <c r="S1717" s="106" t="str">
        <f>IFERROR(__xludf.DUMMYFUNCTION("""COMPUTED_VALUE"""),"")</f>
        <v/>
      </c>
      <c r="T1717" s="139" t="str">
        <f>IFERROR(__xludf.DUMMYFUNCTION("""COMPUTED_VALUE"""),"")</f>
        <v/>
      </c>
      <c r="U1717" s="139" t="str">
        <f>IFERROR(__xludf.DUMMYFUNCTION("""COMPUTED_VALUE"""),"")</f>
        <v/>
      </c>
      <c r="V1717" s="136" t="str">
        <f>IFERROR(__xludf.DUMMYFUNCTION("""COMPUTED_VALUE"""),"")</f>
        <v/>
      </c>
      <c r="W1717" s="106" t="str">
        <f>IFERROR(__xludf.DUMMYFUNCTION("""COMPUTED_VALUE"""),"")</f>
        <v/>
      </c>
      <c r="X1717" s="143" t="str">
        <f t="shared" si="2"/>
        <v/>
      </c>
      <c r="Y1717" s="139" t="str">
        <f>IFERROR(__xludf.DUMMYFUNCTION("""COMPUTED_VALUE"""),"")</f>
        <v/>
      </c>
      <c r="Z1717" s="141" t="str">
        <f>IFERROR(__xludf.DUMMYFUNCTION("""COMPUTED_VALUE"""),"")</f>
        <v/>
      </c>
    </row>
    <row r="1718">
      <c r="D1718" s="136" t="str">
        <f t="shared" si="3"/>
        <v/>
      </c>
      <c r="E1718" s="152"/>
      <c r="F1718" s="106" t="s">
        <v>133</v>
      </c>
      <c r="G1718" s="152"/>
      <c r="H1718" s="106" t="s">
        <v>133</v>
      </c>
      <c r="J1718" s="139" t="s">
        <v>133</v>
      </c>
      <c r="K1718" s="136" t="s">
        <v>133</v>
      </c>
      <c r="L1718" s="153"/>
      <c r="M1718" s="136" t="str">
        <f t="shared" si="1"/>
        <v/>
      </c>
      <c r="O1718" s="141" t="s">
        <v>133</v>
      </c>
      <c r="P1718" s="136" t="str">
        <f>IFERROR(__xludf.DUMMYFUNCTION("""COMPUTED_VALUE"""),"")</f>
        <v/>
      </c>
      <c r="Q1718" s="136" t="str">
        <f>IFERROR(__xludf.DUMMYFUNCTION("""COMPUTED_VALUE"""),"")</f>
        <v/>
      </c>
      <c r="R1718" s="106" t="str">
        <f>IFERROR(__xludf.DUMMYFUNCTION("""COMPUTED_VALUE"""),"")</f>
        <v/>
      </c>
      <c r="S1718" s="106" t="str">
        <f>IFERROR(__xludf.DUMMYFUNCTION("""COMPUTED_VALUE"""),"")</f>
        <v/>
      </c>
      <c r="T1718" s="139" t="str">
        <f>IFERROR(__xludf.DUMMYFUNCTION("""COMPUTED_VALUE"""),"")</f>
        <v/>
      </c>
      <c r="U1718" s="139" t="str">
        <f>IFERROR(__xludf.DUMMYFUNCTION("""COMPUTED_VALUE"""),"")</f>
        <v/>
      </c>
      <c r="V1718" s="136" t="str">
        <f>IFERROR(__xludf.DUMMYFUNCTION("""COMPUTED_VALUE"""),"")</f>
        <v/>
      </c>
      <c r="W1718" s="106" t="str">
        <f>IFERROR(__xludf.DUMMYFUNCTION("""COMPUTED_VALUE"""),"")</f>
        <v/>
      </c>
      <c r="X1718" s="143" t="str">
        <f t="shared" si="2"/>
        <v/>
      </c>
      <c r="Y1718" s="139" t="str">
        <f>IFERROR(__xludf.DUMMYFUNCTION("""COMPUTED_VALUE"""),"")</f>
        <v/>
      </c>
      <c r="Z1718" s="141" t="str">
        <f>IFERROR(__xludf.DUMMYFUNCTION("""COMPUTED_VALUE"""),"")</f>
        <v/>
      </c>
    </row>
    <row r="1719">
      <c r="D1719" s="136" t="str">
        <f t="shared" si="3"/>
        <v/>
      </c>
      <c r="E1719" s="152"/>
      <c r="F1719" s="106" t="s">
        <v>133</v>
      </c>
      <c r="G1719" s="152"/>
      <c r="H1719" s="106" t="s">
        <v>133</v>
      </c>
      <c r="J1719" s="139" t="s">
        <v>133</v>
      </c>
      <c r="K1719" s="136" t="s">
        <v>133</v>
      </c>
      <c r="L1719" s="153"/>
      <c r="M1719" s="136" t="str">
        <f t="shared" si="1"/>
        <v/>
      </c>
      <c r="O1719" s="141" t="s">
        <v>133</v>
      </c>
      <c r="P1719" s="136" t="str">
        <f>IFERROR(__xludf.DUMMYFUNCTION("""COMPUTED_VALUE"""),"")</f>
        <v/>
      </c>
      <c r="Q1719" s="136" t="str">
        <f>IFERROR(__xludf.DUMMYFUNCTION("""COMPUTED_VALUE"""),"")</f>
        <v/>
      </c>
      <c r="R1719" s="106" t="str">
        <f>IFERROR(__xludf.DUMMYFUNCTION("""COMPUTED_VALUE"""),"")</f>
        <v/>
      </c>
      <c r="S1719" s="106" t="str">
        <f>IFERROR(__xludf.DUMMYFUNCTION("""COMPUTED_VALUE"""),"")</f>
        <v/>
      </c>
      <c r="T1719" s="139" t="str">
        <f>IFERROR(__xludf.DUMMYFUNCTION("""COMPUTED_VALUE"""),"")</f>
        <v/>
      </c>
      <c r="U1719" s="139" t="str">
        <f>IFERROR(__xludf.DUMMYFUNCTION("""COMPUTED_VALUE"""),"")</f>
        <v/>
      </c>
      <c r="V1719" s="136" t="str">
        <f>IFERROR(__xludf.DUMMYFUNCTION("""COMPUTED_VALUE"""),"")</f>
        <v/>
      </c>
      <c r="W1719" s="106" t="str">
        <f>IFERROR(__xludf.DUMMYFUNCTION("""COMPUTED_VALUE"""),"")</f>
        <v/>
      </c>
      <c r="X1719" s="143" t="str">
        <f t="shared" si="2"/>
        <v/>
      </c>
      <c r="Y1719" s="139" t="str">
        <f>IFERROR(__xludf.DUMMYFUNCTION("""COMPUTED_VALUE"""),"")</f>
        <v/>
      </c>
      <c r="Z1719" s="141" t="str">
        <f>IFERROR(__xludf.DUMMYFUNCTION("""COMPUTED_VALUE"""),"")</f>
        <v/>
      </c>
    </row>
    <row r="1720">
      <c r="D1720" s="136" t="str">
        <f t="shared" si="3"/>
        <v/>
      </c>
      <c r="E1720" s="152"/>
      <c r="F1720" s="106" t="s">
        <v>133</v>
      </c>
      <c r="G1720" s="152"/>
      <c r="H1720" s="106" t="s">
        <v>133</v>
      </c>
      <c r="J1720" s="139" t="s">
        <v>133</v>
      </c>
      <c r="K1720" s="136" t="s">
        <v>133</v>
      </c>
      <c r="L1720" s="153"/>
      <c r="M1720" s="136" t="str">
        <f t="shared" si="1"/>
        <v/>
      </c>
      <c r="O1720" s="141" t="s">
        <v>133</v>
      </c>
      <c r="P1720" s="136" t="str">
        <f>IFERROR(__xludf.DUMMYFUNCTION("""COMPUTED_VALUE"""),"")</f>
        <v/>
      </c>
      <c r="Q1720" s="136" t="str">
        <f>IFERROR(__xludf.DUMMYFUNCTION("""COMPUTED_VALUE"""),"")</f>
        <v/>
      </c>
      <c r="R1720" s="106" t="str">
        <f>IFERROR(__xludf.DUMMYFUNCTION("""COMPUTED_VALUE"""),"")</f>
        <v/>
      </c>
      <c r="S1720" s="106" t="str">
        <f>IFERROR(__xludf.DUMMYFUNCTION("""COMPUTED_VALUE"""),"")</f>
        <v/>
      </c>
      <c r="T1720" s="139" t="str">
        <f>IFERROR(__xludf.DUMMYFUNCTION("""COMPUTED_VALUE"""),"")</f>
        <v/>
      </c>
      <c r="U1720" s="139" t="str">
        <f>IFERROR(__xludf.DUMMYFUNCTION("""COMPUTED_VALUE"""),"")</f>
        <v/>
      </c>
      <c r="V1720" s="136" t="str">
        <f>IFERROR(__xludf.DUMMYFUNCTION("""COMPUTED_VALUE"""),"")</f>
        <v/>
      </c>
      <c r="W1720" s="106" t="str">
        <f>IFERROR(__xludf.DUMMYFUNCTION("""COMPUTED_VALUE"""),"")</f>
        <v/>
      </c>
      <c r="X1720" s="143" t="str">
        <f t="shared" si="2"/>
        <v/>
      </c>
      <c r="Y1720" s="139" t="str">
        <f>IFERROR(__xludf.DUMMYFUNCTION("""COMPUTED_VALUE"""),"")</f>
        <v/>
      </c>
      <c r="Z1720" s="141" t="str">
        <f>IFERROR(__xludf.DUMMYFUNCTION("""COMPUTED_VALUE"""),"")</f>
        <v/>
      </c>
    </row>
    <row r="1721">
      <c r="D1721" s="136" t="str">
        <f t="shared" si="3"/>
        <v/>
      </c>
      <c r="E1721" s="152"/>
      <c r="F1721" s="106" t="s">
        <v>133</v>
      </c>
      <c r="G1721" s="152"/>
      <c r="H1721" s="106" t="s">
        <v>133</v>
      </c>
      <c r="J1721" s="139" t="s">
        <v>133</v>
      </c>
      <c r="K1721" s="136" t="s">
        <v>133</v>
      </c>
      <c r="L1721" s="153"/>
      <c r="M1721" s="136" t="str">
        <f t="shared" si="1"/>
        <v/>
      </c>
      <c r="O1721" s="141" t="s">
        <v>133</v>
      </c>
      <c r="P1721" s="136" t="str">
        <f>IFERROR(__xludf.DUMMYFUNCTION("""COMPUTED_VALUE"""),"")</f>
        <v/>
      </c>
      <c r="Q1721" s="136" t="str">
        <f>IFERROR(__xludf.DUMMYFUNCTION("""COMPUTED_VALUE"""),"")</f>
        <v/>
      </c>
      <c r="R1721" s="106" t="str">
        <f>IFERROR(__xludf.DUMMYFUNCTION("""COMPUTED_VALUE"""),"")</f>
        <v/>
      </c>
      <c r="S1721" s="106" t="str">
        <f>IFERROR(__xludf.DUMMYFUNCTION("""COMPUTED_VALUE"""),"")</f>
        <v/>
      </c>
      <c r="T1721" s="139" t="str">
        <f>IFERROR(__xludf.DUMMYFUNCTION("""COMPUTED_VALUE"""),"")</f>
        <v/>
      </c>
      <c r="U1721" s="139" t="str">
        <f>IFERROR(__xludf.DUMMYFUNCTION("""COMPUTED_VALUE"""),"")</f>
        <v/>
      </c>
      <c r="V1721" s="136" t="str">
        <f>IFERROR(__xludf.DUMMYFUNCTION("""COMPUTED_VALUE"""),"")</f>
        <v/>
      </c>
      <c r="W1721" s="106" t="str">
        <f>IFERROR(__xludf.DUMMYFUNCTION("""COMPUTED_VALUE"""),"")</f>
        <v/>
      </c>
      <c r="X1721" s="143" t="str">
        <f t="shared" si="2"/>
        <v/>
      </c>
      <c r="Y1721" s="139" t="str">
        <f>IFERROR(__xludf.DUMMYFUNCTION("""COMPUTED_VALUE"""),"")</f>
        <v/>
      </c>
      <c r="Z1721" s="141" t="str">
        <f>IFERROR(__xludf.DUMMYFUNCTION("""COMPUTED_VALUE"""),"")</f>
        <v/>
      </c>
    </row>
    <row r="1722">
      <c r="D1722" s="136" t="str">
        <f t="shared" si="3"/>
        <v/>
      </c>
      <c r="E1722" s="152"/>
      <c r="F1722" s="106" t="s">
        <v>133</v>
      </c>
      <c r="G1722" s="152"/>
      <c r="H1722" s="106" t="s">
        <v>133</v>
      </c>
      <c r="J1722" s="139" t="s">
        <v>133</v>
      </c>
      <c r="K1722" s="136" t="s">
        <v>133</v>
      </c>
      <c r="L1722" s="153"/>
      <c r="M1722" s="136" t="str">
        <f t="shared" si="1"/>
        <v/>
      </c>
      <c r="O1722" s="141" t="s">
        <v>133</v>
      </c>
      <c r="P1722" s="136" t="str">
        <f>IFERROR(__xludf.DUMMYFUNCTION("""COMPUTED_VALUE"""),"")</f>
        <v/>
      </c>
      <c r="Q1722" s="136" t="str">
        <f>IFERROR(__xludf.DUMMYFUNCTION("""COMPUTED_VALUE"""),"")</f>
        <v/>
      </c>
      <c r="R1722" s="106" t="str">
        <f>IFERROR(__xludf.DUMMYFUNCTION("""COMPUTED_VALUE"""),"")</f>
        <v/>
      </c>
      <c r="S1722" s="106" t="str">
        <f>IFERROR(__xludf.DUMMYFUNCTION("""COMPUTED_VALUE"""),"")</f>
        <v/>
      </c>
      <c r="T1722" s="139" t="str">
        <f>IFERROR(__xludf.DUMMYFUNCTION("""COMPUTED_VALUE"""),"")</f>
        <v/>
      </c>
      <c r="U1722" s="139" t="str">
        <f>IFERROR(__xludf.DUMMYFUNCTION("""COMPUTED_VALUE"""),"")</f>
        <v/>
      </c>
      <c r="V1722" s="136" t="str">
        <f>IFERROR(__xludf.DUMMYFUNCTION("""COMPUTED_VALUE"""),"")</f>
        <v/>
      </c>
      <c r="W1722" s="106" t="str">
        <f>IFERROR(__xludf.DUMMYFUNCTION("""COMPUTED_VALUE"""),"")</f>
        <v/>
      </c>
      <c r="X1722" s="143" t="str">
        <f t="shared" si="2"/>
        <v/>
      </c>
      <c r="Y1722" s="139" t="str">
        <f>IFERROR(__xludf.DUMMYFUNCTION("""COMPUTED_VALUE"""),"")</f>
        <v/>
      </c>
      <c r="Z1722" s="141" t="str">
        <f>IFERROR(__xludf.DUMMYFUNCTION("""COMPUTED_VALUE"""),"")</f>
        <v/>
      </c>
    </row>
    <row r="1723">
      <c r="D1723" s="136" t="str">
        <f t="shared" si="3"/>
        <v/>
      </c>
      <c r="E1723" s="152"/>
      <c r="F1723" s="106" t="s">
        <v>133</v>
      </c>
      <c r="G1723" s="152"/>
      <c r="H1723" s="106" t="s">
        <v>133</v>
      </c>
      <c r="J1723" s="139" t="s">
        <v>133</v>
      </c>
      <c r="K1723" s="136" t="s">
        <v>133</v>
      </c>
      <c r="L1723" s="153"/>
      <c r="M1723" s="136" t="str">
        <f t="shared" si="1"/>
        <v/>
      </c>
      <c r="O1723" s="141" t="s">
        <v>133</v>
      </c>
      <c r="P1723" s="136" t="str">
        <f>IFERROR(__xludf.DUMMYFUNCTION("""COMPUTED_VALUE"""),"")</f>
        <v/>
      </c>
      <c r="Q1723" s="136" t="str">
        <f>IFERROR(__xludf.DUMMYFUNCTION("""COMPUTED_VALUE"""),"")</f>
        <v/>
      </c>
      <c r="R1723" s="106" t="str">
        <f>IFERROR(__xludf.DUMMYFUNCTION("""COMPUTED_VALUE"""),"")</f>
        <v/>
      </c>
      <c r="S1723" s="106" t="str">
        <f>IFERROR(__xludf.DUMMYFUNCTION("""COMPUTED_VALUE"""),"")</f>
        <v/>
      </c>
      <c r="T1723" s="139" t="str">
        <f>IFERROR(__xludf.DUMMYFUNCTION("""COMPUTED_VALUE"""),"")</f>
        <v/>
      </c>
      <c r="U1723" s="139" t="str">
        <f>IFERROR(__xludf.DUMMYFUNCTION("""COMPUTED_VALUE"""),"")</f>
        <v/>
      </c>
      <c r="V1723" s="136" t="str">
        <f>IFERROR(__xludf.DUMMYFUNCTION("""COMPUTED_VALUE"""),"")</f>
        <v/>
      </c>
      <c r="W1723" s="106" t="str">
        <f>IFERROR(__xludf.DUMMYFUNCTION("""COMPUTED_VALUE"""),"")</f>
        <v/>
      </c>
      <c r="X1723" s="143" t="str">
        <f t="shared" si="2"/>
        <v/>
      </c>
      <c r="Y1723" s="139" t="str">
        <f>IFERROR(__xludf.DUMMYFUNCTION("""COMPUTED_VALUE"""),"")</f>
        <v/>
      </c>
      <c r="Z1723" s="141" t="str">
        <f>IFERROR(__xludf.DUMMYFUNCTION("""COMPUTED_VALUE"""),"")</f>
        <v/>
      </c>
    </row>
    <row r="1724">
      <c r="D1724" s="136" t="str">
        <f t="shared" si="3"/>
        <v/>
      </c>
      <c r="E1724" s="152"/>
      <c r="F1724" s="106" t="s">
        <v>133</v>
      </c>
      <c r="G1724" s="152"/>
      <c r="H1724" s="106" t="s">
        <v>133</v>
      </c>
      <c r="J1724" s="139" t="s">
        <v>133</v>
      </c>
      <c r="K1724" s="136" t="s">
        <v>133</v>
      </c>
      <c r="L1724" s="153"/>
      <c r="M1724" s="136" t="str">
        <f t="shared" si="1"/>
        <v/>
      </c>
      <c r="O1724" s="141" t="s">
        <v>133</v>
      </c>
      <c r="P1724" s="136" t="str">
        <f>IFERROR(__xludf.DUMMYFUNCTION("""COMPUTED_VALUE"""),"")</f>
        <v/>
      </c>
      <c r="Q1724" s="136" t="str">
        <f>IFERROR(__xludf.DUMMYFUNCTION("""COMPUTED_VALUE"""),"")</f>
        <v/>
      </c>
      <c r="R1724" s="106" t="str">
        <f>IFERROR(__xludf.DUMMYFUNCTION("""COMPUTED_VALUE"""),"")</f>
        <v/>
      </c>
      <c r="S1724" s="106" t="str">
        <f>IFERROR(__xludf.DUMMYFUNCTION("""COMPUTED_VALUE"""),"")</f>
        <v/>
      </c>
      <c r="T1724" s="139" t="str">
        <f>IFERROR(__xludf.DUMMYFUNCTION("""COMPUTED_VALUE"""),"")</f>
        <v/>
      </c>
      <c r="U1724" s="139" t="str">
        <f>IFERROR(__xludf.DUMMYFUNCTION("""COMPUTED_VALUE"""),"")</f>
        <v/>
      </c>
      <c r="V1724" s="136" t="str">
        <f>IFERROR(__xludf.DUMMYFUNCTION("""COMPUTED_VALUE"""),"")</f>
        <v/>
      </c>
      <c r="W1724" s="106" t="str">
        <f>IFERROR(__xludf.DUMMYFUNCTION("""COMPUTED_VALUE"""),"")</f>
        <v/>
      </c>
      <c r="X1724" s="143" t="str">
        <f t="shared" si="2"/>
        <v/>
      </c>
      <c r="Y1724" s="139" t="str">
        <f>IFERROR(__xludf.DUMMYFUNCTION("""COMPUTED_VALUE"""),"")</f>
        <v/>
      </c>
      <c r="Z1724" s="141" t="str">
        <f>IFERROR(__xludf.DUMMYFUNCTION("""COMPUTED_VALUE"""),"")</f>
        <v/>
      </c>
    </row>
    <row r="1725">
      <c r="D1725" s="136" t="str">
        <f t="shared" si="3"/>
        <v/>
      </c>
      <c r="E1725" s="152"/>
      <c r="F1725" s="106" t="s">
        <v>133</v>
      </c>
      <c r="G1725" s="152"/>
      <c r="H1725" s="106" t="s">
        <v>133</v>
      </c>
      <c r="J1725" s="139" t="s">
        <v>133</v>
      </c>
      <c r="K1725" s="136" t="s">
        <v>133</v>
      </c>
      <c r="L1725" s="153"/>
      <c r="M1725" s="136" t="str">
        <f t="shared" si="1"/>
        <v/>
      </c>
      <c r="O1725" s="141" t="s">
        <v>133</v>
      </c>
      <c r="P1725" s="136" t="str">
        <f>IFERROR(__xludf.DUMMYFUNCTION("""COMPUTED_VALUE"""),"")</f>
        <v/>
      </c>
      <c r="Q1725" s="136" t="str">
        <f>IFERROR(__xludf.DUMMYFUNCTION("""COMPUTED_VALUE"""),"")</f>
        <v/>
      </c>
      <c r="R1725" s="106" t="str">
        <f>IFERROR(__xludf.DUMMYFUNCTION("""COMPUTED_VALUE"""),"")</f>
        <v/>
      </c>
      <c r="S1725" s="106" t="str">
        <f>IFERROR(__xludf.DUMMYFUNCTION("""COMPUTED_VALUE"""),"")</f>
        <v/>
      </c>
      <c r="T1725" s="139" t="str">
        <f>IFERROR(__xludf.DUMMYFUNCTION("""COMPUTED_VALUE"""),"")</f>
        <v/>
      </c>
      <c r="U1725" s="139" t="str">
        <f>IFERROR(__xludf.DUMMYFUNCTION("""COMPUTED_VALUE"""),"")</f>
        <v/>
      </c>
      <c r="V1725" s="136" t="str">
        <f>IFERROR(__xludf.DUMMYFUNCTION("""COMPUTED_VALUE"""),"")</f>
        <v/>
      </c>
      <c r="W1725" s="106" t="str">
        <f>IFERROR(__xludf.DUMMYFUNCTION("""COMPUTED_VALUE"""),"")</f>
        <v/>
      </c>
      <c r="X1725" s="143" t="str">
        <f t="shared" si="2"/>
        <v/>
      </c>
      <c r="Y1725" s="139" t="str">
        <f>IFERROR(__xludf.DUMMYFUNCTION("""COMPUTED_VALUE"""),"")</f>
        <v/>
      </c>
      <c r="Z1725" s="141" t="str">
        <f>IFERROR(__xludf.DUMMYFUNCTION("""COMPUTED_VALUE"""),"")</f>
        <v/>
      </c>
    </row>
    <row r="1726">
      <c r="D1726" s="136" t="str">
        <f t="shared" si="3"/>
        <v/>
      </c>
      <c r="E1726" s="152"/>
      <c r="F1726" s="106" t="s">
        <v>133</v>
      </c>
      <c r="G1726" s="152"/>
      <c r="H1726" s="106" t="s">
        <v>133</v>
      </c>
      <c r="J1726" s="139" t="s">
        <v>133</v>
      </c>
      <c r="K1726" s="136" t="s">
        <v>133</v>
      </c>
      <c r="L1726" s="153"/>
      <c r="M1726" s="136" t="str">
        <f t="shared" si="1"/>
        <v/>
      </c>
      <c r="O1726" s="141" t="s">
        <v>133</v>
      </c>
      <c r="P1726" s="136" t="str">
        <f>IFERROR(__xludf.DUMMYFUNCTION("""COMPUTED_VALUE"""),"")</f>
        <v/>
      </c>
      <c r="Q1726" s="136" t="str">
        <f>IFERROR(__xludf.DUMMYFUNCTION("""COMPUTED_VALUE"""),"")</f>
        <v/>
      </c>
      <c r="R1726" s="106" t="str">
        <f>IFERROR(__xludf.DUMMYFUNCTION("""COMPUTED_VALUE"""),"")</f>
        <v/>
      </c>
      <c r="S1726" s="106" t="str">
        <f>IFERROR(__xludf.DUMMYFUNCTION("""COMPUTED_VALUE"""),"")</f>
        <v/>
      </c>
      <c r="T1726" s="139" t="str">
        <f>IFERROR(__xludf.DUMMYFUNCTION("""COMPUTED_VALUE"""),"")</f>
        <v/>
      </c>
      <c r="U1726" s="139" t="str">
        <f>IFERROR(__xludf.DUMMYFUNCTION("""COMPUTED_VALUE"""),"")</f>
        <v/>
      </c>
      <c r="V1726" s="136" t="str">
        <f>IFERROR(__xludf.DUMMYFUNCTION("""COMPUTED_VALUE"""),"")</f>
        <v/>
      </c>
      <c r="W1726" s="106" t="str">
        <f>IFERROR(__xludf.DUMMYFUNCTION("""COMPUTED_VALUE"""),"")</f>
        <v/>
      </c>
      <c r="X1726" s="143" t="str">
        <f t="shared" si="2"/>
        <v/>
      </c>
      <c r="Y1726" s="139" t="str">
        <f>IFERROR(__xludf.DUMMYFUNCTION("""COMPUTED_VALUE"""),"")</f>
        <v/>
      </c>
      <c r="Z1726" s="141" t="str">
        <f>IFERROR(__xludf.DUMMYFUNCTION("""COMPUTED_VALUE"""),"")</f>
        <v/>
      </c>
    </row>
    <row r="1727">
      <c r="D1727" s="136" t="str">
        <f t="shared" si="3"/>
        <v/>
      </c>
      <c r="E1727" s="152"/>
      <c r="F1727" s="106" t="s">
        <v>133</v>
      </c>
      <c r="G1727" s="152"/>
      <c r="H1727" s="106" t="s">
        <v>133</v>
      </c>
      <c r="J1727" s="139" t="s">
        <v>133</v>
      </c>
      <c r="K1727" s="136" t="s">
        <v>133</v>
      </c>
      <c r="L1727" s="153"/>
      <c r="M1727" s="136" t="str">
        <f t="shared" si="1"/>
        <v/>
      </c>
      <c r="O1727" s="141" t="s">
        <v>133</v>
      </c>
      <c r="P1727" s="136" t="str">
        <f>IFERROR(__xludf.DUMMYFUNCTION("""COMPUTED_VALUE"""),"")</f>
        <v/>
      </c>
      <c r="Q1727" s="136" t="str">
        <f>IFERROR(__xludf.DUMMYFUNCTION("""COMPUTED_VALUE"""),"")</f>
        <v/>
      </c>
      <c r="R1727" s="106" t="str">
        <f>IFERROR(__xludf.DUMMYFUNCTION("""COMPUTED_VALUE"""),"")</f>
        <v/>
      </c>
      <c r="S1727" s="106" t="str">
        <f>IFERROR(__xludf.DUMMYFUNCTION("""COMPUTED_VALUE"""),"")</f>
        <v/>
      </c>
      <c r="T1727" s="139" t="str">
        <f>IFERROR(__xludf.DUMMYFUNCTION("""COMPUTED_VALUE"""),"")</f>
        <v/>
      </c>
      <c r="U1727" s="139" t="str">
        <f>IFERROR(__xludf.DUMMYFUNCTION("""COMPUTED_VALUE"""),"")</f>
        <v/>
      </c>
      <c r="V1727" s="136" t="str">
        <f>IFERROR(__xludf.DUMMYFUNCTION("""COMPUTED_VALUE"""),"")</f>
        <v/>
      </c>
      <c r="W1727" s="106" t="str">
        <f>IFERROR(__xludf.DUMMYFUNCTION("""COMPUTED_VALUE"""),"")</f>
        <v/>
      </c>
      <c r="X1727" s="143" t="str">
        <f t="shared" si="2"/>
        <v/>
      </c>
      <c r="Y1727" s="139" t="str">
        <f>IFERROR(__xludf.DUMMYFUNCTION("""COMPUTED_VALUE"""),"")</f>
        <v/>
      </c>
      <c r="Z1727" s="141" t="str">
        <f>IFERROR(__xludf.DUMMYFUNCTION("""COMPUTED_VALUE"""),"")</f>
        <v/>
      </c>
    </row>
    <row r="1728">
      <c r="D1728" s="136" t="str">
        <f t="shared" si="3"/>
        <v/>
      </c>
      <c r="E1728" s="152"/>
      <c r="F1728" s="106" t="s">
        <v>133</v>
      </c>
      <c r="G1728" s="152"/>
      <c r="H1728" s="106" t="s">
        <v>133</v>
      </c>
      <c r="J1728" s="139" t="s">
        <v>133</v>
      </c>
      <c r="K1728" s="136" t="s">
        <v>133</v>
      </c>
      <c r="L1728" s="153"/>
      <c r="M1728" s="136" t="str">
        <f t="shared" si="1"/>
        <v/>
      </c>
      <c r="O1728" s="141" t="s">
        <v>133</v>
      </c>
      <c r="P1728" s="136" t="str">
        <f>IFERROR(__xludf.DUMMYFUNCTION("""COMPUTED_VALUE"""),"")</f>
        <v/>
      </c>
      <c r="Q1728" s="136" t="str">
        <f>IFERROR(__xludf.DUMMYFUNCTION("""COMPUTED_VALUE"""),"")</f>
        <v/>
      </c>
      <c r="R1728" s="106" t="str">
        <f>IFERROR(__xludf.DUMMYFUNCTION("""COMPUTED_VALUE"""),"")</f>
        <v/>
      </c>
      <c r="S1728" s="106" t="str">
        <f>IFERROR(__xludf.DUMMYFUNCTION("""COMPUTED_VALUE"""),"")</f>
        <v/>
      </c>
      <c r="T1728" s="139" t="str">
        <f>IFERROR(__xludf.DUMMYFUNCTION("""COMPUTED_VALUE"""),"")</f>
        <v/>
      </c>
      <c r="U1728" s="139" t="str">
        <f>IFERROR(__xludf.DUMMYFUNCTION("""COMPUTED_VALUE"""),"")</f>
        <v/>
      </c>
      <c r="V1728" s="136" t="str">
        <f>IFERROR(__xludf.DUMMYFUNCTION("""COMPUTED_VALUE"""),"")</f>
        <v/>
      </c>
      <c r="W1728" s="106" t="str">
        <f>IFERROR(__xludf.DUMMYFUNCTION("""COMPUTED_VALUE"""),"")</f>
        <v/>
      </c>
      <c r="X1728" s="143" t="str">
        <f t="shared" si="2"/>
        <v/>
      </c>
      <c r="Y1728" s="139" t="str">
        <f>IFERROR(__xludf.DUMMYFUNCTION("""COMPUTED_VALUE"""),"")</f>
        <v/>
      </c>
      <c r="Z1728" s="141" t="str">
        <f>IFERROR(__xludf.DUMMYFUNCTION("""COMPUTED_VALUE"""),"")</f>
        <v/>
      </c>
    </row>
    <row r="1729">
      <c r="D1729" s="136" t="str">
        <f t="shared" si="3"/>
        <v/>
      </c>
      <c r="E1729" s="152"/>
      <c r="F1729" s="106" t="s">
        <v>133</v>
      </c>
      <c r="G1729" s="152"/>
      <c r="H1729" s="106" t="s">
        <v>133</v>
      </c>
      <c r="J1729" s="139" t="s">
        <v>133</v>
      </c>
      <c r="K1729" s="136" t="s">
        <v>133</v>
      </c>
      <c r="L1729" s="153"/>
      <c r="M1729" s="136" t="str">
        <f t="shared" si="1"/>
        <v/>
      </c>
      <c r="O1729" s="141" t="s">
        <v>133</v>
      </c>
      <c r="P1729" s="136" t="str">
        <f>IFERROR(__xludf.DUMMYFUNCTION("""COMPUTED_VALUE"""),"")</f>
        <v/>
      </c>
      <c r="Q1729" s="136" t="str">
        <f>IFERROR(__xludf.DUMMYFUNCTION("""COMPUTED_VALUE"""),"")</f>
        <v/>
      </c>
      <c r="R1729" s="106" t="str">
        <f>IFERROR(__xludf.DUMMYFUNCTION("""COMPUTED_VALUE"""),"")</f>
        <v/>
      </c>
      <c r="S1729" s="106" t="str">
        <f>IFERROR(__xludf.DUMMYFUNCTION("""COMPUTED_VALUE"""),"")</f>
        <v/>
      </c>
      <c r="T1729" s="139" t="str">
        <f>IFERROR(__xludf.DUMMYFUNCTION("""COMPUTED_VALUE"""),"")</f>
        <v/>
      </c>
      <c r="U1729" s="139" t="str">
        <f>IFERROR(__xludf.DUMMYFUNCTION("""COMPUTED_VALUE"""),"")</f>
        <v/>
      </c>
      <c r="V1729" s="136" t="str">
        <f>IFERROR(__xludf.DUMMYFUNCTION("""COMPUTED_VALUE"""),"")</f>
        <v/>
      </c>
      <c r="W1729" s="106" t="str">
        <f>IFERROR(__xludf.DUMMYFUNCTION("""COMPUTED_VALUE"""),"")</f>
        <v/>
      </c>
      <c r="X1729" s="143" t="str">
        <f t="shared" si="2"/>
        <v/>
      </c>
      <c r="Y1729" s="139" t="str">
        <f>IFERROR(__xludf.DUMMYFUNCTION("""COMPUTED_VALUE"""),"")</f>
        <v/>
      </c>
      <c r="Z1729" s="141" t="str">
        <f>IFERROR(__xludf.DUMMYFUNCTION("""COMPUTED_VALUE"""),"")</f>
        <v/>
      </c>
    </row>
    <row r="1730">
      <c r="D1730" s="136" t="str">
        <f t="shared" si="3"/>
        <v/>
      </c>
      <c r="E1730" s="152"/>
      <c r="F1730" s="106" t="s">
        <v>133</v>
      </c>
      <c r="G1730" s="152"/>
      <c r="H1730" s="106" t="s">
        <v>133</v>
      </c>
      <c r="J1730" s="139" t="s">
        <v>133</v>
      </c>
      <c r="K1730" s="136" t="s">
        <v>133</v>
      </c>
      <c r="L1730" s="153"/>
      <c r="M1730" s="136" t="str">
        <f t="shared" si="1"/>
        <v/>
      </c>
      <c r="O1730" s="141" t="s">
        <v>133</v>
      </c>
      <c r="P1730" s="136" t="str">
        <f>IFERROR(__xludf.DUMMYFUNCTION("""COMPUTED_VALUE"""),"")</f>
        <v/>
      </c>
      <c r="Q1730" s="136" t="str">
        <f>IFERROR(__xludf.DUMMYFUNCTION("""COMPUTED_VALUE"""),"")</f>
        <v/>
      </c>
      <c r="R1730" s="106" t="str">
        <f>IFERROR(__xludf.DUMMYFUNCTION("""COMPUTED_VALUE"""),"")</f>
        <v/>
      </c>
      <c r="S1730" s="106" t="str">
        <f>IFERROR(__xludf.DUMMYFUNCTION("""COMPUTED_VALUE"""),"")</f>
        <v/>
      </c>
      <c r="T1730" s="139" t="str">
        <f>IFERROR(__xludf.DUMMYFUNCTION("""COMPUTED_VALUE"""),"")</f>
        <v/>
      </c>
      <c r="U1730" s="139" t="str">
        <f>IFERROR(__xludf.DUMMYFUNCTION("""COMPUTED_VALUE"""),"")</f>
        <v/>
      </c>
      <c r="V1730" s="136" t="str">
        <f>IFERROR(__xludf.DUMMYFUNCTION("""COMPUTED_VALUE"""),"")</f>
        <v/>
      </c>
      <c r="W1730" s="106" t="str">
        <f>IFERROR(__xludf.DUMMYFUNCTION("""COMPUTED_VALUE"""),"")</f>
        <v/>
      </c>
      <c r="X1730" s="143" t="str">
        <f t="shared" si="2"/>
        <v/>
      </c>
      <c r="Y1730" s="139" t="str">
        <f>IFERROR(__xludf.DUMMYFUNCTION("""COMPUTED_VALUE"""),"")</f>
        <v/>
      </c>
      <c r="Z1730" s="141" t="str">
        <f>IFERROR(__xludf.DUMMYFUNCTION("""COMPUTED_VALUE"""),"")</f>
        <v/>
      </c>
    </row>
    <row r="1731">
      <c r="D1731" s="136" t="str">
        <f t="shared" si="3"/>
        <v/>
      </c>
      <c r="E1731" s="152"/>
      <c r="F1731" s="106" t="s">
        <v>133</v>
      </c>
      <c r="G1731" s="152"/>
      <c r="H1731" s="106" t="s">
        <v>133</v>
      </c>
      <c r="J1731" s="139" t="s">
        <v>133</v>
      </c>
      <c r="K1731" s="136" t="s">
        <v>133</v>
      </c>
      <c r="L1731" s="153"/>
      <c r="M1731" s="136" t="str">
        <f t="shared" si="1"/>
        <v/>
      </c>
      <c r="O1731" s="141" t="s">
        <v>133</v>
      </c>
      <c r="P1731" s="136" t="str">
        <f>IFERROR(__xludf.DUMMYFUNCTION("""COMPUTED_VALUE"""),"")</f>
        <v/>
      </c>
      <c r="Q1731" s="136" t="str">
        <f>IFERROR(__xludf.DUMMYFUNCTION("""COMPUTED_VALUE"""),"")</f>
        <v/>
      </c>
      <c r="R1731" s="106" t="str">
        <f>IFERROR(__xludf.DUMMYFUNCTION("""COMPUTED_VALUE"""),"")</f>
        <v/>
      </c>
      <c r="S1731" s="106" t="str">
        <f>IFERROR(__xludf.DUMMYFUNCTION("""COMPUTED_VALUE"""),"")</f>
        <v/>
      </c>
      <c r="T1731" s="139" t="str">
        <f>IFERROR(__xludf.DUMMYFUNCTION("""COMPUTED_VALUE"""),"")</f>
        <v/>
      </c>
      <c r="U1731" s="139" t="str">
        <f>IFERROR(__xludf.DUMMYFUNCTION("""COMPUTED_VALUE"""),"")</f>
        <v/>
      </c>
      <c r="V1731" s="136" t="str">
        <f>IFERROR(__xludf.DUMMYFUNCTION("""COMPUTED_VALUE"""),"")</f>
        <v/>
      </c>
      <c r="W1731" s="106" t="str">
        <f>IFERROR(__xludf.DUMMYFUNCTION("""COMPUTED_VALUE"""),"")</f>
        <v/>
      </c>
      <c r="X1731" s="143" t="str">
        <f t="shared" si="2"/>
        <v/>
      </c>
      <c r="Y1731" s="139" t="str">
        <f>IFERROR(__xludf.DUMMYFUNCTION("""COMPUTED_VALUE"""),"")</f>
        <v/>
      </c>
      <c r="Z1731" s="141" t="str">
        <f>IFERROR(__xludf.DUMMYFUNCTION("""COMPUTED_VALUE"""),"")</f>
        <v/>
      </c>
    </row>
    <row r="1732">
      <c r="D1732" s="136" t="str">
        <f t="shared" si="3"/>
        <v/>
      </c>
      <c r="E1732" s="152"/>
      <c r="F1732" s="106" t="s">
        <v>133</v>
      </c>
      <c r="G1732" s="152"/>
      <c r="H1732" s="106" t="s">
        <v>133</v>
      </c>
      <c r="J1732" s="139" t="s">
        <v>133</v>
      </c>
      <c r="K1732" s="136" t="s">
        <v>133</v>
      </c>
      <c r="L1732" s="153"/>
      <c r="M1732" s="136" t="str">
        <f t="shared" si="1"/>
        <v/>
      </c>
      <c r="O1732" s="141" t="s">
        <v>133</v>
      </c>
      <c r="P1732" s="136" t="str">
        <f>IFERROR(__xludf.DUMMYFUNCTION("""COMPUTED_VALUE"""),"")</f>
        <v/>
      </c>
      <c r="Q1732" s="136" t="str">
        <f>IFERROR(__xludf.DUMMYFUNCTION("""COMPUTED_VALUE"""),"")</f>
        <v/>
      </c>
      <c r="R1732" s="106" t="str">
        <f>IFERROR(__xludf.DUMMYFUNCTION("""COMPUTED_VALUE"""),"")</f>
        <v/>
      </c>
      <c r="S1732" s="106" t="str">
        <f>IFERROR(__xludf.DUMMYFUNCTION("""COMPUTED_VALUE"""),"")</f>
        <v/>
      </c>
      <c r="T1732" s="139" t="str">
        <f>IFERROR(__xludf.DUMMYFUNCTION("""COMPUTED_VALUE"""),"")</f>
        <v/>
      </c>
      <c r="U1732" s="139" t="str">
        <f>IFERROR(__xludf.DUMMYFUNCTION("""COMPUTED_VALUE"""),"")</f>
        <v/>
      </c>
      <c r="V1732" s="136" t="str">
        <f>IFERROR(__xludf.DUMMYFUNCTION("""COMPUTED_VALUE"""),"")</f>
        <v/>
      </c>
      <c r="W1732" s="106" t="str">
        <f>IFERROR(__xludf.DUMMYFUNCTION("""COMPUTED_VALUE"""),"")</f>
        <v/>
      </c>
      <c r="X1732" s="143" t="str">
        <f t="shared" si="2"/>
        <v/>
      </c>
      <c r="Y1732" s="139" t="str">
        <f>IFERROR(__xludf.DUMMYFUNCTION("""COMPUTED_VALUE"""),"")</f>
        <v/>
      </c>
      <c r="Z1732" s="141" t="str">
        <f>IFERROR(__xludf.DUMMYFUNCTION("""COMPUTED_VALUE"""),"")</f>
        <v/>
      </c>
    </row>
    <row r="1733">
      <c r="D1733" s="136" t="str">
        <f t="shared" si="3"/>
        <v/>
      </c>
      <c r="E1733" s="152"/>
      <c r="F1733" s="106" t="s">
        <v>133</v>
      </c>
      <c r="G1733" s="152"/>
      <c r="H1733" s="106" t="s">
        <v>133</v>
      </c>
      <c r="J1733" s="139" t="s">
        <v>133</v>
      </c>
      <c r="K1733" s="136" t="s">
        <v>133</v>
      </c>
      <c r="L1733" s="153"/>
      <c r="M1733" s="136" t="str">
        <f t="shared" si="1"/>
        <v/>
      </c>
      <c r="O1733" s="141" t="s">
        <v>133</v>
      </c>
      <c r="P1733" s="136" t="str">
        <f>IFERROR(__xludf.DUMMYFUNCTION("""COMPUTED_VALUE"""),"")</f>
        <v/>
      </c>
      <c r="Q1733" s="136" t="str">
        <f>IFERROR(__xludf.DUMMYFUNCTION("""COMPUTED_VALUE"""),"")</f>
        <v/>
      </c>
      <c r="R1733" s="106" t="str">
        <f>IFERROR(__xludf.DUMMYFUNCTION("""COMPUTED_VALUE"""),"")</f>
        <v/>
      </c>
      <c r="S1733" s="106" t="str">
        <f>IFERROR(__xludf.DUMMYFUNCTION("""COMPUTED_VALUE"""),"")</f>
        <v/>
      </c>
      <c r="T1733" s="139" t="str">
        <f>IFERROR(__xludf.DUMMYFUNCTION("""COMPUTED_VALUE"""),"")</f>
        <v/>
      </c>
      <c r="U1733" s="139" t="str">
        <f>IFERROR(__xludf.DUMMYFUNCTION("""COMPUTED_VALUE"""),"")</f>
        <v/>
      </c>
      <c r="V1733" s="136" t="str">
        <f>IFERROR(__xludf.DUMMYFUNCTION("""COMPUTED_VALUE"""),"")</f>
        <v/>
      </c>
      <c r="W1733" s="106" t="str">
        <f>IFERROR(__xludf.DUMMYFUNCTION("""COMPUTED_VALUE"""),"")</f>
        <v/>
      </c>
      <c r="X1733" s="143" t="str">
        <f t="shared" si="2"/>
        <v/>
      </c>
      <c r="Y1733" s="139" t="str">
        <f>IFERROR(__xludf.DUMMYFUNCTION("""COMPUTED_VALUE"""),"")</f>
        <v/>
      </c>
      <c r="Z1733" s="141" t="str">
        <f>IFERROR(__xludf.DUMMYFUNCTION("""COMPUTED_VALUE"""),"")</f>
        <v/>
      </c>
    </row>
    <row r="1734">
      <c r="D1734" s="136" t="str">
        <f t="shared" si="3"/>
        <v/>
      </c>
      <c r="E1734" s="152"/>
      <c r="F1734" s="106" t="s">
        <v>133</v>
      </c>
      <c r="G1734" s="152"/>
      <c r="H1734" s="106" t="s">
        <v>133</v>
      </c>
      <c r="J1734" s="139" t="s">
        <v>133</v>
      </c>
      <c r="K1734" s="136" t="s">
        <v>133</v>
      </c>
      <c r="L1734" s="153"/>
      <c r="M1734" s="136" t="str">
        <f t="shared" si="1"/>
        <v/>
      </c>
      <c r="O1734" s="141" t="s">
        <v>133</v>
      </c>
      <c r="P1734" s="136" t="str">
        <f>IFERROR(__xludf.DUMMYFUNCTION("""COMPUTED_VALUE"""),"")</f>
        <v/>
      </c>
      <c r="Q1734" s="136" t="str">
        <f>IFERROR(__xludf.DUMMYFUNCTION("""COMPUTED_VALUE"""),"")</f>
        <v/>
      </c>
      <c r="R1734" s="106" t="str">
        <f>IFERROR(__xludf.DUMMYFUNCTION("""COMPUTED_VALUE"""),"")</f>
        <v/>
      </c>
      <c r="S1734" s="106" t="str">
        <f>IFERROR(__xludf.DUMMYFUNCTION("""COMPUTED_VALUE"""),"")</f>
        <v/>
      </c>
      <c r="T1734" s="139" t="str">
        <f>IFERROR(__xludf.DUMMYFUNCTION("""COMPUTED_VALUE"""),"")</f>
        <v/>
      </c>
      <c r="U1734" s="139" t="str">
        <f>IFERROR(__xludf.DUMMYFUNCTION("""COMPUTED_VALUE"""),"")</f>
        <v/>
      </c>
      <c r="V1734" s="136" t="str">
        <f>IFERROR(__xludf.DUMMYFUNCTION("""COMPUTED_VALUE"""),"")</f>
        <v/>
      </c>
      <c r="W1734" s="106" t="str">
        <f>IFERROR(__xludf.DUMMYFUNCTION("""COMPUTED_VALUE"""),"")</f>
        <v/>
      </c>
      <c r="X1734" s="143" t="str">
        <f t="shared" si="2"/>
        <v/>
      </c>
      <c r="Y1734" s="139" t="str">
        <f>IFERROR(__xludf.DUMMYFUNCTION("""COMPUTED_VALUE"""),"")</f>
        <v/>
      </c>
      <c r="Z1734" s="141" t="str">
        <f>IFERROR(__xludf.DUMMYFUNCTION("""COMPUTED_VALUE"""),"")</f>
        <v/>
      </c>
    </row>
    <row r="1735">
      <c r="D1735" s="136" t="str">
        <f t="shared" si="3"/>
        <v/>
      </c>
      <c r="E1735" s="152"/>
      <c r="F1735" s="106" t="s">
        <v>133</v>
      </c>
      <c r="G1735" s="152"/>
      <c r="H1735" s="106" t="s">
        <v>133</v>
      </c>
      <c r="J1735" s="139" t="s">
        <v>133</v>
      </c>
      <c r="K1735" s="136" t="s">
        <v>133</v>
      </c>
      <c r="L1735" s="153"/>
      <c r="M1735" s="136" t="str">
        <f t="shared" si="1"/>
        <v/>
      </c>
      <c r="O1735" s="141" t="s">
        <v>133</v>
      </c>
      <c r="P1735" s="136" t="str">
        <f>IFERROR(__xludf.DUMMYFUNCTION("""COMPUTED_VALUE"""),"")</f>
        <v/>
      </c>
      <c r="Q1735" s="136" t="str">
        <f>IFERROR(__xludf.DUMMYFUNCTION("""COMPUTED_VALUE"""),"")</f>
        <v/>
      </c>
      <c r="R1735" s="106" t="str">
        <f>IFERROR(__xludf.DUMMYFUNCTION("""COMPUTED_VALUE"""),"")</f>
        <v/>
      </c>
      <c r="S1735" s="106" t="str">
        <f>IFERROR(__xludf.DUMMYFUNCTION("""COMPUTED_VALUE"""),"")</f>
        <v/>
      </c>
      <c r="T1735" s="139" t="str">
        <f>IFERROR(__xludf.DUMMYFUNCTION("""COMPUTED_VALUE"""),"")</f>
        <v/>
      </c>
      <c r="U1735" s="139" t="str">
        <f>IFERROR(__xludf.DUMMYFUNCTION("""COMPUTED_VALUE"""),"")</f>
        <v/>
      </c>
      <c r="V1735" s="136" t="str">
        <f>IFERROR(__xludf.DUMMYFUNCTION("""COMPUTED_VALUE"""),"")</f>
        <v/>
      </c>
      <c r="W1735" s="106" t="str">
        <f>IFERROR(__xludf.DUMMYFUNCTION("""COMPUTED_VALUE"""),"")</f>
        <v/>
      </c>
      <c r="X1735" s="143" t="str">
        <f t="shared" si="2"/>
        <v/>
      </c>
      <c r="Y1735" s="139" t="str">
        <f>IFERROR(__xludf.DUMMYFUNCTION("""COMPUTED_VALUE"""),"")</f>
        <v/>
      </c>
      <c r="Z1735" s="141" t="str">
        <f>IFERROR(__xludf.DUMMYFUNCTION("""COMPUTED_VALUE"""),"")</f>
        <v/>
      </c>
    </row>
    <row r="1736">
      <c r="D1736" s="136" t="str">
        <f t="shared" si="3"/>
        <v/>
      </c>
      <c r="E1736" s="152"/>
      <c r="F1736" s="106" t="s">
        <v>133</v>
      </c>
      <c r="G1736" s="152"/>
      <c r="H1736" s="106" t="s">
        <v>133</v>
      </c>
      <c r="J1736" s="139" t="s">
        <v>133</v>
      </c>
      <c r="K1736" s="136" t="s">
        <v>133</v>
      </c>
      <c r="L1736" s="153"/>
      <c r="M1736" s="136" t="str">
        <f t="shared" si="1"/>
        <v/>
      </c>
      <c r="O1736" s="141" t="s">
        <v>133</v>
      </c>
      <c r="P1736" s="136" t="str">
        <f>IFERROR(__xludf.DUMMYFUNCTION("""COMPUTED_VALUE"""),"")</f>
        <v/>
      </c>
      <c r="Q1736" s="136" t="str">
        <f>IFERROR(__xludf.DUMMYFUNCTION("""COMPUTED_VALUE"""),"")</f>
        <v/>
      </c>
      <c r="R1736" s="106" t="str">
        <f>IFERROR(__xludf.DUMMYFUNCTION("""COMPUTED_VALUE"""),"")</f>
        <v/>
      </c>
      <c r="S1736" s="106" t="str">
        <f>IFERROR(__xludf.DUMMYFUNCTION("""COMPUTED_VALUE"""),"")</f>
        <v/>
      </c>
      <c r="T1736" s="139" t="str">
        <f>IFERROR(__xludf.DUMMYFUNCTION("""COMPUTED_VALUE"""),"")</f>
        <v/>
      </c>
      <c r="U1736" s="139" t="str">
        <f>IFERROR(__xludf.DUMMYFUNCTION("""COMPUTED_VALUE"""),"")</f>
        <v/>
      </c>
      <c r="V1736" s="136" t="str">
        <f>IFERROR(__xludf.DUMMYFUNCTION("""COMPUTED_VALUE"""),"")</f>
        <v/>
      </c>
      <c r="W1736" s="106" t="str">
        <f>IFERROR(__xludf.DUMMYFUNCTION("""COMPUTED_VALUE"""),"")</f>
        <v/>
      </c>
      <c r="X1736" s="143" t="str">
        <f t="shared" si="2"/>
        <v/>
      </c>
      <c r="Y1736" s="139" t="str">
        <f>IFERROR(__xludf.DUMMYFUNCTION("""COMPUTED_VALUE"""),"")</f>
        <v/>
      </c>
      <c r="Z1736" s="141" t="str">
        <f>IFERROR(__xludf.DUMMYFUNCTION("""COMPUTED_VALUE"""),"")</f>
        <v/>
      </c>
    </row>
    <row r="1737">
      <c r="D1737" s="136" t="str">
        <f t="shared" si="3"/>
        <v/>
      </c>
      <c r="E1737" s="152"/>
      <c r="F1737" s="106" t="s">
        <v>133</v>
      </c>
      <c r="G1737" s="152"/>
      <c r="H1737" s="106" t="s">
        <v>133</v>
      </c>
      <c r="J1737" s="139" t="s">
        <v>133</v>
      </c>
      <c r="K1737" s="136" t="s">
        <v>133</v>
      </c>
      <c r="L1737" s="153"/>
      <c r="M1737" s="136" t="str">
        <f t="shared" si="1"/>
        <v/>
      </c>
      <c r="O1737" s="141" t="s">
        <v>133</v>
      </c>
      <c r="P1737" s="136" t="str">
        <f>IFERROR(__xludf.DUMMYFUNCTION("""COMPUTED_VALUE"""),"")</f>
        <v/>
      </c>
      <c r="Q1737" s="136" t="str">
        <f>IFERROR(__xludf.DUMMYFUNCTION("""COMPUTED_VALUE"""),"")</f>
        <v/>
      </c>
      <c r="R1737" s="106" t="str">
        <f>IFERROR(__xludf.DUMMYFUNCTION("""COMPUTED_VALUE"""),"")</f>
        <v/>
      </c>
      <c r="S1737" s="106" t="str">
        <f>IFERROR(__xludf.DUMMYFUNCTION("""COMPUTED_VALUE"""),"")</f>
        <v/>
      </c>
      <c r="T1737" s="139" t="str">
        <f>IFERROR(__xludf.DUMMYFUNCTION("""COMPUTED_VALUE"""),"")</f>
        <v/>
      </c>
      <c r="U1737" s="139" t="str">
        <f>IFERROR(__xludf.DUMMYFUNCTION("""COMPUTED_VALUE"""),"")</f>
        <v/>
      </c>
      <c r="V1737" s="136" t="str">
        <f>IFERROR(__xludf.DUMMYFUNCTION("""COMPUTED_VALUE"""),"")</f>
        <v/>
      </c>
      <c r="W1737" s="106" t="str">
        <f>IFERROR(__xludf.DUMMYFUNCTION("""COMPUTED_VALUE"""),"")</f>
        <v/>
      </c>
      <c r="X1737" s="143" t="str">
        <f t="shared" si="2"/>
        <v/>
      </c>
      <c r="Y1737" s="139" t="str">
        <f>IFERROR(__xludf.DUMMYFUNCTION("""COMPUTED_VALUE"""),"")</f>
        <v/>
      </c>
      <c r="Z1737" s="141" t="str">
        <f>IFERROR(__xludf.DUMMYFUNCTION("""COMPUTED_VALUE"""),"")</f>
        <v/>
      </c>
    </row>
    <row r="1738">
      <c r="D1738" s="136" t="str">
        <f t="shared" si="3"/>
        <v/>
      </c>
      <c r="E1738" s="152"/>
      <c r="F1738" s="106" t="s">
        <v>133</v>
      </c>
      <c r="G1738" s="152"/>
      <c r="H1738" s="106" t="s">
        <v>133</v>
      </c>
      <c r="J1738" s="139" t="s">
        <v>133</v>
      </c>
      <c r="K1738" s="136" t="s">
        <v>133</v>
      </c>
      <c r="L1738" s="153"/>
      <c r="M1738" s="136" t="str">
        <f t="shared" si="1"/>
        <v/>
      </c>
      <c r="O1738" s="141" t="s">
        <v>133</v>
      </c>
      <c r="P1738" s="136" t="str">
        <f>IFERROR(__xludf.DUMMYFUNCTION("""COMPUTED_VALUE"""),"")</f>
        <v/>
      </c>
      <c r="Q1738" s="136" t="str">
        <f>IFERROR(__xludf.DUMMYFUNCTION("""COMPUTED_VALUE"""),"")</f>
        <v/>
      </c>
      <c r="R1738" s="106" t="str">
        <f>IFERROR(__xludf.DUMMYFUNCTION("""COMPUTED_VALUE"""),"")</f>
        <v/>
      </c>
      <c r="S1738" s="106" t="str">
        <f>IFERROR(__xludf.DUMMYFUNCTION("""COMPUTED_VALUE"""),"")</f>
        <v/>
      </c>
      <c r="T1738" s="139" t="str">
        <f>IFERROR(__xludf.DUMMYFUNCTION("""COMPUTED_VALUE"""),"")</f>
        <v/>
      </c>
      <c r="U1738" s="139" t="str">
        <f>IFERROR(__xludf.DUMMYFUNCTION("""COMPUTED_VALUE"""),"")</f>
        <v/>
      </c>
      <c r="V1738" s="136" t="str">
        <f>IFERROR(__xludf.DUMMYFUNCTION("""COMPUTED_VALUE"""),"")</f>
        <v/>
      </c>
      <c r="W1738" s="106" t="str">
        <f>IFERROR(__xludf.DUMMYFUNCTION("""COMPUTED_VALUE"""),"")</f>
        <v/>
      </c>
      <c r="X1738" s="143" t="str">
        <f t="shared" si="2"/>
        <v/>
      </c>
      <c r="Y1738" s="139" t="str">
        <f>IFERROR(__xludf.DUMMYFUNCTION("""COMPUTED_VALUE"""),"")</f>
        <v/>
      </c>
      <c r="Z1738" s="141" t="str">
        <f>IFERROR(__xludf.DUMMYFUNCTION("""COMPUTED_VALUE"""),"")</f>
        <v/>
      </c>
    </row>
    <row r="1739">
      <c r="D1739" s="136" t="str">
        <f t="shared" si="3"/>
        <v/>
      </c>
      <c r="E1739" s="152"/>
      <c r="F1739" s="106" t="s">
        <v>133</v>
      </c>
      <c r="G1739" s="152"/>
      <c r="H1739" s="106" t="s">
        <v>133</v>
      </c>
      <c r="J1739" s="139" t="s">
        <v>133</v>
      </c>
      <c r="K1739" s="136" t="s">
        <v>133</v>
      </c>
      <c r="L1739" s="153"/>
      <c r="M1739" s="136" t="str">
        <f t="shared" si="1"/>
        <v/>
      </c>
      <c r="O1739" s="141" t="s">
        <v>133</v>
      </c>
      <c r="P1739" s="136" t="str">
        <f>IFERROR(__xludf.DUMMYFUNCTION("""COMPUTED_VALUE"""),"")</f>
        <v/>
      </c>
      <c r="Q1739" s="136" t="str">
        <f>IFERROR(__xludf.DUMMYFUNCTION("""COMPUTED_VALUE"""),"")</f>
        <v/>
      </c>
      <c r="R1739" s="106" t="str">
        <f>IFERROR(__xludf.DUMMYFUNCTION("""COMPUTED_VALUE"""),"")</f>
        <v/>
      </c>
      <c r="S1739" s="106" t="str">
        <f>IFERROR(__xludf.DUMMYFUNCTION("""COMPUTED_VALUE"""),"")</f>
        <v/>
      </c>
      <c r="T1739" s="139" t="str">
        <f>IFERROR(__xludf.DUMMYFUNCTION("""COMPUTED_VALUE"""),"")</f>
        <v/>
      </c>
      <c r="U1739" s="139" t="str">
        <f>IFERROR(__xludf.DUMMYFUNCTION("""COMPUTED_VALUE"""),"")</f>
        <v/>
      </c>
      <c r="V1739" s="136" t="str">
        <f>IFERROR(__xludf.DUMMYFUNCTION("""COMPUTED_VALUE"""),"")</f>
        <v/>
      </c>
      <c r="W1739" s="106" t="str">
        <f>IFERROR(__xludf.DUMMYFUNCTION("""COMPUTED_VALUE"""),"")</f>
        <v/>
      </c>
      <c r="X1739" s="143" t="str">
        <f t="shared" si="2"/>
        <v/>
      </c>
      <c r="Y1739" s="139" t="str">
        <f>IFERROR(__xludf.DUMMYFUNCTION("""COMPUTED_VALUE"""),"")</f>
        <v/>
      </c>
      <c r="Z1739" s="141" t="str">
        <f>IFERROR(__xludf.DUMMYFUNCTION("""COMPUTED_VALUE"""),"")</f>
        <v/>
      </c>
    </row>
    <row r="1740">
      <c r="D1740" s="136" t="str">
        <f t="shared" si="3"/>
        <v/>
      </c>
      <c r="E1740" s="152"/>
      <c r="F1740" s="106" t="s">
        <v>133</v>
      </c>
      <c r="G1740" s="152"/>
      <c r="H1740" s="106" t="s">
        <v>133</v>
      </c>
      <c r="J1740" s="139" t="s">
        <v>133</v>
      </c>
      <c r="K1740" s="136" t="s">
        <v>133</v>
      </c>
      <c r="L1740" s="153"/>
      <c r="M1740" s="136" t="str">
        <f t="shared" si="1"/>
        <v/>
      </c>
      <c r="O1740" s="141" t="s">
        <v>133</v>
      </c>
      <c r="P1740" s="136" t="str">
        <f>IFERROR(__xludf.DUMMYFUNCTION("""COMPUTED_VALUE"""),"")</f>
        <v/>
      </c>
      <c r="Q1740" s="136" t="str">
        <f>IFERROR(__xludf.DUMMYFUNCTION("""COMPUTED_VALUE"""),"")</f>
        <v/>
      </c>
      <c r="R1740" s="106" t="str">
        <f>IFERROR(__xludf.DUMMYFUNCTION("""COMPUTED_VALUE"""),"")</f>
        <v/>
      </c>
      <c r="S1740" s="106" t="str">
        <f>IFERROR(__xludf.DUMMYFUNCTION("""COMPUTED_VALUE"""),"")</f>
        <v/>
      </c>
      <c r="T1740" s="139" t="str">
        <f>IFERROR(__xludf.DUMMYFUNCTION("""COMPUTED_VALUE"""),"")</f>
        <v/>
      </c>
      <c r="U1740" s="139" t="str">
        <f>IFERROR(__xludf.DUMMYFUNCTION("""COMPUTED_VALUE"""),"")</f>
        <v/>
      </c>
      <c r="V1740" s="136" t="str">
        <f>IFERROR(__xludf.DUMMYFUNCTION("""COMPUTED_VALUE"""),"")</f>
        <v/>
      </c>
      <c r="W1740" s="106" t="str">
        <f>IFERROR(__xludf.DUMMYFUNCTION("""COMPUTED_VALUE"""),"")</f>
        <v/>
      </c>
      <c r="X1740" s="143" t="str">
        <f t="shared" si="2"/>
        <v/>
      </c>
      <c r="Y1740" s="139" t="str">
        <f>IFERROR(__xludf.DUMMYFUNCTION("""COMPUTED_VALUE"""),"")</f>
        <v/>
      </c>
      <c r="Z1740" s="141" t="str">
        <f>IFERROR(__xludf.DUMMYFUNCTION("""COMPUTED_VALUE"""),"")</f>
        <v/>
      </c>
    </row>
    <row r="1741">
      <c r="D1741" s="136" t="str">
        <f t="shared" si="3"/>
        <v/>
      </c>
      <c r="E1741" s="152"/>
      <c r="F1741" s="106" t="s">
        <v>133</v>
      </c>
      <c r="G1741" s="152"/>
      <c r="H1741" s="106" t="s">
        <v>133</v>
      </c>
      <c r="J1741" s="139" t="s">
        <v>133</v>
      </c>
      <c r="K1741" s="136" t="s">
        <v>133</v>
      </c>
      <c r="L1741" s="153"/>
      <c r="M1741" s="136" t="str">
        <f t="shared" si="1"/>
        <v/>
      </c>
      <c r="O1741" s="141" t="s">
        <v>133</v>
      </c>
      <c r="P1741" s="136" t="str">
        <f>IFERROR(__xludf.DUMMYFUNCTION("""COMPUTED_VALUE"""),"")</f>
        <v/>
      </c>
      <c r="Q1741" s="136" t="str">
        <f>IFERROR(__xludf.DUMMYFUNCTION("""COMPUTED_VALUE"""),"")</f>
        <v/>
      </c>
      <c r="R1741" s="106" t="str">
        <f>IFERROR(__xludf.DUMMYFUNCTION("""COMPUTED_VALUE"""),"")</f>
        <v/>
      </c>
      <c r="S1741" s="106" t="str">
        <f>IFERROR(__xludf.DUMMYFUNCTION("""COMPUTED_VALUE"""),"")</f>
        <v/>
      </c>
      <c r="T1741" s="139" t="str">
        <f>IFERROR(__xludf.DUMMYFUNCTION("""COMPUTED_VALUE"""),"")</f>
        <v/>
      </c>
      <c r="U1741" s="139" t="str">
        <f>IFERROR(__xludf.DUMMYFUNCTION("""COMPUTED_VALUE"""),"")</f>
        <v/>
      </c>
      <c r="V1741" s="136" t="str">
        <f>IFERROR(__xludf.DUMMYFUNCTION("""COMPUTED_VALUE"""),"")</f>
        <v/>
      </c>
      <c r="W1741" s="106" t="str">
        <f>IFERROR(__xludf.DUMMYFUNCTION("""COMPUTED_VALUE"""),"")</f>
        <v/>
      </c>
      <c r="X1741" s="143" t="str">
        <f t="shared" si="2"/>
        <v/>
      </c>
      <c r="Y1741" s="139" t="str">
        <f>IFERROR(__xludf.DUMMYFUNCTION("""COMPUTED_VALUE"""),"")</f>
        <v/>
      </c>
      <c r="Z1741" s="141" t="str">
        <f>IFERROR(__xludf.DUMMYFUNCTION("""COMPUTED_VALUE"""),"")</f>
        <v/>
      </c>
    </row>
    <row r="1742">
      <c r="D1742" s="136" t="str">
        <f t="shared" si="3"/>
        <v/>
      </c>
      <c r="E1742" s="152"/>
      <c r="F1742" s="106" t="s">
        <v>133</v>
      </c>
      <c r="G1742" s="152"/>
      <c r="H1742" s="106" t="s">
        <v>133</v>
      </c>
      <c r="J1742" s="139" t="s">
        <v>133</v>
      </c>
      <c r="K1742" s="136" t="s">
        <v>133</v>
      </c>
      <c r="L1742" s="153"/>
      <c r="M1742" s="136" t="str">
        <f t="shared" si="1"/>
        <v/>
      </c>
      <c r="O1742" s="141" t="s">
        <v>133</v>
      </c>
      <c r="P1742" s="136" t="str">
        <f>IFERROR(__xludf.DUMMYFUNCTION("""COMPUTED_VALUE"""),"")</f>
        <v/>
      </c>
      <c r="Q1742" s="136" t="str">
        <f>IFERROR(__xludf.DUMMYFUNCTION("""COMPUTED_VALUE"""),"")</f>
        <v/>
      </c>
      <c r="R1742" s="106" t="str">
        <f>IFERROR(__xludf.DUMMYFUNCTION("""COMPUTED_VALUE"""),"")</f>
        <v/>
      </c>
      <c r="S1742" s="106" t="str">
        <f>IFERROR(__xludf.DUMMYFUNCTION("""COMPUTED_VALUE"""),"")</f>
        <v/>
      </c>
      <c r="T1742" s="139" t="str">
        <f>IFERROR(__xludf.DUMMYFUNCTION("""COMPUTED_VALUE"""),"")</f>
        <v/>
      </c>
      <c r="U1742" s="139" t="str">
        <f>IFERROR(__xludf.DUMMYFUNCTION("""COMPUTED_VALUE"""),"")</f>
        <v/>
      </c>
      <c r="V1742" s="136" t="str">
        <f>IFERROR(__xludf.DUMMYFUNCTION("""COMPUTED_VALUE"""),"")</f>
        <v/>
      </c>
      <c r="W1742" s="106" t="str">
        <f>IFERROR(__xludf.DUMMYFUNCTION("""COMPUTED_VALUE"""),"")</f>
        <v/>
      </c>
      <c r="X1742" s="143" t="str">
        <f t="shared" si="2"/>
        <v/>
      </c>
      <c r="Y1742" s="139" t="str">
        <f>IFERROR(__xludf.DUMMYFUNCTION("""COMPUTED_VALUE"""),"")</f>
        <v/>
      </c>
      <c r="Z1742" s="141" t="str">
        <f>IFERROR(__xludf.DUMMYFUNCTION("""COMPUTED_VALUE"""),"")</f>
        <v/>
      </c>
    </row>
    <row r="1743">
      <c r="D1743" s="136" t="str">
        <f t="shared" si="3"/>
        <v/>
      </c>
      <c r="E1743" s="152"/>
      <c r="F1743" s="106" t="s">
        <v>133</v>
      </c>
      <c r="G1743" s="152"/>
      <c r="H1743" s="106" t="s">
        <v>133</v>
      </c>
      <c r="J1743" s="139" t="s">
        <v>133</v>
      </c>
      <c r="K1743" s="136" t="s">
        <v>133</v>
      </c>
      <c r="L1743" s="153"/>
      <c r="M1743" s="136" t="str">
        <f t="shared" si="1"/>
        <v/>
      </c>
      <c r="O1743" s="141" t="s">
        <v>133</v>
      </c>
      <c r="P1743" s="136" t="str">
        <f>IFERROR(__xludf.DUMMYFUNCTION("""COMPUTED_VALUE"""),"")</f>
        <v/>
      </c>
      <c r="Q1743" s="136" t="str">
        <f>IFERROR(__xludf.DUMMYFUNCTION("""COMPUTED_VALUE"""),"")</f>
        <v/>
      </c>
      <c r="R1743" s="106" t="str">
        <f>IFERROR(__xludf.DUMMYFUNCTION("""COMPUTED_VALUE"""),"")</f>
        <v/>
      </c>
      <c r="S1743" s="106" t="str">
        <f>IFERROR(__xludf.DUMMYFUNCTION("""COMPUTED_VALUE"""),"")</f>
        <v/>
      </c>
      <c r="T1743" s="139" t="str">
        <f>IFERROR(__xludf.DUMMYFUNCTION("""COMPUTED_VALUE"""),"")</f>
        <v/>
      </c>
      <c r="U1743" s="139" t="str">
        <f>IFERROR(__xludf.DUMMYFUNCTION("""COMPUTED_VALUE"""),"")</f>
        <v/>
      </c>
      <c r="V1743" s="136" t="str">
        <f>IFERROR(__xludf.DUMMYFUNCTION("""COMPUTED_VALUE"""),"")</f>
        <v/>
      </c>
      <c r="W1743" s="106" t="str">
        <f>IFERROR(__xludf.DUMMYFUNCTION("""COMPUTED_VALUE"""),"")</f>
        <v/>
      </c>
      <c r="X1743" s="143" t="str">
        <f t="shared" si="2"/>
        <v/>
      </c>
      <c r="Y1743" s="139" t="str">
        <f>IFERROR(__xludf.DUMMYFUNCTION("""COMPUTED_VALUE"""),"")</f>
        <v/>
      </c>
      <c r="Z1743" s="141" t="str">
        <f>IFERROR(__xludf.DUMMYFUNCTION("""COMPUTED_VALUE"""),"")</f>
        <v/>
      </c>
    </row>
    <row r="1744">
      <c r="D1744" s="136" t="str">
        <f t="shared" si="3"/>
        <v/>
      </c>
      <c r="E1744" s="152"/>
      <c r="F1744" s="106" t="s">
        <v>133</v>
      </c>
      <c r="G1744" s="152"/>
      <c r="H1744" s="106" t="s">
        <v>133</v>
      </c>
      <c r="J1744" s="139" t="s">
        <v>133</v>
      </c>
      <c r="K1744" s="136" t="s">
        <v>133</v>
      </c>
      <c r="L1744" s="153"/>
      <c r="M1744" s="136" t="str">
        <f t="shared" si="1"/>
        <v/>
      </c>
      <c r="O1744" s="141" t="s">
        <v>133</v>
      </c>
      <c r="P1744" s="136" t="str">
        <f>IFERROR(__xludf.DUMMYFUNCTION("""COMPUTED_VALUE"""),"")</f>
        <v/>
      </c>
      <c r="Q1744" s="136" t="str">
        <f>IFERROR(__xludf.DUMMYFUNCTION("""COMPUTED_VALUE"""),"")</f>
        <v/>
      </c>
      <c r="R1744" s="106" t="str">
        <f>IFERROR(__xludf.DUMMYFUNCTION("""COMPUTED_VALUE"""),"")</f>
        <v/>
      </c>
      <c r="S1744" s="106" t="str">
        <f>IFERROR(__xludf.DUMMYFUNCTION("""COMPUTED_VALUE"""),"")</f>
        <v/>
      </c>
      <c r="T1744" s="139" t="str">
        <f>IFERROR(__xludf.DUMMYFUNCTION("""COMPUTED_VALUE"""),"")</f>
        <v/>
      </c>
      <c r="U1744" s="139" t="str">
        <f>IFERROR(__xludf.DUMMYFUNCTION("""COMPUTED_VALUE"""),"")</f>
        <v/>
      </c>
      <c r="V1744" s="136" t="str">
        <f>IFERROR(__xludf.DUMMYFUNCTION("""COMPUTED_VALUE"""),"")</f>
        <v/>
      </c>
      <c r="W1744" s="106" t="str">
        <f>IFERROR(__xludf.DUMMYFUNCTION("""COMPUTED_VALUE"""),"")</f>
        <v/>
      </c>
      <c r="X1744" s="143" t="str">
        <f t="shared" si="2"/>
        <v/>
      </c>
      <c r="Y1744" s="139" t="str">
        <f>IFERROR(__xludf.DUMMYFUNCTION("""COMPUTED_VALUE"""),"")</f>
        <v/>
      </c>
      <c r="Z1744" s="141" t="str">
        <f>IFERROR(__xludf.DUMMYFUNCTION("""COMPUTED_VALUE"""),"")</f>
        <v/>
      </c>
    </row>
    <row r="1745">
      <c r="D1745" s="136" t="str">
        <f t="shared" si="3"/>
        <v/>
      </c>
      <c r="E1745" s="152"/>
      <c r="F1745" s="106" t="s">
        <v>133</v>
      </c>
      <c r="G1745" s="152"/>
      <c r="H1745" s="106" t="s">
        <v>133</v>
      </c>
      <c r="J1745" s="139" t="s">
        <v>133</v>
      </c>
      <c r="K1745" s="136" t="s">
        <v>133</v>
      </c>
      <c r="L1745" s="153"/>
      <c r="M1745" s="136" t="str">
        <f t="shared" si="1"/>
        <v/>
      </c>
      <c r="O1745" s="141" t="s">
        <v>133</v>
      </c>
      <c r="P1745" s="136" t="str">
        <f>IFERROR(__xludf.DUMMYFUNCTION("""COMPUTED_VALUE"""),"")</f>
        <v/>
      </c>
      <c r="Q1745" s="136" t="str">
        <f>IFERROR(__xludf.DUMMYFUNCTION("""COMPUTED_VALUE"""),"")</f>
        <v/>
      </c>
      <c r="R1745" s="106" t="str">
        <f>IFERROR(__xludf.DUMMYFUNCTION("""COMPUTED_VALUE"""),"")</f>
        <v/>
      </c>
      <c r="S1745" s="106" t="str">
        <f>IFERROR(__xludf.DUMMYFUNCTION("""COMPUTED_VALUE"""),"")</f>
        <v/>
      </c>
      <c r="T1745" s="139" t="str">
        <f>IFERROR(__xludf.DUMMYFUNCTION("""COMPUTED_VALUE"""),"")</f>
        <v/>
      </c>
      <c r="U1745" s="139" t="str">
        <f>IFERROR(__xludf.DUMMYFUNCTION("""COMPUTED_VALUE"""),"")</f>
        <v/>
      </c>
      <c r="V1745" s="136" t="str">
        <f>IFERROR(__xludf.DUMMYFUNCTION("""COMPUTED_VALUE"""),"")</f>
        <v/>
      </c>
      <c r="W1745" s="106" t="str">
        <f>IFERROR(__xludf.DUMMYFUNCTION("""COMPUTED_VALUE"""),"")</f>
        <v/>
      </c>
      <c r="X1745" s="143" t="str">
        <f t="shared" si="2"/>
        <v/>
      </c>
      <c r="Y1745" s="139" t="str">
        <f>IFERROR(__xludf.DUMMYFUNCTION("""COMPUTED_VALUE"""),"")</f>
        <v/>
      </c>
      <c r="Z1745" s="141" t="str">
        <f>IFERROR(__xludf.DUMMYFUNCTION("""COMPUTED_VALUE"""),"")</f>
        <v/>
      </c>
    </row>
    <row r="1746">
      <c r="D1746" s="136" t="str">
        <f t="shared" si="3"/>
        <v/>
      </c>
      <c r="E1746" s="152"/>
      <c r="F1746" s="106" t="s">
        <v>133</v>
      </c>
      <c r="G1746" s="152"/>
      <c r="H1746" s="106" t="s">
        <v>133</v>
      </c>
      <c r="J1746" s="139" t="s">
        <v>133</v>
      </c>
      <c r="K1746" s="136" t="s">
        <v>133</v>
      </c>
      <c r="L1746" s="153"/>
      <c r="M1746" s="136" t="str">
        <f t="shared" si="1"/>
        <v/>
      </c>
      <c r="O1746" s="141" t="s">
        <v>133</v>
      </c>
      <c r="P1746" s="136" t="str">
        <f>IFERROR(__xludf.DUMMYFUNCTION("""COMPUTED_VALUE"""),"")</f>
        <v/>
      </c>
      <c r="Q1746" s="136" t="str">
        <f>IFERROR(__xludf.DUMMYFUNCTION("""COMPUTED_VALUE"""),"")</f>
        <v/>
      </c>
      <c r="R1746" s="106" t="str">
        <f>IFERROR(__xludf.DUMMYFUNCTION("""COMPUTED_VALUE"""),"")</f>
        <v/>
      </c>
      <c r="S1746" s="106" t="str">
        <f>IFERROR(__xludf.DUMMYFUNCTION("""COMPUTED_VALUE"""),"")</f>
        <v/>
      </c>
      <c r="T1746" s="139" t="str">
        <f>IFERROR(__xludf.DUMMYFUNCTION("""COMPUTED_VALUE"""),"")</f>
        <v/>
      </c>
      <c r="U1746" s="139" t="str">
        <f>IFERROR(__xludf.DUMMYFUNCTION("""COMPUTED_VALUE"""),"")</f>
        <v/>
      </c>
      <c r="V1746" s="136" t="str">
        <f>IFERROR(__xludf.DUMMYFUNCTION("""COMPUTED_VALUE"""),"")</f>
        <v/>
      </c>
      <c r="W1746" s="106" t="str">
        <f>IFERROR(__xludf.DUMMYFUNCTION("""COMPUTED_VALUE"""),"")</f>
        <v/>
      </c>
      <c r="X1746" s="143" t="str">
        <f t="shared" si="2"/>
        <v/>
      </c>
      <c r="Y1746" s="139" t="str">
        <f>IFERROR(__xludf.DUMMYFUNCTION("""COMPUTED_VALUE"""),"")</f>
        <v/>
      </c>
      <c r="Z1746" s="141" t="str">
        <f>IFERROR(__xludf.DUMMYFUNCTION("""COMPUTED_VALUE"""),"")</f>
        <v/>
      </c>
    </row>
    <row r="1747">
      <c r="D1747" s="136" t="str">
        <f t="shared" si="3"/>
        <v/>
      </c>
      <c r="E1747" s="152"/>
      <c r="F1747" s="106" t="s">
        <v>133</v>
      </c>
      <c r="G1747" s="152"/>
      <c r="H1747" s="106" t="s">
        <v>133</v>
      </c>
      <c r="J1747" s="139" t="s">
        <v>133</v>
      </c>
      <c r="K1747" s="136" t="s">
        <v>133</v>
      </c>
      <c r="L1747" s="153"/>
      <c r="M1747" s="136" t="str">
        <f t="shared" si="1"/>
        <v/>
      </c>
      <c r="O1747" s="141" t="s">
        <v>133</v>
      </c>
      <c r="P1747" s="136" t="str">
        <f>IFERROR(__xludf.DUMMYFUNCTION("""COMPUTED_VALUE"""),"")</f>
        <v/>
      </c>
      <c r="Q1747" s="136" t="str">
        <f>IFERROR(__xludf.DUMMYFUNCTION("""COMPUTED_VALUE"""),"")</f>
        <v/>
      </c>
      <c r="R1747" s="106" t="str">
        <f>IFERROR(__xludf.DUMMYFUNCTION("""COMPUTED_VALUE"""),"")</f>
        <v/>
      </c>
      <c r="S1747" s="106" t="str">
        <f>IFERROR(__xludf.DUMMYFUNCTION("""COMPUTED_VALUE"""),"")</f>
        <v/>
      </c>
      <c r="T1747" s="139" t="str">
        <f>IFERROR(__xludf.DUMMYFUNCTION("""COMPUTED_VALUE"""),"")</f>
        <v/>
      </c>
      <c r="U1747" s="139" t="str">
        <f>IFERROR(__xludf.DUMMYFUNCTION("""COMPUTED_VALUE"""),"")</f>
        <v/>
      </c>
      <c r="V1747" s="136" t="str">
        <f>IFERROR(__xludf.DUMMYFUNCTION("""COMPUTED_VALUE"""),"")</f>
        <v/>
      </c>
      <c r="W1747" s="106" t="str">
        <f>IFERROR(__xludf.DUMMYFUNCTION("""COMPUTED_VALUE"""),"")</f>
        <v/>
      </c>
      <c r="X1747" s="143" t="str">
        <f t="shared" si="2"/>
        <v/>
      </c>
      <c r="Y1747" s="139" t="str">
        <f>IFERROR(__xludf.DUMMYFUNCTION("""COMPUTED_VALUE"""),"")</f>
        <v/>
      </c>
      <c r="Z1747" s="141" t="str">
        <f>IFERROR(__xludf.DUMMYFUNCTION("""COMPUTED_VALUE"""),"")</f>
        <v/>
      </c>
    </row>
    <row r="1748">
      <c r="D1748" s="136" t="str">
        <f t="shared" si="3"/>
        <v/>
      </c>
      <c r="E1748" s="152"/>
      <c r="F1748" s="106" t="s">
        <v>133</v>
      </c>
      <c r="G1748" s="152"/>
      <c r="H1748" s="106" t="s">
        <v>133</v>
      </c>
      <c r="J1748" s="139" t="s">
        <v>133</v>
      </c>
      <c r="K1748" s="136" t="s">
        <v>133</v>
      </c>
      <c r="L1748" s="153"/>
      <c r="M1748" s="136" t="str">
        <f t="shared" si="1"/>
        <v/>
      </c>
      <c r="O1748" s="141" t="s">
        <v>133</v>
      </c>
      <c r="P1748" s="136" t="str">
        <f>IFERROR(__xludf.DUMMYFUNCTION("""COMPUTED_VALUE"""),"")</f>
        <v/>
      </c>
      <c r="Q1748" s="136" t="str">
        <f>IFERROR(__xludf.DUMMYFUNCTION("""COMPUTED_VALUE"""),"")</f>
        <v/>
      </c>
      <c r="R1748" s="106" t="str">
        <f>IFERROR(__xludf.DUMMYFUNCTION("""COMPUTED_VALUE"""),"")</f>
        <v/>
      </c>
      <c r="S1748" s="106" t="str">
        <f>IFERROR(__xludf.DUMMYFUNCTION("""COMPUTED_VALUE"""),"")</f>
        <v/>
      </c>
      <c r="T1748" s="139" t="str">
        <f>IFERROR(__xludf.DUMMYFUNCTION("""COMPUTED_VALUE"""),"")</f>
        <v/>
      </c>
      <c r="U1748" s="139" t="str">
        <f>IFERROR(__xludf.DUMMYFUNCTION("""COMPUTED_VALUE"""),"")</f>
        <v/>
      </c>
      <c r="V1748" s="136" t="str">
        <f>IFERROR(__xludf.DUMMYFUNCTION("""COMPUTED_VALUE"""),"")</f>
        <v/>
      </c>
      <c r="W1748" s="106" t="str">
        <f>IFERROR(__xludf.DUMMYFUNCTION("""COMPUTED_VALUE"""),"")</f>
        <v/>
      </c>
      <c r="X1748" s="143" t="str">
        <f t="shared" si="2"/>
        <v/>
      </c>
      <c r="Y1748" s="139" t="str">
        <f>IFERROR(__xludf.DUMMYFUNCTION("""COMPUTED_VALUE"""),"")</f>
        <v/>
      </c>
      <c r="Z1748" s="141" t="str">
        <f>IFERROR(__xludf.DUMMYFUNCTION("""COMPUTED_VALUE"""),"")</f>
        <v/>
      </c>
    </row>
    <row r="1749">
      <c r="D1749" s="136" t="str">
        <f t="shared" si="3"/>
        <v/>
      </c>
      <c r="E1749" s="152"/>
      <c r="F1749" s="106" t="s">
        <v>133</v>
      </c>
      <c r="G1749" s="152"/>
      <c r="H1749" s="106" t="s">
        <v>133</v>
      </c>
      <c r="J1749" s="139" t="s">
        <v>133</v>
      </c>
      <c r="K1749" s="136" t="s">
        <v>133</v>
      </c>
      <c r="L1749" s="153"/>
      <c r="M1749" s="136" t="str">
        <f t="shared" si="1"/>
        <v/>
      </c>
      <c r="O1749" s="141" t="s">
        <v>133</v>
      </c>
      <c r="P1749" s="136" t="str">
        <f>IFERROR(__xludf.DUMMYFUNCTION("""COMPUTED_VALUE"""),"")</f>
        <v/>
      </c>
      <c r="Q1749" s="136" t="str">
        <f>IFERROR(__xludf.DUMMYFUNCTION("""COMPUTED_VALUE"""),"")</f>
        <v/>
      </c>
      <c r="R1749" s="106" t="str">
        <f>IFERROR(__xludf.DUMMYFUNCTION("""COMPUTED_VALUE"""),"")</f>
        <v/>
      </c>
      <c r="S1749" s="106" t="str">
        <f>IFERROR(__xludf.DUMMYFUNCTION("""COMPUTED_VALUE"""),"")</f>
        <v/>
      </c>
      <c r="T1749" s="139" t="str">
        <f>IFERROR(__xludf.DUMMYFUNCTION("""COMPUTED_VALUE"""),"")</f>
        <v/>
      </c>
      <c r="U1749" s="139" t="str">
        <f>IFERROR(__xludf.DUMMYFUNCTION("""COMPUTED_VALUE"""),"")</f>
        <v/>
      </c>
      <c r="V1749" s="136" t="str">
        <f>IFERROR(__xludf.DUMMYFUNCTION("""COMPUTED_VALUE"""),"")</f>
        <v/>
      </c>
      <c r="W1749" s="106" t="str">
        <f>IFERROR(__xludf.DUMMYFUNCTION("""COMPUTED_VALUE"""),"")</f>
        <v/>
      </c>
      <c r="X1749" s="143" t="str">
        <f t="shared" si="2"/>
        <v/>
      </c>
      <c r="Y1749" s="139" t="str">
        <f>IFERROR(__xludf.DUMMYFUNCTION("""COMPUTED_VALUE"""),"")</f>
        <v/>
      </c>
      <c r="Z1749" s="141" t="str">
        <f>IFERROR(__xludf.DUMMYFUNCTION("""COMPUTED_VALUE"""),"")</f>
        <v/>
      </c>
    </row>
    <row r="1750">
      <c r="D1750" s="136" t="str">
        <f t="shared" si="3"/>
        <v/>
      </c>
      <c r="E1750" s="152"/>
      <c r="F1750" s="106" t="s">
        <v>133</v>
      </c>
      <c r="G1750" s="152"/>
      <c r="H1750" s="106" t="s">
        <v>133</v>
      </c>
      <c r="J1750" s="139" t="s">
        <v>133</v>
      </c>
      <c r="K1750" s="136" t="s">
        <v>133</v>
      </c>
      <c r="L1750" s="153"/>
      <c r="M1750" s="136" t="str">
        <f t="shared" si="1"/>
        <v/>
      </c>
      <c r="O1750" s="141" t="s">
        <v>133</v>
      </c>
      <c r="P1750" s="136" t="str">
        <f>IFERROR(__xludf.DUMMYFUNCTION("""COMPUTED_VALUE"""),"")</f>
        <v/>
      </c>
      <c r="Q1750" s="136" t="str">
        <f>IFERROR(__xludf.DUMMYFUNCTION("""COMPUTED_VALUE"""),"")</f>
        <v/>
      </c>
      <c r="R1750" s="106" t="str">
        <f>IFERROR(__xludf.DUMMYFUNCTION("""COMPUTED_VALUE"""),"")</f>
        <v/>
      </c>
      <c r="S1750" s="106" t="str">
        <f>IFERROR(__xludf.DUMMYFUNCTION("""COMPUTED_VALUE"""),"")</f>
        <v/>
      </c>
      <c r="T1750" s="139" t="str">
        <f>IFERROR(__xludf.DUMMYFUNCTION("""COMPUTED_VALUE"""),"")</f>
        <v/>
      </c>
      <c r="U1750" s="139" t="str">
        <f>IFERROR(__xludf.DUMMYFUNCTION("""COMPUTED_VALUE"""),"")</f>
        <v/>
      </c>
      <c r="V1750" s="136" t="str">
        <f>IFERROR(__xludf.DUMMYFUNCTION("""COMPUTED_VALUE"""),"")</f>
        <v/>
      </c>
      <c r="W1750" s="106" t="str">
        <f>IFERROR(__xludf.DUMMYFUNCTION("""COMPUTED_VALUE"""),"")</f>
        <v/>
      </c>
      <c r="X1750" s="143" t="str">
        <f t="shared" si="2"/>
        <v/>
      </c>
      <c r="Y1750" s="139" t="str">
        <f>IFERROR(__xludf.DUMMYFUNCTION("""COMPUTED_VALUE"""),"")</f>
        <v/>
      </c>
      <c r="Z1750" s="141" t="str">
        <f>IFERROR(__xludf.DUMMYFUNCTION("""COMPUTED_VALUE"""),"")</f>
        <v/>
      </c>
    </row>
    <row r="1751">
      <c r="D1751" s="136" t="str">
        <f t="shared" si="3"/>
        <v/>
      </c>
      <c r="E1751" s="152"/>
      <c r="F1751" s="106" t="s">
        <v>133</v>
      </c>
      <c r="G1751" s="152"/>
      <c r="H1751" s="106" t="s">
        <v>133</v>
      </c>
      <c r="J1751" s="139" t="s">
        <v>133</v>
      </c>
      <c r="K1751" s="136" t="s">
        <v>133</v>
      </c>
      <c r="L1751" s="153"/>
      <c r="M1751" s="136" t="str">
        <f t="shared" si="1"/>
        <v/>
      </c>
      <c r="O1751" s="141" t="s">
        <v>133</v>
      </c>
      <c r="P1751" s="136" t="str">
        <f>IFERROR(__xludf.DUMMYFUNCTION("""COMPUTED_VALUE"""),"")</f>
        <v/>
      </c>
      <c r="Q1751" s="136" t="str">
        <f>IFERROR(__xludf.DUMMYFUNCTION("""COMPUTED_VALUE"""),"")</f>
        <v/>
      </c>
      <c r="R1751" s="106" t="str">
        <f>IFERROR(__xludf.DUMMYFUNCTION("""COMPUTED_VALUE"""),"")</f>
        <v/>
      </c>
      <c r="S1751" s="106" t="str">
        <f>IFERROR(__xludf.DUMMYFUNCTION("""COMPUTED_VALUE"""),"")</f>
        <v/>
      </c>
      <c r="T1751" s="139" t="str">
        <f>IFERROR(__xludf.DUMMYFUNCTION("""COMPUTED_VALUE"""),"")</f>
        <v/>
      </c>
      <c r="U1751" s="139" t="str">
        <f>IFERROR(__xludf.DUMMYFUNCTION("""COMPUTED_VALUE"""),"")</f>
        <v/>
      </c>
      <c r="V1751" s="136" t="str">
        <f>IFERROR(__xludf.DUMMYFUNCTION("""COMPUTED_VALUE"""),"")</f>
        <v/>
      </c>
      <c r="W1751" s="106" t="str">
        <f>IFERROR(__xludf.DUMMYFUNCTION("""COMPUTED_VALUE"""),"")</f>
        <v/>
      </c>
      <c r="X1751" s="143" t="str">
        <f t="shared" si="2"/>
        <v/>
      </c>
      <c r="Y1751" s="139" t="str">
        <f>IFERROR(__xludf.DUMMYFUNCTION("""COMPUTED_VALUE"""),"")</f>
        <v/>
      </c>
      <c r="Z1751" s="141" t="str">
        <f>IFERROR(__xludf.DUMMYFUNCTION("""COMPUTED_VALUE"""),"")</f>
        <v/>
      </c>
    </row>
    <row r="1752">
      <c r="D1752" s="136" t="str">
        <f t="shared" si="3"/>
        <v/>
      </c>
      <c r="E1752" s="152"/>
      <c r="F1752" s="106" t="s">
        <v>133</v>
      </c>
      <c r="G1752" s="152"/>
      <c r="H1752" s="106" t="s">
        <v>133</v>
      </c>
      <c r="J1752" s="139" t="s">
        <v>133</v>
      </c>
      <c r="K1752" s="136" t="s">
        <v>133</v>
      </c>
      <c r="L1752" s="153"/>
      <c r="M1752" s="136" t="str">
        <f t="shared" si="1"/>
        <v/>
      </c>
      <c r="O1752" s="141" t="s">
        <v>133</v>
      </c>
      <c r="P1752" s="136" t="str">
        <f>IFERROR(__xludf.DUMMYFUNCTION("""COMPUTED_VALUE"""),"")</f>
        <v/>
      </c>
      <c r="Q1752" s="136" t="str">
        <f>IFERROR(__xludf.DUMMYFUNCTION("""COMPUTED_VALUE"""),"")</f>
        <v/>
      </c>
      <c r="R1752" s="106" t="str">
        <f>IFERROR(__xludf.DUMMYFUNCTION("""COMPUTED_VALUE"""),"")</f>
        <v/>
      </c>
      <c r="S1752" s="106" t="str">
        <f>IFERROR(__xludf.DUMMYFUNCTION("""COMPUTED_VALUE"""),"")</f>
        <v/>
      </c>
      <c r="T1752" s="139" t="str">
        <f>IFERROR(__xludf.DUMMYFUNCTION("""COMPUTED_VALUE"""),"")</f>
        <v/>
      </c>
      <c r="U1752" s="139" t="str">
        <f>IFERROR(__xludf.DUMMYFUNCTION("""COMPUTED_VALUE"""),"")</f>
        <v/>
      </c>
      <c r="V1752" s="136" t="str">
        <f>IFERROR(__xludf.DUMMYFUNCTION("""COMPUTED_VALUE"""),"")</f>
        <v/>
      </c>
      <c r="W1752" s="106" t="str">
        <f>IFERROR(__xludf.DUMMYFUNCTION("""COMPUTED_VALUE"""),"")</f>
        <v/>
      </c>
      <c r="X1752" s="143" t="str">
        <f t="shared" si="2"/>
        <v/>
      </c>
      <c r="Y1752" s="139" t="str">
        <f>IFERROR(__xludf.DUMMYFUNCTION("""COMPUTED_VALUE"""),"")</f>
        <v/>
      </c>
      <c r="Z1752" s="141" t="str">
        <f>IFERROR(__xludf.DUMMYFUNCTION("""COMPUTED_VALUE"""),"")</f>
        <v/>
      </c>
    </row>
    <row r="1753">
      <c r="D1753" s="136" t="str">
        <f t="shared" si="3"/>
        <v/>
      </c>
      <c r="E1753" s="152"/>
      <c r="F1753" s="106" t="s">
        <v>133</v>
      </c>
      <c r="G1753" s="152"/>
      <c r="H1753" s="106" t="s">
        <v>133</v>
      </c>
      <c r="J1753" s="139" t="s">
        <v>133</v>
      </c>
      <c r="K1753" s="136" t="s">
        <v>133</v>
      </c>
      <c r="L1753" s="153"/>
      <c r="M1753" s="136" t="str">
        <f t="shared" si="1"/>
        <v/>
      </c>
      <c r="O1753" s="141" t="s">
        <v>133</v>
      </c>
      <c r="P1753" s="136" t="str">
        <f>IFERROR(__xludf.DUMMYFUNCTION("""COMPUTED_VALUE"""),"")</f>
        <v/>
      </c>
      <c r="Q1753" s="136" t="str">
        <f>IFERROR(__xludf.DUMMYFUNCTION("""COMPUTED_VALUE"""),"")</f>
        <v/>
      </c>
      <c r="R1753" s="106" t="str">
        <f>IFERROR(__xludf.DUMMYFUNCTION("""COMPUTED_VALUE"""),"")</f>
        <v/>
      </c>
      <c r="S1753" s="106" t="str">
        <f>IFERROR(__xludf.DUMMYFUNCTION("""COMPUTED_VALUE"""),"")</f>
        <v/>
      </c>
      <c r="T1753" s="139" t="str">
        <f>IFERROR(__xludf.DUMMYFUNCTION("""COMPUTED_VALUE"""),"")</f>
        <v/>
      </c>
      <c r="U1753" s="139" t="str">
        <f>IFERROR(__xludf.DUMMYFUNCTION("""COMPUTED_VALUE"""),"")</f>
        <v/>
      </c>
      <c r="V1753" s="136" t="str">
        <f>IFERROR(__xludf.DUMMYFUNCTION("""COMPUTED_VALUE"""),"")</f>
        <v/>
      </c>
      <c r="W1753" s="106" t="str">
        <f>IFERROR(__xludf.DUMMYFUNCTION("""COMPUTED_VALUE"""),"")</f>
        <v/>
      </c>
      <c r="X1753" s="143" t="str">
        <f t="shared" si="2"/>
        <v/>
      </c>
      <c r="Y1753" s="139" t="str">
        <f>IFERROR(__xludf.DUMMYFUNCTION("""COMPUTED_VALUE"""),"")</f>
        <v/>
      </c>
      <c r="Z1753" s="141" t="str">
        <f>IFERROR(__xludf.DUMMYFUNCTION("""COMPUTED_VALUE"""),"")</f>
        <v/>
      </c>
    </row>
    <row r="1754">
      <c r="D1754" s="136" t="str">
        <f t="shared" si="3"/>
        <v/>
      </c>
      <c r="E1754" s="152"/>
      <c r="F1754" s="106" t="s">
        <v>133</v>
      </c>
      <c r="G1754" s="152"/>
      <c r="H1754" s="106" t="s">
        <v>133</v>
      </c>
      <c r="J1754" s="139" t="s">
        <v>133</v>
      </c>
      <c r="K1754" s="136" t="s">
        <v>133</v>
      </c>
      <c r="L1754" s="153"/>
      <c r="M1754" s="136" t="str">
        <f t="shared" si="1"/>
        <v/>
      </c>
      <c r="O1754" s="141" t="s">
        <v>133</v>
      </c>
      <c r="P1754" s="136" t="str">
        <f>IFERROR(__xludf.DUMMYFUNCTION("""COMPUTED_VALUE"""),"")</f>
        <v/>
      </c>
      <c r="Q1754" s="136" t="str">
        <f>IFERROR(__xludf.DUMMYFUNCTION("""COMPUTED_VALUE"""),"")</f>
        <v/>
      </c>
      <c r="R1754" s="106" t="str">
        <f>IFERROR(__xludf.DUMMYFUNCTION("""COMPUTED_VALUE"""),"")</f>
        <v/>
      </c>
      <c r="S1754" s="106" t="str">
        <f>IFERROR(__xludf.DUMMYFUNCTION("""COMPUTED_VALUE"""),"")</f>
        <v/>
      </c>
      <c r="T1754" s="139" t="str">
        <f>IFERROR(__xludf.DUMMYFUNCTION("""COMPUTED_VALUE"""),"")</f>
        <v/>
      </c>
      <c r="U1754" s="139" t="str">
        <f>IFERROR(__xludf.DUMMYFUNCTION("""COMPUTED_VALUE"""),"")</f>
        <v/>
      </c>
      <c r="V1754" s="136" t="str">
        <f>IFERROR(__xludf.DUMMYFUNCTION("""COMPUTED_VALUE"""),"")</f>
        <v/>
      </c>
      <c r="W1754" s="106" t="str">
        <f>IFERROR(__xludf.DUMMYFUNCTION("""COMPUTED_VALUE"""),"")</f>
        <v/>
      </c>
      <c r="X1754" s="143" t="str">
        <f t="shared" si="2"/>
        <v/>
      </c>
      <c r="Y1754" s="139" t="str">
        <f>IFERROR(__xludf.DUMMYFUNCTION("""COMPUTED_VALUE"""),"")</f>
        <v/>
      </c>
      <c r="Z1754" s="141" t="str">
        <f>IFERROR(__xludf.DUMMYFUNCTION("""COMPUTED_VALUE"""),"")</f>
        <v/>
      </c>
    </row>
    <row r="1755">
      <c r="D1755" s="136" t="str">
        <f t="shared" si="3"/>
        <v/>
      </c>
      <c r="E1755" s="152"/>
      <c r="F1755" s="106" t="s">
        <v>133</v>
      </c>
      <c r="G1755" s="152"/>
      <c r="H1755" s="106" t="s">
        <v>133</v>
      </c>
      <c r="J1755" s="139" t="s">
        <v>133</v>
      </c>
      <c r="K1755" s="136" t="s">
        <v>133</v>
      </c>
      <c r="L1755" s="153"/>
      <c r="M1755" s="136" t="str">
        <f t="shared" si="1"/>
        <v/>
      </c>
      <c r="O1755" s="141" t="s">
        <v>133</v>
      </c>
      <c r="P1755" s="136" t="str">
        <f>IFERROR(__xludf.DUMMYFUNCTION("""COMPUTED_VALUE"""),"")</f>
        <v/>
      </c>
      <c r="Q1755" s="136" t="str">
        <f>IFERROR(__xludf.DUMMYFUNCTION("""COMPUTED_VALUE"""),"")</f>
        <v/>
      </c>
      <c r="R1755" s="106" t="str">
        <f>IFERROR(__xludf.DUMMYFUNCTION("""COMPUTED_VALUE"""),"")</f>
        <v/>
      </c>
      <c r="S1755" s="106" t="str">
        <f>IFERROR(__xludf.DUMMYFUNCTION("""COMPUTED_VALUE"""),"")</f>
        <v/>
      </c>
      <c r="T1755" s="139" t="str">
        <f>IFERROR(__xludf.DUMMYFUNCTION("""COMPUTED_VALUE"""),"")</f>
        <v/>
      </c>
      <c r="U1755" s="139" t="str">
        <f>IFERROR(__xludf.DUMMYFUNCTION("""COMPUTED_VALUE"""),"")</f>
        <v/>
      </c>
      <c r="V1755" s="136" t="str">
        <f>IFERROR(__xludf.DUMMYFUNCTION("""COMPUTED_VALUE"""),"")</f>
        <v/>
      </c>
      <c r="W1755" s="106" t="str">
        <f>IFERROR(__xludf.DUMMYFUNCTION("""COMPUTED_VALUE"""),"")</f>
        <v/>
      </c>
      <c r="X1755" s="143" t="str">
        <f t="shared" si="2"/>
        <v/>
      </c>
      <c r="Y1755" s="139" t="str">
        <f>IFERROR(__xludf.DUMMYFUNCTION("""COMPUTED_VALUE"""),"")</f>
        <v/>
      </c>
      <c r="Z1755" s="141" t="str">
        <f>IFERROR(__xludf.DUMMYFUNCTION("""COMPUTED_VALUE"""),"")</f>
        <v/>
      </c>
    </row>
    <row r="1756">
      <c r="D1756" s="136" t="str">
        <f t="shared" si="3"/>
        <v/>
      </c>
      <c r="E1756" s="152"/>
      <c r="F1756" s="106" t="s">
        <v>133</v>
      </c>
      <c r="G1756" s="152"/>
      <c r="H1756" s="106" t="s">
        <v>133</v>
      </c>
      <c r="J1756" s="139" t="s">
        <v>133</v>
      </c>
      <c r="K1756" s="136" t="s">
        <v>133</v>
      </c>
      <c r="L1756" s="153"/>
      <c r="M1756" s="136" t="str">
        <f t="shared" si="1"/>
        <v/>
      </c>
      <c r="O1756" s="141" t="s">
        <v>133</v>
      </c>
      <c r="P1756" s="136" t="str">
        <f>IFERROR(__xludf.DUMMYFUNCTION("""COMPUTED_VALUE"""),"")</f>
        <v/>
      </c>
      <c r="Q1756" s="136" t="str">
        <f>IFERROR(__xludf.DUMMYFUNCTION("""COMPUTED_VALUE"""),"")</f>
        <v/>
      </c>
      <c r="R1756" s="106" t="str">
        <f>IFERROR(__xludf.DUMMYFUNCTION("""COMPUTED_VALUE"""),"")</f>
        <v/>
      </c>
      <c r="S1756" s="106" t="str">
        <f>IFERROR(__xludf.DUMMYFUNCTION("""COMPUTED_VALUE"""),"")</f>
        <v/>
      </c>
      <c r="T1756" s="139" t="str">
        <f>IFERROR(__xludf.DUMMYFUNCTION("""COMPUTED_VALUE"""),"")</f>
        <v/>
      </c>
      <c r="U1756" s="139" t="str">
        <f>IFERROR(__xludf.DUMMYFUNCTION("""COMPUTED_VALUE"""),"")</f>
        <v/>
      </c>
      <c r="V1756" s="136" t="str">
        <f>IFERROR(__xludf.DUMMYFUNCTION("""COMPUTED_VALUE"""),"")</f>
        <v/>
      </c>
      <c r="W1756" s="106" t="str">
        <f>IFERROR(__xludf.DUMMYFUNCTION("""COMPUTED_VALUE"""),"")</f>
        <v/>
      </c>
      <c r="X1756" s="143" t="str">
        <f t="shared" si="2"/>
        <v/>
      </c>
      <c r="Y1756" s="139" t="str">
        <f>IFERROR(__xludf.DUMMYFUNCTION("""COMPUTED_VALUE"""),"")</f>
        <v/>
      </c>
      <c r="Z1756" s="141" t="str">
        <f>IFERROR(__xludf.DUMMYFUNCTION("""COMPUTED_VALUE"""),"")</f>
        <v/>
      </c>
    </row>
    <row r="1757">
      <c r="D1757" s="136" t="str">
        <f t="shared" si="3"/>
        <v/>
      </c>
      <c r="E1757" s="152"/>
      <c r="F1757" s="106" t="s">
        <v>133</v>
      </c>
      <c r="G1757" s="152"/>
      <c r="H1757" s="106" t="s">
        <v>133</v>
      </c>
      <c r="J1757" s="139" t="s">
        <v>133</v>
      </c>
      <c r="K1757" s="136" t="s">
        <v>133</v>
      </c>
      <c r="L1757" s="153"/>
      <c r="M1757" s="136" t="str">
        <f t="shared" si="1"/>
        <v/>
      </c>
      <c r="O1757" s="141" t="s">
        <v>133</v>
      </c>
      <c r="P1757" s="136" t="str">
        <f>IFERROR(__xludf.DUMMYFUNCTION("""COMPUTED_VALUE"""),"")</f>
        <v/>
      </c>
      <c r="Q1757" s="136" t="str">
        <f>IFERROR(__xludf.DUMMYFUNCTION("""COMPUTED_VALUE"""),"")</f>
        <v/>
      </c>
      <c r="R1757" s="106" t="str">
        <f>IFERROR(__xludf.DUMMYFUNCTION("""COMPUTED_VALUE"""),"")</f>
        <v/>
      </c>
      <c r="S1757" s="106" t="str">
        <f>IFERROR(__xludf.DUMMYFUNCTION("""COMPUTED_VALUE"""),"")</f>
        <v/>
      </c>
      <c r="T1757" s="139" t="str">
        <f>IFERROR(__xludf.DUMMYFUNCTION("""COMPUTED_VALUE"""),"")</f>
        <v/>
      </c>
      <c r="U1757" s="139" t="str">
        <f>IFERROR(__xludf.DUMMYFUNCTION("""COMPUTED_VALUE"""),"")</f>
        <v/>
      </c>
      <c r="V1757" s="136" t="str">
        <f>IFERROR(__xludf.DUMMYFUNCTION("""COMPUTED_VALUE"""),"")</f>
        <v/>
      </c>
      <c r="W1757" s="106" t="str">
        <f>IFERROR(__xludf.DUMMYFUNCTION("""COMPUTED_VALUE"""),"")</f>
        <v/>
      </c>
      <c r="X1757" s="143" t="str">
        <f t="shared" si="2"/>
        <v/>
      </c>
      <c r="Y1757" s="139" t="str">
        <f>IFERROR(__xludf.DUMMYFUNCTION("""COMPUTED_VALUE"""),"")</f>
        <v/>
      </c>
      <c r="Z1757" s="141" t="str">
        <f>IFERROR(__xludf.DUMMYFUNCTION("""COMPUTED_VALUE"""),"")</f>
        <v/>
      </c>
    </row>
    <row r="1758">
      <c r="D1758" s="136" t="str">
        <f t="shared" si="3"/>
        <v/>
      </c>
      <c r="E1758" s="152"/>
      <c r="F1758" s="106" t="s">
        <v>133</v>
      </c>
      <c r="G1758" s="152"/>
      <c r="H1758" s="106" t="s">
        <v>133</v>
      </c>
      <c r="J1758" s="139" t="s">
        <v>133</v>
      </c>
      <c r="K1758" s="136" t="s">
        <v>133</v>
      </c>
      <c r="L1758" s="153"/>
      <c r="M1758" s="136" t="str">
        <f t="shared" si="1"/>
        <v/>
      </c>
      <c r="O1758" s="141" t="s">
        <v>133</v>
      </c>
      <c r="P1758" s="136" t="str">
        <f>IFERROR(__xludf.DUMMYFUNCTION("""COMPUTED_VALUE"""),"")</f>
        <v/>
      </c>
      <c r="Q1758" s="136" t="str">
        <f>IFERROR(__xludf.DUMMYFUNCTION("""COMPUTED_VALUE"""),"")</f>
        <v/>
      </c>
      <c r="R1758" s="106" t="str">
        <f>IFERROR(__xludf.DUMMYFUNCTION("""COMPUTED_VALUE"""),"")</f>
        <v/>
      </c>
      <c r="S1758" s="106" t="str">
        <f>IFERROR(__xludf.DUMMYFUNCTION("""COMPUTED_VALUE"""),"")</f>
        <v/>
      </c>
      <c r="T1758" s="139" t="str">
        <f>IFERROR(__xludf.DUMMYFUNCTION("""COMPUTED_VALUE"""),"")</f>
        <v/>
      </c>
      <c r="U1758" s="139" t="str">
        <f>IFERROR(__xludf.DUMMYFUNCTION("""COMPUTED_VALUE"""),"")</f>
        <v/>
      </c>
      <c r="V1758" s="136" t="str">
        <f>IFERROR(__xludf.DUMMYFUNCTION("""COMPUTED_VALUE"""),"")</f>
        <v/>
      </c>
      <c r="W1758" s="106" t="str">
        <f>IFERROR(__xludf.DUMMYFUNCTION("""COMPUTED_VALUE"""),"")</f>
        <v/>
      </c>
      <c r="X1758" s="143" t="str">
        <f t="shared" si="2"/>
        <v/>
      </c>
      <c r="Y1758" s="139" t="str">
        <f>IFERROR(__xludf.DUMMYFUNCTION("""COMPUTED_VALUE"""),"")</f>
        <v/>
      </c>
      <c r="Z1758" s="141" t="str">
        <f>IFERROR(__xludf.DUMMYFUNCTION("""COMPUTED_VALUE"""),"")</f>
        <v/>
      </c>
    </row>
    <row r="1759">
      <c r="D1759" s="136" t="str">
        <f t="shared" si="3"/>
        <v/>
      </c>
      <c r="E1759" s="152"/>
      <c r="F1759" s="106" t="s">
        <v>133</v>
      </c>
      <c r="G1759" s="152"/>
      <c r="H1759" s="106" t="s">
        <v>133</v>
      </c>
      <c r="J1759" s="139" t="s">
        <v>133</v>
      </c>
      <c r="K1759" s="136" t="s">
        <v>133</v>
      </c>
      <c r="L1759" s="153"/>
      <c r="M1759" s="136" t="str">
        <f t="shared" si="1"/>
        <v/>
      </c>
      <c r="O1759" s="141" t="s">
        <v>133</v>
      </c>
      <c r="P1759" s="136" t="str">
        <f>IFERROR(__xludf.DUMMYFUNCTION("""COMPUTED_VALUE"""),"")</f>
        <v/>
      </c>
      <c r="Q1759" s="136" t="str">
        <f>IFERROR(__xludf.DUMMYFUNCTION("""COMPUTED_VALUE"""),"")</f>
        <v/>
      </c>
      <c r="R1759" s="106" t="str">
        <f>IFERROR(__xludf.DUMMYFUNCTION("""COMPUTED_VALUE"""),"")</f>
        <v/>
      </c>
      <c r="S1759" s="106" t="str">
        <f>IFERROR(__xludf.DUMMYFUNCTION("""COMPUTED_VALUE"""),"")</f>
        <v/>
      </c>
      <c r="T1759" s="139" t="str">
        <f>IFERROR(__xludf.DUMMYFUNCTION("""COMPUTED_VALUE"""),"")</f>
        <v/>
      </c>
      <c r="U1759" s="139" t="str">
        <f>IFERROR(__xludf.DUMMYFUNCTION("""COMPUTED_VALUE"""),"")</f>
        <v/>
      </c>
      <c r="V1759" s="136" t="str">
        <f>IFERROR(__xludf.DUMMYFUNCTION("""COMPUTED_VALUE"""),"")</f>
        <v/>
      </c>
      <c r="W1759" s="106" t="str">
        <f>IFERROR(__xludf.DUMMYFUNCTION("""COMPUTED_VALUE"""),"")</f>
        <v/>
      </c>
      <c r="X1759" s="143" t="str">
        <f t="shared" si="2"/>
        <v/>
      </c>
      <c r="Y1759" s="139" t="str">
        <f>IFERROR(__xludf.DUMMYFUNCTION("""COMPUTED_VALUE"""),"")</f>
        <v/>
      </c>
      <c r="Z1759" s="141" t="str">
        <f>IFERROR(__xludf.DUMMYFUNCTION("""COMPUTED_VALUE"""),"")</f>
        <v/>
      </c>
    </row>
    <row r="1760">
      <c r="D1760" s="136" t="str">
        <f t="shared" si="3"/>
        <v/>
      </c>
      <c r="E1760" s="152"/>
      <c r="F1760" s="106" t="s">
        <v>133</v>
      </c>
      <c r="G1760" s="152"/>
      <c r="H1760" s="106" t="s">
        <v>133</v>
      </c>
      <c r="J1760" s="139" t="s">
        <v>133</v>
      </c>
      <c r="K1760" s="136" t="s">
        <v>133</v>
      </c>
      <c r="L1760" s="153"/>
      <c r="M1760" s="136" t="str">
        <f t="shared" si="1"/>
        <v/>
      </c>
      <c r="O1760" s="141" t="s">
        <v>133</v>
      </c>
      <c r="P1760" s="136" t="str">
        <f>IFERROR(__xludf.DUMMYFUNCTION("""COMPUTED_VALUE"""),"")</f>
        <v/>
      </c>
      <c r="Q1760" s="136" t="str">
        <f>IFERROR(__xludf.DUMMYFUNCTION("""COMPUTED_VALUE"""),"")</f>
        <v/>
      </c>
      <c r="R1760" s="106" t="str">
        <f>IFERROR(__xludf.DUMMYFUNCTION("""COMPUTED_VALUE"""),"")</f>
        <v/>
      </c>
      <c r="S1760" s="106" t="str">
        <f>IFERROR(__xludf.DUMMYFUNCTION("""COMPUTED_VALUE"""),"")</f>
        <v/>
      </c>
      <c r="T1760" s="139" t="str">
        <f>IFERROR(__xludf.DUMMYFUNCTION("""COMPUTED_VALUE"""),"")</f>
        <v/>
      </c>
      <c r="U1760" s="139" t="str">
        <f>IFERROR(__xludf.DUMMYFUNCTION("""COMPUTED_VALUE"""),"")</f>
        <v/>
      </c>
      <c r="V1760" s="136" t="str">
        <f>IFERROR(__xludf.DUMMYFUNCTION("""COMPUTED_VALUE"""),"")</f>
        <v/>
      </c>
      <c r="W1760" s="106" t="str">
        <f>IFERROR(__xludf.DUMMYFUNCTION("""COMPUTED_VALUE"""),"")</f>
        <v/>
      </c>
      <c r="X1760" s="143" t="str">
        <f t="shared" si="2"/>
        <v/>
      </c>
      <c r="Y1760" s="139" t="str">
        <f>IFERROR(__xludf.DUMMYFUNCTION("""COMPUTED_VALUE"""),"")</f>
        <v/>
      </c>
      <c r="Z1760" s="141" t="str">
        <f>IFERROR(__xludf.DUMMYFUNCTION("""COMPUTED_VALUE"""),"")</f>
        <v/>
      </c>
    </row>
    <row r="1761">
      <c r="D1761" s="136" t="str">
        <f t="shared" si="3"/>
        <v/>
      </c>
      <c r="E1761" s="152"/>
      <c r="F1761" s="106" t="s">
        <v>133</v>
      </c>
      <c r="G1761" s="152"/>
      <c r="H1761" s="106" t="s">
        <v>133</v>
      </c>
      <c r="J1761" s="139" t="s">
        <v>133</v>
      </c>
      <c r="K1761" s="136" t="s">
        <v>133</v>
      </c>
      <c r="L1761" s="153"/>
      <c r="M1761" s="136" t="str">
        <f t="shared" si="1"/>
        <v/>
      </c>
      <c r="O1761" s="141" t="s">
        <v>133</v>
      </c>
      <c r="P1761" s="136" t="str">
        <f>IFERROR(__xludf.DUMMYFUNCTION("""COMPUTED_VALUE"""),"")</f>
        <v/>
      </c>
      <c r="Q1761" s="136" t="str">
        <f>IFERROR(__xludf.DUMMYFUNCTION("""COMPUTED_VALUE"""),"")</f>
        <v/>
      </c>
      <c r="R1761" s="106" t="str">
        <f>IFERROR(__xludf.DUMMYFUNCTION("""COMPUTED_VALUE"""),"")</f>
        <v/>
      </c>
      <c r="S1761" s="106" t="str">
        <f>IFERROR(__xludf.DUMMYFUNCTION("""COMPUTED_VALUE"""),"")</f>
        <v/>
      </c>
      <c r="T1761" s="139" t="str">
        <f>IFERROR(__xludf.DUMMYFUNCTION("""COMPUTED_VALUE"""),"")</f>
        <v/>
      </c>
      <c r="U1761" s="139" t="str">
        <f>IFERROR(__xludf.DUMMYFUNCTION("""COMPUTED_VALUE"""),"")</f>
        <v/>
      </c>
      <c r="V1761" s="136" t="str">
        <f>IFERROR(__xludf.DUMMYFUNCTION("""COMPUTED_VALUE"""),"")</f>
        <v/>
      </c>
      <c r="W1761" s="106" t="str">
        <f>IFERROR(__xludf.DUMMYFUNCTION("""COMPUTED_VALUE"""),"")</f>
        <v/>
      </c>
      <c r="X1761" s="143" t="str">
        <f t="shared" si="2"/>
        <v/>
      </c>
      <c r="Y1761" s="139" t="str">
        <f>IFERROR(__xludf.DUMMYFUNCTION("""COMPUTED_VALUE"""),"")</f>
        <v/>
      </c>
      <c r="Z1761" s="141" t="str">
        <f>IFERROR(__xludf.DUMMYFUNCTION("""COMPUTED_VALUE"""),"")</f>
        <v/>
      </c>
    </row>
    <row r="1762">
      <c r="D1762" s="136" t="str">
        <f t="shared" si="3"/>
        <v/>
      </c>
      <c r="E1762" s="152"/>
      <c r="F1762" s="106" t="s">
        <v>133</v>
      </c>
      <c r="G1762" s="152"/>
      <c r="H1762" s="106" t="s">
        <v>133</v>
      </c>
      <c r="J1762" s="139" t="s">
        <v>133</v>
      </c>
      <c r="K1762" s="136" t="s">
        <v>133</v>
      </c>
      <c r="L1762" s="153"/>
      <c r="M1762" s="136" t="str">
        <f t="shared" si="1"/>
        <v/>
      </c>
      <c r="O1762" s="141" t="s">
        <v>133</v>
      </c>
      <c r="P1762" s="136" t="str">
        <f>IFERROR(__xludf.DUMMYFUNCTION("""COMPUTED_VALUE"""),"")</f>
        <v/>
      </c>
      <c r="Q1762" s="136" t="str">
        <f>IFERROR(__xludf.DUMMYFUNCTION("""COMPUTED_VALUE"""),"")</f>
        <v/>
      </c>
      <c r="R1762" s="106" t="str">
        <f>IFERROR(__xludf.DUMMYFUNCTION("""COMPUTED_VALUE"""),"")</f>
        <v/>
      </c>
      <c r="S1762" s="106" t="str">
        <f>IFERROR(__xludf.DUMMYFUNCTION("""COMPUTED_VALUE"""),"")</f>
        <v/>
      </c>
      <c r="T1762" s="139" t="str">
        <f>IFERROR(__xludf.DUMMYFUNCTION("""COMPUTED_VALUE"""),"")</f>
        <v/>
      </c>
      <c r="U1762" s="139" t="str">
        <f>IFERROR(__xludf.DUMMYFUNCTION("""COMPUTED_VALUE"""),"")</f>
        <v/>
      </c>
      <c r="V1762" s="136" t="str">
        <f>IFERROR(__xludf.DUMMYFUNCTION("""COMPUTED_VALUE"""),"")</f>
        <v/>
      </c>
      <c r="W1762" s="106" t="str">
        <f>IFERROR(__xludf.DUMMYFUNCTION("""COMPUTED_VALUE"""),"")</f>
        <v/>
      </c>
      <c r="X1762" s="143" t="str">
        <f t="shared" si="2"/>
        <v/>
      </c>
      <c r="Y1762" s="139" t="str">
        <f>IFERROR(__xludf.DUMMYFUNCTION("""COMPUTED_VALUE"""),"")</f>
        <v/>
      </c>
      <c r="Z1762" s="141" t="str">
        <f>IFERROR(__xludf.DUMMYFUNCTION("""COMPUTED_VALUE"""),"")</f>
        <v/>
      </c>
    </row>
    <row r="1763">
      <c r="D1763" s="136" t="str">
        <f t="shared" si="3"/>
        <v/>
      </c>
      <c r="E1763" s="152"/>
      <c r="F1763" s="106" t="s">
        <v>133</v>
      </c>
      <c r="G1763" s="152"/>
      <c r="H1763" s="106" t="s">
        <v>133</v>
      </c>
      <c r="J1763" s="139" t="s">
        <v>133</v>
      </c>
      <c r="K1763" s="136" t="s">
        <v>133</v>
      </c>
      <c r="L1763" s="153"/>
      <c r="M1763" s="136" t="str">
        <f t="shared" si="1"/>
        <v/>
      </c>
      <c r="O1763" s="141" t="s">
        <v>133</v>
      </c>
      <c r="P1763" s="136" t="str">
        <f>IFERROR(__xludf.DUMMYFUNCTION("""COMPUTED_VALUE"""),"")</f>
        <v/>
      </c>
      <c r="Q1763" s="136" t="str">
        <f>IFERROR(__xludf.DUMMYFUNCTION("""COMPUTED_VALUE"""),"")</f>
        <v/>
      </c>
      <c r="R1763" s="106" t="str">
        <f>IFERROR(__xludf.DUMMYFUNCTION("""COMPUTED_VALUE"""),"")</f>
        <v/>
      </c>
      <c r="S1763" s="106" t="str">
        <f>IFERROR(__xludf.DUMMYFUNCTION("""COMPUTED_VALUE"""),"")</f>
        <v/>
      </c>
      <c r="T1763" s="139" t="str">
        <f>IFERROR(__xludf.DUMMYFUNCTION("""COMPUTED_VALUE"""),"")</f>
        <v/>
      </c>
      <c r="U1763" s="139" t="str">
        <f>IFERROR(__xludf.DUMMYFUNCTION("""COMPUTED_VALUE"""),"")</f>
        <v/>
      </c>
      <c r="V1763" s="136" t="str">
        <f>IFERROR(__xludf.DUMMYFUNCTION("""COMPUTED_VALUE"""),"")</f>
        <v/>
      </c>
      <c r="W1763" s="106" t="str">
        <f>IFERROR(__xludf.DUMMYFUNCTION("""COMPUTED_VALUE"""),"")</f>
        <v/>
      </c>
      <c r="X1763" s="143" t="str">
        <f t="shared" si="2"/>
        <v/>
      </c>
      <c r="Y1763" s="139" t="str">
        <f>IFERROR(__xludf.DUMMYFUNCTION("""COMPUTED_VALUE"""),"")</f>
        <v/>
      </c>
      <c r="Z1763" s="141" t="str">
        <f>IFERROR(__xludf.DUMMYFUNCTION("""COMPUTED_VALUE"""),"")</f>
        <v/>
      </c>
    </row>
    <row r="1764">
      <c r="D1764" s="136" t="str">
        <f t="shared" si="3"/>
        <v/>
      </c>
      <c r="E1764" s="152"/>
      <c r="F1764" s="106" t="s">
        <v>133</v>
      </c>
      <c r="G1764" s="152"/>
      <c r="H1764" s="106" t="s">
        <v>133</v>
      </c>
      <c r="J1764" s="139" t="s">
        <v>133</v>
      </c>
      <c r="K1764" s="136" t="s">
        <v>133</v>
      </c>
      <c r="L1764" s="153"/>
      <c r="M1764" s="136" t="str">
        <f t="shared" si="1"/>
        <v/>
      </c>
      <c r="O1764" s="141" t="s">
        <v>133</v>
      </c>
      <c r="P1764" s="136" t="str">
        <f>IFERROR(__xludf.DUMMYFUNCTION("""COMPUTED_VALUE"""),"")</f>
        <v/>
      </c>
      <c r="Q1764" s="136" t="str">
        <f>IFERROR(__xludf.DUMMYFUNCTION("""COMPUTED_VALUE"""),"")</f>
        <v/>
      </c>
      <c r="R1764" s="106" t="str">
        <f>IFERROR(__xludf.DUMMYFUNCTION("""COMPUTED_VALUE"""),"")</f>
        <v/>
      </c>
      <c r="S1764" s="106" t="str">
        <f>IFERROR(__xludf.DUMMYFUNCTION("""COMPUTED_VALUE"""),"")</f>
        <v/>
      </c>
      <c r="T1764" s="139" t="str">
        <f>IFERROR(__xludf.DUMMYFUNCTION("""COMPUTED_VALUE"""),"")</f>
        <v/>
      </c>
      <c r="U1764" s="139" t="str">
        <f>IFERROR(__xludf.DUMMYFUNCTION("""COMPUTED_VALUE"""),"")</f>
        <v/>
      </c>
      <c r="V1764" s="136" t="str">
        <f>IFERROR(__xludf.DUMMYFUNCTION("""COMPUTED_VALUE"""),"")</f>
        <v/>
      </c>
      <c r="W1764" s="106" t="str">
        <f>IFERROR(__xludf.DUMMYFUNCTION("""COMPUTED_VALUE"""),"")</f>
        <v/>
      </c>
      <c r="X1764" s="143" t="str">
        <f t="shared" si="2"/>
        <v/>
      </c>
      <c r="Y1764" s="139" t="str">
        <f>IFERROR(__xludf.DUMMYFUNCTION("""COMPUTED_VALUE"""),"")</f>
        <v/>
      </c>
      <c r="Z1764" s="141" t="str">
        <f>IFERROR(__xludf.DUMMYFUNCTION("""COMPUTED_VALUE"""),"")</f>
        <v/>
      </c>
    </row>
    <row r="1765">
      <c r="D1765" s="136" t="str">
        <f t="shared" si="3"/>
        <v/>
      </c>
      <c r="E1765" s="152"/>
      <c r="F1765" s="106" t="s">
        <v>133</v>
      </c>
      <c r="G1765" s="152"/>
      <c r="H1765" s="106" t="s">
        <v>133</v>
      </c>
      <c r="J1765" s="139" t="s">
        <v>133</v>
      </c>
      <c r="K1765" s="136" t="s">
        <v>133</v>
      </c>
      <c r="L1765" s="153"/>
      <c r="M1765" s="136" t="str">
        <f t="shared" si="1"/>
        <v/>
      </c>
      <c r="O1765" s="141" t="s">
        <v>133</v>
      </c>
      <c r="P1765" s="136" t="str">
        <f>IFERROR(__xludf.DUMMYFUNCTION("""COMPUTED_VALUE"""),"")</f>
        <v/>
      </c>
      <c r="Q1765" s="136" t="str">
        <f>IFERROR(__xludf.DUMMYFUNCTION("""COMPUTED_VALUE"""),"")</f>
        <v/>
      </c>
      <c r="R1765" s="106" t="str">
        <f>IFERROR(__xludf.DUMMYFUNCTION("""COMPUTED_VALUE"""),"")</f>
        <v/>
      </c>
      <c r="S1765" s="106" t="str">
        <f>IFERROR(__xludf.DUMMYFUNCTION("""COMPUTED_VALUE"""),"")</f>
        <v/>
      </c>
      <c r="T1765" s="139" t="str">
        <f>IFERROR(__xludf.DUMMYFUNCTION("""COMPUTED_VALUE"""),"")</f>
        <v/>
      </c>
      <c r="U1765" s="139" t="str">
        <f>IFERROR(__xludf.DUMMYFUNCTION("""COMPUTED_VALUE"""),"")</f>
        <v/>
      </c>
      <c r="V1765" s="136" t="str">
        <f>IFERROR(__xludf.DUMMYFUNCTION("""COMPUTED_VALUE"""),"")</f>
        <v/>
      </c>
      <c r="W1765" s="106" t="str">
        <f>IFERROR(__xludf.DUMMYFUNCTION("""COMPUTED_VALUE"""),"")</f>
        <v/>
      </c>
      <c r="X1765" s="143" t="str">
        <f t="shared" si="2"/>
        <v/>
      </c>
      <c r="Y1765" s="139" t="str">
        <f>IFERROR(__xludf.DUMMYFUNCTION("""COMPUTED_VALUE"""),"")</f>
        <v/>
      </c>
      <c r="Z1765" s="141" t="str">
        <f>IFERROR(__xludf.DUMMYFUNCTION("""COMPUTED_VALUE"""),"")</f>
        <v/>
      </c>
    </row>
    <row r="1766">
      <c r="D1766" s="136" t="str">
        <f t="shared" si="3"/>
        <v/>
      </c>
      <c r="E1766" s="152"/>
      <c r="F1766" s="106" t="s">
        <v>133</v>
      </c>
      <c r="G1766" s="152"/>
      <c r="H1766" s="106" t="s">
        <v>133</v>
      </c>
      <c r="J1766" s="139" t="s">
        <v>133</v>
      </c>
      <c r="K1766" s="136" t="s">
        <v>133</v>
      </c>
      <c r="L1766" s="153"/>
      <c r="M1766" s="136" t="str">
        <f t="shared" si="1"/>
        <v/>
      </c>
      <c r="O1766" s="141" t="s">
        <v>133</v>
      </c>
      <c r="P1766" s="136" t="str">
        <f>IFERROR(__xludf.DUMMYFUNCTION("""COMPUTED_VALUE"""),"")</f>
        <v/>
      </c>
      <c r="Q1766" s="136" t="str">
        <f>IFERROR(__xludf.DUMMYFUNCTION("""COMPUTED_VALUE"""),"")</f>
        <v/>
      </c>
      <c r="R1766" s="106" t="str">
        <f>IFERROR(__xludf.DUMMYFUNCTION("""COMPUTED_VALUE"""),"")</f>
        <v/>
      </c>
      <c r="S1766" s="106" t="str">
        <f>IFERROR(__xludf.DUMMYFUNCTION("""COMPUTED_VALUE"""),"")</f>
        <v/>
      </c>
      <c r="T1766" s="139" t="str">
        <f>IFERROR(__xludf.DUMMYFUNCTION("""COMPUTED_VALUE"""),"")</f>
        <v/>
      </c>
      <c r="U1766" s="139" t="str">
        <f>IFERROR(__xludf.DUMMYFUNCTION("""COMPUTED_VALUE"""),"")</f>
        <v/>
      </c>
      <c r="V1766" s="136" t="str">
        <f>IFERROR(__xludf.DUMMYFUNCTION("""COMPUTED_VALUE"""),"")</f>
        <v/>
      </c>
      <c r="W1766" s="106" t="str">
        <f>IFERROR(__xludf.DUMMYFUNCTION("""COMPUTED_VALUE"""),"")</f>
        <v/>
      </c>
      <c r="X1766" s="143" t="str">
        <f t="shared" si="2"/>
        <v/>
      </c>
      <c r="Y1766" s="139" t="str">
        <f>IFERROR(__xludf.DUMMYFUNCTION("""COMPUTED_VALUE"""),"")</f>
        <v/>
      </c>
      <c r="Z1766" s="141" t="str">
        <f>IFERROR(__xludf.DUMMYFUNCTION("""COMPUTED_VALUE"""),"")</f>
        <v/>
      </c>
    </row>
    <row r="1767">
      <c r="D1767" s="136" t="str">
        <f t="shared" si="3"/>
        <v/>
      </c>
      <c r="E1767" s="152"/>
      <c r="F1767" s="106" t="s">
        <v>133</v>
      </c>
      <c r="G1767" s="152"/>
      <c r="H1767" s="106" t="s">
        <v>133</v>
      </c>
      <c r="J1767" s="139" t="s">
        <v>133</v>
      </c>
      <c r="K1767" s="136" t="s">
        <v>133</v>
      </c>
      <c r="L1767" s="153"/>
      <c r="M1767" s="136" t="str">
        <f t="shared" si="1"/>
        <v/>
      </c>
      <c r="O1767" s="141" t="s">
        <v>133</v>
      </c>
      <c r="P1767" s="136" t="str">
        <f>IFERROR(__xludf.DUMMYFUNCTION("""COMPUTED_VALUE"""),"")</f>
        <v/>
      </c>
      <c r="Q1767" s="136" t="str">
        <f>IFERROR(__xludf.DUMMYFUNCTION("""COMPUTED_VALUE"""),"")</f>
        <v/>
      </c>
      <c r="R1767" s="106" t="str">
        <f>IFERROR(__xludf.DUMMYFUNCTION("""COMPUTED_VALUE"""),"")</f>
        <v/>
      </c>
      <c r="S1767" s="106" t="str">
        <f>IFERROR(__xludf.DUMMYFUNCTION("""COMPUTED_VALUE"""),"")</f>
        <v/>
      </c>
      <c r="T1767" s="139" t="str">
        <f>IFERROR(__xludf.DUMMYFUNCTION("""COMPUTED_VALUE"""),"")</f>
        <v/>
      </c>
      <c r="U1767" s="139" t="str">
        <f>IFERROR(__xludf.DUMMYFUNCTION("""COMPUTED_VALUE"""),"")</f>
        <v/>
      </c>
      <c r="V1767" s="136" t="str">
        <f>IFERROR(__xludf.DUMMYFUNCTION("""COMPUTED_VALUE"""),"")</f>
        <v/>
      </c>
      <c r="W1767" s="106" t="str">
        <f>IFERROR(__xludf.DUMMYFUNCTION("""COMPUTED_VALUE"""),"")</f>
        <v/>
      </c>
      <c r="X1767" s="143" t="str">
        <f t="shared" si="2"/>
        <v/>
      </c>
      <c r="Y1767" s="139" t="str">
        <f>IFERROR(__xludf.DUMMYFUNCTION("""COMPUTED_VALUE"""),"")</f>
        <v/>
      </c>
      <c r="Z1767" s="141" t="str">
        <f>IFERROR(__xludf.DUMMYFUNCTION("""COMPUTED_VALUE"""),"")</f>
        <v/>
      </c>
    </row>
    <row r="1768">
      <c r="D1768" s="136" t="str">
        <f t="shared" si="3"/>
        <v/>
      </c>
      <c r="E1768" s="152"/>
      <c r="F1768" s="106" t="s">
        <v>133</v>
      </c>
      <c r="G1768" s="152"/>
      <c r="H1768" s="106" t="s">
        <v>133</v>
      </c>
      <c r="J1768" s="139" t="s">
        <v>133</v>
      </c>
      <c r="K1768" s="136" t="s">
        <v>133</v>
      </c>
      <c r="L1768" s="153"/>
      <c r="M1768" s="136" t="str">
        <f t="shared" si="1"/>
        <v/>
      </c>
      <c r="O1768" s="141" t="s">
        <v>133</v>
      </c>
      <c r="P1768" s="136" t="str">
        <f>IFERROR(__xludf.DUMMYFUNCTION("""COMPUTED_VALUE"""),"")</f>
        <v/>
      </c>
      <c r="Q1768" s="136" t="str">
        <f>IFERROR(__xludf.DUMMYFUNCTION("""COMPUTED_VALUE"""),"")</f>
        <v/>
      </c>
      <c r="R1768" s="106" t="str">
        <f>IFERROR(__xludf.DUMMYFUNCTION("""COMPUTED_VALUE"""),"")</f>
        <v/>
      </c>
      <c r="S1768" s="106" t="str">
        <f>IFERROR(__xludf.DUMMYFUNCTION("""COMPUTED_VALUE"""),"")</f>
        <v/>
      </c>
      <c r="T1768" s="139" t="str">
        <f>IFERROR(__xludf.DUMMYFUNCTION("""COMPUTED_VALUE"""),"")</f>
        <v/>
      </c>
      <c r="U1768" s="139" t="str">
        <f>IFERROR(__xludf.DUMMYFUNCTION("""COMPUTED_VALUE"""),"")</f>
        <v/>
      </c>
      <c r="V1768" s="136" t="str">
        <f>IFERROR(__xludf.DUMMYFUNCTION("""COMPUTED_VALUE"""),"")</f>
        <v/>
      </c>
      <c r="W1768" s="106" t="str">
        <f>IFERROR(__xludf.DUMMYFUNCTION("""COMPUTED_VALUE"""),"")</f>
        <v/>
      </c>
      <c r="X1768" s="143" t="str">
        <f t="shared" si="2"/>
        <v/>
      </c>
      <c r="Y1768" s="139" t="str">
        <f>IFERROR(__xludf.DUMMYFUNCTION("""COMPUTED_VALUE"""),"")</f>
        <v/>
      </c>
      <c r="Z1768" s="141" t="str">
        <f>IFERROR(__xludf.DUMMYFUNCTION("""COMPUTED_VALUE"""),"")</f>
        <v/>
      </c>
    </row>
    <row r="1769">
      <c r="D1769" s="136" t="str">
        <f t="shared" si="3"/>
        <v/>
      </c>
      <c r="E1769" s="152"/>
      <c r="F1769" s="106" t="s">
        <v>133</v>
      </c>
      <c r="G1769" s="152"/>
      <c r="H1769" s="106" t="s">
        <v>133</v>
      </c>
      <c r="J1769" s="139" t="s">
        <v>133</v>
      </c>
      <c r="K1769" s="136" t="s">
        <v>133</v>
      </c>
      <c r="L1769" s="153"/>
      <c r="M1769" s="136" t="str">
        <f t="shared" si="1"/>
        <v/>
      </c>
      <c r="O1769" s="141" t="s">
        <v>133</v>
      </c>
      <c r="P1769" s="136" t="str">
        <f>IFERROR(__xludf.DUMMYFUNCTION("""COMPUTED_VALUE"""),"")</f>
        <v/>
      </c>
      <c r="Q1769" s="136" t="str">
        <f>IFERROR(__xludf.DUMMYFUNCTION("""COMPUTED_VALUE"""),"")</f>
        <v/>
      </c>
      <c r="R1769" s="106" t="str">
        <f>IFERROR(__xludf.DUMMYFUNCTION("""COMPUTED_VALUE"""),"")</f>
        <v/>
      </c>
      <c r="S1769" s="106" t="str">
        <f>IFERROR(__xludf.DUMMYFUNCTION("""COMPUTED_VALUE"""),"")</f>
        <v/>
      </c>
      <c r="T1769" s="139" t="str">
        <f>IFERROR(__xludf.DUMMYFUNCTION("""COMPUTED_VALUE"""),"")</f>
        <v/>
      </c>
      <c r="U1769" s="139" t="str">
        <f>IFERROR(__xludf.DUMMYFUNCTION("""COMPUTED_VALUE"""),"")</f>
        <v/>
      </c>
      <c r="V1769" s="136" t="str">
        <f>IFERROR(__xludf.DUMMYFUNCTION("""COMPUTED_VALUE"""),"")</f>
        <v/>
      </c>
      <c r="W1769" s="106" t="str">
        <f>IFERROR(__xludf.DUMMYFUNCTION("""COMPUTED_VALUE"""),"")</f>
        <v/>
      </c>
      <c r="X1769" s="143" t="str">
        <f t="shared" si="2"/>
        <v/>
      </c>
      <c r="Y1769" s="139" t="str">
        <f>IFERROR(__xludf.DUMMYFUNCTION("""COMPUTED_VALUE"""),"")</f>
        <v/>
      </c>
      <c r="Z1769" s="141" t="str">
        <f>IFERROR(__xludf.DUMMYFUNCTION("""COMPUTED_VALUE"""),"")</f>
        <v/>
      </c>
    </row>
    <row r="1770">
      <c r="D1770" s="136" t="str">
        <f t="shared" si="3"/>
        <v/>
      </c>
      <c r="E1770" s="152"/>
      <c r="F1770" s="106" t="s">
        <v>133</v>
      </c>
      <c r="G1770" s="152"/>
      <c r="H1770" s="106" t="s">
        <v>133</v>
      </c>
      <c r="J1770" s="139" t="s">
        <v>133</v>
      </c>
      <c r="K1770" s="136" t="s">
        <v>133</v>
      </c>
      <c r="L1770" s="153"/>
      <c r="M1770" s="136" t="str">
        <f t="shared" si="1"/>
        <v/>
      </c>
      <c r="O1770" s="141" t="s">
        <v>133</v>
      </c>
      <c r="P1770" s="136" t="str">
        <f>IFERROR(__xludf.DUMMYFUNCTION("""COMPUTED_VALUE"""),"")</f>
        <v/>
      </c>
      <c r="Q1770" s="136" t="str">
        <f>IFERROR(__xludf.DUMMYFUNCTION("""COMPUTED_VALUE"""),"")</f>
        <v/>
      </c>
      <c r="R1770" s="106" t="str">
        <f>IFERROR(__xludf.DUMMYFUNCTION("""COMPUTED_VALUE"""),"")</f>
        <v/>
      </c>
      <c r="S1770" s="106" t="str">
        <f>IFERROR(__xludf.DUMMYFUNCTION("""COMPUTED_VALUE"""),"")</f>
        <v/>
      </c>
      <c r="T1770" s="139" t="str">
        <f>IFERROR(__xludf.DUMMYFUNCTION("""COMPUTED_VALUE"""),"")</f>
        <v/>
      </c>
      <c r="U1770" s="139" t="str">
        <f>IFERROR(__xludf.DUMMYFUNCTION("""COMPUTED_VALUE"""),"")</f>
        <v/>
      </c>
      <c r="V1770" s="136" t="str">
        <f>IFERROR(__xludf.DUMMYFUNCTION("""COMPUTED_VALUE"""),"")</f>
        <v/>
      </c>
      <c r="W1770" s="106" t="str">
        <f>IFERROR(__xludf.DUMMYFUNCTION("""COMPUTED_VALUE"""),"")</f>
        <v/>
      </c>
      <c r="X1770" s="143" t="str">
        <f t="shared" si="2"/>
        <v/>
      </c>
      <c r="Y1770" s="139" t="str">
        <f>IFERROR(__xludf.DUMMYFUNCTION("""COMPUTED_VALUE"""),"")</f>
        <v/>
      </c>
      <c r="Z1770" s="141" t="str">
        <f>IFERROR(__xludf.DUMMYFUNCTION("""COMPUTED_VALUE"""),"")</f>
        <v/>
      </c>
    </row>
    <row r="1771">
      <c r="D1771" s="136" t="str">
        <f t="shared" si="3"/>
        <v/>
      </c>
      <c r="E1771" s="152"/>
      <c r="F1771" s="106" t="s">
        <v>133</v>
      </c>
      <c r="G1771" s="152"/>
      <c r="H1771" s="106" t="s">
        <v>133</v>
      </c>
      <c r="J1771" s="139" t="s">
        <v>133</v>
      </c>
      <c r="K1771" s="136" t="s">
        <v>133</v>
      </c>
      <c r="L1771" s="153"/>
      <c r="M1771" s="136" t="str">
        <f t="shared" si="1"/>
        <v/>
      </c>
      <c r="O1771" s="141" t="s">
        <v>133</v>
      </c>
      <c r="P1771" s="136" t="str">
        <f>IFERROR(__xludf.DUMMYFUNCTION("""COMPUTED_VALUE"""),"")</f>
        <v/>
      </c>
      <c r="Q1771" s="136" t="str">
        <f>IFERROR(__xludf.DUMMYFUNCTION("""COMPUTED_VALUE"""),"")</f>
        <v/>
      </c>
      <c r="R1771" s="106" t="str">
        <f>IFERROR(__xludf.DUMMYFUNCTION("""COMPUTED_VALUE"""),"")</f>
        <v/>
      </c>
      <c r="S1771" s="106" t="str">
        <f>IFERROR(__xludf.DUMMYFUNCTION("""COMPUTED_VALUE"""),"")</f>
        <v/>
      </c>
      <c r="T1771" s="139" t="str">
        <f>IFERROR(__xludf.DUMMYFUNCTION("""COMPUTED_VALUE"""),"")</f>
        <v/>
      </c>
      <c r="U1771" s="139" t="str">
        <f>IFERROR(__xludf.DUMMYFUNCTION("""COMPUTED_VALUE"""),"")</f>
        <v/>
      </c>
      <c r="V1771" s="136" t="str">
        <f>IFERROR(__xludf.DUMMYFUNCTION("""COMPUTED_VALUE"""),"")</f>
        <v/>
      </c>
      <c r="W1771" s="106" t="str">
        <f>IFERROR(__xludf.DUMMYFUNCTION("""COMPUTED_VALUE"""),"")</f>
        <v/>
      </c>
      <c r="X1771" s="143" t="str">
        <f t="shared" si="2"/>
        <v/>
      </c>
      <c r="Y1771" s="139" t="str">
        <f>IFERROR(__xludf.DUMMYFUNCTION("""COMPUTED_VALUE"""),"")</f>
        <v/>
      </c>
      <c r="Z1771" s="141" t="str">
        <f>IFERROR(__xludf.DUMMYFUNCTION("""COMPUTED_VALUE"""),"")</f>
        <v/>
      </c>
    </row>
    <row r="1772">
      <c r="D1772" s="136" t="str">
        <f t="shared" si="3"/>
        <v/>
      </c>
      <c r="E1772" s="152"/>
      <c r="F1772" s="106" t="s">
        <v>133</v>
      </c>
      <c r="G1772" s="152"/>
      <c r="H1772" s="106" t="s">
        <v>133</v>
      </c>
      <c r="J1772" s="139" t="s">
        <v>133</v>
      </c>
      <c r="K1772" s="136" t="s">
        <v>133</v>
      </c>
      <c r="L1772" s="153"/>
      <c r="M1772" s="136" t="str">
        <f t="shared" si="1"/>
        <v/>
      </c>
      <c r="O1772" s="141" t="s">
        <v>133</v>
      </c>
      <c r="P1772" s="136" t="str">
        <f>IFERROR(__xludf.DUMMYFUNCTION("""COMPUTED_VALUE"""),"")</f>
        <v/>
      </c>
      <c r="Q1772" s="136" t="str">
        <f>IFERROR(__xludf.DUMMYFUNCTION("""COMPUTED_VALUE"""),"")</f>
        <v/>
      </c>
      <c r="R1772" s="106" t="str">
        <f>IFERROR(__xludf.DUMMYFUNCTION("""COMPUTED_VALUE"""),"")</f>
        <v/>
      </c>
      <c r="S1772" s="106" t="str">
        <f>IFERROR(__xludf.DUMMYFUNCTION("""COMPUTED_VALUE"""),"")</f>
        <v/>
      </c>
      <c r="T1772" s="139" t="str">
        <f>IFERROR(__xludf.DUMMYFUNCTION("""COMPUTED_VALUE"""),"")</f>
        <v/>
      </c>
      <c r="U1772" s="139" t="str">
        <f>IFERROR(__xludf.DUMMYFUNCTION("""COMPUTED_VALUE"""),"")</f>
        <v/>
      </c>
      <c r="V1772" s="136" t="str">
        <f>IFERROR(__xludf.DUMMYFUNCTION("""COMPUTED_VALUE"""),"")</f>
        <v/>
      </c>
      <c r="W1772" s="106" t="str">
        <f>IFERROR(__xludf.DUMMYFUNCTION("""COMPUTED_VALUE"""),"")</f>
        <v/>
      </c>
      <c r="X1772" s="143" t="str">
        <f t="shared" si="2"/>
        <v/>
      </c>
      <c r="Y1772" s="139" t="str">
        <f>IFERROR(__xludf.DUMMYFUNCTION("""COMPUTED_VALUE"""),"")</f>
        <v/>
      </c>
      <c r="Z1772" s="141" t="str">
        <f>IFERROR(__xludf.DUMMYFUNCTION("""COMPUTED_VALUE"""),"")</f>
        <v/>
      </c>
    </row>
    <row r="1773">
      <c r="D1773" s="136" t="str">
        <f t="shared" si="3"/>
        <v/>
      </c>
      <c r="E1773" s="152"/>
      <c r="F1773" s="106" t="s">
        <v>133</v>
      </c>
      <c r="G1773" s="152"/>
      <c r="H1773" s="106" t="s">
        <v>133</v>
      </c>
      <c r="J1773" s="139" t="s">
        <v>133</v>
      </c>
      <c r="K1773" s="136" t="s">
        <v>133</v>
      </c>
      <c r="L1773" s="153"/>
      <c r="M1773" s="136" t="str">
        <f t="shared" si="1"/>
        <v/>
      </c>
      <c r="O1773" s="141" t="s">
        <v>133</v>
      </c>
      <c r="P1773" s="136" t="str">
        <f>IFERROR(__xludf.DUMMYFUNCTION("""COMPUTED_VALUE"""),"")</f>
        <v/>
      </c>
      <c r="Q1773" s="136" t="str">
        <f>IFERROR(__xludf.DUMMYFUNCTION("""COMPUTED_VALUE"""),"")</f>
        <v/>
      </c>
      <c r="R1773" s="106" t="str">
        <f>IFERROR(__xludf.DUMMYFUNCTION("""COMPUTED_VALUE"""),"")</f>
        <v/>
      </c>
      <c r="S1773" s="106" t="str">
        <f>IFERROR(__xludf.DUMMYFUNCTION("""COMPUTED_VALUE"""),"")</f>
        <v/>
      </c>
      <c r="T1773" s="139" t="str">
        <f>IFERROR(__xludf.DUMMYFUNCTION("""COMPUTED_VALUE"""),"")</f>
        <v/>
      </c>
      <c r="U1773" s="139" t="str">
        <f>IFERROR(__xludf.DUMMYFUNCTION("""COMPUTED_VALUE"""),"")</f>
        <v/>
      </c>
      <c r="V1773" s="136" t="str">
        <f>IFERROR(__xludf.DUMMYFUNCTION("""COMPUTED_VALUE"""),"")</f>
        <v/>
      </c>
      <c r="W1773" s="106" t="str">
        <f>IFERROR(__xludf.DUMMYFUNCTION("""COMPUTED_VALUE"""),"")</f>
        <v/>
      </c>
      <c r="X1773" s="143" t="str">
        <f t="shared" si="2"/>
        <v/>
      </c>
      <c r="Y1773" s="139" t="str">
        <f>IFERROR(__xludf.DUMMYFUNCTION("""COMPUTED_VALUE"""),"")</f>
        <v/>
      </c>
      <c r="Z1773" s="141" t="str">
        <f>IFERROR(__xludf.DUMMYFUNCTION("""COMPUTED_VALUE"""),"")</f>
        <v/>
      </c>
    </row>
    <row r="1774">
      <c r="D1774" s="136" t="str">
        <f t="shared" si="3"/>
        <v/>
      </c>
      <c r="E1774" s="152"/>
      <c r="F1774" s="106" t="s">
        <v>133</v>
      </c>
      <c r="G1774" s="152"/>
      <c r="H1774" s="106" t="s">
        <v>133</v>
      </c>
      <c r="J1774" s="139" t="s">
        <v>133</v>
      </c>
      <c r="K1774" s="136" t="s">
        <v>133</v>
      </c>
      <c r="L1774" s="153"/>
      <c r="M1774" s="136" t="str">
        <f t="shared" si="1"/>
        <v/>
      </c>
      <c r="O1774" s="141" t="s">
        <v>133</v>
      </c>
      <c r="P1774" s="136" t="str">
        <f>IFERROR(__xludf.DUMMYFUNCTION("""COMPUTED_VALUE"""),"")</f>
        <v/>
      </c>
      <c r="Q1774" s="136" t="str">
        <f>IFERROR(__xludf.DUMMYFUNCTION("""COMPUTED_VALUE"""),"")</f>
        <v/>
      </c>
      <c r="R1774" s="106" t="str">
        <f>IFERROR(__xludf.DUMMYFUNCTION("""COMPUTED_VALUE"""),"")</f>
        <v/>
      </c>
      <c r="S1774" s="106" t="str">
        <f>IFERROR(__xludf.DUMMYFUNCTION("""COMPUTED_VALUE"""),"")</f>
        <v/>
      </c>
      <c r="T1774" s="139" t="str">
        <f>IFERROR(__xludf.DUMMYFUNCTION("""COMPUTED_VALUE"""),"")</f>
        <v/>
      </c>
      <c r="U1774" s="139" t="str">
        <f>IFERROR(__xludf.DUMMYFUNCTION("""COMPUTED_VALUE"""),"")</f>
        <v/>
      </c>
      <c r="V1774" s="136" t="str">
        <f>IFERROR(__xludf.DUMMYFUNCTION("""COMPUTED_VALUE"""),"")</f>
        <v/>
      </c>
      <c r="W1774" s="106" t="str">
        <f>IFERROR(__xludf.DUMMYFUNCTION("""COMPUTED_VALUE"""),"")</f>
        <v/>
      </c>
      <c r="X1774" s="143" t="str">
        <f t="shared" si="2"/>
        <v/>
      </c>
      <c r="Y1774" s="139" t="str">
        <f>IFERROR(__xludf.DUMMYFUNCTION("""COMPUTED_VALUE"""),"")</f>
        <v/>
      </c>
      <c r="Z1774" s="141" t="str">
        <f>IFERROR(__xludf.DUMMYFUNCTION("""COMPUTED_VALUE"""),"")</f>
        <v/>
      </c>
    </row>
    <row r="1775">
      <c r="D1775" s="136" t="str">
        <f t="shared" si="3"/>
        <v/>
      </c>
      <c r="E1775" s="152"/>
      <c r="F1775" s="106" t="s">
        <v>133</v>
      </c>
      <c r="G1775" s="152"/>
      <c r="H1775" s="106" t="s">
        <v>133</v>
      </c>
      <c r="J1775" s="139" t="s">
        <v>133</v>
      </c>
      <c r="K1775" s="136" t="s">
        <v>133</v>
      </c>
      <c r="L1775" s="153"/>
      <c r="M1775" s="136" t="str">
        <f t="shared" si="1"/>
        <v/>
      </c>
      <c r="O1775" s="141" t="s">
        <v>133</v>
      </c>
      <c r="P1775" s="136" t="str">
        <f>IFERROR(__xludf.DUMMYFUNCTION("""COMPUTED_VALUE"""),"")</f>
        <v/>
      </c>
      <c r="Q1775" s="136" t="str">
        <f>IFERROR(__xludf.DUMMYFUNCTION("""COMPUTED_VALUE"""),"")</f>
        <v/>
      </c>
      <c r="R1775" s="106" t="str">
        <f>IFERROR(__xludf.DUMMYFUNCTION("""COMPUTED_VALUE"""),"")</f>
        <v/>
      </c>
      <c r="S1775" s="106" t="str">
        <f>IFERROR(__xludf.DUMMYFUNCTION("""COMPUTED_VALUE"""),"")</f>
        <v/>
      </c>
      <c r="T1775" s="139" t="str">
        <f>IFERROR(__xludf.DUMMYFUNCTION("""COMPUTED_VALUE"""),"")</f>
        <v/>
      </c>
      <c r="U1775" s="139" t="str">
        <f>IFERROR(__xludf.DUMMYFUNCTION("""COMPUTED_VALUE"""),"")</f>
        <v/>
      </c>
      <c r="V1775" s="136" t="str">
        <f>IFERROR(__xludf.DUMMYFUNCTION("""COMPUTED_VALUE"""),"")</f>
        <v/>
      </c>
      <c r="W1775" s="106" t="str">
        <f>IFERROR(__xludf.DUMMYFUNCTION("""COMPUTED_VALUE"""),"")</f>
        <v/>
      </c>
      <c r="X1775" s="143" t="str">
        <f t="shared" si="2"/>
        <v/>
      </c>
      <c r="Y1775" s="139" t="str">
        <f>IFERROR(__xludf.DUMMYFUNCTION("""COMPUTED_VALUE"""),"")</f>
        <v/>
      </c>
      <c r="Z1775" s="141" t="str">
        <f>IFERROR(__xludf.DUMMYFUNCTION("""COMPUTED_VALUE"""),"")</f>
        <v/>
      </c>
    </row>
    <row r="1776">
      <c r="D1776" s="136" t="str">
        <f t="shared" si="3"/>
        <v/>
      </c>
      <c r="E1776" s="152"/>
      <c r="F1776" s="106" t="s">
        <v>133</v>
      </c>
      <c r="G1776" s="152"/>
      <c r="H1776" s="106" t="s">
        <v>133</v>
      </c>
      <c r="J1776" s="139" t="s">
        <v>133</v>
      </c>
      <c r="K1776" s="136" t="s">
        <v>133</v>
      </c>
      <c r="L1776" s="153"/>
      <c r="M1776" s="136" t="str">
        <f t="shared" si="1"/>
        <v/>
      </c>
      <c r="O1776" s="141" t="s">
        <v>133</v>
      </c>
      <c r="P1776" s="136" t="str">
        <f>IFERROR(__xludf.DUMMYFUNCTION("""COMPUTED_VALUE"""),"")</f>
        <v/>
      </c>
      <c r="Q1776" s="136" t="str">
        <f>IFERROR(__xludf.DUMMYFUNCTION("""COMPUTED_VALUE"""),"")</f>
        <v/>
      </c>
      <c r="R1776" s="106" t="str">
        <f>IFERROR(__xludf.DUMMYFUNCTION("""COMPUTED_VALUE"""),"")</f>
        <v/>
      </c>
      <c r="S1776" s="106" t="str">
        <f>IFERROR(__xludf.DUMMYFUNCTION("""COMPUTED_VALUE"""),"")</f>
        <v/>
      </c>
      <c r="T1776" s="139" t="str">
        <f>IFERROR(__xludf.DUMMYFUNCTION("""COMPUTED_VALUE"""),"")</f>
        <v/>
      </c>
      <c r="U1776" s="139" t="str">
        <f>IFERROR(__xludf.DUMMYFUNCTION("""COMPUTED_VALUE"""),"")</f>
        <v/>
      </c>
      <c r="V1776" s="136" t="str">
        <f>IFERROR(__xludf.DUMMYFUNCTION("""COMPUTED_VALUE"""),"")</f>
        <v/>
      </c>
      <c r="W1776" s="106" t="str">
        <f>IFERROR(__xludf.DUMMYFUNCTION("""COMPUTED_VALUE"""),"")</f>
        <v/>
      </c>
      <c r="X1776" s="143" t="str">
        <f t="shared" si="2"/>
        <v/>
      </c>
      <c r="Y1776" s="139" t="str">
        <f>IFERROR(__xludf.DUMMYFUNCTION("""COMPUTED_VALUE"""),"")</f>
        <v/>
      </c>
      <c r="Z1776" s="141" t="str">
        <f>IFERROR(__xludf.DUMMYFUNCTION("""COMPUTED_VALUE"""),"")</f>
        <v/>
      </c>
    </row>
    <row r="1777">
      <c r="D1777" s="136" t="str">
        <f t="shared" si="3"/>
        <v/>
      </c>
      <c r="E1777" s="152"/>
      <c r="F1777" s="106" t="s">
        <v>133</v>
      </c>
      <c r="G1777" s="152"/>
      <c r="H1777" s="106" t="s">
        <v>133</v>
      </c>
      <c r="J1777" s="139" t="s">
        <v>133</v>
      </c>
      <c r="K1777" s="136" t="s">
        <v>133</v>
      </c>
      <c r="L1777" s="153"/>
      <c r="M1777" s="136" t="str">
        <f t="shared" si="1"/>
        <v/>
      </c>
      <c r="O1777" s="141" t="s">
        <v>133</v>
      </c>
      <c r="P1777" s="136" t="str">
        <f>IFERROR(__xludf.DUMMYFUNCTION("""COMPUTED_VALUE"""),"")</f>
        <v/>
      </c>
      <c r="Q1777" s="136" t="str">
        <f>IFERROR(__xludf.DUMMYFUNCTION("""COMPUTED_VALUE"""),"")</f>
        <v/>
      </c>
      <c r="R1777" s="106" t="str">
        <f>IFERROR(__xludf.DUMMYFUNCTION("""COMPUTED_VALUE"""),"")</f>
        <v/>
      </c>
      <c r="S1777" s="106" t="str">
        <f>IFERROR(__xludf.DUMMYFUNCTION("""COMPUTED_VALUE"""),"")</f>
        <v/>
      </c>
      <c r="T1777" s="139" t="str">
        <f>IFERROR(__xludf.DUMMYFUNCTION("""COMPUTED_VALUE"""),"")</f>
        <v/>
      </c>
      <c r="U1777" s="139" t="str">
        <f>IFERROR(__xludf.DUMMYFUNCTION("""COMPUTED_VALUE"""),"")</f>
        <v/>
      </c>
      <c r="V1777" s="136" t="str">
        <f>IFERROR(__xludf.DUMMYFUNCTION("""COMPUTED_VALUE"""),"")</f>
        <v/>
      </c>
      <c r="W1777" s="106" t="str">
        <f>IFERROR(__xludf.DUMMYFUNCTION("""COMPUTED_VALUE"""),"")</f>
        <v/>
      </c>
      <c r="X1777" s="143" t="str">
        <f t="shared" si="2"/>
        <v/>
      </c>
      <c r="Y1777" s="139" t="str">
        <f>IFERROR(__xludf.DUMMYFUNCTION("""COMPUTED_VALUE"""),"")</f>
        <v/>
      </c>
      <c r="Z1777" s="141" t="str">
        <f>IFERROR(__xludf.DUMMYFUNCTION("""COMPUTED_VALUE"""),"")</f>
        <v/>
      </c>
    </row>
    <row r="1778">
      <c r="D1778" s="136" t="str">
        <f t="shared" si="3"/>
        <v/>
      </c>
      <c r="E1778" s="152"/>
      <c r="F1778" s="106" t="s">
        <v>133</v>
      </c>
      <c r="G1778" s="152"/>
      <c r="H1778" s="106" t="s">
        <v>133</v>
      </c>
      <c r="J1778" s="139" t="s">
        <v>133</v>
      </c>
      <c r="K1778" s="136" t="s">
        <v>133</v>
      </c>
      <c r="L1778" s="153"/>
      <c r="M1778" s="136" t="str">
        <f t="shared" si="1"/>
        <v/>
      </c>
      <c r="O1778" s="141" t="s">
        <v>133</v>
      </c>
      <c r="P1778" s="136" t="str">
        <f>IFERROR(__xludf.DUMMYFUNCTION("""COMPUTED_VALUE"""),"")</f>
        <v/>
      </c>
      <c r="Q1778" s="136" t="str">
        <f>IFERROR(__xludf.DUMMYFUNCTION("""COMPUTED_VALUE"""),"")</f>
        <v/>
      </c>
      <c r="R1778" s="106" t="str">
        <f>IFERROR(__xludf.DUMMYFUNCTION("""COMPUTED_VALUE"""),"")</f>
        <v/>
      </c>
      <c r="S1778" s="106" t="str">
        <f>IFERROR(__xludf.DUMMYFUNCTION("""COMPUTED_VALUE"""),"")</f>
        <v/>
      </c>
      <c r="T1778" s="139" t="str">
        <f>IFERROR(__xludf.DUMMYFUNCTION("""COMPUTED_VALUE"""),"")</f>
        <v/>
      </c>
      <c r="U1778" s="139" t="str">
        <f>IFERROR(__xludf.DUMMYFUNCTION("""COMPUTED_VALUE"""),"")</f>
        <v/>
      </c>
      <c r="V1778" s="136" t="str">
        <f>IFERROR(__xludf.DUMMYFUNCTION("""COMPUTED_VALUE"""),"")</f>
        <v/>
      </c>
      <c r="W1778" s="106" t="str">
        <f>IFERROR(__xludf.DUMMYFUNCTION("""COMPUTED_VALUE"""),"")</f>
        <v/>
      </c>
      <c r="X1778" s="143" t="str">
        <f t="shared" si="2"/>
        <v/>
      </c>
      <c r="Y1778" s="139" t="str">
        <f>IFERROR(__xludf.DUMMYFUNCTION("""COMPUTED_VALUE"""),"")</f>
        <v/>
      </c>
      <c r="Z1778" s="141" t="str">
        <f>IFERROR(__xludf.DUMMYFUNCTION("""COMPUTED_VALUE"""),"")</f>
        <v/>
      </c>
    </row>
    <row r="1779">
      <c r="D1779" s="136" t="str">
        <f t="shared" si="3"/>
        <v/>
      </c>
      <c r="E1779" s="152"/>
      <c r="F1779" s="106" t="s">
        <v>133</v>
      </c>
      <c r="G1779" s="152"/>
      <c r="H1779" s="106" t="s">
        <v>133</v>
      </c>
      <c r="J1779" s="139" t="s">
        <v>133</v>
      </c>
      <c r="K1779" s="136" t="s">
        <v>133</v>
      </c>
      <c r="L1779" s="153"/>
      <c r="M1779" s="136" t="str">
        <f t="shared" si="1"/>
        <v/>
      </c>
      <c r="O1779" s="141" t="s">
        <v>133</v>
      </c>
      <c r="P1779" s="136" t="str">
        <f>IFERROR(__xludf.DUMMYFUNCTION("""COMPUTED_VALUE"""),"")</f>
        <v/>
      </c>
      <c r="Q1779" s="136" t="str">
        <f>IFERROR(__xludf.DUMMYFUNCTION("""COMPUTED_VALUE"""),"")</f>
        <v/>
      </c>
      <c r="R1779" s="106" t="str">
        <f>IFERROR(__xludf.DUMMYFUNCTION("""COMPUTED_VALUE"""),"")</f>
        <v/>
      </c>
      <c r="S1779" s="106" t="str">
        <f>IFERROR(__xludf.DUMMYFUNCTION("""COMPUTED_VALUE"""),"")</f>
        <v/>
      </c>
      <c r="T1779" s="139" t="str">
        <f>IFERROR(__xludf.DUMMYFUNCTION("""COMPUTED_VALUE"""),"")</f>
        <v/>
      </c>
      <c r="U1779" s="139" t="str">
        <f>IFERROR(__xludf.DUMMYFUNCTION("""COMPUTED_VALUE"""),"")</f>
        <v/>
      </c>
      <c r="V1779" s="136" t="str">
        <f>IFERROR(__xludf.DUMMYFUNCTION("""COMPUTED_VALUE"""),"")</f>
        <v/>
      </c>
      <c r="W1779" s="106" t="str">
        <f>IFERROR(__xludf.DUMMYFUNCTION("""COMPUTED_VALUE"""),"")</f>
        <v/>
      </c>
      <c r="X1779" s="143" t="str">
        <f t="shared" si="2"/>
        <v/>
      </c>
      <c r="Y1779" s="139" t="str">
        <f>IFERROR(__xludf.DUMMYFUNCTION("""COMPUTED_VALUE"""),"")</f>
        <v/>
      </c>
      <c r="Z1779" s="141" t="str">
        <f>IFERROR(__xludf.DUMMYFUNCTION("""COMPUTED_VALUE"""),"")</f>
        <v/>
      </c>
    </row>
    <row r="1780">
      <c r="D1780" s="136" t="str">
        <f t="shared" si="3"/>
        <v/>
      </c>
      <c r="E1780" s="152"/>
      <c r="F1780" s="106" t="s">
        <v>133</v>
      </c>
      <c r="G1780" s="152"/>
      <c r="H1780" s="106" t="s">
        <v>133</v>
      </c>
      <c r="J1780" s="139" t="s">
        <v>133</v>
      </c>
      <c r="K1780" s="136" t="s">
        <v>133</v>
      </c>
      <c r="L1780" s="153"/>
      <c r="M1780" s="136" t="str">
        <f t="shared" si="1"/>
        <v/>
      </c>
      <c r="O1780" s="141" t="s">
        <v>133</v>
      </c>
      <c r="P1780" s="136" t="str">
        <f>IFERROR(__xludf.DUMMYFUNCTION("""COMPUTED_VALUE"""),"")</f>
        <v/>
      </c>
      <c r="Q1780" s="136" t="str">
        <f>IFERROR(__xludf.DUMMYFUNCTION("""COMPUTED_VALUE"""),"")</f>
        <v/>
      </c>
      <c r="R1780" s="106" t="str">
        <f>IFERROR(__xludf.DUMMYFUNCTION("""COMPUTED_VALUE"""),"")</f>
        <v/>
      </c>
      <c r="S1780" s="106" t="str">
        <f>IFERROR(__xludf.DUMMYFUNCTION("""COMPUTED_VALUE"""),"")</f>
        <v/>
      </c>
      <c r="T1780" s="139" t="str">
        <f>IFERROR(__xludf.DUMMYFUNCTION("""COMPUTED_VALUE"""),"")</f>
        <v/>
      </c>
      <c r="U1780" s="139" t="str">
        <f>IFERROR(__xludf.DUMMYFUNCTION("""COMPUTED_VALUE"""),"")</f>
        <v/>
      </c>
      <c r="V1780" s="136" t="str">
        <f>IFERROR(__xludf.DUMMYFUNCTION("""COMPUTED_VALUE"""),"")</f>
        <v/>
      </c>
      <c r="W1780" s="106" t="str">
        <f>IFERROR(__xludf.DUMMYFUNCTION("""COMPUTED_VALUE"""),"")</f>
        <v/>
      </c>
      <c r="X1780" s="143" t="str">
        <f t="shared" si="2"/>
        <v/>
      </c>
      <c r="Y1780" s="139" t="str">
        <f>IFERROR(__xludf.DUMMYFUNCTION("""COMPUTED_VALUE"""),"")</f>
        <v/>
      </c>
      <c r="Z1780" s="141" t="str">
        <f>IFERROR(__xludf.DUMMYFUNCTION("""COMPUTED_VALUE"""),"")</f>
        <v/>
      </c>
    </row>
    <row r="1781">
      <c r="D1781" s="136" t="str">
        <f t="shared" si="3"/>
        <v/>
      </c>
      <c r="E1781" s="152"/>
      <c r="F1781" s="106" t="s">
        <v>133</v>
      </c>
      <c r="G1781" s="152"/>
      <c r="H1781" s="106" t="s">
        <v>133</v>
      </c>
      <c r="J1781" s="139" t="s">
        <v>133</v>
      </c>
      <c r="K1781" s="136" t="s">
        <v>133</v>
      </c>
      <c r="L1781" s="153"/>
      <c r="M1781" s="136" t="str">
        <f t="shared" si="1"/>
        <v/>
      </c>
      <c r="O1781" s="141" t="s">
        <v>133</v>
      </c>
      <c r="P1781" s="136" t="str">
        <f>IFERROR(__xludf.DUMMYFUNCTION("""COMPUTED_VALUE"""),"")</f>
        <v/>
      </c>
      <c r="Q1781" s="136" t="str">
        <f>IFERROR(__xludf.DUMMYFUNCTION("""COMPUTED_VALUE"""),"")</f>
        <v/>
      </c>
      <c r="R1781" s="106" t="str">
        <f>IFERROR(__xludf.DUMMYFUNCTION("""COMPUTED_VALUE"""),"")</f>
        <v/>
      </c>
      <c r="S1781" s="106" t="str">
        <f>IFERROR(__xludf.DUMMYFUNCTION("""COMPUTED_VALUE"""),"")</f>
        <v/>
      </c>
      <c r="T1781" s="139" t="str">
        <f>IFERROR(__xludf.DUMMYFUNCTION("""COMPUTED_VALUE"""),"")</f>
        <v/>
      </c>
      <c r="U1781" s="139" t="str">
        <f>IFERROR(__xludf.DUMMYFUNCTION("""COMPUTED_VALUE"""),"")</f>
        <v/>
      </c>
      <c r="V1781" s="136" t="str">
        <f>IFERROR(__xludf.DUMMYFUNCTION("""COMPUTED_VALUE"""),"")</f>
        <v/>
      </c>
      <c r="W1781" s="106" t="str">
        <f>IFERROR(__xludf.DUMMYFUNCTION("""COMPUTED_VALUE"""),"")</f>
        <v/>
      </c>
      <c r="X1781" s="143" t="str">
        <f t="shared" si="2"/>
        <v/>
      </c>
      <c r="Y1781" s="139" t="str">
        <f>IFERROR(__xludf.DUMMYFUNCTION("""COMPUTED_VALUE"""),"")</f>
        <v/>
      </c>
      <c r="Z1781" s="141" t="str">
        <f>IFERROR(__xludf.DUMMYFUNCTION("""COMPUTED_VALUE"""),"")</f>
        <v/>
      </c>
    </row>
    <row r="1782">
      <c r="D1782" s="136" t="str">
        <f t="shared" si="3"/>
        <v/>
      </c>
      <c r="E1782" s="152"/>
      <c r="F1782" s="106" t="s">
        <v>133</v>
      </c>
      <c r="G1782" s="152"/>
      <c r="H1782" s="106" t="s">
        <v>133</v>
      </c>
      <c r="J1782" s="139" t="s">
        <v>133</v>
      </c>
      <c r="K1782" s="136" t="s">
        <v>133</v>
      </c>
      <c r="L1782" s="153"/>
      <c r="M1782" s="136" t="str">
        <f t="shared" si="1"/>
        <v/>
      </c>
      <c r="O1782" s="141" t="s">
        <v>133</v>
      </c>
      <c r="P1782" s="136" t="str">
        <f>IFERROR(__xludf.DUMMYFUNCTION("""COMPUTED_VALUE"""),"")</f>
        <v/>
      </c>
      <c r="Q1782" s="136" t="str">
        <f>IFERROR(__xludf.DUMMYFUNCTION("""COMPUTED_VALUE"""),"")</f>
        <v/>
      </c>
      <c r="R1782" s="106" t="str">
        <f>IFERROR(__xludf.DUMMYFUNCTION("""COMPUTED_VALUE"""),"")</f>
        <v/>
      </c>
      <c r="S1782" s="106" t="str">
        <f>IFERROR(__xludf.DUMMYFUNCTION("""COMPUTED_VALUE"""),"")</f>
        <v/>
      </c>
      <c r="T1782" s="139" t="str">
        <f>IFERROR(__xludf.DUMMYFUNCTION("""COMPUTED_VALUE"""),"")</f>
        <v/>
      </c>
      <c r="U1782" s="139" t="str">
        <f>IFERROR(__xludf.DUMMYFUNCTION("""COMPUTED_VALUE"""),"")</f>
        <v/>
      </c>
      <c r="V1782" s="136" t="str">
        <f>IFERROR(__xludf.DUMMYFUNCTION("""COMPUTED_VALUE"""),"")</f>
        <v/>
      </c>
      <c r="W1782" s="106" t="str">
        <f>IFERROR(__xludf.DUMMYFUNCTION("""COMPUTED_VALUE"""),"")</f>
        <v/>
      </c>
      <c r="X1782" s="143" t="str">
        <f t="shared" si="2"/>
        <v/>
      </c>
      <c r="Y1782" s="139" t="str">
        <f>IFERROR(__xludf.DUMMYFUNCTION("""COMPUTED_VALUE"""),"")</f>
        <v/>
      </c>
      <c r="Z1782" s="141" t="str">
        <f>IFERROR(__xludf.DUMMYFUNCTION("""COMPUTED_VALUE"""),"")</f>
        <v/>
      </c>
    </row>
    <row r="1783">
      <c r="D1783" s="136" t="str">
        <f t="shared" si="3"/>
        <v/>
      </c>
      <c r="E1783" s="152"/>
      <c r="F1783" s="106" t="s">
        <v>133</v>
      </c>
      <c r="G1783" s="152"/>
      <c r="H1783" s="106" t="s">
        <v>133</v>
      </c>
      <c r="J1783" s="139" t="s">
        <v>133</v>
      </c>
      <c r="K1783" s="136" t="s">
        <v>133</v>
      </c>
      <c r="L1783" s="153"/>
      <c r="M1783" s="136" t="str">
        <f t="shared" si="1"/>
        <v/>
      </c>
      <c r="O1783" s="141" t="s">
        <v>133</v>
      </c>
      <c r="P1783" s="136" t="str">
        <f>IFERROR(__xludf.DUMMYFUNCTION("""COMPUTED_VALUE"""),"")</f>
        <v/>
      </c>
      <c r="Q1783" s="136" t="str">
        <f>IFERROR(__xludf.DUMMYFUNCTION("""COMPUTED_VALUE"""),"")</f>
        <v/>
      </c>
      <c r="R1783" s="106" t="str">
        <f>IFERROR(__xludf.DUMMYFUNCTION("""COMPUTED_VALUE"""),"")</f>
        <v/>
      </c>
      <c r="S1783" s="106" t="str">
        <f>IFERROR(__xludf.DUMMYFUNCTION("""COMPUTED_VALUE"""),"")</f>
        <v/>
      </c>
      <c r="T1783" s="139" t="str">
        <f>IFERROR(__xludf.DUMMYFUNCTION("""COMPUTED_VALUE"""),"")</f>
        <v/>
      </c>
      <c r="U1783" s="139" t="str">
        <f>IFERROR(__xludf.DUMMYFUNCTION("""COMPUTED_VALUE"""),"")</f>
        <v/>
      </c>
      <c r="V1783" s="136" t="str">
        <f>IFERROR(__xludf.DUMMYFUNCTION("""COMPUTED_VALUE"""),"")</f>
        <v/>
      </c>
      <c r="W1783" s="106" t="str">
        <f>IFERROR(__xludf.DUMMYFUNCTION("""COMPUTED_VALUE"""),"")</f>
        <v/>
      </c>
      <c r="X1783" s="143" t="str">
        <f t="shared" si="2"/>
        <v/>
      </c>
      <c r="Y1783" s="139" t="str">
        <f>IFERROR(__xludf.DUMMYFUNCTION("""COMPUTED_VALUE"""),"")</f>
        <v/>
      </c>
      <c r="Z1783" s="141" t="str">
        <f>IFERROR(__xludf.DUMMYFUNCTION("""COMPUTED_VALUE"""),"")</f>
        <v/>
      </c>
    </row>
    <row r="1784">
      <c r="D1784" s="136" t="str">
        <f t="shared" si="3"/>
        <v/>
      </c>
      <c r="E1784" s="152"/>
      <c r="F1784" s="106" t="s">
        <v>133</v>
      </c>
      <c r="G1784" s="152"/>
      <c r="H1784" s="106" t="s">
        <v>133</v>
      </c>
      <c r="J1784" s="139" t="s">
        <v>133</v>
      </c>
      <c r="K1784" s="136" t="s">
        <v>133</v>
      </c>
      <c r="L1784" s="153"/>
      <c r="M1784" s="136" t="str">
        <f t="shared" si="1"/>
        <v/>
      </c>
      <c r="O1784" s="141" t="s">
        <v>133</v>
      </c>
      <c r="P1784" s="136" t="str">
        <f>IFERROR(__xludf.DUMMYFUNCTION("""COMPUTED_VALUE"""),"")</f>
        <v/>
      </c>
      <c r="Q1784" s="136" t="str">
        <f>IFERROR(__xludf.DUMMYFUNCTION("""COMPUTED_VALUE"""),"")</f>
        <v/>
      </c>
      <c r="R1784" s="106" t="str">
        <f>IFERROR(__xludf.DUMMYFUNCTION("""COMPUTED_VALUE"""),"")</f>
        <v/>
      </c>
      <c r="S1784" s="106" t="str">
        <f>IFERROR(__xludf.DUMMYFUNCTION("""COMPUTED_VALUE"""),"")</f>
        <v/>
      </c>
      <c r="T1784" s="139" t="str">
        <f>IFERROR(__xludf.DUMMYFUNCTION("""COMPUTED_VALUE"""),"")</f>
        <v/>
      </c>
      <c r="U1784" s="139" t="str">
        <f>IFERROR(__xludf.DUMMYFUNCTION("""COMPUTED_VALUE"""),"")</f>
        <v/>
      </c>
      <c r="V1784" s="136" t="str">
        <f>IFERROR(__xludf.DUMMYFUNCTION("""COMPUTED_VALUE"""),"")</f>
        <v/>
      </c>
      <c r="W1784" s="106" t="str">
        <f>IFERROR(__xludf.DUMMYFUNCTION("""COMPUTED_VALUE"""),"")</f>
        <v/>
      </c>
      <c r="X1784" s="143" t="str">
        <f t="shared" si="2"/>
        <v/>
      </c>
      <c r="Y1784" s="139" t="str">
        <f>IFERROR(__xludf.DUMMYFUNCTION("""COMPUTED_VALUE"""),"")</f>
        <v/>
      </c>
      <c r="Z1784" s="141" t="str">
        <f>IFERROR(__xludf.DUMMYFUNCTION("""COMPUTED_VALUE"""),"")</f>
        <v/>
      </c>
    </row>
    <row r="1785">
      <c r="D1785" s="136" t="str">
        <f t="shared" si="3"/>
        <v/>
      </c>
      <c r="E1785" s="152"/>
      <c r="F1785" s="106" t="s">
        <v>133</v>
      </c>
      <c r="G1785" s="152"/>
      <c r="H1785" s="106" t="s">
        <v>133</v>
      </c>
      <c r="J1785" s="139" t="s">
        <v>133</v>
      </c>
      <c r="K1785" s="136" t="s">
        <v>133</v>
      </c>
      <c r="L1785" s="153"/>
      <c r="M1785" s="136" t="str">
        <f t="shared" si="1"/>
        <v/>
      </c>
      <c r="O1785" s="141" t="s">
        <v>133</v>
      </c>
      <c r="P1785" s="136" t="str">
        <f>IFERROR(__xludf.DUMMYFUNCTION("""COMPUTED_VALUE"""),"")</f>
        <v/>
      </c>
      <c r="Q1785" s="136" t="str">
        <f>IFERROR(__xludf.DUMMYFUNCTION("""COMPUTED_VALUE"""),"")</f>
        <v/>
      </c>
      <c r="R1785" s="106" t="str">
        <f>IFERROR(__xludf.DUMMYFUNCTION("""COMPUTED_VALUE"""),"")</f>
        <v/>
      </c>
      <c r="S1785" s="106" t="str">
        <f>IFERROR(__xludf.DUMMYFUNCTION("""COMPUTED_VALUE"""),"")</f>
        <v/>
      </c>
      <c r="T1785" s="139" t="str">
        <f>IFERROR(__xludf.DUMMYFUNCTION("""COMPUTED_VALUE"""),"")</f>
        <v/>
      </c>
      <c r="U1785" s="139" t="str">
        <f>IFERROR(__xludf.DUMMYFUNCTION("""COMPUTED_VALUE"""),"")</f>
        <v/>
      </c>
      <c r="V1785" s="136" t="str">
        <f>IFERROR(__xludf.DUMMYFUNCTION("""COMPUTED_VALUE"""),"")</f>
        <v/>
      </c>
      <c r="W1785" s="106" t="str">
        <f>IFERROR(__xludf.DUMMYFUNCTION("""COMPUTED_VALUE"""),"")</f>
        <v/>
      </c>
      <c r="X1785" s="143" t="str">
        <f t="shared" si="2"/>
        <v/>
      </c>
      <c r="Y1785" s="139" t="str">
        <f>IFERROR(__xludf.DUMMYFUNCTION("""COMPUTED_VALUE"""),"")</f>
        <v/>
      </c>
      <c r="Z1785" s="141" t="str">
        <f>IFERROR(__xludf.DUMMYFUNCTION("""COMPUTED_VALUE"""),"")</f>
        <v/>
      </c>
    </row>
    <row r="1786">
      <c r="D1786" s="136" t="str">
        <f t="shared" si="3"/>
        <v/>
      </c>
      <c r="E1786" s="152"/>
      <c r="F1786" s="106" t="s">
        <v>133</v>
      </c>
      <c r="G1786" s="152"/>
      <c r="H1786" s="106" t="s">
        <v>133</v>
      </c>
      <c r="J1786" s="139" t="s">
        <v>133</v>
      </c>
      <c r="K1786" s="136" t="s">
        <v>133</v>
      </c>
      <c r="L1786" s="153"/>
      <c r="M1786" s="136" t="str">
        <f t="shared" si="1"/>
        <v/>
      </c>
      <c r="O1786" s="141" t="s">
        <v>133</v>
      </c>
      <c r="P1786" s="136" t="str">
        <f>IFERROR(__xludf.DUMMYFUNCTION("""COMPUTED_VALUE"""),"")</f>
        <v/>
      </c>
      <c r="Q1786" s="136" t="str">
        <f>IFERROR(__xludf.DUMMYFUNCTION("""COMPUTED_VALUE"""),"")</f>
        <v/>
      </c>
      <c r="R1786" s="106" t="str">
        <f>IFERROR(__xludf.DUMMYFUNCTION("""COMPUTED_VALUE"""),"")</f>
        <v/>
      </c>
      <c r="S1786" s="106" t="str">
        <f>IFERROR(__xludf.DUMMYFUNCTION("""COMPUTED_VALUE"""),"")</f>
        <v/>
      </c>
      <c r="T1786" s="139" t="str">
        <f>IFERROR(__xludf.DUMMYFUNCTION("""COMPUTED_VALUE"""),"")</f>
        <v/>
      </c>
      <c r="U1786" s="139" t="str">
        <f>IFERROR(__xludf.DUMMYFUNCTION("""COMPUTED_VALUE"""),"")</f>
        <v/>
      </c>
      <c r="V1786" s="136" t="str">
        <f>IFERROR(__xludf.DUMMYFUNCTION("""COMPUTED_VALUE"""),"")</f>
        <v/>
      </c>
      <c r="W1786" s="106" t="str">
        <f>IFERROR(__xludf.DUMMYFUNCTION("""COMPUTED_VALUE"""),"")</f>
        <v/>
      </c>
      <c r="X1786" s="143" t="str">
        <f t="shared" si="2"/>
        <v/>
      </c>
      <c r="Y1786" s="139" t="str">
        <f>IFERROR(__xludf.DUMMYFUNCTION("""COMPUTED_VALUE"""),"")</f>
        <v/>
      </c>
      <c r="Z1786" s="141" t="str">
        <f>IFERROR(__xludf.DUMMYFUNCTION("""COMPUTED_VALUE"""),"")</f>
        <v/>
      </c>
    </row>
    <row r="1787">
      <c r="D1787" s="136" t="str">
        <f t="shared" si="3"/>
        <v/>
      </c>
      <c r="E1787" s="152"/>
      <c r="F1787" s="106" t="s">
        <v>133</v>
      </c>
      <c r="G1787" s="152"/>
      <c r="H1787" s="106" t="s">
        <v>133</v>
      </c>
      <c r="J1787" s="139" t="s">
        <v>133</v>
      </c>
      <c r="K1787" s="136" t="s">
        <v>133</v>
      </c>
      <c r="L1787" s="153"/>
      <c r="M1787" s="136" t="str">
        <f t="shared" si="1"/>
        <v/>
      </c>
      <c r="O1787" s="141" t="s">
        <v>133</v>
      </c>
      <c r="P1787" s="136" t="str">
        <f>IFERROR(__xludf.DUMMYFUNCTION("""COMPUTED_VALUE"""),"")</f>
        <v/>
      </c>
      <c r="Q1787" s="136" t="str">
        <f>IFERROR(__xludf.DUMMYFUNCTION("""COMPUTED_VALUE"""),"")</f>
        <v/>
      </c>
      <c r="R1787" s="106" t="str">
        <f>IFERROR(__xludf.DUMMYFUNCTION("""COMPUTED_VALUE"""),"")</f>
        <v/>
      </c>
      <c r="S1787" s="106" t="str">
        <f>IFERROR(__xludf.DUMMYFUNCTION("""COMPUTED_VALUE"""),"")</f>
        <v/>
      </c>
      <c r="T1787" s="139" t="str">
        <f>IFERROR(__xludf.DUMMYFUNCTION("""COMPUTED_VALUE"""),"")</f>
        <v/>
      </c>
      <c r="U1787" s="139" t="str">
        <f>IFERROR(__xludf.DUMMYFUNCTION("""COMPUTED_VALUE"""),"")</f>
        <v/>
      </c>
      <c r="V1787" s="136" t="str">
        <f>IFERROR(__xludf.DUMMYFUNCTION("""COMPUTED_VALUE"""),"")</f>
        <v/>
      </c>
      <c r="W1787" s="106" t="str">
        <f>IFERROR(__xludf.DUMMYFUNCTION("""COMPUTED_VALUE"""),"")</f>
        <v/>
      </c>
      <c r="X1787" s="143" t="str">
        <f t="shared" si="2"/>
        <v/>
      </c>
      <c r="Y1787" s="139" t="str">
        <f>IFERROR(__xludf.DUMMYFUNCTION("""COMPUTED_VALUE"""),"")</f>
        <v/>
      </c>
      <c r="Z1787" s="141" t="str">
        <f>IFERROR(__xludf.DUMMYFUNCTION("""COMPUTED_VALUE"""),"")</f>
        <v/>
      </c>
    </row>
    <row r="1788">
      <c r="D1788" s="136" t="str">
        <f t="shared" si="3"/>
        <v/>
      </c>
      <c r="E1788" s="152"/>
      <c r="F1788" s="106" t="s">
        <v>133</v>
      </c>
      <c r="G1788" s="152"/>
      <c r="H1788" s="106" t="s">
        <v>133</v>
      </c>
      <c r="J1788" s="139" t="s">
        <v>133</v>
      </c>
      <c r="K1788" s="136" t="s">
        <v>133</v>
      </c>
      <c r="L1788" s="153"/>
      <c r="M1788" s="136" t="str">
        <f t="shared" si="1"/>
        <v/>
      </c>
      <c r="O1788" s="141" t="s">
        <v>133</v>
      </c>
      <c r="P1788" s="136" t="str">
        <f>IFERROR(__xludf.DUMMYFUNCTION("""COMPUTED_VALUE"""),"")</f>
        <v/>
      </c>
      <c r="Q1788" s="136" t="str">
        <f>IFERROR(__xludf.DUMMYFUNCTION("""COMPUTED_VALUE"""),"")</f>
        <v/>
      </c>
      <c r="R1788" s="106" t="str">
        <f>IFERROR(__xludf.DUMMYFUNCTION("""COMPUTED_VALUE"""),"")</f>
        <v/>
      </c>
      <c r="S1788" s="106" t="str">
        <f>IFERROR(__xludf.DUMMYFUNCTION("""COMPUTED_VALUE"""),"")</f>
        <v/>
      </c>
      <c r="T1788" s="139" t="str">
        <f>IFERROR(__xludf.DUMMYFUNCTION("""COMPUTED_VALUE"""),"")</f>
        <v/>
      </c>
      <c r="U1788" s="139" t="str">
        <f>IFERROR(__xludf.DUMMYFUNCTION("""COMPUTED_VALUE"""),"")</f>
        <v/>
      </c>
      <c r="V1788" s="136" t="str">
        <f>IFERROR(__xludf.DUMMYFUNCTION("""COMPUTED_VALUE"""),"")</f>
        <v/>
      </c>
      <c r="W1788" s="106" t="str">
        <f>IFERROR(__xludf.DUMMYFUNCTION("""COMPUTED_VALUE"""),"")</f>
        <v/>
      </c>
      <c r="X1788" s="143" t="str">
        <f t="shared" si="2"/>
        <v/>
      </c>
      <c r="Y1788" s="139" t="str">
        <f>IFERROR(__xludf.DUMMYFUNCTION("""COMPUTED_VALUE"""),"")</f>
        <v/>
      </c>
      <c r="Z1788" s="141" t="str">
        <f>IFERROR(__xludf.DUMMYFUNCTION("""COMPUTED_VALUE"""),"")</f>
        <v/>
      </c>
    </row>
    <row r="1789">
      <c r="D1789" s="136" t="str">
        <f t="shared" si="3"/>
        <v/>
      </c>
      <c r="E1789" s="152"/>
      <c r="F1789" s="106" t="s">
        <v>133</v>
      </c>
      <c r="G1789" s="152"/>
      <c r="H1789" s="106" t="s">
        <v>133</v>
      </c>
      <c r="J1789" s="139" t="s">
        <v>133</v>
      </c>
      <c r="K1789" s="136" t="s">
        <v>133</v>
      </c>
      <c r="L1789" s="153"/>
      <c r="M1789" s="136" t="str">
        <f t="shared" si="1"/>
        <v/>
      </c>
      <c r="O1789" s="141" t="s">
        <v>133</v>
      </c>
      <c r="P1789" s="136" t="str">
        <f>IFERROR(__xludf.DUMMYFUNCTION("""COMPUTED_VALUE"""),"")</f>
        <v/>
      </c>
      <c r="Q1789" s="136" t="str">
        <f>IFERROR(__xludf.DUMMYFUNCTION("""COMPUTED_VALUE"""),"")</f>
        <v/>
      </c>
      <c r="R1789" s="106" t="str">
        <f>IFERROR(__xludf.DUMMYFUNCTION("""COMPUTED_VALUE"""),"")</f>
        <v/>
      </c>
      <c r="S1789" s="106" t="str">
        <f>IFERROR(__xludf.DUMMYFUNCTION("""COMPUTED_VALUE"""),"")</f>
        <v/>
      </c>
      <c r="T1789" s="139" t="str">
        <f>IFERROR(__xludf.DUMMYFUNCTION("""COMPUTED_VALUE"""),"")</f>
        <v/>
      </c>
      <c r="U1789" s="139" t="str">
        <f>IFERROR(__xludf.DUMMYFUNCTION("""COMPUTED_VALUE"""),"")</f>
        <v/>
      </c>
      <c r="V1789" s="136" t="str">
        <f>IFERROR(__xludf.DUMMYFUNCTION("""COMPUTED_VALUE"""),"")</f>
        <v/>
      </c>
      <c r="W1789" s="106" t="str">
        <f>IFERROR(__xludf.DUMMYFUNCTION("""COMPUTED_VALUE"""),"")</f>
        <v/>
      </c>
      <c r="X1789" s="143" t="str">
        <f t="shared" si="2"/>
        <v/>
      </c>
      <c r="Y1789" s="139" t="str">
        <f>IFERROR(__xludf.DUMMYFUNCTION("""COMPUTED_VALUE"""),"")</f>
        <v/>
      </c>
      <c r="Z1789" s="141" t="str">
        <f>IFERROR(__xludf.DUMMYFUNCTION("""COMPUTED_VALUE"""),"")</f>
        <v/>
      </c>
    </row>
    <row r="1790">
      <c r="D1790" s="136" t="str">
        <f t="shared" si="3"/>
        <v/>
      </c>
      <c r="E1790" s="152"/>
      <c r="F1790" s="106" t="s">
        <v>133</v>
      </c>
      <c r="G1790" s="152"/>
      <c r="H1790" s="106" t="s">
        <v>133</v>
      </c>
      <c r="J1790" s="139" t="s">
        <v>133</v>
      </c>
      <c r="K1790" s="136" t="s">
        <v>133</v>
      </c>
      <c r="L1790" s="153"/>
      <c r="M1790" s="136" t="str">
        <f t="shared" si="1"/>
        <v/>
      </c>
      <c r="O1790" s="141" t="s">
        <v>133</v>
      </c>
      <c r="P1790" s="136" t="str">
        <f>IFERROR(__xludf.DUMMYFUNCTION("""COMPUTED_VALUE"""),"")</f>
        <v/>
      </c>
      <c r="Q1790" s="136" t="str">
        <f>IFERROR(__xludf.DUMMYFUNCTION("""COMPUTED_VALUE"""),"")</f>
        <v/>
      </c>
      <c r="R1790" s="106" t="str">
        <f>IFERROR(__xludf.DUMMYFUNCTION("""COMPUTED_VALUE"""),"")</f>
        <v/>
      </c>
      <c r="S1790" s="106" t="str">
        <f>IFERROR(__xludf.DUMMYFUNCTION("""COMPUTED_VALUE"""),"")</f>
        <v/>
      </c>
      <c r="T1790" s="139" t="str">
        <f>IFERROR(__xludf.DUMMYFUNCTION("""COMPUTED_VALUE"""),"")</f>
        <v/>
      </c>
      <c r="U1790" s="139" t="str">
        <f>IFERROR(__xludf.DUMMYFUNCTION("""COMPUTED_VALUE"""),"")</f>
        <v/>
      </c>
      <c r="V1790" s="136" t="str">
        <f>IFERROR(__xludf.DUMMYFUNCTION("""COMPUTED_VALUE"""),"")</f>
        <v/>
      </c>
      <c r="W1790" s="106" t="str">
        <f>IFERROR(__xludf.DUMMYFUNCTION("""COMPUTED_VALUE"""),"")</f>
        <v/>
      </c>
      <c r="X1790" s="143" t="str">
        <f t="shared" si="2"/>
        <v/>
      </c>
      <c r="Y1790" s="139" t="str">
        <f>IFERROR(__xludf.DUMMYFUNCTION("""COMPUTED_VALUE"""),"")</f>
        <v/>
      </c>
      <c r="Z1790" s="141" t="str">
        <f>IFERROR(__xludf.DUMMYFUNCTION("""COMPUTED_VALUE"""),"")</f>
        <v/>
      </c>
    </row>
    <row r="1791">
      <c r="D1791" s="136" t="str">
        <f t="shared" si="3"/>
        <v/>
      </c>
      <c r="E1791" s="152"/>
      <c r="F1791" s="106" t="s">
        <v>133</v>
      </c>
      <c r="G1791" s="152"/>
      <c r="H1791" s="106" t="s">
        <v>133</v>
      </c>
      <c r="J1791" s="139" t="s">
        <v>133</v>
      </c>
      <c r="K1791" s="136" t="s">
        <v>133</v>
      </c>
      <c r="L1791" s="153"/>
      <c r="M1791" s="136" t="str">
        <f t="shared" si="1"/>
        <v/>
      </c>
      <c r="O1791" s="141" t="s">
        <v>133</v>
      </c>
      <c r="P1791" s="136" t="str">
        <f>IFERROR(__xludf.DUMMYFUNCTION("""COMPUTED_VALUE"""),"")</f>
        <v/>
      </c>
      <c r="Q1791" s="136" t="str">
        <f>IFERROR(__xludf.DUMMYFUNCTION("""COMPUTED_VALUE"""),"")</f>
        <v/>
      </c>
      <c r="R1791" s="106" t="str">
        <f>IFERROR(__xludf.DUMMYFUNCTION("""COMPUTED_VALUE"""),"")</f>
        <v/>
      </c>
      <c r="S1791" s="106" t="str">
        <f>IFERROR(__xludf.DUMMYFUNCTION("""COMPUTED_VALUE"""),"")</f>
        <v/>
      </c>
      <c r="T1791" s="139" t="str">
        <f>IFERROR(__xludf.DUMMYFUNCTION("""COMPUTED_VALUE"""),"")</f>
        <v/>
      </c>
      <c r="U1791" s="139" t="str">
        <f>IFERROR(__xludf.DUMMYFUNCTION("""COMPUTED_VALUE"""),"")</f>
        <v/>
      </c>
      <c r="V1791" s="136" t="str">
        <f>IFERROR(__xludf.DUMMYFUNCTION("""COMPUTED_VALUE"""),"")</f>
        <v/>
      </c>
      <c r="W1791" s="106" t="str">
        <f>IFERROR(__xludf.DUMMYFUNCTION("""COMPUTED_VALUE"""),"")</f>
        <v/>
      </c>
      <c r="X1791" s="143" t="str">
        <f t="shared" si="2"/>
        <v/>
      </c>
      <c r="Y1791" s="139" t="str">
        <f>IFERROR(__xludf.DUMMYFUNCTION("""COMPUTED_VALUE"""),"")</f>
        <v/>
      </c>
      <c r="Z1791" s="141" t="str">
        <f>IFERROR(__xludf.DUMMYFUNCTION("""COMPUTED_VALUE"""),"")</f>
        <v/>
      </c>
    </row>
    <row r="1792">
      <c r="D1792" s="136" t="str">
        <f t="shared" si="3"/>
        <v/>
      </c>
      <c r="E1792" s="152"/>
      <c r="F1792" s="106" t="s">
        <v>133</v>
      </c>
      <c r="G1792" s="152"/>
      <c r="H1792" s="106" t="s">
        <v>133</v>
      </c>
      <c r="J1792" s="139" t="s">
        <v>133</v>
      </c>
      <c r="K1792" s="136" t="s">
        <v>133</v>
      </c>
      <c r="L1792" s="153"/>
      <c r="M1792" s="136" t="str">
        <f t="shared" si="1"/>
        <v/>
      </c>
      <c r="O1792" s="141" t="s">
        <v>133</v>
      </c>
      <c r="P1792" s="136" t="str">
        <f>IFERROR(__xludf.DUMMYFUNCTION("""COMPUTED_VALUE"""),"")</f>
        <v/>
      </c>
      <c r="Q1792" s="136" t="str">
        <f>IFERROR(__xludf.DUMMYFUNCTION("""COMPUTED_VALUE"""),"")</f>
        <v/>
      </c>
      <c r="R1792" s="106" t="str">
        <f>IFERROR(__xludf.DUMMYFUNCTION("""COMPUTED_VALUE"""),"")</f>
        <v/>
      </c>
      <c r="S1792" s="106" t="str">
        <f>IFERROR(__xludf.DUMMYFUNCTION("""COMPUTED_VALUE"""),"")</f>
        <v/>
      </c>
      <c r="T1792" s="139" t="str">
        <f>IFERROR(__xludf.DUMMYFUNCTION("""COMPUTED_VALUE"""),"")</f>
        <v/>
      </c>
      <c r="U1792" s="139" t="str">
        <f>IFERROR(__xludf.DUMMYFUNCTION("""COMPUTED_VALUE"""),"")</f>
        <v/>
      </c>
      <c r="V1792" s="136" t="str">
        <f>IFERROR(__xludf.DUMMYFUNCTION("""COMPUTED_VALUE"""),"")</f>
        <v/>
      </c>
      <c r="W1792" s="106" t="str">
        <f>IFERROR(__xludf.DUMMYFUNCTION("""COMPUTED_VALUE"""),"")</f>
        <v/>
      </c>
      <c r="X1792" s="143" t="str">
        <f t="shared" si="2"/>
        <v/>
      </c>
      <c r="Y1792" s="139" t="str">
        <f>IFERROR(__xludf.DUMMYFUNCTION("""COMPUTED_VALUE"""),"")</f>
        <v/>
      </c>
      <c r="Z1792" s="141" t="str">
        <f>IFERROR(__xludf.DUMMYFUNCTION("""COMPUTED_VALUE"""),"")</f>
        <v/>
      </c>
    </row>
    <row r="1793">
      <c r="D1793" s="136" t="str">
        <f t="shared" si="3"/>
        <v/>
      </c>
      <c r="E1793" s="152"/>
      <c r="F1793" s="106" t="s">
        <v>133</v>
      </c>
      <c r="G1793" s="152"/>
      <c r="H1793" s="106" t="s">
        <v>133</v>
      </c>
      <c r="J1793" s="139" t="s">
        <v>133</v>
      </c>
      <c r="K1793" s="136" t="s">
        <v>133</v>
      </c>
      <c r="L1793" s="153"/>
      <c r="M1793" s="136" t="str">
        <f t="shared" si="1"/>
        <v/>
      </c>
      <c r="O1793" s="141" t="s">
        <v>133</v>
      </c>
      <c r="P1793" s="136" t="str">
        <f>IFERROR(__xludf.DUMMYFUNCTION("""COMPUTED_VALUE"""),"")</f>
        <v/>
      </c>
      <c r="Q1793" s="136" t="str">
        <f>IFERROR(__xludf.DUMMYFUNCTION("""COMPUTED_VALUE"""),"")</f>
        <v/>
      </c>
      <c r="R1793" s="106" t="str">
        <f>IFERROR(__xludf.DUMMYFUNCTION("""COMPUTED_VALUE"""),"")</f>
        <v/>
      </c>
      <c r="S1793" s="106" t="str">
        <f>IFERROR(__xludf.DUMMYFUNCTION("""COMPUTED_VALUE"""),"")</f>
        <v/>
      </c>
      <c r="T1793" s="139" t="str">
        <f>IFERROR(__xludf.DUMMYFUNCTION("""COMPUTED_VALUE"""),"")</f>
        <v/>
      </c>
      <c r="U1793" s="139" t="str">
        <f>IFERROR(__xludf.DUMMYFUNCTION("""COMPUTED_VALUE"""),"")</f>
        <v/>
      </c>
      <c r="V1793" s="136" t="str">
        <f>IFERROR(__xludf.DUMMYFUNCTION("""COMPUTED_VALUE"""),"")</f>
        <v/>
      </c>
      <c r="W1793" s="106" t="str">
        <f>IFERROR(__xludf.DUMMYFUNCTION("""COMPUTED_VALUE"""),"")</f>
        <v/>
      </c>
      <c r="X1793" s="143" t="str">
        <f t="shared" si="2"/>
        <v/>
      </c>
      <c r="Y1793" s="139" t="str">
        <f>IFERROR(__xludf.DUMMYFUNCTION("""COMPUTED_VALUE"""),"")</f>
        <v/>
      </c>
      <c r="Z1793" s="141" t="str">
        <f>IFERROR(__xludf.DUMMYFUNCTION("""COMPUTED_VALUE"""),"")</f>
        <v/>
      </c>
    </row>
    <row r="1794">
      <c r="D1794" s="136" t="str">
        <f t="shared" si="3"/>
        <v/>
      </c>
      <c r="E1794" s="152"/>
      <c r="F1794" s="106" t="s">
        <v>133</v>
      </c>
      <c r="G1794" s="152"/>
      <c r="H1794" s="106" t="s">
        <v>133</v>
      </c>
      <c r="J1794" s="139" t="s">
        <v>133</v>
      </c>
      <c r="K1794" s="136" t="s">
        <v>133</v>
      </c>
      <c r="L1794" s="153"/>
      <c r="M1794" s="136" t="str">
        <f t="shared" si="1"/>
        <v/>
      </c>
      <c r="O1794" s="141" t="s">
        <v>133</v>
      </c>
      <c r="P1794" s="136" t="str">
        <f>IFERROR(__xludf.DUMMYFUNCTION("""COMPUTED_VALUE"""),"")</f>
        <v/>
      </c>
      <c r="Q1794" s="136" t="str">
        <f>IFERROR(__xludf.DUMMYFUNCTION("""COMPUTED_VALUE"""),"")</f>
        <v/>
      </c>
      <c r="R1794" s="106" t="str">
        <f>IFERROR(__xludf.DUMMYFUNCTION("""COMPUTED_VALUE"""),"")</f>
        <v/>
      </c>
      <c r="S1794" s="106" t="str">
        <f>IFERROR(__xludf.DUMMYFUNCTION("""COMPUTED_VALUE"""),"")</f>
        <v/>
      </c>
      <c r="T1794" s="139" t="str">
        <f>IFERROR(__xludf.DUMMYFUNCTION("""COMPUTED_VALUE"""),"")</f>
        <v/>
      </c>
      <c r="U1794" s="139" t="str">
        <f>IFERROR(__xludf.DUMMYFUNCTION("""COMPUTED_VALUE"""),"")</f>
        <v/>
      </c>
      <c r="V1794" s="136" t="str">
        <f>IFERROR(__xludf.DUMMYFUNCTION("""COMPUTED_VALUE"""),"")</f>
        <v/>
      </c>
      <c r="W1794" s="106" t="str">
        <f>IFERROR(__xludf.DUMMYFUNCTION("""COMPUTED_VALUE"""),"")</f>
        <v/>
      </c>
      <c r="X1794" s="143" t="str">
        <f t="shared" si="2"/>
        <v/>
      </c>
      <c r="Y1794" s="139" t="str">
        <f>IFERROR(__xludf.DUMMYFUNCTION("""COMPUTED_VALUE"""),"")</f>
        <v/>
      </c>
      <c r="Z1794" s="141" t="str">
        <f>IFERROR(__xludf.DUMMYFUNCTION("""COMPUTED_VALUE"""),"")</f>
        <v/>
      </c>
    </row>
    <row r="1795">
      <c r="D1795" s="136" t="str">
        <f t="shared" si="3"/>
        <v/>
      </c>
      <c r="E1795" s="152"/>
      <c r="F1795" s="106" t="s">
        <v>133</v>
      </c>
      <c r="G1795" s="152"/>
      <c r="H1795" s="106" t="s">
        <v>133</v>
      </c>
      <c r="J1795" s="139" t="s">
        <v>133</v>
      </c>
      <c r="K1795" s="136" t="s">
        <v>133</v>
      </c>
      <c r="L1795" s="153"/>
      <c r="M1795" s="136" t="str">
        <f t="shared" si="1"/>
        <v/>
      </c>
      <c r="O1795" s="141" t="s">
        <v>133</v>
      </c>
      <c r="P1795" s="136" t="str">
        <f>IFERROR(__xludf.DUMMYFUNCTION("""COMPUTED_VALUE"""),"")</f>
        <v/>
      </c>
      <c r="Q1795" s="136" t="str">
        <f>IFERROR(__xludf.DUMMYFUNCTION("""COMPUTED_VALUE"""),"")</f>
        <v/>
      </c>
      <c r="R1795" s="106" t="str">
        <f>IFERROR(__xludf.DUMMYFUNCTION("""COMPUTED_VALUE"""),"")</f>
        <v/>
      </c>
      <c r="S1795" s="106" t="str">
        <f>IFERROR(__xludf.DUMMYFUNCTION("""COMPUTED_VALUE"""),"")</f>
        <v/>
      </c>
      <c r="T1795" s="139" t="str">
        <f>IFERROR(__xludf.DUMMYFUNCTION("""COMPUTED_VALUE"""),"")</f>
        <v/>
      </c>
      <c r="U1795" s="139" t="str">
        <f>IFERROR(__xludf.DUMMYFUNCTION("""COMPUTED_VALUE"""),"")</f>
        <v/>
      </c>
      <c r="V1795" s="136" t="str">
        <f>IFERROR(__xludf.DUMMYFUNCTION("""COMPUTED_VALUE"""),"")</f>
        <v/>
      </c>
      <c r="W1795" s="106" t="str">
        <f>IFERROR(__xludf.DUMMYFUNCTION("""COMPUTED_VALUE"""),"")</f>
        <v/>
      </c>
      <c r="X1795" s="143" t="str">
        <f t="shared" si="2"/>
        <v/>
      </c>
      <c r="Y1795" s="139" t="str">
        <f>IFERROR(__xludf.DUMMYFUNCTION("""COMPUTED_VALUE"""),"")</f>
        <v/>
      </c>
      <c r="Z1795" s="141" t="str">
        <f>IFERROR(__xludf.DUMMYFUNCTION("""COMPUTED_VALUE"""),"")</f>
        <v/>
      </c>
    </row>
    <row r="1796">
      <c r="D1796" s="136" t="str">
        <f t="shared" si="3"/>
        <v/>
      </c>
      <c r="E1796" s="152"/>
      <c r="F1796" s="106" t="s">
        <v>133</v>
      </c>
      <c r="G1796" s="152"/>
      <c r="H1796" s="106" t="s">
        <v>133</v>
      </c>
      <c r="J1796" s="139" t="s">
        <v>133</v>
      </c>
      <c r="K1796" s="136" t="s">
        <v>133</v>
      </c>
      <c r="L1796" s="153"/>
      <c r="M1796" s="136" t="str">
        <f t="shared" si="1"/>
        <v/>
      </c>
      <c r="O1796" s="141" t="s">
        <v>133</v>
      </c>
      <c r="P1796" s="136" t="str">
        <f>IFERROR(__xludf.DUMMYFUNCTION("""COMPUTED_VALUE"""),"")</f>
        <v/>
      </c>
      <c r="Q1796" s="136" t="str">
        <f>IFERROR(__xludf.DUMMYFUNCTION("""COMPUTED_VALUE"""),"")</f>
        <v/>
      </c>
      <c r="R1796" s="106" t="str">
        <f>IFERROR(__xludf.DUMMYFUNCTION("""COMPUTED_VALUE"""),"")</f>
        <v/>
      </c>
      <c r="S1796" s="106" t="str">
        <f>IFERROR(__xludf.DUMMYFUNCTION("""COMPUTED_VALUE"""),"")</f>
        <v/>
      </c>
      <c r="T1796" s="139" t="str">
        <f>IFERROR(__xludf.DUMMYFUNCTION("""COMPUTED_VALUE"""),"")</f>
        <v/>
      </c>
      <c r="U1796" s="139" t="str">
        <f>IFERROR(__xludf.DUMMYFUNCTION("""COMPUTED_VALUE"""),"")</f>
        <v/>
      </c>
      <c r="V1796" s="136" t="str">
        <f>IFERROR(__xludf.DUMMYFUNCTION("""COMPUTED_VALUE"""),"")</f>
        <v/>
      </c>
      <c r="W1796" s="106" t="str">
        <f>IFERROR(__xludf.DUMMYFUNCTION("""COMPUTED_VALUE"""),"")</f>
        <v/>
      </c>
      <c r="X1796" s="143" t="str">
        <f t="shared" si="2"/>
        <v/>
      </c>
      <c r="Y1796" s="139" t="str">
        <f>IFERROR(__xludf.DUMMYFUNCTION("""COMPUTED_VALUE"""),"")</f>
        <v/>
      </c>
      <c r="Z1796" s="141" t="str">
        <f>IFERROR(__xludf.DUMMYFUNCTION("""COMPUTED_VALUE"""),"")</f>
        <v/>
      </c>
    </row>
    <row r="1797">
      <c r="D1797" s="136" t="str">
        <f t="shared" si="3"/>
        <v/>
      </c>
      <c r="E1797" s="152"/>
      <c r="F1797" s="106" t="s">
        <v>133</v>
      </c>
      <c r="G1797" s="152"/>
      <c r="H1797" s="106" t="s">
        <v>133</v>
      </c>
      <c r="J1797" s="139" t="s">
        <v>133</v>
      </c>
      <c r="K1797" s="136" t="s">
        <v>133</v>
      </c>
      <c r="L1797" s="153"/>
      <c r="M1797" s="136" t="str">
        <f t="shared" si="1"/>
        <v/>
      </c>
      <c r="O1797" s="141" t="s">
        <v>133</v>
      </c>
      <c r="P1797" s="136" t="str">
        <f>IFERROR(__xludf.DUMMYFUNCTION("""COMPUTED_VALUE"""),"")</f>
        <v/>
      </c>
      <c r="Q1797" s="136" t="str">
        <f>IFERROR(__xludf.DUMMYFUNCTION("""COMPUTED_VALUE"""),"")</f>
        <v/>
      </c>
      <c r="R1797" s="106" t="str">
        <f>IFERROR(__xludf.DUMMYFUNCTION("""COMPUTED_VALUE"""),"")</f>
        <v/>
      </c>
      <c r="S1797" s="106" t="str">
        <f>IFERROR(__xludf.DUMMYFUNCTION("""COMPUTED_VALUE"""),"")</f>
        <v/>
      </c>
      <c r="T1797" s="139" t="str">
        <f>IFERROR(__xludf.DUMMYFUNCTION("""COMPUTED_VALUE"""),"")</f>
        <v/>
      </c>
      <c r="U1797" s="139" t="str">
        <f>IFERROR(__xludf.DUMMYFUNCTION("""COMPUTED_VALUE"""),"")</f>
        <v/>
      </c>
      <c r="V1797" s="136" t="str">
        <f>IFERROR(__xludf.DUMMYFUNCTION("""COMPUTED_VALUE"""),"")</f>
        <v/>
      </c>
      <c r="W1797" s="106" t="str">
        <f>IFERROR(__xludf.DUMMYFUNCTION("""COMPUTED_VALUE"""),"")</f>
        <v/>
      </c>
      <c r="X1797" s="143" t="str">
        <f t="shared" si="2"/>
        <v/>
      </c>
      <c r="Y1797" s="139" t="str">
        <f>IFERROR(__xludf.DUMMYFUNCTION("""COMPUTED_VALUE"""),"")</f>
        <v/>
      </c>
      <c r="Z1797" s="141" t="str">
        <f>IFERROR(__xludf.DUMMYFUNCTION("""COMPUTED_VALUE"""),"")</f>
        <v/>
      </c>
    </row>
    <row r="1798">
      <c r="D1798" s="136" t="str">
        <f t="shared" si="3"/>
        <v/>
      </c>
      <c r="E1798" s="152"/>
      <c r="F1798" s="106" t="s">
        <v>133</v>
      </c>
      <c r="G1798" s="152"/>
      <c r="H1798" s="106" t="s">
        <v>133</v>
      </c>
      <c r="J1798" s="139" t="s">
        <v>133</v>
      </c>
      <c r="K1798" s="136" t="s">
        <v>133</v>
      </c>
      <c r="L1798" s="153"/>
      <c r="M1798" s="136" t="str">
        <f t="shared" si="1"/>
        <v/>
      </c>
      <c r="O1798" s="141" t="s">
        <v>133</v>
      </c>
      <c r="P1798" s="136" t="str">
        <f>IFERROR(__xludf.DUMMYFUNCTION("""COMPUTED_VALUE"""),"")</f>
        <v/>
      </c>
      <c r="Q1798" s="136" t="str">
        <f>IFERROR(__xludf.DUMMYFUNCTION("""COMPUTED_VALUE"""),"")</f>
        <v/>
      </c>
      <c r="R1798" s="106" t="str">
        <f>IFERROR(__xludf.DUMMYFUNCTION("""COMPUTED_VALUE"""),"")</f>
        <v/>
      </c>
      <c r="S1798" s="106" t="str">
        <f>IFERROR(__xludf.DUMMYFUNCTION("""COMPUTED_VALUE"""),"")</f>
        <v/>
      </c>
      <c r="T1798" s="139" t="str">
        <f>IFERROR(__xludf.DUMMYFUNCTION("""COMPUTED_VALUE"""),"")</f>
        <v/>
      </c>
      <c r="U1798" s="139" t="str">
        <f>IFERROR(__xludf.DUMMYFUNCTION("""COMPUTED_VALUE"""),"")</f>
        <v/>
      </c>
      <c r="V1798" s="136" t="str">
        <f>IFERROR(__xludf.DUMMYFUNCTION("""COMPUTED_VALUE"""),"")</f>
        <v/>
      </c>
      <c r="W1798" s="106" t="str">
        <f>IFERROR(__xludf.DUMMYFUNCTION("""COMPUTED_VALUE"""),"")</f>
        <v/>
      </c>
      <c r="X1798" s="143" t="str">
        <f t="shared" si="2"/>
        <v/>
      </c>
      <c r="Y1798" s="139" t="str">
        <f>IFERROR(__xludf.DUMMYFUNCTION("""COMPUTED_VALUE"""),"")</f>
        <v/>
      </c>
      <c r="Z1798" s="141" t="str">
        <f>IFERROR(__xludf.DUMMYFUNCTION("""COMPUTED_VALUE"""),"")</f>
        <v/>
      </c>
    </row>
    <row r="1799">
      <c r="D1799" s="136" t="str">
        <f t="shared" si="3"/>
        <v/>
      </c>
      <c r="E1799" s="152"/>
      <c r="F1799" s="106" t="s">
        <v>133</v>
      </c>
      <c r="G1799" s="152"/>
      <c r="H1799" s="106" t="s">
        <v>133</v>
      </c>
      <c r="J1799" s="139" t="s">
        <v>133</v>
      </c>
      <c r="K1799" s="136" t="s">
        <v>133</v>
      </c>
      <c r="L1799" s="153"/>
      <c r="M1799" s="136" t="str">
        <f t="shared" si="1"/>
        <v/>
      </c>
      <c r="O1799" s="141" t="s">
        <v>133</v>
      </c>
      <c r="P1799" s="136" t="str">
        <f>IFERROR(__xludf.DUMMYFUNCTION("""COMPUTED_VALUE"""),"")</f>
        <v/>
      </c>
      <c r="Q1799" s="136" t="str">
        <f>IFERROR(__xludf.DUMMYFUNCTION("""COMPUTED_VALUE"""),"")</f>
        <v/>
      </c>
      <c r="R1799" s="106" t="str">
        <f>IFERROR(__xludf.DUMMYFUNCTION("""COMPUTED_VALUE"""),"")</f>
        <v/>
      </c>
      <c r="S1799" s="106" t="str">
        <f>IFERROR(__xludf.DUMMYFUNCTION("""COMPUTED_VALUE"""),"")</f>
        <v/>
      </c>
      <c r="T1799" s="139" t="str">
        <f>IFERROR(__xludf.DUMMYFUNCTION("""COMPUTED_VALUE"""),"")</f>
        <v/>
      </c>
      <c r="U1799" s="139" t="str">
        <f>IFERROR(__xludf.DUMMYFUNCTION("""COMPUTED_VALUE"""),"")</f>
        <v/>
      </c>
      <c r="V1799" s="136" t="str">
        <f>IFERROR(__xludf.DUMMYFUNCTION("""COMPUTED_VALUE"""),"")</f>
        <v/>
      </c>
      <c r="W1799" s="106" t="str">
        <f>IFERROR(__xludf.DUMMYFUNCTION("""COMPUTED_VALUE"""),"")</f>
        <v/>
      </c>
      <c r="X1799" s="143" t="str">
        <f t="shared" si="2"/>
        <v/>
      </c>
      <c r="Y1799" s="139" t="str">
        <f>IFERROR(__xludf.DUMMYFUNCTION("""COMPUTED_VALUE"""),"")</f>
        <v/>
      </c>
      <c r="Z1799" s="141" t="str">
        <f>IFERROR(__xludf.DUMMYFUNCTION("""COMPUTED_VALUE"""),"")</f>
        <v/>
      </c>
    </row>
    <row r="1800">
      <c r="D1800" s="136" t="str">
        <f t="shared" si="3"/>
        <v/>
      </c>
      <c r="E1800" s="152"/>
      <c r="F1800" s="106" t="s">
        <v>133</v>
      </c>
      <c r="G1800" s="152"/>
      <c r="H1800" s="106" t="s">
        <v>133</v>
      </c>
      <c r="J1800" s="139" t="s">
        <v>133</v>
      </c>
      <c r="K1800" s="136" t="s">
        <v>133</v>
      </c>
      <c r="L1800" s="153"/>
      <c r="M1800" s="136" t="str">
        <f t="shared" si="1"/>
        <v/>
      </c>
      <c r="O1800" s="141" t="s">
        <v>133</v>
      </c>
      <c r="P1800" s="136" t="str">
        <f>IFERROR(__xludf.DUMMYFUNCTION("""COMPUTED_VALUE"""),"")</f>
        <v/>
      </c>
      <c r="Q1800" s="136" t="str">
        <f>IFERROR(__xludf.DUMMYFUNCTION("""COMPUTED_VALUE"""),"")</f>
        <v/>
      </c>
      <c r="R1800" s="106" t="str">
        <f>IFERROR(__xludf.DUMMYFUNCTION("""COMPUTED_VALUE"""),"")</f>
        <v/>
      </c>
      <c r="S1800" s="106" t="str">
        <f>IFERROR(__xludf.DUMMYFUNCTION("""COMPUTED_VALUE"""),"")</f>
        <v/>
      </c>
      <c r="T1800" s="139" t="str">
        <f>IFERROR(__xludf.DUMMYFUNCTION("""COMPUTED_VALUE"""),"")</f>
        <v/>
      </c>
      <c r="U1800" s="139" t="str">
        <f>IFERROR(__xludf.DUMMYFUNCTION("""COMPUTED_VALUE"""),"")</f>
        <v/>
      </c>
      <c r="V1800" s="136" t="str">
        <f>IFERROR(__xludf.DUMMYFUNCTION("""COMPUTED_VALUE"""),"")</f>
        <v/>
      </c>
      <c r="W1800" s="106" t="str">
        <f>IFERROR(__xludf.DUMMYFUNCTION("""COMPUTED_VALUE"""),"")</f>
        <v/>
      </c>
      <c r="X1800" s="143" t="str">
        <f t="shared" si="2"/>
        <v/>
      </c>
      <c r="Y1800" s="139" t="str">
        <f>IFERROR(__xludf.DUMMYFUNCTION("""COMPUTED_VALUE"""),"")</f>
        <v/>
      </c>
      <c r="Z1800" s="141" t="str">
        <f>IFERROR(__xludf.DUMMYFUNCTION("""COMPUTED_VALUE"""),"")</f>
        <v/>
      </c>
    </row>
    <row r="1801">
      <c r="D1801" s="136" t="str">
        <f t="shared" si="3"/>
        <v/>
      </c>
      <c r="E1801" s="152"/>
      <c r="F1801" s="106" t="s">
        <v>133</v>
      </c>
      <c r="G1801" s="152"/>
      <c r="H1801" s="106" t="s">
        <v>133</v>
      </c>
      <c r="J1801" s="139" t="s">
        <v>133</v>
      </c>
      <c r="K1801" s="136" t="s">
        <v>133</v>
      </c>
      <c r="L1801" s="153"/>
      <c r="M1801" s="136" t="str">
        <f t="shared" si="1"/>
        <v/>
      </c>
      <c r="O1801" s="141" t="s">
        <v>133</v>
      </c>
      <c r="P1801" s="136" t="str">
        <f>IFERROR(__xludf.DUMMYFUNCTION("""COMPUTED_VALUE"""),"")</f>
        <v/>
      </c>
      <c r="Q1801" s="136" t="str">
        <f>IFERROR(__xludf.DUMMYFUNCTION("""COMPUTED_VALUE"""),"")</f>
        <v/>
      </c>
      <c r="R1801" s="106" t="str">
        <f>IFERROR(__xludf.DUMMYFUNCTION("""COMPUTED_VALUE"""),"")</f>
        <v/>
      </c>
      <c r="S1801" s="106" t="str">
        <f>IFERROR(__xludf.DUMMYFUNCTION("""COMPUTED_VALUE"""),"")</f>
        <v/>
      </c>
      <c r="T1801" s="139" t="str">
        <f>IFERROR(__xludf.DUMMYFUNCTION("""COMPUTED_VALUE"""),"")</f>
        <v/>
      </c>
      <c r="U1801" s="139" t="str">
        <f>IFERROR(__xludf.DUMMYFUNCTION("""COMPUTED_VALUE"""),"")</f>
        <v/>
      </c>
      <c r="V1801" s="136" t="str">
        <f>IFERROR(__xludf.DUMMYFUNCTION("""COMPUTED_VALUE"""),"")</f>
        <v/>
      </c>
      <c r="W1801" s="106" t="str">
        <f>IFERROR(__xludf.DUMMYFUNCTION("""COMPUTED_VALUE"""),"")</f>
        <v/>
      </c>
      <c r="X1801" s="143" t="str">
        <f t="shared" si="2"/>
        <v/>
      </c>
      <c r="Y1801" s="139" t="str">
        <f>IFERROR(__xludf.DUMMYFUNCTION("""COMPUTED_VALUE"""),"")</f>
        <v/>
      </c>
      <c r="Z1801" s="141" t="str">
        <f>IFERROR(__xludf.DUMMYFUNCTION("""COMPUTED_VALUE"""),"")</f>
        <v/>
      </c>
    </row>
    <row r="1802">
      <c r="D1802" s="136" t="str">
        <f t="shared" si="3"/>
        <v/>
      </c>
      <c r="E1802" s="152"/>
      <c r="F1802" s="106" t="s">
        <v>133</v>
      </c>
      <c r="G1802" s="152"/>
      <c r="H1802" s="106" t="s">
        <v>133</v>
      </c>
      <c r="J1802" s="139" t="s">
        <v>133</v>
      </c>
      <c r="K1802" s="136" t="s">
        <v>133</v>
      </c>
      <c r="L1802" s="153"/>
      <c r="M1802" s="136" t="str">
        <f t="shared" si="1"/>
        <v/>
      </c>
      <c r="O1802" s="141" t="s">
        <v>133</v>
      </c>
      <c r="P1802" s="136" t="str">
        <f>IFERROR(__xludf.DUMMYFUNCTION("""COMPUTED_VALUE"""),"")</f>
        <v/>
      </c>
      <c r="Q1802" s="136" t="str">
        <f>IFERROR(__xludf.DUMMYFUNCTION("""COMPUTED_VALUE"""),"")</f>
        <v/>
      </c>
      <c r="R1802" s="106" t="str">
        <f>IFERROR(__xludf.DUMMYFUNCTION("""COMPUTED_VALUE"""),"")</f>
        <v/>
      </c>
      <c r="S1802" s="106" t="str">
        <f>IFERROR(__xludf.DUMMYFUNCTION("""COMPUTED_VALUE"""),"")</f>
        <v/>
      </c>
      <c r="T1802" s="139" t="str">
        <f>IFERROR(__xludf.DUMMYFUNCTION("""COMPUTED_VALUE"""),"")</f>
        <v/>
      </c>
      <c r="U1802" s="139" t="str">
        <f>IFERROR(__xludf.DUMMYFUNCTION("""COMPUTED_VALUE"""),"")</f>
        <v/>
      </c>
      <c r="V1802" s="136" t="str">
        <f>IFERROR(__xludf.DUMMYFUNCTION("""COMPUTED_VALUE"""),"")</f>
        <v/>
      </c>
      <c r="W1802" s="106" t="str">
        <f>IFERROR(__xludf.DUMMYFUNCTION("""COMPUTED_VALUE"""),"")</f>
        <v/>
      </c>
      <c r="X1802" s="143" t="str">
        <f t="shared" si="2"/>
        <v/>
      </c>
      <c r="Y1802" s="139" t="str">
        <f>IFERROR(__xludf.DUMMYFUNCTION("""COMPUTED_VALUE"""),"")</f>
        <v/>
      </c>
      <c r="Z1802" s="141" t="str">
        <f>IFERROR(__xludf.DUMMYFUNCTION("""COMPUTED_VALUE"""),"")</f>
        <v/>
      </c>
    </row>
    <row r="1803">
      <c r="D1803" s="136" t="str">
        <f t="shared" si="3"/>
        <v/>
      </c>
      <c r="E1803" s="152"/>
      <c r="F1803" s="106" t="s">
        <v>133</v>
      </c>
      <c r="G1803" s="152"/>
      <c r="H1803" s="106" t="s">
        <v>133</v>
      </c>
      <c r="J1803" s="139" t="s">
        <v>133</v>
      </c>
      <c r="K1803" s="136" t="s">
        <v>133</v>
      </c>
      <c r="L1803" s="153"/>
      <c r="M1803" s="136" t="str">
        <f t="shared" si="1"/>
        <v/>
      </c>
      <c r="O1803" s="141" t="s">
        <v>133</v>
      </c>
      <c r="P1803" s="136" t="str">
        <f>IFERROR(__xludf.DUMMYFUNCTION("""COMPUTED_VALUE"""),"")</f>
        <v/>
      </c>
      <c r="Q1803" s="136" t="str">
        <f>IFERROR(__xludf.DUMMYFUNCTION("""COMPUTED_VALUE"""),"")</f>
        <v/>
      </c>
      <c r="R1803" s="106" t="str">
        <f>IFERROR(__xludf.DUMMYFUNCTION("""COMPUTED_VALUE"""),"")</f>
        <v/>
      </c>
      <c r="S1803" s="106" t="str">
        <f>IFERROR(__xludf.DUMMYFUNCTION("""COMPUTED_VALUE"""),"")</f>
        <v/>
      </c>
      <c r="T1803" s="139" t="str">
        <f>IFERROR(__xludf.DUMMYFUNCTION("""COMPUTED_VALUE"""),"")</f>
        <v/>
      </c>
      <c r="U1803" s="139" t="str">
        <f>IFERROR(__xludf.DUMMYFUNCTION("""COMPUTED_VALUE"""),"")</f>
        <v/>
      </c>
      <c r="V1803" s="136" t="str">
        <f>IFERROR(__xludf.DUMMYFUNCTION("""COMPUTED_VALUE"""),"")</f>
        <v/>
      </c>
      <c r="W1803" s="106" t="str">
        <f>IFERROR(__xludf.DUMMYFUNCTION("""COMPUTED_VALUE"""),"")</f>
        <v/>
      </c>
      <c r="X1803" s="143" t="str">
        <f t="shared" si="2"/>
        <v/>
      </c>
      <c r="Y1803" s="139" t="str">
        <f>IFERROR(__xludf.DUMMYFUNCTION("""COMPUTED_VALUE"""),"")</f>
        <v/>
      </c>
      <c r="Z1803" s="141" t="str">
        <f>IFERROR(__xludf.DUMMYFUNCTION("""COMPUTED_VALUE"""),"")</f>
        <v/>
      </c>
    </row>
    <row r="1804">
      <c r="D1804" s="136" t="str">
        <f t="shared" si="3"/>
        <v/>
      </c>
      <c r="E1804" s="152"/>
      <c r="F1804" s="106" t="s">
        <v>133</v>
      </c>
      <c r="G1804" s="152"/>
      <c r="H1804" s="106" t="s">
        <v>133</v>
      </c>
      <c r="J1804" s="139" t="s">
        <v>133</v>
      </c>
      <c r="K1804" s="136" t="s">
        <v>133</v>
      </c>
      <c r="L1804" s="153"/>
      <c r="M1804" s="136" t="str">
        <f t="shared" si="1"/>
        <v/>
      </c>
      <c r="O1804" s="141" t="s">
        <v>133</v>
      </c>
      <c r="P1804" s="136" t="str">
        <f>IFERROR(__xludf.DUMMYFUNCTION("""COMPUTED_VALUE"""),"")</f>
        <v/>
      </c>
      <c r="Q1804" s="136" t="str">
        <f>IFERROR(__xludf.DUMMYFUNCTION("""COMPUTED_VALUE"""),"")</f>
        <v/>
      </c>
      <c r="R1804" s="106" t="str">
        <f>IFERROR(__xludf.DUMMYFUNCTION("""COMPUTED_VALUE"""),"")</f>
        <v/>
      </c>
      <c r="S1804" s="106" t="str">
        <f>IFERROR(__xludf.DUMMYFUNCTION("""COMPUTED_VALUE"""),"")</f>
        <v/>
      </c>
      <c r="T1804" s="139" t="str">
        <f>IFERROR(__xludf.DUMMYFUNCTION("""COMPUTED_VALUE"""),"")</f>
        <v/>
      </c>
      <c r="U1804" s="139" t="str">
        <f>IFERROR(__xludf.DUMMYFUNCTION("""COMPUTED_VALUE"""),"")</f>
        <v/>
      </c>
      <c r="V1804" s="136" t="str">
        <f>IFERROR(__xludf.DUMMYFUNCTION("""COMPUTED_VALUE"""),"")</f>
        <v/>
      </c>
      <c r="W1804" s="106" t="str">
        <f>IFERROR(__xludf.DUMMYFUNCTION("""COMPUTED_VALUE"""),"")</f>
        <v/>
      </c>
      <c r="X1804" s="143" t="str">
        <f t="shared" si="2"/>
        <v/>
      </c>
      <c r="Y1804" s="139" t="str">
        <f>IFERROR(__xludf.DUMMYFUNCTION("""COMPUTED_VALUE"""),"")</f>
        <v/>
      </c>
      <c r="Z1804" s="141" t="str">
        <f>IFERROR(__xludf.DUMMYFUNCTION("""COMPUTED_VALUE"""),"")</f>
        <v/>
      </c>
    </row>
    <row r="1805">
      <c r="D1805" s="136" t="str">
        <f t="shared" si="3"/>
        <v/>
      </c>
      <c r="E1805" s="152"/>
      <c r="F1805" s="106" t="s">
        <v>133</v>
      </c>
      <c r="G1805" s="152"/>
      <c r="H1805" s="106" t="s">
        <v>133</v>
      </c>
      <c r="J1805" s="139" t="s">
        <v>133</v>
      </c>
      <c r="K1805" s="136" t="s">
        <v>133</v>
      </c>
      <c r="L1805" s="153"/>
      <c r="M1805" s="136" t="str">
        <f t="shared" si="1"/>
        <v/>
      </c>
      <c r="O1805" s="141" t="s">
        <v>133</v>
      </c>
      <c r="P1805" s="136" t="str">
        <f>IFERROR(__xludf.DUMMYFUNCTION("""COMPUTED_VALUE"""),"")</f>
        <v/>
      </c>
      <c r="Q1805" s="136" t="str">
        <f>IFERROR(__xludf.DUMMYFUNCTION("""COMPUTED_VALUE"""),"")</f>
        <v/>
      </c>
      <c r="R1805" s="106" t="str">
        <f>IFERROR(__xludf.DUMMYFUNCTION("""COMPUTED_VALUE"""),"")</f>
        <v/>
      </c>
      <c r="S1805" s="106" t="str">
        <f>IFERROR(__xludf.DUMMYFUNCTION("""COMPUTED_VALUE"""),"")</f>
        <v/>
      </c>
      <c r="T1805" s="139" t="str">
        <f>IFERROR(__xludf.DUMMYFUNCTION("""COMPUTED_VALUE"""),"")</f>
        <v/>
      </c>
      <c r="U1805" s="139" t="str">
        <f>IFERROR(__xludf.DUMMYFUNCTION("""COMPUTED_VALUE"""),"")</f>
        <v/>
      </c>
      <c r="V1805" s="136" t="str">
        <f>IFERROR(__xludf.DUMMYFUNCTION("""COMPUTED_VALUE"""),"")</f>
        <v/>
      </c>
      <c r="W1805" s="106" t="str">
        <f>IFERROR(__xludf.DUMMYFUNCTION("""COMPUTED_VALUE"""),"")</f>
        <v/>
      </c>
      <c r="X1805" s="143" t="str">
        <f t="shared" si="2"/>
        <v/>
      </c>
      <c r="Y1805" s="139" t="str">
        <f>IFERROR(__xludf.DUMMYFUNCTION("""COMPUTED_VALUE"""),"")</f>
        <v/>
      </c>
      <c r="Z1805" s="141" t="str">
        <f>IFERROR(__xludf.DUMMYFUNCTION("""COMPUTED_VALUE"""),"")</f>
        <v/>
      </c>
    </row>
    <row r="1806">
      <c r="D1806" s="136" t="str">
        <f t="shared" si="3"/>
        <v/>
      </c>
      <c r="E1806" s="152"/>
      <c r="F1806" s="106" t="s">
        <v>133</v>
      </c>
      <c r="G1806" s="152"/>
      <c r="H1806" s="106" t="s">
        <v>133</v>
      </c>
      <c r="J1806" s="139" t="s">
        <v>133</v>
      </c>
      <c r="K1806" s="136" t="s">
        <v>133</v>
      </c>
      <c r="L1806" s="153"/>
      <c r="M1806" s="136" t="str">
        <f t="shared" si="1"/>
        <v/>
      </c>
      <c r="O1806" s="141" t="s">
        <v>133</v>
      </c>
      <c r="P1806" s="136" t="str">
        <f>IFERROR(__xludf.DUMMYFUNCTION("""COMPUTED_VALUE"""),"")</f>
        <v/>
      </c>
      <c r="Q1806" s="136" t="str">
        <f>IFERROR(__xludf.DUMMYFUNCTION("""COMPUTED_VALUE"""),"")</f>
        <v/>
      </c>
      <c r="R1806" s="106" t="str">
        <f>IFERROR(__xludf.DUMMYFUNCTION("""COMPUTED_VALUE"""),"")</f>
        <v/>
      </c>
      <c r="S1806" s="106" t="str">
        <f>IFERROR(__xludf.DUMMYFUNCTION("""COMPUTED_VALUE"""),"")</f>
        <v/>
      </c>
      <c r="T1806" s="139" t="str">
        <f>IFERROR(__xludf.DUMMYFUNCTION("""COMPUTED_VALUE"""),"")</f>
        <v/>
      </c>
      <c r="U1806" s="139" t="str">
        <f>IFERROR(__xludf.DUMMYFUNCTION("""COMPUTED_VALUE"""),"")</f>
        <v/>
      </c>
      <c r="V1806" s="136" t="str">
        <f>IFERROR(__xludf.DUMMYFUNCTION("""COMPUTED_VALUE"""),"")</f>
        <v/>
      </c>
      <c r="W1806" s="106" t="str">
        <f>IFERROR(__xludf.DUMMYFUNCTION("""COMPUTED_VALUE"""),"")</f>
        <v/>
      </c>
      <c r="X1806" s="143" t="str">
        <f t="shared" si="2"/>
        <v/>
      </c>
      <c r="Y1806" s="139" t="str">
        <f>IFERROR(__xludf.DUMMYFUNCTION("""COMPUTED_VALUE"""),"")</f>
        <v/>
      </c>
      <c r="Z1806" s="141" t="str">
        <f>IFERROR(__xludf.DUMMYFUNCTION("""COMPUTED_VALUE"""),"")</f>
        <v/>
      </c>
    </row>
    <row r="1807">
      <c r="D1807" s="136" t="str">
        <f t="shared" si="3"/>
        <v/>
      </c>
      <c r="E1807" s="152"/>
      <c r="F1807" s="106" t="s">
        <v>133</v>
      </c>
      <c r="G1807" s="152"/>
      <c r="H1807" s="106" t="s">
        <v>133</v>
      </c>
      <c r="J1807" s="139" t="s">
        <v>133</v>
      </c>
      <c r="K1807" s="136" t="s">
        <v>133</v>
      </c>
      <c r="L1807" s="153"/>
      <c r="M1807" s="136" t="str">
        <f t="shared" si="1"/>
        <v/>
      </c>
      <c r="O1807" s="141" t="s">
        <v>133</v>
      </c>
      <c r="P1807" s="136" t="str">
        <f>IFERROR(__xludf.DUMMYFUNCTION("""COMPUTED_VALUE"""),"")</f>
        <v/>
      </c>
      <c r="Q1807" s="136" t="str">
        <f>IFERROR(__xludf.DUMMYFUNCTION("""COMPUTED_VALUE"""),"")</f>
        <v/>
      </c>
      <c r="R1807" s="106" t="str">
        <f>IFERROR(__xludf.DUMMYFUNCTION("""COMPUTED_VALUE"""),"")</f>
        <v/>
      </c>
      <c r="S1807" s="106" t="str">
        <f>IFERROR(__xludf.DUMMYFUNCTION("""COMPUTED_VALUE"""),"")</f>
        <v/>
      </c>
      <c r="T1807" s="139" t="str">
        <f>IFERROR(__xludf.DUMMYFUNCTION("""COMPUTED_VALUE"""),"")</f>
        <v/>
      </c>
      <c r="U1807" s="139" t="str">
        <f>IFERROR(__xludf.DUMMYFUNCTION("""COMPUTED_VALUE"""),"")</f>
        <v/>
      </c>
      <c r="V1807" s="136" t="str">
        <f>IFERROR(__xludf.DUMMYFUNCTION("""COMPUTED_VALUE"""),"")</f>
        <v/>
      </c>
      <c r="W1807" s="106" t="str">
        <f>IFERROR(__xludf.DUMMYFUNCTION("""COMPUTED_VALUE"""),"")</f>
        <v/>
      </c>
      <c r="X1807" s="143" t="str">
        <f t="shared" si="2"/>
        <v/>
      </c>
      <c r="Y1807" s="139" t="str">
        <f>IFERROR(__xludf.DUMMYFUNCTION("""COMPUTED_VALUE"""),"")</f>
        <v/>
      </c>
      <c r="Z1807" s="141" t="str">
        <f>IFERROR(__xludf.DUMMYFUNCTION("""COMPUTED_VALUE"""),"")</f>
        <v/>
      </c>
    </row>
    <row r="1808">
      <c r="D1808" s="136" t="str">
        <f t="shared" si="3"/>
        <v/>
      </c>
      <c r="E1808" s="152"/>
      <c r="F1808" s="106" t="s">
        <v>133</v>
      </c>
      <c r="G1808" s="152"/>
      <c r="H1808" s="106" t="s">
        <v>133</v>
      </c>
      <c r="J1808" s="139" t="s">
        <v>133</v>
      </c>
      <c r="K1808" s="136" t="s">
        <v>133</v>
      </c>
      <c r="L1808" s="153"/>
      <c r="M1808" s="136" t="str">
        <f t="shared" si="1"/>
        <v/>
      </c>
      <c r="O1808" s="141" t="s">
        <v>133</v>
      </c>
      <c r="P1808" s="136" t="str">
        <f>IFERROR(__xludf.DUMMYFUNCTION("""COMPUTED_VALUE"""),"")</f>
        <v/>
      </c>
      <c r="Q1808" s="136" t="str">
        <f>IFERROR(__xludf.DUMMYFUNCTION("""COMPUTED_VALUE"""),"")</f>
        <v/>
      </c>
      <c r="R1808" s="106" t="str">
        <f>IFERROR(__xludf.DUMMYFUNCTION("""COMPUTED_VALUE"""),"")</f>
        <v/>
      </c>
      <c r="S1808" s="106" t="str">
        <f>IFERROR(__xludf.DUMMYFUNCTION("""COMPUTED_VALUE"""),"")</f>
        <v/>
      </c>
      <c r="T1808" s="139" t="str">
        <f>IFERROR(__xludf.DUMMYFUNCTION("""COMPUTED_VALUE"""),"")</f>
        <v/>
      </c>
      <c r="U1808" s="139" t="str">
        <f>IFERROR(__xludf.DUMMYFUNCTION("""COMPUTED_VALUE"""),"")</f>
        <v/>
      </c>
      <c r="V1808" s="136" t="str">
        <f>IFERROR(__xludf.DUMMYFUNCTION("""COMPUTED_VALUE"""),"")</f>
        <v/>
      </c>
      <c r="W1808" s="106" t="str">
        <f>IFERROR(__xludf.DUMMYFUNCTION("""COMPUTED_VALUE"""),"")</f>
        <v/>
      </c>
      <c r="X1808" s="143" t="str">
        <f t="shared" si="2"/>
        <v/>
      </c>
      <c r="Y1808" s="139" t="str">
        <f>IFERROR(__xludf.DUMMYFUNCTION("""COMPUTED_VALUE"""),"")</f>
        <v/>
      </c>
      <c r="Z1808" s="141" t="str">
        <f>IFERROR(__xludf.DUMMYFUNCTION("""COMPUTED_VALUE"""),"")</f>
        <v/>
      </c>
    </row>
    <row r="1809">
      <c r="D1809" s="136" t="str">
        <f t="shared" si="3"/>
        <v/>
      </c>
      <c r="E1809" s="152"/>
      <c r="F1809" s="106" t="s">
        <v>133</v>
      </c>
      <c r="G1809" s="152"/>
      <c r="H1809" s="106" t="s">
        <v>133</v>
      </c>
      <c r="J1809" s="139" t="s">
        <v>133</v>
      </c>
      <c r="K1809" s="136" t="s">
        <v>133</v>
      </c>
      <c r="L1809" s="153"/>
      <c r="M1809" s="136" t="str">
        <f t="shared" si="1"/>
        <v/>
      </c>
      <c r="O1809" s="141" t="s">
        <v>133</v>
      </c>
      <c r="P1809" s="136" t="str">
        <f>IFERROR(__xludf.DUMMYFUNCTION("""COMPUTED_VALUE"""),"")</f>
        <v/>
      </c>
      <c r="Q1809" s="136" t="str">
        <f>IFERROR(__xludf.DUMMYFUNCTION("""COMPUTED_VALUE"""),"")</f>
        <v/>
      </c>
      <c r="R1809" s="106" t="str">
        <f>IFERROR(__xludf.DUMMYFUNCTION("""COMPUTED_VALUE"""),"")</f>
        <v/>
      </c>
      <c r="S1809" s="106" t="str">
        <f>IFERROR(__xludf.DUMMYFUNCTION("""COMPUTED_VALUE"""),"")</f>
        <v/>
      </c>
      <c r="T1809" s="139" t="str">
        <f>IFERROR(__xludf.DUMMYFUNCTION("""COMPUTED_VALUE"""),"")</f>
        <v/>
      </c>
      <c r="U1809" s="139" t="str">
        <f>IFERROR(__xludf.DUMMYFUNCTION("""COMPUTED_VALUE"""),"")</f>
        <v/>
      </c>
      <c r="V1809" s="136" t="str">
        <f>IFERROR(__xludf.DUMMYFUNCTION("""COMPUTED_VALUE"""),"")</f>
        <v/>
      </c>
      <c r="W1809" s="106" t="str">
        <f>IFERROR(__xludf.DUMMYFUNCTION("""COMPUTED_VALUE"""),"")</f>
        <v/>
      </c>
      <c r="X1809" s="143" t="str">
        <f t="shared" si="2"/>
        <v/>
      </c>
      <c r="Y1809" s="139" t="str">
        <f>IFERROR(__xludf.DUMMYFUNCTION("""COMPUTED_VALUE"""),"")</f>
        <v/>
      </c>
      <c r="Z1809" s="141" t="str">
        <f>IFERROR(__xludf.DUMMYFUNCTION("""COMPUTED_VALUE"""),"")</f>
        <v/>
      </c>
    </row>
    <row r="1810">
      <c r="D1810" s="136" t="str">
        <f t="shared" si="3"/>
        <v/>
      </c>
      <c r="E1810" s="152"/>
      <c r="F1810" s="106" t="s">
        <v>133</v>
      </c>
      <c r="G1810" s="152"/>
      <c r="H1810" s="106" t="s">
        <v>133</v>
      </c>
      <c r="J1810" s="139" t="s">
        <v>133</v>
      </c>
      <c r="K1810" s="136" t="s">
        <v>133</v>
      </c>
      <c r="L1810" s="153"/>
      <c r="M1810" s="136" t="str">
        <f t="shared" si="1"/>
        <v/>
      </c>
      <c r="O1810" s="141" t="s">
        <v>133</v>
      </c>
      <c r="P1810" s="136" t="str">
        <f>IFERROR(__xludf.DUMMYFUNCTION("""COMPUTED_VALUE"""),"")</f>
        <v/>
      </c>
      <c r="Q1810" s="136" t="str">
        <f>IFERROR(__xludf.DUMMYFUNCTION("""COMPUTED_VALUE"""),"")</f>
        <v/>
      </c>
      <c r="R1810" s="106" t="str">
        <f>IFERROR(__xludf.DUMMYFUNCTION("""COMPUTED_VALUE"""),"")</f>
        <v/>
      </c>
      <c r="S1810" s="106" t="str">
        <f>IFERROR(__xludf.DUMMYFUNCTION("""COMPUTED_VALUE"""),"")</f>
        <v/>
      </c>
      <c r="T1810" s="139" t="str">
        <f>IFERROR(__xludf.DUMMYFUNCTION("""COMPUTED_VALUE"""),"")</f>
        <v/>
      </c>
      <c r="U1810" s="139" t="str">
        <f>IFERROR(__xludf.DUMMYFUNCTION("""COMPUTED_VALUE"""),"")</f>
        <v/>
      </c>
      <c r="V1810" s="136" t="str">
        <f>IFERROR(__xludf.DUMMYFUNCTION("""COMPUTED_VALUE"""),"")</f>
        <v/>
      </c>
      <c r="W1810" s="106" t="str">
        <f>IFERROR(__xludf.DUMMYFUNCTION("""COMPUTED_VALUE"""),"")</f>
        <v/>
      </c>
      <c r="X1810" s="143" t="str">
        <f t="shared" si="2"/>
        <v/>
      </c>
      <c r="Y1810" s="139" t="str">
        <f>IFERROR(__xludf.DUMMYFUNCTION("""COMPUTED_VALUE"""),"")</f>
        <v/>
      </c>
      <c r="Z1810" s="141" t="str">
        <f>IFERROR(__xludf.DUMMYFUNCTION("""COMPUTED_VALUE"""),"")</f>
        <v/>
      </c>
    </row>
    <row r="1811">
      <c r="D1811" s="136" t="str">
        <f t="shared" si="3"/>
        <v/>
      </c>
      <c r="E1811" s="152"/>
      <c r="F1811" s="106" t="s">
        <v>133</v>
      </c>
      <c r="G1811" s="152"/>
      <c r="H1811" s="106" t="s">
        <v>133</v>
      </c>
      <c r="J1811" s="139" t="s">
        <v>133</v>
      </c>
      <c r="K1811" s="136" t="s">
        <v>133</v>
      </c>
      <c r="L1811" s="153"/>
      <c r="M1811" s="136" t="str">
        <f t="shared" si="1"/>
        <v/>
      </c>
      <c r="O1811" s="141" t="s">
        <v>133</v>
      </c>
      <c r="P1811" s="136" t="str">
        <f>IFERROR(__xludf.DUMMYFUNCTION("""COMPUTED_VALUE"""),"")</f>
        <v/>
      </c>
      <c r="Q1811" s="136" t="str">
        <f>IFERROR(__xludf.DUMMYFUNCTION("""COMPUTED_VALUE"""),"")</f>
        <v/>
      </c>
      <c r="R1811" s="106" t="str">
        <f>IFERROR(__xludf.DUMMYFUNCTION("""COMPUTED_VALUE"""),"")</f>
        <v/>
      </c>
      <c r="S1811" s="106" t="str">
        <f>IFERROR(__xludf.DUMMYFUNCTION("""COMPUTED_VALUE"""),"")</f>
        <v/>
      </c>
      <c r="T1811" s="139" t="str">
        <f>IFERROR(__xludf.DUMMYFUNCTION("""COMPUTED_VALUE"""),"")</f>
        <v/>
      </c>
      <c r="U1811" s="139" t="str">
        <f>IFERROR(__xludf.DUMMYFUNCTION("""COMPUTED_VALUE"""),"")</f>
        <v/>
      </c>
      <c r="V1811" s="136" t="str">
        <f>IFERROR(__xludf.DUMMYFUNCTION("""COMPUTED_VALUE"""),"")</f>
        <v/>
      </c>
      <c r="W1811" s="106" t="str">
        <f>IFERROR(__xludf.DUMMYFUNCTION("""COMPUTED_VALUE"""),"")</f>
        <v/>
      </c>
      <c r="X1811" s="143" t="str">
        <f t="shared" si="2"/>
        <v/>
      </c>
      <c r="Y1811" s="139" t="str">
        <f>IFERROR(__xludf.DUMMYFUNCTION("""COMPUTED_VALUE"""),"")</f>
        <v/>
      </c>
      <c r="Z1811" s="141" t="str">
        <f>IFERROR(__xludf.DUMMYFUNCTION("""COMPUTED_VALUE"""),"")</f>
        <v/>
      </c>
    </row>
    <row r="1812">
      <c r="D1812" s="136" t="str">
        <f t="shared" si="3"/>
        <v/>
      </c>
      <c r="E1812" s="152"/>
      <c r="F1812" s="106" t="s">
        <v>133</v>
      </c>
      <c r="G1812" s="152"/>
      <c r="H1812" s="106" t="s">
        <v>133</v>
      </c>
      <c r="J1812" s="139" t="s">
        <v>133</v>
      </c>
      <c r="K1812" s="136" t="s">
        <v>133</v>
      </c>
      <c r="L1812" s="153"/>
      <c r="M1812" s="136" t="str">
        <f t="shared" si="1"/>
        <v/>
      </c>
      <c r="O1812" s="141" t="s">
        <v>133</v>
      </c>
      <c r="P1812" s="136" t="str">
        <f>IFERROR(__xludf.DUMMYFUNCTION("""COMPUTED_VALUE"""),"")</f>
        <v/>
      </c>
      <c r="Q1812" s="136" t="str">
        <f>IFERROR(__xludf.DUMMYFUNCTION("""COMPUTED_VALUE"""),"")</f>
        <v/>
      </c>
      <c r="R1812" s="106" t="str">
        <f>IFERROR(__xludf.DUMMYFUNCTION("""COMPUTED_VALUE"""),"")</f>
        <v/>
      </c>
      <c r="S1812" s="106" t="str">
        <f>IFERROR(__xludf.DUMMYFUNCTION("""COMPUTED_VALUE"""),"")</f>
        <v/>
      </c>
      <c r="T1812" s="139" t="str">
        <f>IFERROR(__xludf.DUMMYFUNCTION("""COMPUTED_VALUE"""),"")</f>
        <v/>
      </c>
      <c r="U1812" s="139" t="str">
        <f>IFERROR(__xludf.DUMMYFUNCTION("""COMPUTED_VALUE"""),"")</f>
        <v/>
      </c>
      <c r="V1812" s="136" t="str">
        <f>IFERROR(__xludf.DUMMYFUNCTION("""COMPUTED_VALUE"""),"")</f>
        <v/>
      </c>
      <c r="W1812" s="106" t="str">
        <f>IFERROR(__xludf.DUMMYFUNCTION("""COMPUTED_VALUE"""),"")</f>
        <v/>
      </c>
      <c r="X1812" s="143" t="str">
        <f t="shared" si="2"/>
        <v/>
      </c>
      <c r="Y1812" s="139" t="str">
        <f>IFERROR(__xludf.DUMMYFUNCTION("""COMPUTED_VALUE"""),"")</f>
        <v/>
      </c>
      <c r="Z1812" s="141" t="str">
        <f>IFERROR(__xludf.DUMMYFUNCTION("""COMPUTED_VALUE"""),"")</f>
        <v/>
      </c>
    </row>
    <row r="1813">
      <c r="D1813" s="136" t="str">
        <f t="shared" si="3"/>
        <v/>
      </c>
      <c r="E1813" s="152"/>
      <c r="F1813" s="106" t="s">
        <v>133</v>
      </c>
      <c r="G1813" s="152"/>
      <c r="H1813" s="106" t="s">
        <v>133</v>
      </c>
      <c r="J1813" s="139" t="s">
        <v>133</v>
      </c>
      <c r="K1813" s="136" t="s">
        <v>133</v>
      </c>
      <c r="L1813" s="153"/>
      <c r="M1813" s="136" t="str">
        <f t="shared" si="1"/>
        <v/>
      </c>
      <c r="O1813" s="141" t="s">
        <v>133</v>
      </c>
      <c r="P1813" s="136" t="str">
        <f>IFERROR(__xludf.DUMMYFUNCTION("""COMPUTED_VALUE"""),"")</f>
        <v/>
      </c>
      <c r="Q1813" s="136" t="str">
        <f>IFERROR(__xludf.DUMMYFUNCTION("""COMPUTED_VALUE"""),"")</f>
        <v/>
      </c>
      <c r="R1813" s="106" t="str">
        <f>IFERROR(__xludf.DUMMYFUNCTION("""COMPUTED_VALUE"""),"")</f>
        <v/>
      </c>
      <c r="S1813" s="106" t="str">
        <f>IFERROR(__xludf.DUMMYFUNCTION("""COMPUTED_VALUE"""),"")</f>
        <v/>
      </c>
      <c r="T1813" s="139" t="str">
        <f>IFERROR(__xludf.DUMMYFUNCTION("""COMPUTED_VALUE"""),"")</f>
        <v/>
      </c>
      <c r="U1813" s="139" t="str">
        <f>IFERROR(__xludf.DUMMYFUNCTION("""COMPUTED_VALUE"""),"")</f>
        <v/>
      </c>
      <c r="V1813" s="136" t="str">
        <f>IFERROR(__xludf.DUMMYFUNCTION("""COMPUTED_VALUE"""),"")</f>
        <v/>
      </c>
      <c r="W1813" s="106" t="str">
        <f>IFERROR(__xludf.DUMMYFUNCTION("""COMPUTED_VALUE"""),"")</f>
        <v/>
      </c>
      <c r="X1813" s="143" t="str">
        <f t="shared" si="2"/>
        <v/>
      </c>
      <c r="Y1813" s="139" t="str">
        <f>IFERROR(__xludf.DUMMYFUNCTION("""COMPUTED_VALUE"""),"")</f>
        <v/>
      </c>
      <c r="Z1813" s="141" t="str">
        <f>IFERROR(__xludf.DUMMYFUNCTION("""COMPUTED_VALUE"""),"")</f>
        <v/>
      </c>
    </row>
    <row r="1814">
      <c r="D1814" s="136" t="str">
        <f t="shared" si="3"/>
        <v/>
      </c>
      <c r="E1814" s="152"/>
      <c r="F1814" s="106" t="s">
        <v>133</v>
      </c>
      <c r="G1814" s="152"/>
      <c r="H1814" s="106" t="s">
        <v>133</v>
      </c>
      <c r="J1814" s="139" t="s">
        <v>133</v>
      </c>
      <c r="K1814" s="136" t="s">
        <v>133</v>
      </c>
      <c r="L1814" s="153"/>
      <c r="M1814" s="136" t="str">
        <f t="shared" si="1"/>
        <v/>
      </c>
      <c r="O1814" s="141" t="s">
        <v>133</v>
      </c>
      <c r="P1814" s="136" t="str">
        <f>IFERROR(__xludf.DUMMYFUNCTION("""COMPUTED_VALUE"""),"")</f>
        <v/>
      </c>
      <c r="Q1814" s="136" t="str">
        <f>IFERROR(__xludf.DUMMYFUNCTION("""COMPUTED_VALUE"""),"")</f>
        <v/>
      </c>
      <c r="R1814" s="106" t="str">
        <f>IFERROR(__xludf.DUMMYFUNCTION("""COMPUTED_VALUE"""),"")</f>
        <v/>
      </c>
      <c r="S1814" s="106" t="str">
        <f>IFERROR(__xludf.DUMMYFUNCTION("""COMPUTED_VALUE"""),"")</f>
        <v/>
      </c>
      <c r="T1814" s="139" t="str">
        <f>IFERROR(__xludf.DUMMYFUNCTION("""COMPUTED_VALUE"""),"")</f>
        <v/>
      </c>
      <c r="U1814" s="139" t="str">
        <f>IFERROR(__xludf.DUMMYFUNCTION("""COMPUTED_VALUE"""),"")</f>
        <v/>
      </c>
      <c r="V1814" s="136" t="str">
        <f>IFERROR(__xludf.DUMMYFUNCTION("""COMPUTED_VALUE"""),"")</f>
        <v/>
      </c>
      <c r="W1814" s="106" t="str">
        <f>IFERROR(__xludf.DUMMYFUNCTION("""COMPUTED_VALUE"""),"")</f>
        <v/>
      </c>
      <c r="X1814" s="143" t="str">
        <f t="shared" si="2"/>
        <v/>
      </c>
      <c r="Y1814" s="139" t="str">
        <f>IFERROR(__xludf.DUMMYFUNCTION("""COMPUTED_VALUE"""),"")</f>
        <v/>
      </c>
      <c r="Z1814" s="141" t="str">
        <f>IFERROR(__xludf.DUMMYFUNCTION("""COMPUTED_VALUE"""),"")</f>
        <v/>
      </c>
    </row>
    <row r="1815">
      <c r="D1815" s="136" t="str">
        <f t="shared" si="3"/>
        <v/>
      </c>
      <c r="E1815" s="152"/>
      <c r="F1815" s="106" t="s">
        <v>133</v>
      </c>
      <c r="G1815" s="152"/>
      <c r="H1815" s="106" t="s">
        <v>133</v>
      </c>
      <c r="J1815" s="139" t="s">
        <v>133</v>
      </c>
      <c r="K1815" s="136" t="s">
        <v>133</v>
      </c>
      <c r="L1815" s="153"/>
      <c r="M1815" s="136" t="str">
        <f t="shared" si="1"/>
        <v/>
      </c>
      <c r="O1815" s="141" t="s">
        <v>133</v>
      </c>
      <c r="P1815" s="136" t="str">
        <f>IFERROR(__xludf.DUMMYFUNCTION("""COMPUTED_VALUE"""),"")</f>
        <v/>
      </c>
      <c r="Q1815" s="136" t="str">
        <f>IFERROR(__xludf.DUMMYFUNCTION("""COMPUTED_VALUE"""),"")</f>
        <v/>
      </c>
      <c r="R1815" s="106" t="str">
        <f>IFERROR(__xludf.DUMMYFUNCTION("""COMPUTED_VALUE"""),"")</f>
        <v/>
      </c>
      <c r="S1815" s="106" t="str">
        <f>IFERROR(__xludf.DUMMYFUNCTION("""COMPUTED_VALUE"""),"")</f>
        <v/>
      </c>
      <c r="T1815" s="139" t="str">
        <f>IFERROR(__xludf.DUMMYFUNCTION("""COMPUTED_VALUE"""),"")</f>
        <v/>
      </c>
      <c r="U1815" s="139" t="str">
        <f>IFERROR(__xludf.DUMMYFUNCTION("""COMPUTED_VALUE"""),"")</f>
        <v/>
      </c>
      <c r="V1815" s="136" t="str">
        <f>IFERROR(__xludf.DUMMYFUNCTION("""COMPUTED_VALUE"""),"")</f>
        <v/>
      </c>
      <c r="W1815" s="106" t="str">
        <f>IFERROR(__xludf.DUMMYFUNCTION("""COMPUTED_VALUE"""),"")</f>
        <v/>
      </c>
      <c r="X1815" s="143" t="str">
        <f t="shared" si="2"/>
        <v/>
      </c>
      <c r="Y1815" s="139" t="str">
        <f>IFERROR(__xludf.DUMMYFUNCTION("""COMPUTED_VALUE"""),"")</f>
        <v/>
      </c>
      <c r="Z1815" s="141" t="str">
        <f>IFERROR(__xludf.DUMMYFUNCTION("""COMPUTED_VALUE"""),"")</f>
        <v/>
      </c>
    </row>
    <row r="1816">
      <c r="D1816" s="136" t="str">
        <f t="shared" si="3"/>
        <v/>
      </c>
      <c r="E1816" s="152"/>
      <c r="F1816" s="106" t="s">
        <v>133</v>
      </c>
      <c r="G1816" s="152"/>
      <c r="H1816" s="106" t="s">
        <v>133</v>
      </c>
      <c r="J1816" s="139" t="s">
        <v>133</v>
      </c>
      <c r="K1816" s="136" t="s">
        <v>133</v>
      </c>
      <c r="L1816" s="153"/>
      <c r="M1816" s="136" t="str">
        <f t="shared" si="1"/>
        <v/>
      </c>
      <c r="O1816" s="141" t="s">
        <v>133</v>
      </c>
      <c r="P1816" s="136" t="str">
        <f>IFERROR(__xludf.DUMMYFUNCTION("""COMPUTED_VALUE"""),"")</f>
        <v/>
      </c>
      <c r="Q1816" s="136" t="str">
        <f>IFERROR(__xludf.DUMMYFUNCTION("""COMPUTED_VALUE"""),"")</f>
        <v/>
      </c>
      <c r="R1816" s="106" t="str">
        <f>IFERROR(__xludf.DUMMYFUNCTION("""COMPUTED_VALUE"""),"")</f>
        <v/>
      </c>
      <c r="S1816" s="106" t="str">
        <f>IFERROR(__xludf.DUMMYFUNCTION("""COMPUTED_VALUE"""),"")</f>
        <v/>
      </c>
      <c r="T1816" s="139" t="str">
        <f>IFERROR(__xludf.DUMMYFUNCTION("""COMPUTED_VALUE"""),"")</f>
        <v/>
      </c>
      <c r="U1816" s="139" t="str">
        <f>IFERROR(__xludf.DUMMYFUNCTION("""COMPUTED_VALUE"""),"")</f>
        <v/>
      </c>
      <c r="V1816" s="136" t="str">
        <f>IFERROR(__xludf.DUMMYFUNCTION("""COMPUTED_VALUE"""),"")</f>
        <v/>
      </c>
      <c r="W1816" s="106" t="str">
        <f>IFERROR(__xludf.DUMMYFUNCTION("""COMPUTED_VALUE"""),"")</f>
        <v/>
      </c>
      <c r="X1816" s="143" t="str">
        <f t="shared" si="2"/>
        <v/>
      </c>
      <c r="Y1816" s="139" t="str">
        <f>IFERROR(__xludf.DUMMYFUNCTION("""COMPUTED_VALUE"""),"")</f>
        <v/>
      </c>
      <c r="Z1816" s="141" t="str">
        <f>IFERROR(__xludf.DUMMYFUNCTION("""COMPUTED_VALUE"""),"")</f>
        <v/>
      </c>
    </row>
    <row r="1817">
      <c r="D1817" s="136" t="str">
        <f t="shared" si="3"/>
        <v/>
      </c>
      <c r="E1817" s="152"/>
      <c r="F1817" s="106" t="s">
        <v>133</v>
      </c>
      <c r="G1817" s="152"/>
      <c r="H1817" s="106" t="s">
        <v>133</v>
      </c>
      <c r="J1817" s="139" t="s">
        <v>133</v>
      </c>
      <c r="K1817" s="136" t="s">
        <v>133</v>
      </c>
      <c r="L1817" s="153"/>
      <c r="M1817" s="136" t="str">
        <f t="shared" si="1"/>
        <v/>
      </c>
      <c r="O1817" s="141" t="s">
        <v>133</v>
      </c>
      <c r="P1817" s="136" t="str">
        <f>IFERROR(__xludf.DUMMYFUNCTION("""COMPUTED_VALUE"""),"")</f>
        <v/>
      </c>
      <c r="Q1817" s="136" t="str">
        <f>IFERROR(__xludf.DUMMYFUNCTION("""COMPUTED_VALUE"""),"")</f>
        <v/>
      </c>
      <c r="R1817" s="106" t="str">
        <f>IFERROR(__xludf.DUMMYFUNCTION("""COMPUTED_VALUE"""),"")</f>
        <v/>
      </c>
      <c r="S1817" s="106" t="str">
        <f>IFERROR(__xludf.DUMMYFUNCTION("""COMPUTED_VALUE"""),"")</f>
        <v/>
      </c>
      <c r="T1817" s="139" t="str">
        <f>IFERROR(__xludf.DUMMYFUNCTION("""COMPUTED_VALUE"""),"")</f>
        <v/>
      </c>
      <c r="U1817" s="139" t="str">
        <f>IFERROR(__xludf.DUMMYFUNCTION("""COMPUTED_VALUE"""),"")</f>
        <v/>
      </c>
      <c r="V1817" s="136" t="str">
        <f>IFERROR(__xludf.DUMMYFUNCTION("""COMPUTED_VALUE"""),"")</f>
        <v/>
      </c>
      <c r="W1817" s="106" t="str">
        <f>IFERROR(__xludf.DUMMYFUNCTION("""COMPUTED_VALUE"""),"")</f>
        <v/>
      </c>
      <c r="X1817" s="143" t="str">
        <f t="shared" si="2"/>
        <v/>
      </c>
      <c r="Y1817" s="139" t="str">
        <f>IFERROR(__xludf.DUMMYFUNCTION("""COMPUTED_VALUE"""),"")</f>
        <v/>
      </c>
      <c r="Z1817" s="141" t="str">
        <f>IFERROR(__xludf.DUMMYFUNCTION("""COMPUTED_VALUE"""),"")</f>
        <v/>
      </c>
    </row>
    <row r="1818">
      <c r="D1818" s="136" t="str">
        <f t="shared" si="3"/>
        <v/>
      </c>
      <c r="E1818" s="152"/>
      <c r="F1818" s="106" t="s">
        <v>133</v>
      </c>
      <c r="G1818" s="152"/>
      <c r="H1818" s="106" t="s">
        <v>133</v>
      </c>
      <c r="J1818" s="139" t="s">
        <v>133</v>
      </c>
      <c r="K1818" s="136" t="s">
        <v>133</v>
      </c>
      <c r="L1818" s="153"/>
      <c r="M1818" s="136" t="str">
        <f t="shared" si="1"/>
        <v/>
      </c>
      <c r="O1818" s="141" t="s">
        <v>133</v>
      </c>
      <c r="P1818" s="136" t="str">
        <f>IFERROR(__xludf.DUMMYFUNCTION("""COMPUTED_VALUE"""),"")</f>
        <v/>
      </c>
      <c r="Q1818" s="136" t="str">
        <f>IFERROR(__xludf.DUMMYFUNCTION("""COMPUTED_VALUE"""),"")</f>
        <v/>
      </c>
      <c r="R1818" s="106" t="str">
        <f>IFERROR(__xludf.DUMMYFUNCTION("""COMPUTED_VALUE"""),"")</f>
        <v/>
      </c>
      <c r="S1818" s="106" t="str">
        <f>IFERROR(__xludf.DUMMYFUNCTION("""COMPUTED_VALUE"""),"")</f>
        <v/>
      </c>
      <c r="T1818" s="139" t="str">
        <f>IFERROR(__xludf.DUMMYFUNCTION("""COMPUTED_VALUE"""),"")</f>
        <v/>
      </c>
      <c r="U1818" s="139" t="str">
        <f>IFERROR(__xludf.DUMMYFUNCTION("""COMPUTED_VALUE"""),"")</f>
        <v/>
      </c>
      <c r="V1818" s="136" t="str">
        <f>IFERROR(__xludf.DUMMYFUNCTION("""COMPUTED_VALUE"""),"")</f>
        <v/>
      </c>
      <c r="W1818" s="106" t="str">
        <f>IFERROR(__xludf.DUMMYFUNCTION("""COMPUTED_VALUE"""),"")</f>
        <v/>
      </c>
      <c r="X1818" s="143" t="str">
        <f t="shared" si="2"/>
        <v/>
      </c>
      <c r="Y1818" s="139" t="str">
        <f>IFERROR(__xludf.DUMMYFUNCTION("""COMPUTED_VALUE"""),"")</f>
        <v/>
      </c>
      <c r="Z1818" s="141" t="str">
        <f>IFERROR(__xludf.DUMMYFUNCTION("""COMPUTED_VALUE"""),"")</f>
        <v/>
      </c>
    </row>
    <row r="1819">
      <c r="D1819" s="136" t="str">
        <f t="shared" si="3"/>
        <v/>
      </c>
      <c r="E1819" s="152"/>
      <c r="F1819" s="106" t="s">
        <v>133</v>
      </c>
      <c r="G1819" s="152"/>
      <c r="H1819" s="106" t="s">
        <v>133</v>
      </c>
      <c r="J1819" s="139" t="s">
        <v>133</v>
      </c>
      <c r="K1819" s="136" t="s">
        <v>133</v>
      </c>
      <c r="L1819" s="153"/>
      <c r="M1819" s="136" t="str">
        <f t="shared" si="1"/>
        <v/>
      </c>
      <c r="O1819" s="141" t="s">
        <v>133</v>
      </c>
      <c r="P1819" s="136" t="str">
        <f>IFERROR(__xludf.DUMMYFUNCTION("""COMPUTED_VALUE"""),"")</f>
        <v/>
      </c>
      <c r="Q1819" s="136" t="str">
        <f>IFERROR(__xludf.DUMMYFUNCTION("""COMPUTED_VALUE"""),"")</f>
        <v/>
      </c>
      <c r="R1819" s="106" t="str">
        <f>IFERROR(__xludf.DUMMYFUNCTION("""COMPUTED_VALUE"""),"")</f>
        <v/>
      </c>
      <c r="S1819" s="106" t="str">
        <f>IFERROR(__xludf.DUMMYFUNCTION("""COMPUTED_VALUE"""),"")</f>
        <v/>
      </c>
      <c r="T1819" s="139" t="str">
        <f>IFERROR(__xludf.DUMMYFUNCTION("""COMPUTED_VALUE"""),"")</f>
        <v/>
      </c>
      <c r="U1819" s="139" t="str">
        <f>IFERROR(__xludf.DUMMYFUNCTION("""COMPUTED_VALUE"""),"")</f>
        <v/>
      </c>
      <c r="V1819" s="136" t="str">
        <f>IFERROR(__xludf.DUMMYFUNCTION("""COMPUTED_VALUE"""),"")</f>
        <v/>
      </c>
      <c r="W1819" s="106" t="str">
        <f>IFERROR(__xludf.DUMMYFUNCTION("""COMPUTED_VALUE"""),"")</f>
        <v/>
      </c>
      <c r="X1819" s="143" t="str">
        <f t="shared" si="2"/>
        <v/>
      </c>
      <c r="Y1819" s="139" t="str">
        <f>IFERROR(__xludf.DUMMYFUNCTION("""COMPUTED_VALUE"""),"")</f>
        <v/>
      </c>
      <c r="Z1819" s="141" t="str">
        <f>IFERROR(__xludf.DUMMYFUNCTION("""COMPUTED_VALUE"""),"")</f>
        <v/>
      </c>
    </row>
    <row r="1820">
      <c r="D1820" s="136" t="str">
        <f t="shared" si="3"/>
        <v/>
      </c>
      <c r="E1820" s="152"/>
      <c r="F1820" s="106" t="s">
        <v>133</v>
      </c>
      <c r="G1820" s="152"/>
      <c r="H1820" s="106" t="s">
        <v>133</v>
      </c>
      <c r="J1820" s="139" t="s">
        <v>133</v>
      </c>
      <c r="K1820" s="136" t="s">
        <v>133</v>
      </c>
      <c r="L1820" s="153"/>
      <c r="M1820" s="136" t="str">
        <f t="shared" si="1"/>
        <v/>
      </c>
      <c r="O1820" s="141" t="s">
        <v>133</v>
      </c>
      <c r="P1820" s="136" t="str">
        <f>IFERROR(__xludf.DUMMYFUNCTION("""COMPUTED_VALUE"""),"")</f>
        <v/>
      </c>
      <c r="Q1820" s="136" t="str">
        <f>IFERROR(__xludf.DUMMYFUNCTION("""COMPUTED_VALUE"""),"")</f>
        <v/>
      </c>
      <c r="R1820" s="106" t="str">
        <f>IFERROR(__xludf.DUMMYFUNCTION("""COMPUTED_VALUE"""),"")</f>
        <v/>
      </c>
      <c r="S1820" s="106" t="str">
        <f>IFERROR(__xludf.DUMMYFUNCTION("""COMPUTED_VALUE"""),"")</f>
        <v/>
      </c>
      <c r="T1820" s="139" t="str">
        <f>IFERROR(__xludf.DUMMYFUNCTION("""COMPUTED_VALUE"""),"")</f>
        <v/>
      </c>
      <c r="U1820" s="139" t="str">
        <f>IFERROR(__xludf.DUMMYFUNCTION("""COMPUTED_VALUE"""),"")</f>
        <v/>
      </c>
      <c r="V1820" s="136" t="str">
        <f>IFERROR(__xludf.DUMMYFUNCTION("""COMPUTED_VALUE"""),"")</f>
        <v/>
      </c>
      <c r="W1820" s="106" t="str">
        <f>IFERROR(__xludf.DUMMYFUNCTION("""COMPUTED_VALUE"""),"")</f>
        <v/>
      </c>
      <c r="X1820" s="143" t="str">
        <f t="shared" si="2"/>
        <v/>
      </c>
      <c r="Y1820" s="139" t="str">
        <f>IFERROR(__xludf.DUMMYFUNCTION("""COMPUTED_VALUE"""),"")</f>
        <v/>
      </c>
      <c r="Z1820" s="141" t="str">
        <f>IFERROR(__xludf.DUMMYFUNCTION("""COMPUTED_VALUE"""),"")</f>
        <v/>
      </c>
    </row>
    <row r="1821">
      <c r="D1821" s="136" t="str">
        <f t="shared" si="3"/>
        <v/>
      </c>
      <c r="E1821" s="152"/>
      <c r="F1821" s="106" t="s">
        <v>133</v>
      </c>
      <c r="G1821" s="152"/>
      <c r="H1821" s="106" t="s">
        <v>133</v>
      </c>
      <c r="J1821" s="139" t="s">
        <v>133</v>
      </c>
      <c r="K1821" s="136" t="s">
        <v>133</v>
      </c>
      <c r="L1821" s="153"/>
      <c r="M1821" s="136" t="str">
        <f t="shared" si="1"/>
        <v/>
      </c>
      <c r="O1821" s="141" t="s">
        <v>133</v>
      </c>
      <c r="P1821" s="136" t="str">
        <f>IFERROR(__xludf.DUMMYFUNCTION("""COMPUTED_VALUE"""),"")</f>
        <v/>
      </c>
      <c r="Q1821" s="136" t="str">
        <f>IFERROR(__xludf.DUMMYFUNCTION("""COMPUTED_VALUE"""),"")</f>
        <v/>
      </c>
      <c r="R1821" s="106" t="str">
        <f>IFERROR(__xludf.DUMMYFUNCTION("""COMPUTED_VALUE"""),"")</f>
        <v/>
      </c>
      <c r="S1821" s="106" t="str">
        <f>IFERROR(__xludf.DUMMYFUNCTION("""COMPUTED_VALUE"""),"")</f>
        <v/>
      </c>
      <c r="T1821" s="139" t="str">
        <f>IFERROR(__xludf.DUMMYFUNCTION("""COMPUTED_VALUE"""),"")</f>
        <v/>
      </c>
      <c r="U1821" s="139" t="str">
        <f>IFERROR(__xludf.DUMMYFUNCTION("""COMPUTED_VALUE"""),"")</f>
        <v/>
      </c>
      <c r="V1821" s="136" t="str">
        <f>IFERROR(__xludf.DUMMYFUNCTION("""COMPUTED_VALUE"""),"")</f>
        <v/>
      </c>
      <c r="W1821" s="106" t="str">
        <f>IFERROR(__xludf.DUMMYFUNCTION("""COMPUTED_VALUE"""),"")</f>
        <v/>
      </c>
      <c r="X1821" s="143" t="str">
        <f t="shared" si="2"/>
        <v/>
      </c>
      <c r="Y1821" s="139" t="str">
        <f>IFERROR(__xludf.DUMMYFUNCTION("""COMPUTED_VALUE"""),"")</f>
        <v/>
      </c>
      <c r="Z1821" s="141" t="str">
        <f>IFERROR(__xludf.DUMMYFUNCTION("""COMPUTED_VALUE"""),"")</f>
        <v/>
      </c>
    </row>
    <row r="1822">
      <c r="D1822" s="136" t="str">
        <f t="shared" si="3"/>
        <v/>
      </c>
      <c r="E1822" s="152"/>
      <c r="F1822" s="106" t="s">
        <v>133</v>
      </c>
      <c r="G1822" s="152"/>
      <c r="H1822" s="106" t="s">
        <v>133</v>
      </c>
      <c r="J1822" s="139" t="s">
        <v>133</v>
      </c>
      <c r="K1822" s="136" t="s">
        <v>133</v>
      </c>
      <c r="L1822" s="153"/>
      <c r="M1822" s="136" t="str">
        <f t="shared" si="1"/>
        <v/>
      </c>
      <c r="O1822" s="141" t="s">
        <v>133</v>
      </c>
      <c r="P1822" s="136" t="str">
        <f>IFERROR(__xludf.DUMMYFUNCTION("""COMPUTED_VALUE"""),"")</f>
        <v/>
      </c>
      <c r="Q1822" s="136" t="str">
        <f>IFERROR(__xludf.DUMMYFUNCTION("""COMPUTED_VALUE"""),"")</f>
        <v/>
      </c>
      <c r="R1822" s="106" t="str">
        <f>IFERROR(__xludf.DUMMYFUNCTION("""COMPUTED_VALUE"""),"")</f>
        <v/>
      </c>
      <c r="S1822" s="106" t="str">
        <f>IFERROR(__xludf.DUMMYFUNCTION("""COMPUTED_VALUE"""),"")</f>
        <v/>
      </c>
      <c r="T1822" s="139" t="str">
        <f>IFERROR(__xludf.DUMMYFUNCTION("""COMPUTED_VALUE"""),"")</f>
        <v/>
      </c>
      <c r="U1822" s="139" t="str">
        <f>IFERROR(__xludf.DUMMYFUNCTION("""COMPUTED_VALUE"""),"")</f>
        <v/>
      </c>
      <c r="V1822" s="136" t="str">
        <f>IFERROR(__xludf.DUMMYFUNCTION("""COMPUTED_VALUE"""),"")</f>
        <v/>
      </c>
      <c r="W1822" s="106" t="str">
        <f>IFERROR(__xludf.DUMMYFUNCTION("""COMPUTED_VALUE"""),"")</f>
        <v/>
      </c>
      <c r="X1822" s="143" t="str">
        <f t="shared" si="2"/>
        <v/>
      </c>
      <c r="Y1822" s="139" t="str">
        <f>IFERROR(__xludf.DUMMYFUNCTION("""COMPUTED_VALUE"""),"")</f>
        <v/>
      </c>
      <c r="Z1822" s="141" t="str">
        <f>IFERROR(__xludf.DUMMYFUNCTION("""COMPUTED_VALUE"""),"")</f>
        <v/>
      </c>
    </row>
    <row r="1823">
      <c r="D1823" s="136" t="str">
        <f t="shared" si="3"/>
        <v/>
      </c>
      <c r="E1823" s="152"/>
      <c r="F1823" s="106" t="s">
        <v>133</v>
      </c>
      <c r="G1823" s="152"/>
      <c r="H1823" s="106" t="s">
        <v>133</v>
      </c>
      <c r="J1823" s="139" t="s">
        <v>133</v>
      </c>
      <c r="K1823" s="136" t="s">
        <v>133</v>
      </c>
      <c r="L1823" s="153"/>
      <c r="M1823" s="136" t="str">
        <f t="shared" si="1"/>
        <v/>
      </c>
      <c r="O1823" s="141" t="s">
        <v>133</v>
      </c>
      <c r="P1823" s="136" t="str">
        <f>IFERROR(__xludf.DUMMYFUNCTION("""COMPUTED_VALUE"""),"")</f>
        <v/>
      </c>
      <c r="Q1823" s="136" t="str">
        <f>IFERROR(__xludf.DUMMYFUNCTION("""COMPUTED_VALUE"""),"")</f>
        <v/>
      </c>
      <c r="R1823" s="106" t="str">
        <f>IFERROR(__xludf.DUMMYFUNCTION("""COMPUTED_VALUE"""),"")</f>
        <v/>
      </c>
      <c r="S1823" s="106" t="str">
        <f>IFERROR(__xludf.DUMMYFUNCTION("""COMPUTED_VALUE"""),"")</f>
        <v/>
      </c>
      <c r="T1823" s="139" t="str">
        <f>IFERROR(__xludf.DUMMYFUNCTION("""COMPUTED_VALUE"""),"")</f>
        <v/>
      </c>
      <c r="U1823" s="139" t="str">
        <f>IFERROR(__xludf.DUMMYFUNCTION("""COMPUTED_VALUE"""),"")</f>
        <v/>
      </c>
      <c r="V1823" s="136" t="str">
        <f>IFERROR(__xludf.DUMMYFUNCTION("""COMPUTED_VALUE"""),"")</f>
        <v/>
      </c>
      <c r="W1823" s="106" t="str">
        <f>IFERROR(__xludf.DUMMYFUNCTION("""COMPUTED_VALUE"""),"")</f>
        <v/>
      </c>
      <c r="X1823" s="143" t="str">
        <f t="shared" si="2"/>
        <v/>
      </c>
      <c r="Y1823" s="139" t="str">
        <f>IFERROR(__xludf.DUMMYFUNCTION("""COMPUTED_VALUE"""),"")</f>
        <v/>
      </c>
      <c r="Z1823" s="141" t="str">
        <f>IFERROR(__xludf.DUMMYFUNCTION("""COMPUTED_VALUE"""),"")</f>
        <v/>
      </c>
    </row>
    <row r="1824">
      <c r="D1824" s="136" t="str">
        <f t="shared" si="3"/>
        <v/>
      </c>
      <c r="E1824" s="152"/>
      <c r="F1824" s="106" t="s">
        <v>133</v>
      </c>
      <c r="G1824" s="152"/>
      <c r="H1824" s="106" t="s">
        <v>133</v>
      </c>
      <c r="J1824" s="139" t="s">
        <v>133</v>
      </c>
      <c r="K1824" s="136" t="s">
        <v>133</v>
      </c>
      <c r="L1824" s="153"/>
      <c r="M1824" s="136" t="str">
        <f t="shared" si="1"/>
        <v/>
      </c>
      <c r="O1824" s="141" t="s">
        <v>133</v>
      </c>
      <c r="P1824" s="136" t="str">
        <f>IFERROR(__xludf.DUMMYFUNCTION("""COMPUTED_VALUE"""),"")</f>
        <v/>
      </c>
      <c r="Q1824" s="136" t="str">
        <f>IFERROR(__xludf.DUMMYFUNCTION("""COMPUTED_VALUE"""),"")</f>
        <v/>
      </c>
      <c r="R1824" s="106" t="str">
        <f>IFERROR(__xludf.DUMMYFUNCTION("""COMPUTED_VALUE"""),"")</f>
        <v/>
      </c>
      <c r="S1824" s="106" t="str">
        <f>IFERROR(__xludf.DUMMYFUNCTION("""COMPUTED_VALUE"""),"")</f>
        <v/>
      </c>
      <c r="T1824" s="139" t="str">
        <f>IFERROR(__xludf.DUMMYFUNCTION("""COMPUTED_VALUE"""),"")</f>
        <v/>
      </c>
      <c r="U1824" s="139" t="str">
        <f>IFERROR(__xludf.DUMMYFUNCTION("""COMPUTED_VALUE"""),"")</f>
        <v/>
      </c>
      <c r="V1824" s="136" t="str">
        <f>IFERROR(__xludf.DUMMYFUNCTION("""COMPUTED_VALUE"""),"")</f>
        <v/>
      </c>
      <c r="W1824" s="106" t="str">
        <f>IFERROR(__xludf.DUMMYFUNCTION("""COMPUTED_VALUE"""),"")</f>
        <v/>
      </c>
      <c r="X1824" s="143" t="str">
        <f t="shared" si="2"/>
        <v/>
      </c>
      <c r="Y1824" s="139" t="str">
        <f>IFERROR(__xludf.DUMMYFUNCTION("""COMPUTED_VALUE"""),"")</f>
        <v/>
      </c>
      <c r="Z1824" s="141" t="str">
        <f>IFERROR(__xludf.DUMMYFUNCTION("""COMPUTED_VALUE"""),"")</f>
        <v/>
      </c>
    </row>
    <row r="1825">
      <c r="D1825" s="136" t="str">
        <f t="shared" si="3"/>
        <v/>
      </c>
      <c r="E1825" s="152"/>
      <c r="F1825" s="106" t="s">
        <v>133</v>
      </c>
      <c r="G1825" s="152"/>
      <c r="H1825" s="106" t="s">
        <v>133</v>
      </c>
      <c r="J1825" s="139" t="s">
        <v>133</v>
      </c>
      <c r="K1825" s="136" t="s">
        <v>133</v>
      </c>
      <c r="L1825" s="153"/>
      <c r="M1825" s="136" t="str">
        <f t="shared" si="1"/>
        <v/>
      </c>
      <c r="O1825" s="141" t="s">
        <v>133</v>
      </c>
      <c r="P1825" s="136" t="str">
        <f>IFERROR(__xludf.DUMMYFUNCTION("""COMPUTED_VALUE"""),"")</f>
        <v/>
      </c>
      <c r="Q1825" s="136" t="str">
        <f>IFERROR(__xludf.DUMMYFUNCTION("""COMPUTED_VALUE"""),"")</f>
        <v/>
      </c>
      <c r="R1825" s="106" t="str">
        <f>IFERROR(__xludf.DUMMYFUNCTION("""COMPUTED_VALUE"""),"")</f>
        <v/>
      </c>
      <c r="S1825" s="106" t="str">
        <f>IFERROR(__xludf.DUMMYFUNCTION("""COMPUTED_VALUE"""),"")</f>
        <v/>
      </c>
      <c r="T1825" s="139" t="str">
        <f>IFERROR(__xludf.DUMMYFUNCTION("""COMPUTED_VALUE"""),"")</f>
        <v/>
      </c>
      <c r="U1825" s="139" t="str">
        <f>IFERROR(__xludf.DUMMYFUNCTION("""COMPUTED_VALUE"""),"")</f>
        <v/>
      </c>
      <c r="V1825" s="136" t="str">
        <f>IFERROR(__xludf.DUMMYFUNCTION("""COMPUTED_VALUE"""),"")</f>
        <v/>
      </c>
      <c r="W1825" s="106" t="str">
        <f>IFERROR(__xludf.DUMMYFUNCTION("""COMPUTED_VALUE"""),"")</f>
        <v/>
      </c>
      <c r="X1825" s="143" t="str">
        <f t="shared" si="2"/>
        <v/>
      </c>
      <c r="Y1825" s="139" t="str">
        <f>IFERROR(__xludf.DUMMYFUNCTION("""COMPUTED_VALUE"""),"")</f>
        <v/>
      </c>
      <c r="Z1825" s="141" t="str">
        <f>IFERROR(__xludf.DUMMYFUNCTION("""COMPUTED_VALUE"""),"")</f>
        <v/>
      </c>
    </row>
    <row r="1826">
      <c r="D1826" s="136" t="str">
        <f t="shared" si="3"/>
        <v/>
      </c>
      <c r="E1826" s="152"/>
      <c r="F1826" s="106" t="s">
        <v>133</v>
      </c>
      <c r="G1826" s="152"/>
      <c r="H1826" s="106" t="s">
        <v>133</v>
      </c>
      <c r="J1826" s="139" t="s">
        <v>133</v>
      </c>
      <c r="K1826" s="136" t="s">
        <v>133</v>
      </c>
      <c r="L1826" s="153"/>
      <c r="M1826" s="136" t="str">
        <f t="shared" si="1"/>
        <v/>
      </c>
      <c r="O1826" s="141" t="s">
        <v>133</v>
      </c>
      <c r="P1826" s="136" t="str">
        <f>IFERROR(__xludf.DUMMYFUNCTION("""COMPUTED_VALUE"""),"")</f>
        <v/>
      </c>
      <c r="Q1826" s="136" t="str">
        <f>IFERROR(__xludf.DUMMYFUNCTION("""COMPUTED_VALUE"""),"")</f>
        <v/>
      </c>
      <c r="R1826" s="106" t="str">
        <f>IFERROR(__xludf.DUMMYFUNCTION("""COMPUTED_VALUE"""),"")</f>
        <v/>
      </c>
      <c r="S1826" s="106" t="str">
        <f>IFERROR(__xludf.DUMMYFUNCTION("""COMPUTED_VALUE"""),"")</f>
        <v/>
      </c>
      <c r="T1826" s="139" t="str">
        <f>IFERROR(__xludf.DUMMYFUNCTION("""COMPUTED_VALUE"""),"")</f>
        <v/>
      </c>
      <c r="U1826" s="139" t="str">
        <f>IFERROR(__xludf.DUMMYFUNCTION("""COMPUTED_VALUE"""),"")</f>
        <v/>
      </c>
      <c r="V1826" s="136" t="str">
        <f>IFERROR(__xludf.DUMMYFUNCTION("""COMPUTED_VALUE"""),"")</f>
        <v/>
      </c>
      <c r="W1826" s="106" t="str">
        <f>IFERROR(__xludf.DUMMYFUNCTION("""COMPUTED_VALUE"""),"")</f>
        <v/>
      </c>
      <c r="X1826" s="143" t="str">
        <f t="shared" si="2"/>
        <v/>
      </c>
      <c r="Y1826" s="139" t="str">
        <f>IFERROR(__xludf.DUMMYFUNCTION("""COMPUTED_VALUE"""),"")</f>
        <v/>
      </c>
      <c r="Z1826" s="141" t="str">
        <f>IFERROR(__xludf.DUMMYFUNCTION("""COMPUTED_VALUE"""),"")</f>
        <v/>
      </c>
    </row>
    <row r="1827">
      <c r="D1827" s="136" t="str">
        <f t="shared" si="3"/>
        <v/>
      </c>
      <c r="E1827" s="152"/>
      <c r="F1827" s="106" t="s">
        <v>133</v>
      </c>
      <c r="G1827" s="152"/>
      <c r="H1827" s="106" t="s">
        <v>133</v>
      </c>
      <c r="J1827" s="139" t="s">
        <v>133</v>
      </c>
      <c r="K1827" s="136" t="s">
        <v>133</v>
      </c>
      <c r="L1827" s="153"/>
      <c r="M1827" s="136" t="str">
        <f t="shared" si="1"/>
        <v/>
      </c>
      <c r="O1827" s="141" t="s">
        <v>133</v>
      </c>
      <c r="P1827" s="136" t="str">
        <f>IFERROR(__xludf.DUMMYFUNCTION("""COMPUTED_VALUE"""),"")</f>
        <v/>
      </c>
      <c r="Q1827" s="136" t="str">
        <f>IFERROR(__xludf.DUMMYFUNCTION("""COMPUTED_VALUE"""),"")</f>
        <v/>
      </c>
      <c r="R1827" s="106" t="str">
        <f>IFERROR(__xludf.DUMMYFUNCTION("""COMPUTED_VALUE"""),"")</f>
        <v/>
      </c>
      <c r="S1827" s="106" t="str">
        <f>IFERROR(__xludf.DUMMYFUNCTION("""COMPUTED_VALUE"""),"")</f>
        <v/>
      </c>
      <c r="T1827" s="139" t="str">
        <f>IFERROR(__xludf.DUMMYFUNCTION("""COMPUTED_VALUE"""),"")</f>
        <v/>
      </c>
      <c r="U1827" s="139" t="str">
        <f>IFERROR(__xludf.DUMMYFUNCTION("""COMPUTED_VALUE"""),"")</f>
        <v/>
      </c>
      <c r="V1827" s="136" t="str">
        <f>IFERROR(__xludf.DUMMYFUNCTION("""COMPUTED_VALUE"""),"")</f>
        <v/>
      </c>
      <c r="W1827" s="106" t="str">
        <f>IFERROR(__xludf.DUMMYFUNCTION("""COMPUTED_VALUE"""),"")</f>
        <v/>
      </c>
      <c r="X1827" s="143" t="str">
        <f t="shared" si="2"/>
        <v/>
      </c>
      <c r="Y1827" s="139" t="str">
        <f>IFERROR(__xludf.DUMMYFUNCTION("""COMPUTED_VALUE"""),"")</f>
        <v/>
      </c>
      <c r="Z1827" s="141" t="str">
        <f>IFERROR(__xludf.DUMMYFUNCTION("""COMPUTED_VALUE"""),"")</f>
        <v/>
      </c>
    </row>
    <row r="1828">
      <c r="D1828" s="136" t="str">
        <f t="shared" si="3"/>
        <v/>
      </c>
      <c r="E1828" s="152"/>
      <c r="F1828" s="106" t="s">
        <v>133</v>
      </c>
      <c r="G1828" s="152"/>
      <c r="H1828" s="106" t="s">
        <v>133</v>
      </c>
      <c r="J1828" s="139" t="s">
        <v>133</v>
      </c>
      <c r="K1828" s="136" t="s">
        <v>133</v>
      </c>
      <c r="L1828" s="153"/>
      <c r="M1828" s="136" t="str">
        <f t="shared" si="1"/>
        <v/>
      </c>
      <c r="O1828" s="141" t="s">
        <v>133</v>
      </c>
      <c r="P1828" s="136" t="str">
        <f>IFERROR(__xludf.DUMMYFUNCTION("""COMPUTED_VALUE"""),"")</f>
        <v/>
      </c>
      <c r="Q1828" s="136" t="str">
        <f>IFERROR(__xludf.DUMMYFUNCTION("""COMPUTED_VALUE"""),"")</f>
        <v/>
      </c>
      <c r="R1828" s="106" t="str">
        <f>IFERROR(__xludf.DUMMYFUNCTION("""COMPUTED_VALUE"""),"")</f>
        <v/>
      </c>
      <c r="S1828" s="106" t="str">
        <f>IFERROR(__xludf.DUMMYFUNCTION("""COMPUTED_VALUE"""),"")</f>
        <v/>
      </c>
      <c r="T1828" s="139" t="str">
        <f>IFERROR(__xludf.DUMMYFUNCTION("""COMPUTED_VALUE"""),"")</f>
        <v/>
      </c>
      <c r="U1828" s="139" t="str">
        <f>IFERROR(__xludf.DUMMYFUNCTION("""COMPUTED_VALUE"""),"")</f>
        <v/>
      </c>
      <c r="V1828" s="136" t="str">
        <f>IFERROR(__xludf.DUMMYFUNCTION("""COMPUTED_VALUE"""),"")</f>
        <v/>
      </c>
      <c r="W1828" s="106" t="str">
        <f>IFERROR(__xludf.DUMMYFUNCTION("""COMPUTED_VALUE"""),"")</f>
        <v/>
      </c>
      <c r="X1828" s="143" t="str">
        <f t="shared" si="2"/>
        <v/>
      </c>
      <c r="Y1828" s="139" t="str">
        <f>IFERROR(__xludf.DUMMYFUNCTION("""COMPUTED_VALUE"""),"")</f>
        <v/>
      </c>
      <c r="Z1828" s="141" t="str">
        <f>IFERROR(__xludf.DUMMYFUNCTION("""COMPUTED_VALUE"""),"")</f>
        <v/>
      </c>
    </row>
    <row r="1829">
      <c r="D1829" s="136" t="str">
        <f t="shared" si="3"/>
        <v/>
      </c>
      <c r="E1829" s="152"/>
      <c r="F1829" s="106" t="s">
        <v>133</v>
      </c>
      <c r="G1829" s="152"/>
      <c r="H1829" s="106" t="s">
        <v>133</v>
      </c>
      <c r="J1829" s="139" t="s">
        <v>133</v>
      </c>
      <c r="K1829" s="136" t="s">
        <v>133</v>
      </c>
      <c r="L1829" s="153"/>
      <c r="M1829" s="136" t="str">
        <f t="shared" si="1"/>
        <v/>
      </c>
      <c r="O1829" s="141" t="s">
        <v>133</v>
      </c>
      <c r="P1829" s="136" t="str">
        <f>IFERROR(__xludf.DUMMYFUNCTION("""COMPUTED_VALUE"""),"")</f>
        <v/>
      </c>
      <c r="Q1829" s="136" t="str">
        <f>IFERROR(__xludf.DUMMYFUNCTION("""COMPUTED_VALUE"""),"")</f>
        <v/>
      </c>
      <c r="R1829" s="106" t="str">
        <f>IFERROR(__xludf.DUMMYFUNCTION("""COMPUTED_VALUE"""),"")</f>
        <v/>
      </c>
      <c r="S1829" s="106" t="str">
        <f>IFERROR(__xludf.DUMMYFUNCTION("""COMPUTED_VALUE"""),"")</f>
        <v/>
      </c>
      <c r="T1829" s="139" t="str">
        <f>IFERROR(__xludf.DUMMYFUNCTION("""COMPUTED_VALUE"""),"")</f>
        <v/>
      </c>
      <c r="U1829" s="139" t="str">
        <f>IFERROR(__xludf.DUMMYFUNCTION("""COMPUTED_VALUE"""),"")</f>
        <v/>
      </c>
      <c r="V1829" s="136" t="str">
        <f>IFERROR(__xludf.DUMMYFUNCTION("""COMPUTED_VALUE"""),"")</f>
        <v/>
      </c>
      <c r="W1829" s="106" t="str">
        <f>IFERROR(__xludf.DUMMYFUNCTION("""COMPUTED_VALUE"""),"")</f>
        <v/>
      </c>
      <c r="X1829" s="143" t="str">
        <f t="shared" si="2"/>
        <v/>
      </c>
      <c r="Y1829" s="139" t="str">
        <f>IFERROR(__xludf.DUMMYFUNCTION("""COMPUTED_VALUE"""),"")</f>
        <v/>
      </c>
      <c r="Z1829" s="141" t="str">
        <f>IFERROR(__xludf.DUMMYFUNCTION("""COMPUTED_VALUE"""),"")</f>
        <v/>
      </c>
    </row>
    <row r="1830">
      <c r="D1830" s="136" t="str">
        <f t="shared" si="3"/>
        <v/>
      </c>
      <c r="E1830" s="152"/>
      <c r="F1830" s="106" t="s">
        <v>133</v>
      </c>
      <c r="G1830" s="152"/>
      <c r="H1830" s="106" t="s">
        <v>133</v>
      </c>
      <c r="J1830" s="139" t="s">
        <v>133</v>
      </c>
      <c r="K1830" s="136" t="s">
        <v>133</v>
      </c>
      <c r="L1830" s="153"/>
      <c r="M1830" s="136" t="str">
        <f t="shared" si="1"/>
        <v/>
      </c>
      <c r="O1830" s="141" t="s">
        <v>133</v>
      </c>
      <c r="P1830" s="136" t="str">
        <f>IFERROR(__xludf.DUMMYFUNCTION("""COMPUTED_VALUE"""),"")</f>
        <v/>
      </c>
      <c r="Q1830" s="136" t="str">
        <f>IFERROR(__xludf.DUMMYFUNCTION("""COMPUTED_VALUE"""),"")</f>
        <v/>
      </c>
      <c r="R1830" s="106" t="str">
        <f>IFERROR(__xludf.DUMMYFUNCTION("""COMPUTED_VALUE"""),"")</f>
        <v/>
      </c>
      <c r="S1830" s="106" t="str">
        <f>IFERROR(__xludf.DUMMYFUNCTION("""COMPUTED_VALUE"""),"")</f>
        <v/>
      </c>
      <c r="T1830" s="139" t="str">
        <f>IFERROR(__xludf.DUMMYFUNCTION("""COMPUTED_VALUE"""),"")</f>
        <v/>
      </c>
      <c r="U1830" s="139" t="str">
        <f>IFERROR(__xludf.DUMMYFUNCTION("""COMPUTED_VALUE"""),"")</f>
        <v/>
      </c>
      <c r="V1830" s="136" t="str">
        <f>IFERROR(__xludf.DUMMYFUNCTION("""COMPUTED_VALUE"""),"")</f>
        <v/>
      </c>
      <c r="W1830" s="106" t="str">
        <f>IFERROR(__xludf.DUMMYFUNCTION("""COMPUTED_VALUE"""),"")</f>
        <v/>
      </c>
      <c r="X1830" s="143" t="str">
        <f t="shared" si="2"/>
        <v/>
      </c>
      <c r="Y1830" s="139" t="str">
        <f>IFERROR(__xludf.DUMMYFUNCTION("""COMPUTED_VALUE"""),"")</f>
        <v/>
      </c>
      <c r="Z1830" s="141" t="str">
        <f>IFERROR(__xludf.DUMMYFUNCTION("""COMPUTED_VALUE"""),"")</f>
        <v/>
      </c>
    </row>
    <row r="1831">
      <c r="D1831" s="136" t="str">
        <f t="shared" si="3"/>
        <v/>
      </c>
      <c r="E1831" s="152"/>
      <c r="F1831" s="106" t="s">
        <v>133</v>
      </c>
      <c r="G1831" s="152"/>
      <c r="H1831" s="106" t="s">
        <v>133</v>
      </c>
      <c r="J1831" s="139" t="s">
        <v>133</v>
      </c>
      <c r="K1831" s="136" t="s">
        <v>133</v>
      </c>
      <c r="L1831" s="153"/>
      <c r="M1831" s="136" t="str">
        <f t="shared" si="1"/>
        <v/>
      </c>
      <c r="O1831" s="141" t="s">
        <v>133</v>
      </c>
      <c r="P1831" s="136" t="str">
        <f>IFERROR(__xludf.DUMMYFUNCTION("""COMPUTED_VALUE"""),"")</f>
        <v/>
      </c>
      <c r="Q1831" s="136" t="str">
        <f>IFERROR(__xludf.DUMMYFUNCTION("""COMPUTED_VALUE"""),"")</f>
        <v/>
      </c>
      <c r="R1831" s="106" t="str">
        <f>IFERROR(__xludf.DUMMYFUNCTION("""COMPUTED_VALUE"""),"")</f>
        <v/>
      </c>
      <c r="S1831" s="106" t="str">
        <f>IFERROR(__xludf.DUMMYFUNCTION("""COMPUTED_VALUE"""),"")</f>
        <v/>
      </c>
      <c r="T1831" s="139" t="str">
        <f>IFERROR(__xludf.DUMMYFUNCTION("""COMPUTED_VALUE"""),"")</f>
        <v/>
      </c>
      <c r="U1831" s="139" t="str">
        <f>IFERROR(__xludf.DUMMYFUNCTION("""COMPUTED_VALUE"""),"")</f>
        <v/>
      </c>
      <c r="V1831" s="136" t="str">
        <f>IFERROR(__xludf.DUMMYFUNCTION("""COMPUTED_VALUE"""),"")</f>
        <v/>
      </c>
      <c r="W1831" s="106" t="str">
        <f>IFERROR(__xludf.DUMMYFUNCTION("""COMPUTED_VALUE"""),"")</f>
        <v/>
      </c>
      <c r="X1831" s="143" t="str">
        <f t="shared" si="2"/>
        <v/>
      </c>
      <c r="Y1831" s="139" t="str">
        <f>IFERROR(__xludf.DUMMYFUNCTION("""COMPUTED_VALUE"""),"")</f>
        <v/>
      </c>
      <c r="Z1831" s="141" t="str">
        <f>IFERROR(__xludf.DUMMYFUNCTION("""COMPUTED_VALUE"""),"")</f>
        <v/>
      </c>
    </row>
    <row r="1832">
      <c r="D1832" s="136" t="str">
        <f t="shared" si="3"/>
        <v/>
      </c>
      <c r="E1832" s="152"/>
      <c r="F1832" s="106" t="s">
        <v>133</v>
      </c>
      <c r="G1832" s="152"/>
      <c r="H1832" s="106" t="s">
        <v>133</v>
      </c>
      <c r="J1832" s="139" t="s">
        <v>133</v>
      </c>
      <c r="K1832" s="136" t="s">
        <v>133</v>
      </c>
      <c r="L1832" s="153"/>
      <c r="M1832" s="136" t="str">
        <f t="shared" si="1"/>
        <v/>
      </c>
      <c r="O1832" s="141" t="s">
        <v>133</v>
      </c>
      <c r="P1832" s="136" t="str">
        <f>IFERROR(__xludf.DUMMYFUNCTION("""COMPUTED_VALUE"""),"")</f>
        <v/>
      </c>
      <c r="Q1832" s="136" t="str">
        <f>IFERROR(__xludf.DUMMYFUNCTION("""COMPUTED_VALUE"""),"")</f>
        <v/>
      </c>
      <c r="R1832" s="106" t="str">
        <f>IFERROR(__xludf.DUMMYFUNCTION("""COMPUTED_VALUE"""),"")</f>
        <v/>
      </c>
      <c r="S1832" s="106" t="str">
        <f>IFERROR(__xludf.DUMMYFUNCTION("""COMPUTED_VALUE"""),"")</f>
        <v/>
      </c>
      <c r="T1832" s="139" t="str">
        <f>IFERROR(__xludf.DUMMYFUNCTION("""COMPUTED_VALUE"""),"")</f>
        <v/>
      </c>
      <c r="U1832" s="139" t="str">
        <f>IFERROR(__xludf.DUMMYFUNCTION("""COMPUTED_VALUE"""),"")</f>
        <v/>
      </c>
      <c r="V1832" s="136" t="str">
        <f>IFERROR(__xludf.DUMMYFUNCTION("""COMPUTED_VALUE"""),"")</f>
        <v/>
      </c>
      <c r="W1832" s="106" t="str">
        <f>IFERROR(__xludf.DUMMYFUNCTION("""COMPUTED_VALUE"""),"")</f>
        <v/>
      </c>
      <c r="X1832" s="143" t="str">
        <f t="shared" si="2"/>
        <v/>
      </c>
      <c r="Y1832" s="139" t="str">
        <f>IFERROR(__xludf.DUMMYFUNCTION("""COMPUTED_VALUE"""),"")</f>
        <v/>
      </c>
      <c r="Z1832" s="141" t="str">
        <f>IFERROR(__xludf.DUMMYFUNCTION("""COMPUTED_VALUE"""),"")</f>
        <v/>
      </c>
    </row>
    <row r="1833">
      <c r="D1833" s="136" t="str">
        <f t="shared" si="3"/>
        <v/>
      </c>
      <c r="E1833" s="152"/>
      <c r="F1833" s="106" t="s">
        <v>133</v>
      </c>
      <c r="G1833" s="152"/>
      <c r="H1833" s="106" t="s">
        <v>133</v>
      </c>
      <c r="J1833" s="139" t="s">
        <v>133</v>
      </c>
      <c r="K1833" s="136" t="s">
        <v>133</v>
      </c>
      <c r="L1833" s="153"/>
      <c r="M1833" s="136" t="str">
        <f t="shared" si="1"/>
        <v/>
      </c>
      <c r="O1833" s="141" t="s">
        <v>133</v>
      </c>
      <c r="P1833" s="136" t="str">
        <f>IFERROR(__xludf.DUMMYFUNCTION("""COMPUTED_VALUE"""),"")</f>
        <v/>
      </c>
      <c r="Q1833" s="136" t="str">
        <f>IFERROR(__xludf.DUMMYFUNCTION("""COMPUTED_VALUE"""),"")</f>
        <v/>
      </c>
      <c r="R1833" s="106" t="str">
        <f>IFERROR(__xludf.DUMMYFUNCTION("""COMPUTED_VALUE"""),"")</f>
        <v/>
      </c>
      <c r="S1833" s="106" t="str">
        <f>IFERROR(__xludf.DUMMYFUNCTION("""COMPUTED_VALUE"""),"")</f>
        <v/>
      </c>
      <c r="T1833" s="139" t="str">
        <f>IFERROR(__xludf.DUMMYFUNCTION("""COMPUTED_VALUE"""),"")</f>
        <v/>
      </c>
      <c r="U1833" s="139" t="str">
        <f>IFERROR(__xludf.DUMMYFUNCTION("""COMPUTED_VALUE"""),"")</f>
        <v/>
      </c>
      <c r="V1833" s="136" t="str">
        <f>IFERROR(__xludf.DUMMYFUNCTION("""COMPUTED_VALUE"""),"")</f>
        <v/>
      </c>
      <c r="W1833" s="106" t="str">
        <f>IFERROR(__xludf.DUMMYFUNCTION("""COMPUTED_VALUE"""),"")</f>
        <v/>
      </c>
      <c r="X1833" s="143" t="str">
        <f t="shared" si="2"/>
        <v/>
      </c>
      <c r="Y1833" s="139" t="str">
        <f>IFERROR(__xludf.DUMMYFUNCTION("""COMPUTED_VALUE"""),"")</f>
        <v/>
      </c>
      <c r="Z1833" s="141" t="str">
        <f>IFERROR(__xludf.DUMMYFUNCTION("""COMPUTED_VALUE"""),"")</f>
        <v/>
      </c>
    </row>
    <row r="1834">
      <c r="D1834" s="136" t="str">
        <f t="shared" si="3"/>
        <v/>
      </c>
      <c r="E1834" s="152"/>
      <c r="F1834" s="106" t="s">
        <v>133</v>
      </c>
      <c r="G1834" s="152"/>
      <c r="H1834" s="106" t="s">
        <v>133</v>
      </c>
      <c r="J1834" s="139" t="s">
        <v>133</v>
      </c>
      <c r="K1834" s="136" t="s">
        <v>133</v>
      </c>
      <c r="L1834" s="153"/>
      <c r="M1834" s="136" t="str">
        <f t="shared" si="1"/>
        <v/>
      </c>
      <c r="O1834" s="141" t="s">
        <v>133</v>
      </c>
      <c r="P1834" s="136" t="str">
        <f>IFERROR(__xludf.DUMMYFUNCTION("""COMPUTED_VALUE"""),"")</f>
        <v/>
      </c>
      <c r="Q1834" s="136" t="str">
        <f>IFERROR(__xludf.DUMMYFUNCTION("""COMPUTED_VALUE"""),"")</f>
        <v/>
      </c>
      <c r="R1834" s="106" t="str">
        <f>IFERROR(__xludf.DUMMYFUNCTION("""COMPUTED_VALUE"""),"")</f>
        <v/>
      </c>
      <c r="S1834" s="106" t="str">
        <f>IFERROR(__xludf.DUMMYFUNCTION("""COMPUTED_VALUE"""),"")</f>
        <v/>
      </c>
      <c r="T1834" s="139" t="str">
        <f>IFERROR(__xludf.DUMMYFUNCTION("""COMPUTED_VALUE"""),"")</f>
        <v/>
      </c>
      <c r="U1834" s="139" t="str">
        <f>IFERROR(__xludf.DUMMYFUNCTION("""COMPUTED_VALUE"""),"")</f>
        <v/>
      </c>
      <c r="V1834" s="136" t="str">
        <f>IFERROR(__xludf.DUMMYFUNCTION("""COMPUTED_VALUE"""),"")</f>
        <v/>
      </c>
      <c r="W1834" s="106" t="str">
        <f>IFERROR(__xludf.DUMMYFUNCTION("""COMPUTED_VALUE"""),"")</f>
        <v/>
      </c>
      <c r="X1834" s="143" t="str">
        <f t="shared" si="2"/>
        <v/>
      </c>
      <c r="Y1834" s="139" t="str">
        <f>IFERROR(__xludf.DUMMYFUNCTION("""COMPUTED_VALUE"""),"")</f>
        <v/>
      </c>
      <c r="Z1834" s="141" t="str">
        <f>IFERROR(__xludf.DUMMYFUNCTION("""COMPUTED_VALUE"""),"")</f>
        <v/>
      </c>
    </row>
    <row r="1835">
      <c r="D1835" s="136" t="str">
        <f t="shared" si="3"/>
        <v/>
      </c>
      <c r="E1835" s="152"/>
      <c r="F1835" s="106" t="s">
        <v>133</v>
      </c>
      <c r="G1835" s="152"/>
      <c r="H1835" s="106" t="s">
        <v>133</v>
      </c>
      <c r="J1835" s="139" t="s">
        <v>133</v>
      </c>
      <c r="K1835" s="136" t="s">
        <v>133</v>
      </c>
      <c r="L1835" s="153"/>
      <c r="M1835" s="136" t="str">
        <f t="shared" si="1"/>
        <v/>
      </c>
      <c r="O1835" s="141" t="s">
        <v>133</v>
      </c>
      <c r="P1835" s="136" t="str">
        <f>IFERROR(__xludf.DUMMYFUNCTION("""COMPUTED_VALUE"""),"")</f>
        <v/>
      </c>
      <c r="Q1835" s="136" t="str">
        <f>IFERROR(__xludf.DUMMYFUNCTION("""COMPUTED_VALUE"""),"")</f>
        <v/>
      </c>
      <c r="R1835" s="106" t="str">
        <f>IFERROR(__xludf.DUMMYFUNCTION("""COMPUTED_VALUE"""),"")</f>
        <v/>
      </c>
      <c r="S1835" s="106" t="str">
        <f>IFERROR(__xludf.DUMMYFUNCTION("""COMPUTED_VALUE"""),"")</f>
        <v/>
      </c>
      <c r="T1835" s="139" t="str">
        <f>IFERROR(__xludf.DUMMYFUNCTION("""COMPUTED_VALUE"""),"")</f>
        <v/>
      </c>
      <c r="U1835" s="139" t="str">
        <f>IFERROR(__xludf.DUMMYFUNCTION("""COMPUTED_VALUE"""),"")</f>
        <v/>
      </c>
      <c r="V1835" s="136" t="str">
        <f>IFERROR(__xludf.DUMMYFUNCTION("""COMPUTED_VALUE"""),"")</f>
        <v/>
      </c>
      <c r="W1835" s="106" t="str">
        <f>IFERROR(__xludf.DUMMYFUNCTION("""COMPUTED_VALUE"""),"")</f>
        <v/>
      </c>
      <c r="X1835" s="143" t="str">
        <f t="shared" si="2"/>
        <v/>
      </c>
      <c r="Y1835" s="139" t="str">
        <f>IFERROR(__xludf.DUMMYFUNCTION("""COMPUTED_VALUE"""),"")</f>
        <v/>
      </c>
      <c r="Z1835" s="141" t="str">
        <f>IFERROR(__xludf.DUMMYFUNCTION("""COMPUTED_VALUE"""),"")</f>
        <v/>
      </c>
    </row>
    <row r="1836">
      <c r="D1836" s="136" t="str">
        <f t="shared" si="3"/>
        <v/>
      </c>
      <c r="E1836" s="152"/>
      <c r="F1836" s="106" t="s">
        <v>133</v>
      </c>
      <c r="G1836" s="152"/>
      <c r="H1836" s="106" t="s">
        <v>133</v>
      </c>
      <c r="J1836" s="139" t="s">
        <v>133</v>
      </c>
      <c r="K1836" s="136" t="s">
        <v>133</v>
      </c>
      <c r="L1836" s="153"/>
      <c r="M1836" s="136" t="str">
        <f t="shared" si="1"/>
        <v/>
      </c>
      <c r="O1836" s="141" t="s">
        <v>133</v>
      </c>
      <c r="P1836" s="136" t="str">
        <f>IFERROR(__xludf.DUMMYFUNCTION("""COMPUTED_VALUE"""),"")</f>
        <v/>
      </c>
      <c r="Q1836" s="136" t="str">
        <f>IFERROR(__xludf.DUMMYFUNCTION("""COMPUTED_VALUE"""),"")</f>
        <v/>
      </c>
      <c r="R1836" s="106" t="str">
        <f>IFERROR(__xludf.DUMMYFUNCTION("""COMPUTED_VALUE"""),"")</f>
        <v/>
      </c>
      <c r="S1836" s="106" t="str">
        <f>IFERROR(__xludf.DUMMYFUNCTION("""COMPUTED_VALUE"""),"")</f>
        <v/>
      </c>
      <c r="T1836" s="139" t="str">
        <f>IFERROR(__xludf.DUMMYFUNCTION("""COMPUTED_VALUE"""),"")</f>
        <v/>
      </c>
      <c r="U1836" s="139" t="str">
        <f>IFERROR(__xludf.DUMMYFUNCTION("""COMPUTED_VALUE"""),"")</f>
        <v/>
      </c>
      <c r="V1836" s="136" t="str">
        <f>IFERROR(__xludf.DUMMYFUNCTION("""COMPUTED_VALUE"""),"")</f>
        <v/>
      </c>
      <c r="W1836" s="106" t="str">
        <f>IFERROR(__xludf.DUMMYFUNCTION("""COMPUTED_VALUE"""),"")</f>
        <v/>
      </c>
      <c r="X1836" s="143" t="str">
        <f t="shared" si="2"/>
        <v/>
      </c>
      <c r="Y1836" s="139" t="str">
        <f>IFERROR(__xludf.DUMMYFUNCTION("""COMPUTED_VALUE"""),"")</f>
        <v/>
      </c>
      <c r="Z1836" s="141" t="str">
        <f>IFERROR(__xludf.DUMMYFUNCTION("""COMPUTED_VALUE"""),"")</f>
        <v/>
      </c>
    </row>
    <row r="1837">
      <c r="D1837" s="136" t="str">
        <f t="shared" si="3"/>
        <v/>
      </c>
      <c r="E1837" s="152"/>
      <c r="F1837" s="106" t="s">
        <v>133</v>
      </c>
      <c r="G1837" s="152"/>
      <c r="H1837" s="106" t="s">
        <v>133</v>
      </c>
      <c r="J1837" s="139" t="s">
        <v>133</v>
      </c>
      <c r="K1837" s="136" t="s">
        <v>133</v>
      </c>
      <c r="L1837" s="153"/>
      <c r="M1837" s="136" t="str">
        <f t="shared" si="1"/>
        <v/>
      </c>
      <c r="O1837" s="141" t="s">
        <v>133</v>
      </c>
      <c r="P1837" s="136" t="str">
        <f>IFERROR(__xludf.DUMMYFUNCTION("""COMPUTED_VALUE"""),"")</f>
        <v/>
      </c>
      <c r="Q1837" s="136" t="str">
        <f>IFERROR(__xludf.DUMMYFUNCTION("""COMPUTED_VALUE"""),"")</f>
        <v/>
      </c>
      <c r="R1837" s="106" t="str">
        <f>IFERROR(__xludf.DUMMYFUNCTION("""COMPUTED_VALUE"""),"")</f>
        <v/>
      </c>
      <c r="S1837" s="106" t="str">
        <f>IFERROR(__xludf.DUMMYFUNCTION("""COMPUTED_VALUE"""),"")</f>
        <v/>
      </c>
      <c r="T1837" s="139" t="str">
        <f>IFERROR(__xludf.DUMMYFUNCTION("""COMPUTED_VALUE"""),"")</f>
        <v/>
      </c>
      <c r="U1837" s="139" t="str">
        <f>IFERROR(__xludf.DUMMYFUNCTION("""COMPUTED_VALUE"""),"")</f>
        <v/>
      </c>
      <c r="V1837" s="136" t="str">
        <f>IFERROR(__xludf.DUMMYFUNCTION("""COMPUTED_VALUE"""),"")</f>
        <v/>
      </c>
      <c r="W1837" s="106" t="str">
        <f>IFERROR(__xludf.DUMMYFUNCTION("""COMPUTED_VALUE"""),"")</f>
        <v/>
      </c>
      <c r="X1837" s="143" t="str">
        <f t="shared" si="2"/>
        <v/>
      </c>
      <c r="Y1837" s="139" t="str">
        <f>IFERROR(__xludf.DUMMYFUNCTION("""COMPUTED_VALUE"""),"")</f>
        <v/>
      </c>
      <c r="Z1837" s="141" t="str">
        <f>IFERROR(__xludf.DUMMYFUNCTION("""COMPUTED_VALUE"""),"")</f>
        <v/>
      </c>
    </row>
    <row r="1838">
      <c r="D1838" s="136" t="str">
        <f t="shared" si="3"/>
        <v/>
      </c>
      <c r="E1838" s="152"/>
      <c r="F1838" s="106" t="s">
        <v>133</v>
      </c>
      <c r="G1838" s="152"/>
      <c r="H1838" s="106" t="s">
        <v>133</v>
      </c>
      <c r="J1838" s="139" t="s">
        <v>133</v>
      </c>
      <c r="K1838" s="136" t="s">
        <v>133</v>
      </c>
      <c r="L1838" s="153"/>
      <c r="M1838" s="136" t="str">
        <f t="shared" si="1"/>
        <v/>
      </c>
      <c r="O1838" s="141" t="s">
        <v>133</v>
      </c>
      <c r="P1838" s="136" t="str">
        <f>IFERROR(__xludf.DUMMYFUNCTION("""COMPUTED_VALUE"""),"")</f>
        <v/>
      </c>
      <c r="Q1838" s="136" t="str">
        <f>IFERROR(__xludf.DUMMYFUNCTION("""COMPUTED_VALUE"""),"")</f>
        <v/>
      </c>
      <c r="R1838" s="106" t="str">
        <f>IFERROR(__xludf.DUMMYFUNCTION("""COMPUTED_VALUE"""),"")</f>
        <v/>
      </c>
      <c r="S1838" s="106" t="str">
        <f>IFERROR(__xludf.DUMMYFUNCTION("""COMPUTED_VALUE"""),"")</f>
        <v/>
      </c>
      <c r="T1838" s="139" t="str">
        <f>IFERROR(__xludf.DUMMYFUNCTION("""COMPUTED_VALUE"""),"")</f>
        <v/>
      </c>
      <c r="U1838" s="139" t="str">
        <f>IFERROR(__xludf.DUMMYFUNCTION("""COMPUTED_VALUE"""),"")</f>
        <v/>
      </c>
      <c r="V1838" s="136" t="str">
        <f>IFERROR(__xludf.DUMMYFUNCTION("""COMPUTED_VALUE"""),"")</f>
        <v/>
      </c>
      <c r="W1838" s="106" t="str">
        <f>IFERROR(__xludf.DUMMYFUNCTION("""COMPUTED_VALUE"""),"")</f>
        <v/>
      </c>
      <c r="X1838" s="143" t="str">
        <f t="shared" si="2"/>
        <v/>
      </c>
      <c r="Y1838" s="139" t="str">
        <f>IFERROR(__xludf.DUMMYFUNCTION("""COMPUTED_VALUE"""),"")</f>
        <v/>
      </c>
      <c r="Z1838" s="141" t="str">
        <f>IFERROR(__xludf.DUMMYFUNCTION("""COMPUTED_VALUE"""),"")</f>
        <v/>
      </c>
    </row>
    <row r="1839">
      <c r="D1839" s="136" t="str">
        <f t="shared" si="3"/>
        <v/>
      </c>
      <c r="E1839" s="152"/>
      <c r="F1839" s="106" t="s">
        <v>133</v>
      </c>
      <c r="G1839" s="152"/>
      <c r="H1839" s="106" t="s">
        <v>133</v>
      </c>
      <c r="J1839" s="139" t="s">
        <v>133</v>
      </c>
      <c r="K1839" s="136" t="s">
        <v>133</v>
      </c>
      <c r="L1839" s="153"/>
      <c r="M1839" s="136" t="str">
        <f t="shared" si="1"/>
        <v/>
      </c>
      <c r="O1839" s="141" t="s">
        <v>133</v>
      </c>
      <c r="P1839" s="136" t="str">
        <f>IFERROR(__xludf.DUMMYFUNCTION("""COMPUTED_VALUE"""),"")</f>
        <v/>
      </c>
      <c r="Q1839" s="136" t="str">
        <f>IFERROR(__xludf.DUMMYFUNCTION("""COMPUTED_VALUE"""),"")</f>
        <v/>
      </c>
      <c r="R1839" s="106" t="str">
        <f>IFERROR(__xludf.DUMMYFUNCTION("""COMPUTED_VALUE"""),"")</f>
        <v/>
      </c>
      <c r="S1839" s="106" t="str">
        <f>IFERROR(__xludf.DUMMYFUNCTION("""COMPUTED_VALUE"""),"")</f>
        <v/>
      </c>
      <c r="T1839" s="139" t="str">
        <f>IFERROR(__xludf.DUMMYFUNCTION("""COMPUTED_VALUE"""),"")</f>
        <v/>
      </c>
      <c r="U1839" s="139" t="str">
        <f>IFERROR(__xludf.DUMMYFUNCTION("""COMPUTED_VALUE"""),"")</f>
        <v/>
      </c>
      <c r="V1839" s="136" t="str">
        <f>IFERROR(__xludf.DUMMYFUNCTION("""COMPUTED_VALUE"""),"")</f>
        <v/>
      </c>
      <c r="W1839" s="106" t="str">
        <f>IFERROR(__xludf.DUMMYFUNCTION("""COMPUTED_VALUE"""),"")</f>
        <v/>
      </c>
      <c r="X1839" s="143" t="str">
        <f t="shared" si="2"/>
        <v/>
      </c>
      <c r="Y1839" s="139" t="str">
        <f>IFERROR(__xludf.DUMMYFUNCTION("""COMPUTED_VALUE"""),"")</f>
        <v/>
      </c>
      <c r="Z1839" s="141" t="str">
        <f>IFERROR(__xludf.DUMMYFUNCTION("""COMPUTED_VALUE"""),"")</f>
        <v/>
      </c>
    </row>
    <row r="1840">
      <c r="D1840" s="136" t="str">
        <f t="shared" si="3"/>
        <v/>
      </c>
      <c r="E1840" s="152"/>
      <c r="F1840" s="106" t="s">
        <v>133</v>
      </c>
      <c r="G1840" s="152"/>
      <c r="H1840" s="106" t="s">
        <v>133</v>
      </c>
      <c r="J1840" s="139" t="s">
        <v>133</v>
      </c>
      <c r="K1840" s="136" t="s">
        <v>133</v>
      </c>
      <c r="L1840" s="153"/>
      <c r="M1840" s="136" t="str">
        <f t="shared" si="1"/>
        <v/>
      </c>
      <c r="O1840" s="141" t="s">
        <v>133</v>
      </c>
      <c r="P1840" s="136" t="str">
        <f>IFERROR(__xludf.DUMMYFUNCTION("""COMPUTED_VALUE"""),"")</f>
        <v/>
      </c>
      <c r="Q1840" s="136" t="str">
        <f>IFERROR(__xludf.DUMMYFUNCTION("""COMPUTED_VALUE"""),"")</f>
        <v/>
      </c>
      <c r="R1840" s="106" t="str">
        <f>IFERROR(__xludf.DUMMYFUNCTION("""COMPUTED_VALUE"""),"")</f>
        <v/>
      </c>
      <c r="S1840" s="106" t="str">
        <f>IFERROR(__xludf.DUMMYFUNCTION("""COMPUTED_VALUE"""),"")</f>
        <v/>
      </c>
      <c r="T1840" s="139" t="str">
        <f>IFERROR(__xludf.DUMMYFUNCTION("""COMPUTED_VALUE"""),"")</f>
        <v/>
      </c>
      <c r="U1840" s="139" t="str">
        <f>IFERROR(__xludf.DUMMYFUNCTION("""COMPUTED_VALUE"""),"")</f>
        <v/>
      </c>
      <c r="V1840" s="136" t="str">
        <f>IFERROR(__xludf.DUMMYFUNCTION("""COMPUTED_VALUE"""),"")</f>
        <v/>
      </c>
      <c r="W1840" s="106" t="str">
        <f>IFERROR(__xludf.DUMMYFUNCTION("""COMPUTED_VALUE"""),"")</f>
        <v/>
      </c>
      <c r="X1840" s="143" t="str">
        <f t="shared" si="2"/>
        <v/>
      </c>
      <c r="Y1840" s="139" t="str">
        <f>IFERROR(__xludf.DUMMYFUNCTION("""COMPUTED_VALUE"""),"")</f>
        <v/>
      </c>
      <c r="Z1840" s="141" t="str">
        <f>IFERROR(__xludf.DUMMYFUNCTION("""COMPUTED_VALUE"""),"")</f>
        <v/>
      </c>
    </row>
    <row r="1841">
      <c r="D1841" s="136" t="str">
        <f t="shared" si="3"/>
        <v/>
      </c>
      <c r="E1841" s="152"/>
      <c r="F1841" s="106" t="s">
        <v>133</v>
      </c>
      <c r="G1841" s="152"/>
      <c r="H1841" s="106" t="s">
        <v>133</v>
      </c>
      <c r="J1841" s="139" t="s">
        <v>133</v>
      </c>
      <c r="K1841" s="136" t="s">
        <v>133</v>
      </c>
      <c r="L1841" s="153"/>
      <c r="M1841" s="136" t="str">
        <f t="shared" si="1"/>
        <v/>
      </c>
      <c r="O1841" s="141" t="s">
        <v>133</v>
      </c>
      <c r="P1841" s="136" t="str">
        <f>IFERROR(__xludf.DUMMYFUNCTION("""COMPUTED_VALUE"""),"")</f>
        <v/>
      </c>
      <c r="Q1841" s="136" t="str">
        <f>IFERROR(__xludf.DUMMYFUNCTION("""COMPUTED_VALUE"""),"")</f>
        <v/>
      </c>
      <c r="R1841" s="106" t="str">
        <f>IFERROR(__xludf.DUMMYFUNCTION("""COMPUTED_VALUE"""),"")</f>
        <v/>
      </c>
      <c r="S1841" s="106" t="str">
        <f>IFERROR(__xludf.DUMMYFUNCTION("""COMPUTED_VALUE"""),"")</f>
        <v/>
      </c>
      <c r="T1841" s="139" t="str">
        <f>IFERROR(__xludf.DUMMYFUNCTION("""COMPUTED_VALUE"""),"")</f>
        <v/>
      </c>
      <c r="U1841" s="139" t="str">
        <f>IFERROR(__xludf.DUMMYFUNCTION("""COMPUTED_VALUE"""),"")</f>
        <v/>
      </c>
      <c r="V1841" s="136" t="str">
        <f>IFERROR(__xludf.DUMMYFUNCTION("""COMPUTED_VALUE"""),"")</f>
        <v/>
      </c>
      <c r="W1841" s="106" t="str">
        <f>IFERROR(__xludf.DUMMYFUNCTION("""COMPUTED_VALUE"""),"")</f>
        <v/>
      </c>
      <c r="X1841" s="143" t="str">
        <f t="shared" si="2"/>
        <v/>
      </c>
      <c r="Y1841" s="139" t="str">
        <f>IFERROR(__xludf.DUMMYFUNCTION("""COMPUTED_VALUE"""),"")</f>
        <v/>
      </c>
      <c r="Z1841" s="141" t="str">
        <f>IFERROR(__xludf.DUMMYFUNCTION("""COMPUTED_VALUE"""),"")</f>
        <v/>
      </c>
    </row>
    <row r="1842">
      <c r="D1842" s="136" t="str">
        <f t="shared" si="3"/>
        <v/>
      </c>
      <c r="E1842" s="152"/>
      <c r="F1842" s="106" t="s">
        <v>133</v>
      </c>
      <c r="G1842" s="152"/>
      <c r="H1842" s="106" t="s">
        <v>133</v>
      </c>
      <c r="J1842" s="139" t="s">
        <v>133</v>
      </c>
      <c r="K1842" s="136" t="s">
        <v>133</v>
      </c>
      <c r="L1842" s="153"/>
      <c r="M1842" s="136" t="str">
        <f t="shared" si="1"/>
        <v/>
      </c>
      <c r="O1842" s="141" t="s">
        <v>133</v>
      </c>
      <c r="P1842" s="136" t="str">
        <f>IFERROR(__xludf.DUMMYFUNCTION("""COMPUTED_VALUE"""),"")</f>
        <v/>
      </c>
      <c r="Q1842" s="136" t="str">
        <f>IFERROR(__xludf.DUMMYFUNCTION("""COMPUTED_VALUE"""),"")</f>
        <v/>
      </c>
      <c r="R1842" s="106" t="str">
        <f>IFERROR(__xludf.DUMMYFUNCTION("""COMPUTED_VALUE"""),"")</f>
        <v/>
      </c>
      <c r="S1842" s="106" t="str">
        <f>IFERROR(__xludf.DUMMYFUNCTION("""COMPUTED_VALUE"""),"")</f>
        <v/>
      </c>
      <c r="T1842" s="139" t="str">
        <f>IFERROR(__xludf.DUMMYFUNCTION("""COMPUTED_VALUE"""),"")</f>
        <v/>
      </c>
      <c r="U1842" s="139" t="str">
        <f>IFERROR(__xludf.DUMMYFUNCTION("""COMPUTED_VALUE"""),"")</f>
        <v/>
      </c>
      <c r="V1842" s="136" t="str">
        <f>IFERROR(__xludf.DUMMYFUNCTION("""COMPUTED_VALUE"""),"")</f>
        <v/>
      </c>
      <c r="W1842" s="106" t="str">
        <f>IFERROR(__xludf.DUMMYFUNCTION("""COMPUTED_VALUE"""),"")</f>
        <v/>
      </c>
      <c r="X1842" s="143" t="str">
        <f t="shared" si="2"/>
        <v/>
      </c>
      <c r="Y1842" s="139" t="str">
        <f>IFERROR(__xludf.DUMMYFUNCTION("""COMPUTED_VALUE"""),"")</f>
        <v/>
      </c>
      <c r="Z1842" s="141" t="str">
        <f>IFERROR(__xludf.DUMMYFUNCTION("""COMPUTED_VALUE"""),"")</f>
        <v/>
      </c>
    </row>
    <row r="1843">
      <c r="D1843" s="136" t="str">
        <f t="shared" si="3"/>
        <v/>
      </c>
      <c r="E1843" s="152"/>
      <c r="F1843" s="106" t="s">
        <v>133</v>
      </c>
      <c r="G1843" s="152"/>
      <c r="H1843" s="106" t="s">
        <v>133</v>
      </c>
      <c r="J1843" s="139" t="s">
        <v>133</v>
      </c>
      <c r="K1843" s="136" t="s">
        <v>133</v>
      </c>
      <c r="L1843" s="153"/>
      <c r="M1843" s="136" t="str">
        <f t="shared" si="1"/>
        <v/>
      </c>
      <c r="O1843" s="141" t="s">
        <v>133</v>
      </c>
      <c r="P1843" s="136" t="str">
        <f>IFERROR(__xludf.DUMMYFUNCTION("""COMPUTED_VALUE"""),"")</f>
        <v/>
      </c>
      <c r="Q1843" s="136" t="str">
        <f>IFERROR(__xludf.DUMMYFUNCTION("""COMPUTED_VALUE"""),"")</f>
        <v/>
      </c>
      <c r="R1843" s="106" t="str">
        <f>IFERROR(__xludf.DUMMYFUNCTION("""COMPUTED_VALUE"""),"")</f>
        <v/>
      </c>
      <c r="S1843" s="106" t="str">
        <f>IFERROR(__xludf.DUMMYFUNCTION("""COMPUTED_VALUE"""),"")</f>
        <v/>
      </c>
      <c r="T1843" s="139" t="str">
        <f>IFERROR(__xludf.DUMMYFUNCTION("""COMPUTED_VALUE"""),"")</f>
        <v/>
      </c>
      <c r="U1843" s="139" t="str">
        <f>IFERROR(__xludf.DUMMYFUNCTION("""COMPUTED_VALUE"""),"")</f>
        <v/>
      </c>
      <c r="V1843" s="136" t="str">
        <f>IFERROR(__xludf.DUMMYFUNCTION("""COMPUTED_VALUE"""),"")</f>
        <v/>
      </c>
      <c r="W1843" s="106" t="str">
        <f>IFERROR(__xludf.DUMMYFUNCTION("""COMPUTED_VALUE"""),"")</f>
        <v/>
      </c>
      <c r="X1843" s="143" t="str">
        <f t="shared" si="2"/>
        <v/>
      </c>
      <c r="Y1843" s="139" t="str">
        <f>IFERROR(__xludf.DUMMYFUNCTION("""COMPUTED_VALUE"""),"")</f>
        <v/>
      </c>
      <c r="Z1843" s="141" t="str">
        <f>IFERROR(__xludf.DUMMYFUNCTION("""COMPUTED_VALUE"""),"")</f>
        <v/>
      </c>
    </row>
    <row r="1844">
      <c r="D1844" s="136" t="str">
        <f t="shared" si="3"/>
        <v/>
      </c>
      <c r="E1844" s="152"/>
      <c r="F1844" s="106" t="s">
        <v>133</v>
      </c>
      <c r="G1844" s="152"/>
      <c r="H1844" s="106" t="s">
        <v>133</v>
      </c>
      <c r="J1844" s="139" t="s">
        <v>133</v>
      </c>
      <c r="K1844" s="136" t="s">
        <v>133</v>
      </c>
      <c r="L1844" s="153"/>
      <c r="M1844" s="136" t="str">
        <f t="shared" si="1"/>
        <v/>
      </c>
      <c r="O1844" s="141" t="s">
        <v>133</v>
      </c>
      <c r="P1844" s="136" t="str">
        <f>IFERROR(__xludf.DUMMYFUNCTION("""COMPUTED_VALUE"""),"")</f>
        <v/>
      </c>
      <c r="Q1844" s="136" t="str">
        <f>IFERROR(__xludf.DUMMYFUNCTION("""COMPUTED_VALUE"""),"")</f>
        <v/>
      </c>
      <c r="R1844" s="106" t="str">
        <f>IFERROR(__xludf.DUMMYFUNCTION("""COMPUTED_VALUE"""),"")</f>
        <v/>
      </c>
      <c r="S1844" s="106" t="str">
        <f>IFERROR(__xludf.DUMMYFUNCTION("""COMPUTED_VALUE"""),"")</f>
        <v/>
      </c>
      <c r="T1844" s="139" t="str">
        <f>IFERROR(__xludf.DUMMYFUNCTION("""COMPUTED_VALUE"""),"")</f>
        <v/>
      </c>
      <c r="U1844" s="139" t="str">
        <f>IFERROR(__xludf.DUMMYFUNCTION("""COMPUTED_VALUE"""),"")</f>
        <v/>
      </c>
      <c r="V1844" s="136" t="str">
        <f>IFERROR(__xludf.DUMMYFUNCTION("""COMPUTED_VALUE"""),"")</f>
        <v/>
      </c>
      <c r="W1844" s="106" t="str">
        <f>IFERROR(__xludf.DUMMYFUNCTION("""COMPUTED_VALUE"""),"")</f>
        <v/>
      </c>
      <c r="X1844" s="143" t="str">
        <f t="shared" si="2"/>
        <v/>
      </c>
      <c r="Y1844" s="139" t="str">
        <f>IFERROR(__xludf.DUMMYFUNCTION("""COMPUTED_VALUE"""),"")</f>
        <v/>
      </c>
      <c r="Z1844" s="141" t="str">
        <f>IFERROR(__xludf.DUMMYFUNCTION("""COMPUTED_VALUE"""),"")</f>
        <v/>
      </c>
    </row>
    <row r="1845">
      <c r="D1845" s="136" t="str">
        <f t="shared" si="3"/>
        <v/>
      </c>
      <c r="E1845" s="152"/>
      <c r="F1845" s="106" t="s">
        <v>133</v>
      </c>
      <c r="G1845" s="152"/>
      <c r="H1845" s="106" t="s">
        <v>133</v>
      </c>
      <c r="J1845" s="139" t="s">
        <v>133</v>
      </c>
      <c r="K1845" s="136" t="s">
        <v>133</v>
      </c>
      <c r="L1845" s="153"/>
      <c r="M1845" s="136" t="str">
        <f t="shared" si="1"/>
        <v/>
      </c>
      <c r="O1845" s="141" t="s">
        <v>133</v>
      </c>
      <c r="P1845" s="136" t="str">
        <f>IFERROR(__xludf.DUMMYFUNCTION("""COMPUTED_VALUE"""),"")</f>
        <v/>
      </c>
      <c r="Q1845" s="136" t="str">
        <f>IFERROR(__xludf.DUMMYFUNCTION("""COMPUTED_VALUE"""),"")</f>
        <v/>
      </c>
      <c r="R1845" s="106" t="str">
        <f>IFERROR(__xludf.DUMMYFUNCTION("""COMPUTED_VALUE"""),"")</f>
        <v/>
      </c>
      <c r="S1845" s="106" t="str">
        <f>IFERROR(__xludf.DUMMYFUNCTION("""COMPUTED_VALUE"""),"")</f>
        <v/>
      </c>
      <c r="T1845" s="139" t="str">
        <f>IFERROR(__xludf.DUMMYFUNCTION("""COMPUTED_VALUE"""),"")</f>
        <v/>
      </c>
      <c r="U1845" s="139" t="str">
        <f>IFERROR(__xludf.DUMMYFUNCTION("""COMPUTED_VALUE"""),"")</f>
        <v/>
      </c>
      <c r="V1845" s="136" t="str">
        <f>IFERROR(__xludf.DUMMYFUNCTION("""COMPUTED_VALUE"""),"")</f>
        <v/>
      </c>
      <c r="W1845" s="106" t="str">
        <f>IFERROR(__xludf.DUMMYFUNCTION("""COMPUTED_VALUE"""),"")</f>
        <v/>
      </c>
      <c r="X1845" s="143" t="str">
        <f t="shared" si="2"/>
        <v/>
      </c>
      <c r="Y1845" s="139" t="str">
        <f>IFERROR(__xludf.DUMMYFUNCTION("""COMPUTED_VALUE"""),"")</f>
        <v/>
      </c>
      <c r="Z1845" s="141" t="str">
        <f>IFERROR(__xludf.DUMMYFUNCTION("""COMPUTED_VALUE"""),"")</f>
        <v/>
      </c>
    </row>
    <row r="1846">
      <c r="D1846" s="136" t="str">
        <f t="shared" si="3"/>
        <v/>
      </c>
      <c r="E1846" s="152"/>
      <c r="F1846" s="106" t="s">
        <v>133</v>
      </c>
      <c r="G1846" s="152"/>
      <c r="H1846" s="106" t="s">
        <v>133</v>
      </c>
      <c r="J1846" s="139" t="s">
        <v>133</v>
      </c>
      <c r="K1846" s="136" t="s">
        <v>133</v>
      </c>
      <c r="L1846" s="153"/>
      <c r="M1846" s="136" t="str">
        <f t="shared" si="1"/>
        <v/>
      </c>
      <c r="O1846" s="141" t="s">
        <v>133</v>
      </c>
      <c r="P1846" s="136" t="str">
        <f>IFERROR(__xludf.DUMMYFUNCTION("""COMPUTED_VALUE"""),"")</f>
        <v/>
      </c>
      <c r="Q1846" s="136" t="str">
        <f>IFERROR(__xludf.DUMMYFUNCTION("""COMPUTED_VALUE"""),"")</f>
        <v/>
      </c>
      <c r="R1846" s="106" t="str">
        <f>IFERROR(__xludf.DUMMYFUNCTION("""COMPUTED_VALUE"""),"")</f>
        <v/>
      </c>
      <c r="S1846" s="106" t="str">
        <f>IFERROR(__xludf.DUMMYFUNCTION("""COMPUTED_VALUE"""),"")</f>
        <v/>
      </c>
      <c r="T1846" s="139" t="str">
        <f>IFERROR(__xludf.DUMMYFUNCTION("""COMPUTED_VALUE"""),"")</f>
        <v/>
      </c>
      <c r="U1846" s="139" t="str">
        <f>IFERROR(__xludf.DUMMYFUNCTION("""COMPUTED_VALUE"""),"")</f>
        <v/>
      </c>
      <c r="V1846" s="136" t="str">
        <f>IFERROR(__xludf.DUMMYFUNCTION("""COMPUTED_VALUE"""),"")</f>
        <v/>
      </c>
      <c r="W1846" s="106" t="str">
        <f>IFERROR(__xludf.DUMMYFUNCTION("""COMPUTED_VALUE"""),"")</f>
        <v/>
      </c>
      <c r="X1846" s="143" t="str">
        <f t="shared" si="2"/>
        <v/>
      </c>
      <c r="Y1846" s="139" t="str">
        <f>IFERROR(__xludf.DUMMYFUNCTION("""COMPUTED_VALUE"""),"")</f>
        <v/>
      </c>
      <c r="Z1846" s="141" t="str">
        <f>IFERROR(__xludf.DUMMYFUNCTION("""COMPUTED_VALUE"""),"")</f>
        <v/>
      </c>
    </row>
    <row r="1847">
      <c r="D1847" s="136" t="str">
        <f t="shared" si="3"/>
        <v/>
      </c>
      <c r="E1847" s="152"/>
      <c r="F1847" s="106" t="s">
        <v>133</v>
      </c>
      <c r="G1847" s="152"/>
      <c r="H1847" s="106" t="s">
        <v>133</v>
      </c>
      <c r="J1847" s="139" t="s">
        <v>133</v>
      </c>
      <c r="K1847" s="136" t="s">
        <v>133</v>
      </c>
      <c r="L1847" s="153"/>
      <c r="M1847" s="136" t="str">
        <f t="shared" si="1"/>
        <v/>
      </c>
      <c r="O1847" s="141" t="s">
        <v>133</v>
      </c>
      <c r="P1847" s="136" t="str">
        <f>IFERROR(__xludf.DUMMYFUNCTION("""COMPUTED_VALUE"""),"")</f>
        <v/>
      </c>
      <c r="Q1847" s="136" t="str">
        <f>IFERROR(__xludf.DUMMYFUNCTION("""COMPUTED_VALUE"""),"")</f>
        <v/>
      </c>
      <c r="R1847" s="106" t="str">
        <f>IFERROR(__xludf.DUMMYFUNCTION("""COMPUTED_VALUE"""),"")</f>
        <v/>
      </c>
      <c r="S1847" s="106" t="str">
        <f>IFERROR(__xludf.DUMMYFUNCTION("""COMPUTED_VALUE"""),"")</f>
        <v/>
      </c>
      <c r="T1847" s="139" t="str">
        <f>IFERROR(__xludf.DUMMYFUNCTION("""COMPUTED_VALUE"""),"")</f>
        <v/>
      </c>
      <c r="U1847" s="139" t="str">
        <f>IFERROR(__xludf.DUMMYFUNCTION("""COMPUTED_VALUE"""),"")</f>
        <v/>
      </c>
      <c r="V1847" s="136" t="str">
        <f>IFERROR(__xludf.DUMMYFUNCTION("""COMPUTED_VALUE"""),"")</f>
        <v/>
      </c>
      <c r="W1847" s="106" t="str">
        <f>IFERROR(__xludf.DUMMYFUNCTION("""COMPUTED_VALUE"""),"")</f>
        <v/>
      </c>
      <c r="X1847" s="143" t="str">
        <f t="shared" si="2"/>
        <v/>
      </c>
      <c r="Y1847" s="139" t="str">
        <f>IFERROR(__xludf.DUMMYFUNCTION("""COMPUTED_VALUE"""),"")</f>
        <v/>
      </c>
      <c r="Z1847" s="141" t="str">
        <f>IFERROR(__xludf.DUMMYFUNCTION("""COMPUTED_VALUE"""),"")</f>
        <v/>
      </c>
    </row>
    <row r="1848">
      <c r="D1848" s="136" t="str">
        <f t="shared" si="3"/>
        <v/>
      </c>
      <c r="E1848" s="152"/>
      <c r="F1848" s="106" t="s">
        <v>133</v>
      </c>
      <c r="G1848" s="152"/>
      <c r="H1848" s="106" t="s">
        <v>133</v>
      </c>
      <c r="J1848" s="139" t="s">
        <v>133</v>
      </c>
      <c r="K1848" s="136" t="s">
        <v>133</v>
      </c>
      <c r="L1848" s="153"/>
      <c r="M1848" s="136" t="str">
        <f t="shared" si="1"/>
        <v/>
      </c>
      <c r="O1848" s="141" t="s">
        <v>133</v>
      </c>
      <c r="P1848" s="136" t="str">
        <f>IFERROR(__xludf.DUMMYFUNCTION("""COMPUTED_VALUE"""),"")</f>
        <v/>
      </c>
      <c r="Q1848" s="136" t="str">
        <f>IFERROR(__xludf.DUMMYFUNCTION("""COMPUTED_VALUE"""),"")</f>
        <v/>
      </c>
      <c r="R1848" s="106" t="str">
        <f>IFERROR(__xludf.DUMMYFUNCTION("""COMPUTED_VALUE"""),"")</f>
        <v/>
      </c>
      <c r="S1848" s="106" t="str">
        <f>IFERROR(__xludf.DUMMYFUNCTION("""COMPUTED_VALUE"""),"")</f>
        <v/>
      </c>
      <c r="T1848" s="139" t="str">
        <f>IFERROR(__xludf.DUMMYFUNCTION("""COMPUTED_VALUE"""),"")</f>
        <v/>
      </c>
      <c r="U1848" s="139" t="str">
        <f>IFERROR(__xludf.DUMMYFUNCTION("""COMPUTED_VALUE"""),"")</f>
        <v/>
      </c>
      <c r="V1848" s="136" t="str">
        <f>IFERROR(__xludf.DUMMYFUNCTION("""COMPUTED_VALUE"""),"")</f>
        <v/>
      </c>
      <c r="W1848" s="106" t="str">
        <f>IFERROR(__xludf.DUMMYFUNCTION("""COMPUTED_VALUE"""),"")</f>
        <v/>
      </c>
      <c r="X1848" s="143" t="str">
        <f t="shared" si="2"/>
        <v/>
      </c>
      <c r="Y1848" s="139" t="str">
        <f>IFERROR(__xludf.DUMMYFUNCTION("""COMPUTED_VALUE"""),"")</f>
        <v/>
      </c>
      <c r="Z1848" s="141" t="str">
        <f>IFERROR(__xludf.DUMMYFUNCTION("""COMPUTED_VALUE"""),"")</f>
        <v/>
      </c>
    </row>
    <row r="1849">
      <c r="D1849" s="136" t="str">
        <f t="shared" si="3"/>
        <v/>
      </c>
      <c r="E1849" s="152"/>
      <c r="F1849" s="106" t="s">
        <v>133</v>
      </c>
      <c r="G1849" s="152"/>
      <c r="H1849" s="106" t="s">
        <v>133</v>
      </c>
      <c r="J1849" s="139" t="s">
        <v>133</v>
      </c>
      <c r="K1849" s="136" t="s">
        <v>133</v>
      </c>
      <c r="L1849" s="153"/>
      <c r="M1849" s="136" t="str">
        <f t="shared" si="1"/>
        <v/>
      </c>
      <c r="O1849" s="141" t="s">
        <v>133</v>
      </c>
      <c r="P1849" s="136" t="str">
        <f>IFERROR(__xludf.DUMMYFUNCTION("""COMPUTED_VALUE"""),"")</f>
        <v/>
      </c>
      <c r="Q1849" s="136" t="str">
        <f>IFERROR(__xludf.DUMMYFUNCTION("""COMPUTED_VALUE"""),"")</f>
        <v/>
      </c>
      <c r="R1849" s="106" t="str">
        <f>IFERROR(__xludf.DUMMYFUNCTION("""COMPUTED_VALUE"""),"")</f>
        <v/>
      </c>
      <c r="S1849" s="106" t="str">
        <f>IFERROR(__xludf.DUMMYFUNCTION("""COMPUTED_VALUE"""),"")</f>
        <v/>
      </c>
      <c r="T1849" s="139" t="str">
        <f>IFERROR(__xludf.DUMMYFUNCTION("""COMPUTED_VALUE"""),"")</f>
        <v/>
      </c>
      <c r="U1849" s="139" t="str">
        <f>IFERROR(__xludf.DUMMYFUNCTION("""COMPUTED_VALUE"""),"")</f>
        <v/>
      </c>
      <c r="V1849" s="136" t="str">
        <f>IFERROR(__xludf.DUMMYFUNCTION("""COMPUTED_VALUE"""),"")</f>
        <v/>
      </c>
      <c r="W1849" s="106" t="str">
        <f>IFERROR(__xludf.DUMMYFUNCTION("""COMPUTED_VALUE"""),"")</f>
        <v/>
      </c>
      <c r="X1849" s="143" t="str">
        <f t="shared" si="2"/>
        <v/>
      </c>
      <c r="Y1849" s="139" t="str">
        <f>IFERROR(__xludf.DUMMYFUNCTION("""COMPUTED_VALUE"""),"")</f>
        <v/>
      </c>
      <c r="Z1849" s="141" t="str">
        <f>IFERROR(__xludf.DUMMYFUNCTION("""COMPUTED_VALUE"""),"")</f>
        <v/>
      </c>
    </row>
    <row r="1850">
      <c r="D1850" s="136" t="str">
        <f t="shared" si="3"/>
        <v/>
      </c>
      <c r="E1850" s="152"/>
      <c r="F1850" s="106" t="s">
        <v>133</v>
      </c>
      <c r="G1850" s="152"/>
      <c r="H1850" s="106" t="s">
        <v>133</v>
      </c>
      <c r="J1850" s="139" t="s">
        <v>133</v>
      </c>
      <c r="K1850" s="136" t="s">
        <v>133</v>
      </c>
      <c r="L1850" s="153"/>
      <c r="M1850" s="136" t="str">
        <f t="shared" si="1"/>
        <v/>
      </c>
      <c r="O1850" s="141" t="s">
        <v>133</v>
      </c>
      <c r="P1850" s="136" t="str">
        <f>IFERROR(__xludf.DUMMYFUNCTION("""COMPUTED_VALUE"""),"")</f>
        <v/>
      </c>
      <c r="Q1850" s="136" t="str">
        <f>IFERROR(__xludf.DUMMYFUNCTION("""COMPUTED_VALUE"""),"")</f>
        <v/>
      </c>
      <c r="R1850" s="106" t="str">
        <f>IFERROR(__xludf.DUMMYFUNCTION("""COMPUTED_VALUE"""),"")</f>
        <v/>
      </c>
      <c r="S1850" s="106" t="str">
        <f>IFERROR(__xludf.DUMMYFUNCTION("""COMPUTED_VALUE"""),"")</f>
        <v/>
      </c>
      <c r="T1850" s="139" t="str">
        <f>IFERROR(__xludf.DUMMYFUNCTION("""COMPUTED_VALUE"""),"")</f>
        <v/>
      </c>
      <c r="U1850" s="139" t="str">
        <f>IFERROR(__xludf.DUMMYFUNCTION("""COMPUTED_VALUE"""),"")</f>
        <v/>
      </c>
      <c r="V1850" s="136" t="str">
        <f>IFERROR(__xludf.DUMMYFUNCTION("""COMPUTED_VALUE"""),"")</f>
        <v/>
      </c>
      <c r="W1850" s="106" t="str">
        <f>IFERROR(__xludf.DUMMYFUNCTION("""COMPUTED_VALUE"""),"")</f>
        <v/>
      </c>
      <c r="X1850" s="143" t="str">
        <f t="shared" si="2"/>
        <v/>
      </c>
      <c r="Y1850" s="139" t="str">
        <f>IFERROR(__xludf.DUMMYFUNCTION("""COMPUTED_VALUE"""),"")</f>
        <v/>
      </c>
      <c r="Z1850" s="141" t="str">
        <f>IFERROR(__xludf.DUMMYFUNCTION("""COMPUTED_VALUE"""),"")</f>
        <v/>
      </c>
    </row>
    <row r="1851">
      <c r="D1851" s="136" t="str">
        <f t="shared" si="3"/>
        <v/>
      </c>
      <c r="E1851" s="152"/>
      <c r="F1851" s="106" t="s">
        <v>133</v>
      </c>
      <c r="G1851" s="152"/>
      <c r="H1851" s="106" t="s">
        <v>133</v>
      </c>
      <c r="J1851" s="139" t="s">
        <v>133</v>
      </c>
      <c r="K1851" s="136" t="s">
        <v>133</v>
      </c>
      <c r="L1851" s="153"/>
      <c r="M1851" s="136" t="str">
        <f t="shared" si="1"/>
        <v/>
      </c>
      <c r="O1851" s="141" t="s">
        <v>133</v>
      </c>
      <c r="P1851" s="136" t="str">
        <f>IFERROR(__xludf.DUMMYFUNCTION("""COMPUTED_VALUE"""),"")</f>
        <v/>
      </c>
      <c r="Q1851" s="136" t="str">
        <f>IFERROR(__xludf.DUMMYFUNCTION("""COMPUTED_VALUE"""),"")</f>
        <v/>
      </c>
      <c r="R1851" s="106" t="str">
        <f>IFERROR(__xludf.DUMMYFUNCTION("""COMPUTED_VALUE"""),"")</f>
        <v/>
      </c>
      <c r="S1851" s="106" t="str">
        <f>IFERROR(__xludf.DUMMYFUNCTION("""COMPUTED_VALUE"""),"")</f>
        <v/>
      </c>
      <c r="T1851" s="139" t="str">
        <f>IFERROR(__xludf.DUMMYFUNCTION("""COMPUTED_VALUE"""),"")</f>
        <v/>
      </c>
      <c r="U1851" s="139" t="str">
        <f>IFERROR(__xludf.DUMMYFUNCTION("""COMPUTED_VALUE"""),"")</f>
        <v/>
      </c>
      <c r="V1851" s="136" t="str">
        <f>IFERROR(__xludf.DUMMYFUNCTION("""COMPUTED_VALUE"""),"")</f>
        <v/>
      </c>
      <c r="W1851" s="106" t="str">
        <f>IFERROR(__xludf.DUMMYFUNCTION("""COMPUTED_VALUE"""),"")</f>
        <v/>
      </c>
      <c r="X1851" s="143" t="str">
        <f t="shared" si="2"/>
        <v/>
      </c>
      <c r="Y1851" s="139" t="str">
        <f>IFERROR(__xludf.DUMMYFUNCTION("""COMPUTED_VALUE"""),"")</f>
        <v/>
      </c>
      <c r="Z1851" s="141" t="str">
        <f>IFERROR(__xludf.DUMMYFUNCTION("""COMPUTED_VALUE"""),"")</f>
        <v/>
      </c>
    </row>
    <row r="1852">
      <c r="D1852" s="136" t="str">
        <f t="shared" si="3"/>
        <v/>
      </c>
      <c r="E1852" s="152"/>
      <c r="F1852" s="106" t="s">
        <v>133</v>
      </c>
      <c r="G1852" s="152"/>
      <c r="H1852" s="106" t="s">
        <v>133</v>
      </c>
      <c r="J1852" s="139" t="s">
        <v>133</v>
      </c>
      <c r="K1852" s="136" t="s">
        <v>133</v>
      </c>
      <c r="L1852" s="153"/>
      <c r="M1852" s="136" t="str">
        <f t="shared" si="1"/>
        <v/>
      </c>
      <c r="O1852" s="141" t="s">
        <v>133</v>
      </c>
      <c r="P1852" s="136" t="str">
        <f>IFERROR(__xludf.DUMMYFUNCTION("""COMPUTED_VALUE"""),"")</f>
        <v/>
      </c>
      <c r="Q1852" s="136" t="str">
        <f>IFERROR(__xludf.DUMMYFUNCTION("""COMPUTED_VALUE"""),"")</f>
        <v/>
      </c>
      <c r="R1852" s="106" t="str">
        <f>IFERROR(__xludf.DUMMYFUNCTION("""COMPUTED_VALUE"""),"")</f>
        <v/>
      </c>
      <c r="S1852" s="106" t="str">
        <f>IFERROR(__xludf.DUMMYFUNCTION("""COMPUTED_VALUE"""),"")</f>
        <v/>
      </c>
      <c r="T1852" s="139" t="str">
        <f>IFERROR(__xludf.DUMMYFUNCTION("""COMPUTED_VALUE"""),"")</f>
        <v/>
      </c>
      <c r="U1852" s="139" t="str">
        <f>IFERROR(__xludf.DUMMYFUNCTION("""COMPUTED_VALUE"""),"")</f>
        <v/>
      </c>
      <c r="V1852" s="136" t="str">
        <f>IFERROR(__xludf.DUMMYFUNCTION("""COMPUTED_VALUE"""),"")</f>
        <v/>
      </c>
      <c r="W1852" s="106" t="str">
        <f>IFERROR(__xludf.DUMMYFUNCTION("""COMPUTED_VALUE"""),"")</f>
        <v/>
      </c>
      <c r="X1852" s="143" t="str">
        <f t="shared" si="2"/>
        <v/>
      </c>
      <c r="Y1852" s="139" t="str">
        <f>IFERROR(__xludf.DUMMYFUNCTION("""COMPUTED_VALUE"""),"")</f>
        <v/>
      </c>
      <c r="Z1852" s="141" t="str">
        <f>IFERROR(__xludf.DUMMYFUNCTION("""COMPUTED_VALUE"""),"")</f>
        <v/>
      </c>
    </row>
    <row r="1853">
      <c r="D1853" s="136" t="str">
        <f t="shared" si="3"/>
        <v/>
      </c>
      <c r="E1853" s="152"/>
      <c r="F1853" s="106" t="s">
        <v>133</v>
      </c>
      <c r="G1853" s="152"/>
      <c r="H1853" s="106" t="s">
        <v>133</v>
      </c>
      <c r="J1853" s="139" t="s">
        <v>133</v>
      </c>
      <c r="K1853" s="136" t="s">
        <v>133</v>
      </c>
      <c r="L1853" s="153"/>
      <c r="M1853" s="136" t="str">
        <f t="shared" si="1"/>
        <v/>
      </c>
      <c r="O1853" s="141" t="s">
        <v>133</v>
      </c>
      <c r="P1853" s="136" t="str">
        <f>IFERROR(__xludf.DUMMYFUNCTION("""COMPUTED_VALUE"""),"")</f>
        <v/>
      </c>
      <c r="Q1853" s="136" t="str">
        <f>IFERROR(__xludf.DUMMYFUNCTION("""COMPUTED_VALUE"""),"")</f>
        <v/>
      </c>
      <c r="R1853" s="106" t="str">
        <f>IFERROR(__xludf.DUMMYFUNCTION("""COMPUTED_VALUE"""),"")</f>
        <v/>
      </c>
      <c r="S1853" s="106" t="str">
        <f>IFERROR(__xludf.DUMMYFUNCTION("""COMPUTED_VALUE"""),"")</f>
        <v/>
      </c>
      <c r="T1853" s="139" t="str">
        <f>IFERROR(__xludf.DUMMYFUNCTION("""COMPUTED_VALUE"""),"")</f>
        <v/>
      </c>
      <c r="U1853" s="139" t="str">
        <f>IFERROR(__xludf.DUMMYFUNCTION("""COMPUTED_VALUE"""),"")</f>
        <v/>
      </c>
      <c r="V1853" s="136" t="str">
        <f>IFERROR(__xludf.DUMMYFUNCTION("""COMPUTED_VALUE"""),"")</f>
        <v/>
      </c>
      <c r="W1853" s="106" t="str">
        <f>IFERROR(__xludf.DUMMYFUNCTION("""COMPUTED_VALUE"""),"")</f>
        <v/>
      </c>
      <c r="X1853" s="143" t="str">
        <f t="shared" si="2"/>
        <v/>
      </c>
      <c r="Y1853" s="139" t="str">
        <f>IFERROR(__xludf.DUMMYFUNCTION("""COMPUTED_VALUE"""),"")</f>
        <v/>
      </c>
      <c r="Z1853" s="141" t="str">
        <f>IFERROR(__xludf.DUMMYFUNCTION("""COMPUTED_VALUE"""),"")</f>
        <v/>
      </c>
    </row>
    <row r="1854">
      <c r="D1854" s="136" t="str">
        <f t="shared" si="3"/>
        <v/>
      </c>
      <c r="E1854" s="152"/>
      <c r="F1854" s="106" t="s">
        <v>133</v>
      </c>
      <c r="G1854" s="152"/>
      <c r="H1854" s="106" t="s">
        <v>133</v>
      </c>
      <c r="J1854" s="139" t="s">
        <v>133</v>
      </c>
      <c r="K1854" s="136" t="s">
        <v>133</v>
      </c>
      <c r="L1854" s="153"/>
      <c r="M1854" s="136" t="str">
        <f t="shared" si="1"/>
        <v/>
      </c>
      <c r="O1854" s="141" t="s">
        <v>133</v>
      </c>
      <c r="P1854" s="136" t="str">
        <f>IFERROR(__xludf.DUMMYFUNCTION("""COMPUTED_VALUE"""),"")</f>
        <v/>
      </c>
      <c r="Q1854" s="136" t="str">
        <f>IFERROR(__xludf.DUMMYFUNCTION("""COMPUTED_VALUE"""),"")</f>
        <v/>
      </c>
      <c r="R1854" s="106" t="str">
        <f>IFERROR(__xludf.DUMMYFUNCTION("""COMPUTED_VALUE"""),"")</f>
        <v/>
      </c>
      <c r="S1854" s="106" t="str">
        <f>IFERROR(__xludf.DUMMYFUNCTION("""COMPUTED_VALUE"""),"")</f>
        <v/>
      </c>
      <c r="T1854" s="139" t="str">
        <f>IFERROR(__xludf.DUMMYFUNCTION("""COMPUTED_VALUE"""),"")</f>
        <v/>
      </c>
      <c r="U1854" s="139" t="str">
        <f>IFERROR(__xludf.DUMMYFUNCTION("""COMPUTED_VALUE"""),"")</f>
        <v/>
      </c>
      <c r="V1854" s="136" t="str">
        <f>IFERROR(__xludf.DUMMYFUNCTION("""COMPUTED_VALUE"""),"")</f>
        <v/>
      </c>
      <c r="W1854" s="106" t="str">
        <f>IFERROR(__xludf.DUMMYFUNCTION("""COMPUTED_VALUE"""),"")</f>
        <v/>
      </c>
      <c r="X1854" s="143" t="str">
        <f t="shared" si="2"/>
        <v/>
      </c>
      <c r="Y1854" s="139" t="str">
        <f>IFERROR(__xludf.DUMMYFUNCTION("""COMPUTED_VALUE"""),"")</f>
        <v/>
      </c>
      <c r="Z1854" s="141" t="str">
        <f>IFERROR(__xludf.DUMMYFUNCTION("""COMPUTED_VALUE"""),"")</f>
        <v/>
      </c>
    </row>
    <row r="1855">
      <c r="D1855" s="136" t="str">
        <f t="shared" si="3"/>
        <v/>
      </c>
      <c r="E1855" s="152"/>
      <c r="F1855" s="106" t="s">
        <v>133</v>
      </c>
      <c r="G1855" s="152"/>
      <c r="H1855" s="106" t="s">
        <v>133</v>
      </c>
      <c r="J1855" s="139" t="s">
        <v>133</v>
      </c>
      <c r="K1855" s="136" t="s">
        <v>133</v>
      </c>
      <c r="L1855" s="153"/>
      <c r="M1855" s="136" t="str">
        <f t="shared" si="1"/>
        <v/>
      </c>
      <c r="O1855" s="141" t="s">
        <v>133</v>
      </c>
      <c r="P1855" s="136" t="str">
        <f>IFERROR(__xludf.DUMMYFUNCTION("""COMPUTED_VALUE"""),"")</f>
        <v/>
      </c>
      <c r="Q1855" s="136" t="str">
        <f>IFERROR(__xludf.DUMMYFUNCTION("""COMPUTED_VALUE"""),"")</f>
        <v/>
      </c>
      <c r="R1855" s="106" t="str">
        <f>IFERROR(__xludf.DUMMYFUNCTION("""COMPUTED_VALUE"""),"")</f>
        <v/>
      </c>
      <c r="S1855" s="106" t="str">
        <f>IFERROR(__xludf.DUMMYFUNCTION("""COMPUTED_VALUE"""),"")</f>
        <v/>
      </c>
      <c r="T1855" s="139" t="str">
        <f>IFERROR(__xludf.DUMMYFUNCTION("""COMPUTED_VALUE"""),"")</f>
        <v/>
      </c>
      <c r="U1855" s="139" t="str">
        <f>IFERROR(__xludf.DUMMYFUNCTION("""COMPUTED_VALUE"""),"")</f>
        <v/>
      </c>
      <c r="V1855" s="136" t="str">
        <f>IFERROR(__xludf.DUMMYFUNCTION("""COMPUTED_VALUE"""),"")</f>
        <v/>
      </c>
      <c r="W1855" s="106" t="str">
        <f>IFERROR(__xludf.DUMMYFUNCTION("""COMPUTED_VALUE"""),"")</f>
        <v/>
      </c>
      <c r="X1855" s="143" t="str">
        <f t="shared" si="2"/>
        <v/>
      </c>
      <c r="Y1855" s="139" t="str">
        <f>IFERROR(__xludf.DUMMYFUNCTION("""COMPUTED_VALUE"""),"")</f>
        <v/>
      </c>
      <c r="Z1855" s="141" t="str">
        <f>IFERROR(__xludf.DUMMYFUNCTION("""COMPUTED_VALUE"""),"")</f>
        <v/>
      </c>
    </row>
    <row r="1856">
      <c r="D1856" s="136" t="str">
        <f t="shared" si="3"/>
        <v/>
      </c>
      <c r="E1856" s="152"/>
      <c r="F1856" s="106" t="s">
        <v>133</v>
      </c>
      <c r="G1856" s="152"/>
      <c r="H1856" s="106" t="s">
        <v>133</v>
      </c>
      <c r="J1856" s="139" t="s">
        <v>133</v>
      </c>
      <c r="K1856" s="136" t="s">
        <v>133</v>
      </c>
      <c r="L1856" s="153"/>
      <c r="M1856" s="136" t="str">
        <f t="shared" si="1"/>
        <v/>
      </c>
      <c r="O1856" s="141" t="s">
        <v>133</v>
      </c>
      <c r="P1856" s="136" t="str">
        <f>IFERROR(__xludf.DUMMYFUNCTION("""COMPUTED_VALUE"""),"")</f>
        <v/>
      </c>
      <c r="Q1856" s="136" t="str">
        <f>IFERROR(__xludf.DUMMYFUNCTION("""COMPUTED_VALUE"""),"")</f>
        <v/>
      </c>
      <c r="R1856" s="106" t="str">
        <f>IFERROR(__xludf.DUMMYFUNCTION("""COMPUTED_VALUE"""),"")</f>
        <v/>
      </c>
      <c r="S1856" s="106" t="str">
        <f>IFERROR(__xludf.DUMMYFUNCTION("""COMPUTED_VALUE"""),"")</f>
        <v/>
      </c>
      <c r="T1856" s="139" t="str">
        <f>IFERROR(__xludf.DUMMYFUNCTION("""COMPUTED_VALUE"""),"")</f>
        <v/>
      </c>
      <c r="U1856" s="139" t="str">
        <f>IFERROR(__xludf.DUMMYFUNCTION("""COMPUTED_VALUE"""),"")</f>
        <v/>
      </c>
      <c r="V1856" s="136" t="str">
        <f>IFERROR(__xludf.DUMMYFUNCTION("""COMPUTED_VALUE"""),"")</f>
        <v/>
      </c>
      <c r="W1856" s="106" t="str">
        <f>IFERROR(__xludf.DUMMYFUNCTION("""COMPUTED_VALUE"""),"")</f>
        <v/>
      </c>
      <c r="X1856" s="143" t="str">
        <f t="shared" si="2"/>
        <v/>
      </c>
      <c r="Y1856" s="139" t="str">
        <f>IFERROR(__xludf.DUMMYFUNCTION("""COMPUTED_VALUE"""),"")</f>
        <v/>
      </c>
      <c r="Z1856" s="141" t="str">
        <f>IFERROR(__xludf.DUMMYFUNCTION("""COMPUTED_VALUE"""),"")</f>
        <v/>
      </c>
    </row>
    <row r="1857">
      <c r="D1857" s="136" t="str">
        <f t="shared" si="3"/>
        <v/>
      </c>
      <c r="E1857" s="152"/>
      <c r="F1857" s="106" t="s">
        <v>133</v>
      </c>
      <c r="G1857" s="152"/>
      <c r="H1857" s="106" t="s">
        <v>133</v>
      </c>
      <c r="J1857" s="139" t="s">
        <v>133</v>
      </c>
      <c r="K1857" s="136" t="s">
        <v>133</v>
      </c>
      <c r="L1857" s="153"/>
      <c r="M1857" s="136" t="str">
        <f t="shared" si="1"/>
        <v/>
      </c>
      <c r="O1857" s="141" t="s">
        <v>133</v>
      </c>
      <c r="P1857" s="136" t="str">
        <f>IFERROR(__xludf.DUMMYFUNCTION("""COMPUTED_VALUE"""),"")</f>
        <v/>
      </c>
      <c r="Q1857" s="136" t="str">
        <f>IFERROR(__xludf.DUMMYFUNCTION("""COMPUTED_VALUE"""),"")</f>
        <v/>
      </c>
      <c r="R1857" s="106" t="str">
        <f>IFERROR(__xludf.DUMMYFUNCTION("""COMPUTED_VALUE"""),"")</f>
        <v/>
      </c>
      <c r="S1857" s="106" t="str">
        <f>IFERROR(__xludf.DUMMYFUNCTION("""COMPUTED_VALUE"""),"")</f>
        <v/>
      </c>
      <c r="T1857" s="139" t="str">
        <f>IFERROR(__xludf.DUMMYFUNCTION("""COMPUTED_VALUE"""),"")</f>
        <v/>
      </c>
      <c r="U1857" s="139" t="str">
        <f>IFERROR(__xludf.DUMMYFUNCTION("""COMPUTED_VALUE"""),"")</f>
        <v/>
      </c>
      <c r="V1857" s="136" t="str">
        <f>IFERROR(__xludf.DUMMYFUNCTION("""COMPUTED_VALUE"""),"")</f>
        <v/>
      </c>
      <c r="W1857" s="106" t="str">
        <f>IFERROR(__xludf.DUMMYFUNCTION("""COMPUTED_VALUE"""),"")</f>
        <v/>
      </c>
      <c r="X1857" s="143" t="str">
        <f t="shared" si="2"/>
        <v/>
      </c>
      <c r="Y1857" s="139" t="str">
        <f>IFERROR(__xludf.DUMMYFUNCTION("""COMPUTED_VALUE"""),"")</f>
        <v/>
      </c>
      <c r="Z1857" s="141" t="str">
        <f>IFERROR(__xludf.DUMMYFUNCTION("""COMPUTED_VALUE"""),"")</f>
        <v/>
      </c>
    </row>
    <row r="1858">
      <c r="D1858" s="136" t="str">
        <f t="shared" si="3"/>
        <v/>
      </c>
      <c r="E1858" s="152"/>
      <c r="F1858" s="106" t="s">
        <v>133</v>
      </c>
      <c r="G1858" s="152"/>
      <c r="H1858" s="106" t="s">
        <v>133</v>
      </c>
      <c r="J1858" s="139" t="s">
        <v>133</v>
      </c>
      <c r="K1858" s="136" t="s">
        <v>133</v>
      </c>
      <c r="L1858" s="153"/>
      <c r="M1858" s="136" t="str">
        <f t="shared" si="1"/>
        <v/>
      </c>
      <c r="O1858" s="141" t="s">
        <v>133</v>
      </c>
      <c r="P1858" s="136" t="str">
        <f>IFERROR(__xludf.DUMMYFUNCTION("""COMPUTED_VALUE"""),"")</f>
        <v/>
      </c>
      <c r="Q1858" s="136" t="str">
        <f>IFERROR(__xludf.DUMMYFUNCTION("""COMPUTED_VALUE"""),"")</f>
        <v/>
      </c>
      <c r="R1858" s="106" t="str">
        <f>IFERROR(__xludf.DUMMYFUNCTION("""COMPUTED_VALUE"""),"")</f>
        <v/>
      </c>
      <c r="S1858" s="106" t="str">
        <f>IFERROR(__xludf.DUMMYFUNCTION("""COMPUTED_VALUE"""),"")</f>
        <v/>
      </c>
      <c r="T1858" s="139" t="str">
        <f>IFERROR(__xludf.DUMMYFUNCTION("""COMPUTED_VALUE"""),"")</f>
        <v/>
      </c>
      <c r="U1858" s="139" t="str">
        <f>IFERROR(__xludf.DUMMYFUNCTION("""COMPUTED_VALUE"""),"")</f>
        <v/>
      </c>
      <c r="V1858" s="136" t="str">
        <f>IFERROR(__xludf.DUMMYFUNCTION("""COMPUTED_VALUE"""),"")</f>
        <v/>
      </c>
      <c r="W1858" s="106" t="str">
        <f>IFERROR(__xludf.DUMMYFUNCTION("""COMPUTED_VALUE"""),"")</f>
        <v/>
      </c>
      <c r="X1858" s="143" t="str">
        <f t="shared" si="2"/>
        <v/>
      </c>
      <c r="Y1858" s="139" t="str">
        <f>IFERROR(__xludf.DUMMYFUNCTION("""COMPUTED_VALUE"""),"")</f>
        <v/>
      </c>
      <c r="Z1858" s="141" t="str">
        <f>IFERROR(__xludf.DUMMYFUNCTION("""COMPUTED_VALUE"""),"")</f>
        <v/>
      </c>
    </row>
    <row r="1859">
      <c r="D1859" s="136" t="str">
        <f t="shared" si="3"/>
        <v/>
      </c>
      <c r="E1859" s="152"/>
      <c r="F1859" s="106" t="s">
        <v>133</v>
      </c>
      <c r="G1859" s="152"/>
      <c r="H1859" s="106" t="s">
        <v>133</v>
      </c>
      <c r="J1859" s="139" t="s">
        <v>133</v>
      </c>
      <c r="K1859" s="136" t="s">
        <v>133</v>
      </c>
      <c r="L1859" s="153"/>
      <c r="M1859" s="136" t="str">
        <f t="shared" si="1"/>
        <v/>
      </c>
      <c r="O1859" s="141" t="s">
        <v>133</v>
      </c>
      <c r="P1859" s="136" t="str">
        <f>IFERROR(__xludf.DUMMYFUNCTION("""COMPUTED_VALUE"""),"")</f>
        <v/>
      </c>
      <c r="Q1859" s="136" t="str">
        <f>IFERROR(__xludf.DUMMYFUNCTION("""COMPUTED_VALUE"""),"")</f>
        <v/>
      </c>
      <c r="R1859" s="106" t="str">
        <f>IFERROR(__xludf.DUMMYFUNCTION("""COMPUTED_VALUE"""),"")</f>
        <v/>
      </c>
      <c r="S1859" s="106" t="str">
        <f>IFERROR(__xludf.DUMMYFUNCTION("""COMPUTED_VALUE"""),"")</f>
        <v/>
      </c>
      <c r="T1859" s="139" t="str">
        <f>IFERROR(__xludf.DUMMYFUNCTION("""COMPUTED_VALUE"""),"")</f>
        <v/>
      </c>
      <c r="U1859" s="139" t="str">
        <f>IFERROR(__xludf.DUMMYFUNCTION("""COMPUTED_VALUE"""),"")</f>
        <v/>
      </c>
      <c r="V1859" s="136" t="str">
        <f>IFERROR(__xludf.DUMMYFUNCTION("""COMPUTED_VALUE"""),"")</f>
        <v/>
      </c>
      <c r="W1859" s="106" t="str">
        <f>IFERROR(__xludf.DUMMYFUNCTION("""COMPUTED_VALUE"""),"")</f>
        <v/>
      </c>
      <c r="X1859" s="143" t="str">
        <f t="shared" si="2"/>
        <v/>
      </c>
      <c r="Y1859" s="139" t="str">
        <f>IFERROR(__xludf.DUMMYFUNCTION("""COMPUTED_VALUE"""),"")</f>
        <v/>
      </c>
      <c r="Z1859" s="141" t="str">
        <f>IFERROR(__xludf.DUMMYFUNCTION("""COMPUTED_VALUE"""),"")</f>
        <v/>
      </c>
    </row>
    <row r="1860">
      <c r="D1860" s="136" t="str">
        <f t="shared" si="3"/>
        <v/>
      </c>
      <c r="E1860" s="152"/>
      <c r="F1860" s="106" t="s">
        <v>133</v>
      </c>
      <c r="G1860" s="152"/>
      <c r="H1860" s="106" t="s">
        <v>133</v>
      </c>
      <c r="J1860" s="139" t="s">
        <v>133</v>
      </c>
      <c r="K1860" s="136" t="s">
        <v>133</v>
      </c>
      <c r="L1860" s="153"/>
      <c r="M1860" s="136" t="str">
        <f t="shared" si="1"/>
        <v/>
      </c>
      <c r="O1860" s="141" t="s">
        <v>133</v>
      </c>
      <c r="P1860" s="136" t="str">
        <f>IFERROR(__xludf.DUMMYFUNCTION("""COMPUTED_VALUE"""),"")</f>
        <v/>
      </c>
      <c r="Q1860" s="136" t="str">
        <f>IFERROR(__xludf.DUMMYFUNCTION("""COMPUTED_VALUE"""),"")</f>
        <v/>
      </c>
      <c r="R1860" s="106" t="str">
        <f>IFERROR(__xludf.DUMMYFUNCTION("""COMPUTED_VALUE"""),"")</f>
        <v/>
      </c>
      <c r="S1860" s="106" t="str">
        <f>IFERROR(__xludf.DUMMYFUNCTION("""COMPUTED_VALUE"""),"")</f>
        <v/>
      </c>
      <c r="T1860" s="139" t="str">
        <f>IFERROR(__xludf.DUMMYFUNCTION("""COMPUTED_VALUE"""),"")</f>
        <v/>
      </c>
      <c r="U1860" s="139" t="str">
        <f>IFERROR(__xludf.DUMMYFUNCTION("""COMPUTED_VALUE"""),"")</f>
        <v/>
      </c>
      <c r="V1860" s="136" t="str">
        <f>IFERROR(__xludf.DUMMYFUNCTION("""COMPUTED_VALUE"""),"")</f>
        <v/>
      </c>
      <c r="W1860" s="106" t="str">
        <f>IFERROR(__xludf.DUMMYFUNCTION("""COMPUTED_VALUE"""),"")</f>
        <v/>
      </c>
      <c r="X1860" s="143" t="str">
        <f t="shared" si="2"/>
        <v/>
      </c>
      <c r="Y1860" s="139" t="str">
        <f>IFERROR(__xludf.DUMMYFUNCTION("""COMPUTED_VALUE"""),"")</f>
        <v/>
      </c>
      <c r="Z1860" s="141" t="str">
        <f>IFERROR(__xludf.DUMMYFUNCTION("""COMPUTED_VALUE"""),"")</f>
        <v/>
      </c>
    </row>
    <row r="1861">
      <c r="D1861" s="136" t="str">
        <f t="shared" si="3"/>
        <v/>
      </c>
      <c r="E1861" s="152"/>
      <c r="F1861" s="106" t="s">
        <v>133</v>
      </c>
      <c r="G1861" s="152"/>
      <c r="H1861" s="106" t="s">
        <v>133</v>
      </c>
      <c r="J1861" s="139" t="s">
        <v>133</v>
      </c>
      <c r="K1861" s="136" t="s">
        <v>133</v>
      </c>
      <c r="L1861" s="153"/>
      <c r="M1861" s="136" t="str">
        <f t="shared" si="1"/>
        <v/>
      </c>
      <c r="O1861" s="141" t="s">
        <v>133</v>
      </c>
      <c r="P1861" s="136" t="str">
        <f>IFERROR(__xludf.DUMMYFUNCTION("""COMPUTED_VALUE"""),"")</f>
        <v/>
      </c>
      <c r="Q1861" s="136" t="str">
        <f>IFERROR(__xludf.DUMMYFUNCTION("""COMPUTED_VALUE"""),"")</f>
        <v/>
      </c>
      <c r="R1861" s="106" t="str">
        <f>IFERROR(__xludf.DUMMYFUNCTION("""COMPUTED_VALUE"""),"")</f>
        <v/>
      </c>
      <c r="S1861" s="106" t="str">
        <f>IFERROR(__xludf.DUMMYFUNCTION("""COMPUTED_VALUE"""),"")</f>
        <v/>
      </c>
      <c r="T1861" s="139" t="str">
        <f>IFERROR(__xludf.DUMMYFUNCTION("""COMPUTED_VALUE"""),"")</f>
        <v/>
      </c>
      <c r="U1861" s="139" t="str">
        <f>IFERROR(__xludf.DUMMYFUNCTION("""COMPUTED_VALUE"""),"")</f>
        <v/>
      </c>
      <c r="V1861" s="136" t="str">
        <f>IFERROR(__xludf.DUMMYFUNCTION("""COMPUTED_VALUE"""),"")</f>
        <v/>
      </c>
      <c r="W1861" s="106" t="str">
        <f>IFERROR(__xludf.DUMMYFUNCTION("""COMPUTED_VALUE"""),"")</f>
        <v/>
      </c>
      <c r="X1861" s="143" t="str">
        <f t="shared" si="2"/>
        <v/>
      </c>
      <c r="Y1861" s="139" t="str">
        <f>IFERROR(__xludf.DUMMYFUNCTION("""COMPUTED_VALUE"""),"")</f>
        <v/>
      </c>
      <c r="Z1861" s="141" t="str">
        <f>IFERROR(__xludf.DUMMYFUNCTION("""COMPUTED_VALUE"""),"")</f>
        <v/>
      </c>
    </row>
    <row r="1862">
      <c r="D1862" s="136" t="str">
        <f t="shared" si="3"/>
        <v/>
      </c>
      <c r="E1862" s="152"/>
      <c r="F1862" s="106" t="s">
        <v>133</v>
      </c>
      <c r="G1862" s="152"/>
      <c r="H1862" s="106" t="s">
        <v>133</v>
      </c>
      <c r="J1862" s="139" t="s">
        <v>133</v>
      </c>
      <c r="K1862" s="136" t="s">
        <v>133</v>
      </c>
      <c r="L1862" s="153"/>
      <c r="M1862" s="136" t="str">
        <f t="shared" si="1"/>
        <v/>
      </c>
      <c r="O1862" s="141" t="s">
        <v>133</v>
      </c>
      <c r="P1862" s="136" t="str">
        <f>IFERROR(__xludf.DUMMYFUNCTION("""COMPUTED_VALUE"""),"")</f>
        <v/>
      </c>
      <c r="Q1862" s="136" t="str">
        <f>IFERROR(__xludf.DUMMYFUNCTION("""COMPUTED_VALUE"""),"")</f>
        <v/>
      </c>
      <c r="R1862" s="106" t="str">
        <f>IFERROR(__xludf.DUMMYFUNCTION("""COMPUTED_VALUE"""),"")</f>
        <v/>
      </c>
      <c r="S1862" s="106" t="str">
        <f>IFERROR(__xludf.DUMMYFUNCTION("""COMPUTED_VALUE"""),"")</f>
        <v/>
      </c>
      <c r="T1862" s="139" t="str">
        <f>IFERROR(__xludf.DUMMYFUNCTION("""COMPUTED_VALUE"""),"")</f>
        <v/>
      </c>
      <c r="U1862" s="139" t="str">
        <f>IFERROR(__xludf.DUMMYFUNCTION("""COMPUTED_VALUE"""),"")</f>
        <v/>
      </c>
      <c r="V1862" s="136" t="str">
        <f>IFERROR(__xludf.DUMMYFUNCTION("""COMPUTED_VALUE"""),"")</f>
        <v/>
      </c>
      <c r="W1862" s="106" t="str">
        <f>IFERROR(__xludf.DUMMYFUNCTION("""COMPUTED_VALUE"""),"")</f>
        <v/>
      </c>
      <c r="X1862" s="143" t="str">
        <f t="shared" si="2"/>
        <v/>
      </c>
      <c r="Y1862" s="139" t="str">
        <f>IFERROR(__xludf.DUMMYFUNCTION("""COMPUTED_VALUE"""),"")</f>
        <v/>
      </c>
      <c r="Z1862" s="141" t="str">
        <f>IFERROR(__xludf.DUMMYFUNCTION("""COMPUTED_VALUE"""),"")</f>
        <v/>
      </c>
    </row>
    <row r="1863">
      <c r="D1863" s="136" t="str">
        <f t="shared" si="3"/>
        <v/>
      </c>
      <c r="E1863" s="152"/>
      <c r="F1863" s="106" t="s">
        <v>133</v>
      </c>
      <c r="G1863" s="152"/>
      <c r="H1863" s="106" t="s">
        <v>133</v>
      </c>
      <c r="J1863" s="139" t="s">
        <v>133</v>
      </c>
      <c r="K1863" s="136" t="s">
        <v>133</v>
      </c>
      <c r="L1863" s="153"/>
      <c r="M1863" s="136" t="str">
        <f t="shared" si="1"/>
        <v/>
      </c>
      <c r="O1863" s="141" t="s">
        <v>133</v>
      </c>
      <c r="P1863" s="136" t="str">
        <f>IFERROR(__xludf.DUMMYFUNCTION("""COMPUTED_VALUE"""),"")</f>
        <v/>
      </c>
      <c r="Q1863" s="136" t="str">
        <f>IFERROR(__xludf.DUMMYFUNCTION("""COMPUTED_VALUE"""),"")</f>
        <v/>
      </c>
      <c r="R1863" s="106" t="str">
        <f>IFERROR(__xludf.DUMMYFUNCTION("""COMPUTED_VALUE"""),"")</f>
        <v/>
      </c>
      <c r="S1863" s="106" t="str">
        <f>IFERROR(__xludf.DUMMYFUNCTION("""COMPUTED_VALUE"""),"")</f>
        <v/>
      </c>
      <c r="T1863" s="139" t="str">
        <f>IFERROR(__xludf.DUMMYFUNCTION("""COMPUTED_VALUE"""),"")</f>
        <v/>
      </c>
      <c r="U1863" s="139" t="str">
        <f>IFERROR(__xludf.DUMMYFUNCTION("""COMPUTED_VALUE"""),"")</f>
        <v/>
      </c>
      <c r="V1863" s="136" t="str">
        <f>IFERROR(__xludf.DUMMYFUNCTION("""COMPUTED_VALUE"""),"")</f>
        <v/>
      </c>
      <c r="W1863" s="106" t="str">
        <f>IFERROR(__xludf.DUMMYFUNCTION("""COMPUTED_VALUE"""),"")</f>
        <v/>
      </c>
      <c r="X1863" s="143" t="str">
        <f t="shared" si="2"/>
        <v/>
      </c>
      <c r="Y1863" s="139" t="str">
        <f>IFERROR(__xludf.DUMMYFUNCTION("""COMPUTED_VALUE"""),"")</f>
        <v/>
      </c>
      <c r="Z1863" s="141" t="str">
        <f>IFERROR(__xludf.DUMMYFUNCTION("""COMPUTED_VALUE"""),"")</f>
        <v/>
      </c>
    </row>
    <row r="1864">
      <c r="D1864" s="136" t="str">
        <f t="shared" si="3"/>
        <v/>
      </c>
      <c r="E1864" s="152"/>
      <c r="F1864" s="106" t="s">
        <v>133</v>
      </c>
      <c r="G1864" s="152"/>
      <c r="H1864" s="106" t="s">
        <v>133</v>
      </c>
      <c r="J1864" s="139" t="s">
        <v>133</v>
      </c>
      <c r="K1864" s="136" t="s">
        <v>133</v>
      </c>
      <c r="L1864" s="153"/>
      <c r="M1864" s="136" t="str">
        <f t="shared" si="1"/>
        <v/>
      </c>
      <c r="O1864" s="141" t="s">
        <v>133</v>
      </c>
      <c r="P1864" s="136" t="str">
        <f>IFERROR(__xludf.DUMMYFUNCTION("""COMPUTED_VALUE"""),"")</f>
        <v/>
      </c>
      <c r="Q1864" s="136" t="str">
        <f>IFERROR(__xludf.DUMMYFUNCTION("""COMPUTED_VALUE"""),"")</f>
        <v/>
      </c>
      <c r="R1864" s="106" t="str">
        <f>IFERROR(__xludf.DUMMYFUNCTION("""COMPUTED_VALUE"""),"")</f>
        <v/>
      </c>
      <c r="S1864" s="106" t="str">
        <f>IFERROR(__xludf.DUMMYFUNCTION("""COMPUTED_VALUE"""),"")</f>
        <v/>
      </c>
      <c r="T1864" s="139" t="str">
        <f>IFERROR(__xludf.DUMMYFUNCTION("""COMPUTED_VALUE"""),"")</f>
        <v/>
      </c>
      <c r="U1864" s="139" t="str">
        <f>IFERROR(__xludf.DUMMYFUNCTION("""COMPUTED_VALUE"""),"")</f>
        <v/>
      </c>
      <c r="V1864" s="136" t="str">
        <f>IFERROR(__xludf.DUMMYFUNCTION("""COMPUTED_VALUE"""),"")</f>
        <v/>
      </c>
      <c r="W1864" s="106" t="str">
        <f>IFERROR(__xludf.DUMMYFUNCTION("""COMPUTED_VALUE"""),"")</f>
        <v/>
      </c>
      <c r="X1864" s="143" t="str">
        <f t="shared" si="2"/>
        <v/>
      </c>
      <c r="Y1864" s="139" t="str">
        <f>IFERROR(__xludf.DUMMYFUNCTION("""COMPUTED_VALUE"""),"")</f>
        <v/>
      </c>
      <c r="Z1864" s="141" t="str">
        <f>IFERROR(__xludf.DUMMYFUNCTION("""COMPUTED_VALUE"""),"")</f>
        <v/>
      </c>
    </row>
    <row r="1865">
      <c r="D1865" s="136" t="str">
        <f t="shared" si="3"/>
        <v/>
      </c>
      <c r="E1865" s="152"/>
      <c r="F1865" s="106" t="s">
        <v>133</v>
      </c>
      <c r="G1865" s="152"/>
      <c r="H1865" s="106" t="s">
        <v>133</v>
      </c>
      <c r="J1865" s="139" t="s">
        <v>133</v>
      </c>
      <c r="K1865" s="136" t="s">
        <v>133</v>
      </c>
      <c r="L1865" s="153"/>
      <c r="M1865" s="136" t="str">
        <f t="shared" si="1"/>
        <v/>
      </c>
      <c r="O1865" s="141" t="s">
        <v>133</v>
      </c>
      <c r="P1865" s="136" t="str">
        <f>IFERROR(__xludf.DUMMYFUNCTION("""COMPUTED_VALUE"""),"")</f>
        <v/>
      </c>
      <c r="Q1865" s="136" t="str">
        <f>IFERROR(__xludf.DUMMYFUNCTION("""COMPUTED_VALUE"""),"")</f>
        <v/>
      </c>
      <c r="R1865" s="106" t="str">
        <f>IFERROR(__xludf.DUMMYFUNCTION("""COMPUTED_VALUE"""),"")</f>
        <v/>
      </c>
      <c r="S1865" s="106" t="str">
        <f>IFERROR(__xludf.DUMMYFUNCTION("""COMPUTED_VALUE"""),"")</f>
        <v/>
      </c>
      <c r="T1865" s="139" t="str">
        <f>IFERROR(__xludf.DUMMYFUNCTION("""COMPUTED_VALUE"""),"")</f>
        <v/>
      </c>
      <c r="U1865" s="139" t="str">
        <f>IFERROR(__xludf.DUMMYFUNCTION("""COMPUTED_VALUE"""),"")</f>
        <v/>
      </c>
      <c r="V1865" s="136" t="str">
        <f>IFERROR(__xludf.DUMMYFUNCTION("""COMPUTED_VALUE"""),"")</f>
        <v/>
      </c>
      <c r="W1865" s="106" t="str">
        <f>IFERROR(__xludf.DUMMYFUNCTION("""COMPUTED_VALUE"""),"")</f>
        <v/>
      </c>
      <c r="X1865" s="143" t="str">
        <f t="shared" si="2"/>
        <v/>
      </c>
      <c r="Y1865" s="139" t="str">
        <f>IFERROR(__xludf.DUMMYFUNCTION("""COMPUTED_VALUE"""),"")</f>
        <v/>
      </c>
      <c r="Z1865" s="141" t="str">
        <f>IFERROR(__xludf.DUMMYFUNCTION("""COMPUTED_VALUE"""),"")</f>
        <v/>
      </c>
    </row>
    <row r="1866">
      <c r="D1866" s="136" t="str">
        <f t="shared" si="3"/>
        <v/>
      </c>
      <c r="E1866" s="152"/>
      <c r="F1866" s="106" t="s">
        <v>133</v>
      </c>
      <c r="G1866" s="152"/>
      <c r="H1866" s="106" t="s">
        <v>133</v>
      </c>
      <c r="J1866" s="139" t="s">
        <v>133</v>
      </c>
      <c r="K1866" s="136" t="s">
        <v>133</v>
      </c>
      <c r="L1866" s="153"/>
      <c r="M1866" s="136" t="str">
        <f t="shared" si="1"/>
        <v/>
      </c>
      <c r="O1866" s="141" t="s">
        <v>133</v>
      </c>
      <c r="P1866" s="136" t="str">
        <f>IFERROR(__xludf.DUMMYFUNCTION("""COMPUTED_VALUE"""),"")</f>
        <v/>
      </c>
      <c r="Q1866" s="136" t="str">
        <f>IFERROR(__xludf.DUMMYFUNCTION("""COMPUTED_VALUE"""),"")</f>
        <v/>
      </c>
      <c r="R1866" s="106" t="str">
        <f>IFERROR(__xludf.DUMMYFUNCTION("""COMPUTED_VALUE"""),"")</f>
        <v/>
      </c>
      <c r="S1866" s="106" t="str">
        <f>IFERROR(__xludf.DUMMYFUNCTION("""COMPUTED_VALUE"""),"")</f>
        <v/>
      </c>
      <c r="T1866" s="139" t="str">
        <f>IFERROR(__xludf.DUMMYFUNCTION("""COMPUTED_VALUE"""),"")</f>
        <v/>
      </c>
      <c r="U1866" s="139" t="str">
        <f>IFERROR(__xludf.DUMMYFUNCTION("""COMPUTED_VALUE"""),"")</f>
        <v/>
      </c>
      <c r="V1866" s="136" t="str">
        <f>IFERROR(__xludf.DUMMYFUNCTION("""COMPUTED_VALUE"""),"")</f>
        <v/>
      </c>
      <c r="W1866" s="106" t="str">
        <f>IFERROR(__xludf.DUMMYFUNCTION("""COMPUTED_VALUE"""),"")</f>
        <v/>
      </c>
      <c r="X1866" s="143" t="str">
        <f t="shared" si="2"/>
        <v/>
      </c>
      <c r="Y1866" s="139" t="str">
        <f>IFERROR(__xludf.DUMMYFUNCTION("""COMPUTED_VALUE"""),"")</f>
        <v/>
      </c>
      <c r="Z1866" s="141" t="str">
        <f>IFERROR(__xludf.DUMMYFUNCTION("""COMPUTED_VALUE"""),"")</f>
        <v/>
      </c>
    </row>
    <row r="1867">
      <c r="D1867" s="136" t="str">
        <f t="shared" si="3"/>
        <v/>
      </c>
      <c r="E1867" s="152"/>
      <c r="F1867" s="106" t="s">
        <v>133</v>
      </c>
      <c r="G1867" s="152"/>
      <c r="H1867" s="106" t="s">
        <v>133</v>
      </c>
      <c r="J1867" s="139" t="s">
        <v>133</v>
      </c>
      <c r="K1867" s="136" t="s">
        <v>133</v>
      </c>
      <c r="L1867" s="153"/>
      <c r="M1867" s="136" t="str">
        <f t="shared" si="1"/>
        <v/>
      </c>
      <c r="O1867" s="141" t="s">
        <v>133</v>
      </c>
      <c r="P1867" s="136" t="str">
        <f>IFERROR(__xludf.DUMMYFUNCTION("""COMPUTED_VALUE"""),"")</f>
        <v/>
      </c>
      <c r="Q1867" s="136" t="str">
        <f>IFERROR(__xludf.DUMMYFUNCTION("""COMPUTED_VALUE"""),"")</f>
        <v/>
      </c>
      <c r="R1867" s="106" t="str">
        <f>IFERROR(__xludf.DUMMYFUNCTION("""COMPUTED_VALUE"""),"")</f>
        <v/>
      </c>
      <c r="S1867" s="106" t="str">
        <f>IFERROR(__xludf.DUMMYFUNCTION("""COMPUTED_VALUE"""),"")</f>
        <v/>
      </c>
      <c r="T1867" s="139" t="str">
        <f>IFERROR(__xludf.DUMMYFUNCTION("""COMPUTED_VALUE"""),"")</f>
        <v/>
      </c>
      <c r="U1867" s="139" t="str">
        <f>IFERROR(__xludf.DUMMYFUNCTION("""COMPUTED_VALUE"""),"")</f>
        <v/>
      </c>
      <c r="V1867" s="136" t="str">
        <f>IFERROR(__xludf.DUMMYFUNCTION("""COMPUTED_VALUE"""),"")</f>
        <v/>
      </c>
      <c r="W1867" s="106" t="str">
        <f>IFERROR(__xludf.DUMMYFUNCTION("""COMPUTED_VALUE"""),"")</f>
        <v/>
      </c>
      <c r="X1867" s="143" t="str">
        <f t="shared" si="2"/>
        <v/>
      </c>
      <c r="Y1867" s="139" t="str">
        <f>IFERROR(__xludf.DUMMYFUNCTION("""COMPUTED_VALUE"""),"")</f>
        <v/>
      </c>
      <c r="Z1867" s="141" t="str">
        <f>IFERROR(__xludf.DUMMYFUNCTION("""COMPUTED_VALUE"""),"")</f>
        <v/>
      </c>
    </row>
    <row r="1868">
      <c r="D1868" s="136" t="str">
        <f t="shared" si="3"/>
        <v/>
      </c>
      <c r="E1868" s="152"/>
      <c r="F1868" s="106" t="s">
        <v>133</v>
      </c>
      <c r="G1868" s="152"/>
      <c r="H1868" s="106" t="s">
        <v>133</v>
      </c>
      <c r="J1868" s="139" t="s">
        <v>133</v>
      </c>
      <c r="K1868" s="136" t="s">
        <v>133</v>
      </c>
      <c r="L1868" s="153"/>
      <c r="M1868" s="136" t="str">
        <f t="shared" si="1"/>
        <v/>
      </c>
      <c r="O1868" s="141" t="s">
        <v>133</v>
      </c>
      <c r="P1868" s="136" t="str">
        <f>IFERROR(__xludf.DUMMYFUNCTION("""COMPUTED_VALUE"""),"")</f>
        <v/>
      </c>
      <c r="Q1868" s="136" t="str">
        <f>IFERROR(__xludf.DUMMYFUNCTION("""COMPUTED_VALUE"""),"")</f>
        <v/>
      </c>
      <c r="R1868" s="106" t="str">
        <f>IFERROR(__xludf.DUMMYFUNCTION("""COMPUTED_VALUE"""),"")</f>
        <v/>
      </c>
      <c r="S1868" s="106" t="str">
        <f>IFERROR(__xludf.DUMMYFUNCTION("""COMPUTED_VALUE"""),"")</f>
        <v/>
      </c>
      <c r="T1868" s="139" t="str">
        <f>IFERROR(__xludf.DUMMYFUNCTION("""COMPUTED_VALUE"""),"")</f>
        <v/>
      </c>
      <c r="U1868" s="139" t="str">
        <f>IFERROR(__xludf.DUMMYFUNCTION("""COMPUTED_VALUE"""),"")</f>
        <v/>
      </c>
      <c r="V1868" s="136" t="str">
        <f>IFERROR(__xludf.DUMMYFUNCTION("""COMPUTED_VALUE"""),"")</f>
        <v/>
      </c>
      <c r="W1868" s="106" t="str">
        <f>IFERROR(__xludf.DUMMYFUNCTION("""COMPUTED_VALUE"""),"")</f>
        <v/>
      </c>
      <c r="X1868" s="143" t="str">
        <f t="shared" si="2"/>
        <v/>
      </c>
      <c r="Y1868" s="139" t="str">
        <f>IFERROR(__xludf.DUMMYFUNCTION("""COMPUTED_VALUE"""),"")</f>
        <v/>
      </c>
      <c r="Z1868" s="141" t="str">
        <f>IFERROR(__xludf.DUMMYFUNCTION("""COMPUTED_VALUE"""),"")</f>
        <v/>
      </c>
    </row>
    <row r="1869">
      <c r="D1869" s="136" t="str">
        <f t="shared" si="3"/>
        <v/>
      </c>
      <c r="E1869" s="152"/>
      <c r="F1869" s="106" t="s">
        <v>133</v>
      </c>
      <c r="G1869" s="152"/>
      <c r="H1869" s="106" t="s">
        <v>133</v>
      </c>
      <c r="J1869" s="139" t="s">
        <v>133</v>
      </c>
      <c r="K1869" s="136" t="s">
        <v>133</v>
      </c>
      <c r="L1869" s="153"/>
      <c r="M1869" s="136" t="str">
        <f t="shared" si="1"/>
        <v/>
      </c>
      <c r="O1869" s="141" t="s">
        <v>133</v>
      </c>
      <c r="P1869" s="136" t="str">
        <f>IFERROR(__xludf.DUMMYFUNCTION("""COMPUTED_VALUE"""),"")</f>
        <v/>
      </c>
      <c r="Q1869" s="136" t="str">
        <f>IFERROR(__xludf.DUMMYFUNCTION("""COMPUTED_VALUE"""),"")</f>
        <v/>
      </c>
      <c r="R1869" s="106" t="str">
        <f>IFERROR(__xludf.DUMMYFUNCTION("""COMPUTED_VALUE"""),"")</f>
        <v/>
      </c>
      <c r="S1869" s="106" t="str">
        <f>IFERROR(__xludf.DUMMYFUNCTION("""COMPUTED_VALUE"""),"")</f>
        <v/>
      </c>
      <c r="T1869" s="139" t="str">
        <f>IFERROR(__xludf.DUMMYFUNCTION("""COMPUTED_VALUE"""),"")</f>
        <v/>
      </c>
      <c r="U1869" s="139" t="str">
        <f>IFERROR(__xludf.DUMMYFUNCTION("""COMPUTED_VALUE"""),"")</f>
        <v/>
      </c>
      <c r="V1869" s="136" t="str">
        <f>IFERROR(__xludf.DUMMYFUNCTION("""COMPUTED_VALUE"""),"")</f>
        <v/>
      </c>
      <c r="W1869" s="106" t="str">
        <f>IFERROR(__xludf.DUMMYFUNCTION("""COMPUTED_VALUE"""),"")</f>
        <v/>
      </c>
      <c r="X1869" s="143" t="str">
        <f t="shared" si="2"/>
        <v/>
      </c>
      <c r="Y1869" s="139" t="str">
        <f>IFERROR(__xludf.DUMMYFUNCTION("""COMPUTED_VALUE"""),"")</f>
        <v/>
      </c>
      <c r="Z1869" s="141" t="str">
        <f>IFERROR(__xludf.DUMMYFUNCTION("""COMPUTED_VALUE"""),"")</f>
        <v/>
      </c>
    </row>
    <row r="1870">
      <c r="D1870" s="136" t="str">
        <f t="shared" si="3"/>
        <v/>
      </c>
      <c r="E1870" s="152"/>
      <c r="F1870" s="106" t="s">
        <v>133</v>
      </c>
      <c r="G1870" s="152"/>
      <c r="H1870" s="106" t="s">
        <v>133</v>
      </c>
      <c r="J1870" s="139" t="s">
        <v>133</v>
      </c>
      <c r="K1870" s="136" t="s">
        <v>133</v>
      </c>
      <c r="L1870" s="153"/>
      <c r="M1870" s="136" t="str">
        <f t="shared" si="1"/>
        <v/>
      </c>
      <c r="O1870" s="141" t="s">
        <v>133</v>
      </c>
      <c r="P1870" s="136" t="str">
        <f>IFERROR(__xludf.DUMMYFUNCTION("""COMPUTED_VALUE"""),"")</f>
        <v/>
      </c>
      <c r="Q1870" s="136" t="str">
        <f>IFERROR(__xludf.DUMMYFUNCTION("""COMPUTED_VALUE"""),"")</f>
        <v/>
      </c>
      <c r="R1870" s="106" t="str">
        <f>IFERROR(__xludf.DUMMYFUNCTION("""COMPUTED_VALUE"""),"")</f>
        <v/>
      </c>
      <c r="S1870" s="106" t="str">
        <f>IFERROR(__xludf.DUMMYFUNCTION("""COMPUTED_VALUE"""),"")</f>
        <v/>
      </c>
      <c r="T1870" s="139" t="str">
        <f>IFERROR(__xludf.DUMMYFUNCTION("""COMPUTED_VALUE"""),"")</f>
        <v/>
      </c>
      <c r="U1870" s="139" t="str">
        <f>IFERROR(__xludf.DUMMYFUNCTION("""COMPUTED_VALUE"""),"")</f>
        <v/>
      </c>
      <c r="V1870" s="136" t="str">
        <f>IFERROR(__xludf.DUMMYFUNCTION("""COMPUTED_VALUE"""),"")</f>
        <v/>
      </c>
      <c r="W1870" s="106" t="str">
        <f>IFERROR(__xludf.DUMMYFUNCTION("""COMPUTED_VALUE"""),"")</f>
        <v/>
      </c>
      <c r="X1870" s="143" t="str">
        <f t="shared" si="2"/>
        <v/>
      </c>
      <c r="Y1870" s="139" t="str">
        <f>IFERROR(__xludf.DUMMYFUNCTION("""COMPUTED_VALUE"""),"")</f>
        <v/>
      </c>
      <c r="Z1870" s="141" t="str">
        <f>IFERROR(__xludf.DUMMYFUNCTION("""COMPUTED_VALUE"""),"")</f>
        <v/>
      </c>
    </row>
    <row r="1871">
      <c r="D1871" s="136" t="str">
        <f t="shared" si="3"/>
        <v/>
      </c>
      <c r="E1871" s="152"/>
      <c r="F1871" s="106" t="s">
        <v>133</v>
      </c>
      <c r="G1871" s="152"/>
      <c r="H1871" s="106" t="s">
        <v>133</v>
      </c>
      <c r="J1871" s="139" t="s">
        <v>133</v>
      </c>
      <c r="K1871" s="136" t="s">
        <v>133</v>
      </c>
      <c r="L1871" s="153"/>
      <c r="M1871" s="136" t="str">
        <f t="shared" si="1"/>
        <v/>
      </c>
      <c r="O1871" s="141" t="s">
        <v>133</v>
      </c>
      <c r="P1871" s="136" t="str">
        <f>IFERROR(__xludf.DUMMYFUNCTION("""COMPUTED_VALUE"""),"")</f>
        <v/>
      </c>
      <c r="Q1871" s="136" t="str">
        <f>IFERROR(__xludf.DUMMYFUNCTION("""COMPUTED_VALUE"""),"")</f>
        <v/>
      </c>
      <c r="R1871" s="106" t="str">
        <f>IFERROR(__xludf.DUMMYFUNCTION("""COMPUTED_VALUE"""),"")</f>
        <v/>
      </c>
      <c r="S1871" s="106" t="str">
        <f>IFERROR(__xludf.DUMMYFUNCTION("""COMPUTED_VALUE"""),"")</f>
        <v/>
      </c>
      <c r="T1871" s="139" t="str">
        <f>IFERROR(__xludf.DUMMYFUNCTION("""COMPUTED_VALUE"""),"")</f>
        <v/>
      </c>
      <c r="U1871" s="139" t="str">
        <f>IFERROR(__xludf.DUMMYFUNCTION("""COMPUTED_VALUE"""),"")</f>
        <v/>
      </c>
      <c r="V1871" s="136" t="str">
        <f>IFERROR(__xludf.DUMMYFUNCTION("""COMPUTED_VALUE"""),"")</f>
        <v/>
      </c>
      <c r="W1871" s="106" t="str">
        <f>IFERROR(__xludf.DUMMYFUNCTION("""COMPUTED_VALUE"""),"")</f>
        <v/>
      </c>
      <c r="X1871" s="143" t="str">
        <f t="shared" si="2"/>
        <v/>
      </c>
      <c r="Y1871" s="139" t="str">
        <f>IFERROR(__xludf.DUMMYFUNCTION("""COMPUTED_VALUE"""),"")</f>
        <v/>
      </c>
      <c r="Z1871" s="141" t="str">
        <f>IFERROR(__xludf.DUMMYFUNCTION("""COMPUTED_VALUE"""),"")</f>
        <v/>
      </c>
    </row>
    <row r="1872">
      <c r="D1872" s="136" t="str">
        <f t="shared" si="3"/>
        <v/>
      </c>
      <c r="E1872" s="152"/>
      <c r="F1872" s="106" t="s">
        <v>133</v>
      </c>
      <c r="G1872" s="152"/>
      <c r="H1872" s="106" t="s">
        <v>133</v>
      </c>
      <c r="J1872" s="139" t="s">
        <v>133</v>
      </c>
      <c r="K1872" s="136" t="s">
        <v>133</v>
      </c>
      <c r="L1872" s="153"/>
      <c r="M1872" s="136" t="str">
        <f t="shared" si="1"/>
        <v/>
      </c>
      <c r="O1872" s="141" t="s">
        <v>133</v>
      </c>
      <c r="P1872" s="136" t="str">
        <f>IFERROR(__xludf.DUMMYFUNCTION("""COMPUTED_VALUE"""),"")</f>
        <v/>
      </c>
      <c r="Q1872" s="136" t="str">
        <f>IFERROR(__xludf.DUMMYFUNCTION("""COMPUTED_VALUE"""),"")</f>
        <v/>
      </c>
      <c r="R1872" s="106" t="str">
        <f>IFERROR(__xludf.DUMMYFUNCTION("""COMPUTED_VALUE"""),"")</f>
        <v/>
      </c>
      <c r="S1872" s="106" t="str">
        <f>IFERROR(__xludf.DUMMYFUNCTION("""COMPUTED_VALUE"""),"")</f>
        <v/>
      </c>
      <c r="T1872" s="139" t="str">
        <f>IFERROR(__xludf.DUMMYFUNCTION("""COMPUTED_VALUE"""),"")</f>
        <v/>
      </c>
      <c r="U1872" s="139" t="str">
        <f>IFERROR(__xludf.DUMMYFUNCTION("""COMPUTED_VALUE"""),"")</f>
        <v/>
      </c>
      <c r="V1872" s="136" t="str">
        <f>IFERROR(__xludf.DUMMYFUNCTION("""COMPUTED_VALUE"""),"")</f>
        <v/>
      </c>
      <c r="W1872" s="106" t="str">
        <f>IFERROR(__xludf.DUMMYFUNCTION("""COMPUTED_VALUE"""),"")</f>
        <v/>
      </c>
      <c r="X1872" s="143" t="str">
        <f t="shared" si="2"/>
        <v/>
      </c>
      <c r="Y1872" s="139" t="str">
        <f>IFERROR(__xludf.DUMMYFUNCTION("""COMPUTED_VALUE"""),"")</f>
        <v/>
      </c>
      <c r="Z1872" s="141" t="str">
        <f>IFERROR(__xludf.DUMMYFUNCTION("""COMPUTED_VALUE"""),"")</f>
        <v/>
      </c>
    </row>
    <row r="1873">
      <c r="D1873" s="136" t="str">
        <f t="shared" si="3"/>
        <v/>
      </c>
      <c r="E1873" s="152"/>
      <c r="F1873" s="106" t="s">
        <v>133</v>
      </c>
      <c r="G1873" s="152"/>
      <c r="H1873" s="106" t="s">
        <v>133</v>
      </c>
      <c r="J1873" s="139" t="s">
        <v>133</v>
      </c>
      <c r="K1873" s="136" t="s">
        <v>133</v>
      </c>
      <c r="L1873" s="153"/>
      <c r="M1873" s="136" t="str">
        <f t="shared" si="1"/>
        <v/>
      </c>
      <c r="O1873" s="141" t="s">
        <v>133</v>
      </c>
      <c r="P1873" s="136" t="str">
        <f>IFERROR(__xludf.DUMMYFUNCTION("""COMPUTED_VALUE"""),"")</f>
        <v/>
      </c>
      <c r="Q1873" s="136" t="str">
        <f>IFERROR(__xludf.DUMMYFUNCTION("""COMPUTED_VALUE"""),"")</f>
        <v/>
      </c>
      <c r="R1873" s="106" t="str">
        <f>IFERROR(__xludf.DUMMYFUNCTION("""COMPUTED_VALUE"""),"")</f>
        <v/>
      </c>
      <c r="S1873" s="106" t="str">
        <f>IFERROR(__xludf.DUMMYFUNCTION("""COMPUTED_VALUE"""),"")</f>
        <v/>
      </c>
      <c r="T1873" s="139" t="str">
        <f>IFERROR(__xludf.DUMMYFUNCTION("""COMPUTED_VALUE"""),"")</f>
        <v/>
      </c>
      <c r="U1873" s="139" t="str">
        <f>IFERROR(__xludf.DUMMYFUNCTION("""COMPUTED_VALUE"""),"")</f>
        <v/>
      </c>
      <c r="V1873" s="136" t="str">
        <f>IFERROR(__xludf.DUMMYFUNCTION("""COMPUTED_VALUE"""),"")</f>
        <v/>
      </c>
      <c r="W1873" s="106" t="str">
        <f>IFERROR(__xludf.DUMMYFUNCTION("""COMPUTED_VALUE"""),"")</f>
        <v/>
      </c>
      <c r="X1873" s="143" t="str">
        <f t="shared" si="2"/>
        <v/>
      </c>
      <c r="Y1873" s="139" t="str">
        <f>IFERROR(__xludf.DUMMYFUNCTION("""COMPUTED_VALUE"""),"")</f>
        <v/>
      </c>
      <c r="Z1873" s="141" t="str">
        <f>IFERROR(__xludf.DUMMYFUNCTION("""COMPUTED_VALUE"""),"")</f>
        <v/>
      </c>
    </row>
    <row r="1874">
      <c r="D1874" s="136" t="str">
        <f t="shared" si="3"/>
        <v/>
      </c>
      <c r="E1874" s="152"/>
      <c r="F1874" s="106" t="s">
        <v>133</v>
      </c>
      <c r="G1874" s="152"/>
      <c r="H1874" s="106" t="s">
        <v>133</v>
      </c>
      <c r="J1874" s="139" t="s">
        <v>133</v>
      </c>
      <c r="K1874" s="136" t="s">
        <v>133</v>
      </c>
      <c r="L1874" s="153"/>
      <c r="M1874" s="136" t="str">
        <f t="shared" si="1"/>
        <v/>
      </c>
      <c r="O1874" s="141" t="s">
        <v>133</v>
      </c>
      <c r="P1874" s="136" t="str">
        <f>IFERROR(__xludf.DUMMYFUNCTION("""COMPUTED_VALUE"""),"")</f>
        <v/>
      </c>
      <c r="Q1874" s="136" t="str">
        <f>IFERROR(__xludf.DUMMYFUNCTION("""COMPUTED_VALUE"""),"")</f>
        <v/>
      </c>
      <c r="R1874" s="106" t="str">
        <f>IFERROR(__xludf.DUMMYFUNCTION("""COMPUTED_VALUE"""),"")</f>
        <v/>
      </c>
      <c r="S1874" s="106" t="str">
        <f>IFERROR(__xludf.DUMMYFUNCTION("""COMPUTED_VALUE"""),"")</f>
        <v/>
      </c>
      <c r="T1874" s="139" t="str">
        <f>IFERROR(__xludf.DUMMYFUNCTION("""COMPUTED_VALUE"""),"")</f>
        <v/>
      </c>
      <c r="U1874" s="139" t="str">
        <f>IFERROR(__xludf.DUMMYFUNCTION("""COMPUTED_VALUE"""),"")</f>
        <v/>
      </c>
      <c r="V1874" s="136" t="str">
        <f>IFERROR(__xludf.DUMMYFUNCTION("""COMPUTED_VALUE"""),"")</f>
        <v/>
      </c>
      <c r="W1874" s="106" t="str">
        <f>IFERROR(__xludf.DUMMYFUNCTION("""COMPUTED_VALUE"""),"")</f>
        <v/>
      </c>
      <c r="X1874" s="143" t="str">
        <f t="shared" si="2"/>
        <v/>
      </c>
      <c r="Y1874" s="139" t="str">
        <f>IFERROR(__xludf.DUMMYFUNCTION("""COMPUTED_VALUE"""),"")</f>
        <v/>
      </c>
      <c r="Z1874" s="141" t="str">
        <f>IFERROR(__xludf.DUMMYFUNCTION("""COMPUTED_VALUE"""),"")</f>
        <v/>
      </c>
    </row>
    <row r="1875">
      <c r="D1875" s="136" t="str">
        <f t="shared" si="3"/>
        <v/>
      </c>
      <c r="E1875" s="152"/>
      <c r="F1875" s="106" t="s">
        <v>133</v>
      </c>
      <c r="G1875" s="152"/>
      <c r="H1875" s="106" t="s">
        <v>133</v>
      </c>
      <c r="J1875" s="139" t="s">
        <v>133</v>
      </c>
      <c r="K1875" s="136" t="s">
        <v>133</v>
      </c>
      <c r="L1875" s="153"/>
      <c r="M1875" s="136" t="str">
        <f t="shared" si="1"/>
        <v/>
      </c>
      <c r="O1875" s="141" t="s">
        <v>133</v>
      </c>
      <c r="P1875" s="136" t="str">
        <f>IFERROR(__xludf.DUMMYFUNCTION("""COMPUTED_VALUE"""),"")</f>
        <v/>
      </c>
      <c r="Q1875" s="136" t="str">
        <f>IFERROR(__xludf.DUMMYFUNCTION("""COMPUTED_VALUE"""),"")</f>
        <v/>
      </c>
      <c r="R1875" s="106" t="str">
        <f>IFERROR(__xludf.DUMMYFUNCTION("""COMPUTED_VALUE"""),"")</f>
        <v/>
      </c>
      <c r="S1875" s="106" t="str">
        <f>IFERROR(__xludf.DUMMYFUNCTION("""COMPUTED_VALUE"""),"")</f>
        <v/>
      </c>
      <c r="T1875" s="139" t="str">
        <f>IFERROR(__xludf.DUMMYFUNCTION("""COMPUTED_VALUE"""),"")</f>
        <v/>
      </c>
      <c r="U1875" s="139" t="str">
        <f>IFERROR(__xludf.DUMMYFUNCTION("""COMPUTED_VALUE"""),"")</f>
        <v/>
      </c>
      <c r="V1875" s="136" t="str">
        <f>IFERROR(__xludf.DUMMYFUNCTION("""COMPUTED_VALUE"""),"")</f>
        <v/>
      </c>
      <c r="W1875" s="106" t="str">
        <f>IFERROR(__xludf.DUMMYFUNCTION("""COMPUTED_VALUE"""),"")</f>
        <v/>
      </c>
      <c r="X1875" s="143" t="str">
        <f t="shared" si="2"/>
        <v/>
      </c>
      <c r="Y1875" s="139" t="str">
        <f>IFERROR(__xludf.DUMMYFUNCTION("""COMPUTED_VALUE"""),"")</f>
        <v/>
      </c>
      <c r="Z1875" s="141" t="str">
        <f>IFERROR(__xludf.DUMMYFUNCTION("""COMPUTED_VALUE"""),"")</f>
        <v/>
      </c>
    </row>
    <row r="1876">
      <c r="D1876" s="136" t="str">
        <f t="shared" si="3"/>
        <v/>
      </c>
      <c r="E1876" s="152"/>
      <c r="F1876" s="106" t="s">
        <v>133</v>
      </c>
      <c r="G1876" s="152"/>
      <c r="H1876" s="106" t="s">
        <v>133</v>
      </c>
      <c r="J1876" s="139" t="s">
        <v>133</v>
      </c>
      <c r="K1876" s="136" t="s">
        <v>133</v>
      </c>
      <c r="L1876" s="153"/>
      <c r="M1876" s="136" t="str">
        <f t="shared" si="1"/>
        <v/>
      </c>
      <c r="O1876" s="141" t="s">
        <v>133</v>
      </c>
      <c r="P1876" s="136" t="str">
        <f>IFERROR(__xludf.DUMMYFUNCTION("""COMPUTED_VALUE"""),"")</f>
        <v/>
      </c>
      <c r="Q1876" s="136" t="str">
        <f>IFERROR(__xludf.DUMMYFUNCTION("""COMPUTED_VALUE"""),"")</f>
        <v/>
      </c>
      <c r="R1876" s="106" t="str">
        <f>IFERROR(__xludf.DUMMYFUNCTION("""COMPUTED_VALUE"""),"")</f>
        <v/>
      </c>
      <c r="S1876" s="106" t="str">
        <f>IFERROR(__xludf.DUMMYFUNCTION("""COMPUTED_VALUE"""),"")</f>
        <v/>
      </c>
      <c r="T1876" s="139" t="str">
        <f>IFERROR(__xludf.DUMMYFUNCTION("""COMPUTED_VALUE"""),"")</f>
        <v/>
      </c>
      <c r="U1876" s="139" t="str">
        <f>IFERROR(__xludf.DUMMYFUNCTION("""COMPUTED_VALUE"""),"")</f>
        <v/>
      </c>
      <c r="V1876" s="136" t="str">
        <f>IFERROR(__xludf.DUMMYFUNCTION("""COMPUTED_VALUE"""),"")</f>
        <v/>
      </c>
      <c r="W1876" s="106" t="str">
        <f>IFERROR(__xludf.DUMMYFUNCTION("""COMPUTED_VALUE"""),"")</f>
        <v/>
      </c>
      <c r="X1876" s="143" t="str">
        <f t="shared" si="2"/>
        <v/>
      </c>
      <c r="Y1876" s="139" t="str">
        <f>IFERROR(__xludf.DUMMYFUNCTION("""COMPUTED_VALUE"""),"")</f>
        <v/>
      </c>
      <c r="Z1876" s="141" t="str">
        <f>IFERROR(__xludf.DUMMYFUNCTION("""COMPUTED_VALUE"""),"")</f>
        <v/>
      </c>
    </row>
    <row r="1877">
      <c r="D1877" s="136" t="str">
        <f t="shared" si="3"/>
        <v/>
      </c>
      <c r="E1877" s="152"/>
      <c r="F1877" s="106" t="s">
        <v>133</v>
      </c>
      <c r="G1877" s="152"/>
      <c r="H1877" s="106" t="s">
        <v>133</v>
      </c>
      <c r="J1877" s="139" t="s">
        <v>133</v>
      </c>
      <c r="K1877" s="136" t="s">
        <v>133</v>
      </c>
      <c r="L1877" s="153"/>
      <c r="M1877" s="136" t="str">
        <f t="shared" si="1"/>
        <v/>
      </c>
      <c r="O1877" s="141" t="s">
        <v>133</v>
      </c>
      <c r="P1877" s="136" t="str">
        <f>IFERROR(__xludf.DUMMYFUNCTION("""COMPUTED_VALUE"""),"")</f>
        <v/>
      </c>
      <c r="Q1877" s="136" t="str">
        <f>IFERROR(__xludf.DUMMYFUNCTION("""COMPUTED_VALUE"""),"")</f>
        <v/>
      </c>
      <c r="R1877" s="106" t="str">
        <f>IFERROR(__xludf.DUMMYFUNCTION("""COMPUTED_VALUE"""),"")</f>
        <v/>
      </c>
      <c r="S1877" s="106" t="str">
        <f>IFERROR(__xludf.DUMMYFUNCTION("""COMPUTED_VALUE"""),"")</f>
        <v/>
      </c>
      <c r="T1877" s="139" t="str">
        <f>IFERROR(__xludf.DUMMYFUNCTION("""COMPUTED_VALUE"""),"")</f>
        <v/>
      </c>
      <c r="U1877" s="139" t="str">
        <f>IFERROR(__xludf.DUMMYFUNCTION("""COMPUTED_VALUE"""),"")</f>
        <v/>
      </c>
      <c r="V1877" s="136" t="str">
        <f>IFERROR(__xludf.DUMMYFUNCTION("""COMPUTED_VALUE"""),"")</f>
        <v/>
      </c>
      <c r="W1877" s="106" t="str">
        <f>IFERROR(__xludf.DUMMYFUNCTION("""COMPUTED_VALUE"""),"")</f>
        <v/>
      </c>
      <c r="X1877" s="143" t="str">
        <f t="shared" si="2"/>
        <v/>
      </c>
      <c r="Y1877" s="139" t="str">
        <f>IFERROR(__xludf.DUMMYFUNCTION("""COMPUTED_VALUE"""),"")</f>
        <v/>
      </c>
      <c r="Z1877" s="141" t="str">
        <f>IFERROR(__xludf.DUMMYFUNCTION("""COMPUTED_VALUE"""),"")</f>
        <v/>
      </c>
    </row>
    <row r="1878">
      <c r="D1878" s="136" t="str">
        <f t="shared" si="3"/>
        <v/>
      </c>
      <c r="E1878" s="152"/>
      <c r="F1878" s="106" t="s">
        <v>133</v>
      </c>
      <c r="G1878" s="152"/>
      <c r="H1878" s="106" t="s">
        <v>133</v>
      </c>
      <c r="J1878" s="139" t="s">
        <v>133</v>
      </c>
      <c r="K1878" s="136" t="s">
        <v>133</v>
      </c>
      <c r="L1878" s="153"/>
      <c r="M1878" s="136" t="str">
        <f t="shared" si="1"/>
        <v/>
      </c>
      <c r="O1878" s="141" t="s">
        <v>133</v>
      </c>
      <c r="P1878" s="136" t="str">
        <f>IFERROR(__xludf.DUMMYFUNCTION("""COMPUTED_VALUE"""),"")</f>
        <v/>
      </c>
      <c r="Q1878" s="136" t="str">
        <f>IFERROR(__xludf.DUMMYFUNCTION("""COMPUTED_VALUE"""),"")</f>
        <v/>
      </c>
      <c r="R1878" s="106" t="str">
        <f>IFERROR(__xludf.DUMMYFUNCTION("""COMPUTED_VALUE"""),"")</f>
        <v/>
      </c>
      <c r="S1878" s="106" t="str">
        <f>IFERROR(__xludf.DUMMYFUNCTION("""COMPUTED_VALUE"""),"")</f>
        <v/>
      </c>
      <c r="T1878" s="139" t="str">
        <f>IFERROR(__xludf.DUMMYFUNCTION("""COMPUTED_VALUE"""),"")</f>
        <v/>
      </c>
      <c r="U1878" s="139" t="str">
        <f>IFERROR(__xludf.DUMMYFUNCTION("""COMPUTED_VALUE"""),"")</f>
        <v/>
      </c>
      <c r="V1878" s="136" t="str">
        <f>IFERROR(__xludf.DUMMYFUNCTION("""COMPUTED_VALUE"""),"")</f>
        <v/>
      </c>
      <c r="W1878" s="106" t="str">
        <f>IFERROR(__xludf.DUMMYFUNCTION("""COMPUTED_VALUE"""),"")</f>
        <v/>
      </c>
      <c r="X1878" s="143" t="str">
        <f t="shared" si="2"/>
        <v/>
      </c>
      <c r="Y1878" s="139" t="str">
        <f>IFERROR(__xludf.DUMMYFUNCTION("""COMPUTED_VALUE"""),"")</f>
        <v/>
      </c>
      <c r="Z1878" s="141" t="str">
        <f>IFERROR(__xludf.DUMMYFUNCTION("""COMPUTED_VALUE"""),"")</f>
        <v/>
      </c>
    </row>
    <row r="1879">
      <c r="D1879" s="136" t="str">
        <f t="shared" si="3"/>
        <v/>
      </c>
      <c r="E1879" s="152"/>
      <c r="F1879" s="106" t="s">
        <v>133</v>
      </c>
      <c r="G1879" s="152"/>
      <c r="H1879" s="106" t="s">
        <v>133</v>
      </c>
      <c r="J1879" s="139" t="s">
        <v>133</v>
      </c>
      <c r="K1879" s="136" t="s">
        <v>133</v>
      </c>
      <c r="L1879" s="153"/>
      <c r="M1879" s="136" t="str">
        <f t="shared" si="1"/>
        <v/>
      </c>
      <c r="O1879" s="141" t="s">
        <v>133</v>
      </c>
      <c r="P1879" s="136" t="str">
        <f>IFERROR(__xludf.DUMMYFUNCTION("""COMPUTED_VALUE"""),"")</f>
        <v/>
      </c>
      <c r="Q1879" s="136" t="str">
        <f>IFERROR(__xludf.DUMMYFUNCTION("""COMPUTED_VALUE"""),"")</f>
        <v/>
      </c>
      <c r="R1879" s="106" t="str">
        <f>IFERROR(__xludf.DUMMYFUNCTION("""COMPUTED_VALUE"""),"")</f>
        <v/>
      </c>
      <c r="S1879" s="106" t="str">
        <f>IFERROR(__xludf.DUMMYFUNCTION("""COMPUTED_VALUE"""),"")</f>
        <v/>
      </c>
      <c r="T1879" s="139" t="str">
        <f>IFERROR(__xludf.DUMMYFUNCTION("""COMPUTED_VALUE"""),"")</f>
        <v/>
      </c>
      <c r="U1879" s="139" t="str">
        <f>IFERROR(__xludf.DUMMYFUNCTION("""COMPUTED_VALUE"""),"")</f>
        <v/>
      </c>
      <c r="V1879" s="136" t="str">
        <f>IFERROR(__xludf.DUMMYFUNCTION("""COMPUTED_VALUE"""),"")</f>
        <v/>
      </c>
      <c r="W1879" s="106" t="str">
        <f>IFERROR(__xludf.DUMMYFUNCTION("""COMPUTED_VALUE"""),"")</f>
        <v/>
      </c>
      <c r="X1879" s="143" t="str">
        <f t="shared" si="2"/>
        <v/>
      </c>
      <c r="Y1879" s="139" t="str">
        <f>IFERROR(__xludf.DUMMYFUNCTION("""COMPUTED_VALUE"""),"")</f>
        <v/>
      </c>
      <c r="Z1879" s="141" t="str">
        <f>IFERROR(__xludf.DUMMYFUNCTION("""COMPUTED_VALUE"""),"")</f>
        <v/>
      </c>
    </row>
    <row r="1880">
      <c r="D1880" s="136" t="str">
        <f t="shared" si="3"/>
        <v/>
      </c>
      <c r="E1880" s="152"/>
      <c r="F1880" s="106" t="s">
        <v>133</v>
      </c>
      <c r="G1880" s="152"/>
      <c r="H1880" s="106" t="s">
        <v>133</v>
      </c>
      <c r="J1880" s="139" t="s">
        <v>133</v>
      </c>
      <c r="K1880" s="136" t="s">
        <v>133</v>
      </c>
      <c r="L1880" s="153"/>
      <c r="M1880" s="136" t="str">
        <f t="shared" si="1"/>
        <v/>
      </c>
      <c r="O1880" s="141" t="s">
        <v>133</v>
      </c>
      <c r="P1880" s="136" t="str">
        <f>IFERROR(__xludf.DUMMYFUNCTION("""COMPUTED_VALUE"""),"")</f>
        <v/>
      </c>
      <c r="Q1880" s="136" t="str">
        <f>IFERROR(__xludf.DUMMYFUNCTION("""COMPUTED_VALUE"""),"")</f>
        <v/>
      </c>
      <c r="R1880" s="106" t="str">
        <f>IFERROR(__xludf.DUMMYFUNCTION("""COMPUTED_VALUE"""),"")</f>
        <v/>
      </c>
      <c r="S1880" s="106" t="str">
        <f>IFERROR(__xludf.DUMMYFUNCTION("""COMPUTED_VALUE"""),"")</f>
        <v/>
      </c>
      <c r="T1880" s="139" t="str">
        <f>IFERROR(__xludf.DUMMYFUNCTION("""COMPUTED_VALUE"""),"")</f>
        <v/>
      </c>
      <c r="U1880" s="139" t="str">
        <f>IFERROR(__xludf.DUMMYFUNCTION("""COMPUTED_VALUE"""),"")</f>
        <v/>
      </c>
      <c r="V1880" s="136" t="str">
        <f>IFERROR(__xludf.DUMMYFUNCTION("""COMPUTED_VALUE"""),"")</f>
        <v/>
      </c>
      <c r="W1880" s="106" t="str">
        <f>IFERROR(__xludf.DUMMYFUNCTION("""COMPUTED_VALUE"""),"")</f>
        <v/>
      </c>
      <c r="X1880" s="143" t="str">
        <f t="shared" si="2"/>
        <v/>
      </c>
      <c r="Y1880" s="139" t="str">
        <f>IFERROR(__xludf.DUMMYFUNCTION("""COMPUTED_VALUE"""),"")</f>
        <v/>
      </c>
      <c r="Z1880" s="141" t="str">
        <f>IFERROR(__xludf.DUMMYFUNCTION("""COMPUTED_VALUE"""),"")</f>
        <v/>
      </c>
    </row>
    <row r="1881">
      <c r="D1881" s="136" t="str">
        <f t="shared" si="3"/>
        <v/>
      </c>
      <c r="E1881" s="152"/>
      <c r="F1881" s="106" t="s">
        <v>133</v>
      </c>
      <c r="G1881" s="152"/>
      <c r="H1881" s="106" t="s">
        <v>133</v>
      </c>
      <c r="J1881" s="139" t="s">
        <v>133</v>
      </c>
      <c r="K1881" s="136" t="s">
        <v>133</v>
      </c>
      <c r="L1881" s="153"/>
      <c r="M1881" s="136" t="str">
        <f t="shared" si="1"/>
        <v/>
      </c>
      <c r="O1881" s="141" t="s">
        <v>133</v>
      </c>
      <c r="P1881" s="136" t="str">
        <f>IFERROR(__xludf.DUMMYFUNCTION("""COMPUTED_VALUE"""),"")</f>
        <v/>
      </c>
      <c r="Q1881" s="136" t="str">
        <f>IFERROR(__xludf.DUMMYFUNCTION("""COMPUTED_VALUE"""),"")</f>
        <v/>
      </c>
      <c r="R1881" s="106" t="str">
        <f>IFERROR(__xludf.DUMMYFUNCTION("""COMPUTED_VALUE"""),"")</f>
        <v/>
      </c>
      <c r="S1881" s="106" t="str">
        <f>IFERROR(__xludf.DUMMYFUNCTION("""COMPUTED_VALUE"""),"")</f>
        <v/>
      </c>
      <c r="T1881" s="139" t="str">
        <f>IFERROR(__xludf.DUMMYFUNCTION("""COMPUTED_VALUE"""),"")</f>
        <v/>
      </c>
      <c r="U1881" s="139" t="str">
        <f>IFERROR(__xludf.DUMMYFUNCTION("""COMPUTED_VALUE"""),"")</f>
        <v/>
      </c>
      <c r="V1881" s="136" t="str">
        <f>IFERROR(__xludf.DUMMYFUNCTION("""COMPUTED_VALUE"""),"")</f>
        <v/>
      </c>
      <c r="W1881" s="106" t="str">
        <f>IFERROR(__xludf.DUMMYFUNCTION("""COMPUTED_VALUE"""),"")</f>
        <v/>
      </c>
      <c r="X1881" s="143" t="str">
        <f t="shared" si="2"/>
        <v/>
      </c>
      <c r="Y1881" s="139" t="str">
        <f>IFERROR(__xludf.DUMMYFUNCTION("""COMPUTED_VALUE"""),"")</f>
        <v/>
      </c>
      <c r="Z1881" s="141" t="str">
        <f>IFERROR(__xludf.DUMMYFUNCTION("""COMPUTED_VALUE"""),"")</f>
        <v/>
      </c>
    </row>
    <row r="1882">
      <c r="D1882" s="136" t="str">
        <f t="shared" si="3"/>
        <v/>
      </c>
      <c r="E1882" s="152"/>
      <c r="F1882" s="106" t="s">
        <v>133</v>
      </c>
      <c r="G1882" s="152"/>
      <c r="H1882" s="106" t="s">
        <v>133</v>
      </c>
      <c r="J1882" s="139" t="s">
        <v>133</v>
      </c>
      <c r="K1882" s="136" t="s">
        <v>133</v>
      </c>
      <c r="L1882" s="153"/>
      <c r="M1882" s="136" t="str">
        <f t="shared" si="1"/>
        <v/>
      </c>
      <c r="O1882" s="141" t="s">
        <v>133</v>
      </c>
      <c r="P1882" s="136" t="str">
        <f>IFERROR(__xludf.DUMMYFUNCTION("""COMPUTED_VALUE"""),"")</f>
        <v/>
      </c>
      <c r="Q1882" s="136" t="str">
        <f>IFERROR(__xludf.DUMMYFUNCTION("""COMPUTED_VALUE"""),"")</f>
        <v/>
      </c>
      <c r="R1882" s="106" t="str">
        <f>IFERROR(__xludf.DUMMYFUNCTION("""COMPUTED_VALUE"""),"")</f>
        <v/>
      </c>
      <c r="S1882" s="106" t="str">
        <f>IFERROR(__xludf.DUMMYFUNCTION("""COMPUTED_VALUE"""),"")</f>
        <v/>
      </c>
      <c r="T1882" s="139" t="str">
        <f>IFERROR(__xludf.DUMMYFUNCTION("""COMPUTED_VALUE"""),"")</f>
        <v/>
      </c>
      <c r="U1882" s="139" t="str">
        <f>IFERROR(__xludf.DUMMYFUNCTION("""COMPUTED_VALUE"""),"")</f>
        <v/>
      </c>
      <c r="V1882" s="136" t="str">
        <f>IFERROR(__xludf.DUMMYFUNCTION("""COMPUTED_VALUE"""),"")</f>
        <v/>
      </c>
      <c r="W1882" s="106" t="str">
        <f>IFERROR(__xludf.DUMMYFUNCTION("""COMPUTED_VALUE"""),"")</f>
        <v/>
      </c>
      <c r="X1882" s="143" t="str">
        <f t="shared" si="2"/>
        <v/>
      </c>
      <c r="Y1882" s="139" t="str">
        <f>IFERROR(__xludf.DUMMYFUNCTION("""COMPUTED_VALUE"""),"")</f>
        <v/>
      </c>
      <c r="Z1882" s="141" t="str">
        <f>IFERROR(__xludf.DUMMYFUNCTION("""COMPUTED_VALUE"""),"")</f>
        <v/>
      </c>
    </row>
    <row r="1883">
      <c r="D1883" s="136" t="str">
        <f t="shared" si="3"/>
        <v/>
      </c>
      <c r="E1883" s="152"/>
      <c r="F1883" s="106" t="s">
        <v>133</v>
      </c>
      <c r="G1883" s="152"/>
      <c r="H1883" s="106" t="s">
        <v>133</v>
      </c>
      <c r="J1883" s="139" t="s">
        <v>133</v>
      </c>
      <c r="K1883" s="136" t="s">
        <v>133</v>
      </c>
      <c r="L1883" s="153"/>
      <c r="M1883" s="136" t="str">
        <f t="shared" si="1"/>
        <v/>
      </c>
      <c r="O1883" s="141" t="s">
        <v>133</v>
      </c>
      <c r="P1883" s="136" t="str">
        <f>IFERROR(__xludf.DUMMYFUNCTION("""COMPUTED_VALUE"""),"")</f>
        <v/>
      </c>
      <c r="Q1883" s="136" t="str">
        <f>IFERROR(__xludf.DUMMYFUNCTION("""COMPUTED_VALUE"""),"")</f>
        <v/>
      </c>
      <c r="R1883" s="106" t="str">
        <f>IFERROR(__xludf.DUMMYFUNCTION("""COMPUTED_VALUE"""),"")</f>
        <v/>
      </c>
      <c r="S1883" s="106" t="str">
        <f>IFERROR(__xludf.DUMMYFUNCTION("""COMPUTED_VALUE"""),"")</f>
        <v/>
      </c>
      <c r="T1883" s="139" t="str">
        <f>IFERROR(__xludf.DUMMYFUNCTION("""COMPUTED_VALUE"""),"")</f>
        <v/>
      </c>
      <c r="U1883" s="139" t="str">
        <f>IFERROR(__xludf.DUMMYFUNCTION("""COMPUTED_VALUE"""),"")</f>
        <v/>
      </c>
      <c r="V1883" s="136" t="str">
        <f>IFERROR(__xludf.DUMMYFUNCTION("""COMPUTED_VALUE"""),"")</f>
        <v/>
      </c>
      <c r="W1883" s="106" t="str">
        <f>IFERROR(__xludf.DUMMYFUNCTION("""COMPUTED_VALUE"""),"")</f>
        <v/>
      </c>
      <c r="X1883" s="143" t="str">
        <f t="shared" si="2"/>
        <v/>
      </c>
      <c r="Y1883" s="139" t="str">
        <f>IFERROR(__xludf.DUMMYFUNCTION("""COMPUTED_VALUE"""),"")</f>
        <v/>
      </c>
      <c r="Z1883" s="141" t="str">
        <f>IFERROR(__xludf.DUMMYFUNCTION("""COMPUTED_VALUE"""),"")</f>
        <v/>
      </c>
    </row>
    <row r="1884">
      <c r="D1884" s="136" t="str">
        <f t="shared" si="3"/>
        <v/>
      </c>
      <c r="E1884" s="152"/>
      <c r="F1884" s="106" t="s">
        <v>133</v>
      </c>
      <c r="G1884" s="152"/>
      <c r="H1884" s="106" t="s">
        <v>133</v>
      </c>
      <c r="J1884" s="139" t="s">
        <v>133</v>
      </c>
      <c r="K1884" s="136" t="s">
        <v>133</v>
      </c>
      <c r="L1884" s="153"/>
      <c r="M1884" s="136" t="str">
        <f t="shared" si="1"/>
        <v/>
      </c>
      <c r="O1884" s="141" t="s">
        <v>133</v>
      </c>
      <c r="P1884" s="136" t="str">
        <f>IFERROR(__xludf.DUMMYFUNCTION("""COMPUTED_VALUE"""),"")</f>
        <v/>
      </c>
      <c r="Q1884" s="136" t="str">
        <f>IFERROR(__xludf.DUMMYFUNCTION("""COMPUTED_VALUE"""),"")</f>
        <v/>
      </c>
      <c r="R1884" s="106" t="str">
        <f>IFERROR(__xludf.DUMMYFUNCTION("""COMPUTED_VALUE"""),"")</f>
        <v/>
      </c>
      <c r="S1884" s="106" t="str">
        <f>IFERROR(__xludf.DUMMYFUNCTION("""COMPUTED_VALUE"""),"")</f>
        <v/>
      </c>
      <c r="T1884" s="139" t="str">
        <f>IFERROR(__xludf.DUMMYFUNCTION("""COMPUTED_VALUE"""),"")</f>
        <v/>
      </c>
      <c r="U1884" s="139" t="str">
        <f>IFERROR(__xludf.DUMMYFUNCTION("""COMPUTED_VALUE"""),"")</f>
        <v/>
      </c>
      <c r="V1884" s="136" t="str">
        <f>IFERROR(__xludf.DUMMYFUNCTION("""COMPUTED_VALUE"""),"")</f>
        <v/>
      </c>
      <c r="W1884" s="106" t="str">
        <f>IFERROR(__xludf.DUMMYFUNCTION("""COMPUTED_VALUE"""),"")</f>
        <v/>
      </c>
      <c r="X1884" s="143" t="str">
        <f t="shared" si="2"/>
        <v/>
      </c>
      <c r="Y1884" s="139" t="str">
        <f>IFERROR(__xludf.DUMMYFUNCTION("""COMPUTED_VALUE"""),"")</f>
        <v/>
      </c>
      <c r="Z1884" s="141" t="str">
        <f>IFERROR(__xludf.DUMMYFUNCTION("""COMPUTED_VALUE"""),"")</f>
        <v/>
      </c>
    </row>
    <row r="1885">
      <c r="D1885" s="136" t="str">
        <f t="shared" si="3"/>
        <v/>
      </c>
      <c r="E1885" s="152"/>
      <c r="F1885" s="106" t="s">
        <v>133</v>
      </c>
      <c r="G1885" s="152"/>
      <c r="H1885" s="106" t="s">
        <v>133</v>
      </c>
      <c r="J1885" s="139" t="s">
        <v>133</v>
      </c>
      <c r="K1885" s="136" t="s">
        <v>133</v>
      </c>
      <c r="L1885" s="153"/>
      <c r="M1885" s="136" t="str">
        <f t="shared" si="1"/>
        <v/>
      </c>
      <c r="O1885" s="141" t="s">
        <v>133</v>
      </c>
      <c r="P1885" s="136" t="str">
        <f>IFERROR(__xludf.DUMMYFUNCTION("""COMPUTED_VALUE"""),"")</f>
        <v/>
      </c>
      <c r="Q1885" s="136" t="str">
        <f>IFERROR(__xludf.DUMMYFUNCTION("""COMPUTED_VALUE"""),"")</f>
        <v/>
      </c>
      <c r="R1885" s="106" t="str">
        <f>IFERROR(__xludf.DUMMYFUNCTION("""COMPUTED_VALUE"""),"")</f>
        <v/>
      </c>
      <c r="S1885" s="106" t="str">
        <f>IFERROR(__xludf.DUMMYFUNCTION("""COMPUTED_VALUE"""),"")</f>
        <v/>
      </c>
      <c r="T1885" s="139" t="str">
        <f>IFERROR(__xludf.DUMMYFUNCTION("""COMPUTED_VALUE"""),"")</f>
        <v/>
      </c>
      <c r="U1885" s="139" t="str">
        <f>IFERROR(__xludf.DUMMYFUNCTION("""COMPUTED_VALUE"""),"")</f>
        <v/>
      </c>
      <c r="V1885" s="136" t="str">
        <f>IFERROR(__xludf.DUMMYFUNCTION("""COMPUTED_VALUE"""),"")</f>
        <v/>
      </c>
      <c r="W1885" s="106" t="str">
        <f>IFERROR(__xludf.DUMMYFUNCTION("""COMPUTED_VALUE"""),"")</f>
        <v/>
      </c>
      <c r="X1885" s="143" t="str">
        <f t="shared" si="2"/>
        <v/>
      </c>
      <c r="Y1885" s="139" t="str">
        <f>IFERROR(__xludf.DUMMYFUNCTION("""COMPUTED_VALUE"""),"")</f>
        <v/>
      </c>
      <c r="Z1885" s="141" t="str">
        <f>IFERROR(__xludf.DUMMYFUNCTION("""COMPUTED_VALUE"""),"")</f>
        <v/>
      </c>
    </row>
    <row r="1886">
      <c r="D1886" s="136" t="str">
        <f t="shared" si="3"/>
        <v/>
      </c>
      <c r="E1886" s="152"/>
      <c r="F1886" s="106" t="s">
        <v>133</v>
      </c>
      <c r="G1886" s="152"/>
      <c r="H1886" s="106" t="s">
        <v>133</v>
      </c>
      <c r="J1886" s="139" t="s">
        <v>133</v>
      </c>
      <c r="K1886" s="136" t="s">
        <v>133</v>
      </c>
      <c r="L1886" s="153"/>
      <c r="M1886" s="136" t="str">
        <f t="shared" si="1"/>
        <v/>
      </c>
      <c r="O1886" s="141" t="s">
        <v>133</v>
      </c>
      <c r="P1886" s="136" t="str">
        <f>IFERROR(__xludf.DUMMYFUNCTION("""COMPUTED_VALUE"""),"")</f>
        <v/>
      </c>
      <c r="Q1886" s="136" t="str">
        <f>IFERROR(__xludf.DUMMYFUNCTION("""COMPUTED_VALUE"""),"")</f>
        <v/>
      </c>
      <c r="R1886" s="106" t="str">
        <f>IFERROR(__xludf.DUMMYFUNCTION("""COMPUTED_VALUE"""),"")</f>
        <v/>
      </c>
      <c r="S1886" s="106" t="str">
        <f>IFERROR(__xludf.DUMMYFUNCTION("""COMPUTED_VALUE"""),"")</f>
        <v/>
      </c>
      <c r="T1886" s="139" t="str">
        <f>IFERROR(__xludf.DUMMYFUNCTION("""COMPUTED_VALUE"""),"")</f>
        <v/>
      </c>
      <c r="U1886" s="139" t="str">
        <f>IFERROR(__xludf.DUMMYFUNCTION("""COMPUTED_VALUE"""),"")</f>
        <v/>
      </c>
      <c r="V1886" s="136" t="str">
        <f>IFERROR(__xludf.DUMMYFUNCTION("""COMPUTED_VALUE"""),"")</f>
        <v/>
      </c>
      <c r="W1886" s="106" t="str">
        <f>IFERROR(__xludf.DUMMYFUNCTION("""COMPUTED_VALUE"""),"")</f>
        <v/>
      </c>
      <c r="X1886" s="143" t="str">
        <f t="shared" si="2"/>
        <v/>
      </c>
      <c r="Y1886" s="139" t="str">
        <f>IFERROR(__xludf.DUMMYFUNCTION("""COMPUTED_VALUE"""),"")</f>
        <v/>
      </c>
      <c r="Z1886" s="141" t="str">
        <f>IFERROR(__xludf.DUMMYFUNCTION("""COMPUTED_VALUE"""),"")</f>
        <v/>
      </c>
    </row>
    <row r="1887">
      <c r="D1887" s="136" t="str">
        <f t="shared" si="3"/>
        <v/>
      </c>
      <c r="E1887" s="152"/>
      <c r="F1887" s="106" t="s">
        <v>133</v>
      </c>
      <c r="G1887" s="152"/>
      <c r="H1887" s="106" t="s">
        <v>133</v>
      </c>
      <c r="J1887" s="139" t="s">
        <v>133</v>
      </c>
      <c r="K1887" s="136" t="s">
        <v>133</v>
      </c>
      <c r="L1887" s="153"/>
      <c r="M1887" s="136" t="str">
        <f t="shared" si="1"/>
        <v/>
      </c>
      <c r="O1887" s="141" t="s">
        <v>133</v>
      </c>
      <c r="P1887" s="136" t="str">
        <f>IFERROR(__xludf.DUMMYFUNCTION("""COMPUTED_VALUE"""),"")</f>
        <v/>
      </c>
      <c r="Q1887" s="136" t="str">
        <f>IFERROR(__xludf.DUMMYFUNCTION("""COMPUTED_VALUE"""),"")</f>
        <v/>
      </c>
      <c r="R1887" s="106" t="str">
        <f>IFERROR(__xludf.DUMMYFUNCTION("""COMPUTED_VALUE"""),"")</f>
        <v/>
      </c>
      <c r="S1887" s="106" t="str">
        <f>IFERROR(__xludf.DUMMYFUNCTION("""COMPUTED_VALUE"""),"")</f>
        <v/>
      </c>
      <c r="T1887" s="139" t="str">
        <f>IFERROR(__xludf.DUMMYFUNCTION("""COMPUTED_VALUE"""),"")</f>
        <v/>
      </c>
      <c r="U1887" s="139" t="str">
        <f>IFERROR(__xludf.DUMMYFUNCTION("""COMPUTED_VALUE"""),"")</f>
        <v/>
      </c>
      <c r="V1887" s="136" t="str">
        <f>IFERROR(__xludf.DUMMYFUNCTION("""COMPUTED_VALUE"""),"")</f>
        <v/>
      </c>
      <c r="W1887" s="106" t="str">
        <f>IFERROR(__xludf.DUMMYFUNCTION("""COMPUTED_VALUE"""),"")</f>
        <v/>
      </c>
      <c r="X1887" s="143" t="str">
        <f t="shared" si="2"/>
        <v/>
      </c>
      <c r="Y1887" s="139" t="str">
        <f>IFERROR(__xludf.DUMMYFUNCTION("""COMPUTED_VALUE"""),"")</f>
        <v/>
      </c>
      <c r="Z1887" s="141" t="str">
        <f>IFERROR(__xludf.DUMMYFUNCTION("""COMPUTED_VALUE"""),"")</f>
        <v/>
      </c>
    </row>
    <row r="1888">
      <c r="D1888" s="136" t="str">
        <f t="shared" si="3"/>
        <v/>
      </c>
      <c r="E1888" s="152"/>
      <c r="F1888" s="106" t="s">
        <v>133</v>
      </c>
      <c r="G1888" s="152"/>
      <c r="H1888" s="106" t="s">
        <v>133</v>
      </c>
      <c r="J1888" s="139" t="s">
        <v>133</v>
      </c>
      <c r="K1888" s="136" t="s">
        <v>133</v>
      </c>
      <c r="L1888" s="153"/>
      <c r="M1888" s="136" t="str">
        <f t="shared" si="1"/>
        <v/>
      </c>
      <c r="O1888" s="141" t="s">
        <v>133</v>
      </c>
      <c r="P1888" s="136" t="str">
        <f>IFERROR(__xludf.DUMMYFUNCTION("""COMPUTED_VALUE"""),"")</f>
        <v/>
      </c>
      <c r="Q1888" s="136" t="str">
        <f>IFERROR(__xludf.DUMMYFUNCTION("""COMPUTED_VALUE"""),"")</f>
        <v/>
      </c>
      <c r="R1888" s="106" t="str">
        <f>IFERROR(__xludf.DUMMYFUNCTION("""COMPUTED_VALUE"""),"")</f>
        <v/>
      </c>
      <c r="S1888" s="106" t="str">
        <f>IFERROR(__xludf.DUMMYFUNCTION("""COMPUTED_VALUE"""),"")</f>
        <v/>
      </c>
      <c r="T1888" s="139" t="str">
        <f>IFERROR(__xludf.DUMMYFUNCTION("""COMPUTED_VALUE"""),"")</f>
        <v/>
      </c>
      <c r="U1888" s="139" t="str">
        <f>IFERROR(__xludf.DUMMYFUNCTION("""COMPUTED_VALUE"""),"")</f>
        <v/>
      </c>
      <c r="V1888" s="136" t="str">
        <f>IFERROR(__xludf.DUMMYFUNCTION("""COMPUTED_VALUE"""),"")</f>
        <v/>
      </c>
      <c r="W1888" s="106" t="str">
        <f>IFERROR(__xludf.DUMMYFUNCTION("""COMPUTED_VALUE"""),"")</f>
        <v/>
      </c>
      <c r="X1888" s="143" t="str">
        <f t="shared" si="2"/>
        <v/>
      </c>
      <c r="Y1888" s="139" t="str">
        <f>IFERROR(__xludf.DUMMYFUNCTION("""COMPUTED_VALUE"""),"")</f>
        <v/>
      </c>
      <c r="Z1888" s="141" t="str">
        <f>IFERROR(__xludf.DUMMYFUNCTION("""COMPUTED_VALUE"""),"")</f>
        <v/>
      </c>
    </row>
    <row r="1889">
      <c r="D1889" s="136" t="str">
        <f t="shared" si="3"/>
        <v/>
      </c>
      <c r="E1889" s="152"/>
      <c r="F1889" s="106" t="s">
        <v>133</v>
      </c>
      <c r="G1889" s="152"/>
      <c r="H1889" s="106" t="s">
        <v>133</v>
      </c>
      <c r="J1889" s="139" t="s">
        <v>133</v>
      </c>
      <c r="K1889" s="136" t="s">
        <v>133</v>
      </c>
      <c r="L1889" s="153"/>
      <c r="M1889" s="136" t="str">
        <f t="shared" si="1"/>
        <v/>
      </c>
      <c r="O1889" s="141" t="s">
        <v>133</v>
      </c>
      <c r="P1889" s="136" t="str">
        <f>IFERROR(__xludf.DUMMYFUNCTION("""COMPUTED_VALUE"""),"")</f>
        <v/>
      </c>
      <c r="Q1889" s="136" t="str">
        <f>IFERROR(__xludf.DUMMYFUNCTION("""COMPUTED_VALUE"""),"")</f>
        <v/>
      </c>
      <c r="R1889" s="106" t="str">
        <f>IFERROR(__xludf.DUMMYFUNCTION("""COMPUTED_VALUE"""),"")</f>
        <v/>
      </c>
      <c r="S1889" s="106" t="str">
        <f>IFERROR(__xludf.DUMMYFUNCTION("""COMPUTED_VALUE"""),"")</f>
        <v/>
      </c>
      <c r="T1889" s="139" t="str">
        <f>IFERROR(__xludf.DUMMYFUNCTION("""COMPUTED_VALUE"""),"")</f>
        <v/>
      </c>
      <c r="U1889" s="139" t="str">
        <f>IFERROR(__xludf.DUMMYFUNCTION("""COMPUTED_VALUE"""),"")</f>
        <v/>
      </c>
      <c r="V1889" s="136" t="str">
        <f>IFERROR(__xludf.DUMMYFUNCTION("""COMPUTED_VALUE"""),"")</f>
        <v/>
      </c>
      <c r="W1889" s="106" t="str">
        <f>IFERROR(__xludf.DUMMYFUNCTION("""COMPUTED_VALUE"""),"")</f>
        <v/>
      </c>
      <c r="X1889" s="143" t="str">
        <f t="shared" si="2"/>
        <v/>
      </c>
      <c r="Y1889" s="139" t="str">
        <f>IFERROR(__xludf.DUMMYFUNCTION("""COMPUTED_VALUE"""),"")</f>
        <v/>
      </c>
      <c r="Z1889" s="141" t="str">
        <f>IFERROR(__xludf.DUMMYFUNCTION("""COMPUTED_VALUE"""),"")</f>
        <v/>
      </c>
    </row>
    <row r="1890">
      <c r="D1890" s="136" t="str">
        <f t="shared" si="3"/>
        <v/>
      </c>
      <c r="E1890" s="152"/>
      <c r="F1890" s="106" t="s">
        <v>133</v>
      </c>
      <c r="G1890" s="152"/>
      <c r="H1890" s="106" t="s">
        <v>133</v>
      </c>
      <c r="J1890" s="139" t="s">
        <v>133</v>
      </c>
      <c r="K1890" s="136" t="s">
        <v>133</v>
      </c>
      <c r="L1890" s="153"/>
      <c r="M1890" s="136" t="str">
        <f t="shared" si="1"/>
        <v/>
      </c>
      <c r="O1890" s="141" t="s">
        <v>133</v>
      </c>
      <c r="P1890" s="136" t="str">
        <f>IFERROR(__xludf.DUMMYFUNCTION("""COMPUTED_VALUE"""),"")</f>
        <v/>
      </c>
      <c r="Q1890" s="136" t="str">
        <f>IFERROR(__xludf.DUMMYFUNCTION("""COMPUTED_VALUE"""),"")</f>
        <v/>
      </c>
      <c r="R1890" s="106" t="str">
        <f>IFERROR(__xludf.DUMMYFUNCTION("""COMPUTED_VALUE"""),"")</f>
        <v/>
      </c>
      <c r="S1890" s="106" t="str">
        <f>IFERROR(__xludf.DUMMYFUNCTION("""COMPUTED_VALUE"""),"")</f>
        <v/>
      </c>
      <c r="T1890" s="139" t="str">
        <f>IFERROR(__xludf.DUMMYFUNCTION("""COMPUTED_VALUE"""),"")</f>
        <v/>
      </c>
      <c r="U1890" s="139" t="str">
        <f>IFERROR(__xludf.DUMMYFUNCTION("""COMPUTED_VALUE"""),"")</f>
        <v/>
      </c>
      <c r="V1890" s="136" t="str">
        <f>IFERROR(__xludf.DUMMYFUNCTION("""COMPUTED_VALUE"""),"")</f>
        <v/>
      </c>
      <c r="W1890" s="106" t="str">
        <f>IFERROR(__xludf.DUMMYFUNCTION("""COMPUTED_VALUE"""),"")</f>
        <v/>
      </c>
      <c r="X1890" s="143" t="str">
        <f t="shared" si="2"/>
        <v/>
      </c>
      <c r="Y1890" s="139" t="str">
        <f>IFERROR(__xludf.DUMMYFUNCTION("""COMPUTED_VALUE"""),"")</f>
        <v/>
      </c>
      <c r="Z1890" s="141" t="str">
        <f>IFERROR(__xludf.DUMMYFUNCTION("""COMPUTED_VALUE"""),"")</f>
        <v/>
      </c>
    </row>
    <row r="1891">
      <c r="D1891" s="136" t="str">
        <f t="shared" si="3"/>
        <v/>
      </c>
      <c r="E1891" s="152"/>
      <c r="F1891" s="106" t="s">
        <v>133</v>
      </c>
      <c r="G1891" s="152"/>
      <c r="H1891" s="106" t="s">
        <v>133</v>
      </c>
      <c r="J1891" s="139" t="s">
        <v>133</v>
      </c>
      <c r="K1891" s="136" t="s">
        <v>133</v>
      </c>
      <c r="L1891" s="153"/>
      <c r="M1891" s="136" t="str">
        <f t="shared" si="1"/>
        <v/>
      </c>
      <c r="O1891" s="141" t="s">
        <v>133</v>
      </c>
      <c r="P1891" s="136" t="str">
        <f>IFERROR(__xludf.DUMMYFUNCTION("""COMPUTED_VALUE"""),"")</f>
        <v/>
      </c>
      <c r="Q1891" s="136" t="str">
        <f>IFERROR(__xludf.DUMMYFUNCTION("""COMPUTED_VALUE"""),"")</f>
        <v/>
      </c>
      <c r="R1891" s="106" t="str">
        <f>IFERROR(__xludf.DUMMYFUNCTION("""COMPUTED_VALUE"""),"")</f>
        <v/>
      </c>
      <c r="S1891" s="106" t="str">
        <f>IFERROR(__xludf.DUMMYFUNCTION("""COMPUTED_VALUE"""),"")</f>
        <v/>
      </c>
      <c r="T1891" s="139" t="str">
        <f>IFERROR(__xludf.DUMMYFUNCTION("""COMPUTED_VALUE"""),"")</f>
        <v/>
      </c>
      <c r="U1891" s="139" t="str">
        <f>IFERROR(__xludf.DUMMYFUNCTION("""COMPUTED_VALUE"""),"")</f>
        <v/>
      </c>
      <c r="V1891" s="136" t="str">
        <f>IFERROR(__xludf.DUMMYFUNCTION("""COMPUTED_VALUE"""),"")</f>
        <v/>
      </c>
      <c r="W1891" s="106" t="str">
        <f>IFERROR(__xludf.DUMMYFUNCTION("""COMPUTED_VALUE"""),"")</f>
        <v/>
      </c>
      <c r="X1891" s="143" t="str">
        <f t="shared" si="2"/>
        <v/>
      </c>
      <c r="Y1891" s="139" t="str">
        <f>IFERROR(__xludf.DUMMYFUNCTION("""COMPUTED_VALUE"""),"")</f>
        <v/>
      </c>
      <c r="Z1891" s="141" t="str">
        <f>IFERROR(__xludf.DUMMYFUNCTION("""COMPUTED_VALUE"""),"")</f>
        <v/>
      </c>
    </row>
    <row r="1892">
      <c r="D1892" s="136" t="str">
        <f t="shared" si="3"/>
        <v/>
      </c>
      <c r="E1892" s="152"/>
      <c r="F1892" s="106" t="s">
        <v>133</v>
      </c>
      <c r="G1892" s="152"/>
      <c r="H1892" s="106" t="s">
        <v>133</v>
      </c>
      <c r="J1892" s="139" t="s">
        <v>133</v>
      </c>
      <c r="K1892" s="136" t="s">
        <v>133</v>
      </c>
      <c r="L1892" s="153"/>
      <c r="M1892" s="136" t="str">
        <f t="shared" si="1"/>
        <v/>
      </c>
      <c r="O1892" s="141" t="s">
        <v>133</v>
      </c>
      <c r="P1892" s="136" t="str">
        <f>IFERROR(__xludf.DUMMYFUNCTION("""COMPUTED_VALUE"""),"")</f>
        <v/>
      </c>
      <c r="Q1892" s="136" t="str">
        <f>IFERROR(__xludf.DUMMYFUNCTION("""COMPUTED_VALUE"""),"")</f>
        <v/>
      </c>
      <c r="R1892" s="106" t="str">
        <f>IFERROR(__xludf.DUMMYFUNCTION("""COMPUTED_VALUE"""),"")</f>
        <v/>
      </c>
      <c r="S1892" s="106" t="str">
        <f>IFERROR(__xludf.DUMMYFUNCTION("""COMPUTED_VALUE"""),"")</f>
        <v/>
      </c>
      <c r="T1892" s="139" t="str">
        <f>IFERROR(__xludf.DUMMYFUNCTION("""COMPUTED_VALUE"""),"")</f>
        <v/>
      </c>
      <c r="U1892" s="139" t="str">
        <f>IFERROR(__xludf.DUMMYFUNCTION("""COMPUTED_VALUE"""),"")</f>
        <v/>
      </c>
      <c r="V1892" s="136" t="str">
        <f>IFERROR(__xludf.DUMMYFUNCTION("""COMPUTED_VALUE"""),"")</f>
        <v/>
      </c>
      <c r="W1892" s="106" t="str">
        <f>IFERROR(__xludf.DUMMYFUNCTION("""COMPUTED_VALUE"""),"")</f>
        <v/>
      </c>
      <c r="X1892" s="143" t="str">
        <f t="shared" si="2"/>
        <v/>
      </c>
      <c r="Y1892" s="139" t="str">
        <f>IFERROR(__xludf.DUMMYFUNCTION("""COMPUTED_VALUE"""),"")</f>
        <v/>
      </c>
      <c r="Z1892" s="141" t="str">
        <f>IFERROR(__xludf.DUMMYFUNCTION("""COMPUTED_VALUE"""),"")</f>
        <v/>
      </c>
    </row>
    <row r="1893">
      <c r="D1893" s="136" t="str">
        <f t="shared" si="3"/>
        <v/>
      </c>
      <c r="E1893" s="152"/>
      <c r="F1893" s="106" t="s">
        <v>133</v>
      </c>
      <c r="G1893" s="152"/>
      <c r="H1893" s="106" t="s">
        <v>133</v>
      </c>
      <c r="J1893" s="139" t="s">
        <v>133</v>
      </c>
      <c r="K1893" s="136" t="s">
        <v>133</v>
      </c>
      <c r="L1893" s="153"/>
      <c r="M1893" s="136" t="str">
        <f t="shared" si="1"/>
        <v/>
      </c>
      <c r="O1893" s="141" t="s">
        <v>133</v>
      </c>
      <c r="P1893" s="136" t="str">
        <f>IFERROR(__xludf.DUMMYFUNCTION("""COMPUTED_VALUE"""),"")</f>
        <v/>
      </c>
      <c r="Q1893" s="136" t="str">
        <f>IFERROR(__xludf.DUMMYFUNCTION("""COMPUTED_VALUE"""),"")</f>
        <v/>
      </c>
      <c r="R1893" s="106" t="str">
        <f>IFERROR(__xludf.DUMMYFUNCTION("""COMPUTED_VALUE"""),"")</f>
        <v/>
      </c>
      <c r="S1893" s="106" t="str">
        <f>IFERROR(__xludf.DUMMYFUNCTION("""COMPUTED_VALUE"""),"")</f>
        <v/>
      </c>
      <c r="T1893" s="139" t="str">
        <f>IFERROR(__xludf.DUMMYFUNCTION("""COMPUTED_VALUE"""),"")</f>
        <v/>
      </c>
      <c r="U1893" s="139" t="str">
        <f>IFERROR(__xludf.DUMMYFUNCTION("""COMPUTED_VALUE"""),"")</f>
        <v/>
      </c>
      <c r="V1893" s="136" t="str">
        <f>IFERROR(__xludf.DUMMYFUNCTION("""COMPUTED_VALUE"""),"")</f>
        <v/>
      </c>
      <c r="W1893" s="106" t="str">
        <f>IFERROR(__xludf.DUMMYFUNCTION("""COMPUTED_VALUE"""),"")</f>
        <v/>
      </c>
      <c r="X1893" s="143" t="str">
        <f t="shared" si="2"/>
        <v/>
      </c>
      <c r="Y1893" s="139" t="str">
        <f>IFERROR(__xludf.DUMMYFUNCTION("""COMPUTED_VALUE"""),"")</f>
        <v/>
      </c>
      <c r="Z1893" s="141" t="str">
        <f>IFERROR(__xludf.DUMMYFUNCTION("""COMPUTED_VALUE"""),"")</f>
        <v/>
      </c>
    </row>
    <row r="1894">
      <c r="D1894" s="136" t="str">
        <f t="shared" si="3"/>
        <v/>
      </c>
      <c r="E1894" s="152"/>
      <c r="F1894" s="106" t="s">
        <v>133</v>
      </c>
      <c r="G1894" s="152"/>
      <c r="H1894" s="106" t="s">
        <v>133</v>
      </c>
      <c r="J1894" s="139" t="s">
        <v>133</v>
      </c>
      <c r="K1894" s="136" t="s">
        <v>133</v>
      </c>
      <c r="L1894" s="153"/>
      <c r="M1894" s="136" t="str">
        <f t="shared" si="1"/>
        <v/>
      </c>
      <c r="O1894" s="141" t="s">
        <v>133</v>
      </c>
      <c r="P1894" s="136" t="str">
        <f>IFERROR(__xludf.DUMMYFUNCTION("""COMPUTED_VALUE"""),"")</f>
        <v/>
      </c>
      <c r="Q1894" s="136" t="str">
        <f>IFERROR(__xludf.DUMMYFUNCTION("""COMPUTED_VALUE"""),"")</f>
        <v/>
      </c>
      <c r="R1894" s="106" t="str">
        <f>IFERROR(__xludf.DUMMYFUNCTION("""COMPUTED_VALUE"""),"")</f>
        <v/>
      </c>
      <c r="S1894" s="106" t="str">
        <f>IFERROR(__xludf.DUMMYFUNCTION("""COMPUTED_VALUE"""),"")</f>
        <v/>
      </c>
      <c r="T1894" s="139" t="str">
        <f>IFERROR(__xludf.DUMMYFUNCTION("""COMPUTED_VALUE"""),"")</f>
        <v/>
      </c>
      <c r="U1894" s="139" t="str">
        <f>IFERROR(__xludf.DUMMYFUNCTION("""COMPUTED_VALUE"""),"")</f>
        <v/>
      </c>
      <c r="V1894" s="136" t="str">
        <f>IFERROR(__xludf.DUMMYFUNCTION("""COMPUTED_VALUE"""),"")</f>
        <v/>
      </c>
      <c r="W1894" s="106" t="str">
        <f>IFERROR(__xludf.DUMMYFUNCTION("""COMPUTED_VALUE"""),"")</f>
        <v/>
      </c>
      <c r="X1894" s="143" t="str">
        <f t="shared" si="2"/>
        <v/>
      </c>
      <c r="Y1894" s="139" t="str">
        <f>IFERROR(__xludf.DUMMYFUNCTION("""COMPUTED_VALUE"""),"")</f>
        <v/>
      </c>
      <c r="Z1894" s="141" t="str">
        <f>IFERROR(__xludf.DUMMYFUNCTION("""COMPUTED_VALUE"""),"")</f>
        <v/>
      </c>
    </row>
    <row r="1895">
      <c r="D1895" s="136" t="str">
        <f t="shared" si="3"/>
        <v/>
      </c>
      <c r="E1895" s="152"/>
      <c r="F1895" s="106" t="s">
        <v>133</v>
      </c>
      <c r="G1895" s="152"/>
      <c r="H1895" s="106" t="s">
        <v>133</v>
      </c>
      <c r="J1895" s="139" t="s">
        <v>133</v>
      </c>
      <c r="K1895" s="136" t="s">
        <v>133</v>
      </c>
      <c r="L1895" s="153"/>
      <c r="M1895" s="136" t="str">
        <f t="shared" si="1"/>
        <v/>
      </c>
      <c r="O1895" s="141" t="s">
        <v>133</v>
      </c>
      <c r="P1895" s="136" t="str">
        <f>IFERROR(__xludf.DUMMYFUNCTION("""COMPUTED_VALUE"""),"")</f>
        <v/>
      </c>
      <c r="Q1895" s="136" t="str">
        <f>IFERROR(__xludf.DUMMYFUNCTION("""COMPUTED_VALUE"""),"")</f>
        <v/>
      </c>
      <c r="R1895" s="106" t="str">
        <f>IFERROR(__xludf.DUMMYFUNCTION("""COMPUTED_VALUE"""),"")</f>
        <v/>
      </c>
      <c r="S1895" s="106" t="str">
        <f>IFERROR(__xludf.DUMMYFUNCTION("""COMPUTED_VALUE"""),"")</f>
        <v/>
      </c>
      <c r="T1895" s="139" t="str">
        <f>IFERROR(__xludf.DUMMYFUNCTION("""COMPUTED_VALUE"""),"")</f>
        <v/>
      </c>
      <c r="U1895" s="139" t="str">
        <f>IFERROR(__xludf.DUMMYFUNCTION("""COMPUTED_VALUE"""),"")</f>
        <v/>
      </c>
      <c r="V1895" s="136" t="str">
        <f>IFERROR(__xludf.DUMMYFUNCTION("""COMPUTED_VALUE"""),"")</f>
        <v/>
      </c>
      <c r="W1895" s="106" t="str">
        <f>IFERROR(__xludf.DUMMYFUNCTION("""COMPUTED_VALUE"""),"")</f>
        <v/>
      </c>
      <c r="X1895" s="143" t="str">
        <f t="shared" si="2"/>
        <v/>
      </c>
      <c r="Y1895" s="139" t="str">
        <f>IFERROR(__xludf.DUMMYFUNCTION("""COMPUTED_VALUE"""),"")</f>
        <v/>
      </c>
      <c r="Z1895" s="141" t="str">
        <f>IFERROR(__xludf.DUMMYFUNCTION("""COMPUTED_VALUE"""),"")</f>
        <v/>
      </c>
    </row>
    <row r="1896">
      <c r="D1896" s="136" t="str">
        <f t="shared" si="3"/>
        <v/>
      </c>
      <c r="E1896" s="152"/>
      <c r="F1896" s="106" t="s">
        <v>133</v>
      </c>
      <c r="G1896" s="152"/>
      <c r="H1896" s="106" t="s">
        <v>133</v>
      </c>
      <c r="J1896" s="139" t="s">
        <v>133</v>
      </c>
      <c r="K1896" s="136" t="s">
        <v>133</v>
      </c>
      <c r="L1896" s="153"/>
      <c r="M1896" s="136" t="str">
        <f t="shared" si="1"/>
        <v/>
      </c>
      <c r="O1896" s="141" t="s">
        <v>133</v>
      </c>
      <c r="P1896" s="136" t="str">
        <f>IFERROR(__xludf.DUMMYFUNCTION("""COMPUTED_VALUE"""),"")</f>
        <v/>
      </c>
      <c r="Q1896" s="136" t="str">
        <f>IFERROR(__xludf.DUMMYFUNCTION("""COMPUTED_VALUE"""),"")</f>
        <v/>
      </c>
      <c r="R1896" s="106" t="str">
        <f>IFERROR(__xludf.DUMMYFUNCTION("""COMPUTED_VALUE"""),"")</f>
        <v/>
      </c>
      <c r="S1896" s="106" t="str">
        <f>IFERROR(__xludf.DUMMYFUNCTION("""COMPUTED_VALUE"""),"")</f>
        <v/>
      </c>
      <c r="T1896" s="139" t="str">
        <f>IFERROR(__xludf.DUMMYFUNCTION("""COMPUTED_VALUE"""),"")</f>
        <v/>
      </c>
      <c r="U1896" s="139" t="str">
        <f>IFERROR(__xludf.DUMMYFUNCTION("""COMPUTED_VALUE"""),"")</f>
        <v/>
      </c>
      <c r="V1896" s="136" t="str">
        <f>IFERROR(__xludf.DUMMYFUNCTION("""COMPUTED_VALUE"""),"")</f>
        <v/>
      </c>
      <c r="W1896" s="106" t="str">
        <f>IFERROR(__xludf.DUMMYFUNCTION("""COMPUTED_VALUE"""),"")</f>
        <v/>
      </c>
      <c r="X1896" s="143" t="str">
        <f t="shared" si="2"/>
        <v/>
      </c>
      <c r="Y1896" s="139" t="str">
        <f>IFERROR(__xludf.DUMMYFUNCTION("""COMPUTED_VALUE"""),"")</f>
        <v/>
      </c>
      <c r="Z1896" s="141" t="str">
        <f>IFERROR(__xludf.DUMMYFUNCTION("""COMPUTED_VALUE"""),"")</f>
        <v/>
      </c>
    </row>
    <row r="1897">
      <c r="D1897" s="136" t="str">
        <f t="shared" si="3"/>
        <v/>
      </c>
      <c r="E1897" s="152"/>
      <c r="F1897" s="106" t="s">
        <v>133</v>
      </c>
      <c r="G1897" s="152"/>
      <c r="H1897" s="106" t="s">
        <v>133</v>
      </c>
      <c r="J1897" s="139" t="s">
        <v>133</v>
      </c>
      <c r="K1897" s="136" t="s">
        <v>133</v>
      </c>
      <c r="L1897" s="153"/>
      <c r="M1897" s="136" t="str">
        <f t="shared" si="1"/>
        <v/>
      </c>
      <c r="O1897" s="141" t="s">
        <v>133</v>
      </c>
      <c r="P1897" s="136" t="str">
        <f>IFERROR(__xludf.DUMMYFUNCTION("""COMPUTED_VALUE"""),"")</f>
        <v/>
      </c>
      <c r="Q1897" s="136" t="str">
        <f>IFERROR(__xludf.DUMMYFUNCTION("""COMPUTED_VALUE"""),"")</f>
        <v/>
      </c>
      <c r="R1897" s="106" t="str">
        <f>IFERROR(__xludf.DUMMYFUNCTION("""COMPUTED_VALUE"""),"")</f>
        <v/>
      </c>
      <c r="S1897" s="106" t="str">
        <f>IFERROR(__xludf.DUMMYFUNCTION("""COMPUTED_VALUE"""),"")</f>
        <v/>
      </c>
      <c r="T1897" s="139" t="str">
        <f>IFERROR(__xludf.DUMMYFUNCTION("""COMPUTED_VALUE"""),"")</f>
        <v/>
      </c>
      <c r="U1897" s="139" t="str">
        <f>IFERROR(__xludf.DUMMYFUNCTION("""COMPUTED_VALUE"""),"")</f>
        <v/>
      </c>
      <c r="V1897" s="136" t="str">
        <f>IFERROR(__xludf.DUMMYFUNCTION("""COMPUTED_VALUE"""),"")</f>
        <v/>
      </c>
      <c r="W1897" s="106" t="str">
        <f>IFERROR(__xludf.DUMMYFUNCTION("""COMPUTED_VALUE"""),"")</f>
        <v/>
      </c>
      <c r="X1897" s="143" t="str">
        <f t="shared" si="2"/>
        <v/>
      </c>
      <c r="Y1897" s="139" t="str">
        <f>IFERROR(__xludf.DUMMYFUNCTION("""COMPUTED_VALUE"""),"")</f>
        <v/>
      </c>
      <c r="Z1897" s="141" t="str">
        <f>IFERROR(__xludf.DUMMYFUNCTION("""COMPUTED_VALUE"""),"")</f>
        <v/>
      </c>
    </row>
    <row r="1898">
      <c r="D1898" s="136" t="str">
        <f t="shared" si="3"/>
        <v/>
      </c>
      <c r="E1898" s="152"/>
      <c r="F1898" s="106" t="s">
        <v>133</v>
      </c>
      <c r="G1898" s="152"/>
      <c r="H1898" s="106" t="s">
        <v>133</v>
      </c>
      <c r="J1898" s="139" t="s">
        <v>133</v>
      </c>
      <c r="K1898" s="136" t="s">
        <v>133</v>
      </c>
      <c r="L1898" s="153"/>
      <c r="M1898" s="136" t="str">
        <f t="shared" si="1"/>
        <v/>
      </c>
      <c r="O1898" s="141" t="s">
        <v>133</v>
      </c>
      <c r="P1898" s="136" t="str">
        <f>IFERROR(__xludf.DUMMYFUNCTION("""COMPUTED_VALUE"""),"")</f>
        <v/>
      </c>
      <c r="Q1898" s="136" t="str">
        <f>IFERROR(__xludf.DUMMYFUNCTION("""COMPUTED_VALUE"""),"")</f>
        <v/>
      </c>
      <c r="R1898" s="106" t="str">
        <f>IFERROR(__xludf.DUMMYFUNCTION("""COMPUTED_VALUE"""),"")</f>
        <v/>
      </c>
      <c r="S1898" s="106" t="str">
        <f>IFERROR(__xludf.DUMMYFUNCTION("""COMPUTED_VALUE"""),"")</f>
        <v/>
      </c>
      <c r="T1898" s="139" t="str">
        <f>IFERROR(__xludf.DUMMYFUNCTION("""COMPUTED_VALUE"""),"")</f>
        <v/>
      </c>
      <c r="U1898" s="139" t="str">
        <f>IFERROR(__xludf.DUMMYFUNCTION("""COMPUTED_VALUE"""),"")</f>
        <v/>
      </c>
      <c r="V1898" s="136" t="str">
        <f>IFERROR(__xludf.DUMMYFUNCTION("""COMPUTED_VALUE"""),"")</f>
        <v/>
      </c>
      <c r="W1898" s="106" t="str">
        <f>IFERROR(__xludf.DUMMYFUNCTION("""COMPUTED_VALUE"""),"")</f>
        <v/>
      </c>
      <c r="X1898" s="143" t="str">
        <f t="shared" si="2"/>
        <v/>
      </c>
      <c r="Y1898" s="139" t="str">
        <f>IFERROR(__xludf.DUMMYFUNCTION("""COMPUTED_VALUE"""),"")</f>
        <v/>
      </c>
      <c r="Z1898" s="141" t="str">
        <f>IFERROR(__xludf.DUMMYFUNCTION("""COMPUTED_VALUE"""),"")</f>
        <v/>
      </c>
    </row>
    <row r="1899">
      <c r="D1899" s="136" t="str">
        <f t="shared" si="3"/>
        <v/>
      </c>
      <c r="E1899" s="152"/>
      <c r="F1899" s="106" t="s">
        <v>133</v>
      </c>
      <c r="G1899" s="152"/>
      <c r="H1899" s="106" t="s">
        <v>133</v>
      </c>
      <c r="J1899" s="139" t="s">
        <v>133</v>
      </c>
      <c r="K1899" s="136" t="s">
        <v>133</v>
      </c>
      <c r="L1899" s="153"/>
      <c r="M1899" s="136" t="str">
        <f t="shared" si="1"/>
        <v/>
      </c>
      <c r="O1899" s="141" t="s">
        <v>133</v>
      </c>
      <c r="P1899" s="136" t="str">
        <f>IFERROR(__xludf.DUMMYFUNCTION("""COMPUTED_VALUE"""),"")</f>
        <v/>
      </c>
      <c r="Q1899" s="136" t="str">
        <f>IFERROR(__xludf.DUMMYFUNCTION("""COMPUTED_VALUE"""),"")</f>
        <v/>
      </c>
      <c r="R1899" s="106" t="str">
        <f>IFERROR(__xludf.DUMMYFUNCTION("""COMPUTED_VALUE"""),"")</f>
        <v/>
      </c>
      <c r="S1899" s="106" t="str">
        <f>IFERROR(__xludf.DUMMYFUNCTION("""COMPUTED_VALUE"""),"")</f>
        <v/>
      </c>
      <c r="T1899" s="139" t="str">
        <f>IFERROR(__xludf.DUMMYFUNCTION("""COMPUTED_VALUE"""),"")</f>
        <v/>
      </c>
      <c r="U1899" s="139" t="str">
        <f>IFERROR(__xludf.DUMMYFUNCTION("""COMPUTED_VALUE"""),"")</f>
        <v/>
      </c>
      <c r="V1899" s="136" t="str">
        <f>IFERROR(__xludf.DUMMYFUNCTION("""COMPUTED_VALUE"""),"")</f>
        <v/>
      </c>
      <c r="W1899" s="106" t="str">
        <f>IFERROR(__xludf.DUMMYFUNCTION("""COMPUTED_VALUE"""),"")</f>
        <v/>
      </c>
      <c r="X1899" s="143" t="str">
        <f t="shared" si="2"/>
        <v/>
      </c>
      <c r="Y1899" s="139" t="str">
        <f>IFERROR(__xludf.DUMMYFUNCTION("""COMPUTED_VALUE"""),"")</f>
        <v/>
      </c>
      <c r="Z1899" s="141" t="str">
        <f>IFERROR(__xludf.DUMMYFUNCTION("""COMPUTED_VALUE"""),"")</f>
        <v/>
      </c>
    </row>
    <row r="1900">
      <c r="D1900" s="136" t="str">
        <f t="shared" si="3"/>
        <v/>
      </c>
      <c r="E1900" s="152"/>
      <c r="F1900" s="106" t="s">
        <v>133</v>
      </c>
      <c r="G1900" s="152"/>
      <c r="H1900" s="106" t="s">
        <v>133</v>
      </c>
      <c r="J1900" s="139" t="s">
        <v>133</v>
      </c>
      <c r="K1900" s="136" t="s">
        <v>133</v>
      </c>
      <c r="L1900" s="153"/>
      <c r="M1900" s="136" t="str">
        <f t="shared" si="1"/>
        <v/>
      </c>
      <c r="O1900" s="141" t="s">
        <v>133</v>
      </c>
      <c r="P1900" s="136" t="str">
        <f>IFERROR(__xludf.DUMMYFUNCTION("""COMPUTED_VALUE"""),"")</f>
        <v/>
      </c>
      <c r="Q1900" s="136" t="str">
        <f>IFERROR(__xludf.DUMMYFUNCTION("""COMPUTED_VALUE"""),"")</f>
        <v/>
      </c>
      <c r="R1900" s="106" t="str">
        <f>IFERROR(__xludf.DUMMYFUNCTION("""COMPUTED_VALUE"""),"")</f>
        <v/>
      </c>
      <c r="S1900" s="106" t="str">
        <f>IFERROR(__xludf.DUMMYFUNCTION("""COMPUTED_VALUE"""),"")</f>
        <v/>
      </c>
      <c r="T1900" s="139" t="str">
        <f>IFERROR(__xludf.DUMMYFUNCTION("""COMPUTED_VALUE"""),"")</f>
        <v/>
      </c>
      <c r="U1900" s="139" t="str">
        <f>IFERROR(__xludf.DUMMYFUNCTION("""COMPUTED_VALUE"""),"")</f>
        <v/>
      </c>
      <c r="V1900" s="136" t="str">
        <f>IFERROR(__xludf.DUMMYFUNCTION("""COMPUTED_VALUE"""),"")</f>
        <v/>
      </c>
      <c r="W1900" s="106" t="str">
        <f>IFERROR(__xludf.DUMMYFUNCTION("""COMPUTED_VALUE"""),"")</f>
        <v/>
      </c>
      <c r="X1900" s="143" t="str">
        <f t="shared" si="2"/>
        <v/>
      </c>
      <c r="Y1900" s="139" t="str">
        <f>IFERROR(__xludf.DUMMYFUNCTION("""COMPUTED_VALUE"""),"")</f>
        <v/>
      </c>
      <c r="Z1900" s="141" t="str">
        <f>IFERROR(__xludf.DUMMYFUNCTION("""COMPUTED_VALUE"""),"")</f>
        <v/>
      </c>
    </row>
    <row r="1901">
      <c r="D1901" s="136" t="str">
        <f t="shared" si="3"/>
        <v/>
      </c>
      <c r="E1901" s="152"/>
      <c r="F1901" s="106" t="s">
        <v>133</v>
      </c>
      <c r="G1901" s="152"/>
      <c r="H1901" s="106" t="s">
        <v>133</v>
      </c>
      <c r="J1901" s="139" t="s">
        <v>133</v>
      </c>
      <c r="K1901" s="136" t="s">
        <v>133</v>
      </c>
      <c r="L1901" s="153"/>
      <c r="M1901" s="136" t="str">
        <f t="shared" si="1"/>
        <v/>
      </c>
      <c r="O1901" s="141" t="s">
        <v>133</v>
      </c>
      <c r="P1901" s="136" t="str">
        <f>IFERROR(__xludf.DUMMYFUNCTION("""COMPUTED_VALUE"""),"")</f>
        <v/>
      </c>
      <c r="Q1901" s="136" t="str">
        <f>IFERROR(__xludf.DUMMYFUNCTION("""COMPUTED_VALUE"""),"")</f>
        <v/>
      </c>
      <c r="R1901" s="106" t="str">
        <f>IFERROR(__xludf.DUMMYFUNCTION("""COMPUTED_VALUE"""),"")</f>
        <v/>
      </c>
      <c r="S1901" s="106" t="str">
        <f>IFERROR(__xludf.DUMMYFUNCTION("""COMPUTED_VALUE"""),"")</f>
        <v/>
      </c>
      <c r="T1901" s="139" t="str">
        <f>IFERROR(__xludf.DUMMYFUNCTION("""COMPUTED_VALUE"""),"")</f>
        <v/>
      </c>
      <c r="U1901" s="139" t="str">
        <f>IFERROR(__xludf.DUMMYFUNCTION("""COMPUTED_VALUE"""),"")</f>
        <v/>
      </c>
      <c r="V1901" s="136" t="str">
        <f>IFERROR(__xludf.DUMMYFUNCTION("""COMPUTED_VALUE"""),"")</f>
        <v/>
      </c>
      <c r="W1901" s="106" t="str">
        <f>IFERROR(__xludf.DUMMYFUNCTION("""COMPUTED_VALUE"""),"")</f>
        <v/>
      </c>
      <c r="X1901" s="143" t="str">
        <f t="shared" si="2"/>
        <v/>
      </c>
      <c r="Y1901" s="139" t="str">
        <f>IFERROR(__xludf.DUMMYFUNCTION("""COMPUTED_VALUE"""),"")</f>
        <v/>
      </c>
      <c r="Z1901" s="141" t="str">
        <f>IFERROR(__xludf.DUMMYFUNCTION("""COMPUTED_VALUE"""),"")</f>
        <v/>
      </c>
    </row>
    <row r="1902">
      <c r="D1902" s="136" t="str">
        <f t="shared" si="3"/>
        <v/>
      </c>
      <c r="E1902" s="152"/>
      <c r="F1902" s="106" t="s">
        <v>133</v>
      </c>
      <c r="G1902" s="152"/>
      <c r="H1902" s="106" t="s">
        <v>133</v>
      </c>
      <c r="J1902" s="139" t="s">
        <v>133</v>
      </c>
      <c r="K1902" s="136" t="s">
        <v>133</v>
      </c>
      <c r="L1902" s="153"/>
      <c r="M1902" s="136" t="str">
        <f t="shared" si="1"/>
        <v/>
      </c>
      <c r="O1902" s="141" t="s">
        <v>133</v>
      </c>
      <c r="P1902" s="136" t="str">
        <f>IFERROR(__xludf.DUMMYFUNCTION("""COMPUTED_VALUE"""),"")</f>
        <v/>
      </c>
      <c r="Q1902" s="136" t="str">
        <f>IFERROR(__xludf.DUMMYFUNCTION("""COMPUTED_VALUE"""),"")</f>
        <v/>
      </c>
      <c r="R1902" s="106" t="str">
        <f>IFERROR(__xludf.DUMMYFUNCTION("""COMPUTED_VALUE"""),"")</f>
        <v/>
      </c>
      <c r="S1902" s="106" t="str">
        <f>IFERROR(__xludf.DUMMYFUNCTION("""COMPUTED_VALUE"""),"")</f>
        <v/>
      </c>
      <c r="T1902" s="139" t="str">
        <f>IFERROR(__xludf.DUMMYFUNCTION("""COMPUTED_VALUE"""),"")</f>
        <v/>
      </c>
      <c r="U1902" s="139" t="str">
        <f>IFERROR(__xludf.DUMMYFUNCTION("""COMPUTED_VALUE"""),"")</f>
        <v/>
      </c>
      <c r="V1902" s="136" t="str">
        <f>IFERROR(__xludf.DUMMYFUNCTION("""COMPUTED_VALUE"""),"")</f>
        <v/>
      </c>
      <c r="W1902" s="106" t="str">
        <f>IFERROR(__xludf.DUMMYFUNCTION("""COMPUTED_VALUE"""),"")</f>
        <v/>
      </c>
      <c r="X1902" s="143" t="str">
        <f t="shared" si="2"/>
        <v/>
      </c>
      <c r="Y1902" s="139" t="str">
        <f>IFERROR(__xludf.DUMMYFUNCTION("""COMPUTED_VALUE"""),"")</f>
        <v/>
      </c>
      <c r="Z1902" s="141" t="str">
        <f>IFERROR(__xludf.DUMMYFUNCTION("""COMPUTED_VALUE"""),"")</f>
        <v/>
      </c>
    </row>
    <row r="1903">
      <c r="D1903" s="136" t="str">
        <f t="shared" si="3"/>
        <v/>
      </c>
      <c r="E1903" s="152"/>
      <c r="F1903" s="106" t="s">
        <v>133</v>
      </c>
      <c r="G1903" s="152"/>
      <c r="H1903" s="106" t="s">
        <v>133</v>
      </c>
      <c r="J1903" s="139" t="s">
        <v>133</v>
      </c>
      <c r="K1903" s="136" t="s">
        <v>133</v>
      </c>
      <c r="L1903" s="153"/>
      <c r="M1903" s="136" t="str">
        <f t="shared" si="1"/>
        <v/>
      </c>
      <c r="O1903" s="141" t="s">
        <v>133</v>
      </c>
      <c r="P1903" s="136" t="str">
        <f>IFERROR(__xludf.DUMMYFUNCTION("""COMPUTED_VALUE"""),"")</f>
        <v/>
      </c>
      <c r="Q1903" s="136" t="str">
        <f>IFERROR(__xludf.DUMMYFUNCTION("""COMPUTED_VALUE"""),"")</f>
        <v/>
      </c>
      <c r="R1903" s="106" t="str">
        <f>IFERROR(__xludf.DUMMYFUNCTION("""COMPUTED_VALUE"""),"")</f>
        <v/>
      </c>
      <c r="S1903" s="106" t="str">
        <f>IFERROR(__xludf.DUMMYFUNCTION("""COMPUTED_VALUE"""),"")</f>
        <v/>
      </c>
      <c r="T1903" s="139" t="str">
        <f>IFERROR(__xludf.DUMMYFUNCTION("""COMPUTED_VALUE"""),"")</f>
        <v/>
      </c>
      <c r="U1903" s="139" t="str">
        <f>IFERROR(__xludf.DUMMYFUNCTION("""COMPUTED_VALUE"""),"")</f>
        <v/>
      </c>
      <c r="V1903" s="136" t="str">
        <f>IFERROR(__xludf.DUMMYFUNCTION("""COMPUTED_VALUE"""),"")</f>
        <v/>
      </c>
      <c r="W1903" s="106" t="str">
        <f>IFERROR(__xludf.DUMMYFUNCTION("""COMPUTED_VALUE"""),"")</f>
        <v/>
      </c>
      <c r="X1903" s="143" t="str">
        <f t="shared" si="2"/>
        <v/>
      </c>
      <c r="Y1903" s="139" t="str">
        <f>IFERROR(__xludf.DUMMYFUNCTION("""COMPUTED_VALUE"""),"")</f>
        <v/>
      </c>
      <c r="Z1903" s="141" t="str">
        <f>IFERROR(__xludf.DUMMYFUNCTION("""COMPUTED_VALUE"""),"")</f>
        <v/>
      </c>
    </row>
    <row r="1904">
      <c r="D1904" s="136" t="str">
        <f t="shared" si="3"/>
        <v/>
      </c>
      <c r="E1904" s="152"/>
      <c r="F1904" s="106" t="s">
        <v>133</v>
      </c>
      <c r="G1904" s="152"/>
      <c r="H1904" s="106" t="s">
        <v>133</v>
      </c>
      <c r="J1904" s="139" t="s">
        <v>133</v>
      </c>
      <c r="K1904" s="136" t="s">
        <v>133</v>
      </c>
      <c r="L1904" s="153"/>
      <c r="M1904" s="136" t="str">
        <f t="shared" si="1"/>
        <v/>
      </c>
      <c r="O1904" s="141" t="s">
        <v>133</v>
      </c>
      <c r="P1904" s="136" t="str">
        <f>IFERROR(__xludf.DUMMYFUNCTION("""COMPUTED_VALUE"""),"")</f>
        <v/>
      </c>
      <c r="Q1904" s="136" t="str">
        <f>IFERROR(__xludf.DUMMYFUNCTION("""COMPUTED_VALUE"""),"")</f>
        <v/>
      </c>
      <c r="R1904" s="106" t="str">
        <f>IFERROR(__xludf.DUMMYFUNCTION("""COMPUTED_VALUE"""),"")</f>
        <v/>
      </c>
      <c r="S1904" s="106" t="str">
        <f>IFERROR(__xludf.DUMMYFUNCTION("""COMPUTED_VALUE"""),"")</f>
        <v/>
      </c>
      <c r="T1904" s="139" t="str">
        <f>IFERROR(__xludf.DUMMYFUNCTION("""COMPUTED_VALUE"""),"")</f>
        <v/>
      </c>
      <c r="U1904" s="139" t="str">
        <f>IFERROR(__xludf.DUMMYFUNCTION("""COMPUTED_VALUE"""),"")</f>
        <v/>
      </c>
      <c r="V1904" s="136" t="str">
        <f>IFERROR(__xludf.DUMMYFUNCTION("""COMPUTED_VALUE"""),"")</f>
        <v/>
      </c>
      <c r="W1904" s="106" t="str">
        <f>IFERROR(__xludf.DUMMYFUNCTION("""COMPUTED_VALUE"""),"")</f>
        <v/>
      </c>
      <c r="X1904" s="143" t="str">
        <f t="shared" si="2"/>
        <v/>
      </c>
      <c r="Y1904" s="139" t="str">
        <f>IFERROR(__xludf.DUMMYFUNCTION("""COMPUTED_VALUE"""),"")</f>
        <v/>
      </c>
      <c r="Z1904" s="141" t="str">
        <f>IFERROR(__xludf.DUMMYFUNCTION("""COMPUTED_VALUE"""),"")</f>
        <v/>
      </c>
    </row>
    <row r="1905">
      <c r="D1905" s="136" t="str">
        <f t="shared" si="3"/>
        <v/>
      </c>
      <c r="E1905" s="152"/>
      <c r="F1905" s="106" t="s">
        <v>133</v>
      </c>
      <c r="G1905" s="152"/>
      <c r="H1905" s="106" t="s">
        <v>133</v>
      </c>
      <c r="J1905" s="139" t="s">
        <v>133</v>
      </c>
      <c r="K1905" s="136" t="s">
        <v>133</v>
      </c>
      <c r="L1905" s="153"/>
      <c r="M1905" s="136" t="str">
        <f t="shared" si="1"/>
        <v/>
      </c>
      <c r="O1905" s="141" t="s">
        <v>133</v>
      </c>
      <c r="P1905" s="136" t="str">
        <f>IFERROR(__xludf.DUMMYFUNCTION("""COMPUTED_VALUE"""),"")</f>
        <v/>
      </c>
      <c r="Q1905" s="136" t="str">
        <f>IFERROR(__xludf.DUMMYFUNCTION("""COMPUTED_VALUE"""),"")</f>
        <v/>
      </c>
      <c r="R1905" s="106" t="str">
        <f>IFERROR(__xludf.DUMMYFUNCTION("""COMPUTED_VALUE"""),"")</f>
        <v/>
      </c>
      <c r="S1905" s="106" t="str">
        <f>IFERROR(__xludf.DUMMYFUNCTION("""COMPUTED_VALUE"""),"")</f>
        <v/>
      </c>
      <c r="T1905" s="139" t="str">
        <f>IFERROR(__xludf.DUMMYFUNCTION("""COMPUTED_VALUE"""),"")</f>
        <v/>
      </c>
      <c r="U1905" s="139" t="str">
        <f>IFERROR(__xludf.DUMMYFUNCTION("""COMPUTED_VALUE"""),"")</f>
        <v/>
      </c>
      <c r="V1905" s="136" t="str">
        <f>IFERROR(__xludf.DUMMYFUNCTION("""COMPUTED_VALUE"""),"")</f>
        <v/>
      </c>
      <c r="W1905" s="106" t="str">
        <f>IFERROR(__xludf.DUMMYFUNCTION("""COMPUTED_VALUE"""),"")</f>
        <v/>
      </c>
      <c r="X1905" s="143" t="str">
        <f t="shared" si="2"/>
        <v/>
      </c>
      <c r="Y1905" s="139" t="str">
        <f>IFERROR(__xludf.DUMMYFUNCTION("""COMPUTED_VALUE"""),"")</f>
        <v/>
      </c>
      <c r="Z1905" s="141" t="str">
        <f>IFERROR(__xludf.DUMMYFUNCTION("""COMPUTED_VALUE"""),"")</f>
        <v/>
      </c>
    </row>
    <row r="1906">
      <c r="D1906" s="136" t="str">
        <f t="shared" si="3"/>
        <v/>
      </c>
      <c r="E1906" s="152"/>
      <c r="F1906" s="106" t="s">
        <v>133</v>
      </c>
      <c r="G1906" s="152"/>
      <c r="H1906" s="106" t="s">
        <v>133</v>
      </c>
      <c r="J1906" s="139" t="s">
        <v>133</v>
      </c>
      <c r="K1906" s="136" t="s">
        <v>133</v>
      </c>
      <c r="L1906" s="153"/>
      <c r="M1906" s="136" t="str">
        <f t="shared" si="1"/>
        <v/>
      </c>
      <c r="O1906" s="141" t="s">
        <v>133</v>
      </c>
      <c r="P1906" s="136" t="str">
        <f>IFERROR(__xludf.DUMMYFUNCTION("""COMPUTED_VALUE"""),"")</f>
        <v/>
      </c>
      <c r="Q1906" s="136" t="str">
        <f>IFERROR(__xludf.DUMMYFUNCTION("""COMPUTED_VALUE"""),"")</f>
        <v/>
      </c>
      <c r="R1906" s="106" t="str">
        <f>IFERROR(__xludf.DUMMYFUNCTION("""COMPUTED_VALUE"""),"")</f>
        <v/>
      </c>
      <c r="S1906" s="106" t="str">
        <f>IFERROR(__xludf.DUMMYFUNCTION("""COMPUTED_VALUE"""),"")</f>
        <v/>
      </c>
      <c r="T1906" s="139" t="str">
        <f>IFERROR(__xludf.DUMMYFUNCTION("""COMPUTED_VALUE"""),"")</f>
        <v/>
      </c>
      <c r="U1906" s="139" t="str">
        <f>IFERROR(__xludf.DUMMYFUNCTION("""COMPUTED_VALUE"""),"")</f>
        <v/>
      </c>
      <c r="V1906" s="136" t="str">
        <f>IFERROR(__xludf.DUMMYFUNCTION("""COMPUTED_VALUE"""),"")</f>
        <v/>
      </c>
      <c r="W1906" s="106" t="str">
        <f>IFERROR(__xludf.DUMMYFUNCTION("""COMPUTED_VALUE"""),"")</f>
        <v/>
      </c>
      <c r="X1906" s="143" t="str">
        <f t="shared" si="2"/>
        <v/>
      </c>
      <c r="Y1906" s="139" t="str">
        <f>IFERROR(__xludf.DUMMYFUNCTION("""COMPUTED_VALUE"""),"")</f>
        <v/>
      </c>
      <c r="Z1906" s="141" t="str">
        <f>IFERROR(__xludf.DUMMYFUNCTION("""COMPUTED_VALUE"""),"")</f>
        <v/>
      </c>
    </row>
    <row r="1907">
      <c r="D1907" s="136" t="str">
        <f t="shared" si="3"/>
        <v/>
      </c>
      <c r="E1907" s="152"/>
      <c r="F1907" s="106" t="s">
        <v>133</v>
      </c>
      <c r="G1907" s="152"/>
      <c r="H1907" s="106" t="s">
        <v>133</v>
      </c>
      <c r="J1907" s="139" t="s">
        <v>133</v>
      </c>
      <c r="K1907" s="136" t="s">
        <v>133</v>
      </c>
      <c r="L1907" s="153"/>
      <c r="M1907" s="136" t="str">
        <f t="shared" si="1"/>
        <v/>
      </c>
      <c r="O1907" s="141" t="s">
        <v>133</v>
      </c>
      <c r="P1907" s="136" t="str">
        <f>IFERROR(__xludf.DUMMYFUNCTION("""COMPUTED_VALUE"""),"")</f>
        <v/>
      </c>
      <c r="Q1907" s="136" t="str">
        <f>IFERROR(__xludf.DUMMYFUNCTION("""COMPUTED_VALUE"""),"")</f>
        <v/>
      </c>
      <c r="R1907" s="106" t="str">
        <f>IFERROR(__xludf.DUMMYFUNCTION("""COMPUTED_VALUE"""),"")</f>
        <v/>
      </c>
      <c r="S1907" s="106" t="str">
        <f>IFERROR(__xludf.DUMMYFUNCTION("""COMPUTED_VALUE"""),"")</f>
        <v/>
      </c>
      <c r="T1907" s="139" t="str">
        <f>IFERROR(__xludf.DUMMYFUNCTION("""COMPUTED_VALUE"""),"")</f>
        <v/>
      </c>
      <c r="U1907" s="139" t="str">
        <f>IFERROR(__xludf.DUMMYFUNCTION("""COMPUTED_VALUE"""),"")</f>
        <v/>
      </c>
      <c r="V1907" s="136" t="str">
        <f>IFERROR(__xludf.DUMMYFUNCTION("""COMPUTED_VALUE"""),"")</f>
        <v/>
      </c>
      <c r="W1907" s="106" t="str">
        <f>IFERROR(__xludf.DUMMYFUNCTION("""COMPUTED_VALUE"""),"")</f>
        <v/>
      </c>
      <c r="X1907" s="143" t="str">
        <f t="shared" si="2"/>
        <v/>
      </c>
      <c r="Y1907" s="139" t="str">
        <f>IFERROR(__xludf.DUMMYFUNCTION("""COMPUTED_VALUE"""),"")</f>
        <v/>
      </c>
      <c r="Z1907" s="141" t="str">
        <f>IFERROR(__xludf.DUMMYFUNCTION("""COMPUTED_VALUE"""),"")</f>
        <v/>
      </c>
    </row>
    <row r="1908">
      <c r="D1908" s="136" t="str">
        <f t="shared" si="3"/>
        <v/>
      </c>
      <c r="E1908" s="152"/>
      <c r="F1908" s="106" t="s">
        <v>133</v>
      </c>
      <c r="G1908" s="152"/>
      <c r="H1908" s="106" t="s">
        <v>133</v>
      </c>
      <c r="J1908" s="139" t="s">
        <v>133</v>
      </c>
      <c r="K1908" s="136" t="s">
        <v>133</v>
      </c>
      <c r="L1908" s="153"/>
      <c r="M1908" s="136" t="str">
        <f t="shared" si="1"/>
        <v/>
      </c>
      <c r="O1908" s="141" t="s">
        <v>133</v>
      </c>
      <c r="P1908" s="136" t="str">
        <f>IFERROR(__xludf.DUMMYFUNCTION("""COMPUTED_VALUE"""),"")</f>
        <v/>
      </c>
      <c r="Q1908" s="136" t="str">
        <f>IFERROR(__xludf.DUMMYFUNCTION("""COMPUTED_VALUE"""),"")</f>
        <v/>
      </c>
      <c r="R1908" s="106" t="str">
        <f>IFERROR(__xludf.DUMMYFUNCTION("""COMPUTED_VALUE"""),"")</f>
        <v/>
      </c>
      <c r="S1908" s="106" t="str">
        <f>IFERROR(__xludf.DUMMYFUNCTION("""COMPUTED_VALUE"""),"")</f>
        <v/>
      </c>
      <c r="T1908" s="139" t="str">
        <f>IFERROR(__xludf.DUMMYFUNCTION("""COMPUTED_VALUE"""),"")</f>
        <v/>
      </c>
      <c r="U1908" s="139" t="str">
        <f>IFERROR(__xludf.DUMMYFUNCTION("""COMPUTED_VALUE"""),"")</f>
        <v/>
      </c>
      <c r="V1908" s="136" t="str">
        <f>IFERROR(__xludf.DUMMYFUNCTION("""COMPUTED_VALUE"""),"")</f>
        <v/>
      </c>
      <c r="W1908" s="106" t="str">
        <f>IFERROR(__xludf.DUMMYFUNCTION("""COMPUTED_VALUE"""),"")</f>
        <v/>
      </c>
      <c r="X1908" s="143" t="str">
        <f t="shared" si="2"/>
        <v/>
      </c>
      <c r="Y1908" s="139" t="str">
        <f>IFERROR(__xludf.DUMMYFUNCTION("""COMPUTED_VALUE"""),"")</f>
        <v/>
      </c>
      <c r="Z1908" s="141" t="str">
        <f>IFERROR(__xludf.DUMMYFUNCTION("""COMPUTED_VALUE"""),"")</f>
        <v/>
      </c>
    </row>
    <row r="1909">
      <c r="D1909" s="136" t="str">
        <f t="shared" si="3"/>
        <v/>
      </c>
      <c r="E1909" s="152"/>
      <c r="F1909" s="106" t="s">
        <v>133</v>
      </c>
      <c r="G1909" s="152"/>
      <c r="H1909" s="106" t="s">
        <v>133</v>
      </c>
      <c r="J1909" s="139" t="s">
        <v>133</v>
      </c>
      <c r="K1909" s="136" t="s">
        <v>133</v>
      </c>
      <c r="L1909" s="153"/>
      <c r="M1909" s="136" t="str">
        <f t="shared" si="1"/>
        <v/>
      </c>
      <c r="O1909" s="141" t="s">
        <v>133</v>
      </c>
      <c r="P1909" s="136" t="str">
        <f>IFERROR(__xludf.DUMMYFUNCTION("""COMPUTED_VALUE"""),"")</f>
        <v/>
      </c>
      <c r="Q1909" s="136" t="str">
        <f>IFERROR(__xludf.DUMMYFUNCTION("""COMPUTED_VALUE"""),"")</f>
        <v/>
      </c>
      <c r="R1909" s="106" t="str">
        <f>IFERROR(__xludf.DUMMYFUNCTION("""COMPUTED_VALUE"""),"")</f>
        <v/>
      </c>
      <c r="S1909" s="106" t="str">
        <f>IFERROR(__xludf.DUMMYFUNCTION("""COMPUTED_VALUE"""),"")</f>
        <v/>
      </c>
      <c r="T1909" s="139" t="str">
        <f>IFERROR(__xludf.DUMMYFUNCTION("""COMPUTED_VALUE"""),"")</f>
        <v/>
      </c>
      <c r="U1909" s="139" t="str">
        <f>IFERROR(__xludf.DUMMYFUNCTION("""COMPUTED_VALUE"""),"")</f>
        <v/>
      </c>
      <c r="V1909" s="136" t="str">
        <f>IFERROR(__xludf.DUMMYFUNCTION("""COMPUTED_VALUE"""),"")</f>
        <v/>
      </c>
      <c r="W1909" s="106" t="str">
        <f>IFERROR(__xludf.DUMMYFUNCTION("""COMPUTED_VALUE"""),"")</f>
        <v/>
      </c>
      <c r="X1909" s="143" t="str">
        <f t="shared" si="2"/>
        <v/>
      </c>
      <c r="Y1909" s="139" t="str">
        <f>IFERROR(__xludf.DUMMYFUNCTION("""COMPUTED_VALUE"""),"")</f>
        <v/>
      </c>
      <c r="Z1909" s="141" t="str">
        <f>IFERROR(__xludf.DUMMYFUNCTION("""COMPUTED_VALUE"""),"")</f>
        <v/>
      </c>
    </row>
    <row r="1910">
      <c r="D1910" s="136" t="str">
        <f t="shared" si="3"/>
        <v/>
      </c>
      <c r="E1910" s="152"/>
      <c r="F1910" s="106" t="s">
        <v>133</v>
      </c>
      <c r="G1910" s="152"/>
      <c r="H1910" s="106" t="s">
        <v>133</v>
      </c>
      <c r="J1910" s="139" t="s">
        <v>133</v>
      </c>
      <c r="K1910" s="136" t="s">
        <v>133</v>
      </c>
      <c r="L1910" s="153"/>
      <c r="M1910" s="136" t="str">
        <f t="shared" si="1"/>
        <v/>
      </c>
      <c r="O1910" s="141" t="s">
        <v>133</v>
      </c>
      <c r="P1910" s="136" t="str">
        <f>IFERROR(__xludf.DUMMYFUNCTION("""COMPUTED_VALUE"""),"")</f>
        <v/>
      </c>
      <c r="Q1910" s="136" t="str">
        <f>IFERROR(__xludf.DUMMYFUNCTION("""COMPUTED_VALUE"""),"")</f>
        <v/>
      </c>
      <c r="R1910" s="106" t="str">
        <f>IFERROR(__xludf.DUMMYFUNCTION("""COMPUTED_VALUE"""),"")</f>
        <v/>
      </c>
      <c r="S1910" s="106" t="str">
        <f>IFERROR(__xludf.DUMMYFUNCTION("""COMPUTED_VALUE"""),"")</f>
        <v/>
      </c>
      <c r="T1910" s="139" t="str">
        <f>IFERROR(__xludf.DUMMYFUNCTION("""COMPUTED_VALUE"""),"")</f>
        <v/>
      </c>
      <c r="U1910" s="139" t="str">
        <f>IFERROR(__xludf.DUMMYFUNCTION("""COMPUTED_VALUE"""),"")</f>
        <v/>
      </c>
      <c r="V1910" s="136" t="str">
        <f>IFERROR(__xludf.DUMMYFUNCTION("""COMPUTED_VALUE"""),"")</f>
        <v/>
      </c>
      <c r="W1910" s="106" t="str">
        <f>IFERROR(__xludf.DUMMYFUNCTION("""COMPUTED_VALUE"""),"")</f>
        <v/>
      </c>
      <c r="X1910" s="143" t="str">
        <f t="shared" si="2"/>
        <v/>
      </c>
      <c r="Y1910" s="139" t="str">
        <f>IFERROR(__xludf.DUMMYFUNCTION("""COMPUTED_VALUE"""),"")</f>
        <v/>
      </c>
      <c r="Z1910" s="141" t="str">
        <f>IFERROR(__xludf.DUMMYFUNCTION("""COMPUTED_VALUE"""),"")</f>
        <v/>
      </c>
    </row>
    <row r="1911">
      <c r="D1911" s="136" t="str">
        <f t="shared" si="3"/>
        <v/>
      </c>
      <c r="E1911" s="152"/>
      <c r="F1911" s="106" t="s">
        <v>133</v>
      </c>
      <c r="G1911" s="152"/>
      <c r="H1911" s="106" t="s">
        <v>133</v>
      </c>
      <c r="J1911" s="139" t="s">
        <v>133</v>
      </c>
      <c r="K1911" s="136" t="s">
        <v>133</v>
      </c>
      <c r="L1911" s="153"/>
      <c r="M1911" s="136" t="str">
        <f t="shared" si="1"/>
        <v/>
      </c>
      <c r="O1911" s="141" t="s">
        <v>133</v>
      </c>
      <c r="P1911" s="136" t="str">
        <f>IFERROR(__xludf.DUMMYFUNCTION("""COMPUTED_VALUE"""),"")</f>
        <v/>
      </c>
      <c r="Q1911" s="136" t="str">
        <f>IFERROR(__xludf.DUMMYFUNCTION("""COMPUTED_VALUE"""),"")</f>
        <v/>
      </c>
      <c r="R1911" s="106" t="str">
        <f>IFERROR(__xludf.DUMMYFUNCTION("""COMPUTED_VALUE"""),"")</f>
        <v/>
      </c>
      <c r="S1911" s="106" t="str">
        <f>IFERROR(__xludf.DUMMYFUNCTION("""COMPUTED_VALUE"""),"")</f>
        <v/>
      </c>
      <c r="T1911" s="139" t="str">
        <f>IFERROR(__xludf.DUMMYFUNCTION("""COMPUTED_VALUE"""),"")</f>
        <v/>
      </c>
      <c r="U1911" s="139" t="str">
        <f>IFERROR(__xludf.DUMMYFUNCTION("""COMPUTED_VALUE"""),"")</f>
        <v/>
      </c>
      <c r="V1911" s="136" t="str">
        <f>IFERROR(__xludf.DUMMYFUNCTION("""COMPUTED_VALUE"""),"")</f>
        <v/>
      </c>
      <c r="W1911" s="106" t="str">
        <f>IFERROR(__xludf.DUMMYFUNCTION("""COMPUTED_VALUE"""),"")</f>
        <v/>
      </c>
      <c r="X1911" s="143" t="str">
        <f t="shared" si="2"/>
        <v/>
      </c>
      <c r="Y1911" s="139" t="str">
        <f>IFERROR(__xludf.DUMMYFUNCTION("""COMPUTED_VALUE"""),"")</f>
        <v/>
      </c>
      <c r="Z1911" s="141" t="str">
        <f>IFERROR(__xludf.DUMMYFUNCTION("""COMPUTED_VALUE"""),"")</f>
        <v/>
      </c>
    </row>
    <row r="1912">
      <c r="D1912" s="136" t="str">
        <f t="shared" si="3"/>
        <v/>
      </c>
      <c r="E1912" s="152"/>
      <c r="F1912" s="106" t="s">
        <v>133</v>
      </c>
      <c r="G1912" s="152"/>
      <c r="H1912" s="106" t="s">
        <v>133</v>
      </c>
      <c r="J1912" s="139" t="s">
        <v>133</v>
      </c>
      <c r="K1912" s="136" t="s">
        <v>133</v>
      </c>
      <c r="L1912" s="153"/>
      <c r="M1912" s="136" t="str">
        <f t="shared" si="1"/>
        <v/>
      </c>
      <c r="O1912" s="141" t="s">
        <v>133</v>
      </c>
      <c r="P1912" s="136" t="str">
        <f>IFERROR(__xludf.DUMMYFUNCTION("""COMPUTED_VALUE"""),"")</f>
        <v/>
      </c>
      <c r="Q1912" s="136" t="str">
        <f>IFERROR(__xludf.DUMMYFUNCTION("""COMPUTED_VALUE"""),"")</f>
        <v/>
      </c>
      <c r="R1912" s="106" t="str">
        <f>IFERROR(__xludf.DUMMYFUNCTION("""COMPUTED_VALUE"""),"")</f>
        <v/>
      </c>
      <c r="S1912" s="106" t="str">
        <f>IFERROR(__xludf.DUMMYFUNCTION("""COMPUTED_VALUE"""),"")</f>
        <v/>
      </c>
      <c r="T1912" s="139" t="str">
        <f>IFERROR(__xludf.DUMMYFUNCTION("""COMPUTED_VALUE"""),"")</f>
        <v/>
      </c>
      <c r="U1912" s="139" t="str">
        <f>IFERROR(__xludf.DUMMYFUNCTION("""COMPUTED_VALUE"""),"")</f>
        <v/>
      </c>
      <c r="V1912" s="136" t="str">
        <f>IFERROR(__xludf.DUMMYFUNCTION("""COMPUTED_VALUE"""),"")</f>
        <v/>
      </c>
      <c r="W1912" s="106" t="str">
        <f>IFERROR(__xludf.DUMMYFUNCTION("""COMPUTED_VALUE"""),"")</f>
        <v/>
      </c>
      <c r="X1912" s="143" t="str">
        <f t="shared" si="2"/>
        <v/>
      </c>
      <c r="Y1912" s="139" t="str">
        <f>IFERROR(__xludf.DUMMYFUNCTION("""COMPUTED_VALUE"""),"")</f>
        <v/>
      </c>
      <c r="Z1912" s="141" t="str">
        <f>IFERROR(__xludf.DUMMYFUNCTION("""COMPUTED_VALUE"""),"")</f>
        <v/>
      </c>
    </row>
    <row r="1913">
      <c r="D1913" s="136" t="str">
        <f t="shared" si="3"/>
        <v/>
      </c>
      <c r="E1913" s="152"/>
      <c r="F1913" s="106" t="s">
        <v>133</v>
      </c>
      <c r="G1913" s="152"/>
      <c r="H1913" s="106" t="s">
        <v>133</v>
      </c>
      <c r="J1913" s="139" t="s">
        <v>133</v>
      </c>
      <c r="K1913" s="136" t="s">
        <v>133</v>
      </c>
      <c r="L1913" s="153"/>
      <c r="M1913" s="136" t="str">
        <f t="shared" si="1"/>
        <v/>
      </c>
      <c r="O1913" s="141" t="s">
        <v>133</v>
      </c>
      <c r="P1913" s="136" t="str">
        <f>IFERROR(__xludf.DUMMYFUNCTION("""COMPUTED_VALUE"""),"")</f>
        <v/>
      </c>
      <c r="Q1913" s="136" t="str">
        <f>IFERROR(__xludf.DUMMYFUNCTION("""COMPUTED_VALUE"""),"")</f>
        <v/>
      </c>
      <c r="R1913" s="106" t="str">
        <f>IFERROR(__xludf.DUMMYFUNCTION("""COMPUTED_VALUE"""),"")</f>
        <v/>
      </c>
      <c r="S1913" s="106" t="str">
        <f>IFERROR(__xludf.DUMMYFUNCTION("""COMPUTED_VALUE"""),"")</f>
        <v/>
      </c>
      <c r="T1913" s="139" t="str">
        <f>IFERROR(__xludf.DUMMYFUNCTION("""COMPUTED_VALUE"""),"")</f>
        <v/>
      </c>
      <c r="U1913" s="139" t="str">
        <f>IFERROR(__xludf.DUMMYFUNCTION("""COMPUTED_VALUE"""),"")</f>
        <v/>
      </c>
      <c r="V1913" s="136" t="str">
        <f>IFERROR(__xludf.DUMMYFUNCTION("""COMPUTED_VALUE"""),"")</f>
        <v/>
      </c>
      <c r="W1913" s="106" t="str">
        <f>IFERROR(__xludf.DUMMYFUNCTION("""COMPUTED_VALUE"""),"")</f>
        <v/>
      </c>
      <c r="X1913" s="143" t="str">
        <f t="shared" si="2"/>
        <v/>
      </c>
      <c r="Y1913" s="139" t="str">
        <f>IFERROR(__xludf.DUMMYFUNCTION("""COMPUTED_VALUE"""),"")</f>
        <v/>
      </c>
      <c r="Z1913" s="141" t="str">
        <f>IFERROR(__xludf.DUMMYFUNCTION("""COMPUTED_VALUE"""),"")</f>
        <v/>
      </c>
    </row>
    <row r="1914">
      <c r="D1914" s="136" t="str">
        <f t="shared" si="3"/>
        <v/>
      </c>
      <c r="E1914" s="152"/>
      <c r="F1914" s="106" t="s">
        <v>133</v>
      </c>
      <c r="G1914" s="152"/>
      <c r="H1914" s="106" t="s">
        <v>133</v>
      </c>
      <c r="J1914" s="139" t="s">
        <v>133</v>
      </c>
      <c r="K1914" s="136" t="s">
        <v>133</v>
      </c>
      <c r="L1914" s="153"/>
      <c r="M1914" s="136" t="str">
        <f t="shared" si="1"/>
        <v/>
      </c>
      <c r="O1914" s="141" t="s">
        <v>133</v>
      </c>
      <c r="P1914" s="136" t="str">
        <f>IFERROR(__xludf.DUMMYFUNCTION("""COMPUTED_VALUE"""),"")</f>
        <v/>
      </c>
      <c r="Q1914" s="136" t="str">
        <f>IFERROR(__xludf.DUMMYFUNCTION("""COMPUTED_VALUE"""),"")</f>
        <v/>
      </c>
      <c r="R1914" s="106" t="str">
        <f>IFERROR(__xludf.DUMMYFUNCTION("""COMPUTED_VALUE"""),"")</f>
        <v/>
      </c>
      <c r="S1914" s="106" t="str">
        <f>IFERROR(__xludf.DUMMYFUNCTION("""COMPUTED_VALUE"""),"")</f>
        <v/>
      </c>
      <c r="T1914" s="139" t="str">
        <f>IFERROR(__xludf.DUMMYFUNCTION("""COMPUTED_VALUE"""),"")</f>
        <v/>
      </c>
      <c r="U1914" s="139" t="str">
        <f>IFERROR(__xludf.DUMMYFUNCTION("""COMPUTED_VALUE"""),"")</f>
        <v/>
      </c>
      <c r="V1914" s="136" t="str">
        <f>IFERROR(__xludf.DUMMYFUNCTION("""COMPUTED_VALUE"""),"")</f>
        <v/>
      </c>
      <c r="W1914" s="106" t="str">
        <f>IFERROR(__xludf.DUMMYFUNCTION("""COMPUTED_VALUE"""),"")</f>
        <v/>
      </c>
      <c r="X1914" s="143" t="str">
        <f t="shared" si="2"/>
        <v/>
      </c>
      <c r="Y1914" s="139" t="str">
        <f>IFERROR(__xludf.DUMMYFUNCTION("""COMPUTED_VALUE"""),"")</f>
        <v/>
      </c>
      <c r="Z1914" s="141" t="str">
        <f>IFERROR(__xludf.DUMMYFUNCTION("""COMPUTED_VALUE"""),"")</f>
        <v/>
      </c>
    </row>
    <row r="1915">
      <c r="D1915" s="136" t="str">
        <f t="shared" si="3"/>
        <v/>
      </c>
      <c r="E1915" s="152"/>
      <c r="F1915" s="106" t="s">
        <v>133</v>
      </c>
      <c r="G1915" s="152"/>
      <c r="H1915" s="106" t="s">
        <v>133</v>
      </c>
      <c r="J1915" s="139" t="s">
        <v>133</v>
      </c>
      <c r="K1915" s="136" t="s">
        <v>133</v>
      </c>
      <c r="L1915" s="153"/>
      <c r="M1915" s="136" t="str">
        <f t="shared" si="1"/>
        <v/>
      </c>
      <c r="O1915" s="141" t="s">
        <v>133</v>
      </c>
      <c r="P1915" s="136" t="str">
        <f>IFERROR(__xludf.DUMMYFUNCTION("""COMPUTED_VALUE"""),"")</f>
        <v/>
      </c>
      <c r="Q1915" s="136" t="str">
        <f>IFERROR(__xludf.DUMMYFUNCTION("""COMPUTED_VALUE"""),"")</f>
        <v/>
      </c>
      <c r="R1915" s="106" t="str">
        <f>IFERROR(__xludf.DUMMYFUNCTION("""COMPUTED_VALUE"""),"")</f>
        <v/>
      </c>
      <c r="S1915" s="106" t="str">
        <f>IFERROR(__xludf.DUMMYFUNCTION("""COMPUTED_VALUE"""),"")</f>
        <v/>
      </c>
      <c r="T1915" s="139" t="str">
        <f>IFERROR(__xludf.DUMMYFUNCTION("""COMPUTED_VALUE"""),"")</f>
        <v/>
      </c>
      <c r="U1915" s="139" t="str">
        <f>IFERROR(__xludf.DUMMYFUNCTION("""COMPUTED_VALUE"""),"")</f>
        <v/>
      </c>
      <c r="V1915" s="136" t="str">
        <f>IFERROR(__xludf.DUMMYFUNCTION("""COMPUTED_VALUE"""),"")</f>
        <v/>
      </c>
      <c r="W1915" s="106" t="str">
        <f>IFERROR(__xludf.DUMMYFUNCTION("""COMPUTED_VALUE"""),"")</f>
        <v/>
      </c>
      <c r="X1915" s="143" t="str">
        <f t="shared" si="2"/>
        <v/>
      </c>
      <c r="Y1915" s="139" t="str">
        <f>IFERROR(__xludf.DUMMYFUNCTION("""COMPUTED_VALUE"""),"")</f>
        <v/>
      </c>
      <c r="Z1915" s="141" t="str">
        <f>IFERROR(__xludf.DUMMYFUNCTION("""COMPUTED_VALUE"""),"")</f>
        <v/>
      </c>
    </row>
    <row r="1916">
      <c r="D1916" s="136" t="str">
        <f t="shared" si="3"/>
        <v/>
      </c>
      <c r="E1916" s="152"/>
      <c r="F1916" s="106" t="s">
        <v>133</v>
      </c>
      <c r="G1916" s="152"/>
      <c r="H1916" s="106" t="s">
        <v>133</v>
      </c>
      <c r="J1916" s="139" t="s">
        <v>133</v>
      </c>
      <c r="K1916" s="136" t="s">
        <v>133</v>
      </c>
      <c r="L1916" s="153"/>
      <c r="M1916" s="136" t="str">
        <f t="shared" si="1"/>
        <v/>
      </c>
      <c r="O1916" s="141" t="s">
        <v>133</v>
      </c>
      <c r="P1916" s="136" t="str">
        <f>IFERROR(__xludf.DUMMYFUNCTION("""COMPUTED_VALUE"""),"")</f>
        <v/>
      </c>
      <c r="Q1916" s="136" t="str">
        <f>IFERROR(__xludf.DUMMYFUNCTION("""COMPUTED_VALUE"""),"")</f>
        <v/>
      </c>
      <c r="R1916" s="106" t="str">
        <f>IFERROR(__xludf.DUMMYFUNCTION("""COMPUTED_VALUE"""),"")</f>
        <v/>
      </c>
      <c r="S1916" s="106" t="str">
        <f>IFERROR(__xludf.DUMMYFUNCTION("""COMPUTED_VALUE"""),"")</f>
        <v/>
      </c>
      <c r="T1916" s="139" t="str">
        <f>IFERROR(__xludf.DUMMYFUNCTION("""COMPUTED_VALUE"""),"")</f>
        <v/>
      </c>
      <c r="U1916" s="139" t="str">
        <f>IFERROR(__xludf.DUMMYFUNCTION("""COMPUTED_VALUE"""),"")</f>
        <v/>
      </c>
      <c r="V1916" s="136" t="str">
        <f>IFERROR(__xludf.DUMMYFUNCTION("""COMPUTED_VALUE"""),"")</f>
        <v/>
      </c>
      <c r="W1916" s="106" t="str">
        <f>IFERROR(__xludf.DUMMYFUNCTION("""COMPUTED_VALUE"""),"")</f>
        <v/>
      </c>
      <c r="X1916" s="143" t="str">
        <f t="shared" si="2"/>
        <v/>
      </c>
      <c r="Y1916" s="139" t="str">
        <f>IFERROR(__xludf.DUMMYFUNCTION("""COMPUTED_VALUE"""),"")</f>
        <v/>
      </c>
      <c r="Z1916" s="141" t="str">
        <f>IFERROR(__xludf.DUMMYFUNCTION("""COMPUTED_VALUE"""),"")</f>
        <v/>
      </c>
    </row>
    <row r="1917">
      <c r="D1917" s="136" t="str">
        <f t="shared" si="3"/>
        <v/>
      </c>
      <c r="E1917" s="152"/>
      <c r="F1917" s="106" t="s">
        <v>133</v>
      </c>
      <c r="G1917" s="152"/>
      <c r="H1917" s="106" t="s">
        <v>133</v>
      </c>
      <c r="J1917" s="139" t="s">
        <v>133</v>
      </c>
      <c r="K1917" s="136" t="s">
        <v>133</v>
      </c>
      <c r="L1917" s="153"/>
      <c r="M1917" s="136" t="str">
        <f t="shared" si="1"/>
        <v/>
      </c>
      <c r="O1917" s="141" t="s">
        <v>133</v>
      </c>
      <c r="P1917" s="136" t="str">
        <f>IFERROR(__xludf.DUMMYFUNCTION("""COMPUTED_VALUE"""),"")</f>
        <v/>
      </c>
      <c r="Q1917" s="136" t="str">
        <f>IFERROR(__xludf.DUMMYFUNCTION("""COMPUTED_VALUE"""),"")</f>
        <v/>
      </c>
      <c r="R1917" s="106" t="str">
        <f>IFERROR(__xludf.DUMMYFUNCTION("""COMPUTED_VALUE"""),"")</f>
        <v/>
      </c>
      <c r="S1917" s="106" t="str">
        <f>IFERROR(__xludf.DUMMYFUNCTION("""COMPUTED_VALUE"""),"")</f>
        <v/>
      </c>
      <c r="T1917" s="139" t="str">
        <f>IFERROR(__xludf.DUMMYFUNCTION("""COMPUTED_VALUE"""),"")</f>
        <v/>
      </c>
      <c r="U1917" s="139" t="str">
        <f>IFERROR(__xludf.DUMMYFUNCTION("""COMPUTED_VALUE"""),"")</f>
        <v/>
      </c>
      <c r="V1917" s="136" t="str">
        <f>IFERROR(__xludf.DUMMYFUNCTION("""COMPUTED_VALUE"""),"")</f>
        <v/>
      </c>
      <c r="W1917" s="106" t="str">
        <f>IFERROR(__xludf.DUMMYFUNCTION("""COMPUTED_VALUE"""),"")</f>
        <v/>
      </c>
      <c r="X1917" s="143" t="str">
        <f t="shared" si="2"/>
        <v/>
      </c>
      <c r="Y1917" s="139" t="str">
        <f>IFERROR(__xludf.DUMMYFUNCTION("""COMPUTED_VALUE"""),"")</f>
        <v/>
      </c>
      <c r="Z1917" s="141" t="str">
        <f>IFERROR(__xludf.DUMMYFUNCTION("""COMPUTED_VALUE"""),"")</f>
        <v/>
      </c>
    </row>
    <row r="1918">
      <c r="D1918" s="136" t="str">
        <f t="shared" si="3"/>
        <v/>
      </c>
      <c r="E1918" s="152"/>
      <c r="F1918" s="106" t="s">
        <v>133</v>
      </c>
      <c r="G1918" s="152"/>
      <c r="H1918" s="106" t="s">
        <v>133</v>
      </c>
      <c r="J1918" s="139" t="s">
        <v>133</v>
      </c>
      <c r="K1918" s="136" t="s">
        <v>133</v>
      </c>
      <c r="L1918" s="153"/>
      <c r="M1918" s="136" t="str">
        <f t="shared" si="1"/>
        <v/>
      </c>
      <c r="O1918" s="141" t="s">
        <v>133</v>
      </c>
      <c r="P1918" s="136" t="str">
        <f>IFERROR(__xludf.DUMMYFUNCTION("""COMPUTED_VALUE"""),"")</f>
        <v/>
      </c>
      <c r="Q1918" s="136" t="str">
        <f>IFERROR(__xludf.DUMMYFUNCTION("""COMPUTED_VALUE"""),"")</f>
        <v/>
      </c>
      <c r="R1918" s="106" t="str">
        <f>IFERROR(__xludf.DUMMYFUNCTION("""COMPUTED_VALUE"""),"")</f>
        <v/>
      </c>
      <c r="S1918" s="106" t="str">
        <f>IFERROR(__xludf.DUMMYFUNCTION("""COMPUTED_VALUE"""),"")</f>
        <v/>
      </c>
      <c r="T1918" s="139" t="str">
        <f>IFERROR(__xludf.DUMMYFUNCTION("""COMPUTED_VALUE"""),"")</f>
        <v/>
      </c>
      <c r="U1918" s="139" t="str">
        <f>IFERROR(__xludf.DUMMYFUNCTION("""COMPUTED_VALUE"""),"")</f>
        <v/>
      </c>
      <c r="V1918" s="136" t="str">
        <f>IFERROR(__xludf.DUMMYFUNCTION("""COMPUTED_VALUE"""),"")</f>
        <v/>
      </c>
      <c r="W1918" s="106" t="str">
        <f>IFERROR(__xludf.DUMMYFUNCTION("""COMPUTED_VALUE"""),"")</f>
        <v/>
      </c>
      <c r="X1918" s="143" t="str">
        <f t="shared" si="2"/>
        <v/>
      </c>
      <c r="Y1918" s="139" t="str">
        <f>IFERROR(__xludf.DUMMYFUNCTION("""COMPUTED_VALUE"""),"")</f>
        <v/>
      </c>
      <c r="Z1918" s="141" t="str">
        <f>IFERROR(__xludf.DUMMYFUNCTION("""COMPUTED_VALUE"""),"")</f>
        <v/>
      </c>
    </row>
    <row r="1919">
      <c r="D1919" s="136" t="str">
        <f t="shared" si="3"/>
        <v/>
      </c>
      <c r="E1919" s="152"/>
      <c r="F1919" s="106" t="s">
        <v>133</v>
      </c>
      <c r="G1919" s="152"/>
      <c r="H1919" s="106" t="s">
        <v>133</v>
      </c>
      <c r="J1919" s="139" t="s">
        <v>133</v>
      </c>
      <c r="K1919" s="136" t="s">
        <v>133</v>
      </c>
      <c r="L1919" s="153"/>
      <c r="M1919" s="136" t="str">
        <f t="shared" si="1"/>
        <v/>
      </c>
      <c r="O1919" s="141" t="s">
        <v>133</v>
      </c>
      <c r="P1919" s="136" t="str">
        <f>IFERROR(__xludf.DUMMYFUNCTION("""COMPUTED_VALUE"""),"")</f>
        <v/>
      </c>
      <c r="Q1919" s="136" t="str">
        <f>IFERROR(__xludf.DUMMYFUNCTION("""COMPUTED_VALUE"""),"")</f>
        <v/>
      </c>
      <c r="R1919" s="106" t="str">
        <f>IFERROR(__xludf.DUMMYFUNCTION("""COMPUTED_VALUE"""),"")</f>
        <v/>
      </c>
      <c r="S1919" s="106" t="str">
        <f>IFERROR(__xludf.DUMMYFUNCTION("""COMPUTED_VALUE"""),"")</f>
        <v/>
      </c>
      <c r="T1919" s="139" t="str">
        <f>IFERROR(__xludf.DUMMYFUNCTION("""COMPUTED_VALUE"""),"")</f>
        <v/>
      </c>
      <c r="U1919" s="139" t="str">
        <f>IFERROR(__xludf.DUMMYFUNCTION("""COMPUTED_VALUE"""),"")</f>
        <v/>
      </c>
      <c r="V1919" s="136" t="str">
        <f>IFERROR(__xludf.DUMMYFUNCTION("""COMPUTED_VALUE"""),"")</f>
        <v/>
      </c>
      <c r="W1919" s="106" t="str">
        <f>IFERROR(__xludf.DUMMYFUNCTION("""COMPUTED_VALUE"""),"")</f>
        <v/>
      </c>
      <c r="X1919" s="143" t="str">
        <f t="shared" si="2"/>
        <v/>
      </c>
      <c r="Y1919" s="139" t="str">
        <f>IFERROR(__xludf.DUMMYFUNCTION("""COMPUTED_VALUE"""),"")</f>
        <v/>
      </c>
      <c r="Z1919" s="141" t="str">
        <f>IFERROR(__xludf.DUMMYFUNCTION("""COMPUTED_VALUE"""),"")</f>
        <v/>
      </c>
    </row>
    <row r="1920">
      <c r="D1920" s="136" t="str">
        <f t="shared" si="3"/>
        <v/>
      </c>
      <c r="E1920" s="152"/>
      <c r="F1920" s="106" t="s">
        <v>133</v>
      </c>
      <c r="G1920" s="152"/>
      <c r="H1920" s="106" t="s">
        <v>133</v>
      </c>
      <c r="J1920" s="139" t="s">
        <v>133</v>
      </c>
      <c r="K1920" s="136" t="s">
        <v>133</v>
      </c>
      <c r="L1920" s="153"/>
      <c r="M1920" s="136" t="str">
        <f t="shared" si="1"/>
        <v/>
      </c>
      <c r="O1920" s="141" t="s">
        <v>133</v>
      </c>
      <c r="P1920" s="136" t="str">
        <f>IFERROR(__xludf.DUMMYFUNCTION("""COMPUTED_VALUE"""),"")</f>
        <v/>
      </c>
      <c r="Q1920" s="136" t="str">
        <f>IFERROR(__xludf.DUMMYFUNCTION("""COMPUTED_VALUE"""),"")</f>
        <v/>
      </c>
      <c r="R1920" s="106" t="str">
        <f>IFERROR(__xludf.DUMMYFUNCTION("""COMPUTED_VALUE"""),"")</f>
        <v/>
      </c>
      <c r="S1920" s="106" t="str">
        <f>IFERROR(__xludf.DUMMYFUNCTION("""COMPUTED_VALUE"""),"")</f>
        <v/>
      </c>
      <c r="T1920" s="139" t="str">
        <f>IFERROR(__xludf.DUMMYFUNCTION("""COMPUTED_VALUE"""),"")</f>
        <v/>
      </c>
      <c r="U1920" s="139" t="str">
        <f>IFERROR(__xludf.DUMMYFUNCTION("""COMPUTED_VALUE"""),"")</f>
        <v/>
      </c>
      <c r="V1920" s="136" t="str">
        <f>IFERROR(__xludf.DUMMYFUNCTION("""COMPUTED_VALUE"""),"")</f>
        <v/>
      </c>
      <c r="W1920" s="106" t="str">
        <f>IFERROR(__xludf.DUMMYFUNCTION("""COMPUTED_VALUE"""),"")</f>
        <v/>
      </c>
      <c r="X1920" s="143" t="str">
        <f t="shared" si="2"/>
        <v/>
      </c>
      <c r="Y1920" s="139" t="str">
        <f>IFERROR(__xludf.DUMMYFUNCTION("""COMPUTED_VALUE"""),"")</f>
        <v/>
      </c>
      <c r="Z1920" s="141" t="str">
        <f>IFERROR(__xludf.DUMMYFUNCTION("""COMPUTED_VALUE"""),"")</f>
        <v/>
      </c>
    </row>
    <row r="1921">
      <c r="D1921" s="136" t="str">
        <f t="shared" si="3"/>
        <v/>
      </c>
      <c r="E1921" s="152"/>
      <c r="F1921" s="106" t="s">
        <v>133</v>
      </c>
      <c r="G1921" s="152"/>
      <c r="H1921" s="106" t="s">
        <v>133</v>
      </c>
      <c r="J1921" s="139" t="s">
        <v>133</v>
      </c>
      <c r="K1921" s="136" t="s">
        <v>133</v>
      </c>
      <c r="L1921" s="153"/>
      <c r="M1921" s="136" t="str">
        <f t="shared" si="1"/>
        <v/>
      </c>
      <c r="O1921" s="141" t="s">
        <v>133</v>
      </c>
      <c r="P1921" s="136" t="str">
        <f>IFERROR(__xludf.DUMMYFUNCTION("""COMPUTED_VALUE"""),"")</f>
        <v/>
      </c>
      <c r="Q1921" s="136" t="str">
        <f>IFERROR(__xludf.DUMMYFUNCTION("""COMPUTED_VALUE"""),"")</f>
        <v/>
      </c>
      <c r="R1921" s="106" t="str">
        <f>IFERROR(__xludf.DUMMYFUNCTION("""COMPUTED_VALUE"""),"")</f>
        <v/>
      </c>
      <c r="S1921" s="106" t="str">
        <f>IFERROR(__xludf.DUMMYFUNCTION("""COMPUTED_VALUE"""),"")</f>
        <v/>
      </c>
      <c r="T1921" s="139" t="str">
        <f>IFERROR(__xludf.DUMMYFUNCTION("""COMPUTED_VALUE"""),"")</f>
        <v/>
      </c>
      <c r="U1921" s="139" t="str">
        <f>IFERROR(__xludf.DUMMYFUNCTION("""COMPUTED_VALUE"""),"")</f>
        <v/>
      </c>
      <c r="V1921" s="136" t="str">
        <f>IFERROR(__xludf.DUMMYFUNCTION("""COMPUTED_VALUE"""),"")</f>
        <v/>
      </c>
      <c r="W1921" s="106" t="str">
        <f>IFERROR(__xludf.DUMMYFUNCTION("""COMPUTED_VALUE"""),"")</f>
        <v/>
      </c>
      <c r="X1921" s="143" t="str">
        <f t="shared" si="2"/>
        <v/>
      </c>
      <c r="Y1921" s="139" t="str">
        <f>IFERROR(__xludf.DUMMYFUNCTION("""COMPUTED_VALUE"""),"")</f>
        <v/>
      </c>
      <c r="Z1921" s="141" t="str">
        <f>IFERROR(__xludf.DUMMYFUNCTION("""COMPUTED_VALUE"""),"")</f>
        <v/>
      </c>
    </row>
    <row r="1922">
      <c r="D1922" s="136" t="str">
        <f t="shared" si="3"/>
        <v/>
      </c>
      <c r="E1922" s="152"/>
      <c r="F1922" s="106" t="s">
        <v>133</v>
      </c>
      <c r="G1922" s="152"/>
      <c r="H1922" s="106" t="s">
        <v>133</v>
      </c>
      <c r="J1922" s="139" t="s">
        <v>133</v>
      </c>
      <c r="K1922" s="136" t="s">
        <v>133</v>
      </c>
      <c r="L1922" s="153"/>
      <c r="M1922" s="136" t="str">
        <f t="shared" si="1"/>
        <v/>
      </c>
      <c r="O1922" s="141" t="s">
        <v>133</v>
      </c>
      <c r="P1922" s="136" t="str">
        <f>IFERROR(__xludf.DUMMYFUNCTION("""COMPUTED_VALUE"""),"")</f>
        <v/>
      </c>
      <c r="Q1922" s="136" t="str">
        <f>IFERROR(__xludf.DUMMYFUNCTION("""COMPUTED_VALUE"""),"")</f>
        <v/>
      </c>
      <c r="R1922" s="106" t="str">
        <f>IFERROR(__xludf.DUMMYFUNCTION("""COMPUTED_VALUE"""),"")</f>
        <v/>
      </c>
      <c r="S1922" s="106" t="str">
        <f>IFERROR(__xludf.DUMMYFUNCTION("""COMPUTED_VALUE"""),"")</f>
        <v/>
      </c>
      <c r="T1922" s="139" t="str">
        <f>IFERROR(__xludf.DUMMYFUNCTION("""COMPUTED_VALUE"""),"")</f>
        <v/>
      </c>
      <c r="U1922" s="139" t="str">
        <f>IFERROR(__xludf.DUMMYFUNCTION("""COMPUTED_VALUE"""),"")</f>
        <v/>
      </c>
      <c r="V1922" s="136" t="str">
        <f>IFERROR(__xludf.DUMMYFUNCTION("""COMPUTED_VALUE"""),"")</f>
        <v/>
      </c>
      <c r="W1922" s="106" t="str">
        <f>IFERROR(__xludf.DUMMYFUNCTION("""COMPUTED_VALUE"""),"")</f>
        <v/>
      </c>
      <c r="X1922" s="143" t="str">
        <f t="shared" si="2"/>
        <v/>
      </c>
      <c r="Y1922" s="139" t="str">
        <f>IFERROR(__xludf.DUMMYFUNCTION("""COMPUTED_VALUE"""),"")</f>
        <v/>
      </c>
      <c r="Z1922" s="141" t="str">
        <f>IFERROR(__xludf.DUMMYFUNCTION("""COMPUTED_VALUE"""),"")</f>
        <v/>
      </c>
    </row>
    <row r="1923">
      <c r="D1923" s="136" t="str">
        <f t="shared" si="3"/>
        <v/>
      </c>
      <c r="E1923" s="152"/>
      <c r="F1923" s="106" t="s">
        <v>133</v>
      </c>
      <c r="G1923" s="152"/>
      <c r="H1923" s="106" t="s">
        <v>133</v>
      </c>
      <c r="J1923" s="139" t="s">
        <v>133</v>
      </c>
      <c r="K1923" s="136" t="s">
        <v>133</v>
      </c>
      <c r="L1923" s="153"/>
      <c r="M1923" s="136" t="str">
        <f t="shared" si="1"/>
        <v/>
      </c>
      <c r="O1923" s="141" t="s">
        <v>133</v>
      </c>
      <c r="P1923" s="136" t="str">
        <f>IFERROR(__xludf.DUMMYFUNCTION("""COMPUTED_VALUE"""),"")</f>
        <v/>
      </c>
      <c r="Q1923" s="136" t="str">
        <f>IFERROR(__xludf.DUMMYFUNCTION("""COMPUTED_VALUE"""),"")</f>
        <v/>
      </c>
      <c r="R1923" s="106" t="str">
        <f>IFERROR(__xludf.DUMMYFUNCTION("""COMPUTED_VALUE"""),"")</f>
        <v/>
      </c>
      <c r="S1923" s="106" t="str">
        <f>IFERROR(__xludf.DUMMYFUNCTION("""COMPUTED_VALUE"""),"")</f>
        <v/>
      </c>
      <c r="T1923" s="139" t="str">
        <f>IFERROR(__xludf.DUMMYFUNCTION("""COMPUTED_VALUE"""),"")</f>
        <v/>
      </c>
      <c r="U1923" s="139" t="str">
        <f>IFERROR(__xludf.DUMMYFUNCTION("""COMPUTED_VALUE"""),"")</f>
        <v/>
      </c>
      <c r="V1923" s="136" t="str">
        <f>IFERROR(__xludf.DUMMYFUNCTION("""COMPUTED_VALUE"""),"")</f>
        <v/>
      </c>
      <c r="W1923" s="106" t="str">
        <f>IFERROR(__xludf.DUMMYFUNCTION("""COMPUTED_VALUE"""),"")</f>
        <v/>
      </c>
      <c r="X1923" s="143" t="str">
        <f t="shared" si="2"/>
        <v/>
      </c>
      <c r="Y1923" s="139" t="str">
        <f>IFERROR(__xludf.DUMMYFUNCTION("""COMPUTED_VALUE"""),"")</f>
        <v/>
      </c>
      <c r="Z1923" s="141" t="str">
        <f>IFERROR(__xludf.DUMMYFUNCTION("""COMPUTED_VALUE"""),"")</f>
        <v/>
      </c>
    </row>
    <row r="1924">
      <c r="D1924" s="136" t="str">
        <f t="shared" si="3"/>
        <v/>
      </c>
      <c r="E1924" s="152"/>
      <c r="F1924" s="106" t="s">
        <v>133</v>
      </c>
      <c r="G1924" s="152"/>
      <c r="H1924" s="106" t="s">
        <v>133</v>
      </c>
      <c r="J1924" s="139" t="s">
        <v>133</v>
      </c>
      <c r="K1924" s="136" t="s">
        <v>133</v>
      </c>
      <c r="L1924" s="153"/>
      <c r="M1924" s="136" t="str">
        <f t="shared" si="1"/>
        <v/>
      </c>
      <c r="O1924" s="141" t="s">
        <v>133</v>
      </c>
      <c r="P1924" s="136" t="str">
        <f>IFERROR(__xludf.DUMMYFUNCTION("""COMPUTED_VALUE"""),"")</f>
        <v/>
      </c>
      <c r="Q1924" s="136" t="str">
        <f>IFERROR(__xludf.DUMMYFUNCTION("""COMPUTED_VALUE"""),"")</f>
        <v/>
      </c>
      <c r="R1924" s="106" t="str">
        <f>IFERROR(__xludf.DUMMYFUNCTION("""COMPUTED_VALUE"""),"")</f>
        <v/>
      </c>
      <c r="S1924" s="106" t="str">
        <f>IFERROR(__xludf.DUMMYFUNCTION("""COMPUTED_VALUE"""),"")</f>
        <v/>
      </c>
      <c r="T1924" s="139" t="str">
        <f>IFERROR(__xludf.DUMMYFUNCTION("""COMPUTED_VALUE"""),"")</f>
        <v/>
      </c>
      <c r="U1924" s="139" t="str">
        <f>IFERROR(__xludf.DUMMYFUNCTION("""COMPUTED_VALUE"""),"")</f>
        <v/>
      </c>
      <c r="V1924" s="136" t="str">
        <f>IFERROR(__xludf.DUMMYFUNCTION("""COMPUTED_VALUE"""),"")</f>
        <v/>
      </c>
      <c r="W1924" s="106" t="str">
        <f>IFERROR(__xludf.DUMMYFUNCTION("""COMPUTED_VALUE"""),"")</f>
        <v/>
      </c>
      <c r="X1924" s="143" t="str">
        <f t="shared" si="2"/>
        <v/>
      </c>
      <c r="Y1924" s="139" t="str">
        <f>IFERROR(__xludf.DUMMYFUNCTION("""COMPUTED_VALUE"""),"")</f>
        <v/>
      </c>
      <c r="Z1924" s="141" t="str">
        <f>IFERROR(__xludf.DUMMYFUNCTION("""COMPUTED_VALUE"""),"")</f>
        <v/>
      </c>
    </row>
    <row r="1925">
      <c r="D1925" s="136" t="str">
        <f t="shared" si="3"/>
        <v/>
      </c>
      <c r="E1925" s="152"/>
      <c r="F1925" s="106" t="s">
        <v>133</v>
      </c>
      <c r="G1925" s="152"/>
      <c r="H1925" s="106" t="s">
        <v>133</v>
      </c>
      <c r="J1925" s="139" t="s">
        <v>133</v>
      </c>
      <c r="K1925" s="136" t="s">
        <v>133</v>
      </c>
      <c r="L1925" s="153"/>
      <c r="M1925" s="136" t="str">
        <f t="shared" si="1"/>
        <v/>
      </c>
      <c r="O1925" s="141" t="s">
        <v>133</v>
      </c>
      <c r="P1925" s="136" t="str">
        <f>IFERROR(__xludf.DUMMYFUNCTION("""COMPUTED_VALUE"""),"")</f>
        <v/>
      </c>
      <c r="Q1925" s="136" t="str">
        <f>IFERROR(__xludf.DUMMYFUNCTION("""COMPUTED_VALUE"""),"")</f>
        <v/>
      </c>
      <c r="R1925" s="106" t="str">
        <f>IFERROR(__xludf.DUMMYFUNCTION("""COMPUTED_VALUE"""),"")</f>
        <v/>
      </c>
      <c r="S1925" s="106" t="str">
        <f>IFERROR(__xludf.DUMMYFUNCTION("""COMPUTED_VALUE"""),"")</f>
        <v/>
      </c>
      <c r="T1925" s="139" t="str">
        <f>IFERROR(__xludf.DUMMYFUNCTION("""COMPUTED_VALUE"""),"")</f>
        <v/>
      </c>
      <c r="U1925" s="139" t="str">
        <f>IFERROR(__xludf.DUMMYFUNCTION("""COMPUTED_VALUE"""),"")</f>
        <v/>
      </c>
      <c r="V1925" s="136" t="str">
        <f>IFERROR(__xludf.DUMMYFUNCTION("""COMPUTED_VALUE"""),"")</f>
        <v/>
      </c>
      <c r="W1925" s="106" t="str">
        <f>IFERROR(__xludf.DUMMYFUNCTION("""COMPUTED_VALUE"""),"")</f>
        <v/>
      </c>
      <c r="X1925" s="143" t="str">
        <f t="shared" si="2"/>
        <v/>
      </c>
      <c r="Y1925" s="139" t="str">
        <f>IFERROR(__xludf.DUMMYFUNCTION("""COMPUTED_VALUE"""),"")</f>
        <v/>
      </c>
      <c r="Z1925" s="141" t="str">
        <f>IFERROR(__xludf.DUMMYFUNCTION("""COMPUTED_VALUE"""),"")</f>
        <v/>
      </c>
    </row>
    <row r="1926">
      <c r="D1926" s="136" t="str">
        <f t="shared" si="3"/>
        <v/>
      </c>
      <c r="E1926" s="152"/>
      <c r="F1926" s="106" t="s">
        <v>133</v>
      </c>
      <c r="G1926" s="152"/>
      <c r="H1926" s="106" t="s">
        <v>133</v>
      </c>
      <c r="J1926" s="139" t="s">
        <v>133</v>
      </c>
      <c r="K1926" s="136" t="s">
        <v>133</v>
      </c>
      <c r="L1926" s="153"/>
      <c r="M1926" s="136" t="str">
        <f t="shared" si="1"/>
        <v/>
      </c>
      <c r="O1926" s="141" t="s">
        <v>133</v>
      </c>
      <c r="P1926" s="136" t="str">
        <f>IFERROR(__xludf.DUMMYFUNCTION("""COMPUTED_VALUE"""),"")</f>
        <v/>
      </c>
      <c r="Q1926" s="136" t="str">
        <f>IFERROR(__xludf.DUMMYFUNCTION("""COMPUTED_VALUE"""),"")</f>
        <v/>
      </c>
      <c r="R1926" s="106" t="str">
        <f>IFERROR(__xludf.DUMMYFUNCTION("""COMPUTED_VALUE"""),"")</f>
        <v/>
      </c>
      <c r="S1926" s="106" t="str">
        <f>IFERROR(__xludf.DUMMYFUNCTION("""COMPUTED_VALUE"""),"")</f>
        <v/>
      </c>
      <c r="T1926" s="139" t="str">
        <f>IFERROR(__xludf.DUMMYFUNCTION("""COMPUTED_VALUE"""),"")</f>
        <v/>
      </c>
      <c r="U1926" s="139" t="str">
        <f>IFERROR(__xludf.DUMMYFUNCTION("""COMPUTED_VALUE"""),"")</f>
        <v/>
      </c>
      <c r="V1926" s="136" t="str">
        <f>IFERROR(__xludf.DUMMYFUNCTION("""COMPUTED_VALUE"""),"")</f>
        <v/>
      </c>
      <c r="W1926" s="106" t="str">
        <f>IFERROR(__xludf.DUMMYFUNCTION("""COMPUTED_VALUE"""),"")</f>
        <v/>
      </c>
      <c r="X1926" s="143" t="str">
        <f t="shared" si="2"/>
        <v/>
      </c>
      <c r="Y1926" s="139" t="str">
        <f>IFERROR(__xludf.DUMMYFUNCTION("""COMPUTED_VALUE"""),"")</f>
        <v/>
      </c>
      <c r="Z1926" s="141" t="str">
        <f>IFERROR(__xludf.DUMMYFUNCTION("""COMPUTED_VALUE"""),"")</f>
        <v/>
      </c>
    </row>
    <row r="1927">
      <c r="D1927" s="136" t="str">
        <f t="shared" si="3"/>
        <v/>
      </c>
      <c r="E1927" s="152"/>
      <c r="F1927" s="106" t="s">
        <v>133</v>
      </c>
      <c r="G1927" s="152"/>
      <c r="H1927" s="106" t="s">
        <v>133</v>
      </c>
      <c r="J1927" s="139" t="s">
        <v>133</v>
      </c>
      <c r="K1927" s="136" t="s">
        <v>133</v>
      </c>
      <c r="L1927" s="153"/>
      <c r="M1927" s="136" t="str">
        <f t="shared" si="1"/>
        <v/>
      </c>
      <c r="O1927" s="141" t="s">
        <v>133</v>
      </c>
      <c r="P1927" s="136" t="str">
        <f>IFERROR(__xludf.DUMMYFUNCTION("""COMPUTED_VALUE"""),"")</f>
        <v/>
      </c>
      <c r="Q1927" s="136" t="str">
        <f>IFERROR(__xludf.DUMMYFUNCTION("""COMPUTED_VALUE"""),"")</f>
        <v/>
      </c>
      <c r="R1927" s="106" t="str">
        <f>IFERROR(__xludf.DUMMYFUNCTION("""COMPUTED_VALUE"""),"")</f>
        <v/>
      </c>
      <c r="S1927" s="106" t="str">
        <f>IFERROR(__xludf.DUMMYFUNCTION("""COMPUTED_VALUE"""),"")</f>
        <v/>
      </c>
      <c r="T1927" s="139" t="str">
        <f>IFERROR(__xludf.DUMMYFUNCTION("""COMPUTED_VALUE"""),"")</f>
        <v/>
      </c>
      <c r="U1927" s="139" t="str">
        <f>IFERROR(__xludf.DUMMYFUNCTION("""COMPUTED_VALUE"""),"")</f>
        <v/>
      </c>
      <c r="V1927" s="136" t="str">
        <f>IFERROR(__xludf.DUMMYFUNCTION("""COMPUTED_VALUE"""),"")</f>
        <v/>
      </c>
      <c r="W1927" s="106" t="str">
        <f>IFERROR(__xludf.DUMMYFUNCTION("""COMPUTED_VALUE"""),"")</f>
        <v/>
      </c>
      <c r="X1927" s="143" t="str">
        <f t="shared" si="2"/>
        <v/>
      </c>
      <c r="Y1927" s="139" t="str">
        <f>IFERROR(__xludf.DUMMYFUNCTION("""COMPUTED_VALUE"""),"")</f>
        <v/>
      </c>
      <c r="Z1927" s="141" t="str">
        <f>IFERROR(__xludf.DUMMYFUNCTION("""COMPUTED_VALUE"""),"")</f>
        <v/>
      </c>
    </row>
    <row r="1928">
      <c r="D1928" s="136" t="str">
        <f t="shared" si="3"/>
        <v/>
      </c>
      <c r="E1928" s="152"/>
      <c r="F1928" s="106" t="s">
        <v>133</v>
      </c>
      <c r="G1928" s="152"/>
      <c r="H1928" s="106" t="s">
        <v>133</v>
      </c>
      <c r="J1928" s="139" t="s">
        <v>133</v>
      </c>
      <c r="K1928" s="136" t="s">
        <v>133</v>
      </c>
      <c r="L1928" s="153"/>
      <c r="M1928" s="136" t="str">
        <f t="shared" si="1"/>
        <v/>
      </c>
      <c r="O1928" s="141" t="s">
        <v>133</v>
      </c>
      <c r="P1928" s="136" t="str">
        <f>IFERROR(__xludf.DUMMYFUNCTION("""COMPUTED_VALUE"""),"")</f>
        <v/>
      </c>
      <c r="Q1928" s="136" t="str">
        <f>IFERROR(__xludf.DUMMYFUNCTION("""COMPUTED_VALUE"""),"")</f>
        <v/>
      </c>
      <c r="R1928" s="106" t="str">
        <f>IFERROR(__xludf.DUMMYFUNCTION("""COMPUTED_VALUE"""),"")</f>
        <v/>
      </c>
      <c r="S1928" s="106" t="str">
        <f>IFERROR(__xludf.DUMMYFUNCTION("""COMPUTED_VALUE"""),"")</f>
        <v/>
      </c>
      <c r="T1928" s="139" t="str">
        <f>IFERROR(__xludf.DUMMYFUNCTION("""COMPUTED_VALUE"""),"")</f>
        <v/>
      </c>
      <c r="U1928" s="139" t="str">
        <f>IFERROR(__xludf.DUMMYFUNCTION("""COMPUTED_VALUE"""),"")</f>
        <v/>
      </c>
      <c r="V1928" s="136" t="str">
        <f>IFERROR(__xludf.DUMMYFUNCTION("""COMPUTED_VALUE"""),"")</f>
        <v/>
      </c>
      <c r="W1928" s="106" t="str">
        <f>IFERROR(__xludf.DUMMYFUNCTION("""COMPUTED_VALUE"""),"")</f>
        <v/>
      </c>
      <c r="X1928" s="143" t="str">
        <f t="shared" si="2"/>
        <v/>
      </c>
      <c r="Y1928" s="139" t="str">
        <f>IFERROR(__xludf.DUMMYFUNCTION("""COMPUTED_VALUE"""),"")</f>
        <v/>
      </c>
      <c r="Z1928" s="141" t="str">
        <f>IFERROR(__xludf.DUMMYFUNCTION("""COMPUTED_VALUE"""),"")</f>
        <v/>
      </c>
    </row>
    <row r="1929">
      <c r="D1929" s="136" t="str">
        <f t="shared" si="3"/>
        <v/>
      </c>
      <c r="E1929" s="152"/>
      <c r="F1929" s="106" t="s">
        <v>133</v>
      </c>
      <c r="G1929" s="152"/>
      <c r="H1929" s="106" t="s">
        <v>133</v>
      </c>
      <c r="J1929" s="139" t="s">
        <v>133</v>
      </c>
      <c r="K1929" s="136" t="s">
        <v>133</v>
      </c>
      <c r="L1929" s="153"/>
      <c r="M1929" s="136" t="str">
        <f t="shared" si="1"/>
        <v/>
      </c>
      <c r="O1929" s="141" t="s">
        <v>133</v>
      </c>
      <c r="P1929" s="136" t="str">
        <f>IFERROR(__xludf.DUMMYFUNCTION("""COMPUTED_VALUE"""),"")</f>
        <v/>
      </c>
      <c r="Q1929" s="136" t="str">
        <f>IFERROR(__xludf.DUMMYFUNCTION("""COMPUTED_VALUE"""),"")</f>
        <v/>
      </c>
      <c r="R1929" s="106" t="str">
        <f>IFERROR(__xludf.DUMMYFUNCTION("""COMPUTED_VALUE"""),"")</f>
        <v/>
      </c>
      <c r="S1929" s="106" t="str">
        <f>IFERROR(__xludf.DUMMYFUNCTION("""COMPUTED_VALUE"""),"")</f>
        <v/>
      </c>
      <c r="T1929" s="139" t="str">
        <f>IFERROR(__xludf.DUMMYFUNCTION("""COMPUTED_VALUE"""),"")</f>
        <v/>
      </c>
      <c r="U1929" s="139" t="str">
        <f>IFERROR(__xludf.DUMMYFUNCTION("""COMPUTED_VALUE"""),"")</f>
        <v/>
      </c>
      <c r="V1929" s="136" t="str">
        <f>IFERROR(__xludf.DUMMYFUNCTION("""COMPUTED_VALUE"""),"")</f>
        <v/>
      </c>
      <c r="W1929" s="106" t="str">
        <f>IFERROR(__xludf.DUMMYFUNCTION("""COMPUTED_VALUE"""),"")</f>
        <v/>
      </c>
      <c r="X1929" s="143" t="str">
        <f t="shared" si="2"/>
        <v/>
      </c>
      <c r="Y1929" s="139" t="str">
        <f>IFERROR(__xludf.DUMMYFUNCTION("""COMPUTED_VALUE"""),"")</f>
        <v/>
      </c>
      <c r="Z1929" s="141" t="str">
        <f>IFERROR(__xludf.DUMMYFUNCTION("""COMPUTED_VALUE"""),"")</f>
        <v/>
      </c>
    </row>
    <row r="1930">
      <c r="D1930" s="136" t="str">
        <f t="shared" si="3"/>
        <v/>
      </c>
      <c r="E1930" s="152"/>
      <c r="F1930" s="106" t="s">
        <v>133</v>
      </c>
      <c r="G1930" s="152"/>
      <c r="H1930" s="106" t="s">
        <v>133</v>
      </c>
      <c r="J1930" s="139" t="s">
        <v>133</v>
      </c>
      <c r="K1930" s="136" t="s">
        <v>133</v>
      </c>
      <c r="L1930" s="153"/>
      <c r="M1930" s="136" t="str">
        <f t="shared" si="1"/>
        <v/>
      </c>
      <c r="O1930" s="141" t="s">
        <v>133</v>
      </c>
      <c r="P1930" s="136" t="str">
        <f>IFERROR(__xludf.DUMMYFUNCTION("""COMPUTED_VALUE"""),"")</f>
        <v/>
      </c>
      <c r="Q1930" s="136" t="str">
        <f>IFERROR(__xludf.DUMMYFUNCTION("""COMPUTED_VALUE"""),"")</f>
        <v/>
      </c>
      <c r="R1930" s="106" t="str">
        <f>IFERROR(__xludf.DUMMYFUNCTION("""COMPUTED_VALUE"""),"")</f>
        <v/>
      </c>
      <c r="S1930" s="106" t="str">
        <f>IFERROR(__xludf.DUMMYFUNCTION("""COMPUTED_VALUE"""),"")</f>
        <v/>
      </c>
      <c r="T1930" s="139" t="str">
        <f>IFERROR(__xludf.DUMMYFUNCTION("""COMPUTED_VALUE"""),"")</f>
        <v/>
      </c>
      <c r="U1930" s="139" t="str">
        <f>IFERROR(__xludf.DUMMYFUNCTION("""COMPUTED_VALUE"""),"")</f>
        <v/>
      </c>
      <c r="V1930" s="136" t="str">
        <f>IFERROR(__xludf.DUMMYFUNCTION("""COMPUTED_VALUE"""),"")</f>
        <v/>
      </c>
      <c r="W1930" s="106" t="str">
        <f>IFERROR(__xludf.DUMMYFUNCTION("""COMPUTED_VALUE"""),"")</f>
        <v/>
      </c>
      <c r="X1930" s="143" t="str">
        <f t="shared" si="2"/>
        <v/>
      </c>
      <c r="Y1930" s="139" t="str">
        <f>IFERROR(__xludf.DUMMYFUNCTION("""COMPUTED_VALUE"""),"")</f>
        <v/>
      </c>
      <c r="Z1930" s="141" t="str">
        <f>IFERROR(__xludf.DUMMYFUNCTION("""COMPUTED_VALUE"""),"")</f>
        <v/>
      </c>
    </row>
    <row r="1931">
      <c r="D1931" s="136" t="str">
        <f t="shared" si="3"/>
        <v/>
      </c>
      <c r="E1931" s="152"/>
      <c r="F1931" s="106" t="s">
        <v>133</v>
      </c>
      <c r="G1931" s="152"/>
      <c r="H1931" s="106" t="s">
        <v>133</v>
      </c>
      <c r="J1931" s="139" t="s">
        <v>133</v>
      </c>
      <c r="K1931" s="136" t="s">
        <v>133</v>
      </c>
      <c r="L1931" s="153"/>
      <c r="M1931" s="136" t="str">
        <f t="shared" si="1"/>
        <v/>
      </c>
      <c r="O1931" s="141" t="s">
        <v>133</v>
      </c>
      <c r="P1931" s="136" t="str">
        <f>IFERROR(__xludf.DUMMYFUNCTION("""COMPUTED_VALUE"""),"")</f>
        <v/>
      </c>
      <c r="Q1931" s="136" t="str">
        <f>IFERROR(__xludf.DUMMYFUNCTION("""COMPUTED_VALUE"""),"")</f>
        <v/>
      </c>
      <c r="R1931" s="106" t="str">
        <f>IFERROR(__xludf.DUMMYFUNCTION("""COMPUTED_VALUE"""),"")</f>
        <v/>
      </c>
      <c r="S1931" s="106" t="str">
        <f>IFERROR(__xludf.DUMMYFUNCTION("""COMPUTED_VALUE"""),"")</f>
        <v/>
      </c>
      <c r="T1931" s="139" t="str">
        <f>IFERROR(__xludf.DUMMYFUNCTION("""COMPUTED_VALUE"""),"")</f>
        <v/>
      </c>
      <c r="U1931" s="139" t="str">
        <f>IFERROR(__xludf.DUMMYFUNCTION("""COMPUTED_VALUE"""),"")</f>
        <v/>
      </c>
      <c r="V1931" s="136" t="str">
        <f>IFERROR(__xludf.DUMMYFUNCTION("""COMPUTED_VALUE"""),"")</f>
        <v/>
      </c>
      <c r="W1931" s="106" t="str">
        <f>IFERROR(__xludf.DUMMYFUNCTION("""COMPUTED_VALUE"""),"")</f>
        <v/>
      </c>
      <c r="X1931" s="143" t="str">
        <f t="shared" si="2"/>
        <v/>
      </c>
      <c r="Y1931" s="139" t="str">
        <f>IFERROR(__xludf.DUMMYFUNCTION("""COMPUTED_VALUE"""),"")</f>
        <v/>
      </c>
      <c r="Z1931" s="141" t="str">
        <f>IFERROR(__xludf.DUMMYFUNCTION("""COMPUTED_VALUE"""),"")</f>
        <v/>
      </c>
    </row>
    <row r="1932">
      <c r="D1932" s="136" t="str">
        <f t="shared" si="3"/>
        <v/>
      </c>
      <c r="E1932" s="152"/>
      <c r="F1932" s="106" t="s">
        <v>133</v>
      </c>
      <c r="G1932" s="152"/>
      <c r="H1932" s="106" t="s">
        <v>133</v>
      </c>
      <c r="J1932" s="139" t="s">
        <v>133</v>
      </c>
      <c r="K1932" s="136" t="s">
        <v>133</v>
      </c>
      <c r="L1932" s="153"/>
      <c r="M1932" s="136" t="str">
        <f t="shared" si="1"/>
        <v/>
      </c>
      <c r="O1932" s="141" t="s">
        <v>133</v>
      </c>
      <c r="P1932" s="136" t="str">
        <f>IFERROR(__xludf.DUMMYFUNCTION("""COMPUTED_VALUE"""),"")</f>
        <v/>
      </c>
      <c r="Q1932" s="136" t="str">
        <f>IFERROR(__xludf.DUMMYFUNCTION("""COMPUTED_VALUE"""),"")</f>
        <v/>
      </c>
      <c r="R1932" s="106" t="str">
        <f>IFERROR(__xludf.DUMMYFUNCTION("""COMPUTED_VALUE"""),"")</f>
        <v/>
      </c>
      <c r="S1932" s="106" t="str">
        <f>IFERROR(__xludf.DUMMYFUNCTION("""COMPUTED_VALUE"""),"")</f>
        <v/>
      </c>
      <c r="T1932" s="139" t="str">
        <f>IFERROR(__xludf.DUMMYFUNCTION("""COMPUTED_VALUE"""),"")</f>
        <v/>
      </c>
      <c r="U1932" s="139" t="str">
        <f>IFERROR(__xludf.DUMMYFUNCTION("""COMPUTED_VALUE"""),"")</f>
        <v/>
      </c>
      <c r="V1932" s="136" t="str">
        <f>IFERROR(__xludf.DUMMYFUNCTION("""COMPUTED_VALUE"""),"")</f>
        <v/>
      </c>
      <c r="W1932" s="106" t="str">
        <f>IFERROR(__xludf.DUMMYFUNCTION("""COMPUTED_VALUE"""),"")</f>
        <v/>
      </c>
      <c r="X1932" s="143" t="str">
        <f t="shared" si="2"/>
        <v/>
      </c>
      <c r="Y1932" s="139" t="str">
        <f>IFERROR(__xludf.DUMMYFUNCTION("""COMPUTED_VALUE"""),"")</f>
        <v/>
      </c>
      <c r="Z1932" s="141" t="str">
        <f>IFERROR(__xludf.DUMMYFUNCTION("""COMPUTED_VALUE"""),"")</f>
        <v/>
      </c>
    </row>
    <row r="1933">
      <c r="D1933" s="136" t="str">
        <f t="shared" si="3"/>
        <v/>
      </c>
      <c r="E1933" s="152"/>
      <c r="F1933" s="106" t="s">
        <v>133</v>
      </c>
      <c r="G1933" s="152"/>
      <c r="H1933" s="106" t="s">
        <v>133</v>
      </c>
      <c r="J1933" s="139" t="s">
        <v>133</v>
      </c>
      <c r="K1933" s="136" t="s">
        <v>133</v>
      </c>
      <c r="L1933" s="153"/>
      <c r="M1933" s="136" t="str">
        <f t="shared" si="1"/>
        <v/>
      </c>
      <c r="O1933" s="141" t="s">
        <v>133</v>
      </c>
      <c r="P1933" s="136" t="str">
        <f>IFERROR(__xludf.DUMMYFUNCTION("""COMPUTED_VALUE"""),"")</f>
        <v/>
      </c>
      <c r="Q1933" s="136" t="str">
        <f>IFERROR(__xludf.DUMMYFUNCTION("""COMPUTED_VALUE"""),"")</f>
        <v/>
      </c>
      <c r="R1933" s="106" t="str">
        <f>IFERROR(__xludf.DUMMYFUNCTION("""COMPUTED_VALUE"""),"")</f>
        <v/>
      </c>
      <c r="S1933" s="106" t="str">
        <f>IFERROR(__xludf.DUMMYFUNCTION("""COMPUTED_VALUE"""),"")</f>
        <v/>
      </c>
      <c r="T1933" s="139" t="str">
        <f>IFERROR(__xludf.DUMMYFUNCTION("""COMPUTED_VALUE"""),"")</f>
        <v/>
      </c>
      <c r="U1933" s="139" t="str">
        <f>IFERROR(__xludf.DUMMYFUNCTION("""COMPUTED_VALUE"""),"")</f>
        <v/>
      </c>
      <c r="V1933" s="136" t="str">
        <f>IFERROR(__xludf.DUMMYFUNCTION("""COMPUTED_VALUE"""),"")</f>
        <v/>
      </c>
      <c r="W1933" s="106" t="str">
        <f>IFERROR(__xludf.DUMMYFUNCTION("""COMPUTED_VALUE"""),"")</f>
        <v/>
      </c>
      <c r="X1933" s="143" t="str">
        <f t="shared" si="2"/>
        <v/>
      </c>
      <c r="Y1933" s="139" t="str">
        <f>IFERROR(__xludf.DUMMYFUNCTION("""COMPUTED_VALUE"""),"")</f>
        <v/>
      </c>
      <c r="Z1933" s="141" t="str">
        <f>IFERROR(__xludf.DUMMYFUNCTION("""COMPUTED_VALUE"""),"")</f>
        <v/>
      </c>
    </row>
    <row r="1934">
      <c r="D1934" s="136" t="str">
        <f t="shared" si="3"/>
        <v/>
      </c>
      <c r="E1934" s="152"/>
      <c r="F1934" s="106" t="s">
        <v>133</v>
      </c>
      <c r="G1934" s="152"/>
      <c r="H1934" s="106" t="s">
        <v>133</v>
      </c>
      <c r="J1934" s="139" t="s">
        <v>133</v>
      </c>
      <c r="K1934" s="136" t="s">
        <v>133</v>
      </c>
      <c r="L1934" s="153"/>
      <c r="M1934" s="136" t="str">
        <f t="shared" si="1"/>
        <v/>
      </c>
      <c r="O1934" s="141" t="s">
        <v>133</v>
      </c>
      <c r="P1934" s="136" t="str">
        <f>IFERROR(__xludf.DUMMYFUNCTION("""COMPUTED_VALUE"""),"")</f>
        <v/>
      </c>
      <c r="Q1934" s="136" t="str">
        <f>IFERROR(__xludf.DUMMYFUNCTION("""COMPUTED_VALUE"""),"")</f>
        <v/>
      </c>
      <c r="R1934" s="106" t="str">
        <f>IFERROR(__xludf.DUMMYFUNCTION("""COMPUTED_VALUE"""),"")</f>
        <v/>
      </c>
      <c r="S1934" s="106" t="str">
        <f>IFERROR(__xludf.DUMMYFUNCTION("""COMPUTED_VALUE"""),"")</f>
        <v/>
      </c>
      <c r="T1934" s="139" t="str">
        <f>IFERROR(__xludf.DUMMYFUNCTION("""COMPUTED_VALUE"""),"")</f>
        <v/>
      </c>
      <c r="U1934" s="139" t="str">
        <f>IFERROR(__xludf.DUMMYFUNCTION("""COMPUTED_VALUE"""),"")</f>
        <v/>
      </c>
      <c r="V1934" s="136" t="str">
        <f>IFERROR(__xludf.DUMMYFUNCTION("""COMPUTED_VALUE"""),"")</f>
        <v/>
      </c>
      <c r="W1934" s="106" t="str">
        <f>IFERROR(__xludf.DUMMYFUNCTION("""COMPUTED_VALUE"""),"")</f>
        <v/>
      </c>
      <c r="X1934" s="143" t="str">
        <f t="shared" si="2"/>
        <v/>
      </c>
      <c r="Y1934" s="139" t="str">
        <f>IFERROR(__xludf.DUMMYFUNCTION("""COMPUTED_VALUE"""),"")</f>
        <v/>
      </c>
      <c r="Z1934" s="141" t="str">
        <f>IFERROR(__xludf.DUMMYFUNCTION("""COMPUTED_VALUE"""),"")</f>
        <v/>
      </c>
    </row>
    <row r="1935">
      <c r="D1935" s="136" t="str">
        <f t="shared" si="3"/>
        <v/>
      </c>
      <c r="E1935" s="152"/>
      <c r="F1935" s="106" t="s">
        <v>133</v>
      </c>
      <c r="G1935" s="152"/>
      <c r="H1935" s="106" t="s">
        <v>133</v>
      </c>
      <c r="J1935" s="139" t="s">
        <v>133</v>
      </c>
      <c r="K1935" s="136" t="s">
        <v>133</v>
      </c>
      <c r="L1935" s="153"/>
      <c r="M1935" s="136" t="str">
        <f t="shared" si="1"/>
        <v/>
      </c>
      <c r="O1935" s="141" t="s">
        <v>133</v>
      </c>
      <c r="P1935" s="136" t="str">
        <f>IFERROR(__xludf.DUMMYFUNCTION("""COMPUTED_VALUE"""),"")</f>
        <v/>
      </c>
      <c r="Q1935" s="136" t="str">
        <f>IFERROR(__xludf.DUMMYFUNCTION("""COMPUTED_VALUE"""),"")</f>
        <v/>
      </c>
      <c r="R1935" s="106" t="str">
        <f>IFERROR(__xludf.DUMMYFUNCTION("""COMPUTED_VALUE"""),"")</f>
        <v/>
      </c>
      <c r="S1935" s="106" t="str">
        <f>IFERROR(__xludf.DUMMYFUNCTION("""COMPUTED_VALUE"""),"")</f>
        <v/>
      </c>
      <c r="T1935" s="139" t="str">
        <f>IFERROR(__xludf.DUMMYFUNCTION("""COMPUTED_VALUE"""),"")</f>
        <v/>
      </c>
      <c r="U1935" s="139" t="str">
        <f>IFERROR(__xludf.DUMMYFUNCTION("""COMPUTED_VALUE"""),"")</f>
        <v/>
      </c>
      <c r="V1935" s="136" t="str">
        <f>IFERROR(__xludf.DUMMYFUNCTION("""COMPUTED_VALUE"""),"")</f>
        <v/>
      </c>
      <c r="W1935" s="106" t="str">
        <f>IFERROR(__xludf.DUMMYFUNCTION("""COMPUTED_VALUE"""),"")</f>
        <v/>
      </c>
      <c r="X1935" s="143" t="str">
        <f t="shared" si="2"/>
        <v/>
      </c>
      <c r="Y1935" s="139" t="str">
        <f>IFERROR(__xludf.DUMMYFUNCTION("""COMPUTED_VALUE"""),"")</f>
        <v/>
      </c>
      <c r="Z1935" s="141" t="str">
        <f>IFERROR(__xludf.DUMMYFUNCTION("""COMPUTED_VALUE"""),"")</f>
        <v/>
      </c>
    </row>
    <row r="1936">
      <c r="D1936" s="136" t="str">
        <f t="shared" si="3"/>
        <v/>
      </c>
      <c r="E1936" s="152"/>
      <c r="F1936" s="106" t="s">
        <v>133</v>
      </c>
      <c r="G1936" s="152"/>
      <c r="H1936" s="106" t="s">
        <v>133</v>
      </c>
      <c r="J1936" s="139" t="s">
        <v>133</v>
      </c>
      <c r="K1936" s="136" t="s">
        <v>133</v>
      </c>
      <c r="L1936" s="153"/>
      <c r="M1936" s="136" t="str">
        <f t="shared" si="1"/>
        <v/>
      </c>
      <c r="O1936" s="141" t="s">
        <v>133</v>
      </c>
      <c r="P1936" s="136" t="str">
        <f>IFERROR(__xludf.DUMMYFUNCTION("""COMPUTED_VALUE"""),"")</f>
        <v/>
      </c>
      <c r="Q1936" s="136" t="str">
        <f>IFERROR(__xludf.DUMMYFUNCTION("""COMPUTED_VALUE"""),"")</f>
        <v/>
      </c>
      <c r="R1936" s="106" t="str">
        <f>IFERROR(__xludf.DUMMYFUNCTION("""COMPUTED_VALUE"""),"")</f>
        <v/>
      </c>
      <c r="S1936" s="106" t="str">
        <f>IFERROR(__xludf.DUMMYFUNCTION("""COMPUTED_VALUE"""),"")</f>
        <v/>
      </c>
      <c r="T1936" s="139" t="str">
        <f>IFERROR(__xludf.DUMMYFUNCTION("""COMPUTED_VALUE"""),"")</f>
        <v/>
      </c>
      <c r="U1936" s="139" t="str">
        <f>IFERROR(__xludf.DUMMYFUNCTION("""COMPUTED_VALUE"""),"")</f>
        <v/>
      </c>
      <c r="V1936" s="136" t="str">
        <f>IFERROR(__xludf.DUMMYFUNCTION("""COMPUTED_VALUE"""),"")</f>
        <v/>
      </c>
      <c r="W1936" s="106" t="str">
        <f>IFERROR(__xludf.DUMMYFUNCTION("""COMPUTED_VALUE"""),"")</f>
        <v/>
      </c>
      <c r="X1936" s="143" t="str">
        <f t="shared" si="2"/>
        <v/>
      </c>
      <c r="Y1936" s="139" t="str">
        <f>IFERROR(__xludf.DUMMYFUNCTION("""COMPUTED_VALUE"""),"")</f>
        <v/>
      </c>
      <c r="Z1936" s="141" t="str">
        <f>IFERROR(__xludf.DUMMYFUNCTION("""COMPUTED_VALUE"""),"")</f>
        <v/>
      </c>
    </row>
    <row r="1937">
      <c r="D1937" s="136" t="str">
        <f t="shared" si="3"/>
        <v/>
      </c>
      <c r="E1937" s="152"/>
      <c r="F1937" s="106" t="s">
        <v>133</v>
      </c>
      <c r="G1937" s="152"/>
      <c r="H1937" s="106" t="s">
        <v>133</v>
      </c>
      <c r="J1937" s="139" t="s">
        <v>133</v>
      </c>
      <c r="K1937" s="136" t="s">
        <v>133</v>
      </c>
      <c r="L1937" s="153"/>
      <c r="M1937" s="136" t="str">
        <f t="shared" si="1"/>
        <v/>
      </c>
      <c r="O1937" s="141" t="s">
        <v>133</v>
      </c>
      <c r="P1937" s="136" t="str">
        <f>IFERROR(__xludf.DUMMYFUNCTION("""COMPUTED_VALUE"""),"")</f>
        <v/>
      </c>
      <c r="Q1937" s="136" t="str">
        <f>IFERROR(__xludf.DUMMYFUNCTION("""COMPUTED_VALUE"""),"")</f>
        <v/>
      </c>
      <c r="R1937" s="106" t="str">
        <f>IFERROR(__xludf.DUMMYFUNCTION("""COMPUTED_VALUE"""),"")</f>
        <v/>
      </c>
      <c r="S1937" s="106" t="str">
        <f>IFERROR(__xludf.DUMMYFUNCTION("""COMPUTED_VALUE"""),"")</f>
        <v/>
      </c>
      <c r="T1937" s="139" t="str">
        <f>IFERROR(__xludf.DUMMYFUNCTION("""COMPUTED_VALUE"""),"")</f>
        <v/>
      </c>
      <c r="U1937" s="139" t="str">
        <f>IFERROR(__xludf.DUMMYFUNCTION("""COMPUTED_VALUE"""),"")</f>
        <v/>
      </c>
      <c r="V1937" s="136" t="str">
        <f>IFERROR(__xludf.DUMMYFUNCTION("""COMPUTED_VALUE"""),"")</f>
        <v/>
      </c>
      <c r="W1937" s="106" t="str">
        <f>IFERROR(__xludf.DUMMYFUNCTION("""COMPUTED_VALUE"""),"")</f>
        <v/>
      </c>
      <c r="X1937" s="143" t="str">
        <f t="shared" si="2"/>
        <v/>
      </c>
      <c r="Y1937" s="139" t="str">
        <f>IFERROR(__xludf.DUMMYFUNCTION("""COMPUTED_VALUE"""),"")</f>
        <v/>
      </c>
      <c r="Z1937" s="141" t="str">
        <f>IFERROR(__xludf.DUMMYFUNCTION("""COMPUTED_VALUE"""),"")</f>
        <v/>
      </c>
    </row>
    <row r="1938">
      <c r="D1938" s="136" t="str">
        <f t="shared" si="3"/>
        <v/>
      </c>
      <c r="E1938" s="152"/>
      <c r="F1938" s="106" t="s">
        <v>133</v>
      </c>
      <c r="G1938" s="152"/>
      <c r="H1938" s="106" t="s">
        <v>133</v>
      </c>
      <c r="J1938" s="139" t="s">
        <v>133</v>
      </c>
      <c r="K1938" s="136" t="s">
        <v>133</v>
      </c>
      <c r="L1938" s="153"/>
      <c r="M1938" s="136" t="str">
        <f t="shared" si="1"/>
        <v/>
      </c>
      <c r="O1938" s="141" t="s">
        <v>133</v>
      </c>
      <c r="P1938" s="136" t="str">
        <f>IFERROR(__xludf.DUMMYFUNCTION("""COMPUTED_VALUE"""),"")</f>
        <v/>
      </c>
      <c r="Q1938" s="136" t="str">
        <f>IFERROR(__xludf.DUMMYFUNCTION("""COMPUTED_VALUE"""),"")</f>
        <v/>
      </c>
      <c r="R1938" s="106" t="str">
        <f>IFERROR(__xludf.DUMMYFUNCTION("""COMPUTED_VALUE"""),"")</f>
        <v/>
      </c>
      <c r="S1938" s="106" t="str">
        <f>IFERROR(__xludf.DUMMYFUNCTION("""COMPUTED_VALUE"""),"")</f>
        <v/>
      </c>
      <c r="T1938" s="139" t="str">
        <f>IFERROR(__xludf.DUMMYFUNCTION("""COMPUTED_VALUE"""),"")</f>
        <v/>
      </c>
      <c r="U1938" s="139" t="str">
        <f>IFERROR(__xludf.DUMMYFUNCTION("""COMPUTED_VALUE"""),"")</f>
        <v/>
      </c>
      <c r="V1938" s="136" t="str">
        <f>IFERROR(__xludf.DUMMYFUNCTION("""COMPUTED_VALUE"""),"")</f>
        <v/>
      </c>
      <c r="W1938" s="106" t="str">
        <f>IFERROR(__xludf.DUMMYFUNCTION("""COMPUTED_VALUE"""),"")</f>
        <v/>
      </c>
      <c r="X1938" s="143" t="str">
        <f t="shared" si="2"/>
        <v/>
      </c>
      <c r="Y1938" s="139" t="str">
        <f>IFERROR(__xludf.DUMMYFUNCTION("""COMPUTED_VALUE"""),"")</f>
        <v/>
      </c>
      <c r="Z1938" s="141" t="str">
        <f>IFERROR(__xludf.DUMMYFUNCTION("""COMPUTED_VALUE"""),"")</f>
        <v/>
      </c>
    </row>
    <row r="1939">
      <c r="D1939" s="136" t="str">
        <f t="shared" si="3"/>
        <v/>
      </c>
      <c r="E1939" s="152"/>
      <c r="F1939" s="106" t="s">
        <v>133</v>
      </c>
      <c r="G1939" s="152"/>
      <c r="H1939" s="106" t="s">
        <v>133</v>
      </c>
      <c r="J1939" s="139" t="s">
        <v>133</v>
      </c>
      <c r="K1939" s="136" t="s">
        <v>133</v>
      </c>
      <c r="L1939" s="153"/>
      <c r="M1939" s="136" t="str">
        <f t="shared" si="1"/>
        <v/>
      </c>
      <c r="O1939" s="141" t="s">
        <v>133</v>
      </c>
      <c r="P1939" s="136" t="str">
        <f>IFERROR(__xludf.DUMMYFUNCTION("""COMPUTED_VALUE"""),"")</f>
        <v/>
      </c>
      <c r="Q1939" s="136" t="str">
        <f>IFERROR(__xludf.DUMMYFUNCTION("""COMPUTED_VALUE"""),"")</f>
        <v/>
      </c>
      <c r="R1939" s="106" t="str">
        <f>IFERROR(__xludf.DUMMYFUNCTION("""COMPUTED_VALUE"""),"")</f>
        <v/>
      </c>
      <c r="S1939" s="106" t="str">
        <f>IFERROR(__xludf.DUMMYFUNCTION("""COMPUTED_VALUE"""),"")</f>
        <v/>
      </c>
      <c r="T1939" s="139" t="str">
        <f>IFERROR(__xludf.DUMMYFUNCTION("""COMPUTED_VALUE"""),"")</f>
        <v/>
      </c>
      <c r="U1939" s="139" t="str">
        <f>IFERROR(__xludf.DUMMYFUNCTION("""COMPUTED_VALUE"""),"")</f>
        <v/>
      </c>
      <c r="V1939" s="136" t="str">
        <f>IFERROR(__xludf.DUMMYFUNCTION("""COMPUTED_VALUE"""),"")</f>
        <v/>
      </c>
      <c r="W1939" s="106" t="str">
        <f>IFERROR(__xludf.DUMMYFUNCTION("""COMPUTED_VALUE"""),"")</f>
        <v/>
      </c>
      <c r="X1939" s="143" t="str">
        <f t="shared" si="2"/>
        <v/>
      </c>
      <c r="Y1939" s="139" t="str">
        <f>IFERROR(__xludf.DUMMYFUNCTION("""COMPUTED_VALUE"""),"")</f>
        <v/>
      </c>
      <c r="Z1939" s="141" t="str">
        <f>IFERROR(__xludf.DUMMYFUNCTION("""COMPUTED_VALUE"""),"")</f>
        <v/>
      </c>
    </row>
    <row r="1940">
      <c r="D1940" s="136" t="str">
        <f t="shared" si="3"/>
        <v/>
      </c>
      <c r="E1940" s="152"/>
      <c r="F1940" s="106" t="s">
        <v>133</v>
      </c>
      <c r="G1940" s="152"/>
      <c r="H1940" s="106" t="s">
        <v>133</v>
      </c>
      <c r="J1940" s="139" t="s">
        <v>133</v>
      </c>
      <c r="K1940" s="136" t="s">
        <v>133</v>
      </c>
      <c r="L1940" s="153"/>
      <c r="M1940" s="136" t="str">
        <f t="shared" si="1"/>
        <v/>
      </c>
      <c r="O1940" s="141" t="s">
        <v>133</v>
      </c>
      <c r="P1940" s="136" t="str">
        <f>IFERROR(__xludf.DUMMYFUNCTION("""COMPUTED_VALUE"""),"")</f>
        <v/>
      </c>
      <c r="Q1940" s="136" t="str">
        <f>IFERROR(__xludf.DUMMYFUNCTION("""COMPUTED_VALUE"""),"")</f>
        <v/>
      </c>
      <c r="R1940" s="106" t="str">
        <f>IFERROR(__xludf.DUMMYFUNCTION("""COMPUTED_VALUE"""),"")</f>
        <v/>
      </c>
      <c r="S1940" s="106" t="str">
        <f>IFERROR(__xludf.DUMMYFUNCTION("""COMPUTED_VALUE"""),"")</f>
        <v/>
      </c>
      <c r="T1940" s="139" t="str">
        <f>IFERROR(__xludf.DUMMYFUNCTION("""COMPUTED_VALUE"""),"")</f>
        <v/>
      </c>
      <c r="U1940" s="139" t="str">
        <f>IFERROR(__xludf.DUMMYFUNCTION("""COMPUTED_VALUE"""),"")</f>
        <v/>
      </c>
      <c r="V1940" s="136" t="str">
        <f>IFERROR(__xludf.DUMMYFUNCTION("""COMPUTED_VALUE"""),"")</f>
        <v/>
      </c>
      <c r="W1940" s="106" t="str">
        <f>IFERROR(__xludf.DUMMYFUNCTION("""COMPUTED_VALUE"""),"")</f>
        <v/>
      </c>
      <c r="X1940" s="143" t="str">
        <f t="shared" si="2"/>
        <v/>
      </c>
      <c r="Y1940" s="139" t="str">
        <f>IFERROR(__xludf.DUMMYFUNCTION("""COMPUTED_VALUE"""),"")</f>
        <v/>
      </c>
      <c r="Z1940" s="141" t="str">
        <f>IFERROR(__xludf.DUMMYFUNCTION("""COMPUTED_VALUE"""),"")</f>
        <v/>
      </c>
    </row>
    <row r="1941">
      <c r="D1941" s="136" t="str">
        <f t="shared" si="3"/>
        <v/>
      </c>
      <c r="E1941" s="152"/>
      <c r="F1941" s="106" t="s">
        <v>133</v>
      </c>
      <c r="G1941" s="152"/>
      <c r="H1941" s="106" t="s">
        <v>133</v>
      </c>
      <c r="J1941" s="139" t="s">
        <v>133</v>
      </c>
      <c r="K1941" s="136" t="s">
        <v>133</v>
      </c>
      <c r="L1941" s="153"/>
      <c r="M1941" s="136" t="str">
        <f t="shared" si="1"/>
        <v/>
      </c>
      <c r="O1941" s="141" t="s">
        <v>133</v>
      </c>
      <c r="P1941" s="136" t="str">
        <f>IFERROR(__xludf.DUMMYFUNCTION("""COMPUTED_VALUE"""),"")</f>
        <v/>
      </c>
      <c r="Q1941" s="136" t="str">
        <f>IFERROR(__xludf.DUMMYFUNCTION("""COMPUTED_VALUE"""),"")</f>
        <v/>
      </c>
      <c r="R1941" s="106" t="str">
        <f>IFERROR(__xludf.DUMMYFUNCTION("""COMPUTED_VALUE"""),"")</f>
        <v/>
      </c>
      <c r="S1941" s="106" t="str">
        <f>IFERROR(__xludf.DUMMYFUNCTION("""COMPUTED_VALUE"""),"")</f>
        <v/>
      </c>
      <c r="T1941" s="139" t="str">
        <f>IFERROR(__xludf.DUMMYFUNCTION("""COMPUTED_VALUE"""),"")</f>
        <v/>
      </c>
      <c r="U1941" s="139" t="str">
        <f>IFERROR(__xludf.DUMMYFUNCTION("""COMPUTED_VALUE"""),"")</f>
        <v/>
      </c>
      <c r="V1941" s="136" t="str">
        <f>IFERROR(__xludf.DUMMYFUNCTION("""COMPUTED_VALUE"""),"")</f>
        <v/>
      </c>
      <c r="W1941" s="106" t="str">
        <f>IFERROR(__xludf.DUMMYFUNCTION("""COMPUTED_VALUE"""),"")</f>
        <v/>
      </c>
      <c r="X1941" s="143" t="str">
        <f t="shared" si="2"/>
        <v/>
      </c>
      <c r="Y1941" s="139" t="str">
        <f>IFERROR(__xludf.DUMMYFUNCTION("""COMPUTED_VALUE"""),"")</f>
        <v/>
      </c>
      <c r="Z1941" s="141" t="str">
        <f>IFERROR(__xludf.DUMMYFUNCTION("""COMPUTED_VALUE"""),"")</f>
        <v/>
      </c>
    </row>
    <row r="1942">
      <c r="D1942" s="136" t="str">
        <f t="shared" si="3"/>
        <v/>
      </c>
      <c r="E1942" s="152"/>
      <c r="F1942" s="106" t="s">
        <v>133</v>
      </c>
      <c r="G1942" s="152"/>
      <c r="H1942" s="106" t="s">
        <v>133</v>
      </c>
      <c r="J1942" s="139" t="s">
        <v>133</v>
      </c>
      <c r="K1942" s="136" t="s">
        <v>133</v>
      </c>
      <c r="L1942" s="153"/>
      <c r="M1942" s="136" t="str">
        <f t="shared" si="1"/>
        <v/>
      </c>
      <c r="O1942" s="141" t="s">
        <v>133</v>
      </c>
      <c r="P1942" s="136" t="str">
        <f>IFERROR(__xludf.DUMMYFUNCTION("""COMPUTED_VALUE"""),"")</f>
        <v/>
      </c>
      <c r="Q1942" s="136" t="str">
        <f>IFERROR(__xludf.DUMMYFUNCTION("""COMPUTED_VALUE"""),"")</f>
        <v/>
      </c>
      <c r="R1942" s="106" t="str">
        <f>IFERROR(__xludf.DUMMYFUNCTION("""COMPUTED_VALUE"""),"")</f>
        <v/>
      </c>
      <c r="S1942" s="106" t="str">
        <f>IFERROR(__xludf.DUMMYFUNCTION("""COMPUTED_VALUE"""),"")</f>
        <v/>
      </c>
      <c r="T1942" s="139" t="str">
        <f>IFERROR(__xludf.DUMMYFUNCTION("""COMPUTED_VALUE"""),"")</f>
        <v/>
      </c>
      <c r="U1942" s="139" t="str">
        <f>IFERROR(__xludf.DUMMYFUNCTION("""COMPUTED_VALUE"""),"")</f>
        <v/>
      </c>
      <c r="V1942" s="136" t="str">
        <f>IFERROR(__xludf.DUMMYFUNCTION("""COMPUTED_VALUE"""),"")</f>
        <v/>
      </c>
      <c r="W1942" s="106" t="str">
        <f>IFERROR(__xludf.DUMMYFUNCTION("""COMPUTED_VALUE"""),"")</f>
        <v/>
      </c>
      <c r="X1942" s="143" t="str">
        <f t="shared" si="2"/>
        <v/>
      </c>
      <c r="Y1942" s="139" t="str">
        <f>IFERROR(__xludf.DUMMYFUNCTION("""COMPUTED_VALUE"""),"")</f>
        <v/>
      </c>
      <c r="Z1942" s="141" t="str">
        <f>IFERROR(__xludf.DUMMYFUNCTION("""COMPUTED_VALUE"""),"")</f>
        <v/>
      </c>
    </row>
    <row r="1943">
      <c r="D1943" s="136" t="str">
        <f t="shared" si="3"/>
        <v/>
      </c>
      <c r="E1943" s="152"/>
      <c r="F1943" s="106" t="s">
        <v>133</v>
      </c>
      <c r="G1943" s="152"/>
      <c r="H1943" s="106" t="s">
        <v>133</v>
      </c>
      <c r="J1943" s="139" t="s">
        <v>133</v>
      </c>
      <c r="K1943" s="136" t="s">
        <v>133</v>
      </c>
      <c r="L1943" s="153"/>
      <c r="M1943" s="136" t="str">
        <f t="shared" si="1"/>
        <v/>
      </c>
      <c r="O1943" s="141" t="s">
        <v>133</v>
      </c>
      <c r="P1943" s="136" t="str">
        <f>IFERROR(__xludf.DUMMYFUNCTION("""COMPUTED_VALUE"""),"")</f>
        <v/>
      </c>
      <c r="Q1943" s="136" t="str">
        <f>IFERROR(__xludf.DUMMYFUNCTION("""COMPUTED_VALUE"""),"")</f>
        <v/>
      </c>
      <c r="R1943" s="106" t="str">
        <f>IFERROR(__xludf.DUMMYFUNCTION("""COMPUTED_VALUE"""),"")</f>
        <v/>
      </c>
      <c r="S1943" s="106" t="str">
        <f>IFERROR(__xludf.DUMMYFUNCTION("""COMPUTED_VALUE"""),"")</f>
        <v/>
      </c>
      <c r="T1943" s="139" t="str">
        <f>IFERROR(__xludf.DUMMYFUNCTION("""COMPUTED_VALUE"""),"")</f>
        <v/>
      </c>
      <c r="U1943" s="139" t="str">
        <f>IFERROR(__xludf.DUMMYFUNCTION("""COMPUTED_VALUE"""),"")</f>
        <v/>
      </c>
      <c r="V1943" s="136" t="str">
        <f>IFERROR(__xludf.DUMMYFUNCTION("""COMPUTED_VALUE"""),"")</f>
        <v/>
      </c>
      <c r="W1943" s="106" t="str">
        <f>IFERROR(__xludf.DUMMYFUNCTION("""COMPUTED_VALUE"""),"")</f>
        <v/>
      </c>
      <c r="X1943" s="143" t="str">
        <f t="shared" si="2"/>
        <v/>
      </c>
      <c r="Y1943" s="139" t="str">
        <f>IFERROR(__xludf.DUMMYFUNCTION("""COMPUTED_VALUE"""),"")</f>
        <v/>
      </c>
      <c r="Z1943" s="141" t="str">
        <f>IFERROR(__xludf.DUMMYFUNCTION("""COMPUTED_VALUE"""),"")</f>
        <v/>
      </c>
    </row>
    <row r="1944">
      <c r="D1944" s="136" t="str">
        <f t="shared" si="3"/>
        <v/>
      </c>
      <c r="E1944" s="152"/>
      <c r="F1944" s="106" t="s">
        <v>133</v>
      </c>
      <c r="G1944" s="152"/>
      <c r="H1944" s="106" t="s">
        <v>133</v>
      </c>
      <c r="J1944" s="139" t="s">
        <v>133</v>
      </c>
      <c r="K1944" s="136" t="s">
        <v>133</v>
      </c>
      <c r="L1944" s="153"/>
      <c r="M1944" s="136" t="str">
        <f t="shared" si="1"/>
        <v/>
      </c>
      <c r="O1944" s="141" t="s">
        <v>133</v>
      </c>
      <c r="P1944" s="136" t="str">
        <f>IFERROR(__xludf.DUMMYFUNCTION("""COMPUTED_VALUE"""),"")</f>
        <v/>
      </c>
      <c r="Q1944" s="136" t="str">
        <f>IFERROR(__xludf.DUMMYFUNCTION("""COMPUTED_VALUE"""),"")</f>
        <v/>
      </c>
      <c r="R1944" s="106" t="str">
        <f>IFERROR(__xludf.DUMMYFUNCTION("""COMPUTED_VALUE"""),"")</f>
        <v/>
      </c>
      <c r="S1944" s="106" t="str">
        <f>IFERROR(__xludf.DUMMYFUNCTION("""COMPUTED_VALUE"""),"")</f>
        <v/>
      </c>
      <c r="T1944" s="139" t="str">
        <f>IFERROR(__xludf.DUMMYFUNCTION("""COMPUTED_VALUE"""),"")</f>
        <v/>
      </c>
      <c r="U1944" s="139" t="str">
        <f>IFERROR(__xludf.DUMMYFUNCTION("""COMPUTED_VALUE"""),"")</f>
        <v/>
      </c>
      <c r="V1944" s="136" t="str">
        <f>IFERROR(__xludf.DUMMYFUNCTION("""COMPUTED_VALUE"""),"")</f>
        <v/>
      </c>
      <c r="W1944" s="106" t="str">
        <f>IFERROR(__xludf.DUMMYFUNCTION("""COMPUTED_VALUE"""),"")</f>
        <v/>
      </c>
      <c r="X1944" s="143" t="str">
        <f t="shared" si="2"/>
        <v/>
      </c>
      <c r="Y1944" s="139" t="str">
        <f>IFERROR(__xludf.DUMMYFUNCTION("""COMPUTED_VALUE"""),"")</f>
        <v/>
      </c>
      <c r="Z1944" s="141" t="str">
        <f>IFERROR(__xludf.DUMMYFUNCTION("""COMPUTED_VALUE"""),"")</f>
        <v/>
      </c>
    </row>
    <row r="1945">
      <c r="D1945" s="136" t="str">
        <f t="shared" si="3"/>
        <v/>
      </c>
      <c r="E1945" s="152"/>
      <c r="F1945" s="106" t="s">
        <v>133</v>
      </c>
      <c r="G1945" s="152"/>
      <c r="H1945" s="106" t="s">
        <v>133</v>
      </c>
      <c r="J1945" s="139" t="s">
        <v>133</v>
      </c>
      <c r="K1945" s="136" t="s">
        <v>133</v>
      </c>
      <c r="L1945" s="153"/>
      <c r="M1945" s="136" t="str">
        <f t="shared" si="1"/>
        <v/>
      </c>
      <c r="O1945" s="141" t="s">
        <v>133</v>
      </c>
      <c r="P1945" s="136" t="str">
        <f>IFERROR(__xludf.DUMMYFUNCTION("""COMPUTED_VALUE"""),"")</f>
        <v/>
      </c>
      <c r="Q1945" s="136" t="str">
        <f>IFERROR(__xludf.DUMMYFUNCTION("""COMPUTED_VALUE"""),"")</f>
        <v/>
      </c>
      <c r="R1945" s="106" t="str">
        <f>IFERROR(__xludf.DUMMYFUNCTION("""COMPUTED_VALUE"""),"")</f>
        <v/>
      </c>
      <c r="S1945" s="106" t="str">
        <f>IFERROR(__xludf.DUMMYFUNCTION("""COMPUTED_VALUE"""),"")</f>
        <v/>
      </c>
      <c r="T1945" s="139" t="str">
        <f>IFERROR(__xludf.DUMMYFUNCTION("""COMPUTED_VALUE"""),"")</f>
        <v/>
      </c>
      <c r="U1945" s="139" t="str">
        <f>IFERROR(__xludf.DUMMYFUNCTION("""COMPUTED_VALUE"""),"")</f>
        <v/>
      </c>
      <c r="V1945" s="136" t="str">
        <f>IFERROR(__xludf.DUMMYFUNCTION("""COMPUTED_VALUE"""),"")</f>
        <v/>
      </c>
      <c r="W1945" s="106" t="str">
        <f>IFERROR(__xludf.DUMMYFUNCTION("""COMPUTED_VALUE"""),"")</f>
        <v/>
      </c>
      <c r="X1945" s="143" t="str">
        <f t="shared" si="2"/>
        <v/>
      </c>
      <c r="Y1945" s="139" t="str">
        <f>IFERROR(__xludf.DUMMYFUNCTION("""COMPUTED_VALUE"""),"")</f>
        <v/>
      </c>
      <c r="Z1945" s="141" t="str">
        <f>IFERROR(__xludf.DUMMYFUNCTION("""COMPUTED_VALUE"""),"")</f>
        <v/>
      </c>
    </row>
    <row r="1946">
      <c r="D1946" s="136" t="str">
        <f t="shared" si="3"/>
        <v/>
      </c>
      <c r="E1946" s="152"/>
      <c r="F1946" s="106" t="s">
        <v>133</v>
      </c>
      <c r="G1946" s="152"/>
      <c r="H1946" s="106" t="s">
        <v>133</v>
      </c>
      <c r="J1946" s="139" t="s">
        <v>133</v>
      </c>
      <c r="K1946" s="136" t="s">
        <v>133</v>
      </c>
      <c r="L1946" s="153"/>
      <c r="M1946" s="136" t="str">
        <f t="shared" si="1"/>
        <v/>
      </c>
      <c r="O1946" s="141" t="s">
        <v>133</v>
      </c>
      <c r="P1946" s="136" t="str">
        <f>IFERROR(__xludf.DUMMYFUNCTION("""COMPUTED_VALUE"""),"")</f>
        <v/>
      </c>
      <c r="Q1946" s="136" t="str">
        <f>IFERROR(__xludf.DUMMYFUNCTION("""COMPUTED_VALUE"""),"")</f>
        <v/>
      </c>
      <c r="R1946" s="106" t="str">
        <f>IFERROR(__xludf.DUMMYFUNCTION("""COMPUTED_VALUE"""),"")</f>
        <v/>
      </c>
      <c r="S1946" s="106" t="str">
        <f>IFERROR(__xludf.DUMMYFUNCTION("""COMPUTED_VALUE"""),"")</f>
        <v/>
      </c>
      <c r="T1946" s="139" t="str">
        <f>IFERROR(__xludf.DUMMYFUNCTION("""COMPUTED_VALUE"""),"")</f>
        <v/>
      </c>
      <c r="U1946" s="139" t="str">
        <f>IFERROR(__xludf.DUMMYFUNCTION("""COMPUTED_VALUE"""),"")</f>
        <v/>
      </c>
      <c r="V1946" s="136" t="str">
        <f>IFERROR(__xludf.DUMMYFUNCTION("""COMPUTED_VALUE"""),"")</f>
        <v/>
      </c>
      <c r="W1946" s="106" t="str">
        <f>IFERROR(__xludf.DUMMYFUNCTION("""COMPUTED_VALUE"""),"")</f>
        <v/>
      </c>
      <c r="X1946" s="143" t="str">
        <f t="shared" si="2"/>
        <v/>
      </c>
      <c r="Y1946" s="139" t="str">
        <f>IFERROR(__xludf.DUMMYFUNCTION("""COMPUTED_VALUE"""),"")</f>
        <v/>
      </c>
      <c r="Z1946" s="141" t="str">
        <f>IFERROR(__xludf.DUMMYFUNCTION("""COMPUTED_VALUE"""),"")</f>
        <v/>
      </c>
    </row>
    <row r="1947">
      <c r="D1947" s="136" t="str">
        <f t="shared" si="3"/>
        <v/>
      </c>
      <c r="E1947" s="152"/>
      <c r="F1947" s="106" t="s">
        <v>133</v>
      </c>
      <c r="G1947" s="152"/>
      <c r="H1947" s="106" t="s">
        <v>133</v>
      </c>
      <c r="J1947" s="139" t="s">
        <v>133</v>
      </c>
      <c r="K1947" s="136" t="s">
        <v>133</v>
      </c>
      <c r="L1947" s="153"/>
      <c r="M1947" s="136" t="str">
        <f t="shared" si="1"/>
        <v/>
      </c>
      <c r="O1947" s="141" t="s">
        <v>133</v>
      </c>
      <c r="P1947" s="136" t="str">
        <f>IFERROR(__xludf.DUMMYFUNCTION("""COMPUTED_VALUE"""),"")</f>
        <v/>
      </c>
      <c r="Q1947" s="136" t="str">
        <f>IFERROR(__xludf.DUMMYFUNCTION("""COMPUTED_VALUE"""),"")</f>
        <v/>
      </c>
      <c r="R1947" s="106" t="str">
        <f>IFERROR(__xludf.DUMMYFUNCTION("""COMPUTED_VALUE"""),"")</f>
        <v/>
      </c>
      <c r="S1947" s="106" t="str">
        <f>IFERROR(__xludf.DUMMYFUNCTION("""COMPUTED_VALUE"""),"")</f>
        <v/>
      </c>
      <c r="T1947" s="139" t="str">
        <f>IFERROR(__xludf.DUMMYFUNCTION("""COMPUTED_VALUE"""),"")</f>
        <v/>
      </c>
      <c r="U1947" s="139" t="str">
        <f>IFERROR(__xludf.DUMMYFUNCTION("""COMPUTED_VALUE"""),"")</f>
        <v/>
      </c>
      <c r="V1947" s="136" t="str">
        <f>IFERROR(__xludf.DUMMYFUNCTION("""COMPUTED_VALUE"""),"")</f>
        <v/>
      </c>
      <c r="W1947" s="106" t="str">
        <f>IFERROR(__xludf.DUMMYFUNCTION("""COMPUTED_VALUE"""),"")</f>
        <v/>
      </c>
      <c r="X1947" s="143" t="str">
        <f t="shared" si="2"/>
        <v/>
      </c>
      <c r="Y1947" s="139" t="str">
        <f>IFERROR(__xludf.DUMMYFUNCTION("""COMPUTED_VALUE"""),"")</f>
        <v/>
      </c>
      <c r="Z1947" s="141" t="str">
        <f>IFERROR(__xludf.DUMMYFUNCTION("""COMPUTED_VALUE"""),"")</f>
        <v/>
      </c>
    </row>
    <row r="1948">
      <c r="D1948" s="136" t="str">
        <f t="shared" si="3"/>
        <v/>
      </c>
      <c r="E1948" s="152"/>
      <c r="F1948" s="106" t="s">
        <v>133</v>
      </c>
      <c r="G1948" s="152"/>
      <c r="H1948" s="106" t="s">
        <v>133</v>
      </c>
      <c r="J1948" s="139" t="s">
        <v>133</v>
      </c>
      <c r="K1948" s="136" t="s">
        <v>133</v>
      </c>
      <c r="L1948" s="153"/>
      <c r="M1948" s="136" t="str">
        <f t="shared" si="1"/>
        <v/>
      </c>
      <c r="O1948" s="141" t="s">
        <v>133</v>
      </c>
      <c r="P1948" s="136" t="str">
        <f>IFERROR(__xludf.DUMMYFUNCTION("""COMPUTED_VALUE"""),"")</f>
        <v/>
      </c>
      <c r="Q1948" s="136" t="str">
        <f>IFERROR(__xludf.DUMMYFUNCTION("""COMPUTED_VALUE"""),"")</f>
        <v/>
      </c>
      <c r="R1948" s="106" t="str">
        <f>IFERROR(__xludf.DUMMYFUNCTION("""COMPUTED_VALUE"""),"")</f>
        <v/>
      </c>
      <c r="S1948" s="106" t="str">
        <f>IFERROR(__xludf.DUMMYFUNCTION("""COMPUTED_VALUE"""),"")</f>
        <v/>
      </c>
      <c r="T1948" s="139" t="str">
        <f>IFERROR(__xludf.DUMMYFUNCTION("""COMPUTED_VALUE"""),"")</f>
        <v/>
      </c>
      <c r="U1948" s="139" t="str">
        <f>IFERROR(__xludf.DUMMYFUNCTION("""COMPUTED_VALUE"""),"")</f>
        <v/>
      </c>
      <c r="V1948" s="136" t="str">
        <f>IFERROR(__xludf.DUMMYFUNCTION("""COMPUTED_VALUE"""),"")</f>
        <v/>
      </c>
      <c r="W1948" s="106" t="str">
        <f>IFERROR(__xludf.DUMMYFUNCTION("""COMPUTED_VALUE"""),"")</f>
        <v/>
      </c>
      <c r="X1948" s="143" t="str">
        <f t="shared" si="2"/>
        <v/>
      </c>
      <c r="Y1948" s="139" t="str">
        <f>IFERROR(__xludf.DUMMYFUNCTION("""COMPUTED_VALUE"""),"")</f>
        <v/>
      </c>
      <c r="Z1948" s="141" t="str">
        <f>IFERROR(__xludf.DUMMYFUNCTION("""COMPUTED_VALUE"""),"")</f>
        <v/>
      </c>
    </row>
    <row r="1949">
      <c r="D1949" s="136" t="str">
        <f t="shared" si="3"/>
        <v/>
      </c>
      <c r="E1949" s="152"/>
      <c r="F1949" s="106" t="s">
        <v>133</v>
      </c>
      <c r="G1949" s="152"/>
      <c r="H1949" s="106" t="s">
        <v>133</v>
      </c>
      <c r="J1949" s="139" t="s">
        <v>133</v>
      </c>
      <c r="K1949" s="136" t="s">
        <v>133</v>
      </c>
      <c r="L1949" s="153"/>
      <c r="M1949" s="136" t="str">
        <f t="shared" si="1"/>
        <v/>
      </c>
      <c r="O1949" s="141" t="s">
        <v>133</v>
      </c>
      <c r="P1949" s="136" t="str">
        <f>IFERROR(__xludf.DUMMYFUNCTION("""COMPUTED_VALUE"""),"")</f>
        <v/>
      </c>
      <c r="Q1949" s="136" t="str">
        <f>IFERROR(__xludf.DUMMYFUNCTION("""COMPUTED_VALUE"""),"")</f>
        <v/>
      </c>
      <c r="R1949" s="106" t="str">
        <f>IFERROR(__xludf.DUMMYFUNCTION("""COMPUTED_VALUE"""),"")</f>
        <v/>
      </c>
      <c r="S1949" s="106" t="str">
        <f>IFERROR(__xludf.DUMMYFUNCTION("""COMPUTED_VALUE"""),"")</f>
        <v/>
      </c>
      <c r="T1949" s="139" t="str">
        <f>IFERROR(__xludf.DUMMYFUNCTION("""COMPUTED_VALUE"""),"")</f>
        <v/>
      </c>
      <c r="U1949" s="139" t="str">
        <f>IFERROR(__xludf.DUMMYFUNCTION("""COMPUTED_VALUE"""),"")</f>
        <v/>
      </c>
      <c r="V1949" s="136" t="str">
        <f>IFERROR(__xludf.DUMMYFUNCTION("""COMPUTED_VALUE"""),"")</f>
        <v/>
      </c>
      <c r="W1949" s="106" t="str">
        <f>IFERROR(__xludf.DUMMYFUNCTION("""COMPUTED_VALUE"""),"")</f>
        <v/>
      </c>
      <c r="X1949" s="143" t="str">
        <f t="shared" si="2"/>
        <v/>
      </c>
      <c r="Y1949" s="139" t="str">
        <f>IFERROR(__xludf.DUMMYFUNCTION("""COMPUTED_VALUE"""),"")</f>
        <v/>
      </c>
      <c r="Z1949" s="141" t="str">
        <f>IFERROR(__xludf.DUMMYFUNCTION("""COMPUTED_VALUE"""),"")</f>
        <v/>
      </c>
    </row>
    <row r="1950">
      <c r="D1950" s="136" t="str">
        <f t="shared" si="3"/>
        <v/>
      </c>
      <c r="E1950" s="152"/>
      <c r="F1950" s="106" t="s">
        <v>133</v>
      </c>
      <c r="G1950" s="152"/>
      <c r="H1950" s="106" t="s">
        <v>133</v>
      </c>
      <c r="J1950" s="139" t="s">
        <v>133</v>
      </c>
      <c r="K1950" s="136" t="s">
        <v>133</v>
      </c>
      <c r="L1950" s="153"/>
      <c r="M1950" s="136" t="str">
        <f t="shared" si="1"/>
        <v/>
      </c>
      <c r="O1950" s="141" t="s">
        <v>133</v>
      </c>
      <c r="P1950" s="136" t="str">
        <f>IFERROR(__xludf.DUMMYFUNCTION("""COMPUTED_VALUE"""),"")</f>
        <v/>
      </c>
      <c r="Q1950" s="136" t="str">
        <f>IFERROR(__xludf.DUMMYFUNCTION("""COMPUTED_VALUE"""),"")</f>
        <v/>
      </c>
      <c r="R1950" s="106" t="str">
        <f>IFERROR(__xludf.DUMMYFUNCTION("""COMPUTED_VALUE"""),"")</f>
        <v/>
      </c>
      <c r="S1950" s="106" t="str">
        <f>IFERROR(__xludf.DUMMYFUNCTION("""COMPUTED_VALUE"""),"")</f>
        <v/>
      </c>
      <c r="T1950" s="139" t="str">
        <f>IFERROR(__xludf.DUMMYFUNCTION("""COMPUTED_VALUE"""),"")</f>
        <v/>
      </c>
      <c r="U1950" s="139" t="str">
        <f>IFERROR(__xludf.DUMMYFUNCTION("""COMPUTED_VALUE"""),"")</f>
        <v/>
      </c>
      <c r="V1950" s="136" t="str">
        <f>IFERROR(__xludf.DUMMYFUNCTION("""COMPUTED_VALUE"""),"")</f>
        <v/>
      </c>
      <c r="W1950" s="106" t="str">
        <f>IFERROR(__xludf.DUMMYFUNCTION("""COMPUTED_VALUE"""),"")</f>
        <v/>
      </c>
      <c r="X1950" s="143" t="str">
        <f t="shared" si="2"/>
        <v/>
      </c>
      <c r="Y1950" s="139" t="str">
        <f>IFERROR(__xludf.DUMMYFUNCTION("""COMPUTED_VALUE"""),"")</f>
        <v/>
      </c>
      <c r="Z1950" s="141" t="str">
        <f>IFERROR(__xludf.DUMMYFUNCTION("""COMPUTED_VALUE"""),"")</f>
        <v/>
      </c>
    </row>
    <row r="1951">
      <c r="D1951" s="136" t="str">
        <f t="shared" si="3"/>
        <v/>
      </c>
      <c r="E1951" s="152"/>
      <c r="F1951" s="106" t="s">
        <v>133</v>
      </c>
      <c r="G1951" s="152"/>
      <c r="H1951" s="106" t="s">
        <v>133</v>
      </c>
      <c r="J1951" s="139" t="s">
        <v>133</v>
      </c>
      <c r="K1951" s="136" t="s">
        <v>133</v>
      </c>
      <c r="L1951" s="153"/>
      <c r="M1951" s="136" t="str">
        <f t="shared" si="1"/>
        <v/>
      </c>
      <c r="O1951" s="141" t="s">
        <v>133</v>
      </c>
      <c r="P1951" s="136" t="str">
        <f>IFERROR(__xludf.DUMMYFUNCTION("""COMPUTED_VALUE"""),"")</f>
        <v/>
      </c>
      <c r="Q1951" s="136" t="str">
        <f>IFERROR(__xludf.DUMMYFUNCTION("""COMPUTED_VALUE"""),"")</f>
        <v/>
      </c>
      <c r="R1951" s="106" t="str">
        <f>IFERROR(__xludf.DUMMYFUNCTION("""COMPUTED_VALUE"""),"")</f>
        <v/>
      </c>
      <c r="S1951" s="106" t="str">
        <f>IFERROR(__xludf.DUMMYFUNCTION("""COMPUTED_VALUE"""),"")</f>
        <v/>
      </c>
      <c r="T1951" s="139" t="str">
        <f>IFERROR(__xludf.DUMMYFUNCTION("""COMPUTED_VALUE"""),"")</f>
        <v/>
      </c>
      <c r="U1951" s="139" t="str">
        <f>IFERROR(__xludf.DUMMYFUNCTION("""COMPUTED_VALUE"""),"")</f>
        <v/>
      </c>
      <c r="V1951" s="136" t="str">
        <f>IFERROR(__xludf.DUMMYFUNCTION("""COMPUTED_VALUE"""),"")</f>
        <v/>
      </c>
      <c r="W1951" s="106" t="str">
        <f>IFERROR(__xludf.DUMMYFUNCTION("""COMPUTED_VALUE"""),"")</f>
        <v/>
      </c>
      <c r="X1951" s="143" t="str">
        <f t="shared" si="2"/>
        <v/>
      </c>
      <c r="Y1951" s="139" t="str">
        <f>IFERROR(__xludf.DUMMYFUNCTION("""COMPUTED_VALUE"""),"")</f>
        <v/>
      </c>
      <c r="Z1951" s="141" t="str">
        <f>IFERROR(__xludf.DUMMYFUNCTION("""COMPUTED_VALUE"""),"")</f>
        <v/>
      </c>
    </row>
    <row r="1952">
      <c r="D1952" s="136" t="str">
        <f t="shared" si="3"/>
        <v/>
      </c>
      <c r="E1952" s="152"/>
      <c r="F1952" s="106" t="s">
        <v>133</v>
      </c>
      <c r="G1952" s="152"/>
      <c r="H1952" s="106" t="s">
        <v>133</v>
      </c>
      <c r="J1952" s="139" t="s">
        <v>133</v>
      </c>
      <c r="K1952" s="136" t="s">
        <v>133</v>
      </c>
      <c r="L1952" s="153"/>
      <c r="M1952" s="136" t="str">
        <f t="shared" si="1"/>
        <v/>
      </c>
      <c r="O1952" s="141" t="s">
        <v>133</v>
      </c>
      <c r="P1952" s="136" t="str">
        <f>IFERROR(__xludf.DUMMYFUNCTION("""COMPUTED_VALUE"""),"")</f>
        <v/>
      </c>
      <c r="Q1952" s="136" t="str">
        <f>IFERROR(__xludf.DUMMYFUNCTION("""COMPUTED_VALUE"""),"")</f>
        <v/>
      </c>
      <c r="R1952" s="106" t="str">
        <f>IFERROR(__xludf.DUMMYFUNCTION("""COMPUTED_VALUE"""),"")</f>
        <v/>
      </c>
      <c r="S1952" s="106" t="str">
        <f>IFERROR(__xludf.DUMMYFUNCTION("""COMPUTED_VALUE"""),"")</f>
        <v/>
      </c>
      <c r="T1952" s="139" t="str">
        <f>IFERROR(__xludf.DUMMYFUNCTION("""COMPUTED_VALUE"""),"")</f>
        <v/>
      </c>
      <c r="U1952" s="139" t="str">
        <f>IFERROR(__xludf.DUMMYFUNCTION("""COMPUTED_VALUE"""),"")</f>
        <v/>
      </c>
      <c r="V1952" s="136" t="str">
        <f>IFERROR(__xludf.DUMMYFUNCTION("""COMPUTED_VALUE"""),"")</f>
        <v/>
      </c>
      <c r="W1952" s="106" t="str">
        <f>IFERROR(__xludf.DUMMYFUNCTION("""COMPUTED_VALUE"""),"")</f>
        <v/>
      </c>
      <c r="X1952" s="143" t="str">
        <f t="shared" si="2"/>
        <v/>
      </c>
      <c r="Y1952" s="139" t="str">
        <f>IFERROR(__xludf.DUMMYFUNCTION("""COMPUTED_VALUE"""),"")</f>
        <v/>
      </c>
      <c r="Z1952" s="141" t="str">
        <f>IFERROR(__xludf.DUMMYFUNCTION("""COMPUTED_VALUE"""),"")</f>
        <v/>
      </c>
    </row>
    <row r="1953">
      <c r="D1953" s="136" t="str">
        <f t="shared" si="3"/>
        <v/>
      </c>
      <c r="E1953" s="152"/>
      <c r="F1953" s="106" t="s">
        <v>133</v>
      </c>
      <c r="G1953" s="152"/>
      <c r="H1953" s="106" t="s">
        <v>133</v>
      </c>
      <c r="J1953" s="139" t="s">
        <v>133</v>
      </c>
      <c r="K1953" s="136" t="s">
        <v>133</v>
      </c>
      <c r="L1953" s="153"/>
      <c r="M1953" s="136" t="str">
        <f t="shared" si="1"/>
        <v/>
      </c>
      <c r="O1953" s="141" t="s">
        <v>133</v>
      </c>
      <c r="P1953" s="136" t="str">
        <f>IFERROR(__xludf.DUMMYFUNCTION("""COMPUTED_VALUE"""),"")</f>
        <v/>
      </c>
      <c r="Q1953" s="136" t="str">
        <f>IFERROR(__xludf.DUMMYFUNCTION("""COMPUTED_VALUE"""),"")</f>
        <v/>
      </c>
      <c r="R1953" s="106" t="str">
        <f>IFERROR(__xludf.DUMMYFUNCTION("""COMPUTED_VALUE"""),"")</f>
        <v/>
      </c>
      <c r="S1953" s="106" t="str">
        <f>IFERROR(__xludf.DUMMYFUNCTION("""COMPUTED_VALUE"""),"")</f>
        <v/>
      </c>
      <c r="T1953" s="139" t="str">
        <f>IFERROR(__xludf.DUMMYFUNCTION("""COMPUTED_VALUE"""),"")</f>
        <v/>
      </c>
      <c r="U1953" s="139" t="str">
        <f>IFERROR(__xludf.DUMMYFUNCTION("""COMPUTED_VALUE"""),"")</f>
        <v/>
      </c>
      <c r="V1953" s="136" t="str">
        <f>IFERROR(__xludf.DUMMYFUNCTION("""COMPUTED_VALUE"""),"")</f>
        <v/>
      </c>
      <c r="W1953" s="106" t="str">
        <f>IFERROR(__xludf.DUMMYFUNCTION("""COMPUTED_VALUE"""),"")</f>
        <v/>
      </c>
      <c r="X1953" s="143" t="str">
        <f t="shared" si="2"/>
        <v/>
      </c>
      <c r="Y1953" s="139" t="str">
        <f>IFERROR(__xludf.DUMMYFUNCTION("""COMPUTED_VALUE"""),"")</f>
        <v/>
      </c>
      <c r="Z1953" s="141" t="str">
        <f>IFERROR(__xludf.DUMMYFUNCTION("""COMPUTED_VALUE"""),"")</f>
        <v/>
      </c>
    </row>
    <row r="1954">
      <c r="D1954" s="136" t="str">
        <f t="shared" si="3"/>
        <v/>
      </c>
      <c r="E1954" s="152"/>
      <c r="F1954" s="106" t="s">
        <v>133</v>
      </c>
      <c r="G1954" s="152"/>
      <c r="H1954" s="106" t="s">
        <v>133</v>
      </c>
      <c r="J1954" s="139" t="s">
        <v>133</v>
      </c>
      <c r="K1954" s="136" t="s">
        <v>133</v>
      </c>
      <c r="L1954" s="153"/>
      <c r="M1954" s="136" t="str">
        <f t="shared" si="1"/>
        <v/>
      </c>
      <c r="O1954" s="141" t="s">
        <v>133</v>
      </c>
      <c r="P1954" s="136" t="str">
        <f>IFERROR(__xludf.DUMMYFUNCTION("""COMPUTED_VALUE"""),"")</f>
        <v/>
      </c>
      <c r="Q1954" s="136" t="str">
        <f>IFERROR(__xludf.DUMMYFUNCTION("""COMPUTED_VALUE"""),"")</f>
        <v/>
      </c>
      <c r="R1954" s="106" t="str">
        <f>IFERROR(__xludf.DUMMYFUNCTION("""COMPUTED_VALUE"""),"")</f>
        <v/>
      </c>
      <c r="S1954" s="106" t="str">
        <f>IFERROR(__xludf.DUMMYFUNCTION("""COMPUTED_VALUE"""),"")</f>
        <v/>
      </c>
      <c r="T1954" s="139" t="str">
        <f>IFERROR(__xludf.DUMMYFUNCTION("""COMPUTED_VALUE"""),"")</f>
        <v/>
      </c>
      <c r="U1954" s="139" t="str">
        <f>IFERROR(__xludf.DUMMYFUNCTION("""COMPUTED_VALUE"""),"")</f>
        <v/>
      </c>
      <c r="V1954" s="136" t="str">
        <f>IFERROR(__xludf.DUMMYFUNCTION("""COMPUTED_VALUE"""),"")</f>
        <v/>
      </c>
      <c r="W1954" s="106" t="str">
        <f>IFERROR(__xludf.DUMMYFUNCTION("""COMPUTED_VALUE"""),"")</f>
        <v/>
      </c>
      <c r="X1954" s="143" t="str">
        <f t="shared" si="2"/>
        <v/>
      </c>
      <c r="Y1954" s="139" t="str">
        <f>IFERROR(__xludf.DUMMYFUNCTION("""COMPUTED_VALUE"""),"")</f>
        <v/>
      </c>
      <c r="Z1954" s="141" t="str">
        <f>IFERROR(__xludf.DUMMYFUNCTION("""COMPUTED_VALUE"""),"")</f>
        <v/>
      </c>
    </row>
    <row r="1955">
      <c r="D1955" s="136" t="str">
        <f t="shared" si="3"/>
        <v/>
      </c>
      <c r="E1955" s="152"/>
      <c r="F1955" s="106" t="s">
        <v>133</v>
      </c>
      <c r="G1955" s="152"/>
      <c r="H1955" s="106" t="s">
        <v>133</v>
      </c>
      <c r="J1955" s="139" t="s">
        <v>133</v>
      </c>
      <c r="K1955" s="136" t="s">
        <v>133</v>
      </c>
      <c r="L1955" s="153"/>
      <c r="M1955" s="136" t="str">
        <f t="shared" si="1"/>
        <v/>
      </c>
      <c r="O1955" s="141" t="s">
        <v>133</v>
      </c>
      <c r="P1955" s="136" t="str">
        <f>IFERROR(__xludf.DUMMYFUNCTION("""COMPUTED_VALUE"""),"")</f>
        <v/>
      </c>
      <c r="Q1955" s="136" t="str">
        <f>IFERROR(__xludf.DUMMYFUNCTION("""COMPUTED_VALUE"""),"")</f>
        <v/>
      </c>
      <c r="R1955" s="106" t="str">
        <f>IFERROR(__xludf.DUMMYFUNCTION("""COMPUTED_VALUE"""),"")</f>
        <v/>
      </c>
      <c r="S1955" s="106" t="str">
        <f>IFERROR(__xludf.DUMMYFUNCTION("""COMPUTED_VALUE"""),"")</f>
        <v/>
      </c>
      <c r="T1955" s="139" t="str">
        <f>IFERROR(__xludf.DUMMYFUNCTION("""COMPUTED_VALUE"""),"")</f>
        <v/>
      </c>
      <c r="U1955" s="139" t="str">
        <f>IFERROR(__xludf.DUMMYFUNCTION("""COMPUTED_VALUE"""),"")</f>
        <v/>
      </c>
      <c r="V1955" s="136" t="str">
        <f>IFERROR(__xludf.DUMMYFUNCTION("""COMPUTED_VALUE"""),"")</f>
        <v/>
      </c>
      <c r="W1955" s="106" t="str">
        <f>IFERROR(__xludf.DUMMYFUNCTION("""COMPUTED_VALUE"""),"")</f>
        <v/>
      </c>
      <c r="X1955" s="143" t="str">
        <f t="shared" si="2"/>
        <v/>
      </c>
      <c r="Y1955" s="139" t="str">
        <f>IFERROR(__xludf.DUMMYFUNCTION("""COMPUTED_VALUE"""),"")</f>
        <v/>
      </c>
      <c r="Z1955" s="141" t="str">
        <f>IFERROR(__xludf.DUMMYFUNCTION("""COMPUTED_VALUE"""),"")</f>
        <v/>
      </c>
    </row>
    <row r="1956">
      <c r="D1956" s="136" t="str">
        <f t="shared" si="3"/>
        <v/>
      </c>
      <c r="E1956" s="152"/>
      <c r="F1956" s="106" t="s">
        <v>133</v>
      </c>
      <c r="G1956" s="152"/>
      <c r="H1956" s="106" t="s">
        <v>133</v>
      </c>
      <c r="J1956" s="139" t="s">
        <v>133</v>
      </c>
      <c r="K1956" s="136" t="s">
        <v>133</v>
      </c>
      <c r="L1956" s="153"/>
      <c r="M1956" s="136" t="str">
        <f t="shared" si="1"/>
        <v/>
      </c>
      <c r="O1956" s="141" t="s">
        <v>133</v>
      </c>
      <c r="P1956" s="136" t="str">
        <f>IFERROR(__xludf.DUMMYFUNCTION("""COMPUTED_VALUE"""),"")</f>
        <v/>
      </c>
      <c r="Q1956" s="136" t="str">
        <f>IFERROR(__xludf.DUMMYFUNCTION("""COMPUTED_VALUE"""),"")</f>
        <v/>
      </c>
      <c r="R1956" s="106" t="str">
        <f>IFERROR(__xludf.DUMMYFUNCTION("""COMPUTED_VALUE"""),"")</f>
        <v/>
      </c>
      <c r="S1956" s="106" t="str">
        <f>IFERROR(__xludf.DUMMYFUNCTION("""COMPUTED_VALUE"""),"")</f>
        <v/>
      </c>
      <c r="T1956" s="139" t="str">
        <f>IFERROR(__xludf.DUMMYFUNCTION("""COMPUTED_VALUE"""),"")</f>
        <v/>
      </c>
      <c r="U1956" s="139" t="str">
        <f>IFERROR(__xludf.DUMMYFUNCTION("""COMPUTED_VALUE"""),"")</f>
        <v/>
      </c>
      <c r="V1956" s="136" t="str">
        <f>IFERROR(__xludf.DUMMYFUNCTION("""COMPUTED_VALUE"""),"")</f>
        <v/>
      </c>
      <c r="W1956" s="106" t="str">
        <f>IFERROR(__xludf.DUMMYFUNCTION("""COMPUTED_VALUE"""),"")</f>
        <v/>
      </c>
      <c r="X1956" s="143" t="str">
        <f t="shared" si="2"/>
        <v/>
      </c>
      <c r="Y1956" s="139" t="str">
        <f>IFERROR(__xludf.DUMMYFUNCTION("""COMPUTED_VALUE"""),"")</f>
        <v/>
      </c>
      <c r="Z1956" s="141" t="str">
        <f>IFERROR(__xludf.DUMMYFUNCTION("""COMPUTED_VALUE"""),"")</f>
        <v/>
      </c>
    </row>
    <row r="1957">
      <c r="D1957" s="136" t="str">
        <f t="shared" si="3"/>
        <v/>
      </c>
      <c r="E1957" s="152"/>
      <c r="F1957" s="106" t="s">
        <v>133</v>
      </c>
      <c r="G1957" s="152"/>
      <c r="H1957" s="106" t="s">
        <v>133</v>
      </c>
      <c r="J1957" s="139" t="s">
        <v>133</v>
      </c>
      <c r="K1957" s="136" t="s">
        <v>133</v>
      </c>
      <c r="L1957" s="153"/>
      <c r="M1957" s="136" t="str">
        <f t="shared" si="1"/>
        <v/>
      </c>
      <c r="O1957" s="141" t="s">
        <v>133</v>
      </c>
      <c r="P1957" s="136" t="str">
        <f>IFERROR(__xludf.DUMMYFUNCTION("""COMPUTED_VALUE"""),"")</f>
        <v/>
      </c>
      <c r="Q1957" s="136" t="str">
        <f>IFERROR(__xludf.DUMMYFUNCTION("""COMPUTED_VALUE"""),"")</f>
        <v/>
      </c>
      <c r="R1957" s="106" t="str">
        <f>IFERROR(__xludf.DUMMYFUNCTION("""COMPUTED_VALUE"""),"")</f>
        <v/>
      </c>
      <c r="S1957" s="106" t="str">
        <f>IFERROR(__xludf.DUMMYFUNCTION("""COMPUTED_VALUE"""),"")</f>
        <v/>
      </c>
      <c r="T1957" s="139" t="str">
        <f>IFERROR(__xludf.DUMMYFUNCTION("""COMPUTED_VALUE"""),"")</f>
        <v/>
      </c>
      <c r="U1957" s="139" t="str">
        <f>IFERROR(__xludf.DUMMYFUNCTION("""COMPUTED_VALUE"""),"")</f>
        <v/>
      </c>
      <c r="V1957" s="136" t="str">
        <f>IFERROR(__xludf.DUMMYFUNCTION("""COMPUTED_VALUE"""),"")</f>
        <v/>
      </c>
      <c r="W1957" s="106" t="str">
        <f>IFERROR(__xludf.DUMMYFUNCTION("""COMPUTED_VALUE"""),"")</f>
        <v/>
      </c>
      <c r="X1957" s="143" t="str">
        <f t="shared" si="2"/>
        <v/>
      </c>
      <c r="Y1957" s="139" t="str">
        <f>IFERROR(__xludf.DUMMYFUNCTION("""COMPUTED_VALUE"""),"")</f>
        <v/>
      </c>
      <c r="Z1957" s="141" t="str">
        <f>IFERROR(__xludf.DUMMYFUNCTION("""COMPUTED_VALUE"""),"")</f>
        <v/>
      </c>
    </row>
    <row r="1958">
      <c r="D1958" s="136" t="str">
        <f t="shared" si="3"/>
        <v/>
      </c>
      <c r="E1958" s="152"/>
      <c r="F1958" s="106" t="s">
        <v>133</v>
      </c>
      <c r="G1958" s="152"/>
      <c r="H1958" s="106" t="s">
        <v>133</v>
      </c>
      <c r="J1958" s="139" t="s">
        <v>133</v>
      </c>
      <c r="K1958" s="136" t="s">
        <v>133</v>
      </c>
      <c r="L1958" s="153"/>
      <c r="M1958" s="136" t="str">
        <f t="shared" si="1"/>
        <v/>
      </c>
      <c r="O1958" s="141" t="s">
        <v>133</v>
      </c>
      <c r="P1958" s="136" t="str">
        <f>IFERROR(__xludf.DUMMYFUNCTION("""COMPUTED_VALUE"""),"")</f>
        <v/>
      </c>
      <c r="Q1958" s="136" t="str">
        <f>IFERROR(__xludf.DUMMYFUNCTION("""COMPUTED_VALUE"""),"")</f>
        <v/>
      </c>
      <c r="R1958" s="106" t="str">
        <f>IFERROR(__xludf.DUMMYFUNCTION("""COMPUTED_VALUE"""),"")</f>
        <v/>
      </c>
      <c r="S1958" s="106" t="str">
        <f>IFERROR(__xludf.DUMMYFUNCTION("""COMPUTED_VALUE"""),"")</f>
        <v/>
      </c>
      <c r="T1958" s="139" t="str">
        <f>IFERROR(__xludf.DUMMYFUNCTION("""COMPUTED_VALUE"""),"")</f>
        <v/>
      </c>
      <c r="U1958" s="139" t="str">
        <f>IFERROR(__xludf.DUMMYFUNCTION("""COMPUTED_VALUE"""),"")</f>
        <v/>
      </c>
      <c r="V1958" s="136" t="str">
        <f>IFERROR(__xludf.DUMMYFUNCTION("""COMPUTED_VALUE"""),"")</f>
        <v/>
      </c>
      <c r="W1958" s="106" t="str">
        <f>IFERROR(__xludf.DUMMYFUNCTION("""COMPUTED_VALUE"""),"")</f>
        <v/>
      </c>
      <c r="X1958" s="143" t="str">
        <f t="shared" si="2"/>
        <v/>
      </c>
      <c r="Y1958" s="139" t="str">
        <f>IFERROR(__xludf.DUMMYFUNCTION("""COMPUTED_VALUE"""),"")</f>
        <v/>
      </c>
      <c r="Z1958" s="141" t="str">
        <f>IFERROR(__xludf.DUMMYFUNCTION("""COMPUTED_VALUE"""),"")</f>
        <v/>
      </c>
    </row>
    <row r="1959">
      <c r="D1959" s="136" t="str">
        <f t="shared" si="3"/>
        <v/>
      </c>
      <c r="E1959" s="152"/>
      <c r="F1959" s="106" t="s">
        <v>133</v>
      </c>
      <c r="G1959" s="152"/>
      <c r="H1959" s="106" t="s">
        <v>133</v>
      </c>
      <c r="J1959" s="139" t="s">
        <v>133</v>
      </c>
      <c r="K1959" s="136" t="s">
        <v>133</v>
      </c>
      <c r="L1959" s="153"/>
      <c r="M1959" s="136" t="str">
        <f t="shared" si="1"/>
        <v/>
      </c>
      <c r="O1959" s="141" t="s">
        <v>133</v>
      </c>
      <c r="P1959" s="136" t="str">
        <f>IFERROR(__xludf.DUMMYFUNCTION("""COMPUTED_VALUE"""),"")</f>
        <v/>
      </c>
      <c r="Q1959" s="136" t="str">
        <f>IFERROR(__xludf.DUMMYFUNCTION("""COMPUTED_VALUE"""),"")</f>
        <v/>
      </c>
      <c r="R1959" s="106" t="str">
        <f>IFERROR(__xludf.DUMMYFUNCTION("""COMPUTED_VALUE"""),"")</f>
        <v/>
      </c>
      <c r="S1959" s="106" t="str">
        <f>IFERROR(__xludf.DUMMYFUNCTION("""COMPUTED_VALUE"""),"")</f>
        <v/>
      </c>
      <c r="T1959" s="139" t="str">
        <f>IFERROR(__xludf.DUMMYFUNCTION("""COMPUTED_VALUE"""),"")</f>
        <v/>
      </c>
      <c r="U1959" s="139" t="str">
        <f>IFERROR(__xludf.DUMMYFUNCTION("""COMPUTED_VALUE"""),"")</f>
        <v/>
      </c>
      <c r="V1959" s="136" t="str">
        <f>IFERROR(__xludf.DUMMYFUNCTION("""COMPUTED_VALUE"""),"")</f>
        <v/>
      </c>
      <c r="W1959" s="106" t="str">
        <f>IFERROR(__xludf.DUMMYFUNCTION("""COMPUTED_VALUE"""),"")</f>
        <v/>
      </c>
      <c r="X1959" s="143" t="str">
        <f t="shared" si="2"/>
        <v/>
      </c>
      <c r="Y1959" s="139" t="str">
        <f>IFERROR(__xludf.DUMMYFUNCTION("""COMPUTED_VALUE"""),"")</f>
        <v/>
      </c>
      <c r="Z1959" s="141" t="str">
        <f>IFERROR(__xludf.DUMMYFUNCTION("""COMPUTED_VALUE"""),"")</f>
        <v/>
      </c>
    </row>
    <row r="1960">
      <c r="D1960" s="136" t="str">
        <f t="shared" si="3"/>
        <v/>
      </c>
      <c r="E1960" s="152"/>
      <c r="F1960" s="106" t="s">
        <v>133</v>
      </c>
      <c r="G1960" s="152"/>
      <c r="H1960" s="106" t="s">
        <v>133</v>
      </c>
      <c r="J1960" s="139" t="s">
        <v>133</v>
      </c>
      <c r="K1960" s="136" t="s">
        <v>133</v>
      </c>
      <c r="L1960" s="153"/>
      <c r="M1960" s="136" t="str">
        <f t="shared" si="1"/>
        <v/>
      </c>
      <c r="O1960" s="141" t="s">
        <v>133</v>
      </c>
      <c r="P1960" s="136" t="str">
        <f>IFERROR(__xludf.DUMMYFUNCTION("""COMPUTED_VALUE"""),"")</f>
        <v/>
      </c>
      <c r="Q1960" s="136" t="str">
        <f>IFERROR(__xludf.DUMMYFUNCTION("""COMPUTED_VALUE"""),"")</f>
        <v/>
      </c>
      <c r="R1960" s="106" t="str">
        <f>IFERROR(__xludf.DUMMYFUNCTION("""COMPUTED_VALUE"""),"")</f>
        <v/>
      </c>
      <c r="S1960" s="106" t="str">
        <f>IFERROR(__xludf.DUMMYFUNCTION("""COMPUTED_VALUE"""),"")</f>
        <v/>
      </c>
      <c r="T1960" s="139" t="str">
        <f>IFERROR(__xludf.DUMMYFUNCTION("""COMPUTED_VALUE"""),"")</f>
        <v/>
      </c>
      <c r="U1960" s="139" t="str">
        <f>IFERROR(__xludf.DUMMYFUNCTION("""COMPUTED_VALUE"""),"")</f>
        <v/>
      </c>
      <c r="V1960" s="136" t="str">
        <f>IFERROR(__xludf.DUMMYFUNCTION("""COMPUTED_VALUE"""),"")</f>
        <v/>
      </c>
      <c r="W1960" s="106" t="str">
        <f>IFERROR(__xludf.DUMMYFUNCTION("""COMPUTED_VALUE"""),"")</f>
        <v/>
      </c>
      <c r="X1960" s="143" t="str">
        <f t="shared" si="2"/>
        <v/>
      </c>
      <c r="Y1960" s="139" t="str">
        <f>IFERROR(__xludf.DUMMYFUNCTION("""COMPUTED_VALUE"""),"")</f>
        <v/>
      </c>
      <c r="Z1960" s="141" t="str">
        <f>IFERROR(__xludf.DUMMYFUNCTION("""COMPUTED_VALUE"""),"")</f>
        <v/>
      </c>
    </row>
    <row r="1961">
      <c r="D1961" s="136" t="str">
        <f t="shared" si="3"/>
        <v/>
      </c>
      <c r="E1961" s="152"/>
      <c r="F1961" s="106" t="s">
        <v>133</v>
      </c>
      <c r="G1961" s="152"/>
      <c r="H1961" s="106" t="s">
        <v>133</v>
      </c>
      <c r="J1961" s="139" t="s">
        <v>133</v>
      </c>
      <c r="K1961" s="136" t="s">
        <v>133</v>
      </c>
      <c r="L1961" s="153"/>
      <c r="M1961" s="136" t="str">
        <f t="shared" si="1"/>
        <v/>
      </c>
      <c r="O1961" s="141" t="s">
        <v>133</v>
      </c>
      <c r="P1961" s="136" t="str">
        <f>IFERROR(__xludf.DUMMYFUNCTION("""COMPUTED_VALUE"""),"")</f>
        <v/>
      </c>
      <c r="Q1961" s="136" t="str">
        <f>IFERROR(__xludf.DUMMYFUNCTION("""COMPUTED_VALUE"""),"")</f>
        <v/>
      </c>
      <c r="R1961" s="106" t="str">
        <f>IFERROR(__xludf.DUMMYFUNCTION("""COMPUTED_VALUE"""),"")</f>
        <v/>
      </c>
      <c r="S1961" s="106" t="str">
        <f>IFERROR(__xludf.DUMMYFUNCTION("""COMPUTED_VALUE"""),"")</f>
        <v/>
      </c>
      <c r="T1961" s="139" t="str">
        <f>IFERROR(__xludf.DUMMYFUNCTION("""COMPUTED_VALUE"""),"")</f>
        <v/>
      </c>
      <c r="U1961" s="139" t="str">
        <f>IFERROR(__xludf.DUMMYFUNCTION("""COMPUTED_VALUE"""),"")</f>
        <v/>
      </c>
      <c r="V1961" s="136" t="str">
        <f>IFERROR(__xludf.DUMMYFUNCTION("""COMPUTED_VALUE"""),"")</f>
        <v/>
      </c>
      <c r="W1961" s="106" t="str">
        <f>IFERROR(__xludf.DUMMYFUNCTION("""COMPUTED_VALUE"""),"")</f>
        <v/>
      </c>
      <c r="X1961" s="143" t="str">
        <f t="shared" si="2"/>
        <v/>
      </c>
      <c r="Y1961" s="139" t="str">
        <f>IFERROR(__xludf.DUMMYFUNCTION("""COMPUTED_VALUE"""),"")</f>
        <v/>
      </c>
      <c r="Z1961" s="141" t="str">
        <f>IFERROR(__xludf.DUMMYFUNCTION("""COMPUTED_VALUE"""),"")</f>
        <v/>
      </c>
    </row>
    <row r="1962">
      <c r="D1962" s="136" t="str">
        <f t="shared" si="3"/>
        <v/>
      </c>
      <c r="E1962" s="152"/>
      <c r="F1962" s="106" t="s">
        <v>133</v>
      </c>
      <c r="G1962" s="152"/>
      <c r="H1962" s="106" t="s">
        <v>133</v>
      </c>
      <c r="J1962" s="139" t="s">
        <v>133</v>
      </c>
      <c r="K1962" s="136" t="s">
        <v>133</v>
      </c>
      <c r="L1962" s="153"/>
      <c r="M1962" s="136" t="str">
        <f t="shared" si="1"/>
        <v/>
      </c>
      <c r="O1962" s="141" t="s">
        <v>133</v>
      </c>
      <c r="P1962" s="136" t="str">
        <f>IFERROR(__xludf.DUMMYFUNCTION("""COMPUTED_VALUE"""),"")</f>
        <v/>
      </c>
      <c r="Q1962" s="136" t="str">
        <f>IFERROR(__xludf.DUMMYFUNCTION("""COMPUTED_VALUE"""),"")</f>
        <v/>
      </c>
      <c r="R1962" s="106" t="str">
        <f>IFERROR(__xludf.DUMMYFUNCTION("""COMPUTED_VALUE"""),"")</f>
        <v/>
      </c>
      <c r="S1962" s="106" t="str">
        <f>IFERROR(__xludf.DUMMYFUNCTION("""COMPUTED_VALUE"""),"")</f>
        <v/>
      </c>
      <c r="T1962" s="139" t="str">
        <f>IFERROR(__xludf.DUMMYFUNCTION("""COMPUTED_VALUE"""),"")</f>
        <v/>
      </c>
      <c r="U1962" s="139" t="str">
        <f>IFERROR(__xludf.DUMMYFUNCTION("""COMPUTED_VALUE"""),"")</f>
        <v/>
      </c>
      <c r="V1962" s="136" t="str">
        <f>IFERROR(__xludf.DUMMYFUNCTION("""COMPUTED_VALUE"""),"")</f>
        <v/>
      </c>
      <c r="W1962" s="106" t="str">
        <f>IFERROR(__xludf.DUMMYFUNCTION("""COMPUTED_VALUE"""),"")</f>
        <v/>
      </c>
      <c r="X1962" s="143" t="str">
        <f t="shared" si="2"/>
        <v/>
      </c>
      <c r="Y1962" s="139" t="str">
        <f>IFERROR(__xludf.DUMMYFUNCTION("""COMPUTED_VALUE"""),"")</f>
        <v/>
      </c>
      <c r="Z1962" s="141" t="str">
        <f>IFERROR(__xludf.DUMMYFUNCTION("""COMPUTED_VALUE"""),"")</f>
        <v/>
      </c>
    </row>
    <row r="1963">
      <c r="D1963" s="136" t="str">
        <f t="shared" si="3"/>
        <v/>
      </c>
      <c r="E1963" s="152"/>
      <c r="F1963" s="106" t="s">
        <v>133</v>
      </c>
      <c r="G1963" s="152"/>
      <c r="H1963" s="106" t="s">
        <v>133</v>
      </c>
      <c r="J1963" s="139" t="s">
        <v>133</v>
      </c>
      <c r="K1963" s="136" t="s">
        <v>133</v>
      </c>
      <c r="L1963" s="153"/>
      <c r="M1963" s="136" t="str">
        <f t="shared" si="1"/>
        <v/>
      </c>
      <c r="O1963" s="141" t="s">
        <v>133</v>
      </c>
      <c r="P1963" s="136" t="str">
        <f>IFERROR(__xludf.DUMMYFUNCTION("""COMPUTED_VALUE"""),"")</f>
        <v/>
      </c>
      <c r="Q1963" s="136" t="str">
        <f>IFERROR(__xludf.DUMMYFUNCTION("""COMPUTED_VALUE"""),"")</f>
        <v/>
      </c>
      <c r="R1963" s="106" t="str">
        <f>IFERROR(__xludf.DUMMYFUNCTION("""COMPUTED_VALUE"""),"")</f>
        <v/>
      </c>
      <c r="S1963" s="106" t="str">
        <f>IFERROR(__xludf.DUMMYFUNCTION("""COMPUTED_VALUE"""),"")</f>
        <v/>
      </c>
      <c r="T1963" s="139" t="str">
        <f>IFERROR(__xludf.DUMMYFUNCTION("""COMPUTED_VALUE"""),"")</f>
        <v/>
      </c>
      <c r="U1963" s="139" t="str">
        <f>IFERROR(__xludf.DUMMYFUNCTION("""COMPUTED_VALUE"""),"")</f>
        <v/>
      </c>
      <c r="V1963" s="136" t="str">
        <f>IFERROR(__xludf.DUMMYFUNCTION("""COMPUTED_VALUE"""),"")</f>
        <v/>
      </c>
      <c r="W1963" s="106" t="str">
        <f>IFERROR(__xludf.DUMMYFUNCTION("""COMPUTED_VALUE"""),"")</f>
        <v/>
      </c>
      <c r="X1963" s="143" t="str">
        <f t="shared" si="2"/>
        <v/>
      </c>
      <c r="Y1963" s="139" t="str">
        <f>IFERROR(__xludf.DUMMYFUNCTION("""COMPUTED_VALUE"""),"")</f>
        <v/>
      </c>
      <c r="Z1963" s="141" t="str">
        <f>IFERROR(__xludf.DUMMYFUNCTION("""COMPUTED_VALUE"""),"")</f>
        <v/>
      </c>
    </row>
    <row r="1964">
      <c r="D1964" s="136" t="str">
        <f t="shared" si="3"/>
        <v/>
      </c>
      <c r="E1964" s="152"/>
      <c r="F1964" s="106" t="s">
        <v>133</v>
      </c>
      <c r="G1964" s="152"/>
      <c r="H1964" s="106" t="s">
        <v>133</v>
      </c>
      <c r="J1964" s="139" t="s">
        <v>133</v>
      </c>
      <c r="K1964" s="136" t="s">
        <v>133</v>
      </c>
      <c r="L1964" s="153"/>
      <c r="M1964" s="136" t="str">
        <f t="shared" si="1"/>
        <v/>
      </c>
      <c r="O1964" s="141" t="s">
        <v>133</v>
      </c>
      <c r="P1964" s="136" t="str">
        <f>IFERROR(__xludf.DUMMYFUNCTION("""COMPUTED_VALUE"""),"")</f>
        <v/>
      </c>
      <c r="Q1964" s="136" t="str">
        <f>IFERROR(__xludf.DUMMYFUNCTION("""COMPUTED_VALUE"""),"")</f>
        <v/>
      </c>
      <c r="R1964" s="106" t="str">
        <f>IFERROR(__xludf.DUMMYFUNCTION("""COMPUTED_VALUE"""),"")</f>
        <v/>
      </c>
      <c r="S1964" s="106" t="str">
        <f>IFERROR(__xludf.DUMMYFUNCTION("""COMPUTED_VALUE"""),"")</f>
        <v/>
      </c>
      <c r="T1964" s="139" t="str">
        <f>IFERROR(__xludf.DUMMYFUNCTION("""COMPUTED_VALUE"""),"")</f>
        <v/>
      </c>
      <c r="U1964" s="139" t="str">
        <f>IFERROR(__xludf.DUMMYFUNCTION("""COMPUTED_VALUE"""),"")</f>
        <v/>
      </c>
      <c r="V1964" s="136" t="str">
        <f>IFERROR(__xludf.DUMMYFUNCTION("""COMPUTED_VALUE"""),"")</f>
        <v/>
      </c>
      <c r="W1964" s="106" t="str">
        <f>IFERROR(__xludf.DUMMYFUNCTION("""COMPUTED_VALUE"""),"")</f>
        <v/>
      </c>
      <c r="X1964" s="143" t="str">
        <f t="shared" si="2"/>
        <v/>
      </c>
      <c r="Y1964" s="139" t="str">
        <f>IFERROR(__xludf.DUMMYFUNCTION("""COMPUTED_VALUE"""),"")</f>
        <v/>
      </c>
      <c r="Z1964" s="141" t="str">
        <f>IFERROR(__xludf.DUMMYFUNCTION("""COMPUTED_VALUE"""),"")</f>
        <v/>
      </c>
    </row>
    <row r="1965">
      <c r="D1965" s="136" t="str">
        <f t="shared" si="3"/>
        <v/>
      </c>
      <c r="E1965" s="152"/>
      <c r="F1965" s="106" t="s">
        <v>133</v>
      </c>
      <c r="G1965" s="152"/>
      <c r="H1965" s="106" t="s">
        <v>133</v>
      </c>
      <c r="J1965" s="139" t="s">
        <v>133</v>
      </c>
      <c r="K1965" s="136" t="s">
        <v>133</v>
      </c>
      <c r="L1965" s="153"/>
      <c r="M1965" s="136" t="str">
        <f t="shared" si="1"/>
        <v/>
      </c>
      <c r="O1965" s="141" t="s">
        <v>133</v>
      </c>
      <c r="P1965" s="136" t="str">
        <f>IFERROR(__xludf.DUMMYFUNCTION("""COMPUTED_VALUE"""),"")</f>
        <v/>
      </c>
      <c r="Q1965" s="136" t="str">
        <f>IFERROR(__xludf.DUMMYFUNCTION("""COMPUTED_VALUE"""),"")</f>
        <v/>
      </c>
      <c r="R1965" s="106" t="str">
        <f>IFERROR(__xludf.DUMMYFUNCTION("""COMPUTED_VALUE"""),"")</f>
        <v/>
      </c>
      <c r="S1965" s="106" t="str">
        <f>IFERROR(__xludf.DUMMYFUNCTION("""COMPUTED_VALUE"""),"")</f>
        <v/>
      </c>
      <c r="T1965" s="139" t="str">
        <f>IFERROR(__xludf.DUMMYFUNCTION("""COMPUTED_VALUE"""),"")</f>
        <v/>
      </c>
      <c r="U1965" s="139" t="str">
        <f>IFERROR(__xludf.DUMMYFUNCTION("""COMPUTED_VALUE"""),"")</f>
        <v/>
      </c>
      <c r="V1965" s="136" t="str">
        <f>IFERROR(__xludf.DUMMYFUNCTION("""COMPUTED_VALUE"""),"")</f>
        <v/>
      </c>
      <c r="W1965" s="106" t="str">
        <f>IFERROR(__xludf.DUMMYFUNCTION("""COMPUTED_VALUE"""),"")</f>
        <v/>
      </c>
      <c r="X1965" s="143" t="str">
        <f t="shared" si="2"/>
        <v/>
      </c>
      <c r="Y1965" s="139" t="str">
        <f>IFERROR(__xludf.DUMMYFUNCTION("""COMPUTED_VALUE"""),"")</f>
        <v/>
      </c>
      <c r="Z1965" s="141" t="str">
        <f>IFERROR(__xludf.DUMMYFUNCTION("""COMPUTED_VALUE"""),"")</f>
        <v/>
      </c>
    </row>
    <row r="1966">
      <c r="D1966" s="136" t="str">
        <f t="shared" si="3"/>
        <v/>
      </c>
      <c r="E1966" s="152"/>
      <c r="F1966" s="106" t="s">
        <v>133</v>
      </c>
      <c r="G1966" s="152"/>
      <c r="H1966" s="106" t="s">
        <v>133</v>
      </c>
      <c r="J1966" s="139" t="s">
        <v>133</v>
      </c>
      <c r="K1966" s="136" t="s">
        <v>133</v>
      </c>
      <c r="L1966" s="153"/>
      <c r="M1966" s="136" t="str">
        <f t="shared" si="1"/>
        <v/>
      </c>
      <c r="O1966" s="141" t="s">
        <v>133</v>
      </c>
      <c r="P1966" s="136" t="str">
        <f>IFERROR(__xludf.DUMMYFUNCTION("""COMPUTED_VALUE"""),"")</f>
        <v/>
      </c>
      <c r="Q1966" s="136" t="str">
        <f>IFERROR(__xludf.DUMMYFUNCTION("""COMPUTED_VALUE"""),"")</f>
        <v/>
      </c>
      <c r="R1966" s="106" t="str">
        <f>IFERROR(__xludf.DUMMYFUNCTION("""COMPUTED_VALUE"""),"")</f>
        <v/>
      </c>
      <c r="S1966" s="106" t="str">
        <f>IFERROR(__xludf.DUMMYFUNCTION("""COMPUTED_VALUE"""),"")</f>
        <v/>
      </c>
      <c r="T1966" s="139" t="str">
        <f>IFERROR(__xludf.DUMMYFUNCTION("""COMPUTED_VALUE"""),"")</f>
        <v/>
      </c>
      <c r="U1966" s="139" t="str">
        <f>IFERROR(__xludf.DUMMYFUNCTION("""COMPUTED_VALUE"""),"")</f>
        <v/>
      </c>
      <c r="V1966" s="136" t="str">
        <f>IFERROR(__xludf.DUMMYFUNCTION("""COMPUTED_VALUE"""),"")</f>
        <v/>
      </c>
      <c r="W1966" s="106" t="str">
        <f>IFERROR(__xludf.DUMMYFUNCTION("""COMPUTED_VALUE"""),"")</f>
        <v/>
      </c>
      <c r="X1966" s="143" t="str">
        <f t="shared" si="2"/>
        <v/>
      </c>
      <c r="Y1966" s="139" t="str">
        <f>IFERROR(__xludf.DUMMYFUNCTION("""COMPUTED_VALUE"""),"")</f>
        <v/>
      </c>
      <c r="Z1966" s="141" t="str">
        <f>IFERROR(__xludf.DUMMYFUNCTION("""COMPUTED_VALUE"""),"")</f>
        <v/>
      </c>
    </row>
    <row r="1967">
      <c r="D1967" s="136" t="str">
        <f t="shared" si="3"/>
        <v/>
      </c>
      <c r="E1967" s="152"/>
      <c r="F1967" s="106" t="s">
        <v>133</v>
      </c>
      <c r="G1967" s="152"/>
      <c r="H1967" s="106" t="s">
        <v>133</v>
      </c>
      <c r="J1967" s="139" t="s">
        <v>133</v>
      </c>
      <c r="K1967" s="136" t="s">
        <v>133</v>
      </c>
      <c r="L1967" s="153"/>
      <c r="M1967" s="136" t="str">
        <f t="shared" si="1"/>
        <v/>
      </c>
      <c r="O1967" s="141" t="s">
        <v>133</v>
      </c>
      <c r="P1967" s="136" t="str">
        <f>IFERROR(__xludf.DUMMYFUNCTION("""COMPUTED_VALUE"""),"")</f>
        <v/>
      </c>
      <c r="Q1967" s="136" t="str">
        <f>IFERROR(__xludf.DUMMYFUNCTION("""COMPUTED_VALUE"""),"")</f>
        <v/>
      </c>
      <c r="R1967" s="106" t="str">
        <f>IFERROR(__xludf.DUMMYFUNCTION("""COMPUTED_VALUE"""),"")</f>
        <v/>
      </c>
      <c r="S1967" s="106" t="str">
        <f>IFERROR(__xludf.DUMMYFUNCTION("""COMPUTED_VALUE"""),"")</f>
        <v/>
      </c>
      <c r="T1967" s="139" t="str">
        <f>IFERROR(__xludf.DUMMYFUNCTION("""COMPUTED_VALUE"""),"")</f>
        <v/>
      </c>
      <c r="U1967" s="139" t="str">
        <f>IFERROR(__xludf.DUMMYFUNCTION("""COMPUTED_VALUE"""),"")</f>
        <v/>
      </c>
      <c r="V1967" s="136" t="str">
        <f>IFERROR(__xludf.DUMMYFUNCTION("""COMPUTED_VALUE"""),"")</f>
        <v/>
      </c>
      <c r="W1967" s="106" t="str">
        <f>IFERROR(__xludf.DUMMYFUNCTION("""COMPUTED_VALUE"""),"")</f>
        <v/>
      </c>
      <c r="X1967" s="143" t="str">
        <f t="shared" si="2"/>
        <v/>
      </c>
      <c r="Y1967" s="139" t="str">
        <f>IFERROR(__xludf.DUMMYFUNCTION("""COMPUTED_VALUE"""),"")</f>
        <v/>
      </c>
      <c r="Z1967" s="141" t="str">
        <f>IFERROR(__xludf.DUMMYFUNCTION("""COMPUTED_VALUE"""),"")</f>
        <v/>
      </c>
    </row>
    <row r="1968">
      <c r="D1968" s="136" t="str">
        <f t="shared" si="3"/>
        <v/>
      </c>
      <c r="E1968" s="152"/>
      <c r="F1968" s="106" t="s">
        <v>133</v>
      </c>
      <c r="G1968" s="152"/>
      <c r="H1968" s="106" t="s">
        <v>133</v>
      </c>
      <c r="J1968" s="139" t="s">
        <v>133</v>
      </c>
      <c r="K1968" s="136" t="s">
        <v>133</v>
      </c>
      <c r="L1968" s="153"/>
      <c r="M1968" s="136" t="str">
        <f t="shared" si="1"/>
        <v/>
      </c>
      <c r="O1968" s="141" t="s">
        <v>133</v>
      </c>
      <c r="P1968" s="136" t="str">
        <f>IFERROR(__xludf.DUMMYFUNCTION("""COMPUTED_VALUE"""),"")</f>
        <v/>
      </c>
      <c r="Q1968" s="136" t="str">
        <f>IFERROR(__xludf.DUMMYFUNCTION("""COMPUTED_VALUE"""),"")</f>
        <v/>
      </c>
      <c r="R1968" s="106" t="str">
        <f>IFERROR(__xludf.DUMMYFUNCTION("""COMPUTED_VALUE"""),"")</f>
        <v/>
      </c>
      <c r="S1968" s="106" t="str">
        <f>IFERROR(__xludf.DUMMYFUNCTION("""COMPUTED_VALUE"""),"")</f>
        <v/>
      </c>
      <c r="T1968" s="139" t="str">
        <f>IFERROR(__xludf.DUMMYFUNCTION("""COMPUTED_VALUE"""),"")</f>
        <v/>
      </c>
      <c r="U1968" s="139" t="str">
        <f>IFERROR(__xludf.DUMMYFUNCTION("""COMPUTED_VALUE"""),"")</f>
        <v/>
      </c>
      <c r="V1968" s="136" t="str">
        <f>IFERROR(__xludf.DUMMYFUNCTION("""COMPUTED_VALUE"""),"")</f>
        <v/>
      </c>
      <c r="W1968" s="106" t="str">
        <f>IFERROR(__xludf.DUMMYFUNCTION("""COMPUTED_VALUE"""),"")</f>
        <v/>
      </c>
      <c r="X1968" s="143" t="str">
        <f t="shared" si="2"/>
        <v/>
      </c>
      <c r="Y1968" s="139" t="str">
        <f>IFERROR(__xludf.DUMMYFUNCTION("""COMPUTED_VALUE"""),"")</f>
        <v/>
      </c>
      <c r="Z1968" s="141" t="str">
        <f>IFERROR(__xludf.DUMMYFUNCTION("""COMPUTED_VALUE"""),"")</f>
        <v/>
      </c>
    </row>
    <row r="1969">
      <c r="D1969" s="136" t="str">
        <f t="shared" si="3"/>
        <v/>
      </c>
      <c r="E1969" s="152"/>
      <c r="F1969" s="106" t="s">
        <v>133</v>
      </c>
      <c r="G1969" s="152"/>
      <c r="H1969" s="106" t="s">
        <v>133</v>
      </c>
      <c r="J1969" s="139" t="s">
        <v>133</v>
      </c>
      <c r="K1969" s="136" t="s">
        <v>133</v>
      </c>
      <c r="L1969" s="153"/>
      <c r="M1969" s="136" t="str">
        <f t="shared" si="1"/>
        <v/>
      </c>
      <c r="O1969" s="141" t="s">
        <v>133</v>
      </c>
      <c r="P1969" s="136" t="str">
        <f>IFERROR(__xludf.DUMMYFUNCTION("""COMPUTED_VALUE"""),"")</f>
        <v/>
      </c>
      <c r="Q1969" s="136" t="str">
        <f>IFERROR(__xludf.DUMMYFUNCTION("""COMPUTED_VALUE"""),"")</f>
        <v/>
      </c>
      <c r="R1969" s="106" t="str">
        <f>IFERROR(__xludf.DUMMYFUNCTION("""COMPUTED_VALUE"""),"")</f>
        <v/>
      </c>
      <c r="S1969" s="106" t="str">
        <f>IFERROR(__xludf.DUMMYFUNCTION("""COMPUTED_VALUE"""),"")</f>
        <v/>
      </c>
      <c r="T1969" s="139" t="str">
        <f>IFERROR(__xludf.DUMMYFUNCTION("""COMPUTED_VALUE"""),"")</f>
        <v/>
      </c>
      <c r="U1969" s="139" t="str">
        <f>IFERROR(__xludf.DUMMYFUNCTION("""COMPUTED_VALUE"""),"")</f>
        <v/>
      </c>
      <c r="V1969" s="136" t="str">
        <f>IFERROR(__xludf.DUMMYFUNCTION("""COMPUTED_VALUE"""),"")</f>
        <v/>
      </c>
      <c r="W1969" s="106" t="str">
        <f>IFERROR(__xludf.DUMMYFUNCTION("""COMPUTED_VALUE"""),"")</f>
        <v/>
      </c>
      <c r="X1969" s="143" t="str">
        <f t="shared" si="2"/>
        <v/>
      </c>
      <c r="Y1969" s="139" t="str">
        <f>IFERROR(__xludf.DUMMYFUNCTION("""COMPUTED_VALUE"""),"")</f>
        <v/>
      </c>
      <c r="Z1969" s="141" t="str">
        <f>IFERROR(__xludf.DUMMYFUNCTION("""COMPUTED_VALUE"""),"")</f>
        <v/>
      </c>
    </row>
    <row r="1970">
      <c r="D1970" s="136" t="str">
        <f t="shared" si="3"/>
        <v/>
      </c>
      <c r="E1970" s="152"/>
      <c r="F1970" s="106" t="s">
        <v>133</v>
      </c>
      <c r="G1970" s="152"/>
      <c r="H1970" s="106" t="s">
        <v>133</v>
      </c>
      <c r="J1970" s="139" t="s">
        <v>133</v>
      </c>
      <c r="K1970" s="136" t="s">
        <v>133</v>
      </c>
      <c r="L1970" s="153"/>
      <c r="M1970" s="136" t="str">
        <f t="shared" si="1"/>
        <v/>
      </c>
      <c r="O1970" s="141" t="s">
        <v>133</v>
      </c>
      <c r="P1970" s="136" t="str">
        <f>IFERROR(__xludf.DUMMYFUNCTION("""COMPUTED_VALUE"""),"")</f>
        <v/>
      </c>
      <c r="Q1970" s="136" t="str">
        <f>IFERROR(__xludf.DUMMYFUNCTION("""COMPUTED_VALUE"""),"")</f>
        <v/>
      </c>
      <c r="R1970" s="106" t="str">
        <f>IFERROR(__xludf.DUMMYFUNCTION("""COMPUTED_VALUE"""),"")</f>
        <v/>
      </c>
      <c r="S1970" s="106" t="str">
        <f>IFERROR(__xludf.DUMMYFUNCTION("""COMPUTED_VALUE"""),"")</f>
        <v/>
      </c>
      <c r="T1970" s="139" t="str">
        <f>IFERROR(__xludf.DUMMYFUNCTION("""COMPUTED_VALUE"""),"")</f>
        <v/>
      </c>
      <c r="U1970" s="139" t="str">
        <f>IFERROR(__xludf.DUMMYFUNCTION("""COMPUTED_VALUE"""),"")</f>
        <v/>
      </c>
      <c r="V1970" s="136" t="str">
        <f>IFERROR(__xludf.DUMMYFUNCTION("""COMPUTED_VALUE"""),"")</f>
        <v/>
      </c>
      <c r="W1970" s="106" t="str">
        <f>IFERROR(__xludf.DUMMYFUNCTION("""COMPUTED_VALUE"""),"")</f>
        <v/>
      </c>
      <c r="X1970" s="143" t="str">
        <f t="shared" si="2"/>
        <v/>
      </c>
      <c r="Y1970" s="139" t="str">
        <f>IFERROR(__xludf.DUMMYFUNCTION("""COMPUTED_VALUE"""),"")</f>
        <v/>
      </c>
      <c r="Z1970" s="141" t="str">
        <f>IFERROR(__xludf.DUMMYFUNCTION("""COMPUTED_VALUE"""),"")</f>
        <v/>
      </c>
    </row>
    <row r="1971">
      <c r="D1971" s="136" t="str">
        <f t="shared" si="3"/>
        <v/>
      </c>
      <c r="E1971" s="152"/>
      <c r="F1971" s="106" t="s">
        <v>133</v>
      </c>
      <c r="G1971" s="152"/>
      <c r="H1971" s="106" t="s">
        <v>133</v>
      </c>
      <c r="J1971" s="139" t="s">
        <v>133</v>
      </c>
      <c r="K1971" s="136" t="s">
        <v>133</v>
      </c>
      <c r="L1971" s="153"/>
      <c r="M1971" s="136" t="str">
        <f t="shared" si="1"/>
        <v/>
      </c>
      <c r="O1971" s="141" t="s">
        <v>133</v>
      </c>
      <c r="P1971" s="136" t="str">
        <f>IFERROR(__xludf.DUMMYFUNCTION("""COMPUTED_VALUE"""),"")</f>
        <v/>
      </c>
      <c r="Q1971" s="136" t="str">
        <f>IFERROR(__xludf.DUMMYFUNCTION("""COMPUTED_VALUE"""),"")</f>
        <v/>
      </c>
      <c r="R1971" s="106" t="str">
        <f>IFERROR(__xludf.DUMMYFUNCTION("""COMPUTED_VALUE"""),"")</f>
        <v/>
      </c>
      <c r="S1971" s="106" t="str">
        <f>IFERROR(__xludf.DUMMYFUNCTION("""COMPUTED_VALUE"""),"")</f>
        <v/>
      </c>
      <c r="T1971" s="139" t="str">
        <f>IFERROR(__xludf.DUMMYFUNCTION("""COMPUTED_VALUE"""),"")</f>
        <v/>
      </c>
      <c r="U1971" s="139" t="str">
        <f>IFERROR(__xludf.DUMMYFUNCTION("""COMPUTED_VALUE"""),"")</f>
        <v/>
      </c>
      <c r="V1971" s="136" t="str">
        <f>IFERROR(__xludf.DUMMYFUNCTION("""COMPUTED_VALUE"""),"")</f>
        <v/>
      </c>
      <c r="W1971" s="106" t="str">
        <f>IFERROR(__xludf.DUMMYFUNCTION("""COMPUTED_VALUE"""),"")</f>
        <v/>
      </c>
      <c r="X1971" s="143" t="str">
        <f t="shared" si="2"/>
        <v/>
      </c>
      <c r="Y1971" s="139" t="str">
        <f>IFERROR(__xludf.DUMMYFUNCTION("""COMPUTED_VALUE"""),"")</f>
        <v/>
      </c>
      <c r="Z1971" s="141" t="str">
        <f>IFERROR(__xludf.DUMMYFUNCTION("""COMPUTED_VALUE"""),"")</f>
        <v/>
      </c>
    </row>
    <row r="1972">
      <c r="D1972" s="136" t="str">
        <f t="shared" si="3"/>
        <v/>
      </c>
      <c r="E1972" s="152"/>
      <c r="F1972" s="106" t="s">
        <v>133</v>
      </c>
      <c r="G1972" s="152"/>
      <c r="H1972" s="106" t="s">
        <v>133</v>
      </c>
      <c r="J1972" s="139" t="s">
        <v>133</v>
      </c>
      <c r="K1972" s="136" t="s">
        <v>133</v>
      </c>
      <c r="L1972" s="153"/>
      <c r="M1972" s="136" t="str">
        <f t="shared" si="1"/>
        <v/>
      </c>
      <c r="O1972" s="141" t="s">
        <v>133</v>
      </c>
      <c r="P1972" s="136" t="str">
        <f>IFERROR(__xludf.DUMMYFUNCTION("""COMPUTED_VALUE"""),"")</f>
        <v/>
      </c>
      <c r="Q1972" s="136" t="str">
        <f>IFERROR(__xludf.DUMMYFUNCTION("""COMPUTED_VALUE"""),"")</f>
        <v/>
      </c>
      <c r="R1972" s="106" t="str">
        <f>IFERROR(__xludf.DUMMYFUNCTION("""COMPUTED_VALUE"""),"")</f>
        <v/>
      </c>
      <c r="S1972" s="106" t="str">
        <f>IFERROR(__xludf.DUMMYFUNCTION("""COMPUTED_VALUE"""),"")</f>
        <v/>
      </c>
      <c r="T1972" s="139" t="str">
        <f>IFERROR(__xludf.DUMMYFUNCTION("""COMPUTED_VALUE"""),"")</f>
        <v/>
      </c>
      <c r="U1972" s="139" t="str">
        <f>IFERROR(__xludf.DUMMYFUNCTION("""COMPUTED_VALUE"""),"")</f>
        <v/>
      </c>
      <c r="V1972" s="136" t="str">
        <f>IFERROR(__xludf.DUMMYFUNCTION("""COMPUTED_VALUE"""),"")</f>
        <v/>
      </c>
      <c r="W1972" s="106" t="str">
        <f>IFERROR(__xludf.DUMMYFUNCTION("""COMPUTED_VALUE"""),"")</f>
        <v/>
      </c>
      <c r="X1972" s="143" t="str">
        <f t="shared" si="2"/>
        <v/>
      </c>
      <c r="Y1972" s="139" t="str">
        <f>IFERROR(__xludf.DUMMYFUNCTION("""COMPUTED_VALUE"""),"")</f>
        <v/>
      </c>
      <c r="Z1972" s="141" t="str">
        <f>IFERROR(__xludf.DUMMYFUNCTION("""COMPUTED_VALUE"""),"")</f>
        <v/>
      </c>
    </row>
    <row r="1973">
      <c r="D1973" s="136" t="str">
        <f t="shared" si="3"/>
        <v/>
      </c>
      <c r="E1973" s="152"/>
      <c r="F1973" s="106" t="s">
        <v>133</v>
      </c>
      <c r="G1973" s="152"/>
      <c r="H1973" s="106" t="s">
        <v>133</v>
      </c>
      <c r="J1973" s="139" t="s">
        <v>133</v>
      </c>
      <c r="K1973" s="136" t="s">
        <v>133</v>
      </c>
      <c r="L1973" s="153"/>
      <c r="M1973" s="136" t="str">
        <f t="shared" si="1"/>
        <v/>
      </c>
      <c r="O1973" s="141" t="s">
        <v>133</v>
      </c>
      <c r="P1973" s="136" t="str">
        <f>IFERROR(__xludf.DUMMYFUNCTION("""COMPUTED_VALUE"""),"")</f>
        <v/>
      </c>
      <c r="Q1973" s="136" t="str">
        <f>IFERROR(__xludf.DUMMYFUNCTION("""COMPUTED_VALUE"""),"")</f>
        <v/>
      </c>
      <c r="R1973" s="106" t="str">
        <f>IFERROR(__xludf.DUMMYFUNCTION("""COMPUTED_VALUE"""),"")</f>
        <v/>
      </c>
      <c r="S1973" s="106" t="str">
        <f>IFERROR(__xludf.DUMMYFUNCTION("""COMPUTED_VALUE"""),"")</f>
        <v/>
      </c>
      <c r="T1973" s="139" t="str">
        <f>IFERROR(__xludf.DUMMYFUNCTION("""COMPUTED_VALUE"""),"")</f>
        <v/>
      </c>
      <c r="U1973" s="139" t="str">
        <f>IFERROR(__xludf.DUMMYFUNCTION("""COMPUTED_VALUE"""),"")</f>
        <v/>
      </c>
      <c r="V1973" s="136" t="str">
        <f>IFERROR(__xludf.DUMMYFUNCTION("""COMPUTED_VALUE"""),"")</f>
        <v/>
      </c>
      <c r="W1973" s="106" t="str">
        <f>IFERROR(__xludf.DUMMYFUNCTION("""COMPUTED_VALUE"""),"")</f>
        <v/>
      </c>
      <c r="X1973" s="143" t="str">
        <f t="shared" si="2"/>
        <v/>
      </c>
      <c r="Y1973" s="139" t="str">
        <f>IFERROR(__xludf.DUMMYFUNCTION("""COMPUTED_VALUE"""),"")</f>
        <v/>
      </c>
      <c r="Z1973" s="141" t="str">
        <f>IFERROR(__xludf.DUMMYFUNCTION("""COMPUTED_VALUE"""),"")</f>
        <v/>
      </c>
    </row>
    <row r="1974">
      <c r="D1974" s="136" t="str">
        <f t="shared" si="3"/>
        <v/>
      </c>
      <c r="E1974" s="152"/>
      <c r="F1974" s="106" t="s">
        <v>133</v>
      </c>
      <c r="G1974" s="152"/>
      <c r="H1974" s="106" t="s">
        <v>133</v>
      </c>
      <c r="J1974" s="139" t="s">
        <v>133</v>
      </c>
      <c r="K1974" s="136" t="s">
        <v>133</v>
      </c>
      <c r="L1974" s="153"/>
      <c r="M1974" s="136" t="str">
        <f t="shared" si="1"/>
        <v/>
      </c>
      <c r="O1974" s="141" t="s">
        <v>133</v>
      </c>
      <c r="P1974" s="136" t="str">
        <f>IFERROR(__xludf.DUMMYFUNCTION("""COMPUTED_VALUE"""),"")</f>
        <v/>
      </c>
      <c r="Q1974" s="136" t="str">
        <f>IFERROR(__xludf.DUMMYFUNCTION("""COMPUTED_VALUE"""),"")</f>
        <v/>
      </c>
      <c r="R1974" s="106" t="str">
        <f>IFERROR(__xludf.DUMMYFUNCTION("""COMPUTED_VALUE"""),"")</f>
        <v/>
      </c>
      <c r="S1974" s="106" t="str">
        <f>IFERROR(__xludf.DUMMYFUNCTION("""COMPUTED_VALUE"""),"")</f>
        <v/>
      </c>
      <c r="T1974" s="139" t="str">
        <f>IFERROR(__xludf.DUMMYFUNCTION("""COMPUTED_VALUE"""),"")</f>
        <v/>
      </c>
      <c r="U1974" s="139" t="str">
        <f>IFERROR(__xludf.DUMMYFUNCTION("""COMPUTED_VALUE"""),"")</f>
        <v/>
      </c>
      <c r="V1974" s="136" t="str">
        <f>IFERROR(__xludf.DUMMYFUNCTION("""COMPUTED_VALUE"""),"")</f>
        <v/>
      </c>
      <c r="W1974" s="106" t="str">
        <f>IFERROR(__xludf.DUMMYFUNCTION("""COMPUTED_VALUE"""),"")</f>
        <v/>
      </c>
      <c r="X1974" s="143" t="str">
        <f t="shared" si="2"/>
        <v/>
      </c>
      <c r="Y1974" s="139" t="str">
        <f>IFERROR(__xludf.DUMMYFUNCTION("""COMPUTED_VALUE"""),"")</f>
        <v/>
      </c>
      <c r="Z1974" s="141" t="str">
        <f>IFERROR(__xludf.DUMMYFUNCTION("""COMPUTED_VALUE"""),"")</f>
        <v/>
      </c>
    </row>
    <row r="1975">
      <c r="D1975" s="136" t="str">
        <f t="shared" si="3"/>
        <v/>
      </c>
      <c r="E1975" s="152"/>
      <c r="F1975" s="106" t="s">
        <v>133</v>
      </c>
      <c r="G1975" s="152"/>
      <c r="H1975" s="106" t="s">
        <v>133</v>
      </c>
      <c r="J1975" s="139" t="s">
        <v>133</v>
      </c>
      <c r="K1975" s="136" t="s">
        <v>133</v>
      </c>
      <c r="L1975" s="153"/>
      <c r="M1975" s="136" t="str">
        <f t="shared" si="1"/>
        <v/>
      </c>
      <c r="O1975" s="141" t="s">
        <v>133</v>
      </c>
      <c r="P1975" s="136" t="str">
        <f>IFERROR(__xludf.DUMMYFUNCTION("""COMPUTED_VALUE"""),"")</f>
        <v/>
      </c>
      <c r="Q1975" s="136" t="str">
        <f>IFERROR(__xludf.DUMMYFUNCTION("""COMPUTED_VALUE"""),"")</f>
        <v/>
      </c>
      <c r="R1975" s="106" t="str">
        <f>IFERROR(__xludf.DUMMYFUNCTION("""COMPUTED_VALUE"""),"")</f>
        <v/>
      </c>
      <c r="S1975" s="106" t="str">
        <f>IFERROR(__xludf.DUMMYFUNCTION("""COMPUTED_VALUE"""),"")</f>
        <v/>
      </c>
      <c r="T1975" s="139" t="str">
        <f>IFERROR(__xludf.DUMMYFUNCTION("""COMPUTED_VALUE"""),"")</f>
        <v/>
      </c>
      <c r="U1975" s="139" t="str">
        <f>IFERROR(__xludf.DUMMYFUNCTION("""COMPUTED_VALUE"""),"")</f>
        <v/>
      </c>
      <c r="V1975" s="136" t="str">
        <f>IFERROR(__xludf.DUMMYFUNCTION("""COMPUTED_VALUE"""),"")</f>
        <v/>
      </c>
      <c r="W1975" s="106" t="str">
        <f>IFERROR(__xludf.DUMMYFUNCTION("""COMPUTED_VALUE"""),"")</f>
        <v/>
      </c>
      <c r="X1975" s="143" t="str">
        <f t="shared" si="2"/>
        <v/>
      </c>
      <c r="Y1975" s="139" t="str">
        <f>IFERROR(__xludf.DUMMYFUNCTION("""COMPUTED_VALUE"""),"")</f>
        <v/>
      </c>
      <c r="Z1975" s="141" t="str">
        <f>IFERROR(__xludf.DUMMYFUNCTION("""COMPUTED_VALUE"""),"")</f>
        <v/>
      </c>
    </row>
    <row r="1976">
      <c r="D1976" s="136" t="str">
        <f t="shared" si="3"/>
        <v/>
      </c>
      <c r="E1976" s="152"/>
      <c r="F1976" s="106" t="s">
        <v>133</v>
      </c>
      <c r="G1976" s="152"/>
      <c r="H1976" s="106" t="s">
        <v>133</v>
      </c>
      <c r="J1976" s="139" t="s">
        <v>133</v>
      </c>
      <c r="K1976" s="136" t="s">
        <v>133</v>
      </c>
      <c r="L1976" s="153"/>
      <c r="M1976" s="136" t="str">
        <f t="shared" si="1"/>
        <v/>
      </c>
      <c r="O1976" s="141" t="s">
        <v>133</v>
      </c>
      <c r="P1976" s="136" t="str">
        <f>IFERROR(__xludf.DUMMYFUNCTION("""COMPUTED_VALUE"""),"")</f>
        <v/>
      </c>
      <c r="Q1976" s="136" t="str">
        <f>IFERROR(__xludf.DUMMYFUNCTION("""COMPUTED_VALUE"""),"")</f>
        <v/>
      </c>
      <c r="R1976" s="106" t="str">
        <f>IFERROR(__xludf.DUMMYFUNCTION("""COMPUTED_VALUE"""),"")</f>
        <v/>
      </c>
      <c r="S1976" s="106" t="str">
        <f>IFERROR(__xludf.DUMMYFUNCTION("""COMPUTED_VALUE"""),"")</f>
        <v/>
      </c>
      <c r="T1976" s="139" t="str">
        <f>IFERROR(__xludf.DUMMYFUNCTION("""COMPUTED_VALUE"""),"")</f>
        <v/>
      </c>
      <c r="U1976" s="139" t="str">
        <f>IFERROR(__xludf.DUMMYFUNCTION("""COMPUTED_VALUE"""),"")</f>
        <v/>
      </c>
      <c r="V1976" s="136" t="str">
        <f>IFERROR(__xludf.DUMMYFUNCTION("""COMPUTED_VALUE"""),"")</f>
        <v/>
      </c>
      <c r="W1976" s="106" t="str">
        <f>IFERROR(__xludf.DUMMYFUNCTION("""COMPUTED_VALUE"""),"")</f>
        <v/>
      </c>
      <c r="X1976" s="143" t="str">
        <f t="shared" si="2"/>
        <v/>
      </c>
      <c r="Y1976" s="139" t="str">
        <f>IFERROR(__xludf.DUMMYFUNCTION("""COMPUTED_VALUE"""),"")</f>
        <v/>
      </c>
      <c r="Z1976" s="141" t="str">
        <f>IFERROR(__xludf.DUMMYFUNCTION("""COMPUTED_VALUE"""),"")</f>
        <v/>
      </c>
    </row>
    <row r="1977">
      <c r="D1977" s="136" t="str">
        <f t="shared" si="3"/>
        <v/>
      </c>
      <c r="E1977" s="152"/>
      <c r="F1977" s="106" t="s">
        <v>133</v>
      </c>
      <c r="G1977" s="152"/>
      <c r="H1977" s="106" t="s">
        <v>133</v>
      </c>
      <c r="J1977" s="139" t="s">
        <v>133</v>
      </c>
      <c r="K1977" s="136" t="s">
        <v>133</v>
      </c>
      <c r="L1977" s="153"/>
      <c r="M1977" s="136" t="str">
        <f t="shared" si="1"/>
        <v/>
      </c>
      <c r="O1977" s="141" t="s">
        <v>133</v>
      </c>
      <c r="P1977" s="136" t="str">
        <f>IFERROR(__xludf.DUMMYFUNCTION("""COMPUTED_VALUE"""),"")</f>
        <v/>
      </c>
      <c r="Q1977" s="136" t="str">
        <f>IFERROR(__xludf.DUMMYFUNCTION("""COMPUTED_VALUE"""),"")</f>
        <v/>
      </c>
      <c r="R1977" s="106" t="str">
        <f>IFERROR(__xludf.DUMMYFUNCTION("""COMPUTED_VALUE"""),"")</f>
        <v/>
      </c>
      <c r="S1977" s="106" t="str">
        <f>IFERROR(__xludf.DUMMYFUNCTION("""COMPUTED_VALUE"""),"")</f>
        <v/>
      </c>
      <c r="T1977" s="139" t="str">
        <f>IFERROR(__xludf.DUMMYFUNCTION("""COMPUTED_VALUE"""),"")</f>
        <v/>
      </c>
      <c r="U1977" s="139" t="str">
        <f>IFERROR(__xludf.DUMMYFUNCTION("""COMPUTED_VALUE"""),"")</f>
        <v/>
      </c>
      <c r="V1977" s="136" t="str">
        <f>IFERROR(__xludf.DUMMYFUNCTION("""COMPUTED_VALUE"""),"")</f>
        <v/>
      </c>
      <c r="W1977" s="106" t="str">
        <f>IFERROR(__xludf.DUMMYFUNCTION("""COMPUTED_VALUE"""),"")</f>
        <v/>
      </c>
      <c r="X1977" s="143" t="str">
        <f t="shared" si="2"/>
        <v/>
      </c>
      <c r="Y1977" s="139" t="str">
        <f>IFERROR(__xludf.DUMMYFUNCTION("""COMPUTED_VALUE"""),"")</f>
        <v/>
      </c>
      <c r="Z1977" s="141" t="str">
        <f>IFERROR(__xludf.DUMMYFUNCTION("""COMPUTED_VALUE"""),"")</f>
        <v/>
      </c>
    </row>
    <row r="1978">
      <c r="D1978" s="136" t="str">
        <f t="shared" si="3"/>
        <v/>
      </c>
      <c r="E1978" s="152"/>
      <c r="F1978" s="106" t="s">
        <v>133</v>
      </c>
      <c r="G1978" s="152"/>
      <c r="H1978" s="106" t="s">
        <v>133</v>
      </c>
      <c r="J1978" s="139" t="s">
        <v>133</v>
      </c>
      <c r="K1978" s="136" t="s">
        <v>133</v>
      </c>
      <c r="L1978" s="153"/>
      <c r="M1978" s="136" t="str">
        <f t="shared" si="1"/>
        <v/>
      </c>
      <c r="O1978" s="141" t="s">
        <v>133</v>
      </c>
      <c r="P1978" s="136" t="str">
        <f>IFERROR(__xludf.DUMMYFUNCTION("""COMPUTED_VALUE"""),"")</f>
        <v/>
      </c>
      <c r="Q1978" s="136" t="str">
        <f>IFERROR(__xludf.DUMMYFUNCTION("""COMPUTED_VALUE"""),"")</f>
        <v/>
      </c>
      <c r="R1978" s="106" t="str">
        <f>IFERROR(__xludf.DUMMYFUNCTION("""COMPUTED_VALUE"""),"")</f>
        <v/>
      </c>
      <c r="S1978" s="106" t="str">
        <f>IFERROR(__xludf.DUMMYFUNCTION("""COMPUTED_VALUE"""),"")</f>
        <v/>
      </c>
      <c r="T1978" s="139" t="str">
        <f>IFERROR(__xludf.DUMMYFUNCTION("""COMPUTED_VALUE"""),"")</f>
        <v/>
      </c>
      <c r="U1978" s="139" t="str">
        <f>IFERROR(__xludf.DUMMYFUNCTION("""COMPUTED_VALUE"""),"")</f>
        <v/>
      </c>
      <c r="V1978" s="136" t="str">
        <f>IFERROR(__xludf.DUMMYFUNCTION("""COMPUTED_VALUE"""),"")</f>
        <v/>
      </c>
      <c r="W1978" s="106" t="str">
        <f>IFERROR(__xludf.DUMMYFUNCTION("""COMPUTED_VALUE"""),"")</f>
        <v/>
      </c>
      <c r="X1978" s="143" t="str">
        <f t="shared" si="2"/>
        <v/>
      </c>
      <c r="Y1978" s="139" t="str">
        <f>IFERROR(__xludf.DUMMYFUNCTION("""COMPUTED_VALUE"""),"")</f>
        <v/>
      </c>
      <c r="Z1978" s="141" t="str">
        <f>IFERROR(__xludf.DUMMYFUNCTION("""COMPUTED_VALUE"""),"")</f>
        <v/>
      </c>
    </row>
    <row r="1979">
      <c r="D1979" s="136" t="str">
        <f t="shared" si="3"/>
        <v/>
      </c>
      <c r="E1979" s="152"/>
      <c r="F1979" s="106" t="s">
        <v>133</v>
      </c>
      <c r="G1979" s="152"/>
      <c r="H1979" s="106" t="s">
        <v>133</v>
      </c>
      <c r="J1979" s="139" t="s">
        <v>133</v>
      </c>
      <c r="K1979" s="136" t="s">
        <v>133</v>
      </c>
      <c r="L1979" s="153"/>
      <c r="M1979" s="136" t="str">
        <f t="shared" si="1"/>
        <v/>
      </c>
      <c r="O1979" s="141" t="s">
        <v>133</v>
      </c>
      <c r="P1979" s="136" t="str">
        <f>IFERROR(__xludf.DUMMYFUNCTION("""COMPUTED_VALUE"""),"")</f>
        <v/>
      </c>
      <c r="Q1979" s="136" t="str">
        <f>IFERROR(__xludf.DUMMYFUNCTION("""COMPUTED_VALUE"""),"")</f>
        <v/>
      </c>
      <c r="R1979" s="106" t="str">
        <f>IFERROR(__xludf.DUMMYFUNCTION("""COMPUTED_VALUE"""),"")</f>
        <v/>
      </c>
      <c r="S1979" s="106" t="str">
        <f>IFERROR(__xludf.DUMMYFUNCTION("""COMPUTED_VALUE"""),"")</f>
        <v/>
      </c>
      <c r="T1979" s="139" t="str">
        <f>IFERROR(__xludf.DUMMYFUNCTION("""COMPUTED_VALUE"""),"")</f>
        <v/>
      </c>
      <c r="U1979" s="139" t="str">
        <f>IFERROR(__xludf.DUMMYFUNCTION("""COMPUTED_VALUE"""),"")</f>
        <v/>
      </c>
      <c r="V1979" s="136" t="str">
        <f>IFERROR(__xludf.DUMMYFUNCTION("""COMPUTED_VALUE"""),"")</f>
        <v/>
      </c>
      <c r="W1979" s="106" t="str">
        <f>IFERROR(__xludf.DUMMYFUNCTION("""COMPUTED_VALUE"""),"")</f>
        <v/>
      </c>
      <c r="X1979" s="143" t="str">
        <f t="shared" si="2"/>
        <v/>
      </c>
      <c r="Y1979" s="139" t="str">
        <f>IFERROR(__xludf.DUMMYFUNCTION("""COMPUTED_VALUE"""),"")</f>
        <v/>
      </c>
      <c r="Z1979" s="141" t="str">
        <f>IFERROR(__xludf.DUMMYFUNCTION("""COMPUTED_VALUE"""),"")</f>
        <v/>
      </c>
    </row>
    <row r="1980">
      <c r="D1980" s="136" t="str">
        <f t="shared" si="3"/>
        <v/>
      </c>
      <c r="E1980" s="152"/>
      <c r="F1980" s="106" t="s">
        <v>133</v>
      </c>
      <c r="G1980" s="152"/>
      <c r="H1980" s="106" t="s">
        <v>133</v>
      </c>
      <c r="J1980" s="139" t="s">
        <v>133</v>
      </c>
      <c r="K1980" s="136" t="s">
        <v>133</v>
      </c>
      <c r="L1980" s="153"/>
      <c r="M1980" s="136" t="str">
        <f t="shared" si="1"/>
        <v/>
      </c>
      <c r="O1980" s="141" t="s">
        <v>133</v>
      </c>
      <c r="P1980" s="136" t="str">
        <f>IFERROR(__xludf.DUMMYFUNCTION("""COMPUTED_VALUE"""),"")</f>
        <v/>
      </c>
      <c r="Q1980" s="136" t="str">
        <f>IFERROR(__xludf.DUMMYFUNCTION("""COMPUTED_VALUE"""),"")</f>
        <v/>
      </c>
      <c r="R1980" s="106" t="str">
        <f>IFERROR(__xludf.DUMMYFUNCTION("""COMPUTED_VALUE"""),"")</f>
        <v/>
      </c>
      <c r="S1980" s="106" t="str">
        <f>IFERROR(__xludf.DUMMYFUNCTION("""COMPUTED_VALUE"""),"")</f>
        <v/>
      </c>
      <c r="T1980" s="139" t="str">
        <f>IFERROR(__xludf.DUMMYFUNCTION("""COMPUTED_VALUE"""),"")</f>
        <v/>
      </c>
      <c r="U1980" s="139" t="str">
        <f>IFERROR(__xludf.DUMMYFUNCTION("""COMPUTED_VALUE"""),"")</f>
        <v/>
      </c>
      <c r="V1980" s="136" t="str">
        <f>IFERROR(__xludf.DUMMYFUNCTION("""COMPUTED_VALUE"""),"")</f>
        <v/>
      </c>
      <c r="W1980" s="106" t="str">
        <f>IFERROR(__xludf.DUMMYFUNCTION("""COMPUTED_VALUE"""),"")</f>
        <v/>
      </c>
      <c r="X1980" s="143" t="str">
        <f t="shared" si="2"/>
        <v/>
      </c>
      <c r="Y1980" s="139" t="str">
        <f>IFERROR(__xludf.DUMMYFUNCTION("""COMPUTED_VALUE"""),"")</f>
        <v/>
      </c>
      <c r="Z1980" s="141" t="str">
        <f>IFERROR(__xludf.DUMMYFUNCTION("""COMPUTED_VALUE"""),"")</f>
        <v/>
      </c>
    </row>
    <row r="1981">
      <c r="D1981" s="136" t="str">
        <f t="shared" si="3"/>
        <v/>
      </c>
      <c r="E1981" s="152"/>
      <c r="F1981" s="106" t="s">
        <v>133</v>
      </c>
      <c r="G1981" s="152"/>
      <c r="H1981" s="106" t="s">
        <v>133</v>
      </c>
      <c r="J1981" s="139" t="s">
        <v>133</v>
      </c>
      <c r="K1981" s="136" t="s">
        <v>133</v>
      </c>
      <c r="L1981" s="153"/>
      <c r="M1981" s="136" t="str">
        <f t="shared" si="1"/>
        <v/>
      </c>
      <c r="O1981" s="141" t="s">
        <v>133</v>
      </c>
      <c r="P1981" s="136" t="str">
        <f>IFERROR(__xludf.DUMMYFUNCTION("""COMPUTED_VALUE"""),"")</f>
        <v/>
      </c>
      <c r="Q1981" s="136" t="str">
        <f>IFERROR(__xludf.DUMMYFUNCTION("""COMPUTED_VALUE"""),"")</f>
        <v/>
      </c>
      <c r="R1981" s="106" t="str">
        <f>IFERROR(__xludf.DUMMYFUNCTION("""COMPUTED_VALUE"""),"")</f>
        <v/>
      </c>
      <c r="S1981" s="106" t="str">
        <f>IFERROR(__xludf.DUMMYFUNCTION("""COMPUTED_VALUE"""),"")</f>
        <v/>
      </c>
      <c r="T1981" s="139" t="str">
        <f>IFERROR(__xludf.DUMMYFUNCTION("""COMPUTED_VALUE"""),"")</f>
        <v/>
      </c>
      <c r="U1981" s="139" t="str">
        <f>IFERROR(__xludf.DUMMYFUNCTION("""COMPUTED_VALUE"""),"")</f>
        <v/>
      </c>
      <c r="V1981" s="136" t="str">
        <f>IFERROR(__xludf.DUMMYFUNCTION("""COMPUTED_VALUE"""),"")</f>
        <v/>
      </c>
      <c r="W1981" s="106" t="str">
        <f>IFERROR(__xludf.DUMMYFUNCTION("""COMPUTED_VALUE"""),"")</f>
        <v/>
      </c>
      <c r="X1981" s="143" t="str">
        <f t="shared" si="2"/>
        <v/>
      </c>
      <c r="Y1981" s="139" t="str">
        <f>IFERROR(__xludf.DUMMYFUNCTION("""COMPUTED_VALUE"""),"")</f>
        <v/>
      </c>
      <c r="Z1981" s="141" t="str">
        <f>IFERROR(__xludf.DUMMYFUNCTION("""COMPUTED_VALUE"""),"")</f>
        <v/>
      </c>
    </row>
    <row r="1982">
      <c r="D1982" s="136" t="str">
        <f t="shared" si="3"/>
        <v/>
      </c>
      <c r="E1982" s="152"/>
      <c r="F1982" s="106" t="s">
        <v>133</v>
      </c>
      <c r="G1982" s="152"/>
      <c r="H1982" s="106" t="s">
        <v>133</v>
      </c>
      <c r="J1982" s="139" t="s">
        <v>133</v>
      </c>
      <c r="K1982" s="136" t="s">
        <v>133</v>
      </c>
      <c r="L1982" s="153"/>
      <c r="M1982" s="136" t="str">
        <f t="shared" si="1"/>
        <v/>
      </c>
      <c r="O1982" s="141" t="s">
        <v>133</v>
      </c>
      <c r="P1982" s="136" t="str">
        <f>IFERROR(__xludf.DUMMYFUNCTION("""COMPUTED_VALUE"""),"")</f>
        <v/>
      </c>
      <c r="Q1982" s="136" t="str">
        <f>IFERROR(__xludf.DUMMYFUNCTION("""COMPUTED_VALUE"""),"")</f>
        <v/>
      </c>
      <c r="R1982" s="106" t="str">
        <f>IFERROR(__xludf.DUMMYFUNCTION("""COMPUTED_VALUE"""),"")</f>
        <v/>
      </c>
      <c r="S1982" s="106" t="str">
        <f>IFERROR(__xludf.DUMMYFUNCTION("""COMPUTED_VALUE"""),"")</f>
        <v/>
      </c>
      <c r="T1982" s="139" t="str">
        <f>IFERROR(__xludf.DUMMYFUNCTION("""COMPUTED_VALUE"""),"")</f>
        <v/>
      </c>
      <c r="U1982" s="139" t="str">
        <f>IFERROR(__xludf.DUMMYFUNCTION("""COMPUTED_VALUE"""),"")</f>
        <v/>
      </c>
      <c r="V1982" s="136" t="str">
        <f>IFERROR(__xludf.DUMMYFUNCTION("""COMPUTED_VALUE"""),"")</f>
        <v/>
      </c>
      <c r="W1982" s="106" t="str">
        <f>IFERROR(__xludf.DUMMYFUNCTION("""COMPUTED_VALUE"""),"")</f>
        <v/>
      </c>
      <c r="X1982" s="143" t="str">
        <f t="shared" si="2"/>
        <v/>
      </c>
      <c r="Y1982" s="139" t="str">
        <f>IFERROR(__xludf.DUMMYFUNCTION("""COMPUTED_VALUE"""),"")</f>
        <v/>
      </c>
      <c r="Z1982" s="141" t="str">
        <f>IFERROR(__xludf.DUMMYFUNCTION("""COMPUTED_VALUE"""),"")</f>
        <v/>
      </c>
    </row>
    <row r="1983">
      <c r="D1983" s="136" t="str">
        <f t="shared" si="3"/>
        <v/>
      </c>
      <c r="E1983" s="152"/>
      <c r="F1983" s="106" t="s">
        <v>133</v>
      </c>
      <c r="G1983" s="152"/>
      <c r="H1983" s="106" t="s">
        <v>133</v>
      </c>
      <c r="J1983" s="139" t="s">
        <v>133</v>
      </c>
      <c r="K1983" s="136" t="s">
        <v>133</v>
      </c>
      <c r="L1983" s="153"/>
      <c r="M1983" s="136" t="str">
        <f t="shared" si="1"/>
        <v/>
      </c>
      <c r="O1983" s="141" t="s">
        <v>133</v>
      </c>
      <c r="P1983" s="136" t="str">
        <f>IFERROR(__xludf.DUMMYFUNCTION("""COMPUTED_VALUE"""),"")</f>
        <v/>
      </c>
      <c r="Q1983" s="136" t="str">
        <f>IFERROR(__xludf.DUMMYFUNCTION("""COMPUTED_VALUE"""),"")</f>
        <v/>
      </c>
      <c r="R1983" s="106" t="str">
        <f>IFERROR(__xludf.DUMMYFUNCTION("""COMPUTED_VALUE"""),"")</f>
        <v/>
      </c>
      <c r="S1983" s="106" t="str">
        <f>IFERROR(__xludf.DUMMYFUNCTION("""COMPUTED_VALUE"""),"")</f>
        <v/>
      </c>
      <c r="T1983" s="139" t="str">
        <f>IFERROR(__xludf.DUMMYFUNCTION("""COMPUTED_VALUE"""),"")</f>
        <v/>
      </c>
      <c r="U1983" s="139" t="str">
        <f>IFERROR(__xludf.DUMMYFUNCTION("""COMPUTED_VALUE"""),"")</f>
        <v/>
      </c>
      <c r="V1983" s="136" t="str">
        <f>IFERROR(__xludf.DUMMYFUNCTION("""COMPUTED_VALUE"""),"")</f>
        <v/>
      </c>
      <c r="W1983" s="106" t="str">
        <f>IFERROR(__xludf.DUMMYFUNCTION("""COMPUTED_VALUE"""),"")</f>
        <v/>
      </c>
      <c r="X1983" s="143" t="str">
        <f t="shared" si="2"/>
        <v/>
      </c>
      <c r="Y1983" s="139" t="str">
        <f>IFERROR(__xludf.DUMMYFUNCTION("""COMPUTED_VALUE"""),"")</f>
        <v/>
      </c>
      <c r="Z1983" s="141" t="str">
        <f>IFERROR(__xludf.DUMMYFUNCTION("""COMPUTED_VALUE"""),"")</f>
        <v/>
      </c>
    </row>
    <row r="1984">
      <c r="D1984" s="136" t="str">
        <f t="shared" si="3"/>
        <v/>
      </c>
      <c r="E1984" s="152"/>
      <c r="F1984" s="106" t="s">
        <v>133</v>
      </c>
      <c r="G1984" s="152"/>
      <c r="H1984" s="106" t="s">
        <v>133</v>
      </c>
      <c r="J1984" s="139" t="s">
        <v>133</v>
      </c>
      <c r="K1984" s="136" t="s">
        <v>133</v>
      </c>
      <c r="L1984" s="153"/>
      <c r="M1984" s="136" t="str">
        <f t="shared" si="1"/>
        <v/>
      </c>
      <c r="O1984" s="141" t="s">
        <v>133</v>
      </c>
      <c r="P1984" s="136" t="str">
        <f>IFERROR(__xludf.DUMMYFUNCTION("""COMPUTED_VALUE"""),"")</f>
        <v/>
      </c>
      <c r="Q1984" s="136" t="str">
        <f>IFERROR(__xludf.DUMMYFUNCTION("""COMPUTED_VALUE"""),"")</f>
        <v/>
      </c>
      <c r="R1984" s="106" t="str">
        <f>IFERROR(__xludf.DUMMYFUNCTION("""COMPUTED_VALUE"""),"")</f>
        <v/>
      </c>
      <c r="S1984" s="106" t="str">
        <f>IFERROR(__xludf.DUMMYFUNCTION("""COMPUTED_VALUE"""),"")</f>
        <v/>
      </c>
      <c r="T1984" s="139" t="str">
        <f>IFERROR(__xludf.DUMMYFUNCTION("""COMPUTED_VALUE"""),"")</f>
        <v/>
      </c>
      <c r="U1984" s="139" t="str">
        <f>IFERROR(__xludf.DUMMYFUNCTION("""COMPUTED_VALUE"""),"")</f>
        <v/>
      </c>
      <c r="V1984" s="136" t="str">
        <f>IFERROR(__xludf.DUMMYFUNCTION("""COMPUTED_VALUE"""),"")</f>
        <v/>
      </c>
      <c r="W1984" s="106" t="str">
        <f>IFERROR(__xludf.DUMMYFUNCTION("""COMPUTED_VALUE"""),"")</f>
        <v/>
      </c>
      <c r="X1984" s="143" t="str">
        <f t="shared" si="2"/>
        <v/>
      </c>
      <c r="Y1984" s="139" t="str">
        <f>IFERROR(__xludf.DUMMYFUNCTION("""COMPUTED_VALUE"""),"")</f>
        <v/>
      </c>
      <c r="Z1984" s="141" t="str">
        <f>IFERROR(__xludf.DUMMYFUNCTION("""COMPUTED_VALUE"""),"")</f>
        <v/>
      </c>
    </row>
    <row r="1985">
      <c r="D1985" s="136" t="str">
        <f t="shared" si="3"/>
        <v/>
      </c>
      <c r="E1985" s="152"/>
      <c r="F1985" s="106" t="s">
        <v>133</v>
      </c>
      <c r="G1985" s="152"/>
      <c r="H1985" s="106" t="s">
        <v>133</v>
      </c>
      <c r="J1985" s="139" t="s">
        <v>133</v>
      </c>
      <c r="K1985" s="136" t="s">
        <v>133</v>
      </c>
      <c r="L1985" s="153"/>
      <c r="M1985" s="136" t="str">
        <f t="shared" si="1"/>
        <v/>
      </c>
      <c r="O1985" s="141" t="s">
        <v>133</v>
      </c>
      <c r="P1985" s="136" t="str">
        <f>IFERROR(__xludf.DUMMYFUNCTION("""COMPUTED_VALUE"""),"")</f>
        <v/>
      </c>
      <c r="Q1985" s="136" t="str">
        <f>IFERROR(__xludf.DUMMYFUNCTION("""COMPUTED_VALUE"""),"")</f>
        <v/>
      </c>
      <c r="R1985" s="106" t="str">
        <f>IFERROR(__xludf.DUMMYFUNCTION("""COMPUTED_VALUE"""),"")</f>
        <v/>
      </c>
      <c r="S1985" s="106" t="str">
        <f>IFERROR(__xludf.DUMMYFUNCTION("""COMPUTED_VALUE"""),"")</f>
        <v/>
      </c>
      <c r="T1985" s="139" t="str">
        <f>IFERROR(__xludf.DUMMYFUNCTION("""COMPUTED_VALUE"""),"")</f>
        <v/>
      </c>
      <c r="U1985" s="139" t="str">
        <f>IFERROR(__xludf.DUMMYFUNCTION("""COMPUTED_VALUE"""),"")</f>
        <v/>
      </c>
      <c r="V1985" s="136" t="str">
        <f>IFERROR(__xludf.DUMMYFUNCTION("""COMPUTED_VALUE"""),"")</f>
        <v/>
      </c>
      <c r="W1985" s="106" t="str">
        <f>IFERROR(__xludf.DUMMYFUNCTION("""COMPUTED_VALUE"""),"")</f>
        <v/>
      </c>
      <c r="X1985" s="143" t="str">
        <f t="shared" si="2"/>
        <v/>
      </c>
      <c r="Y1985" s="139" t="str">
        <f>IFERROR(__xludf.DUMMYFUNCTION("""COMPUTED_VALUE"""),"")</f>
        <v/>
      </c>
      <c r="Z1985" s="141" t="str">
        <f>IFERROR(__xludf.DUMMYFUNCTION("""COMPUTED_VALUE"""),"")</f>
        <v/>
      </c>
    </row>
    <row r="1986">
      <c r="D1986" s="136" t="str">
        <f t="shared" si="3"/>
        <v/>
      </c>
      <c r="E1986" s="152"/>
      <c r="F1986" s="106" t="s">
        <v>133</v>
      </c>
      <c r="G1986" s="152"/>
      <c r="H1986" s="106" t="s">
        <v>133</v>
      </c>
      <c r="J1986" s="139" t="s">
        <v>133</v>
      </c>
      <c r="K1986" s="136" t="s">
        <v>133</v>
      </c>
      <c r="L1986" s="153"/>
      <c r="M1986" s="136" t="str">
        <f t="shared" si="1"/>
        <v/>
      </c>
      <c r="O1986" s="141" t="s">
        <v>133</v>
      </c>
      <c r="P1986" s="136" t="str">
        <f>IFERROR(__xludf.DUMMYFUNCTION("""COMPUTED_VALUE"""),"")</f>
        <v/>
      </c>
      <c r="Q1986" s="136" t="str">
        <f>IFERROR(__xludf.DUMMYFUNCTION("""COMPUTED_VALUE"""),"")</f>
        <v/>
      </c>
      <c r="R1986" s="106" t="str">
        <f>IFERROR(__xludf.DUMMYFUNCTION("""COMPUTED_VALUE"""),"")</f>
        <v/>
      </c>
      <c r="S1986" s="106" t="str">
        <f>IFERROR(__xludf.DUMMYFUNCTION("""COMPUTED_VALUE"""),"")</f>
        <v/>
      </c>
      <c r="T1986" s="139" t="str">
        <f>IFERROR(__xludf.DUMMYFUNCTION("""COMPUTED_VALUE"""),"")</f>
        <v/>
      </c>
      <c r="U1986" s="139" t="str">
        <f>IFERROR(__xludf.DUMMYFUNCTION("""COMPUTED_VALUE"""),"")</f>
        <v/>
      </c>
      <c r="V1986" s="136" t="str">
        <f>IFERROR(__xludf.DUMMYFUNCTION("""COMPUTED_VALUE"""),"")</f>
        <v/>
      </c>
      <c r="W1986" s="106" t="str">
        <f>IFERROR(__xludf.DUMMYFUNCTION("""COMPUTED_VALUE"""),"")</f>
        <v/>
      </c>
      <c r="X1986" s="143" t="str">
        <f t="shared" si="2"/>
        <v/>
      </c>
      <c r="Y1986" s="139" t="str">
        <f>IFERROR(__xludf.DUMMYFUNCTION("""COMPUTED_VALUE"""),"")</f>
        <v/>
      </c>
      <c r="Z1986" s="141" t="str">
        <f>IFERROR(__xludf.DUMMYFUNCTION("""COMPUTED_VALUE"""),"")</f>
        <v/>
      </c>
    </row>
    <row r="1987">
      <c r="D1987" s="136" t="str">
        <f t="shared" si="3"/>
        <v/>
      </c>
      <c r="E1987" s="152"/>
      <c r="F1987" s="106" t="s">
        <v>133</v>
      </c>
      <c r="G1987" s="152"/>
      <c r="H1987" s="106" t="s">
        <v>133</v>
      </c>
      <c r="J1987" s="139" t="s">
        <v>133</v>
      </c>
      <c r="K1987" s="136" t="s">
        <v>133</v>
      </c>
      <c r="L1987" s="153"/>
      <c r="M1987" s="136" t="str">
        <f t="shared" si="1"/>
        <v/>
      </c>
      <c r="O1987" s="141" t="s">
        <v>133</v>
      </c>
      <c r="P1987" s="136" t="str">
        <f>IFERROR(__xludf.DUMMYFUNCTION("""COMPUTED_VALUE"""),"")</f>
        <v/>
      </c>
      <c r="Q1987" s="136" t="str">
        <f>IFERROR(__xludf.DUMMYFUNCTION("""COMPUTED_VALUE"""),"")</f>
        <v/>
      </c>
      <c r="R1987" s="106" t="str">
        <f>IFERROR(__xludf.DUMMYFUNCTION("""COMPUTED_VALUE"""),"")</f>
        <v/>
      </c>
      <c r="S1987" s="106" t="str">
        <f>IFERROR(__xludf.DUMMYFUNCTION("""COMPUTED_VALUE"""),"")</f>
        <v/>
      </c>
      <c r="T1987" s="139" t="str">
        <f>IFERROR(__xludf.DUMMYFUNCTION("""COMPUTED_VALUE"""),"")</f>
        <v/>
      </c>
      <c r="U1987" s="139" t="str">
        <f>IFERROR(__xludf.DUMMYFUNCTION("""COMPUTED_VALUE"""),"")</f>
        <v/>
      </c>
      <c r="V1987" s="136" t="str">
        <f>IFERROR(__xludf.DUMMYFUNCTION("""COMPUTED_VALUE"""),"")</f>
        <v/>
      </c>
      <c r="W1987" s="106" t="str">
        <f>IFERROR(__xludf.DUMMYFUNCTION("""COMPUTED_VALUE"""),"")</f>
        <v/>
      </c>
      <c r="X1987" s="143" t="str">
        <f t="shared" si="2"/>
        <v/>
      </c>
      <c r="Y1987" s="139" t="str">
        <f>IFERROR(__xludf.DUMMYFUNCTION("""COMPUTED_VALUE"""),"")</f>
        <v/>
      </c>
      <c r="Z1987" s="141" t="str">
        <f>IFERROR(__xludf.DUMMYFUNCTION("""COMPUTED_VALUE"""),"")</f>
        <v/>
      </c>
    </row>
    <row r="1988">
      <c r="D1988" s="136" t="str">
        <f t="shared" si="3"/>
        <v/>
      </c>
      <c r="E1988" s="152"/>
      <c r="F1988" s="106" t="s">
        <v>133</v>
      </c>
      <c r="G1988" s="152"/>
      <c r="H1988" s="106" t="s">
        <v>133</v>
      </c>
      <c r="J1988" s="139" t="s">
        <v>133</v>
      </c>
      <c r="K1988" s="136" t="s">
        <v>133</v>
      </c>
      <c r="L1988" s="153"/>
      <c r="M1988" s="136" t="str">
        <f t="shared" si="1"/>
        <v/>
      </c>
      <c r="O1988" s="141" t="s">
        <v>133</v>
      </c>
      <c r="P1988" s="136" t="str">
        <f>IFERROR(__xludf.DUMMYFUNCTION("""COMPUTED_VALUE"""),"")</f>
        <v/>
      </c>
      <c r="Q1988" s="136" t="str">
        <f>IFERROR(__xludf.DUMMYFUNCTION("""COMPUTED_VALUE"""),"")</f>
        <v/>
      </c>
      <c r="R1988" s="106" t="str">
        <f>IFERROR(__xludf.DUMMYFUNCTION("""COMPUTED_VALUE"""),"")</f>
        <v/>
      </c>
      <c r="S1988" s="106" t="str">
        <f>IFERROR(__xludf.DUMMYFUNCTION("""COMPUTED_VALUE"""),"")</f>
        <v/>
      </c>
      <c r="T1988" s="139" t="str">
        <f>IFERROR(__xludf.DUMMYFUNCTION("""COMPUTED_VALUE"""),"")</f>
        <v/>
      </c>
      <c r="U1988" s="139" t="str">
        <f>IFERROR(__xludf.DUMMYFUNCTION("""COMPUTED_VALUE"""),"")</f>
        <v/>
      </c>
      <c r="V1988" s="136" t="str">
        <f>IFERROR(__xludf.DUMMYFUNCTION("""COMPUTED_VALUE"""),"")</f>
        <v/>
      </c>
      <c r="W1988" s="106" t="str">
        <f>IFERROR(__xludf.DUMMYFUNCTION("""COMPUTED_VALUE"""),"")</f>
        <v/>
      </c>
      <c r="X1988" s="143" t="str">
        <f t="shared" si="2"/>
        <v/>
      </c>
      <c r="Y1988" s="139" t="str">
        <f>IFERROR(__xludf.DUMMYFUNCTION("""COMPUTED_VALUE"""),"")</f>
        <v/>
      </c>
      <c r="Z1988" s="141" t="str">
        <f>IFERROR(__xludf.DUMMYFUNCTION("""COMPUTED_VALUE"""),"")</f>
        <v/>
      </c>
    </row>
    <row r="1989">
      <c r="D1989" s="136" t="str">
        <f t="shared" si="3"/>
        <v/>
      </c>
      <c r="E1989" s="152"/>
      <c r="F1989" s="106" t="s">
        <v>133</v>
      </c>
      <c r="G1989" s="152"/>
      <c r="H1989" s="106" t="s">
        <v>133</v>
      </c>
      <c r="J1989" s="139" t="s">
        <v>133</v>
      </c>
      <c r="K1989" s="136" t="s">
        <v>133</v>
      </c>
      <c r="L1989" s="153"/>
      <c r="M1989" s="136" t="str">
        <f t="shared" si="1"/>
        <v/>
      </c>
      <c r="O1989" s="141" t="s">
        <v>133</v>
      </c>
      <c r="P1989" s="136" t="str">
        <f>IFERROR(__xludf.DUMMYFUNCTION("""COMPUTED_VALUE"""),"")</f>
        <v/>
      </c>
      <c r="Q1989" s="136" t="str">
        <f>IFERROR(__xludf.DUMMYFUNCTION("""COMPUTED_VALUE"""),"")</f>
        <v/>
      </c>
      <c r="R1989" s="106" t="str">
        <f>IFERROR(__xludf.DUMMYFUNCTION("""COMPUTED_VALUE"""),"")</f>
        <v/>
      </c>
      <c r="S1989" s="106" t="str">
        <f>IFERROR(__xludf.DUMMYFUNCTION("""COMPUTED_VALUE"""),"")</f>
        <v/>
      </c>
      <c r="T1989" s="139" t="str">
        <f>IFERROR(__xludf.DUMMYFUNCTION("""COMPUTED_VALUE"""),"")</f>
        <v/>
      </c>
      <c r="U1989" s="139" t="str">
        <f>IFERROR(__xludf.DUMMYFUNCTION("""COMPUTED_VALUE"""),"")</f>
        <v/>
      </c>
      <c r="V1989" s="136" t="str">
        <f>IFERROR(__xludf.DUMMYFUNCTION("""COMPUTED_VALUE"""),"")</f>
        <v/>
      </c>
      <c r="W1989" s="106" t="str">
        <f>IFERROR(__xludf.DUMMYFUNCTION("""COMPUTED_VALUE"""),"")</f>
        <v/>
      </c>
      <c r="X1989" s="143" t="str">
        <f t="shared" si="2"/>
        <v/>
      </c>
      <c r="Y1989" s="139" t="str">
        <f>IFERROR(__xludf.DUMMYFUNCTION("""COMPUTED_VALUE"""),"")</f>
        <v/>
      </c>
      <c r="Z1989" s="141" t="str">
        <f>IFERROR(__xludf.DUMMYFUNCTION("""COMPUTED_VALUE"""),"")</f>
        <v/>
      </c>
    </row>
    <row r="1990">
      <c r="D1990" s="136" t="str">
        <f t="shared" si="3"/>
        <v/>
      </c>
      <c r="E1990" s="152"/>
      <c r="F1990" s="106" t="s">
        <v>133</v>
      </c>
      <c r="G1990" s="152"/>
      <c r="H1990" s="106" t="s">
        <v>133</v>
      </c>
      <c r="J1990" s="139" t="s">
        <v>133</v>
      </c>
      <c r="K1990" s="136" t="s">
        <v>133</v>
      </c>
      <c r="L1990" s="153"/>
      <c r="M1990" s="136" t="str">
        <f t="shared" si="1"/>
        <v/>
      </c>
      <c r="O1990" s="141" t="s">
        <v>133</v>
      </c>
      <c r="P1990" s="136" t="str">
        <f>IFERROR(__xludf.DUMMYFUNCTION("""COMPUTED_VALUE"""),"")</f>
        <v/>
      </c>
      <c r="Q1990" s="136" t="str">
        <f>IFERROR(__xludf.DUMMYFUNCTION("""COMPUTED_VALUE"""),"")</f>
        <v/>
      </c>
      <c r="R1990" s="106" t="str">
        <f>IFERROR(__xludf.DUMMYFUNCTION("""COMPUTED_VALUE"""),"")</f>
        <v/>
      </c>
      <c r="S1990" s="106" t="str">
        <f>IFERROR(__xludf.DUMMYFUNCTION("""COMPUTED_VALUE"""),"")</f>
        <v/>
      </c>
      <c r="T1990" s="139" t="str">
        <f>IFERROR(__xludf.DUMMYFUNCTION("""COMPUTED_VALUE"""),"")</f>
        <v/>
      </c>
      <c r="U1990" s="139" t="str">
        <f>IFERROR(__xludf.DUMMYFUNCTION("""COMPUTED_VALUE"""),"")</f>
        <v/>
      </c>
      <c r="V1990" s="136" t="str">
        <f>IFERROR(__xludf.DUMMYFUNCTION("""COMPUTED_VALUE"""),"")</f>
        <v/>
      </c>
      <c r="W1990" s="106" t="str">
        <f>IFERROR(__xludf.DUMMYFUNCTION("""COMPUTED_VALUE"""),"")</f>
        <v/>
      </c>
      <c r="X1990" s="143" t="str">
        <f t="shared" si="2"/>
        <v/>
      </c>
      <c r="Y1990" s="139" t="str">
        <f>IFERROR(__xludf.DUMMYFUNCTION("""COMPUTED_VALUE"""),"")</f>
        <v/>
      </c>
      <c r="Z1990" s="141" t="str">
        <f>IFERROR(__xludf.DUMMYFUNCTION("""COMPUTED_VALUE"""),"")</f>
        <v/>
      </c>
    </row>
    <row r="1991">
      <c r="D1991" s="136" t="str">
        <f t="shared" si="3"/>
        <v/>
      </c>
      <c r="E1991" s="152"/>
      <c r="F1991" s="106" t="s">
        <v>133</v>
      </c>
      <c r="G1991" s="152"/>
      <c r="H1991" s="106" t="s">
        <v>133</v>
      </c>
      <c r="J1991" s="139" t="s">
        <v>133</v>
      </c>
      <c r="K1991" s="136" t="s">
        <v>133</v>
      </c>
      <c r="L1991" s="153"/>
      <c r="M1991" s="136" t="str">
        <f t="shared" si="1"/>
        <v/>
      </c>
      <c r="O1991" s="141" t="s">
        <v>133</v>
      </c>
      <c r="P1991" s="136" t="str">
        <f>IFERROR(__xludf.DUMMYFUNCTION("""COMPUTED_VALUE"""),"")</f>
        <v/>
      </c>
      <c r="Q1991" s="136" t="str">
        <f>IFERROR(__xludf.DUMMYFUNCTION("""COMPUTED_VALUE"""),"")</f>
        <v/>
      </c>
      <c r="R1991" s="106" t="str">
        <f>IFERROR(__xludf.DUMMYFUNCTION("""COMPUTED_VALUE"""),"")</f>
        <v/>
      </c>
      <c r="S1991" s="106" t="str">
        <f>IFERROR(__xludf.DUMMYFUNCTION("""COMPUTED_VALUE"""),"")</f>
        <v/>
      </c>
      <c r="T1991" s="139" t="str">
        <f>IFERROR(__xludf.DUMMYFUNCTION("""COMPUTED_VALUE"""),"")</f>
        <v/>
      </c>
      <c r="U1991" s="139" t="str">
        <f>IFERROR(__xludf.DUMMYFUNCTION("""COMPUTED_VALUE"""),"")</f>
        <v/>
      </c>
      <c r="V1991" s="136" t="str">
        <f>IFERROR(__xludf.DUMMYFUNCTION("""COMPUTED_VALUE"""),"")</f>
        <v/>
      </c>
      <c r="W1991" s="106" t="str">
        <f>IFERROR(__xludf.DUMMYFUNCTION("""COMPUTED_VALUE"""),"")</f>
        <v/>
      </c>
      <c r="X1991" s="143" t="str">
        <f t="shared" si="2"/>
        <v/>
      </c>
      <c r="Y1991" s="139" t="str">
        <f>IFERROR(__xludf.DUMMYFUNCTION("""COMPUTED_VALUE"""),"")</f>
        <v/>
      </c>
      <c r="Z1991" s="141" t="str">
        <f>IFERROR(__xludf.DUMMYFUNCTION("""COMPUTED_VALUE"""),"")</f>
        <v/>
      </c>
    </row>
    <row r="1992">
      <c r="D1992" s="136" t="str">
        <f t="shared" si="3"/>
        <v/>
      </c>
      <c r="E1992" s="152"/>
      <c r="F1992" s="106" t="s">
        <v>133</v>
      </c>
      <c r="G1992" s="152"/>
      <c r="H1992" s="106" t="s">
        <v>133</v>
      </c>
      <c r="J1992" s="139" t="s">
        <v>133</v>
      </c>
      <c r="K1992" s="136" t="s">
        <v>133</v>
      </c>
      <c r="L1992" s="153"/>
      <c r="M1992" s="136" t="str">
        <f t="shared" si="1"/>
        <v/>
      </c>
      <c r="O1992" s="141" t="s">
        <v>133</v>
      </c>
      <c r="P1992" s="136" t="str">
        <f>IFERROR(__xludf.DUMMYFUNCTION("""COMPUTED_VALUE"""),"")</f>
        <v/>
      </c>
      <c r="Q1992" s="136" t="str">
        <f>IFERROR(__xludf.DUMMYFUNCTION("""COMPUTED_VALUE"""),"")</f>
        <v/>
      </c>
      <c r="R1992" s="106" t="str">
        <f>IFERROR(__xludf.DUMMYFUNCTION("""COMPUTED_VALUE"""),"")</f>
        <v/>
      </c>
      <c r="S1992" s="106" t="str">
        <f>IFERROR(__xludf.DUMMYFUNCTION("""COMPUTED_VALUE"""),"")</f>
        <v/>
      </c>
      <c r="T1992" s="139" t="str">
        <f>IFERROR(__xludf.DUMMYFUNCTION("""COMPUTED_VALUE"""),"")</f>
        <v/>
      </c>
      <c r="U1992" s="139" t="str">
        <f>IFERROR(__xludf.DUMMYFUNCTION("""COMPUTED_VALUE"""),"")</f>
        <v/>
      </c>
      <c r="V1992" s="136" t="str">
        <f>IFERROR(__xludf.DUMMYFUNCTION("""COMPUTED_VALUE"""),"")</f>
        <v/>
      </c>
      <c r="W1992" s="106" t="str">
        <f>IFERROR(__xludf.DUMMYFUNCTION("""COMPUTED_VALUE"""),"")</f>
        <v/>
      </c>
      <c r="X1992" s="143" t="str">
        <f t="shared" si="2"/>
        <v/>
      </c>
      <c r="Y1992" s="139" t="str">
        <f>IFERROR(__xludf.DUMMYFUNCTION("""COMPUTED_VALUE"""),"")</f>
        <v/>
      </c>
      <c r="Z1992" s="141" t="str">
        <f>IFERROR(__xludf.DUMMYFUNCTION("""COMPUTED_VALUE"""),"")</f>
        <v/>
      </c>
    </row>
    <row r="1993">
      <c r="D1993" s="136" t="str">
        <f t="shared" si="3"/>
        <v/>
      </c>
      <c r="E1993" s="152"/>
      <c r="F1993" s="106" t="s">
        <v>133</v>
      </c>
      <c r="G1993" s="152"/>
      <c r="H1993" s="106" t="s">
        <v>133</v>
      </c>
      <c r="J1993" s="139" t="s">
        <v>133</v>
      </c>
      <c r="K1993" s="136" t="s">
        <v>133</v>
      </c>
      <c r="L1993" s="153"/>
      <c r="M1993" s="136" t="str">
        <f t="shared" si="1"/>
        <v/>
      </c>
      <c r="O1993" s="141" t="s">
        <v>133</v>
      </c>
      <c r="P1993" s="136" t="str">
        <f>IFERROR(__xludf.DUMMYFUNCTION("""COMPUTED_VALUE"""),"")</f>
        <v/>
      </c>
      <c r="Q1993" s="136" t="str">
        <f>IFERROR(__xludf.DUMMYFUNCTION("""COMPUTED_VALUE"""),"")</f>
        <v/>
      </c>
      <c r="R1993" s="106" t="str">
        <f>IFERROR(__xludf.DUMMYFUNCTION("""COMPUTED_VALUE"""),"")</f>
        <v/>
      </c>
      <c r="S1993" s="106" t="str">
        <f>IFERROR(__xludf.DUMMYFUNCTION("""COMPUTED_VALUE"""),"")</f>
        <v/>
      </c>
      <c r="T1993" s="139" t="str">
        <f>IFERROR(__xludf.DUMMYFUNCTION("""COMPUTED_VALUE"""),"")</f>
        <v/>
      </c>
      <c r="U1993" s="139" t="str">
        <f>IFERROR(__xludf.DUMMYFUNCTION("""COMPUTED_VALUE"""),"")</f>
        <v/>
      </c>
      <c r="V1993" s="136" t="str">
        <f>IFERROR(__xludf.DUMMYFUNCTION("""COMPUTED_VALUE"""),"")</f>
        <v/>
      </c>
      <c r="W1993" s="106" t="str">
        <f>IFERROR(__xludf.DUMMYFUNCTION("""COMPUTED_VALUE"""),"")</f>
        <v/>
      </c>
      <c r="X1993" s="143" t="str">
        <f t="shared" si="2"/>
        <v/>
      </c>
      <c r="Y1993" s="139" t="str">
        <f>IFERROR(__xludf.DUMMYFUNCTION("""COMPUTED_VALUE"""),"")</f>
        <v/>
      </c>
      <c r="Z1993" s="141" t="str">
        <f>IFERROR(__xludf.DUMMYFUNCTION("""COMPUTED_VALUE"""),"")</f>
        <v/>
      </c>
    </row>
    <row r="1994">
      <c r="D1994" s="136" t="str">
        <f t="shared" si="3"/>
        <v/>
      </c>
      <c r="E1994" s="152"/>
      <c r="F1994" s="106" t="s">
        <v>133</v>
      </c>
      <c r="G1994" s="152"/>
      <c r="H1994" s="106" t="s">
        <v>133</v>
      </c>
      <c r="J1994" s="139" t="s">
        <v>133</v>
      </c>
      <c r="K1994" s="136" t="s">
        <v>133</v>
      </c>
      <c r="L1994" s="153"/>
      <c r="M1994" s="136" t="str">
        <f t="shared" si="1"/>
        <v/>
      </c>
      <c r="O1994" s="141" t="s">
        <v>133</v>
      </c>
      <c r="P1994" s="136" t="str">
        <f>IFERROR(__xludf.DUMMYFUNCTION("""COMPUTED_VALUE"""),"")</f>
        <v/>
      </c>
      <c r="Q1994" s="136" t="str">
        <f>IFERROR(__xludf.DUMMYFUNCTION("""COMPUTED_VALUE"""),"")</f>
        <v/>
      </c>
      <c r="R1994" s="106" t="str">
        <f>IFERROR(__xludf.DUMMYFUNCTION("""COMPUTED_VALUE"""),"")</f>
        <v/>
      </c>
      <c r="S1994" s="106" t="str">
        <f>IFERROR(__xludf.DUMMYFUNCTION("""COMPUTED_VALUE"""),"")</f>
        <v/>
      </c>
      <c r="T1994" s="139" t="str">
        <f>IFERROR(__xludf.DUMMYFUNCTION("""COMPUTED_VALUE"""),"")</f>
        <v/>
      </c>
      <c r="U1994" s="139" t="str">
        <f>IFERROR(__xludf.DUMMYFUNCTION("""COMPUTED_VALUE"""),"")</f>
        <v/>
      </c>
      <c r="V1994" s="136" t="str">
        <f>IFERROR(__xludf.DUMMYFUNCTION("""COMPUTED_VALUE"""),"")</f>
        <v/>
      </c>
      <c r="W1994" s="106" t="str">
        <f>IFERROR(__xludf.DUMMYFUNCTION("""COMPUTED_VALUE"""),"")</f>
        <v/>
      </c>
      <c r="X1994" s="143" t="str">
        <f t="shared" si="2"/>
        <v/>
      </c>
      <c r="Y1994" s="139" t="str">
        <f>IFERROR(__xludf.DUMMYFUNCTION("""COMPUTED_VALUE"""),"")</f>
        <v/>
      </c>
      <c r="Z1994" s="141" t="str">
        <f>IFERROR(__xludf.DUMMYFUNCTION("""COMPUTED_VALUE"""),"")</f>
        <v/>
      </c>
    </row>
    <row r="1995">
      <c r="D1995" s="136" t="str">
        <f t="shared" si="3"/>
        <v/>
      </c>
      <c r="E1995" s="152"/>
      <c r="F1995" s="106" t="s">
        <v>133</v>
      </c>
      <c r="G1995" s="152"/>
      <c r="H1995" s="106" t="s">
        <v>133</v>
      </c>
      <c r="J1995" s="139" t="s">
        <v>133</v>
      </c>
      <c r="K1995" s="136" t="s">
        <v>133</v>
      </c>
      <c r="L1995" s="153"/>
      <c r="M1995" s="136" t="str">
        <f t="shared" si="1"/>
        <v/>
      </c>
      <c r="O1995" s="141" t="s">
        <v>133</v>
      </c>
      <c r="P1995" s="136" t="str">
        <f>IFERROR(__xludf.DUMMYFUNCTION("""COMPUTED_VALUE"""),"")</f>
        <v/>
      </c>
      <c r="Q1995" s="136" t="str">
        <f>IFERROR(__xludf.DUMMYFUNCTION("""COMPUTED_VALUE"""),"")</f>
        <v/>
      </c>
      <c r="R1995" s="106" t="str">
        <f>IFERROR(__xludf.DUMMYFUNCTION("""COMPUTED_VALUE"""),"")</f>
        <v/>
      </c>
      <c r="S1995" s="106" t="str">
        <f>IFERROR(__xludf.DUMMYFUNCTION("""COMPUTED_VALUE"""),"")</f>
        <v/>
      </c>
      <c r="T1995" s="139" t="str">
        <f>IFERROR(__xludf.DUMMYFUNCTION("""COMPUTED_VALUE"""),"")</f>
        <v/>
      </c>
      <c r="U1995" s="139" t="str">
        <f>IFERROR(__xludf.DUMMYFUNCTION("""COMPUTED_VALUE"""),"")</f>
        <v/>
      </c>
      <c r="V1995" s="136" t="str">
        <f>IFERROR(__xludf.DUMMYFUNCTION("""COMPUTED_VALUE"""),"")</f>
        <v/>
      </c>
      <c r="W1995" s="106" t="str">
        <f>IFERROR(__xludf.DUMMYFUNCTION("""COMPUTED_VALUE"""),"")</f>
        <v/>
      </c>
      <c r="X1995" s="143" t="str">
        <f t="shared" si="2"/>
        <v/>
      </c>
      <c r="Y1995" s="139" t="str">
        <f>IFERROR(__xludf.DUMMYFUNCTION("""COMPUTED_VALUE"""),"")</f>
        <v/>
      </c>
      <c r="Z1995" s="141" t="str">
        <f>IFERROR(__xludf.DUMMYFUNCTION("""COMPUTED_VALUE"""),"")</f>
        <v/>
      </c>
    </row>
    <row r="1996">
      <c r="D1996" s="136" t="str">
        <f t="shared" si="3"/>
        <v/>
      </c>
      <c r="E1996" s="152"/>
      <c r="F1996" s="106" t="s">
        <v>133</v>
      </c>
      <c r="G1996" s="152"/>
      <c r="H1996" s="106" t="s">
        <v>133</v>
      </c>
      <c r="J1996" s="139" t="s">
        <v>133</v>
      </c>
      <c r="K1996" s="136" t="s">
        <v>133</v>
      </c>
      <c r="L1996" s="153"/>
      <c r="M1996" s="136" t="str">
        <f t="shared" si="1"/>
        <v/>
      </c>
      <c r="O1996" s="141" t="s">
        <v>133</v>
      </c>
      <c r="P1996" s="136" t="str">
        <f>IFERROR(__xludf.DUMMYFUNCTION("""COMPUTED_VALUE"""),"")</f>
        <v/>
      </c>
      <c r="Q1996" s="136" t="str">
        <f>IFERROR(__xludf.DUMMYFUNCTION("""COMPUTED_VALUE"""),"")</f>
        <v/>
      </c>
      <c r="R1996" s="106" t="str">
        <f>IFERROR(__xludf.DUMMYFUNCTION("""COMPUTED_VALUE"""),"")</f>
        <v/>
      </c>
      <c r="S1996" s="106" t="str">
        <f>IFERROR(__xludf.DUMMYFUNCTION("""COMPUTED_VALUE"""),"")</f>
        <v/>
      </c>
      <c r="T1996" s="139" t="str">
        <f>IFERROR(__xludf.DUMMYFUNCTION("""COMPUTED_VALUE"""),"")</f>
        <v/>
      </c>
      <c r="U1996" s="139" t="str">
        <f>IFERROR(__xludf.DUMMYFUNCTION("""COMPUTED_VALUE"""),"")</f>
        <v/>
      </c>
      <c r="V1996" s="136" t="str">
        <f>IFERROR(__xludf.DUMMYFUNCTION("""COMPUTED_VALUE"""),"")</f>
        <v/>
      </c>
      <c r="W1996" s="106" t="str">
        <f>IFERROR(__xludf.DUMMYFUNCTION("""COMPUTED_VALUE"""),"")</f>
        <v/>
      </c>
      <c r="X1996" s="143" t="str">
        <f t="shared" si="2"/>
        <v/>
      </c>
      <c r="Y1996" s="139" t="str">
        <f>IFERROR(__xludf.DUMMYFUNCTION("""COMPUTED_VALUE"""),"")</f>
        <v/>
      </c>
      <c r="Z1996" s="141" t="str">
        <f>IFERROR(__xludf.DUMMYFUNCTION("""COMPUTED_VALUE"""),"")</f>
        <v/>
      </c>
    </row>
    <row r="1997">
      <c r="D1997" s="136" t="str">
        <f t="shared" si="3"/>
        <v/>
      </c>
      <c r="E1997" s="152"/>
      <c r="F1997" s="106" t="s">
        <v>133</v>
      </c>
      <c r="G1997" s="152"/>
      <c r="H1997" s="106" t="s">
        <v>133</v>
      </c>
      <c r="J1997" s="139" t="s">
        <v>133</v>
      </c>
      <c r="K1997" s="136" t="s">
        <v>133</v>
      </c>
      <c r="L1997" s="153"/>
      <c r="M1997" s="136" t="str">
        <f t="shared" si="1"/>
        <v/>
      </c>
      <c r="O1997" s="141" t="s">
        <v>133</v>
      </c>
      <c r="P1997" s="136" t="str">
        <f>IFERROR(__xludf.DUMMYFUNCTION("""COMPUTED_VALUE"""),"")</f>
        <v/>
      </c>
      <c r="Q1997" s="136" t="str">
        <f>IFERROR(__xludf.DUMMYFUNCTION("""COMPUTED_VALUE"""),"")</f>
        <v/>
      </c>
      <c r="R1997" s="106" t="str">
        <f>IFERROR(__xludf.DUMMYFUNCTION("""COMPUTED_VALUE"""),"")</f>
        <v/>
      </c>
      <c r="S1997" s="106" t="str">
        <f>IFERROR(__xludf.DUMMYFUNCTION("""COMPUTED_VALUE"""),"")</f>
        <v/>
      </c>
      <c r="T1997" s="139" t="str">
        <f>IFERROR(__xludf.DUMMYFUNCTION("""COMPUTED_VALUE"""),"")</f>
        <v/>
      </c>
      <c r="U1997" s="139" t="str">
        <f>IFERROR(__xludf.DUMMYFUNCTION("""COMPUTED_VALUE"""),"")</f>
        <v/>
      </c>
      <c r="V1997" s="136" t="str">
        <f>IFERROR(__xludf.DUMMYFUNCTION("""COMPUTED_VALUE"""),"")</f>
        <v/>
      </c>
      <c r="W1997" s="106" t="str">
        <f>IFERROR(__xludf.DUMMYFUNCTION("""COMPUTED_VALUE"""),"")</f>
        <v/>
      </c>
      <c r="X1997" s="143" t="str">
        <f t="shared" si="2"/>
        <v/>
      </c>
      <c r="Y1997" s="139" t="str">
        <f>IFERROR(__xludf.DUMMYFUNCTION("""COMPUTED_VALUE"""),"")</f>
        <v/>
      </c>
      <c r="Z1997" s="141" t="str">
        <f>IFERROR(__xludf.DUMMYFUNCTION("""COMPUTED_VALUE"""),"")</f>
        <v/>
      </c>
    </row>
    <row r="1998">
      <c r="D1998" s="136" t="str">
        <f t="shared" si="3"/>
        <v/>
      </c>
      <c r="E1998" s="152"/>
      <c r="F1998" s="106" t="s">
        <v>133</v>
      </c>
      <c r="G1998" s="152"/>
      <c r="H1998" s="106" t="s">
        <v>133</v>
      </c>
      <c r="J1998" s="139" t="s">
        <v>133</v>
      </c>
      <c r="K1998" s="136" t="s">
        <v>133</v>
      </c>
      <c r="L1998" s="153"/>
      <c r="M1998" s="136" t="str">
        <f t="shared" si="1"/>
        <v/>
      </c>
      <c r="O1998" s="141" t="s">
        <v>133</v>
      </c>
      <c r="P1998" s="136" t="str">
        <f>IFERROR(__xludf.DUMMYFUNCTION("""COMPUTED_VALUE"""),"")</f>
        <v/>
      </c>
      <c r="Q1998" s="136" t="str">
        <f>IFERROR(__xludf.DUMMYFUNCTION("""COMPUTED_VALUE"""),"")</f>
        <v/>
      </c>
      <c r="R1998" s="106" t="str">
        <f>IFERROR(__xludf.DUMMYFUNCTION("""COMPUTED_VALUE"""),"")</f>
        <v/>
      </c>
      <c r="S1998" s="106" t="str">
        <f>IFERROR(__xludf.DUMMYFUNCTION("""COMPUTED_VALUE"""),"")</f>
        <v/>
      </c>
      <c r="T1998" s="139" t="str">
        <f>IFERROR(__xludf.DUMMYFUNCTION("""COMPUTED_VALUE"""),"")</f>
        <v/>
      </c>
      <c r="U1998" s="139" t="str">
        <f>IFERROR(__xludf.DUMMYFUNCTION("""COMPUTED_VALUE"""),"")</f>
        <v/>
      </c>
      <c r="V1998" s="136" t="str">
        <f>IFERROR(__xludf.DUMMYFUNCTION("""COMPUTED_VALUE"""),"")</f>
        <v/>
      </c>
      <c r="W1998" s="106" t="str">
        <f>IFERROR(__xludf.DUMMYFUNCTION("""COMPUTED_VALUE"""),"")</f>
        <v/>
      </c>
      <c r="X1998" s="143" t="str">
        <f t="shared" si="2"/>
        <v/>
      </c>
      <c r="Y1998" s="139" t="str">
        <f>IFERROR(__xludf.DUMMYFUNCTION("""COMPUTED_VALUE"""),"")</f>
        <v/>
      </c>
      <c r="Z1998" s="141" t="str">
        <f>IFERROR(__xludf.DUMMYFUNCTION("""COMPUTED_VALUE"""),"")</f>
        <v/>
      </c>
    </row>
    <row r="1999">
      <c r="D1999" s="136" t="str">
        <f t="shared" si="3"/>
        <v/>
      </c>
      <c r="E1999" s="152"/>
      <c r="F1999" s="106" t="s">
        <v>133</v>
      </c>
      <c r="G1999" s="152"/>
      <c r="H1999" s="106" t="s">
        <v>133</v>
      </c>
      <c r="J1999" s="139" t="s">
        <v>133</v>
      </c>
      <c r="K1999" s="136" t="s">
        <v>133</v>
      </c>
      <c r="L1999" s="153"/>
      <c r="M1999" s="136" t="str">
        <f t="shared" si="1"/>
        <v/>
      </c>
      <c r="O1999" s="141" t="s">
        <v>133</v>
      </c>
      <c r="P1999" s="136" t="str">
        <f>IFERROR(__xludf.DUMMYFUNCTION("""COMPUTED_VALUE"""),"")</f>
        <v/>
      </c>
      <c r="Q1999" s="136" t="str">
        <f>IFERROR(__xludf.DUMMYFUNCTION("""COMPUTED_VALUE"""),"")</f>
        <v/>
      </c>
      <c r="R1999" s="106" t="str">
        <f>IFERROR(__xludf.DUMMYFUNCTION("""COMPUTED_VALUE"""),"")</f>
        <v/>
      </c>
      <c r="S1999" s="106" t="str">
        <f>IFERROR(__xludf.DUMMYFUNCTION("""COMPUTED_VALUE"""),"")</f>
        <v/>
      </c>
      <c r="T1999" s="139" t="str">
        <f>IFERROR(__xludf.DUMMYFUNCTION("""COMPUTED_VALUE"""),"")</f>
        <v/>
      </c>
      <c r="U1999" s="139" t="str">
        <f>IFERROR(__xludf.DUMMYFUNCTION("""COMPUTED_VALUE"""),"")</f>
        <v/>
      </c>
      <c r="V1999" s="136" t="str">
        <f>IFERROR(__xludf.DUMMYFUNCTION("""COMPUTED_VALUE"""),"")</f>
        <v/>
      </c>
      <c r="W1999" s="106" t="str">
        <f>IFERROR(__xludf.DUMMYFUNCTION("""COMPUTED_VALUE"""),"")</f>
        <v/>
      </c>
      <c r="X1999" s="143" t="str">
        <f t="shared" si="2"/>
        <v/>
      </c>
      <c r="Y1999" s="139" t="str">
        <f>IFERROR(__xludf.DUMMYFUNCTION("""COMPUTED_VALUE"""),"")</f>
        <v/>
      </c>
      <c r="Z1999" s="141" t="str">
        <f>IFERROR(__xludf.DUMMYFUNCTION("""COMPUTED_VALUE"""),"")</f>
        <v/>
      </c>
    </row>
    <row r="2000">
      <c r="D2000" s="136" t="str">
        <f t="shared" si="3"/>
        <v/>
      </c>
      <c r="E2000" s="152"/>
      <c r="F2000" s="106" t="s">
        <v>133</v>
      </c>
      <c r="G2000" s="152"/>
      <c r="H2000" s="106" t="s">
        <v>133</v>
      </c>
      <c r="J2000" s="139" t="s">
        <v>133</v>
      </c>
      <c r="K2000" s="136" t="s">
        <v>133</v>
      </c>
      <c r="L2000" s="153"/>
      <c r="M2000" s="136" t="str">
        <f t="shared" si="1"/>
        <v/>
      </c>
      <c r="O2000" s="141" t="s">
        <v>133</v>
      </c>
      <c r="P2000" s="136" t="str">
        <f>IFERROR(__xludf.DUMMYFUNCTION("""COMPUTED_VALUE"""),"")</f>
        <v/>
      </c>
      <c r="Q2000" s="136" t="str">
        <f>IFERROR(__xludf.DUMMYFUNCTION("""COMPUTED_VALUE"""),"")</f>
        <v/>
      </c>
      <c r="R2000" s="106" t="str">
        <f>IFERROR(__xludf.DUMMYFUNCTION("""COMPUTED_VALUE"""),"")</f>
        <v/>
      </c>
      <c r="S2000" s="106" t="str">
        <f>IFERROR(__xludf.DUMMYFUNCTION("""COMPUTED_VALUE"""),"")</f>
        <v/>
      </c>
      <c r="T2000" s="139" t="str">
        <f>IFERROR(__xludf.DUMMYFUNCTION("""COMPUTED_VALUE"""),"")</f>
        <v/>
      </c>
      <c r="U2000" s="139" t="str">
        <f>IFERROR(__xludf.DUMMYFUNCTION("""COMPUTED_VALUE"""),"")</f>
        <v/>
      </c>
      <c r="V2000" s="136" t="str">
        <f>IFERROR(__xludf.DUMMYFUNCTION("""COMPUTED_VALUE"""),"")</f>
        <v/>
      </c>
      <c r="W2000" s="106" t="str">
        <f>IFERROR(__xludf.DUMMYFUNCTION("""COMPUTED_VALUE"""),"")</f>
        <v/>
      </c>
      <c r="X2000" s="143" t="str">
        <f t="shared" si="2"/>
        <v/>
      </c>
      <c r="Y2000" s="139" t="str">
        <f>IFERROR(__xludf.DUMMYFUNCTION("""COMPUTED_VALUE"""),"")</f>
        <v/>
      </c>
      <c r="Z2000" s="141" t="str">
        <f>IFERROR(__xludf.DUMMYFUNCTION("""COMPUTED_VALUE"""),"")</f>
        <v/>
      </c>
    </row>
    <row r="2001">
      <c r="D2001" s="136" t="str">
        <f t="shared" si="3"/>
        <v/>
      </c>
      <c r="E2001" s="152"/>
      <c r="F2001" s="106" t="s">
        <v>133</v>
      </c>
      <c r="G2001" s="152"/>
      <c r="H2001" s="106" t="s">
        <v>133</v>
      </c>
      <c r="J2001" s="139" t="s">
        <v>133</v>
      </c>
      <c r="K2001" s="136" t="s">
        <v>133</v>
      </c>
      <c r="L2001" s="153"/>
      <c r="M2001" s="136" t="str">
        <f t="shared" si="1"/>
        <v/>
      </c>
      <c r="O2001" s="141" t="s">
        <v>133</v>
      </c>
      <c r="P2001" s="136" t="str">
        <f>IFERROR(__xludf.DUMMYFUNCTION("""COMPUTED_VALUE"""),"")</f>
        <v/>
      </c>
      <c r="Q2001" s="136" t="str">
        <f>IFERROR(__xludf.DUMMYFUNCTION("""COMPUTED_VALUE"""),"")</f>
        <v/>
      </c>
      <c r="R2001" s="106" t="str">
        <f>IFERROR(__xludf.DUMMYFUNCTION("""COMPUTED_VALUE"""),"")</f>
        <v/>
      </c>
      <c r="S2001" s="106" t="str">
        <f>IFERROR(__xludf.DUMMYFUNCTION("""COMPUTED_VALUE"""),"")</f>
        <v/>
      </c>
      <c r="T2001" s="139" t="str">
        <f>IFERROR(__xludf.DUMMYFUNCTION("""COMPUTED_VALUE"""),"")</f>
        <v/>
      </c>
      <c r="U2001" s="139" t="str">
        <f>IFERROR(__xludf.DUMMYFUNCTION("""COMPUTED_VALUE"""),"")</f>
        <v/>
      </c>
      <c r="V2001" s="136" t="str">
        <f>IFERROR(__xludf.DUMMYFUNCTION("""COMPUTED_VALUE"""),"")</f>
        <v/>
      </c>
      <c r="W2001" s="106" t="str">
        <f>IFERROR(__xludf.DUMMYFUNCTION("""COMPUTED_VALUE"""),"")</f>
        <v/>
      </c>
      <c r="X2001" s="143" t="str">
        <f t="shared" si="2"/>
        <v/>
      </c>
      <c r="Y2001" s="139" t="str">
        <f>IFERROR(__xludf.DUMMYFUNCTION("""COMPUTED_VALUE"""),"")</f>
        <v/>
      </c>
      <c r="Z2001" s="141" t="str">
        <f>IFERROR(__xludf.DUMMYFUNCTION("""COMPUTED_VALUE"""),"")</f>
        <v/>
      </c>
    </row>
    <row r="2002">
      <c r="D2002" s="136" t="str">
        <f t="shared" si="3"/>
        <v/>
      </c>
      <c r="E2002" s="152"/>
      <c r="F2002" s="106" t="s">
        <v>133</v>
      </c>
      <c r="G2002" s="152"/>
      <c r="H2002" s="106" t="s">
        <v>133</v>
      </c>
      <c r="J2002" s="139" t="s">
        <v>133</v>
      </c>
      <c r="K2002" s="136" t="s">
        <v>133</v>
      </c>
      <c r="L2002" s="153"/>
      <c r="M2002" s="136" t="str">
        <f t="shared" si="1"/>
        <v/>
      </c>
      <c r="O2002" s="141" t="s">
        <v>133</v>
      </c>
      <c r="P2002" s="136" t="str">
        <f>IFERROR(__xludf.DUMMYFUNCTION("""COMPUTED_VALUE"""),"")</f>
        <v/>
      </c>
      <c r="Q2002" s="136" t="str">
        <f>IFERROR(__xludf.DUMMYFUNCTION("""COMPUTED_VALUE"""),"")</f>
        <v/>
      </c>
      <c r="R2002" s="106" t="str">
        <f>IFERROR(__xludf.DUMMYFUNCTION("""COMPUTED_VALUE"""),"")</f>
        <v/>
      </c>
      <c r="S2002" s="106" t="str">
        <f>IFERROR(__xludf.DUMMYFUNCTION("""COMPUTED_VALUE"""),"")</f>
        <v/>
      </c>
      <c r="T2002" s="139" t="str">
        <f>IFERROR(__xludf.DUMMYFUNCTION("""COMPUTED_VALUE"""),"")</f>
        <v/>
      </c>
      <c r="U2002" s="139" t="str">
        <f>IFERROR(__xludf.DUMMYFUNCTION("""COMPUTED_VALUE"""),"")</f>
        <v/>
      </c>
      <c r="V2002" s="136" t="str">
        <f>IFERROR(__xludf.DUMMYFUNCTION("""COMPUTED_VALUE"""),"")</f>
        <v/>
      </c>
      <c r="W2002" s="106" t="str">
        <f>IFERROR(__xludf.DUMMYFUNCTION("""COMPUTED_VALUE"""),"")</f>
        <v/>
      </c>
      <c r="X2002" s="143" t="str">
        <f t="shared" si="2"/>
        <v/>
      </c>
      <c r="Y2002" s="139" t="str">
        <f>IFERROR(__xludf.DUMMYFUNCTION("""COMPUTED_VALUE"""),"")</f>
        <v/>
      </c>
      <c r="Z2002" s="141" t="str">
        <f>IFERROR(__xludf.DUMMYFUNCTION("""COMPUTED_VALUE"""),"")</f>
        <v/>
      </c>
    </row>
    <row r="2003">
      <c r="D2003" s="136" t="str">
        <f t="shared" si="3"/>
        <v/>
      </c>
      <c r="E2003" s="152"/>
      <c r="F2003" s="106" t="s">
        <v>133</v>
      </c>
      <c r="G2003" s="152"/>
      <c r="H2003" s="106" t="s">
        <v>133</v>
      </c>
      <c r="J2003" s="139" t="s">
        <v>133</v>
      </c>
      <c r="K2003" s="136" t="s">
        <v>133</v>
      </c>
      <c r="L2003" s="153"/>
      <c r="M2003" s="136" t="str">
        <f t="shared" si="1"/>
        <v/>
      </c>
      <c r="O2003" s="141" t="s">
        <v>133</v>
      </c>
      <c r="P2003" s="136" t="str">
        <f>IFERROR(__xludf.DUMMYFUNCTION("""COMPUTED_VALUE"""),"")</f>
        <v/>
      </c>
      <c r="Q2003" s="136" t="str">
        <f>IFERROR(__xludf.DUMMYFUNCTION("""COMPUTED_VALUE"""),"")</f>
        <v/>
      </c>
      <c r="R2003" s="106" t="str">
        <f>IFERROR(__xludf.DUMMYFUNCTION("""COMPUTED_VALUE"""),"")</f>
        <v/>
      </c>
      <c r="S2003" s="106" t="str">
        <f>IFERROR(__xludf.DUMMYFUNCTION("""COMPUTED_VALUE"""),"")</f>
        <v/>
      </c>
      <c r="T2003" s="139" t="str">
        <f>IFERROR(__xludf.DUMMYFUNCTION("""COMPUTED_VALUE"""),"")</f>
        <v/>
      </c>
      <c r="U2003" s="139" t="str">
        <f>IFERROR(__xludf.DUMMYFUNCTION("""COMPUTED_VALUE"""),"")</f>
        <v/>
      </c>
      <c r="V2003" s="136" t="str">
        <f>IFERROR(__xludf.DUMMYFUNCTION("""COMPUTED_VALUE"""),"")</f>
        <v/>
      </c>
      <c r="W2003" s="106" t="str">
        <f>IFERROR(__xludf.DUMMYFUNCTION("""COMPUTED_VALUE"""),"")</f>
        <v/>
      </c>
      <c r="X2003" s="143" t="str">
        <f t="shared" si="2"/>
        <v/>
      </c>
      <c r="Y2003" s="139" t="str">
        <f>IFERROR(__xludf.DUMMYFUNCTION("""COMPUTED_VALUE"""),"")</f>
        <v/>
      </c>
      <c r="Z2003" s="141" t="str">
        <f>IFERROR(__xludf.DUMMYFUNCTION("""COMPUTED_VALUE"""),"")</f>
        <v/>
      </c>
    </row>
    <row r="2004">
      <c r="D2004" s="136" t="str">
        <f t="shared" si="3"/>
        <v/>
      </c>
      <c r="E2004" s="152"/>
      <c r="F2004" s="106" t="s">
        <v>133</v>
      </c>
      <c r="G2004" s="152"/>
      <c r="H2004" s="106" t="s">
        <v>133</v>
      </c>
      <c r="J2004" s="139" t="s">
        <v>133</v>
      </c>
      <c r="K2004" s="136" t="s">
        <v>133</v>
      </c>
      <c r="L2004" s="153"/>
      <c r="M2004" s="136" t="str">
        <f t="shared" si="1"/>
        <v/>
      </c>
      <c r="O2004" s="141" t="s">
        <v>133</v>
      </c>
      <c r="P2004" s="136" t="str">
        <f>IFERROR(__xludf.DUMMYFUNCTION("""COMPUTED_VALUE"""),"")</f>
        <v/>
      </c>
      <c r="Q2004" s="136" t="str">
        <f>IFERROR(__xludf.DUMMYFUNCTION("""COMPUTED_VALUE"""),"")</f>
        <v/>
      </c>
      <c r="R2004" s="106" t="str">
        <f>IFERROR(__xludf.DUMMYFUNCTION("""COMPUTED_VALUE"""),"")</f>
        <v/>
      </c>
      <c r="S2004" s="106" t="str">
        <f>IFERROR(__xludf.DUMMYFUNCTION("""COMPUTED_VALUE"""),"")</f>
        <v/>
      </c>
      <c r="T2004" s="139" t="str">
        <f>IFERROR(__xludf.DUMMYFUNCTION("""COMPUTED_VALUE"""),"")</f>
        <v/>
      </c>
      <c r="U2004" s="139" t="str">
        <f>IFERROR(__xludf.DUMMYFUNCTION("""COMPUTED_VALUE"""),"")</f>
        <v/>
      </c>
      <c r="V2004" s="136" t="str">
        <f>IFERROR(__xludf.DUMMYFUNCTION("""COMPUTED_VALUE"""),"")</f>
        <v/>
      </c>
      <c r="W2004" s="106" t="str">
        <f>IFERROR(__xludf.DUMMYFUNCTION("""COMPUTED_VALUE"""),"")</f>
        <v/>
      </c>
      <c r="X2004" s="143" t="str">
        <f t="shared" si="2"/>
        <v/>
      </c>
      <c r="Y2004" s="139" t="str">
        <f>IFERROR(__xludf.DUMMYFUNCTION("""COMPUTED_VALUE"""),"")</f>
        <v/>
      </c>
      <c r="Z2004" s="141" t="str">
        <f>IFERROR(__xludf.DUMMYFUNCTION("""COMPUTED_VALUE"""),"")</f>
        <v/>
      </c>
    </row>
    <row r="2005">
      <c r="D2005" s="136" t="str">
        <f t="shared" si="3"/>
        <v/>
      </c>
      <c r="E2005" s="152"/>
      <c r="F2005" s="106" t="s">
        <v>133</v>
      </c>
      <c r="G2005" s="152"/>
      <c r="H2005" s="106" t="s">
        <v>133</v>
      </c>
      <c r="J2005" s="139" t="s">
        <v>133</v>
      </c>
      <c r="K2005" s="136" t="s">
        <v>133</v>
      </c>
      <c r="L2005" s="153"/>
      <c r="M2005" s="136" t="str">
        <f t="shared" si="1"/>
        <v/>
      </c>
      <c r="O2005" s="141" t="s">
        <v>133</v>
      </c>
      <c r="P2005" s="136" t="str">
        <f>IFERROR(__xludf.DUMMYFUNCTION("""COMPUTED_VALUE"""),"")</f>
        <v/>
      </c>
      <c r="Q2005" s="136" t="str">
        <f>IFERROR(__xludf.DUMMYFUNCTION("""COMPUTED_VALUE"""),"")</f>
        <v/>
      </c>
      <c r="R2005" s="106" t="str">
        <f>IFERROR(__xludf.DUMMYFUNCTION("""COMPUTED_VALUE"""),"")</f>
        <v/>
      </c>
      <c r="S2005" s="106" t="str">
        <f>IFERROR(__xludf.DUMMYFUNCTION("""COMPUTED_VALUE"""),"")</f>
        <v/>
      </c>
      <c r="T2005" s="139" t="str">
        <f>IFERROR(__xludf.DUMMYFUNCTION("""COMPUTED_VALUE"""),"")</f>
        <v/>
      </c>
      <c r="U2005" s="139" t="str">
        <f>IFERROR(__xludf.DUMMYFUNCTION("""COMPUTED_VALUE"""),"")</f>
        <v/>
      </c>
      <c r="V2005" s="136" t="str">
        <f>IFERROR(__xludf.DUMMYFUNCTION("""COMPUTED_VALUE"""),"")</f>
        <v/>
      </c>
      <c r="W2005" s="106" t="str">
        <f>IFERROR(__xludf.DUMMYFUNCTION("""COMPUTED_VALUE"""),"")</f>
        <v/>
      </c>
      <c r="X2005" s="143" t="str">
        <f t="shared" si="2"/>
        <v/>
      </c>
      <c r="Y2005" s="139" t="str">
        <f>IFERROR(__xludf.DUMMYFUNCTION("""COMPUTED_VALUE"""),"")</f>
        <v/>
      </c>
      <c r="Z2005" s="141" t="str">
        <f>IFERROR(__xludf.DUMMYFUNCTION("""COMPUTED_VALUE"""),"")</f>
        <v/>
      </c>
    </row>
    <row r="2006">
      <c r="D2006" s="136" t="str">
        <f t="shared" si="3"/>
        <v/>
      </c>
      <c r="E2006" s="152"/>
      <c r="F2006" s="106" t="s">
        <v>133</v>
      </c>
      <c r="G2006" s="152"/>
      <c r="H2006" s="106" t="s">
        <v>133</v>
      </c>
      <c r="J2006" s="139" t="s">
        <v>133</v>
      </c>
      <c r="K2006" s="136" t="s">
        <v>133</v>
      </c>
      <c r="L2006" s="153"/>
      <c r="M2006" s="136" t="str">
        <f t="shared" si="1"/>
        <v/>
      </c>
      <c r="O2006" s="141" t="s">
        <v>133</v>
      </c>
      <c r="P2006" s="136" t="str">
        <f>IFERROR(__xludf.DUMMYFUNCTION("""COMPUTED_VALUE"""),"")</f>
        <v/>
      </c>
      <c r="Q2006" s="136" t="str">
        <f>IFERROR(__xludf.DUMMYFUNCTION("""COMPUTED_VALUE"""),"")</f>
        <v/>
      </c>
      <c r="R2006" s="106" t="str">
        <f>IFERROR(__xludf.DUMMYFUNCTION("""COMPUTED_VALUE"""),"")</f>
        <v/>
      </c>
      <c r="S2006" s="106" t="str">
        <f>IFERROR(__xludf.DUMMYFUNCTION("""COMPUTED_VALUE"""),"")</f>
        <v/>
      </c>
      <c r="T2006" s="139" t="str">
        <f>IFERROR(__xludf.DUMMYFUNCTION("""COMPUTED_VALUE"""),"")</f>
        <v/>
      </c>
      <c r="U2006" s="139" t="str">
        <f>IFERROR(__xludf.DUMMYFUNCTION("""COMPUTED_VALUE"""),"")</f>
        <v/>
      </c>
      <c r="V2006" s="136" t="str">
        <f>IFERROR(__xludf.DUMMYFUNCTION("""COMPUTED_VALUE"""),"")</f>
        <v/>
      </c>
      <c r="W2006" s="106" t="str">
        <f>IFERROR(__xludf.DUMMYFUNCTION("""COMPUTED_VALUE"""),"")</f>
        <v/>
      </c>
      <c r="X2006" s="143" t="str">
        <f t="shared" si="2"/>
        <v/>
      </c>
      <c r="Y2006" s="139" t="str">
        <f>IFERROR(__xludf.DUMMYFUNCTION("""COMPUTED_VALUE"""),"")</f>
        <v/>
      </c>
      <c r="Z2006" s="141" t="str">
        <f>IFERROR(__xludf.DUMMYFUNCTION("""COMPUTED_VALUE"""),"")</f>
        <v/>
      </c>
    </row>
    <row r="2007">
      <c r="D2007" s="136" t="str">
        <f t="shared" si="3"/>
        <v/>
      </c>
      <c r="E2007" s="152"/>
      <c r="F2007" s="106" t="s">
        <v>133</v>
      </c>
      <c r="G2007" s="152"/>
      <c r="H2007" s="106" t="s">
        <v>133</v>
      </c>
      <c r="J2007" s="139" t="s">
        <v>133</v>
      </c>
      <c r="K2007" s="136" t="s">
        <v>133</v>
      </c>
      <c r="L2007" s="153"/>
      <c r="M2007" s="136" t="str">
        <f t="shared" si="1"/>
        <v/>
      </c>
      <c r="O2007" s="141" t="s">
        <v>133</v>
      </c>
      <c r="P2007" s="136" t="str">
        <f>IFERROR(__xludf.DUMMYFUNCTION("""COMPUTED_VALUE"""),"")</f>
        <v/>
      </c>
      <c r="Q2007" s="136" t="str">
        <f>IFERROR(__xludf.DUMMYFUNCTION("""COMPUTED_VALUE"""),"")</f>
        <v/>
      </c>
      <c r="R2007" s="106" t="str">
        <f>IFERROR(__xludf.DUMMYFUNCTION("""COMPUTED_VALUE"""),"")</f>
        <v/>
      </c>
      <c r="S2007" s="106" t="str">
        <f>IFERROR(__xludf.DUMMYFUNCTION("""COMPUTED_VALUE"""),"")</f>
        <v/>
      </c>
      <c r="T2007" s="139" t="str">
        <f>IFERROR(__xludf.DUMMYFUNCTION("""COMPUTED_VALUE"""),"")</f>
        <v/>
      </c>
      <c r="U2007" s="139" t="str">
        <f>IFERROR(__xludf.DUMMYFUNCTION("""COMPUTED_VALUE"""),"")</f>
        <v/>
      </c>
      <c r="V2007" s="136" t="str">
        <f>IFERROR(__xludf.DUMMYFUNCTION("""COMPUTED_VALUE"""),"")</f>
        <v/>
      </c>
      <c r="W2007" s="106" t="str">
        <f>IFERROR(__xludf.DUMMYFUNCTION("""COMPUTED_VALUE"""),"")</f>
        <v/>
      </c>
      <c r="X2007" s="143" t="str">
        <f t="shared" si="2"/>
        <v/>
      </c>
      <c r="Y2007" s="139" t="str">
        <f>IFERROR(__xludf.DUMMYFUNCTION("""COMPUTED_VALUE"""),"")</f>
        <v/>
      </c>
      <c r="Z2007" s="141" t="str">
        <f>IFERROR(__xludf.DUMMYFUNCTION("""COMPUTED_VALUE"""),"")</f>
        <v/>
      </c>
    </row>
    <row r="2008">
      <c r="D2008" s="136" t="str">
        <f t="shared" si="3"/>
        <v/>
      </c>
      <c r="E2008" s="152"/>
      <c r="F2008" s="106" t="s">
        <v>133</v>
      </c>
      <c r="G2008" s="152"/>
      <c r="H2008" s="106" t="s">
        <v>133</v>
      </c>
      <c r="J2008" s="139" t="s">
        <v>133</v>
      </c>
      <c r="K2008" s="136" t="s">
        <v>133</v>
      </c>
      <c r="L2008" s="153"/>
      <c r="M2008" s="136" t="str">
        <f t="shared" si="1"/>
        <v/>
      </c>
      <c r="O2008" s="141" t="s">
        <v>133</v>
      </c>
      <c r="P2008" s="136" t="str">
        <f>IFERROR(__xludf.DUMMYFUNCTION("""COMPUTED_VALUE"""),"")</f>
        <v/>
      </c>
      <c r="Q2008" s="136" t="str">
        <f>IFERROR(__xludf.DUMMYFUNCTION("""COMPUTED_VALUE"""),"")</f>
        <v/>
      </c>
      <c r="R2008" s="106" t="str">
        <f>IFERROR(__xludf.DUMMYFUNCTION("""COMPUTED_VALUE"""),"")</f>
        <v/>
      </c>
      <c r="S2008" s="106" t="str">
        <f>IFERROR(__xludf.DUMMYFUNCTION("""COMPUTED_VALUE"""),"")</f>
        <v/>
      </c>
      <c r="T2008" s="139" t="str">
        <f>IFERROR(__xludf.DUMMYFUNCTION("""COMPUTED_VALUE"""),"")</f>
        <v/>
      </c>
      <c r="U2008" s="139" t="str">
        <f>IFERROR(__xludf.DUMMYFUNCTION("""COMPUTED_VALUE"""),"")</f>
        <v/>
      </c>
      <c r="V2008" s="136" t="str">
        <f>IFERROR(__xludf.DUMMYFUNCTION("""COMPUTED_VALUE"""),"")</f>
        <v/>
      </c>
      <c r="W2008" s="106" t="str">
        <f>IFERROR(__xludf.DUMMYFUNCTION("""COMPUTED_VALUE"""),"")</f>
        <v/>
      </c>
      <c r="X2008" s="143" t="str">
        <f t="shared" si="2"/>
        <v/>
      </c>
      <c r="Y2008" s="139" t="str">
        <f>IFERROR(__xludf.DUMMYFUNCTION("""COMPUTED_VALUE"""),"")</f>
        <v/>
      </c>
      <c r="Z2008" s="141" t="str">
        <f>IFERROR(__xludf.DUMMYFUNCTION("""COMPUTED_VALUE"""),"")</f>
        <v/>
      </c>
    </row>
    <row r="2009">
      <c r="D2009" s="136" t="str">
        <f t="shared" si="3"/>
        <v/>
      </c>
      <c r="E2009" s="152"/>
      <c r="F2009" s="106" t="s">
        <v>133</v>
      </c>
      <c r="G2009" s="152"/>
      <c r="H2009" s="106" t="s">
        <v>133</v>
      </c>
      <c r="J2009" s="139" t="s">
        <v>133</v>
      </c>
      <c r="K2009" s="136" t="s">
        <v>133</v>
      </c>
      <c r="L2009" s="153"/>
      <c r="M2009" s="136" t="str">
        <f t="shared" si="1"/>
        <v/>
      </c>
      <c r="O2009" s="141" t="s">
        <v>133</v>
      </c>
      <c r="P2009" s="136" t="str">
        <f>IFERROR(__xludf.DUMMYFUNCTION("""COMPUTED_VALUE"""),"")</f>
        <v/>
      </c>
      <c r="Q2009" s="136" t="str">
        <f>IFERROR(__xludf.DUMMYFUNCTION("""COMPUTED_VALUE"""),"")</f>
        <v/>
      </c>
      <c r="R2009" s="106" t="str">
        <f>IFERROR(__xludf.DUMMYFUNCTION("""COMPUTED_VALUE"""),"")</f>
        <v/>
      </c>
      <c r="S2009" s="106" t="str">
        <f>IFERROR(__xludf.DUMMYFUNCTION("""COMPUTED_VALUE"""),"")</f>
        <v/>
      </c>
      <c r="T2009" s="139" t="str">
        <f>IFERROR(__xludf.DUMMYFUNCTION("""COMPUTED_VALUE"""),"")</f>
        <v/>
      </c>
      <c r="U2009" s="139" t="str">
        <f>IFERROR(__xludf.DUMMYFUNCTION("""COMPUTED_VALUE"""),"")</f>
        <v/>
      </c>
      <c r="V2009" s="136" t="str">
        <f>IFERROR(__xludf.DUMMYFUNCTION("""COMPUTED_VALUE"""),"")</f>
        <v/>
      </c>
      <c r="W2009" s="106" t="str">
        <f>IFERROR(__xludf.DUMMYFUNCTION("""COMPUTED_VALUE"""),"")</f>
        <v/>
      </c>
      <c r="X2009" s="143" t="str">
        <f t="shared" si="2"/>
        <v/>
      </c>
      <c r="Y2009" s="139" t="str">
        <f>IFERROR(__xludf.DUMMYFUNCTION("""COMPUTED_VALUE"""),"")</f>
        <v/>
      </c>
      <c r="Z2009" s="141" t="str">
        <f>IFERROR(__xludf.DUMMYFUNCTION("""COMPUTED_VALUE"""),"")</f>
        <v/>
      </c>
    </row>
    <row r="2010">
      <c r="D2010" s="136" t="str">
        <f t="shared" si="3"/>
        <v/>
      </c>
      <c r="E2010" s="152"/>
      <c r="F2010" s="106" t="s">
        <v>133</v>
      </c>
      <c r="G2010" s="152"/>
      <c r="H2010" s="106" t="s">
        <v>133</v>
      </c>
      <c r="J2010" s="139" t="s">
        <v>133</v>
      </c>
      <c r="K2010" s="136" t="s">
        <v>133</v>
      </c>
      <c r="L2010" s="153"/>
      <c r="M2010" s="136" t="str">
        <f t="shared" si="1"/>
        <v/>
      </c>
      <c r="O2010" s="141" t="s">
        <v>133</v>
      </c>
      <c r="P2010" s="136" t="str">
        <f>IFERROR(__xludf.DUMMYFUNCTION("""COMPUTED_VALUE"""),"")</f>
        <v/>
      </c>
      <c r="Q2010" s="136" t="str">
        <f>IFERROR(__xludf.DUMMYFUNCTION("""COMPUTED_VALUE"""),"")</f>
        <v/>
      </c>
      <c r="R2010" s="106" t="str">
        <f>IFERROR(__xludf.DUMMYFUNCTION("""COMPUTED_VALUE"""),"")</f>
        <v/>
      </c>
      <c r="S2010" s="106" t="str">
        <f>IFERROR(__xludf.DUMMYFUNCTION("""COMPUTED_VALUE"""),"")</f>
        <v/>
      </c>
      <c r="T2010" s="139" t="str">
        <f>IFERROR(__xludf.DUMMYFUNCTION("""COMPUTED_VALUE"""),"")</f>
        <v/>
      </c>
      <c r="U2010" s="139" t="str">
        <f>IFERROR(__xludf.DUMMYFUNCTION("""COMPUTED_VALUE"""),"")</f>
        <v/>
      </c>
      <c r="V2010" s="136" t="str">
        <f>IFERROR(__xludf.DUMMYFUNCTION("""COMPUTED_VALUE"""),"")</f>
        <v/>
      </c>
      <c r="W2010" s="106" t="str">
        <f>IFERROR(__xludf.DUMMYFUNCTION("""COMPUTED_VALUE"""),"")</f>
        <v/>
      </c>
      <c r="X2010" s="143" t="str">
        <f t="shared" si="2"/>
        <v/>
      </c>
      <c r="Y2010" s="139" t="str">
        <f>IFERROR(__xludf.DUMMYFUNCTION("""COMPUTED_VALUE"""),"")</f>
        <v/>
      </c>
      <c r="Z2010" s="141" t="str">
        <f>IFERROR(__xludf.DUMMYFUNCTION("""COMPUTED_VALUE"""),"")</f>
        <v/>
      </c>
    </row>
    <row r="2011">
      <c r="D2011" s="136" t="str">
        <f t="shared" si="3"/>
        <v/>
      </c>
      <c r="E2011" s="152"/>
      <c r="F2011" s="106" t="s">
        <v>133</v>
      </c>
      <c r="G2011" s="152"/>
      <c r="H2011" s="106" t="s">
        <v>133</v>
      </c>
      <c r="J2011" s="139" t="s">
        <v>133</v>
      </c>
      <c r="K2011" s="136" t="s">
        <v>133</v>
      </c>
      <c r="L2011" s="153"/>
      <c r="M2011" s="136" t="str">
        <f t="shared" si="1"/>
        <v/>
      </c>
      <c r="O2011" s="141" t="s">
        <v>133</v>
      </c>
      <c r="P2011" s="136" t="str">
        <f>IFERROR(__xludf.DUMMYFUNCTION("""COMPUTED_VALUE"""),"")</f>
        <v/>
      </c>
      <c r="Q2011" s="136" t="str">
        <f>IFERROR(__xludf.DUMMYFUNCTION("""COMPUTED_VALUE"""),"")</f>
        <v/>
      </c>
      <c r="R2011" s="106" t="str">
        <f>IFERROR(__xludf.DUMMYFUNCTION("""COMPUTED_VALUE"""),"")</f>
        <v/>
      </c>
      <c r="S2011" s="106" t="str">
        <f>IFERROR(__xludf.DUMMYFUNCTION("""COMPUTED_VALUE"""),"")</f>
        <v/>
      </c>
      <c r="T2011" s="139" t="str">
        <f>IFERROR(__xludf.DUMMYFUNCTION("""COMPUTED_VALUE"""),"")</f>
        <v/>
      </c>
      <c r="U2011" s="139" t="str">
        <f>IFERROR(__xludf.DUMMYFUNCTION("""COMPUTED_VALUE"""),"")</f>
        <v/>
      </c>
      <c r="V2011" s="136" t="str">
        <f>IFERROR(__xludf.DUMMYFUNCTION("""COMPUTED_VALUE"""),"")</f>
        <v/>
      </c>
      <c r="W2011" s="106" t="str">
        <f>IFERROR(__xludf.DUMMYFUNCTION("""COMPUTED_VALUE"""),"")</f>
        <v/>
      </c>
      <c r="X2011" s="143" t="str">
        <f t="shared" si="2"/>
        <v/>
      </c>
      <c r="Y2011" s="139" t="str">
        <f>IFERROR(__xludf.DUMMYFUNCTION("""COMPUTED_VALUE"""),"")</f>
        <v/>
      </c>
      <c r="Z2011" s="141" t="str">
        <f>IFERROR(__xludf.DUMMYFUNCTION("""COMPUTED_VALUE"""),"")</f>
        <v/>
      </c>
    </row>
    <row r="2012">
      <c r="D2012" s="136" t="str">
        <f t="shared" si="3"/>
        <v/>
      </c>
      <c r="E2012" s="152"/>
      <c r="F2012" s="106" t="s">
        <v>133</v>
      </c>
      <c r="G2012" s="152"/>
      <c r="H2012" s="106" t="s">
        <v>133</v>
      </c>
      <c r="J2012" s="139" t="s">
        <v>133</v>
      </c>
      <c r="K2012" s="136" t="s">
        <v>133</v>
      </c>
      <c r="L2012" s="153"/>
      <c r="M2012" s="136" t="str">
        <f t="shared" si="1"/>
        <v/>
      </c>
      <c r="O2012" s="141" t="s">
        <v>133</v>
      </c>
      <c r="P2012" s="136" t="str">
        <f>IFERROR(__xludf.DUMMYFUNCTION("""COMPUTED_VALUE"""),"")</f>
        <v/>
      </c>
      <c r="Q2012" s="136" t="str">
        <f>IFERROR(__xludf.DUMMYFUNCTION("""COMPUTED_VALUE"""),"")</f>
        <v/>
      </c>
      <c r="R2012" s="106" t="str">
        <f>IFERROR(__xludf.DUMMYFUNCTION("""COMPUTED_VALUE"""),"")</f>
        <v/>
      </c>
      <c r="S2012" s="106" t="str">
        <f>IFERROR(__xludf.DUMMYFUNCTION("""COMPUTED_VALUE"""),"")</f>
        <v/>
      </c>
      <c r="T2012" s="139" t="str">
        <f>IFERROR(__xludf.DUMMYFUNCTION("""COMPUTED_VALUE"""),"")</f>
        <v/>
      </c>
      <c r="U2012" s="139" t="str">
        <f>IFERROR(__xludf.DUMMYFUNCTION("""COMPUTED_VALUE"""),"")</f>
        <v/>
      </c>
      <c r="V2012" s="136" t="str">
        <f>IFERROR(__xludf.DUMMYFUNCTION("""COMPUTED_VALUE"""),"")</f>
        <v/>
      </c>
      <c r="W2012" s="106" t="str">
        <f>IFERROR(__xludf.DUMMYFUNCTION("""COMPUTED_VALUE"""),"")</f>
        <v/>
      </c>
      <c r="X2012" s="143" t="str">
        <f t="shared" si="2"/>
        <v/>
      </c>
      <c r="Y2012" s="139" t="str">
        <f>IFERROR(__xludf.DUMMYFUNCTION("""COMPUTED_VALUE"""),"")</f>
        <v/>
      </c>
      <c r="Z2012" s="141" t="str">
        <f>IFERROR(__xludf.DUMMYFUNCTION("""COMPUTED_VALUE"""),"")</f>
        <v/>
      </c>
    </row>
    <row r="2013">
      <c r="D2013" s="136" t="str">
        <f t="shared" si="3"/>
        <v/>
      </c>
      <c r="E2013" s="152"/>
      <c r="F2013" s="106" t="s">
        <v>133</v>
      </c>
      <c r="G2013" s="152"/>
      <c r="H2013" s="106" t="s">
        <v>133</v>
      </c>
      <c r="J2013" s="139" t="s">
        <v>133</v>
      </c>
      <c r="K2013" s="136" t="s">
        <v>133</v>
      </c>
      <c r="L2013" s="153"/>
      <c r="M2013" s="136" t="str">
        <f t="shared" si="1"/>
        <v/>
      </c>
      <c r="O2013" s="141" t="s">
        <v>133</v>
      </c>
      <c r="P2013" s="136" t="str">
        <f>IFERROR(__xludf.DUMMYFUNCTION("""COMPUTED_VALUE"""),"")</f>
        <v/>
      </c>
      <c r="Q2013" s="136" t="str">
        <f>IFERROR(__xludf.DUMMYFUNCTION("""COMPUTED_VALUE"""),"")</f>
        <v/>
      </c>
      <c r="R2013" s="106" t="str">
        <f>IFERROR(__xludf.DUMMYFUNCTION("""COMPUTED_VALUE"""),"")</f>
        <v/>
      </c>
      <c r="S2013" s="106" t="str">
        <f>IFERROR(__xludf.DUMMYFUNCTION("""COMPUTED_VALUE"""),"")</f>
        <v/>
      </c>
      <c r="T2013" s="139" t="str">
        <f>IFERROR(__xludf.DUMMYFUNCTION("""COMPUTED_VALUE"""),"")</f>
        <v/>
      </c>
      <c r="U2013" s="139" t="str">
        <f>IFERROR(__xludf.DUMMYFUNCTION("""COMPUTED_VALUE"""),"")</f>
        <v/>
      </c>
      <c r="V2013" s="136" t="str">
        <f>IFERROR(__xludf.DUMMYFUNCTION("""COMPUTED_VALUE"""),"")</f>
        <v/>
      </c>
      <c r="W2013" s="106" t="str">
        <f>IFERROR(__xludf.DUMMYFUNCTION("""COMPUTED_VALUE"""),"")</f>
        <v/>
      </c>
      <c r="X2013" s="143" t="str">
        <f t="shared" si="2"/>
        <v/>
      </c>
      <c r="Y2013" s="139" t="str">
        <f>IFERROR(__xludf.DUMMYFUNCTION("""COMPUTED_VALUE"""),"")</f>
        <v/>
      </c>
      <c r="Z2013" s="141" t="str">
        <f>IFERROR(__xludf.DUMMYFUNCTION("""COMPUTED_VALUE"""),"")</f>
        <v/>
      </c>
    </row>
    <row r="2014">
      <c r="D2014" s="136" t="str">
        <f t="shared" si="3"/>
        <v/>
      </c>
      <c r="E2014" s="152"/>
      <c r="F2014" s="106" t="s">
        <v>133</v>
      </c>
      <c r="G2014" s="152"/>
      <c r="H2014" s="106" t="s">
        <v>133</v>
      </c>
      <c r="J2014" s="139" t="s">
        <v>133</v>
      </c>
      <c r="K2014" s="136" t="s">
        <v>133</v>
      </c>
      <c r="L2014" s="153"/>
      <c r="M2014" s="136" t="str">
        <f t="shared" si="1"/>
        <v/>
      </c>
      <c r="O2014" s="141" t="s">
        <v>133</v>
      </c>
      <c r="P2014" s="136" t="str">
        <f>IFERROR(__xludf.DUMMYFUNCTION("""COMPUTED_VALUE"""),"")</f>
        <v/>
      </c>
      <c r="Q2014" s="136" t="str">
        <f>IFERROR(__xludf.DUMMYFUNCTION("""COMPUTED_VALUE"""),"")</f>
        <v/>
      </c>
      <c r="R2014" s="106" t="str">
        <f>IFERROR(__xludf.DUMMYFUNCTION("""COMPUTED_VALUE"""),"")</f>
        <v/>
      </c>
      <c r="S2014" s="106" t="str">
        <f>IFERROR(__xludf.DUMMYFUNCTION("""COMPUTED_VALUE"""),"")</f>
        <v/>
      </c>
      <c r="T2014" s="139" t="str">
        <f>IFERROR(__xludf.DUMMYFUNCTION("""COMPUTED_VALUE"""),"")</f>
        <v/>
      </c>
      <c r="U2014" s="139" t="str">
        <f>IFERROR(__xludf.DUMMYFUNCTION("""COMPUTED_VALUE"""),"")</f>
        <v/>
      </c>
      <c r="V2014" s="136" t="str">
        <f>IFERROR(__xludf.DUMMYFUNCTION("""COMPUTED_VALUE"""),"")</f>
        <v/>
      </c>
      <c r="W2014" s="106" t="str">
        <f>IFERROR(__xludf.DUMMYFUNCTION("""COMPUTED_VALUE"""),"")</f>
        <v/>
      </c>
      <c r="X2014" s="143" t="str">
        <f t="shared" si="2"/>
        <v/>
      </c>
      <c r="Y2014" s="139" t="str">
        <f>IFERROR(__xludf.DUMMYFUNCTION("""COMPUTED_VALUE"""),"")</f>
        <v/>
      </c>
      <c r="Z2014" s="141" t="str">
        <f>IFERROR(__xludf.DUMMYFUNCTION("""COMPUTED_VALUE"""),"")</f>
        <v/>
      </c>
    </row>
    <row r="2015">
      <c r="D2015" s="136" t="str">
        <f t="shared" si="3"/>
        <v/>
      </c>
      <c r="E2015" s="152"/>
      <c r="F2015" s="106" t="s">
        <v>133</v>
      </c>
      <c r="G2015" s="152"/>
      <c r="H2015" s="106" t="s">
        <v>133</v>
      </c>
      <c r="J2015" s="139" t="s">
        <v>133</v>
      </c>
      <c r="K2015" s="136" t="s">
        <v>133</v>
      </c>
      <c r="L2015" s="153"/>
      <c r="M2015" s="136" t="str">
        <f t="shared" si="1"/>
        <v/>
      </c>
      <c r="O2015" s="141" t="s">
        <v>133</v>
      </c>
      <c r="P2015" s="136" t="str">
        <f>IFERROR(__xludf.DUMMYFUNCTION("""COMPUTED_VALUE"""),"")</f>
        <v/>
      </c>
      <c r="Q2015" s="136" t="str">
        <f>IFERROR(__xludf.DUMMYFUNCTION("""COMPUTED_VALUE"""),"")</f>
        <v/>
      </c>
      <c r="R2015" s="106" t="str">
        <f>IFERROR(__xludf.DUMMYFUNCTION("""COMPUTED_VALUE"""),"")</f>
        <v/>
      </c>
      <c r="S2015" s="106" t="str">
        <f>IFERROR(__xludf.DUMMYFUNCTION("""COMPUTED_VALUE"""),"")</f>
        <v/>
      </c>
      <c r="T2015" s="139" t="str">
        <f>IFERROR(__xludf.DUMMYFUNCTION("""COMPUTED_VALUE"""),"")</f>
        <v/>
      </c>
      <c r="U2015" s="139" t="str">
        <f>IFERROR(__xludf.DUMMYFUNCTION("""COMPUTED_VALUE"""),"")</f>
        <v/>
      </c>
      <c r="V2015" s="136" t="str">
        <f>IFERROR(__xludf.DUMMYFUNCTION("""COMPUTED_VALUE"""),"")</f>
        <v/>
      </c>
      <c r="W2015" s="106" t="str">
        <f>IFERROR(__xludf.DUMMYFUNCTION("""COMPUTED_VALUE"""),"")</f>
        <v/>
      </c>
      <c r="X2015" s="143" t="str">
        <f t="shared" si="2"/>
        <v/>
      </c>
      <c r="Y2015" s="139" t="str">
        <f>IFERROR(__xludf.DUMMYFUNCTION("""COMPUTED_VALUE"""),"")</f>
        <v/>
      </c>
      <c r="Z2015" s="141" t="str">
        <f>IFERROR(__xludf.DUMMYFUNCTION("""COMPUTED_VALUE"""),"")</f>
        <v/>
      </c>
    </row>
    <row r="2016">
      <c r="D2016" s="136" t="str">
        <f t="shared" si="3"/>
        <v/>
      </c>
      <c r="E2016" s="152"/>
      <c r="F2016" s="106" t="s">
        <v>133</v>
      </c>
      <c r="G2016" s="152"/>
      <c r="H2016" s="106" t="s">
        <v>133</v>
      </c>
      <c r="J2016" s="139" t="s">
        <v>133</v>
      </c>
      <c r="K2016" s="136" t="s">
        <v>133</v>
      </c>
      <c r="L2016" s="153"/>
      <c r="M2016" s="136" t="str">
        <f t="shared" si="1"/>
        <v/>
      </c>
      <c r="O2016" s="141" t="s">
        <v>133</v>
      </c>
      <c r="P2016" s="136" t="str">
        <f>IFERROR(__xludf.DUMMYFUNCTION("""COMPUTED_VALUE"""),"")</f>
        <v/>
      </c>
      <c r="Q2016" s="136" t="str">
        <f>IFERROR(__xludf.DUMMYFUNCTION("""COMPUTED_VALUE"""),"")</f>
        <v/>
      </c>
      <c r="R2016" s="106" t="str">
        <f>IFERROR(__xludf.DUMMYFUNCTION("""COMPUTED_VALUE"""),"")</f>
        <v/>
      </c>
      <c r="S2016" s="106" t="str">
        <f>IFERROR(__xludf.DUMMYFUNCTION("""COMPUTED_VALUE"""),"")</f>
        <v/>
      </c>
      <c r="T2016" s="139" t="str">
        <f>IFERROR(__xludf.DUMMYFUNCTION("""COMPUTED_VALUE"""),"")</f>
        <v/>
      </c>
      <c r="U2016" s="139" t="str">
        <f>IFERROR(__xludf.DUMMYFUNCTION("""COMPUTED_VALUE"""),"")</f>
        <v/>
      </c>
      <c r="V2016" s="136" t="str">
        <f>IFERROR(__xludf.DUMMYFUNCTION("""COMPUTED_VALUE"""),"")</f>
        <v/>
      </c>
      <c r="W2016" s="106" t="str">
        <f>IFERROR(__xludf.DUMMYFUNCTION("""COMPUTED_VALUE"""),"")</f>
        <v/>
      </c>
      <c r="X2016" s="143" t="str">
        <f t="shared" si="2"/>
        <v/>
      </c>
      <c r="Y2016" s="139" t="str">
        <f>IFERROR(__xludf.DUMMYFUNCTION("""COMPUTED_VALUE"""),"")</f>
        <v/>
      </c>
      <c r="Z2016" s="141" t="str">
        <f>IFERROR(__xludf.DUMMYFUNCTION("""COMPUTED_VALUE"""),"")</f>
        <v/>
      </c>
    </row>
    <row r="2017">
      <c r="D2017" s="136" t="str">
        <f t="shared" si="3"/>
        <v/>
      </c>
      <c r="E2017" s="152"/>
      <c r="F2017" s="106" t="s">
        <v>133</v>
      </c>
      <c r="G2017" s="152"/>
      <c r="H2017" s="106" t="s">
        <v>133</v>
      </c>
      <c r="J2017" s="139" t="s">
        <v>133</v>
      </c>
      <c r="K2017" s="136" t="s">
        <v>133</v>
      </c>
      <c r="L2017" s="153"/>
      <c r="M2017" s="136" t="str">
        <f t="shared" si="1"/>
        <v/>
      </c>
      <c r="O2017" s="141" t="s">
        <v>133</v>
      </c>
      <c r="P2017" s="136" t="str">
        <f>IFERROR(__xludf.DUMMYFUNCTION("""COMPUTED_VALUE"""),"")</f>
        <v/>
      </c>
      <c r="Q2017" s="136" t="str">
        <f>IFERROR(__xludf.DUMMYFUNCTION("""COMPUTED_VALUE"""),"")</f>
        <v/>
      </c>
      <c r="R2017" s="106" t="str">
        <f>IFERROR(__xludf.DUMMYFUNCTION("""COMPUTED_VALUE"""),"")</f>
        <v/>
      </c>
      <c r="S2017" s="106" t="str">
        <f>IFERROR(__xludf.DUMMYFUNCTION("""COMPUTED_VALUE"""),"")</f>
        <v/>
      </c>
      <c r="T2017" s="139" t="str">
        <f>IFERROR(__xludf.DUMMYFUNCTION("""COMPUTED_VALUE"""),"")</f>
        <v/>
      </c>
      <c r="U2017" s="139" t="str">
        <f>IFERROR(__xludf.DUMMYFUNCTION("""COMPUTED_VALUE"""),"")</f>
        <v/>
      </c>
      <c r="V2017" s="136" t="str">
        <f>IFERROR(__xludf.DUMMYFUNCTION("""COMPUTED_VALUE"""),"")</f>
        <v/>
      </c>
      <c r="W2017" s="106" t="str">
        <f>IFERROR(__xludf.DUMMYFUNCTION("""COMPUTED_VALUE"""),"")</f>
        <v/>
      </c>
      <c r="X2017" s="143" t="str">
        <f t="shared" si="2"/>
        <v/>
      </c>
      <c r="Y2017" s="139" t="str">
        <f>IFERROR(__xludf.DUMMYFUNCTION("""COMPUTED_VALUE"""),"")</f>
        <v/>
      </c>
      <c r="Z2017" s="141" t="str">
        <f>IFERROR(__xludf.DUMMYFUNCTION("""COMPUTED_VALUE"""),"")</f>
        <v/>
      </c>
    </row>
    <row r="2018">
      <c r="D2018" s="136" t="str">
        <f t="shared" si="3"/>
        <v/>
      </c>
      <c r="E2018" s="152"/>
      <c r="F2018" s="106" t="s">
        <v>133</v>
      </c>
      <c r="G2018" s="152"/>
      <c r="H2018" s="106" t="s">
        <v>133</v>
      </c>
      <c r="J2018" s="139" t="s">
        <v>133</v>
      </c>
      <c r="K2018" s="136" t="s">
        <v>133</v>
      </c>
      <c r="L2018" s="153"/>
      <c r="M2018" s="136" t="str">
        <f t="shared" si="1"/>
        <v/>
      </c>
      <c r="O2018" s="141" t="s">
        <v>133</v>
      </c>
      <c r="P2018" s="136" t="str">
        <f>IFERROR(__xludf.DUMMYFUNCTION("""COMPUTED_VALUE"""),"")</f>
        <v/>
      </c>
      <c r="Q2018" s="136" t="str">
        <f>IFERROR(__xludf.DUMMYFUNCTION("""COMPUTED_VALUE"""),"")</f>
        <v/>
      </c>
      <c r="R2018" s="106" t="str">
        <f>IFERROR(__xludf.DUMMYFUNCTION("""COMPUTED_VALUE"""),"")</f>
        <v/>
      </c>
      <c r="S2018" s="106" t="str">
        <f>IFERROR(__xludf.DUMMYFUNCTION("""COMPUTED_VALUE"""),"")</f>
        <v/>
      </c>
      <c r="T2018" s="139" t="str">
        <f>IFERROR(__xludf.DUMMYFUNCTION("""COMPUTED_VALUE"""),"")</f>
        <v/>
      </c>
      <c r="U2018" s="139" t="str">
        <f>IFERROR(__xludf.DUMMYFUNCTION("""COMPUTED_VALUE"""),"")</f>
        <v/>
      </c>
      <c r="V2018" s="136" t="str">
        <f>IFERROR(__xludf.DUMMYFUNCTION("""COMPUTED_VALUE"""),"")</f>
        <v/>
      </c>
      <c r="W2018" s="106" t="str">
        <f>IFERROR(__xludf.DUMMYFUNCTION("""COMPUTED_VALUE"""),"")</f>
        <v/>
      </c>
      <c r="X2018" s="143" t="str">
        <f t="shared" si="2"/>
        <v/>
      </c>
      <c r="Y2018" s="139" t="str">
        <f>IFERROR(__xludf.DUMMYFUNCTION("""COMPUTED_VALUE"""),"")</f>
        <v/>
      </c>
      <c r="Z2018" s="141" t="str">
        <f>IFERROR(__xludf.DUMMYFUNCTION("""COMPUTED_VALUE"""),"")</f>
        <v/>
      </c>
    </row>
    <row r="2019">
      <c r="D2019" s="136" t="str">
        <f t="shared" si="3"/>
        <v/>
      </c>
      <c r="E2019" s="152"/>
      <c r="F2019" s="106" t="s">
        <v>133</v>
      </c>
      <c r="G2019" s="152"/>
      <c r="H2019" s="106" t="s">
        <v>133</v>
      </c>
      <c r="J2019" s="139" t="s">
        <v>133</v>
      </c>
      <c r="K2019" s="136" t="s">
        <v>133</v>
      </c>
      <c r="L2019" s="153"/>
      <c r="M2019" s="136" t="str">
        <f t="shared" si="1"/>
        <v/>
      </c>
      <c r="O2019" s="141" t="s">
        <v>133</v>
      </c>
      <c r="P2019" s="136" t="str">
        <f>IFERROR(__xludf.DUMMYFUNCTION("""COMPUTED_VALUE"""),"")</f>
        <v/>
      </c>
      <c r="Q2019" s="136" t="str">
        <f>IFERROR(__xludf.DUMMYFUNCTION("""COMPUTED_VALUE"""),"")</f>
        <v/>
      </c>
      <c r="R2019" s="106" t="str">
        <f>IFERROR(__xludf.DUMMYFUNCTION("""COMPUTED_VALUE"""),"")</f>
        <v/>
      </c>
      <c r="S2019" s="106" t="str">
        <f>IFERROR(__xludf.DUMMYFUNCTION("""COMPUTED_VALUE"""),"")</f>
        <v/>
      </c>
      <c r="T2019" s="139" t="str">
        <f>IFERROR(__xludf.DUMMYFUNCTION("""COMPUTED_VALUE"""),"")</f>
        <v/>
      </c>
      <c r="U2019" s="139" t="str">
        <f>IFERROR(__xludf.DUMMYFUNCTION("""COMPUTED_VALUE"""),"")</f>
        <v/>
      </c>
      <c r="V2019" s="136" t="str">
        <f>IFERROR(__xludf.DUMMYFUNCTION("""COMPUTED_VALUE"""),"")</f>
        <v/>
      </c>
      <c r="W2019" s="106" t="str">
        <f>IFERROR(__xludf.DUMMYFUNCTION("""COMPUTED_VALUE"""),"")</f>
        <v/>
      </c>
      <c r="X2019" s="143" t="str">
        <f t="shared" si="2"/>
        <v/>
      </c>
      <c r="Y2019" s="139" t="str">
        <f>IFERROR(__xludf.DUMMYFUNCTION("""COMPUTED_VALUE"""),"")</f>
        <v/>
      </c>
      <c r="Z2019" s="141" t="str">
        <f>IFERROR(__xludf.DUMMYFUNCTION("""COMPUTED_VALUE"""),"")</f>
        <v/>
      </c>
    </row>
    <row r="2020">
      <c r="D2020" s="136" t="str">
        <f t="shared" si="3"/>
        <v/>
      </c>
      <c r="E2020" s="152"/>
      <c r="F2020" s="106" t="s">
        <v>133</v>
      </c>
      <c r="G2020" s="152"/>
      <c r="H2020" s="106" t="s">
        <v>133</v>
      </c>
      <c r="J2020" s="139" t="s">
        <v>133</v>
      </c>
      <c r="K2020" s="136" t="s">
        <v>133</v>
      </c>
      <c r="L2020" s="153"/>
      <c r="M2020" s="136" t="str">
        <f t="shared" si="1"/>
        <v/>
      </c>
      <c r="O2020" s="141" t="s">
        <v>133</v>
      </c>
      <c r="P2020" s="136" t="str">
        <f>IFERROR(__xludf.DUMMYFUNCTION("""COMPUTED_VALUE"""),"")</f>
        <v/>
      </c>
      <c r="Q2020" s="136" t="str">
        <f>IFERROR(__xludf.DUMMYFUNCTION("""COMPUTED_VALUE"""),"")</f>
        <v/>
      </c>
      <c r="R2020" s="106" t="str">
        <f>IFERROR(__xludf.DUMMYFUNCTION("""COMPUTED_VALUE"""),"")</f>
        <v/>
      </c>
      <c r="S2020" s="106" t="str">
        <f>IFERROR(__xludf.DUMMYFUNCTION("""COMPUTED_VALUE"""),"")</f>
        <v/>
      </c>
      <c r="T2020" s="139" t="str">
        <f>IFERROR(__xludf.DUMMYFUNCTION("""COMPUTED_VALUE"""),"")</f>
        <v/>
      </c>
      <c r="U2020" s="139" t="str">
        <f>IFERROR(__xludf.DUMMYFUNCTION("""COMPUTED_VALUE"""),"")</f>
        <v/>
      </c>
      <c r="V2020" s="136" t="str">
        <f>IFERROR(__xludf.DUMMYFUNCTION("""COMPUTED_VALUE"""),"")</f>
        <v/>
      </c>
      <c r="W2020" s="106" t="str">
        <f>IFERROR(__xludf.DUMMYFUNCTION("""COMPUTED_VALUE"""),"")</f>
        <v/>
      </c>
      <c r="X2020" s="143" t="str">
        <f t="shared" si="2"/>
        <v/>
      </c>
      <c r="Y2020" s="139" t="str">
        <f>IFERROR(__xludf.DUMMYFUNCTION("""COMPUTED_VALUE"""),"")</f>
        <v/>
      </c>
      <c r="Z2020" s="141" t="str">
        <f>IFERROR(__xludf.DUMMYFUNCTION("""COMPUTED_VALUE"""),"")</f>
        <v/>
      </c>
    </row>
    <row r="2021">
      <c r="D2021" s="136" t="str">
        <f t="shared" si="3"/>
        <v/>
      </c>
      <c r="E2021" s="152"/>
      <c r="F2021" s="106" t="s">
        <v>133</v>
      </c>
      <c r="G2021" s="152"/>
      <c r="H2021" s="106" t="s">
        <v>133</v>
      </c>
      <c r="J2021" s="139" t="s">
        <v>133</v>
      </c>
      <c r="K2021" s="136" t="s">
        <v>133</v>
      </c>
      <c r="L2021" s="153"/>
      <c r="M2021" s="136" t="str">
        <f t="shared" si="1"/>
        <v/>
      </c>
      <c r="O2021" s="141" t="s">
        <v>133</v>
      </c>
      <c r="P2021" s="136" t="str">
        <f>IFERROR(__xludf.DUMMYFUNCTION("""COMPUTED_VALUE"""),"")</f>
        <v/>
      </c>
      <c r="Q2021" s="136" t="str">
        <f>IFERROR(__xludf.DUMMYFUNCTION("""COMPUTED_VALUE"""),"")</f>
        <v/>
      </c>
      <c r="R2021" s="106" t="str">
        <f>IFERROR(__xludf.DUMMYFUNCTION("""COMPUTED_VALUE"""),"")</f>
        <v/>
      </c>
      <c r="S2021" s="106" t="str">
        <f>IFERROR(__xludf.DUMMYFUNCTION("""COMPUTED_VALUE"""),"")</f>
        <v/>
      </c>
      <c r="T2021" s="139" t="str">
        <f>IFERROR(__xludf.DUMMYFUNCTION("""COMPUTED_VALUE"""),"")</f>
        <v/>
      </c>
      <c r="U2021" s="139" t="str">
        <f>IFERROR(__xludf.DUMMYFUNCTION("""COMPUTED_VALUE"""),"")</f>
        <v/>
      </c>
      <c r="V2021" s="136" t="str">
        <f>IFERROR(__xludf.DUMMYFUNCTION("""COMPUTED_VALUE"""),"")</f>
        <v/>
      </c>
      <c r="W2021" s="106" t="str">
        <f>IFERROR(__xludf.DUMMYFUNCTION("""COMPUTED_VALUE"""),"")</f>
        <v/>
      </c>
      <c r="X2021" s="143" t="str">
        <f t="shared" si="2"/>
        <v/>
      </c>
      <c r="Y2021" s="139" t="str">
        <f>IFERROR(__xludf.DUMMYFUNCTION("""COMPUTED_VALUE"""),"")</f>
        <v/>
      </c>
      <c r="Z2021" s="141" t="str">
        <f>IFERROR(__xludf.DUMMYFUNCTION("""COMPUTED_VALUE"""),"")</f>
        <v/>
      </c>
    </row>
    <row r="2022">
      <c r="D2022" s="136" t="str">
        <f t="shared" si="3"/>
        <v/>
      </c>
      <c r="E2022" s="152"/>
      <c r="F2022" s="106" t="s">
        <v>133</v>
      </c>
      <c r="G2022" s="152"/>
      <c r="H2022" s="106" t="s">
        <v>133</v>
      </c>
      <c r="J2022" s="139" t="s">
        <v>133</v>
      </c>
      <c r="K2022" s="136" t="s">
        <v>133</v>
      </c>
      <c r="L2022" s="153"/>
      <c r="M2022" s="136" t="str">
        <f t="shared" si="1"/>
        <v/>
      </c>
      <c r="O2022" s="141" t="s">
        <v>133</v>
      </c>
      <c r="P2022" s="136" t="str">
        <f>IFERROR(__xludf.DUMMYFUNCTION("""COMPUTED_VALUE"""),"")</f>
        <v/>
      </c>
      <c r="Q2022" s="136" t="str">
        <f>IFERROR(__xludf.DUMMYFUNCTION("""COMPUTED_VALUE"""),"")</f>
        <v/>
      </c>
      <c r="R2022" s="106" t="str">
        <f>IFERROR(__xludf.DUMMYFUNCTION("""COMPUTED_VALUE"""),"")</f>
        <v/>
      </c>
      <c r="S2022" s="106" t="str">
        <f>IFERROR(__xludf.DUMMYFUNCTION("""COMPUTED_VALUE"""),"")</f>
        <v/>
      </c>
      <c r="T2022" s="139" t="str">
        <f>IFERROR(__xludf.DUMMYFUNCTION("""COMPUTED_VALUE"""),"")</f>
        <v/>
      </c>
      <c r="U2022" s="139" t="str">
        <f>IFERROR(__xludf.DUMMYFUNCTION("""COMPUTED_VALUE"""),"")</f>
        <v/>
      </c>
      <c r="V2022" s="136" t="str">
        <f>IFERROR(__xludf.DUMMYFUNCTION("""COMPUTED_VALUE"""),"")</f>
        <v/>
      </c>
      <c r="W2022" s="106" t="str">
        <f>IFERROR(__xludf.DUMMYFUNCTION("""COMPUTED_VALUE"""),"")</f>
        <v/>
      </c>
      <c r="X2022" s="143" t="str">
        <f t="shared" si="2"/>
        <v/>
      </c>
      <c r="Y2022" s="139" t="str">
        <f>IFERROR(__xludf.DUMMYFUNCTION("""COMPUTED_VALUE"""),"")</f>
        <v/>
      </c>
      <c r="Z2022" s="141" t="str">
        <f>IFERROR(__xludf.DUMMYFUNCTION("""COMPUTED_VALUE"""),"")</f>
        <v/>
      </c>
    </row>
    <row r="2023">
      <c r="D2023" s="136" t="str">
        <f t="shared" si="3"/>
        <v/>
      </c>
      <c r="E2023" s="152"/>
      <c r="F2023" s="106" t="s">
        <v>133</v>
      </c>
      <c r="G2023" s="152"/>
      <c r="H2023" s="106" t="s">
        <v>133</v>
      </c>
      <c r="J2023" s="139" t="s">
        <v>133</v>
      </c>
      <c r="K2023" s="136" t="s">
        <v>133</v>
      </c>
      <c r="L2023" s="153"/>
      <c r="M2023" s="136" t="str">
        <f t="shared" si="1"/>
        <v/>
      </c>
      <c r="O2023" s="141" t="s">
        <v>133</v>
      </c>
      <c r="P2023" s="136" t="str">
        <f>IFERROR(__xludf.DUMMYFUNCTION("""COMPUTED_VALUE"""),"")</f>
        <v/>
      </c>
      <c r="Q2023" s="136" t="str">
        <f>IFERROR(__xludf.DUMMYFUNCTION("""COMPUTED_VALUE"""),"")</f>
        <v/>
      </c>
      <c r="R2023" s="106" t="str">
        <f>IFERROR(__xludf.DUMMYFUNCTION("""COMPUTED_VALUE"""),"")</f>
        <v/>
      </c>
      <c r="S2023" s="106" t="str">
        <f>IFERROR(__xludf.DUMMYFUNCTION("""COMPUTED_VALUE"""),"")</f>
        <v/>
      </c>
      <c r="T2023" s="139" t="str">
        <f>IFERROR(__xludf.DUMMYFUNCTION("""COMPUTED_VALUE"""),"")</f>
        <v/>
      </c>
      <c r="U2023" s="139" t="str">
        <f>IFERROR(__xludf.DUMMYFUNCTION("""COMPUTED_VALUE"""),"")</f>
        <v/>
      </c>
      <c r="V2023" s="136" t="str">
        <f>IFERROR(__xludf.DUMMYFUNCTION("""COMPUTED_VALUE"""),"")</f>
        <v/>
      </c>
      <c r="W2023" s="106" t="str">
        <f>IFERROR(__xludf.DUMMYFUNCTION("""COMPUTED_VALUE"""),"")</f>
        <v/>
      </c>
      <c r="X2023" s="143" t="str">
        <f t="shared" si="2"/>
        <v/>
      </c>
      <c r="Y2023" s="139" t="str">
        <f>IFERROR(__xludf.DUMMYFUNCTION("""COMPUTED_VALUE"""),"")</f>
        <v/>
      </c>
      <c r="Z2023" s="141" t="str">
        <f>IFERROR(__xludf.DUMMYFUNCTION("""COMPUTED_VALUE"""),"")</f>
        <v/>
      </c>
    </row>
    <row r="2024">
      <c r="D2024" s="136" t="str">
        <f t="shared" si="3"/>
        <v/>
      </c>
      <c r="E2024" s="152"/>
      <c r="F2024" s="106" t="s">
        <v>133</v>
      </c>
      <c r="G2024" s="152"/>
      <c r="H2024" s="106" t="s">
        <v>133</v>
      </c>
      <c r="J2024" s="139" t="s">
        <v>133</v>
      </c>
      <c r="K2024" s="136" t="s">
        <v>133</v>
      </c>
      <c r="L2024" s="153"/>
      <c r="M2024" s="136" t="str">
        <f t="shared" si="1"/>
        <v/>
      </c>
      <c r="O2024" s="141" t="s">
        <v>133</v>
      </c>
      <c r="P2024" s="136" t="str">
        <f>IFERROR(__xludf.DUMMYFUNCTION("""COMPUTED_VALUE"""),"")</f>
        <v/>
      </c>
      <c r="Q2024" s="136" t="str">
        <f>IFERROR(__xludf.DUMMYFUNCTION("""COMPUTED_VALUE"""),"")</f>
        <v/>
      </c>
      <c r="R2024" s="106" t="str">
        <f>IFERROR(__xludf.DUMMYFUNCTION("""COMPUTED_VALUE"""),"")</f>
        <v/>
      </c>
      <c r="S2024" s="106" t="str">
        <f>IFERROR(__xludf.DUMMYFUNCTION("""COMPUTED_VALUE"""),"")</f>
        <v/>
      </c>
      <c r="T2024" s="139" t="str">
        <f>IFERROR(__xludf.DUMMYFUNCTION("""COMPUTED_VALUE"""),"")</f>
        <v/>
      </c>
      <c r="U2024" s="139" t="str">
        <f>IFERROR(__xludf.DUMMYFUNCTION("""COMPUTED_VALUE"""),"")</f>
        <v/>
      </c>
      <c r="V2024" s="136" t="str">
        <f>IFERROR(__xludf.DUMMYFUNCTION("""COMPUTED_VALUE"""),"")</f>
        <v/>
      </c>
      <c r="W2024" s="106" t="str">
        <f>IFERROR(__xludf.DUMMYFUNCTION("""COMPUTED_VALUE"""),"")</f>
        <v/>
      </c>
      <c r="X2024" s="143" t="str">
        <f t="shared" si="2"/>
        <v/>
      </c>
      <c r="Y2024" s="139" t="str">
        <f>IFERROR(__xludf.DUMMYFUNCTION("""COMPUTED_VALUE"""),"")</f>
        <v/>
      </c>
      <c r="Z2024" s="141" t="str">
        <f>IFERROR(__xludf.DUMMYFUNCTION("""COMPUTED_VALUE"""),"")</f>
        <v/>
      </c>
    </row>
    <row r="2025">
      <c r="D2025" s="136" t="str">
        <f t="shared" si="3"/>
        <v/>
      </c>
      <c r="E2025" s="152"/>
      <c r="F2025" s="106" t="s">
        <v>133</v>
      </c>
      <c r="G2025" s="152"/>
      <c r="H2025" s="106" t="s">
        <v>133</v>
      </c>
      <c r="J2025" s="139" t="s">
        <v>133</v>
      </c>
      <c r="K2025" s="136" t="s">
        <v>133</v>
      </c>
      <c r="L2025" s="153"/>
      <c r="M2025" s="136" t="str">
        <f t="shared" si="1"/>
        <v/>
      </c>
      <c r="O2025" s="141" t="s">
        <v>133</v>
      </c>
      <c r="P2025" s="136" t="str">
        <f>IFERROR(__xludf.DUMMYFUNCTION("""COMPUTED_VALUE"""),"")</f>
        <v/>
      </c>
      <c r="Q2025" s="136" t="str">
        <f>IFERROR(__xludf.DUMMYFUNCTION("""COMPUTED_VALUE"""),"")</f>
        <v/>
      </c>
      <c r="R2025" s="106" t="str">
        <f>IFERROR(__xludf.DUMMYFUNCTION("""COMPUTED_VALUE"""),"")</f>
        <v/>
      </c>
      <c r="S2025" s="106" t="str">
        <f>IFERROR(__xludf.DUMMYFUNCTION("""COMPUTED_VALUE"""),"")</f>
        <v/>
      </c>
      <c r="T2025" s="139" t="str">
        <f>IFERROR(__xludf.DUMMYFUNCTION("""COMPUTED_VALUE"""),"")</f>
        <v/>
      </c>
      <c r="U2025" s="139" t="str">
        <f>IFERROR(__xludf.DUMMYFUNCTION("""COMPUTED_VALUE"""),"")</f>
        <v/>
      </c>
      <c r="V2025" s="136" t="str">
        <f>IFERROR(__xludf.DUMMYFUNCTION("""COMPUTED_VALUE"""),"")</f>
        <v/>
      </c>
      <c r="W2025" s="106" t="str">
        <f>IFERROR(__xludf.DUMMYFUNCTION("""COMPUTED_VALUE"""),"")</f>
        <v/>
      </c>
      <c r="X2025" s="143" t="str">
        <f t="shared" si="2"/>
        <v/>
      </c>
      <c r="Y2025" s="139" t="str">
        <f>IFERROR(__xludf.DUMMYFUNCTION("""COMPUTED_VALUE"""),"")</f>
        <v/>
      </c>
      <c r="Z2025" s="141" t="str">
        <f>IFERROR(__xludf.DUMMYFUNCTION("""COMPUTED_VALUE"""),"")</f>
        <v/>
      </c>
    </row>
    <row r="2026">
      <c r="D2026" s="136" t="str">
        <f t="shared" si="3"/>
        <v/>
      </c>
      <c r="E2026" s="152"/>
      <c r="F2026" s="106" t="s">
        <v>133</v>
      </c>
      <c r="G2026" s="152"/>
      <c r="H2026" s="106" t="s">
        <v>133</v>
      </c>
      <c r="J2026" s="139" t="s">
        <v>133</v>
      </c>
      <c r="K2026" s="136" t="s">
        <v>133</v>
      </c>
      <c r="L2026" s="153"/>
      <c r="M2026" s="136" t="str">
        <f t="shared" si="1"/>
        <v/>
      </c>
      <c r="O2026" s="141" t="s">
        <v>133</v>
      </c>
      <c r="P2026" s="136" t="str">
        <f>IFERROR(__xludf.DUMMYFUNCTION("""COMPUTED_VALUE"""),"")</f>
        <v/>
      </c>
      <c r="Q2026" s="136" t="str">
        <f>IFERROR(__xludf.DUMMYFUNCTION("""COMPUTED_VALUE"""),"")</f>
        <v/>
      </c>
      <c r="R2026" s="106" t="str">
        <f>IFERROR(__xludf.DUMMYFUNCTION("""COMPUTED_VALUE"""),"")</f>
        <v/>
      </c>
      <c r="S2026" s="106" t="str">
        <f>IFERROR(__xludf.DUMMYFUNCTION("""COMPUTED_VALUE"""),"")</f>
        <v/>
      </c>
      <c r="T2026" s="139" t="str">
        <f>IFERROR(__xludf.DUMMYFUNCTION("""COMPUTED_VALUE"""),"")</f>
        <v/>
      </c>
      <c r="U2026" s="139" t="str">
        <f>IFERROR(__xludf.DUMMYFUNCTION("""COMPUTED_VALUE"""),"")</f>
        <v/>
      </c>
      <c r="V2026" s="136" t="str">
        <f>IFERROR(__xludf.DUMMYFUNCTION("""COMPUTED_VALUE"""),"")</f>
        <v/>
      </c>
      <c r="W2026" s="106" t="str">
        <f>IFERROR(__xludf.DUMMYFUNCTION("""COMPUTED_VALUE"""),"")</f>
        <v/>
      </c>
      <c r="X2026" s="143" t="str">
        <f t="shared" si="2"/>
        <v/>
      </c>
      <c r="Y2026" s="139" t="str">
        <f>IFERROR(__xludf.DUMMYFUNCTION("""COMPUTED_VALUE"""),"")</f>
        <v/>
      </c>
      <c r="Z2026" s="141" t="str">
        <f>IFERROR(__xludf.DUMMYFUNCTION("""COMPUTED_VALUE"""),"")</f>
        <v/>
      </c>
    </row>
    <row r="2027">
      <c r="D2027" s="136" t="str">
        <f t="shared" si="3"/>
        <v/>
      </c>
      <c r="E2027" s="152"/>
      <c r="F2027" s="106" t="s">
        <v>133</v>
      </c>
      <c r="G2027" s="152"/>
      <c r="H2027" s="106" t="s">
        <v>133</v>
      </c>
      <c r="J2027" s="139" t="s">
        <v>133</v>
      </c>
      <c r="K2027" s="136" t="s">
        <v>133</v>
      </c>
      <c r="L2027" s="153"/>
      <c r="M2027" s="136" t="str">
        <f t="shared" si="1"/>
        <v/>
      </c>
      <c r="O2027" s="141" t="s">
        <v>133</v>
      </c>
      <c r="P2027" s="136" t="str">
        <f>IFERROR(__xludf.DUMMYFUNCTION("""COMPUTED_VALUE"""),"")</f>
        <v/>
      </c>
      <c r="Q2027" s="136" t="str">
        <f>IFERROR(__xludf.DUMMYFUNCTION("""COMPUTED_VALUE"""),"")</f>
        <v/>
      </c>
      <c r="R2027" s="106" t="str">
        <f>IFERROR(__xludf.DUMMYFUNCTION("""COMPUTED_VALUE"""),"")</f>
        <v/>
      </c>
      <c r="S2027" s="106" t="str">
        <f>IFERROR(__xludf.DUMMYFUNCTION("""COMPUTED_VALUE"""),"")</f>
        <v/>
      </c>
      <c r="T2027" s="139" t="str">
        <f>IFERROR(__xludf.DUMMYFUNCTION("""COMPUTED_VALUE"""),"")</f>
        <v/>
      </c>
      <c r="U2027" s="139" t="str">
        <f>IFERROR(__xludf.DUMMYFUNCTION("""COMPUTED_VALUE"""),"")</f>
        <v/>
      </c>
      <c r="V2027" s="136" t="str">
        <f>IFERROR(__xludf.DUMMYFUNCTION("""COMPUTED_VALUE"""),"")</f>
        <v/>
      </c>
      <c r="W2027" s="106" t="str">
        <f>IFERROR(__xludf.DUMMYFUNCTION("""COMPUTED_VALUE"""),"")</f>
        <v/>
      </c>
      <c r="X2027" s="143" t="str">
        <f t="shared" si="2"/>
        <v/>
      </c>
      <c r="Y2027" s="139" t="str">
        <f>IFERROR(__xludf.DUMMYFUNCTION("""COMPUTED_VALUE"""),"")</f>
        <v/>
      </c>
      <c r="Z2027" s="141" t="str">
        <f>IFERROR(__xludf.DUMMYFUNCTION("""COMPUTED_VALUE"""),"")</f>
        <v/>
      </c>
    </row>
    <row r="2028">
      <c r="D2028" s="136" t="str">
        <f t="shared" si="3"/>
        <v/>
      </c>
      <c r="E2028" s="152"/>
      <c r="F2028" s="106" t="s">
        <v>133</v>
      </c>
      <c r="G2028" s="152"/>
      <c r="H2028" s="106" t="s">
        <v>133</v>
      </c>
      <c r="J2028" s="139" t="s">
        <v>133</v>
      </c>
      <c r="K2028" s="136" t="s">
        <v>133</v>
      </c>
      <c r="L2028" s="153"/>
      <c r="M2028" s="136" t="str">
        <f t="shared" si="1"/>
        <v/>
      </c>
      <c r="O2028" s="141" t="s">
        <v>133</v>
      </c>
      <c r="P2028" s="136" t="str">
        <f>IFERROR(__xludf.DUMMYFUNCTION("""COMPUTED_VALUE"""),"")</f>
        <v/>
      </c>
      <c r="Q2028" s="136" t="str">
        <f>IFERROR(__xludf.DUMMYFUNCTION("""COMPUTED_VALUE"""),"")</f>
        <v/>
      </c>
      <c r="R2028" s="106" t="str">
        <f>IFERROR(__xludf.DUMMYFUNCTION("""COMPUTED_VALUE"""),"")</f>
        <v/>
      </c>
      <c r="S2028" s="106" t="str">
        <f>IFERROR(__xludf.DUMMYFUNCTION("""COMPUTED_VALUE"""),"")</f>
        <v/>
      </c>
      <c r="T2028" s="139" t="str">
        <f>IFERROR(__xludf.DUMMYFUNCTION("""COMPUTED_VALUE"""),"")</f>
        <v/>
      </c>
      <c r="U2028" s="139" t="str">
        <f>IFERROR(__xludf.DUMMYFUNCTION("""COMPUTED_VALUE"""),"")</f>
        <v/>
      </c>
      <c r="V2028" s="136" t="str">
        <f>IFERROR(__xludf.DUMMYFUNCTION("""COMPUTED_VALUE"""),"")</f>
        <v/>
      </c>
      <c r="W2028" s="106" t="str">
        <f>IFERROR(__xludf.DUMMYFUNCTION("""COMPUTED_VALUE"""),"")</f>
        <v/>
      </c>
      <c r="X2028" s="143" t="str">
        <f t="shared" si="2"/>
        <v/>
      </c>
      <c r="Y2028" s="139" t="str">
        <f>IFERROR(__xludf.DUMMYFUNCTION("""COMPUTED_VALUE"""),"")</f>
        <v/>
      </c>
      <c r="Z2028" s="141" t="str">
        <f>IFERROR(__xludf.DUMMYFUNCTION("""COMPUTED_VALUE"""),"")</f>
        <v/>
      </c>
    </row>
    <row r="2029">
      <c r="D2029" s="136" t="str">
        <f t="shared" si="3"/>
        <v/>
      </c>
      <c r="E2029" s="152"/>
      <c r="F2029" s="106" t="s">
        <v>133</v>
      </c>
      <c r="G2029" s="152"/>
      <c r="H2029" s="106" t="s">
        <v>133</v>
      </c>
      <c r="J2029" s="139" t="s">
        <v>133</v>
      </c>
      <c r="K2029" s="136" t="s">
        <v>133</v>
      </c>
      <c r="L2029" s="153"/>
      <c r="M2029" s="136" t="str">
        <f t="shared" si="1"/>
        <v/>
      </c>
      <c r="O2029" s="141" t="s">
        <v>133</v>
      </c>
      <c r="P2029" s="136" t="str">
        <f>IFERROR(__xludf.DUMMYFUNCTION("""COMPUTED_VALUE"""),"")</f>
        <v/>
      </c>
      <c r="Q2029" s="136" t="str">
        <f>IFERROR(__xludf.DUMMYFUNCTION("""COMPUTED_VALUE"""),"")</f>
        <v/>
      </c>
      <c r="R2029" s="106" t="str">
        <f>IFERROR(__xludf.DUMMYFUNCTION("""COMPUTED_VALUE"""),"")</f>
        <v/>
      </c>
      <c r="S2029" s="106" t="str">
        <f>IFERROR(__xludf.DUMMYFUNCTION("""COMPUTED_VALUE"""),"")</f>
        <v/>
      </c>
      <c r="T2029" s="139" t="str">
        <f>IFERROR(__xludf.DUMMYFUNCTION("""COMPUTED_VALUE"""),"")</f>
        <v/>
      </c>
      <c r="U2029" s="139" t="str">
        <f>IFERROR(__xludf.DUMMYFUNCTION("""COMPUTED_VALUE"""),"")</f>
        <v/>
      </c>
      <c r="V2029" s="136" t="str">
        <f>IFERROR(__xludf.DUMMYFUNCTION("""COMPUTED_VALUE"""),"")</f>
        <v/>
      </c>
      <c r="W2029" s="106" t="str">
        <f>IFERROR(__xludf.DUMMYFUNCTION("""COMPUTED_VALUE"""),"")</f>
        <v/>
      </c>
      <c r="X2029" s="143" t="str">
        <f t="shared" si="2"/>
        <v/>
      </c>
      <c r="Y2029" s="139" t="str">
        <f>IFERROR(__xludf.DUMMYFUNCTION("""COMPUTED_VALUE"""),"")</f>
        <v/>
      </c>
      <c r="Z2029" s="141" t="str">
        <f>IFERROR(__xludf.DUMMYFUNCTION("""COMPUTED_VALUE"""),"")</f>
        <v/>
      </c>
    </row>
    <row r="2030">
      <c r="D2030" s="136" t="str">
        <f t="shared" si="3"/>
        <v/>
      </c>
      <c r="E2030" s="152"/>
      <c r="F2030" s="106" t="s">
        <v>133</v>
      </c>
      <c r="G2030" s="152"/>
      <c r="H2030" s="106" t="s">
        <v>133</v>
      </c>
      <c r="J2030" s="139" t="s">
        <v>133</v>
      </c>
      <c r="K2030" s="136" t="s">
        <v>133</v>
      </c>
      <c r="L2030" s="153"/>
      <c r="M2030" s="136" t="str">
        <f t="shared" si="1"/>
        <v/>
      </c>
      <c r="O2030" s="141" t="s">
        <v>133</v>
      </c>
      <c r="P2030" s="136" t="str">
        <f>IFERROR(__xludf.DUMMYFUNCTION("""COMPUTED_VALUE"""),"")</f>
        <v/>
      </c>
      <c r="Q2030" s="136" t="str">
        <f>IFERROR(__xludf.DUMMYFUNCTION("""COMPUTED_VALUE"""),"")</f>
        <v/>
      </c>
      <c r="R2030" s="106" t="str">
        <f>IFERROR(__xludf.DUMMYFUNCTION("""COMPUTED_VALUE"""),"")</f>
        <v/>
      </c>
      <c r="S2030" s="106" t="str">
        <f>IFERROR(__xludf.DUMMYFUNCTION("""COMPUTED_VALUE"""),"")</f>
        <v/>
      </c>
      <c r="T2030" s="139" t="str">
        <f>IFERROR(__xludf.DUMMYFUNCTION("""COMPUTED_VALUE"""),"")</f>
        <v/>
      </c>
      <c r="U2030" s="139" t="str">
        <f>IFERROR(__xludf.DUMMYFUNCTION("""COMPUTED_VALUE"""),"")</f>
        <v/>
      </c>
      <c r="V2030" s="136" t="str">
        <f>IFERROR(__xludf.DUMMYFUNCTION("""COMPUTED_VALUE"""),"")</f>
        <v/>
      </c>
      <c r="W2030" s="106" t="str">
        <f>IFERROR(__xludf.DUMMYFUNCTION("""COMPUTED_VALUE"""),"")</f>
        <v/>
      </c>
      <c r="X2030" s="143" t="str">
        <f t="shared" si="2"/>
        <v/>
      </c>
      <c r="Y2030" s="139" t="str">
        <f>IFERROR(__xludf.DUMMYFUNCTION("""COMPUTED_VALUE"""),"")</f>
        <v/>
      </c>
      <c r="Z2030" s="141" t="str">
        <f>IFERROR(__xludf.DUMMYFUNCTION("""COMPUTED_VALUE"""),"")</f>
        <v/>
      </c>
    </row>
    <row r="2031">
      <c r="D2031" s="136" t="str">
        <f t="shared" si="3"/>
        <v/>
      </c>
      <c r="E2031" s="152"/>
      <c r="F2031" s="106" t="s">
        <v>133</v>
      </c>
      <c r="G2031" s="152"/>
      <c r="H2031" s="106" t="s">
        <v>133</v>
      </c>
      <c r="J2031" s="139" t="s">
        <v>133</v>
      </c>
      <c r="K2031" s="136" t="s">
        <v>133</v>
      </c>
      <c r="L2031" s="153"/>
      <c r="M2031" s="136" t="str">
        <f t="shared" si="1"/>
        <v/>
      </c>
      <c r="O2031" s="141" t="s">
        <v>133</v>
      </c>
      <c r="P2031" s="136" t="str">
        <f>IFERROR(__xludf.DUMMYFUNCTION("""COMPUTED_VALUE"""),"")</f>
        <v/>
      </c>
      <c r="Q2031" s="136" t="str">
        <f>IFERROR(__xludf.DUMMYFUNCTION("""COMPUTED_VALUE"""),"")</f>
        <v/>
      </c>
      <c r="R2031" s="106" t="str">
        <f>IFERROR(__xludf.DUMMYFUNCTION("""COMPUTED_VALUE"""),"")</f>
        <v/>
      </c>
      <c r="S2031" s="106" t="str">
        <f>IFERROR(__xludf.DUMMYFUNCTION("""COMPUTED_VALUE"""),"")</f>
        <v/>
      </c>
      <c r="T2031" s="139" t="str">
        <f>IFERROR(__xludf.DUMMYFUNCTION("""COMPUTED_VALUE"""),"")</f>
        <v/>
      </c>
      <c r="U2031" s="139" t="str">
        <f>IFERROR(__xludf.DUMMYFUNCTION("""COMPUTED_VALUE"""),"")</f>
        <v/>
      </c>
      <c r="V2031" s="136" t="str">
        <f>IFERROR(__xludf.DUMMYFUNCTION("""COMPUTED_VALUE"""),"")</f>
        <v/>
      </c>
      <c r="W2031" s="106" t="str">
        <f>IFERROR(__xludf.DUMMYFUNCTION("""COMPUTED_VALUE"""),"")</f>
        <v/>
      </c>
      <c r="X2031" s="143" t="str">
        <f t="shared" si="2"/>
        <v/>
      </c>
      <c r="Y2031" s="139" t="str">
        <f>IFERROR(__xludf.DUMMYFUNCTION("""COMPUTED_VALUE"""),"")</f>
        <v/>
      </c>
      <c r="Z2031" s="141" t="str">
        <f>IFERROR(__xludf.DUMMYFUNCTION("""COMPUTED_VALUE"""),"")</f>
        <v/>
      </c>
    </row>
    <row r="2032">
      <c r="D2032" s="136" t="str">
        <f t="shared" si="3"/>
        <v/>
      </c>
      <c r="E2032" s="152"/>
      <c r="F2032" s="106" t="s">
        <v>133</v>
      </c>
      <c r="G2032" s="152"/>
      <c r="H2032" s="106" t="s">
        <v>133</v>
      </c>
      <c r="J2032" s="139" t="s">
        <v>133</v>
      </c>
      <c r="K2032" s="136" t="s">
        <v>133</v>
      </c>
      <c r="L2032" s="153"/>
      <c r="M2032" s="136" t="str">
        <f t="shared" si="1"/>
        <v/>
      </c>
      <c r="O2032" s="141" t="s">
        <v>133</v>
      </c>
      <c r="P2032" s="136" t="str">
        <f>IFERROR(__xludf.DUMMYFUNCTION("""COMPUTED_VALUE"""),"")</f>
        <v/>
      </c>
      <c r="Q2032" s="136" t="str">
        <f>IFERROR(__xludf.DUMMYFUNCTION("""COMPUTED_VALUE"""),"")</f>
        <v/>
      </c>
      <c r="R2032" s="106" t="str">
        <f>IFERROR(__xludf.DUMMYFUNCTION("""COMPUTED_VALUE"""),"")</f>
        <v/>
      </c>
      <c r="S2032" s="106" t="str">
        <f>IFERROR(__xludf.DUMMYFUNCTION("""COMPUTED_VALUE"""),"")</f>
        <v/>
      </c>
      <c r="T2032" s="139" t="str">
        <f>IFERROR(__xludf.DUMMYFUNCTION("""COMPUTED_VALUE"""),"")</f>
        <v/>
      </c>
      <c r="U2032" s="139" t="str">
        <f>IFERROR(__xludf.DUMMYFUNCTION("""COMPUTED_VALUE"""),"")</f>
        <v/>
      </c>
      <c r="V2032" s="136" t="str">
        <f>IFERROR(__xludf.DUMMYFUNCTION("""COMPUTED_VALUE"""),"")</f>
        <v/>
      </c>
      <c r="W2032" s="106" t="str">
        <f>IFERROR(__xludf.DUMMYFUNCTION("""COMPUTED_VALUE"""),"")</f>
        <v/>
      </c>
      <c r="X2032" s="143" t="str">
        <f t="shared" si="2"/>
        <v/>
      </c>
      <c r="Y2032" s="139" t="str">
        <f>IFERROR(__xludf.DUMMYFUNCTION("""COMPUTED_VALUE"""),"")</f>
        <v/>
      </c>
      <c r="Z2032" s="141" t="str">
        <f>IFERROR(__xludf.DUMMYFUNCTION("""COMPUTED_VALUE"""),"")</f>
        <v/>
      </c>
    </row>
    <row r="2033">
      <c r="D2033" s="136" t="str">
        <f t="shared" si="3"/>
        <v/>
      </c>
      <c r="E2033" s="152"/>
      <c r="F2033" s="106" t="s">
        <v>133</v>
      </c>
      <c r="G2033" s="152"/>
      <c r="H2033" s="106" t="s">
        <v>133</v>
      </c>
      <c r="J2033" s="139" t="s">
        <v>133</v>
      </c>
      <c r="K2033" s="136" t="s">
        <v>133</v>
      </c>
      <c r="L2033" s="153"/>
      <c r="M2033" s="136" t="str">
        <f t="shared" si="1"/>
        <v/>
      </c>
      <c r="O2033" s="141" t="s">
        <v>133</v>
      </c>
      <c r="P2033" s="136" t="str">
        <f>IFERROR(__xludf.DUMMYFUNCTION("""COMPUTED_VALUE"""),"")</f>
        <v/>
      </c>
      <c r="Q2033" s="136" t="str">
        <f>IFERROR(__xludf.DUMMYFUNCTION("""COMPUTED_VALUE"""),"")</f>
        <v/>
      </c>
      <c r="R2033" s="106" t="str">
        <f>IFERROR(__xludf.DUMMYFUNCTION("""COMPUTED_VALUE"""),"")</f>
        <v/>
      </c>
      <c r="S2033" s="106" t="str">
        <f>IFERROR(__xludf.DUMMYFUNCTION("""COMPUTED_VALUE"""),"")</f>
        <v/>
      </c>
      <c r="T2033" s="139" t="str">
        <f>IFERROR(__xludf.DUMMYFUNCTION("""COMPUTED_VALUE"""),"")</f>
        <v/>
      </c>
      <c r="U2033" s="139" t="str">
        <f>IFERROR(__xludf.DUMMYFUNCTION("""COMPUTED_VALUE"""),"")</f>
        <v/>
      </c>
      <c r="V2033" s="136" t="str">
        <f>IFERROR(__xludf.DUMMYFUNCTION("""COMPUTED_VALUE"""),"")</f>
        <v/>
      </c>
      <c r="W2033" s="106" t="str">
        <f>IFERROR(__xludf.DUMMYFUNCTION("""COMPUTED_VALUE"""),"")</f>
        <v/>
      </c>
      <c r="X2033" s="143" t="str">
        <f t="shared" si="2"/>
        <v/>
      </c>
      <c r="Y2033" s="139" t="str">
        <f>IFERROR(__xludf.DUMMYFUNCTION("""COMPUTED_VALUE"""),"")</f>
        <v/>
      </c>
      <c r="Z2033" s="141" t="str">
        <f>IFERROR(__xludf.DUMMYFUNCTION("""COMPUTED_VALUE"""),"")</f>
        <v/>
      </c>
    </row>
    <row r="2034">
      <c r="D2034" s="136" t="str">
        <f t="shared" si="3"/>
        <v/>
      </c>
      <c r="E2034" s="152"/>
      <c r="F2034" s="106" t="s">
        <v>133</v>
      </c>
      <c r="G2034" s="152"/>
      <c r="H2034" s="106" t="s">
        <v>133</v>
      </c>
      <c r="J2034" s="139" t="s">
        <v>133</v>
      </c>
      <c r="K2034" s="136" t="s">
        <v>133</v>
      </c>
      <c r="L2034" s="153"/>
      <c r="M2034" s="136" t="str">
        <f t="shared" si="1"/>
        <v/>
      </c>
      <c r="O2034" s="141" t="s">
        <v>133</v>
      </c>
      <c r="P2034" s="136" t="str">
        <f>IFERROR(__xludf.DUMMYFUNCTION("""COMPUTED_VALUE"""),"")</f>
        <v/>
      </c>
      <c r="Q2034" s="136" t="str">
        <f>IFERROR(__xludf.DUMMYFUNCTION("""COMPUTED_VALUE"""),"")</f>
        <v/>
      </c>
      <c r="R2034" s="106" t="str">
        <f>IFERROR(__xludf.DUMMYFUNCTION("""COMPUTED_VALUE"""),"")</f>
        <v/>
      </c>
      <c r="S2034" s="106" t="str">
        <f>IFERROR(__xludf.DUMMYFUNCTION("""COMPUTED_VALUE"""),"")</f>
        <v/>
      </c>
      <c r="T2034" s="139" t="str">
        <f>IFERROR(__xludf.DUMMYFUNCTION("""COMPUTED_VALUE"""),"")</f>
        <v/>
      </c>
      <c r="U2034" s="139" t="str">
        <f>IFERROR(__xludf.DUMMYFUNCTION("""COMPUTED_VALUE"""),"")</f>
        <v/>
      </c>
      <c r="V2034" s="136" t="str">
        <f>IFERROR(__xludf.DUMMYFUNCTION("""COMPUTED_VALUE"""),"")</f>
        <v/>
      </c>
      <c r="W2034" s="106" t="str">
        <f>IFERROR(__xludf.DUMMYFUNCTION("""COMPUTED_VALUE"""),"")</f>
        <v/>
      </c>
      <c r="X2034" s="143" t="str">
        <f t="shared" si="2"/>
        <v/>
      </c>
      <c r="Y2034" s="139" t="str">
        <f>IFERROR(__xludf.DUMMYFUNCTION("""COMPUTED_VALUE"""),"")</f>
        <v/>
      </c>
      <c r="Z2034" s="141" t="str">
        <f>IFERROR(__xludf.DUMMYFUNCTION("""COMPUTED_VALUE"""),"")</f>
        <v/>
      </c>
    </row>
    <row r="2035">
      <c r="D2035" s="136" t="str">
        <f t="shared" si="3"/>
        <v/>
      </c>
      <c r="E2035" s="152"/>
      <c r="F2035" s="106" t="s">
        <v>133</v>
      </c>
      <c r="G2035" s="152"/>
      <c r="H2035" s="106" t="s">
        <v>133</v>
      </c>
      <c r="J2035" s="139" t="s">
        <v>133</v>
      </c>
      <c r="K2035" s="136" t="s">
        <v>133</v>
      </c>
      <c r="L2035" s="153"/>
      <c r="M2035" s="136" t="str">
        <f t="shared" si="1"/>
        <v/>
      </c>
      <c r="O2035" s="141" t="s">
        <v>133</v>
      </c>
      <c r="P2035" s="136" t="str">
        <f>IFERROR(__xludf.DUMMYFUNCTION("""COMPUTED_VALUE"""),"")</f>
        <v/>
      </c>
      <c r="Q2035" s="136" t="str">
        <f>IFERROR(__xludf.DUMMYFUNCTION("""COMPUTED_VALUE"""),"")</f>
        <v/>
      </c>
      <c r="R2035" s="106" t="str">
        <f>IFERROR(__xludf.DUMMYFUNCTION("""COMPUTED_VALUE"""),"")</f>
        <v/>
      </c>
      <c r="S2035" s="106" t="str">
        <f>IFERROR(__xludf.DUMMYFUNCTION("""COMPUTED_VALUE"""),"")</f>
        <v/>
      </c>
      <c r="T2035" s="139" t="str">
        <f>IFERROR(__xludf.DUMMYFUNCTION("""COMPUTED_VALUE"""),"")</f>
        <v/>
      </c>
      <c r="U2035" s="139" t="str">
        <f>IFERROR(__xludf.DUMMYFUNCTION("""COMPUTED_VALUE"""),"")</f>
        <v/>
      </c>
      <c r="V2035" s="136" t="str">
        <f>IFERROR(__xludf.DUMMYFUNCTION("""COMPUTED_VALUE"""),"")</f>
        <v/>
      </c>
      <c r="W2035" s="106" t="str">
        <f>IFERROR(__xludf.DUMMYFUNCTION("""COMPUTED_VALUE"""),"")</f>
        <v/>
      </c>
      <c r="X2035" s="143" t="str">
        <f t="shared" si="2"/>
        <v/>
      </c>
      <c r="Y2035" s="139" t="str">
        <f>IFERROR(__xludf.DUMMYFUNCTION("""COMPUTED_VALUE"""),"")</f>
        <v/>
      </c>
      <c r="Z2035" s="141" t="str">
        <f>IFERROR(__xludf.DUMMYFUNCTION("""COMPUTED_VALUE"""),"")</f>
        <v/>
      </c>
    </row>
    <row r="2036">
      <c r="D2036" s="136" t="str">
        <f t="shared" si="3"/>
        <v/>
      </c>
      <c r="E2036" s="152"/>
      <c r="F2036" s="106" t="s">
        <v>133</v>
      </c>
      <c r="G2036" s="152"/>
      <c r="H2036" s="106" t="s">
        <v>133</v>
      </c>
      <c r="J2036" s="139" t="s">
        <v>133</v>
      </c>
      <c r="K2036" s="136" t="s">
        <v>133</v>
      </c>
      <c r="L2036" s="153"/>
      <c r="M2036" s="136" t="str">
        <f t="shared" si="1"/>
        <v/>
      </c>
      <c r="O2036" s="141" t="s">
        <v>133</v>
      </c>
      <c r="P2036" s="136" t="str">
        <f>IFERROR(__xludf.DUMMYFUNCTION("""COMPUTED_VALUE"""),"")</f>
        <v/>
      </c>
      <c r="Q2036" s="136" t="str">
        <f>IFERROR(__xludf.DUMMYFUNCTION("""COMPUTED_VALUE"""),"")</f>
        <v/>
      </c>
      <c r="R2036" s="106" t="str">
        <f>IFERROR(__xludf.DUMMYFUNCTION("""COMPUTED_VALUE"""),"")</f>
        <v/>
      </c>
      <c r="S2036" s="106" t="str">
        <f>IFERROR(__xludf.DUMMYFUNCTION("""COMPUTED_VALUE"""),"")</f>
        <v/>
      </c>
      <c r="T2036" s="139" t="str">
        <f>IFERROR(__xludf.DUMMYFUNCTION("""COMPUTED_VALUE"""),"")</f>
        <v/>
      </c>
      <c r="U2036" s="139" t="str">
        <f>IFERROR(__xludf.DUMMYFUNCTION("""COMPUTED_VALUE"""),"")</f>
        <v/>
      </c>
      <c r="V2036" s="136" t="str">
        <f>IFERROR(__xludf.DUMMYFUNCTION("""COMPUTED_VALUE"""),"")</f>
        <v/>
      </c>
      <c r="W2036" s="106" t="str">
        <f>IFERROR(__xludf.DUMMYFUNCTION("""COMPUTED_VALUE"""),"")</f>
        <v/>
      </c>
      <c r="X2036" s="143" t="str">
        <f t="shared" si="2"/>
        <v/>
      </c>
      <c r="Y2036" s="139" t="str">
        <f>IFERROR(__xludf.DUMMYFUNCTION("""COMPUTED_VALUE"""),"")</f>
        <v/>
      </c>
      <c r="Z2036" s="141" t="str">
        <f>IFERROR(__xludf.DUMMYFUNCTION("""COMPUTED_VALUE"""),"")</f>
        <v/>
      </c>
    </row>
    <row r="2037">
      <c r="D2037" s="136" t="str">
        <f t="shared" si="3"/>
        <v/>
      </c>
      <c r="E2037" s="152"/>
      <c r="F2037" s="106" t="s">
        <v>133</v>
      </c>
      <c r="G2037" s="152"/>
      <c r="H2037" s="106" t="s">
        <v>133</v>
      </c>
      <c r="J2037" s="139" t="s">
        <v>133</v>
      </c>
      <c r="K2037" s="136" t="s">
        <v>133</v>
      </c>
      <c r="L2037" s="153"/>
      <c r="M2037" s="136" t="str">
        <f t="shared" si="1"/>
        <v/>
      </c>
      <c r="O2037" s="141" t="s">
        <v>133</v>
      </c>
      <c r="P2037" s="136" t="str">
        <f>IFERROR(__xludf.DUMMYFUNCTION("""COMPUTED_VALUE"""),"")</f>
        <v/>
      </c>
      <c r="Q2037" s="136" t="str">
        <f>IFERROR(__xludf.DUMMYFUNCTION("""COMPUTED_VALUE"""),"")</f>
        <v/>
      </c>
      <c r="R2037" s="106" t="str">
        <f>IFERROR(__xludf.DUMMYFUNCTION("""COMPUTED_VALUE"""),"")</f>
        <v/>
      </c>
      <c r="S2037" s="106" t="str">
        <f>IFERROR(__xludf.DUMMYFUNCTION("""COMPUTED_VALUE"""),"")</f>
        <v/>
      </c>
      <c r="T2037" s="139" t="str">
        <f>IFERROR(__xludf.DUMMYFUNCTION("""COMPUTED_VALUE"""),"")</f>
        <v/>
      </c>
      <c r="U2037" s="139" t="str">
        <f>IFERROR(__xludf.DUMMYFUNCTION("""COMPUTED_VALUE"""),"")</f>
        <v/>
      </c>
      <c r="V2037" s="136" t="str">
        <f>IFERROR(__xludf.DUMMYFUNCTION("""COMPUTED_VALUE"""),"")</f>
        <v/>
      </c>
      <c r="W2037" s="106" t="str">
        <f>IFERROR(__xludf.DUMMYFUNCTION("""COMPUTED_VALUE"""),"")</f>
        <v/>
      </c>
      <c r="X2037" s="143" t="str">
        <f t="shared" si="2"/>
        <v/>
      </c>
      <c r="Y2037" s="139" t="str">
        <f>IFERROR(__xludf.DUMMYFUNCTION("""COMPUTED_VALUE"""),"")</f>
        <v/>
      </c>
      <c r="Z2037" s="141" t="str">
        <f>IFERROR(__xludf.DUMMYFUNCTION("""COMPUTED_VALUE"""),"")</f>
        <v/>
      </c>
    </row>
    <row r="2038">
      <c r="D2038" s="136" t="str">
        <f t="shared" si="3"/>
        <v/>
      </c>
      <c r="E2038" s="152"/>
      <c r="F2038" s="106" t="s">
        <v>133</v>
      </c>
      <c r="G2038" s="152"/>
      <c r="H2038" s="106" t="s">
        <v>133</v>
      </c>
      <c r="J2038" s="139" t="s">
        <v>133</v>
      </c>
      <c r="K2038" s="136" t="s">
        <v>133</v>
      </c>
      <c r="L2038" s="153"/>
      <c r="M2038" s="136" t="str">
        <f t="shared" si="1"/>
        <v/>
      </c>
      <c r="O2038" s="141" t="s">
        <v>133</v>
      </c>
      <c r="P2038" s="136" t="str">
        <f>IFERROR(__xludf.DUMMYFUNCTION("""COMPUTED_VALUE"""),"")</f>
        <v/>
      </c>
      <c r="Q2038" s="136" t="str">
        <f>IFERROR(__xludf.DUMMYFUNCTION("""COMPUTED_VALUE"""),"")</f>
        <v/>
      </c>
      <c r="R2038" s="106" t="str">
        <f>IFERROR(__xludf.DUMMYFUNCTION("""COMPUTED_VALUE"""),"")</f>
        <v/>
      </c>
      <c r="S2038" s="106" t="str">
        <f>IFERROR(__xludf.DUMMYFUNCTION("""COMPUTED_VALUE"""),"")</f>
        <v/>
      </c>
      <c r="T2038" s="139" t="str">
        <f>IFERROR(__xludf.DUMMYFUNCTION("""COMPUTED_VALUE"""),"")</f>
        <v/>
      </c>
      <c r="U2038" s="139" t="str">
        <f>IFERROR(__xludf.DUMMYFUNCTION("""COMPUTED_VALUE"""),"")</f>
        <v/>
      </c>
      <c r="V2038" s="136" t="str">
        <f>IFERROR(__xludf.DUMMYFUNCTION("""COMPUTED_VALUE"""),"")</f>
        <v/>
      </c>
      <c r="W2038" s="106" t="str">
        <f>IFERROR(__xludf.DUMMYFUNCTION("""COMPUTED_VALUE"""),"")</f>
        <v/>
      </c>
      <c r="X2038" s="143" t="str">
        <f t="shared" si="2"/>
        <v/>
      </c>
      <c r="Y2038" s="139" t="str">
        <f>IFERROR(__xludf.DUMMYFUNCTION("""COMPUTED_VALUE"""),"")</f>
        <v/>
      </c>
      <c r="Z2038" s="141" t="str">
        <f>IFERROR(__xludf.DUMMYFUNCTION("""COMPUTED_VALUE"""),"")</f>
        <v/>
      </c>
    </row>
    <row r="2039">
      <c r="D2039" s="136" t="str">
        <f t="shared" si="3"/>
        <v/>
      </c>
      <c r="E2039" s="152"/>
      <c r="F2039" s="106" t="s">
        <v>133</v>
      </c>
      <c r="G2039" s="152"/>
      <c r="H2039" s="106" t="s">
        <v>133</v>
      </c>
      <c r="J2039" s="139" t="s">
        <v>133</v>
      </c>
      <c r="K2039" s="136" t="s">
        <v>133</v>
      </c>
      <c r="L2039" s="153"/>
      <c r="M2039" s="136" t="str">
        <f t="shared" si="1"/>
        <v/>
      </c>
      <c r="O2039" s="141" t="s">
        <v>133</v>
      </c>
      <c r="P2039" s="136" t="str">
        <f>IFERROR(__xludf.DUMMYFUNCTION("""COMPUTED_VALUE"""),"")</f>
        <v/>
      </c>
      <c r="Q2039" s="136" t="str">
        <f>IFERROR(__xludf.DUMMYFUNCTION("""COMPUTED_VALUE"""),"")</f>
        <v/>
      </c>
      <c r="R2039" s="106" t="str">
        <f>IFERROR(__xludf.DUMMYFUNCTION("""COMPUTED_VALUE"""),"")</f>
        <v/>
      </c>
      <c r="S2039" s="106" t="str">
        <f>IFERROR(__xludf.DUMMYFUNCTION("""COMPUTED_VALUE"""),"")</f>
        <v/>
      </c>
      <c r="T2039" s="139" t="str">
        <f>IFERROR(__xludf.DUMMYFUNCTION("""COMPUTED_VALUE"""),"")</f>
        <v/>
      </c>
      <c r="U2039" s="139" t="str">
        <f>IFERROR(__xludf.DUMMYFUNCTION("""COMPUTED_VALUE"""),"")</f>
        <v/>
      </c>
      <c r="V2039" s="136" t="str">
        <f>IFERROR(__xludf.DUMMYFUNCTION("""COMPUTED_VALUE"""),"")</f>
        <v/>
      </c>
      <c r="W2039" s="106" t="str">
        <f>IFERROR(__xludf.DUMMYFUNCTION("""COMPUTED_VALUE"""),"")</f>
        <v/>
      </c>
      <c r="X2039" s="143" t="str">
        <f t="shared" si="2"/>
        <v/>
      </c>
      <c r="Y2039" s="139" t="str">
        <f>IFERROR(__xludf.DUMMYFUNCTION("""COMPUTED_VALUE"""),"")</f>
        <v/>
      </c>
      <c r="Z2039" s="141" t="str">
        <f>IFERROR(__xludf.DUMMYFUNCTION("""COMPUTED_VALUE"""),"")</f>
        <v/>
      </c>
    </row>
    <row r="2040">
      <c r="D2040" s="136" t="str">
        <f t="shared" si="3"/>
        <v/>
      </c>
      <c r="E2040" s="152"/>
      <c r="F2040" s="106" t="s">
        <v>133</v>
      </c>
      <c r="G2040" s="152"/>
      <c r="H2040" s="106" t="s">
        <v>133</v>
      </c>
      <c r="J2040" s="139" t="s">
        <v>133</v>
      </c>
      <c r="K2040" s="136" t="s">
        <v>133</v>
      </c>
      <c r="L2040" s="153"/>
      <c r="M2040" s="136" t="str">
        <f t="shared" si="1"/>
        <v/>
      </c>
      <c r="O2040" s="141" t="s">
        <v>133</v>
      </c>
      <c r="P2040" s="136" t="str">
        <f>IFERROR(__xludf.DUMMYFUNCTION("""COMPUTED_VALUE"""),"")</f>
        <v/>
      </c>
      <c r="Q2040" s="136" t="str">
        <f>IFERROR(__xludf.DUMMYFUNCTION("""COMPUTED_VALUE"""),"")</f>
        <v/>
      </c>
      <c r="R2040" s="106" t="str">
        <f>IFERROR(__xludf.DUMMYFUNCTION("""COMPUTED_VALUE"""),"")</f>
        <v/>
      </c>
      <c r="S2040" s="106" t="str">
        <f>IFERROR(__xludf.DUMMYFUNCTION("""COMPUTED_VALUE"""),"")</f>
        <v/>
      </c>
      <c r="T2040" s="139" t="str">
        <f>IFERROR(__xludf.DUMMYFUNCTION("""COMPUTED_VALUE"""),"")</f>
        <v/>
      </c>
      <c r="U2040" s="139" t="str">
        <f>IFERROR(__xludf.DUMMYFUNCTION("""COMPUTED_VALUE"""),"")</f>
        <v/>
      </c>
      <c r="V2040" s="136" t="str">
        <f>IFERROR(__xludf.DUMMYFUNCTION("""COMPUTED_VALUE"""),"")</f>
        <v/>
      </c>
      <c r="W2040" s="106" t="str">
        <f>IFERROR(__xludf.DUMMYFUNCTION("""COMPUTED_VALUE"""),"")</f>
        <v/>
      </c>
      <c r="X2040" s="143" t="str">
        <f t="shared" si="2"/>
        <v/>
      </c>
      <c r="Y2040" s="139" t="str">
        <f>IFERROR(__xludf.DUMMYFUNCTION("""COMPUTED_VALUE"""),"")</f>
        <v/>
      </c>
      <c r="Z2040" s="141" t="str">
        <f>IFERROR(__xludf.DUMMYFUNCTION("""COMPUTED_VALUE"""),"")</f>
        <v/>
      </c>
    </row>
    <row r="2041">
      <c r="D2041" s="136" t="str">
        <f t="shared" si="3"/>
        <v/>
      </c>
      <c r="E2041" s="152"/>
      <c r="F2041" s="106" t="s">
        <v>133</v>
      </c>
      <c r="G2041" s="152"/>
      <c r="H2041" s="106" t="s">
        <v>133</v>
      </c>
      <c r="J2041" s="139" t="s">
        <v>133</v>
      </c>
      <c r="K2041" s="136" t="s">
        <v>133</v>
      </c>
      <c r="L2041" s="153"/>
      <c r="M2041" s="136" t="str">
        <f t="shared" si="1"/>
        <v/>
      </c>
      <c r="O2041" s="141" t="s">
        <v>133</v>
      </c>
      <c r="P2041" s="136" t="str">
        <f>IFERROR(__xludf.DUMMYFUNCTION("""COMPUTED_VALUE"""),"")</f>
        <v/>
      </c>
      <c r="Q2041" s="136" t="str">
        <f>IFERROR(__xludf.DUMMYFUNCTION("""COMPUTED_VALUE"""),"")</f>
        <v/>
      </c>
      <c r="R2041" s="106" t="str">
        <f>IFERROR(__xludf.DUMMYFUNCTION("""COMPUTED_VALUE"""),"")</f>
        <v/>
      </c>
      <c r="S2041" s="106" t="str">
        <f>IFERROR(__xludf.DUMMYFUNCTION("""COMPUTED_VALUE"""),"")</f>
        <v/>
      </c>
      <c r="T2041" s="139" t="str">
        <f>IFERROR(__xludf.DUMMYFUNCTION("""COMPUTED_VALUE"""),"")</f>
        <v/>
      </c>
      <c r="U2041" s="139" t="str">
        <f>IFERROR(__xludf.DUMMYFUNCTION("""COMPUTED_VALUE"""),"")</f>
        <v/>
      </c>
      <c r="V2041" s="136" t="str">
        <f>IFERROR(__xludf.DUMMYFUNCTION("""COMPUTED_VALUE"""),"")</f>
        <v/>
      </c>
      <c r="W2041" s="106" t="str">
        <f>IFERROR(__xludf.DUMMYFUNCTION("""COMPUTED_VALUE"""),"")</f>
        <v/>
      </c>
      <c r="X2041" s="143" t="str">
        <f t="shared" si="2"/>
        <v/>
      </c>
      <c r="Y2041" s="139" t="str">
        <f>IFERROR(__xludf.DUMMYFUNCTION("""COMPUTED_VALUE"""),"")</f>
        <v/>
      </c>
      <c r="Z2041" s="141" t="str">
        <f>IFERROR(__xludf.DUMMYFUNCTION("""COMPUTED_VALUE"""),"")</f>
        <v/>
      </c>
    </row>
    <row r="2042">
      <c r="D2042" s="136" t="str">
        <f t="shared" si="3"/>
        <v/>
      </c>
      <c r="E2042" s="152"/>
      <c r="F2042" s="106" t="s">
        <v>133</v>
      </c>
      <c r="G2042" s="152"/>
      <c r="H2042" s="106" t="s">
        <v>133</v>
      </c>
      <c r="J2042" s="139" t="s">
        <v>133</v>
      </c>
      <c r="K2042" s="136" t="s">
        <v>133</v>
      </c>
      <c r="L2042" s="153"/>
      <c r="M2042" s="136" t="str">
        <f t="shared" si="1"/>
        <v/>
      </c>
      <c r="O2042" s="141" t="s">
        <v>133</v>
      </c>
      <c r="P2042" s="136" t="str">
        <f>IFERROR(__xludf.DUMMYFUNCTION("""COMPUTED_VALUE"""),"")</f>
        <v/>
      </c>
      <c r="Q2042" s="136" t="str">
        <f>IFERROR(__xludf.DUMMYFUNCTION("""COMPUTED_VALUE"""),"")</f>
        <v/>
      </c>
      <c r="R2042" s="106" t="str">
        <f>IFERROR(__xludf.DUMMYFUNCTION("""COMPUTED_VALUE"""),"")</f>
        <v/>
      </c>
      <c r="S2042" s="106" t="str">
        <f>IFERROR(__xludf.DUMMYFUNCTION("""COMPUTED_VALUE"""),"")</f>
        <v/>
      </c>
      <c r="T2042" s="139" t="str">
        <f>IFERROR(__xludf.DUMMYFUNCTION("""COMPUTED_VALUE"""),"")</f>
        <v/>
      </c>
      <c r="U2042" s="139" t="str">
        <f>IFERROR(__xludf.DUMMYFUNCTION("""COMPUTED_VALUE"""),"")</f>
        <v/>
      </c>
      <c r="V2042" s="136" t="str">
        <f>IFERROR(__xludf.DUMMYFUNCTION("""COMPUTED_VALUE"""),"")</f>
        <v/>
      </c>
      <c r="W2042" s="106" t="str">
        <f>IFERROR(__xludf.DUMMYFUNCTION("""COMPUTED_VALUE"""),"")</f>
        <v/>
      </c>
      <c r="X2042" s="143" t="str">
        <f t="shared" si="2"/>
        <v/>
      </c>
      <c r="Y2042" s="139" t="str">
        <f>IFERROR(__xludf.DUMMYFUNCTION("""COMPUTED_VALUE"""),"")</f>
        <v/>
      </c>
      <c r="Z2042" s="141" t="str">
        <f>IFERROR(__xludf.DUMMYFUNCTION("""COMPUTED_VALUE"""),"")</f>
        <v/>
      </c>
    </row>
    <row r="2043">
      <c r="D2043" s="136" t="str">
        <f t="shared" si="3"/>
        <v/>
      </c>
      <c r="E2043" s="152"/>
      <c r="F2043" s="106" t="s">
        <v>133</v>
      </c>
      <c r="G2043" s="152"/>
      <c r="H2043" s="106" t="s">
        <v>133</v>
      </c>
      <c r="J2043" s="139" t="s">
        <v>133</v>
      </c>
      <c r="K2043" s="136" t="s">
        <v>133</v>
      </c>
      <c r="L2043" s="153"/>
      <c r="M2043" s="136" t="str">
        <f t="shared" si="1"/>
        <v/>
      </c>
      <c r="O2043" s="141" t="s">
        <v>133</v>
      </c>
      <c r="P2043" s="136" t="str">
        <f>IFERROR(__xludf.DUMMYFUNCTION("""COMPUTED_VALUE"""),"")</f>
        <v/>
      </c>
      <c r="Q2043" s="136" t="str">
        <f>IFERROR(__xludf.DUMMYFUNCTION("""COMPUTED_VALUE"""),"")</f>
        <v/>
      </c>
      <c r="R2043" s="106" t="str">
        <f>IFERROR(__xludf.DUMMYFUNCTION("""COMPUTED_VALUE"""),"")</f>
        <v/>
      </c>
      <c r="S2043" s="106" t="str">
        <f>IFERROR(__xludf.DUMMYFUNCTION("""COMPUTED_VALUE"""),"")</f>
        <v/>
      </c>
      <c r="T2043" s="139" t="str">
        <f>IFERROR(__xludf.DUMMYFUNCTION("""COMPUTED_VALUE"""),"")</f>
        <v/>
      </c>
      <c r="U2043" s="139" t="str">
        <f>IFERROR(__xludf.DUMMYFUNCTION("""COMPUTED_VALUE"""),"")</f>
        <v/>
      </c>
      <c r="V2043" s="136" t="str">
        <f>IFERROR(__xludf.DUMMYFUNCTION("""COMPUTED_VALUE"""),"")</f>
        <v/>
      </c>
      <c r="W2043" s="106" t="str">
        <f>IFERROR(__xludf.DUMMYFUNCTION("""COMPUTED_VALUE"""),"")</f>
        <v/>
      </c>
      <c r="X2043" s="143" t="str">
        <f t="shared" si="2"/>
        <v/>
      </c>
      <c r="Y2043" s="139" t="str">
        <f>IFERROR(__xludf.DUMMYFUNCTION("""COMPUTED_VALUE"""),"")</f>
        <v/>
      </c>
      <c r="Z2043" s="141" t="str">
        <f>IFERROR(__xludf.DUMMYFUNCTION("""COMPUTED_VALUE"""),"")</f>
        <v/>
      </c>
    </row>
    <row r="2044">
      <c r="D2044" s="136" t="str">
        <f t="shared" si="3"/>
        <v/>
      </c>
      <c r="E2044" s="152"/>
      <c r="F2044" s="106" t="s">
        <v>133</v>
      </c>
      <c r="G2044" s="152"/>
      <c r="H2044" s="106" t="s">
        <v>133</v>
      </c>
      <c r="J2044" s="139" t="s">
        <v>133</v>
      </c>
      <c r="K2044" s="136" t="s">
        <v>133</v>
      </c>
      <c r="L2044" s="153"/>
      <c r="M2044" s="136" t="str">
        <f t="shared" si="1"/>
        <v/>
      </c>
      <c r="O2044" s="141" t="s">
        <v>133</v>
      </c>
      <c r="P2044" s="136" t="str">
        <f>IFERROR(__xludf.DUMMYFUNCTION("""COMPUTED_VALUE"""),"")</f>
        <v/>
      </c>
      <c r="Q2044" s="136" t="str">
        <f>IFERROR(__xludf.DUMMYFUNCTION("""COMPUTED_VALUE"""),"")</f>
        <v/>
      </c>
      <c r="R2044" s="106" t="str">
        <f>IFERROR(__xludf.DUMMYFUNCTION("""COMPUTED_VALUE"""),"")</f>
        <v/>
      </c>
      <c r="S2044" s="106" t="str">
        <f>IFERROR(__xludf.DUMMYFUNCTION("""COMPUTED_VALUE"""),"")</f>
        <v/>
      </c>
      <c r="T2044" s="139" t="str">
        <f>IFERROR(__xludf.DUMMYFUNCTION("""COMPUTED_VALUE"""),"")</f>
        <v/>
      </c>
      <c r="U2044" s="139" t="str">
        <f>IFERROR(__xludf.DUMMYFUNCTION("""COMPUTED_VALUE"""),"")</f>
        <v/>
      </c>
      <c r="V2044" s="136" t="str">
        <f>IFERROR(__xludf.DUMMYFUNCTION("""COMPUTED_VALUE"""),"")</f>
        <v/>
      </c>
      <c r="W2044" s="106" t="str">
        <f>IFERROR(__xludf.DUMMYFUNCTION("""COMPUTED_VALUE"""),"")</f>
        <v/>
      </c>
      <c r="X2044" s="143" t="str">
        <f t="shared" si="2"/>
        <v/>
      </c>
      <c r="Y2044" s="139" t="str">
        <f>IFERROR(__xludf.DUMMYFUNCTION("""COMPUTED_VALUE"""),"")</f>
        <v/>
      </c>
      <c r="Z2044" s="141" t="str">
        <f>IFERROR(__xludf.DUMMYFUNCTION("""COMPUTED_VALUE"""),"")</f>
        <v/>
      </c>
    </row>
    <row r="2045">
      <c r="D2045" s="136" t="str">
        <f t="shared" si="3"/>
        <v/>
      </c>
      <c r="E2045" s="152"/>
      <c r="F2045" s="106" t="s">
        <v>133</v>
      </c>
      <c r="G2045" s="152"/>
      <c r="H2045" s="106" t="s">
        <v>133</v>
      </c>
      <c r="J2045" s="139" t="s">
        <v>133</v>
      </c>
      <c r="K2045" s="136" t="s">
        <v>133</v>
      </c>
      <c r="L2045" s="153"/>
      <c r="M2045" s="136" t="str">
        <f t="shared" si="1"/>
        <v/>
      </c>
      <c r="O2045" s="141" t="s">
        <v>133</v>
      </c>
      <c r="P2045" s="136" t="str">
        <f>IFERROR(__xludf.DUMMYFUNCTION("""COMPUTED_VALUE"""),"")</f>
        <v/>
      </c>
      <c r="Q2045" s="136" t="str">
        <f>IFERROR(__xludf.DUMMYFUNCTION("""COMPUTED_VALUE"""),"")</f>
        <v/>
      </c>
      <c r="R2045" s="106" t="str">
        <f>IFERROR(__xludf.DUMMYFUNCTION("""COMPUTED_VALUE"""),"")</f>
        <v/>
      </c>
      <c r="S2045" s="106" t="str">
        <f>IFERROR(__xludf.DUMMYFUNCTION("""COMPUTED_VALUE"""),"")</f>
        <v/>
      </c>
      <c r="T2045" s="139" t="str">
        <f>IFERROR(__xludf.DUMMYFUNCTION("""COMPUTED_VALUE"""),"")</f>
        <v/>
      </c>
      <c r="U2045" s="139" t="str">
        <f>IFERROR(__xludf.DUMMYFUNCTION("""COMPUTED_VALUE"""),"")</f>
        <v/>
      </c>
      <c r="V2045" s="136" t="str">
        <f>IFERROR(__xludf.DUMMYFUNCTION("""COMPUTED_VALUE"""),"")</f>
        <v/>
      </c>
      <c r="W2045" s="106" t="str">
        <f>IFERROR(__xludf.DUMMYFUNCTION("""COMPUTED_VALUE"""),"")</f>
        <v/>
      </c>
      <c r="X2045" s="143" t="str">
        <f t="shared" si="2"/>
        <v/>
      </c>
      <c r="Y2045" s="139" t="str">
        <f>IFERROR(__xludf.DUMMYFUNCTION("""COMPUTED_VALUE"""),"")</f>
        <v/>
      </c>
      <c r="Z2045" s="141" t="str">
        <f>IFERROR(__xludf.DUMMYFUNCTION("""COMPUTED_VALUE"""),"")</f>
        <v/>
      </c>
    </row>
    <row r="2046">
      <c r="D2046" s="136" t="str">
        <f t="shared" si="3"/>
        <v/>
      </c>
      <c r="E2046" s="152"/>
      <c r="F2046" s="106" t="s">
        <v>133</v>
      </c>
      <c r="G2046" s="152"/>
      <c r="H2046" s="106" t="s">
        <v>133</v>
      </c>
      <c r="J2046" s="139" t="s">
        <v>133</v>
      </c>
      <c r="K2046" s="136" t="s">
        <v>133</v>
      </c>
      <c r="L2046" s="153"/>
      <c r="M2046" s="136" t="str">
        <f t="shared" si="1"/>
        <v/>
      </c>
      <c r="O2046" s="141" t="s">
        <v>133</v>
      </c>
      <c r="P2046" s="136" t="str">
        <f>IFERROR(__xludf.DUMMYFUNCTION("""COMPUTED_VALUE"""),"")</f>
        <v/>
      </c>
      <c r="Q2046" s="136" t="str">
        <f>IFERROR(__xludf.DUMMYFUNCTION("""COMPUTED_VALUE"""),"")</f>
        <v/>
      </c>
      <c r="R2046" s="106" t="str">
        <f>IFERROR(__xludf.DUMMYFUNCTION("""COMPUTED_VALUE"""),"")</f>
        <v/>
      </c>
      <c r="S2046" s="106" t="str">
        <f>IFERROR(__xludf.DUMMYFUNCTION("""COMPUTED_VALUE"""),"")</f>
        <v/>
      </c>
      <c r="T2046" s="139" t="str">
        <f>IFERROR(__xludf.DUMMYFUNCTION("""COMPUTED_VALUE"""),"")</f>
        <v/>
      </c>
      <c r="U2046" s="139" t="str">
        <f>IFERROR(__xludf.DUMMYFUNCTION("""COMPUTED_VALUE"""),"")</f>
        <v/>
      </c>
      <c r="V2046" s="136" t="str">
        <f>IFERROR(__xludf.DUMMYFUNCTION("""COMPUTED_VALUE"""),"")</f>
        <v/>
      </c>
      <c r="W2046" s="106" t="str">
        <f>IFERROR(__xludf.DUMMYFUNCTION("""COMPUTED_VALUE"""),"")</f>
        <v/>
      </c>
      <c r="X2046" s="143" t="str">
        <f t="shared" si="2"/>
        <v/>
      </c>
      <c r="Y2046" s="139" t="str">
        <f>IFERROR(__xludf.DUMMYFUNCTION("""COMPUTED_VALUE"""),"")</f>
        <v/>
      </c>
      <c r="Z2046" s="141" t="str">
        <f>IFERROR(__xludf.DUMMYFUNCTION("""COMPUTED_VALUE"""),"")</f>
        <v/>
      </c>
    </row>
    <row r="2047">
      <c r="D2047" s="136" t="str">
        <f t="shared" si="3"/>
        <v/>
      </c>
      <c r="E2047" s="152"/>
      <c r="F2047" s="106" t="s">
        <v>133</v>
      </c>
      <c r="G2047" s="152"/>
      <c r="H2047" s="106" t="s">
        <v>133</v>
      </c>
      <c r="J2047" s="139" t="s">
        <v>133</v>
      </c>
      <c r="K2047" s="136" t="s">
        <v>133</v>
      </c>
      <c r="L2047" s="153"/>
      <c r="M2047" s="136" t="str">
        <f t="shared" si="1"/>
        <v/>
      </c>
      <c r="O2047" s="141" t="s">
        <v>133</v>
      </c>
      <c r="P2047" s="136" t="str">
        <f>IFERROR(__xludf.DUMMYFUNCTION("""COMPUTED_VALUE"""),"")</f>
        <v/>
      </c>
      <c r="Q2047" s="136" t="str">
        <f>IFERROR(__xludf.DUMMYFUNCTION("""COMPUTED_VALUE"""),"")</f>
        <v/>
      </c>
      <c r="R2047" s="106" t="str">
        <f>IFERROR(__xludf.DUMMYFUNCTION("""COMPUTED_VALUE"""),"")</f>
        <v/>
      </c>
      <c r="S2047" s="106" t="str">
        <f>IFERROR(__xludf.DUMMYFUNCTION("""COMPUTED_VALUE"""),"")</f>
        <v/>
      </c>
      <c r="T2047" s="139" t="str">
        <f>IFERROR(__xludf.DUMMYFUNCTION("""COMPUTED_VALUE"""),"")</f>
        <v/>
      </c>
      <c r="U2047" s="139" t="str">
        <f>IFERROR(__xludf.DUMMYFUNCTION("""COMPUTED_VALUE"""),"")</f>
        <v/>
      </c>
      <c r="V2047" s="136" t="str">
        <f>IFERROR(__xludf.DUMMYFUNCTION("""COMPUTED_VALUE"""),"")</f>
        <v/>
      </c>
      <c r="W2047" s="106" t="str">
        <f>IFERROR(__xludf.DUMMYFUNCTION("""COMPUTED_VALUE"""),"")</f>
        <v/>
      </c>
      <c r="X2047" s="143" t="str">
        <f t="shared" si="2"/>
        <v/>
      </c>
      <c r="Y2047" s="139" t="str">
        <f>IFERROR(__xludf.DUMMYFUNCTION("""COMPUTED_VALUE"""),"")</f>
        <v/>
      </c>
      <c r="Z2047" s="141" t="str">
        <f>IFERROR(__xludf.DUMMYFUNCTION("""COMPUTED_VALUE"""),"")</f>
        <v/>
      </c>
    </row>
    <row r="2048">
      <c r="D2048" s="136" t="str">
        <f t="shared" si="3"/>
        <v/>
      </c>
      <c r="E2048" s="152"/>
      <c r="F2048" s="106" t="s">
        <v>133</v>
      </c>
      <c r="G2048" s="152"/>
      <c r="H2048" s="106" t="s">
        <v>133</v>
      </c>
      <c r="J2048" s="139" t="s">
        <v>133</v>
      </c>
      <c r="K2048" s="136" t="s">
        <v>133</v>
      </c>
      <c r="L2048" s="153"/>
      <c r="M2048" s="136" t="str">
        <f t="shared" si="1"/>
        <v/>
      </c>
      <c r="O2048" s="141" t="s">
        <v>133</v>
      </c>
      <c r="P2048" s="136" t="str">
        <f>IFERROR(__xludf.DUMMYFUNCTION("""COMPUTED_VALUE"""),"")</f>
        <v/>
      </c>
      <c r="Q2048" s="136" t="str">
        <f>IFERROR(__xludf.DUMMYFUNCTION("""COMPUTED_VALUE"""),"")</f>
        <v/>
      </c>
      <c r="R2048" s="106" t="str">
        <f>IFERROR(__xludf.DUMMYFUNCTION("""COMPUTED_VALUE"""),"")</f>
        <v/>
      </c>
      <c r="S2048" s="106" t="str">
        <f>IFERROR(__xludf.DUMMYFUNCTION("""COMPUTED_VALUE"""),"")</f>
        <v/>
      </c>
      <c r="T2048" s="139" t="str">
        <f>IFERROR(__xludf.DUMMYFUNCTION("""COMPUTED_VALUE"""),"")</f>
        <v/>
      </c>
      <c r="U2048" s="139" t="str">
        <f>IFERROR(__xludf.DUMMYFUNCTION("""COMPUTED_VALUE"""),"")</f>
        <v/>
      </c>
      <c r="V2048" s="136" t="str">
        <f>IFERROR(__xludf.DUMMYFUNCTION("""COMPUTED_VALUE"""),"")</f>
        <v/>
      </c>
      <c r="W2048" s="106" t="str">
        <f>IFERROR(__xludf.DUMMYFUNCTION("""COMPUTED_VALUE"""),"")</f>
        <v/>
      </c>
      <c r="X2048" s="143" t="str">
        <f t="shared" si="2"/>
        <v/>
      </c>
      <c r="Y2048" s="139" t="str">
        <f>IFERROR(__xludf.DUMMYFUNCTION("""COMPUTED_VALUE"""),"")</f>
        <v/>
      </c>
      <c r="Z2048" s="141" t="str">
        <f>IFERROR(__xludf.DUMMYFUNCTION("""COMPUTED_VALUE"""),"")</f>
        <v/>
      </c>
    </row>
    <row r="2049">
      <c r="D2049" s="136" t="str">
        <f t="shared" si="3"/>
        <v/>
      </c>
      <c r="E2049" s="152"/>
      <c r="F2049" s="106" t="s">
        <v>133</v>
      </c>
      <c r="G2049" s="152"/>
      <c r="H2049" s="106" t="s">
        <v>133</v>
      </c>
      <c r="J2049" s="139" t="s">
        <v>133</v>
      </c>
      <c r="K2049" s="136" t="s">
        <v>133</v>
      </c>
      <c r="L2049" s="153"/>
      <c r="M2049" s="136" t="str">
        <f t="shared" si="1"/>
        <v/>
      </c>
      <c r="O2049" s="141" t="s">
        <v>133</v>
      </c>
      <c r="P2049" s="136" t="str">
        <f>IFERROR(__xludf.DUMMYFUNCTION("""COMPUTED_VALUE"""),"")</f>
        <v/>
      </c>
      <c r="Q2049" s="136" t="str">
        <f>IFERROR(__xludf.DUMMYFUNCTION("""COMPUTED_VALUE"""),"")</f>
        <v/>
      </c>
      <c r="R2049" s="106" t="str">
        <f>IFERROR(__xludf.DUMMYFUNCTION("""COMPUTED_VALUE"""),"")</f>
        <v/>
      </c>
      <c r="S2049" s="106" t="str">
        <f>IFERROR(__xludf.DUMMYFUNCTION("""COMPUTED_VALUE"""),"")</f>
        <v/>
      </c>
      <c r="T2049" s="139" t="str">
        <f>IFERROR(__xludf.DUMMYFUNCTION("""COMPUTED_VALUE"""),"")</f>
        <v/>
      </c>
      <c r="U2049" s="139" t="str">
        <f>IFERROR(__xludf.DUMMYFUNCTION("""COMPUTED_VALUE"""),"")</f>
        <v/>
      </c>
      <c r="V2049" s="136" t="str">
        <f>IFERROR(__xludf.DUMMYFUNCTION("""COMPUTED_VALUE"""),"")</f>
        <v/>
      </c>
      <c r="W2049" s="106" t="str">
        <f>IFERROR(__xludf.DUMMYFUNCTION("""COMPUTED_VALUE"""),"")</f>
        <v/>
      </c>
      <c r="X2049" s="143" t="str">
        <f t="shared" si="2"/>
        <v/>
      </c>
      <c r="Y2049" s="139" t="str">
        <f>IFERROR(__xludf.DUMMYFUNCTION("""COMPUTED_VALUE"""),"")</f>
        <v/>
      </c>
      <c r="Z2049" s="141" t="str">
        <f>IFERROR(__xludf.DUMMYFUNCTION("""COMPUTED_VALUE"""),"")</f>
        <v/>
      </c>
    </row>
    <row r="2050">
      <c r="D2050" s="136" t="str">
        <f t="shared" si="3"/>
        <v/>
      </c>
      <c r="E2050" s="152"/>
      <c r="F2050" s="106" t="s">
        <v>133</v>
      </c>
      <c r="G2050" s="152"/>
      <c r="H2050" s="106" t="s">
        <v>133</v>
      </c>
      <c r="J2050" s="139" t="s">
        <v>133</v>
      </c>
      <c r="K2050" s="136" t="s">
        <v>133</v>
      </c>
      <c r="L2050" s="153"/>
      <c r="M2050" s="136" t="str">
        <f t="shared" si="1"/>
        <v/>
      </c>
      <c r="O2050" s="141" t="s">
        <v>133</v>
      </c>
      <c r="P2050" s="136" t="str">
        <f>IFERROR(__xludf.DUMMYFUNCTION("""COMPUTED_VALUE"""),"")</f>
        <v/>
      </c>
      <c r="Q2050" s="136" t="str">
        <f>IFERROR(__xludf.DUMMYFUNCTION("""COMPUTED_VALUE"""),"")</f>
        <v/>
      </c>
      <c r="R2050" s="106" t="str">
        <f>IFERROR(__xludf.DUMMYFUNCTION("""COMPUTED_VALUE"""),"")</f>
        <v/>
      </c>
      <c r="S2050" s="106" t="str">
        <f>IFERROR(__xludf.DUMMYFUNCTION("""COMPUTED_VALUE"""),"")</f>
        <v/>
      </c>
      <c r="T2050" s="139" t="str">
        <f>IFERROR(__xludf.DUMMYFUNCTION("""COMPUTED_VALUE"""),"")</f>
        <v/>
      </c>
      <c r="U2050" s="139" t="str">
        <f>IFERROR(__xludf.DUMMYFUNCTION("""COMPUTED_VALUE"""),"")</f>
        <v/>
      </c>
      <c r="V2050" s="136" t="str">
        <f>IFERROR(__xludf.DUMMYFUNCTION("""COMPUTED_VALUE"""),"")</f>
        <v/>
      </c>
      <c r="W2050" s="106" t="str">
        <f>IFERROR(__xludf.DUMMYFUNCTION("""COMPUTED_VALUE"""),"")</f>
        <v/>
      </c>
      <c r="X2050" s="143" t="str">
        <f t="shared" si="2"/>
        <v/>
      </c>
      <c r="Y2050" s="139" t="str">
        <f>IFERROR(__xludf.DUMMYFUNCTION("""COMPUTED_VALUE"""),"")</f>
        <v/>
      </c>
      <c r="Z2050" s="141" t="str">
        <f>IFERROR(__xludf.DUMMYFUNCTION("""COMPUTED_VALUE"""),"")</f>
        <v/>
      </c>
    </row>
    <row r="2051">
      <c r="D2051" s="136" t="str">
        <f t="shared" si="3"/>
        <v/>
      </c>
      <c r="E2051" s="152"/>
      <c r="F2051" s="106" t="s">
        <v>133</v>
      </c>
      <c r="G2051" s="152"/>
      <c r="H2051" s="106" t="s">
        <v>133</v>
      </c>
      <c r="J2051" s="139" t="s">
        <v>133</v>
      </c>
      <c r="K2051" s="136" t="s">
        <v>133</v>
      </c>
      <c r="L2051" s="153"/>
      <c r="M2051" s="136" t="str">
        <f t="shared" si="1"/>
        <v/>
      </c>
      <c r="O2051" s="141" t="s">
        <v>133</v>
      </c>
      <c r="P2051" s="136" t="str">
        <f>IFERROR(__xludf.DUMMYFUNCTION("""COMPUTED_VALUE"""),"")</f>
        <v/>
      </c>
      <c r="Q2051" s="136" t="str">
        <f>IFERROR(__xludf.DUMMYFUNCTION("""COMPUTED_VALUE"""),"")</f>
        <v/>
      </c>
      <c r="R2051" s="106" t="str">
        <f>IFERROR(__xludf.DUMMYFUNCTION("""COMPUTED_VALUE"""),"")</f>
        <v/>
      </c>
      <c r="S2051" s="106" t="str">
        <f>IFERROR(__xludf.DUMMYFUNCTION("""COMPUTED_VALUE"""),"")</f>
        <v/>
      </c>
      <c r="T2051" s="139" t="str">
        <f>IFERROR(__xludf.DUMMYFUNCTION("""COMPUTED_VALUE"""),"")</f>
        <v/>
      </c>
      <c r="U2051" s="139" t="str">
        <f>IFERROR(__xludf.DUMMYFUNCTION("""COMPUTED_VALUE"""),"")</f>
        <v/>
      </c>
      <c r="V2051" s="136" t="str">
        <f>IFERROR(__xludf.DUMMYFUNCTION("""COMPUTED_VALUE"""),"")</f>
        <v/>
      </c>
      <c r="W2051" s="106" t="str">
        <f>IFERROR(__xludf.DUMMYFUNCTION("""COMPUTED_VALUE"""),"")</f>
        <v/>
      </c>
      <c r="X2051" s="143" t="str">
        <f t="shared" si="2"/>
        <v/>
      </c>
      <c r="Y2051" s="139" t="str">
        <f>IFERROR(__xludf.DUMMYFUNCTION("""COMPUTED_VALUE"""),"")</f>
        <v/>
      </c>
      <c r="Z2051" s="141" t="str">
        <f>IFERROR(__xludf.DUMMYFUNCTION("""COMPUTED_VALUE"""),"")</f>
        <v/>
      </c>
    </row>
    <row r="2052">
      <c r="D2052" s="136" t="str">
        <f t="shared" si="3"/>
        <v/>
      </c>
      <c r="E2052" s="152"/>
      <c r="F2052" s="106" t="s">
        <v>133</v>
      </c>
      <c r="G2052" s="152"/>
      <c r="H2052" s="106" t="s">
        <v>133</v>
      </c>
      <c r="J2052" s="139" t="s">
        <v>133</v>
      </c>
      <c r="K2052" s="136" t="s">
        <v>133</v>
      </c>
      <c r="L2052" s="153"/>
      <c r="M2052" s="136" t="str">
        <f t="shared" si="1"/>
        <v/>
      </c>
      <c r="O2052" s="141" t="s">
        <v>133</v>
      </c>
      <c r="P2052" s="136" t="str">
        <f>IFERROR(__xludf.DUMMYFUNCTION("""COMPUTED_VALUE"""),"")</f>
        <v/>
      </c>
      <c r="Q2052" s="136" t="str">
        <f>IFERROR(__xludf.DUMMYFUNCTION("""COMPUTED_VALUE"""),"")</f>
        <v/>
      </c>
      <c r="R2052" s="106" t="str">
        <f>IFERROR(__xludf.DUMMYFUNCTION("""COMPUTED_VALUE"""),"")</f>
        <v/>
      </c>
      <c r="S2052" s="106" t="str">
        <f>IFERROR(__xludf.DUMMYFUNCTION("""COMPUTED_VALUE"""),"")</f>
        <v/>
      </c>
      <c r="T2052" s="139" t="str">
        <f>IFERROR(__xludf.DUMMYFUNCTION("""COMPUTED_VALUE"""),"")</f>
        <v/>
      </c>
      <c r="U2052" s="139" t="str">
        <f>IFERROR(__xludf.DUMMYFUNCTION("""COMPUTED_VALUE"""),"")</f>
        <v/>
      </c>
      <c r="V2052" s="136" t="str">
        <f>IFERROR(__xludf.DUMMYFUNCTION("""COMPUTED_VALUE"""),"")</f>
        <v/>
      </c>
      <c r="W2052" s="106" t="str">
        <f>IFERROR(__xludf.DUMMYFUNCTION("""COMPUTED_VALUE"""),"")</f>
        <v/>
      </c>
      <c r="X2052" s="143" t="str">
        <f t="shared" si="2"/>
        <v/>
      </c>
      <c r="Y2052" s="139" t="str">
        <f>IFERROR(__xludf.DUMMYFUNCTION("""COMPUTED_VALUE"""),"")</f>
        <v/>
      </c>
      <c r="Z2052" s="141" t="str">
        <f>IFERROR(__xludf.DUMMYFUNCTION("""COMPUTED_VALUE"""),"")</f>
        <v/>
      </c>
    </row>
    <row r="2053">
      <c r="D2053" s="136" t="str">
        <f t="shared" si="3"/>
        <v/>
      </c>
      <c r="E2053" s="152"/>
      <c r="F2053" s="106" t="s">
        <v>133</v>
      </c>
      <c r="G2053" s="152"/>
      <c r="H2053" s="106" t="s">
        <v>133</v>
      </c>
      <c r="J2053" s="139" t="s">
        <v>133</v>
      </c>
      <c r="K2053" s="136" t="s">
        <v>133</v>
      </c>
      <c r="L2053" s="153"/>
      <c r="M2053" s="136" t="str">
        <f t="shared" si="1"/>
        <v/>
      </c>
      <c r="O2053" s="141" t="s">
        <v>133</v>
      </c>
      <c r="P2053" s="136" t="str">
        <f>IFERROR(__xludf.DUMMYFUNCTION("""COMPUTED_VALUE"""),"")</f>
        <v/>
      </c>
      <c r="Q2053" s="136" t="str">
        <f>IFERROR(__xludf.DUMMYFUNCTION("""COMPUTED_VALUE"""),"")</f>
        <v/>
      </c>
      <c r="R2053" s="106" t="str">
        <f>IFERROR(__xludf.DUMMYFUNCTION("""COMPUTED_VALUE"""),"")</f>
        <v/>
      </c>
      <c r="S2053" s="106" t="str">
        <f>IFERROR(__xludf.DUMMYFUNCTION("""COMPUTED_VALUE"""),"")</f>
        <v/>
      </c>
      <c r="T2053" s="139" t="str">
        <f>IFERROR(__xludf.DUMMYFUNCTION("""COMPUTED_VALUE"""),"")</f>
        <v/>
      </c>
      <c r="U2053" s="139" t="str">
        <f>IFERROR(__xludf.DUMMYFUNCTION("""COMPUTED_VALUE"""),"")</f>
        <v/>
      </c>
      <c r="V2053" s="136" t="str">
        <f>IFERROR(__xludf.DUMMYFUNCTION("""COMPUTED_VALUE"""),"")</f>
        <v/>
      </c>
      <c r="W2053" s="106" t="str">
        <f>IFERROR(__xludf.DUMMYFUNCTION("""COMPUTED_VALUE"""),"")</f>
        <v/>
      </c>
      <c r="X2053" s="143" t="str">
        <f t="shared" si="2"/>
        <v/>
      </c>
      <c r="Y2053" s="139" t="str">
        <f>IFERROR(__xludf.DUMMYFUNCTION("""COMPUTED_VALUE"""),"")</f>
        <v/>
      </c>
      <c r="Z2053" s="141" t="str">
        <f>IFERROR(__xludf.DUMMYFUNCTION("""COMPUTED_VALUE"""),"")</f>
        <v/>
      </c>
    </row>
    <row r="2054">
      <c r="D2054" s="136" t="str">
        <f t="shared" si="3"/>
        <v/>
      </c>
      <c r="E2054" s="152"/>
      <c r="F2054" s="106" t="s">
        <v>133</v>
      </c>
      <c r="G2054" s="152"/>
      <c r="H2054" s="106" t="s">
        <v>133</v>
      </c>
      <c r="J2054" s="139" t="s">
        <v>133</v>
      </c>
      <c r="K2054" s="136" t="s">
        <v>133</v>
      </c>
      <c r="L2054" s="153"/>
      <c r="M2054" s="136" t="str">
        <f t="shared" si="1"/>
        <v/>
      </c>
      <c r="O2054" s="141" t="s">
        <v>133</v>
      </c>
      <c r="P2054" s="136" t="str">
        <f>IFERROR(__xludf.DUMMYFUNCTION("""COMPUTED_VALUE"""),"")</f>
        <v/>
      </c>
      <c r="Q2054" s="136" t="str">
        <f>IFERROR(__xludf.DUMMYFUNCTION("""COMPUTED_VALUE"""),"")</f>
        <v/>
      </c>
      <c r="R2054" s="106" t="str">
        <f>IFERROR(__xludf.DUMMYFUNCTION("""COMPUTED_VALUE"""),"")</f>
        <v/>
      </c>
      <c r="S2054" s="106" t="str">
        <f>IFERROR(__xludf.DUMMYFUNCTION("""COMPUTED_VALUE"""),"")</f>
        <v/>
      </c>
      <c r="T2054" s="139" t="str">
        <f>IFERROR(__xludf.DUMMYFUNCTION("""COMPUTED_VALUE"""),"")</f>
        <v/>
      </c>
      <c r="U2054" s="139" t="str">
        <f>IFERROR(__xludf.DUMMYFUNCTION("""COMPUTED_VALUE"""),"")</f>
        <v/>
      </c>
      <c r="V2054" s="136" t="str">
        <f>IFERROR(__xludf.DUMMYFUNCTION("""COMPUTED_VALUE"""),"")</f>
        <v/>
      </c>
      <c r="W2054" s="106" t="str">
        <f>IFERROR(__xludf.DUMMYFUNCTION("""COMPUTED_VALUE"""),"")</f>
        <v/>
      </c>
      <c r="X2054" s="143" t="str">
        <f t="shared" si="2"/>
        <v/>
      </c>
      <c r="Y2054" s="139" t="str">
        <f>IFERROR(__xludf.DUMMYFUNCTION("""COMPUTED_VALUE"""),"")</f>
        <v/>
      </c>
      <c r="Z2054" s="141" t="str">
        <f>IFERROR(__xludf.DUMMYFUNCTION("""COMPUTED_VALUE"""),"")</f>
        <v/>
      </c>
    </row>
    <row r="2055">
      <c r="D2055" s="136" t="str">
        <f t="shared" si="3"/>
        <v/>
      </c>
      <c r="E2055" s="152"/>
      <c r="F2055" s="106" t="s">
        <v>133</v>
      </c>
      <c r="G2055" s="152"/>
      <c r="H2055" s="106" t="s">
        <v>133</v>
      </c>
      <c r="J2055" s="139" t="s">
        <v>133</v>
      </c>
      <c r="K2055" s="136" t="s">
        <v>133</v>
      </c>
      <c r="L2055" s="153"/>
      <c r="M2055" s="136" t="str">
        <f t="shared" si="1"/>
        <v/>
      </c>
      <c r="O2055" s="141" t="s">
        <v>133</v>
      </c>
      <c r="P2055" s="136" t="str">
        <f>IFERROR(__xludf.DUMMYFUNCTION("""COMPUTED_VALUE"""),"")</f>
        <v/>
      </c>
      <c r="Q2055" s="136" t="str">
        <f>IFERROR(__xludf.DUMMYFUNCTION("""COMPUTED_VALUE"""),"")</f>
        <v/>
      </c>
      <c r="R2055" s="106" t="str">
        <f>IFERROR(__xludf.DUMMYFUNCTION("""COMPUTED_VALUE"""),"")</f>
        <v/>
      </c>
      <c r="S2055" s="106" t="str">
        <f>IFERROR(__xludf.DUMMYFUNCTION("""COMPUTED_VALUE"""),"")</f>
        <v/>
      </c>
      <c r="T2055" s="139" t="str">
        <f>IFERROR(__xludf.DUMMYFUNCTION("""COMPUTED_VALUE"""),"")</f>
        <v/>
      </c>
      <c r="U2055" s="139" t="str">
        <f>IFERROR(__xludf.DUMMYFUNCTION("""COMPUTED_VALUE"""),"")</f>
        <v/>
      </c>
      <c r="V2055" s="136" t="str">
        <f>IFERROR(__xludf.DUMMYFUNCTION("""COMPUTED_VALUE"""),"")</f>
        <v/>
      </c>
      <c r="W2055" s="106" t="str">
        <f>IFERROR(__xludf.DUMMYFUNCTION("""COMPUTED_VALUE"""),"")</f>
        <v/>
      </c>
      <c r="X2055" s="143" t="str">
        <f t="shared" si="2"/>
        <v/>
      </c>
      <c r="Y2055" s="139" t="str">
        <f>IFERROR(__xludf.DUMMYFUNCTION("""COMPUTED_VALUE"""),"")</f>
        <v/>
      </c>
      <c r="Z2055" s="141" t="str">
        <f>IFERROR(__xludf.DUMMYFUNCTION("""COMPUTED_VALUE"""),"")</f>
        <v/>
      </c>
    </row>
    <row r="2056">
      <c r="D2056" s="136" t="str">
        <f t="shared" si="3"/>
        <v/>
      </c>
      <c r="E2056" s="152"/>
      <c r="F2056" s="106" t="s">
        <v>133</v>
      </c>
      <c r="G2056" s="152"/>
      <c r="H2056" s="106" t="s">
        <v>133</v>
      </c>
      <c r="J2056" s="139" t="s">
        <v>133</v>
      </c>
      <c r="K2056" s="136" t="s">
        <v>133</v>
      </c>
      <c r="L2056" s="153"/>
      <c r="M2056" s="136" t="str">
        <f t="shared" si="1"/>
        <v/>
      </c>
      <c r="O2056" s="141" t="s">
        <v>133</v>
      </c>
      <c r="P2056" s="136" t="str">
        <f>IFERROR(__xludf.DUMMYFUNCTION("""COMPUTED_VALUE"""),"")</f>
        <v/>
      </c>
      <c r="Q2056" s="136" t="str">
        <f>IFERROR(__xludf.DUMMYFUNCTION("""COMPUTED_VALUE"""),"")</f>
        <v/>
      </c>
      <c r="R2056" s="106" t="str">
        <f>IFERROR(__xludf.DUMMYFUNCTION("""COMPUTED_VALUE"""),"")</f>
        <v/>
      </c>
      <c r="S2056" s="106" t="str">
        <f>IFERROR(__xludf.DUMMYFUNCTION("""COMPUTED_VALUE"""),"")</f>
        <v/>
      </c>
      <c r="T2056" s="139" t="str">
        <f>IFERROR(__xludf.DUMMYFUNCTION("""COMPUTED_VALUE"""),"")</f>
        <v/>
      </c>
      <c r="U2056" s="139" t="str">
        <f>IFERROR(__xludf.DUMMYFUNCTION("""COMPUTED_VALUE"""),"")</f>
        <v/>
      </c>
      <c r="V2056" s="136" t="str">
        <f>IFERROR(__xludf.DUMMYFUNCTION("""COMPUTED_VALUE"""),"")</f>
        <v/>
      </c>
      <c r="W2056" s="106" t="str">
        <f>IFERROR(__xludf.DUMMYFUNCTION("""COMPUTED_VALUE"""),"")</f>
        <v/>
      </c>
      <c r="X2056" s="143" t="str">
        <f t="shared" si="2"/>
        <v/>
      </c>
      <c r="Y2056" s="139" t="str">
        <f>IFERROR(__xludf.DUMMYFUNCTION("""COMPUTED_VALUE"""),"")</f>
        <v/>
      </c>
      <c r="Z2056" s="141" t="str">
        <f>IFERROR(__xludf.DUMMYFUNCTION("""COMPUTED_VALUE"""),"")</f>
        <v/>
      </c>
    </row>
    <row r="2057">
      <c r="D2057" s="136" t="str">
        <f t="shared" si="3"/>
        <v/>
      </c>
      <c r="E2057" s="152"/>
      <c r="F2057" s="106" t="s">
        <v>133</v>
      </c>
      <c r="G2057" s="152"/>
      <c r="H2057" s="106" t="s">
        <v>133</v>
      </c>
      <c r="J2057" s="139" t="s">
        <v>133</v>
      </c>
      <c r="K2057" s="136" t="s">
        <v>133</v>
      </c>
      <c r="L2057" s="153"/>
      <c r="M2057" s="136" t="str">
        <f t="shared" si="1"/>
        <v/>
      </c>
      <c r="O2057" s="141" t="s">
        <v>133</v>
      </c>
      <c r="P2057" s="136" t="str">
        <f>IFERROR(__xludf.DUMMYFUNCTION("""COMPUTED_VALUE"""),"")</f>
        <v/>
      </c>
      <c r="Q2057" s="136" t="str">
        <f>IFERROR(__xludf.DUMMYFUNCTION("""COMPUTED_VALUE"""),"")</f>
        <v/>
      </c>
      <c r="R2057" s="106" t="str">
        <f>IFERROR(__xludf.DUMMYFUNCTION("""COMPUTED_VALUE"""),"")</f>
        <v/>
      </c>
      <c r="S2057" s="106" t="str">
        <f>IFERROR(__xludf.DUMMYFUNCTION("""COMPUTED_VALUE"""),"")</f>
        <v/>
      </c>
      <c r="T2057" s="139" t="str">
        <f>IFERROR(__xludf.DUMMYFUNCTION("""COMPUTED_VALUE"""),"")</f>
        <v/>
      </c>
      <c r="U2057" s="139" t="str">
        <f>IFERROR(__xludf.DUMMYFUNCTION("""COMPUTED_VALUE"""),"")</f>
        <v/>
      </c>
      <c r="V2057" s="136" t="str">
        <f>IFERROR(__xludf.DUMMYFUNCTION("""COMPUTED_VALUE"""),"")</f>
        <v/>
      </c>
      <c r="W2057" s="106" t="str">
        <f>IFERROR(__xludf.DUMMYFUNCTION("""COMPUTED_VALUE"""),"")</f>
        <v/>
      </c>
      <c r="X2057" s="143" t="str">
        <f t="shared" si="2"/>
        <v/>
      </c>
      <c r="Y2057" s="139" t="str">
        <f>IFERROR(__xludf.DUMMYFUNCTION("""COMPUTED_VALUE"""),"")</f>
        <v/>
      </c>
      <c r="Z2057" s="141" t="str">
        <f>IFERROR(__xludf.DUMMYFUNCTION("""COMPUTED_VALUE"""),"")</f>
        <v/>
      </c>
    </row>
    <row r="2058">
      <c r="D2058" s="136" t="str">
        <f t="shared" si="3"/>
        <v/>
      </c>
      <c r="E2058" s="152"/>
      <c r="F2058" s="106" t="s">
        <v>133</v>
      </c>
      <c r="G2058" s="152"/>
      <c r="H2058" s="106" t="s">
        <v>133</v>
      </c>
      <c r="J2058" s="139" t="s">
        <v>133</v>
      </c>
      <c r="K2058" s="136" t="s">
        <v>133</v>
      </c>
      <c r="L2058" s="153"/>
      <c r="M2058" s="136" t="str">
        <f t="shared" si="1"/>
        <v/>
      </c>
      <c r="O2058" s="141" t="s">
        <v>133</v>
      </c>
      <c r="P2058" s="136" t="str">
        <f>IFERROR(__xludf.DUMMYFUNCTION("""COMPUTED_VALUE"""),"")</f>
        <v/>
      </c>
      <c r="Q2058" s="136" t="str">
        <f>IFERROR(__xludf.DUMMYFUNCTION("""COMPUTED_VALUE"""),"")</f>
        <v/>
      </c>
      <c r="R2058" s="106" t="str">
        <f>IFERROR(__xludf.DUMMYFUNCTION("""COMPUTED_VALUE"""),"")</f>
        <v/>
      </c>
      <c r="S2058" s="106" t="str">
        <f>IFERROR(__xludf.DUMMYFUNCTION("""COMPUTED_VALUE"""),"")</f>
        <v/>
      </c>
      <c r="T2058" s="139" t="str">
        <f>IFERROR(__xludf.DUMMYFUNCTION("""COMPUTED_VALUE"""),"")</f>
        <v/>
      </c>
      <c r="U2058" s="139" t="str">
        <f>IFERROR(__xludf.DUMMYFUNCTION("""COMPUTED_VALUE"""),"")</f>
        <v/>
      </c>
      <c r="V2058" s="136" t="str">
        <f>IFERROR(__xludf.DUMMYFUNCTION("""COMPUTED_VALUE"""),"")</f>
        <v/>
      </c>
      <c r="W2058" s="106" t="str">
        <f>IFERROR(__xludf.DUMMYFUNCTION("""COMPUTED_VALUE"""),"")</f>
        <v/>
      </c>
      <c r="X2058" s="143" t="str">
        <f t="shared" si="2"/>
        <v/>
      </c>
      <c r="Y2058" s="139" t="str">
        <f>IFERROR(__xludf.DUMMYFUNCTION("""COMPUTED_VALUE"""),"")</f>
        <v/>
      </c>
      <c r="Z2058" s="141" t="str">
        <f>IFERROR(__xludf.DUMMYFUNCTION("""COMPUTED_VALUE"""),"")</f>
        <v/>
      </c>
    </row>
    <row r="2059">
      <c r="D2059" s="136" t="str">
        <f t="shared" si="3"/>
        <v/>
      </c>
      <c r="E2059" s="152"/>
      <c r="F2059" s="106" t="s">
        <v>133</v>
      </c>
      <c r="G2059" s="152"/>
      <c r="H2059" s="106" t="s">
        <v>133</v>
      </c>
      <c r="J2059" s="139" t="s">
        <v>133</v>
      </c>
      <c r="K2059" s="136" t="s">
        <v>133</v>
      </c>
      <c r="L2059" s="153"/>
      <c r="M2059" s="136" t="str">
        <f t="shared" si="1"/>
        <v/>
      </c>
      <c r="O2059" s="141" t="s">
        <v>133</v>
      </c>
      <c r="P2059" s="136" t="str">
        <f>IFERROR(__xludf.DUMMYFUNCTION("""COMPUTED_VALUE"""),"")</f>
        <v/>
      </c>
      <c r="Q2059" s="136" t="str">
        <f>IFERROR(__xludf.DUMMYFUNCTION("""COMPUTED_VALUE"""),"")</f>
        <v/>
      </c>
      <c r="R2059" s="106" t="str">
        <f>IFERROR(__xludf.DUMMYFUNCTION("""COMPUTED_VALUE"""),"")</f>
        <v/>
      </c>
      <c r="S2059" s="106" t="str">
        <f>IFERROR(__xludf.DUMMYFUNCTION("""COMPUTED_VALUE"""),"")</f>
        <v/>
      </c>
      <c r="T2059" s="139" t="str">
        <f>IFERROR(__xludf.DUMMYFUNCTION("""COMPUTED_VALUE"""),"")</f>
        <v/>
      </c>
      <c r="U2059" s="139" t="str">
        <f>IFERROR(__xludf.DUMMYFUNCTION("""COMPUTED_VALUE"""),"")</f>
        <v/>
      </c>
      <c r="V2059" s="136" t="str">
        <f>IFERROR(__xludf.DUMMYFUNCTION("""COMPUTED_VALUE"""),"")</f>
        <v/>
      </c>
      <c r="W2059" s="106" t="str">
        <f>IFERROR(__xludf.DUMMYFUNCTION("""COMPUTED_VALUE"""),"")</f>
        <v/>
      </c>
      <c r="X2059" s="143" t="str">
        <f t="shared" si="2"/>
        <v/>
      </c>
      <c r="Y2059" s="139" t="str">
        <f>IFERROR(__xludf.DUMMYFUNCTION("""COMPUTED_VALUE"""),"")</f>
        <v/>
      </c>
      <c r="Z2059" s="141" t="str">
        <f>IFERROR(__xludf.DUMMYFUNCTION("""COMPUTED_VALUE"""),"")</f>
        <v/>
      </c>
    </row>
    <row r="2060">
      <c r="D2060" s="136" t="str">
        <f t="shared" si="3"/>
        <v/>
      </c>
      <c r="E2060" s="152"/>
      <c r="F2060" s="106" t="s">
        <v>133</v>
      </c>
      <c r="G2060" s="152"/>
      <c r="H2060" s="106" t="s">
        <v>133</v>
      </c>
      <c r="J2060" s="139" t="s">
        <v>133</v>
      </c>
      <c r="K2060" s="136" t="s">
        <v>133</v>
      </c>
      <c r="L2060" s="153"/>
      <c r="M2060" s="136" t="str">
        <f t="shared" si="1"/>
        <v/>
      </c>
      <c r="O2060" s="141" t="s">
        <v>133</v>
      </c>
      <c r="P2060" s="136" t="str">
        <f>IFERROR(__xludf.DUMMYFUNCTION("""COMPUTED_VALUE"""),"")</f>
        <v/>
      </c>
      <c r="Q2060" s="136" t="str">
        <f>IFERROR(__xludf.DUMMYFUNCTION("""COMPUTED_VALUE"""),"")</f>
        <v/>
      </c>
      <c r="R2060" s="106" t="str">
        <f>IFERROR(__xludf.DUMMYFUNCTION("""COMPUTED_VALUE"""),"")</f>
        <v/>
      </c>
      <c r="S2060" s="106" t="str">
        <f>IFERROR(__xludf.DUMMYFUNCTION("""COMPUTED_VALUE"""),"")</f>
        <v/>
      </c>
      <c r="T2060" s="139" t="str">
        <f>IFERROR(__xludf.DUMMYFUNCTION("""COMPUTED_VALUE"""),"")</f>
        <v/>
      </c>
      <c r="U2060" s="139" t="str">
        <f>IFERROR(__xludf.DUMMYFUNCTION("""COMPUTED_VALUE"""),"")</f>
        <v/>
      </c>
      <c r="V2060" s="136" t="str">
        <f>IFERROR(__xludf.DUMMYFUNCTION("""COMPUTED_VALUE"""),"")</f>
        <v/>
      </c>
      <c r="W2060" s="106" t="str">
        <f>IFERROR(__xludf.DUMMYFUNCTION("""COMPUTED_VALUE"""),"")</f>
        <v/>
      </c>
      <c r="X2060" s="143" t="str">
        <f t="shared" si="2"/>
        <v/>
      </c>
      <c r="Y2060" s="139" t="str">
        <f>IFERROR(__xludf.DUMMYFUNCTION("""COMPUTED_VALUE"""),"")</f>
        <v/>
      </c>
      <c r="Z2060" s="141" t="str">
        <f>IFERROR(__xludf.DUMMYFUNCTION("""COMPUTED_VALUE"""),"")</f>
        <v/>
      </c>
    </row>
    <row r="2061">
      <c r="D2061" s="136" t="str">
        <f t="shared" si="3"/>
        <v/>
      </c>
      <c r="E2061" s="152"/>
      <c r="F2061" s="106" t="s">
        <v>133</v>
      </c>
      <c r="G2061" s="152"/>
      <c r="H2061" s="106" t="s">
        <v>133</v>
      </c>
      <c r="J2061" s="139" t="s">
        <v>133</v>
      </c>
      <c r="K2061" s="136" t="s">
        <v>133</v>
      </c>
      <c r="L2061" s="153"/>
      <c r="M2061" s="136" t="str">
        <f t="shared" si="1"/>
        <v/>
      </c>
      <c r="O2061" s="141" t="s">
        <v>133</v>
      </c>
      <c r="P2061" s="136" t="str">
        <f>IFERROR(__xludf.DUMMYFUNCTION("""COMPUTED_VALUE"""),"")</f>
        <v/>
      </c>
      <c r="Q2061" s="136" t="str">
        <f>IFERROR(__xludf.DUMMYFUNCTION("""COMPUTED_VALUE"""),"")</f>
        <v/>
      </c>
      <c r="R2061" s="106" t="str">
        <f>IFERROR(__xludf.DUMMYFUNCTION("""COMPUTED_VALUE"""),"")</f>
        <v/>
      </c>
      <c r="S2061" s="106" t="str">
        <f>IFERROR(__xludf.DUMMYFUNCTION("""COMPUTED_VALUE"""),"")</f>
        <v/>
      </c>
      <c r="T2061" s="139" t="str">
        <f>IFERROR(__xludf.DUMMYFUNCTION("""COMPUTED_VALUE"""),"")</f>
        <v/>
      </c>
      <c r="U2061" s="139" t="str">
        <f>IFERROR(__xludf.DUMMYFUNCTION("""COMPUTED_VALUE"""),"")</f>
        <v/>
      </c>
      <c r="V2061" s="136" t="str">
        <f>IFERROR(__xludf.DUMMYFUNCTION("""COMPUTED_VALUE"""),"")</f>
        <v/>
      </c>
      <c r="W2061" s="106" t="str">
        <f>IFERROR(__xludf.DUMMYFUNCTION("""COMPUTED_VALUE"""),"")</f>
        <v/>
      </c>
      <c r="X2061" s="143" t="str">
        <f t="shared" si="2"/>
        <v/>
      </c>
      <c r="Y2061" s="139" t="str">
        <f>IFERROR(__xludf.DUMMYFUNCTION("""COMPUTED_VALUE"""),"")</f>
        <v/>
      </c>
      <c r="Z2061" s="141" t="str">
        <f>IFERROR(__xludf.DUMMYFUNCTION("""COMPUTED_VALUE"""),"")</f>
        <v/>
      </c>
    </row>
    <row r="2062">
      <c r="D2062" s="136" t="str">
        <f t="shared" si="3"/>
        <v/>
      </c>
      <c r="E2062" s="152"/>
      <c r="F2062" s="106" t="s">
        <v>133</v>
      </c>
      <c r="G2062" s="152"/>
      <c r="H2062" s="106" t="s">
        <v>133</v>
      </c>
      <c r="J2062" s="139" t="s">
        <v>133</v>
      </c>
      <c r="K2062" s="136" t="s">
        <v>133</v>
      </c>
      <c r="L2062" s="153"/>
      <c r="M2062" s="136" t="str">
        <f t="shared" si="1"/>
        <v/>
      </c>
      <c r="O2062" s="141" t="s">
        <v>133</v>
      </c>
      <c r="P2062" s="136" t="str">
        <f>IFERROR(__xludf.DUMMYFUNCTION("""COMPUTED_VALUE"""),"")</f>
        <v/>
      </c>
      <c r="Q2062" s="136" t="str">
        <f>IFERROR(__xludf.DUMMYFUNCTION("""COMPUTED_VALUE"""),"")</f>
        <v/>
      </c>
      <c r="R2062" s="106" t="str">
        <f>IFERROR(__xludf.DUMMYFUNCTION("""COMPUTED_VALUE"""),"")</f>
        <v/>
      </c>
      <c r="S2062" s="106" t="str">
        <f>IFERROR(__xludf.DUMMYFUNCTION("""COMPUTED_VALUE"""),"")</f>
        <v/>
      </c>
      <c r="T2062" s="139" t="str">
        <f>IFERROR(__xludf.DUMMYFUNCTION("""COMPUTED_VALUE"""),"")</f>
        <v/>
      </c>
      <c r="U2062" s="139" t="str">
        <f>IFERROR(__xludf.DUMMYFUNCTION("""COMPUTED_VALUE"""),"")</f>
        <v/>
      </c>
      <c r="V2062" s="136" t="str">
        <f>IFERROR(__xludf.DUMMYFUNCTION("""COMPUTED_VALUE"""),"")</f>
        <v/>
      </c>
      <c r="W2062" s="106" t="str">
        <f>IFERROR(__xludf.DUMMYFUNCTION("""COMPUTED_VALUE"""),"")</f>
        <v/>
      </c>
      <c r="X2062" s="143" t="str">
        <f t="shared" si="2"/>
        <v/>
      </c>
      <c r="Y2062" s="139" t="str">
        <f>IFERROR(__xludf.DUMMYFUNCTION("""COMPUTED_VALUE"""),"")</f>
        <v/>
      </c>
      <c r="Z2062" s="141" t="str">
        <f>IFERROR(__xludf.DUMMYFUNCTION("""COMPUTED_VALUE"""),"")</f>
        <v/>
      </c>
    </row>
    <row r="2063">
      <c r="D2063" s="136" t="str">
        <f t="shared" si="3"/>
        <v/>
      </c>
      <c r="E2063" s="152"/>
      <c r="F2063" s="106" t="s">
        <v>133</v>
      </c>
      <c r="G2063" s="152"/>
      <c r="H2063" s="106" t="s">
        <v>133</v>
      </c>
      <c r="J2063" s="139" t="s">
        <v>133</v>
      </c>
      <c r="K2063" s="136" t="s">
        <v>133</v>
      </c>
      <c r="L2063" s="153"/>
      <c r="M2063" s="136" t="str">
        <f t="shared" si="1"/>
        <v/>
      </c>
      <c r="O2063" s="141" t="s">
        <v>133</v>
      </c>
      <c r="P2063" s="136" t="str">
        <f>IFERROR(__xludf.DUMMYFUNCTION("""COMPUTED_VALUE"""),"")</f>
        <v/>
      </c>
      <c r="Q2063" s="136" t="str">
        <f>IFERROR(__xludf.DUMMYFUNCTION("""COMPUTED_VALUE"""),"")</f>
        <v/>
      </c>
      <c r="R2063" s="106" t="str">
        <f>IFERROR(__xludf.DUMMYFUNCTION("""COMPUTED_VALUE"""),"")</f>
        <v/>
      </c>
      <c r="S2063" s="106" t="str">
        <f>IFERROR(__xludf.DUMMYFUNCTION("""COMPUTED_VALUE"""),"")</f>
        <v/>
      </c>
      <c r="T2063" s="139" t="str">
        <f>IFERROR(__xludf.DUMMYFUNCTION("""COMPUTED_VALUE"""),"")</f>
        <v/>
      </c>
      <c r="U2063" s="139" t="str">
        <f>IFERROR(__xludf.DUMMYFUNCTION("""COMPUTED_VALUE"""),"")</f>
        <v/>
      </c>
      <c r="V2063" s="136" t="str">
        <f>IFERROR(__xludf.DUMMYFUNCTION("""COMPUTED_VALUE"""),"")</f>
        <v/>
      </c>
      <c r="W2063" s="106" t="str">
        <f>IFERROR(__xludf.DUMMYFUNCTION("""COMPUTED_VALUE"""),"")</f>
        <v/>
      </c>
      <c r="X2063" s="143" t="str">
        <f t="shared" si="2"/>
        <v/>
      </c>
      <c r="Y2063" s="139" t="str">
        <f>IFERROR(__xludf.DUMMYFUNCTION("""COMPUTED_VALUE"""),"")</f>
        <v/>
      </c>
      <c r="Z2063" s="141" t="str">
        <f>IFERROR(__xludf.DUMMYFUNCTION("""COMPUTED_VALUE"""),"")</f>
        <v/>
      </c>
    </row>
    <row r="2064">
      <c r="D2064" s="136" t="str">
        <f t="shared" si="3"/>
        <v/>
      </c>
      <c r="E2064" s="152"/>
      <c r="F2064" s="106" t="s">
        <v>133</v>
      </c>
      <c r="G2064" s="152"/>
      <c r="H2064" s="106" t="s">
        <v>133</v>
      </c>
      <c r="J2064" s="139" t="s">
        <v>133</v>
      </c>
      <c r="K2064" s="136" t="s">
        <v>133</v>
      </c>
      <c r="L2064" s="153"/>
      <c r="M2064" s="136" t="str">
        <f t="shared" si="1"/>
        <v/>
      </c>
      <c r="O2064" s="141" t="s">
        <v>133</v>
      </c>
      <c r="P2064" s="136" t="str">
        <f>IFERROR(__xludf.DUMMYFUNCTION("""COMPUTED_VALUE"""),"")</f>
        <v/>
      </c>
      <c r="Q2064" s="136" t="str">
        <f>IFERROR(__xludf.DUMMYFUNCTION("""COMPUTED_VALUE"""),"")</f>
        <v/>
      </c>
      <c r="R2064" s="106" t="str">
        <f>IFERROR(__xludf.DUMMYFUNCTION("""COMPUTED_VALUE"""),"")</f>
        <v/>
      </c>
      <c r="S2064" s="106" t="str">
        <f>IFERROR(__xludf.DUMMYFUNCTION("""COMPUTED_VALUE"""),"")</f>
        <v/>
      </c>
      <c r="T2064" s="139" t="str">
        <f>IFERROR(__xludf.DUMMYFUNCTION("""COMPUTED_VALUE"""),"")</f>
        <v/>
      </c>
      <c r="U2064" s="139" t="str">
        <f>IFERROR(__xludf.DUMMYFUNCTION("""COMPUTED_VALUE"""),"")</f>
        <v/>
      </c>
      <c r="V2064" s="136" t="str">
        <f>IFERROR(__xludf.DUMMYFUNCTION("""COMPUTED_VALUE"""),"")</f>
        <v/>
      </c>
      <c r="W2064" s="106" t="str">
        <f>IFERROR(__xludf.DUMMYFUNCTION("""COMPUTED_VALUE"""),"")</f>
        <v/>
      </c>
      <c r="X2064" s="143" t="str">
        <f t="shared" si="2"/>
        <v/>
      </c>
      <c r="Y2064" s="139" t="str">
        <f>IFERROR(__xludf.DUMMYFUNCTION("""COMPUTED_VALUE"""),"")</f>
        <v/>
      </c>
      <c r="Z2064" s="141" t="str">
        <f>IFERROR(__xludf.DUMMYFUNCTION("""COMPUTED_VALUE"""),"")</f>
        <v/>
      </c>
    </row>
    <row r="2065">
      <c r="D2065" s="136" t="str">
        <f t="shared" si="3"/>
        <v/>
      </c>
      <c r="E2065" s="152"/>
      <c r="F2065" s="106" t="s">
        <v>133</v>
      </c>
      <c r="G2065" s="152"/>
      <c r="H2065" s="106" t="s">
        <v>133</v>
      </c>
      <c r="J2065" s="139" t="s">
        <v>133</v>
      </c>
      <c r="K2065" s="136" t="s">
        <v>133</v>
      </c>
      <c r="L2065" s="153"/>
      <c r="M2065" s="136" t="str">
        <f t="shared" si="1"/>
        <v/>
      </c>
      <c r="O2065" s="141" t="s">
        <v>133</v>
      </c>
      <c r="P2065" s="136" t="str">
        <f>IFERROR(__xludf.DUMMYFUNCTION("""COMPUTED_VALUE"""),"")</f>
        <v/>
      </c>
      <c r="Q2065" s="136" t="str">
        <f>IFERROR(__xludf.DUMMYFUNCTION("""COMPUTED_VALUE"""),"")</f>
        <v/>
      </c>
      <c r="R2065" s="106" t="str">
        <f>IFERROR(__xludf.DUMMYFUNCTION("""COMPUTED_VALUE"""),"")</f>
        <v/>
      </c>
      <c r="S2065" s="106" t="str">
        <f>IFERROR(__xludf.DUMMYFUNCTION("""COMPUTED_VALUE"""),"")</f>
        <v/>
      </c>
      <c r="T2065" s="139" t="str">
        <f>IFERROR(__xludf.DUMMYFUNCTION("""COMPUTED_VALUE"""),"")</f>
        <v/>
      </c>
      <c r="U2065" s="139" t="str">
        <f>IFERROR(__xludf.DUMMYFUNCTION("""COMPUTED_VALUE"""),"")</f>
        <v/>
      </c>
      <c r="V2065" s="136" t="str">
        <f>IFERROR(__xludf.DUMMYFUNCTION("""COMPUTED_VALUE"""),"")</f>
        <v/>
      </c>
      <c r="W2065" s="106" t="str">
        <f>IFERROR(__xludf.DUMMYFUNCTION("""COMPUTED_VALUE"""),"")</f>
        <v/>
      </c>
      <c r="X2065" s="143" t="str">
        <f t="shared" si="2"/>
        <v/>
      </c>
      <c r="Y2065" s="139" t="str">
        <f>IFERROR(__xludf.DUMMYFUNCTION("""COMPUTED_VALUE"""),"")</f>
        <v/>
      </c>
      <c r="Z2065" s="141" t="str">
        <f>IFERROR(__xludf.DUMMYFUNCTION("""COMPUTED_VALUE"""),"")</f>
        <v/>
      </c>
    </row>
    <row r="2066">
      <c r="D2066" s="136" t="str">
        <f t="shared" si="3"/>
        <v/>
      </c>
      <c r="E2066" s="152"/>
      <c r="F2066" s="106" t="s">
        <v>133</v>
      </c>
      <c r="G2066" s="152"/>
      <c r="H2066" s="106" t="s">
        <v>133</v>
      </c>
      <c r="J2066" s="139" t="s">
        <v>133</v>
      </c>
      <c r="K2066" s="136" t="s">
        <v>133</v>
      </c>
      <c r="L2066" s="153"/>
      <c r="M2066" s="136" t="str">
        <f t="shared" si="1"/>
        <v/>
      </c>
      <c r="O2066" s="141" t="s">
        <v>133</v>
      </c>
      <c r="P2066" s="136" t="str">
        <f>IFERROR(__xludf.DUMMYFUNCTION("""COMPUTED_VALUE"""),"")</f>
        <v/>
      </c>
      <c r="Q2066" s="136" t="str">
        <f>IFERROR(__xludf.DUMMYFUNCTION("""COMPUTED_VALUE"""),"")</f>
        <v/>
      </c>
      <c r="R2066" s="106" t="str">
        <f>IFERROR(__xludf.DUMMYFUNCTION("""COMPUTED_VALUE"""),"")</f>
        <v/>
      </c>
      <c r="S2066" s="106" t="str">
        <f>IFERROR(__xludf.DUMMYFUNCTION("""COMPUTED_VALUE"""),"")</f>
        <v/>
      </c>
      <c r="T2066" s="139" t="str">
        <f>IFERROR(__xludf.DUMMYFUNCTION("""COMPUTED_VALUE"""),"")</f>
        <v/>
      </c>
      <c r="U2066" s="139" t="str">
        <f>IFERROR(__xludf.DUMMYFUNCTION("""COMPUTED_VALUE"""),"")</f>
        <v/>
      </c>
      <c r="V2066" s="136" t="str">
        <f>IFERROR(__xludf.DUMMYFUNCTION("""COMPUTED_VALUE"""),"")</f>
        <v/>
      </c>
      <c r="W2066" s="106" t="str">
        <f>IFERROR(__xludf.DUMMYFUNCTION("""COMPUTED_VALUE"""),"")</f>
        <v/>
      </c>
      <c r="X2066" s="143" t="str">
        <f t="shared" si="2"/>
        <v/>
      </c>
      <c r="Y2066" s="139" t="str">
        <f>IFERROR(__xludf.DUMMYFUNCTION("""COMPUTED_VALUE"""),"")</f>
        <v/>
      </c>
      <c r="Z2066" s="141" t="str">
        <f>IFERROR(__xludf.DUMMYFUNCTION("""COMPUTED_VALUE"""),"")</f>
        <v/>
      </c>
    </row>
    <row r="2067">
      <c r="D2067" s="136" t="str">
        <f t="shared" si="3"/>
        <v/>
      </c>
      <c r="E2067" s="152"/>
      <c r="F2067" s="106" t="s">
        <v>133</v>
      </c>
      <c r="G2067" s="152"/>
      <c r="H2067" s="106" t="s">
        <v>133</v>
      </c>
      <c r="J2067" s="139" t="s">
        <v>133</v>
      </c>
      <c r="K2067" s="136" t="s">
        <v>133</v>
      </c>
      <c r="L2067" s="153"/>
      <c r="M2067" s="136" t="str">
        <f t="shared" si="1"/>
        <v/>
      </c>
      <c r="O2067" s="141" t="s">
        <v>133</v>
      </c>
      <c r="P2067" s="136" t="str">
        <f>IFERROR(__xludf.DUMMYFUNCTION("""COMPUTED_VALUE"""),"")</f>
        <v/>
      </c>
      <c r="Q2067" s="136" t="str">
        <f>IFERROR(__xludf.DUMMYFUNCTION("""COMPUTED_VALUE"""),"")</f>
        <v/>
      </c>
      <c r="R2067" s="106" t="str">
        <f>IFERROR(__xludf.DUMMYFUNCTION("""COMPUTED_VALUE"""),"")</f>
        <v/>
      </c>
      <c r="S2067" s="106" t="str">
        <f>IFERROR(__xludf.DUMMYFUNCTION("""COMPUTED_VALUE"""),"")</f>
        <v/>
      </c>
      <c r="T2067" s="139" t="str">
        <f>IFERROR(__xludf.DUMMYFUNCTION("""COMPUTED_VALUE"""),"")</f>
        <v/>
      </c>
      <c r="U2067" s="139" t="str">
        <f>IFERROR(__xludf.DUMMYFUNCTION("""COMPUTED_VALUE"""),"")</f>
        <v/>
      </c>
      <c r="V2067" s="136" t="str">
        <f>IFERROR(__xludf.DUMMYFUNCTION("""COMPUTED_VALUE"""),"")</f>
        <v/>
      </c>
      <c r="W2067" s="106" t="str">
        <f>IFERROR(__xludf.DUMMYFUNCTION("""COMPUTED_VALUE"""),"")</f>
        <v/>
      </c>
      <c r="X2067" s="143" t="str">
        <f t="shared" si="2"/>
        <v/>
      </c>
      <c r="Y2067" s="139" t="str">
        <f>IFERROR(__xludf.DUMMYFUNCTION("""COMPUTED_VALUE"""),"")</f>
        <v/>
      </c>
      <c r="Z2067" s="141" t="str">
        <f>IFERROR(__xludf.DUMMYFUNCTION("""COMPUTED_VALUE"""),"")</f>
        <v/>
      </c>
    </row>
    <row r="2068">
      <c r="D2068" s="136" t="str">
        <f t="shared" si="3"/>
        <v/>
      </c>
      <c r="E2068" s="152"/>
      <c r="F2068" s="106" t="s">
        <v>133</v>
      </c>
      <c r="G2068" s="152"/>
      <c r="H2068" s="106" t="s">
        <v>133</v>
      </c>
      <c r="J2068" s="139" t="s">
        <v>133</v>
      </c>
      <c r="K2068" s="136" t="s">
        <v>133</v>
      </c>
      <c r="L2068" s="153"/>
      <c r="M2068" s="136" t="str">
        <f t="shared" si="1"/>
        <v/>
      </c>
      <c r="O2068" s="141" t="s">
        <v>133</v>
      </c>
      <c r="P2068" s="136" t="str">
        <f>IFERROR(__xludf.DUMMYFUNCTION("""COMPUTED_VALUE"""),"")</f>
        <v/>
      </c>
      <c r="Q2068" s="136" t="str">
        <f>IFERROR(__xludf.DUMMYFUNCTION("""COMPUTED_VALUE"""),"")</f>
        <v/>
      </c>
      <c r="R2068" s="106" t="str">
        <f>IFERROR(__xludf.DUMMYFUNCTION("""COMPUTED_VALUE"""),"")</f>
        <v/>
      </c>
      <c r="S2068" s="106" t="str">
        <f>IFERROR(__xludf.DUMMYFUNCTION("""COMPUTED_VALUE"""),"")</f>
        <v/>
      </c>
      <c r="T2068" s="139" t="str">
        <f>IFERROR(__xludf.DUMMYFUNCTION("""COMPUTED_VALUE"""),"")</f>
        <v/>
      </c>
      <c r="U2068" s="139" t="str">
        <f>IFERROR(__xludf.DUMMYFUNCTION("""COMPUTED_VALUE"""),"")</f>
        <v/>
      </c>
      <c r="V2068" s="136" t="str">
        <f>IFERROR(__xludf.DUMMYFUNCTION("""COMPUTED_VALUE"""),"")</f>
        <v/>
      </c>
      <c r="W2068" s="106" t="str">
        <f>IFERROR(__xludf.DUMMYFUNCTION("""COMPUTED_VALUE"""),"")</f>
        <v/>
      </c>
      <c r="X2068" s="143" t="str">
        <f t="shared" si="2"/>
        <v/>
      </c>
      <c r="Y2068" s="139" t="str">
        <f>IFERROR(__xludf.DUMMYFUNCTION("""COMPUTED_VALUE"""),"")</f>
        <v/>
      </c>
      <c r="Z2068" s="141" t="str">
        <f>IFERROR(__xludf.DUMMYFUNCTION("""COMPUTED_VALUE"""),"")</f>
        <v/>
      </c>
    </row>
    <row r="2069">
      <c r="D2069" s="136" t="str">
        <f t="shared" si="3"/>
        <v/>
      </c>
      <c r="E2069" s="152"/>
      <c r="F2069" s="106" t="s">
        <v>133</v>
      </c>
      <c r="G2069" s="152"/>
      <c r="H2069" s="106" t="s">
        <v>133</v>
      </c>
      <c r="J2069" s="139" t="s">
        <v>133</v>
      </c>
      <c r="K2069" s="136" t="s">
        <v>133</v>
      </c>
      <c r="L2069" s="153"/>
      <c r="M2069" s="136" t="str">
        <f t="shared" si="1"/>
        <v/>
      </c>
      <c r="O2069" s="141" t="s">
        <v>133</v>
      </c>
      <c r="P2069" s="136" t="str">
        <f>IFERROR(__xludf.DUMMYFUNCTION("""COMPUTED_VALUE"""),"")</f>
        <v/>
      </c>
      <c r="Q2069" s="136" t="str">
        <f>IFERROR(__xludf.DUMMYFUNCTION("""COMPUTED_VALUE"""),"")</f>
        <v/>
      </c>
      <c r="R2069" s="106" t="str">
        <f>IFERROR(__xludf.DUMMYFUNCTION("""COMPUTED_VALUE"""),"")</f>
        <v/>
      </c>
      <c r="S2069" s="106" t="str">
        <f>IFERROR(__xludf.DUMMYFUNCTION("""COMPUTED_VALUE"""),"")</f>
        <v/>
      </c>
      <c r="T2069" s="139" t="str">
        <f>IFERROR(__xludf.DUMMYFUNCTION("""COMPUTED_VALUE"""),"")</f>
        <v/>
      </c>
      <c r="U2069" s="139" t="str">
        <f>IFERROR(__xludf.DUMMYFUNCTION("""COMPUTED_VALUE"""),"")</f>
        <v/>
      </c>
      <c r="V2069" s="136" t="str">
        <f>IFERROR(__xludf.DUMMYFUNCTION("""COMPUTED_VALUE"""),"")</f>
        <v/>
      </c>
      <c r="W2069" s="106" t="str">
        <f>IFERROR(__xludf.DUMMYFUNCTION("""COMPUTED_VALUE"""),"")</f>
        <v/>
      </c>
      <c r="X2069" s="143" t="str">
        <f t="shared" si="2"/>
        <v/>
      </c>
      <c r="Y2069" s="139" t="str">
        <f>IFERROR(__xludf.DUMMYFUNCTION("""COMPUTED_VALUE"""),"")</f>
        <v/>
      </c>
      <c r="Z2069" s="141" t="str">
        <f>IFERROR(__xludf.DUMMYFUNCTION("""COMPUTED_VALUE"""),"")</f>
        <v/>
      </c>
    </row>
    <row r="2070">
      <c r="D2070" s="136" t="str">
        <f t="shared" si="3"/>
        <v/>
      </c>
      <c r="E2070" s="152"/>
      <c r="F2070" s="106" t="s">
        <v>133</v>
      </c>
      <c r="G2070" s="152"/>
      <c r="H2070" s="106" t="s">
        <v>133</v>
      </c>
      <c r="J2070" s="139" t="s">
        <v>133</v>
      </c>
      <c r="K2070" s="136" t="s">
        <v>133</v>
      </c>
      <c r="L2070" s="153"/>
      <c r="M2070" s="136" t="str">
        <f t="shared" si="1"/>
        <v/>
      </c>
      <c r="O2070" s="141" t="s">
        <v>133</v>
      </c>
      <c r="P2070" s="136" t="str">
        <f>IFERROR(__xludf.DUMMYFUNCTION("""COMPUTED_VALUE"""),"")</f>
        <v/>
      </c>
      <c r="Q2070" s="136" t="str">
        <f>IFERROR(__xludf.DUMMYFUNCTION("""COMPUTED_VALUE"""),"")</f>
        <v/>
      </c>
      <c r="R2070" s="106" t="str">
        <f>IFERROR(__xludf.DUMMYFUNCTION("""COMPUTED_VALUE"""),"")</f>
        <v/>
      </c>
      <c r="S2070" s="106" t="str">
        <f>IFERROR(__xludf.DUMMYFUNCTION("""COMPUTED_VALUE"""),"")</f>
        <v/>
      </c>
      <c r="T2070" s="139" t="str">
        <f>IFERROR(__xludf.DUMMYFUNCTION("""COMPUTED_VALUE"""),"")</f>
        <v/>
      </c>
      <c r="U2070" s="139" t="str">
        <f>IFERROR(__xludf.DUMMYFUNCTION("""COMPUTED_VALUE"""),"")</f>
        <v/>
      </c>
      <c r="V2070" s="136" t="str">
        <f>IFERROR(__xludf.DUMMYFUNCTION("""COMPUTED_VALUE"""),"")</f>
        <v/>
      </c>
      <c r="W2070" s="106" t="str">
        <f>IFERROR(__xludf.DUMMYFUNCTION("""COMPUTED_VALUE"""),"")</f>
        <v/>
      </c>
      <c r="X2070" s="143" t="str">
        <f t="shared" si="2"/>
        <v/>
      </c>
      <c r="Y2070" s="139" t="str">
        <f>IFERROR(__xludf.DUMMYFUNCTION("""COMPUTED_VALUE"""),"")</f>
        <v/>
      </c>
      <c r="Z2070" s="141" t="str">
        <f>IFERROR(__xludf.DUMMYFUNCTION("""COMPUTED_VALUE"""),"")</f>
        <v/>
      </c>
    </row>
    <row r="2071">
      <c r="D2071" s="136" t="str">
        <f t="shared" si="3"/>
        <v/>
      </c>
      <c r="E2071" s="152"/>
      <c r="F2071" s="106" t="s">
        <v>133</v>
      </c>
      <c r="G2071" s="152"/>
      <c r="H2071" s="106" t="s">
        <v>133</v>
      </c>
      <c r="J2071" s="139" t="s">
        <v>133</v>
      </c>
      <c r="K2071" s="136" t="s">
        <v>133</v>
      </c>
      <c r="L2071" s="153"/>
      <c r="M2071" s="136" t="str">
        <f t="shared" si="1"/>
        <v/>
      </c>
      <c r="O2071" s="141" t="s">
        <v>133</v>
      </c>
      <c r="P2071" s="136" t="str">
        <f>IFERROR(__xludf.DUMMYFUNCTION("""COMPUTED_VALUE"""),"")</f>
        <v/>
      </c>
      <c r="Q2071" s="136" t="str">
        <f>IFERROR(__xludf.DUMMYFUNCTION("""COMPUTED_VALUE"""),"")</f>
        <v/>
      </c>
      <c r="R2071" s="106" t="str">
        <f>IFERROR(__xludf.DUMMYFUNCTION("""COMPUTED_VALUE"""),"")</f>
        <v/>
      </c>
      <c r="S2071" s="106" t="str">
        <f>IFERROR(__xludf.DUMMYFUNCTION("""COMPUTED_VALUE"""),"")</f>
        <v/>
      </c>
      <c r="T2071" s="139" t="str">
        <f>IFERROR(__xludf.DUMMYFUNCTION("""COMPUTED_VALUE"""),"")</f>
        <v/>
      </c>
      <c r="U2071" s="139" t="str">
        <f>IFERROR(__xludf.DUMMYFUNCTION("""COMPUTED_VALUE"""),"")</f>
        <v/>
      </c>
      <c r="V2071" s="136" t="str">
        <f>IFERROR(__xludf.DUMMYFUNCTION("""COMPUTED_VALUE"""),"")</f>
        <v/>
      </c>
      <c r="W2071" s="106" t="str">
        <f>IFERROR(__xludf.DUMMYFUNCTION("""COMPUTED_VALUE"""),"")</f>
        <v/>
      </c>
      <c r="X2071" s="143" t="str">
        <f t="shared" si="2"/>
        <v/>
      </c>
      <c r="Y2071" s="139" t="str">
        <f>IFERROR(__xludf.DUMMYFUNCTION("""COMPUTED_VALUE"""),"")</f>
        <v/>
      </c>
      <c r="Z2071" s="141" t="str">
        <f>IFERROR(__xludf.DUMMYFUNCTION("""COMPUTED_VALUE"""),"")</f>
        <v/>
      </c>
    </row>
    <row r="2072">
      <c r="D2072" s="136" t="str">
        <f t="shared" si="3"/>
        <v/>
      </c>
      <c r="E2072" s="152"/>
      <c r="F2072" s="106" t="s">
        <v>133</v>
      </c>
      <c r="G2072" s="152"/>
      <c r="H2072" s="106" t="s">
        <v>133</v>
      </c>
      <c r="J2072" s="139" t="s">
        <v>133</v>
      </c>
      <c r="K2072" s="136" t="s">
        <v>133</v>
      </c>
      <c r="L2072" s="153"/>
      <c r="M2072" s="136" t="str">
        <f t="shared" si="1"/>
        <v/>
      </c>
      <c r="O2072" s="141" t="s">
        <v>133</v>
      </c>
      <c r="P2072" s="136" t="str">
        <f>IFERROR(__xludf.DUMMYFUNCTION("""COMPUTED_VALUE"""),"")</f>
        <v/>
      </c>
      <c r="Q2072" s="136" t="str">
        <f>IFERROR(__xludf.DUMMYFUNCTION("""COMPUTED_VALUE"""),"")</f>
        <v/>
      </c>
      <c r="R2072" s="106" t="str">
        <f>IFERROR(__xludf.DUMMYFUNCTION("""COMPUTED_VALUE"""),"")</f>
        <v/>
      </c>
      <c r="S2072" s="106" t="str">
        <f>IFERROR(__xludf.DUMMYFUNCTION("""COMPUTED_VALUE"""),"")</f>
        <v/>
      </c>
      <c r="T2072" s="139" t="str">
        <f>IFERROR(__xludf.DUMMYFUNCTION("""COMPUTED_VALUE"""),"")</f>
        <v/>
      </c>
      <c r="U2072" s="139" t="str">
        <f>IFERROR(__xludf.DUMMYFUNCTION("""COMPUTED_VALUE"""),"")</f>
        <v/>
      </c>
      <c r="V2072" s="136" t="str">
        <f>IFERROR(__xludf.DUMMYFUNCTION("""COMPUTED_VALUE"""),"")</f>
        <v/>
      </c>
      <c r="W2072" s="106" t="str">
        <f>IFERROR(__xludf.DUMMYFUNCTION("""COMPUTED_VALUE"""),"")</f>
        <v/>
      </c>
      <c r="X2072" s="143" t="str">
        <f t="shared" si="2"/>
        <v/>
      </c>
      <c r="Y2072" s="139" t="str">
        <f>IFERROR(__xludf.DUMMYFUNCTION("""COMPUTED_VALUE"""),"")</f>
        <v/>
      </c>
      <c r="Z2072" s="141" t="str">
        <f>IFERROR(__xludf.DUMMYFUNCTION("""COMPUTED_VALUE"""),"")</f>
        <v/>
      </c>
    </row>
    <row r="2073">
      <c r="D2073" s="136" t="str">
        <f t="shared" si="3"/>
        <v/>
      </c>
      <c r="E2073" s="152"/>
      <c r="F2073" s="106" t="s">
        <v>133</v>
      </c>
      <c r="G2073" s="152"/>
      <c r="H2073" s="106" t="s">
        <v>133</v>
      </c>
      <c r="J2073" s="139" t="s">
        <v>133</v>
      </c>
      <c r="K2073" s="136" t="s">
        <v>133</v>
      </c>
      <c r="L2073" s="153"/>
      <c r="M2073" s="136" t="str">
        <f t="shared" si="1"/>
        <v/>
      </c>
      <c r="O2073" s="141" t="s">
        <v>133</v>
      </c>
      <c r="P2073" s="136" t="str">
        <f>IFERROR(__xludf.DUMMYFUNCTION("""COMPUTED_VALUE"""),"")</f>
        <v/>
      </c>
      <c r="Q2073" s="136" t="str">
        <f>IFERROR(__xludf.DUMMYFUNCTION("""COMPUTED_VALUE"""),"")</f>
        <v/>
      </c>
      <c r="R2073" s="106" t="str">
        <f>IFERROR(__xludf.DUMMYFUNCTION("""COMPUTED_VALUE"""),"")</f>
        <v/>
      </c>
      <c r="S2073" s="106" t="str">
        <f>IFERROR(__xludf.DUMMYFUNCTION("""COMPUTED_VALUE"""),"")</f>
        <v/>
      </c>
      <c r="T2073" s="139" t="str">
        <f>IFERROR(__xludf.DUMMYFUNCTION("""COMPUTED_VALUE"""),"")</f>
        <v/>
      </c>
      <c r="U2073" s="139" t="str">
        <f>IFERROR(__xludf.DUMMYFUNCTION("""COMPUTED_VALUE"""),"")</f>
        <v/>
      </c>
      <c r="V2073" s="136" t="str">
        <f>IFERROR(__xludf.DUMMYFUNCTION("""COMPUTED_VALUE"""),"")</f>
        <v/>
      </c>
      <c r="W2073" s="106" t="str">
        <f>IFERROR(__xludf.DUMMYFUNCTION("""COMPUTED_VALUE"""),"")</f>
        <v/>
      </c>
      <c r="X2073" s="143" t="str">
        <f t="shared" si="2"/>
        <v/>
      </c>
      <c r="Y2073" s="139" t="str">
        <f>IFERROR(__xludf.DUMMYFUNCTION("""COMPUTED_VALUE"""),"")</f>
        <v/>
      </c>
      <c r="Z2073" s="141" t="str">
        <f>IFERROR(__xludf.DUMMYFUNCTION("""COMPUTED_VALUE"""),"")</f>
        <v/>
      </c>
    </row>
    <row r="2074">
      <c r="D2074" s="136" t="str">
        <f t="shared" si="3"/>
        <v/>
      </c>
      <c r="E2074" s="152"/>
      <c r="F2074" s="106" t="s">
        <v>133</v>
      </c>
      <c r="G2074" s="152"/>
      <c r="H2074" s="106" t="s">
        <v>133</v>
      </c>
      <c r="J2074" s="139" t="s">
        <v>133</v>
      </c>
      <c r="K2074" s="136" t="s">
        <v>133</v>
      </c>
      <c r="L2074" s="153"/>
      <c r="M2074" s="136" t="str">
        <f t="shared" si="1"/>
        <v/>
      </c>
      <c r="O2074" s="141" t="s">
        <v>133</v>
      </c>
      <c r="P2074" s="136" t="str">
        <f>IFERROR(__xludf.DUMMYFUNCTION("""COMPUTED_VALUE"""),"")</f>
        <v/>
      </c>
      <c r="Q2074" s="136" t="str">
        <f>IFERROR(__xludf.DUMMYFUNCTION("""COMPUTED_VALUE"""),"")</f>
        <v/>
      </c>
      <c r="R2074" s="106" t="str">
        <f>IFERROR(__xludf.DUMMYFUNCTION("""COMPUTED_VALUE"""),"")</f>
        <v/>
      </c>
      <c r="S2074" s="106" t="str">
        <f>IFERROR(__xludf.DUMMYFUNCTION("""COMPUTED_VALUE"""),"")</f>
        <v/>
      </c>
      <c r="T2074" s="139" t="str">
        <f>IFERROR(__xludf.DUMMYFUNCTION("""COMPUTED_VALUE"""),"")</f>
        <v/>
      </c>
      <c r="U2074" s="139" t="str">
        <f>IFERROR(__xludf.DUMMYFUNCTION("""COMPUTED_VALUE"""),"")</f>
        <v/>
      </c>
      <c r="V2074" s="136" t="str">
        <f>IFERROR(__xludf.DUMMYFUNCTION("""COMPUTED_VALUE"""),"")</f>
        <v/>
      </c>
      <c r="W2074" s="106" t="str">
        <f>IFERROR(__xludf.DUMMYFUNCTION("""COMPUTED_VALUE"""),"")</f>
        <v/>
      </c>
      <c r="X2074" s="143" t="str">
        <f t="shared" si="2"/>
        <v/>
      </c>
      <c r="Y2074" s="139" t="str">
        <f>IFERROR(__xludf.DUMMYFUNCTION("""COMPUTED_VALUE"""),"")</f>
        <v/>
      </c>
      <c r="Z2074" s="141" t="str">
        <f>IFERROR(__xludf.DUMMYFUNCTION("""COMPUTED_VALUE"""),"")</f>
        <v/>
      </c>
    </row>
    <row r="2075">
      <c r="D2075" s="136" t="str">
        <f t="shared" si="3"/>
        <v/>
      </c>
      <c r="E2075" s="152"/>
      <c r="F2075" s="106" t="s">
        <v>133</v>
      </c>
      <c r="G2075" s="152"/>
      <c r="H2075" s="106" t="s">
        <v>133</v>
      </c>
      <c r="J2075" s="139" t="s">
        <v>133</v>
      </c>
      <c r="K2075" s="136" t="s">
        <v>133</v>
      </c>
      <c r="L2075" s="153"/>
      <c r="M2075" s="136" t="str">
        <f t="shared" si="1"/>
        <v/>
      </c>
      <c r="O2075" s="141" t="s">
        <v>133</v>
      </c>
      <c r="P2075" s="136" t="str">
        <f>IFERROR(__xludf.DUMMYFUNCTION("""COMPUTED_VALUE"""),"")</f>
        <v/>
      </c>
      <c r="Q2075" s="136" t="str">
        <f>IFERROR(__xludf.DUMMYFUNCTION("""COMPUTED_VALUE"""),"")</f>
        <v/>
      </c>
      <c r="R2075" s="106" t="str">
        <f>IFERROR(__xludf.DUMMYFUNCTION("""COMPUTED_VALUE"""),"")</f>
        <v/>
      </c>
      <c r="S2075" s="106" t="str">
        <f>IFERROR(__xludf.DUMMYFUNCTION("""COMPUTED_VALUE"""),"")</f>
        <v/>
      </c>
      <c r="T2075" s="139" t="str">
        <f>IFERROR(__xludf.DUMMYFUNCTION("""COMPUTED_VALUE"""),"")</f>
        <v/>
      </c>
      <c r="U2075" s="139" t="str">
        <f>IFERROR(__xludf.DUMMYFUNCTION("""COMPUTED_VALUE"""),"")</f>
        <v/>
      </c>
      <c r="V2075" s="136" t="str">
        <f>IFERROR(__xludf.DUMMYFUNCTION("""COMPUTED_VALUE"""),"")</f>
        <v/>
      </c>
      <c r="W2075" s="106" t="str">
        <f>IFERROR(__xludf.DUMMYFUNCTION("""COMPUTED_VALUE"""),"")</f>
        <v/>
      </c>
      <c r="X2075" s="143" t="str">
        <f t="shared" si="2"/>
        <v/>
      </c>
      <c r="Y2075" s="139" t="str">
        <f>IFERROR(__xludf.DUMMYFUNCTION("""COMPUTED_VALUE"""),"")</f>
        <v/>
      </c>
      <c r="Z2075" s="141" t="str">
        <f>IFERROR(__xludf.DUMMYFUNCTION("""COMPUTED_VALUE"""),"")</f>
        <v/>
      </c>
    </row>
    <row r="2076">
      <c r="D2076" s="136" t="str">
        <f t="shared" si="3"/>
        <v/>
      </c>
      <c r="E2076" s="152"/>
      <c r="F2076" s="106" t="s">
        <v>133</v>
      </c>
      <c r="G2076" s="152"/>
      <c r="H2076" s="106" t="s">
        <v>133</v>
      </c>
      <c r="J2076" s="139" t="s">
        <v>133</v>
      </c>
      <c r="K2076" s="136" t="s">
        <v>133</v>
      </c>
      <c r="L2076" s="153"/>
      <c r="M2076" s="136" t="str">
        <f t="shared" si="1"/>
        <v/>
      </c>
      <c r="O2076" s="141" t="s">
        <v>133</v>
      </c>
      <c r="P2076" s="136" t="str">
        <f>IFERROR(__xludf.DUMMYFUNCTION("""COMPUTED_VALUE"""),"")</f>
        <v/>
      </c>
      <c r="Q2076" s="136" t="str">
        <f>IFERROR(__xludf.DUMMYFUNCTION("""COMPUTED_VALUE"""),"")</f>
        <v/>
      </c>
      <c r="R2076" s="106" t="str">
        <f>IFERROR(__xludf.DUMMYFUNCTION("""COMPUTED_VALUE"""),"")</f>
        <v/>
      </c>
      <c r="S2076" s="106" t="str">
        <f>IFERROR(__xludf.DUMMYFUNCTION("""COMPUTED_VALUE"""),"")</f>
        <v/>
      </c>
      <c r="T2076" s="139" t="str">
        <f>IFERROR(__xludf.DUMMYFUNCTION("""COMPUTED_VALUE"""),"")</f>
        <v/>
      </c>
      <c r="U2076" s="139" t="str">
        <f>IFERROR(__xludf.DUMMYFUNCTION("""COMPUTED_VALUE"""),"")</f>
        <v/>
      </c>
      <c r="V2076" s="136" t="str">
        <f>IFERROR(__xludf.DUMMYFUNCTION("""COMPUTED_VALUE"""),"")</f>
        <v/>
      </c>
      <c r="W2076" s="106" t="str">
        <f>IFERROR(__xludf.DUMMYFUNCTION("""COMPUTED_VALUE"""),"")</f>
        <v/>
      </c>
      <c r="X2076" s="143" t="str">
        <f t="shared" si="2"/>
        <v/>
      </c>
      <c r="Y2076" s="139" t="str">
        <f>IFERROR(__xludf.DUMMYFUNCTION("""COMPUTED_VALUE"""),"")</f>
        <v/>
      </c>
      <c r="Z2076" s="141" t="str">
        <f>IFERROR(__xludf.DUMMYFUNCTION("""COMPUTED_VALUE"""),"")</f>
        <v/>
      </c>
    </row>
    <row r="2077">
      <c r="D2077" s="136" t="str">
        <f t="shared" si="3"/>
        <v/>
      </c>
      <c r="E2077" s="152"/>
      <c r="F2077" s="106" t="s">
        <v>133</v>
      </c>
      <c r="G2077" s="152"/>
      <c r="H2077" s="106" t="s">
        <v>133</v>
      </c>
      <c r="J2077" s="139" t="s">
        <v>133</v>
      </c>
      <c r="K2077" s="136" t="s">
        <v>133</v>
      </c>
      <c r="L2077" s="153"/>
      <c r="M2077" s="136" t="str">
        <f t="shared" si="1"/>
        <v/>
      </c>
      <c r="O2077" s="141" t="s">
        <v>133</v>
      </c>
      <c r="P2077" s="136" t="str">
        <f>IFERROR(__xludf.DUMMYFUNCTION("""COMPUTED_VALUE"""),"")</f>
        <v/>
      </c>
      <c r="Q2077" s="136" t="str">
        <f>IFERROR(__xludf.DUMMYFUNCTION("""COMPUTED_VALUE"""),"")</f>
        <v/>
      </c>
      <c r="R2077" s="106" t="str">
        <f>IFERROR(__xludf.DUMMYFUNCTION("""COMPUTED_VALUE"""),"")</f>
        <v/>
      </c>
      <c r="S2077" s="106" t="str">
        <f>IFERROR(__xludf.DUMMYFUNCTION("""COMPUTED_VALUE"""),"")</f>
        <v/>
      </c>
      <c r="T2077" s="139" t="str">
        <f>IFERROR(__xludf.DUMMYFUNCTION("""COMPUTED_VALUE"""),"")</f>
        <v/>
      </c>
      <c r="U2077" s="139" t="str">
        <f>IFERROR(__xludf.DUMMYFUNCTION("""COMPUTED_VALUE"""),"")</f>
        <v/>
      </c>
      <c r="V2077" s="136" t="str">
        <f>IFERROR(__xludf.DUMMYFUNCTION("""COMPUTED_VALUE"""),"")</f>
        <v/>
      </c>
      <c r="W2077" s="106" t="str">
        <f>IFERROR(__xludf.DUMMYFUNCTION("""COMPUTED_VALUE"""),"")</f>
        <v/>
      </c>
      <c r="X2077" s="143" t="str">
        <f t="shared" si="2"/>
        <v/>
      </c>
      <c r="Y2077" s="139" t="str">
        <f>IFERROR(__xludf.DUMMYFUNCTION("""COMPUTED_VALUE"""),"")</f>
        <v/>
      </c>
      <c r="Z2077" s="141" t="str">
        <f>IFERROR(__xludf.DUMMYFUNCTION("""COMPUTED_VALUE"""),"")</f>
        <v/>
      </c>
    </row>
    <row r="2078">
      <c r="D2078" s="136" t="str">
        <f t="shared" si="3"/>
        <v/>
      </c>
      <c r="E2078" s="152"/>
      <c r="F2078" s="106" t="s">
        <v>133</v>
      </c>
      <c r="G2078" s="152"/>
      <c r="H2078" s="106" t="s">
        <v>133</v>
      </c>
      <c r="J2078" s="139" t="s">
        <v>133</v>
      </c>
      <c r="K2078" s="136" t="s">
        <v>133</v>
      </c>
      <c r="L2078" s="153"/>
      <c r="M2078" s="136" t="str">
        <f t="shared" si="1"/>
        <v/>
      </c>
      <c r="O2078" s="141" t="s">
        <v>133</v>
      </c>
      <c r="P2078" s="136" t="str">
        <f>IFERROR(__xludf.DUMMYFUNCTION("""COMPUTED_VALUE"""),"")</f>
        <v/>
      </c>
      <c r="Q2078" s="136" t="str">
        <f>IFERROR(__xludf.DUMMYFUNCTION("""COMPUTED_VALUE"""),"")</f>
        <v/>
      </c>
      <c r="R2078" s="106" t="str">
        <f>IFERROR(__xludf.DUMMYFUNCTION("""COMPUTED_VALUE"""),"")</f>
        <v/>
      </c>
      <c r="S2078" s="106" t="str">
        <f>IFERROR(__xludf.DUMMYFUNCTION("""COMPUTED_VALUE"""),"")</f>
        <v/>
      </c>
      <c r="T2078" s="139" t="str">
        <f>IFERROR(__xludf.DUMMYFUNCTION("""COMPUTED_VALUE"""),"")</f>
        <v/>
      </c>
      <c r="U2078" s="139" t="str">
        <f>IFERROR(__xludf.DUMMYFUNCTION("""COMPUTED_VALUE"""),"")</f>
        <v/>
      </c>
      <c r="V2078" s="136" t="str">
        <f>IFERROR(__xludf.DUMMYFUNCTION("""COMPUTED_VALUE"""),"")</f>
        <v/>
      </c>
      <c r="W2078" s="106" t="str">
        <f>IFERROR(__xludf.DUMMYFUNCTION("""COMPUTED_VALUE"""),"")</f>
        <v/>
      </c>
      <c r="X2078" s="143" t="str">
        <f t="shared" si="2"/>
        <v/>
      </c>
      <c r="Y2078" s="139" t="str">
        <f>IFERROR(__xludf.DUMMYFUNCTION("""COMPUTED_VALUE"""),"")</f>
        <v/>
      </c>
      <c r="Z2078" s="141" t="str">
        <f>IFERROR(__xludf.DUMMYFUNCTION("""COMPUTED_VALUE"""),"")</f>
        <v/>
      </c>
    </row>
    <row r="2079">
      <c r="D2079" s="136" t="str">
        <f t="shared" si="3"/>
        <v/>
      </c>
      <c r="E2079" s="152"/>
      <c r="F2079" s="106" t="s">
        <v>133</v>
      </c>
      <c r="G2079" s="152"/>
      <c r="H2079" s="106" t="s">
        <v>133</v>
      </c>
      <c r="J2079" s="139" t="s">
        <v>133</v>
      </c>
      <c r="K2079" s="136" t="s">
        <v>133</v>
      </c>
      <c r="L2079" s="153"/>
      <c r="M2079" s="136" t="str">
        <f t="shared" si="1"/>
        <v/>
      </c>
      <c r="O2079" s="141" t="s">
        <v>133</v>
      </c>
      <c r="P2079" s="136" t="str">
        <f>IFERROR(__xludf.DUMMYFUNCTION("""COMPUTED_VALUE"""),"")</f>
        <v/>
      </c>
      <c r="Q2079" s="136" t="str">
        <f>IFERROR(__xludf.DUMMYFUNCTION("""COMPUTED_VALUE"""),"")</f>
        <v/>
      </c>
      <c r="R2079" s="106" t="str">
        <f>IFERROR(__xludf.DUMMYFUNCTION("""COMPUTED_VALUE"""),"")</f>
        <v/>
      </c>
      <c r="S2079" s="106" t="str">
        <f>IFERROR(__xludf.DUMMYFUNCTION("""COMPUTED_VALUE"""),"")</f>
        <v/>
      </c>
      <c r="T2079" s="139" t="str">
        <f>IFERROR(__xludf.DUMMYFUNCTION("""COMPUTED_VALUE"""),"")</f>
        <v/>
      </c>
      <c r="U2079" s="139" t="str">
        <f>IFERROR(__xludf.DUMMYFUNCTION("""COMPUTED_VALUE"""),"")</f>
        <v/>
      </c>
      <c r="V2079" s="136" t="str">
        <f>IFERROR(__xludf.DUMMYFUNCTION("""COMPUTED_VALUE"""),"")</f>
        <v/>
      </c>
      <c r="W2079" s="106" t="str">
        <f>IFERROR(__xludf.DUMMYFUNCTION("""COMPUTED_VALUE"""),"")</f>
        <v/>
      </c>
      <c r="X2079" s="143" t="str">
        <f t="shared" si="2"/>
        <v/>
      </c>
      <c r="Y2079" s="139" t="str">
        <f>IFERROR(__xludf.DUMMYFUNCTION("""COMPUTED_VALUE"""),"")</f>
        <v/>
      </c>
      <c r="Z2079" s="141" t="str">
        <f>IFERROR(__xludf.DUMMYFUNCTION("""COMPUTED_VALUE"""),"")</f>
        <v/>
      </c>
    </row>
    <row r="2080">
      <c r="D2080" s="136" t="str">
        <f t="shared" si="3"/>
        <v/>
      </c>
      <c r="E2080" s="152"/>
      <c r="F2080" s="106" t="s">
        <v>133</v>
      </c>
      <c r="G2080" s="152"/>
      <c r="H2080" s="106" t="s">
        <v>133</v>
      </c>
      <c r="J2080" s="139" t="s">
        <v>133</v>
      </c>
      <c r="K2080" s="136" t="s">
        <v>133</v>
      </c>
      <c r="L2080" s="153"/>
      <c r="M2080" s="136" t="str">
        <f t="shared" si="1"/>
        <v/>
      </c>
      <c r="O2080" s="141" t="s">
        <v>133</v>
      </c>
      <c r="P2080" s="136" t="str">
        <f>IFERROR(__xludf.DUMMYFUNCTION("""COMPUTED_VALUE"""),"")</f>
        <v/>
      </c>
      <c r="Q2080" s="136" t="str">
        <f>IFERROR(__xludf.DUMMYFUNCTION("""COMPUTED_VALUE"""),"")</f>
        <v/>
      </c>
      <c r="R2080" s="106" t="str">
        <f>IFERROR(__xludf.DUMMYFUNCTION("""COMPUTED_VALUE"""),"")</f>
        <v/>
      </c>
      <c r="S2080" s="106" t="str">
        <f>IFERROR(__xludf.DUMMYFUNCTION("""COMPUTED_VALUE"""),"")</f>
        <v/>
      </c>
      <c r="T2080" s="139" t="str">
        <f>IFERROR(__xludf.DUMMYFUNCTION("""COMPUTED_VALUE"""),"")</f>
        <v/>
      </c>
      <c r="U2080" s="139" t="str">
        <f>IFERROR(__xludf.DUMMYFUNCTION("""COMPUTED_VALUE"""),"")</f>
        <v/>
      </c>
      <c r="V2080" s="136" t="str">
        <f>IFERROR(__xludf.DUMMYFUNCTION("""COMPUTED_VALUE"""),"")</f>
        <v/>
      </c>
      <c r="W2080" s="106" t="str">
        <f>IFERROR(__xludf.DUMMYFUNCTION("""COMPUTED_VALUE"""),"")</f>
        <v/>
      </c>
      <c r="X2080" s="143" t="str">
        <f t="shared" si="2"/>
        <v/>
      </c>
      <c r="Y2080" s="139" t="str">
        <f>IFERROR(__xludf.DUMMYFUNCTION("""COMPUTED_VALUE"""),"")</f>
        <v/>
      </c>
      <c r="Z2080" s="141" t="str">
        <f>IFERROR(__xludf.DUMMYFUNCTION("""COMPUTED_VALUE"""),"")</f>
        <v/>
      </c>
    </row>
    <row r="2081">
      <c r="D2081" s="136" t="str">
        <f t="shared" si="3"/>
        <v/>
      </c>
      <c r="E2081" s="152"/>
      <c r="F2081" s="106" t="s">
        <v>133</v>
      </c>
      <c r="G2081" s="152"/>
      <c r="H2081" s="106" t="s">
        <v>133</v>
      </c>
      <c r="J2081" s="139" t="s">
        <v>133</v>
      </c>
      <c r="K2081" s="136" t="s">
        <v>133</v>
      </c>
      <c r="L2081" s="153"/>
      <c r="M2081" s="136" t="str">
        <f t="shared" si="1"/>
        <v/>
      </c>
      <c r="O2081" s="141" t="s">
        <v>133</v>
      </c>
      <c r="P2081" s="136" t="str">
        <f>IFERROR(__xludf.DUMMYFUNCTION("""COMPUTED_VALUE"""),"")</f>
        <v/>
      </c>
      <c r="Q2081" s="136" t="str">
        <f>IFERROR(__xludf.DUMMYFUNCTION("""COMPUTED_VALUE"""),"")</f>
        <v/>
      </c>
      <c r="R2081" s="106" t="str">
        <f>IFERROR(__xludf.DUMMYFUNCTION("""COMPUTED_VALUE"""),"")</f>
        <v/>
      </c>
      <c r="S2081" s="106" t="str">
        <f>IFERROR(__xludf.DUMMYFUNCTION("""COMPUTED_VALUE"""),"")</f>
        <v/>
      </c>
      <c r="T2081" s="139" t="str">
        <f>IFERROR(__xludf.DUMMYFUNCTION("""COMPUTED_VALUE"""),"")</f>
        <v/>
      </c>
      <c r="U2081" s="139" t="str">
        <f>IFERROR(__xludf.DUMMYFUNCTION("""COMPUTED_VALUE"""),"")</f>
        <v/>
      </c>
      <c r="V2081" s="136" t="str">
        <f>IFERROR(__xludf.DUMMYFUNCTION("""COMPUTED_VALUE"""),"")</f>
        <v/>
      </c>
      <c r="W2081" s="106" t="str">
        <f>IFERROR(__xludf.DUMMYFUNCTION("""COMPUTED_VALUE"""),"")</f>
        <v/>
      </c>
      <c r="X2081" s="143" t="str">
        <f t="shared" si="2"/>
        <v/>
      </c>
      <c r="Y2081" s="139" t="str">
        <f>IFERROR(__xludf.DUMMYFUNCTION("""COMPUTED_VALUE"""),"")</f>
        <v/>
      </c>
      <c r="Z2081" s="141" t="str">
        <f>IFERROR(__xludf.DUMMYFUNCTION("""COMPUTED_VALUE"""),"")</f>
        <v/>
      </c>
    </row>
    <row r="2082">
      <c r="D2082" s="136" t="str">
        <f t="shared" si="3"/>
        <v/>
      </c>
      <c r="E2082" s="152"/>
      <c r="F2082" s="106" t="s">
        <v>133</v>
      </c>
      <c r="G2082" s="152"/>
      <c r="H2082" s="106" t="s">
        <v>133</v>
      </c>
      <c r="J2082" s="139" t="s">
        <v>133</v>
      </c>
      <c r="K2082" s="136" t="s">
        <v>133</v>
      </c>
      <c r="L2082" s="153"/>
      <c r="M2082" s="136" t="str">
        <f t="shared" si="1"/>
        <v/>
      </c>
      <c r="O2082" s="141" t="s">
        <v>133</v>
      </c>
      <c r="P2082" s="136" t="str">
        <f>IFERROR(__xludf.DUMMYFUNCTION("""COMPUTED_VALUE"""),"")</f>
        <v/>
      </c>
      <c r="Q2082" s="136" t="str">
        <f>IFERROR(__xludf.DUMMYFUNCTION("""COMPUTED_VALUE"""),"")</f>
        <v/>
      </c>
      <c r="R2082" s="106" t="str">
        <f>IFERROR(__xludf.DUMMYFUNCTION("""COMPUTED_VALUE"""),"")</f>
        <v/>
      </c>
      <c r="S2082" s="106" t="str">
        <f>IFERROR(__xludf.DUMMYFUNCTION("""COMPUTED_VALUE"""),"")</f>
        <v/>
      </c>
      <c r="T2082" s="139" t="str">
        <f>IFERROR(__xludf.DUMMYFUNCTION("""COMPUTED_VALUE"""),"")</f>
        <v/>
      </c>
      <c r="U2082" s="139" t="str">
        <f>IFERROR(__xludf.DUMMYFUNCTION("""COMPUTED_VALUE"""),"")</f>
        <v/>
      </c>
      <c r="V2082" s="136" t="str">
        <f>IFERROR(__xludf.DUMMYFUNCTION("""COMPUTED_VALUE"""),"")</f>
        <v/>
      </c>
      <c r="W2082" s="106" t="str">
        <f>IFERROR(__xludf.DUMMYFUNCTION("""COMPUTED_VALUE"""),"")</f>
        <v/>
      </c>
      <c r="X2082" s="143" t="str">
        <f t="shared" si="2"/>
        <v/>
      </c>
      <c r="Y2082" s="139" t="str">
        <f>IFERROR(__xludf.DUMMYFUNCTION("""COMPUTED_VALUE"""),"")</f>
        <v/>
      </c>
      <c r="Z2082" s="141" t="str">
        <f>IFERROR(__xludf.DUMMYFUNCTION("""COMPUTED_VALUE"""),"")</f>
        <v/>
      </c>
    </row>
    <row r="2083">
      <c r="D2083" s="136" t="str">
        <f t="shared" si="3"/>
        <v/>
      </c>
      <c r="E2083" s="152"/>
      <c r="F2083" s="106" t="s">
        <v>133</v>
      </c>
      <c r="G2083" s="152"/>
      <c r="H2083" s="106" t="s">
        <v>133</v>
      </c>
      <c r="J2083" s="139" t="s">
        <v>133</v>
      </c>
      <c r="K2083" s="136" t="s">
        <v>133</v>
      </c>
      <c r="L2083" s="153"/>
      <c r="M2083" s="136" t="str">
        <f t="shared" si="1"/>
        <v/>
      </c>
      <c r="O2083" s="141" t="s">
        <v>133</v>
      </c>
      <c r="P2083" s="136" t="str">
        <f>IFERROR(__xludf.DUMMYFUNCTION("""COMPUTED_VALUE"""),"")</f>
        <v/>
      </c>
      <c r="Q2083" s="136" t="str">
        <f>IFERROR(__xludf.DUMMYFUNCTION("""COMPUTED_VALUE"""),"")</f>
        <v/>
      </c>
      <c r="R2083" s="106" t="str">
        <f>IFERROR(__xludf.DUMMYFUNCTION("""COMPUTED_VALUE"""),"")</f>
        <v/>
      </c>
      <c r="S2083" s="106" t="str">
        <f>IFERROR(__xludf.DUMMYFUNCTION("""COMPUTED_VALUE"""),"")</f>
        <v/>
      </c>
      <c r="T2083" s="139" t="str">
        <f>IFERROR(__xludf.DUMMYFUNCTION("""COMPUTED_VALUE"""),"")</f>
        <v/>
      </c>
      <c r="U2083" s="139" t="str">
        <f>IFERROR(__xludf.DUMMYFUNCTION("""COMPUTED_VALUE"""),"")</f>
        <v/>
      </c>
      <c r="V2083" s="136" t="str">
        <f>IFERROR(__xludf.DUMMYFUNCTION("""COMPUTED_VALUE"""),"")</f>
        <v/>
      </c>
      <c r="W2083" s="106" t="str">
        <f>IFERROR(__xludf.DUMMYFUNCTION("""COMPUTED_VALUE"""),"")</f>
        <v/>
      </c>
      <c r="X2083" s="143" t="str">
        <f t="shared" si="2"/>
        <v/>
      </c>
      <c r="Y2083" s="139" t="str">
        <f>IFERROR(__xludf.DUMMYFUNCTION("""COMPUTED_VALUE"""),"")</f>
        <v/>
      </c>
      <c r="Z2083" s="141" t="str">
        <f>IFERROR(__xludf.DUMMYFUNCTION("""COMPUTED_VALUE"""),"")</f>
        <v/>
      </c>
    </row>
    <row r="2084">
      <c r="D2084" s="136" t="str">
        <f t="shared" si="3"/>
        <v/>
      </c>
      <c r="E2084" s="152"/>
      <c r="F2084" s="106" t="s">
        <v>133</v>
      </c>
      <c r="G2084" s="152"/>
      <c r="H2084" s="106" t="s">
        <v>133</v>
      </c>
      <c r="J2084" s="139" t="s">
        <v>133</v>
      </c>
      <c r="K2084" s="136" t="s">
        <v>133</v>
      </c>
      <c r="L2084" s="153"/>
      <c r="M2084" s="136" t="str">
        <f t="shared" si="1"/>
        <v/>
      </c>
      <c r="O2084" s="141" t="s">
        <v>133</v>
      </c>
      <c r="P2084" s="136" t="str">
        <f>IFERROR(__xludf.DUMMYFUNCTION("""COMPUTED_VALUE"""),"")</f>
        <v/>
      </c>
      <c r="Q2084" s="136" t="str">
        <f>IFERROR(__xludf.DUMMYFUNCTION("""COMPUTED_VALUE"""),"")</f>
        <v/>
      </c>
      <c r="R2084" s="106" t="str">
        <f>IFERROR(__xludf.DUMMYFUNCTION("""COMPUTED_VALUE"""),"")</f>
        <v/>
      </c>
      <c r="S2084" s="106" t="str">
        <f>IFERROR(__xludf.DUMMYFUNCTION("""COMPUTED_VALUE"""),"")</f>
        <v/>
      </c>
      <c r="T2084" s="139" t="str">
        <f>IFERROR(__xludf.DUMMYFUNCTION("""COMPUTED_VALUE"""),"")</f>
        <v/>
      </c>
      <c r="U2084" s="139" t="str">
        <f>IFERROR(__xludf.DUMMYFUNCTION("""COMPUTED_VALUE"""),"")</f>
        <v/>
      </c>
      <c r="V2084" s="136" t="str">
        <f>IFERROR(__xludf.DUMMYFUNCTION("""COMPUTED_VALUE"""),"")</f>
        <v/>
      </c>
      <c r="W2084" s="106" t="str">
        <f>IFERROR(__xludf.DUMMYFUNCTION("""COMPUTED_VALUE"""),"")</f>
        <v/>
      </c>
      <c r="X2084" s="143" t="str">
        <f t="shared" si="2"/>
        <v/>
      </c>
      <c r="Y2084" s="139" t="str">
        <f>IFERROR(__xludf.DUMMYFUNCTION("""COMPUTED_VALUE"""),"")</f>
        <v/>
      </c>
      <c r="Z2084" s="141" t="str">
        <f>IFERROR(__xludf.DUMMYFUNCTION("""COMPUTED_VALUE"""),"")</f>
        <v/>
      </c>
    </row>
    <row r="2085">
      <c r="D2085" s="136" t="str">
        <f t="shared" si="3"/>
        <v/>
      </c>
      <c r="E2085" s="152"/>
      <c r="F2085" s="106" t="s">
        <v>133</v>
      </c>
      <c r="G2085" s="152"/>
      <c r="H2085" s="106" t="s">
        <v>133</v>
      </c>
      <c r="J2085" s="139" t="s">
        <v>133</v>
      </c>
      <c r="K2085" s="136" t="s">
        <v>133</v>
      </c>
      <c r="L2085" s="153"/>
      <c r="M2085" s="136" t="str">
        <f t="shared" si="1"/>
        <v/>
      </c>
      <c r="O2085" s="141" t="s">
        <v>133</v>
      </c>
      <c r="P2085" s="136" t="str">
        <f>IFERROR(__xludf.DUMMYFUNCTION("""COMPUTED_VALUE"""),"")</f>
        <v/>
      </c>
      <c r="Q2085" s="136" t="str">
        <f>IFERROR(__xludf.DUMMYFUNCTION("""COMPUTED_VALUE"""),"")</f>
        <v/>
      </c>
      <c r="R2085" s="106" t="str">
        <f>IFERROR(__xludf.DUMMYFUNCTION("""COMPUTED_VALUE"""),"")</f>
        <v/>
      </c>
      <c r="S2085" s="106" t="str">
        <f>IFERROR(__xludf.DUMMYFUNCTION("""COMPUTED_VALUE"""),"")</f>
        <v/>
      </c>
      <c r="T2085" s="139" t="str">
        <f>IFERROR(__xludf.DUMMYFUNCTION("""COMPUTED_VALUE"""),"")</f>
        <v/>
      </c>
      <c r="U2085" s="139" t="str">
        <f>IFERROR(__xludf.DUMMYFUNCTION("""COMPUTED_VALUE"""),"")</f>
        <v/>
      </c>
      <c r="V2085" s="136" t="str">
        <f>IFERROR(__xludf.DUMMYFUNCTION("""COMPUTED_VALUE"""),"")</f>
        <v/>
      </c>
      <c r="W2085" s="106" t="str">
        <f>IFERROR(__xludf.DUMMYFUNCTION("""COMPUTED_VALUE"""),"")</f>
        <v/>
      </c>
      <c r="X2085" s="143" t="str">
        <f t="shared" si="2"/>
        <v/>
      </c>
      <c r="Y2085" s="139" t="str">
        <f>IFERROR(__xludf.DUMMYFUNCTION("""COMPUTED_VALUE"""),"")</f>
        <v/>
      </c>
      <c r="Z2085" s="141" t="str">
        <f>IFERROR(__xludf.DUMMYFUNCTION("""COMPUTED_VALUE"""),"")</f>
        <v/>
      </c>
    </row>
    <row r="2086">
      <c r="D2086" s="136" t="str">
        <f t="shared" si="3"/>
        <v/>
      </c>
      <c r="E2086" s="152"/>
      <c r="F2086" s="106" t="s">
        <v>133</v>
      </c>
      <c r="G2086" s="152"/>
      <c r="H2086" s="106" t="s">
        <v>133</v>
      </c>
      <c r="J2086" s="139" t="s">
        <v>133</v>
      </c>
      <c r="K2086" s="136" t="s">
        <v>133</v>
      </c>
      <c r="L2086" s="153"/>
      <c r="M2086" s="136" t="str">
        <f t="shared" si="1"/>
        <v/>
      </c>
      <c r="O2086" s="141" t="s">
        <v>133</v>
      </c>
      <c r="P2086" s="136" t="str">
        <f>IFERROR(__xludf.DUMMYFUNCTION("""COMPUTED_VALUE"""),"")</f>
        <v/>
      </c>
      <c r="Q2086" s="136" t="str">
        <f>IFERROR(__xludf.DUMMYFUNCTION("""COMPUTED_VALUE"""),"")</f>
        <v/>
      </c>
      <c r="R2086" s="106" t="str">
        <f>IFERROR(__xludf.DUMMYFUNCTION("""COMPUTED_VALUE"""),"")</f>
        <v/>
      </c>
      <c r="S2086" s="106" t="str">
        <f>IFERROR(__xludf.DUMMYFUNCTION("""COMPUTED_VALUE"""),"")</f>
        <v/>
      </c>
      <c r="T2086" s="139" t="str">
        <f>IFERROR(__xludf.DUMMYFUNCTION("""COMPUTED_VALUE"""),"")</f>
        <v/>
      </c>
      <c r="U2086" s="139" t="str">
        <f>IFERROR(__xludf.DUMMYFUNCTION("""COMPUTED_VALUE"""),"")</f>
        <v/>
      </c>
      <c r="V2086" s="136" t="str">
        <f>IFERROR(__xludf.DUMMYFUNCTION("""COMPUTED_VALUE"""),"")</f>
        <v/>
      </c>
      <c r="W2086" s="106" t="str">
        <f>IFERROR(__xludf.DUMMYFUNCTION("""COMPUTED_VALUE"""),"")</f>
        <v/>
      </c>
      <c r="X2086" s="143" t="str">
        <f t="shared" si="2"/>
        <v/>
      </c>
      <c r="Y2086" s="139" t="str">
        <f>IFERROR(__xludf.DUMMYFUNCTION("""COMPUTED_VALUE"""),"")</f>
        <v/>
      </c>
      <c r="Z2086" s="141" t="str">
        <f>IFERROR(__xludf.DUMMYFUNCTION("""COMPUTED_VALUE"""),"")</f>
        <v/>
      </c>
    </row>
    <row r="2087">
      <c r="D2087" s="136" t="str">
        <f t="shared" si="3"/>
        <v/>
      </c>
      <c r="E2087" s="152"/>
      <c r="F2087" s="106" t="s">
        <v>133</v>
      </c>
      <c r="G2087" s="152"/>
      <c r="H2087" s="106" t="s">
        <v>133</v>
      </c>
      <c r="J2087" s="139" t="s">
        <v>133</v>
      </c>
      <c r="K2087" s="136" t="s">
        <v>133</v>
      </c>
      <c r="L2087" s="153"/>
      <c r="M2087" s="136" t="str">
        <f t="shared" si="1"/>
        <v/>
      </c>
      <c r="O2087" s="141" t="s">
        <v>133</v>
      </c>
      <c r="P2087" s="136" t="str">
        <f>IFERROR(__xludf.DUMMYFUNCTION("""COMPUTED_VALUE"""),"")</f>
        <v/>
      </c>
      <c r="Q2087" s="136" t="str">
        <f>IFERROR(__xludf.DUMMYFUNCTION("""COMPUTED_VALUE"""),"")</f>
        <v/>
      </c>
      <c r="R2087" s="106" t="str">
        <f>IFERROR(__xludf.DUMMYFUNCTION("""COMPUTED_VALUE"""),"")</f>
        <v/>
      </c>
      <c r="S2087" s="106" t="str">
        <f>IFERROR(__xludf.DUMMYFUNCTION("""COMPUTED_VALUE"""),"")</f>
        <v/>
      </c>
      <c r="T2087" s="139" t="str">
        <f>IFERROR(__xludf.DUMMYFUNCTION("""COMPUTED_VALUE"""),"")</f>
        <v/>
      </c>
      <c r="U2087" s="139" t="str">
        <f>IFERROR(__xludf.DUMMYFUNCTION("""COMPUTED_VALUE"""),"")</f>
        <v/>
      </c>
      <c r="V2087" s="136" t="str">
        <f>IFERROR(__xludf.DUMMYFUNCTION("""COMPUTED_VALUE"""),"")</f>
        <v/>
      </c>
      <c r="W2087" s="106" t="str">
        <f>IFERROR(__xludf.DUMMYFUNCTION("""COMPUTED_VALUE"""),"")</f>
        <v/>
      </c>
      <c r="X2087" s="143" t="str">
        <f t="shared" si="2"/>
        <v/>
      </c>
      <c r="Y2087" s="139" t="str">
        <f>IFERROR(__xludf.DUMMYFUNCTION("""COMPUTED_VALUE"""),"")</f>
        <v/>
      </c>
      <c r="Z2087" s="141" t="str">
        <f>IFERROR(__xludf.DUMMYFUNCTION("""COMPUTED_VALUE"""),"")</f>
        <v/>
      </c>
    </row>
    <row r="2088">
      <c r="D2088" s="136" t="str">
        <f t="shared" si="3"/>
        <v/>
      </c>
      <c r="E2088" s="152"/>
      <c r="F2088" s="106" t="s">
        <v>133</v>
      </c>
      <c r="G2088" s="152"/>
      <c r="H2088" s="106" t="s">
        <v>133</v>
      </c>
      <c r="J2088" s="139" t="s">
        <v>133</v>
      </c>
      <c r="K2088" s="136" t="s">
        <v>133</v>
      </c>
      <c r="L2088" s="153"/>
      <c r="M2088" s="136" t="str">
        <f t="shared" si="1"/>
        <v/>
      </c>
      <c r="O2088" s="141" t="s">
        <v>133</v>
      </c>
      <c r="P2088" s="136" t="str">
        <f>IFERROR(__xludf.DUMMYFUNCTION("""COMPUTED_VALUE"""),"")</f>
        <v/>
      </c>
      <c r="Q2088" s="136" t="str">
        <f>IFERROR(__xludf.DUMMYFUNCTION("""COMPUTED_VALUE"""),"")</f>
        <v/>
      </c>
      <c r="R2088" s="106" t="str">
        <f>IFERROR(__xludf.DUMMYFUNCTION("""COMPUTED_VALUE"""),"")</f>
        <v/>
      </c>
      <c r="S2088" s="106" t="str">
        <f>IFERROR(__xludf.DUMMYFUNCTION("""COMPUTED_VALUE"""),"")</f>
        <v/>
      </c>
      <c r="T2088" s="139" t="str">
        <f>IFERROR(__xludf.DUMMYFUNCTION("""COMPUTED_VALUE"""),"")</f>
        <v/>
      </c>
      <c r="U2088" s="139" t="str">
        <f>IFERROR(__xludf.DUMMYFUNCTION("""COMPUTED_VALUE"""),"")</f>
        <v/>
      </c>
      <c r="V2088" s="136" t="str">
        <f>IFERROR(__xludf.DUMMYFUNCTION("""COMPUTED_VALUE"""),"")</f>
        <v/>
      </c>
      <c r="W2088" s="106" t="str">
        <f>IFERROR(__xludf.DUMMYFUNCTION("""COMPUTED_VALUE"""),"")</f>
        <v/>
      </c>
      <c r="X2088" s="143" t="str">
        <f t="shared" si="2"/>
        <v/>
      </c>
      <c r="Y2088" s="139" t="str">
        <f>IFERROR(__xludf.DUMMYFUNCTION("""COMPUTED_VALUE"""),"")</f>
        <v/>
      </c>
      <c r="Z2088" s="141" t="str">
        <f>IFERROR(__xludf.DUMMYFUNCTION("""COMPUTED_VALUE"""),"")</f>
        <v/>
      </c>
    </row>
    <row r="2089">
      <c r="D2089" s="136" t="str">
        <f t="shared" si="3"/>
        <v/>
      </c>
      <c r="E2089" s="152"/>
      <c r="F2089" s="106" t="s">
        <v>133</v>
      </c>
      <c r="G2089" s="152"/>
      <c r="H2089" s="106" t="s">
        <v>133</v>
      </c>
      <c r="J2089" s="139" t="s">
        <v>133</v>
      </c>
      <c r="K2089" s="136" t="s">
        <v>133</v>
      </c>
      <c r="L2089" s="153"/>
      <c r="M2089" s="136" t="str">
        <f t="shared" si="1"/>
        <v/>
      </c>
      <c r="O2089" s="141" t="s">
        <v>133</v>
      </c>
      <c r="P2089" s="136" t="str">
        <f>IFERROR(__xludf.DUMMYFUNCTION("""COMPUTED_VALUE"""),"")</f>
        <v/>
      </c>
      <c r="Q2089" s="136" t="str">
        <f>IFERROR(__xludf.DUMMYFUNCTION("""COMPUTED_VALUE"""),"")</f>
        <v/>
      </c>
      <c r="R2089" s="106" t="str">
        <f>IFERROR(__xludf.DUMMYFUNCTION("""COMPUTED_VALUE"""),"")</f>
        <v/>
      </c>
      <c r="S2089" s="106" t="str">
        <f>IFERROR(__xludf.DUMMYFUNCTION("""COMPUTED_VALUE"""),"")</f>
        <v/>
      </c>
      <c r="T2089" s="139" t="str">
        <f>IFERROR(__xludf.DUMMYFUNCTION("""COMPUTED_VALUE"""),"")</f>
        <v/>
      </c>
      <c r="U2089" s="139" t="str">
        <f>IFERROR(__xludf.DUMMYFUNCTION("""COMPUTED_VALUE"""),"")</f>
        <v/>
      </c>
      <c r="V2089" s="136" t="str">
        <f>IFERROR(__xludf.DUMMYFUNCTION("""COMPUTED_VALUE"""),"")</f>
        <v/>
      </c>
      <c r="W2089" s="106" t="str">
        <f>IFERROR(__xludf.DUMMYFUNCTION("""COMPUTED_VALUE"""),"")</f>
        <v/>
      </c>
      <c r="X2089" s="143" t="str">
        <f t="shared" si="2"/>
        <v/>
      </c>
      <c r="Y2089" s="139" t="str">
        <f>IFERROR(__xludf.DUMMYFUNCTION("""COMPUTED_VALUE"""),"")</f>
        <v/>
      </c>
      <c r="Z2089" s="141" t="str">
        <f>IFERROR(__xludf.DUMMYFUNCTION("""COMPUTED_VALUE"""),"")</f>
        <v/>
      </c>
    </row>
    <row r="2090">
      <c r="D2090" s="136" t="str">
        <f t="shared" si="3"/>
        <v/>
      </c>
      <c r="E2090" s="152"/>
      <c r="F2090" s="106" t="s">
        <v>133</v>
      </c>
      <c r="G2090" s="152"/>
      <c r="H2090" s="106" t="s">
        <v>133</v>
      </c>
      <c r="J2090" s="139" t="s">
        <v>133</v>
      </c>
      <c r="K2090" s="136" t="s">
        <v>133</v>
      </c>
      <c r="L2090" s="153"/>
      <c r="M2090" s="136" t="str">
        <f t="shared" si="1"/>
        <v/>
      </c>
      <c r="O2090" s="141" t="s">
        <v>133</v>
      </c>
      <c r="P2090" s="136" t="str">
        <f>IFERROR(__xludf.DUMMYFUNCTION("""COMPUTED_VALUE"""),"")</f>
        <v/>
      </c>
      <c r="Q2090" s="136" t="str">
        <f>IFERROR(__xludf.DUMMYFUNCTION("""COMPUTED_VALUE"""),"")</f>
        <v/>
      </c>
      <c r="R2090" s="106" t="str">
        <f>IFERROR(__xludf.DUMMYFUNCTION("""COMPUTED_VALUE"""),"")</f>
        <v/>
      </c>
      <c r="S2090" s="106" t="str">
        <f>IFERROR(__xludf.DUMMYFUNCTION("""COMPUTED_VALUE"""),"")</f>
        <v/>
      </c>
      <c r="T2090" s="139" t="str">
        <f>IFERROR(__xludf.DUMMYFUNCTION("""COMPUTED_VALUE"""),"")</f>
        <v/>
      </c>
      <c r="U2090" s="139" t="str">
        <f>IFERROR(__xludf.DUMMYFUNCTION("""COMPUTED_VALUE"""),"")</f>
        <v/>
      </c>
      <c r="V2090" s="136" t="str">
        <f>IFERROR(__xludf.DUMMYFUNCTION("""COMPUTED_VALUE"""),"")</f>
        <v/>
      </c>
      <c r="W2090" s="106" t="str">
        <f>IFERROR(__xludf.DUMMYFUNCTION("""COMPUTED_VALUE"""),"")</f>
        <v/>
      </c>
      <c r="X2090" s="143" t="str">
        <f t="shared" si="2"/>
        <v/>
      </c>
      <c r="Y2090" s="139" t="str">
        <f>IFERROR(__xludf.DUMMYFUNCTION("""COMPUTED_VALUE"""),"")</f>
        <v/>
      </c>
      <c r="Z2090" s="141" t="str">
        <f>IFERROR(__xludf.DUMMYFUNCTION("""COMPUTED_VALUE"""),"")</f>
        <v/>
      </c>
    </row>
    <row r="2091">
      <c r="D2091" s="136" t="str">
        <f t="shared" si="3"/>
        <v/>
      </c>
      <c r="E2091" s="152"/>
      <c r="F2091" s="106" t="s">
        <v>133</v>
      </c>
      <c r="G2091" s="152"/>
      <c r="H2091" s="106" t="s">
        <v>133</v>
      </c>
      <c r="J2091" s="139" t="s">
        <v>133</v>
      </c>
      <c r="K2091" s="136" t="s">
        <v>133</v>
      </c>
      <c r="L2091" s="153"/>
      <c r="M2091" s="136" t="str">
        <f t="shared" si="1"/>
        <v/>
      </c>
      <c r="O2091" s="141" t="s">
        <v>133</v>
      </c>
      <c r="P2091" s="136" t="str">
        <f>IFERROR(__xludf.DUMMYFUNCTION("""COMPUTED_VALUE"""),"")</f>
        <v/>
      </c>
      <c r="Q2091" s="136" t="str">
        <f>IFERROR(__xludf.DUMMYFUNCTION("""COMPUTED_VALUE"""),"")</f>
        <v/>
      </c>
      <c r="R2091" s="106" t="str">
        <f>IFERROR(__xludf.DUMMYFUNCTION("""COMPUTED_VALUE"""),"")</f>
        <v/>
      </c>
      <c r="S2091" s="106" t="str">
        <f>IFERROR(__xludf.DUMMYFUNCTION("""COMPUTED_VALUE"""),"")</f>
        <v/>
      </c>
      <c r="T2091" s="139" t="str">
        <f>IFERROR(__xludf.DUMMYFUNCTION("""COMPUTED_VALUE"""),"")</f>
        <v/>
      </c>
      <c r="U2091" s="139" t="str">
        <f>IFERROR(__xludf.DUMMYFUNCTION("""COMPUTED_VALUE"""),"")</f>
        <v/>
      </c>
      <c r="V2091" s="136" t="str">
        <f>IFERROR(__xludf.DUMMYFUNCTION("""COMPUTED_VALUE"""),"")</f>
        <v/>
      </c>
      <c r="W2091" s="106" t="str">
        <f>IFERROR(__xludf.DUMMYFUNCTION("""COMPUTED_VALUE"""),"")</f>
        <v/>
      </c>
      <c r="X2091" s="143" t="str">
        <f t="shared" si="2"/>
        <v/>
      </c>
      <c r="Y2091" s="139" t="str">
        <f>IFERROR(__xludf.DUMMYFUNCTION("""COMPUTED_VALUE"""),"")</f>
        <v/>
      </c>
      <c r="Z2091" s="141" t="str">
        <f>IFERROR(__xludf.DUMMYFUNCTION("""COMPUTED_VALUE"""),"")</f>
        <v/>
      </c>
    </row>
    <row r="2092">
      <c r="D2092" s="136" t="str">
        <f t="shared" si="3"/>
        <v/>
      </c>
      <c r="E2092" s="152"/>
      <c r="F2092" s="106" t="s">
        <v>133</v>
      </c>
      <c r="G2092" s="152"/>
      <c r="H2092" s="106" t="s">
        <v>133</v>
      </c>
      <c r="J2092" s="139" t="s">
        <v>133</v>
      </c>
      <c r="K2092" s="136" t="s">
        <v>133</v>
      </c>
      <c r="L2092" s="153"/>
      <c r="M2092" s="136" t="str">
        <f t="shared" si="1"/>
        <v/>
      </c>
      <c r="O2092" s="141" t="s">
        <v>133</v>
      </c>
      <c r="P2092" s="136" t="str">
        <f>IFERROR(__xludf.DUMMYFUNCTION("""COMPUTED_VALUE"""),"")</f>
        <v/>
      </c>
      <c r="Q2092" s="136" t="str">
        <f>IFERROR(__xludf.DUMMYFUNCTION("""COMPUTED_VALUE"""),"")</f>
        <v/>
      </c>
      <c r="R2092" s="106" t="str">
        <f>IFERROR(__xludf.DUMMYFUNCTION("""COMPUTED_VALUE"""),"")</f>
        <v/>
      </c>
      <c r="S2092" s="106" t="str">
        <f>IFERROR(__xludf.DUMMYFUNCTION("""COMPUTED_VALUE"""),"")</f>
        <v/>
      </c>
      <c r="T2092" s="139" t="str">
        <f>IFERROR(__xludf.DUMMYFUNCTION("""COMPUTED_VALUE"""),"")</f>
        <v/>
      </c>
      <c r="U2092" s="139" t="str">
        <f>IFERROR(__xludf.DUMMYFUNCTION("""COMPUTED_VALUE"""),"")</f>
        <v/>
      </c>
      <c r="V2092" s="136" t="str">
        <f>IFERROR(__xludf.DUMMYFUNCTION("""COMPUTED_VALUE"""),"")</f>
        <v/>
      </c>
      <c r="W2092" s="106" t="str">
        <f>IFERROR(__xludf.DUMMYFUNCTION("""COMPUTED_VALUE"""),"")</f>
        <v/>
      </c>
      <c r="X2092" s="143" t="str">
        <f t="shared" si="2"/>
        <v/>
      </c>
      <c r="Y2092" s="139" t="str">
        <f>IFERROR(__xludf.DUMMYFUNCTION("""COMPUTED_VALUE"""),"")</f>
        <v/>
      </c>
      <c r="Z2092" s="141" t="str">
        <f>IFERROR(__xludf.DUMMYFUNCTION("""COMPUTED_VALUE"""),"")</f>
        <v/>
      </c>
    </row>
    <row r="2093">
      <c r="D2093" s="136" t="str">
        <f t="shared" si="3"/>
        <v/>
      </c>
      <c r="E2093" s="152"/>
      <c r="F2093" s="106" t="s">
        <v>133</v>
      </c>
      <c r="G2093" s="152"/>
      <c r="H2093" s="106" t="s">
        <v>133</v>
      </c>
      <c r="J2093" s="139" t="s">
        <v>133</v>
      </c>
      <c r="K2093" s="136" t="s">
        <v>133</v>
      </c>
      <c r="L2093" s="153"/>
      <c r="M2093" s="136" t="str">
        <f t="shared" si="1"/>
        <v/>
      </c>
      <c r="O2093" s="141" t="s">
        <v>133</v>
      </c>
      <c r="P2093" s="136" t="str">
        <f>IFERROR(__xludf.DUMMYFUNCTION("""COMPUTED_VALUE"""),"")</f>
        <v/>
      </c>
      <c r="Q2093" s="136" t="str">
        <f>IFERROR(__xludf.DUMMYFUNCTION("""COMPUTED_VALUE"""),"")</f>
        <v/>
      </c>
      <c r="R2093" s="106" t="str">
        <f>IFERROR(__xludf.DUMMYFUNCTION("""COMPUTED_VALUE"""),"")</f>
        <v/>
      </c>
      <c r="S2093" s="106" t="str">
        <f>IFERROR(__xludf.DUMMYFUNCTION("""COMPUTED_VALUE"""),"")</f>
        <v/>
      </c>
      <c r="T2093" s="139" t="str">
        <f>IFERROR(__xludf.DUMMYFUNCTION("""COMPUTED_VALUE"""),"")</f>
        <v/>
      </c>
      <c r="U2093" s="139" t="str">
        <f>IFERROR(__xludf.DUMMYFUNCTION("""COMPUTED_VALUE"""),"")</f>
        <v/>
      </c>
      <c r="V2093" s="136" t="str">
        <f>IFERROR(__xludf.DUMMYFUNCTION("""COMPUTED_VALUE"""),"")</f>
        <v/>
      </c>
      <c r="W2093" s="106" t="str">
        <f>IFERROR(__xludf.DUMMYFUNCTION("""COMPUTED_VALUE"""),"")</f>
        <v/>
      </c>
      <c r="X2093" s="143" t="str">
        <f t="shared" si="2"/>
        <v/>
      </c>
      <c r="Y2093" s="139" t="str">
        <f>IFERROR(__xludf.DUMMYFUNCTION("""COMPUTED_VALUE"""),"")</f>
        <v/>
      </c>
      <c r="Z2093" s="141" t="str">
        <f>IFERROR(__xludf.DUMMYFUNCTION("""COMPUTED_VALUE"""),"")</f>
        <v/>
      </c>
    </row>
    <row r="2094">
      <c r="D2094" s="136" t="str">
        <f t="shared" si="3"/>
        <v/>
      </c>
      <c r="E2094" s="152"/>
      <c r="F2094" s="106" t="s">
        <v>133</v>
      </c>
      <c r="G2094" s="152"/>
      <c r="H2094" s="106" t="s">
        <v>133</v>
      </c>
      <c r="J2094" s="139" t="s">
        <v>133</v>
      </c>
      <c r="K2094" s="136" t="s">
        <v>133</v>
      </c>
      <c r="L2094" s="153"/>
      <c r="M2094" s="136" t="str">
        <f t="shared" si="1"/>
        <v/>
      </c>
      <c r="O2094" s="141" t="s">
        <v>133</v>
      </c>
      <c r="P2094" s="136" t="str">
        <f>IFERROR(__xludf.DUMMYFUNCTION("""COMPUTED_VALUE"""),"")</f>
        <v/>
      </c>
      <c r="Q2094" s="136" t="str">
        <f>IFERROR(__xludf.DUMMYFUNCTION("""COMPUTED_VALUE"""),"")</f>
        <v/>
      </c>
      <c r="R2094" s="106" t="str">
        <f>IFERROR(__xludf.DUMMYFUNCTION("""COMPUTED_VALUE"""),"")</f>
        <v/>
      </c>
      <c r="S2094" s="106" t="str">
        <f>IFERROR(__xludf.DUMMYFUNCTION("""COMPUTED_VALUE"""),"")</f>
        <v/>
      </c>
      <c r="T2094" s="139" t="str">
        <f>IFERROR(__xludf.DUMMYFUNCTION("""COMPUTED_VALUE"""),"")</f>
        <v/>
      </c>
      <c r="U2094" s="139" t="str">
        <f>IFERROR(__xludf.DUMMYFUNCTION("""COMPUTED_VALUE"""),"")</f>
        <v/>
      </c>
      <c r="V2094" s="136" t="str">
        <f>IFERROR(__xludf.DUMMYFUNCTION("""COMPUTED_VALUE"""),"")</f>
        <v/>
      </c>
      <c r="W2094" s="106" t="str">
        <f>IFERROR(__xludf.DUMMYFUNCTION("""COMPUTED_VALUE"""),"")</f>
        <v/>
      </c>
      <c r="X2094" s="143" t="str">
        <f t="shared" si="2"/>
        <v/>
      </c>
      <c r="Y2094" s="139" t="str">
        <f>IFERROR(__xludf.DUMMYFUNCTION("""COMPUTED_VALUE"""),"")</f>
        <v/>
      </c>
      <c r="Z2094" s="141" t="str">
        <f>IFERROR(__xludf.DUMMYFUNCTION("""COMPUTED_VALUE"""),"")</f>
        <v/>
      </c>
    </row>
    <row r="2095">
      <c r="D2095" s="136" t="str">
        <f t="shared" si="3"/>
        <v/>
      </c>
      <c r="E2095" s="152"/>
      <c r="F2095" s="106" t="s">
        <v>133</v>
      </c>
      <c r="G2095" s="152"/>
      <c r="H2095" s="106" t="s">
        <v>133</v>
      </c>
      <c r="J2095" s="139" t="s">
        <v>133</v>
      </c>
      <c r="K2095" s="136" t="s">
        <v>133</v>
      </c>
      <c r="L2095" s="153"/>
      <c r="M2095" s="136" t="str">
        <f t="shared" si="1"/>
        <v/>
      </c>
      <c r="O2095" s="141" t="s">
        <v>133</v>
      </c>
      <c r="P2095" s="136" t="str">
        <f>IFERROR(__xludf.DUMMYFUNCTION("""COMPUTED_VALUE"""),"")</f>
        <v/>
      </c>
      <c r="Q2095" s="136" t="str">
        <f>IFERROR(__xludf.DUMMYFUNCTION("""COMPUTED_VALUE"""),"")</f>
        <v/>
      </c>
      <c r="R2095" s="106" t="str">
        <f>IFERROR(__xludf.DUMMYFUNCTION("""COMPUTED_VALUE"""),"")</f>
        <v/>
      </c>
      <c r="S2095" s="106" t="str">
        <f>IFERROR(__xludf.DUMMYFUNCTION("""COMPUTED_VALUE"""),"")</f>
        <v/>
      </c>
      <c r="T2095" s="139" t="str">
        <f>IFERROR(__xludf.DUMMYFUNCTION("""COMPUTED_VALUE"""),"")</f>
        <v/>
      </c>
      <c r="U2095" s="139" t="str">
        <f>IFERROR(__xludf.DUMMYFUNCTION("""COMPUTED_VALUE"""),"")</f>
        <v/>
      </c>
      <c r="V2095" s="136" t="str">
        <f>IFERROR(__xludf.DUMMYFUNCTION("""COMPUTED_VALUE"""),"")</f>
        <v/>
      </c>
      <c r="W2095" s="106" t="str">
        <f>IFERROR(__xludf.DUMMYFUNCTION("""COMPUTED_VALUE"""),"")</f>
        <v/>
      </c>
      <c r="X2095" s="143" t="str">
        <f t="shared" si="2"/>
        <v/>
      </c>
      <c r="Y2095" s="139" t="str">
        <f>IFERROR(__xludf.DUMMYFUNCTION("""COMPUTED_VALUE"""),"")</f>
        <v/>
      </c>
      <c r="Z2095" s="141" t="str">
        <f>IFERROR(__xludf.DUMMYFUNCTION("""COMPUTED_VALUE"""),"")</f>
        <v/>
      </c>
    </row>
    <row r="2096">
      <c r="D2096" s="136" t="str">
        <f t="shared" si="3"/>
        <v/>
      </c>
      <c r="E2096" s="152"/>
      <c r="F2096" s="106" t="s">
        <v>133</v>
      </c>
      <c r="G2096" s="152"/>
      <c r="H2096" s="106" t="s">
        <v>133</v>
      </c>
      <c r="J2096" s="139" t="s">
        <v>133</v>
      </c>
      <c r="K2096" s="136" t="s">
        <v>133</v>
      </c>
      <c r="L2096" s="153"/>
      <c r="M2096" s="136" t="str">
        <f t="shared" si="1"/>
        <v/>
      </c>
      <c r="O2096" s="141" t="s">
        <v>133</v>
      </c>
      <c r="P2096" s="136" t="str">
        <f>IFERROR(__xludf.DUMMYFUNCTION("""COMPUTED_VALUE"""),"")</f>
        <v/>
      </c>
      <c r="Q2096" s="136" t="str">
        <f>IFERROR(__xludf.DUMMYFUNCTION("""COMPUTED_VALUE"""),"")</f>
        <v/>
      </c>
      <c r="R2096" s="106" t="str">
        <f>IFERROR(__xludf.DUMMYFUNCTION("""COMPUTED_VALUE"""),"")</f>
        <v/>
      </c>
      <c r="S2096" s="106" t="str">
        <f>IFERROR(__xludf.DUMMYFUNCTION("""COMPUTED_VALUE"""),"")</f>
        <v/>
      </c>
      <c r="T2096" s="139" t="str">
        <f>IFERROR(__xludf.DUMMYFUNCTION("""COMPUTED_VALUE"""),"")</f>
        <v/>
      </c>
      <c r="U2096" s="139" t="str">
        <f>IFERROR(__xludf.DUMMYFUNCTION("""COMPUTED_VALUE"""),"")</f>
        <v/>
      </c>
      <c r="V2096" s="136" t="str">
        <f>IFERROR(__xludf.DUMMYFUNCTION("""COMPUTED_VALUE"""),"")</f>
        <v/>
      </c>
      <c r="W2096" s="106" t="str">
        <f>IFERROR(__xludf.DUMMYFUNCTION("""COMPUTED_VALUE"""),"")</f>
        <v/>
      </c>
      <c r="X2096" s="143" t="str">
        <f t="shared" si="2"/>
        <v/>
      </c>
      <c r="Y2096" s="139" t="str">
        <f>IFERROR(__xludf.DUMMYFUNCTION("""COMPUTED_VALUE"""),"")</f>
        <v/>
      </c>
      <c r="Z2096" s="141" t="str">
        <f>IFERROR(__xludf.DUMMYFUNCTION("""COMPUTED_VALUE"""),"")</f>
        <v/>
      </c>
    </row>
    <row r="2097">
      <c r="D2097" s="136" t="str">
        <f t="shared" si="3"/>
        <v/>
      </c>
      <c r="E2097" s="152"/>
      <c r="F2097" s="106" t="s">
        <v>133</v>
      </c>
      <c r="G2097" s="152"/>
      <c r="H2097" s="106" t="s">
        <v>133</v>
      </c>
      <c r="J2097" s="139" t="s">
        <v>133</v>
      </c>
      <c r="K2097" s="136" t="s">
        <v>133</v>
      </c>
      <c r="L2097" s="153"/>
      <c r="M2097" s="136" t="str">
        <f t="shared" si="1"/>
        <v/>
      </c>
      <c r="O2097" s="141" t="s">
        <v>133</v>
      </c>
      <c r="P2097" s="136" t="str">
        <f>IFERROR(__xludf.DUMMYFUNCTION("""COMPUTED_VALUE"""),"")</f>
        <v/>
      </c>
      <c r="Q2097" s="136" t="str">
        <f>IFERROR(__xludf.DUMMYFUNCTION("""COMPUTED_VALUE"""),"")</f>
        <v/>
      </c>
      <c r="R2097" s="106" t="str">
        <f>IFERROR(__xludf.DUMMYFUNCTION("""COMPUTED_VALUE"""),"")</f>
        <v/>
      </c>
      <c r="S2097" s="106" t="str">
        <f>IFERROR(__xludf.DUMMYFUNCTION("""COMPUTED_VALUE"""),"")</f>
        <v/>
      </c>
      <c r="T2097" s="139" t="str">
        <f>IFERROR(__xludf.DUMMYFUNCTION("""COMPUTED_VALUE"""),"")</f>
        <v/>
      </c>
      <c r="U2097" s="139" t="str">
        <f>IFERROR(__xludf.DUMMYFUNCTION("""COMPUTED_VALUE"""),"")</f>
        <v/>
      </c>
      <c r="V2097" s="136" t="str">
        <f>IFERROR(__xludf.DUMMYFUNCTION("""COMPUTED_VALUE"""),"")</f>
        <v/>
      </c>
      <c r="W2097" s="106" t="str">
        <f>IFERROR(__xludf.DUMMYFUNCTION("""COMPUTED_VALUE"""),"")</f>
        <v/>
      </c>
      <c r="X2097" s="143" t="str">
        <f t="shared" si="2"/>
        <v/>
      </c>
      <c r="Y2097" s="139" t="str">
        <f>IFERROR(__xludf.DUMMYFUNCTION("""COMPUTED_VALUE"""),"")</f>
        <v/>
      </c>
      <c r="Z2097" s="141" t="str">
        <f>IFERROR(__xludf.DUMMYFUNCTION("""COMPUTED_VALUE"""),"")</f>
        <v/>
      </c>
    </row>
    <row r="2098">
      <c r="D2098" s="136" t="str">
        <f t="shared" si="3"/>
        <v/>
      </c>
      <c r="E2098" s="152"/>
      <c r="F2098" s="106" t="s">
        <v>133</v>
      </c>
      <c r="G2098" s="152"/>
      <c r="H2098" s="106" t="s">
        <v>133</v>
      </c>
      <c r="J2098" s="139" t="s">
        <v>133</v>
      </c>
      <c r="K2098" s="136" t="s">
        <v>133</v>
      </c>
      <c r="L2098" s="153"/>
      <c r="M2098" s="136" t="str">
        <f t="shared" si="1"/>
        <v/>
      </c>
      <c r="O2098" s="141" t="s">
        <v>133</v>
      </c>
      <c r="P2098" s="136" t="str">
        <f>IFERROR(__xludf.DUMMYFUNCTION("""COMPUTED_VALUE"""),"")</f>
        <v/>
      </c>
      <c r="Q2098" s="136" t="str">
        <f>IFERROR(__xludf.DUMMYFUNCTION("""COMPUTED_VALUE"""),"")</f>
        <v/>
      </c>
      <c r="R2098" s="106" t="str">
        <f>IFERROR(__xludf.DUMMYFUNCTION("""COMPUTED_VALUE"""),"")</f>
        <v/>
      </c>
      <c r="S2098" s="106" t="str">
        <f>IFERROR(__xludf.DUMMYFUNCTION("""COMPUTED_VALUE"""),"")</f>
        <v/>
      </c>
      <c r="T2098" s="139" t="str">
        <f>IFERROR(__xludf.DUMMYFUNCTION("""COMPUTED_VALUE"""),"")</f>
        <v/>
      </c>
      <c r="U2098" s="139" t="str">
        <f>IFERROR(__xludf.DUMMYFUNCTION("""COMPUTED_VALUE"""),"")</f>
        <v/>
      </c>
      <c r="V2098" s="136" t="str">
        <f>IFERROR(__xludf.DUMMYFUNCTION("""COMPUTED_VALUE"""),"")</f>
        <v/>
      </c>
      <c r="W2098" s="106" t="str">
        <f>IFERROR(__xludf.DUMMYFUNCTION("""COMPUTED_VALUE"""),"")</f>
        <v/>
      </c>
      <c r="X2098" s="143" t="str">
        <f t="shared" si="2"/>
        <v/>
      </c>
      <c r="Y2098" s="139" t="str">
        <f>IFERROR(__xludf.DUMMYFUNCTION("""COMPUTED_VALUE"""),"")</f>
        <v/>
      </c>
      <c r="Z2098" s="141" t="str">
        <f>IFERROR(__xludf.DUMMYFUNCTION("""COMPUTED_VALUE"""),"")</f>
        <v/>
      </c>
    </row>
    <row r="2099">
      <c r="D2099" s="136" t="str">
        <f t="shared" si="3"/>
        <v/>
      </c>
      <c r="E2099" s="152"/>
      <c r="F2099" s="106" t="s">
        <v>133</v>
      </c>
      <c r="G2099" s="152"/>
      <c r="H2099" s="106" t="s">
        <v>133</v>
      </c>
      <c r="J2099" s="139" t="s">
        <v>133</v>
      </c>
      <c r="K2099" s="136" t="s">
        <v>133</v>
      </c>
      <c r="L2099" s="153"/>
      <c r="M2099" s="136" t="str">
        <f t="shared" si="1"/>
        <v/>
      </c>
      <c r="O2099" s="141" t="s">
        <v>133</v>
      </c>
      <c r="P2099" s="136" t="str">
        <f>IFERROR(__xludf.DUMMYFUNCTION("""COMPUTED_VALUE"""),"")</f>
        <v/>
      </c>
      <c r="Q2099" s="136" t="str">
        <f>IFERROR(__xludf.DUMMYFUNCTION("""COMPUTED_VALUE"""),"")</f>
        <v/>
      </c>
      <c r="R2099" s="106" t="str">
        <f>IFERROR(__xludf.DUMMYFUNCTION("""COMPUTED_VALUE"""),"")</f>
        <v/>
      </c>
      <c r="S2099" s="106" t="str">
        <f>IFERROR(__xludf.DUMMYFUNCTION("""COMPUTED_VALUE"""),"")</f>
        <v/>
      </c>
      <c r="T2099" s="139" t="str">
        <f>IFERROR(__xludf.DUMMYFUNCTION("""COMPUTED_VALUE"""),"")</f>
        <v/>
      </c>
      <c r="U2099" s="139" t="str">
        <f>IFERROR(__xludf.DUMMYFUNCTION("""COMPUTED_VALUE"""),"")</f>
        <v/>
      </c>
      <c r="V2099" s="136" t="str">
        <f>IFERROR(__xludf.DUMMYFUNCTION("""COMPUTED_VALUE"""),"")</f>
        <v/>
      </c>
      <c r="W2099" s="106" t="str">
        <f>IFERROR(__xludf.DUMMYFUNCTION("""COMPUTED_VALUE"""),"")</f>
        <v/>
      </c>
      <c r="X2099" s="143" t="str">
        <f t="shared" si="2"/>
        <v/>
      </c>
      <c r="Y2099" s="139" t="str">
        <f>IFERROR(__xludf.DUMMYFUNCTION("""COMPUTED_VALUE"""),"")</f>
        <v/>
      </c>
      <c r="Z2099" s="141" t="str">
        <f>IFERROR(__xludf.DUMMYFUNCTION("""COMPUTED_VALUE"""),"")</f>
        <v/>
      </c>
    </row>
    <row r="2100">
      <c r="D2100" s="136" t="str">
        <f t="shared" si="3"/>
        <v/>
      </c>
      <c r="E2100" s="152"/>
      <c r="F2100" s="106" t="s">
        <v>133</v>
      </c>
      <c r="G2100" s="152"/>
      <c r="H2100" s="106" t="s">
        <v>133</v>
      </c>
      <c r="J2100" s="139" t="s">
        <v>133</v>
      </c>
      <c r="K2100" s="136" t="s">
        <v>133</v>
      </c>
      <c r="L2100" s="153"/>
      <c r="M2100" s="136" t="str">
        <f t="shared" si="1"/>
        <v/>
      </c>
      <c r="O2100" s="141" t="s">
        <v>133</v>
      </c>
      <c r="P2100" s="136" t="str">
        <f>IFERROR(__xludf.DUMMYFUNCTION("""COMPUTED_VALUE"""),"")</f>
        <v/>
      </c>
      <c r="Q2100" s="136" t="str">
        <f>IFERROR(__xludf.DUMMYFUNCTION("""COMPUTED_VALUE"""),"")</f>
        <v/>
      </c>
      <c r="R2100" s="106" t="str">
        <f>IFERROR(__xludf.DUMMYFUNCTION("""COMPUTED_VALUE"""),"")</f>
        <v/>
      </c>
      <c r="S2100" s="106" t="str">
        <f>IFERROR(__xludf.DUMMYFUNCTION("""COMPUTED_VALUE"""),"")</f>
        <v/>
      </c>
      <c r="T2100" s="139" t="str">
        <f>IFERROR(__xludf.DUMMYFUNCTION("""COMPUTED_VALUE"""),"")</f>
        <v/>
      </c>
      <c r="U2100" s="139" t="str">
        <f>IFERROR(__xludf.DUMMYFUNCTION("""COMPUTED_VALUE"""),"")</f>
        <v/>
      </c>
      <c r="V2100" s="136" t="str">
        <f>IFERROR(__xludf.DUMMYFUNCTION("""COMPUTED_VALUE"""),"")</f>
        <v/>
      </c>
      <c r="W2100" s="106" t="str">
        <f>IFERROR(__xludf.DUMMYFUNCTION("""COMPUTED_VALUE"""),"")</f>
        <v/>
      </c>
      <c r="X2100" s="143" t="str">
        <f t="shared" si="2"/>
        <v/>
      </c>
      <c r="Y2100" s="139" t="str">
        <f>IFERROR(__xludf.DUMMYFUNCTION("""COMPUTED_VALUE"""),"")</f>
        <v/>
      </c>
      <c r="Z2100" s="141" t="str">
        <f>IFERROR(__xludf.DUMMYFUNCTION("""COMPUTED_VALUE"""),"")</f>
        <v/>
      </c>
    </row>
    <row r="2101">
      <c r="D2101" s="136" t="str">
        <f t="shared" si="3"/>
        <v/>
      </c>
      <c r="E2101" s="152"/>
      <c r="F2101" s="106" t="s">
        <v>133</v>
      </c>
      <c r="G2101" s="152"/>
      <c r="H2101" s="106" t="s">
        <v>133</v>
      </c>
      <c r="J2101" s="139" t="s">
        <v>133</v>
      </c>
      <c r="K2101" s="136" t="s">
        <v>133</v>
      </c>
      <c r="L2101" s="153"/>
      <c r="M2101" s="136" t="str">
        <f t="shared" si="1"/>
        <v/>
      </c>
      <c r="O2101" s="141" t="s">
        <v>133</v>
      </c>
      <c r="P2101" s="136" t="str">
        <f>IFERROR(__xludf.DUMMYFUNCTION("""COMPUTED_VALUE"""),"")</f>
        <v/>
      </c>
      <c r="Q2101" s="136" t="str">
        <f>IFERROR(__xludf.DUMMYFUNCTION("""COMPUTED_VALUE"""),"")</f>
        <v/>
      </c>
      <c r="R2101" s="106" t="str">
        <f>IFERROR(__xludf.DUMMYFUNCTION("""COMPUTED_VALUE"""),"")</f>
        <v/>
      </c>
      <c r="S2101" s="106" t="str">
        <f>IFERROR(__xludf.DUMMYFUNCTION("""COMPUTED_VALUE"""),"")</f>
        <v/>
      </c>
      <c r="T2101" s="139" t="str">
        <f>IFERROR(__xludf.DUMMYFUNCTION("""COMPUTED_VALUE"""),"")</f>
        <v/>
      </c>
      <c r="U2101" s="139" t="str">
        <f>IFERROR(__xludf.DUMMYFUNCTION("""COMPUTED_VALUE"""),"")</f>
        <v/>
      </c>
      <c r="V2101" s="136" t="str">
        <f>IFERROR(__xludf.DUMMYFUNCTION("""COMPUTED_VALUE"""),"")</f>
        <v/>
      </c>
      <c r="W2101" s="106" t="str">
        <f>IFERROR(__xludf.DUMMYFUNCTION("""COMPUTED_VALUE"""),"")</f>
        <v/>
      </c>
      <c r="X2101" s="143" t="str">
        <f t="shared" si="2"/>
        <v/>
      </c>
      <c r="Y2101" s="139" t="str">
        <f>IFERROR(__xludf.DUMMYFUNCTION("""COMPUTED_VALUE"""),"")</f>
        <v/>
      </c>
      <c r="Z2101" s="141" t="str">
        <f>IFERROR(__xludf.DUMMYFUNCTION("""COMPUTED_VALUE"""),"")</f>
        <v/>
      </c>
    </row>
    <row r="2102">
      <c r="D2102" s="136" t="str">
        <f t="shared" si="3"/>
        <v/>
      </c>
      <c r="E2102" s="152"/>
      <c r="F2102" s="106" t="s">
        <v>133</v>
      </c>
      <c r="G2102" s="152"/>
      <c r="H2102" s="106" t="s">
        <v>133</v>
      </c>
      <c r="J2102" s="139" t="s">
        <v>133</v>
      </c>
      <c r="K2102" s="136" t="s">
        <v>133</v>
      </c>
      <c r="L2102" s="153"/>
      <c r="M2102" s="136" t="str">
        <f t="shared" si="1"/>
        <v/>
      </c>
      <c r="O2102" s="141" t="s">
        <v>133</v>
      </c>
      <c r="P2102" s="136" t="str">
        <f>IFERROR(__xludf.DUMMYFUNCTION("""COMPUTED_VALUE"""),"")</f>
        <v/>
      </c>
      <c r="Q2102" s="136" t="str">
        <f>IFERROR(__xludf.DUMMYFUNCTION("""COMPUTED_VALUE"""),"")</f>
        <v/>
      </c>
      <c r="R2102" s="106" t="str">
        <f>IFERROR(__xludf.DUMMYFUNCTION("""COMPUTED_VALUE"""),"")</f>
        <v/>
      </c>
      <c r="S2102" s="106" t="str">
        <f>IFERROR(__xludf.DUMMYFUNCTION("""COMPUTED_VALUE"""),"")</f>
        <v/>
      </c>
      <c r="T2102" s="139" t="str">
        <f>IFERROR(__xludf.DUMMYFUNCTION("""COMPUTED_VALUE"""),"")</f>
        <v/>
      </c>
      <c r="U2102" s="139" t="str">
        <f>IFERROR(__xludf.DUMMYFUNCTION("""COMPUTED_VALUE"""),"")</f>
        <v/>
      </c>
      <c r="V2102" s="136" t="str">
        <f>IFERROR(__xludf.DUMMYFUNCTION("""COMPUTED_VALUE"""),"")</f>
        <v/>
      </c>
      <c r="W2102" s="106" t="str">
        <f>IFERROR(__xludf.DUMMYFUNCTION("""COMPUTED_VALUE"""),"")</f>
        <v/>
      </c>
      <c r="X2102" s="143" t="str">
        <f t="shared" si="2"/>
        <v/>
      </c>
      <c r="Y2102" s="139" t="str">
        <f>IFERROR(__xludf.DUMMYFUNCTION("""COMPUTED_VALUE"""),"")</f>
        <v/>
      </c>
      <c r="Z2102" s="141" t="str">
        <f>IFERROR(__xludf.DUMMYFUNCTION("""COMPUTED_VALUE"""),"")</f>
        <v/>
      </c>
    </row>
    <row r="2103">
      <c r="D2103" s="136" t="str">
        <f t="shared" si="3"/>
        <v/>
      </c>
      <c r="E2103" s="152"/>
      <c r="F2103" s="106" t="s">
        <v>133</v>
      </c>
      <c r="G2103" s="152"/>
      <c r="H2103" s="106" t="s">
        <v>133</v>
      </c>
      <c r="J2103" s="139" t="s">
        <v>133</v>
      </c>
      <c r="K2103" s="136" t="s">
        <v>133</v>
      </c>
      <c r="L2103" s="153"/>
      <c r="M2103" s="136" t="str">
        <f t="shared" si="1"/>
        <v/>
      </c>
      <c r="O2103" s="141" t="s">
        <v>133</v>
      </c>
      <c r="P2103" s="136" t="str">
        <f>IFERROR(__xludf.DUMMYFUNCTION("""COMPUTED_VALUE"""),"")</f>
        <v/>
      </c>
      <c r="Q2103" s="136" t="str">
        <f>IFERROR(__xludf.DUMMYFUNCTION("""COMPUTED_VALUE"""),"")</f>
        <v/>
      </c>
      <c r="R2103" s="106" t="str">
        <f>IFERROR(__xludf.DUMMYFUNCTION("""COMPUTED_VALUE"""),"")</f>
        <v/>
      </c>
      <c r="S2103" s="106" t="str">
        <f>IFERROR(__xludf.DUMMYFUNCTION("""COMPUTED_VALUE"""),"")</f>
        <v/>
      </c>
      <c r="T2103" s="139" t="str">
        <f>IFERROR(__xludf.DUMMYFUNCTION("""COMPUTED_VALUE"""),"")</f>
        <v/>
      </c>
      <c r="U2103" s="139" t="str">
        <f>IFERROR(__xludf.DUMMYFUNCTION("""COMPUTED_VALUE"""),"")</f>
        <v/>
      </c>
      <c r="V2103" s="136" t="str">
        <f>IFERROR(__xludf.DUMMYFUNCTION("""COMPUTED_VALUE"""),"")</f>
        <v/>
      </c>
      <c r="W2103" s="106" t="str">
        <f>IFERROR(__xludf.DUMMYFUNCTION("""COMPUTED_VALUE"""),"")</f>
        <v/>
      </c>
      <c r="X2103" s="143" t="str">
        <f t="shared" si="2"/>
        <v/>
      </c>
      <c r="Y2103" s="139" t="str">
        <f>IFERROR(__xludf.DUMMYFUNCTION("""COMPUTED_VALUE"""),"")</f>
        <v/>
      </c>
      <c r="Z2103" s="141" t="str">
        <f>IFERROR(__xludf.DUMMYFUNCTION("""COMPUTED_VALUE"""),"")</f>
        <v/>
      </c>
    </row>
    <row r="2104">
      <c r="D2104" s="136" t="str">
        <f t="shared" si="3"/>
        <v/>
      </c>
      <c r="E2104" s="152"/>
      <c r="F2104" s="106" t="s">
        <v>133</v>
      </c>
      <c r="G2104" s="152"/>
      <c r="H2104" s="106" t="s">
        <v>133</v>
      </c>
      <c r="J2104" s="139" t="s">
        <v>133</v>
      </c>
      <c r="K2104" s="136" t="s">
        <v>133</v>
      </c>
      <c r="L2104" s="153"/>
      <c r="M2104" s="136" t="str">
        <f t="shared" si="1"/>
        <v/>
      </c>
      <c r="O2104" s="141" t="s">
        <v>133</v>
      </c>
      <c r="P2104" s="136" t="str">
        <f>IFERROR(__xludf.DUMMYFUNCTION("""COMPUTED_VALUE"""),"")</f>
        <v/>
      </c>
      <c r="Q2104" s="136" t="str">
        <f>IFERROR(__xludf.DUMMYFUNCTION("""COMPUTED_VALUE"""),"")</f>
        <v/>
      </c>
      <c r="R2104" s="106" t="str">
        <f>IFERROR(__xludf.DUMMYFUNCTION("""COMPUTED_VALUE"""),"")</f>
        <v/>
      </c>
      <c r="S2104" s="106" t="str">
        <f>IFERROR(__xludf.DUMMYFUNCTION("""COMPUTED_VALUE"""),"")</f>
        <v/>
      </c>
      <c r="T2104" s="139" t="str">
        <f>IFERROR(__xludf.DUMMYFUNCTION("""COMPUTED_VALUE"""),"")</f>
        <v/>
      </c>
      <c r="U2104" s="139" t="str">
        <f>IFERROR(__xludf.DUMMYFUNCTION("""COMPUTED_VALUE"""),"")</f>
        <v/>
      </c>
      <c r="V2104" s="136" t="str">
        <f>IFERROR(__xludf.DUMMYFUNCTION("""COMPUTED_VALUE"""),"")</f>
        <v/>
      </c>
      <c r="W2104" s="106" t="str">
        <f>IFERROR(__xludf.DUMMYFUNCTION("""COMPUTED_VALUE"""),"")</f>
        <v/>
      </c>
      <c r="X2104" s="143" t="str">
        <f t="shared" si="2"/>
        <v/>
      </c>
      <c r="Y2104" s="139" t="str">
        <f>IFERROR(__xludf.DUMMYFUNCTION("""COMPUTED_VALUE"""),"")</f>
        <v/>
      </c>
      <c r="Z2104" s="141" t="str">
        <f>IFERROR(__xludf.DUMMYFUNCTION("""COMPUTED_VALUE"""),"")</f>
        <v/>
      </c>
    </row>
    <row r="2105">
      <c r="D2105" s="136" t="str">
        <f t="shared" si="3"/>
        <v/>
      </c>
      <c r="E2105" s="152"/>
      <c r="F2105" s="106" t="s">
        <v>133</v>
      </c>
      <c r="G2105" s="152"/>
      <c r="H2105" s="106" t="s">
        <v>133</v>
      </c>
      <c r="J2105" s="139" t="s">
        <v>133</v>
      </c>
      <c r="K2105" s="136" t="s">
        <v>133</v>
      </c>
      <c r="L2105" s="153"/>
      <c r="M2105" s="136" t="str">
        <f t="shared" si="1"/>
        <v/>
      </c>
      <c r="O2105" s="141" t="s">
        <v>133</v>
      </c>
      <c r="P2105" s="136" t="str">
        <f>IFERROR(__xludf.DUMMYFUNCTION("""COMPUTED_VALUE"""),"")</f>
        <v/>
      </c>
      <c r="Q2105" s="136" t="str">
        <f>IFERROR(__xludf.DUMMYFUNCTION("""COMPUTED_VALUE"""),"")</f>
        <v/>
      </c>
      <c r="R2105" s="106" t="str">
        <f>IFERROR(__xludf.DUMMYFUNCTION("""COMPUTED_VALUE"""),"")</f>
        <v/>
      </c>
      <c r="S2105" s="106" t="str">
        <f>IFERROR(__xludf.DUMMYFUNCTION("""COMPUTED_VALUE"""),"")</f>
        <v/>
      </c>
      <c r="T2105" s="139" t="str">
        <f>IFERROR(__xludf.DUMMYFUNCTION("""COMPUTED_VALUE"""),"")</f>
        <v/>
      </c>
      <c r="U2105" s="139" t="str">
        <f>IFERROR(__xludf.DUMMYFUNCTION("""COMPUTED_VALUE"""),"")</f>
        <v/>
      </c>
      <c r="V2105" s="136" t="str">
        <f>IFERROR(__xludf.DUMMYFUNCTION("""COMPUTED_VALUE"""),"")</f>
        <v/>
      </c>
      <c r="W2105" s="106" t="str">
        <f>IFERROR(__xludf.DUMMYFUNCTION("""COMPUTED_VALUE"""),"")</f>
        <v/>
      </c>
      <c r="X2105" s="143" t="str">
        <f t="shared" si="2"/>
        <v/>
      </c>
      <c r="Y2105" s="139" t="str">
        <f>IFERROR(__xludf.DUMMYFUNCTION("""COMPUTED_VALUE"""),"")</f>
        <v/>
      </c>
      <c r="Z2105" s="141" t="str">
        <f>IFERROR(__xludf.DUMMYFUNCTION("""COMPUTED_VALUE"""),"")</f>
        <v/>
      </c>
    </row>
    <row r="2106">
      <c r="D2106" s="136" t="str">
        <f t="shared" si="3"/>
        <v/>
      </c>
      <c r="E2106" s="152"/>
      <c r="F2106" s="106" t="s">
        <v>133</v>
      </c>
      <c r="G2106" s="152"/>
      <c r="H2106" s="106" t="s">
        <v>133</v>
      </c>
      <c r="J2106" s="139" t="s">
        <v>133</v>
      </c>
      <c r="K2106" s="136" t="s">
        <v>133</v>
      </c>
      <c r="L2106" s="153"/>
      <c r="M2106" s="136" t="str">
        <f t="shared" si="1"/>
        <v/>
      </c>
      <c r="O2106" s="141" t="s">
        <v>133</v>
      </c>
      <c r="P2106" s="136" t="str">
        <f>IFERROR(__xludf.DUMMYFUNCTION("""COMPUTED_VALUE"""),"")</f>
        <v/>
      </c>
      <c r="Q2106" s="136" t="str">
        <f>IFERROR(__xludf.DUMMYFUNCTION("""COMPUTED_VALUE"""),"")</f>
        <v/>
      </c>
      <c r="R2106" s="106" t="str">
        <f>IFERROR(__xludf.DUMMYFUNCTION("""COMPUTED_VALUE"""),"")</f>
        <v/>
      </c>
      <c r="S2106" s="106" t="str">
        <f>IFERROR(__xludf.DUMMYFUNCTION("""COMPUTED_VALUE"""),"")</f>
        <v/>
      </c>
      <c r="T2106" s="139" t="str">
        <f>IFERROR(__xludf.DUMMYFUNCTION("""COMPUTED_VALUE"""),"")</f>
        <v/>
      </c>
      <c r="U2106" s="139" t="str">
        <f>IFERROR(__xludf.DUMMYFUNCTION("""COMPUTED_VALUE"""),"")</f>
        <v/>
      </c>
      <c r="V2106" s="136" t="str">
        <f>IFERROR(__xludf.DUMMYFUNCTION("""COMPUTED_VALUE"""),"")</f>
        <v/>
      </c>
      <c r="W2106" s="106" t="str">
        <f>IFERROR(__xludf.DUMMYFUNCTION("""COMPUTED_VALUE"""),"")</f>
        <v/>
      </c>
      <c r="X2106" s="143" t="str">
        <f t="shared" si="2"/>
        <v/>
      </c>
      <c r="Y2106" s="139" t="str">
        <f>IFERROR(__xludf.DUMMYFUNCTION("""COMPUTED_VALUE"""),"")</f>
        <v/>
      </c>
      <c r="Z2106" s="141" t="str">
        <f>IFERROR(__xludf.DUMMYFUNCTION("""COMPUTED_VALUE"""),"")</f>
        <v/>
      </c>
    </row>
    <row r="2107">
      <c r="D2107" s="136" t="str">
        <f t="shared" si="3"/>
        <v/>
      </c>
      <c r="E2107" s="152"/>
      <c r="F2107" s="106" t="s">
        <v>133</v>
      </c>
      <c r="G2107" s="152"/>
      <c r="H2107" s="106" t="s">
        <v>133</v>
      </c>
      <c r="J2107" s="139" t="s">
        <v>133</v>
      </c>
      <c r="K2107" s="136" t="s">
        <v>133</v>
      </c>
      <c r="L2107" s="153"/>
      <c r="M2107" s="136" t="str">
        <f t="shared" si="1"/>
        <v/>
      </c>
      <c r="O2107" s="141" t="s">
        <v>133</v>
      </c>
      <c r="P2107" s="136" t="str">
        <f>IFERROR(__xludf.DUMMYFUNCTION("""COMPUTED_VALUE"""),"")</f>
        <v/>
      </c>
      <c r="Q2107" s="136" t="str">
        <f>IFERROR(__xludf.DUMMYFUNCTION("""COMPUTED_VALUE"""),"")</f>
        <v/>
      </c>
      <c r="R2107" s="106" t="str">
        <f>IFERROR(__xludf.DUMMYFUNCTION("""COMPUTED_VALUE"""),"")</f>
        <v/>
      </c>
      <c r="S2107" s="106" t="str">
        <f>IFERROR(__xludf.DUMMYFUNCTION("""COMPUTED_VALUE"""),"")</f>
        <v/>
      </c>
      <c r="T2107" s="139" t="str">
        <f>IFERROR(__xludf.DUMMYFUNCTION("""COMPUTED_VALUE"""),"")</f>
        <v/>
      </c>
      <c r="U2107" s="139" t="str">
        <f>IFERROR(__xludf.DUMMYFUNCTION("""COMPUTED_VALUE"""),"")</f>
        <v/>
      </c>
      <c r="V2107" s="136" t="str">
        <f>IFERROR(__xludf.DUMMYFUNCTION("""COMPUTED_VALUE"""),"")</f>
        <v/>
      </c>
      <c r="W2107" s="106" t="str">
        <f>IFERROR(__xludf.DUMMYFUNCTION("""COMPUTED_VALUE"""),"")</f>
        <v/>
      </c>
      <c r="X2107" s="143" t="str">
        <f t="shared" si="2"/>
        <v/>
      </c>
      <c r="Y2107" s="139" t="str">
        <f>IFERROR(__xludf.DUMMYFUNCTION("""COMPUTED_VALUE"""),"")</f>
        <v/>
      </c>
      <c r="Z2107" s="141" t="str">
        <f>IFERROR(__xludf.DUMMYFUNCTION("""COMPUTED_VALUE"""),"")</f>
        <v/>
      </c>
    </row>
    <row r="2108">
      <c r="D2108" s="136" t="str">
        <f t="shared" si="3"/>
        <v/>
      </c>
      <c r="E2108" s="152"/>
      <c r="F2108" s="106" t="s">
        <v>133</v>
      </c>
      <c r="G2108" s="152"/>
      <c r="H2108" s="106" t="s">
        <v>133</v>
      </c>
      <c r="J2108" s="139" t="s">
        <v>133</v>
      </c>
      <c r="K2108" s="136" t="s">
        <v>133</v>
      </c>
      <c r="L2108" s="153"/>
      <c r="M2108" s="136" t="str">
        <f t="shared" si="1"/>
        <v/>
      </c>
      <c r="O2108" s="141" t="s">
        <v>133</v>
      </c>
      <c r="P2108" s="136" t="str">
        <f>IFERROR(__xludf.DUMMYFUNCTION("""COMPUTED_VALUE"""),"")</f>
        <v/>
      </c>
      <c r="Q2108" s="136" t="str">
        <f>IFERROR(__xludf.DUMMYFUNCTION("""COMPUTED_VALUE"""),"")</f>
        <v/>
      </c>
      <c r="R2108" s="106" t="str">
        <f>IFERROR(__xludf.DUMMYFUNCTION("""COMPUTED_VALUE"""),"")</f>
        <v/>
      </c>
      <c r="S2108" s="106" t="str">
        <f>IFERROR(__xludf.DUMMYFUNCTION("""COMPUTED_VALUE"""),"")</f>
        <v/>
      </c>
      <c r="T2108" s="139" t="str">
        <f>IFERROR(__xludf.DUMMYFUNCTION("""COMPUTED_VALUE"""),"")</f>
        <v/>
      </c>
      <c r="U2108" s="139" t="str">
        <f>IFERROR(__xludf.DUMMYFUNCTION("""COMPUTED_VALUE"""),"")</f>
        <v/>
      </c>
      <c r="V2108" s="136" t="str">
        <f>IFERROR(__xludf.DUMMYFUNCTION("""COMPUTED_VALUE"""),"")</f>
        <v/>
      </c>
      <c r="W2108" s="106" t="str">
        <f>IFERROR(__xludf.DUMMYFUNCTION("""COMPUTED_VALUE"""),"")</f>
        <v/>
      </c>
      <c r="X2108" s="143" t="str">
        <f t="shared" si="2"/>
        <v/>
      </c>
      <c r="Y2108" s="139" t="str">
        <f>IFERROR(__xludf.DUMMYFUNCTION("""COMPUTED_VALUE"""),"")</f>
        <v/>
      </c>
      <c r="Z2108" s="141" t="str">
        <f>IFERROR(__xludf.DUMMYFUNCTION("""COMPUTED_VALUE"""),"")</f>
        <v/>
      </c>
    </row>
    <row r="2109">
      <c r="D2109" s="136" t="str">
        <f t="shared" si="3"/>
        <v/>
      </c>
      <c r="E2109" s="152"/>
      <c r="F2109" s="106" t="s">
        <v>133</v>
      </c>
      <c r="G2109" s="152"/>
      <c r="H2109" s="106" t="s">
        <v>133</v>
      </c>
      <c r="J2109" s="139" t="s">
        <v>133</v>
      </c>
      <c r="K2109" s="136" t="s">
        <v>133</v>
      </c>
      <c r="L2109" s="153"/>
      <c r="M2109" s="136" t="str">
        <f t="shared" si="1"/>
        <v/>
      </c>
      <c r="O2109" s="141" t="s">
        <v>133</v>
      </c>
      <c r="P2109" s="136" t="str">
        <f>IFERROR(__xludf.DUMMYFUNCTION("""COMPUTED_VALUE"""),"")</f>
        <v/>
      </c>
      <c r="Q2109" s="136" t="str">
        <f>IFERROR(__xludf.DUMMYFUNCTION("""COMPUTED_VALUE"""),"")</f>
        <v/>
      </c>
      <c r="R2109" s="106" t="str">
        <f>IFERROR(__xludf.DUMMYFUNCTION("""COMPUTED_VALUE"""),"")</f>
        <v/>
      </c>
      <c r="S2109" s="106" t="str">
        <f>IFERROR(__xludf.DUMMYFUNCTION("""COMPUTED_VALUE"""),"")</f>
        <v/>
      </c>
      <c r="T2109" s="139" t="str">
        <f>IFERROR(__xludf.DUMMYFUNCTION("""COMPUTED_VALUE"""),"")</f>
        <v/>
      </c>
      <c r="U2109" s="139" t="str">
        <f>IFERROR(__xludf.DUMMYFUNCTION("""COMPUTED_VALUE"""),"")</f>
        <v/>
      </c>
      <c r="V2109" s="136" t="str">
        <f>IFERROR(__xludf.DUMMYFUNCTION("""COMPUTED_VALUE"""),"")</f>
        <v/>
      </c>
      <c r="W2109" s="106" t="str">
        <f>IFERROR(__xludf.DUMMYFUNCTION("""COMPUTED_VALUE"""),"")</f>
        <v/>
      </c>
      <c r="X2109" s="143" t="str">
        <f t="shared" si="2"/>
        <v/>
      </c>
      <c r="Y2109" s="139" t="str">
        <f>IFERROR(__xludf.DUMMYFUNCTION("""COMPUTED_VALUE"""),"")</f>
        <v/>
      </c>
      <c r="Z2109" s="141" t="str">
        <f>IFERROR(__xludf.DUMMYFUNCTION("""COMPUTED_VALUE"""),"")</f>
        <v/>
      </c>
    </row>
    <row r="2110">
      <c r="D2110" s="136" t="str">
        <f t="shared" si="3"/>
        <v/>
      </c>
      <c r="E2110" s="152"/>
      <c r="F2110" s="106" t="s">
        <v>133</v>
      </c>
      <c r="G2110" s="152"/>
      <c r="H2110" s="106" t="s">
        <v>133</v>
      </c>
      <c r="J2110" s="139" t="s">
        <v>133</v>
      </c>
      <c r="K2110" s="136" t="s">
        <v>133</v>
      </c>
      <c r="L2110" s="153"/>
      <c r="M2110" s="136" t="str">
        <f t="shared" si="1"/>
        <v/>
      </c>
      <c r="O2110" s="141" t="s">
        <v>133</v>
      </c>
      <c r="P2110" s="136" t="str">
        <f>IFERROR(__xludf.DUMMYFUNCTION("""COMPUTED_VALUE"""),"")</f>
        <v/>
      </c>
      <c r="Q2110" s="136" t="str">
        <f>IFERROR(__xludf.DUMMYFUNCTION("""COMPUTED_VALUE"""),"")</f>
        <v/>
      </c>
      <c r="R2110" s="106" t="str">
        <f>IFERROR(__xludf.DUMMYFUNCTION("""COMPUTED_VALUE"""),"")</f>
        <v/>
      </c>
      <c r="S2110" s="106" t="str">
        <f>IFERROR(__xludf.DUMMYFUNCTION("""COMPUTED_VALUE"""),"")</f>
        <v/>
      </c>
      <c r="T2110" s="139" t="str">
        <f>IFERROR(__xludf.DUMMYFUNCTION("""COMPUTED_VALUE"""),"")</f>
        <v/>
      </c>
      <c r="U2110" s="139" t="str">
        <f>IFERROR(__xludf.DUMMYFUNCTION("""COMPUTED_VALUE"""),"")</f>
        <v/>
      </c>
      <c r="V2110" s="136" t="str">
        <f>IFERROR(__xludf.DUMMYFUNCTION("""COMPUTED_VALUE"""),"")</f>
        <v/>
      </c>
      <c r="W2110" s="106" t="str">
        <f>IFERROR(__xludf.DUMMYFUNCTION("""COMPUTED_VALUE"""),"")</f>
        <v/>
      </c>
      <c r="X2110" s="143" t="str">
        <f t="shared" si="2"/>
        <v/>
      </c>
      <c r="Y2110" s="139" t="str">
        <f>IFERROR(__xludf.DUMMYFUNCTION("""COMPUTED_VALUE"""),"")</f>
        <v/>
      </c>
      <c r="Z2110" s="141" t="str">
        <f>IFERROR(__xludf.DUMMYFUNCTION("""COMPUTED_VALUE"""),"")</f>
        <v/>
      </c>
    </row>
    <row r="2111">
      <c r="D2111" s="136" t="str">
        <f t="shared" si="3"/>
        <v/>
      </c>
      <c r="E2111" s="152"/>
      <c r="F2111" s="106" t="s">
        <v>133</v>
      </c>
      <c r="G2111" s="152"/>
      <c r="H2111" s="106" t="s">
        <v>133</v>
      </c>
      <c r="J2111" s="139" t="s">
        <v>133</v>
      </c>
      <c r="K2111" s="136" t="s">
        <v>133</v>
      </c>
      <c r="L2111" s="153"/>
      <c r="M2111" s="136" t="str">
        <f t="shared" si="1"/>
        <v/>
      </c>
      <c r="O2111" s="141" t="s">
        <v>133</v>
      </c>
      <c r="P2111" s="136" t="str">
        <f>IFERROR(__xludf.DUMMYFUNCTION("""COMPUTED_VALUE"""),"")</f>
        <v/>
      </c>
      <c r="Q2111" s="136" t="str">
        <f>IFERROR(__xludf.DUMMYFUNCTION("""COMPUTED_VALUE"""),"")</f>
        <v/>
      </c>
      <c r="R2111" s="106" t="str">
        <f>IFERROR(__xludf.DUMMYFUNCTION("""COMPUTED_VALUE"""),"")</f>
        <v/>
      </c>
      <c r="S2111" s="106" t="str">
        <f>IFERROR(__xludf.DUMMYFUNCTION("""COMPUTED_VALUE"""),"")</f>
        <v/>
      </c>
      <c r="T2111" s="139" t="str">
        <f>IFERROR(__xludf.DUMMYFUNCTION("""COMPUTED_VALUE"""),"")</f>
        <v/>
      </c>
      <c r="U2111" s="139" t="str">
        <f>IFERROR(__xludf.DUMMYFUNCTION("""COMPUTED_VALUE"""),"")</f>
        <v/>
      </c>
      <c r="V2111" s="136" t="str">
        <f>IFERROR(__xludf.DUMMYFUNCTION("""COMPUTED_VALUE"""),"")</f>
        <v/>
      </c>
      <c r="W2111" s="106" t="str">
        <f>IFERROR(__xludf.DUMMYFUNCTION("""COMPUTED_VALUE"""),"")</f>
        <v/>
      </c>
      <c r="X2111" s="143" t="str">
        <f t="shared" si="2"/>
        <v/>
      </c>
      <c r="Y2111" s="139" t="str">
        <f>IFERROR(__xludf.DUMMYFUNCTION("""COMPUTED_VALUE"""),"")</f>
        <v/>
      </c>
      <c r="Z2111" s="141" t="str">
        <f>IFERROR(__xludf.DUMMYFUNCTION("""COMPUTED_VALUE"""),"")</f>
        <v/>
      </c>
    </row>
    <row r="2112">
      <c r="D2112" s="136" t="str">
        <f t="shared" si="3"/>
        <v/>
      </c>
      <c r="E2112" s="152"/>
      <c r="F2112" s="106" t="s">
        <v>133</v>
      </c>
      <c r="G2112" s="152"/>
      <c r="H2112" s="106" t="s">
        <v>133</v>
      </c>
      <c r="J2112" s="139" t="s">
        <v>133</v>
      </c>
      <c r="K2112" s="136" t="s">
        <v>133</v>
      </c>
      <c r="L2112" s="153"/>
      <c r="M2112" s="136" t="str">
        <f t="shared" si="1"/>
        <v/>
      </c>
      <c r="O2112" s="141" t="s">
        <v>133</v>
      </c>
      <c r="P2112" s="136" t="str">
        <f>IFERROR(__xludf.DUMMYFUNCTION("""COMPUTED_VALUE"""),"")</f>
        <v/>
      </c>
      <c r="Q2112" s="136" t="str">
        <f>IFERROR(__xludf.DUMMYFUNCTION("""COMPUTED_VALUE"""),"")</f>
        <v/>
      </c>
      <c r="R2112" s="106" t="str">
        <f>IFERROR(__xludf.DUMMYFUNCTION("""COMPUTED_VALUE"""),"")</f>
        <v/>
      </c>
      <c r="S2112" s="106" t="str">
        <f>IFERROR(__xludf.DUMMYFUNCTION("""COMPUTED_VALUE"""),"")</f>
        <v/>
      </c>
      <c r="T2112" s="139" t="str">
        <f>IFERROR(__xludf.DUMMYFUNCTION("""COMPUTED_VALUE"""),"")</f>
        <v/>
      </c>
      <c r="U2112" s="139" t="str">
        <f>IFERROR(__xludf.DUMMYFUNCTION("""COMPUTED_VALUE"""),"")</f>
        <v/>
      </c>
      <c r="V2112" s="136" t="str">
        <f>IFERROR(__xludf.DUMMYFUNCTION("""COMPUTED_VALUE"""),"")</f>
        <v/>
      </c>
      <c r="W2112" s="106" t="str">
        <f>IFERROR(__xludf.DUMMYFUNCTION("""COMPUTED_VALUE"""),"")</f>
        <v/>
      </c>
      <c r="X2112" s="143" t="str">
        <f t="shared" si="2"/>
        <v/>
      </c>
      <c r="Y2112" s="139" t="str">
        <f>IFERROR(__xludf.DUMMYFUNCTION("""COMPUTED_VALUE"""),"")</f>
        <v/>
      </c>
      <c r="Z2112" s="141" t="str">
        <f>IFERROR(__xludf.DUMMYFUNCTION("""COMPUTED_VALUE"""),"")</f>
        <v/>
      </c>
    </row>
    <row r="2113">
      <c r="D2113" s="136" t="str">
        <f t="shared" si="3"/>
        <v/>
      </c>
      <c r="E2113" s="152"/>
      <c r="F2113" s="106" t="s">
        <v>133</v>
      </c>
      <c r="G2113" s="152"/>
      <c r="H2113" s="106" t="s">
        <v>133</v>
      </c>
      <c r="J2113" s="139" t="s">
        <v>133</v>
      </c>
      <c r="K2113" s="136" t="s">
        <v>133</v>
      </c>
      <c r="L2113" s="153"/>
      <c r="M2113" s="136" t="str">
        <f t="shared" si="1"/>
        <v/>
      </c>
      <c r="O2113" s="141" t="s">
        <v>133</v>
      </c>
      <c r="P2113" s="136" t="str">
        <f>IFERROR(__xludf.DUMMYFUNCTION("""COMPUTED_VALUE"""),"")</f>
        <v/>
      </c>
      <c r="Q2113" s="136" t="str">
        <f>IFERROR(__xludf.DUMMYFUNCTION("""COMPUTED_VALUE"""),"")</f>
        <v/>
      </c>
      <c r="R2113" s="106" t="str">
        <f>IFERROR(__xludf.DUMMYFUNCTION("""COMPUTED_VALUE"""),"")</f>
        <v/>
      </c>
      <c r="S2113" s="106" t="str">
        <f>IFERROR(__xludf.DUMMYFUNCTION("""COMPUTED_VALUE"""),"")</f>
        <v/>
      </c>
      <c r="T2113" s="139" t="str">
        <f>IFERROR(__xludf.DUMMYFUNCTION("""COMPUTED_VALUE"""),"")</f>
        <v/>
      </c>
      <c r="U2113" s="139" t="str">
        <f>IFERROR(__xludf.DUMMYFUNCTION("""COMPUTED_VALUE"""),"")</f>
        <v/>
      </c>
      <c r="V2113" s="136" t="str">
        <f>IFERROR(__xludf.DUMMYFUNCTION("""COMPUTED_VALUE"""),"")</f>
        <v/>
      </c>
      <c r="W2113" s="106" t="str">
        <f>IFERROR(__xludf.DUMMYFUNCTION("""COMPUTED_VALUE"""),"")</f>
        <v/>
      </c>
      <c r="X2113" s="143" t="str">
        <f t="shared" si="2"/>
        <v/>
      </c>
      <c r="Y2113" s="139" t="str">
        <f>IFERROR(__xludf.DUMMYFUNCTION("""COMPUTED_VALUE"""),"")</f>
        <v/>
      </c>
      <c r="Z2113" s="141" t="str">
        <f>IFERROR(__xludf.DUMMYFUNCTION("""COMPUTED_VALUE"""),"")</f>
        <v/>
      </c>
    </row>
    <row r="2114">
      <c r="D2114" s="136" t="str">
        <f t="shared" si="3"/>
        <v/>
      </c>
      <c r="E2114" s="152"/>
      <c r="F2114" s="106" t="s">
        <v>133</v>
      </c>
      <c r="G2114" s="152"/>
      <c r="H2114" s="106" t="s">
        <v>133</v>
      </c>
      <c r="J2114" s="139" t="s">
        <v>133</v>
      </c>
      <c r="K2114" s="136" t="s">
        <v>133</v>
      </c>
      <c r="L2114" s="153"/>
      <c r="M2114" s="136" t="str">
        <f t="shared" si="1"/>
        <v/>
      </c>
      <c r="O2114" s="141" t="s">
        <v>133</v>
      </c>
      <c r="P2114" s="136" t="str">
        <f>IFERROR(__xludf.DUMMYFUNCTION("""COMPUTED_VALUE"""),"")</f>
        <v/>
      </c>
      <c r="Q2114" s="136" t="str">
        <f>IFERROR(__xludf.DUMMYFUNCTION("""COMPUTED_VALUE"""),"")</f>
        <v/>
      </c>
      <c r="R2114" s="106" t="str">
        <f>IFERROR(__xludf.DUMMYFUNCTION("""COMPUTED_VALUE"""),"")</f>
        <v/>
      </c>
      <c r="S2114" s="106" t="str">
        <f>IFERROR(__xludf.DUMMYFUNCTION("""COMPUTED_VALUE"""),"")</f>
        <v/>
      </c>
      <c r="T2114" s="139" t="str">
        <f>IFERROR(__xludf.DUMMYFUNCTION("""COMPUTED_VALUE"""),"")</f>
        <v/>
      </c>
      <c r="U2114" s="139" t="str">
        <f>IFERROR(__xludf.DUMMYFUNCTION("""COMPUTED_VALUE"""),"")</f>
        <v/>
      </c>
      <c r="V2114" s="136" t="str">
        <f>IFERROR(__xludf.DUMMYFUNCTION("""COMPUTED_VALUE"""),"")</f>
        <v/>
      </c>
      <c r="W2114" s="106" t="str">
        <f>IFERROR(__xludf.DUMMYFUNCTION("""COMPUTED_VALUE"""),"")</f>
        <v/>
      </c>
      <c r="X2114" s="143" t="str">
        <f t="shared" si="2"/>
        <v/>
      </c>
      <c r="Y2114" s="139" t="str">
        <f>IFERROR(__xludf.DUMMYFUNCTION("""COMPUTED_VALUE"""),"")</f>
        <v/>
      </c>
      <c r="Z2114" s="141" t="str">
        <f>IFERROR(__xludf.DUMMYFUNCTION("""COMPUTED_VALUE"""),"")</f>
        <v/>
      </c>
    </row>
    <row r="2115">
      <c r="D2115" s="136" t="str">
        <f t="shared" si="3"/>
        <v/>
      </c>
      <c r="E2115" s="152"/>
      <c r="F2115" s="106" t="s">
        <v>133</v>
      </c>
      <c r="G2115" s="152"/>
      <c r="H2115" s="106" t="s">
        <v>133</v>
      </c>
      <c r="J2115" s="139" t="s">
        <v>133</v>
      </c>
      <c r="K2115" s="136" t="s">
        <v>133</v>
      </c>
      <c r="L2115" s="153"/>
      <c r="M2115" s="136" t="str">
        <f t="shared" si="1"/>
        <v/>
      </c>
      <c r="O2115" s="141" t="s">
        <v>133</v>
      </c>
      <c r="P2115" s="136" t="str">
        <f>IFERROR(__xludf.DUMMYFUNCTION("""COMPUTED_VALUE"""),"")</f>
        <v/>
      </c>
      <c r="Q2115" s="136" t="str">
        <f>IFERROR(__xludf.DUMMYFUNCTION("""COMPUTED_VALUE"""),"")</f>
        <v/>
      </c>
      <c r="R2115" s="106" t="str">
        <f>IFERROR(__xludf.DUMMYFUNCTION("""COMPUTED_VALUE"""),"")</f>
        <v/>
      </c>
      <c r="S2115" s="106" t="str">
        <f>IFERROR(__xludf.DUMMYFUNCTION("""COMPUTED_VALUE"""),"")</f>
        <v/>
      </c>
      <c r="T2115" s="139" t="str">
        <f>IFERROR(__xludf.DUMMYFUNCTION("""COMPUTED_VALUE"""),"")</f>
        <v/>
      </c>
      <c r="U2115" s="139" t="str">
        <f>IFERROR(__xludf.DUMMYFUNCTION("""COMPUTED_VALUE"""),"")</f>
        <v/>
      </c>
      <c r="V2115" s="136" t="str">
        <f>IFERROR(__xludf.DUMMYFUNCTION("""COMPUTED_VALUE"""),"")</f>
        <v/>
      </c>
      <c r="W2115" s="106" t="str">
        <f>IFERROR(__xludf.DUMMYFUNCTION("""COMPUTED_VALUE"""),"")</f>
        <v/>
      </c>
      <c r="X2115" s="143" t="str">
        <f t="shared" si="2"/>
        <v/>
      </c>
      <c r="Y2115" s="139" t="str">
        <f>IFERROR(__xludf.DUMMYFUNCTION("""COMPUTED_VALUE"""),"")</f>
        <v/>
      </c>
      <c r="Z2115" s="141" t="str">
        <f>IFERROR(__xludf.DUMMYFUNCTION("""COMPUTED_VALUE"""),"")</f>
        <v/>
      </c>
    </row>
    <row r="2116">
      <c r="D2116" s="136" t="str">
        <f t="shared" si="3"/>
        <v/>
      </c>
      <c r="E2116" s="152"/>
      <c r="F2116" s="106" t="s">
        <v>133</v>
      </c>
      <c r="G2116" s="152"/>
      <c r="H2116" s="106" t="s">
        <v>133</v>
      </c>
      <c r="J2116" s="139" t="s">
        <v>133</v>
      </c>
      <c r="K2116" s="136" t="s">
        <v>133</v>
      </c>
      <c r="L2116" s="153"/>
      <c r="M2116" s="136" t="str">
        <f t="shared" si="1"/>
        <v/>
      </c>
      <c r="O2116" s="141" t="s">
        <v>133</v>
      </c>
      <c r="P2116" s="136" t="str">
        <f>IFERROR(__xludf.DUMMYFUNCTION("""COMPUTED_VALUE"""),"")</f>
        <v/>
      </c>
      <c r="Q2116" s="136" t="str">
        <f>IFERROR(__xludf.DUMMYFUNCTION("""COMPUTED_VALUE"""),"")</f>
        <v/>
      </c>
      <c r="R2116" s="106" t="str">
        <f>IFERROR(__xludf.DUMMYFUNCTION("""COMPUTED_VALUE"""),"")</f>
        <v/>
      </c>
      <c r="S2116" s="106" t="str">
        <f>IFERROR(__xludf.DUMMYFUNCTION("""COMPUTED_VALUE"""),"")</f>
        <v/>
      </c>
      <c r="T2116" s="139" t="str">
        <f>IFERROR(__xludf.DUMMYFUNCTION("""COMPUTED_VALUE"""),"")</f>
        <v/>
      </c>
      <c r="U2116" s="139" t="str">
        <f>IFERROR(__xludf.DUMMYFUNCTION("""COMPUTED_VALUE"""),"")</f>
        <v/>
      </c>
      <c r="V2116" s="136" t="str">
        <f>IFERROR(__xludf.DUMMYFUNCTION("""COMPUTED_VALUE"""),"")</f>
        <v/>
      </c>
      <c r="W2116" s="106" t="str">
        <f>IFERROR(__xludf.DUMMYFUNCTION("""COMPUTED_VALUE"""),"")</f>
        <v/>
      </c>
      <c r="X2116" s="143" t="str">
        <f t="shared" si="2"/>
        <v/>
      </c>
      <c r="Y2116" s="139" t="str">
        <f>IFERROR(__xludf.DUMMYFUNCTION("""COMPUTED_VALUE"""),"")</f>
        <v/>
      </c>
      <c r="Z2116" s="141" t="str">
        <f>IFERROR(__xludf.DUMMYFUNCTION("""COMPUTED_VALUE"""),"")</f>
        <v/>
      </c>
    </row>
    <row r="2117">
      <c r="D2117" s="136" t="str">
        <f t="shared" si="3"/>
        <v/>
      </c>
      <c r="E2117" s="152"/>
      <c r="F2117" s="106" t="s">
        <v>133</v>
      </c>
      <c r="G2117" s="152"/>
      <c r="H2117" s="106" t="s">
        <v>133</v>
      </c>
      <c r="J2117" s="139" t="s">
        <v>133</v>
      </c>
      <c r="K2117" s="136" t="s">
        <v>133</v>
      </c>
      <c r="L2117" s="153"/>
      <c r="M2117" s="136" t="str">
        <f t="shared" si="1"/>
        <v/>
      </c>
      <c r="O2117" s="141" t="s">
        <v>133</v>
      </c>
      <c r="P2117" s="136" t="str">
        <f>IFERROR(__xludf.DUMMYFUNCTION("""COMPUTED_VALUE"""),"")</f>
        <v/>
      </c>
      <c r="Q2117" s="136" t="str">
        <f>IFERROR(__xludf.DUMMYFUNCTION("""COMPUTED_VALUE"""),"")</f>
        <v/>
      </c>
      <c r="R2117" s="106" t="str">
        <f>IFERROR(__xludf.DUMMYFUNCTION("""COMPUTED_VALUE"""),"")</f>
        <v/>
      </c>
      <c r="S2117" s="106" t="str">
        <f>IFERROR(__xludf.DUMMYFUNCTION("""COMPUTED_VALUE"""),"")</f>
        <v/>
      </c>
      <c r="T2117" s="139" t="str">
        <f>IFERROR(__xludf.DUMMYFUNCTION("""COMPUTED_VALUE"""),"")</f>
        <v/>
      </c>
      <c r="U2117" s="139" t="str">
        <f>IFERROR(__xludf.DUMMYFUNCTION("""COMPUTED_VALUE"""),"")</f>
        <v/>
      </c>
      <c r="V2117" s="136" t="str">
        <f>IFERROR(__xludf.DUMMYFUNCTION("""COMPUTED_VALUE"""),"")</f>
        <v/>
      </c>
      <c r="W2117" s="106" t="str">
        <f>IFERROR(__xludf.DUMMYFUNCTION("""COMPUTED_VALUE"""),"")</f>
        <v/>
      </c>
      <c r="X2117" s="143" t="str">
        <f t="shared" si="2"/>
        <v/>
      </c>
      <c r="Y2117" s="139" t="str">
        <f>IFERROR(__xludf.DUMMYFUNCTION("""COMPUTED_VALUE"""),"")</f>
        <v/>
      </c>
      <c r="Z2117" s="141" t="str">
        <f>IFERROR(__xludf.DUMMYFUNCTION("""COMPUTED_VALUE"""),"")</f>
        <v/>
      </c>
    </row>
    <row r="2118">
      <c r="D2118" s="136" t="str">
        <f t="shared" si="3"/>
        <v/>
      </c>
      <c r="E2118" s="152"/>
      <c r="F2118" s="106" t="s">
        <v>133</v>
      </c>
      <c r="G2118" s="152"/>
      <c r="H2118" s="106" t="s">
        <v>133</v>
      </c>
      <c r="J2118" s="139" t="s">
        <v>133</v>
      </c>
      <c r="K2118" s="136" t="s">
        <v>133</v>
      </c>
      <c r="L2118" s="153"/>
      <c r="M2118" s="136" t="str">
        <f t="shared" si="1"/>
        <v/>
      </c>
      <c r="O2118" s="141" t="s">
        <v>133</v>
      </c>
      <c r="P2118" s="136" t="str">
        <f>IFERROR(__xludf.DUMMYFUNCTION("""COMPUTED_VALUE"""),"")</f>
        <v/>
      </c>
      <c r="Q2118" s="136" t="str">
        <f>IFERROR(__xludf.DUMMYFUNCTION("""COMPUTED_VALUE"""),"")</f>
        <v/>
      </c>
      <c r="R2118" s="106" t="str">
        <f>IFERROR(__xludf.DUMMYFUNCTION("""COMPUTED_VALUE"""),"")</f>
        <v/>
      </c>
      <c r="S2118" s="106" t="str">
        <f>IFERROR(__xludf.DUMMYFUNCTION("""COMPUTED_VALUE"""),"")</f>
        <v/>
      </c>
      <c r="T2118" s="139" t="str">
        <f>IFERROR(__xludf.DUMMYFUNCTION("""COMPUTED_VALUE"""),"")</f>
        <v/>
      </c>
      <c r="U2118" s="139" t="str">
        <f>IFERROR(__xludf.DUMMYFUNCTION("""COMPUTED_VALUE"""),"")</f>
        <v/>
      </c>
      <c r="V2118" s="136" t="str">
        <f>IFERROR(__xludf.DUMMYFUNCTION("""COMPUTED_VALUE"""),"")</f>
        <v/>
      </c>
      <c r="W2118" s="106" t="str">
        <f>IFERROR(__xludf.DUMMYFUNCTION("""COMPUTED_VALUE"""),"")</f>
        <v/>
      </c>
      <c r="X2118" s="143" t="str">
        <f t="shared" si="2"/>
        <v/>
      </c>
      <c r="Y2118" s="139" t="str">
        <f>IFERROR(__xludf.DUMMYFUNCTION("""COMPUTED_VALUE"""),"")</f>
        <v/>
      </c>
      <c r="Z2118" s="141" t="str">
        <f>IFERROR(__xludf.DUMMYFUNCTION("""COMPUTED_VALUE"""),"")</f>
        <v/>
      </c>
    </row>
    <row r="2119">
      <c r="D2119" s="136" t="str">
        <f t="shared" si="3"/>
        <v/>
      </c>
      <c r="E2119" s="152"/>
      <c r="F2119" s="106" t="s">
        <v>133</v>
      </c>
      <c r="G2119" s="152"/>
      <c r="H2119" s="106" t="s">
        <v>133</v>
      </c>
      <c r="J2119" s="139" t="s">
        <v>133</v>
      </c>
      <c r="K2119" s="136" t="s">
        <v>133</v>
      </c>
      <c r="L2119" s="153"/>
      <c r="M2119" s="136" t="str">
        <f t="shared" si="1"/>
        <v/>
      </c>
      <c r="O2119" s="141" t="s">
        <v>133</v>
      </c>
      <c r="P2119" s="136" t="str">
        <f>IFERROR(__xludf.DUMMYFUNCTION("""COMPUTED_VALUE"""),"")</f>
        <v/>
      </c>
      <c r="Q2119" s="136" t="str">
        <f>IFERROR(__xludf.DUMMYFUNCTION("""COMPUTED_VALUE"""),"")</f>
        <v/>
      </c>
      <c r="R2119" s="106" t="str">
        <f>IFERROR(__xludf.DUMMYFUNCTION("""COMPUTED_VALUE"""),"")</f>
        <v/>
      </c>
      <c r="S2119" s="106" t="str">
        <f>IFERROR(__xludf.DUMMYFUNCTION("""COMPUTED_VALUE"""),"")</f>
        <v/>
      </c>
      <c r="T2119" s="139" t="str">
        <f>IFERROR(__xludf.DUMMYFUNCTION("""COMPUTED_VALUE"""),"")</f>
        <v/>
      </c>
      <c r="U2119" s="139" t="str">
        <f>IFERROR(__xludf.DUMMYFUNCTION("""COMPUTED_VALUE"""),"")</f>
        <v/>
      </c>
      <c r="V2119" s="136" t="str">
        <f>IFERROR(__xludf.DUMMYFUNCTION("""COMPUTED_VALUE"""),"")</f>
        <v/>
      </c>
      <c r="W2119" s="106" t="str">
        <f>IFERROR(__xludf.DUMMYFUNCTION("""COMPUTED_VALUE"""),"")</f>
        <v/>
      </c>
      <c r="X2119" s="143" t="str">
        <f t="shared" si="2"/>
        <v/>
      </c>
      <c r="Y2119" s="139" t="str">
        <f>IFERROR(__xludf.DUMMYFUNCTION("""COMPUTED_VALUE"""),"")</f>
        <v/>
      </c>
      <c r="Z2119" s="141" t="str">
        <f>IFERROR(__xludf.DUMMYFUNCTION("""COMPUTED_VALUE"""),"")</f>
        <v/>
      </c>
    </row>
    <row r="2120">
      <c r="D2120" s="136" t="str">
        <f t="shared" si="3"/>
        <v/>
      </c>
      <c r="E2120" s="152"/>
      <c r="F2120" s="106" t="s">
        <v>133</v>
      </c>
      <c r="G2120" s="152"/>
      <c r="H2120" s="106" t="s">
        <v>133</v>
      </c>
      <c r="J2120" s="139" t="s">
        <v>133</v>
      </c>
      <c r="K2120" s="136" t="s">
        <v>133</v>
      </c>
      <c r="L2120" s="153"/>
      <c r="M2120" s="136" t="str">
        <f t="shared" si="1"/>
        <v/>
      </c>
      <c r="O2120" s="141" t="s">
        <v>133</v>
      </c>
      <c r="P2120" s="136" t="str">
        <f>IFERROR(__xludf.DUMMYFUNCTION("""COMPUTED_VALUE"""),"")</f>
        <v/>
      </c>
      <c r="Q2120" s="136" t="str">
        <f>IFERROR(__xludf.DUMMYFUNCTION("""COMPUTED_VALUE"""),"")</f>
        <v/>
      </c>
      <c r="R2120" s="106" t="str">
        <f>IFERROR(__xludf.DUMMYFUNCTION("""COMPUTED_VALUE"""),"")</f>
        <v/>
      </c>
      <c r="S2120" s="106" t="str">
        <f>IFERROR(__xludf.DUMMYFUNCTION("""COMPUTED_VALUE"""),"")</f>
        <v/>
      </c>
      <c r="T2120" s="139" t="str">
        <f>IFERROR(__xludf.DUMMYFUNCTION("""COMPUTED_VALUE"""),"")</f>
        <v/>
      </c>
      <c r="U2120" s="139" t="str">
        <f>IFERROR(__xludf.DUMMYFUNCTION("""COMPUTED_VALUE"""),"")</f>
        <v/>
      </c>
      <c r="V2120" s="136" t="str">
        <f>IFERROR(__xludf.DUMMYFUNCTION("""COMPUTED_VALUE"""),"")</f>
        <v/>
      </c>
      <c r="W2120" s="106" t="str">
        <f>IFERROR(__xludf.DUMMYFUNCTION("""COMPUTED_VALUE"""),"")</f>
        <v/>
      </c>
      <c r="X2120" s="143" t="str">
        <f t="shared" si="2"/>
        <v/>
      </c>
      <c r="Y2120" s="139" t="str">
        <f>IFERROR(__xludf.DUMMYFUNCTION("""COMPUTED_VALUE"""),"")</f>
        <v/>
      </c>
      <c r="Z2120" s="141" t="str">
        <f>IFERROR(__xludf.DUMMYFUNCTION("""COMPUTED_VALUE"""),"")</f>
        <v/>
      </c>
    </row>
    <row r="2121">
      <c r="D2121" s="136" t="str">
        <f t="shared" si="3"/>
        <v/>
      </c>
      <c r="E2121" s="152"/>
      <c r="F2121" s="106" t="s">
        <v>133</v>
      </c>
      <c r="G2121" s="152"/>
      <c r="H2121" s="106" t="s">
        <v>133</v>
      </c>
      <c r="J2121" s="139" t="s">
        <v>133</v>
      </c>
      <c r="K2121" s="136" t="s">
        <v>133</v>
      </c>
      <c r="L2121" s="153"/>
      <c r="M2121" s="136" t="str">
        <f t="shared" si="1"/>
        <v/>
      </c>
      <c r="O2121" s="141" t="s">
        <v>133</v>
      </c>
      <c r="P2121" s="136" t="str">
        <f>IFERROR(__xludf.DUMMYFUNCTION("""COMPUTED_VALUE"""),"")</f>
        <v/>
      </c>
      <c r="Q2121" s="136" t="str">
        <f>IFERROR(__xludf.DUMMYFUNCTION("""COMPUTED_VALUE"""),"")</f>
        <v/>
      </c>
      <c r="R2121" s="106" t="str">
        <f>IFERROR(__xludf.DUMMYFUNCTION("""COMPUTED_VALUE"""),"")</f>
        <v/>
      </c>
      <c r="S2121" s="106" t="str">
        <f>IFERROR(__xludf.DUMMYFUNCTION("""COMPUTED_VALUE"""),"")</f>
        <v/>
      </c>
      <c r="T2121" s="139" t="str">
        <f>IFERROR(__xludf.DUMMYFUNCTION("""COMPUTED_VALUE"""),"")</f>
        <v/>
      </c>
      <c r="U2121" s="139" t="str">
        <f>IFERROR(__xludf.DUMMYFUNCTION("""COMPUTED_VALUE"""),"")</f>
        <v/>
      </c>
      <c r="V2121" s="136" t="str">
        <f>IFERROR(__xludf.DUMMYFUNCTION("""COMPUTED_VALUE"""),"")</f>
        <v/>
      </c>
      <c r="W2121" s="106" t="str">
        <f>IFERROR(__xludf.DUMMYFUNCTION("""COMPUTED_VALUE"""),"")</f>
        <v/>
      </c>
      <c r="X2121" s="143" t="str">
        <f t="shared" si="2"/>
        <v/>
      </c>
      <c r="Y2121" s="139" t="str">
        <f>IFERROR(__xludf.DUMMYFUNCTION("""COMPUTED_VALUE"""),"")</f>
        <v/>
      </c>
      <c r="Z2121" s="141" t="str">
        <f>IFERROR(__xludf.DUMMYFUNCTION("""COMPUTED_VALUE"""),"")</f>
        <v/>
      </c>
    </row>
    <row r="2122">
      <c r="D2122" s="136" t="str">
        <f t="shared" si="3"/>
        <v/>
      </c>
      <c r="E2122" s="152"/>
      <c r="F2122" s="106" t="s">
        <v>133</v>
      </c>
      <c r="G2122" s="152"/>
      <c r="H2122" s="106" t="s">
        <v>133</v>
      </c>
      <c r="J2122" s="139" t="s">
        <v>133</v>
      </c>
      <c r="K2122" s="136" t="s">
        <v>133</v>
      </c>
      <c r="L2122" s="153"/>
      <c r="M2122" s="136" t="str">
        <f t="shared" si="1"/>
        <v/>
      </c>
      <c r="O2122" s="141" t="s">
        <v>133</v>
      </c>
      <c r="P2122" s="136" t="str">
        <f>IFERROR(__xludf.DUMMYFUNCTION("""COMPUTED_VALUE"""),"")</f>
        <v/>
      </c>
      <c r="Q2122" s="136" t="str">
        <f>IFERROR(__xludf.DUMMYFUNCTION("""COMPUTED_VALUE"""),"")</f>
        <v/>
      </c>
      <c r="R2122" s="106" t="str">
        <f>IFERROR(__xludf.DUMMYFUNCTION("""COMPUTED_VALUE"""),"")</f>
        <v/>
      </c>
      <c r="S2122" s="106" t="str">
        <f>IFERROR(__xludf.DUMMYFUNCTION("""COMPUTED_VALUE"""),"")</f>
        <v/>
      </c>
      <c r="T2122" s="139" t="str">
        <f>IFERROR(__xludf.DUMMYFUNCTION("""COMPUTED_VALUE"""),"")</f>
        <v/>
      </c>
      <c r="U2122" s="139" t="str">
        <f>IFERROR(__xludf.DUMMYFUNCTION("""COMPUTED_VALUE"""),"")</f>
        <v/>
      </c>
      <c r="V2122" s="136" t="str">
        <f>IFERROR(__xludf.DUMMYFUNCTION("""COMPUTED_VALUE"""),"")</f>
        <v/>
      </c>
      <c r="W2122" s="106" t="str">
        <f>IFERROR(__xludf.DUMMYFUNCTION("""COMPUTED_VALUE"""),"")</f>
        <v/>
      </c>
      <c r="X2122" s="143" t="str">
        <f t="shared" si="2"/>
        <v/>
      </c>
      <c r="Y2122" s="139" t="str">
        <f>IFERROR(__xludf.DUMMYFUNCTION("""COMPUTED_VALUE"""),"")</f>
        <v/>
      </c>
      <c r="Z2122" s="141" t="str">
        <f>IFERROR(__xludf.DUMMYFUNCTION("""COMPUTED_VALUE"""),"")</f>
        <v/>
      </c>
    </row>
    <row r="2123">
      <c r="D2123" s="136" t="str">
        <f t="shared" si="3"/>
        <v/>
      </c>
      <c r="E2123" s="152"/>
      <c r="F2123" s="106" t="s">
        <v>133</v>
      </c>
      <c r="G2123" s="152"/>
      <c r="H2123" s="106" t="s">
        <v>133</v>
      </c>
      <c r="J2123" s="139" t="s">
        <v>133</v>
      </c>
      <c r="K2123" s="136" t="s">
        <v>133</v>
      </c>
      <c r="L2123" s="153"/>
      <c r="M2123" s="136" t="str">
        <f t="shared" si="1"/>
        <v/>
      </c>
      <c r="O2123" s="141" t="s">
        <v>133</v>
      </c>
      <c r="P2123" s="136" t="str">
        <f>IFERROR(__xludf.DUMMYFUNCTION("""COMPUTED_VALUE"""),"")</f>
        <v/>
      </c>
      <c r="Q2123" s="136" t="str">
        <f>IFERROR(__xludf.DUMMYFUNCTION("""COMPUTED_VALUE"""),"")</f>
        <v/>
      </c>
      <c r="R2123" s="106" t="str">
        <f>IFERROR(__xludf.DUMMYFUNCTION("""COMPUTED_VALUE"""),"")</f>
        <v/>
      </c>
      <c r="S2123" s="106" t="str">
        <f>IFERROR(__xludf.DUMMYFUNCTION("""COMPUTED_VALUE"""),"")</f>
        <v/>
      </c>
      <c r="T2123" s="139" t="str">
        <f>IFERROR(__xludf.DUMMYFUNCTION("""COMPUTED_VALUE"""),"")</f>
        <v/>
      </c>
      <c r="U2123" s="139" t="str">
        <f>IFERROR(__xludf.DUMMYFUNCTION("""COMPUTED_VALUE"""),"")</f>
        <v/>
      </c>
      <c r="V2123" s="136" t="str">
        <f>IFERROR(__xludf.DUMMYFUNCTION("""COMPUTED_VALUE"""),"")</f>
        <v/>
      </c>
      <c r="W2123" s="106" t="str">
        <f>IFERROR(__xludf.DUMMYFUNCTION("""COMPUTED_VALUE"""),"")</f>
        <v/>
      </c>
      <c r="X2123" s="143" t="str">
        <f t="shared" si="2"/>
        <v/>
      </c>
      <c r="Y2123" s="139" t="str">
        <f>IFERROR(__xludf.DUMMYFUNCTION("""COMPUTED_VALUE"""),"")</f>
        <v/>
      </c>
      <c r="Z2123" s="141" t="str">
        <f>IFERROR(__xludf.DUMMYFUNCTION("""COMPUTED_VALUE"""),"")</f>
        <v/>
      </c>
    </row>
    <row r="2124">
      <c r="D2124" s="136" t="str">
        <f t="shared" si="3"/>
        <v/>
      </c>
      <c r="E2124" s="152"/>
      <c r="F2124" s="106" t="s">
        <v>133</v>
      </c>
      <c r="G2124" s="152"/>
      <c r="H2124" s="106" t="s">
        <v>133</v>
      </c>
      <c r="J2124" s="139" t="s">
        <v>133</v>
      </c>
      <c r="K2124" s="136" t="s">
        <v>133</v>
      </c>
      <c r="L2124" s="153"/>
      <c r="M2124" s="136" t="str">
        <f t="shared" si="1"/>
        <v/>
      </c>
      <c r="O2124" s="141" t="s">
        <v>133</v>
      </c>
      <c r="P2124" s="136" t="str">
        <f>IFERROR(__xludf.DUMMYFUNCTION("""COMPUTED_VALUE"""),"")</f>
        <v/>
      </c>
      <c r="Q2124" s="136" t="str">
        <f>IFERROR(__xludf.DUMMYFUNCTION("""COMPUTED_VALUE"""),"")</f>
        <v/>
      </c>
      <c r="R2124" s="106" t="str">
        <f>IFERROR(__xludf.DUMMYFUNCTION("""COMPUTED_VALUE"""),"")</f>
        <v/>
      </c>
      <c r="S2124" s="106" t="str">
        <f>IFERROR(__xludf.DUMMYFUNCTION("""COMPUTED_VALUE"""),"")</f>
        <v/>
      </c>
      <c r="T2124" s="139" t="str">
        <f>IFERROR(__xludf.DUMMYFUNCTION("""COMPUTED_VALUE"""),"")</f>
        <v/>
      </c>
      <c r="U2124" s="139" t="str">
        <f>IFERROR(__xludf.DUMMYFUNCTION("""COMPUTED_VALUE"""),"")</f>
        <v/>
      </c>
      <c r="V2124" s="136" t="str">
        <f>IFERROR(__xludf.DUMMYFUNCTION("""COMPUTED_VALUE"""),"")</f>
        <v/>
      </c>
      <c r="W2124" s="106" t="str">
        <f>IFERROR(__xludf.DUMMYFUNCTION("""COMPUTED_VALUE"""),"")</f>
        <v/>
      </c>
      <c r="X2124" s="143" t="str">
        <f t="shared" si="2"/>
        <v/>
      </c>
      <c r="Y2124" s="139" t="str">
        <f>IFERROR(__xludf.DUMMYFUNCTION("""COMPUTED_VALUE"""),"")</f>
        <v/>
      </c>
      <c r="Z2124" s="141" t="str">
        <f>IFERROR(__xludf.DUMMYFUNCTION("""COMPUTED_VALUE"""),"")</f>
        <v/>
      </c>
    </row>
    <row r="2125">
      <c r="D2125" s="136" t="str">
        <f t="shared" si="3"/>
        <v/>
      </c>
      <c r="E2125" s="152"/>
      <c r="F2125" s="106" t="s">
        <v>133</v>
      </c>
      <c r="G2125" s="152"/>
      <c r="H2125" s="106" t="s">
        <v>133</v>
      </c>
      <c r="J2125" s="139" t="s">
        <v>133</v>
      </c>
      <c r="K2125" s="136" t="s">
        <v>133</v>
      </c>
      <c r="L2125" s="153"/>
      <c r="M2125" s="136" t="str">
        <f t="shared" si="1"/>
        <v/>
      </c>
      <c r="O2125" s="141" t="s">
        <v>133</v>
      </c>
      <c r="P2125" s="136" t="str">
        <f>IFERROR(__xludf.DUMMYFUNCTION("""COMPUTED_VALUE"""),"")</f>
        <v/>
      </c>
      <c r="Q2125" s="136" t="str">
        <f>IFERROR(__xludf.DUMMYFUNCTION("""COMPUTED_VALUE"""),"")</f>
        <v/>
      </c>
      <c r="R2125" s="106" t="str">
        <f>IFERROR(__xludf.DUMMYFUNCTION("""COMPUTED_VALUE"""),"")</f>
        <v/>
      </c>
      <c r="S2125" s="106" t="str">
        <f>IFERROR(__xludf.DUMMYFUNCTION("""COMPUTED_VALUE"""),"")</f>
        <v/>
      </c>
      <c r="T2125" s="139" t="str">
        <f>IFERROR(__xludf.DUMMYFUNCTION("""COMPUTED_VALUE"""),"")</f>
        <v/>
      </c>
      <c r="U2125" s="139" t="str">
        <f>IFERROR(__xludf.DUMMYFUNCTION("""COMPUTED_VALUE"""),"")</f>
        <v/>
      </c>
      <c r="V2125" s="136" t="str">
        <f>IFERROR(__xludf.DUMMYFUNCTION("""COMPUTED_VALUE"""),"")</f>
        <v/>
      </c>
      <c r="W2125" s="106" t="str">
        <f>IFERROR(__xludf.DUMMYFUNCTION("""COMPUTED_VALUE"""),"")</f>
        <v/>
      </c>
      <c r="X2125" s="143" t="str">
        <f t="shared" si="2"/>
        <v/>
      </c>
      <c r="Y2125" s="139" t="str">
        <f>IFERROR(__xludf.DUMMYFUNCTION("""COMPUTED_VALUE"""),"")</f>
        <v/>
      </c>
      <c r="Z2125" s="141" t="str">
        <f>IFERROR(__xludf.DUMMYFUNCTION("""COMPUTED_VALUE"""),"")</f>
        <v/>
      </c>
    </row>
    <row r="2126">
      <c r="D2126" s="136" t="str">
        <f t="shared" si="3"/>
        <v/>
      </c>
      <c r="E2126" s="152"/>
      <c r="F2126" s="106" t="s">
        <v>133</v>
      </c>
      <c r="G2126" s="152"/>
      <c r="H2126" s="106" t="s">
        <v>133</v>
      </c>
      <c r="J2126" s="139" t="s">
        <v>133</v>
      </c>
      <c r="K2126" s="136" t="s">
        <v>133</v>
      </c>
      <c r="L2126" s="153"/>
      <c r="M2126" s="136" t="str">
        <f t="shared" si="1"/>
        <v/>
      </c>
      <c r="O2126" s="141" t="s">
        <v>133</v>
      </c>
      <c r="P2126" s="136" t="str">
        <f>IFERROR(__xludf.DUMMYFUNCTION("""COMPUTED_VALUE"""),"")</f>
        <v/>
      </c>
      <c r="Q2126" s="136" t="str">
        <f>IFERROR(__xludf.DUMMYFUNCTION("""COMPUTED_VALUE"""),"")</f>
        <v/>
      </c>
      <c r="R2126" s="106" t="str">
        <f>IFERROR(__xludf.DUMMYFUNCTION("""COMPUTED_VALUE"""),"")</f>
        <v/>
      </c>
      <c r="S2126" s="106" t="str">
        <f>IFERROR(__xludf.DUMMYFUNCTION("""COMPUTED_VALUE"""),"")</f>
        <v/>
      </c>
      <c r="T2126" s="139" t="str">
        <f>IFERROR(__xludf.DUMMYFUNCTION("""COMPUTED_VALUE"""),"")</f>
        <v/>
      </c>
      <c r="U2126" s="139" t="str">
        <f>IFERROR(__xludf.DUMMYFUNCTION("""COMPUTED_VALUE"""),"")</f>
        <v/>
      </c>
      <c r="V2126" s="136" t="str">
        <f>IFERROR(__xludf.DUMMYFUNCTION("""COMPUTED_VALUE"""),"")</f>
        <v/>
      </c>
      <c r="W2126" s="106" t="str">
        <f>IFERROR(__xludf.DUMMYFUNCTION("""COMPUTED_VALUE"""),"")</f>
        <v/>
      </c>
      <c r="X2126" s="143" t="str">
        <f t="shared" si="2"/>
        <v/>
      </c>
      <c r="Y2126" s="139" t="str">
        <f>IFERROR(__xludf.DUMMYFUNCTION("""COMPUTED_VALUE"""),"")</f>
        <v/>
      </c>
      <c r="Z2126" s="141" t="str">
        <f>IFERROR(__xludf.DUMMYFUNCTION("""COMPUTED_VALUE"""),"")</f>
        <v/>
      </c>
    </row>
    <row r="2127">
      <c r="D2127" s="136" t="str">
        <f t="shared" si="3"/>
        <v/>
      </c>
      <c r="E2127" s="152"/>
      <c r="F2127" s="106" t="s">
        <v>133</v>
      </c>
      <c r="G2127" s="152"/>
      <c r="H2127" s="106" t="s">
        <v>133</v>
      </c>
      <c r="J2127" s="139" t="s">
        <v>133</v>
      </c>
      <c r="K2127" s="136" t="s">
        <v>133</v>
      </c>
      <c r="L2127" s="153"/>
      <c r="M2127" s="136" t="str">
        <f t="shared" si="1"/>
        <v/>
      </c>
      <c r="O2127" s="141" t="s">
        <v>133</v>
      </c>
      <c r="P2127" s="136" t="str">
        <f>IFERROR(__xludf.DUMMYFUNCTION("""COMPUTED_VALUE"""),"")</f>
        <v/>
      </c>
      <c r="Q2127" s="136" t="str">
        <f>IFERROR(__xludf.DUMMYFUNCTION("""COMPUTED_VALUE"""),"")</f>
        <v/>
      </c>
      <c r="R2127" s="106" t="str">
        <f>IFERROR(__xludf.DUMMYFUNCTION("""COMPUTED_VALUE"""),"")</f>
        <v/>
      </c>
      <c r="S2127" s="106" t="str">
        <f>IFERROR(__xludf.DUMMYFUNCTION("""COMPUTED_VALUE"""),"")</f>
        <v/>
      </c>
      <c r="T2127" s="139" t="str">
        <f>IFERROR(__xludf.DUMMYFUNCTION("""COMPUTED_VALUE"""),"")</f>
        <v/>
      </c>
      <c r="U2127" s="139" t="str">
        <f>IFERROR(__xludf.DUMMYFUNCTION("""COMPUTED_VALUE"""),"")</f>
        <v/>
      </c>
      <c r="V2127" s="136" t="str">
        <f>IFERROR(__xludf.DUMMYFUNCTION("""COMPUTED_VALUE"""),"")</f>
        <v/>
      </c>
      <c r="W2127" s="106" t="str">
        <f>IFERROR(__xludf.DUMMYFUNCTION("""COMPUTED_VALUE"""),"")</f>
        <v/>
      </c>
      <c r="X2127" s="143" t="str">
        <f t="shared" si="2"/>
        <v/>
      </c>
      <c r="Y2127" s="139" t="str">
        <f>IFERROR(__xludf.DUMMYFUNCTION("""COMPUTED_VALUE"""),"")</f>
        <v/>
      </c>
      <c r="Z2127" s="141" t="str">
        <f>IFERROR(__xludf.DUMMYFUNCTION("""COMPUTED_VALUE"""),"")</f>
        <v/>
      </c>
    </row>
    <row r="2128">
      <c r="D2128" s="136" t="str">
        <f t="shared" si="3"/>
        <v/>
      </c>
      <c r="E2128" s="152"/>
      <c r="F2128" s="106" t="s">
        <v>133</v>
      </c>
      <c r="G2128" s="152"/>
      <c r="H2128" s="106" t="s">
        <v>133</v>
      </c>
      <c r="J2128" s="139" t="s">
        <v>133</v>
      </c>
      <c r="K2128" s="136" t="s">
        <v>133</v>
      </c>
      <c r="L2128" s="153"/>
      <c r="M2128" s="136" t="str">
        <f t="shared" si="1"/>
        <v/>
      </c>
      <c r="O2128" s="141" t="s">
        <v>133</v>
      </c>
      <c r="P2128" s="136" t="str">
        <f>IFERROR(__xludf.DUMMYFUNCTION("""COMPUTED_VALUE"""),"")</f>
        <v/>
      </c>
      <c r="Q2128" s="136" t="str">
        <f>IFERROR(__xludf.DUMMYFUNCTION("""COMPUTED_VALUE"""),"")</f>
        <v/>
      </c>
      <c r="R2128" s="106" t="str">
        <f>IFERROR(__xludf.DUMMYFUNCTION("""COMPUTED_VALUE"""),"")</f>
        <v/>
      </c>
      <c r="S2128" s="106" t="str">
        <f>IFERROR(__xludf.DUMMYFUNCTION("""COMPUTED_VALUE"""),"")</f>
        <v/>
      </c>
      <c r="T2128" s="139" t="str">
        <f>IFERROR(__xludf.DUMMYFUNCTION("""COMPUTED_VALUE"""),"")</f>
        <v/>
      </c>
      <c r="U2128" s="139" t="str">
        <f>IFERROR(__xludf.DUMMYFUNCTION("""COMPUTED_VALUE"""),"")</f>
        <v/>
      </c>
      <c r="V2128" s="136" t="str">
        <f>IFERROR(__xludf.DUMMYFUNCTION("""COMPUTED_VALUE"""),"")</f>
        <v/>
      </c>
      <c r="W2128" s="106" t="str">
        <f>IFERROR(__xludf.DUMMYFUNCTION("""COMPUTED_VALUE"""),"")</f>
        <v/>
      </c>
      <c r="X2128" s="143" t="str">
        <f t="shared" si="2"/>
        <v/>
      </c>
      <c r="Y2128" s="139" t="str">
        <f>IFERROR(__xludf.DUMMYFUNCTION("""COMPUTED_VALUE"""),"")</f>
        <v/>
      </c>
      <c r="Z2128" s="141" t="str">
        <f>IFERROR(__xludf.DUMMYFUNCTION("""COMPUTED_VALUE"""),"")</f>
        <v/>
      </c>
    </row>
    <row r="2129">
      <c r="D2129" s="136" t="str">
        <f t="shared" si="3"/>
        <v/>
      </c>
      <c r="E2129" s="152"/>
      <c r="F2129" s="106" t="s">
        <v>133</v>
      </c>
      <c r="G2129" s="152"/>
      <c r="H2129" s="106" t="s">
        <v>133</v>
      </c>
      <c r="J2129" s="139" t="s">
        <v>133</v>
      </c>
      <c r="K2129" s="136" t="s">
        <v>133</v>
      </c>
      <c r="L2129" s="153"/>
      <c r="M2129" s="136" t="str">
        <f t="shared" si="1"/>
        <v/>
      </c>
      <c r="O2129" s="141" t="s">
        <v>133</v>
      </c>
      <c r="P2129" s="136" t="str">
        <f>IFERROR(__xludf.DUMMYFUNCTION("""COMPUTED_VALUE"""),"")</f>
        <v/>
      </c>
      <c r="Q2129" s="136" t="str">
        <f>IFERROR(__xludf.DUMMYFUNCTION("""COMPUTED_VALUE"""),"")</f>
        <v/>
      </c>
      <c r="R2129" s="106" t="str">
        <f>IFERROR(__xludf.DUMMYFUNCTION("""COMPUTED_VALUE"""),"")</f>
        <v/>
      </c>
      <c r="S2129" s="106" t="str">
        <f>IFERROR(__xludf.DUMMYFUNCTION("""COMPUTED_VALUE"""),"")</f>
        <v/>
      </c>
      <c r="T2129" s="139" t="str">
        <f>IFERROR(__xludf.DUMMYFUNCTION("""COMPUTED_VALUE"""),"")</f>
        <v/>
      </c>
      <c r="U2129" s="139" t="str">
        <f>IFERROR(__xludf.DUMMYFUNCTION("""COMPUTED_VALUE"""),"")</f>
        <v/>
      </c>
      <c r="V2129" s="136" t="str">
        <f>IFERROR(__xludf.DUMMYFUNCTION("""COMPUTED_VALUE"""),"")</f>
        <v/>
      </c>
      <c r="W2129" s="106" t="str">
        <f>IFERROR(__xludf.DUMMYFUNCTION("""COMPUTED_VALUE"""),"")</f>
        <v/>
      </c>
      <c r="X2129" s="143" t="str">
        <f t="shared" si="2"/>
        <v/>
      </c>
      <c r="Y2129" s="139" t="str">
        <f>IFERROR(__xludf.DUMMYFUNCTION("""COMPUTED_VALUE"""),"")</f>
        <v/>
      </c>
      <c r="Z2129" s="141" t="str">
        <f>IFERROR(__xludf.DUMMYFUNCTION("""COMPUTED_VALUE"""),"")</f>
        <v/>
      </c>
    </row>
    <row r="2130">
      <c r="D2130" s="136" t="str">
        <f t="shared" si="3"/>
        <v/>
      </c>
      <c r="E2130" s="152"/>
      <c r="F2130" s="106" t="s">
        <v>133</v>
      </c>
      <c r="G2130" s="152"/>
      <c r="H2130" s="106" t="s">
        <v>133</v>
      </c>
      <c r="J2130" s="139" t="s">
        <v>133</v>
      </c>
      <c r="K2130" s="136" t="s">
        <v>133</v>
      </c>
      <c r="L2130" s="153"/>
      <c r="M2130" s="136" t="str">
        <f t="shared" si="1"/>
        <v/>
      </c>
      <c r="O2130" s="141" t="s">
        <v>133</v>
      </c>
      <c r="P2130" s="136" t="str">
        <f>IFERROR(__xludf.DUMMYFUNCTION("""COMPUTED_VALUE"""),"")</f>
        <v/>
      </c>
      <c r="Q2130" s="136" t="str">
        <f>IFERROR(__xludf.DUMMYFUNCTION("""COMPUTED_VALUE"""),"")</f>
        <v/>
      </c>
      <c r="R2130" s="106" t="str">
        <f>IFERROR(__xludf.DUMMYFUNCTION("""COMPUTED_VALUE"""),"")</f>
        <v/>
      </c>
      <c r="S2130" s="106" t="str">
        <f>IFERROR(__xludf.DUMMYFUNCTION("""COMPUTED_VALUE"""),"")</f>
        <v/>
      </c>
      <c r="T2130" s="139" t="str">
        <f>IFERROR(__xludf.DUMMYFUNCTION("""COMPUTED_VALUE"""),"")</f>
        <v/>
      </c>
      <c r="U2130" s="139" t="str">
        <f>IFERROR(__xludf.DUMMYFUNCTION("""COMPUTED_VALUE"""),"")</f>
        <v/>
      </c>
      <c r="V2130" s="136" t="str">
        <f>IFERROR(__xludf.DUMMYFUNCTION("""COMPUTED_VALUE"""),"")</f>
        <v/>
      </c>
      <c r="W2130" s="106" t="str">
        <f>IFERROR(__xludf.DUMMYFUNCTION("""COMPUTED_VALUE"""),"")</f>
        <v/>
      </c>
      <c r="X2130" s="143" t="str">
        <f t="shared" si="2"/>
        <v/>
      </c>
      <c r="Y2130" s="139" t="str">
        <f>IFERROR(__xludf.DUMMYFUNCTION("""COMPUTED_VALUE"""),"")</f>
        <v/>
      </c>
      <c r="Z2130" s="141" t="str">
        <f>IFERROR(__xludf.DUMMYFUNCTION("""COMPUTED_VALUE"""),"")</f>
        <v/>
      </c>
    </row>
    <row r="2131">
      <c r="D2131" s="136" t="str">
        <f t="shared" si="3"/>
        <v/>
      </c>
      <c r="E2131" s="152"/>
      <c r="F2131" s="106" t="s">
        <v>133</v>
      </c>
      <c r="G2131" s="152"/>
      <c r="H2131" s="106" t="s">
        <v>133</v>
      </c>
      <c r="J2131" s="139" t="s">
        <v>133</v>
      </c>
      <c r="K2131" s="136" t="s">
        <v>133</v>
      </c>
      <c r="L2131" s="153"/>
      <c r="M2131" s="136" t="str">
        <f t="shared" si="1"/>
        <v/>
      </c>
      <c r="O2131" s="141" t="s">
        <v>133</v>
      </c>
      <c r="P2131" s="136" t="str">
        <f>IFERROR(__xludf.DUMMYFUNCTION("""COMPUTED_VALUE"""),"")</f>
        <v/>
      </c>
      <c r="Q2131" s="136" t="str">
        <f>IFERROR(__xludf.DUMMYFUNCTION("""COMPUTED_VALUE"""),"")</f>
        <v/>
      </c>
      <c r="R2131" s="106" t="str">
        <f>IFERROR(__xludf.DUMMYFUNCTION("""COMPUTED_VALUE"""),"")</f>
        <v/>
      </c>
      <c r="S2131" s="106" t="str">
        <f>IFERROR(__xludf.DUMMYFUNCTION("""COMPUTED_VALUE"""),"")</f>
        <v/>
      </c>
      <c r="T2131" s="139" t="str">
        <f>IFERROR(__xludf.DUMMYFUNCTION("""COMPUTED_VALUE"""),"")</f>
        <v/>
      </c>
      <c r="U2131" s="139" t="str">
        <f>IFERROR(__xludf.DUMMYFUNCTION("""COMPUTED_VALUE"""),"")</f>
        <v/>
      </c>
      <c r="V2131" s="136" t="str">
        <f>IFERROR(__xludf.DUMMYFUNCTION("""COMPUTED_VALUE"""),"")</f>
        <v/>
      </c>
      <c r="W2131" s="106" t="str">
        <f>IFERROR(__xludf.DUMMYFUNCTION("""COMPUTED_VALUE"""),"")</f>
        <v/>
      </c>
      <c r="X2131" s="143" t="str">
        <f t="shared" si="2"/>
        <v/>
      </c>
      <c r="Y2131" s="139" t="str">
        <f>IFERROR(__xludf.DUMMYFUNCTION("""COMPUTED_VALUE"""),"")</f>
        <v/>
      </c>
      <c r="Z2131" s="141" t="str">
        <f>IFERROR(__xludf.DUMMYFUNCTION("""COMPUTED_VALUE"""),"")</f>
        <v/>
      </c>
    </row>
    <row r="2132">
      <c r="D2132" s="136" t="str">
        <f t="shared" si="3"/>
        <v/>
      </c>
      <c r="E2132" s="152"/>
      <c r="F2132" s="106" t="s">
        <v>133</v>
      </c>
      <c r="G2132" s="152"/>
      <c r="H2132" s="106" t="s">
        <v>133</v>
      </c>
      <c r="J2132" s="139" t="s">
        <v>133</v>
      </c>
      <c r="K2132" s="136" t="s">
        <v>133</v>
      </c>
      <c r="L2132" s="153"/>
      <c r="M2132" s="136" t="str">
        <f t="shared" si="1"/>
        <v/>
      </c>
      <c r="O2132" s="141" t="s">
        <v>133</v>
      </c>
      <c r="P2132" s="136" t="str">
        <f>IFERROR(__xludf.DUMMYFUNCTION("""COMPUTED_VALUE"""),"")</f>
        <v/>
      </c>
      <c r="Q2132" s="136" t="str">
        <f>IFERROR(__xludf.DUMMYFUNCTION("""COMPUTED_VALUE"""),"")</f>
        <v/>
      </c>
      <c r="R2132" s="106" t="str">
        <f>IFERROR(__xludf.DUMMYFUNCTION("""COMPUTED_VALUE"""),"")</f>
        <v/>
      </c>
      <c r="S2132" s="106" t="str">
        <f>IFERROR(__xludf.DUMMYFUNCTION("""COMPUTED_VALUE"""),"")</f>
        <v/>
      </c>
      <c r="T2132" s="139" t="str">
        <f>IFERROR(__xludf.DUMMYFUNCTION("""COMPUTED_VALUE"""),"")</f>
        <v/>
      </c>
      <c r="U2132" s="139" t="str">
        <f>IFERROR(__xludf.DUMMYFUNCTION("""COMPUTED_VALUE"""),"")</f>
        <v/>
      </c>
      <c r="V2132" s="136" t="str">
        <f>IFERROR(__xludf.DUMMYFUNCTION("""COMPUTED_VALUE"""),"")</f>
        <v/>
      </c>
      <c r="W2132" s="106" t="str">
        <f>IFERROR(__xludf.DUMMYFUNCTION("""COMPUTED_VALUE"""),"")</f>
        <v/>
      </c>
      <c r="X2132" s="143" t="str">
        <f t="shared" si="2"/>
        <v/>
      </c>
      <c r="Y2132" s="139" t="str">
        <f>IFERROR(__xludf.DUMMYFUNCTION("""COMPUTED_VALUE"""),"")</f>
        <v/>
      </c>
      <c r="Z2132" s="141" t="str">
        <f>IFERROR(__xludf.DUMMYFUNCTION("""COMPUTED_VALUE"""),"")</f>
        <v/>
      </c>
    </row>
    <row r="2133">
      <c r="D2133" s="136" t="str">
        <f t="shared" si="3"/>
        <v/>
      </c>
      <c r="E2133" s="152"/>
      <c r="F2133" s="106" t="s">
        <v>133</v>
      </c>
      <c r="G2133" s="152"/>
      <c r="H2133" s="106" t="s">
        <v>133</v>
      </c>
      <c r="J2133" s="139" t="s">
        <v>133</v>
      </c>
      <c r="K2133" s="136" t="s">
        <v>133</v>
      </c>
      <c r="L2133" s="153"/>
      <c r="M2133" s="136" t="str">
        <f t="shared" si="1"/>
        <v/>
      </c>
      <c r="O2133" s="141" t="s">
        <v>133</v>
      </c>
      <c r="P2133" s="136" t="str">
        <f>IFERROR(__xludf.DUMMYFUNCTION("""COMPUTED_VALUE"""),"")</f>
        <v/>
      </c>
      <c r="Q2133" s="136" t="str">
        <f>IFERROR(__xludf.DUMMYFUNCTION("""COMPUTED_VALUE"""),"")</f>
        <v/>
      </c>
      <c r="R2133" s="106" t="str">
        <f>IFERROR(__xludf.DUMMYFUNCTION("""COMPUTED_VALUE"""),"")</f>
        <v/>
      </c>
      <c r="S2133" s="106" t="str">
        <f>IFERROR(__xludf.DUMMYFUNCTION("""COMPUTED_VALUE"""),"")</f>
        <v/>
      </c>
      <c r="T2133" s="139" t="str">
        <f>IFERROR(__xludf.DUMMYFUNCTION("""COMPUTED_VALUE"""),"")</f>
        <v/>
      </c>
      <c r="U2133" s="139" t="str">
        <f>IFERROR(__xludf.DUMMYFUNCTION("""COMPUTED_VALUE"""),"")</f>
        <v/>
      </c>
      <c r="V2133" s="136" t="str">
        <f>IFERROR(__xludf.DUMMYFUNCTION("""COMPUTED_VALUE"""),"")</f>
        <v/>
      </c>
      <c r="W2133" s="106" t="str">
        <f>IFERROR(__xludf.DUMMYFUNCTION("""COMPUTED_VALUE"""),"")</f>
        <v/>
      </c>
      <c r="X2133" s="143" t="str">
        <f t="shared" si="2"/>
        <v/>
      </c>
      <c r="Y2133" s="139" t="str">
        <f>IFERROR(__xludf.DUMMYFUNCTION("""COMPUTED_VALUE"""),"")</f>
        <v/>
      </c>
      <c r="Z2133" s="141" t="str">
        <f>IFERROR(__xludf.DUMMYFUNCTION("""COMPUTED_VALUE"""),"")</f>
        <v/>
      </c>
    </row>
    <row r="2134">
      <c r="D2134" s="136" t="str">
        <f t="shared" si="3"/>
        <v/>
      </c>
      <c r="E2134" s="152"/>
      <c r="F2134" s="106" t="s">
        <v>133</v>
      </c>
      <c r="G2134" s="152"/>
      <c r="H2134" s="106" t="s">
        <v>133</v>
      </c>
      <c r="J2134" s="139" t="s">
        <v>133</v>
      </c>
      <c r="K2134" s="136" t="s">
        <v>133</v>
      </c>
      <c r="L2134" s="153"/>
      <c r="M2134" s="136" t="str">
        <f t="shared" si="1"/>
        <v/>
      </c>
      <c r="O2134" s="141" t="s">
        <v>133</v>
      </c>
      <c r="P2134" s="136" t="str">
        <f>IFERROR(__xludf.DUMMYFUNCTION("""COMPUTED_VALUE"""),"")</f>
        <v/>
      </c>
      <c r="Q2134" s="136" t="str">
        <f>IFERROR(__xludf.DUMMYFUNCTION("""COMPUTED_VALUE"""),"")</f>
        <v/>
      </c>
      <c r="R2134" s="106" t="str">
        <f>IFERROR(__xludf.DUMMYFUNCTION("""COMPUTED_VALUE"""),"")</f>
        <v/>
      </c>
      <c r="S2134" s="106" t="str">
        <f>IFERROR(__xludf.DUMMYFUNCTION("""COMPUTED_VALUE"""),"")</f>
        <v/>
      </c>
      <c r="T2134" s="139" t="str">
        <f>IFERROR(__xludf.DUMMYFUNCTION("""COMPUTED_VALUE"""),"")</f>
        <v/>
      </c>
      <c r="U2134" s="139" t="str">
        <f>IFERROR(__xludf.DUMMYFUNCTION("""COMPUTED_VALUE"""),"")</f>
        <v/>
      </c>
      <c r="V2134" s="136" t="str">
        <f>IFERROR(__xludf.DUMMYFUNCTION("""COMPUTED_VALUE"""),"")</f>
        <v/>
      </c>
      <c r="W2134" s="106" t="str">
        <f>IFERROR(__xludf.DUMMYFUNCTION("""COMPUTED_VALUE"""),"")</f>
        <v/>
      </c>
      <c r="X2134" s="143" t="str">
        <f t="shared" si="2"/>
        <v/>
      </c>
      <c r="Y2134" s="139" t="str">
        <f>IFERROR(__xludf.DUMMYFUNCTION("""COMPUTED_VALUE"""),"")</f>
        <v/>
      </c>
      <c r="Z2134" s="141" t="str">
        <f>IFERROR(__xludf.DUMMYFUNCTION("""COMPUTED_VALUE"""),"")</f>
        <v/>
      </c>
    </row>
    <row r="2135">
      <c r="D2135" s="136" t="str">
        <f t="shared" si="3"/>
        <v/>
      </c>
      <c r="E2135" s="152"/>
      <c r="F2135" s="106" t="s">
        <v>133</v>
      </c>
      <c r="G2135" s="152"/>
      <c r="H2135" s="106" t="s">
        <v>133</v>
      </c>
      <c r="J2135" s="139" t="s">
        <v>133</v>
      </c>
      <c r="K2135" s="136" t="s">
        <v>133</v>
      </c>
      <c r="L2135" s="153"/>
      <c r="M2135" s="136" t="str">
        <f t="shared" si="1"/>
        <v/>
      </c>
      <c r="O2135" s="141" t="s">
        <v>133</v>
      </c>
      <c r="P2135" s="136" t="str">
        <f>IFERROR(__xludf.DUMMYFUNCTION("""COMPUTED_VALUE"""),"")</f>
        <v/>
      </c>
      <c r="Q2135" s="136" t="str">
        <f>IFERROR(__xludf.DUMMYFUNCTION("""COMPUTED_VALUE"""),"")</f>
        <v/>
      </c>
      <c r="R2135" s="106" t="str">
        <f>IFERROR(__xludf.DUMMYFUNCTION("""COMPUTED_VALUE"""),"")</f>
        <v/>
      </c>
      <c r="S2135" s="106" t="str">
        <f>IFERROR(__xludf.DUMMYFUNCTION("""COMPUTED_VALUE"""),"")</f>
        <v/>
      </c>
      <c r="T2135" s="139" t="str">
        <f>IFERROR(__xludf.DUMMYFUNCTION("""COMPUTED_VALUE"""),"")</f>
        <v/>
      </c>
      <c r="U2135" s="139" t="str">
        <f>IFERROR(__xludf.DUMMYFUNCTION("""COMPUTED_VALUE"""),"")</f>
        <v/>
      </c>
      <c r="V2135" s="136" t="str">
        <f>IFERROR(__xludf.DUMMYFUNCTION("""COMPUTED_VALUE"""),"")</f>
        <v/>
      </c>
      <c r="W2135" s="106" t="str">
        <f>IFERROR(__xludf.DUMMYFUNCTION("""COMPUTED_VALUE"""),"")</f>
        <v/>
      </c>
      <c r="X2135" s="143" t="str">
        <f t="shared" si="2"/>
        <v/>
      </c>
      <c r="Y2135" s="139" t="str">
        <f>IFERROR(__xludf.DUMMYFUNCTION("""COMPUTED_VALUE"""),"")</f>
        <v/>
      </c>
      <c r="Z2135" s="141" t="str">
        <f>IFERROR(__xludf.DUMMYFUNCTION("""COMPUTED_VALUE"""),"")</f>
        <v/>
      </c>
    </row>
    <row r="2136">
      <c r="D2136" s="136" t="str">
        <f t="shared" si="3"/>
        <v/>
      </c>
      <c r="E2136" s="152"/>
      <c r="F2136" s="106" t="s">
        <v>133</v>
      </c>
      <c r="G2136" s="152"/>
      <c r="H2136" s="106" t="s">
        <v>133</v>
      </c>
      <c r="J2136" s="139" t="s">
        <v>133</v>
      </c>
      <c r="K2136" s="136" t="s">
        <v>133</v>
      </c>
      <c r="L2136" s="153"/>
      <c r="M2136" s="136" t="str">
        <f t="shared" si="1"/>
        <v/>
      </c>
      <c r="O2136" s="141" t="s">
        <v>133</v>
      </c>
      <c r="P2136" s="136" t="str">
        <f>IFERROR(__xludf.DUMMYFUNCTION("""COMPUTED_VALUE"""),"")</f>
        <v/>
      </c>
      <c r="Q2136" s="136" t="str">
        <f>IFERROR(__xludf.DUMMYFUNCTION("""COMPUTED_VALUE"""),"")</f>
        <v/>
      </c>
      <c r="R2136" s="106" t="str">
        <f>IFERROR(__xludf.DUMMYFUNCTION("""COMPUTED_VALUE"""),"")</f>
        <v/>
      </c>
      <c r="S2136" s="106" t="str">
        <f>IFERROR(__xludf.DUMMYFUNCTION("""COMPUTED_VALUE"""),"")</f>
        <v/>
      </c>
      <c r="T2136" s="139" t="str">
        <f>IFERROR(__xludf.DUMMYFUNCTION("""COMPUTED_VALUE"""),"")</f>
        <v/>
      </c>
      <c r="U2136" s="139" t="str">
        <f>IFERROR(__xludf.DUMMYFUNCTION("""COMPUTED_VALUE"""),"")</f>
        <v/>
      </c>
      <c r="V2136" s="136" t="str">
        <f>IFERROR(__xludf.DUMMYFUNCTION("""COMPUTED_VALUE"""),"")</f>
        <v/>
      </c>
      <c r="W2136" s="106" t="str">
        <f>IFERROR(__xludf.DUMMYFUNCTION("""COMPUTED_VALUE"""),"")</f>
        <v/>
      </c>
      <c r="X2136" s="143" t="str">
        <f t="shared" si="2"/>
        <v/>
      </c>
      <c r="Y2136" s="139" t="str">
        <f>IFERROR(__xludf.DUMMYFUNCTION("""COMPUTED_VALUE"""),"")</f>
        <v/>
      </c>
      <c r="Z2136" s="141" t="str">
        <f>IFERROR(__xludf.DUMMYFUNCTION("""COMPUTED_VALUE"""),"")</f>
        <v/>
      </c>
    </row>
    <row r="2137">
      <c r="D2137" s="136" t="str">
        <f t="shared" si="3"/>
        <v/>
      </c>
      <c r="E2137" s="152"/>
      <c r="F2137" s="106" t="s">
        <v>133</v>
      </c>
      <c r="G2137" s="152"/>
      <c r="H2137" s="106" t="s">
        <v>133</v>
      </c>
      <c r="J2137" s="139" t="s">
        <v>133</v>
      </c>
      <c r="K2137" s="136" t="s">
        <v>133</v>
      </c>
      <c r="L2137" s="153"/>
      <c r="M2137" s="136" t="str">
        <f t="shared" si="1"/>
        <v/>
      </c>
      <c r="O2137" s="141" t="s">
        <v>133</v>
      </c>
      <c r="P2137" s="136" t="str">
        <f>IFERROR(__xludf.DUMMYFUNCTION("""COMPUTED_VALUE"""),"")</f>
        <v/>
      </c>
      <c r="Q2137" s="136" t="str">
        <f>IFERROR(__xludf.DUMMYFUNCTION("""COMPUTED_VALUE"""),"")</f>
        <v/>
      </c>
      <c r="R2137" s="106" t="str">
        <f>IFERROR(__xludf.DUMMYFUNCTION("""COMPUTED_VALUE"""),"")</f>
        <v/>
      </c>
      <c r="S2137" s="106" t="str">
        <f>IFERROR(__xludf.DUMMYFUNCTION("""COMPUTED_VALUE"""),"")</f>
        <v/>
      </c>
      <c r="T2137" s="139" t="str">
        <f>IFERROR(__xludf.DUMMYFUNCTION("""COMPUTED_VALUE"""),"")</f>
        <v/>
      </c>
      <c r="U2137" s="139" t="str">
        <f>IFERROR(__xludf.DUMMYFUNCTION("""COMPUTED_VALUE"""),"")</f>
        <v/>
      </c>
      <c r="V2137" s="136" t="str">
        <f>IFERROR(__xludf.DUMMYFUNCTION("""COMPUTED_VALUE"""),"")</f>
        <v/>
      </c>
      <c r="W2137" s="106" t="str">
        <f>IFERROR(__xludf.DUMMYFUNCTION("""COMPUTED_VALUE"""),"")</f>
        <v/>
      </c>
      <c r="X2137" s="143" t="str">
        <f t="shared" si="2"/>
        <v/>
      </c>
      <c r="Y2137" s="139" t="str">
        <f>IFERROR(__xludf.DUMMYFUNCTION("""COMPUTED_VALUE"""),"")</f>
        <v/>
      </c>
      <c r="Z2137" s="141" t="str">
        <f>IFERROR(__xludf.DUMMYFUNCTION("""COMPUTED_VALUE"""),"")</f>
        <v/>
      </c>
    </row>
    <row r="2138">
      <c r="D2138" s="136" t="str">
        <f t="shared" si="3"/>
        <v/>
      </c>
      <c r="E2138" s="152"/>
      <c r="F2138" s="106" t="s">
        <v>133</v>
      </c>
      <c r="G2138" s="152"/>
      <c r="H2138" s="106" t="s">
        <v>133</v>
      </c>
      <c r="J2138" s="139" t="s">
        <v>133</v>
      </c>
      <c r="K2138" s="136" t="s">
        <v>133</v>
      </c>
      <c r="L2138" s="153"/>
      <c r="M2138" s="136" t="str">
        <f t="shared" si="1"/>
        <v/>
      </c>
      <c r="O2138" s="141" t="s">
        <v>133</v>
      </c>
      <c r="P2138" s="136" t="str">
        <f>IFERROR(__xludf.DUMMYFUNCTION("""COMPUTED_VALUE"""),"")</f>
        <v/>
      </c>
      <c r="Q2138" s="136" t="str">
        <f>IFERROR(__xludf.DUMMYFUNCTION("""COMPUTED_VALUE"""),"")</f>
        <v/>
      </c>
      <c r="R2138" s="106" t="str">
        <f>IFERROR(__xludf.DUMMYFUNCTION("""COMPUTED_VALUE"""),"")</f>
        <v/>
      </c>
      <c r="S2138" s="106" t="str">
        <f>IFERROR(__xludf.DUMMYFUNCTION("""COMPUTED_VALUE"""),"")</f>
        <v/>
      </c>
      <c r="T2138" s="139" t="str">
        <f>IFERROR(__xludf.DUMMYFUNCTION("""COMPUTED_VALUE"""),"")</f>
        <v/>
      </c>
      <c r="U2138" s="139" t="str">
        <f>IFERROR(__xludf.DUMMYFUNCTION("""COMPUTED_VALUE"""),"")</f>
        <v/>
      </c>
      <c r="V2138" s="136" t="str">
        <f>IFERROR(__xludf.DUMMYFUNCTION("""COMPUTED_VALUE"""),"")</f>
        <v/>
      </c>
      <c r="W2138" s="106" t="str">
        <f>IFERROR(__xludf.DUMMYFUNCTION("""COMPUTED_VALUE"""),"")</f>
        <v/>
      </c>
      <c r="X2138" s="143" t="str">
        <f t="shared" si="2"/>
        <v/>
      </c>
      <c r="Y2138" s="139" t="str">
        <f>IFERROR(__xludf.DUMMYFUNCTION("""COMPUTED_VALUE"""),"")</f>
        <v/>
      </c>
      <c r="Z2138" s="141" t="str">
        <f>IFERROR(__xludf.DUMMYFUNCTION("""COMPUTED_VALUE"""),"")</f>
        <v/>
      </c>
    </row>
    <row r="2139">
      <c r="D2139" s="136" t="str">
        <f t="shared" si="3"/>
        <v/>
      </c>
      <c r="E2139" s="152"/>
      <c r="F2139" s="106" t="s">
        <v>133</v>
      </c>
      <c r="G2139" s="152"/>
      <c r="H2139" s="106" t="s">
        <v>133</v>
      </c>
      <c r="J2139" s="139" t="s">
        <v>133</v>
      </c>
      <c r="K2139" s="136" t="s">
        <v>133</v>
      </c>
      <c r="L2139" s="153"/>
      <c r="M2139" s="136" t="str">
        <f t="shared" si="1"/>
        <v/>
      </c>
      <c r="O2139" s="141" t="s">
        <v>133</v>
      </c>
      <c r="P2139" s="136" t="str">
        <f>IFERROR(__xludf.DUMMYFUNCTION("""COMPUTED_VALUE"""),"")</f>
        <v/>
      </c>
      <c r="Q2139" s="136" t="str">
        <f>IFERROR(__xludf.DUMMYFUNCTION("""COMPUTED_VALUE"""),"")</f>
        <v/>
      </c>
      <c r="R2139" s="106" t="str">
        <f>IFERROR(__xludf.DUMMYFUNCTION("""COMPUTED_VALUE"""),"")</f>
        <v/>
      </c>
      <c r="S2139" s="106" t="str">
        <f>IFERROR(__xludf.DUMMYFUNCTION("""COMPUTED_VALUE"""),"")</f>
        <v/>
      </c>
      <c r="T2139" s="139" t="str">
        <f>IFERROR(__xludf.DUMMYFUNCTION("""COMPUTED_VALUE"""),"")</f>
        <v/>
      </c>
      <c r="U2139" s="139" t="str">
        <f>IFERROR(__xludf.DUMMYFUNCTION("""COMPUTED_VALUE"""),"")</f>
        <v/>
      </c>
      <c r="V2139" s="136" t="str">
        <f>IFERROR(__xludf.DUMMYFUNCTION("""COMPUTED_VALUE"""),"")</f>
        <v/>
      </c>
      <c r="W2139" s="106" t="str">
        <f>IFERROR(__xludf.DUMMYFUNCTION("""COMPUTED_VALUE"""),"")</f>
        <v/>
      </c>
      <c r="X2139" s="143" t="str">
        <f t="shared" si="2"/>
        <v/>
      </c>
      <c r="Y2139" s="139" t="str">
        <f>IFERROR(__xludf.DUMMYFUNCTION("""COMPUTED_VALUE"""),"")</f>
        <v/>
      </c>
      <c r="Z2139" s="141" t="str">
        <f>IFERROR(__xludf.DUMMYFUNCTION("""COMPUTED_VALUE"""),"")</f>
        <v/>
      </c>
    </row>
    <row r="2140">
      <c r="D2140" s="136" t="str">
        <f t="shared" si="3"/>
        <v/>
      </c>
      <c r="E2140" s="152"/>
      <c r="F2140" s="106" t="s">
        <v>133</v>
      </c>
      <c r="G2140" s="152"/>
      <c r="H2140" s="106" t="s">
        <v>133</v>
      </c>
      <c r="J2140" s="139" t="s">
        <v>133</v>
      </c>
      <c r="K2140" s="136" t="s">
        <v>133</v>
      </c>
      <c r="L2140" s="153"/>
      <c r="M2140" s="136" t="str">
        <f t="shared" si="1"/>
        <v/>
      </c>
      <c r="O2140" s="141" t="s">
        <v>133</v>
      </c>
      <c r="P2140" s="136" t="str">
        <f>IFERROR(__xludf.DUMMYFUNCTION("""COMPUTED_VALUE"""),"")</f>
        <v/>
      </c>
      <c r="Q2140" s="136" t="str">
        <f>IFERROR(__xludf.DUMMYFUNCTION("""COMPUTED_VALUE"""),"")</f>
        <v/>
      </c>
      <c r="R2140" s="106" t="str">
        <f>IFERROR(__xludf.DUMMYFUNCTION("""COMPUTED_VALUE"""),"")</f>
        <v/>
      </c>
      <c r="S2140" s="106" t="str">
        <f>IFERROR(__xludf.DUMMYFUNCTION("""COMPUTED_VALUE"""),"")</f>
        <v/>
      </c>
      <c r="T2140" s="139" t="str">
        <f>IFERROR(__xludf.DUMMYFUNCTION("""COMPUTED_VALUE"""),"")</f>
        <v/>
      </c>
      <c r="U2140" s="139" t="str">
        <f>IFERROR(__xludf.DUMMYFUNCTION("""COMPUTED_VALUE"""),"")</f>
        <v/>
      </c>
      <c r="V2140" s="136" t="str">
        <f>IFERROR(__xludf.DUMMYFUNCTION("""COMPUTED_VALUE"""),"")</f>
        <v/>
      </c>
      <c r="W2140" s="106" t="str">
        <f>IFERROR(__xludf.DUMMYFUNCTION("""COMPUTED_VALUE"""),"")</f>
        <v/>
      </c>
      <c r="X2140" s="143" t="str">
        <f t="shared" si="2"/>
        <v/>
      </c>
      <c r="Y2140" s="139" t="str">
        <f>IFERROR(__xludf.DUMMYFUNCTION("""COMPUTED_VALUE"""),"")</f>
        <v/>
      </c>
      <c r="Z2140" s="141" t="str">
        <f>IFERROR(__xludf.DUMMYFUNCTION("""COMPUTED_VALUE"""),"")</f>
        <v/>
      </c>
    </row>
    <row r="2141">
      <c r="D2141" s="136" t="str">
        <f t="shared" si="3"/>
        <v/>
      </c>
      <c r="E2141" s="152"/>
      <c r="F2141" s="106" t="s">
        <v>133</v>
      </c>
      <c r="G2141" s="152"/>
      <c r="H2141" s="106" t="s">
        <v>133</v>
      </c>
      <c r="J2141" s="139" t="s">
        <v>133</v>
      </c>
      <c r="K2141" s="136" t="s">
        <v>133</v>
      </c>
      <c r="L2141" s="153"/>
      <c r="M2141" s="136" t="str">
        <f t="shared" si="1"/>
        <v/>
      </c>
      <c r="O2141" s="141" t="s">
        <v>133</v>
      </c>
      <c r="P2141" s="136" t="str">
        <f>IFERROR(__xludf.DUMMYFUNCTION("""COMPUTED_VALUE"""),"")</f>
        <v/>
      </c>
      <c r="Q2141" s="136" t="str">
        <f>IFERROR(__xludf.DUMMYFUNCTION("""COMPUTED_VALUE"""),"")</f>
        <v/>
      </c>
      <c r="R2141" s="106" t="str">
        <f>IFERROR(__xludf.DUMMYFUNCTION("""COMPUTED_VALUE"""),"")</f>
        <v/>
      </c>
      <c r="S2141" s="106" t="str">
        <f>IFERROR(__xludf.DUMMYFUNCTION("""COMPUTED_VALUE"""),"")</f>
        <v/>
      </c>
      <c r="T2141" s="139" t="str">
        <f>IFERROR(__xludf.DUMMYFUNCTION("""COMPUTED_VALUE"""),"")</f>
        <v/>
      </c>
      <c r="U2141" s="139" t="str">
        <f>IFERROR(__xludf.DUMMYFUNCTION("""COMPUTED_VALUE"""),"")</f>
        <v/>
      </c>
      <c r="V2141" s="136" t="str">
        <f>IFERROR(__xludf.DUMMYFUNCTION("""COMPUTED_VALUE"""),"")</f>
        <v/>
      </c>
      <c r="W2141" s="106" t="str">
        <f>IFERROR(__xludf.DUMMYFUNCTION("""COMPUTED_VALUE"""),"")</f>
        <v/>
      </c>
      <c r="X2141" s="143" t="str">
        <f t="shared" si="2"/>
        <v/>
      </c>
      <c r="Y2141" s="139" t="str">
        <f>IFERROR(__xludf.DUMMYFUNCTION("""COMPUTED_VALUE"""),"")</f>
        <v/>
      </c>
      <c r="Z2141" s="141" t="str">
        <f>IFERROR(__xludf.DUMMYFUNCTION("""COMPUTED_VALUE"""),"")</f>
        <v/>
      </c>
    </row>
    <row r="2142">
      <c r="D2142" s="136" t="str">
        <f t="shared" si="3"/>
        <v/>
      </c>
      <c r="E2142" s="152"/>
      <c r="F2142" s="106" t="s">
        <v>133</v>
      </c>
      <c r="G2142" s="152"/>
      <c r="H2142" s="106" t="s">
        <v>133</v>
      </c>
      <c r="J2142" s="139" t="s">
        <v>133</v>
      </c>
      <c r="K2142" s="136" t="s">
        <v>133</v>
      </c>
      <c r="L2142" s="153"/>
      <c r="M2142" s="136" t="str">
        <f t="shared" si="1"/>
        <v/>
      </c>
      <c r="O2142" s="141" t="s">
        <v>133</v>
      </c>
      <c r="P2142" s="136" t="str">
        <f>IFERROR(__xludf.DUMMYFUNCTION("""COMPUTED_VALUE"""),"")</f>
        <v/>
      </c>
      <c r="Q2142" s="136" t="str">
        <f>IFERROR(__xludf.DUMMYFUNCTION("""COMPUTED_VALUE"""),"")</f>
        <v/>
      </c>
      <c r="R2142" s="106" t="str">
        <f>IFERROR(__xludf.DUMMYFUNCTION("""COMPUTED_VALUE"""),"")</f>
        <v/>
      </c>
      <c r="S2142" s="106" t="str">
        <f>IFERROR(__xludf.DUMMYFUNCTION("""COMPUTED_VALUE"""),"")</f>
        <v/>
      </c>
      <c r="T2142" s="139" t="str">
        <f>IFERROR(__xludf.DUMMYFUNCTION("""COMPUTED_VALUE"""),"")</f>
        <v/>
      </c>
      <c r="U2142" s="139" t="str">
        <f>IFERROR(__xludf.DUMMYFUNCTION("""COMPUTED_VALUE"""),"")</f>
        <v/>
      </c>
      <c r="V2142" s="136" t="str">
        <f>IFERROR(__xludf.DUMMYFUNCTION("""COMPUTED_VALUE"""),"")</f>
        <v/>
      </c>
      <c r="W2142" s="106" t="str">
        <f>IFERROR(__xludf.DUMMYFUNCTION("""COMPUTED_VALUE"""),"")</f>
        <v/>
      </c>
      <c r="X2142" s="143" t="str">
        <f t="shared" si="2"/>
        <v/>
      </c>
      <c r="Y2142" s="139" t="str">
        <f>IFERROR(__xludf.DUMMYFUNCTION("""COMPUTED_VALUE"""),"")</f>
        <v/>
      </c>
      <c r="Z2142" s="141" t="str">
        <f>IFERROR(__xludf.DUMMYFUNCTION("""COMPUTED_VALUE"""),"")</f>
        <v/>
      </c>
    </row>
    <row r="2143">
      <c r="D2143" s="136" t="str">
        <f t="shared" si="3"/>
        <v/>
      </c>
      <c r="E2143" s="152"/>
      <c r="F2143" s="106" t="s">
        <v>133</v>
      </c>
      <c r="G2143" s="152"/>
      <c r="H2143" s="106" t="s">
        <v>133</v>
      </c>
      <c r="J2143" s="139" t="s">
        <v>133</v>
      </c>
      <c r="K2143" s="136" t="s">
        <v>133</v>
      </c>
      <c r="L2143" s="153"/>
      <c r="M2143" s="136" t="str">
        <f t="shared" si="1"/>
        <v/>
      </c>
      <c r="O2143" s="141" t="s">
        <v>133</v>
      </c>
      <c r="P2143" s="136" t="str">
        <f>IFERROR(__xludf.DUMMYFUNCTION("""COMPUTED_VALUE"""),"")</f>
        <v/>
      </c>
      <c r="Q2143" s="136" t="str">
        <f>IFERROR(__xludf.DUMMYFUNCTION("""COMPUTED_VALUE"""),"")</f>
        <v/>
      </c>
      <c r="R2143" s="106" t="str">
        <f>IFERROR(__xludf.DUMMYFUNCTION("""COMPUTED_VALUE"""),"")</f>
        <v/>
      </c>
      <c r="S2143" s="106" t="str">
        <f>IFERROR(__xludf.DUMMYFUNCTION("""COMPUTED_VALUE"""),"")</f>
        <v/>
      </c>
      <c r="T2143" s="139" t="str">
        <f>IFERROR(__xludf.DUMMYFUNCTION("""COMPUTED_VALUE"""),"")</f>
        <v/>
      </c>
      <c r="U2143" s="139" t="str">
        <f>IFERROR(__xludf.DUMMYFUNCTION("""COMPUTED_VALUE"""),"")</f>
        <v/>
      </c>
      <c r="V2143" s="136" t="str">
        <f>IFERROR(__xludf.DUMMYFUNCTION("""COMPUTED_VALUE"""),"")</f>
        <v/>
      </c>
      <c r="W2143" s="106" t="str">
        <f>IFERROR(__xludf.DUMMYFUNCTION("""COMPUTED_VALUE"""),"")</f>
        <v/>
      </c>
      <c r="X2143" s="143" t="str">
        <f t="shared" si="2"/>
        <v/>
      </c>
      <c r="Y2143" s="139" t="str">
        <f>IFERROR(__xludf.DUMMYFUNCTION("""COMPUTED_VALUE"""),"")</f>
        <v/>
      </c>
      <c r="Z2143" s="141" t="str">
        <f>IFERROR(__xludf.DUMMYFUNCTION("""COMPUTED_VALUE"""),"")</f>
        <v/>
      </c>
    </row>
    <row r="2144">
      <c r="D2144" s="136" t="str">
        <f t="shared" si="3"/>
        <v/>
      </c>
      <c r="E2144" s="152"/>
      <c r="F2144" s="106" t="s">
        <v>133</v>
      </c>
      <c r="G2144" s="152"/>
      <c r="H2144" s="106" t="s">
        <v>133</v>
      </c>
      <c r="J2144" s="139" t="s">
        <v>133</v>
      </c>
      <c r="K2144" s="136" t="s">
        <v>133</v>
      </c>
      <c r="L2144" s="153"/>
      <c r="M2144" s="136" t="str">
        <f t="shared" si="1"/>
        <v/>
      </c>
      <c r="O2144" s="141" t="s">
        <v>133</v>
      </c>
      <c r="P2144" s="136" t="str">
        <f>IFERROR(__xludf.DUMMYFUNCTION("""COMPUTED_VALUE"""),"")</f>
        <v/>
      </c>
      <c r="Q2144" s="136" t="str">
        <f>IFERROR(__xludf.DUMMYFUNCTION("""COMPUTED_VALUE"""),"")</f>
        <v/>
      </c>
      <c r="R2144" s="106" t="str">
        <f>IFERROR(__xludf.DUMMYFUNCTION("""COMPUTED_VALUE"""),"")</f>
        <v/>
      </c>
      <c r="S2144" s="106" t="str">
        <f>IFERROR(__xludf.DUMMYFUNCTION("""COMPUTED_VALUE"""),"")</f>
        <v/>
      </c>
      <c r="T2144" s="139" t="str">
        <f>IFERROR(__xludf.DUMMYFUNCTION("""COMPUTED_VALUE"""),"")</f>
        <v/>
      </c>
      <c r="U2144" s="139" t="str">
        <f>IFERROR(__xludf.DUMMYFUNCTION("""COMPUTED_VALUE"""),"")</f>
        <v/>
      </c>
      <c r="V2144" s="136" t="str">
        <f>IFERROR(__xludf.DUMMYFUNCTION("""COMPUTED_VALUE"""),"")</f>
        <v/>
      </c>
      <c r="W2144" s="106" t="str">
        <f>IFERROR(__xludf.DUMMYFUNCTION("""COMPUTED_VALUE"""),"")</f>
        <v/>
      </c>
      <c r="X2144" s="143" t="str">
        <f t="shared" si="2"/>
        <v/>
      </c>
      <c r="Y2144" s="139" t="str">
        <f>IFERROR(__xludf.DUMMYFUNCTION("""COMPUTED_VALUE"""),"")</f>
        <v/>
      </c>
      <c r="Z2144" s="141" t="str">
        <f>IFERROR(__xludf.DUMMYFUNCTION("""COMPUTED_VALUE"""),"")</f>
        <v/>
      </c>
    </row>
    <row r="2145">
      <c r="D2145" s="136" t="str">
        <f t="shared" si="3"/>
        <v/>
      </c>
      <c r="E2145" s="152"/>
      <c r="F2145" s="106" t="s">
        <v>133</v>
      </c>
      <c r="G2145" s="152"/>
      <c r="H2145" s="106" t="s">
        <v>133</v>
      </c>
      <c r="J2145" s="139" t="s">
        <v>133</v>
      </c>
      <c r="K2145" s="136" t="s">
        <v>133</v>
      </c>
      <c r="L2145" s="153"/>
      <c r="M2145" s="136" t="str">
        <f t="shared" si="1"/>
        <v/>
      </c>
      <c r="O2145" s="141" t="s">
        <v>133</v>
      </c>
      <c r="P2145" s="136" t="str">
        <f>IFERROR(__xludf.DUMMYFUNCTION("""COMPUTED_VALUE"""),"")</f>
        <v/>
      </c>
      <c r="Q2145" s="136" t="str">
        <f>IFERROR(__xludf.DUMMYFUNCTION("""COMPUTED_VALUE"""),"")</f>
        <v/>
      </c>
      <c r="R2145" s="106" t="str">
        <f>IFERROR(__xludf.DUMMYFUNCTION("""COMPUTED_VALUE"""),"")</f>
        <v/>
      </c>
      <c r="S2145" s="106" t="str">
        <f>IFERROR(__xludf.DUMMYFUNCTION("""COMPUTED_VALUE"""),"")</f>
        <v/>
      </c>
      <c r="T2145" s="139" t="str">
        <f>IFERROR(__xludf.DUMMYFUNCTION("""COMPUTED_VALUE"""),"")</f>
        <v/>
      </c>
      <c r="U2145" s="139" t="str">
        <f>IFERROR(__xludf.DUMMYFUNCTION("""COMPUTED_VALUE"""),"")</f>
        <v/>
      </c>
      <c r="V2145" s="136" t="str">
        <f>IFERROR(__xludf.DUMMYFUNCTION("""COMPUTED_VALUE"""),"")</f>
        <v/>
      </c>
      <c r="W2145" s="106" t="str">
        <f>IFERROR(__xludf.DUMMYFUNCTION("""COMPUTED_VALUE"""),"")</f>
        <v/>
      </c>
      <c r="X2145" s="143" t="str">
        <f t="shared" si="2"/>
        <v/>
      </c>
      <c r="Y2145" s="139" t="str">
        <f>IFERROR(__xludf.DUMMYFUNCTION("""COMPUTED_VALUE"""),"")</f>
        <v/>
      </c>
      <c r="Z2145" s="141" t="str">
        <f>IFERROR(__xludf.DUMMYFUNCTION("""COMPUTED_VALUE"""),"")</f>
        <v/>
      </c>
    </row>
    <row r="2146">
      <c r="D2146" s="136" t="str">
        <f t="shared" si="3"/>
        <v/>
      </c>
      <c r="E2146" s="152"/>
      <c r="F2146" s="106" t="s">
        <v>133</v>
      </c>
      <c r="G2146" s="152"/>
      <c r="H2146" s="106" t="s">
        <v>133</v>
      </c>
      <c r="J2146" s="139" t="s">
        <v>133</v>
      </c>
      <c r="K2146" s="136" t="s">
        <v>133</v>
      </c>
      <c r="L2146" s="153"/>
      <c r="M2146" s="136" t="str">
        <f t="shared" si="1"/>
        <v/>
      </c>
      <c r="O2146" s="141" t="s">
        <v>133</v>
      </c>
      <c r="P2146" s="136" t="str">
        <f>IFERROR(__xludf.DUMMYFUNCTION("""COMPUTED_VALUE"""),"")</f>
        <v/>
      </c>
      <c r="Q2146" s="136" t="str">
        <f>IFERROR(__xludf.DUMMYFUNCTION("""COMPUTED_VALUE"""),"")</f>
        <v/>
      </c>
      <c r="R2146" s="106" t="str">
        <f>IFERROR(__xludf.DUMMYFUNCTION("""COMPUTED_VALUE"""),"")</f>
        <v/>
      </c>
      <c r="S2146" s="106" t="str">
        <f>IFERROR(__xludf.DUMMYFUNCTION("""COMPUTED_VALUE"""),"")</f>
        <v/>
      </c>
      <c r="T2146" s="139" t="str">
        <f>IFERROR(__xludf.DUMMYFUNCTION("""COMPUTED_VALUE"""),"")</f>
        <v/>
      </c>
      <c r="U2146" s="139" t="str">
        <f>IFERROR(__xludf.DUMMYFUNCTION("""COMPUTED_VALUE"""),"")</f>
        <v/>
      </c>
      <c r="V2146" s="136" t="str">
        <f>IFERROR(__xludf.DUMMYFUNCTION("""COMPUTED_VALUE"""),"")</f>
        <v/>
      </c>
      <c r="W2146" s="106" t="str">
        <f>IFERROR(__xludf.DUMMYFUNCTION("""COMPUTED_VALUE"""),"")</f>
        <v/>
      </c>
      <c r="X2146" s="143" t="str">
        <f t="shared" si="2"/>
        <v/>
      </c>
      <c r="Y2146" s="139" t="str">
        <f>IFERROR(__xludf.DUMMYFUNCTION("""COMPUTED_VALUE"""),"")</f>
        <v/>
      </c>
      <c r="Z2146" s="141" t="str">
        <f>IFERROR(__xludf.DUMMYFUNCTION("""COMPUTED_VALUE"""),"")</f>
        <v/>
      </c>
    </row>
    <row r="2147">
      <c r="D2147" s="136" t="str">
        <f t="shared" si="3"/>
        <v/>
      </c>
      <c r="E2147" s="152"/>
      <c r="F2147" s="106" t="s">
        <v>133</v>
      </c>
      <c r="G2147" s="152"/>
      <c r="H2147" s="106" t="s">
        <v>133</v>
      </c>
      <c r="J2147" s="139" t="s">
        <v>133</v>
      </c>
      <c r="K2147" s="136" t="s">
        <v>133</v>
      </c>
      <c r="L2147" s="153"/>
      <c r="M2147" s="136" t="str">
        <f t="shared" si="1"/>
        <v/>
      </c>
      <c r="O2147" s="141" t="s">
        <v>133</v>
      </c>
      <c r="P2147" s="136" t="str">
        <f>IFERROR(__xludf.DUMMYFUNCTION("""COMPUTED_VALUE"""),"")</f>
        <v/>
      </c>
      <c r="Q2147" s="136" t="str">
        <f>IFERROR(__xludf.DUMMYFUNCTION("""COMPUTED_VALUE"""),"")</f>
        <v/>
      </c>
      <c r="R2147" s="106" t="str">
        <f>IFERROR(__xludf.DUMMYFUNCTION("""COMPUTED_VALUE"""),"")</f>
        <v/>
      </c>
      <c r="S2147" s="106" t="str">
        <f>IFERROR(__xludf.DUMMYFUNCTION("""COMPUTED_VALUE"""),"")</f>
        <v/>
      </c>
      <c r="T2147" s="139" t="str">
        <f>IFERROR(__xludf.DUMMYFUNCTION("""COMPUTED_VALUE"""),"")</f>
        <v/>
      </c>
      <c r="U2147" s="139" t="str">
        <f>IFERROR(__xludf.DUMMYFUNCTION("""COMPUTED_VALUE"""),"")</f>
        <v/>
      </c>
      <c r="V2147" s="136" t="str">
        <f>IFERROR(__xludf.DUMMYFUNCTION("""COMPUTED_VALUE"""),"")</f>
        <v/>
      </c>
      <c r="W2147" s="106" t="str">
        <f>IFERROR(__xludf.DUMMYFUNCTION("""COMPUTED_VALUE"""),"")</f>
        <v/>
      </c>
      <c r="X2147" s="143" t="str">
        <f t="shared" si="2"/>
        <v/>
      </c>
      <c r="Y2147" s="139" t="str">
        <f>IFERROR(__xludf.DUMMYFUNCTION("""COMPUTED_VALUE"""),"")</f>
        <v/>
      </c>
      <c r="Z2147" s="141" t="str">
        <f>IFERROR(__xludf.DUMMYFUNCTION("""COMPUTED_VALUE"""),"")</f>
        <v/>
      </c>
    </row>
    <row r="2148">
      <c r="D2148" s="136" t="str">
        <f t="shared" si="3"/>
        <v/>
      </c>
      <c r="E2148" s="152"/>
      <c r="F2148" s="106" t="s">
        <v>133</v>
      </c>
      <c r="G2148" s="152"/>
      <c r="H2148" s="106" t="s">
        <v>133</v>
      </c>
      <c r="J2148" s="139" t="s">
        <v>133</v>
      </c>
      <c r="K2148" s="136" t="s">
        <v>133</v>
      </c>
      <c r="L2148" s="153"/>
      <c r="M2148" s="136" t="str">
        <f t="shared" si="1"/>
        <v/>
      </c>
      <c r="O2148" s="141" t="s">
        <v>133</v>
      </c>
      <c r="P2148" s="136" t="str">
        <f>IFERROR(__xludf.DUMMYFUNCTION("""COMPUTED_VALUE"""),"")</f>
        <v/>
      </c>
      <c r="Q2148" s="136" t="str">
        <f>IFERROR(__xludf.DUMMYFUNCTION("""COMPUTED_VALUE"""),"")</f>
        <v/>
      </c>
      <c r="R2148" s="106" t="str">
        <f>IFERROR(__xludf.DUMMYFUNCTION("""COMPUTED_VALUE"""),"")</f>
        <v/>
      </c>
      <c r="S2148" s="106" t="str">
        <f>IFERROR(__xludf.DUMMYFUNCTION("""COMPUTED_VALUE"""),"")</f>
        <v/>
      </c>
      <c r="T2148" s="139" t="str">
        <f>IFERROR(__xludf.DUMMYFUNCTION("""COMPUTED_VALUE"""),"")</f>
        <v/>
      </c>
      <c r="U2148" s="139" t="str">
        <f>IFERROR(__xludf.DUMMYFUNCTION("""COMPUTED_VALUE"""),"")</f>
        <v/>
      </c>
      <c r="V2148" s="136" t="str">
        <f>IFERROR(__xludf.DUMMYFUNCTION("""COMPUTED_VALUE"""),"")</f>
        <v/>
      </c>
      <c r="W2148" s="106" t="str">
        <f>IFERROR(__xludf.DUMMYFUNCTION("""COMPUTED_VALUE"""),"")</f>
        <v/>
      </c>
      <c r="X2148" s="143" t="str">
        <f t="shared" si="2"/>
        <v/>
      </c>
      <c r="Y2148" s="139" t="str">
        <f>IFERROR(__xludf.DUMMYFUNCTION("""COMPUTED_VALUE"""),"")</f>
        <v/>
      </c>
      <c r="Z2148" s="141" t="str">
        <f>IFERROR(__xludf.DUMMYFUNCTION("""COMPUTED_VALUE"""),"")</f>
        <v/>
      </c>
    </row>
    <row r="2149">
      <c r="D2149" s="136" t="str">
        <f t="shared" si="3"/>
        <v/>
      </c>
      <c r="E2149" s="152"/>
      <c r="F2149" s="106" t="s">
        <v>133</v>
      </c>
      <c r="G2149" s="152"/>
      <c r="H2149" s="106" t="s">
        <v>133</v>
      </c>
      <c r="J2149" s="139" t="s">
        <v>133</v>
      </c>
      <c r="K2149" s="136" t="s">
        <v>133</v>
      </c>
      <c r="L2149" s="153"/>
      <c r="M2149" s="136" t="str">
        <f t="shared" si="1"/>
        <v/>
      </c>
      <c r="O2149" s="141" t="s">
        <v>133</v>
      </c>
      <c r="P2149" s="136" t="str">
        <f>IFERROR(__xludf.DUMMYFUNCTION("""COMPUTED_VALUE"""),"")</f>
        <v/>
      </c>
      <c r="Q2149" s="136" t="str">
        <f>IFERROR(__xludf.DUMMYFUNCTION("""COMPUTED_VALUE"""),"")</f>
        <v/>
      </c>
      <c r="R2149" s="106" t="str">
        <f>IFERROR(__xludf.DUMMYFUNCTION("""COMPUTED_VALUE"""),"")</f>
        <v/>
      </c>
      <c r="S2149" s="106" t="str">
        <f>IFERROR(__xludf.DUMMYFUNCTION("""COMPUTED_VALUE"""),"")</f>
        <v/>
      </c>
      <c r="T2149" s="139" t="str">
        <f>IFERROR(__xludf.DUMMYFUNCTION("""COMPUTED_VALUE"""),"")</f>
        <v/>
      </c>
      <c r="U2149" s="139" t="str">
        <f>IFERROR(__xludf.DUMMYFUNCTION("""COMPUTED_VALUE"""),"")</f>
        <v/>
      </c>
      <c r="V2149" s="136" t="str">
        <f>IFERROR(__xludf.DUMMYFUNCTION("""COMPUTED_VALUE"""),"")</f>
        <v/>
      </c>
      <c r="W2149" s="106" t="str">
        <f>IFERROR(__xludf.DUMMYFUNCTION("""COMPUTED_VALUE"""),"")</f>
        <v/>
      </c>
      <c r="X2149" s="143" t="str">
        <f t="shared" si="2"/>
        <v/>
      </c>
      <c r="Y2149" s="139" t="str">
        <f>IFERROR(__xludf.DUMMYFUNCTION("""COMPUTED_VALUE"""),"")</f>
        <v/>
      </c>
      <c r="Z2149" s="141" t="str">
        <f>IFERROR(__xludf.DUMMYFUNCTION("""COMPUTED_VALUE"""),"")</f>
        <v/>
      </c>
    </row>
    <row r="2150">
      <c r="D2150" s="136" t="str">
        <f t="shared" si="3"/>
        <v/>
      </c>
      <c r="E2150" s="152"/>
      <c r="F2150" s="106" t="s">
        <v>133</v>
      </c>
      <c r="G2150" s="152"/>
      <c r="H2150" s="106" t="s">
        <v>133</v>
      </c>
      <c r="J2150" s="139" t="s">
        <v>133</v>
      </c>
      <c r="K2150" s="136" t="s">
        <v>133</v>
      </c>
      <c r="L2150" s="153"/>
      <c r="M2150" s="136" t="str">
        <f t="shared" si="1"/>
        <v/>
      </c>
      <c r="O2150" s="141" t="s">
        <v>133</v>
      </c>
      <c r="P2150" s="136" t="str">
        <f>IFERROR(__xludf.DUMMYFUNCTION("""COMPUTED_VALUE"""),"")</f>
        <v/>
      </c>
      <c r="Q2150" s="136" t="str">
        <f>IFERROR(__xludf.DUMMYFUNCTION("""COMPUTED_VALUE"""),"")</f>
        <v/>
      </c>
      <c r="R2150" s="106" t="str">
        <f>IFERROR(__xludf.DUMMYFUNCTION("""COMPUTED_VALUE"""),"")</f>
        <v/>
      </c>
      <c r="S2150" s="106" t="str">
        <f>IFERROR(__xludf.DUMMYFUNCTION("""COMPUTED_VALUE"""),"")</f>
        <v/>
      </c>
      <c r="T2150" s="139" t="str">
        <f>IFERROR(__xludf.DUMMYFUNCTION("""COMPUTED_VALUE"""),"")</f>
        <v/>
      </c>
      <c r="U2150" s="139" t="str">
        <f>IFERROR(__xludf.DUMMYFUNCTION("""COMPUTED_VALUE"""),"")</f>
        <v/>
      </c>
      <c r="V2150" s="136" t="str">
        <f>IFERROR(__xludf.DUMMYFUNCTION("""COMPUTED_VALUE"""),"")</f>
        <v/>
      </c>
      <c r="W2150" s="106" t="str">
        <f>IFERROR(__xludf.DUMMYFUNCTION("""COMPUTED_VALUE"""),"")</f>
        <v/>
      </c>
      <c r="X2150" s="143" t="str">
        <f t="shared" si="2"/>
        <v/>
      </c>
      <c r="Y2150" s="139" t="str">
        <f>IFERROR(__xludf.DUMMYFUNCTION("""COMPUTED_VALUE"""),"")</f>
        <v/>
      </c>
      <c r="Z2150" s="141" t="str">
        <f>IFERROR(__xludf.DUMMYFUNCTION("""COMPUTED_VALUE"""),"")</f>
        <v/>
      </c>
    </row>
    <row r="2151">
      <c r="D2151" s="136" t="str">
        <f t="shared" si="3"/>
        <v/>
      </c>
      <c r="E2151" s="152"/>
      <c r="F2151" s="106" t="s">
        <v>133</v>
      </c>
      <c r="G2151" s="152"/>
      <c r="H2151" s="106" t="s">
        <v>133</v>
      </c>
      <c r="J2151" s="139" t="s">
        <v>133</v>
      </c>
      <c r="K2151" s="136" t="s">
        <v>133</v>
      </c>
      <c r="L2151" s="153"/>
      <c r="M2151" s="136" t="str">
        <f t="shared" si="1"/>
        <v/>
      </c>
      <c r="O2151" s="141" t="s">
        <v>133</v>
      </c>
      <c r="P2151" s="136" t="str">
        <f>IFERROR(__xludf.DUMMYFUNCTION("""COMPUTED_VALUE"""),"")</f>
        <v/>
      </c>
      <c r="Q2151" s="136" t="str">
        <f>IFERROR(__xludf.DUMMYFUNCTION("""COMPUTED_VALUE"""),"")</f>
        <v/>
      </c>
      <c r="R2151" s="106" t="str">
        <f>IFERROR(__xludf.DUMMYFUNCTION("""COMPUTED_VALUE"""),"")</f>
        <v/>
      </c>
      <c r="S2151" s="106" t="str">
        <f>IFERROR(__xludf.DUMMYFUNCTION("""COMPUTED_VALUE"""),"")</f>
        <v/>
      </c>
      <c r="T2151" s="139" t="str">
        <f>IFERROR(__xludf.DUMMYFUNCTION("""COMPUTED_VALUE"""),"")</f>
        <v/>
      </c>
      <c r="U2151" s="139" t="str">
        <f>IFERROR(__xludf.DUMMYFUNCTION("""COMPUTED_VALUE"""),"")</f>
        <v/>
      </c>
      <c r="V2151" s="136" t="str">
        <f>IFERROR(__xludf.DUMMYFUNCTION("""COMPUTED_VALUE"""),"")</f>
        <v/>
      </c>
      <c r="W2151" s="106" t="str">
        <f>IFERROR(__xludf.DUMMYFUNCTION("""COMPUTED_VALUE"""),"")</f>
        <v/>
      </c>
      <c r="X2151" s="143" t="str">
        <f t="shared" si="2"/>
        <v/>
      </c>
      <c r="Y2151" s="139" t="str">
        <f>IFERROR(__xludf.DUMMYFUNCTION("""COMPUTED_VALUE"""),"")</f>
        <v/>
      </c>
      <c r="Z2151" s="141" t="str">
        <f>IFERROR(__xludf.DUMMYFUNCTION("""COMPUTED_VALUE"""),"")</f>
        <v/>
      </c>
    </row>
    <row r="2152">
      <c r="D2152" s="136" t="str">
        <f t="shared" si="3"/>
        <v/>
      </c>
      <c r="E2152" s="152"/>
      <c r="F2152" s="106" t="s">
        <v>133</v>
      </c>
      <c r="G2152" s="152"/>
      <c r="H2152" s="106" t="s">
        <v>133</v>
      </c>
      <c r="J2152" s="139" t="s">
        <v>133</v>
      </c>
      <c r="K2152" s="136" t="s">
        <v>133</v>
      </c>
      <c r="L2152" s="153"/>
      <c r="M2152" s="136" t="str">
        <f t="shared" si="1"/>
        <v/>
      </c>
      <c r="O2152" s="141" t="s">
        <v>133</v>
      </c>
      <c r="P2152" s="136" t="str">
        <f>IFERROR(__xludf.DUMMYFUNCTION("""COMPUTED_VALUE"""),"")</f>
        <v/>
      </c>
      <c r="Q2152" s="136" t="str">
        <f>IFERROR(__xludf.DUMMYFUNCTION("""COMPUTED_VALUE"""),"")</f>
        <v/>
      </c>
      <c r="R2152" s="106" t="str">
        <f>IFERROR(__xludf.DUMMYFUNCTION("""COMPUTED_VALUE"""),"")</f>
        <v/>
      </c>
      <c r="S2152" s="106" t="str">
        <f>IFERROR(__xludf.DUMMYFUNCTION("""COMPUTED_VALUE"""),"")</f>
        <v/>
      </c>
      <c r="T2152" s="139" t="str">
        <f>IFERROR(__xludf.DUMMYFUNCTION("""COMPUTED_VALUE"""),"")</f>
        <v/>
      </c>
      <c r="U2152" s="139" t="str">
        <f>IFERROR(__xludf.DUMMYFUNCTION("""COMPUTED_VALUE"""),"")</f>
        <v/>
      </c>
      <c r="V2152" s="136" t="str">
        <f>IFERROR(__xludf.DUMMYFUNCTION("""COMPUTED_VALUE"""),"")</f>
        <v/>
      </c>
      <c r="W2152" s="106" t="str">
        <f>IFERROR(__xludf.DUMMYFUNCTION("""COMPUTED_VALUE"""),"")</f>
        <v/>
      </c>
      <c r="X2152" s="143" t="str">
        <f t="shared" si="2"/>
        <v/>
      </c>
      <c r="Y2152" s="139" t="str">
        <f>IFERROR(__xludf.DUMMYFUNCTION("""COMPUTED_VALUE"""),"")</f>
        <v/>
      </c>
      <c r="Z2152" s="141" t="str">
        <f>IFERROR(__xludf.DUMMYFUNCTION("""COMPUTED_VALUE"""),"")</f>
        <v/>
      </c>
    </row>
    <row r="2153">
      <c r="D2153" s="136" t="str">
        <f t="shared" si="3"/>
        <v/>
      </c>
      <c r="E2153" s="152"/>
      <c r="F2153" s="106" t="s">
        <v>133</v>
      </c>
      <c r="G2153" s="152"/>
      <c r="H2153" s="106" t="s">
        <v>133</v>
      </c>
      <c r="J2153" s="139" t="s">
        <v>133</v>
      </c>
      <c r="K2153" s="136" t="s">
        <v>133</v>
      </c>
      <c r="L2153" s="153"/>
      <c r="M2153" s="136" t="str">
        <f t="shared" si="1"/>
        <v/>
      </c>
      <c r="O2153" s="141" t="s">
        <v>133</v>
      </c>
      <c r="P2153" s="136" t="str">
        <f>IFERROR(__xludf.DUMMYFUNCTION("""COMPUTED_VALUE"""),"")</f>
        <v/>
      </c>
      <c r="Q2153" s="136" t="str">
        <f>IFERROR(__xludf.DUMMYFUNCTION("""COMPUTED_VALUE"""),"")</f>
        <v/>
      </c>
      <c r="R2153" s="106" t="str">
        <f>IFERROR(__xludf.DUMMYFUNCTION("""COMPUTED_VALUE"""),"")</f>
        <v/>
      </c>
      <c r="S2153" s="106" t="str">
        <f>IFERROR(__xludf.DUMMYFUNCTION("""COMPUTED_VALUE"""),"")</f>
        <v/>
      </c>
      <c r="T2153" s="139" t="str">
        <f>IFERROR(__xludf.DUMMYFUNCTION("""COMPUTED_VALUE"""),"")</f>
        <v/>
      </c>
      <c r="U2153" s="139" t="str">
        <f>IFERROR(__xludf.DUMMYFUNCTION("""COMPUTED_VALUE"""),"")</f>
        <v/>
      </c>
      <c r="V2153" s="136" t="str">
        <f>IFERROR(__xludf.DUMMYFUNCTION("""COMPUTED_VALUE"""),"")</f>
        <v/>
      </c>
      <c r="W2153" s="106" t="str">
        <f>IFERROR(__xludf.DUMMYFUNCTION("""COMPUTED_VALUE"""),"")</f>
        <v/>
      </c>
      <c r="X2153" s="143" t="str">
        <f t="shared" si="2"/>
        <v/>
      </c>
      <c r="Y2153" s="139" t="str">
        <f>IFERROR(__xludf.DUMMYFUNCTION("""COMPUTED_VALUE"""),"")</f>
        <v/>
      </c>
      <c r="Z2153" s="141" t="str">
        <f>IFERROR(__xludf.DUMMYFUNCTION("""COMPUTED_VALUE"""),"")</f>
        <v/>
      </c>
    </row>
    <row r="2154">
      <c r="D2154" s="136" t="str">
        <f t="shared" si="3"/>
        <v/>
      </c>
      <c r="E2154" s="152"/>
      <c r="F2154" s="106" t="s">
        <v>133</v>
      </c>
      <c r="G2154" s="152"/>
      <c r="H2154" s="106" t="s">
        <v>133</v>
      </c>
      <c r="J2154" s="139" t="s">
        <v>133</v>
      </c>
      <c r="K2154" s="136" t="s">
        <v>133</v>
      </c>
      <c r="L2154" s="153"/>
      <c r="M2154" s="136" t="str">
        <f t="shared" si="1"/>
        <v/>
      </c>
      <c r="O2154" s="141" t="s">
        <v>133</v>
      </c>
      <c r="P2154" s="136" t="str">
        <f>IFERROR(__xludf.DUMMYFUNCTION("""COMPUTED_VALUE"""),"")</f>
        <v/>
      </c>
      <c r="Q2154" s="136" t="str">
        <f>IFERROR(__xludf.DUMMYFUNCTION("""COMPUTED_VALUE"""),"")</f>
        <v/>
      </c>
      <c r="R2154" s="106" t="str">
        <f>IFERROR(__xludf.DUMMYFUNCTION("""COMPUTED_VALUE"""),"")</f>
        <v/>
      </c>
      <c r="S2154" s="106" t="str">
        <f>IFERROR(__xludf.DUMMYFUNCTION("""COMPUTED_VALUE"""),"")</f>
        <v/>
      </c>
      <c r="T2154" s="139" t="str">
        <f>IFERROR(__xludf.DUMMYFUNCTION("""COMPUTED_VALUE"""),"")</f>
        <v/>
      </c>
      <c r="U2154" s="139" t="str">
        <f>IFERROR(__xludf.DUMMYFUNCTION("""COMPUTED_VALUE"""),"")</f>
        <v/>
      </c>
      <c r="V2154" s="136" t="str">
        <f>IFERROR(__xludf.DUMMYFUNCTION("""COMPUTED_VALUE"""),"")</f>
        <v/>
      </c>
      <c r="W2154" s="106" t="str">
        <f>IFERROR(__xludf.DUMMYFUNCTION("""COMPUTED_VALUE"""),"")</f>
        <v/>
      </c>
      <c r="X2154" s="143" t="str">
        <f t="shared" si="2"/>
        <v/>
      </c>
      <c r="Y2154" s="139" t="str">
        <f>IFERROR(__xludf.DUMMYFUNCTION("""COMPUTED_VALUE"""),"")</f>
        <v/>
      </c>
      <c r="Z2154" s="141" t="str">
        <f>IFERROR(__xludf.DUMMYFUNCTION("""COMPUTED_VALUE"""),"")</f>
        <v/>
      </c>
    </row>
    <row r="2155">
      <c r="D2155" s="136" t="str">
        <f t="shared" si="3"/>
        <v/>
      </c>
      <c r="E2155" s="152"/>
      <c r="F2155" s="106" t="s">
        <v>133</v>
      </c>
      <c r="G2155" s="152"/>
      <c r="H2155" s="106" t="s">
        <v>133</v>
      </c>
      <c r="J2155" s="139" t="s">
        <v>133</v>
      </c>
      <c r="K2155" s="136" t="s">
        <v>133</v>
      </c>
      <c r="L2155" s="153"/>
      <c r="M2155" s="136" t="str">
        <f t="shared" si="1"/>
        <v/>
      </c>
      <c r="O2155" s="141" t="s">
        <v>133</v>
      </c>
      <c r="P2155" s="136" t="str">
        <f>IFERROR(__xludf.DUMMYFUNCTION("""COMPUTED_VALUE"""),"")</f>
        <v/>
      </c>
      <c r="Q2155" s="136" t="str">
        <f>IFERROR(__xludf.DUMMYFUNCTION("""COMPUTED_VALUE"""),"")</f>
        <v/>
      </c>
      <c r="R2155" s="106" t="str">
        <f>IFERROR(__xludf.DUMMYFUNCTION("""COMPUTED_VALUE"""),"")</f>
        <v/>
      </c>
      <c r="S2155" s="106" t="str">
        <f>IFERROR(__xludf.DUMMYFUNCTION("""COMPUTED_VALUE"""),"")</f>
        <v/>
      </c>
      <c r="T2155" s="139" t="str">
        <f>IFERROR(__xludf.DUMMYFUNCTION("""COMPUTED_VALUE"""),"")</f>
        <v/>
      </c>
      <c r="U2155" s="139" t="str">
        <f>IFERROR(__xludf.DUMMYFUNCTION("""COMPUTED_VALUE"""),"")</f>
        <v/>
      </c>
      <c r="V2155" s="136" t="str">
        <f>IFERROR(__xludf.DUMMYFUNCTION("""COMPUTED_VALUE"""),"")</f>
        <v/>
      </c>
      <c r="W2155" s="106" t="str">
        <f>IFERROR(__xludf.DUMMYFUNCTION("""COMPUTED_VALUE"""),"")</f>
        <v/>
      </c>
      <c r="X2155" s="143" t="str">
        <f t="shared" si="2"/>
        <v/>
      </c>
      <c r="Y2155" s="139" t="str">
        <f>IFERROR(__xludf.DUMMYFUNCTION("""COMPUTED_VALUE"""),"")</f>
        <v/>
      </c>
      <c r="Z2155" s="141" t="str">
        <f>IFERROR(__xludf.DUMMYFUNCTION("""COMPUTED_VALUE"""),"")</f>
        <v/>
      </c>
    </row>
    <row r="2156">
      <c r="D2156" s="136" t="str">
        <f t="shared" si="3"/>
        <v/>
      </c>
      <c r="E2156" s="152"/>
      <c r="F2156" s="106" t="s">
        <v>133</v>
      </c>
      <c r="G2156" s="152"/>
      <c r="H2156" s="106" t="s">
        <v>133</v>
      </c>
      <c r="J2156" s="139" t="s">
        <v>133</v>
      </c>
      <c r="K2156" s="136" t="s">
        <v>133</v>
      </c>
      <c r="L2156" s="153"/>
      <c r="M2156" s="136" t="str">
        <f t="shared" si="1"/>
        <v/>
      </c>
      <c r="O2156" s="141" t="s">
        <v>133</v>
      </c>
      <c r="P2156" s="136" t="str">
        <f>IFERROR(__xludf.DUMMYFUNCTION("""COMPUTED_VALUE"""),"")</f>
        <v/>
      </c>
      <c r="Q2156" s="136" t="str">
        <f>IFERROR(__xludf.DUMMYFUNCTION("""COMPUTED_VALUE"""),"")</f>
        <v/>
      </c>
      <c r="R2156" s="106" t="str">
        <f>IFERROR(__xludf.DUMMYFUNCTION("""COMPUTED_VALUE"""),"")</f>
        <v/>
      </c>
      <c r="S2156" s="106" t="str">
        <f>IFERROR(__xludf.DUMMYFUNCTION("""COMPUTED_VALUE"""),"")</f>
        <v/>
      </c>
      <c r="T2156" s="139" t="str">
        <f>IFERROR(__xludf.DUMMYFUNCTION("""COMPUTED_VALUE"""),"")</f>
        <v/>
      </c>
      <c r="U2156" s="139" t="str">
        <f>IFERROR(__xludf.DUMMYFUNCTION("""COMPUTED_VALUE"""),"")</f>
        <v/>
      </c>
      <c r="V2156" s="136" t="str">
        <f>IFERROR(__xludf.DUMMYFUNCTION("""COMPUTED_VALUE"""),"")</f>
        <v/>
      </c>
      <c r="W2156" s="106" t="str">
        <f>IFERROR(__xludf.DUMMYFUNCTION("""COMPUTED_VALUE"""),"")</f>
        <v/>
      </c>
      <c r="X2156" s="143" t="str">
        <f t="shared" si="2"/>
        <v/>
      </c>
      <c r="Y2156" s="139" t="str">
        <f>IFERROR(__xludf.DUMMYFUNCTION("""COMPUTED_VALUE"""),"")</f>
        <v/>
      </c>
      <c r="Z2156" s="141" t="str">
        <f>IFERROR(__xludf.DUMMYFUNCTION("""COMPUTED_VALUE"""),"")</f>
        <v/>
      </c>
    </row>
    <row r="2157">
      <c r="D2157" s="136" t="str">
        <f t="shared" si="3"/>
        <v/>
      </c>
      <c r="E2157" s="152"/>
      <c r="F2157" s="106" t="s">
        <v>133</v>
      </c>
      <c r="G2157" s="152"/>
      <c r="H2157" s="106" t="s">
        <v>133</v>
      </c>
      <c r="J2157" s="139" t="s">
        <v>133</v>
      </c>
      <c r="K2157" s="136" t="s">
        <v>133</v>
      </c>
      <c r="L2157" s="153"/>
      <c r="M2157" s="136" t="str">
        <f t="shared" si="1"/>
        <v/>
      </c>
      <c r="O2157" s="141" t="s">
        <v>133</v>
      </c>
      <c r="P2157" s="136" t="str">
        <f>IFERROR(__xludf.DUMMYFUNCTION("""COMPUTED_VALUE"""),"")</f>
        <v/>
      </c>
      <c r="Q2157" s="136" t="str">
        <f>IFERROR(__xludf.DUMMYFUNCTION("""COMPUTED_VALUE"""),"")</f>
        <v/>
      </c>
      <c r="R2157" s="106" t="str">
        <f>IFERROR(__xludf.DUMMYFUNCTION("""COMPUTED_VALUE"""),"")</f>
        <v/>
      </c>
      <c r="S2157" s="106" t="str">
        <f>IFERROR(__xludf.DUMMYFUNCTION("""COMPUTED_VALUE"""),"")</f>
        <v/>
      </c>
      <c r="T2157" s="139" t="str">
        <f>IFERROR(__xludf.DUMMYFUNCTION("""COMPUTED_VALUE"""),"")</f>
        <v/>
      </c>
      <c r="U2157" s="139" t="str">
        <f>IFERROR(__xludf.DUMMYFUNCTION("""COMPUTED_VALUE"""),"")</f>
        <v/>
      </c>
      <c r="V2157" s="136" t="str">
        <f>IFERROR(__xludf.DUMMYFUNCTION("""COMPUTED_VALUE"""),"")</f>
        <v/>
      </c>
      <c r="W2157" s="106" t="str">
        <f>IFERROR(__xludf.DUMMYFUNCTION("""COMPUTED_VALUE"""),"")</f>
        <v/>
      </c>
      <c r="X2157" s="143" t="str">
        <f t="shared" si="2"/>
        <v/>
      </c>
      <c r="Y2157" s="139" t="str">
        <f>IFERROR(__xludf.DUMMYFUNCTION("""COMPUTED_VALUE"""),"")</f>
        <v/>
      </c>
      <c r="Z2157" s="141" t="str">
        <f>IFERROR(__xludf.DUMMYFUNCTION("""COMPUTED_VALUE"""),"")</f>
        <v/>
      </c>
    </row>
    <row r="2158">
      <c r="D2158" s="136" t="str">
        <f t="shared" si="3"/>
        <v/>
      </c>
      <c r="E2158" s="152"/>
      <c r="F2158" s="106" t="s">
        <v>133</v>
      </c>
      <c r="G2158" s="152"/>
      <c r="H2158" s="106" t="s">
        <v>133</v>
      </c>
      <c r="J2158" s="139" t="s">
        <v>133</v>
      </c>
      <c r="K2158" s="136" t="s">
        <v>133</v>
      </c>
      <c r="L2158" s="153"/>
      <c r="M2158" s="136" t="str">
        <f t="shared" si="1"/>
        <v/>
      </c>
      <c r="O2158" s="141" t="s">
        <v>133</v>
      </c>
      <c r="P2158" s="136" t="str">
        <f>IFERROR(__xludf.DUMMYFUNCTION("""COMPUTED_VALUE"""),"")</f>
        <v/>
      </c>
      <c r="Q2158" s="136" t="str">
        <f>IFERROR(__xludf.DUMMYFUNCTION("""COMPUTED_VALUE"""),"")</f>
        <v/>
      </c>
      <c r="R2158" s="106" t="str">
        <f>IFERROR(__xludf.DUMMYFUNCTION("""COMPUTED_VALUE"""),"")</f>
        <v/>
      </c>
      <c r="S2158" s="106" t="str">
        <f>IFERROR(__xludf.DUMMYFUNCTION("""COMPUTED_VALUE"""),"")</f>
        <v/>
      </c>
      <c r="T2158" s="139" t="str">
        <f>IFERROR(__xludf.DUMMYFUNCTION("""COMPUTED_VALUE"""),"")</f>
        <v/>
      </c>
      <c r="U2158" s="139" t="str">
        <f>IFERROR(__xludf.DUMMYFUNCTION("""COMPUTED_VALUE"""),"")</f>
        <v/>
      </c>
      <c r="V2158" s="136" t="str">
        <f>IFERROR(__xludf.DUMMYFUNCTION("""COMPUTED_VALUE"""),"")</f>
        <v/>
      </c>
      <c r="W2158" s="106" t="str">
        <f>IFERROR(__xludf.DUMMYFUNCTION("""COMPUTED_VALUE"""),"")</f>
        <v/>
      </c>
      <c r="X2158" s="143" t="str">
        <f t="shared" si="2"/>
        <v/>
      </c>
      <c r="Y2158" s="139" t="str">
        <f>IFERROR(__xludf.DUMMYFUNCTION("""COMPUTED_VALUE"""),"")</f>
        <v/>
      </c>
      <c r="Z2158" s="141" t="str">
        <f>IFERROR(__xludf.DUMMYFUNCTION("""COMPUTED_VALUE"""),"")</f>
        <v/>
      </c>
    </row>
    <row r="2159">
      <c r="D2159" s="136" t="str">
        <f t="shared" si="3"/>
        <v/>
      </c>
      <c r="E2159" s="152"/>
      <c r="F2159" s="106" t="s">
        <v>133</v>
      </c>
      <c r="G2159" s="152"/>
      <c r="H2159" s="106" t="s">
        <v>133</v>
      </c>
      <c r="J2159" s="139" t="s">
        <v>133</v>
      </c>
      <c r="K2159" s="136" t="s">
        <v>133</v>
      </c>
      <c r="L2159" s="153"/>
      <c r="M2159" s="136" t="str">
        <f t="shared" si="1"/>
        <v/>
      </c>
      <c r="O2159" s="141" t="s">
        <v>133</v>
      </c>
      <c r="P2159" s="136" t="str">
        <f>IFERROR(__xludf.DUMMYFUNCTION("""COMPUTED_VALUE"""),"")</f>
        <v/>
      </c>
      <c r="Q2159" s="136" t="str">
        <f>IFERROR(__xludf.DUMMYFUNCTION("""COMPUTED_VALUE"""),"")</f>
        <v/>
      </c>
      <c r="R2159" s="106" t="str">
        <f>IFERROR(__xludf.DUMMYFUNCTION("""COMPUTED_VALUE"""),"")</f>
        <v/>
      </c>
      <c r="S2159" s="106" t="str">
        <f>IFERROR(__xludf.DUMMYFUNCTION("""COMPUTED_VALUE"""),"")</f>
        <v/>
      </c>
      <c r="T2159" s="139" t="str">
        <f>IFERROR(__xludf.DUMMYFUNCTION("""COMPUTED_VALUE"""),"")</f>
        <v/>
      </c>
      <c r="U2159" s="139" t="str">
        <f>IFERROR(__xludf.DUMMYFUNCTION("""COMPUTED_VALUE"""),"")</f>
        <v/>
      </c>
      <c r="V2159" s="136" t="str">
        <f>IFERROR(__xludf.DUMMYFUNCTION("""COMPUTED_VALUE"""),"")</f>
        <v/>
      </c>
      <c r="W2159" s="106" t="str">
        <f>IFERROR(__xludf.DUMMYFUNCTION("""COMPUTED_VALUE"""),"")</f>
        <v/>
      </c>
      <c r="X2159" s="143" t="str">
        <f t="shared" si="2"/>
        <v/>
      </c>
      <c r="Y2159" s="139" t="str">
        <f>IFERROR(__xludf.DUMMYFUNCTION("""COMPUTED_VALUE"""),"")</f>
        <v/>
      </c>
      <c r="Z2159" s="141" t="str">
        <f>IFERROR(__xludf.DUMMYFUNCTION("""COMPUTED_VALUE"""),"")</f>
        <v/>
      </c>
    </row>
    <row r="2160">
      <c r="D2160" s="136" t="str">
        <f t="shared" si="3"/>
        <v/>
      </c>
      <c r="E2160" s="152"/>
      <c r="F2160" s="106" t="s">
        <v>133</v>
      </c>
      <c r="G2160" s="152"/>
      <c r="H2160" s="106" t="s">
        <v>133</v>
      </c>
      <c r="J2160" s="139" t="s">
        <v>133</v>
      </c>
      <c r="K2160" s="136" t="s">
        <v>133</v>
      </c>
      <c r="L2160" s="153"/>
      <c r="M2160" s="136" t="str">
        <f t="shared" si="1"/>
        <v/>
      </c>
      <c r="O2160" s="141" t="s">
        <v>133</v>
      </c>
      <c r="P2160" s="136" t="str">
        <f>IFERROR(__xludf.DUMMYFUNCTION("""COMPUTED_VALUE"""),"")</f>
        <v/>
      </c>
      <c r="Q2160" s="136" t="str">
        <f>IFERROR(__xludf.DUMMYFUNCTION("""COMPUTED_VALUE"""),"")</f>
        <v/>
      </c>
      <c r="R2160" s="106" t="str">
        <f>IFERROR(__xludf.DUMMYFUNCTION("""COMPUTED_VALUE"""),"")</f>
        <v/>
      </c>
      <c r="S2160" s="106" t="str">
        <f>IFERROR(__xludf.DUMMYFUNCTION("""COMPUTED_VALUE"""),"")</f>
        <v/>
      </c>
      <c r="T2160" s="139" t="str">
        <f>IFERROR(__xludf.DUMMYFUNCTION("""COMPUTED_VALUE"""),"")</f>
        <v/>
      </c>
      <c r="U2160" s="139" t="str">
        <f>IFERROR(__xludf.DUMMYFUNCTION("""COMPUTED_VALUE"""),"")</f>
        <v/>
      </c>
      <c r="V2160" s="136" t="str">
        <f>IFERROR(__xludf.DUMMYFUNCTION("""COMPUTED_VALUE"""),"")</f>
        <v/>
      </c>
      <c r="W2160" s="106" t="str">
        <f>IFERROR(__xludf.DUMMYFUNCTION("""COMPUTED_VALUE"""),"")</f>
        <v/>
      </c>
      <c r="X2160" s="143" t="str">
        <f t="shared" si="2"/>
        <v/>
      </c>
      <c r="Y2160" s="139" t="str">
        <f>IFERROR(__xludf.DUMMYFUNCTION("""COMPUTED_VALUE"""),"")</f>
        <v/>
      </c>
      <c r="Z2160" s="141" t="str">
        <f>IFERROR(__xludf.DUMMYFUNCTION("""COMPUTED_VALUE"""),"")</f>
        <v/>
      </c>
    </row>
    <row r="2161">
      <c r="D2161" s="136" t="str">
        <f t="shared" si="3"/>
        <v/>
      </c>
      <c r="E2161" s="152"/>
      <c r="F2161" s="106" t="s">
        <v>133</v>
      </c>
      <c r="G2161" s="152"/>
      <c r="H2161" s="106" t="s">
        <v>133</v>
      </c>
      <c r="J2161" s="139" t="s">
        <v>133</v>
      </c>
      <c r="K2161" s="136" t="s">
        <v>133</v>
      </c>
      <c r="L2161" s="153"/>
      <c r="M2161" s="136" t="str">
        <f t="shared" si="1"/>
        <v/>
      </c>
      <c r="O2161" s="141" t="s">
        <v>133</v>
      </c>
      <c r="P2161" s="136" t="str">
        <f>IFERROR(__xludf.DUMMYFUNCTION("""COMPUTED_VALUE"""),"")</f>
        <v/>
      </c>
      <c r="Q2161" s="136" t="str">
        <f>IFERROR(__xludf.DUMMYFUNCTION("""COMPUTED_VALUE"""),"")</f>
        <v/>
      </c>
      <c r="R2161" s="106" t="str">
        <f>IFERROR(__xludf.DUMMYFUNCTION("""COMPUTED_VALUE"""),"")</f>
        <v/>
      </c>
      <c r="S2161" s="106" t="str">
        <f>IFERROR(__xludf.DUMMYFUNCTION("""COMPUTED_VALUE"""),"")</f>
        <v/>
      </c>
      <c r="T2161" s="139" t="str">
        <f>IFERROR(__xludf.DUMMYFUNCTION("""COMPUTED_VALUE"""),"")</f>
        <v/>
      </c>
      <c r="U2161" s="139" t="str">
        <f>IFERROR(__xludf.DUMMYFUNCTION("""COMPUTED_VALUE"""),"")</f>
        <v/>
      </c>
      <c r="V2161" s="136" t="str">
        <f>IFERROR(__xludf.DUMMYFUNCTION("""COMPUTED_VALUE"""),"")</f>
        <v/>
      </c>
      <c r="W2161" s="106" t="str">
        <f>IFERROR(__xludf.DUMMYFUNCTION("""COMPUTED_VALUE"""),"")</f>
        <v/>
      </c>
      <c r="X2161" s="143" t="str">
        <f t="shared" si="2"/>
        <v/>
      </c>
      <c r="Y2161" s="139" t="str">
        <f>IFERROR(__xludf.DUMMYFUNCTION("""COMPUTED_VALUE"""),"")</f>
        <v/>
      </c>
      <c r="Z2161" s="141" t="str">
        <f>IFERROR(__xludf.DUMMYFUNCTION("""COMPUTED_VALUE"""),"")</f>
        <v/>
      </c>
    </row>
    <row r="2162">
      <c r="D2162" s="136" t="str">
        <f t="shared" si="3"/>
        <v/>
      </c>
      <c r="E2162" s="152"/>
      <c r="F2162" s="106" t="s">
        <v>133</v>
      </c>
      <c r="G2162" s="152"/>
      <c r="H2162" s="106" t="s">
        <v>133</v>
      </c>
      <c r="J2162" s="139" t="s">
        <v>133</v>
      </c>
      <c r="K2162" s="136" t="s">
        <v>133</v>
      </c>
      <c r="L2162" s="153"/>
      <c r="M2162" s="136" t="str">
        <f t="shared" si="1"/>
        <v/>
      </c>
      <c r="O2162" s="141" t="s">
        <v>133</v>
      </c>
      <c r="P2162" s="136" t="str">
        <f>IFERROR(__xludf.DUMMYFUNCTION("""COMPUTED_VALUE"""),"")</f>
        <v/>
      </c>
      <c r="Q2162" s="136" t="str">
        <f>IFERROR(__xludf.DUMMYFUNCTION("""COMPUTED_VALUE"""),"")</f>
        <v/>
      </c>
      <c r="R2162" s="106" t="str">
        <f>IFERROR(__xludf.DUMMYFUNCTION("""COMPUTED_VALUE"""),"")</f>
        <v/>
      </c>
      <c r="S2162" s="106" t="str">
        <f>IFERROR(__xludf.DUMMYFUNCTION("""COMPUTED_VALUE"""),"")</f>
        <v/>
      </c>
      <c r="T2162" s="139" t="str">
        <f>IFERROR(__xludf.DUMMYFUNCTION("""COMPUTED_VALUE"""),"")</f>
        <v/>
      </c>
      <c r="U2162" s="139" t="str">
        <f>IFERROR(__xludf.DUMMYFUNCTION("""COMPUTED_VALUE"""),"")</f>
        <v/>
      </c>
      <c r="V2162" s="136" t="str">
        <f>IFERROR(__xludf.DUMMYFUNCTION("""COMPUTED_VALUE"""),"")</f>
        <v/>
      </c>
      <c r="W2162" s="106" t="str">
        <f>IFERROR(__xludf.DUMMYFUNCTION("""COMPUTED_VALUE"""),"")</f>
        <v/>
      </c>
      <c r="X2162" s="143" t="str">
        <f t="shared" si="2"/>
        <v/>
      </c>
      <c r="Y2162" s="139" t="str">
        <f>IFERROR(__xludf.DUMMYFUNCTION("""COMPUTED_VALUE"""),"")</f>
        <v/>
      </c>
      <c r="Z2162" s="141" t="str">
        <f>IFERROR(__xludf.DUMMYFUNCTION("""COMPUTED_VALUE"""),"")</f>
        <v/>
      </c>
    </row>
    <row r="2163">
      <c r="D2163" s="136" t="str">
        <f t="shared" si="3"/>
        <v/>
      </c>
      <c r="E2163" s="152"/>
      <c r="F2163" s="106" t="s">
        <v>133</v>
      </c>
      <c r="G2163" s="152"/>
      <c r="H2163" s="106" t="s">
        <v>133</v>
      </c>
      <c r="J2163" s="139" t="s">
        <v>133</v>
      </c>
      <c r="K2163" s="136" t="s">
        <v>133</v>
      </c>
      <c r="L2163" s="153"/>
      <c r="M2163" s="136" t="str">
        <f t="shared" si="1"/>
        <v/>
      </c>
      <c r="O2163" s="141" t="s">
        <v>133</v>
      </c>
      <c r="P2163" s="136" t="str">
        <f>IFERROR(__xludf.DUMMYFUNCTION("""COMPUTED_VALUE"""),"")</f>
        <v/>
      </c>
      <c r="Q2163" s="136" t="str">
        <f>IFERROR(__xludf.DUMMYFUNCTION("""COMPUTED_VALUE"""),"")</f>
        <v/>
      </c>
      <c r="R2163" s="106" t="str">
        <f>IFERROR(__xludf.DUMMYFUNCTION("""COMPUTED_VALUE"""),"")</f>
        <v/>
      </c>
      <c r="S2163" s="106" t="str">
        <f>IFERROR(__xludf.DUMMYFUNCTION("""COMPUTED_VALUE"""),"")</f>
        <v/>
      </c>
      <c r="T2163" s="139" t="str">
        <f>IFERROR(__xludf.DUMMYFUNCTION("""COMPUTED_VALUE"""),"")</f>
        <v/>
      </c>
      <c r="U2163" s="139" t="str">
        <f>IFERROR(__xludf.DUMMYFUNCTION("""COMPUTED_VALUE"""),"")</f>
        <v/>
      </c>
      <c r="V2163" s="136" t="str">
        <f>IFERROR(__xludf.DUMMYFUNCTION("""COMPUTED_VALUE"""),"")</f>
        <v/>
      </c>
      <c r="W2163" s="106" t="str">
        <f>IFERROR(__xludf.DUMMYFUNCTION("""COMPUTED_VALUE"""),"")</f>
        <v/>
      </c>
      <c r="X2163" s="143" t="str">
        <f t="shared" si="2"/>
        <v/>
      </c>
      <c r="Y2163" s="139" t="str">
        <f>IFERROR(__xludf.DUMMYFUNCTION("""COMPUTED_VALUE"""),"")</f>
        <v/>
      </c>
      <c r="Z2163" s="141" t="str">
        <f>IFERROR(__xludf.DUMMYFUNCTION("""COMPUTED_VALUE"""),"")</f>
        <v/>
      </c>
    </row>
    <row r="2164">
      <c r="D2164" s="136" t="str">
        <f t="shared" si="3"/>
        <v/>
      </c>
      <c r="E2164" s="152"/>
      <c r="F2164" s="106" t="s">
        <v>133</v>
      </c>
      <c r="G2164" s="152"/>
      <c r="H2164" s="106" t="s">
        <v>133</v>
      </c>
      <c r="J2164" s="139" t="s">
        <v>133</v>
      </c>
      <c r="K2164" s="136" t="s">
        <v>133</v>
      </c>
      <c r="L2164" s="153"/>
      <c r="M2164" s="136" t="str">
        <f t="shared" si="1"/>
        <v/>
      </c>
      <c r="O2164" s="141" t="s">
        <v>133</v>
      </c>
      <c r="P2164" s="136" t="str">
        <f>IFERROR(__xludf.DUMMYFUNCTION("""COMPUTED_VALUE"""),"")</f>
        <v/>
      </c>
      <c r="Q2164" s="136" t="str">
        <f>IFERROR(__xludf.DUMMYFUNCTION("""COMPUTED_VALUE"""),"")</f>
        <v/>
      </c>
      <c r="R2164" s="106" t="str">
        <f>IFERROR(__xludf.DUMMYFUNCTION("""COMPUTED_VALUE"""),"")</f>
        <v/>
      </c>
      <c r="S2164" s="106" t="str">
        <f>IFERROR(__xludf.DUMMYFUNCTION("""COMPUTED_VALUE"""),"")</f>
        <v/>
      </c>
      <c r="T2164" s="139" t="str">
        <f>IFERROR(__xludf.DUMMYFUNCTION("""COMPUTED_VALUE"""),"")</f>
        <v/>
      </c>
      <c r="U2164" s="139" t="str">
        <f>IFERROR(__xludf.DUMMYFUNCTION("""COMPUTED_VALUE"""),"")</f>
        <v/>
      </c>
      <c r="V2164" s="136" t="str">
        <f>IFERROR(__xludf.DUMMYFUNCTION("""COMPUTED_VALUE"""),"")</f>
        <v/>
      </c>
      <c r="W2164" s="106" t="str">
        <f>IFERROR(__xludf.DUMMYFUNCTION("""COMPUTED_VALUE"""),"")</f>
        <v/>
      </c>
      <c r="X2164" s="143" t="str">
        <f t="shared" si="2"/>
        <v/>
      </c>
      <c r="Y2164" s="139" t="str">
        <f>IFERROR(__xludf.DUMMYFUNCTION("""COMPUTED_VALUE"""),"")</f>
        <v/>
      </c>
      <c r="Z2164" s="141" t="str">
        <f>IFERROR(__xludf.DUMMYFUNCTION("""COMPUTED_VALUE"""),"")</f>
        <v/>
      </c>
    </row>
    <row r="2165">
      <c r="D2165" s="136" t="str">
        <f t="shared" si="3"/>
        <v/>
      </c>
      <c r="E2165" s="152"/>
      <c r="F2165" s="106" t="s">
        <v>133</v>
      </c>
      <c r="G2165" s="152"/>
      <c r="H2165" s="106" t="s">
        <v>133</v>
      </c>
      <c r="J2165" s="139" t="s">
        <v>133</v>
      </c>
      <c r="K2165" s="136" t="s">
        <v>133</v>
      </c>
      <c r="L2165" s="153"/>
      <c r="M2165" s="136" t="str">
        <f t="shared" si="1"/>
        <v/>
      </c>
      <c r="O2165" s="141" t="s">
        <v>133</v>
      </c>
      <c r="P2165" s="136" t="str">
        <f>IFERROR(__xludf.DUMMYFUNCTION("""COMPUTED_VALUE"""),"")</f>
        <v/>
      </c>
      <c r="Q2165" s="136" t="str">
        <f>IFERROR(__xludf.DUMMYFUNCTION("""COMPUTED_VALUE"""),"")</f>
        <v/>
      </c>
      <c r="R2165" s="106" t="str">
        <f>IFERROR(__xludf.DUMMYFUNCTION("""COMPUTED_VALUE"""),"")</f>
        <v/>
      </c>
      <c r="S2165" s="106" t="str">
        <f>IFERROR(__xludf.DUMMYFUNCTION("""COMPUTED_VALUE"""),"")</f>
        <v/>
      </c>
      <c r="T2165" s="139" t="str">
        <f>IFERROR(__xludf.DUMMYFUNCTION("""COMPUTED_VALUE"""),"")</f>
        <v/>
      </c>
      <c r="U2165" s="139" t="str">
        <f>IFERROR(__xludf.DUMMYFUNCTION("""COMPUTED_VALUE"""),"")</f>
        <v/>
      </c>
      <c r="V2165" s="136" t="str">
        <f>IFERROR(__xludf.DUMMYFUNCTION("""COMPUTED_VALUE"""),"")</f>
        <v/>
      </c>
      <c r="W2165" s="106" t="str">
        <f>IFERROR(__xludf.DUMMYFUNCTION("""COMPUTED_VALUE"""),"")</f>
        <v/>
      </c>
      <c r="X2165" s="143" t="str">
        <f t="shared" si="2"/>
        <v/>
      </c>
      <c r="Y2165" s="139" t="str">
        <f>IFERROR(__xludf.DUMMYFUNCTION("""COMPUTED_VALUE"""),"")</f>
        <v/>
      </c>
      <c r="Z2165" s="141" t="str">
        <f>IFERROR(__xludf.DUMMYFUNCTION("""COMPUTED_VALUE"""),"")</f>
        <v/>
      </c>
    </row>
    <row r="2166">
      <c r="D2166" s="136" t="str">
        <f t="shared" si="3"/>
        <v/>
      </c>
      <c r="E2166" s="152"/>
      <c r="F2166" s="106" t="s">
        <v>133</v>
      </c>
      <c r="G2166" s="152"/>
      <c r="H2166" s="106" t="s">
        <v>133</v>
      </c>
      <c r="J2166" s="139" t="s">
        <v>133</v>
      </c>
      <c r="K2166" s="136" t="s">
        <v>133</v>
      </c>
      <c r="L2166" s="153"/>
      <c r="M2166" s="136" t="str">
        <f t="shared" si="1"/>
        <v/>
      </c>
      <c r="O2166" s="141" t="s">
        <v>133</v>
      </c>
      <c r="P2166" s="136" t="str">
        <f>IFERROR(__xludf.DUMMYFUNCTION("""COMPUTED_VALUE"""),"")</f>
        <v/>
      </c>
      <c r="Q2166" s="136" t="str">
        <f>IFERROR(__xludf.DUMMYFUNCTION("""COMPUTED_VALUE"""),"")</f>
        <v/>
      </c>
      <c r="R2166" s="106" t="str">
        <f>IFERROR(__xludf.DUMMYFUNCTION("""COMPUTED_VALUE"""),"")</f>
        <v/>
      </c>
      <c r="S2166" s="106" t="str">
        <f>IFERROR(__xludf.DUMMYFUNCTION("""COMPUTED_VALUE"""),"")</f>
        <v/>
      </c>
      <c r="T2166" s="139" t="str">
        <f>IFERROR(__xludf.DUMMYFUNCTION("""COMPUTED_VALUE"""),"")</f>
        <v/>
      </c>
      <c r="U2166" s="139" t="str">
        <f>IFERROR(__xludf.DUMMYFUNCTION("""COMPUTED_VALUE"""),"")</f>
        <v/>
      </c>
      <c r="V2166" s="136" t="str">
        <f>IFERROR(__xludf.DUMMYFUNCTION("""COMPUTED_VALUE"""),"")</f>
        <v/>
      </c>
      <c r="W2166" s="106" t="str">
        <f>IFERROR(__xludf.DUMMYFUNCTION("""COMPUTED_VALUE"""),"")</f>
        <v/>
      </c>
      <c r="X2166" s="143" t="str">
        <f t="shared" si="2"/>
        <v/>
      </c>
      <c r="Y2166" s="139" t="str">
        <f>IFERROR(__xludf.DUMMYFUNCTION("""COMPUTED_VALUE"""),"")</f>
        <v/>
      </c>
      <c r="Z2166" s="141" t="str">
        <f>IFERROR(__xludf.DUMMYFUNCTION("""COMPUTED_VALUE"""),"")</f>
        <v/>
      </c>
    </row>
    <row r="2167">
      <c r="D2167" s="136" t="str">
        <f t="shared" si="3"/>
        <v/>
      </c>
      <c r="E2167" s="152"/>
      <c r="F2167" s="106" t="s">
        <v>133</v>
      </c>
      <c r="G2167" s="152"/>
      <c r="H2167" s="106" t="s">
        <v>133</v>
      </c>
      <c r="J2167" s="139" t="s">
        <v>133</v>
      </c>
      <c r="K2167" s="136" t="s">
        <v>133</v>
      </c>
      <c r="L2167" s="153"/>
      <c r="M2167" s="136" t="str">
        <f t="shared" si="1"/>
        <v/>
      </c>
      <c r="O2167" s="141" t="s">
        <v>133</v>
      </c>
      <c r="P2167" s="136" t="str">
        <f>IFERROR(__xludf.DUMMYFUNCTION("""COMPUTED_VALUE"""),"")</f>
        <v/>
      </c>
      <c r="Q2167" s="136" t="str">
        <f>IFERROR(__xludf.DUMMYFUNCTION("""COMPUTED_VALUE"""),"")</f>
        <v/>
      </c>
      <c r="R2167" s="106" t="str">
        <f>IFERROR(__xludf.DUMMYFUNCTION("""COMPUTED_VALUE"""),"")</f>
        <v/>
      </c>
      <c r="S2167" s="106" t="str">
        <f>IFERROR(__xludf.DUMMYFUNCTION("""COMPUTED_VALUE"""),"")</f>
        <v/>
      </c>
      <c r="T2167" s="139" t="str">
        <f>IFERROR(__xludf.DUMMYFUNCTION("""COMPUTED_VALUE"""),"")</f>
        <v/>
      </c>
      <c r="U2167" s="139" t="str">
        <f>IFERROR(__xludf.DUMMYFUNCTION("""COMPUTED_VALUE"""),"")</f>
        <v/>
      </c>
      <c r="V2167" s="136" t="str">
        <f>IFERROR(__xludf.DUMMYFUNCTION("""COMPUTED_VALUE"""),"")</f>
        <v/>
      </c>
      <c r="W2167" s="106" t="str">
        <f>IFERROR(__xludf.DUMMYFUNCTION("""COMPUTED_VALUE"""),"")</f>
        <v/>
      </c>
      <c r="X2167" s="143" t="str">
        <f t="shared" si="2"/>
        <v/>
      </c>
      <c r="Y2167" s="139" t="str">
        <f>IFERROR(__xludf.DUMMYFUNCTION("""COMPUTED_VALUE"""),"")</f>
        <v/>
      </c>
      <c r="Z2167" s="141" t="str">
        <f>IFERROR(__xludf.DUMMYFUNCTION("""COMPUTED_VALUE"""),"")</f>
        <v/>
      </c>
    </row>
    <row r="2168">
      <c r="D2168" s="136" t="str">
        <f t="shared" si="3"/>
        <v/>
      </c>
      <c r="E2168" s="152"/>
      <c r="F2168" s="106" t="s">
        <v>133</v>
      </c>
      <c r="G2168" s="152"/>
      <c r="H2168" s="106" t="s">
        <v>133</v>
      </c>
      <c r="J2168" s="139" t="s">
        <v>133</v>
      </c>
      <c r="K2168" s="136" t="s">
        <v>133</v>
      </c>
      <c r="L2168" s="153"/>
      <c r="M2168" s="136" t="str">
        <f t="shared" si="1"/>
        <v/>
      </c>
      <c r="O2168" s="141" t="s">
        <v>133</v>
      </c>
      <c r="P2168" s="136" t="str">
        <f>IFERROR(__xludf.DUMMYFUNCTION("""COMPUTED_VALUE"""),"")</f>
        <v/>
      </c>
      <c r="Q2168" s="136" t="str">
        <f>IFERROR(__xludf.DUMMYFUNCTION("""COMPUTED_VALUE"""),"")</f>
        <v/>
      </c>
      <c r="R2168" s="106" t="str">
        <f>IFERROR(__xludf.DUMMYFUNCTION("""COMPUTED_VALUE"""),"")</f>
        <v/>
      </c>
      <c r="S2168" s="106" t="str">
        <f>IFERROR(__xludf.DUMMYFUNCTION("""COMPUTED_VALUE"""),"")</f>
        <v/>
      </c>
      <c r="T2168" s="139" t="str">
        <f>IFERROR(__xludf.DUMMYFUNCTION("""COMPUTED_VALUE"""),"")</f>
        <v/>
      </c>
      <c r="U2168" s="139" t="str">
        <f>IFERROR(__xludf.DUMMYFUNCTION("""COMPUTED_VALUE"""),"")</f>
        <v/>
      </c>
      <c r="V2168" s="136" t="str">
        <f>IFERROR(__xludf.DUMMYFUNCTION("""COMPUTED_VALUE"""),"")</f>
        <v/>
      </c>
      <c r="W2168" s="106" t="str">
        <f>IFERROR(__xludf.DUMMYFUNCTION("""COMPUTED_VALUE"""),"")</f>
        <v/>
      </c>
      <c r="X2168" s="143" t="str">
        <f t="shared" si="2"/>
        <v/>
      </c>
      <c r="Y2168" s="139" t="str">
        <f>IFERROR(__xludf.DUMMYFUNCTION("""COMPUTED_VALUE"""),"")</f>
        <v/>
      </c>
      <c r="Z2168" s="141" t="str">
        <f>IFERROR(__xludf.DUMMYFUNCTION("""COMPUTED_VALUE"""),"")</f>
        <v/>
      </c>
    </row>
    <row r="2169">
      <c r="D2169" s="136" t="str">
        <f t="shared" si="3"/>
        <v/>
      </c>
      <c r="E2169" s="152"/>
      <c r="F2169" s="106" t="s">
        <v>133</v>
      </c>
      <c r="G2169" s="152"/>
      <c r="H2169" s="106" t="s">
        <v>133</v>
      </c>
      <c r="J2169" s="139" t="s">
        <v>133</v>
      </c>
      <c r="K2169" s="136" t="s">
        <v>133</v>
      </c>
      <c r="L2169" s="153"/>
      <c r="M2169" s="136" t="str">
        <f t="shared" si="1"/>
        <v/>
      </c>
      <c r="O2169" s="141" t="s">
        <v>133</v>
      </c>
      <c r="P2169" s="136" t="str">
        <f>IFERROR(__xludf.DUMMYFUNCTION("""COMPUTED_VALUE"""),"")</f>
        <v/>
      </c>
      <c r="Q2169" s="136" t="str">
        <f>IFERROR(__xludf.DUMMYFUNCTION("""COMPUTED_VALUE"""),"")</f>
        <v/>
      </c>
      <c r="R2169" s="106" t="str">
        <f>IFERROR(__xludf.DUMMYFUNCTION("""COMPUTED_VALUE"""),"")</f>
        <v/>
      </c>
      <c r="S2169" s="106" t="str">
        <f>IFERROR(__xludf.DUMMYFUNCTION("""COMPUTED_VALUE"""),"")</f>
        <v/>
      </c>
      <c r="T2169" s="139" t="str">
        <f>IFERROR(__xludf.DUMMYFUNCTION("""COMPUTED_VALUE"""),"")</f>
        <v/>
      </c>
      <c r="U2169" s="139" t="str">
        <f>IFERROR(__xludf.DUMMYFUNCTION("""COMPUTED_VALUE"""),"")</f>
        <v/>
      </c>
      <c r="V2169" s="136" t="str">
        <f>IFERROR(__xludf.DUMMYFUNCTION("""COMPUTED_VALUE"""),"")</f>
        <v/>
      </c>
      <c r="W2169" s="106" t="str">
        <f>IFERROR(__xludf.DUMMYFUNCTION("""COMPUTED_VALUE"""),"")</f>
        <v/>
      </c>
      <c r="X2169" s="143" t="str">
        <f t="shared" si="2"/>
        <v/>
      </c>
      <c r="Y2169" s="139" t="str">
        <f>IFERROR(__xludf.DUMMYFUNCTION("""COMPUTED_VALUE"""),"")</f>
        <v/>
      </c>
      <c r="Z2169" s="141" t="str">
        <f>IFERROR(__xludf.DUMMYFUNCTION("""COMPUTED_VALUE"""),"")</f>
        <v/>
      </c>
    </row>
    <row r="2170">
      <c r="D2170" s="136" t="str">
        <f t="shared" si="3"/>
        <v/>
      </c>
      <c r="E2170" s="152"/>
      <c r="F2170" s="106" t="s">
        <v>133</v>
      </c>
      <c r="G2170" s="152"/>
      <c r="H2170" s="106" t="s">
        <v>133</v>
      </c>
      <c r="J2170" s="139" t="s">
        <v>133</v>
      </c>
      <c r="K2170" s="136" t="s">
        <v>133</v>
      </c>
      <c r="L2170" s="153"/>
      <c r="M2170" s="136" t="str">
        <f t="shared" si="1"/>
        <v/>
      </c>
      <c r="O2170" s="141" t="s">
        <v>133</v>
      </c>
      <c r="P2170" s="136" t="str">
        <f>IFERROR(__xludf.DUMMYFUNCTION("""COMPUTED_VALUE"""),"")</f>
        <v/>
      </c>
      <c r="Q2170" s="136" t="str">
        <f>IFERROR(__xludf.DUMMYFUNCTION("""COMPUTED_VALUE"""),"")</f>
        <v/>
      </c>
      <c r="R2170" s="106" t="str">
        <f>IFERROR(__xludf.DUMMYFUNCTION("""COMPUTED_VALUE"""),"")</f>
        <v/>
      </c>
      <c r="S2170" s="106" t="str">
        <f>IFERROR(__xludf.DUMMYFUNCTION("""COMPUTED_VALUE"""),"")</f>
        <v/>
      </c>
      <c r="T2170" s="139" t="str">
        <f>IFERROR(__xludf.DUMMYFUNCTION("""COMPUTED_VALUE"""),"")</f>
        <v/>
      </c>
      <c r="U2170" s="139" t="str">
        <f>IFERROR(__xludf.DUMMYFUNCTION("""COMPUTED_VALUE"""),"")</f>
        <v/>
      </c>
      <c r="V2170" s="136" t="str">
        <f>IFERROR(__xludf.DUMMYFUNCTION("""COMPUTED_VALUE"""),"")</f>
        <v/>
      </c>
      <c r="W2170" s="106" t="str">
        <f>IFERROR(__xludf.DUMMYFUNCTION("""COMPUTED_VALUE"""),"")</f>
        <v/>
      </c>
      <c r="X2170" s="143" t="str">
        <f t="shared" si="2"/>
        <v/>
      </c>
      <c r="Y2170" s="139" t="str">
        <f>IFERROR(__xludf.DUMMYFUNCTION("""COMPUTED_VALUE"""),"")</f>
        <v/>
      </c>
      <c r="Z2170" s="141" t="str">
        <f>IFERROR(__xludf.DUMMYFUNCTION("""COMPUTED_VALUE"""),"")</f>
        <v/>
      </c>
    </row>
    <row r="2171">
      <c r="D2171" s="136" t="str">
        <f t="shared" si="3"/>
        <v/>
      </c>
      <c r="E2171" s="152"/>
      <c r="F2171" s="106" t="s">
        <v>133</v>
      </c>
      <c r="G2171" s="152"/>
      <c r="H2171" s="106" t="s">
        <v>133</v>
      </c>
      <c r="J2171" s="139" t="s">
        <v>133</v>
      </c>
      <c r="K2171" s="136" t="s">
        <v>133</v>
      </c>
      <c r="L2171" s="153"/>
      <c r="M2171" s="136" t="str">
        <f t="shared" si="1"/>
        <v/>
      </c>
      <c r="O2171" s="141" t="s">
        <v>133</v>
      </c>
      <c r="P2171" s="136" t="str">
        <f>IFERROR(__xludf.DUMMYFUNCTION("""COMPUTED_VALUE"""),"")</f>
        <v/>
      </c>
      <c r="Q2171" s="136" t="str">
        <f>IFERROR(__xludf.DUMMYFUNCTION("""COMPUTED_VALUE"""),"")</f>
        <v/>
      </c>
      <c r="R2171" s="106" t="str">
        <f>IFERROR(__xludf.DUMMYFUNCTION("""COMPUTED_VALUE"""),"")</f>
        <v/>
      </c>
      <c r="S2171" s="106" t="str">
        <f>IFERROR(__xludf.DUMMYFUNCTION("""COMPUTED_VALUE"""),"")</f>
        <v/>
      </c>
      <c r="T2171" s="139" t="str">
        <f>IFERROR(__xludf.DUMMYFUNCTION("""COMPUTED_VALUE"""),"")</f>
        <v/>
      </c>
      <c r="U2171" s="139" t="str">
        <f>IFERROR(__xludf.DUMMYFUNCTION("""COMPUTED_VALUE"""),"")</f>
        <v/>
      </c>
      <c r="V2171" s="136" t="str">
        <f>IFERROR(__xludf.DUMMYFUNCTION("""COMPUTED_VALUE"""),"")</f>
        <v/>
      </c>
      <c r="W2171" s="106" t="str">
        <f>IFERROR(__xludf.DUMMYFUNCTION("""COMPUTED_VALUE"""),"")</f>
        <v/>
      </c>
      <c r="X2171" s="143" t="str">
        <f t="shared" si="2"/>
        <v/>
      </c>
      <c r="Y2171" s="139" t="str">
        <f>IFERROR(__xludf.DUMMYFUNCTION("""COMPUTED_VALUE"""),"")</f>
        <v/>
      </c>
      <c r="Z2171" s="141" t="str">
        <f>IFERROR(__xludf.DUMMYFUNCTION("""COMPUTED_VALUE"""),"")</f>
        <v/>
      </c>
    </row>
    <row r="2172">
      <c r="D2172" s="136" t="str">
        <f t="shared" si="3"/>
        <v/>
      </c>
      <c r="E2172" s="152"/>
      <c r="F2172" s="106" t="s">
        <v>133</v>
      </c>
      <c r="G2172" s="152"/>
      <c r="H2172" s="106" t="s">
        <v>133</v>
      </c>
      <c r="J2172" s="139" t="s">
        <v>133</v>
      </c>
      <c r="K2172" s="136" t="s">
        <v>133</v>
      </c>
      <c r="L2172" s="153"/>
      <c r="M2172" s="136" t="str">
        <f t="shared" si="1"/>
        <v/>
      </c>
      <c r="O2172" s="141" t="s">
        <v>133</v>
      </c>
      <c r="P2172" s="136" t="str">
        <f>IFERROR(__xludf.DUMMYFUNCTION("""COMPUTED_VALUE"""),"")</f>
        <v/>
      </c>
      <c r="Q2172" s="136" t="str">
        <f>IFERROR(__xludf.DUMMYFUNCTION("""COMPUTED_VALUE"""),"")</f>
        <v/>
      </c>
      <c r="R2172" s="106" t="str">
        <f>IFERROR(__xludf.DUMMYFUNCTION("""COMPUTED_VALUE"""),"")</f>
        <v/>
      </c>
      <c r="S2172" s="106" t="str">
        <f>IFERROR(__xludf.DUMMYFUNCTION("""COMPUTED_VALUE"""),"")</f>
        <v/>
      </c>
      <c r="T2172" s="139" t="str">
        <f>IFERROR(__xludf.DUMMYFUNCTION("""COMPUTED_VALUE"""),"")</f>
        <v/>
      </c>
      <c r="U2172" s="139" t="str">
        <f>IFERROR(__xludf.DUMMYFUNCTION("""COMPUTED_VALUE"""),"")</f>
        <v/>
      </c>
      <c r="V2172" s="136" t="str">
        <f>IFERROR(__xludf.DUMMYFUNCTION("""COMPUTED_VALUE"""),"")</f>
        <v/>
      </c>
      <c r="W2172" s="106" t="str">
        <f>IFERROR(__xludf.DUMMYFUNCTION("""COMPUTED_VALUE"""),"")</f>
        <v/>
      </c>
      <c r="X2172" s="143" t="str">
        <f t="shared" si="2"/>
        <v/>
      </c>
      <c r="Y2172" s="139" t="str">
        <f>IFERROR(__xludf.DUMMYFUNCTION("""COMPUTED_VALUE"""),"")</f>
        <v/>
      </c>
      <c r="Z2172" s="141" t="str">
        <f>IFERROR(__xludf.DUMMYFUNCTION("""COMPUTED_VALUE"""),"")</f>
        <v/>
      </c>
    </row>
    <row r="2173">
      <c r="D2173" s="136" t="str">
        <f t="shared" si="3"/>
        <v/>
      </c>
      <c r="E2173" s="152"/>
      <c r="F2173" s="106" t="s">
        <v>133</v>
      </c>
      <c r="G2173" s="152"/>
      <c r="H2173" s="106" t="s">
        <v>133</v>
      </c>
      <c r="J2173" s="139" t="s">
        <v>133</v>
      </c>
      <c r="K2173" s="136" t="s">
        <v>133</v>
      </c>
      <c r="L2173" s="153"/>
      <c r="M2173" s="136" t="str">
        <f t="shared" si="1"/>
        <v/>
      </c>
      <c r="O2173" s="141" t="s">
        <v>133</v>
      </c>
      <c r="P2173" s="136" t="str">
        <f>IFERROR(__xludf.DUMMYFUNCTION("""COMPUTED_VALUE"""),"")</f>
        <v/>
      </c>
      <c r="Q2173" s="136" t="str">
        <f>IFERROR(__xludf.DUMMYFUNCTION("""COMPUTED_VALUE"""),"")</f>
        <v/>
      </c>
      <c r="R2173" s="106" t="str">
        <f>IFERROR(__xludf.DUMMYFUNCTION("""COMPUTED_VALUE"""),"")</f>
        <v/>
      </c>
      <c r="S2173" s="106" t="str">
        <f>IFERROR(__xludf.DUMMYFUNCTION("""COMPUTED_VALUE"""),"")</f>
        <v/>
      </c>
      <c r="T2173" s="139" t="str">
        <f>IFERROR(__xludf.DUMMYFUNCTION("""COMPUTED_VALUE"""),"")</f>
        <v/>
      </c>
      <c r="U2173" s="139" t="str">
        <f>IFERROR(__xludf.DUMMYFUNCTION("""COMPUTED_VALUE"""),"")</f>
        <v/>
      </c>
      <c r="V2173" s="136" t="str">
        <f>IFERROR(__xludf.DUMMYFUNCTION("""COMPUTED_VALUE"""),"")</f>
        <v/>
      </c>
      <c r="W2173" s="106" t="str">
        <f>IFERROR(__xludf.DUMMYFUNCTION("""COMPUTED_VALUE"""),"")</f>
        <v/>
      </c>
      <c r="X2173" s="143" t="str">
        <f t="shared" si="2"/>
        <v/>
      </c>
      <c r="Y2173" s="139" t="str">
        <f>IFERROR(__xludf.DUMMYFUNCTION("""COMPUTED_VALUE"""),"")</f>
        <v/>
      </c>
      <c r="Z2173" s="141" t="str">
        <f>IFERROR(__xludf.DUMMYFUNCTION("""COMPUTED_VALUE"""),"")</f>
        <v/>
      </c>
    </row>
    <row r="2174">
      <c r="D2174" s="136" t="str">
        <f t="shared" si="3"/>
        <v/>
      </c>
      <c r="E2174" s="152"/>
      <c r="F2174" s="106" t="s">
        <v>133</v>
      </c>
      <c r="G2174" s="152"/>
      <c r="H2174" s="106" t="s">
        <v>133</v>
      </c>
      <c r="J2174" s="139" t="s">
        <v>133</v>
      </c>
      <c r="K2174" s="136" t="s">
        <v>133</v>
      </c>
      <c r="L2174" s="153"/>
      <c r="M2174" s="136" t="str">
        <f t="shared" si="1"/>
        <v/>
      </c>
      <c r="O2174" s="141" t="s">
        <v>133</v>
      </c>
      <c r="P2174" s="136" t="str">
        <f>IFERROR(__xludf.DUMMYFUNCTION("""COMPUTED_VALUE"""),"")</f>
        <v/>
      </c>
      <c r="Q2174" s="136" t="str">
        <f>IFERROR(__xludf.DUMMYFUNCTION("""COMPUTED_VALUE"""),"")</f>
        <v/>
      </c>
      <c r="R2174" s="106" t="str">
        <f>IFERROR(__xludf.DUMMYFUNCTION("""COMPUTED_VALUE"""),"")</f>
        <v/>
      </c>
      <c r="S2174" s="106" t="str">
        <f>IFERROR(__xludf.DUMMYFUNCTION("""COMPUTED_VALUE"""),"")</f>
        <v/>
      </c>
      <c r="T2174" s="139" t="str">
        <f>IFERROR(__xludf.DUMMYFUNCTION("""COMPUTED_VALUE"""),"")</f>
        <v/>
      </c>
      <c r="U2174" s="139" t="str">
        <f>IFERROR(__xludf.DUMMYFUNCTION("""COMPUTED_VALUE"""),"")</f>
        <v/>
      </c>
      <c r="V2174" s="136" t="str">
        <f>IFERROR(__xludf.DUMMYFUNCTION("""COMPUTED_VALUE"""),"")</f>
        <v/>
      </c>
      <c r="W2174" s="106" t="str">
        <f>IFERROR(__xludf.DUMMYFUNCTION("""COMPUTED_VALUE"""),"")</f>
        <v/>
      </c>
      <c r="X2174" s="143" t="str">
        <f t="shared" si="2"/>
        <v/>
      </c>
      <c r="Y2174" s="139" t="str">
        <f>IFERROR(__xludf.DUMMYFUNCTION("""COMPUTED_VALUE"""),"")</f>
        <v/>
      </c>
      <c r="Z2174" s="141" t="str">
        <f>IFERROR(__xludf.DUMMYFUNCTION("""COMPUTED_VALUE"""),"")</f>
        <v/>
      </c>
    </row>
    <row r="2175">
      <c r="D2175" s="136" t="str">
        <f t="shared" si="3"/>
        <v/>
      </c>
      <c r="E2175" s="152"/>
      <c r="F2175" s="106" t="s">
        <v>133</v>
      </c>
      <c r="G2175" s="152"/>
      <c r="H2175" s="106" t="s">
        <v>133</v>
      </c>
      <c r="J2175" s="139" t="s">
        <v>133</v>
      </c>
      <c r="K2175" s="136" t="s">
        <v>133</v>
      </c>
      <c r="L2175" s="153"/>
      <c r="M2175" s="136" t="str">
        <f t="shared" si="1"/>
        <v/>
      </c>
      <c r="O2175" s="141" t="s">
        <v>133</v>
      </c>
      <c r="P2175" s="136" t="str">
        <f>IFERROR(__xludf.DUMMYFUNCTION("""COMPUTED_VALUE"""),"")</f>
        <v/>
      </c>
      <c r="Q2175" s="136" t="str">
        <f>IFERROR(__xludf.DUMMYFUNCTION("""COMPUTED_VALUE"""),"")</f>
        <v/>
      </c>
      <c r="R2175" s="106" t="str">
        <f>IFERROR(__xludf.DUMMYFUNCTION("""COMPUTED_VALUE"""),"")</f>
        <v/>
      </c>
      <c r="S2175" s="106" t="str">
        <f>IFERROR(__xludf.DUMMYFUNCTION("""COMPUTED_VALUE"""),"")</f>
        <v/>
      </c>
      <c r="T2175" s="139" t="str">
        <f>IFERROR(__xludf.DUMMYFUNCTION("""COMPUTED_VALUE"""),"")</f>
        <v/>
      </c>
      <c r="U2175" s="139" t="str">
        <f>IFERROR(__xludf.DUMMYFUNCTION("""COMPUTED_VALUE"""),"")</f>
        <v/>
      </c>
      <c r="V2175" s="136" t="str">
        <f>IFERROR(__xludf.DUMMYFUNCTION("""COMPUTED_VALUE"""),"")</f>
        <v/>
      </c>
      <c r="W2175" s="106" t="str">
        <f>IFERROR(__xludf.DUMMYFUNCTION("""COMPUTED_VALUE"""),"")</f>
        <v/>
      </c>
      <c r="X2175" s="143" t="str">
        <f t="shared" si="2"/>
        <v/>
      </c>
      <c r="Y2175" s="139" t="str">
        <f>IFERROR(__xludf.DUMMYFUNCTION("""COMPUTED_VALUE"""),"")</f>
        <v/>
      </c>
      <c r="Z2175" s="141" t="str">
        <f>IFERROR(__xludf.DUMMYFUNCTION("""COMPUTED_VALUE"""),"")</f>
        <v/>
      </c>
    </row>
    <row r="2176">
      <c r="D2176" s="136" t="str">
        <f t="shared" si="3"/>
        <v/>
      </c>
      <c r="E2176" s="152"/>
      <c r="F2176" s="106" t="s">
        <v>133</v>
      </c>
      <c r="G2176" s="152"/>
      <c r="H2176" s="106" t="s">
        <v>133</v>
      </c>
      <c r="J2176" s="139" t="s">
        <v>133</v>
      </c>
      <c r="K2176" s="136" t="s">
        <v>133</v>
      </c>
      <c r="L2176" s="153"/>
      <c r="M2176" s="136" t="str">
        <f t="shared" si="1"/>
        <v/>
      </c>
      <c r="O2176" s="141" t="s">
        <v>133</v>
      </c>
      <c r="P2176" s="136" t="str">
        <f>IFERROR(__xludf.DUMMYFUNCTION("""COMPUTED_VALUE"""),"")</f>
        <v/>
      </c>
      <c r="Q2176" s="136" t="str">
        <f>IFERROR(__xludf.DUMMYFUNCTION("""COMPUTED_VALUE"""),"")</f>
        <v/>
      </c>
      <c r="R2176" s="106" t="str">
        <f>IFERROR(__xludf.DUMMYFUNCTION("""COMPUTED_VALUE"""),"")</f>
        <v/>
      </c>
      <c r="S2176" s="106" t="str">
        <f>IFERROR(__xludf.DUMMYFUNCTION("""COMPUTED_VALUE"""),"")</f>
        <v/>
      </c>
      <c r="T2176" s="139" t="str">
        <f>IFERROR(__xludf.DUMMYFUNCTION("""COMPUTED_VALUE"""),"")</f>
        <v/>
      </c>
      <c r="U2176" s="139" t="str">
        <f>IFERROR(__xludf.DUMMYFUNCTION("""COMPUTED_VALUE"""),"")</f>
        <v/>
      </c>
      <c r="V2176" s="136" t="str">
        <f>IFERROR(__xludf.DUMMYFUNCTION("""COMPUTED_VALUE"""),"")</f>
        <v/>
      </c>
      <c r="W2176" s="106" t="str">
        <f>IFERROR(__xludf.DUMMYFUNCTION("""COMPUTED_VALUE"""),"")</f>
        <v/>
      </c>
      <c r="X2176" s="143" t="str">
        <f t="shared" si="2"/>
        <v/>
      </c>
      <c r="Y2176" s="139" t="str">
        <f>IFERROR(__xludf.DUMMYFUNCTION("""COMPUTED_VALUE"""),"")</f>
        <v/>
      </c>
      <c r="Z2176" s="141" t="str">
        <f>IFERROR(__xludf.DUMMYFUNCTION("""COMPUTED_VALUE"""),"")</f>
        <v/>
      </c>
    </row>
    <row r="2177">
      <c r="D2177" s="136" t="str">
        <f t="shared" si="3"/>
        <v/>
      </c>
      <c r="E2177" s="152"/>
      <c r="F2177" s="106" t="s">
        <v>133</v>
      </c>
      <c r="G2177" s="152"/>
      <c r="H2177" s="106" t="s">
        <v>133</v>
      </c>
      <c r="J2177" s="139" t="s">
        <v>133</v>
      </c>
      <c r="K2177" s="136" t="s">
        <v>133</v>
      </c>
      <c r="L2177" s="153"/>
      <c r="M2177" s="136" t="str">
        <f t="shared" si="1"/>
        <v/>
      </c>
      <c r="O2177" s="141" t="s">
        <v>133</v>
      </c>
      <c r="P2177" s="136" t="str">
        <f>IFERROR(__xludf.DUMMYFUNCTION("""COMPUTED_VALUE"""),"")</f>
        <v/>
      </c>
      <c r="Q2177" s="136" t="str">
        <f>IFERROR(__xludf.DUMMYFUNCTION("""COMPUTED_VALUE"""),"")</f>
        <v/>
      </c>
      <c r="R2177" s="106" t="str">
        <f>IFERROR(__xludf.DUMMYFUNCTION("""COMPUTED_VALUE"""),"")</f>
        <v/>
      </c>
      <c r="S2177" s="106" t="str">
        <f>IFERROR(__xludf.DUMMYFUNCTION("""COMPUTED_VALUE"""),"")</f>
        <v/>
      </c>
      <c r="T2177" s="139" t="str">
        <f>IFERROR(__xludf.DUMMYFUNCTION("""COMPUTED_VALUE"""),"")</f>
        <v/>
      </c>
      <c r="U2177" s="139" t="str">
        <f>IFERROR(__xludf.DUMMYFUNCTION("""COMPUTED_VALUE"""),"")</f>
        <v/>
      </c>
      <c r="V2177" s="136" t="str">
        <f>IFERROR(__xludf.DUMMYFUNCTION("""COMPUTED_VALUE"""),"")</f>
        <v/>
      </c>
      <c r="W2177" s="106" t="str">
        <f>IFERROR(__xludf.DUMMYFUNCTION("""COMPUTED_VALUE"""),"")</f>
        <v/>
      </c>
      <c r="X2177" s="143" t="str">
        <f t="shared" si="2"/>
        <v/>
      </c>
      <c r="Y2177" s="139" t="str">
        <f>IFERROR(__xludf.DUMMYFUNCTION("""COMPUTED_VALUE"""),"")</f>
        <v/>
      </c>
      <c r="Z2177" s="141" t="str">
        <f>IFERROR(__xludf.DUMMYFUNCTION("""COMPUTED_VALUE"""),"")</f>
        <v/>
      </c>
    </row>
    <row r="2178">
      <c r="D2178" s="136" t="str">
        <f t="shared" si="3"/>
        <v/>
      </c>
      <c r="E2178" s="152"/>
      <c r="F2178" s="106" t="s">
        <v>133</v>
      </c>
      <c r="G2178" s="152"/>
      <c r="H2178" s="106" t="s">
        <v>133</v>
      </c>
      <c r="J2178" s="139" t="s">
        <v>133</v>
      </c>
      <c r="K2178" s="136" t="s">
        <v>133</v>
      </c>
      <c r="L2178" s="153"/>
      <c r="M2178" s="136" t="str">
        <f t="shared" si="1"/>
        <v/>
      </c>
      <c r="O2178" s="141" t="s">
        <v>133</v>
      </c>
      <c r="P2178" s="136" t="str">
        <f>IFERROR(__xludf.DUMMYFUNCTION("""COMPUTED_VALUE"""),"")</f>
        <v/>
      </c>
      <c r="Q2178" s="136" t="str">
        <f>IFERROR(__xludf.DUMMYFUNCTION("""COMPUTED_VALUE"""),"")</f>
        <v/>
      </c>
      <c r="R2178" s="106" t="str">
        <f>IFERROR(__xludf.DUMMYFUNCTION("""COMPUTED_VALUE"""),"")</f>
        <v/>
      </c>
      <c r="S2178" s="106" t="str">
        <f>IFERROR(__xludf.DUMMYFUNCTION("""COMPUTED_VALUE"""),"")</f>
        <v/>
      </c>
      <c r="T2178" s="139" t="str">
        <f>IFERROR(__xludf.DUMMYFUNCTION("""COMPUTED_VALUE"""),"")</f>
        <v/>
      </c>
      <c r="U2178" s="139" t="str">
        <f>IFERROR(__xludf.DUMMYFUNCTION("""COMPUTED_VALUE"""),"")</f>
        <v/>
      </c>
      <c r="V2178" s="136" t="str">
        <f>IFERROR(__xludf.DUMMYFUNCTION("""COMPUTED_VALUE"""),"")</f>
        <v/>
      </c>
      <c r="W2178" s="106" t="str">
        <f>IFERROR(__xludf.DUMMYFUNCTION("""COMPUTED_VALUE"""),"")</f>
        <v/>
      </c>
      <c r="X2178" s="143" t="str">
        <f t="shared" si="2"/>
        <v/>
      </c>
      <c r="Y2178" s="139" t="str">
        <f>IFERROR(__xludf.DUMMYFUNCTION("""COMPUTED_VALUE"""),"")</f>
        <v/>
      </c>
      <c r="Z2178" s="141" t="str">
        <f>IFERROR(__xludf.DUMMYFUNCTION("""COMPUTED_VALUE"""),"")</f>
        <v/>
      </c>
    </row>
    <row r="2179">
      <c r="D2179" s="136" t="str">
        <f t="shared" si="3"/>
        <v/>
      </c>
      <c r="E2179" s="152"/>
      <c r="F2179" s="106" t="s">
        <v>133</v>
      </c>
      <c r="G2179" s="152"/>
      <c r="H2179" s="106" t="s">
        <v>133</v>
      </c>
      <c r="J2179" s="139" t="s">
        <v>133</v>
      </c>
      <c r="K2179" s="136" t="s">
        <v>133</v>
      </c>
      <c r="L2179" s="153"/>
      <c r="M2179" s="136" t="str">
        <f t="shared" si="1"/>
        <v/>
      </c>
      <c r="O2179" s="141" t="s">
        <v>133</v>
      </c>
      <c r="P2179" s="136" t="str">
        <f>IFERROR(__xludf.DUMMYFUNCTION("""COMPUTED_VALUE"""),"")</f>
        <v/>
      </c>
      <c r="Q2179" s="136" t="str">
        <f>IFERROR(__xludf.DUMMYFUNCTION("""COMPUTED_VALUE"""),"")</f>
        <v/>
      </c>
      <c r="R2179" s="106" t="str">
        <f>IFERROR(__xludf.DUMMYFUNCTION("""COMPUTED_VALUE"""),"")</f>
        <v/>
      </c>
      <c r="S2179" s="106" t="str">
        <f>IFERROR(__xludf.DUMMYFUNCTION("""COMPUTED_VALUE"""),"")</f>
        <v/>
      </c>
      <c r="T2179" s="139" t="str">
        <f>IFERROR(__xludf.DUMMYFUNCTION("""COMPUTED_VALUE"""),"")</f>
        <v/>
      </c>
      <c r="U2179" s="139" t="str">
        <f>IFERROR(__xludf.DUMMYFUNCTION("""COMPUTED_VALUE"""),"")</f>
        <v/>
      </c>
      <c r="V2179" s="136" t="str">
        <f>IFERROR(__xludf.DUMMYFUNCTION("""COMPUTED_VALUE"""),"")</f>
        <v/>
      </c>
      <c r="W2179" s="106" t="str">
        <f>IFERROR(__xludf.DUMMYFUNCTION("""COMPUTED_VALUE"""),"")</f>
        <v/>
      </c>
      <c r="X2179" s="143" t="str">
        <f t="shared" si="2"/>
        <v/>
      </c>
      <c r="Y2179" s="139" t="str">
        <f>IFERROR(__xludf.DUMMYFUNCTION("""COMPUTED_VALUE"""),"")</f>
        <v/>
      </c>
      <c r="Z2179" s="141" t="str">
        <f>IFERROR(__xludf.DUMMYFUNCTION("""COMPUTED_VALUE"""),"")</f>
        <v/>
      </c>
    </row>
    <row r="2180">
      <c r="D2180" s="136" t="str">
        <f t="shared" si="3"/>
        <v/>
      </c>
      <c r="E2180" s="152"/>
      <c r="F2180" s="106" t="s">
        <v>133</v>
      </c>
      <c r="G2180" s="152"/>
      <c r="H2180" s="106" t="s">
        <v>133</v>
      </c>
      <c r="J2180" s="139" t="s">
        <v>133</v>
      </c>
      <c r="K2180" s="136" t="s">
        <v>133</v>
      </c>
      <c r="L2180" s="153"/>
      <c r="M2180" s="136" t="str">
        <f t="shared" si="1"/>
        <v/>
      </c>
      <c r="O2180" s="141" t="s">
        <v>133</v>
      </c>
      <c r="P2180" s="136" t="str">
        <f>IFERROR(__xludf.DUMMYFUNCTION("""COMPUTED_VALUE"""),"")</f>
        <v/>
      </c>
      <c r="Q2180" s="136" t="str">
        <f>IFERROR(__xludf.DUMMYFUNCTION("""COMPUTED_VALUE"""),"")</f>
        <v/>
      </c>
      <c r="R2180" s="106" t="str">
        <f>IFERROR(__xludf.DUMMYFUNCTION("""COMPUTED_VALUE"""),"")</f>
        <v/>
      </c>
      <c r="S2180" s="106" t="str">
        <f>IFERROR(__xludf.DUMMYFUNCTION("""COMPUTED_VALUE"""),"")</f>
        <v/>
      </c>
      <c r="T2180" s="139" t="str">
        <f>IFERROR(__xludf.DUMMYFUNCTION("""COMPUTED_VALUE"""),"")</f>
        <v/>
      </c>
      <c r="U2180" s="139" t="str">
        <f>IFERROR(__xludf.DUMMYFUNCTION("""COMPUTED_VALUE"""),"")</f>
        <v/>
      </c>
      <c r="V2180" s="136" t="str">
        <f>IFERROR(__xludf.DUMMYFUNCTION("""COMPUTED_VALUE"""),"")</f>
        <v/>
      </c>
      <c r="W2180" s="106" t="str">
        <f>IFERROR(__xludf.DUMMYFUNCTION("""COMPUTED_VALUE"""),"")</f>
        <v/>
      </c>
      <c r="X2180" s="143" t="str">
        <f t="shared" si="2"/>
        <v/>
      </c>
      <c r="Y2180" s="139" t="str">
        <f>IFERROR(__xludf.DUMMYFUNCTION("""COMPUTED_VALUE"""),"")</f>
        <v/>
      </c>
      <c r="Z2180" s="141" t="str">
        <f>IFERROR(__xludf.DUMMYFUNCTION("""COMPUTED_VALUE"""),"")</f>
        <v/>
      </c>
    </row>
    <row r="2181">
      <c r="D2181" s="136" t="str">
        <f t="shared" si="3"/>
        <v/>
      </c>
      <c r="E2181" s="152"/>
      <c r="F2181" s="106" t="s">
        <v>133</v>
      </c>
      <c r="G2181" s="152"/>
      <c r="H2181" s="106" t="s">
        <v>133</v>
      </c>
      <c r="J2181" s="139" t="s">
        <v>133</v>
      </c>
      <c r="K2181" s="136" t="s">
        <v>133</v>
      </c>
      <c r="L2181" s="153"/>
      <c r="M2181" s="136" t="str">
        <f t="shared" si="1"/>
        <v/>
      </c>
      <c r="O2181" s="141" t="s">
        <v>133</v>
      </c>
      <c r="P2181" s="136" t="str">
        <f>IFERROR(__xludf.DUMMYFUNCTION("""COMPUTED_VALUE"""),"")</f>
        <v/>
      </c>
      <c r="Q2181" s="136" t="str">
        <f>IFERROR(__xludf.DUMMYFUNCTION("""COMPUTED_VALUE"""),"")</f>
        <v/>
      </c>
      <c r="R2181" s="106" t="str">
        <f>IFERROR(__xludf.DUMMYFUNCTION("""COMPUTED_VALUE"""),"")</f>
        <v/>
      </c>
      <c r="S2181" s="106" t="str">
        <f>IFERROR(__xludf.DUMMYFUNCTION("""COMPUTED_VALUE"""),"")</f>
        <v/>
      </c>
      <c r="T2181" s="139" t="str">
        <f>IFERROR(__xludf.DUMMYFUNCTION("""COMPUTED_VALUE"""),"")</f>
        <v/>
      </c>
      <c r="U2181" s="139" t="str">
        <f>IFERROR(__xludf.DUMMYFUNCTION("""COMPUTED_VALUE"""),"")</f>
        <v/>
      </c>
      <c r="V2181" s="136" t="str">
        <f>IFERROR(__xludf.DUMMYFUNCTION("""COMPUTED_VALUE"""),"")</f>
        <v/>
      </c>
      <c r="W2181" s="106" t="str">
        <f>IFERROR(__xludf.DUMMYFUNCTION("""COMPUTED_VALUE"""),"")</f>
        <v/>
      </c>
      <c r="X2181" s="143" t="str">
        <f t="shared" si="2"/>
        <v/>
      </c>
      <c r="Y2181" s="139" t="str">
        <f>IFERROR(__xludf.DUMMYFUNCTION("""COMPUTED_VALUE"""),"")</f>
        <v/>
      </c>
      <c r="Z2181" s="141" t="str">
        <f>IFERROR(__xludf.DUMMYFUNCTION("""COMPUTED_VALUE"""),"")</f>
        <v/>
      </c>
    </row>
    <row r="2182">
      <c r="D2182" s="136" t="str">
        <f t="shared" si="3"/>
        <v/>
      </c>
      <c r="E2182" s="152"/>
      <c r="F2182" s="106" t="s">
        <v>133</v>
      </c>
      <c r="G2182" s="152"/>
      <c r="H2182" s="106" t="s">
        <v>133</v>
      </c>
      <c r="J2182" s="139" t="s">
        <v>133</v>
      </c>
      <c r="K2182" s="136" t="s">
        <v>133</v>
      </c>
      <c r="L2182" s="153"/>
      <c r="M2182" s="136" t="str">
        <f t="shared" si="1"/>
        <v/>
      </c>
      <c r="O2182" s="141" t="s">
        <v>133</v>
      </c>
      <c r="P2182" s="136" t="str">
        <f>IFERROR(__xludf.DUMMYFUNCTION("""COMPUTED_VALUE"""),"")</f>
        <v/>
      </c>
      <c r="Q2182" s="136" t="str">
        <f>IFERROR(__xludf.DUMMYFUNCTION("""COMPUTED_VALUE"""),"")</f>
        <v/>
      </c>
      <c r="R2182" s="106" t="str">
        <f>IFERROR(__xludf.DUMMYFUNCTION("""COMPUTED_VALUE"""),"")</f>
        <v/>
      </c>
      <c r="S2182" s="106" t="str">
        <f>IFERROR(__xludf.DUMMYFUNCTION("""COMPUTED_VALUE"""),"")</f>
        <v/>
      </c>
      <c r="T2182" s="139" t="str">
        <f>IFERROR(__xludf.DUMMYFUNCTION("""COMPUTED_VALUE"""),"")</f>
        <v/>
      </c>
      <c r="U2182" s="139" t="str">
        <f>IFERROR(__xludf.DUMMYFUNCTION("""COMPUTED_VALUE"""),"")</f>
        <v/>
      </c>
      <c r="V2182" s="136" t="str">
        <f>IFERROR(__xludf.DUMMYFUNCTION("""COMPUTED_VALUE"""),"")</f>
        <v/>
      </c>
      <c r="W2182" s="106" t="str">
        <f>IFERROR(__xludf.DUMMYFUNCTION("""COMPUTED_VALUE"""),"")</f>
        <v/>
      </c>
      <c r="X2182" s="143" t="str">
        <f t="shared" si="2"/>
        <v/>
      </c>
      <c r="Y2182" s="139" t="str">
        <f>IFERROR(__xludf.DUMMYFUNCTION("""COMPUTED_VALUE"""),"")</f>
        <v/>
      </c>
      <c r="Z2182" s="141" t="str">
        <f>IFERROR(__xludf.DUMMYFUNCTION("""COMPUTED_VALUE"""),"")</f>
        <v/>
      </c>
    </row>
    <row r="2183">
      <c r="D2183" s="136" t="str">
        <f t="shared" si="3"/>
        <v/>
      </c>
      <c r="E2183" s="152"/>
      <c r="F2183" s="106" t="s">
        <v>133</v>
      </c>
      <c r="G2183" s="152"/>
      <c r="H2183" s="106" t="s">
        <v>133</v>
      </c>
      <c r="J2183" s="139" t="s">
        <v>133</v>
      </c>
      <c r="K2183" s="136" t="s">
        <v>133</v>
      </c>
      <c r="L2183" s="153"/>
      <c r="M2183" s="136" t="str">
        <f t="shared" si="1"/>
        <v/>
      </c>
      <c r="O2183" s="141" t="s">
        <v>133</v>
      </c>
      <c r="P2183" s="136" t="str">
        <f>IFERROR(__xludf.DUMMYFUNCTION("""COMPUTED_VALUE"""),"")</f>
        <v/>
      </c>
      <c r="Q2183" s="136" t="str">
        <f>IFERROR(__xludf.DUMMYFUNCTION("""COMPUTED_VALUE"""),"")</f>
        <v/>
      </c>
      <c r="R2183" s="106" t="str">
        <f>IFERROR(__xludf.DUMMYFUNCTION("""COMPUTED_VALUE"""),"")</f>
        <v/>
      </c>
      <c r="S2183" s="106" t="str">
        <f>IFERROR(__xludf.DUMMYFUNCTION("""COMPUTED_VALUE"""),"")</f>
        <v/>
      </c>
      <c r="T2183" s="139" t="str">
        <f>IFERROR(__xludf.DUMMYFUNCTION("""COMPUTED_VALUE"""),"")</f>
        <v/>
      </c>
      <c r="U2183" s="139" t="str">
        <f>IFERROR(__xludf.DUMMYFUNCTION("""COMPUTED_VALUE"""),"")</f>
        <v/>
      </c>
      <c r="V2183" s="136" t="str">
        <f>IFERROR(__xludf.DUMMYFUNCTION("""COMPUTED_VALUE"""),"")</f>
        <v/>
      </c>
      <c r="W2183" s="106" t="str">
        <f>IFERROR(__xludf.DUMMYFUNCTION("""COMPUTED_VALUE"""),"")</f>
        <v/>
      </c>
      <c r="X2183" s="143" t="str">
        <f t="shared" si="2"/>
        <v/>
      </c>
      <c r="Y2183" s="139" t="str">
        <f>IFERROR(__xludf.DUMMYFUNCTION("""COMPUTED_VALUE"""),"")</f>
        <v/>
      </c>
      <c r="Z2183" s="141" t="str">
        <f>IFERROR(__xludf.DUMMYFUNCTION("""COMPUTED_VALUE"""),"")</f>
        <v/>
      </c>
    </row>
    <row r="2184">
      <c r="D2184" s="136" t="str">
        <f t="shared" si="3"/>
        <v/>
      </c>
      <c r="E2184" s="152"/>
      <c r="F2184" s="106" t="s">
        <v>133</v>
      </c>
      <c r="G2184" s="152"/>
      <c r="H2184" s="106" t="s">
        <v>133</v>
      </c>
      <c r="J2184" s="139" t="s">
        <v>133</v>
      </c>
      <c r="K2184" s="136" t="s">
        <v>133</v>
      </c>
      <c r="L2184" s="153"/>
      <c r="M2184" s="136" t="str">
        <f t="shared" si="1"/>
        <v/>
      </c>
      <c r="O2184" s="141" t="s">
        <v>133</v>
      </c>
      <c r="P2184" s="136" t="str">
        <f>IFERROR(__xludf.DUMMYFUNCTION("""COMPUTED_VALUE"""),"")</f>
        <v/>
      </c>
      <c r="Q2184" s="136" t="str">
        <f>IFERROR(__xludf.DUMMYFUNCTION("""COMPUTED_VALUE"""),"")</f>
        <v/>
      </c>
      <c r="R2184" s="106" t="str">
        <f>IFERROR(__xludf.DUMMYFUNCTION("""COMPUTED_VALUE"""),"")</f>
        <v/>
      </c>
      <c r="S2184" s="106" t="str">
        <f>IFERROR(__xludf.DUMMYFUNCTION("""COMPUTED_VALUE"""),"")</f>
        <v/>
      </c>
      <c r="T2184" s="139" t="str">
        <f>IFERROR(__xludf.DUMMYFUNCTION("""COMPUTED_VALUE"""),"")</f>
        <v/>
      </c>
      <c r="U2184" s="139" t="str">
        <f>IFERROR(__xludf.DUMMYFUNCTION("""COMPUTED_VALUE"""),"")</f>
        <v/>
      </c>
      <c r="V2184" s="136" t="str">
        <f>IFERROR(__xludf.DUMMYFUNCTION("""COMPUTED_VALUE"""),"")</f>
        <v/>
      </c>
      <c r="W2184" s="106" t="str">
        <f>IFERROR(__xludf.DUMMYFUNCTION("""COMPUTED_VALUE"""),"")</f>
        <v/>
      </c>
      <c r="X2184" s="143" t="str">
        <f t="shared" si="2"/>
        <v/>
      </c>
      <c r="Y2184" s="139" t="str">
        <f>IFERROR(__xludf.DUMMYFUNCTION("""COMPUTED_VALUE"""),"")</f>
        <v/>
      </c>
      <c r="Z2184" s="141" t="str">
        <f>IFERROR(__xludf.DUMMYFUNCTION("""COMPUTED_VALUE"""),"")</f>
        <v/>
      </c>
    </row>
    <row r="2185">
      <c r="D2185" s="136" t="str">
        <f t="shared" si="3"/>
        <v/>
      </c>
      <c r="E2185" s="152"/>
      <c r="F2185" s="106" t="s">
        <v>133</v>
      </c>
      <c r="G2185" s="152"/>
      <c r="H2185" s="106" t="s">
        <v>133</v>
      </c>
      <c r="J2185" s="139" t="s">
        <v>133</v>
      </c>
      <c r="K2185" s="136" t="s">
        <v>133</v>
      </c>
      <c r="L2185" s="153"/>
      <c r="M2185" s="136" t="str">
        <f t="shared" si="1"/>
        <v/>
      </c>
      <c r="O2185" s="141" t="s">
        <v>133</v>
      </c>
      <c r="P2185" s="136" t="str">
        <f>IFERROR(__xludf.DUMMYFUNCTION("""COMPUTED_VALUE"""),"")</f>
        <v/>
      </c>
      <c r="Q2185" s="136" t="str">
        <f>IFERROR(__xludf.DUMMYFUNCTION("""COMPUTED_VALUE"""),"")</f>
        <v/>
      </c>
      <c r="R2185" s="106" t="str">
        <f>IFERROR(__xludf.DUMMYFUNCTION("""COMPUTED_VALUE"""),"")</f>
        <v/>
      </c>
      <c r="S2185" s="106" t="str">
        <f>IFERROR(__xludf.DUMMYFUNCTION("""COMPUTED_VALUE"""),"")</f>
        <v/>
      </c>
      <c r="T2185" s="139" t="str">
        <f>IFERROR(__xludf.DUMMYFUNCTION("""COMPUTED_VALUE"""),"")</f>
        <v/>
      </c>
      <c r="U2185" s="139" t="str">
        <f>IFERROR(__xludf.DUMMYFUNCTION("""COMPUTED_VALUE"""),"")</f>
        <v/>
      </c>
      <c r="V2185" s="136" t="str">
        <f>IFERROR(__xludf.DUMMYFUNCTION("""COMPUTED_VALUE"""),"")</f>
        <v/>
      </c>
      <c r="W2185" s="106" t="str">
        <f>IFERROR(__xludf.DUMMYFUNCTION("""COMPUTED_VALUE"""),"")</f>
        <v/>
      </c>
      <c r="X2185" s="143" t="str">
        <f t="shared" si="2"/>
        <v/>
      </c>
      <c r="Y2185" s="139" t="str">
        <f>IFERROR(__xludf.DUMMYFUNCTION("""COMPUTED_VALUE"""),"")</f>
        <v/>
      </c>
      <c r="Z2185" s="141" t="str">
        <f>IFERROR(__xludf.DUMMYFUNCTION("""COMPUTED_VALUE"""),"")</f>
        <v/>
      </c>
    </row>
    <row r="2186">
      <c r="D2186" s="136" t="str">
        <f t="shared" si="3"/>
        <v/>
      </c>
      <c r="E2186" s="152"/>
      <c r="F2186" s="106" t="s">
        <v>133</v>
      </c>
      <c r="G2186" s="152"/>
      <c r="H2186" s="106" t="s">
        <v>133</v>
      </c>
      <c r="J2186" s="139" t="s">
        <v>133</v>
      </c>
      <c r="K2186" s="136" t="s">
        <v>133</v>
      </c>
      <c r="L2186" s="153"/>
      <c r="M2186" s="136" t="str">
        <f t="shared" si="1"/>
        <v/>
      </c>
      <c r="O2186" s="141" t="s">
        <v>133</v>
      </c>
      <c r="P2186" s="136" t="str">
        <f>IFERROR(__xludf.DUMMYFUNCTION("""COMPUTED_VALUE"""),"")</f>
        <v/>
      </c>
      <c r="Q2186" s="136" t="str">
        <f>IFERROR(__xludf.DUMMYFUNCTION("""COMPUTED_VALUE"""),"")</f>
        <v/>
      </c>
      <c r="R2186" s="106" t="str">
        <f>IFERROR(__xludf.DUMMYFUNCTION("""COMPUTED_VALUE"""),"")</f>
        <v/>
      </c>
      <c r="S2186" s="106" t="str">
        <f>IFERROR(__xludf.DUMMYFUNCTION("""COMPUTED_VALUE"""),"")</f>
        <v/>
      </c>
      <c r="T2186" s="139" t="str">
        <f>IFERROR(__xludf.DUMMYFUNCTION("""COMPUTED_VALUE"""),"")</f>
        <v/>
      </c>
      <c r="U2186" s="139" t="str">
        <f>IFERROR(__xludf.DUMMYFUNCTION("""COMPUTED_VALUE"""),"")</f>
        <v/>
      </c>
      <c r="V2186" s="136" t="str">
        <f>IFERROR(__xludf.DUMMYFUNCTION("""COMPUTED_VALUE"""),"")</f>
        <v/>
      </c>
      <c r="W2186" s="106" t="str">
        <f>IFERROR(__xludf.DUMMYFUNCTION("""COMPUTED_VALUE"""),"")</f>
        <v/>
      </c>
      <c r="X2186" s="143" t="str">
        <f t="shared" si="2"/>
        <v/>
      </c>
      <c r="Y2186" s="139" t="str">
        <f>IFERROR(__xludf.DUMMYFUNCTION("""COMPUTED_VALUE"""),"")</f>
        <v/>
      </c>
      <c r="Z2186" s="141" t="str">
        <f>IFERROR(__xludf.DUMMYFUNCTION("""COMPUTED_VALUE"""),"")</f>
        <v/>
      </c>
    </row>
    <row r="2187">
      <c r="D2187" s="136" t="str">
        <f t="shared" si="3"/>
        <v/>
      </c>
      <c r="E2187" s="152"/>
      <c r="F2187" s="106" t="s">
        <v>133</v>
      </c>
      <c r="G2187" s="152"/>
      <c r="H2187" s="106" t="s">
        <v>133</v>
      </c>
      <c r="J2187" s="139" t="s">
        <v>133</v>
      </c>
      <c r="K2187" s="136" t="s">
        <v>133</v>
      </c>
      <c r="L2187" s="153"/>
      <c r="M2187" s="136" t="str">
        <f t="shared" si="1"/>
        <v/>
      </c>
      <c r="O2187" s="141" t="s">
        <v>133</v>
      </c>
      <c r="P2187" s="136" t="str">
        <f>IFERROR(__xludf.DUMMYFUNCTION("""COMPUTED_VALUE"""),"")</f>
        <v/>
      </c>
      <c r="Q2187" s="136" t="str">
        <f>IFERROR(__xludf.DUMMYFUNCTION("""COMPUTED_VALUE"""),"")</f>
        <v/>
      </c>
      <c r="R2187" s="106" t="str">
        <f>IFERROR(__xludf.DUMMYFUNCTION("""COMPUTED_VALUE"""),"")</f>
        <v/>
      </c>
      <c r="S2187" s="106" t="str">
        <f>IFERROR(__xludf.DUMMYFUNCTION("""COMPUTED_VALUE"""),"")</f>
        <v/>
      </c>
      <c r="T2187" s="139" t="str">
        <f>IFERROR(__xludf.DUMMYFUNCTION("""COMPUTED_VALUE"""),"")</f>
        <v/>
      </c>
      <c r="U2187" s="139" t="str">
        <f>IFERROR(__xludf.DUMMYFUNCTION("""COMPUTED_VALUE"""),"")</f>
        <v/>
      </c>
      <c r="V2187" s="136" t="str">
        <f>IFERROR(__xludf.DUMMYFUNCTION("""COMPUTED_VALUE"""),"")</f>
        <v/>
      </c>
      <c r="W2187" s="106" t="str">
        <f>IFERROR(__xludf.DUMMYFUNCTION("""COMPUTED_VALUE"""),"")</f>
        <v/>
      </c>
      <c r="X2187" s="143" t="str">
        <f t="shared" si="2"/>
        <v/>
      </c>
      <c r="Y2187" s="139" t="str">
        <f>IFERROR(__xludf.DUMMYFUNCTION("""COMPUTED_VALUE"""),"")</f>
        <v/>
      </c>
      <c r="Z2187" s="141" t="str">
        <f>IFERROR(__xludf.DUMMYFUNCTION("""COMPUTED_VALUE"""),"")</f>
        <v/>
      </c>
    </row>
    <row r="2188">
      <c r="D2188" s="136" t="str">
        <f t="shared" si="3"/>
        <v/>
      </c>
      <c r="E2188" s="152"/>
      <c r="F2188" s="106" t="s">
        <v>133</v>
      </c>
      <c r="G2188" s="152"/>
      <c r="H2188" s="106" t="s">
        <v>133</v>
      </c>
      <c r="J2188" s="139" t="s">
        <v>133</v>
      </c>
      <c r="K2188" s="136" t="s">
        <v>133</v>
      </c>
      <c r="L2188" s="153"/>
      <c r="M2188" s="136" t="str">
        <f t="shared" si="1"/>
        <v/>
      </c>
      <c r="O2188" s="141" t="s">
        <v>133</v>
      </c>
      <c r="P2188" s="136" t="str">
        <f>IFERROR(__xludf.DUMMYFUNCTION("""COMPUTED_VALUE"""),"")</f>
        <v/>
      </c>
      <c r="Q2188" s="136" t="str">
        <f>IFERROR(__xludf.DUMMYFUNCTION("""COMPUTED_VALUE"""),"")</f>
        <v/>
      </c>
      <c r="R2188" s="106" t="str">
        <f>IFERROR(__xludf.DUMMYFUNCTION("""COMPUTED_VALUE"""),"")</f>
        <v/>
      </c>
      <c r="S2188" s="106" t="str">
        <f>IFERROR(__xludf.DUMMYFUNCTION("""COMPUTED_VALUE"""),"")</f>
        <v/>
      </c>
      <c r="T2188" s="139" t="str">
        <f>IFERROR(__xludf.DUMMYFUNCTION("""COMPUTED_VALUE"""),"")</f>
        <v/>
      </c>
      <c r="U2188" s="139" t="str">
        <f>IFERROR(__xludf.DUMMYFUNCTION("""COMPUTED_VALUE"""),"")</f>
        <v/>
      </c>
      <c r="V2188" s="136" t="str">
        <f>IFERROR(__xludf.DUMMYFUNCTION("""COMPUTED_VALUE"""),"")</f>
        <v/>
      </c>
      <c r="W2188" s="106" t="str">
        <f>IFERROR(__xludf.DUMMYFUNCTION("""COMPUTED_VALUE"""),"")</f>
        <v/>
      </c>
      <c r="X2188" s="143" t="str">
        <f t="shared" si="2"/>
        <v/>
      </c>
      <c r="Y2188" s="139" t="str">
        <f>IFERROR(__xludf.DUMMYFUNCTION("""COMPUTED_VALUE"""),"")</f>
        <v/>
      </c>
      <c r="Z2188" s="141" t="str">
        <f>IFERROR(__xludf.DUMMYFUNCTION("""COMPUTED_VALUE"""),"")</f>
        <v/>
      </c>
    </row>
    <row r="2189">
      <c r="D2189" s="136" t="str">
        <f t="shared" si="3"/>
        <v/>
      </c>
      <c r="E2189" s="152"/>
      <c r="F2189" s="106" t="s">
        <v>133</v>
      </c>
      <c r="G2189" s="152"/>
      <c r="H2189" s="106" t="s">
        <v>133</v>
      </c>
      <c r="J2189" s="139" t="s">
        <v>133</v>
      </c>
      <c r="K2189" s="136" t="s">
        <v>133</v>
      </c>
      <c r="L2189" s="153"/>
      <c r="M2189" s="136" t="str">
        <f t="shared" si="1"/>
        <v/>
      </c>
      <c r="O2189" s="141" t="s">
        <v>133</v>
      </c>
      <c r="P2189" s="136" t="str">
        <f>IFERROR(__xludf.DUMMYFUNCTION("""COMPUTED_VALUE"""),"")</f>
        <v/>
      </c>
      <c r="Q2189" s="136" t="str">
        <f>IFERROR(__xludf.DUMMYFUNCTION("""COMPUTED_VALUE"""),"")</f>
        <v/>
      </c>
      <c r="R2189" s="106" t="str">
        <f>IFERROR(__xludf.DUMMYFUNCTION("""COMPUTED_VALUE"""),"")</f>
        <v/>
      </c>
      <c r="S2189" s="106" t="str">
        <f>IFERROR(__xludf.DUMMYFUNCTION("""COMPUTED_VALUE"""),"")</f>
        <v/>
      </c>
      <c r="T2189" s="139" t="str">
        <f>IFERROR(__xludf.DUMMYFUNCTION("""COMPUTED_VALUE"""),"")</f>
        <v/>
      </c>
      <c r="U2189" s="139" t="str">
        <f>IFERROR(__xludf.DUMMYFUNCTION("""COMPUTED_VALUE"""),"")</f>
        <v/>
      </c>
      <c r="V2189" s="136" t="str">
        <f>IFERROR(__xludf.DUMMYFUNCTION("""COMPUTED_VALUE"""),"")</f>
        <v/>
      </c>
      <c r="W2189" s="106" t="str">
        <f>IFERROR(__xludf.DUMMYFUNCTION("""COMPUTED_VALUE"""),"")</f>
        <v/>
      </c>
      <c r="X2189" s="143" t="str">
        <f t="shared" si="2"/>
        <v/>
      </c>
      <c r="Y2189" s="139" t="str">
        <f>IFERROR(__xludf.DUMMYFUNCTION("""COMPUTED_VALUE"""),"")</f>
        <v/>
      </c>
      <c r="Z2189" s="141" t="str">
        <f>IFERROR(__xludf.DUMMYFUNCTION("""COMPUTED_VALUE"""),"")</f>
        <v/>
      </c>
    </row>
    <row r="2190">
      <c r="D2190" s="136" t="str">
        <f t="shared" si="3"/>
        <v/>
      </c>
      <c r="E2190" s="152"/>
      <c r="F2190" s="106" t="s">
        <v>133</v>
      </c>
      <c r="G2190" s="152"/>
      <c r="H2190" s="106" t="s">
        <v>133</v>
      </c>
      <c r="J2190" s="139" t="s">
        <v>133</v>
      </c>
      <c r="K2190" s="136" t="s">
        <v>133</v>
      </c>
      <c r="L2190" s="153"/>
      <c r="M2190" s="136" t="str">
        <f t="shared" si="1"/>
        <v/>
      </c>
      <c r="O2190" s="141" t="s">
        <v>133</v>
      </c>
      <c r="P2190" s="136" t="str">
        <f>IFERROR(__xludf.DUMMYFUNCTION("""COMPUTED_VALUE"""),"")</f>
        <v/>
      </c>
      <c r="Q2190" s="136" t="str">
        <f>IFERROR(__xludf.DUMMYFUNCTION("""COMPUTED_VALUE"""),"")</f>
        <v/>
      </c>
      <c r="R2190" s="106" t="str">
        <f>IFERROR(__xludf.DUMMYFUNCTION("""COMPUTED_VALUE"""),"")</f>
        <v/>
      </c>
      <c r="S2190" s="106" t="str">
        <f>IFERROR(__xludf.DUMMYFUNCTION("""COMPUTED_VALUE"""),"")</f>
        <v/>
      </c>
      <c r="T2190" s="139" t="str">
        <f>IFERROR(__xludf.DUMMYFUNCTION("""COMPUTED_VALUE"""),"")</f>
        <v/>
      </c>
      <c r="U2190" s="139" t="str">
        <f>IFERROR(__xludf.DUMMYFUNCTION("""COMPUTED_VALUE"""),"")</f>
        <v/>
      </c>
      <c r="V2190" s="136" t="str">
        <f>IFERROR(__xludf.DUMMYFUNCTION("""COMPUTED_VALUE"""),"")</f>
        <v/>
      </c>
      <c r="W2190" s="106" t="str">
        <f>IFERROR(__xludf.DUMMYFUNCTION("""COMPUTED_VALUE"""),"")</f>
        <v/>
      </c>
      <c r="X2190" s="143" t="str">
        <f t="shared" si="2"/>
        <v/>
      </c>
      <c r="Y2190" s="139" t="str">
        <f>IFERROR(__xludf.DUMMYFUNCTION("""COMPUTED_VALUE"""),"")</f>
        <v/>
      </c>
      <c r="Z2190" s="141" t="str">
        <f>IFERROR(__xludf.DUMMYFUNCTION("""COMPUTED_VALUE"""),"")</f>
        <v/>
      </c>
    </row>
    <row r="2191">
      <c r="D2191" s="136" t="str">
        <f t="shared" si="3"/>
        <v/>
      </c>
      <c r="E2191" s="152"/>
      <c r="F2191" s="106" t="s">
        <v>133</v>
      </c>
      <c r="G2191" s="152"/>
      <c r="H2191" s="106" t="s">
        <v>133</v>
      </c>
      <c r="J2191" s="139" t="s">
        <v>133</v>
      </c>
      <c r="K2191" s="136" t="s">
        <v>133</v>
      </c>
      <c r="L2191" s="153"/>
      <c r="M2191" s="136" t="str">
        <f t="shared" si="1"/>
        <v/>
      </c>
      <c r="O2191" s="141" t="s">
        <v>133</v>
      </c>
      <c r="P2191" s="136" t="str">
        <f>IFERROR(__xludf.DUMMYFUNCTION("""COMPUTED_VALUE"""),"")</f>
        <v/>
      </c>
      <c r="Q2191" s="136" t="str">
        <f>IFERROR(__xludf.DUMMYFUNCTION("""COMPUTED_VALUE"""),"")</f>
        <v/>
      </c>
      <c r="R2191" s="106" t="str">
        <f>IFERROR(__xludf.DUMMYFUNCTION("""COMPUTED_VALUE"""),"")</f>
        <v/>
      </c>
      <c r="S2191" s="106" t="str">
        <f>IFERROR(__xludf.DUMMYFUNCTION("""COMPUTED_VALUE"""),"")</f>
        <v/>
      </c>
      <c r="T2191" s="139" t="str">
        <f>IFERROR(__xludf.DUMMYFUNCTION("""COMPUTED_VALUE"""),"")</f>
        <v/>
      </c>
      <c r="U2191" s="139" t="str">
        <f>IFERROR(__xludf.DUMMYFUNCTION("""COMPUTED_VALUE"""),"")</f>
        <v/>
      </c>
      <c r="V2191" s="136" t="str">
        <f>IFERROR(__xludf.DUMMYFUNCTION("""COMPUTED_VALUE"""),"")</f>
        <v/>
      </c>
      <c r="W2191" s="106" t="str">
        <f>IFERROR(__xludf.DUMMYFUNCTION("""COMPUTED_VALUE"""),"")</f>
        <v/>
      </c>
      <c r="X2191" s="143" t="str">
        <f t="shared" si="2"/>
        <v/>
      </c>
      <c r="Y2191" s="139" t="str">
        <f>IFERROR(__xludf.DUMMYFUNCTION("""COMPUTED_VALUE"""),"")</f>
        <v/>
      </c>
      <c r="Z2191" s="141" t="str">
        <f>IFERROR(__xludf.DUMMYFUNCTION("""COMPUTED_VALUE"""),"")</f>
        <v/>
      </c>
    </row>
    <row r="2192">
      <c r="D2192" s="136" t="str">
        <f t="shared" si="3"/>
        <v/>
      </c>
      <c r="E2192" s="152"/>
      <c r="F2192" s="106" t="s">
        <v>133</v>
      </c>
      <c r="G2192" s="152"/>
      <c r="H2192" s="106" t="s">
        <v>133</v>
      </c>
      <c r="J2192" s="139" t="s">
        <v>133</v>
      </c>
      <c r="K2192" s="136" t="s">
        <v>133</v>
      </c>
      <c r="L2192" s="153"/>
      <c r="M2192" s="136" t="str">
        <f t="shared" si="1"/>
        <v/>
      </c>
      <c r="O2192" s="141" t="s">
        <v>133</v>
      </c>
      <c r="P2192" s="136" t="str">
        <f>IFERROR(__xludf.DUMMYFUNCTION("""COMPUTED_VALUE"""),"")</f>
        <v/>
      </c>
      <c r="Q2192" s="136" t="str">
        <f>IFERROR(__xludf.DUMMYFUNCTION("""COMPUTED_VALUE"""),"")</f>
        <v/>
      </c>
      <c r="R2192" s="106" t="str">
        <f>IFERROR(__xludf.DUMMYFUNCTION("""COMPUTED_VALUE"""),"")</f>
        <v/>
      </c>
      <c r="S2192" s="106" t="str">
        <f>IFERROR(__xludf.DUMMYFUNCTION("""COMPUTED_VALUE"""),"")</f>
        <v/>
      </c>
      <c r="T2192" s="139" t="str">
        <f>IFERROR(__xludf.DUMMYFUNCTION("""COMPUTED_VALUE"""),"")</f>
        <v/>
      </c>
      <c r="U2192" s="139" t="str">
        <f>IFERROR(__xludf.DUMMYFUNCTION("""COMPUTED_VALUE"""),"")</f>
        <v/>
      </c>
      <c r="V2192" s="136" t="str">
        <f>IFERROR(__xludf.DUMMYFUNCTION("""COMPUTED_VALUE"""),"")</f>
        <v/>
      </c>
      <c r="W2192" s="106" t="str">
        <f>IFERROR(__xludf.DUMMYFUNCTION("""COMPUTED_VALUE"""),"")</f>
        <v/>
      </c>
      <c r="X2192" s="143" t="str">
        <f t="shared" si="2"/>
        <v/>
      </c>
      <c r="Y2192" s="139" t="str">
        <f>IFERROR(__xludf.DUMMYFUNCTION("""COMPUTED_VALUE"""),"")</f>
        <v/>
      </c>
      <c r="Z2192" s="141" t="str">
        <f>IFERROR(__xludf.DUMMYFUNCTION("""COMPUTED_VALUE"""),"")</f>
        <v/>
      </c>
    </row>
    <row r="2193">
      <c r="D2193" s="136" t="str">
        <f t="shared" si="3"/>
        <v/>
      </c>
      <c r="E2193" s="152"/>
      <c r="F2193" s="106" t="s">
        <v>133</v>
      </c>
      <c r="G2193" s="152"/>
      <c r="H2193" s="106" t="s">
        <v>133</v>
      </c>
      <c r="J2193" s="139" t="s">
        <v>133</v>
      </c>
      <c r="K2193" s="136" t="s">
        <v>133</v>
      </c>
      <c r="L2193" s="153"/>
      <c r="M2193" s="136" t="str">
        <f t="shared" si="1"/>
        <v/>
      </c>
      <c r="O2193" s="141" t="s">
        <v>133</v>
      </c>
      <c r="P2193" s="136" t="str">
        <f>IFERROR(__xludf.DUMMYFUNCTION("""COMPUTED_VALUE"""),"")</f>
        <v/>
      </c>
      <c r="Q2193" s="136" t="str">
        <f>IFERROR(__xludf.DUMMYFUNCTION("""COMPUTED_VALUE"""),"")</f>
        <v/>
      </c>
      <c r="R2193" s="106" t="str">
        <f>IFERROR(__xludf.DUMMYFUNCTION("""COMPUTED_VALUE"""),"")</f>
        <v/>
      </c>
      <c r="S2193" s="106" t="str">
        <f>IFERROR(__xludf.DUMMYFUNCTION("""COMPUTED_VALUE"""),"")</f>
        <v/>
      </c>
      <c r="T2193" s="139" t="str">
        <f>IFERROR(__xludf.DUMMYFUNCTION("""COMPUTED_VALUE"""),"")</f>
        <v/>
      </c>
      <c r="U2193" s="139" t="str">
        <f>IFERROR(__xludf.DUMMYFUNCTION("""COMPUTED_VALUE"""),"")</f>
        <v/>
      </c>
      <c r="V2193" s="136" t="str">
        <f>IFERROR(__xludf.DUMMYFUNCTION("""COMPUTED_VALUE"""),"")</f>
        <v/>
      </c>
      <c r="W2193" s="106" t="str">
        <f>IFERROR(__xludf.DUMMYFUNCTION("""COMPUTED_VALUE"""),"")</f>
        <v/>
      </c>
      <c r="X2193" s="143" t="str">
        <f t="shared" si="2"/>
        <v/>
      </c>
      <c r="Y2193" s="139" t="str">
        <f>IFERROR(__xludf.DUMMYFUNCTION("""COMPUTED_VALUE"""),"")</f>
        <v/>
      </c>
      <c r="Z2193" s="141" t="str">
        <f>IFERROR(__xludf.DUMMYFUNCTION("""COMPUTED_VALUE"""),"")</f>
        <v/>
      </c>
    </row>
    <row r="2194">
      <c r="D2194" s="136" t="str">
        <f t="shared" si="3"/>
        <v/>
      </c>
      <c r="E2194" s="152"/>
      <c r="F2194" s="106" t="s">
        <v>133</v>
      </c>
      <c r="G2194" s="152"/>
      <c r="H2194" s="106" t="s">
        <v>133</v>
      </c>
      <c r="J2194" s="139" t="s">
        <v>133</v>
      </c>
      <c r="K2194" s="136" t="s">
        <v>133</v>
      </c>
      <c r="L2194" s="153"/>
      <c r="M2194" s="136" t="str">
        <f t="shared" si="1"/>
        <v/>
      </c>
      <c r="O2194" s="141" t="s">
        <v>133</v>
      </c>
      <c r="P2194" s="136" t="str">
        <f>IFERROR(__xludf.DUMMYFUNCTION("""COMPUTED_VALUE"""),"")</f>
        <v/>
      </c>
      <c r="Q2194" s="136" t="str">
        <f>IFERROR(__xludf.DUMMYFUNCTION("""COMPUTED_VALUE"""),"")</f>
        <v/>
      </c>
      <c r="R2194" s="106" t="str">
        <f>IFERROR(__xludf.DUMMYFUNCTION("""COMPUTED_VALUE"""),"")</f>
        <v/>
      </c>
      <c r="S2194" s="106" t="str">
        <f>IFERROR(__xludf.DUMMYFUNCTION("""COMPUTED_VALUE"""),"")</f>
        <v/>
      </c>
      <c r="T2194" s="139" t="str">
        <f>IFERROR(__xludf.DUMMYFUNCTION("""COMPUTED_VALUE"""),"")</f>
        <v/>
      </c>
      <c r="U2194" s="139" t="str">
        <f>IFERROR(__xludf.DUMMYFUNCTION("""COMPUTED_VALUE"""),"")</f>
        <v/>
      </c>
      <c r="V2194" s="136" t="str">
        <f>IFERROR(__xludf.DUMMYFUNCTION("""COMPUTED_VALUE"""),"")</f>
        <v/>
      </c>
      <c r="W2194" s="106" t="str">
        <f>IFERROR(__xludf.DUMMYFUNCTION("""COMPUTED_VALUE"""),"")</f>
        <v/>
      </c>
      <c r="X2194" s="143" t="str">
        <f t="shared" si="2"/>
        <v/>
      </c>
      <c r="Y2194" s="139" t="str">
        <f>IFERROR(__xludf.DUMMYFUNCTION("""COMPUTED_VALUE"""),"")</f>
        <v/>
      </c>
      <c r="Z2194" s="141" t="str">
        <f>IFERROR(__xludf.DUMMYFUNCTION("""COMPUTED_VALUE"""),"")</f>
        <v/>
      </c>
    </row>
    <row r="2195">
      <c r="D2195" s="136" t="str">
        <f t="shared" si="3"/>
        <v/>
      </c>
      <c r="E2195" s="152"/>
      <c r="F2195" s="106" t="s">
        <v>133</v>
      </c>
      <c r="G2195" s="152"/>
      <c r="H2195" s="106" t="s">
        <v>133</v>
      </c>
      <c r="J2195" s="139" t="s">
        <v>133</v>
      </c>
      <c r="K2195" s="136" t="s">
        <v>133</v>
      </c>
      <c r="L2195" s="153"/>
      <c r="M2195" s="136" t="str">
        <f t="shared" si="1"/>
        <v/>
      </c>
      <c r="O2195" s="141" t="s">
        <v>133</v>
      </c>
      <c r="P2195" s="136" t="str">
        <f>IFERROR(__xludf.DUMMYFUNCTION("""COMPUTED_VALUE"""),"")</f>
        <v/>
      </c>
      <c r="Q2195" s="136" t="str">
        <f>IFERROR(__xludf.DUMMYFUNCTION("""COMPUTED_VALUE"""),"")</f>
        <v/>
      </c>
      <c r="R2195" s="106" t="str">
        <f>IFERROR(__xludf.DUMMYFUNCTION("""COMPUTED_VALUE"""),"")</f>
        <v/>
      </c>
      <c r="S2195" s="106" t="str">
        <f>IFERROR(__xludf.DUMMYFUNCTION("""COMPUTED_VALUE"""),"")</f>
        <v/>
      </c>
      <c r="T2195" s="139" t="str">
        <f>IFERROR(__xludf.DUMMYFUNCTION("""COMPUTED_VALUE"""),"")</f>
        <v/>
      </c>
      <c r="U2195" s="139" t="str">
        <f>IFERROR(__xludf.DUMMYFUNCTION("""COMPUTED_VALUE"""),"")</f>
        <v/>
      </c>
      <c r="V2195" s="136" t="str">
        <f>IFERROR(__xludf.DUMMYFUNCTION("""COMPUTED_VALUE"""),"")</f>
        <v/>
      </c>
      <c r="W2195" s="106" t="str">
        <f>IFERROR(__xludf.DUMMYFUNCTION("""COMPUTED_VALUE"""),"")</f>
        <v/>
      </c>
      <c r="X2195" s="143" t="str">
        <f t="shared" si="2"/>
        <v/>
      </c>
      <c r="Y2195" s="139" t="str">
        <f>IFERROR(__xludf.DUMMYFUNCTION("""COMPUTED_VALUE"""),"")</f>
        <v/>
      </c>
      <c r="Z2195" s="141" t="str">
        <f>IFERROR(__xludf.DUMMYFUNCTION("""COMPUTED_VALUE"""),"")</f>
        <v/>
      </c>
    </row>
    <row r="2196">
      <c r="D2196" s="136" t="str">
        <f t="shared" si="3"/>
        <v/>
      </c>
      <c r="E2196" s="152"/>
      <c r="F2196" s="106" t="s">
        <v>133</v>
      </c>
      <c r="G2196" s="152"/>
      <c r="H2196" s="106" t="s">
        <v>133</v>
      </c>
      <c r="J2196" s="139" t="s">
        <v>133</v>
      </c>
      <c r="K2196" s="136" t="s">
        <v>133</v>
      </c>
      <c r="L2196" s="153"/>
      <c r="M2196" s="136" t="str">
        <f t="shared" si="1"/>
        <v/>
      </c>
      <c r="O2196" s="141" t="s">
        <v>133</v>
      </c>
      <c r="P2196" s="136" t="str">
        <f>IFERROR(__xludf.DUMMYFUNCTION("""COMPUTED_VALUE"""),"")</f>
        <v/>
      </c>
      <c r="Q2196" s="136" t="str">
        <f>IFERROR(__xludf.DUMMYFUNCTION("""COMPUTED_VALUE"""),"")</f>
        <v/>
      </c>
      <c r="R2196" s="106" t="str">
        <f>IFERROR(__xludf.DUMMYFUNCTION("""COMPUTED_VALUE"""),"")</f>
        <v/>
      </c>
      <c r="S2196" s="106" t="str">
        <f>IFERROR(__xludf.DUMMYFUNCTION("""COMPUTED_VALUE"""),"")</f>
        <v/>
      </c>
      <c r="T2196" s="139" t="str">
        <f>IFERROR(__xludf.DUMMYFUNCTION("""COMPUTED_VALUE"""),"")</f>
        <v/>
      </c>
      <c r="U2196" s="139" t="str">
        <f>IFERROR(__xludf.DUMMYFUNCTION("""COMPUTED_VALUE"""),"")</f>
        <v/>
      </c>
      <c r="V2196" s="136" t="str">
        <f>IFERROR(__xludf.DUMMYFUNCTION("""COMPUTED_VALUE"""),"")</f>
        <v/>
      </c>
      <c r="W2196" s="106" t="str">
        <f>IFERROR(__xludf.DUMMYFUNCTION("""COMPUTED_VALUE"""),"")</f>
        <v/>
      </c>
      <c r="X2196" s="143" t="str">
        <f t="shared" si="2"/>
        <v/>
      </c>
      <c r="Y2196" s="139" t="str">
        <f>IFERROR(__xludf.DUMMYFUNCTION("""COMPUTED_VALUE"""),"")</f>
        <v/>
      </c>
      <c r="Z2196" s="141" t="str">
        <f>IFERROR(__xludf.DUMMYFUNCTION("""COMPUTED_VALUE"""),"")</f>
        <v/>
      </c>
    </row>
    <row r="2197">
      <c r="D2197" s="136" t="str">
        <f t="shared" si="3"/>
        <v/>
      </c>
      <c r="E2197" s="152"/>
      <c r="F2197" s="106" t="s">
        <v>133</v>
      </c>
      <c r="G2197" s="152"/>
      <c r="H2197" s="106" t="s">
        <v>133</v>
      </c>
      <c r="J2197" s="139" t="s">
        <v>133</v>
      </c>
      <c r="K2197" s="136" t="s">
        <v>133</v>
      </c>
      <c r="L2197" s="153"/>
      <c r="M2197" s="136" t="str">
        <f t="shared" si="1"/>
        <v/>
      </c>
      <c r="O2197" s="141" t="s">
        <v>133</v>
      </c>
      <c r="P2197" s="136" t="str">
        <f>IFERROR(__xludf.DUMMYFUNCTION("""COMPUTED_VALUE"""),"")</f>
        <v/>
      </c>
      <c r="Q2197" s="136" t="str">
        <f>IFERROR(__xludf.DUMMYFUNCTION("""COMPUTED_VALUE"""),"")</f>
        <v/>
      </c>
      <c r="R2197" s="106" t="str">
        <f>IFERROR(__xludf.DUMMYFUNCTION("""COMPUTED_VALUE"""),"")</f>
        <v/>
      </c>
      <c r="S2197" s="106" t="str">
        <f>IFERROR(__xludf.DUMMYFUNCTION("""COMPUTED_VALUE"""),"")</f>
        <v/>
      </c>
      <c r="T2197" s="139" t="str">
        <f>IFERROR(__xludf.DUMMYFUNCTION("""COMPUTED_VALUE"""),"")</f>
        <v/>
      </c>
      <c r="U2197" s="139" t="str">
        <f>IFERROR(__xludf.DUMMYFUNCTION("""COMPUTED_VALUE"""),"")</f>
        <v/>
      </c>
      <c r="V2197" s="136" t="str">
        <f>IFERROR(__xludf.DUMMYFUNCTION("""COMPUTED_VALUE"""),"")</f>
        <v/>
      </c>
      <c r="W2197" s="106" t="str">
        <f>IFERROR(__xludf.DUMMYFUNCTION("""COMPUTED_VALUE"""),"")</f>
        <v/>
      </c>
      <c r="X2197" s="143" t="str">
        <f t="shared" si="2"/>
        <v/>
      </c>
      <c r="Y2197" s="139" t="str">
        <f>IFERROR(__xludf.DUMMYFUNCTION("""COMPUTED_VALUE"""),"")</f>
        <v/>
      </c>
      <c r="Z2197" s="141" t="str">
        <f>IFERROR(__xludf.DUMMYFUNCTION("""COMPUTED_VALUE"""),"")</f>
        <v/>
      </c>
    </row>
    <row r="2198">
      <c r="D2198" s="136" t="str">
        <f t="shared" si="3"/>
        <v/>
      </c>
      <c r="E2198" s="152"/>
      <c r="F2198" s="106" t="s">
        <v>133</v>
      </c>
      <c r="G2198" s="152"/>
      <c r="H2198" s="106" t="s">
        <v>133</v>
      </c>
      <c r="J2198" s="139" t="s">
        <v>133</v>
      </c>
      <c r="K2198" s="136" t="s">
        <v>133</v>
      </c>
      <c r="L2198" s="153"/>
      <c r="M2198" s="136" t="str">
        <f t="shared" si="1"/>
        <v/>
      </c>
      <c r="O2198" s="141" t="s">
        <v>133</v>
      </c>
      <c r="P2198" s="136" t="str">
        <f>IFERROR(__xludf.DUMMYFUNCTION("""COMPUTED_VALUE"""),"")</f>
        <v/>
      </c>
      <c r="Q2198" s="136" t="str">
        <f>IFERROR(__xludf.DUMMYFUNCTION("""COMPUTED_VALUE"""),"")</f>
        <v/>
      </c>
      <c r="R2198" s="106" t="str">
        <f>IFERROR(__xludf.DUMMYFUNCTION("""COMPUTED_VALUE"""),"")</f>
        <v/>
      </c>
      <c r="S2198" s="106" t="str">
        <f>IFERROR(__xludf.DUMMYFUNCTION("""COMPUTED_VALUE"""),"")</f>
        <v/>
      </c>
      <c r="T2198" s="139" t="str">
        <f>IFERROR(__xludf.DUMMYFUNCTION("""COMPUTED_VALUE"""),"")</f>
        <v/>
      </c>
      <c r="U2198" s="139" t="str">
        <f>IFERROR(__xludf.DUMMYFUNCTION("""COMPUTED_VALUE"""),"")</f>
        <v/>
      </c>
      <c r="V2198" s="136" t="str">
        <f>IFERROR(__xludf.DUMMYFUNCTION("""COMPUTED_VALUE"""),"")</f>
        <v/>
      </c>
      <c r="W2198" s="106" t="str">
        <f>IFERROR(__xludf.DUMMYFUNCTION("""COMPUTED_VALUE"""),"")</f>
        <v/>
      </c>
      <c r="X2198" s="143" t="str">
        <f t="shared" si="2"/>
        <v/>
      </c>
      <c r="Y2198" s="139" t="str">
        <f>IFERROR(__xludf.DUMMYFUNCTION("""COMPUTED_VALUE"""),"")</f>
        <v/>
      </c>
      <c r="Z2198" s="141" t="str">
        <f>IFERROR(__xludf.DUMMYFUNCTION("""COMPUTED_VALUE"""),"")</f>
        <v/>
      </c>
    </row>
    <row r="2199">
      <c r="D2199" s="136" t="str">
        <f t="shared" si="3"/>
        <v/>
      </c>
      <c r="E2199" s="152"/>
      <c r="F2199" s="106" t="s">
        <v>133</v>
      </c>
      <c r="G2199" s="152"/>
      <c r="H2199" s="106" t="s">
        <v>133</v>
      </c>
      <c r="J2199" s="139" t="s">
        <v>133</v>
      </c>
      <c r="K2199" s="136" t="s">
        <v>133</v>
      </c>
      <c r="L2199" s="153"/>
      <c r="M2199" s="136" t="str">
        <f t="shared" si="1"/>
        <v/>
      </c>
      <c r="O2199" s="141" t="s">
        <v>133</v>
      </c>
      <c r="P2199" s="136" t="str">
        <f>IFERROR(__xludf.DUMMYFUNCTION("""COMPUTED_VALUE"""),"")</f>
        <v/>
      </c>
      <c r="Q2199" s="136" t="str">
        <f>IFERROR(__xludf.DUMMYFUNCTION("""COMPUTED_VALUE"""),"")</f>
        <v/>
      </c>
      <c r="R2199" s="106" t="str">
        <f>IFERROR(__xludf.DUMMYFUNCTION("""COMPUTED_VALUE"""),"")</f>
        <v/>
      </c>
      <c r="S2199" s="106" t="str">
        <f>IFERROR(__xludf.DUMMYFUNCTION("""COMPUTED_VALUE"""),"")</f>
        <v/>
      </c>
      <c r="T2199" s="139" t="str">
        <f>IFERROR(__xludf.DUMMYFUNCTION("""COMPUTED_VALUE"""),"")</f>
        <v/>
      </c>
      <c r="U2199" s="139" t="str">
        <f>IFERROR(__xludf.DUMMYFUNCTION("""COMPUTED_VALUE"""),"")</f>
        <v/>
      </c>
      <c r="V2199" s="136" t="str">
        <f>IFERROR(__xludf.DUMMYFUNCTION("""COMPUTED_VALUE"""),"")</f>
        <v/>
      </c>
      <c r="W2199" s="106" t="str">
        <f>IFERROR(__xludf.DUMMYFUNCTION("""COMPUTED_VALUE"""),"")</f>
        <v/>
      </c>
      <c r="X2199" s="143" t="str">
        <f t="shared" si="2"/>
        <v/>
      </c>
      <c r="Y2199" s="139" t="str">
        <f>IFERROR(__xludf.DUMMYFUNCTION("""COMPUTED_VALUE"""),"")</f>
        <v/>
      </c>
      <c r="Z2199" s="141" t="str">
        <f>IFERROR(__xludf.DUMMYFUNCTION("""COMPUTED_VALUE"""),"")</f>
        <v/>
      </c>
    </row>
    <row r="2200">
      <c r="D2200" s="136" t="str">
        <f t="shared" si="3"/>
        <v/>
      </c>
      <c r="E2200" s="152"/>
      <c r="F2200" s="106" t="s">
        <v>133</v>
      </c>
      <c r="G2200" s="152"/>
      <c r="H2200" s="106" t="s">
        <v>133</v>
      </c>
      <c r="J2200" s="139" t="s">
        <v>133</v>
      </c>
      <c r="K2200" s="136" t="s">
        <v>133</v>
      </c>
      <c r="L2200" s="153"/>
      <c r="M2200" s="136" t="str">
        <f t="shared" si="1"/>
        <v/>
      </c>
      <c r="O2200" s="141" t="s">
        <v>133</v>
      </c>
      <c r="P2200" s="136" t="str">
        <f>IFERROR(__xludf.DUMMYFUNCTION("""COMPUTED_VALUE"""),"")</f>
        <v/>
      </c>
      <c r="Q2200" s="136" t="str">
        <f>IFERROR(__xludf.DUMMYFUNCTION("""COMPUTED_VALUE"""),"")</f>
        <v/>
      </c>
      <c r="R2200" s="106" t="str">
        <f>IFERROR(__xludf.DUMMYFUNCTION("""COMPUTED_VALUE"""),"")</f>
        <v/>
      </c>
      <c r="S2200" s="106" t="str">
        <f>IFERROR(__xludf.DUMMYFUNCTION("""COMPUTED_VALUE"""),"")</f>
        <v/>
      </c>
      <c r="T2200" s="139" t="str">
        <f>IFERROR(__xludf.DUMMYFUNCTION("""COMPUTED_VALUE"""),"")</f>
        <v/>
      </c>
      <c r="U2200" s="139" t="str">
        <f>IFERROR(__xludf.DUMMYFUNCTION("""COMPUTED_VALUE"""),"")</f>
        <v/>
      </c>
      <c r="V2200" s="136" t="str">
        <f>IFERROR(__xludf.DUMMYFUNCTION("""COMPUTED_VALUE"""),"")</f>
        <v/>
      </c>
      <c r="W2200" s="106" t="str">
        <f>IFERROR(__xludf.DUMMYFUNCTION("""COMPUTED_VALUE"""),"")</f>
        <v/>
      </c>
      <c r="X2200" s="143" t="str">
        <f t="shared" si="2"/>
        <v/>
      </c>
      <c r="Y2200" s="139" t="str">
        <f>IFERROR(__xludf.DUMMYFUNCTION("""COMPUTED_VALUE"""),"")</f>
        <v/>
      </c>
      <c r="Z2200" s="141" t="str">
        <f>IFERROR(__xludf.DUMMYFUNCTION("""COMPUTED_VALUE"""),"")</f>
        <v/>
      </c>
    </row>
    <row r="2201">
      <c r="D2201" s="136" t="str">
        <f t="shared" si="3"/>
        <v/>
      </c>
      <c r="E2201" s="152"/>
      <c r="F2201" s="106" t="s">
        <v>133</v>
      </c>
      <c r="G2201" s="152"/>
      <c r="H2201" s="106" t="s">
        <v>133</v>
      </c>
      <c r="J2201" s="139" t="s">
        <v>133</v>
      </c>
      <c r="K2201" s="136" t="s">
        <v>133</v>
      </c>
      <c r="L2201" s="153"/>
      <c r="M2201" s="136" t="str">
        <f t="shared" si="1"/>
        <v/>
      </c>
      <c r="O2201" s="141" t="s">
        <v>133</v>
      </c>
      <c r="P2201" s="136" t="str">
        <f>IFERROR(__xludf.DUMMYFUNCTION("""COMPUTED_VALUE"""),"")</f>
        <v/>
      </c>
      <c r="Q2201" s="136" t="str">
        <f>IFERROR(__xludf.DUMMYFUNCTION("""COMPUTED_VALUE"""),"")</f>
        <v/>
      </c>
      <c r="R2201" s="106" t="str">
        <f>IFERROR(__xludf.DUMMYFUNCTION("""COMPUTED_VALUE"""),"")</f>
        <v/>
      </c>
      <c r="S2201" s="106" t="str">
        <f>IFERROR(__xludf.DUMMYFUNCTION("""COMPUTED_VALUE"""),"")</f>
        <v/>
      </c>
      <c r="T2201" s="139" t="str">
        <f>IFERROR(__xludf.DUMMYFUNCTION("""COMPUTED_VALUE"""),"")</f>
        <v/>
      </c>
      <c r="U2201" s="139" t="str">
        <f>IFERROR(__xludf.DUMMYFUNCTION("""COMPUTED_VALUE"""),"")</f>
        <v/>
      </c>
      <c r="V2201" s="136" t="str">
        <f>IFERROR(__xludf.DUMMYFUNCTION("""COMPUTED_VALUE"""),"")</f>
        <v/>
      </c>
      <c r="W2201" s="106" t="str">
        <f>IFERROR(__xludf.DUMMYFUNCTION("""COMPUTED_VALUE"""),"")</f>
        <v/>
      </c>
      <c r="X2201" s="143" t="str">
        <f t="shared" si="2"/>
        <v/>
      </c>
      <c r="Y2201" s="139" t="str">
        <f>IFERROR(__xludf.DUMMYFUNCTION("""COMPUTED_VALUE"""),"")</f>
        <v/>
      </c>
      <c r="Z2201" s="141" t="str">
        <f>IFERROR(__xludf.DUMMYFUNCTION("""COMPUTED_VALUE"""),"")</f>
        <v/>
      </c>
    </row>
    <row r="2202">
      <c r="D2202" s="136" t="str">
        <f t="shared" si="3"/>
        <v/>
      </c>
      <c r="E2202" s="152"/>
      <c r="F2202" s="106" t="s">
        <v>133</v>
      </c>
      <c r="G2202" s="152"/>
      <c r="H2202" s="106" t="s">
        <v>133</v>
      </c>
      <c r="J2202" s="139" t="s">
        <v>133</v>
      </c>
      <c r="K2202" s="136" t="s">
        <v>133</v>
      </c>
      <c r="L2202" s="153"/>
      <c r="M2202" s="136" t="str">
        <f t="shared" si="1"/>
        <v/>
      </c>
      <c r="O2202" s="141" t="s">
        <v>133</v>
      </c>
      <c r="P2202" s="136" t="str">
        <f>IFERROR(__xludf.DUMMYFUNCTION("""COMPUTED_VALUE"""),"")</f>
        <v/>
      </c>
      <c r="Q2202" s="136" t="str">
        <f>IFERROR(__xludf.DUMMYFUNCTION("""COMPUTED_VALUE"""),"")</f>
        <v/>
      </c>
      <c r="R2202" s="106" t="str">
        <f>IFERROR(__xludf.DUMMYFUNCTION("""COMPUTED_VALUE"""),"")</f>
        <v/>
      </c>
      <c r="S2202" s="106" t="str">
        <f>IFERROR(__xludf.DUMMYFUNCTION("""COMPUTED_VALUE"""),"")</f>
        <v/>
      </c>
      <c r="T2202" s="139" t="str">
        <f>IFERROR(__xludf.DUMMYFUNCTION("""COMPUTED_VALUE"""),"")</f>
        <v/>
      </c>
      <c r="U2202" s="139" t="str">
        <f>IFERROR(__xludf.DUMMYFUNCTION("""COMPUTED_VALUE"""),"")</f>
        <v/>
      </c>
      <c r="V2202" s="136" t="str">
        <f>IFERROR(__xludf.DUMMYFUNCTION("""COMPUTED_VALUE"""),"")</f>
        <v/>
      </c>
      <c r="W2202" s="106" t="str">
        <f>IFERROR(__xludf.DUMMYFUNCTION("""COMPUTED_VALUE"""),"")</f>
        <v/>
      </c>
      <c r="X2202" s="143" t="str">
        <f t="shared" si="2"/>
        <v/>
      </c>
      <c r="Y2202" s="139" t="str">
        <f>IFERROR(__xludf.DUMMYFUNCTION("""COMPUTED_VALUE"""),"")</f>
        <v/>
      </c>
      <c r="Z2202" s="141" t="str">
        <f>IFERROR(__xludf.DUMMYFUNCTION("""COMPUTED_VALUE"""),"")</f>
        <v/>
      </c>
    </row>
    <row r="2203">
      <c r="D2203" s="136" t="str">
        <f t="shared" si="3"/>
        <v/>
      </c>
      <c r="E2203" s="152"/>
      <c r="F2203" s="106" t="s">
        <v>133</v>
      </c>
      <c r="G2203" s="152"/>
      <c r="H2203" s="106" t="s">
        <v>133</v>
      </c>
      <c r="J2203" s="139" t="s">
        <v>133</v>
      </c>
      <c r="K2203" s="136" t="s">
        <v>133</v>
      </c>
      <c r="L2203" s="153"/>
      <c r="M2203" s="136" t="str">
        <f t="shared" si="1"/>
        <v/>
      </c>
      <c r="O2203" s="141" t="s">
        <v>133</v>
      </c>
      <c r="P2203" s="136" t="str">
        <f>IFERROR(__xludf.DUMMYFUNCTION("""COMPUTED_VALUE"""),"")</f>
        <v/>
      </c>
      <c r="Q2203" s="136" t="str">
        <f>IFERROR(__xludf.DUMMYFUNCTION("""COMPUTED_VALUE"""),"")</f>
        <v/>
      </c>
      <c r="R2203" s="106" t="str">
        <f>IFERROR(__xludf.DUMMYFUNCTION("""COMPUTED_VALUE"""),"")</f>
        <v/>
      </c>
      <c r="S2203" s="106" t="str">
        <f>IFERROR(__xludf.DUMMYFUNCTION("""COMPUTED_VALUE"""),"")</f>
        <v/>
      </c>
      <c r="T2203" s="139" t="str">
        <f>IFERROR(__xludf.DUMMYFUNCTION("""COMPUTED_VALUE"""),"")</f>
        <v/>
      </c>
      <c r="U2203" s="139" t="str">
        <f>IFERROR(__xludf.DUMMYFUNCTION("""COMPUTED_VALUE"""),"")</f>
        <v/>
      </c>
      <c r="V2203" s="136" t="str">
        <f>IFERROR(__xludf.DUMMYFUNCTION("""COMPUTED_VALUE"""),"")</f>
        <v/>
      </c>
      <c r="W2203" s="106" t="str">
        <f>IFERROR(__xludf.DUMMYFUNCTION("""COMPUTED_VALUE"""),"")</f>
        <v/>
      </c>
      <c r="X2203" s="143" t="str">
        <f t="shared" si="2"/>
        <v/>
      </c>
      <c r="Y2203" s="139" t="str">
        <f>IFERROR(__xludf.DUMMYFUNCTION("""COMPUTED_VALUE"""),"")</f>
        <v/>
      </c>
      <c r="Z2203" s="141" t="str">
        <f>IFERROR(__xludf.DUMMYFUNCTION("""COMPUTED_VALUE"""),"")</f>
        <v/>
      </c>
    </row>
    <row r="2204">
      <c r="D2204" s="136" t="str">
        <f t="shared" si="3"/>
        <v/>
      </c>
      <c r="E2204" s="152"/>
      <c r="F2204" s="106" t="s">
        <v>133</v>
      </c>
      <c r="G2204" s="152"/>
      <c r="H2204" s="106" t="s">
        <v>133</v>
      </c>
      <c r="J2204" s="139" t="s">
        <v>133</v>
      </c>
      <c r="K2204" s="136" t="s">
        <v>133</v>
      </c>
      <c r="L2204" s="153"/>
      <c r="M2204" s="136" t="str">
        <f t="shared" si="1"/>
        <v/>
      </c>
      <c r="O2204" s="141" t="s">
        <v>133</v>
      </c>
      <c r="P2204" s="136" t="str">
        <f>IFERROR(__xludf.DUMMYFUNCTION("""COMPUTED_VALUE"""),"")</f>
        <v/>
      </c>
      <c r="Q2204" s="136" t="str">
        <f>IFERROR(__xludf.DUMMYFUNCTION("""COMPUTED_VALUE"""),"")</f>
        <v/>
      </c>
      <c r="R2204" s="106" t="str">
        <f>IFERROR(__xludf.DUMMYFUNCTION("""COMPUTED_VALUE"""),"")</f>
        <v/>
      </c>
      <c r="S2204" s="106" t="str">
        <f>IFERROR(__xludf.DUMMYFUNCTION("""COMPUTED_VALUE"""),"")</f>
        <v/>
      </c>
      <c r="T2204" s="139" t="str">
        <f>IFERROR(__xludf.DUMMYFUNCTION("""COMPUTED_VALUE"""),"")</f>
        <v/>
      </c>
      <c r="U2204" s="139" t="str">
        <f>IFERROR(__xludf.DUMMYFUNCTION("""COMPUTED_VALUE"""),"")</f>
        <v/>
      </c>
      <c r="V2204" s="136" t="str">
        <f>IFERROR(__xludf.DUMMYFUNCTION("""COMPUTED_VALUE"""),"")</f>
        <v/>
      </c>
      <c r="W2204" s="106" t="str">
        <f>IFERROR(__xludf.DUMMYFUNCTION("""COMPUTED_VALUE"""),"")</f>
        <v/>
      </c>
      <c r="X2204" s="143" t="str">
        <f t="shared" si="2"/>
        <v/>
      </c>
      <c r="Y2204" s="139" t="str">
        <f>IFERROR(__xludf.DUMMYFUNCTION("""COMPUTED_VALUE"""),"")</f>
        <v/>
      </c>
      <c r="Z2204" s="141" t="str">
        <f>IFERROR(__xludf.DUMMYFUNCTION("""COMPUTED_VALUE"""),"")</f>
        <v/>
      </c>
    </row>
    <row r="2205">
      <c r="D2205" s="136" t="str">
        <f t="shared" si="3"/>
        <v/>
      </c>
      <c r="E2205" s="152"/>
      <c r="F2205" s="106" t="s">
        <v>133</v>
      </c>
      <c r="G2205" s="152"/>
      <c r="H2205" s="106" t="s">
        <v>133</v>
      </c>
      <c r="J2205" s="139" t="s">
        <v>133</v>
      </c>
      <c r="K2205" s="136" t="s">
        <v>133</v>
      </c>
      <c r="L2205" s="153"/>
      <c r="M2205" s="136" t="str">
        <f t="shared" si="1"/>
        <v/>
      </c>
      <c r="O2205" s="141" t="s">
        <v>133</v>
      </c>
      <c r="P2205" s="136" t="str">
        <f>IFERROR(__xludf.DUMMYFUNCTION("""COMPUTED_VALUE"""),"")</f>
        <v/>
      </c>
      <c r="Q2205" s="136" t="str">
        <f>IFERROR(__xludf.DUMMYFUNCTION("""COMPUTED_VALUE"""),"")</f>
        <v/>
      </c>
      <c r="R2205" s="106" t="str">
        <f>IFERROR(__xludf.DUMMYFUNCTION("""COMPUTED_VALUE"""),"")</f>
        <v/>
      </c>
      <c r="S2205" s="106" t="str">
        <f>IFERROR(__xludf.DUMMYFUNCTION("""COMPUTED_VALUE"""),"")</f>
        <v/>
      </c>
      <c r="T2205" s="139" t="str">
        <f>IFERROR(__xludf.DUMMYFUNCTION("""COMPUTED_VALUE"""),"")</f>
        <v/>
      </c>
      <c r="U2205" s="139" t="str">
        <f>IFERROR(__xludf.DUMMYFUNCTION("""COMPUTED_VALUE"""),"")</f>
        <v/>
      </c>
      <c r="V2205" s="136" t="str">
        <f>IFERROR(__xludf.DUMMYFUNCTION("""COMPUTED_VALUE"""),"")</f>
        <v/>
      </c>
      <c r="W2205" s="106" t="str">
        <f>IFERROR(__xludf.DUMMYFUNCTION("""COMPUTED_VALUE"""),"")</f>
        <v/>
      </c>
      <c r="X2205" s="143" t="str">
        <f t="shared" si="2"/>
        <v/>
      </c>
      <c r="Y2205" s="139" t="str">
        <f>IFERROR(__xludf.DUMMYFUNCTION("""COMPUTED_VALUE"""),"")</f>
        <v/>
      </c>
      <c r="Z2205" s="141" t="str">
        <f>IFERROR(__xludf.DUMMYFUNCTION("""COMPUTED_VALUE"""),"")</f>
        <v/>
      </c>
    </row>
    <row r="2206">
      <c r="D2206" s="136" t="str">
        <f t="shared" si="3"/>
        <v/>
      </c>
      <c r="E2206" s="152"/>
      <c r="F2206" s="106" t="s">
        <v>133</v>
      </c>
      <c r="G2206" s="152"/>
      <c r="H2206" s="106" t="s">
        <v>133</v>
      </c>
      <c r="J2206" s="139" t="s">
        <v>133</v>
      </c>
      <c r="K2206" s="136" t="s">
        <v>133</v>
      </c>
      <c r="L2206" s="153"/>
      <c r="M2206" s="136" t="str">
        <f t="shared" si="1"/>
        <v/>
      </c>
      <c r="O2206" s="141" t="s">
        <v>133</v>
      </c>
      <c r="P2206" s="136" t="str">
        <f>IFERROR(__xludf.DUMMYFUNCTION("""COMPUTED_VALUE"""),"")</f>
        <v/>
      </c>
      <c r="Q2206" s="136" t="str">
        <f>IFERROR(__xludf.DUMMYFUNCTION("""COMPUTED_VALUE"""),"")</f>
        <v/>
      </c>
      <c r="R2206" s="106" t="str">
        <f>IFERROR(__xludf.DUMMYFUNCTION("""COMPUTED_VALUE"""),"")</f>
        <v/>
      </c>
      <c r="S2206" s="106" t="str">
        <f>IFERROR(__xludf.DUMMYFUNCTION("""COMPUTED_VALUE"""),"")</f>
        <v/>
      </c>
      <c r="T2206" s="139" t="str">
        <f>IFERROR(__xludf.DUMMYFUNCTION("""COMPUTED_VALUE"""),"")</f>
        <v/>
      </c>
      <c r="U2206" s="139" t="str">
        <f>IFERROR(__xludf.DUMMYFUNCTION("""COMPUTED_VALUE"""),"")</f>
        <v/>
      </c>
      <c r="V2206" s="136" t="str">
        <f>IFERROR(__xludf.DUMMYFUNCTION("""COMPUTED_VALUE"""),"")</f>
        <v/>
      </c>
      <c r="W2206" s="106" t="str">
        <f>IFERROR(__xludf.DUMMYFUNCTION("""COMPUTED_VALUE"""),"")</f>
        <v/>
      </c>
      <c r="X2206" s="143" t="str">
        <f t="shared" si="2"/>
        <v/>
      </c>
      <c r="Y2206" s="139" t="str">
        <f>IFERROR(__xludf.DUMMYFUNCTION("""COMPUTED_VALUE"""),"")</f>
        <v/>
      </c>
      <c r="Z2206" s="141" t="str">
        <f>IFERROR(__xludf.DUMMYFUNCTION("""COMPUTED_VALUE"""),"")</f>
        <v/>
      </c>
    </row>
    <row r="2207">
      <c r="D2207" s="136" t="str">
        <f t="shared" si="3"/>
        <v/>
      </c>
      <c r="E2207" s="152"/>
      <c r="F2207" s="106" t="s">
        <v>133</v>
      </c>
      <c r="G2207" s="152"/>
      <c r="H2207" s="106" t="s">
        <v>133</v>
      </c>
      <c r="J2207" s="139" t="s">
        <v>133</v>
      </c>
      <c r="K2207" s="136" t="s">
        <v>133</v>
      </c>
      <c r="L2207" s="153"/>
      <c r="M2207" s="136" t="str">
        <f t="shared" si="1"/>
        <v/>
      </c>
      <c r="O2207" s="141" t="s">
        <v>133</v>
      </c>
      <c r="P2207" s="136" t="str">
        <f>IFERROR(__xludf.DUMMYFUNCTION("""COMPUTED_VALUE"""),"")</f>
        <v/>
      </c>
      <c r="Q2207" s="136" t="str">
        <f>IFERROR(__xludf.DUMMYFUNCTION("""COMPUTED_VALUE"""),"")</f>
        <v/>
      </c>
      <c r="R2207" s="106" t="str">
        <f>IFERROR(__xludf.DUMMYFUNCTION("""COMPUTED_VALUE"""),"")</f>
        <v/>
      </c>
      <c r="S2207" s="106" t="str">
        <f>IFERROR(__xludf.DUMMYFUNCTION("""COMPUTED_VALUE"""),"")</f>
        <v/>
      </c>
      <c r="T2207" s="139" t="str">
        <f>IFERROR(__xludf.DUMMYFUNCTION("""COMPUTED_VALUE"""),"")</f>
        <v/>
      </c>
      <c r="U2207" s="139" t="str">
        <f>IFERROR(__xludf.DUMMYFUNCTION("""COMPUTED_VALUE"""),"")</f>
        <v/>
      </c>
      <c r="V2207" s="136" t="str">
        <f>IFERROR(__xludf.DUMMYFUNCTION("""COMPUTED_VALUE"""),"")</f>
        <v/>
      </c>
      <c r="W2207" s="106" t="str">
        <f>IFERROR(__xludf.DUMMYFUNCTION("""COMPUTED_VALUE"""),"")</f>
        <v/>
      </c>
      <c r="X2207" s="143" t="str">
        <f t="shared" si="2"/>
        <v/>
      </c>
      <c r="Y2207" s="139" t="str">
        <f>IFERROR(__xludf.DUMMYFUNCTION("""COMPUTED_VALUE"""),"")</f>
        <v/>
      </c>
      <c r="Z2207" s="141" t="str">
        <f>IFERROR(__xludf.DUMMYFUNCTION("""COMPUTED_VALUE"""),"")</f>
        <v/>
      </c>
    </row>
    <row r="2208">
      <c r="D2208" s="136" t="str">
        <f t="shared" si="3"/>
        <v/>
      </c>
      <c r="E2208" s="152"/>
      <c r="F2208" s="106" t="s">
        <v>133</v>
      </c>
      <c r="G2208" s="152"/>
      <c r="H2208" s="106" t="s">
        <v>133</v>
      </c>
      <c r="J2208" s="139" t="s">
        <v>133</v>
      </c>
      <c r="K2208" s="136" t="s">
        <v>133</v>
      </c>
      <c r="L2208" s="153"/>
      <c r="M2208" s="136" t="str">
        <f t="shared" si="1"/>
        <v/>
      </c>
      <c r="O2208" s="141" t="s">
        <v>133</v>
      </c>
      <c r="P2208" s="136" t="str">
        <f>IFERROR(__xludf.DUMMYFUNCTION("""COMPUTED_VALUE"""),"")</f>
        <v/>
      </c>
      <c r="Q2208" s="136" t="str">
        <f>IFERROR(__xludf.DUMMYFUNCTION("""COMPUTED_VALUE"""),"")</f>
        <v/>
      </c>
      <c r="R2208" s="106" t="str">
        <f>IFERROR(__xludf.DUMMYFUNCTION("""COMPUTED_VALUE"""),"")</f>
        <v/>
      </c>
      <c r="S2208" s="106" t="str">
        <f>IFERROR(__xludf.DUMMYFUNCTION("""COMPUTED_VALUE"""),"")</f>
        <v/>
      </c>
      <c r="T2208" s="139" t="str">
        <f>IFERROR(__xludf.DUMMYFUNCTION("""COMPUTED_VALUE"""),"")</f>
        <v/>
      </c>
      <c r="U2208" s="139" t="str">
        <f>IFERROR(__xludf.DUMMYFUNCTION("""COMPUTED_VALUE"""),"")</f>
        <v/>
      </c>
      <c r="V2208" s="136" t="str">
        <f>IFERROR(__xludf.DUMMYFUNCTION("""COMPUTED_VALUE"""),"")</f>
        <v/>
      </c>
      <c r="W2208" s="106" t="str">
        <f>IFERROR(__xludf.DUMMYFUNCTION("""COMPUTED_VALUE"""),"")</f>
        <v/>
      </c>
      <c r="X2208" s="143" t="str">
        <f t="shared" si="2"/>
        <v/>
      </c>
      <c r="Y2208" s="139" t="str">
        <f>IFERROR(__xludf.DUMMYFUNCTION("""COMPUTED_VALUE"""),"")</f>
        <v/>
      </c>
      <c r="Z2208" s="141" t="str">
        <f>IFERROR(__xludf.DUMMYFUNCTION("""COMPUTED_VALUE"""),"")</f>
        <v/>
      </c>
    </row>
    <row r="2209">
      <c r="D2209" s="136" t="str">
        <f t="shared" si="3"/>
        <v/>
      </c>
      <c r="E2209" s="152"/>
      <c r="F2209" s="106" t="s">
        <v>133</v>
      </c>
      <c r="G2209" s="152"/>
      <c r="H2209" s="106" t="s">
        <v>133</v>
      </c>
      <c r="J2209" s="139" t="s">
        <v>133</v>
      </c>
      <c r="K2209" s="136" t="s">
        <v>133</v>
      </c>
      <c r="L2209" s="153"/>
      <c r="M2209" s="136" t="str">
        <f t="shared" si="1"/>
        <v/>
      </c>
      <c r="O2209" s="141" t="s">
        <v>133</v>
      </c>
      <c r="P2209" s="136" t="str">
        <f>IFERROR(__xludf.DUMMYFUNCTION("""COMPUTED_VALUE"""),"")</f>
        <v/>
      </c>
      <c r="Q2209" s="136" t="str">
        <f>IFERROR(__xludf.DUMMYFUNCTION("""COMPUTED_VALUE"""),"")</f>
        <v/>
      </c>
      <c r="R2209" s="106" t="str">
        <f>IFERROR(__xludf.DUMMYFUNCTION("""COMPUTED_VALUE"""),"")</f>
        <v/>
      </c>
      <c r="S2209" s="106" t="str">
        <f>IFERROR(__xludf.DUMMYFUNCTION("""COMPUTED_VALUE"""),"")</f>
        <v/>
      </c>
      <c r="T2209" s="139" t="str">
        <f>IFERROR(__xludf.DUMMYFUNCTION("""COMPUTED_VALUE"""),"")</f>
        <v/>
      </c>
      <c r="U2209" s="139" t="str">
        <f>IFERROR(__xludf.DUMMYFUNCTION("""COMPUTED_VALUE"""),"")</f>
        <v/>
      </c>
      <c r="V2209" s="136" t="str">
        <f>IFERROR(__xludf.DUMMYFUNCTION("""COMPUTED_VALUE"""),"")</f>
        <v/>
      </c>
      <c r="W2209" s="106" t="str">
        <f>IFERROR(__xludf.DUMMYFUNCTION("""COMPUTED_VALUE"""),"")</f>
        <v/>
      </c>
      <c r="X2209" s="143" t="str">
        <f t="shared" si="2"/>
        <v/>
      </c>
      <c r="Y2209" s="139" t="str">
        <f>IFERROR(__xludf.DUMMYFUNCTION("""COMPUTED_VALUE"""),"")</f>
        <v/>
      </c>
      <c r="Z2209" s="141" t="str">
        <f>IFERROR(__xludf.DUMMYFUNCTION("""COMPUTED_VALUE"""),"")</f>
        <v/>
      </c>
    </row>
    <row r="2210">
      <c r="D2210" s="136" t="str">
        <f t="shared" si="3"/>
        <v/>
      </c>
      <c r="E2210" s="152"/>
      <c r="F2210" s="106" t="s">
        <v>133</v>
      </c>
      <c r="G2210" s="152"/>
      <c r="H2210" s="106" t="s">
        <v>133</v>
      </c>
      <c r="J2210" s="139" t="s">
        <v>133</v>
      </c>
      <c r="K2210" s="136" t="s">
        <v>133</v>
      </c>
      <c r="L2210" s="153"/>
      <c r="M2210" s="136" t="str">
        <f t="shared" si="1"/>
        <v/>
      </c>
      <c r="O2210" s="141" t="s">
        <v>133</v>
      </c>
      <c r="P2210" s="136" t="str">
        <f>IFERROR(__xludf.DUMMYFUNCTION("""COMPUTED_VALUE"""),"")</f>
        <v/>
      </c>
      <c r="Q2210" s="136" t="str">
        <f>IFERROR(__xludf.DUMMYFUNCTION("""COMPUTED_VALUE"""),"")</f>
        <v/>
      </c>
      <c r="R2210" s="106" t="str">
        <f>IFERROR(__xludf.DUMMYFUNCTION("""COMPUTED_VALUE"""),"")</f>
        <v/>
      </c>
      <c r="S2210" s="106" t="str">
        <f>IFERROR(__xludf.DUMMYFUNCTION("""COMPUTED_VALUE"""),"")</f>
        <v/>
      </c>
      <c r="T2210" s="139" t="str">
        <f>IFERROR(__xludf.DUMMYFUNCTION("""COMPUTED_VALUE"""),"")</f>
        <v/>
      </c>
      <c r="U2210" s="139" t="str">
        <f>IFERROR(__xludf.DUMMYFUNCTION("""COMPUTED_VALUE"""),"")</f>
        <v/>
      </c>
      <c r="V2210" s="136" t="str">
        <f>IFERROR(__xludf.DUMMYFUNCTION("""COMPUTED_VALUE"""),"")</f>
        <v/>
      </c>
      <c r="W2210" s="106" t="str">
        <f>IFERROR(__xludf.DUMMYFUNCTION("""COMPUTED_VALUE"""),"")</f>
        <v/>
      </c>
      <c r="X2210" s="143" t="str">
        <f t="shared" si="2"/>
        <v/>
      </c>
      <c r="Y2210" s="139" t="str">
        <f>IFERROR(__xludf.DUMMYFUNCTION("""COMPUTED_VALUE"""),"")</f>
        <v/>
      </c>
      <c r="Z2210" s="141" t="str">
        <f>IFERROR(__xludf.DUMMYFUNCTION("""COMPUTED_VALUE"""),"")</f>
        <v/>
      </c>
    </row>
    <row r="2211">
      <c r="D2211" s="136" t="str">
        <f t="shared" si="3"/>
        <v/>
      </c>
      <c r="E2211" s="152"/>
      <c r="F2211" s="106" t="s">
        <v>133</v>
      </c>
      <c r="G2211" s="152"/>
      <c r="H2211" s="106" t="s">
        <v>133</v>
      </c>
      <c r="J2211" s="139" t="s">
        <v>133</v>
      </c>
      <c r="K2211" s="136" t="s">
        <v>133</v>
      </c>
      <c r="L2211" s="153"/>
      <c r="M2211" s="136" t="str">
        <f t="shared" si="1"/>
        <v/>
      </c>
      <c r="O2211" s="141" t="s">
        <v>133</v>
      </c>
      <c r="P2211" s="136" t="str">
        <f>IFERROR(__xludf.DUMMYFUNCTION("""COMPUTED_VALUE"""),"")</f>
        <v/>
      </c>
      <c r="Q2211" s="136" t="str">
        <f>IFERROR(__xludf.DUMMYFUNCTION("""COMPUTED_VALUE"""),"")</f>
        <v/>
      </c>
      <c r="R2211" s="106" t="str">
        <f>IFERROR(__xludf.DUMMYFUNCTION("""COMPUTED_VALUE"""),"")</f>
        <v/>
      </c>
      <c r="S2211" s="106" t="str">
        <f>IFERROR(__xludf.DUMMYFUNCTION("""COMPUTED_VALUE"""),"")</f>
        <v/>
      </c>
      <c r="T2211" s="139" t="str">
        <f>IFERROR(__xludf.DUMMYFUNCTION("""COMPUTED_VALUE"""),"")</f>
        <v/>
      </c>
      <c r="U2211" s="139" t="str">
        <f>IFERROR(__xludf.DUMMYFUNCTION("""COMPUTED_VALUE"""),"")</f>
        <v/>
      </c>
      <c r="V2211" s="136" t="str">
        <f>IFERROR(__xludf.DUMMYFUNCTION("""COMPUTED_VALUE"""),"")</f>
        <v/>
      </c>
      <c r="W2211" s="106" t="str">
        <f>IFERROR(__xludf.DUMMYFUNCTION("""COMPUTED_VALUE"""),"")</f>
        <v/>
      </c>
      <c r="X2211" s="143" t="str">
        <f t="shared" si="2"/>
        <v/>
      </c>
      <c r="Y2211" s="139" t="str">
        <f>IFERROR(__xludf.DUMMYFUNCTION("""COMPUTED_VALUE"""),"")</f>
        <v/>
      </c>
      <c r="Z2211" s="141" t="str">
        <f>IFERROR(__xludf.DUMMYFUNCTION("""COMPUTED_VALUE"""),"")</f>
        <v/>
      </c>
    </row>
    <row r="2212">
      <c r="D2212" s="136" t="str">
        <f t="shared" si="3"/>
        <v/>
      </c>
      <c r="E2212" s="152"/>
      <c r="F2212" s="106" t="s">
        <v>133</v>
      </c>
      <c r="G2212" s="152"/>
      <c r="H2212" s="106" t="s">
        <v>133</v>
      </c>
      <c r="J2212" s="139" t="s">
        <v>133</v>
      </c>
      <c r="K2212" s="136" t="s">
        <v>133</v>
      </c>
      <c r="L2212" s="153"/>
      <c r="M2212" s="136" t="str">
        <f t="shared" si="1"/>
        <v/>
      </c>
      <c r="O2212" s="141" t="s">
        <v>133</v>
      </c>
      <c r="P2212" s="136" t="str">
        <f>IFERROR(__xludf.DUMMYFUNCTION("""COMPUTED_VALUE"""),"")</f>
        <v/>
      </c>
      <c r="Q2212" s="136" t="str">
        <f>IFERROR(__xludf.DUMMYFUNCTION("""COMPUTED_VALUE"""),"")</f>
        <v/>
      </c>
      <c r="R2212" s="106" t="str">
        <f>IFERROR(__xludf.DUMMYFUNCTION("""COMPUTED_VALUE"""),"")</f>
        <v/>
      </c>
      <c r="S2212" s="106" t="str">
        <f>IFERROR(__xludf.DUMMYFUNCTION("""COMPUTED_VALUE"""),"")</f>
        <v/>
      </c>
      <c r="T2212" s="139" t="str">
        <f>IFERROR(__xludf.DUMMYFUNCTION("""COMPUTED_VALUE"""),"")</f>
        <v/>
      </c>
      <c r="U2212" s="139" t="str">
        <f>IFERROR(__xludf.DUMMYFUNCTION("""COMPUTED_VALUE"""),"")</f>
        <v/>
      </c>
      <c r="V2212" s="136" t="str">
        <f>IFERROR(__xludf.DUMMYFUNCTION("""COMPUTED_VALUE"""),"")</f>
        <v/>
      </c>
      <c r="W2212" s="106" t="str">
        <f>IFERROR(__xludf.DUMMYFUNCTION("""COMPUTED_VALUE"""),"")</f>
        <v/>
      </c>
      <c r="X2212" s="143" t="str">
        <f t="shared" si="2"/>
        <v/>
      </c>
      <c r="Y2212" s="139" t="str">
        <f>IFERROR(__xludf.DUMMYFUNCTION("""COMPUTED_VALUE"""),"")</f>
        <v/>
      </c>
      <c r="Z2212" s="141" t="str">
        <f>IFERROR(__xludf.DUMMYFUNCTION("""COMPUTED_VALUE"""),"")</f>
        <v/>
      </c>
    </row>
    <row r="2213">
      <c r="D2213" s="136" t="str">
        <f t="shared" si="3"/>
        <v/>
      </c>
      <c r="E2213" s="152"/>
      <c r="F2213" s="106" t="s">
        <v>133</v>
      </c>
      <c r="G2213" s="152"/>
      <c r="H2213" s="106" t="s">
        <v>133</v>
      </c>
      <c r="J2213" s="139" t="s">
        <v>133</v>
      </c>
      <c r="K2213" s="136" t="s">
        <v>133</v>
      </c>
      <c r="L2213" s="153"/>
      <c r="M2213" s="136" t="str">
        <f t="shared" si="1"/>
        <v/>
      </c>
      <c r="O2213" s="141" t="s">
        <v>133</v>
      </c>
      <c r="P2213" s="136" t="str">
        <f>IFERROR(__xludf.DUMMYFUNCTION("""COMPUTED_VALUE"""),"")</f>
        <v/>
      </c>
      <c r="Q2213" s="136" t="str">
        <f>IFERROR(__xludf.DUMMYFUNCTION("""COMPUTED_VALUE"""),"")</f>
        <v/>
      </c>
      <c r="R2213" s="106" t="str">
        <f>IFERROR(__xludf.DUMMYFUNCTION("""COMPUTED_VALUE"""),"")</f>
        <v/>
      </c>
      <c r="S2213" s="106" t="str">
        <f>IFERROR(__xludf.DUMMYFUNCTION("""COMPUTED_VALUE"""),"")</f>
        <v/>
      </c>
      <c r="T2213" s="139" t="str">
        <f>IFERROR(__xludf.DUMMYFUNCTION("""COMPUTED_VALUE"""),"")</f>
        <v/>
      </c>
      <c r="U2213" s="139" t="str">
        <f>IFERROR(__xludf.DUMMYFUNCTION("""COMPUTED_VALUE"""),"")</f>
        <v/>
      </c>
      <c r="V2213" s="136" t="str">
        <f>IFERROR(__xludf.DUMMYFUNCTION("""COMPUTED_VALUE"""),"")</f>
        <v/>
      </c>
      <c r="W2213" s="106" t="str">
        <f>IFERROR(__xludf.DUMMYFUNCTION("""COMPUTED_VALUE"""),"")</f>
        <v/>
      </c>
      <c r="X2213" s="143" t="str">
        <f t="shared" si="2"/>
        <v/>
      </c>
      <c r="Y2213" s="139" t="str">
        <f>IFERROR(__xludf.DUMMYFUNCTION("""COMPUTED_VALUE"""),"")</f>
        <v/>
      </c>
      <c r="Z2213" s="141" t="str">
        <f>IFERROR(__xludf.DUMMYFUNCTION("""COMPUTED_VALUE"""),"")</f>
        <v/>
      </c>
    </row>
    <row r="2214">
      <c r="D2214" s="136" t="str">
        <f t="shared" si="3"/>
        <v/>
      </c>
      <c r="E2214" s="152"/>
      <c r="F2214" s="106" t="s">
        <v>133</v>
      </c>
      <c r="G2214" s="152"/>
      <c r="H2214" s="106" t="s">
        <v>133</v>
      </c>
      <c r="J2214" s="139" t="s">
        <v>133</v>
      </c>
      <c r="K2214" s="136" t="s">
        <v>133</v>
      </c>
      <c r="L2214" s="153"/>
      <c r="M2214" s="136" t="str">
        <f t="shared" si="1"/>
        <v/>
      </c>
      <c r="O2214" s="141" t="s">
        <v>133</v>
      </c>
      <c r="P2214" s="136" t="str">
        <f>IFERROR(__xludf.DUMMYFUNCTION("""COMPUTED_VALUE"""),"")</f>
        <v/>
      </c>
      <c r="Q2214" s="136" t="str">
        <f>IFERROR(__xludf.DUMMYFUNCTION("""COMPUTED_VALUE"""),"")</f>
        <v/>
      </c>
      <c r="R2214" s="106" t="str">
        <f>IFERROR(__xludf.DUMMYFUNCTION("""COMPUTED_VALUE"""),"")</f>
        <v/>
      </c>
      <c r="S2214" s="106" t="str">
        <f>IFERROR(__xludf.DUMMYFUNCTION("""COMPUTED_VALUE"""),"")</f>
        <v/>
      </c>
      <c r="T2214" s="139" t="str">
        <f>IFERROR(__xludf.DUMMYFUNCTION("""COMPUTED_VALUE"""),"")</f>
        <v/>
      </c>
      <c r="U2214" s="139" t="str">
        <f>IFERROR(__xludf.DUMMYFUNCTION("""COMPUTED_VALUE"""),"")</f>
        <v/>
      </c>
      <c r="V2214" s="136" t="str">
        <f>IFERROR(__xludf.DUMMYFUNCTION("""COMPUTED_VALUE"""),"")</f>
        <v/>
      </c>
      <c r="W2214" s="106" t="str">
        <f>IFERROR(__xludf.DUMMYFUNCTION("""COMPUTED_VALUE"""),"")</f>
        <v/>
      </c>
      <c r="X2214" s="143" t="str">
        <f t="shared" si="2"/>
        <v/>
      </c>
      <c r="Y2214" s="139" t="str">
        <f>IFERROR(__xludf.DUMMYFUNCTION("""COMPUTED_VALUE"""),"")</f>
        <v/>
      </c>
      <c r="Z2214" s="141" t="str">
        <f>IFERROR(__xludf.DUMMYFUNCTION("""COMPUTED_VALUE"""),"")</f>
        <v/>
      </c>
    </row>
    <row r="2215">
      <c r="D2215" s="136" t="str">
        <f t="shared" si="3"/>
        <v/>
      </c>
      <c r="E2215" s="152"/>
      <c r="F2215" s="106" t="s">
        <v>133</v>
      </c>
      <c r="G2215" s="152"/>
      <c r="H2215" s="106" t="s">
        <v>133</v>
      </c>
      <c r="J2215" s="139" t="s">
        <v>133</v>
      </c>
      <c r="K2215" s="136" t="s">
        <v>133</v>
      </c>
      <c r="L2215" s="153"/>
      <c r="M2215" s="136" t="str">
        <f t="shared" si="1"/>
        <v/>
      </c>
      <c r="O2215" s="141" t="s">
        <v>133</v>
      </c>
      <c r="P2215" s="136" t="str">
        <f>IFERROR(__xludf.DUMMYFUNCTION("""COMPUTED_VALUE"""),"")</f>
        <v/>
      </c>
      <c r="Q2215" s="136" t="str">
        <f>IFERROR(__xludf.DUMMYFUNCTION("""COMPUTED_VALUE"""),"")</f>
        <v/>
      </c>
      <c r="R2215" s="106" t="str">
        <f>IFERROR(__xludf.DUMMYFUNCTION("""COMPUTED_VALUE"""),"")</f>
        <v/>
      </c>
      <c r="S2215" s="106" t="str">
        <f>IFERROR(__xludf.DUMMYFUNCTION("""COMPUTED_VALUE"""),"")</f>
        <v/>
      </c>
      <c r="T2215" s="139" t="str">
        <f>IFERROR(__xludf.DUMMYFUNCTION("""COMPUTED_VALUE"""),"")</f>
        <v/>
      </c>
      <c r="U2215" s="139" t="str">
        <f>IFERROR(__xludf.DUMMYFUNCTION("""COMPUTED_VALUE"""),"")</f>
        <v/>
      </c>
      <c r="V2215" s="136" t="str">
        <f>IFERROR(__xludf.DUMMYFUNCTION("""COMPUTED_VALUE"""),"")</f>
        <v/>
      </c>
      <c r="W2215" s="106" t="str">
        <f>IFERROR(__xludf.DUMMYFUNCTION("""COMPUTED_VALUE"""),"")</f>
        <v/>
      </c>
      <c r="X2215" s="143" t="str">
        <f t="shared" si="2"/>
        <v/>
      </c>
      <c r="Y2215" s="139" t="str">
        <f>IFERROR(__xludf.DUMMYFUNCTION("""COMPUTED_VALUE"""),"")</f>
        <v/>
      </c>
      <c r="Z2215" s="141" t="str">
        <f>IFERROR(__xludf.DUMMYFUNCTION("""COMPUTED_VALUE"""),"")</f>
        <v/>
      </c>
    </row>
    <row r="2216">
      <c r="D2216" s="136" t="str">
        <f t="shared" si="3"/>
        <v/>
      </c>
      <c r="E2216" s="152"/>
      <c r="F2216" s="106" t="s">
        <v>133</v>
      </c>
      <c r="G2216" s="152"/>
      <c r="H2216" s="106" t="s">
        <v>133</v>
      </c>
      <c r="J2216" s="139" t="s">
        <v>133</v>
      </c>
      <c r="K2216" s="136" t="s">
        <v>133</v>
      </c>
      <c r="L2216" s="153"/>
      <c r="M2216" s="136" t="str">
        <f t="shared" si="1"/>
        <v/>
      </c>
      <c r="O2216" s="141" t="s">
        <v>133</v>
      </c>
      <c r="P2216" s="136" t="str">
        <f>IFERROR(__xludf.DUMMYFUNCTION("""COMPUTED_VALUE"""),"")</f>
        <v/>
      </c>
      <c r="Q2216" s="136" t="str">
        <f>IFERROR(__xludf.DUMMYFUNCTION("""COMPUTED_VALUE"""),"")</f>
        <v/>
      </c>
      <c r="R2216" s="106" t="str">
        <f>IFERROR(__xludf.DUMMYFUNCTION("""COMPUTED_VALUE"""),"")</f>
        <v/>
      </c>
      <c r="S2216" s="106" t="str">
        <f>IFERROR(__xludf.DUMMYFUNCTION("""COMPUTED_VALUE"""),"")</f>
        <v/>
      </c>
      <c r="T2216" s="139" t="str">
        <f>IFERROR(__xludf.DUMMYFUNCTION("""COMPUTED_VALUE"""),"")</f>
        <v/>
      </c>
      <c r="U2216" s="139" t="str">
        <f>IFERROR(__xludf.DUMMYFUNCTION("""COMPUTED_VALUE"""),"")</f>
        <v/>
      </c>
      <c r="V2216" s="136" t="str">
        <f>IFERROR(__xludf.DUMMYFUNCTION("""COMPUTED_VALUE"""),"")</f>
        <v/>
      </c>
      <c r="W2216" s="106" t="str">
        <f>IFERROR(__xludf.DUMMYFUNCTION("""COMPUTED_VALUE"""),"")</f>
        <v/>
      </c>
      <c r="X2216" s="143" t="str">
        <f t="shared" si="2"/>
        <v/>
      </c>
      <c r="Y2216" s="139" t="str">
        <f>IFERROR(__xludf.DUMMYFUNCTION("""COMPUTED_VALUE"""),"")</f>
        <v/>
      </c>
      <c r="Z2216" s="141" t="str">
        <f>IFERROR(__xludf.DUMMYFUNCTION("""COMPUTED_VALUE"""),"")</f>
        <v/>
      </c>
    </row>
    <row r="2217">
      <c r="D2217" s="136" t="str">
        <f t="shared" si="3"/>
        <v/>
      </c>
      <c r="E2217" s="152"/>
      <c r="F2217" s="106" t="s">
        <v>133</v>
      </c>
      <c r="G2217" s="152"/>
      <c r="H2217" s="106" t="s">
        <v>133</v>
      </c>
      <c r="J2217" s="139" t="s">
        <v>133</v>
      </c>
      <c r="K2217" s="136" t="s">
        <v>133</v>
      </c>
      <c r="L2217" s="153"/>
      <c r="M2217" s="136" t="str">
        <f t="shared" si="1"/>
        <v/>
      </c>
      <c r="O2217" s="141" t="s">
        <v>133</v>
      </c>
      <c r="P2217" s="136" t="str">
        <f>IFERROR(__xludf.DUMMYFUNCTION("""COMPUTED_VALUE"""),"")</f>
        <v/>
      </c>
      <c r="Q2217" s="136" t="str">
        <f>IFERROR(__xludf.DUMMYFUNCTION("""COMPUTED_VALUE"""),"")</f>
        <v/>
      </c>
      <c r="R2217" s="106" t="str">
        <f>IFERROR(__xludf.DUMMYFUNCTION("""COMPUTED_VALUE"""),"")</f>
        <v/>
      </c>
      <c r="S2217" s="106" t="str">
        <f>IFERROR(__xludf.DUMMYFUNCTION("""COMPUTED_VALUE"""),"")</f>
        <v/>
      </c>
      <c r="T2217" s="139" t="str">
        <f>IFERROR(__xludf.DUMMYFUNCTION("""COMPUTED_VALUE"""),"")</f>
        <v/>
      </c>
      <c r="U2217" s="139" t="str">
        <f>IFERROR(__xludf.DUMMYFUNCTION("""COMPUTED_VALUE"""),"")</f>
        <v/>
      </c>
      <c r="V2217" s="136" t="str">
        <f>IFERROR(__xludf.DUMMYFUNCTION("""COMPUTED_VALUE"""),"")</f>
        <v/>
      </c>
      <c r="W2217" s="106" t="str">
        <f>IFERROR(__xludf.DUMMYFUNCTION("""COMPUTED_VALUE"""),"")</f>
        <v/>
      </c>
      <c r="X2217" s="143" t="str">
        <f t="shared" si="2"/>
        <v/>
      </c>
      <c r="Y2217" s="139" t="str">
        <f>IFERROR(__xludf.DUMMYFUNCTION("""COMPUTED_VALUE"""),"")</f>
        <v/>
      </c>
      <c r="Z2217" s="141" t="str">
        <f>IFERROR(__xludf.DUMMYFUNCTION("""COMPUTED_VALUE"""),"")</f>
        <v/>
      </c>
    </row>
    <row r="2218">
      <c r="D2218" s="136" t="str">
        <f t="shared" si="3"/>
        <v/>
      </c>
      <c r="E2218" s="152"/>
      <c r="F2218" s="106" t="s">
        <v>133</v>
      </c>
      <c r="G2218" s="152"/>
      <c r="H2218" s="106" t="s">
        <v>133</v>
      </c>
      <c r="J2218" s="139" t="s">
        <v>133</v>
      </c>
      <c r="K2218" s="136" t="s">
        <v>133</v>
      </c>
      <c r="L2218" s="153"/>
      <c r="M2218" s="136" t="str">
        <f t="shared" si="1"/>
        <v/>
      </c>
      <c r="O2218" s="141" t="s">
        <v>133</v>
      </c>
      <c r="P2218" s="136" t="str">
        <f>IFERROR(__xludf.DUMMYFUNCTION("""COMPUTED_VALUE"""),"")</f>
        <v/>
      </c>
      <c r="Q2218" s="136" t="str">
        <f>IFERROR(__xludf.DUMMYFUNCTION("""COMPUTED_VALUE"""),"")</f>
        <v/>
      </c>
      <c r="R2218" s="106" t="str">
        <f>IFERROR(__xludf.DUMMYFUNCTION("""COMPUTED_VALUE"""),"")</f>
        <v/>
      </c>
      <c r="S2218" s="106" t="str">
        <f>IFERROR(__xludf.DUMMYFUNCTION("""COMPUTED_VALUE"""),"")</f>
        <v/>
      </c>
      <c r="T2218" s="139" t="str">
        <f>IFERROR(__xludf.DUMMYFUNCTION("""COMPUTED_VALUE"""),"")</f>
        <v/>
      </c>
      <c r="U2218" s="139" t="str">
        <f>IFERROR(__xludf.DUMMYFUNCTION("""COMPUTED_VALUE"""),"")</f>
        <v/>
      </c>
      <c r="V2218" s="136" t="str">
        <f>IFERROR(__xludf.DUMMYFUNCTION("""COMPUTED_VALUE"""),"")</f>
        <v/>
      </c>
      <c r="W2218" s="106" t="str">
        <f>IFERROR(__xludf.DUMMYFUNCTION("""COMPUTED_VALUE"""),"")</f>
        <v/>
      </c>
      <c r="X2218" s="143" t="str">
        <f t="shared" si="2"/>
        <v/>
      </c>
      <c r="Y2218" s="139" t="str">
        <f>IFERROR(__xludf.DUMMYFUNCTION("""COMPUTED_VALUE"""),"")</f>
        <v/>
      </c>
      <c r="Z2218" s="141" t="str">
        <f>IFERROR(__xludf.DUMMYFUNCTION("""COMPUTED_VALUE"""),"")</f>
        <v/>
      </c>
    </row>
    <row r="2219">
      <c r="D2219" s="136" t="str">
        <f t="shared" si="3"/>
        <v/>
      </c>
      <c r="E2219" s="152"/>
      <c r="F2219" s="106" t="s">
        <v>133</v>
      </c>
      <c r="G2219" s="152"/>
      <c r="H2219" s="106" t="s">
        <v>133</v>
      </c>
      <c r="J2219" s="139" t="s">
        <v>133</v>
      </c>
      <c r="K2219" s="136" t="s">
        <v>133</v>
      </c>
      <c r="L2219" s="153"/>
      <c r="M2219" s="136" t="str">
        <f t="shared" si="1"/>
        <v/>
      </c>
      <c r="O2219" s="141" t="s">
        <v>133</v>
      </c>
      <c r="P2219" s="136" t="str">
        <f>IFERROR(__xludf.DUMMYFUNCTION("""COMPUTED_VALUE"""),"")</f>
        <v/>
      </c>
      <c r="Q2219" s="136" t="str">
        <f>IFERROR(__xludf.DUMMYFUNCTION("""COMPUTED_VALUE"""),"")</f>
        <v/>
      </c>
      <c r="R2219" s="106" t="str">
        <f>IFERROR(__xludf.DUMMYFUNCTION("""COMPUTED_VALUE"""),"")</f>
        <v/>
      </c>
      <c r="S2219" s="106" t="str">
        <f>IFERROR(__xludf.DUMMYFUNCTION("""COMPUTED_VALUE"""),"")</f>
        <v/>
      </c>
      <c r="T2219" s="139" t="str">
        <f>IFERROR(__xludf.DUMMYFUNCTION("""COMPUTED_VALUE"""),"")</f>
        <v/>
      </c>
      <c r="U2219" s="139" t="str">
        <f>IFERROR(__xludf.DUMMYFUNCTION("""COMPUTED_VALUE"""),"")</f>
        <v/>
      </c>
      <c r="V2219" s="136" t="str">
        <f>IFERROR(__xludf.DUMMYFUNCTION("""COMPUTED_VALUE"""),"")</f>
        <v/>
      </c>
      <c r="W2219" s="106" t="str">
        <f>IFERROR(__xludf.DUMMYFUNCTION("""COMPUTED_VALUE"""),"")</f>
        <v/>
      </c>
      <c r="X2219" s="143" t="str">
        <f t="shared" si="2"/>
        <v/>
      </c>
      <c r="Y2219" s="139" t="str">
        <f>IFERROR(__xludf.DUMMYFUNCTION("""COMPUTED_VALUE"""),"")</f>
        <v/>
      </c>
      <c r="Z2219" s="141" t="str">
        <f>IFERROR(__xludf.DUMMYFUNCTION("""COMPUTED_VALUE"""),"")</f>
        <v/>
      </c>
    </row>
    <row r="2220">
      <c r="D2220" s="136" t="str">
        <f t="shared" si="3"/>
        <v/>
      </c>
      <c r="E2220" s="152"/>
      <c r="F2220" s="106" t="s">
        <v>133</v>
      </c>
      <c r="G2220" s="152"/>
      <c r="H2220" s="106" t="s">
        <v>133</v>
      </c>
      <c r="J2220" s="139" t="s">
        <v>133</v>
      </c>
      <c r="K2220" s="136" t="s">
        <v>133</v>
      </c>
      <c r="L2220" s="153"/>
      <c r="M2220" s="136" t="str">
        <f t="shared" si="1"/>
        <v/>
      </c>
      <c r="O2220" s="141" t="s">
        <v>133</v>
      </c>
      <c r="P2220" s="136" t="str">
        <f>IFERROR(__xludf.DUMMYFUNCTION("""COMPUTED_VALUE"""),"")</f>
        <v/>
      </c>
      <c r="Q2220" s="136" t="str">
        <f>IFERROR(__xludf.DUMMYFUNCTION("""COMPUTED_VALUE"""),"")</f>
        <v/>
      </c>
      <c r="R2220" s="106" t="str">
        <f>IFERROR(__xludf.DUMMYFUNCTION("""COMPUTED_VALUE"""),"")</f>
        <v/>
      </c>
      <c r="S2220" s="106" t="str">
        <f>IFERROR(__xludf.DUMMYFUNCTION("""COMPUTED_VALUE"""),"")</f>
        <v/>
      </c>
      <c r="T2220" s="139" t="str">
        <f>IFERROR(__xludf.DUMMYFUNCTION("""COMPUTED_VALUE"""),"")</f>
        <v/>
      </c>
      <c r="U2220" s="139" t="str">
        <f>IFERROR(__xludf.DUMMYFUNCTION("""COMPUTED_VALUE"""),"")</f>
        <v/>
      </c>
      <c r="V2220" s="136" t="str">
        <f>IFERROR(__xludf.DUMMYFUNCTION("""COMPUTED_VALUE"""),"")</f>
        <v/>
      </c>
      <c r="W2220" s="106" t="str">
        <f>IFERROR(__xludf.DUMMYFUNCTION("""COMPUTED_VALUE"""),"")</f>
        <v/>
      </c>
      <c r="X2220" s="143" t="str">
        <f t="shared" si="2"/>
        <v/>
      </c>
      <c r="Y2220" s="139" t="str">
        <f>IFERROR(__xludf.DUMMYFUNCTION("""COMPUTED_VALUE"""),"")</f>
        <v/>
      </c>
      <c r="Z2220" s="141" t="str">
        <f>IFERROR(__xludf.DUMMYFUNCTION("""COMPUTED_VALUE"""),"")</f>
        <v/>
      </c>
    </row>
    <row r="2221">
      <c r="D2221" s="136" t="str">
        <f t="shared" si="3"/>
        <v/>
      </c>
      <c r="E2221" s="152"/>
      <c r="F2221" s="106" t="s">
        <v>133</v>
      </c>
      <c r="G2221" s="152"/>
      <c r="H2221" s="106" t="s">
        <v>133</v>
      </c>
      <c r="J2221" s="139" t="s">
        <v>133</v>
      </c>
      <c r="K2221" s="136" t="s">
        <v>133</v>
      </c>
      <c r="L2221" s="153"/>
      <c r="M2221" s="136" t="str">
        <f t="shared" si="1"/>
        <v/>
      </c>
      <c r="O2221" s="141" t="s">
        <v>133</v>
      </c>
      <c r="P2221" s="136" t="str">
        <f>IFERROR(__xludf.DUMMYFUNCTION("""COMPUTED_VALUE"""),"")</f>
        <v/>
      </c>
      <c r="Q2221" s="136" t="str">
        <f>IFERROR(__xludf.DUMMYFUNCTION("""COMPUTED_VALUE"""),"")</f>
        <v/>
      </c>
      <c r="R2221" s="106" t="str">
        <f>IFERROR(__xludf.DUMMYFUNCTION("""COMPUTED_VALUE"""),"")</f>
        <v/>
      </c>
      <c r="S2221" s="106" t="str">
        <f>IFERROR(__xludf.DUMMYFUNCTION("""COMPUTED_VALUE"""),"")</f>
        <v/>
      </c>
      <c r="T2221" s="139" t="str">
        <f>IFERROR(__xludf.DUMMYFUNCTION("""COMPUTED_VALUE"""),"")</f>
        <v/>
      </c>
      <c r="U2221" s="139" t="str">
        <f>IFERROR(__xludf.DUMMYFUNCTION("""COMPUTED_VALUE"""),"")</f>
        <v/>
      </c>
      <c r="V2221" s="136" t="str">
        <f>IFERROR(__xludf.DUMMYFUNCTION("""COMPUTED_VALUE"""),"")</f>
        <v/>
      </c>
      <c r="W2221" s="106" t="str">
        <f>IFERROR(__xludf.DUMMYFUNCTION("""COMPUTED_VALUE"""),"")</f>
        <v/>
      </c>
      <c r="X2221" s="143" t="str">
        <f t="shared" si="2"/>
        <v/>
      </c>
      <c r="Y2221" s="139" t="str">
        <f>IFERROR(__xludf.DUMMYFUNCTION("""COMPUTED_VALUE"""),"")</f>
        <v/>
      </c>
      <c r="Z2221" s="141" t="str">
        <f>IFERROR(__xludf.DUMMYFUNCTION("""COMPUTED_VALUE"""),"")</f>
        <v/>
      </c>
    </row>
    <row r="2222">
      <c r="D2222" s="136" t="str">
        <f t="shared" si="3"/>
        <v/>
      </c>
      <c r="E2222" s="152"/>
      <c r="F2222" s="106" t="s">
        <v>133</v>
      </c>
      <c r="G2222" s="152"/>
      <c r="H2222" s="106" t="s">
        <v>133</v>
      </c>
      <c r="J2222" s="139" t="s">
        <v>133</v>
      </c>
      <c r="K2222" s="136" t="s">
        <v>133</v>
      </c>
      <c r="L2222" s="153"/>
      <c r="M2222" s="136" t="str">
        <f t="shared" si="1"/>
        <v/>
      </c>
      <c r="O2222" s="141" t="s">
        <v>133</v>
      </c>
      <c r="P2222" s="136" t="str">
        <f>IFERROR(__xludf.DUMMYFUNCTION("""COMPUTED_VALUE"""),"")</f>
        <v/>
      </c>
      <c r="Q2222" s="136" t="str">
        <f>IFERROR(__xludf.DUMMYFUNCTION("""COMPUTED_VALUE"""),"")</f>
        <v/>
      </c>
      <c r="R2222" s="106" t="str">
        <f>IFERROR(__xludf.DUMMYFUNCTION("""COMPUTED_VALUE"""),"")</f>
        <v/>
      </c>
      <c r="S2222" s="106" t="str">
        <f>IFERROR(__xludf.DUMMYFUNCTION("""COMPUTED_VALUE"""),"")</f>
        <v/>
      </c>
      <c r="T2222" s="139" t="str">
        <f>IFERROR(__xludf.DUMMYFUNCTION("""COMPUTED_VALUE"""),"")</f>
        <v/>
      </c>
      <c r="U2222" s="139" t="str">
        <f>IFERROR(__xludf.DUMMYFUNCTION("""COMPUTED_VALUE"""),"")</f>
        <v/>
      </c>
      <c r="V2222" s="136" t="str">
        <f>IFERROR(__xludf.DUMMYFUNCTION("""COMPUTED_VALUE"""),"")</f>
        <v/>
      </c>
      <c r="W2222" s="106" t="str">
        <f>IFERROR(__xludf.DUMMYFUNCTION("""COMPUTED_VALUE"""),"")</f>
        <v/>
      </c>
      <c r="X2222" s="143" t="str">
        <f t="shared" si="2"/>
        <v/>
      </c>
      <c r="Y2222" s="139" t="str">
        <f>IFERROR(__xludf.DUMMYFUNCTION("""COMPUTED_VALUE"""),"")</f>
        <v/>
      </c>
      <c r="Z2222" s="141" t="str">
        <f>IFERROR(__xludf.DUMMYFUNCTION("""COMPUTED_VALUE"""),"")</f>
        <v/>
      </c>
    </row>
    <row r="2223">
      <c r="D2223" s="136" t="str">
        <f t="shared" si="3"/>
        <v/>
      </c>
      <c r="E2223" s="152"/>
      <c r="F2223" s="106" t="s">
        <v>133</v>
      </c>
      <c r="G2223" s="152"/>
      <c r="H2223" s="106" t="s">
        <v>133</v>
      </c>
      <c r="J2223" s="139" t="s">
        <v>133</v>
      </c>
      <c r="K2223" s="136" t="s">
        <v>133</v>
      </c>
      <c r="L2223" s="153"/>
      <c r="M2223" s="136" t="str">
        <f t="shared" si="1"/>
        <v/>
      </c>
      <c r="O2223" s="141" t="s">
        <v>133</v>
      </c>
      <c r="P2223" s="136" t="str">
        <f>IFERROR(__xludf.DUMMYFUNCTION("""COMPUTED_VALUE"""),"")</f>
        <v/>
      </c>
      <c r="Q2223" s="136" t="str">
        <f>IFERROR(__xludf.DUMMYFUNCTION("""COMPUTED_VALUE"""),"")</f>
        <v/>
      </c>
      <c r="R2223" s="106" t="str">
        <f>IFERROR(__xludf.DUMMYFUNCTION("""COMPUTED_VALUE"""),"")</f>
        <v/>
      </c>
      <c r="S2223" s="106" t="str">
        <f>IFERROR(__xludf.DUMMYFUNCTION("""COMPUTED_VALUE"""),"")</f>
        <v/>
      </c>
      <c r="T2223" s="139" t="str">
        <f>IFERROR(__xludf.DUMMYFUNCTION("""COMPUTED_VALUE"""),"")</f>
        <v/>
      </c>
      <c r="U2223" s="139" t="str">
        <f>IFERROR(__xludf.DUMMYFUNCTION("""COMPUTED_VALUE"""),"")</f>
        <v/>
      </c>
      <c r="V2223" s="136" t="str">
        <f>IFERROR(__xludf.DUMMYFUNCTION("""COMPUTED_VALUE"""),"")</f>
        <v/>
      </c>
      <c r="W2223" s="106" t="str">
        <f>IFERROR(__xludf.DUMMYFUNCTION("""COMPUTED_VALUE"""),"")</f>
        <v/>
      </c>
      <c r="X2223" s="143" t="str">
        <f t="shared" si="2"/>
        <v/>
      </c>
      <c r="Y2223" s="139" t="str">
        <f>IFERROR(__xludf.DUMMYFUNCTION("""COMPUTED_VALUE"""),"")</f>
        <v/>
      </c>
      <c r="Z2223" s="141" t="str">
        <f>IFERROR(__xludf.DUMMYFUNCTION("""COMPUTED_VALUE"""),"")</f>
        <v/>
      </c>
    </row>
    <row r="2224">
      <c r="D2224" s="136" t="str">
        <f t="shared" si="3"/>
        <v/>
      </c>
      <c r="E2224" s="152"/>
      <c r="F2224" s="106" t="s">
        <v>133</v>
      </c>
      <c r="G2224" s="152"/>
      <c r="H2224" s="106" t="s">
        <v>133</v>
      </c>
      <c r="J2224" s="139" t="s">
        <v>133</v>
      </c>
      <c r="K2224" s="136" t="s">
        <v>133</v>
      </c>
      <c r="L2224" s="153"/>
      <c r="M2224" s="136" t="str">
        <f t="shared" si="1"/>
        <v/>
      </c>
      <c r="O2224" s="141" t="s">
        <v>133</v>
      </c>
      <c r="P2224" s="136" t="str">
        <f>IFERROR(__xludf.DUMMYFUNCTION("""COMPUTED_VALUE"""),"")</f>
        <v/>
      </c>
      <c r="Q2224" s="136" t="str">
        <f>IFERROR(__xludf.DUMMYFUNCTION("""COMPUTED_VALUE"""),"")</f>
        <v/>
      </c>
      <c r="R2224" s="106" t="str">
        <f>IFERROR(__xludf.DUMMYFUNCTION("""COMPUTED_VALUE"""),"")</f>
        <v/>
      </c>
      <c r="S2224" s="106" t="str">
        <f>IFERROR(__xludf.DUMMYFUNCTION("""COMPUTED_VALUE"""),"")</f>
        <v/>
      </c>
      <c r="T2224" s="139" t="str">
        <f>IFERROR(__xludf.DUMMYFUNCTION("""COMPUTED_VALUE"""),"")</f>
        <v/>
      </c>
      <c r="U2224" s="139" t="str">
        <f>IFERROR(__xludf.DUMMYFUNCTION("""COMPUTED_VALUE"""),"")</f>
        <v/>
      </c>
      <c r="V2224" s="136" t="str">
        <f>IFERROR(__xludf.DUMMYFUNCTION("""COMPUTED_VALUE"""),"")</f>
        <v/>
      </c>
      <c r="W2224" s="106" t="str">
        <f>IFERROR(__xludf.DUMMYFUNCTION("""COMPUTED_VALUE"""),"")</f>
        <v/>
      </c>
      <c r="X2224" s="143" t="str">
        <f t="shared" si="2"/>
        <v/>
      </c>
      <c r="Y2224" s="139" t="str">
        <f>IFERROR(__xludf.DUMMYFUNCTION("""COMPUTED_VALUE"""),"")</f>
        <v/>
      </c>
      <c r="Z2224" s="141" t="str">
        <f>IFERROR(__xludf.DUMMYFUNCTION("""COMPUTED_VALUE"""),"")</f>
        <v/>
      </c>
    </row>
    <row r="2225">
      <c r="D2225" s="136" t="str">
        <f t="shared" si="3"/>
        <v/>
      </c>
      <c r="E2225" s="152"/>
      <c r="F2225" s="106" t="s">
        <v>133</v>
      </c>
      <c r="G2225" s="152"/>
      <c r="H2225" s="106" t="s">
        <v>133</v>
      </c>
      <c r="J2225" s="139" t="s">
        <v>133</v>
      </c>
      <c r="K2225" s="136" t="s">
        <v>133</v>
      </c>
      <c r="L2225" s="153"/>
      <c r="M2225" s="136" t="str">
        <f t="shared" si="1"/>
        <v/>
      </c>
      <c r="O2225" s="141" t="s">
        <v>133</v>
      </c>
      <c r="P2225" s="136" t="str">
        <f>IFERROR(__xludf.DUMMYFUNCTION("""COMPUTED_VALUE"""),"")</f>
        <v/>
      </c>
      <c r="Q2225" s="136" t="str">
        <f>IFERROR(__xludf.DUMMYFUNCTION("""COMPUTED_VALUE"""),"")</f>
        <v/>
      </c>
      <c r="R2225" s="106" t="str">
        <f>IFERROR(__xludf.DUMMYFUNCTION("""COMPUTED_VALUE"""),"")</f>
        <v/>
      </c>
      <c r="S2225" s="106" t="str">
        <f>IFERROR(__xludf.DUMMYFUNCTION("""COMPUTED_VALUE"""),"")</f>
        <v/>
      </c>
      <c r="T2225" s="139" t="str">
        <f>IFERROR(__xludf.DUMMYFUNCTION("""COMPUTED_VALUE"""),"")</f>
        <v/>
      </c>
      <c r="U2225" s="139" t="str">
        <f>IFERROR(__xludf.DUMMYFUNCTION("""COMPUTED_VALUE"""),"")</f>
        <v/>
      </c>
      <c r="V2225" s="136" t="str">
        <f>IFERROR(__xludf.DUMMYFUNCTION("""COMPUTED_VALUE"""),"")</f>
        <v/>
      </c>
      <c r="W2225" s="106" t="str">
        <f>IFERROR(__xludf.DUMMYFUNCTION("""COMPUTED_VALUE"""),"")</f>
        <v/>
      </c>
      <c r="X2225" s="143" t="str">
        <f t="shared" si="2"/>
        <v/>
      </c>
      <c r="Y2225" s="139" t="str">
        <f>IFERROR(__xludf.DUMMYFUNCTION("""COMPUTED_VALUE"""),"")</f>
        <v/>
      </c>
      <c r="Z2225" s="141" t="str">
        <f>IFERROR(__xludf.DUMMYFUNCTION("""COMPUTED_VALUE"""),"")</f>
        <v/>
      </c>
    </row>
    <row r="2226">
      <c r="D2226" s="136" t="str">
        <f t="shared" si="3"/>
        <v/>
      </c>
      <c r="E2226" s="152"/>
      <c r="F2226" s="106" t="s">
        <v>133</v>
      </c>
      <c r="G2226" s="152"/>
      <c r="H2226" s="106" t="s">
        <v>133</v>
      </c>
      <c r="J2226" s="139" t="s">
        <v>133</v>
      </c>
      <c r="K2226" s="136" t="s">
        <v>133</v>
      </c>
      <c r="L2226" s="153"/>
      <c r="M2226" s="136" t="str">
        <f t="shared" si="1"/>
        <v/>
      </c>
      <c r="O2226" s="141" t="s">
        <v>133</v>
      </c>
      <c r="P2226" s="136" t="str">
        <f>IFERROR(__xludf.DUMMYFUNCTION("""COMPUTED_VALUE"""),"")</f>
        <v/>
      </c>
      <c r="Q2226" s="136" t="str">
        <f>IFERROR(__xludf.DUMMYFUNCTION("""COMPUTED_VALUE"""),"")</f>
        <v/>
      </c>
      <c r="R2226" s="106" t="str">
        <f>IFERROR(__xludf.DUMMYFUNCTION("""COMPUTED_VALUE"""),"")</f>
        <v/>
      </c>
      <c r="S2226" s="106" t="str">
        <f>IFERROR(__xludf.DUMMYFUNCTION("""COMPUTED_VALUE"""),"")</f>
        <v/>
      </c>
      <c r="T2226" s="139" t="str">
        <f>IFERROR(__xludf.DUMMYFUNCTION("""COMPUTED_VALUE"""),"")</f>
        <v/>
      </c>
      <c r="U2226" s="139" t="str">
        <f>IFERROR(__xludf.DUMMYFUNCTION("""COMPUTED_VALUE"""),"")</f>
        <v/>
      </c>
      <c r="V2226" s="136" t="str">
        <f>IFERROR(__xludf.DUMMYFUNCTION("""COMPUTED_VALUE"""),"")</f>
        <v/>
      </c>
      <c r="W2226" s="106" t="str">
        <f>IFERROR(__xludf.DUMMYFUNCTION("""COMPUTED_VALUE"""),"")</f>
        <v/>
      </c>
      <c r="X2226" s="143" t="str">
        <f t="shared" si="2"/>
        <v/>
      </c>
      <c r="Y2226" s="139" t="str">
        <f>IFERROR(__xludf.DUMMYFUNCTION("""COMPUTED_VALUE"""),"")</f>
        <v/>
      </c>
      <c r="Z2226" s="141" t="str">
        <f>IFERROR(__xludf.DUMMYFUNCTION("""COMPUTED_VALUE"""),"")</f>
        <v/>
      </c>
    </row>
    <row r="2227">
      <c r="D2227" s="136" t="str">
        <f t="shared" si="3"/>
        <v/>
      </c>
      <c r="E2227" s="152"/>
      <c r="F2227" s="106" t="s">
        <v>133</v>
      </c>
      <c r="G2227" s="152"/>
      <c r="H2227" s="106" t="s">
        <v>133</v>
      </c>
      <c r="J2227" s="139" t="s">
        <v>133</v>
      </c>
      <c r="K2227" s="136" t="s">
        <v>133</v>
      </c>
      <c r="L2227" s="153"/>
      <c r="M2227" s="136" t="str">
        <f t="shared" si="1"/>
        <v/>
      </c>
      <c r="O2227" s="141" t="s">
        <v>133</v>
      </c>
      <c r="P2227" s="136" t="str">
        <f>IFERROR(__xludf.DUMMYFUNCTION("""COMPUTED_VALUE"""),"")</f>
        <v/>
      </c>
      <c r="Q2227" s="136" t="str">
        <f>IFERROR(__xludf.DUMMYFUNCTION("""COMPUTED_VALUE"""),"")</f>
        <v/>
      </c>
      <c r="R2227" s="106" t="str">
        <f>IFERROR(__xludf.DUMMYFUNCTION("""COMPUTED_VALUE"""),"")</f>
        <v/>
      </c>
      <c r="S2227" s="106" t="str">
        <f>IFERROR(__xludf.DUMMYFUNCTION("""COMPUTED_VALUE"""),"")</f>
        <v/>
      </c>
      <c r="T2227" s="139" t="str">
        <f>IFERROR(__xludf.DUMMYFUNCTION("""COMPUTED_VALUE"""),"")</f>
        <v/>
      </c>
      <c r="U2227" s="139" t="str">
        <f>IFERROR(__xludf.DUMMYFUNCTION("""COMPUTED_VALUE"""),"")</f>
        <v/>
      </c>
      <c r="V2227" s="136" t="str">
        <f>IFERROR(__xludf.DUMMYFUNCTION("""COMPUTED_VALUE"""),"")</f>
        <v/>
      </c>
      <c r="W2227" s="106" t="str">
        <f>IFERROR(__xludf.DUMMYFUNCTION("""COMPUTED_VALUE"""),"")</f>
        <v/>
      </c>
      <c r="X2227" s="143" t="str">
        <f t="shared" si="2"/>
        <v/>
      </c>
      <c r="Y2227" s="139" t="str">
        <f>IFERROR(__xludf.DUMMYFUNCTION("""COMPUTED_VALUE"""),"")</f>
        <v/>
      </c>
      <c r="Z2227" s="141" t="str">
        <f>IFERROR(__xludf.DUMMYFUNCTION("""COMPUTED_VALUE"""),"")</f>
        <v/>
      </c>
    </row>
    <row r="2228">
      <c r="D2228" s="136" t="str">
        <f t="shared" si="3"/>
        <v/>
      </c>
      <c r="E2228" s="152"/>
      <c r="F2228" s="106" t="s">
        <v>133</v>
      </c>
      <c r="G2228" s="152"/>
      <c r="H2228" s="106" t="s">
        <v>133</v>
      </c>
      <c r="J2228" s="139" t="s">
        <v>133</v>
      </c>
      <c r="K2228" s="136" t="s">
        <v>133</v>
      </c>
      <c r="L2228" s="153"/>
      <c r="M2228" s="136" t="str">
        <f t="shared" si="1"/>
        <v/>
      </c>
      <c r="O2228" s="141" t="s">
        <v>133</v>
      </c>
      <c r="P2228" s="136" t="str">
        <f>IFERROR(__xludf.DUMMYFUNCTION("""COMPUTED_VALUE"""),"")</f>
        <v/>
      </c>
      <c r="Q2228" s="136" t="str">
        <f>IFERROR(__xludf.DUMMYFUNCTION("""COMPUTED_VALUE"""),"")</f>
        <v/>
      </c>
      <c r="R2228" s="106" t="str">
        <f>IFERROR(__xludf.DUMMYFUNCTION("""COMPUTED_VALUE"""),"")</f>
        <v/>
      </c>
      <c r="S2228" s="106" t="str">
        <f>IFERROR(__xludf.DUMMYFUNCTION("""COMPUTED_VALUE"""),"")</f>
        <v/>
      </c>
      <c r="T2228" s="139" t="str">
        <f>IFERROR(__xludf.DUMMYFUNCTION("""COMPUTED_VALUE"""),"")</f>
        <v/>
      </c>
      <c r="U2228" s="139" t="str">
        <f>IFERROR(__xludf.DUMMYFUNCTION("""COMPUTED_VALUE"""),"")</f>
        <v/>
      </c>
      <c r="V2228" s="136" t="str">
        <f>IFERROR(__xludf.DUMMYFUNCTION("""COMPUTED_VALUE"""),"")</f>
        <v/>
      </c>
      <c r="W2228" s="106" t="str">
        <f>IFERROR(__xludf.DUMMYFUNCTION("""COMPUTED_VALUE"""),"")</f>
        <v/>
      </c>
      <c r="X2228" s="143" t="str">
        <f t="shared" si="2"/>
        <v/>
      </c>
      <c r="Y2228" s="139" t="str">
        <f>IFERROR(__xludf.DUMMYFUNCTION("""COMPUTED_VALUE"""),"")</f>
        <v/>
      </c>
      <c r="Z2228" s="141" t="str">
        <f>IFERROR(__xludf.DUMMYFUNCTION("""COMPUTED_VALUE"""),"")</f>
        <v/>
      </c>
    </row>
    <row r="2229">
      <c r="D2229" s="136" t="str">
        <f t="shared" si="3"/>
        <v/>
      </c>
      <c r="E2229" s="152"/>
      <c r="F2229" s="106" t="s">
        <v>133</v>
      </c>
      <c r="G2229" s="152"/>
      <c r="H2229" s="106" t="s">
        <v>133</v>
      </c>
      <c r="J2229" s="139" t="s">
        <v>133</v>
      </c>
      <c r="K2229" s="136" t="s">
        <v>133</v>
      </c>
      <c r="L2229" s="153"/>
      <c r="M2229" s="136" t="str">
        <f t="shared" si="1"/>
        <v/>
      </c>
      <c r="O2229" s="141" t="s">
        <v>133</v>
      </c>
      <c r="P2229" s="136" t="str">
        <f>IFERROR(__xludf.DUMMYFUNCTION("""COMPUTED_VALUE"""),"")</f>
        <v/>
      </c>
      <c r="Q2229" s="136" t="str">
        <f>IFERROR(__xludf.DUMMYFUNCTION("""COMPUTED_VALUE"""),"")</f>
        <v/>
      </c>
      <c r="R2229" s="106" t="str">
        <f>IFERROR(__xludf.DUMMYFUNCTION("""COMPUTED_VALUE"""),"")</f>
        <v/>
      </c>
      <c r="S2229" s="106" t="str">
        <f>IFERROR(__xludf.DUMMYFUNCTION("""COMPUTED_VALUE"""),"")</f>
        <v/>
      </c>
      <c r="T2229" s="139" t="str">
        <f>IFERROR(__xludf.DUMMYFUNCTION("""COMPUTED_VALUE"""),"")</f>
        <v/>
      </c>
      <c r="U2229" s="139" t="str">
        <f>IFERROR(__xludf.DUMMYFUNCTION("""COMPUTED_VALUE"""),"")</f>
        <v/>
      </c>
      <c r="V2229" s="136" t="str">
        <f>IFERROR(__xludf.DUMMYFUNCTION("""COMPUTED_VALUE"""),"")</f>
        <v/>
      </c>
      <c r="W2229" s="106" t="str">
        <f>IFERROR(__xludf.DUMMYFUNCTION("""COMPUTED_VALUE"""),"")</f>
        <v/>
      </c>
      <c r="X2229" s="143" t="str">
        <f t="shared" si="2"/>
        <v/>
      </c>
      <c r="Y2229" s="139" t="str">
        <f>IFERROR(__xludf.DUMMYFUNCTION("""COMPUTED_VALUE"""),"")</f>
        <v/>
      </c>
      <c r="Z2229" s="141" t="str">
        <f>IFERROR(__xludf.DUMMYFUNCTION("""COMPUTED_VALUE"""),"")</f>
        <v/>
      </c>
    </row>
    <row r="2230">
      <c r="D2230" s="136" t="str">
        <f t="shared" si="3"/>
        <v/>
      </c>
      <c r="E2230" s="152"/>
      <c r="F2230" s="106" t="s">
        <v>133</v>
      </c>
      <c r="G2230" s="152"/>
      <c r="H2230" s="106" t="s">
        <v>133</v>
      </c>
      <c r="J2230" s="139" t="s">
        <v>133</v>
      </c>
      <c r="K2230" s="136" t="s">
        <v>133</v>
      </c>
      <c r="L2230" s="153"/>
      <c r="M2230" s="136" t="str">
        <f t="shared" si="1"/>
        <v/>
      </c>
      <c r="O2230" s="141" t="s">
        <v>133</v>
      </c>
      <c r="P2230" s="136" t="str">
        <f>IFERROR(__xludf.DUMMYFUNCTION("""COMPUTED_VALUE"""),"")</f>
        <v/>
      </c>
      <c r="Q2230" s="136" t="str">
        <f>IFERROR(__xludf.DUMMYFUNCTION("""COMPUTED_VALUE"""),"")</f>
        <v/>
      </c>
      <c r="R2230" s="106" t="str">
        <f>IFERROR(__xludf.DUMMYFUNCTION("""COMPUTED_VALUE"""),"")</f>
        <v/>
      </c>
      <c r="S2230" s="106" t="str">
        <f>IFERROR(__xludf.DUMMYFUNCTION("""COMPUTED_VALUE"""),"")</f>
        <v/>
      </c>
      <c r="T2230" s="139" t="str">
        <f>IFERROR(__xludf.DUMMYFUNCTION("""COMPUTED_VALUE"""),"")</f>
        <v/>
      </c>
      <c r="U2230" s="139" t="str">
        <f>IFERROR(__xludf.DUMMYFUNCTION("""COMPUTED_VALUE"""),"")</f>
        <v/>
      </c>
      <c r="V2230" s="136" t="str">
        <f>IFERROR(__xludf.DUMMYFUNCTION("""COMPUTED_VALUE"""),"")</f>
        <v/>
      </c>
      <c r="W2230" s="106" t="str">
        <f>IFERROR(__xludf.DUMMYFUNCTION("""COMPUTED_VALUE"""),"")</f>
        <v/>
      </c>
      <c r="X2230" s="143" t="str">
        <f t="shared" si="2"/>
        <v/>
      </c>
      <c r="Y2230" s="139" t="str">
        <f>IFERROR(__xludf.DUMMYFUNCTION("""COMPUTED_VALUE"""),"")</f>
        <v/>
      </c>
      <c r="Z2230" s="141" t="str">
        <f>IFERROR(__xludf.DUMMYFUNCTION("""COMPUTED_VALUE"""),"")</f>
        <v/>
      </c>
    </row>
    <row r="2231">
      <c r="D2231" s="136" t="str">
        <f t="shared" si="3"/>
        <v/>
      </c>
      <c r="E2231" s="152"/>
      <c r="F2231" s="106" t="s">
        <v>133</v>
      </c>
      <c r="G2231" s="152"/>
      <c r="H2231" s="106" t="s">
        <v>133</v>
      </c>
      <c r="J2231" s="139" t="s">
        <v>133</v>
      </c>
      <c r="K2231" s="136" t="s">
        <v>133</v>
      </c>
      <c r="L2231" s="153"/>
      <c r="M2231" s="136" t="str">
        <f t="shared" si="1"/>
        <v/>
      </c>
      <c r="O2231" s="141" t="s">
        <v>133</v>
      </c>
      <c r="P2231" s="136" t="str">
        <f>IFERROR(__xludf.DUMMYFUNCTION("""COMPUTED_VALUE"""),"")</f>
        <v/>
      </c>
      <c r="Q2231" s="136" t="str">
        <f>IFERROR(__xludf.DUMMYFUNCTION("""COMPUTED_VALUE"""),"")</f>
        <v/>
      </c>
      <c r="R2231" s="106" t="str">
        <f>IFERROR(__xludf.DUMMYFUNCTION("""COMPUTED_VALUE"""),"")</f>
        <v/>
      </c>
      <c r="S2231" s="106" t="str">
        <f>IFERROR(__xludf.DUMMYFUNCTION("""COMPUTED_VALUE"""),"")</f>
        <v/>
      </c>
      <c r="T2231" s="139" t="str">
        <f>IFERROR(__xludf.DUMMYFUNCTION("""COMPUTED_VALUE"""),"")</f>
        <v/>
      </c>
      <c r="U2231" s="139" t="str">
        <f>IFERROR(__xludf.DUMMYFUNCTION("""COMPUTED_VALUE"""),"")</f>
        <v/>
      </c>
      <c r="V2231" s="136" t="str">
        <f>IFERROR(__xludf.DUMMYFUNCTION("""COMPUTED_VALUE"""),"")</f>
        <v/>
      </c>
      <c r="W2231" s="106" t="str">
        <f>IFERROR(__xludf.DUMMYFUNCTION("""COMPUTED_VALUE"""),"")</f>
        <v/>
      </c>
      <c r="X2231" s="143" t="str">
        <f t="shared" si="2"/>
        <v/>
      </c>
      <c r="Y2231" s="139" t="str">
        <f>IFERROR(__xludf.DUMMYFUNCTION("""COMPUTED_VALUE"""),"")</f>
        <v/>
      </c>
      <c r="Z2231" s="141" t="str">
        <f>IFERROR(__xludf.DUMMYFUNCTION("""COMPUTED_VALUE"""),"")</f>
        <v/>
      </c>
    </row>
    <row r="2232">
      <c r="D2232" s="136" t="str">
        <f t="shared" si="3"/>
        <v/>
      </c>
      <c r="E2232" s="152"/>
      <c r="F2232" s="106" t="s">
        <v>133</v>
      </c>
      <c r="G2232" s="152"/>
      <c r="H2232" s="106" t="s">
        <v>133</v>
      </c>
      <c r="J2232" s="139" t="s">
        <v>133</v>
      </c>
      <c r="K2232" s="136" t="s">
        <v>133</v>
      </c>
      <c r="L2232" s="153"/>
      <c r="M2232" s="136" t="str">
        <f t="shared" si="1"/>
        <v/>
      </c>
      <c r="O2232" s="141" t="s">
        <v>133</v>
      </c>
      <c r="P2232" s="136" t="str">
        <f>IFERROR(__xludf.DUMMYFUNCTION("""COMPUTED_VALUE"""),"")</f>
        <v/>
      </c>
      <c r="Q2232" s="136" t="str">
        <f>IFERROR(__xludf.DUMMYFUNCTION("""COMPUTED_VALUE"""),"")</f>
        <v/>
      </c>
      <c r="R2232" s="106" t="str">
        <f>IFERROR(__xludf.DUMMYFUNCTION("""COMPUTED_VALUE"""),"")</f>
        <v/>
      </c>
      <c r="S2232" s="106" t="str">
        <f>IFERROR(__xludf.DUMMYFUNCTION("""COMPUTED_VALUE"""),"")</f>
        <v/>
      </c>
      <c r="T2232" s="139" t="str">
        <f>IFERROR(__xludf.DUMMYFUNCTION("""COMPUTED_VALUE"""),"")</f>
        <v/>
      </c>
      <c r="U2232" s="139" t="str">
        <f>IFERROR(__xludf.DUMMYFUNCTION("""COMPUTED_VALUE"""),"")</f>
        <v/>
      </c>
      <c r="V2232" s="136" t="str">
        <f>IFERROR(__xludf.DUMMYFUNCTION("""COMPUTED_VALUE"""),"")</f>
        <v/>
      </c>
      <c r="W2232" s="106" t="str">
        <f>IFERROR(__xludf.DUMMYFUNCTION("""COMPUTED_VALUE"""),"")</f>
        <v/>
      </c>
      <c r="X2232" s="143" t="str">
        <f t="shared" si="2"/>
        <v/>
      </c>
      <c r="Y2232" s="139" t="str">
        <f>IFERROR(__xludf.DUMMYFUNCTION("""COMPUTED_VALUE"""),"")</f>
        <v/>
      </c>
      <c r="Z2232" s="141" t="str">
        <f>IFERROR(__xludf.DUMMYFUNCTION("""COMPUTED_VALUE"""),"")</f>
        <v/>
      </c>
    </row>
    <row r="2233">
      <c r="D2233" s="136" t="str">
        <f t="shared" si="3"/>
        <v/>
      </c>
      <c r="E2233" s="152"/>
      <c r="F2233" s="106" t="s">
        <v>133</v>
      </c>
      <c r="G2233" s="152"/>
      <c r="H2233" s="106" t="s">
        <v>133</v>
      </c>
      <c r="J2233" s="139" t="s">
        <v>133</v>
      </c>
      <c r="K2233" s="136" t="s">
        <v>133</v>
      </c>
      <c r="L2233" s="153"/>
      <c r="M2233" s="136" t="str">
        <f t="shared" si="1"/>
        <v/>
      </c>
      <c r="O2233" s="141" t="s">
        <v>133</v>
      </c>
      <c r="P2233" s="136" t="str">
        <f>IFERROR(__xludf.DUMMYFUNCTION("""COMPUTED_VALUE"""),"")</f>
        <v/>
      </c>
      <c r="Q2233" s="136" t="str">
        <f>IFERROR(__xludf.DUMMYFUNCTION("""COMPUTED_VALUE"""),"")</f>
        <v/>
      </c>
      <c r="R2233" s="106" t="str">
        <f>IFERROR(__xludf.DUMMYFUNCTION("""COMPUTED_VALUE"""),"")</f>
        <v/>
      </c>
      <c r="S2233" s="106" t="str">
        <f>IFERROR(__xludf.DUMMYFUNCTION("""COMPUTED_VALUE"""),"")</f>
        <v/>
      </c>
      <c r="T2233" s="139" t="str">
        <f>IFERROR(__xludf.DUMMYFUNCTION("""COMPUTED_VALUE"""),"")</f>
        <v/>
      </c>
      <c r="U2233" s="139" t="str">
        <f>IFERROR(__xludf.DUMMYFUNCTION("""COMPUTED_VALUE"""),"")</f>
        <v/>
      </c>
      <c r="V2233" s="136" t="str">
        <f>IFERROR(__xludf.DUMMYFUNCTION("""COMPUTED_VALUE"""),"")</f>
        <v/>
      </c>
      <c r="W2233" s="106" t="str">
        <f>IFERROR(__xludf.DUMMYFUNCTION("""COMPUTED_VALUE"""),"")</f>
        <v/>
      </c>
      <c r="X2233" s="143" t="str">
        <f t="shared" si="2"/>
        <v/>
      </c>
      <c r="Y2233" s="139" t="str">
        <f>IFERROR(__xludf.DUMMYFUNCTION("""COMPUTED_VALUE"""),"")</f>
        <v/>
      </c>
      <c r="Z2233" s="141" t="str">
        <f>IFERROR(__xludf.DUMMYFUNCTION("""COMPUTED_VALUE"""),"")</f>
        <v/>
      </c>
    </row>
    <row r="2234">
      <c r="D2234" s="136" t="str">
        <f t="shared" si="3"/>
        <v/>
      </c>
      <c r="E2234" s="152"/>
      <c r="F2234" s="106" t="s">
        <v>133</v>
      </c>
      <c r="G2234" s="152"/>
      <c r="H2234" s="106" t="s">
        <v>133</v>
      </c>
      <c r="J2234" s="139" t="s">
        <v>133</v>
      </c>
      <c r="K2234" s="136" t="s">
        <v>133</v>
      </c>
      <c r="L2234" s="153"/>
      <c r="M2234" s="136" t="str">
        <f t="shared" si="1"/>
        <v/>
      </c>
      <c r="O2234" s="141" t="s">
        <v>133</v>
      </c>
      <c r="P2234" s="136" t="str">
        <f>IFERROR(__xludf.DUMMYFUNCTION("""COMPUTED_VALUE"""),"")</f>
        <v/>
      </c>
      <c r="Q2234" s="136" t="str">
        <f>IFERROR(__xludf.DUMMYFUNCTION("""COMPUTED_VALUE"""),"")</f>
        <v/>
      </c>
      <c r="R2234" s="106" t="str">
        <f>IFERROR(__xludf.DUMMYFUNCTION("""COMPUTED_VALUE"""),"")</f>
        <v/>
      </c>
      <c r="S2234" s="106" t="str">
        <f>IFERROR(__xludf.DUMMYFUNCTION("""COMPUTED_VALUE"""),"")</f>
        <v/>
      </c>
      <c r="T2234" s="139" t="str">
        <f>IFERROR(__xludf.DUMMYFUNCTION("""COMPUTED_VALUE"""),"")</f>
        <v/>
      </c>
      <c r="U2234" s="139" t="str">
        <f>IFERROR(__xludf.DUMMYFUNCTION("""COMPUTED_VALUE"""),"")</f>
        <v/>
      </c>
      <c r="V2234" s="136" t="str">
        <f>IFERROR(__xludf.DUMMYFUNCTION("""COMPUTED_VALUE"""),"")</f>
        <v/>
      </c>
      <c r="W2234" s="106" t="str">
        <f>IFERROR(__xludf.DUMMYFUNCTION("""COMPUTED_VALUE"""),"")</f>
        <v/>
      </c>
      <c r="X2234" s="143" t="str">
        <f t="shared" si="2"/>
        <v/>
      </c>
      <c r="Y2234" s="139" t="str">
        <f>IFERROR(__xludf.DUMMYFUNCTION("""COMPUTED_VALUE"""),"")</f>
        <v/>
      </c>
      <c r="Z2234" s="141" t="str">
        <f>IFERROR(__xludf.DUMMYFUNCTION("""COMPUTED_VALUE"""),"")</f>
        <v/>
      </c>
    </row>
    <row r="2235">
      <c r="D2235" s="136" t="str">
        <f t="shared" si="3"/>
        <v/>
      </c>
      <c r="E2235" s="152"/>
      <c r="F2235" s="106" t="s">
        <v>133</v>
      </c>
      <c r="G2235" s="152"/>
      <c r="H2235" s="106" t="s">
        <v>133</v>
      </c>
      <c r="J2235" s="139" t="s">
        <v>133</v>
      </c>
      <c r="K2235" s="136" t="s">
        <v>133</v>
      </c>
      <c r="L2235" s="153"/>
      <c r="M2235" s="136" t="str">
        <f t="shared" si="1"/>
        <v/>
      </c>
      <c r="O2235" s="141" t="s">
        <v>133</v>
      </c>
      <c r="P2235" s="136" t="str">
        <f>IFERROR(__xludf.DUMMYFUNCTION("""COMPUTED_VALUE"""),"")</f>
        <v/>
      </c>
      <c r="Q2235" s="136" t="str">
        <f>IFERROR(__xludf.DUMMYFUNCTION("""COMPUTED_VALUE"""),"")</f>
        <v/>
      </c>
      <c r="R2235" s="106" t="str">
        <f>IFERROR(__xludf.DUMMYFUNCTION("""COMPUTED_VALUE"""),"")</f>
        <v/>
      </c>
      <c r="S2235" s="106" t="str">
        <f>IFERROR(__xludf.DUMMYFUNCTION("""COMPUTED_VALUE"""),"")</f>
        <v/>
      </c>
      <c r="T2235" s="139" t="str">
        <f>IFERROR(__xludf.DUMMYFUNCTION("""COMPUTED_VALUE"""),"")</f>
        <v/>
      </c>
      <c r="U2235" s="139" t="str">
        <f>IFERROR(__xludf.DUMMYFUNCTION("""COMPUTED_VALUE"""),"")</f>
        <v/>
      </c>
      <c r="V2235" s="136" t="str">
        <f>IFERROR(__xludf.DUMMYFUNCTION("""COMPUTED_VALUE"""),"")</f>
        <v/>
      </c>
      <c r="W2235" s="106" t="str">
        <f>IFERROR(__xludf.DUMMYFUNCTION("""COMPUTED_VALUE"""),"")</f>
        <v/>
      </c>
      <c r="X2235" s="143" t="str">
        <f t="shared" si="2"/>
        <v/>
      </c>
      <c r="Y2235" s="139" t="str">
        <f>IFERROR(__xludf.DUMMYFUNCTION("""COMPUTED_VALUE"""),"")</f>
        <v/>
      </c>
      <c r="Z2235" s="141" t="str">
        <f>IFERROR(__xludf.DUMMYFUNCTION("""COMPUTED_VALUE"""),"")</f>
        <v/>
      </c>
    </row>
    <row r="2236">
      <c r="D2236" s="136" t="str">
        <f t="shared" si="3"/>
        <v/>
      </c>
      <c r="E2236" s="152"/>
      <c r="F2236" s="106" t="s">
        <v>133</v>
      </c>
      <c r="G2236" s="152"/>
      <c r="H2236" s="106" t="s">
        <v>133</v>
      </c>
      <c r="J2236" s="139" t="s">
        <v>133</v>
      </c>
      <c r="K2236" s="136" t="s">
        <v>133</v>
      </c>
      <c r="L2236" s="153"/>
      <c r="M2236" s="136" t="str">
        <f t="shared" si="1"/>
        <v/>
      </c>
      <c r="O2236" s="141" t="s">
        <v>133</v>
      </c>
      <c r="P2236" s="136" t="str">
        <f>IFERROR(__xludf.DUMMYFUNCTION("""COMPUTED_VALUE"""),"")</f>
        <v/>
      </c>
      <c r="Q2236" s="136" t="str">
        <f>IFERROR(__xludf.DUMMYFUNCTION("""COMPUTED_VALUE"""),"")</f>
        <v/>
      </c>
      <c r="R2236" s="106" t="str">
        <f>IFERROR(__xludf.DUMMYFUNCTION("""COMPUTED_VALUE"""),"")</f>
        <v/>
      </c>
      <c r="S2236" s="106" t="str">
        <f>IFERROR(__xludf.DUMMYFUNCTION("""COMPUTED_VALUE"""),"")</f>
        <v/>
      </c>
      <c r="T2236" s="139" t="str">
        <f>IFERROR(__xludf.DUMMYFUNCTION("""COMPUTED_VALUE"""),"")</f>
        <v/>
      </c>
      <c r="U2236" s="139" t="str">
        <f>IFERROR(__xludf.DUMMYFUNCTION("""COMPUTED_VALUE"""),"")</f>
        <v/>
      </c>
      <c r="V2236" s="136" t="str">
        <f>IFERROR(__xludf.DUMMYFUNCTION("""COMPUTED_VALUE"""),"")</f>
        <v/>
      </c>
      <c r="W2236" s="106" t="str">
        <f>IFERROR(__xludf.DUMMYFUNCTION("""COMPUTED_VALUE"""),"")</f>
        <v/>
      </c>
      <c r="X2236" s="143" t="str">
        <f t="shared" si="2"/>
        <v/>
      </c>
      <c r="Y2236" s="139" t="str">
        <f>IFERROR(__xludf.DUMMYFUNCTION("""COMPUTED_VALUE"""),"")</f>
        <v/>
      </c>
      <c r="Z2236" s="141" t="str">
        <f>IFERROR(__xludf.DUMMYFUNCTION("""COMPUTED_VALUE"""),"")</f>
        <v/>
      </c>
    </row>
    <row r="2237">
      <c r="D2237" s="136" t="str">
        <f t="shared" si="3"/>
        <v/>
      </c>
      <c r="E2237" s="152"/>
      <c r="F2237" s="106" t="s">
        <v>133</v>
      </c>
      <c r="G2237" s="152"/>
      <c r="H2237" s="106" t="s">
        <v>133</v>
      </c>
      <c r="J2237" s="139" t="s">
        <v>133</v>
      </c>
      <c r="K2237" s="136" t="s">
        <v>133</v>
      </c>
      <c r="L2237" s="153"/>
      <c r="M2237" s="136" t="str">
        <f t="shared" si="1"/>
        <v/>
      </c>
      <c r="O2237" s="141" t="s">
        <v>133</v>
      </c>
      <c r="P2237" s="136" t="str">
        <f>IFERROR(__xludf.DUMMYFUNCTION("""COMPUTED_VALUE"""),"")</f>
        <v/>
      </c>
      <c r="Q2237" s="136" t="str">
        <f>IFERROR(__xludf.DUMMYFUNCTION("""COMPUTED_VALUE"""),"")</f>
        <v/>
      </c>
      <c r="R2237" s="106" t="str">
        <f>IFERROR(__xludf.DUMMYFUNCTION("""COMPUTED_VALUE"""),"")</f>
        <v/>
      </c>
      <c r="S2237" s="106" t="str">
        <f>IFERROR(__xludf.DUMMYFUNCTION("""COMPUTED_VALUE"""),"")</f>
        <v/>
      </c>
      <c r="T2237" s="139" t="str">
        <f>IFERROR(__xludf.DUMMYFUNCTION("""COMPUTED_VALUE"""),"")</f>
        <v/>
      </c>
      <c r="U2237" s="139" t="str">
        <f>IFERROR(__xludf.DUMMYFUNCTION("""COMPUTED_VALUE"""),"")</f>
        <v/>
      </c>
      <c r="V2237" s="136" t="str">
        <f>IFERROR(__xludf.DUMMYFUNCTION("""COMPUTED_VALUE"""),"")</f>
        <v/>
      </c>
      <c r="W2237" s="106" t="str">
        <f>IFERROR(__xludf.DUMMYFUNCTION("""COMPUTED_VALUE"""),"")</f>
        <v/>
      </c>
      <c r="X2237" s="143" t="str">
        <f t="shared" si="2"/>
        <v/>
      </c>
      <c r="Y2237" s="139" t="str">
        <f>IFERROR(__xludf.DUMMYFUNCTION("""COMPUTED_VALUE"""),"")</f>
        <v/>
      </c>
      <c r="Z2237" s="141" t="str">
        <f>IFERROR(__xludf.DUMMYFUNCTION("""COMPUTED_VALUE"""),"")</f>
        <v/>
      </c>
    </row>
    <row r="2238">
      <c r="D2238" s="136" t="str">
        <f t="shared" si="3"/>
        <v/>
      </c>
      <c r="E2238" s="152"/>
      <c r="F2238" s="106" t="s">
        <v>133</v>
      </c>
      <c r="G2238" s="152"/>
      <c r="H2238" s="106" t="s">
        <v>133</v>
      </c>
      <c r="J2238" s="139" t="s">
        <v>133</v>
      </c>
      <c r="K2238" s="136" t="s">
        <v>133</v>
      </c>
      <c r="L2238" s="153"/>
      <c r="M2238" s="136" t="str">
        <f t="shared" si="1"/>
        <v/>
      </c>
      <c r="O2238" s="141" t="s">
        <v>133</v>
      </c>
      <c r="P2238" s="136" t="str">
        <f>IFERROR(__xludf.DUMMYFUNCTION("""COMPUTED_VALUE"""),"")</f>
        <v/>
      </c>
      <c r="Q2238" s="136" t="str">
        <f>IFERROR(__xludf.DUMMYFUNCTION("""COMPUTED_VALUE"""),"")</f>
        <v/>
      </c>
      <c r="R2238" s="106" t="str">
        <f>IFERROR(__xludf.DUMMYFUNCTION("""COMPUTED_VALUE"""),"")</f>
        <v/>
      </c>
      <c r="S2238" s="106" t="str">
        <f>IFERROR(__xludf.DUMMYFUNCTION("""COMPUTED_VALUE"""),"")</f>
        <v/>
      </c>
      <c r="T2238" s="139" t="str">
        <f>IFERROR(__xludf.DUMMYFUNCTION("""COMPUTED_VALUE"""),"")</f>
        <v/>
      </c>
      <c r="U2238" s="139" t="str">
        <f>IFERROR(__xludf.DUMMYFUNCTION("""COMPUTED_VALUE"""),"")</f>
        <v/>
      </c>
      <c r="V2238" s="136" t="str">
        <f>IFERROR(__xludf.DUMMYFUNCTION("""COMPUTED_VALUE"""),"")</f>
        <v/>
      </c>
      <c r="W2238" s="106" t="str">
        <f>IFERROR(__xludf.DUMMYFUNCTION("""COMPUTED_VALUE"""),"")</f>
        <v/>
      </c>
      <c r="X2238" s="143" t="str">
        <f t="shared" si="2"/>
        <v/>
      </c>
      <c r="Y2238" s="139" t="str">
        <f>IFERROR(__xludf.DUMMYFUNCTION("""COMPUTED_VALUE"""),"")</f>
        <v/>
      </c>
      <c r="Z2238" s="141" t="str">
        <f>IFERROR(__xludf.DUMMYFUNCTION("""COMPUTED_VALUE"""),"")</f>
        <v/>
      </c>
    </row>
    <row r="2239">
      <c r="D2239" s="136" t="str">
        <f t="shared" si="3"/>
        <v/>
      </c>
      <c r="E2239" s="152"/>
      <c r="F2239" s="106" t="s">
        <v>133</v>
      </c>
      <c r="G2239" s="152"/>
      <c r="H2239" s="106" t="s">
        <v>133</v>
      </c>
      <c r="J2239" s="139" t="s">
        <v>133</v>
      </c>
      <c r="K2239" s="136" t="s">
        <v>133</v>
      </c>
      <c r="L2239" s="153"/>
      <c r="M2239" s="136" t="str">
        <f t="shared" si="1"/>
        <v/>
      </c>
      <c r="O2239" s="141" t="s">
        <v>133</v>
      </c>
      <c r="P2239" s="136" t="str">
        <f>IFERROR(__xludf.DUMMYFUNCTION("""COMPUTED_VALUE"""),"")</f>
        <v/>
      </c>
      <c r="Q2239" s="136" t="str">
        <f>IFERROR(__xludf.DUMMYFUNCTION("""COMPUTED_VALUE"""),"")</f>
        <v/>
      </c>
      <c r="R2239" s="106" t="str">
        <f>IFERROR(__xludf.DUMMYFUNCTION("""COMPUTED_VALUE"""),"")</f>
        <v/>
      </c>
      <c r="S2239" s="106" t="str">
        <f>IFERROR(__xludf.DUMMYFUNCTION("""COMPUTED_VALUE"""),"")</f>
        <v/>
      </c>
      <c r="T2239" s="139" t="str">
        <f>IFERROR(__xludf.DUMMYFUNCTION("""COMPUTED_VALUE"""),"")</f>
        <v/>
      </c>
      <c r="U2239" s="139" t="str">
        <f>IFERROR(__xludf.DUMMYFUNCTION("""COMPUTED_VALUE"""),"")</f>
        <v/>
      </c>
      <c r="V2239" s="136" t="str">
        <f>IFERROR(__xludf.DUMMYFUNCTION("""COMPUTED_VALUE"""),"")</f>
        <v/>
      </c>
      <c r="W2239" s="106" t="str">
        <f>IFERROR(__xludf.DUMMYFUNCTION("""COMPUTED_VALUE"""),"")</f>
        <v/>
      </c>
      <c r="X2239" s="143" t="str">
        <f t="shared" si="2"/>
        <v/>
      </c>
      <c r="Y2239" s="139" t="str">
        <f>IFERROR(__xludf.DUMMYFUNCTION("""COMPUTED_VALUE"""),"")</f>
        <v/>
      </c>
      <c r="Z2239" s="141" t="str">
        <f>IFERROR(__xludf.DUMMYFUNCTION("""COMPUTED_VALUE"""),"")</f>
        <v/>
      </c>
    </row>
    <row r="2240">
      <c r="D2240" s="136" t="str">
        <f t="shared" si="3"/>
        <v/>
      </c>
      <c r="E2240" s="152"/>
      <c r="F2240" s="106" t="s">
        <v>133</v>
      </c>
      <c r="G2240" s="152"/>
      <c r="H2240" s="106" t="s">
        <v>133</v>
      </c>
      <c r="J2240" s="139" t="s">
        <v>133</v>
      </c>
      <c r="K2240" s="136" t="s">
        <v>133</v>
      </c>
      <c r="L2240" s="153"/>
      <c r="M2240" s="136" t="str">
        <f t="shared" si="1"/>
        <v/>
      </c>
      <c r="O2240" s="141" t="s">
        <v>133</v>
      </c>
      <c r="P2240" s="136" t="str">
        <f>IFERROR(__xludf.DUMMYFUNCTION("""COMPUTED_VALUE"""),"")</f>
        <v/>
      </c>
      <c r="Q2240" s="136" t="str">
        <f>IFERROR(__xludf.DUMMYFUNCTION("""COMPUTED_VALUE"""),"")</f>
        <v/>
      </c>
      <c r="R2240" s="106" t="str">
        <f>IFERROR(__xludf.DUMMYFUNCTION("""COMPUTED_VALUE"""),"")</f>
        <v/>
      </c>
      <c r="S2240" s="106" t="str">
        <f>IFERROR(__xludf.DUMMYFUNCTION("""COMPUTED_VALUE"""),"")</f>
        <v/>
      </c>
      <c r="T2240" s="139" t="str">
        <f>IFERROR(__xludf.DUMMYFUNCTION("""COMPUTED_VALUE"""),"")</f>
        <v/>
      </c>
      <c r="U2240" s="139" t="str">
        <f>IFERROR(__xludf.DUMMYFUNCTION("""COMPUTED_VALUE"""),"")</f>
        <v/>
      </c>
      <c r="V2240" s="136" t="str">
        <f>IFERROR(__xludf.DUMMYFUNCTION("""COMPUTED_VALUE"""),"")</f>
        <v/>
      </c>
      <c r="W2240" s="106" t="str">
        <f>IFERROR(__xludf.DUMMYFUNCTION("""COMPUTED_VALUE"""),"")</f>
        <v/>
      </c>
      <c r="X2240" s="143" t="str">
        <f t="shared" si="2"/>
        <v/>
      </c>
      <c r="Y2240" s="139" t="str">
        <f>IFERROR(__xludf.DUMMYFUNCTION("""COMPUTED_VALUE"""),"")</f>
        <v/>
      </c>
      <c r="Z2240" s="141" t="str">
        <f>IFERROR(__xludf.DUMMYFUNCTION("""COMPUTED_VALUE"""),"")</f>
        <v/>
      </c>
    </row>
    <row r="2241">
      <c r="D2241" s="136" t="str">
        <f t="shared" si="3"/>
        <v/>
      </c>
      <c r="E2241" s="152"/>
      <c r="F2241" s="106" t="s">
        <v>133</v>
      </c>
      <c r="G2241" s="152"/>
      <c r="H2241" s="106" t="s">
        <v>133</v>
      </c>
      <c r="J2241" s="139" t="s">
        <v>133</v>
      </c>
      <c r="K2241" s="136" t="s">
        <v>133</v>
      </c>
      <c r="L2241" s="153"/>
      <c r="M2241" s="136" t="str">
        <f t="shared" si="1"/>
        <v/>
      </c>
      <c r="O2241" s="141" t="s">
        <v>133</v>
      </c>
      <c r="P2241" s="136" t="str">
        <f>IFERROR(__xludf.DUMMYFUNCTION("""COMPUTED_VALUE"""),"")</f>
        <v/>
      </c>
      <c r="Q2241" s="136" t="str">
        <f>IFERROR(__xludf.DUMMYFUNCTION("""COMPUTED_VALUE"""),"")</f>
        <v/>
      </c>
      <c r="R2241" s="106" t="str">
        <f>IFERROR(__xludf.DUMMYFUNCTION("""COMPUTED_VALUE"""),"")</f>
        <v/>
      </c>
      <c r="S2241" s="106" t="str">
        <f>IFERROR(__xludf.DUMMYFUNCTION("""COMPUTED_VALUE"""),"")</f>
        <v/>
      </c>
      <c r="T2241" s="139" t="str">
        <f>IFERROR(__xludf.DUMMYFUNCTION("""COMPUTED_VALUE"""),"")</f>
        <v/>
      </c>
      <c r="U2241" s="139" t="str">
        <f>IFERROR(__xludf.DUMMYFUNCTION("""COMPUTED_VALUE"""),"")</f>
        <v/>
      </c>
      <c r="V2241" s="136" t="str">
        <f>IFERROR(__xludf.DUMMYFUNCTION("""COMPUTED_VALUE"""),"")</f>
        <v/>
      </c>
      <c r="W2241" s="106" t="str">
        <f>IFERROR(__xludf.DUMMYFUNCTION("""COMPUTED_VALUE"""),"")</f>
        <v/>
      </c>
      <c r="X2241" s="143" t="str">
        <f t="shared" si="2"/>
        <v/>
      </c>
      <c r="Y2241" s="139" t="str">
        <f>IFERROR(__xludf.DUMMYFUNCTION("""COMPUTED_VALUE"""),"")</f>
        <v/>
      </c>
      <c r="Z2241" s="141" t="str">
        <f>IFERROR(__xludf.DUMMYFUNCTION("""COMPUTED_VALUE"""),"")</f>
        <v/>
      </c>
    </row>
    <row r="2242">
      <c r="D2242" s="136" t="str">
        <f t="shared" si="3"/>
        <v/>
      </c>
      <c r="E2242" s="152"/>
      <c r="F2242" s="106" t="s">
        <v>133</v>
      </c>
      <c r="G2242" s="152"/>
      <c r="H2242" s="106" t="s">
        <v>133</v>
      </c>
      <c r="J2242" s="139" t="s">
        <v>133</v>
      </c>
      <c r="K2242" s="136" t="s">
        <v>133</v>
      </c>
      <c r="L2242" s="153"/>
      <c r="M2242" s="136" t="str">
        <f t="shared" si="1"/>
        <v/>
      </c>
      <c r="O2242" s="141" t="s">
        <v>133</v>
      </c>
      <c r="P2242" s="136" t="str">
        <f>IFERROR(__xludf.DUMMYFUNCTION("""COMPUTED_VALUE"""),"")</f>
        <v/>
      </c>
      <c r="Q2242" s="136" t="str">
        <f>IFERROR(__xludf.DUMMYFUNCTION("""COMPUTED_VALUE"""),"")</f>
        <v/>
      </c>
      <c r="R2242" s="106" t="str">
        <f>IFERROR(__xludf.DUMMYFUNCTION("""COMPUTED_VALUE"""),"")</f>
        <v/>
      </c>
      <c r="S2242" s="106" t="str">
        <f>IFERROR(__xludf.DUMMYFUNCTION("""COMPUTED_VALUE"""),"")</f>
        <v/>
      </c>
      <c r="T2242" s="139" t="str">
        <f>IFERROR(__xludf.DUMMYFUNCTION("""COMPUTED_VALUE"""),"")</f>
        <v/>
      </c>
      <c r="U2242" s="139" t="str">
        <f>IFERROR(__xludf.DUMMYFUNCTION("""COMPUTED_VALUE"""),"")</f>
        <v/>
      </c>
      <c r="V2242" s="136" t="str">
        <f>IFERROR(__xludf.DUMMYFUNCTION("""COMPUTED_VALUE"""),"")</f>
        <v/>
      </c>
      <c r="W2242" s="106" t="str">
        <f>IFERROR(__xludf.DUMMYFUNCTION("""COMPUTED_VALUE"""),"")</f>
        <v/>
      </c>
      <c r="X2242" s="143" t="str">
        <f t="shared" si="2"/>
        <v/>
      </c>
      <c r="Y2242" s="139" t="str">
        <f>IFERROR(__xludf.DUMMYFUNCTION("""COMPUTED_VALUE"""),"")</f>
        <v/>
      </c>
      <c r="Z2242" s="141" t="str">
        <f>IFERROR(__xludf.DUMMYFUNCTION("""COMPUTED_VALUE"""),"")</f>
        <v/>
      </c>
    </row>
    <row r="2243">
      <c r="D2243" s="136" t="str">
        <f t="shared" si="3"/>
        <v/>
      </c>
      <c r="E2243" s="152"/>
      <c r="F2243" s="106" t="s">
        <v>133</v>
      </c>
      <c r="G2243" s="152"/>
      <c r="H2243" s="106" t="s">
        <v>133</v>
      </c>
      <c r="J2243" s="139" t="s">
        <v>133</v>
      </c>
      <c r="K2243" s="136" t="s">
        <v>133</v>
      </c>
      <c r="L2243" s="153"/>
      <c r="M2243" s="136" t="str">
        <f t="shared" si="1"/>
        <v/>
      </c>
      <c r="O2243" s="141" t="s">
        <v>133</v>
      </c>
      <c r="P2243" s="136" t="str">
        <f>IFERROR(__xludf.DUMMYFUNCTION("""COMPUTED_VALUE"""),"")</f>
        <v/>
      </c>
      <c r="Q2243" s="136" t="str">
        <f>IFERROR(__xludf.DUMMYFUNCTION("""COMPUTED_VALUE"""),"")</f>
        <v/>
      </c>
      <c r="R2243" s="106" t="str">
        <f>IFERROR(__xludf.DUMMYFUNCTION("""COMPUTED_VALUE"""),"")</f>
        <v/>
      </c>
      <c r="S2243" s="106" t="str">
        <f>IFERROR(__xludf.DUMMYFUNCTION("""COMPUTED_VALUE"""),"")</f>
        <v/>
      </c>
      <c r="T2243" s="139" t="str">
        <f>IFERROR(__xludf.DUMMYFUNCTION("""COMPUTED_VALUE"""),"")</f>
        <v/>
      </c>
      <c r="U2243" s="139" t="str">
        <f>IFERROR(__xludf.DUMMYFUNCTION("""COMPUTED_VALUE"""),"")</f>
        <v/>
      </c>
      <c r="V2243" s="136" t="str">
        <f>IFERROR(__xludf.DUMMYFUNCTION("""COMPUTED_VALUE"""),"")</f>
        <v/>
      </c>
      <c r="W2243" s="106" t="str">
        <f>IFERROR(__xludf.DUMMYFUNCTION("""COMPUTED_VALUE"""),"")</f>
        <v/>
      </c>
      <c r="X2243" s="143" t="str">
        <f t="shared" si="2"/>
        <v/>
      </c>
      <c r="Y2243" s="139" t="str">
        <f>IFERROR(__xludf.DUMMYFUNCTION("""COMPUTED_VALUE"""),"")</f>
        <v/>
      </c>
      <c r="Z2243" s="141" t="str">
        <f>IFERROR(__xludf.DUMMYFUNCTION("""COMPUTED_VALUE"""),"")</f>
        <v/>
      </c>
    </row>
    <row r="2244">
      <c r="D2244" s="136" t="str">
        <f t="shared" si="3"/>
        <v/>
      </c>
      <c r="E2244" s="152"/>
      <c r="F2244" s="106" t="s">
        <v>133</v>
      </c>
      <c r="G2244" s="152"/>
      <c r="H2244" s="106" t="s">
        <v>133</v>
      </c>
      <c r="J2244" s="139" t="s">
        <v>133</v>
      </c>
      <c r="K2244" s="136" t="s">
        <v>133</v>
      </c>
      <c r="L2244" s="153"/>
      <c r="M2244" s="136" t="str">
        <f t="shared" si="1"/>
        <v/>
      </c>
      <c r="O2244" s="141" t="s">
        <v>133</v>
      </c>
      <c r="P2244" s="136" t="str">
        <f>IFERROR(__xludf.DUMMYFUNCTION("""COMPUTED_VALUE"""),"")</f>
        <v/>
      </c>
      <c r="Q2244" s="136" t="str">
        <f>IFERROR(__xludf.DUMMYFUNCTION("""COMPUTED_VALUE"""),"")</f>
        <v/>
      </c>
      <c r="R2244" s="106" t="str">
        <f>IFERROR(__xludf.DUMMYFUNCTION("""COMPUTED_VALUE"""),"")</f>
        <v/>
      </c>
      <c r="S2244" s="106" t="str">
        <f>IFERROR(__xludf.DUMMYFUNCTION("""COMPUTED_VALUE"""),"")</f>
        <v/>
      </c>
      <c r="T2244" s="139" t="str">
        <f>IFERROR(__xludf.DUMMYFUNCTION("""COMPUTED_VALUE"""),"")</f>
        <v/>
      </c>
      <c r="U2244" s="139" t="str">
        <f>IFERROR(__xludf.DUMMYFUNCTION("""COMPUTED_VALUE"""),"")</f>
        <v/>
      </c>
      <c r="V2244" s="136" t="str">
        <f>IFERROR(__xludf.DUMMYFUNCTION("""COMPUTED_VALUE"""),"")</f>
        <v/>
      </c>
      <c r="W2244" s="106" t="str">
        <f>IFERROR(__xludf.DUMMYFUNCTION("""COMPUTED_VALUE"""),"")</f>
        <v/>
      </c>
      <c r="X2244" s="143" t="str">
        <f t="shared" si="2"/>
        <v/>
      </c>
      <c r="Y2244" s="139" t="str">
        <f>IFERROR(__xludf.DUMMYFUNCTION("""COMPUTED_VALUE"""),"")</f>
        <v/>
      </c>
      <c r="Z2244" s="141" t="str">
        <f>IFERROR(__xludf.DUMMYFUNCTION("""COMPUTED_VALUE"""),"")</f>
        <v/>
      </c>
    </row>
    <row r="2245">
      <c r="D2245" s="136" t="str">
        <f t="shared" si="3"/>
        <v/>
      </c>
      <c r="E2245" s="152"/>
      <c r="F2245" s="106" t="s">
        <v>133</v>
      </c>
      <c r="G2245" s="152"/>
      <c r="H2245" s="106" t="s">
        <v>133</v>
      </c>
      <c r="J2245" s="139" t="s">
        <v>133</v>
      </c>
      <c r="K2245" s="136" t="s">
        <v>133</v>
      </c>
      <c r="L2245" s="153"/>
      <c r="M2245" s="136" t="str">
        <f t="shared" si="1"/>
        <v/>
      </c>
      <c r="O2245" s="141" t="s">
        <v>133</v>
      </c>
      <c r="P2245" s="136" t="str">
        <f>IFERROR(__xludf.DUMMYFUNCTION("""COMPUTED_VALUE"""),"")</f>
        <v/>
      </c>
      <c r="Q2245" s="136" t="str">
        <f>IFERROR(__xludf.DUMMYFUNCTION("""COMPUTED_VALUE"""),"")</f>
        <v/>
      </c>
      <c r="R2245" s="106" t="str">
        <f>IFERROR(__xludf.DUMMYFUNCTION("""COMPUTED_VALUE"""),"")</f>
        <v/>
      </c>
      <c r="S2245" s="106" t="str">
        <f>IFERROR(__xludf.DUMMYFUNCTION("""COMPUTED_VALUE"""),"")</f>
        <v/>
      </c>
      <c r="T2245" s="139" t="str">
        <f>IFERROR(__xludf.DUMMYFUNCTION("""COMPUTED_VALUE"""),"")</f>
        <v/>
      </c>
      <c r="U2245" s="139" t="str">
        <f>IFERROR(__xludf.DUMMYFUNCTION("""COMPUTED_VALUE"""),"")</f>
        <v/>
      </c>
      <c r="V2245" s="136" t="str">
        <f>IFERROR(__xludf.DUMMYFUNCTION("""COMPUTED_VALUE"""),"")</f>
        <v/>
      </c>
      <c r="W2245" s="106" t="str">
        <f>IFERROR(__xludf.DUMMYFUNCTION("""COMPUTED_VALUE"""),"")</f>
        <v/>
      </c>
      <c r="X2245" s="143" t="str">
        <f t="shared" si="2"/>
        <v/>
      </c>
      <c r="Y2245" s="139" t="str">
        <f>IFERROR(__xludf.DUMMYFUNCTION("""COMPUTED_VALUE"""),"")</f>
        <v/>
      </c>
      <c r="Z2245" s="141" t="str">
        <f>IFERROR(__xludf.DUMMYFUNCTION("""COMPUTED_VALUE"""),"")</f>
        <v/>
      </c>
    </row>
    <row r="2246">
      <c r="D2246" s="136" t="str">
        <f t="shared" si="3"/>
        <v/>
      </c>
      <c r="E2246" s="152"/>
      <c r="F2246" s="106" t="s">
        <v>133</v>
      </c>
      <c r="G2246" s="152"/>
      <c r="H2246" s="106" t="s">
        <v>133</v>
      </c>
      <c r="J2246" s="139" t="s">
        <v>133</v>
      </c>
      <c r="K2246" s="136" t="s">
        <v>133</v>
      </c>
      <c r="L2246" s="153"/>
      <c r="M2246" s="136" t="str">
        <f t="shared" si="1"/>
        <v/>
      </c>
      <c r="O2246" s="141" t="s">
        <v>133</v>
      </c>
      <c r="P2246" s="136" t="str">
        <f>IFERROR(__xludf.DUMMYFUNCTION("""COMPUTED_VALUE"""),"")</f>
        <v/>
      </c>
      <c r="Q2246" s="136" t="str">
        <f>IFERROR(__xludf.DUMMYFUNCTION("""COMPUTED_VALUE"""),"")</f>
        <v/>
      </c>
      <c r="R2246" s="106" t="str">
        <f>IFERROR(__xludf.DUMMYFUNCTION("""COMPUTED_VALUE"""),"")</f>
        <v/>
      </c>
      <c r="S2246" s="106" t="str">
        <f>IFERROR(__xludf.DUMMYFUNCTION("""COMPUTED_VALUE"""),"")</f>
        <v/>
      </c>
      <c r="T2246" s="139" t="str">
        <f>IFERROR(__xludf.DUMMYFUNCTION("""COMPUTED_VALUE"""),"")</f>
        <v/>
      </c>
      <c r="U2246" s="139" t="str">
        <f>IFERROR(__xludf.DUMMYFUNCTION("""COMPUTED_VALUE"""),"")</f>
        <v/>
      </c>
      <c r="V2246" s="136" t="str">
        <f>IFERROR(__xludf.DUMMYFUNCTION("""COMPUTED_VALUE"""),"")</f>
        <v/>
      </c>
      <c r="W2246" s="106" t="str">
        <f>IFERROR(__xludf.DUMMYFUNCTION("""COMPUTED_VALUE"""),"")</f>
        <v/>
      </c>
      <c r="X2246" s="143" t="str">
        <f t="shared" si="2"/>
        <v/>
      </c>
      <c r="Y2246" s="139" t="str">
        <f>IFERROR(__xludf.DUMMYFUNCTION("""COMPUTED_VALUE"""),"")</f>
        <v/>
      </c>
      <c r="Z2246" s="141" t="str">
        <f>IFERROR(__xludf.DUMMYFUNCTION("""COMPUTED_VALUE"""),"")</f>
        <v/>
      </c>
    </row>
    <row r="2247">
      <c r="D2247" s="136" t="str">
        <f t="shared" si="3"/>
        <v/>
      </c>
      <c r="E2247" s="152"/>
      <c r="F2247" s="106" t="s">
        <v>133</v>
      </c>
      <c r="G2247" s="152"/>
      <c r="H2247" s="106" t="s">
        <v>133</v>
      </c>
      <c r="J2247" s="139" t="s">
        <v>133</v>
      </c>
      <c r="K2247" s="136" t="s">
        <v>133</v>
      </c>
      <c r="L2247" s="153"/>
      <c r="M2247" s="136" t="str">
        <f t="shared" si="1"/>
        <v/>
      </c>
      <c r="O2247" s="141" t="s">
        <v>133</v>
      </c>
      <c r="P2247" s="136" t="str">
        <f>IFERROR(__xludf.DUMMYFUNCTION("""COMPUTED_VALUE"""),"")</f>
        <v/>
      </c>
      <c r="Q2247" s="136" t="str">
        <f>IFERROR(__xludf.DUMMYFUNCTION("""COMPUTED_VALUE"""),"")</f>
        <v/>
      </c>
      <c r="R2247" s="106" t="str">
        <f>IFERROR(__xludf.DUMMYFUNCTION("""COMPUTED_VALUE"""),"")</f>
        <v/>
      </c>
      <c r="S2247" s="106" t="str">
        <f>IFERROR(__xludf.DUMMYFUNCTION("""COMPUTED_VALUE"""),"")</f>
        <v/>
      </c>
      <c r="T2247" s="139" t="str">
        <f>IFERROR(__xludf.DUMMYFUNCTION("""COMPUTED_VALUE"""),"")</f>
        <v/>
      </c>
      <c r="U2247" s="139" t="str">
        <f>IFERROR(__xludf.DUMMYFUNCTION("""COMPUTED_VALUE"""),"")</f>
        <v/>
      </c>
      <c r="V2247" s="136" t="str">
        <f>IFERROR(__xludf.DUMMYFUNCTION("""COMPUTED_VALUE"""),"")</f>
        <v/>
      </c>
      <c r="W2247" s="106" t="str">
        <f>IFERROR(__xludf.DUMMYFUNCTION("""COMPUTED_VALUE"""),"")</f>
        <v/>
      </c>
      <c r="X2247" s="143" t="str">
        <f t="shared" si="2"/>
        <v/>
      </c>
      <c r="Y2247" s="139" t="str">
        <f>IFERROR(__xludf.DUMMYFUNCTION("""COMPUTED_VALUE"""),"")</f>
        <v/>
      </c>
      <c r="Z2247" s="141" t="str">
        <f>IFERROR(__xludf.DUMMYFUNCTION("""COMPUTED_VALUE"""),"")</f>
        <v/>
      </c>
    </row>
    <row r="2248">
      <c r="D2248" s="136" t="str">
        <f t="shared" si="3"/>
        <v/>
      </c>
      <c r="E2248" s="152"/>
      <c r="F2248" s="106" t="s">
        <v>133</v>
      </c>
      <c r="G2248" s="152"/>
      <c r="H2248" s="106" t="s">
        <v>133</v>
      </c>
      <c r="J2248" s="139" t="s">
        <v>133</v>
      </c>
      <c r="K2248" s="136" t="s">
        <v>133</v>
      </c>
      <c r="L2248" s="153"/>
      <c r="M2248" s="136" t="str">
        <f t="shared" si="1"/>
        <v/>
      </c>
      <c r="O2248" s="141" t="s">
        <v>133</v>
      </c>
      <c r="P2248" s="136" t="str">
        <f>IFERROR(__xludf.DUMMYFUNCTION("""COMPUTED_VALUE"""),"")</f>
        <v/>
      </c>
      <c r="Q2248" s="136" t="str">
        <f>IFERROR(__xludf.DUMMYFUNCTION("""COMPUTED_VALUE"""),"")</f>
        <v/>
      </c>
      <c r="R2248" s="106" t="str">
        <f>IFERROR(__xludf.DUMMYFUNCTION("""COMPUTED_VALUE"""),"")</f>
        <v/>
      </c>
      <c r="S2248" s="106" t="str">
        <f>IFERROR(__xludf.DUMMYFUNCTION("""COMPUTED_VALUE"""),"")</f>
        <v/>
      </c>
      <c r="T2248" s="139" t="str">
        <f>IFERROR(__xludf.DUMMYFUNCTION("""COMPUTED_VALUE"""),"")</f>
        <v/>
      </c>
      <c r="U2248" s="139" t="str">
        <f>IFERROR(__xludf.DUMMYFUNCTION("""COMPUTED_VALUE"""),"")</f>
        <v/>
      </c>
      <c r="V2248" s="136" t="str">
        <f>IFERROR(__xludf.DUMMYFUNCTION("""COMPUTED_VALUE"""),"")</f>
        <v/>
      </c>
      <c r="W2248" s="106" t="str">
        <f>IFERROR(__xludf.DUMMYFUNCTION("""COMPUTED_VALUE"""),"")</f>
        <v/>
      </c>
      <c r="X2248" s="143" t="str">
        <f t="shared" si="2"/>
        <v/>
      </c>
      <c r="Y2248" s="139" t="str">
        <f>IFERROR(__xludf.DUMMYFUNCTION("""COMPUTED_VALUE"""),"")</f>
        <v/>
      </c>
      <c r="Z2248" s="141" t="str">
        <f>IFERROR(__xludf.DUMMYFUNCTION("""COMPUTED_VALUE"""),"")</f>
        <v/>
      </c>
    </row>
    <row r="2249">
      <c r="D2249" s="136" t="str">
        <f t="shared" si="3"/>
        <v/>
      </c>
      <c r="E2249" s="152"/>
      <c r="F2249" s="106" t="s">
        <v>133</v>
      </c>
      <c r="G2249" s="152"/>
      <c r="H2249" s="106" t="s">
        <v>133</v>
      </c>
      <c r="J2249" s="139" t="s">
        <v>133</v>
      </c>
      <c r="K2249" s="136" t="s">
        <v>133</v>
      </c>
      <c r="L2249" s="153"/>
      <c r="M2249" s="136" t="str">
        <f t="shared" si="1"/>
        <v/>
      </c>
      <c r="O2249" s="141" t="s">
        <v>133</v>
      </c>
      <c r="P2249" s="136" t="str">
        <f>IFERROR(__xludf.DUMMYFUNCTION("""COMPUTED_VALUE"""),"")</f>
        <v/>
      </c>
      <c r="Q2249" s="136" t="str">
        <f>IFERROR(__xludf.DUMMYFUNCTION("""COMPUTED_VALUE"""),"")</f>
        <v/>
      </c>
      <c r="R2249" s="106" t="str">
        <f>IFERROR(__xludf.DUMMYFUNCTION("""COMPUTED_VALUE"""),"")</f>
        <v/>
      </c>
      <c r="S2249" s="106" t="str">
        <f>IFERROR(__xludf.DUMMYFUNCTION("""COMPUTED_VALUE"""),"")</f>
        <v/>
      </c>
      <c r="T2249" s="139" t="str">
        <f>IFERROR(__xludf.DUMMYFUNCTION("""COMPUTED_VALUE"""),"")</f>
        <v/>
      </c>
      <c r="U2249" s="139" t="str">
        <f>IFERROR(__xludf.DUMMYFUNCTION("""COMPUTED_VALUE"""),"")</f>
        <v/>
      </c>
      <c r="V2249" s="136" t="str">
        <f>IFERROR(__xludf.DUMMYFUNCTION("""COMPUTED_VALUE"""),"")</f>
        <v/>
      </c>
      <c r="W2249" s="106" t="str">
        <f>IFERROR(__xludf.DUMMYFUNCTION("""COMPUTED_VALUE"""),"")</f>
        <v/>
      </c>
      <c r="X2249" s="143" t="str">
        <f t="shared" si="2"/>
        <v/>
      </c>
      <c r="Y2249" s="139" t="str">
        <f>IFERROR(__xludf.DUMMYFUNCTION("""COMPUTED_VALUE"""),"")</f>
        <v/>
      </c>
      <c r="Z2249" s="141" t="str">
        <f>IFERROR(__xludf.DUMMYFUNCTION("""COMPUTED_VALUE"""),"")</f>
        <v/>
      </c>
    </row>
    <row r="2250">
      <c r="D2250" s="136" t="str">
        <f t="shared" si="3"/>
        <v/>
      </c>
      <c r="E2250" s="152"/>
      <c r="F2250" s="106" t="s">
        <v>133</v>
      </c>
      <c r="G2250" s="152"/>
      <c r="H2250" s="106" t="s">
        <v>133</v>
      </c>
      <c r="J2250" s="139" t="s">
        <v>133</v>
      </c>
      <c r="K2250" s="136" t="s">
        <v>133</v>
      </c>
      <c r="L2250" s="153"/>
      <c r="M2250" s="136" t="str">
        <f t="shared" si="1"/>
        <v/>
      </c>
      <c r="O2250" s="141" t="s">
        <v>133</v>
      </c>
      <c r="P2250" s="136" t="str">
        <f>IFERROR(__xludf.DUMMYFUNCTION("""COMPUTED_VALUE"""),"")</f>
        <v/>
      </c>
      <c r="Q2250" s="136" t="str">
        <f>IFERROR(__xludf.DUMMYFUNCTION("""COMPUTED_VALUE"""),"")</f>
        <v/>
      </c>
      <c r="R2250" s="106" t="str">
        <f>IFERROR(__xludf.DUMMYFUNCTION("""COMPUTED_VALUE"""),"")</f>
        <v/>
      </c>
      <c r="S2250" s="106" t="str">
        <f>IFERROR(__xludf.DUMMYFUNCTION("""COMPUTED_VALUE"""),"")</f>
        <v/>
      </c>
      <c r="T2250" s="139" t="str">
        <f>IFERROR(__xludf.DUMMYFUNCTION("""COMPUTED_VALUE"""),"")</f>
        <v/>
      </c>
      <c r="U2250" s="139" t="str">
        <f>IFERROR(__xludf.DUMMYFUNCTION("""COMPUTED_VALUE"""),"")</f>
        <v/>
      </c>
      <c r="V2250" s="136" t="str">
        <f>IFERROR(__xludf.DUMMYFUNCTION("""COMPUTED_VALUE"""),"")</f>
        <v/>
      </c>
      <c r="W2250" s="106" t="str">
        <f>IFERROR(__xludf.DUMMYFUNCTION("""COMPUTED_VALUE"""),"")</f>
        <v/>
      </c>
      <c r="X2250" s="143" t="str">
        <f t="shared" si="2"/>
        <v/>
      </c>
      <c r="Y2250" s="139" t="str">
        <f>IFERROR(__xludf.DUMMYFUNCTION("""COMPUTED_VALUE"""),"")</f>
        <v/>
      </c>
      <c r="Z2250" s="141" t="str">
        <f>IFERROR(__xludf.DUMMYFUNCTION("""COMPUTED_VALUE"""),"")</f>
        <v/>
      </c>
    </row>
    <row r="2251">
      <c r="D2251" s="136" t="str">
        <f t="shared" si="3"/>
        <v/>
      </c>
      <c r="E2251" s="152"/>
      <c r="F2251" s="106" t="s">
        <v>133</v>
      </c>
      <c r="G2251" s="152"/>
      <c r="H2251" s="106" t="s">
        <v>133</v>
      </c>
      <c r="J2251" s="139" t="s">
        <v>133</v>
      </c>
      <c r="K2251" s="136" t="s">
        <v>133</v>
      </c>
      <c r="L2251" s="153"/>
      <c r="M2251" s="136" t="str">
        <f t="shared" si="1"/>
        <v/>
      </c>
      <c r="O2251" s="141" t="s">
        <v>133</v>
      </c>
      <c r="P2251" s="136" t="str">
        <f>IFERROR(__xludf.DUMMYFUNCTION("""COMPUTED_VALUE"""),"")</f>
        <v/>
      </c>
      <c r="Q2251" s="136" t="str">
        <f>IFERROR(__xludf.DUMMYFUNCTION("""COMPUTED_VALUE"""),"")</f>
        <v/>
      </c>
      <c r="R2251" s="106" t="str">
        <f>IFERROR(__xludf.DUMMYFUNCTION("""COMPUTED_VALUE"""),"")</f>
        <v/>
      </c>
      <c r="S2251" s="106" t="str">
        <f>IFERROR(__xludf.DUMMYFUNCTION("""COMPUTED_VALUE"""),"")</f>
        <v/>
      </c>
      <c r="T2251" s="139" t="str">
        <f>IFERROR(__xludf.DUMMYFUNCTION("""COMPUTED_VALUE"""),"")</f>
        <v/>
      </c>
      <c r="U2251" s="139" t="str">
        <f>IFERROR(__xludf.DUMMYFUNCTION("""COMPUTED_VALUE"""),"")</f>
        <v/>
      </c>
      <c r="V2251" s="136" t="str">
        <f>IFERROR(__xludf.DUMMYFUNCTION("""COMPUTED_VALUE"""),"")</f>
        <v/>
      </c>
      <c r="W2251" s="106" t="str">
        <f>IFERROR(__xludf.DUMMYFUNCTION("""COMPUTED_VALUE"""),"")</f>
        <v/>
      </c>
      <c r="X2251" s="143" t="str">
        <f t="shared" si="2"/>
        <v/>
      </c>
      <c r="Y2251" s="139" t="str">
        <f>IFERROR(__xludf.DUMMYFUNCTION("""COMPUTED_VALUE"""),"")</f>
        <v/>
      </c>
      <c r="Z2251" s="141" t="str">
        <f>IFERROR(__xludf.DUMMYFUNCTION("""COMPUTED_VALUE"""),"")</f>
        <v/>
      </c>
    </row>
    <row r="2252">
      <c r="D2252" s="136" t="str">
        <f t="shared" si="3"/>
        <v/>
      </c>
      <c r="E2252" s="152"/>
      <c r="F2252" s="106" t="s">
        <v>133</v>
      </c>
      <c r="G2252" s="152"/>
      <c r="H2252" s="106" t="s">
        <v>133</v>
      </c>
      <c r="J2252" s="139" t="s">
        <v>133</v>
      </c>
      <c r="K2252" s="136" t="s">
        <v>133</v>
      </c>
      <c r="L2252" s="153"/>
      <c r="M2252" s="136" t="str">
        <f t="shared" si="1"/>
        <v/>
      </c>
      <c r="O2252" s="141" t="s">
        <v>133</v>
      </c>
      <c r="P2252" s="136" t="str">
        <f>IFERROR(__xludf.DUMMYFUNCTION("""COMPUTED_VALUE"""),"")</f>
        <v/>
      </c>
      <c r="Q2252" s="136" t="str">
        <f>IFERROR(__xludf.DUMMYFUNCTION("""COMPUTED_VALUE"""),"")</f>
        <v/>
      </c>
      <c r="R2252" s="106" t="str">
        <f>IFERROR(__xludf.DUMMYFUNCTION("""COMPUTED_VALUE"""),"")</f>
        <v/>
      </c>
      <c r="S2252" s="106" t="str">
        <f>IFERROR(__xludf.DUMMYFUNCTION("""COMPUTED_VALUE"""),"")</f>
        <v/>
      </c>
      <c r="T2252" s="139" t="str">
        <f>IFERROR(__xludf.DUMMYFUNCTION("""COMPUTED_VALUE"""),"")</f>
        <v/>
      </c>
      <c r="U2252" s="139" t="str">
        <f>IFERROR(__xludf.DUMMYFUNCTION("""COMPUTED_VALUE"""),"")</f>
        <v/>
      </c>
      <c r="V2252" s="136" t="str">
        <f>IFERROR(__xludf.DUMMYFUNCTION("""COMPUTED_VALUE"""),"")</f>
        <v/>
      </c>
      <c r="W2252" s="106" t="str">
        <f>IFERROR(__xludf.DUMMYFUNCTION("""COMPUTED_VALUE"""),"")</f>
        <v/>
      </c>
      <c r="X2252" s="143" t="str">
        <f t="shared" si="2"/>
        <v/>
      </c>
      <c r="Y2252" s="139" t="str">
        <f>IFERROR(__xludf.DUMMYFUNCTION("""COMPUTED_VALUE"""),"")</f>
        <v/>
      </c>
      <c r="Z2252" s="141" t="str">
        <f>IFERROR(__xludf.DUMMYFUNCTION("""COMPUTED_VALUE"""),"")</f>
        <v/>
      </c>
    </row>
    <row r="2253">
      <c r="D2253" s="136" t="str">
        <f t="shared" si="3"/>
        <v/>
      </c>
      <c r="E2253" s="152"/>
      <c r="F2253" s="106" t="s">
        <v>133</v>
      </c>
      <c r="G2253" s="152"/>
      <c r="H2253" s="106" t="s">
        <v>133</v>
      </c>
      <c r="J2253" s="139" t="s">
        <v>133</v>
      </c>
      <c r="K2253" s="136" t="s">
        <v>133</v>
      </c>
      <c r="L2253" s="153"/>
      <c r="M2253" s="136" t="str">
        <f t="shared" si="1"/>
        <v/>
      </c>
      <c r="O2253" s="141" t="s">
        <v>133</v>
      </c>
      <c r="P2253" s="136" t="str">
        <f>IFERROR(__xludf.DUMMYFUNCTION("""COMPUTED_VALUE"""),"")</f>
        <v/>
      </c>
      <c r="Q2253" s="136" t="str">
        <f>IFERROR(__xludf.DUMMYFUNCTION("""COMPUTED_VALUE"""),"")</f>
        <v/>
      </c>
      <c r="R2253" s="106" t="str">
        <f>IFERROR(__xludf.DUMMYFUNCTION("""COMPUTED_VALUE"""),"")</f>
        <v/>
      </c>
      <c r="S2253" s="106" t="str">
        <f>IFERROR(__xludf.DUMMYFUNCTION("""COMPUTED_VALUE"""),"")</f>
        <v/>
      </c>
      <c r="T2253" s="139" t="str">
        <f>IFERROR(__xludf.DUMMYFUNCTION("""COMPUTED_VALUE"""),"")</f>
        <v/>
      </c>
      <c r="U2253" s="139" t="str">
        <f>IFERROR(__xludf.DUMMYFUNCTION("""COMPUTED_VALUE"""),"")</f>
        <v/>
      </c>
      <c r="V2253" s="136" t="str">
        <f>IFERROR(__xludf.DUMMYFUNCTION("""COMPUTED_VALUE"""),"")</f>
        <v/>
      </c>
      <c r="W2253" s="106" t="str">
        <f>IFERROR(__xludf.DUMMYFUNCTION("""COMPUTED_VALUE"""),"")</f>
        <v/>
      </c>
      <c r="X2253" s="143" t="str">
        <f t="shared" si="2"/>
        <v/>
      </c>
      <c r="Y2253" s="139" t="str">
        <f>IFERROR(__xludf.DUMMYFUNCTION("""COMPUTED_VALUE"""),"")</f>
        <v/>
      </c>
      <c r="Z2253" s="141" t="str">
        <f>IFERROR(__xludf.DUMMYFUNCTION("""COMPUTED_VALUE"""),"")</f>
        <v/>
      </c>
    </row>
    <row r="2254">
      <c r="D2254" s="136" t="str">
        <f t="shared" si="3"/>
        <v/>
      </c>
      <c r="E2254" s="152"/>
      <c r="F2254" s="106" t="s">
        <v>133</v>
      </c>
      <c r="G2254" s="152"/>
      <c r="H2254" s="106" t="s">
        <v>133</v>
      </c>
      <c r="J2254" s="139" t="s">
        <v>133</v>
      </c>
      <c r="K2254" s="136" t="s">
        <v>133</v>
      </c>
      <c r="L2254" s="153"/>
      <c r="M2254" s="136" t="str">
        <f t="shared" si="1"/>
        <v/>
      </c>
      <c r="O2254" s="141" t="s">
        <v>133</v>
      </c>
      <c r="P2254" s="136" t="str">
        <f>IFERROR(__xludf.DUMMYFUNCTION("""COMPUTED_VALUE"""),"")</f>
        <v/>
      </c>
      <c r="Q2254" s="136" t="str">
        <f>IFERROR(__xludf.DUMMYFUNCTION("""COMPUTED_VALUE"""),"")</f>
        <v/>
      </c>
      <c r="R2254" s="106" t="str">
        <f>IFERROR(__xludf.DUMMYFUNCTION("""COMPUTED_VALUE"""),"")</f>
        <v/>
      </c>
      <c r="S2254" s="106" t="str">
        <f>IFERROR(__xludf.DUMMYFUNCTION("""COMPUTED_VALUE"""),"")</f>
        <v/>
      </c>
      <c r="T2254" s="139" t="str">
        <f>IFERROR(__xludf.DUMMYFUNCTION("""COMPUTED_VALUE"""),"")</f>
        <v/>
      </c>
      <c r="U2254" s="139" t="str">
        <f>IFERROR(__xludf.DUMMYFUNCTION("""COMPUTED_VALUE"""),"")</f>
        <v/>
      </c>
      <c r="V2254" s="136" t="str">
        <f>IFERROR(__xludf.DUMMYFUNCTION("""COMPUTED_VALUE"""),"")</f>
        <v/>
      </c>
      <c r="W2254" s="106" t="str">
        <f>IFERROR(__xludf.DUMMYFUNCTION("""COMPUTED_VALUE"""),"")</f>
        <v/>
      </c>
      <c r="X2254" s="143" t="str">
        <f t="shared" si="2"/>
        <v/>
      </c>
      <c r="Y2254" s="139" t="str">
        <f>IFERROR(__xludf.DUMMYFUNCTION("""COMPUTED_VALUE"""),"")</f>
        <v/>
      </c>
      <c r="Z2254" s="141" t="str">
        <f>IFERROR(__xludf.DUMMYFUNCTION("""COMPUTED_VALUE"""),"")</f>
        <v/>
      </c>
    </row>
    <row r="2255">
      <c r="D2255" s="136" t="str">
        <f t="shared" si="3"/>
        <v/>
      </c>
      <c r="E2255" s="152"/>
      <c r="F2255" s="106" t="s">
        <v>133</v>
      </c>
      <c r="G2255" s="152"/>
      <c r="H2255" s="106" t="s">
        <v>133</v>
      </c>
      <c r="J2255" s="139" t="s">
        <v>133</v>
      </c>
      <c r="K2255" s="136" t="s">
        <v>133</v>
      </c>
      <c r="L2255" s="153"/>
      <c r="M2255" s="136" t="str">
        <f t="shared" si="1"/>
        <v/>
      </c>
      <c r="O2255" s="141" t="s">
        <v>133</v>
      </c>
      <c r="P2255" s="136" t="str">
        <f>IFERROR(__xludf.DUMMYFUNCTION("""COMPUTED_VALUE"""),"")</f>
        <v/>
      </c>
      <c r="Q2255" s="136" t="str">
        <f>IFERROR(__xludf.DUMMYFUNCTION("""COMPUTED_VALUE"""),"")</f>
        <v/>
      </c>
      <c r="R2255" s="106" t="str">
        <f>IFERROR(__xludf.DUMMYFUNCTION("""COMPUTED_VALUE"""),"")</f>
        <v/>
      </c>
      <c r="S2255" s="106" t="str">
        <f>IFERROR(__xludf.DUMMYFUNCTION("""COMPUTED_VALUE"""),"")</f>
        <v/>
      </c>
      <c r="T2255" s="139" t="str">
        <f>IFERROR(__xludf.DUMMYFUNCTION("""COMPUTED_VALUE"""),"")</f>
        <v/>
      </c>
      <c r="U2255" s="139" t="str">
        <f>IFERROR(__xludf.DUMMYFUNCTION("""COMPUTED_VALUE"""),"")</f>
        <v/>
      </c>
      <c r="V2255" s="136" t="str">
        <f>IFERROR(__xludf.DUMMYFUNCTION("""COMPUTED_VALUE"""),"")</f>
        <v/>
      </c>
      <c r="W2255" s="106" t="str">
        <f>IFERROR(__xludf.DUMMYFUNCTION("""COMPUTED_VALUE"""),"")</f>
        <v/>
      </c>
      <c r="X2255" s="143" t="str">
        <f t="shared" si="2"/>
        <v/>
      </c>
      <c r="Y2255" s="139" t="str">
        <f>IFERROR(__xludf.DUMMYFUNCTION("""COMPUTED_VALUE"""),"")</f>
        <v/>
      </c>
      <c r="Z2255" s="141" t="str">
        <f>IFERROR(__xludf.DUMMYFUNCTION("""COMPUTED_VALUE"""),"")</f>
        <v/>
      </c>
    </row>
    <row r="2256">
      <c r="D2256" s="136" t="str">
        <f t="shared" si="3"/>
        <v/>
      </c>
      <c r="E2256" s="152"/>
      <c r="F2256" s="106" t="s">
        <v>133</v>
      </c>
      <c r="G2256" s="152"/>
      <c r="H2256" s="106" t="s">
        <v>133</v>
      </c>
      <c r="J2256" s="139" t="s">
        <v>133</v>
      </c>
      <c r="K2256" s="136" t="s">
        <v>133</v>
      </c>
      <c r="L2256" s="153"/>
      <c r="M2256" s="136" t="str">
        <f t="shared" si="1"/>
        <v/>
      </c>
      <c r="O2256" s="141" t="s">
        <v>133</v>
      </c>
      <c r="P2256" s="136" t="str">
        <f>IFERROR(__xludf.DUMMYFUNCTION("""COMPUTED_VALUE"""),"")</f>
        <v/>
      </c>
      <c r="Q2256" s="136" t="str">
        <f>IFERROR(__xludf.DUMMYFUNCTION("""COMPUTED_VALUE"""),"")</f>
        <v/>
      </c>
      <c r="R2256" s="106" t="str">
        <f>IFERROR(__xludf.DUMMYFUNCTION("""COMPUTED_VALUE"""),"")</f>
        <v/>
      </c>
      <c r="S2256" s="106" t="str">
        <f>IFERROR(__xludf.DUMMYFUNCTION("""COMPUTED_VALUE"""),"")</f>
        <v/>
      </c>
      <c r="T2256" s="139" t="str">
        <f>IFERROR(__xludf.DUMMYFUNCTION("""COMPUTED_VALUE"""),"")</f>
        <v/>
      </c>
      <c r="U2256" s="139" t="str">
        <f>IFERROR(__xludf.DUMMYFUNCTION("""COMPUTED_VALUE"""),"")</f>
        <v/>
      </c>
      <c r="V2256" s="136" t="str">
        <f>IFERROR(__xludf.DUMMYFUNCTION("""COMPUTED_VALUE"""),"")</f>
        <v/>
      </c>
      <c r="W2256" s="106" t="str">
        <f>IFERROR(__xludf.DUMMYFUNCTION("""COMPUTED_VALUE"""),"")</f>
        <v/>
      </c>
      <c r="X2256" s="143" t="str">
        <f t="shared" si="2"/>
        <v/>
      </c>
      <c r="Y2256" s="139" t="str">
        <f>IFERROR(__xludf.DUMMYFUNCTION("""COMPUTED_VALUE"""),"")</f>
        <v/>
      </c>
      <c r="Z2256" s="141" t="str">
        <f>IFERROR(__xludf.DUMMYFUNCTION("""COMPUTED_VALUE"""),"")</f>
        <v/>
      </c>
    </row>
    <row r="2257">
      <c r="D2257" s="136" t="str">
        <f t="shared" si="3"/>
        <v/>
      </c>
      <c r="E2257" s="152"/>
      <c r="F2257" s="106" t="s">
        <v>133</v>
      </c>
      <c r="G2257" s="152"/>
      <c r="H2257" s="106" t="s">
        <v>133</v>
      </c>
      <c r="J2257" s="139" t="s">
        <v>133</v>
      </c>
      <c r="K2257" s="136" t="s">
        <v>133</v>
      </c>
      <c r="L2257" s="153"/>
      <c r="M2257" s="136" t="str">
        <f t="shared" si="1"/>
        <v/>
      </c>
      <c r="O2257" s="141" t="s">
        <v>133</v>
      </c>
      <c r="P2257" s="136" t="str">
        <f>IFERROR(__xludf.DUMMYFUNCTION("""COMPUTED_VALUE"""),"")</f>
        <v/>
      </c>
      <c r="Q2257" s="136" t="str">
        <f>IFERROR(__xludf.DUMMYFUNCTION("""COMPUTED_VALUE"""),"")</f>
        <v/>
      </c>
      <c r="R2257" s="106" t="str">
        <f>IFERROR(__xludf.DUMMYFUNCTION("""COMPUTED_VALUE"""),"")</f>
        <v/>
      </c>
      <c r="S2257" s="106" t="str">
        <f>IFERROR(__xludf.DUMMYFUNCTION("""COMPUTED_VALUE"""),"")</f>
        <v/>
      </c>
      <c r="T2257" s="139" t="str">
        <f>IFERROR(__xludf.DUMMYFUNCTION("""COMPUTED_VALUE"""),"")</f>
        <v/>
      </c>
      <c r="U2257" s="139" t="str">
        <f>IFERROR(__xludf.DUMMYFUNCTION("""COMPUTED_VALUE"""),"")</f>
        <v/>
      </c>
      <c r="V2257" s="136" t="str">
        <f>IFERROR(__xludf.DUMMYFUNCTION("""COMPUTED_VALUE"""),"")</f>
        <v/>
      </c>
      <c r="W2257" s="106" t="str">
        <f>IFERROR(__xludf.DUMMYFUNCTION("""COMPUTED_VALUE"""),"")</f>
        <v/>
      </c>
      <c r="X2257" s="143" t="str">
        <f t="shared" si="2"/>
        <v/>
      </c>
      <c r="Y2257" s="139" t="str">
        <f>IFERROR(__xludf.DUMMYFUNCTION("""COMPUTED_VALUE"""),"")</f>
        <v/>
      </c>
      <c r="Z2257" s="141" t="str">
        <f>IFERROR(__xludf.DUMMYFUNCTION("""COMPUTED_VALUE"""),"")</f>
        <v/>
      </c>
    </row>
    <row r="2258">
      <c r="D2258" s="136" t="str">
        <f t="shared" si="3"/>
        <v/>
      </c>
      <c r="E2258" s="152"/>
      <c r="F2258" s="106" t="s">
        <v>133</v>
      </c>
      <c r="G2258" s="152"/>
      <c r="H2258" s="106" t="s">
        <v>133</v>
      </c>
      <c r="J2258" s="139" t="s">
        <v>133</v>
      </c>
      <c r="K2258" s="136" t="s">
        <v>133</v>
      </c>
      <c r="L2258" s="153"/>
      <c r="M2258" s="136" t="str">
        <f t="shared" si="1"/>
        <v/>
      </c>
      <c r="O2258" s="141" t="s">
        <v>133</v>
      </c>
      <c r="P2258" s="136" t="str">
        <f>IFERROR(__xludf.DUMMYFUNCTION("""COMPUTED_VALUE"""),"")</f>
        <v/>
      </c>
      <c r="Q2258" s="136" t="str">
        <f>IFERROR(__xludf.DUMMYFUNCTION("""COMPUTED_VALUE"""),"")</f>
        <v/>
      </c>
      <c r="R2258" s="106" t="str">
        <f>IFERROR(__xludf.DUMMYFUNCTION("""COMPUTED_VALUE"""),"")</f>
        <v/>
      </c>
      <c r="S2258" s="106" t="str">
        <f>IFERROR(__xludf.DUMMYFUNCTION("""COMPUTED_VALUE"""),"")</f>
        <v/>
      </c>
      <c r="T2258" s="139" t="str">
        <f>IFERROR(__xludf.DUMMYFUNCTION("""COMPUTED_VALUE"""),"")</f>
        <v/>
      </c>
      <c r="U2258" s="139" t="str">
        <f>IFERROR(__xludf.DUMMYFUNCTION("""COMPUTED_VALUE"""),"")</f>
        <v/>
      </c>
      <c r="V2258" s="136" t="str">
        <f>IFERROR(__xludf.DUMMYFUNCTION("""COMPUTED_VALUE"""),"")</f>
        <v/>
      </c>
      <c r="W2258" s="106" t="str">
        <f>IFERROR(__xludf.DUMMYFUNCTION("""COMPUTED_VALUE"""),"")</f>
        <v/>
      </c>
      <c r="X2258" s="143" t="str">
        <f t="shared" si="2"/>
        <v/>
      </c>
      <c r="Y2258" s="139" t="str">
        <f>IFERROR(__xludf.DUMMYFUNCTION("""COMPUTED_VALUE"""),"")</f>
        <v/>
      </c>
      <c r="Z2258" s="141" t="str">
        <f>IFERROR(__xludf.DUMMYFUNCTION("""COMPUTED_VALUE"""),"")</f>
        <v/>
      </c>
    </row>
    <row r="2259">
      <c r="D2259" s="136" t="str">
        <f t="shared" si="3"/>
        <v/>
      </c>
      <c r="E2259" s="152"/>
      <c r="F2259" s="106" t="s">
        <v>133</v>
      </c>
      <c r="G2259" s="152"/>
      <c r="H2259" s="106" t="s">
        <v>133</v>
      </c>
      <c r="J2259" s="139" t="s">
        <v>133</v>
      </c>
      <c r="K2259" s="136" t="s">
        <v>133</v>
      </c>
      <c r="L2259" s="153"/>
      <c r="M2259" s="136" t="str">
        <f t="shared" si="1"/>
        <v/>
      </c>
      <c r="O2259" s="141" t="s">
        <v>133</v>
      </c>
      <c r="P2259" s="136" t="str">
        <f>IFERROR(__xludf.DUMMYFUNCTION("""COMPUTED_VALUE"""),"")</f>
        <v/>
      </c>
      <c r="Q2259" s="136" t="str">
        <f>IFERROR(__xludf.DUMMYFUNCTION("""COMPUTED_VALUE"""),"")</f>
        <v/>
      </c>
      <c r="R2259" s="106" t="str">
        <f>IFERROR(__xludf.DUMMYFUNCTION("""COMPUTED_VALUE"""),"")</f>
        <v/>
      </c>
      <c r="S2259" s="106" t="str">
        <f>IFERROR(__xludf.DUMMYFUNCTION("""COMPUTED_VALUE"""),"")</f>
        <v/>
      </c>
      <c r="T2259" s="139" t="str">
        <f>IFERROR(__xludf.DUMMYFUNCTION("""COMPUTED_VALUE"""),"")</f>
        <v/>
      </c>
      <c r="U2259" s="139" t="str">
        <f>IFERROR(__xludf.DUMMYFUNCTION("""COMPUTED_VALUE"""),"")</f>
        <v/>
      </c>
      <c r="V2259" s="136" t="str">
        <f>IFERROR(__xludf.DUMMYFUNCTION("""COMPUTED_VALUE"""),"")</f>
        <v/>
      </c>
      <c r="W2259" s="106" t="str">
        <f>IFERROR(__xludf.DUMMYFUNCTION("""COMPUTED_VALUE"""),"")</f>
        <v/>
      </c>
      <c r="X2259" s="143" t="str">
        <f t="shared" si="2"/>
        <v/>
      </c>
      <c r="Y2259" s="139" t="str">
        <f>IFERROR(__xludf.DUMMYFUNCTION("""COMPUTED_VALUE"""),"")</f>
        <v/>
      </c>
      <c r="Z2259" s="141" t="str">
        <f>IFERROR(__xludf.DUMMYFUNCTION("""COMPUTED_VALUE"""),"")</f>
        <v/>
      </c>
    </row>
    <row r="2260">
      <c r="D2260" s="136" t="str">
        <f t="shared" si="3"/>
        <v/>
      </c>
      <c r="E2260" s="152"/>
      <c r="F2260" s="106" t="s">
        <v>133</v>
      </c>
      <c r="G2260" s="152"/>
      <c r="H2260" s="106" t="s">
        <v>133</v>
      </c>
      <c r="J2260" s="139" t="s">
        <v>133</v>
      </c>
      <c r="K2260" s="136" t="s">
        <v>133</v>
      </c>
      <c r="L2260" s="153"/>
      <c r="M2260" s="136" t="str">
        <f t="shared" si="1"/>
        <v/>
      </c>
      <c r="O2260" s="141" t="s">
        <v>133</v>
      </c>
      <c r="P2260" s="136" t="str">
        <f>IFERROR(__xludf.DUMMYFUNCTION("""COMPUTED_VALUE"""),"")</f>
        <v/>
      </c>
      <c r="Q2260" s="136" t="str">
        <f>IFERROR(__xludf.DUMMYFUNCTION("""COMPUTED_VALUE"""),"")</f>
        <v/>
      </c>
      <c r="R2260" s="106" t="str">
        <f>IFERROR(__xludf.DUMMYFUNCTION("""COMPUTED_VALUE"""),"")</f>
        <v/>
      </c>
      <c r="S2260" s="106" t="str">
        <f>IFERROR(__xludf.DUMMYFUNCTION("""COMPUTED_VALUE"""),"")</f>
        <v/>
      </c>
      <c r="T2260" s="139" t="str">
        <f>IFERROR(__xludf.DUMMYFUNCTION("""COMPUTED_VALUE"""),"")</f>
        <v/>
      </c>
      <c r="U2260" s="139" t="str">
        <f>IFERROR(__xludf.DUMMYFUNCTION("""COMPUTED_VALUE"""),"")</f>
        <v/>
      </c>
      <c r="V2260" s="136" t="str">
        <f>IFERROR(__xludf.DUMMYFUNCTION("""COMPUTED_VALUE"""),"")</f>
        <v/>
      </c>
      <c r="W2260" s="106" t="str">
        <f>IFERROR(__xludf.DUMMYFUNCTION("""COMPUTED_VALUE"""),"")</f>
        <v/>
      </c>
      <c r="X2260" s="143" t="str">
        <f t="shared" si="2"/>
        <v/>
      </c>
      <c r="Y2260" s="139" t="str">
        <f>IFERROR(__xludf.DUMMYFUNCTION("""COMPUTED_VALUE"""),"")</f>
        <v/>
      </c>
      <c r="Z2260" s="141" t="str">
        <f>IFERROR(__xludf.DUMMYFUNCTION("""COMPUTED_VALUE"""),"")</f>
        <v/>
      </c>
    </row>
    <row r="2261">
      <c r="D2261" s="136" t="str">
        <f t="shared" si="3"/>
        <v/>
      </c>
      <c r="E2261" s="152"/>
      <c r="F2261" s="106" t="s">
        <v>133</v>
      </c>
      <c r="G2261" s="152"/>
      <c r="H2261" s="106" t="s">
        <v>133</v>
      </c>
      <c r="J2261" s="139" t="s">
        <v>133</v>
      </c>
      <c r="K2261" s="136" t="s">
        <v>133</v>
      </c>
      <c r="L2261" s="153"/>
      <c r="M2261" s="136" t="str">
        <f t="shared" si="1"/>
        <v/>
      </c>
      <c r="O2261" s="141" t="s">
        <v>133</v>
      </c>
      <c r="P2261" s="136" t="str">
        <f>IFERROR(__xludf.DUMMYFUNCTION("""COMPUTED_VALUE"""),"")</f>
        <v/>
      </c>
      <c r="Q2261" s="136" t="str">
        <f>IFERROR(__xludf.DUMMYFUNCTION("""COMPUTED_VALUE"""),"")</f>
        <v/>
      </c>
      <c r="R2261" s="106" t="str">
        <f>IFERROR(__xludf.DUMMYFUNCTION("""COMPUTED_VALUE"""),"")</f>
        <v/>
      </c>
      <c r="S2261" s="106" t="str">
        <f>IFERROR(__xludf.DUMMYFUNCTION("""COMPUTED_VALUE"""),"")</f>
        <v/>
      </c>
      <c r="T2261" s="139" t="str">
        <f>IFERROR(__xludf.DUMMYFUNCTION("""COMPUTED_VALUE"""),"")</f>
        <v/>
      </c>
      <c r="U2261" s="139" t="str">
        <f>IFERROR(__xludf.DUMMYFUNCTION("""COMPUTED_VALUE"""),"")</f>
        <v/>
      </c>
      <c r="V2261" s="136" t="str">
        <f>IFERROR(__xludf.DUMMYFUNCTION("""COMPUTED_VALUE"""),"")</f>
        <v/>
      </c>
      <c r="W2261" s="106" t="str">
        <f>IFERROR(__xludf.DUMMYFUNCTION("""COMPUTED_VALUE"""),"")</f>
        <v/>
      </c>
      <c r="X2261" s="143" t="str">
        <f t="shared" si="2"/>
        <v/>
      </c>
      <c r="Y2261" s="139" t="str">
        <f>IFERROR(__xludf.DUMMYFUNCTION("""COMPUTED_VALUE"""),"")</f>
        <v/>
      </c>
      <c r="Z2261" s="141" t="str">
        <f>IFERROR(__xludf.DUMMYFUNCTION("""COMPUTED_VALUE"""),"")</f>
        <v/>
      </c>
    </row>
    <row r="2262">
      <c r="D2262" s="136" t="str">
        <f t="shared" si="3"/>
        <v/>
      </c>
      <c r="E2262" s="152"/>
      <c r="F2262" s="106" t="s">
        <v>133</v>
      </c>
      <c r="G2262" s="152"/>
      <c r="H2262" s="106" t="s">
        <v>133</v>
      </c>
      <c r="J2262" s="139" t="s">
        <v>133</v>
      </c>
      <c r="K2262" s="136" t="s">
        <v>133</v>
      </c>
      <c r="L2262" s="153"/>
      <c r="M2262" s="136" t="str">
        <f t="shared" si="1"/>
        <v/>
      </c>
      <c r="O2262" s="141" t="s">
        <v>133</v>
      </c>
      <c r="P2262" s="136" t="str">
        <f>IFERROR(__xludf.DUMMYFUNCTION("""COMPUTED_VALUE"""),"")</f>
        <v/>
      </c>
      <c r="Q2262" s="136" t="str">
        <f>IFERROR(__xludf.DUMMYFUNCTION("""COMPUTED_VALUE"""),"")</f>
        <v/>
      </c>
      <c r="R2262" s="106" t="str">
        <f>IFERROR(__xludf.DUMMYFUNCTION("""COMPUTED_VALUE"""),"")</f>
        <v/>
      </c>
      <c r="S2262" s="106" t="str">
        <f>IFERROR(__xludf.DUMMYFUNCTION("""COMPUTED_VALUE"""),"")</f>
        <v/>
      </c>
      <c r="T2262" s="139" t="str">
        <f>IFERROR(__xludf.DUMMYFUNCTION("""COMPUTED_VALUE"""),"")</f>
        <v/>
      </c>
      <c r="U2262" s="139" t="str">
        <f>IFERROR(__xludf.DUMMYFUNCTION("""COMPUTED_VALUE"""),"")</f>
        <v/>
      </c>
      <c r="V2262" s="136" t="str">
        <f>IFERROR(__xludf.DUMMYFUNCTION("""COMPUTED_VALUE"""),"")</f>
        <v/>
      </c>
      <c r="W2262" s="106" t="str">
        <f>IFERROR(__xludf.DUMMYFUNCTION("""COMPUTED_VALUE"""),"")</f>
        <v/>
      </c>
      <c r="X2262" s="143" t="str">
        <f t="shared" si="2"/>
        <v/>
      </c>
      <c r="Y2262" s="139" t="str">
        <f>IFERROR(__xludf.DUMMYFUNCTION("""COMPUTED_VALUE"""),"")</f>
        <v/>
      </c>
      <c r="Z2262" s="141" t="str">
        <f>IFERROR(__xludf.DUMMYFUNCTION("""COMPUTED_VALUE"""),"")</f>
        <v/>
      </c>
    </row>
    <row r="2263">
      <c r="D2263" s="136" t="str">
        <f t="shared" si="3"/>
        <v/>
      </c>
      <c r="E2263" s="152"/>
      <c r="F2263" s="106" t="s">
        <v>133</v>
      </c>
      <c r="G2263" s="152"/>
      <c r="H2263" s="106" t="s">
        <v>133</v>
      </c>
      <c r="J2263" s="139" t="s">
        <v>133</v>
      </c>
      <c r="K2263" s="136" t="s">
        <v>133</v>
      </c>
      <c r="L2263" s="153"/>
      <c r="M2263" s="136" t="str">
        <f t="shared" si="1"/>
        <v/>
      </c>
      <c r="O2263" s="141" t="s">
        <v>133</v>
      </c>
      <c r="P2263" s="136" t="str">
        <f>IFERROR(__xludf.DUMMYFUNCTION("""COMPUTED_VALUE"""),"")</f>
        <v/>
      </c>
      <c r="Q2263" s="136" t="str">
        <f>IFERROR(__xludf.DUMMYFUNCTION("""COMPUTED_VALUE"""),"")</f>
        <v/>
      </c>
      <c r="R2263" s="106" t="str">
        <f>IFERROR(__xludf.DUMMYFUNCTION("""COMPUTED_VALUE"""),"")</f>
        <v/>
      </c>
      <c r="S2263" s="106" t="str">
        <f>IFERROR(__xludf.DUMMYFUNCTION("""COMPUTED_VALUE"""),"")</f>
        <v/>
      </c>
      <c r="T2263" s="139" t="str">
        <f>IFERROR(__xludf.DUMMYFUNCTION("""COMPUTED_VALUE"""),"")</f>
        <v/>
      </c>
      <c r="U2263" s="139" t="str">
        <f>IFERROR(__xludf.DUMMYFUNCTION("""COMPUTED_VALUE"""),"")</f>
        <v/>
      </c>
      <c r="V2263" s="136" t="str">
        <f>IFERROR(__xludf.DUMMYFUNCTION("""COMPUTED_VALUE"""),"")</f>
        <v/>
      </c>
      <c r="W2263" s="106" t="str">
        <f>IFERROR(__xludf.DUMMYFUNCTION("""COMPUTED_VALUE"""),"")</f>
        <v/>
      </c>
      <c r="X2263" s="143" t="str">
        <f t="shared" si="2"/>
        <v/>
      </c>
      <c r="Y2263" s="139" t="str">
        <f>IFERROR(__xludf.DUMMYFUNCTION("""COMPUTED_VALUE"""),"")</f>
        <v/>
      </c>
      <c r="Z2263" s="141" t="str">
        <f>IFERROR(__xludf.DUMMYFUNCTION("""COMPUTED_VALUE"""),"")</f>
        <v/>
      </c>
    </row>
    <row r="2264">
      <c r="D2264" s="136" t="str">
        <f t="shared" si="3"/>
        <v/>
      </c>
      <c r="E2264" s="152"/>
      <c r="F2264" s="106" t="s">
        <v>133</v>
      </c>
      <c r="G2264" s="152"/>
      <c r="H2264" s="106" t="s">
        <v>133</v>
      </c>
      <c r="J2264" s="139" t="s">
        <v>133</v>
      </c>
      <c r="K2264" s="136" t="s">
        <v>133</v>
      </c>
      <c r="L2264" s="153"/>
      <c r="M2264" s="136" t="str">
        <f t="shared" si="1"/>
        <v/>
      </c>
      <c r="O2264" s="141" t="s">
        <v>133</v>
      </c>
      <c r="P2264" s="136" t="str">
        <f>IFERROR(__xludf.DUMMYFUNCTION("""COMPUTED_VALUE"""),"")</f>
        <v/>
      </c>
      <c r="Q2264" s="136" t="str">
        <f>IFERROR(__xludf.DUMMYFUNCTION("""COMPUTED_VALUE"""),"")</f>
        <v/>
      </c>
      <c r="R2264" s="106" t="str">
        <f>IFERROR(__xludf.DUMMYFUNCTION("""COMPUTED_VALUE"""),"")</f>
        <v/>
      </c>
      <c r="S2264" s="106" t="str">
        <f>IFERROR(__xludf.DUMMYFUNCTION("""COMPUTED_VALUE"""),"")</f>
        <v/>
      </c>
      <c r="T2264" s="139" t="str">
        <f>IFERROR(__xludf.DUMMYFUNCTION("""COMPUTED_VALUE"""),"")</f>
        <v/>
      </c>
      <c r="U2264" s="139" t="str">
        <f>IFERROR(__xludf.DUMMYFUNCTION("""COMPUTED_VALUE"""),"")</f>
        <v/>
      </c>
      <c r="V2264" s="136" t="str">
        <f>IFERROR(__xludf.DUMMYFUNCTION("""COMPUTED_VALUE"""),"")</f>
        <v/>
      </c>
      <c r="W2264" s="106" t="str">
        <f>IFERROR(__xludf.DUMMYFUNCTION("""COMPUTED_VALUE"""),"")</f>
        <v/>
      </c>
      <c r="X2264" s="143" t="str">
        <f t="shared" si="2"/>
        <v/>
      </c>
      <c r="Y2264" s="139" t="str">
        <f>IFERROR(__xludf.DUMMYFUNCTION("""COMPUTED_VALUE"""),"")</f>
        <v/>
      </c>
      <c r="Z2264" s="141" t="str">
        <f>IFERROR(__xludf.DUMMYFUNCTION("""COMPUTED_VALUE"""),"")</f>
        <v/>
      </c>
    </row>
    <row r="2265">
      <c r="D2265" s="136" t="str">
        <f t="shared" si="3"/>
        <v/>
      </c>
      <c r="E2265" s="152"/>
      <c r="F2265" s="106" t="s">
        <v>133</v>
      </c>
      <c r="G2265" s="152"/>
      <c r="H2265" s="106" t="s">
        <v>133</v>
      </c>
      <c r="J2265" s="139" t="s">
        <v>133</v>
      </c>
      <c r="K2265" s="136" t="s">
        <v>133</v>
      </c>
      <c r="L2265" s="153"/>
      <c r="M2265" s="136" t="str">
        <f t="shared" si="1"/>
        <v/>
      </c>
      <c r="O2265" s="141" t="s">
        <v>133</v>
      </c>
      <c r="P2265" s="136" t="str">
        <f>IFERROR(__xludf.DUMMYFUNCTION("""COMPUTED_VALUE"""),"")</f>
        <v/>
      </c>
      <c r="Q2265" s="136" t="str">
        <f>IFERROR(__xludf.DUMMYFUNCTION("""COMPUTED_VALUE"""),"")</f>
        <v/>
      </c>
      <c r="R2265" s="106" t="str">
        <f>IFERROR(__xludf.DUMMYFUNCTION("""COMPUTED_VALUE"""),"")</f>
        <v/>
      </c>
      <c r="S2265" s="106" t="str">
        <f>IFERROR(__xludf.DUMMYFUNCTION("""COMPUTED_VALUE"""),"")</f>
        <v/>
      </c>
      <c r="T2265" s="139" t="str">
        <f>IFERROR(__xludf.DUMMYFUNCTION("""COMPUTED_VALUE"""),"")</f>
        <v/>
      </c>
      <c r="U2265" s="139" t="str">
        <f>IFERROR(__xludf.DUMMYFUNCTION("""COMPUTED_VALUE"""),"")</f>
        <v/>
      </c>
      <c r="V2265" s="136" t="str">
        <f>IFERROR(__xludf.DUMMYFUNCTION("""COMPUTED_VALUE"""),"")</f>
        <v/>
      </c>
      <c r="W2265" s="106" t="str">
        <f>IFERROR(__xludf.DUMMYFUNCTION("""COMPUTED_VALUE"""),"")</f>
        <v/>
      </c>
      <c r="X2265" s="143" t="str">
        <f t="shared" si="2"/>
        <v/>
      </c>
      <c r="Y2265" s="139" t="str">
        <f>IFERROR(__xludf.DUMMYFUNCTION("""COMPUTED_VALUE"""),"")</f>
        <v/>
      </c>
      <c r="Z2265" s="141" t="str">
        <f>IFERROR(__xludf.DUMMYFUNCTION("""COMPUTED_VALUE"""),"")</f>
        <v/>
      </c>
    </row>
    <row r="2266">
      <c r="D2266" s="136" t="str">
        <f t="shared" si="3"/>
        <v/>
      </c>
      <c r="E2266" s="152"/>
      <c r="F2266" s="106" t="s">
        <v>133</v>
      </c>
      <c r="G2266" s="152"/>
      <c r="H2266" s="106" t="s">
        <v>133</v>
      </c>
      <c r="J2266" s="139" t="s">
        <v>133</v>
      </c>
      <c r="K2266" s="136" t="s">
        <v>133</v>
      </c>
      <c r="L2266" s="153"/>
      <c r="M2266" s="136" t="str">
        <f t="shared" si="1"/>
        <v/>
      </c>
      <c r="O2266" s="141" t="s">
        <v>133</v>
      </c>
      <c r="P2266" s="136" t="str">
        <f>IFERROR(__xludf.DUMMYFUNCTION("""COMPUTED_VALUE"""),"")</f>
        <v/>
      </c>
      <c r="Q2266" s="136" t="str">
        <f>IFERROR(__xludf.DUMMYFUNCTION("""COMPUTED_VALUE"""),"")</f>
        <v/>
      </c>
      <c r="R2266" s="106" t="str">
        <f>IFERROR(__xludf.DUMMYFUNCTION("""COMPUTED_VALUE"""),"")</f>
        <v/>
      </c>
      <c r="S2266" s="106" t="str">
        <f>IFERROR(__xludf.DUMMYFUNCTION("""COMPUTED_VALUE"""),"")</f>
        <v/>
      </c>
      <c r="T2266" s="139" t="str">
        <f>IFERROR(__xludf.DUMMYFUNCTION("""COMPUTED_VALUE"""),"")</f>
        <v/>
      </c>
      <c r="U2266" s="139" t="str">
        <f>IFERROR(__xludf.DUMMYFUNCTION("""COMPUTED_VALUE"""),"")</f>
        <v/>
      </c>
      <c r="V2266" s="136" t="str">
        <f>IFERROR(__xludf.DUMMYFUNCTION("""COMPUTED_VALUE"""),"")</f>
        <v/>
      </c>
      <c r="W2266" s="106" t="str">
        <f>IFERROR(__xludf.DUMMYFUNCTION("""COMPUTED_VALUE"""),"")</f>
        <v/>
      </c>
      <c r="X2266" s="143" t="str">
        <f t="shared" si="2"/>
        <v/>
      </c>
      <c r="Y2266" s="139" t="str">
        <f>IFERROR(__xludf.DUMMYFUNCTION("""COMPUTED_VALUE"""),"")</f>
        <v/>
      </c>
      <c r="Z2266" s="141" t="str">
        <f>IFERROR(__xludf.DUMMYFUNCTION("""COMPUTED_VALUE"""),"")</f>
        <v/>
      </c>
    </row>
    <row r="2267">
      <c r="D2267" s="136" t="str">
        <f t="shared" si="3"/>
        <v/>
      </c>
      <c r="E2267" s="152"/>
      <c r="F2267" s="106" t="s">
        <v>133</v>
      </c>
      <c r="G2267" s="152"/>
      <c r="H2267" s="106" t="s">
        <v>133</v>
      </c>
      <c r="J2267" s="139" t="s">
        <v>133</v>
      </c>
      <c r="K2267" s="136" t="s">
        <v>133</v>
      </c>
      <c r="L2267" s="153"/>
      <c r="M2267" s="136" t="str">
        <f t="shared" si="1"/>
        <v/>
      </c>
      <c r="O2267" s="141" t="s">
        <v>133</v>
      </c>
      <c r="P2267" s="136" t="str">
        <f>IFERROR(__xludf.DUMMYFUNCTION("""COMPUTED_VALUE"""),"")</f>
        <v/>
      </c>
      <c r="Q2267" s="136" t="str">
        <f>IFERROR(__xludf.DUMMYFUNCTION("""COMPUTED_VALUE"""),"")</f>
        <v/>
      </c>
      <c r="R2267" s="106" t="str">
        <f>IFERROR(__xludf.DUMMYFUNCTION("""COMPUTED_VALUE"""),"")</f>
        <v/>
      </c>
      <c r="S2267" s="106" t="str">
        <f>IFERROR(__xludf.DUMMYFUNCTION("""COMPUTED_VALUE"""),"")</f>
        <v/>
      </c>
      <c r="T2267" s="139" t="str">
        <f>IFERROR(__xludf.DUMMYFUNCTION("""COMPUTED_VALUE"""),"")</f>
        <v/>
      </c>
      <c r="U2267" s="139" t="str">
        <f>IFERROR(__xludf.DUMMYFUNCTION("""COMPUTED_VALUE"""),"")</f>
        <v/>
      </c>
      <c r="V2267" s="136" t="str">
        <f>IFERROR(__xludf.DUMMYFUNCTION("""COMPUTED_VALUE"""),"")</f>
        <v/>
      </c>
      <c r="W2267" s="106" t="str">
        <f>IFERROR(__xludf.DUMMYFUNCTION("""COMPUTED_VALUE"""),"")</f>
        <v/>
      </c>
      <c r="X2267" s="143" t="str">
        <f t="shared" si="2"/>
        <v/>
      </c>
      <c r="Y2267" s="139" t="str">
        <f>IFERROR(__xludf.DUMMYFUNCTION("""COMPUTED_VALUE"""),"")</f>
        <v/>
      </c>
      <c r="Z2267" s="141" t="str">
        <f>IFERROR(__xludf.DUMMYFUNCTION("""COMPUTED_VALUE"""),"")</f>
        <v/>
      </c>
    </row>
    <row r="2268">
      <c r="D2268" s="136" t="str">
        <f t="shared" si="3"/>
        <v/>
      </c>
      <c r="E2268" s="152"/>
      <c r="F2268" s="106" t="s">
        <v>133</v>
      </c>
      <c r="G2268" s="152"/>
      <c r="H2268" s="106" t="s">
        <v>133</v>
      </c>
      <c r="J2268" s="139" t="s">
        <v>133</v>
      </c>
      <c r="K2268" s="136" t="s">
        <v>133</v>
      </c>
      <c r="L2268" s="153"/>
      <c r="M2268" s="136" t="str">
        <f t="shared" si="1"/>
        <v/>
      </c>
      <c r="O2268" s="141" t="s">
        <v>133</v>
      </c>
      <c r="P2268" s="136" t="str">
        <f>IFERROR(__xludf.DUMMYFUNCTION("""COMPUTED_VALUE"""),"")</f>
        <v/>
      </c>
      <c r="Q2268" s="136" t="str">
        <f>IFERROR(__xludf.DUMMYFUNCTION("""COMPUTED_VALUE"""),"")</f>
        <v/>
      </c>
      <c r="R2268" s="106" t="str">
        <f>IFERROR(__xludf.DUMMYFUNCTION("""COMPUTED_VALUE"""),"")</f>
        <v/>
      </c>
      <c r="S2268" s="106" t="str">
        <f>IFERROR(__xludf.DUMMYFUNCTION("""COMPUTED_VALUE"""),"")</f>
        <v/>
      </c>
      <c r="T2268" s="139" t="str">
        <f>IFERROR(__xludf.DUMMYFUNCTION("""COMPUTED_VALUE"""),"")</f>
        <v/>
      </c>
      <c r="U2268" s="139" t="str">
        <f>IFERROR(__xludf.DUMMYFUNCTION("""COMPUTED_VALUE"""),"")</f>
        <v/>
      </c>
      <c r="V2268" s="136" t="str">
        <f>IFERROR(__xludf.DUMMYFUNCTION("""COMPUTED_VALUE"""),"")</f>
        <v/>
      </c>
      <c r="W2268" s="106" t="str">
        <f>IFERROR(__xludf.DUMMYFUNCTION("""COMPUTED_VALUE"""),"")</f>
        <v/>
      </c>
      <c r="X2268" s="143" t="str">
        <f t="shared" si="2"/>
        <v/>
      </c>
      <c r="Y2268" s="139" t="str">
        <f>IFERROR(__xludf.DUMMYFUNCTION("""COMPUTED_VALUE"""),"")</f>
        <v/>
      </c>
      <c r="Z2268" s="141" t="str">
        <f>IFERROR(__xludf.DUMMYFUNCTION("""COMPUTED_VALUE"""),"")</f>
        <v/>
      </c>
    </row>
    <row r="2269">
      <c r="D2269" s="136" t="str">
        <f t="shared" si="3"/>
        <v/>
      </c>
      <c r="E2269" s="152"/>
      <c r="F2269" s="106" t="s">
        <v>133</v>
      </c>
      <c r="G2269" s="152"/>
      <c r="H2269" s="106" t="s">
        <v>133</v>
      </c>
      <c r="J2269" s="139" t="s">
        <v>133</v>
      </c>
      <c r="K2269" s="136" t="s">
        <v>133</v>
      </c>
      <c r="L2269" s="153"/>
      <c r="M2269" s="136" t="str">
        <f t="shared" si="1"/>
        <v/>
      </c>
      <c r="O2269" s="141" t="s">
        <v>133</v>
      </c>
      <c r="P2269" s="136" t="str">
        <f>IFERROR(__xludf.DUMMYFUNCTION("""COMPUTED_VALUE"""),"")</f>
        <v/>
      </c>
      <c r="Q2269" s="136" t="str">
        <f>IFERROR(__xludf.DUMMYFUNCTION("""COMPUTED_VALUE"""),"")</f>
        <v/>
      </c>
      <c r="R2269" s="106" t="str">
        <f>IFERROR(__xludf.DUMMYFUNCTION("""COMPUTED_VALUE"""),"")</f>
        <v/>
      </c>
      <c r="S2269" s="106" t="str">
        <f>IFERROR(__xludf.DUMMYFUNCTION("""COMPUTED_VALUE"""),"")</f>
        <v/>
      </c>
      <c r="T2269" s="139" t="str">
        <f>IFERROR(__xludf.DUMMYFUNCTION("""COMPUTED_VALUE"""),"")</f>
        <v/>
      </c>
      <c r="U2269" s="139" t="str">
        <f>IFERROR(__xludf.DUMMYFUNCTION("""COMPUTED_VALUE"""),"")</f>
        <v/>
      </c>
      <c r="V2269" s="136" t="str">
        <f>IFERROR(__xludf.DUMMYFUNCTION("""COMPUTED_VALUE"""),"")</f>
        <v/>
      </c>
      <c r="W2269" s="106" t="str">
        <f>IFERROR(__xludf.DUMMYFUNCTION("""COMPUTED_VALUE"""),"")</f>
        <v/>
      </c>
      <c r="X2269" s="143" t="str">
        <f t="shared" si="2"/>
        <v/>
      </c>
      <c r="Y2269" s="139" t="str">
        <f>IFERROR(__xludf.DUMMYFUNCTION("""COMPUTED_VALUE"""),"")</f>
        <v/>
      </c>
      <c r="Z2269" s="141" t="str">
        <f>IFERROR(__xludf.DUMMYFUNCTION("""COMPUTED_VALUE"""),"")</f>
        <v/>
      </c>
    </row>
    <row r="2270">
      <c r="D2270" s="136" t="str">
        <f t="shared" si="3"/>
        <v/>
      </c>
      <c r="E2270" s="152"/>
      <c r="F2270" s="106" t="s">
        <v>133</v>
      </c>
      <c r="G2270" s="152"/>
      <c r="H2270" s="106" t="s">
        <v>133</v>
      </c>
      <c r="J2270" s="139" t="s">
        <v>133</v>
      </c>
      <c r="K2270" s="136" t="s">
        <v>133</v>
      </c>
      <c r="L2270" s="153"/>
      <c r="M2270" s="136" t="str">
        <f t="shared" si="1"/>
        <v/>
      </c>
      <c r="O2270" s="141" t="s">
        <v>133</v>
      </c>
      <c r="P2270" s="136" t="str">
        <f>IFERROR(__xludf.DUMMYFUNCTION("""COMPUTED_VALUE"""),"")</f>
        <v/>
      </c>
      <c r="Q2270" s="136" t="str">
        <f>IFERROR(__xludf.DUMMYFUNCTION("""COMPUTED_VALUE"""),"")</f>
        <v/>
      </c>
      <c r="R2270" s="106" t="str">
        <f>IFERROR(__xludf.DUMMYFUNCTION("""COMPUTED_VALUE"""),"")</f>
        <v/>
      </c>
      <c r="S2270" s="106" t="str">
        <f>IFERROR(__xludf.DUMMYFUNCTION("""COMPUTED_VALUE"""),"")</f>
        <v/>
      </c>
      <c r="T2270" s="139" t="str">
        <f>IFERROR(__xludf.DUMMYFUNCTION("""COMPUTED_VALUE"""),"")</f>
        <v/>
      </c>
      <c r="U2270" s="139" t="str">
        <f>IFERROR(__xludf.DUMMYFUNCTION("""COMPUTED_VALUE"""),"")</f>
        <v/>
      </c>
      <c r="V2270" s="136" t="str">
        <f>IFERROR(__xludf.DUMMYFUNCTION("""COMPUTED_VALUE"""),"")</f>
        <v/>
      </c>
      <c r="W2270" s="106" t="str">
        <f>IFERROR(__xludf.DUMMYFUNCTION("""COMPUTED_VALUE"""),"")</f>
        <v/>
      </c>
      <c r="X2270" s="143" t="str">
        <f t="shared" si="2"/>
        <v/>
      </c>
      <c r="Y2270" s="139" t="str">
        <f>IFERROR(__xludf.DUMMYFUNCTION("""COMPUTED_VALUE"""),"")</f>
        <v/>
      </c>
      <c r="Z2270" s="141" t="str">
        <f>IFERROR(__xludf.DUMMYFUNCTION("""COMPUTED_VALUE"""),"")</f>
        <v/>
      </c>
    </row>
    <row r="2271">
      <c r="D2271" s="136" t="str">
        <f t="shared" si="3"/>
        <v/>
      </c>
      <c r="E2271" s="152"/>
      <c r="F2271" s="106" t="s">
        <v>133</v>
      </c>
      <c r="G2271" s="152"/>
      <c r="H2271" s="106" t="s">
        <v>133</v>
      </c>
      <c r="J2271" s="139" t="s">
        <v>133</v>
      </c>
      <c r="K2271" s="136" t="s">
        <v>133</v>
      </c>
      <c r="L2271" s="153"/>
      <c r="M2271" s="136" t="str">
        <f t="shared" si="1"/>
        <v/>
      </c>
      <c r="O2271" s="141" t="s">
        <v>133</v>
      </c>
      <c r="P2271" s="136" t="str">
        <f>IFERROR(__xludf.DUMMYFUNCTION("""COMPUTED_VALUE"""),"")</f>
        <v/>
      </c>
      <c r="Q2271" s="136" t="str">
        <f>IFERROR(__xludf.DUMMYFUNCTION("""COMPUTED_VALUE"""),"")</f>
        <v/>
      </c>
      <c r="R2271" s="106" t="str">
        <f>IFERROR(__xludf.DUMMYFUNCTION("""COMPUTED_VALUE"""),"")</f>
        <v/>
      </c>
      <c r="S2271" s="106" t="str">
        <f>IFERROR(__xludf.DUMMYFUNCTION("""COMPUTED_VALUE"""),"")</f>
        <v/>
      </c>
      <c r="T2271" s="139" t="str">
        <f>IFERROR(__xludf.DUMMYFUNCTION("""COMPUTED_VALUE"""),"")</f>
        <v/>
      </c>
      <c r="U2271" s="139" t="str">
        <f>IFERROR(__xludf.DUMMYFUNCTION("""COMPUTED_VALUE"""),"")</f>
        <v/>
      </c>
      <c r="V2271" s="136" t="str">
        <f>IFERROR(__xludf.DUMMYFUNCTION("""COMPUTED_VALUE"""),"")</f>
        <v/>
      </c>
      <c r="W2271" s="106" t="str">
        <f>IFERROR(__xludf.DUMMYFUNCTION("""COMPUTED_VALUE"""),"")</f>
        <v/>
      </c>
      <c r="X2271" s="143" t="str">
        <f t="shared" si="2"/>
        <v/>
      </c>
      <c r="Y2271" s="139" t="str">
        <f>IFERROR(__xludf.DUMMYFUNCTION("""COMPUTED_VALUE"""),"")</f>
        <v/>
      </c>
      <c r="Z2271" s="141" t="str">
        <f>IFERROR(__xludf.DUMMYFUNCTION("""COMPUTED_VALUE"""),"")</f>
        <v/>
      </c>
    </row>
    <row r="2272">
      <c r="D2272" s="136" t="str">
        <f t="shared" si="3"/>
        <v/>
      </c>
      <c r="E2272" s="152"/>
      <c r="F2272" s="106" t="s">
        <v>133</v>
      </c>
      <c r="G2272" s="152"/>
      <c r="H2272" s="106" t="s">
        <v>133</v>
      </c>
      <c r="J2272" s="139" t="s">
        <v>133</v>
      </c>
      <c r="K2272" s="136" t="s">
        <v>133</v>
      </c>
      <c r="L2272" s="153"/>
      <c r="M2272" s="136" t="str">
        <f t="shared" si="1"/>
        <v/>
      </c>
      <c r="O2272" s="141" t="s">
        <v>133</v>
      </c>
      <c r="P2272" s="136" t="str">
        <f>IFERROR(__xludf.DUMMYFUNCTION("""COMPUTED_VALUE"""),"")</f>
        <v/>
      </c>
      <c r="Q2272" s="136" t="str">
        <f>IFERROR(__xludf.DUMMYFUNCTION("""COMPUTED_VALUE"""),"")</f>
        <v/>
      </c>
      <c r="R2272" s="106" t="str">
        <f>IFERROR(__xludf.DUMMYFUNCTION("""COMPUTED_VALUE"""),"")</f>
        <v/>
      </c>
      <c r="S2272" s="106" t="str">
        <f>IFERROR(__xludf.DUMMYFUNCTION("""COMPUTED_VALUE"""),"")</f>
        <v/>
      </c>
      <c r="T2272" s="139" t="str">
        <f>IFERROR(__xludf.DUMMYFUNCTION("""COMPUTED_VALUE"""),"")</f>
        <v/>
      </c>
      <c r="U2272" s="139" t="str">
        <f>IFERROR(__xludf.DUMMYFUNCTION("""COMPUTED_VALUE"""),"")</f>
        <v/>
      </c>
      <c r="V2272" s="136" t="str">
        <f>IFERROR(__xludf.DUMMYFUNCTION("""COMPUTED_VALUE"""),"")</f>
        <v/>
      </c>
      <c r="W2272" s="106" t="str">
        <f>IFERROR(__xludf.DUMMYFUNCTION("""COMPUTED_VALUE"""),"")</f>
        <v/>
      </c>
      <c r="X2272" s="143" t="str">
        <f t="shared" si="2"/>
        <v/>
      </c>
      <c r="Y2272" s="139" t="str">
        <f>IFERROR(__xludf.DUMMYFUNCTION("""COMPUTED_VALUE"""),"")</f>
        <v/>
      </c>
      <c r="Z2272" s="141" t="str">
        <f>IFERROR(__xludf.DUMMYFUNCTION("""COMPUTED_VALUE"""),"")</f>
        <v/>
      </c>
    </row>
    <row r="2273">
      <c r="D2273" s="136" t="str">
        <f t="shared" si="3"/>
        <v/>
      </c>
      <c r="E2273" s="152"/>
      <c r="F2273" s="106" t="s">
        <v>133</v>
      </c>
      <c r="G2273" s="152"/>
      <c r="H2273" s="106" t="s">
        <v>133</v>
      </c>
      <c r="J2273" s="139" t="s">
        <v>133</v>
      </c>
      <c r="K2273" s="136" t="s">
        <v>133</v>
      </c>
      <c r="L2273" s="153"/>
      <c r="M2273" s="136" t="str">
        <f t="shared" si="1"/>
        <v/>
      </c>
      <c r="O2273" s="141" t="s">
        <v>133</v>
      </c>
      <c r="P2273" s="136" t="str">
        <f>IFERROR(__xludf.DUMMYFUNCTION("""COMPUTED_VALUE"""),"")</f>
        <v/>
      </c>
      <c r="Q2273" s="136" t="str">
        <f>IFERROR(__xludf.DUMMYFUNCTION("""COMPUTED_VALUE"""),"")</f>
        <v/>
      </c>
      <c r="R2273" s="106" t="str">
        <f>IFERROR(__xludf.DUMMYFUNCTION("""COMPUTED_VALUE"""),"")</f>
        <v/>
      </c>
      <c r="S2273" s="106" t="str">
        <f>IFERROR(__xludf.DUMMYFUNCTION("""COMPUTED_VALUE"""),"")</f>
        <v/>
      </c>
      <c r="T2273" s="139" t="str">
        <f>IFERROR(__xludf.DUMMYFUNCTION("""COMPUTED_VALUE"""),"")</f>
        <v/>
      </c>
      <c r="U2273" s="139" t="str">
        <f>IFERROR(__xludf.DUMMYFUNCTION("""COMPUTED_VALUE"""),"")</f>
        <v/>
      </c>
      <c r="V2273" s="136" t="str">
        <f>IFERROR(__xludf.DUMMYFUNCTION("""COMPUTED_VALUE"""),"")</f>
        <v/>
      </c>
      <c r="W2273" s="106" t="str">
        <f>IFERROR(__xludf.DUMMYFUNCTION("""COMPUTED_VALUE"""),"")</f>
        <v/>
      </c>
      <c r="X2273" s="143" t="str">
        <f t="shared" si="2"/>
        <v/>
      </c>
      <c r="Y2273" s="139" t="str">
        <f>IFERROR(__xludf.DUMMYFUNCTION("""COMPUTED_VALUE"""),"")</f>
        <v/>
      </c>
      <c r="Z2273" s="141" t="str">
        <f>IFERROR(__xludf.DUMMYFUNCTION("""COMPUTED_VALUE"""),"")</f>
        <v/>
      </c>
    </row>
    <row r="2274">
      <c r="D2274" s="136" t="str">
        <f t="shared" si="3"/>
        <v/>
      </c>
      <c r="E2274" s="152"/>
      <c r="F2274" s="106" t="s">
        <v>133</v>
      </c>
      <c r="G2274" s="152"/>
      <c r="H2274" s="106" t="s">
        <v>133</v>
      </c>
      <c r="J2274" s="139" t="s">
        <v>133</v>
      </c>
      <c r="K2274" s="136" t="s">
        <v>133</v>
      </c>
      <c r="L2274" s="153"/>
      <c r="M2274" s="136" t="str">
        <f t="shared" si="1"/>
        <v/>
      </c>
      <c r="O2274" s="141" t="s">
        <v>133</v>
      </c>
      <c r="P2274" s="136" t="str">
        <f>IFERROR(__xludf.DUMMYFUNCTION("""COMPUTED_VALUE"""),"")</f>
        <v/>
      </c>
      <c r="Q2274" s="136" t="str">
        <f>IFERROR(__xludf.DUMMYFUNCTION("""COMPUTED_VALUE"""),"")</f>
        <v/>
      </c>
      <c r="R2274" s="106" t="str">
        <f>IFERROR(__xludf.DUMMYFUNCTION("""COMPUTED_VALUE"""),"")</f>
        <v/>
      </c>
      <c r="S2274" s="106" t="str">
        <f>IFERROR(__xludf.DUMMYFUNCTION("""COMPUTED_VALUE"""),"")</f>
        <v/>
      </c>
      <c r="T2274" s="139" t="str">
        <f>IFERROR(__xludf.DUMMYFUNCTION("""COMPUTED_VALUE"""),"")</f>
        <v/>
      </c>
      <c r="U2274" s="139" t="str">
        <f>IFERROR(__xludf.DUMMYFUNCTION("""COMPUTED_VALUE"""),"")</f>
        <v/>
      </c>
      <c r="V2274" s="136" t="str">
        <f>IFERROR(__xludf.DUMMYFUNCTION("""COMPUTED_VALUE"""),"")</f>
        <v/>
      </c>
      <c r="W2274" s="106" t="str">
        <f>IFERROR(__xludf.DUMMYFUNCTION("""COMPUTED_VALUE"""),"")</f>
        <v/>
      </c>
      <c r="X2274" s="143" t="str">
        <f t="shared" si="2"/>
        <v/>
      </c>
      <c r="Y2274" s="139" t="str">
        <f>IFERROR(__xludf.DUMMYFUNCTION("""COMPUTED_VALUE"""),"")</f>
        <v/>
      </c>
      <c r="Z2274" s="141" t="str">
        <f>IFERROR(__xludf.DUMMYFUNCTION("""COMPUTED_VALUE"""),"")</f>
        <v/>
      </c>
    </row>
    <row r="2275">
      <c r="D2275" s="136" t="str">
        <f t="shared" si="3"/>
        <v/>
      </c>
      <c r="E2275" s="152"/>
      <c r="F2275" s="106" t="s">
        <v>133</v>
      </c>
      <c r="G2275" s="152"/>
      <c r="H2275" s="106" t="s">
        <v>133</v>
      </c>
      <c r="J2275" s="139" t="s">
        <v>133</v>
      </c>
      <c r="K2275" s="136" t="s">
        <v>133</v>
      </c>
      <c r="L2275" s="153"/>
      <c r="M2275" s="136" t="str">
        <f t="shared" si="1"/>
        <v/>
      </c>
      <c r="O2275" s="141" t="s">
        <v>133</v>
      </c>
      <c r="P2275" s="136" t="str">
        <f>IFERROR(__xludf.DUMMYFUNCTION("""COMPUTED_VALUE"""),"")</f>
        <v/>
      </c>
      <c r="Q2275" s="136" t="str">
        <f>IFERROR(__xludf.DUMMYFUNCTION("""COMPUTED_VALUE"""),"")</f>
        <v/>
      </c>
      <c r="R2275" s="106" t="str">
        <f>IFERROR(__xludf.DUMMYFUNCTION("""COMPUTED_VALUE"""),"")</f>
        <v/>
      </c>
      <c r="S2275" s="106" t="str">
        <f>IFERROR(__xludf.DUMMYFUNCTION("""COMPUTED_VALUE"""),"")</f>
        <v/>
      </c>
      <c r="T2275" s="139" t="str">
        <f>IFERROR(__xludf.DUMMYFUNCTION("""COMPUTED_VALUE"""),"")</f>
        <v/>
      </c>
      <c r="U2275" s="139" t="str">
        <f>IFERROR(__xludf.DUMMYFUNCTION("""COMPUTED_VALUE"""),"")</f>
        <v/>
      </c>
      <c r="V2275" s="136" t="str">
        <f>IFERROR(__xludf.DUMMYFUNCTION("""COMPUTED_VALUE"""),"")</f>
        <v/>
      </c>
      <c r="W2275" s="106" t="str">
        <f>IFERROR(__xludf.DUMMYFUNCTION("""COMPUTED_VALUE"""),"")</f>
        <v/>
      </c>
      <c r="X2275" s="143" t="str">
        <f t="shared" si="2"/>
        <v/>
      </c>
      <c r="Y2275" s="139" t="str">
        <f>IFERROR(__xludf.DUMMYFUNCTION("""COMPUTED_VALUE"""),"")</f>
        <v/>
      </c>
      <c r="Z2275" s="141" t="str">
        <f>IFERROR(__xludf.DUMMYFUNCTION("""COMPUTED_VALUE"""),"")</f>
        <v/>
      </c>
    </row>
    <row r="2276">
      <c r="D2276" s="136" t="str">
        <f t="shared" si="3"/>
        <v/>
      </c>
      <c r="E2276" s="152"/>
      <c r="F2276" s="106" t="s">
        <v>133</v>
      </c>
      <c r="G2276" s="152"/>
      <c r="H2276" s="106" t="s">
        <v>133</v>
      </c>
      <c r="J2276" s="139" t="s">
        <v>133</v>
      </c>
      <c r="K2276" s="136" t="s">
        <v>133</v>
      </c>
      <c r="L2276" s="153"/>
      <c r="M2276" s="136" t="str">
        <f t="shared" si="1"/>
        <v/>
      </c>
      <c r="O2276" s="141" t="s">
        <v>133</v>
      </c>
      <c r="P2276" s="136" t="str">
        <f>IFERROR(__xludf.DUMMYFUNCTION("""COMPUTED_VALUE"""),"")</f>
        <v/>
      </c>
      <c r="Q2276" s="136" t="str">
        <f>IFERROR(__xludf.DUMMYFUNCTION("""COMPUTED_VALUE"""),"")</f>
        <v/>
      </c>
      <c r="R2276" s="106" t="str">
        <f>IFERROR(__xludf.DUMMYFUNCTION("""COMPUTED_VALUE"""),"")</f>
        <v/>
      </c>
      <c r="S2276" s="106" t="str">
        <f>IFERROR(__xludf.DUMMYFUNCTION("""COMPUTED_VALUE"""),"")</f>
        <v/>
      </c>
      <c r="T2276" s="139" t="str">
        <f>IFERROR(__xludf.DUMMYFUNCTION("""COMPUTED_VALUE"""),"")</f>
        <v/>
      </c>
      <c r="U2276" s="139" t="str">
        <f>IFERROR(__xludf.DUMMYFUNCTION("""COMPUTED_VALUE"""),"")</f>
        <v/>
      </c>
      <c r="V2276" s="136" t="str">
        <f>IFERROR(__xludf.DUMMYFUNCTION("""COMPUTED_VALUE"""),"")</f>
        <v/>
      </c>
      <c r="W2276" s="106" t="str">
        <f>IFERROR(__xludf.DUMMYFUNCTION("""COMPUTED_VALUE"""),"")</f>
        <v/>
      </c>
      <c r="X2276" s="143" t="str">
        <f t="shared" si="2"/>
        <v/>
      </c>
      <c r="Y2276" s="139" t="str">
        <f>IFERROR(__xludf.DUMMYFUNCTION("""COMPUTED_VALUE"""),"")</f>
        <v/>
      </c>
      <c r="Z2276" s="141" t="str">
        <f>IFERROR(__xludf.DUMMYFUNCTION("""COMPUTED_VALUE"""),"")</f>
        <v/>
      </c>
    </row>
    <row r="2277">
      <c r="D2277" s="136" t="str">
        <f t="shared" si="3"/>
        <v/>
      </c>
      <c r="E2277" s="152"/>
      <c r="F2277" s="106" t="s">
        <v>133</v>
      </c>
      <c r="G2277" s="152"/>
      <c r="H2277" s="106" t="s">
        <v>133</v>
      </c>
      <c r="J2277" s="139" t="s">
        <v>133</v>
      </c>
      <c r="K2277" s="136" t="s">
        <v>133</v>
      </c>
      <c r="L2277" s="153"/>
      <c r="M2277" s="136" t="str">
        <f t="shared" si="1"/>
        <v/>
      </c>
      <c r="O2277" s="141" t="s">
        <v>133</v>
      </c>
      <c r="P2277" s="136" t="str">
        <f>IFERROR(__xludf.DUMMYFUNCTION("""COMPUTED_VALUE"""),"")</f>
        <v/>
      </c>
      <c r="Q2277" s="136" t="str">
        <f>IFERROR(__xludf.DUMMYFUNCTION("""COMPUTED_VALUE"""),"")</f>
        <v/>
      </c>
      <c r="R2277" s="106" t="str">
        <f>IFERROR(__xludf.DUMMYFUNCTION("""COMPUTED_VALUE"""),"")</f>
        <v/>
      </c>
      <c r="S2277" s="106" t="str">
        <f>IFERROR(__xludf.DUMMYFUNCTION("""COMPUTED_VALUE"""),"")</f>
        <v/>
      </c>
      <c r="T2277" s="139" t="str">
        <f>IFERROR(__xludf.DUMMYFUNCTION("""COMPUTED_VALUE"""),"")</f>
        <v/>
      </c>
      <c r="U2277" s="139" t="str">
        <f>IFERROR(__xludf.DUMMYFUNCTION("""COMPUTED_VALUE"""),"")</f>
        <v/>
      </c>
      <c r="V2277" s="136" t="str">
        <f>IFERROR(__xludf.DUMMYFUNCTION("""COMPUTED_VALUE"""),"")</f>
        <v/>
      </c>
      <c r="W2277" s="106" t="str">
        <f>IFERROR(__xludf.DUMMYFUNCTION("""COMPUTED_VALUE"""),"")</f>
        <v/>
      </c>
      <c r="X2277" s="143" t="str">
        <f t="shared" si="2"/>
        <v/>
      </c>
      <c r="Y2277" s="139" t="str">
        <f>IFERROR(__xludf.DUMMYFUNCTION("""COMPUTED_VALUE"""),"")</f>
        <v/>
      </c>
      <c r="Z2277" s="141" t="str">
        <f>IFERROR(__xludf.DUMMYFUNCTION("""COMPUTED_VALUE"""),"")</f>
        <v/>
      </c>
    </row>
    <row r="2278">
      <c r="D2278" s="136" t="str">
        <f t="shared" si="3"/>
        <v/>
      </c>
      <c r="E2278" s="152"/>
      <c r="F2278" s="106" t="s">
        <v>133</v>
      </c>
      <c r="G2278" s="152"/>
      <c r="H2278" s="106" t="s">
        <v>133</v>
      </c>
      <c r="J2278" s="139" t="s">
        <v>133</v>
      </c>
      <c r="K2278" s="136" t="s">
        <v>133</v>
      </c>
      <c r="L2278" s="153"/>
      <c r="M2278" s="136" t="str">
        <f t="shared" si="1"/>
        <v/>
      </c>
      <c r="O2278" s="141" t="s">
        <v>133</v>
      </c>
      <c r="P2278" s="136" t="str">
        <f>IFERROR(__xludf.DUMMYFUNCTION("""COMPUTED_VALUE"""),"")</f>
        <v/>
      </c>
      <c r="Q2278" s="136" t="str">
        <f>IFERROR(__xludf.DUMMYFUNCTION("""COMPUTED_VALUE"""),"")</f>
        <v/>
      </c>
      <c r="R2278" s="106" t="str">
        <f>IFERROR(__xludf.DUMMYFUNCTION("""COMPUTED_VALUE"""),"")</f>
        <v/>
      </c>
      <c r="S2278" s="106" t="str">
        <f>IFERROR(__xludf.DUMMYFUNCTION("""COMPUTED_VALUE"""),"")</f>
        <v/>
      </c>
      <c r="T2278" s="139" t="str">
        <f>IFERROR(__xludf.DUMMYFUNCTION("""COMPUTED_VALUE"""),"")</f>
        <v/>
      </c>
      <c r="U2278" s="139" t="str">
        <f>IFERROR(__xludf.DUMMYFUNCTION("""COMPUTED_VALUE"""),"")</f>
        <v/>
      </c>
      <c r="V2278" s="136" t="str">
        <f>IFERROR(__xludf.DUMMYFUNCTION("""COMPUTED_VALUE"""),"")</f>
        <v/>
      </c>
      <c r="W2278" s="106" t="str">
        <f>IFERROR(__xludf.DUMMYFUNCTION("""COMPUTED_VALUE"""),"")</f>
        <v/>
      </c>
      <c r="X2278" s="143" t="str">
        <f t="shared" si="2"/>
        <v/>
      </c>
      <c r="Y2278" s="139" t="str">
        <f>IFERROR(__xludf.DUMMYFUNCTION("""COMPUTED_VALUE"""),"")</f>
        <v/>
      </c>
      <c r="Z2278" s="141" t="str">
        <f>IFERROR(__xludf.DUMMYFUNCTION("""COMPUTED_VALUE"""),"")</f>
        <v/>
      </c>
    </row>
    <row r="2279">
      <c r="D2279" s="136" t="str">
        <f t="shared" si="3"/>
        <v/>
      </c>
      <c r="E2279" s="152"/>
      <c r="F2279" s="106" t="s">
        <v>133</v>
      </c>
      <c r="G2279" s="152"/>
      <c r="H2279" s="106" t="s">
        <v>133</v>
      </c>
      <c r="J2279" s="139" t="s">
        <v>133</v>
      </c>
      <c r="K2279" s="136" t="s">
        <v>133</v>
      </c>
      <c r="L2279" s="153"/>
      <c r="M2279" s="136" t="str">
        <f t="shared" si="1"/>
        <v/>
      </c>
      <c r="O2279" s="141" t="s">
        <v>133</v>
      </c>
      <c r="P2279" s="136" t="str">
        <f>IFERROR(__xludf.DUMMYFUNCTION("""COMPUTED_VALUE"""),"")</f>
        <v/>
      </c>
      <c r="Q2279" s="136" t="str">
        <f>IFERROR(__xludf.DUMMYFUNCTION("""COMPUTED_VALUE"""),"")</f>
        <v/>
      </c>
      <c r="R2279" s="106" t="str">
        <f>IFERROR(__xludf.DUMMYFUNCTION("""COMPUTED_VALUE"""),"")</f>
        <v/>
      </c>
      <c r="S2279" s="106" t="str">
        <f>IFERROR(__xludf.DUMMYFUNCTION("""COMPUTED_VALUE"""),"")</f>
        <v/>
      </c>
      <c r="T2279" s="139" t="str">
        <f>IFERROR(__xludf.DUMMYFUNCTION("""COMPUTED_VALUE"""),"")</f>
        <v/>
      </c>
      <c r="U2279" s="139" t="str">
        <f>IFERROR(__xludf.DUMMYFUNCTION("""COMPUTED_VALUE"""),"")</f>
        <v/>
      </c>
      <c r="V2279" s="136" t="str">
        <f>IFERROR(__xludf.DUMMYFUNCTION("""COMPUTED_VALUE"""),"")</f>
        <v/>
      </c>
      <c r="W2279" s="106" t="str">
        <f>IFERROR(__xludf.DUMMYFUNCTION("""COMPUTED_VALUE"""),"")</f>
        <v/>
      </c>
      <c r="X2279" s="143" t="str">
        <f t="shared" si="2"/>
        <v/>
      </c>
      <c r="Y2279" s="139" t="str">
        <f>IFERROR(__xludf.DUMMYFUNCTION("""COMPUTED_VALUE"""),"")</f>
        <v/>
      </c>
      <c r="Z2279" s="141" t="str">
        <f>IFERROR(__xludf.DUMMYFUNCTION("""COMPUTED_VALUE"""),"")</f>
        <v/>
      </c>
    </row>
    <row r="2280">
      <c r="D2280" s="136" t="str">
        <f t="shared" si="3"/>
        <v/>
      </c>
      <c r="E2280" s="152"/>
      <c r="F2280" s="106" t="s">
        <v>133</v>
      </c>
      <c r="G2280" s="152"/>
      <c r="H2280" s="106" t="s">
        <v>133</v>
      </c>
      <c r="J2280" s="139" t="s">
        <v>133</v>
      </c>
      <c r="K2280" s="136" t="s">
        <v>133</v>
      </c>
      <c r="L2280" s="153"/>
      <c r="M2280" s="136" t="str">
        <f t="shared" si="1"/>
        <v/>
      </c>
      <c r="O2280" s="141" t="s">
        <v>133</v>
      </c>
      <c r="P2280" s="136" t="str">
        <f>IFERROR(__xludf.DUMMYFUNCTION("""COMPUTED_VALUE"""),"")</f>
        <v/>
      </c>
      <c r="Q2280" s="136" t="str">
        <f>IFERROR(__xludf.DUMMYFUNCTION("""COMPUTED_VALUE"""),"")</f>
        <v/>
      </c>
      <c r="R2280" s="106" t="str">
        <f>IFERROR(__xludf.DUMMYFUNCTION("""COMPUTED_VALUE"""),"")</f>
        <v/>
      </c>
      <c r="S2280" s="106" t="str">
        <f>IFERROR(__xludf.DUMMYFUNCTION("""COMPUTED_VALUE"""),"")</f>
        <v/>
      </c>
      <c r="T2280" s="139" t="str">
        <f>IFERROR(__xludf.DUMMYFUNCTION("""COMPUTED_VALUE"""),"")</f>
        <v/>
      </c>
      <c r="U2280" s="139" t="str">
        <f>IFERROR(__xludf.DUMMYFUNCTION("""COMPUTED_VALUE"""),"")</f>
        <v/>
      </c>
      <c r="V2280" s="136" t="str">
        <f>IFERROR(__xludf.DUMMYFUNCTION("""COMPUTED_VALUE"""),"")</f>
        <v/>
      </c>
      <c r="W2280" s="106" t="str">
        <f>IFERROR(__xludf.DUMMYFUNCTION("""COMPUTED_VALUE"""),"")</f>
        <v/>
      </c>
      <c r="X2280" s="143" t="str">
        <f t="shared" si="2"/>
        <v/>
      </c>
      <c r="Y2280" s="139" t="str">
        <f>IFERROR(__xludf.DUMMYFUNCTION("""COMPUTED_VALUE"""),"")</f>
        <v/>
      </c>
      <c r="Z2280" s="141" t="str">
        <f>IFERROR(__xludf.DUMMYFUNCTION("""COMPUTED_VALUE"""),"")</f>
        <v/>
      </c>
    </row>
    <row r="2281">
      <c r="D2281" s="136" t="str">
        <f t="shared" si="3"/>
        <v/>
      </c>
      <c r="E2281" s="152"/>
      <c r="F2281" s="106" t="s">
        <v>133</v>
      </c>
      <c r="G2281" s="152"/>
      <c r="H2281" s="106" t="s">
        <v>133</v>
      </c>
      <c r="J2281" s="139" t="s">
        <v>133</v>
      </c>
      <c r="K2281" s="136" t="s">
        <v>133</v>
      </c>
      <c r="L2281" s="153"/>
      <c r="M2281" s="136" t="str">
        <f t="shared" si="1"/>
        <v/>
      </c>
      <c r="O2281" s="141" t="s">
        <v>133</v>
      </c>
      <c r="P2281" s="136" t="str">
        <f>IFERROR(__xludf.DUMMYFUNCTION("""COMPUTED_VALUE"""),"")</f>
        <v/>
      </c>
      <c r="Q2281" s="136" t="str">
        <f>IFERROR(__xludf.DUMMYFUNCTION("""COMPUTED_VALUE"""),"")</f>
        <v/>
      </c>
      <c r="R2281" s="106" t="str">
        <f>IFERROR(__xludf.DUMMYFUNCTION("""COMPUTED_VALUE"""),"")</f>
        <v/>
      </c>
      <c r="S2281" s="106" t="str">
        <f>IFERROR(__xludf.DUMMYFUNCTION("""COMPUTED_VALUE"""),"")</f>
        <v/>
      </c>
      <c r="T2281" s="139" t="str">
        <f>IFERROR(__xludf.DUMMYFUNCTION("""COMPUTED_VALUE"""),"")</f>
        <v/>
      </c>
      <c r="U2281" s="139" t="str">
        <f>IFERROR(__xludf.DUMMYFUNCTION("""COMPUTED_VALUE"""),"")</f>
        <v/>
      </c>
      <c r="V2281" s="136" t="str">
        <f>IFERROR(__xludf.DUMMYFUNCTION("""COMPUTED_VALUE"""),"")</f>
        <v/>
      </c>
      <c r="W2281" s="106" t="str">
        <f>IFERROR(__xludf.DUMMYFUNCTION("""COMPUTED_VALUE"""),"")</f>
        <v/>
      </c>
      <c r="X2281" s="143" t="str">
        <f t="shared" si="2"/>
        <v/>
      </c>
      <c r="Y2281" s="139" t="str">
        <f>IFERROR(__xludf.DUMMYFUNCTION("""COMPUTED_VALUE"""),"")</f>
        <v/>
      </c>
      <c r="Z2281" s="141" t="str">
        <f>IFERROR(__xludf.DUMMYFUNCTION("""COMPUTED_VALUE"""),"")</f>
        <v/>
      </c>
    </row>
    <row r="2282">
      <c r="D2282" s="136" t="str">
        <f t="shared" si="3"/>
        <v/>
      </c>
      <c r="E2282" s="152"/>
      <c r="F2282" s="106" t="s">
        <v>133</v>
      </c>
      <c r="G2282" s="152"/>
      <c r="H2282" s="106" t="s">
        <v>133</v>
      </c>
      <c r="J2282" s="139" t="s">
        <v>133</v>
      </c>
      <c r="K2282" s="136" t="s">
        <v>133</v>
      </c>
      <c r="L2282" s="153"/>
      <c r="M2282" s="136" t="str">
        <f t="shared" si="1"/>
        <v/>
      </c>
      <c r="O2282" s="141" t="s">
        <v>133</v>
      </c>
      <c r="P2282" s="136" t="str">
        <f>IFERROR(__xludf.DUMMYFUNCTION("""COMPUTED_VALUE"""),"")</f>
        <v/>
      </c>
      <c r="Q2282" s="136" t="str">
        <f>IFERROR(__xludf.DUMMYFUNCTION("""COMPUTED_VALUE"""),"")</f>
        <v/>
      </c>
      <c r="R2282" s="106" t="str">
        <f>IFERROR(__xludf.DUMMYFUNCTION("""COMPUTED_VALUE"""),"")</f>
        <v/>
      </c>
      <c r="S2282" s="106" t="str">
        <f>IFERROR(__xludf.DUMMYFUNCTION("""COMPUTED_VALUE"""),"")</f>
        <v/>
      </c>
      <c r="T2282" s="139" t="str">
        <f>IFERROR(__xludf.DUMMYFUNCTION("""COMPUTED_VALUE"""),"")</f>
        <v/>
      </c>
      <c r="U2282" s="139" t="str">
        <f>IFERROR(__xludf.DUMMYFUNCTION("""COMPUTED_VALUE"""),"")</f>
        <v/>
      </c>
      <c r="V2282" s="136" t="str">
        <f>IFERROR(__xludf.DUMMYFUNCTION("""COMPUTED_VALUE"""),"")</f>
        <v/>
      </c>
      <c r="W2282" s="106" t="str">
        <f>IFERROR(__xludf.DUMMYFUNCTION("""COMPUTED_VALUE"""),"")</f>
        <v/>
      </c>
      <c r="X2282" s="143" t="str">
        <f t="shared" si="2"/>
        <v/>
      </c>
      <c r="Y2282" s="139" t="str">
        <f>IFERROR(__xludf.DUMMYFUNCTION("""COMPUTED_VALUE"""),"")</f>
        <v/>
      </c>
      <c r="Z2282" s="141" t="str">
        <f>IFERROR(__xludf.DUMMYFUNCTION("""COMPUTED_VALUE"""),"")</f>
        <v/>
      </c>
    </row>
    <row r="2283">
      <c r="D2283" s="136" t="str">
        <f t="shared" si="3"/>
        <v/>
      </c>
      <c r="E2283" s="152"/>
      <c r="F2283" s="106" t="s">
        <v>133</v>
      </c>
      <c r="G2283" s="152"/>
      <c r="H2283" s="106" t="s">
        <v>133</v>
      </c>
      <c r="J2283" s="139" t="s">
        <v>133</v>
      </c>
      <c r="K2283" s="136" t="s">
        <v>133</v>
      </c>
      <c r="L2283" s="153"/>
      <c r="M2283" s="136" t="str">
        <f t="shared" si="1"/>
        <v/>
      </c>
      <c r="O2283" s="141" t="s">
        <v>133</v>
      </c>
      <c r="P2283" s="136" t="str">
        <f>IFERROR(__xludf.DUMMYFUNCTION("""COMPUTED_VALUE"""),"")</f>
        <v/>
      </c>
      <c r="Q2283" s="136" t="str">
        <f>IFERROR(__xludf.DUMMYFUNCTION("""COMPUTED_VALUE"""),"")</f>
        <v/>
      </c>
      <c r="R2283" s="106" t="str">
        <f>IFERROR(__xludf.DUMMYFUNCTION("""COMPUTED_VALUE"""),"")</f>
        <v/>
      </c>
      <c r="S2283" s="106" t="str">
        <f>IFERROR(__xludf.DUMMYFUNCTION("""COMPUTED_VALUE"""),"")</f>
        <v/>
      </c>
      <c r="T2283" s="139" t="str">
        <f>IFERROR(__xludf.DUMMYFUNCTION("""COMPUTED_VALUE"""),"")</f>
        <v/>
      </c>
      <c r="U2283" s="139" t="str">
        <f>IFERROR(__xludf.DUMMYFUNCTION("""COMPUTED_VALUE"""),"")</f>
        <v/>
      </c>
      <c r="V2283" s="136" t="str">
        <f>IFERROR(__xludf.DUMMYFUNCTION("""COMPUTED_VALUE"""),"")</f>
        <v/>
      </c>
      <c r="W2283" s="106" t="str">
        <f>IFERROR(__xludf.DUMMYFUNCTION("""COMPUTED_VALUE"""),"")</f>
        <v/>
      </c>
      <c r="X2283" s="143" t="str">
        <f t="shared" si="2"/>
        <v/>
      </c>
      <c r="Y2283" s="139" t="str">
        <f>IFERROR(__xludf.DUMMYFUNCTION("""COMPUTED_VALUE"""),"")</f>
        <v/>
      </c>
      <c r="Z2283" s="141" t="str">
        <f>IFERROR(__xludf.DUMMYFUNCTION("""COMPUTED_VALUE"""),"")</f>
        <v/>
      </c>
    </row>
    <row r="2284">
      <c r="D2284" s="136" t="str">
        <f t="shared" si="3"/>
        <v/>
      </c>
      <c r="E2284" s="152"/>
      <c r="F2284" s="106" t="s">
        <v>133</v>
      </c>
      <c r="G2284" s="152"/>
      <c r="H2284" s="106" t="s">
        <v>133</v>
      </c>
      <c r="J2284" s="139" t="s">
        <v>133</v>
      </c>
      <c r="K2284" s="136" t="s">
        <v>133</v>
      </c>
      <c r="L2284" s="153"/>
      <c r="M2284" s="136" t="str">
        <f t="shared" si="1"/>
        <v/>
      </c>
      <c r="O2284" s="141" t="s">
        <v>133</v>
      </c>
      <c r="P2284" s="136" t="str">
        <f>IFERROR(__xludf.DUMMYFUNCTION("""COMPUTED_VALUE"""),"")</f>
        <v/>
      </c>
      <c r="Q2284" s="136" t="str">
        <f>IFERROR(__xludf.DUMMYFUNCTION("""COMPUTED_VALUE"""),"")</f>
        <v/>
      </c>
      <c r="R2284" s="106" t="str">
        <f>IFERROR(__xludf.DUMMYFUNCTION("""COMPUTED_VALUE"""),"")</f>
        <v/>
      </c>
      <c r="S2284" s="106" t="str">
        <f>IFERROR(__xludf.DUMMYFUNCTION("""COMPUTED_VALUE"""),"")</f>
        <v/>
      </c>
      <c r="T2284" s="139" t="str">
        <f>IFERROR(__xludf.DUMMYFUNCTION("""COMPUTED_VALUE"""),"")</f>
        <v/>
      </c>
      <c r="U2284" s="139" t="str">
        <f>IFERROR(__xludf.DUMMYFUNCTION("""COMPUTED_VALUE"""),"")</f>
        <v/>
      </c>
      <c r="V2284" s="136" t="str">
        <f>IFERROR(__xludf.DUMMYFUNCTION("""COMPUTED_VALUE"""),"")</f>
        <v/>
      </c>
      <c r="W2284" s="106" t="str">
        <f>IFERROR(__xludf.DUMMYFUNCTION("""COMPUTED_VALUE"""),"")</f>
        <v/>
      </c>
      <c r="X2284" s="143" t="str">
        <f t="shared" si="2"/>
        <v/>
      </c>
      <c r="Y2284" s="139" t="str">
        <f>IFERROR(__xludf.DUMMYFUNCTION("""COMPUTED_VALUE"""),"")</f>
        <v/>
      </c>
      <c r="Z2284" s="141" t="str">
        <f>IFERROR(__xludf.DUMMYFUNCTION("""COMPUTED_VALUE"""),"")</f>
        <v/>
      </c>
    </row>
    <row r="2285">
      <c r="D2285" s="136" t="str">
        <f t="shared" si="3"/>
        <v/>
      </c>
      <c r="E2285" s="152"/>
      <c r="F2285" s="106" t="s">
        <v>133</v>
      </c>
      <c r="G2285" s="152"/>
      <c r="H2285" s="106" t="s">
        <v>133</v>
      </c>
      <c r="J2285" s="139" t="s">
        <v>133</v>
      </c>
      <c r="K2285" s="136" t="s">
        <v>133</v>
      </c>
      <c r="L2285" s="153"/>
      <c r="M2285" s="136" t="str">
        <f t="shared" si="1"/>
        <v/>
      </c>
      <c r="O2285" s="141" t="s">
        <v>133</v>
      </c>
      <c r="P2285" s="136" t="str">
        <f>IFERROR(__xludf.DUMMYFUNCTION("""COMPUTED_VALUE"""),"")</f>
        <v/>
      </c>
      <c r="Q2285" s="136" t="str">
        <f>IFERROR(__xludf.DUMMYFUNCTION("""COMPUTED_VALUE"""),"")</f>
        <v/>
      </c>
      <c r="R2285" s="106" t="str">
        <f>IFERROR(__xludf.DUMMYFUNCTION("""COMPUTED_VALUE"""),"")</f>
        <v/>
      </c>
      <c r="S2285" s="106" t="str">
        <f>IFERROR(__xludf.DUMMYFUNCTION("""COMPUTED_VALUE"""),"")</f>
        <v/>
      </c>
      <c r="T2285" s="139" t="str">
        <f>IFERROR(__xludf.DUMMYFUNCTION("""COMPUTED_VALUE"""),"")</f>
        <v/>
      </c>
      <c r="U2285" s="139" t="str">
        <f>IFERROR(__xludf.DUMMYFUNCTION("""COMPUTED_VALUE"""),"")</f>
        <v/>
      </c>
      <c r="V2285" s="136" t="str">
        <f>IFERROR(__xludf.DUMMYFUNCTION("""COMPUTED_VALUE"""),"")</f>
        <v/>
      </c>
      <c r="W2285" s="106" t="str">
        <f>IFERROR(__xludf.DUMMYFUNCTION("""COMPUTED_VALUE"""),"")</f>
        <v/>
      </c>
      <c r="X2285" s="143" t="str">
        <f t="shared" si="2"/>
        <v/>
      </c>
      <c r="Y2285" s="139" t="str">
        <f>IFERROR(__xludf.DUMMYFUNCTION("""COMPUTED_VALUE"""),"")</f>
        <v/>
      </c>
      <c r="Z2285" s="141" t="str">
        <f>IFERROR(__xludf.DUMMYFUNCTION("""COMPUTED_VALUE"""),"")</f>
        <v/>
      </c>
    </row>
    <row r="2286">
      <c r="D2286" s="136" t="str">
        <f t="shared" si="3"/>
        <v/>
      </c>
      <c r="E2286" s="152"/>
      <c r="F2286" s="106" t="s">
        <v>133</v>
      </c>
      <c r="G2286" s="152"/>
      <c r="H2286" s="106" t="s">
        <v>133</v>
      </c>
      <c r="J2286" s="139" t="s">
        <v>133</v>
      </c>
      <c r="K2286" s="136" t="s">
        <v>133</v>
      </c>
      <c r="L2286" s="153"/>
      <c r="M2286" s="136" t="str">
        <f t="shared" si="1"/>
        <v/>
      </c>
      <c r="O2286" s="141" t="s">
        <v>133</v>
      </c>
      <c r="P2286" s="136" t="str">
        <f>IFERROR(__xludf.DUMMYFUNCTION("""COMPUTED_VALUE"""),"")</f>
        <v/>
      </c>
      <c r="Q2286" s="136" t="str">
        <f>IFERROR(__xludf.DUMMYFUNCTION("""COMPUTED_VALUE"""),"")</f>
        <v/>
      </c>
      <c r="R2286" s="106" t="str">
        <f>IFERROR(__xludf.DUMMYFUNCTION("""COMPUTED_VALUE"""),"")</f>
        <v/>
      </c>
      <c r="S2286" s="106" t="str">
        <f>IFERROR(__xludf.DUMMYFUNCTION("""COMPUTED_VALUE"""),"")</f>
        <v/>
      </c>
      <c r="T2286" s="139" t="str">
        <f>IFERROR(__xludf.DUMMYFUNCTION("""COMPUTED_VALUE"""),"")</f>
        <v/>
      </c>
      <c r="U2286" s="139" t="str">
        <f>IFERROR(__xludf.DUMMYFUNCTION("""COMPUTED_VALUE"""),"")</f>
        <v/>
      </c>
      <c r="V2286" s="136" t="str">
        <f>IFERROR(__xludf.DUMMYFUNCTION("""COMPUTED_VALUE"""),"")</f>
        <v/>
      </c>
      <c r="W2286" s="106" t="str">
        <f>IFERROR(__xludf.DUMMYFUNCTION("""COMPUTED_VALUE"""),"")</f>
        <v/>
      </c>
      <c r="X2286" s="143" t="str">
        <f t="shared" si="2"/>
        <v/>
      </c>
      <c r="Y2286" s="139" t="str">
        <f>IFERROR(__xludf.DUMMYFUNCTION("""COMPUTED_VALUE"""),"")</f>
        <v/>
      </c>
      <c r="Z2286" s="141" t="str">
        <f>IFERROR(__xludf.DUMMYFUNCTION("""COMPUTED_VALUE"""),"")</f>
        <v/>
      </c>
    </row>
    <row r="2287">
      <c r="D2287" s="136" t="str">
        <f t="shared" si="3"/>
        <v/>
      </c>
      <c r="E2287" s="152"/>
      <c r="F2287" s="106" t="s">
        <v>133</v>
      </c>
      <c r="G2287" s="152"/>
      <c r="H2287" s="106" t="s">
        <v>133</v>
      </c>
      <c r="J2287" s="139" t="s">
        <v>133</v>
      </c>
      <c r="K2287" s="136" t="s">
        <v>133</v>
      </c>
      <c r="L2287" s="153"/>
      <c r="M2287" s="136" t="str">
        <f t="shared" si="1"/>
        <v/>
      </c>
      <c r="O2287" s="141" t="s">
        <v>133</v>
      </c>
      <c r="P2287" s="136" t="str">
        <f>IFERROR(__xludf.DUMMYFUNCTION("""COMPUTED_VALUE"""),"")</f>
        <v/>
      </c>
      <c r="Q2287" s="136" t="str">
        <f>IFERROR(__xludf.DUMMYFUNCTION("""COMPUTED_VALUE"""),"")</f>
        <v/>
      </c>
      <c r="R2287" s="106" t="str">
        <f>IFERROR(__xludf.DUMMYFUNCTION("""COMPUTED_VALUE"""),"")</f>
        <v/>
      </c>
      <c r="S2287" s="106" t="str">
        <f>IFERROR(__xludf.DUMMYFUNCTION("""COMPUTED_VALUE"""),"")</f>
        <v/>
      </c>
      <c r="T2287" s="139" t="str">
        <f>IFERROR(__xludf.DUMMYFUNCTION("""COMPUTED_VALUE"""),"")</f>
        <v/>
      </c>
      <c r="U2287" s="139" t="str">
        <f>IFERROR(__xludf.DUMMYFUNCTION("""COMPUTED_VALUE"""),"")</f>
        <v/>
      </c>
      <c r="V2287" s="136" t="str">
        <f>IFERROR(__xludf.DUMMYFUNCTION("""COMPUTED_VALUE"""),"")</f>
        <v/>
      </c>
      <c r="W2287" s="106" t="str">
        <f>IFERROR(__xludf.DUMMYFUNCTION("""COMPUTED_VALUE"""),"")</f>
        <v/>
      </c>
      <c r="X2287" s="143" t="str">
        <f t="shared" si="2"/>
        <v/>
      </c>
      <c r="Y2287" s="139" t="str">
        <f>IFERROR(__xludf.DUMMYFUNCTION("""COMPUTED_VALUE"""),"")</f>
        <v/>
      </c>
      <c r="Z2287" s="141" t="str">
        <f>IFERROR(__xludf.DUMMYFUNCTION("""COMPUTED_VALUE"""),"")</f>
        <v/>
      </c>
    </row>
    <row r="2288">
      <c r="D2288" s="136" t="str">
        <f t="shared" si="3"/>
        <v/>
      </c>
      <c r="E2288" s="152"/>
      <c r="F2288" s="106" t="s">
        <v>133</v>
      </c>
      <c r="G2288" s="152"/>
      <c r="H2288" s="106" t="s">
        <v>133</v>
      </c>
      <c r="J2288" s="139" t="s">
        <v>133</v>
      </c>
      <c r="K2288" s="136" t="s">
        <v>133</v>
      </c>
      <c r="L2288" s="153"/>
      <c r="M2288" s="136" t="str">
        <f t="shared" si="1"/>
        <v/>
      </c>
      <c r="O2288" s="141" t="s">
        <v>133</v>
      </c>
      <c r="P2288" s="136" t="str">
        <f>IFERROR(__xludf.DUMMYFUNCTION("""COMPUTED_VALUE"""),"")</f>
        <v/>
      </c>
      <c r="Q2288" s="136" t="str">
        <f>IFERROR(__xludf.DUMMYFUNCTION("""COMPUTED_VALUE"""),"")</f>
        <v/>
      </c>
      <c r="R2288" s="106" t="str">
        <f>IFERROR(__xludf.DUMMYFUNCTION("""COMPUTED_VALUE"""),"")</f>
        <v/>
      </c>
      <c r="S2288" s="106" t="str">
        <f>IFERROR(__xludf.DUMMYFUNCTION("""COMPUTED_VALUE"""),"")</f>
        <v/>
      </c>
      <c r="T2288" s="139" t="str">
        <f>IFERROR(__xludf.DUMMYFUNCTION("""COMPUTED_VALUE"""),"")</f>
        <v/>
      </c>
      <c r="U2288" s="139" t="str">
        <f>IFERROR(__xludf.DUMMYFUNCTION("""COMPUTED_VALUE"""),"")</f>
        <v/>
      </c>
      <c r="V2288" s="136" t="str">
        <f>IFERROR(__xludf.DUMMYFUNCTION("""COMPUTED_VALUE"""),"")</f>
        <v/>
      </c>
      <c r="W2288" s="106" t="str">
        <f>IFERROR(__xludf.DUMMYFUNCTION("""COMPUTED_VALUE"""),"")</f>
        <v/>
      </c>
      <c r="X2288" s="143" t="str">
        <f t="shared" si="2"/>
        <v/>
      </c>
      <c r="Y2288" s="139" t="str">
        <f>IFERROR(__xludf.DUMMYFUNCTION("""COMPUTED_VALUE"""),"")</f>
        <v/>
      </c>
      <c r="Z2288" s="141" t="str">
        <f>IFERROR(__xludf.DUMMYFUNCTION("""COMPUTED_VALUE"""),"")</f>
        <v/>
      </c>
    </row>
    <row r="2289">
      <c r="D2289" s="136" t="str">
        <f t="shared" si="3"/>
        <v/>
      </c>
      <c r="E2289" s="152"/>
      <c r="F2289" s="106" t="s">
        <v>133</v>
      </c>
      <c r="G2289" s="152"/>
      <c r="H2289" s="106" t="s">
        <v>133</v>
      </c>
      <c r="J2289" s="139" t="s">
        <v>133</v>
      </c>
      <c r="K2289" s="136" t="s">
        <v>133</v>
      </c>
      <c r="L2289" s="153"/>
      <c r="M2289" s="136" t="str">
        <f t="shared" si="1"/>
        <v/>
      </c>
      <c r="O2289" s="141" t="s">
        <v>133</v>
      </c>
      <c r="P2289" s="136" t="str">
        <f>IFERROR(__xludf.DUMMYFUNCTION("""COMPUTED_VALUE"""),"")</f>
        <v/>
      </c>
      <c r="Q2289" s="136" t="str">
        <f>IFERROR(__xludf.DUMMYFUNCTION("""COMPUTED_VALUE"""),"")</f>
        <v/>
      </c>
      <c r="R2289" s="106" t="str">
        <f>IFERROR(__xludf.DUMMYFUNCTION("""COMPUTED_VALUE"""),"")</f>
        <v/>
      </c>
      <c r="S2289" s="106" t="str">
        <f>IFERROR(__xludf.DUMMYFUNCTION("""COMPUTED_VALUE"""),"")</f>
        <v/>
      </c>
      <c r="T2289" s="139" t="str">
        <f>IFERROR(__xludf.DUMMYFUNCTION("""COMPUTED_VALUE"""),"")</f>
        <v/>
      </c>
      <c r="U2289" s="139" t="str">
        <f>IFERROR(__xludf.DUMMYFUNCTION("""COMPUTED_VALUE"""),"")</f>
        <v/>
      </c>
      <c r="V2289" s="136" t="str">
        <f>IFERROR(__xludf.DUMMYFUNCTION("""COMPUTED_VALUE"""),"")</f>
        <v/>
      </c>
      <c r="W2289" s="106" t="str">
        <f>IFERROR(__xludf.DUMMYFUNCTION("""COMPUTED_VALUE"""),"")</f>
        <v/>
      </c>
      <c r="X2289" s="143" t="str">
        <f t="shared" si="2"/>
        <v/>
      </c>
      <c r="Y2289" s="139" t="str">
        <f>IFERROR(__xludf.DUMMYFUNCTION("""COMPUTED_VALUE"""),"")</f>
        <v/>
      </c>
      <c r="Z2289" s="141" t="str">
        <f>IFERROR(__xludf.DUMMYFUNCTION("""COMPUTED_VALUE"""),"")</f>
        <v/>
      </c>
    </row>
    <row r="2290">
      <c r="D2290" s="136" t="str">
        <f t="shared" si="3"/>
        <v/>
      </c>
      <c r="E2290" s="152"/>
      <c r="F2290" s="106" t="s">
        <v>133</v>
      </c>
      <c r="G2290" s="152"/>
      <c r="H2290" s="106" t="s">
        <v>133</v>
      </c>
      <c r="J2290" s="139" t="s">
        <v>133</v>
      </c>
      <c r="K2290" s="136" t="s">
        <v>133</v>
      </c>
      <c r="L2290" s="153"/>
      <c r="M2290" s="136" t="str">
        <f t="shared" si="1"/>
        <v/>
      </c>
      <c r="O2290" s="141" t="s">
        <v>133</v>
      </c>
      <c r="P2290" s="136" t="str">
        <f>IFERROR(__xludf.DUMMYFUNCTION("""COMPUTED_VALUE"""),"")</f>
        <v/>
      </c>
      <c r="Q2290" s="136" t="str">
        <f>IFERROR(__xludf.DUMMYFUNCTION("""COMPUTED_VALUE"""),"")</f>
        <v/>
      </c>
      <c r="R2290" s="106" t="str">
        <f>IFERROR(__xludf.DUMMYFUNCTION("""COMPUTED_VALUE"""),"")</f>
        <v/>
      </c>
      <c r="S2290" s="106" t="str">
        <f>IFERROR(__xludf.DUMMYFUNCTION("""COMPUTED_VALUE"""),"")</f>
        <v/>
      </c>
      <c r="T2290" s="139" t="str">
        <f>IFERROR(__xludf.DUMMYFUNCTION("""COMPUTED_VALUE"""),"")</f>
        <v/>
      </c>
      <c r="U2290" s="139" t="str">
        <f>IFERROR(__xludf.DUMMYFUNCTION("""COMPUTED_VALUE"""),"")</f>
        <v/>
      </c>
      <c r="V2290" s="136" t="str">
        <f>IFERROR(__xludf.DUMMYFUNCTION("""COMPUTED_VALUE"""),"")</f>
        <v/>
      </c>
      <c r="W2290" s="106" t="str">
        <f>IFERROR(__xludf.DUMMYFUNCTION("""COMPUTED_VALUE"""),"")</f>
        <v/>
      </c>
      <c r="X2290" s="143" t="str">
        <f t="shared" si="2"/>
        <v/>
      </c>
      <c r="Y2290" s="139" t="str">
        <f>IFERROR(__xludf.DUMMYFUNCTION("""COMPUTED_VALUE"""),"")</f>
        <v/>
      </c>
      <c r="Z2290" s="141" t="str">
        <f>IFERROR(__xludf.DUMMYFUNCTION("""COMPUTED_VALUE"""),"")</f>
        <v/>
      </c>
    </row>
    <row r="2291">
      <c r="D2291" s="136" t="str">
        <f t="shared" si="3"/>
        <v/>
      </c>
      <c r="E2291" s="152"/>
      <c r="F2291" s="106" t="s">
        <v>133</v>
      </c>
      <c r="G2291" s="152"/>
      <c r="H2291" s="106" t="s">
        <v>133</v>
      </c>
      <c r="J2291" s="139" t="s">
        <v>133</v>
      </c>
      <c r="K2291" s="136" t="s">
        <v>133</v>
      </c>
      <c r="L2291" s="153"/>
      <c r="M2291" s="136" t="str">
        <f t="shared" si="1"/>
        <v/>
      </c>
      <c r="O2291" s="141" t="s">
        <v>133</v>
      </c>
      <c r="P2291" s="136" t="str">
        <f>IFERROR(__xludf.DUMMYFUNCTION("""COMPUTED_VALUE"""),"")</f>
        <v/>
      </c>
      <c r="Q2291" s="136" t="str">
        <f>IFERROR(__xludf.DUMMYFUNCTION("""COMPUTED_VALUE"""),"")</f>
        <v/>
      </c>
      <c r="R2291" s="106" t="str">
        <f>IFERROR(__xludf.DUMMYFUNCTION("""COMPUTED_VALUE"""),"")</f>
        <v/>
      </c>
      <c r="S2291" s="106" t="str">
        <f>IFERROR(__xludf.DUMMYFUNCTION("""COMPUTED_VALUE"""),"")</f>
        <v/>
      </c>
      <c r="T2291" s="139" t="str">
        <f>IFERROR(__xludf.DUMMYFUNCTION("""COMPUTED_VALUE"""),"")</f>
        <v/>
      </c>
      <c r="U2291" s="139" t="str">
        <f>IFERROR(__xludf.DUMMYFUNCTION("""COMPUTED_VALUE"""),"")</f>
        <v/>
      </c>
      <c r="V2291" s="136" t="str">
        <f>IFERROR(__xludf.DUMMYFUNCTION("""COMPUTED_VALUE"""),"")</f>
        <v/>
      </c>
      <c r="W2291" s="106" t="str">
        <f>IFERROR(__xludf.DUMMYFUNCTION("""COMPUTED_VALUE"""),"")</f>
        <v/>
      </c>
      <c r="X2291" s="143" t="str">
        <f t="shared" si="2"/>
        <v/>
      </c>
      <c r="Y2291" s="139" t="str">
        <f>IFERROR(__xludf.DUMMYFUNCTION("""COMPUTED_VALUE"""),"")</f>
        <v/>
      </c>
      <c r="Z2291" s="141" t="str">
        <f>IFERROR(__xludf.DUMMYFUNCTION("""COMPUTED_VALUE"""),"")</f>
        <v/>
      </c>
    </row>
    <row r="2292">
      <c r="D2292" s="136" t="str">
        <f t="shared" si="3"/>
        <v/>
      </c>
      <c r="E2292" s="152"/>
      <c r="F2292" s="106" t="s">
        <v>133</v>
      </c>
      <c r="G2292" s="152"/>
      <c r="H2292" s="106" t="s">
        <v>133</v>
      </c>
      <c r="J2292" s="139" t="s">
        <v>133</v>
      </c>
      <c r="K2292" s="136" t="s">
        <v>133</v>
      </c>
      <c r="L2292" s="153"/>
      <c r="M2292" s="136" t="str">
        <f t="shared" si="1"/>
        <v/>
      </c>
      <c r="O2292" s="141" t="s">
        <v>133</v>
      </c>
      <c r="P2292" s="136" t="str">
        <f>IFERROR(__xludf.DUMMYFUNCTION("""COMPUTED_VALUE"""),"")</f>
        <v/>
      </c>
      <c r="Q2292" s="136" t="str">
        <f>IFERROR(__xludf.DUMMYFUNCTION("""COMPUTED_VALUE"""),"")</f>
        <v/>
      </c>
      <c r="R2292" s="106" t="str">
        <f>IFERROR(__xludf.DUMMYFUNCTION("""COMPUTED_VALUE"""),"")</f>
        <v/>
      </c>
      <c r="S2292" s="106" t="str">
        <f>IFERROR(__xludf.DUMMYFUNCTION("""COMPUTED_VALUE"""),"")</f>
        <v/>
      </c>
      <c r="T2292" s="139" t="str">
        <f>IFERROR(__xludf.DUMMYFUNCTION("""COMPUTED_VALUE"""),"")</f>
        <v/>
      </c>
      <c r="U2292" s="139" t="str">
        <f>IFERROR(__xludf.DUMMYFUNCTION("""COMPUTED_VALUE"""),"")</f>
        <v/>
      </c>
      <c r="V2292" s="136" t="str">
        <f>IFERROR(__xludf.DUMMYFUNCTION("""COMPUTED_VALUE"""),"")</f>
        <v/>
      </c>
      <c r="W2292" s="106" t="str">
        <f>IFERROR(__xludf.DUMMYFUNCTION("""COMPUTED_VALUE"""),"")</f>
        <v/>
      </c>
      <c r="X2292" s="143" t="str">
        <f t="shared" si="2"/>
        <v/>
      </c>
      <c r="Y2292" s="139" t="str">
        <f>IFERROR(__xludf.DUMMYFUNCTION("""COMPUTED_VALUE"""),"")</f>
        <v/>
      </c>
      <c r="Z2292" s="141" t="str">
        <f>IFERROR(__xludf.DUMMYFUNCTION("""COMPUTED_VALUE"""),"")</f>
        <v/>
      </c>
    </row>
    <row r="2293">
      <c r="D2293" s="136" t="str">
        <f t="shared" si="3"/>
        <v/>
      </c>
      <c r="E2293" s="152"/>
      <c r="F2293" s="106" t="s">
        <v>133</v>
      </c>
      <c r="G2293" s="152"/>
      <c r="H2293" s="106" t="s">
        <v>133</v>
      </c>
      <c r="J2293" s="139" t="s">
        <v>133</v>
      </c>
      <c r="K2293" s="136" t="s">
        <v>133</v>
      </c>
      <c r="L2293" s="153"/>
      <c r="M2293" s="136" t="str">
        <f t="shared" si="1"/>
        <v/>
      </c>
      <c r="O2293" s="141" t="s">
        <v>133</v>
      </c>
      <c r="P2293" s="136" t="str">
        <f>IFERROR(__xludf.DUMMYFUNCTION("""COMPUTED_VALUE"""),"")</f>
        <v/>
      </c>
      <c r="Q2293" s="136" t="str">
        <f>IFERROR(__xludf.DUMMYFUNCTION("""COMPUTED_VALUE"""),"")</f>
        <v/>
      </c>
      <c r="R2293" s="106" t="str">
        <f>IFERROR(__xludf.DUMMYFUNCTION("""COMPUTED_VALUE"""),"")</f>
        <v/>
      </c>
      <c r="S2293" s="106" t="str">
        <f>IFERROR(__xludf.DUMMYFUNCTION("""COMPUTED_VALUE"""),"")</f>
        <v/>
      </c>
      <c r="T2293" s="139" t="str">
        <f>IFERROR(__xludf.DUMMYFUNCTION("""COMPUTED_VALUE"""),"")</f>
        <v/>
      </c>
      <c r="U2293" s="139" t="str">
        <f>IFERROR(__xludf.DUMMYFUNCTION("""COMPUTED_VALUE"""),"")</f>
        <v/>
      </c>
      <c r="V2293" s="136" t="str">
        <f>IFERROR(__xludf.DUMMYFUNCTION("""COMPUTED_VALUE"""),"")</f>
        <v/>
      </c>
      <c r="W2293" s="106" t="str">
        <f>IFERROR(__xludf.DUMMYFUNCTION("""COMPUTED_VALUE"""),"")</f>
        <v/>
      </c>
      <c r="X2293" s="143" t="str">
        <f t="shared" si="2"/>
        <v/>
      </c>
      <c r="Y2293" s="139" t="str">
        <f>IFERROR(__xludf.DUMMYFUNCTION("""COMPUTED_VALUE"""),"")</f>
        <v/>
      </c>
      <c r="Z2293" s="141" t="str">
        <f>IFERROR(__xludf.DUMMYFUNCTION("""COMPUTED_VALUE"""),"")</f>
        <v/>
      </c>
    </row>
    <row r="2294">
      <c r="D2294" s="136" t="str">
        <f t="shared" si="3"/>
        <v/>
      </c>
      <c r="E2294" s="152"/>
      <c r="F2294" s="106" t="s">
        <v>133</v>
      </c>
      <c r="G2294" s="152"/>
      <c r="H2294" s="106" t="s">
        <v>133</v>
      </c>
      <c r="J2294" s="139" t="s">
        <v>133</v>
      </c>
      <c r="K2294" s="136" t="s">
        <v>133</v>
      </c>
      <c r="L2294" s="153"/>
      <c r="M2294" s="136" t="str">
        <f t="shared" si="1"/>
        <v/>
      </c>
      <c r="O2294" s="141" t="s">
        <v>133</v>
      </c>
      <c r="P2294" s="136" t="str">
        <f>IFERROR(__xludf.DUMMYFUNCTION("""COMPUTED_VALUE"""),"")</f>
        <v/>
      </c>
      <c r="Q2294" s="136" t="str">
        <f>IFERROR(__xludf.DUMMYFUNCTION("""COMPUTED_VALUE"""),"")</f>
        <v/>
      </c>
      <c r="R2294" s="106" t="str">
        <f>IFERROR(__xludf.DUMMYFUNCTION("""COMPUTED_VALUE"""),"")</f>
        <v/>
      </c>
      <c r="S2294" s="106" t="str">
        <f>IFERROR(__xludf.DUMMYFUNCTION("""COMPUTED_VALUE"""),"")</f>
        <v/>
      </c>
      <c r="T2294" s="139" t="str">
        <f>IFERROR(__xludf.DUMMYFUNCTION("""COMPUTED_VALUE"""),"")</f>
        <v/>
      </c>
      <c r="U2294" s="139" t="str">
        <f>IFERROR(__xludf.DUMMYFUNCTION("""COMPUTED_VALUE"""),"")</f>
        <v/>
      </c>
      <c r="V2294" s="136" t="str">
        <f>IFERROR(__xludf.DUMMYFUNCTION("""COMPUTED_VALUE"""),"")</f>
        <v/>
      </c>
      <c r="W2294" s="106" t="str">
        <f>IFERROR(__xludf.DUMMYFUNCTION("""COMPUTED_VALUE"""),"")</f>
        <v/>
      </c>
      <c r="X2294" s="143" t="str">
        <f t="shared" si="2"/>
        <v/>
      </c>
      <c r="Y2294" s="139" t="str">
        <f>IFERROR(__xludf.DUMMYFUNCTION("""COMPUTED_VALUE"""),"")</f>
        <v/>
      </c>
      <c r="Z2294" s="141" t="str">
        <f>IFERROR(__xludf.DUMMYFUNCTION("""COMPUTED_VALUE"""),"")</f>
        <v/>
      </c>
    </row>
    <row r="2295">
      <c r="D2295" s="136" t="str">
        <f t="shared" si="3"/>
        <v/>
      </c>
      <c r="E2295" s="152"/>
      <c r="F2295" s="106" t="s">
        <v>133</v>
      </c>
      <c r="G2295" s="152"/>
      <c r="H2295" s="106" t="s">
        <v>133</v>
      </c>
      <c r="J2295" s="139" t="s">
        <v>133</v>
      </c>
      <c r="K2295" s="136" t="s">
        <v>133</v>
      </c>
      <c r="L2295" s="153"/>
      <c r="M2295" s="136" t="str">
        <f t="shared" si="1"/>
        <v/>
      </c>
      <c r="O2295" s="141" t="s">
        <v>133</v>
      </c>
      <c r="P2295" s="136" t="str">
        <f>IFERROR(__xludf.DUMMYFUNCTION("""COMPUTED_VALUE"""),"")</f>
        <v/>
      </c>
      <c r="Q2295" s="136" t="str">
        <f>IFERROR(__xludf.DUMMYFUNCTION("""COMPUTED_VALUE"""),"")</f>
        <v/>
      </c>
      <c r="R2295" s="106" t="str">
        <f>IFERROR(__xludf.DUMMYFUNCTION("""COMPUTED_VALUE"""),"")</f>
        <v/>
      </c>
      <c r="S2295" s="106" t="str">
        <f>IFERROR(__xludf.DUMMYFUNCTION("""COMPUTED_VALUE"""),"")</f>
        <v/>
      </c>
      <c r="T2295" s="139" t="str">
        <f>IFERROR(__xludf.DUMMYFUNCTION("""COMPUTED_VALUE"""),"")</f>
        <v/>
      </c>
      <c r="U2295" s="139" t="str">
        <f>IFERROR(__xludf.DUMMYFUNCTION("""COMPUTED_VALUE"""),"")</f>
        <v/>
      </c>
      <c r="V2295" s="136" t="str">
        <f>IFERROR(__xludf.DUMMYFUNCTION("""COMPUTED_VALUE"""),"")</f>
        <v/>
      </c>
      <c r="W2295" s="106" t="str">
        <f>IFERROR(__xludf.DUMMYFUNCTION("""COMPUTED_VALUE"""),"")</f>
        <v/>
      </c>
      <c r="X2295" s="143" t="str">
        <f t="shared" si="2"/>
        <v/>
      </c>
      <c r="Y2295" s="139" t="str">
        <f>IFERROR(__xludf.DUMMYFUNCTION("""COMPUTED_VALUE"""),"")</f>
        <v/>
      </c>
      <c r="Z2295" s="141" t="str">
        <f>IFERROR(__xludf.DUMMYFUNCTION("""COMPUTED_VALUE"""),"")</f>
        <v/>
      </c>
    </row>
    <row r="2296">
      <c r="D2296" s="136" t="str">
        <f t="shared" si="3"/>
        <v/>
      </c>
      <c r="E2296" s="152"/>
      <c r="F2296" s="106" t="s">
        <v>133</v>
      </c>
      <c r="G2296" s="152"/>
      <c r="H2296" s="106" t="s">
        <v>133</v>
      </c>
      <c r="J2296" s="139" t="s">
        <v>133</v>
      </c>
      <c r="K2296" s="136" t="s">
        <v>133</v>
      </c>
      <c r="L2296" s="153"/>
      <c r="M2296" s="136" t="str">
        <f t="shared" si="1"/>
        <v/>
      </c>
      <c r="O2296" s="141" t="s">
        <v>133</v>
      </c>
      <c r="P2296" s="136" t="str">
        <f>IFERROR(__xludf.DUMMYFUNCTION("""COMPUTED_VALUE"""),"")</f>
        <v/>
      </c>
      <c r="Q2296" s="136" t="str">
        <f>IFERROR(__xludf.DUMMYFUNCTION("""COMPUTED_VALUE"""),"")</f>
        <v/>
      </c>
      <c r="R2296" s="106" t="str">
        <f>IFERROR(__xludf.DUMMYFUNCTION("""COMPUTED_VALUE"""),"")</f>
        <v/>
      </c>
      <c r="S2296" s="106" t="str">
        <f>IFERROR(__xludf.DUMMYFUNCTION("""COMPUTED_VALUE"""),"")</f>
        <v/>
      </c>
      <c r="T2296" s="139" t="str">
        <f>IFERROR(__xludf.DUMMYFUNCTION("""COMPUTED_VALUE"""),"")</f>
        <v/>
      </c>
      <c r="U2296" s="139" t="str">
        <f>IFERROR(__xludf.DUMMYFUNCTION("""COMPUTED_VALUE"""),"")</f>
        <v/>
      </c>
      <c r="V2296" s="136" t="str">
        <f>IFERROR(__xludf.DUMMYFUNCTION("""COMPUTED_VALUE"""),"")</f>
        <v/>
      </c>
      <c r="W2296" s="106" t="str">
        <f>IFERROR(__xludf.DUMMYFUNCTION("""COMPUTED_VALUE"""),"")</f>
        <v/>
      </c>
      <c r="X2296" s="143" t="str">
        <f t="shared" si="2"/>
        <v/>
      </c>
      <c r="Y2296" s="139" t="str">
        <f>IFERROR(__xludf.DUMMYFUNCTION("""COMPUTED_VALUE"""),"")</f>
        <v/>
      </c>
      <c r="Z2296" s="141" t="str">
        <f>IFERROR(__xludf.DUMMYFUNCTION("""COMPUTED_VALUE"""),"")</f>
        <v/>
      </c>
    </row>
    <row r="2297">
      <c r="D2297" s="136" t="str">
        <f t="shared" si="3"/>
        <v/>
      </c>
      <c r="E2297" s="152"/>
      <c r="F2297" s="106" t="s">
        <v>133</v>
      </c>
      <c r="G2297" s="152"/>
      <c r="H2297" s="106" t="s">
        <v>133</v>
      </c>
      <c r="J2297" s="139" t="s">
        <v>133</v>
      </c>
      <c r="K2297" s="136" t="s">
        <v>133</v>
      </c>
      <c r="L2297" s="153"/>
      <c r="M2297" s="136" t="str">
        <f t="shared" si="1"/>
        <v/>
      </c>
      <c r="O2297" s="141" t="s">
        <v>133</v>
      </c>
      <c r="P2297" s="136" t="str">
        <f>IFERROR(__xludf.DUMMYFUNCTION("""COMPUTED_VALUE"""),"")</f>
        <v/>
      </c>
      <c r="Q2297" s="136" t="str">
        <f>IFERROR(__xludf.DUMMYFUNCTION("""COMPUTED_VALUE"""),"")</f>
        <v/>
      </c>
      <c r="R2297" s="106" t="str">
        <f>IFERROR(__xludf.DUMMYFUNCTION("""COMPUTED_VALUE"""),"")</f>
        <v/>
      </c>
      <c r="S2297" s="106" t="str">
        <f>IFERROR(__xludf.DUMMYFUNCTION("""COMPUTED_VALUE"""),"")</f>
        <v/>
      </c>
      <c r="T2297" s="139" t="str">
        <f>IFERROR(__xludf.DUMMYFUNCTION("""COMPUTED_VALUE"""),"")</f>
        <v/>
      </c>
      <c r="U2297" s="139" t="str">
        <f>IFERROR(__xludf.DUMMYFUNCTION("""COMPUTED_VALUE"""),"")</f>
        <v/>
      </c>
      <c r="V2297" s="136" t="str">
        <f>IFERROR(__xludf.DUMMYFUNCTION("""COMPUTED_VALUE"""),"")</f>
        <v/>
      </c>
      <c r="W2297" s="106" t="str">
        <f>IFERROR(__xludf.DUMMYFUNCTION("""COMPUTED_VALUE"""),"")</f>
        <v/>
      </c>
      <c r="X2297" s="143" t="str">
        <f t="shared" si="2"/>
        <v/>
      </c>
      <c r="Y2297" s="139" t="str">
        <f>IFERROR(__xludf.DUMMYFUNCTION("""COMPUTED_VALUE"""),"")</f>
        <v/>
      </c>
      <c r="Z2297" s="141" t="str">
        <f>IFERROR(__xludf.DUMMYFUNCTION("""COMPUTED_VALUE"""),"")</f>
        <v/>
      </c>
    </row>
    <row r="2298">
      <c r="D2298" s="136" t="str">
        <f t="shared" si="3"/>
        <v/>
      </c>
      <c r="E2298" s="152"/>
      <c r="F2298" s="106" t="s">
        <v>133</v>
      </c>
      <c r="G2298" s="152"/>
      <c r="H2298" s="106" t="s">
        <v>133</v>
      </c>
      <c r="J2298" s="139" t="s">
        <v>133</v>
      </c>
      <c r="K2298" s="136" t="s">
        <v>133</v>
      </c>
      <c r="L2298" s="153"/>
      <c r="M2298" s="136" t="str">
        <f t="shared" si="1"/>
        <v/>
      </c>
      <c r="O2298" s="141" t="s">
        <v>133</v>
      </c>
      <c r="P2298" s="136" t="str">
        <f>IFERROR(__xludf.DUMMYFUNCTION("""COMPUTED_VALUE"""),"")</f>
        <v/>
      </c>
      <c r="Q2298" s="136" t="str">
        <f>IFERROR(__xludf.DUMMYFUNCTION("""COMPUTED_VALUE"""),"")</f>
        <v/>
      </c>
      <c r="R2298" s="106" t="str">
        <f>IFERROR(__xludf.DUMMYFUNCTION("""COMPUTED_VALUE"""),"")</f>
        <v/>
      </c>
      <c r="S2298" s="106" t="str">
        <f>IFERROR(__xludf.DUMMYFUNCTION("""COMPUTED_VALUE"""),"")</f>
        <v/>
      </c>
      <c r="T2298" s="139" t="str">
        <f>IFERROR(__xludf.DUMMYFUNCTION("""COMPUTED_VALUE"""),"")</f>
        <v/>
      </c>
      <c r="U2298" s="139" t="str">
        <f>IFERROR(__xludf.DUMMYFUNCTION("""COMPUTED_VALUE"""),"")</f>
        <v/>
      </c>
      <c r="V2298" s="136" t="str">
        <f>IFERROR(__xludf.DUMMYFUNCTION("""COMPUTED_VALUE"""),"")</f>
        <v/>
      </c>
      <c r="W2298" s="106" t="str">
        <f>IFERROR(__xludf.DUMMYFUNCTION("""COMPUTED_VALUE"""),"")</f>
        <v/>
      </c>
      <c r="X2298" s="143" t="str">
        <f t="shared" si="2"/>
        <v/>
      </c>
      <c r="Y2298" s="139" t="str">
        <f>IFERROR(__xludf.DUMMYFUNCTION("""COMPUTED_VALUE"""),"")</f>
        <v/>
      </c>
      <c r="Z2298" s="141" t="str">
        <f>IFERROR(__xludf.DUMMYFUNCTION("""COMPUTED_VALUE"""),"")</f>
        <v/>
      </c>
    </row>
    <row r="2299">
      <c r="D2299" s="136" t="str">
        <f t="shared" si="3"/>
        <v/>
      </c>
      <c r="E2299" s="152"/>
      <c r="F2299" s="106" t="s">
        <v>133</v>
      </c>
      <c r="G2299" s="152"/>
      <c r="H2299" s="106" t="s">
        <v>133</v>
      </c>
      <c r="J2299" s="139" t="s">
        <v>133</v>
      </c>
      <c r="K2299" s="136" t="s">
        <v>133</v>
      </c>
      <c r="L2299" s="153"/>
      <c r="M2299" s="136" t="str">
        <f t="shared" si="1"/>
        <v/>
      </c>
      <c r="O2299" s="141" t="s">
        <v>133</v>
      </c>
      <c r="P2299" s="136" t="str">
        <f>IFERROR(__xludf.DUMMYFUNCTION("""COMPUTED_VALUE"""),"")</f>
        <v/>
      </c>
      <c r="Q2299" s="136" t="str">
        <f>IFERROR(__xludf.DUMMYFUNCTION("""COMPUTED_VALUE"""),"")</f>
        <v/>
      </c>
      <c r="R2299" s="106" t="str">
        <f>IFERROR(__xludf.DUMMYFUNCTION("""COMPUTED_VALUE"""),"")</f>
        <v/>
      </c>
      <c r="S2299" s="106" t="str">
        <f>IFERROR(__xludf.DUMMYFUNCTION("""COMPUTED_VALUE"""),"")</f>
        <v/>
      </c>
      <c r="T2299" s="139" t="str">
        <f>IFERROR(__xludf.DUMMYFUNCTION("""COMPUTED_VALUE"""),"")</f>
        <v/>
      </c>
      <c r="U2299" s="139" t="str">
        <f>IFERROR(__xludf.DUMMYFUNCTION("""COMPUTED_VALUE"""),"")</f>
        <v/>
      </c>
      <c r="V2299" s="136" t="str">
        <f>IFERROR(__xludf.DUMMYFUNCTION("""COMPUTED_VALUE"""),"")</f>
        <v/>
      </c>
      <c r="W2299" s="106" t="str">
        <f>IFERROR(__xludf.DUMMYFUNCTION("""COMPUTED_VALUE"""),"")</f>
        <v/>
      </c>
      <c r="X2299" s="143" t="str">
        <f t="shared" si="2"/>
        <v/>
      </c>
      <c r="Y2299" s="139" t="str">
        <f>IFERROR(__xludf.DUMMYFUNCTION("""COMPUTED_VALUE"""),"")</f>
        <v/>
      </c>
      <c r="Z2299" s="141" t="str">
        <f>IFERROR(__xludf.DUMMYFUNCTION("""COMPUTED_VALUE"""),"")</f>
        <v/>
      </c>
    </row>
    <row r="2300">
      <c r="D2300" s="136" t="str">
        <f t="shared" si="3"/>
        <v/>
      </c>
      <c r="E2300" s="152"/>
      <c r="F2300" s="106" t="s">
        <v>133</v>
      </c>
      <c r="G2300" s="152"/>
      <c r="H2300" s="106" t="s">
        <v>133</v>
      </c>
      <c r="J2300" s="139" t="s">
        <v>133</v>
      </c>
      <c r="K2300" s="136" t="s">
        <v>133</v>
      </c>
      <c r="L2300" s="153"/>
      <c r="M2300" s="136" t="str">
        <f t="shared" si="1"/>
        <v/>
      </c>
      <c r="O2300" s="141" t="s">
        <v>133</v>
      </c>
      <c r="P2300" s="136" t="str">
        <f>IFERROR(__xludf.DUMMYFUNCTION("""COMPUTED_VALUE"""),"")</f>
        <v/>
      </c>
      <c r="Q2300" s="136" t="str">
        <f>IFERROR(__xludf.DUMMYFUNCTION("""COMPUTED_VALUE"""),"")</f>
        <v/>
      </c>
      <c r="R2300" s="106" t="str">
        <f>IFERROR(__xludf.DUMMYFUNCTION("""COMPUTED_VALUE"""),"")</f>
        <v/>
      </c>
      <c r="S2300" s="106" t="str">
        <f>IFERROR(__xludf.DUMMYFUNCTION("""COMPUTED_VALUE"""),"")</f>
        <v/>
      </c>
      <c r="T2300" s="139" t="str">
        <f>IFERROR(__xludf.DUMMYFUNCTION("""COMPUTED_VALUE"""),"")</f>
        <v/>
      </c>
      <c r="U2300" s="139" t="str">
        <f>IFERROR(__xludf.DUMMYFUNCTION("""COMPUTED_VALUE"""),"")</f>
        <v/>
      </c>
      <c r="V2300" s="136" t="str">
        <f>IFERROR(__xludf.DUMMYFUNCTION("""COMPUTED_VALUE"""),"")</f>
        <v/>
      </c>
      <c r="W2300" s="106" t="str">
        <f>IFERROR(__xludf.DUMMYFUNCTION("""COMPUTED_VALUE"""),"")</f>
        <v/>
      </c>
      <c r="X2300" s="143" t="str">
        <f t="shared" si="2"/>
        <v/>
      </c>
      <c r="Y2300" s="139" t="str">
        <f>IFERROR(__xludf.DUMMYFUNCTION("""COMPUTED_VALUE"""),"")</f>
        <v/>
      </c>
      <c r="Z2300" s="141" t="str">
        <f>IFERROR(__xludf.DUMMYFUNCTION("""COMPUTED_VALUE"""),"")</f>
        <v/>
      </c>
    </row>
    <row r="2301">
      <c r="D2301" s="136" t="str">
        <f t="shared" si="3"/>
        <v/>
      </c>
      <c r="E2301" s="152"/>
      <c r="F2301" s="106" t="s">
        <v>133</v>
      </c>
      <c r="G2301" s="152"/>
      <c r="H2301" s="106" t="s">
        <v>133</v>
      </c>
      <c r="J2301" s="139" t="s">
        <v>133</v>
      </c>
      <c r="K2301" s="136" t="s">
        <v>133</v>
      </c>
      <c r="L2301" s="153"/>
      <c r="M2301" s="136" t="str">
        <f t="shared" si="1"/>
        <v/>
      </c>
      <c r="O2301" s="141" t="s">
        <v>133</v>
      </c>
      <c r="P2301" s="136" t="str">
        <f>IFERROR(__xludf.DUMMYFUNCTION("""COMPUTED_VALUE"""),"")</f>
        <v/>
      </c>
      <c r="Q2301" s="136" t="str">
        <f>IFERROR(__xludf.DUMMYFUNCTION("""COMPUTED_VALUE"""),"")</f>
        <v/>
      </c>
      <c r="R2301" s="106" t="str">
        <f>IFERROR(__xludf.DUMMYFUNCTION("""COMPUTED_VALUE"""),"")</f>
        <v/>
      </c>
      <c r="S2301" s="106" t="str">
        <f>IFERROR(__xludf.DUMMYFUNCTION("""COMPUTED_VALUE"""),"")</f>
        <v/>
      </c>
      <c r="T2301" s="139" t="str">
        <f>IFERROR(__xludf.DUMMYFUNCTION("""COMPUTED_VALUE"""),"")</f>
        <v/>
      </c>
      <c r="U2301" s="139" t="str">
        <f>IFERROR(__xludf.DUMMYFUNCTION("""COMPUTED_VALUE"""),"")</f>
        <v/>
      </c>
      <c r="V2301" s="136" t="str">
        <f>IFERROR(__xludf.DUMMYFUNCTION("""COMPUTED_VALUE"""),"")</f>
        <v/>
      </c>
      <c r="W2301" s="106" t="str">
        <f>IFERROR(__xludf.DUMMYFUNCTION("""COMPUTED_VALUE"""),"")</f>
        <v/>
      </c>
      <c r="X2301" s="143" t="str">
        <f t="shared" si="2"/>
        <v/>
      </c>
      <c r="Y2301" s="139" t="str">
        <f>IFERROR(__xludf.DUMMYFUNCTION("""COMPUTED_VALUE"""),"")</f>
        <v/>
      </c>
      <c r="Z2301" s="141" t="str">
        <f>IFERROR(__xludf.DUMMYFUNCTION("""COMPUTED_VALUE"""),"")</f>
        <v/>
      </c>
    </row>
    <row r="2302">
      <c r="D2302" s="136" t="str">
        <f t="shared" si="3"/>
        <v/>
      </c>
      <c r="E2302" s="152"/>
      <c r="F2302" s="106" t="s">
        <v>133</v>
      </c>
      <c r="G2302" s="152"/>
      <c r="H2302" s="106" t="s">
        <v>133</v>
      </c>
      <c r="J2302" s="139" t="s">
        <v>133</v>
      </c>
      <c r="K2302" s="136" t="s">
        <v>133</v>
      </c>
      <c r="L2302" s="153"/>
      <c r="M2302" s="136" t="str">
        <f t="shared" si="1"/>
        <v/>
      </c>
      <c r="O2302" s="141" t="s">
        <v>133</v>
      </c>
      <c r="P2302" s="136" t="str">
        <f>IFERROR(__xludf.DUMMYFUNCTION("""COMPUTED_VALUE"""),"")</f>
        <v/>
      </c>
      <c r="Q2302" s="136" t="str">
        <f>IFERROR(__xludf.DUMMYFUNCTION("""COMPUTED_VALUE"""),"")</f>
        <v/>
      </c>
      <c r="R2302" s="106" t="str">
        <f>IFERROR(__xludf.DUMMYFUNCTION("""COMPUTED_VALUE"""),"")</f>
        <v/>
      </c>
      <c r="S2302" s="106" t="str">
        <f>IFERROR(__xludf.DUMMYFUNCTION("""COMPUTED_VALUE"""),"")</f>
        <v/>
      </c>
      <c r="T2302" s="139" t="str">
        <f>IFERROR(__xludf.DUMMYFUNCTION("""COMPUTED_VALUE"""),"")</f>
        <v/>
      </c>
      <c r="U2302" s="139" t="str">
        <f>IFERROR(__xludf.DUMMYFUNCTION("""COMPUTED_VALUE"""),"")</f>
        <v/>
      </c>
      <c r="V2302" s="136" t="str">
        <f>IFERROR(__xludf.DUMMYFUNCTION("""COMPUTED_VALUE"""),"")</f>
        <v/>
      </c>
      <c r="W2302" s="106" t="str">
        <f>IFERROR(__xludf.DUMMYFUNCTION("""COMPUTED_VALUE"""),"")</f>
        <v/>
      </c>
      <c r="X2302" s="143" t="str">
        <f t="shared" si="2"/>
        <v/>
      </c>
      <c r="Y2302" s="139" t="str">
        <f>IFERROR(__xludf.DUMMYFUNCTION("""COMPUTED_VALUE"""),"")</f>
        <v/>
      </c>
      <c r="Z2302" s="141" t="str">
        <f>IFERROR(__xludf.DUMMYFUNCTION("""COMPUTED_VALUE"""),"")</f>
        <v/>
      </c>
    </row>
    <row r="2303">
      <c r="D2303" s="136" t="str">
        <f t="shared" si="3"/>
        <v/>
      </c>
      <c r="E2303" s="152"/>
      <c r="F2303" s="106" t="s">
        <v>133</v>
      </c>
      <c r="G2303" s="152"/>
      <c r="H2303" s="106" t="s">
        <v>133</v>
      </c>
      <c r="J2303" s="139" t="s">
        <v>133</v>
      </c>
      <c r="K2303" s="136" t="s">
        <v>133</v>
      </c>
      <c r="L2303" s="153"/>
      <c r="M2303" s="136" t="str">
        <f t="shared" si="1"/>
        <v/>
      </c>
      <c r="O2303" s="141" t="s">
        <v>133</v>
      </c>
      <c r="P2303" s="136" t="str">
        <f>IFERROR(__xludf.DUMMYFUNCTION("""COMPUTED_VALUE"""),"")</f>
        <v/>
      </c>
      <c r="Q2303" s="136" t="str">
        <f>IFERROR(__xludf.DUMMYFUNCTION("""COMPUTED_VALUE"""),"")</f>
        <v/>
      </c>
      <c r="R2303" s="106" t="str">
        <f>IFERROR(__xludf.DUMMYFUNCTION("""COMPUTED_VALUE"""),"")</f>
        <v/>
      </c>
      <c r="S2303" s="106" t="str">
        <f>IFERROR(__xludf.DUMMYFUNCTION("""COMPUTED_VALUE"""),"")</f>
        <v/>
      </c>
      <c r="T2303" s="139" t="str">
        <f>IFERROR(__xludf.DUMMYFUNCTION("""COMPUTED_VALUE"""),"")</f>
        <v/>
      </c>
      <c r="U2303" s="139" t="str">
        <f>IFERROR(__xludf.DUMMYFUNCTION("""COMPUTED_VALUE"""),"")</f>
        <v/>
      </c>
      <c r="V2303" s="136" t="str">
        <f>IFERROR(__xludf.DUMMYFUNCTION("""COMPUTED_VALUE"""),"")</f>
        <v/>
      </c>
      <c r="W2303" s="106" t="str">
        <f>IFERROR(__xludf.DUMMYFUNCTION("""COMPUTED_VALUE"""),"")</f>
        <v/>
      </c>
      <c r="X2303" s="143" t="str">
        <f t="shared" si="2"/>
        <v/>
      </c>
      <c r="Y2303" s="139" t="str">
        <f>IFERROR(__xludf.DUMMYFUNCTION("""COMPUTED_VALUE"""),"")</f>
        <v/>
      </c>
      <c r="Z2303" s="141" t="str">
        <f>IFERROR(__xludf.DUMMYFUNCTION("""COMPUTED_VALUE"""),"")</f>
        <v/>
      </c>
    </row>
    <row r="2304">
      <c r="D2304" s="136" t="str">
        <f t="shared" si="3"/>
        <v/>
      </c>
      <c r="E2304" s="152"/>
      <c r="F2304" s="106" t="s">
        <v>133</v>
      </c>
      <c r="G2304" s="152"/>
      <c r="H2304" s="106" t="s">
        <v>133</v>
      </c>
      <c r="J2304" s="139" t="s">
        <v>133</v>
      </c>
      <c r="K2304" s="136" t="s">
        <v>133</v>
      </c>
      <c r="L2304" s="153"/>
      <c r="M2304" s="136" t="str">
        <f t="shared" si="1"/>
        <v/>
      </c>
      <c r="O2304" s="141" t="s">
        <v>133</v>
      </c>
      <c r="P2304" s="136" t="str">
        <f>IFERROR(__xludf.DUMMYFUNCTION("""COMPUTED_VALUE"""),"")</f>
        <v/>
      </c>
      <c r="Q2304" s="136" t="str">
        <f>IFERROR(__xludf.DUMMYFUNCTION("""COMPUTED_VALUE"""),"")</f>
        <v/>
      </c>
      <c r="R2304" s="106" t="str">
        <f>IFERROR(__xludf.DUMMYFUNCTION("""COMPUTED_VALUE"""),"")</f>
        <v/>
      </c>
      <c r="S2304" s="106" t="str">
        <f>IFERROR(__xludf.DUMMYFUNCTION("""COMPUTED_VALUE"""),"")</f>
        <v/>
      </c>
      <c r="T2304" s="139" t="str">
        <f>IFERROR(__xludf.DUMMYFUNCTION("""COMPUTED_VALUE"""),"")</f>
        <v/>
      </c>
      <c r="U2304" s="139" t="str">
        <f>IFERROR(__xludf.DUMMYFUNCTION("""COMPUTED_VALUE"""),"")</f>
        <v/>
      </c>
      <c r="V2304" s="136" t="str">
        <f>IFERROR(__xludf.DUMMYFUNCTION("""COMPUTED_VALUE"""),"")</f>
        <v/>
      </c>
      <c r="W2304" s="106" t="str">
        <f>IFERROR(__xludf.DUMMYFUNCTION("""COMPUTED_VALUE"""),"")</f>
        <v/>
      </c>
      <c r="X2304" s="143" t="str">
        <f t="shared" si="2"/>
        <v/>
      </c>
      <c r="Y2304" s="139" t="str">
        <f>IFERROR(__xludf.DUMMYFUNCTION("""COMPUTED_VALUE"""),"")</f>
        <v/>
      </c>
      <c r="Z2304" s="141" t="str">
        <f>IFERROR(__xludf.DUMMYFUNCTION("""COMPUTED_VALUE"""),"")</f>
        <v/>
      </c>
    </row>
    <row r="2305">
      <c r="D2305" s="136" t="str">
        <f t="shared" si="3"/>
        <v/>
      </c>
      <c r="E2305" s="152"/>
      <c r="F2305" s="106" t="s">
        <v>133</v>
      </c>
      <c r="G2305" s="152"/>
      <c r="H2305" s="106" t="s">
        <v>133</v>
      </c>
      <c r="J2305" s="139" t="s">
        <v>133</v>
      </c>
      <c r="K2305" s="136" t="s">
        <v>133</v>
      </c>
      <c r="L2305" s="153"/>
      <c r="M2305" s="136" t="str">
        <f t="shared" si="1"/>
        <v/>
      </c>
      <c r="O2305" s="141" t="s">
        <v>133</v>
      </c>
      <c r="P2305" s="136" t="str">
        <f>IFERROR(__xludf.DUMMYFUNCTION("""COMPUTED_VALUE"""),"")</f>
        <v/>
      </c>
      <c r="Q2305" s="136" t="str">
        <f>IFERROR(__xludf.DUMMYFUNCTION("""COMPUTED_VALUE"""),"")</f>
        <v/>
      </c>
      <c r="R2305" s="106" t="str">
        <f>IFERROR(__xludf.DUMMYFUNCTION("""COMPUTED_VALUE"""),"")</f>
        <v/>
      </c>
      <c r="S2305" s="106" t="str">
        <f>IFERROR(__xludf.DUMMYFUNCTION("""COMPUTED_VALUE"""),"")</f>
        <v/>
      </c>
      <c r="T2305" s="139" t="str">
        <f>IFERROR(__xludf.DUMMYFUNCTION("""COMPUTED_VALUE"""),"")</f>
        <v/>
      </c>
      <c r="U2305" s="139" t="str">
        <f>IFERROR(__xludf.DUMMYFUNCTION("""COMPUTED_VALUE"""),"")</f>
        <v/>
      </c>
      <c r="V2305" s="136" t="str">
        <f>IFERROR(__xludf.DUMMYFUNCTION("""COMPUTED_VALUE"""),"")</f>
        <v/>
      </c>
      <c r="W2305" s="106" t="str">
        <f>IFERROR(__xludf.DUMMYFUNCTION("""COMPUTED_VALUE"""),"")</f>
        <v/>
      </c>
      <c r="X2305" s="143" t="str">
        <f t="shared" si="2"/>
        <v/>
      </c>
      <c r="Y2305" s="139" t="str">
        <f>IFERROR(__xludf.DUMMYFUNCTION("""COMPUTED_VALUE"""),"")</f>
        <v/>
      </c>
      <c r="Z2305" s="141" t="str">
        <f>IFERROR(__xludf.DUMMYFUNCTION("""COMPUTED_VALUE"""),"")</f>
        <v/>
      </c>
    </row>
    <row r="2306">
      <c r="D2306" s="136" t="str">
        <f t="shared" si="3"/>
        <v/>
      </c>
      <c r="E2306" s="152"/>
      <c r="F2306" s="106" t="s">
        <v>133</v>
      </c>
      <c r="G2306" s="152"/>
      <c r="H2306" s="106" t="s">
        <v>133</v>
      </c>
      <c r="J2306" s="139" t="s">
        <v>133</v>
      </c>
      <c r="K2306" s="136" t="s">
        <v>133</v>
      </c>
      <c r="L2306" s="153"/>
      <c r="M2306" s="136" t="str">
        <f t="shared" si="1"/>
        <v/>
      </c>
      <c r="O2306" s="141" t="s">
        <v>133</v>
      </c>
      <c r="P2306" s="136" t="str">
        <f>IFERROR(__xludf.DUMMYFUNCTION("""COMPUTED_VALUE"""),"")</f>
        <v/>
      </c>
      <c r="Q2306" s="136" t="str">
        <f>IFERROR(__xludf.DUMMYFUNCTION("""COMPUTED_VALUE"""),"")</f>
        <v/>
      </c>
      <c r="R2306" s="106" t="str">
        <f>IFERROR(__xludf.DUMMYFUNCTION("""COMPUTED_VALUE"""),"")</f>
        <v/>
      </c>
      <c r="S2306" s="106" t="str">
        <f>IFERROR(__xludf.DUMMYFUNCTION("""COMPUTED_VALUE"""),"")</f>
        <v/>
      </c>
      <c r="T2306" s="139" t="str">
        <f>IFERROR(__xludf.DUMMYFUNCTION("""COMPUTED_VALUE"""),"")</f>
        <v/>
      </c>
      <c r="U2306" s="139" t="str">
        <f>IFERROR(__xludf.DUMMYFUNCTION("""COMPUTED_VALUE"""),"")</f>
        <v/>
      </c>
      <c r="V2306" s="136" t="str">
        <f>IFERROR(__xludf.DUMMYFUNCTION("""COMPUTED_VALUE"""),"")</f>
        <v/>
      </c>
      <c r="W2306" s="106" t="str">
        <f>IFERROR(__xludf.DUMMYFUNCTION("""COMPUTED_VALUE"""),"")</f>
        <v/>
      </c>
      <c r="X2306" s="143" t="str">
        <f t="shared" si="2"/>
        <v/>
      </c>
      <c r="Y2306" s="139" t="str">
        <f>IFERROR(__xludf.DUMMYFUNCTION("""COMPUTED_VALUE"""),"")</f>
        <v/>
      </c>
      <c r="Z2306" s="141" t="str">
        <f>IFERROR(__xludf.DUMMYFUNCTION("""COMPUTED_VALUE"""),"")</f>
        <v/>
      </c>
    </row>
    <row r="2307">
      <c r="D2307" s="136" t="str">
        <f t="shared" si="3"/>
        <v/>
      </c>
      <c r="E2307" s="152"/>
      <c r="F2307" s="106" t="s">
        <v>133</v>
      </c>
      <c r="G2307" s="152"/>
      <c r="H2307" s="106" t="s">
        <v>133</v>
      </c>
      <c r="J2307" s="139" t="s">
        <v>133</v>
      </c>
      <c r="K2307" s="136" t="s">
        <v>133</v>
      </c>
      <c r="L2307" s="153"/>
      <c r="M2307" s="136" t="str">
        <f t="shared" si="1"/>
        <v/>
      </c>
      <c r="O2307" s="141" t="s">
        <v>133</v>
      </c>
      <c r="P2307" s="136" t="str">
        <f>IFERROR(__xludf.DUMMYFUNCTION("""COMPUTED_VALUE"""),"")</f>
        <v/>
      </c>
      <c r="Q2307" s="136" t="str">
        <f>IFERROR(__xludf.DUMMYFUNCTION("""COMPUTED_VALUE"""),"")</f>
        <v/>
      </c>
      <c r="R2307" s="106" t="str">
        <f>IFERROR(__xludf.DUMMYFUNCTION("""COMPUTED_VALUE"""),"")</f>
        <v/>
      </c>
      <c r="S2307" s="106" t="str">
        <f>IFERROR(__xludf.DUMMYFUNCTION("""COMPUTED_VALUE"""),"")</f>
        <v/>
      </c>
      <c r="T2307" s="139" t="str">
        <f>IFERROR(__xludf.DUMMYFUNCTION("""COMPUTED_VALUE"""),"")</f>
        <v/>
      </c>
      <c r="U2307" s="139" t="str">
        <f>IFERROR(__xludf.DUMMYFUNCTION("""COMPUTED_VALUE"""),"")</f>
        <v/>
      </c>
      <c r="V2307" s="136" t="str">
        <f>IFERROR(__xludf.DUMMYFUNCTION("""COMPUTED_VALUE"""),"")</f>
        <v/>
      </c>
      <c r="W2307" s="106" t="str">
        <f>IFERROR(__xludf.DUMMYFUNCTION("""COMPUTED_VALUE"""),"")</f>
        <v/>
      </c>
      <c r="X2307" s="143" t="str">
        <f t="shared" si="2"/>
        <v/>
      </c>
      <c r="Y2307" s="139" t="str">
        <f>IFERROR(__xludf.DUMMYFUNCTION("""COMPUTED_VALUE"""),"")</f>
        <v/>
      </c>
      <c r="Z2307" s="141" t="str">
        <f>IFERROR(__xludf.DUMMYFUNCTION("""COMPUTED_VALUE"""),"")</f>
        <v/>
      </c>
    </row>
    <row r="2308">
      <c r="D2308" s="136" t="str">
        <f t="shared" si="3"/>
        <v/>
      </c>
      <c r="E2308" s="152"/>
      <c r="F2308" s="106" t="s">
        <v>133</v>
      </c>
      <c r="G2308" s="152"/>
      <c r="H2308" s="106" t="s">
        <v>133</v>
      </c>
      <c r="J2308" s="139" t="s">
        <v>133</v>
      </c>
      <c r="K2308" s="136" t="s">
        <v>133</v>
      </c>
      <c r="L2308" s="153"/>
      <c r="M2308" s="136" t="str">
        <f t="shared" si="1"/>
        <v/>
      </c>
      <c r="O2308" s="141" t="s">
        <v>133</v>
      </c>
      <c r="P2308" s="136" t="str">
        <f>IFERROR(__xludf.DUMMYFUNCTION("""COMPUTED_VALUE"""),"")</f>
        <v/>
      </c>
      <c r="Q2308" s="136" t="str">
        <f>IFERROR(__xludf.DUMMYFUNCTION("""COMPUTED_VALUE"""),"")</f>
        <v/>
      </c>
      <c r="R2308" s="106" t="str">
        <f>IFERROR(__xludf.DUMMYFUNCTION("""COMPUTED_VALUE"""),"")</f>
        <v/>
      </c>
      <c r="S2308" s="106" t="str">
        <f>IFERROR(__xludf.DUMMYFUNCTION("""COMPUTED_VALUE"""),"")</f>
        <v/>
      </c>
      <c r="T2308" s="139" t="str">
        <f>IFERROR(__xludf.DUMMYFUNCTION("""COMPUTED_VALUE"""),"")</f>
        <v/>
      </c>
      <c r="U2308" s="139" t="str">
        <f>IFERROR(__xludf.DUMMYFUNCTION("""COMPUTED_VALUE"""),"")</f>
        <v/>
      </c>
      <c r="V2308" s="136" t="str">
        <f>IFERROR(__xludf.DUMMYFUNCTION("""COMPUTED_VALUE"""),"")</f>
        <v/>
      </c>
      <c r="W2308" s="106" t="str">
        <f>IFERROR(__xludf.DUMMYFUNCTION("""COMPUTED_VALUE"""),"")</f>
        <v/>
      </c>
      <c r="X2308" s="143" t="str">
        <f t="shared" si="2"/>
        <v/>
      </c>
      <c r="Y2308" s="139" t="str">
        <f>IFERROR(__xludf.DUMMYFUNCTION("""COMPUTED_VALUE"""),"")</f>
        <v/>
      </c>
      <c r="Z2308" s="141" t="str">
        <f>IFERROR(__xludf.DUMMYFUNCTION("""COMPUTED_VALUE"""),"")</f>
        <v/>
      </c>
    </row>
    <row r="2309">
      <c r="D2309" s="136" t="str">
        <f t="shared" si="3"/>
        <v/>
      </c>
      <c r="E2309" s="152"/>
      <c r="F2309" s="106" t="s">
        <v>133</v>
      </c>
      <c r="G2309" s="152"/>
      <c r="H2309" s="106" t="s">
        <v>133</v>
      </c>
      <c r="J2309" s="139" t="s">
        <v>133</v>
      </c>
      <c r="K2309" s="136" t="s">
        <v>133</v>
      </c>
      <c r="L2309" s="153"/>
      <c r="M2309" s="136" t="str">
        <f t="shared" si="1"/>
        <v/>
      </c>
      <c r="O2309" s="141" t="s">
        <v>133</v>
      </c>
      <c r="P2309" s="136" t="str">
        <f>IFERROR(__xludf.DUMMYFUNCTION("""COMPUTED_VALUE"""),"")</f>
        <v/>
      </c>
      <c r="Q2309" s="136" t="str">
        <f>IFERROR(__xludf.DUMMYFUNCTION("""COMPUTED_VALUE"""),"")</f>
        <v/>
      </c>
      <c r="R2309" s="106" t="str">
        <f>IFERROR(__xludf.DUMMYFUNCTION("""COMPUTED_VALUE"""),"")</f>
        <v/>
      </c>
      <c r="S2309" s="106" t="str">
        <f>IFERROR(__xludf.DUMMYFUNCTION("""COMPUTED_VALUE"""),"")</f>
        <v/>
      </c>
      <c r="T2309" s="139" t="str">
        <f>IFERROR(__xludf.DUMMYFUNCTION("""COMPUTED_VALUE"""),"")</f>
        <v/>
      </c>
      <c r="U2309" s="139" t="str">
        <f>IFERROR(__xludf.DUMMYFUNCTION("""COMPUTED_VALUE"""),"")</f>
        <v/>
      </c>
      <c r="V2309" s="136" t="str">
        <f>IFERROR(__xludf.DUMMYFUNCTION("""COMPUTED_VALUE"""),"")</f>
        <v/>
      </c>
      <c r="W2309" s="106" t="str">
        <f>IFERROR(__xludf.DUMMYFUNCTION("""COMPUTED_VALUE"""),"")</f>
        <v/>
      </c>
      <c r="X2309" s="143" t="str">
        <f t="shared" si="2"/>
        <v/>
      </c>
      <c r="Y2309" s="139" t="str">
        <f>IFERROR(__xludf.DUMMYFUNCTION("""COMPUTED_VALUE"""),"")</f>
        <v/>
      </c>
      <c r="Z2309" s="141" t="str">
        <f>IFERROR(__xludf.DUMMYFUNCTION("""COMPUTED_VALUE"""),"")</f>
        <v/>
      </c>
    </row>
    <row r="2310">
      <c r="D2310" s="136" t="str">
        <f t="shared" si="3"/>
        <v/>
      </c>
      <c r="E2310" s="152"/>
      <c r="F2310" s="106" t="s">
        <v>133</v>
      </c>
      <c r="G2310" s="152"/>
      <c r="H2310" s="106" t="s">
        <v>133</v>
      </c>
      <c r="J2310" s="139" t="s">
        <v>133</v>
      </c>
      <c r="K2310" s="136" t="s">
        <v>133</v>
      </c>
      <c r="L2310" s="153"/>
      <c r="M2310" s="136" t="str">
        <f t="shared" si="1"/>
        <v/>
      </c>
      <c r="O2310" s="141" t="s">
        <v>133</v>
      </c>
      <c r="P2310" s="136" t="str">
        <f>IFERROR(__xludf.DUMMYFUNCTION("""COMPUTED_VALUE"""),"")</f>
        <v/>
      </c>
      <c r="Q2310" s="136" t="str">
        <f>IFERROR(__xludf.DUMMYFUNCTION("""COMPUTED_VALUE"""),"")</f>
        <v/>
      </c>
      <c r="R2310" s="106" t="str">
        <f>IFERROR(__xludf.DUMMYFUNCTION("""COMPUTED_VALUE"""),"")</f>
        <v/>
      </c>
      <c r="S2310" s="106" t="str">
        <f>IFERROR(__xludf.DUMMYFUNCTION("""COMPUTED_VALUE"""),"")</f>
        <v/>
      </c>
      <c r="T2310" s="139" t="str">
        <f>IFERROR(__xludf.DUMMYFUNCTION("""COMPUTED_VALUE"""),"")</f>
        <v/>
      </c>
      <c r="U2310" s="139" t="str">
        <f>IFERROR(__xludf.DUMMYFUNCTION("""COMPUTED_VALUE"""),"")</f>
        <v/>
      </c>
      <c r="V2310" s="136" t="str">
        <f>IFERROR(__xludf.DUMMYFUNCTION("""COMPUTED_VALUE"""),"")</f>
        <v/>
      </c>
      <c r="W2310" s="106" t="str">
        <f>IFERROR(__xludf.DUMMYFUNCTION("""COMPUTED_VALUE"""),"")</f>
        <v/>
      </c>
      <c r="X2310" s="143" t="str">
        <f t="shared" si="2"/>
        <v/>
      </c>
      <c r="Y2310" s="139" t="str">
        <f>IFERROR(__xludf.DUMMYFUNCTION("""COMPUTED_VALUE"""),"")</f>
        <v/>
      </c>
      <c r="Z2310" s="141" t="str">
        <f>IFERROR(__xludf.DUMMYFUNCTION("""COMPUTED_VALUE"""),"")</f>
        <v/>
      </c>
    </row>
    <row r="2311">
      <c r="D2311" s="136" t="str">
        <f t="shared" si="3"/>
        <v/>
      </c>
      <c r="E2311" s="152"/>
      <c r="F2311" s="106" t="s">
        <v>133</v>
      </c>
      <c r="G2311" s="152"/>
      <c r="H2311" s="106" t="s">
        <v>133</v>
      </c>
      <c r="J2311" s="139" t="s">
        <v>133</v>
      </c>
      <c r="K2311" s="136" t="s">
        <v>133</v>
      </c>
      <c r="L2311" s="153"/>
      <c r="M2311" s="136" t="str">
        <f t="shared" si="1"/>
        <v/>
      </c>
      <c r="O2311" s="141" t="s">
        <v>133</v>
      </c>
      <c r="P2311" s="136" t="str">
        <f>IFERROR(__xludf.DUMMYFUNCTION("""COMPUTED_VALUE"""),"")</f>
        <v/>
      </c>
      <c r="Q2311" s="136" t="str">
        <f>IFERROR(__xludf.DUMMYFUNCTION("""COMPUTED_VALUE"""),"")</f>
        <v/>
      </c>
      <c r="R2311" s="106" t="str">
        <f>IFERROR(__xludf.DUMMYFUNCTION("""COMPUTED_VALUE"""),"")</f>
        <v/>
      </c>
      <c r="S2311" s="106" t="str">
        <f>IFERROR(__xludf.DUMMYFUNCTION("""COMPUTED_VALUE"""),"")</f>
        <v/>
      </c>
      <c r="T2311" s="139" t="str">
        <f>IFERROR(__xludf.DUMMYFUNCTION("""COMPUTED_VALUE"""),"")</f>
        <v/>
      </c>
      <c r="U2311" s="139" t="str">
        <f>IFERROR(__xludf.DUMMYFUNCTION("""COMPUTED_VALUE"""),"")</f>
        <v/>
      </c>
      <c r="V2311" s="136" t="str">
        <f>IFERROR(__xludf.DUMMYFUNCTION("""COMPUTED_VALUE"""),"")</f>
        <v/>
      </c>
      <c r="W2311" s="106" t="str">
        <f>IFERROR(__xludf.DUMMYFUNCTION("""COMPUTED_VALUE"""),"")</f>
        <v/>
      </c>
      <c r="X2311" s="143" t="str">
        <f t="shared" si="2"/>
        <v/>
      </c>
      <c r="Y2311" s="139" t="str">
        <f>IFERROR(__xludf.DUMMYFUNCTION("""COMPUTED_VALUE"""),"")</f>
        <v/>
      </c>
      <c r="Z2311" s="141" t="str">
        <f>IFERROR(__xludf.DUMMYFUNCTION("""COMPUTED_VALUE"""),"")</f>
        <v/>
      </c>
    </row>
    <row r="2312">
      <c r="D2312" s="136" t="str">
        <f t="shared" si="3"/>
        <v/>
      </c>
      <c r="E2312" s="152"/>
      <c r="F2312" s="106" t="s">
        <v>133</v>
      </c>
      <c r="G2312" s="152"/>
      <c r="H2312" s="106" t="s">
        <v>133</v>
      </c>
      <c r="J2312" s="139" t="s">
        <v>133</v>
      </c>
      <c r="K2312" s="136" t="s">
        <v>133</v>
      </c>
      <c r="L2312" s="153"/>
      <c r="M2312" s="136" t="str">
        <f t="shared" si="1"/>
        <v/>
      </c>
      <c r="O2312" s="141" t="s">
        <v>133</v>
      </c>
      <c r="P2312" s="136" t="str">
        <f>IFERROR(__xludf.DUMMYFUNCTION("""COMPUTED_VALUE"""),"")</f>
        <v/>
      </c>
      <c r="Q2312" s="136" t="str">
        <f>IFERROR(__xludf.DUMMYFUNCTION("""COMPUTED_VALUE"""),"")</f>
        <v/>
      </c>
      <c r="R2312" s="106" t="str">
        <f>IFERROR(__xludf.DUMMYFUNCTION("""COMPUTED_VALUE"""),"")</f>
        <v/>
      </c>
      <c r="S2312" s="106" t="str">
        <f>IFERROR(__xludf.DUMMYFUNCTION("""COMPUTED_VALUE"""),"")</f>
        <v/>
      </c>
      <c r="T2312" s="139" t="str">
        <f>IFERROR(__xludf.DUMMYFUNCTION("""COMPUTED_VALUE"""),"")</f>
        <v/>
      </c>
      <c r="U2312" s="139" t="str">
        <f>IFERROR(__xludf.DUMMYFUNCTION("""COMPUTED_VALUE"""),"")</f>
        <v/>
      </c>
      <c r="V2312" s="136" t="str">
        <f>IFERROR(__xludf.DUMMYFUNCTION("""COMPUTED_VALUE"""),"")</f>
        <v/>
      </c>
      <c r="W2312" s="106" t="str">
        <f>IFERROR(__xludf.DUMMYFUNCTION("""COMPUTED_VALUE"""),"")</f>
        <v/>
      </c>
      <c r="X2312" s="143" t="str">
        <f t="shared" si="2"/>
        <v/>
      </c>
      <c r="Y2312" s="139" t="str">
        <f>IFERROR(__xludf.DUMMYFUNCTION("""COMPUTED_VALUE"""),"")</f>
        <v/>
      </c>
      <c r="Z2312" s="141" t="str">
        <f>IFERROR(__xludf.DUMMYFUNCTION("""COMPUTED_VALUE"""),"")</f>
        <v/>
      </c>
    </row>
    <row r="2313">
      <c r="D2313" s="136" t="str">
        <f t="shared" si="3"/>
        <v/>
      </c>
      <c r="E2313" s="152"/>
      <c r="F2313" s="106" t="s">
        <v>133</v>
      </c>
      <c r="G2313" s="152"/>
      <c r="H2313" s="106" t="s">
        <v>133</v>
      </c>
      <c r="J2313" s="139" t="s">
        <v>133</v>
      </c>
      <c r="K2313" s="136" t="s">
        <v>133</v>
      </c>
      <c r="L2313" s="153"/>
      <c r="M2313" s="136" t="str">
        <f t="shared" si="1"/>
        <v/>
      </c>
      <c r="O2313" s="141" t="s">
        <v>133</v>
      </c>
      <c r="P2313" s="136" t="str">
        <f>IFERROR(__xludf.DUMMYFUNCTION("""COMPUTED_VALUE"""),"")</f>
        <v/>
      </c>
      <c r="Q2313" s="136" t="str">
        <f>IFERROR(__xludf.DUMMYFUNCTION("""COMPUTED_VALUE"""),"")</f>
        <v/>
      </c>
      <c r="R2313" s="106" t="str">
        <f>IFERROR(__xludf.DUMMYFUNCTION("""COMPUTED_VALUE"""),"")</f>
        <v/>
      </c>
      <c r="S2313" s="106" t="str">
        <f>IFERROR(__xludf.DUMMYFUNCTION("""COMPUTED_VALUE"""),"")</f>
        <v/>
      </c>
      <c r="T2313" s="139" t="str">
        <f>IFERROR(__xludf.DUMMYFUNCTION("""COMPUTED_VALUE"""),"")</f>
        <v/>
      </c>
      <c r="U2313" s="139" t="str">
        <f>IFERROR(__xludf.DUMMYFUNCTION("""COMPUTED_VALUE"""),"")</f>
        <v/>
      </c>
      <c r="V2313" s="136" t="str">
        <f>IFERROR(__xludf.DUMMYFUNCTION("""COMPUTED_VALUE"""),"")</f>
        <v/>
      </c>
      <c r="W2313" s="106" t="str">
        <f>IFERROR(__xludf.DUMMYFUNCTION("""COMPUTED_VALUE"""),"")</f>
        <v/>
      </c>
      <c r="X2313" s="143" t="str">
        <f t="shared" si="2"/>
        <v/>
      </c>
      <c r="Y2313" s="139" t="str">
        <f>IFERROR(__xludf.DUMMYFUNCTION("""COMPUTED_VALUE"""),"")</f>
        <v/>
      </c>
      <c r="Z2313" s="141" t="str">
        <f>IFERROR(__xludf.DUMMYFUNCTION("""COMPUTED_VALUE"""),"")</f>
        <v/>
      </c>
    </row>
    <row r="2314">
      <c r="D2314" s="136" t="str">
        <f t="shared" si="3"/>
        <v/>
      </c>
      <c r="E2314" s="152"/>
      <c r="F2314" s="106" t="s">
        <v>133</v>
      </c>
      <c r="G2314" s="152"/>
      <c r="H2314" s="106" t="s">
        <v>133</v>
      </c>
      <c r="J2314" s="139" t="s">
        <v>133</v>
      </c>
      <c r="K2314" s="136" t="s">
        <v>133</v>
      </c>
      <c r="L2314" s="153"/>
      <c r="M2314" s="136" t="str">
        <f t="shared" si="1"/>
        <v/>
      </c>
      <c r="O2314" s="141" t="s">
        <v>133</v>
      </c>
      <c r="P2314" s="136" t="str">
        <f>IFERROR(__xludf.DUMMYFUNCTION("""COMPUTED_VALUE"""),"")</f>
        <v/>
      </c>
      <c r="Q2314" s="136" t="str">
        <f>IFERROR(__xludf.DUMMYFUNCTION("""COMPUTED_VALUE"""),"")</f>
        <v/>
      </c>
      <c r="R2314" s="106" t="str">
        <f>IFERROR(__xludf.DUMMYFUNCTION("""COMPUTED_VALUE"""),"")</f>
        <v/>
      </c>
      <c r="S2314" s="106" t="str">
        <f>IFERROR(__xludf.DUMMYFUNCTION("""COMPUTED_VALUE"""),"")</f>
        <v/>
      </c>
      <c r="T2314" s="139" t="str">
        <f>IFERROR(__xludf.DUMMYFUNCTION("""COMPUTED_VALUE"""),"")</f>
        <v/>
      </c>
      <c r="U2314" s="139" t="str">
        <f>IFERROR(__xludf.DUMMYFUNCTION("""COMPUTED_VALUE"""),"")</f>
        <v/>
      </c>
      <c r="V2314" s="136" t="str">
        <f>IFERROR(__xludf.DUMMYFUNCTION("""COMPUTED_VALUE"""),"")</f>
        <v/>
      </c>
      <c r="W2314" s="106" t="str">
        <f>IFERROR(__xludf.DUMMYFUNCTION("""COMPUTED_VALUE"""),"")</f>
        <v/>
      </c>
      <c r="X2314" s="143" t="str">
        <f t="shared" si="2"/>
        <v/>
      </c>
      <c r="Y2314" s="139" t="str">
        <f>IFERROR(__xludf.DUMMYFUNCTION("""COMPUTED_VALUE"""),"")</f>
        <v/>
      </c>
      <c r="Z2314" s="141" t="str">
        <f>IFERROR(__xludf.DUMMYFUNCTION("""COMPUTED_VALUE"""),"")</f>
        <v/>
      </c>
    </row>
    <row r="2315">
      <c r="D2315" s="136" t="str">
        <f t="shared" si="3"/>
        <v/>
      </c>
      <c r="E2315" s="152"/>
      <c r="F2315" s="106" t="s">
        <v>133</v>
      </c>
      <c r="G2315" s="152"/>
      <c r="H2315" s="106" t="s">
        <v>133</v>
      </c>
      <c r="J2315" s="139" t="s">
        <v>133</v>
      </c>
      <c r="K2315" s="136" t="s">
        <v>133</v>
      </c>
      <c r="L2315" s="153"/>
      <c r="M2315" s="136" t="str">
        <f t="shared" si="1"/>
        <v/>
      </c>
      <c r="O2315" s="141" t="s">
        <v>133</v>
      </c>
      <c r="P2315" s="136" t="str">
        <f>IFERROR(__xludf.DUMMYFUNCTION("""COMPUTED_VALUE"""),"")</f>
        <v/>
      </c>
      <c r="Q2315" s="136" t="str">
        <f>IFERROR(__xludf.DUMMYFUNCTION("""COMPUTED_VALUE"""),"")</f>
        <v/>
      </c>
      <c r="R2315" s="106" t="str">
        <f>IFERROR(__xludf.DUMMYFUNCTION("""COMPUTED_VALUE"""),"")</f>
        <v/>
      </c>
      <c r="S2315" s="106" t="str">
        <f>IFERROR(__xludf.DUMMYFUNCTION("""COMPUTED_VALUE"""),"")</f>
        <v/>
      </c>
      <c r="T2315" s="139" t="str">
        <f>IFERROR(__xludf.DUMMYFUNCTION("""COMPUTED_VALUE"""),"")</f>
        <v/>
      </c>
      <c r="U2315" s="139" t="str">
        <f>IFERROR(__xludf.DUMMYFUNCTION("""COMPUTED_VALUE"""),"")</f>
        <v/>
      </c>
      <c r="V2315" s="136" t="str">
        <f>IFERROR(__xludf.DUMMYFUNCTION("""COMPUTED_VALUE"""),"")</f>
        <v/>
      </c>
      <c r="W2315" s="106" t="str">
        <f>IFERROR(__xludf.DUMMYFUNCTION("""COMPUTED_VALUE"""),"")</f>
        <v/>
      </c>
      <c r="X2315" s="143" t="str">
        <f t="shared" si="2"/>
        <v/>
      </c>
      <c r="Y2315" s="139" t="str">
        <f>IFERROR(__xludf.DUMMYFUNCTION("""COMPUTED_VALUE"""),"")</f>
        <v/>
      </c>
      <c r="Z2315" s="141" t="str">
        <f>IFERROR(__xludf.DUMMYFUNCTION("""COMPUTED_VALUE"""),"")</f>
        <v/>
      </c>
    </row>
    <row r="2316">
      <c r="D2316" s="136" t="str">
        <f t="shared" si="3"/>
        <v/>
      </c>
      <c r="E2316" s="152"/>
      <c r="F2316" s="106" t="s">
        <v>133</v>
      </c>
      <c r="G2316" s="152"/>
      <c r="H2316" s="106" t="s">
        <v>133</v>
      </c>
      <c r="J2316" s="139" t="s">
        <v>133</v>
      </c>
      <c r="K2316" s="136" t="s">
        <v>133</v>
      </c>
      <c r="L2316" s="153"/>
      <c r="M2316" s="136" t="str">
        <f t="shared" si="1"/>
        <v/>
      </c>
      <c r="O2316" s="141" t="s">
        <v>133</v>
      </c>
      <c r="P2316" s="136" t="str">
        <f>IFERROR(__xludf.DUMMYFUNCTION("""COMPUTED_VALUE"""),"")</f>
        <v/>
      </c>
      <c r="Q2316" s="136" t="str">
        <f>IFERROR(__xludf.DUMMYFUNCTION("""COMPUTED_VALUE"""),"")</f>
        <v/>
      </c>
      <c r="R2316" s="106" t="str">
        <f>IFERROR(__xludf.DUMMYFUNCTION("""COMPUTED_VALUE"""),"")</f>
        <v/>
      </c>
      <c r="S2316" s="106" t="str">
        <f>IFERROR(__xludf.DUMMYFUNCTION("""COMPUTED_VALUE"""),"")</f>
        <v/>
      </c>
      <c r="T2316" s="139" t="str">
        <f>IFERROR(__xludf.DUMMYFUNCTION("""COMPUTED_VALUE"""),"")</f>
        <v/>
      </c>
      <c r="U2316" s="139" t="str">
        <f>IFERROR(__xludf.DUMMYFUNCTION("""COMPUTED_VALUE"""),"")</f>
        <v/>
      </c>
      <c r="V2316" s="136" t="str">
        <f>IFERROR(__xludf.DUMMYFUNCTION("""COMPUTED_VALUE"""),"")</f>
        <v/>
      </c>
      <c r="W2316" s="106" t="str">
        <f>IFERROR(__xludf.DUMMYFUNCTION("""COMPUTED_VALUE"""),"")</f>
        <v/>
      </c>
      <c r="X2316" s="143" t="str">
        <f t="shared" si="2"/>
        <v/>
      </c>
      <c r="Y2316" s="139" t="str">
        <f>IFERROR(__xludf.DUMMYFUNCTION("""COMPUTED_VALUE"""),"")</f>
        <v/>
      </c>
      <c r="Z2316" s="141" t="str">
        <f>IFERROR(__xludf.DUMMYFUNCTION("""COMPUTED_VALUE"""),"")</f>
        <v/>
      </c>
    </row>
    <row r="2317">
      <c r="D2317" s="136" t="str">
        <f t="shared" si="3"/>
        <v/>
      </c>
      <c r="E2317" s="152"/>
      <c r="F2317" s="106" t="s">
        <v>133</v>
      </c>
      <c r="G2317" s="152"/>
      <c r="H2317" s="106" t="s">
        <v>133</v>
      </c>
      <c r="J2317" s="139" t="s">
        <v>133</v>
      </c>
      <c r="K2317" s="136" t="s">
        <v>133</v>
      </c>
      <c r="L2317" s="153"/>
      <c r="M2317" s="136" t="str">
        <f t="shared" si="1"/>
        <v/>
      </c>
      <c r="O2317" s="141" t="s">
        <v>133</v>
      </c>
      <c r="P2317" s="136" t="str">
        <f>IFERROR(__xludf.DUMMYFUNCTION("""COMPUTED_VALUE"""),"")</f>
        <v/>
      </c>
      <c r="Q2317" s="136" t="str">
        <f>IFERROR(__xludf.DUMMYFUNCTION("""COMPUTED_VALUE"""),"")</f>
        <v/>
      </c>
      <c r="R2317" s="106" t="str">
        <f>IFERROR(__xludf.DUMMYFUNCTION("""COMPUTED_VALUE"""),"")</f>
        <v/>
      </c>
      <c r="S2317" s="106" t="str">
        <f>IFERROR(__xludf.DUMMYFUNCTION("""COMPUTED_VALUE"""),"")</f>
        <v/>
      </c>
      <c r="T2317" s="139" t="str">
        <f>IFERROR(__xludf.DUMMYFUNCTION("""COMPUTED_VALUE"""),"")</f>
        <v/>
      </c>
      <c r="U2317" s="139" t="str">
        <f>IFERROR(__xludf.DUMMYFUNCTION("""COMPUTED_VALUE"""),"")</f>
        <v/>
      </c>
      <c r="V2317" s="136" t="str">
        <f>IFERROR(__xludf.DUMMYFUNCTION("""COMPUTED_VALUE"""),"")</f>
        <v/>
      </c>
      <c r="W2317" s="106" t="str">
        <f>IFERROR(__xludf.DUMMYFUNCTION("""COMPUTED_VALUE"""),"")</f>
        <v/>
      </c>
      <c r="X2317" s="143" t="str">
        <f t="shared" si="2"/>
        <v/>
      </c>
      <c r="Y2317" s="139" t="str">
        <f>IFERROR(__xludf.DUMMYFUNCTION("""COMPUTED_VALUE"""),"")</f>
        <v/>
      </c>
      <c r="Z2317" s="141" t="str">
        <f>IFERROR(__xludf.DUMMYFUNCTION("""COMPUTED_VALUE"""),"")</f>
        <v/>
      </c>
    </row>
    <row r="2318">
      <c r="D2318" s="136" t="str">
        <f t="shared" si="3"/>
        <v/>
      </c>
      <c r="E2318" s="152"/>
      <c r="F2318" s="106" t="s">
        <v>133</v>
      </c>
      <c r="G2318" s="152"/>
      <c r="H2318" s="106" t="s">
        <v>133</v>
      </c>
      <c r="J2318" s="139" t="s">
        <v>133</v>
      </c>
      <c r="K2318" s="136" t="s">
        <v>133</v>
      </c>
      <c r="L2318" s="153"/>
      <c r="M2318" s="136" t="str">
        <f t="shared" si="1"/>
        <v/>
      </c>
      <c r="O2318" s="141" t="s">
        <v>133</v>
      </c>
      <c r="P2318" s="136" t="str">
        <f>IFERROR(__xludf.DUMMYFUNCTION("""COMPUTED_VALUE"""),"")</f>
        <v/>
      </c>
      <c r="Q2318" s="136" t="str">
        <f>IFERROR(__xludf.DUMMYFUNCTION("""COMPUTED_VALUE"""),"")</f>
        <v/>
      </c>
      <c r="R2318" s="106" t="str">
        <f>IFERROR(__xludf.DUMMYFUNCTION("""COMPUTED_VALUE"""),"")</f>
        <v/>
      </c>
      <c r="S2318" s="106" t="str">
        <f>IFERROR(__xludf.DUMMYFUNCTION("""COMPUTED_VALUE"""),"")</f>
        <v/>
      </c>
      <c r="T2318" s="139" t="str">
        <f>IFERROR(__xludf.DUMMYFUNCTION("""COMPUTED_VALUE"""),"")</f>
        <v/>
      </c>
      <c r="U2318" s="139" t="str">
        <f>IFERROR(__xludf.DUMMYFUNCTION("""COMPUTED_VALUE"""),"")</f>
        <v/>
      </c>
      <c r="V2318" s="136" t="str">
        <f>IFERROR(__xludf.DUMMYFUNCTION("""COMPUTED_VALUE"""),"")</f>
        <v/>
      </c>
      <c r="W2318" s="106" t="str">
        <f>IFERROR(__xludf.DUMMYFUNCTION("""COMPUTED_VALUE"""),"")</f>
        <v/>
      </c>
      <c r="X2318" s="143" t="str">
        <f t="shared" si="2"/>
        <v/>
      </c>
      <c r="Y2318" s="139" t="str">
        <f>IFERROR(__xludf.DUMMYFUNCTION("""COMPUTED_VALUE"""),"")</f>
        <v/>
      </c>
      <c r="Z2318" s="141" t="str">
        <f>IFERROR(__xludf.DUMMYFUNCTION("""COMPUTED_VALUE"""),"")</f>
        <v/>
      </c>
    </row>
    <row r="2319">
      <c r="D2319" s="136" t="str">
        <f t="shared" si="3"/>
        <v/>
      </c>
      <c r="E2319" s="152"/>
      <c r="F2319" s="106" t="s">
        <v>133</v>
      </c>
      <c r="G2319" s="152"/>
      <c r="H2319" s="106" t="s">
        <v>133</v>
      </c>
      <c r="J2319" s="139" t="s">
        <v>133</v>
      </c>
      <c r="K2319" s="136" t="s">
        <v>133</v>
      </c>
      <c r="L2319" s="153"/>
      <c r="M2319" s="136" t="str">
        <f t="shared" si="1"/>
        <v/>
      </c>
      <c r="O2319" s="141" t="s">
        <v>133</v>
      </c>
      <c r="P2319" s="136" t="str">
        <f>IFERROR(__xludf.DUMMYFUNCTION("""COMPUTED_VALUE"""),"")</f>
        <v/>
      </c>
      <c r="Q2319" s="136" t="str">
        <f>IFERROR(__xludf.DUMMYFUNCTION("""COMPUTED_VALUE"""),"")</f>
        <v/>
      </c>
      <c r="R2319" s="106" t="str">
        <f>IFERROR(__xludf.DUMMYFUNCTION("""COMPUTED_VALUE"""),"")</f>
        <v/>
      </c>
      <c r="S2319" s="106" t="str">
        <f>IFERROR(__xludf.DUMMYFUNCTION("""COMPUTED_VALUE"""),"")</f>
        <v/>
      </c>
      <c r="T2319" s="139" t="str">
        <f>IFERROR(__xludf.DUMMYFUNCTION("""COMPUTED_VALUE"""),"")</f>
        <v/>
      </c>
      <c r="U2319" s="139" t="str">
        <f>IFERROR(__xludf.DUMMYFUNCTION("""COMPUTED_VALUE"""),"")</f>
        <v/>
      </c>
      <c r="V2319" s="136" t="str">
        <f>IFERROR(__xludf.DUMMYFUNCTION("""COMPUTED_VALUE"""),"")</f>
        <v/>
      </c>
      <c r="W2319" s="106" t="str">
        <f>IFERROR(__xludf.DUMMYFUNCTION("""COMPUTED_VALUE"""),"")</f>
        <v/>
      </c>
      <c r="X2319" s="143" t="str">
        <f t="shared" si="2"/>
        <v/>
      </c>
      <c r="Y2319" s="139" t="str">
        <f>IFERROR(__xludf.DUMMYFUNCTION("""COMPUTED_VALUE"""),"")</f>
        <v/>
      </c>
      <c r="Z2319" s="141" t="str">
        <f>IFERROR(__xludf.DUMMYFUNCTION("""COMPUTED_VALUE"""),"")</f>
        <v/>
      </c>
    </row>
    <row r="2320">
      <c r="D2320" s="136" t="str">
        <f t="shared" si="3"/>
        <v/>
      </c>
      <c r="E2320" s="152"/>
      <c r="F2320" s="106" t="s">
        <v>133</v>
      </c>
      <c r="G2320" s="152"/>
      <c r="H2320" s="106" t="s">
        <v>133</v>
      </c>
      <c r="J2320" s="139" t="s">
        <v>133</v>
      </c>
      <c r="K2320" s="136" t="s">
        <v>133</v>
      </c>
      <c r="L2320" s="153"/>
      <c r="M2320" s="136" t="str">
        <f t="shared" si="1"/>
        <v/>
      </c>
      <c r="O2320" s="141" t="s">
        <v>133</v>
      </c>
      <c r="P2320" s="136" t="str">
        <f>IFERROR(__xludf.DUMMYFUNCTION("""COMPUTED_VALUE"""),"")</f>
        <v/>
      </c>
      <c r="Q2320" s="136" t="str">
        <f>IFERROR(__xludf.DUMMYFUNCTION("""COMPUTED_VALUE"""),"")</f>
        <v/>
      </c>
      <c r="R2320" s="106" t="str">
        <f>IFERROR(__xludf.DUMMYFUNCTION("""COMPUTED_VALUE"""),"")</f>
        <v/>
      </c>
      <c r="S2320" s="106" t="str">
        <f>IFERROR(__xludf.DUMMYFUNCTION("""COMPUTED_VALUE"""),"")</f>
        <v/>
      </c>
      <c r="T2320" s="139" t="str">
        <f>IFERROR(__xludf.DUMMYFUNCTION("""COMPUTED_VALUE"""),"")</f>
        <v/>
      </c>
      <c r="U2320" s="139" t="str">
        <f>IFERROR(__xludf.DUMMYFUNCTION("""COMPUTED_VALUE"""),"")</f>
        <v/>
      </c>
      <c r="V2320" s="136" t="str">
        <f>IFERROR(__xludf.DUMMYFUNCTION("""COMPUTED_VALUE"""),"")</f>
        <v/>
      </c>
      <c r="W2320" s="106" t="str">
        <f>IFERROR(__xludf.DUMMYFUNCTION("""COMPUTED_VALUE"""),"")</f>
        <v/>
      </c>
      <c r="X2320" s="143" t="str">
        <f t="shared" si="2"/>
        <v/>
      </c>
      <c r="Y2320" s="139" t="str">
        <f>IFERROR(__xludf.DUMMYFUNCTION("""COMPUTED_VALUE"""),"")</f>
        <v/>
      </c>
      <c r="Z2320" s="141" t="str">
        <f>IFERROR(__xludf.DUMMYFUNCTION("""COMPUTED_VALUE"""),"")</f>
        <v/>
      </c>
    </row>
    <row r="2321">
      <c r="D2321" s="136" t="str">
        <f t="shared" si="3"/>
        <v/>
      </c>
      <c r="E2321" s="152"/>
      <c r="F2321" s="106" t="s">
        <v>133</v>
      </c>
      <c r="G2321" s="152"/>
      <c r="H2321" s="106" t="s">
        <v>133</v>
      </c>
      <c r="J2321" s="139" t="s">
        <v>133</v>
      </c>
      <c r="K2321" s="136" t="s">
        <v>133</v>
      </c>
      <c r="L2321" s="153"/>
      <c r="M2321" s="136" t="str">
        <f t="shared" si="1"/>
        <v/>
      </c>
      <c r="O2321" s="141" t="s">
        <v>133</v>
      </c>
      <c r="P2321" s="136" t="str">
        <f>IFERROR(__xludf.DUMMYFUNCTION("""COMPUTED_VALUE"""),"")</f>
        <v/>
      </c>
      <c r="Q2321" s="136" t="str">
        <f>IFERROR(__xludf.DUMMYFUNCTION("""COMPUTED_VALUE"""),"")</f>
        <v/>
      </c>
      <c r="R2321" s="106" t="str">
        <f>IFERROR(__xludf.DUMMYFUNCTION("""COMPUTED_VALUE"""),"")</f>
        <v/>
      </c>
      <c r="S2321" s="106" t="str">
        <f>IFERROR(__xludf.DUMMYFUNCTION("""COMPUTED_VALUE"""),"")</f>
        <v/>
      </c>
      <c r="T2321" s="139" t="str">
        <f>IFERROR(__xludf.DUMMYFUNCTION("""COMPUTED_VALUE"""),"")</f>
        <v/>
      </c>
      <c r="U2321" s="139" t="str">
        <f>IFERROR(__xludf.DUMMYFUNCTION("""COMPUTED_VALUE"""),"")</f>
        <v/>
      </c>
      <c r="V2321" s="136" t="str">
        <f>IFERROR(__xludf.DUMMYFUNCTION("""COMPUTED_VALUE"""),"")</f>
        <v/>
      </c>
      <c r="W2321" s="106" t="str">
        <f>IFERROR(__xludf.DUMMYFUNCTION("""COMPUTED_VALUE"""),"")</f>
        <v/>
      </c>
      <c r="X2321" s="143" t="str">
        <f t="shared" si="2"/>
        <v/>
      </c>
      <c r="Y2321" s="139" t="str">
        <f>IFERROR(__xludf.DUMMYFUNCTION("""COMPUTED_VALUE"""),"")</f>
        <v/>
      </c>
      <c r="Z2321" s="141" t="str">
        <f>IFERROR(__xludf.DUMMYFUNCTION("""COMPUTED_VALUE"""),"")</f>
        <v/>
      </c>
    </row>
    <row r="2322">
      <c r="D2322" s="136" t="str">
        <f t="shared" si="3"/>
        <v/>
      </c>
      <c r="E2322" s="152"/>
      <c r="F2322" s="106" t="s">
        <v>133</v>
      </c>
      <c r="G2322" s="152"/>
      <c r="H2322" s="106" t="s">
        <v>133</v>
      </c>
      <c r="J2322" s="139" t="s">
        <v>133</v>
      </c>
      <c r="K2322" s="136" t="s">
        <v>133</v>
      </c>
      <c r="L2322" s="153"/>
      <c r="M2322" s="136" t="str">
        <f t="shared" si="1"/>
        <v/>
      </c>
      <c r="O2322" s="141" t="s">
        <v>133</v>
      </c>
      <c r="P2322" s="136" t="str">
        <f>IFERROR(__xludf.DUMMYFUNCTION("""COMPUTED_VALUE"""),"")</f>
        <v/>
      </c>
      <c r="Q2322" s="136" t="str">
        <f>IFERROR(__xludf.DUMMYFUNCTION("""COMPUTED_VALUE"""),"")</f>
        <v/>
      </c>
      <c r="R2322" s="106" t="str">
        <f>IFERROR(__xludf.DUMMYFUNCTION("""COMPUTED_VALUE"""),"")</f>
        <v/>
      </c>
      <c r="S2322" s="106" t="str">
        <f>IFERROR(__xludf.DUMMYFUNCTION("""COMPUTED_VALUE"""),"")</f>
        <v/>
      </c>
      <c r="T2322" s="139" t="str">
        <f>IFERROR(__xludf.DUMMYFUNCTION("""COMPUTED_VALUE"""),"")</f>
        <v/>
      </c>
      <c r="U2322" s="139" t="str">
        <f>IFERROR(__xludf.DUMMYFUNCTION("""COMPUTED_VALUE"""),"")</f>
        <v/>
      </c>
      <c r="V2322" s="136" t="str">
        <f>IFERROR(__xludf.DUMMYFUNCTION("""COMPUTED_VALUE"""),"")</f>
        <v/>
      </c>
      <c r="W2322" s="106" t="str">
        <f>IFERROR(__xludf.DUMMYFUNCTION("""COMPUTED_VALUE"""),"")</f>
        <v/>
      </c>
      <c r="X2322" s="143" t="str">
        <f t="shared" si="2"/>
        <v/>
      </c>
      <c r="Y2322" s="139" t="str">
        <f>IFERROR(__xludf.DUMMYFUNCTION("""COMPUTED_VALUE"""),"")</f>
        <v/>
      </c>
      <c r="Z2322" s="141" t="str">
        <f>IFERROR(__xludf.DUMMYFUNCTION("""COMPUTED_VALUE"""),"")</f>
        <v/>
      </c>
    </row>
    <row r="2323">
      <c r="D2323" s="136" t="str">
        <f t="shared" si="3"/>
        <v/>
      </c>
      <c r="E2323" s="152"/>
      <c r="F2323" s="106" t="s">
        <v>133</v>
      </c>
      <c r="G2323" s="152"/>
      <c r="H2323" s="106" t="s">
        <v>133</v>
      </c>
      <c r="J2323" s="139" t="s">
        <v>133</v>
      </c>
      <c r="K2323" s="136" t="s">
        <v>133</v>
      </c>
      <c r="L2323" s="153"/>
      <c r="M2323" s="136" t="str">
        <f t="shared" si="1"/>
        <v/>
      </c>
      <c r="O2323" s="141" t="s">
        <v>133</v>
      </c>
      <c r="P2323" s="136" t="str">
        <f>IFERROR(__xludf.DUMMYFUNCTION("""COMPUTED_VALUE"""),"")</f>
        <v/>
      </c>
      <c r="Q2323" s="136" t="str">
        <f>IFERROR(__xludf.DUMMYFUNCTION("""COMPUTED_VALUE"""),"")</f>
        <v/>
      </c>
      <c r="R2323" s="106" t="str">
        <f>IFERROR(__xludf.DUMMYFUNCTION("""COMPUTED_VALUE"""),"")</f>
        <v/>
      </c>
      <c r="S2323" s="106" t="str">
        <f>IFERROR(__xludf.DUMMYFUNCTION("""COMPUTED_VALUE"""),"")</f>
        <v/>
      </c>
      <c r="T2323" s="139" t="str">
        <f>IFERROR(__xludf.DUMMYFUNCTION("""COMPUTED_VALUE"""),"")</f>
        <v/>
      </c>
      <c r="U2323" s="139" t="str">
        <f>IFERROR(__xludf.DUMMYFUNCTION("""COMPUTED_VALUE"""),"")</f>
        <v/>
      </c>
      <c r="V2323" s="136" t="str">
        <f>IFERROR(__xludf.DUMMYFUNCTION("""COMPUTED_VALUE"""),"")</f>
        <v/>
      </c>
      <c r="W2323" s="106" t="str">
        <f>IFERROR(__xludf.DUMMYFUNCTION("""COMPUTED_VALUE"""),"")</f>
        <v/>
      </c>
      <c r="X2323" s="143" t="str">
        <f t="shared" si="2"/>
        <v/>
      </c>
      <c r="Y2323" s="139" t="str">
        <f>IFERROR(__xludf.DUMMYFUNCTION("""COMPUTED_VALUE"""),"")</f>
        <v/>
      </c>
      <c r="Z2323" s="141" t="str">
        <f>IFERROR(__xludf.DUMMYFUNCTION("""COMPUTED_VALUE"""),"")</f>
        <v/>
      </c>
    </row>
    <row r="2324">
      <c r="D2324" s="136" t="str">
        <f t="shared" si="3"/>
        <v/>
      </c>
      <c r="E2324" s="152"/>
      <c r="F2324" s="106" t="s">
        <v>133</v>
      </c>
      <c r="G2324" s="152"/>
      <c r="H2324" s="106" t="s">
        <v>133</v>
      </c>
      <c r="J2324" s="139" t="s">
        <v>133</v>
      </c>
      <c r="K2324" s="136" t="s">
        <v>133</v>
      </c>
      <c r="L2324" s="153"/>
      <c r="M2324" s="136" t="str">
        <f t="shared" si="1"/>
        <v/>
      </c>
      <c r="O2324" s="141" t="s">
        <v>133</v>
      </c>
      <c r="P2324" s="136" t="str">
        <f>IFERROR(__xludf.DUMMYFUNCTION("""COMPUTED_VALUE"""),"")</f>
        <v/>
      </c>
      <c r="Q2324" s="136" t="str">
        <f>IFERROR(__xludf.DUMMYFUNCTION("""COMPUTED_VALUE"""),"")</f>
        <v/>
      </c>
      <c r="R2324" s="106" t="str">
        <f>IFERROR(__xludf.DUMMYFUNCTION("""COMPUTED_VALUE"""),"")</f>
        <v/>
      </c>
      <c r="S2324" s="106" t="str">
        <f>IFERROR(__xludf.DUMMYFUNCTION("""COMPUTED_VALUE"""),"")</f>
        <v/>
      </c>
      <c r="T2324" s="139" t="str">
        <f>IFERROR(__xludf.DUMMYFUNCTION("""COMPUTED_VALUE"""),"")</f>
        <v/>
      </c>
      <c r="U2324" s="139" t="str">
        <f>IFERROR(__xludf.DUMMYFUNCTION("""COMPUTED_VALUE"""),"")</f>
        <v/>
      </c>
      <c r="V2324" s="136" t="str">
        <f>IFERROR(__xludf.DUMMYFUNCTION("""COMPUTED_VALUE"""),"")</f>
        <v/>
      </c>
      <c r="W2324" s="106" t="str">
        <f>IFERROR(__xludf.DUMMYFUNCTION("""COMPUTED_VALUE"""),"")</f>
        <v/>
      </c>
      <c r="X2324" s="143" t="str">
        <f t="shared" si="2"/>
        <v/>
      </c>
      <c r="Y2324" s="139" t="str">
        <f>IFERROR(__xludf.DUMMYFUNCTION("""COMPUTED_VALUE"""),"")</f>
        <v/>
      </c>
      <c r="Z2324" s="141" t="str">
        <f>IFERROR(__xludf.DUMMYFUNCTION("""COMPUTED_VALUE"""),"")</f>
        <v/>
      </c>
    </row>
    <row r="2325">
      <c r="D2325" s="136" t="str">
        <f t="shared" si="3"/>
        <v/>
      </c>
      <c r="E2325" s="152"/>
      <c r="F2325" s="106" t="s">
        <v>133</v>
      </c>
      <c r="G2325" s="152"/>
      <c r="H2325" s="106" t="s">
        <v>133</v>
      </c>
      <c r="J2325" s="139" t="s">
        <v>133</v>
      </c>
      <c r="K2325" s="136" t="s">
        <v>133</v>
      </c>
      <c r="L2325" s="153"/>
      <c r="M2325" s="136" t="str">
        <f t="shared" si="1"/>
        <v/>
      </c>
      <c r="O2325" s="141" t="s">
        <v>133</v>
      </c>
      <c r="P2325" s="136" t="str">
        <f>IFERROR(__xludf.DUMMYFUNCTION("""COMPUTED_VALUE"""),"")</f>
        <v/>
      </c>
      <c r="Q2325" s="136" t="str">
        <f>IFERROR(__xludf.DUMMYFUNCTION("""COMPUTED_VALUE"""),"")</f>
        <v/>
      </c>
      <c r="R2325" s="106" t="str">
        <f>IFERROR(__xludf.DUMMYFUNCTION("""COMPUTED_VALUE"""),"")</f>
        <v/>
      </c>
      <c r="S2325" s="106" t="str">
        <f>IFERROR(__xludf.DUMMYFUNCTION("""COMPUTED_VALUE"""),"")</f>
        <v/>
      </c>
      <c r="T2325" s="139" t="str">
        <f>IFERROR(__xludf.DUMMYFUNCTION("""COMPUTED_VALUE"""),"")</f>
        <v/>
      </c>
      <c r="U2325" s="139" t="str">
        <f>IFERROR(__xludf.DUMMYFUNCTION("""COMPUTED_VALUE"""),"")</f>
        <v/>
      </c>
      <c r="V2325" s="136" t="str">
        <f>IFERROR(__xludf.DUMMYFUNCTION("""COMPUTED_VALUE"""),"")</f>
        <v/>
      </c>
      <c r="W2325" s="106" t="str">
        <f>IFERROR(__xludf.DUMMYFUNCTION("""COMPUTED_VALUE"""),"")</f>
        <v/>
      </c>
      <c r="X2325" s="143" t="str">
        <f t="shared" si="2"/>
        <v/>
      </c>
      <c r="Y2325" s="139" t="str">
        <f>IFERROR(__xludf.DUMMYFUNCTION("""COMPUTED_VALUE"""),"")</f>
        <v/>
      </c>
      <c r="Z2325" s="141" t="str">
        <f>IFERROR(__xludf.DUMMYFUNCTION("""COMPUTED_VALUE"""),"")</f>
        <v/>
      </c>
    </row>
    <row r="2326">
      <c r="D2326" s="136" t="str">
        <f t="shared" si="3"/>
        <v/>
      </c>
      <c r="E2326" s="152"/>
      <c r="F2326" s="106" t="s">
        <v>133</v>
      </c>
      <c r="G2326" s="152"/>
      <c r="H2326" s="106" t="s">
        <v>133</v>
      </c>
      <c r="J2326" s="139" t="s">
        <v>133</v>
      </c>
      <c r="K2326" s="136" t="s">
        <v>133</v>
      </c>
      <c r="L2326" s="153"/>
      <c r="M2326" s="136" t="str">
        <f t="shared" si="1"/>
        <v/>
      </c>
      <c r="O2326" s="141" t="s">
        <v>133</v>
      </c>
      <c r="P2326" s="136" t="str">
        <f>IFERROR(__xludf.DUMMYFUNCTION("""COMPUTED_VALUE"""),"")</f>
        <v/>
      </c>
      <c r="Q2326" s="136" t="str">
        <f>IFERROR(__xludf.DUMMYFUNCTION("""COMPUTED_VALUE"""),"")</f>
        <v/>
      </c>
      <c r="R2326" s="106" t="str">
        <f>IFERROR(__xludf.DUMMYFUNCTION("""COMPUTED_VALUE"""),"")</f>
        <v/>
      </c>
      <c r="S2326" s="106" t="str">
        <f>IFERROR(__xludf.DUMMYFUNCTION("""COMPUTED_VALUE"""),"")</f>
        <v/>
      </c>
      <c r="T2326" s="139" t="str">
        <f>IFERROR(__xludf.DUMMYFUNCTION("""COMPUTED_VALUE"""),"")</f>
        <v/>
      </c>
      <c r="U2326" s="139" t="str">
        <f>IFERROR(__xludf.DUMMYFUNCTION("""COMPUTED_VALUE"""),"")</f>
        <v/>
      </c>
      <c r="V2326" s="136" t="str">
        <f>IFERROR(__xludf.DUMMYFUNCTION("""COMPUTED_VALUE"""),"")</f>
        <v/>
      </c>
      <c r="W2326" s="106" t="str">
        <f>IFERROR(__xludf.DUMMYFUNCTION("""COMPUTED_VALUE"""),"")</f>
        <v/>
      </c>
      <c r="X2326" s="143" t="str">
        <f t="shared" si="2"/>
        <v/>
      </c>
      <c r="Y2326" s="139" t="str">
        <f>IFERROR(__xludf.DUMMYFUNCTION("""COMPUTED_VALUE"""),"")</f>
        <v/>
      </c>
      <c r="Z2326" s="141" t="str">
        <f>IFERROR(__xludf.DUMMYFUNCTION("""COMPUTED_VALUE"""),"")</f>
        <v/>
      </c>
    </row>
    <row r="2327">
      <c r="D2327" s="136" t="str">
        <f t="shared" si="3"/>
        <v/>
      </c>
      <c r="E2327" s="152"/>
      <c r="F2327" s="106" t="s">
        <v>133</v>
      </c>
      <c r="G2327" s="152"/>
      <c r="H2327" s="106" t="s">
        <v>133</v>
      </c>
      <c r="J2327" s="139" t="s">
        <v>133</v>
      </c>
      <c r="K2327" s="136" t="s">
        <v>133</v>
      </c>
      <c r="L2327" s="153"/>
      <c r="M2327" s="136" t="str">
        <f t="shared" si="1"/>
        <v/>
      </c>
      <c r="O2327" s="141" t="s">
        <v>133</v>
      </c>
      <c r="P2327" s="136" t="str">
        <f>IFERROR(__xludf.DUMMYFUNCTION("""COMPUTED_VALUE"""),"")</f>
        <v/>
      </c>
      <c r="Q2327" s="136" t="str">
        <f>IFERROR(__xludf.DUMMYFUNCTION("""COMPUTED_VALUE"""),"")</f>
        <v/>
      </c>
      <c r="R2327" s="106" t="str">
        <f>IFERROR(__xludf.DUMMYFUNCTION("""COMPUTED_VALUE"""),"")</f>
        <v/>
      </c>
      <c r="S2327" s="106" t="str">
        <f>IFERROR(__xludf.DUMMYFUNCTION("""COMPUTED_VALUE"""),"")</f>
        <v/>
      </c>
      <c r="T2327" s="139" t="str">
        <f>IFERROR(__xludf.DUMMYFUNCTION("""COMPUTED_VALUE"""),"")</f>
        <v/>
      </c>
      <c r="U2327" s="139" t="str">
        <f>IFERROR(__xludf.DUMMYFUNCTION("""COMPUTED_VALUE"""),"")</f>
        <v/>
      </c>
      <c r="V2327" s="136" t="str">
        <f>IFERROR(__xludf.DUMMYFUNCTION("""COMPUTED_VALUE"""),"")</f>
        <v/>
      </c>
      <c r="W2327" s="106" t="str">
        <f>IFERROR(__xludf.DUMMYFUNCTION("""COMPUTED_VALUE"""),"")</f>
        <v/>
      </c>
      <c r="X2327" s="143" t="str">
        <f t="shared" si="2"/>
        <v/>
      </c>
      <c r="Y2327" s="139" t="str">
        <f>IFERROR(__xludf.DUMMYFUNCTION("""COMPUTED_VALUE"""),"")</f>
        <v/>
      </c>
      <c r="Z2327" s="141" t="str">
        <f>IFERROR(__xludf.DUMMYFUNCTION("""COMPUTED_VALUE"""),"")</f>
        <v/>
      </c>
    </row>
    <row r="2328">
      <c r="D2328" s="136" t="str">
        <f t="shared" si="3"/>
        <v/>
      </c>
      <c r="E2328" s="152"/>
      <c r="F2328" s="106" t="s">
        <v>133</v>
      </c>
      <c r="G2328" s="152"/>
      <c r="H2328" s="106" t="s">
        <v>133</v>
      </c>
      <c r="J2328" s="139" t="s">
        <v>133</v>
      </c>
      <c r="K2328" s="136" t="s">
        <v>133</v>
      </c>
      <c r="L2328" s="153"/>
      <c r="M2328" s="136" t="str">
        <f t="shared" si="1"/>
        <v/>
      </c>
      <c r="O2328" s="141" t="s">
        <v>133</v>
      </c>
      <c r="P2328" s="136" t="str">
        <f>IFERROR(__xludf.DUMMYFUNCTION("""COMPUTED_VALUE"""),"")</f>
        <v/>
      </c>
      <c r="Q2328" s="136" t="str">
        <f>IFERROR(__xludf.DUMMYFUNCTION("""COMPUTED_VALUE"""),"")</f>
        <v/>
      </c>
      <c r="R2328" s="106" t="str">
        <f>IFERROR(__xludf.DUMMYFUNCTION("""COMPUTED_VALUE"""),"")</f>
        <v/>
      </c>
      <c r="S2328" s="106" t="str">
        <f>IFERROR(__xludf.DUMMYFUNCTION("""COMPUTED_VALUE"""),"")</f>
        <v/>
      </c>
      <c r="T2328" s="139" t="str">
        <f>IFERROR(__xludf.DUMMYFUNCTION("""COMPUTED_VALUE"""),"")</f>
        <v/>
      </c>
      <c r="U2328" s="139" t="str">
        <f>IFERROR(__xludf.DUMMYFUNCTION("""COMPUTED_VALUE"""),"")</f>
        <v/>
      </c>
      <c r="V2328" s="136" t="str">
        <f>IFERROR(__xludf.DUMMYFUNCTION("""COMPUTED_VALUE"""),"")</f>
        <v/>
      </c>
      <c r="W2328" s="106" t="str">
        <f>IFERROR(__xludf.DUMMYFUNCTION("""COMPUTED_VALUE"""),"")</f>
        <v/>
      </c>
      <c r="X2328" s="143" t="str">
        <f t="shared" si="2"/>
        <v/>
      </c>
      <c r="Y2328" s="139" t="str">
        <f>IFERROR(__xludf.DUMMYFUNCTION("""COMPUTED_VALUE"""),"")</f>
        <v/>
      </c>
      <c r="Z2328" s="141" t="str">
        <f>IFERROR(__xludf.DUMMYFUNCTION("""COMPUTED_VALUE"""),"")</f>
        <v/>
      </c>
    </row>
    <row r="2329">
      <c r="D2329" s="136" t="str">
        <f t="shared" si="3"/>
        <v/>
      </c>
      <c r="E2329" s="152"/>
      <c r="F2329" s="106" t="s">
        <v>133</v>
      </c>
      <c r="G2329" s="152"/>
      <c r="H2329" s="106" t="s">
        <v>133</v>
      </c>
      <c r="J2329" s="139" t="s">
        <v>133</v>
      </c>
      <c r="K2329" s="136" t="s">
        <v>133</v>
      </c>
      <c r="L2329" s="153"/>
      <c r="M2329" s="136" t="str">
        <f t="shared" si="1"/>
        <v/>
      </c>
      <c r="O2329" s="141" t="s">
        <v>133</v>
      </c>
      <c r="P2329" s="136" t="str">
        <f>IFERROR(__xludf.DUMMYFUNCTION("""COMPUTED_VALUE"""),"")</f>
        <v/>
      </c>
      <c r="Q2329" s="136" t="str">
        <f>IFERROR(__xludf.DUMMYFUNCTION("""COMPUTED_VALUE"""),"")</f>
        <v/>
      </c>
      <c r="R2329" s="106" t="str">
        <f>IFERROR(__xludf.DUMMYFUNCTION("""COMPUTED_VALUE"""),"")</f>
        <v/>
      </c>
      <c r="S2329" s="106" t="str">
        <f>IFERROR(__xludf.DUMMYFUNCTION("""COMPUTED_VALUE"""),"")</f>
        <v/>
      </c>
      <c r="T2329" s="139" t="str">
        <f>IFERROR(__xludf.DUMMYFUNCTION("""COMPUTED_VALUE"""),"")</f>
        <v/>
      </c>
      <c r="U2329" s="139" t="str">
        <f>IFERROR(__xludf.DUMMYFUNCTION("""COMPUTED_VALUE"""),"")</f>
        <v/>
      </c>
      <c r="V2329" s="136" t="str">
        <f>IFERROR(__xludf.DUMMYFUNCTION("""COMPUTED_VALUE"""),"")</f>
        <v/>
      </c>
      <c r="W2329" s="106" t="str">
        <f>IFERROR(__xludf.DUMMYFUNCTION("""COMPUTED_VALUE"""),"")</f>
        <v/>
      </c>
      <c r="X2329" s="143" t="str">
        <f t="shared" si="2"/>
        <v/>
      </c>
      <c r="Y2329" s="139" t="str">
        <f>IFERROR(__xludf.DUMMYFUNCTION("""COMPUTED_VALUE"""),"")</f>
        <v/>
      </c>
      <c r="Z2329" s="141" t="str">
        <f>IFERROR(__xludf.DUMMYFUNCTION("""COMPUTED_VALUE"""),"")</f>
        <v/>
      </c>
    </row>
    <row r="2330">
      <c r="D2330" s="136" t="str">
        <f t="shared" si="3"/>
        <v/>
      </c>
      <c r="E2330" s="152"/>
      <c r="F2330" s="106" t="s">
        <v>133</v>
      </c>
      <c r="G2330" s="152"/>
      <c r="H2330" s="106" t="s">
        <v>133</v>
      </c>
      <c r="J2330" s="139" t="s">
        <v>133</v>
      </c>
      <c r="K2330" s="136" t="s">
        <v>133</v>
      </c>
      <c r="L2330" s="153"/>
      <c r="M2330" s="136" t="str">
        <f t="shared" si="1"/>
        <v/>
      </c>
      <c r="O2330" s="141" t="s">
        <v>133</v>
      </c>
      <c r="P2330" s="136" t="str">
        <f>IFERROR(__xludf.DUMMYFUNCTION("""COMPUTED_VALUE"""),"")</f>
        <v/>
      </c>
      <c r="Q2330" s="136" t="str">
        <f>IFERROR(__xludf.DUMMYFUNCTION("""COMPUTED_VALUE"""),"")</f>
        <v/>
      </c>
      <c r="R2330" s="106" t="str">
        <f>IFERROR(__xludf.DUMMYFUNCTION("""COMPUTED_VALUE"""),"")</f>
        <v/>
      </c>
      <c r="S2330" s="106" t="str">
        <f>IFERROR(__xludf.DUMMYFUNCTION("""COMPUTED_VALUE"""),"")</f>
        <v/>
      </c>
      <c r="T2330" s="139" t="str">
        <f>IFERROR(__xludf.DUMMYFUNCTION("""COMPUTED_VALUE"""),"")</f>
        <v/>
      </c>
      <c r="U2330" s="139" t="str">
        <f>IFERROR(__xludf.DUMMYFUNCTION("""COMPUTED_VALUE"""),"")</f>
        <v/>
      </c>
      <c r="V2330" s="136" t="str">
        <f>IFERROR(__xludf.DUMMYFUNCTION("""COMPUTED_VALUE"""),"")</f>
        <v/>
      </c>
      <c r="W2330" s="106" t="str">
        <f>IFERROR(__xludf.DUMMYFUNCTION("""COMPUTED_VALUE"""),"")</f>
        <v/>
      </c>
      <c r="X2330" s="143" t="str">
        <f t="shared" si="2"/>
        <v/>
      </c>
      <c r="Y2330" s="139" t="str">
        <f>IFERROR(__xludf.DUMMYFUNCTION("""COMPUTED_VALUE"""),"")</f>
        <v/>
      </c>
      <c r="Z2330" s="141" t="str">
        <f>IFERROR(__xludf.DUMMYFUNCTION("""COMPUTED_VALUE"""),"")</f>
        <v/>
      </c>
    </row>
    <row r="2331">
      <c r="D2331" s="136" t="str">
        <f t="shared" si="3"/>
        <v/>
      </c>
      <c r="E2331" s="152"/>
      <c r="F2331" s="106" t="s">
        <v>133</v>
      </c>
      <c r="G2331" s="152"/>
      <c r="H2331" s="106" t="s">
        <v>133</v>
      </c>
      <c r="J2331" s="139" t="s">
        <v>133</v>
      </c>
      <c r="K2331" s="136" t="s">
        <v>133</v>
      </c>
      <c r="L2331" s="153"/>
      <c r="M2331" s="136" t="str">
        <f t="shared" si="1"/>
        <v/>
      </c>
      <c r="O2331" s="141" t="s">
        <v>133</v>
      </c>
      <c r="P2331" s="136" t="str">
        <f>IFERROR(__xludf.DUMMYFUNCTION("""COMPUTED_VALUE"""),"")</f>
        <v/>
      </c>
      <c r="Q2331" s="136" t="str">
        <f>IFERROR(__xludf.DUMMYFUNCTION("""COMPUTED_VALUE"""),"")</f>
        <v/>
      </c>
      <c r="R2331" s="106" t="str">
        <f>IFERROR(__xludf.DUMMYFUNCTION("""COMPUTED_VALUE"""),"")</f>
        <v/>
      </c>
      <c r="S2331" s="106" t="str">
        <f>IFERROR(__xludf.DUMMYFUNCTION("""COMPUTED_VALUE"""),"")</f>
        <v/>
      </c>
      <c r="T2331" s="139" t="str">
        <f>IFERROR(__xludf.DUMMYFUNCTION("""COMPUTED_VALUE"""),"")</f>
        <v/>
      </c>
      <c r="U2331" s="139" t="str">
        <f>IFERROR(__xludf.DUMMYFUNCTION("""COMPUTED_VALUE"""),"")</f>
        <v/>
      </c>
      <c r="V2331" s="136" t="str">
        <f>IFERROR(__xludf.DUMMYFUNCTION("""COMPUTED_VALUE"""),"")</f>
        <v/>
      </c>
      <c r="W2331" s="106" t="str">
        <f>IFERROR(__xludf.DUMMYFUNCTION("""COMPUTED_VALUE"""),"")</f>
        <v/>
      </c>
      <c r="X2331" s="143" t="str">
        <f t="shared" si="2"/>
        <v/>
      </c>
      <c r="Y2331" s="139" t="str">
        <f>IFERROR(__xludf.DUMMYFUNCTION("""COMPUTED_VALUE"""),"")</f>
        <v/>
      </c>
      <c r="Z2331" s="141" t="str">
        <f>IFERROR(__xludf.DUMMYFUNCTION("""COMPUTED_VALUE"""),"")</f>
        <v/>
      </c>
    </row>
    <row r="2332">
      <c r="D2332" s="136" t="str">
        <f t="shared" si="3"/>
        <v/>
      </c>
      <c r="E2332" s="152"/>
      <c r="F2332" s="106" t="s">
        <v>133</v>
      </c>
      <c r="G2332" s="152"/>
      <c r="H2332" s="106" t="s">
        <v>133</v>
      </c>
      <c r="J2332" s="139" t="s">
        <v>133</v>
      </c>
      <c r="K2332" s="136" t="s">
        <v>133</v>
      </c>
      <c r="L2332" s="153"/>
      <c r="M2332" s="136" t="str">
        <f t="shared" si="1"/>
        <v/>
      </c>
      <c r="O2332" s="141" t="s">
        <v>133</v>
      </c>
      <c r="P2332" s="136" t="str">
        <f>IFERROR(__xludf.DUMMYFUNCTION("""COMPUTED_VALUE"""),"")</f>
        <v/>
      </c>
      <c r="Q2332" s="136" t="str">
        <f>IFERROR(__xludf.DUMMYFUNCTION("""COMPUTED_VALUE"""),"")</f>
        <v/>
      </c>
      <c r="R2332" s="106" t="str">
        <f>IFERROR(__xludf.DUMMYFUNCTION("""COMPUTED_VALUE"""),"")</f>
        <v/>
      </c>
      <c r="S2332" s="106" t="str">
        <f>IFERROR(__xludf.DUMMYFUNCTION("""COMPUTED_VALUE"""),"")</f>
        <v/>
      </c>
      <c r="T2332" s="139" t="str">
        <f>IFERROR(__xludf.DUMMYFUNCTION("""COMPUTED_VALUE"""),"")</f>
        <v/>
      </c>
      <c r="U2332" s="139" t="str">
        <f>IFERROR(__xludf.DUMMYFUNCTION("""COMPUTED_VALUE"""),"")</f>
        <v/>
      </c>
      <c r="V2332" s="136" t="str">
        <f>IFERROR(__xludf.DUMMYFUNCTION("""COMPUTED_VALUE"""),"")</f>
        <v/>
      </c>
      <c r="W2332" s="106" t="str">
        <f>IFERROR(__xludf.DUMMYFUNCTION("""COMPUTED_VALUE"""),"")</f>
        <v/>
      </c>
      <c r="X2332" s="143" t="str">
        <f t="shared" si="2"/>
        <v/>
      </c>
      <c r="Y2332" s="139" t="str">
        <f>IFERROR(__xludf.DUMMYFUNCTION("""COMPUTED_VALUE"""),"")</f>
        <v/>
      </c>
      <c r="Z2332" s="141" t="str">
        <f>IFERROR(__xludf.DUMMYFUNCTION("""COMPUTED_VALUE"""),"")</f>
        <v/>
      </c>
    </row>
    <row r="2333">
      <c r="D2333" s="136" t="str">
        <f t="shared" si="3"/>
        <v/>
      </c>
      <c r="E2333" s="152"/>
      <c r="F2333" s="106" t="s">
        <v>133</v>
      </c>
      <c r="G2333" s="152"/>
      <c r="H2333" s="106" t="s">
        <v>133</v>
      </c>
      <c r="J2333" s="139" t="s">
        <v>133</v>
      </c>
      <c r="K2333" s="136" t="s">
        <v>133</v>
      </c>
      <c r="L2333" s="153"/>
      <c r="M2333" s="136" t="str">
        <f t="shared" si="1"/>
        <v/>
      </c>
      <c r="O2333" s="141" t="s">
        <v>133</v>
      </c>
      <c r="P2333" s="136" t="str">
        <f>IFERROR(__xludf.DUMMYFUNCTION("""COMPUTED_VALUE"""),"")</f>
        <v/>
      </c>
      <c r="Q2333" s="136" t="str">
        <f>IFERROR(__xludf.DUMMYFUNCTION("""COMPUTED_VALUE"""),"")</f>
        <v/>
      </c>
      <c r="R2333" s="106" t="str">
        <f>IFERROR(__xludf.DUMMYFUNCTION("""COMPUTED_VALUE"""),"")</f>
        <v/>
      </c>
      <c r="S2333" s="106" t="str">
        <f>IFERROR(__xludf.DUMMYFUNCTION("""COMPUTED_VALUE"""),"")</f>
        <v/>
      </c>
      <c r="T2333" s="139" t="str">
        <f>IFERROR(__xludf.DUMMYFUNCTION("""COMPUTED_VALUE"""),"")</f>
        <v/>
      </c>
      <c r="U2333" s="139" t="str">
        <f>IFERROR(__xludf.DUMMYFUNCTION("""COMPUTED_VALUE"""),"")</f>
        <v/>
      </c>
      <c r="V2333" s="136" t="str">
        <f>IFERROR(__xludf.DUMMYFUNCTION("""COMPUTED_VALUE"""),"")</f>
        <v/>
      </c>
      <c r="W2333" s="106" t="str">
        <f>IFERROR(__xludf.DUMMYFUNCTION("""COMPUTED_VALUE"""),"")</f>
        <v/>
      </c>
      <c r="X2333" s="143" t="str">
        <f t="shared" si="2"/>
        <v/>
      </c>
      <c r="Y2333" s="139" t="str">
        <f>IFERROR(__xludf.DUMMYFUNCTION("""COMPUTED_VALUE"""),"")</f>
        <v/>
      </c>
      <c r="Z2333" s="141" t="str">
        <f>IFERROR(__xludf.DUMMYFUNCTION("""COMPUTED_VALUE"""),"")</f>
        <v/>
      </c>
    </row>
    <row r="2334">
      <c r="D2334" s="136" t="str">
        <f t="shared" si="3"/>
        <v/>
      </c>
      <c r="E2334" s="152"/>
      <c r="F2334" s="106" t="s">
        <v>133</v>
      </c>
      <c r="G2334" s="152"/>
      <c r="H2334" s="106" t="s">
        <v>133</v>
      </c>
      <c r="J2334" s="139" t="s">
        <v>133</v>
      </c>
      <c r="K2334" s="136" t="s">
        <v>133</v>
      </c>
      <c r="L2334" s="153"/>
      <c r="M2334" s="136" t="str">
        <f t="shared" si="1"/>
        <v/>
      </c>
      <c r="O2334" s="141" t="s">
        <v>133</v>
      </c>
      <c r="P2334" s="136" t="str">
        <f>IFERROR(__xludf.DUMMYFUNCTION("""COMPUTED_VALUE"""),"")</f>
        <v/>
      </c>
      <c r="Q2334" s="136" t="str">
        <f>IFERROR(__xludf.DUMMYFUNCTION("""COMPUTED_VALUE"""),"")</f>
        <v/>
      </c>
      <c r="R2334" s="106" t="str">
        <f>IFERROR(__xludf.DUMMYFUNCTION("""COMPUTED_VALUE"""),"")</f>
        <v/>
      </c>
      <c r="S2334" s="106" t="str">
        <f>IFERROR(__xludf.DUMMYFUNCTION("""COMPUTED_VALUE"""),"")</f>
        <v/>
      </c>
      <c r="T2334" s="139" t="str">
        <f>IFERROR(__xludf.DUMMYFUNCTION("""COMPUTED_VALUE"""),"")</f>
        <v/>
      </c>
      <c r="U2334" s="139" t="str">
        <f>IFERROR(__xludf.DUMMYFUNCTION("""COMPUTED_VALUE"""),"")</f>
        <v/>
      </c>
      <c r="V2334" s="136" t="str">
        <f>IFERROR(__xludf.DUMMYFUNCTION("""COMPUTED_VALUE"""),"")</f>
        <v/>
      </c>
      <c r="W2334" s="106" t="str">
        <f>IFERROR(__xludf.DUMMYFUNCTION("""COMPUTED_VALUE"""),"")</f>
        <v/>
      </c>
      <c r="X2334" s="143" t="str">
        <f t="shared" si="2"/>
        <v/>
      </c>
      <c r="Y2334" s="139" t="str">
        <f>IFERROR(__xludf.DUMMYFUNCTION("""COMPUTED_VALUE"""),"")</f>
        <v/>
      </c>
      <c r="Z2334" s="141" t="str">
        <f>IFERROR(__xludf.DUMMYFUNCTION("""COMPUTED_VALUE"""),"")</f>
        <v/>
      </c>
    </row>
    <row r="2335">
      <c r="D2335" s="136" t="str">
        <f t="shared" si="3"/>
        <v/>
      </c>
      <c r="E2335" s="152"/>
      <c r="F2335" s="106" t="s">
        <v>133</v>
      </c>
      <c r="G2335" s="152"/>
      <c r="H2335" s="106" t="s">
        <v>133</v>
      </c>
      <c r="J2335" s="139" t="s">
        <v>133</v>
      </c>
      <c r="K2335" s="136" t="s">
        <v>133</v>
      </c>
      <c r="L2335" s="153"/>
      <c r="M2335" s="136" t="str">
        <f t="shared" si="1"/>
        <v/>
      </c>
      <c r="O2335" s="141" t="s">
        <v>133</v>
      </c>
      <c r="P2335" s="136" t="str">
        <f>IFERROR(__xludf.DUMMYFUNCTION("""COMPUTED_VALUE"""),"")</f>
        <v/>
      </c>
      <c r="Q2335" s="136" t="str">
        <f>IFERROR(__xludf.DUMMYFUNCTION("""COMPUTED_VALUE"""),"")</f>
        <v/>
      </c>
      <c r="R2335" s="106" t="str">
        <f>IFERROR(__xludf.DUMMYFUNCTION("""COMPUTED_VALUE"""),"")</f>
        <v/>
      </c>
      <c r="S2335" s="106" t="str">
        <f>IFERROR(__xludf.DUMMYFUNCTION("""COMPUTED_VALUE"""),"")</f>
        <v/>
      </c>
      <c r="T2335" s="139" t="str">
        <f>IFERROR(__xludf.DUMMYFUNCTION("""COMPUTED_VALUE"""),"")</f>
        <v/>
      </c>
      <c r="U2335" s="139" t="str">
        <f>IFERROR(__xludf.DUMMYFUNCTION("""COMPUTED_VALUE"""),"")</f>
        <v/>
      </c>
      <c r="V2335" s="136" t="str">
        <f>IFERROR(__xludf.DUMMYFUNCTION("""COMPUTED_VALUE"""),"")</f>
        <v/>
      </c>
      <c r="W2335" s="106" t="str">
        <f>IFERROR(__xludf.DUMMYFUNCTION("""COMPUTED_VALUE"""),"")</f>
        <v/>
      </c>
      <c r="X2335" s="143" t="str">
        <f t="shared" si="2"/>
        <v/>
      </c>
      <c r="Y2335" s="139" t="str">
        <f>IFERROR(__xludf.DUMMYFUNCTION("""COMPUTED_VALUE"""),"")</f>
        <v/>
      </c>
      <c r="Z2335" s="141" t="str">
        <f>IFERROR(__xludf.DUMMYFUNCTION("""COMPUTED_VALUE"""),"")</f>
        <v/>
      </c>
    </row>
    <row r="2336">
      <c r="D2336" s="136" t="str">
        <f t="shared" si="3"/>
        <v/>
      </c>
      <c r="E2336" s="152"/>
      <c r="F2336" s="106" t="s">
        <v>133</v>
      </c>
      <c r="G2336" s="152"/>
      <c r="H2336" s="106" t="s">
        <v>133</v>
      </c>
      <c r="J2336" s="139" t="s">
        <v>133</v>
      </c>
      <c r="K2336" s="136" t="s">
        <v>133</v>
      </c>
      <c r="L2336" s="153"/>
      <c r="M2336" s="136" t="str">
        <f t="shared" si="1"/>
        <v/>
      </c>
      <c r="O2336" s="141" t="s">
        <v>133</v>
      </c>
      <c r="P2336" s="136" t="str">
        <f>IFERROR(__xludf.DUMMYFUNCTION("""COMPUTED_VALUE"""),"")</f>
        <v/>
      </c>
      <c r="Q2336" s="136" t="str">
        <f>IFERROR(__xludf.DUMMYFUNCTION("""COMPUTED_VALUE"""),"")</f>
        <v/>
      </c>
      <c r="R2336" s="106" t="str">
        <f>IFERROR(__xludf.DUMMYFUNCTION("""COMPUTED_VALUE"""),"")</f>
        <v/>
      </c>
      <c r="S2336" s="106" t="str">
        <f>IFERROR(__xludf.DUMMYFUNCTION("""COMPUTED_VALUE"""),"")</f>
        <v/>
      </c>
      <c r="T2336" s="139" t="str">
        <f>IFERROR(__xludf.DUMMYFUNCTION("""COMPUTED_VALUE"""),"")</f>
        <v/>
      </c>
      <c r="U2336" s="139" t="str">
        <f>IFERROR(__xludf.DUMMYFUNCTION("""COMPUTED_VALUE"""),"")</f>
        <v/>
      </c>
      <c r="V2336" s="136" t="str">
        <f>IFERROR(__xludf.DUMMYFUNCTION("""COMPUTED_VALUE"""),"")</f>
        <v/>
      </c>
      <c r="W2336" s="106" t="str">
        <f>IFERROR(__xludf.DUMMYFUNCTION("""COMPUTED_VALUE"""),"")</f>
        <v/>
      </c>
      <c r="X2336" s="143" t="str">
        <f t="shared" si="2"/>
        <v/>
      </c>
      <c r="Y2336" s="139" t="str">
        <f>IFERROR(__xludf.DUMMYFUNCTION("""COMPUTED_VALUE"""),"")</f>
        <v/>
      </c>
      <c r="Z2336" s="141" t="str">
        <f>IFERROR(__xludf.DUMMYFUNCTION("""COMPUTED_VALUE"""),"")</f>
        <v/>
      </c>
    </row>
    <row r="2337">
      <c r="D2337" s="136" t="str">
        <f t="shared" si="3"/>
        <v/>
      </c>
      <c r="E2337" s="152"/>
      <c r="F2337" s="106" t="s">
        <v>133</v>
      </c>
      <c r="G2337" s="152"/>
      <c r="H2337" s="106" t="s">
        <v>133</v>
      </c>
      <c r="J2337" s="139" t="s">
        <v>133</v>
      </c>
      <c r="K2337" s="136" t="s">
        <v>133</v>
      </c>
      <c r="L2337" s="153"/>
      <c r="M2337" s="136" t="str">
        <f t="shared" si="1"/>
        <v/>
      </c>
      <c r="O2337" s="141" t="s">
        <v>133</v>
      </c>
      <c r="P2337" s="136" t="str">
        <f>IFERROR(__xludf.DUMMYFUNCTION("""COMPUTED_VALUE"""),"")</f>
        <v/>
      </c>
      <c r="Q2337" s="136" t="str">
        <f>IFERROR(__xludf.DUMMYFUNCTION("""COMPUTED_VALUE"""),"")</f>
        <v/>
      </c>
      <c r="R2337" s="106" t="str">
        <f>IFERROR(__xludf.DUMMYFUNCTION("""COMPUTED_VALUE"""),"")</f>
        <v/>
      </c>
      <c r="S2337" s="106" t="str">
        <f>IFERROR(__xludf.DUMMYFUNCTION("""COMPUTED_VALUE"""),"")</f>
        <v/>
      </c>
      <c r="T2337" s="139" t="str">
        <f>IFERROR(__xludf.DUMMYFUNCTION("""COMPUTED_VALUE"""),"")</f>
        <v/>
      </c>
      <c r="U2337" s="139" t="str">
        <f>IFERROR(__xludf.DUMMYFUNCTION("""COMPUTED_VALUE"""),"")</f>
        <v/>
      </c>
      <c r="V2337" s="136" t="str">
        <f>IFERROR(__xludf.DUMMYFUNCTION("""COMPUTED_VALUE"""),"")</f>
        <v/>
      </c>
      <c r="W2337" s="106" t="str">
        <f>IFERROR(__xludf.DUMMYFUNCTION("""COMPUTED_VALUE"""),"")</f>
        <v/>
      </c>
      <c r="X2337" s="143" t="str">
        <f t="shared" si="2"/>
        <v/>
      </c>
      <c r="Y2337" s="139" t="str">
        <f>IFERROR(__xludf.DUMMYFUNCTION("""COMPUTED_VALUE"""),"")</f>
        <v/>
      </c>
      <c r="Z2337" s="141" t="str">
        <f>IFERROR(__xludf.DUMMYFUNCTION("""COMPUTED_VALUE"""),"")</f>
        <v/>
      </c>
    </row>
    <row r="2338">
      <c r="D2338" s="136" t="str">
        <f t="shared" si="3"/>
        <v/>
      </c>
      <c r="E2338" s="152"/>
      <c r="F2338" s="106" t="s">
        <v>133</v>
      </c>
      <c r="G2338" s="152"/>
      <c r="H2338" s="106" t="s">
        <v>133</v>
      </c>
      <c r="J2338" s="139" t="s">
        <v>133</v>
      </c>
      <c r="K2338" s="136" t="s">
        <v>133</v>
      </c>
      <c r="L2338" s="153"/>
      <c r="M2338" s="136" t="str">
        <f t="shared" si="1"/>
        <v/>
      </c>
      <c r="O2338" s="141" t="s">
        <v>133</v>
      </c>
      <c r="P2338" s="136" t="str">
        <f>IFERROR(__xludf.DUMMYFUNCTION("""COMPUTED_VALUE"""),"")</f>
        <v/>
      </c>
      <c r="Q2338" s="136" t="str">
        <f>IFERROR(__xludf.DUMMYFUNCTION("""COMPUTED_VALUE"""),"")</f>
        <v/>
      </c>
      <c r="R2338" s="106" t="str">
        <f>IFERROR(__xludf.DUMMYFUNCTION("""COMPUTED_VALUE"""),"")</f>
        <v/>
      </c>
      <c r="S2338" s="106" t="str">
        <f>IFERROR(__xludf.DUMMYFUNCTION("""COMPUTED_VALUE"""),"")</f>
        <v/>
      </c>
      <c r="T2338" s="139" t="str">
        <f>IFERROR(__xludf.DUMMYFUNCTION("""COMPUTED_VALUE"""),"")</f>
        <v/>
      </c>
      <c r="U2338" s="139" t="str">
        <f>IFERROR(__xludf.DUMMYFUNCTION("""COMPUTED_VALUE"""),"")</f>
        <v/>
      </c>
      <c r="V2338" s="136" t="str">
        <f>IFERROR(__xludf.DUMMYFUNCTION("""COMPUTED_VALUE"""),"")</f>
        <v/>
      </c>
      <c r="W2338" s="106" t="str">
        <f>IFERROR(__xludf.DUMMYFUNCTION("""COMPUTED_VALUE"""),"")</f>
        <v/>
      </c>
      <c r="X2338" s="143" t="str">
        <f t="shared" si="2"/>
        <v/>
      </c>
      <c r="Y2338" s="139" t="str">
        <f>IFERROR(__xludf.DUMMYFUNCTION("""COMPUTED_VALUE"""),"")</f>
        <v/>
      </c>
      <c r="Z2338" s="141" t="str">
        <f>IFERROR(__xludf.DUMMYFUNCTION("""COMPUTED_VALUE"""),"")</f>
        <v/>
      </c>
    </row>
    <row r="2339">
      <c r="D2339" s="136" t="str">
        <f t="shared" si="3"/>
        <v/>
      </c>
      <c r="E2339" s="152"/>
      <c r="F2339" s="106" t="s">
        <v>133</v>
      </c>
      <c r="G2339" s="152"/>
      <c r="H2339" s="106" t="s">
        <v>133</v>
      </c>
      <c r="J2339" s="139" t="s">
        <v>133</v>
      </c>
      <c r="K2339" s="136" t="s">
        <v>133</v>
      </c>
      <c r="L2339" s="153"/>
      <c r="M2339" s="136" t="str">
        <f t="shared" si="1"/>
        <v/>
      </c>
      <c r="O2339" s="141" t="s">
        <v>133</v>
      </c>
      <c r="P2339" s="136" t="str">
        <f>IFERROR(__xludf.DUMMYFUNCTION("""COMPUTED_VALUE"""),"")</f>
        <v/>
      </c>
      <c r="Q2339" s="136" t="str">
        <f>IFERROR(__xludf.DUMMYFUNCTION("""COMPUTED_VALUE"""),"")</f>
        <v/>
      </c>
      <c r="R2339" s="106" t="str">
        <f>IFERROR(__xludf.DUMMYFUNCTION("""COMPUTED_VALUE"""),"")</f>
        <v/>
      </c>
      <c r="S2339" s="106" t="str">
        <f>IFERROR(__xludf.DUMMYFUNCTION("""COMPUTED_VALUE"""),"")</f>
        <v/>
      </c>
      <c r="T2339" s="139" t="str">
        <f>IFERROR(__xludf.DUMMYFUNCTION("""COMPUTED_VALUE"""),"")</f>
        <v/>
      </c>
      <c r="U2339" s="139" t="str">
        <f>IFERROR(__xludf.DUMMYFUNCTION("""COMPUTED_VALUE"""),"")</f>
        <v/>
      </c>
      <c r="V2339" s="136" t="str">
        <f>IFERROR(__xludf.DUMMYFUNCTION("""COMPUTED_VALUE"""),"")</f>
        <v/>
      </c>
      <c r="W2339" s="106" t="str">
        <f>IFERROR(__xludf.DUMMYFUNCTION("""COMPUTED_VALUE"""),"")</f>
        <v/>
      </c>
      <c r="X2339" s="143" t="str">
        <f t="shared" si="2"/>
        <v/>
      </c>
      <c r="Y2339" s="139" t="str">
        <f>IFERROR(__xludf.DUMMYFUNCTION("""COMPUTED_VALUE"""),"")</f>
        <v/>
      </c>
      <c r="Z2339" s="141" t="str">
        <f>IFERROR(__xludf.DUMMYFUNCTION("""COMPUTED_VALUE"""),"")</f>
        <v/>
      </c>
    </row>
    <row r="2340">
      <c r="D2340" s="136" t="str">
        <f t="shared" si="3"/>
        <v/>
      </c>
      <c r="E2340" s="152"/>
      <c r="F2340" s="106" t="s">
        <v>133</v>
      </c>
      <c r="G2340" s="152"/>
      <c r="H2340" s="106" t="s">
        <v>133</v>
      </c>
      <c r="J2340" s="139" t="s">
        <v>133</v>
      </c>
      <c r="K2340" s="136" t="s">
        <v>133</v>
      </c>
      <c r="L2340" s="153"/>
      <c r="M2340" s="136" t="str">
        <f t="shared" si="1"/>
        <v/>
      </c>
      <c r="O2340" s="141" t="s">
        <v>133</v>
      </c>
      <c r="P2340" s="136" t="str">
        <f>IFERROR(__xludf.DUMMYFUNCTION("""COMPUTED_VALUE"""),"")</f>
        <v/>
      </c>
      <c r="Q2340" s="136" t="str">
        <f>IFERROR(__xludf.DUMMYFUNCTION("""COMPUTED_VALUE"""),"")</f>
        <v/>
      </c>
      <c r="R2340" s="106" t="str">
        <f>IFERROR(__xludf.DUMMYFUNCTION("""COMPUTED_VALUE"""),"")</f>
        <v/>
      </c>
      <c r="S2340" s="106" t="str">
        <f>IFERROR(__xludf.DUMMYFUNCTION("""COMPUTED_VALUE"""),"")</f>
        <v/>
      </c>
      <c r="T2340" s="139" t="str">
        <f>IFERROR(__xludf.DUMMYFUNCTION("""COMPUTED_VALUE"""),"")</f>
        <v/>
      </c>
      <c r="U2340" s="139" t="str">
        <f>IFERROR(__xludf.DUMMYFUNCTION("""COMPUTED_VALUE"""),"")</f>
        <v/>
      </c>
      <c r="V2340" s="136" t="str">
        <f>IFERROR(__xludf.DUMMYFUNCTION("""COMPUTED_VALUE"""),"")</f>
        <v/>
      </c>
      <c r="W2340" s="106" t="str">
        <f>IFERROR(__xludf.DUMMYFUNCTION("""COMPUTED_VALUE"""),"")</f>
        <v/>
      </c>
      <c r="X2340" s="143" t="str">
        <f t="shared" si="2"/>
        <v/>
      </c>
      <c r="Y2340" s="139" t="str">
        <f>IFERROR(__xludf.DUMMYFUNCTION("""COMPUTED_VALUE"""),"")</f>
        <v/>
      </c>
      <c r="Z2340" s="141" t="str">
        <f>IFERROR(__xludf.DUMMYFUNCTION("""COMPUTED_VALUE"""),"")</f>
        <v/>
      </c>
    </row>
    <row r="2341">
      <c r="D2341" s="136" t="str">
        <f t="shared" si="3"/>
        <v/>
      </c>
      <c r="E2341" s="152"/>
      <c r="F2341" s="106" t="s">
        <v>133</v>
      </c>
      <c r="G2341" s="152"/>
      <c r="H2341" s="106" t="s">
        <v>133</v>
      </c>
      <c r="J2341" s="139" t="s">
        <v>133</v>
      </c>
      <c r="K2341" s="136" t="s">
        <v>133</v>
      </c>
      <c r="L2341" s="153"/>
      <c r="M2341" s="136" t="str">
        <f t="shared" si="1"/>
        <v/>
      </c>
      <c r="O2341" s="141" t="s">
        <v>133</v>
      </c>
      <c r="P2341" s="136" t="str">
        <f>IFERROR(__xludf.DUMMYFUNCTION("""COMPUTED_VALUE"""),"")</f>
        <v/>
      </c>
      <c r="Q2341" s="136" t="str">
        <f>IFERROR(__xludf.DUMMYFUNCTION("""COMPUTED_VALUE"""),"")</f>
        <v/>
      </c>
      <c r="R2341" s="106" t="str">
        <f>IFERROR(__xludf.DUMMYFUNCTION("""COMPUTED_VALUE"""),"")</f>
        <v/>
      </c>
      <c r="S2341" s="106" t="str">
        <f>IFERROR(__xludf.DUMMYFUNCTION("""COMPUTED_VALUE"""),"")</f>
        <v/>
      </c>
      <c r="T2341" s="139" t="str">
        <f>IFERROR(__xludf.DUMMYFUNCTION("""COMPUTED_VALUE"""),"")</f>
        <v/>
      </c>
      <c r="U2341" s="139" t="str">
        <f>IFERROR(__xludf.DUMMYFUNCTION("""COMPUTED_VALUE"""),"")</f>
        <v/>
      </c>
      <c r="V2341" s="136" t="str">
        <f>IFERROR(__xludf.DUMMYFUNCTION("""COMPUTED_VALUE"""),"")</f>
        <v/>
      </c>
      <c r="W2341" s="106" t="str">
        <f>IFERROR(__xludf.DUMMYFUNCTION("""COMPUTED_VALUE"""),"")</f>
        <v/>
      </c>
      <c r="X2341" s="143" t="str">
        <f t="shared" si="2"/>
        <v/>
      </c>
      <c r="Y2341" s="139" t="str">
        <f>IFERROR(__xludf.DUMMYFUNCTION("""COMPUTED_VALUE"""),"")</f>
        <v/>
      </c>
      <c r="Z2341" s="141" t="str">
        <f>IFERROR(__xludf.DUMMYFUNCTION("""COMPUTED_VALUE"""),"")</f>
        <v/>
      </c>
    </row>
    <row r="2342">
      <c r="D2342" s="136" t="str">
        <f t="shared" si="3"/>
        <v/>
      </c>
      <c r="E2342" s="152"/>
      <c r="F2342" s="106" t="s">
        <v>133</v>
      </c>
      <c r="G2342" s="152"/>
      <c r="H2342" s="106" t="s">
        <v>133</v>
      </c>
      <c r="J2342" s="139" t="s">
        <v>133</v>
      </c>
      <c r="K2342" s="136" t="s">
        <v>133</v>
      </c>
      <c r="L2342" s="153"/>
      <c r="M2342" s="136" t="str">
        <f t="shared" si="1"/>
        <v/>
      </c>
      <c r="O2342" s="141" t="s">
        <v>133</v>
      </c>
      <c r="P2342" s="136" t="str">
        <f>IFERROR(__xludf.DUMMYFUNCTION("""COMPUTED_VALUE"""),"")</f>
        <v/>
      </c>
      <c r="Q2342" s="136" t="str">
        <f>IFERROR(__xludf.DUMMYFUNCTION("""COMPUTED_VALUE"""),"")</f>
        <v/>
      </c>
      <c r="R2342" s="106" t="str">
        <f>IFERROR(__xludf.DUMMYFUNCTION("""COMPUTED_VALUE"""),"")</f>
        <v/>
      </c>
      <c r="S2342" s="106" t="str">
        <f>IFERROR(__xludf.DUMMYFUNCTION("""COMPUTED_VALUE"""),"")</f>
        <v/>
      </c>
      <c r="T2342" s="139" t="str">
        <f>IFERROR(__xludf.DUMMYFUNCTION("""COMPUTED_VALUE"""),"")</f>
        <v/>
      </c>
      <c r="U2342" s="139" t="str">
        <f>IFERROR(__xludf.DUMMYFUNCTION("""COMPUTED_VALUE"""),"")</f>
        <v/>
      </c>
      <c r="V2342" s="136" t="str">
        <f>IFERROR(__xludf.DUMMYFUNCTION("""COMPUTED_VALUE"""),"")</f>
        <v/>
      </c>
      <c r="W2342" s="106" t="str">
        <f>IFERROR(__xludf.DUMMYFUNCTION("""COMPUTED_VALUE"""),"")</f>
        <v/>
      </c>
      <c r="X2342" s="143" t="str">
        <f t="shared" si="2"/>
        <v/>
      </c>
      <c r="Y2342" s="139" t="str">
        <f>IFERROR(__xludf.DUMMYFUNCTION("""COMPUTED_VALUE"""),"")</f>
        <v/>
      </c>
      <c r="Z2342" s="141" t="str">
        <f>IFERROR(__xludf.DUMMYFUNCTION("""COMPUTED_VALUE"""),"")</f>
        <v/>
      </c>
    </row>
    <row r="2343">
      <c r="D2343" s="136" t="str">
        <f t="shared" si="3"/>
        <v/>
      </c>
      <c r="E2343" s="152"/>
      <c r="F2343" s="106" t="s">
        <v>133</v>
      </c>
      <c r="G2343" s="152"/>
      <c r="H2343" s="106" t="s">
        <v>133</v>
      </c>
      <c r="J2343" s="139" t="s">
        <v>133</v>
      </c>
      <c r="K2343" s="136" t="s">
        <v>133</v>
      </c>
      <c r="L2343" s="153"/>
      <c r="M2343" s="136" t="str">
        <f t="shared" si="1"/>
        <v/>
      </c>
      <c r="O2343" s="141" t="s">
        <v>133</v>
      </c>
      <c r="P2343" s="136" t="str">
        <f>IFERROR(__xludf.DUMMYFUNCTION("""COMPUTED_VALUE"""),"")</f>
        <v/>
      </c>
      <c r="Q2343" s="136" t="str">
        <f>IFERROR(__xludf.DUMMYFUNCTION("""COMPUTED_VALUE"""),"")</f>
        <v/>
      </c>
      <c r="R2343" s="106" t="str">
        <f>IFERROR(__xludf.DUMMYFUNCTION("""COMPUTED_VALUE"""),"")</f>
        <v/>
      </c>
      <c r="S2343" s="106" t="str">
        <f>IFERROR(__xludf.DUMMYFUNCTION("""COMPUTED_VALUE"""),"")</f>
        <v/>
      </c>
      <c r="T2343" s="139" t="str">
        <f>IFERROR(__xludf.DUMMYFUNCTION("""COMPUTED_VALUE"""),"")</f>
        <v/>
      </c>
      <c r="U2343" s="139" t="str">
        <f>IFERROR(__xludf.DUMMYFUNCTION("""COMPUTED_VALUE"""),"")</f>
        <v/>
      </c>
      <c r="V2343" s="136" t="str">
        <f>IFERROR(__xludf.DUMMYFUNCTION("""COMPUTED_VALUE"""),"")</f>
        <v/>
      </c>
      <c r="W2343" s="106" t="str">
        <f>IFERROR(__xludf.DUMMYFUNCTION("""COMPUTED_VALUE"""),"")</f>
        <v/>
      </c>
      <c r="X2343" s="143" t="str">
        <f t="shared" si="2"/>
        <v/>
      </c>
      <c r="Y2343" s="139" t="str">
        <f>IFERROR(__xludf.DUMMYFUNCTION("""COMPUTED_VALUE"""),"")</f>
        <v/>
      </c>
      <c r="Z2343" s="141" t="str">
        <f>IFERROR(__xludf.DUMMYFUNCTION("""COMPUTED_VALUE"""),"")</f>
        <v/>
      </c>
    </row>
    <row r="2344">
      <c r="D2344" s="136" t="str">
        <f t="shared" si="3"/>
        <v/>
      </c>
      <c r="E2344" s="152"/>
      <c r="F2344" s="106" t="s">
        <v>133</v>
      </c>
      <c r="G2344" s="152"/>
      <c r="H2344" s="106" t="s">
        <v>133</v>
      </c>
      <c r="J2344" s="139" t="s">
        <v>133</v>
      </c>
      <c r="K2344" s="136" t="s">
        <v>133</v>
      </c>
      <c r="L2344" s="153"/>
      <c r="M2344" s="136" t="str">
        <f t="shared" si="1"/>
        <v/>
      </c>
      <c r="O2344" s="141" t="s">
        <v>133</v>
      </c>
      <c r="P2344" s="136" t="str">
        <f>IFERROR(__xludf.DUMMYFUNCTION("""COMPUTED_VALUE"""),"")</f>
        <v/>
      </c>
      <c r="Q2344" s="136" t="str">
        <f>IFERROR(__xludf.DUMMYFUNCTION("""COMPUTED_VALUE"""),"")</f>
        <v/>
      </c>
      <c r="R2344" s="106" t="str">
        <f>IFERROR(__xludf.DUMMYFUNCTION("""COMPUTED_VALUE"""),"")</f>
        <v/>
      </c>
      <c r="S2344" s="106" t="str">
        <f>IFERROR(__xludf.DUMMYFUNCTION("""COMPUTED_VALUE"""),"")</f>
        <v/>
      </c>
      <c r="T2344" s="139" t="str">
        <f>IFERROR(__xludf.DUMMYFUNCTION("""COMPUTED_VALUE"""),"")</f>
        <v/>
      </c>
      <c r="U2344" s="139" t="str">
        <f>IFERROR(__xludf.DUMMYFUNCTION("""COMPUTED_VALUE"""),"")</f>
        <v/>
      </c>
      <c r="V2344" s="136" t="str">
        <f>IFERROR(__xludf.DUMMYFUNCTION("""COMPUTED_VALUE"""),"")</f>
        <v/>
      </c>
      <c r="W2344" s="106" t="str">
        <f>IFERROR(__xludf.DUMMYFUNCTION("""COMPUTED_VALUE"""),"")</f>
        <v/>
      </c>
      <c r="X2344" s="143" t="str">
        <f t="shared" si="2"/>
        <v/>
      </c>
      <c r="Y2344" s="139" t="str">
        <f>IFERROR(__xludf.DUMMYFUNCTION("""COMPUTED_VALUE"""),"")</f>
        <v/>
      </c>
      <c r="Z2344" s="141" t="str">
        <f>IFERROR(__xludf.DUMMYFUNCTION("""COMPUTED_VALUE"""),"")</f>
        <v/>
      </c>
    </row>
    <row r="2345">
      <c r="D2345" s="136" t="str">
        <f t="shared" si="3"/>
        <v/>
      </c>
      <c r="E2345" s="152"/>
      <c r="F2345" s="106" t="s">
        <v>133</v>
      </c>
      <c r="G2345" s="152"/>
      <c r="H2345" s="106" t="s">
        <v>133</v>
      </c>
      <c r="J2345" s="139" t="s">
        <v>133</v>
      </c>
      <c r="K2345" s="136" t="s">
        <v>133</v>
      </c>
      <c r="L2345" s="153"/>
      <c r="M2345" s="136" t="str">
        <f t="shared" si="1"/>
        <v/>
      </c>
      <c r="O2345" s="141" t="s">
        <v>133</v>
      </c>
      <c r="P2345" s="136" t="str">
        <f>IFERROR(__xludf.DUMMYFUNCTION("""COMPUTED_VALUE"""),"")</f>
        <v/>
      </c>
      <c r="Q2345" s="136" t="str">
        <f>IFERROR(__xludf.DUMMYFUNCTION("""COMPUTED_VALUE"""),"")</f>
        <v/>
      </c>
      <c r="R2345" s="106" t="str">
        <f>IFERROR(__xludf.DUMMYFUNCTION("""COMPUTED_VALUE"""),"")</f>
        <v/>
      </c>
      <c r="S2345" s="106" t="str">
        <f>IFERROR(__xludf.DUMMYFUNCTION("""COMPUTED_VALUE"""),"")</f>
        <v/>
      </c>
      <c r="T2345" s="139" t="str">
        <f>IFERROR(__xludf.DUMMYFUNCTION("""COMPUTED_VALUE"""),"")</f>
        <v/>
      </c>
      <c r="U2345" s="139" t="str">
        <f>IFERROR(__xludf.DUMMYFUNCTION("""COMPUTED_VALUE"""),"")</f>
        <v/>
      </c>
      <c r="V2345" s="136" t="str">
        <f>IFERROR(__xludf.DUMMYFUNCTION("""COMPUTED_VALUE"""),"")</f>
        <v/>
      </c>
      <c r="W2345" s="106" t="str">
        <f>IFERROR(__xludf.DUMMYFUNCTION("""COMPUTED_VALUE"""),"")</f>
        <v/>
      </c>
      <c r="X2345" s="143" t="str">
        <f t="shared" si="2"/>
        <v/>
      </c>
      <c r="Y2345" s="139" t="str">
        <f>IFERROR(__xludf.DUMMYFUNCTION("""COMPUTED_VALUE"""),"")</f>
        <v/>
      </c>
      <c r="Z2345" s="141" t="str">
        <f>IFERROR(__xludf.DUMMYFUNCTION("""COMPUTED_VALUE"""),"")</f>
        <v/>
      </c>
    </row>
    <row r="2346">
      <c r="D2346" s="136" t="str">
        <f t="shared" si="3"/>
        <v/>
      </c>
      <c r="E2346" s="152"/>
      <c r="F2346" s="106" t="s">
        <v>133</v>
      </c>
      <c r="G2346" s="152"/>
      <c r="H2346" s="106" t="s">
        <v>133</v>
      </c>
      <c r="J2346" s="139" t="s">
        <v>133</v>
      </c>
      <c r="K2346" s="136" t="s">
        <v>133</v>
      </c>
      <c r="L2346" s="153"/>
      <c r="M2346" s="136" t="str">
        <f t="shared" si="1"/>
        <v/>
      </c>
      <c r="O2346" s="141" t="s">
        <v>133</v>
      </c>
      <c r="P2346" s="136" t="str">
        <f>IFERROR(__xludf.DUMMYFUNCTION("""COMPUTED_VALUE"""),"")</f>
        <v/>
      </c>
      <c r="Q2346" s="136" t="str">
        <f>IFERROR(__xludf.DUMMYFUNCTION("""COMPUTED_VALUE"""),"")</f>
        <v/>
      </c>
      <c r="R2346" s="106" t="str">
        <f>IFERROR(__xludf.DUMMYFUNCTION("""COMPUTED_VALUE"""),"")</f>
        <v/>
      </c>
      <c r="S2346" s="106" t="str">
        <f>IFERROR(__xludf.DUMMYFUNCTION("""COMPUTED_VALUE"""),"")</f>
        <v/>
      </c>
      <c r="T2346" s="139" t="str">
        <f>IFERROR(__xludf.DUMMYFUNCTION("""COMPUTED_VALUE"""),"")</f>
        <v/>
      </c>
      <c r="U2346" s="139" t="str">
        <f>IFERROR(__xludf.DUMMYFUNCTION("""COMPUTED_VALUE"""),"")</f>
        <v/>
      </c>
      <c r="V2346" s="136" t="str">
        <f>IFERROR(__xludf.DUMMYFUNCTION("""COMPUTED_VALUE"""),"")</f>
        <v/>
      </c>
      <c r="W2346" s="106" t="str">
        <f>IFERROR(__xludf.DUMMYFUNCTION("""COMPUTED_VALUE"""),"")</f>
        <v/>
      </c>
      <c r="X2346" s="143" t="str">
        <f t="shared" si="2"/>
        <v/>
      </c>
      <c r="Y2346" s="139" t="str">
        <f>IFERROR(__xludf.DUMMYFUNCTION("""COMPUTED_VALUE"""),"")</f>
        <v/>
      </c>
      <c r="Z2346" s="141" t="str">
        <f>IFERROR(__xludf.DUMMYFUNCTION("""COMPUTED_VALUE"""),"")</f>
        <v/>
      </c>
    </row>
    <row r="2347">
      <c r="D2347" s="136" t="str">
        <f t="shared" si="3"/>
        <v/>
      </c>
      <c r="E2347" s="152"/>
      <c r="F2347" s="106" t="s">
        <v>133</v>
      </c>
      <c r="G2347" s="152"/>
      <c r="H2347" s="106" t="s">
        <v>133</v>
      </c>
      <c r="J2347" s="139" t="s">
        <v>133</v>
      </c>
      <c r="K2347" s="136" t="s">
        <v>133</v>
      </c>
      <c r="L2347" s="153"/>
      <c r="M2347" s="136" t="str">
        <f t="shared" si="1"/>
        <v/>
      </c>
      <c r="O2347" s="141" t="s">
        <v>133</v>
      </c>
      <c r="P2347" s="136" t="str">
        <f>IFERROR(__xludf.DUMMYFUNCTION("""COMPUTED_VALUE"""),"")</f>
        <v/>
      </c>
      <c r="Q2347" s="136" t="str">
        <f>IFERROR(__xludf.DUMMYFUNCTION("""COMPUTED_VALUE"""),"")</f>
        <v/>
      </c>
      <c r="R2347" s="106" t="str">
        <f>IFERROR(__xludf.DUMMYFUNCTION("""COMPUTED_VALUE"""),"")</f>
        <v/>
      </c>
      <c r="S2347" s="106" t="str">
        <f>IFERROR(__xludf.DUMMYFUNCTION("""COMPUTED_VALUE"""),"")</f>
        <v/>
      </c>
      <c r="T2347" s="139" t="str">
        <f>IFERROR(__xludf.DUMMYFUNCTION("""COMPUTED_VALUE"""),"")</f>
        <v/>
      </c>
      <c r="U2347" s="139" t="str">
        <f>IFERROR(__xludf.DUMMYFUNCTION("""COMPUTED_VALUE"""),"")</f>
        <v/>
      </c>
      <c r="V2347" s="136" t="str">
        <f>IFERROR(__xludf.DUMMYFUNCTION("""COMPUTED_VALUE"""),"")</f>
        <v/>
      </c>
      <c r="W2347" s="106" t="str">
        <f>IFERROR(__xludf.DUMMYFUNCTION("""COMPUTED_VALUE"""),"")</f>
        <v/>
      </c>
      <c r="X2347" s="143" t="str">
        <f t="shared" si="2"/>
        <v/>
      </c>
      <c r="Y2347" s="139" t="str">
        <f>IFERROR(__xludf.DUMMYFUNCTION("""COMPUTED_VALUE"""),"")</f>
        <v/>
      </c>
      <c r="Z2347" s="141" t="str">
        <f>IFERROR(__xludf.DUMMYFUNCTION("""COMPUTED_VALUE"""),"")</f>
        <v/>
      </c>
    </row>
    <row r="2348">
      <c r="D2348" s="136" t="str">
        <f t="shared" si="3"/>
        <v/>
      </c>
      <c r="E2348" s="152"/>
      <c r="F2348" s="106" t="s">
        <v>133</v>
      </c>
      <c r="G2348" s="152"/>
      <c r="H2348" s="106" t="s">
        <v>133</v>
      </c>
      <c r="J2348" s="139" t="s">
        <v>133</v>
      </c>
      <c r="K2348" s="136" t="s">
        <v>133</v>
      </c>
      <c r="L2348" s="153"/>
      <c r="M2348" s="136" t="str">
        <f t="shared" si="1"/>
        <v/>
      </c>
      <c r="O2348" s="141" t="s">
        <v>133</v>
      </c>
      <c r="P2348" s="136" t="str">
        <f>IFERROR(__xludf.DUMMYFUNCTION("""COMPUTED_VALUE"""),"")</f>
        <v/>
      </c>
      <c r="Q2348" s="136" t="str">
        <f>IFERROR(__xludf.DUMMYFUNCTION("""COMPUTED_VALUE"""),"")</f>
        <v/>
      </c>
      <c r="R2348" s="106" t="str">
        <f>IFERROR(__xludf.DUMMYFUNCTION("""COMPUTED_VALUE"""),"")</f>
        <v/>
      </c>
      <c r="S2348" s="106" t="str">
        <f>IFERROR(__xludf.DUMMYFUNCTION("""COMPUTED_VALUE"""),"")</f>
        <v/>
      </c>
      <c r="T2348" s="139" t="str">
        <f>IFERROR(__xludf.DUMMYFUNCTION("""COMPUTED_VALUE"""),"")</f>
        <v/>
      </c>
      <c r="U2348" s="139" t="str">
        <f>IFERROR(__xludf.DUMMYFUNCTION("""COMPUTED_VALUE"""),"")</f>
        <v/>
      </c>
      <c r="V2348" s="136" t="str">
        <f>IFERROR(__xludf.DUMMYFUNCTION("""COMPUTED_VALUE"""),"")</f>
        <v/>
      </c>
      <c r="W2348" s="106" t="str">
        <f>IFERROR(__xludf.DUMMYFUNCTION("""COMPUTED_VALUE"""),"")</f>
        <v/>
      </c>
      <c r="X2348" s="143" t="str">
        <f t="shared" si="2"/>
        <v/>
      </c>
      <c r="Y2348" s="139" t="str">
        <f>IFERROR(__xludf.DUMMYFUNCTION("""COMPUTED_VALUE"""),"")</f>
        <v/>
      </c>
      <c r="Z2348" s="141" t="str">
        <f>IFERROR(__xludf.DUMMYFUNCTION("""COMPUTED_VALUE"""),"")</f>
        <v/>
      </c>
    </row>
    <row r="2349">
      <c r="D2349" s="136" t="str">
        <f t="shared" si="3"/>
        <v/>
      </c>
      <c r="E2349" s="152"/>
      <c r="F2349" s="106" t="s">
        <v>133</v>
      </c>
      <c r="G2349" s="152"/>
      <c r="H2349" s="106" t="s">
        <v>133</v>
      </c>
      <c r="J2349" s="139" t="s">
        <v>133</v>
      </c>
      <c r="K2349" s="136" t="s">
        <v>133</v>
      </c>
      <c r="L2349" s="153"/>
      <c r="M2349" s="136" t="str">
        <f t="shared" si="1"/>
        <v/>
      </c>
      <c r="O2349" s="141" t="s">
        <v>133</v>
      </c>
      <c r="P2349" s="136" t="str">
        <f>IFERROR(__xludf.DUMMYFUNCTION("""COMPUTED_VALUE"""),"")</f>
        <v/>
      </c>
      <c r="Q2349" s="136" t="str">
        <f>IFERROR(__xludf.DUMMYFUNCTION("""COMPUTED_VALUE"""),"")</f>
        <v/>
      </c>
      <c r="R2349" s="106" t="str">
        <f>IFERROR(__xludf.DUMMYFUNCTION("""COMPUTED_VALUE"""),"")</f>
        <v/>
      </c>
      <c r="S2349" s="106" t="str">
        <f>IFERROR(__xludf.DUMMYFUNCTION("""COMPUTED_VALUE"""),"")</f>
        <v/>
      </c>
      <c r="T2349" s="139" t="str">
        <f>IFERROR(__xludf.DUMMYFUNCTION("""COMPUTED_VALUE"""),"")</f>
        <v/>
      </c>
      <c r="U2349" s="139" t="str">
        <f>IFERROR(__xludf.DUMMYFUNCTION("""COMPUTED_VALUE"""),"")</f>
        <v/>
      </c>
      <c r="V2349" s="136" t="str">
        <f>IFERROR(__xludf.DUMMYFUNCTION("""COMPUTED_VALUE"""),"")</f>
        <v/>
      </c>
      <c r="W2349" s="106" t="str">
        <f>IFERROR(__xludf.DUMMYFUNCTION("""COMPUTED_VALUE"""),"")</f>
        <v/>
      </c>
      <c r="X2349" s="143" t="str">
        <f t="shared" si="2"/>
        <v/>
      </c>
      <c r="Y2349" s="139" t="str">
        <f>IFERROR(__xludf.DUMMYFUNCTION("""COMPUTED_VALUE"""),"")</f>
        <v/>
      </c>
      <c r="Z2349" s="141" t="str">
        <f>IFERROR(__xludf.DUMMYFUNCTION("""COMPUTED_VALUE"""),"")</f>
        <v/>
      </c>
    </row>
    <row r="2350">
      <c r="D2350" s="136" t="str">
        <f t="shared" si="3"/>
        <v/>
      </c>
      <c r="E2350" s="152"/>
      <c r="F2350" s="106" t="s">
        <v>133</v>
      </c>
      <c r="G2350" s="152"/>
      <c r="H2350" s="106" t="s">
        <v>133</v>
      </c>
      <c r="J2350" s="139" t="s">
        <v>133</v>
      </c>
      <c r="K2350" s="136" t="s">
        <v>133</v>
      </c>
      <c r="L2350" s="153"/>
      <c r="M2350" s="136" t="str">
        <f t="shared" si="1"/>
        <v/>
      </c>
      <c r="O2350" s="141" t="s">
        <v>133</v>
      </c>
      <c r="P2350" s="136" t="str">
        <f>IFERROR(__xludf.DUMMYFUNCTION("""COMPUTED_VALUE"""),"")</f>
        <v/>
      </c>
      <c r="Q2350" s="136" t="str">
        <f>IFERROR(__xludf.DUMMYFUNCTION("""COMPUTED_VALUE"""),"")</f>
        <v/>
      </c>
      <c r="R2350" s="106" t="str">
        <f>IFERROR(__xludf.DUMMYFUNCTION("""COMPUTED_VALUE"""),"")</f>
        <v/>
      </c>
      <c r="S2350" s="106" t="str">
        <f>IFERROR(__xludf.DUMMYFUNCTION("""COMPUTED_VALUE"""),"")</f>
        <v/>
      </c>
      <c r="T2350" s="139" t="str">
        <f>IFERROR(__xludf.DUMMYFUNCTION("""COMPUTED_VALUE"""),"")</f>
        <v/>
      </c>
      <c r="U2350" s="139" t="str">
        <f>IFERROR(__xludf.DUMMYFUNCTION("""COMPUTED_VALUE"""),"")</f>
        <v/>
      </c>
      <c r="V2350" s="136" t="str">
        <f>IFERROR(__xludf.DUMMYFUNCTION("""COMPUTED_VALUE"""),"")</f>
        <v/>
      </c>
      <c r="W2350" s="106" t="str">
        <f>IFERROR(__xludf.DUMMYFUNCTION("""COMPUTED_VALUE"""),"")</f>
        <v/>
      </c>
      <c r="X2350" s="143" t="str">
        <f t="shared" si="2"/>
        <v/>
      </c>
      <c r="Y2350" s="139" t="str">
        <f>IFERROR(__xludf.DUMMYFUNCTION("""COMPUTED_VALUE"""),"")</f>
        <v/>
      </c>
      <c r="Z2350" s="141" t="str">
        <f>IFERROR(__xludf.DUMMYFUNCTION("""COMPUTED_VALUE"""),"")</f>
        <v/>
      </c>
    </row>
    <row r="2351">
      <c r="D2351" s="136" t="str">
        <f t="shared" si="3"/>
        <v/>
      </c>
      <c r="E2351" s="152"/>
      <c r="F2351" s="106" t="s">
        <v>133</v>
      </c>
      <c r="G2351" s="152"/>
      <c r="H2351" s="106" t="s">
        <v>133</v>
      </c>
      <c r="J2351" s="139" t="s">
        <v>133</v>
      </c>
      <c r="K2351" s="136" t="s">
        <v>133</v>
      </c>
      <c r="L2351" s="153"/>
      <c r="M2351" s="136" t="str">
        <f t="shared" si="1"/>
        <v/>
      </c>
      <c r="O2351" s="141" t="s">
        <v>133</v>
      </c>
      <c r="P2351" s="136" t="str">
        <f>IFERROR(__xludf.DUMMYFUNCTION("""COMPUTED_VALUE"""),"")</f>
        <v/>
      </c>
      <c r="Q2351" s="136" t="str">
        <f>IFERROR(__xludf.DUMMYFUNCTION("""COMPUTED_VALUE"""),"")</f>
        <v/>
      </c>
      <c r="R2351" s="106" t="str">
        <f>IFERROR(__xludf.DUMMYFUNCTION("""COMPUTED_VALUE"""),"")</f>
        <v/>
      </c>
      <c r="S2351" s="106" t="str">
        <f>IFERROR(__xludf.DUMMYFUNCTION("""COMPUTED_VALUE"""),"")</f>
        <v/>
      </c>
      <c r="T2351" s="139" t="str">
        <f>IFERROR(__xludf.DUMMYFUNCTION("""COMPUTED_VALUE"""),"")</f>
        <v/>
      </c>
      <c r="U2351" s="139" t="str">
        <f>IFERROR(__xludf.DUMMYFUNCTION("""COMPUTED_VALUE"""),"")</f>
        <v/>
      </c>
      <c r="V2351" s="136" t="str">
        <f>IFERROR(__xludf.DUMMYFUNCTION("""COMPUTED_VALUE"""),"")</f>
        <v/>
      </c>
      <c r="W2351" s="106" t="str">
        <f>IFERROR(__xludf.DUMMYFUNCTION("""COMPUTED_VALUE"""),"")</f>
        <v/>
      </c>
      <c r="X2351" s="143" t="str">
        <f t="shared" si="2"/>
        <v/>
      </c>
      <c r="Y2351" s="139" t="str">
        <f>IFERROR(__xludf.DUMMYFUNCTION("""COMPUTED_VALUE"""),"")</f>
        <v/>
      </c>
      <c r="Z2351" s="141" t="str">
        <f>IFERROR(__xludf.DUMMYFUNCTION("""COMPUTED_VALUE"""),"")</f>
        <v/>
      </c>
    </row>
    <row r="2352">
      <c r="D2352" s="136" t="str">
        <f t="shared" si="3"/>
        <v/>
      </c>
      <c r="E2352" s="152"/>
      <c r="F2352" s="106" t="s">
        <v>133</v>
      </c>
      <c r="G2352" s="152"/>
      <c r="H2352" s="106" t="s">
        <v>133</v>
      </c>
      <c r="J2352" s="139" t="s">
        <v>133</v>
      </c>
      <c r="K2352" s="136" t="s">
        <v>133</v>
      </c>
      <c r="L2352" s="153"/>
      <c r="M2352" s="136" t="str">
        <f t="shared" si="1"/>
        <v/>
      </c>
      <c r="O2352" s="141" t="s">
        <v>133</v>
      </c>
      <c r="P2352" s="136" t="str">
        <f>IFERROR(__xludf.DUMMYFUNCTION("""COMPUTED_VALUE"""),"")</f>
        <v/>
      </c>
      <c r="Q2352" s="136" t="str">
        <f>IFERROR(__xludf.DUMMYFUNCTION("""COMPUTED_VALUE"""),"")</f>
        <v/>
      </c>
      <c r="R2352" s="106" t="str">
        <f>IFERROR(__xludf.DUMMYFUNCTION("""COMPUTED_VALUE"""),"")</f>
        <v/>
      </c>
      <c r="S2352" s="106" t="str">
        <f>IFERROR(__xludf.DUMMYFUNCTION("""COMPUTED_VALUE"""),"")</f>
        <v/>
      </c>
      <c r="T2352" s="139" t="str">
        <f>IFERROR(__xludf.DUMMYFUNCTION("""COMPUTED_VALUE"""),"")</f>
        <v/>
      </c>
      <c r="U2352" s="139" t="str">
        <f>IFERROR(__xludf.DUMMYFUNCTION("""COMPUTED_VALUE"""),"")</f>
        <v/>
      </c>
      <c r="V2352" s="136" t="str">
        <f>IFERROR(__xludf.DUMMYFUNCTION("""COMPUTED_VALUE"""),"")</f>
        <v/>
      </c>
      <c r="W2352" s="106" t="str">
        <f>IFERROR(__xludf.DUMMYFUNCTION("""COMPUTED_VALUE"""),"")</f>
        <v/>
      </c>
      <c r="X2352" s="143" t="str">
        <f t="shared" si="2"/>
        <v/>
      </c>
      <c r="Y2352" s="139" t="str">
        <f>IFERROR(__xludf.DUMMYFUNCTION("""COMPUTED_VALUE"""),"")</f>
        <v/>
      </c>
      <c r="Z2352" s="141" t="str">
        <f>IFERROR(__xludf.DUMMYFUNCTION("""COMPUTED_VALUE"""),"")</f>
        <v/>
      </c>
    </row>
    <row r="2353">
      <c r="D2353" s="136" t="str">
        <f t="shared" si="3"/>
        <v/>
      </c>
      <c r="E2353" s="152"/>
      <c r="F2353" s="106" t="s">
        <v>133</v>
      </c>
      <c r="G2353" s="152"/>
      <c r="H2353" s="106" t="s">
        <v>133</v>
      </c>
      <c r="J2353" s="139" t="s">
        <v>133</v>
      </c>
      <c r="K2353" s="136" t="s">
        <v>133</v>
      </c>
      <c r="L2353" s="153"/>
      <c r="M2353" s="136" t="str">
        <f t="shared" si="1"/>
        <v/>
      </c>
      <c r="O2353" s="141" t="s">
        <v>133</v>
      </c>
      <c r="P2353" s="136" t="str">
        <f>IFERROR(__xludf.DUMMYFUNCTION("""COMPUTED_VALUE"""),"")</f>
        <v/>
      </c>
      <c r="Q2353" s="136" t="str">
        <f>IFERROR(__xludf.DUMMYFUNCTION("""COMPUTED_VALUE"""),"")</f>
        <v/>
      </c>
      <c r="R2353" s="106" t="str">
        <f>IFERROR(__xludf.DUMMYFUNCTION("""COMPUTED_VALUE"""),"")</f>
        <v/>
      </c>
      <c r="S2353" s="106" t="str">
        <f>IFERROR(__xludf.DUMMYFUNCTION("""COMPUTED_VALUE"""),"")</f>
        <v/>
      </c>
      <c r="T2353" s="139" t="str">
        <f>IFERROR(__xludf.DUMMYFUNCTION("""COMPUTED_VALUE"""),"")</f>
        <v/>
      </c>
      <c r="U2353" s="139" t="str">
        <f>IFERROR(__xludf.DUMMYFUNCTION("""COMPUTED_VALUE"""),"")</f>
        <v/>
      </c>
      <c r="V2353" s="136" t="str">
        <f>IFERROR(__xludf.DUMMYFUNCTION("""COMPUTED_VALUE"""),"")</f>
        <v/>
      </c>
      <c r="W2353" s="106" t="str">
        <f>IFERROR(__xludf.DUMMYFUNCTION("""COMPUTED_VALUE"""),"")</f>
        <v/>
      </c>
      <c r="X2353" s="143" t="str">
        <f t="shared" si="2"/>
        <v/>
      </c>
      <c r="Y2353" s="139" t="str">
        <f>IFERROR(__xludf.DUMMYFUNCTION("""COMPUTED_VALUE"""),"")</f>
        <v/>
      </c>
      <c r="Z2353" s="141" t="str">
        <f>IFERROR(__xludf.DUMMYFUNCTION("""COMPUTED_VALUE"""),"")</f>
        <v/>
      </c>
    </row>
    <row r="2354">
      <c r="D2354" s="136" t="str">
        <f t="shared" si="3"/>
        <v/>
      </c>
      <c r="E2354" s="152"/>
      <c r="F2354" s="106" t="s">
        <v>133</v>
      </c>
      <c r="G2354" s="152"/>
      <c r="H2354" s="106" t="s">
        <v>133</v>
      </c>
      <c r="J2354" s="139" t="s">
        <v>133</v>
      </c>
      <c r="K2354" s="136" t="s">
        <v>133</v>
      </c>
      <c r="L2354" s="153"/>
      <c r="M2354" s="136" t="str">
        <f t="shared" si="1"/>
        <v/>
      </c>
      <c r="O2354" s="141" t="s">
        <v>133</v>
      </c>
      <c r="P2354" s="136" t="str">
        <f>IFERROR(__xludf.DUMMYFUNCTION("""COMPUTED_VALUE"""),"")</f>
        <v/>
      </c>
      <c r="Q2354" s="136" t="str">
        <f>IFERROR(__xludf.DUMMYFUNCTION("""COMPUTED_VALUE"""),"")</f>
        <v/>
      </c>
      <c r="R2354" s="106" t="str">
        <f>IFERROR(__xludf.DUMMYFUNCTION("""COMPUTED_VALUE"""),"")</f>
        <v/>
      </c>
      <c r="S2354" s="106" t="str">
        <f>IFERROR(__xludf.DUMMYFUNCTION("""COMPUTED_VALUE"""),"")</f>
        <v/>
      </c>
      <c r="T2354" s="139" t="str">
        <f>IFERROR(__xludf.DUMMYFUNCTION("""COMPUTED_VALUE"""),"")</f>
        <v/>
      </c>
      <c r="U2354" s="139" t="str">
        <f>IFERROR(__xludf.DUMMYFUNCTION("""COMPUTED_VALUE"""),"")</f>
        <v/>
      </c>
      <c r="V2354" s="136" t="str">
        <f>IFERROR(__xludf.DUMMYFUNCTION("""COMPUTED_VALUE"""),"")</f>
        <v/>
      </c>
      <c r="W2354" s="106" t="str">
        <f>IFERROR(__xludf.DUMMYFUNCTION("""COMPUTED_VALUE"""),"")</f>
        <v/>
      </c>
      <c r="X2354" s="143" t="str">
        <f t="shared" si="2"/>
        <v/>
      </c>
      <c r="Y2354" s="139" t="str">
        <f>IFERROR(__xludf.DUMMYFUNCTION("""COMPUTED_VALUE"""),"")</f>
        <v/>
      </c>
      <c r="Z2354" s="141" t="str">
        <f>IFERROR(__xludf.DUMMYFUNCTION("""COMPUTED_VALUE"""),"")</f>
        <v/>
      </c>
    </row>
    <row r="2355">
      <c r="D2355" s="136" t="str">
        <f t="shared" si="3"/>
        <v/>
      </c>
      <c r="E2355" s="152"/>
      <c r="F2355" s="106" t="s">
        <v>133</v>
      </c>
      <c r="G2355" s="152"/>
      <c r="H2355" s="106" t="s">
        <v>133</v>
      </c>
      <c r="J2355" s="139" t="s">
        <v>133</v>
      </c>
      <c r="K2355" s="136" t="s">
        <v>133</v>
      </c>
      <c r="L2355" s="153"/>
      <c r="M2355" s="136" t="str">
        <f t="shared" si="1"/>
        <v/>
      </c>
      <c r="O2355" s="141" t="s">
        <v>133</v>
      </c>
      <c r="P2355" s="136" t="str">
        <f>IFERROR(__xludf.DUMMYFUNCTION("""COMPUTED_VALUE"""),"")</f>
        <v/>
      </c>
      <c r="Q2355" s="136" t="str">
        <f>IFERROR(__xludf.DUMMYFUNCTION("""COMPUTED_VALUE"""),"")</f>
        <v/>
      </c>
      <c r="R2355" s="106" t="str">
        <f>IFERROR(__xludf.DUMMYFUNCTION("""COMPUTED_VALUE"""),"")</f>
        <v/>
      </c>
      <c r="S2355" s="106" t="str">
        <f>IFERROR(__xludf.DUMMYFUNCTION("""COMPUTED_VALUE"""),"")</f>
        <v/>
      </c>
      <c r="T2355" s="139" t="str">
        <f>IFERROR(__xludf.DUMMYFUNCTION("""COMPUTED_VALUE"""),"")</f>
        <v/>
      </c>
      <c r="U2355" s="139" t="str">
        <f>IFERROR(__xludf.DUMMYFUNCTION("""COMPUTED_VALUE"""),"")</f>
        <v/>
      </c>
      <c r="V2355" s="136" t="str">
        <f>IFERROR(__xludf.DUMMYFUNCTION("""COMPUTED_VALUE"""),"")</f>
        <v/>
      </c>
      <c r="W2355" s="106" t="str">
        <f>IFERROR(__xludf.DUMMYFUNCTION("""COMPUTED_VALUE"""),"")</f>
        <v/>
      </c>
      <c r="X2355" s="143" t="str">
        <f t="shared" si="2"/>
        <v/>
      </c>
      <c r="Y2355" s="139" t="str">
        <f>IFERROR(__xludf.DUMMYFUNCTION("""COMPUTED_VALUE"""),"")</f>
        <v/>
      </c>
      <c r="Z2355" s="141" t="str">
        <f>IFERROR(__xludf.DUMMYFUNCTION("""COMPUTED_VALUE"""),"")</f>
        <v/>
      </c>
    </row>
    <row r="2356">
      <c r="D2356" s="136" t="str">
        <f t="shared" si="3"/>
        <v/>
      </c>
      <c r="E2356" s="152"/>
      <c r="F2356" s="106" t="s">
        <v>133</v>
      </c>
      <c r="G2356" s="152"/>
      <c r="H2356" s="106" t="s">
        <v>133</v>
      </c>
      <c r="J2356" s="139" t="s">
        <v>133</v>
      </c>
      <c r="K2356" s="136" t="s">
        <v>133</v>
      </c>
      <c r="L2356" s="153"/>
      <c r="M2356" s="136" t="str">
        <f t="shared" si="1"/>
        <v/>
      </c>
      <c r="O2356" s="141" t="s">
        <v>133</v>
      </c>
      <c r="P2356" s="136" t="str">
        <f>IFERROR(__xludf.DUMMYFUNCTION("""COMPUTED_VALUE"""),"")</f>
        <v/>
      </c>
      <c r="Q2356" s="136" t="str">
        <f>IFERROR(__xludf.DUMMYFUNCTION("""COMPUTED_VALUE"""),"")</f>
        <v/>
      </c>
      <c r="R2356" s="106" t="str">
        <f>IFERROR(__xludf.DUMMYFUNCTION("""COMPUTED_VALUE"""),"")</f>
        <v/>
      </c>
      <c r="S2356" s="106" t="str">
        <f>IFERROR(__xludf.DUMMYFUNCTION("""COMPUTED_VALUE"""),"")</f>
        <v/>
      </c>
      <c r="T2356" s="139" t="str">
        <f>IFERROR(__xludf.DUMMYFUNCTION("""COMPUTED_VALUE"""),"")</f>
        <v/>
      </c>
      <c r="U2356" s="139" t="str">
        <f>IFERROR(__xludf.DUMMYFUNCTION("""COMPUTED_VALUE"""),"")</f>
        <v/>
      </c>
      <c r="V2356" s="136" t="str">
        <f>IFERROR(__xludf.DUMMYFUNCTION("""COMPUTED_VALUE"""),"")</f>
        <v/>
      </c>
      <c r="W2356" s="106" t="str">
        <f>IFERROR(__xludf.DUMMYFUNCTION("""COMPUTED_VALUE"""),"")</f>
        <v/>
      </c>
      <c r="X2356" s="143" t="str">
        <f t="shared" si="2"/>
        <v/>
      </c>
      <c r="Y2356" s="139" t="str">
        <f>IFERROR(__xludf.DUMMYFUNCTION("""COMPUTED_VALUE"""),"")</f>
        <v/>
      </c>
      <c r="Z2356" s="141" t="str">
        <f>IFERROR(__xludf.DUMMYFUNCTION("""COMPUTED_VALUE"""),"")</f>
        <v/>
      </c>
    </row>
    <row r="2357">
      <c r="D2357" s="136" t="str">
        <f t="shared" si="3"/>
        <v/>
      </c>
      <c r="E2357" s="152"/>
      <c r="F2357" s="106" t="s">
        <v>133</v>
      </c>
      <c r="G2357" s="152"/>
      <c r="H2357" s="106" t="s">
        <v>133</v>
      </c>
      <c r="J2357" s="139" t="s">
        <v>133</v>
      </c>
      <c r="K2357" s="136" t="s">
        <v>133</v>
      </c>
      <c r="L2357" s="153"/>
      <c r="M2357" s="136" t="str">
        <f t="shared" si="1"/>
        <v/>
      </c>
      <c r="O2357" s="141" t="s">
        <v>133</v>
      </c>
      <c r="P2357" s="136" t="str">
        <f>IFERROR(__xludf.DUMMYFUNCTION("""COMPUTED_VALUE"""),"")</f>
        <v/>
      </c>
      <c r="Q2357" s="136" t="str">
        <f>IFERROR(__xludf.DUMMYFUNCTION("""COMPUTED_VALUE"""),"")</f>
        <v/>
      </c>
      <c r="R2357" s="106" t="str">
        <f>IFERROR(__xludf.DUMMYFUNCTION("""COMPUTED_VALUE"""),"")</f>
        <v/>
      </c>
      <c r="S2357" s="106" t="str">
        <f>IFERROR(__xludf.DUMMYFUNCTION("""COMPUTED_VALUE"""),"")</f>
        <v/>
      </c>
      <c r="T2357" s="139" t="str">
        <f>IFERROR(__xludf.DUMMYFUNCTION("""COMPUTED_VALUE"""),"")</f>
        <v/>
      </c>
      <c r="U2357" s="139" t="str">
        <f>IFERROR(__xludf.DUMMYFUNCTION("""COMPUTED_VALUE"""),"")</f>
        <v/>
      </c>
      <c r="V2357" s="136" t="str">
        <f>IFERROR(__xludf.DUMMYFUNCTION("""COMPUTED_VALUE"""),"")</f>
        <v/>
      </c>
      <c r="W2357" s="106" t="str">
        <f>IFERROR(__xludf.DUMMYFUNCTION("""COMPUTED_VALUE"""),"")</f>
        <v/>
      </c>
      <c r="X2357" s="143" t="str">
        <f t="shared" si="2"/>
        <v/>
      </c>
      <c r="Y2357" s="139" t="str">
        <f>IFERROR(__xludf.DUMMYFUNCTION("""COMPUTED_VALUE"""),"")</f>
        <v/>
      </c>
      <c r="Z2357" s="141" t="str">
        <f>IFERROR(__xludf.DUMMYFUNCTION("""COMPUTED_VALUE"""),"")</f>
        <v/>
      </c>
    </row>
    <row r="2358">
      <c r="D2358" s="136" t="str">
        <f t="shared" si="3"/>
        <v/>
      </c>
      <c r="E2358" s="152"/>
      <c r="F2358" s="106" t="s">
        <v>133</v>
      </c>
      <c r="G2358" s="152"/>
      <c r="H2358" s="106" t="s">
        <v>133</v>
      </c>
      <c r="J2358" s="139" t="s">
        <v>133</v>
      </c>
      <c r="K2358" s="136" t="s">
        <v>133</v>
      </c>
      <c r="L2358" s="153"/>
      <c r="M2358" s="136" t="str">
        <f t="shared" si="1"/>
        <v/>
      </c>
      <c r="O2358" s="141" t="s">
        <v>133</v>
      </c>
      <c r="P2358" s="136" t="str">
        <f>IFERROR(__xludf.DUMMYFUNCTION("""COMPUTED_VALUE"""),"")</f>
        <v/>
      </c>
      <c r="Q2358" s="136" t="str">
        <f>IFERROR(__xludf.DUMMYFUNCTION("""COMPUTED_VALUE"""),"")</f>
        <v/>
      </c>
      <c r="R2358" s="106" t="str">
        <f>IFERROR(__xludf.DUMMYFUNCTION("""COMPUTED_VALUE"""),"")</f>
        <v/>
      </c>
      <c r="S2358" s="106" t="str">
        <f>IFERROR(__xludf.DUMMYFUNCTION("""COMPUTED_VALUE"""),"")</f>
        <v/>
      </c>
      <c r="T2358" s="139" t="str">
        <f>IFERROR(__xludf.DUMMYFUNCTION("""COMPUTED_VALUE"""),"")</f>
        <v/>
      </c>
      <c r="U2358" s="139" t="str">
        <f>IFERROR(__xludf.DUMMYFUNCTION("""COMPUTED_VALUE"""),"")</f>
        <v/>
      </c>
      <c r="V2358" s="136" t="str">
        <f>IFERROR(__xludf.DUMMYFUNCTION("""COMPUTED_VALUE"""),"")</f>
        <v/>
      </c>
      <c r="W2358" s="106" t="str">
        <f>IFERROR(__xludf.DUMMYFUNCTION("""COMPUTED_VALUE"""),"")</f>
        <v/>
      </c>
      <c r="X2358" s="143" t="str">
        <f t="shared" si="2"/>
        <v/>
      </c>
      <c r="Y2358" s="139" t="str">
        <f>IFERROR(__xludf.DUMMYFUNCTION("""COMPUTED_VALUE"""),"")</f>
        <v/>
      </c>
      <c r="Z2358" s="141" t="str">
        <f>IFERROR(__xludf.DUMMYFUNCTION("""COMPUTED_VALUE"""),"")</f>
        <v/>
      </c>
    </row>
    <row r="2359">
      <c r="D2359" s="136" t="str">
        <f t="shared" si="3"/>
        <v/>
      </c>
      <c r="E2359" s="152"/>
      <c r="F2359" s="106" t="s">
        <v>133</v>
      </c>
      <c r="G2359" s="152"/>
      <c r="H2359" s="106" t="s">
        <v>133</v>
      </c>
      <c r="J2359" s="139" t="s">
        <v>133</v>
      </c>
      <c r="K2359" s="136" t="s">
        <v>133</v>
      </c>
      <c r="L2359" s="153"/>
      <c r="M2359" s="136" t="str">
        <f t="shared" si="1"/>
        <v/>
      </c>
      <c r="O2359" s="141" t="s">
        <v>133</v>
      </c>
      <c r="P2359" s="136" t="str">
        <f>IFERROR(__xludf.DUMMYFUNCTION("""COMPUTED_VALUE"""),"")</f>
        <v/>
      </c>
      <c r="Q2359" s="136" t="str">
        <f>IFERROR(__xludf.DUMMYFUNCTION("""COMPUTED_VALUE"""),"")</f>
        <v/>
      </c>
      <c r="R2359" s="106" t="str">
        <f>IFERROR(__xludf.DUMMYFUNCTION("""COMPUTED_VALUE"""),"")</f>
        <v/>
      </c>
      <c r="S2359" s="106" t="str">
        <f>IFERROR(__xludf.DUMMYFUNCTION("""COMPUTED_VALUE"""),"")</f>
        <v/>
      </c>
      <c r="T2359" s="139" t="str">
        <f>IFERROR(__xludf.DUMMYFUNCTION("""COMPUTED_VALUE"""),"")</f>
        <v/>
      </c>
      <c r="U2359" s="139" t="str">
        <f>IFERROR(__xludf.DUMMYFUNCTION("""COMPUTED_VALUE"""),"")</f>
        <v/>
      </c>
      <c r="V2359" s="136" t="str">
        <f>IFERROR(__xludf.DUMMYFUNCTION("""COMPUTED_VALUE"""),"")</f>
        <v/>
      </c>
      <c r="W2359" s="106" t="str">
        <f>IFERROR(__xludf.DUMMYFUNCTION("""COMPUTED_VALUE"""),"")</f>
        <v/>
      </c>
      <c r="X2359" s="143" t="str">
        <f t="shared" si="2"/>
        <v/>
      </c>
      <c r="Y2359" s="139" t="str">
        <f>IFERROR(__xludf.DUMMYFUNCTION("""COMPUTED_VALUE"""),"")</f>
        <v/>
      </c>
      <c r="Z2359" s="141" t="str">
        <f>IFERROR(__xludf.DUMMYFUNCTION("""COMPUTED_VALUE"""),"")</f>
        <v/>
      </c>
    </row>
    <row r="2360">
      <c r="D2360" s="136" t="str">
        <f t="shared" si="3"/>
        <v/>
      </c>
      <c r="E2360" s="152"/>
      <c r="F2360" s="106" t="s">
        <v>133</v>
      </c>
      <c r="G2360" s="152"/>
      <c r="H2360" s="106" t="s">
        <v>133</v>
      </c>
      <c r="J2360" s="139" t="s">
        <v>133</v>
      </c>
      <c r="K2360" s="136" t="s">
        <v>133</v>
      </c>
      <c r="L2360" s="153"/>
      <c r="M2360" s="136" t="str">
        <f t="shared" si="1"/>
        <v/>
      </c>
      <c r="O2360" s="141" t="s">
        <v>133</v>
      </c>
      <c r="P2360" s="136" t="str">
        <f>IFERROR(__xludf.DUMMYFUNCTION("""COMPUTED_VALUE"""),"")</f>
        <v/>
      </c>
      <c r="Q2360" s="136" t="str">
        <f>IFERROR(__xludf.DUMMYFUNCTION("""COMPUTED_VALUE"""),"")</f>
        <v/>
      </c>
      <c r="R2360" s="106" t="str">
        <f>IFERROR(__xludf.DUMMYFUNCTION("""COMPUTED_VALUE"""),"")</f>
        <v/>
      </c>
      <c r="S2360" s="106" t="str">
        <f>IFERROR(__xludf.DUMMYFUNCTION("""COMPUTED_VALUE"""),"")</f>
        <v/>
      </c>
      <c r="T2360" s="139" t="str">
        <f>IFERROR(__xludf.DUMMYFUNCTION("""COMPUTED_VALUE"""),"")</f>
        <v/>
      </c>
      <c r="U2360" s="139" t="str">
        <f>IFERROR(__xludf.DUMMYFUNCTION("""COMPUTED_VALUE"""),"")</f>
        <v/>
      </c>
      <c r="V2360" s="136" t="str">
        <f>IFERROR(__xludf.DUMMYFUNCTION("""COMPUTED_VALUE"""),"")</f>
        <v/>
      </c>
      <c r="W2360" s="106" t="str">
        <f>IFERROR(__xludf.DUMMYFUNCTION("""COMPUTED_VALUE"""),"")</f>
        <v/>
      </c>
      <c r="X2360" s="143" t="str">
        <f t="shared" si="2"/>
        <v/>
      </c>
      <c r="Y2360" s="139" t="str">
        <f>IFERROR(__xludf.DUMMYFUNCTION("""COMPUTED_VALUE"""),"")</f>
        <v/>
      </c>
      <c r="Z2360" s="141" t="str">
        <f>IFERROR(__xludf.DUMMYFUNCTION("""COMPUTED_VALUE"""),"")</f>
        <v/>
      </c>
    </row>
    <row r="2361">
      <c r="D2361" s="136" t="str">
        <f t="shared" si="3"/>
        <v/>
      </c>
      <c r="E2361" s="152"/>
      <c r="F2361" s="106" t="s">
        <v>133</v>
      </c>
      <c r="G2361" s="152"/>
      <c r="H2361" s="106" t="s">
        <v>133</v>
      </c>
      <c r="J2361" s="139" t="s">
        <v>133</v>
      </c>
      <c r="K2361" s="136" t="s">
        <v>133</v>
      </c>
      <c r="L2361" s="153"/>
      <c r="M2361" s="136" t="str">
        <f t="shared" si="1"/>
        <v/>
      </c>
      <c r="O2361" s="141" t="s">
        <v>133</v>
      </c>
      <c r="P2361" s="136" t="str">
        <f>IFERROR(__xludf.DUMMYFUNCTION("""COMPUTED_VALUE"""),"")</f>
        <v/>
      </c>
      <c r="Q2361" s="136" t="str">
        <f>IFERROR(__xludf.DUMMYFUNCTION("""COMPUTED_VALUE"""),"")</f>
        <v/>
      </c>
      <c r="R2361" s="106" t="str">
        <f>IFERROR(__xludf.DUMMYFUNCTION("""COMPUTED_VALUE"""),"")</f>
        <v/>
      </c>
      <c r="S2361" s="106" t="str">
        <f>IFERROR(__xludf.DUMMYFUNCTION("""COMPUTED_VALUE"""),"")</f>
        <v/>
      </c>
      <c r="T2361" s="139" t="str">
        <f>IFERROR(__xludf.DUMMYFUNCTION("""COMPUTED_VALUE"""),"")</f>
        <v/>
      </c>
      <c r="U2361" s="139" t="str">
        <f>IFERROR(__xludf.DUMMYFUNCTION("""COMPUTED_VALUE"""),"")</f>
        <v/>
      </c>
      <c r="V2361" s="136" t="str">
        <f>IFERROR(__xludf.DUMMYFUNCTION("""COMPUTED_VALUE"""),"")</f>
        <v/>
      </c>
      <c r="W2361" s="106" t="str">
        <f>IFERROR(__xludf.DUMMYFUNCTION("""COMPUTED_VALUE"""),"")</f>
        <v/>
      </c>
      <c r="X2361" s="143" t="str">
        <f t="shared" si="2"/>
        <v/>
      </c>
      <c r="Y2361" s="139" t="str">
        <f>IFERROR(__xludf.DUMMYFUNCTION("""COMPUTED_VALUE"""),"")</f>
        <v/>
      </c>
      <c r="Z2361" s="141" t="str">
        <f>IFERROR(__xludf.DUMMYFUNCTION("""COMPUTED_VALUE"""),"")</f>
        <v/>
      </c>
    </row>
    <row r="2362">
      <c r="D2362" s="136" t="str">
        <f t="shared" si="3"/>
        <v/>
      </c>
      <c r="E2362" s="152"/>
      <c r="F2362" s="106" t="s">
        <v>133</v>
      </c>
      <c r="G2362" s="152"/>
      <c r="H2362" s="106" t="s">
        <v>133</v>
      </c>
      <c r="J2362" s="139" t="s">
        <v>133</v>
      </c>
      <c r="K2362" s="136" t="s">
        <v>133</v>
      </c>
      <c r="L2362" s="153"/>
      <c r="M2362" s="136" t="str">
        <f t="shared" si="1"/>
        <v/>
      </c>
      <c r="O2362" s="141" t="s">
        <v>133</v>
      </c>
      <c r="P2362" s="136" t="str">
        <f>IFERROR(__xludf.DUMMYFUNCTION("""COMPUTED_VALUE"""),"")</f>
        <v/>
      </c>
      <c r="Q2362" s="136" t="str">
        <f>IFERROR(__xludf.DUMMYFUNCTION("""COMPUTED_VALUE"""),"")</f>
        <v/>
      </c>
      <c r="R2362" s="106" t="str">
        <f>IFERROR(__xludf.DUMMYFUNCTION("""COMPUTED_VALUE"""),"")</f>
        <v/>
      </c>
      <c r="S2362" s="106" t="str">
        <f>IFERROR(__xludf.DUMMYFUNCTION("""COMPUTED_VALUE"""),"")</f>
        <v/>
      </c>
      <c r="T2362" s="139" t="str">
        <f>IFERROR(__xludf.DUMMYFUNCTION("""COMPUTED_VALUE"""),"")</f>
        <v/>
      </c>
      <c r="U2362" s="139" t="str">
        <f>IFERROR(__xludf.DUMMYFUNCTION("""COMPUTED_VALUE"""),"")</f>
        <v/>
      </c>
      <c r="V2362" s="136" t="str">
        <f>IFERROR(__xludf.DUMMYFUNCTION("""COMPUTED_VALUE"""),"")</f>
        <v/>
      </c>
      <c r="W2362" s="106" t="str">
        <f>IFERROR(__xludf.DUMMYFUNCTION("""COMPUTED_VALUE"""),"")</f>
        <v/>
      </c>
      <c r="X2362" s="143" t="str">
        <f t="shared" si="2"/>
        <v/>
      </c>
      <c r="Y2362" s="139" t="str">
        <f>IFERROR(__xludf.DUMMYFUNCTION("""COMPUTED_VALUE"""),"")</f>
        <v/>
      </c>
      <c r="Z2362" s="141" t="str">
        <f>IFERROR(__xludf.DUMMYFUNCTION("""COMPUTED_VALUE"""),"")</f>
        <v/>
      </c>
    </row>
    <row r="2363">
      <c r="D2363" s="136" t="str">
        <f t="shared" si="3"/>
        <v/>
      </c>
      <c r="E2363" s="152"/>
      <c r="F2363" s="106" t="s">
        <v>133</v>
      </c>
      <c r="G2363" s="152"/>
      <c r="H2363" s="106" t="s">
        <v>133</v>
      </c>
      <c r="J2363" s="139" t="s">
        <v>133</v>
      </c>
      <c r="K2363" s="136" t="s">
        <v>133</v>
      </c>
      <c r="L2363" s="153"/>
      <c r="M2363" s="136" t="str">
        <f t="shared" si="1"/>
        <v/>
      </c>
      <c r="O2363" s="141" t="s">
        <v>133</v>
      </c>
      <c r="P2363" s="136" t="str">
        <f>IFERROR(__xludf.DUMMYFUNCTION("""COMPUTED_VALUE"""),"")</f>
        <v/>
      </c>
      <c r="Q2363" s="136" t="str">
        <f>IFERROR(__xludf.DUMMYFUNCTION("""COMPUTED_VALUE"""),"")</f>
        <v/>
      </c>
      <c r="R2363" s="106" t="str">
        <f>IFERROR(__xludf.DUMMYFUNCTION("""COMPUTED_VALUE"""),"")</f>
        <v/>
      </c>
      <c r="S2363" s="106" t="str">
        <f>IFERROR(__xludf.DUMMYFUNCTION("""COMPUTED_VALUE"""),"")</f>
        <v/>
      </c>
      <c r="T2363" s="139" t="str">
        <f>IFERROR(__xludf.DUMMYFUNCTION("""COMPUTED_VALUE"""),"")</f>
        <v/>
      </c>
      <c r="U2363" s="139" t="str">
        <f>IFERROR(__xludf.DUMMYFUNCTION("""COMPUTED_VALUE"""),"")</f>
        <v/>
      </c>
      <c r="V2363" s="136" t="str">
        <f>IFERROR(__xludf.DUMMYFUNCTION("""COMPUTED_VALUE"""),"")</f>
        <v/>
      </c>
      <c r="W2363" s="106" t="str">
        <f>IFERROR(__xludf.DUMMYFUNCTION("""COMPUTED_VALUE"""),"")</f>
        <v/>
      </c>
      <c r="X2363" s="143" t="str">
        <f t="shared" si="2"/>
        <v/>
      </c>
      <c r="Y2363" s="139" t="str">
        <f>IFERROR(__xludf.DUMMYFUNCTION("""COMPUTED_VALUE"""),"")</f>
        <v/>
      </c>
      <c r="Z2363" s="141" t="str">
        <f>IFERROR(__xludf.DUMMYFUNCTION("""COMPUTED_VALUE"""),"")</f>
        <v/>
      </c>
    </row>
    <row r="2364">
      <c r="D2364" s="136" t="str">
        <f t="shared" si="3"/>
        <v/>
      </c>
      <c r="E2364" s="152"/>
      <c r="F2364" s="106" t="s">
        <v>133</v>
      </c>
      <c r="G2364" s="152"/>
      <c r="H2364" s="106" t="s">
        <v>133</v>
      </c>
      <c r="J2364" s="139" t="s">
        <v>133</v>
      </c>
      <c r="K2364" s="136" t="s">
        <v>133</v>
      </c>
      <c r="L2364" s="153"/>
      <c r="M2364" s="136" t="str">
        <f t="shared" si="1"/>
        <v/>
      </c>
      <c r="O2364" s="141" t="s">
        <v>133</v>
      </c>
      <c r="P2364" s="136" t="str">
        <f>IFERROR(__xludf.DUMMYFUNCTION("""COMPUTED_VALUE"""),"")</f>
        <v/>
      </c>
      <c r="Q2364" s="136" t="str">
        <f>IFERROR(__xludf.DUMMYFUNCTION("""COMPUTED_VALUE"""),"")</f>
        <v/>
      </c>
      <c r="R2364" s="106" t="str">
        <f>IFERROR(__xludf.DUMMYFUNCTION("""COMPUTED_VALUE"""),"")</f>
        <v/>
      </c>
      <c r="S2364" s="106" t="str">
        <f>IFERROR(__xludf.DUMMYFUNCTION("""COMPUTED_VALUE"""),"")</f>
        <v/>
      </c>
      <c r="T2364" s="139" t="str">
        <f>IFERROR(__xludf.DUMMYFUNCTION("""COMPUTED_VALUE"""),"")</f>
        <v/>
      </c>
      <c r="U2364" s="139" t="str">
        <f>IFERROR(__xludf.DUMMYFUNCTION("""COMPUTED_VALUE"""),"")</f>
        <v/>
      </c>
      <c r="V2364" s="136" t="str">
        <f>IFERROR(__xludf.DUMMYFUNCTION("""COMPUTED_VALUE"""),"")</f>
        <v/>
      </c>
      <c r="W2364" s="106" t="str">
        <f>IFERROR(__xludf.DUMMYFUNCTION("""COMPUTED_VALUE"""),"")</f>
        <v/>
      </c>
      <c r="X2364" s="143" t="str">
        <f t="shared" si="2"/>
        <v/>
      </c>
      <c r="Y2364" s="139" t="str">
        <f>IFERROR(__xludf.DUMMYFUNCTION("""COMPUTED_VALUE"""),"")</f>
        <v/>
      </c>
      <c r="Z2364" s="141" t="str">
        <f>IFERROR(__xludf.DUMMYFUNCTION("""COMPUTED_VALUE"""),"")</f>
        <v/>
      </c>
    </row>
    <row r="2365">
      <c r="D2365" s="136" t="str">
        <f t="shared" si="3"/>
        <v/>
      </c>
      <c r="E2365" s="152"/>
      <c r="F2365" s="106" t="s">
        <v>133</v>
      </c>
      <c r="G2365" s="152"/>
      <c r="H2365" s="106" t="s">
        <v>133</v>
      </c>
      <c r="J2365" s="139" t="s">
        <v>133</v>
      </c>
      <c r="K2365" s="136" t="s">
        <v>133</v>
      </c>
      <c r="L2365" s="153"/>
      <c r="M2365" s="136" t="str">
        <f t="shared" si="1"/>
        <v/>
      </c>
      <c r="O2365" s="141" t="s">
        <v>133</v>
      </c>
      <c r="P2365" s="136" t="str">
        <f>IFERROR(__xludf.DUMMYFUNCTION("""COMPUTED_VALUE"""),"")</f>
        <v/>
      </c>
      <c r="Q2365" s="136" t="str">
        <f>IFERROR(__xludf.DUMMYFUNCTION("""COMPUTED_VALUE"""),"")</f>
        <v/>
      </c>
      <c r="R2365" s="106" t="str">
        <f>IFERROR(__xludf.DUMMYFUNCTION("""COMPUTED_VALUE"""),"")</f>
        <v/>
      </c>
      <c r="S2365" s="106" t="str">
        <f>IFERROR(__xludf.DUMMYFUNCTION("""COMPUTED_VALUE"""),"")</f>
        <v/>
      </c>
      <c r="T2365" s="139" t="str">
        <f>IFERROR(__xludf.DUMMYFUNCTION("""COMPUTED_VALUE"""),"")</f>
        <v/>
      </c>
      <c r="U2365" s="139" t="str">
        <f>IFERROR(__xludf.DUMMYFUNCTION("""COMPUTED_VALUE"""),"")</f>
        <v/>
      </c>
      <c r="V2365" s="136" t="str">
        <f>IFERROR(__xludf.DUMMYFUNCTION("""COMPUTED_VALUE"""),"")</f>
        <v/>
      </c>
      <c r="W2365" s="106" t="str">
        <f>IFERROR(__xludf.DUMMYFUNCTION("""COMPUTED_VALUE"""),"")</f>
        <v/>
      </c>
      <c r="X2365" s="143" t="str">
        <f t="shared" si="2"/>
        <v/>
      </c>
      <c r="Y2365" s="139" t="str">
        <f>IFERROR(__xludf.DUMMYFUNCTION("""COMPUTED_VALUE"""),"")</f>
        <v/>
      </c>
      <c r="Z2365" s="141" t="str">
        <f>IFERROR(__xludf.DUMMYFUNCTION("""COMPUTED_VALUE"""),"")</f>
        <v/>
      </c>
    </row>
    <row r="2366">
      <c r="D2366" s="136" t="str">
        <f t="shared" si="3"/>
        <v/>
      </c>
      <c r="E2366" s="152"/>
      <c r="F2366" s="106" t="s">
        <v>133</v>
      </c>
      <c r="G2366" s="152"/>
      <c r="H2366" s="106" t="s">
        <v>133</v>
      </c>
      <c r="J2366" s="139" t="s">
        <v>133</v>
      </c>
      <c r="K2366" s="136" t="s">
        <v>133</v>
      </c>
      <c r="L2366" s="153"/>
      <c r="M2366" s="136" t="str">
        <f t="shared" si="1"/>
        <v/>
      </c>
      <c r="O2366" s="141" t="s">
        <v>133</v>
      </c>
      <c r="P2366" s="136" t="str">
        <f>IFERROR(__xludf.DUMMYFUNCTION("""COMPUTED_VALUE"""),"")</f>
        <v/>
      </c>
      <c r="Q2366" s="136" t="str">
        <f>IFERROR(__xludf.DUMMYFUNCTION("""COMPUTED_VALUE"""),"")</f>
        <v/>
      </c>
      <c r="R2366" s="106" t="str">
        <f>IFERROR(__xludf.DUMMYFUNCTION("""COMPUTED_VALUE"""),"")</f>
        <v/>
      </c>
      <c r="S2366" s="106" t="str">
        <f>IFERROR(__xludf.DUMMYFUNCTION("""COMPUTED_VALUE"""),"")</f>
        <v/>
      </c>
      <c r="T2366" s="139" t="str">
        <f>IFERROR(__xludf.DUMMYFUNCTION("""COMPUTED_VALUE"""),"")</f>
        <v/>
      </c>
      <c r="U2366" s="139" t="str">
        <f>IFERROR(__xludf.DUMMYFUNCTION("""COMPUTED_VALUE"""),"")</f>
        <v/>
      </c>
      <c r="V2366" s="136" t="str">
        <f>IFERROR(__xludf.DUMMYFUNCTION("""COMPUTED_VALUE"""),"")</f>
        <v/>
      </c>
      <c r="W2366" s="106" t="str">
        <f>IFERROR(__xludf.DUMMYFUNCTION("""COMPUTED_VALUE"""),"")</f>
        <v/>
      </c>
      <c r="X2366" s="143" t="str">
        <f t="shared" si="2"/>
        <v/>
      </c>
      <c r="Y2366" s="139" t="str">
        <f>IFERROR(__xludf.DUMMYFUNCTION("""COMPUTED_VALUE"""),"")</f>
        <v/>
      </c>
      <c r="Z2366" s="141" t="str">
        <f>IFERROR(__xludf.DUMMYFUNCTION("""COMPUTED_VALUE"""),"")</f>
        <v/>
      </c>
    </row>
    <row r="2367">
      <c r="D2367" s="136" t="str">
        <f t="shared" si="3"/>
        <v/>
      </c>
      <c r="E2367" s="152"/>
      <c r="F2367" s="106" t="s">
        <v>133</v>
      </c>
      <c r="G2367" s="152"/>
      <c r="H2367" s="106" t="s">
        <v>133</v>
      </c>
      <c r="J2367" s="139" t="s">
        <v>133</v>
      </c>
      <c r="K2367" s="136" t="s">
        <v>133</v>
      </c>
      <c r="L2367" s="153"/>
      <c r="M2367" s="136" t="str">
        <f t="shared" si="1"/>
        <v/>
      </c>
      <c r="O2367" s="141" t="s">
        <v>133</v>
      </c>
      <c r="P2367" s="136" t="str">
        <f>IFERROR(__xludf.DUMMYFUNCTION("""COMPUTED_VALUE"""),"")</f>
        <v/>
      </c>
      <c r="Q2367" s="136" t="str">
        <f>IFERROR(__xludf.DUMMYFUNCTION("""COMPUTED_VALUE"""),"")</f>
        <v/>
      </c>
      <c r="R2367" s="106" t="str">
        <f>IFERROR(__xludf.DUMMYFUNCTION("""COMPUTED_VALUE"""),"")</f>
        <v/>
      </c>
      <c r="S2367" s="106" t="str">
        <f>IFERROR(__xludf.DUMMYFUNCTION("""COMPUTED_VALUE"""),"")</f>
        <v/>
      </c>
      <c r="T2367" s="139" t="str">
        <f>IFERROR(__xludf.DUMMYFUNCTION("""COMPUTED_VALUE"""),"")</f>
        <v/>
      </c>
      <c r="U2367" s="139" t="str">
        <f>IFERROR(__xludf.DUMMYFUNCTION("""COMPUTED_VALUE"""),"")</f>
        <v/>
      </c>
      <c r="V2367" s="136" t="str">
        <f>IFERROR(__xludf.DUMMYFUNCTION("""COMPUTED_VALUE"""),"")</f>
        <v/>
      </c>
      <c r="W2367" s="106" t="str">
        <f>IFERROR(__xludf.DUMMYFUNCTION("""COMPUTED_VALUE"""),"")</f>
        <v/>
      </c>
      <c r="X2367" s="143" t="str">
        <f t="shared" si="2"/>
        <v/>
      </c>
      <c r="Y2367" s="139" t="str">
        <f>IFERROR(__xludf.DUMMYFUNCTION("""COMPUTED_VALUE"""),"")</f>
        <v/>
      </c>
      <c r="Z2367" s="141" t="str">
        <f>IFERROR(__xludf.DUMMYFUNCTION("""COMPUTED_VALUE"""),"")</f>
        <v/>
      </c>
    </row>
    <row r="2368">
      <c r="D2368" s="136" t="str">
        <f t="shared" si="3"/>
        <v/>
      </c>
      <c r="E2368" s="152"/>
      <c r="F2368" s="106" t="s">
        <v>133</v>
      </c>
      <c r="G2368" s="152"/>
      <c r="H2368" s="106" t="s">
        <v>133</v>
      </c>
      <c r="J2368" s="139" t="s">
        <v>133</v>
      </c>
      <c r="K2368" s="136" t="s">
        <v>133</v>
      </c>
      <c r="L2368" s="153"/>
      <c r="M2368" s="136" t="str">
        <f t="shared" si="1"/>
        <v/>
      </c>
      <c r="O2368" s="141" t="s">
        <v>133</v>
      </c>
      <c r="P2368" s="136" t="str">
        <f>IFERROR(__xludf.DUMMYFUNCTION("""COMPUTED_VALUE"""),"")</f>
        <v/>
      </c>
      <c r="Q2368" s="136" t="str">
        <f>IFERROR(__xludf.DUMMYFUNCTION("""COMPUTED_VALUE"""),"")</f>
        <v/>
      </c>
      <c r="R2368" s="106" t="str">
        <f>IFERROR(__xludf.DUMMYFUNCTION("""COMPUTED_VALUE"""),"")</f>
        <v/>
      </c>
      <c r="S2368" s="106" t="str">
        <f>IFERROR(__xludf.DUMMYFUNCTION("""COMPUTED_VALUE"""),"")</f>
        <v/>
      </c>
      <c r="T2368" s="139" t="str">
        <f>IFERROR(__xludf.DUMMYFUNCTION("""COMPUTED_VALUE"""),"")</f>
        <v/>
      </c>
      <c r="U2368" s="139" t="str">
        <f>IFERROR(__xludf.DUMMYFUNCTION("""COMPUTED_VALUE"""),"")</f>
        <v/>
      </c>
      <c r="V2368" s="136" t="str">
        <f>IFERROR(__xludf.DUMMYFUNCTION("""COMPUTED_VALUE"""),"")</f>
        <v/>
      </c>
      <c r="W2368" s="106" t="str">
        <f>IFERROR(__xludf.DUMMYFUNCTION("""COMPUTED_VALUE"""),"")</f>
        <v/>
      </c>
      <c r="X2368" s="143" t="str">
        <f t="shared" si="2"/>
        <v/>
      </c>
      <c r="Y2368" s="139" t="str">
        <f>IFERROR(__xludf.DUMMYFUNCTION("""COMPUTED_VALUE"""),"")</f>
        <v/>
      </c>
      <c r="Z2368" s="141" t="str">
        <f>IFERROR(__xludf.DUMMYFUNCTION("""COMPUTED_VALUE"""),"")</f>
        <v/>
      </c>
    </row>
    <row r="2369">
      <c r="D2369" s="136" t="str">
        <f t="shared" si="3"/>
        <v/>
      </c>
      <c r="E2369" s="152"/>
      <c r="F2369" s="106" t="s">
        <v>133</v>
      </c>
      <c r="G2369" s="152"/>
      <c r="H2369" s="106" t="s">
        <v>133</v>
      </c>
      <c r="J2369" s="139" t="s">
        <v>133</v>
      </c>
      <c r="K2369" s="136" t="s">
        <v>133</v>
      </c>
      <c r="L2369" s="153"/>
      <c r="M2369" s="136" t="str">
        <f t="shared" si="1"/>
        <v/>
      </c>
      <c r="O2369" s="141" t="s">
        <v>133</v>
      </c>
      <c r="P2369" s="136" t="str">
        <f>IFERROR(__xludf.DUMMYFUNCTION("""COMPUTED_VALUE"""),"")</f>
        <v/>
      </c>
      <c r="Q2369" s="136" t="str">
        <f>IFERROR(__xludf.DUMMYFUNCTION("""COMPUTED_VALUE"""),"")</f>
        <v/>
      </c>
      <c r="R2369" s="106" t="str">
        <f>IFERROR(__xludf.DUMMYFUNCTION("""COMPUTED_VALUE"""),"")</f>
        <v/>
      </c>
      <c r="S2369" s="106" t="str">
        <f>IFERROR(__xludf.DUMMYFUNCTION("""COMPUTED_VALUE"""),"")</f>
        <v/>
      </c>
      <c r="T2369" s="139" t="str">
        <f>IFERROR(__xludf.DUMMYFUNCTION("""COMPUTED_VALUE"""),"")</f>
        <v/>
      </c>
      <c r="U2369" s="139" t="str">
        <f>IFERROR(__xludf.DUMMYFUNCTION("""COMPUTED_VALUE"""),"")</f>
        <v/>
      </c>
      <c r="V2369" s="136" t="str">
        <f>IFERROR(__xludf.DUMMYFUNCTION("""COMPUTED_VALUE"""),"")</f>
        <v/>
      </c>
      <c r="W2369" s="106" t="str">
        <f>IFERROR(__xludf.DUMMYFUNCTION("""COMPUTED_VALUE"""),"")</f>
        <v/>
      </c>
      <c r="X2369" s="143" t="str">
        <f t="shared" si="2"/>
        <v/>
      </c>
      <c r="Y2369" s="139" t="str">
        <f>IFERROR(__xludf.DUMMYFUNCTION("""COMPUTED_VALUE"""),"")</f>
        <v/>
      </c>
      <c r="Z2369" s="141" t="str">
        <f>IFERROR(__xludf.DUMMYFUNCTION("""COMPUTED_VALUE"""),"")</f>
        <v/>
      </c>
    </row>
    <row r="2370">
      <c r="D2370" s="136" t="str">
        <f t="shared" si="3"/>
        <v/>
      </c>
      <c r="E2370" s="152"/>
      <c r="F2370" s="106" t="s">
        <v>133</v>
      </c>
      <c r="G2370" s="152"/>
      <c r="H2370" s="106" t="s">
        <v>133</v>
      </c>
      <c r="J2370" s="139" t="s">
        <v>133</v>
      </c>
      <c r="K2370" s="136" t="s">
        <v>133</v>
      </c>
      <c r="L2370" s="153"/>
      <c r="M2370" s="136" t="str">
        <f t="shared" si="1"/>
        <v/>
      </c>
      <c r="O2370" s="141" t="s">
        <v>133</v>
      </c>
      <c r="P2370" s="136" t="str">
        <f>IFERROR(__xludf.DUMMYFUNCTION("""COMPUTED_VALUE"""),"")</f>
        <v/>
      </c>
      <c r="Q2370" s="136" t="str">
        <f>IFERROR(__xludf.DUMMYFUNCTION("""COMPUTED_VALUE"""),"")</f>
        <v/>
      </c>
      <c r="R2370" s="106" t="str">
        <f>IFERROR(__xludf.DUMMYFUNCTION("""COMPUTED_VALUE"""),"")</f>
        <v/>
      </c>
      <c r="S2370" s="106" t="str">
        <f>IFERROR(__xludf.DUMMYFUNCTION("""COMPUTED_VALUE"""),"")</f>
        <v/>
      </c>
      <c r="T2370" s="139" t="str">
        <f>IFERROR(__xludf.DUMMYFUNCTION("""COMPUTED_VALUE"""),"")</f>
        <v/>
      </c>
      <c r="U2370" s="139" t="str">
        <f>IFERROR(__xludf.DUMMYFUNCTION("""COMPUTED_VALUE"""),"")</f>
        <v/>
      </c>
      <c r="V2370" s="136" t="str">
        <f>IFERROR(__xludf.DUMMYFUNCTION("""COMPUTED_VALUE"""),"")</f>
        <v/>
      </c>
      <c r="W2370" s="106" t="str">
        <f>IFERROR(__xludf.DUMMYFUNCTION("""COMPUTED_VALUE"""),"")</f>
        <v/>
      </c>
      <c r="X2370" s="143" t="str">
        <f t="shared" si="2"/>
        <v/>
      </c>
      <c r="Y2370" s="139" t="str">
        <f>IFERROR(__xludf.DUMMYFUNCTION("""COMPUTED_VALUE"""),"")</f>
        <v/>
      </c>
      <c r="Z2370" s="141" t="str">
        <f>IFERROR(__xludf.DUMMYFUNCTION("""COMPUTED_VALUE"""),"")</f>
        <v/>
      </c>
    </row>
    <row r="2371">
      <c r="D2371" s="136" t="str">
        <f t="shared" si="3"/>
        <v/>
      </c>
      <c r="E2371" s="152"/>
      <c r="F2371" s="106" t="s">
        <v>133</v>
      </c>
      <c r="G2371" s="152"/>
      <c r="H2371" s="106" t="s">
        <v>133</v>
      </c>
      <c r="J2371" s="139" t="s">
        <v>133</v>
      </c>
      <c r="K2371" s="136" t="s">
        <v>133</v>
      </c>
      <c r="L2371" s="153"/>
      <c r="M2371" s="136" t="str">
        <f t="shared" si="1"/>
        <v/>
      </c>
      <c r="O2371" s="141" t="s">
        <v>133</v>
      </c>
      <c r="P2371" s="136" t="str">
        <f>IFERROR(__xludf.DUMMYFUNCTION("""COMPUTED_VALUE"""),"")</f>
        <v/>
      </c>
      <c r="Q2371" s="136" t="str">
        <f>IFERROR(__xludf.DUMMYFUNCTION("""COMPUTED_VALUE"""),"")</f>
        <v/>
      </c>
      <c r="R2371" s="106" t="str">
        <f>IFERROR(__xludf.DUMMYFUNCTION("""COMPUTED_VALUE"""),"")</f>
        <v/>
      </c>
      <c r="S2371" s="106" t="str">
        <f>IFERROR(__xludf.DUMMYFUNCTION("""COMPUTED_VALUE"""),"")</f>
        <v/>
      </c>
      <c r="T2371" s="139" t="str">
        <f>IFERROR(__xludf.DUMMYFUNCTION("""COMPUTED_VALUE"""),"")</f>
        <v/>
      </c>
      <c r="U2371" s="139" t="str">
        <f>IFERROR(__xludf.DUMMYFUNCTION("""COMPUTED_VALUE"""),"")</f>
        <v/>
      </c>
      <c r="V2371" s="136" t="str">
        <f>IFERROR(__xludf.DUMMYFUNCTION("""COMPUTED_VALUE"""),"")</f>
        <v/>
      </c>
      <c r="W2371" s="106" t="str">
        <f>IFERROR(__xludf.DUMMYFUNCTION("""COMPUTED_VALUE"""),"")</f>
        <v/>
      </c>
      <c r="X2371" s="143" t="str">
        <f t="shared" si="2"/>
        <v/>
      </c>
      <c r="Y2371" s="139" t="str">
        <f>IFERROR(__xludf.DUMMYFUNCTION("""COMPUTED_VALUE"""),"")</f>
        <v/>
      </c>
      <c r="Z2371" s="141" t="str">
        <f>IFERROR(__xludf.DUMMYFUNCTION("""COMPUTED_VALUE"""),"")</f>
        <v/>
      </c>
    </row>
    <row r="2372">
      <c r="D2372" s="136" t="str">
        <f t="shared" si="3"/>
        <v/>
      </c>
      <c r="E2372" s="152"/>
      <c r="F2372" s="106" t="s">
        <v>133</v>
      </c>
      <c r="G2372" s="152"/>
      <c r="H2372" s="106" t="s">
        <v>133</v>
      </c>
      <c r="J2372" s="139" t="s">
        <v>133</v>
      </c>
      <c r="K2372" s="136" t="s">
        <v>133</v>
      </c>
      <c r="L2372" s="153"/>
      <c r="M2372" s="136" t="str">
        <f t="shared" si="1"/>
        <v/>
      </c>
      <c r="O2372" s="141" t="s">
        <v>133</v>
      </c>
      <c r="P2372" s="136" t="str">
        <f>IFERROR(__xludf.DUMMYFUNCTION("""COMPUTED_VALUE"""),"")</f>
        <v/>
      </c>
      <c r="Q2372" s="136" t="str">
        <f>IFERROR(__xludf.DUMMYFUNCTION("""COMPUTED_VALUE"""),"")</f>
        <v/>
      </c>
      <c r="R2372" s="106" t="str">
        <f>IFERROR(__xludf.DUMMYFUNCTION("""COMPUTED_VALUE"""),"")</f>
        <v/>
      </c>
      <c r="S2372" s="106" t="str">
        <f>IFERROR(__xludf.DUMMYFUNCTION("""COMPUTED_VALUE"""),"")</f>
        <v/>
      </c>
      <c r="T2372" s="139" t="str">
        <f>IFERROR(__xludf.DUMMYFUNCTION("""COMPUTED_VALUE"""),"")</f>
        <v/>
      </c>
      <c r="U2372" s="139" t="str">
        <f>IFERROR(__xludf.DUMMYFUNCTION("""COMPUTED_VALUE"""),"")</f>
        <v/>
      </c>
      <c r="V2372" s="136" t="str">
        <f>IFERROR(__xludf.DUMMYFUNCTION("""COMPUTED_VALUE"""),"")</f>
        <v/>
      </c>
      <c r="W2372" s="106" t="str">
        <f>IFERROR(__xludf.DUMMYFUNCTION("""COMPUTED_VALUE"""),"")</f>
        <v/>
      </c>
      <c r="X2372" s="143" t="str">
        <f t="shared" si="2"/>
        <v/>
      </c>
      <c r="Y2372" s="139" t="str">
        <f>IFERROR(__xludf.DUMMYFUNCTION("""COMPUTED_VALUE"""),"")</f>
        <v/>
      </c>
      <c r="Z2372" s="141" t="str">
        <f>IFERROR(__xludf.DUMMYFUNCTION("""COMPUTED_VALUE"""),"")</f>
        <v/>
      </c>
    </row>
    <row r="2373">
      <c r="D2373" s="136" t="str">
        <f t="shared" si="3"/>
        <v/>
      </c>
      <c r="E2373" s="152"/>
      <c r="F2373" s="106" t="s">
        <v>133</v>
      </c>
      <c r="G2373" s="152"/>
      <c r="H2373" s="106" t="s">
        <v>133</v>
      </c>
      <c r="J2373" s="139" t="s">
        <v>133</v>
      </c>
      <c r="K2373" s="136" t="s">
        <v>133</v>
      </c>
      <c r="L2373" s="153"/>
      <c r="M2373" s="136" t="str">
        <f t="shared" si="1"/>
        <v/>
      </c>
      <c r="O2373" s="141" t="s">
        <v>133</v>
      </c>
      <c r="P2373" s="136" t="str">
        <f>IFERROR(__xludf.DUMMYFUNCTION("""COMPUTED_VALUE"""),"")</f>
        <v/>
      </c>
      <c r="Q2373" s="136" t="str">
        <f>IFERROR(__xludf.DUMMYFUNCTION("""COMPUTED_VALUE"""),"")</f>
        <v/>
      </c>
      <c r="R2373" s="106" t="str">
        <f>IFERROR(__xludf.DUMMYFUNCTION("""COMPUTED_VALUE"""),"")</f>
        <v/>
      </c>
      <c r="S2373" s="106" t="str">
        <f>IFERROR(__xludf.DUMMYFUNCTION("""COMPUTED_VALUE"""),"")</f>
        <v/>
      </c>
      <c r="T2373" s="139" t="str">
        <f>IFERROR(__xludf.DUMMYFUNCTION("""COMPUTED_VALUE"""),"")</f>
        <v/>
      </c>
      <c r="U2373" s="139" t="str">
        <f>IFERROR(__xludf.DUMMYFUNCTION("""COMPUTED_VALUE"""),"")</f>
        <v/>
      </c>
      <c r="V2373" s="136" t="str">
        <f>IFERROR(__xludf.DUMMYFUNCTION("""COMPUTED_VALUE"""),"")</f>
        <v/>
      </c>
      <c r="W2373" s="106" t="str">
        <f>IFERROR(__xludf.DUMMYFUNCTION("""COMPUTED_VALUE"""),"")</f>
        <v/>
      </c>
      <c r="X2373" s="143" t="str">
        <f t="shared" si="2"/>
        <v/>
      </c>
      <c r="Y2373" s="139" t="str">
        <f>IFERROR(__xludf.DUMMYFUNCTION("""COMPUTED_VALUE"""),"")</f>
        <v/>
      </c>
      <c r="Z2373" s="141" t="str">
        <f>IFERROR(__xludf.DUMMYFUNCTION("""COMPUTED_VALUE"""),"")</f>
        <v/>
      </c>
    </row>
    <row r="2374">
      <c r="D2374" s="136" t="str">
        <f t="shared" si="3"/>
        <v/>
      </c>
      <c r="E2374" s="152"/>
      <c r="F2374" s="106" t="s">
        <v>133</v>
      </c>
      <c r="G2374" s="152"/>
      <c r="H2374" s="106" t="s">
        <v>133</v>
      </c>
      <c r="J2374" s="139" t="s">
        <v>133</v>
      </c>
      <c r="K2374" s="136" t="s">
        <v>133</v>
      </c>
      <c r="L2374" s="153"/>
      <c r="M2374" s="136" t="str">
        <f t="shared" si="1"/>
        <v/>
      </c>
      <c r="O2374" s="141" t="s">
        <v>133</v>
      </c>
      <c r="P2374" s="136" t="str">
        <f>IFERROR(__xludf.DUMMYFUNCTION("""COMPUTED_VALUE"""),"")</f>
        <v/>
      </c>
      <c r="Q2374" s="136" t="str">
        <f>IFERROR(__xludf.DUMMYFUNCTION("""COMPUTED_VALUE"""),"")</f>
        <v/>
      </c>
      <c r="R2374" s="106" t="str">
        <f>IFERROR(__xludf.DUMMYFUNCTION("""COMPUTED_VALUE"""),"")</f>
        <v/>
      </c>
      <c r="S2374" s="106" t="str">
        <f>IFERROR(__xludf.DUMMYFUNCTION("""COMPUTED_VALUE"""),"")</f>
        <v/>
      </c>
      <c r="T2374" s="139" t="str">
        <f>IFERROR(__xludf.DUMMYFUNCTION("""COMPUTED_VALUE"""),"")</f>
        <v/>
      </c>
      <c r="U2374" s="139" t="str">
        <f>IFERROR(__xludf.DUMMYFUNCTION("""COMPUTED_VALUE"""),"")</f>
        <v/>
      </c>
      <c r="V2374" s="136" t="str">
        <f>IFERROR(__xludf.DUMMYFUNCTION("""COMPUTED_VALUE"""),"")</f>
        <v/>
      </c>
      <c r="W2374" s="106" t="str">
        <f>IFERROR(__xludf.DUMMYFUNCTION("""COMPUTED_VALUE"""),"")</f>
        <v/>
      </c>
      <c r="X2374" s="143" t="str">
        <f t="shared" si="2"/>
        <v/>
      </c>
      <c r="Y2374" s="139" t="str">
        <f>IFERROR(__xludf.DUMMYFUNCTION("""COMPUTED_VALUE"""),"")</f>
        <v/>
      </c>
      <c r="Z2374" s="141" t="str">
        <f>IFERROR(__xludf.DUMMYFUNCTION("""COMPUTED_VALUE"""),"")</f>
        <v/>
      </c>
    </row>
    <row r="2375">
      <c r="D2375" s="136" t="str">
        <f t="shared" si="3"/>
        <v/>
      </c>
      <c r="E2375" s="152"/>
      <c r="F2375" s="106" t="s">
        <v>133</v>
      </c>
      <c r="G2375" s="152"/>
      <c r="H2375" s="106" t="s">
        <v>133</v>
      </c>
      <c r="J2375" s="139" t="s">
        <v>133</v>
      </c>
      <c r="K2375" s="136" t="s">
        <v>133</v>
      </c>
      <c r="L2375" s="153"/>
      <c r="M2375" s="136" t="str">
        <f t="shared" si="1"/>
        <v/>
      </c>
      <c r="O2375" s="141" t="s">
        <v>133</v>
      </c>
      <c r="P2375" s="136" t="str">
        <f>IFERROR(__xludf.DUMMYFUNCTION("""COMPUTED_VALUE"""),"")</f>
        <v/>
      </c>
      <c r="Q2375" s="136" t="str">
        <f>IFERROR(__xludf.DUMMYFUNCTION("""COMPUTED_VALUE"""),"")</f>
        <v/>
      </c>
      <c r="R2375" s="106" t="str">
        <f>IFERROR(__xludf.DUMMYFUNCTION("""COMPUTED_VALUE"""),"")</f>
        <v/>
      </c>
      <c r="S2375" s="106" t="str">
        <f>IFERROR(__xludf.DUMMYFUNCTION("""COMPUTED_VALUE"""),"")</f>
        <v/>
      </c>
      <c r="T2375" s="139" t="str">
        <f>IFERROR(__xludf.DUMMYFUNCTION("""COMPUTED_VALUE"""),"")</f>
        <v/>
      </c>
      <c r="U2375" s="139" t="str">
        <f>IFERROR(__xludf.DUMMYFUNCTION("""COMPUTED_VALUE"""),"")</f>
        <v/>
      </c>
      <c r="V2375" s="136" t="str">
        <f>IFERROR(__xludf.DUMMYFUNCTION("""COMPUTED_VALUE"""),"")</f>
        <v/>
      </c>
      <c r="W2375" s="106" t="str">
        <f>IFERROR(__xludf.DUMMYFUNCTION("""COMPUTED_VALUE"""),"")</f>
        <v/>
      </c>
      <c r="X2375" s="143" t="str">
        <f t="shared" si="2"/>
        <v/>
      </c>
      <c r="Y2375" s="139" t="str">
        <f>IFERROR(__xludf.DUMMYFUNCTION("""COMPUTED_VALUE"""),"")</f>
        <v/>
      </c>
      <c r="Z2375" s="141" t="str">
        <f>IFERROR(__xludf.DUMMYFUNCTION("""COMPUTED_VALUE"""),"")</f>
        <v/>
      </c>
    </row>
    <row r="2376">
      <c r="D2376" s="136" t="str">
        <f t="shared" si="3"/>
        <v/>
      </c>
      <c r="E2376" s="152"/>
      <c r="F2376" s="106" t="s">
        <v>133</v>
      </c>
      <c r="G2376" s="152"/>
      <c r="H2376" s="106" t="s">
        <v>133</v>
      </c>
      <c r="J2376" s="139" t="s">
        <v>133</v>
      </c>
      <c r="K2376" s="136" t="s">
        <v>133</v>
      </c>
      <c r="L2376" s="153"/>
      <c r="M2376" s="136" t="str">
        <f t="shared" si="1"/>
        <v/>
      </c>
      <c r="O2376" s="141" t="s">
        <v>133</v>
      </c>
      <c r="P2376" s="136" t="str">
        <f>IFERROR(__xludf.DUMMYFUNCTION("""COMPUTED_VALUE"""),"")</f>
        <v/>
      </c>
      <c r="Q2376" s="136" t="str">
        <f>IFERROR(__xludf.DUMMYFUNCTION("""COMPUTED_VALUE"""),"")</f>
        <v/>
      </c>
      <c r="R2376" s="106" t="str">
        <f>IFERROR(__xludf.DUMMYFUNCTION("""COMPUTED_VALUE"""),"")</f>
        <v/>
      </c>
      <c r="S2376" s="106" t="str">
        <f>IFERROR(__xludf.DUMMYFUNCTION("""COMPUTED_VALUE"""),"")</f>
        <v/>
      </c>
      <c r="T2376" s="139" t="str">
        <f>IFERROR(__xludf.DUMMYFUNCTION("""COMPUTED_VALUE"""),"")</f>
        <v/>
      </c>
      <c r="U2376" s="139" t="str">
        <f>IFERROR(__xludf.DUMMYFUNCTION("""COMPUTED_VALUE"""),"")</f>
        <v/>
      </c>
      <c r="V2376" s="136" t="str">
        <f>IFERROR(__xludf.DUMMYFUNCTION("""COMPUTED_VALUE"""),"")</f>
        <v/>
      </c>
      <c r="W2376" s="106" t="str">
        <f>IFERROR(__xludf.DUMMYFUNCTION("""COMPUTED_VALUE"""),"")</f>
        <v/>
      </c>
      <c r="X2376" s="143" t="str">
        <f t="shared" si="2"/>
        <v/>
      </c>
      <c r="Y2376" s="139" t="str">
        <f>IFERROR(__xludf.DUMMYFUNCTION("""COMPUTED_VALUE"""),"")</f>
        <v/>
      </c>
      <c r="Z2376" s="141" t="str">
        <f>IFERROR(__xludf.DUMMYFUNCTION("""COMPUTED_VALUE"""),"")</f>
        <v/>
      </c>
    </row>
    <row r="2377">
      <c r="D2377" s="136" t="str">
        <f t="shared" si="3"/>
        <v/>
      </c>
      <c r="E2377" s="152"/>
      <c r="F2377" s="106" t="s">
        <v>133</v>
      </c>
      <c r="G2377" s="152"/>
      <c r="H2377" s="106" t="s">
        <v>133</v>
      </c>
      <c r="J2377" s="139" t="s">
        <v>133</v>
      </c>
      <c r="K2377" s="136" t="s">
        <v>133</v>
      </c>
      <c r="L2377" s="153"/>
      <c r="M2377" s="136" t="str">
        <f t="shared" si="1"/>
        <v/>
      </c>
      <c r="O2377" s="141" t="s">
        <v>133</v>
      </c>
      <c r="P2377" s="136" t="str">
        <f>IFERROR(__xludf.DUMMYFUNCTION("""COMPUTED_VALUE"""),"")</f>
        <v/>
      </c>
      <c r="Q2377" s="136" t="str">
        <f>IFERROR(__xludf.DUMMYFUNCTION("""COMPUTED_VALUE"""),"")</f>
        <v/>
      </c>
      <c r="R2377" s="106" t="str">
        <f>IFERROR(__xludf.DUMMYFUNCTION("""COMPUTED_VALUE"""),"")</f>
        <v/>
      </c>
      <c r="S2377" s="106" t="str">
        <f>IFERROR(__xludf.DUMMYFUNCTION("""COMPUTED_VALUE"""),"")</f>
        <v/>
      </c>
      <c r="T2377" s="139" t="str">
        <f>IFERROR(__xludf.DUMMYFUNCTION("""COMPUTED_VALUE"""),"")</f>
        <v/>
      </c>
      <c r="U2377" s="139" t="str">
        <f>IFERROR(__xludf.DUMMYFUNCTION("""COMPUTED_VALUE"""),"")</f>
        <v/>
      </c>
      <c r="V2377" s="136" t="str">
        <f>IFERROR(__xludf.DUMMYFUNCTION("""COMPUTED_VALUE"""),"")</f>
        <v/>
      </c>
      <c r="W2377" s="106" t="str">
        <f>IFERROR(__xludf.DUMMYFUNCTION("""COMPUTED_VALUE"""),"")</f>
        <v/>
      </c>
      <c r="X2377" s="143" t="str">
        <f t="shared" si="2"/>
        <v/>
      </c>
      <c r="Y2377" s="139" t="str">
        <f>IFERROR(__xludf.DUMMYFUNCTION("""COMPUTED_VALUE"""),"")</f>
        <v/>
      </c>
      <c r="Z2377" s="141" t="str">
        <f>IFERROR(__xludf.DUMMYFUNCTION("""COMPUTED_VALUE"""),"")</f>
        <v/>
      </c>
    </row>
    <row r="2378">
      <c r="D2378" s="136" t="str">
        <f t="shared" si="3"/>
        <v/>
      </c>
      <c r="E2378" s="152"/>
      <c r="F2378" s="106" t="s">
        <v>133</v>
      </c>
      <c r="G2378" s="152"/>
      <c r="H2378" s="106" t="s">
        <v>133</v>
      </c>
      <c r="J2378" s="139" t="s">
        <v>133</v>
      </c>
      <c r="K2378" s="136" t="s">
        <v>133</v>
      </c>
      <c r="L2378" s="153"/>
      <c r="M2378" s="136" t="str">
        <f t="shared" si="1"/>
        <v/>
      </c>
      <c r="O2378" s="141" t="s">
        <v>133</v>
      </c>
      <c r="P2378" s="136" t="str">
        <f>IFERROR(__xludf.DUMMYFUNCTION("""COMPUTED_VALUE"""),"")</f>
        <v/>
      </c>
      <c r="Q2378" s="136" t="str">
        <f>IFERROR(__xludf.DUMMYFUNCTION("""COMPUTED_VALUE"""),"")</f>
        <v/>
      </c>
      <c r="R2378" s="106" t="str">
        <f>IFERROR(__xludf.DUMMYFUNCTION("""COMPUTED_VALUE"""),"")</f>
        <v/>
      </c>
      <c r="S2378" s="106" t="str">
        <f>IFERROR(__xludf.DUMMYFUNCTION("""COMPUTED_VALUE"""),"")</f>
        <v/>
      </c>
      <c r="T2378" s="139" t="str">
        <f>IFERROR(__xludf.DUMMYFUNCTION("""COMPUTED_VALUE"""),"")</f>
        <v/>
      </c>
      <c r="U2378" s="139" t="str">
        <f>IFERROR(__xludf.DUMMYFUNCTION("""COMPUTED_VALUE"""),"")</f>
        <v/>
      </c>
      <c r="V2378" s="136" t="str">
        <f>IFERROR(__xludf.DUMMYFUNCTION("""COMPUTED_VALUE"""),"")</f>
        <v/>
      </c>
      <c r="W2378" s="106" t="str">
        <f>IFERROR(__xludf.DUMMYFUNCTION("""COMPUTED_VALUE"""),"")</f>
        <v/>
      </c>
      <c r="X2378" s="143" t="str">
        <f t="shared" si="2"/>
        <v/>
      </c>
      <c r="Y2378" s="139" t="str">
        <f>IFERROR(__xludf.DUMMYFUNCTION("""COMPUTED_VALUE"""),"")</f>
        <v/>
      </c>
      <c r="Z2378" s="141" t="str">
        <f>IFERROR(__xludf.DUMMYFUNCTION("""COMPUTED_VALUE"""),"")</f>
        <v/>
      </c>
    </row>
    <row r="2379">
      <c r="D2379" s="136" t="str">
        <f t="shared" si="3"/>
        <v/>
      </c>
      <c r="E2379" s="152"/>
      <c r="F2379" s="106" t="s">
        <v>133</v>
      </c>
      <c r="G2379" s="152"/>
      <c r="H2379" s="106" t="s">
        <v>133</v>
      </c>
      <c r="J2379" s="139" t="s">
        <v>133</v>
      </c>
      <c r="K2379" s="136" t="s">
        <v>133</v>
      </c>
      <c r="L2379" s="153"/>
      <c r="M2379" s="136" t="str">
        <f t="shared" si="1"/>
        <v/>
      </c>
      <c r="O2379" s="141" t="s">
        <v>133</v>
      </c>
      <c r="P2379" s="136" t="str">
        <f>IFERROR(__xludf.DUMMYFUNCTION("""COMPUTED_VALUE"""),"")</f>
        <v/>
      </c>
      <c r="Q2379" s="136" t="str">
        <f>IFERROR(__xludf.DUMMYFUNCTION("""COMPUTED_VALUE"""),"")</f>
        <v/>
      </c>
      <c r="R2379" s="106" t="str">
        <f>IFERROR(__xludf.DUMMYFUNCTION("""COMPUTED_VALUE"""),"")</f>
        <v/>
      </c>
      <c r="S2379" s="106" t="str">
        <f>IFERROR(__xludf.DUMMYFUNCTION("""COMPUTED_VALUE"""),"")</f>
        <v/>
      </c>
      <c r="T2379" s="139" t="str">
        <f>IFERROR(__xludf.DUMMYFUNCTION("""COMPUTED_VALUE"""),"")</f>
        <v/>
      </c>
      <c r="U2379" s="139" t="str">
        <f>IFERROR(__xludf.DUMMYFUNCTION("""COMPUTED_VALUE"""),"")</f>
        <v/>
      </c>
      <c r="V2379" s="136" t="str">
        <f>IFERROR(__xludf.DUMMYFUNCTION("""COMPUTED_VALUE"""),"")</f>
        <v/>
      </c>
      <c r="W2379" s="106" t="str">
        <f>IFERROR(__xludf.DUMMYFUNCTION("""COMPUTED_VALUE"""),"")</f>
        <v/>
      </c>
      <c r="X2379" s="143" t="str">
        <f t="shared" si="2"/>
        <v/>
      </c>
      <c r="Y2379" s="139" t="str">
        <f>IFERROR(__xludf.DUMMYFUNCTION("""COMPUTED_VALUE"""),"")</f>
        <v/>
      </c>
      <c r="Z2379" s="141" t="str">
        <f>IFERROR(__xludf.DUMMYFUNCTION("""COMPUTED_VALUE"""),"")</f>
        <v/>
      </c>
    </row>
    <row r="2380">
      <c r="D2380" s="136" t="str">
        <f t="shared" si="3"/>
        <v/>
      </c>
      <c r="E2380" s="152"/>
      <c r="F2380" s="106" t="s">
        <v>133</v>
      </c>
      <c r="G2380" s="152"/>
      <c r="H2380" s="106" t="s">
        <v>133</v>
      </c>
      <c r="J2380" s="139" t="s">
        <v>133</v>
      </c>
      <c r="K2380" s="136" t="s">
        <v>133</v>
      </c>
      <c r="L2380" s="153"/>
      <c r="M2380" s="136" t="str">
        <f t="shared" si="1"/>
        <v/>
      </c>
      <c r="O2380" s="141" t="s">
        <v>133</v>
      </c>
      <c r="P2380" s="136" t="str">
        <f>IFERROR(__xludf.DUMMYFUNCTION("""COMPUTED_VALUE"""),"")</f>
        <v/>
      </c>
      <c r="Q2380" s="136" t="str">
        <f>IFERROR(__xludf.DUMMYFUNCTION("""COMPUTED_VALUE"""),"")</f>
        <v/>
      </c>
      <c r="R2380" s="106" t="str">
        <f>IFERROR(__xludf.DUMMYFUNCTION("""COMPUTED_VALUE"""),"")</f>
        <v/>
      </c>
      <c r="S2380" s="106" t="str">
        <f>IFERROR(__xludf.DUMMYFUNCTION("""COMPUTED_VALUE"""),"")</f>
        <v/>
      </c>
      <c r="T2380" s="139" t="str">
        <f>IFERROR(__xludf.DUMMYFUNCTION("""COMPUTED_VALUE"""),"")</f>
        <v/>
      </c>
      <c r="U2380" s="139" t="str">
        <f>IFERROR(__xludf.DUMMYFUNCTION("""COMPUTED_VALUE"""),"")</f>
        <v/>
      </c>
      <c r="V2380" s="136" t="str">
        <f>IFERROR(__xludf.DUMMYFUNCTION("""COMPUTED_VALUE"""),"")</f>
        <v/>
      </c>
      <c r="W2380" s="106" t="str">
        <f>IFERROR(__xludf.DUMMYFUNCTION("""COMPUTED_VALUE"""),"")</f>
        <v/>
      </c>
      <c r="X2380" s="143" t="str">
        <f t="shared" si="2"/>
        <v/>
      </c>
      <c r="Y2380" s="139" t="str">
        <f>IFERROR(__xludf.DUMMYFUNCTION("""COMPUTED_VALUE"""),"")</f>
        <v/>
      </c>
      <c r="Z2380" s="141" t="str">
        <f>IFERROR(__xludf.DUMMYFUNCTION("""COMPUTED_VALUE"""),"")</f>
        <v/>
      </c>
    </row>
    <row r="2381">
      <c r="D2381" s="136" t="str">
        <f t="shared" si="3"/>
        <v/>
      </c>
      <c r="E2381" s="152"/>
      <c r="F2381" s="106" t="s">
        <v>133</v>
      </c>
      <c r="G2381" s="152"/>
      <c r="H2381" s="106" t="s">
        <v>133</v>
      </c>
      <c r="J2381" s="139" t="s">
        <v>133</v>
      </c>
      <c r="K2381" s="136" t="s">
        <v>133</v>
      </c>
      <c r="L2381" s="153"/>
      <c r="M2381" s="136" t="str">
        <f t="shared" si="1"/>
        <v/>
      </c>
      <c r="O2381" s="141" t="s">
        <v>133</v>
      </c>
      <c r="P2381" s="136" t="str">
        <f>IFERROR(__xludf.DUMMYFUNCTION("""COMPUTED_VALUE"""),"")</f>
        <v/>
      </c>
      <c r="Q2381" s="136" t="str">
        <f>IFERROR(__xludf.DUMMYFUNCTION("""COMPUTED_VALUE"""),"")</f>
        <v/>
      </c>
      <c r="R2381" s="106" t="str">
        <f>IFERROR(__xludf.DUMMYFUNCTION("""COMPUTED_VALUE"""),"")</f>
        <v/>
      </c>
      <c r="S2381" s="106" t="str">
        <f>IFERROR(__xludf.DUMMYFUNCTION("""COMPUTED_VALUE"""),"")</f>
        <v/>
      </c>
      <c r="T2381" s="139" t="str">
        <f>IFERROR(__xludf.DUMMYFUNCTION("""COMPUTED_VALUE"""),"")</f>
        <v/>
      </c>
      <c r="U2381" s="139" t="str">
        <f>IFERROR(__xludf.DUMMYFUNCTION("""COMPUTED_VALUE"""),"")</f>
        <v/>
      </c>
      <c r="V2381" s="136" t="str">
        <f>IFERROR(__xludf.DUMMYFUNCTION("""COMPUTED_VALUE"""),"")</f>
        <v/>
      </c>
      <c r="W2381" s="106" t="str">
        <f>IFERROR(__xludf.DUMMYFUNCTION("""COMPUTED_VALUE"""),"")</f>
        <v/>
      </c>
      <c r="X2381" s="143" t="str">
        <f t="shared" si="2"/>
        <v/>
      </c>
      <c r="Y2381" s="139" t="str">
        <f>IFERROR(__xludf.DUMMYFUNCTION("""COMPUTED_VALUE"""),"")</f>
        <v/>
      </c>
      <c r="Z2381" s="141" t="str">
        <f>IFERROR(__xludf.DUMMYFUNCTION("""COMPUTED_VALUE"""),"")</f>
        <v/>
      </c>
    </row>
    <row r="2382">
      <c r="D2382" s="136" t="str">
        <f t="shared" si="3"/>
        <v/>
      </c>
      <c r="E2382" s="152"/>
      <c r="F2382" s="106" t="s">
        <v>133</v>
      </c>
      <c r="G2382" s="152"/>
      <c r="H2382" s="106" t="s">
        <v>133</v>
      </c>
      <c r="J2382" s="139" t="s">
        <v>133</v>
      </c>
      <c r="K2382" s="136" t="s">
        <v>133</v>
      </c>
      <c r="L2382" s="153"/>
      <c r="M2382" s="136" t="str">
        <f t="shared" si="1"/>
        <v/>
      </c>
      <c r="O2382" s="141" t="s">
        <v>133</v>
      </c>
      <c r="P2382" s="136" t="str">
        <f>IFERROR(__xludf.DUMMYFUNCTION("""COMPUTED_VALUE"""),"")</f>
        <v/>
      </c>
      <c r="Q2382" s="136" t="str">
        <f>IFERROR(__xludf.DUMMYFUNCTION("""COMPUTED_VALUE"""),"")</f>
        <v/>
      </c>
      <c r="R2382" s="106" t="str">
        <f>IFERROR(__xludf.DUMMYFUNCTION("""COMPUTED_VALUE"""),"")</f>
        <v/>
      </c>
      <c r="S2382" s="106" t="str">
        <f>IFERROR(__xludf.DUMMYFUNCTION("""COMPUTED_VALUE"""),"")</f>
        <v/>
      </c>
      <c r="T2382" s="139" t="str">
        <f>IFERROR(__xludf.DUMMYFUNCTION("""COMPUTED_VALUE"""),"")</f>
        <v/>
      </c>
      <c r="U2382" s="139" t="str">
        <f>IFERROR(__xludf.DUMMYFUNCTION("""COMPUTED_VALUE"""),"")</f>
        <v/>
      </c>
      <c r="V2382" s="136" t="str">
        <f>IFERROR(__xludf.DUMMYFUNCTION("""COMPUTED_VALUE"""),"")</f>
        <v/>
      </c>
      <c r="W2382" s="106" t="str">
        <f>IFERROR(__xludf.DUMMYFUNCTION("""COMPUTED_VALUE"""),"")</f>
        <v/>
      </c>
      <c r="X2382" s="143" t="str">
        <f t="shared" si="2"/>
        <v/>
      </c>
      <c r="Y2382" s="139" t="str">
        <f>IFERROR(__xludf.DUMMYFUNCTION("""COMPUTED_VALUE"""),"")</f>
        <v/>
      </c>
      <c r="Z2382" s="141" t="str">
        <f>IFERROR(__xludf.DUMMYFUNCTION("""COMPUTED_VALUE"""),"")</f>
        <v/>
      </c>
    </row>
    <row r="2383">
      <c r="D2383" s="136" t="str">
        <f t="shared" si="3"/>
        <v/>
      </c>
      <c r="E2383" s="152"/>
      <c r="F2383" s="106" t="s">
        <v>133</v>
      </c>
      <c r="G2383" s="152"/>
      <c r="H2383" s="106" t="s">
        <v>133</v>
      </c>
      <c r="J2383" s="139" t="s">
        <v>133</v>
      </c>
      <c r="K2383" s="136" t="s">
        <v>133</v>
      </c>
      <c r="L2383" s="153"/>
      <c r="M2383" s="136" t="str">
        <f t="shared" si="1"/>
        <v/>
      </c>
      <c r="O2383" s="141" t="s">
        <v>133</v>
      </c>
      <c r="P2383" s="136" t="str">
        <f>IFERROR(__xludf.DUMMYFUNCTION("""COMPUTED_VALUE"""),"")</f>
        <v/>
      </c>
      <c r="Q2383" s="136" t="str">
        <f>IFERROR(__xludf.DUMMYFUNCTION("""COMPUTED_VALUE"""),"")</f>
        <v/>
      </c>
      <c r="R2383" s="106" t="str">
        <f>IFERROR(__xludf.DUMMYFUNCTION("""COMPUTED_VALUE"""),"")</f>
        <v/>
      </c>
      <c r="S2383" s="106" t="str">
        <f>IFERROR(__xludf.DUMMYFUNCTION("""COMPUTED_VALUE"""),"")</f>
        <v/>
      </c>
      <c r="T2383" s="139" t="str">
        <f>IFERROR(__xludf.DUMMYFUNCTION("""COMPUTED_VALUE"""),"")</f>
        <v/>
      </c>
      <c r="U2383" s="139" t="str">
        <f>IFERROR(__xludf.DUMMYFUNCTION("""COMPUTED_VALUE"""),"")</f>
        <v/>
      </c>
      <c r="V2383" s="136" t="str">
        <f>IFERROR(__xludf.DUMMYFUNCTION("""COMPUTED_VALUE"""),"")</f>
        <v/>
      </c>
      <c r="W2383" s="106" t="str">
        <f>IFERROR(__xludf.DUMMYFUNCTION("""COMPUTED_VALUE"""),"")</f>
        <v/>
      </c>
      <c r="X2383" s="143" t="str">
        <f t="shared" si="2"/>
        <v/>
      </c>
      <c r="Y2383" s="139" t="str">
        <f>IFERROR(__xludf.DUMMYFUNCTION("""COMPUTED_VALUE"""),"")</f>
        <v/>
      </c>
      <c r="Z2383" s="141" t="str">
        <f>IFERROR(__xludf.DUMMYFUNCTION("""COMPUTED_VALUE"""),"")</f>
        <v/>
      </c>
    </row>
    <row r="2384">
      <c r="D2384" s="136" t="str">
        <f t="shared" si="3"/>
        <v/>
      </c>
      <c r="E2384" s="152"/>
      <c r="F2384" s="106" t="s">
        <v>133</v>
      </c>
      <c r="G2384" s="152"/>
      <c r="H2384" s="106" t="s">
        <v>133</v>
      </c>
      <c r="J2384" s="139" t="s">
        <v>133</v>
      </c>
      <c r="K2384" s="136" t="s">
        <v>133</v>
      </c>
      <c r="L2384" s="153"/>
      <c r="M2384" s="136" t="str">
        <f t="shared" si="1"/>
        <v/>
      </c>
      <c r="O2384" s="141" t="s">
        <v>133</v>
      </c>
      <c r="P2384" s="136" t="str">
        <f>IFERROR(__xludf.DUMMYFUNCTION("""COMPUTED_VALUE"""),"")</f>
        <v/>
      </c>
      <c r="Q2384" s="136" t="str">
        <f>IFERROR(__xludf.DUMMYFUNCTION("""COMPUTED_VALUE"""),"")</f>
        <v/>
      </c>
      <c r="R2384" s="106" t="str">
        <f>IFERROR(__xludf.DUMMYFUNCTION("""COMPUTED_VALUE"""),"")</f>
        <v/>
      </c>
      <c r="S2384" s="106" t="str">
        <f>IFERROR(__xludf.DUMMYFUNCTION("""COMPUTED_VALUE"""),"")</f>
        <v/>
      </c>
      <c r="T2384" s="139" t="str">
        <f>IFERROR(__xludf.DUMMYFUNCTION("""COMPUTED_VALUE"""),"")</f>
        <v/>
      </c>
      <c r="U2384" s="139" t="str">
        <f>IFERROR(__xludf.DUMMYFUNCTION("""COMPUTED_VALUE"""),"")</f>
        <v/>
      </c>
      <c r="V2384" s="136" t="str">
        <f>IFERROR(__xludf.DUMMYFUNCTION("""COMPUTED_VALUE"""),"")</f>
        <v/>
      </c>
      <c r="W2384" s="106" t="str">
        <f>IFERROR(__xludf.DUMMYFUNCTION("""COMPUTED_VALUE"""),"")</f>
        <v/>
      </c>
      <c r="X2384" s="143" t="str">
        <f t="shared" si="2"/>
        <v/>
      </c>
      <c r="Y2384" s="139" t="str">
        <f>IFERROR(__xludf.DUMMYFUNCTION("""COMPUTED_VALUE"""),"")</f>
        <v/>
      </c>
      <c r="Z2384" s="141" t="str">
        <f>IFERROR(__xludf.DUMMYFUNCTION("""COMPUTED_VALUE"""),"")</f>
        <v/>
      </c>
    </row>
    <row r="2385">
      <c r="D2385" s="136" t="str">
        <f t="shared" si="3"/>
        <v/>
      </c>
      <c r="E2385" s="152"/>
      <c r="F2385" s="106" t="s">
        <v>133</v>
      </c>
      <c r="G2385" s="152"/>
      <c r="H2385" s="106" t="s">
        <v>133</v>
      </c>
      <c r="J2385" s="139" t="s">
        <v>133</v>
      </c>
      <c r="K2385" s="136" t="s">
        <v>133</v>
      </c>
      <c r="L2385" s="153"/>
      <c r="M2385" s="136" t="str">
        <f t="shared" si="1"/>
        <v/>
      </c>
      <c r="O2385" s="141" t="s">
        <v>133</v>
      </c>
      <c r="P2385" s="136" t="str">
        <f>IFERROR(__xludf.DUMMYFUNCTION("""COMPUTED_VALUE"""),"")</f>
        <v/>
      </c>
      <c r="Q2385" s="136" t="str">
        <f>IFERROR(__xludf.DUMMYFUNCTION("""COMPUTED_VALUE"""),"")</f>
        <v/>
      </c>
      <c r="R2385" s="106" t="str">
        <f>IFERROR(__xludf.DUMMYFUNCTION("""COMPUTED_VALUE"""),"")</f>
        <v/>
      </c>
      <c r="S2385" s="106" t="str">
        <f>IFERROR(__xludf.DUMMYFUNCTION("""COMPUTED_VALUE"""),"")</f>
        <v/>
      </c>
      <c r="T2385" s="139" t="str">
        <f>IFERROR(__xludf.DUMMYFUNCTION("""COMPUTED_VALUE"""),"")</f>
        <v/>
      </c>
      <c r="U2385" s="139" t="str">
        <f>IFERROR(__xludf.DUMMYFUNCTION("""COMPUTED_VALUE"""),"")</f>
        <v/>
      </c>
      <c r="V2385" s="136" t="str">
        <f>IFERROR(__xludf.DUMMYFUNCTION("""COMPUTED_VALUE"""),"")</f>
        <v/>
      </c>
      <c r="W2385" s="106" t="str">
        <f>IFERROR(__xludf.DUMMYFUNCTION("""COMPUTED_VALUE"""),"")</f>
        <v/>
      </c>
      <c r="X2385" s="143" t="str">
        <f t="shared" si="2"/>
        <v/>
      </c>
      <c r="Y2385" s="139" t="str">
        <f>IFERROR(__xludf.DUMMYFUNCTION("""COMPUTED_VALUE"""),"")</f>
        <v/>
      </c>
      <c r="Z2385" s="141" t="str">
        <f>IFERROR(__xludf.DUMMYFUNCTION("""COMPUTED_VALUE"""),"")</f>
        <v/>
      </c>
    </row>
    <row r="2386">
      <c r="D2386" s="136" t="str">
        <f t="shared" si="3"/>
        <v/>
      </c>
      <c r="E2386" s="152"/>
      <c r="F2386" s="106" t="s">
        <v>133</v>
      </c>
      <c r="G2386" s="152"/>
      <c r="H2386" s="106" t="s">
        <v>133</v>
      </c>
      <c r="J2386" s="139" t="s">
        <v>133</v>
      </c>
      <c r="K2386" s="136" t="s">
        <v>133</v>
      </c>
      <c r="L2386" s="153"/>
      <c r="M2386" s="136" t="str">
        <f t="shared" si="1"/>
        <v/>
      </c>
      <c r="O2386" s="141" t="s">
        <v>133</v>
      </c>
      <c r="P2386" s="136" t="str">
        <f>IFERROR(__xludf.DUMMYFUNCTION("""COMPUTED_VALUE"""),"")</f>
        <v/>
      </c>
      <c r="Q2386" s="136" t="str">
        <f>IFERROR(__xludf.DUMMYFUNCTION("""COMPUTED_VALUE"""),"")</f>
        <v/>
      </c>
      <c r="R2386" s="106" t="str">
        <f>IFERROR(__xludf.DUMMYFUNCTION("""COMPUTED_VALUE"""),"")</f>
        <v/>
      </c>
      <c r="S2386" s="106" t="str">
        <f>IFERROR(__xludf.DUMMYFUNCTION("""COMPUTED_VALUE"""),"")</f>
        <v/>
      </c>
      <c r="T2386" s="139" t="str">
        <f>IFERROR(__xludf.DUMMYFUNCTION("""COMPUTED_VALUE"""),"")</f>
        <v/>
      </c>
      <c r="U2386" s="139" t="str">
        <f>IFERROR(__xludf.DUMMYFUNCTION("""COMPUTED_VALUE"""),"")</f>
        <v/>
      </c>
      <c r="V2386" s="136" t="str">
        <f>IFERROR(__xludf.DUMMYFUNCTION("""COMPUTED_VALUE"""),"")</f>
        <v/>
      </c>
      <c r="W2386" s="106" t="str">
        <f>IFERROR(__xludf.DUMMYFUNCTION("""COMPUTED_VALUE"""),"")</f>
        <v/>
      </c>
      <c r="X2386" s="143" t="str">
        <f t="shared" si="2"/>
        <v/>
      </c>
      <c r="Y2386" s="139" t="str">
        <f>IFERROR(__xludf.DUMMYFUNCTION("""COMPUTED_VALUE"""),"")</f>
        <v/>
      </c>
      <c r="Z2386" s="141" t="str">
        <f>IFERROR(__xludf.DUMMYFUNCTION("""COMPUTED_VALUE"""),"")</f>
        <v/>
      </c>
    </row>
    <row r="2387">
      <c r="D2387" s="136" t="str">
        <f t="shared" si="3"/>
        <v/>
      </c>
      <c r="E2387" s="152"/>
      <c r="F2387" s="106" t="s">
        <v>133</v>
      </c>
      <c r="G2387" s="152"/>
      <c r="H2387" s="106" t="s">
        <v>133</v>
      </c>
      <c r="J2387" s="139" t="s">
        <v>133</v>
      </c>
      <c r="K2387" s="136" t="s">
        <v>133</v>
      </c>
      <c r="L2387" s="153"/>
      <c r="M2387" s="136" t="str">
        <f t="shared" si="1"/>
        <v/>
      </c>
      <c r="O2387" s="141" t="s">
        <v>133</v>
      </c>
      <c r="P2387" s="136" t="str">
        <f>IFERROR(__xludf.DUMMYFUNCTION("""COMPUTED_VALUE"""),"")</f>
        <v/>
      </c>
      <c r="Q2387" s="136" t="str">
        <f>IFERROR(__xludf.DUMMYFUNCTION("""COMPUTED_VALUE"""),"")</f>
        <v/>
      </c>
      <c r="R2387" s="106" t="str">
        <f>IFERROR(__xludf.DUMMYFUNCTION("""COMPUTED_VALUE"""),"")</f>
        <v/>
      </c>
      <c r="S2387" s="106" t="str">
        <f>IFERROR(__xludf.DUMMYFUNCTION("""COMPUTED_VALUE"""),"")</f>
        <v/>
      </c>
      <c r="T2387" s="139" t="str">
        <f>IFERROR(__xludf.DUMMYFUNCTION("""COMPUTED_VALUE"""),"")</f>
        <v/>
      </c>
      <c r="U2387" s="139" t="str">
        <f>IFERROR(__xludf.DUMMYFUNCTION("""COMPUTED_VALUE"""),"")</f>
        <v/>
      </c>
      <c r="V2387" s="136" t="str">
        <f>IFERROR(__xludf.DUMMYFUNCTION("""COMPUTED_VALUE"""),"")</f>
        <v/>
      </c>
      <c r="W2387" s="106" t="str">
        <f>IFERROR(__xludf.DUMMYFUNCTION("""COMPUTED_VALUE"""),"")</f>
        <v/>
      </c>
      <c r="X2387" s="143" t="str">
        <f t="shared" si="2"/>
        <v/>
      </c>
      <c r="Y2387" s="139" t="str">
        <f>IFERROR(__xludf.DUMMYFUNCTION("""COMPUTED_VALUE"""),"")</f>
        <v/>
      </c>
      <c r="Z2387" s="141" t="str">
        <f>IFERROR(__xludf.DUMMYFUNCTION("""COMPUTED_VALUE"""),"")</f>
        <v/>
      </c>
    </row>
    <row r="2388">
      <c r="D2388" s="136" t="str">
        <f t="shared" si="3"/>
        <v/>
      </c>
      <c r="E2388" s="152"/>
      <c r="F2388" s="106" t="s">
        <v>133</v>
      </c>
      <c r="G2388" s="152"/>
      <c r="H2388" s="106" t="s">
        <v>133</v>
      </c>
      <c r="J2388" s="139" t="s">
        <v>133</v>
      </c>
      <c r="K2388" s="136" t="s">
        <v>133</v>
      </c>
      <c r="L2388" s="153"/>
      <c r="M2388" s="136" t="str">
        <f t="shared" si="1"/>
        <v/>
      </c>
      <c r="O2388" s="141" t="s">
        <v>133</v>
      </c>
      <c r="P2388" s="136" t="str">
        <f>IFERROR(__xludf.DUMMYFUNCTION("""COMPUTED_VALUE"""),"")</f>
        <v/>
      </c>
      <c r="Q2388" s="136" t="str">
        <f>IFERROR(__xludf.DUMMYFUNCTION("""COMPUTED_VALUE"""),"")</f>
        <v/>
      </c>
      <c r="R2388" s="106" t="str">
        <f>IFERROR(__xludf.DUMMYFUNCTION("""COMPUTED_VALUE"""),"")</f>
        <v/>
      </c>
      <c r="S2388" s="106" t="str">
        <f>IFERROR(__xludf.DUMMYFUNCTION("""COMPUTED_VALUE"""),"")</f>
        <v/>
      </c>
      <c r="T2388" s="139" t="str">
        <f>IFERROR(__xludf.DUMMYFUNCTION("""COMPUTED_VALUE"""),"")</f>
        <v/>
      </c>
      <c r="U2388" s="139" t="str">
        <f>IFERROR(__xludf.DUMMYFUNCTION("""COMPUTED_VALUE"""),"")</f>
        <v/>
      </c>
      <c r="V2388" s="136" t="str">
        <f>IFERROR(__xludf.DUMMYFUNCTION("""COMPUTED_VALUE"""),"")</f>
        <v/>
      </c>
      <c r="W2388" s="106" t="str">
        <f>IFERROR(__xludf.DUMMYFUNCTION("""COMPUTED_VALUE"""),"")</f>
        <v/>
      </c>
      <c r="X2388" s="143" t="str">
        <f t="shared" si="2"/>
        <v/>
      </c>
      <c r="Y2388" s="139" t="str">
        <f>IFERROR(__xludf.DUMMYFUNCTION("""COMPUTED_VALUE"""),"")</f>
        <v/>
      </c>
      <c r="Z2388" s="141" t="str">
        <f>IFERROR(__xludf.DUMMYFUNCTION("""COMPUTED_VALUE"""),"")</f>
        <v/>
      </c>
    </row>
    <row r="2389">
      <c r="D2389" s="136" t="str">
        <f t="shared" si="3"/>
        <v/>
      </c>
      <c r="E2389" s="152"/>
      <c r="F2389" s="106" t="s">
        <v>133</v>
      </c>
      <c r="G2389" s="152"/>
      <c r="H2389" s="106" t="s">
        <v>133</v>
      </c>
      <c r="J2389" s="139" t="s">
        <v>133</v>
      </c>
      <c r="K2389" s="136" t="s">
        <v>133</v>
      </c>
      <c r="L2389" s="153"/>
      <c r="M2389" s="136" t="str">
        <f t="shared" si="1"/>
        <v/>
      </c>
      <c r="O2389" s="141" t="s">
        <v>133</v>
      </c>
      <c r="P2389" s="136" t="str">
        <f>IFERROR(__xludf.DUMMYFUNCTION("""COMPUTED_VALUE"""),"")</f>
        <v/>
      </c>
      <c r="Q2389" s="136" t="str">
        <f>IFERROR(__xludf.DUMMYFUNCTION("""COMPUTED_VALUE"""),"")</f>
        <v/>
      </c>
      <c r="R2389" s="106" t="str">
        <f>IFERROR(__xludf.DUMMYFUNCTION("""COMPUTED_VALUE"""),"")</f>
        <v/>
      </c>
      <c r="S2389" s="106" t="str">
        <f>IFERROR(__xludf.DUMMYFUNCTION("""COMPUTED_VALUE"""),"")</f>
        <v/>
      </c>
      <c r="T2389" s="139" t="str">
        <f>IFERROR(__xludf.DUMMYFUNCTION("""COMPUTED_VALUE"""),"")</f>
        <v/>
      </c>
      <c r="U2389" s="139" t="str">
        <f>IFERROR(__xludf.DUMMYFUNCTION("""COMPUTED_VALUE"""),"")</f>
        <v/>
      </c>
      <c r="V2389" s="136" t="str">
        <f>IFERROR(__xludf.DUMMYFUNCTION("""COMPUTED_VALUE"""),"")</f>
        <v/>
      </c>
      <c r="W2389" s="106" t="str">
        <f>IFERROR(__xludf.DUMMYFUNCTION("""COMPUTED_VALUE"""),"")</f>
        <v/>
      </c>
      <c r="X2389" s="143" t="str">
        <f t="shared" si="2"/>
        <v/>
      </c>
      <c r="Y2389" s="139" t="str">
        <f>IFERROR(__xludf.DUMMYFUNCTION("""COMPUTED_VALUE"""),"")</f>
        <v/>
      </c>
      <c r="Z2389" s="141" t="str">
        <f>IFERROR(__xludf.DUMMYFUNCTION("""COMPUTED_VALUE"""),"")</f>
        <v/>
      </c>
    </row>
    <row r="2390">
      <c r="D2390" s="136" t="str">
        <f t="shared" si="3"/>
        <v/>
      </c>
      <c r="E2390" s="152"/>
      <c r="F2390" s="106" t="s">
        <v>133</v>
      </c>
      <c r="G2390" s="152"/>
      <c r="H2390" s="106" t="s">
        <v>133</v>
      </c>
      <c r="J2390" s="139" t="s">
        <v>133</v>
      </c>
      <c r="K2390" s="136" t="s">
        <v>133</v>
      </c>
      <c r="L2390" s="153"/>
      <c r="M2390" s="136" t="str">
        <f t="shared" si="1"/>
        <v/>
      </c>
      <c r="O2390" s="141" t="s">
        <v>133</v>
      </c>
      <c r="P2390" s="136" t="str">
        <f>IFERROR(__xludf.DUMMYFUNCTION("""COMPUTED_VALUE"""),"")</f>
        <v/>
      </c>
      <c r="Q2390" s="136" t="str">
        <f>IFERROR(__xludf.DUMMYFUNCTION("""COMPUTED_VALUE"""),"")</f>
        <v/>
      </c>
      <c r="R2390" s="106" t="str">
        <f>IFERROR(__xludf.DUMMYFUNCTION("""COMPUTED_VALUE"""),"")</f>
        <v/>
      </c>
      <c r="S2390" s="106" t="str">
        <f>IFERROR(__xludf.DUMMYFUNCTION("""COMPUTED_VALUE"""),"")</f>
        <v/>
      </c>
      <c r="T2390" s="139" t="str">
        <f>IFERROR(__xludf.DUMMYFUNCTION("""COMPUTED_VALUE"""),"")</f>
        <v/>
      </c>
      <c r="U2390" s="139" t="str">
        <f>IFERROR(__xludf.DUMMYFUNCTION("""COMPUTED_VALUE"""),"")</f>
        <v/>
      </c>
      <c r="V2390" s="136" t="str">
        <f>IFERROR(__xludf.DUMMYFUNCTION("""COMPUTED_VALUE"""),"")</f>
        <v/>
      </c>
      <c r="W2390" s="106" t="str">
        <f>IFERROR(__xludf.DUMMYFUNCTION("""COMPUTED_VALUE"""),"")</f>
        <v/>
      </c>
      <c r="X2390" s="143" t="str">
        <f t="shared" si="2"/>
        <v/>
      </c>
      <c r="Y2390" s="139" t="str">
        <f>IFERROR(__xludf.DUMMYFUNCTION("""COMPUTED_VALUE"""),"")</f>
        <v/>
      </c>
      <c r="Z2390" s="141" t="str">
        <f>IFERROR(__xludf.DUMMYFUNCTION("""COMPUTED_VALUE"""),"")</f>
        <v/>
      </c>
    </row>
    <row r="2391">
      <c r="D2391" s="136" t="str">
        <f t="shared" si="3"/>
        <v/>
      </c>
      <c r="E2391" s="152"/>
      <c r="F2391" s="106" t="s">
        <v>133</v>
      </c>
      <c r="G2391" s="152"/>
      <c r="H2391" s="106" t="s">
        <v>133</v>
      </c>
      <c r="J2391" s="139" t="s">
        <v>133</v>
      </c>
      <c r="K2391" s="136" t="s">
        <v>133</v>
      </c>
      <c r="L2391" s="153"/>
      <c r="M2391" s="136" t="str">
        <f t="shared" si="1"/>
        <v/>
      </c>
      <c r="O2391" s="141" t="s">
        <v>133</v>
      </c>
      <c r="P2391" s="136" t="str">
        <f>IFERROR(__xludf.DUMMYFUNCTION("""COMPUTED_VALUE"""),"")</f>
        <v/>
      </c>
      <c r="Q2391" s="136" t="str">
        <f>IFERROR(__xludf.DUMMYFUNCTION("""COMPUTED_VALUE"""),"")</f>
        <v/>
      </c>
      <c r="R2391" s="106" t="str">
        <f>IFERROR(__xludf.DUMMYFUNCTION("""COMPUTED_VALUE"""),"")</f>
        <v/>
      </c>
      <c r="S2391" s="106" t="str">
        <f>IFERROR(__xludf.DUMMYFUNCTION("""COMPUTED_VALUE"""),"")</f>
        <v/>
      </c>
      <c r="T2391" s="139" t="str">
        <f>IFERROR(__xludf.DUMMYFUNCTION("""COMPUTED_VALUE"""),"")</f>
        <v/>
      </c>
      <c r="U2391" s="139" t="str">
        <f>IFERROR(__xludf.DUMMYFUNCTION("""COMPUTED_VALUE"""),"")</f>
        <v/>
      </c>
      <c r="V2391" s="136" t="str">
        <f>IFERROR(__xludf.DUMMYFUNCTION("""COMPUTED_VALUE"""),"")</f>
        <v/>
      </c>
      <c r="W2391" s="106" t="str">
        <f>IFERROR(__xludf.DUMMYFUNCTION("""COMPUTED_VALUE"""),"")</f>
        <v/>
      </c>
      <c r="X2391" s="143" t="str">
        <f t="shared" si="2"/>
        <v/>
      </c>
      <c r="Y2391" s="139" t="str">
        <f>IFERROR(__xludf.DUMMYFUNCTION("""COMPUTED_VALUE"""),"")</f>
        <v/>
      </c>
      <c r="Z2391" s="141" t="str">
        <f>IFERROR(__xludf.DUMMYFUNCTION("""COMPUTED_VALUE"""),"")</f>
        <v/>
      </c>
    </row>
    <row r="2392">
      <c r="D2392" s="136" t="str">
        <f t="shared" si="3"/>
        <v/>
      </c>
      <c r="E2392" s="152"/>
      <c r="F2392" s="106" t="s">
        <v>133</v>
      </c>
      <c r="G2392" s="152"/>
      <c r="H2392" s="106" t="s">
        <v>133</v>
      </c>
      <c r="J2392" s="139" t="s">
        <v>133</v>
      </c>
      <c r="K2392" s="136" t="s">
        <v>133</v>
      </c>
      <c r="L2392" s="153"/>
      <c r="M2392" s="136" t="str">
        <f t="shared" si="1"/>
        <v/>
      </c>
      <c r="O2392" s="141" t="s">
        <v>133</v>
      </c>
      <c r="P2392" s="136" t="str">
        <f>IFERROR(__xludf.DUMMYFUNCTION("""COMPUTED_VALUE"""),"")</f>
        <v/>
      </c>
      <c r="Q2392" s="136" t="str">
        <f>IFERROR(__xludf.DUMMYFUNCTION("""COMPUTED_VALUE"""),"")</f>
        <v/>
      </c>
      <c r="R2392" s="106" t="str">
        <f>IFERROR(__xludf.DUMMYFUNCTION("""COMPUTED_VALUE"""),"")</f>
        <v/>
      </c>
      <c r="S2392" s="106" t="str">
        <f>IFERROR(__xludf.DUMMYFUNCTION("""COMPUTED_VALUE"""),"")</f>
        <v/>
      </c>
      <c r="T2392" s="139" t="str">
        <f>IFERROR(__xludf.DUMMYFUNCTION("""COMPUTED_VALUE"""),"")</f>
        <v/>
      </c>
      <c r="U2392" s="139" t="str">
        <f>IFERROR(__xludf.DUMMYFUNCTION("""COMPUTED_VALUE"""),"")</f>
        <v/>
      </c>
      <c r="V2392" s="136" t="str">
        <f>IFERROR(__xludf.DUMMYFUNCTION("""COMPUTED_VALUE"""),"")</f>
        <v/>
      </c>
      <c r="W2392" s="106" t="str">
        <f>IFERROR(__xludf.DUMMYFUNCTION("""COMPUTED_VALUE"""),"")</f>
        <v/>
      </c>
      <c r="X2392" s="143" t="str">
        <f t="shared" si="2"/>
        <v/>
      </c>
      <c r="Y2392" s="139" t="str">
        <f>IFERROR(__xludf.DUMMYFUNCTION("""COMPUTED_VALUE"""),"")</f>
        <v/>
      </c>
      <c r="Z2392" s="141" t="str">
        <f>IFERROR(__xludf.DUMMYFUNCTION("""COMPUTED_VALUE"""),"")</f>
        <v/>
      </c>
    </row>
    <row r="2393">
      <c r="D2393" s="136" t="str">
        <f t="shared" si="3"/>
        <v/>
      </c>
      <c r="E2393" s="152"/>
      <c r="F2393" s="106" t="s">
        <v>133</v>
      </c>
      <c r="G2393" s="152"/>
      <c r="H2393" s="106" t="s">
        <v>133</v>
      </c>
      <c r="J2393" s="139" t="s">
        <v>133</v>
      </c>
      <c r="K2393" s="136" t="s">
        <v>133</v>
      </c>
      <c r="L2393" s="153"/>
      <c r="M2393" s="136" t="str">
        <f t="shared" si="1"/>
        <v/>
      </c>
      <c r="O2393" s="141" t="s">
        <v>133</v>
      </c>
      <c r="P2393" s="136" t="str">
        <f>IFERROR(__xludf.DUMMYFUNCTION("""COMPUTED_VALUE"""),"")</f>
        <v/>
      </c>
      <c r="Q2393" s="136" t="str">
        <f>IFERROR(__xludf.DUMMYFUNCTION("""COMPUTED_VALUE"""),"")</f>
        <v/>
      </c>
      <c r="R2393" s="106" t="str">
        <f>IFERROR(__xludf.DUMMYFUNCTION("""COMPUTED_VALUE"""),"")</f>
        <v/>
      </c>
      <c r="S2393" s="106" t="str">
        <f>IFERROR(__xludf.DUMMYFUNCTION("""COMPUTED_VALUE"""),"")</f>
        <v/>
      </c>
      <c r="T2393" s="139" t="str">
        <f>IFERROR(__xludf.DUMMYFUNCTION("""COMPUTED_VALUE"""),"")</f>
        <v/>
      </c>
      <c r="U2393" s="139" t="str">
        <f>IFERROR(__xludf.DUMMYFUNCTION("""COMPUTED_VALUE"""),"")</f>
        <v/>
      </c>
      <c r="V2393" s="136" t="str">
        <f>IFERROR(__xludf.DUMMYFUNCTION("""COMPUTED_VALUE"""),"")</f>
        <v/>
      </c>
      <c r="W2393" s="106" t="str">
        <f>IFERROR(__xludf.DUMMYFUNCTION("""COMPUTED_VALUE"""),"")</f>
        <v/>
      </c>
      <c r="X2393" s="143" t="str">
        <f t="shared" si="2"/>
        <v/>
      </c>
      <c r="Y2393" s="139" t="str">
        <f>IFERROR(__xludf.DUMMYFUNCTION("""COMPUTED_VALUE"""),"")</f>
        <v/>
      </c>
      <c r="Z2393" s="141" t="str">
        <f>IFERROR(__xludf.DUMMYFUNCTION("""COMPUTED_VALUE"""),"")</f>
        <v/>
      </c>
    </row>
    <row r="2394">
      <c r="D2394" s="136" t="str">
        <f t="shared" si="3"/>
        <v/>
      </c>
      <c r="E2394" s="152"/>
      <c r="F2394" s="106" t="s">
        <v>133</v>
      </c>
      <c r="G2394" s="152"/>
      <c r="H2394" s="106" t="s">
        <v>133</v>
      </c>
      <c r="J2394" s="139" t="s">
        <v>133</v>
      </c>
      <c r="K2394" s="136" t="s">
        <v>133</v>
      </c>
      <c r="L2394" s="153"/>
      <c r="M2394" s="136" t="str">
        <f t="shared" si="1"/>
        <v/>
      </c>
      <c r="O2394" s="141" t="s">
        <v>133</v>
      </c>
      <c r="P2394" s="136" t="str">
        <f>IFERROR(__xludf.DUMMYFUNCTION("""COMPUTED_VALUE"""),"")</f>
        <v/>
      </c>
      <c r="Q2394" s="136" t="str">
        <f>IFERROR(__xludf.DUMMYFUNCTION("""COMPUTED_VALUE"""),"")</f>
        <v/>
      </c>
      <c r="R2394" s="106" t="str">
        <f>IFERROR(__xludf.DUMMYFUNCTION("""COMPUTED_VALUE"""),"")</f>
        <v/>
      </c>
      <c r="S2394" s="106" t="str">
        <f>IFERROR(__xludf.DUMMYFUNCTION("""COMPUTED_VALUE"""),"")</f>
        <v/>
      </c>
      <c r="T2394" s="139" t="str">
        <f>IFERROR(__xludf.DUMMYFUNCTION("""COMPUTED_VALUE"""),"")</f>
        <v/>
      </c>
      <c r="U2394" s="139" t="str">
        <f>IFERROR(__xludf.DUMMYFUNCTION("""COMPUTED_VALUE"""),"")</f>
        <v/>
      </c>
      <c r="V2394" s="136" t="str">
        <f>IFERROR(__xludf.DUMMYFUNCTION("""COMPUTED_VALUE"""),"")</f>
        <v/>
      </c>
      <c r="W2394" s="106" t="str">
        <f>IFERROR(__xludf.DUMMYFUNCTION("""COMPUTED_VALUE"""),"")</f>
        <v/>
      </c>
      <c r="X2394" s="143" t="str">
        <f t="shared" si="2"/>
        <v/>
      </c>
      <c r="Y2394" s="139" t="str">
        <f>IFERROR(__xludf.DUMMYFUNCTION("""COMPUTED_VALUE"""),"")</f>
        <v/>
      </c>
      <c r="Z2394" s="141" t="str">
        <f>IFERROR(__xludf.DUMMYFUNCTION("""COMPUTED_VALUE"""),"")</f>
        <v/>
      </c>
    </row>
    <row r="2395">
      <c r="D2395" s="136" t="str">
        <f t="shared" si="3"/>
        <v/>
      </c>
      <c r="E2395" s="152"/>
      <c r="F2395" s="106" t="s">
        <v>133</v>
      </c>
      <c r="G2395" s="152"/>
      <c r="H2395" s="106" t="s">
        <v>133</v>
      </c>
      <c r="J2395" s="139" t="s">
        <v>133</v>
      </c>
      <c r="K2395" s="136" t="s">
        <v>133</v>
      </c>
      <c r="L2395" s="153"/>
      <c r="M2395" s="136" t="str">
        <f t="shared" si="1"/>
        <v/>
      </c>
      <c r="O2395" s="141" t="s">
        <v>133</v>
      </c>
      <c r="P2395" s="136" t="str">
        <f>IFERROR(__xludf.DUMMYFUNCTION("""COMPUTED_VALUE"""),"")</f>
        <v/>
      </c>
      <c r="Q2395" s="136" t="str">
        <f>IFERROR(__xludf.DUMMYFUNCTION("""COMPUTED_VALUE"""),"")</f>
        <v/>
      </c>
      <c r="R2395" s="106" t="str">
        <f>IFERROR(__xludf.DUMMYFUNCTION("""COMPUTED_VALUE"""),"")</f>
        <v/>
      </c>
      <c r="S2395" s="106" t="str">
        <f>IFERROR(__xludf.DUMMYFUNCTION("""COMPUTED_VALUE"""),"")</f>
        <v/>
      </c>
      <c r="T2395" s="139" t="str">
        <f>IFERROR(__xludf.DUMMYFUNCTION("""COMPUTED_VALUE"""),"")</f>
        <v/>
      </c>
      <c r="U2395" s="139" t="str">
        <f>IFERROR(__xludf.DUMMYFUNCTION("""COMPUTED_VALUE"""),"")</f>
        <v/>
      </c>
      <c r="V2395" s="136" t="str">
        <f>IFERROR(__xludf.DUMMYFUNCTION("""COMPUTED_VALUE"""),"")</f>
        <v/>
      </c>
      <c r="W2395" s="106" t="str">
        <f>IFERROR(__xludf.DUMMYFUNCTION("""COMPUTED_VALUE"""),"")</f>
        <v/>
      </c>
      <c r="X2395" s="143" t="str">
        <f t="shared" si="2"/>
        <v/>
      </c>
      <c r="Y2395" s="139" t="str">
        <f>IFERROR(__xludf.DUMMYFUNCTION("""COMPUTED_VALUE"""),"")</f>
        <v/>
      </c>
      <c r="Z2395" s="141" t="str">
        <f>IFERROR(__xludf.DUMMYFUNCTION("""COMPUTED_VALUE"""),"")</f>
        <v/>
      </c>
    </row>
    <row r="2396">
      <c r="D2396" s="136" t="str">
        <f t="shared" si="3"/>
        <v/>
      </c>
      <c r="E2396" s="152"/>
      <c r="F2396" s="106" t="s">
        <v>133</v>
      </c>
      <c r="G2396" s="152"/>
      <c r="H2396" s="106" t="s">
        <v>133</v>
      </c>
      <c r="J2396" s="139" t="s">
        <v>133</v>
      </c>
      <c r="K2396" s="136" t="s">
        <v>133</v>
      </c>
      <c r="L2396" s="153"/>
      <c r="M2396" s="136" t="str">
        <f t="shared" si="1"/>
        <v/>
      </c>
      <c r="O2396" s="141" t="s">
        <v>133</v>
      </c>
      <c r="P2396" s="136" t="str">
        <f>IFERROR(__xludf.DUMMYFUNCTION("""COMPUTED_VALUE"""),"")</f>
        <v/>
      </c>
      <c r="Q2396" s="136" t="str">
        <f>IFERROR(__xludf.DUMMYFUNCTION("""COMPUTED_VALUE"""),"")</f>
        <v/>
      </c>
      <c r="R2396" s="106" t="str">
        <f>IFERROR(__xludf.DUMMYFUNCTION("""COMPUTED_VALUE"""),"")</f>
        <v/>
      </c>
      <c r="S2396" s="106" t="str">
        <f>IFERROR(__xludf.DUMMYFUNCTION("""COMPUTED_VALUE"""),"")</f>
        <v/>
      </c>
      <c r="T2396" s="139" t="str">
        <f>IFERROR(__xludf.DUMMYFUNCTION("""COMPUTED_VALUE"""),"")</f>
        <v/>
      </c>
      <c r="U2396" s="139" t="str">
        <f>IFERROR(__xludf.DUMMYFUNCTION("""COMPUTED_VALUE"""),"")</f>
        <v/>
      </c>
      <c r="V2396" s="136" t="str">
        <f>IFERROR(__xludf.DUMMYFUNCTION("""COMPUTED_VALUE"""),"")</f>
        <v/>
      </c>
      <c r="W2396" s="106" t="str">
        <f>IFERROR(__xludf.DUMMYFUNCTION("""COMPUTED_VALUE"""),"")</f>
        <v/>
      </c>
      <c r="X2396" s="143" t="str">
        <f t="shared" si="2"/>
        <v/>
      </c>
      <c r="Y2396" s="139" t="str">
        <f>IFERROR(__xludf.DUMMYFUNCTION("""COMPUTED_VALUE"""),"")</f>
        <v/>
      </c>
      <c r="Z2396" s="141" t="str">
        <f>IFERROR(__xludf.DUMMYFUNCTION("""COMPUTED_VALUE"""),"")</f>
        <v/>
      </c>
    </row>
    <row r="2397">
      <c r="D2397" s="136" t="str">
        <f t="shared" si="3"/>
        <v/>
      </c>
      <c r="E2397" s="152"/>
      <c r="F2397" s="106" t="s">
        <v>133</v>
      </c>
      <c r="G2397" s="152"/>
      <c r="H2397" s="106" t="s">
        <v>133</v>
      </c>
      <c r="J2397" s="139" t="s">
        <v>133</v>
      </c>
      <c r="K2397" s="136" t="s">
        <v>133</v>
      </c>
      <c r="L2397" s="153"/>
      <c r="M2397" s="136" t="str">
        <f t="shared" si="1"/>
        <v/>
      </c>
      <c r="O2397" s="141" t="s">
        <v>133</v>
      </c>
      <c r="P2397" s="136" t="str">
        <f>IFERROR(__xludf.DUMMYFUNCTION("""COMPUTED_VALUE"""),"")</f>
        <v/>
      </c>
      <c r="Q2397" s="136" t="str">
        <f>IFERROR(__xludf.DUMMYFUNCTION("""COMPUTED_VALUE"""),"")</f>
        <v/>
      </c>
      <c r="R2397" s="106" t="str">
        <f>IFERROR(__xludf.DUMMYFUNCTION("""COMPUTED_VALUE"""),"")</f>
        <v/>
      </c>
      <c r="S2397" s="106" t="str">
        <f>IFERROR(__xludf.DUMMYFUNCTION("""COMPUTED_VALUE"""),"")</f>
        <v/>
      </c>
      <c r="T2397" s="139" t="str">
        <f>IFERROR(__xludf.DUMMYFUNCTION("""COMPUTED_VALUE"""),"")</f>
        <v/>
      </c>
      <c r="U2397" s="139" t="str">
        <f>IFERROR(__xludf.DUMMYFUNCTION("""COMPUTED_VALUE"""),"")</f>
        <v/>
      </c>
      <c r="V2397" s="136" t="str">
        <f>IFERROR(__xludf.DUMMYFUNCTION("""COMPUTED_VALUE"""),"")</f>
        <v/>
      </c>
      <c r="W2397" s="106" t="str">
        <f>IFERROR(__xludf.DUMMYFUNCTION("""COMPUTED_VALUE"""),"")</f>
        <v/>
      </c>
      <c r="X2397" s="143" t="str">
        <f t="shared" si="2"/>
        <v/>
      </c>
      <c r="Y2397" s="139" t="str">
        <f>IFERROR(__xludf.DUMMYFUNCTION("""COMPUTED_VALUE"""),"")</f>
        <v/>
      </c>
      <c r="Z2397" s="141" t="str">
        <f>IFERROR(__xludf.DUMMYFUNCTION("""COMPUTED_VALUE"""),"")</f>
        <v/>
      </c>
    </row>
    <row r="2398">
      <c r="D2398" s="136" t="str">
        <f t="shared" si="3"/>
        <v/>
      </c>
      <c r="E2398" s="152"/>
      <c r="F2398" s="106" t="s">
        <v>133</v>
      </c>
      <c r="G2398" s="152"/>
      <c r="H2398" s="106" t="s">
        <v>133</v>
      </c>
      <c r="J2398" s="139" t="s">
        <v>133</v>
      </c>
      <c r="K2398" s="136" t="s">
        <v>133</v>
      </c>
      <c r="L2398" s="153"/>
      <c r="M2398" s="136" t="str">
        <f t="shared" si="1"/>
        <v/>
      </c>
      <c r="O2398" s="141" t="s">
        <v>133</v>
      </c>
      <c r="P2398" s="136" t="str">
        <f>IFERROR(__xludf.DUMMYFUNCTION("""COMPUTED_VALUE"""),"")</f>
        <v/>
      </c>
      <c r="Q2398" s="136" t="str">
        <f>IFERROR(__xludf.DUMMYFUNCTION("""COMPUTED_VALUE"""),"")</f>
        <v/>
      </c>
      <c r="R2398" s="106" t="str">
        <f>IFERROR(__xludf.DUMMYFUNCTION("""COMPUTED_VALUE"""),"")</f>
        <v/>
      </c>
      <c r="S2398" s="106" t="str">
        <f>IFERROR(__xludf.DUMMYFUNCTION("""COMPUTED_VALUE"""),"")</f>
        <v/>
      </c>
      <c r="T2398" s="139" t="str">
        <f>IFERROR(__xludf.DUMMYFUNCTION("""COMPUTED_VALUE"""),"")</f>
        <v/>
      </c>
      <c r="U2398" s="139" t="str">
        <f>IFERROR(__xludf.DUMMYFUNCTION("""COMPUTED_VALUE"""),"")</f>
        <v/>
      </c>
      <c r="V2398" s="136" t="str">
        <f>IFERROR(__xludf.DUMMYFUNCTION("""COMPUTED_VALUE"""),"")</f>
        <v/>
      </c>
      <c r="W2398" s="106" t="str">
        <f>IFERROR(__xludf.DUMMYFUNCTION("""COMPUTED_VALUE"""),"")</f>
        <v/>
      </c>
      <c r="X2398" s="143" t="str">
        <f t="shared" si="2"/>
        <v/>
      </c>
      <c r="Y2398" s="139" t="str">
        <f>IFERROR(__xludf.DUMMYFUNCTION("""COMPUTED_VALUE"""),"")</f>
        <v/>
      </c>
      <c r="Z2398" s="141" t="str">
        <f>IFERROR(__xludf.DUMMYFUNCTION("""COMPUTED_VALUE"""),"")</f>
        <v/>
      </c>
    </row>
    <row r="2399">
      <c r="D2399" s="136" t="str">
        <f t="shared" si="3"/>
        <v/>
      </c>
      <c r="E2399" s="152"/>
      <c r="F2399" s="106" t="s">
        <v>133</v>
      </c>
      <c r="G2399" s="152"/>
      <c r="H2399" s="106" t="s">
        <v>133</v>
      </c>
      <c r="J2399" s="139" t="s">
        <v>133</v>
      </c>
      <c r="K2399" s="136" t="s">
        <v>133</v>
      </c>
      <c r="L2399" s="153"/>
      <c r="M2399" s="136" t="str">
        <f t="shared" si="1"/>
        <v/>
      </c>
      <c r="O2399" s="141" t="s">
        <v>133</v>
      </c>
      <c r="P2399" s="136" t="str">
        <f>IFERROR(__xludf.DUMMYFUNCTION("""COMPUTED_VALUE"""),"")</f>
        <v/>
      </c>
      <c r="Q2399" s="136" t="str">
        <f>IFERROR(__xludf.DUMMYFUNCTION("""COMPUTED_VALUE"""),"")</f>
        <v/>
      </c>
      <c r="R2399" s="106" t="str">
        <f>IFERROR(__xludf.DUMMYFUNCTION("""COMPUTED_VALUE"""),"")</f>
        <v/>
      </c>
      <c r="S2399" s="106" t="str">
        <f>IFERROR(__xludf.DUMMYFUNCTION("""COMPUTED_VALUE"""),"")</f>
        <v/>
      </c>
      <c r="T2399" s="139" t="str">
        <f>IFERROR(__xludf.DUMMYFUNCTION("""COMPUTED_VALUE"""),"")</f>
        <v/>
      </c>
      <c r="U2399" s="139" t="str">
        <f>IFERROR(__xludf.DUMMYFUNCTION("""COMPUTED_VALUE"""),"")</f>
        <v/>
      </c>
      <c r="V2399" s="136" t="str">
        <f>IFERROR(__xludf.DUMMYFUNCTION("""COMPUTED_VALUE"""),"")</f>
        <v/>
      </c>
      <c r="W2399" s="106" t="str">
        <f>IFERROR(__xludf.DUMMYFUNCTION("""COMPUTED_VALUE"""),"")</f>
        <v/>
      </c>
      <c r="X2399" s="143" t="str">
        <f t="shared" si="2"/>
        <v/>
      </c>
      <c r="Y2399" s="139" t="str">
        <f>IFERROR(__xludf.DUMMYFUNCTION("""COMPUTED_VALUE"""),"")</f>
        <v/>
      </c>
      <c r="Z2399" s="141" t="str">
        <f>IFERROR(__xludf.DUMMYFUNCTION("""COMPUTED_VALUE"""),"")</f>
        <v/>
      </c>
    </row>
    <row r="2400">
      <c r="D2400" s="136" t="str">
        <f t="shared" si="3"/>
        <v/>
      </c>
      <c r="E2400" s="152"/>
      <c r="F2400" s="106" t="s">
        <v>133</v>
      </c>
      <c r="G2400" s="152"/>
      <c r="H2400" s="106" t="s">
        <v>133</v>
      </c>
      <c r="J2400" s="139" t="s">
        <v>133</v>
      </c>
      <c r="K2400" s="136" t="s">
        <v>133</v>
      </c>
      <c r="L2400" s="153"/>
      <c r="M2400" s="136" t="str">
        <f t="shared" si="1"/>
        <v/>
      </c>
      <c r="O2400" s="141" t="s">
        <v>133</v>
      </c>
      <c r="P2400" s="136" t="str">
        <f>IFERROR(__xludf.DUMMYFUNCTION("""COMPUTED_VALUE"""),"")</f>
        <v/>
      </c>
      <c r="Q2400" s="136" t="str">
        <f>IFERROR(__xludf.DUMMYFUNCTION("""COMPUTED_VALUE"""),"")</f>
        <v/>
      </c>
      <c r="R2400" s="106" t="str">
        <f>IFERROR(__xludf.DUMMYFUNCTION("""COMPUTED_VALUE"""),"")</f>
        <v/>
      </c>
      <c r="S2400" s="106" t="str">
        <f>IFERROR(__xludf.DUMMYFUNCTION("""COMPUTED_VALUE"""),"")</f>
        <v/>
      </c>
      <c r="T2400" s="139" t="str">
        <f>IFERROR(__xludf.DUMMYFUNCTION("""COMPUTED_VALUE"""),"")</f>
        <v/>
      </c>
      <c r="U2400" s="139" t="str">
        <f>IFERROR(__xludf.DUMMYFUNCTION("""COMPUTED_VALUE"""),"")</f>
        <v/>
      </c>
      <c r="V2400" s="136" t="str">
        <f>IFERROR(__xludf.DUMMYFUNCTION("""COMPUTED_VALUE"""),"")</f>
        <v/>
      </c>
      <c r="W2400" s="106" t="str">
        <f>IFERROR(__xludf.DUMMYFUNCTION("""COMPUTED_VALUE"""),"")</f>
        <v/>
      </c>
      <c r="X2400" s="143" t="str">
        <f t="shared" si="2"/>
        <v/>
      </c>
      <c r="Y2400" s="139" t="str">
        <f>IFERROR(__xludf.DUMMYFUNCTION("""COMPUTED_VALUE"""),"")</f>
        <v/>
      </c>
      <c r="Z2400" s="141" t="str">
        <f>IFERROR(__xludf.DUMMYFUNCTION("""COMPUTED_VALUE"""),"")</f>
        <v/>
      </c>
    </row>
    <row r="2401">
      <c r="D2401" s="136" t="str">
        <f t="shared" si="3"/>
        <v/>
      </c>
      <c r="E2401" s="152"/>
      <c r="F2401" s="106" t="s">
        <v>133</v>
      </c>
      <c r="G2401" s="152"/>
      <c r="H2401" s="106" t="s">
        <v>133</v>
      </c>
      <c r="J2401" s="139" t="s">
        <v>133</v>
      </c>
      <c r="K2401" s="136" t="s">
        <v>133</v>
      </c>
      <c r="L2401" s="153"/>
      <c r="M2401" s="136" t="str">
        <f t="shared" si="1"/>
        <v/>
      </c>
      <c r="O2401" s="141" t="s">
        <v>133</v>
      </c>
      <c r="P2401" s="136" t="str">
        <f>IFERROR(__xludf.DUMMYFUNCTION("""COMPUTED_VALUE"""),"")</f>
        <v/>
      </c>
      <c r="Q2401" s="136" t="str">
        <f>IFERROR(__xludf.DUMMYFUNCTION("""COMPUTED_VALUE"""),"")</f>
        <v/>
      </c>
      <c r="R2401" s="106" t="str">
        <f>IFERROR(__xludf.DUMMYFUNCTION("""COMPUTED_VALUE"""),"")</f>
        <v/>
      </c>
      <c r="S2401" s="106" t="str">
        <f>IFERROR(__xludf.DUMMYFUNCTION("""COMPUTED_VALUE"""),"")</f>
        <v/>
      </c>
      <c r="T2401" s="139" t="str">
        <f>IFERROR(__xludf.DUMMYFUNCTION("""COMPUTED_VALUE"""),"")</f>
        <v/>
      </c>
      <c r="U2401" s="139" t="str">
        <f>IFERROR(__xludf.DUMMYFUNCTION("""COMPUTED_VALUE"""),"")</f>
        <v/>
      </c>
      <c r="V2401" s="136" t="str">
        <f>IFERROR(__xludf.DUMMYFUNCTION("""COMPUTED_VALUE"""),"")</f>
        <v/>
      </c>
      <c r="W2401" s="106" t="str">
        <f>IFERROR(__xludf.DUMMYFUNCTION("""COMPUTED_VALUE"""),"")</f>
        <v/>
      </c>
      <c r="X2401" s="143" t="str">
        <f t="shared" si="2"/>
        <v/>
      </c>
      <c r="Y2401" s="139" t="str">
        <f>IFERROR(__xludf.DUMMYFUNCTION("""COMPUTED_VALUE"""),"")</f>
        <v/>
      </c>
      <c r="Z2401" s="141" t="str">
        <f>IFERROR(__xludf.DUMMYFUNCTION("""COMPUTED_VALUE"""),"")</f>
        <v/>
      </c>
    </row>
    <row r="2402">
      <c r="D2402" s="136" t="str">
        <f t="shared" si="3"/>
        <v/>
      </c>
      <c r="E2402" s="152"/>
      <c r="F2402" s="106" t="s">
        <v>133</v>
      </c>
      <c r="G2402" s="152"/>
      <c r="H2402" s="106" t="s">
        <v>133</v>
      </c>
      <c r="J2402" s="139" t="s">
        <v>133</v>
      </c>
      <c r="K2402" s="136" t="s">
        <v>133</v>
      </c>
      <c r="L2402" s="153"/>
      <c r="M2402" s="136" t="str">
        <f t="shared" si="1"/>
        <v/>
      </c>
      <c r="O2402" s="141" t="s">
        <v>133</v>
      </c>
      <c r="P2402" s="136" t="str">
        <f>IFERROR(__xludf.DUMMYFUNCTION("""COMPUTED_VALUE"""),"")</f>
        <v/>
      </c>
      <c r="Q2402" s="136" t="str">
        <f>IFERROR(__xludf.DUMMYFUNCTION("""COMPUTED_VALUE"""),"")</f>
        <v/>
      </c>
      <c r="R2402" s="106" t="str">
        <f>IFERROR(__xludf.DUMMYFUNCTION("""COMPUTED_VALUE"""),"")</f>
        <v/>
      </c>
      <c r="S2402" s="106" t="str">
        <f>IFERROR(__xludf.DUMMYFUNCTION("""COMPUTED_VALUE"""),"")</f>
        <v/>
      </c>
      <c r="T2402" s="139" t="str">
        <f>IFERROR(__xludf.DUMMYFUNCTION("""COMPUTED_VALUE"""),"")</f>
        <v/>
      </c>
      <c r="U2402" s="139" t="str">
        <f>IFERROR(__xludf.DUMMYFUNCTION("""COMPUTED_VALUE"""),"")</f>
        <v/>
      </c>
      <c r="V2402" s="136" t="str">
        <f>IFERROR(__xludf.DUMMYFUNCTION("""COMPUTED_VALUE"""),"")</f>
        <v/>
      </c>
      <c r="W2402" s="106" t="str">
        <f>IFERROR(__xludf.DUMMYFUNCTION("""COMPUTED_VALUE"""),"")</f>
        <v/>
      </c>
      <c r="X2402" s="143" t="str">
        <f t="shared" si="2"/>
        <v/>
      </c>
      <c r="Y2402" s="139" t="str">
        <f>IFERROR(__xludf.DUMMYFUNCTION("""COMPUTED_VALUE"""),"")</f>
        <v/>
      </c>
      <c r="Z2402" s="141" t="str">
        <f>IFERROR(__xludf.DUMMYFUNCTION("""COMPUTED_VALUE"""),"")</f>
        <v/>
      </c>
    </row>
    <row r="2403">
      <c r="D2403" s="136" t="str">
        <f t="shared" si="3"/>
        <v/>
      </c>
      <c r="E2403" s="152"/>
      <c r="F2403" s="106" t="s">
        <v>133</v>
      </c>
      <c r="G2403" s="152"/>
      <c r="H2403" s="106" t="s">
        <v>133</v>
      </c>
      <c r="J2403" s="139" t="s">
        <v>133</v>
      </c>
      <c r="K2403" s="136" t="s">
        <v>133</v>
      </c>
      <c r="L2403" s="153"/>
      <c r="M2403" s="136" t="str">
        <f t="shared" si="1"/>
        <v/>
      </c>
      <c r="O2403" s="141" t="s">
        <v>133</v>
      </c>
      <c r="P2403" s="136" t="str">
        <f>IFERROR(__xludf.DUMMYFUNCTION("""COMPUTED_VALUE"""),"")</f>
        <v/>
      </c>
      <c r="Q2403" s="136" t="str">
        <f>IFERROR(__xludf.DUMMYFUNCTION("""COMPUTED_VALUE"""),"")</f>
        <v/>
      </c>
      <c r="R2403" s="106" t="str">
        <f>IFERROR(__xludf.DUMMYFUNCTION("""COMPUTED_VALUE"""),"")</f>
        <v/>
      </c>
      <c r="S2403" s="106" t="str">
        <f>IFERROR(__xludf.DUMMYFUNCTION("""COMPUTED_VALUE"""),"")</f>
        <v/>
      </c>
      <c r="T2403" s="139" t="str">
        <f>IFERROR(__xludf.DUMMYFUNCTION("""COMPUTED_VALUE"""),"")</f>
        <v/>
      </c>
      <c r="U2403" s="139" t="str">
        <f>IFERROR(__xludf.DUMMYFUNCTION("""COMPUTED_VALUE"""),"")</f>
        <v/>
      </c>
      <c r="V2403" s="136" t="str">
        <f>IFERROR(__xludf.DUMMYFUNCTION("""COMPUTED_VALUE"""),"")</f>
        <v/>
      </c>
      <c r="W2403" s="106" t="str">
        <f>IFERROR(__xludf.DUMMYFUNCTION("""COMPUTED_VALUE"""),"")</f>
        <v/>
      </c>
      <c r="X2403" s="143" t="str">
        <f t="shared" si="2"/>
        <v/>
      </c>
      <c r="Y2403" s="139" t="str">
        <f>IFERROR(__xludf.DUMMYFUNCTION("""COMPUTED_VALUE"""),"")</f>
        <v/>
      </c>
      <c r="Z2403" s="141" t="str">
        <f>IFERROR(__xludf.DUMMYFUNCTION("""COMPUTED_VALUE"""),"")</f>
        <v/>
      </c>
    </row>
    <row r="2404">
      <c r="D2404" s="136" t="str">
        <f t="shared" si="3"/>
        <v/>
      </c>
      <c r="E2404" s="152"/>
      <c r="F2404" s="106" t="s">
        <v>133</v>
      </c>
      <c r="G2404" s="152"/>
      <c r="H2404" s="106" t="s">
        <v>133</v>
      </c>
      <c r="J2404" s="139" t="s">
        <v>133</v>
      </c>
      <c r="K2404" s="136" t="s">
        <v>133</v>
      </c>
      <c r="L2404" s="153"/>
      <c r="M2404" s="136" t="str">
        <f t="shared" si="1"/>
        <v/>
      </c>
      <c r="O2404" s="141" t="s">
        <v>133</v>
      </c>
      <c r="P2404" s="136" t="str">
        <f>IFERROR(__xludf.DUMMYFUNCTION("""COMPUTED_VALUE"""),"")</f>
        <v/>
      </c>
      <c r="Q2404" s="136" t="str">
        <f>IFERROR(__xludf.DUMMYFUNCTION("""COMPUTED_VALUE"""),"")</f>
        <v/>
      </c>
      <c r="R2404" s="106" t="str">
        <f>IFERROR(__xludf.DUMMYFUNCTION("""COMPUTED_VALUE"""),"")</f>
        <v/>
      </c>
      <c r="S2404" s="106" t="str">
        <f>IFERROR(__xludf.DUMMYFUNCTION("""COMPUTED_VALUE"""),"")</f>
        <v/>
      </c>
      <c r="T2404" s="139" t="str">
        <f>IFERROR(__xludf.DUMMYFUNCTION("""COMPUTED_VALUE"""),"")</f>
        <v/>
      </c>
      <c r="U2404" s="139" t="str">
        <f>IFERROR(__xludf.DUMMYFUNCTION("""COMPUTED_VALUE"""),"")</f>
        <v/>
      </c>
      <c r="V2404" s="136" t="str">
        <f>IFERROR(__xludf.DUMMYFUNCTION("""COMPUTED_VALUE"""),"")</f>
        <v/>
      </c>
      <c r="W2404" s="106" t="str">
        <f>IFERROR(__xludf.DUMMYFUNCTION("""COMPUTED_VALUE"""),"")</f>
        <v/>
      </c>
      <c r="X2404" s="143" t="str">
        <f t="shared" si="2"/>
        <v/>
      </c>
      <c r="Y2404" s="139" t="str">
        <f>IFERROR(__xludf.DUMMYFUNCTION("""COMPUTED_VALUE"""),"")</f>
        <v/>
      </c>
      <c r="Z2404" s="141" t="str">
        <f>IFERROR(__xludf.DUMMYFUNCTION("""COMPUTED_VALUE"""),"")</f>
        <v/>
      </c>
    </row>
    <row r="2405">
      <c r="D2405" s="136" t="str">
        <f t="shared" si="3"/>
        <v/>
      </c>
      <c r="E2405" s="152"/>
      <c r="F2405" s="106" t="s">
        <v>133</v>
      </c>
      <c r="G2405" s="152"/>
      <c r="H2405" s="106" t="s">
        <v>133</v>
      </c>
      <c r="J2405" s="139" t="s">
        <v>133</v>
      </c>
      <c r="K2405" s="136" t="s">
        <v>133</v>
      </c>
      <c r="L2405" s="153"/>
      <c r="M2405" s="136" t="str">
        <f t="shared" si="1"/>
        <v/>
      </c>
      <c r="O2405" s="141" t="s">
        <v>133</v>
      </c>
      <c r="P2405" s="136" t="str">
        <f>IFERROR(__xludf.DUMMYFUNCTION("""COMPUTED_VALUE"""),"")</f>
        <v/>
      </c>
      <c r="Q2405" s="136" t="str">
        <f>IFERROR(__xludf.DUMMYFUNCTION("""COMPUTED_VALUE"""),"")</f>
        <v/>
      </c>
      <c r="R2405" s="106" t="str">
        <f>IFERROR(__xludf.DUMMYFUNCTION("""COMPUTED_VALUE"""),"")</f>
        <v/>
      </c>
      <c r="S2405" s="106" t="str">
        <f>IFERROR(__xludf.DUMMYFUNCTION("""COMPUTED_VALUE"""),"")</f>
        <v/>
      </c>
      <c r="T2405" s="139" t="str">
        <f>IFERROR(__xludf.DUMMYFUNCTION("""COMPUTED_VALUE"""),"")</f>
        <v/>
      </c>
      <c r="U2405" s="139" t="str">
        <f>IFERROR(__xludf.DUMMYFUNCTION("""COMPUTED_VALUE"""),"")</f>
        <v/>
      </c>
      <c r="V2405" s="136" t="str">
        <f>IFERROR(__xludf.DUMMYFUNCTION("""COMPUTED_VALUE"""),"")</f>
        <v/>
      </c>
      <c r="W2405" s="106" t="str">
        <f>IFERROR(__xludf.DUMMYFUNCTION("""COMPUTED_VALUE"""),"")</f>
        <v/>
      </c>
      <c r="X2405" s="143" t="str">
        <f t="shared" si="2"/>
        <v/>
      </c>
      <c r="Y2405" s="139" t="str">
        <f>IFERROR(__xludf.DUMMYFUNCTION("""COMPUTED_VALUE"""),"")</f>
        <v/>
      </c>
      <c r="Z2405" s="141" t="str">
        <f>IFERROR(__xludf.DUMMYFUNCTION("""COMPUTED_VALUE"""),"")</f>
        <v/>
      </c>
    </row>
    <row r="2406">
      <c r="D2406" s="136" t="str">
        <f t="shared" si="3"/>
        <v/>
      </c>
      <c r="E2406" s="152"/>
      <c r="F2406" s="106" t="s">
        <v>133</v>
      </c>
      <c r="G2406" s="152"/>
      <c r="H2406" s="106" t="s">
        <v>133</v>
      </c>
      <c r="J2406" s="139" t="s">
        <v>133</v>
      </c>
      <c r="K2406" s="136" t="s">
        <v>133</v>
      </c>
      <c r="L2406" s="153"/>
      <c r="M2406" s="136" t="str">
        <f t="shared" si="1"/>
        <v/>
      </c>
      <c r="O2406" s="141" t="s">
        <v>133</v>
      </c>
      <c r="P2406" s="136" t="str">
        <f>IFERROR(__xludf.DUMMYFUNCTION("""COMPUTED_VALUE"""),"")</f>
        <v/>
      </c>
      <c r="Q2406" s="136" t="str">
        <f>IFERROR(__xludf.DUMMYFUNCTION("""COMPUTED_VALUE"""),"")</f>
        <v/>
      </c>
      <c r="R2406" s="106" t="str">
        <f>IFERROR(__xludf.DUMMYFUNCTION("""COMPUTED_VALUE"""),"")</f>
        <v/>
      </c>
      <c r="S2406" s="106" t="str">
        <f>IFERROR(__xludf.DUMMYFUNCTION("""COMPUTED_VALUE"""),"")</f>
        <v/>
      </c>
      <c r="T2406" s="139" t="str">
        <f>IFERROR(__xludf.DUMMYFUNCTION("""COMPUTED_VALUE"""),"")</f>
        <v/>
      </c>
      <c r="U2406" s="139" t="str">
        <f>IFERROR(__xludf.DUMMYFUNCTION("""COMPUTED_VALUE"""),"")</f>
        <v/>
      </c>
      <c r="V2406" s="136" t="str">
        <f>IFERROR(__xludf.DUMMYFUNCTION("""COMPUTED_VALUE"""),"")</f>
        <v/>
      </c>
      <c r="W2406" s="106" t="str">
        <f>IFERROR(__xludf.DUMMYFUNCTION("""COMPUTED_VALUE"""),"")</f>
        <v/>
      </c>
      <c r="X2406" s="143" t="str">
        <f t="shared" si="2"/>
        <v/>
      </c>
      <c r="Y2406" s="139" t="str">
        <f>IFERROR(__xludf.DUMMYFUNCTION("""COMPUTED_VALUE"""),"")</f>
        <v/>
      </c>
      <c r="Z2406" s="141" t="str">
        <f>IFERROR(__xludf.DUMMYFUNCTION("""COMPUTED_VALUE"""),"")</f>
        <v/>
      </c>
    </row>
    <row r="2407">
      <c r="D2407" s="136" t="str">
        <f t="shared" si="3"/>
        <v/>
      </c>
      <c r="E2407" s="152"/>
      <c r="F2407" s="106" t="s">
        <v>133</v>
      </c>
      <c r="G2407" s="152"/>
      <c r="H2407" s="106" t="s">
        <v>133</v>
      </c>
      <c r="J2407" s="139" t="s">
        <v>133</v>
      </c>
      <c r="K2407" s="136" t="s">
        <v>133</v>
      </c>
      <c r="L2407" s="153"/>
      <c r="M2407" s="136" t="str">
        <f t="shared" si="1"/>
        <v/>
      </c>
      <c r="O2407" s="141" t="s">
        <v>133</v>
      </c>
      <c r="P2407" s="136" t="str">
        <f>IFERROR(__xludf.DUMMYFUNCTION("""COMPUTED_VALUE"""),"")</f>
        <v/>
      </c>
      <c r="Q2407" s="136" t="str">
        <f>IFERROR(__xludf.DUMMYFUNCTION("""COMPUTED_VALUE"""),"")</f>
        <v/>
      </c>
      <c r="R2407" s="106" t="str">
        <f>IFERROR(__xludf.DUMMYFUNCTION("""COMPUTED_VALUE"""),"")</f>
        <v/>
      </c>
      <c r="S2407" s="106" t="str">
        <f>IFERROR(__xludf.DUMMYFUNCTION("""COMPUTED_VALUE"""),"")</f>
        <v/>
      </c>
      <c r="T2407" s="139" t="str">
        <f>IFERROR(__xludf.DUMMYFUNCTION("""COMPUTED_VALUE"""),"")</f>
        <v/>
      </c>
      <c r="U2407" s="139" t="str">
        <f>IFERROR(__xludf.DUMMYFUNCTION("""COMPUTED_VALUE"""),"")</f>
        <v/>
      </c>
      <c r="V2407" s="136" t="str">
        <f>IFERROR(__xludf.DUMMYFUNCTION("""COMPUTED_VALUE"""),"")</f>
        <v/>
      </c>
      <c r="W2407" s="106" t="str">
        <f>IFERROR(__xludf.DUMMYFUNCTION("""COMPUTED_VALUE"""),"")</f>
        <v/>
      </c>
      <c r="X2407" s="143" t="str">
        <f t="shared" si="2"/>
        <v/>
      </c>
      <c r="Y2407" s="139" t="str">
        <f>IFERROR(__xludf.DUMMYFUNCTION("""COMPUTED_VALUE"""),"")</f>
        <v/>
      </c>
      <c r="Z2407" s="141" t="str">
        <f>IFERROR(__xludf.DUMMYFUNCTION("""COMPUTED_VALUE"""),"")</f>
        <v/>
      </c>
    </row>
    <row r="2408">
      <c r="D2408" s="136" t="str">
        <f t="shared" si="3"/>
        <v/>
      </c>
      <c r="E2408" s="152"/>
      <c r="F2408" s="106" t="s">
        <v>133</v>
      </c>
      <c r="G2408" s="152"/>
      <c r="H2408" s="106" t="s">
        <v>133</v>
      </c>
      <c r="J2408" s="139" t="s">
        <v>133</v>
      </c>
      <c r="K2408" s="136" t="s">
        <v>133</v>
      </c>
      <c r="L2408" s="153"/>
      <c r="M2408" s="136" t="str">
        <f t="shared" si="1"/>
        <v/>
      </c>
      <c r="O2408" s="141" t="s">
        <v>133</v>
      </c>
      <c r="P2408" s="136" t="str">
        <f>IFERROR(__xludf.DUMMYFUNCTION("""COMPUTED_VALUE"""),"")</f>
        <v/>
      </c>
      <c r="Q2408" s="136" t="str">
        <f>IFERROR(__xludf.DUMMYFUNCTION("""COMPUTED_VALUE"""),"")</f>
        <v/>
      </c>
      <c r="R2408" s="106" t="str">
        <f>IFERROR(__xludf.DUMMYFUNCTION("""COMPUTED_VALUE"""),"")</f>
        <v/>
      </c>
      <c r="S2408" s="106" t="str">
        <f>IFERROR(__xludf.DUMMYFUNCTION("""COMPUTED_VALUE"""),"")</f>
        <v/>
      </c>
      <c r="T2408" s="139" t="str">
        <f>IFERROR(__xludf.DUMMYFUNCTION("""COMPUTED_VALUE"""),"")</f>
        <v/>
      </c>
      <c r="U2408" s="139" t="str">
        <f>IFERROR(__xludf.DUMMYFUNCTION("""COMPUTED_VALUE"""),"")</f>
        <v/>
      </c>
      <c r="V2408" s="136" t="str">
        <f>IFERROR(__xludf.DUMMYFUNCTION("""COMPUTED_VALUE"""),"")</f>
        <v/>
      </c>
      <c r="W2408" s="106" t="str">
        <f>IFERROR(__xludf.DUMMYFUNCTION("""COMPUTED_VALUE"""),"")</f>
        <v/>
      </c>
      <c r="X2408" s="143" t="str">
        <f t="shared" si="2"/>
        <v/>
      </c>
      <c r="Y2408" s="139" t="str">
        <f>IFERROR(__xludf.DUMMYFUNCTION("""COMPUTED_VALUE"""),"")</f>
        <v/>
      </c>
      <c r="Z2408" s="141" t="str">
        <f>IFERROR(__xludf.DUMMYFUNCTION("""COMPUTED_VALUE"""),"")</f>
        <v/>
      </c>
    </row>
    <row r="2409">
      <c r="D2409" s="136" t="str">
        <f t="shared" si="3"/>
        <v/>
      </c>
      <c r="E2409" s="152"/>
      <c r="F2409" s="106" t="s">
        <v>133</v>
      </c>
      <c r="G2409" s="152"/>
      <c r="H2409" s="106" t="s">
        <v>133</v>
      </c>
      <c r="J2409" s="139" t="s">
        <v>133</v>
      </c>
      <c r="K2409" s="136" t="s">
        <v>133</v>
      </c>
      <c r="L2409" s="153"/>
      <c r="M2409" s="136" t="str">
        <f t="shared" si="1"/>
        <v/>
      </c>
      <c r="O2409" s="141" t="s">
        <v>133</v>
      </c>
      <c r="P2409" s="136" t="str">
        <f>IFERROR(__xludf.DUMMYFUNCTION("""COMPUTED_VALUE"""),"")</f>
        <v/>
      </c>
      <c r="Q2409" s="136" t="str">
        <f>IFERROR(__xludf.DUMMYFUNCTION("""COMPUTED_VALUE"""),"")</f>
        <v/>
      </c>
      <c r="R2409" s="106" t="str">
        <f>IFERROR(__xludf.DUMMYFUNCTION("""COMPUTED_VALUE"""),"")</f>
        <v/>
      </c>
      <c r="S2409" s="106" t="str">
        <f>IFERROR(__xludf.DUMMYFUNCTION("""COMPUTED_VALUE"""),"")</f>
        <v/>
      </c>
      <c r="T2409" s="139" t="str">
        <f>IFERROR(__xludf.DUMMYFUNCTION("""COMPUTED_VALUE"""),"")</f>
        <v/>
      </c>
      <c r="U2409" s="139" t="str">
        <f>IFERROR(__xludf.DUMMYFUNCTION("""COMPUTED_VALUE"""),"")</f>
        <v/>
      </c>
      <c r="V2409" s="136" t="str">
        <f>IFERROR(__xludf.DUMMYFUNCTION("""COMPUTED_VALUE"""),"")</f>
        <v/>
      </c>
      <c r="W2409" s="106" t="str">
        <f>IFERROR(__xludf.DUMMYFUNCTION("""COMPUTED_VALUE"""),"")</f>
        <v/>
      </c>
      <c r="X2409" s="143" t="str">
        <f t="shared" si="2"/>
        <v/>
      </c>
      <c r="Y2409" s="139" t="str">
        <f>IFERROR(__xludf.DUMMYFUNCTION("""COMPUTED_VALUE"""),"")</f>
        <v/>
      </c>
      <c r="Z2409" s="141" t="str">
        <f>IFERROR(__xludf.DUMMYFUNCTION("""COMPUTED_VALUE"""),"")</f>
        <v/>
      </c>
    </row>
    <row r="2410">
      <c r="D2410" s="136" t="str">
        <f t="shared" si="3"/>
        <v/>
      </c>
      <c r="E2410" s="152"/>
      <c r="F2410" s="106" t="s">
        <v>133</v>
      </c>
      <c r="G2410" s="152"/>
      <c r="H2410" s="106" t="s">
        <v>133</v>
      </c>
      <c r="J2410" s="139" t="s">
        <v>133</v>
      </c>
      <c r="K2410" s="136" t="s">
        <v>133</v>
      </c>
      <c r="L2410" s="153"/>
      <c r="M2410" s="136" t="str">
        <f t="shared" si="1"/>
        <v/>
      </c>
      <c r="O2410" s="141" t="s">
        <v>133</v>
      </c>
      <c r="P2410" s="136" t="str">
        <f>IFERROR(__xludf.DUMMYFUNCTION("""COMPUTED_VALUE"""),"")</f>
        <v/>
      </c>
      <c r="Q2410" s="136" t="str">
        <f>IFERROR(__xludf.DUMMYFUNCTION("""COMPUTED_VALUE"""),"")</f>
        <v/>
      </c>
      <c r="R2410" s="106" t="str">
        <f>IFERROR(__xludf.DUMMYFUNCTION("""COMPUTED_VALUE"""),"")</f>
        <v/>
      </c>
      <c r="S2410" s="106" t="str">
        <f>IFERROR(__xludf.DUMMYFUNCTION("""COMPUTED_VALUE"""),"")</f>
        <v/>
      </c>
      <c r="T2410" s="139" t="str">
        <f>IFERROR(__xludf.DUMMYFUNCTION("""COMPUTED_VALUE"""),"")</f>
        <v/>
      </c>
      <c r="U2410" s="139" t="str">
        <f>IFERROR(__xludf.DUMMYFUNCTION("""COMPUTED_VALUE"""),"")</f>
        <v/>
      </c>
      <c r="V2410" s="136" t="str">
        <f>IFERROR(__xludf.DUMMYFUNCTION("""COMPUTED_VALUE"""),"")</f>
        <v/>
      </c>
      <c r="W2410" s="106" t="str">
        <f>IFERROR(__xludf.DUMMYFUNCTION("""COMPUTED_VALUE"""),"")</f>
        <v/>
      </c>
      <c r="X2410" s="143" t="str">
        <f t="shared" si="2"/>
        <v/>
      </c>
      <c r="Y2410" s="139" t="str">
        <f>IFERROR(__xludf.DUMMYFUNCTION("""COMPUTED_VALUE"""),"")</f>
        <v/>
      </c>
      <c r="Z2410" s="141" t="str">
        <f>IFERROR(__xludf.DUMMYFUNCTION("""COMPUTED_VALUE"""),"")</f>
        <v/>
      </c>
    </row>
    <row r="2411">
      <c r="D2411" s="136" t="str">
        <f t="shared" si="3"/>
        <v/>
      </c>
      <c r="E2411" s="152"/>
      <c r="F2411" s="106" t="s">
        <v>133</v>
      </c>
      <c r="G2411" s="152"/>
      <c r="H2411" s="106" t="s">
        <v>133</v>
      </c>
      <c r="J2411" s="139" t="s">
        <v>133</v>
      </c>
      <c r="K2411" s="136" t="s">
        <v>133</v>
      </c>
      <c r="L2411" s="153"/>
      <c r="M2411" s="136" t="str">
        <f t="shared" si="1"/>
        <v/>
      </c>
      <c r="O2411" s="141" t="s">
        <v>133</v>
      </c>
      <c r="P2411" s="136" t="str">
        <f>IFERROR(__xludf.DUMMYFUNCTION("""COMPUTED_VALUE"""),"")</f>
        <v/>
      </c>
      <c r="Q2411" s="136" t="str">
        <f>IFERROR(__xludf.DUMMYFUNCTION("""COMPUTED_VALUE"""),"")</f>
        <v/>
      </c>
      <c r="R2411" s="106" t="str">
        <f>IFERROR(__xludf.DUMMYFUNCTION("""COMPUTED_VALUE"""),"")</f>
        <v/>
      </c>
      <c r="S2411" s="106" t="str">
        <f>IFERROR(__xludf.DUMMYFUNCTION("""COMPUTED_VALUE"""),"")</f>
        <v/>
      </c>
      <c r="T2411" s="139" t="str">
        <f>IFERROR(__xludf.DUMMYFUNCTION("""COMPUTED_VALUE"""),"")</f>
        <v/>
      </c>
      <c r="U2411" s="139" t="str">
        <f>IFERROR(__xludf.DUMMYFUNCTION("""COMPUTED_VALUE"""),"")</f>
        <v/>
      </c>
      <c r="V2411" s="136" t="str">
        <f>IFERROR(__xludf.DUMMYFUNCTION("""COMPUTED_VALUE"""),"")</f>
        <v/>
      </c>
      <c r="W2411" s="106" t="str">
        <f>IFERROR(__xludf.DUMMYFUNCTION("""COMPUTED_VALUE"""),"")</f>
        <v/>
      </c>
      <c r="X2411" s="143" t="str">
        <f t="shared" si="2"/>
        <v/>
      </c>
      <c r="Y2411" s="139" t="str">
        <f>IFERROR(__xludf.DUMMYFUNCTION("""COMPUTED_VALUE"""),"")</f>
        <v/>
      </c>
      <c r="Z2411" s="141" t="str">
        <f>IFERROR(__xludf.DUMMYFUNCTION("""COMPUTED_VALUE"""),"")</f>
        <v/>
      </c>
    </row>
    <row r="2412">
      <c r="D2412" s="136" t="str">
        <f t="shared" si="3"/>
        <v/>
      </c>
      <c r="E2412" s="152"/>
      <c r="F2412" s="106" t="s">
        <v>133</v>
      </c>
      <c r="G2412" s="152"/>
      <c r="H2412" s="106" t="s">
        <v>133</v>
      </c>
      <c r="J2412" s="139" t="s">
        <v>133</v>
      </c>
      <c r="K2412" s="136" t="s">
        <v>133</v>
      </c>
      <c r="L2412" s="153"/>
      <c r="M2412" s="136" t="str">
        <f t="shared" si="1"/>
        <v/>
      </c>
      <c r="O2412" s="141" t="s">
        <v>133</v>
      </c>
      <c r="P2412" s="136" t="str">
        <f>IFERROR(__xludf.DUMMYFUNCTION("""COMPUTED_VALUE"""),"")</f>
        <v/>
      </c>
      <c r="Q2412" s="136" t="str">
        <f>IFERROR(__xludf.DUMMYFUNCTION("""COMPUTED_VALUE"""),"")</f>
        <v/>
      </c>
      <c r="R2412" s="106" t="str">
        <f>IFERROR(__xludf.DUMMYFUNCTION("""COMPUTED_VALUE"""),"")</f>
        <v/>
      </c>
      <c r="S2412" s="106" t="str">
        <f>IFERROR(__xludf.DUMMYFUNCTION("""COMPUTED_VALUE"""),"")</f>
        <v/>
      </c>
      <c r="T2412" s="139" t="str">
        <f>IFERROR(__xludf.DUMMYFUNCTION("""COMPUTED_VALUE"""),"")</f>
        <v/>
      </c>
      <c r="U2412" s="139" t="str">
        <f>IFERROR(__xludf.DUMMYFUNCTION("""COMPUTED_VALUE"""),"")</f>
        <v/>
      </c>
      <c r="V2412" s="136" t="str">
        <f>IFERROR(__xludf.DUMMYFUNCTION("""COMPUTED_VALUE"""),"")</f>
        <v/>
      </c>
      <c r="W2412" s="106" t="str">
        <f>IFERROR(__xludf.DUMMYFUNCTION("""COMPUTED_VALUE"""),"")</f>
        <v/>
      </c>
      <c r="X2412" s="143" t="str">
        <f t="shared" si="2"/>
        <v/>
      </c>
      <c r="Y2412" s="139" t="str">
        <f>IFERROR(__xludf.DUMMYFUNCTION("""COMPUTED_VALUE"""),"")</f>
        <v/>
      </c>
      <c r="Z2412" s="141" t="str">
        <f>IFERROR(__xludf.DUMMYFUNCTION("""COMPUTED_VALUE"""),"")</f>
        <v/>
      </c>
    </row>
    <row r="2413">
      <c r="D2413" s="136" t="str">
        <f t="shared" si="3"/>
        <v/>
      </c>
      <c r="E2413" s="152"/>
      <c r="F2413" s="106" t="s">
        <v>133</v>
      </c>
      <c r="G2413" s="152"/>
      <c r="H2413" s="106" t="s">
        <v>133</v>
      </c>
      <c r="J2413" s="139" t="s">
        <v>133</v>
      </c>
      <c r="K2413" s="136" t="s">
        <v>133</v>
      </c>
      <c r="L2413" s="153"/>
      <c r="M2413" s="136" t="str">
        <f t="shared" si="1"/>
        <v/>
      </c>
      <c r="O2413" s="141" t="s">
        <v>133</v>
      </c>
      <c r="P2413" s="136" t="str">
        <f>IFERROR(__xludf.DUMMYFUNCTION("""COMPUTED_VALUE"""),"")</f>
        <v/>
      </c>
      <c r="Q2413" s="136" t="str">
        <f>IFERROR(__xludf.DUMMYFUNCTION("""COMPUTED_VALUE"""),"")</f>
        <v/>
      </c>
      <c r="R2413" s="106" t="str">
        <f>IFERROR(__xludf.DUMMYFUNCTION("""COMPUTED_VALUE"""),"")</f>
        <v/>
      </c>
      <c r="S2413" s="106" t="str">
        <f>IFERROR(__xludf.DUMMYFUNCTION("""COMPUTED_VALUE"""),"")</f>
        <v/>
      </c>
      <c r="T2413" s="139" t="str">
        <f>IFERROR(__xludf.DUMMYFUNCTION("""COMPUTED_VALUE"""),"")</f>
        <v/>
      </c>
      <c r="U2413" s="139" t="str">
        <f>IFERROR(__xludf.DUMMYFUNCTION("""COMPUTED_VALUE"""),"")</f>
        <v/>
      </c>
      <c r="V2413" s="136" t="str">
        <f>IFERROR(__xludf.DUMMYFUNCTION("""COMPUTED_VALUE"""),"")</f>
        <v/>
      </c>
      <c r="W2413" s="106" t="str">
        <f>IFERROR(__xludf.DUMMYFUNCTION("""COMPUTED_VALUE"""),"")</f>
        <v/>
      </c>
      <c r="X2413" s="143" t="str">
        <f t="shared" si="2"/>
        <v/>
      </c>
      <c r="Y2413" s="139" t="str">
        <f>IFERROR(__xludf.DUMMYFUNCTION("""COMPUTED_VALUE"""),"")</f>
        <v/>
      </c>
      <c r="Z2413" s="141" t="str">
        <f>IFERROR(__xludf.DUMMYFUNCTION("""COMPUTED_VALUE"""),"")</f>
        <v/>
      </c>
    </row>
    <row r="2414">
      <c r="D2414" s="136" t="str">
        <f t="shared" si="3"/>
        <v/>
      </c>
      <c r="E2414" s="152"/>
      <c r="F2414" s="106" t="s">
        <v>133</v>
      </c>
      <c r="G2414" s="152"/>
      <c r="H2414" s="106" t="s">
        <v>133</v>
      </c>
      <c r="J2414" s="139" t="s">
        <v>133</v>
      </c>
      <c r="K2414" s="136" t="s">
        <v>133</v>
      </c>
      <c r="L2414" s="153"/>
      <c r="M2414" s="136" t="str">
        <f t="shared" si="1"/>
        <v/>
      </c>
      <c r="O2414" s="141" t="s">
        <v>133</v>
      </c>
      <c r="P2414" s="136" t="str">
        <f>IFERROR(__xludf.DUMMYFUNCTION("""COMPUTED_VALUE"""),"")</f>
        <v/>
      </c>
      <c r="Q2414" s="136" t="str">
        <f>IFERROR(__xludf.DUMMYFUNCTION("""COMPUTED_VALUE"""),"")</f>
        <v/>
      </c>
      <c r="R2414" s="106" t="str">
        <f>IFERROR(__xludf.DUMMYFUNCTION("""COMPUTED_VALUE"""),"")</f>
        <v/>
      </c>
      <c r="S2414" s="106" t="str">
        <f>IFERROR(__xludf.DUMMYFUNCTION("""COMPUTED_VALUE"""),"")</f>
        <v/>
      </c>
      <c r="T2414" s="139" t="str">
        <f>IFERROR(__xludf.DUMMYFUNCTION("""COMPUTED_VALUE"""),"")</f>
        <v/>
      </c>
      <c r="U2414" s="139" t="str">
        <f>IFERROR(__xludf.DUMMYFUNCTION("""COMPUTED_VALUE"""),"")</f>
        <v/>
      </c>
      <c r="V2414" s="136" t="str">
        <f>IFERROR(__xludf.DUMMYFUNCTION("""COMPUTED_VALUE"""),"")</f>
        <v/>
      </c>
      <c r="W2414" s="106" t="str">
        <f>IFERROR(__xludf.DUMMYFUNCTION("""COMPUTED_VALUE"""),"")</f>
        <v/>
      </c>
      <c r="X2414" s="143" t="str">
        <f t="shared" si="2"/>
        <v/>
      </c>
      <c r="Y2414" s="139" t="str">
        <f>IFERROR(__xludf.DUMMYFUNCTION("""COMPUTED_VALUE"""),"")</f>
        <v/>
      </c>
      <c r="Z2414" s="141" t="str">
        <f>IFERROR(__xludf.DUMMYFUNCTION("""COMPUTED_VALUE"""),"")</f>
        <v/>
      </c>
    </row>
    <row r="2415">
      <c r="D2415" s="136" t="str">
        <f t="shared" si="3"/>
        <v/>
      </c>
      <c r="E2415" s="152"/>
      <c r="F2415" s="106" t="s">
        <v>133</v>
      </c>
      <c r="G2415" s="152"/>
      <c r="H2415" s="106" t="s">
        <v>133</v>
      </c>
      <c r="J2415" s="139" t="s">
        <v>133</v>
      </c>
      <c r="K2415" s="136" t="s">
        <v>133</v>
      </c>
      <c r="L2415" s="153"/>
      <c r="M2415" s="136" t="str">
        <f t="shared" si="1"/>
        <v/>
      </c>
      <c r="O2415" s="141" t="s">
        <v>133</v>
      </c>
      <c r="P2415" s="136" t="str">
        <f>IFERROR(__xludf.DUMMYFUNCTION("""COMPUTED_VALUE"""),"")</f>
        <v/>
      </c>
      <c r="Q2415" s="136" t="str">
        <f>IFERROR(__xludf.DUMMYFUNCTION("""COMPUTED_VALUE"""),"")</f>
        <v/>
      </c>
      <c r="R2415" s="106" t="str">
        <f>IFERROR(__xludf.DUMMYFUNCTION("""COMPUTED_VALUE"""),"")</f>
        <v/>
      </c>
      <c r="S2415" s="106" t="str">
        <f>IFERROR(__xludf.DUMMYFUNCTION("""COMPUTED_VALUE"""),"")</f>
        <v/>
      </c>
      <c r="T2415" s="139" t="str">
        <f>IFERROR(__xludf.DUMMYFUNCTION("""COMPUTED_VALUE"""),"")</f>
        <v/>
      </c>
      <c r="U2415" s="139" t="str">
        <f>IFERROR(__xludf.DUMMYFUNCTION("""COMPUTED_VALUE"""),"")</f>
        <v/>
      </c>
      <c r="V2415" s="136" t="str">
        <f>IFERROR(__xludf.DUMMYFUNCTION("""COMPUTED_VALUE"""),"")</f>
        <v/>
      </c>
      <c r="W2415" s="106" t="str">
        <f>IFERROR(__xludf.DUMMYFUNCTION("""COMPUTED_VALUE"""),"")</f>
        <v/>
      </c>
      <c r="X2415" s="143" t="str">
        <f t="shared" si="2"/>
        <v/>
      </c>
      <c r="Y2415" s="139" t="str">
        <f>IFERROR(__xludf.DUMMYFUNCTION("""COMPUTED_VALUE"""),"")</f>
        <v/>
      </c>
      <c r="Z2415" s="141" t="str">
        <f>IFERROR(__xludf.DUMMYFUNCTION("""COMPUTED_VALUE"""),"")</f>
        <v/>
      </c>
    </row>
    <row r="2416">
      <c r="D2416" s="136" t="str">
        <f t="shared" si="3"/>
        <v/>
      </c>
      <c r="E2416" s="152"/>
      <c r="F2416" s="106" t="s">
        <v>133</v>
      </c>
      <c r="G2416" s="152"/>
      <c r="H2416" s="106" t="s">
        <v>133</v>
      </c>
      <c r="J2416" s="139" t="s">
        <v>133</v>
      </c>
      <c r="K2416" s="136" t="s">
        <v>133</v>
      </c>
      <c r="L2416" s="153"/>
      <c r="M2416" s="136" t="str">
        <f t="shared" si="1"/>
        <v/>
      </c>
      <c r="O2416" s="141" t="s">
        <v>133</v>
      </c>
      <c r="P2416" s="136" t="str">
        <f>IFERROR(__xludf.DUMMYFUNCTION("""COMPUTED_VALUE"""),"")</f>
        <v/>
      </c>
      <c r="Q2416" s="136" t="str">
        <f>IFERROR(__xludf.DUMMYFUNCTION("""COMPUTED_VALUE"""),"")</f>
        <v/>
      </c>
      <c r="R2416" s="106" t="str">
        <f>IFERROR(__xludf.DUMMYFUNCTION("""COMPUTED_VALUE"""),"")</f>
        <v/>
      </c>
      <c r="S2416" s="106" t="str">
        <f>IFERROR(__xludf.DUMMYFUNCTION("""COMPUTED_VALUE"""),"")</f>
        <v/>
      </c>
      <c r="T2416" s="139" t="str">
        <f>IFERROR(__xludf.DUMMYFUNCTION("""COMPUTED_VALUE"""),"")</f>
        <v/>
      </c>
      <c r="U2416" s="139" t="str">
        <f>IFERROR(__xludf.DUMMYFUNCTION("""COMPUTED_VALUE"""),"")</f>
        <v/>
      </c>
      <c r="V2416" s="136" t="str">
        <f>IFERROR(__xludf.DUMMYFUNCTION("""COMPUTED_VALUE"""),"")</f>
        <v/>
      </c>
      <c r="W2416" s="106" t="str">
        <f>IFERROR(__xludf.DUMMYFUNCTION("""COMPUTED_VALUE"""),"")</f>
        <v/>
      </c>
      <c r="X2416" s="143" t="str">
        <f t="shared" si="2"/>
        <v/>
      </c>
      <c r="Y2416" s="139" t="str">
        <f>IFERROR(__xludf.DUMMYFUNCTION("""COMPUTED_VALUE"""),"")</f>
        <v/>
      </c>
      <c r="Z2416" s="141" t="str">
        <f>IFERROR(__xludf.DUMMYFUNCTION("""COMPUTED_VALUE"""),"")</f>
        <v/>
      </c>
    </row>
    <row r="2417">
      <c r="D2417" s="136" t="str">
        <f t="shared" si="3"/>
        <v/>
      </c>
      <c r="E2417" s="152"/>
      <c r="F2417" s="106" t="s">
        <v>133</v>
      </c>
      <c r="G2417" s="152"/>
      <c r="H2417" s="106" t="s">
        <v>133</v>
      </c>
      <c r="J2417" s="139" t="s">
        <v>133</v>
      </c>
      <c r="K2417" s="136" t="s">
        <v>133</v>
      </c>
      <c r="L2417" s="153"/>
      <c r="M2417" s="136" t="str">
        <f t="shared" si="1"/>
        <v/>
      </c>
      <c r="O2417" s="141" t="s">
        <v>133</v>
      </c>
      <c r="P2417" s="136" t="str">
        <f>IFERROR(__xludf.DUMMYFUNCTION("""COMPUTED_VALUE"""),"")</f>
        <v/>
      </c>
      <c r="Q2417" s="136" t="str">
        <f>IFERROR(__xludf.DUMMYFUNCTION("""COMPUTED_VALUE"""),"")</f>
        <v/>
      </c>
      <c r="R2417" s="106" t="str">
        <f>IFERROR(__xludf.DUMMYFUNCTION("""COMPUTED_VALUE"""),"")</f>
        <v/>
      </c>
      <c r="S2417" s="106" t="str">
        <f>IFERROR(__xludf.DUMMYFUNCTION("""COMPUTED_VALUE"""),"")</f>
        <v/>
      </c>
      <c r="T2417" s="139" t="str">
        <f>IFERROR(__xludf.DUMMYFUNCTION("""COMPUTED_VALUE"""),"")</f>
        <v/>
      </c>
      <c r="U2417" s="139" t="str">
        <f>IFERROR(__xludf.DUMMYFUNCTION("""COMPUTED_VALUE"""),"")</f>
        <v/>
      </c>
      <c r="V2417" s="136" t="str">
        <f>IFERROR(__xludf.DUMMYFUNCTION("""COMPUTED_VALUE"""),"")</f>
        <v/>
      </c>
      <c r="W2417" s="106" t="str">
        <f>IFERROR(__xludf.DUMMYFUNCTION("""COMPUTED_VALUE"""),"")</f>
        <v/>
      </c>
      <c r="X2417" s="143" t="str">
        <f t="shared" si="2"/>
        <v/>
      </c>
      <c r="Y2417" s="139" t="str">
        <f>IFERROR(__xludf.DUMMYFUNCTION("""COMPUTED_VALUE"""),"")</f>
        <v/>
      </c>
      <c r="Z2417" s="141" t="str">
        <f>IFERROR(__xludf.DUMMYFUNCTION("""COMPUTED_VALUE"""),"")</f>
        <v/>
      </c>
    </row>
    <row r="2418">
      <c r="D2418" s="136" t="str">
        <f t="shared" si="3"/>
        <v/>
      </c>
      <c r="E2418" s="152"/>
      <c r="F2418" s="106" t="s">
        <v>133</v>
      </c>
      <c r="G2418" s="152"/>
      <c r="H2418" s="106" t="s">
        <v>133</v>
      </c>
      <c r="J2418" s="139" t="s">
        <v>133</v>
      </c>
      <c r="K2418" s="136" t="s">
        <v>133</v>
      </c>
      <c r="L2418" s="153"/>
      <c r="M2418" s="136" t="str">
        <f t="shared" si="1"/>
        <v/>
      </c>
      <c r="O2418" s="141" t="s">
        <v>133</v>
      </c>
      <c r="P2418" s="136" t="str">
        <f>IFERROR(__xludf.DUMMYFUNCTION("""COMPUTED_VALUE"""),"")</f>
        <v/>
      </c>
      <c r="Q2418" s="136" t="str">
        <f>IFERROR(__xludf.DUMMYFUNCTION("""COMPUTED_VALUE"""),"")</f>
        <v/>
      </c>
      <c r="R2418" s="106" t="str">
        <f>IFERROR(__xludf.DUMMYFUNCTION("""COMPUTED_VALUE"""),"")</f>
        <v/>
      </c>
      <c r="S2418" s="106" t="str">
        <f>IFERROR(__xludf.DUMMYFUNCTION("""COMPUTED_VALUE"""),"")</f>
        <v/>
      </c>
      <c r="T2418" s="139" t="str">
        <f>IFERROR(__xludf.DUMMYFUNCTION("""COMPUTED_VALUE"""),"")</f>
        <v/>
      </c>
      <c r="U2418" s="139" t="str">
        <f>IFERROR(__xludf.DUMMYFUNCTION("""COMPUTED_VALUE"""),"")</f>
        <v/>
      </c>
      <c r="V2418" s="136" t="str">
        <f>IFERROR(__xludf.DUMMYFUNCTION("""COMPUTED_VALUE"""),"")</f>
        <v/>
      </c>
      <c r="W2418" s="106" t="str">
        <f>IFERROR(__xludf.DUMMYFUNCTION("""COMPUTED_VALUE"""),"")</f>
        <v/>
      </c>
      <c r="X2418" s="143" t="str">
        <f t="shared" si="2"/>
        <v/>
      </c>
      <c r="Y2418" s="139" t="str">
        <f>IFERROR(__xludf.DUMMYFUNCTION("""COMPUTED_VALUE"""),"")</f>
        <v/>
      </c>
      <c r="Z2418" s="141" t="str">
        <f>IFERROR(__xludf.DUMMYFUNCTION("""COMPUTED_VALUE"""),"")</f>
        <v/>
      </c>
    </row>
    <row r="2419">
      <c r="D2419" s="136" t="str">
        <f t="shared" si="3"/>
        <v/>
      </c>
      <c r="E2419" s="152"/>
      <c r="F2419" s="106" t="s">
        <v>133</v>
      </c>
      <c r="G2419" s="152"/>
      <c r="H2419" s="106" t="s">
        <v>133</v>
      </c>
      <c r="J2419" s="139" t="s">
        <v>133</v>
      </c>
      <c r="K2419" s="136" t="s">
        <v>133</v>
      </c>
      <c r="L2419" s="153"/>
      <c r="M2419" s="136" t="str">
        <f t="shared" si="1"/>
        <v/>
      </c>
      <c r="O2419" s="141" t="s">
        <v>133</v>
      </c>
      <c r="P2419" s="136" t="str">
        <f>IFERROR(__xludf.DUMMYFUNCTION("""COMPUTED_VALUE"""),"")</f>
        <v/>
      </c>
      <c r="Q2419" s="136" t="str">
        <f>IFERROR(__xludf.DUMMYFUNCTION("""COMPUTED_VALUE"""),"")</f>
        <v/>
      </c>
      <c r="R2419" s="106" t="str">
        <f>IFERROR(__xludf.DUMMYFUNCTION("""COMPUTED_VALUE"""),"")</f>
        <v/>
      </c>
      <c r="S2419" s="106" t="str">
        <f>IFERROR(__xludf.DUMMYFUNCTION("""COMPUTED_VALUE"""),"")</f>
        <v/>
      </c>
      <c r="T2419" s="139" t="str">
        <f>IFERROR(__xludf.DUMMYFUNCTION("""COMPUTED_VALUE"""),"")</f>
        <v/>
      </c>
      <c r="U2419" s="139" t="str">
        <f>IFERROR(__xludf.DUMMYFUNCTION("""COMPUTED_VALUE"""),"")</f>
        <v/>
      </c>
      <c r="V2419" s="136" t="str">
        <f>IFERROR(__xludf.DUMMYFUNCTION("""COMPUTED_VALUE"""),"")</f>
        <v/>
      </c>
      <c r="W2419" s="106" t="str">
        <f>IFERROR(__xludf.DUMMYFUNCTION("""COMPUTED_VALUE"""),"")</f>
        <v/>
      </c>
      <c r="X2419" s="143" t="str">
        <f t="shared" si="2"/>
        <v/>
      </c>
      <c r="Y2419" s="139" t="str">
        <f>IFERROR(__xludf.DUMMYFUNCTION("""COMPUTED_VALUE"""),"")</f>
        <v/>
      </c>
      <c r="Z2419" s="141" t="str">
        <f>IFERROR(__xludf.DUMMYFUNCTION("""COMPUTED_VALUE"""),"")</f>
        <v/>
      </c>
    </row>
    <row r="2420">
      <c r="D2420" s="136" t="str">
        <f t="shared" si="3"/>
        <v/>
      </c>
      <c r="E2420" s="152"/>
      <c r="F2420" s="106" t="s">
        <v>133</v>
      </c>
      <c r="G2420" s="152"/>
      <c r="H2420" s="106" t="s">
        <v>133</v>
      </c>
      <c r="J2420" s="139" t="s">
        <v>133</v>
      </c>
      <c r="K2420" s="136" t="s">
        <v>133</v>
      </c>
      <c r="L2420" s="153"/>
      <c r="M2420" s="136" t="str">
        <f t="shared" si="1"/>
        <v/>
      </c>
      <c r="O2420" s="141" t="s">
        <v>133</v>
      </c>
      <c r="P2420" s="136" t="str">
        <f>IFERROR(__xludf.DUMMYFUNCTION("""COMPUTED_VALUE"""),"")</f>
        <v/>
      </c>
      <c r="Q2420" s="136" t="str">
        <f>IFERROR(__xludf.DUMMYFUNCTION("""COMPUTED_VALUE"""),"")</f>
        <v/>
      </c>
      <c r="R2420" s="106" t="str">
        <f>IFERROR(__xludf.DUMMYFUNCTION("""COMPUTED_VALUE"""),"")</f>
        <v/>
      </c>
      <c r="S2420" s="106" t="str">
        <f>IFERROR(__xludf.DUMMYFUNCTION("""COMPUTED_VALUE"""),"")</f>
        <v/>
      </c>
      <c r="T2420" s="139" t="str">
        <f>IFERROR(__xludf.DUMMYFUNCTION("""COMPUTED_VALUE"""),"")</f>
        <v/>
      </c>
      <c r="U2420" s="139" t="str">
        <f>IFERROR(__xludf.DUMMYFUNCTION("""COMPUTED_VALUE"""),"")</f>
        <v/>
      </c>
      <c r="V2420" s="136" t="str">
        <f>IFERROR(__xludf.DUMMYFUNCTION("""COMPUTED_VALUE"""),"")</f>
        <v/>
      </c>
      <c r="W2420" s="106" t="str">
        <f>IFERROR(__xludf.DUMMYFUNCTION("""COMPUTED_VALUE"""),"")</f>
        <v/>
      </c>
      <c r="X2420" s="143" t="str">
        <f t="shared" si="2"/>
        <v/>
      </c>
      <c r="Y2420" s="139" t="str">
        <f>IFERROR(__xludf.DUMMYFUNCTION("""COMPUTED_VALUE"""),"")</f>
        <v/>
      </c>
      <c r="Z2420" s="141" t="str">
        <f>IFERROR(__xludf.DUMMYFUNCTION("""COMPUTED_VALUE"""),"")</f>
        <v/>
      </c>
    </row>
    <row r="2421">
      <c r="D2421" s="136" t="str">
        <f t="shared" si="3"/>
        <v/>
      </c>
      <c r="E2421" s="152"/>
      <c r="F2421" s="106" t="s">
        <v>133</v>
      </c>
      <c r="G2421" s="152"/>
      <c r="H2421" s="106" t="s">
        <v>133</v>
      </c>
      <c r="J2421" s="139" t="s">
        <v>133</v>
      </c>
      <c r="K2421" s="136" t="s">
        <v>133</v>
      </c>
      <c r="L2421" s="153"/>
      <c r="M2421" s="136" t="str">
        <f t="shared" si="1"/>
        <v/>
      </c>
      <c r="O2421" s="141" t="s">
        <v>133</v>
      </c>
      <c r="P2421" s="136" t="str">
        <f>IFERROR(__xludf.DUMMYFUNCTION("""COMPUTED_VALUE"""),"")</f>
        <v/>
      </c>
      <c r="Q2421" s="136" t="str">
        <f>IFERROR(__xludf.DUMMYFUNCTION("""COMPUTED_VALUE"""),"")</f>
        <v/>
      </c>
      <c r="R2421" s="106" t="str">
        <f>IFERROR(__xludf.DUMMYFUNCTION("""COMPUTED_VALUE"""),"")</f>
        <v/>
      </c>
      <c r="S2421" s="106" t="str">
        <f>IFERROR(__xludf.DUMMYFUNCTION("""COMPUTED_VALUE"""),"")</f>
        <v/>
      </c>
      <c r="T2421" s="139" t="str">
        <f>IFERROR(__xludf.DUMMYFUNCTION("""COMPUTED_VALUE"""),"")</f>
        <v/>
      </c>
      <c r="U2421" s="139" t="str">
        <f>IFERROR(__xludf.DUMMYFUNCTION("""COMPUTED_VALUE"""),"")</f>
        <v/>
      </c>
      <c r="V2421" s="136" t="str">
        <f>IFERROR(__xludf.DUMMYFUNCTION("""COMPUTED_VALUE"""),"")</f>
        <v/>
      </c>
      <c r="W2421" s="106" t="str">
        <f>IFERROR(__xludf.DUMMYFUNCTION("""COMPUTED_VALUE"""),"")</f>
        <v/>
      </c>
      <c r="X2421" s="143" t="str">
        <f t="shared" si="2"/>
        <v/>
      </c>
      <c r="Y2421" s="139" t="str">
        <f>IFERROR(__xludf.DUMMYFUNCTION("""COMPUTED_VALUE"""),"")</f>
        <v/>
      </c>
      <c r="Z2421" s="141" t="str">
        <f>IFERROR(__xludf.DUMMYFUNCTION("""COMPUTED_VALUE"""),"")</f>
        <v/>
      </c>
    </row>
    <row r="2422">
      <c r="D2422" s="136" t="str">
        <f t="shared" si="3"/>
        <v/>
      </c>
      <c r="E2422" s="152"/>
      <c r="F2422" s="106" t="s">
        <v>133</v>
      </c>
      <c r="G2422" s="152"/>
      <c r="H2422" s="106" t="s">
        <v>133</v>
      </c>
      <c r="J2422" s="139" t="s">
        <v>133</v>
      </c>
      <c r="K2422" s="136" t="s">
        <v>133</v>
      </c>
      <c r="L2422" s="153"/>
      <c r="M2422" s="136" t="str">
        <f t="shared" si="1"/>
        <v/>
      </c>
      <c r="O2422" s="141" t="s">
        <v>133</v>
      </c>
      <c r="P2422" s="136" t="str">
        <f>IFERROR(__xludf.DUMMYFUNCTION("""COMPUTED_VALUE"""),"")</f>
        <v/>
      </c>
      <c r="Q2422" s="136" t="str">
        <f>IFERROR(__xludf.DUMMYFUNCTION("""COMPUTED_VALUE"""),"")</f>
        <v/>
      </c>
      <c r="R2422" s="106" t="str">
        <f>IFERROR(__xludf.DUMMYFUNCTION("""COMPUTED_VALUE"""),"")</f>
        <v/>
      </c>
      <c r="S2422" s="106" t="str">
        <f>IFERROR(__xludf.DUMMYFUNCTION("""COMPUTED_VALUE"""),"")</f>
        <v/>
      </c>
      <c r="T2422" s="139" t="str">
        <f>IFERROR(__xludf.DUMMYFUNCTION("""COMPUTED_VALUE"""),"")</f>
        <v/>
      </c>
      <c r="U2422" s="139" t="str">
        <f>IFERROR(__xludf.DUMMYFUNCTION("""COMPUTED_VALUE"""),"")</f>
        <v/>
      </c>
      <c r="V2422" s="136" t="str">
        <f>IFERROR(__xludf.DUMMYFUNCTION("""COMPUTED_VALUE"""),"")</f>
        <v/>
      </c>
      <c r="W2422" s="106" t="str">
        <f>IFERROR(__xludf.DUMMYFUNCTION("""COMPUTED_VALUE"""),"")</f>
        <v/>
      </c>
      <c r="X2422" s="143" t="str">
        <f t="shared" si="2"/>
        <v/>
      </c>
      <c r="Y2422" s="139" t="str">
        <f>IFERROR(__xludf.DUMMYFUNCTION("""COMPUTED_VALUE"""),"")</f>
        <v/>
      </c>
      <c r="Z2422" s="141" t="str">
        <f>IFERROR(__xludf.DUMMYFUNCTION("""COMPUTED_VALUE"""),"")</f>
        <v/>
      </c>
    </row>
    <row r="2423">
      <c r="D2423" s="136" t="str">
        <f t="shared" si="3"/>
        <v/>
      </c>
      <c r="E2423" s="152"/>
      <c r="F2423" s="106" t="s">
        <v>133</v>
      </c>
      <c r="G2423" s="152"/>
      <c r="H2423" s="106" t="s">
        <v>133</v>
      </c>
      <c r="J2423" s="139" t="s">
        <v>133</v>
      </c>
      <c r="K2423" s="136" t="s">
        <v>133</v>
      </c>
      <c r="L2423" s="153"/>
      <c r="M2423" s="136" t="str">
        <f t="shared" si="1"/>
        <v/>
      </c>
      <c r="O2423" s="141" t="s">
        <v>133</v>
      </c>
      <c r="P2423" s="136" t="str">
        <f>IFERROR(__xludf.DUMMYFUNCTION("""COMPUTED_VALUE"""),"")</f>
        <v/>
      </c>
      <c r="Q2423" s="136" t="str">
        <f>IFERROR(__xludf.DUMMYFUNCTION("""COMPUTED_VALUE"""),"")</f>
        <v/>
      </c>
      <c r="R2423" s="106" t="str">
        <f>IFERROR(__xludf.DUMMYFUNCTION("""COMPUTED_VALUE"""),"")</f>
        <v/>
      </c>
      <c r="S2423" s="106" t="str">
        <f>IFERROR(__xludf.DUMMYFUNCTION("""COMPUTED_VALUE"""),"")</f>
        <v/>
      </c>
      <c r="T2423" s="139" t="str">
        <f>IFERROR(__xludf.DUMMYFUNCTION("""COMPUTED_VALUE"""),"")</f>
        <v/>
      </c>
      <c r="U2423" s="139" t="str">
        <f>IFERROR(__xludf.DUMMYFUNCTION("""COMPUTED_VALUE"""),"")</f>
        <v/>
      </c>
      <c r="V2423" s="136" t="str">
        <f>IFERROR(__xludf.DUMMYFUNCTION("""COMPUTED_VALUE"""),"")</f>
        <v/>
      </c>
      <c r="W2423" s="106" t="str">
        <f>IFERROR(__xludf.DUMMYFUNCTION("""COMPUTED_VALUE"""),"")</f>
        <v/>
      </c>
      <c r="X2423" s="143" t="str">
        <f t="shared" si="2"/>
        <v/>
      </c>
      <c r="Y2423" s="139" t="str">
        <f>IFERROR(__xludf.DUMMYFUNCTION("""COMPUTED_VALUE"""),"")</f>
        <v/>
      </c>
      <c r="Z2423" s="141" t="str">
        <f>IFERROR(__xludf.DUMMYFUNCTION("""COMPUTED_VALUE"""),"")</f>
        <v/>
      </c>
    </row>
    <row r="2424">
      <c r="D2424" s="136" t="str">
        <f t="shared" si="3"/>
        <v/>
      </c>
      <c r="E2424" s="152"/>
      <c r="F2424" s="106" t="s">
        <v>133</v>
      </c>
      <c r="G2424" s="152"/>
      <c r="H2424" s="106" t="s">
        <v>133</v>
      </c>
      <c r="J2424" s="139" t="s">
        <v>133</v>
      </c>
      <c r="K2424" s="136" t="s">
        <v>133</v>
      </c>
      <c r="L2424" s="153"/>
      <c r="M2424" s="136" t="str">
        <f t="shared" si="1"/>
        <v/>
      </c>
      <c r="O2424" s="141" t="s">
        <v>133</v>
      </c>
      <c r="P2424" s="136" t="str">
        <f>IFERROR(__xludf.DUMMYFUNCTION("""COMPUTED_VALUE"""),"")</f>
        <v/>
      </c>
      <c r="Q2424" s="136" t="str">
        <f>IFERROR(__xludf.DUMMYFUNCTION("""COMPUTED_VALUE"""),"")</f>
        <v/>
      </c>
      <c r="R2424" s="106" t="str">
        <f>IFERROR(__xludf.DUMMYFUNCTION("""COMPUTED_VALUE"""),"")</f>
        <v/>
      </c>
      <c r="S2424" s="106" t="str">
        <f>IFERROR(__xludf.DUMMYFUNCTION("""COMPUTED_VALUE"""),"")</f>
        <v/>
      </c>
      <c r="T2424" s="139" t="str">
        <f>IFERROR(__xludf.DUMMYFUNCTION("""COMPUTED_VALUE"""),"")</f>
        <v/>
      </c>
      <c r="U2424" s="139" t="str">
        <f>IFERROR(__xludf.DUMMYFUNCTION("""COMPUTED_VALUE"""),"")</f>
        <v/>
      </c>
      <c r="V2424" s="136" t="str">
        <f>IFERROR(__xludf.DUMMYFUNCTION("""COMPUTED_VALUE"""),"")</f>
        <v/>
      </c>
      <c r="W2424" s="106" t="str">
        <f>IFERROR(__xludf.DUMMYFUNCTION("""COMPUTED_VALUE"""),"")</f>
        <v/>
      </c>
      <c r="X2424" s="143" t="str">
        <f t="shared" si="2"/>
        <v/>
      </c>
      <c r="Y2424" s="139" t="str">
        <f>IFERROR(__xludf.DUMMYFUNCTION("""COMPUTED_VALUE"""),"")</f>
        <v/>
      </c>
      <c r="Z2424" s="141" t="str">
        <f>IFERROR(__xludf.DUMMYFUNCTION("""COMPUTED_VALUE"""),"")</f>
        <v/>
      </c>
    </row>
    <row r="2425">
      <c r="D2425" s="136" t="str">
        <f t="shared" si="3"/>
        <v/>
      </c>
      <c r="E2425" s="152"/>
      <c r="F2425" s="106" t="s">
        <v>133</v>
      </c>
      <c r="G2425" s="152"/>
      <c r="H2425" s="106" t="s">
        <v>133</v>
      </c>
      <c r="J2425" s="139" t="s">
        <v>133</v>
      </c>
      <c r="K2425" s="136" t="s">
        <v>133</v>
      </c>
      <c r="L2425" s="153"/>
      <c r="M2425" s="136" t="str">
        <f t="shared" si="1"/>
        <v/>
      </c>
      <c r="O2425" s="141" t="s">
        <v>133</v>
      </c>
      <c r="P2425" s="136" t="str">
        <f>IFERROR(__xludf.DUMMYFUNCTION("""COMPUTED_VALUE"""),"")</f>
        <v/>
      </c>
      <c r="Q2425" s="136" t="str">
        <f>IFERROR(__xludf.DUMMYFUNCTION("""COMPUTED_VALUE"""),"")</f>
        <v/>
      </c>
      <c r="R2425" s="106" t="str">
        <f>IFERROR(__xludf.DUMMYFUNCTION("""COMPUTED_VALUE"""),"")</f>
        <v/>
      </c>
      <c r="S2425" s="106" t="str">
        <f>IFERROR(__xludf.DUMMYFUNCTION("""COMPUTED_VALUE"""),"")</f>
        <v/>
      </c>
      <c r="T2425" s="139" t="str">
        <f>IFERROR(__xludf.DUMMYFUNCTION("""COMPUTED_VALUE"""),"")</f>
        <v/>
      </c>
      <c r="U2425" s="139" t="str">
        <f>IFERROR(__xludf.DUMMYFUNCTION("""COMPUTED_VALUE"""),"")</f>
        <v/>
      </c>
      <c r="V2425" s="136" t="str">
        <f>IFERROR(__xludf.DUMMYFUNCTION("""COMPUTED_VALUE"""),"")</f>
        <v/>
      </c>
      <c r="W2425" s="106" t="str">
        <f>IFERROR(__xludf.DUMMYFUNCTION("""COMPUTED_VALUE"""),"")</f>
        <v/>
      </c>
      <c r="X2425" s="143" t="str">
        <f t="shared" si="2"/>
        <v/>
      </c>
      <c r="Y2425" s="139" t="str">
        <f>IFERROR(__xludf.DUMMYFUNCTION("""COMPUTED_VALUE"""),"")</f>
        <v/>
      </c>
      <c r="Z2425" s="141" t="str">
        <f>IFERROR(__xludf.DUMMYFUNCTION("""COMPUTED_VALUE"""),"")</f>
        <v/>
      </c>
    </row>
    <row r="2426">
      <c r="D2426" s="136" t="str">
        <f t="shared" si="3"/>
        <v/>
      </c>
      <c r="E2426" s="152"/>
      <c r="F2426" s="106" t="s">
        <v>133</v>
      </c>
      <c r="G2426" s="152"/>
      <c r="H2426" s="106" t="s">
        <v>133</v>
      </c>
      <c r="J2426" s="139" t="s">
        <v>133</v>
      </c>
      <c r="K2426" s="136" t="s">
        <v>133</v>
      </c>
      <c r="L2426" s="153"/>
      <c r="M2426" s="136" t="str">
        <f t="shared" si="1"/>
        <v/>
      </c>
      <c r="O2426" s="141" t="s">
        <v>133</v>
      </c>
      <c r="P2426" s="136" t="str">
        <f>IFERROR(__xludf.DUMMYFUNCTION("""COMPUTED_VALUE"""),"")</f>
        <v/>
      </c>
      <c r="Q2426" s="136" t="str">
        <f>IFERROR(__xludf.DUMMYFUNCTION("""COMPUTED_VALUE"""),"")</f>
        <v/>
      </c>
      <c r="R2426" s="106" t="str">
        <f>IFERROR(__xludf.DUMMYFUNCTION("""COMPUTED_VALUE"""),"")</f>
        <v/>
      </c>
      <c r="S2426" s="106" t="str">
        <f>IFERROR(__xludf.DUMMYFUNCTION("""COMPUTED_VALUE"""),"")</f>
        <v/>
      </c>
      <c r="T2426" s="139" t="str">
        <f>IFERROR(__xludf.DUMMYFUNCTION("""COMPUTED_VALUE"""),"")</f>
        <v/>
      </c>
      <c r="U2426" s="139" t="str">
        <f>IFERROR(__xludf.DUMMYFUNCTION("""COMPUTED_VALUE"""),"")</f>
        <v/>
      </c>
      <c r="V2426" s="136" t="str">
        <f>IFERROR(__xludf.DUMMYFUNCTION("""COMPUTED_VALUE"""),"")</f>
        <v/>
      </c>
      <c r="W2426" s="106" t="str">
        <f>IFERROR(__xludf.DUMMYFUNCTION("""COMPUTED_VALUE"""),"")</f>
        <v/>
      </c>
      <c r="X2426" s="143" t="str">
        <f t="shared" si="2"/>
        <v/>
      </c>
      <c r="Y2426" s="139" t="str">
        <f>IFERROR(__xludf.DUMMYFUNCTION("""COMPUTED_VALUE"""),"")</f>
        <v/>
      </c>
      <c r="Z2426" s="141" t="str">
        <f>IFERROR(__xludf.DUMMYFUNCTION("""COMPUTED_VALUE"""),"")</f>
        <v/>
      </c>
    </row>
    <row r="2427">
      <c r="D2427" s="136" t="str">
        <f t="shared" si="3"/>
        <v/>
      </c>
      <c r="E2427" s="152"/>
      <c r="F2427" s="106" t="s">
        <v>133</v>
      </c>
      <c r="G2427" s="152"/>
      <c r="H2427" s="106" t="s">
        <v>133</v>
      </c>
      <c r="J2427" s="139" t="s">
        <v>133</v>
      </c>
      <c r="K2427" s="136" t="s">
        <v>133</v>
      </c>
      <c r="L2427" s="153"/>
      <c r="M2427" s="136" t="str">
        <f t="shared" si="1"/>
        <v/>
      </c>
      <c r="O2427" s="141" t="s">
        <v>133</v>
      </c>
      <c r="P2427" s="136" t="str">
        <f>IFERROR(__xludf.DUMMYFUNCTION("""COMPUTED_VALUE"""),"")</f>
        <v/>
      </c>
      <c r="Q2427" s="136" t="str">
        <f>IFERROR(__xludf.DUMMYFUNCTION("""COMPUTED_VALUE"""),"")</f>
        <v/>
      </c>
      <c r="R2427" s="106" t="str">
        <f>IFERROR(__xludf.DUMMYFUNCTION("""COMPUTED_VALUE"""),"")</f>
        <v/>
      </c>
      <c r="S2427" s="106" t="str">
        <f>IFERROR(__xludf.DUMMYFUNCTION("""COMPUTED_VALUE"""),"")</f>
        <v/>
      </c>
      <c r="T2427" s="139" t="str">
        <f>IFERROR(__xludf.DUMMYFUNCTION("""COMPUTED_VALUE"""),"")</f>
        <v/>
      </c>
      <c r="U2427" s="139" t="str">
        <f>IFERROR(__xludf.DUMMYFUNCTION("""COMPUTED_VALUE"""),"")</f>
        <v/>
      </c>
      <c r="V2427" s="136" t="str">
        <f>IFERROR(__xludf.DUMMYFUNCTION("""COMPUTED_VALUE"""),"")</f>
        <v/>
      </c>
      <c r="W2427" s="106" t="str">
        <f>IFERROR(__xludf.DUMMYFUNCTION("""COMPUTED_VALUE"""),"")</f>
        <v/>
      </c>
      <c r="X2427" s="143" t="str">
        <f t="shared" si="2"/>
        <v/>
      </c>
      <c r="Y2427" s="139" t="str">
        <f>IFERROR(__xludf.DUMMYFUNCTION("""COMPUTED_VALUE"""),"")</f>
        <v/>
      </c>
      <c r="Z2427" s="141" t="str">
        <f>IFERROR(__xludf.DUMMYFUNCTION("""COMPUTED_VALUE"""),"")</f>
        <v/>
      </c>
    </row>
    <row r="2428">
      <c r="D2428" s="136" t="str">
        <f t="shared" si="3"/>
        <v/>
      </c>
      <c r="E2428" s="152"/>
      <c r="F2428" s="106" t="s">
        <v>133</v>
      </c>
      <c r="G2428" s="152"/>
      <c r="H2428" s="106" t="s">
        <v>133</v>
      </c>
      <c r="J2428" s="139" t="s">
        <v>133</v>
      </c>
      <c r="K2428" s="136" t="s">
        <v>133</v>
      </c>
      <c r="L2428" s="153"/>
      <c r="M2428" s="136" t="str">
        <f t="shared" si="1"/>
        <v/>
      </c>
      <c r="O2428" s="141" t="s">
        <v>133</v>
      </c>
      <c r="P2428" s="136" t="str">
        <f>IFERROR(__xludf.DUMMYFUNCTION("""COMPUTED_VALUE"""),"")</f>
        <v/>
      </c>
      <c r="Q2428" s="136" t="str">
        <f>IFERROR(__xludf.DUMMYFUNCTION("""COMPUTED_VALUE"""),"")</f>
        <v/>
      </c>
      <c r="R2428" s="106" t="str">
        <f>IFERROR(__xludf.DUMMYFUNCTION("""COMPUTED_VALUE"""),"")</f>
        <v/>
      </c>
      <c r="S2428" s="106" t="str">
        <f>IFERROR(__xludf.DUMMYFUNCTION("""COMPUTED_VALUE"""),"")</f>
        <v/>
      </c>
      <c r="T2428" s="139" t="str">
        <f>IFERROR(__xludf.DUMMYFUNCTION("""COMPUTED_VALUE"""),"")</f>
        <v/>
      </c>
      <c r="U2428" s="139" t="str">
        <f>IFERROR(__xludf.DUMMYFUNCTION("""COMPUTED_VALUE"""),"")</f>
        <v/>
      </c>
      <c r="V2428" s="136" t="str">
        <f>IFERROR(__xludf.DUMMYFUNCTION("""COMPUTED_VALUE"""),"")</f>
        <v/>
      </c>
      <c r="W2428" s="106" t="str">
        <f>IFERROR(__xludf.DUMMYFUNCTION("""COMPUTED_VALUE"""),"")</f>
        <v/>
      </c>
      <c r="X2428" s="143" t="str">
        <f t="shared" si="2"/>
        <v/>
      </c>
      <c r="Y2428" s="139" t="str">
        <f>IFERROR(__xludf.DUMMYFUNCTION("""COMPUTED_VALUE"""),"")</f>
        <v/>
      </c>
      <c r="Z2428" s="141" t="str">
        <f>IFERROR(__xludf.DUMMYFUNCTION("""COMPUTED_VALUE"""),"")</f>
        <v/>
      </c>
    </row>
    <row r="2429">
      <c r="D2429" s="136" t="str">
        <f t="shared" si="3"/>
        <v/>
      </c>
      <c r="E2429" s="152"/>
      <c r="F2429" s="106" t="s">
        <v>133</v>
      </c>
      <c r="G2429" s="152"/>
      <c r="H2429" s="106" t="s">
        <v>133</v>
      </c>
      <c r="J2429" s="139" t="s">
        <v>133</v>
      </c>
      <c r="K2429" s="136" t="s">
        <v>133</v>
      </c>
      <c r="L2429" s="153"/>
      <c r="M2429" s="136" t="str">
        <f t="shared" si="1"/>
        <v/>
      </c>
      <c r="O2429" s="141" t="s">
        <v>133</v>
      </c>
      <c r="P2429" s="136" t="str">
        <f>IFERROR(__xludf.DUMMYFUNCTION("""COMPUTED_VALUE"""),"")</f>
        <v/>
      </c>
      <c r="Q2429" s="136" t="str">
        <f>IFERROR(__xludf.DUMMYFUNCTION("""COMPUTED_VALUE"""),"")</f>
        <v/>
      </c>
      <c r="R2429" s="106" t="str">
        <f>IFERROR(__xludf.DUMMYFUNCTION("""COMPUTED_VALUE"""),"")</f>
        <v/>
      </c>
      <c r="S2429" s="106" t="str">
        <f>IFERROR(__xludf.DUMMYFUNCTION("""COMPUTED_VALUE"""),"")</f>
        <v/>
      </c>
      <c r="T2429" s="139" t="str">
        <f>IFERROR(__xludf.DUMMYFUNCTION("""COMPUTED_VALUE"""),"")</f>
        <v/>
      </c>
      <c r="U2429" s="139" t="str">
        <f>IFERROR(__xludf.DUMMYFUNCTION("""COMPUTED_VALUE"""),"")</f>
        <v/>
      </c>
      <c r="V2429" s="136" t="str">
        <f>IFERROR(__xludf.DUMMYFUNCTION("""COMPUTED_VALUE"""),"")</f>
        <v/>
      </c>
      <c r="W2429" s="106" t="str">
        <f>IFERROR(__xludf.DUMMYFUNCTION("""COMPUTED_VALUE"""),"")</f>
        <v/>
      </c>
      <c r="X2429" s="143" t="str">
        <f t="shared" si="2"/>
        <v/>
      </c>
      <c r="Y2429" s="139" t="str">
        <f>IFERROR(__xludf.DUMMYFUNCTION("""COMPUTED_VALUE"""),"")</f>
        <v/>
      </c>
      <c r="Z2429" s="141" t="str">
        <f>IFERROR(__xludf.DUMMYFUNCTION("""COMPUTED_VALUE"""),"")</f>
        <v/>
      </c>
    </row>
    <row r="2430">
      <c r="D2430" s="136" t="str">
        <f t="shared" si="3"/>
        <v/>
      </c>
      <c r="E2430" s="152"/>
      <c r="F2430" s="106" t="s">
        <v>133</v>
      </c>
      <c r="G2430" s="152"/>
      <c r="H2430" s="106" t="s">
        <v>133</v>
      </c>
      <c r="J2430" s="139" t="s">
        <v>133</v>
      </c>
      <c r="K2430" s="136" t="s">
        <v>133</v>
      </c>
      <c r="L2430" s="153"/>
      <c r="M2430" s="136" t="str">
        <f t="shared" si="1"/>
        <v/>
      </c>
      <c r="O2430" s="141" t="s">
        <v>133</v>
      </c>
      <c r="P2430" s="136" t="str">
        <f>IFERROR(__xludf.DUMMYFUNCTION("""COMPUTED_VALUE"""),"")</f>
        <v/>
      </c>
      <c r="Q2430" s="136" t="str">
        <f>IFERROR(__xludf.DUMMYFUNCTION("""COMPUTED_VALUE"""),"")</f>
        <v/>
      </c>
      <c r="R2430" s="106" t="str">
        <f>IFERROR(__xludf.DUMMYFUNCTION("""COMPUTED_VALUE"""),"")</f>
        <v/>
      </c>
      <c r="S2430" s="106" t="str">
        <f>IFERROR(__xludf.DUMMYFUNCTION("""COMPUTED_VALUE"""),"")</f>
        <v/>
      </c>
      <c r="T2430" s="139" t="str">
        <f>IFERROR(__xludf.DUMMYFUNCTION("""COMPUTED_VALUE"""),"")</f>
        <v/>
      </c>
      <c r="U2430" s="139" t="str">
        <f>IFERROR(__xludf.DUMMYFUNCTION("""COMPUTED_VALUE"""),"")</f>
        <v/>
      </c>
      <c r="V2430" s="136" t="str">
        <f>IFERROR(__xludf.DUMMYFUNCTION("""COMPUTED_VALUE"""),"")</f>
        <v/>
      </c>
      <c r="W2430" s="106" t="str">
        <f>IFERROR(__xludf.DUMMYFUNCTION("""COMPUTED_VALUE"""),"")</f>
        <v/>
      </c>
      <c r="X2430" s="143" t="str">
        <f t="shared" si="2"/>
        <v/>
      </c>
      <c r="Y2430" s="139" t="str">
        <f>IFERROR(__xludf.DUMMYFUNCTION("""COMPUTED_VALUE"""),"")</f>
        <v/>
      </c>
      <c r="Z2430" s="141" t="str">
        <f>IFERROR(__xludf.DUMMYFUNCTION("""COMPUTED_VALUE"""),"")</f>
        <v/>
      </c>
    </row>
    <row r="2431">
      <c r="D2431" s="136" t="str">
        <f t="shared" si="3"/>
        <v/>
      </c>
      <c r="E2431" s="152"/>
      <c r="F2431" s="106" t="s">
        <v>133</v>
      </c>
      <c r="G2431" s="152"/>
      <c r="H2431" s="106" t="s">
        <v>133</v>
      </c>
      <c r="J2431" s="139" t="s">
        <v>133</v>
      </c>
      <c r="K2431" s="136" t="s">
        <v>133</v>
      </c>
      <c r="L2431" s="153"/>
      <c r="M2431" s="136" t="str">
        <f t="shared" si="1"/>
        <v/>
      </c>
      <c r="O2431" s="141" t="s">
        <v>133</v>
      </c>
      <c r="P2431" s="136" t="str">
        <f>IFERROR(__xludf.DUMMYFUNCTION("""COMPUTED_VALUE"""),"")</f>
        <v/>
      </c>
      <c r="Q2431" s="136" t="str">
        <f>IFERROR(__xludf.DUMMYFUNCTION("""COMPUTED_VALUE"""),"")</f>
        <v/>
      </c>
      <c r="R2431" s="106" t="str">
        <f>IFERROR(__xludf.DUMMYFUNCTION("""COMPUTED_VALUE"""),"")</f>
        <v/>
      </c>
      <c r="S2431" s="106" t="str">
        <f>IFERROR(__xludf.DUMMYFUNCTION("""COMPUTED_VALUE"""),"")</f>
        <v/>
      </c>
      <c r="T2431" s="139" t="str">
        <f>IFERROR(__xludf.DUMMYFUNCTION("""COMPUTED_VALUE"""),"")</f>
        <v/>
      </c>
      <c r="U2431" s="139" t="str">
        <f>IFERROR(__xludf.DUMMYFUNCTION("""COMPUTED_VALUE"""),"")</f>
        <v/>
      </c>
      <c r="V2431" s="136" t="str">
        <f>IFERROR(__xludf.DUMMYFUNCTION("""COMPUTED_VALUE"""),"")</f>
        <v/>
      </c>
      <c r="W2431" s="106" t="str">
        <f>IFERROR(__xludf.DUMMYFUNCTION("""COMPUTED_VALUE"""),"")</f>
        <v/>
      </c>
      <c r="X2431" s="143" t="str">
        <f t="shared" si="2"/>
        <v/>
      </c>
      <c r="Y2431" s="139" t="str">
        <f>IFERROR(__xludf.DUMMYFUNCTION("""COMPUTED_VALUE"""),"")</f>
        <v/>
      </c>
      <c r="Z2431" s="141" t="str">
        <f>IFERROR(__xludf.DUMMYFUNCTION("""COMPUTED_VALUE"""),"")</f>
        <v/>
      </c>
    </row>
    <row r="2432">
      <c r="D2432" s="136" t="str">
        <f t="shared" si="3"/>
        <v/>
      </c>
      <c r="E2432" s="152"/>
      <c r="F2432" s="106" t="s">
        <v>133</v>
      </c>
      <c r="G2432" s="152"/>
      <c r="H2432" s="106" t="s">
        <v>133</v>
      </c>
      <c r="J2432" s="139" t="s">
        <v>133</v>
      </c>
      <c r="K2432" s="136" t="s">
        <v>133</v>
      </c>
      <c r="L2432" s="153"/>
      <c r="M2432" s="136" t="str">
        <f t="shared" si="1"/>
        <v/>
      </c>
      <c r="O2432" s="141" t="s">
        <v>133</v>
      </c>
      <c r="P2432" s="136" t="str">
        <f>IFERROR(__xludf.DUMMYFUNCTION("""COMPUTED_VALUE"""),"")</f>
        <v/>
      </c>
      <c r="Q2432" s="136" t="str">
        <f>IFERROR(__xludf.DUMMYFUNCTION("""COMPUTED_VALUE"""),"")</f>
        <v/>
      </c>
      <c r="R2432" s="106" t="str">
        <f>IFERROR(__xludf.DUMMYFUNCTION("""COMPUTED_VALUE"""),"")</f>
        <v/>
      </c>
      <c r="S2432" s="106" t="str">
        <f>IFERROR(__xludf.DUMMYFUNCTION("""COMPUTED_VALUE"""),"")</f>
        <v/>
      </c>
      <c r="T2432" s="139" t="str">
        <f>IFERROR(__xludf.DUMMYFUNCTION("""COMPUTED_VALUE"""),"")</f>
        <v/>
      </c>
      <c r="U2432" s="139" t="str">
        <f>IFERROR(__xludf.DUMMYFUNCTION("""COMPUTED_VALUE"""),"")</f>
        <v/>
      </c>
      <c r="V2432" s="136" t="str">
        <f>IFERROR(__xludf.DUMMYFUNCTION("""COMPUTED_VALUE"""),"")</f>
        <v/>
      </c>
      <c r="W2432" s="106" t="str">
        <f>IFERROR(__xludf.DUMMYFUNCTION("""COMPUTED_VALUE"""),"")</f>
        <v/>
      </c>
      <c r="X2432" s="143" t="str">
        <f t="shared" si="2"/>
        <v/>
      </c>
      <c r="Y2432" s="139" t="str">
        <f>IFERROR(__xludf.DUMMYFUNCTION("""COMPUTED_VALUE"""),"")</f>
        <v/>
      </c>
      <c r="Z2432" s="141" t="str">
        <f>IFERROR(__xludf.DUMMYFUNCTION("""COMPUTED_VALUE"""),"")</f>
        <v/>
      </c>
    </row>
    <row r="2433">
      <c r="D2433" s="136" t="str">
        <f t="shared" si="3"/>
        <v/>
      </c>
      <c r="E2433" s="152"/>
      <c r="F2433" s="106" t="s">
        <v>133</v>
      </c>
      <c r="G2433" s="152"/>
      <c r="H2433" s="106" t="s">
        <v>133</v>
      </c>
      <c r="J2433" s="139" t="s">
        <v>133</v>
      </c>
      <c r="K2433" s="136" t="s">
        <v>133</v>
      </c>
      <c r="L2433" s="153"/>
      <c r="M2433" s="136" t="str">
        <f t="shared" si="1"/>
        <v/>
      </c>
      <c r="O2433" s="141" t="s">
        <v>133</v>
      </c>
      <c r="P2433" s="136" t="str">
        <f>IFERROR(__xludf.DUMMYFUNCTION("""COMPUTED_VALUE"""),"")</f>
        <v/>
      </c>
      <c r="Q2433" s="136" t="str">
        <f>IFERROR(__xludf.DUMMYFUNCTION("""COMPUTED_VALUE"""),"")</f>
        <v/>
      </c>
      <c r="R2433" s="106" t="str">
        <f>IFERROR(__xludf.DUMMYFUNCTION("""COMPUTED_VALUE"""),"")</f>
        <v/>
      </c>
      <c r="S2433" s="106" t="str">
        <f>IFERROR(__xludf.DUMMYFUNCTION("""COMPUTED_VALUE"""),"")</f>
        <v/>
      </c>
      <c r="T2433" s="139" t="str">
        <f>IFERROR(__xludf.DUMMYFUNCTION("""COMPUTED_VALUE"""),"")</f>
        <v/>
      </c>
      <c r="U2433" s="139" t="str">
        <f>IFERROR(__xludf.DUMMYFUNCTION("""COMPUTED_VALUE"""),"")</f>
        <v/>
      </c>
      <c r="V2433" s="136" t="str">
        <f>IFERROR(__xludf.DUMMYFUNCTION("""COMPUTED_VALUE"""),"")</f>
        <v/>
      </c>
      <c r="W2433" s="106" t="str">
        <f>IFERROR(__xludf.DUMMYFUNCTION("""COMPUTED_VALUE"""),"")</f>
        <v/>
      </c>
      <c r="X2433" s="143" t="str">
        <f t="shared" si="2"/>
        <v/>
      </c>
      <c r="Y2433" s="139" t="str">
        <f>IFERROR(__xludf.DUMMYFUNCTION("""COMPUTED_VALUE"""),"")</f>
        <v/>
      </c>
      <c r="Z2433" s="141" t="str">
        <f>IFERROR(__xludf.DUMMYFUNCTION("""COMPUTED_VALUE"""),"")</f>
        <v/>
      </c>
    </row>
    <row r="2434">
      <c r="D2434" s="136" t="str">
        <f t="shared" si="3"/>
        <v/>
      </c>
      <c r="E2434" s="152"/>
      <c r="F2434" s="106" t="s">
        <v>133</v>
      </c>
      <c r="G2434" s="152"/>
      <c r="H2434" s="106" t="s">
        <v>133</v>
      </c>
      <c r="J2434" s="139" t="s">
        <v>133</v>
      </c>
      <c r="K2434" s="136" t="s">
        <v>133</v>
      </c>
      <c r="L2434" s="153"/>
      <c r="M2434" s="136" t="str">
        <f t="shared" si="1"/>
        <v/>
      </c>
      <c r="O2434" s="141" t="s">
        <v>133</v>
      </c>
      <c r="P2434" s="136" t="str">
        <f>IFERROR(__xludf.DUMMYFUNCTION("""COMPUTED_VALUE"""),"")</f>
        <v/>
      </c>
      <c r="Q2434" s="136" t="str">
        <f>IFERROR(__xludf.DUMMYFUNCTION("""COMPUTED_VALUE"""),"")</f>
        <v/>
      </c>
      <c r="R2434" s="106" t="str">
        <f>IFERROR(__xludf.DUMMYFUNCTION("""COMPUTED_VALUE"""),"")</f>
        <v/>
      </c>
      <c r="S2434" s="106" t="str">
        <f>IFERROR(__xludf.DUMMYFUNCTION("""COMPUTED_VALUE"""),"")</f>
        <v/>
      </c>
      <c r="T2434" s="139" t="str">
        <f>IFERROR(__xludf.DUMMYFUNCTION("""COMPUTED_VALUE"""),"")</f>
        <v/>
      </c>
      <c r="U2434" s="139" t="str">
        <f>IFERROR(__xludf.DUMMYFUNCTION("""COMPUTED_VALUE"""),"")</f>
        <v/>
      </c>
      <c r="V2434" s="136" t="str">
        <f>IFERROR(__xludf.DUMMYFUNCTION("""COMPUTED_VALUE"""),"")</f>
        <v/>
      </c>
      <c r="W2434" s="106" t="str">
        <f>IFERROR(__xludf.DUMMYFUNCTION("""COMPUTED_VALUE"""),"")</f>
        <v/>
      </c>
      <c r="X2434" s="143" t="str">
        <f t="shared" si="2"/>
        <v/>
      </c>
      <c r="Y2434" s="139" t="str">
        <f>IFERROR(__xludf.DUMMYFUNCTION("""COMPUTED_VALUE"""),"")</f>
        <v/>
      </c>
      <c r="Z2434" s="141" t="str">
        <f>IFERROR(__xludf.DUMMYFUNCTION("""COMPUTED_VALUE"""),"")</f>
        <v/>
      </c>
    </row>
    <row r="2435">
      <c r="D2435" s="136" t="str">
        <f t="shared" si="3"/>
        <v/>
      </c>
      <c r="E2435" s="152"/>
      <c r="F2435" s="106" t="s">
        <v>133</v>
      </c>
      <c r="G2435" s="152"/>
      <c r="H2435" s="106" t="s">
        <v>133</v>
      </c>
      <c r="J2435" s="139" t="s">
        <v>133</v>
      </c>
      <c r="K2435" s="136" t="s">
        <v>133</v>
      </c>
      <c r="L2435" s="153"/>
      <c r="M2435" s="136" t="str">
        <f t="shared" si="1"/>
        <v/>
      </c>
      <c r="O2435" s="141" t="s">
        <v>133</v>
      </c>
      <c r="P2435" s="136" t="str">
        <f>IFERROR(__xludf.DUMMYFUNCTION("""COMPUTED_VALUE"""),"")</f>
        <v/>
      </c>
      <c r="Q2435" s="136" t="str">
        <f>IFERROR(__xludf.DUMMYFUNCTION("""COMPUTED_VALUE"""),"")</f>
        <v/>
      </c>
      <c r="R2435" s="106" t="str">
        <f>IFERROR(__xludf.DUMMYFUNCTION("""COMPUTED_VALUE"""),"")</f>
        <v/>
      </c>
      <c r="S2435" s="106" t="str">
        <f>IFERROR(__xludf.DUMMYFUNCTION("""COMPUTED_VALUE"""),"")</f>
        <v/>
      </c>
      <c r="T2435" s="139" t="str">
        <f>IFERROR(__xludf.DUMMYFUNCTION("""COMPUTED_VALUE"""),"")</f>
        <v/>
      </c>
      <c r="U2435" s="139" t="str">
        <f>IFERROR(__xludf.DUMMYFUNCTION("""COMPUTED_VALUE"""),"")</f>
        <v/>
      </c>
      <c r="V2435" s="136" t="str">
        <f>IFERROR(__xludf.DUMMYFUNCTION("""COMPUTED_VALUE"""),"")</f>
        <v/>
      </c>
      <c r="W2435" s="106" t="str">
        <f>IFERROR(__xludf.DUMMYFUNCTION("""COMPUTED_VALUE"""),"")</f>
        <v/>
      </c>
      <c r="X2435" s="143" t="str">
        <f t="shared" si="2"/>
        <v/>
      </c>
      <c r="Y2435" s="139" t="str">
        <f>IFERROR(__xludf.DUMMYFUNCTION("""COMPUTED_VALUE"""),"")</f>
        <v/>
      </c>
      <c r="Z2435" s="141" t="str">
        <f>IFERROR(__xludf.DUMMYFUNCTION("""COMPUTED_VALUE"""),"")</f>
        <v/>
      </c>
    </row>
    <row r="2436">
      <c r="D2436" s="136" t="str">
        <f t="shared" si="3"/>
        <v/>
      </c>
      <c r="E2436" s="152"/>
      <c r="F2436" s="106" t="s">
        <v>133</v>
      </c>
      <c r="G2436" s="152"/>
      <c r="H2436" s="106" t="s">
        <v>133</v>
      </c>
      <c r="J2436" s="139" t="s">
        <v>133</v>
      </c>
      <c r="K2436" s="136" t="s">
        <v>133</v>
      </c>
      <c r="L2436" s="153"/>
      <c r="M2436" s="136" t="str">
        <f t="shared" si="1"/>
        <v/>
      </c>
      <c r="O2436" s="141" t="s">
        <v>133</v>
      </c>
      <c r="P2436" s="136" t="str">
        <f>IFERROR(__xludf.DUMMYFUNCTION("""COMPUTED_VALUE"""),"")</f>
        <v/>
      </c>
      <c r="Q2436" s="136" t="str">
        <f>IFERROR(__xludf.DUMMYFUNCTION("""COMPUTED_VALUE"""),"")</f>
        <v/>
      </c>
      <c r="R2436" s="106" t="str">
        <f>IFERROR(__xludf.DUMMYFUNCTION("""COMPUTED_VALUE"""),"")</f>
        <v/>
      </c>
      <c r="S2436" s="106" t="str">
        <f>IFERROR(__xludf.DUMMYFUNCTION("""COMPUTED_VALUE"""),"")</f>
        <v/>
      </c>
      <c r="T2436" s="139" t="str">
        <f>IFERROR(__xludf.DUMMYFUNCTION("""COMPUTED_VALUE"""),"")</f>
        <v/>
      </c>
      <c r="U2436" s="139" t="str">
        <f>IFERROR(__xludf.DUMMYFUNCTION("""COMPUTED_VALUE"""),"")</f>
        <v/>
      </c>
      <c r="V2436" s="136" t="str">
        <f>IFERROR(__xludf.DUMMYFUNCTION("""COMPUTED_VALUE"""),"")</f>
        <v/>
      </c>
      <c r="W2436" s="106" t="str">
        <f>IFERROR(__xludf.DUMMYFUNCTION("""COMPUTED_VALUE"""),"")</f>
        <v/>
      </c>
      <c r="X2436" s="143" t="str">
        <f t="shared" si="2"/>
        <v/>
      </c>
      <c r="Y2436" s="139" t="str">
        <f>IFERROR(__xludf.DUMMYFUNCTION("""COMPUTED_VALUE"""),"")</f>
        <v/>
      </c>
      <c r="Z2436" s="141" t="str">
        <f>IFERROR(__xludf.DUMMYFUNCTION("""COMPUTED_VALUE"""),"")</f>
        <v/>
      </c>
    </row>
    <row r="2437">
      <c r="D2437" s="136" t="str">
        <f t="shared" si="3"/>
        <v/>
      </c>
      <c r="E2437" s="152"/>
      <c r="F2437" s="106" t="s">
        <v>133</v>
      </c>
      <c r="G2437" s="152"/>
      <c r="H2437" s="106" t="s">
        <v>133</v>
      </c>
      <c r="J2437" s="139" t="s">
        <v>133</v>
      </c>
      <c r="K2437" s="136" t="s">
        <v>133</v>
      </c>
      <c r="L2437" s="153"/>
      <c r="M2437" s="136" t="str">
        <f t="shared" si="1"/>
        <v/>
      </c>
      <c r="O2437" s="141" t="s">
        <v>133</v>
      </c>
      <c r="P2437" s="136" t="str">
        <f>IFERROR(__xludf.DUMMYFUNCTION("""COMPUTED_VALUE"""),"")</f>
        <v/>
      </c>
      <c r="Q2437" s="136" t="str">
        <f>IFERROR(__xludf.DUMMYFUNCTION("""COMPUTED_VALUE"""),"")</f>
        <v/>
      </c>
      <c r="R2437" s="106" t="str">
        <f>IFERROR(__xludf.DUMMYFUNCTION("""COMPUTED_VALUE"""),"")</f>
        <v/>
      </c>
      <c r="S2437" s="106" t="str">
        <f>IFERROR(__xludf.DUMMYFUNCTION("""COMPUTED_VALUE"""),"")</f>
        <v/>
      </c>
      <c r="T2437" s="139" t="str">
        <f>IFERROR(__xludf.DUMMYFUNCTION("""COMPUTED_VALUE"""),"")</f>
        <v/>
      </c>
      <c r="U2437" s="139" t="str">
        <f>IFERROR(__xludf.DUMMYFUNCTION("""COMPUTED_VALUE"""),"")</f>
        <v/>
      </c>
      <c r="V2437" s="136" t="str">
        <f>IFERROR(__xludf.DUMMYFUNCTION("""COMPUTED_VALUE"""),"")</f>
        <v/>
      </c>
      <c r="W2437" s="106" t="str">
        <f>IFERROR(__xludf.DUMMYFUNCTION("""COMPUTED_VALUE"""),"")</f>
        <v/>
      </c>
      <c r="X2437" s="143" t="str">
        <f t="shared" si="2"/>
        <v/>
      </c>
      <c r="Y2437" s="139" t="str">
        <f>IFERROR(__xludf.DUMMYFUNCTION("""COMPUTED_VALUE"""),"")</f>
        <v/>
      </c>
      <c r="Z2437" s="141" t="str">
        <f>IFERROR(__xludf.DUMMYFUNCTION("""COMPUTED_VALUE"""),"")</f>
        <v/>
      </c>
    </row>
    <row r="2438">
      <c r="D2438" s="136" t="str">
        <f t="shared" si="3"/>
        <v/>
      </c>
      <c r="E2438" s="152"/>
      <c r="F2438" s="106" t="s">
        <v>133</v>
      </c>
      <c r="G2438" s="152"/>
      <c r="H2438" s="106" t="s">
        <v>133</v>
      </c>
      <c r="J2438" s="139" t="s">
        <v>133</v>
      </c>
      <c r="K2438" s="136" t="s">
        <v>133</v>
      </c>
      <c r="L2438" s="153"/>
      <c r="M2438" s="136" t="str">
        <f t="shared" si="1"/>
        <v/>
      </c>
      <c r="O2438" s="141" t="s">
        <v>133</v>
      </c>
      <c r="P2438" s="136" t="str">
        <f>IFERROR(__xludf.DUMMYFUNCTION("""COMPUTED_VALUE"""),"")</f>
        <v/>
      </c>
      <c r="Q2438" s="136" t="str">
        <f>IFERROR(__xludf.DUMMYFUNCTION("""COMPUTED_VALUE"""),"")</f>
        <v/>
      </c>
      <c r="R2438" s="106" t="str">
        <f>IFERROR(__xludf.DUMMYFUNCTION("""COMPUTED_VALUE"""),"")</f>
        <v/>
      </c>
      <c r="S2438" s="106" t="str">
        <f>IFERROR(__xludf.DUMMYFUNCTION("""COMPUTED_VALUE"""),"")</f>
        <v/>
      </c>
      <c r="T2438" s="139" t="str">
        <f>IFERROR(__xludf.DUMMYFUNCTION("""COMPUTED_VALUE"""),"")</f>
        <v/>
      </c>
      <c r="U2438" s="139" t="str">
        <f>IFERROR(__xludf.DUMMYFUNCTION("""COMPUTED_VALUE"""),"")</f>
        <v/>
      </c>
      <c r="V2438" s="136" t="str">
        <f>IFERROR(__xludf.DUMMYFUNCTION("""COMPUTED_VALUE"""),"")</f>
        <v/>
      </c>
      <c r="W2438" s="106" t="str">
        <f>IFERROR(__xludf.DUMMYFUNCTION("""COMPUTED_VALUE"""),"")</f>
        <v/>
      </c>
      <c r="X2438" s="143" t="str">
        <f t="shared" si="2"/>
        <v/>
      </c>
      <c r="Y2438" s="139" t="str">
        <f>IFERROR(__xludf.DUMMYFUNCTION("""COMPUTED_VALUE"""),"")</f>
        <v/>
      </c>
      <c r="Z2438" s="141" t="str">
        <f>IFERROR(__xludf.DUMMYFUNCTION("""COMPUTED_VALUE"""),"")</f>
        <v/>
      </c>
    </row>
    <row r="2439">
      <c r="D2439" s="136" t="str">
        <f t="shared" si="3"/>
        <v/>
      </c>
      <c r="E2439" s="152"/>
      <c r="F2439" s="106" t="s">
        <v>133</v>
      </c>
      <c r="G2439" s="152"/>
      <c r="H2439" s="106" t="s">
        <v>133</v>
      </c>
      <c r="J2439" s="139" t="s">
        <v>133</v>
      </c>
      <c r="K2439" s="136" t="s">
        <v>133</v>
      </c>
      <c r="L2439" s="153"/>
      <c r="M2439" s="136" t="str">
        <f t="shared" si="1"/>
        <v/>
      </c>
      <c r="O2439" s="141" t="s">
        <v>133</v>
      </c>
      <c r="P2439" s="136" t="str">
        <f>IFERROR(__xludf.DUMMYFUNCTION("""COMPUTED_VALUE"""),"")</f>
        <v/>
      </c>
      <c r="Q2439" s="136" t="str">
        <f>IFERROR(__xludf.DUMMYFUNCTION("""COMPUTED_VALUE"""),"")</f>
        <v/>
      </c>
      <c r="R2439" s="106" t="str">
        <f>IFERROR(__xludf.DUMMYFUNCTION("""COMPUTED_VALUE"""),"")</f>
        <v/>
      </c>
      <c r="S2439" s="106" t="str">
        <f>IFERROR(__xludf.DUMMYFUNCTION("""COMPUTED_VALUE"""),"")</f>
        <v/>
      </c>
      <c r="T2439" s="139" t="str">
        <f>IFERROR(__xludf.DUMMYFUNCTION("""COMPUTED_VALUE"""),"")</f>
        <v/>
      </c>
      <c r="U2439" s="139" t="str">
        <f>IFERROR(__xludf.DUMMYFUNCTION("""COMPUTED_VALUE"""),"")</f>
        <v/>
      </c>
      <c r="V2439" s="136" t="str">
        <f>IFERROR(__xludf.DUMMYFUNCTION("""COMPUTED_VALUE"""),"")</f>
        <v/>
      </c>
      <c r="W2439" s="106" t="str">
        <f>IFERROR(__xludf.DUMMYFUNCTION("""COMPUTED_VALUE"""),"")</f>
        <v/>
      </c>
      <c r="X2439" s="143" t="str">
        <f t="shared" si="2"/>
        <v/>
      </c>
      <c r="Y2439" s="139" t="str">
        <f>IFERROR(__xludf.DUMMYFUNCTION("""COMPUTED_VALUE"""),"")</f>
        <v/>
      </c>
      <c r="Z2439" s="141" t="str">
        <f>IFERROR(__xludf.DUMMYFUNCTION("""COMPUTED_VALUE"""),"")</f>
        <v/>
      </c>
    </row>
    <row r="2440">
      <c r="D2440" s="136" t="str">
        <f t="shared" si="3"/>
        <v/>
      </c>
      <c r="E2440" s="152"/>
      <c r="F2440" s="106" t="s">
        <v>133</v>
      </c>
      <c r="G2440" s="152"/>
      <c r="H2440" s="106" t="s">
        <v>133</v>
      </c>
      <c r="J2440" s="139" t="s">
        <v>133</v>
      </c>
      <c r="K2440" s="136" t="s">
        <v>133</v>
      </c>
      <c r="L2440" s="153"/>
      <c r="M2440" s="136" t="str">
        <f t="shared" si="1"/>
        <v/>
      </c>
      <c r="O2440" s="141" t="s">
        <v>133</v>
      </c>
      <c r="P2440" s="136" t="str">
        <f>IFERROR(__xludf.DUMMYFUNCTION("""COMPUTED_VALUE"""),"")</f>
        <v/>
      </c>
      <c r="Q2440" s="136" t="str">
        <f>IFERROR(__xludf.DUMMYFUNCTION("""COMPUTED_VALUE"""),"")</f>
        <v/>
      </c>
      <c r="R2440" s="106" t="str">
        <f>IFERROR(__xludf.DUMMYFUNCTION("""COMPUTED_VALUE"""),"")</f>
        <v/>
      </c>
      <c r="S2440" s="106" t="str">
        <f>IFERROR(__xludf.DUMMYFUNCTION("""COMPUTED_VALUE"""),"")</f>
        <v/>
      </c>
      <c r="T2440" s="139" t="str">
        <f>IFERROR(__xludf.DUMMYFUNCTION("""COMPUTED_VALUE"""),"")</f>
        <v/>
      </c>
      <c r="U2440" s="139" t="str">
        <f>IFERROR(__xludf.DUMMYFUNCTION("""COMPUTED_VALUE"""),"")</f>
        <v/>
      </c>
      <c r="V2440" s="136" t="str">
        <f>IFERROR(__xludf.DUMMYFUNCTION("""COMPUTED_VALUE"""),"")</f>
        <v/>
      </c>
      <c r="W2440" s="106" t="str">
        <f>IFERROR(__xludf.DUMMYFUNCTION("""COMPUTED_VALUE"""),"")</f>
        <v/>
      </c>
      <c r="X2440" s="143" t="str">
        <f t="shared" si="2"/>
        <v/>
      </c>
      <c r="Y2440" s="139" t="str">
        <f>IFERROR(__xludf.DUMMYFUNCTION("""COMPUTED_VALUE"""),"")</f>
        <v/>
      </c>
      <c r="Z2440" s="141" t="str">
        <f>IFERROR(__xludf.DUMMYFUNCTION("""COMPUTED_VALUE"""),"")</f>
        <v/>
      </c>
    </row>
    <row r="2441">
      <c r="D2441" s="136" t="str">
        <f t="shared" si="3"/>
        <v/>
      </c>
      <c r="E2441" s="152"/>
      <c r="F2441" s="106" t="s">
        <v>133</v>
      </c>
      <c r="G2441" s="152"/>
      <c r="H2441" s="106" t="s">
        <v>133</v>
      </c>
      <c r="J2441" s="139" t="s">
        <v>133</v>
      </c>
      <c r="K2441" s="136" t="s">
        <v>133</v>
      </c>
      <c r="L2441" s="153"/>
      <c r="M2441" s="136" t="str">
        <f t="shared" si="1"/>
        <v/>
      </c>
      <c r="O2441" s="141" t="s">
        <v>133</v>
      </c>
      <c r="P2441" s="136" t="str">
        <f>IFERROR(__xludf.DUMMYFUNCTION("""COMPUTED_VALUE"""),"")</f>
        <v/>
      </c>
      <c r="Q2441" s="136" t="str">
        <f>IFERROR(__xludf.DUMMYFUNCTION("""COMPUTED_VALUE"""),"")</f>
        <v/>
      </c>
      <c r="R2441" s="106" t="str">
        <f>IFERROR(__xludf.DUMMYFUNCTION("""COMPUTED_VALUE"""),"")</f>
        <v/>
      </c>
      <c r="S2441" s="106" t="str">
        <f>IFERROR(__xludf.DUMMYFUNCTION("""COMPUTED_VALUE"""),"")</f>
        <v/>
      </c>
      <c r="T2441" s="139" t="str">
        <f>IFERROR(__xludf.DUMMYFUNCTION("""COMPUTED_VALUE"""),"")</f>
        <v/>
      </c>
      <c r="U2441" s="139" t="str">
        <f>IFERROR(__xludf.DUMMYFUNCTION("""COMPUTED_VALUE"""),"")</f>
        <v/>
      </c>
      <c r="V2441" s="136" t="str">
        <f>IFERROR(__xludf.DUMMYFUNCTION("""COMPUTED_VALUE"""),"")</f>
        <v/>
      </c>
      <c r="W2441" s="106" t="str">
        <f>IFERROR(__xludf.DUMMYFUNCTION("""COMPUTED_VALUE"""),"")</f>
        <v/>
      </c>
      <c r="X2441" s="143" t="str">
        <f t="shared" si="2"/>
        <v/>
      </c>
      <c r="Y2441" s="139" t="str">
        <f>IFERROR(__xludf.DUMMYFUNCTION("""COMPUTED_VALUE"""),"")</f>
        <v/>
      </c>
      <c r="Z2441" s="141" t="str">
        <f>IFERROR(__xludf.DUMMYFUNCTION("""COMPUTED_VALUE"""),"")</f>
        <v/>
      </c>
    </row>
    <row r="2442">
      <c r="D2442" s="136" t="str">
        <f t="shared" si="3"/>
        <v/>
      </c>
      <c r="E2442" s="152"/>
      <c r="F2442" s="106" t="s">
        <v>133</v>
      </c>
      <c r="G2442" s="152"/>
      <c r="H2442" s="106" t="s">
        <v>133</v>
      </c>
      <c r="J2442" s="139" t="s">
        <v>133</v>
      </c>
      <c r="K2442" s="136" t="s">
        <v>133</v>
      </c>
      <c r="L2442" s="153"/>
      <c r="M2442" s="136" t="str">
        <f t="shared" si="1"/>
        <v/>
      </c>
      <c r="O2442" s="141" t="s">
        <v>133</v>
      </c>
      <c r="P2442" s="136" t="str">
        <f>IFERROR(__xludf.DUMMYFUNCTION("""COMPUTED_VALUE"""),"")</f>
        <v/>
      </c>
      <c r="Q2442" s="136" t="str">
        <f>IFERROR(__xludf.DUMMYFUNCTION("""COMPUTED_VALUE"""),"")</f>
        <v/>
      </c>
      <c r="R2442" s="106" t="str">
        <f>IFERROR(__xludf.DUMMYFUNCTION("""COMPUTED_VALUE"""),"")</f>
        <v/>
      </c>
      <c r="S2442" s="106" t="str">
        <f>IFERROR(__xludf.DUMMYFUNCTION("""COMPUTED_VALUE"""),"")</f>
        <v/>
      </c>
      <c r="T2442" s="139" t="str">
        <f>IFERROR(__xludf.DUMMYFUNCTION("""COMPUTED_VALUE"""),"")</f>
        <v/>
      </c>
      <c r="U2442" s="139" t="str">
        <f>IFERROR(__xludf.DUMMYFUNCTION("""COMPUTED_VALUE"""),"")</f>
        <v/>
      </c>
      <c r="V2442" s="136" t="str">
        <f>IFERROR(__xludf.DUMMYFUNCTION("""COMPUTED_VALUE"""),"")</f>
        <v/>
      </c>
      <c r="W2442" s="106" t="str">
        <f>IFERROR(__xludf.DUMMYFUNCTION("""COMPUTED_VALUE"""),"")</f>
        <v/>
      </c>
      <c r="X2442" s="143" t="str">
        <f t="shared" si="2"/>
        <v/>
      </c>
      <c r="Y2442" s="139" t="str">
        <f>IFERROR(__xludf.DUMMYFUNCTION("""COMPUTED_VALUE"""),"")</f>
        <v/>
      </c>
      <c r="Z2442" s="141" t="str">
        <f>IFERROR(__xludf.DUMMYFUNCTION("""COMPUTED_VALUE"""),"")</f>
        <v/>
      </c>
    </row>
    <row r="2443">
      <c r="D2443" s="136" t="str">
        <f t="shared" si="3"/>
        <v/>
      </c>
      <c r="E2443" s="152"/>
      <c r="F2443" s="106" t="s">
        <v>133</v>
      </c>
      <c r="G2443" s="152"/>
      <c r="H2443" s="106" t="s">
        <v>133</v>
      </c>
      <c r="J2443" s="139" t="s">
        <v>133</v>
      </c>
      <c r="K2443" s="136" t="s">
        <v>133</v>
      </c>
      <c r="L2443" s="153"/>
      <c r="M2443" s="136" t="str">
        <f t="shared" si="1"/>
        <v/>
      </c>
      <c r="O2443" s="141" t="s">
        <v>133</v>
      </c>
      <c r="P2443" s="136" t="str">
        <f>IFERROR(__xludf.DUMMYFUNCTION("""COMPUTED_VALUE"""),"")</f>
        <v/>
      </c>
      <c r="Q2443" s="136" t="str">
        <f>IFERROR(__xludf.DUMMYFUNCTION("""COMPUTED_VALUE"""),"")</f>
        <v/>
      </c>
      <c r="R2443" s="106" t="str">
        <f>IFERROR(__xludf.DUMMYFUNCTION("""COMPUTED_VALUE"""),"")</f>
        <v/>
      </c>
      <c r="S2443" s="106" t="str">
        <f>IFERROR(__xludf.DUMMYFUNCTION("""COMPUTED_VALUE"""),"")</f>
        <v/>
      </c>
      <c r="T2443" s="139" t="str">
        <f>IFERROR(__xludf.DUMMYFUNCTION("""COMPUTED_VALUE"""),"")</f>
        <v/>
      </c>
      <c r="U2443" s="139" t="str">
        <f>IFERROR(__xludf.DUMMYFUNCTION("""COMPUTED_VALUE"""),"")</f>
        <v/>
      </c>
      <c r="V2443" s="136" t="str">
        <f>IFERROR(__xludf.DUMMYFUNCTION("""COMPUTED_VALUE"""),"")</f>
        <v/>
      </c>
      <c r="W2443" s="106" t="str">
        <f>IFERROR(__xludf.DUMMYFUNCTION("""COMPUTED_VALUE"""),"")</f>
        <v/>
      </c>
      <c r="X2443" s="143" t="str">
        <f t="shared" si="2"/>
        <v/>
      </c>
      <c r="Y2443" s="139" t="str">
        <f>IFERROR(__xludf.DUMMYFUNCTION("""COMPUTED_VALUE"""),"")</f>
        <v/>
      </c>
      <c r="Z2443" s="141" t="str">
        <f>IFERROR(__xludf.DUMMYFUNCTION("""COMPUTED_VALUE"""),"")</f>
        <v/>
      </c>
    </row>
    <row r="2444">
      <c r="D2444" s="136" t="str">
        <f t="shared" si="3"/>
        <v/>
      </c>
      <c r="E2444" s="152"/>
      <c r="F2444" s="106" t="s">
        <v>133</v>
      </c>
      <c r="G2444" s="152"/>
      <c r="H2444" s="106" t="s">
        <v>133</v>
      </c>
      <c r="J2444" s="139" t="s">
        <v>133</v>
      </c>
      <c r="K2444" s="136" t="s">
        <v>133</v>
      </c>
      <c r="L2444" s="153"/>
      <c r="M2444" s="136" t="str">
        <f t="shared" si="1"/>
        <v/>
      </c>
      <c r="O2444" s="141" t="s">
        <v>133</v>
      </c>
      <c r="P2444" s="136" t="str">
        <f>IFERROR(__xludf.DUMMYFUNCTION("""COMPUTED_VALUE"""),"")</f>
        <v/>
      </c>
      <c r="Q2444" s="136" t="str">
        <f>IFERROR(__xludf.DUMMYFUNCTION("""COMPUTED_VALUE"""),"")</f>
        <v/>
      </c>
      <c r="R2444" s="106" t="str">
        <f>IFERROR(__xludf.DUMMYFUNCTION("""COMPUTED_VALUE"""),"")</f>
        <v/>
      </c>
      <c r="S2444" s="106" t="str">
        <f>IFERROR(__xludf.DUMMYFUNCTION("""COMPUTED_VALUE"""),"")</f>
        <v/>
      </c>
      <c r="T2444" s="139" t="str">
        <f>IFERROR(__xludf.DUMMYFUNCTION("""COMPUTED_VALUE"""),"")</f>
        <v/>
      </c>
      <c r="U2444" s="139" t="str">
        <f>IFERROR(__xludf.DUMMYFUNCTION("""COMPUTED_VALUE"""),"")</f>
        <v/>
      </c>
      <c r="V2444" s="136" t="str">
        <f>IFERROR(__xludf.DUMMYFUNCTION("""COMPUTED_VALUE"""),"")</f>
        <v/>
      </c>
      <c r="W2444" s="106" t="str">
        <f>IFERROR(__xludf.DUMMYFUNCTION("""COMPUTED_VALUE"""),"")</f>
        <v/>
      </c>
      <c r="X2444" s="143" t="str">
        <f t="shared" si="2"/>
        <v/>
      </c>
      <c r="Y2444" s="139" t="str">
        <f>IFERROR(__xludf.DUMMYFUNCTION("""COMPUTED_VALUE"""),"")</f>
        <v/>
      </c>
      <c r="Z2444" s="141" t="str">
        <f>IFERROR(__xludf.DUMMYFUNCTION("""COMPUTED_VALUE"""),"")</f>
        <v/>
      </c>
    </row>
    <row r="2445">
      <c r="D2445" s="136" t="str">
        <f t="shared" si="3"/>
        <v/>
      </c>
      <c r="E2445" s="152"/>
      <c r="F2445" s="106" t="s">
        <v>133</v>
      </c>
      <c r="G2445" s="152"/>
      <c r="H2445" s="106" t="s">
        <v>133</v>
      </c>
      <c r="J2445" s="139" t="s">
        <v>133</v>
      </c>
      <c r="K2445" s="136" t="s">
        <v>133</v>
      </c>
      <c r="L2445" s="153"/>
      <c r="M2445" s="136" t="str">
        <f t="shared" si="1"/>
        <v/>
      </c>
      <c r="O2445" s="141" t="s">
        <v>133</v>
      </c>
      <c r="P2445" s="136" t="str">
        <f>IFERROR(__xludf.DUMMYFUNCTION("""COMPUTED_VALUE"""),"")</f>
        <v/>
      </c>
      <c r="Q2445" s="136" t="str">
        <f>IFERROR(__xludf.DUMMYFUNCTION("""COMPUTED_VALUE"""),"")</f>
        <v/>
      </c>
      <c r="R2445" s="106" t="str">
        <f>IFERROR(__xludf.DUMMYFUNCTION("""COMPUTED_VALUE"""),"")</f>
        <v/>
      </c>
      <c r="S2445" s="106" t="str">
        <f>IFERROR(__xludf.DUMMYFUNCTION("""COMPUTED_VALUE"""),"")</f>
        <v/>
      </c>
      <c r="T2445" s="139" t="str">
        <f>IFERROR(__xludf.DUMMYFUNCTION("""COMPUTED_VALUE"""),"")</f>
        <v/>
      </c>
      <c r="U2445" s="139" t="str">
        <f>IFERROR(__xludf.DUMMYFUNCTION("""COMPUTED_VALUE"""),"")</f>
        <v/>
      </c>
      <c r="V2445" s="136" t="str">
        <f>IFERROR(__xludf.DUMMYFUNCTION("""COMPUTED_VALUE"""),"")</f>
        <v/>
      </c>
      <c r="W2445" s="106" t="str">
        <f>IFERROR(__xludf.DUMMYFUNCTION("""COMPUTED_VALUE"""),"")</f>
        <v/>
      </c>
      <c r="X2445" s="143" t="str">
        <f t="shared" si="2"/>
        <v/>
      </c>
      <c r="Y2445" s="139" t="str">
        <f>IFERROR(__xludf.DUMMYFUNCTION("""COMPUTED_VALUE"""),"")</f>
        <v/>
      </c>
      <c r="Z2445" s="141" t="str">
        <f>IFERROR(__xludf.DUMMYFUNCTION("""COMPUTED_VALUE"""),"")</f>
        <v/>
      </c>
    </row>
    <row r="2446">
      <c r="D2446" s="136" t="str">
        <f t="shared" si="3"/>
        <v/>
      </c>
      <c r="E2446" s="152"/>
      <c r="F2446" s="106" t="s">
        <v>133</v>
      </c>
      <c r="G2446" s="152"/>
      <c r="H2446" s="106" t="s">
        <v>133</v>
      </c>
      <c r="J2446" s="139" t="s">
        <v>133</v>
      </c>
      <c r="K2446" s="136" t="s">
        <v>133</v>
      </c>
      <c r="L2446" s="153"/>
      <c r="M2446" s="136" t="str">
        <f t="shared" si="1"/>
        <v/>
      </c>
      <c r="O2446" s="141" t="s">
        <v>133</v>
      </c>
      <c r="P2446" s="136" t="str">
        <f>IFERROR(__xludf.DUMMYFUNCTION("""COMPUTED_VALUE"""),"")</f>
        <v/>
      </c>
      <c r="Q2446" s="136" t="str">
        <f>IFERROR(__xludf.DUMMYFUNCTION("""COMPUTED_VALUE"""),"")</f>
        <v/>
      </c>
      <c r="R2446" s="106" t="str">
        <f>IFERROR(__xludf.DUMMYFUNCTION("""COMPUTED_VALUE"""),"")</f>
        <v/>
      </c>
      <c r="S2446" s="106" t="str">
        <f>IFERROR(__xludf.DUMMYFUNCTION("""COMPUTED_VALUE"""),"")</f>
        <v/>
      </c>
      <c r="T2446" s="139" t="str">
        <f>IFERROR(__xludf.DUMMYFUNCTION("""COMPUTED_VALUE"""),"")</f>
        <v/>
      </c>
      <c r="U2446" s="139" t="str">
        <f>IFERROR(__xludf.DUMMYFUNCTION("""COMPUTED_VALUE"""),"")</f>
        <v/>
      </c>
      <c r="V2446" s="136" t="str">
        <f>IFERROR(__xludf.DUMMYFUNCTION("""COMPUTED_VALUE"""),"")</f>
        <v/>
      </c>
      <c r="W2446" s="106" t="str">
        <f>IFERROR(__xludf.DUMMYFUNCTION("""COMPUTED_VALUE"""),"")</f>
        <v/>
      </c>
      <c r="X2446" s="143" t="str">
        <f t="shared" si="2"/>
        <v/>
      </c>
      <c r="Y2446" s="139" t="str">
        <f>IFERROR(__xludf.DUMMYFUNCTION("""COMPUTED_VALUE"""),"")</f>
        <v/>
      </c>
      <c r="Z2446" s="141" t="str">
        <f>IFERROR(__xludf.DUMMYFUNCTION("""COMPUTED_VALUE"""),"")</f>
        <v/>
      </c>
    </row>
    <row r="2447">
      <c r="D2447" s="136" t="str">
        <f t="shared" si="3"/>
        <v/>
      </c>
      <c r="E2447" s="152"/>
      <c r="F2447" s="106" t="s">
        <v>133</v>
      </c>
      <c r="G2447" s="152"/>
      <c r="H2447" s="106" t="s">
        <v>133</v>
      </c>
      <c r="J2447" s="139" t="s">
        <v>133</v>
      </c>
      <c r="K2447" s="136" t="s">
        <v>133</v>
      </c>
      <c r="L2447" s="153"/>
      <c r="M2447" s="136" t="str">
        <f t="shared" si="1"/>
        <v/>
      </c>
      <c r="O2447" s="141" t="s">
        <v>133</v>
      </c>
      <c r="P2447" s="136" t="str">
        <f>IFERROR(__xludf.DUMMYFUNCTION("""COMPUTED_VALUE"""),"")</f>
        <v/>
      </c>
      <c r="Q2447" s="136" t="str">
        <f>IFERROR(__xludf.DUMMYFUNCTION("""COMPUTED_VALUE"""),"")</f>
        <v/>
      </c>
      <c r="R2447" s="106" t="str">
        <f>IFERROR(__xludf.DUMMYFUNCTION("""COMPUTED_VALUE"""),"")</f>
        <v/>
      </c>
      <c r="S2447" s="106" t="str">
        <f>IFERROR(__xludf.DUMMYFUNCTION("""COMPUTED_VALUE"""),"")</f>
        <v/>
      </c>
      <c r="T2447" s="139" t="str">
        <f>IFERROR(__xludf.DUMMYFUNCTION("""COMPUTED_VALUE"""),"")</f>
        <v/>
      </c>
      <c r="U2447" s="139" t="str">
        <f>IFERROR(__xludf.DUMMYFUNCTION("""COMPUTED_VALUE"""),"")</f>
        <v/>
      </c>
      <c r="V2447" s="136" t="str">
        <f>IFERROR(__xludf.DUMMYFUNCTION("""COMPUTED_VALUE"""),"")</f>
        <v/>
      </c>
      <c r="W2447" s="106" t="str">
        <f>IFERROR(__xludf.DUMMYFUNCTION("""COMPUTED_VALUE"""),"")</f>
        <v/>
      </c>
      <c r="X2447" s="143" t="str">
        <f t="shared" si="2"/>
        <v/>
      </c>
      <c r="Y2447" s="139" t="str">
        <f>IFERROR(__xludf.DUMMYFUNCTION("""COMPUTED_VALUE"""),"")</f>
        <v/>
      </c>
      <c r="Z2447" s="141" t="str">
        <f>IFERROR(__xludf.DUMMYFUNCTION("""COMPUTED_VALUE"""),"")</f>
        <v/>
      </c>
    </row>
    <row r="2448">
      <c r="D2448" s="136" t="str">
        <f t="shared" si="3"/>
        <v/>
      </c>
      <c r="E2448" s="152"/>
      <c r="F2448" s="106" t="s">
        <v>133</v>
      </c>
      <c r="G2448" s="152"/>
      <c r="H2448" s="106" t="s">
        <v>133</v>
      </c>
      <c r="J2448" s="139" t="s">
        <v>133</v>
      </c>
      <c r="K2448" s="136" t="s">
        <v>133</v>
      </c>
      <c r="L2448" s="153"/>
      <c r="M2448" s="136" t="str">
        <f t="shared" si="1"/>
        <v/>
      </c>
      <c r="O2448" s="141" t="s">
        <v>133</v>
      </c>
      <c r="P2448" s="136" t="str">
        <f>IFERROR(__xludf.DUMMYFUNCTION("""COMPUTED_VALUE"""),"")</f>
        <v/>
      </c>
      <c r="Q2448" s="136" t="str">
        <f>IFERROR(__xludf.DUMMYFUNCTION("""COMPUTED_VALUE"""),"")</f>
        <v/>
      </c>
      <c r="R2448" s="106" t="str">
        <f>IFERROR(__xludf.DUMMYFUNCTION("""COMPUTED_VALUE"""),"")</f>
        <v/>
      </c>
      <c r="S2448" s="106" t="str">
        <f>IFERROR(__xludf.DUMMYFUNCTION("""COMPUTED_VALUE"""),"")</f>
        <v/>
      </c>
      <c r="T2448" s="139" t="str">
        <f>IFERROR(__xludf.DUMMYFUNCTION("""COMPUTED_VALUE"""),"")</f>
        <v/>
      </c>
      <c r="U2448" s="139" t="str">
        <f>IFERROR(__xludf.DUMMYFUNCTION("""COMPUTED_VALUE"""),"")</f>
        <v/>
      </c>
      <c r="V2448" s="136" t="str">
        <f>IFERROR(__xludf.DUMMYFUNCTION("""COMPUTED_VALUE"""),"")</f>
        <v/>
      </c>
      <c r="W2448" s="106" t="str">
        <f>IFERROR(__xludf.DUMMYFUNCTION("""COMPUTED_VALUE"""),"")</f>
        <v/>
      </c>
      <c r="X2448" s="143" t="str">
        <f t="shared" si="2"/>
        <v/>
      </c>
      <c r="Y2448" s="139" t="str">
        <f>IFERROR(__xludf.DUMMYFUNCTION("""COMPUTED_VALUE"""),"")</f>
        <v/>
      </c>
      <c r="Z2448" s="141" t="str">
        <f>IFERROR(__xludf.DUMMYFUNCTION("""COMPUTED_VALUE"""),"")</f>
        <v/>
      </c>
    </row>
    <row r="2449">
      <c r="D2449" s="136" t="str">
        <f t="shared" si="3"/>
        <v/>
      </c>
      <c r="E2449" s="152"/>
      <c r="F2449" s="106" t="s">
        <v>133</v>
      </c>
      <c r="G2449" s="152"/>
      <c r="H2449" s="106" t="s">
        <v>133</v>
      </c>
      <c r="J2449" s="139" t="s">
        <v>133</v>
      </c>
      <c r="K2449" s="136" t="s">
        <v>133</v>
      </c>
      <c r="L2449" s="153"/>
      <c r="M2449" s="136" t="str">
        <f t="shared" si="1"/>
        <v/>
      </c>
      <c r="O2449" s="141" t="s">
        <v>133</v>
      </c>
      <c r="P2449" s="136" t="str">
        <f>IFERROR(__xludf.DUMMYFUNCTION("""COMPUTED_VALUE"""),"")</f>
        <v/>
      </c>
      <c r="Q2449" s="136" t="str">
        <f>IFERROR(__xludf.DUMMYFUNCTION("""COMPUTED_VALUE"""),"")</f>
        <v/>
      </c>
      <c r="R2449" s="106" t="str">
        <f>IFERROR(__xludf.DUMMYFUNCTION("""COMPUTED_VALUE"""),"")</f>
        <v/>
      </c>
      <c r="S2449" s="106" t="str">
        <f>IFERROR(__xludf.DUMMYFUNCTION("""COMPUTED_VALUE"""),"")</f>
        <v/>
      </c>
      <c r="T2449" s="139" t="str">
        <f>IFERROR(__xludf.DUMMYFUNCTION("""COMPUTED_VALUE"""),"")</f>
        <v/>
      </c>
      <c r="U2449" s="139" t="str">
        <f>IFERROR(__xludf.DUMMYFUNCTION("""COMPUTED_VALUE"""),"")</f>
        <v/>
      </c>
      <c r="V2449" s="136" t="str">
        <f>IFERROR(__xludf.DUMMYFUNCTION("""COMPUTED_VALUE"""),"")</f>
        <v/>
      </c>
      <c r="W2449" s="106" t="str">
        <f>IFERROR(__xludf.DUMMYFUNCTION("""COMPUTED_VALUE"""),"")</f>
        <v/>
      </c>
      <c r="X2449" s="143" t="str">
        <f t="shared" si="2"/>
        <v/>
      </c>
      <c r="Y2449" s="139" t="str">
        <f>IFERROR(__xludf.DUMMYFUNCTION("""COMPUTED_VALUE"""),"")</f>
        <v/>
      </c>
      <c r="Z2449" s="141" t="str">
        <f>IFERROR(__xludf.DUMMYFUNCTION("""COMPUTED_VALUE"""),"")</f>
        <v/>
      </c>
    </row>
    <row r="2450">
      <c r="D2450" s="136" t="str">
        <f t="shared" si="3"/>
        <v/>
      </c>
      <c r="E2450" s="152"/>
      <c r="F2450" s="106" t="s">
        <v>133</v>
      </c>
      <c r="G2450" s="152"/>
      <c r="H2450" s="106" t="s">
        <v>133</v>
      </c>
      <c r="J2450" s="139" t="s">
        <v>133</v>
      </c>
      <c r="K2450" s="136" t="s">
        <v>133</v>
      </c>
      <c r="L2450" s="153"/>
      <c r="M2450" s="136" t="str">
        <f t="shared" si="1"/>
        <v/>
      </c>
      <c r="O2450" s="141" t="s">
        <v>133</v>
      </c>
      <c r="P2450" s="136" t="str">
        <f>IFERROR(__xludf.DUMMYFUNCTION("""COMPUTED_VALUE"""),"")</f>
        <v/>
      </c>
      <c r="Q2450" s="136" t="str">
        <f>IFERROR(__xludf.DUMMYFUNCTION("""COMPUTED_VALUE"""),"")</f>
        <v/>
      </c>
      <c r="R2450" s="106" t="str">
        <f>IFERROR(__xludf.DUMMYFUNCTION("""COMPUTED_VALUE"""),"")</f>
        <v/>
      </c>
      <c r="S2450" s="106" t="str">
        <f>IFERROR(__xludf.DUMMYFUNCTION("""COMPUTED_VALUE"""),"")</f>
        <v/>
      </c>
      <c r="T2450" s="139" t="str">
        <f>IFERROR(__xludf.DUMMYFUNCTION("""COMPUTED_VALUE"""),"")</f>
        <v/>
      </c>
      <c r="U2450" s="139" t="str">
        <f>IFERROR(__xludf.DUMMYFUNCTION("""COMPUTED_VALUE"""),"")</f>
        <v/>
      </c>
      <c r="V2450" s="136" t="str">
        <f>IFERROR(__xludf.DUMMYFUNCTION("""COMPUTED_VALUE"""),"")</f>
        <v/>
      </c>
      <c r="W2450" s="106" t="str">
        <f>IFERROR(__xludf.DUMMYFUNCTION("""COMPUTED_VALUE"""),"")</f>
        <v/>
      </c>
      <c r="X2450" s="143" t="str">
        <f t="shared" si="2"/>
        <v/>
      </c>
      <c r="Y2450" s="139" t="str">
        <f>IFERROR(__xludf.DUMMYFUNCTION("""COMPUTED_VALUE"""),"")</f>
        <v/>
      </c>
      <c r="Z2450" s="141" t="str">
        <f>IFERROR(__xludf.DUMMYFUNCTION("""COMPUTED_VALUE"""),"")</f>
        <v/>
      </c>
    </row>
    <row r="2451">
      <c r="D2451" s="136" t="str">
        <f t="shared" si="3"/>
        <v/>
      </c>
      <c r="E2451" s="152"/>
      <c r="F2451" s="106" t="s">
        <v>133</v>
      </c>
      <c r="G2451" s="152"/>
      <c r="H2451" s="106" t="s">
        <v>133</v>
      </c>
      <c r="J2451" s="139" t="s">
        <v>133</v>
      </c>
      <c r="K2451" s="136" t="s">
        <v>133</v>
      </c>
      <c r="L2451" s="153"/>
      <c r="M2451" s="136" t="str">
        <f t="shared" si="1"/>
        <v/>
      </c>
      <c r="O2451" s="141" t="s">
        <v>133</v>
      </c>
      <c r="P2451" s="136" t="str">
        <f>IFERROR(__xludf.DUMMYFUNCTION("""COMPUTED_VALUE"""),"")</f>
        <v/>
      </c>
      <c r="Q2451" s="136" t="str">
        <f>IFERROR(__xludf.DUMMYFUNCTION("""COMPUTED_VALUE"""),"")</f>
        <v/>
      </c>
      <c r="R2451" s="106" t="str">
        <f>IFERROR(__xludf.DUMMYFUNCTION("""COMPUTED_VALUE"""),"")</f>
        <v/>
      </c>
      <c r="S2451" s="106" t="str">
        <f>IFERROR(__xludf.DUMMYFUNCTION("""COMPUTED_VALUE"""),"")</f>
        <v/>
      </c>
      <c r="T2451" s="139" t="str">
        <f>IFERROR(__xludf.DUMMYFUNCTION("""COMPUTED_VALUE"""),"")</f>
        <v/>
      </c>
      <c r="U2451" s="139" t="str">
        <f>IFERROR(__xludf.DUMMYFUNCTION("""COMPUTED_VALUE"""),"")</f>
        <v/>
      </c>
      <c r="V2451" s="136" t="str">
        <f>IFERROR(__xludf.DUMMYFUNCTION("""COMPUTED_VALUE"""),"")</f>
        <v/>
      </c>
      <c r="W2451" s="106" t="str">
        <f>IFERROR(__xludf.DUMMYFUNCTION("""COMPUTED_VALUE"""),"")</f>
        <v/>
      </c>
      <c r="X2451" s="143" t="str">
        <f t="shared" si="2"/>
        <v/>
      </c>
      <c r="Y2451" s="139" t="str">
        <f>IFERROR(__xludf.DUMMYFUNCTION("""COMPUTED_VALUE"""),"")</f>
        <v/>
      </c>
      <c r="Z2451" s="141" t="str">
        <f>IFERROR(__xludf.DUMMYFUNCTION("""COMPUTED_VALUE"""),"")</f>
        <v/>
      </c>
    </row>
    <row r="2452">
      <c r="D2452" s="136" t="str">
        <f t="shared" si="3"/>
        <v/>
      </c>
      <c r="E2452" s="152"/>
      <c r="F2452" s="106" t="s">
        <v>133</v>
      </c>
      <c r="G2452" s="152"/>
      <c r="H2452" s="106" t="s">
        <v>133</v>
      </c>
      <c r="J2452" s="139" t="s">
        <v>133</v>
      </c>
      <c r="K2452" s="136" t="s">
        <v>133</v>
      </c>
      <c r="L2452" s="153"/>
      <c r="M2452" s="136" t="str">
        <f t="shared" si="1"/>
        <v/>
      </c>
      <c r="O2452" s="141" t="s">
        <v>133</v>
      </c>
      <c r="P2452" s="136" t="str">
        <f>IFERROR(__xludf.DUMMYFUNCTION("""COMPUTED_VALUE"""),"")</f>
        <v/>
      </c>
      <c r="Q2452" s="136" t="str">
        <f>IFERROR(__xludf.DUMMYFUNCTION("""COMPUTED_VALUE"""),"")</f>
        <v/>
      </c>
      <c r="R2452" s="106" t="str">
        <f>IFERROR(__xludf.DUMMYFUNCTION("""COMPUTED_VALUE"""),"")</f>
        <v/>
      </c>
      <c r="S2452" s="106" t="str">
        <f>IFERROR(__xludf.DUMMYFUNCTION("""COMPUTED_VALUE"""),"")</f>
        <v/>
      </c>
      <c r="T2452" s="139" t="str">
        <f>IFERROR(__xludf.DUMMYFUNCTION("""COMPUTED_VALUE"""),"")</f>
        <v/>
      </c>
      <c r="U2452" s="139" t="str">
        <f>IFERROR(__xludf.DUMMYFUNCTION("""COMPUTED_VALUE"""),"")</f>
        <v/>
      </c>
      <c r="V2452" s="136" t="str">
        <f>IFERROR(__xludf.DUMMYFUNCTION("""COMPUTED_VALUE"""),"")</f>
        <v/>
      </c>
      <c r="W2452" s="106" t="str">
        <f>IFERROR(__xludf.DUMMYFUNCTION("""COMPUTED_VALUE"""),"")</f>
        <v/>
      </c>
      <c r="X2452" s="143" t="str">
        <f t="shared" si="2"/>
        <v/>
      </c>
      <c r="Y2452" s="139" t="str">
        <f>IFERROR(__xludf.DUMMYFUNCTION("""COMPUTED_VALUE"""),"")</f>
        <v/>
      </c>
      <c r="Z2452" s="141" t="str">
        <f>IFERROR(__xludf.DUMMYFUNCTION("""COMPUTED_VALUE"""),"")</f>
        <v/>
      </c>
    </row>
    <row r="2453">
      <c r="D2453" s="136" t="str">
        <f t="shared" si="3"/>
        <v/>
      </c>
      <c r="E2453" s="152"/>
      <c r="F2453" s="106" t="s">
        <v>133</v>
      </c>
      <c r="G2453" s="152"/>
      <c r="H2453" s="106" t="s">
        <v>133</v>
      </c>
      <c r="J2453" s="139" t="s">
        <v>133</v>
      </c>
      <c r="K2453" s="136" t="s">
        <v>133</v>
      </c>
      <c r="L2453" s="153"/>
      <c r="M2453" s="136" t="str">
        <f t="shared" si="1"/>
        <v/>
      </c>
      <c r="O2453" s="141" t="s">
        <v>133</v>
      </c>
      <c r="P2453" s="136" t="str">
        <f>IFERROR(__xludf.DUMMYFUNCTION("""COMPUTED_VALUE"""),"")</f>
        <v/>
      </c>
      <c r="Q2453" s="136" t="str">
        <f>IFERROR(__xludf.DUMMYFUNCTION("""COMPUTED_VALUE"""),"")</f>
        <v/>
      </c>
      <c r="R2453" s="106" t="str">
        <f>IFERROR(__xludf.DUMMYFUNCTION("""COMPUTED_VALUE"""),"")</f>
        <v/>
      </c>
      <c r="S2453" s="106" t="str">
        <f>IFERROR(__xludf.DUMMYFUNCTION("""COMPUTED_VALUE"""),"")</f>
        <v/>
      </c>
      <c r="T2453" s="139" t="str">
        <f>IFERROR(__xludf.DUMMYFUNCTION("""COMPUTED_VALUE"""),"")</f>
        <v/>
      </c>
      <c r="U2453" s="139" t="str">
        <f>IFERROR(__xludf.DUMMYFUNCTION("""COMPUTED_VALUE"""),"")</f>
        <v/>
      </c>
      <c r="V2453" s="136" t="str">
        <f>IFERROR(__xludf.DUMMYFUNCTION("""COMPUTED_VALUE"""),"")</f>
        <v/>
      </c>
      <c r="W2453" s="106" t="str">
        <f>IFERROR(__xludf.DUMMYFUNCTION("""COMPUTED_VALUE"""),"")</f>
        <v/>
      </c>
      <c r="X2453" s="143" t="str">
        <f t="shared" si="2"/>
        <v/>
      </c>
      <c r="Y2453" s="139" t="str">
        <f>IFERROR(__xludf.DUMMYFUNCTION("""COMPUTED_VALUE"""),"")</f>
        <v/>
      </c>
      <c r="Z2453" s="141" t="str">
        <f>IFERROR(__xludf.DUMMYFUNCTION("""COMPUTED_VALUE"""),"")</f>
        <v/>
      </c>
    </row>
    <row r="2454">
      <c r="D2454" s="136" t="str">
        <f t="shared" si="3"/>
        <v/>
      </c>
      <c r="E2454" s="152"/>
      <c r="F2454" s="106" t="s">
        <v>133</v>
      </c>
      <c r="G2454" s="152"/>
      <c r="H2454" s="106" t="s">
        <v>133</v>
      </c>
      <c r="J2454" s="139" t="s">
        <v>133</v>
      </c>
      <c r="K2454" s="136" t="s">
        <v>133</v>
      </c>
      <c r="L2454" s="153"/>
      <c r="M2454" s="136" t="str">
        <f t="shared" si="1"/>
        <v/>
      </c>
      <c r="O2454" s="141" t="s">
        <v>133</v>
      </c>
      <c r="P2454" s="136" t="str">
        <f>IFERROR(__xludf.DUMMYFUNCTION("""COMPUTED_VALUE"""),"")</f>
        <v/>
      </c>
      <c r="Q2454" s="136" t="str">
        <f>IFERROR(__xludf.DUMMYFUNCTION("""COMPUTED_VALUE"""),"")</f>
        <v/>
      </c>
      <c r="R2454" s="106" t="str">
        <f>IFERROR(__xludf.DUMMYFUNCTION("""COMPUTED_VALUE"""),"")</f>
        <v/>
      </c>
      <c r="S2454" s="106" t="str">
        <f>IFERROR(__xludf.DUMMYFUNCTION("""COMPUTED_VALUE"""),"")</f>
        <v/>
      </c>
      <c r="T2454" s="139" t="str">
        <f>IFERROR(__xludf.DUMMYFUNCTION("""COMPUTED_VALUE"""),"")</f>
        <v/>
      </c>
      <c r="U2454" s="139" t="str">
        <f>IFERROR(__xludf.DUMMYFUNCTION("""COMPUTED_VALUE"""),"")</f>
        <v/>
      </c>
      <c r="V2454" s="136" t="str">
        <f>IFERROR(__xludf.DUMMYFUNCTION("""COMPUTED_VALUE"""),"")</f>
        <v/>
      </c>
      <c r="W2454" s="106" t="str">
        <f>IFERROR(__xludf.DUMMYFUNCTION("""COMPUTED_VALUE"""),"")</f>
        <v/>
      </c>
      <c r="X2454" s="143" t="str">
        <f t="shared" si="2"/>
        <v/>
      </c>
      <c r="Y2454" s="139" t="str">
        <f>IFERROR(__xludf.DUMMYFUNCTION("""COMPUTED_VALUE"""),"")</f>
        <v/>
      </c>
      <c r="Z2454" s="141" t="str">
        <f>IFERROR(__xludf.DUMMYFUNCTION("""COMPUTED_VALUE"""),"")</f>
        <v/>
      </c>
    </row>
    <row r="2455">
      <c r="D2455" s="136" t="str">
        <f t="shared" si="3"/>
        <v/>
      </c>
      <c r="E2455" s="152"/>
      <c r="F2455" s="106" t="s">
        <v>133</v>
      </c>
      <c r="G2455" s="152"/>
      <c r="H2455" s="106" t="s">
        <v>133</v>
      </c>
      <c r="J2455" s="139" t="s">
        <v>133</v>
      </c>
      <c r="K2455" s="136" t="s">
        <v>133</v>
      </c>
      <c r="L2455" s="153"/>
      <c r="M2455" s="136" t="str">
        <f t="shared" si="1"/>
        <v/>
      </c>
      <c r="O2455" s="141" t="s">
        <v>133</v>
      </c>
      <c r="P2455" s="136" t="str">
        <f>IFERROR(__xludf.DUMMYFUNCTION("""COMPUTED_VALUE"""),"")</f>
        <v/>
      </c>
      <c r="Q2455" s="136" t="str">
        <f>IFERROR(__xludf.DUMMYFUNCTION("""COMPUTED_VALUE"""),"")</f>
        <v/>
      </c>
      <c r="R2455" s="106" t="str">
        <f>IFERROR(__xludf.DUMMYFUNCTION("""COMPUTED_VALUE"""),"")</f>
        <v/>
      </c>
      <c r="S2455" s="106" t="str">
        <f>IFERROR(__xludf.DUMMYFUNCTION("""COMPUTED_VALUE"""),"")</f>
        <v/>
      </c>
      <c r="T2455" s="139" t="str">
        <f>IFERROR(__xludf.DUMMYFUNCTION("""COMPUTED_VALUE"""),"")</f>
        <v/>
      </c>
      <c r="U2455" s="139" t="str">
        <f>IFERROR(__xludf.DUMMYFUNCTION("""COMPUTED_VALUE"""),"")</f>
        <v/>
      </c>
      <c r="V2455" s="136" t="str">
        <f>IFERROR(__xludf.DUMMYFUNCTION("""COMPUTED_VALUE"""),"")</f>
        <v/>
      </c>
      <c r="W2455" s="106" t="str">
        <f>IFERROR(__xludf.DUMMYFUNCTION("""COMPUTED_VALUE"""),"")</f>
        <v/>
      </c>
      <c r="X2455" s="143" t="str">
        <f t="shared" si="2"/>
        <v/>
      </c>
      <c r="Y2455" s="139" t="str">
        <f>IFERROR(__xludf.DUMMYFUNCTION("""COMPUTED_VALUE"""),"")</f>
        <v/>
      </c>
      <c r="Z2455" s="141" t="str">
        <f>IFERROR(__xludf.DUMMYFUNCTION("""COMPUTED_VALUE"""),"")</f>
        <v/>
      </c>
    </row>
    <row r="2456">
      <c r="D2456" s="136" t="str">
        <f t="shared" si="3"/>
        <v/>
      </c>
      <c r="E2456" s="152"/>
      <c r="F2456" s="106" t="s">
        <v>133</v>
      </c>
      <c r="G2456" s="152"/>
      <c r="H2456" s="106" t="s">
        <v>133</v>
      </c>
      <c r="J2456" s="139" t="s">
        <v>133</v>
      </c>
      <c r="K2456" s="136" t="s">
        <v>133</v>
      </c>
      <c r="L2456" s="153"/>
      <c r="M2456" s="136" t="str">
        <f t="shared" si="1"/>
        <v/>
      </c>
      <c r="O2456" s="141" t="s">
        <v>133</v>
      </c>
      <c r="P2456" s="136" t="str">
        <f>IFERROR(__xludf.DUMMYFUNCTION("""COMPUTED_VALUE"""),"")</f>
        <v/>
      </c>
      <c r="Q2456" s="136" t="str">
        <f>IFERROR(__xludf.DUMMYFUNCTION("""COMPUTED_VALUE"""),"")</f>
        <v/>
      </c>
      <c r="R2456" s="106" t="str">
        <f>IFERROR(__xludf.DUMMYFUNCTION("""COMPUTED_VALUE"""),"")</f>
        <v/>
      </c>
      <c r="S2456" s="106" t="str">
        <f>IFERROR(__xludf.DUMMYFUNCTION("""COMPUTED_VALUE"""),"")</f>
        <v/>
      </c>
      <c r="T2456" s="139" t="str">
        <f>IFERROR(__xludf.DUMMYFUNCTION("""COMPUTED_VALUE"""),"")</f>
        <v/>
      </c>
      <c r="U2456" s="139" t="str">
        <f>IFERROR(__xludf.DUMMYFUNCTION("""COMPUTED_VALUE"""),"")</f>
        <v/>
      </c>
      <c r="V2456" s="136" t="str">
        <f>IFERROR(__xludf.DUMMYFUNCTION("""COMPUTED_VALUE"""),"")</f>
        <v/>
      </c>
      <c r="W2456" s="106" t="str">
        <f>IFERROR(__xludf.DUMMYFUNCTION("""COMPUTED_VALUE"""),"")</f>
        <v/>
      </c>
      <c r="X2456" s="143" t="str">
        <f t="shared" si="2"/>
        <v/>
      </c>
      <c r="Y2456" s="139" t="str">
        <f>IFERROR(__xludf.DUMMYFUNCTION("""COMPUTED_VALUE"""),"")</f>
        <v/>
      </c>
      <c r="Z2456" s="141" t="str">
        <f>IFERROR(__xludf.DUMMYFUNCTION("""COMPUTED_VALUE"""),"")</f>
        <v/>
      </c>
    </row>
    <row r="2457">
      <c r="D2457" s="136" t="str">
        <f t="shared" si="3"/>
        <v/>
      </c>
      <c r="E2457" s="152"/>
      <c r="F2457" s="106" t="s">
        <v>133</v>
      </c>
      <c r="G2457" s="152"/>
      <c r="H2457" s="106" t="s">
        <v>133</v>
      </c>
      <c r="J2457" s="139" t="s">
        <v>133</v>
      </c>
      <c r="K2457" s="136" t="s">
        <v>133</v>
      </c>
      <c r="L2457" s="153"/>
      <c r="M2457" s="136" t="str">
        <f t="shared" si="1"/>
        <v/>
      </c>
      <c r="O2457" s="141" t="s">
        <v>133</v>
      </c>
      <c r="P2457" s="136" t="str">
        <f>IFERROR(__xludf.DUMMYFUNCTION("""COMPUTED_VALUE"""),"")</f>
        <v/>
      </c>
      <c r="Q2457" s="136" t="str">
        <f>IFERROR(__xludf.DUMMYFUNCTION("""COMPUTED_VALUE"""),"")</f>
        <v/>
      </c>
      <c r="R2457" s="106" t="str">
        <f>IFERROR(__xludf.DUMMYFUNCTION("""COMPUTED_VALUE"""),"")</f>
        <v/>
      </c>
      <c r="S2457" s="106" t="str">
        <f>IFERROR(__xludf.DUMMYFUNCTION("""COMPUTED_VALUE"""),"")</f>
        <v/>
      </c>
      <c r="T2457" s="139" t="str">
        <f>IFERROR(__xludf.DUMMYFUNCTION("""COMPUTED_VALUE"""),"")</f>
        <v/>
      </c>
      <c r="U2457" s="139" t="str">
        <f>IFERROR(__xludf.DUMMYFUNCTION("""COMPUTED_VALUE"""),"")</f>
        <v/>
      </c>
      <c r="V2457" s="136" t="str">
        <f>IFERROR(__xludf.DUMMYFUNCTION("""COMPUTED_VALUE"""),"")</f>
        <v/>
      </c>
      <c r="W2457" s="106" t="str">
        <f>IFERROR(__xludf.DUMMYFUNCTION("""COMPUTED_VALUE"""),"")</f>
        <v/>
      </c>
      <c r="X2457" s="143" t="str">
        <f t="shared" si="2"/>
        <v/>
      </c>
      <c r="Y2457" s="139" t="str">
        <f>IFERROR(__xludf.DUMMYFUNCTION("""COMPUTED_VALUE"""),"")</f>
        <v/>
      </c>
      <c r="Z2457" s="141" t="str">
        <f>IFERROR(__xludf.DUMMYFUNCTION("""COMPUTED_VALUE"""),"")</f>
        <v/>
      </c>
    </row>
    <row r="2458">
      <c r="D2458" s="136" t="str">
        <f t="shared" si="3"/>
        <v/>
      </c>
      <c r="E2458" s="152"/>
      <c r="F2458" s="106" t="s">
        <v>133</v>
      </c>
      <c r="G2458" s="152"/>
      <c r="H2458" s="106" t="s">
        <v>133</v>
      </c>
      <c r="J2458" s="139" t="s">
        <v>133</v>
      </c>
      <c r="K2458" s="136" t="s">
        <v>133</v>
      </c>
      <c r="L2458" s="153"/>
      <c r="M2458" s="136" t="str">
        <f t="shared" si="1"/>
        <v/>
      </c>
      <c r="O2458" s="141" t="s">
        <v>133</v>
      </c>
      <c r="P2458" s="136" t="str">
        <f>IFERROR(__xludf.DUMMYFUNCTION("""COMPUTED_VALUE"""),"")</f>
        <v/>
      </c>
      <c r="Q2458" s="136" t="str">
        <f>IFERROR(__xludf.DUMMYFUNCTION("""COMPUTED_VALUE"""),"")</f>
        <v/>
      </c>
      <c r="R2458" s="106" t="str">
        <f>IFERROR(__xludf.DUMMYFUNCTION("""COMPUTED_VALUE"""),"")</f>
        <v/>
      </c>
      <c r="S2458" s="106" t="str">
        <f>IFERROR(__xludf.DUMMYFUNCTION("""COMPUTED_VALUE"""),"")</f>
        <v/>
      </c>
      <c r="T2458" s="139" t="str">
        <f>IFERROR(__xludf.DUMMYFUNCTION("""COMPUTED_VALUE"""),"")</f>
        <v/>
      </c>
      <c r="U2458" s="139" t="str">
        <f>IFERROR(__xludf.DUMMYFUNCTION("""COMPUTED_VALUE"""),"")</f>
        <v/>
      </c>
      <c r="V2458" s="136" t="str">
        <f>IFERROR(__xludf.DUMMYFUNCTION("""COMPUTED_VALUE"""),"")</f>
        <v/>
      </c>
      <c r="W2458" s="106" t="str">
        <f>IFERROR(__xludf.DUMMYFUNCTION("""COMPUTED_VALUE"""),"")</f>
        <v/>
      </c>
      <c r="X2458" s="143" t="str">
        <f t="shared" si="2"/>
        <v/>
      </c>
      <c r="Y2458" s="139" t="str">
        <f>IFERROR(__xludf.DUMMYFUNCTION("""COMPUTED_VALUE"""),"")</f>
        <v/>
      </c>
      <c r="Z2458" s="141" t="str">
        <f>IFERROR(__xludf.DUMMYFUNCTION("""COMPUTED_VALUE"""),"")</f>
        <v/>
      </c>
    </row>
    <row r="2459">
      <c r="D2459" s="136" t="str">
        <f t="shared" si="3"/>
        <v/>
      </c>
      <c r="E2459" s="152"/>
      <c r="F2459" s="106" t="s">
        <v>133</v>
      </c>
      <c r="G2459" s="152"/>
      <c r="H2459" s="106" t="s">
        <v>133</v>
      </c>
      <c r="J2459" s="139" t="s">
        <v>133</v>
      </c>
      <c r="K2459" s="136" t="s">
        <v>133</v>
      </c>
      <c r="L2459" s="153"/>
      <c r="M2459" s="136" t="str">
        <f t="shared" si="1"/>
        <v/>
      </c>
      <c r="O2459" s="141" t="s">
        <v>133</v>
      </c>
      <c r="P2459" s="136" t="str">
        <f>IFERROR(__xludf.DUMMYFUNCTION("""COMPUTED_VALUE"""),"")</f>
        <v/>
      </c>
      <c r="Q2459" s="136" t="str">
        <f>IFERROR(__xludf.DUMMYFUNCTION("""COMPUTED_VALUE"""),"")</f>
        <v/>
      </c>
      <c r="R2459" s="106" t="str">
        <f>IFERROR(__xludf.DUMMYFUNCTION("""COMPUTED_VALUE"""),"")</f>
        <v/>
      </c>
      <c r="S2459" s="106" t="str">
        <f>IFERROR(__xludf.DUMMYFUNCTION("""COMPUTED_VALUE"""),"")</f>
        <v/>
      </c>
      <c r="T2459" s="139" t="str">
        <f>IFERROR(__xludf.DUMMYFUNCTION("""COMPUTED_VALUE"""),"")</f>
        <v/>
      </c>
      <c r="U2459" s="139" t="str">
        <f>IFERROR(__xludf.DUMMYFUNCTION("""COMPUTED_VALUE"""),"")</f>
        <v/>
      </c>
      <c r="V2459" s="136" t="str">
        <f>IFERROR(__xludf.DUMMYFUNCTION("""COMPUTED_VALUE"""),"")</f>
        <v/>
      </c>
      <c r="W2459" s="106" t="str">
        <f>IFERROR(__xludf.DUMMYFUNCTION("""COMPUTED_VALUE"""),"")</f>
        <v/>
      </c>
      <c r="X2459" s="143" t="str">
        <f t="shared" si="2"/>
        <v/>
      </c>
      <c r="Y2459" s="139" t="str">
        <f>IFERROR(__xludf.DUMMYFUNCTION("""COMPUTED_VALUE"""),"")</f>
        <v/>
      </c>
      <c r="Z2459" s="141" t="str">
        <f>IFERROR(__xludf.DUMMYFUNCTION("""COMPUTED_VALUE"""),"")</f>
        <v/>
      </c>
    </row>
    <row r="2460">
      <c r="D2460" s="136" t="str">
        <f t="shared" si="3"/>
        <v/>
      </c>
      <c r="E2460" s="152"/>
      <c r="F2460" s="106" t="s">
        <v>133</v>
      </c>
      <c r="G2460" s="152"/>
      <c r="H2460" s="106" t="s">
        <v>133</v>
      </c>
      <c r="J2460" s="139" t="s">
        <v>133</v>
      </c>
      <c r="K2460" s="136" t="s">
        <v>133</v>
      </c>
      <c r="L2460" s="153"/>
      <c r="M2460" s="136" t="str">
        <f t="shared" si="1"/>
        <v/>
      </c>
      <c r="O2460" s="141" t="s">
        <v>133</v>
      </c>
      <c r="P2460" s="136" t="str">
        <f>IFERROR(__xludf.DUMMYFUNCTION("""COMPUTED_VALUE"""),"")</f>
        <v/>
      </c>
      <c r="Q2460" s="136" t="str">
        <f>IFERROR(__xludf.DUMMYFUNCTION("""COMPUTED_VALUE"""),"")</f>
        <v/>
      </c>
      <c r="R2460" s="106" t="str">
        <f>IFERROR(__xludf.DUMMYFUNCTION("""COMPUTED_VALUE"""),"")</f>
        <v/>
      </c>
      <c r="S2460" s="106" t="str">
        <f>IFERROR(__xludf.DUMMYFUNCTION("""COMPUTED_VALUE"""),"")</f>
        <v/>
      </c>
      <c r="T2460" s="139" t="str">
        <f>IFERROR(__xludf.DUMMYFUNCTION("""COMPUTED_VALUE"""),"")</f>
        <v/>
      </c>
      <c r="U2460" s="139" t="str">
        <f>IFERROR(__xludf.DUMMYFUNCTION("""COMPUTED_VALUE"""),"")</f>
        <v/>
      </c>
      <c r="V2460" s="136" t="str">
        <f>IFERROR(__xludf.DUMMYFUNCTION("""COMPUTED_VALUE"""),"")</f>
        <v/>
      </c>
      <c r="W2460" s="106" t="str">
        <f>IFERROR(__xludf.DUMMYFUNCTION("""COMPUTED_VALUE"""),"")</f>
        <v/>
      </c>
      <c r="X2460" s="143" t="str">
        <f t="shared" si="2"/>
        <v/>
      </c>
      <c r="Y2460" s="139" t="str">
        <f>IFERROR(__xludf.DUMMYFUNCTION("""COMPUTED_VALUE"""),"")</f>
        <v/>
      </c>
      <c r="Z2460" s="141" t="str">
        <f>IFERROR(__xludf.DUMMYFUNCTION("""COMPUTED_VALUE"""),"")</f>
        <v/>
      </c>
    </row>
    <row r="2461">
      <c r="D2461" s="136" t="str">
        <f t="shared" si="3"/>
        <v/>
      </c>
      <c r="E2461" s="152"/>
      <c r="F2461" s="106" t="s">
        <v>133</v>
      </c>
      <c r="G2461" s="152"/>
      <c r="H2461" s="106" t="s">
        <v>133</v>
      </c>
      <c r="J2461" s="139" t="s">
        <v>133</v>
      </c>
      <c r="K2461" s="136" t="s">
        <v>133</v>
      </c>
      <c r="L2461" s="153"/>
      <c r="M2461" s="136" t="str">
        <f t="shared" si="1"/>
        <v/>
      </c>
      <c r="O2461" s="141" t="s">
        <v>133</v>
      </c>
      <c r="P2461" s="136" t="str">
        <f>IFERROR(__xludf.DUMMYFUNCTION("""COMPUTED_VALUE"""),"")</f>
        <v/>
      </c>
      <c r="Q2461" s="136" t="str">
        <f>IFERROR(__xludf.DUMMYFUNCTION("""COMPUTED_VALUE"""),"")</f>
        <v/>
      </c>
      <c r="R2461" s="106" t="str">
        <f>IFERROR(__xludf.DUMMYFUNCTION("""COMPUTED_VALUE"""),"")</f>
        <v/>
      </c>
      <c r="S2461" s="106" t="str">
        <f>IFERROR(__xludf.DUMMYFUNCTION("""COMPUTED_VALUE"""),"")</f>
        <v/>
      </c>
      <c r="T2461" s="139" t="str">
        <f>IFERROR(__xludf.DUMMYFUNCTION("""COMPUTED_VALUE"""),"")</f>
        <v/>
      </c>
      <c r="U2461" s="139" t="str">
        <f>IFERROR(__xludf.DUMMYFUNCTION("""COMPUTED_VALUE"""),"")</f>
        <v/>
      </c>
      <c r="V2461" s="136" t="str">
        <f>IFERROR(__xludf.DUMMYFUNCTION("""COMPUTED_VALUE"""),"")</f>
        <v/>
      </c>
      <c r="W2461" s="106" t="str">
        <f>IFERROR(__xludf.DUMMYFUNCTION("""COMPUTED_VALUE"""),"")</f>
        <v/>
      </c>
      <c r="X2461" s="143" t="str">
        <f t="shared" si="2"/>
        <v/>
      </c>
      <c r="Y2461" s="139" t="str">
        <f>IFERROR(__xludf.DUMMYFUNCTION("""COMPUTED_VALUE"""),"")</f>
        <v/>
      </c>
      <c r="Z2461" s="141" t="str">
        <f>IFERROR(__xludf.DUMMYFUNCTION("""COMPUTED_VALUE"""),"")</f>
        <v/>
      </c>
    </row>
    <row r="2462">
      <c r="D2462" s="136" t="str">
        <f t="shared" si="3"/>
        <v/>
      </c>
      <c r="E2462" s="152"/>
      <c r="F2462" s="106" t="s">
        <v>133</v>
      </c>
      <c r="G2462" s="152"/>
      <c r="H2462" s="106" t="s">
        <v>133</v>
      </c>
      <c r="J2462" s="139" t="s">
        <v>133</v>
      </c>
      <c r="K2462" s="136" t="s">
        <v>133</v>
      </c>
      <c r="L2462" s="153"/>
      <c r="M2462" s="136" t="str">
        <f t="shared" si="1"/>
        <v/>
      </c>
      <c r="O2462" s="141" t="s">
        <v>133</v>
      </c>
      <c r="P2462" s="136" t="str">
        <f>IFERROR(__xludf.DUMMYFUNCTION("""COMPUTED_VALUE"""),"")</f>
        <v/>
      </c>
      <c r="Q2462" s="136" t="str">
        <f>IFERROR(__xludf.DUMMYFUNCTION("""COMPUTED_VALUE"""),"")</f>
        <v/>
      </c>
      <c r="R2462" s="106" t="str">
        <f>IFERROR(__xludf.DUMMYFUNCTION("""COMPUTED_VALUE"""),"")</f>
        <v/>
      </c>
      <c r="S2462" s="106" t="str">
        <f>IFERROR(__xludf.DUMMYFUNCTION("""COMPUTED_VALUE"""),"")</f>
        <v/>
      </c>
      <c r="T2462" s="139" t="str">
        <f>IFERROR(__xludf.DUMMYFUNCTION("""COMPUTED_VALUE"""),"")</f>
        <v/>
      </c>
      <c r="U2462" s="139" t="str">
        <f>IFERROR(__xludf.DUMMYFUNCTION("""COMPUTED_VALUE"""),"")</f>
        <v/>
      </c>
      <c r="V2462" s="136" t="str">
        <f>IFERROR(__xludf.DUMMYFUNCTION("""COMPUTED_VALUE"""),"")</f>
        <v/>
      </c>
      <c r="W2462" s="106" t="str">
        <f>IFERROR(__xludf.DUMMYFUNCTION("""COMPUTED_VALUE"""),"")</f>
        <v/>
      </c>
      <c r="X2462" s="143" t="str">
        <f t="shared" si="2"/>
        <v/>
      </c>
      <c r="Y2462" s="139" t="str">
        <f>IFERROR(__xludf.DUMMYFUNCTION("""COMPUTED_VALUE"""),"")</f>
        <v/>
      </c>
      <c r="Z2462" s="141" t="str">
        <f>IFERROR(__xludf.DUMMYFUNCTION("""COMPUTED_VALUE"""),"")</f>
        <v/>
      </c>
    </row>
    <row r="2463">
      <c r="D2463" s="136" t="str">
        <f t="shared" si="3"/>
        <v/>
      </c>
      <c r="E2463" s="152"/>
      <c r="F2463" s="106" t="s">
        <v>133</v>
      </c>
      <c r="G2463" s="152"/>
      <c r="H2463" s="106" t="s">
        <v>133</v>
      </c>
      <c r="J2463" s="139" t="s">
        <v>133</v>
      </c>
      <c r="K2463" s="136" t="s">
        <v>133</v>
      </c>
      <c r="L2463" s="153"/>
      <c r="M2463" s="136" t="str">
        <f t="shared" si="1"/>
        <v/>
      </c>
      <c r="O2463" s="141" t="s">
        <v>133</v>
      </c>
      <c r="P2463" s="136" t="str">
        <f>IFERROR(__xludf.DUMMYFUNCTION("""COMPUTED_VALUE"""),"")</f>
        <v/>
      </c>
      <c r="Q2463" s="136" t="str">
        <f>IFERROR(__xludf.DUMMYFUNCTION("""COMPUTED_VALUE"""),"")</f>
        <v/>
      </c>
      <c r="R2463" s="106" t="str">
        <f>IFERROR(__xludf.DUMMYFUNCTION("""COMPUTED_VALUE"""),"")</f>
        <v/>
      </c>
      <c r="S2463" s="106" t="str">
        <f>IFERROR(__xludf.DUMMYFUNCTION("""COMPUTED_VALUE"""),"")</f>
        <v/>
      </c>
      <c r="T2463" s="139" t="str">
        <f>IFERROR(__xludf.DUMMYFUNCTION("""COMPUTED_VALUE"""),"")</f>
        <v/>
      </c>
      <c r="U2463" s="139" t="str">
        <f>IFERROR(__xludf.DUMMYFUNCTION("""COMPUTED_VALUE"""),"")</f>
        <v/>
      </c>
      <c r="V2463" s="136" t="str">
        <f>IFERROR(__xludf.DUMMYFUNCTION("""COMPUTED_VALUE"""),"")</f>
        <v/>
      </c>
      <c r="W2463" s="106" t="str">
        <f>IFERROR(__xludf.DUMMYFUNCTION("""COMPUTED_VALUE"""),"")</f>
        <v/>
      </c>
      <c r="X2463" s="143" t="str">
        <f t="shared" si="2"/>
        <v/>
      </c>
      <c r="Y2463" s="139" t="str">
        <f>IFERROR(__xludf.DUMMYFUNCTION("""COMPUTED_VALUE"""),"")</f>
        <v/>
      </c>
      <c r="Z2463" s="141" t="str">
        <f>IFERROR(__xludf.DUMMYFUNCTION("""COMPUTED_VALUE"""),"")</f>
        <v/>
      </c>
    </row>
    <row r="2464">
      <c r="D2464" s="136" t="str">
        <f t="shared" si="3"/>
        <v/>
      </c>
      <c r="E2464" s="152"/>
      <c r="F2464" s="106" t="s">
        <v>133</v>
      </c>
      <c r="G2464" s="152"/>
      <c r="H2464" s="106" t="s">
        <v>133</v>
      </c>
      <c r="J2464" s="139" t="s">
        <v>133</v>
      </c>
      <c r="K2464" s="136" t="s">
        <v>133</v>
      </c>
      <c r="L2464" s="153"/>
      <c r="M2464" s="136" t="str">
        <f t="shared" si="1"/>
        <v/>
      </c>
      <c r="O2464" s="141" t="s">
        <v>133</v>
      </c>
      <c r="P2464" s="136" t="str">
        <f>IFERROR(__xludf.DUMMYFUNCTION("""COMPUTED_VALUE"""),"")</f>
        <v/>
      </c>
      <c r="Q2464" s="136" t="str">
        <f>IFERROR(__xludf.DUMMYFUNCTION("""COMPUTED_VALUE"""),"")</f>
        <v/>
      </c>
      <c r="R2464" s="106" t="str">
        <f>IFERROR(__xludf.DUMMYFUNCTION("""COMPUTED_VALUE"""),"")</f>
        <v/>
      </c>
      <c r="S2464" s="106" t="str">
        <f>IFERROR(__xludf.DUMMYFUNCTION("""COMPUTED_VALUE"""),"")</f>
        <v/>
      </c>
      <c r="T2464" s="139" t="str">
        <f>IFERROR(__xludf.DUMMYFUNCTION("""COMPUTED_VALUE"""),"")</f>
        <v/>
      </c>
      <c r="U2464" s="139" t="str">
        <f>IFERROR(__xludf.DUMMYFUNCTION("""COMPUTED_VALUE"""),"")</f>
        <v/>
      </c>
      <c r="V2464" s="136" t="str">
        <f>IFERROR(__xludf.DUMMYFUNCTION("""COMPUTED_VALUE"""),"")</f>
        <v/>
      </c>
      <c r="W2464" s="106" t="str">
        <f>IFERROR(__xludf.DUMMYFUNCTION("""COMPUTED_VALUE"""),"")</f>
        <v/>
      </c>
      <c r="X2464" s="143" t="str">
        <f t="shared" si="2"/>
        <v/>
      </c>
      <c r="Y2464" s="139" t="str">
        <f>IFERROR(__xludf.DUMMYFUNCTION("""COMPUTED_VALUE"""),"")</f>
        <v/>
      </c>
      <c r="Z2464" s="141" t="str">
        <f>IFERROR(__xludf.DUMMYFUNCTION("""COMPUTED_VALUE"""),"")</f>
        <v/>
      </c>
    </row>
    <row r="2465">
      <c r="D2465" s="136" t="str">
        <f t="shared" si="3"/>
        <v/>
      </c>
      <c r="E2465" s="152"/>
      <c r="F2465" s="106" t="s">
        <v>133</v>
      </c>
      <c r="G2465" s="152"/>
      <c r="H2465" s="106" t="s">
        <v>133</v>
      </c>
      <c r="J2465" s="139" t="s">
        <v>133</v>
      </c>
      <c r="K2465" s="136" t="s">
        <v>133</v>
      </c>
      <c r="L2465" s="153"/>
      <c r="M2465" s="136" t="str">
        <f t="shared" si="1"/>
        <v/>
      </c>
      <c r="O2465" s="141" t="s">
        <v>133</v>
      </c>
      <c r="P2465" s="136" t="str">
        <f>IFERROR(__xludf.DUMMYFUNCTION("""COMPUTED_VALUE"""),"")</f>
        <v/>
      </c>
      <c r="Q2465" s="136" t="str">
        <f>IFERROR(__xludf.DUMMYFUNCTION("""COMPUTED_VALUE"""),"")</f>
        <v/>
      </c>
      <c r="R2465" s="106" t="str">
        <f>IFERROR(__xludf.DUMMYFUNCTION("""COMPUTED_VALUE"""),"")</f>
        <v/>
      </c>
      <c r="S2465" s="106" t="str">
        <f>IFERROR(__xludf.DUMMYFUNCTION("""COMPUTED_VALUE"""),"")</f>
        <v/>
      </c>
      <c r="T2465" s="139" t="str">
        <f>IFERROR(__xludf.DUMMYFUNCTION("""COMPUTED_VALUE"""),"")</f>
        <v/>
      </c>
      <c r="U2465" s="139" t="str">
        <f>IFERROR(__xludf.DUMMYFUNCTION("""COMPUTED_VALUE"""),"")</f>
        <v/>
      </c>
      <c r="V2465" s="136" t="str">
        <f>IFERROR(__xludf.DUMMYFUNCTION("""COMPUTED_VALUE"""),"")</f>
        <v/>
      </c>
      <c r="W2465" s="106" t="str">
        <f>IFERROR(__xludf.DUMMYFUNCTION("""COMPUTED_VALUE"""),"")</f>
        <v/>
      </c>
      <c r="X2465" s="143" t="str">
        <f t="shared" si="2"/>
        <v/>
      </c>
      <c r="Y2465" s="139" t="str">
        <f>IFERROR(__xludf.DUMMYFUNCTION("""COMPUTED_VALUE"""),"")</f>
        <v/>
      </c>
      <c r="Z2465" s="141" t="str">
        <f>IFERROR(__xludf.DUMMYFUNCTION("""COMPUTED_VALUE"""),"")</f>
        <v/>
      </c>
    </row>
    <row r="2466">
      <c r="D2466" s="136" t="str">
        <f t="shared" si="3"/>
        <v/>
      </c>
      <c r="E2466" s="152"/>
      <c r="F2466" s="106" t="s">
        <v>133</v>
      </c>
      <c r="G2466" s="152"/>
      <c r="H2466" s="106" t="s">
        <v>133</v>
      </c>
      <c r="J2466" s="139" t="s">
        <v>133</v>
      </c>
      <c r="K2466" s="136" t="s">
        <v>133</v>
      </c>
      <c r="L2466" s="153"/>
      <c r="M2466" s="136" t="str">
        <f t="shared" si="1"/>
        <v/>
      </c>
      <c r="O2466" s="141" t="s">
        <v>133</v>
      </c>
      <c r="P2466" s="136" t="str">
        <f>IFERROR(__xludf.DUMMYFUNCTION("""COMPUTED_VALUE"""),"")</f>
        <v/>
      </c>
      <c r="Q2466" s="136" t="str">
        <f>IFERROR(__xludf.DUMMYFUNCTION("""COMPUTED_VALUE"""),"")</f>
        <v/>
      </c>
      <c r="R2466" s="106" t="str">
        <f>IFERROR(__xludf.DUMMYFUNCTION("""COMPUTED_VALUE"""),"")</f>
        <v/>
      </c>
      <c r="S2466" s="106" t="str">
        <f>IFERROR(__xludf.DUMMYFUNCTION("""COMPUTED_VALUE"""),"")</f>
        <v/>
      </c>
      <c r="T2466" s="139" t="str">
        <f>IFERROR(__xludf.DUMMYFUNCTION("""COMPUTED_VALUE"""),"")</f>
        <v/>
      </c>
      <c r="U2466" s="139" t="str">
        <f>IFERROR(__xludf.DUMMYFUNCTION("""COMPUTED_VALUE"""),"")</f>
        <v/>
      </c>
      <c r="V2466" s="136" t="str">
        <f>IFERROR(__xludf.DUMMYFUNCTION("""COMPUTED_VALUE"""),"")</f>
        <v/>
      </c>
      <c r="W2466" s="106" t="str">
        <f>IFERROR(__xludf.DUMMYFUNCTION("""COMPUTED_VALUE"""),"")</f>
        <v/>
      </c>
      <c r="X2466" s="143" t="str">
        <f t="shared" si="2"/>
        <v/>
      </c>
      <c r="Y2466" s="139" t="str">
        <f>IFERROR(__xludf.DUMMYFUNCTION("""COMPUTED_VALUE"""),"")</f>
        <v/>
      </c>
      <c r="Z2466" s="141" t="str">
        <f>IFERROR(__xludf.DUMMYFUNCTION("""COMPUTED_VALUE"""),"")</f>
        <v/>
      </c>
    </row>
    <row r="2467">
      <c r="D2467" s="136" t="str">
        <f t="shared" si="3"/>
        <v/>
      </c>
      <c r="E2467" s="152"/>
      <c r="F2467" s="106" t="s">
        <v>133</v>
      </c>
      <c r="G2467" s="152"/>
      <c r="H2467" s="106" t="s">
        <v>133</v>
      </c>
      <c r="J2467" s="139" t="s">
        <v>133</v>
      </c>
      <c r="K2467" s="136" t="s">
        <v>133</v>
      </c>
      <c r="L2467" s="153"/>
      <c r="M2467" s="136" t="str">
        <f t="shared" si="1"/>
        <v/>
      </c>
      <c r="O2467" s="141" t="s">
        <v>133</v>
      </c>
      <c r="P2467" s="136" t="str">
        <f>IFERROR(__xludf.DUMMYFUNCTION("""COMPUTED_VALUE"""),"")</f>
        <v/>
      </c>
      <c r="Q2467" s="136" t="str">
        <f>IFERROR(__xludf.DUMMYFUNCTION("""COMPUTED_VALUE"""),"")</f>
        <v/>
      </c>
      <c r="R2467" s="106" t="str">
        <f>IFERROR(__xludf.DUMMYFUNCTION("""COMPUTED_VALUE"""),"")</f>
        <v/>
      </c>
      <c r="S2467" s="106" t="str">
        <f>IFERROR(__xludf.DUMMYFUNCTION("""COMPUTED_VALUE"""),"")</f>
        <v/>
      </c>
      <c r="T2467" s="139" t="str">
        <f>IFERROR(__xludf.DUMMYFUNCTION("""COMPUTED_VALUE"""),"")</f>
        <v/>
      </c>
      <c r="U2467" s="139" t="str">
        <f>IFERROR(__xludf.DUMMYFUNCTION("""COMPUTED_VALUE"""),"")</f>
        <v/>
      </c>
      <c r="V2467" s="136" t="str">
        <f>IFERROR(__xludf.DUMMYFUNCTION("""COMPUTED_VALUE"""),"")</f>
        <v/>
      </c>
      <c r="W2467" s="106" t="str">
        <f>IFERROR(__xludf.DUMMYFUNCTION("""COMPUTED_VALUE"""),"")</f>
        <v/>
      </c>
      <c r="X2467" s="143" t="str">
        <f t="shared" si="2"/>
        <v/>
      </c>
      <c r="Y2467" s="139" t="str">
        <f>IFERROR(__xludf.DUMMYFUNCTION("""COMPUTED_VALUE"""),"")</f>
        <v/>
      </c>
      <c r="Z2467" s="141" t="str">
        <f>IFERROR(__xludf.DUMMYFUNCTION("""COMPUTED_VALUE"""),"")</f>
        <v/>
      </c>
    </row>
    <row r="2468">
      <c r="D2468" s="136" t="str">
        <f t="shared" si="3"/>
        <v/>
      </c>
      <c r="E2468" s="152"/>
      <c r="F2468" s="106" t="s">
        <v>133</v>
      </c>
      <c r="G2468" s="152"/>
      <c r="H2468" s="106" t="s">
        <v>133</v>
      </c>
      <c r="J2468" s="139" t="s">
        <v>133</v>
      </c>
      <c r="K2468" s="136" t="s">
        <v>133</v>
      </c>
      <c r="L2468" s="153"/>
      <c r="M2468" s="136" t="str">
        <f t="shared" si="1"/>
        <v/>
      </c>
      <c r="O2468" s="141" t="s">
        <v>133</v>
      </c>
      <c r="P2468" s="136" t="str">
        <f>IFERROR(__xludf.DUMMYFUNCTION("""COMPUTED_VALUE"""),"")</f>
        <v/>
      </c>
      <c r="Q2468" s="136" t="str">
        <f>IFERROR(__xludf.DUMMYFUNCTION("""COMPUTED_VALUE"""),"")</f>
        <v/>
      </c>
      <c r="R2468" s="106" t="str">
        <f>IFERROR(__xludf.DUMMYFUNCTION("""COMPUTED_VALUE"""),"")</f>
        <v/>
      </c>
      <c r="S2468" s="106" t="str">
        <f>IFERROR(__xludf.DUMMYFUNCTION("""COMPUTED_VALUE"""),"")</f>
        <v/>
      </c>
      <c r="T2468" s="139" t="str">
        <f>IFERROR(__xludf.DUMMYFUNCTION("""COMPUTED_VALUE"""),"")</f>
        <v/>
      </c>
      <c r="U2468" s="139" t="str">
        <f>IFERROR(__xludf.DUMMYFUNCTION("""COMPUTED_VALUE"""),"")</f>
        <v/>
      </c>
      <c r="V2468" s="136" t="str">
        <f>IFERROR(__xludf.DUMMYFUNCTION("""COMPUTED_VALUE"""),"")</f>
        <v/>
      </c>
      <c r="W2468" s="106" t="str">
        <f>IFERROR(__xludf.DUMMYFUNCTION("""COMPUTED_VALUE"""),"")</f>
        <v/>
      </c>
      <c r="X2468" s="143" t="str">
        <f t="shared" si="2"/>
        <v/>
      </c>
      <c r="Y2468" s="139" t="str">
        <f>IFERROR(__xludf.DUMMYFUNCTION("""COMPUTED_VALUE"""),"")</f>
        <v/>
      </c>
      <c r="Z2468" s="141" t="str">
        <f>IFERROR(__xludf.DUMMYFUNCTION("""COMPUTED_VALUE"""),"")</f>
        <v/>
      </c>
    </row>
    <row r="2469">
      <c r="D2469" s="136" t="str">
        <f t="shared" si="3"/>
        <v/>
      </c>
      <c r="E2469" s="152"/>
      <c r="F2469" s="106" t="s">
        <v>133</v>
      </c>
      <c r="G2469" s="152"/>
      <c r="H2469" s="106" t="s">
        <v>133</v>
      </c>
      <c r="J2469" s="139" t="s">
        <v>133</v>
      </c>
      <c r="K2469" s="136" t="s">
        <v>133</v>
      </c>
      <c r="L2469" s="153"/>
      <c r="M2469" s="136" t="str">
        <f t="shared" si="1"/>
        <v/>
      </c>
      <c r="O2469" s="141" t="s">
        <v>133</v>
      </c>
      <c r="P2469" s="136" t="str">
        <f>IFERROR(__xludf.DUMMYFUNCTION("""COMPUTED_VALUE"""),"")</f>
        <v/>
      </c>
      <c r="Q2469" s="136" t="str">
        <f>IFERROR(__xludf.DUMMYFUNCTION("""COMPUTED_VALUE"""),"")</f>
        <v/>
      </c>
      <c r="R2469" s="106" t="str">
        <f>IFERROR(__xludf.DUMMYFUNCTION("""COMPUTED_VALUE"""),"")</f>
        <v/>
      </c>
      <c r="S2469" s="106" t="str">
        <f>IFERROR(__xludf.DUMMYFUNCTION("""COMPUTED_VALUE"""),"")</f>
        <v/>
      </c>
      <c r="T2469" s="139" t="str">
        <f>IFERROR(__xludf.DUMMYFUNCTION("""COMPUTED_VALUE"""),"")</f>
        <v/>
      </c>
      <c r="U2469" s="139" t="str">
        <f>IFERROR(__xludf.DUMMYFUNCTION("""COMPUTED_VALUE"""),"")</f>
        <v/>
      </c>
      <c r="V2469" s="136" t="str">
        <f>IFERROR(__xludf.DUMMYFUNCTION("""COMPUTED_VALUE"""),"")</f>
        <v/>
      </c>
      <c r="W2469" s="106" t="str">
        <f>IFERROR(__xludf.DUMMYFUNCTION("""COMPUTED_VALUE"""),"")</f>
        <v/>
      </c>
      <c r="X2469" s="143" t="str">
        <f t="shared" si="2"/>
        <v/>
      </c>
      <c r="Y2469" s="139" t="str">
        <f>IFERROR(__xludf.DUMMYFUNCTION("""COMPUTED_VALUE"""),"")</f>
        <v/>
      </c>
      <c r="Z2469" s="141" t="str">
        <f>IFERROR(__xludf.DUMMYFUNCTION("""COMPUTED_VALUE"""),"")</f>
        <v/>
      </c>
    </row>
    <row r="2470">
      <c r="D2470" s="136" t="str">
        <f t="shared" si="3"/>
        <v/>
      </c>
      <c r="E2470" s="152"/>
      <c r="F2470" s="106" t="s">
        <v>133</v>
      </c>
      <c r="G2470" s="152"/>
      <c r="H2470" s="106" t="s">
        <v>133</v>
      </c>
      <c r="J2470" s="139" t="s">
        <v>133</v>
      </c>
      <c r="K2470" s="136" t="s">
        <v>133</v>
      </c>
      <c r="L2470" s="153"/>
      <c r="M2470" s="136" t="str">
        <f t="shared" si="1"/>
        <v/>
      </c>
      <c r="O2470" s="141" t="s">
        <v>133</v>
      </c>
      <c r="P2470" s="136" t="str">
        <f>IFERROR(__xludf.DUMMYFUNCTION("""COMPUTED_VALUE"""),"")</f>
        <v/>
      </c>
      <c r="Q2470" s="136" t="str">
        <f>IFERROR(__xludf.DUMMYFUNCTION("""COMPUTED_VALUE"""),"")</f>
        <v/>
      </c>
      <c r="R2470" s="106" t="str">
        <f>IFERROR(__xludf.DUMMYFUNCTION("""COMPUTED_VALUE"""),"")</f>
        <v/>
      </c>
      <c r="S2470" s="106" t="str">
        <f>IFERROR(__xludf.DUMMYFUNCTION("""COMPUTED_VALUE"""),"")</f>
        <v/>
      </c>
      <c r="T2470" s="139" t="str">
        <f>IFERROR(__xludf.DUMMYFUNCTION("""COMPUTED_VALUE"""),"")</f>
        <v/>
      </c>
      <c r="U2470" s="139" t="str">
        <f>IFERROR(__xludf.DUMMYFUNCTION("""COMPUTED_VALUE"""),"")</f>
        <v/>
      </c>
      <c r="V2470" s="136" t="str">
        <f>IFERROR(__xludf.DUMMYFUNCTION("""COMPUTED_VALUE"""),"")</f>
        <v/>
      </c>
      <c r="W2470" s="106" t="str">
        <f>IFERROR(__xludf.DUMMYFUNCTION("""COMPUTED_VALUE"""),"")</f>
        <v/>
      </c>
      <c r="X2470" s="143" t="str">
        <f t="shared" si="2"/>
        <v/>
      </c>
      <c r="Y2470" s="139" t="str">
        <f>IFERROR(__xludf.DUMMYFUNCTION("""COMPUTED_VALUE"""),"")</f>
        <v/>
      </c>
      <c r="Z2470" s="141" t="str">
        <f>IFERROR(__xludf.DUMMYFUNCTION("""COMPUTED_VALUE"""),"")</f>
        <v/>
      </c>
    </row>
    <row r="2471">
      <c r="D2471" s="136" t="str">
        <f t="shared" si="3"/>
        <v/>
      </c>
      <c r="E2471" s="152"/>
      <c r="F2471" s="106" t="s">
        <v>133</v>
      </c>
      <c r="G2471" s="152"/>
      <c r="H2471" s="106" t="s">
        <v>133</v>
      </c>
      <c r="J2471" s="139" t="s">
        <v>133</v>
      </c>
      <c r="K2471" s="136" t="s">
        <v>133</v>
      </c>
      <c r="L2471" s="153"/>
      <c r="M2471" s="136" t="str">
        <f t="shared" si="1"/>
        <v/>
      </c>
      <c r="O2471" s="141" t="s">
        <v>133</v>
      </c>
      <c r="P2471" s="136" t="str">
        <f>IFERROR(__xludf.DUMMYFUNCTION("""COMPUTED_VALUE"""),"")</f>
        <v/>
      </c>
      <c r="Q2471" s="136" t="str">
        <f>IFERROR(__xludf.DUMMYFUNCTION("""COMPUTED_VALUE"""),"")</f>
        <v/>
      </c>
      <c r="R2471" s="106" t="str">
        <f>IFERROR(__xludf.DUMMYFUNCTION("""COMPUTED_VALUE"""),"")</f>
        <v/>
      </c>
      <c r="S2471" s="106" t="str">
        <f>IFERROR(__xludf.DUMMYFUNCTION("""COMPUTED_VALUE"""),"")</f>
        <v/>
      </c>
      <c r="T2471" s="139" t="str">
        <f>IFERROR(__xludf.DUMMYFUNCTION("""COMPUTED_VALUE"""),"")</f>
        <v/>
      </c>
      <c r="U2471" s="139" t="str">
        <f>IFERROR(__xludf.DUMMYFUNCTION("""COMPUTED_VALUE"""),"")</f>
        <v/>
      </c>
      <c r="V2471" s="136" t="str">
        <f>IFERROR(__xludf.DUMMYFUNCTION("""COMPUTED_VALUE"""),"")</f>
        <v/>
      </c>
      <c r="W2471" s="106" t="str">
        <f>IFERROR(__xludf.DUMMYFUNCTION("""COMPUTED_VALUE"""),"")</f>
        <v/>
      </c>
      <c r="X2471" s="143" t="str">
        <f t="shared" si="2"/>
        <v/>
      </c>
      <c r="Y2471" s="139" t="str">
        <f>IFERROR(__xludf.DUMMYFUNCTION("""COMPUTED_VALUE"""),"")</f>
        <v/>
      </c>
      <c r="Z2471" s="141" t="str">
        <f>IFERROR(__xludf.DUMMYFUNCTION("""COMPUTED_VALUE"""),"")</f>
        <v/>
      </c>
    </row>
    <row r="2472">
      <c r="D2472" s="136" t="str">
        <f t="shared" si="3"/>
        <v/>
      </c>
      <c r="E2472" s="152"/>
      <c r="F2472" s="106" t="s">
        <v>133</v>
      </c>
      <c r="G2472" s="152"/>
      <c r="H2472" s="106" t="s">
        <v>133</v>
      </c>
      <c r="J2472" s="139" t="s">
        <v>133</v>
      </c>
      <c r="K2472" s="136" t="s">
        <v>133</v>
      </c>
      <c r="L2472" s="153"/>
      <c r="M2472" s="136" t="str">
        <f t="shared" si="1"/>
        <v/>
      </c>
      <c r="O2472" s="141" t="s">
        <v>133</v>
      </c>
      <c r="P2472" s="136" t="str">
        <f>IFERROR(__xludf.DUMMYFUNCTION("""COMPUTED_VALUE"""),"")</f>
        <v/>
      </c>
      <c r="Q2472" s="136" t="str">
        <f>IFERROR(__xludf.DUMMYFUNCTION("""COMPUTED_VALUE"""),"")</f>
        <v/>
      </c>
      <c r="R2472" s="106" t="str">
        <f>IFERROR(__xludf.DUMMYFUNCTION("""COMPUTED_VALUE"""),"")</f>
        <v/>
      </c>
      <c r="S2472" s="106" t="str">
        <f>IFERROR(__xludf.DUMMYFUNCTION("""COMPUTED_VALUE"""),"")</f>
        <v/>
      </c>
      <c r="T2472" s="139" t="str">
        <f>IFERROR(__xludf.DUMMYFUNCTION("""COMPUTED_VALUE"""),"")</f>
        <v/>
      </c>
      <c r="U2472" s="139" t="str">
        <f>IFERROR(__xludf.DUMMYFUNCTION("""COMPUTED_VALUE"""),"")</f>
        <v/>
      </c>
      <c r="V2472" s="136" t="str">
        <f>IFERROR(__xludf.DUMMYFUNCTION("""COMPUTED_VALUE"""),"")</f>
        <v/>
      </c>
      <c r="W2472" s="106" t="str">
        <f>IFERROR(__xludf.DUMMYFUNCTION("""COMPUTED_VALUE"""),"")</f>
        <v/>
      </c>
      <c r="X2472" s="143" t="str">
        <f t="shared" si="2"/>
        <v/>
      </c>
      <c r="Y2472" s="139" t="str">
        <f>IFERROR(__xludf.DUMMYFUNCTION("""COMPUTED_VALUE"""),"")</f>
        <v/>
      </c>
      <c r="Z2472" s="141" t="str">
        <f>IFERROR(__xludf.DUMMYFUNCTION("""COMPUTED_VALUE"""),"")</f>
        <v/>
      </c>
    </row>
    <row r="2473">
      <c r="D2473" s="136" t="str">
        <f t="shared" si="3"/>
        <v/>
      </c>
      <c r="E2473" s="152"/>
      <c r="F2473" s="106" t="s">
        <v>133</v>
      </c>
      <c r="G2473" s="152"/>
      <c r="H2473" s="106" t="s">
        <v>133</v>
      </c>
      <c r="J2473" s="139" t="s">
        <v>133</v>
      </c>
      <c r="K2473" s="136" t="s">
        <v>133</v>
      </c>
      <c r="L2473" s="153"/>
      <c r="M2473" s="136" t="str">
        <f t="shared" si="1"/>
        <v/>
      </c>
      <c r="O2473" s="141" t="s">
        <v>133</v>
      </c>
      <c r="P2473" s="136" t="str">
        <f>IFERROR(__xludf.DUMMYFUNCTION("""COMPUTED_VALUE"""),"")</f>
        <v/>
      </c>
      <c r="Q2473" s="136" t="str">
        <f>IFERROR(__xludf.DUMMYFUNCTION("""COMPUTED_VALUE"""),"")</f>
        <v/>
      </c>
      <c r="R2473" s="106" t="str">
        <f>IFERROR(__xludf.DUMMYFUNCTION("""COMPUTED_VALUE"""),"")</f>
        <v/>
      </c>
      <c r="S2473" s="106" t="str">
        <f>IFERROR(__xludf.DUMMYFUNCTION("""COMPUTED_VALUE"""),"")</f>
        <v/>
      </c>
      <c r="T2473" s="139" t="str">
        <f>IFERROR(__xludf.DUMMYFUNCTION("""COMPUTED_VALUE"""),"")</f>
        <v/>
      </c>
      <c r="U2473" s="139" t="str">
        <f>IFERROR(__xludf.DUMMYFUNCTION("""COMPUTED_VALUE"""),"")</f>
        <v/>
      </c>
      <c r="V2473" s="136" t="str">
        <f>IFERROR(__xludf.DUMMYFUNCTION("""COMPUTED_VALUE"""),"")</f>
        <v/>
      </c>
      <c r="W2473" s="106" t="str">
        <f>IFERROR(__xludf.DUMMYFUNCTION("""COMPUTED_VALUE"""),"")</f>
        <v/>
      </c>
      <c r="X2473" s="143" t="str">
        <f t="shared" si="2"/>
        <v/>
      </c>
      <c r="Y2473" s="139" t="str">
        <f>IFERROR(__xludf.DUMMYFUNCTION("""COMPUTED_VALUE"""),"")</f>
        <v/>
      </c>
      <c r="Z2473" s="141" t="str">
        <f>IFERROR(__xludf.DUMMYFUNCTION("""COMPUTED_VALUE"""),"")</f>
        <v/>
      </c>
    </row>
    <row r="2474">
      <c r="D2474" s="136" t="str">
        <f t="shared" si="3"/>
        <v/>
      </c>
      <c r="E2474" s="152"/>
      <c r="F2474" s="106" t="s">
        <v>133</v>
      </c>
      <c r="G2474" s="152"/>
      <c r="H2474" s="106" t="s">
        <v>133</v>
      </c>
      <c r="J2474" s="139" t="s">
        <v>133</v>
      </c>
      <c r="K2474" s="136" t="s">
        <v>133</v>
      </c>
      <c r="L2474" s="153"/>
      <c r="M2474" s="136" t="str">
        <f t="shared" si="1"/>
        <v/>
      </c>
      <c r="O2474" s="141" t="s">
        <v>133</v>
      </c>
      <c r="P2474" s="136" t="str">
        <f>IFERROR(__xludf.DUMMYFUNCTION("""COMPUTED_VALUE"""),"")</f>
        <v/>
      </c>
      <c r="Q2474" s="136" t="str">
        <f>IFERROR(__xludf.DUMMYFUNCTION("""COMPUTED_VALUE"""),"")</f>
        <v/>
      </c>
      <c r="R2474" s="106" t="str">
        <f>IFERROR(__xludf.DUMMYFUNCTION("""COMPUTED_VALUE"""),"")</f>
        <v/>
      </c>
      <c r="S2474" s="106" t="str">
        <f>IFERROR(__xludf.DUMMYFUNCTION("""COMPUTED_VALUE"""),"")</f>
        <v/>
      </c>
      <c r="T2474" s="139" t="str">
        <f>IFERROR(__xludf.DUMMYFUNCTION("""COMPUTED_VALUE"""),"")</f>
        <v/>
      </c>
      <c r="U2474" s="139" t="str">
        <f>IFERROR(__xludf.DUMMYFUNCTION("""COMPUTED_VALUE"""),"")</f>
        <v/>
      </c>
      <c r="V2474" s="136" t="str">
        <f>IFERROR(__xludf.DUMMYFUNCTION("""COMPUTED_VALUE"""),"")</f>
        <v/>
      </c>
      <c r="W2474" s="106" t="str">
        <f>IFERROR(__xludf.DUMMYFUNCTION("""COMPUTED_VALUE"""),"")</f>
        <v/>
      </c>
      <c r="X2474" s="143" t="str">
        <f t="shared" si="2"/>
        <v/>
      </c>
      <c r="Y2474" s="139" t="str">
        <f>IFERROR(__xludf.DUMMYFUNCTION("""COMPUTED_VALUE"""),"")</f>
        <v/>
      </c>
      <c r="Z2474" s="141" t="str">
        <f>IFERROR(__xludf.DUMMYFUNCTION("""COMPUTED_VALUE"""),"")</f>
        <v/>
      </c>
    </row>
    <row r="2475">
      <c r="D2475" s="136" t="str">
        <f t="shared" si="3"/>
        <v/>
      </c>
      <c r="E2475" s="152"/>
      <c r="F2475" s="106" t="s">
        <v>133</v>
      </c>
      <c r="G2475" s="152"/>
      <c r="H2475" s="106" t="s">
        <v>133</v>
      </c>
      <c r="J2475" s="139" t="s">
        <v>133</v>
      </c>
      <c r="K2475" s="136" t="s">
        <v>133</v>
      </c>
      <c r="L2475" s="153"/>
      <c r="M2475" s="136" t="str">
        <f t="shared" si="1"/>
        <v/>
      </c>
      <c r="O2475" s="141" t="s">
        <v>133</v>
      </c>
      <c r="P2475" s="136" t="str">
        <f>IFERROR(__xludf.DUMMYFUNCTION("""COMPUTED_VALUE"""),"")</f>
        <v/>
      </c>
      <c r="Q2475" s="136" t="str">
        <f>IFERROR(__xludf.DUMMYFUNCTION("""COMPUTED_VALUE"""),"")</f>
        <v/>
      </c>
      <c r="R2475" s="106" t="str">
        <f>IFERROR(__xludf.DUMMYFUNCTION("""COMPUTED_VALUE"""),"")</f>
        <v/>
      </c>
      <c r="S2475" s="106" t="str">
        <f>IFERROR(__xludf.DUMMYFUNCTION("""COMPUTED_VALUE"""),"")</f>
        <v/>
      </c>
      <c r="T2475" s="139" t="str">
        <f>IFERROR(__xludf.DUMMYFUNCTION("""COMPUTED_VALUE"""),"")</f>
        <v/>
      </c>
      <c r="U2475" s="139" t="str">
        <f>IFERROR(__xludf.DUMMYFUNCTION("""COMPUTED_VALUE"""),"")</f>
        <v/>
      </c>
      <c r="V2475" s="136" t="str">
        <f>IFERROR(__xludf.DUMMYFUNCTION("""COMPUTED_VALUE"""),"")</f>
        <v/>
      </c>
      <c r="W2475" s="106" t="str">
        <f>IFERROR(__xludf.DUMMYFUNCTION("""COMPUTED_VALUE"""),"")</f>
        <v/>
      </c>
      <c r="X2475" s="143" t="str">
        <f t="shared" si="2"/>
        <v/>
      </c>
      <c r="Y2475" s="139" t="str">
        <f>IFERROR(__xludf.DUMMYFUNCTION("""COMPUTED_VALUE"""),"")</f>
        <v/>
      </c>
      <c r="Z2475" s="141" t="str">
        <f>IFERROR(__xludf.DUMMYFUNCTION("""COMPUTED_VALUE"""),"")</f>
        <v/>
      </c>
    </row>
    <row r="2476">
      <c r="D2476" s="136" t="str">
        <f t="shared" si="3"/>
        <v/>
      </c>
      <c r="E2476" s="152"/>
      <c r="F2476" s="106" t="s">
        <v>133</v>
      </c>
      <c r="G2476" s="152"/>
      <c r="H2476" s="106" t="s">
        <v>133</v>
      </c>
      <c r="J2476" s="139" t="s">
        <v>133</v>
      </c>
      <c r="K2476" s="136" t="s">
        <v>133</v>
      </c>
      <c r="L2476" s="153"/>
      <c r="M2476" s="136" t="str">
        <f t="shared" si="1"/>
        <v/>
      </c>
      <c r="O2476" s="141" t="s">
        <v>133</v>
      </c>
      <c r="P2476" s="136" t="str">
        <f>IFERROR(__xludf.DUMMYFUNCTION("""COMPUTED_VALUE"""),"")</f>
        <v/>
      </c>
      <c r="Q2476" s="136" t="str">
        <f>IFERROR(__xludf.DUMMYFUNCTION("""COMPUTED_VALUE"""),"")</f>
        <v/>
      </c>
      <c r="R2476" s="106" t="str">
        <f>IFERROR(__xludf.DUMMYFUNCTION("""COMPUTED_VALUE"""),"")</f>
        <v/>
      </c>
      <c r="S2476" s="106" t="str">
        <f>IFERROR(__xludf.DUMMYFUNCTION("""COMPUTED_VALUE"""),"")</f>
        <v/>
      </c>
      <c r="T2476" s="139" t="str">
        <f>IFERROR(__xludf.DUMMYFUNCTION("""COMPUTED_VALUE"""),"")</f>
        <v/>
      </c>
      <c r="U2476" s="139" t="str">
        <f>IFERROR(__xludf.DUMMYFUNCTION("""COMPUTED_VALUE"""),"")</f>
        <v/>
      </c>
      <c r="V2476" s="136" t="str">
        <f>IFERROR(__xludf.DUMMYFUNCTION("""COMPUTED_VALUE"""),"")</f>
        <v/>
      </c>
      <c r="W2476" s="106" t="str">
        <f>IFERROR(__xludf.DUMMYFUNCTION("""COMPUTED_VALUE"""),"")</f>
        <v/>
      </c>
      <c r="X2476" s="143" t="str">
        <f t="shared" si="2"/>
        <v/>
      </c>
      <c r="Y2476" s="139" t="str">
        <f>IFERROR(__xludf.DUMMYFUNCTION("""COMPUTED_VALUE"""),"")</f>
        <v/>
      </c>
      <c r="Z2476" s="141" t="str">
        <f>IFERROR(__xludf.DUMMYFUNCTION("""COMPUTED_VALUE"""),"")</f>
        <v/>
      </c>
    </row>
    <row r="2477">
      <c r="D2477" s="136" t="str">
        <f t="shared" si="3"/>
        <v/>
      </c>
      <c r="E2477" s="152"/>
      <c r="F2477" s="106" t="s">
        <v>133</v>
      </c>
      <c r="G2477" s="152"/>
      <c r="H2477" s="106" t="s">
        <v>133</v>
      </c>
      <c r="J2477" s="139" t="s">
        <v>133</v>
      </c>
      <c r="K2477" s="136" t="s">
        <v>133</v>
      </c>
      <c r="L2477" s="153"/>
      <c r="M2477" s="136" t="str">
        <f t="shared" si="1"/>
        <v/>
      </c>
      <c r="O2477" s="141" t="s">
        <v>133</v>
      </c>
      <c r="P2477" s="136" t="str">
        <f>IFERROR(__xludf.DUMMYFUNCTION("""COMPUTED_VALUE"""),"")</f>
        <v/>
      </c>
      <c r="Q2477" s="136" t="str">
        <f>IFERROR(__xludf.DUMMYFUNCTION("""COMPUTED_VALUE"""),"")</f>
        <v/>
      </c>
      <c r="R2477" s="106" t="str">
        <f>IFERROR(__xludf.DUMMYFUNCTION("""COMPUTED_VALUE"""),"")</f>
        <v/>
      </c>
      <c r="S2477" s="106" t="str">
        <f>IFERROR(__xludf.DUMMYFUNCTION("""COMPUTED_VALUE"""),"")</f>
        <v/>
      </c>
      <c r="T2477" s="139" t="str">
        <f>IFERROR(__xludf.DUMMYFUNCTION("""COMPUTED_VALUE"""),"")</f>
        <v/>
      </c>
      <c r="U2477" s="139" t="str">
        <f>IFERROR(__xludf.DUMMYFUNCTION("""COMPUTED_VALUE"""),"")</f>
        <v/>
      </c>
      <c r="V2477" s="136" t="str">
        <f>IFERROR(__xludf.DUMMYFUNCTION("""COMPUTED_VALUE"""),"")</f>
        <v/>
      </c>
      <c r="W2477" s="106" t="str">
        <f>IFERROR(__xludf.DUMMYFUNCTION("""COMPUTED_VALUE"""),"")</f>
        <v/>
      </c>
      <c r="X2477" s="143" t="str">
        <f t="shared" si="2"/>
        <v/>
      </c>
      <c r="Y2477" s="139" t="str">
        <f>IFERROR(__xludf.DUMMYFUNCTION("""COMPUTED_VALUE"""),"")</f>
        <v/>
      </c>
      <c r="Z2477" s="141" t="str">
        <f>IFERROR(__xludf.DUMMYFUNCTION("""COMPUTED_VALUE"""),"")</f>
        <v/>
      </c>
    </row>
    <row r="2478">
      <c r="D2478" s="136" t="str">
        <f t="shared" si="3"/>
        <v/>
      </c>
      <c r="E2478" s="152"/>
      <c r="F2478" s="106" t="s">
        <v>133</v>
      </c>
      <c r="G2478" s="152"/>
      <c r="H2478" s="106" t="s">
        <v>133</v>
      </c>
      <c r="J2478" s="139" t="s">
        <v>133</v>
      </c>
      <c r="K2478" s="136" t="s">
        <v>133</v>
      </c>
      <c r="L2478" s="153"/>
      <c r="M2478" s="136" t="str">
        <f t="shared" si="1"/>
        <v/>
      </c>
      <c r="O2478" s="141" t="s">
        <v>133</v>
      </c>
      <c r="P2478" s="136" t="str">
        <f>IFERROR(__xludf.DUMMYFUNCTION("""COMPUTED_VALUE"""),"")</f>
        <v/>
      </c>
      <c r="Q2478" s="136" t="str">
        <f>IFERROR(__xludf.DUMMYFUNCTION("""COMPUTED_VALUE"""),"")</f>
        <v/>
      </c>
      <c r="R2478" s="106" t="str">
        <f>IFERROR(__xludf.DUMMYFUNCTION("""COMPUTED_VALUE"""),"")</f>
        <v/>
      </c>
      <c r="S2478" s="106" t="str">
        <f>IFERROR(__xludf.DUMMYFUNCTION("""COMPUTED_VALUE"""),"")</f>
        <v/>
      </c>
      <c r="T2478" s="139" t="str">
        <f>IFERROR(__xludf.DUMMYFUNCTION("""COMPUTED_VALUE"""),"")</f>
        <v/>
      </c>
      <c r="U2478" s="139" t="str">
        <f>IFERROR(__xludf.DUMMYFUNCTION("""COMPUTED_VALUE"""),"")</f>
        <v/>
      </c>
      <c r="V2478" s="136" t="str">
        <f>IFERROR(__xludf.DUMMYFUNCTION("""COMPUTED_VALUE"""),"")</f>
        <v/>
      </c>
      <c r="W2478" s="106" t="str">
        <f>IFERROR(__xludf.DUMMYFUNCTION("""COMPUTED_VALUE"""),"")</f>
        <v/>
      </c>
      <c r="X2478" s="143" t="str">
        <f t="shared" si="2"/>
        <v/>
      </c>
      <c r="Y2478" s="139" t="str">
        <f>IFERROR(__xludf.DUMMYFUNCTION("""COMPUTED_VALUE"""),"")</f>
        <v/>
      </c>
      <c r="Z2478" s="141" t="str">
        <f>IFERROR(__xludf.DUMMYFUNCTION("""COMPUTED_VALUE"""),"")</f>
        <v/>
      </c>
    </row>
    <row r="2479">
      <c r="D2479" s="136" t="str">
        <f t="shared" si="3"/>
        <v/>
      </c>
      <c r="E2479" s="152"/>
      <c r="F2479" s="106" t="s">
        <v>133</v>
      </c>
      <c r="G2479" s="152"/>
      <c r="H2479" s="106" t="s">
        <v>133</v>
      </c>
      <c r="J2479" s="139" t="s">
        <v>133</v>
      </c>
      <c r="K2479" s="136" t="s">
        <v>133</v>
      </c>
      <c r="L2479" s="153"/>
      <c r="M2479" s="136" t="str">
        <f t="shared" si="1"/>
        <v/>
      </c>
      <c r="O2479" s="141" t="s">
        <v>133</v>
      </c>
      <c r="P2479" s="136" t="str">
        <f>IFERROR(__xludf.DUMMYFUNCTION("""COMPUTED_VALUE"""),"")</f>
        <v/>
      </c>
      <c r="Q2479" s="136" t="str">
        <f>IFERROR(__xludf.DUMMYFUNCTION("""COMPUTED_VALUE"""),"")</f>
        <v/>
      </c>
      <c r="R2479" s="106" t="str">
        <f>IFERROR(__xludf.DUMMYFUNCTION("""COMPUTED_VALUE"""),"")</f>
        <v/>
      </c>
      <c r="S2479" s="106" t="str">
        <f>IFERROR(__xludf.DUMMYFUNCTION("""COMPUTED_VALUE"""),"")</f>
        <v/>
      </c>
      <c r="T2479" s="139" t="str">
        <f>IFERROR(__xludf.DUMMYFUNCTION("""COMPUTED_VALUE"""),"")</f>
        <v/>
      </c>
      <c r="U2479" s="139" t="str">
        <f>IFERROR(__xludf.DUMMYFUNCTION("""COMPUTED_VALUE"""),"")</f>
        <v/>
      </c>
      <c r="V2479" s="136" t="str">
        <f>IFERROR(__xludf.DUMMYFUNCTION("""COMPUTED_VALUE"""),"")</f>
        <v/>
      </c>
      <c r="W2479" s="106" t="str">
        <f>IFERROR(__xludf.DUMMYFUNCTION("""COMPUTED_VALUE"""),"")</f>
        <v/>
      </c>
      <c r="X2479" s="143" t="str">
        <f t="shared" si="2"/>
        <v/>
      </c>
      <c r="Y2479" s="139" t="str">
        <f>IFERROR(__xludf.DUMMYFUNCTION("""COMPUTED_VALUE"""),"")</f>
        <v/>
      </c>
      <c r="Z2479" s="141" t="str">
        <f>IFERROR(__xludf.DUMMYFUNCTION("""COMPUTED_VALUE"""),"")</f>
        <v/>
      </c>
    </row>
    <row r="2480">
      <c r="D2480" s="136" t="str">
        <f t="shared" si="3"/>
        <v/>
      </c>
      <c r="E2480" s="152"/>
      <c r="F2480" s="106" t="s">
        <v>133</v>
      </c>
      <c r="G2480" s="152"/>
      <c r="H2480" s="106" t="s">
        <v>133</v>
      </c>
      <c r="J2480" s="139" t="s">
        <v>133</v>
      </c>
      <c r="K2480" s="136" t="s">
        <v>133</v>
      </c>
      <c r="L2480" s="153"/>
      <c r="M2480" s="136" t="str">
        <f t="shared" si="1"/>
        <v/>
      </c>
      <c r="O2480" s="141" t="s">
        <v>133</v>
      </c>
      <c r="P2480" s="136" t="str">
        <f>IFERROR(__xludf.DUMMYFUNCTION("""COMPUTED_VALUE"""),"")</f>
        <v/>
      </c>
      <c r="Q2480" s="136" t="str">
        <f>IFERROR(__xludf.DUMMYFUNCTION("""COMPUTED_VALUE"""),"")</f>
        <v/>
      </c>
      <c r="R2480" s="106" t="str">
        <f>IFERROR(__xludf.DUMMYFUNCTION("""COMPUTED_VALUE"""),"")</f>
        <v/>
      </c>
      <c r="S2480" s="106" t="str">
        <f>IFERROR(__xludf.DUMMYFUNCTION("""COMPUTED_VALUE"""),"")</f>
        <v/>
      </c>
      <c r="T2480" s="139" t="str">
        <f>IFERROR(__xludf.DUMMYFUNCTION("""COMPUTED_VALUE"""),"")</f>
        <v/>
      </c>
      <c r="U2480" s="139" t="str">
        <f>IFERROR(__xludf.DUMMYFUNCTION("""COMPUTED_VALUE"""),"")</f>
        <v/>
      </c>
      <c r="V2480" s="136" t="str">
        <f>IFERROR(__xludf.DUMMYFUNCTION("""COMPUTED_VALUE"""),"")</f>
        <v/>
      </c>
      <c r="W2480" s="106" t="str">
        <f>IFERROR(__xludf.DUMMYFUNCTION("""COMPUTED_VALUE"""),"")</f>
        <v/>
      </c>
      <c r="X2480" s="143" t="str">
        <f t="shared" si="2"/>
        <v/>
      </c>
      <c r="Y2480" s="139" t="str">
        <f>IFERROR(__xludf.DUMMYFUNCTION("""COMPUTED_VALUE"""),"")</f>
        <v/>
      </c>
      <c r="Z2480" s="141" t="str">
        <f>IFERROR(__xludf.DUMMYFUNCTION("""COMPUTED_VALUE"""),"")</f>
        <v/>
      </c>
    </row>
    <row r="2481">
      <c r="D2481" s="136" t="str">
        <f t="shared" si="3"/>
        <v/>
      </c>
      <c r="E2481" s="152"/>
      <c r="F2481" s="106" t="s">
        <v>133</v>
      </c>
      <c r="G2481" s="152"/>
      <c r="H2481" s="106" t="s">
        <v>133</v>
      </c>
      <c r="J2481" s="139" t="s">
        <v>133</v>
      </c>
      <c r="K2481" s="136" t="s">
        <v>133</v>
      </c>
      <c r="L2481" s="153"/>
      <c r="M2481" s="136" t="str">
        <f t="shared" si="1"/>
        <v/>
      </c>
      <c r="O2481" s="141" t="s">
        <v>133</v>
      </c>
      <c r="P2481" s="136" t="str">
        <f>IFERROR(__xludf.DUMMYFUNCTION("""COMPUTED_VALUE"""),"")</f>
        <v/>
      </c>
      <c r="Q2481" s="136" t="str">
        <f>IFERROR(__xludf.DUMMYFUNCTION("""COMPUTED_VALUE"""),"")</f>
        <v/>
      </c>
      <c r="R2481" s="106" t="str">
        <f>IFERROR(__xludf.DUMMYFUNCTION("""COMPUTED_VALUE"""),"")</f>
        <v/>
      </c>
      <c r="S2481" s="106" t="str">
        <f>IFERROR(__xludf.DUMMYFUNCTION("""COMPUTED_VALUE"""),"")</f>
        <v/>
      </c>
      <c r="T2481" s="139" t="str">
        <f>IFERROR(__xludf.DUMMYFUNCTION("""COMPUTED_VALUE"""),"")</f>
        <v/>
      </c>
      <c r="U2481" s="139" t="str">
        <f>IFERROR(__xludf.DUMMYFUNCTION("""COMPUTED_VALUE"""),"")</f>
        <v/>
      </c>
      <c r="V2481" s="136" t="str">
        <f>IFERROR(__xludf.DUMMYFUNCTION("""COMPUTED_VALUE"""),"")</f>
        <v/>
      </c>
      <c r="W2481" s="106" t="str">
        <f>IFERROR(__xludf.DUMMYFUNCTION("""COMPUTED_VALUE"""),"")</f>
        <v/>
      </c>
      <c r="X2481" s="143" t="str">
        <f t="shared" si="2"/>
        <v/>
      </c>
      <c r="Y2481" s="139" t="str">
        <f>IFERROR(__xludf.DUMMYFUNCTION("""COMPUTED_VALUE"""),"")</f>
        <v/>
      </c>
      <c r="Z2481" s="141" t="str">
        <f>IFERROR(__xludf.DUMMYFUNCTION("""COMPUTED_VALUE"""),"")</f>
        <v/>
      </c>
    </row>
    <row r="2482">
      <c r="D2482" s="136" t="str">
        <f t="shared" si="3"/>
        <v/>
      </c>
      <c r="E2482" s="152"/>
      <c r="F2482" s="106" t="s">
        <v>133</v>
      </c>
      <c r="G2482" s="152"/>
      <c r="H2482" s="106" t="s">
        <v>133</v>
      </c>
      <c r="J2482" s="139" t="s">
        <v>133</v>
      </c>
      <c r="K2482" s="136" t="s">
        <v>133</v>
      </c>
      <c r="L2482" s="153"/>
      <c r="M2482" s="136" t="str">
        <f t="shared" si="1"/>
        <v/>
      </c>
      <c r="O2482" s="141" t="s">
        <v>133</v>
      </c>
      <c r="P2482" s="136" t="str">
        <f>IFERROR(__xludf.DUMMYFUNCTION("""COMPUTED_VALUE"""),"")</f>
        <v/>
      </c>
      <c r="Q2482" s="136" t="str">
        <f>IFERROR(__xludf.DUMMYFUNCTION("""COMPUTED_VALUE"""),"")</f>
        <v/>
      </c>
      <c r="R2482" s="106" t="str">
        <f>IFERROR(__xludf.DUMMYFUNCTION("""COMPUTED_VALUE"""),"")</f>
        <v/>
      </c>
      <c r="S2482" s="106" t="str">
        <f>IFERROR(__xludf.DUMMYFUNCTION("""COMPUTED_VALUE"""),"")</f>
        <v/>
      </c>
      <c r="T2482" s="139" t="str">
        <f>IFERROR(__xludf.DUMMYFUNCTION("""COMPUTED_VALUE"""),"")</f>
        <v/>
      </c>
      <c r="U2482" s="139" t="str">
        <f>IFERROR(__xludf.DUMMYFUNCTION("""COMPUTED_VALUE"""),"")</f>
        <v/>
      </c>
      <c r="V2482" s="136" t="str">
        <f>IFERROR(__xludf.DUMMYFUNCTION("""COMPUTED_VALUE"""),"")</f>
        <v/>
      </c>
      <c r="W2482" s="106" t="str">
        <f>IFERROR(__xludf.DUMMYFUNCTION("""COMPUTED_VALUE"""),"")</f>
        <v/>
      </c>
      <c r="X2482" s="143" t="str">
        <f t="shared" si="2"/>
        <v/>
      </c>
      <c r="Y2482" s="139" t="str">
        <f>IFERROR(__xludf.DUMMYFUNCTION("""COMPUTED_VALUE"""),"")</f>
        <v/>
      </c>
      <c r="Z2482" s="141" t="str">
        <f>IFERROR(__xludf.DUMMYFUNCTION("""COMPUTED_VALUE"""),"")</f>
        <v/>
      </c>
    </row>
    <row r="2483">
      <c r="D2483" s="136" t="str">
        <f t="shared" si="3"/>
        <v/>
      </c>
      <c r="E2483" s="152"/>
      <c r="F2483" s="106" t="s">
        <v>133</v>
      </c>
      <c r="G2483" s="152"/>
      <c r="H2483" s="106" t="s">
        <v>133</v>
      </c>
      <c r="J2483" s="139" t="s">
        <v>133</v>
      </c>
      <c r="K2483" s="136" t="s">
        <v>133</v>
      </c>
      <c r="L2483" s="153"/>
      <c r="M2483" s="136" t="str">
        <f t="shared" si="1"/>
        <v/>
      </c>
      <c r="O2483" s="141" t="s">
        <v>133</v>
      </c>
      <c r="P2483" s="136" t="str">
        <f>IFERROR(__xludf.DUMMYFUNCTION("""COMPUTED_VALUE"""),"")</f>
        <v/>
      </c>
      <c r="Q2483" s="136" t="str">
        <f>IFERROR(__xludf.DUMMYFUNCTION("""COMPUTED_VALUE"""),"")</f>
        <v/>
      </c>
      <c r="R2483" s="106" t="str">
        <f>IFERROR(__xludf.DUMMYFUNCTION("""COMPUTED_VALUE"""),"")</f>
        <v/>
      </c>
      <c r="S2483" s="106" t="str">
        <f>IFERROR(__xludf.DUMMYFUNCTION("""COMPUTED_VALUE"""),"")</f>
        <v/>
      </c>
      <c r="T2483" s="139" t="str">
        <f>IFERROR(__xludf.DUMMYFUNCTION("""COMPUTED_VALUE"""),"")</f>
        <v/>
      </c>
      <c r="U2483" s="139" t="str">
        <f>IFERROR(__xludf.DUMMYFUNCTION("""COMPUTED_VALUE"""),"")</f>
        <v/>
      </c>
      <c r="V2483" s="136" t="str">
        <f>IFERROR(__xludf.DUMMYFUNCTION("""COMPUTED_VALUE"""),"")</f>
        <v/>
      </c>
      <c r="W2483" s="106" t="str">
        <f>IFERROR(__xludf.DUMMYFUNCTION("""COMPUTED_VALUE"""),"")</f>
        <v/>
      </c>
      <c r="X2483" s="143" t="str">
        <f t="shared" si="2"/>
        <v/>
      </c>
      <c r="Y2483" s="139" t="str">
        <f>IFERROR(__xludf.DUMMYFUNCTION("""COMPUTED_VALUE"""),"")</f>
        <v/>
      </c>
      <c r="Z2483" s="141" t="str">
        <f>IFERROR(__xludf.DUMMYFUNCTION("""COMPUTED_VALUE"""),"")</f>
        <v/>
      </c>
    </row>
    <row r="2484">
      <c r="D2484" s="136" t="str">
        <f t="shared" si="3"/>
        <v/>
      </c>
      <c r="E2484" s="152"/>
      <c r="F2484" s="106" t="s">
        <v>133</v>
      </c>
      <c r="G2484" s="152"/>
      <c r="H2484" s="106" t="s">
        <v>133</v>
      </c>
      <c r="J2484" s="139" t="s">
        <v>133</v>
      </c>
      <c r="K2484" s="136" t="s">
        <v>133</v>
      </c>
      <c r="L2484" s="153"/>
      <c r="M2484" s="136" t="str">
        <f t="shared" si="1"/>
        <v/>
      </c>
      <c r="O2484" s="141" t="s">
        <v>133</v>
      </c>
      <c r="P2484" s="136" t="str">
        <f>IFERROR(__xludf.DUMMYFUNCTION("""COMPUTED_VALUE"""),"")</f>
        <v/>
      </c>
      <c r="Q2484" s="136" t="str">
        <f>IFERROR(__xludf.DUMMYFUNCTION("""COMPUTED_VALUE"""),"")</f>
        <v/>
      </c>
      <c r="R2484" s="106" t="str">
        <f>IFERROR(__xludf.DUMMYFUNCTION("""COMPUTED_VALUE"""),"")</f>
        <v/>
      </c>
      <c r="S2484" s="106" t="str">
        <f>IFERROR(__xludf.DUMMYFUNCTION("""COMPUTED_VALUE"""),"")</f>
        <v/>
      </c>
      <c r="T2484" s="139" t="str">
        <f>IFERROR(__xludf.DUMMYFUNCTION("""COMPUTED_VALUE"""),"")</f>
        <v/>
      </c>
      <c r="U2484" s="139" t="str">
        <f>IFERROR(__xludf.DUMMYFUNCTION("""COMPUTED_VALUE"""),"")</f>
        <v/>
      </c>
      <c r="V2484" s="136" t="str">
        <f>IFERROR(__xludf.DUMMYFUNCTION("""COMPUTED_VALUE"""),"")</f>
        <v/>
      </c>
      <c r="W2484" s="106" t="str">
        <f>IFERROR(__xludf.DUMMYFUNCTION("""COMPUTED_VALUE"""),"")</f>
        <v/>
      </c>
      <c r="X2484" s="143" t="str">
        <f t="shared" si="2"/>
        <v/>
      </c>
      <c r="Y2484" s="139" t="str">
        <f>IFERROR(__xludf.DUMMYFUNCTION("""COMPUTED_VALUE"""),"")</f>
        <v/>
      </c>
      <c r="Z2484" s="141" t="str">
        <f>IFERROR(__xludf.DUMMYFUNCTION("""COMPUTED_VALUE"""),"")</f>
        <v/>
      </c>
    </row>
    <row r="2485">
      <c r="D2485" s="136" t="str">
        <f t="shared" si="3"/>
        <v/>
      </c>
      <c r="E2485" s="152"/>
      <c r="F2485" s="106" t="s">
        <v>133</v>
      </c>
      <c r="G2485" s="152"/>
      <c r="H2485" s="106" t="s">
        <v>133</v>
      </c>
      <c r="J2485" s="139" t="s">
        <v>133</v>
      </c>
      <c r="K2485" s="136" t="s">
        <v>133</v>
      </c>
      <c r="L2485" s="153"/>
      <c r="M2485" s="136" t="str">
        <f t="shared" si="1"/>
        <v/>
      </c>
      <c r="O2485" s="141" t="s">
        <v>133</v>
      </c>
      <c r="P2485" s="136" t="str">
        <f>IFERROR(__xludf.DUMMYFUNCTION("""COMPUTED_VALUE"""),"")</f>
        <v/>
      </c>
      <c r="Q2485" s="136" t="str">
        <f>IFERROR(__xludf.DUMMYFUNCTION("""COMPUTED_VALUE"""),"")</f>
        <v/>
      </c>
      <c r="R2485" s="106" t="str">
        <f>IFERROR(__xludf.DUMMYFUNCTION("""COMPUTED_VALUE"""),"")</f>
        <v/>
      </c>
      <c r="S2485" s="106" t="str">
        <f>IFERROR(__xludf.DUMMYFUNCTION("""COMPUTED_VALUE"""),"")</f>
        <v/>
      </c>
      <c r="T2485" s="139" t="str">
        <f>IFERROR(__xludf.DUMMYFUNCTION("""COMPUTED_VALUE"""),"")</f>
        <v/>
      </c>
      <c r="U2485" s="139" t="str">
        <f>IFERROR(__xludf.DUMMYFUNCTION("""COMPUTED_VALUE"""),"")</f>
        <v/>
      </c>
      <c r="V2485" s="136" t="str">
        <f>IFERROR(__xludf.DUMMYFUNCTION("""COMPUTED_VALUE"""),"")</f>
        <v/>
      </c>
      <c r="W2485" s="106" t="str">
        <f>IFERROR(__xludf.DUMMYFUNCTION("""COMPUTED_VALUE"""),"")</f>
        <v/>
      </c>
      <c r="X2485" s="143" t="str">
        <f t="shared" si="2"/>
        <v/>
      </c>
      <c r="Y2485" s="139" t="str">
        <f>IFERROR(__xludf.DUMMYFUNCTION("""COMPUTED_VALUE"""),"")</f>
        <v/>
      </c>
      <c r="Z2485" s="141" t="str">
        <f>IFERROR(__xludf.DUMMYFUNCTION("""COMPUTED_VALUE"""),"")</f>
        <v/>
      </c>
    </row>
    <row r="2486">
      <c r="D2486" s="136" t="str">
        <f t="shared" si="3"/>
        <v/>
      </c>
      <c r="E2486" s="152"/>
      <c r="F2486" s="106" t="s">
        <v>133</v>
      </c>
      <c r="G2486" s="152"/>
      <c r="H2486" s="106" t="s">
        <v>133</v>
      </c>
      <c r="J2486" s="139" t="s">
        <v>133</v>
      </c>
      <c r="K2486" s="136" t="s">
        <v>133</v>
      </c>
      <c r="L2486" s="153"/>
      <c r="M2486" s="136" t="str">
        <f t="shared" si="1"/>
        <v/>
      </c>
      <c r="O2486" s="141" t="s">
        <v>133</v>
      </c>
      <c r="P2486" s="136" t="str">
        <f>IFERROR(__xludf.DUMMYFUNCTION("""COMPUTED_VALUE"""),"")</f>
        <v/>
      </c>
      <c r="Q2486" s="136" t="str">
        <f>IFERROR(__xludf.DUMMYFUNCTION("""COMPUTED_VALUE"""),"")</f>
        <v/>
      </c>
      <c r="R2486" s="106" t="str">
        <f>IFERROR(__xludf.DUMMYFUNCTION("""COMPUTED_VALUE"""),"")</f>
        <v/>
      </c>
      <c r="S2486" s="106" t="str">
        <f>IFERROR(__xludf.DUMMYFUNCTION("""COMPUTED_VALUE"""),"")</f>
        <v/>
      </c>
      <c r="T2486" s="139" t="str">
        <f>IFERROR(__xludf.DUMMYFUNCTION("""COMPUTED_VALUE"""),"")</f>
        <v/>
      </c>
      <c r="U2486" s="139" t="str">
        <f>IFERROR(__xludf.DUMMYFUNCTION("""COMPUTED_VALUE"""),"")</f>
        <v/>
      </c>
      <c r="V2486" s="136" t="str">
        <f>IFERROR(__xludf.DUMMYFUNCTION("""COMPUTED_VALUE"""),"")</f>
        <v/>
      </c>
      <c r="W2486" s="106" t="str">
        <f>IFERROR(__xludf.DUMMYFUNCTION("""COMPUTED_VALUE"""),"")</f>
        <v/>
      </c>
      <c r="X2486" s="143" t="str">
        <f t="shared" si="2"/>
        <v/>
      </c>
      <c r="Y2486" s="139" t="str">
        <f>IFERROR(__xludf.DUMMYFUNCTION("""COMPUTED_VALUE"""),"")</f>
        <v/>
      </c>
      <c r="Z2486" s="141" t="str">
        <f>IFERROR(__xludf.DUMMYFUNCTION("""COMPUTED_VALUE"""),"")</f>
        <v/>
      </c>
    </row>
    <row r="2487">
      <c r="D2487" s="136" t="str">
        <f t="shared" si="3"/>
        <v/>
      </c>
      <c r="E2487" s="152"/>
      <c r="F2487" s="106" t="s">
        <v>133</v>
      </c>
      <c r="G2487" s="152"/>
      <c r="H2487" s="106" t="s">
        <v>133</v>
      </c>
      <c r="J2487" s="139" t="s">
        <v>133</v>
      </c>
      <c r="K2487" s="136" t="s">
        <v>133</v>
      </c>
      <c r="L2487" s="153"/>
      <c r="M2487" s="136" t="str">
        <f t="shared" si="1"/>
        <v/>
      </c>
      <c r="O2487" s="141" t="s">
        <v>133</v>
      </c>
      <c r="P2487" s="136" t="str">
        <f>IFERROR(__xludf.DUMMYFUNCTION("""COMPUTED_VALUE"""),"")</f>
        <v/>
      </c>
      <c r="Q2487" s="136" t="str">
        <f>IFERROR(__xludf.DUMMYFUNCTION("""COMPUTED_VALUE"""),"")</f>
        <v/>
      </c>
      <c r="R2487" s="106" t="str">
        <f>IFERROR(__xludf.DUMMYFUNCTION("""COMPUTED_VALUE"""),"")</f>
        <v/>
      </c>
      <c r="S2487" s="106" t="str">
        <f>IFERROR(__xludf.DUMMYFUNCTION("""COMPUTED_VALUE"""),"")</f>
        <v/>
      </c>
      <c r="T2487" s="139" t="str">
        <f>IFERROR(__xludf.DUMMYFUNCTION("""COMPUTED_VALUE"""),"")</f>
        <v/>
      </c>
      <c r="U2487" s="139" t="str">
        <f>IFERROR(__xludf.DUMMYFUNCTION("""COMPUTED_VALUE"""),"")</f>
        <v/>
      </c>
      <c r="V2487" s="136" t="str">
        <f>IFERROR(__xludf.DUMMYFUNCTION("""COMPUTED_VALUE"""),"")</f>
        <v/>
      </c>
      <c r="W2487" s="106" t="str">
        <f>IFERROR(__xludf.DUMMYFUNCTION("""COMPUTED_VALUE"""),"")</f>
        <v/>
      </c>
      <c r="X2487" s="143" t="str">
        <f t="shared" si="2"/>
        <v/>
      </c>
      <c r="Y2487" s="139" t="str">
        <f>IFERROR(__xludf.DUMMYFUNCTION("""COMPUTED_VALUE"""),"")</f>
        <v/>
      </c>
      <c r="Z2487" s="141" t="str">
        <f>IFERROR(__xludf.DUMMYFUNCTION("""COMPUTED_VALUE"""),"")</f>
        <v/>
      </c>
    </row>
    <row r="2488">
      <c r="D2488" s="136" t="str">
        <f t="shared" si="3"/>
        <v/>
      </c>
      <c r="E2488" s="152"/>
      <c r="F2488" s="106" t="s">
        <v>133</v>
      </c>
      <c r="G2488" s="152"/>
      <c r="H2488" s="106" t="s">
        <v>133</v>
      </c>
      <c r="J2488" s="139" t="s">
        <v>133</v>
      </c>
      <c r="K2488" s="136" t="s">
        <v>133</v>
      </c>
      <c r="L2488" s="153"/>
      <c r="M2488" s="136" t="str">
        <f t="shared" si="1"/>
        <v/>
      </c>
      <c r="O2488" s="141" t="s">
        <v>133</v>
      </c>
      <c r="P2488" s="136" t="str">
        <f>IFERROR(__xludf.DUMMYFUNCTION("""COMPUTED_VALUE"""),"")</f>
        <v/>
      </c>
      <c r="Q2488" s="136" t="str">
        <f>IFERROR(__xludf.DUMMYFUNCTION("""COMPUTED_VALUE"""),"")</f>
        <v/>
      </c>
      <c r="R2488" s="106" t="str">
        <f>IFERROR(__xludf.DUMMYFUNCTION("""COMPUTED_VALUE"""),"")</f>
        <v/>
      </c>
      <c r="S2488" s="106" t="str">
        <f>IFERROR(__xludf.DUMMYFUNCTION("""COMPUTED_VALUE"""),"")</f>
        <v/>
      </c>
      <c r="T2488" s="139" t="str">
        <f>IFERROR(__xludf.DUMMYFUNCTION("""COMPUTED_VALUE"""),"")</f>
        <v/>
      </c>
      <c r="U2488" s="139" t="str">
        <f>IFERROR(__xludf.DUMMYFUNCTION("""COMPUTED_VALUE"""),"")</f>
        <v/>
      </c>
      <c r="V2488" s="136" t="str">
        <f>IFERROR(__xludf.DUMMYFUNCTION("""COMPUTED_VALUE"""),"")</f>
        <v/>
      </c>
      <c r="W2488" s="106" t="str">
        <f>IFERROR(__xludf.DUMMYFUNCTION("""COMPUTED_VALUE"""),"")</f>
        <v/>
      </c>
      <c r="X2488" s="143" t="str">
        <f t="shared" si="2"/>
        <v/>
      </c>
      <c r="Y2488" s="139" t="str">
        <f>IFERROR(__xludf.DUMMYFUNCTION("""COMPUTED_VALUE"""),"")</f>
        <v/>
      </c>
      <c r="Z2488" s="141" t="str">
        <f>IFERROR(__xludf.DUMMYFUNCTION("""COMPUTED_VALUE"""),"")</f>
        <v/>
      </c>
    </row>
    <row r="2489">
      <c r="D2489" s="136" t="str">
        <f t="shared" si="3"/>
        <v/>
      </c>
      <c r="E2489" s="152"/>
      <c r="F2489" s="106" t="s">
        <v>133</v>
      </c>
      <c r="G2489" s="152"/>
      <c r="H2489" s="106" t="s">
        <v>133</v>
      </c>
      <c r="J2489" s="139" t="s">
        <v>133</v>
      </c>
      <c r="K2489" s="136" t="s">
        <v>133</v>
      </c>
      <c r="L2489" s="153"/>
      <c r="M2489" s="136" t="str">
        <f t="shared" si="1"/>
        <v/>
      </c>
      <c r="O2489" s="141" t="s">
        <v>133</v>
      </c>
      <c r="P2489" s="136" t="str">
        <f>IFERROR(__xludf.DUMMYFUNCTION("""COMPUTED_VALUE"""),"")</f>
        <v/>
      </c>
      <c r="Q2489" s="136" t="str">
        <f>IFERROR(__xludf.DUMMYFUNCTION("""COMPUTED_VALUE"""),"")</f>
        <v/>
      </c>
      <c r="R2489" s="106" t="str">
        <f>IFERROR(__xludf.DUMMYFUNCTION("""COMPUTED_VALUE"""),"")</f>
        <v/>
      </c>
      <c r="S2489" s="106" t="str">
        <f>IFERROR(__xludf.DUMMYFUNCTION("""COMPUTED_VALUE"""),"")</f>
        <v/>
      </c>
      <c r="T2489" s="139" t="str">
        <f>IFERROR(__xludf.DUMMYFUNCTION("""COMPUTED_VALUE"""),"")</f>
        <v/>
      </c>
      <c r="U2489" s="139" t="str">
        <f>IFERROR(__xludf.DUMMYFUNCTION("""COMPUTED_VALUE"""),"")</f>
        <v/>
      </c>
      <c r="V2489" s="136" t="str">
        <f>IFERROR(__xludf.DUMMYFUNCTION("""COMPUTED_VALUE"""),"")</f>
        <v/>
      </c>
      <c r="W2489" s="106" t="str">
        <f>IFERROR(__xludf.DUMMYFUNCTION("""COMPUTED_VALUE"""),"")</f>
        <v/>
      </c>
      <c r="X2489" s="143" t="str">
        <f t="shared" si="2"/>
        <v/>
      </c>
      <c r="Y2489" s="139" t="str">
        <f>IFERROR(__xludf.DUMMYFUNCTION("""COMPUTED_VALUE"""),"")</f>
        <v/>
      </c>
      <c r="Z2489" s="141" t="str">
        <f>IFERROR(__xludf.DUMMYFUNCTION("""COMPUTED_VALUE"""),"")</f>
        <v/>
      </c>
    </row>
    <row r="2490">
      <c r="D2490" s="136" t="str">
        <f t="shared" si="3"/>
        <v/>
      </c>
      <c r="E2490" s="152"/>
      <c r="F2490" s="106" t="s">
        <v>133</v>
      </c>
      <c r="G2490" s="152"/>
      <c r="H2490" s="106" t="s">
        <v>133</v>
      </c>
      <c r="J2490" s="139" t="s">
        <v>133</v>
      </c>
      <c r="K2490" s="136" t="s">
        <v>133</v>
      </c>
      <c r="L2490" s="153"/>
      <c r="M2490" s="136" t="str">
        <f t="shared" si="1"/>
        <v/>
      </c>
      <c r="O2490" s="141" t="s">
        <v>133</v>
      </c>
      <c r="P2490" s="136" t="str">
        <f>IFERROR(__xludf.DUMMYFUNCTION("""COMPUTED_VALUE"""),"")</f>
        <v/>
      </c>
      <c r="Q2490" s="136" t="str">
        <f>IFERROR(__xludf.DUMMYFUNCTION("""COMPUTED_VALUE"""),"")</f>
        <v/>
      </c>
      <c r="R2490" s="106" t="str">
        <f>IFERROR(__xludf.DUMMYFUNCTION("""COMPUTED_VALUE"""),"")</f>
        <v/>
      </c>
      <c r="S2490" s="106" t="str">
        <f>IFERROR(__xludf.DUMMYFUNCTION("""COMPUTED_VALUE"""),"")</f>
        <v/>
      </c>
      <c r="T2490" s="139" t="str">
        <f>IFERROR(__xludf.DUMMYFUNCTION("""COMPUTED_VALUE"""),"")</f>
        <v/>
      </c>
      <c r="U2490" s="139" t="str">
        <f>IFERROR(__xludf.DUMMYFUNCTION("""COMPUTED_VALUE"""),"")</f>
        <v/>
      </c>
      <c r="V2490" s="136" t="str">
        <f>IFERROR(__xludf.DUMMYFUNCTION("""COMPUTED_VALUE"""),"")</f>
        <v/>
      </c>
      <c r="W2490" s="106" t="str">
        <f>IFERROR(__xludf.DUMMYFUNCTION("""COMPUTED_VALUE"""),"")</f>
        <v/>
      </c>
      <c r="X2490" s="143" t="str">
        <f t="shared" si="2"/>
        <v/>
      </c>
      <c r="Y2490" s="139" t="str">
        <f>IFERROR(__xludf.DUMMYFUNCTION("""COMPUTED_VALUE"""),"")</f>
        <v/>
      </c>
      <c r="Z2490" s="141" t="str">
        <f>IFERROR(__xludf.DUMMYFUNCTION("""COMPUTED_VALUE"""),"")</f>
        <v/>
      </c>
    </row>
    <row r="2491">
      <c r="D2491" s="136" t="str">
        <f t="shared" si="3"/>
        <v/>
      </c>
      <c r="E2491" s="152"/>
      <c r="F2491" s="106" t="s">
        <v>133</v>
      </c>
      <c r="G2491" s="152"/>
      <c r="H2491" s="106" t="s">
        <v>133</v>
      </c>
      <c r="J2491" s="139" t="s">
        <v>133</v>
      </c>
      <c r="K2491" s="136" t="s">
        <v>133</v>
      </c>
      <c r="L2491" s="153"/>
      <c r="M2491" s="136" t="str">
        <f t="shared" si="1"/>
        <v/>
      </c>
      <c r="O2491" s="141" t="s">
        <v>133</v>
      </c>
      <c r="P2491" s="136" t="str">
        <f>IFERROR(__xludf.DUMMYFUNCTION("""COMPUTED_VALUE"""),"")</f>
        <v/>
      </c>
      <c r="Q2491" s="136" t="str">
        <f>IFERROR(__xludf.DUMMYFUNCTION("""COMPUTED_VALUE"""),"")</f>
        <v/>
      </c>
      <c r="R2491" s="106" t="str">
        <f>IFERROR(__xludf.DUMMYFUNCTION("""COMPUTED_VALUE"""),"")</f>
        <v/>
      </c>
      <c r="S2491" s="106" t="str">
        <f>IFERROR(__xludf.DUMMYFUNCTION("""COMPUTED_VALUE"""),"")</f>
        <v/>
      </c>
      <c r="T2491" s="139" t="str">
        <f>IFERROR(__xludf.DUMMYFUNCTION("""COMPUTED_VALUE"""),"")</f>
        <v/>
      </c>
      <c r="U2491" s="139" t="str">
        <f>IFERROR(__xludf.DUMMYFUNCTION("""COMPUTED_VALUE"""),"")</f>
        <v/>
      </c>
      <c r="V2491" s="136" t="str">
        <f>IFERROR(__xludf.DUMMYFUNCTION("""COMPUTED_VALUE"""),"")</f>
        <v/>
      </c>
      <c r="W2491" s="106" t="str">
        <f>IFERROR(__xludf.DUMMYFUNCTION("""COMPUTED_VALUE"""),"")</f>
        <v/>
      </c>
      <c r="X2491" s="143" t="str">
        <f t="shared" si="2"/>
        <v/>
      </c>
      <c r="Y2491" s="139" t="str">
        <f>IFERROR(__xludf.DUMMYFUNCTION("""COMPUTED_VALUE"""),"")</f>
        <v/>
      </c>
      <c r="Z2491" s="141" t="str">
        <f>IFERROR(__xludf.DUMMYFUNCTION("""COMPUTED_VALUE"""),"")</f>
        <v/>
      </c>
    </row>
    <row r="2492">
      <c r="D2492" s="136" t="str">
        <f t="shared" si="3"/>
        <v/>
      </c>
      <c r="E2492" s="152"/>
      <c r="F2492" s="106" t="s">
        <v>133</v>
      </c>
      <c r="G2492" s="152"/>
      <c r="H2492" s="106" t="s">
        <v>133</v>
      </c>
      <c r="J2492" s="139" t="s">
        <v>133</v>
      </c>
      <c r="K2492" s="136" t="s">
        <v>133</v>
      </c>
      <c r="L2492" s="153"/>
      <c r="M2492" s="136" t="str">
        <f t="shared" si="1"/>
        <v/>
      </c>
      <c r="O2492" s="141" t="s">
        <v>133</v>
      </c>
      <c r="P2492" s="136" t="str">
        <f>IFERROR(__xludf.DUMMYFUNCTION("""COMPUTED_VALUE"""),"")</f>
        <v/>
      </c>
      <c r="Q2492" s="136" t="str">
        <f>IFERROR(__xludf.DUMMYFUNCTION("""COMPUTED_VALUE"""),"")</f>
        <v/>
      </c>
      <c r="R2492" s="106" t="str">
        <f>IFERROR(__xludf.DUMMYFUNCTION("""COMPUTED_VALUE"""),"")</f>
        <v/>
      </c>
      <c r="S2492" s="106" t="str">
        <f>IFERROR(__xludf.DUMMYFUNCTION("""COMPUTED_VALUE"""),"")</f>
        <v/>
      </c>
      <c r="T2492" s="139" t="str">
        <f>IFERROR(__xludf.DUMMYFUNCTION("""COMPUTED_VALUE"""),"")</f>
        <v/>
      </c>
      <c r="U2492" s="139" t="str">
        <f>IFERROR(__xludf.DUMMYFUNCTION("""COMPUTED_VALUE"""),"")</f>
        <v/>
      </c>
      <c r="V2492" s="136" t="str">
        <f>IFERROR(__xludf.DUMMYFUNCTION("""COMPUTED_VALUE"""),"")</f>
        <v/>
      </c>
      <c r="W2492" s="106" t="str">
        <f>IFERROR(__xludf.DUMMYFUNCTION("""COMPUTED_VALUE"""),"")</f>
        <v/>
      </c>
      <c r="X2492" s="143" t="str">
        <f t="shared" si="2"/>
        <v/>
      </c>
      <c r="Y2492" s="139" t="str">
        <f>IFERROR(__xludf.DUMMYFUNCTION("""COMPUTED_VALUE"""),"")</f>
        <v/>
      </c>
      <c r="Z2492" s="141" t="str">
        <f>IFERROR(__xludf.DUMMYFUNCTION("""COMPUTED_VALUE"""),"")</f>
        <v/>
      </c>
    </row>
    <row r="2493">
      <c r="D2493" s="136" t="str">
        <f t="shared" si="3"/>
        <v/>
      </c>
      <c r="E2493" s="152"/>
      <c r="F2493" s="106" t="s">
        <v>133</v>
      </c>
      <c r="G2493" s="152"/>
      <c r="H2493" s="106" t="s">
        <v>133</v>
      </c>
      <c r="J2493" s="139" t="s">
        <v>133</v>
      </c>
      <c r="K2493" s="136" t="s">
        <v>133</v>
      </c>
      <c r="L2493" s="153"/>
      <c r="M2493" s="136" t="str">
        <f t="shared" si="1"/>
        <v/>
      </c>
      <c r="O2493" s="141" t="s">
        <v>133</v>
      </c>
      <c r="P2493" s="136" t="str">
        <f>IFERROR(__xludf.DUMMYFUNCTION("""COMPUTED_VALUE"""),"")</f>
        <v/>
      </c>
      <c r="Q2493" s="136" t="str">
        <f>IFERROR(__xludf.DUMMYFUNCTION("""COMPUTED_VALUE"""),"")</f>
        <v/>
      </c>
      <c r="R2493" s="106" t="str">
        <f>IFERROR(__xludf.DUMMYFUNCTION("""COMPUTED_VALUE"""),"")</f>
        <v/>
      </c>
      <c r="S2493" s="106" t="str">
        <f>IFERROR(__xludf.DUMMYFUNCTION("""COMPUTED_VALUE"""),"")</f>
        <v/>
      </c>
      <c r="T2493" s="139" t="str">
        <f>IFERROR(__xludf.DUMMYFUNCTION("""COMPUTED_VALUE"""),"")</f>
        <v/>
      </c>
      <c r="U2493" s="139" t="str">
        <f>IFERROR(__xludf.DUMMYFUNCTION("""COMPUTED_VALUE"""),"")</f>
        <v/>
      </c>
      <c r="V2493" s="136" t="str">
        <f>IFERROR(__xludf.DUMMYFUNCTION("""COMPUTED_VALUE"""),"")</f>
        <v/>
      </c>
      <c r="W2493" s="106" t="str">
        <f>IFERROR(__xludf.DUMMYFUNCTION("""COMPUTED_VALUE"""),"")</f>
        <v/>
      </c>
      <c r="X2493" s="143" t="str">
        <f t="shared" si="2"/>
        <v/>
      </c>
      <c r="Y2493" s="139" t="str">
        <f>IFERROR(__xludf.DUMMYFUNCTION("""COMPUTED_VALUE"""),"")</f>
        <v/>
      </c>
      <c r="Z2493" s="141" t="str">
        <f>IFERROR(__xludf.DUMMYFUNCTION("""COMPUTED_VALUE"""),"")</f>
        <v/>
      </c>
    </row>
    <row r="2494">
      <c r="D2494" s="136" t="str">
        <f t="shared" si="3"/>
        <v/>
      </c>
      <c r="E2494" s="152"/>
      <c r="F2494" s="106" t="s">
        <v>133</v>
      </c>
      <c r="G2494" s="152"/>
      <c r="H2494" s="106" t="s">
        <v>133</v>
      </c>
      <c r="J2494" s="139" t="s">
        <v>133</v>
      </c>
      <c r="K2494" s="136" t="s">
        <v>133</v>
      </c>
      <c r="L2494" s="153"/>
      <c r="M2494" s="136" t="str">
        <f t="shared" si="1"/>
        <v/>
      </c>
      <c r="O2494" s="141" t="s">
        <v>133</v>
      </c>
      <c r="P2494" s="136" t="str">
        <f>IFERROR(__xludf.DUMMYFUNCTION("""COMPUTED_VALUE"""),"")</f>
        <v/>
      </c>
      <c r="Q2494" s="136" t="str">
        <f>IFERROR(__xludf.DUMMYFUNCTION("""COMPUTED_VALUE"""),"")</f>
        <v/>
      </c>
      <c r="R2494" s="106" t="str">
        <f>IFERROR(__xludf.DUMMYFUNCTION("""COMPUTED_VALUE"""),"")</f>
        <v/>
      </c>
      <c r="S2494" s="106" t="str">
        <f>IFERROR(__xludf.DUMMYFUNCTION("""COMPUTED_VALUE"""),"")</f>
        <v/>
      </c>
      <c r="T2494" s="139" t="str">
        <f>IFERROR(__xludf.DUMMYFUNCTION("""COMPUTED_VALUE"""),"")</f>
        <v/>
      </c>
      <c r="U2494" s="139" t="str">
        <f>IFERROR(__xludf.DUMMYFUNCTION("""COMPUTED_VALUE"""),"")</f>
        <v/>
      </c>
      <c r="V2494" s="136" t="str">
        <f>IFERROR(__xludf.DUMMYFUNCTION("""COMPUTED_VALUE"""),"")</f>
        <v/>
      </c>
      <c r="W2494" s="106" t="str">
        <f>IFERROR(__xludf.DUMMYFUNCTION("""COMPUTED_VALUE"""),"")</f>
        <v/>
      </c>
      <c r="X2494" s="143" t="str">
        <f t="shared" si="2"/>
        <v/>
      </c>
      <c r="Y2494" s="139" t="str">
        <f>IFERROR(__xludf.DUMMYFUNCTION("""COMPUTED_VALUE"""),"")</f>
        <v/>
      </c>
      <c r="Z2494" s="141" t="str">
        <f>IFERROR(__xludf.DUMMYFUNCTION("""COMPUTED_VALUE"""),"")</f>
        <v/>
      </c>
    </row>
    <row r="2495">
      <c r="D2495" s="136" t="str">
        <f t="shared" si="3"/>
        <v/>
      </c>
      <c r="E2495" s="152"/>
      <c r="F2495" s="106" t="s">
        <v>133</v>
      </c>
      <c r="G2495" s="152"/>
      <c r="H2495" s="106" t="s">
        <v>133</v>
      </c>
      <c r="J2495" s="139" t="s">
        <v>133</v>
      </c>
      <c r="K2495" s="136" t="s">
        <v>133</v>
      </c>
      <c r="L2495" s="153"/>
      <c r="M2495" s="136" t="str">
        <f t="shared" si="1"/>
        <v/>
      </c>
      <c r="O2495" s="141" t="s">
        <v>133</v>
      </c>
      <c r="P2495" s="136" t="str">
        <f>IFERROR(__xludf.DUMMYFUNCTION("""COMPUTED_VALUE"""),"")</f>
        <v/>
      </c>
      <c r="Q2495" s="136" t="str">
        <f>IFERROR(__xludf.DUMMYFUNCTION("""COMPUTED_VALUE"""),"")</f>
        <v/>
      </c>
      <c r="R2495" s="106" t="str">
        <f>IFERROR(__xludf.DUMMYFUNCTION("""COMPUTED_VALUE"""),"")</f>
        <v/>
      </c>
      <c r="S2495" s="106" t="str">
        <f>IFERROR(__xludf.DUMMYFUNCTION("""COMPUTED_VALUE"""),"")</f>
        <v/>
      </c>
      <c r="T2495" s="139" t="str">
        <f>IFERROR(__xludf.DUMMYFUNCTION("""COMPUTED_VALUE"""),"")</f>
        <v/>
      </c>
      <c r="U2495" s="139" t="str">
        <f>IFERROR(__xludf.DUMMYFUNCTION("""COMPUTED_VALUE"""),"")</f>
        <v/>
      </c>
      <c r="V2495" s="136" t="str">
        <f>IFERROR(__xludf.DUMMYFUNCTION("""COMPUTED_VALUE"""),"")</f>
        <v/>
      </c>
      <c r="W2495" s="106" t="str">
        <f>IFERROR(__xludf.DUMMYFUNCTION("""COMPUTED_VALUE"""),"")</f>
        <v/>
      </c>
      <c r="X2495" s="143" t="str">
        <f t="shared" si="2"/>
        <v/>
      </c>
      <c r="Y2495" s="139" t="str">
        <f>IFERROR(__xludf.DUMMYFUNCTION("""COMPUTED_VALUE"""),"")</f>
        <v/>
      </c>
      <c r="Z2495" s="141" t="str">
        <f>IFERROR(__xludf.DUMMYFUNCTION("""COMPUTED_VALUE"""),"")</f>
        <v/>
      </c>
    </row>
    <row r="2496">
      <c r="D2496" s="136" t="str">
        <f t="shared" si="3"/>
        <v/>
      </c>
      <c r="E2496" s="152"/>
      <c r="F2496" s="106" t="s">
        <v>133</v>
      </c>
      <c r="G2496" s="152"/>
      <c r="H2496" s="106" t="s">
        <v>133</v>
      </c>
      <c r="J2496" s="139" t="s">
        <v>133</v>
      </c>
      <c r="K2496" s="136" t="s">
        <v>133</v>
      </c>
      <c r="L2496" s="153"/>
      <c r="M2496" s="136" t="str">
        <f t="shared" si="1"/>
        <v/>
      </c>
      <c r="O2496" s="141" t="s">
        <v>133</v>
      </c>
      <c r="P2496" s="136" t="str">
        <f>IFERROR(__xludf.DUMMYFUNCTION("""COMPUTED_VALUE"""),"")</f>
        <v/>
      </c>
      <c r="Q2496" s="136" t="str">
        <f>IFERROR(__xludf.DUMMYFUNCTION("""COMPUTED_VALUE"""),"")</f>
        <v/>
      </c>
      <c r="R2496" s="106" t="str">
        <f>IFERROR(__xludf.DUMMYFUNCTION("""COMPUTED_VALUE"""),"")</f>
        <v/>
      </c>
      <c r="S2496" s="106" t="str">
        <f>IFERROR(__xludf.DUMMYFUNCTION("""COMPUTED_VALUE"""),"")</f>
        <v/>
      </c>
      <c r="T2496" s="139" t="str">
        <f>IFERROR(__xludf.DUMMYFUNCTION("""COMPUTED_VALUE"""),"")</f>
        <v/>
      </c>
      <c r="U2496" s="139" t="str">
        <f>IFERROR(__xludf.DUMMYFUNCTION("""COMPUTED_VALUE"""),"")</f>
        <v/>
      </c>
      <c r="V2496" s="136" t="str">
        <f>IFERROR(__xludf.DUMMYFUNCTION("""COMPUTED_VALUE"""),"")</f>
        <v/>
      </c>
      <c r="W2496" s="106" t="str">
        <f>IFERROR(__xludf.DUMMYFUNCTION("""COMPUTED_VALUE"""),"")</f>
        <v/>
      </c>
      <c r="X2496" s="143" t="str">
        <f t="shared" si="2"/>
        <v/>
      </c>
      <c r="Y2496" s="139" t="str">
        <f>IFERROR(__xludf.DUMMYFUNCTION("""COMPUTED_VALUE"""),"")</f>
        <v/>
      </c>
      <c r="Z2496" s="141" t="str">
        <f>IFERROR(__xludf.DUMMYFUNCTION("""COMPUTED_VALUE"""),"")</f>
        <v/>
      </c>
    </row>
    <row r="2497">
      <c r="D2497" s="136" t="str">
        <f t="shared" si="3"/>
        <v/>
      </c>
      <c r="E2497" s="152"/>
      <c r="F2497" s="106" t="s">
        <v>133</v>
      </c>
      <c r="G2497" s="152"/>
      <c r="H2497" s="106" t="s">
        <v>133</v>
      </c>
      <c r="J2497" s="139" t="s">
        <v>133</v>
      </c>
      <c r="K2497" s="136" t="s">
        <v>133</v>
      </c>
      <c r="L2497" s="153"/>
      <c r="M2497" s="136" t="str">
        <f t="shared" si="1"/>
        <v/>
      </c>
      <c r="O2497" s="141" t="s">
        <v>133</v>
      </c>
      <c r="P2497" s="136" t="str">
        <f>IFERROR(__xludf.DUMMYFUNCTION("""COMPUTED_VALUE"""),"")</f>
        <v/>
      </c>
      <c r="Q2497" s="136" t="str">
        <f>IFERROR(__xludf.DUMMYFUNCTION("""COMPUTED_VALUE"""),"")</f>
        <v/>
      </c>
      <c r="R2497" s="106" t="str">
        <f>IFERROR(__xludf.DUMMYFUNCTION("""COMPUTED_VALUE"""),"")</f>
        <v/>
      </c>
      <c r="S2497" s="106" t="str">
        <f>IFERROR(__xludf.DUMMYFUNCTION("""COMPUTED_VALUE"""),"")</f>
        <v/>
      </c>
      <c r="T2497" s="139" t="str">
        <f>IFERROR(__xludf.DUMMYFUNCTION("""COMPUTED_VALUE"""),"")</f>
        <v/>
      </c>
      <c r="U2497" s="139" t="str">
        <f>IFERROR(__xludf.DUMMYFUNCTION("""COMPUTED_VALUE"""),"")</f>
        <v/>
      </c>
      <c r="V2497" s="136" t="str">
        <f>IFERROR(__xludf.DUMMYFUNCTION("""COMPUTED_VALUE"""),"")</f>
        <v/>
      </c>
      <c r="W2497" s="106" t="str">
        <f>IFERROR(__xludf.DUMMYFUNCTION("""COMPUTED_VALUE"""),"")</f>
        <v/>
      </c>
      <c r="X2497" s="143" t="str">
        <f t="shared" si="2"/>
        <v/>
      </c>
      <c r="Y2497" s="139" t="str">
        <f>IFERROR(__xludf.DUMMYFUNCTION("""COMPUTED_VALUE"""),"")</f>
        <v/>
      </c>
      <c r="Z2497" s="141" t="str">
        <f>IFERROR(__xludf.DUMMYFUNCTION("""COMPUTED_VALUE"""),"")</f>
        <v/>
      </c>
    </row>
    <row r="2498">
      <c r="D2498" s="136" t="str">
        <f t="shared" si="3"/>
        <v/>
      </c>
      <c r="E2498" s="152"/>
      <c r="F2498" s="106" t="s">
        <v>133</v>
      </c>
      <c r="G2498" s="152"/>
      <c r="H2498" s="106" t="s">
        <v>133</v>
      </c>
      <c r="J2498" s="139" t="s">
        <v>133</v>
      </c>
      <c r="K2498" s="136" t="s">
        <v>133</v>
      </c>
      <c r="L2498" s="153"/>
      <c r="M2498" s="136" t="str">
        <f t="shared" si="1"/>
        <v/>
      </c>
      <c r="O2498" s="141" t="s">
        <v>133</v>
      </c>
      <c r="P2498" s="136" t="str">
        <f>IFERROR(__xludf.DUMMYFUNCTION("""COMPUTED_VALUE"""),"")</f>
        <v/>
      </c>
      <c r="Q2498" s="136" t="str">
        <f>IFERROR(__xludf.DUMMYFUNCTION("""COMPUTED_VALUE"""),"")</f>
        <v/>
      </c>
      <c r="R2498" s="106" t="str">
        <f>IFERROR(__xludf.DUMMYFUNCTION("""COMPUTED_VALUE"""),"")</f>
        <v/>
      </c>
      <c r="S2498" s="106" t="str">
        <f>IFERROR(__xludf.DUMMYFUNCTION("""COMPUTED_VALUE"""),"")</f>
        <v/>
      </c>
      <c r="T2498" s="139" t="str">
        <f>IFERROR(__xludf.DUMMYFUNCTION("""COMPUTED_VALUE"""),"")</f>
        <v/>
      </c>
      <c r="U2498" s="139" t="str">
        <f>IFERROR(__xludf.DUMMYFUNCTION("""COMPUTED_VALUE"""),"")</f>
        <v/>
      </c>
      <c r="V2498" s="136" t="str">
        <f>IFERROR(__xludf.DUMMYFUNCTION("""COMPUTED_VALUE"""),"")</f>
        <v/>
      </c>
      <c r="W2498" s="106" t="str">
        <f>IFERROR(__xludf.DUMMYFUNCTION("""COMPUTED_VALUE"""),"")</f>
        <v/>
      </c>
      <c r="X2498" s="143" t="str">
        <f t="shared" si="2"/>
        <v/>
      </c>
      <c r="Y2498" s="139" t="str">
        <f>IFERROR(__xludf.DUMMYFUNCTION("""COMPUTED_VALUE"""),"")</f>
        <v/>
      </c>
      <c r="Z2498" s="141" t="str">
        <f>IFERROR(__xludf.DUMMYFUNCTION("""COMPUTED_VALUE"""),"")</f>
        <v/>
      </c>
    </row>
    <row r="2499">
      <c r="D2499" s="136" t="str">
        <f t="shared" si="3"/>
        <v/>
      </c>
      <c r="E2499" s="152"/>
      <c r="F2499" s="106" t="s">
        <v>133</v>
      </c>
      <c r="G2499" s="152"/>
      <c r="H2499" s="106" t="s">
        <v>133</v>
      </c>
      <c r="J2499" s="139" t="s">
        <v>133</v>
      </c>
      <c r="K2499" s="136" t="s">
        <v>133</v>
      </c>
      <c r="L2499" s="153"/>
      <c r="M2499" s="136" t="str">
        <f t="shared" si="1"/>
        <v/>
      </c>
      <c r="O2499" s="141" t="s">
        <v>133</v>
      </c>
      <c r="P2499" s="136" t="str">
        <f>IFERROR(__xludf.DUMMYFUNCTION("""COMPUTED_VALUE"""),"")</f>
        <v/>
      </c>
      <c r="Q2499" s="136" t="str">
        <f>IFERROR(__xludf.DUMMYFUNCTION("""COMPUTED_VALUE"""),"")</f>
        <v/>
      </c>
      <c r="R2499" s="106" t="str">
        <f>IFERROR(__xludf.DUMMYFUNCTION("""COMPUTED_VALUE"""),"")</f>
        <v/>
      </c>
      <c r="S2499" s="106" t="str">
        <f>IFERROR(__xludf.DUMMYFUNCTION("""COMPUTED_VALUE"""),"")</f>
        <v/>
      </c>
      <c r="T2499" s="139" t="str">
        <f>IFERROR(__xludf.DUMMYFUNCTION("""COMPUTED_VALUE"""),"")</f>
        <v/>
      </c>
      <c r="U2499" s="139" t="str">
        <f>IFERROR(__xludf.DUMMYFUNCTION("""COMPUTED_VALUE"""),"")</f>
        <v/>
      </c>
      <c r="V2499" s="136" t="str">
        <f>IFERROR(__xludf.DUMMYFUNCTION("""COMPUTED_VALUE"""),"")</f>
        <v/>
      </c>
      <c r="W2499" s="106" t="str">
        <f>IFERROR(__xludf.DUMMYFUNCTION("""COMPUTED_VALUE"""),"")</f>
        <v/>
      </c>
      <c r="X2499" s="143" t="str">
        <f t="shared" si="2"/>
        <v/>
      </c>
      <c r="Y2499" s="139" t="str">
        <f>IFERROR(__xludf.DUMMYFUNCTION("""COMPUTED_VALUE"""),"")</f>
        <v/>
      </c>
      <c r="Z2499" s="141" t="str">
        <f>IFERROR(__xludf.DUMMYFUNCTION("""COMPUTED_VALUE"""),"")</f>
        <v/>
      </c>
    </row>
    <row r="2500">
      <c r="D2500" s="136" t="str">
        <f t="shared" si="3"/>
        <v/>
      </c>
      <c r="E2500" s="152"/>
      <c r="F2500" s="106" t="s">
        <v>133</v>
      </c>
      <c r="G2500" s="152"/>
      <c r="H2500" s="106" t="s">
        <v>133</v>
      </c>
      <c r="J2500" s="139" t="s">
        <v>133</v>
      </c>
      <c r="K2500" s="136" t="s">
        <v>133</v>
      </c>
      <c r="L2500" s="153"/>
      <c r="M2500" s="136" t="str">
        <f t="shared" si="1"/>
        <v/>
      </c>
      <c r="O2500" s="141" t="s">
        <v>133</v>
      </c>
      <c r="P2500" s="136" t="str">
        <f>IFERROR(__xludf.DUMMYFUNCTION("""COMPUTED_VALUE"""),"")</f>
        <v/>
      </c>
      <c r="Q2500" s="136" t="str">
        <f>IFERROR(__xludf.DUMMYFUNCTION("""COMPUTED_VALUE"""),"")</f>
        <v/>
      </c>
      <c r="R2500" s="106" t="str">
        <f>IFERROR(__xludf.DUMMYFUNCTION("""COMPUTED_VALUE"""),"")</f>
        <v/>
      </c>
      <c r="S2500" s="106" t="str">
        <f>IFERROR(__xludf.DUMMYFUNCTION("""COMPUTED_VALUE"""),"")</f>
        <v/>
      </c>
      <c r="T2500" s="139" t="str">
        <f>IFERROR(__xludf.DUMMYFUNCTION("""COMPUTED_VALUE"""),"")</f>
        <v/>
      </c>
      <c r="U2500" s="139" t="str">
        <f>IFERROR(__xludf.DUMMYFUNCTION("""COMPUTED_VALUE"""),"")</f>
        <v/>
      </c>
      <c r="V2500" s="136" t="str">
        <f>IFERROR(__xludf.DUMMYFUNCTION("""COMPUTED_VALUE"""),"")</f>
        <v/>
      </c>
      <c r="W2500" s="106" t="str">
        <f>IFERROR(__xludf.DUMMYFUNCTION("""COMPUTED_VALUE"""),"")</f>
        <v/>
      </c>
      <c r="X2500" s="143" t="str">
        <f t="shared" si="2"/>
        <v/>
      </c>
      <c r="Y2500" s="139" t="str">
        <f>IFERROR(__xludf.DUMMYFUNCTION("""COMPUTED_VALUE"""),"")</f>
        <v/>
      </c>
      <c r="Z2500" s="141" t="str">
        <f>IFERROR(__xludf.DUMMYFUNCTION("""COMPUTED_VALUE"""),"")</f>
        <v/>
      </c>
    </row>
    <row r="2501">
      <c r="D2501" s="136" t="str">
        <f t="shared" si="3"/>
        <v/>
      </c>
      <c r="E2501" s="152"/>
      <c r="F2501" s="106" t="s">
        <v>133</v>
      </c>
      <c r="G2501" s="152"/>
      <c r="H2501" s="106" t="s">
        <v>133</v>
      </c>
      <c r="J2501" s="139" t="s">
        <v>133</v>
      </c>
      <c r="K2501" s="136" t="s">
        <v>133</v>
      </c>
      <c r="L2501" s="153"/>
      <c r="M2501" s="136" t="str">
        <f t="shared" si="1"/>
        <v/>
      </c>
      <c r="O2501" s="141" t="s">
        <v>133</v>
      </c>
      <c r="P2501" s="136" t="str">
        <f>IFERROR(__xludf.DUMMYFUNCTION("""COMPUTED_VALUE"""),"")</f>
        <v/>
      </c>
      <c r="Q2501" s="136" t="str">
        <f>IFERROR(__xludf.DUMMYFUNCTION("""COMPUTED_VALUE"""),"")</f>
        <v/>
      </c>
      <c r="R2501" s="106" t="str">
        <f>IFERROR(__xludf.DUMMYFUNCTION("""COMPUTED_VALUE"""),"")</f>
        <v/>
      </c>
      <c r="S2501" s="106" t="str">
        <f>IFERROR(__xludf.DUMMYFUNCTION("""COMPUTED_VALUE"""),"")</f>
        <v/>
      </c>
      <c r="T2501" s="139" t="str">
        <f>IFERROR(__xludf.DUMMYFUNCTION("""COMPUTED_VALUE"""),"")</f>
        <v/>
      </c>
      <c r="U2501" s="139" t="str">
        <f>IFERROR(__xludf.DUMMYFUNCTION("""COMPUTED_VALUE"""),"")</f>
        <v/>
      </c>
      <c r="V2501" s="136" t="str">
        <f>IFERROR(__xludf.DUMMYFUNCTION("""COMPUTED_VALUE"""),"")</f>
        <v/>
      </c>
      <c r="W2501" s="106" t="str">
        <f>IFERROR(__xludf.DUMMYFUNCTION("""COMPUTED_VALUE"""),"")</f>
        <v/>
      </c>
      <c r="X2501" s="143" t="str">
        <f t="shared" si="2"/>
        <v/>
      </c>
      <c r="Y2501" s="139" t="str">
        <f>IFERROR(__xludf.DUMMYFUNCTION("""COMPUTED_VALUE"""),"")</f>
        <v/>
      </c>
      <c r="Z2501" s="141" t="str">
        <f>IFERROR(__xludf.DUMMYFUNCTION("""COMPUTED_VALUE"""),"")</f>
        <v/>
      </c>
    </row>
    <row r="2502">
      <c r="D2502" s="136" t="str">
        <f t="shared" si="3"/>
        <v/>
      </c>
      <c r="E2502" s="152"/>
      <c r="F2502" s="106" t="s">
        <v>133</v>
      </c>
      <c r="G2502" s="152"/>
      <c r="H2502" s="106" t="s">
        <v>133</v>
      </c>
      <c r="J2502" s="139" t="s">
        <v>133</v>
      </c>
      <c r="K2502" s="136" t="s">
        <v>133</v>
      </c>
      <c r="L2502" s="153"/>
      <c r="M2502" s="136" t="str">
        <f t="shared" si="1"/>
        <v/>
      </c>
      <c r="O2502" s="141" t="s">
        <v>133</v>
      </c>
      <c r="P2502" s="136" t="str">
        <f>IFERROR(__xludf.DUMMYFUNCTION("""COMPUTED_VALUE"""),"")</f>
        <v/>
      </c>
      <c r="Q2502" s="136" t="str">
        <f>IFERROR(__xludf.DUMMYFUNCTION("""COMPUTED_VALUE"""),"")</f>
        <v/>
      </c>
      <c r="R2502" s="106" t="str">
        <f>IFERROR(__xludf.DUMMYFUNCTION("""COMPUTED_VALUE"""),"")</f>
        <v/>
      </c>
      <c r="S2502" s="106" t="str">
        <f>IFERROR(__xludf.DUMMYFUNCTION("""COMPUTED_VALUE"""),"")</f>
        <v/>
      </c>
      <c r="T2502" s="139" t="str">
        <f>IFERROR(__xludf.DUMMYFUNCTION("""COMPUTED_VALUE"""),"")</f>
        <v/>
      </c>
      <c r="U2502" s="139" t="str">
        <f>IFERROR(__xludf.DUMMYFUNCTION("""COMPUTED_VALUE"""),"")</f>
        <v/>
      </c>
      <c r="V2502" s="136" t="str">
        <f>IFERROR(__xludf.DUMMYFUNCTION("""COMPUTED_VALUE"""),"")</f>
        <v/>
      </c>
      <c r="W2502" s="106" t="str">
        <f>IFERROR(__xludf.DUMMYFUNCTION("""COMPUTED_VALUE"""),"")</f>
        <v/>
      </c>
      <c r="X2502" s="143" t="str">
        <f t="shared" si="2"/>
        <v/>
      </c>
      <c r="Y2502" s="139" t="str">
        <f>IFERROR(__xludf.DUMMYFUNCTION("""COMPUTED_VALUE"""),"")</f>
        <v/>
      </c>
      <c r="Z2502" s="141" t="str">
        <f>IFERROR(__xludf.DUMMYFUNCTION("""COMPUTED_VALUE"""),"")</f>
        <v/>
      </c>
    </row>
    <row r="2503">
      <c r="D2503" s="136" t="str">
        <f t="shared" si="3"/>
        <v/>
      </c>
      <c r="E2503" s="152"/>
      <c r="F2503" s="106" t="s">
        <v>133</v>
      </c>
      <c r="G2503" s="152"/>
      <c r="H2503" s="106" t="s">
        <v>133</v>
      </c>
      <c r="J2503" s="139" t="s">
        <v>133</v>
      </c>
      <c r="K2503" s="136" t="s">
        <v>133</v>
      </c>
      <c r="L2503" s="153"/>
      <c r="M2503" s="136" t="str">
        <f t="shared" si="1"/>
        <v/>
      </c>
      <c r="O2503" s="141" t="s">
        <v>133</v>
      </c>
      <c r="P2503" s="136" t="str">
        <f>IFERROR(__xludf.DUMMYFUNCTION("""COMPUTED_VALUE"""),"")</f>
        <v/>
      </c>
      <c r="Q2503" s="136" t="str">
        <f>IFERROR(__xludf.DUMMYFUNCTION("""COMPUTED_VALUE"""),"")</f>
        <v/>
      </c>
      <c r="R2503" s="106" t="str">
        <f>IFERROR(__xludf.DUMMYFUNCTION("""COMPUTED_VALUE"""),"")</f>
        <v/>
      </c>
      <c r="S2503" s="106" t="str">
        <f>IFERROR(__xludf.DUMMYFUNCTION("""COMPUTED_VALUE"""),"")</f>
        <v/>
      </c>
      <c r="T2503" s="139" t="str">
        <f>IFERROR(__xludf.DUMMYFUNCTION("""COMPUTED_VALUE"""),"")</f>
        <v/>
      </c>
      <c r="U2503" s="139" t="str">
        <f>IFERROR(__xludf.DUMMYFUNCTION("""COMPUTED_VALUE"""),"")</f>
        <v/>
      </c>
      <c r="V2503" s="136" t="str">
        <f>IFERROR(__xludf.DUMMYFUNCTION("""COMPUTED_VALUE"""),"")</f>
        <v/>
      </c>
      <c r="W2503" s="106" t="str">
        <f>IFERROR(__xludf.DUMMYFUNCTION("""COMPUTED_VALUE"""),"")</f>
        <v/>
      </c>
      <c r="X2503" s="143" t="str">
        <f t="shared" si="2"/>
        <v/>
      </c>
      <c r="Y2503" s="139" t="str">
        <f>IFERROR(__xludf.DUMMYFUNCTION("""COMPUTED_VALUE"""),"")</f>
        <v/>
      </c>
      <c r="Z2503" s="141" t="str">
        <f>IFERROR(__xludf.DUMMYFUNCTION("""COMPUTED_VALUE"""),"")</f>
        <v/>
      </c>
    </row>
    <row r="2504">
      <c r="D2504" s="136" t="str">
        <f t="shared" si="3"/>
        <v/>
      </c>
      <c r="E2504" s="152"/>
      <c r="F2504" s="106" t="s">
        <v>133</v>
      </c>
      <c r="G2504" s="152"/>
      <c r="H2504" s="106" t="s">
        <v>133</v>
      </c>
      <c r="J2504" s="139" t="s">
        <v>133</v>
      </c>
      <c r="K2504" s="136" t="s">
        <v>133</v>
      </c>
      <c r="L2504" s="153"/>
      <c r="M2504" s="136" t="str">
        <f t="shared" si="1"/>
        <v/>
      </c>
      <c r="O2504" s="141" t="s">
        <v>133</v>
      </c>
      <c r="P2504" s="136" t="str">
        <f>IFERROR(__xludf.DUMMYFUNCTION("""COMPUTED_VALUE"""),"")</f>
        <v/>
      </c>
      <c r="Q2504" s="136" t="str">
        <f>IFERROR(__xludf.DUMMYFUNCTION("""COMPUTED_VALUE"""),"")</f>
        <v/>
      </c>
      <c r="R2504" s="106" t="str">
        <f>IFERROR(__xludf.DUMMYFUNCTION("""COMPUTED_VALUE"""),"")</f>
        <v/>
      </c>
      <c r="S2504" s="106" t="str">
        <f>IFERROR(__xludf.DUMMYFUNCTION("""COMPUTED_VALUE"""),"")</f>
        <v/>
      </c>
      <c r="T2504" s="139" t="str">
        <f>IFERROR(__xludf.DUMMYFUNCTION("""COMPUTED_VALUE"""),"")</f>
        <v/>
      </c>
      <c r="U2504" s="139" t="str">
        <f>IFERROR(__xludf.DUMMYFUNCTION("""COMPUTED_VALUE"""),"")</f>
        <v/>
      </c>
      <c r="V2504" s="136" t="str">
        <f>IFERROR(__xludf.DUMMYFUNCTION("""COMPUTED_VALUE"""),"")</f>
        <v/>
      </c>
      <c r="W2504" s="106" t="str">
        <f>IFERROR(__xludf.DUMMYFUNCTION("""COMPUTED_VALUE"""),"")</f>
        <v/>
      </c>
      <c r="X2504" s="143" t="str">
        <f t="shared" si="2"/>
        <v/>
      </c>
      <c r="Y2504" s="139" t="str">
        <f>IFERROR(__xludf.DUMMYFUNCTION("""COMPUTED_VALUE"""),"")</f>
        <v/>
      </c>
      <c r="Z2504" s="141" t="str">
        <f>IFERROR(__xludf.DUMMYFUNCTION("""COMPUTED_VALUE"""),"")</f>
        <v/>
      </c>
    </row>
    <row r="2505">
      <c r="D2505" s="136" t="str">
        <f t="shared" si="3"/>
        <v/>
      </c>
      <c r="E2505" s="152"/>
      <c r="F2505" s="106" t="s">
        <v>133</v>
      </c>
      <c r="G2505" s="152"/>
      <c r="H2505" s="106" t="s">
        <v>133</v>
      </c>
      <c r="J2505" s="139" t="s">
        <v>133</v>
      </c>
      <c r="K2505" s="136" t="s">
        <v>133</v>
      </c>
      <c r="L2505" s="153"/>
      <c r="M2505" s="136" t="str">
        <f t="shared" si="1"/>
        <v/>
      </c>
      <c r="O2505" s="141" t="s">
        <v>133</v>
      </c>
      <c r="P2505" s="136" t="str">
        <f>IFERROR(__xludf.DUMMYFUNCTION("""COMPUTED_VALUE"""),"")</f>
        <v/>
      </c>
      <c r="Q2505" s="136" t="str">
        <f>IFERROR(__xludf.DUMMYFUNCTION("""COMPUTED_VALUE"""),"")</f>
        <v/>
      </c>
      <c r="R2505" s="106" t="str">
        <f>IFERROR(__xludf.DUMMYFUNCTION("""COMPUTED_VALUE"""),"")</f>
        <v/>
      </c>
      <c r="S2505" s="106" t="str">
        <f>IFERROR(__xludf.DUMMYFUNCTION("""COMPUTED_VALUE"""),"")</f>
        <v/>
      </c>
      <c r="T2505" s="139" t="str">
        <f>IFERROR(__xludf.DUMMYFUNCTION("""COMPUTED_VALUE"""),"")</f>
        <v/>
      </c>
      <c r="U2505" s="139" t="str">
        <f>IFERROR(__xludf.DUMMYFUNCTION("""COMPUTED_VALUE"""),"")</f>
        <v/>
      </c>
      <c r="V2505" s="136" t="str">
        <f>IFERROR(__xludf.DUMMYFUNCTION("""COMPUTED_VALUE"""),"")</f>
        <v/>
      </c>
      <c r="W2505" s="106" t="str">
        <f>IFERROR(__xludf.DUMMYFUNCTION("""COMPUTED_VALUE"""),"")</f>
        <v/>
      </c>
      <c r="X2505" s="143" t="str">
        <f t="shared" si="2"/>
        <v/>
      </c>
      <c r="Y2505" s="139" t="str">
        <f>IFERROR(__xludf.DUMMYFUNCTION("""COMPUTED_VALUE"""),"")</f>
        <v/>
      </c>
      <c r="Z2505" s="141" t="str">
        <f>IFERROR(__xludf.DUMMYFUNCTION("""COMPUTED_VALUE"""),"")</f>
        <v/>
      </c>
    </row>
    <row r="2506">
      <c r="D2506" s="136" t="str">
        <f t="shared" si="3"/>
        <v/>
      </c>
      <c r="E2506" s="152"/>
      <c r="F2506" s="106" t="s">
        <v>133</v>
      </c>
      <c r="G2506" s="152"/>
      <c r="H2506" s="106" t="s">
        <v>133</v>
      </c>
      <c r="J2506" s="139" t="s">
        <v>133</v>
      </c>
      <c r="K2506" s="136" t="s">
        <v>133</v>
      </c>
      <c r="L2506" s="153"/>
      <c r="M2506" s="136" t="str">
        <f t="shared" si="1"/>
        <v/>
      </c>
      <c r="O2506" s="141" t="s">
        <v>133</v>
      </c>
      <c r="P2506" s="136" t="str">
        <f>IFERROR(__xludf.DUMMYFUNCTION("""COMPUTED_VALUE"""),"")</f>
        <v/>
      </c>
      <c r="Q2506" s="136" t="str">
        <f>IFERROR(__xludf.DUMMYFUNCTION("""COMPUTED_VALUE"""),"")</f>
        <v/>
      </c>
      <c r="R2506" s="106" t="str">
        <f>IFERROR(__xludf.DUMMYFUNCTION("""COMPUTED_VALUE"""),"")</f>
        <v/>
      </c>
      <c r="S2506" s="106" t="str">
        <f>IFERROR(__xludf.DUMMYFUNCTION("""COMPUTED_VALUE"""),"")</f>
        <v/>
      </c>
      <c r="T2506" s="139" t="str">
        <f>IFERROR(__xludf.DUMMYFUNCTION("""COMPUTED_VALUE"""),"")</f>
        <v/>
      </c>
      <c r="U2506" s="139" t="str">
        <f>IFERROR(__xludf.DUMMYFUNCTION("""COMPUTED_VALUE"""),"")</f>
        <v/>
      </c>
      <c r="V2506" s="136" t="str">
        <f>IFERROR(__xludf.DUMMYFUNCTION("""COMPUTED_VALUE"""),"")</f>
        <v/>
      </c>
      <c r="W2506" s="106" t="str">
        <f>IFERROR(__xludf.DUMMYFUNCTION("""COMPUTED_VALUE"""),"")</f>
        <v/>
      </c>
      <c r="X2506" s="143" t="str">
        <f t="shared" si="2"/>
        <v/>
      </c>
      <c r="Y2506" s="139" t="str">
        <f>IFERROR(__xludf.DUMMYFUNCTION("""COMPUTED_VALUE"""),"")</f>
        <v/>
      </c>
      <c r="Z2506" s="141" t="str">
        <f>IFERROR(__xludf.DUMMYFUNCTION("""COMPUTED_VALUE"""),"")</f>
        <v/>
      </c>
    </row>
    <row r="2507">
      <c r="D2507" s="136" t="str">
        <f t="shared" si="3"/>
        <v/>
      </c>
      <c r="E2507" s="152"/>
      <c r="F2507" s="106" t="s">
        <v>133</v>
      </c>
      <c r="G2507" s="152"/>
      <c r="H2507" s="106" t="s">
        <v>133</v>
      </c>
      <c r="J2507" s="139" t="s">
        <v>133</v>
      </c>
      <c r="K2507" s="136" t="s">
        <v>133</v>
      </c>
      <c r="L2507" s="153"/>
      <c r="M2507" s="136" t="str">
        <f t="shared" si="1"/>
        <v/>
      </c>
      <c r="O2507" s="141" t="s">
        <v>133</v>
      </c>
      <c r="P2507" s="136" t="str">
        <f>IFERROR(__xludf.DUMMYFUNCTION("""COMPUTED_VALUE"""),"")</f>
        <v/>
      </c>
      <c r="Q2507" s="136" t="str">
        <f>IFERROR(__xludf.DUMMYFUNCTION("""COMPUTED_VALUE"""),"")</f>
        <v/>
      </c>
      <c r="R2507" s="106" t="str">
        <f>IFERROR(__xludf.DUMMYFUNCTION("""COMPUTED_VALUE"""),"")</f>
        <v/>
      </c>
      <c r="S2507" s="106" t="str">
        <f>IFERROR(__xludf.DUMMYFUNCTION("""COMPUTED_VALUE"""),"")</f>
        <v/>
      </c>
      <c r="T2507" s="139" t="str">
        <f>IFERROR(__xludf.DUMMYFUNCTION("""COMPUTED_VALUE"""),"")</f>
        <v/>
      </c>
      <c r="U2507" s="139" t="str">
        <f>IFERROR(__xludf.DUMMYFUNCTION("""COMPUTED_VALUE"""),"")</f>
        <v/>
      </c>
      <c r="V2507" s="136" t="str">
        <f>IFERROR(__xludf.DUMMYFUNCTION("""COMPUTED_VALUE"""),"")</f>
        <v/>
      </c>
      <c r="W2507" s="106" t="str">
        <f>IFERROR(__xludf.DUMMYFUNCTION("""COMPUTED_VALUE"""),"")</f>
        <v/>
      </c>
      <c r="X2507" s="143" t="str">
        <f t="shared" si="2"/>
        <v/>
      </c>
      <c r="Y2507" s="139" t="str">
        <f>IFERROR(__xludf.DUMMYFUNCTION("""COMPUTED_VALUE"""),"")</f>
        <v/>
      </c>
      <c r="Z2507" s="141" t="str">
        <f>IFERROR(__xludf.DUMMYFUNCTION("""COMPUTED_VALUE"""),"")</f>
        <v/>
      </c>
    </row>
    <row r="2508">
      <c r="D2508" s="136" t="str">
        <f t="shared" si="3"/>
        <v/>
      </c>
      <c r="E2508" s="152"/>
      <c r="F2508" s="106" t="s">
        <v>133</v>
      </c>
      <c r="G2508" s="152"/>
      <c r="H2508" s="106" t="s">
        <v>133</v>
      </c>
      <c r="J2508" s="139" t="s">
        <v>133</v>
      </c>
      <c r="K2508" s="136" t="s">
        <v>133</v>
      </c>
      <c r="L2508" s="153"/>
      <c r="M2508" s="136" t="str">
        <f t="shared" si="1"/>
        <v/>
      </c>
      <c r="O2508" s="141" t="s">
        <v>133</v>
      </c>
      <c r="P2508" s="136" t="str">
        <f>IFERROR(__xludf.DUMMYFUNCTION("""COMPUTED_VALUE"""),"")</f>
        <v/>
      </c>
      <c r="Q2508" s="136" t="str">
        <f>IFERROR(__xludf.DUMMYFUNCTION("""COMPUTED_VALUE"""),"")</f>
        <v/>
      </c>
      <c r="R2508" s="106" t="str">
        <f>IFERROR(__xludf.DUMMYFUNCTION("""COMPUTED_VALUE"""),"")</f>
        <v/>
      </c>
      <c r="S2508" s="106" t="str">
        <f>IFERROR(__xludf.DUMMYFUNCTION("""COMPUTED_VALUE"""),"")</f>
        <v/>
      </c>
      <c r="T2508" s="139" t="str">
        <f>IFERROR(__xludf.DUMMYFUNCTION("""COMPUTED_VALUE"""),"")</f>
        <v/>
      </c>
      <c r="U2508" s="139" t="str">
        <f>IFERROR(__xludf.DUMMYFUNCTION("""COMPUTED_VALUE"""),"")</f>
        <v/>
      </c>
      <c r="V2508" s="136" t="str">
        <f>IFERROR(__xludf.DUMMYFUNCTION("""COMPUTED_VALUE"""),"")</f>
        <v/>
      </c>
      <c r="W2508" s="106" t="str">
        <f>IFERROR(__xludf.DUMMYFUNCTION("""COMPUTED_VALUE"""),"")</f>
        <v/>
      </c>
      <c r="X2508" s="143" t="str">
        <f t="shared" si="2"/>
        <v/>
      </c>
      <c r="Y2508" s="139" t="str">
        <f>IFERROR(__xludf.DUMMYFUNCTION("""COMPUTED_VALUE"""),"")</f>
        <v/>
      </c>
      <c r="Z2508" s="141" t="str">
        <f>IFERROR(__xludf.DUMMYFUNCTION("""COMPUTED_VALUE"""),"")</f>
        <v/>
      </c>
    </row>
    <row r="2509">
      <c r="D2509" s="136" t="str">
        <f t="shared" si="3"/>
        <v/>
      </c>
      <c r="E2509" s="152"/>
      <c r="F2509" s="106" t="s">
        <v>133</v>
      </c>
      <c r="G2509" s="152"/>
      <c r="H2509" s="106" t="s">
        <v>133</v>
      </c>
      <c r="J2509" s="139" t="s">
        <v>133</v>
      </c>
      <c r="K2509" s="136" t="s">
        <v>133</v>
      </c>
      <c r="L2509" s="153"/>
      <c r="M2509" s="136" t="str">
        <f t="shared" si="1"/>
        <v/>
      </c>
      <c r="O2509" s="141" t="s">
        <v>133</v>
      </c>
      <c r="P2509" s="136" t="str">
        <f>IFERROR(__xludf.DUMMYFUNCTION("""COMPUTED_VALUE"""),"")</f>
        <v/>
      </c>
      <c r="Q2509" s="136" t="str">
        <f>IFERROR(__xludf.DUMMYFUNCTION("""COMPUTED_VALUE"""),"")</f>
        <v/>
      </c>
      <c r="R2509" s="106" t="str">
        <f>IFERROR(__xludf.DUMMYFUNCTION("""COMPUTED_VALUE"""),"")</f>
        <v/>
      </c>
      <c r="S2509" s="106" t="str">
        <f>IFERROR(__xludf.DUMMYFUNCTION("""COMPUTED_VALUE"""),"")</f>
        <v/>
      </c>
      <c r="T2509" s="139" t="str">
        <f>IFERROR(__xludf.DUMMYFUNCTION("""COMPUTED_VALUE"""),"")</f>
        <v/>
      </c>
      <c r="U2509" s="139" t="str">
        <f>IFERROR(__xludf.DUMMYFUNCTION("""COMPUTED_VALUE"""),"")</f>
        <v/>
      </c>
      <c r="V2509" s="136" t="str">
        <f>IFERROR(__xludf.DUMMYFUNCTION("""COMPUTED_VALUE"""),"")</f>
        <v/>
      </c>
      <c r="W2509" s="106" t="str">
        <f>IFERROR(__xludf.DUMMYFUNCTION("""COMPUTED_VALUE"""),"")</f>
        <v/>
      </c>
      <c r="X2509" s="143" t="str">
        <f t="shared" si="2"/>
        <v/>
      </c>
      <c r="Y2509" s="139" t="str">
        <f>IFERROR(__xludf.DUMMYFUNCTION("""COMPUTED_VALUE"""),"")</f>
        <v/>
      </c>
      <c r="Z2509" s="141" t="str">
        <f>IFERROR(__xludf.DUMMYFUNCTION("""COMPUTED_VALUE"""),"")</f>
        <v/>
      </c>
    </row>
    <row r="2510">
      <c r="D2510" s="136" t="str">
        <f t="shared" si="3"/>
        <v/>
      </c>
      <c r="E2510" s="152"/>
      <c r="F2510" s="106" t="s">
        <v>133</v>
      </c>
      <c r="G2510" s="152"/>
      <c r="H2510" s="106" t="s">
        <v>133</v>
      </c>
      <c r="J2510" s="139" t="s">
        <v>133</v>
      </c>
      <c r="K2510" s="136" t="s">
        <v>133</v>
      </c>
      <c r="L2510" s="153"/>
      <c r="M2510" s="136" t="str">
        <f t="shared" si="1"/>
        <v/>
      </c>
      <c r="O2510" s="141" t="s">
        <v>133</v>
      </c>
      <c r="P2510" s="136" t="str">
        <f>IFERROR(__xludf.DUMMYFUNCTION("""COMPUTED_VALUE"""),"")</f>
        <v/>
      </c>
      <c r="Q2510" s="136" t="str">
        <f>IFERROR(__xludf.DUMMYFUNCTION("""COMPUTED_VALUE"""),"")</f>
        <v/>
      </c>
      <c r="R2510" s="106" t="str">
        <f>IFERROR(__xludf.DUMMYFUNCTION("""COMPUTED_VALUE"""),"")</f>
        <v/>
      </c>
      <c r="S2510" s="106" t="str">
        <f>IFERROR(__xludf.DUMMYFUNCTION("""COMPUTED_VALUE"""),"")</f>
        <v/>
      </c>
      <c r="T2510" s="139" t="str">
        <f>IFERROR(__xludf.DUMMYFUNCTION("""COMPUTED_VALUE"""),"")</f>
        <v/>
      </c>
      <c r="U2510" s="139" t="str">
        <f>IFERROR(__xludf.DUMMYFUNCTION("""COMPUTED_VALUE"""),"")</f>
        <v/>
      </c>
      <c r="V2510" s="136" t="str">
        <f>IFERROR(__xludf.DUMMYFUNCTION("""COMPUTED_VALUE"""),"")</f>
        <v/>
      </c>
      <c r="W2510" s="106" t="str">
        <f>IFERROR(__xludf.DUMMYFUNCTION("""COMPUTED_VALUE"""),"")</f>
        <v/>
      </c>
      <c r="X2510" s="143" t="str">
        <f t="shared" si="2"/>
        <v/>
      </c>
      <c r="Y2510" s="139" t="str">
        <f>IFERROR(__xludf.DUMMYFUNCTION("""COMPUTED_VALUE"""),"")</f>
        <v/>
      </c>
      <c r="Z2510" s="141" t="str">
        <f>IFERROR(__xludf.DUMMYFUNCTION("""COMPUTED_VALUE"""),"")</f>
        <v/>
      </c>
    </row>
    <row r="2511">
      <c r="D2511" s="136" t="str">
        <f t="shared" si="3"/>
        <v/>
      </c>
      <c r="E2511" s="152"/>
      <c r="F2511" s="106" t="s">
        <v>133</v>
      </c>
      <c r="G2511" s="152"/>
      <c r="H2511" s="106" t="s">
        <v>133</v>
      </c>
      <c r="J2511" s="139" t="s">
        <v>133</v>
      </c>
      <c r="K2511" s="136" t="s">
        <v>133</v>
      </c>
      <c r="L2511" s="153"/>
      <c r="M2511" s="136" t="str">
        <f t="shared" si="1"/>
        <v/>
      </c>
      <c r="O2511" s="141" t="s">
        <v>133</v>
      </c>
      <c r="P2511" s="136" t="str">
        <f>IFERROR(__xludf.DUMMYFUNCTION("""COMPUTED_VALUE"""),"")</f>
        <v/>
      </c>
      <c r="Q2511" s="136" t="str">
        <f>IFERROR(__xludf.DUMMYFUNCTION("""COMPUTED_VALUE"""),"")</f>
        <v/>
      </c>
      <c r="R2511" s="106" t="str">
        <f>IFERROR(__xludf.DUMMYFUNCTION("""COMPUTED_VALUE"""),"")</f>
        <v/>
      </c>
      <c r="S2511" s="106" t="str">
        <f>IFERROR(__xludf.DUMMYFUNCTION("""COMPUTED_VALUE"""),"")</f>
        <v/>
      </c>
      <c r="T2511" s="139" t="str">
        <f>IFERROR(__xludf.DUMMYFUNCTION("""COMPUTED_VALUE"""),"")</f>
        <v/>
      </c>
      <c r="U2511" s="139" t="str">
        <f>IFERROR(__xludf.DUMMYFUNCTION("""COMPUTED_VALUE"""),"")</f>
        <v/>
      </c>
      <c r="V2511" s="136" t="str">
        <f>IFERROR(__xludf.DUMMYFUNCTION("""COMPUTED_VALUE"""),"")</f>
        <v/>
      </c>
      <c r="W2511" s="106" t="str">
        <f>IFERROR(__xludf.DUMMYFUNCTION("""COMPUTED_VALUE"""),"")</f>
        <v/>
      </c>
      <c r="X2511" s="143" t="str">
        <f t="shared" si="2"/>
        <v/>
      </c>
      <c r="Y2511" s="139" t="str">
        <f>IFERROR(__xludf.DUMMYFUNCTION("""COMPUTED_VALUE"""),"")</f>
        <v/>
      </c>
      <c r="Z2511" s="141" t="str">
        <f>IFERROR(__xludf.DUMMYFUNCTION("""COMPUTED_VALUE"""),"")</f>
        <v/>
      </c>
    </row>
    <row r="2512">
      <c r="D2512" s="136" t="str">
        <f t="shared" si="3"/>
        <v/>
      </c>
      <c r="E2512" s="152"/>
      <c r="F2512" s="106" t="s">
        <v>133</v>
      </c>
      <c r="G2512" s="152"/>
      <c r="H2512" s="106" t="s">
        <v>133</v>
      </c>
      <c r="J2512" s="139" t="s">
        <v>133</v>
      </c>
      <c r="K2512" s="136" t="s">
        <v>133</v>
      </c>
      <c r="L2512" s="153"/>
      <c r="M2512" s="136" t="str">
        <f t="shared" si="1"/>
        <v/>
      </c>
      <c r="O2512" s="141" t="s">
        <v>133</v>
      </c>
      <c r="P2512" s="136" t="str">
        <f>IFERROR(__xludf.DUMMYFUNCTION("""COMPUTED_VALUE"""),"")</f>
        <v/>
      </c>
      <c r="Q2512" s="136" t="str">
        <f>IFERROR(__xludf.DUMMYFUNCTION("""COMPUTED_VALUE"""),"")</f>
        <v/>
      </c>
      <c r="R2512" s="106" t="str">
        <f>IFERROR(__xludf.DUMMYFUNCTION("""COMPUTED_VALUE"""),"")</f>
        <v/>
      </c>
      <c r="S2512" s="106" t="str">
        <f>IFERROR(__xludf.DUMMYFUNCTION("""COMPUTED_VALUE"""),"")</f>
        <v/>
      </c>
      <c r="T2512" s="139" t="str">
        <f>IFERROR(__xludf.DUMMYFUNCTION("""COMPUTED_VALUE"""),"")</f>
        <v/>
      </c>
      <c r="U2512" s="139" t="str">
        <f>IFERROR(__xludf.DUMMYFUNCTION("""COMPUTED_VALUE"""),"")</f>
        <v/>
      </c>
      <c r="V2512" s="136" t="str">
        <f>IFERROR(__xludf.DUMMYFUNCTION("""COMPUTED_VALUE"""),"")</f>
        <v/>
      </c>
      <c r="W2512" s="106" t="str">
        <f>IFERROR(__xludf.DUMMYFUNCTION("""COMPUTED_VALUE"""),"")</f>
        <v/>
      </c>
      <c r="X2512" s="143" t="str">
        <f t="shared" si="2"/>
        <v/>
      </c>
      <c r="Y2512" s="139" t="str">
        <f>IFERROR(__xludf.DUMMYFUNCTION("""COMPUTED_VALUE"""),"")</f>
        <v/>
      </c>
      <c r="Z2512" s="141" t="str">
        <f>IFERROR(__xludf.DUMMYFUNCTION("""COMPUTED_VALUE"""),"")</f>
        <v/>
      </c>
    </row>
    <row r="2513">
      <c r="D2513" s="136" t="str">
        <f t="shared" si="3"/>
        <v/>
      </c>
      <c r="E2513" s="152"/>
      <c r="F2513" s="106" t="s">
        <v>133</v>
      </c>
      <c r="G2513" s="152"/>
      <c r="H2513" s="106" t="s">
        <v>133</v>
      </c>
      <c r="J2513" s="139" t="s">
        <v>133</v>
      </c>
      <c r="K2513" s="136" t="s">
        <v>133</v>
      </c>
      <c r="L2513" s="153"/>
      <c r="M2513" s="136" t="str">
        <f t="shared" si="1"/>
        <v/>
      </c>
      <c r="O2513" s="141" t="s">
        <v>133</v>
      </c>
      <c r="P2513" s="136" t="str">
        <f>IFERROR(__xludf.DUMMYFUNCTION("""COMPUTED_VALUE"""),"")</f>
        <v/>
      </c>
      <c r="Q2513" s="136" t="str">
        <f>IFERROR(__xludf.DUMMYFUNCTION("""COMPUTED_VALUE"""),"")</f>
        <v/>
      </c>
      <c r="R2513" s="106" t="str">
        <f>IFERROR(__xludf.DUMMYFUNCTION("""COMPUTED_VALUE"""),"")</f>
        <v/>
      </c>
      <c r="S2513" s="106" t="str">
        <f>IFERROR(__xludf.DUMMYFUNCTION("""COMPUTED_VALUE"""),"")</f>
        <v/>
      </c>
      <c r="T2513" s="139" t="str">
        <f>IFERROR(__xludf.DUMMYFUNCTION("""COMPUTED_VALUE"""),"")</f>
        <v/>
      </c>
      <c r="U2513" s="139" t="str">
        <f>IFERROR(__xludf.DUMMYFUNCTION("""COMPUTED_VALUE"""),"")</f>
        <v/>
      </c>
      <c r="V2513" s="136" t="str">
        <f>IFERROR(__xludf.DUMMYFUNCTION("""COMPUTED_VALUE"""),"")</f>
        <v/>
      </c>
      <c r="W2513" s="106" t="str">
        <f>IFERROR(__xludf.DUMMYFUNCTION("""COMPUTED_VALUE"""),"")</f>
        <v/>
      </c>
      <c r="X2513" s="143" t="str">
        <f t="shared" si="2"/>
        <v/>
      </c>
      <c r="Y2513" s="139" t="str">
        <f>IFERROR(__xludf.DUMMYFUNCTION("""COMPUTED_VALUE"""),"")</f>
        <v/>
      </c>
      <c r="Z2513" s="141" t="str">
        <f>IFERROR(__xludf.DUMMYFUNCTION("""COMPUTED_VALUE"""),"")</f>
        <v/>
      </c>
    </row>
    <row r="2514">
      <c r="D2514" s="136" t="str">
        <f t="shared" si="3"/>
        <v/>
      </c>
      <c r="E2514" s="152"/>
      <c r="F2514" s="106" t="s">
        <v>133</v>
      </c>
      <c r="G2514" s="152"/>
      <c r="H2514" s="106" t="s">
        <v>133</v>
      </c>
      <c r="J2514" s="139" t="s">
        <v>133</v>
      </c>
      <c r="K2514" s="136" t="s">
        <v>133</v>
      </c>
      <c r="L2514" s="153"/>
      <c r="M2514" s="136" t="str">
        <f t="shared" si="1"/>
        <v/>
      </c>
      <c r="O2514" s="141" t="s">
        <v>133</v>
      </c>
      <c r="P2514" s="136" t="str">
        <f>IFERROR(__xludf.DUMMYFUNCTION("""COMPUTED_VALUE"""),"")</f>
        <v/>
      </c>
      <c r="Q2514" s="136" t="str">
        <f>IFERROR(__xludf.DUMMYFUNCTION("""COMPUTED_VALUE"""),"")</f>
        <v/>
      </c>
      <c r="R2514" s="106" t="str">
        <f>IFERROR(__xludf.DUMMYFUNCTION("""COMPUTED_VALUE"""),"")</f>
        <v/>
      </c>
      <c r="S2514" s="106" t="str">
        <f>IFERROR(__xludf.DUMMYFUNCTION("""COMPUTED_VALUE"""),"")</f>
        <v/>
      </c>
      <c r="T2514" s="139" t="str">
        <f>IFERROR(__xludf.DUMMYFUNCTION("""COMPUTED_VALUE"""),"")</f>
        <v/>
      </c>
      <c r="U2514" s="139" t="str">
        <f>IFERROR(__xludf.DUMMYFUNCTION("""COMPUTED_VALUE"""),"")</f>
        <v/>
      </c>
      <c r="V2514" s="136" t="str">
        <f>IFERROR(__xludf.DUMMYFUNCTION("""COMPUTED_VALUE"""),"")</f>
        <v/>
      </c>
      <c r="W2514" s="106" t="str">
        <f>IFERROR(__xludf.DUMMYFUNCTION("""COMPUTED_VALUE"""),"")</f>
        <v/>
      </c>
      <c r="X2514" s="143" t="str">
        <f t="shared" si="2"/>
        <v/>
      </c>
      <c r="Y2514" s="139" t="str">
        <f>IFERROR(__xludf.DUMMYFUNCTION("""COMPUTED_VALUE"""),"")</f>
        <v/>
      </c>
      <c r="Z2514" s="141" t="str">
        <f>IFERROR(__xludf.DUMMYFUNCTION("""COMPUTED_VALUE"""),"")</f>
        <v/>
      </c>
    </row>
    <row r="2515">
      <c r="D2515" s="136" t="str">
        <f t="shared" si="3"/>
        <v/>
      </c>
      <c r="E2515" s="152"/>
      <c r="F2515" s="106" t="s">
        <v>133</v>
      </c>
      <c r="G2515" s="152"/>
      <c r="H2515" s="106" t="s">
        <v>133</v>
      </c>
      <c r="J2515" s="139" t="s">
        <v>133</v>
      </c>
      <c r="K2515" s="136" t="s">
        <v>133</v>
      </c>
      <c r="L2515" s="153"/>
      <c r="M2515" s="136" t="str">
        <f t="shared" si="1"/>
        <v/>
      </c>
      <c r="O2515" s="141" t="s">
        <v>133</v>
      </c>
      <c r="P2515" s="136" t="str">
        <f>IFERROR(__xludf.DUMMYFUNCTION("""COMPUTED_VALUE"""),"")</f>
        <v/>
      </c>
      <c r="Q2515" s="136" t="str">
        <f>IFERROR(__xludf.DUMMYFUNCTION("""COMPUTED_VALUE"""),"")</f>
        <v/>
      </c>
      <c r="R2515" s="106" t="str">
        <f>IFERROR(__xludf.DUMMYFUNCTION("""COMPUTED_VALUE"""),"")</f>
        <v/>
      </c>
      <c r="S2515" s="106" t="str">
        <f>IFERROR(__xludf.DUMMYFUNCTION("""COMPUTED_VALUE"""),"")</f>
        <v/>
      </c>
      <c r="T2515" s="139" t="str">
        <f>IFERROR(__xludf.DUMMYFUNCTION("""COMPUTED_VALUE"""),"")</f>
        <v/>
      </c>
      <c r="U2515" s="139" t="str">
        <f>IFERROR(__xludf.DUMMYFUNCTION("""COMPUTED_VALUE"""),"")</f>
        <v/>
      </c>
      <c r="V2515" s="136" t="str">
        <f>IFERROR(__xludf.DUMMYFUNCTION("""COMPUTED_VALUE"""),"")</f>
        <v/>
      </c>
      <c r="W2515" s="106" t="str">
        <f>IFERROR(__xludf.DUMMYFUNCTION("""COMPUTED_VALUE"""),"")</f>
        <v/>
      </c>
      <c r="X2515" s="143" t="str">
        <f t="shared" si="2"/>
        <v/>
      </c>
      <c r="Y2515" s="139" t="str">
        <f>IFERROR(__xludf.DUMMYFUNCTION("""COMPUTED_VALUE"""),"")</f>
        <v/>
      </c>
      <c r="Z2515" s="141" t="str">
        <f>IFERROR(__xludf.DUMMYFUNCTION("""COMPUTED_VALUE"""),"")</f>
        <v/>
      </c>
    </row>
    <row r="2516">
      <c r="D2516" s="136" t="str">
        <f t="shared" si="3"/>
        <v/>
      </c>
      <c r="E2516" s="152"/>
      <c r="F2516" s="106" t="s">
        <v>133</v>
      </c>
      <c r="G2516" s="152"/>
      <c r="H2516" s="106" t="s">
        <v>133</v>
      </c>
      <c r="J2516" s="139" t="s">
        <v>133</v>
      </c>
      <c r="K2516" s="136" t="s">
        <v>133</v>
      </c>
      <c r="L2516" s="153"/>
      <c r="M2516" s="136" t="str">
        <f t="shared" si="1"/>
        <v/>
      </c>
      <c r="O2516" s="141" t="s">
        <v>133</v>
      </c>
      <c r="P2516" s="136" t="str">
        <f>IFERROR(__xludf.DUMMYFUNCTION("""COMPUTED_VALUE"""),"")</f>
        <v/>
      </c>
      <c r="Q2516" s="136" t="str">
        <f>IFERROR(__xludf.DUMMYFUNCTION("""COMPUTED_VALUE"""),"")</f>
        <v/>
      </c>
      <c r="R2516" s="106" t="str">
        <f>IFERROR(__xludf.DUMMYFUNCTION("""COMPUTED_VALUE"""),"")</f>
        <v/>
      </c>
      <c r="S2516" s="106" t="str">
        <f>IFERROR(__xludf.DUMMYFUNCTION("""COMPUTED_VALUE"""),"")</f>
        <v/>
      </c>
      <c r="T2516" s="139" t="str">
        <f>IFERROR(__xludf.DUMMYFUNCTION("""COMPUTED_VALUE"""),"")</f>
        <v/>
      </c>
      <c r="U2516" s="139" t="str">
        <f>IFERROR(__xludf.DUMMYFUNCTION("""COMPUTED_VALUE"""),"")</f>
        <v/>
      </c>
      <c r="V2516" s="136" t="str">
        <f>IFERROR(__xludf.DUMMYFUNCTION("""COMPUTED_VALUE"""),"")</f>
        <v/>
      </c>
      <c r="W2516" s="106" t="str">
        <f>IFERROR(__xludf.DUMMYFUNCTION("""COMPUTED_VALUE"""),"")</f>
        <v/>
      </c>
      <c r="X2516" s="143" t="str">
        <f t="shared" si="2"/>
        <v/>
      </c>
      <c r="Y2516" s="139" t="str">
        <f>IFERROR(__xludf.DUMMYFUNCTION("""COMPUTED_VALUE"""),"")</f>
        <v/>
      </c>
      <c r="Z2516" s="141" t="str">
        <f>IFERROR(__xludf.DUMMYFUNCTION("""COMPUTED_VALUE"""),"")</f>
        <v/>
      </c>
    </row>
    <row r="2517">
      <c r="D2517" s="136" t="str">
        <f t="shared" si="3"/>
        <v/>
      </c>
      <c r="E2517" s="152"/>
      <c r="F2517" s="106" t="s">
        <v>133</v>
      </c>
      <c r="G2517" s="152"/>
      <c r="H2517" s="106" t="s">
        <v>133</v>
      </c>
      <c r="J2517" s="139" t="s">
        <v>133</v>
      </c>
      <c r="K2517" s="136" t="s">
        <v>133</v>
      </c>
      <c r="L2517" s="153"/>
      <c r="M2517" s="136" t="str">
        <f t="shared" si="1"/>
        <v/>
      </c>
      <c r="O2517" s="141" t="s">
        <v>133</v>
      </c>
      <c r="P2517" s="136" t="str">
        <f>IFERROR(__xludf.DUMMYFUNCTION("""COMPUTED_VALUE"""),"")</f>
        <v/>
      </c>
      <c r="Q2517" s="136" t="str">
        <f>IFERROR(__xludf.DUMMYFUNCTION("""COMPUTED_VALUE"""),"")</f>
        <v/>
      </c>
      <c r="R2517" s="106" t="str">
        <f>IFERROR(__xludf.DUMMYFUNCTION("""COMPUTED_VALUE"""),"")</f>
        <v/>
      </c>
      <c r="S2517" s="106" t="str">
        <f>IFERROR(__xludf.DUMMYFUNCTION("""COMPUTED_VALUE"""),"")</f>
        <v/>
      </c>
      <c r="T2517" s="139" t="str">
        <f>IFERROR(__xludf.DUMMYFUNCTION("""COMPUTED_VALUE"""),"")</f>
        <v/>
      </c>
      <c r="U2517" s="139" t="str">
        <f>IFERROR(__xludf.DUMMYFUNCTION("""COMPUTED_VALUE"""),"")</f>
        <v/>
      </c>
      <c r="V2517" s="136" t="str">
        <f>IFERROR(__xludf.DUMMYFUNCTION("""COMPUTED_VALUE"""),"")</f>
        <v/>
      </c>
      <c r="W2517" s="106" t="str">
        <f>IFERROR(__xludf.DUMMYFUNCTION("""COMPUTED_VALUE"""),"")</f>
        <v/>
      </c>
      <c r="X2517" s="143" t="str">
        <f t="shared" si="2"/>
        <v/>
      </c>
      <c r="Y2517" s="139" t="str">
        <f>IFERROR(__xludf.DUMMYFUNCTION("""COMPUTED_VALUE"""),"")</f>
        <v/>
      </c>
      <c r="Z2517" s="141" t="str">
        <f>IFERROR(__xludf.DUMMYFUNCTION("""COMPUTED_VALUE"""),"")</f>
        <v/>
      </c>
    </row>
    <row r="2518">
      <c r="D2518" s="136" t="str">
        <f t="shared" si="3"/>
        <v/>
      </c>
      <c r="E2518" s="152"/>
      <c r="F2518" s="106" t="s">
        <v>133</v>
      </c>
      <c r="G2518" s="152"/>
      <c r="H2518" s="106" t="s">
        <v>133</v>
      </c>
      <c r="J2518" s="139" t="s">
        <v>133</v>
      </c>
      <c r="K2518" s="136" t="s">
        <v>133</v>
      </c>
      <c r="L2518" s="153"/>
      <c r="M2518" s="136" t="str">
        <f t="shared" si="1"/>
        <v/>
      </c>
      <c r="O2518" s="141" t="s">
        <v>133</v>
      </c>
      <c r="P2518" s="136" t="str">
        <f>IFERROR(__xludf.DUMMYFUNCTION("""COMPUTED_VALUE"""),"")</f>
        <v/>
      </c>
      <c r="Q2518" s="136" t="str">
        <f>IFERROR(__xludf.DUMMYFUNCTION("""COMPUTED_VALUE"""),"")</f>
        <v/>
      </c>
      <c r="R2518" s="106" t="str">
        <f>IFERROR(__xludf.DUMMYFUNCTION("""COMPUTED_VALUE"""),"")</f>
        <v/>
      </c>
      <c r="S2518" s="106" t="str">
        <f>IFERROR(__xludf.DUMMYFUNCTION("""COMPUTED_VALUE"""),"")</f>
        <v/>
      </c>
      <c r="T2518" s="139" t="str">
        <f>IFERROR(__xludf.DUMMYFUNCTION("""COMPUTED_VALUE"""),"")</f>
        <v/>
      </c>
      <c r="U2518" s="139" t="str">
        <f>IFERROR(__xludf.DUMMYFUNCTION("""COMPUTED_VALUE"""),"")</f>
        <v/>
      </c>
      <c r="V2518" s="136" t="str">
        <f>IFERROR(__xludf.DUMMYFUNCTION("""COMPUTED_VALUE"""),"")</f>
        <v/>
      </c>
      <c r="W2518" s="106" t="str">
        <f>IFERROR(__xludf.DUMMYFUNCTION("""COMPUTED_VALUE"""),"")</f>
        <v/>
      </c>
      <c r="X2518" s="143" t="str">
        <f t="shared" si="2"/>
        <v/>
      </c>
      <c r="Y2518" s="139" t="str">
        <f>IFERROR(__xludf.DUMMYFUNCTION("""COMPUTED_VALUE"""),"")</f>
        <v/>
      </c>
      <c r="Z2518" s="141" t="str">
        <f>IFERROR(__xludf.DUMMYFUNCTION("""COMPUTED_VALUE"""),"")</f>
        <v/>
      </c>
    </row>
    <row r="2519">
      <c r="D2519" s="136" t="str">
        <f t="shared" si="3"/>
        <v/>
      </c>
      <c r="E2519" s="152"/>
      <c r="F2519" s="106" t="s">
        <v>133</v>
      </c>
      <c r="G2519" s="152"/>
      <c r="H2519" s="106" t="s">
        <v>133</v>
      </c>
      <c r="J2519" s="139" t="s">
        <v>133</v>
      </c>
      <c r="K2519" s="136" t="s">
        <v>133</v>
      </c>
      <c r="L2519" s="153"/>
      <c r="M2519" s="136" t="str">
        <f t="shared" si="1"/>
        <v/>
      </c>
      <c r="O2519" s="141" t="s">
        <v>133</v>
      </c>
      <c r="P2519" s="136" t="str">
        <f>IFERROR(__xludf.DUMMYFUNCTION("""COMPUTED_VALUE"""),"")</f>
        <v/>
      </c>
      <c r="Q2519" s="136" t="str">
        <f>IFERROR(__xludf.DUMMYFUNCTION("""COMPUTED_VALUE"""),"")</f>
        <v/>
      </c>
      <c r="R2519" s="106" t="str">
        <f>IFERROR(__xludf.DUMMYFUNCTION("""COMPUTED_VALUE"""),"")</f>
        <v/>
      </c>
      <c r="S2519" s="106" t="str">
        <f>IFERROR(__xludf.DUMMYFUNCTION("""COMPUTED_VALUE"""),"")</f>
        <v/>
      </c>
      <c r="T2519" s="139" t="str">
        <f>IFERROR(__xludf.DUMMYFUNCTION("""COMPUTED_VALUE"""),"")</f>
        <v/>
      </c>
      <c r="U2519" s="139" t="str">
        <f>IFERROR(__xludf.DUMMYFUNCTION("""COMPUTED_VALUE"""),"")</f>
        <v/>
      </c>
      <c r="V2519" s="136" t="str">
        <f>IFERROR(__xludf.DUMMYFUNCTION("""COMPUTED_VALUE"""),"")</f>
        <v/>
      </c>
      <c r="W2519" s="106" t="str">
        <f>IFERROR(__xludf.DUMMYFUNCTION("""COMPUTED_VALUE"""),"")</f>
        <v/>
      </c>
      <c r="X2519" s="143" t="str">
        <f t="shared" si="2"/>
        <v/>
      </c>
      <c r="Y2519" s="139" t="str">
        <f>IFERROR(__xludf.DUMMYFUNCTION("""COMPUTED_VALUE"""),"")</f>
        <v/>
      </c>
      <c r="Z2519" s="141" t="str">
        <f>IFERROR(__xludf.DUMMYFUNCTION("""COMPUTED_VALUE"""),"")</f>
        <v/>
      </c>
    </row>
    <row r="2520">
      <c r="D2520" s="136" t="str">
        <f t="shared" si="3"/>
        <v/>
      </c>
      <c r="E2520" s="152"/>
      <c r="F2520" s="106" t="s">
        <v>133</v>
      </c>
      <c r="G2520" s="152"/>
      <c r="H2520" s="106" t="s">
        <v>133</v>
      </c>
      <c r="J2520" s="139" t="s">
        <v>133</v>
      </c>
      <c r="K2520" s="136" t="s">
        <v>133</v>
      </c>
      <c r="L2520" s="153"/>
      <c r="M2520" s="136" t="str">
        <f t="shared" si="1"/>
        <v/>
      </c>
      <c r="O2520" s="141" t="s">
        <v>133</v>
      </c>
      <c r="P2520" s="136" t="str">
        <f>IFERROR(__xludf.DUMMYFUNCTION("""COMPUTED_VALUE"""),"")</f>
        <v/>
      </c>
      <c r="Q2520" s="136" t="str">
        <f>IFERROR(__xludf.DUMMYFUNCTION("""COMPUTED_VALUE"""),"")</f>
        <v/>
      </c>
      <c r="R2520" s="106" t="str">
        <f>IFERROR(__xludf.DUMMYFUNCTION("""COMPUTED_VALUE"""),"")</f>
        <v/>
      </c>
      <c r="S2520" s="106" t="str">
        <f>IFERROR(__xludf.DUMMYFUNCTION("""COMPUTED_VALUE"""),"")</f>
        <v/>
      </c>
      <c r="T2520" s="139" t="str">
        <f>IFERROR(__xludf.DUMMYFUNCTION("""COMPUTED_VALUE"""),"")</f>
        <v/>
      </c>
      <c r="U2520" s="139" t="str">
        <f>IFERROR(__xludf.DUMMYFUNCTION("""COMPUTED_VALUE"""),"")</f>
        <v/>
      </c>
      <c r="V2520" s="136" t="str">
        <f>IFERROR(__xludf.DUMMYFUNCTION("""COMPUTED_VALUE"""),"")</f>
        <v/>
      </c>
      <c r="W2520" s="106" t="str">
        <f>IFERROR(__xludf.DUMMYFUNCTION("""COMPUTED_VALUE"""),"")</f>
        <v/>
      </c>
      <c r="X2520" s="143" t="str">
        <f t="shared" si="2"/>
        <v/>
      </c>
      <c r="Y2520" s="139" t="str">
        <f>IFERROR(__xludf.DUMMYFUNCTION("""COMPUTED_VALUE"""),"")</f>
        <v/>
      </c>
      <c r="Z2520" s="141" t="str">
        <f>IFERROR(__xludf.DUMMYFUNCTION("""COMPUTED_VALUE"""),"")</f>
        <v/>
      </c>
    </row>
    <row r="2521">
      <c r="D2521" s="136" t="str">
        <f t="shared" si="3"/>
        <v/>
      </c>
      <c r="E2521" s="152"/>
      <c r="F2521" s="106" t="s">
        <v>133</v>
      </c>
      <c r="G2521" s="152"/>
      <c r="H2521" s="106" t="s">
        <v>133</v>
      </c>
      <c r="J2521" s="139" t="s">
        <v>133</v>
      </c>
      <c r="K2521" s="136" t="s">
        <v>133</v>
      </c>
      <c r="L2521" s="153"/>
      <c r="M2521" s="136" t="str">
        <f t="shared" si="1"/>
        <v/>
      </c>
      <c r="O2521" s="141" t="s">
        <v>133</v>
      </c>
      <c r="P2521" s="136" t="str">
        <f>IFERROR(__xludf.DUMMYFUNCTION("""COMPUTED_VALUE"""),"")</f>
        <v/>
      </c>
      <c r="Q2521" s="136" t="str">
        <f>IFERROR(__xludf.DUMMYFUNCTION("""COMPUTED_VALUE"""),"")</f>
        <v/>
      </c>
      <c r="R2521" s="106" t="str">
        <f>IFERROR(__xludf.DUMMYFUNCTION("""COMPUTED_VALUE"""),"")</f>
        <v/>
      </c>
      <c r="S2521" s="106" t="str">
        <f>IFERROR(__xludf.DUMMYFUNCTION("""COMPUTED_VALUE"""),"")</f>
        <v/>
      </c>
      <c r="T2521" s="139" t="str">
        <f>IFERROR(__xludf.DUMMYFUNCTION("""COMPUTED_VALUE"""),"")</f>
        <v/>
      </c>
      <c r="U2521" s="139" t="str">
        <f>IFERROR(__xludf.DUMMYFUNCTION("""COMPUTED_VALUE"""),"")</f>
        <v/>
      </c>
      <c r="V2521" s="136" t="str">
        <f>IFERROR(__xludf.DUMMYFUNCTION("""COMPUTED_VALUE"""),"")</f>
        <v/>
      </c>
      <c r="W2521" s="106" t="str">
        <f>IFERROR(__xludf.DUMMYFUNCTION("""COMPUTED_VALUE"""),"")</f>
        <v/>
      </c>
      <c r="X2521" s="143" t="str">
        <f t="shared" si="2"/>
        <v/>
      </c>
      <c r="Y2521" s="139" t="str">
        <f>IFERROR(__xludf.DUMMYFUNCTION("""COMPUTED_VALUE"""),"")</f>
        <v/>
      </c>
      <c r="Z2521" s="141" t="str">
        <f>IFERROR(__xludf.DUMMYFUNCTION("""COMPUTED_VALUE"""),"")</f>
        <v/>
      </c>
    </row>
    <row r="2522">
      <c r="D2522" s="136" t="str">
        <f t="shared" si="3"/>
        <v/>
      </c>
      <c r="E2522" s="152"/>
      <c r="F2522" s="106" t="s">
        <v>133</v>
      </c>
      <c r="G2522" s="152"/>
      <c r="H2522" s="106" t="s">
        <v>133</v>
      </c>
      <c r="J2522" s="139" t="s">
        <v>133</v>
      </c>
      <c r="K2522" s="136" t="s">
        <v>133</v>
      </c>
      <c r="L2522" s="153"/>
      <c r="M2522" s="136" t="str">
        <f t="shared" si="1"/>
        <v/>
      </c>
      <c r="O2522" s="141" t="s">
        <v>133</v>
      </c>
      <c r="P2522" s="136" t="str">
        <f>IFERROR(__xludf.DUMMYFUNCTION("""COMPUTED_VALUE"""),"")</f>
        <v/>
      </c>
      <c r="Q2522" s="136" t="str">
        <f>IFERROR(__xludf.DUMMYFUNCTION("""COMPUTED_VALUE"""),"")</f>
        <v/>
      </c>
      <c r="R2522" s="106" t="str">
        <f>IFERROR(__xludf.DUMMYFUNCTION("""COMPUTED_VALUE"""),"")</f>
        <v/>
      </c>
      <c r="S2522" s="106" t="str">
        <f>IFERROR(__xludf.DUMMYFUNCTION("""COMPUTED_VALUE"""),"")</f>
        <v/>
      </c>
      <c r="T2522" s="139" t="str">
        <f>IFERROR(__xludf.DUMMYFUNCTION("""COMPUTED_VALUE"""),"")</f>
        <v/>
      </c>
      <c r="U2522" s="139" t="str">
        <f>IFERROR(__xludf.DUMMYFUNCTION("""COMPUTED_VALUE"""),"")</f>
        <v/>
      </c>
      <c r="V2522" s="136" t="str">
        <f>IFERROR(__xludf.DUMMYFUNCTION("""COMPUTED_VALUE"""),"")</f>
        <v/>
      </c>
      <c r="W2522" s="106" t="str">
        <f>IFERROR(__xludf.DUMMYFUNCTION("""COMPUTED_VALUE"""),"")</f>
        <v/>
      </c>
      <c r="X2522" s="143" t="str">
        <f t="shared" si="2"/>
        <v/>
      </c>
      <c r="Y2522" s="139" t="str">
        <f>IFERROR(__xludf.DUMMYFUNCTION("""COMPUTED_VALUE"""),"")</f>
        <v/>
      </c>
      <c r="Z2522" s="141" t="str">
        <f>IFERROR(__xludf.DUMMYFUNCTION("""COMPUTED_VALUE"""),"")</f>
        <v/>
      </c>
    </row>
    <row r="2523">
      <c r="D2523" s="136" t="str">
        <f t="shared" si="3"/>
        <v/>
      </c>
      <c r="E2523" s="152"/>
      <c r="F2523" s="106" t="s">
        <v>133</v>
      </c>
      <c r="G2523" s="152"/>
      <c r="H2523" s="106" t="s">
        <v>133</v>
      </c>
      <c r="J2523" s="139" t="s">
        <v>133</v>
      </c>
      <c r="K2523" s="136" t="s">
        <v>133</v>
      </c>
      <c r="L2523" s="153"/>
      <c r="M2523" s="136" t="str">
        <f t="shared" si="1"/>
        <v/>
      </c>
      <c r="O2523" s="141" t="s">
        <v>133</v>
      </c>
      <c r="P2523" s="136" t="str">
        <f>IFERROR(__xludf.DUMMYFUNCTION("""COMPUTED_VALUE"""),"")</f>
        <v/>
      </c>
      <c r="Q2523" s="136" t="str">
        <f>IFERROR(__xludf.DUMMYFUNCTION("""COMPUTED_VALUE"""),"")</f>
        <v/>
      </c>
      <c r="R2523" s="106" t="str">
        <f>IFERROR(__xludf.DUMMYFUNCTION("""COMPUTED_VALUE"""),"")</f>
        <v/>
      </c>
      <c r="S2523" s="106" t="str">
        <f>IFERROR(__xludf.DUMMYFUNCTION("""COMPUTED_VALUE"""),"")</f>
        <v/>
      </c>
      <c r="T2523" s="139" t="str">
        <f>IFERROR(__xludf.DUMMYFUNCTION("""COMPUTED_VALUE"""),"")</f>
        <v/>
      </c>
      <c r="U2523" s="139" t="str">
        <f>IFERROR(__xludf.DUMMYFUNCTION("""COMPUTED_VALUE"""),"")</f>
        <v/>
      </c>
      <c r="V2523" s="136" t="str">
        <f>IFERROR(__xludf.DUMMYFUNCTION("""COMPUTED_VALUE"""),"")</f>
        <v/>
      </c>
      <c r="W2523" s="106" t="str">
        <f>IFERROR(__xludf.DUMMYFUNCTION("""COMPUTED_VALUE"""),"")</f>
        <v/>
      </c>
      <c r="X2523" s="143" t="str">
        <f t="shared" si="2"/>
        <v/>
      </c>
      <c r="Y2523" s="139" t="str">
        <f>IFERROR(__xludf.DUMMYFUNCTION("""COMPUTED_VALUE"""),"")</f>
        <v/>
      </c>
      <c r="Z2523" s="141" t="str">
        <f>IFERROR(__xludf.DUMMYFUNCTION("""COMPUTED_VALUE"""),"")</f>
        <v/>
      </c>
    </row>
    <row r="2524">
      <c r="D2524" s="136" t="str">
        <f t="shared" si="3"/>
        <v/>
      </c>
      <c r="E2524" s="152"/>
      <c r="F2524" s="106" t="s">
        <v>133</v>
      </c>
      <c r="G2524" s="152"/>
      <c r="H2524" s="106" t="s">
        <v>133</v>
      </c>
      <c r="J2524" s="139" t="s">
        <v>133</v>
      </c>
      <c r="K2524" s="136" t="s">
        <v>133</v>
      </c>
      <c r="L2524" s="153"/>
      <c r="M2524" s="136" t="str">
        <f t="shared" si="1"/>
        <v/>
      </c>
      <c r="O2524" s="141" t="s">
        <v>133</v>
      </c>
      <c r="P2524" s="136" t="str">
        <f>IFERROR(__xludf.DUMMYFUNCTION("""COMPUTED_VALUE"""),"")</f>
        <v/>
      </c>
      <c r="Q2524" s="136" t="str">
        <f>IFERROR(__xludf.DUMMYFUNCTION("""COMPUTED_VALUE"""),"")</f>
        <v/>
      </c>
      <c r="R2524" s="106" t="str">
        <f>IFERROR(__xludf.DUMMYFUNCTION("""COMPUTED_VALUE"""),"")</f>
        <v/>
      </c>
      <c r="S2524" s="106" t="str">
        <f>IFERROR(__xludf.DUMMYFUNCTION("""COMPUTED_VALUE"""),"")</f>
        <v/>
      </c>
      <c r="T2524" s="139" t="str">
        <f>IFERROR(__xludf.DUMMYFUNCTION("""COMPUTED_VALUE"""),"")</f>
        <v/>
      </c>
      <c r="U2524" s="139" t="str">
        <f>IFERROR(__xludf.DUMMYFUNCTION("""COMPUTED_VALUE"""),"")</f>
        <v/>
      </c>
      <c r="V2524" s="136" t="str">
        <f>IFERROR(__xludf.DUMMYFUNCTION("""COMPUTED_VALUE"""),"")</f>
        <v/>
      </c>
      <c r="W2524" s="106" t="str">
        <f>IFERROR(__xludf.DUMMYFUNCTION("""COMPUTED_VALUE"""),"")</f>
        <v/>
      </c>
      <c r="X2524" s="143" t="str">
        <f t="shared" si="2"/>
        <v/>
      </c>
      <c r="Y2524" s="139" t="str">
        <f>IFERROR(__xludf.DUMMYFUNCTION("""COMPUTED_VALUE"""),"")</f>
        <v/>
      </c>
      <c r="Z2524" s="141" t="str">
        <f>IFERROR(__xludf.DUMMYFUNCTION("""COMPUTED_VALUE"""),"")</f>
        <v/>
      </c>
    </row>
    <row r="2525">
      <c r="D2525" s="136" t="str">
        <f t="shared" si="3"/>
        <v/>
      </c>
      <c r="E2525" s="152"/>
      <c r="F2525" s="106" t="s">
        <v>133</v>
      </c>
      <c r="G2525" s="152"/>
      <c r="H2525" s="106" t="s">
        <v>133</v>
      </c>
      <c r="J2525" s="139" t="s">
        <v>133</v>
      </c>
      <c r="K2525" s="136" t="s">
        <v>133</v>
      </c>
      <c r="L2525" s="153"/>
      <c r="M2525" s="136" t="str">
        <f t="shared" si="1"/>
        <v/>
      </c>
      <c r="O2525" s="141" t="s">
        <v>133</v>
      </c>
      <c r="P2525" s="136" t="str">
        <f>IFERROR(__xludf.DUMMYFUNCTION("""COMPUTED_VALUE"""),"")</f>
        <v/>
      </c>
      <c r="Q2525" s="136" t="str">
        <f>IFERROR(__xludf.DUMMYFUNCTION("""COMPUTED_VALUE"""),"")</f>
        <v/>
      </c>
      <c r="R2525" s="106" t="str">
        <f>IFERROR(__xludf.DUMMYFUNCTION("""COMPUTED_VALUE"""),"")</f>
        <v/>
      </c>
      <c r="S2525" s="106" t="str">
        <f>IFERROR(__xludf.DUMMYFUNCTION("""COMPUTED_VALUE"""),"")</f>
        <v/>
      </c>
      <c r="T2525" s="139" t="str">
        <f>IFERROR(__xludf.DUMMYFUNCTION("""COMPUTED_VALUE"""),"")</f>
        <v/>
      </c>
      <c r="U2525" s="139" t="str">
        <f>IFERROR(__xludf.DUMMYFUNCTION("""COMPUTED_VALUE"""),"")</f>
        <v/>
      </c>
      <c r="V2525" s="136" t="str">
        <f>IFERROR(__xludf.DUMMYFUNCTION("""COMPUTED_VALUE"""),"")</f>
        <v/>
      </c>
      <c r="W2525" s="106" t="str">
        <f>IFERROR(__xludf.DUMMYFUNCTION("""COMPUTED_VALUE"""),"")</f>
        <v/>
      </c>
      <c r="X2525" s="143" t="str">
        <f t="shared" si="2"/>
        <v/>
      </c>
      <c r="Y2525" s="139" t="str">
        <f>IFERROR(__xludf.DUMMYFUNCTION("""COMPUTED_VALUE"""),"")</f>
        <v/>
      </c>
      <c r="Z2525" s="141" t="str">
        <f>IFERROR(__xludf.DUMMYFUNCTION("""COMPUTED_VALUE"""),"")</f>
        <v/>
      </c>
    </row>
    <row r="2526">
      <c r="D2526" s="136" t="str">
        <f t="shared" si="3"/>
        <v/>
      </c>
      <c r="E2526" s="152"/>
      <c r="F2526" s="106" t="s">
        <v>133</v>
      </c>
      <c r="G2526" s="152"/>
      <c r="H2526" s="106" t="s">
        <v>133</v>
      </c>
      <c r="J2526" s="139" t="s">
        <v>133</v>
      </c>
      <c r="K2526" s="136" t="s">
        <v>133</v>
      </c>
      <c r="L2526" s="153"/>
      <c r="M2526" s="136" t="str">
        <f t="shared" si="1"/>
        <v/>
      </c>
      <c r="O2526" s="141" t="s">
        <v>133</v>
      </c>
      <c r="P2526" s="136" t="str">
        <f>IFERROR(__xludf.DUMMYFUNCTION("""COMPUTED_VALUE"""),"")</f>
        <v/>
      </c>
      <c r="Q2526" s="136" t="str">
        <f>IFERROR(__xludf.DUMMYFUNCTION("""COMPUTED_VALUE"""),"")</f>
        <v/>
      </c>
      <c r="R2526" s="106" t="str">
        <f>IFERROR(__xludf.DUMMYFUNCTION("""COMPUTED_VALUE"""),"")</f>
        <v/>
      </c>
      <c r="S2526" s="106" t="str">
        <f>IFERROR(__xludf.DUMMYFUNCTION("""COMPUTED_VALUE"""),"")</f>
        <v/>
      </c>
      <c r="T2526" s="139" t="str">
        <f>IFERROR(__xludf.DUMMYFUNCTION("""COMPUTED_VALUE"""),"")</f>
        <v/>
      </c>
      <c r="U2526" s="139" t="str">
        <f>IFERROR(__xludf.DUMMYFUNCTION("""COMPUTED_VALUE"""),"")</f>
        <v/>
      </c>
      <c r="V2526" s="136" t="str">
        <f>IFERROR(__xludf.DUMMYFUNCTION("""COMPUTED_VALUE"""),"")</f>
        <v/>
      </c>
      <c r="W2526" s="106" t="str">
        <f>IFERROR(__xludf.DUMMYFUNCTION("""COMPUTED_VALUE"""),"")</f>
        <v/>
      </c>
      <c r="X2526" s="143" t="str">
        <f t="shared" si="2"/>
        <v/>
      </c>
      <c r="Y2526" s="139" t="str">
        <f>IFERROR(__xludf.DUMMYFUNCTION("""COMPUTED_VALUE"""),"")</f>
        <v/>
      </c>
      <c r="Z2526" s="141" t="str">
        <f>IFERROR(__xludf.DUMMYFUNCTION("""COMPUTED_VALUE"""),"")</f>
        <v/>
      </c>
    </row>
    <row r="2527">
      <c r="D2527" s="136" t="str">
        <f t="shared" si="3"/>
        <v/>
      </c>
      <c r="E2527" s="152"/>
      <c r="F2527" s="106" t="s">
        <v>133</v>
      </c>
      <c r="G2527" s="152"/>
      <c r="H2527" s="106" t="s">
        <v>133</v>
      </c>
      <c r="J2527" s="139" t="s">
        <v>133</v>
      </c>
      <c r="K2527" s="136" t="s">
        <v>133</v>
      </c>
      <c r="L2527" s="153"/>
      <c r="M2527" s="136" t="str">
        <f t="shared" si="1"/>
        <v/>
      </c>
      <c r="O2527" s="141" t="s">
        <v>133</v>
      </c>
      <c r="P2527" s="136" t="str">
        <f>IFERROR(__xludf.DUMMYFUNCTION("""COMPUTED_VALUE"""),"")</f>
        <v/>
      </c>
      <c r="Q2527" s="136" t="str">
        <f>IFERROR(__xludf.DUMMYFUNCTION("""COMPUTED_VALUE"""),"")</f>
        <v/>
      </c>
      <c r="R2527" s="106" t="str">
        <f>IFERROR(__xludf.DUMMYFUNCTION("""COMPUTED_VALUE"""),"")</f>
        <v/>
      </c>
      <c r="S2527" s="106" t="str">
        <f>IFERROR(__xludf.DUMMYFUNCTION("""COMPUTED_VALUE"""),"")</f>
        <v/>
      </c>
      <c r="T2527" s="139" t="str">
        <f>IFERROR(__xludf.DUMMYFUNCTION("""COMPUTED_VALUE"""),"")</f>
        <v/>
      </c>
      <c r="U2527" s="139" t="str">
        <f>IFERROR(__xludf.DUMMYFUNCTION("""COMPUTED_VALUE"""),"")</f>
        <v/>
      </c>
      <c r="V2527" s="136" t="str">
        <f>IFERROR(__xludf.DUMMYFUNCTION("""COMPUTED_VALUE"""),"")</f>
        <v/>
      </c>
      <c r="W2527" s="106" t="str">
        <f>IFERROR(__xludf.DUMMYFUNCTION("""COMPUTED_VALUE"""),"")</f>
        <v/>
      </c>
      <c r="X2527" s="143" t="str">
        <f t="shared" si="2"/>
        <v/>
      </c>
      <c r="Y2527" s="139" t="str">
        <f>IFERROR(__xludf.DUMMYFUNCTION("""COMPUTED_VALUE"""),"")</f>
        <v/>
      </c>
      <c r="Z2527" s="141" t="str">
        <f>IFERROR(__xludf.DUMMYFUNCTION("""COMPUTED_VALUE"""),"")</f>
        <v/>
      </c>
    </row>
    <row r="2528">
      <c r="D2528" s="136" t="str">
        <f t="shared" si="3"/>
        <v/>
      </c>
      <c r="E2528" s="152"/>
      <c r="F2528" s="106" t="s">
        <v>133</v>
      </c>
      <c r="G2528" s="152"/>
      <c r="H2528" s="106" t="s">
        <v>133</v>
      </c>
      <c r="J2528" s="139" t="s">
        <v>133</v>
      </c>
      <c r="K2528" s="136" t="s">
        <v>133</v>
      </c>
      <c r="L2528" s="153"/>
      <c r="M2528" s="136" t="str">
        <f t="shared" si="1"/>
        <v/>
      </c>
      <c r="O2528" s="141" t="s">
        <v>133</v>
      </c>
      <c r="P2528" s="136" t="str">
        <f>IFERROR(__xludf.DUMMYFUNCTION("""COMPUTED_VALUE"""),"")</f>
        <v/>
      </c>
      <c r="Q2528" s="136" t="str">
        <f>IFERROR(__xludf.DUMMYFUNCTION("""COMPUTED_VALUE"""),"")</f>
        <v/>
      </c>
      <c r="R2528" s="106" t="str">
        <f>IFERROR(__xludf.DUMMYFUNCTION("""COMPUTED_VALUE"""),"")</f>
        <v/>
      </c>
      <c r="S2528" s="106" t="str">
        <f>IFERROR(__xludf.DUMMYFUNCTION("""COMPUTED_VALUE"""),"")</f>
        <v/>
      </c>
      <c r="T2528" s="139" t="str">
        <f>IFERROR(__xludf.DUMMYFUNCTION("""COMPUTED_VALUE"""),"")</f>
        <v/>
      </c>
      <c r="U2528" s="139" t="str">
        <f>IFERROR(__xludf.DUMMYFUNCTION("""COMPUTED_VALUE"""),"")</f>
        <v/>
      </c>
      <c r="V2528" s="136" t="str">
        <f>IFERROR(__xludf.DUMMYFUNCTION("""COMPUTED_VALUE"""),"")</f>
        <v/>
      </c>
      <c r="W2528" s="106" t="str">
        <f>IFERROR(__xludf.DUMMYFUNCTION("""COMPUTED_VALUE"""),"")</f>
        <v/>
      </c>
      <c r="X2528" s="143" t="str">
        <f t="shared" si="2"/>
        <v/>
      </c>
      <c r="Y2528" s="139" t="str">
        <f>IFERROR(__xludf.DUMMYFUNCTION("""COMPUTED_VALUE"""),"")</f>
        <v/>
      </c>
      <c r="Z2528" s="141" t="str">
        <f>IFERROR(__xludf.DUMMYFUNCTION("""COMPUTED_VALUE"""),"")</f>
        <v/>
      </c>
    </row>
    <row r="2529">
      <c r="D2529" s="136" t="str">
        <f t="shared" si="3"/>
        <v/>
      </c>
      <c r="E2529" s="152"/>
      <c r="F2529" s="106" t="s">
        <v>133</v>
      </c>
      <c r="G2529" s="152"/>
      <c r="H2529" s="106" t="s">
        <v>133</v>
      </c>
      <c r="J2529" s="139" t="s">
        <v>133</v>
      </c>
      <c r="K2529" s="136" t="s">
        <v>133</v>
      </c>
      <c r="L2529" s="153"/>
      <c r="M2529" s="136" t="str">
        <f t="shared" si="1"/>
        <v/>
      </c>
      <c r="O2529" s="141" t="s">
        <v>133</v>
      </c>
      <c r="P2529" s="136" t="str">
        <f>IFERROR(__xludf.DUMMYFUNCTION("""COMPUTED_VALUE"""),"")</f>
        <v/>
      </c>
      <c r="Q2529" s="136" t="str">
        <f>IFERROR(__xludf.DUMMYFUNCTION("""COMPUTED_VALUE"""),"")</f>
        <v/>
      </c>
      <c r="R2529" s="106" t="str">
        <f>IFERROR(__xludf.DUMMYFUNCTION("""COMPUTED_VALUE"""),"")</f>
        <v/>
      </c>
      <c r="S2529" s="106" t="str">
        <f>IFERROR(__xludf.DUMMYFUNCTION("""COMPUTED_VALUE"""),"")</f>
        <v/>
      </c>
      <c r="T2529" s="139" t="str">
        <f>IFERROR(__xludf.DUMMYFUNCTION("""COMPUTED_VALUE"""),"")</f>
        <v/>
      </c>
      <c r="U2529" s="139" t="str">
        <f>IFERROR(__xludf.DUMMYFUNCTION("""COMPUTED_VALUE"""),"")</f>
        <v/>
      </c>
      <c r="V2529" s="136" t="str">
        <f>IFERROR(__xludf.DUMMYFUNCTION("""COMPUTED_VALUE"""),"")</f>
        <v/>
      </c>
      <c r="W2529" s="106" t="str">
        <f>IFERROR(__xludf.DUMMYFUNCTION("""COMPUTED_VALUE"""),"")</f>
        <v/>
      </c>
      <c r="X2529" s="143" t="str">
        <f t="shared" si="2"/>
        <v/>
      </c>
      <c r="Y2529" s="139" t="str">
        <f>IFERROR(__xludf.DUMMYFUNCTION("""COMPUTED_VALUE"""),"")</f>
        <v/>
      </c>
      <c r="Z2529" s="141" t="str">
        <f>IFERROR(__xludf.DUMMYFUNCTION("""COMPUTED_VALUE"""),"")</f>
        <v/>
      </c>
    </row>
    <row r="2530">
      <c r="D2530" s="136" t="str">
        <f t="shared" si="3"/>
        <v/>
      </c>
      <c r="E2530" s="152"/>
      <c r="F2530" s="106" t="s">
        <v>133</v>
      </c>
      <c r="G2530" s="152"/>
      <c r="H2530" s="106" t="s">
        <v>133</v>
      </c>
      <c r="J2530" s="139" t="s">
        <v>133</v>
      </c>
      <c r="K2530" s="136" t="s">
        <v>133</v>
      </c>
      <c r="L2530" s="153"/>
      <c r="M2530" s="136" t="str">
        <f t="shared" si="1"/>
        <v/>
      </c>
      <c r="O2530" s="141" t="s">
        <v>133</v>
      </c>
      <c r="P2530" s="136" t="str">
        <f>IFERROR(__xludf.DUMMYFUNCTION("""COMPUTED_VALUE"""),"")</f>
        <v/>
      </c>
      <c r="Q2530" s="136" t="str">
        <f>IFERROR(__xludf.DUMMYFUNCTION("""COMPUTED_VALUE"""),"")</f>
        <v/>
      </c>
      <c r="R2530" s="106" t="str">
        <f>IFERROR(__xludf.DUMMYFUNCTION("""COMPUTED_VALUE"""),"")</f>
        <v/>
      </c>
      <c r="S2530" s="106" t="str">
        <f>IFERROR(__xludf.DUMMYFUNCTION("""COMPUTED_VALUE"""),"")</f>
        <v/>
      </c>
      <c r="T2530" s="139" t="str">
        <f>IFERROR(__xludf.DUMMYFUNCTION("""COMPUTED_VALUE"""),"")</f>
        <v/>
      </c>
      <c r="U2530" s="139" t="str">
        <f>IFERROR(__xludf.DUMMYFUNCTION("""COMPUTED_VALUE"""),"")</f>
        <v/>
      </c>
      <c r="V2530" s="136" t="str">
        <f>IFERROR(__xludf.DUMMYFUNCTION("""COMPUTED_VALUE"""),"")</f>
        <v/>
      </c>
      <c r="W2530" s="106" t="str">
        <f>IFERROR(__xludf.DUMMYFUNCTION("""COMPUTED_VALUE"""),"")</f>
        <v/>
      </c>
      <c r="X2530" s="143" t="str">
        <f t="shared" si="2"/>
        <v/>
      </c>
      <c r="Y2530" s="139" t="str">
        <f>IFERROR(__xludf.DUMMYFUNCTION("""COMPUTED_VALUE"""),"")</f>
        <v/>
      </c>
      <c r="Z2530" s="141" t="str">
        <f>IFERROR(__xludf.DUMMYFUNCTION("""COMPUTED_VALUE"""),"")</f>
        <v/>
      </c>
    </row>
    <row r="2531">
      <c r="D2531" s="136" t="str">
        <f t="shared" si="3"/>
        <v/>
      </c>
      <c r="E2531" s="152"/>
      <c r="F2531" s="106" t="s">
        <v>133</v>
      </c>
      <c r="G2531" s="152"/>
      <c r="H2531" s="106" t="s">
        <v>133</v>
      </c>
      <c r="J2531" s="139" t="s">
        <v>133</v>
      </c>
      <c r="K2531" s="136" t="s">
        <v>133</v>
      </c>
      <c r="L2531" s="153"/>
      <c r="M2531" s="136" t="str">
        <f t="shared" si="1"/>
        <v/>
      </c>
      <c r="O2531" s="141" t="s">
        <v>133</v>
      </c>
      <c r="P2531" s="136" t="str">
        <f>IFERROR(__xludf.DUMMYFUNCTION("""COMPUTED_VALUE"""),"")</f>
        <v/>
      </c>
      <c r="Q2531" s="136" t="str">
        <f>IFERROR(__xludf.DUMMYFUNCTION("""COMPUTED_VALUE"""),"")</f>
        <v/>
      </c>
      <c r="R2531" s="106" t="str">
        <f>IFERROR(__xludf.DUMMYFUNCTION("""COMPUTED_VALUE"""),"")</f>
        <v/>
      </c>
      <c r="S2531" s="106" t="str">
        <f>IFERROR(__xludf.DUMMYFUNCTION("""COMPUTED_VALUE"""),"")</f>
        <v/>
      </c>
      <c r="T2531" s="139" t="str">
        <f>IFERROR(__xludf.DUMMYFUNCTION("""COMPUTED_VALUE"""),"")</f>
        <v/>
      </c>
      <c r="U2531" s="139" t="str">
        <f>IFERROR(__xludf.DUMMYFUNCTION("""COMPUTED_VALUE"""),"")</f>
        <v/>
      </c>
      <c r="V2531" s="136" t="str">
        <f>IFERROR(__xludf.DUMMYFUNCTION("""COMPUTED_VALUE"""),"")</f>
        <v/>
      </c>
      <c r="W2531" s="106" t="str">
        <f>IFERROR(__xludf.DUMMYFUNCTION("""COMPUTED_VALUE"""),"")</f>
        <v/>
      </c>
      <c r="X2531" s="143" t="str">
        <f t="shared" si="2"/>
        <v/>
      </c>
      <c r="Y2531" s="139" t="str">
        <f>IFERROR(__xludf.DUMMYFUNCTION("""COMPUTED_VALUE"""),"")</f>
        <v/>
      </c>
      <c r="Z2531" s="141" t="str">
        <f>IFERROR(__xludf.DUMMYFUNCTION("""COMPUTED_VALUE"""),"")</f>
        <v/>
      </c>
    </row>
    <row r="2532">
      <c r="D2532" s="136" t="str">
        <f t="shared" si="3"/>
        <v/>
      </c>
      <c r="E2532" s="152"/>
      <c r="F2532" s="106" t="s">
        <v>133</v>
      </c>
      <c r="G2532" s="152"/>
      <c r="H2532" s="106" t="s">
        <v>133</v>
      </c>
      <c r="J2532" s="139" t="s">
        <v>133</v>
      </c>
      <c r="K2532" s="136" t="s">
        <v>133</v>
      </c>
      <c r="L2532" s="153"/>
      <c r="M2532" s="136" t="str">
        <f t="shared" si="1"/>
        <v/>
      </c>
      <c r="O2532" s="141" t="s">
        <v>133</v>
      </c>
      <c r="P2532" s="136" t="str">
        <f>IFERROR(__xludf.DUMMYFUNCTION("""COMPUTED_VALUE"""),"")</f>
        <v/>
      </c>
      <c r="Q2532" s="136" t="str">
        <f>IFERROR(__xludf.DUMMYFUNCTION("""COMPUTED_VALUE"""),"")</f>
        <v/>
      </c>
      <c r="R2532" s="106" t="str">
        <f>IFERROR(__xludf.DUMMYFUNCTION("""COMPUTED_VALUE"""),"")</f>
        <v/>
      </c>
      <c r="S2532" s="106" t="str">
        <f>IFERROR(__xludf.DUMMYFUNCTION("""COMPUTED_VALUE"""),"")</f>
        <v/>
      </c>
      <c r="T2532" s="139" t="str">
        <f>IFERROR(__xludf.DUMMYFUNCTION("""COMPUTED_VALUE"""),"")</f>
        <v/>
      </c>
      <c r="U2532" s="139" t="str">
        <f>IFERROR(__xludf.DUMMYFUNCTION("""COMPUTED_VALUE"""),"")</f>
        <v/>
      </c>
      <c r="V2532" s="136" t="str">
        <f>IFERROR(__xludf.DUMMYFUNCTION("""COMPUTED_VALUE"""),"")</f>
        <v/>
      </c>
      <c r="W2532" s="106" t="str">
        <f>IFERROR(__xludf.DUMMYFUNCTION("""COMPUTED_VALUE"""),"")</f>
        <v/>
      </c>
      <c r="X2532" s="143" t="str">
        <f t="shared" si="2"/>
        <v/>
      </c>
      <c r="Y2532" s="139" t="str">
        <f>IFERROR(__xludf.DUMMYFUNCTION("""COMPUTED_VALUE"""),"")</f>
        <v/>
      </c>
      <c r="Z2532" s="141" t="str">
        <f>IFERROR(__xludf.DUMMYFUNCTION("""COMPUTED_VALUE"""),"")</f>
        <v/>
      </c>
    </row>
    <row r="2533">
      <c r="D2533" s="136" t="str">
        <f t="shared" si="3"/>
        <v/>
      </c>
      <c r="E2533" s="152"/>
      <c r="F2533" s="106" t="s">
        <v>133</v>
      </c>
      <c r="G2533" s="152"/>
      <c r="H2533" s="106" t="s">
        <v>133</v>
      </c>
      <c r="J2533" s="139" t="s">
        <v>133</v>
      </c>
      <c r="K2533" s="136" t="s">
        <v>133</v>
      </c>
      <c r="L2533" s="153"/>
      <c r="M2533" s="136" t="str">
        <f t="shared" si="1"/>
        <v/>
      </c>
      <c r="O2533" s="141" t="s">
        <v>133</v>
      </c>
      <c r="P2533" s="136" t="str">
        <f>IFERROR(__xludf.DUMMYFUNCTION("""COMPUTED_VALUE"""),"")</f>
        <v/>
      </c>
      <c r="Q2533" s="136" t="str">
        <f>IFERROR(__xludf.DUMMYFUNCTION("""COMPUTED_VALUE"""),"")</f>
        <v/>
      </c>
      <c r="R2533" s="106" t="str">
        <f>IFERROR(__xludf.DUMMYFUNCTION("""COMPUTED_VALUE"""),"")</f>
        <v/>
      </c>
      <c r="S2533" s="106" t="str">
        <f>IFERROR(__xludf.DUMMYFUNCTION("""COMPUTED_VALUE"""),"")</f>
        <v/>
      </c>
      <c r="T2533" s="139" t="str">
        <f>IFERROR(__xludf.DUMMYFUNCTION("""COMPUTED_VALUE"""),"")</f>
        <v/>
      </c>
      <c r="U2533" s="139" t="str">
        <f>IFERROR(__xludf.DUMMYFUNCTION("""COMPUTED_VALUE"""),"")</f>
        <v/>
      </c>
      <c r="V2533" s="136" t="str">
        <f>IFERROR(__xludf.DUMMYFUNCTION("""COMPUTED_VALUE"""),"")</f>
        <v/>
      </c>
      <c r="W2533" s="106" t="str">
        <f>IFERROR(__xludf.DUMMYFUNCTION("""COMPUTED_VALUE"""),"")</f>
        <v/>
      </c>
      <c r="X2533" s="143" t="str">
        <f t="shared" si="2"/>
        <v/>
      </c>
      <c r="Y2533" s="139" t="str">
        <f>IFERROR(__xludf.DUMMYFUNCTION("""COMPUTED_VALUE"""),"")</f>
        <v/>
      </c>
      <c r="Z2533" s="141" t="str">
        <f>IFERROR(__xludf.DUMMYFUNCTION("""COMPUTED_VALUE"""),"")</f>
        <v/>
      </c>
    </row>
    <row r="2534">
      <c r="D2534" s="136" t="str">
        <f t="shared" si="3"/>
        <v/>
      </c>
      <c r="E2534" s="152"/>
      <c r="F2534" s="106" t="s">
        <v>133</v>
      </c>
      <c r="G2534" s="152"/>
      <c r="H2534" s="106" t="s">
        <v>133</v>
      </c>
      <c r="J2534" s="139" t="s">
        <v>133</v>
      </c>
      <c r="K2534" s="136" t="s">
        <v>133</v>
      </c>
      <c r="L2534" s="153"/>
      <c r="M2534" s="136" t="str">
        <f t="shared" si="1"/>
        <v/>
      </c>
      <c r="O2534" s="141" t="s">
        <v>133</v>
      </c>
      <c r="P2534" s="136" t="str">
        <f>IFERROR(__xludf.DUMMYFUNCTION("""COMPUTED_VALUE"""),"")</f>
        <v/>
      </c>
      <c r="Q2534" s="136" t="str">
        <f>IFERROR(__xludf.DUMMYFUNCTION("""COMPUTED_VALUE"""),"")</f>
        <v/>
      </c>
      <c r="R2534" s="106" t="str">
        <f>IFERROR(__xludf.DUMMYFUNCTION("""COMPUTED_VALUE"""),"")</f>
        <v/>
      </c>
      <c r="S2534" s="106" t="str">
        <f>IFERROR(__xludf.DUMMYFUNCTION("""COMPUTED_VALUE"""),"")</f>
        <v/>
      </c>
      <c r="T2534" s="139" t="str">
        <f>IFERROR(__xludf.DUMMYFUNCTION("""COMPUTED_VALUE"""),"")</f>
        <v/>
      </c>
      <c r="U2534" s="139" t="str">
        <f>IFERROR(__xludf.DUMMYFUNCTION("""COMPUTED_VALUE"""),"")</f>
        <v/>
      </c>
      <c r="V2534" s="136" t="str">
        <f>IFERROR(__xludf.DUMMYFUNCTION("""COMPUTED_VALUE"""),"")</f>
        <v/>
      </c>
      <c r="W2534" s="106" t="str">
        <f>IFERROR(__xludf.DUMMYFUNCTION("""COMPUTED_VALUE"""),"")</f>
        <v/>
      </c>
      <c r="X2534" s="143" t="str">
        <f t="shared" si="2"/>
        <v/>
      </c>
      <c r="Y2534" s="139" t="str">
        <f>IFERROR(__xludf.DUMMYFUNCTION("""COMPUTED_VALUE"""),"")</f>
        <v/>
      </c>
      <c r="Z2534" s="141" t="str">
        <f>IFERROR(__xludf.DUMMYFUNCTION("""COMPUTED_VALUE"""),"")</f>
        <v/>
      </c>
    </row>
    <row r="2535">
      <c r="D2535" s="136" t="str">
        <f t="shared" si="3"/>
        <v/>
      </c>
      <c r="E2535" s="152"/>
      <c r="F2535" s="106" t="s">
        <v>133</v>
      </c>
      <c r="G2535" s="152"/>
      <c r="H2535" s="106" t="s">
        <v>133</v>
      </c>
      <c r="J2535" s="139" t="s">
        <v>133</v>
      </c>
      <c r="K2535" s="136" t="s">
        <v>133</v>
      </c>
      <c r="L2535" s="153"/>
      <c r="M2535" s="136" t="str">
        <f t="shared" si="1"/>
        <v/>
      </c>
      <c r="O2535" s="141" t="s">
        <v>133</v>
      </c>
      <c r="P2535" s="136" t="str">
        <f>IFERROR(__xludf.DUMMYFUNCTION("""COMPUTED_VALUE"""),"")</f>
        <v/>
      </c>
      <c r="Q2535" s="136" t="str">
        <f>IFERROR(__xludf.DUMMYFUNCTION("""COMPUTED_VALUE"""),"")</f>
        <v/>
      </c>
      <c r="R2535" s="106" t="str">
        <f>IFERROR(__xludf.DUMMYFUNCTION("""COMPUTED_VALUE"""),"")</f>
        <v/>
      </c>
      <c r="S2535" s="106" t="str">
        <f>IFERROR(__xludf.DUMMYFUNCTION("""COMPUTED_VALUE"""),"")</f>
        <v/>
      </c>
      <c r="T2535" s="139" t="str">
        <f>IFERROR(__xludf.DUMMYFUNCTION("""COMPUTED_VALUE"""),"")</f>
        <v/>
      </c>
      <c r="U2535" s="139" t="str">
        <f>IFERROR(__xludf.DUMMYFUNCTION("""COMPUTED_VALUE"""),"")</f>
        <v/>
      </c>
      <c r="V2535" s="136" t="str">
        <f>IFERROR(__xludf.DUMMYFUNCTION("""COMPUTED_VALUE"""),"")</f>
        <v/>
      </c>
      <c r="W2535" s="106" t="str">
        <f>IFERROR(__xludf.DUMMYFUNCTION("""COMPUTED_VALUE"""),"")</f>
        <v/>
      </c>
      <c r="X2535" s="143" t="str">
        <f t="shared" si="2"/>
        <v/>
      </c>
      <c r="Y2535" s="139" t="str">
        <f>IFERROR(__xludf.DUMMYFUNCTION("""COMPUTED_VALUE"""),"")</f>
        <v/>
      </c>
      <c r="Z2535" s="141" t="str">
        <f>IFERROR(__xludf.DUMMYFUNCTION("""COMPUTED_VALUE"""),"")</f>
        <v/>
      </c>
    </row>
    <row r="2536">
      <c r="D2536" s="136" t="str">
        <f t="shared" si="3"/>
        <v/>
      </c>
      <c r="E2536" s="152"/>
      <c r="F2536" s="106" t="s">
        <v>133</v>
      </c>
      <c r="G2536" s="152"/>
      <c r="H2536" s="106" t="s">
        <v>133</v>
      </c>
      <c r="J2536" s="139" t="s">
        <v>133</v>
      </c>
      <c r="K2536" s="136" t="s">
        <v>133</v>
      </c>
      <c r="L2536" s="153"/>
      <c r="M2536" s="136" t="str">
        <f t="shared" si="1"/>
        <v/>
      </c>
      <c r="O2536" s="141" t="s">
        <v>133</v>
      </c>
      <c r="P2536" s="136" t="str">
        <f>IFERROR(__xludf.DUMMYFUNCTION("""COMPUTED_VALUE"""),"")</f>
        <v/>
      </c>
      <c r="Q2536" s="136" t="str">
        <f>IFERROR(__xludf.DUMMYFUNCTION("""COMPUTED_VALUE"""),"")</f>
        <v/>
      </c>
      <c r="R2536" s="106" t="str">
        <f>IFERROR(__xludf.DUMMYFUNCTION("""COMPUTED_VALUE"""),"")</f>
        <v/>
      </c>
      <c r="S2536" s="106" t="str">
        <f>IFERROR(__xludf.DUMMYFUNCTION("""COMPUTED_VALUE"""),"")</f>
        <v/>
      </c>
      <c r="T2536" s="139" t="str">
        <f>IFERROR(__xludf.DUMMYFUNCTION("""COMPUTED_VALUE"""),"")</f>
        <v/>
      </c>
      <c r="U2536" s="139" t="str">
        <f>IFERROR(__xludf.DUMMYFUNCTION("""COMPUTED_VALUE"""),"")</f>
        <v/>
      </c>
      <c r="V2536" s="136" t="str">
        <f>IFERROR(__xludf.DUMMYFUNCTION("""COMPUTED_VALUE"""),"")</f>
        <v/>
      </c>
      <c r="W2536" s="106" t="str">
        <f>IFERROR(__xludf.DUMMYFUNCTION("""COMPUTED_VALUE"""),"")</f>
        <v/>
      </c>
      <c r="X2536" s="143" t="str">
        <f t="shared" si="2"/>
        <v/>
      </c>
      <c r="Y2536" s="139" t="str">
        <f>IFERROR(__xludf.DUMMYFUNCTION("""COMPUTED_VALUE"""),"")</f>
        <v/>
      </c>
      <c r="Z2536" s="141" t="str">
        <f>IFERROR(__xludf.DUMMYFUNCTION("""COMPUTED_VALUE"""),"")</f>
        <v/>
      </c>
    </row>
    <row r="2537">
      <c r="D2537" s="136" t="str">
        <f t="shared" si="3"/>
        <v/>
      </c>
      <c r="E2537" s="152"/>
      <c r="F2537" s="106" t="s">
        <v>133</v>
      </c>
      <c r="G2537" s="152"/>
      <c r="H2537" s="106" t="s">
        <v>133</v>
      </c>
      <c r="J2537" s="139" t="s">
        <v>133</v>
      </c>
      <c r="K2537" s="136" t="s">
        <v>133</v>
      </c>
      <c r="L2537" s="153"/>
      <c r="M2537" s="136" t="str">
        <f t="shared" si="1"/>
        <v/>
      </c>
      <c r="O2537" s="141" t="s">
        <v>133</v>
      </c>
      <c r="P2537" s="136" t="str">
        <f>IFERROR(__xludf.DUMMYFUNCTION("""COMPUTED_VALUE"""),"")</f>
        <v/>
      </c>
      <c r="Q2537" s="136" t="str">
        <f>IFERROR(__xludf.DUMMYFUNCTION("""COMPUTED_VALUE"""),"")</f>
        <v/>
      </c>
      <c r="R2537" s="106" t="str">
        <f>IFERROR(__xludf.DUMMYFUNCTION("""COMPUTED_VALUE"""),"")</f>
        <v/>
      </c>
      <c r="S2537" s="106" t="str">
        <f>IFERROR(__xludf.DUMMYFUNCTION("""COMPUTED_VALUE"""),"")</f>
        <v/>
      </c>
      <c r="T2537" s="139" t="str">
        <f>IFERROR(__xludf.DUMMYFUNCTION("""COMPUTED_VALUE"""),"")</f>
        <v/>
      </c>
      <c r="U2537" s="139" t="str">
        <f>IFERROR(__xludf.DUMMYFUNCTION("""COMPUTED_VALUE"""),"")</f>
        <v/>
      </c>
      <c r="V2537" s="136" t="str">
        <f>IFERROR(__xludf.DUMMYFUNCTION("""COMPUTED_VALUE"""),"")</f>
        <v/>
      </c>
      <c r="W2537" s="106" t="str">
        <f>IFERROR(__xludf.DUMMYFUNCTION("""COMPUTED_VALUE"""),"")</f>
        <v/>
      </c>
      <c r="X2537" s="143" t="str">
        <f t="shared" si="2"/>
        <v/>
      </c>
      <c r="Y2537" s="139" t="str">
        <f>IFERROR(__xludf.DUMMYFUNCTION("""COMPUTED_VALUE"""),"")</f>
        <v/>
      </c>
      <c r="Z2537" s="141" t="str">
        <f>IFERROR(__xludf.DUMMYFUNCTION("""COMPUTED_VALUE"""),"")</f>
        <v/>
      </c>
    </row>
    <row r="2538">
      <c r="D2538" s="136" t="str">
        <f t="shared" si="3"/>
        <v/>
      </c>
      <c r="E2538" s="152"/>
      <c r="F2538" s="106" t="s">
        <v>133</v>
      </c>
      <c r="G2538" s="152"/>
      <c r="H2538" s="106" t="s">
        <v>133</v>
      </c>
      <c r="J2538" s="139" t="s">
        <v>133</v>
      </c>
      <c r="K2538" s="136" t="s">
        <v>133</v>
      </c>
      <c r="L2538" s="153"/>
      <c r="M2538" s="136" t="str">
        <f t="shared" si="1"/>
        <v/>
      </c>
      <c r="O2538" s="141" t="s">
        <v>133</v>
      </c>
      <c r="P2538" s="136" t="str">
        <f>IFERROR(__xludf.DUMMYFUNCTION("""COMPUTED_VALUE"""),"")</f>
        <v/>
      </c>
      <c r="Q2538" s="136" t="str">
        <f>IFERROR(__xludf.DUMMYFUNCTION("""COMPUTED_VALUE"""),"")</f>
        <v/>
      </c>
      <c r="R2538" s="106" t="str">
        <f>IFERROR(__xludf.DUMMYFUNCTION("""COMPUTED_VALUE"""),"")</f>
        <v/>
      </c>
      <c r="S2538" s="106" t="str">
        <f>IFERROR(__xludf.DUMMYFUNCTION("""COMPUTED_VALUE"""),"")</f>
        <v/>
      </c>
      <c r="T2538" s="139" t="str">
        <f>IFERROR(__xludf.DUMMYFUNCTION("""COMPUTED_VALUE"""),"")</f>
        <v/>
      </c>
      <c r="U2538" s="139" t="str">
        <f>IFERROR(__xludf.DUMMYFUNCTION("""COMPUTED_VALUE"""),"")</f>
        <v/>
      </c>
      <c r="V2538" s="136" t="str">
        <f>IFERROR(__xludf.DUMMYFUNCTION("""COMPUTED_VALUE"""),"")</f>
        <v/>
      </c>
      <c r="W2538" s="106" t="str">
        <f>IFERROR(__xludf.DUMMYFUNCTION("""COMPUTED_VALUE"""),"")</f>
        <v/>
      </c>
      <c r="X2538" s="143" t="str">
        <f t="shared" si="2"/>
        <v/>
      </c>
      <c r="Y2538" s="139" t="str">
        <f>IFERROR(__xludf.DUMMYFUNCTION("""COMPUTED_VALUE"""),"")</f>
        <v/>
      </c>
      <c r="Z2538" s="141" t="str">
        <f>IFERROR(__xludf.DUMMYFUNCTION("""COMPUTED_VALUE"""),"")</f>
        <v/>
      </c>
    </row>
    <row r="2539">
      <c r="D2539" s="136" t="str">
        <f t="shared" si="3"/>
        <v/>
      </c>
      <c r="E2539" s="152"/>
      <c r="F2539" s="106" t="s">
        <v>133</v>
      </c>
      <c r="G2539" s="152"/>
      <c r="H2539" s="106" t="s">
        <v>133</v>
      </c>
      <c r="J2539" s="139" t="s">
        <v>133</v>
      </c>
      <c r="K2539" s="136" t="s">
        <v>133</v>
      </c>
      <c r="L2539" s="153"/>
      <c r="M2539" s="136" t="str">
        <f t="shared" si="1"/>
        <v/>
      </c>
      <c r="O2539" s="141" t="s">
        <v>133</v>
      </c>
      <c r="P2539" s="136" t="str">
        <f>IFERROR(__xludf.DUMMYFUNCTION("""COMPUTED_VALUE"""),"")</f>
        <v/>
      </c>
      <c r="Q2539" s="136" t="str">
        <f>IFERROR(__xludf.DUMMYFUNCTION("""COMPUTED_VALUE"""),"")</f>
        <v/>
      </c>
      <c r="R2539" s="106" t="str">
        <f>IFERROR(__xludf.DUMMYFUNCTION("""COMPUTED_VALUE"""),"")</f>
        <v/>
      </c>
      <c r="S2539" s="106" t="str">
        <f>IFERROR(__xludf.DUMMYFUNCTION("""COMPUTED_VALUE"""),"")</f>
        <v/>
      </c>
      <c r="T2539" s="139" t="str">
        <f>IFERROR(__xludf.DUMMYFUNCTION("""COMPUTED_VALUE"""),"")</f>
        <v/>
      </c>
      <c r="U2539" s="139" t="str">
        <f>IFERROR(__xludf.DUMMYFUNCTION("""COMPUTED_VALUE"""),"")</f>
        <v/>
      </c>
      <c r="V2539" s="136" t="str">
        <f>IFERROR(__xludf.DUMMYFUNCTION("""COMPUTED_VALUE"""),"")</f>
        <v/>
      </c>
      <c r="W2539" s="106" t="str">
        <f>IFERROR(__xludf.DUMMYFUNCTION("""COMPUTED_VALUE"""),"")</f>
        <v/>
      </c>
      <c r="X2539" s="143" t="str">
        <f t="shared" si="2"/>
        <v/>
      </c>
      <c r="Y2539" s="139" t="str">
        <f>IFERROR(__xludf.DUMMYFUNCTION("""COMPUTED_VALUE"""),"")</f>
        <v/>
      </c>
      <c r="Z2539" s="141" t="str">
        <f>IFERROR(__xludf.DUMMYFUNCTION("""COMPUTED_VALUE"""),"")</f>
        <v/>
      </c>
    </row>
    <row r="2540">
      <c r="D2540" s="136" t="str">
        <f t="shared" si="3"/>
        <v/>
      </c>
      <c r="E2540" s="152"/>
      <c r="F2540" s="106" t="s">
        <v>133</v>
      </c>
      <c r="G2540" s="152"/>
      <c r="H2540" s="106" t="s">
        <v>133</v>
      </c>
      <c r="J2540" s="139" t="s">
        <v>133</v>
      </c>
      <c r="K2540" s="136" t="s">
        <v>133</v>
      </c>
      <c r="L2540" s="153"/>
      <c r="M2540" s="136" t="str">
        <f t="shared" si="1"/>
        <v/>
      </c>
      <c r="O2540" s="141" t="s">
        <v>133</v>
      </c>
      <c r="P2540" s="136" t="str">
        <f>IFERROR(__xludf.DUMMYFUNCTION("""COMPUTED_VALUE"""),"")</f>
        <v/>
      </c>
      <c r="Q2540" s="136" t="str">
        <f>IFERROR(__xludf.DUMMYFUNCTION("""COMPUTED_VALUE"""),"")</f>
        <v/>
      </c>
      <c r="R2540" s="106" t="str">
        <f>IFERROR(__xludf.DUMMYFUNCTION("""COMPUTED_VALUE"""),"")</f>
        <v/>
      </c>
      <c r="S2540" s="106" t="str">
        <f>IFERROR(__xludf.DUMMYFUNCTION("""COMPUTED_VALUE"""),"")</f>
        <v/>
      </c>
      <c r="T2540" s="139" t="str">
        <f>IFERROR(__xludf.DUMMYFUNCTION("""COMPUTED_VALUE"""),"")</f>
        <v/>
      </c>
      <c r="U2540" s="139" t="str">
        <f>IFERROR(__xludf.DUMMYFUNCTION("""COMPUTED_VALUE"""),"")</f>
        <v/>
      </c>
      <c r="V2540" s="136" t="str">
        <f>IFERROR(__xludf.DUMMYFUNCTION("""COMPUTED_VALUE"""),"")</f>
        <v/>
      </c>
      <c r="W2540" s="106" t="str">
        <f>IFERROR(__xludf.DUMMYFUNCTION("""COMPUTED_VALUE"""),"")</f>
        <v/>
      </c>
      <c r="X2540" s="143" t="str">
        <f t="shared" si="2"/>
        <v/>
      </c>
      <c r="Y2540" s="139" t="str">
        <f>IFERROR(__xludf.DUMMYFUNCTION("""COMPUTED_VALUE"""),"")</f>
        <v/>
      </c>
      <c r="Z2540" s="141" t="str">
        <f>IFERROR(__xludf.DUMMYFUNCTION("""COMPUTED_VALUE"""),"")</f>
        <v/>
      </c>
    </row>
    <row r="2541">
      <c r="D2541" s="136" t="str">
        <f t="shared" si="3"/>
        <v/>
      </c>
      <c r="E2541" s="152"/>
      <c r="F2541" s="106" t="s">
        <v>133</v>
      </c>
      <c r="G2541" s="152"/>
      <c r="H2541" s="106" t="s">
        <v>133</v>
      </c>
      <c r="J2541" s="139" t="s">
        <v>133</v>
      </c>
      <c r="K2541" s="136" t="s">
        <v>133</v>
      </c>
      <c r="L2541" s="153"/>
      <c r="M2541" s="136" t="str">
        <f t="shared" si="1"/>
        <v/>
      </c>
      <c r="O2541" s="141" t="s">
        <v>133</v>
      </c>
      <c r="P2541" s="136" t="str">
        <f>IFERROR(__xludf.DUMMYFUNCTION("""COMPUTED_VALUE"""),"")</f>
        <v/>
      </c>
      <c r="Q2541" s="136" t="str">
        <f>IFERROR(__xludf.DUMMYFUNCTION("""COMPUTED_VALUE"""),"")</f>
        <v/>
      </c>
      <c r="R2541" s="106" t="str">
        <f>IFERROR(__xludf.DUMMYFUNCTION("""COMPUTED_VALUE"""),"")</f>
        <v/>
      </c>
      <c r="S2541" s="106" t="str">
        <f>IFERROR(__xludf.DUMMYFUNCTION("""COMPUTED_VALUE"""),"")</f>
        <v/>
      </c>
      <c r="T2541" s="139" t="str">
        <f>IFERROR(__xludf.DUMMYFUNCTION("""COMPUTED_VALUE"""),"")</f>
        <v/>
      </c>
      <c r="U2541" s="139" t="str">
        <f>IFERROR(__xludf.DUMMYFUNCTION("""COMPUTED_VALUE"""),"")</f>
        <v/>
      </c>
      <c r="V2541" s="136" t="str">
        <f>IFERROR(__xludf.DUMMYFUNCTION("""COMPUTED_VALUE"""),"")</f>
        <v/>
      </c>
      <c r="W2541" s="106" t="str">
        <f>IFERROR(__xludf.DUMMYFUNCTION("""COMPUTED_VALUE"""),"")</f>
        <v/>
      </c>
      <c r="X2541" s="143" t="str">
        <f t="shared" si="2"/>
        <v/>
      </c>
      <c r="Y2541" s="139" t="str">
        <f>IFERROR(__xludf.DUMMYFUNCTION("""COMPUTED_VALUE"""),"")</f>
        <v/>
      </c>
      <c r="Z2541" s="141" t="str">
        <f>IFERROR(__xludf.DUMMYFUNCTION("""COMPUTED_VALUE"""),"")</f>
        <v/>
      </c>
    </row>
    <row r="2542">
      <c r="D2542" s="136" t="str">
        <f t="shared" si="3"/>
        <v/>
      </c>
      <c r="E2542" s="152"/>
      <c r="F2542" s="106" t="s">
        <v>133</v>
      </c>
      <c r="G2542" s="152"/>
      <c r="H2542" s="106" t="s">
        <v>133</v>
      </c>
      <c r="J2542" s="139" t="s">
        <v>133</v>
      </c>
      <c r="K2542" s="136" t="s">
        <v>133</v>
      </c>
      <c r="L2542" s="153"/>
      <c r="M2542" s="136" t="str">
        <f t="shared" si="1"/>
        <v/>
      </c>
      <c r="O2542" s="141" t="s">
        <v>133</v>
      </c>
      <c r="P2542" s="136" t="str">
        <f>IFERROR(__xludf.DUMMYFUNCTION("""COMPUTED_VALUE"""),"")</f>
        <v/>
      </c>
      <c r="Q2542" s="136" t="str">
        <f>IFERROR(__xludf.DUMMYFUNCTION("""COMPUTED_VALUE"""),"")</f>
        <v/>
      </c>
      <c r="R2542" s="106" t="str">
        <f>IFERROR(__xludf.DUMMYFUNCTION("""COMPUTED_VALUE"""),"")</f>
        <v/>
      </c>
      <c r="S2542" s="106" t="str">
        <f>IFERROR(__xludf.DUMMYFUNCTION("""COMPUTED_VALUE"""),"")</f>
        <v/>
      </c>
      <c r="T2542" s="139" t="str">
        <f>IFERROR(__xludf.DUMMYFUNCTION("""COMPUTED_VALUE"""),"")</f>
        <v/>
      </c>
      <c r="U2542" s="139" t="str">
        <f>IFERROR(__xludf.DUMMYFUNCTION("""COMPUTED_VALUE"""),"")</f>
        <v/>
      </c>
      <c r="V2542" s="136" t="str">
        <f>IFERROR(__xludf.DUMMYFUNCTION("""COMPUTED_VALUE"""),"")</f>
        <v/>
      </c>
      <c r="W2542" s="106" t="str">
        <f>IFERROR(__xludf.DUMMYFUNCTION("""COMPUTED_VALUE"""),"")</f>
        <v/>
      </c>
      <c r="X2542" s="143" t="str">
        <f t="shared" si="2"/>
        <v/>
      </c>
      <c r="Y2542" s="139" t="str">
        <f>IFERROR(__xludf.DUMMYFUNCTION("""COMPUTED_VALUE"""),"")</f>
        <v/>
      </c>
      <c r="Z2542" s="141" t="str">
        <f>IFERROR(__xludf.DUMMYFUNCTION("""COMPUTED_VALUE"""),"")</f>
        <v/>
      </c>
    </row>
    <row r="2543">
      <c r="D2543" s="136" t="str">
        <f t="shared" si="3"/>
        <v/>
      </c>
      <c r="E2543" s="152"/>
      <c r="F2543" s="106" t="s">
        <v>133</v>
      </c>
      <c r="G2543" s="152"/>
      <c r="H2543" s="106" t="s">
        <v>133</v>
      </c>
      <c r="J2543" s="139" t="s">
        <v>133</v>
      </c>
      <c r="K2543" s="136" t="s">
        <v>133</v>
      </c>
      <c r="L2543" s="153"/>
      <c r="M2543" s="136" t="str">
        <f t="shared" si="1"/>
        <v/>
      </c>
      <c r="O2543" s="141" t="s">
        <v>133</v>
      </c>
      <c r="P2543" s="136" t="str">
        <f>IFERROR(__xludf.DUMMYFUNCTION("""COMPUTED_VALUE"""),"")</f>
        <v/>
      </c>
      <c r="Q2543" s="136" t="str">
        <f>IFERROR(__xludf.DUMMYFUNCTION("""COMPUTED_VALUE"""),"")</f>
        <v/>
      </c>
      <c r="R2543" s="106" t="str">
        <f>IFERROR(__xludf.DUMMYFUNCTION("""COMPUTED_VALUE"""),"")</f>
        <v/>
      </c>
      <c r="S2543" s="106" t="str">
        <f>IFERROR(__xludf.DUMMYFUNCTION("""COMPUTED_VALUE"""),"")</f>
        <v/>
      </c>
      <c r="T2543" s="139" t="str">
        <f>IFERROR(__xludf.DUMMYFUNCTION("""COMPUTED_VALUE"""),"")</f>
        <v/>
      </c>
      <c r="U2543" s="139" t="str">
        <f>IFERROR(__xludf.DUMMYFUNCTION("""COMPUTED_VALUE"""),"")</f>
        <v/>
      </c>
      <c r="V2543" s="136" t="str">
        <f>IFERROR(__xludf.DUMMYFUNCTION("""COMPUTED_VALUE"""),"")</f>
        <v/>
      </c>
      <c r="W2543" s="106" t="str">
        <f>IFERROR(__xludf.DUMMYFUNCTION("""COMPUTED_VALUE"""),"")</f>
        <v/>
      </c>
      <c r="X2543" s="143" t="str">
        <f t="shared" si="2"/>
        <v/>
      </c>
      <c r="Y2543" s="139" t="str">
        <f>IFERROR(__xludf.DUMMYFUNCTION("""COMPUTED_VALUE"""),"")</f>
        <v/>
      </c>
      <c r="Z2543" s="141" t="str">
        <f>IFERROR(__xludf.DUMMYFUNCTION("""COMPUTED_VALUE"""),"")</f>
        <v/>
      </c>
    </row>
    <row r="2544">
      <c r="D2544" s="136" t="str">
        <f t="shared" si="3"/>
        <v/>
      </c>
      <c r="E2544" s="152"/>
      <c r="F2544" s="106" t="s">
        <v>133</v>
      </c>
      <c r="G2544" s="152"/>
      <c r="H2544" s="106" t="s">
        <v>133</v>
      </c>
      <c r="J2544" s="139" t="s">
        <v>133</v>
      </c>
      <c r="K2544" s="136" t="s">
        <v>133</v>
      </c>
      <c r="L2544" s="153"/>
      <c r="M2544" s="136" t="str">
        <f t="shared" si="1"/>
        <v/>
      </c>
      <c r="O2544" s="141" t="s">
        <v>133</v>
      </c>
      <c r="P2544" s="136" t="str">
        <f>IFERROR(__xludf.DUMMYFUNCTION("""COMPUTED_VALUE"""),"")</f>
        <v/>
      </c>
      <c r="Q2544" s="136" t="str">
        <f>IFERROR(__xludf.DUMMYFUNCTION("""COMPUTED_VALUE"""),"")</f>
        <v/>
      </c>
      <c r="R2544" s="106" t="str">
        <f>IFERROR(__xludf.DUMMYFUNCTION("""COMPUTED_VALUE"""),"")</f>
        <v/>
      </c>
      <c r="S2544" s="106" t="str">
        <f>IFERROR(__xludf.DUMMYFUNCTION("""COMPUTED_VALUE"""),"")</f>
        <v/>
      </c>
      <c r="T2544" s="139" t="str">
        <f>IFERROR(__xludf.DUMMYFUNCTION("""COMPUTED_VALUE"""),"")</f>
        <v/>
      </c>
      <c r="U2544" s="139" t="str">
        <f>IFERROR(__xludf.DUMMYFUNCTION("""COMPUTED_VALUE"""),"")</f>
        <v/>
      </c>
      <c r="V2544" s="136" t="str">
        <f>IFERROR(__xludf.DUMMYFUNCTION("""COMPUTED_VALUE"""),"")</f>
        <v/>
      </c>
      <c r="W2544" s="106" t="str">
        <f>IFERROR(__xludf.DUMMYFUNCTION("""COMPUTED_VALUE"""),"")</f>
        <v/>
      </c>
      <c r="X2544" s="143" t="str">
        <f t="shared" si="2"/>
        <v/>
      </c>
      <c r="Y2544" s="139" t="str">
        <f>IFERROR(__xludf.DUMMYFUNCTION("""COMPUTED_VALUE"""),"")</f>
        <v/>
      </c>
      <c r="Z2544" s="141" t="str">
        <f>IFERROR(__xludf.DUMMYFUNCTION("""COMPUTED_VALUE"""),"")</f>
        <v/>
      </c>
    </row>
    <row r="2545">
      <c r="D2545" s="136" t="str">
        <f t="shared" si="3"/>
        <v/>
      </c>
      <c r="E2545" s="152"/>
      <c r="F2545" s="106" t="s">
        <v>133</v>
      </c>
      <c r="G2545" s="152"/>
      <c r="H2545" s="106" t="s">
        <v>133</v>
      </c>
      <c r="J2545" s="139" t="s">
        <v>133</v>
      </c>
      <c r="K2545" s="136" t="s">
        <v>133</v>
      </c>
      <c r="L2545" s="153"/>
      <c r="M2545" s="136" t="str">
        <f t="shared" si="1"/>
        <v/>
      </c>
      <c r="O2545" s="141" t="s">
        <v>133</v>
      </c>
      <c r="P2545" s="136" t="str">
        <f>IFERROR(__xludf.DUMMYFUNCTION("""COMPUTED_VALUE"""),"")</f>
        <v/>
      </c>
      <c r="Q2545" s="136" t="str">
        <f>IFERROR(__xludf.DUMMYFUNCTION("""COMPUTED_VALUE"""),"")</f>
        <v/>
      </c>
      <c r="R2545" s="106" t="str">
        <f>IFERROR(__xludf.DUMMYFUNCTION("""COMPUTED_VALUE"""),"")</f>
        <v/>
      </c>
      <c r="S2545" s="106" t="str">
        <f>IFERROR(__xludf.DUMMYFUNCTION("""COMPUTED_VALUE"""),"")</f>
        <v/>
      </c>
      <c r="T2545" s="139" t="str">
        <f>IFERROR(__xludf.DUMMYFUNCTION("""COMPUTED_VALUE"""),"")</f>
        <v/>
      </c>
      <c r="U2545" s="139" t="str">
        <f>IFERROR(__xludf.DUMMYFUNCTION("""COMPUTED_VALUE"""),"")</f>
        <v/>
      </c>
      <c r="V2545" s="136" t="str">
        <f>IFERROR(__xludf.DUMMYFUNCTION("""COMPUTED_VALUE"""),"")</f>
        <v/>
      </c>
      <c r="W2545" s="106" t="str">
        <f>IFERROR(__xludf.DUMMYFUNCTION("""COMPUTED_VALUE"""),"")</f>
        <v/>
      </c>
      <c r="X2545" s="143" t="str">
        <f t="shared" si="2"/>
        <v/>
      </c>
      <c r="Y2545" s="139" t="str">
        <f>IFERROR(__xludf.DUMMYFUNCTION("""COMPUTED_VALUE"""),"")</f>
        <v/>
      </c>
      <c r="Z2545" s="141" t="str">
        <f>IFERROR(__xludf.DUMMYFUNCTION("""COMPUTED_VALUE"""),"")</f>
        <v/>
      </c>
    </row>
    <row r="2546">
      <c r="D2546" s="136" t="str">
        <f t="shared" si="3"/>
        <v/>
      </c>
      <c r="E2546" s="152"/>
      <c r="F2546" s="106" t="s">
        <v>133</v>
      </c>
      <c r="G2546" s="152"/>
      <c r="H2546" s="106" t="s">
        <v>133</v>
      </c>
      <c r="J2546" s="139" t="s">
        <v>133</v>
      </c>
      <c r="K2546" s="136" t="s">
        <v>133</v>
      </c>
      <c r="L2546" s="153"/>
      <c r="M2546" s="136" t="str">
        <f t="shared" si="1"/>
        <v/>
      </c>
      <c r="O2546" s="141" t="s">
        <v>133</v>
      </c>
      <c r="P2546" s="136" t="str">
        <f>IFERROR(__xludf.DUMMYFUNCTION("""COMPUTED_VALUE"""),"")</f>
        <v/>
      </c>
      <c r="Q2546" s="136" t="str">
        <f>IFERROR(__xludf.DUMMYFUNCTION("""COMPUTED_VALUE"""),"")</f>
        <v/>
      </c>
      <c r="R2546" s="106" t="str">
        <f>IFERROR(__xludf.DUMMYFUNCTION("""COMPUTED_VALUE"""),"")</f>
        <v/>
      </c>
      <c r="S2546" s="106" t="str">
        <f>IFERROR(__xludf.DUMMYFUNCTION("""COMPUTED_VALUE"""),"")</f>
        <v/>
      </c>
      <c r="T2546" s="139" t="str">
        <f>IFERROR(__xludf.DUMMYFUNCTION("""COMPUTED_VALUE"""),"")</f>
        <v/>
      </c>
      <c r="U2546" s="139" t="str">
        <f>IFERROR(__xludf.DUMMYFUNCTION("""COMPUTED_VALUE"""),"")</f>
        <v/>
      </c>
      <c r="V2546" s="136" t="str">
        <f>IFERROR(__xludf.DUMMYFUNCTION("""COMPUTED_VALUE"""),"")</f>
        <v/>
      </c>
      <c r="W2546" s="106" t="str">
        <f>IFERROR(__xludf.DUMMYFUNCTION("""COMPUTED_VALUE"""),"")</f>
        <v/>
      </c>
      <c r="X2546" s="143" t="str">
        <f t="shared" si="2"/>
        <v/>
      </c>
      <c r="Y2546" s="139" t="str">
        <f>IFERROR(__xludf.DUMMYFUNCTION("""COMPUTED_VALUE"""),"")</f>
        <v/>
      </c>
      <c r="Z2546" s="141" t="str">
        <f>IFERROR(__xludf.DUMMYFUNCTION("""COMPUTED_VALUE"""),"")</f>
        <v/>
      </c>
    </row>
    <row r="2547">
      <c r="D2547" s="136" t="str">
        <f t="shared" si="3"/>
        <v/>
      </c>
      <c r="E2547" s="152"/>
      <c r="F2547" s="106" t="s">
        <v>133</v>
      </c>
      <c r="G2547" s="152"/>
      <c r="H2547" s="106" t="s">
        <v>133</v>
      </c>
      <c r="J2547" s="139" t="s">
        <v>133</v>
      </c>
      <c r="K2547" s="136" t="s">
        <v>133</v>
      </c>
      <c r="L2547" s="153"/>
      <c r="M2547" s="136" t="str">
        <f t="shared" si="1"/>
        <v/>
      </c>
      <c r="O2547" s="141" t="s">
        <v>133</v>
      </c>
      <c r="P2547" s="136" t="str">
        <f>IFERROR(__xludf.DUMMYFUNCTION("""COMPUTED_VALUE"""),"")</f>
        <v/>
      </c>
      <c r="Q2547" s="136" t="str">
        <f>IFERROR(__xludf.DUMMYFUNCTION("""COMPUTED_VALUE"""),"")</f>
        <v/>
      </c>
      <c r="R2547" s="106" t="str">
        <f>IFERROR(__xludf.DUMMYFUNCTION("""COMPUTED_VALUE"""),"")</f>
        <v/>
      </c>
      <c r="S2547" s="106" t="str">
        <f>IFERROR(__xludf.DUMMYFUNCTION("""COMPUTED_VALUE"""),"")</f>
        <v/>
      </c>
      <c r="T2547" s="139" t="str">
        <f>IFERROR(__xludf.DUMMYFUNCTION("""COMPUTED_VALUE"""),"")</f>
        <v/>
      </c>
      <c r="U2547" s="139" t="str">
        <f>IFERROR(__xludf.DUMMYFUNCTION("""COMPUTED_VALUE"""),"")</f>
        <v/>
      </c>
      <c r="V2547" s="136" t="str">
        <f>IFERROR(__xludf.DUMMYFUNCTION("""COMPUTED_VALUE"""),"")</f>
        <v/>
      </c>
      <c r="W2547" s="106" t="str">
        <f>IFERROR(__xludf.DUMMYFUNCTION("""COMPUTED_VALUE"""),"")</f>
        <v/>
      </c>
      <c r="X2547" s="143" t="str">
        <f t="shared" si="2"/>
        <v/>
      </c>
      <c r="Y2547" s="139" t="str">
        <f>IFERROR(__xludf.DUMMYFUNCTION("""COMPUTED_VALUE"""),"")</f>
        <v/>
      </c>
      <c r="Z2547" s="141" t="str">
        <f>IFERROR(__xludf.DUMMYFUNCTION("""COMPUTED_VALUE"""),"")</f>
        <v/>
      </c>
    </row>
    <row r="2548">
      <c r="D2548" s="136" t="str">
        <f t="shared" si="3"/>
        <v/>
      </c>
      <c r="E2548" s="152"/>
      <c r="F2548" s="106" t="s">
        <v>133</v>
      </c>
      <c r="G2548" s="152"/>
      <c r="H2548" s="106" t="s">
        <v>133</v>
      </c>
      <c r="J2548" s="139" t="s">
        <v>133</v>
      </c>
      <c r="K2548" s="136" t="s">
        <v>133</v>
      </c>
      <c r="L2548" s="153"/>
      <c r="M2548" s="136" t="str">
        <f t="shared" si="1"/>
        <v/>
      </c>
      <c r="O2548" s="141" t="s">
        <v>133</v>
      </c>
      <c r="P2548" s="136" t="str">
        <f>IFERROR(__xludf.DUMMYFUNCTION("""COMPUTED_VALUE"""),"")</f>
        <v/>
      </c>
      <c r="Q2548" s="136" t="str">
        <f>IFERROR(__xludf.DUMMYFUNCTION("""COMPUTED_VALUE"""),"")</f>
        <v/>
      </c>
      <c r="R2548" s="106" t="str">
        <f>IFERROR(__xludf.DUMMYFUNCTION("""COMPUTED_VALUE"""),"")</f>
        <v/>
      </c>
      <c r="S2548" s="106" t="str">
        <f>IFERROR(__xludf.DUMMYFUNCTION("""COMPUTED_VALUE"""),"")</f>
        <v/>
      </c>
      <c r="T2548" s="139" t="str">
        <f>IFERROR(__xludf.DUMMYFUNCTION("""COMPUTED_VALUE"""),"")</f>
        <v/>
      </c>
      <c r="U2548" s="139" t="str">
        <f>IFERROR(__xludf.DUMMYFUNCTION("""COMPUTED_VALUE"""),"")</f>
        <v/>
      </c>
      <c r="V2548" s="136" t="str">
        <f>IFERROR(__xludf.DUMMYFUNCTION("""COMPUTED_VALUE"""),"")</f>
        <v/>
      </c>
      <c r="W2548" s="106" t="str">
        <f>IFERROR(__xludf.DUMMYFUNCTION("""COMPUTED_VALUE"""),"")</f>
        <v/>
      </c>
      <c r="X2548" s="143" t="str">
        <f t="shared" si="2"/>
        <v/>
      </c>
      <c r="Y2548" s="139" t="str">
        <f>IFERROR(__xludf.DUMMYFUNCTION("""COMPUTED_VALUE"""),"")</f>
        <v/>
      </c>
      <c r="Z2548" s="141" t="str">
        <f>IFERROR(__xludf.DUMMYFUNCTION("""COMPUTED_VALUE"""),"")</f>
        <v/>
      </c>
    </row>
    <row r="2549">
      <c r="D2549" s="136" t="str">
        <f t="shared" si="3"/>
        <v/>
      </c>
      <c r="E2549" s="152"/>
      <c r="F2549" s="106" t="s">
        <v>133</v>
      </c>
      <c r="G2549" s="152"/>
      <c r="H2549" s="106" t="s">
        <v>133</v>
      </c>
      <c r="J2549" s="139" t="s">
        <v>133</v>
      </c>
      <c r="K2549" s="136" t="s">
        <v>133</v>
      </c>
      <c r="L2549" s="153"/>
      <c r="M2549" s="136" t="str">
        <f t="shared" si="1"/>
        <v/>
      </c>
      <c r="O2549" s="141" t="s">
        <v>133</v>
      </c>
      <c r="P2549" s="136" t="str">
        <f>IFERROR(__xludf.DUMMYFUNCTION("""COMPUTED_VALUE"""),"")</f>
        <v/>
      </c>
      <c r="Q2549" s="136" t="str">
        <f>IFERROR(__xludf.DUMMYFUNCTION("""COMPUTED_VALUE"""),"")</f>
        <v/>
      </c>
      <c r="R2549" s="106" t="str">
        <f>IFERROR(__xludf.DUMMYFUNCTION("""COMPUTED_VALUE"""),"")</f>
        <v/>
      </c>
      <c r="S2549" s="106" t="str">
        <f>IFERROR(__xludf.DUMMYFUNCTION("""COMPUTED_VALUE"""),"")</f>
        <v/>
      </c>
      <c r="T2549" s="139" t="str">
        <f>IFERROR(__xludf.DUMMYFUNCTION("""COMPUTED_VALUE"""),"")</f>
        <v/>
      </c>
      <c r="U2549" s="139" t="str">
        <f>IFERROR(__xludf.DUMMYFUNCTION("""COMPUTED_VALUE"""),"")</f>
        <v/>
      </c>
      <c r="V2549" s="136" t="str">
        <f>IFERROR(__xludf.DUMMYFUNCTION("""COMPUTED_VALUE"""),"")</f>
        <v/>
      </c>
      <c r="W2549" s="106" t="str">
        <f>IFERROR(__xludf.DUMMYFUNCTION("""COMPUTED_VALUE"""),"")</f>
        <v/>
      </c>
      <c r="X2549" s="143" t="str">
        <f t="shared" si="2"/>
        <v/>
      </c>
      <c r="Y2549" s="139" t="str">
        <f>IFERROR(__xludf.DUMMYFUNCTION("""COMPUTED_VALUE"""),"")</f>
        <v/>
      </c>
      <c r="Z2549" s="141" t="str">
        <f>IFERROR(__xludf.DUMMYFUNCTION("""COMPUTED_VALUE"""),"")</f>
        <v/>
      </c>
    </row>
    <row r="2550">
      <c r="D2550" s="136" t="str">
        <f t="shared" si="3"/>
        <v/>
      </c>
      <c r="E2550" s="152"/>
      <c r="F2550" s="106" t="s">
        <v>133</v>
      </c>
      <c r="G2550" s="152"/>
      <c r="H2550" s="106" t="s">
        <v>133</v>
      </c>
      <c r="J2550" s="139" t="s">
        <v>133</v>
      </c>
      <c r="K2550" s="136" t="s">
        <v>133</v>
      </c>
      <c r="L2550" s="153"/>
      <c r="M2550" s="136" t="str">
        <f t="shared" si="1"/>
        <v/>
      </c>
      <c r="O2550" s="141" t="s">
        <v>133</v>
      </c>
      <c r="P2550" s="136" t="str">
        <f>IFERROR(__xludf.DUMMYFUNCTION("""COMPUTED_VALUE"""),"")</f>
        <v/>
      </c>
      <c r="Q2550" s="136" t="str">
        <f>IFERROR(__xludf.DUMMYFUNCTION("""COMPUTED_VALUE"""),"")</f>
        <v/>
      </c>
      <c r="R2550" s="106" t="str">
        <f>IFERROR(__xludf.DUMMYFUNCTION("""COMPUTED_VALUE"""),"")</f>
        <v/>
      </c>
      <c r="S2550" s="106" t="str">
        <f>IFERROR(__xludf.DUMMYFUNCTION("""COMPUTED_VALUE"""),"")</f>
        <v/>
      </c>
      <c r="T2550" s="139" t="str">
        <f>IFERROR(__xludf.DUMMYFUNCTION("""COMPUTED_VALUE"""),"")</f>
        <v/>
      </c>
      <c r="U2550" s="139" t="str">
        <f>IFERROR(__xludf.DUMMYFUNCTION("""COMPUTED_VALUE"""),"")</f>
        <v/>
      </c>
      <c r="V2550" s="136" t="str">
        <f>IFERROR(__xludf.DUMMYFUNCTION("""COMPUTED_VALUE"""),"")</f>
        <v/>
      </c>
      <c r="W2550" s="106" t="str">
        <f>IFERROR(__xludf.DUMMYFUNCTION("""COMPUTED_VALUE"""),"")</f>
        <v/>
      </c>
      <c r="X2550" s="143" t="str">
        <f t="shared" si="2"/>
        <v/>
      </c>
      <c r="Y2550" s="139" t="str">
        <f>IFERROR(__xludf.DUMMYFUNCTION("""COMPUTED_VALUE"""),"")</f>
        <v/>
      </c>
      <c r="Z2550" s="141" t="str">
        <f>IFERROR(__xludf.DUMMYFUNCTION("""COMPUTED_VALUE"""),"")</f>
        <v/>
      </c>
    </row>
    <row r="2551">
      <c r="D2551" s="136" t="str">
        <f t="shared" si="3"/>
        <v/>
      </c>
      <c r="E2551" s="152"/>
      <c r="F2551" s="106" t="s">
        <v>133</v>
      </c>
      <c r="G2551" s="152"/>
      <c r="H2551" s="106" t="s">
        <v>133</v>
      </c>
      <c r="J2551" s="139" t="s">
        <v>133</v>
      </c>
      <c r="K2551" s="136" t="s">
        <v>133</v>
      </c>
      <c r="L2551" s="153"/>
      <c r="M2551" s="136" t="str">
        <f t="shared" si="1"/>
        <v/>
      </c>
      <c r="O2551" s="141" t="s">
        <v>133</v>
      </c>
      <c r="P2551" s="136" t="str">
        <f>IFERROR(__xludf.DUMMYFUNCTION("""COMPUTED_VALUE"""),"")</f>
        <v/>
      </c>
      <c r="Q2551" s="136" t="str">
        <f>IFERROR(__xludf.DUMMYFUNCTION("""COMPUTED_VALUE"""),"")</f>
        <v/>
      </c>
      <c r="R2551" s="106" t="str">
        <f>IFERROR(__xludf.DUMMYFUNCTION("""COMPUTED_VALUE"""),"")</f>
        <v/>
      </c>
      <c r="S2551" s="106" t="str">
        <f>IFERROR(__xludf.DUMMYFUNCTION("""COMPUTED_VALUE"""),"")</f>
        <v/>
      </c>
      <c r="T2551" s="139" t="str">
        <f>IFERROR(__xludf.DUMMYFUNCTION("""COMPUTED_VALUE"""),"")</f>
        <v/>
      </c>
      <c r="U2551" s="139" t="str">
        <f>IFERROR(__xludf.DUMMYFUNCTION("""COMPUTED_VALUE"""),"")</f>
        <v/>
      </c>
      <c r="V2551" s="136" t="str">
        <f>IFERROR(__xludf.DUMMYFUNCTION("""COMPUTED_VALUE"""),"")</f>
        <v/>
      </c>
      <c r="W2551" s="106" t="str">
        <f>IFERROR(__xludf.DUMMYFUNCTION("""COMPUTED_VALUE"""),"")</f>
        <v/>
      </c>
      <c r="X2551" s="143" t="str">
        <f t="shared" si="2"/>
        <v/>
      </c>
      <c r="Y2551" s="139" t="str">
        <f>IFERROR(__xludf.DUMMYFUNCTION("""COMPUTED_VALUE"""),"")</f>
        <v/>
      </c>
      <c r="Z2551" s="141" t="str">
        <f>IFERROR(__xludf.DUMMYFUNCTION("""COMPUTED_VALUE"""),"")</f>
        <v/>
      </c>
    </row>
    <row r="2552">
      <c r="D2552" s="136" t="str">
        <f t="shared" si="3"/>
        <v/>
      </c>
      <c r="E2552" s="152"/>
      <c r="F2552" s="106" t="s">
        <v>133</v>
      </c>
      <c r="G2552" s="152"/>
      <c r="H2552" s="106" t="s">
        <v>133</v>
      </c>
      <c r="J2552" s="139" t="s">
        <v>133</v>
      </c>
      <c r="K2552" s="136" t="s">
        <v>133</v>
      </c>
      <c r="L2552" s="153"/>
      <c r="M2552" s="136" t="str">
        <f t="shared" si="1"/>
        <v/>
      </c>
      <c r="O2552" s="141" t="s">
        <v>133</v>
      </c>
      <c r="P2552" s="136" t="str">
        <f>IFERROR(__xludf.DUMMYFUNCTION("""COMPUTED_VALUE"""),"")</f>
        <v/>
      </c>
      <c r="Q2552" s="136" t="str">
        <f>IFERROR(__xludf.DUMMYFUNCTION("""COMPUTED_VALUE"""),"")</f>
        <v/>
      </c>
      <c r="R2552" s="106" t="str">
        <f>IFERROR(__xludf.DUMMYFUNCTION("""COMPUTED_VALUE"""),"")</f>
        <v/>
      </c>
      <c r="S2552" s="106" t="str">
        <f>IFERROR(__xludf.DUMMYFUNCTION("""COMPUTED_VALUE"""),"")</f>
        <v/>
      </c>
      <c r="T2552" s="139" t="str">
        <f>IFERROR(__xludf.DUMMYFUNCTION("""COMPUTED_VALUE"""),"")</f>
        <v/>
      </c>
      <c r="U2552" s="139" t="str">
        <f>IFERROR(__xludf.DUMMYFUNCTION("""COMPUTED_VALUE"""),"")</f>
        <v/>
      </c>
      <c r="V2552" s="136" t="str">
        <f>IFERROR(__xludf.DUMMYFUNCTION("""COMPUTED_VALUE"""),"")</f>
        <v/>
      </c>
      <c r="W2552" s="106" t="str">
        <f>IFERROR(__xludf.DUMMYFUNCTION("""COMPUTED_VALUE"""),"")</f>
        <v/>
      </c>
      <c r="X2552" s="143" t="str">
        <f t="shared" si="2"/>
        <v/>
      </c>
      <c r="Y2552" s="139" t="str">
        <f>IFERROR(__xludf.DUMMYFUNCTION("""COMPUTED_VALUE"""),"")</f>
        <v/>
      </c>
      <c r="Z2552" s="141" t="str">
        <f>IFERROR(__xludf.DUMMYFUNCTION("""COMPUTED_VALUE"""),"")</f>
        <v/>
      </c>
    </row>
    <row r="2553">
      <c r="D2553" s="136" t="str">
        <f t="shared" si="3"/>
        <v/>
      </c>
      <c r="E2553" s="152"/>
      <c r="F2553" s="106" t="s">
        <v>133</v>
      </c>
      <c r="G2553" s="152"/>
      <c r="H2553" s="106" t="s">
        <v>133</v>
      </c>
      <c r="J2553" s="139" t="s">
        <v>133</v>
      </c>
      <c r="K2553" s="136" t="s">
        <v>133</v>
      </c>
      <c r="L2553" s="153"/>
      <c r="M2553" s="136" t="str">
        <f t="shared" si="1"/>
        <v/>
      </c>
      <c r="O2553" s="141" t="s">
        <v>133</v>
      </c>
      <c r="P2553" s="136" t="str">
        <f>IFERROR(__xludf.DUMMYFUNCTION("""COMPUTED_VALUE"""),"")</f>
        <v/>
      </c>
      <c r="Q2553" s="136" t="str">
        <f>IFERROR(__xludf.DUMMYFUNCTION("""COMPUTED_VALUE"""),"")</f>
        <v/>
      </c>
      <c r="R2553" s="106" t="str">
        <f>IFERROR(__xludf.DUMMYFUNCTION("""COMPUTED_VALUE"""),"")</f>
        <v/>
      </c>
      <c r="S2553" s="106" t="str">
        <f>IFERROR(__xludf.DUMMYFUNCTION("""COMPUTED_VALUE"""),"")</f>
        <v/>
      </c>
      <c r="T2553" s="139" t="str">
        <f>IFERROR(__xludf.DUMMYFUNCTION("""COMPUTED_VALUE"""),"")</f>
        <v/>
      </c>
      <c r="U2553" s="139" t="str">
        <f>IFERROR(__xludf.DUMMYFUNCTION("""COMPUTED_VALUE"""),"")</f>
        <v/>
      </c>
      <c r="V2553" s="136" t="str">
        <f>IFERROR(__xludf.DUMMYFUNCTION("""COMPUTED_VALUE"""),"")</f>
        <v/>
      </c>
      <c r="W2553" s="106" t="str">
        <f>IFERROR(__xludf.DUMMYFUNCTION("""COMPUTED_VALUE"""),"")</f>
        <v/>
      </c>
      <c r="X2553" s="143" t="str">
        <f t="shared" si="2"/>
        <v/>
      </c>
      <c r="Y2553" s="139" t="str">
        <f>IFERROR(__xludf.DUMMYFUNCTION("""COMPUTED_VALUE"""),"")</f>
        <v/>
      </c>
      <c r="Z2553" s="141" t="str">
        <f>IFERROR(__xludf.DUMMYFUNCTION("""COMPUTED_VALUE"""),"")</f>
        <v/>
      </c>
    </row>
    <row r="2554">
      <c r="D2554" s="136" t="str">
        <f t="shared" si="3"/>
        <v/>
      </c>
      <c r="E2554" s="152"/>
      <c r="F2554" s="106" t="s">
        <v>133</v>
      </c>
      <c r="G2554" s="152"/>
      <c r="H2554" s="106" t="s">
        <v>133</v>
      </c>
      <c r="J2554" s="139" t="s">
        <v>133</v>
      </c>
      <c r="K2554" s="136" t="s">
        <v>133</v>
      </c>
      <c r="L2554" s="153"/>
      <c r="M2554" s="136" t="str">
        <f t="shared" si="1"/>
        <v/>
      </c>
      <c r="O2554" s="141" t="s">
        <v>133</v>
      </c>
      <c r="P2554" s="136" t="str">
        <f>IFERROR(__xludf.DUMMYFUNCTION("""COMPUTED_VALUE"""),"")</f>
        <v/>
      </c>
      <c r="Q2554" s="136" t="str">
        <f>IFERROR(__xludf.DUMMYFUNCTION("""COMPUTED_VALUE"""),"")</f>
        <v/>
      </c>
      <c r="R2554" s="106" t="str">
        <f>IFERROR(__xludf.DUMMYFUNCTION("""COMPUTED_VALUE"""),"")</f>
        <v/>
      </c>
      <c r="S2554" s="106" t="str">
        <f>IFERROR(__xludf.DUMMYFUNCTION("""COMPUTED_VALUE"""),"")</f>
        <v/>
      </c>
      <c r="T2554" s="139" t="str">
        <f>IFERROR(__xludf.DUMMYFUNCTION("""COMPUTED_VALUE"""),"")</f>
        <v/>
      </c>
      <c r="U2554" s="139" t="str">
        <f>IFERROR(__xludf.DUMMYFUNCTION("""COMPUTED_VALUE"""),"")</f>
        <v/>
      </c>
      <c r="V2554" s="136" t="str">
        <f>IFERROR(__xludf.DUMMYFUNCTION("""COMPUTED_VALUE"""),"")</f>
        <v/>
      </c>
      <c r="W2554" s="106" t="str">
        <f>IFERROR(__xludf.DUMMYFUNCTION("""COMPUTED_VALUE"""),"")</f>
        <v/>
      </c>
      <c r="X2554" s="143" t="str">
        <f t="shared" si="2"/>
        <v/>
      </c>
      <c r="Y2554" s="139" t="str">
        <f>IFERROR(__xludf.DUMMYFUNCTION("""COMPUTED_VALUE"""),"")</f>
        <v/>
      </c>
      <c r="Z2554" s="141" t="str">
        <f>IFERROR(__xludf.DUMMYFUNCTION("""COMPUTED_VALUE"""),"")</f>
        <v/>
      </c>
    </row>
    <row r="2555">
      <c r="D2555" s="136" t="str">
        <f t="shared" si="3"/>
        <v/>
      </c>
      <c r="E2555" s="152"/>
      <c r="F2555" s="106" t="s">
        <v>133</v>
      </c>
      <c r="G2555" s="152"/>
      <c r="H2555" s="106" t="s">
        <v>133</v>
      </c>
      <c r="J2555" s="139" t="s">
        <v>133</v>
      </c>
      <c r="K2555" s="136" t="s">
        <v>133</v>
      </c>
      <c r="L2555" s="153"/>
      <c r="M2555" s="136" t="str">
        <f t="shared" si="1"/>
        <v/>
      </c>
      <c r="O2555" s="141" t="s">
        <v>133</v>
      </c>
      <c r="P2555" s="136" t="str">
        <f>IFERROR(__xludf.DUMMYFUNCTION("""COMPUTED_VALUE"""),"")</f>
        <v/>
      </c>
      <c r="Q2555" s="136" t="str">
        <f>IFERROR(__xludf.DUMMYFUNCTION("""COMPUTED_VALUE"""),"")</f>
        <v/>
      </c>
      <c r="R2555" s="106" t="str">
        <f>IFERROR(__xludf.DUMMYFUNCTION("""COMPUTED_VALUE"""),"")</f>
        <v/>
      </c>
      <c r="S2555" s="106" t="str">
        <f>IFERROR(__xludf.DUMMYFUNCTION("""COMPUTED_VALUE"""),"")</f>
        <v/>
      </c>
      <c r="T2555" s="139" t="str">
        <f>IFERROR(__xludf.DUMMYFUNCTION("""COMPUTED_VALUE"""),"")</f>
        <v/>
      </c>
      <c r="U2555" s="139" t="str">
        <f>IFERROR(__xludf.DUMMYFUNCTION("""COMPUTED_VALUE"""),"")</f>
        <v/>
      </c>
      <c r="V2555" s="136" t="str">
        <f>IFERROR(__xludf.DUMMYFUNCTION("""COMPUTED_VALUE"""),"")</f>
        <v/>
      </c>
      <c r="W2555" s="106" t="str">
        <f>IFERROR(__xludf.DUMMYFUNCTION("""COMPUTED_VALUE"""),"")</f>
        <v/>
      </c>
      <c r="X2555" s="143" t="str">
        <f t="shared" si="2"/>
        <v/>
      </c>
      <c r="Y2555" s="139" t="str">
        <f>IFERROR(__xludf.DUMMYFUNCTION("""COMPUTED_VALUE"""),"")</f>
        <v/>
      </c>
      <c r="Z2555" s="141" t="str">
        <f>IFERROR(__xludf.DUMMYFUNCTION("""COMPUTED_VALUE"""),"")</f>
        <v/>
      </c>
    </row>
    <row r="2556">
      <c r="D2556" s="136" t="str">
        <f t="shared" si="3"/>
        <v/>
      </c>
      <c r="E2556" s="152"/>
      <c r="F2556" s="106" t="s">
        <v>133</v>
      </c>
      <c r="G2556" s="152"/>
      <c r="H2556" s="106" t="s">
        <v>133</v>
      </c>
      <c r="J2556" s="139" t="s">
        <v>133</v>
      </c>
      <c r="K2556" s="136" t="s">
        <v>133</v>
      </c>
      <c r="L2556" s="153"/>
      <c r="M2556" s="136" t="str">
        <f t="shared" si="1"/>
        <v/>
      </c>
      <c r="O2556" s="141" t="s">
        <v>133</v>
      </c>
      <c r="P2556" s="136" t="str">
        <f>IFERROR(__xludf.DUMMYFUNCTION("""COMPUTED_VALUE"""),"")</f>
        <v/>
      </c>
      <c r="Q2556" s="136" t="str">
        <f>IFERROR(__xludf.DUMMYFUNCTION("""COMPUTED_VALUE"""),"")</f>
        <v/>
      </c>
      <c r="R2556" s="106" t="str">
        <f>IFERROR(__xludf.DUMMYFUNCTION("""COMPUTED_VALUE"""),"")</f>
        <v/>
      </c>
      <c r="S2556" s="106" t="str">
        <f>IFERROR(__xludf.DUMMYFUNCTION("""COMPUTED_VALUE"""),"")</f>
        <v/>
      </c>
      <c r="T2556" s="139" t="str">
        <f>IFERROR(__xludf.DUMMYFUNCTION("""COMPUTED_VALUE"""),"")</f>
        <v/>
      </c>
      <c r="U2556" s="139" t="str">
        <f>IFERROR(__xludf.DUMMYFUNCTION("""COMPUTED_VALUE"""),"")</f>
        <v/>
      </c>
      <c r="V2556" s="136" t="str">
        <f>IFERROR(__xludf.DUMMYFUNCTION("""COMPUTED_VALUE"""),"")</f>
        <v/>
      </c>
      <c r="W2556" s="106" t="str">
        <f>IFERROR(__xludf.DUMMYFUNCTION("""COMPUTED_VALUE"""),"")</f>
        <v/>
      </c>
      <c r="X2556" s="143" t="str">
        <f t="shared" si="2"/>
        <v/>
      </c>
      <c r="Y2556" s="139" t="str">
        <f>IFERROR(__xludf.DUMMYFUNCTION("""COMPUTED_VALUE"""),"")</f>
        <v/>
      </c>
      <c r="Z2556" s="141" t="str">
        <f>IFERROR(__xludf.DUMMYFUNCTION("""COMPUTED_VALUE"""),"")</f>
        <v/>
      </c>
    </row>
    <row r="2557">
      <c r="D2557" s="136" t="str">
        <f t="shared" si="3"/>
        <v/>
      </c>
      <c r="E2557" s="152"/>
      <c r="F2557" s="106" t="s">
        <v>133</v>
      </c>
      <c r="G2557" s="152"/>
      <c r="H2557" s="106" t="s">
        <v>133</v>
      </c>
      <c r="J2557" s="139" t="s">
        <v>133</v>
      </c>
      <c r="K2557" s="136" t="s">
        <v>133</v>
      </c>
      <c r="L2557" s="153"/>
      <c r="M2557" s="136" t="str">
        <f t="shared" si="1"/>
        <v/>
      </c>
      <c r="O2557" s="141" t="s">
        <v>133</v>
      </c>
      <c r="P2557" s="136" t="str">
        <f>IFERROR(__xludf.DUMMYFUNCTION("""COMPUTED_VALUE"""),"")</f>
        <v/>
      </c>
      <c r="Q2557" s="136" t="str">
        <f>IFERROR(__xludf.DUMMYFUNCTION("""COMPUTED_VALUE"""),"")</f>
        <v/>
      </c>
      <c r="R2557" s="106" t="str">
        <f>IFERROR(__xludf.DUMMYFUNCTION("""COMPUTED_VALUE"""),"")</f>
        <v/>
      </c>
      <c r="S2557" s="106" t="str">
        <f>IFERROR(__xludf.DUMMYFUNCTION("""COMPUTED_VALUE"""),"")</f>
        <v/>
      </c>
      <c r="T2557" s="139" t="str">
        <f>IFERROR(__xludf.DUMMYFUNCTION("""COMPUTED_VALUE"""),"")</f>
        <v/>
      </c>
      <c r="U2557" s="139" t="str">
        <f>IFERROR(__xludf.DUMMYFUNCTION("""COMPUTED_VALUE"""),"")</f>
        <v/>
      </c>
      <c r="V2557" s="136" t="str">
        <f>IFERROR(__xludf.DUMMYFUNCTION("""COMPUTED_VALUE"""),"")</f>
        <v/>
      </c>
      <c r="W2557" s="106" t="str">
        <f>IFERROR(__xludf.DUMMYFUNCTION("""COMPUTED_VALUE"""),"")</f>
        <v/>
      </c>
      <c r="X2557" s="143" t="str">
        <f t="shared" si="2"/>
        <v/>
      </c>
      <c r="Y2557" s="139" t="str">
        <f>IFERROR(__xludf.DUMMYFUNCTION("""COMPUTED_VALUE"""),"")</f>
        <v/>
      </c>
      <c r="Z2557" s="141" t="str">
        <f>IFERROR(__xludf.DUMMYFUNCTION("""COMPUTED_VALUE"""),"")</f>
        <v/>
      </c>
    </row>
    <row r="2558">
      <c r="D2558" s="136" t="str">
        <f t="shared" si="3"/>
        <v/>
      </c>
      <c r="E2558" s="152"/>
      <c r="F2558" s="106" t="s">
        <v>133</v>
      </c>
      <c r="G2558" s="152"/>
      <c r="H2558" s="106" t="s">
        <v>133</v>
      </c>
      <c r="J2558" s="139" t="s">
        <v>133</v>
      </c>
      <c r="K2558" s="136" t="s">
        <v>133</v>
      </c>
      <c r="L2558" s="153"/>
      <c r="M2558" s="136" t="str">
        <f t="shared" si="1"/>
        <v/>
      </c>
      <c r="O2558" s="141" t="s">
        <v>133</v>
      </c>
      <c r="P2558" s="136" t="str">
        <f>IFERROR(__xludf.DUMMYFUNCTION("""COMPUTED_VALUE"""),"")</f>
        <v/>
      </c>
      <c r="Q2558" s="136" t="str">
        <f>IFERROR(__xludf.DUMMYFUNCTION("""COMPUTED_VALUE"""),"")</f>
        <v/>
      </c>
      <c r="R2558" s="106" t="str">
        <f>IFERROR(__xludf.DUMMYFUNCTION("""COMPUTED_VALUE"""),"")</f>
        <v/>
      </c>
      <c r="S2558" s="106" t="str">
        <f>IFERROR(__xludf.DUMMYFUNCTION("""COMPUTED_VALUE"""),"")</f>
        <v/>
      </c>
      <c r="T2558" s="139" t="str">
        <f>IFERROR(__xludf.DUMMYFUNCTION("""COMPUTED_VALUE"""),"")</f>
        <v/>
      </c>
      <c r="U2558" s="139" t="str">
        <f>IFERROR(__xludf.DUMMYFUNCTION("""COMPUTED_VALUE"""),"")</f>
        <v/>
      </c>
      <c r="V2558" s="136" t="str">
        <f>IFERROR(__xludf.DUMMYFUNCTION("""COMPUTED_VALUE"""),"")</f>
        <v/>
      </c>
      <c r="W2558" s="106" t="str">
        <f>IFERROR(__xludf.DUMMYFUNCTION("""COMPUTED_VALUE"""),"")</f>
        <v/>
      </c>
      <c r="X2558" s="143" t="str">
        <f t="shared" si="2"/>
        <v/>
      </c>
      <c r="Y2558" s="139" t="str">
        <f>IFERROR(__xludf.DUMMYFUNCTION("""COMPUTED_VALUE"""),"")</f>
        <v/>
      </c>
      <c r="Z2558" s="141" t="str">
        <f>IFERROR(__xludf.DUMMYFUNCTION("""COMPUTED_VALUE"""),"")</f>
        <v/>
      </c>
    </row>
    <row r="2559">
      <c r="D2559" s="136" t="str">
        <f t="shared" si="3"/>
        <v/>
      </c>
      <c r="E2559" s="152"/>
      <c r="F2559" s="106" t="s">
        <v>133</v>
      </c>
      <c r="G2559" s="152"/>
      <c r="H2559" s="106" t="s">
        <v>133</v>
      </c>
      <c r="J2559" s="139" t="s">
        <v>133</v>
      </c>
      <c r="K2559" s="136" t="s">
        <v>133</v>
      </c>
      <c r="L2559" s="153"/>
      <c r="M2559" s="136" t="str">
        <f t="shared" si="1"/>
        <v/>
      </c>
      <c r="O2559" s="141" t="s">
        <v>133</v>
      </c>
      <c r="P2559" s="136" t="str">
        <f>IFERROR(__xludf.DUMMYFUNCTION("""COMPUTED_VALUE"""),"")</f>
        <v/>
      </c>
      <c r="Q2559" s="136" t="str">
        <f>IFERROR(__xludf.DUMMYFUNCTION("""COMPUTED_VALUE"""),"")</f>
        <v/>
      </c>
      <c r="R2559" s="106" t="str">
        <f>IFERROR(__xludf.DUMMYFUNCTION("""COMPUTED_VALUE"""),"")</f>
        <v/>
      </c>
      <c r="S2559" s="106" t="str">
        <f>IFERROR(__xludf.DUMMYFUNCTION("""COMPUTED_VALUE"""),"")</f>
        <v/>
      </c>
      <c r="T2559" s="139" t="str">
        <f>IFERROR(__xludf.DUMMYFUNCTION("""COMPUTED_VALUE"""),"")</f>
        <v/>
      </c>
      <c r="U2559" s="139" t="str">
        <f>IFERROR(__xludf.DUMMYFUNCTION("""COMPUTED_VALUE"""),"")</f>
        <v/>
      </c>
      <c r="V2559" s="136" t="str">
        <f>IFERROR(__xludf.DUMMYFUNCTION("""COMPUTED_VALUE"""),"")</f>
        <v/>
      </c>
      <c r="W2559" s="106" t="str">
        <f>IFERROR(__xludf.DUMMYFUNCTION("""COMPUTED_VALUE"""),"")</f>
        <v/>
      </c>
      <c r="X2559" s="143" t="str">
        <f t="shared" si="2"/>
        <v/>
      </c>
      <c r="Y2559" s="139" t="str">
        <f>IFERROR(__xludf.DUMMYFUNCTION("""COMPUTED_VALUE"""),"")</f>
        <v/>
      </c>
      <c r="Z2559" s="141" t="str">
        <f>IFERROR(__xludf.DUMMYFUNCTION("""COMPUTED_VALUE"""),"")</f>
        <v/>
      </c>
    </row>
    <row r="2560">
      <c r="D2560" s="136" t="str">
        <f t="shared" si="3"/>
        <v/>
      </c>
      <c r="E2560" s="152"/>
      <c r="F2560" s="106" t="s">
        <v>133</v>
      </c>
      <c r="G2560" s="152"/>
      <c r="H2560" s="106" t="s">
        <v>133</v>
      </c>
      <c r="J2560" s="139" t="s">
        <v>133</v>
      </c>
      <c r="K2560" s="136" t="s">
        <v>133</v>
      </c>
      <c r="L2560" s="153"/>
      <c r="M2560" s="136" t="str">
        <f t="shared" si="1"/>
        <v/>
      </c>
      <c r="O2560" s="141" t="s">
        <v>133</v>
      </c>
      <c r="P2560" s="136" t="str">
        <f>IFERROR(__xludf.DUMMYFUNCTION("""COMPUTED_VALUE"""),"")</f>
        <v/>
      </c>
      <c r="Q2560" s="136" t="str">
        <f>IFERROR(__xludf.DUMMYFUNCTION("""COMPUTED_VALUE"""),"")</f>
        <v/>
      </c>
      <c r="R2560" s="106" t="str">
        <f>IFERROR(__xludf.DUMMYFUNCTION("""COMPUTED_VALUE"""),"")</f>
        <v/>
      </c>
      <c r="S2560" s="106" t="str">
        <f>IFERROR(__xludf.DUMMYFUNCTION("""COMPUTED_VALUE"""),"")</f>
        <v/>
      </c>
      <c r="T2560" s="139" t="str">
        <f>IFERROR(__xludf.DUMMYFUNCTION("""COMPUTED_VALUE"""),"")</f>
        <v/>
      </c>
      <c r="U2560" s="139" t="str">
        <f>IFERROR(__xludf.DUMMYFUNCTION("""COMPUTED_VALUE"""),"")</f>
        <v/>
      </c>
      <c r="V2560" s="136" t="str">
        <f>IFERROR(__xludf.DUMMYFUNCTION("""COMPUTED_VALUE"""),"")</f>
        <v/>
      </c>
      <c r="W2560" s="106" t="str">
        <f>IFERROR(__xludf.DUMMYFUNCTION("""COMPUTED_VALUE"""),"")</f>
        <v/>
      </c>
      <c r="X2560" s="143" t="str">
        <f t="shared" si="2"/>
        <v/>
      </c>
      <c r="Y2560" s="139" t="str">
        <f>IFERROR(__xludf.DUMMYFUNCTION("""COMPUTED_VALUE"""),"")</f>
        <v/>
      </c>
      <c r="Z2560" s="141" t="str">
        <f>IFERROR(__xludf.DUMMYFUNCTION("""COMPUTED_VALUE"""),"")</f>
        <v/>
      </c>
    </row>
    <row r="2561">
      <c r="D2561" s="136" t="str">
        <f t="shared" si="3"/>
        <v/>
      </c>
      <c r="E2561" s="152"/>
      <c r="F2561" s="106" t="s">
        <v>133</v>
      </c>
      <c r="G2561" s="152"/>
      <c r="H2561" s="106" t="s">
        <v>133</v>
      </c>
      <c r="J2561" s="139" t="s">
        <v>133</v>
      </c>
      <c r="K2561" s="136" t="s">
        <v>133</v>
      </c>
      <c r="L2561" s="153"/>
      <c r="M2561" s="136" t="str">
        <f t="shared" si="1"/>
        <v/>
      </c>
      <c r="O2561" s="141" t="s">
        <v>133</v>
      </c>
      <c r="P2561" s="136" t="str">
        <f>IFERROR(__xludf.DUMMYFUNCTION("""COMPUTED_VALUE"""),"")</f>
        <v/>
      </c>
      <c r="Q2561" s="136" t="str">
        <f>IFERROR(__xludf.DUMMYFUNCTION("""COMPUTED_VALUE"""),"")</f>
        <v/>
      </c>
      <c r="R2561" s="106" t="str">
        <f>IFERROR(__xludf.DUMMYFUNCTION("""COMPUTED_VALUE"""),"")</f>
        <v/>
      </c>
      <c r="S2561" s="106" t="str">
        <f>IFERROR(__xludf.DUMMYFUNCTION("""COMPUTED_VALUE"""),"")</f>
        <v/>
      </c>
      <c r="T2561" s="139" t="str">
        <f>IFERROR(__xludf.DUMMYFUNCTION("""COMPUTED_VALUE"""),"")</f>
        <v/>
      </c>
      <c r="U2561" s="139" t="str">
        <f>IFERROR(__xludf.DUMMYFUNCTION("""COMPUTED_VALUE"""),"")</f>
        <v/>
      </c>
      <c r="V2561" s="136" t="str">
        <f>IFERROR(__xludf.DUMMYFUNCTION("""COMPUTED_VALUE"""),"")</f>
        <v/>
      </c>
      <c r="W2561" s="106" t="str">
        <f>IFERROR(__xludf.DUMMYFUNCTION("""COMPUTED_VALUE"""),"")</f>
        <v/>
      </c>
      <c r="X2561" s="143" t="str">
        <f t="shared" si="2"/>
        <v/>
      </c>
      <c r="Y2561" s="139" t="str">
        <f>IFERROR(__xludf.DUMMYFUNCTION("""COMPUTED_VALUE"""),"")</f>
        <v/>
      </c>
      <c r="Z2561" s="141" t="str">
        <f>IFERROR(__xludf.DUMMYFUNCTION("""COMPUTED_VALUE"""),"")</f>
        <v/>
      </c>
    </row>
    <row r="2562">
      <c r="D2562" s="136" t="str">
        <f t="shared" si="3"/>
        <v/>
      </c>
      <c r="E2562" s="152"/>
      <c r="F2562" s="106" t="s">
        <v>133</v>
      </c>
      <c r="G2562" s="152"/>
      <c r="H2562" s="106" t="s">
        <v>133</v>
      </c>
      <c r="J2562" s="139" t="s">
        <v>133</v>
      </c>
      <c r="K2562" s="136" t="s">
        <v>133</v>
      </c>
      <c r="L2562" s="153"/>
      <c r="M2562" s="136" t="str">
        <f t="shared" si="1"/>
        <v/>
      </c>
      <c r="O2562" s="141" t="s">
        <v>133</v>
      </c>
      <c r="P2562" s="136" t="str">
        <f>IFERROR(__xludf.DUMMYFUNCTION("""COMPUTED_VALUE"""),"")</f>
        <v/>
      </c>
      <c r="Q2562" s="136" t="str">
        <f>IFERROR(__xludf.DUMMYFUNCTION("""COMPUTED_VALUE"""),"")</f>
        <v/>
      </c>
      <c r="R2562" s="106" t="str">
        <f>IFERROR(__xludf.DUMMYFUNCTION("""COMPUTED_VALUE"""),"")</f>
        <v/>
      </c>
      <c r="S2562" s="106" t="str">
        <f>IFERROR(__xludf.DUMMYFUNCTION("""COMPUTED_VALUE"""),"")</f>
        <v/>
      </c>
      <c r="T2562" s="139" t="str">
        <f>IFERROR(__xludf.DUMMYFUNCTION("""COMPUTED_VALUE"""),"")</f>
        <v/>
      </c>
      <c r="U2562" s="139" t="str">
        <f>IFERROR(__xludf.DUMMYFUNCTION("""COMPUTED_VALUE"""),"")</f>
        <v/>
      </c>
      <c r="V2562" s="136" t="str">
        <f>IFERROR(__xludf.DUMMYFUNCTION("""COMPUTED_VALUE"""),"")</f>
        <v/>
      </c>
      <c r="W2562" s="106" t="str">
        <f>IFERROR(__xludf.DUMMYFUNCTION("""COMPUTED_VALUE"""),"")</f>
        <v/>
      </c>
      <c r="X2562" s="143" t="str">
        <f t="shared" si="2"/>
        <v/>
      </c>
      <c r="Y2562" s="139" t="str">
        <f>IFERROR(__xludf.DUMMYFUNCTION("""COMPUTED_VALUE"""),"")</f>
        <v/>
      </c>
      <c r="Z2562" s="141" t="str">
        <f>IFERROR(__xludf.DUMMYFUNCTION("""COMPUTED_VALUE"""),"")</f>
        <v/>
      </c>
    </row>
    <row r="2563">
      <c r="D2563" s="136" t="str">
        <f t="shared" si="3"/>
        <v/>
      </c>
      <c r="E2563" s="152"/>
      <c r="F2563" s="106" t="s">
        <v>133</v>
      </c>
      <c r="G2563" s="152"/>
      <c r="H2563" s="106" t="s">
        <v>133</v>
      </c>
      <c r="J2563" s="139" t="s">
        <v>133</v>
      </c>
      <c r="K2563" s="136" t="s">
        <v>133</v>
      </c>
      <c r="L2563" s="153"/>
      <c r="M2563" s="136" t="str">
        <f t="shared" si="1"/>
        <v/>
      </c>
      <c r="O2563" s="141" t="s">
        <v>133</v>
      </c>
      <c r="P2563" s="136" t="str">
        <f>IFERROR(__xludf.DUMMYFUNCTION("""COMPUTED_VALUE"""),"")</f>
        <v/>
      </c>
      <c r="Q2563" s="136" t="str">
        <f>IFERROR(__xludf.DUMMYFUNCTION("""COMPUTED_VALUE"""),"")</f>
        <v/>
      </c>
      <c r="R2563" s="106" t="str">
        <f>IFERROR(__xludf.DUMMYFUNCTION("""COMPUTED_VALUE"""),"")</f>
        <v/>
      </c>
      <c r="S2563" s="106" t="str">
        <f>IFERROR(__xludf.DUMMYFUNCTION("""COMPUTED_VALUE"""),"")</f>
        <v/>
      </c>
      <c r="T2563" s="139" t="str">
        <f>IFERROR(__xludf.DUMMYFUNCTION("""COMPUTED_VALUE"""),"")</f>
        <v/>
      </c>
      <c r="U2563" s="139" t="str">
        <f>IFERROR(__xludf.DUMMYFUNCTION("""COMPUTED_VALUE"""),"")</f>
        <v/>
      </c>
      <c r="V2563" s="136" t="str">
        <f>IFERROR(__xludf.DUMMYFUNCTION("""COMPUTED_VALUE"""),"")</f>
        <v/>
      </c>
      <c r="W2563" s="106" t="str">
        <f>IFERROR(__xludf.DUMMYFUNCTION("""COMPUTED_VALUE"""),"")</f>
        <v/>
      </c>
      <c r="X2563" s="143" t="str">
        <f t="shared" si="2"/>
        <v/>
      </c>
      <c r="Y2563" s="139" t="str">
        <f>IFERROR(__xludf.DUMMYFUNCTION("""COMPUTED_VALUE"""),"")</f>
        <v/>
      </c>
      <c r="Z2563" s="141" t="str">
        <f>IFERROR(__xludf.DUMMYFUNCTION("""COMPUTED_VALUE"""),"")</f>
        <v/>
      </c>
    </row>
    <row r="2564">
      <c r="D2564" s="136" t="str">
        <f t="shared" si="3"/>
        <v/>
      </c>
      <c r="E2564" s="152"/>
      <c r="F2564" s="106" t="s">
        <v>133</v>
      </c>
      <c r="G2564" s="152"/>
      <c r="H2564" s="106" t="s">
        <v>133</v>
      </c>
      <c r="J2564" s="139" t="s">
        <v>133</v>
      </c>
      <c r="K2564" s="136" t="s">
        <v>133</v>
      </c>
      <c r="L2564" s="153"/>
      <c r="M2564" s="136" t="str">
        <f t="shared" si="1"/>
        <v/>
      </c>
      <c r="O2564" s="141" t="s">
        <v>133</v>
      </c>
      <c r="P2564" s="136" t="str">
        <f>IFERROR(__xludf.DUMMYFUNCTION("""COMPUTED_VALUE"""),"")</f>
        <v/>
      </c>
      <c r="Q2564" s="136" t="str">
        <f>IFERROR(__xludf.DUMMYFUNCTION("""COMPUTED_VALUE"""),"")</f>
        <v/>
      </c>
      <c r="R2564" s="106" t="str">
        <f>IFERROR(__xludf.DUMMYFUNCTION("""COMPUTED_VALUE"""),"")</f>
        <v/>
      </c>
      <c r="S2564" s="106" t="str">
        <f>IFERROR(__xludf.DUMMYFUNCTION("""COMPUTED_VALUE"""),"")</f>
        <v/>
      </c>
      <c r="T2564" s="139" t="str">
        <f>IFERROR(__xludf.DUMMYFUNCTION("""COMPUTED_VALUE"""),"")</f>
        <v/>
      </c>
      <c r="U2564" s="139" t="str">
        <f>IFERROR(__xludf.DUMMYFUNCTION("""COMPUTED_VALUE"""),"")</f>
        <v/>
      </c>
      <c r="V2564" s="136" t="str">
        <f>IFERROR(__xludf.DUMMYFUNCTION("""COMPUTED_VALUE"""),"")</f>
        <v/>
      </c>
      <c r="W2564" s="106" t="str">
        <f>IFERROR(__xludf.DUMMYFUNCTION("""COMPUTED_VALUE"""),"")</f>
        <v/>
      </c>
      <c r="X2564" s="143" t="str">
        <f t="shared" si="2"/>
        <v/>
      </c>
      <c r="Y2564" s="139" t="str">
        <f>IFERROR(__xludf.DUMMYFUNCTION("""COMPUTED_VALUE"""),"")</f>
        <v/>
      </c>
      <c r="Z2564" s="141" t="str">
        <f>IFERROR(__xludf.DUMMYFUNCTION("""COMPUTED_VALUE"""),"")</f>
        <v/>
      </c>
    </row>
    <row r="2565">
      <c r="D2565" s="136" t="str">
        <f t="shared" si="3"/>
        <v/>
      </c>
      <c r="E2565" s="152"/>
      <c r="F2565" s="106" t="s">
        <v>133</v>
      </c>
      <c r="G2565" s="152"/>
      <c r="H2565" s="106" t="s">
        <v>133</v>
      </c>
      <c r="J2565" s="139" t="s">
        <v>133</v>
      </c>
      <c r="K2565" s="136" t="s">
        <v>133</v>
      </c>
      <c r="L2565" s="153"/>
      <c r="M2565" s="136" t="str">
        <f t="shared" si="1"/>
        <v/>
      </c>
      <c r="O2565" s="141" t="s">
        <v>133</v>
      </c>
      <c r="P2565" s="136" t="str">
        <f>IFERROR(__xludf.DUMMYFUNCTION("""COMPUTED_VALUE"""),"")</f>
        <v/>
      </c>
      <c r="Q2565" s="136" t="str">
        <f>IFERROR(__xludf.DUMMYFUNCTION("""COMPUTED_VALUE"""),"")</f>
        <v/>
      </c>
      <c r="R2565" s="106" t="str">
        <f>IFERROR(__xludf.DUMMYFUNCTION("""COMPUTED_VALUE"""),"")</f>
        <v/>
      </c>
      <c r="S2565" s="106" t="str">
        <f>IFERROR(__xludf.DUMMYFUNCTION("""COMPUTED_VALUE"""),"")</f>
        <v/>
      </c>
      <c r="T2565" s="139" t="str">
        <f>IFERROR(__xludf.DUMMYFUNCTION("""COMPUTED_VALUE"""),"")</f>
        <v/>
      </c>
      <c r="U2565" s="139" t="str">
        <f>IFERROR(__xludf.DUMMYFUNCTION("""COMPUTED_VALUE"""),"")</f>
        <v/>
      </c>
      <c r="V2565" s="136" t="str">
        <f>IFERROR(__xludf.DUMMYFUNCTION("""COMPUTED_VALUE"""),"")</f>
        <v/>
      </c>
      <c r="W2565" s="106" t="str">
        <f>IFERROR(__xludf.DUMMYFUNCTION("""COMPUTED_VALUE"""),"")</f>
        <v/>
      </c>
      <c r="X2565" s="143" t="str">
        <f t="shared" si="2"/>
        <v/>
      </c>
      <c r="Y2565" s="139" t="str">
        <f>IFERROR(__xludf.DUMMYFUNCTION("""COMPUTED_VALUE"""),"")</f>
        <v/>
      </c>
      <c r="Z2565" s="141" t="str">
        <f>IFERROR(__xludf.DUMMYFUNCTION("""COMPUTED_VALUE"""),"")</f>
        <v/>
      </c>
    </row>
    <row r="2566">
      <c r="D2566" s="136" t="str">
        <f t="shared" si="3"/>
        <v/>
      </c>
      <c r="E2566" s="152"/>
      <c r="F2566" s="106" t="s">
        <v>133</v>
      </c>
      <c r="G2566" s="152"/>
      <c r="H2566" s="106" t="s">
        <v>133</v>
      </c>
      <c r="J2566" s="139" t="s">
        <v>133</v>
      </c>
      <c r="K2566" s="136" t="s">
        <v>133</v>
      </c>
      <c r="L2566" s="153"/>
      <c r="M2566" s="136" t="str">
        <f t="shared" si="1"/>
        <v/>
      </c>
      <c r="O2566" s="141" t="s">
        <v>133</v>
      </c>
      <c r="P2566" s="136" t="str">
        <f>IFERROR(__xludf.DUMMYFUNCTION("""COMPUTED_VALUE"""),"")</f>
        <v/>
      </c>
      <c r="Q2566" s="136" t="str">
        <f>IFERROR(__xludf.DUMMYFUNCTION("""COMPUTED_VALUE"""),"")</f>
        <v/>
      </c>
      <c r="R2566" s="106" t="str">
        <f>IFERROR(__xludf.DUMMYFUNCTION("""COMPUTED_VALUE"""),"")</f>
        <v/>
      </c>
      <c r="S2566" s="106" t="str">
        <f>IFERROR(__xludf.DUMMYFUNCTION("""COMPUTED_VALUE"""),"")</f>
        <v/>
      </c>
      <c r="T2566" s="139" t="str">
        <f>IFERROR(__xludf.DUMMYFUNCTION("""COMPUTED_VALUE"""),"")</f>
        <v/>
      </c>
      <c r="U2566" s="139" t="str">
        <f>IFERROR(__xludf.DUMMYFUNCTION("""COMPUTED_VALUE"""),"")</f>
        <v/>
      </c>
      <c r="V2566" s="136" t="str">
        <f>IFERROR(__xludf.DUMMYFUNCTION("""COMPUTED_VALUE"""),"")</f>
        <v/>
      </c>
      <c r="W2566" s="106" t="str">
        <f>IFERROR(__xludf.DUMMYFUNCTION("""COMPUTED_VALUE"""),"")</f>
        <v/>
      </c>
      <c r="X2566" s="143" t="str">
        <f t="shared" si="2"/>
        <v/>
      </c>
      <c r="Y2566" s="139" t="str">
        <f>IFERROR(__xludf.DUMMYFUNCTION("""COMPUTED_VALUE"""),"")</f>
        <v/>
      </c>
      <c r="Z2566" s="141" t="str">
        <f>IFERROR(__xludf.DUMMYFUNCTION("""COMPUTED_VALUE"""),"")</f>
        <v/>
      </c>
    </row>
    <row r="2567">
      <c r="D2567" s="136" t="str">
        <f t="shared" si="3"/>
        <v/>
      </c>
      <c r="E2567" s="152"/>
      <c r="F2567" s="106" t="s">
        <v>133</v>
      </c>
      <c r="G2567" s="152"/>
      <c r="H2567" s="106" t="s">
        <v>133</v>
      </c>
      <c r="J2567" s="139" t="s">
        <v>133</v>
      </c>
      <c r="K2567" s="136" t="s">
        <v>133</v>
      </c>
      <c r="L2567" s="153"/>
      <c r="M2567" s="136" t="str">
        <f t="shared" si="1"/>
        <v/>
      </c>
      <c r="O2567" s="141" t="s">
        <v>133</v>
      </c>
      <c r="P2567" s="136" t="str">
        <f>IFERROR(__xludf.DUMMYFUNCTION("""COMPUTED_VALUE"""),"")</f>
        <v/>
      </c>
      <c r="Q2567" s="136" t="str">
        <f>IFERROR(__xludf.DUMMYFUNCTION("""COMPUTED_VALUE"""),"")</f>
        <v/>
      </c>
      <c r="R2567" s="106" t="str">
        <f>IFERROR(__xludf.DUMMYFUNCTION("""COMPUTED_VALUE"""),"")</f>
        <v/>
      </c>
      <c r="S2567" s="106" t="str">
        <f>IFERROR(__xludf.DUMMYFUNCTION("""COMPUTED_VALUE"""),"")</f>
        <v/>
      </c>
      <c r="T2567" s="139" t="str">
        <f>IFERROR(__xludf.DUMMYFUNCTION("""COMPUTED_VALUE"""),"")</f>
        <v/>
      </c>
      <c r="U2567" s="139" t="str">
        <f>IFERROR(__xludf.DUMMYFUNCTION("""COMPUTED_VALUE"""),"")</f>
        <v/>
      </c>
      <c r="V2567" s="136" t="str">
        <f>IFERROR(__xludf.DUMMYFUNCTION("""COMPUTED_VALUE"""),"")</f>
        <v/>
      </c>
      <c r="W2567" s="106" t="str">
        <f>IFERROR(__xludf.DUMMYFUNCTION("""COMPUTED_VALUE"""),"")</f>
        <v/>
      </c>
      <c r="X2567" s="143" t="str">
        <f t="shared" si="2"/>
        <v/>
      </c>
      <c r="Y2567" s="139" t="str">
        <f>IFERROR(__xludf.DUMMYFUNCTION("""COMPUTED_VALUE"""),"")</f>
        <v/>
      </c>
      <c r="Z2567" s="141" t="str">
        <f>IFERROR(__xludf.DUMMYFUNCTION("""COMPUTED_VALUE"""),"")</f>
        <v/>
      </c>
    </row>
    <row r="2568">
      <c r="D2568" s="136" t="str">
        <f t="shared" si="3"/>
        <v/>
      </c>
      <c r="E2568" s="152"/>
      <c r="F2568" s="106" t="s">
        <v>133</v>
      </c>
      <c r="G2568" s="152"/>
      <c r="H2568" s="106" t="s">
        <v>133</v>
      </c>
      <c r="J2568" s="139" t="s">
        <v>133</v>
      </c>
      <c r="K2568" s="136" t="s">
        <v>133</v>
      </c>
      <c r="L2568" s="153"/>
      <c r="M2568" s="136" t="str">
        <f t="shared" si="1"/>
        <v/>
      </c>
      <c r="O2568" s="141" t="s">
        <v>133</v>
      </c>
      <c r="P2568" s="136" t="str">
        <f>IFERROR(__xludf.DUMMYFUNCTION("""COMPUTED_VALUE"""),"")</f>
        <v/>
      </c>
      <c r="Q2568" s="136" t="str">
        <f>IFERROR(__xludf.DUMMYFUNCTION("""COMPUTED_VALUE"""),"")</f>
        <v/>
      </c>
      <c r="R2568" s="106" t="str">
        <f>IFERROR(__xludf.DUMMYFUNCTION("""COMPUTED_VALUE"""),"")</f>
        <v/>
      </c>
      <c r="S2568" s="106" t="str">
        <f>IFERROR(__xludf.DUMMYFUNCTION("""COMPUTED_VALUE"""),"")</f>
        <v/>
      </c>
      <c r="T2568" s="139" t="str">
        <f>IFERROR(__xludf.DUMMYFUNCTION("""COMPUTED_VALUE"""),"")</f>
        <v/>
      </c>
      <c r="U2568" s="139" t="str">
        <f>IFERROR(__xludf.DUMMYFUNCTION("""COMPUTED_VALUE"""),"")</f>
        <v/>
      </c>
      <c r="V2568" s="136" t="str">
        <f>IFERROR(__xludf.DUMMYFUNCTION("""COMPUTED_VALUE"""),"")</f>
        <v/>
      </c>
      <c r="W2568" s="106" t="str">
        <f>IFERROR(__xludf.DUMMYFUNCTION("""COMPUTED_VALUE"""),"")</f>
        <v/>
      </c>
      <c r="X2568" s="143" t="str">
        <f t="shared" si="2"/>
        <v/>
      </c>
      <c r="Y2568" s="139" t="str">
        <f>IFERROR(__xludf.DUMMYFUNCTION("""COMPUTED_VALUE"""),"")</f>
        <v/>
      </c>
      <c r="Z2568" s="141" t="str">
        <f>IFERROR(__xludf.DUMMYFUNCTION("""COMPUTED_VALUE"""),"")</f>
        <v/>
      </c>
    </row>
    <row r="2569">
      <c r="D2569" s="136" t="str">
        <f t="shared" si="3"/>
        <v/>
      </c>
      <c r="E2569" s="152"/>
      <c r="F2569" s="106" t="s">
        <v>133</v>
      </c>
      <c r="G2569" s="152"/>
      <c r="H2569" s="106" t="s">
        <v>133</v>
      </c>
      <c r="J2569" s="139" t="s">
        <v>133</v>
      </c>
      <c r="K2569" s="136" t="s">
        <v>133</v>
      </c>
      <c r="L2569" s="153"/>
      <c r="M2569" s="136" t="str">
        <f t="shared" si="1"/>
        <v/>
      </c>
      <c r="O2569" s="141" t="s">
        <v>133</v>
      </c>
      <c r="P2569" s="136" t="str">
        <f>IFERROR(__xludf.DUMMYFUNCTION("""COMPUTED_VALUE"""),"")</f>
        <v/>
      </c>
      <c r="Q2569" s="136" t="str">
        <f>IFERROR(__xludf.DUMMYFUNCTION("""COMPUTED_VALUE"""),"")</f>
        <v/>
      </c>
      <c r="R2569" s="106" t="str">
        <f>IFERROR(__xludf.DUMMYFUNCTION("""COMPUTED_VALUE"""),"")</f>
        <v/>
      </c>
      <c r="S2569" s="106" t="str">
        <f>IFERROR(__xludf.DUMMYFUNCTION("""COMPUTED_VALUE"""),"")</f>
        <v/>
      </c>
      <c r="T2569" s="139" t="str">
        <f>IFERROR(__xludf.DUMMYFUNCTION("""COMPUTED_VALUE"""),"")</f>
        <v/>
      </c>
      <c r="U2569" s="139" t="str">
        <f>IFERROR(__xludf.DUMMYFUNCTION("""COMPUTED_VALUE"""),"")</f>
        <v/>
      </c>
      <c r="V2569" s="136" t="str">
        <f>IFERROR(__xludf.DUMMYFUNCTION("""COMPUTED_VALUE"""),"")</f>
        <v/>
      </c>
      <c r="W2569" s="106" t="str">
        <f>IFERROR(__xludf.DUMMYFUNCTION("""COMPUTED_VALUE"""),"")</f>
        <v/>
      </c>
      <c r="X2569" s="143" t="str">
        <f t="shared" si="2"/>
        <v/>
      </c>
      <c r="Y2569" s="139" t="str">
        <f>IFERROR(__xludf.DUMMYFUNCTION("""COMPUTED_VALUE"""),"")</f>
        <v/>
      </c>
      <c r="Z2569" s="141" t="str">
        <f>IFERROR(__xludf.DUMMYFUNCTION("""COMPUTED_VALUE"""),"")</f>
        <v/>
      </c>
    </row>
    <row r="2570">
      <c r="D2570" s="136" t="str">
        <f t="shared" si="3"/>
        <v/>
      </c>
      <c r="E2570" s="152"/>
      <c r="F2570" s="106" t="s">
        <v>133</v>
      </c>
      <c r="G2570" s="152"/>
      <c r="H2570" s="106" t="s">
        <v>133</v>
      </c>
      <c r="J2570" s="139" t="s">
        <v>133</v>
      </c>
      <c r="K2570" s="136" t="s">
        <v>133</v>
      </c>
      <c r="L2570" s="153"/>
      <c r="M2570" s="136" t="str">
        <f t="shared" si="1"/>
        <v/>
      </c>
      <c r="O2570" s="141" t="s">
        <v>133</v>
      </c>
      <c r="P2570" s="136" t="str">
        <f>IFERROR(__xludf.DUMMYFUNCTION("""COMPUTED_VALUE"""),"")</f>
        <v/>
      </c>
      <c r="Q2570" s="136" t="str">
        <f>IFERROR(__xludf.DUMMYFUNCTION("""COMPUTED_VALUE"""),"")</f>
        <v/>
      </c>
      <c r="R2570" s="106" t="str">
        <f>IFERROR(__xludf.DUMMYFUNCTION("""COMPUTED_VALUE"""),"")</f>
        <v/>
      </c>
      <c r="S2570" s="106" t="str">
        <f>IFERROR(__xludf.DUMMYFUNCTION("""COMPUTED_VALUE"""),"")</f>
        <v/>
      </c>
      <c r="T2570" s="139" t="str">
        <f>IFERROR(__xludf.DUMMYFUNCTION("""COMPUTED_VALUE"""),"")</f>
        <v/>
      </c>
      <c r="U2570" s="139" t="str">
        <f>IFERROR(__xludf.DUMMYFUNCTION("""COMPUTED_VALUE"""),"")</f>
        <v/>
      </c>
      <c r="V2570" s="136" t="str">
        <f>IFERROR(__xludf.DUMMYFUNCTION("""COMPUTED_VALUE"""),"")</f>
        <v/>
      </c>
      <c r="W2570" s="106" t="str">
        <f>IFERROR(__xludf.DUMMYFUNCTION("""COMPUTED_VALUE"""),"")</f>
        <v/>
      </c>
      <c r="X2570" s="143" t="str">
        <f t="shared" si="2"/>
        <v/>
      </c>
      <c r="Y2570" s="139" t="str">
        <f>IFERROR(__xludf.DUMMYFUNCTION("""COMPUTED_VALUE"""),"")</f>
        <v/>
      </c>
      <c r="Z2570" s="141" t="str">
        <f>IFERROR(__xludf.DUMMYFUNCTION("""COMPUTED_VALUE"""),"")</f>
        <v/>
      </c>
    </row>
    <row r="2571">
      <c r="D2571" s="136" t="str">
        <f t="shared" si="3"/>
        <v/>
      </c>
      <c r="E2571" s="152"/>
      <c r="F2571" s="106" t="s">
        <v>133</v>
      </c>
      <c r="G2571" s="152"/>
      <c r="H2571" s="106" t="s">
        <v>133</v>
      </c>
      <c r="J2571" s="139" t="s">
        <v>133</v>
      </c>
      <c r="K2571" s="136" t="s">
        <v>133</v>
      </c>
      <c r="L2571" s="153"/>
      <c r="M2571" s="136" t="str">
        <f t="shared" si="1"/>
        <v/>
      </c>
      <c r="O2571" s="141" t="s">
        <v>133</v>
      </c>
      <c r="P2571" s="136" t="str">
        <f>IFERROR(__xludf.DUMMYFUNCTION("""COMPUTED_VALUE"""),"")</f>
        <v/>
      </c>
      <c r="Q2571" s="136" t="str">
        <f>IFERROR(__xludf.DUMMYFUNCTION("""COMPUTED_VALUE"""),"")</f>
        <v/>
      </c>
      <c r="R2571" s="106" t="str">
        <f>IFERROR(__xludf.DUMMYFUNCTION("""COMPUTED_VALUE"""),"")</f>
        <v/>
      </c>
      <c r="S2571" s="106" t="str">
        <f>IFERROR(__xludf.DUMMYFUNCTION("""COMPUTED_VALUE"""),"")</f>
        <v/>
      </c>
      <c r="T2571" s="139" t="str">
        <f>IFERROR(__xludf.DUMMYFUNCTION("""COMPUTED_VALUE"""),"")</f>
        <v/>
      </c>
      <c r="U2571" s="139" t="str">
        <f>IFERROR(__xludf.DUMMYFUNCTION("""COMPUTED_VALUE"""),"")</f>
        <v/>
      </c>
      <c r="V2571" s="136" t="str">
        <f>IFERROR(__xludf.DUMMYFUNCTION("""COMPUTED_VALUE"""),"")</f>
        <v/>
      </c>
      <c r="W2571" s="106" t="str">
        <f>IFERROR(__xludf.DUMMYFUNCTION("""COMPUTED_VALUE"""),"")</f>
        <v/>
      </c>
      <c r="X2571" s="143" t="str">
        <f t="shared" si="2"/>
        <v/>
      </c>
      <c r="Y2571" s="139" t="str">
        <f>IFERROR(__xludf.DUMMYFUNCTION("""COMPUTED_VALUE"""),"")</f>
        <v/>
      </c>
      <c r="Z2571" s="141" t="str">
        <f>IFERROR(__xludf.DUMMYFUNCTION("""COMPUTED_VALUE"""),"")</f>
        <v/>
      </c>
    </row>
    <row r="2572">
      <c r="D2572" s="136" t="str">
        <f t="shared" si="3"/>
        <v/>
      </c>
      <c r="E2572" s="152"/>
      <c r="F2572" s="106" t="s">
        <v>133</v>
      </c>
      <c r="G2572" s="152"/>
      <c r="H2572" s="106" t="s">
        <v>133</v>
      </c>
      <c r="J2572" s="139" t="s">
        <v>133</v>
      </c>
      <c r="K2572" s="136" t="s">
        <v>133</v>
      </c>
      <c r="L2572" s="153"/>
      <c r="M2572" s="136" t="str">
        <f t="shared" si="1"/>
        <v/>
      </c>
      <c r="O2572" s="141" t="s">
        <v>133</v>
      </c>
      <c r="P2572" s="136" t="str">
        <f>IFERROR(__xludf.DUMMYFUNCTION("""COMPUTED_VALUE"""),"")</f>
        <v/>
      </c>
      <c r="Q2572" s="136" t="str">
        <f>IFERROR(__xludf.DUMMYFUNCTION("""COMPUTED_VALUE"""),"")</f>
        <v/>
      </c>
      <c r="R2572" s="106" t="str">
        <f>IFERROR(__xludf.DUMMYFUNCTION("""COMPUTED_VALUE"""),"")</f>
        <v/>
      </c>
      <c r="S2572" s="106" t="str">
        <f>IFERROR(__xludf.DUMMYFUNCTION("""COMPUTED_VALUE"""),"")</f>
        <v/>
      </c>
      <c r="T2572" s="139" t="str">
        <f>IFERROR(__xludf.DUMMYFUNCTION("""COMPUTED_VALUE"""),"")</f>
        <v/>
      </c>
      <c r="U2572" s="139" t="str">
        <f>IFERROR(__xludf.DUMMYFUNCTION("""COMPUTED_VALUE"""),"")</f>
        <v/>
      </c>
      <c r="V2572" s="136" t="str">
        <f>IFERROR(__xludf.DUMMYFUNCTION("""COMPUTED_VALUE"""),"")</f>
        <v/>
      </c>
      <c r="W2572" s="106" t="str">
        <f>IFERROR(__xludf.DUMMYFUNCTION("""COMPUTED_VALUE"""),"")</f>
        <v/>
      </c>
      <c r="X2572" s="143" t="str">
        <f t="shared" si="2"/>
        <v/>
      </c>
      <c r="Y2572" s="139" t="str">
        <f>IFERROR(__xludf.DUMMYFUNCTION("""COMPUTED_VALUE"""),"")</f>
        <v/>
      </c>
      <c r="Z2572" s="141" t="str">
        <f>IFERROR(__xludf.DUMMYFUNCTION("""COMPUTED_VALUE"""),"")</f>
        <v/>
      </c>
    </row>
    <row r="2573">
      <c r="D2573" s="136" t="str">
        <f t="shared" si="3"/>
        <v/>
      </c>
      <c r="E2573" s="152"/>
      <c r="F2573" s="106" t="s">
        <v>133</v>
      </c>
      <c r="G2573" s="152"/>
      <c r="H2573" s="106" t="s">
        <v>133</v>
      </c>
      <c r="J2573" s="139" t="s">
        <v>133</v>
      </c>
      <c r="K2573" s="136" t="s">
        <v>133</v>
      </c>
      <c r="L2573" s="153"/>
      <c r="M2573" s="136" t="str">
        <f t="shared" si="1"/>
        <v/>
      </c>
      <c r="O2573" s="141" t="s">
        <v>133</v>
      </c>
      <c r="P2573" s="136" t="str">
        <f>IFERROR(__xludf.DUMMYFUNCTION("""COMPUTED_VALUE"""),"")</f>
        <v/>
      </c>
      <c r="Q2573" s="136" t="str">
        <f>IFERROR(__xludf.DUMMYFUNCTION("""COMPUTED_VALUE"""),"")</f>
        <v/>
      </c>
      <c r="R2573" s="106" t="str">
        <f>IFERROR(__xludf.DUMMYFUNCTION("""COMPUTED_VALUE"""),"")</f>
        <v/>
      </c>
      <c r="S2573" s="106" t="str">
        <f>IFERROR(__xludf.DUMMYFUNCTION("""COMPUTED_VALUE"""),"")</f>
        <v/>
      </c>
      <c r="T2573" s="139" t="str">
        <f>IFERROR(__xludf.DUMMYFUNCTION("""COMPUTED_VALUE"""),"")</f>
        <v/>
      </c>
      <c r="U2573" s="139" t="str">
        <f>IFERROR(__xludf.DUMMYFUNCTION("""COMPUTED_VALUE"""),"")</f>
        <v/>
      </c>
      <c r="V2573" s="136" t="str">
        <f>IFERROR(__xludf.DUMMYFUNCTION("""COMPUTED_VALUE"""),"")</f>
        <v/>
      </c>
      <c r="W2573" s="106" t="str">
        <f>IFERROR(__xludf.DUMMYFUNCTION("""COMPUTED_VALUE"""),"")</f>
        <v/>
      </c>
      <c r="X2573" s="143" t="str">
        <f t="shared" si="2"/>
        <v/>
      </c>
      <c r="Y2573" s="139" t="str">
        <f>IFERROR(__xludf.DUMMYFUNCTION("""COMPUTED_VALUE"""),"")</f>
        <v/>
      </c>
      <c r="Z2573" s="141" t="str">
        <f>IFERROR(__xludf.DUMMYFUNCTION("""COMPUTED_VALUE"""),"")</f>
        <v/>
      </c>
    </row>
    <row r="2574">
      <c r="D2574" s="136" t="str">
        <f t="shared" si="3"/>
        <v/>
      </c>
      <c r="E2574" s="152"/>
      <c r="F2574" s="106" t="s">
        <v>133</v>
      </c>
      <c r="G2574" s="152"/>
      <c r="H2574" s="106" t="s">
        <v>133</v>
      </c>
      <c r="J2574" s="139" t="s">
        <v>133</v>
      </c>
      <c r="K2574" s="136" t="s">
        <v>133</v>
      </c>
      <c r="L2574" s="153"/>
      <c r="M2574" s="136" t="str">
        <f t="shared" si="1"/>
        <v/>
      </c>
      <c r="O2574" s="141" t="s">
        <v>133</v>
      </c>
      <c r="P2574" s="136" t="str">
        <f>IFERROR(__xludf.DUMMYFUNCTION("""COMPUTED_VALUE"""),"")</f>
        <v/>
      </c>
      <c r="Q2574" s="136" t="str">
        <f>IFERROR(__xludf.DUMMYFUNCTION("""COMPUTED_VALUE"""),"")</f>
        <v/>
      </c>
      <c r="R2574" s="106" t="str">
        <f>IFERROR(__xludf.DUMMYFUNCTION("""COMPUTED_VALUE"""),"")</f>
        <v/>
      </c>
      <c r="S2574" s="106" t="str">
        <f>IFERROR(__xludf.DUMMYFUNCTION("""COMPUTED_VALUE"""),"")</f>
        <v/>
      </c>
      <c r="T2574" s="139" t="str">
        <f>IFERROR(__xludf.DUMMYFUNCTION("""COMPUTED_VALUE"""),"")</f>
        <v/>
      </c>
      <c r="U2574" s="139" t="str">
        <f>IFERROR(__xludf.DUMMYFUNCTION("""COMPUTED_VALUE"""),"")</f>
        <v/>
      </c>
      <c r="V2574" s="136" t="str">
        <f>IFERROR(__xludf.DUMMYFUNCTION("""COMPUTED_VALUE"""),"")</f>
        <v/>
      </c>
      <c r="W2574" s="106" t="str">
        <f>IFERROR(__xludf.DUMMYFUNCTION("""COMPUTED_VALUE"""),"")</f>
        <v/>
      </c>
      <c r="X2574" s="143" t="str">
        <f t="shared" si="2"/>
        <v/>
      </c>
      <c r="Y2574" s="139" t="str">
        <f>IFERROR(__xludf.DUMMYFUNCTION("""COMPUTED_VALUE"""),"")</f>
        <v/>
      </c>
      <c r="Z2574" s="141" t="str">
        <f>IFERROR(__xludf.DUMMYFUNCTION("""COMPUTED_VALUE"""),"")</f>
        <v/>
      </c>
    </row>
    <row r="2575">
      <c r="D2575" s="136" t="str">
        <f t="shared" si="3"/>
        <v/>
      </c>
      <c r="E2575" s="152"/>
      <c r="F2575" s="106" t="s">
        <v>133</v>
      </c>
      <c r="G2575" s="152"/>
      <c r="H2575" s="106" t="s">
        <v>133</v>
      </c>
      <c r="J2575" s="139" t="s">
        <v>133</v>
      </c>
      <c r="K2575" s="136" t="s">
        <v>133</v>
      </c>
      <c r="L2575" s="153"/>
      <c r="M2575" s="136" t="str">
        <f t="shared" si="1"/>
        <v/>
      </c>
      <c r="O2575" s="141" t="s">
        <v>133</v>
      </c>
      <c r="P2575" s="136" t="str">
        <f>IFERROR(__xludf.DUMMYFUNCTION("""COMPUTED_VALUE"""),"")</f>
        <v/>
      </c>
      <c r="Q2575" s="136" t="str">
        <f>IFERROR(__xludf.DUMMYFUNCTION("""COMPUTED_VALUE"""),"")</f>
        <v/>
      </c>
      <c r="R2575" s="106" t="str">
        <f>IFERROR(__xludf.DUMMYFUNCTION("""COMPUTED_VALUE"""),"")</f>
        <v/>
      </c>
      <c r="S2575" s="106" t="str">
        <f>IFERROR(__xludf.DUMMYFUNCTION("""COMPUTED_VALUE"""),"")</f>
        <v/>
      </c>
      <c r="T2575" s="139" t="str">
        <f>IFERROR(__xludf.DUMMYFUNCTION("""COMPUTED_VALUE"""),"")</f>
        <v/>
      </c>
      <c r="U2575" s="139" t="str">
        <f>IFERROR(__xludf.DUMMYFUNCTION("""COMPUTED_VALUE"""),"")</f>
        <v/>
      </c>
      <c r="V2575" s="136" t="str">
        <f>IFERROR(__xludf.DUMMYFUNCTION("""COMPUTED_VALUE"""),"")</f>
        <v/>
      </c>
      <c r="W2575" s="106" t="str">
        <f>IFERROR(__xludf.DUMMYFUNCTION("""COMPUTED_VALUE"""),"")</f>
        <v/>
      </c>
      <c r="X2575" s="143" t="str">
        <f t="shared" si="2"/>
        <v/>
      </c>
      <c r="Y2575" s="139" t="str">
        <f>IFERROR(__xludf.DUMMYFUNCTION("""COMPUTED_VALUE"""),"")</f>
        <v/>
      </c>
      <c r="Z2575" s="141" t="str">
        <f>IFERROR(__xludf.DUMMYFUNCTION("""COMPUTED_VALUE"""),"")</f>
        <v/>
      </c>
    </row>
    <row r="2576">
      <c r="D2576" s="136" t="str">
        <f t="shared" si="3"/>
        <v/>
      </c>
      <c r="E2576" s="152"/>
      <c r="F2576" s="106" t="s">
        <v>133</v>
      </c>
      <c r="G2576" s="152"/>
      <c r="H2576" s="106" t="s">
        <v>133</v>
      </c>
      <c r="J2576" s="139" t="s">
        <v>133</v>
      </c>
      <c r="K2576" s="136" t="s">
        <v>133</v>
      </c>
      <c r="L2576" s="153"/>
      <c r="M2576" s="136" t="str">
        <f t="shared" si="1"/>
        <v/>
      </c>
      <c r="O2576" s="141" t="s">
        <v>133</v>
      </c>
      <c r="P2576" s="136" t="str">
        <f>IFERROR(__xludf.DUMMYFUNCTION("""COMPUTED_VALUE"""),"")</f>
        <v/>
      </c>
      <c r="Q2576" s="136" t="str">
        <f>IFERROR(__xludf.DUMMYFUNCTION("""COMPUTED_VALUE"""),"")</f>
        <v/>
      </c>
      <c r="R2576" s="106" t="str">
        <f>IFERROR(__xludf.DUMMYFUNCTION("""COMPUTED_VALUE"""),"")</f>
        <v/>
      </c>
      <c r="S2576" s="106" t="str">
        <f>IFERROR(__xludf.DUMMYFUNCTION("""COMPUTED_VALUE"""),"")</f>
        <v/>
      </c>
      <c r="T2576" s="139" t="str">
        <f>IFERROR(__xludf.DUMMYFUNCTION("""COMPUTED_VALUE"""),"")</f>
        <v/>
      </c>
      <c r="U2576" s="139" t="str">
        <f>IFERROR(__xludf.DUMMYFUNCTION("""COMPUTED_VALUE"""),"")</f>
        <v/>
      </c>
      <c r="V2576" s="136" t="str">
        <f>IFERROR(__xludf.DUMMYFUNCTION("""COMPUTED_VALUE"""),"")</f>
        <v/>
      </c>
      <c r="W2576" s="106" t="str">
        <f>IFERROR(__xludf.DUMMYFUNCTION("""COMPUTED_VALUE"""),"")</f>
        <v/>
      </c>
      <c r="X2576" s="143" t="str">
        <f t="shared" si="2"/>
        <v/>
      </c>
      <c r="Y2576" s="139" t="str">
        <f>IFERROR(__xludf.DUMMYFUNCTION("""COMPUTED_VALUE"""),"")</f>
        <v/>
      </c>
      <c r="Z2576" s="141" t="str">
        <f>IFERROR(__xludf.DUMMYFUNCTION("""COMPUTED_VALUE"""),"")</f>
        <v/>
      </c>
    </row>
    <row r="2577">
      <c r="D2577" s="136" t="str">
        <f t="shared" si="3"/>
        <v/>
      </c>
      <c r="E2577" s="152"/>
      <c r="F2577" s="106" t="s">
        <v>133</v>
      </c>
      <c r="G2577" s="152"/>
      <c r="H2577" s="106" t="s">
        <v>133</v>
      </c>
      <c r="J2577" s="139" t="s">
        <v>133</v>
      </c>
      <c r="K2577" s="136" t="s">
        <v>133</v>
      </c>
      <c r="L2577" s="153"/>
      <c r="M2577" s="136" t="str">
        <f t="shared" si="1"/>
        <v/>
      </c>
      <c r="O2577" s="141" t="s">
        <v>133</v>
      </c>
      <c r="P2577" s="136" t="str">
        <f>IFERROR(__xludf.DUMMYFUNCTION("""COMPUTED_VALUE"""),"")</f>
        <v/>
      </c>
      <c r="Q2577" s="136" t="str">
        <f>IFERROR(__xludf.DUMMYFUNCTION("""COMPUTED_VALUE"""),"")</f>
        <v/>
      </c>
      <c r="R2577" s="106" t="str">
        <f>IFERROR(__xludf.DUMMYFUNCTION("""COMPUTED_VALUE"""),"")</f>
        <v/>
      </c>
      <c r="S2577" s="106" t="str">
        <f>IFERROR(__xludf.DUMMYFUNCTION("""COMPUTED_VALUE"""),"")</f>
        <v/>
      </c>
      <c r="T2577" s="139" t="str">
        <f>IFERROR(__xludf.DUMMYFUNCTION("""COMPUTED_VALUE"""),"")</f>
        <v/>
      </c>
      <c r="U2577" s="139" t="str">
        <f>IFERROR(__xludf.DUMMYFUNCTION("""COMPUTED_VALUE"""),"")</f>
        <v/>
      </c>
      <c r="V2577" s="136" t="str">
        <f>IFERROR(__xludf.DUMMYFUNCTION("""COMPUTED_VALUE"""),"")</f>
        <v/>
      </c>
      <c r="W2577" s="106" t="str">
        <f>IFERROR(__xludf.DUMMYFUNCTION("""COMPUTED_VALUE"""),"")</f>
        <v/>
      </c>
      <c r="X2577" s="143" t="str">
        <f t="shared" si="2"/>
        <v/>
      </c>
      <c r="Y2577" s="139" t="str">
        <f>IFERROR(__xludf.DUMMYFUNCTION("""COMPUTED_VALUE"""),"")</f>
        <v/>
      </c>
      <c r="Z2577" s="141" t="str">
        <f>IFERROR(__xludf.DUMMYFUNCTION("""COMPUTED_VALUE"""),"")</f>
        <v/>
      </c>
    </row>
    <row r="2578">
      <c r="D2578" s="136" t="str">
        <f t="shared" si="3"/>
        <v/>
      </c>
      <c r="E2578" s="152"/>
      <c r="F2578" s="106" t="s">
        <v>133</v>
      </c>
      <c r="G2578" s="152"/>
      <c r="H2578" s="106" t="s">
        <v>133</v>
      </c>
      <c r="J2578" s="139" t="s">
        <v>133</v>
      </c>
      <c r="K2578" s="136" t="s">
        <v>133</v>
      </c>
      <c r="L2578" s="153"/>
      <c r="M2578" s="136" t="str">
        <f t="shared" si="1"/>
        <v/>
      </c>
      <c r="O2578" s="141" t="s">
        <v>133</v>
      </c>
      <c r="P2578" s="136" t="str">
        <f>IFERROR(__xludf.DUMMYFUNCTION("""COMPUTED_VALUE"""),"")</f>
        <v/>
      </c>
      <c r="Q2578" s="136" t="str">
        <f>IFERROR(__xludf.DUMMYFUNCTION("""COMPUTED_VALUE"""),"")</f>
        <v/>
      </c>
      <c r="R2578" s="106" t="str">
        <f>IFERROR(__xludf.DUMMYFUNCTION("""COMPUTED_VALUE"""),"")</f>
        <v/>
      </c>
      <c r="S2578" s="106" t="str">
        <f>IFERROR(__xludf.DUMMYFUNCTION("""COMPUTED_VALUE"""),"")</f>
        <v/>
      </c>
      <c r="T2578" s="139" t="str">
        <f>IFERROR(__xludf.DUMMYFUNCTION("""COMPUTED_VALUE"""),"")</f>
        <v/>
      </c>
      <c r="U2578" s="139" t="str">
        <f>IFERROR(__xludf.DUMMYFUNCTION("""COMPUTED_VALUE"""),"")</f>
        <v/>
      </c>
      <c r="V2578" s="136" t="str">
        <f>IFERROR(__xludf.DUMMYFUNCTION("""COMPUTED_VALUE"""),"")</f>
        <v/>
      </c>
      <c r="W2578" s="106" t="str">
        <f>IFERROR(__xludf.DUMMYFUNCTION("""COMPUTED_VALUE"""),"")</f>
        <v/>
      </c>
      <c r="X2578" s="143" t="str">
        <f t="shared" si="2"/>
        <v/>
      </c>
      <c r="Y2578" s="139" t="str">
        <f>IFERROR(__xludf.DUMMYFUNCTION("""COMPUTED_VALUE"""),"")</f>
        <v/>
      </c>
      <c r="Z2578" s="141" t="str">
        <f>IFERROR(__xludf.DUMMYFUNCTION("""COMPUTED_VALUE"""),"")</f>
        <v/>
      </c>
    </row>
    <row r="2579">
      <c r="D2579" s="136" t="str">
        <f t="shared" si="3"/>
        <v/>
      </c>
      <c r="E2579" s="152"/>
      <c r="F2579" s="106" t="s">
        <v>133</v>
      </c>
      <c r="G2579" s="152"/>
      <c r="H2579" s="106" t="s">
        <v>133</v>
      </c>
      <c r="J2579" s="139" t="s">
        <v>133</v>
      </c>
      <c r="K2579" s="136" t="s">
        <v>133</v>
      </c>
      <c r="L2579" s="153"/>
      <c r="M2579" s="136" t="str">
        <f t="shared" si="1"/>
        <v/>
      </c>
      <c r="O2579" s="141" t="s">
        <v>133</v>
      </c>
      <c r="P2579" s="136" t="str">
        <f>IFERROR(__xludf.DUMMYFUNCTION("""COMPUTED_VALUE"""),"")</f>
        <v/>
      </c>
      <c r="Q2579" s="136" t="str">
        <f>IFERROR(__xludf.DUMMYFUNCTION("""COMPUTED_VALUE"""),"")</f>
        <v/>
      </c>
      <c r="R2579" s="106" t="str">
        <f>IFERROR(__xludf.DUMMYFUNCTION("""COMPUTED_VALUE"""),"")</f>
        <v/>
      </c>
      <c r="S2579" s="106" t="str">
        <f>IFERROR(__xludf.DUMMYFUNCTION("""COMPUTED_VALUE"""),"")</f>
        <v/>
      </c>
      <c r="T2579" s="139" t="str">
        <f>IFERROR(__xludf.DUMMYFUNCTION("""COMPUTED_VALUE"""),"")</f>
        <v/>
      </c>
      <c r="U2579" s="139" t="str">
        <f>IFERROR(__xludf.DUMMYFUNCTION("""COMPUTED_VALUE"""),"")</f>
        <v/>
      </c>
      <c r="V2579" s="136" t="str">
        <f>IFERROR(__xludf.DUMMYFUNCTION("""COMPUTED_VALUE"""),"")</f>
        <v/>
      </c>
      <c r="W2579" s="106" t="str">
        <f>IFERROR(__xludf.DUMMYFUNCTION("""COMPUTED_VALUE"""),"")</f>
        <v/>
      </c>
      <c r="X2579" s="143" t="str">
        <f t="shared" si="2"/>
        <v/>
      </c>
      <c r="Y2579" s="139" t="str">
        <f>IFERROR(__xludf.DUMMYFUNCTION("""COMPUTED_VALUE"""),"")</f>
        <v/>
      </c>
      <c r="Z2579" s="141" t="str">
        <f>IFERROR(__xludf.DUMMYFUNCTION("""COMPUTED_VALUE"""),"")</f>
        <v/>
      </c>
    </row>
    <row r="2580">
      <c r="D2580" s="136" t="str">
        <f t="shared" si="3"/>
        <v/>
      </c>
      <c r="E2580" s="152"/>
      <c r="F2580" s="106" t="s">
        <v>133</v>
      </c>
      <c r="G2580" s="152"/>
      <c r="H2580" s="106" t="s">
        <v>133</v>
      </c>
      <c r="J2580" s="139" t="s">
        <v>133</v>
      </c>
      <c r="K2580" s="136" t="s">
        <v>133</v>
      </c>
      <c r="L2580" s="153"/>
      <c r="M2580" s="136" t="str">
        <f t="shared" si="1"/>
        <v/>
      </c>
      <c r="O2580" s="141" t="s">
        <v>133</v>
      </c>
      <c r="P2580" s="136" t="str">
        <f>IFERROR(__xludf.DUMMYFUNCTION("""COMPUTED_VALUE"""),"")</f>
        <v/>
      </c>
      <c r="Q2580" s="136" t="str">
        <f>IFERROR(__xludf.DUMMYFUNCTION("""COMPUTED_VALUE"""),"")</f>
        <v/>
      </c>
      <c r="R2580" s="106" t="str">
        <f>IFERROR(__xludf.DUMMYFUNCTION("""COMPUTED_VALUE"""),"")</f>
        <v/>
      </c>
      <c r="S2580" s="106" t="str">
        <f>IFERROR(__xludf.DUMMYFUNCTION("""COMPUTED_VALUE"""),"")</f>
        <v/>
      </c>
      <c r="T2580" s="139" t="str">
        <f>IFERROR(__xludf.DUMMYFUNCTION("""COMPUTED_VALUE"""),"")</f>
        <v/>
      </c>
      <c r="U2580" s="139" t="str">
        <f>IFERROR(__xludf.DUMMYFUNCTION("""COMPUTED_VALUE"""),"")</f>
        <v/>
      </c>
      <c r="V2580" s="136" t="str">
        <f>IFERROR(__xludf.DUMMYFUNCTION("""COMPUTED_VALUE"""),"")</f>
        <v/>
      </c>
      <c r="W2580" s="106" t="str">
        <f>IFERROR(__xludf.DUMMYFUNCTION("""COMPUTED_VALUE"""),"")</f>
        <v/>
      </c>
      <c r="X2580" s="143" t="str">
        <f t="shared" si="2"/>
        <v/>
      </c>
      <c r="Y2580" s="139" t="str">
        <f>IFERROR(__xludf.DUMMYFUNCTION("""COMPUTED_VALUE"""),"")</f>
        <v/>
      </c>
      <c r="Z2580" s="141" t="str">
        <f>IFERROR(__xludf.DUMMYFUNCTION("""COMPUTED_VALUE"""),"")</f>
        <v/>
      </c>
    </row>
    <row r="2581">
      <c r="D2581" s="136" t="str">
        <f t="shared" si="3"/>
        <v/>
      </c>
      <c r="E2581" s="152"/>
      <c r="F2581" s="106" t="s">
        <v>133</v>
      </c>
      <c r="G2581" s="152"/>
      <c r="H2581" s="106" t="s">
        <v>133</v>
      </c>
      <c r="J2581" s="139" t="s">
        <v>133</v>
      </c>
      <c r="K2581" s="136" t="s">
        <v>133</v>
      </c>
      <c r="L2581" s="153"/>
      <c r="M2581" s="136" t="str">
        <f t="shared" si="1"/>
        <v/>
      </c>
      <c r="O2581" s="141" t="s">
        <v>133</v>
      </c>
      <c r="P2581" s="136" t="str">
        <f>IFERROR(__xludf.DUMMYFUNCTION("""COMPUTED_VALUE"""),"")</f>
        <v/>
      </c>
      <c r="Q2581" s="136" t="str">
        <f>IFERROR(__xludf.DUMMYFUNCTION("""COMPUTED_VALUE"""),"")</f>
        <v/>
      </c>
      <c r="R2581" s="106" t="str">
        <f>IFERROR(__xludf.DUMMYFUNCTION("""COMPUTED_VALUE"""),"")</f>
        <v/>
      </c>
      <c r="S2581" s="106" t="str">
        <f>IFERROR(__xludf.DUMMYFUNCTION("""COMPUTED_VALUE"""),"")</f>
        <v/>
      </c>
      <c r="T2581" s="139" t="str">
        <f>IFERROR(__xludf.DUMMYFUNCTION("""COMPUTED_VALUE"""),"")</f>
        <v/>
      </c>
      <c r="U2581" s="139" t="str">
        <f>IFERROR(__xludf.DUMMYFUNCTION("""COMPUTED_VALUE"""),"")</f>
        <v/>
      </c>
      <c r="V2581" s="136" t="str">
        <f>IFERROR(__xludf.DUMMYFUNCTION("""COMPUTED_VALUE"""),"")</f>
        <v/>
      </c>
      <c r="W2581" s="106" t="str">
        <f>IFERROR(__xludf.DUMMYFUNCTION("""COMPUTED_VALUE"""),"")</f>
        <v/>
      </c>
      <c r="X2581" s="143" t="str">
        <f t="shared" si="2"/>
        <v/>
      </c>
      <c r="Y2581" s="139" t="str">
        <f>IFERROR(__xludf.DUMMYFUNCTION("""COMPUTED_VALUE"""),"")</f>
        <v/>
      </c>
      <c r="Z2581" s="141" t="str">
        <f>IFERROR(__xludf.DUMMYFUNCTION("""COMPUTED_VALUE"""),"")</f>
        <v/>
      </c>
    </row>
    <row r="2582">
      <c r="D2582" s="136" t="str">
        <f t="shared" si="3"/>
        <v/>
      </c>
      <c r="E2582" s="152"/>
      <c r="F2582" s="106" t="s">
        <v>133</v>
      </c>
      <c r="G2582" s="152"/>
      <c r="H2582" s="106" t="s">
        <v>133</v>
      </c>
      <c r="J2582" s="139" t="s">
        <v>133</v>
      </c>
      <c r="K2582" s="136" t="s">
        <v>133</v>
      </c>
      <c r="L2582" s="153"/>
      <c r="M2582" s="136" t="str">
        <f t="shared" si="1"/>
        <v/>
      </c>
      <c r="O2582" s="141" t="s">
        <v>133</v>
      </c>
      <c r="P2582" s="136" t="str">
        <f>IFERROR(__xludf.DUMMYFUNCTION("""COMPUTED_VALUE"""),"")</f>
        <v/>
      </c>
      <c r="Q2582" s="136" t="str">
        <f>IFERROR(__xludf.DUMMYFUNCTION("""COMPUTED_VALUE"""),"")</f>
        <v/>
      </c>
      <c r="R2582" s="106" t="str">
        <f>IFERROR(__xludf.DUMMYFUNCTION("""COMPUTED_VALUE"""),"")</f>
        <v/>
      </c>
      <c r="S2582" s="106" t="str">
        <f>IFERROR(__xludf.DUMMYFUNCTION("""COMPUTED_VALUE"""),"")</f>
        <v/>
      </c>
      <c r="T2582" s="139" t="str">
        <f>IFERROR(__xludf.DUMMYFUNCTION("""COMPUTED_VALUE"""),"")</f>
        <v/>
      </c>
      <c r="U2582" s="139" t="str">
        <f>IFERROR(__xludf.DUMMYFUNCTION("""COMPUTED_VALUE"""),"")</f>
        <v/>
      </c>
      <c r="V2582" s="136" t="str">
        <f>IFERROR(__xludf.DUMMYFUNCTION("""COMPUTED_VALUE"""),"")</f>
        <v/>
      </c>
      <c r="W2582" s="106" t="str">
        <f>IFERROR(__xludf.DUMMYFUNCTION("""COMPUTED_VALUE"""),"")</f>
        <v/>
      </c>
      <c r="X2582" s="143" t="str">
        <f t="shared" si="2"/>
        <v/>
      </c>
      <c r="Y2582" s="139" t="str">
        <f>IFERROR(__xludf.DUMMYFUNCTION("""COMPUTED_VALUE"""),"")</f>
        <v/>
      </c>
      <c r="Z2582" s="141" t="str">
        <f>IFERROR(__xludf.DUMMYFUNCTION("""COMPUTED_VALUE"""),"")</f>
        <v/>
      </c>
    </row>
    <row r="2583">
      <c r="D2583" s="136" t="str">
        <f t="shared" si="3"/>
        <v/>
      </c>
      <c r="E2583" s="152"/>
      <c r="F2583" s="106" t="s">
        <v>133</v>
      </c>
      <c r="G2583" s="152"/>
      <c r="H2583" s="106" t="s">
        <v>133</v>
      </c>
      <c r="J2583" s="139" t="s">
        <v>133</v>
      </c>
      <c r="K2583" s="136" t="s">
        <v>133</v>
      </c>
      <c r="L2583" s="153"/>
      <c r="M2583" s="136" t="str">
        <f t="shared" si="1"/>
        <v/>
      </c>
      <c r="O2583" s="141" t="s">
        <v>133</v>
      </c>
      <c r="P2583" s="136" t="str">
        <f>IFERROR(__xludf.DUMMYFUNCTION("""COMPUTED_VALUE"""),"")</f>
        <v/>
      </c>
      <c r="Q2583" s="136" t="str">
        <f>IFERROR(__xludf.DUMMYFUNCTION("""COMPUTED_VALUE"""),"")</f>
        <v/>
      </c>
      <c r="R2583" s="106" t="str">
        <f>IFERROR(__xludf.DUMMYFUNCTION("""COMPUTED_VALUE"""),"")</f>
        <v/>
      </c>
      <c r="S2583" s="106" t="str">
        <f>IFERROR(__xludf.DUMMYFUNCTION("""COMPUTED_VALUE"""),"")</f>
        <v/>
      </c>
      <c r="T2583" s="139" t="str">
        <f>IFERROR(__xludf.DUMMYFUNCTION("""COMPUTED_VALUE"""),"")</f>
        <v/>
      </c>
      <c r="U2583" s="139" t="str">
        <f>IFERROR(__xludf.DUMMYFUNCTION("""COMPUTED_VALUE"""),"")</f>
        <v/>
      </c>
      <c r="V2583" s="136" t="str">
        <f>IFERROR(__xludf.DUMMYFUNCTION("""COMPUTED_VALUE"""),"")</f>
        <v/>
      </c>
      <c r="W2583" s="106" t="str">
        <f>IFERROR(__xludf.DUMMYFUNCTION("""COMPUTED_VALUE"""),"")</f>
        <v/>
      </c>
      <c r="X2583" s="143" t="str">
        <f t="shared" si="2"/>
        <v/>
      </c>
      <c r="Y2583" s="139" t="str">
        <f>IFERROR(__xludf.DUMMYFUNCTION("""COMPUTED_VALUE"""),"")</f>
        <v/>
      </c>
      <c r="Z2583" s="141" t="str">
        <f>IFERROR(__xludf.DUMMYFUNCTION("""COMPUTED_VALUE"""),"")</f>
        <v/>
      </c>
    </row>
    <row r="2584">
      <c r="D2584" s="136" t="str">
        <f t="shared" si="3"/>
        <v/>
      </c>
      <c r="E2584" s="152"/>
      <c r="F2584" s="106" t="s">
        <v>133</v>
      </c>
      <c r="G2584" s="152"/>
      <c r="H2584" s="106" t="s">
        <v>133</v>
      </c>
      <c r="J2584" s="139" t="s">
        <v>133</v>
      </c>
      <c r="K2584" s="136" t="s">
        <v>133</v>
      </c>
      <c r="L2584" s="153"/>
      <c r="M2584" s="136" t="str">
        <f t="shared" si="1"/>
        <v/>
      </c>
      <c r="O2584" s="141" t="s">
        <v>133</v>
      </c>
      <c r="P2584" s="136" t="str">
        <f>IFERROR(__xludf.DUMMYFUNCTION("""COMPUTED_VALUE"""),"")</f>
        <v/>
      </c>
      <c r="Q2584" s="136" t="str">
        <f>IFERROR(__xludf.DUMMYFUNCTION("""COMPUTED_VALUE"""),"")</f>
        <v/>
      </c>
      <c r="R2584" s="106" t="str">
        <f>IFERROR(__xludf.DUMMYFUNCTION("""COMPUTED_VALUE"""),"")</f>
        <v/>
      </c>
      <c r="S2584" s="106" t="str">
        <f>IFERROR(__xludf.DUMMYFUNCTION("""COMPUTED_VALUE"""),"")</f>
        <v/>
      </c>
      <c r="T2584" s="139" t="str">
        <f>IFERROR(__xludf.DUMMYFUNCTION("""COMPUTED_VALUE"""),"")</f>
        <v/>
      </c>
      <c r="U2584" s="139" t="str">
        <f>IFERROR(__xludf.DUMMYFUNCTION("""COMPUTED_VALUE"""),"")</f>
        <v/>
      </c>
      <c r="V2584" s="136" t="str">
        <f>IFERROR(__xludf.DUMMYFUNCTION("""COMPUTED_VALUE"""),"")</f>
        <v/>
      </c>
      <c r="W2584" s="106" t="str">
        <f>IFERROR(__xludf.DUMMYFUNCTION("""COMPUTED_VALUE"""),"")</f>
        <v/>
      </c>
      <c r="X2584" s="143" t="str">
        <f t="shared" si="2"/>
        <v/>
      </c>
      <c r="Y2584" s="139" t="str">
        <f>IFERROR(__xludf.DUMMYFUNCTION("""COMPUTED_VALUE"""),"")</f>
        <v/>
      </c>
      <c r="Z2584" s="141" t="str">
        <f>IFERROR(__xludf.DUMMYFUNCTION("""COMPUTED_VALUE"""),"")</f>
        <v/>
      </c>
    </row>
    <row r="2585">
      <c r="D2585" s="136" t="str">
        <f t="shared" si="3"/>
        <v/>
      </c>
      <c r="E2585" s="152"/>
      <c r="F2585" s="106" t="s">
        <v>133</v>
      </c>
      <c r="G2585" s="152"/>
      <c r="H2585" s="106" t="s">
        <v>133</v>
      </c>
      <c r="J2585" s="139" t="s">
        <v>133</v>
      </c>
      <c r="K2585" s="136" t="s">
        <v>133</v>
      </c>
      <c r="L2585" s="153"/>
      <c r="M2585" s="136" t="str">
        <f t="shared" si="1"/>
        <v/>
      </c>
      <c r="O2585" s="141" t="s">
        <v>133</v>
      </c>
      <c r="P2585" s="136" t="str">
        <f>IFERROR(__xludf.DUMMYFUNCTION("""COMPUTED_VALUE"""),"")</f>
        <v/>
      </c>
      <c r="Q2585" s="136" t="str">
        <f>IFERROR(__xludf.DUMMYFUNCTION("""COMPUTED_VALUE"""),"")</f>
        <v/>
      </c>
      <c r="R2585" s="106" t="str">
        <f>IFERROR(__xludf.DUMMYFUNCTION("""COMPUTED_VALUE"""),"")</f>
        <v/>
      </c>
      <c r="S2585" s="106" t="str">
        <f>IFERROR(__xludf.DUMMYFUNCTION("""COMPUTED_VALUE"""),"")</f>
        <v/>
      </c>
      <c r="T2585" s="139" t="str">
        <f>IFERROR(__xludf.DUMMYFUNCTION("""COMPUTED_VALUE"""),"")</f>
        <v/>
      </c>
      <c r="U2585" s="139" t="str">
        <f>IFERROR(__xludf.DUMMYFUNCTION("""COMPUTED_VALUE"""),"")</f>
        <v/>
      </c>
      <c r="V2585" s="136" t="str">
        <f>IFERROR(__xludf.DUMMYFUNCTION("""COMPUTED_VALUE"""),"")</f>
        <v/>
      </c>
      <c r="W2585" s="106" t="str">
        <f>IFERROR(__xludf.DUMMYFUNCTION("""COMPUTED_VALUE"""),"")</f>
        <v/>
      </c>
      <c r="X2585" s="143" t="str">
        <f t="shared" si="2"/>
        <v/>
      </c>
      <c r="Y2585" s="139" t="str">
        <f>IFERROR(__xludf.DUMMYFUNCTION("""COMPUTED_VALUE"""),"")</f>
        <v/>
      </c>
      <c r="Z2585" s="141" t="str">
        <f>IFERROR(__xludf.DUMMYFUNCTION("""COMPUTED_VALUE"""),"")</f>
        <v/>
      </c>
    </row>
    <row r="2586">
      <c r="D2586" s="136" t="str">
        <f t="shared" si="3"/>
        <v/>
      </c>
      <c r="E2586" s="152"/>
      <c r="F2586" s="106" t="s">
        <v>133</v>
      </c>
      <c r="G2586" s="152"/>
      <c r="H2586" s="106" t="s">
        <v>133</v>
      </c>
      <c r="J2586" s="139" t="s">
        <v>133</v>
      </c>
      <c r="K2586" s="136" t="s">
        <v>133</v>
      </c>
      <c r="L2586" s="153"/>
      <c r="M2586" s="136" t="str">
        <f t="shared" si="1"/>
        <v/>
      </c>
      <c r="O2586" s="141" t="s">
        <v>133</v>
      </c>
      <c r="P2586" s="136" t="str">
        <f>IFERROR(__xludf.DUMMYFUNCTION("""COMPUTED_VALUE"""),"")</f>
        <v/>
      </c>
      <c r="Q2586" s="136" t="str">
        <f>IFERROR(__xludf.DUMMYFUNCTION("""COMPUTED_VALUE"""),"")</f>
        <v/>
      </c>
      <c r="R2586" s="106" t="str">
        <f>IFERROR(__xludf.DUMMYFUNCTION("""COMPUTED_VALUE"""),"")</f>
        <v/>
      </c>
      <c r="S2586" s="106" t="str">
        <f>IFERROR(__xludf.DUMMYFUNCTION("""COMPUTED_VALUE"""),"")</f>
        <v/>
      </c>
      <c r="T2586" s="139" t="str">
        <f>IFERROR(__xludf.DUMMYFUNCTION("""COMPUTED_VALUE"""),"")</f>
        <v/>
      </c>
      <c r="U2586" s="139" t="str">
        <f>IFERROR(__xludf.DUMMYFUNCTION("""COMPUTED_VALUE"""),"")</f>
        <v/>
      </c>
      <c r="V2586" s="136" t="str">
        <f>IFERROR(__xludf.DUMMYFUNCTION("""COMPUTED_VALUE"""),"")</f>
        <v/>
      </c>
      <c r="W2586" s="106" t="str">
        <f>IFERROR(__xludf.DUMMYFUNCTION("""COMPUTED_VALUE"""),"")</f>
        <v/>
      </c>
      <c r="X2586" s="143" t="str">
        <f t="shared" si="2"/>
        <v/>
      </c>
      <c r="Y2586" s="139" t="str">
        <f>IFERROR(__xludf.DUMMYFUNCTION("""COMPUTED_VALUE"""),"")</f>
        <v/>
      </c>
      <c r="Z2586" s="141" t="str">
        <f>IFERROR(__xludf.DUMMYFUNCTION("""COMPUTED_VALUE"""),"")</f>
        <v/>
      </c>
    </row>
    <row r="2587">
      <c r="D2587" s="136" t="str">
        <f t="shared" si="3"/>
        <v/>
      </c>
      <c r="E2587" s="152"/>
      <c r="F2587" s="106" t="s">
        <v>133</v>
      </c>
      <c r="G2587" s="152"/>
      <c r="H2587" s="106" t="s">
        <v>133</v>
      </c>
      <c r="J2587" s="139" t="s">
        <v>133</v>
      </c>
      <c r="K2587" s="136" t="s">
        <v>133</v>
      </c>
      <c r="L2587" s="153"/>
      <c r="M2587" s="136" t="str">
        <f t="shared" si="1"/>
        <v/>
      </c>
      <c r="O2587" s="141" t="s">
        <v>133</v>
      </c>
      <c r="P2587" s="136" t="str">
        <f>IFERROR(__xludf.DUMMYFUNCTION("""COMPUTED_VALUE"""),"")</f>
        <v/>
      </c>
      <c r="Q2587" s="136" t="str">
        <f>IFERROR(__xludf.DUMMYFUNCTION("""COMPUTED_VALUE"""),"")</f>
        <v/>
      </c>
      <c r="R2587" s="106" t="str">
        <f>IFERROR(__xludf.DUMMYFUNCTION("""COMPUTED_VALUE"""),"")</f>
        <v/>
      </c>
      <c r="S2587" s="106" t="str">
        <f>IFERROR(__xludf.DUMMYFUNCTION("""COMPUTED_VALUE"""),"")</f>
        <v/>
      </c>
      <c r="T2587" s="139" t="str">
        <f>IFERROR(__xludf.DUMMYFUNCTION("""COMPUTED_VALUE"""),"")</f>
        <v/>
      </c>
      <c r="U2587" s="139" t="str">
        <f>IFERROR(__xludf.DUMMYFUNCTION("""COMPUTED_VALUE"""),"")</f>
        <v/>
      </c>
      <c r="V2587" s="136" t="str">
        <f>IFERROR(__xludf.DUMMYFUNCTION("""COMPUTED_VALUE"""),"")</f>
        <v/>
      </c>
      <c r="W2587" s="106" t="str">
        <f>IFERROR(__xludf.DUMMYFUNCTION("""COMPUTED_VALUE"""),"")</f>
        <v/>
      </c>
      <c r="X2587" s="143" t="str">
        <f t="shared" si="2"/>
        <v/>
      </c>
      <c r="Y2587" s="139" t="str">
        <f>IFERROR(__xludf.DUMMYFUNCTION("""COMPUTED_VALUE"""),"")</f>
        <v/>
      </c>
      <c r="Z2587" s="141" t="str">
        <f>IFERROR(__xludf.DUMMYFUNCTION("""COMPUTED_VALUE"""),"")</f>
        <v/>
      </c>
    </row>
    <row r="2588">
      <c r="D2588" s="136" t="str">
        <f t="shared" si="3"/>
        <v/>
      </c>
      <c r="E2588" s="152"/>
      <c r="F2588" s="106" t="s">
        <v>133</v>
      </c>
      <c r="G2588" s="152"/>
      <c r="H2588" s="106" t="s">
        <v>133</v>
      </c>
      <c r="J2588" s="139" t="s">
        <v>133</v>
      </c>
      <c r="K2588" s="136" t="s">
        <v>133</v>
      </c>
      <c r="L2588" s="153"/>
      <c r="M2588" s="136" t="str">
        <f t="shared" si="1"/>
        <v/>
      </c>
      <c r="O2588" s="141" t="s">
        <v>133</v>
      </c>
      <c r="P2588" s="136" t="str">
        <f>IFERROR(__xludf.DUMMYFUNCTION("""COMPUTED_VALUE"""),"")</f>
        <v/>
      </c>
      <c r="Q2588" s="136" t="str">
        <f>IFERROR(__xludf.DUMMYFUNCTION("""COMPUTED_VALUE"""),"")</f>
        <v/>
      </c>
      <c r="R2588" s="106" t="str">
        <f>IFERROR(__xludf.DUMMYFUNCTION("""COMPUTED_VALUE"""),"")</f>
        <v/>
      </c>
      <c r="S2588" s="106" t="str">
        <f>IFERROR(__xludf.DUMMYFUNCTION("""COMPUTED_VALUE"""),"")</f>
        <v/>
      </c>
      <c r="T2588" s="139" t="str">
        <f>IFERROR(__xludf.DUMMYFUNCTION("""COMPUTED_VALUE"""),"")</f>
        <v/>
      </c>
      <c r="U2588" s="139" t="str">
        <f>IFERROR(__xludf.DUMMYFUNCTION("""COMPUTED_VALUE"""),"")</f>
        <v/>
      </c>
      <c r="V2588" s="136" t="str">
        <f>IFERROR(__xludf.DUMMYFUNCTION("""COMPUTED_VALUE"""),"")</f>
        <v/>
      </c>
      <c r="W2588" s="106" t="str">
        <f>IFERROR(__xludf.DUMMYFUNCTION("""COMPUTED_VALUE"""),"")</f>
        <v/>
      </c>
      <c r="X2588" s="143" t="str">
        <f t="shared" si="2"/>
        <v/>
      </c>
      <c r="Y2588" s="139" t="str">
        <f>IFERROR(__xludf.DUMMYFUNCTION("""COMPUTED_VALUE"""),"")</f>
        <v/>
      </c>
      <c r="Z2588" s="141" t="str">
        <f>IFERROR(__xludf.DUMMYFUNCTION("""COMPUTED_VALUE"""),"")</f>
        <v/>
      </c>
    </row>
    <row r="2589">
      <c r="D2589" s="136" t="str">
        <f t="shared" si="3"/>
        <v/>
      </c>
      <c r="E2589" s="152"/>
      <c r="F2589" s="106" t="s">
        <v>133</v>
      </c>
      <c r="G2589" s="152"/>
      <c r="H2589" s="106" t="s">
        <v>133</v>
      </c>
      <c r="J2589" s="139" t="s">
        <v>133</v>
      </c>
      <c r="K2589" s="136" t="s">
        <v>133</v>
      </c>
      <c r="L2589" s="153"/>
      <c r="M2589" s="136" t="str">
        <f t="shared" si="1"/>
        <v/>
      </c>
      <c r="O2589" s="141" t="s">
        <v>133</v>
      </c>
      <c r="P2589" s="136" t="str">
        <f>IFERROR(__xludf.DUMMYFUNCTION("""COMPUTED_VALUE"""),"")</f>
        <v/>
      </c>
      <c r="Q2589" s="136" t="str">
        <f>IFERROR(__xludf.DUMMYFUNCTION("""COMPUTED_VALUE"""),"")</f>
        <v/>
      </c>
      <c r="R2589" s="106" t="str">
        <f>IFERROR(__xludf.DUMMYFUNCTION("""COMPUTED_VALUE"""),"")</f>
        <v/>
      </c>
      <c r="S2589" s="106" t="str">
        <f>IFERROR(__xludf.DUMMYFUNCTION("""COMPUTED_VALUE"""),"")</f>
        <v/>
      </c>
      <c r="T2589" s="139" t="str">
        <f>IFERROR(__xludf.DUMMYFUNCTION("""COMPUTED_VALUE"""),"")</f>
        <v/>
      </c>
      <c r="U2589" s="139" t="str">
        <f>IFERROR(__xludf.DUMMYFUNCTION("""COMPUTED_VALUE"""),"")</f>
        <v/>
      </c>
      <c r="V2589" s="136" t="str">
        <f>IFERROR(__xludf.DUMMYFUNCTION("""COMPUTED_VALUE"""),"")</f>
        <v/>
      </c>
      <c r="W2589" s="106" t="str">
        <f>IFERROR(__xludf.DUMMYFUNCTION("""COMPUTED_VALUE"""),"")</f>
        <v/>
      </c>
      <c r="X2589" s="143" t="str">
        <f t="shared" si="2"/>
        <v/>
      </c>
      <c r="Y2589" s="139" t="str">
        <f>IFERROR(__xludf.DUMMYFUNCTION("""COMPUTED_VALUE"""),"")</f>
        <v/>
      </c>
      <c r="Z2589" s="141" t="str">
        <f>IFERROR(__xludf.DUMMYFUNCTION("""COMPUTED_VALUE"""),"")</f>
        <v/>
      </c>
    </row>
    <row r="2590">
      <c r="D2590" s="136" t="str">
        <f t="shared" si="3"/>
        <v/>
      </c>
      <c r="E2590" s="152"/>
      <c r="F2590" s="106" t="s">
        <v>133</v>
      </c>
      <c r="G2590" s="152"/>
      <c r="H2590" s="106" t="s">
        <v>133</v>
      </c>
      <c r="J2590" s="139" t="s">
        <v>133</v>
      </c>
      <c r="K2590" s="136" t="s">
        <v>133</v>
      </c>
      <c r="L2590" s="153"/>
      <c r="M2590" s="136" t="str">
        <f t="shared" si="1"/>
        <v/>
      </c>
      <c r="O2590" s="141" t="s">
        <v>133</v>
      </c>
      <c r="P2590" s="136" t="str">
        <f>IFERROR(__xludf.DUMMYFUNCTION("""COMPUTED_VALUE"""),"")</f>
        <v/>
      </c>
      <c r="Q2590" s="136" t="str">
        <f>IFERROR(__xludf.DUMMYFUNCTION("""COMPUTED_VALUE"""),"")</f>
        <v/>
      </c>
      <c r="R2590" s="106" t="str">
        <f>IFERROR(__xludf.DUMMYFUNCTION("""COMPUTED_VALUE"""),"")</f>
        <v/>
      </c>
      <c r="S2590" s="106" t="str">
        <f>IFERROR(__xludf.DUMMYFUNCTION("""COMPUTED_VALUE"""),"")</f>
        <v/>
      </c>
      <c r="T2590" s="139" t="str">
        <f>IFERROR(__xludf.DUMMYFUNCTION("""COMPUTED_VALUE"""),"")</f>
        <v/>
      </c>
      <c r="U2590" s="139" t="str">
        <f>IFERROR(__xludf.DUMMYFUNCTION("""COMPUTED_VALUE"""),"")</f>
        <v/>
      </c>
      <c r="V2590" s="136" t="str">
        <f>IFERROR(__xludf.DUMMYFUNCTION("""COMPUTED_VALUE"""),"")</f>
        <v/>
      </c>
      <c r="W2590" s="106" t="str">
        <f>IFERROR(__xludf.DUMMYFUNCTION("""COMPUTED_VALUE"""),"")</f>
        <v/>
      </c>
      <c r="X2590" s="143" t="str">
        <f t="shared" si="2"/>
        <v/>
      </c>
      <c r="Y2590" s="139" t="str">
        <f>IFERROR(__xludf.DUMMYFUNCTION("""COMPUTED_VALUE"""),"")</f>
        <v/>
      </c>
      <c r="Z2590" s="141" t="str">
        <f>IFERROR(__xludf.DUMMYFUNCTION("""COMPUTED_VALUE"""),"")</f>
        <v/>
      </c>
    </row>
    <row r="2591">
      <c r="D2591" s="136" t="str">
        <f t="shared" si="3"/>
        <v/>
      </c>
      <c r="E2591" s="152"/>
      <c r="F2591" s="106" t="s">
        <v>133</v>
      </c>
      <c r="G2591" s="152"/>
      <c r="H2591" s="106" t="s">
        <v>133</v>
      </c>
      <c r="J2591" s="139" t="s">
        <v>133</v>
      </c>
      <c r="K2591" s="136" t="s">
        <v>133</v>
      </c>
      <c r="L2591" s="153"/>
      <c r="M2591" s="136" t="str">
        <f t="shared" si="1"/>
        <v/>
      </c>
      <c r="O2591" s="141" t="s">
        <v>133</v>
      </c>
      <c r="P2591" s="136" t="str">
        <f>IFERROR(__xludf.DUMMYFUNCTION("""COMPUTED_VALUE"""),"")</f>
        <v/>
      </c>
      <c r="Q2591" s="136" t="str">
        <f>IFERROR(__xludf.DUMMYFUNCTION("""COMPUTED_VALUE"""),"")</f>
        <v/>
      </c>
      <c r="R2591" s="106" t="str">
        <f>IFERROR(__xludf.DUMMYFUNCTION("""COMPUTED_VALUE"""),"")</f>
        <v/>
      </c>
      <c r="S2591" s="106" t="str">
        <f>IFERROR(__xludf.DUMMYFUNCTION("""COMPUTED_VALUE"""),"")</f>
        <v/>
      </c>
      <c r="T2591" s="139" t="str">
        <f>IFERROR(__xludf.DUMMYFUNCTION("""COMPUTED_VALUE"""),"")</f>
        <v/>
      </c>
      <c r="U2591" s="139" t="str">
        <f>IFERROR(__xludf.DUMMYFUNCTION("""COMPUTED_VALUE"""),"")</f>
        <v/>
      </c>
      <c r="V2591" s="136" t="str">
        <f>IFERROR(__xludf.DUMMYFUNCTION("""COMPUTED_VALUE"""),"")</f>
        <v/>
      </c>
      <c r="W2591" s="106" t="str">
        <f>IFERROR(__xludf.DUMMYFUNCTION("""COMPUTED_VALUE"""),"")</f>
        <v/>
      </c>
      <c r="X2591" s="143" t="str">
        <f t="shared" si="2"/>
        <v/>
      </c>
      <c r="Y2591" s="139" t="str">
        <f>IFERROR(__xludf.DUMMYFUNCTION("""COMPUTED_VALUE"""),"")</f>
        <v/>
      </c>
      <c r="Z2591" s="141" t="str">
        <f>IFERROR(__xludf.DUMMYFUNCTION("""COMPUTED_VALUE"""),"")</f>
        <v/>
      </c>
    </row>
    <row r="2592">
      <c r="D2592" s="136" t="str">
        <f t="shared" si="3"/>
        <v/>
      </c>
      <c r="E2592" s="152"/>
      <c r="F2592" s="106" t="s">
        <v>133</v>
      </c>
      <c r="G2592" s="152"/>
      <c r="H2592" s="106" t="s">
        <v>133</v>
      </c>
      <c r="J2592" s="139" t="s">
        <v>133</v>
      </c>
      <c r="K2592" s="136" t="s">
        <v>133</v>
      </c>
      <c r="L2592" s="153"/>
      <c r="M2592" s="136" t="str">
        <f t="shared" si="1"/>
        <v/>
      </c>
      <c r="O2592" s="141" t="s">
        <v>133</v>
      </c>
      <c r="P2592" s="136" t="str">
        <f>IFERROR(__xludf.DUMMYFUNCTION("""COMPUTED_VALUE"""),"")</f>
        <v/>
      </c>
      <c r="Q2592" s="136" t="str">
        <f>IFERROR(__xludf.DUMMYFUNCTION("""COMPUTED_VALUE"""),"")</f>
        <v/>
      </c>
      <c r="R2592" s="106" t="str">
        <f>IFERROR(__xludf.DUMMYFUNCTION("""COMPUTED_VALUE"""),"")</f>
        <v/>
      </c>
      <c r="S2592" s="106" t="str">
        <f>IFERROR(__xludf.DUMMYFUNCTION("""COMPUTED_VALUE"""),"")</f>
        <v/>
      </c>
      <c r="T2592" s="139" t="str">
        <f>IFERROR(__xludf.DUMMYFUNCTION("""COMPUTED_VALUE"""),"")</f>
        <v/>
      </c>
      <c r="U2592" s="139" t="str">
        <f>IFERROR(__xludf.DUMMYFUNCTION("""COMPUTED_VALUE"""),"")</f>
        <v/>
      </c>
      <c r="V2592" s="136" t="str">
        <f>IFERROR(__xludf.DUMMYFUNCTION("""COMPUTED_VALUE"""),"")</f>
        <v/>
      </c>
      <c r="W2592" s="106" t="str">
        <f>IFERROR(__xludf.DUMMYFUNCTION("""COMPUTED_VALUE"""),"")</f>
        <v/>
      </c>
      <c r="X2592" s="143" t="str">
        <f t="shared" si="2"/>
        <v/>
      </c>
      <c r="Y2592" s="139" t="str">
        <f>IFERROR(__xludf.DUMMYFUNCTION("""COMPUTED_VALUE"""),"")</f>
        <v/>
      </c>
      <c r="Z2592" s="141" t="str">
        <f>IFERROR(__xludf.DUMMYFUNCTION("""COMPUTED_VALUE"""),"")</f>
        <v/>
      </c>
    </row>
    <row r="2593">
      <c r="D2593" s="136" t="str">
        <f t="shared" si="3"/>
        <v/>
      </c>
      <c r="E2593" s="152"/>
      <c r="F2593" s="106" t="s">
        <v>133</v>
      </c>
      <c r="G2593" s="152"/>
      <c r="H2593" s="106" t="s">
        <v>133</v>
      </c>
      <c r="J2593" s="139" t="s">
        <v>133</v>
      </c>
      <c r="K2593" s="136" t="s">
        <v>133</v>
      </c>
      <c r="L2593" s="153"/>
      <c r="M2593" s="136" t="str">
        <f t="shared" si="1"/>
        <v/>
      </c>
      <c r="O2593" s="141" t="s">
        <v>133</v>
      </c>
      <c r="P2593" s="136" t="str">
        <f>IFERROR(__xludf.DUMMYFUNCTION("""COMPUTED_VALUE"""),"")</f>
        <v/>
      </c>
      <c r="Q2593" s="136" t="str">
        <f>IFERROR(__xludf.DUMMYFUNCTION("""COMPUTED_VALUE"""),"")</f>
        <v/>
      </c>
      <c r="R2593" s="106" t="str">
        <f>IFERROR(__xludf.DUMMYFUNCTION("""COMPUTED_VALUE"""),"")</f>
        <v/>
      </c>
      <c r="S2593" s="106" t="str">
        <f>IFERROR(__xludf.DUMMYFUNCTION("""COMPUTED_VALUE"""),"")</f>
        <v/>
      </c>
      <c r="T2593" s="139" t="str">
        <f>IFERROR(__xludf.DUMMYFUNCTION("""COMPUTED_VALUE"""),"")</f>
        <v/>
      </c>
      <c r="U2593" s="139" t="str">
        <f>IFERROR(__xludf.DUMMYFUNCTION("""COMPUTED_VALUE"""),"")</f>
        <v/>
      </c>
      <c r="V2593" s="136" t="str">
        <f>IFERROR(__xludf.DUMMYFUNCTION("""COMPUTED_VALUE"""),"")</f>
        <v/>
      </c>
      <c r="W2593" s="106" t="str">
        <f>IFERROR(__xludf.DUMMYFUNCTION("""COMPUTED_VALUE"""),"")</f>
        <v/>
      </c>
      <c r="X2593" s="143" t="str">
        <f t="shared" si="2"/>
        <v/>
      </c>
      <c r="Y2593" s="139" t="str">
        <f>IFERROR(__xludf.DUMMYFUNCTION("""COMPUTED_VALUE"""),"")</f>
        <v/>
      </c>
      <c r="Z2593" s="141" t="str">
        <f>IFERROR(__xludf.DUMMYFUNCTION("""COMPUTED_VALUE"""),"")</f>
        <v/>
      </c>
    </row>
    <row r="2594">
      <c r="D2594" s="136" t="str">
        <f t="shared" si="3"/>
        <v/>
      </c>
      <c r="E2594" s="152"/>
      <c r="F2594" s="106" t="s">
        <v>133</v>
      </c>
      <c r="G2594" s="152"/>
      <c r="H2594" s="106" t="s">
        <v>133</v>
      </c>
      <c r="J2594" s="139" t="s">
        <v>133</v>
      </c>
      <c r="K2594" s="136" t="s">
        <v>133</v>
      </c>
      <c r="L2594" s="153"/>
      <c r="M2594" s="136" t="str">
        <f t="shared" si="1"/>
        <v/>
      </c>
      <c r="O2594" s="141" t="s">
        <v>133</v>
      </c>
      <c r="P2594" s="136" t="str">
        <f>IFERROR(__xludf.DUMMYFUNCTION("""COMPUTED_VALUE"""),"")</f>
        <v/>
      </c>
      <c r="Q2594" s="136" t="str">
        <f>IFERROR(__xludf.DUMMYFUNCTION("""COMPUTED_VALUE"""),"")</f>
        <v/>
      </c>
      <c r="R2594" s="106" t="str">
        <f>IFERROR(__xludf.DUMMYFUNCTION("""COMPUTED_VALUE"""),"")</f>
        <v/>
      </c>
      <c r="S2594" s="106" t="str">
        <f>IFERROR(__xludf.DUMMYFUNCTION("""COMPUTED_VALUE"""),"")</f>
        <v/>
      </c>
      <c r="T2594" s="139" t="str">
        <f>IFERROR(__xludf.DUMMYFUNCTION("""COMPUTED_VALUE"""),"")</f>
        <v/>
      </c>
      <c r="U2594" s="139" t="str">
        <f>IFERROR(__xludf.DUMMYFUNCTION("""COMPUTED_VALUE"""),"")</f>
        <v/>
      </c>
      <c r="V2594" s="136" t="str">
        <f>IFERROR(__xludf.DUMMYFUNCTION("""COMPUTED_VALUE"""),"")</f>
        <v/>
      </c>
      <c r="W2594" s="106" t="str">
        <f>IFERROR(__xludf.DUMMYFUNCTION("""COMPUTED_VALUE"""),"")</f>
        <v/>
      </c>
      <c r="X2594" s="143" t="str">
        <f t="shared" si="2"/>
        <v/>
      </c>
      <c r="Y2594" s="139" t="str">
        <f>IFERROR(__xludf.DUMMYFUNCTION("""COMPUTED_VALUE"""),"")</f>
        <v/>
      </c>
      <c r="Z2594" s="141" t="str">
        <f>IFERROR(__xludf.DUMMYFUNCTION("""COMPUTED_VALUE"""),"")</f>
        <v/>
      </c>
    </row>
    <row r="2595">
      <c r="D2595" s="136" t="str">
        <f t="shared" si="3"/>
        <v/>
      </c>
      <c r="E2595" s="152"/>
      <c r="F2595" s="106" t="s">
        <v>133</v>
      </c>
      <c r="G2595" s="152"/>
      <c r="H2595" s="106" t="s">
        <v>133</v>
      </c>
      <c r="J2595" s="139" t="s">
        <v>133</v>
      </c>
      <c r="K2595" s="136" t="s">
        <v>133</v>
      </c>
      <c r="L2595" s="153"/>
      <c r="M2595" s="136" t="str">
        <f t="shared" si="1"/>
        <v/>
      </c>
      <c r="O2595" s="141" t="s">
        <v>133</v>
      </c>
      <c r="P2595" s="136" t="str">
        <f>IFERROR(__xludf.DUMMYFUNCTION("""COMPUTED_VALUE"""),"")</f>
        <v/>
      </c>
      <c r="Q2595" s="136" t="str">
        <f>IFERROR(__xludf.DUMMYFUNCTION("""COMPUTED_VALUE"""),"")</f>
        <v/>
      </c>
      <c r="R2595" s="106" t="str">
        <f>IFERROR(__xludf.DUMMYFUNCTION("""COMPUTED_VALUE"""),"")</f>
        <v/>
      </c>
      <c r="S2595" s="106" t="str">
        <f>IFERROR(__xludf.DUMMYFUNCTION("""COMPUTED_VALUE"""),"")</f>
        <v/>
      </c>
      <c r="T2595" s="139" t="str">
        <f>IFERROR(__xludf.DUMMYFUNCTION("""COMPUTED_VALUE"""),"")</f>
        <v/>
      </c>
      <c r="U2595" s="139" t="str">
        <f>IFERROR(__xludf.DUMMYFUNCTION("""COMPUTED_VALUE"""),"")</f>
        <v/>
      </c>
      <c r="V2595" s="136" t="str">
        <f>IFERROR(__xludf.DUMMYFUNCTION("""COMPUTED_VALUE"""),"")</f>
        <v/>
      </c>
      <c r="W2595" s="106" t="str">
        <f>IFERROR(__xludf.DUMMYFUNCTION("""COMPUTED_VALUE"""),"")</f>
        <v/>
      </c>
      <c r="X2595" s="143" t="str">
        <f t="shared" si="2"/>
        <v/>
      </c>
      <c r="Y2595" s="139" t="str">
        <f>IFERROR(__xludf.DUMMYFUNCTION("""COMPUTED_VALUE"""),"")</f>
        <v/>
      </c>
      <c r="Z2595" s="141" t="str">
        <f>IFERROR(__xludf.DUMMYFUNCTION("""COMPUTED_VALUE"""),"")</f>
        <v/>
      </c>
    </row>
    <row r="2596">
      <c r="D2596" s="136" t="str">
        <f t="shared" si="3"/>
        <v/>
      </c>
      <c r="E2596" s="152"/>
      <c r="F2596" s="106" t="s">
        <v>133</v>
      </c>
      <c r="G2596" s="152"/>
      <c r="H2596" s="106" t="s">
        <v>133</v>
      </c>
      <c r="J2596" s="139" t="s">
        <v>133</v>
      </c>
      <c r="K2596" s="136" t="s">
        <v>133</v>
      </c>
      <c r="L2596" s="153"/>
      <c r="M2596" s="136" t="str">
        <f t="shared" si="1"/>
        <v/>
      </c>
      <c r="O2596" s="141" t="s">
        <v>133</v>
      </c>
      <c r="P2596" s="136" t="str">
        <f>IFERROR(__xludf.DUMMYFUNCTION("""COMPUTED_VALUE"""),"")</f>
        <v/>
      </c>
      <c r="Q2596" s="136" t="str">
        <f>IFERROR(__xludf.DUMMYFUNCTION("""COMPUTED_VALUE"""),"")</f>
        <v/>
      </c>
      <c r="R2596" s="106" t="str">
        <f>IFERROR(__xludf.DUMMYFUNCTION("""COMPUTED_VALUE"""),"")</f>
        <v/>
      </c>
      <c r="S2596" s="106" t="str">
        <f>IFERROR(__xludf.DUMMYFUNCTION("""COMPUTED_VALUE"""),"")</f>
        <v/>
      </c>
      <c r="T2596" s="139" t="str">
        <f>IFERROR(__xludf.DUMMYFUNCTION("""COMPUTED_VALUE"""),"")</f>
        <v/>
      </c>
      <c r="U2596" s="139" t="str">
        <f>IFERROR(__xludf.DUMMYFUNCTION("""COMPUTED_VALUE"""),"")</f>
        <v/>
      </c>
      <c r="V2596" s="136" t="str">
        <f>IFERROR(__xludf.DUMMYFUNCTION("""COMPUTED_VALUE"""),"")</f>
        <v/>
      </c>
      <c r="W2596" s="106" t="str">
        <f>IFERROR(__xludf.DUMMYFUNCTION("""COMPUTED_VALUE"""),"")</f>
        <v/>
      </c>
      <c r="X2596" s="143" t="str">
        <f t="shared" si="2"/>
        <v/>
      </c>
      <c r="Y2596" s="139" t="str">
        <f>IFERROR(__xludf.DUMMYFUNCTION("""COMPUTED_VALUE"""),"")</f>
        <v/>
      </c>
      <c r="Z2596" s="141" t="str">
        <f>IFERROR(__xludf.DUMMYFUNCTION("""COMPUTED_VALUE"""),"")</f>
        <v/>
      </c>
    </row>
    <row r="2597">
      <c r="D2597" s="136" t="str">
        <f t="shared" si="3"/>
        <v/>
      </c>
      <c r="E2597" s="152"/>
      <c r="F2597" s="106" t="s">
        <v>133</v>
      </c>
      <c r="G2597" s="152"/>
      <c r="H2597" s="106" t="s">
        <v>133</v>
      </c>
      <c r="J2597" s="139" t="s">
        <v>133</v>
      </c>
      <c r="K2597" s="136" t="s">
        <v>133</v>
      </c>
      <c r="L2597" s="153"/>
      <c r="M2597" s="136" t="str">
        <f t="shared" si="1"/>
        <v/>
      </c>
      <c r="O2597" s="141" t="s">
        <v>133</v>
      </c>
      <c r="P2597" s="136" t="str">
        <f>IFERROR(__xludf.DUMMYFUNCTION("""COMPUTED_VALUE"""),"")</f>
        <v/>
      </c>
      <c r="Q2597" s="136" t="str">
        <f>IFERROR(__xludf.DUMMYFUNCTION("""COMPUTED_VALUE"""),"")</f>
        <v/>
      </c>
      <c r="R2597" s="106" t="str">
        <f>IFERROR(__xludf.DUMMYFUNCTION("""COMPUTED_VALUE"""),"")</f>
        <v/>
      </c>
      <c r="S2597" s="106" t="str">
        <f>IFERROR(__xludf.DUMMYFUNCTION("""COMPUTED_VALUE"""),"")</f>
        <v/>
      </c>
      <c r="T2597" s="139" t="str">
        <f>IFERROR(__xludf.DUMMYFUNCTION("""COMPUTED_VALUE"""),"")</f>
        <v/>
      </c>
      <c r="U2597" s="139" t="str">
        <f>IFERROR(__xludf.DUMMYFUNCTION("""COMPUTED_VALUE"""),"")</f>
        <v/>
      </c>
      <c r="V2597" s="136" t="str">
        <f>IFERROR(__xludf.DUMMYFUNCTION("""COMPUTED_VALUE"""),"")</f>
        <v/>
      </c>
      <c r="W2597" s="106" t="str">
        <f>IFERROR(__xludf.DUMMYFUNCTION("""COMPUTED_VALUE"""),"")</f>
        <v/>
      </c>
      <c r="X2597" s="143" t="str">
        <f t="shared" si="2"/>
        <v/>
      </c>
      <c r="Y2597" s="139" t="str">
        <f>IFERROR(__xludf.DUMMYFUNCTION("""COMPUTED_VALUE"""),"")</f>
        <v/>
      </c>
      <c r="Z2597" s="141" t="str">
        <f>IFERROR(__xludf.DUMMYFUNCTION("""COMPUTED_VALUE"""),"")</f>
        <v/>
      </c>
    </row>
    <row r="2598">
      <c r="D2598" s="136" t="str">
        <f t="shared" si="3"/>
        <v/>
      </c>
      <c r="E2598" s="152"/>
      <c r="F2598" s="106" t="s">
        <v>133</v>
      </c>
      <c r="G2598" s="152"/>
      <c r="H2598" s="106" t="s">
        <v>133</v>
      </c>
      <c r="J2598" s="139" t="s">
        <v>133</v>
      </c>
      <c r="K2598" s="136" t="s">
        <v>133</v>
      </c>
      <c r="L2598" s="153"/>
      <c r="M2598" s="136" t="str">
        <f t="shared" si="1"/>
        <v/>
      </c>
      <c r="O2598" s="141" t="s">
        <v>133</v>
      </c>
      <c r="P2598" s="136" t="str">
        <f>IFERROR(__xludf.DUMMYFUNCTION("""COMPUTED_VALUE"""),"")</f>
        <v/>
      </c>
      <c r="Q2598" s="136" t="str">
        <f>IFERROR(__xludf.DUMMYFUNCTION("""COMPUTED_VALUE"""),"")</f>
        <v/>
      </c>
      <c r="R2598" s="106" t="str">
        <f>IFERROR(__xludf.DUMMYFUNCTION("""COMPUTED_VALUE"""),"")</f>
        <v/>
      </c>
      <c r="S2598" s="106" t="str">
        <f>IFERROR(__xludf.DUMMYFUNCTION("""COMPUTED_VALUE"""),"")</f>
        <v/>
      </c>
      <c r="T2598" s="139" t="str">
        <f>IFERROR(__xludf.DUMMYFUNCTION("""COMPUTED_VALUE"""),"")</f>
        <v/>
      </c>
      <c r="U2598" s="139" t="str">
        <f>IFERROR(__xludf.DUMMYFUNCTION("""COMPUTED_VALUE"""),"")</f>
        <v/>
      </c>
      <c r="V2598" s="136" t="str">
        <f>IFERROR(__xludf.DUMMYFUNCTION("""COMPUTED_VALUE"""),"")</f>
        <v/>
      </c>
      <c r="W2598" s="106" t="str">
        <f>IFERROR(__xludf.DUMMYFUNCTION("""COMPUTED_VALUE"""),"")</f>
        <v/>
      </c>
      <c r="X2598" s="143" t="str">
        <f t="shared" si="2"/>
        <v/>
      </c>
      <c r="Y2598" s="139" t="str">
        <f>IFERROR(__xludf.DUMMYFUNCTION("""COMPUTED_VALUE"""),"")</f>
        <v/>
      </c>
      <c r="Z2598" s="141" t="str">
        <f>IFERROR(__xludf.DUMMYFUNCTION("""COMPUTED_VALUE"""),"")</f>
        <v/>
      </c>
    </row>
    <row r="2599">
      <c r="D2599" s="136" t="str">
        <f t="shared" si="3"/>
        <v/>
      </c>
      <c r="E2599" s="152"/>
      <c r="F2599" s="106" t="s">
        <v>133</v>
      </c>
      <c r="G2599" s="152"/>
      <c r="H2599" s="106" t="s">
        <v>133</v>
      </c>
      <c r="J2599" s="139" t="s">
        <v>133</v>
      </c>
      <c r="K2599" s="136" t="s">
        <v>133</v>
      </c>
      <c r="L2599" s="153"/>
      <c r="M2599" s="136" t="str">
        <f t="shared" si="1"/>
        <v/>
      </c>
      <c r="O2599" s="141" t="s">
        <v>133</v>
      </c>
      <c r="P2599" s="136" t="str">
        <f>IFERROR(__xludf.DUMMYFUNCTION("""COMPUTED_VALUE"""),"")</f>
        <v/>
      </c>
      <c r="Q2599" s="136" t="str">
        <f>IFERROR(__xludf.DUMMYFUNCTION("""COMPUTED_VALUE"""),"")</f>
        <v/>
      </c>
      <c r="R2599" s="106" t="str">
        <f>IFERROR(__xludf.DUMMYFUNCTION("""COMPUTED_VALUE"""),"")</f>
        <v/>
      </c>
      <c r="S2599" s="106" t="str">
        <f>IFERROR(__xludf.DUMMYFUNCTION("""COMPUTED_VALUE"""),"")</f>
        <v/>
      </c>
      <c r="T2599" s="139" t="str">
        <f>IFERROR(__xludf.DUMMYFUNCTION("""COMPUTED_VALUE"""),"")</f>
        <v/>
      </c>
      <c r="U2599" s="139" t="str">
        <f>IFERROR(__xludf.DUMMYFUNCTION("""COMPUTED_VALUE"""),"")</f>
        <v/>
      </c>
      <c r="V2599" s="136" t="str">
        <f>IFERROR(__xludf.DUMMYFUNCTION("""COMPUTED_VALUE"""),"")</f>
        <v/>
      </c>
      <c r="W2599" s="106" t="str">
        <f>IFERROR(__xludf.DUMMYFUNCTION("""COMPUTED_VALUE"""),"")</f>
        <v/>
      </c>
      <c r="X2599" s="143" t="str">
        <f t="shared" si="2"/>
        <v/>
      </c>
      <c r="Y2599" s="139" t="str">
        <f>IFERROR(__xludf.DUMMYFUNCTION("""COMPUTED_VALUE"""),"")</f>
        <v/>
      </c>
      <c r="Z2599" s="141" t="str">
        <f>IFERROR(__xludf.DUMMYFUNCTION("""COMPUTED_VALUE"""),"")</f>
        <v/>
      </c>
    </row>
    <row r="2600">
      <c r="D2600" s="136" t="str">
        <f t="shared" si="3"/>
        <v/>
      </c>
      <c r="E2600" s="152"/>
      <c r="F2600" s="106" t="s">
        <v>133</v>
      </c>
      <c r="G2600" s="152"/>
      <c r="H2600" s="106" t="s">
        <v>133</v>
      </c>
      <c r="J2600" s="139" t="s">
        <v>133</v>
      </c>
      <c r="K2600" s="136" t="s">
        <v>133</v>
      </c>
      <c r="L2600" s="153"/>
      <c r="M2600" s="136" t="str">
        <f t="shared" si="1"/>
        <v/>
      </c>
      <c r="O2600" s="141" t="s">
        <v>133</v>
      </c>
      <c r="P2600" s="136" t="str">
        <f>IFERROR(__xludf.DUMMYFUNCTION("""COMPUTED_VALUE"""),"")</f>
        <v/>
      </c>
      <c r="Q2600" s="136" t="str">
        <f>IFERROR(__xludf.DUMMYFUNCTION("""COMPUTED_VALUE"""),"")</f>
        <v/>
      </c>
      <c r="R2600" s="106" t="str">
        <f>IFERROR(__xludf.DUMMYFUNCTION("""COMPUTED_VALUE"""),"")</f>
        <v/>
      </c>
      <c r="S2600" s="106" t="str">
        <f>IFERROR(__xludf.DUMMYFUNCTION("""COMPUTED_VALUE"""),"")</f>
        <v/>
      </c>
      <c r="T2600" s="139" t="str">
        <f>IFERROR(__xludf.DUMMYFUNCTION("""COMPUTED_VALUE"""),"")</f>
        <v/>
      </c>
      <c r="U2600" s="139" t="str">
        <f>IFERROR(__xludf.DUMMYFUNCTION("""COMPUTED_VALUE"""),"")</f>
        <v/>
      </c>
      <c r="V2600" s="136" t="str">
        <f>IFERROR(__xludf.DUMMYFUNCTION("""COMPUTED_VALUE"""),"")</f>
        <v/>
      </c>
      <c r="W2600" s="106" t="str">
        <f>IFERROR(__xludf.DUMMYFUNCTION("""COMPUTED_VALUE"""),"")</f>
        <v/>
      </c>
      <c r="X2600" s="143" t="str">
        <f t="shared" si="2"/>
        <v/>
      </c>
      <c r="Y2600" s="139" t="str">
        <f>IFERROR(__xludf.DUMMYFUNCTION("""COMPUTED_VALUE"""),"")</f>
        <v/>
      </c>
      <c r="Z2600" s="141" t="str">
        <f>IFERROR(__xludf.DUMMYFUNCTION("""COMPUTED_VALUE"""),"")</f>
        <v/>
      </c>
    </row>
    <row r="2601">
      <c r="D2601" s="136" t="str">
        <f t="shared" si="3"/>
        <v/>
      </c>
      <c r="E2601" s="152"/>
      <c r="F2601" s="106" t="s">
        <v>133</v>
      </c>
      <c r="G2601" s="152"/>
      <c r="H2601" s="106" t="s">
        <v>133</v>
      </c>
      <c r="J2601" s="139" t="s">
        <v>133</v>
      </c>
      <c r="K2601" s="136" t="s">
        <v>133</v>
      </c>
      <c r="L2601" s="153"/>
      <c r="M2601" s="136" t="str">
        <f t="shared" si="1"/>
        <v/>
      </c>
      <c r="O2601" s="141" t="s">
        <v>133</v>
      </c>
      <c r="P2601" s="136" t="str">
        <f>IFERROR(__xludf.DUMMYFUNCTION("""COMPUTED_VALUE"""),"")</f>
        <v/>
      </c>
      <c r="Q2601" s="136" t="str">
        <f>IFERROR(__xludf.DUMMYFUNCTION("""COMPUTED_VALUE"""),"")</f>
        <v/>
      </c>
      <c r="R2601" s="106" t="str">
        <f>IFERROR(__xludf.DUMMYFUNCTION("""COMPUTED_VALUE"""),"")</f>
        <v/>
      </c>
      <c r="S2601" s="106" t="str">
        <f>IFERROR(__xludf.DUMMYFUNCTION("""COMPUTED_VALUE"""),"")</f>
        <v/>
      </c>
      <c r="T2601" s="139" t="str">
        <f>IFERROR(__xludf.DUMMYFUNCTION("""COMPUTED_VALUE"""),"")</f>
        <v/>
      </c>
      <c r="U2601" s="139" t="str">
        <f>IFERROR(__xludf.DUMMYFUNCTION("""COMPUTED_VALUE"""),"")</f>
        <v/>
      </c>
      <c r="V2601" s="136" t="str">
        <f>IFERROR(__xludf.DUMMYFUNCTION("""COMPUTED_VALUE"""),"")</f>
        <v/>
      </c>
      <c r="W2601" s="106" t="str">
        <f>IFERROR(__xludf.DUMMYFUNCTION("""COMPUTED_VALUE"""),"")</f>
        <v/>
      </c>
      <c r="X2601" s="143" t="str">
        <f t="shared" si="2"/>
        <v/>
      </c>
      <c r="Y2601" s="139" t="str">
        <f>IFERROR(__xludf.DUMMYFUNCTION("""COMPUTED_VALUE"""),"")</f>
        <v/>
      </c>
      <c r="Z2601" s="141" t="str">
        <f>IFERROR(__xludf.DUMMYFUNCTION("""COMPUTED_VALUE"""),"")</f>
        <v/>
      </c>
    </row>
    <row r="2602">
      <c r="D2602" s="136" t="str">
        <f t="shared" si="3"/>
        <v/>
      </c>
      <c r="E2602" s="152"/>
      <c r="F2602" s="106" t="s">
        <v>133</v>
      </c>
      <c r="G2602" s="152"/>
      <c r="H2602" s="106" t="s">
        <v>133</v>
      </c>
      <c r="J2602" s="139" t="s">
        <v>133</v>
      </c>
      <c r="K2602" s="136" t="s">
        <v>133</v>
      </c>
      <c r="L2602" s="153"/>
      <c r="M2602" s="136" t="str">
        <f t="shared" si="1"/>
        <v/>
      </c>
      <c r="O2602" s="141" t="s">
        <v>133</v>
      </c>
      <c r="P2602" s="136" t="str">
        <f>IFERROR(__xludf.DUMMYFUNCTION("""COMPUTED_VALUE"""),"")</f>
        <v/>
      </c>
      <c r="Q2602" s="136" t="str">
        <f>IFERROR(__xludf.DUMMYFUNCTION("""COMPUTED_VALUE"""),"")</f>
        <v/>
      </c>
      <c r="R2602" s="106" t="str">
        <f>IFERROR(__xludf.DUMMYFUNCTION("""COMPUTED_VALUE"""),"")</f>
        <v/>
      </c>
      <c r="S2602" s="106" t="str">
        <f>IFERROR(__xludf.DUMMYFUNCTION("""COMPUTED_VALUE"""),"")</f>
        <v/>
      </c>
      <c r="T2602" s="139" t="str">
        <f>IFERROR(__xludf.DUMMYFUNCTION("""COMPUTED_VALUE"""),"")</f>
        <v/>
      </c>
      <c r="U2602" s="139" t="str">
        <f>IFERROR(__xludf.DUMMYFUNCTION("""COMPUTED_VALUE"""),"")</f>
        <v/>
      </c>
      <c r="V2602" s="136" t="str">
        <f>IFERROR(__xludf.DUMMYFUNCTION("""COMPUTED_VALUE"""),"")</f>
        <v/>
      </c>
      <c r="W2602" s="106" t="str">
        <f>IFERROR(__xludf.DUMMYFUNCTION("""COMPUTED_VALUE"""),"")</f>
        <v/>
      </c>
      <c r="X2602" s="143" t="str">
        <f t="shared" si="2"/>
        <v/>
      </c>
      <c r="Y2602" s="139" t="str">
        <f>IFERROR(__xludf.DUMMYFUNCTION("""COMPUTED_VALUE"""),"")</f>
        <v/>
      </c>
      <c r="Z2602" s="141" t="str">
        <f>IFERROR(__xludf.DUMMYFUNCTION("""COMPUTED_VALUE"""),"")</f>
        <v/>
      </c>
    </row>
    <row r="2603">
      <c r="D2603" s="136" t="str">
        <f t="shared" si="3"/>
        <v/>
      </c>
      <c r="E2603" s="152"/>
      <c r="F2603" s="106" t="s">
        <v>133</v>
      </c>
      <c r="G2603" s="152"/>
      <c r="H2603" s="106" t="s">
        <v>133</v>
      </c>
      <c r="J2603" s="139" t="s">
        <v>133</v>
      </c>
      <c r="K2603" s="136" t="s">
        <v>133</v>
      </c>
      <c r="L2603" s="153"/>
      <c r="M2603" s="136" t="str">
        <f t="shared" si="1"/>
        <v/>
      </c>
      <c r="O2603" s="141" t="s">
        <v>133</v>
      </c>
      <c r="P2603" s="136" t="str">
        <f>IFERROR(__xludf.DUMMYFUNCTION("""COMPUTED_VALUE"""),"")</f>
        <v/>
      </c>
      <c r="Q2603" s="136" t="str">
        <f>IFERROR(__xludf.DUMMYFUNCTION("""COMPUTED_VALUE"""),"")</f>
        <v/>
      </c>
      <c r="R2603" s="106" t="str">
        <f>IFERROR(__xludf.DUMMYFUNCTION("""COMPUTED_VALUE"""),"")</f>
        <v/>
      </c>
      <c r="S2603" s="106" t="str">
        <f>IFERROR(__xludf.DUMMYFUNCTION("""COMPUTED_VALUE"""),"")</f>
        <v/>
      </c>
      <c r="T2603" s="139" t="str">
        <f>IFERROR(__xludf.DUMMYFUNCTION("""COMPUTED_VALUE"""),"")</f>
        <v/>
      </c>
      <c r="U2603" s="139" t="str">
        <f>IFERROR(__xludf.DUMMYFUNCTION("""COMPUTED_VALUE"""),"")</f>
        <v/>
      </c>
      <c r="V2603" s="136" t="str">
        <f>IFERROR(__xludf.DUMMYFUNCTION("""COMPUTED_VALUE"""),"")</f>
        <v/>
      </c>
      <c r="W2603" s="106" t="str">
        <f>IFERROR(__xludf.DUMMYFUNCTION("""COMPUTED_VALUE"""),"")</f>
        <v/>
      </c>
      <c r="X2603" s="143" t="str">
        <f t="shared" si="2"/>
        <v/>
      </c>
      <c r="Y2603" s="139" t="str">
        <f>IFERROR(__xludf.DUMMYFUNCTION("""COMPUTED_VALUE"""),"")</f>
        <v/>
      </c>
      <c r="Z2603" s="141" t="str">
        <f>IFERROR(__xludf.DUMMYFUNCTION("""COMPUTED_VALUE"""),"")</f>
        <v/>
      </c>
    </row>
    <row r="2604">
      <c r="D2604" s="136" t="str">
        <f t="shared" si="3"/>
        <v/>
      </c>
      <c r="E2604" s="152"/>
      <c r="F2604" s="106" t="s">
        <v>133</v>
      </c>
      <c r="G2604" s="152"/>
      <c r="H2604" s="106" t="s">
        <v>133</v>
      </c>
      <c r="J2604" s="139" t="s">
        <v>133</v>
      </c>
      <c r="K2604" s="136" t="s">
        <v>133</v>
      </c>
      <c r="L2604" s="153"/>
      <c r="M2604" s="136" t="str">
        <f t="shared" si="1"/>
        <v/>
      </c>
      <c r="O2604" s="141" t="s">
        <v>133</v>
      </c>
      <c r="P2604" s="136" t="str">
        <f>IFERROR(__xludf.DUMMYFUNCTION("""COMPUTED_VALUE"""),"")</f>
        <v/>
      </c>
      <c r="Q2604" s="136" t="str">
        <f>IFERROR(__xludf.DUMMYFUNCTION("""COMPUTED_VALUE"""),"")</f>
        <v/>
      </c>
      <c r="R2604" s="106" t="str">
        <f>IFERROR(__xludf.DUMMYFUNCTION("""COMPUTED_VALUE"""),"")</f>
        <v/>
      </c>
      <c r="S2604" s="106" t="str">
        <f>IFERROR(__xludf.DUMMYFUNCTION("""COMPUTED_VALUE"""),"")</f>
        <v/>
      </c>
      <c r="T2604" s="139" t="str">
        <f>IFERROR(__xludf.DUMMYFUNCTION("""COMPUTED_VALUE"""),"")</f>
        <v/>
      </c>
      <c r="U2604" s="139" t="str">
        <f>IFERROR(__xludf.DUMMYFUNCTION("""COMPUTED_VALUE"""),"")</f>
        <v/>
      </c>
      <c r="V2604" s="136" t="str">
        <f>IFERROR(__xludf.DUMMYFUNCTION("""COMPUTED_VALUE"""),"")</f>
        <v/>
      </c>
      <c r="W2604" s="106" t="str">
        <f>IFERROR(__xludf.DUMMYFUNCTION("""COMPUTED_VALUE"""),"")</f>
        <v/>
      </c>
      <c r="X2604" s="143" t="str">
        <f t="shared" si="2"/>
        <v/>
      </c>
      <c r="Y2604" s="139" t="str">
        <f>IFERROR(__xludf.DUMMYFUNCTION("""COMPUTED_VALUE"""),"")</f>
        <v/>
      </c>
      <c r="Z2604" s="141" t="str">
        <f>IFERROR(__xludf.DUMMYFUNCTION("""COMPUTED_VALUE"""),"")</f>
        <v/>
      </c>
    </row>
    <row r="2605">
      <c r="D2605" s="136" t="str">
        <f t="shared" si="3"/>
        <v/>
      </c>
      <c r="E2605" s="152"/>
      <c r="F2605" s="106" t="s">
        <v>133</v>
      </c>
      <c r="G2605" s="152"/>
      <c r="H2605" s="106" t="s">
        <v>133</v>
      </c>
      <c r="J2605" s="139" t="s">
        <v>133</v>
      </c>
      <c r="K2605" s="136" t="s">
        <v>133</v>
      </c>
      <c r="L2605" s="153"/>
      <c r="M2605" s="136" t="str">
        <f t="shared" si="1"/>
        <v/>
      </c>
      <c r="O2605" s="141" t="s">
        <v>133</v>
      </c>
      <c r="P2605" s="136" t="str">
        <f>IFERROR(__xludf.DUMMYFUNCTION("""COMPUTED_VALUE"""),"")</f>
        <v/>
      </c>
      <c r="Q2605" s="136" t="str">
        <f>IFERROR(__xludf.DUMMYFUNCTION("""COMPUTED_VALUE"""),"")</f>
        <v/>
      </c>
      <c r="R2605" s="106" t="str">
        <f>IFERROR(__xludf.DUMMYFUNCTION("""COMPUTED_VALUE"""),"")</f>
        <v/>
      </c>
      <c r="S2605" s="106" t="str">
        <f>IFERROR(__xludf.DUMMYFUNCTION("""COMPUTED_VALUE"""),"")</f>
        <v/>
      </c>
      <c r="T2605" s="139" t="str">
        <f>IFERROR(__xludf.DUMMYFUNCTION("""COMPUTED_VALUE"""),"")</f>
        <v/>
      </c>
      <c r="U2605" s="139" t="str">
        <f>IFERROR(__xludf.DUMMYFUNCTION("""COMPUTED_VALUE"""),"")</f>
        <v/>
      </c>
      <c r="V2605" s="136" t="str">
        <f>IFERROR(__xludf.DUMMYFUNCTION("""COMPUTED_VALUE"""),"")</f>
        <v/>
      </c>
      <c r="W2605" s="106" t="str">
        <f>IFERROR(__xludf.DUMMYFUNCTION("""COMPUTED_VALUE"""),"")</f>
        <v/>
      </c>
      <c r="X2605" s="143" t="str">
        <f t="shared" si="2"/>
        <v/>
      </c>
      <c r="Y2605" s="139" t="str">
        <f>IFERROR(__xludf.DUMMYFUNCTION("""COMPUTED_VALUE"""),"")</f>
        <v/>
      </c>
      <c r="Z2605" s="141" t="str">
        <f>IFERROR(__xludf.DUMMYFUNCTION("""COMPUTED_VALUE"""),"")</f>
        <v/>
      </c>
    </row>
    <row r="2606">
      <c r="D2606" s="136" t="str">
        <f t="shared" si="3"/>
        <v/>
      </c>
      <c r="E2606" s="152"/>
      <c r="F2606" s="106" t="s">
        <v>133</v>
      </c>
      <c r="G2606" s="152"/>
      <c r="H2606" s="106" t="s">
        <v>133</v>
      </c>
      <c r="J2606" s="139" t="s">
        <v>133</v>
      </c>
      <c r="K2606" s="136" t="s">
        <v>133</v>
      </c>
      <c r="L2606" s="153"/>
      <c r="M2606" s="136" t="str">
        <f t="shared" si="1"/>
        <v/>
      </c>
      <c r="O2606" s="141" t="s">
        <v>133</v>
      </c>
      <c r="P2606" s="136" t="str">
        <f>IFERROR(__xludf.DUMMYFUNCTION("""COMPUTED_VALUE"""),"")</f>
        <v/>
      </c>
      <c r="Q2606" s="136" t="str">
        <f>IFERROR(__xludf.DUMMYFUNCTION("""COMPUTED_VALUE"""),"")</f>
        <v/>
      </c>
      <c r="R2606" s="106" t="str">
        <f>IFERROR(__xludf.DUMMYFUNCTION("""COMPUTED_VALUE"""),"")</f>
        <v/>
      </c>
      <c r="S2606" s="106" t="str">
        <f>IFERROR(__xludf.DUMMYFUNCTION("""COMPUTED_VALUE"""),"")</f>
        <v/>
      </c>
      <c r="T2606" s="139" t="str">
        <f>IFERROR(__xludf.DUMMYFUNCTION("""COMPUTED_VALUE"""),"")</f>
        <v/>
      </c>
      <c r="U2606" s="139" t="str">
        <f>IFERROR(__xludf.DUMMYFUNCTION("""COMPUTED_VALUE"""),"")</f>
        <v/>
      </c>
      <c r="V2606" s="136" t="str">
        <f>IFERROR(__xludf.DUMMYFUNCTION("""COMPUTED_VALUE"""),"")</f>
        <v/>
      </c>
      <c r="W2606" s="106" t="str">
        <f>IFERROR(__xludf.DUMMYFUNCTION("""COMPUTED_VALUE"""),"")</f>
        <v/>
      </c>
      <c r="X2606" s="143" t="str">
        <f t="shared" si="2"/>
        <v/>
      </c>
      <c r="Y2606" s="139" t="str">
        <f>IFERROR(__xludf.DUMMYFUNCTION("""COMPUTED_VALUE"""),"")</f>
        <v/>
      </c>
      <c r="Z2606" s="141" t="str">
        <f>IFERROR(__xludf.DUMMYFUNCTION("""COMPUTED_VALUE"""),"")</f>
        <v/>
      </c>
    </row>
    <row r="2607">
      <c r="D2607" s="136" t="str">
        <f t="shared" si="3"/>
        <v/>
      </c>
      <c r="E2607" s="152"/>
      <c r="F2607" s="106" t="s">
        <v>133</v>
      </c>
      <c r="G2607" s="152"/>
      <c r="H2607" s="106" t="s">
        <v>133</v>
      </c>
      <c r="J2607" s="139" t="s">
        <v>133</v>
      </c>
      <c r="K2607" s="136" t="s">
        <v>133</v>
      </c>
      <c r="L2607" s="153"/>
      <c r="M2607" s="136" t="str">
        <f t="shared" si="1"/>
        <v/>
      </c>
      <c r="O2607" s="141" t="s">
        <v>133</v>
      </c>
      <c r="P2607" s="136" t="str">
        <f>IFERROR(__xludf.DUMMYFUNCTION("""COMPUTED_VALUE"""),"")</f>
        <v/>
      </c>
      <c r="Q2607" s="136" t="str">
        <f>IFERROR(__xludf.DUMMYFUNCTION("""COMPUTED_VALUE"""),"")</f>
        <v/>
      </c>
      <c r="R2607" s="106" t="str">
        <f>IFERROR(__xludf.DUMMYFUNCTION("""COMPUTED_VALUE"""),"")</f>
        <v/>
      </c>
      <c r="S2607" s="106" t="str">
        <f>IFERROR(__xludf.DUMMYFUNCTION("""COMPUTED_VALUE"""),"")</f>
        <v/>
      </c>
      <c r="T2607" s="139" t="str">
        <f>IFERROR(__xludf.DUMMYFUNCTION("""COMPUTED_VALUE"""),"")</f>
        <v/>
      </c>
      <c r="U2607" s="139" t="str">
        <f>IFERROR(__xludf.DUMMYFUNCTION("""COMPUTED_VALUE"""),"")</f>
        <v/>
      </c>
      <c r="V2607" s="136" t="str">
        <f>IFERROR(__xludf.DUMMYFUNCTION("""COMPUTED_VALUE"""),"")</f>
        <v/>
      </c>
      <c r="W2607" s="106" t="str">
        <f>IFERROR(__xludf.DUMMYFUNCTION("""COMPUTED_VALUE"""),"")</f>
        <v/>
      </c>
      <c r="X2607" s="143" t="str">
        <f t="shared" si="2"/>
        <v/>
      </c>
      <c r="Y2607" s="139" t="str">
        <f>IFERROR(__xludf.DUMMYFUNCTION("""COMPUTED_VALUE"""),"")</f>
        <v/>
      </c>
      <c r="Z2607" s="141" t="str">
        <f>IFERROR(__xludf.DUMMYFUNCTION("""COMPUTED_VALUE"""),"")</f>
        <v/>
      </c>
    </row>
    <row r="2608">
      <c r="D2608" s="136" t="str">
        <f t="shared" si="3"/>
        <v/>
      </c>
      <c r="E2608" s="152"/>
      <c r="F2608" s="106" t="s">
        <v>133</v>
      </c>
      <c r="G2608" s="152"/>
      <c r="H2608" s="106" t="s">
        <v>133</v>
      </c>
      <c r="J2608" s="139" t="s">
        <v>133</v>
      </c>
      <c r="K2608" s="136" t="s">
        <v>133</v>
      </c>
      <c r="L2608" s="153"/>
      <c r="M2608" s="136" t="str">
        <f t="shared" si="1"/>
        <v/>
      </c>
      <c r="O2608" s="141" t="s">
        <v>133</v>
      </c>
      <c r="P2608" s="136" t="str">
        <f>IFERROR(__xludf.DUMMYFUNCTION("""COMPUTED_VALUE"""),"")</f>
        <v/>
      </c>
      <c r="Q2608" s="136" t="str">
        <f>IFERROR(__xludf.DUMMYFUNCTION("""COMPUTED_VALUE"""),"")</f>
        <v/>
      </c>
      <c r="R2608" s="106" t="str">
        <f>IFERROR(__xludf.DUMMYFUNCTION("""COMPUTED_VALUE"""),"")</f>
        <v/>
      </c>
      <c r="S2608" s="106" t="str">
        <f>IFERROR(__xludf.DUMMYFUNCTION("""COMPUTED_VALUE"""),"")</f>
        <v/>
      </c>
      <c r="T2608" s="139" t="str">
        <f>IFERROR(__xludf.DUMMYFUNCTION("""COMPUTED_VALUE"""),"")</f>
        <v/>
      </c>
      <c r="U2608" s="139" t="str">
        <f>IFERROR(__xludf.DUMMYFUNCTION("""COMPUTED_VALUE"""),"")</f>
        <v/>
      </c>
      <c r="V2608" s="136" t="str">
        <f>IFERROR(__xludf.DUMMYFUNCTION("""COMPUTED_VALUE"""),"")</f>
        <v/>
      </c>
      <c r="W2608" s="106" t="str">
        <f>IFERROR(__xludf.DUMMYFUNCTION("""COMPUTED_VALUE"""),"")</f>
        <v/>
      </c>
      <c r="X2608" s="143" t="str">
        <f t="shared" si="2"/>
        <v/>
      </c>
      <c r="Y2608" s="139" t="str">
        <f>IFERROR(__xludf.DUMMYFUNCTION("""COMPUTED_VALUE"""),"")</f>
        <v/>
      </c>
      <c r="Z2608" s="141" t="str">
        <f>IFERROR(__xludf.DUMMYFUNCTION("""COMPUTED_VALUE"""),"")</f>
        <v/>
      </c>
    </row>
    <row r="2609">
      <c r="D2609" s="136" t="str">
        <f t="shared" si="3"/>
        <v/>
      </c>
      <c r="E2609" s="152"/>
      <c r="F2609" s="106" t="s">
        <v>133</v>
      </c>
      <c r="G2609" s="152"/>
      <c r="H2609" s="106" t="s">
        <v>133</v>
      </c>
      <c r="J2609" s="139" t="s">
        <v>133</v>
      </c>
      <c r="K2609" s="136" t="s">
        <v>133</v>
      </c>
      <c r="L2609" s="153"/>
      <c r="M2609" s="136" t="str">
        <f t="shared" si="1"/>
        <v/>
      </c>
      <c r="O2609" s="141" t="s">
        <v>133</v>
      </c>
      <c r="P2609" s="136" t="str">
        <f>IFERROR(__xludf.DUMMYFUNCTION("""COMPUTED_VALUE"""),"")</f>
        <v/>
      </c>
      <c r="Q2609" s="136" t="str">
        <f>IFERROR(__xludf.DUMMYFUNCTION("""COMPUTED_VALUE"""),"")</f>
        <v/>
      </c>
      <c r="R2609" s="106" t="str">
        <f>IFERROR(__xludf.DUMMYFUNCTION("""COMPUTED_VALUE"""),"")</f>
        <v/>
      </c>
      <c r="S2609" s="106" t="str">
        <f>IFERROR(__xludf.DUMMYFUNCTION("""COMPUTED_VALUE"""),"")</f>
        <v/>
      </c>
      <c r="T2609" s="139" t="str">
        <f>IFERROR(__xludf.DUMMYFUNCTION("""COMPUTED_VALUE"""),"")</f>
        <v/>
      </c>
      <c r="U2609" s="139" t="str">
        <f>IFERROR(__xludf.DUMMYFUNCTION("""COMPUTED_VALUE"""),"")</f>
        <v/>
      </c>
      <c r="V2609" s="136" t="str">
        <f>IFERROR(__xludf.DUMMYFUNCTION("""COMPUTED_VALUE"""),"")</f>
        <v/>
      </c>
      <c r="W2609" s="106" t="str">
        <f>IFERROR(__xludf.DUMMYFUNCTION("""COMPUTED_VALUE"""),"")</f>
        <v/>
      </c>
      <c r="X2609" s="143" t="str">
        <f t="shared" si="2"/>
        <v/>
      </c>
      <c r="Y2609" s="139" t="str">
        <f>IFERROR(__xludf.DUMMYFUNCTION("""COMPUTED_VALUE"""),"")</f>
        <v/>
      </c>
      <c r="Z2609" s="141" t="str">
        <f>IFERROR(__xludf.DUMMYFUNCTION("""COMPUTED_VALUE"""),"")</f>
        <v/>
      </c>
    </row>
    <row r="2610">
      <c r="D2610" s="136" t="str">
        <f t="shared" si="3"/>
        <v/>
      </c>
      <c r="E2610" s="152"/>
      <c r="F2610" s="106" t="s">
        <v>133</v>
      </c>
      <c r="G2610" s="152"/>
      <c r="H2610" s="106" t="s">
        <v>133</v>
      </c>
      <c r="J2610" s="139" t="s">
        <v>133</v>
      </c>
      <c r="K2610" s="136" t="s">
        <v>133</v>
      </c>
      <c r="L2610" s="153"/>
      <c r="M2610" s="136" t="str">
        <f t="shared" si="1"/>
        <v/>
      </c>
      <c r="O2610" s="141" t="s">
        <v>133</v>
      </c>
      <c r="P2610" s="136" t="str">
        <f>IFERROR(__xludf.DUMMYFUNCTION("""COMPUTED_VALUE"""),"")</f>
        <v/>
      </c>
      <c r="Q2610" s="136" t="str">
        <f>IFERROR(__xludf.DUMMYFUNCTION("""COMPUTED_VALUE"""),"")</f>
        <v/>
      </c>
      <c r="R2610" s="106" t="str">
        <f>IFERROR(__xludf.DUMMYFUNCTION("""COMPUTED_VALUE"""),"")</f>
        <v/>
      </c>
      <c r="S2610" s="106" t="str">
        <f>IFERROR(__xludf.DUMMYFUNCTION("""COMPUTED_VALUE"""),"")</f>
        <v/>
      </c>
      <c r="T2610" s="139" t="str">
        <f>IFERROR(__xludf.DUMMYFUNCTION("""COMPUTED_VALUE"""),"")</f>
        <v/>
      </c>
      <c r="U2610" s="139" t="str">
        <f>IFERROR(__xludf.DUMMYFUNCTION("""COMPUTED_VALUE"""),"")</f>
        <v/>
      </c>
      <c r="V2610" s="136" t="str">
        <f>IFERROR(__xludf.DUMMYFUNCTION("""COMPUTED_VALUE"""),"")</f>
        <v/>
      </c>
      <c r="W2610" s="106" t="str">
        <f>IFERROR(__xludf.DUMMYFUNCTION("""COMPUTED_VALUE"""),"")</f>
        <v/>
      </c>
      <c r="X2610" s="143" t="str">
        <f t="shared" si="2"/>
        <v/>
      </c>
      <c r="Y2610" s="139" t="str">
        <f>IFERROR(__xludf.DUMMYFUNCTION("""COMPUTED_VALUE"""),"")</f>
        <v/>
      </c>
      <c r="Z2610" s="141" t="str">
        <f>IFERROR(__xludf.DUMMYFUNCTION("""COMPUTED_VALUE"""),"")</f>
        <v/>
      </c>
    </row>
    <row r="2611">
      <c r="D2611" s="136" t="str">
        <f t="shared" si="3"/>
        <v/>
      </c>
      <c r="E2611" s="152"/>
      <c r="F2611" s="106" t="s">
        <v>133</v>
      </c>
      <c r="G2611" s="152"/>
      <c r="H2611" s="106" t="s">
        <v>133</v>
      </c>
      <c r="J2611" s="139" t="s">
        <v>133</v>
      </c>
      <c r="K2611" s="136" t="s">
        <v>133</v>
      </c>
      <c r="L2611" s="153"/>
      <c r="M2611" s="136" t="str">
        <f t="shared" si="1"/>
        <v/>
      </c>
      <c r="O2611" s="141" t="s">
        <v>133</v>
      </c>
      <c r="P2611" s="136" t="str">
        <f>IFERROR(__xludf.DUMMYFUNCTION("""COMPUTED_VALUE"""),"")</f>
        <v/>
      </c>
      <c r="Q2611" s="136" t="str">
        <f>IFERROR(__xludf.DUMMYFUNCTION("""COMPUTED_VALUE"""),"")</f>
        <v/>
      </c>
      <c r="R2611" s="106" t="str">
        <f>IFERROR(__xludf.DUMMYFUNCTION("""COMPUTED_VALUE"""),"")</f>
        <v/>
      </c>
      <c r="S2611" s="106" t="str">
        <f>IFERROR(__xludf.DUMMYFUNCTION("""COMPUTED_VALUE"""),"")</f>
        <v/>
      </c>
      <c r="T2611" s="139" t="str">
        <f>IFERROR(__xludf.DUMMYFUNCTION("""COMPUTED_VALUE"""),"")</f>
        <v/>
      </c>
      <c r="U2611" s="139" t="str">
        <f>IFERROR(__xludf.DUMMYFUNCTION("""COMPUTED_VALUE"""),"")</f>
        <v/>
      </c>
      <c r="V2611" s="136" t="str">
        <f>IFERROR(__xludf.DUMMYFUNCTION("""COMPUTED_VALUE"""),"")</f>
        <v/>
      </c>
      <c r="W2611" s="106" t="str">
        <f>IFERROR(__xludf.DUMMYFUNCTION("""COMPUTED_VALUE"""),"")</f>
        <v/>
      </c>
      <c r="X2611" s="143" t="str">
        <f t="shared" si="2"/>
        <v/>
      </c>
      <c r="Y2611" s="139" t="str">
        <f>IFERROR(__xludf.DUMMYFUNCTION("""COMPUTED_VALUE"""),"")</f>
        <v/>
      </c>
      <c r="Z2611" s="141" t="str">
        <f>IFERROR(__xludf.DUMMYFUNCTION("""COMPUTED_VALUE"""),"")</f>
        <v/>
      </c>
    </row>
    <row r="2612">
      <c r="D2612" s="136" t="str">
        <f t="shared" si="3"/>
        <v/>
      </c>
      <c r="E2612" s="152"/>
      <c r="F2612" s="106" t="s">
        <v>133</v>
      </c>
      <c r="G2612" s="152"/>
      <c r="H2612" s="106" t="s">
        <v>133</v>
      </c>
      <c r="J2612" s="139" t="s">
        <v>133</v>
      </c>
      <c r="K2612" s="136" t="s">
        <v>133</v>
      </c>
      <c r="L2612" s="153"/>
      <c r="M2612" s="136" t="str">
        <f t="shared" si="1"/>
        <v/>
      </c>
      <c r="O2612" s="141" t="s">
        <v>133</v>
      </c>
      <c r="P2612" s="136" t="str">
        <f>IFERROR(__xludf.DUMMYFUNCTION("""COMPUTED_VALUE"""),"")</f>
        <v/>
      </c>
      <c r="Q2612" s="136" t="str">
        <f>IFERROR(__xludf.DUMMYFUNCTION("""COMPUTED_VALUE"""),"")</f>
        <v/>
      </c>
      <c r="R2612" s="106" t="str">
        <f>IFERROR(__xludf.DUMMYFUNCTION("""COMPUTED_VALUE"""),"")</f>
        <v/>
      </c>
      <c r="S2612" s="106" t="str">
        <f>IFERROR(__xludf.DUMMYFUNCTION("""COMPUTED_VALUE"""),"")</f>
        <v/>
      </c>
      <c r="T2612" s="139" t="str">
        <f>IFERROR(__xludf.DUMMYFUNCTION("""COMPUTED_VALUE"""),"")</f>
        <v/>
      </c>
      <c r="U2612" s="139" t="str">
        <f>IFERROR(__xludf.DUMMYFUNCTION("""COMPUTED_VALUE"""),"")</f>
        <v/>
      </c>
      <c r="V2612" s="136" t="str">
        <f>IFERROR(__xludf.DUMMYFUNCTION("""COMPUTED_VALUE"""),"")</f>
        <v/>
      </c>
      <c r="W2612" s="106" t="str">
        <f>IFERROR(__xludf.DUMMYFUNCTION("""COMPUTED_VALUE"""),"")</f>
        <v/>
      </c>
      <c r="X2612" s="143" t="str">
        <f t="shared" si="2"/>
        <v/>
      </c>
      <c r="Y2612" s="139" t="str">
        <f>IFERROR(__xludf.DUMMYFUNCTION("""COMPUTED_VALUE"""),"")</f>
        <v/>
      </c>
      <c r="Z2612" s="141" t="str">
        <f>IFERROR(__xludf.DUMMYFUNCTION("""COMPUTED_VALUE"""),"")</f>
        <v/>
      </c>
    </row>
    <row r="2613">
      <c r="D2613" s="136" t="str">
        <f t="shared" si="3"/>
        <v/>
      </c>
      <c r="E2613" s="152"/>
      <c r="F2613" s="106" t="s">
        <v>133</v>
      </c>
      <c r="G2613" s="152"/>
      <c r="H2613" s="106" t="s">
        <v>133</v>
      </c>
      <c r="J2613" s="139" t="s">
        <v>133</v>
      </c>
      <c r="K2613" s="136" t="s">
        <v>133</v>
      </c>
      <c r="L2613" s="153"/>
      <c r="M2613" s="136" t="str">
        <f t="shared" si="1"/>
        <v/>
      </c>
      <c r="O2613" s="141" t="s">
        <v>133</v>
      </c>
      <c r="P2613" s="136" t="str">
        <f>IFERROR(__xludf.DUMMYFUNCTION("""COMPUTED_VALUE"""),"")</f>
        <v/>
      </c>
      <c r="Q2613" s="136" t="str">
        <f>IFERROR(__xludf.DUMMYFUNCTION("""COMPUTED_VALUE"""),"")</f>
        <v/>
      </c>
      <c r="R2613" s="106" t="str">
        <f>IFERROR(__xludf.DUMMYFUNCTION("""COMPUTED_VALUE"""),"")</f>
        <v/>
      </c>
      <c r="S2613" s="106" t="str">
        <f>IFERROR(__xludf.DUMMYFUNCTION("""COMPUTED_VALUE"""),"")</f>
        <v/>
      </c>
      <c r="T2613" s="139" t="str">
        <f>IFERROR(__xludf.DUMMYFUNCTION("""COMPUTED_VALUE"""),"")</f>
        <v/>
      </c>
      <c r="U2613" s="139" t="str">
        <f>IFERROR(__xludf.DUMMYFUNCTION("""COMPUTED_VALUE"""),"")</f>
        <v/>
      </c>
      <c r="V2613" s="136" t="str">
        <f>IFERROR(__xludf.DUMMYFUNCTION("""COMPUTED_VALUE"""),"")</f>
        <v/>
      </c>
      <c r="W2613" s="106" t="str">
        <f>IFERROR(__xludf.DUMMYFUNCTION("""COMPUTED_VALUE"""),"")</f>
        <v/>
      </c>
      <c r="X2613" s="143" t="str">
        <f t="shared" si="2"/>
        <v/>
      </c>
      <c r="Y2613" s="139" t="str">
        <f>IFERROR(__xludf.DUMMYFUNCTION("""COMPUTED_VALUE"""),"")</f>
        <v/>
      </c>
      <c r="Z2613" s="141" t="str">
        <f>IFERROR(__xludf.DUMMYFUNCTION("""COMPUTED_VALUE"""),"")</f>
        <v/>
      </c>
    </row>
    <row r="2614">
      <c r="D2614" s="136" t="str">
        <f t="shared" si="3"/>
        <v/>
      </c>
      <c r="E2614" s="152"/>
      <c r="F2614" s="106" t="s">
        <v>133</v>
      </c>
      <c r="G2614" s="152"/>
      <c r="H2614" s="106" t="s">
        <v>133</v>
      </c>
      <c r="J2614" s="139" t="s">
        <v>133</v>
      </c>
      <c r="K2614" s="136" t="s">
        <v>133</v>
      </c>
      <c r="L2614" s="153"/>
      <c r="M2614" s="136" t="str">
        <f t="shared" si="1"/>
        <v/>
      </c>
      <c r="O2614" s="141" t="s">
        <v>133</v>
      </c>
      <c r="P2614" s="136" t="str">
        <f>IFERROR(__xludf.DUMMYFUNCTION("""COMPUTED_VALUE"""),"")</f>
        <v/>
      </c>
      <c r="Q2614" s="136" t="str">
        <f>IFERROR(__xludf.DUMMYFUNCTION("""COMPUTED_VALUE"""),"")</f>
        <v/>
      </c>
      <c r="R2614" s="106" t="str">
        <f>IFERROR(__xludf.DUMMYFUNCTION("""COMPUTED_VALUE"""),"")</f>
        <v/>
      </c>
      <c r="S2614" s="106" t="str">
        <f>IFERROR(__xludf.DUMMYFUNCTION("""COMPUTED_VALUE"""),"")</f>
        <v/>
      </c>
      <c r="T2614" s="139" t="str">
        <f>IFERROR(__xludf.DUMMYFUNCTION("""COMPUTED_VALUE"""),"")</f>
        <v/>
      </c>
      <c r="U2614" s="139" t="str">
        <f>IFERROR(__xludf.DUMMYFUNCTION("""COMPUTED_VALUE"""),"")</f>
        <v/>
      </c>
      <c r="V2614" s="136" t="str">
        <f>IFERROR(__xludf.DUMMYFUNCTION("""COMPUTED_VALUE"""),"")</f>
        <v/>
      </c>
      <c r="W2614" s="106" t="str">
        <f>IFERROR(__xludf.DUMMYFUNCTION("""COMPUTED_VALUE"""),"")</f>
        <v/>
      </c>
      <c r="X2614" s="143" t="str">
        <f t="shared" si="2"/>
        <v/>
      </c>
      <c r="Y2614" s="139" t="str">
        <f>IFERROR(__xludf.DUMMYFUNCTION("""COMPUTED_VALUE"""),"")</f>
        <v/>
      </c>
      <c r="Z2614" s="141" t="str">
        <f>IFERROR(__xludf.DUMMYFUNCTION("""COMPUTED_VALUE"""),"")</f>
        <v/>
      </c>
    </row>
    <row r="2615">
      <c r="D2615" s="136" t="str">
        <f t="shared" si="3"/>
        <v/>
      </c>
      <c r="E2615" s="152"/>
      <c r="F2615" s="106" t="s">
        <v>133</v>
      </c>
      <c r="G2615" s="152"/>
      <c r="H2615" s="106" t="s">
        <v>133</v>
      </c>
      <c r="J2615" s="139" t="s">
        <v>133</v>
      </c>
      <c r="K2615" s="136" t="s">
        <v>133</v>
      </c>
      <c r="L2615" s="153"/>
      <c r="M2615" s="136" t="str">
        <f t="shared" si="1"/>
        <v/>
      </c>
      <c r="O2615" s="141" t="s">
        <v>133</v>
      </c>
      <c r="P2615" s="136" t="str">
        <f>IFERROR(__xludf.DUMMYFUNCTION("""COMPUTED_VALUE"""),"")</f>
        <v/>
      </c>
      <c r="Q2615" s="136" t="str">
        <f>IFERROR(__xludf.DUMMYFUNCTION("""COMPUTED_VALUE"""),"")</f>
        <v/>
      </c>
      <c r="R2615" s="106" t="str">
        <f>IFERROR(__xludf.DUMMYFUNCTION("""COMPUTED_VALUE"""),"")</f>
        <v/>
      </c>
      <c r="S2615" s="106" t="str">
        <f>IFERROR(__xludf.DUMMYFUNCTION("""COMPUTED_VALUE"""),"")</f>
        <v/>
      </c>
      <c r="T2615" s="139" t="str">
        <f>IFERROR(__xludf.DUMMYFUNCTION("""COMPUTED_VALUE"""),"")</f>
        <v/>
      </c>
      <c r="U2615" s="139" t="str">
        <f>IFERROR(__xludf.DUMMYFUNCTION("""COMPUTED_VALUE"""),"")</f>
        <v/>
      </c>
      <c r="V2615" s="136" t="str">
        <f>IFERROR(__xludf.DUMMYFUNCTION("""COMPUTED_VALUE"""),"")</f>
        <v/>
      </c>
      <c r="W2615" s="106" t="str">
        <f>IFERROR(__xludf.DUMMYFUNCTION("""COMPUTED_VALUE"""),"")</f>
        <v/>
      </c>
      <c r="X2615" s="143" t="str">
        <f t="shared" si="2"/>
        <v/>
      </c>
      <c r="Y2615" s="139" t="str">
        <f>IFERROR(__xludf.DUMMYFUNCTION("""COMPUTED_VALUE"""),"")</f>
        <v/>
      </c>
      <c r="Z2615" s="141" t="str">
        <f>IFERROR(__xludf.DUMMYFUNCTION("""COMPUTED_VALUE"""),"")</f>
        <v/>
      </c>
    </row>
    <row r="2616">
      <c r="D2616" s="136" t="str">
        <f t="shared" si="3"/>
        <v/>
      </c>
      <c r="E2616" s="152"/>
      <c r="F2616" s="106" t="s">
        <v>133</v>
      </c>
      <c r="G2616" s="152"/>
      <c r="H2616" s="106" t="s">
        <v>133</v>
      </c>
      <c r="J2616" s="139" t="s">
        <v>133</v>
      </c>
      <c r="K2616" s="136" t="s">
        <v>133</v>
      </c>
      <c r="L2616" s="153"/>
      <c r="M2616" s="136" t="str">
        <f t="shared" si="1"/>
        <v/>
      </c>
      <c r="O2616" s="141" t="s">
        <v>133</v>
      </c>
      <c r="P2616" s="136" t="str">
        <f>IFERROR(__xludf.DUMMYFUNCTION("""COMPUTED_VALUE"""),"")</f>
        <v/>
      </c>
      <c r="Q2616" s="136" t="str">
        <f>IFERROR(__xludf.DUMMYFUNCTION("""COMPUTED_VALUE"""),"")</f>
        <v/>
      </c>
      <c r="R2616" s="106" t="str">
        <f>IFERROR(__xludf.DUMMYFUNCTION("""COMPUTED_VALUE"""),"")</f>
        <v/>
      </c>
      <c r="S2616" s="106" t="str">
        <f>IFERROR(__xludf.DUMMYFUNCTION("""COMPUTED_VALUE"""),"")</f>
        <v/>
      </c>
      <c r="T2616" s="139" t="str">
        <f>IFERROR(__xludf.DUMMYFUNCTION("""COMPUTED_VALUE"""),"")</f>
        <v/>
      </c>
      <c r="U2616" s="139" t="str">
        <f>IFERROR(__xludf.DUMMYFUNCTION("""COMPUTED_VALUE"""),"")</f>
        <v/>
      </c>
      <c r="V2616" s="136" t="str">
        <f>IFERROR(__xludf.DUMMYFUNCTION("""COMPUTED_VALUE"""),"")</f>
        <v/>
      </c>
      <c r="W2616" s="106" t="str">
        <f>IFERROR(__xludf.DUMMYFUNCTION("""COMPUTED_VALUE"""),"")</f>
        <v/>
      </c>
      <c r="X2616" s="143" t="str">
        <f t="shared" si="2"/>
        <v/>
      </c>
      <c r="Y2616" s="139" t="str">
        <f>IFERROR(__xludf.DUMMYFUNCTION("""COMPUTED_VALUE"""),"")</f>
        <v/>
      </c>
      <c r="Z2616" s="141" t="str">
        <f>IFERROR(__xludf.DUMMYFUNCTION("""COMPUTED_VALUE"""),"")</f>
        <v/>
      </c>
    </row>
    <row r="2617">
      <c r="D2617" s="136" t="str">
        <f t="shared" si="3"/>
        <v/>
      </c>
      <c r="E2617" s="152"/>
      <c r="F2617" s="106" t="s">
        <v>133</v>
      </c>
      <c r="G2617" s="152"/>
      <c r="H2617" s="106" t="s">
        <v>133</v>
      </c>
      <c r="J2617" s="139" t="s">
        <v>133</v>
      </c>
      <c r="K2617" s="136" t="s">
        <v>133</v>
      </c>
      <c r="L2617" s="153"/>
      <c r="M2617" s="136" t="str">
        <f t="shared" si="1"/>
        <v/>
      </c>
      <c r="O2617" s="141" t="s">
        <v>133</v>
      </c>
      <c r="P2617" s="136" t="str">
        <f>IFERROR(__xludf.DUMMYFUNCTION("""COMPUTED_VALUE"""),"")</f>
        <v/>
      </c>
      <c r="Q2617" s="136" t="str">
        <f>IFERROR(__xludf.DUMMYFUNCTION("""COMPUTED_VALUE"""),"")</f>
        <v/>
      </c>
      <c r="R2617" s="106" t="str">
        <f>IFERROR(__xludf.DUMMYFUNCTION("""COMPUTED_VALUE"""),"")</f>
        <v/>
      </c>
      <c r="S2617" s="106" t="str">
        <f>IFERROR(__xludf.DUMMYFUNCTION("""COMPUTED_VALUE"""),"")</f>
        <v/>
      </c>
      <c r="T2617" s="139" t="str">
        <f>IFERROR(__xludf.DUMMYFUNCTION("""COMPUTED_VALUE"""),"")</f>
        <v/>
      </c>
      <c r="U2617" s="139" t="str">
        <f>IFERROR(__xludf.DUMMYFUNCTION("""COMPUTED_VALUE"""),"")</f>
        <v/>
      </c>
      <c r="V2617" s="136" t="str">
        <f>IFERROR(__xludf.DUMMYFUNCTION("""COMPUTED_VALUE"""),"")</f>
        <v/>
      </c>
      <c r="W2617" s="106" t="str">
        <f>IFERROR(__xludf.DUMMYFUNCTION("""COMPUTED_VALUE"""),"")</f>
        <v/>
      </c>
      <c r="X2617" s="143" t="str">
        <f t="shared" si="2"/>
        <v/>
      </c>
      <c r="Y2617" s="139" t="str">
        <f>IFERROR(__xludf.DUMMYFUNCTION("""COMPUTED_VALUE"""),"")</f>
        <v/>
      </c>
      <c r="Z2617" s="141" t="str">
        <f>IFERROR(__xludf.DUMMYFUNCTION("""COMPUTED_VALUE"""),"")</f>
        <v/>
      </c>
    </row>
    <row r="2618">
      <c r="D2618" s="136" t="str">
        <f t="shared" si="3"/>
        <v/>
      </c>
      <c r="E2618" s="152"/>
      <c r="F2618" s="106" t="s">
        <v>133</v>
      </c>
      <c r="G2618" s="152"/>
      <c r="H2618" s="106" t="s">
        <v>133</v>
      </c>
      <c r="J2618" s="139" t="s">
        <v>133</v>
      </c>
      <c r="K2618" s="136" t="s">
        <v>133</v>
      </c>
      <c r="L2618" s="153"/>
      <c r="M2618" s="136" t="str">
        <f t="shared" si="1"/>
        <v/>
      </c>
      <c r="O2618" s="141" t="s">
        <v>133</v>
      </c>
      <c r="P2618" s="136" t="str">
        <f>IFERROR(__xludf.DUMMYFUNCTION("""COMPUTED_VALUE"""),"")</f>
        <v/>
      </c>
      <c r="Q2618" s="136" t="str">
        <f>IFERROR(__xludf.DUMMYFUNCTION("""COMPUTED_VALUE"""),"")</f>
        <v/>
      </c>
      <c r="R2618" s="106" t="str">
        <f>IFERROR(__xludf.DUMMYFUNCTION("""COMPUTED_VALUE"""),"")</f>
        <v/>
      </c>
      <c r="S2618" s="106" t="str">
        <f>IFERROR(__xludf.DUMMYFUNCTION("""COMPUTED_VALUE"""),"")</f>
        <v/>
      </c>
      <c r="T2618" s="139" t="str">
        <f>IFERROR(__xludf.DUMMYFUNCTION("""COMPUTED_VALUE"""),"")</f>
        <v/>
      </c>
      <c r="U2618" s="139" t="str">
        <f>IFERROR(__xludf.DUMMYFUNCTION("""COMPUTED_VALUE"""),"")</f>
        <v/>
      </c>
      <c r="V2618" s="136" t="str">
        <f>IFERROR(__xludf.DUMMYFUNCTION("""COMPUTED_VALUE"""),"")</f>
        <v/>
      </c>
      <c r="W2618" s="106" t="str">
        <f>IFERROR(__xludf.DUMMYFUNCTION("""COMPUTED_VALUE"""),"")</f>
        <v/>
      </c>
      <c r="X2618" s="143" t="str">
        <f t="shared" si="2"/>
        <v/>
      </c>
      <c r="Y2618" s="139" t="str">
        <f>IFERROR(__xludf.DUMMYFUNCTION("""COMPUTED_VALUE"""),"")</f>
        <v/>
      </c>
      <c r="Z2618" s="141" t="str">
        <f>IFERROR(__xludf.DUMMYFUNCTION("""COMPUTED_VALUE"""),"")</f>
        <v/>
      </c>
    </row>
    <row r="2619">
      <c r="D2619" s="136" t="str">
        <f t="shared" si="3"/>
        <v/>
      </c>
      <c r="E2619" s="152"/>
      <c r="F2619" s="106" t="s">
        <v>133</v>
      </c>
      <c r="G2619" s="152"/>
      <c r="H2619" s="106" t="s">
        <v>133</v>
      </c>
      <c r="J2619" s="139" t="s">
        <v>133</v>
      </c>
      <c r="K2619" s="136" t="s">
        <v>133</v>
      </c>
      <c r="L2619" s="153"/>
      <c r="M2619" s="136" t="str">
        <f t="shared" si="1"/>
        <v/>
      </c>
      <c r="O2619" s="141" t="s">
        <v>133</v>
      </c>
      <c r="P2619" s="136" t="str">
        <f>IFERROR(__xludf.DUMMYFUNCTION("""COMPUTED_VALUE"""),"")</f>
        <v/>
      </c>
      <c r="Q2619" s="136" t="str">
        <f>IFERROR(__xludf.DUMMYFUNCTION("""COMPUTED_VALUE"""),"")</f>
        <v/>
      </c>
      <c r="R2619" s="106" t="str">
        <f>IFERROR(__xludf.DUMMYFUNCTION("""COMPUTED_VALUE"""),"")</f>
        <v/>
      </c>
      <c r="S2619" s="106" t="str">
        <f>IFERROR(__xludf.DUMMYFUNCTION("""COMPUTED_VALUE"""),"")</f>
        <v/>
      </c>
      <c r="T2619" s="139" t="str">
        <f>IFERROR(__xludf.DUMMYFUNCTION("""COMPUTED_VALUE"""),"")</f>
        <v/>
      </c>
      <c r="U2619" s="139" t="str">
        <f>IFERROR(__xludf.DUMMYFUNCTION("""COMPUTED_VALUE"""),"")</f>
        <v/>
      </c>
      <c r="V2619" s="136" t="str">
        <f>IFERROR(__xludf.DUMMYFUNCTION("""COMPUTED_VALUE"""),"")</f>
        <v/>
      </c>
      <c r="W2619" s="106" t="str">
        <f>IFERROR(__xludf.DUMMYFUNCTION("""COMPUTED_VALUE"""),"")</f>
        <v/>
      </c>
      <c r="X2619" s="143" t="str">
        <f t="shared" si="2"/>
        <v/>
      </c>
      <c r="Y2619" s="139" t="str">
        <f>IFERROR(__xludf.DUMMYFUNCTION("""COMPUTED_VALUE"""),"")</f>
        <v/>
      </c>
      <c r="Z2619" s="141" t="str">
        <f>IFERROR(__xludf.DUMMYFUNCTION("""COMPUTED_VALUE"""),"")</f>
        <v/>
      </c>
    </row>
    <row r="2620">
      <c r="D2620" s="136" t="str">
        <f t="shared" si="3"/>
        <v/>
      </c>
      <c r="E2620" s="152"/>
      <c r="F2620" s="106" t="s">
        <v>133</v>
      </c>
      <c r="G2620" s="152"/>
      <c r="H2620" s="106" t="s">
        <v>133</v>
      </c>
      <c r="J2620" s="139" t="s">
        <v>133</v>
      </c>
      <c r="K2620" s="136" t="s">
        <v>133</v>
      </c>
      <c r="L2620" s="153"/>
      <c r="M2620" s="136" t="str">
        <f t="shared" si="1"/>
        <v/>
      </c>
      <c r="O2620" s="141" t="s">
        <v>133</v>
      </c>
      <c r="P2620" s="136" t="str">
        <f>IFERROR(__xludf.DUMMYFUNCTION("""COMPUTED_VALUE"""),"")</f>
        <v/>
      </c>
      <c r="Q2620" s="136" t="str">
        <f>IFERROR(__xludf.DUMMYFUNCTION("""COMPUTED_VALUE"""),"")</f>
        <v/>
      </c>
      <c r="R2620" s="106" t="str">
        <f>IFERROR(__xludf.DUMMYFUNCTION("""COMPUTED_VALUE"""),"")</f>
        <v/>
      </c>
      <c r="S2620" s="106" t="str">
        <f>IFERROR(__xludf.DUMMYFUNCTION("""COMPUTED_VALUE"""),"")</f>
        <v/>
      </c>
      <c r="T2620" s="139" t="str">
        <f>IFERROR(__xludf.DUMMYFUNCTION("""COMPUTED_VALUE"""),"")</f>
        <v/>
      </c>
      <c r="U2620" s="139" t="str">
        <f>IFERROR(__xludf.DUMMYFUNCTION("""COMPUTED_VALUE"""),"")</f>
        <v/>
      </c>
      <c r="V2620" s="136" t="str">
        <f>IFERROR(__xludf.DUMMYFUNCTION("""COMPUTED_VALUE"""),"")</f>
        <v/>
      </c>
      <c r="W2620" s="106" t="str">
        <f>IFERROR(__xludf.DUMMYFUNCTION("""COMPUTED_VALUE"""),"")</f>
        <v/>
      </c>
      <c r="X2620" s="143" t="str">
        <f t="shared" si="2"/>
        <v/>
      </c>
      <c r="Y2620" s="139" t="str">
        <f>IFERROR(__xludf.DUMMYFUNCTION("""COMPUTED_VALUE"""),"")</f>
        <v/>
      </c>
      <c r="Z2620" s="141" t="str">
        <f>IFERROR(__xludf.DUMMYFUNCTION("""COMPUTED_VALUE"""),"")</f>
        <v/>
      </c>
    </row>
    <row r="2621">
      <c r="D2621" s="136" t="str">
        <f t="shared" si="3"/>
        <v/>
      </c>
      <c r="E2621" s="152"/>
      <c r="F2621" s="106" t="s">
        <v>133</v>
      </c>
      <c r="G2621" s="152"/>
      <c r="H2621" s="106" t="s">
        <v>133</v>
      </c>
      <c r="J2621" s="139" t="s">
        <v>133</v>
      </c>
      <c r="K2621" s="136" t="s">
        <v>133</v>
      </c>
      <c r="L2621" s="153"/>
      <c r="M2621" s="136" t="str">
        <f t="shared" si="1"/>
        <v/>
      </c>
      <c r="O2621" s="141" t="s">
        <v>133</v>
      </c>
      <c r="P2621" s="136" t="str">
        <f>IFERROR(__xludf.DUMMYFUNCTION("""COMPUTED_VALUE"""),"")</f>
        <v/>
      </c>
      <c r="Q2621" s="136" t="str">
        <f>IFERROR(__xludf.DUMMYFUNCTION("""COMPUTED_VALUE"""),"")</f>
        <v/>
      </c>
      <c r="R2621" s="106" t="str">
        <f>IFERROR(__xludf.DUMMYFUNCTION("""COMPUTED_VALUE"""),"")</f>
        <v/>
      </c>
      <c r="S2621" s="106" t="str">
        <f>IFERROR(__xludf.DUMMYFUNCTION("""COMPUTED_VALUE"""),"")</f>
        <v/>
      </c>
      <c r="T2621" s="139" t="str">
        <f>IFERROR(__xludf.DUMMYFUNCTION("""COMPUTED_VALUE"""),"")</f>
        <v/>
      </c>
      <c r="U2621" s="139" t="str">
        <f>IFERROR(__xludf.DUMMYFUNCTION("""COMPUTED_VALUE"""),"")</f>
        <v/>
      </c>
      <c r="V2621" s="136" t="str">
        <f>IFERROR(__xludf.DUMMYFUNCTION("""COMPUTED_VALUE"""),"")</f>
        <v/>
      </c>
      <c r="W2621" s="106" t="str">
        <f>IFERROR(__xludf.DUMMYFUNCTION("""COMPUTED_VALUE"""),"")</f>
        <v/>
      </c>
      <c r="X2621" s="143" t="str">
        <f t="shared" si="2"/>
        <v/>
      </c>
      <c r="Y2621" s="139" t="str">
        <f>IFERROR(__xludf.DUMMYFUNCTION("""COMPUTED_VALUE"""),"")</f>
        <v/>
      </c>
      <c r="Z2621" s="141" t="str">
        <f>IFERROR(__xludf.DUMMYFUNCTION("""COMPUTED_VALUE"""),"")</f>
        <v/>
      </c>
    </row>
    <row r="2622">
      <c r="D2622" s="136" t="str">
        <f t="shared" si="3"/>
        <v/>
      </c>
      <c r="E2622" s="152"/>
      <c r="F2622" s="106" t="s">
        <v>133</v>
      </c>
      <c r="G2622" s="152"/>
      <c r="H2622" s="106" t="s">
        <v>133</v>
      </c>
      <c r="J2622" s="139" t="s">
        <v>133</v>
      </c>
      <c r="K2622" s="136" t="s">
        <v>133</v>
      </c>
      <c r="L2622" s="153"/>
      <c r="M2622" s="136" t="str">
        <f t="shared" si="1"/>
        <v/>
      </c>
      <c r="O2622" s="141" t="s">
        <v>133</v>
      </c>
      <c r="P2622" s="136" t="str">
        <f>IFERROR(__xludf.DUMMYFUNCTION("""COMPUTED_VALUE"""),"")</f>
        <v/>
      </c>
      <c r="Q2622" s="136" t="str">
        <f>IFERROR(__xludf.DUMMYFUNCTION("""COMPUTED_VALUE"""),"")</f>
        <v/>
      </c>
      <c r="R2622" s="106" t="str">
        <f>IFERROR(__xludf.DUMMYFUNCTION("""COMPUTED_VALUE"""),"")</f>
        <v/>
      </c>
      <c r="S2622" s="106" t="str">
        <f>IFERROR(__xludf.DUMMYFUNCTION("""COMPUTED_VALUE"""),"")</f>
        <v/>
      </c>
      <c r="T2622" s="139" t="str">
        <f>IFERROR(__xludf.DUMMYFUNCTION("""COMPUTED_VALUE"""),"")</f>
        <v/>
      </c>
      <c r="U2622" s="139" t="str">
        <f>IFERROR(__xludf.DUMMYFUNCTION("""COMPUTED_VALUE"""),"")</f>
        <v/>
      </c>
      <c r="V2622" s="136" t="str">
        <f>IFERROR(__xludf.DUMMYFUNCTION("""COMPUTED_VALUE"""),"")</f>
        <v/>
      </c>
      <c r="W2622" s="106" t="str">
        <f>IFERROR(__xludf.DUMMYFUNCTION("""COMPUTED_VALUE"""),"")</f>
        <v/>
      </c>
      <c r="X2622" s="143" t="str">
        <f t="shared" si="2"/>
        <v/>
      </c>
      <c r="Y2622" s="139" t="str">
        <f>IFERROR(__xludf.DUMMYFUNCTION("""COMPUTED_VALUE"""),"")</f>
        <v/>
      </c>
      <c r="Z2622" s="141" t="str">
        <f>IFERROR(__xludf.DUMMYFUNCTION("""COMPUTED_VALUE"""),"")</f>
        <v/>
      </c>
    </row>
    <row r="2623">
      <c r="D2623" s="136" t="str">
        <f t="shared" si="3"/>
        <v/>
      </c>
      <c r="E2623" s="152"/>
      <c r="F2623" s="106" t="s">
        <v>133</v>
      </c>
      <c r="G2623" s="152"/>
      <c r="H2623" s="106" t="s">
        <v>133</v>
      </c>
      <c r="J2623" s="139" t="s">
        <v>133</v>
      </c>
      <c r="K2623" s="136" t="s">
        <v>133</v>
      </c>
      <c r="L2623" s="153"/>
      <c r="M2623" s="136" t="str">
        <f t="shared" si="1"/>
        <v/>
      </c>
      <c r="O2623" s="141" t="s">
        <v>133</v>
      </c>
      <c r="P2623" s="136" t="str">
        <f>IFERROR(__xludf.DUMMYFUNCTION("""COMPUTED_VALUE"""),"")</f>
        <v/>
      </c>
      <c r="Q2623" s="136" t="str">
        <f>IFERROR(__xludf.DUMMYFUNCTION("""COMPUTED_VALUE"""),"")</f>
        <v/>
      </c>
      <c r="R2623" s="106" t="str">
        <f>IFERROR(__xludf.DUMMYFUNCTION("""COMPUTED_VALUE"""),"")</f>
        <v/>
      </c>
      <c r="S2623" s="106" t="str">
        <f>IFERROR(__xludf.DUMMYFUNCTION("""COMPUTED_VALUE"""),"")</f>
        <v/>
      </c>
      <c r="T2623" s="139" t="str">
        <f>IFERROR(__xludf.DUMMYFUNCTION("""COMPUTED_VALUE"""),"")</f>
        <v/>
      </c>
      <c r="U2623" s="139" t="str">
        <f>IFERROR(__xludf.DUMMYFUNCTION("""COMPUTED_VALUE"""),"")</f>
        <v/>
      </c>
      <c r="V2623" s="136" t="str">
        <f>IFERROR(__xludf.DUMMYFUNCTION("""COMPUTED_VALUE"""),"")</f>
        <v/>
      </c>
      <c r="W2623" s="106" t="str">
        <f>IFERROR(__xludf.DUMMYFUNCTION("""COMPUTED_VALUE"""),"")</f>
        <v/>
      </c>
      <c r="X2623" s="143" t="str">
        <f t="shared" si="2"/>
        <v/>
      </c>
      <c r="Y2623" s="139" t="str">
        <f>IFERROR(__xludf.DUMMYFUNCTION("""COMPUTED_VALUE"""),"")</f>
        <v/>
      </c>
      <c r="Z2623" s="141" t="str">
        <f>IFERROR(__xludf.DUMMYFUNCTION("""COMPUTED_VALUE"""),"")</f>
        <v/>
      </c>
    </row>
    <row r="2624">
      <c r="D2624" s="136" t="str">
        <f t="shared" si="3"/>
        <v/>
      </c>
      <c r="E2624" s="152"/>
      <c r="F2624" s="106" t="s">
        <v>133</v>
      </c>
      <c r="G2624" s="152"/>
      <c r="H2624" s="106" t="s">
        <v>133</v>
      </c>
      <c r="J2624" s="139" t="s">
        <v>133</v>
      </c>
      <c r="K2624" s="136" t="s">
        <v>133</v>
      </c>
      <c r="L2624" s="153"/>
      <c r="M2624" s="136" t="str">
        <f t="shared" si="1"/>
        <v/>
      </c>
      <c r="O2624" s="141" t="s">
        <v>133</v>
      </c>
      <c r="P2624" s="136" t="str">
        <f>IFERROR(__xludf.DUMMYFUNCTION("""COMPUTED_VALUE"""),"")</f>
        <v/>
      </c>
      <c r="Q2624" s="136" t="str">
        <f>IFERROR(__xludf.DUMMYFUNCTION("""COMPUTED_VALUE"""),"")</f>
        <v/>
      </c>
      <c r="R2624" s="106" t="str">
        <f>IFERROR(__xludf.DUMMYFUNCTION("""COMPUTED_VALUE"""),"")</f>
        <v/>
      </c>
      <c r="S2624" s="106" t="str">
        <f>IFERROR(__xludf.DUMMYFUNCTION("""COMPUTED_VALUE"""),"")</f>
        <v/>
      </c>
      <c r="T2624" s="139" t="str">
        <f>IFERROR(__xludf.DUMMYFUNCTION("""COMPUTED_VALUE"""),"")</f>
        <v/>
      </c>
      <c r="U2624" s="139" t="str">
        <f>IFERROR(__xludf.DUMMYFUNCTION("""COMPUTED_VALUE"""),"")</f>
        <v/>
      </c>
      <c r="V2624" s="136" t="str">
        <f>IFERROR(__xludf.DUMMYFUNCTION("""COMPUTED_VALUE"""),"")</f>
        <v/>
      </c>
      <c r="W2624" s="106" t="str">
        <f>IFERROR(__xludf.DUMMYFUNCTION("""COMPUTED_VALUE"""),"")</f>
        <v/>
      </c>
      <c r="X2624" s="143" t="str">
        <f t="shared" si="2"/>
        <v/>
      </c>
      <c r="Y2624" s="139" t="str">
        <f>IFERROR(__xludf.DUMMYFUNCTION("""COMPUTED_VALUE"""),"")</f>
        <v/>
      </c>
      <c r="Z2624" s="141" t="str">
        <f>IFERROR(__xludf.DUMMYFUNCTION("""COMPUTED_VALUE"""),"")</f>
        <v/>
      </c>
    </row>
    <row r="2625">
      <c r="D2625" s="136" t="str">
        <f t="shared" si="3"/>
        <v/>
      </c>
      <c r="E2625" s="152"/>
      <c r="F2625" s="106" t="s">
        <v>133</v>
      </c>
      <c r="G2625" s="152"/>
      <c r="H2625" s="106" t="s">
        <v>133</v>
      </c>
      <c r="J2625" s="139" t="s">
        <v>133</v>
      </c>
      <c r="K2625" s="136" t="s">
        <v>133</v>
      </c>
      <c r="L2625" s="153"/>
      <c r="M2625" s="136" t="str">
        <f t="shared" si="1"/>
        <v/>
      </c>
      <c r="O2625" s="141" t="s">
        <v>133</v>
      </c>
      <c r="P2625" s="136" t="str">
        <f>IFERROR(__xludf.DUMMYFUNCTION("""COMPUTED_VALUE"""),"")</f>
        <v/>
      </c>
      <c r="Q2625" s="136" t="str">
        <f>IFERROR(__xludf.DUMMYFUNCTION("""COMPUTED_VALUE"""),"")</f>
        <v/>
      </c>
      <c r="R2625" s="106" t="str">
        <f>IFERROR(__xludf.DUMMYFUNCTION("""COMPUTED_VALUE"""),"")</f>
        <v/>
      </c>
      <c r="S2625" s="106" t="str">
        <f>IFERROR(__xludf.DUMMYFUNCTION("""COMPUTED_VALUE"""),"")</f>
        <v/>
      </c>
      <c r="T2625" s="139" t="str">
        <f>IFERROR(__xludf.DUMMYFUNCTION("""COMPUTED_VALUE"""),"")</f>
        <v/>
      </c>
      <c r="U2625" s="139" t="str">
        <f>IFERROR(__xludf.DUMMYFUNCTION("""COMPUTED_VALUE"""),"")</f>
        <v/>
      </c>
      <c r="V2625" s="136" t="str">
        <f>IFERROR(__xludf.DUMMYFUNCTION("""COMPUTED_VALUE"""),"")</f>
        <v/>
      </c>
      <c r="W2625" s="106" t="str">
        <f>IFERROR(__xludf.DUMMYFUNCTION("""COMPUTED_VALUE"""),"")</f>
        <v/>
      </c>
      <c r="X2625" s="143" t="str">
        <f t="shared" si="2"/>
        <v/>
      </c>
      <c r="Y2625" s="139" t="str">
        <f>IFERROR(__xludf.DUMMYFUNCTION("""COMPUTED_VALUE"""),"")</f>
        <v/>
      </c>
      <c r="Z2625" s="141" t="str">
        <f>IFERROR(__xludf.DUMMYFUNCTION("""COMPUTED_VALUE"""),"")</f>
        <v/>
      </c>
    </row>
    <row r="2626">
      <c r="D2626" s="136" t="str">
        <f t="shared" si="3"/>
        <v/>
      </c>
      <c r="E2626" s="152"/>
      <c r="F2626" s="106" t="s">
        <v>133</v>
      </c>
      <c r="G2626" s="152"/>
      <c r="H2626" s="106" t="s">
        <v>133</v>
      </c>
      <c r="J2626" s="139" t="s">
        <v>133</v>
      </c>
      <c r="K2626" s="136" t="s">
        <v>133</v>
      </c>
      <c r="L2626" s="153"/>
      <c r="M2626" s="136" t="str">
        <f t="shared" si="1"/>
        <v/>
      </c>
      <c r="O2626" s="141" t="s">
        <v>133</v>
      </c>
      <c r="P2626" s="136" t="str">
        <f>IFERROR(__xludf.DUMMYFUNCTION("""COMPUTED_VALUE"""),"")</f>
        <v/>
      </c>
      <c r="Q2626" s="136" t="str">
        <f>IFERROR(__xludf.DUMMYFUNCTION("""COMPUTED_VALUE"""),"")</f>
        <v/>
      </c>
      <c r="R2626" s="106" t="str">
        <f>IFERROR(__xludf.DUMMYFUNCTION("""COMPUTED_VALUE"""),"")</f>
        <v/>
      </c>
      <c r="S2626" s="106" t="str">
        <f>IFERROR(__xludf.DUMMYFUNCTION("""COMPUTED_VALUE"""),"")</f>
        <v/>
      </c>
      <c r="T2626" s="139" t="str">
        <f>IFERROR(__xludf.DUMMYFUNCTION("""COMPUTED_VALUE"""),"")</f>
        <v/>
      </c>
      <c r="U2626" s="139" t="str">
        <f>IFERROR(__xludf.DUMMYFUNCTION("""COMPUTED_VALUE"""),"")</f>
        <v/>
      </c>
      <c r="V2626" s="136" t="str">
        <f>IFERROR(__xludf.DUMMYFUNCTION("""COMPUTED_VALUE"""),"")</f>
        <v/>
      </c>
      <c r="W2626" s="106" t="str">
        <f>IFERROR(__xludf.DUMMYFUNCTION("""COMPUTED_VALUE"""),"")</f>
        <v/>
      </c>
      <c r="X2626" s="143" t="str">
        <f t="shared" si="2"/>
        <v/>
      </c>
      <c r="Y2626" s="139" t="str">
        <f>IFERROR(__xludf.DUMMYFUNCTION("""COMPUTED_VALUE"""),"")</f>
        <v/>
      </c>
      <c r="Z2626" s="141" t="str">
        <f>IFERROR(__xludf.DUMMYFUNCTION("""COMPUTED_VALUE"""),"")</f>
        <v/>
      </c>
    </row>
    <row r="2627">
      <c r="D2627" s="136" t="str">
        <f t="shared" si="3"/>
        <v/>
      </c>
      <c r="E2627" s="152"/>
      <c r="F2627" s="106" t="s">
        <v>133</v>
      </c>
      <c r="G2627" s="152"/>
      <c r="H2627" s="106" t="s">
        <v>133</v>
      </c>
      <c r="J2627" s="139" t="s">
        <v>133</v>
      </c>
      <c r="K2627" s="136" t="s">
        <v>133</v>
      </c>
      <c r="L2627" s="153"/>
      <c r="M2627" s="136" t="str">
        <f t="shared" si="1"/>
        <v/>
      </c>
      <c r="O2627" s="141" t="s">
        <v>133</v>
      </c>
      <c r="P2627" s="136" t="str">
        <f>IFERROR(__xludf.DUMMYFUNCTION("""COMPUTED_VALUE"""),"")</f>
        <v/>
      </c>
      <c r="Q2627" s="136" t="str">
        <f>IFERROR(__xludf.DUMMYFUNCTION("""COMPUTED_VALUE"""),"")</f>
        <v/>
      </c>
      <c r="R2627" s="106" t="str">
        <f>IFERROR(__xludf.DUMMYFUNCTION("""COMPUTED_VALUE"""),"")</f>
        <v/>
      </c>
      <c r="S2627" s="106" t="str">
        <f>IFERROR(__xludf.DUMMYFUNCTION("""COMPUTED_VALUE"""),"")</f>
        <v/>
      </c>
      <c r="T2627" s="139" t="str">
        <f>IFERROR(__xludf.DUMMYFUNCTION("""COMPUTED_VALUE"""),"")</f>
        <v/>
      </c>
      <c r="U2627" s="139" t="str">
        <f>IFERROR(__xludf.DUMMYFUNCTION("""COMPUTED_VALUE"""),"")</f>
        <v/>
      </c>
      <c r="V2627" s="136" t="str">
        <f>IFERROR(__xludf.DUMMYFUNCTION("""COMPUTED_VALUE"""),"")</f>
        <v/>
      </c>
      <c r="W2627" s="106" t="str">
        <f>IFERROR(__xludf.DUMMYFUNCTION("""COMPUTED_VALUE"""),"")</f>
        <v/>
      </c>
      <c r="X2627" s="143" t="str">
        <f t="shared" si="2"/>
        <v/>
      </c>
      <c r="Y2627" s="139" t="str">
        <f>IFERROR(__xludf.DUMMYFUNCTION("""COMPUTED_VALUE"""),"")</f>
        <v/>
      </c>
      <c r="Z2627" s="141" t="str">
        <f>IFERROR(__xludf.DUMMYFUNCTION("""COMPUTED_VALUE"""),"")</f>
        <v/>
      </c>
    </row>
    <row r="2628">
      <c r="D2628" s="136" t="str">
        <f t="shared" si="3"/>
        <v/>
      </c>
      <c r="E2628" s="152"/>
      <c r="F2628" s="106" t="s">
        <v>133</v>
      </c>
      <c r="G2628" s="152"/>
      <c r="H2628" s="106" t="s">
        <v>133</v>
      </c>
      <c r="J2628" s="139" t="s">
        <v>133</v>
      </c>
      <c r="K2628" s="136" t="s">
        <v>133</v>
      </c>
      <c r="L2628" s="153"/>
      <c r="M2628" s="136" t="str">
        <f t="shared" si="1"/>
        <v/>
      </c>
      <c r="O2628" s="141" t="s">
        <v>133</v>
      </c>
      <c r="P2628" s="136" t="str">
        <f>IFERROR(__xludf.DUMMYFUNCTION("""COMPUTED_VALUE"""),"")</f>
        <v/>
      </c>
      <c r="Q2628" s="136" t="str">
        <f>IFERROR(__xludf.DUMMYFUNCTION("""COMPUTED_VALUE"""),"")</f>
        <v/>
      </c>
      <c r="R2628" s="106" t="str">
        <f>IFERROR(__xludf.DUMMYFUNCTION("""COMPUTED_VALUE"""),"")</f>
        <v/>
      </c>
      <c r="S2628" s="106" t="str">
        <f>IFERROR(__xludf.DUMMYFUNCTION("""COMPUTED_VALUE"""),"")</f>
        <v/>
      </c>
      <c r="T2628" s="139" t="str">
        <f>IFERROR(__xludf.DUMMYFUNCTION("""COMPUTED_VALUE"""),"")</f>
        <v/>
      </c>
      <c r="U2628" s="139" t="str">
        <f>IFERROR(__xludf.DUMMYFUNCTION("""COMPUTED_VALUE"""),"")</f>
        <v/>
      </c>
      <c r="V2628" s="136" t="str">
        <f>IFERROR(__xludf.DUMMYFUNCTION("""COMPUTED_VALUE"""),"")</f>
        <v/>
      </c>
      <c r="W2628" s="106" t="str">
        <f>IFERROR(__xludf.DUMMYFUNCTION("""COMPUTED_VALUE"""),"")</f>
        <v/>
      </c>
      <c r="X2628" s="143" t="str">
        <f t="shared" si="2"/>
        <v/>
      </c>
      <c r="Y2628" s="139" t="str">
        <f>IFERROR(__xludf.DUMMYFUNCTION("""COMPUTED_VALUE"""),"")</f>
        <v/>
      </c>
      <c r="Z2628" s="141" t="str">
        <f>IFERROR(__xludf.DUMMYFUNCTION("""COMPUTED_VALUE"""),"")</f>
        <v/>
      </c>
    </row>
    <row r="2629">
      <c r="D2629" s="136" t="str">
        <f t="shared" si="3"/>
        <v/>
      </c>
      <c r="E2629" s="152"/>
      <c r="F2629" s="106" t="s">
        <v>133</v>
      </c>
      <c r="G2629" s="152"/>
      <c r="H2629" s="106" t="s">
        <v>133</v>
      </c>
      <c r="J2629" s="139" t="s">
        <v>133</v>
      </c>
      <c r="K2629" s="136" t="s">
        <v>133</v>
      </c>
      <c r="L2629" s="153"/>
      <c r="M2629" s="136" t="str">
        <f t="shared" si="1"/>
        <v/>
      </c>
      <c r="O2629" s="141" t="s">
        <v>133</v>
      </c>
      <c r="P2629" s="136" t="str">
        <f>IFERROR(__xludf.DUMMYFUNCTION("""COMPUTED_VALUE"""),"")</f>
        <v/>
      </c>
      <c r="Q2629" s="136" t="str">
        <f>IFERROR(__xludf.DUMMYFUNCTION("""COMPUTED_VALUE"""),"")</f>
        <v/>
      </c>
      <c r="R2629" s="106" t="str">
        <f>IFERROR(__xludf.DUMMYFUNCTION("""COMPUTED_VALUE"""),"")</f>
        <v/>
      </c>
      <c r="S2629" s="106" t="str">
        <f>IFERROR(__xludf.DUMMYFUNCTION("""COMPUTED_VALUE"""),"")</f>
        <v/>
      </c>
      <c r="T2629" s="139" t="str">
        <f>IFERROR(__xludf.DUMMYFUNCTION("""COMPUTED_VALUE"""),"")</f>
        <v/>
      </c>
      <c r="U2629" s="139" t="str">
        <f>IFERROR(__xludf.DUMMYFUNCTION("""COMPUTED_VALUE"""),"")</f>
        <v/>
      </c>
      <c r="V2629" s="136" t="str">
        <f>IFERROR(__xludf.DUMMYFUNCTION("""COMPUTED_VALUE"""),"")</f>
        <v/>
      </c>
      <c r="W2629" s="106" t="str">
        <f>IFERROR(__xludf.DUMMYFUNCTION("""COMPUTED_VALUE"""),"")</f>
        <v/>
      </c>
      <c r="X2629" s="143" t="str">
        <f t="shared" si="2"/>
        <v/>
      </c>
      <c r="Y2629" s="139" t="str">
        <f>IFERROR(__xludf.DUMMYFUNCTION("""COMPUTED_VALUE"""),"")</f>
        <v/>
      </c>
      <c r="Z2629" s="141" t="str">
        <f>IFERROR(__xludf.DUMMYFUNCTION("""COMPUTED_VALUE"""),"")</f>
        <v/>
      </c>
    </row>
    <row r="2630">
      <c r="D2630" s="136" t="str">
        <f t="shared" si="3"/>
        <v/>
      </c>
      <c r="E2630" s="152"/>
      <c r="F2630" s="106" t="s">
        <v>133</v>
      </c>
      <c r="G2630" s="152"/>
      <c r="H2630" s="106" t="s">
        <v>133</v>
      </c>
      <c r="J2630" s="139" t="s">
        <v>133</v>
      </c>
      <c r="K2630" s="136" t="s">
        <v>133</v>
      </c>
      <c r="L2630" s="153"/>
      <c r="M2630" s="136" t="str">
        <f t="shared" si="1"/>
        <v/>
      </c>
      <c r="O2630" s="141" t="s">
        <v>133</v>
      </c>
      <c r="P2630" s="136" t="str">
        <f>IFERROR(__xludf.DUMMYFUNCTION("""COMPUTED_VALUE"""),"")</f>
        <v/>
      </c>
      <c r="Q2630" s="136" t="str">
        <f>IFERROR(__xludf.DUMMYFUNCTION("""COMPUTED_VALUE"""),"")</f>
        <v/>
      </c>
      <c r="R2630" s="106" t="str">
        <f>IFERROR(__xludf.DUMMYFUNCTION("""COMPUTED_VALUE"""),"")</f>
        <v/>
      </c>
      <c r="S2630" s="106" t="str">
        <f>IFERROR(__xludf.DUMMYFUNCTION("""COMPUTED_VALUE"""),"")</f>
        <v/>
      </c>
      <c r="T2630" s="139" t="str">
        <f>IFERROR(__xludf.DUMMYFUNCTION("""COMPUTED_VALUE"""),"")</f>
        <v/>
      </c>
      <c r="U2630" s="139" t="str">
        <f>IFERROR(__xludf.DUMMYFUNCTION("""COMPUTED_VALUE"""),"")</f>
        <v/>
      </c>
      <c r="V2630" s="136" t="str">
        <f>IFERROR(__xludf.DUMMYFUNCTION("""COMPUTED_VALUE"""),"")</f>
        <v/>
      </c>
      <c r="W2630" s="106" t="str">
        <f>IFERROR(__xludf.DUMMYFUNCTION("""COMPUTED_VALUE"""),"")</f>
        <v/>
      </c>
      <c r="X2630" s="143" t="str">
        <f t="shared" si="2"/>
        <v/>
      </c>
      <c r="Y2630" s="139" t="str">
        <f>IFERROR(__xludf.DUMMYFUNCTION("""COMPUTED_VALUE"""),"")</f>
        <v/>
      </c>
      <c r="Z2630" s="141" t="str">
        <f>IFERROR(__xludf.DUMMYFUNCTION("""COMPUTED_VALUE"""),"")</f>
        <v/>
      </c>
    </row>
    <row r="2631">
      <c r="D2631" s="136" t="str">
        <f t="shared" si="3"/>
        <v/>
      </c>
      <c r="E2631" s="152"/>
      <c r="F2631" s="106" t="s">
        <v>133</v>
      </c>
      <c r="G2631" s="152"/>
      <c r="H2631" s="106" t="s">
        <v>133</v>
      </c>
      <c r="J2631" s="139" t="s">
        <v>133</v>
      </c>
      <c r="K2631" s="136" t="s">
        <v>133</v>
      </c>
      <c r="L2631" s="153"/>
      <c r="M2631" s="136" t="str">
        <f t="shared" si="1"/>
        <v/>
      </c>
      <c r="O2631" s="141" t="s">
        <v>133</v>
      </c>
      <c r="P2631" s="136" t="str">
        <f>IFERROR(__xludf.DUMMYFUNCTION("""COMPUTED_VALUE"""),"")</f>
        <v/>
      </c>
      <c r="Q2631" s="136" t="str">
        <f>IFERROR(__xludf.DUMMYFUNCTION("""COMPUTED_VALUE"""),"")</f>
        <v/>
      </c>
      <c r="R2631" s="106" t="str">
        <f>IFERROR(__xludf.DUMMYFUNCTION("""COMPUTED_VALUE"""),"")</f>
        <v/>
      </c>
      <c r="S2631" s="106" t="str">
        <f>IFERROR(__xludf.DUMMYFUNCTION("""COMPUTED_VALUE"""),"")</f>
        <v/>
      </c>
      <c r="T2631" s="139" t="str">
        <f>IFERROR(__xludf.DUMMYFUNCTION("""COMPUTED_VALUE"""),"")</f>
        <v/>
      </c>
      <c r="U2631" s="139" t="str">
        <f>IFERROR(__xludf.DUMMYFUNCTION("""COMPUTED_VALUE"""),"")</f>
        <v/>
      </c>
      <c r="V2631" s="136" t="str">
        <f>IFERROR(__xludf.DUMMYFUNCTION("""COMPUTED_VALUE"""),"")</f>
        <v/>
      </c>
      <c r="W2631" s="106" t="str">
        <f>IFERROR(__xludf.DUMMYFUNCTION("""COMPUTED_VALUE"""),"")</f>
        <v/>
      </c>
      <c r="X2631" s="143" t="str">
        <f t="shared" si="2"/>
        <v/>
      </c>
      <c r="Y2631" s="139" t="str">
        <f>IFERROR(__xludf.DUMMYFUNCTION("""COMPUTED_VALUE"""),"")</f>
        <v/>
      </c>
      <c r="Z2631" s="141" t="str">
        <f>IFERROR(__xludf.DUMMYFUNCTION("""COMPUTED_VALUE"""),"")</f>
        <v/>
      </c>
    </row>
    <row r="2632">
      <c r="D2632" s="136" t="str">
        <f t="shared" si="3"/>
        <v/>
      </c>
      <c r="E2632" s="152"/>
      <c r="F2632" s="106" t="s">
        <v>133</v>
      </c>
      <c r="G2632" s="152"/>
      <c r="H2632" s="106" t="s">
        <v>133</v>
      </c>
      <c r="J2632" s="139" t="s">
        <v>133</v>
      </c>
      <c r="K2632" s="136" t="s">
        <v>133</v>
      </c>
      <c r="L2632" s="153"/>
      <c r="M2632" s="136" t="str">
        <f t="shared" si="1"/>
        <v/>
      </c>
      <c r="O2632" s="141" t="s">
        <v>133</v>
      </c>
      <c r="P2632" s="136" t="str">
        <f>IFERROR(__xludf.DUMMYFUNCTION("""COMPUTED_VALUE"""),"")</f>
        <v/>
      </c>
      <c r="Q2632" s="136" t="str">
        <f>IFERROR(__xludf.DUMMYFUNCTION("""COMPUTED_VALUE"""),"")</f>
        <v/>
      </c>
      <c r="R2632" s="106" t="str">
        <f>IFERROR(__xludf.DUMMYFUNCTION("""COMPUTED_VALUE"""),"")</f>
        <v/>
      </c>
      <c r="S2632" s="106" t="str">
        <f>IFERROR(__xludf.DUMMYFUNCTION("""COMPUTED_VALUE"""),"")</f>
        <v/>
      </c>
      <c r="T2632" s="139" t="str">
        <f>IFERROR(__xludf.DUMMYFUNCTION("""COMPUTED_VALUE"""),"")</f>
        <v/>
      </c>
      <c r="U2632" s="139" t="str">
        <f>IFERROR(__xludf.DUMMYFUNCTION("""COMPUTED_VALUE"""),"")</f>
        <v/>
      </c>
      <c r="V2632" s="136" t="str">
        <f>IFERROR(__xludf.DUMMYFUNCTION("""COMPUTED_VALUE"""),"")</f>
        <v/>
      </c>
      <c r="W2632" s="106" t="str">
        <f>IFERROR(__xludf.DUMMYFUNCTION("""COMPUTED_VALUE"""),"")</f>
        <v/>
      </c>
      <c r="X2632" s="143" t="str">
        <f t="shared" si="2"/>
        <v/>
      </c>
      <c r="Y2632" s="139" t="str">
        <f>IFERROR(__xludf.DUMMYFUNCTION("""COMPUTED_VALUE"""),"")</f>
        <v/>
      </c>
      <c r="Z2632" s="141" t="str">
        <f>IFERROR(__xludf.DUMMYFUNCTION("""COMPUTED_VALUE"""),"")</f>
        <v/>
      </c>
    </row>
    <row r="2633">
      <c r="D2633" s="136" t="str">
        <f t="shared" si="3"/>
        <v/>
      </c>
      <c r="E2633" s="152"/>
      <c r="F2633" s="106" t="s">
        <v>133</v>
      </c>
      <c r="G2633" s="152"/>
      <c r="H2633" s="106" t="s">
        <v>133</v>
      </c>
      <c r="J2633" s="139" t="s">
        <v>133</v>
      </c>
      <c r="K2633" s="136" t="s">
        <v>133</v>
      </c>
      <c r="L2633" s="153"/>
      <c r="M2633" s="136" t="str">
        <f t="shared" si="1"/>
        <v/>
      </c>
      <c r="O2633" s="141" t="s">
        <v>133</v>
      </c>
      <c r="P2633" s="136" t="str">
        <f>IFERROR(__xludf.DUMMYFUNCTION("""COMPUTED_VALUE"""),"")</f>
        <v/>
      </c>
      <c r="Q2633" s="136" t="str">
        <f>IFERROR(__xludf.DUMMYFUNCTION("""COMPUTED_VALUE"""),"")</f>
        <v/>
      </c>
      <c r="R2633" s="106" t="str">
        <f>IFERROR(__xludf.DUMMYFUNCTION("""COMPUTED_VALUE"""),"")</f>
        <v/>
      </c>
      <c r="S2633" s="106" t="str">
        <f>IFERROR(__xludf.DUMMYFUNCTION("""COMPUTED_VALUE"""),"")</f>
        <v/>
      </c>
      <c r="T2633" s="139" t="str">
        <f>IFERROR(__xludf.DUMMYFUNCTION("""COMPUTED_VALUE"""),"")</f>
        <v/>
      </c>
      <c r="U2633" s="139" t="str">
        <f>IFERROR(__xludf.DUMMYFUNCTION("""COMPUTED_VALUE"""),"")</f>
        <v/>
      </c>
      <c r="V2633" s="136" t="str">
        <f>IFERROR(__xludf.DUMMYFUNCTION("""COMPUTED_VALUE"""),"")</f>
        <v/>
      </c>
      <c r="W2633" s="106" t="str">
        <f>IFERROR(__xludf.DUMMYFUNCTION("""COMPUTED_VALUE"""),"")</f>
        <v/>
      </c>
      <c r="X2633" s="143" t="str">
        <f t="shared" si="2"/>
        <v/>
      </c>
      <c r="Y2633" s="139" t="str">
        <f>IFERROR(__xludf.DUMMYFUNCTION("""COMPUTED_VALUE"""),"")</f>
        <v/>
      </c>
      <c r="Z2633" s="141" t="str">
        <f>IFERROR(__xludf.DUMMYFUNCTION("""COMPUTED_VALUE"""),"")</f>
        <v/>
      </c>
    </row>
    <row r="2634">
      <c r="D2634" s="136" t="str">
        <f t="shared" si="3"/>
        <v/>
      </c>
      <c r="E2634" s="152"/>
      <c r="F2634" s="106" t="s">
        <v>133</v>
      </c>
      <c r="G2634" s="152"/>
      <c r="H2634" s="106" t="s">
        <v>133</v>
      </c>
      <c r="J2634" s="139" t="s">
        <v>133</v>
      </c>
      <c r="K2634" s="136" t="s">
        <v>133</v>
      </c>
      <c r="L2634" s="153"/>
      <c r="M2634" s="136" t="str">
        <f t="shared" si="1"/>
        <v/>
      </c>
      <c r="O2634" s="141" t="s">
        <v>133</v>
      </c>
      <c r="P2634" s="136" t="str">
        <f>IFERROR(__xludf.DUMMYFUNCTION("""COMPUTED_VALUE"""),"")</f>
        <v/>
      </c>
      <c r="Q2634" s="136" t="str">
        <f>IFERROR(__xludf.DUMMYFUNCTION("""COMPUTED_VALUE"""),"")</f>
        <v/>
      </c>
      <c r="R2634" s="106" t="str">
        <f>IFERROR(__xludf.DUMMYFUNCTION("""COMPUTED_VALUE"""),"")</f>
        <v/>
      </c>
      <c r="S2634" s="106" t="str">
        <f>IFERROR(__xludf.DUMMYFUNCTION("""COMPUTED_VALUE"""),"")</f>
        <v/>
      </c>
      <c r="T2634" s="139" t="str">
        <f>IFERROR(__xludf.DUMMYFUNCTION("""COMPUTED_VALUE"""),"")</f>
        <v/>
      </c>
      <c r="U2634" s="139" t="str">
        <f>IFERROR(__xludf.DUMMYFUNCTION("""COMPUTED_VALUE"""),"")</f>
        <v/>
      </c>
      <c r="V2634" s="136" t="str">
        <f>IFERROR(__xludf.DUMMYFUNCTION("""COMPUTED_VALUE"""),"")</f>
        <v/>
      </c>
      <c r="W2634" s="106" t="str">
        <f>IFERROR(__xludf.DUMMYFUNCTION("""COMPUTED_VALUE"""),"")</f>
        <v/>
      </c>
      <c r="X2634" s="143" t="str">
        <f t="shared" si="2"/>
        <v/>
      </c>
      <c r="Y2634" s="139" t="str">
        <f>IFERROR(__xludf.DUMMYFUNCTION("""COMPUTED_VALUE"""),"")</f>
        <v/>
      </c>
      <c r="Z2634" s="141" t="str">
        <f>IFERROR(__xludf.DUMMYFUNCTION("""COMPUTED_VALUE"""),"")</f>
        <v/>
      </c>
    </row>
    <row r="2635">
      <c r="D2635" s="136" t="str">
        <f t="shared" si="3"/>
        <v/>
      </c>
      <c r="E2635" s="152"/>
      <c r="F2635" s="106" t="s">
        <v>133</v>
      </c>
      <c r="G2635" s="152"/>
      <c r="H2635" s="106" t="s">
        <v>133</v>
      </c>
      <c r="J2635" s="139" t="s">
        <v>133</v>
      </c>
      <c r="K2635" s="136" t="s">
        <v>133</v>
      </c>
      <c r="L2635" s="153"/>
      <c r="M2635" s="136" t="str">
        <f t="shared" si="1"/>
        <v/>
      </c>
      <c r="O2635" s="141" t="s">
        <v>133</v>
      </c>
      <c r="P2635" s="136" t="str">
        <f>IFERROR(__xludf.DUMMYFUNCTION("""COMPUTED_VALUE"""),"")</f>
        <v/>
      </c>
      <c r="Q2635" s="136" t="str">
        <f>IFERROR(__xludf.DUMMYFUNCTION("""COMPUTED_VALUE"""),"")</f>
        <v/>
      </c>
      <c r="R2635" s="106" t="str">
        <f>IFERROR(__xludf.DUMMYFUNCTION("""COMPUTED_VALUE"""),"")</f>
        <v/>
      </c>
      <c r="S2635" s="106" t="str">
        <f>IFERROR(__xludf.DUMMYFUNCTION("""COMPUTED_VALUE"""),"")</f>
        <v/>
      </c>
      <c r="T2635" s="139" t="str">
        <f>IFERROR(__xludf.DUMMYFUNCTION("""COMPUTED_VALUE"""),"")</f>
        <v/>
      </c>
      <c r="U2635" s="139" t="str">
        <f>IFERROR(__xludf.DUMMYFUNCTION("""COMPUTED_VALUE"""),"")</f>
        <v/>
      </c>
      <c r="V2635" s="136" t="str">
        <f>IFERROR(__xludf.DUMMYFUNCTION("""COMPUTED_VALUE"""),"")</f>
        <v/>
      </c>
      <c r="W2635" s="106" t="str">
        <f>IFERROR(__xludf.DUMMYFUNCTION("""COMPUTED_VALUE"""),"")</f>
        <v/>
      </c>
      <c r="X2635" s="143" t="str">
        <f t="shared" si="2"/>
        <v/>
      </c>
      <c r="Y2635" s="139" t="str">
        <f>IFERROR(__xludf.DUMMYFUNCTION("""COMPUTED_VALUE"""),"")</f>
        <v/>
      </c>
      <c r="Z2635" s="141" t="str">
        <f>IFERROR(__xludf.DUMMYFUNCTION("""COMPUTED_VALUE"""),"")</f>
        <v/>
      </c>
    </row>
    <row r="2636">
      <c r="D2636" s="136" t="str">
        <f t="shared" si="3"/>
        <v/>
      </c>
      <c r="E2636" s="152"/>
      <c r="F2636" s="106" t="s">
        <v>133</v>
      </c>
      <c r="G2636" s="152"/>
      <c r="H2636" s="106" t="s">
        <v>133</v>
      </c>
      <c r="J2636" s="139" t="s">
        <v>133</v>
      </c>
      <c r="K2636" s="136" t="s">
        <v>133</v>
      </c>
      <c r="L2636" s="153"/>
      <c r="M2636" s="136" t="str">
        <f t="shared" si="1"/>
        <v/>
      </c>
      <c r="O2636" s="141" t="s">
        <v>133</v>
      </c>
      <c r="P2636" s="136" t="str">
        <f>IFERROR(__xludf.DUMMYFUNCTION("""COMPUTED_VALUE"""),"")</f>
        <v/>
      </c>
      <c r="Q2636" s="136" t="str">
        <f>IFERROR(__xludf.DUMMYFUNCTION("""COMPUTED_VALUE"""),"")</f>
        <v/>
      </c>
      <c r="R2636" s="106" t="str">
        <f>IFERROR(__xludf.DUMMYFUNCTION("""COMPUTED_VALUE"""),"")</f>
        <v/>
      </c>
      <c r="S2636" s="106" t="str">
        <f>IFERROR(__xludf.DUMMYFUNCTION("""COMPUTED_VALUE"""),"")</f>
        <v/>
      </c>
      <c r="T2636" s="139" t="str">
        <f>IFERROR(__xludf.DUMMYFUNCTION("""COMPUTED_VALUE"""),"")</f>
        <v/>
      </c>
      <c r="U2636" s="139" t="str">
        <f>IFERROR(__xludf.DUMMYFUNCTION("""COMPUTED_VALUE"""),"")</f>
        <v/>
      </c>
      <c r="V2636" s="136" t="str">
        <f>IFERROR(__xludf.DUMMYFUNCTION("""COMPUTED_VALUE"""),"")</f>
        <v/>
      </c>
      <c r="W2636" s="106" t="str">
        <f>IFERROR(__xludf.DUMMYFUNCTION("""COMPUTED_VALUE"""),"")</f>
        <v/>
      </c>
      <c r="X2636" s="143" t="str">
        <f t="shared" si="2"/>
        <v/>
      </c>
      <c r="Y2636" s="139" t="str">
        <f>IFERROR(__xludf.DUMMYFUNCTION("""COMPUTED_VALUE"""),"")</f>
        <v/>
      </c>
      <c r="Z2636" s="141" t="str">
        <f>IFERROR(__xludf.DUMMYFUNCTION("""COMPUTED_VALUE"""),"")</f>
        <v/>
      </c>
    </row>
    <row r="2637">
      <c r="D2637" s="136" t="str">
        <f t="shared" si="3"/>
        <v/>
      </c>
      <c r="E2637" s="152"/>
      <c r="F2637" s="106" t="s">
        <v>133</v>
      </c>
      <c r="G2637" s="152"/>
      <c r="H2637" s="106" t="s">
        <v>133</v>
      </c>
      <c r="J2637" s="139" t="s">
        <v>133</v>
      </c>
      <c r="K2637" s="136" t="s">
        <v>133</v>
      </c>
      <c r="L2637" s="153"/>
      <c r="M2637" s="136" t="str">
        <f t="shared" si="1"/>
        <v/>
      </c>
      <c r="O2637" s="141" t="s">
        <v>133</v>
      </c>
      <c r="P2637" s="136" t="str">
        <f>IFERROR(__xludf.DUMMYFUNCTION("""COMPUTED_VALUE"""),"")</f>
        <v/>
      </c>
      <c r="Q2637" s="136" t="str">
        <f>IFERROR(__xludf.DUMMYFUNCTION("""COMPUTED_VALUE"""),"")</f>
        <v/>
      </c>
      <c r="R2637" s="106" t="str">
        <f>IFERROR(__xludf.DUMMYFUNCTION("""COMPUTED_VALUE"""),"")</f>
        <v/>
      </c>
      <c r="S2637" s="106" t="str">
        <f>IFERROR(__xludf.DUMMYFUNCTION("""COMPUTED_VALUE"""),"")</f>
        <v/>
      </c>
      <c r="T2637" s="139" t="str">
        <f>IFERROR(__xludf.DUMMYFUNCTION("""COMPUTED_VALUE"""),"")</f>
        <v/>
      </c>
      <c r="U2637" s="139" t="str">
        <f>IFERROR(__xludf.DUMMYFUNCTION("""COMPUTED_VALUE"""),"")</f>
        <v/>
      </c>
      <c r="V2637" s="136" t="str">
        <f>IFERROR(__xludf.DUMMYFUNCTION("""COMPUTED_VALUE"""),"")</f>
        <v/>
      </c>
      <c r="W2637" s="106" t="str">
        <f>IFERROR(__xludf.DUMMYFUNCTION("""COMPUTED_VALUE"""),"")</f>
        <v/>
      </c>
      <c r="X2637" s="143" t="str">
        <f t="shared" si="2"/>
        <v/>
      </c>
      <c r="Y2637" s="139" t="str">
        <f>IFERROR(__xludf.DUMMYFUNCTION("""COMPUTED_VALUE"""),"")</f>
        <v/>
      </c>
      <c r="Z2637" s="141" t="str">
        <f>IFERROR(__xludf.DUMMYFUNCTION("""COMPUTED_VALUE"""),"")</f>
        <v/>
      </c>
    </row>
    <row r="2638">
      <c r="D2638" s="136" t="str">
        <f t="shared" si="3"/>
        <v/>
      </c>
      <c r="E2638" s="152"/>
      <c r="F2638" s="106" t="s">
        <v>133</v>
      </c>
      <c r="G2638" s="152"/>
      <c r="H2638" s="106" t="s">
        <v>133</v>
      </c>
      <c r="J2638" s="139" t="s">
        <v>133</v>
      </c>
      <c r="K2638" s="136" t="s">
        <v>133</v>
      </c>
      <c r="L2638" s="153"/>
      <c r="M2638" s="136" t="str">
        <f t="shared" si="1"/>
        <v/>
      </c>
      <c r="O2638" s="141" t="s">
        <v>133</v>
      </c>
      <c r="P2638" s="136" t="str">
        <f>IFERROR(__xludf.DUMMYFUNCTION("""COMPUTED_VALUE"""),"")</f>
        <v/>
      </c>
      <c r="Q2638" s="136" t="str">
        <f>IFERROR(__xludf.DUMMYFUNCTION("""COMPUTED_VALUE"""),"")</f>
        <v/>
      </c>
      <c r="R2638" s="106" t="str">
        <f>IFERROR(__xludf.DUMMYFUNCTION("""COMPUTED_VALUE"""),"")</f>
        <v/>
      </c>
      <c r="S2638" s="106" t="str">
        <f>IFERROR(__xludf.DUMMYFUNCTION("""COMPUTED_VALUE"""),"")</f>
        <v/>
      </c>
      <c r="T2638" s="139" t="str">
        <f>IFERROR(__xludf.DUMMYFUNCTION("""COMPUTED_VALUE"""),"")</f>
        <v/>
      </c>
      <c r="U2638" s="139" t="str">
        <f>IFERROR(__xludf.DUMMYFUNCTION("""COMPUTED_VALUE"""),"")</f>
        <v/>
      </c>
      <c r="V2638" s="136" t="str">
        <f>IFERROR(__xludf.DUMMYFUNCTION("""COMPUTED_VALUE"""),"")</f>
        <v/>
      </c>
      <c r="W2638" s="106" t="str">
        <f>IFERROR(__xludf.DUMMYFUNCTION("""COMPUTED_VALUE"""),"")</f>
        <v/>
      </c>
      <c r="X2638" s="143" t="str">
        <f t="shared" si="2"/>
        <v/>
      </c>
      <c r="Y2638" s="139" t="str">
        <f>IFERROR(__xludf.DUMMYFUNCTION("""COMPUTED_VALUE"""),"")</f>
        <v/>
      </c>
      <c r="Z2638" s="141" t="str">
        <f>IFERROR(__xludf.DUMMYFUNCTION("""COMPUTED_VALUE"""),"")</f>
        <v/>
      </c>
    </row>
    <row r="2639">
      <c r="D2639" s="136" t="str">
        <f t="shared" si="3"/>
        <v/>
      </c>
      <c r="E2639" s="152"/>
      <c r="F2639" s="106" t="s">
        <v>133</v>
      </c>
      <c r="G2639" s="152"/>
      <c r="H2639" s="106" t="s">
        <v>133</v>
      </c>
      <c r="J2639" s="139" t="s">
        <v>133</v>
      </c>
      <c r="K2639" s="136" t="s">
        <v>133</v>
      </c>
      <c r="L2639" s="153"/>
      <c r="M2639" s="136" t="str">
        <f t="shared" si="1"/>
        <v/>
      </c>
      <c r="O2639" s="141" t="s">
        <v>133</v>
      </c>
      <c r="P2639" s="136" t="str">
        <f>IFERROR(__xludf.DUMMYFUNCTION("""COMPUTED_VALUE"""),"")</f>
        <v/>
      </c>
      <c r="Q2639" s="136" t="str">
        <f>IFERROR(__xludf.DUMMYFUNCTION("""COMPUTED_VALUE"""),"")</f>
        <v/>
      </c>
      <c r="R2639" s="106" t="str">
        <f>IFERROR(__xludf.DUMMYFUNCTION("""COMPUTED_VALUE"""),"")</f>
        <v/>
      </c>
      <c r="S2639" s="106" t="str">
        <f>IFERROR(__xludf.DUMMYFUNCTION("""COMPUTED_VALUE"""),"")</f>
        <v/>
      </c>
      <c r="T2639" s="139" t="str">
        <f>IFERROR(__xludf.DUMMYFUNCTION("""COMPUTED_VALUE"""),"")</f>
        <v/>
      </c>
      <c r="U2639" s="139" t="str">
        <f>IFERROR(__xludf.DUMMYFUNCTION("""COMPUTED_VALUE"""),"")</f>
        <v/>
      </c>
      <c r="V2639" s="136" t="str">
        <f>IFERROR(__xludf.DUMMYFUNCTION("""COMPUTED_VALUE"""),"")</f>
        <v/>
      </c>
      <c r="W2639" s="106" t="str">
        <f>IFERROR(__xludf.DUMMYFUNCTION("""COMPUTED_VALUE"""),"")</f>
        <v/>
      </c>
      <c r="X2639" s="143" t="str">
        <f t="shared" si="2"/>
        <v/>
      </c>
      <c r="Y2639" s="139" t="str">
        <f>IFERROR(__xludf.DUMMYFUNCTION("""COMPUTED_VALUE"""),"")</f>
        <v/>
      </c>
      <c r="Z2639" s="141" t="str">
        <f>IFERROR(__xludf.DUMMYFUNCTION("""COMPUTED_VALUE"""),"")</f>
        <v/>
      </c>
    </row>
    <row r="2640">
      <c r="D2640" s="136" t="str">
        <f t="shared" si="3"/>
        <v/>
      </c>
      <c r="E2640" s="152"/>
      <c r="F2640" s="106" t="s">
        <v>133</v>
      </c>
      <c r="G2640" s="152"/>
      <c r="H2640" s="106" t="s">
        <v>133</v>
      </c>
      <c r="J2640" s="139" t="s">
        <v>133</v>
      </c>
      <c r="K2640" s="136" t="s">
        <v>133</v>
      </c>
      <c r="L2640" s="153"/>
      <c r="M2640" s="136" t="str">
        <f t="shared" si="1"/>
        <v/>
      </c>
      <c r="O2640" s="141" t="s">
        <v>133</v>
      </c>
      <c r="P2640" s="136" t="str">
        <f>IFERROR(__xludf.DUMMYFUNCTION("""COMPUTED_VALUE"""),"")</f>
        <v/>
      </c>
      <c r="Q2640" s="136" t="str">
        <f>IFERROR(__xludf.DUMMYFUNCTION("""COMPUTED_VALUE"""),"")</f>
        <v/>
      </c>
      <c r="R2640" s="106" t="str">
        <f>IFERROR(__xludf.DUMMYFUNCTION("""COMPUTED_VALUE"""),"")</f>
        <v/>
      </c>
      <c r="S2640" s="106" t="str">
        <f>IFERROR(__xludf.DUMMYFUNCTION("""COMPUTED_VALUE"""),"")</f>
        <v/>
      </c>
      <c r="T2640" s="139" t="str">
        <f>IFERROR(__xludf.DUMMYFUNCTION("""COMPUTED_VALUE"""),"")</f>
        <v/>
      </c>
      <c r="U2640" s="139" t="str">
        <f>IFERROR(__xludf.DUMMYFUNCTION("""COMPUTED_VALUE"""),"")</f>
        <v/>
      </c>
      <c r="V2640" s="136" t="str">
        <f>IFERROR(__xludf.DUMMYFUNCTION("""COMPUTED_VALUE"""),"")</f>
        <v/>
      </c>
      <c r="W2640" s="106" t="str">
        <f>IFERROR(__xludf.DUMMYFUNCTION("""COMPUTED_VALUE"""),"")</f>
        <v/>
      </c>
      <c r="X2640" s="143" t="str">
        <f t="shared" si="2"/>
        <v/>
      </c>
      <c r="Y2640" s="139" t="str">
        <f>IFERROR(__xludf.DUMMYFUNCTION("""COMPUTED_VALUE"""),"")</f>
        <v/>
      </c>
      <c r="Z2640" s="141" t="str">
        <f>IFERROR(__xludf.DUMMYFUNCTION("""COMPUTED_VALUE"""),"")</f>
        <v/>
      </c>
    </row>
    <row r="2641">
      <c r="D2641" s="136" t="str">
        <f t="shared" si="3"/>
        <v/>
      </c>
      <c r="E2641" s="152"/>
      <c r="F2641" s="106" t="s">
        <v>133</v>
      </c>
      <c r="G2641" s="152"/>
      <c r="H2641" s="106" t="s">
        <v>133</v>
      </c>
      <c r="J2641" s="139" t="s">
        <v>133</v>
      </c>
      <c r="K2641" s="136" t="s">
        <v>133</v>
      </c>
      <c r="L2641" s="153"/>
      <c r="M2641" s="136" t="str">
        <f t="shared" si="1"/>
        <v/>
      </c>
      <c r="O2641" s="141" t="s">
        <v>133</v>
      </c>
      <c r="P2641" s="136" t="str">
        <f>IFERROR(__xludf.DUMMYFUNCTION("""COMPUTED_VALUE"""),"")</f>
        <v/>
      </c>
      <c r="Q2641" s="136" t="str">
        <f>IFERROR(__xludf.DUMMYFUNCTION("""COMPUTED_VALUE"""),"")</f>
        <v/>
      </c>
      <c r="R2641" s="106" t="str">
        <f>IFERROR(__xludf.DUMMYFUNCTION("""COMPUTED_VALUE"""),"")</f>
        <v/>
      </c>
      <c r="S2641" s="106" t="str">
        <f>IFERROR(__xludf.DUMMYFUNCTION("""COMPUTED_VALUE"""),"")</f>
        <v/>
      </c>
      <c r="T2641" s="139" t="str">
        <f>IFERROR(__xludf.DUMMYFUNCTION("""COMPUTED_VALUE"""),"")</f>
        <v/>
      </c>
      <c r="U2641" s="139" t="str">
        <f>IFERROR(__xludf.DUMMYFUNCTION("""COMPUTED_VALUE"""),"")</f>
        <v/>
      </c>
      <c r="V2641" s="136" t="str">
        <f>IFERROR(__xludf.DUMMYFUNCTION("""COMPUTED_VALUE"""),"")</f>
        <v/>
      </c>
      <c r="W2641" s="106" t="str">
        <f>IFERROR(__xludf.DUMMYFUNCTION("""COMPUTED_VALUE"""),"")</f>
        <v/>
      </c>
      <c r="X2641" s="143" t="str">
        <f t="shared" si="2"/>
        <v/>
      </c>
      <c r="Y2641" s="139" t="str">
        <f>IFERROR(__xludf.DUMMYFUNCTION("""COMPUTED_VALUE"""),"")</f>
        <v/>
      </c>
      <c r="Z2641" s="141" t="str">
        <f>IFERROR(__xludf.DUMMYFUNCTION("""COMPUTED_VALUE"""),"")</f>
        <v/>
      </c>
    </row>
    <row r="2642">
      <c r="D2642" s="136" t="str">
        <f t="shared" si="3"/>
        <v/>
      </c>
      <c r="E2642" s="152"/>
      <c r="F2642" s="106" t="s">
        <v>133</v>
      </c>
      <c r="G2642" s="152"/>
      <c r="H2642" s="106" t="s">
        <v>133</v>
      </c>
      <c r="J2642" s="139" t="s">
        <v>133</v>
      </c>
      <c r="K2642" s="136" t="s">
        <v>133</v>
      </c>
      <c r="L2642" s="153"/>
      <c r="M2642" s="136" t="str">
        <f t="shared" si="1"/>
        <v/>
      </c>
      <c r="O2642" s="141" t="s">
        <v>133</v>
      </c>
      <c r="P2642" s="136" t="str">
        <f>IFERROR(__xludf.DUMMYFUNCTION("""COMPUTED_VALUE"""),"")</f>
        <v/>
      </c>
      <c r="Q2642" s="136" t="str">
        <f>IFERROR(__xludf.DUMMYFUNCTION("""COMPUTED_VALUE"""),"")</f>
        <v/>
      </c>
      <c r="R2642" s="106" t="str">
        <f>IFERROR(__xludf.DUMMYFUNCTION("""COMPUTED_VALUE"""),"")</f>
        <v/>
      </c>
      <c r="S2642" s="106" t="str">
        <f>IFERROR(__xludf.DUMMYFUNCTION("""COMPUTED_VALUE"""),"")</f>
        <v/>
      </c>
      <c r="T2642" s="139" t="str">
        <f>IFERROR(__xludf.DUMMYFUNCTION("""COMPUTED_VALUE"""),"")</f>
        <v/>
      </c>
      <c r="U2642" s="139" t="str">
        <f>IFERROR(__xludf.DUMMYFUNCTION("""COMPUTED_VALUE"""),"")</f>
        <v/>
      </c>
      <c r="V2642" s="136" t="str">
        <f>IFERROR(__xludf.DUMMYFUNCTION("""COMPUTED_VALUE"""),"")</f>
        <v/>
      </c>
      <c r="W2642" s="106" t="str">
        <f>IFERROR(__xludf.DUMMYFUNCTION("""COMPUTED_VALUE"""),"")</f>
        <v/>
      </c>
      <c r="X2642" s="143" t="str">
        <f t="shared" si="2"/>
        <v/>
      </c>
      <c r="Y2642" s="139" t="str">
        <f>IFERROR(__xludf.DUMMYFUNCTION("""COMPUTED_VALUE"""),"")</f>
        <v/>
      </c>
      <c r="Z2642" s="141" t="str">
        <f>IFERROR(__xludf.DUMMYFUNCTION("""COMPUTED_VALUE"""),"")</f>
        <v/>
      </c>
    </row>
    <row r="2643">
      <c r="D2643" s="136" t="str">
        <f t="shared" si="3"/>
        <v/>
      </c>
      <c r="E2643" s="152"/>
      <c r="F2643" s="106" t="s">
        <v>133</v>
      </c>
      <c r="G2643" s="152"/>
      <c r="H2643" s="106" t="s">
        <v>133</v>
      </c>
      <c r="J2643" s="139" t="s">
        <v>133</v>
      </c>
      <c r="K2643" s="136" t="s">
        <v>133</v>
      </c>
      <c r="L2643" s="153"/>
      <c r="M2643" s="136" t="str">
        <f t="shared" si="1"/>
        <v/>
      </c>
      <c r="O2643" s="141" t="s">
        <v>133</v>
      </c>
      <c r="P2643" s="136" t="str">
        <f>IFERROR(__xludf.DUMMYFUNCTION("""COMPUTED_VALUE"""),"")</f>
        <v/>
      </c>
      <c r="Q2643" s="136" t="str">
        <f>IFERROR(__xludf.DUMMYFUNCTION("""COMPUTED_VALUE"""),"")</f>
        <v/>
      </c>
      <c r="R2643" s="106" t="str">
        <f>IFERROR(__xludf.DUMMYFUNCTION("""COMPUTED_VALUE"""),"")</f>
        <v/>
      </c>
      <c r="S2643" s="106" t="str">
        <f>IFERROR(__xludf.DUMMYFUNCTION("""COMPUTED_VALUE"""),"")</f>
        <v/>
      </c>
      <c r="T2643" s="139" t="str">
        <f>IFERROR(__xludf.DUMMYFUNCTION("""COMPUTED_VALUE"""),"")</f>
        <v/>
      </c>
      <c r="U2643" s="139" t="str">
        <f>IFERROR(__xludf.DUMMYFUNCTION("""COMPUTED_VALUE"""),"")</f>
        <v/>
      </c>
      <c r="V2643" s="136" t="str">
        <f>IFERROR(__xludf.DUMMYFUNCTION("""COMPUTED_VALUE"""),"")</f>
        <v/>
      </c>
      <c r="W2643" s="106" t="str">
        <f>IFERROR(__xludf.DUMMYFUNCTION("""COMPUTED_VALUE"""),"")</f>
        <v/>
      </c>
      <c r="X2643" s="143" t="str">
        <f t="shared" si="2"/>
        <v/>
      </c>
      <c r="Y2643" s="139" t="str">
        <f>IFERROR(__xludf.DUMMYFUNCTION("""COMPUTED_VALUE"""),"")</f>
        <v/>
      </c>
      <c r="Z2643" s="141" t="str">
        <f>IFERROR(__xludf.DUMMYFUNCTION("""COMPUTED_VALUE"""),"")</f>
        <v/>
      </c>
    </row>
    <row r="2644">
      <c r="D2644" s="136" t="str">
        <f t="shared" si="3"/>
        <v/>
      </c>
      <c r="E2644" s="152"/>
      <c r="F2644" s="106" t="s">
        <v>133</v>
      </c>
      <c r="G2644" s="152"/>
      <c r="H2644" s="106" t="s">
        <v>133</v>
      </c>
      <c r="J2644" s="139" t="s">
        <v>133</v>
      </c>
      <c r="K2644" s="136" t="s">
        <v>133</v>
      </c>
      <c r="L2644" s="153"/>
      <c r="M2644" s="136" t="str">
        <f t="shared" si="1"/>
        <v/>
      </c>
      <c r="O2644" s="141" t="s">
        <v>133</v>
      </c>
      <c r="P2644" s="136" t="str">
        <f>IFERROR(__xludf.DUMMYFUNCTION("""COMPUTED_VALUE"""),"")</f>
        <v/>
      </c>
      <c r="Q2644" s="136" t="str">
        <f>IFERROR(__xludf.DUMMYFUNCTION("""COMPUTED_VALUE"""),"")</f>
        <v/>
      </c>
      <c r="R2644" s="106" t="str">
        <f>IFERROR(__xludf.DUMMYFUNCTION("""COMPUTED_VALUE"""),"")</f>
        <v/>
      </c>
      <c r="S2644" s="106" t="str">
        <f>IFERROR(__xludf.DUMMYFUNCTION("""COMPUTED_VALUE"""),"")</f>
        <v/>
      </c>
      <c r="T2644" s="139" t="str">
        <f>IFERROR(__xludf.DUMMYFUNCTION("""COMPUTED_VALUE"""),"")</f>
        <v/>
      </c>
      <c r="U2644" s="139" t="str">
        <f>IFERROR(__xludf.DUMMYFUNCTION("""COMPUTED_VALUE"""),"")</f>
        <v/>
      </c>
      <c r="V2644" s="136" t="str">
        <f>IFERROR(__xludf.DUMMYFUNCTION("""COMPUTED_VALUE"""),"")</f>
        <v/>
      </c>
      <c r="W2644" s="106" t="str">
        <f>IFERROR(__xludf.DUMMYFUNCTION("""COMPUTED_VALUE"""),"")</f>
        <v/>
      </c>
      <c r="X2644" s="143" t="str">
        <f t="shared" si="2"/>
        <v/>
      </c>
      <c r="Y2644" s="139" t="str">
        <f>IFERROR(__xludf.DUMMYFUNCTION("""COMPUTED_VALUE"""),"")</f>
        <v/>
      </c>
      <c r="Z2644" s="141" t="str">
        <f>IFERROR(__xludf.DUMMYFUNCTION("""COMPUTED_VALUE"""),"")</f>
        <v/>
      </c>
    </row>
    <row r="2645">
      <c r="D2645" s="136" t="str">
        <f t="shared" si="3"/>
        <v/>
      </c>
      <c r="E2645" s="152"/>
      <c r="F2645" s="106" t="s">
        <v>133</v>
      </c>
      <c r="G2645" s="152"/>
      <c r="H2645" s="106" t="s">
        <v>133</v>
      </c>
      <c r="J2645" s="139" t="s">
        <v>133</v>
      </c>
      <c r="K2645" s="136" t="s">
        <v>133</v>
      </c>
      <c r="L2645" s="153"/>
      <c r="M2645" s="136" t="str">
        <f t="shared" si="1"/>
        <v/>
      </c>
      <c r="O2645" s="141" t="s">
        <v>133</v>
      </c>
      <c r="P2645" s="136" t="str">
        <f>IFERROR(__xludf.DUMMYFUNCTION("""COMPUTED_VALUE"""),"")</f>
        <v/>
      </c>
      <c r="Q2645" s="136" t="str">
        <f>IFERROR(__xludf.DUMMYFUNCTION("""COMPUTED_VALUE"""),"")</f>
        <v/>
      </c>
      <c r="R2645" s="106" t="str">
        <f>IFERROR(__xludf.DUMMYFUNCTION("""COMPUTED_VALUE"""),"")</f>
        <v/>
      </c>
      <c r="S2645" s="106" t="str">
        <f>IFERROR(__xludf.DUMMYFUNCTION("""COMPUTED_VALUE"""),"")</f>
        <v/>
      </c>
      <c r="T2645" s="139" t="str">
        <f>IFERROR(__xludf.DUMMYFUNCTION("""COMPUTED_VALUE"""),"")</f>
        <v/>
      </c>
      <c r="U2645" s="139" t="str">
        <f>IFERROR(__xludf.DUMMYFUNCTION("""COMPUTED_VALUE"""),"")</f>
        <v/>
      </c>
      <c r="V2645" s="136" t="str">
        <f>IFERROR(__xludf.DUMMYFUNCTION("""COMPUTED_VALUE"""),"")</f>
        <v/>
      </c>
      <c r="W2645" s="106" t="str">
        <f>IFERROR(__xludf.DUMMYFUNCTION("""COMPUTED_VALUE"""),"")</f>
        <v/>
      </c>
      <c r="X2645" s="143" t="str">
        <f t="shared" si="2"/>
        <v/>
      </c>
      <c r="Y2645" s="139" t="str">
        <f>IFERROR(__xludf.DUMMYFUNCTION("""COMPUTED_VALUE"""),"")</f>
        <v/>
      </c>
      <c r="Z2645" s="141" t="str">
        <f>IFERROR(__xludf.DUMMYFUNCTION("""COMPUTED_VALUE"""),"")</f>
        <v/>
      </c>
    </row>
    <row r="2646">
      <c r="D2646" s="136" t="str">
        <f t="shared" si="3"/>
        <v/>
      </c>
      <c r="E2646" s="152"/>
      <c r="F2646" s="106" t="s">
        <v>133</v>
      </c>
      <c r="G2646" s="152"/>
      <c r="H2646" s="106" t="s">
        <v>133</v>
      </c>
      <c r="J2646" s="139" t="s">
        <v>133</v>
      </c>
      <c r="K2646" s="136" t="s">
        <v>133</v>
      </c>
      <c r="L2646" s="153"/>
      <c r="M2646" s="136" t="str">
        <f t="shared" si="1"/>
        <v/>
      </c>
      <c r="O2646" s="141" t="s">
        <v>133</v>
      </c>
      <c r="P2646" s="136" t="str">
        <f>IFERROR(__xludf.DUMMYFUNCTION("""COMPUTED_VALUE"""),"")</f>
        <v/>
      </c>
      <c r="Q2646" s="136" t="str">
        <f>IFERROR(__xludf.DUMMYFUNCTION("""COMPUTED_VALUE"""),"")</f>
        <v/>
      </c>
      <c r="R2646" s="106" t="str">
        <f>IFERROR(__xludf.DUMMYFUNCTION("""COMPUTED_VALUE"""),"")</f>
        <v/>
      </c>
      <c r="S2646" s="106" t="str">
        <f>IFERROR(__xludf.DUMMYFUNCTION("""COMPUTED_VALUE"""),"")</f>
        <v/>
      </c>
      <c r="T2646" s="139" t="str">
        <f>IFERROR(__xludf.DUMMYFUNCTION("""COMPUTED_VALUE"""),"")</f>
        <v/>
      </c>
      <c r="U2646" s="139" t="str">
        <f>IFERROR(__xludf.DUMMYFUNCTION("""COMPUTED_VALUE"""),"")</f>
        <v/>
      </c>
      <c r="V2646" s="136" t="str">
        <f>IFERROR(__xludf.DUMMYFUNCTION("""COMPUTED_VALUE"""),"")</f>
        <v/>
      </c>
      <c r="W2646" s="106" t="str">
        <f>IFERROR(__xludf.DUMMYFUNCTION("""COMPUTED_VALUE"""),"")</f>
        <v/>
      </c>
      <c r="X2646" s="143" t="str">
        <f t="shared" si="2"/>
        <v/>
      </c>
      <c r="Y2646" s="139" t="str">
        <f>IFERROR(__xludf.DUMMYFUNCTION("""COMPUTED_VALUE"""),"")</f>
        <v/>
      </c>
      <c r="Z2646" s="141" t="str">
        <f>IFERROR(__xludf.DUMMYFUNCTION("""COMPUTED_VALUE"""),"")</f>
        <v/>
      </c>
    </row>
    <row r="2647">
      <c r="D2647" s="136" t="str">
        <f t="shared" si="3"/>
        <v/>
      </c>
      <c r="E2647" s="152"/>
      <c r="F2647" s="106" t="s">
        <v>133</v>
      </c>
      <c r="G2647" s="152"/>
      <c r="H2647" s="106" t="s">
        <v>133</v>
      </c>
      <c r="J2647" s="139" t="s">
        <v>133</v>
      </c>
      <c r="K2647" s="136" t="s">
        <v>133</v>
      </c>
      <c r="L2647" s="153"/>
      <c r="M2647" s="136" t="str">
        <f t="shared" si="1"/>
        <v/>
      </c>
      <c r="O2647" s="141" t="s">
        <v>133</v>
      </c>
      <c r="P2647" s="136" t="str">
        <f>IFERROR(__xludf.DUMMYFUNCTION("""COMPUTED_VALUE"""),"")</f>
        <v/>
      </c>
      <c r="Q2647" s="136" t="str">
        <f>IFERROR(__xludf.DUMMYFUNCTION("""COMPUTED_VALUE"""),"")</f>
        <v/>
      </c>
      <c r="R2647" s="106" t="str">
        <f>IFERROR(__xludf.DUMMYFUNCTION("""COMPUTED_VALUE"""),"")</f>
        <v/>
      </c>
      <c r="S2647" s="106" t="str">
        <f>IFERROR(__xludf.DUMMYFUNCTION("""COMPUTED_VALUE"""),"")</f>
        <v/>
      </c>
      <c r="T2647" s="139" t="str">
        <f>IFERROR(__xludf.DUMMYFUNCTION("""COMPUTED_VALUE"""),"")</f>
        <v/>
      </c>
      <c r="U2647" s="139" t="str">
        <f>IFERROR(__xludf.DUMMYFUNCTION("""COMPUTED_VALUE"""),"")</f>
        <v/>
      </c>
      <c r="V2647" s="136" t="str">
        <f>IFERROR(__xludf.DUMMYFUNCTION("""COMPUTED_VALUE"""),"")</f>
        <v/>
      </c>
      <c r="W2647" s="106" t="str">
        <f>IFERROR(__xludf.DUMMYFUNCTION("""COMPUTED_VALUE"""),"")</f>
        <v/>
      </c>
      <c r="X2647" s="143" t="str">
        <f t="shared" si="2"/>
        <v/>
      </c>
      <c r="Y2647" s="139" t="str">
        <f>IFERROR(__xludf.DUMMYFUNCTION("""COMPUTED_VALUE"""),"")</f>
        <v/>
      </c>
      <c r="Z2647" s="141" t="str">
        <f>IFERROR(__xludf.DUMMYFUNCTION("""COMPUTED_VALUE"""),"")</f>
        <v/>
      </c>
    </row>
    <row r="2648">
      <c r="D2648" s="136" t="str">
        <f t="shared" si="3"/>
        <v/>
      </c>
      <c r="E2648" s="152"/>
      <c r="F2648" s="106" t="s">
        <v>133</v>
      </c>
      <c r="G2648" s="152"/>
      <c r="H2648" s="106" t="s">
        <v>133</v>
      </c>
      <c r="J2648" s="139" t="s">
        <v>133</v>
      </c>
      <c r="K2648" s="136" t="s">
        <v>133</v>
      </c>
      <c r="L2648" s="153"/>
      <c r="M2648" s="136" t="str">
        <f t="shared" si="1"/>
        <v/>
      </c>
      <c r="O2648" s="141" t="s">
        <v>133</v>
      </c>
      <c r="P2648" s="136" t="str">
        <f>IFERROR(__xludf.DUMMYFUNCTION("""COMPUTED_VALUE"""),"")</f>
        <v/>
      </c>
      <c r="Q2648" s="136" t="str">
        <f>IFERROR(__xludf.DUMMYFUNCTION("""COMPUTED_VALUE"""),"")</f>
        <v/>
      </c>
      <c r="R2648" s="106" t="str">
        <f>IFERROR(__xludf.DUMMYFUNCTION("""COMPUTED_VALUE"""),"")</f>
        <v/>
      </c>
      <c r="S2648" s="106" t="str">
        <f>IFERROR(__xludf.DUMMYFUNCTION("""COMPUTED_VALUE"""),"")</f>
        <v/>
      </c>
      <c r="T2648" s="139" t="str">
        <f>IFERROR(__xludf.DUMMYFUNCTION("""COMPUTED_VALUE"""),"")</f>
        <v/>
      </c>
      <c r="U2648" s="139" t="str">
        <f>IFERROR(__xludf.DUMMYFUNCTION("""COMPUTED_VALUE"""),"")</f>
        <v/>
      </c>
      <c r="V2648" s="136" t="str">
        <f>IFERROR(__xludf.DUMMYFUNCTION("""COMPUTED_VALUE"""),"")</f>
        <v/>
      </c>
      <c r="W2648" s="106" t="str">
        <f>IFERROR(__xludf.DUMMYFUNCTION("""COMPUTED_VALUE"""),"")</f>
        <v/>
      </c>
      <c r="X2648" s="143" t="str">
        <f t="shared" si="2"/>
        <v/>
      </c>
      <c r="Y2648" s="139" t="str">
        <f>IFERROR(__xludf.DUMMYFUNCTION("""COMPUTED_VALUE"""),"")</f>
        <v/>
      </c>
      <c r="Z2648" s="141" t="str">
        <f>IFERROR(__xludf.DUMMYFUNCTION("""COMPUTED_VALUE"""),"")</f>
        <v/>
      </c>
    </row>
    <row r="2649">
      <c r="D2649" s="136" t="str">
        <f t="shared" si="3"/>
        <v/>
      </c>
      <c r="E2649" s="152"/>
      <c r="F2649" s="106" t="s">
        <v>133</v>
      </c>
      <c r="G2649" s="152"/>
      <c r="H2649" s="106" t="s">
        <v>133</v>
      </c>
      <c r="J2649" s="139" t="s">
        <v>133</v>
      </c>
      <c r="K2649" s="136" t="s">
        <v>133</v>
      </c>
      <c r="L2649" s="153"/>
      <c r="M2649" s="136" t="str">
        <f t="shared" si="1"/>
        <v/>
      </c>
      <c r="O2649" s="141" t="s">
        <v>133</v>
      </c>
      <c r="P2649" s="136" t="str">
        <f>IFERROR(__xludf.DUMMYFUNCTION("""COMPUTED_VALUE"""),"")</f>
        <v/>
      </c>
      <c r="Q2649" s="136" t="str">
        <f>IFERROR(__xludf.DUMMYFUNCTION("""COMPUTED_VALUE"""),"")</f>
        <v/>
      </c>
      <c r="R2649" s="106" t="str">
        <f>IFERROR(__xludf.DUMMYFUNCTION("""COMPUTED_VALUE"""),"")</f>
        <v/>
      </c>
      <c r="S2649" s="106" t="str">
        <f>IFERROR(__xludf.DUMMYFUNCTION("""COMPUTED_VALUE"""),"")</f>
        <v/>
      </c>
      <c r="T2649" s="139" t="str">
        <f>IFERROR(__xludf.DUMMYFUNCTION("""COMPUTED_VALUE"""),"")</f>
        <v/>
      </c>
      <c r="U2649" s="139" t="str">
        <f>IFERROR(__xludf.DUMMYFUNCTION("""COMPUTED_VALUE"""),"")</f>
        <v/>
      </c>
      <c r="V2649" s="136" t="str">
        <f>IFERROR(__xludf.DUMMYFUNCTION("""COMPUTED_VALUE"""),"")</f>
        <v/>
      </c>
      <c r="W2649" s="106" t="str">
        <f>IFERROR(__xludf.DUMMYFUNCTION("""COMPUTED_VALUE"""),"")</f>
        <v/>
      </c>
      <c r="X2649" s="143" t="str">
        <f t="shared" si="2"/>
        <v/>
      </c>
      <c r="Y2649" s="139" t="str">
        <f>IFERROR(__xludf.DUMMYFUNCTION("""COMPUTED_VALUE"""),"")</f>
        <v/>
      </c>
      <c r="Z2649" s="141" t="str">
        <f>IFERROR(__xludf.DUMMYFUNCTION("""COMPUTED_VALUE"""),"")</f>
        <v/>
      </c>
    </row>
    <row r="2650">
      <c r="D2650" s="136" t="str">
        <f t="shared" si="3"/>
        <v/>
      </c>
      <c r="E2650" s="152"/>
      <c r="F2650" s="106" t="s">
        <v>133</v>
      </c>
      <c r="G2650" s="152"/>
      <c r="H2650" s="106" t="s">
        <v>133</v>
      </c>
      <c r="J2650" s="139" t="s">
        <v>133</v>
      </c>
      <c r="K2650" s="136" t="s">
        <v>133</v>
      </c>
      <c r="L2650" s="153"/>
      <c r="M2650" s="136" t="str">
        <f t="shared" si="1"/>
        <v/>
      </c>
      <c r="O2650" s="141" t="s">
        <v>133</v>
      </c>
      <c r="P2650" s="136" t="str">
        <f>IFERROR(__xludf.DUMMYFUNCTION("""COMPUTED_VALUE"""),"")</f>
        <v/>
      </c>
      <c r="Q2650" s="136" t="str">
        <f>IFERROR(__xludf.DUMMYFUNCTION("""COMPUTED_VALUE"""),"")</f>
        <v/>
      </c>
      <c r="R2650" s="106" t="str">
        <f>IFERROR(__xludf.DUMMYFUNCTION("""COMPUTED_VALUE"""),"")</f>
        <v/>
      </c>
      <c r="S2650" s="106" t="str">
        <f>IFERROR(__xludf.DUMMYFUNCTION("""COMPUTED_VALUE"""),"")</f>
        <v/>
      </c>
      <c r="T2650" s="139" t="str">
        <f>IFERROR(__xludf.DUMMYFUNCTION("""COMPUTED_VALUE"""),"")</f>
        <v/>
      </c>
      <c r="U2650" s="139" t="str">
        <f>IFERROR(__xludf.DUMMYFUNCTION("""COMPUTED_VALUE"""),"")</f>
        <v/>
      </c>
      <c r="V2650" s="136" t="str">
        <f>IFERROR(__xludf.DUMMYFUNCTION("""COMPUTED_VALUE"""),"")</f>
        <v/>
      </c>
      <c r="W2650" s="106" t="str">
        <f>IFERROR(__xludf.DUMMYFUNCTION("""COMPUTED_VALUE"""),"")</f>
        <v/>
      </c>
      <c r="X2650" s="143" t="str">
        <f t="shared" si="2"/>
        <v/>
      </c>
      <c r="Y2650" s="139" t="str">
        <f>IFERROR(__xludf.DUMMYFUNCTION("""COMPUTED_VALUE"""),"")</f>
        <v/>
      </c>
      <c r="Z2650" s="141" t="str">
        <f>IFERROR(__xludf.DUMMYFUNCTION("""COMPUTED_VALUE"""),"")</f>
        <v/>
      </c>
    </row>
    <row r="2651">
      <c r="D2651" s="136" t="str">
        <f t="shared" si="3"/>
        <v/>
      </c>
      <c r="E2651" s="152"/>
      <c r="F2651" s="106" t="s">
        <v>133</v>
      </c>
      <c r="G2651" s="152"/>
      <c r="H2651" s="106" t="s">
        <v>133</v>
      </c>
      <c r="J2651" s="139" t="s">
        <v>133</v>
      </c>
      <c r="K2651" s="136" t="s">
        <v>133</v>
      </c>
      <c r="L2651" s="153"/>
      <c r="M2651" s="136" t="str">
        <f t="shared" si="1"/>
        <v/>
      </c>
      <c r="O2651" s="141" t="s">
        <v>133</v>
      </c>
      <c r="P2651" s="136" t="str">
        <f>IFERROR(__xludf.DUMMYFUNCTION("""COMPUTED_VALUE"""),"")</f>
        <v/>
      </c>
      <c r="Q2651" s="136" t="str">
        <f>IFERROR(__xludf.DUMMYFUNCTION("""COMPUTED_VALUE"""),"")</f>
        <v/>
      </c>
      <c r="R2651" s="106" t="str">
        <f>IFERROR(__xludf.DUMMYFUNCTION("""COMPUTED_VALUE"""),"")</f>
        <v/>
      </c>
      <c r="S2651" s="106" t="str">
        <f>IFERROR(__xludf.DUMMYFUNCTION("""COMPUTED_VALUE"""),"")</f>
        <v/>
      </c>
      <c r="T2651" s="139" t="str">
        <f>IFERROR(__xludf.DUMMYFUNCTION("""COMPUTED_VALUE"""),"")</f>
        <v/>
      </c>
      <c r="U2651" s="139" t="str">
        <f>IFERROR(__xludf.DUMMYFUNCTION("""COMPUTED_VALUE"""),"")</f>
        <v/>
      </c>
      <c r="V2651" s="136" t="str">
        <f>IFERROR(__xludf.DUMMYFUNCTION("""COMPUTED_VALUE"""),"")</f>
        <v/>
      </c>
      <c r="W2651" s="106" t="str">
        <f>IFERROR(__xludf.DUMMYFUNCTION("""COMPUTED_VALUE"""),"")</f>
        <v/>
      </c>
      <c r="X2651" s="143" t="str">
        <f t="shared" si="2"/>
        <v/>
      </c>
      <c r="Y2651" s="139" t="str">
        <f>IFERROR(__xludf.DUMMYFUNCTION("""COMPUTED_VALUE"""),"")</f>
        <v/>
      </c>
      <c r="Z2651" s="141" t="str">
        <f>IFERROR(__xludf.DUMMYFUNCTION("""COMPUTED_VALUE"""),"")</f>
        <v/>
      </c>
    </row>
    <row r="2652">
      <c r="D2652" s="136" t="str">
        <f t="shared" si="3"/>
        <v/>
      </c>
      <c r="E2652" s="152"/>
      <c r="F2652" s="106" t="s">
        <v>133</v>
      </c>
      <c r="G2652" s="152"/>
      <c r="H2652" s="106" t="s">
        <v>133</v>
      </c>
      <c r="J2652" s="139" t="s">
        <v>133</v>
      </c>
      <c r="K2652" s="136" t="s">
        <v>133</v>
      </c>
      <c r="L2652" s="153"/>
      <c r="M2652" s="136" t="str">
        <f t="shared" si="1"/>
        <v/>
      </c>
      <c r="O2652" s="141" t="s">
        <v>133</v>
      </c>
      <c r="P2652" s="136" t="str">
        <f>IFERROR(__xludf.DUMMYFUNCTION("""COMPUTED_VALUE"""),"")</f>
        <v/>
      </c>
      <c r="Q2652" s="136" t="str">
        <f>IFERROR(__xludf.DUMMYFUNCTION("""COMPUTED_VALUE"""),"")</f>
        <v/>
      </c>
      <c r="R2652" s="106" t="str">
        <f>IFERROR(__xludf.DUMMYFUNCTION("""COMPUTED_VALUE"""),"")</f>
        <v/>
      </c>
      <c r="S2652" s="106" t="str">
        <f>IFERROR(__xludf.DUMMYFUNCTION("""COMPUTED_VALUE"""),"")</f>
        <v/>
      </c>
      <c r="T2652" s="139" t="str">
        <f>IFERROR(__xludf.DUMMYFUNCTION("""COMPUTED_VALUE"""),"")</f>
        <v/>
      </c>
      <c r="U2652" s="139" t="str">
        <f>IFERROR(__xludf.DUMMYFUNCTION("""COMPUTED_VALUE"""),"")</f>
        <v/>
      </c>
      <c r="V2652" s="136" t="str">
        <f>IFERROR(__xludf.DUMMYFUNCTION("""COMPUTED_VALUE"""),"")</f>
        <v/>
      </c>
      <c r="W2652" s="106" t="str">
        <f>IFERROR(__xludf.DUMMYFUNCTION("""COMPUTED_VALUE"""),"")</f>
        <v/>
      </c>
      <c r="X2652" s="143" t="str">
        <f t="shared" si="2"/>
        <v/>
      </c>
      <c r="Y2652" s="139" t="str">
        <f>IFERROR(__xludf.DUMMYFUNCTION("""COMPUTED_VALUE"""),"")</f>
        <v/>
      </c>
      <c r="Z2652" s="141" t="str">
        <f>IFERROR(__xludf.DUMMYFUNCTION("""COMPUTED_VALUE"""),"")</f>
        <v/>
      </c>
    </row>
    <row r="2653">
      <c r="D2653" s="136" t="str">
        <f t="shared" si="3"/>
        <v/>
      </c>
      <c r="E2653" s="152"/>
      <c r="F2653" s="106" t="s">
        <v>133</v>
      </c>
      <c r="G2653" s="152"/>
      <c r="H2653" s="106" t="s">
        <v>133</v>
      </c>
      <c r="J2653" s="139" t="s">
        <v>133</v>
      </c>
      <c r="K2653" s="136" t="s">
        <v>133</v>
      </c>
      <c r="L2653" s="153"/>
      <c r="M2653" s="136" t="str">
        <f t="shared" si="1"/>
        <v/>
      </c>
      <c r="O2653" s="141" t="s">
        <v>133</v>
      </c>
      <c r="P2653" s="136" t="str">
        <f>IFERROR(__xludf.DUMMYFUNCTION("""COMPUTED_VALUE"""),"")</f>
        <v/>
      </c>
      <c r="Q2653" s="136" t="str">
        <f>IFERROR(__xludf.DUMMYFUNCTION("""COMPUTED_VALUE"""),"")</f>
        <v/>
      </c>
      <c r="R2653" s="106" t="str">
        <f>IFERROR(__xludf.DUMMYFUNCTION("""COMPUTED_VALUE"""),"")</f>
        <v/>
      </c>
      <c r="S2653" s="106" t="str">
        <f>IFERROR(__xludf.DUMMYFUNCTION("""COMPUTED_VALUE"""),"")</f>
        <v/>
      </c>
      <c r="T2653" s="139" t="str">
        <f>IFERROR(__xludf.DUMMYFUNCTION("""COMPUTED_VALUE"""),"")</f>
        <v/>
      </c>
      <c r="U2653" s="139" t="str">
        <f>IFERROR(__xludf.DUMMYFUNCTION("""COMPUTED_VALUE"""),"")</f>
        <v/>
      </c>
      <c r="V2653" s="136" t="str">
        <f>IFERROR(__xludf.DUMMYFUNCTION("""COMPUTED_VALUE"""),"")</f>
        <v/>
      </c>
      <c r="W2653" s="106" t="str">
        <f>IFERROR(__xludf.DUMMYFUNCTION("""COMPUTED_VALUE"""),"")</f>
        <v/>
      </c>
      <c r="X2653" s="143" t="str">
        <f t="shared" si="2"/>
        <v/>
      </c>
      <c r="Y2653" s="139" t="str">
        <f>IFERROR(__xludf.DUMMYFUNCTION("""COMPUTED_VALUE"""),"")</f>
        <v/>
      </c>
      <c r="Z2653" s="141" t="str">
        <f>IFERROR(__xludf.DUMMYFUNCTION("""COMPUTED_VALUE"""),"")</f>
        <v/>
      </c>
    </row>
    <row r="2654">
      <c r="D2654" s="136" t="str">
        <f t="shared" si="3"/>
        <v/>
      </c>
      <c r="E2654" s="152"/>
      <c r="F2654" s="106" t="s">
        <v>133</v>
      </c>
      <c r="G2654" s="152"/>
      <c r="H2654" s="106" t="s">
        <v>133</v>
      </c>
      <c r="J2654" s="139" t="s">
        <v>133</v>
      </c>
      <c r="K2654" s="136" t="s">
        <v>133</v>
      </c>
      <c r="L2654" s="153"/>
      <c r="M2654" s="136" t="str">
        <f t="shared" si="1"/>
        <v/>
      </c>
      <c r="O2654" s="141" t="s">
        <v>133</v>
      </c>
      <c r="P2654" s="136" t="str">
        <f>IFERROR(__xludf.DUMMYFUNCTION("""COMPUTED_VALUE"""),"")</f>
        <v/>
      </c>
      <c r="Q2654" s="136" t="str">
        <f>IFERROR(__xludf.DUMMYFUNCTION("""COMPUTED_VALUE"""),"")</f>
        <v/>
      </c>
      <c r="R2654" s="106" t="str">
        <f>IFERROR(__xludf.DUMMYFUNCTION("""COMPUTED_VALUE"""),"")</f>
        <v/>
      </c>
      <c r="S2654" s="106" t="str">
        <f>IFERROR(__xludf.DUMMYFUNCTION("""COMPUTED_VALUE"""),"")</f>
        <v/>
      </c>
      <c r="T2654" s="139" t="str">
        <f>IFERROR(__xludf.DUMMYFUNCTION("""COMPUTED_VALUE"""),"")</f>
        <v/>
      </c>
      <c r="U2654" s="139" t="str">
        <f>IFERROR(__xludf.DUMMYFUNCTION("""COMPUTED_VALUE"""),"")</f>
        <v/>
      </c>
      <c r="V2654" s="136" t="str">
        <f>IFERROR(__xludf.DUMMYFUNCTION("""COMPUTED_VALUE"""),"")</f>
        <v/>
      </c>
      <c r="W2654" s="106" t="str">
        <f>IFERROR(__xludf.DUMMYFUNCTION("""COMPUTED_VALUE"""),"")</f>
        <v/>
      </c>
      <c r="X2654" s="143" t="str">
        <f t="shared" si="2"/>
        <v/>
      </c>
      <c r="Y2654" s="139" t="str">
        <f>IFERROR(__xludf.DUMMYFUNCTION("""COMPUTED_VALUE"""),"")</f>
        <v/>
      </c>
      <c r="Z2654" s="141" t="str">
        <f>IFERROR(__xludf.DUMMYFUNCTION("""COMPUTED_VALUE"""),"")</f>
        <v/>
      </c>
    </row>
    <row r="2655">
      <c r="D2655" s="136" t="str">
        <f t="shared" si="3"/>
        <v/>
      </c>
      <c r="E2655" s="152"/>
      <c r="F2655" s="106" t="s">
        <v>133</v>
      </c>
      <c r="G2655" s="152"/>
      <c r="H2655" s="106" t="s">
        <v>133</v>
      </c>
      <c r="J2655" s="139" t="s">
        <v>133</v>
      </c>
      <c r="K2655" s="136" t="s">
        <v>133</v>
      </c>
      <c r="L2655" s="153"/>
      <c r="M2655" s="136" t="str">
        <f t="shared" si="1"/>
        <v/>
      </c>
      <c r="O2655" s="141" t="s">
        <v>133</v>
      </c>
      <c r="P2655" s="136" t="str">
        <f>IFERROR(__xludf.DUMMYFUNCTION("""COMPUTED_VALUE"""),"")</f>
        <v/>
      </c>
      <c r="Q2655" s="136" t="str">
        <f>IFERROR(__xludf.DUMMYFUNCTION("""COMPUTED_VALUE"""),"")</f>
        <v/>
      </c>
      <c r="R2655" s="106" t="str">
        <f>IFERROR(__xludf.DUMMYFUNCTION("""COMPUTED_VALUE"""),"")</f>
        <v/>
      </c>
      <c r="S2655" s="106" t="str">
        <f>IFERROR(__xludf.DUMMYFUNCTION("""COMPUTED_VALUE"""),"")</f>
        <v/>
      </c>
      <c r="T2655" s="139" t="str">
        <f>IFERROR(__xludf.DUMMYFUNCTION("""COMPUTED_VALUE"""),"")</f>
        <v/>
      </c>
      <c r="U2655" s="139" t="str">
        <f>IFERROR(__xludf.DUMMYFUNCTION("""COMPUTED_VALUE"""),"")</f>
        <v/>
      </c>
      <c r="V2655" s="136" t="str">
        <f>IFERROR(__xludf.DUMMYFUNCTION("""COMPUTED_VALUE"""),"")</f>
        <v/>
      </c>
      <c r="W2655" s="106" t="str">
        <f>IFERROR(__xludf.DUMMYFUNCTION("""COMPUTED_VALUE"""),"")</f>
        <v/>
      </c>
      <c r="X2655" s="143" t="str">
        <f t="shared" si="2"/>
        <v/>
      </c>
      <c r="Y2655" s="139" t="str">
        <f>IFERROR(__xludf.DUMMYFUNCTION("""COMPUTED_VALUE"""),"")</f>
        <v/>
      </c>
      <c r="Z2655" s="141" t="str">
        <f>IFERROR(__xludf.DUMMYFUNCTION("""COMPUTED_VALUE"""),"")</f>
        <v/>
      </c>
    </row>
    <row r="2656">
      <c r="D2656" s="136" t="str">
        <f t="shared" si="3"/>
        <v/>
      </c>
      <c r="E2656" s="152"/>
      <c r="F2656" s="106" t="s">
        <v>133</v>
      </c>
      <c r="G2656" s="152"/>
      <c r="H2656" s="106" t="s">
        <v>133</v>
      </c>
      <c r="J2656" s="139" t="s">
        <v>133</v>
      </c>
      <c r="K2656" s="136" t="s">
        <v>133</v>
      </c>
      <c r="L2656" s="153"/>
      <c r="M2656" s="136" t="str">
        <f t="shared" si="1"/>
        <v/>
      </c>
      <c r="O2656" s="141" t="s">
        <v>133</v>
      </c>
      <c r="P2656" s="136" t="str">
        <f>IFERROR(__xludf.DUMMYFUNCTION("""COMPUTED_VALUE"""),"")</f>
        <v/>
      </c>
      <c r="Q2656" s="136" t="str">
        <f>IFERROR(__xludf.DUMMYFUNCTION("""COMPUTED_VALUE"""),"")</f>
        <v/>
      </c>
      <c r="R2656" s="106" t="str">
        <f>IFERROR(__xludf.DUMMYFUNCTION("""COMPUTED_VALUE"""),"")</f>
        <v/>
      </c>
      <c r="S2656" s="106" t="str">
        <f>IFERROR(__xludf.DUMMYFUNCTION("""COMPUTED_VALUE"""),"")</f>
        <v/>
      </c>
      <c r="T2656" s="139" t="str">
        <f>IFERROR(__xludf.DUMMYFUNCTION("""COMPUTED_VALUE"""),"")</f>
        <v/>
      </c>
      <c r="U2656" s="139" t="str">
        <f>IFERROR(__xludf.DUMMYFUNCTION("""COMPUTED_VALUE"""),"")</f>
        <v/>
      </c>
      <c r="V2656" s="136" t="str">
        <f>IFERROR(__xludf.DUMMYFUNCTION("""COMPUTED_VALUE"""),"")</f>
        <v/>
      </c>
      <c r="W2656" s="106" t="str">
        <f>IFERROR(__xludf.DUMMYFUNCTION("""COMPUTED_VALUE"""),"")</f>
        <v/>
      </c>
      <c r="X2656" s="143" t="str">
        <f t="shared" si="2"/>
        <v/>
      </c>
      <c r="Y2656" s="139" t="str">
        <f>IFERROR(__xludf.DUMMYFUNCTION("""COMPUTED_VALUE"""),"")</f>
        <v/>
      </c>
      <c r="Z2656" s="141" t="str">
        <f>IFERROR(__xludf.DUMMYFUNCTION("""COMPUTED_VALUE"""),"")</f>
        <v/>
      </c>
    </row>
    <row r="2657">
      <c r="D2657" s="136" t="str">
        <f t="shared" si="3"/>
        <v/>
      </c>
      <c r="E2657" s="152"/>
      <c r="F2657" s="106" t="s">
        <v>133</v>
      </c>
      <c r="G2657" s="152"/>
      <c r="H2657" s="106" t="s">
        <v>133</v>
      </c>
      <c r="J2657" s="139" t="s">
        <v>133</v>
      </c>
      <c r="K2657" s="136" t="s">
        <v>133</v>
      </c>
      <c r="L2657" s="153"/>
      <c r="M2657" s="136" t="str">
        <f t="shared" si="1"/>
        <v/>
      </c>
      <c r="O2657" s="141" t="s">
        <v>133</v>
      </c>
      <c r="P2657" s="136" t="str">
        <f>IFERROR(__xludf.DUMMYFUNCTION("""COMPUTED_VALUE"""),"")</f>
        <v/>
      </c>
      <c r="Q2657" s="136" t="str">
        <f>IFERROR(__xludf.DUMMYFUNCTION("""COMPUTED_VALUE"""),"")</f>
        <v/>
      </c>
      <c r="R2657" s="106" t="str">
        <f>IFERROR(__xludf.DUMMYFUNCTION("""COMPUTED_VALUE"""),"")</f>
        <v/>
      </c>
      <c r="S2657" s="106" t="str">
        <f>IFERROR(__xludf.DUMMYFUNCTION("""COMPUTED_VALUE"""),"")</f>
        <v/>
      </c>
      <c r="T2657" s="139" t="str">
        <f>IFERROR(__xludf.DUMMYFUNCTION("""COMPUTED_VALUE"""),"")</f>
        <v/>
      </c>
      <c r="U2657" s="139" t="str">
        <f>IFERROR(__xludf.DUMMYFUNCTION("""COMPUTED_VALUE"""),"")</f>
        <v/>
      </c>
      <c r="V2657" s="136" t="str">
        <f>IFERROR(__xludf.DUMMYFUNCTION("""COMPUTED_VALUE"""),"")</f>
        <v/>
      </c>
      <c r="W2657" s="106" t="str">
        <f>IFERROR(__xludf.DUMMYFUNCTION("""COMPUTED_VALUE"""),"")</f>
        <v/>
      </c>
      <c r="X2657" s="143" t="str">
        <f t="shared" si="2"/>
        <v/>
      </c>
      <c r="Y2657" s="139" t="str">
        <f>IFERROR(__xludf.DUMMYFUNCTION("""COMPUTED_VALUE"""),"")</f>
        <v/>
      </c>
      <c r="Z2657" s="141" t="str">
        <f>IFERROR(__xludf.DUMMYFUNCTION("""COMPUTED_VALUE"""),"")</f>
        <v/>
      </c>
    </row>
    <row r="2658">
      <c r="D2658" s="136" t="str">
        <f t="shared" si="3"/>
        <v/>
      </c>
      <c r="E2658" s="152"/>
      <c r="F2658" s="106" t="s">
        <v>133</v>
      </c>
      <c r="G2658" s="152"/>
      <c r="H2658" s="106" t="s">
        <v>133</v>
      </c>
      <c r="J2658" s="139" t="s">
        <v>133</v>
      </c>
      <c r="K2658" s="136" t="s">
        <v>133</v>
      </c>
      <c r="L2658" s="153"/>
      <c r="M2658" s="136" t="str">
        <f t="shared" si="1"/>
        <v/>
      </c>
      <c r="O2658" s="141" t="s">
        <v>133</v>
      </c>
      <c r="P2658" s="136" t="str">
        <f>IFERROR(__xludf.DUMMYFUNCTION("""COMPUTED_VALUE"""),"")</f>
        <v/>
      </c>
      <c r="Q2658" s="136" t="str">
        <f>IFERROR(__xludf.DUMMYFUNCTION("""COMPUTED_VALUE"""),"")</f>
        <v/>
      </c>
      <c r="R2658" s="106" t="str">
        <f>IFERROR(__xludf.DUMMYFUNCTION("""COMPUTED_VALUE"""),"")</f>
        <v/>
      </c>
      <c r="S2658" s="106" t="str">
        <f>IFERROR(__xludf.DUMMYFUNCTION("""COMPUTED_VALUE"""),"")</f>
        <v/>
      </c>
      <c r="T2658" s="139" t="str">
        <f>IFERROR(__xludf.DUMMYFUNCTION("""COMPUTED_VALUE"""),"")</f>
        <v/>
      </c>
      <c r="U2658" s="139" t="str">
        <f>IFERROR(__xludf.DUMMYFUNCTION("""COMPUTED_VALUE"""),"")</f>
        <v/>
      </c>
      <c r="V2658" s="136" t="str">
        <f>IFERROR(__xludf.DUMMYFUNCTION("""COMPUTED_VALUE"""),"")</f>
        <v/>
      </c>
      <c r="W2658" s="106" t="str">
        <f>IFERROR(__xludf.DUMMYFUNCTION("""COMPUTED_VALUE"""),"")</f>
        <v/>
      </c>
      <c r="X2658" s="143" t="str">
        <f t="shared" si="2"/>
        <v/>
      </c>
      <c r="Y2658" s="139" t="str">
        <f>IFERROR(__xludf.DUMMYFUNCTION("""COMPUTED_VALUE"""),"")</f>
        <v/>
      </c>
      <c r="Z2658" s="141" t="str">
        <f>IFERROR(__xludf.DUMMYFUNCTION("""COMPUTED_VALUE"""),"")</f>
        <v/>
      </c>
    </row>
    <row r="2659">
      <c r="D2659" s="136" t="str">
        <f t="shared" si="3"/>
        <v/>
      </c>
      <c r="E2659" s="152"/>
      <c r="F2659" s="106" t="s">
        <v>133</v>
      </c>
      <c r="G2659" s="152"/>
      <c r="H2659" s="106" t="s">
        <v>133</v>
      </c>
      <c r="J2659" s="139" t="s">
        <v>133</v>
      </c>
      <c r="K2659" s="136" t="s">
        <v>133</v>
      </c>
      <c r="L2659" s="153"/>
      <c r="M2659" s="136" t="str">
        <f t="shared" si="1"/>
        <v/>
      </c>
      <c r="O2659" s="141" t="s">
        <v>133</v>
      </c>
      <c r="P2659" s="136" t="str">
        <f>IFERROR(__xludf.DUMMYFUNCTION("""COMPUTED_VALUE"""),"")</f>
        <v/>
      </c>
      <c r="Q2659" s="136" t="str">
        <f>IFERROR(__xludf.DUMMYFUNCTION("""COMPUTED_VALUE"""),"")</f>
        <v/>
      </c>
      <c r="R2659" s="106" t="str">
        <f>IFERROR(__xludf.DUMMYFUNCTION("""COMPUTED_VALUE"""),"")</f>
        <v/>
      </c>
      <c r="S2659" s="106" t="str">
        <f>IFERROR(__xludf.DUMMYFUNCTION("""COMPUTED_VALUE"""),"")</f>
        <v/>
      </c>
      <c r="T2659" s="139" t="str">
        <f>IFERROR(__xludf.DUMMYFUNCTION("""COMPUTED_VALUE"""),"")</f>
        <v/>
      </c>
      <c r="U2659" s="139" t="str">
        <f>IFERROR(__xludf.DUMMYFUNCTION("""COMPUTED_VALUE"""),"")</f>
        <v/>
      </c>
      <c r="V2659" s="136" t="str">
        <f>IFERROR(__xludf.DUMMYFUNCTION("""COMPUTED_VALUE"""),"")</f>
        <v/>
      </c>
      <c r="W2659" s="106" t="str">
        <f>IFERROR(__xludf.DUMMYFUNCTION("""COMPUTED_VALUE"""),"")</f>
        <v/>
      </c>
      <c r="X2659" s="143" t="str">
        <f t="shared" si="2"/>
        <v/>
      </c>
      <c r="Y2659" s="139" t="str">
        <f>IFERROR(__xludf.DUMMYFUNCTION("""COMPUTED_VALUE"""),"")</f>
        <v/>
      </c>
      <c r="Z2659" s="141" t="str">
        <f>IFERROR(__xludf.DUMMYFUNCTION("""COMPUTED_VALUE"""),"")</f>
        <v/>
      </c>
    </row>
    <row r="2660">
      <c r="D2660" s="136" t="str">
        <f t="shared" si="3"/>
        <v/>
      </c>
      <c r="E2660" s="152"/>
      <c r="F2660" s="106" t="s">
        <v>133</v>
      </c>
      <c r="G2660" s="152"/>
      <c r="H2660" s="106" t="s">
        <v>133</v>
      </c>
      <c r="J2660" s="139" t="s">
        <v>133</v>
      </c>
      <c r="K2660" s="136" t="s">
        <v>133</v>
      </c>
      <c r="L2660" s="153"/>
      <c r="M2660" s="136" t="str">
        <f t="shared" si="1"/>
        <v/>
      </c>
      <c r="O2660" s="141" t="s">
        <v>133</v>
      </c>
      <c r="P2660" s="136" t="str">
        <f>IFERROR(__xludf.DUMMYFUNCTION("""COMPUTED_VALUE"""),"")</f>
        <v/>
      </c>
      <c r="Q2660" s="136" t="str">
        <f>IFERROR(__xludf.DUMMYFUNCTION("""COMPUTED_VALUE"""),"")</f>
        <v/>
      </c>
      <c r="R2660" s="106" t="str">
        <f>IFERROR(__xludf.DUMMYFUNCTION("""COMPUTED_VALUE"""),"")</f>
        <v/>
      </c>
      <c r="S2660" s="106" t="str">
        <f>IFERROR(__xludf.DUMMYFUNCTION("""COMPUTED_VALUE"""),"")</f>
        <v/>
      </c>
      <c r="T2660" s="139" t="str">
        <f>IFERROR(__xludf.DUMMYFUNCTION("""COMPUTED_VALUE"""),"")</f>
        <v/>
      </c>
      <c r="U2660" s="139" t="str">
        <f>IFERROR(__xludf.DUMMYFUNCTION("""COMPUTED_VALUE"""),"")</f>
        <v/>
      </c>
      <c r="V2660" s="136" t="str">
        <f>IFERROR(__xludf.DUMMYFUNCTION("""COMPUTED_VALUE"""),"")</f>
        <v/>
      </c>
      <c r="W2660" s="106" t="str">
        <f>IFERROR(__xludf.DUMMYFUNCTION("""COMPUTED_VALUE"""),"")</f>
        <v/>
      </c>
      <c r="X2660" s="143" t="str">
        <f t="shared" si="2"/>
        <v/>
      </c>
      <c r="Y2660" s="139" t="str">
        <f>IFERROR(__xludf.DUMMYFUNCTION("""COMPUTED_VALUE"""),"")</f>
        <v/>
      </c>
      <c r="Z2660" s="141" t="str">
        <f>IFERROR(__xludf.DUMMYFUNCTION("""COMPUTED_VALUE"""),"")</f>
        <v/>
      </c>
    </row>
    <row r="2661">
      <c r="D2661" s="136" t="str">
        <f t="shared" si="3"/>
        <v/>
      </c>
      <c r="E2661" s="152"/>
      <c r="F2661" s="106" t="s">
        <v>133</v>
      </c>
      <c r="G2661" s="152"/>
      <c r="H2661" s="106" t="s">
        <v>133</v>
      </c>
      <c r="J2661" s="139" t="s">
        <v>133</v>
      </c>
      <c r="K2661" s="136" t="s">
        <v>133</v>
      </c>
      <c r="L2661" s="153"/>
      <c r="M2661" s="136" t="str">
        <f t="shared" si="1"/>
        <v/>
      </c>
      <c r="O2661" s="141" t="s">
        <v>133</v>
      </c>
      <c r="P2661" s="136" t="str">
        <f>IFERROR(__xludf.DUMMYFUNCTION("""COMPUTED_VALUE"""),"")</f>
        <v/>
      </c>
      <c r="Q2661" s="136" t="str">
        <f>IFERROR(__xludf.DUMMYFUNCTION("""COMPUTED_VALUE"""),"")</f>
        <v/>
      </c>
      <c r="R2661" s="106" t="str">
        <f>IFERROR(__xludf.DUMMYFUNCTION("""COMPUTED_VALUE"""),"")</f>
        <v/>
      </c>
      <c r="S2661" s="106" t="str">
        <f>IFERROR(__xludf.DUMMYFUNCTION("""COMPUTED_VALUE"""),"")</f>
        <v/>
      </c>
      <c r="T2661" s="139" t="str">
        <f>IFERROR(__xludf.DUMMYFUNCTION("""COMPUTED_VALUE"""),"")</f>
        <v/>
      </c>
      <c r="U2661" s="139" t="str">
        <f>IFERROR(__xludf.DUMMYFUNCTION("""COMPUTED_VALUE"""),"")</f>
        <v/>
      </c>
      <c r="V2661" s="136" t="str">
        <f>IFERROR(__xludf.DUMMYFUNCTION("""COMPUTED_VALUE"""),"")</f>
        <v/>
      </c>
      <c r="W2661" s="106" t="str">
        <f>IFERROR(__xludf.DUMMYFUNCTION("""COMPUTED_VALUE"""),"")</f>
        <v/>
      </c>
      <c r="X2661" s="143" t="str">
        <f t="shared" si="2"/>
        <v/>
      </c>
      <c r="Y2661" s="139" t="str">
        <f>IFERROR(__xludf.DUMMYFUNCTION("""COMPUTED_VALUE"""),"")</f>
        <v/>
      </c>
      <c r="Z2661" s="141" t="str">
        <f>IFERROR(__xludf.DUMMYFUNCTION("""COMPUTED_VALUE"""),"")</f>
        <v/>
      </c>
    </row>
    <row r="2662">
      <c r="D2662" s="136" t="str">
        <f t="shared" si="3"/>
        <v/>
      </c>
      <c r="E2662" s="152"/>
      <c r="F2662" s="106" t="s">
        <v>133</v>
      </c>
      <c r="G2662" s="152"/>
      <c r="H2662" s="106" t="s">
        <v>133</v>
      </c>
      <c r="J2662" s="139" t="s">
        <v>133</v>
      </c>
      <c r="K2662" s="136" t="s">
        <v>133</v>
      </c>
      <c r="L2662" s="153"/>
      <c r="M2662" s="136" t="str">
        <f t="shared" si="1"/>
        <v/>
      </c>
      <c r="O2662" s="141" t="s">
        <v>133</v>
      </c>
      <c r="P2662" s="136" t="str">
        <f>IFERROR(__xludf.DUMMYFUNCTION("""COMPUTED_VALUE"""),"")</f>
        <v/>
      </c>
      <c r="Q2662" s="136" t="str">
        <f>IFERROR(__xludf.DUMMYFUNCTION("""COMPUTED_VALUE"""),"")</f>
        <v/>
      </c>
      <c r="R2662" s="106" t="str">
        <f>IFERROR(__xludf.DUMMYFUNCTION("""COMPUTED_VALUE"""),"")</f>
        <v/>
      </c>
      <c r="S2662" s="106" t="str">
        <f>IFERROR(__xludf.DUMMYFUNCTION("""COMPUTED_VALUE"""),"")</f>
        <v/>
      </c>
      <c r="T2662" s="139" t="str">
        <f>IFERROR(__xludf.DUMMYFUNCTION("""COMPUTED_VALUE"""),"")</f>
        <v/>
      </c>
      <c r="U2662" s="139" t="str">
        <f>IFERROR(__xludf.DUMMYFUNCTION("""COMPUTED_VALUE"""),"")</f>
        <v/>
      </c>
      <c r="V2662" s="136" t="str">
        <f>IFERROR(__xludf.DUMMYFUNCTION("""COMPUTED_VALUE"""),"")</f>
        <v/>
      </c>
      <c r="W2662" s="106" t="str">
        <f>IFERROR(__xludf.DUMMYFUNCTION("""COMPUTED_VALUE"""),"")</f>
        <v/>
      </c>
      <c r="X2662" s="143" t="str">
        <f t="shared" si="2"/>
        <v/>
      </c>
      <c r="Y2662" s="139" t="str">
        <f>IFERROR(__xludf.DUMMYFUNCTION("""COMPUTED_VALUE"""),"")</f>
        <v/>
      </c>
      <c r="Z2662" s="141" t="str">
        <f>IFERROR(__xludf.DUMMYFUNCTION("""COMPUTED_VALUE"""),"")</f>
        <v/>
      </c>
    </row>
    <row r="2663">
      <c r="D2663" s="136" t="str">
        <f t="shared" si="3"/>
        <v/>
      </c>
      <c r="E2663" s="152"/>
      <c r="F2663" s="106" t="s">
        <v>133</v>
      </c>
      <c r="G2663" s="152"/>
      <c r="H2663" s="106" t="s">
        <v>133</v>
      </c>
      <c r="J2663" s="139" t="s">
        <v>133</v>
      </c>
      <c r="K2663" s="136" t="s">
        <v>133</v>
      </c>
      <c r="L2663" s="153"/>
      <c r="M2663" s="136" t="str">
        <f t="shared" si="1"/>
        <v/>
      </c>
      <c r="O2663" s="141" t="s">
        <v>133</v>
      </c>
      <c r="P2663" s="136" t="str">
        <f>IFERROR(__xludf.DUMMYFUNCTION("""COMPUTED_VALUE"""),"")</f>
        <v/>
      </c>
      <c r="Q2663" s="136" t="str">
        <f>IFERROR(__xludf.DUMMYFUNCTION("""COMPUTED_VALUE"""),"")</f>
        <v/>
      </c>
      <c r="R2663" s="106" t="str">
        <f>IFERROR(__xludf.DUMMYFUNCTION("""COMPUTED_VALUE"""),"")</f>
        <v/>
      </c>
      <c r="S2663" s="106" t="str">
        <f>IFERROR(__xludf.DUMMYFUNCTION("""COMPUTED_VALUE"""),"")</f>
        <v/>
      </c>
      <c r="T2663" s="139" t="str">
        <f>IFERROR(__xludf.DUMMYFUNCTION("""COMPUTED_VALUE"""),"")</f>
        <v/>
      </c>
      <c r="U2663" s="139" t="str">
        <f>IFERROR(__xludf.DUMMYFUNCTION("""COMPUTED_VALUE"""),"")</f>
        <v/>
      </c>
      <c r="V2663" s="136" t="str">
        <f>IFERROR(__xludf.DUMMYFUNCTION("""COMPUTED_VALUE"""),"")</f>
        <v/>
      </c>
      <c r="W2663" s="106" t="str">
        <f>IFERROR(__xludf.DUMMYFUNCTION("""COMPUTED_VALUE"""),"")</f>
        <v/>
      </c>
      <c r="X2663" s="143" t="str">
        <f t="shared" si="2"/>
        <v/>
      </c>
      <c r="Y2663" s="139" t="str">
        <f>IFERROR(__xludf.DUMMYFUNCTION("""COMPUTED_VALUE"""),"")</f>
        <v/>
      </c>
      <c r="Z2663" s="141" t="str">
        <f>IFERROR(__xludf.DUMMYFUNCTION("""COMPUTED_VALUE"""),"")</f>
        <v/>
      </c>
    </row>
    <row r="2664">
      <c r="D2664" s="136" t="str">
        <f t="shared" si="3"/>
        <v/>
      </c>
      <c r="E2664" s="152"/>
      <c r="F2664" s="106" t="s">
        <v>133</v>
      </c>
      <c r="G2664" s="152"/>
      <c r="H2664" s="106" t="s">
        <v>133</v>
      </c>
      <c r="J2664" s="139" t="s">
        <v>133</v>
      </c>
      <c r="K2664" s="136" t="s">
        <v>133</v>
      </c>
      <c r="L2664" s="153"/>
      <c r="M2664" s="136" t="str">
        <f t="shared" si="1"/>
        <v/>
      </c>
      <c r="O2664" s="141" t="s">
        <v>133</v>
      </c>
      <c r="P2664" s="136" t="str">
        <f>IFERROR(__xludf.DUMMYFUNCTION("""COMPUTED_VALUE"""),"")</f>
        <v/>
      </c>
      <c r="Q2664" s="136" t="str">
        <f>IFERROR(__xludf.DUMMYFUNCTION("""COMPUTED_VALUE"""),"")</f>
        <v/>
      </c>
      <c r="R2664" s="106" t="str">
        <f>IFERROR(__xludf.DUMMYFUNCTION("""COMPUTED_VALUE"""),"")</f>
        <v/>
      </c>
      <c r="S2664" s="106" t="str">
        <f>IFERROR(__xludf.DUMMYFUNCTION("""COMPUTED_VALUE"""),"")</f>
        <v/>
      </c>
      <c r="T2664" s="139" t="str">
        <f>IFERROR(__xludf.DUMMYFUNCTION("""COMPUTED_VALUE"""),"")</f>
        <v/>
      </c>
      <c r="U2664" s="139" t="str">
        <f>IFERROR(__xludf.DUMMYFUNCTION("""COMPUTED_VALUE"""),"")</f>
        <v/>
      </c>
      <c r="V2664" s="136" t="str">
        <f>IFERROR(__xludf.DUMMYFUNCTION("""COMPUTED_VALUE"""),"")</f>
        <v/>
      </c>
      <c r="W2664" s="106" t="str">
        <f>IFERROR(__xludf.DUMMYFUNCTION("""COMPUTED_VALUE"""),"")</f>
        <v/>
      </c>
      <c r="X2664" s="143" t="str">
        <f t="shared" si="2"/>
        <v/>
      </c>
      <c r="Y2664" s="139" t="str">
        <f>IFERROR(__xludf.DUMMYFUNCTION("""COMPUTED_VALUE"""),"")</f>
        <v/>
      </c>
      <c r="Z2664" s="141" t="str">
        <f>IFERROR(__xludf.DUMMYFUNCTION("""COMPUTED_VALUE"""),"")</f>
        <v/>
      </c>
    </row>
    <row r="2665">
      <c r="D2665" s="136" t="str">
        <f t="shared" si="3"/>
        <v/>
      </c>
      <c r="E2665" s="152"/>
      <c r="F2665" s="106" t="s">
        <v>133</v>
      </c>
      <c r="G2665" s="152"/>
      <c r="H2665" s="106" t="s">
        <v>133</v>
      </c>
      <c r="J2665" s="139" t="s">
        <v>133</v>
      </c>
      <c r="K2665" s="136" t="s">
        <v>133</v>
      </c>
      <c r="L2665" s="153"/>
      <c r="M2665" s="136" t="str">
        <f t="shared" si="1"/>
        <v/>
      </c>
      <c r="O2665" s="141" t="s">
        <v>133</v>
      </c>
      <c r="P2665" s="136" t="str">
        <f>IFERROR(__xludf.DUMMYFUNCTION("""COMPUTED_VALUE"""),"")</f>
        <v/>
      </c>
      <c r="Q2665" s="136" t="str">
        <f>IFERROR(__xludf.DUMMYFUNCTION("""COMPUTED_VALUE"""),"")</f>
        <v/>
      </c>
      <c r="R2665" s="106" t="str">
        <f>IFERROR(__xludf.DUMMYFUNCTION("""COMPUTED_VALUE"""),"")</f>
        <v/>
      </c>
      <c r="S2665" s="106" t="str">
        <f>IFERROR(__xludf.DUMMYFUNCTION("""COMPUTED_VALUE"""),"")</f>
        <v/>
      </c>
      <c r="T2665" s="139" t="str">
        <f>IFERROR(__xludf.DUMMYFUNCTION("""COMPUTED_VALUE"""),"")</f>
        <v/>
      </c>
      <c r="U2665" s="139" t="str">
        <f>IFERROR(__xludf.DUMMYFUNCTION("""COMPUTED_VALUE"""),"")</f>
        <v/>
      </c>
      <c r="V2665" s="136" t="str">
        <f>IFERROR(__xludf.DUMMYFUNCTION("""COMPUTED_VALUE"""),"")</f>
        <v/>
      </c>
      <c r="W2665" s="106" t="str">
        <f>IFERROR(__xludf.DUMMYFUNCTION("""COMPUTED_VALUE"""),"")</f>
        <v/>
      </c>
      <c r="X2665" s="143" t="str">
        <f t="shared" si="2"/>
        <v/>
      </c>
      <c r="Y2665" s="139" t="str">
        <f>IFERROR(__xludf.DUMMYFUNCTION("""COMPUTED_VALUE"""),"")</f>
        <v/>
      </c>
      <c r="Z2665" s="141" t="str">
        <f>IFERROR(__xludf.DUMMYFUNCTION("""COMPUTED_VALUE"""),"")</f>
        <v/>
      </c>
    </row>
    <row r="2666">
      <c r="D2666" s="136" t="str">
        <f t="shared" si="3"/>
        <v/>
      </c>
      <c r="E2666" s="152"/>
      <c r="F2666" s="106" t="s">
        <v>133</v>
      </c>
      <c r="G2666" s="152"/>
      <c r="H2666" s="106" t="s">
        <v>133</v>
      </c>
      <c r="J2666" s="139" t="s">
        <v>133</v>
      </c>
      <c r="K2666" s="136" t="s">
        <v>133</v>
      </c>
      <c r="L2666" s="153"/>
      <c r="M2666" s="136" t="str">
        <f t="shared" si="1"/>
        <v/>
      </c>
      <c r="O2666" s="141" t="s">
        <v>133</v>
      </c>
      <c r="P2666" s="136" t="str">
        <f>IFERROR(__xludf.DUMMYFUNCTION("""COMPUTED_VALUE"""),"")</f>
        <v/>
      </c>
      <c r="Q2666" s="136" t="str">
        <f>IFERROR(__xludf.DUMMYFUNCTION("""COMPUTED_VALUE"""),"")</f>
        <v/>
      </c>
      <c r="R2666" s="106" t="str">
        <f>IFERROR(__xludf.DUMMYFUNCTION("""COMPUTED_VALUE"""),"")</f>
        <v/>
      </c>
      <c r="S2666" s="106" t="str">
        <f>IFERROR(__xludf.DUMMYFUNCTION("""COMPUTED_VALUE"""),"")</f>
        <v/>
      </c>
      <c r="T2666" s="139" t="str">
        <f>IFERROR(__xludf.DUMMYFUNCTION("""COMPUTED_VALUE"""),"")</f>
        <v/>
      </c>
      <c r="U2666" s="139" t="str">
        <f>IFERROR(__xludf.DUMMYFUNCTION("""COMPUTED_VALUE"""),"")</f>
        <v/>
      </c>
      <c r="V2666" s="136" t="str">
        <f>IFERROR(__xludf.DUMMYFUNCTION("""COMPUTED_VALUE"""),"")</f>
        <v/>
      </c>
      <c r="W2666" s="106" t="str">
        <f>IFERROR(__xludf.DUMMYFUNCTION("""COMPUTED_VALUE"""),"")</f>
        <v/>
      </c>
      <c r="X2666" s="143" t="str">
        <f t="shared" si="2"/>
        <v/>
      </c>
      <c r="Y2666" s="139" t="str">
        <f>IFERROR(__xludf.DUMMYFUNCTION("""COMPUTED_VALUE"""),"")</f>
        <v/>
      </c>
      <c r="Z2666" s="141" t="str">
        <f>IFERROR(__xludf.DUMMYFUNCTION("""COMPUTED_VALUE"""),"")</f>
        <v/>
      </c>
    </row>
    <row r="2667">
      <c r="D2667" s="136" t="str">
        <f t="shared" si="3"/>
        <v/>
      </c>
      <c r="E2667" s="152"/>
      <c r="F2667" s="106" t="s">
        <v>133</v>
      </c>
      <c r="G2667" s="152"/>
      <c r="H2667" s="106" t="s">
        <v>133</v>
      </c>
      <c r="J2667" s="139" t="s">
        <v>133</v>
      </c>
      <c r="K2667" s="136" t="s">
        <v>133</v>
      </c>
      <c r="L2667" s="153"/>
      <c r="M2667" s="136" t="str">
        <f t="shared" si="1"/>
        <v/>
      </c>
      <c r="O2667" s="141" t="s">
        <v>133</v>
      </c>
      <c r="P2667" s="136" t="str">
        <f>IFERROR(__xludf.DUMMYFUNCTION("""COMPUTED_VALUE"""),"")</f>
        <v/>
      </c>
      <c r="Q2667" s="136" t="str">
        <f>IFERROR(__xludf.DUMMYFUNCTION("""COMPUTED_VALUE"""),"")</f>
        <v/>
      </c>
      <c r="R2667" s="106" t="str">
        <f>IFERROR(__xludf.DUMMYFUNCTION("""COMPUTED_VALUE"""),"")</f>
        <v/>
      </c>
      <c r="S2667" s="106" t="str">
        <f>IFERROR(__xludf.DUMMYFUNCTION("""COMPUTED_VALUE"""),"")</f>
        <v/>
      </c>
      <c r="T2667" s="139" t="str">
        <f>IFERROR(__xludf.DUMMYFUNCTION("""COMPUTED_VALUE"""),"")</f>
        <v/>
      </c>
      <c r="U2667" s="139" t="str">
        <f>IFERROR(__xludf.DUMMYFUNCTION("""COMPUTED_VALUE"""),"")</f>
        <v/>
      </c>
      <c r="V2667" s="136" t="str">
        <f>IFERROR(__xludf.DUMMYFUNCTION("""COMPUTED_VALUE"""),"")</f>
        <v/>
      </c>
      <c r="W2667" s="106" t="str">
        <f>IFERROR(__xludf.DUMMYFUNCTION("""COMPUTED_VALUE"""),"")</f>
        <v/>
      </c>
      <c r="X2667" s="143" t="str">
        <f t="shared" si="2"/>
        <v/>
      </c>
      <c r="Y2667" s="139" t="str">
        <f>IFERROR(__xludf.DUMMYFUNCTION("""COMPUTED_VALUE"""),"")</f>
        <v/>
      </c>
      <c r="Z2667" s="141" t="str">
        <f>IFERROR(__xludf.DUMMYFUNCTION("""COMPUTED_VALUE"""),"")</f>
        <v/>
      </c>
    </row>
    <row r="2668">
      <c r="D2668" s="136" t="str">
        <f t="shared" si="3"/>
        <v/>
      </c>
      <c r="E2668" s="152"/>
      <c r="F2668" s="106" t="s">
        <v>133</v>
      </c>
      <c r="G2668" s="152"/>
      <c r="H2668" s="106" t="s">
        <v>133</v>
      </c>
      <c r="J2668" s="139" t="s">
        <v>133</v>
      </c>
      <c r="K2668" s="136" t="s">
        <v>133</v>
      </c>
      <c r="L2668" s="153"/>
      <c r="M2668" s="136" t="str">
        <f t="shared" si="1"/>
        <v/>
      </c>
      <c r="O2668" s="141" t="s">
        <v>133</v>
      </c>
      <c r="P2668" s="136" t="str">
        <f>IFERROR(__xludf.DUMMYFUNCTION("""COMPUTED_VALUE"""),"")</f>
        <v/>
      </c>
      <c r="Q2668" s="136" t="str">
        <f>IFERROR(__xludf.DUMMYFUNCTION("""COMPUTED_VALUE"""),"")</f>
        <v/>
      </c>
      <c r="R2668" s="106" t="str">
        <f>IFERROR(__xludf.DUMMYFUNCTION("""COMPUTED_VALUE"""),"")</f>
        <v/>
      </c>
      <c r="S2668" s="106" t="str">
        <f>IFERROR(__xludf.DUMMYFUNCTION("""COMPUTED_VALUE"""),"")</f>
        <v/>
      </c>
      <c r="T2668" s="139" t="str">
        <f>IFERROR(__xludf.DUMMYFUNCTION("""COMPUTED_VALUE"""),"")</f>
        <v/>
      </c>
      <c r="U2668" s="139" t="str">
        <f>IFERROR(__xludf.DUMMYFUNCTION("""COMPUTED_VALUE"""),"")</f>
        <v/>
      </c>
      <c r="V2668" s="136" t="str">
        <f>IFERROR(__xludf.DUMMYFUNCTION("""COMPUTED_VALUE"""),"")</f>
        <v/>
      </c>
      <c r="W2668" s="106" t="str">
        <f>IFERROR(__xludf.DUMMYFUNCTION("""COMPUTED_VALUE"""),"")</f>
        <v/>
      </c>
      <c r="X2668" s="143" t="str">
        <f t="shared" si="2"/>
        <v/>
      </c>
      <c r="Y2668" s="139" t="str">
        <f>IFERROR(__xludf.DUMMYFUNCTION("""COMPUTED_VALUE"""),"")</f>
        <v/>
      </c>
      <c r="Z2668" s="141" t="str">
        <f>IFERROR(__xludf.DUMMYFUNCTION("""COMPUTED_VALUE"""),"")</f>
        <v/>
      </c>
    </row>
    <row r="2669">
      <c r="D2669" s="136" t="str">
        <f t="shared" si="3"/>
        <v/>
      </c>
      <c r="E2669" s="152"/>
      <c r="F2669" s="106" t="s">
        <v>133</v>
      </c>
      <c r="G2669" s="152"/>
      <c r="H2669" s="106" t="s">
        <v>133</v>
      </c>
      <c r="J2669" s="139" t="s">
        <v>133</v>
      </c>
      <c r="K2669" s="136" t="s">
        <v>133</v>
      </c>
      <c r="L2669" s="153"/>
      <c r="M2669" s="136" t="str">
        <f t="shared" si="1"/>
        <v/>
      </c>
      <c r="O2669" s="141" t="s">
        <v>133</v>
      </c>
      <c r="P2669" s="136" t="str">
        <f>IFERROR(__xludf.DUMMYFUNCTION("""COMPUTED_VALUE"""),"")</f>
        <v/>
      </c>
      <c r="Q2669" s="136" t="str">
        <f>IFERROR(__xludf.DUMMYFUNCTION("""COMPUTED_VALUE"""),"")</f>
        <v/>
      </c>
      <c r="R2669" s="106" t="str">
        <f>IFERROR(__xludf.DUMMYFUNCTION("""COMPUTED_VALUE"""),"")</f>
        <v/>
      </c>
      <c r="S2669" s="106" t="str">
        <f>IFERROR(__xludf.DUMMYFUNCTION("""COMPUTED_VALUE"""),"")</f>
        <v/>
      </c>
      <c r="T2669" s="139" t="str">
        <f>IFERROR(__xludf.DUMMYFUNCTION("""COMPUTED_VALUE"""),"")</f>
        <v/>
      </c>
      <c r="U2669" s="139" t="str">
        <f>IFERROR(__xludf.DUMMYFUNCTION("""COMPUTED_VALUE"""),"")</f>
        <v/>
      </c>
      <c r="V2669" s="136" t="str">
        <f>IFERROR(__xludf.DUMMYFUNCTION("""COMPUTED_VALUE"""),"")</f>
        <v/>
      </c>
      <c r="W2669" s="106" t="str">
        <f>IFERROR(__xludf.DUMMYFUNCTION("""COMPUTED_VALUE"""),"")</f>
        <v/>
      </c>
      <c r="X2669" s="143" t="str">
        <f t="shared" si="2"/>
        <v/>
      </c>
      <c r="Y2669" s="139" t="str">
        <f>IFERROR(__xludf.DUMMYFUNCTION("""COMPUTED_VALUE"""),"")</f>
        <v/>
      </c>
      <c r="Z2669" s="141" t="str">
        <f>IFERROR(__xludf.DUMMYFUNCTION("""COMPUTED_VALUE"""),"")</f>
        <v/>
      </c>
    </row>
    <row r="2670">
      <c r="D2670" s="136" t="str">
        <f t="shared" si="3"/>
        <v/>
      </c>
      <c r="E2670" s="152"/>
      <c r="F2670" s="106" t="s">
        <v>133</v>
      </c>
      <c r="G2670" s="152"/>
      <c r="H2670" s="106" t="s">
        <v>133</v>
      </c>
      <c r="J2670" s="139" t="s">
        <v>133</v>
      </c>
      <c r="K2670" s="136" t="s">
        <v>133</v>
      </c>
      <c r="L2670" s="153"/>
      <c r="M2670" s="136" t="str">
        <f t="shared" si="1"/>
        <v/>
      </c>
      <c r="O2670" s="141" t="s">
        <v>133</v>
      </c>
      <c r="P2670" s="136" t="str">
        <f>IFERROR(__xludf.DUMMYFUNCTION("""COMPUTED_VALUE"""),"")</f>
        <v/>
      </c>
      <c r="Q2670" s="136" t="str">
        <f>IFERROR(__xludf.DUMMYFUNCTION("""COMPUTED_VALUE"""),"")</f>
        <v/>
      </c>
      <c r="R2670" s="106" t="str">
        <f>IFERROR(__xludf.DUMMYFUNCTION("""COMPUTED_VALUE"""),"")</f>
        <v/>
      </c>
      <c r="S2670" s="106" t="str">
        <f>IFERROR(__xludf.DUMMYFUNCTION("""COMPUTED_VALUE"""),"")</f>
        <v/>
      </c>
      <c r="T2670" s="139" t="str">
        <f>IFERROR(__xludf.DUMMYFUNCTION("""COMPUTED_VALUE"""),"")</f>
        <v/>
      </c>
      <c r="U2670" s="139" t="str">
        <f>IFERROR(__xludf.DUMMYFUNCTION("""COMPUTED_VALUE"""),"")</f>
        <v/>
      </c>
      <c r="V2670" s="136" t="str">
        <f>IFERROR(__xludf.DUMMYFUNCTION("""COMPUTED_VALUE"""),"")</f>
        <v/>
      </c>
      <c r="W2670" s="106" t="str">
        <f>IFERROR(__xludf.DUMMYFUNCTION("""COMPUTED_VALUE"""),"")</f>
        <v/>
      </c>
      <c r="X2670" s="143" t="str">
        <f t="shared" si="2"/>
        <v/>
      </c>
      <c r="Y2670" s="139" t="str">
        <f>IFERROR(__xludf.DUMMYFUNCTION("""COMPUTED_VALUE"""),"")</f>
        <v/>
      </c>
      <c r="Z2670" s="141" t="str">
        <f>IFERROR(__xludf.DUMMYFUNCTION("""COMPUTED_VALUE"""),"")</f>
        <v/>
      </c>
    </row>
    <row r="2671">
      <c r="D2671" s="136" t="str">
        <f t="shared" si="3"/>
        <v/>
      </c>
      <c r="E2671" s="152"/>
      <c r="F2671" s="106" t="s">
        <v>133</v>
      </c>
      <c r="G2671" s="152"/>
      <c r="H2671" s="106" t="s">
        <v>133</v>
      </c>
      <c r="J2671" s="139" t="s">
        <v>133</v>
      </c>
      <c r="K2671" s="136" t="s">
        <v>133</v>
      </c>
      <c r="L2671" s="153"/>
      <c r="M2671" s="136" t="str">
        <f t="shared" si="1"/>
        <v/>
      </c>
      <c r="O2671" s="141" t="s">
        <v>133</v>
      </c>
      <c r="P2671" s="136" t="str">
        <f>IFERROR(__xludf.DUMMYFUNCTION("""COMPUTED_VALUE"""),"")</f>
        <v/>
      </c>
      <c r="Q2671" s="136" t="str">
        <f>IFERROR(__xludf.DUMMYFUNCTION("""COMPUTED_VALUE"""),"")</f>
        <v/>
      </c>
      <c r="R2671" s="106" t="str">
        <f>IFERROR(__xludf.DUMMYFUNCTION("""COMPUTED_VALUE"""),"")</f>
        <v/>
      </c>
      <c r="S2671" s="106" t="str">
        <f>IFERROR(__xludf.DUMMYFUNCTION("""COMPUTED_VALUE"""),"")</f>
        <v/>
      </c>
      <c r="T2671" s="139" t="str">
        <f>IFERROR(__xludf.DUMMYFUNCTION("""COMPUTED_VALUE"""),"")</f>
        <v/>
      </c>
      <c r="U2671" s="139" t="str">
        <f>IFERROR(__xludf.DUMMYFUNCTION("""COMPUTED_VALUE"""),"")</f>
        <v/>
      </c>
      <c r="V2671" s="136" t="str">
        <f>IFERROR(__xludf.DUMMYFUNCTION("""COMPUTED_VALUE"""),"")</f>
        <v/>
      </c>
      <c r="W2671" s="106" t="str">
        <f>IFERROR(__xludf.DUMMYFUNCTION("""COMPUTED_VALUE"""),"")</f>
        <v/>
      </c>
      <c r="X2671" s="143" t="str">
        <f t="shared" si="2"/>
        <v/>
      </c>
      <c r="Y2671" s="139" t="str">
        <f>IFERROR(__xludf.DUMMYFUNCTION("""COMPUTED_VALUE"""),"")</f>
        <v/>
      </c>
      <c r="Z2671" s="141" t="str">
        <f>IFERROR(__xludf.DUMMYFUNCTION("""COMPUTED_VALUE"""),"")</f>
        <v/>
      </c>
    </row>
    <row r="2672">
      <c r="D2672" s="136" t="str">
        <f t="shared" si="3"/>
        <v/>
      </c>
      <c r="E2672" s="152"/>
      <c r="F2672" s="106" t="s">
        <v>133</v>
      </c>
      <c r="G2672" s="152"/>
      <c r="H2672" s="106" t="s">
        <v>133</v>
      </c>
      <c r="J2672" s="139" t="s">
        <v>133</v>
      </c>
      <c r="K2672" s="136" t="s">
        <v>133</v>
      </c>
      <c r="L2672" s="153"/>
      <c r="M2672" s="136" t="str">
        <f t="shared" si="1"/>
        <v/>
      </c>
      <c r="O2672" s="141" t="s">
        <v>133</v>
      </c>
      <c r="P2672" s="136" t="str">
        <f>IFERROR(__xludf.DUMMYFUNCTION("""COMPUTED_VALUE"""),"")</f>
        <v/>
      </c>
      <c r="Q2672" s="136" t="str">
        <f>IFERROR(__xludf.DUMMYFUNCTION("""COMPUTED_VALUE"""),"")</f>
        <v/>
      </c>
      <c r="R2672" s="106" t="str">
        <f>IFERROR(__xludf.DUMMYFUNCTION("""COMPUTED_VALUE"""),"")</f>
        <v/>
      </c>
      <c r="S2672" s="106" t="str">
        <f>IFERROR(__xludf.DUMMYFUNCTION("""COMPUTED_VALUE"""),"")</f>
        <v/>
      </c>
      <c r="T2672" s="139" t="str">
        <f>IFERROR(__xludf.DUMMYFUNCTION("""COMPUTED_VALUE"""),"")</f>
        <v/>
      </c>
      <c r="U2672" s="139" t="str">
        <f>IFERROR(__xludf.DUMMYFUNCTION("""COMPUTED_VALUE"""),"")</f>
        <v/>
      </c>
      <c r="V2672" s="136" t="str">
        <f>IFERROR(__xludf.DUMMYFUNCTION("""COMPUTED_VALUE"""),"")</f>
        <v/>
      </c>
      <c r="W2672" s="106" t="str">
        <f>IFERROR(__xludf.DUMMYFUNCTION("""COMPUTED_VALUE"""),"")</f>
        <v/>
      </c>
      <c r="X2672" s="143" t="str">
        <f t="shared" si="2"/>
        <v/>
      </c>
      <c r="Y2672" s="139" t="str">
        <f>IFERROR(__xludf.DUMMYFUNCTION("""COMPUTED_VALUE"""),"")</f>
        <v/>
      </c>
      <c r="Z2672" s="141" t="str">
        <f>IFERROR(__xludf.DUMMYFUNCTION("""COMPUTED_VALUE"""),"")</f>
        <v/>
      </c>
    </row>
    <row r="2673">
      <c r="D2673" s="136" t="str">
        <f t="shared" si="3"/>
        <v/>
      </c>
      <c r="E2673" s="152"/>
      <c r="F2673" s="106" t="s">
        <v>133</v>
      </c>
      <c r="G2673" s="152"/>
      <c r="H2673" s="106" t="s">
        <v>133</v>
      </c>
      <c r="J2673" s="139" t="s">
        <v>133</v>
      </c>
      <c r="K2673" s="136" t="s">
        <v>133</v>
      </c>
      <c r="L2673" s="153"/>
      <c r="M2673" s="136" t="str">
        <f t="shared" si="1"/>
        <v/>
      </c>
      <c r="O2673" s="141" t="s">
        <v>133</v>
      </c>
      <c r="P2673" s="136" t="str">
        <f>IFERROR(__xludf.DUMMYFUNCTION("""COMPUTED_VALUE"""),"")</f>
        <v/>
      </c>
      <c r="Q2673" s="136" t="str">
        <f>IFERROR(__xludf.DUMMYFUNCTION("""COMPUTED_VALUE"""),"")</f>
        <v/>
      </c>
      <c r="R2673" s="106" t="str">
        <f>IFERROR(__xludf.DUMMYFUNCTION("""COMPUTED_VALUE"""),"")</f>
        <v/>
      </c>
      <c r="S2673" s="106" t="str">
        <f>IFERROR(__xludf.DUMMYFUNCTION("""COMPUTED_VALUE"""),"")</f>
        <v/>
      </c>
      <c r="T2673" s="139" t="str">
        <f>IFERROR(__xludf.DUMMYFUNCTION("""COMPUTED_VALUE"""),"")</f>
        <v/>
      </c>
      <c r="U2673" s="139" t="str">
        <f>IFERROR(__xludf.DUMMYFUNCTION("""COMPUTED_VALUE"""),"")</f>
        <v/>
      </c>
      <c r="V2673" s="136" t="str">
        <f>IFERROR(__xludf.DUMMYFUNCTION("""COMPUTED_VALUE"""),"")</f>
        <v/>
      </c>
      <c r="W2673" s="106" t="str">
        <f>IFERROR(__xludf.DUMMYFUNCTION("""COMPUTED_VALUE"""),"")</f>
        <v/>
      </c>
      <c r="X2673" s="143" t="str">
        <f t="shared" si="2"/>
        <v/>
      </c>
      <c r="Y2673" s="139" t="str">
        <f>IFERROR(__xludf.DUMMYFUNCTION("""COMPUTED_VALUE"""),"")</f>
        <v/>
      </c>
      <c r="Z2673" s="141" t="str">
        <f>IFERROR(__xludf.DUMMYFUNCTION("""COMPUTED_VALUE"""),"")</f>
        <v/>
      </c>
    </row>
    <row r="2674">
      <c r="D2674" s="136" t="str">
        <f t="shared" si="3"/>
        <v/>
      </c>
      <c r="E2674" s="152"/>
      <c r="F2674" s="106" t="s">
        <v>133</v>
      </c>
      <c r="G2674" s="152"/>
      <c r="H2674" s="106" t="s">
        <v>133</v>
      </c>
      <c r="J2674" s="139" t="s">
        <v>133</v>
      </c>
      <c r="K2674" s="136" t="s">
        <v>133</v>
      </c>
      <c r="L2674" s="153"/>
      <c r="M2674" s="136" t="str">
        <f t="shared" si="1"/>
        <v/>
      </c>
      <c r="O2674" s="141" t="s">
        <v>133</v>
      </c>
      <c r="P2674" s="136" t="str">
        <f>IFERROR(__xludf.DUMMYFUNCTION("""COMPUTED_VALUE"""),"")</f>
        <v/>
      </c>
      <c r="Q2674" s="136" t="str">
        <f>IFERROR(__xludf.DUMMYFUNCTION("""COMPUTED_VALUE"""),"")</f>
        <v/>
      </c>
      <c r="R2674" s="106" t="str">
        <f>IFERROR(__xludf.DUMMYFUNCTION("""COMPUTED_VALUE"""),"")</f>
        <v/>
      </c>
      <c r="S2674" s="106" t="str">
        <f>IFERROR(__xludf.DUMMYFUNCTION("""COMPUTED_VALUE"""),"")</f>
        <v/>
      </c>
      <c r="T2674" s="139" t="str">
        <f>IFERROR(__xludf.DUMMYFUNCTION("""COMPUTED_VALUE"""),"")</f>
        <v/>
      </c>
      <c r="U2674" s="139" t="str">
        <f>IFERROR(__xludf.DUMMYFUNCTION("""COMPUTED_VALUE"""),"")</f>
        <v/>
      </c>
      <c r="V2674" s="136" t="str">
        <f>IFERROR(__xludf.DUMMYFUNCTION("""COMPUTED_VALUE"""),"")</f>
        <v/>
      </c>
      <c r="W2674" s="106" t="str">
        <f>IFERROR(__xludf.DUMMYFUNCTION("""COMPUTED_VALUE"""),"")</f>
        <v/>
      </c>
      <c r="X2674" s="143" t="str">
        <f t="shared" si="2"/>
        <v/>
      </c>
      <c r="Y2674" s="139" t="str">
        <f>IFERROR(__xludf.DUMMYFUNCTION("""COMPUTED_VALUE"""),"")</f>
        <v/>
      </c>
      <c r="Z2674" s="141" t="str">
        <f>IFERROR(__xludf.DUMMYFUNCTION("""COMPUTED_VALUE"""),"")</f>
        <v/>
      </c>
    </row>
    <row r="2675">
      <c r="D2675" s="136" t="str">
        <f t="shared" si="3"/>
        <v/>
      </c>
      <c r="E2675" s="152"/>
      <c r="F2675" s="106" t="s">
        <v>133</v>
      </c>
      <c r="G2675" s="152"/>
      <c r="H2675" s="106" t="s">
        <v>133</v>
      </c>
      <c r="J2675" s="139" t="s">
        <v>133</v>
      </c>
      <c r="K2675" s="136" t="s">
        <v>133</v>
      </c>
      <c r="L2675" s="153"/>
      <c r="M2675" s="136" t="str">
        <f t="shared" si="1"/>
        <v/>
      </c>
      <c r="O2675" s="141" t="s">
        <v>133</v>
      </c>
      <c r="P2675" s="136" t="str">
        <f>IFERROR(__xludf.DUMMYFUNCTION("""COMPUTED_VALUE"""),"")</f>
        <v/>
      </c>
      <c r="Q2675" s="136" t="str">
        <f>IFERROR(__xludf.DUMMYFUNCTION("""COMPUTED_VALUE"""),"")</f>
        <v/>
      </c>
      <c r="R2675" s="106" t="str">
        <f>IFERROR(__xludf.DUMMYFUNCTION("""COMPUTED_VALUE"""),"")</f>
        <v/>
      </c>
      <c r="S2675" s="106" t="str">
        <f>IFERROR(__xludf.DUMMYFUNCTION("""COMPUTED_VALUE"""),"")</f>
        <v/>
      </c>
      <c r="T2675" s="139" t="str">
        <f>IFERROR(__xludf.DUMMYFUNCTION("""COMPUTED_VALUE"""),"")</f>
        <v/>
      </c>
      <c r="U2675" s="139" t="str">
        <f>IFERROR(__xludf.DUMMYFUNCTION("""COMPUTED_VALUE"""),"")</f>
        <v/>
      </c>
      <c r="V2675" s="136" t="str">
        <f>IFERROR(__xludf.DUMMYFUNCTION("""COMPUTED_VALUE"""),"")</f>
        <v/>
      </c>
      <c r="W2675" s="106" t="str">
        <f>IFERROR(__xludf.DUMMYFUNCTION("""COMPUTED_VALUE"""),"")</f>
        <v/>
      </c>
      <c r="X2675" s="143" t="str">
        <f t="shared" si="2"/>
        <v/>
      </c>
      <c r="Y2675" s="139" t="str">
        <f>IFERROR(__xludf.DUMMYFUNCTION("""COMPUTED_VALUE"""),"")</f>
        <v/>
      </c>
      <c r="Z2675" s="141" t="str">
        <f>IFERROR(__xludf.DUMMYFUNCTION("""COMPUTED_VALUE"""),"")</f>
        <v/>
      </c>
    </row>
    <row r="2676">
      <c r="D2676" s="136" t="str">
        <f t="shared" si="3"/>
        <v/>
      </c>
      <c r="E2676" s="152"/>
      <c r="F2676" s="106" t="s">
        <v>133</v>
      </c>
      <c r="G2676" s="152"/>
      <c r="H2676" s="106" t="s">
        <v>133</v>
      </c>
      <c r="J2676" s="139" t="s">
        <v>133</v>
      </c>
      <c r="K2676" s="136" t="s">
        <v>133</v>
      </c>
      <c r="L2676" s="153"/>
      <c r="M2676" s="136" t="str">
        <f t="shared" si="1"/>
        <v/>
      </c>
      <c r="O2676" s="141" t="s">
        <v>133</v>
      </c>
      <c r="P2676" s="136" t="str">
        <f>IFERROR(__xludf.DUMMYFUNCTION("""COMPUTED_VALUE"""),"")</f>
        <v/>
      </c>
      <c r="Q2676" s="136" t="str">
        <f>IFERROR(__xludf.DUMMYFUNCTION("""COMPUTED_VALUE"""),"")</f>
        <v/>
      </c>
      <c r="R2676" s="106" t="str">
        <f>IFERROR(__xludf.DUMMYFUNCTION("""COMPUTED_VALUE"""),"")</f>
        <v/>
      </c>
      <c r="S2676" s="106" t="str">
        <f>IFERROR(__xludf.DUMMYFUNCTION("""COMPUTED_VALUE"""),"")</f>
        <v/>
      </c>
      <c r="T2676" s="139" t="str">
        <f>IFERROR(__xludf.DUMMYFUNCTION("""COMPUTED_VALUE"""),"")</f>
        <v/>
      </c>
      <c r="U2676" s="139" t="str">
        <f>IFERROR(__xludf.DUMMYFUNCTION("""COMPUTED_VALUE"""),"")</f>
        <v/>
      </c>
      <c r="V2676" s="136" t="str">
        <f>IFERROR(__xludf.DUMMYFUNCTION("""COMPUTED_VALUE"""),"")</f>
        <v/>
      </c>
      <c r="W2676" s="106" t="str">
        <f>IFERROR(__xludf.DUMMYFUNCTION("""COMPUTED_VALUE"""),"")</f>
        <v/>
      </c>
      <c r="X2676" s="143" t="str">
        <f t="shared" si="2"/>
        <v/>
      </c>
      <c r="Y2676" s="139" t="str">
        <f>IFERROR(__xludf.DUMMYFUNCTION("""COMPUTED_VALUE"""),"")</f>
        <v/>
      </c>
      <c r="Z2676" s="141" t="str">
        <f>IFERROR(__xludf.DUMMYFUNCTION("""COMPUTED_VALUE"""),"")</f>
        <v/>
      </c>
    </row>
    <row r="2677">
      <c r="D2677" s="136" t="str">
        <f t="shared" si="3"/>
        <v/>
      </c>
      <c r="E2677" s="152"/>
      <c r="F2677" s="106" t="s">
        <v>133</v>
      </c>
      <c r="G2677" s="152"/>
      <c r="H2677" s="106" t="s">
        <v>133</v>
      </c>
      <c r="J2677" s="139" t="s">
        <v>133</v>
      </c>
      <c r="K2677" s="136" t="s">
        <v>133</v>
      </c>
      <c r="L2677" s="153"/>
      <c r="M2677" s="136" t="str">
        <f t="shared" si="1"/>
        <v/>
      </c>
      <c r="O2677" s="141" t="s">
        <v>133</v>
      </c>
      <c r="P2677" s="136" t="str">
        <f>IFERROR(__xludf.DUMMYFUNCTION("""COMPUTED_VALUE"""),"")</f>
        <v/>
      </c>
      <c r="Q2677" s="136" t="str">
        <f>IFERROR(__xludf.DUMMYFUNCTION("""COMPUTED_VALUE"""),"")</f>
        <v/>
      </c>
      <c r="R2677" s="106" t="str">
        <f>IFERROR(__xludf.DUMMYFUNCTION("""COMPUTED_VALUE"""),"")</f>
        <v/>
      </c>
      <c r="S2677" s="106" t="str">
        <f>IFERROR(__xludf.DUMMYFUNCTION("""COMPUTED_VALUE"""),"")</f>
        <v/>
      </c>
      <c r="T2677" s="139" t="str">
        <f>IFERROR(__xludf.DUMMYFUNCTION("""COMPUTED_VALUE"""),"")</f>
        <v/>
      </c>
      <c r="U2677" s="139" t="str">
        <f>IFERROR(__xludf.DUMMYFUNCTION("""COMPUTED_VALUE"""),"")</f>
        <v/>
      </c>
      <c r="V2677" s="136" t="str">
        <f>IFERROR(__xludf.DUMMYFUNCTION("""COMPUTED_VALUE"""),"")</f>
        <v/>
      </c>
      <c r="W2677" s="106" t="str">
        <f>IFERROR(__xludf.DUMMYFUNCTION("""COMPUTED_VALUE"""),"")</f>
        <v/>
      </c>
      <c r="X2677" s="143" t="str">
        <f t="shared" si="2"/>
        <v/>
      </c>
      <c r="Y2677" s="139" t="str">
        <f>IFERROR(__xludf.DUMMYFUNCTION("""COMPUTED_VALUE"""),"")</f>
        <v/>
      </c>
      <c r="Z2677" s="141" t="str">
        <f>IFERROR(__xludf.DUMMYFUNCTION("""COMPUTED_VALUE"""),"")</f>
        <v/>
      </c>
    </row>
    <row r="2678">
      <c r="D2678" s="136" t="str">
        <f t="shared" si="3"/>
        <v/>
      </c>
      <c r="E2678" s="152"/>
      <c r="F2678" s="106" t="s">
        <v>133</v>
      </c>
      <c r="G2678" s="152"/>
      <c r="H2678" s="106" t="s">
        <v>133</v>
      </c>
      <c r="J2678" s="139" t="s">
        <v>133</v>
      </c>
      <c r="K2678" s="136" t="s">
        <v>133</v>
      </c>
      <c r="L2678" s="153"/>
      <c r="M2678" s="136" t="str">
        <f t="shared" si="1"/>
        <v/>
      </c>
      <c r="O2678" s="141" t="s">
        <v>133</v>
      </c>
      <c r="P2678" s="136" t="str">
        <f>IFERROR(__xludf.DUMMYFUNCTION("""COMPUTED_VALUE"""),"")</f>
        <v/>
      </c>
      <c r="Q2678" s="136" t="str">
        <f>IFERROR(__xludf.DUMMYFUNCTION("""COMPUTED_VALUE"""),"")</f>
        <v/>
      </c>
      <c r="R2678" s="106" t="str">
        <f>IFERROR(__xludf.DUMMYFUNCTION("""COMPUTED_VALUE"""),"")</f>
        <v/>
      </c>
      <c r="S2678" s="106" t="str">
        <f>IFERROR(__xludf.DUMMYFUNCTION("""COMPUTED_VALUE"""),"")</f>
        <v/>
      </c>
      <c r="T2678" s="139" t="str">
        <f>IFERROR(__xludf.DUMMYFUNCTION("""COMPUTED_VALUE"""),"")</f>
        <v/>
      </c>
      <c r="U2678" s="139" t="str">
        <f>IFERROR(__xludf.DUMMYFUNCTION("""COMPUTED_VALUE"""),"")</f>
        <v/>
      </c>
      <c r="V2678" s="136" t="str">
        <f>IFERROR(__xludf.DUMMYFUNCTION("""COMPUTED_VALUE"""),"")</f>
        <v/>
      </c>
      <c r="W2678" s="106" t="str">
        <f>IFERROR(__xludf.DUMMYFUNCTION("""COMPUTED_VALUE"""),"")</f>
        <v/>
      </c>
      <c r="X2678" s="143" t="str">
        <f t="shared" si="2"/>
        <v/>
      </c>
      <c r="Y2678" s="139" t="str">
        <f>IFERROR(__xludf.DUMMYFUNCTION("""COMPUTED_VALUE"""),"")</f>
        <v/>
      </c>
      <c r="Z2678" s="141" t="str">
        <f>IFERROR(__xludf.DUMMYFUNCTION("""COMPUTED_VALUE"""),"")</f>
        <v/>
      </c>
    </row>
    <row r="2679">
      <c r="D2679" s="136" t="str">
        <f t="shared" si="3"/>
        <v/>
      </c>
      <c r="E2679" s="152"/>
      <c r="F2679" s="106" t="s">
        <v>133</v>
      </c>
      <c r="G2679" s="152"/>
      <c r="H2679" s="106" t="s">
        <v>133</v>
      </c>
      <c r="J2679" s="139" t="s">
        <v>133</v>
      </c>
      <c r="K2679" s="136" t="s">
        <v>133</v>
      </c>
      <c r="L2679" s="153"/>
      <c r="M2679" s="136" t="str">
        <f t="shared" si="1"/>
        <v/>
      </c>
      <c r="O2679" s="141" t="s">
        <v>133</v>
      </c>
      <c r="P2679" s="136" t="str">
        <f>IFERROR(__xludf.DUMMYFUNCTION("""COMPUTED_VALUE"""),"")</f>
        <v/>
      </c>
      <c r="Q2679" s="136" t="str">
        <f>IFERROR(__xludf.DUMMYFUNCTION("""COMPUTED_VALUE"""),"")</f>
        <v/>
      </c>
      <c r="R2679" s="106" t="str">
        <f>IFERROR(__xludf.DUMMYFUNCTION("""COMPUTED_VALUE"""),"")</f>
        <v/>
      </c>
      <c r="S2679" s="106" t="str">
        <f>IFERROR(__xludf.DUMMYFUNCTION("""COMPUTED_VALUE"""),"")</f>
        <v/>
      </c>
      <c r="T2679" s="139" t="str">
        <f>IFERROR(__xludf.DUMMYFUNCTION("""COMPUTED_VALUE"""),"")</f>
        <v/>
      </c>
      <c r="U2679" s="139" t="str">
        <f>IFERROR(__xludf.DUMMYFUNCTION("""COMPUTED_VALUE"""),"")</f>
        <v/>
      </c>
      <c r="V2679" s="136" t="str">
        <f>IFERROR(__xludf.DUMMYFUNCTION("""COMPUTED_VALUE"""),"")</f>
        <v/>
      </c>
      <c r="W2679" s="106" t="str">
        <f>IFERROR(__xludf.DUMMYFUNCTION("""COMPUTED_VALUE"""),"")</f>
        <v/>
      </c>
      <c r="X2679" s="143" t="str">
        <f t="shared" si="2"/>
        <v/>
      </c>
      <c r="Y2679" s="139" t="str">
        <f>IFERROR(__xludf.DUMMYFUNCTION("""COMPUTED_VALUE"""),"")</f>
        <v/>
      </c>
      <c r="Z2679" s="141" t="str">
        <f>IFERROR(__xludf.DUMMYFUNCTION("""COMPUTED_VALUE"""),"")</f>
        <v/>
      </c>
    </row>
    <row r="2680">
      <c r="D2680" s="136" t="str">
        <f t="shared" si="3"/>
        <v/>
      </c>
      <c r="E2680" s="152"/>
      <c r="F2680" s="106" t="s">
        <v>133</v>
      </c>
      <c r="G2680" s="152"/>
      <c r="H2680" s="106" t="s">
        <v>133</v>
      </c>
      <c r="J2680" s="139" t="s">
        <v>133</v>
      </c>
      <c r="K2680" s="136" t="s">
        <v>133</v>
      </c>
      <c r="L2680" s="153"/>
      <c r="M2680" s="136" t="str">
        <f t="shared" si="1"/>
        <v/>
      </c>
      <c r="O2680" s="141" t="s">
        <v>133</v>
      </c>
      <c r="P2680" s="136" t="str">
        <f>IFERROR(__xludf.DUMMYFUNCTION("""COMPUTED_VALUE"""),"")</f>
        <v/>
      </c>
      <c r="Q2680" s="136" t="str">
        <f>IFERROR(__xludf.DUMMYFUNCTION("""COMPUTED_VALUE"""),"")</f>
        <v/>
      </c>
      <c r="R2680" s="106" t="str">
        <f>IFERROR(__xludf.DUMMYFUNCTION("""COMPUTED_VALUE"""),"")</f>
        <v/>
      </c>
      <c r="S2680" s="106" t="str">
        <f>IFERROR(__xludf.DUMMYFUNCTION("""COMPUTED_VALUE"""),"")</f>
        <v/>
      </c>
      <c r="T2680" s="139" t="str">
        <f>IFERROR(__xludf.DUMMYFUNCTION("""COMPUTED_VALUE"""),"")</f>
        <v/>
      </c>
      <c r="U2680" s="139" t="str">
        <f>IFERROR(__xludf.DUMMYFUNCTION("""COMPUTED_VALUE"""),"")</f>
        <v/>
      </c>
      <c r="V2680" s="136" t="str">
        <f>IFERROR(__xludf.DUMMYFUNCTION("""COMPUTED_VALUE"""),"")</f>
        <v/>
      </c>
      <c r="W2680" s="106" t="str">
        <f>IFERROR(__xludf.DUMMYFUNCTION("""COMPUTED_VALUE"""),"")</f>
        <v/>
      </c>
      <c r="X2680" s="143" t="str">
        <f t="shared" si="2"/>
        <v/>
      </c>
      <c r="Y2680" s="139" t="str">
        <f>IFERROR(__xludf.DUMMYFUNCTION("""COMPUTED_VALUE"""),"")</f>
        <v/>
      </c>
      <c r="Z2680" s="141" t="str">
        <f>IFERROR(__xludf.DUMMYFUNCTION("""COMPUTED_VALUE"""),"")</f>
        <v/>
      </c>
    </row>
    <row r="2681">
      <c r="D2681" s="136" t="str">
        <f t="shared" si="3"/>
        <v/>
      </c>
      <c r="E2681" s="152"/>
      <c r="F2681" s="106" t="s">
        <v>133</v>
      </c>
      <c r="G2681" s="152"/>
      <c r="H2681" s="106" t="s">
        <v>133</v>
      </c>
      <c r="J2681" s="139" t="s">
        <v>133</v>
      </c>
      <c r="K2681" s="136" t="s">
        <v>133</v>
      </c>
      <c r="L2681" s="153"/>
      <c r="M2681" s="136" t="str">
        <f t="shared" si="1"/>
        <v/>
      </c>
      <c r="O2681" s="141" t="s">
        <v>133</v>
      </c>
      <c r="P2681" s="136" t="str">
        <f>IFERROR(__xludf.DUMMYFUNCTION("""COMPUTED_VALUE"""),"")</f>
        <v/>
      </c>
      <c r="Q2681" s="136" t="str">
        <f>IFERROR(__xludf.DUMMYFUNCTION("""COMPUTED_VALUE"""),"")</f>
        <v/>
      </c>
      <c r="R2681" s="106" t="str">
        <f>IFERROR(__xludf.DUMMYFUNCTION("""COMPUTED_VALUE"""),"")</f>
        <v/>
      </c>
      <c r="S2681" s="106" t="str">
        <f>IFERROR(__xludf.DUMMYFUNCTION("""COMPUTED_VALUE"""),"")</f>
        <v/>
      </c>
      <c r="T2681" s="139" t="str">
        <f>IFERROR(__xludf.DUMMYFUNCTION("""COMPUTED_VALUE"""),"")</f>
        <v/>
      </c>
      <c r="U2681" s="139" t="str">
        <f>IFERROR(__xludf.DUMMYFUNCTION("""COMPUTED_VALUE"""),"")</f>
        <v/>
      </c>
      <c r="V2681" s="136" t="str">
        <f>IFERROR(__xludf.DUMMYFUNCTION("""COMPUTED_VALUE"""),"")</f>
        <v/>
      </c>
      <c r="W2681" s="106" t="str">
        <f>IFERROR(__xludf.DUMMYFUNCTION("""COMPUTED_VALUE"""),"")</f>
        <v/>
      </c>
      <c r="X2681" s="143" t="str">
        <f t="shared" si="2"/>
        <v/>
      </c>
      <c r="Y2681" s="139" t="str">
        <f>IFERROR(__xludf.DUMMYFUNCTION("""COMPUTED_VALUE"""),"")</f>
        <v/>
      </c>
      <c r="Z2681" s="141" t="str">
        <f>IFERROR(__xludf.DUMMYFUNCTION("""COMPUTED_VALUE"""),"")</f>
        <v/>
      </c>
    </row>
    <row r="2682">
      <c r="D2682" s="136" t="str">
        <f t="shared" si="3"/>
        <v/>
      </c>
      <c r="E2682" s="152"/>
      <c r="F2682" s="106" t="s">
        <v>133</v>
      </c>
      <c r="G2682" s="152"/>
      <c r="H2682" s="106" t="s">
        <v>133</v>
      </c>
      <c r="J2682" s="139" t="s">
        <v>133</v>
      </c>
      <c r="K2682" s="136" t="s">
        <v>133</v>
      </c>
      <c r="L2682" s="153"/>
      <c r="M2682" s="136" t="str">
        <f t="shared" si="1"/>
        <v/>
      </c>
      <c r="O2682" s="141" t="s">
        <v>133</v>
      </c>
      <c r="P2682" s="136" t="str">
        <f>IFERROR(__xludf.DUMMYFUNCTION("""COMPUTED_VALUE"""),"")</f>
        <v/>
      </c>
      <c r="Q2682" s="136" t="str">
        <f>IFERROR(__xludf.DUMMYFUNCTION("""COMPUTED_VALUE"""),"")</f>
        <v/>
      </c>
      <c r="R2682" s="106" t="str">
        <f>IFERROR(__xludf.DUMMYFUNCTION("""COMPUTED_VALUE"""),"")</f>
        <v/>
      </c>
      <c r="S2682" s="106" t="str">
        <f>IFERROR(__xludf.DUMMYFUNCTION("""COMPUTED_VALUE"""),"")</f>
        <v/>
      </c>
      <c r="T2682" s="139" t="str">
        <f>IFERROR(__xludf.DUMMYFUNCTION("""COMPUTED_VALUE"""),"")</f>
        <v/>
      </c>
      <c r="U2682" s="139" t="str">
        <f>IFERROR(__xludf.DUMMYFUNCTION("""COMPUTED_VALUE"""),"")</f>
        <v/>
      </c>
      <c r="V2682" s="136" t="str">
        <f>IFERROR(__xludf.DUMMYFUNCTION("""COMPUTED_VALUE"""),"")</f>
        <v/>
      </c>
      <c r="W2682" s="106" t="str">
        <f>IFERROR(__xludf.DUMMYFUNCTION("""COMPUTED_VALUE"""),"")</f>
        <v/>
      </c>
      <c r="X2682" s="143" t="str">
        <f t="shared" si="2"/>
        <v/>
      </c>
      <c r="Y2682" s="139" t="str">
        <f>IFERROR(__xludf.DUMMYFUNCTION("""COMPUTED_VALUE"""),"")</f>
        <v/>
      </c>
      <c r="Z2682" s="141" t="str">
        <f>IFERROR(__xludf.DUMMYFUNCTION("""COMPUTED_VALUE"""),"")</f>
        <v/>
      </c>
    </row>
    <row r="2683">
      <c r="D2683" s="136" t="str">
        <f t="shared" si="3"/>
        <v/>
      </c>
      <c r="E2683" s="152"/>
      <c r="F2683" s="106" t="s">
        <v>133</v>
      </c>
      <c r="G2683" s="152"/>
      <c r="H2683" s="106" t="s">
        <v>133</v>
      </c>
      <c r="J2683" s="139" t="s">
        <v>133</v>
      </c>
      <c r="K2683" s="136" t="s">
        <v>133</v>
      </c>
      <c r="L2683" s="153"/>
      <c r="M2683" s="136" t="str">
        <f t="shared" si="1"/>
        <v/>
      </c>
      <c r="O2683" s="141" t="s">
        <v>133</v>
      </c>
      <c r="P2683" s="136" t="str">
        <f>IFERROR(__xludf.DUMMYFUNCTION("""COMPUTED_VALUE"""),"")</f>
        <v/>
      </c>
      <c r="Q2683" s="136" t="str">
        <f>IFERROR(__xludf.DUMMYFUNCTION("""COMPUTED_VALUE"""),"")</f>
        <v/>
      </c>
      <c r="R2683" s="106" t="str">
        <f>IFERROR(__xludf.DUMMYFUNCTION("""COMPUTED_VALUE"""),"")</f>
        <v/>
      </c>
      <c r="S2683" s="106" t="str">
        <f>IFERROR(__xludf.DUMMYFUNCTION("""COMPUTED_VALUE"""),"")</f>
        <v/>
      </c>
      <c r="T2683" s="139" t="str">
        <f>IFERROR(__xludf.DUMMYFUNCTION("""COMPUTED_VALUE"""),"")</f>
        <v/>
      </c>
      <c r="U2683" s="139" t="str">
        <f>IFERROR(__xludf.DUMMYFUNCTION("""COMPUTED_VALUE"""),"")</f>
        <v/>
      </c>
      <c r="V2683" s="136" t="str">
        <f>IFERROR(__xludf.DUMMYFUNCTION("""COMPUTED_VALUE"""),"")</f>
        <v/>
      </c>
      <c r="W2683" s="106" t="str">
        <f>IFERROR(__xludf.DUMMYFUNCTION("""COMPUTED_VALUE"""),"")</f>
        <v/>
      </c>
      <c r="X2683" s="143" t="str">
        <f t="shared" si="2"/>
        <v/>
      </c>
      <c r="Y2683" s="139" t="str">
        <f>IFERROR(__xludf.DUMMYFUNCTION("""COMPUTED_VALUE"""),"")</f>
        <v/>
      </c>
      <c r="Z2683" s="141" t="str">
        <f>IFERROR(__xludf.DUMMYFUNCTION("""COMPUTED_VALUE"""),"")</f>
        <v/>
      </c>
    </row>
    <row r="2684">
      <c r="D2684" s="136" t="str">
        <f t="shared" si="3"/>
        <v/>
      </c>
      <c r="E2684" s="152"/>
      <c r="F2684" s="106" t="s">
        <v>133</v>
      </c>
      <c r="G2684" s="152"/>
      <c r="H2684" s="106" t="s">
        <v>133</v>
      </c>
      <c r="J2684" s="139" t="s">
        <v>133</v>
      </c>
      <c r="K2684" s="136" t="s">
        <v>133</v>
      </c>
      <c r="L2684" s="153"/>
      <c r="M2684" s="136" t="str">
        <f t="shared" si="1"/>
        <v/>
      </c>
      <c r="O2684" s="141" t="s">
        <v>133</v>
      </c>
      <c r="P2684" s="136" t="str">
        <f>IFERROR(__xludf.DUMMYFUNCTION("""COMPUTED_VALUE"""),"")</f>
        <v/>
      </c>
      <c r="Q2684" s="136" t="str">
        <f>IFERROR(__xludf.DUMMYFUNCTION("""COMPUTED_VALUE"""),"")</f>
        <v/>
      </c>
      <c r="R2684" s="106" t="str">
        <f>IFERROR(__xludf.DUMMYFUNCTION("""COMPUTED_VALUE"""),"")</f>
        <v/>
      </c>
      <c r="S2684" s="106" t="str">
        <f>IFERROR(__xludf.DUMMYFUNCTION("""COMPUTED_VALUE"""),"")</f>
        <v/>
      </c>
      <c r="T2684" s="139" t="str">
        <f>IFERROR(__xludf.DUMMYFUNCTION("""COMPUTED_VALUE"""),"")</f>
        <v/>
      </c>
      <c r="U2684" s="139" t="str">
        <f>IFERROR(__xludf.DUMMYFUNCTION("""COMPUTED_VALUE"""),"")</f>
        <v/>
      </c>
      <c r="V2684" s="136" t="str">
        <f>IFERROR(__xludf.DUMMYFUNCTION("""COMPUTED_VALUE"""),"")</f>
        <v/>
      </c>
      <c r="W2684" s="106" t="str">
        <f>IFERROR(__xludf.DUMMYFUNCTION("""COMPUTED_VALUE"""),"")</f>
        <v/>
      </c>
      <c r="X2684" s="143" t="str">
        <f t="shared" si="2"/>
        <v/>
      </c>
      <c r="Y2684" s="139" t="str">
        <f>IFERROR(__xludf.DUMMYFUNCTION("""COMPUTED_VALUE"""),"")</f>
        <v/>
      </c>
      <c r="Z2684" s="141" t="str">
        <f>IFERROR(__xludf.DUMMYFUNCTION("""COMPUTED_VALUE"""),"")</f>
        <v/>
      </c>
    </row>
    <row r="2685">
      <c r="D2685" s="136" t="str">
        <f t="shared" si="3"/>
        <v/>
      </c>
      <c r="E2685" s="152"/>
      <c r="F2685" s="106" t="s">
        <v>133</v>
      </c>
      <c r="G2685" s="152"/>
      <c r="H2685" s="106" t="s">
        <v>133</v>
      </c>
      <c r="J2685" s="139" t="s">
        <v>133</v>
      </c>
      <c r="K2685" s="136" t="s">
        <v>133</v>
      </c>
      <c r="L2685" s="153"/>
      <c r="M2685" s="136" t="str">
        <f t="shared" si="1"/>
        <v/>
      </c>
      <c r="O2685" s="141" t="s">
        <v>133</v>
      </c>
      <c r="P2685" s="136" t="str">
        <f>IFERROR(__xludf.DUMMYFUNCTION("""COMPUTED_VALUE"""),"")</f>
        <v/>
      </c>
      <c r="Q2685" s="136" t="str">
        <f>IFERROR(__xludf.DUMMYFUNCTION("""COMPUTED_VALUE"""),"")</f>
        <v/>
      </c>
      <c r="R2685" s="106" t="str">
        <f>IFERROR(__xludf.DUMMYFUNCTION("""COMPUTED_VALUE"""),"")</f>
        <v/>
      </c>
      <c r="S2685" s="106" t="str">
        <f>IFERROR(__xludf.DUMMYFUNCTION("""COMPUTED_VALUE"""),"")</f>
        <v/>
      </c>
      <c r="T2685" s="139" t="str">
        <f>IFERROR(__xludf.DUMMYFUNCTION("""COMPUTED_VALUE"""),"")</f>
        <v/>
      </c>
      <c r="U2685" s="139" t="str">
        <f>IFERROR(__xludf.DUMMYFUNCTION("""COMPUTED_VALUE"""),"")</f>
        <v/>
      </c>
      <c r="V2685" s="136" t="str">
        <f>IFERROR(__xludf.DUMMYFUNCTION("""COMPUTED_VALUE"""),"")</f>
        <v/>
      </c>
      <c r="W2685" s="106" t="str">
        <f>IFERROR(__xludf.DUMMYFUNCTION("""COMPUTED_VALUE"""),"")</f>
        <v/>
      </c>
      <c r="X2685" s="143" t="str">
        <f t="shared" si="2"/>
        <v/>
      </c>
      <c r="Y2685" s="139" t="str">
        <f>IFERROR(__xludf.DUMMYFUNCTION("""COMPUTED_VALUE"""),"")</f>
        <v/>
      </c>
      <c r="Z2685" s="141" t="str">
        <f>IFERROR(__xludf.DUMMYFUNCTION("""COMPUTED_VALUE"""),"")</f>
        <v/>
      </c>
    </row>
    <row r="2686">
      <c r="D2686" s="136" t="str">
        <f t="shared" si="3"/>
        <v/>
      </c>
      <c r="E2686" s="152"/>
      <c r="F2686" s="106" t="s">
        <v>133</v>
      </c>
      <c r="G2686" s="152"/>
      <c r="H2686" s="106" t="s">
        <v>133</v>
      </c>
      <c r="J2686" s="139" t="s">
        <v>133</v>
      </c>
      <c r="K2686" s="136" t="s">
        <v>133</v>
      </c>
      <c r="L2686" s="153"/>
      <c r="M2686" s="136" t="str">
        <f t="shared" si="1"/>
        <v/>
      </c>
      <c r="O2686" s="141" t="s">
        <v>133</v>
      </c>
      <c r="P2686" s="136" t="str">
        <f>IFERROR(__xludf.DUMMYFUNCTION("""COMPUTED_VALUE"""),"")</f>
        <v/>
      </c>
      <c r="Q2686" s="136" t="str">
        <f>IFERROR(__xludf.DUMMYFUNCTION("""COMPUTED_VALUE"""),"")</f>
        <v/>
      </c>
      <c r="R2686" s="106" t="str">
        <f>IFERROR(__xludf.DUMMYFUNCTION("""COMPUTED_VALUE"""),"")</f>
        <v/>
      </c>
      <c r="S2686" s="106" t="str">
        <f>IFERROR(__xludf.DUMMYFUNCTION("""COMPUTED_VALUE"""),"")</f>
        <v/>
      </c>
      <c r="T2686" s="139" t="str">
        <f>IFERROR(__xludf.DUMMYFUNCTION("""COMPUTED_VALUE"""),"")</f>
        <v/>
      </c>
      <c r="U2686" s="139" t="str">
        <f>IFERROR(__xludf.DUMMYFUNCTION("""COMPUTED_VALUE"""),"")</f>
        <v/>
      </c>
      <c r="V2686" s="136" t="str">
        <f>IFERROR(__xludf.DUMMYFUNCTION("""COMPUTED_VALUE"""),"")</f>
        <v/>
      </c>
      <c r="W2686" s="106" t="str">
        <f>IFERROR(__xludf.DUMMYFUNCTION("""COMPUTED_VALUE"""),"")</f>
        <v/>
      </c>
      <c r="X2686" s="143" t="str">
        <f t="shared" si="2"/>
        <v/>
      </c>
      <c r="Y2686" s="139" t="str">
        <f>IFERROR(__xludf.DUMMYFUNCTION("""COMPUTED_VALUE"""),"")</f>
        <v/>
      </c>
      <c r="Z2686" s="141" t="str">
        <f>IFERROR(__xludf.DUMMYFUNCTION("""COMPUTED_VALUE"""),"")</f>
        <v/>
      </c>
    </row>
    <row r="2687">
      <c r="D2687" s="136" t="str">
        <f t="shared" si="3"/>
        <v/>
      </c>
      <c r="E2687" s="152"/>
      <c r="F2687" s="106" t="s">
        <v>133</v>
      </c>
      <c r="G2687" s="152"/>
      <c r="H2687" s="106" t="s">
        <v>133</v>
      </c>
      <c r="J2687" s="139" t="s">
        <v>133</v>
      </c>
      <c r="K2687" s="136" t="s">
        <v>133</v>
      </c>
      <c r="L2687" s="153"/>
      <c r="M2687" s="136" t="str">
        <f t="shared" si="1"/>
        <v/>
      </c>
      <c r="O2687" s="141" t="s">
        <v>133</v>
      </c>
      <c r="P2687" s="136" t="str">
        <f>IFERROR(__xludf.DUMMYFUNCTION("""COMPUTED_VALUE"""),"")</f>
        <v/>
      </c>
      <c r="Q2687" s="136" t="str">
        <f>IFERROR(__xludf.DUMMYFUNCTION("""COMPUTED_VALUE"""),"")</f>
        <v/>
      </c>
      <c r="R2687" s="106" t="str">
        <f>IFERROR(__xludf.DUMMYFUNCTION("""COMPUTED_VALUE"""),"")</f>
        <v/>
      </c>
      <c r="S2687" s="106" t="str">
        <f>IFERROR(__xludf.DUMMYFUNCTION("""COMPUTED_VALUE"""),"")</f>
        <v/>
      </c>
      <c r="T2687" s="139" t="str">
        <f>IFERROR(__xludf.DUMMYFUNCTION("""COMPUTED_VALUE"""),"")</f>
        <v/>
      </c>
      <c r="U2687" s="139" t="str">
        <f>IFERROR(__xludf.DUMMYFUNCTION("""COMPUTED_VALUE"""),"")</f>
        <v/>
      </c>
      <c r="V2687" s="136" t="str">
        <f>IFERROR(__xludf.DUMMYFUNCTION("""COMPUTED_VALUE"""),"")</f>
        <v/>
      </c>
      <c r="W2687" s="106" t="str">
        <f>IFERROR(__xludf.DUMMYFUNCTION("""COMPUTED_VALUE"""),"")</f>
        <v/>
      </c>
      <c r="X2687" s="143" t="str">
        <f t="shared" si="2"/>
        <v/>
      </c>
      <c r="Y2687" s="139" t="str">
        <f>IFERROR(__xludf.DUMMYFUNCTION("""COMPUTED_VALUE"""),"")</f>
        <v/>
      </c>
      <c r="Z2687" s="141" t="str">
        <f>IFERROR(__xludf.DUMMYFUNCTION("""COMPUTED_VALUE"""),"")</f>
        <v/>
      </c>
    </row>
    <row r="2688">
      <c r="D2688" s="136" t="str">
        <f t="shared" si="3"/>
        <v/>
      </c>
      <c r="E2688" s="152"/>
      <c r="F2688" s="106" t="s">
        <v>133</v>
      </c>
      <c r="G2688" s="152"/>
      <c r="H2688" s="106" t="s">
        <v>133</v>
      </c>
      <c r="J2688" s="139" t="s">
        <v>133</v>
      </c>
      <c r="K2688" s="136" t="s">
        <v>133</v>
      </c>
      <c r="L2688" s="153"/>
      <c r="M2688" s="136" t="str">
        <f t="shared" si="1"/>
        <v/>
      </c>
      <c r="O2688" s="141" t="s">
        <v>133</v>
      </c>
      <c r="P2688" s="136" t="str">
        <f>IFERROR(__xludf.DUMMYFUNCTION("""COMPUTED_VALUE"""),"")</f>
        <v/>
      </c>
      <c r="Q2688" s="136" t="str">
        <f>IFERROR(__xludf.DUMMYFUNCTION("""COMPUTED_VALUE"""),"")</f>
        <v/>
      </c>
      <c r="R2688" s="106" t="str">
        <f>IFERROR(__xludf.DUMMYFUNCTION("""COMPUTED_VALUE"""),"")</f>
        <v/>
      </c>
      <c r="S2688" s="106" t="str">
        <f>IFERROR(__xludf.DUMMYFUNCTION("""COMPUTED_VALUE"""),"")</f>
        <v/>
      </c>
      <c r="T2688" s="139" t="str">
        <f>IFERROR(__xludf.DUMMYFUNCTION("""COMPUTED_VALUE"""),"")</f>
        <v/>
      </c>
      <c r="U2688" s="139" t="str">
        <f>IFERROR(__xludf.DUMMYFUNCTION("""COMPUTED_VALUE"""),"")</f>
        <v/>
      </c>
      <c r="V2688" s="136" t="str">
        <f>IFERROR(__xludf.DUMMYFUNCTION("""COMPUTED_VALUE"""),"")</f>
        <v/>
      </c>
      <c r="W2688" s="106" t="str">
        <f>IFERROR(__xludf.DUMMYFUNCTION("""COMPUTED_VALUE"""),"")</f>
        <v/>
      </c>
      <c r="X2688" s="143" t="str">
        <f t="shared" si="2"/>
        <v/>
      </c>
      <c r="Y2688" s="139" t="str">
        <f>IFERROR(__xludf.DUMMYFUNCTION("""COMPUTED_VALUE"""),"")</f>
        <v/>
      </c>
      <c r="Z2688" s="141" t="str">
        <f>IFERROR(__xludf.DUMMYFUNCTION("""COMPUTED_VALUE"""),"")</f>
        <v/>
      </c>
    </row>
    <row r="2689">
      <c r="D2689" s="136" t="str">
        <f t="shared" si="3"/>
        <v/>
      </c>
      <c r="E2689" s="152"/>
      <c r="F2689" s="106" t="s">
        <v>133</v>
      </c>
      <c r="G2689" s="152"/>
      <c r="H2689" s="106" t="s">
        <v>133</v>
      </c>
      <c r="J2689" s="139" t="s">
        <v>133</v>
      </c>
      <c r="K2689" s="136" t="s">
        <v>133</v>
      </c>
      <c r="L2689" s="153"/>
      <c r="M2689" s="136" t="str">
        <f t="shared" si="1"/>
        <v/>
      </c>
      <c r="O2689" s="141" t="s">
        <v>133</v>
      </c>
      <c r="P2689" s="136" t="str">
        <f>IFERROR(__xludf.DUMMYFUNCTION("""COMPUTED_VALUE"""),"")</f>
        <v/>
      </c>
      <c r="Q2689" s="136" t="str">
        <f>IFERROR(__xludf.DUMMYFUNCTION("""COMPUTED_VALUE"""),"")</f>
        <v/>
      </c>
      <c r="R2689" s="106" t="str">
        <f>IFERROR(__xludf.DUMMYFUNCTION("""COMPUTED_VALUE"""),"")</f>
        <v/>
      </c>
      <c r="S2689" s="106" t="str">
        <f>IFERROR(__xludf.DUMMYFUNCTION("""COMPUTED_VALUE"""),"")</f>
        <v/>
      </c>
      <c r="T2689" s="139" t="str">
        <f>IFERROR(__xludf.DUMMYFUNCTION("""COMPUTED_VALUE"""),"")</f>
        <v/>
      </c>
      <c r="U2689" s="139" t="str">
        <f>IFERROR(__xludf.DUMMYFUNCTION("""COMPUTED_VALUE"""),"")</f>
        <v/>
      </c>
      <c r="V2689" s="136" t="str">
        <f>IFERROR(__xludf.DUMMYFUNCTION("""COMPUTED_VALUE"""),"")</f>
        <v/>
      </c>
      <c r="W2689" s="106" t="str">
        <f>IFERROR(__xludf.DUMMYFUNCTION("""COMPUTED_VALUE"""),"")</f>
        <v/>
      </c>
      <c r="X2689" s="143" t="str">
        <f t="shared" si="2"/>
        <v/>
      </c>
      <c r="Y2689" s="139" t="str">
        <f>IFERROR(__xludf.DUMMYFUNCTION("""COMPUTED_VALUE"""),"")</f>
        <v/>
      </c>
      <c r="Z2689" s="141" t="str">
        <f>IFERROR(__xludf.DUMMYFUNCTION("""COMPUTED_VALUE"""),"")</f>
        <v/>
      </c>
    </row>
    <row r="2690">
      <c r="D2690" s="136" t="str">
        <f t="shared" si="3"/>
        <v/>
      </c>
      <c r="E2690" s="152"/>
      <c r="F2690" s="106" t="s">
        <v>133</v>
      </c>
      <c r="G2690" s="152"/>
      <c r="H2690" s="106" t="s">
        <v>133</v>
      </c>
      <c r="J2690" s="139" t="s">
        <v>133</v>
      </c>
      <c r="K2690" s="136" t="s">
        <v>133</v>
      </c>
      <c r="L2690" s="153"/>
      <c r="M2690" s="136" t="str">
        <f t="shared" si="1"/>
        <v/>
      </c>
      <c r="O2690" s="141" t="s">
        <v>133</v>
      </c>
      <c r="P2690" s="136" t="str">
        <f>IFERROR(__xludf.DUMMYFUNCTION("""COMPUTED_VALUE"""),"")</f>
        <v/>
      </c>
      <c r="Q2690" s="136" t="str">
        <f>IFERROR(__xludf.DUMMYFUNCTION("""COMPUTED_VALUE"""),"")</f>
        <v/>
      </c>
      <c r="R2690" s="106" t="str">
        <f>IFERROR(__xludf.DUMMYFUNCTION("""COMPUTED_VALUE"""),"")</f>
        <v/>
      </c>
      <c r="S2690" s="106" t="str">
        <f>IFERROR(__xludf.DUMMYFUNCTION("""COMPUTED_VALUE"""),"")</f>
        <v/>
      </c>
      <c r="T2690" s="139" t="str">
        <f>IFERROR(__xludf.DUMMYFUNCTION("""COMPUTED_VALUE"""),"")</f>
        <v/>
      </c>
      <c r="U2690" s="139" t="str">
        <f>IFERROR(__xludf.DUMMYFUNCTION("""COMPUTED_VALUE"""),"")</f>
        <v/>
      </c>
      <c r="V2690" s="136" t="str">
        <f>IFERROR(__xludf.DUMMYFUNCTION("""COMPUTED_VALUE"""),"")</f>
        <v/>
      </c>
      <c r="W2690" s="106" t="str">
        <f>IFERROR(__xludf.DUMMYFUNCTION("""COMPUTED_VALUE"""),"")</f>
        <v/>
      </c>
      <c r="X2690" s="143" t="str">
        <f t="shared" si="2"/>
        <v/>
      </c>
      <c r="Y2690" s="139" t="str">
        <f>IFERROR(__xludf.DUMMYFUNCTION("""COMPUTED_VALUE"""),"")</f>
        <v/>
      </c>
      <c r="Z2690" s="141" t="str">
        <f>IFERROR(__xludf.DUMMYFUNCTION("""COMPUTED_VALUE"""),"")</f>
        <v/>
      </c>
    </row>
    <row r="2691">
      <c r="D2691" s="136" t="str">
        <f t="shared" si="3"/>
        <v/>
      </c>
      <c r="E2691" s="152"/>
      <c r="F2691" s="106" t="s">
        <v>133</v>
      </c>
      <c r="G2691" s="152"/>
      <c r="H2691" s="106" t="s">
        <v>133</v>
      </c>
      <c r="J2691" s="139" t="s">
        <v>133</v>
      </c>
      <c r="K2691" s="136" t="s">
        <v>133</v>
      </c>
      <c r="L2691" s="153"/>
      <c r="M2691" s="136" t="str">
        <f t="shared" si="1"/>
        <v/>
      </c>
      <c r="O2691" s="141" t="s">
        <v>133</v>
      </c>
      <c r="P2691" s="136" t="str">
        <f>IFERROR(__xludf.DUMMYFUNCTION("""COMPUTED_VALUE"""),"")</f>
        <v/>
      </c>
      <c r="Q2691" s="136" t="str">
        <f>IFERROR(__xludf.DUMMYFUNCTION("""COMPUTED_VALUE"""),"")</f>
        <v/>
      </c>
      <c r="R2691" s="106" t="str">
        <f>IFERROR(__xludf.DUMMYFUNCTION("""COMPUTED_VALUE"""),"")</f>
        <v/>
      </c>
      <c r="S2691" s="106" t="str">
        <f>IFERROR(__xludf.DUMMYFUNCTION("""COMPUTED_VALUE"""),"")</f>
        <v/>
      </c>
      <c r="T2691" s="139" t="str">
        <f>IFERROR(__xludf.DUMMYFUNCTION("""COMPUTED_VALUE"""),"")</f>
        <v/>
      </c>
      <c r="U2691" s="139" t="str">
        <f>IFERROR(__xludf.DUMMYFUNCTION("""COMPUTED_VALUE"""),"")</f>
        <v/>
      </c>
      <c r="V2691" s="136" t="str">
        <f>IFERROR(__xludf.DUMMYFUNCTION("""COMPUTED_VALUE"""),"")</f>
        <v/>
      </c>
      <c r="W2691" s="106" t="str">
        <f>IFERROR(__xludf.DUMMYFUNCTION("""COMPUTED_VALUE"""),"")</f>
        <v/>
      </c>
      <c r="X2691" s="143" t="str">
        <f t="shared" si="2"/>
        <v/>
      </c>
      <c r="Y2691" s="139" t="str">
        <f>IFERROR(__xludf.DUMMYFUNCTION("""COMPUTED_VALUE"""),"")</f>
        <v/>
      </c>
      <c r="Z2691" s="141" t="str">
        <f>IFERROR(__xludf.DUMMYFUNCTION("""COMPUTED_VALUE"""),"")</f>
        <v/>
      </c>
    </row>
    <row r="2692">
      <c r="D2692" s="136" t="str">
        <f t="shared" si="3"/>
        <v/>
      </c>
      <c r="E2692" s="152"/>
      <c r="F2692" s="106" t="s">
        <v>133</v>
      </c>
      <c r="G2692" s="152"/>
      <c r="H2692" s="106" t="s">
        <v>133</v>
      </c>
      <c r="J2692" s="139" t="s">
        <v>133</v>
      </c>
      <c r="K2692" s="136" t="s">
        <v>133</v>
      </c>
      <c r="L2692" s="153"/>
      <c r="M2692" s="136" t="str">
        <f t="shared" si="1"/>
        <v/>
      </c>
      <c r="O2692" s="141" t="s">
        <v>133</v>
      </c>
      <c r="P2692" s="136" t="str">
        <f>IFERROR(__xludf.DUMMYFUNCTION("""COMPUTED_VALUE"""),"")</f>
        <v/>
      </c>
      <c r="Q2692" s="136" t="str">
        <f>IFERROR(__xludf.DUMMYFUNCTION("""COMPUTED_VALUE"""),"")</f>
        <v/>
      </c>
      <c r="R2692" s="106" t="str">
        <f>IFERROR(__xludf.DUMMYFUNCTION("""COMPUTED_VALUE"""),"")</f>
        <v/>
      </c>
      <c r="S2692" s="106" t="str">
        <f>IFERROR(__xludf.DUMMYFUNCTION("""COMPUTED_VALUE"""),"")</f>
        <v/>
      </c>
      <c r="T2692" s="139" t="str">
        <f>IFERROR(__xludf.DUMMYFUNCTION("""COMPUTED_VALUE"""),"")</f>
        <v/>
      </c>
      <c r="U2692" s="139" t="str">
        <f>IFERROR(__xludf.DUMMYFUNCTION("""COMPUTED_VALUE"""),"")</f>
        <v/>
      </c>
      <c r="V2692" s="136" t="str">
        <f>IFERROR(__xludf.DUMMYFUNCTION("""COMPUTED_VALUE"""),"")</f>
        <v/>
      </c>
      <c r="W2692" s="106" t="str">
        <f>IFERROR(__xludf.DUMMYFUNCTION("""COMPUTED_VALUE"""),"")</f>
        <v/>
      </c>
      <c r="X2692" s="143" t="str">
        <f t="shared" si="2"/>
        <v/>
      </c>
      <c r="Y2692" s="139" t="str">
        <f>IFERROR(__xludf.DUMMYFUNCTION("""COMPUTED_VALUE"""),"")</f>
        <v/>
      </c>
      <c r="Z2692" s="141" t="str">
        <f>IFERROR(__xludf.DUMMYFUNCTION("""COMPUTED_VALUE"""),"")</f>
        <v/>
      </c>
    </row>
    <row r="2693">
      <c r="D2693" s="136" t="str">
        <f t="shared" si="3"/>
        <v/>
      </c>
      <c r="E2693" s="152"/>
      <c r="F2693" s="106" t="s">
        <v>133</v>
      </c>
      <c r="G2693" s="152"/>
      <c r="H2693" s="106" t="s">
        <v>133</v>
      </c>
      <c r="J2693" s="139" t="s">
        <v>133</v>
      </c>
      <c r="K2693" s="136" t="s">
        <v>133</v>
      </c>
      <c r="L2693" s="153"/>
      <c r="M2693" s="136" t="str">
        <f t="shared" si="1"/>
        <v/>
      </c>
      <c r="O2693" s="141" t="s">
        <v>133</v>
      </c>
      <c r="P2693" s="136" t="str">
        <f>IFERROR(__xludf.DUMMYFUNCTION("""COMPUTED_VALUE"""),"")</f>
        <v/>
      </c>
      <c r="Q2693" s="136" t="str">
        <f>IFERROR(__xludf.DUMMYFUNCTION("""COMPUTED_VALUE"""),"")</f>
        <v/>
      </c>
      <c r="R2693" s="106" t="str">
        <f>IFERROR(__xludf.DUMMYFUNCTION("""COMPUTED_VALUE"""),"")</f>
        <v/>
      </c>
      <c r="S2693" s="106" t="str">
        <f>IFERROR(__xludf.DUMMYFUNCTION("""COMPUTED_VALUE"""),"")</f>
        <v/>
      </c>
      <c r="T2693" s="139" t="str">
        <f>IFERROR(__xludf.DUMMYFUNCTION("""COMPUTED_VALUE"""),"")</f>
        <v/>
      </c>
      <c r="U2693" s="139" t="str">
        <f>IFERROR(__xludf.DUMMYFUNCTION("""COMPUTED_VALUE"""),"")</f>
        <v/>
      </c>
      <c r="V2693" s="136" t="str">
        <f>IFERROR(__xludf.DUMMYFUNCTION("""COMPUTED_VALUE"""),"")</f>
        <v/>
      </c>
      <c r="W2693" s="106" t="str">
        <f>IFERROR(__xludf.DUMMYFUNCTION("""COMPUTED_VALUE"""),"")</f>
        <v/>
      </c>
      <c r="X2693" s="143" t="str">
        <f t="shared" si="2"/>
        <v/>
      </c>
      <c r="Y2693" s="139" t="str">
        <f>IFERROR(__xludf.DUMMYFUNCTION("""COMPUTED_VALUE"""),"")</f>
        <v/>
      </c>
      <c r="Z2693" s="141" t="str">
        <f>IFERROR(__xludf.DUMMYFUNCTION("""COMPUTED_VALUE"""),"")</f>
        <v/>
      </c>
    </row>
    <row r="2694">
      <c r="D2694" s="136" t="str">
        <f t="shared" si="3"/>
        <v/>
      </c>
      <c r="E2694" s="152"/>
      <c r="F2694" s="106" t="s">
        <v>133</v>
      </c>
      <c r="G2694" s="152"/>
      <c r="H2694" s="106" t="s">
        <v>133</v>
      </c>
      <c r="J2694" s="139" t="s">
        <v>133</v>
      </c>
      <c r="K2694" s="136" t="s">
        <v>133</v>
      </c>
      <c r="L2694" s="153"/>
      <c r="M2694" s="136" t="str">
        <f t="shared" si="1"/>
        <v/>
      </c>
      <c r="O2694" s="141" t="s">
        <v>133</v>
      </c>
      <c r="P2694" s="136" t="str">
        <f>IFERROR(__xludf.DUMMYFUNCTION("""COMPUTED_VALUE"""),"")</f>
        <v/>
      </c>
      <c r="Q2694" s="136" t="str">
        <f>IFERROR(__xludf.DUMMYFUNCTION("""COMPUTED_VALUE"""),"")</f>
        <v/>
      </c>
      <c r="R2694" s="106" t="str">
        <f>IFERROR(__xludf.DUMMYFUNCTION("""COMPUTED_VALUE"""),"")</f>
        <v/>
      </c>
      <c r="S2694" s="106" t="str">
        <f>IFERROR(__xludf.DUMMYFUNCTION("""COMPUTED_VALUE"""),"")</f>
        <v/>
      </c>
      <c r="T2694" s="139" t="str">
        <f>IFERROR(__xludf.DUMMYFUNCTION("""COMPUTED_VALUE"""),"")</f>
        <v/>
      </c>
      <c r="U2694" s="139" t="str">
        <f>IFERROR(__xludf.DUMMYFUNCTION("""COMPUTED_VALUE"""),"")</f>
        <v/>
      </c>
      <c r="V2694" s="136" t="str">
        <f>IFERROR(__xludf.DUMMYFUNCTION("""COMPUTED_VALUE"""),"")</f>
        <v/>
      </c>
      <c r="W2694" s="106" t="str">
        <f>IFERROR(__xludf.DUMMYFUNCTION("""COMPUTED_VALUE"""),"")</f>
        <v/>
      </c>
      <c r="X2694" s="143" t="str">
        <f t="shared" si="2"/>
        <v/>
      </c>
      <c r="Y2694" s="139" t="str">
        <f>IFERROR(__xludf.DUMMYFUNCTION("""COMPUTED_VALUE"""),"")</f>
        <v/>
      </c>
      <c r="Z2694" s="141" t="str">
        <f>IFERROR(__xludf.DUMMYFUNCTION("""COMPUTED_VALUE"""),"")</f>
        <v/>
      </c>
    </row>
    <row r="2695">
      <c r="D2695" s="136" t="str">
        <f t="shared" si="3"/>
        <v/>
      </c>
      <c r="E2695" s="152"/>
      <c r="F2695" s="106" t="s">
        <v>133</v>
      </c>
      <c r="G2695" s="152"/>
      <c r="H2695" s="106" t="s">
        <v>133</v>
      </c>
      <c r="J2695" s="139" t="s">
        <v>133</v>
      </c>
      <c r="K2695" s="136" t="s">
        <v>133</v>
      </c>
      <c r="L2695" s="153"/>
      <c r="M2695" s="136" t="str">
        <f t="shared" si="1"/>
        <v/>
      </c>
      <c r="O2695" s="141" t="s">
        <v>133</v>
      </c>
      <c r="P2695" s="136" t="str">
        <f>IFERROR(__xludf.DUMMYFUNCTION("""COMPUTED_VALUE"""),"")</f>
        <v/>
      </c>
      <c r="Q2695" s="136" t="str">
        <f>IFERROR(__xludf.DUMMYFUNCTION("""COMPUTED_VALUE"""),"")</f>
        <v/>
      </c>
      <c r="R2695" s="106" t="str">
        <f>IFERROR(__xludf.DUMMYFUNCTION("""COMPUTED_VALUE"""),"")</f>
        <v/>
      </c>
      <c r="S2695" s="106" t="str">
        <f>IFERROR(__xludf.DUMMYFUNCTION("""COMPUTED_VALUE"""),"")</f>
        <v/>
      </c>
      <c r="T2695" s="139" t="str">
        <f>IFERROR(__xludf.DUMMYFUNCTION("""COMPUTED_VALUE"""),"")</f>
        <v/>
      </c>
      <c r="U2695" s="139" t="str">
        <f>IFERROR(__xludf.DUMMYFUNCTION("""COMPUTED_VALUE"""),"")</f>
        <v/>
      </c>
      <c r="V2695" s="136" t="str">
        <f>IFERROR(__xludf.DUMMYFUNCTION("""COMPUTED_VALUE"""),"")</f>
        <v/>
      </c>
      <c r="W2695" s="106" t="str">
        <f>IFERROR(__xludf.DUMMYFUNCTION("""COMPUTED_VALUE"""),"")</f>
        <v/>
      </c>
      <c r="X2695" s="143" t="str">
        <f t="shared" si="2"/>
        <v/>
      </c>
      <c r="Y2695" s="139" t="str">
        <f>IFERROR(__xludf.DUMMYFUNCTION("""COMPUTED_VALUE"""),"")</f>
        <v/>
      </c>
      <c r="Z2695" s="141" t="str">
        <f>IFERROR(__xludf.DUMMYFUNCTION("""COMPUTED_VALUE"""),"")</f>
        <v/>
      </c>
    </row>
    <row r="2696">
      <c r="D2696" s="136" t="str">
        <f t="shared" si="3"/>
        <v/>
      </c>
      <c r="E2696" s="152"/>
      <c r="F2696" s="106" t="s">
        <v>133</v>
      </c>
      <c r="G2696" s="152"/>
      <c r="H2696" s="106" t="s">
        <v>133</v>
      </c>
      <c r="J2696" s="139" t="s">
        <v>133</v>
      </c>
      <c r="K2696" s="136" t="s">
        <v>133</v>
      </c>
      <c r="L2696" s="153"/>
      <c r="M2696" s="136" t="str">
        <f t="shared" si="1"/>
        <v/>
      </c>
      <c r="O2696" s="141" t="s">
        <v>133</v>
      </c>
      <c r="P2696" s="136" t="str">
        <f>IFERROR(__xludf.DUMMYFUNCTION("""COMPUTED_VALUE"""),"")</f>
        <v/>
      </c>
      <c r="Q2696" s="136" t="str">
        <f>IFERROR(__xludf.DUMMYFUNCTION("""COMPUTED_VALUE"""),"")</f>
        <v/>
      </c>
      <c r="R2696" s="106" t="str">
        <f>IFERROR(__xludf.DUMMYFUNCTION("""COMPUTED_VALUE"""),"")</f>
        <v/>
      </c>
      <c r="S2696" s="106" t="str">
        <f>IFERROR(__xludf.DUMMYFUNCTION("""COMPUTED_VALUE"""),"")</f>
        <v/>
      </c>
      <c r="T2696" s="139" t="str">
        <f>IFERROR(__xludf.DUMMYFUNCTION("""COMPUTED_VALUE"""),"")</f>
        <v/>
      </c>
      <c r="U2696" s="139" t="str">
        <f>IFERROR(__xludf.DUMMYFUNCTION("""COMPUTED_VALUE"""),"")</f>
        <v/>
      </c>
      <c r="V2696" s="136" t="str">
        <f>IFERROR(__xludf.DUMMYFUNCTION("""COMPUTED_VALUE"""),"")</f>
        <v/>
      </c>
      <c r="W2696" s="106" t="str">
        <f>IFERROR(__xludf.DUMMYFUNCTION("""COMPUTED_VALUE"""),"")</f>
        <v/>
      </c>
      <c r="X2696" s="143" t="str">
        <f t="shared" si="2"/>
        <v/>
      </c>
      <c r="Y2696" s="139" t="str">
        <f>IFERROR(__xludf.DUMMYFUNCTION("""COMPUTED_VALUE"""),"")</f>
        <v/>
      </c>
      <c r="Z2696" s="141" t="str">
        <f>IFERROR(__xludf.DUMMYFUNCTION("""COMPUTED_VALUE"""),"")</f>
        <v/>
      </c>
    </row>
    <row r="2697">
      <c r="D2697" s="136" t="str">
        <f t="shared" si="3"/>
        <v/>
      </c>
      <c r="E2697" s="152"/>
      <c r="F2697" s="106" t="s">
        <v>133</v>
      </c>
      <c r="G2697" s="152"/>
      <c r="H2697" s="106" t="s">
        <v>133</v>
      </c>
      <c r="J2697" s="139" t="s">
        <v>133</v>
      </c>
      <c r="K2697" s="136" t="s">
        <v>133</v>
      </c>
      <c r="L2697" s="153"/>
      <c r="M2697" s="136" t="str">
        <f t="shared" si="1"/>
        <v/>
      </c>
      <c r="O2697" s="141" t="s">
        <v>133</v>
      </c>
      <c r="P2697" s="136" t="str">
        <f>IFERROR(__xludf.DUMMYFUNCTION("""COMPUTED_VALUE"""),"")</f>
        <v/>
      </c>
      <c r="Q2697" s="136" t="str">
        <f>IFERROR(__xludf.DUMMYFUNCTION("""COMPUTED_VALUE"""),"")</f>
        <v/>
      </c>
      <c r="R2697" s="106" t="str">
        <f>IFERROR(__xludf.DUMMYFUNCTION("""COMPUTED_VALUE"""),"")</f>
        <v/>
      </c>
      <c r="S2697" s="106" t="str">
        <f>IFERROR(__xludf.DUMMYFUNCTION("""COMPUTED_VALUE"""),"")</f>
        <v/>
      </c>
      <c r="T2697" s="139" t="str">
        <f>IFERROR(__xludf.DUMMYFUNCTION("""COMPUTED_VALUE"""),"")</f>
        <v/>
      </c>
      <c r="U2697" s="139" t="str">
        <f>IFERROR(__xludf.DUMMYFUNCTION("""COMPUTED_VALUE"""),"")</f>
        <v/>
      </c>
      <c r="V2697" s="136" t="str">
        <f>IFERROR(__xludf.DUMMYFUNCTION("""COMPUTED_VALUE"""),"")</f>
        <v/>
      </c>
      <c r="W2697" s="106" t="str">
        <f>IFERROR(__xludf.DUMMYFUNCTION("""COMPUTED_VALUE"""),"")</f>
        <v/>
      </c>
      <c r="X2697" s="143" t="str">
        <f t="shared" si="2"/>
        <v/>
      </c>
      <c r="Y2697" s="139" t="str">
        <f>IFERROR(__xludf.DUMMYFUNCTION("""COMPUTED_VALUE"""),"")</f>
        <v/>
      </c>
      <c r="Z2697" s="141" t="str">
        <f>IFERROR(__xludf.DUMMYFUNCTION("""COMPUTED_VALUE"""),"")</f>
        <v/>
      </c>
    </row>
    <row r="2698">
      <c r="D2698" s="136" t="str">
        <f t="shared" si="3"/>
        <v/>
      </c>
      <c r="E2698" s="152"/>
      <c r="F2698" s="106" t="s">
        <v>133</v>
      </c>
      <c r="G2698" s="152"/>
      <c r="H2698" s="106" t="s">
        <v>133</v>
      </c>
      <c r="J2698" s="139" t="s">
        <v>133</v>
      </c>
      <c r="K2698" s="136" t="s">
        <v>133</v>
      </c>
      <c r="L2698" s="153"/>
      <c r="M2698" s="136" t="str">
        <f t="shared" si="1"/>
        <v/>
      </c>
      <c r="O2698" s="141" t="s">
        <v>133</v>
      </c>
      <c r="P2698" s="136" t="str">
        <f>IFERROR(__xludf.DUMMYFUNCTION("""COMPUTED_VALUE"""),"")</f>
        <v/>
      </c>
      <c r="Q2698" s="136" t="str">
        <f>IFERROR(__xludf.DUMMYFUNCTION("""COMPUTED_VALUE"""),"")</f>
        <v/>
      </c>
      <c r="R2698" s="106" t="str">
        <f>IFERROR(__xludf.DUMMYFUNCTION("""COMPUTED_VALUE"""),"")</f>
        <v/>
      </c>
      <c r="S2698" s="106" t="str">
        <f>IFERROR(__xludf.DUMMYFUNCTION("""COMPUTED_VALUE"""),"")</f>
        <v/>
      </c>
      <c r="T2698" s="139" t="str">
        <f>IFERROR(__xludf.DUMMYFUNCTION("""COMPUTED_VALUE"""),"")</f>
        <v/>
      </c>
      <c r="U2698" s="139" t="str">
        <f>IFERROR(__xludf.DUMMYFUNCTION("""COMPUTED_VALUE"""),"")</f>
        <v/>
      </c>
      <c r="V2698" s="136" t="str">
        <f>IFERROR(__xludf.DUMMYFUNCTION("""COMPUTED_VALUE"""),"")</f>
        <v/>
      </c>
      <c r="W2698" s="106" t="str">
        <f>IFERROR(__xludf.DUMMYFUNCTION("""COMPUTED_VALUE"""),"")</f>
        <v/>
      </c>
      <c r="X2698" s="143" t="str">
        <f t="shared" si="2"/>
        <v/>
      </c>
      <c r="Y2698" s="139" t="str">
        <f>IFERROR(__xludf.DUMMYFUNCTION("""COMPUTED_VALUE"""),"")</f>
        <v/>
      </c>
      <c r="Z2698" s="141" t="str">
        <f>IFERROR(__xludf.DUMMYFUNCTION("""COMPUTED_VALUE"""),"")</f>
        <v/>
      </c>
    </row>
    <row r="2699">
      <c r="D2699" s="136" t="str">
        <f t="shared" si="3"/>
        <v/>
      </c>
      <c r="E2699" s="152"/>
      <c r="F2699" s="106" t="s">
        <v>133</v>
      </c>
      <c r="G2699" s="152"/>
      <c r="H2699" s="106" t="s">
        <v>133</v>
      </c>
      <c r="J2699" s="139" t="s">
        <v>133</v>
      </c>
      <c r="K2699" s="136" t="s">
        <v>133</v>
      </c>
      <c r="L2699" s="153"/>
      <c r="M2699" s="136" t="str">
        <f t="shared" si="1"/>
        <v/>
      </c>
      <c r="O2699" s="141" t="s">
        <v>133</v>
      </c>
      <c r="P2699" s="136" t="str">
        <f>IFERROR(__xludf.DUMMYFUNCTION("""COMPUTED_VALUE"""),"")</f>
        <v/>
      </c>
      <c r="Q2699" s="136" t="str">
        <f>IFERROR(__xludf.DUMMYFUNCTION("""COMPUTED_VALUE"""),"")</f>
        <v/>
      </c>
      <c r="R2699" s="106" t="str">
        <f>IFERROR(__xludf.DUMMYFUNCTION("""COMPUTED_VALUE"""),"")</f>
        <v/>
      </c>
      <c r="S2699" s="106" t="str">
        <f>IFERROR(__xludf.DUMMYFUNCTION("""COMPUTED_VALUE"""),"")</f>
        <v/>
      </c>
      <c r="T2699" s="139" t="str">
        <f>IFERROR(__xludf.DUMMYFUNCTION("""COMPUTED_VALUE"""),"")</f>
        <v/>
      </c>
      <c r="U2699" s="139" t="str">
        <f>IFERROR(__xludf.DUMMYFUNCTION("""COMPUTED_VALUE"""),"")</f>
        <v/>
      </c>
      <c r="V2699" s="136" t="str">
        <f>IFERROR(__xludf.DUMMYFUNCTION("""COMPUTED_VALUE"""),"")</f>
        <v/>
      </c>
      <c r="W2699" s="106" t="str">
        <f>IFERROR(__xludf.DUMMYFUNCTION("""COMPUTED_VALUE"""),"")</f>
        <v/>
      </c>
      <c r="X2699" s="143" t="str">
        <f t="shared" si="2"/>
        <v/>
      </c>
      <c r="Y2699" s="139" t="str">
        <f>IFERROR(__xludf.DUMMYFUNCTION("""COMPUTED_VALUE"""),"")</f>
        <v/>
      </c>
      <c r="Z2699" s="141" t="str">
        <f>IFERROR(__xludf.DUMMYFUNCTION("""COMPUTED_VALUE"""),"")</f>
        <v/>
      </c>
    </row>
    <row r="2700">
      <c r="D2700" s="136" t="str">
        <f t="shared" si="3"/>
        <v/>
      </c>
      <c r="E2700" s="152"/>
      <c r="F2700" s="106" t="s">
        <v>133</v>
      </c>
      <c r="G2700" s="152"/>
      <c r="H2700" s="106" t="s">
        <v>133</v>
      </c>
      <c r="J2700" s="139" t="s">
        <v>133</v>
      </c>
      <c r="K2700" s="136" t="s">
        <v>133</v>
      </c>
      <c r="L2700" s="153"/>
      <c r="M2700" s="136" t="str">
        <f t="shared" si="1"/>
        <v/>
      </c>
      <c r="O2700" s="141" t="s">
        <v>133</v>
      </c>
      <c r="P2700" s="136" t="str">
        <f>IFERROR(__xludf.DUMMYFUNCTION("""COMPUTED_VALUE"""),"")</f>
        <v/>
      </c>
      <c r="Q2700" s="136" t="str">
        <f>IFERROR(__xludf.DUMMYFUNCTION("""COMPUTED_VALUE"""),"")</f>
        <v/>
      </c>
      <c r="R2700" s="106" t="str">
        <f>IFERROR(__xludf.DUMMYFUNCTION("""COMPUTED_VALUE"""),"")</f>
        <v/>
      </c>
      <c r="S2700" s="106" t="str">
        <f>IFERROR(__xludf.DUMMYFUNCTION("""COMPUTED_VALUE"""),"")</f>
        <v/>
      </c>
      <c r="T2700" s="139" t="str">
        <f>IFERROR(__xludf.DUMMYFUNCTION("""COMPUTED_VALUE"""),"")</f>
        <v/>
      </c>
      <c r="U2700" s="139" t="str">
        <f>IFERROR(__xludf.DUMMYFUNCTION("""COMPUTED_VALUE"""),"")</f>
        <v/>
      </c>
      <c r="V2700" s="136" t="str">
        <f>IFERROR(__xludf.DUMMYFUNCTION("""COMPUTED_VALUE"""),"")</f>
        <v/>
      </c>
      <c r="W2700" s="106" t="str">
        <f>IFERROR(__xludf.DUMMYFUNCTION("""COMPUTED_VALUE"""),"")</f>
        <v/>
      </c>
      <c r="X2700" s="143" t="str">
        <f t="shared" si="2"/>
        <v/>
      </c>
      <c r="Y2700" s="139" t="str">
        <f>IFERROR(__xludf.DUMMYFUNCTION("""COMPUTED_VALUE"""),"")</f>
        <v/>
      </c>
      <c r="Z2700" s="141" t="str">
        <f>IFERROR(__xludf.DUMMYFUNCTION("""COMPUTED_VALUE"""),"")</f>
        <v/>
      </c>
    </row>
    <row r="2701">
      <c r="D2701" s="136" t="str">
        <f t="shared" si="3"/>
        <v/>
      </c>
      <c r="E2701" s="152"/>
      <c r="F2701" s="106" t="s">
        <v>133</v>
      </c>
      <c r="G2701" s="152"/>
      <c r="H2701" s="106" t="s">
        <v>133</v>
      </c>
      <c r="J2701" s="139" t="s">
        <v>133</v>
      </c>
      <c r="K2701" s="136" t="s">
        <v>133</v>
      </c>
      <c r="L2701" s="153"/>
      <c r="M2701" s="136" t="str">
        <f t="shared" si="1"/>
        <v/>
      </c>
      <c r="O2701" s="141" t="s">
        <v>133</v>
      </c>
      <c r="P2701" s="136" t="str">
        <f>IFERROR(__xludf.DUMMYFUNCTION("""COMPUTED_VALUE"""),"")</f>
        <v/>
      </c>
      <c r="Q2701" s="136" t="str">
        <f>IFERROR(__xludf.DUMMYFUNCTION("""COMPUTED_VALUE"""),"")</f>
        <v/>
      </c>
      <c r="R2701" s="106" t="str">
        <f>IFERROR(__xludf.DUMMYFUNCTION("""COMPUTED_VALUE"""),"")</f>
        <v/>
      </c>
      <c r="S2701" s="106" t="str">
        <f>IFERROR(__xludf.DUMMYFUNCTION("""COMPUTED_VALUE"""),"")</f>
        <v/>
      </c>
      <c r="T2701" s="139" t="str">
        <f>IFERROR(__xludf.DUMMYFUNCTION("""COMPUTED_VALUE"""),"")</f>
        <v/>
      </c>
      <c r="U2701" s="139" t="str">
        <f>IFERROR(__xludf.DUMMYFUNCTION("""COMPUTED_VALUE"""),"")</f>
        <v/>
      </c>
      <c r="V2701" s="136" t="str">
        <f>IFERROR(__xludf.DUMMYFUNCTION("""COMPUTED_VALUE"""),"")</f>
        <v/>
      </c>
      <c r="W2701" s="106" t="str">
        <f>IFERROR(__xludf.DUMMYFUNCTION("""COMPUTED_VALUE"""),"")</f>
        <v/>
      </c>
      <c r="X2701" s="143" t="str">
        <f t="shared" si="2"/>
        <v/>
      </c>
      <c r="Y2701" s="139" t="str">
        <f>IFERROR(__xludf.DUMMYFUNCTION("""COMPUTED_VALUE"""),"")</f>
        <v/>
      </c>
      <c r="Z2701" s="141" t="str">
        <f>IFERROR(__xludf.DUMMYFUNCTION("""COMPUTED_VALUE"""),"")</f>
        <v/>
      </c>
    </row>
    <row r="2702">
      <c r="D2702" s="136" t="str">
        <f t="shared" si="3"/>
        <v/>
      </c>
      <c r="E2702" s="152"/>
      <c r="F2702" s="106" t="s">
        <v>133</v>
      </c>
      <c r="G2702" s="152"/>
      <c r="H2702" s="106" t="s">
        <v>133</v>
      </c>
      <c r="J2702" s="139" t="s">
        <v>133</v>
      </c>
      <c r="K2702" s="136" t="s">
        <v>133</v>
      </c>
      <c r="L2702" s="153"/>
      <c r="M2702" s="136" t="str">
        <f t="shared" si="1"/>
        <v/>
      </c>
      <c r="O2702" s="141" t="s">
        <v>133</v>
      </c>
      <c r="P2702" s="136" t="str">
        <f>IFERROR(__xludf.DUMMYFUNCTION("""COMPUTED_VALUE"""),"")</f>
        <v/>
      </c>
      <c r="Q2702" s="136" t="str">
        <f>IFERROR(__xludf.DUMMYFUNCTION("""COMPUTED_VALUE"""),"")</f>
        <v/>
      </c>
      <c r="R2702" s="106" t="str">
        <f>IFERROR(__xludf.DUMMYFUNCTION("""COMPUTED_VALUE"""),"")</f>
        <v/>
      </c>
      <c r="S2702" s="106" t="str">
        <f>IFERROR(__xludf.DUMMYFUNCTION("""COMPUTED_VALUE"""),"")</f>
        <v/>
      </c>
      <c r="T2702" s="139" t="str">
        <f>IFERROR(__xludf.DUMMYFUNCTION("""COMPUTED_VALUE"""),"")</f>
        <v/>
      </c>
      <c r="U2702" s="139" t="str">
        <f>IFERROR(__xludf.DUMMYFUNCTION("""COMPUTED_VALUE"""),"")</f>
        <v/>
      </c>
      <c r="V2702" s="136" t="str">
        <f>IFERROR(__xludf.DUMMYFUNCTION("""COMPUTED_VALUE"""),"")</f>
        <v/>
      </c>
      <c r="W2702" s="106" t="str">
        <f>IFERROR(__xludf.DUMMYFUNCTION("""COMPUTED_VALUE"""),"")</f>
        <v/>
      </c>
      <c r="X2702" s="143" t="str">
        <f t="shared" si="2"/>
        <v/>
      </c>
      <c r="Y2702" s="139" t="str">
        <f>IFERROR(__xludf.DUMMYFUNCTION("""COMPUTED_VALUE"""),"")</f>
        <v/>
      </c>
      <c r="Z2702" s="141" t="str">
        <f>IFERROR(__xludf.DUMMYFUNCTION("""COMPUTED_VALUE"""),"")</f>
        <v/>
      </c>
    </row>
    <row r="2703">
      <c r="D2703" s="136" t="str">
        <f t="shared" si="3"/>
        <v/>
      </c>
      <c r="E2703" s="152"/>
      <c r="F2703" s="106" t="s">
        <v>133</v>
      </c>
      <c r="G2703" s="152"/>
      <c r="H2703" s="106" t="s">
        <v>133</v>
      </c>
      <c r="J2703" s="139" t="s">
        <v>133</v>
      </c>
      <c r="K2703" s="136" t="s">
        <v>133</v>
      </c>
      <c r="L2703" s="153"/>
      <c r="M2703" s="136" t="str">
        <f t="shared" si="1"/>
        <v/>
      </c>
      <c r="O2703" s="141" t="s">
        <v>133</v>
      </c>
      <c r="P2703" s="136" t="str">
        <f>IFERROR(__xludf.DUMMYFUNCTION("""COMPUTED_VALUE"""),"")</f>
        <v/>
      </c>
      <c r="Q2703" s="136" t="str">
        <f>IFERROR(__xludf.DUMMYFUNCTION("""COMPUTED_VALUE"""),"")</f>
        <v/>
      </c>
      <c r="R2703" s="106" t="str">
        <f>IFERROR(__xludf.DUMMYFUNCTION("""COMPUTED_VALUE"""),"")</f>
        <v/>
      </c>
      <c r="S2703" s="106" t="str">
        <f>IFERROR(__xludf.DUMMYFUNCTION("""COMPUTED_VALUE"""),"")</f>
        <v/>
      </c>
      <c r="T2703" s="139" t="str">
        <f>IFERROR(__xludf.DUMMYFUNCTION("""COMPUTED_VALUE"""),"")</f>
        <v/>
      </c>
      <c r="U2703" s="139" t="str">
        <f>IFERROR(__xludf.DUMMYFUNCTION("""COMPUTED_VALUE"""),"")</f>
        <v/>
      </c>
      <c r="V2703" s="136" t="str">
        <f>IFERROR(__xludf.DUMMYFUNCTION("""COMPUTED_VALUE"""),"")</f>
        <v/>
      </c>
      <c r="W2703" s="106" t="str">
        <f>IFERROR(__xludf.DUMMYFUNCTION("""COMPUTED_VALUE"""),"")</f>
        <v/>
      </c>
      <c r="X2703" s="143" t="str">
        <f t="shared" si="2"/>
        <v/>
      </c>
      <c r="Y2703" s="139" t="str">
        <f>IFERROR(__xludf.DUMMYFUNCTION("""COMPUTED_VALUE"""),"")</f>
        <v/>
      </c>
      <c r="Z2703" s="141" t="str">
        <f>IFERROR(__xludf.DUMMYFUNCTION("""COMPUTED_VALUE"""),"")</f>
        <v/>
      </c>
    </row>
    <row r="2704">
      <c r="D2704" s="136" t="str">
        <f t="shared" si="3"/>
        <v/>
      </c>
      <c r="E2704" s="152"/>
      <c r="F2704" s="106" t="s">
        <v>133</v>
      </c>
      <c r="G2704" s="152"/>
      <c r="H2704" s="106" t="s">
        <v>133</v>
      </c>
      <c r="J2704" s="139" t="s">
        <v>133</v>
      </c>
      <c r="K2704" s="136" t="s">
        <v>133</v>
      </c>
      <c r="L2704" s="153"/>
      <c r="M2704" s="136" t="str">
        <f t="shared" si="1"/>
        <v/>
      </c>
      <c r="O2704" s="141" t="s">
        <v>133</v>
      </c>
      <c r="P2704" s="136" t="str">
        <f>IFERROR(__xludf.DUMMYFUNCTION("""COMPUTED_VALUE"""),"")</f>
        <v/>
      </c>
      <c r="Q2704" s="136" t="str">
        <f>IFERROR(__xludf.DUMMYFUNCTION("""COMPUTED_VALUE"""),"")</f>
        <v/>
      </c>
      <c r="R2704" s="106" t="str">
        <f>IFERROR(__xludf.DUMMYFUNCTION("""COMPUTED_VALUE"""),"")</f>
        <v/>
      </c>
      <c r="S2704" s="106" t="str">
        <f>IFERROR(__xludf.DUMMYFUNCTION("""COMPUTED_VALUE"""),"")</f>
        <v/>
      </c>
      <c r="T2704" s="139" t="str">
        <f>IFERROR(__xludf.DUMMYFUNCTION("""COMPUTED_VALUE"""),"")</f>
        <v/>
      </c>
      <c r="U2704" s="139" t="str">
        <f>IFERROR(__xludf.DUMMYFUNCTION("""COMPUTED_VALUE"""),"")</f>
        <v/>
      </c>
      <c r="V2704" s="136" t="str">
        <f>IFERROR(__xludf.DUMMYFUNCTION("""COMPUTED_VALUE"""),"")</f>
        <v/>
      </c>
      <c r="W2704" s="106" t="str">
        <f>IFERROR(__xludf.DUMMYFUNCTION("""COMPUTED_VALUE"""),"")</f>
        <v/>
      </c>
      <c r="X2704" s="143" t="str">
        <f t="shared" si="2"/>
        <v/>
      </c>
      <c r="Y2704" s="139" t="str">
        <f>IFERROR(__xludf.DUMMYFUNCTION("""COMPUTED_VALUE"""),"")</f>
        <v/>
      </c>
      <c r="Z2704" s="141" t="str">
        <f>IFERROR(__xludf.DUMMYFUNCTION("""COMPUTED_VALUE"""),"")</f>
        <v/>
      </c>
    </row>
    <row r="2705">
      <c r="D2705" s="136" t="str">
        <f t="shared" si="3"/>
        <v/>
      </c>
      <c r="E2705" s="152"/>
      <c r="F2705" s="106" t="s">
        <v>133</v>
      </c>
      <c r="G2705" s="152"/>
      <c r="H2705" s="106" t="s">
        <v>133</v>
      </c>
      <c r="J2705" s="139" t="s">
        <v>133</v>
      </c>
      <c r="K2705" s="136" t="s">
        <v>133</v>
      </c>
      <c r="L2705" s="153"/>
      <c r="M2705" s="136" t="str">
        <f t="shared" si="1"/>
        <v/>
      </c>
      <c r="O2705" s="141" t="s">
        <v>133</v>
      </c>
      <c r="P2705" s="136" t="str">
        <f>IFERROR(__xludf.DUMMYFUNCTION("""COMPUTED_VALUE"""),"")</f>
        <v/>
      </c>
      <c r="Q2705" s="136" t="str">
        <f>IFERROR(__xludf.DUMMYFUNCTION("""COMPUTED_VALUE"""),"")</f>
        <v/>
      </c>
      <c r="R2705" s="106" t="str">
        <f>IFERROR(__xludf.DUMMYFUNCTION("""COMPUTED_VALUE"""),"")</f>
        <v/>
      </c>
      <c r="S2705" s="106" t="str">
        <f>IFERROR(__xludf.DUMMYFUNCTION("""COMPUTED_VALUE"""),"")</f>
        <v/>
      </c>
      <c r="T2705" s="139" t="str">
        <f>IFERROR(__xludf.DUMMYFUNCTION("""COMPUTED_VALUE"""),"")</f>
        <v/>
      </c>
      <c r="U2705" s="139" t="str">
        <f>IFERROR(__xludf.DUMMYFUNCTION("""COMPUTED_VALUE"""),"")</f>
        <v/>
      </c>
      <c r="V2705" s="136" t="str">
        <f>IFERROR(__xludf.DUMMYFUNCTION("""COMPUTED_VALUE"""),"")</f>
        <v/>
      </c>
      <c r="W2705" s="106" t="str">
        <f>IFERROR(__xludf.DUMMYFUNCTION("""COMPUTED_VALUE"""),"")</f>
        <v/>
      </c>
      <c r="X2705" s="143" t="str">
        <f t="shared" si="2"/>
        <v/>
      </c>
      <c r="Y2705" s="139" t="str">
        <f>IFERROR(__xludf.DUMMYFUNCTION("""COMPUTED_VALUE"""),"")</f>
        <v/>
      </c>
      <c r="Z2705" s="141" t="str">
        <f>IFERROR(__xludf.DUMMYFUNCTION("""COMPUTED_VALUE"""),"")</f>
        <v/>
      </c>
    </row>
    <row r="2706">
      <c r="D2706" s="136" t="str">
        <f t="shared" si="3"/>
        <v/>
      </c>
      <c r="E2706" s="152"/>
      <c r="F2706" s="106" t="s">
        <v>133</v>
      </c>
      <c r="G2706" s="152"/>
      <c r="H2706" s="106" t="s">
        <v>133</v>
      </c>
      <c r="J2706" s="139" t="s">
        <v>133</v>
      </c>
      <c r="K2706" s="136" t="s">
        <v>133</v>
      </c>
      <c r="L2706" s="153"/>
      <c r="M2706" s="136" t="str">
        <f t="shared" si="1"/>
        <v/>
      </c>
      <c r="O2706" s="141" t="s">
        <v>133</v>
      </c>
      <c r="P2706" s="136" t="str">
        <f>IFERROR(__xludf.DUMMYFUNCTION("""COMPUTED_VALUE"""),"")</f>
        <v/>
      </c>
      <c r="Q2706" s="136" t="str">
        <f>IFERROR(__xludf.DUMMYFUNCTION("""COMPUTED_VALUE"""),"")</f>
        <v/>
      </c>
      <c r="R2706" s="106" t="str">
        <f>IFERROR(__xludf.DUMMYFUNCTION("""COMPUTED_VALUE"""),"")</f>
        <v/>
      </c>
      <c r="S2706" s="106" t="str">
        <f>IFERROR(__xludf.DUMMYFUNCTION("""COMPUTED_VALUE"""),"")</f>
        <v/>
      </c>
      <c r="T2706" s="139" t="str">
        <f>IFERROR(__xludf.DUMMYFUNCTION("""COMPUTED_VALUE"""),"")</f>
        <v/>
      </c>
      <c r="U2706" s="139" t="str">
        <f>IFERROR(__xludf.DUMMYFUNCTION("""COMPUTED_VALUE"""),"")</f>
        <v/>
      </c>
      <c r="V2706" s="136" t="str">
        <f>IFERROR(__xludf.DUMMYFUNCTION("""COMPUTED_VALUE"""),"")</f>
        <v/>
      </c>
      <c r="W2706" s="106" t="str">
        <f>IFERROR(__xludf.DUMMYFUNCTION("""COMPUTED_VALUE"""),"")</f>
        <v/>
      </c>
      <c r="X2706" s="143" t="str">
        <f t="shared" si="2"/>
        <v/>
      </c>
      <c r="Y2706" s="139" t="str">
        <f>IFERROR(__xludf.DUMMYFUNCTION("""COMPUTED_VALUE"""),"")</f>
        <v/>
      </c>
      <c r="Z2706" s="141" t="str">
        <f>IFERROR(__xludf.DUMMYFUNCTION("""COMPUTED_VALUE"""),"")</f>
        <v/>
      </c>
    </row>
    <row r="2707">
      <c r="D2707" s="136" t="str">
        <f t="shared" si="3"/>
        <v/>
      </c>
      <c r="E2707" s="152"/>
      <c r="F2707" s="106" t="s">
        <v>133</v>
      </c>
      <c r="G2707" s="152"/>
      <c r="H2707" s="106" t="s">
        <v>133</v>
      </c>
      <c r="J2707" s="139" t="s">
        <v>133</v>
      </c>
      <c r="K2707" s="136" t="s">
        <v>133</v>
      </c>
      <c r="L2707" s="153"/>
      <c r="M2707" s="136" t="str">
        <f t="shared" si="1"/>
        <v/>
      </c>
      <c r="O2707" s="141" t="s">
        <v>133</v>
      </c>
      <c r="P2707" s="136" t="str">
        <f>IFERROR(__xludf.DUMMYFUNCTION("""COMPUTED_VALUE"""),"")</f>
        <v/>
      </c>
      <c r="Q2707" s="136" t="str">
        <f>IFERROR(__xludf.DUMMYFUNCTION("""COMPUTED_VALUE"""),"")</f>
        <v/>
      </c>
      <c r="R2707" s="106" t="str">
        <f>IFERROR(__xludf.DUMMYFUNCTION("""COMPUTED_VALUE"""),"")</f>
        <v/>
      </c>
      <c r="S2707" s="106" t="str">
        <f>IFERROR(__xludf.DUMMYFUNCTION("""COMPUTED_VALUE"""),"")</f>
        <v/>
      </c>
      <c r="T2707" s="139" t="str">
        <f>IFERROR(__xludf.DUMMYFUNCTION("""COMPUTED_VALUE"""),"")</f>
        <v/>
      </c>
      <c r="U2707" s="139" t="str">
        <f>IFERROR(__xludf.DUMMYFUNCTION("""COMPUTED_VALUE"""),"")</f>
        <v/>
      </c>
      <c r="V2707" s="136" t="str">
        <f>IFERROR(__xludf.DUMMYFUNCTION("""COMPUTED_VALUE"""),"")</f>
        <v/>
      </c>
      <c r="W2707" s="106" t="str">
        <f>IFERROR(__xludf.DUMMYFUNCTION("""COMPUTED_VALUE"""),"")</f>
        <v/>
      </c>
      <c r="X2707" s="143" t="str">
        <f t="shared" si="2"/>
        <v/>
      </c>
      <c r="Y2707" s="139" t="str">
        <f>IFERROR(__xludf.DUMMYFUNCTION("""COMPUTED_VALUE"""),"")</f>
        <v/>
      </c>
      <c r="Z2707" s="141" t="str">
        <f>IFERROR(__xludf.DUMMYFUNCTION("""COMPUTED_VALUE"""),"")</f>
        <v/>
      </c>
    </row>
    <row r="2708">
      <c r="D2708" s="136" t="str">
        <f t="shared" si="3"/>
        <v/>
      </c>
      <c r="E2708" s="152"/>
      <c r="F2708" s="106" t="s">
        <v>133</v>
      </c>
      <c r="G2708" s="152"/>
      <c r="H2708" s="106" t="s">
        <v>133</v>
      </c>
      <c r="J2708" s="139" t="s">
        <v>133</v>
      </c>
      <c r="K2708" s="136" t="s">
        <v>133</v>
      </c>
      <c r="L2708" s="153"/>
      <c r="M2708" s="136" t="str">
        <f t="shared" si="1"/>
        <v/>
      </c>
      <c r="O2708" s="141" t="s">
        <v>133</v>
      </c>
      <c r="P2708" s="136" t="str">
        <f>IFERROR(__xludf.DUMMYFUNCTION("""COMPUTED_VALUE"""),"")</f>
        <v/>
      </c>
      <c r="Q2708" s="136" t="str">
        <f>IFERROR(__xludf.DUMMYFUNCTION("""COMPUTED_VALUE"""),"")</f>
        <v/>
      </c>
      <c r="R2708" s="106" t="str">
        <f>IFERROR(__xludf.DUMMYFUNCTION("""COMPUTED_VALUE"""),"")</f>
        <v/>
      </c>
      <c r="S2708" s="106" t="str">
        <f>IFERROR(__xludf.DUMMYFUNCTION("""COMPUTED_VALUE"""),"")</f>
        <v/>
      </c>
      <c r="T2708" s="139" t="str">
        <f>IFERROR(__xludf.DUMMYFUNCTION("""COMPUTED_VALUE"""),"")</f>
        <v/>
      </c>
      <c r="U2708" s="139" t="str">
        <f>IFERROR(__xludf.DUMMYFUNCTION("""COMPUTED_VALUE"""),"")</f>
        <v/>
      </c>
      <c r="V2708" s="136" t="str">
        <f>IFERROR(__xludf.DUMMYFUNCTION("""COMPUTED_VALUE"""),"")</f>
        <v/>
      </c>
      <c r="W2708" s="106" t="str">
        <f>IFERROR(__xludf.DUMMYFUNCTION("""COMPUTED_VALUE"""),"")</f>
        <v/>
      </c>
      <c r="X2708" s="143" t="str">
        <f t="shared" si="2"/>
        <v/>
      </c>
      <c r="Y2708" s="139" t="str">
        <f>IFERROR(__xludf.DUMMYFUNCTION("""COMPUTED_VALUE"""),"")</f>
        <v/>
      </c>
      <c r="Z2708" s="141" t="str">
        <f>IFERROR(__xludf.DUMMYFUNCTION("""COMPUTED_VALUE"""),"")</f>
        <v/>
      </c>
    </row>
    <row r="2709">
      <c r="D2709" s="136" t="str">
        <f t="shared" si="3"/>
        <v/>
      </c>
      <c r="E2709" s="152"/>
      <c r="F2709" s="106" t="s">
        <v>133</v>
      </c>
      <c r="G2709" s="152"/>
      <c r="H2709" s="106" t="s">
        <v>133</v>
      </c>
      <c r="J2709" s="139" t="s">
        <v>133</v>
      </c>
      <c r="K2709" s="136" t="s">
        <v>133</v>
      </c>
      <c r="L2709" s="153"/>
      <c r="M2709" s="136" t="str">
        <f t="shared" si="1"/>
        <v/>
      </c>
      <c r="O2709" s="141" t="s">
        <v>133</v>
      </c>
      <c r="P2709" s="136" t="str">
        <f>IFERROR(__xludf.DUMMYFUNCTION("""COMPUTED_VALUE"""),"")</f>
        <v/>
      </c>
      <c r="Q2709" s="136" t="str">
        <f>IFERROR(__xludf.DUMMYFUNCTION("""COMPUTED_VALUE"""),"")</f>
        <v/>
      </c>
      <c r="R2709" s="106" t="str">
        <f>IFERROR(__xludf.DUMMYFUNCTION("""COMPUTED_VALUE"""),"")</f>
        <v/>
      </c>
      <c r="S2709" s="106" t="str">
        <f>IFERROR(__xludf.DUMMYFUNCTION("""COMPUTED_VALUE"""),"")</f>
        <v/>
      </c>
      <c r="T2709" s="139" t="str">
        <f>IFERROR(__xludf.DUMMYFUNCTION("""COMPUTED_VALUE"""),"")</f>
        <v/>
      </c>
      <c r="U2709" s="139" t="str">
        <f>IFERROR(__xludf.DUMMYFUNCTION("""COMPUTED_VALUE"""),"")</f>
        <v/>
      </c>
      <c r="V2709" s="136" t="str">
        <f>IFERROR(__xludf.DUMMYFUNCTION("""COMPUTED_VALUE"""),"")</f>
        <v/>
      </c>
      <c r="W2709" s="106" t="str">
        <f>IFERROR(__xludf.DUMMYFUNCTION("""COMPUTED_VALUE"""),"")</f>
        <v/>
      </c>
      <c r="X2709" s="143" t="str">
        <f t="shared" si="2"/>
        <v/>
      </c>
      <c r="Y2709" s="139" t="str">
        <f>IFERROR(__xludf.DUMMYFUNCTION("""COMPUTED_VALUE"""),"")</f>
        <v/>
      </c>
      <c r="Z2709" s="141" t="str">
        <f>IFERROR(__xludf.DUMMYFUNCTION("""COMPUTED_VALUE"""),"")</f>
        <v/>
      </c>
    </row>
    <row r="2710">
      <c r="D2710" s="136" t="str">
        <f t="shared" si="3"/>
        <v/>
      </c>
      <c r="E2710" s="152"/>
      <c r="F2710" s="106" t="s">
        <v>133</v>
      </c>
      <c r="G2710" s="152"/>
      <c r="H2710" s="106" t="s">
        <v>133</v>
      </c>
      <c r="J2710" s="139" t="s">
        <v>133</v>
      </c>
      <c r="K2710" s="136" t="s">
        <v>133</v>
      </c>
      <c r="L2710" s="153"/>
      <c r="M2710" s="136" t="str">
        <f t="shared" si="1"/>
        <v/>
      </c>
      <c r="O2710" s="141" t="s">
        <v>133</v>
      </c>
      <c r="P2710" s="136" t="str">
        <f>IFERROR(__xludf.DUMMYFUNCTION("""COMPUTED_VALUE"""),"")</f>
        <v/>
      </c>
      <c r="Q2710" s="136" t="str">
        <f>IFERROR(__xludf.DUMMYFUNCTION("""COMPUTED_VALUE"""),"")</f>
        <v/>
      </c>
      <c r="R2710" s="106" t="str">
        <f>IFERROR(__xludf.DUMMYFUNCTION("""COMPUTED_VALUE"""),"")</f>
        <v/>
      </c>
      <c r="S2710" s="106" t="str">
        <f>IFERROR(__xludf.DUMMYFUNCTION("""COMPUTED_VALUE"""),"")</f>
        <v/>
      </c>
      <c r="T2710" s="139" t="str">
        <f>IFERROR(__xludf.DUMMYFUNCTION("""COMPUTED_VALUE"""),"")</f>
        <v/>
      </c>
      <c r="U2710" s="139" t="str">
        <f>IFERROR(__xludf.DUMMYFUNCTION("""COMPUTED_VALUE"""),"")</f>
        <v/>
      </c>
      <c r="V2710" s="136" t="str">
        <f>IFERROR(__xludf.DUMMYFUNCTION("""COMPUTED_VALUE"""),"")</f>
        <v/>
      </c>
      <c r="W2710" s="106" t="str">
        <f>IFERROR(__xludf.DUMMYFUNCTION("""COMPUTED_VALUE"""),"")</f>
        <v/>
      </c>
      <c r="X2710" s="143" t="str">
        <f t="shared" si="2"/>
        <v/>
      </c>
      <c r="Y2710" s="139" t="str">
        <f>IFERROR(__xludf.DUMMYFUNCTION("""COMPUTED_VALUE"""),"")</f>
        <v/>
      </c>
      <c r="Z2710" s="141" t="str">
        <f>IFERROR(__xludf.DUMMYFUNCTION("""COMPUTED_VALUE"""),"")</f>
        <v/>
      </c>
    </row>
    <row r="2711">
      <c r="D2711" s="136" t="str">
        <f t="shared" si="3"/>
        <v/>
      </c>
      <c r="E2711" s="152"/>
      <c r="F2711" s="106" t="s">
        <v>133</v>
      </c>
      <c r="G2711" s="152"/>
      <c r="H2711" s="106" t="s">
        <v>133</v>
      </c>
      <c r="J2711" s="139" t="s">
        <v>133</v>
      </c>
      <c r="K2711" s="136" t="s">
        <v>133</v>
      </c>
      <c r="L2711" s="153"/>
      <c r="M2711" s="136" t="str">
        <f t="shared" si="1"/>
        <v/>
      </c>
      <c r="O2711" s="141" t="s">
        <v>133</v>
      </c>
      <c r="P2711" s="136" t="str">
        <f>IFERROR(__xludf.DUMMYFUNCTION("""COMPUTED_VALUE"""),"")</f>
        <v/>
      </c>
      <c r="Q2711" s="136" t="str">
        <f>IFERROR(__xludf.DUMMYFUNCTION("""COMPUTED_VALUE"""),"")</f>
        <v/>
      </c>
      <c r="R2711" s="106" t="str">
        <f>IFERROR(__xludf.DUMMYFUNCTION("""COMPUTED_VALUE"""),"")</f>
        <v/>
      </c>
      <c r="S2711" s="106" t="str">
        <f>IFERROR(__xludf.DUMMYFUNCTION("""COMPUTED_VALUE"""),"")</f>
        <v/>
      </c>
      <c r="T2711" s="139" t="str">
        <f>IFERROR(__xludf.DUMMYFUNCTION("""COMPUTED_VALUE"""),"")</f>
        <v/>
      </c>
      <c r="U2711" s="139" t="str">
        <f>IFERROR(__xludf.DUMMYFUNCTION("""COMPUTED_VALUE"""),"")</f>
        <v/>
      </c>
      <c r="V2711" s="136" t="str">
        <f>IFERROR(__xludf.DUMMYFUNCTION("""COMPUTED_VALUE"""),"")</f>
        <v/>
      </c>
      <c r="W2711" s="106" t="str">
        <f>IFERROR(__xludf.DUMMYFUNCTION("""COMPUTED_VALUE"""),"")</f>
        <v/>
      </c>
      <c r="X2711" s="143" t="str">
        <f t="shared" si="2"/>
        <v/>
      </c>
      <c r="Y2711" s="139" t="str">
        <f>IFERROR(__xludf.DUMMYFUNCTION("""COMPUTED_VALUE"""),"")</f>
        <v/>
      </c>
      <c r="Z2711" s="141" t="str">
        <f>IFERROR(__xludf.DUMMYFUNCTION("""COMPUTED_VALUE"""),"")</f>
        <v/>
      </c>
    </row>
    <row r="2712">
      <c r="D2712" s="136" t="str">
        <f t="shared" si="3"/>
        <v/>
      </c>
      <c r="E2712" s="152"/>
      <c r="F2712" s="106" t="s">
        <v>133</v>
      </c>
      <c r="G2712" s="152"/>
      <c r="H2712" s="106" t="s">
        <v>133</v>
      </c>
      <c r="J2712" s="139" t="s">
        <v>133</v>
      </c>
      <c r="K2712" s="136" t="s">
        <v>133</v>
      </c>
      <c r="L2712" s="153"/>
      <c r="M2712" s="136" t="str">
        <f t="shared" si="1"/>
        <v/>
      </c>
      <c r="O2712" s="141" t="s">
        <v>133</v>
      </c>
      <c r="P2712" s="136" t="str">
        <f>IFERROR(__xludf.DUMMYFUNCTION("""COMPUTED_VALUE"""),"")</f>
        <v/>
      </c>
      <c r="Q2712" s="136" t="str">
        <f>IFERROR(__xludf.DUMMYFUNCTION("""COMPUTED_VALUE"""),"")</f>
        <v/>
      </c>
      <c r="R2712" s="106" t="str">
        <f>IFERROR(__xludf.DUMMYFUNCTION("""COMPUTED_VALUE"""),"")</f>
        <v/>
      </c>
      <c r="S2712" s="106" t="str">
        <f>IFERROR(__xludf.DUMMYFUNCTION("""COMPUTED_VALUE"""),"")</f>
        <v/>
      </c>
      <c r="T2712" s="139" t="str">
        <f>IFERROR(__xludf.DUMMYFUNCTION("""COMPUTED_VALUE"""),"")</f>
        <v/>
      </c>
      <c r="U2712" s="139" t="str">
        <f>IFERROR(__xludf.DUMMYFUNCTION("""COMPUTED_VALUE"""),"")</f>
        <v/>
      </c>
      <c r="V2712" s="136" t="str">
        <f>IFERROR(__xludf.DUMMYFUNCTION("""COMPUTED_VALUE"""),"")</f>
        <v/>
      </c>
      <c r="W2712" s="106" t="str">
        <f>IFERROR(__xludf.DUMMYFUNCTION("""COMPUTED_VALUE"""),"")</f>
        <v/>
      </c>
      <c r="X2712" s="143" t="str">
        <f t="shared" si="2"/>
        <v/>
      </c>
      <c r="Y2712" s="139" t="str">
        <f>IFERROR(__xludf.DUMMYFUNCTION("""COMPUTED_VALUE"""),"")</f>
        <v/>
      </c>
      <c r="Z2712" s="141" t="str">
        <f>IFERROR(__xludf.DUMMYFUNCTION("""COMPUTED_VALUE"""),"")</f>
        <v/>
      </c>
    </row>
    <row r="2713">
      <c r="D2713" s="136" t="str">
        <f t="shared" si="3"/>
        <v/>
      </c>
      <c r="E2713" s="152"/>
      <c r="F2713" s="106" t="s">
        <v>133</v>
      </c>
      <c r="G2713" s="152"/>
      <c r="H2713" s="106" t="s">
        <v>133</v>
      </c>
      <c r="J2713" s="139" t="s">
        <v>133</v>
      </c>
      <c r="K2713" s="136" t="s">
        <v>133</v>
      </c>
      <c r="L2713" s="153"/>
      <c r="M2713" s="136" t="str">
        <f t="shared" si="1"/>
        <v/>
      </c>
      <c r="O2713" s="141" t="s">
        <v>133</v>
      </c>
      <c r="P2713" s="136" t="str">
        <f>IFERROR(__xludf.DUMMYFUNCTION("""COMPUTED_VALUE"""),"")</f>
        <v/>
      </c>
      <c r="Q2713" s="136" t="str">
        <f>IFERROR(__xludf.DUMMYFUNCTION("""COMPUTED_VALUE"""),"")</f>
        <v/>
      </c>
      <c r="R2713" s="106" t="str">
        <f>IFERROR(__xludf.DUMMYFUNCTION("""COMPUTED_VALUE"""),"")</f>
        <v/>
      </c>
      <c r="S2713" s="106" t="str">
        <f>IFERROR(__xludf.DUMMYFUNCTION("""COMPUTED_VALUE"""),"")</f>
        <v/>
      </c>
      <c r="T2713" s="139" t="str">
        <f>IFERROR(__xludf.DUMMYFUNCTION("""COMPUTED_VALUE"""),"")</f>
        <v/>
      </c>
      <c r="U2713" s="139" t="str">
        <f>IFERROR(__xludf.DUMMYFUNCTION("""COMPUTED_VALUE"""),"")</f>
        <v/>
      </c>
      <c r="V2713" s="136" t="str">
        <f>IFERROR(__xludf.DUMMYFUNCTION("""COMPUTED_VALUE"""),"")</f>
        <v/>
      </c>
      <c r="W2713" s="106" t="str">
        <f>IFERROR(__xludf.DUMMYFUNCTION("""COMPUTED_VALUE"""),"")</f>
        <v/>
      </c>
      <c r="X2713" s="143" t="str">
        <f t="shared" si="2"/>
        <v/>
      </c>
      <c r="Y2713" s="139" t="str">
        <f>IFERROR(__xludf.DUMMYFUNCTION("""COMPUTED_VALUE"""),"")</f>
        <v/>
      </c>
      <c r="Z2713" s="141" t="str">
        <f>IFERROR(__xludf.DUMMYFUNCTION("""COMPUTED_VALUE"""),"")</f>
        <v/>
      </c>
    </row>
    <row r="2714">
      <c r="D2714" s="136" t="str">
        <f t="shared" si="3"/>
        <v/>
      </c>
      <c r="E2714" s="152"/>
      <c r="F2714" s="106" t="s">
        <v>133</v>
      </c>
      <c r="G2714" s="152"/>
      <c r="H2714" s="106" t="s">
        <v>133</v>
      </c>
      <c r="J2714" s="139" t="s">
        <v>133</v>
      </c>
      <c r="K2714" s="136" t="s">
        <v>133</v>
      </c>
      <c r="L2714" s="153"/>
      <c r="M2714" s="136" t="str">
        <f t="shared" si="1"/>
        <v/>
      </c>
      <c r="O2714" s="141" t="s">
        <v>133</v>
      </c>
      <c r="P2714" s="136" t="str">
        <f>IFERROR(__xludf.DUMMYFUNCTION("""COMPUTED_VALUE"""),"")</f>
        <v/>
      </c>
      <c r="Q2714" s="136" t="str">
        <f>IFERROR(__xludf.DUMMYFUNCTION("""COMPUTED_VALUE"""),"")</f>
        <v/>
      </c>
      <c r="R2714" s="106" t="str">
        <f>IFERROR(__xludf.DUMMYFUNCTION("""COMPUTED_VALUE"""),"")</f>
        <v/>
      </c>
      <c r="S2714" s="106" t="str">
        <f>IFERROR(__xludf.DUMMYFUNCTION("""COMPUTED_VALUE"""),"")</f>
        <v/>
      </c>
      <c r="T2714" s="139" t="str">
        <f>IFERROR(__xludf.DUMMYFUNCTION("""COMPUTED_VALUE"""),"")</f>
        <v/>
      </c>
      <c r="U2714" s="139" t="str">
        <f>IFERROR(__xludf.DUMMYFUNCTION("""COMPUTED_VALUE"""),"")</f>
        <v/>
      </c>
      <c r="V2714" s="136" t="str">
        <f>IFERROR(__xludf.DUMMYFUNCTION("""COMPUTED_VALUE"""),"")</f>
        <v/>
      </c>
      <c r="W2714" s="106" t="str">
        <f>IFERROR(__xludf.DUMMYFUNCTION("""COMPUTED_VALUE"""),"")</f>
        <v/>
      </c>
      <c r="X2714" s="143" t="str">
        <f t="shared" si="2"/>
        <v/>
      </c>
      <c r="Y2714" s="139" t="str">
        <f>IFERROR(__xludf.DUMMYFUNCTION("""COMPUTED_VALUE"""),"")</f>
        <v/>
      </c>
      <c r="Z2714" s="141" t="str">
        <f>IFERROR(__xludf.DUMMYFUNCTION("""COMPUTED_VALUE"""),"")</f>
        <v/>
      </c>
    </row>
    <row r="2715">
      <c r="D2715" s="136" t="str">
        <f t="shared" si="3"/>
        <v/>
      </c>
      <c r="E2715" s="152"/>
      <c r="F2715" s="106" t="s">
        <v>133</v>
      </c>
      <c r="G2715" s="152"/>
      <c r="H2715" s="106" t="s">
        <v>133</v>
      </c>
      <c r="J2715" s="139" t="s">
        <v>133</v>
      </c>
      <c r="K2715" s="136" t="s">
        <v>133</v>
      </c>
      <c r="L2715" s="153"/>
      <c r="M2715" s="136" t="str">
        <f t="shared" si="1"/>
        <v/>
      </c>
      <c r="O2715" s="141" t="s">
        <v>133</v>
      </c>
      <c r="P2715" s="136" t="str">
        <f>IFERROR(__xludf.DUMMYFUNCTION("""COMPUTED_VALUE"""),"")</f>
        <v/>
      </c>
      <c r="Q2715" s="136" t="str">
        <f>IFERROR(__xludf.DUMMYFUNCTION("""COMPUTED_VALUE"""),"")</f>
        <v/>
      </c>
      <c r="R2715" s="106" t="str">
        <f>IFERROR(__xludf.DUMMYFUNCTION("""COMPUTED_VALUE"""),"")</f>
        <v/>
      </c>
      <c r="S2715" s="106" t="str">
        <f>IFERROR(__xludf.DUMMYFUNCTION("""COMPUTED_VALUE"""),"")</f>
        <v/>
      </c>
      <c r="T2715" s="139" t="str">
        <f>IFERROR(__xludf.DUMMYFUNCTION("""COMPUTED_VALUE"""),"")</f>
        <v/>
      </c>
      <c r="U2715" s="139" t="str">
        <f>IFERROR(__xludf.DUMMYFUNCTION("""COMPUTED_VALUE"""),"")</f>
        <v/>
      </c>
      <c r="V2715" s="136" t="str">
        <f>IFERROR(__xludf.DUMMYFUNCTION("""COMPUTED_VALUE"""),"")</f>
        <v/>
      </c>
      <c r="W2715" s="106" t="str">
        <f>IFERROR(__xludf.DUMMYFUNCTION("""COMPUTED_VALUE"""),"")</f>
        <v/>
      </c>
      <c r="X2715" s="143" t="str">
        <f t="shared" si="2"/>
        <v/>
      </c>
      <c r="Y2715" s="139" t="str">
        <f>IFERROR(__xludf.DUMMYFUNCTION("""COMPUTED_VALUE"""),"")</f>
        <v/>
      </c>
      <c r="Z2715" s="141" t="str">
        <f>IFERROR(__xludf.DUMMYFUNCTION("""COMPUTED_VALUE"""),"")</f>
        <v/>
      </c>
    </row>
    <row r="2716">
      <c r="D2716" s="136" t="str">
        <f t="shared" si="3"/>
        <v/>
      </c>
      <c r="E2716" s="152"/>
      <c r="F2716" s="106" t="s">
        <v>133</v>
      </c>
      <c r="G2716" s="152"/>
      <c r="H2716" s="106" t="s">
        <v>133</v>
      </c>
      <c r="J2716" s="139" t="s">
        <v>133</v>
      </c>
      <c r="K2716" s="136" t="s">
        <v>133</v>
      </c>
      <c r="L2716" s="153"/>
      <c r="M2716" s="136" t="str">
        <f t="shared" si="1"/>
        <v/>
      </c>
      <c r="O2716" s="141" t="s">
        <v>133</v>
      </c>
      <c r="P2716" s="136" t="str">
        <f>IFERROR(__xludf.DUMMYFUNCTION("""COMPUTED_VALUE"""),"")</f>
        <v/>
      </c>
      <c r="Q2716" s="136" t="str">
        <f>IFERROR(__xludf.DUMMYFUNCTION("""COMPUTED_VALUE"""),"")</f>
        <v/>
      </c>
      <c r="R2716" s="106" t="str">
        <f>IFERROR(__xludf.DUMMYFUNCTION("""COMPUTED_VALUE"""),"")</f>
        <v/>
      </c>
      <c r="S2716" s="106" t="str">
        <f>IFERROR(__xludf.DUMMYFUNCTION("""COMPUTED_VALUE"""),"")</f>
        <v/>
      </c>
      <c r="T2716" s="139" t="str">
        <f>IFERROR(__xludf.DUMMYFUNCTION("""COMPUTED_VALUE"""),"")</f>
        <v/>
      </c>
      <c r="U2716" s="139" t="str">
        <f>IFERROR(__xludf.DUMMYFUNCTION("""COMPUTED_VALUE"""),"")</f>
        <v/>
      </c>
      <c r="V2716" s="136" t="str">
        <f>IFERROR(__xludf.DUMMYFUNCTION("""COMPUTED_VALUE"""),"")</f>
        <v/>
      </c>
      <c r="W2716" s="106" t="str">
        <f>IFERROR(__xludf.DUMMYFUNCTION("""COMPUTED_VALUE"""),"")</f>
        <v/>
      </c>
      <c r="X2716" s="143" t="str">
        <f t="shared" si="2"/>
        <v/>
      </c>
      <c r="Y2716" s="139" t="str">
        <f>IFERROR(__xludf.DUMMYFUNCTION("""COMPUTED_VALUE"""),"")</f>
        <v/>
      </c>
      <c r="Z2716" s="141" t="str">
        <f>IFERROR(__xludf.DUMMYFUNCTION("""COMPUTED_VALUE"""),"")</f>
        <v/>
      </c>
    </row>
    <row r="2717">
      <c r="D2717" s="136" t="str">
        <f t="shared" si="3"/>
        <v/>
      </c>
      <c r="E2717" s="152"/>
      <c r="F2717" s="106" t="s">
        <v>133</v>
      </c>
      <c r="G2717" s="152"/>
      <c r="H2717" s="106" t="s">
        <v>133</v>
      </c>
      <c r="J2717" s="139" t="s">
        <v>133</v>
      </c>
      <c r="K2717" s="136" t="s">
        <v>133</v>
      </c>
      <c r="L2717" s="153"/>
      <c r="M2717" s="136" t="str">
        <f t="shared" si="1"/>
        <v/>
      </c>
      <c r="O2717" s="141" t="s">
        <v>133</v>
      </c>
      <c r="P2717" s="136" t="str">
        <f>IFERROR(__xludf.DUMMYFUNCTION("""COMPUTED_VALUE"""),"")</f>
        <v/>
      </c>
      <c r="Q2717" s="136" t="str">
        <f>IFERROR(__xludf.DUMMYFUNCTION("""COMPUTED_VALUE"""),"")</f>
        <v/>
      </c>
      <c r="R2717" s="106" t="str">
        <f>IFERROR(__xludf.DUMMYFUNCTION("""COMPUTED_VALUE"""),"")</f>
        <v/>
      </c>
      <c r="S2717" s="106" t="str">
        <f>IFERROR(__xludf.DUMMYFUNCTION("""COMPUTED_VALUE"""),"")</f>
        <v/>
      </c>
      <c r="T2717" s="139" t="str">
        <f>IFERROR(__xludf.DUMMYFUNCTION("""COMPUTED_VALUE"""),"")</f>
        <v/>
      </c>
      <c r="U2717" s="139" t="str">
        <f>IFERROR(__xludf.DUMMYFUNCTION("""COMPUTED_VALUE"""),"")</f>
        <v/>
      </c>
      <c r="V2717" s="136" t="str">
        <f>IFERROR(__xludf.DUMMYFUNCTION("""COMPUTED_VALUE"""),"")</f>
        <v/>
      </c>
      <c r="W2717" s="106" t="str">
        <f>IFERROR(__xludf.DUMMYFUNCTION("""COMPUTED_VALUE"""),"")</f>
        <v/>
      </c>
      <c r="X2717" s="143" t="str">
        <f t="shared" si="2"/>
        <v/>
      </c>
      <c r="Y2717" s="139" t="str">
        <f>IFERROR(__xludf.DUMMYFUNCTION("""COMPUTED_VALUE"""),"")</f>
        <v/>
      </c>
      <c r="Z2717" s="141" t="str">
        <f>IFERROR(__xludf.DUMMYFUNCTION("""COMPUTED_VALUE"""),"")</f>
        <v/>
      </c>
    </row>
    <row r="2718">
      <c r="D2718" s="136" t="str">
        <f t="shared" si="3"/>
        <v/>
      </c>
      <c r="E2718" s="152"/>
      <c r="F2718" s="106" t="s">
        <v>133</v>
      </c>
      <c r="G2718" s="152"/>
      <c r="H2718" s="106" t="s">
        <v>133</v>
      </c>
      <c r="J2718" s="139" t="s">
        <v>133</v>
      </c>
      <c r="K2718" s="136" t="s">
        <v>133</v>
      </c>
      <c r="L2718" s="153"/>
      <c r="M2718" s="136" t="str">
        <f t="shared" si="1"/>
        <v/>
      </c>
      <c r="O2718" s="141" t="s">
        <v>133</v>
      </c>
      <c r="P2718" s="136" t="str">
        <f>IFERROR(__xludf.DUMMYFUNCTION("""COMPUTED_VALUE"""),"")</f>
        <v/>
      </c>
      <c r="Q2718" s="136" t="str">
        <f>IFERROR(__xludf.DUMMYFUNCTION("""COMPUTED_VALUE"""),"")</f>
        <v/>
      </c>
      <c r="R2718" s="106" t="str">
        <f>IFERROR(__xludf.DUMMYFUNCTION("""COMPUTED_VALUE"""),"")</f>
        <v/>
      </c>
      <c r="S2718" s="106" t="str">
        <f>IFERROR(__xludf.DUMMYFUNCTION("""COMPUTED_VALUE"""),"")</f>
        <v/>
      </c>
      <c r="T2718" s="139" t="str">
        <f>IFERROR(__xludf.DUMMYFUNCTION("""COMPUTED_VALUE"""),"")</f>
        <v/>
      </c>
      <c r="U2718" s="139" t="str">
        <f>IFERROR(__xludf.DUMMYFUNCTION("""COMPUTED_VALUE"""),"")</f>
        <v/>
      </c>
      <c r="V2718" s="136" t="str">
        <f>IFERROR(__xludf.DUMMYFUNCTION("""COMPUTED_VALUE"""),"")</f>
        <v/>
      </c>
      <c r="W2718" s="106" t="str">
        <f>IFERROR(__xludf.DUMMYFUNCTION("""COMPUTED_VALUE"""),"")</f>
        <v/>
      </c>
      <c r="X2718" s="143" t="str">
        <f t="shared" si="2"/>
        <v/>
      </c>
      <c r="Y2718" s="139" t="str">
        <f>IFERROR(__xludf.DUMMYFUNCTION("""COMPUTED_VALUE"""),"")</f>
        <v/>
      </c>
      <c r="Z2718" s="141" t="str">
        <f>IFERROR(__xludf.DUMMYFUNCTION("""COMPUTED_VALUE"""),"")</f>
        <v/>
      </c>
    </row>
    <row r="2719">
      <c r="D2719" s="136" t="str">
        <f t="shared" si="3"/>
        <v/>
      </c>
      <c r="E2719" s="152"/>
      <c r="F2719" s="106" t="s">
        <v>133</v>
      </c>
      <c r="G2719" s="152"/>
      <c r="H2719" s="106" t="s">
        <v>133</v>
      </c>
      <c r="J2719" s="139" t="s">
        <v>133</v>
      </c>
      <c r="K2719" s="136" t="s">
        <v>133</v>
      </c>
      <c r="L2719" s="153"/>
      <c r="M2719" s="136" t="str">
        <f t="shared" si="1"/>
        <v/>
      </c>
      <c r="O2719" s="141" t="s">
        <v>133</v>
      </c>
      <c r="P2719" s="136" t="str">
        <f>IFERROR(__xludf.DUMMYFUNCTION("""COMPUTED_VALUE"""),"")</f>
        <v/>
      </c>
      <c r="Q2719" s="136" t="str">
        <f>IFERROR(__xludf.DUMMYFUNCTION("""COMPUTED_VALUE"""),"")</f>
        <v/>
      </c>
      <c r="R2719" s="106" t="str">
        <f>IFERROR(__xludf.DUMMYFUNCTION("""COMPUTED_VALUE"""),"")</f>
        <v/>
      </c>
      <c r="S2719" s="106" t="str">
        <f>IFERROR(__xludf.DUMMYFUNCTION("""COMPUTED_VALUE"""),"")</f>
        <v/>
      </c>
      <c r="T2719" s="139" t="str">
        <f>IFERROR(__xludf.DUMMYFUNCTION("""COMPUTED_VALUE"""),"")</f>
        <v/>
      </c>
      <c r="U2719" s="139" t="str">
        <f>IFERROR(__xludf.DUMMYFUNCTION("""COMPUTED_VALUE"""),"")</f>
        <v/>
      </c>
      <c r="V2719" s="136" t="str">
        <f>IFERROR(__xludf.DUMMYFUNCTION("""COMPUTED_VALUE"""),"")</f>
        <v/>
      </c>
      <c r="W2719" s="106" t="str">
        <f>IFERROR(__xludf.DUMMYFUNCTION("""COMPUTED_VALUE"""),"")</f>
        <v/>
      </c>
      <c r="X2719" s="143" t="str">
        <f t="shared" si="2"/>
        <v/>
      </c>
      <c r="Y2719" s="139" t="str">
        <f>IFERROR(__xludf.DUMMYFUNCTION("""COMPUTED_VALUE"""),"")</f>
        <v/>
      </c>
      <c r="Z2719" s="141" t="str">
        <f>IFERROR(__xludf.DUMMYFUNCTION("""COMPUTED_VALUE"""),"")</f>
        <v/>
      </c>
    </row>
    <row r="2720">
      <c r="D2720" s="136" t="str">
        <f t="shared" si="3"/>
        <v/>
      </c>
      <c r="E2720" s="152"/>
      <c r="F2720" s="106" t="s">
        <v>133</v>
      </c>
      <c r="G2720" s="152"/>
      <c r="H2720" s="106" t="s">
        <v>133</v>
      </c>
      <c r="J2720" s="139" t="s">
        <v>133</v>
      </c>
      <c r="K2720" s="136" t="s">
        <v>133</v>
      </c>
      <c r="L2720" s="153"/>
      <c r="M2720" s="136" t="str">
        <f t="shared" si="1"/>
        <v/>
      </c>
      <c r="O2720" s="141" t="s">
        <v>133</v>
      </c>
      <c r="P2720" s="136" t="str">
        <f>IFERROR(__xludf.DUMMYFUNCTION("""COMPUTED_VALUE"""),"")</f>
        <v/>
      </c>
      <c r="Q2720" s="136" t="str">
        <f>IFERROR(__xludf.DUMMYFUNCTION("""COMPUTED_VALUE"""),"")</f>
        <v/>
      </c>
      <c r="R2720" s="106" t="str">
        <f>IFERROR(__xludf.DUMMYFUNCTION("""COMPUTED_VALUE"""),"")</f>
        <v/>
      </c>
      <c r="S2720" s="106" t="str">
        <f>IFERROR(__xludf.DUMMYFUNCTION("""COMPUTED_VALUE"""),"")</f>
        <v/>
      </c>
      <c r="T2720" s="139" t="str">
        <f>IFERROR(__xludf.DUMMYFUNCTION("""COMPUTED_VALUE"""),"")</f>
        <v/>
      </c>
      <c r="U2720" s="139" t="str">
        <f>IFERROR(__xludf.DUMMYFUNCTION("""COMPUTED_VALUE"""),"")</f>
        <v/>
      </c>
      <c r="V2720" s="136" t="str">
        <f>IFERROR(__xludf.DUMMYFUNCTION("""COMPUTED_VALUE"""),"")</f>
        <v/>
      </c>
      <c r="W2720" s="106" t="str">
        <f>IFERROR(__xludf.DUMMYFUNCTION("""COMPUTED_VALUE"""),"")</f>
        <v/>
      </c>
      <c r="X2720" s="143" t="str">
        <f t="shared" si="2"/>
        <v/>
      </c>
      <c r="Y2720" s="139" t="str">
        <f>IFERROR(__xludf.DUMMYFUNCTION("""COMPUTED_VALUE"""),"")</f>
        <v/>
      </c>
      <c r="Z2720" s="141" t="str">
        <f>IFERROR(__xludf.DUMMYFUNCTION("""COMPUTED_VALUE"""),"")</f>
        <v/>
      </c>
    </row>
    <row r="2721">
      <c r="D2721" s="136" t="str">
        <f t="shared" si="3"/>
        <v/>
      </c>
      <c r="E2721" s="152"/>
      <c r="F2721" s="106" t="s">
        <v>133</v>
      </c>
      <c r="G2721" s="152"/>
      <c r="H2721" s="106" t="s">
        <v>133</v>
      </c>
      <c r="J2721" s="139" t="s">
        <v>133</v>
      </c>
      <c r="K2721" s="136" t="s">
        <v>133</v>
      </c>
      <c r="L2721" s="153"/>
      <c r="M2721" s="136" t="str">
        <f t="shared" si="1"/>
        <v/>
      </c>
      <c r="O2721" s="141" t="s">
        <v>133</v>
      </c>
      <c r="P2721" s="136" t="str">
        <f>IFERROR(__xludf.DUMMYFUNCTION("""COMPUTED_VALUE"""),"")</f>
        <v/>
      </c>
      <c r="Q2721" s="136" t="str">
        <f>IFERROR(__xludf.DUMMYFUNCTION("""COMPUTED_VALUE"""),"")</f>
        <v/>
      </c>
      <c r="R2721" s="106" t="str">
        <f>IFERROR(__xludf.DUMMYFUNCTION("""COMPUTED_VALUE"""),"")</f>
        <v/>
      </c>
      <c r="S2721" s="106" t="str">
        <f>IFERROR(__xludf.DUMMYFUNCTION("""COMPUTED_VALUE"""),"")</f>
        <v/>
      </c>
      <c r="T2721" s="139" t="str">
        <f>IFERROR(__xludf.DUMMYFUNCTION("""COMPUTED_VALUE"""),"")</f>
        <v/>
      </c>
      <c r="U2721" s="139" t="str">
        <f>IFERROR(__xludf.DUMMYFUNCTION("""COMPUTED_VALUE"""),"")</f>
        <v/>
      </c>
      <c r="V2721" s="136" t="str">
        <f>IFERROR(__xludf.DUMMYFUNCTION("""COMPUTED_VALUE"""),"")</f>
        <v/>
      </c>
      <c r="W2721" s="106" t="str">
        <f>IFERROR(__xludf.DUMMYFUNCTION("""COMPUTED_VALUE"""),"")</f>
        <v/>
      </c>
      <c r="X2721" s="143" t="str">
        <f t="shared" si="2"/>
        <v/>
      </c>
      <c r="Y2721" s="139" t="str">
        <f>IFERROR(__xludf.DUMMYFUNCTION("""COMPUTED_VALUE"""),"")</f>
        <v/>
      </c>
      <c r="Z2721" s="141" t="str">
        <f>IFERROR(__xludf.DUMMYFUNCTION("""COMPUTED_VALUE"""),"")</f>
        <v/>
      </c>
    </row>
    <row r="2722">
      <c r="D2722" s="136" t="str">
        <f t="shared" si="3"/>
        <v/>
      </c>
      <c r="E2722" s="152"/>
      <c r="F2722" s="106" t="s">
        <v>133</v>
      </c>
      <c r="G2722" s="152"/>
      <c r="H2722" s="106" t="s">
        <v>133</v>
      </c>
      <c r="J2722" s="139" t="s">
        <v>133</v>
      </c>
      <c r="K2722" s="136" t="s">
        <v>133</v>
      </c>
      <c r="L2722" s="153"/>
      <c r="M2722" s="136" t="str">
        <f t="shared" si="1"/>
        <v/>
      </c>
      <c r="O2722" s="141" t="s">
        <v>133</v>
      </c>
      <c r="P2722" s="136" t="str">
        <f>IFERROR(__xludf.DUMMYFUNCTION("""COMPUTED_VALUE"""),"")</f>
        <v/>
      </c>
      <c r="Q2722" s="136" t="str">
        <f>IFERROR(__xludf.DUMMYFUNCTION("""COMPUTED_VALUE"""),"")</f>
        <v/>
      </c>
      <c r="R2722" s="106" t="str">
        <f>IFERROR(__xludf.DUMMYFUNCTION("""COMPUTED_VALUE"""),"")</f>
        <v/>
      </c>
      <c r="S2722" s="106" t="str">
        <f>IFERROR(__xludf.DUMMYFUNCTION("""COMPUTED_VALUE"""),"")</f>
        <v/>
      </c>
      <c r="T2722" s="139" t="str">
        <f>IFERROR(__xludf.DUMMYFUNCTION("""COMPUTED_VALUE"""),"")</f>
        <v/>
      </c>
      <c r="U2722" s="139" t="str">
        <f>IFERROR(__xludf.DUMMYFUNCTION("""COMPUTED_VALUE"""),"")</f>
        <v/>
      </c>
      <c r="V2722" s="136" t="str">
        <f>IFERROR(__xludf.DUMMYFUNCTION("""COMPUTED_VALUE"""),"")</f>
        <v/>
      </c>
      <c r="W2722" s="106" t="str">
        <f>IFERROR(__xludf.DUMMYFUNCTION("""COMPUTED_VALUE"""),"")</f>
        <v/>
      </c>
      <c r="X2722" s="143" t="str">
        <f t="shared" si="2"/>
        <v/>
      </c>
      <c r="Y2722" s="139" t="str">
        <f>IFERROR(__xludf.DUMMYFUNCTION("""COMPUTED_VALUE"""),"")</f>
        <v/>
      </c>
      <c r="Z2722" s="141" t="str">
        <f>IFERROR(__xludf.DUMMYFUNCTION("""COMPUTED_VALUE"""),"")</f>
        <v/>
      </c>
    </row>
    <row r="2723">
      <c r="D2723" s="136" t="str">
        <f t="shared" si="3"/>
        <v/>
      </c>
      <c r="E2723" s="152"/>
      <c r="F2723" s="106" t="s">
        <v>133</v>
      </c>
      <c r="G2723" s="152"/>
      <c r="H2723" s="106" t="s">
        <v>133</v>
      </c>
      <c r="J2723" s="139" t="s">
        <v>133</v>
      </c>
      <c r="K2723" s="136" t="s">
        <v>133</v>
      </c>
      <c r="L2723" s="153"/>
      <c r="M2723" s="136" t="str">
        <f t="shared" si="1"/>
        <v/>
      </c>
      <c r="O2723" s="141" t="s">
        <v>133</v>
      </c>
      <c r="P2723" s="136" t="str">
        <f>IFERROR(__xludf.DUMMYFUNCTION("""COMPUTED_VALUE"""),"")</f>
        <v/>
      </c>
      <c r="Q2723" s="136" t="str">
        <f>IFERROR(__xludf.DUMMYFUNCTION("""COMPUTED_VALUE"""),"")</f>
        <v/>
      </c>
      <c r="R2723" s="106" t="str">
        <f>IFERROR(__xludf.DUMMYFUNCTION("""COMPUTED_VALUE"""),"")</f>
        <v/>
      </c>
      <c r="S2723" s="106" t="str">
        <f>IFERROR(__xludf.DUMMYFUNCTION("""COMPUTED_VALUE"""),"")</f>
        <v/>
      </c>
      <c r="T2723" s="139" t="str">
        <f>IFERROR(__xludf.DUMMYFUNCTION("""COMPUTED_VALUE"""),"")</f>
        <v/>
      </c>
      <c r="U2723" s="139" t="str">
        <f>IFERROR(__xludf.DUMMYFUNCTION("""COMPUTED_VALUE"""),"")</f>
        <v/>
      </c>
      <c r="V2723" s="136" t="str">
        <f>IFERROR(__xludf.DUMMYFUNCTION("""COMPUTED_VALUE"""),"")</f>
        <v/>
      </c>
      <c r="W2723" s="106" t="str">
        <f>IFERROR(__xludf.DUMMYFUNCTION("""COMPUTED_VALUE"""),"")</f>
        <v/>
      </c>
      <c r="X2723" s="143" t="str">
        <f t="shared" si="2"/>
        <v/>
      </c>
      <c r="Y2723" s="139" t="str">
        <f>IFERROR(__xludf.DUMMYFUNCTION("""COMPUTED_VALUE"""),"")</f>
        <v/>
      </c>
      <c r="Z2723" s="141" t="str">
        <f>IFERROR(__xludf.DUMMYFUNCTION("""COMPUTED_VALUE"""),"")</f>
        <v/>
      </c>
    </row>
    <row r="2724">
      <c r="D2724" s="136" t="str">
        <f t="shared" si="3"/>
        <v/>
      </c>
      <c r="E2724" s="152"/>
      <c r="F2724" s="106" t="s">
        <v>133</v>
      </c>
      <c r="G2724" s="152"/>
      <c r="H2724" s="106" t="s">
        <v>133</v>
      </c>
      <c r="J2724" s="139" t="s">
        <v>133</v>
      </c>
      <c r="K2724" s="136" t="s">
        <v>133</v>
      </c>
      <c r="L2724" s="153"/>
      <c r="M2724" s="136" t="str">
        <f t="shared" si="1"/>
        <v/>
      </c>
      <c r="O2724" s="141" t="s">
        <v>133</v>
      </c>
      <c r="P2724" s="136" t="str">
        <f>IFERROR(__xludf.DUMMYFUNCTION("""COMPUTED_VALUE"""),"")</f>
        <v/>
      </c>
      <c r="Q2724" s="136" t="str">
        <f>IFERROR(__xludf.DUMMYFUNCTION("""COMPUTED_VALUE"""),"")</f>
        <v/>
      </c>
      <c r="R2724" s="106" t="str">
        <f>IFERROR(__xludf.DUMMYFUNCTION("""COMPUTED_VALUE"""),"")</f>
        <v/>
      </c>
      <c r="S2724" s="106" t="str">
        <f>IFERROR(__xludf.DUMMYFUNCTION("""COMPUTED_VALUE"""),"")</f>
        <v/>
      </c>
      <c r="T2724" s="139" t="str">
        <f>IFERROR(__xludf.DUMMYFUNCTION("""COMPUTED_VALUE"""),"")</f>
        <v/>
      </c>
      <c r="U2724" s="139" t="str">
        <f>IFERROR(__xludf.DUMMYFUNCTION("""COMPUTED_VALUE"""),"")</f>
        <v/>
      </c>
      <c r="V2724" s="136" t="str">
        <f>IFERROR(__xludf.DUMMYFUNCTION("""COMPUTED_VALUE"""),"")</f>
        <v/>
      </c>
      <c r="W2724" s="106" t="str">
        <f>IFERROR(__xludf.DUMMYFUNCTION("""COMPUTED_VALUE"""),"")</f>
        <v/>
      </c>
      <c r="X2724" s="143" t="str">
        <f t="shared" si="2"/>
        <v/>
      </c>
      <c r="Y2724" s="139" t="str">
        <f>IFERROR(__xludf.DUMMYFUNCTION("""COMPUTED_VALUE"""),"")</f>
        <v/>
      </c>
      <c r="Z2724" s="141" t="str">
        <f>IFERROR(__xludf.DUMMYFUNCTION("""COMPUTED_VALUE"""),"")</f>
        <v/>
      </c>
    </row>
    <row r="2725">
      <c r="D2725" s="136" t="str">
        <f t="shared" si="3"/>
        <v/>
      </c>
      <c r="E2725" s="152"/>
      <c r="F2725" s="106" t="s">
        <v>133</v>
      </c>
      <c r="G2725" s="152"/>
      <c r="H2725" s="106" t="s">
        <v>133</v>
      </c>
      <c r="J2725" s="139" t="s">
        <v>133</v>
      </c>
      <c r="K2725" s="136" t="s">
        <v>133</v>
      </c>
      <c r="L2725" s="153"/>
      <c r="M2725" s="136" t="str">
        <f t="shared" si="1"/>
        <v/>
      </c>
      <c r="O2725" s="141" t="s">
        <v>133</v>
      </c>
      <c r="P2725" s="136" t="str">
        <f>IFERROR(__xludf.DUMMYFUNCTION("""COMPUTED_VALUE"""),"")</f>
        <v/>
      </c>
      <c r="Q2725" s="136" t="str">
        <f>IFERROR(__xludf.DUMMYFUNCTION("""COMPUTED_VALUE"""),"")</f>
        <v/>
      </c>
      <c r="R2725" s="106" t="str">
        <f>IFERROR(__xludf.DUMMYFUNCTION("""COMPUTED_VALUE"""),"")</f>
        <v/>
      </c>
      <c r="S2725" s="106" t="str">
        <f>IFERROR(__xludf.DUMMYFUNCTION("""COMPUTED_VALUE"""),"")</f>
        <v/>
      </c>
      <c r="T2725" s="139" t="str">
        <f>IFERROR(__xludf.DUMMYFUNCTION("""COMPUTED_VALUE"""),"")</f>
        <v/>
      </c>
      <c r="U2725" s="139" t="str">
        <f>IFERROR(__xludf.DUMMYFUNCTION("""COMPUTED_VALUE"""),"")</f>
        <v/>
      </c>
      <c r="V2725" s="136" t="str">
        <f>IFERROR(__xludf.DUMMYFUNCTION("""COMPUTED_VALUE"""),"")</f>
        <v/>
      </c>
      <c r="W2725" s="106" t="str">
        <f>IFERROR(__xludf.DUMMYFUNCTION("""COMPUTED_VALUE"""),"")</f>
        <v/>
      </c>
      <c r="X2725" s="143" t="str">
        <f t="shared" si="2"/>
        <v/>
      </c>
      <c r="Y2725" s="139" t="str">
        <f>IFERROR(__xludf.DUMMYFUNCTION("""COMPUTED_VALUE"""),"")</f>
        <v/>
      </c>
      <c r="Z2725" s="141" t="str">
        <f>IFERROR(__xludf.DUMMYFUNCTION("""COMPUTED_VALUE"""),"")</f>
        <v/>
      </c>
    </row>
    <row r="2726">
      <c r="D2726" s="136" t="str">
        <f t="shared" si="3"/>
        <v/>
      </c>
      <c r="E2726" s="152"/>
      <c r="F2726" s="106" t="s">
        <v>133</v>
      </c>
      <c r="G2726" s="152"/>
      <c r="H2726" s="106" t="s">
        <v>133</v>
      </c>
      <c r="J2726" s="139" t="s">
        <v>133</v>
      </c>
      <c r="K2726" s="136" t="s">
        <v>133</v>
      </c>
      <c r="L2726" s="153"/>
      <c r="M2726" s="136" t="str">
        <f t="shared" si="1"/>
        <v/>
      </c>
      <c r="O2726" s="141" t="s">
        <v>133</v>
      </c>
      <c r="P2726" s="136" t="str">
        <f>IFERROR(__xludf.DUMMYFUNCTION("""COMPUTED_VALUE"""),"")</f>
        <v/>
      </c>
      <c r="Q2726" s="136" t="str">
        <f>IFERROR(__xludf.DUMMYFUNCTION("""COMPUTED_VALUE"""),"")</f>
        <v/>
      </c>
      <c r="R2726" s="106" t="str">
        <f>IFERROR(__xludf.DUMMYFUNCTION("""COMPUTED_VALUE"""),"")</f>
        <v/>
      </c>
      <c r="S2726" s="106" t="str">
        <f>IFERROR(__xludf.DUMMYFUNCTION("""COMPUTED_VALUE"""),"")</f>
        <v/>
      </c>
      <c r="T2726" s="139" t="str">
        <f>IFERROR(__xludf.DUMMYFUNCTION("""COMPUTED_VALUE"""),"")</f>
        <v/>
      </c>
      <c r="U2726" s="139" t="str">
        <f>IFERROR(__xludf.DUMMYFUNCTION("""COMPUTED_VALUE"""),"")</f>
        <v/>
      </c>
      <c r="V2726" s="136" t="str">
        <f>IFERROR(__xludf.DUMMYFUNCTION("""COMPUTED_VALUE"""),"")</f>
        <v/>
      </c>
      <c r="W2726" s="106" t="str">
        <f>IFERROR(__xludf.DUMMYFUNCTION("""COMPUTED_VALUE"""),"")</f>
        <v/>
      </c>
      <c r="X2726" s="143" t="str">
        <f t="shared" si="2"/>
        <v/>
      </c>
      <c r="Y2726" s="139" t="str">
        <f>IFERROR(__xludf.DUMMYFUNCTION("""COMPUTED_VALUE"""),"")</f>
        <v/>
      </c>
      <c r="Z2726" s="141" t="str">
        <f>IFERROR(__xludf.DUMMYFUNCTION("""COMPUTED_VALUE"""),"")</f>
        <v/>
      </c>
    </row>
    <row r="2727">
      <c r="D2727" s="136" t="str">
        <f t="shared" si="3"/>
        <v/>
      </c>
      <c r="E2727" s="152"/>
      <c r="F2727" s="106" t="s">
        <v>133</v>
      </c>
      <c r="G2727" s="152"/>
      <c r="H2727" s="106" t="s">
        <v>133</v>
      </c>
      <c r="J2727" s="139" t="s">
        <v>133</v>
      </c>
      <c r="K2727" s="136" t="s">
        <v>133</v>
      </c>
      <c r="L2727" s="153"/>
      <c r="M2727" s="136" t="str">
        <f t="shared" si="1"/>
        <v/>
      </c>
      <c r="O2727" s="141" t="s">
        <v>133</v>
      </c>
      <c r="P2727" s="136" t="str">
        <f>IFERROR(__xludf.DUMMYFUNCTION("""COMPUTED_VALUE"""),"")</f>
        <v/>
      </c>
      <c r="Q2727" s="136" t="str">
        <f>IFERROR(__xludf.DUMMYFUNCTION("""COMPUTED_VALUE"""),"")</f>
        <v/>
      </c>
      <c r="R2727" s="106" t="str">
        <f>IFERROR(__xludf.DUMMYFUNCTION("""COMPUTED_VALUE"""),"")</f>
        <v/>
      </c>
      <c r="S2727" s="106" t="str">
        <f>IFERROR(__xludf.DUMMYFUNCTION("""COMPUTED_VALUE"""),"")</f>
        <v/>
      </c>
      <c r="T2727" s="139" t="str">
        <f>IFERROR(__xludf.DUMMYFUNCTION("""COMPUTED_VALUE"""),"")</f>
        <v/>
      </c>
      <c r="U2727" s="139" t="str">
        <f>IFERROR(__xludf.DUMMYFUNCTION("""COMPUTED_VALUE"""),"")</f>
        <v/>
      </c>
      <c r="V2727" s="136" t="str">
        <f>IFERROR(__xludf.DUMMYFUNCTION("""COMPUTED_VALUE"""),"")</f>
        <v/>
      </c>
      <c r="W2727" s="106" t="str">
        <f>IFERROR(__xludf.DUMMYFUNCTION("""COMPUTED_VALUE"""),"")</f>
        <v/>
      </c>
      <c r="X2727" s="143" t="str">
        <f t="shared" si="2"/>
        <v/>
      </c>
      <c r="Y2727" s="139" t="str">
        <f>IFERROR(__xludf.DUMMYFUNCTION("""COMPUTED_VALUE"""),"")</f>
        <v/>
      </c>
      <c r="Z2727" s="141" t="str">
        <f>IFERROR(__xludf.DUMMYFUNCTION("""COMPUTED_VALUE"""),"")</f>
        <v/>
      </c>
    </row>
    <row r="2728">
      <c r="D2728" s="136" t="str">
        <f t="shared" si="3"/>
        <v/>
      </c>
      <c r="E2728" s="152"/>
      <c r="F2728" s="106" t="s">
        <v>133</v>
      </c>
      <c r="G2728" s="152"/>
      <c r="H2728" s="106" t="s">
        <v>133</v>
      </c>
      <c r="J2728" s="139" t="s">
        <v>133</v>
      </c>
      <c r="K2728" s="136" t="s">
        <v>133</v>
      </c>
      <c r="L2728" s="153"/>
      <c r="M2728" s="136" t="str">
        <f t="shared" si="1"/>
        <v/>
      </c>
      <c r="O2728" s="141" t="s">
        <v>133</v>
      </c>
      <c r="P2728" s="136" t="str">
        <f>IFERROR(__xludf.DUMMYFUNCTION("""COMPUTED_VALUE"""),"")</f>
        <v/>
      </c>
      <c r="Q2728" s="136" t="str">
        <f>IFERROR(__xludf.DUMMYFUNCTION("""COMPUTED_VALUE"""),"")</f>
        <v/>
      </c>
      <c r="R2728" s="106" t="str">
        <f>IFERROR(__xludf.DUMMYFUNCTION("""COMPUTED_VALUE"""),"")</f>
        <v/>
      </c>
      <c r="S2728" s="106" t="str">
        <f>IFERROR(__xludf.DUMMYFUNCTION("""COMPUTED_VALUE"""),"")</f>
        <v/>
      </c>
      <c r="T2728" s="139" t="str">
        <f>IFERROR(__xludf.DUMMYFUNCTION("""COMPUTED_VALUE"""),"")</f>
        <v/>
      </c>
      <c r="U2728" s="139" t="str">
        <f>IFERROR(__xludf.DUMMYFUNCTION("""COMPUTED_VALUE"""),"")</f>
        <v/>
      </c>
      <c r="V2728" s="136" t="str">
        <f>IFERROR(__xludf.DUMMYFUNCTION("""COMPUTED_VALUE"""),"")</f>
        <v/>
      </c>
      <c r="W2728" s="106" t="str">
        <f>IFERROR(__xludf.DUMMYFUNCTION("""COMPUTED_VALUE"""),"")</f>
        <v/>
      </c>
      <c r="X2728" s="143" t="str">
        <f t="shared" si="2"/>
        <v/>
      </c>
      <c r="Y2728" s="139" t="str">
        <f>IFERROR(__xludf.DUMMYFUNCTION("""COMPUTED_VALUE"""),"")</f>
        <v/>
      </c>
      <c r="Z2728" s="141" t="str">
        <f>IFERROR(__xludf.DUMMYFUNCTION("""COMPUTED_VALUE"""),"")</f>
        <v/>
      </c>
    </row>
    <row r="2729">
      <c r="D2729" s="136" t="str">
        <f t="shared" si="3"/>
        <v/>
      </c>
      <c r="E2729" s="152"/>
      <c r="F2729" s="106" t="s">
        <v>133</v>
      </c>
      <c r="G2729" s="152"/>
      <c r="H2729" s="106" t="s">
        <v>133</v>
      </c>
      <c r="J2729" s="139" t="s">
        <v>133</v>
      </c>
      <c r="K2729" s="136" t="s">
        <v>133</v>
      </c>
      <c r="L2729" s="153"/>
      <c r="M2729" s="136" t="str">
        <f t="shared" si="1"/>
        <v/>
      </c>
      <c r="O2729" s="141" t="s">
        <v>133</v>
      </c>
      <c r="P2729" s="136" t="str">
        <f>IFERROR(__xludf.DUMMYFUNCTION("""COMPUTED_VALUE"""),"")</f>
        <v/>
      </c>
      <c r="Q2729" s="136" t="str">
        <f>IFERROR(__xludf.DUMMYFUNCTION("""COMPUTED_VALUE"""),"")</f>
        <v/>
      </c>
      <c r="R2729" s="106" t="str">
        <f>IFERROR(__xludf.DUMMYFUNCTION("""COMPUTED_VALUE"""),"")</f>
        <v/>
      </c>
      <c r="S2729" s="106" t="str">
        <f>IFERROR(__xludf.DUMMYFUNCTION("""COMPUTED_VALUE"""),"")</f>
        <v/>
      </c>
      <c r="T2729" s="139" t="str">
        <f>IFERROR(__xludf.DUMMYFUNCTION("""COMPUTED_VALUE"""),"")</f>
        <v/>
      </c>
      <c r="U2729" s="139" t="str">
        <f>IFERROR(__xludf.DUMMYFUNCTION("""COMPUTED_VALUE"""),"")</f>
        <v/>
      </c>
      <c r="V2729" s="136" t="str">
        <f>IFERROR(__xludf.DUMMYFUNCTION("""COMPUTED_VALUE"""),"")</f>
        <v/>
      </c>
      <c r="W2729" s="106" t="str">
        <f>IFERROR(__xludf.DUMMYFUNCTION("""COMPUTED_VALUE"""),"")</f>
        <v/>
      </c>
      <c r="X2729" s="143" t="str">
        <f t="shared" si="2"/>
        <v/>
      </c>
      <c r="Y2729" s="139" t="str">
        <f>IFERROR(__xludf.DUMMYFUNCTION("""COMPUTED_VALUE"""),"")</f>
        <v/>
      </c>
      <c r="Z2729" s="141" t="str">
        <f>IFERROR(__xludf.DUMMYFUNCTION("""COMPUTED_VALUE"""),"")</f>
        <v/>
      </c>
    </row>
    <row r="2730">
      <c r="D2730" s="136" t="str">
        <f t="shared" si="3"/>
        <v/>
      </c>
      <c r="E2730" s="152"/>
      <c r="F2730" s="106" t="s">
        <v>133</v>
      </c>
      <c r="G2730" s="152"/>
      <c r="H2730" s="106" t="s">
        <v>133</v>
      </c>
      <c r="J2730" s="139" t="s">
        <v>133</v>
      </c>
      <c r="K2730" s="136" t="s">
        <v>133</v>
      </c>
      <c r="L2730" s="153"/>
      <c r="M2730" s="136" t="str">
        <f t="shared" si="1"/>
        <v/>
      </c>
      <c r="O2730" s="141" t="s">
        <v>133</v>
      </c>
      <c r="P2730" s="136" t="str">
        <f>IFERROR(__xludf.DUMMYFUNCTION("""COMPUTED_VALUE"""),"")</f>
        <v/>
      </c>
      <c r="Q2730" s="136" t="str">
        <f>IFERROR(__xludf.DUMMYFUNCTION("""COMPUTED_VALUE"""),"")</f>
        <v/>
      </c>
      <c r="R2730" s="106" t="str">
        <f>IFERROR(__xludf.DUMMYFUNCTION("""COMPUTED_VALUE"""),"")</f>
        <v/>
      </c>
      <c r="S2730" s="106" t="str">
        <f>IFERROR(__xludf.DUMMYFUNCTION("""COMPUTED_VALUE"""),"")</f>
        <v/>
      </c>
      <c r="T2730" s="139" t="str">
        <f>IFERROR(__xludf.DUMMYFUNCTION("""COMPUTED_VALUE"""),"")</f>
        <v/>
      </c>
      <c r="U2730" s="139" t="str">
        <f>IFERROR(__xludf.DUMMYFUNCTION("""COMPUTED_VALUE"""),"")</f>
        <v/>
      </c>
      <c r="V2730" s="136" t="str">
        <f>IFERROR(__xludf.DUMMYFUNCTION("""COMPUTED_VALUE"""),"")</f>
        <v/>
      </c>
      <c r="W2730" s="106" t="str">
        <f>IFERROR(__xludf.DUMMYFUNCTION("""COMPUTED_VALUE"""),"")</f>
        <v/>
      </c>
      <c r="X2730" s="143" t="str">
        <f t="shared" si="2"/>
        <v/>
      </c>
      <c r="Y2730" s="139" t="str">
        <f>IFERROR(__xludf.DUMMYFUNCTION("""COMPUTED_VALUE"""),"")</f>
        <v/>
      </c>
      <c r="Z2730" s="141" t="str">
        <f>IFERROR(__xludf.DUMMYFUNCTION("""COMPUTED_VALUE"""),"")</f>
        <v/>
      </c>
    </row>
    <row r="2731">
      <c r="D2731" s="136" t="str">
        <f t="shared" si="3"/>
        <v/>
      </c>
      <c r="E2731" s="152"/>
      <c r="F2731" s="106" t="s">
        <v>133</v>
      </c>
      <c r="G2731" s="152"/>
      <c r="H2731" s="106" t="s">
        <v>133</v>
      </c>
      <c r="J2731" s="139" t="s">
        <v>133</v>
      </c>
      <c r="K2731" s="136" t="s">
        <v>133</v>
      </c>
      <c r="L2731" s="153"/>
      <c r="M2731" s="136" t="str">
        <f t="shared" si="1"/>
        <v/>
      </c>
      <c r="O2731" s="141" t="s">
        <v>133</v>
      </c>
      <c r="P2731" s="136" t="str">
        <f>IFERROR(__xludf.DUMMYFUNCTION("""COMPUTED_VALUE"""),"")</f>
        <v/>
      </c>
      <c r="Q2731" s="136" t="str">
        <f>IFERROR(__xludf.DUMMYFUNCTION("""COMPUTED_VALUE"""),"")</f>
        <v/>
      </c>
      <c r="R2731" s="106" t="str">
        <f>IFERROR(__xludf.DUMMYFUNCTION("""COMPUTED_VALUE"""),"")</f>
        <v/>
      </c>
      <c r="S2731" s="106" t="str">
        <f>IFERROR(__xludf.DUMMYFUNCTION("""COMPUTED_VALUE"""),"")</f>
        <v/>
      </c>
      <c r="T2731" s="139" t="str">
        <f>IFERROR(__xludf.DUMMYFUNCTION("""COMPUTED_VALUE"""),"")</f>
        <v/>
      </c>
      <c r="U2731" s="139" t="str">
        <f>IFERROR(__xludf.DUMMYFUNCTION("""COMPUTED_VALUE"""),"")</f>
        <v/>
      </c>
      <c r="V2731" s="136" t="str">
        <f>IFERROR(__xludf.DUMMYFUNCTION("""COMPUTED_VALUE"""),"")</f>
        <v/>
      </c>
      <c r="W2731" s="106" t="str">
        <f>IFERROR(__xludf.DUMMYFUNCTION("""COMPUTED_VALUE"""),"")</f>
        <v/>
      </c>
      <c r="X2731" s="143" t="str">
        <f t="shared" si="2"/>
        <v/>
      </c>
      <c r="Y2731" s="139" t="str">
        <f>IFERROR(__xludf.DUMMYFUNCTION("""COMPUTED_VALUE"""),"")</f>
        <v/>
      </c>
      <c r="Z2731" s="141" t="str">
        <f>IFERROR(__xludf.DUMMYFUNCTION("""COMPUTED_VALUE"""),"")</f>
        <v/>
      </c>
    </row>
    <row r="2732">
      <c r="D2732" s="136" t="str">
        <f t="shared" si="3"/>
        <v/>
      </c>
      <c r="E2732" s="152"/>
      <c r="F2732" s="106" t="s">
        <v>133</v>
      </c>
      <c r="G2732" s="152"/>
      <c r="H2732" s="106" t="s">
        <v>133</v>
      </c>
      <c r="J2732" s="139" t="s">
        <v>133</v>
      </c>
      <c r="K2732" s="136" t="s">
        <v>133</v>
      </c>
      <c r="L2732" s="153"/>
      <c r="M2732" s="136" t="str">
        <f t="shared" si="1"/>
        <v/>
      </c>
      <c r="O2732" s="141" t="s">
        <v>133</v>
      </c>
      <c r="P2732" s="136" t="str">
        <f>IFERROR(__xludf.DUMMYFUNCTION("""COMPUTED_VALUE"""),"")</f>
        <v/>
      </c>
      <c r="Q2732" s="136" t="str">
        <f>IFERROR(__xludf.DUMMYFUNCTION("""COMPUTED_VALUE"""),"")</f>
        <v/>
      </c>
      <c r="R2732" s="106" t="str">
        <f>IFERROR(__xludf.DUMMYFUNCTION("""COMPUTED_VALUE"""),"")</f>
        <v/>
      </c>
      <c r="S2732" s="106" t="str">
        <f>IFERROR(__xludf.DUMMYFUNCTION("""COMPUTED_VALUE"""),"")</f>
        <v/>
      </c>
      <c r="T2732" s="139" t="str">
        <f>IFERROR(__xludf.DUMMYFUNCTION("""COMPUTED_VALUE"""),"")</f>
        <v/>
      </c>
      <c r="U2732" s="139" t="str">
        <f>IFERROR(__xludf.DUMMYFUNCTION("""COMPUTED_VALUE"""),"")</f>
        <v/>
      </c>
      <c r="V2732" s="136" t="str">
        <f>IFERROR(__xludf.DUMMYFUNCTION("""COMPUTED_VALUE"""),"")</f>
        <v/>
      </c>
      <c r="W2732" s="106" t="str">
        <f>IFERROR(__xludf.DUMMYFUNCTION("""COMPUTED_VALUE"""),"")</f>
        <v/>
      </c>
      <c r="X2732" s="143" t="str">
        <f t="shared" si="2"/>
        <v/>
      </c>
      <c r="Y2732" s="139" t="str">
        <f>IFERROR(__xludf.DUMMYFUNCTION("""COMPUTED_VALUE"""),"")</f>
        <v/>
      </c>
      <c r="Z2732" s="141" t="str">
        <f>IFERROR(__xludf.DUMMYFUNCTION("""COMPUTED_VALUE"""),"")</f>
        <v/>
      </c>
    </row>
    <row r="2733">
      <c r="D2733" s="136" t="str">
        <f t="shared" si="3"/>
        <v/>
      </c>
      <c r="E2733" s="152"/>
      <c r="F2733" s="106" t="s">
        <v>133</v>
      </c>
      <c r="G2733" s="152"/>
      <c r="H2733" s="106" t="s">
        <v>133</v>
      </c>
      <c r="J2733" s="139" t="s">
        <v>133</v>
      </c>
      <c r="K2733" s="136" t="s">
        <v>133</v>
      </c>
      <c r="L2733" s="153"/>
      <c r="M2733" s="136" t="str">
        <f t="shared" si="1"/>
        <v/>
      </c>
      <c r="O2733" s="141" t="s">
        <v>133</v>
      </c>
      <c r="P2733" s="136" t="str">
        <f>IFERROR(__xludf.DUMMYFUNCTION("""COMPUTED_VALUE"""),"")</f>
        <v/>
      </c>
      <c r="Q2733" s="136" t="str">
        <f>IFERROR(__xludf.DUMMYFUNCTION("""COMPUTED_VALUE"""),"")</f>
        <v/>
      </c>
      <c r="R2733" s="106" t="str">
        <f>IFERROR(__xludf.DUMMYFUNCTION("""COMPUTED_VALUE"""),"")</f>
        <v/>
      </c>
      <c r="S2733" s="106" t="str">
        <f>IFERROR(__xludf.DUMMYFUNCTION("""COMPUTED_VALUE"""),"")</f>
        <v/>
      </c>
      <c r="T2733" s="139" t="str">
        <f>IFERROR(__xludf.DUMMYFUNCTION("""COMPUTED_VALUE"""),"")</f>
        <v/>
      </c>
      <c r="U2733" s="139" t="str">
        <f>IFERROR(__xludf.DUMMYFUNCTION("""COMPUTED_VALUE"""),"")</f>
        <v/>
      </c>
      <c r="V2733" s="136" t="str">
        <f>IFERROR(__xludf.DUMMYFUNCTION("""COMPUTED_VALUE"""),"")</f>
        <v/>
      </c>
      <c r="W2733" s="106" t="str">
        <f>IFERROR(__xludf.DUMMYFUNCTION("""COMPUTED_VALUE"""),"")</f>
        <v/>
      </c>
      <c r="X2733" s="143" t="str">
        <f t="shared" si="2"/>
        <v/>
      </c>
      <c r="Y2733" s="139" t="str">
        <f>IFERROR(__xludf.DUMMYFUNCTION("""COMPUTED_VALUE"""),"")</f>
        <v/>
      </c>
      <c r="Z2733" s="141" t="str">
        <f>IFERROR(__xludf.DUMMYFUNCTION("""COMPUTED_VALUE"""),"")</f>
        <v/>
      </c>
    </row>
    <row r="2734">
      <c r="D2734" s="136" t="str">
        <f t="shared" si="3"/>
        <v/>
      </c>
      <c r="E2734" s="152"/>
      <c r="F2734" s="106" t="s">
        <v>133</v>
      </c>
      <c r="G2734" s="152"/>
      <c r="H2734" s="106" t="s">
        <v>133</v>
      </c>
      <c r="J2734" s="139" t="s">
        <v>133</v>
      </c>
      <c r="K2734" s="136" t="s">
        <v>133</v>
      </c>
      <c r="L2734" s="153"/>
      <c r="M2734" s="136" t="str">
        <f t="shared" si="1"/>
        <v/>
      </c>
      <c r="O2734" s="141" t="s">
        <v>133</v>
      </c>
      <c r="P2734" s="136" t="str">
        <f>IFERROR(__xludf.DUMMYFUNCTION("""COMPUTED_VALUE"""),"")</f>
        <v/>
      </c>
      <c r="Q2734" s="136" t="str">
        <f>IFERROR(__xludf.DUMMYFUNCTION("""COMPUTED_VALUE"""),"")</f>
        <v/>
      </c>
      <c r="R2734" s="106" t="str">
        <f>IFERROR(__xludf.DUMMYFUNCTION("""COMPUTED_VALUE"""),"")</f>
        <v/>
      </c>
      <c r="S2734" s="106" t="str">
        <f>IFERROR(__xludf.DUMMYFUNCTION("""COMPUTED_VALUE"""),"")</f>
        <v/>
      </c>
      <c r="T2734" s="139" t="str">
        <f>IFERROR(__xludf.DUMMYFUNCTION("""COMPUTED_VALUE"""),"")</f>
        <v/>
      </c>
      <c r="U2734" s="139" t="str">
        <f>IFERROR(__xludf.DUMMYFUNCTION("""COMPUTED_VALUE"""),"")</f>
        <v/>
      </c>
      <c r="V2734" s="136" t="str">
        <f>IFERROR(__xludf.DUMMYFUNCTION("""COMPUTED_VALUE"""),"")</f>
        <v/>
      </c>
      <c r="W2734" s="106" t="str">
        <f>IFERROR(__xludf.DUMMYFUNCTION("""COMPUTED_VALUE"""),"")</f>
        <v/>
      </c>
      <c r="X2734" s="143" t="str">
        <f t="shared" si="2"/>
        <v/>
      </c>
      <c r="Y2734" s="139" t="str">
        <f>IFERROR(__xludf.DUMMYFUNCTION("""COMPUTED_VALUE"""),"")</f>
        <v/>
      </c>
      <c r="Z2734" s="141" t="str">
        <f>IFERROR(__xludf.DUMMYFUNCTION("""COMPUTED_VALUE"""),"")</f>
        <v/>
      </c>
    </row>
    <row r="2735">
      <c r="D2735" s="136" t="str">
        <f t="shared" si="3"/>
        <v/>
      </c>
      <c r="E2735" s="152"/>
      <c r="F2735" s="106" t="s">
        <v>133</v>
      </c>
      <c r="G2735" s="152"/>
      <c r="H2735" s="106" t="s">
        <v>133</v>
      </c>
      <c r="J2735" s="139" t="s">
        <v>133</v>
      </c>
      <c r="K2735" s="136" t="s">
        <v>133</v>
      </c>
      <c r="L2735" s="153"/>
      <c r="M2735" s="136" t="str">
        <f t="shared" si="1"/>
        <v/>
      </c>
      <c r="O2735" s="141" t="s">
        <v>133</v>
      </c>
      <c r="P2735" s="136" t="str">
        <f>IFERROR(__xludf.DUMMYFUNCTION("""COMPUTED_VALUE"""),"")</f>
        <v/>
      </c>
      <c r="Q2735" s="136" t="str">
        <f>IFERROR(__xludf.DUMMYFUNCTION("""COMPUTED_VALUE"""),"")</f>
        <v/>
      </c>
      <c r="R2735" s="106" t="str">
        <f>IFERROR(__xludf.DUMMYFUNCTION("""COMPUTED_VALUE"""),"")</f>
        <v/>
      </c>
      <c r="S2735" s="106" t="str">
        <f>IFERROR(__xludf.DUMMYFUNCTION("""COMPUTED_VALUE"""),"")</f>
        <v/>
      </c>
      <c r="T2735" s="139" t="str">
        <f>IFERROR(__xludf.DUMMYFUNCTION("""COMPUTED_VALUE"""),"")</f>
        <v/>
      </c>
      <c r="U2735" s="139" t="str">
        <f>IFERROR(__xludf.DUMMYFUNCTION("""COMPUTED_VALUE"""),"")</f>
        <v/>
      </c>
      <c r="V2735" s="136" t="str">
        <f>IFERROR(__xludf.DUMMYFUNCTION("""COMPUTED_VALUE"""),"")</f>
        <v/>
      </c>
      <c r="W2735" s="106" t="str">
        <f>IFERROR(__xludf.DUMMYFUNCTION("""COMPUTED_VALUE"""),"")</f>
        <v/>
      </c>
      <c r="X2735" s="143" t="str">
        <f t="shared" si="2"/>
        <v/>
      </c>
      <c r="Y2735" s="139" t="str">
        <f>IFERROR(__xludf.DUMMYFUNCTION("""COMPUTED_VALUE"""),"")</f>
        <v/>
      </c>
      <c r="Z2735" s="141" t="str">
        <f>IFERROR(__xludf.DUMMYFUNCTION("""COMPUTED_VALUE"""),"")</f>
        <v/>
      </c>
    </row>
    <row r="2736">
      <c r="D2736" s="136" t="str">
        <f t="shared" si="3"/>
        <v/>
      </c>
      <c r="E2736" s="152"/>
      <c r="F2736" s="106" t="s">
        <v>133</v>
      </c>
      <c r="G2736" s="152"/>
      <c r="H2736" s="106" t="s">
        <v>133</v>
      </c>
      <c r="J2736" s="139" t="s">
        <v>133</v>
      </c>
      <c r="K2736" s="136" t="s">
        <v>133</v>
      </c>
      <c r="L2736" s="153"/>
      <c r="M2736" s="136" t="str">
        <f t="shared" si="1"/>
        <v/>
      </c>
      <c r="O2736" s="141" t="s">
        <v>133</v>
      </c>
      <c r="P2736" s="136" t="str">
        <f>IFERROR(__xludf.DUMMYFUNCTION("""COMPUTED_VALUE"""),"")</f>
        <v/>
      </c>
      <c r="Q2736" s="136" t="str">
        <f>IFERROR(__xludf.DUMMYFUNCTION("""COMPUTED_VALUE"""),"")</f>
        <v/>
      </c>
      <c r="R2736" s="106" t="str">
        <f>IFERROR(__xludf.DUMMYFUNCTION("""COMPUTED_VALUE"""),"")</f>
        <v/>
      </c>
      <c r="S2736" s="106" t="str">
        <f>IFERROR(__xludf.DUMMYFUNCTION("""COMPUTED_VALUE"""),"")</f>
        <v/>
      </c>
      <c r="T2736" s="139" t="str">
        <f>IFERROR(__xludf.DUMMYFUNCTION("""COMPUTED_VALUE"""),"")</f>
        <v/>
      </c>
      <c r="U2736" s="139" t="str">
        <f>IFERROR(__xludf.DUMMYFUNCTION("""COMPUTED_VALUE"""),"")</f>
        <v/>
      </c>
      <c r="V2736" s="136" t="str">
        <f>IFERROR(__xludf.DUMMYFUNCTION("""COMPUTED_VALUE"""),"")</f>
        <v/>
      </c>
      <c r="W2736" s="106" t="str">
        <f>IFERROR(__xludf.DUMMYFUNCTION("""COMPUTED_VALUE"""),"")</f>
        <v/>
      </c>
      <c r="X2736" s="143" t="str">
        <f t="shared" si="2"/>
        <v/>
      </c>
      <c r="Y2736" s="139" t="str">
        <f>IFERROR(__xludf.DUMMYFUNCTION("""COMPUTED_VALUE"""),"")</f>
        <v/>
      </c>
      <c r="Z2736" s="141" t="str">
        <f>IFERROR(__xludf.DUMMYFUNCTION("""COMPUTED_VALUE"""),"")</f>
        <v/>
      </c>
    </row>
    <row r="2737">
      <c r="D2737" s="136" t="str">
        <f t="shared" si="3"/>
        <v/>
      </c>
      <c r="E2737" s="152"/>
      <c r="F2737" s="106" t="s">
        <v>133</v>
      </c>
      <c r="G2737" s="152"/>
      <c r="H2737" s="106" t="s">
        <v>133</v>
      </c>
      <c r="J2737" s="139" t="s">
        <v>133</v>
      </c>
      <c r="K2737" s="136" t="s">
        <v>133</v>
      </c>
      <c r="L2737" s="153"/>
      <c r="M2737" s="136" t="str">
        <f t="shared" si="1"/>
        <v/>
      </c>
      <c r="O2737" s="141" t="s">
        <v>133</v>
      </c>
      <c r="P2737" s="136" t="str">
        <f>IFERROR(__xludf.DUMMYFUNCTION("""COMPUTED_VALUE"""),"")</f>
        <v/>
      </c>
      <c r="Q2737" s="136" t="str">
        <f>IFERROR(__xludf.DUMMYFUNCTION("""COMPUTED_VALUE"""),"")</f>
        <v/>
      </c>
      <c r="R2737" s="106" t="str">
        <f>IFERROR(__xludf.DUMMYFUNCTION("""COMPUTED_VALUE"""),"")</f>
        <v/>
      </c>
      <c r="S2737" s="106" t="str">
        <f>IFERROR(__xludf.DUMMYFUNCTION("""COMPUTED_VALUE"""),"")</f>
        <v/>
      </c>
      <c r="T2737" s="139" t="str">
        <f>IFERROR(__xludf.DUMMYFUNCTION("""COMPUTED_VALUE"""),"")</f>
        <v/>
      </c>
      <c r="U2737" s="139" t="str">
        <f>IFERROR(__xludf.DUMMYFUNCTION("""COMPUTED_VALUE"""),"")</f>
        <v/>
      </c>
      <c r="V2737" s="136" t="str">
        <f>IFERROR(__xludf.DUMMYFUNCTION("""COMPUTED_VALUE"""),"")</f>
        <v/>
      </c>
      <c r="W2737" s="106" t="str">
        <f>IFERROR(__xludf.DUMMYFUNCTION("""COMPUTED_VALUE"""),"")</f>
        <v/>
      </c>
      <c r="X2737" s="143" t="str">
        <f t="shared" si="2"/>
        <v/>
      </c>
      <c r="Y2737" s="139" t="str">
        <f>IFERROR(__xludf.DUMMYFUNCTION("""COMPUTED_VALUE"""),"")</f>
        <v/>
      </c>
      <c r="Z2737" s="141" t="str">
        <f>IFERROR(__xludf.DUMMYFUNCTION("""COMPUTED_VALUE"""),"")</f>
        <v/>
      </c>
    </row>
    <row r="2738">
      <c r="D2738" s="136" t="str">
        <f t="shared" si="3"/>
        <v/>
      </c>
      <c r="E2738" s="152"/>
      <c r="F2738" s="106" t="s">
        <v>133</v>
      </c>
      <c r="G2738" s="152"/>
      <c r="H2738" s="106" t="s">
        <v>133</v>
      </c>
      <c r="J2738" s="139" t="s">
        <v>133</v>
      </c>
      <c r="K2738" s="136" t="s">
        <v>133</v>
      </c>
      <c r="L2738" s="153"/>
      <c r="M2738" s="136" t="str">
        <f t="shared" si="1"/>
        <v/>
      </c>
      <c r="O2738" s="141" t="s">
        <v>133</v>
      </c>
      <c r="P2738" s="136" t="str">
        <f>IFERROR(__xludf.DUMMYFUNCTION("""COMPUTED_VALUE"""),"")</f>
        <v/>
      </c>
      <c r="Q2738" s="136" t="str">
        <f>IFERROR(__xludf.DUMMYFUNCTION("""COMPUTED_VALUE"""),"")</f>
        <v/>
      </c>
      <c r="R2738" s="106" t="str">
        <f>IFERROR(__xludf.DUMMYFUNCTION("""COMPUTED_VALUE"""),"")</f>
        <v/>
      </c>
      <c r="S2738" s="106" t="str">
        <f>IFERROR(__xludf.DUMMYFUNCTION("""COMPUTED_VALUE"""),"")</f>
        <v/>
      </c>
      <c r="T2738" s="139" t="str">
        <f>IFERROR(__xludf.DUMMYFUNCTION("""COMPUTED_VALUE"""),"")</f>
        <v/>
      </c>
      <c r="U2738" s="139" t="str">
        <f>IFERROR(__xludf.DUMMYFUNCTION("""COMPUTED_VALUE"""),"")</f>
        <v/>
      </c>
      <c r="V2738" s="136" t="str">
        <f>IFERROR(__xludf.DUMMYFUNCTION("""COMPUTED_VALUE"""),"")</f>
        <v/>
      </c>
      <c r="W2738" s="106" t="str">
        <f>IFERROR(__xludf.DUMMYFUNCTION("""COMPUTED_VALUE"""),"")</f>
        <v/>
      </c>
      <c r="X2738" s="143" t="str">
        <f t="shared" si="2"/>
        <v/>
      </c>
      <c r="Y2738" s="139" t="str">
        <f>IFERROR(__xludf.DUMMYFUNCTION("""COMPUTED_VALUE"""),"")</f>
        <v/>
      </c>
      <c r="Z2738" s="141" t="str">
        <f>IFERROR(__xludf.DUMMYFUNCTION("""COMPUTED_VALUE"""),"")</f>
        <v/>
      </c>
    </row>
    <row r="2739">
      <c r="D2739" s="136" t="str">
        <f t="shared" si="3"/>
        <v/>
      </c>
      <c r="E2739" s="152"/>
      <c r="F2739" s="106" t="s">
        <v>133</v>
      </c>
      <c r="G2739" s="152"/>
      <c r="H2739" s="106" t="s">
        <v>133</v>
      </c>
      <c r="J2739" s="139" t="s">
        <v>133</v>
      </c>
      <c r="K2739" s="136" t="s">
        <v>133</v>
      </c>
      <c r="L2739" s="153"/>
      <c r="M2739" s="136" t="str">
        <f t="shared" si="1"/>
        <v/>
      </c>
      <c r="O2739" s="141" t="s">
        <v>133</v>
      </c>
      <c r="P2739" s="136" t="str">
        <f>IFERROR(__xludf.DUMMYFUNCTION("""COMPUTED_VALUE"""),"")</f>
        <v/>
      </c>
      <c r="Q2739" s="136" t="str">
        <f>IFERROR(__xludf.DUMMYFUNCTION("""COMPUTED_VALUE"""),"")</f>
        <v/>
      </c>
      <c r="R2739" s="106" t="str">
        <f>IFERROR(__xludf.DUMMYFUNCTION("""COMPUTED_VALUE"""),"")</f>
        <v/>
      </c>
      <c r="S2739" s="106" t="str">
        <f>IFERROR(__xludf.DUMMYFUNCTION("""COMPUTED_VALUE"""),"")</f>
        <v/>
      </c>
      <c r="T2739" s="139" t="str">
        <f>IFERROR(__xludf.DUMMYFUNCTION("""COMPUTED_VALUE"""),"")</f>
        <v/>
      </c>
      <c r="U2739" s="139" t="str">
        <f>IFERROR(__xludf.DUMMYFUNCTION("""COMPUTED_VALUE"""),"")</f>
        <v/>
      </c>
      <c r="V2739" s="136" t="str">
        <f>IFERROR(__xludf.DUMMYFUNCTION("""COMPUTED_VALUE"""),"")</f>
        <v/>
      </c>
      <c r="W2739" s="106" t="str">
        <f>IFERROR(__xludf.DUMMYFUNCTION("""COMPUTED_VALUE"""),"")</f>
        <v/>
      </c>
      <c r="X2739" s="143" t="str">
        <f t="shared" si="2"/>
        <v/>
      </c>
      <c r="Y2739" s="139" t="str">
        <f>IFERROR(__xludf.DUMMYFUNCTION("""COMPUTED_VALUE"""),"")</f>
        <v/>
      </c>
      <c r="Z2739" s="141" t="str">
        <f>IFERROR(__xludf.DUMMYFUNCTION("""COMPUTED_VALUE"""),"")</f>
        <v/>
      </c>
    </row>
    <row r="2740">
      <c r="D2740" s="136" t="str">
        <f t="shared" si="3"/>
        <v/>
      </c>
      <c r="E2740" s="152"/>
      <c r="F2740" s="106" t="s">
        <v>133</v>
      </c>
      <c r="G2740" s="152"/>
      <c r="H2740" s="106" t="s">
        <v>133</v>
      </c>
      <c r="J2740" s="139" t="s">
        <v>133</v>
      </c>
      <c r="K2740" s="136" t="s">
        <v>133</v>
      </c>
      <c r="L2740" s="153"/>
      <c r="M2740" s="136" t="str">
        <f t="shared" si="1"/>
        <v/>
      </c>
      <c r="O2740" s="141" t="s">
        <v>133</v>
      </c>
      <c r="P2740" s="136" t="str">
        <f>IFERROR(__xludf.DUMMYFUNCTION("""COMPUTED_VALUE"""),"")</f>
        <v/>
      </c>
      <c r="Q2740" s="136" t="str">
        <f>IFERROR(__xludf.DUMMYFUNCTION("""COMPUTED_VALUE"""),"")</f>
        <v/>
      </c>
      <c r="R2740" s="106" t="str">
        <f>IFERROR(__xludf.DUMMYFUNCTION("""COMPUTED_VALUE"""),"")</f>
        <v/>
      </c>
      <c r="S2740" s="106" t="str">
        <f>IFERROR(__xludf.DUMMYFUNCTION("""COMPUTED_VALUE"""),"")</f>
        <v/>
      </c>
      <c r="T2740" s="139" t="str">
        <f>IFERROR(__xludf.DUMMYFUNCTION("""COMPUTED_VALUE"""),"")</f>
        <v/>
      </c>
      <c r="U2740" s="139" t="str">
        <f>IFERROR(__xludf.DUMMYFUNCTION("""COMPUTED_VALUE"""),"")</f>
        <v/>
      </c>
      <c r="V2740" s="136" t="str">
        <f>IFERROR(__xludf.DUMMYFUNCTION("""COMPUTED_VALUE"""),"")</f>
        <v/>
      </c>
      <c r="W2740" s="106" t="str">
        <f>IFERROR(__xludf.DUMMYFUNCTION("""COMPUTED_VALUE"""),"")</f>
        <v/>
      </c>
      <c r="X2740" s="143" t="str">
        <f t="shared" si="2"/>
        <v/>
      </c>
      <c r="Y2740" s="139" t="str">
        <f>IFERROR(__xludf.DUMMYFUNCTION("""COMPUTED_VALUE"""),"")</f>
        <v/>
      </c>
      <c r="Z2740" s="141" t="str">
        <f>IFERROR(__xludf.DUMMYFUNCTION("""COMPUTED_VALUE"""),"")</f>
        <v/>
      </c>
    </row>
    <row r="2741">
      <c r="D2741" s="136" t="str">
        <f t="shared" si="3"/>
        <v/>
      </c>
      <c r="E2741" s="152"/>
      <c r="F2741" s="106" t="s">
        <v>133</v>
      </c>
      <c r="G2741" s="152"/>
      <c r="H2741" s="106" t="s">
        <v>133</v>
      </c>
      <c r="J2741" s="139" t="s">
        <v>133</v>
      </c>
      <c r="K2741" s="136" t="s">
        <v>133</v>
      </c>
      <c r="L2741" s="153"/>
      <c r="M2741" s="136" t="str">
        <f t="shared" si="1"/>
        <v/>
      </c>
      <c r="O2741" s="141" t="s">
        <v>133</v>
      </c>
      <c r="P2741" s="136" t="str">
        <f>IFERROR(__xludf.DUMMYFUNCTION("""COMPUTED_VALUE"""),"")</f>
        <v/>
      </c>
      <c r="Q2741" s="136" t="str">
        <f>IFERROR(__xludf.DUMMYFUNCTION("""COMPUTED_VALUE"""),"")</f>
        <v/>
      </c>
      <c r="R2741" s="106" t="str">
        <f>IFERROR(__xludf.DUMMYFUNCTION("""COMPUTED_VALUE"""),"")</f>
        <v/>
      </c>
      <c r="S2741" s="106" t="str">
        <f>IFERROR(__xludf.DUMMYFUNCTION("""COMPUTED_VALUE"""),"")</f>
        <v/>
      </c>
      <c r="T2741" s="139" t="str">
        <f>IFERROR(__xludf.DUMMYFUNCTION("""COMPUTED_VALUE"""),"")</f>
        <v/>
      </c>
      <c r="U2741" s="139" t="str">
        <f>IFERROR(__xludf.DUMMYFUNCTION("""COMPUTED_VALUE"""),"")</f>
        <v/>
      </c>
      <c r="V2741" s="136" t="str">
        <f>IFERROR(__xludf.DUMMYFUNCTION("""COMPUTED_VALUE"""),"")</f>
        <v/>
      </c>
      <c r="W2741" s="106" t="str">
        <f>IFERROR(__xludf.DUMMYFUNCTION("""COMPUTED_VALUE"""),"")</f>
        <v/>
      </c>
      <c r="X2741" s="143" t="str">
        <f t="shared" si="2"/>
        <v/>
      </c>
      <c r="Y2741" s="139" t="str">
        <f>IFERROR(__xludf.DUMMYFUNCTION("""COMPUTED_VALUE"""),"")</f>
        <v/>
      </c>
      <c r="Z2741" s="141" t="str">
        <f>IFERROR(__xludf.DUMMYFUNCTION("""COMPUTED_VALUE"""),"")</f>
        <v/>
      </c>
    </row>
    <row r="2742">
      <c r="D2742" s="136" t="str">
        <f t="shared" si="3"/>
        <v/>
      </c>
      <c r="E2742" s="152"/>
      <c r="F2742" s="106" t="s">
        <v>133</v>
      </c>
      <c r="G2742" s="152"/>
      <c r="H2742" s="106" t="s">
        <v>133</v>
      </c>
      <c r="J2742" s="139" t="s">
        <v>133</v>
      </c>
      <c r="K2742" s="136" t="s">
        <v>133</v>
      </c>
      <c r="L2742" s="153"/>
      <c r="M2742" s="136" t="str">
        <f t="shared" si="1"/>
        <v/>
      </c>
      <c r="O2742" s="141" t="s">
        <v>133</v>
      </c>
      <c r="P2742" s="136" t="str">
        <f>IFERROR(__xludf.DUMMYFUNCTION("""COMPUTED_VALUE"""),"")</f>
        <v/>
      </c>
      <c r="Q2742" s="136" t="str">
        <f>IFERROR(__xludf.DUMMYFUNCTION("""COMPUTED_VALUE"""),"")</f>
        <v/>
      </c>
      <c r="R2742" s="106" t="str">
        <f>IFERROR(__xludf.DUMMYFUNCTION("""COMPUTED_VALUE"""),"")</f>
        <v/>
      </c>
      <c r="S2742" s="106" t="str">
        <f>IFERROR(__xludf.DUMMYFUNCTION("""COMPUTED_VALUE"""),"")</f>
        <v/>
      </c>
      <c r="T2742" s="139" t="str">
        <f>IFERROR(__xludf.DUMMYFUNCTION("""COMPUTED_VALUE"""),"")</f>
        <v/>
      </c>
      <c r="U2742" s="139" t="str">
        <f>IFERROR(__xludf.DUMMYFUNCTION("""COMPUTED_VALUE"""),"")</f>
        <v/>
      </c>
      <c r="V2742" s="136" t="str">
        <f>IFERROR(__xludf.DUMMYFUNCTION("""COMPUTED_VALUE"""),"")</f>
        <v/>
      </c>
      <c r="W2742" s="106" t="str">
        <f>IFERROR(__xludf.DUMMYFUNCTION("""COMPUTED_VALUE"""),"")</f>
        <v/>
      </c>
      <c r="X2742" s="143" t="str">
        <f t="shared" si="2"/>
        <v/>
      </c>
      <c r="Y2742" s="139" t="str">
        <f>IFERROR(__xludf.DUMMYFUNCTION("""COMPUTED_VALUE"""),"")</f>
        <v/>
      </c>
      <c r="Z2742" s="141" t="str">
        <f>IFERROR(__xludf.DUMMYFUNCTION("""COMPUTED_VALUE"""),"")</f>
        <v/>
      </c>
    </row>
    <row r="2743">
      <c r="D2743" s="136" t="str">
        <f t="shared" si="3"/>
        <v/>
      </c>
      <c r="E2743" s="152"/>
      <c r="F2743" s="106" t="s">
        <v>133</v>
      </c>
      <c r="G2743" s="152"/>
      <c r="H2743" s="106" t="s">
        <v>133</v>
      </c>
      <c r="J2743" s="139" t="s">
        <v>133</v>
      </c>
      <c r="K2743" s="136" t="s">
        <v>133</v>
      </c>
      <c r="L2743" s="153"/>
      <c r="M2743" s="136" t="str">
        <f t="shared" si="1"/>
        <v/>
      </c>
      <c r="O2743" s="141" t="s">
        <v>133</v>
      </c>
      <c r="P2743" s="136" t="str">
        <f>IFERROR(__xludf.DUMMYFUNCTION("""COMPUTED_VALUE"""),"")</f>
        <v/>
      </c>
      <c r="Q2743" s="136" t="str">
        <f>IFERROR(__xludf.DUMMYFUNCTION("""COMPUTED_VALUE"""),"")</f>
        <v/>
      </c>
      <c r="R2743" s="106" t="str">
        <f>IFERROR(__xludf.DUMMYFUNCTION("""COMPUTED_VALUE"""),"")</f>
        <v/>
      </c>
      <c r="S2743" s="106" t="str">
        <f>IFERROR(__xludf.DUMMYFUNCTION("""COMPUTED_VALUE"""),"")</f>
        <v/>
      </c>
      <c r="T2743" s="139" t="str">
        <f>IFERROR(__xludf.DUMMYFUNCTION("""COMPUTED_VALUE"""),"")</f>
        <v/>
      </c>
      <c r="U2743" s="139" t="str">
        <f>IFERROR(__xludf.DUMMYFUNCTION("""COMPUTED_VALUE"""),"")</f>
        <v/>
      </c>
      <c r="V2743" s="136" t="str">
        <f>IFERROR(__xludf.DUMMYFUNCTION("""COMPUTED_VALUE"""),"")</f>
        <v/>
      </c>
      <c r="W2743" s="106" t="str">
        <f>IFERROR(__xludf.DUMMYFUNCTION("""COMPUTED_VALUE"""),"")</f>
        <v/>
      </c>
      <c r="X2743" s="143" t="str">
        <f t="shared" si="2"/>
        <v/>
      </c>
      <c r="Y2743" s="139" t="str">
        <f>IFERROR(__xludf.DUMMYFUNCTION("""COMPUTED_VALUE"""),"")</f>
        <v/>
      </c>
      <c r="Z2743" s="141" t="str">
        <f>IFERROR(__xludf.DUMMYFUNCTION("""COMPUTED_VALUE"""),"")</f>
        <v/>
      </c>
    </row>
    <row r="2744">
      <c r="D2744" s="136" t="str">
        <f t="shared" si="3"/>
        <v/>
      </c>
      <c r="E2744" s="152"/>
      <c r="F2744" s="106" t="s">
        <v>133</v>
      </c>
      <c r="G2744" s="152"/>
      <c r="H2744" s="106" t="s">
        <v>133</v>
      </c>
      <c r="J2744" s="139" t="s">
        <v>133</v>
      </c>
      <c r="K2744" s="136" t="s">
        <v>133</v>
      </c>
      <c r="L2744" s="153"/>
      <c r="M2744" s="136" t="str">
        <f t="shared" si="1"/>
        <v/>
      </c>
      <c r="O2744" s="141" t="s">
        <v>133</v>
      </c>
      <c r="P2744" s="136" t="str">
        <f>IFERROR(__xludf.DUMMYFUNCTION("""COMPUTED_VALUE"""),"")</f>
        <v/>
      </c>
      <c r="Q2744" s="136" t="str">
        <f>IFERROR(__xludf.DUMMYFUNCTION("""COMPUTED_VALUE"""),"")</f>
        <v/>
      </c>
      <c r="R2744" s="106" t="str">
        <f>IFERROR(__xludf.DUMMYFUNCTION("""COMPUTED_VALUE"""),"")</f>
        <v/>
      </c>
      <c r="S2744" s="106" t="str">
        <f>IFERROR(__xludf.DUMMYFUNCTION("""COMPUTED_VALUE"""),"")</f>
        <v/>
      </c>
      <c r="T2744" s="139" t="str">
        <f>IFERROR(__xludf.DUMMYFUNCTION("""COMPUTED_VALUE"""),"")</f>
        <v/>
      </c>
      <c r="U2744" s="139" t="str">
        <f>IFERROR(__xludf.DUMMYFUNCTION("""COMPUTED_VALUE"""),"")</f>
        <v/>
      </c>
      <c r="V2744" s="136" t="str">
        <f>IFERROR(__xludf.DUMMYFUNCTION("""COMPUTED_VALUE"""),"")</f>
        <v/>
      </c>
      <c r="W2744" s="106" t="str">
        <f>IFERROR(__xludf.DUMMYFUNCTION("""COMPUTED_VALUE"""),"")</f>
        <v/>
      </c>
      <c r="X2744" s="143" t="str">
        <f t="shared" si="2"/>
        <v/>
      </c>
      <c r="Y2744" s="139" t="str">
        <f>IFERROR(__xludf.DUMMYFUNCTION("""COMPUTED_VALUE"""),"")</f>
        <v/>
      </c>
      <c r="Z2744" s="141" t="str">
        <f>IFERROR(__xludf.DUMMYFUNCTION("""COMPUTED_VALUE"""),"")</f>
        <v/>
      </c>
    </row>
    <row r="2745">
      <c r="D2745" s="136" t="str">
        <f t="shared" si="3"/>
        <v/>
      </c>
      <c r="E2745" s="152"/>
      <c r="F2745" s="106" t="s">
        <v>133</v>
      </c>
      <c r="G2745" s="152"/>
      <c r="H2745" s="106" t="s">
        <v>133</v>
      </c>
      <c r="J2745" s="139" t="s">
        <v>133</v>
      </c>
      <c r="K2745" s="136" t="s">
        <v>133</v>
      </c>
      <c r="L2745" s="153"/>
      <c r="M2745" s="136" t="str">
        <f t="shared" si="1"/>
        <v/>
      </c>
      <c r="O2745" s="141" t="s">
        <v>133</v>
      </c>
      <c r="P2745" s="136" t="str">
        <f>IFERROR(__xludf.DUMMYFUNCTION("""COMPUTED_VALUE"""),"")</f>
        <v/>
      </c>
      <c r="Q2745" s="136" t="str">
        <f>IFERROR(__xludf.DUMMYFUNCTION("""COMPUTED_VALUE"""),"")</f>
        <v/>
      </c>
      <c r="R2745" s="106" t="str">
        <f>IFERROR(__xludf.DUMMYFUNCTION("""COMPUTED_VALUE"""),"")</f>
        <v/>
      </c>
      <c r="S2745" s="106" t="str">
        <f>IFERROR(__xludf.DUMMYFUNCTION("""COMPUTED_VALUE"""),"")</f>
        <v/>
      </c>
      <c r="T2745" s="139" t="str">
        <f>IFERROR(__xludf.DUMMYFUNCTION("""COMPUTED_VALUE"""),"")</f>
        <v/>
      </c>
      <c r="U2745" s="139" t="str">
        <f>IFERROR(__xludf.DUMMYFUNCTION("""COMPUTED_VALUE"""),"")</f>
        <v/>
      </c>
      <c r="V2745" s="136" t="str">
        <f>IFERROR(__xludf.DUMMYFUNCTION("""COMPUTED_VALUE"""),"")</f>
        <v/>
      </c>
      <c r="W2745" s="106" t="str">
        <f>IFERROR(__xludf.DUMMYFUNCTION("""COMPUTED_VALUE"""),"")</f>
        <v/>
      </c>
      <c r="X2745" s="143" t="str">
        <f t="shared" si="2"/>
        <v/>
      </c>
      <c r="Y2745" s="139" t="str">
        <f>IFERROR(__xludf.DUMMYFUNCTION("""COMPUTED_VALUE"""),"")</f>
        <v/>
      </c>
      <c r="Z2745" s="141" t="str">
        <f>IFERROR(__xludf.DUMMYFUNCTION("""COMPUTED_VALUE"""),"")</f>
        <v/>
      </c>
    </row>
    <row r="2746">
      <c r="D2746" s="136" t="str">
        <f t="shared" si="3"/>
        <v/>
      </c>
      <c r="E2746" s="152"/>
      <c r="F2746" s="106" t="s">
        <v>133</v>
      </c>
      <c r="G2746" s="152"/>
      <c r="H2746" s="106" t="s">
        <v>133</v>
      </c>
      <c r="J2746" s="139" t="s">
        <v>133</v>
      </c>
      <c r="K2746" s="136" t="s">
        <v>133</v>
      </c>
      <c r="L2746" s="153"/>
      <c r="M2746" s="136" t="str">
        <f t="shared" si="1"/>
        <v/>
      </c>
      <c r="O2746" s="141" t="s">
        <v>133</v>
      </c>
      <c r="P2746" s="136" t="str">
        <f>IFERROR(__xludf.DUMMYFUNCTION("""COMPUTED_VALUE"""),"")</f>
        <v/>
      </c>
      <c r="Q2746" s="136" t="str">
        <f>IFERROR(__xludf.DUMMYFUNCTION("""COMPUTED_VALUE"""),"")</f>
        <v/>
      </c>
      <c r="R2746" s="106" t="str">
        <f>IFERROR(__xludf.DUMMYFUNCTION("""COMPUTED_VALUE"""),"")</f>
        <v/>
      </c>
      <c r="S2746" s="106" t="str">
        <f>IFERROR(__xludf.DUMMYFUNCTION("""COMPUTED_VALUE"""),"")</f>
        <v/>
      </c>
      <c r="T2746" s="139" t="str">
        <f>IFERROR(__xludf.DUMMYFUNCTION("""COMPUTED_VALUE"""),"")</f>
        <v/>
      </c>
      <c r="U2746" s="139" t="str">
        <f>IFERROR(__xludf.DUMMYFUNCTION("""COMPUTED_VALUE"""),"")</f>
        <v/>
      </c>
      <c r="V2746" s="136" t="str">
        <f>IFERROR(__xludf.DUMMYFUNCTION("""COMPUTED_VALUE"""),"")</f>
        <v/>
      </c>
      <c r="W2746" s="106" t="str">
        <f>IFERROR(__xludf.DUMMYFUNCTION("""COMPUTED_VALUE"""),"")</f>
        <v/>
      </c>
      <c r="X2746" s="143" t="str">
        <f t="shared" si="2"/>
        <v/>
      </c>
      <c r="Y2746" s="139" t="str">
        <f>IFERROR(__xludf.DUMMYFUNCTION("""COMPUTED_VALUE"""),"")</f>
        <v/>
      </c>
      <c r="Z2746" s="141" t="str">
        <f>IFERROR(__xludf.DUMMYFUNCTION("""COMPUTED_VALUE"""),"")</f>
        <v/>
      </c>
    </row>
    <row r="2747">
      <c r="D2747" s="136" t="str">
        <f t="shared" si="3"/>
        <v/>
      </c>
      <c r="E2747" s="152"/>
      <c r="F2747" s="106" t="s">
        <v>133</v>
      </c>
      <c r="G2747" s="152"/>
      <c r="H2747" s="106" t="s">
        <v>133</v>
      </c>
      <c r="J2747" s="139" t="s">
        <v>133</v>
      </c>
      <c r="K2747" s="136" t="s">
        <v>133</v>
      </c>
      <c r="L2747" s="153"/>
      <c r="M2747" s="136" t="str">
        <f t="shared" si="1"/>
        <v/>
      </c>
      <c r="O2747" s="141" t="s">
        <v>133</v>
      </c>
      <c r="P2747" s="136" t="str">
        <f>IFERROR(__xludf.DUMMYFUNCTION("""COMPUTED_VALUE"""),"")</f>
        <v/>
      </c>
      <c r="Q2747" s="136" t="str">
        <f>IFERROR(__xludf.DUMMYFUNCTION("""COMPUTED_VALUE"""),"")</f>
        <v/>
      </c>
      <c r="R2747" s="106" t="str">
        <f>IFERROR(__xludf.DUMMYFUNCTION("""COMPUTED_VALUE"""),"")</f>
        <v/>
      </c>
      <c r="S2747" s="106" t="str">
        <f>IFERROR(__xludf.DUMMYFUNCTION("""COMPUTED_VALUE"""),"")</f>
        <v/>
      </c>
      <c r="T2747" s="139" t="str">
        <f>IFERROR(__xludf.DUMMYFUNCTION("""COMPUTED_VALUE"""),"")</f>
        <v/>
      </c>
      <c r="U2747" s="139" t="str">
        <f>IFERROR(__xludf.DUMMYFUNCTION("""COMPUTED_VALUE"""),"")</f>
        <v/>
      </c>
      <c r="V2747" s="136" t="str">
        <f>IFERROR(__xludf.DUMMYFUNCTION("""COMPUTED_VALUE"""),"")</f>
        <v/>
      </c>
      <c r="W2747" s="106" t="str">
        <f>IFERROR(__xludf.DUMMYFUNCTION("""COMPUTED_VALUE"""),"")</f>
        <v/>
      </c>
      <c r="X2747" s="143" t="str">
        <f t="shared" si="2"/>
        <v/>
      </c>
      <c r="Y2747" s="139" t="str">
        <f>IFERROR(__xludf.DUMMYFUNCTION("""COMPUTED_VALUE"""),"")</f>
        <v/>
      </c>
      <c r="Z2747" s="141" t="str">
        <f>IFERROR(__xludf.DUMMYFUNCTION("""COMPUTED_VALUE"""),"")</f>
        <v/>
      </c>
    </row>
    <row r="2748">
      <c r="D2748" s="136" t="str">
        <f t="shared" si="3"/>
        <v/>
      </c>
      <c r="E2748" s="152"/>
      <c r="F2748" s="106" t="s">
        <v>133</v>
      </c>
      <c r="G2748" s="152"/>
      <c r="H2748" s="106" t="s">
        <v>133</v>
      </c>
      <c r="J2748" s="139" t="s">
        <v>133</v>
      </c>
      <c r="K2748" s="136" t="s">
        <v>133</v>
      </c>
      <c r="L2748" s="153"/>
      <c r="M2748" s="136" t="str">
        <f t="shared" si="1"/>
        <v/>
      </c>
      <c r="O2748" s="141" t="s">
        <v>133</v>
      </c>
      <c r="P2748" s="136" t="str">
        <f>IFERROR(__xludf.DUMMYFUNCTION("""COMPUTED_VALUE"""),"")</f>
        <v/>
      </c>
      <c r="Q2748" s="136" t="str">
        <f>IFERROR(__xludf.DUMMYFUNCTION("""COMPUTED_VALUE"""),"")</f>
        <v/>
      </c>
      <c r="R2748" s="106" t="str">
        <f>IFERROR(__xludf.DUMMYFUNCTION("""COMPUTED_VALUE"""),"")</f>
        <v/>
      </c>
      <c r="S2748" s="106" t="str">
        <f>IFERROR(__xludf.DUMMYFUNCTION("""COMPUTED_VALUE"""),"")</f>
        <v/>
      </c>
      <c r="T2748" s="139" t="str">
        <f>IFERROR(__xludf.DUMMYFUNCTION("""COMPUTED_VALUE"""),"")</f>
        <v/>
      </c>
      <c r="U2748" s="139" t="str">
        <f>IFERROR(__xludf.DUMMYFUNCTION("""COMPUTED_VALUE"""),"")</f>
        <v/>
      </c>
      <c r="V2748" s="136" t="str">
        <f>IFERROR(__xludf.DUMMYFUNCTION("""COMPUTED_VALUE"""),"")</f>
        <v/>
      </c>
      <c r="W2748" s="106" t="str">
        <f>IFERROR(__xludf.DUMMYFUNCTION("""COMPUTED_VALUE"""),"")</f>
        <v/>
      </c>
      <c r="X2748" s="143" t="str">
        <f t="shared" si="2"/>
        <v/>
      </c>
      <c r="Y2748" s="139" t="str">
        <f>IFERROR(__xludf.DUMMYFUNCTION("""COMPUTED_VALUE"""),"")</f>
        <v/>
      </c>
      <c r="Z2748" s="141" t="str">
        <f>IFERROR(__xludf.DUMMYFUNCTION("""COMPUTED_VALUE"""),"")</f>
        <v/>
      </c>
    </row>
    <row r="2749">
      <c r="D2749" s="136" t="str">
        <f t="shared" si="3"/>
        <v/>
      </c>
      <c r="E2749" s="152"/>
      <c r="F2749" s="106" t="s">
        <v>133</v>
      </c>
      <c r="G2749" s="152"/>
      <c r="H2749" s="106" t="s">
        <v>133</v>
      </c>
      <c r="J2749" s="139" t="s">
        <v>133</v>
      </c>
      <c r="K2749" s="136" t="s">
        <v>133</v>
      </c>
      <c r="L2749" s="153"/>
      <c r="M2749" s="136" t="str">
        <f t="shared" si="1"/>
        <v/>
      </c>
      <c r="O2749" s="141" t="s">
        <v>133</v>
      </c>
      <c r="P2749" s="136" t="str">
        <f>IFERROR(__xludf.DUMMYFUNCTION("""COMPUTED_VALUE"""),"")</f>
        <v/>
      </c>
      <c r="Q2749" s="136" t="str">
        <f>IFERROR(__xludf.DUMMYFUNCTION("""COMPUTED_VALUE"""),"")</f>
        <v/>
      </c>
      <c r="R2749" s="106" t="str">
        <f>IFERROR(__xludf.DUMMYFUNCTION("""COMPUTED_VALUE"""),"")</f>
        <v/>
      </c>
      <c r="S2749" s="106" t="str">
        <f>IFERROR(__xludf.DUMMYFUNCTION("""COMPUTED_VALUE"""),"")</f>
        <v/>
      </c>
      <c r="T2749" s="139" t="str">
        <f>IFERROR(__xludf.DUMMYFUNCTION("""COMPUTED_VALUE"""),"")</f>
        <v/>
      </c>
      <c r="U2749" s="139" t="str">
        <f>IFERROR(__xludf.DUMMYFUNCTION("""COMPUTED_VALUE"""),"")</f>
        <v/>
      </c>
      <c r="V2749" s="136" t="str">
        <f>IFERROR(__xludf.DUMMYFUNCTION("""COMPUTED_VALUE"""),"")</f>
        <v/>
      </c>
      <c r="W2749" s="106" t="str">
        <f>IFERROR(__xludf.DUMMYFUNCTION("""COMPUTED_VALUE"""),"")</f>
        <v/>
      </c>
      <c r="X2749" s="143" t="str">
        <f t="shared" si="2"/>
        <v/>
      </c>
      <c r="Y2749" s="139" t="str">
        <f>IFERROR(__xludf.DUMMYFUNCTION("""COMPUTED_VALUE"""),"")</f>
        <v/>
      </c>
      <c r="Z2749" s="141" t="str">
        <f>IFERROR(__xludf.DUMMYFUNCTION("""COMPUTED_VALUE"""),"")</f>
        <v/>
      </c>
    </row>
    <row r="2750">
      <c r="D2750" s="136" t="str">
        <f t="shared" si="3"/>
        <v/>
      </c>
      <c r="E2750" s="152"/>
      <c r="F2750" s="106" t="s">
        <v>133</v>
      </c>
      <c r="G2750" s="152"/>
      <c r="H2750" s="106" t="s">
        <v>133</v>
      </c>
      <c r="J2750" s="139" t="s">
        <v>133</v>
      </c>
      <c r="K2750" s="136" t="s">
        <v>133</v>
      </c>
      <c r="L2750" s="153"/>
      <c r="M2750" s="136" t="str">
        <f t="shared" si="1"/>
        <v/>
      </c>
      <c r="O2750" s="141" t="s">
        <v>133</v>
      </c>
      <c r="P2750" s="136" t="str">
        <f>IFERROR(__xludf.DUMMYFUNCTION("""COMPUTED_VALUE"""),"")</f>
        <v/>
      </c>
      <c r="Q2750" s="136" t="str">
        <f>IFERROR(__xludf.DUMMYFUNCTION("""COMPUTED_VALUE"""),"")</f>
        <v/>
      </c>
      <c r="R2750" s="106" t="str">
        <f>IFERROR(__xludf.DUMMYFUNCTION("""COMPUTED_VALUE"""),"")</f>
        <v/>
      </c>
      <c r="S2750" s="106" t="str">
        <f>IFERROR(__xludf.DUMMYFUNCTION("""COMPUTED_VALUE"""),"")</f>
        <v/>
      </c>
      <c r="T2750" s="139" t="str">
        <f>IFERROR(__xludf.DUMMYFUNCTION("""COMPUTED_VALUE"""),"")</f>
        <v/>
      </c>
      <c r="U2750" s="139" t="str">
        <f>IFERROR(__xludf.DUMMYFUNCTION("""COMPUTED_VALUE"""),"")</f>
        <v/>
      </c>
      <c r="V2750" s="136" t="str">
        <f>IFERROR(__xludf.DUMMYFUNCTION("""COMPUTED_VALUE"""),"")</f>
        <v/>
      </c>
      <c r="W2750" s="106" t="str">
        <f>IFERROR(__xludf.DUMMYFUNCTION("""COMPUTED_VALUE"""),"")</f>
        <v/>
      </c>
      <c r="X2750" s="143" t="str">
        <f t="shared" si="2"/>
        <v/>
      </c>
      <c r="Y2750" s="139" t="str">
        <f>IFERROR(__xludf.DUMMYFUNCTION("""COMPUTED_VALUE"""),"")</f>
        <v/>
      </c>
      <c r="Z2750" s="141" t="str">
        <f>IFERROR(__xludf.DUMMYFUNCTION("""COMPUTED_VALUE"""),"")</f>
        <v/>
      </c>
    </row>
    <row r="2751">
      <c r="D2751" s="136" t="str">
        <f t="shared" si="3"/>
        <v/>
      </c>
      <c r="E2751" s="152"/>
      <c r="F2751" s="106" t="s">
        <v>133</v>
      </c>
      <c r="G2751" s="152"/>
      <c r="H2751" s="106" t="s">
        <v>133</v>
      </c>
      <c r="J2751" s="139" t="s">
        <v>133</v>
      </c>
      <c r="K2751" s="136" t="s">
        <v>133</v>
      </c>
      <c r="L2751" s="153"/>
      <c r="M2751" s="136" t="str">
        <f t="shared" si="1"/>
        <v/>
      </c>
      <c r="O2751" s="141" t="s">
        <v>133</v>
      </c>
      <c r="P2751" s="136" t="str">
        <f>IFERROR(__xludf.DUMMYFUNCTION("""COMPUTED_VALUE"""),"")</f>
        <v/>
      </c>
      <c r="Q2751" s="136" t="str">
        <f>IFERROR(__xludf.DUMMYFUNCTION("""COMPUTED_VALUE"""),"")</f>
        <v/>
      </c>
      <c r="R2751" s="106" t="str">
        <f>IFERROR(__xludf.DUMMYFUNCTION("""COMPUTED_VALUE"""),"")</f>
        <v/>
      </c>
      <c r="S2751" s="106" t="str">
        <f>IFERROR(__xludf.DUMMYFUNCTION("""COMPUTED_VALUE"""),"")</f>
        <v/>
      </c>
      <c r="T2751" s="139" t="str">
        <f>IFERROR(__xludf.DUMMYFUNCTION("""COMPUTED_VALUE"""),"")</f>
        <v/>
      </c>
      <c r="U2751" s="139" t="str">
        <f>IFERROR(__xludf.DUMMYFUNCTION("""COMPUTED_VALUE"""),"")</f>
        <v/>
      </c>
      <c r="V2751" s="136" t="str">
        <f>IFERROR(__xludf.DUMMYFUNCTION("""COMPUTED_VALUE"""),"")</f>
        <v/>
      </c>
      <c r="W2751" s="106" t="str">
        <f>IFERROR(__xludf.DUMMYFUNCTION("""COMPUTED_VALUE"""),"")</f>
        <v/>
      </c>
      <c r="X2751" s="143" t="str">
        <f t="shared" si="2"/>
        <v/>
      </c>
      <c r="Y2751" s="139" t="str">
        <f>IFERROR(__xludf.DUMMYFUNCTION("""COMPUTED_VALUE"""),"")</f>
        <v/>
      </c>
      <c r="Z2751" s="141" t="str">
        <f>IFERROR(__xludf.DUMMYFUNCTION("""COMPUTED_VALUE"""),"")</f>
        <v/>
      </c>
    </row>
    <row r="2752">
      <c r="D2752" s="136" t="str">
        <f t="shared" si="3"/>
        <v/>
      </c>
      <c r="E2752" s="152"/>
      <c r="F2752" s="106" t="s">
        <v>133</v>
      </c>
      <c r="G2752" s="152"/>
      <c r="H2752" s="106" t="s">
        <v>133</v>
      </c>
      <c r="J2752" s="139" t="s">
        <v>133</v>
      </c>
      <c r="K2752" s="136" t="s">
        <v>133</v>
      </c>
      <c r="L2752" s="153"/>
      <c r="M2752" s="136" t="str">
        <f t="shared" si="1"/>
        <v/>
      </c>
      <c r="O2752" s="141" t="s">
        <v>133</v>
      </c>
      <c r="P2752" s="136" t="str">
        <f>IFERROR(__xludf.DUMMYFUNCTION("""COMPUTED_VALUE"""),"")</f>
        <v/>
      </c>
      <c r="Q2752" s="136" t="str">
        <f>IFERROR(__xludf.DUMMYFUNCTION("""COMPUTED_VALUE"""),"")</f>
        <v/>
      </c>
      <c r="R2752" s="106" t="str">
        <f>IFERROR(__xludf.DUMMYFUNCTION("""COMPUTED_VALUE"""),"")</f>
        <v/>
      </c>
      <c r="S2752" s="106" t="str">
        <f>IFERROR(__xludf.DUMMYFUNCTION("""COMPUTED_VALUE"""),"")</f>
        <v/>
      </c>
      <c r="T2752" s="139" t="str">
        <f>IFERROR(__xludf.DUMMYFUNCTION("""COMPUTED_VALUE"""),"")</f>
        <v/>
      </c>
      <c r="U2752" s="139" t="str">
        <f>IFERROR(__xludf.DUMMYFUNCTION("""COMPUTED_VALUE"""),"")</f>
        <v/>
      </c>
      <c r="V2752" s="136" t="str">
        <f>IFERROR(__xludf.DUMMYFUNCTION("""COMPUTED_VALUE"""),"")</f>
        <v/>
      </c>
      <c r="W2752" s="106" t="str">
        <f>IFERROR(__xludf.DUMMYFUNCTION("""COMPUTED_VALUE"""),"")</f>
        <v/>
      </c>
      <c r="X2752" s="143" t="str">
        <f t="shared" si="2"/>
        <v/>
      </c>
      <c r="Y2752" s="139" t="str">
        <f>IFERROR(__xludf.DUMMYFUNCTION("""COMPUTED_VALUE"""),"")</f>
        <v/>
      </c>
      <c r="Z2752" s="141" t="str">
        <f>IFERROR(__xludf.DUMMYFUNCTION("""COMPUTED_VALUE"""),"")</f>
        <v/>
      </c>
    </row>
    <row r="2753">
      <c r="D2753" s="136" t="str">
        <f t="shared" si="3"/>
        <v/>
      </c>
      <c r="E2753" s="152"/>
      <c r="F2753" s="106" t="s">
        <v>133</v>
      </c>
      <c r="G2753" s="152"/>
      <c r="H2753" s="106" t="s">
        <v>133</v>
      </c>
      <c r="J2753" s="139" t="s">
        <v>133</v>
      </c>
      <c r="K2753" s="136" t="s">
        <v>133</v>
      </c>
      <c r="L2753" s="153"/>
      <c r="M2753" s="136" t="str">
        <f t="shared" si="1"/>
        <v/>
      </c>
      <c r="O2753" s="141" t="s">
        <v>133</v>
      </c>
      <c r="P2753" s="136" t="str">
        <f>IFERROR(__xludf.DUMMYFUNCTION("""COMPUTED_VALUE"""),"")</f>
        <v/>
      </c>
      <c r="Q2753" s="136" t="str">
        <f>IFERROR(__xludf.DUMMYFUNCTION("""COMPUTED_VALUE"""),"")</f>
        <v/>
      </c>
      <c r="R2753" s="106" t="str">
        <f>IFERROR(__xludf.DUMMYFUNCTION("""COMPUTED_VALUE"""),"")</f>
        <v/>
      </c>
      <c r="S2753" s="106" t="str">
        <f>IFERROR(__xludf.DUMMYFUNCTION("""COMPUTED_VALUE"""),"")</f>
        <v/>
      </c>
      <c r="T2753" s="139" t="str">
        <f>IFERROR(__xludf.DUMMYFUNCTION("""COMPUTED_VALUE"""),"")</f>
        <v/>
      </c>
      <c r="U2753" s="139" t="str">
        <f>IFERROR(__xludf.DUMMYFUNCTION("""COMPUTED_VALUE"""),"")</f>
        <v/>
      </c>
      <c r="V2753" s="136" t="str">
        <f>IFERROR(__xludf.DUMMYFUNCTION("""COMPUTED_VALUE"""),"")</f>
        <v/>
      </c>
      <c r="W2753" s="106" t="str">
        <f>IFERROR(__xludf.DUMMYFUNCTION("""COMPUTED_VALUE"""),"")</f>
        <v/>
      </c>
      <c r="X2753" s="143" t="str">
        <f t="shared" si="2"/>
        <v/>
      </c>
      <c r="Y2753" s="139" t="str">
        <f>IFERROR(__xludf.DUMMYFUNCTION("""COMPUTED_VALUE"""),"")</f>
        <v/>
      </c>
      <c r="Z2753" s="141" t="str">
        <f>IFERROR(__xludf.DUMMYFUNCTION("""COMPUTED_VALUE"""),"")</f>
        <v/>
      </c>
    </row>
    <row r="2754">
      <c r="D2754" s="136" t="str">
        <f t="shared" si="3"/>
        <v/>
      </c>
      <c r="E2754" s="152"/>
      <c r="F2754" s="106" t="s">
        <v>133</v>
      </c>
      <c r="G2754" s="152"/>
      <c r="H2754" s="106" t="s">
        <v>133</v>
      </c>
      <c r="J2754" s="139" t="s">
        <v>133</v>
      </c>
      <c r="K2754" s="136" t="s">
        <v>133</v>
      </c>
      <c r="L2754" s="153"/>
      <c r="M2754" s="136" t="str">
        <f t="shared" si="1"/>
        <v/>
      </c>
      <c r="O2754" s="141" t="s">
        <v>133</v>
      </c>
      <c r="P2754" s="136" t="str">
        <f>IFERROR(__xludf.DUMMYFUNCTION("""COMPUTED_VALUE"""),"")</f>
        <v/>
      </c>
      <c r="Q2754" s="136" t="str">
        <f>IFERROR(__xludf.DUMMYFUNCTION("""COMPUTED_VALUE"""),"")</f>
        <v/>
      </c>
      <c r="R2754" s="106" t="str">
        <f>IFERROR(__xludf.DUMMYFUNCTION("""COMPUTED_VALUE"""),"")</f>
        <v/>
      </c>
      <c r="S2754" s="106" t="str">
        <f>IFERROR(__xludf.DUMMYFUNCTION("""COMPUTED_VALUE"""),"")</f>
        <v/>
      </c>
      <c r="T2754" s="139" t="str">
        <f>IFERROR(__xludf.DUMMYFUNCTION("""COMPUTED_VALUE"""),"")</f>
        <v/>
      </c>
      <c r="U2754" s="139" t="str">
        <f>IFERROR(__xludf.DUMMYFUNCTION("""COMPUTED_VALUE"""),"")</f>
        <v/>
      </c>
      <c r="V2754" s="136" t="str">
        <f>IFERROR(__xludf.DUMMYFUNCTION("""COMPUTED_VALUE"""),"")</f>
        <v/>
      </c>
      <c r="W2754" s="106" t="str">
        <f>IFERROR(__xludf.DUMMYFUNCTION("""COMPUTED_VALUE"""),"")</f>
        <v/>
      </c>
      <c r="X2754" s="143" t="str">
        <f t="shared" si="2"/>
        <v/>
      </c>
      <c r="Y2754" s="139" t="str">
        <f>IFERROR(__xludf.DUMMYFUNCTION("""COMPUTED_VALUE"""),"")</f>
        <v/>
      </c>
      <c r="Z2754" s="141" t="str">
        <f>IFERROR(__xludf.DUMMYFUNCTION("""COMPUTED_VALUE"""),"")</f>
        <v/>
      </c>
    </row>
    <row r="2755">
      <c r="D2755" s="136" t="str">
        <f t="shared" si="3"/>
        <v/>
      </c>
      <c r="E2755" s="152"/>
      <c r="F2755" s="106" t="s">
        <v>133</v>
      </c>
      <c r="G2755" s="152"/>
      <c r="H2755" s="106" t="s">
        <v>133</v>
      </c>
      <c r="J2755" s="139" t="s">
        <v>133</v>
      </c>
      <c r="K2755" s="136" t="s">
        <v>133</v>
      </c>
      <c r="L2755" s="153"/>
      <c r="M2755" s="136" t="str">
        <f t="shared" si="1"/>
        <v/>
      </c>
      <c r="O2755" s="141" t="s">
        <v>133</v>
      </c>
      <c r="P2755" s="136" t="str">
        <f>IFERROR(__xludf.DUMMYFUNCTION("""COMPUTED_VALUE"""),"")</f>
        <v/>
      </c>
      <c r="Q2755" s="136" t="str">
        <f>IFERROR(__xludf.DUMMYFUNCTION("""COMPUTED_VALUE"""),"")</f>
        <v/>
      </c>
      <c r="R2755" s="106" t="str">
        <f>IFERROR(__xludf.DUMMYFUNCTION("""COMPUTED_VALUE"""),"")</f>
        <v/>
      </c>
      <c r="S2755" s="106" t="str">
        <f>IFERROR(__xludf.DUMMYFUNCTION("""COMPUTED_VALUE"""),"")</f>
        <v/>
      </c>
      <c r="T2755" s="139" t="str">
        <f>IFERROR(__xludf.DUMMYFUNCTION("""COMPUTED_VALUE"""),"")</f>
        <v/>
      </c>
      <c r="U2755" s="139" t="str">
        <f>IFERROR(__xludf.DUMMYFUNCTION("""COMPUTED_VALUE"""),"")</f>
        <v/>
      </c>
      <c r="V2755" s="136" t="str">
        <f>IFERROR(__xludf.DUMMYFUNCTION("""COMPUTED_VALUE"""),"")</f>
        <v/>
      </c>
      <c r="W2755" s="106" t="str">
        <f>IFERROR(__xludf.DUMMYFUNCTION("""COMPUTED_VALUE"""),"")</f>
        <v/>
      </c>
      <c r="X2755" s="143" t="str">
        <f t="shared" si="2"/>
        <v/>
      </c>
      <c r="Y2755" s="139" t="str">
        <f>IFERROR(__xludf.DUMMYFUNCTION("""COMPUTED_VALUE"""),"")</f>
        <v/>
      </c>
      <c r="Z2755" s="141" t="str">
        <f>IFERROR(__xludf.DUMMYFUNCTION("""COMPUTED_VALUE"""),"")</f>
        <v/>
      </c>
    </row>
    <row r="2756">
      <c r="D2756" s="136" t="str">
        <f t="shared" si="3"/>
        <v/>
      </c>
      <c r="E2756" s="152"/>
      <c r="F2756" s="106" t="s">
        <v>133</v>
      </c>
      <c r="G2756" s="152"/>
      <c r="H2756" s="106" t="s">
        <v>133</v>
      </c>
      <c r="J2756" s="139" t="s">
        <v>133</v>
      </c>
      <c r="K2756" s="136" t="s">
        <v>133</v>
      </c>
      <c r="L2756" s="153"/>
      <c r="M2756" s="136" t="str">
        <f t="shared" si="1"/>
        <v/>
      </c>
      <c r="O2756" s="141" t="s">
        <v>133</v>
      </c>
      <c r="P2756" s="136" t="str">
        <f>IFERROR(__xludf.DUMMYFUNCTION("""COMPUTED_VALUE"""),"")</f>
        <v/>
      </c>
      <c r="Q2756" s="136" t="str">
        <f>IFERROR(__xludf.DUMMYFUNCTION("""COMPUTED_VALUE"""),"")</f>
        <v/>
      </c>
      <c r="R2756" s="106" t="str">
        <f>IFERROR(__xludf.DUMMYFUNCTION("""COMPUTED_VALUE"""),"")</f>
        <v/>
      </c>
      <c r="S2756" s="106" t="str">
        <f>IFERROR(__xludf.DUMMYFUNCTION("""COMPUTED_VALUE"""),"")</f>
        <v/>
      </c>
      <c r="T2756" s="139" t="str">
        <f>IFERROR(__xludf.DUMMYFUNCTION("""COMPUTED_VALUE"""),"")</f>
        <v/>
      </c>
      <c r="U2756" s="139" t="str">
        <f>IFERROR(__xludf.DUMMYFUNCTION("""COMPUTED_VALUE"""),"")</f>
        <v/>
      </c>
      <c r="V2756" s="136" t="str">
        <f>IFERROR(__xludf.DUMMYFUNCTION("""COMPUTED_VALUE"""),"")</f>
        <v/>
      </c>
      <c r="W2756" s="106" t="str">
        <f>IFERROR(__xludf.DUMMYFUNCTION("""COMPUTED_VALUE"""),"")</f>
        <v/>
      </c>
      <c r="X2756" s="143" t="str">
        <f t="shared" si="2"/>
        <v/>
      </c>
      <c r="Y2756" s="139" t="str">
        <f>IFERROR(__xludf.DUMMYFUNCTION("""COMPUTED_VALUE"""),"")</f>
        <v/>
      </c>
      <c r="Z2756" s="141" t="str">
        <f>IFERROR(__xludf.DUMMYFUNCTION("""COMPUTED_VALUE"""),"")</f>
        <v/>
      </c>
    </row>
    <row r="2757">
      <c r="D2757" s="136" t="str">
        <f t="shared" si="3"/>
        <v/>
      </c>
      <c r="E2757" s="152"/>
      <c r="F2757" s="106" t="s">
        <v>133</v>
      </c>
      <c r="G2757" s="152"/>
      <c r="H2757" s="106" t="s">
        <v>133</v>
      </c>
      <c r="J2757" s="139" t="s">
        <v>133</v>
      </c>
      <c r="K2757" s="136" t="s">
        <v>133</v>
      </c>
      <c r="L2757" s="153"/>
      <c r="M2757" s="136" t="str">
        <f t="shared" si="1"/>
        <v/>
      </c>
      <c r="O2757" s="141" t="s">
        <v>133</v>
      </c>
      <c r="P2757" s="136" t="str">
        <f>IFERROR(__xludf.DUMMYFUNCTION("""COMPUTED_VALUE"""),"")</f>
        <v/>
      </c>
      <c r="Q2757" s="136" t="str">
        <f>IFERROR(__xludf.DUMMYFUNCTION("""COMPUTED_VALUE"""),"")</f>
        <v/>
      </c>
      <c r="R2757" s="106" t="str">
        <f>IFERROR(__xludf.DUMMYFUNCTION("""COMPUTED_VALUE"""),"")</f>
        <v/>
      </c>
      <c r="S2757" s="106" t="str">
        <f>IFERROR(__xludf.DUMMYFUNCTION("""COMPUTED_VALUE"""),"")</f>
        <v/>
      </c>
      <c r="T2757" s="139" t="str">
        <f>IFERROR(__xludf.DUMMYFUNCTION("""COMPUTED_VALUE"""),"")</f>
        <v/>
      </c>
      <c r="U2757" s="139" t="str">
        <f>IFERROR(__xludf.DUMMYFUNCTION("""COMPUTED_VALUE"""),"")</f>
        <v/>
      </c>
      <c r="V2757" s="136" t="str">
        <f>IFERROR(__xludf.DUMMYFUNCTION("""COMPUTED_VALUE"""),"")</f>
        <v/>
      </c>
      <c r="W2757" s="106" t="str">
        <f>IFERROR(__xludf.DUMMYFUNCTION("""COMPUTED_VALUE"""),"")</f>
        <v/>
      </c>
      <c r="X2757" s="143" t="str">
        <f t="shared" si="2"/>
        <v/>
      </c>
      <c r="Y2757" s="139" t="str">
        <f>IFERROR(__xludf.DUMMYFUNCTION("""COMPUTED_VALUE"""),"")</f>
        <v/>
      </c>
      <c r="Z2757" s="141" t="str">
        <f>IFERROR(__xludf.DUMMYFUNCTION("""COMPUTED_VALUE"""),"")</f>
        <v/>
      </c>
    </row>
    <row r="2758">
      <c r="D2758" s="136" t="str">
        <f t="shared" si="3"/>
        <v/>
      </c>
      <c r="E2758" s="152"/>
      <c r="F2758" s="106" t="s">
        <v>133</v>
      </c>
      <c r="G2758" s="152"/>
      <c r="H2758" s="106" t="s">
        <v>133</v>
      </c>
      <c r="J2758" s="139" t="s">
        <v>133</v>
      </c>
      <c r="K2758" s="136" t="s">
        <v>133</v>
      </c>
      <c r="L2758" s="153"/>
      <c r="M2758" s="136" t="str">
        <f t="shared" si="1"/>
        <v/>
      </c>
      <c r="O2758" s="141" t="s">
        <v>133</v>
      </c>
      <c r="P2758" s="136" t="str">
        <f>IFERROR(__xludf.DUMMYFUNCTION("""COMPUTED_VALUE"""),"")</f>
        <v/>
      </c>
      <c r="Q2758" s="136" t="str">
        <f>IFERROR(__xludf.DUMMYFUNCTION("""COMPUTED_VALUE"""),"")</f>
        <v/>
      </c>
      <c r="R2758" s="106" t="str">
        <f>IFERROR(__xludf.DUMMYFUNCTION("""COMPUTED_VALUE"""),"")</f>
        <v/>
      </c>
      <c r="S2758" s="106" t="str">
        <f>IFERROR(__xludf.DUMMYFUNCTION("""COMPUTED_VALUE"""),"")</f>
        <v/>
      </c>
      <c r="T2758" s="139" t="str">
        <f>IFERROR(__xludf.DUMMYFUNCTION("""COMPUTED_VALUE"""),"")</f>
        <v/>
      </c>
      <c r="U2758" s="139" t="str">
        <f>IFERROR(__xludf.DUMMYFUNCTION("""COMPUTED_VALUE"""),"")</f>
        <v/>
      </c>
      <c r="V2758" s="136" t="str">
        <f>IFERROR(__xludf.DUMMYFUNCTION("""COMPUTED_VALUE"""),"")</f>
        <v/>
      </c>
      <c r="W2758" s="106" t="str">
        <f>IFERROR(__xludf.DUMMYFUNCTION("""COMPUTED_VALUE"""),"")</f>
        <v/>
      </c>
      <c r="X2758" s="143" t="str">
        <f t="shared" si="2"/>
        <v/>
      </c>
      <c r="Y2758" s="139" t="str">
        <f>IFERROR(__xludf.DUMMYFUNCTION("""COMPUTED_VALUE"""),"")</f>
        <v/>
      </c>
      <c r="Z2758" s="141" t="str">
        <f>IFERROR(__xludf.DUMMYFUNCTION("""COMPUTED_VALUE"""),"")</f>
        <v/>
      </c>
    </row>
    <row r="2759">
      <c r="D2759" s="136" t="str">
        <f t="shared" si="3"/>
        <v/>
      </c>
      <c r="E2759" s="152"/>
      <c r="F2759" s="106" t="s">
        <v>133</v>
      </c>
      <c r="G2759" s="152"/>
      <c r="H2759" s="106" t="s">
        <v>133</v>
      </c>
      <c r="J2759" s="139" t="s">
        <v>133</v>
      </c>
      <c r="K2759" s="136" t="s">
        <v>133</v>
      </c>
      <c r="L2759" s="153"/>
      <c r="M2759" s="136" t="str">
        <f t="shared" si="1"/>
        <v/>
      </c>
      <c r="O2759" s="141" t="s">
        <v>133</v>
      </c>
      <c r="P2759" s="136" t="str">
        <f>IFERROR(__xludf.DUMMYFUNCTION("""COMPUTED_VALUE"""),"")</f>
        <v/>
      </c>
      <c r="Q2759" s="136" t="str">
        <f>IFERROR(__xludf.DUMMYFUNCTION("""COMPUTED_VALUE"""),"")</f>
        <v/>
      </c>
      <c r="R2759" s="106" t="str">
        <f>IFERROR(__xludf.DUMMYFUNCTION("""COMPUTED_VALUE"""),"")</f>
        <v/>
      </c>
      <c r="S2759" s="106" t="str">
        <f>IFERROR(__xludf.DUMMYFUNCTION("""COMPUTED_VALUE"""),"")</f>
        <v/>
      </c>
      <c r="T2759" s="139" t="str">
        <f>IFERROR(__xludf.DUMMYFUNCTION("""COMPUTED_VALUE"""),"")</f>
        <v/>
      </c>
      <c r="U2759" s="139" t="str">
        <f>IFERROR(__xludf.DUMMYFUNCTION("""COMPUTED_VALUE"""),"")</f>
        <v/>
      </c>
      <c r="V2759" s="136" t="str">
        <f>IFERROR(__xludf.DUMMYFUNCTION("""COMPUTED_VALUE"""),"")</f>
        <v/>
      </c>
      <c r="W2759" s="106" t="str">
        <f>IFERROR(__xludf.DUMMYFUNCTION("""COMPUTED_VALUE"""),"")</f>
        <v/>
      </c>
      <c r="X2759" s="143" t="str">
        <f t="shared" si="2"/>
        <v/>
      </c>
      <c r="Y2759" s="139" t="str">
        <f>IFERROR(__xludf.DUMMYFUNCTION("""COMPUTED_VALUE"""),"")</f>
        <v/>
      </c>
      <c r="Z2759" s="141" t="str">
        <f>IFERROR(__xludf.DUMMYFUNCTION("""COMPUTED_VALUE"""),"")</f>
        <v/>
      </c>
    </row>
    <row r="2760">
      <c r="D2760" s="136" t="str">
        <f t="shared" si="3"/>
        <v/>
      </c>
      <c r="E2760" s="152"/>
      <c r="F2760" s="106" t="s">
        <v>133</v>
      </c>
      <c r="G2760" s="152"/>
      <c r="H2760" s="106" t="s">
        <v>133</v>
      </c>
      <c r="J2760" s="139" t="s">
        <v>133</v>
      </c>
      <c r="K2760" s="136" t="s">
        <v>133</v>
      </c>
      <c r="L2760" s="153"/>
      <c r="M2760" s="136" t="str">
        <f t="shared" si="1"/>
        <v/>
      </c>
      <c r="O2760" s="141" t="s">
        <v>133</v>
      </c>
      <c r="P2760" s="136" t="str">
        <f>IFERROR(__xludf.DUMMYFUNCTION("""COMPUTED_VALUE"""),"")</f>
        <v/>
      </c>
      <c r="Q2760" s="136" t="str">
        <f>IFERROR(__xludf.DUMMYFUNCTION("""COMPUTED_VALUE"""),"")</f>
        <v/>
      </c>
      <c r="R2760" s="106" t="str">
        <f>IFERROR(__xludf.DUMMYFUNCTION("""COMPUTED_VALUE"""),"")</f>
        <v/>
      </c>
      <c r="S2760" s="106" t="str">
        <f>IFERROR(__xludf.DUMMYFUNCTION("""COMPUTED_VALUE"""),"")</f>
        <v/>
      </c>
      <c r="T2760" s="139" t="str">
        <f>IFERROR(__xludf.DUMMYFUNCTION("""COMPUTED_VALUE"""),"")</f>
        <v/>
      </c>
      <c r="U2760" s="139" t="str">
        <f>IFERROR(__xludf.DUMMYFUNCTION("""COMPUTED_VALUE"""),"")</f>
        <v/>
      </c>
      <c r="V2760" s="136" t="str">
        <f>IFERROR(__xludf.DUMMYFUNCTION("""COMPUTED_VALUE"""),"")</f>
        <v/>
      </c>
      <c r="W2760" s="106" t="str">
        <f>IFERROR(__xludf.DUMMYFUNCTION("""COMPUTED_VALUE"""),"")</f>
        <v/>
      </c>
      <c r="X2760" s="143" t="str">
        <f t="shared" si="2"/>
        <v/>
      </c>
      <c r="Y2760" s="139" t="str">
        <f>IFERROR(__xludf.DUMMYFUNCTION("""COMPUTED_VALUE"""),"")</f>
        <v/>
      </c>
      <c r="Z2760" s="141" t="str">
        <f>IFERROR(__xludf.DUMMYFUNCTION("""COMPUTED_VALUE"""),"")</f>
        <v/>
      </c>
    </row>
    <row r="2761">
      <c r="D2761" s="136" t="str">
        <f t="shared" si="3"/>
        <v/>
      </c>
      <c r="E2761" s="152"/>
      <c r="F2761" s="106" t="s">
        <v>133</v>
      </c>
      <c r="G2761" s="152"/>
      <c r="H2761" s="106" t="s">
        <v>133</v>
      </c>
      <c r="J2761" s="139" t="s">
        <v>133</v>
      </c>
      <c r="K2761" s="136" t="s">
        <v>133</v>
      </c>
      <c r="L2761" s="153"/>
      <c r="M2761" s="136" t="str">
        <f t="shared" si="1"/>
        <v/>
      </c>
      <c r="O2761" s="141" t="s">
        <v>133</v>
      </c>
      <c r="P2761" s="136" t="str">
        <f>IFERROR(__xludf.DUMMYFUNCTION("""COMPUTED_VALUE"""),"")</f>
        <v/>
      </c>
      <c r="Q2761" s="136" t="str">
        <f>IFERROR(__xludf.DUMMYFUNCTION("""COMPUTED_VALUE"""),"")</f>
        <v/>
      </c>
      <c r="R2761" s="106" t="str">
        <f>IFERROR(__xludf.DUMMYFUNCTION("""COMPUTED_VALUE"""),"")</f>
        <v/>
      </c>
      <c r="S2761" s="106" t="str">
        <f>IFERROR(__xludf.DUMMYFUNCTION("""COMPUTED_VALUE"""),"")</f>
        <v/>
      </c>
      <c r="T2761" s="139" t="str">
        <f>IFERROR(__xludf.DUMMYFUNCTION("""COMPUTED_VALUE"""),"")</f>
        <v/>
      </c>
      <c r="U2761" s="139" t="str">
        <f>IFERROR(__xludf.DUMMYFUNCTION("""COMPUTED_VALUE"""),"")</f>
        <v/>
      </c>
      <c r="V2761" s="136" t="str">
        <f>IFERROR(__xludf.DUMMYFUNCTION("""COMPUTED_VALUE"""),"")</f>
        <v/>
      </c>
      <c r="W2761" s="106" t="str">
        <f>IFERROR(__xludf.DUMMYFUNCTION("""COMPUTED_VALUE"""),"")</f>
        <v/>
      </c>
      <c r="X2761" s="143" t="str">
        <f t="shared" si="2"/>
        <v/>
      </c>
      <c r="Y2761" s="139" t="str">
        <f>IFERROR(__xludf.DUMMYFUNCTION("""COMPUTED_VALUE"""),"")</f>
        <v/>
      </c>
      <c r="Z2761" s="141" t="str">
        <f>IFERROR(__xludf.DUMMYFUNCTION("""COMPUTED_VALUE"""),"")</f>
        <v/>
      </c>
    </row>
    <row r="2762">
      <c r="D2762" s="136" t="str">
        <f t="shared" si="3"/>
        <v/>
      </c>
      <c r="E2762" s="152"/>
      <c r="F2762" s="106" t="s">
        <v>133</v>
      </c>
      <c r="G2762" s="152"/>
      <c r="H2762" s="106" t="s">
        <v>133</v>
      </c>
      <c r="J2762" s="139" t="s">
        <v>133</v>
      </c>
      <c r="K2762" s="136" t="s">
        <v>133</v>
      </c>
      <c r="L2762" s="153"/>
      <c r="M2762" s="136" t="str">
        <f t="shared" si="1"/>
        <v/>
      </c>
      <c r="O2762" s="141" t="s">
        <v>133</v>
      </c>
      <c r="P2762" s="136" t="str">
        <f>IFERROR(__xludf.DUMMYFUNCTION("""COMPUTED_VALUE"""),"")</f>
        <v/>
      </c>
      <c r="Q2762" s="136" t="str">
        <f>IFERROR(__xludf.DUMMYFUNCTION("""COMPUTED_VALUE"""),"")</f>
        <v/>
      </c>
      <c r="R2762" s="106" t="str">
        <f>IFERROR(__xludf.DUMMYFUNCTION("""COMPUTED_VALUE"""),"")</f>
        <v/>
      </c>
      <c r="S2762" s="106" t="str">
        <f>IFERROR(__xludf.DUMMYFUNCTION("""COMPUTED_VALUE"""),"")</f>
        <v/>
      </c>
      <c r="T2762" s="139" t="str">
        <f>IFERROR(__xludf.DUMMYFUNCTION("""COMPUTED_VALUE"""),"")</f>
        <v/>
      </c>
      <c r="U2762" s="139" t="str">
        <f>IFERROR(__xludf.DUMMYFUNCTION("""COMPUTED_VALUE"""),"")</f>
        <v/>
      </c>
      <c r="V2762" s="136" t="str">
        <f>IFERROR(__xludf.DUMMYFUNCTION("""COMPUTED_VALUE"""),"")</f>
        <v/>
      </c>
      <c r="W2762" s="106" t="str">
        <f>IFERROR(__xludf.DUMMYFUNCTION("""COMPUTED_VALUE"""),"")</f>
        <v/>
      </c>
      <c r="X2762" s="143" t="str">
        <f t="shared" si="2"/>
        <v/>
      </c>
      <c r="Y2762" s="139" t="str">
        <f>IFERROR(__xludf.DUMMYFUNCTION("""COMPUTED_VALUE"""),"")</f>
        <v/>
      </c>
      <c r="Z2762" s="141" t="str">
        <f>IFERROR(__xludf.DUMMYFUNCTION("""COMPUTED_VALUE"""),"")</f>
        <v/>
      </c>
    </row>
    <row r="2763">
      <c r="D2763" s="136" t="str">
        <f t="shared" si="3"/>
        <v/>
      </c>
      <c r="E2763" s="152"/>
      <c r="F2763" s="106" t="s">
        <v>133</v>
      </c>
      <c r="G2763" s="152"/>
      <c r="H2763" s="106" t="s">
        <v>133</v>
      </c>
      <c r="J2763" s="139" t="s">
        <v>133</v>
      </c>
      <c r="K2763" s="136" t="s">
        <v>133</v>
      </c>
      <c r="L2763" s="153"/>
      <c r="M2763" s="136" t="str">
        <f t="shared" si="1"/>
        <v/>
      </c>
      <c r="O2763" s="141" t="s">
        <v>133</v>
      </c>
      <c r="P2763" s="136" t="str">
        <f>IFERROR(__xludf.DUMMYFUNCTION("""COMPUTED_VALUE"""),"")</f>
        <v/>
      </c>
      <c r="Q2763" s="136" t="str">
        <f>IFERROR(__xludf.DUMMYFUNCTION("""COMPUTED_VALUE"""),"")</f>
        <v/>
      </c>
      <c r="R2763" s="106" t="str">
        <f>IFERROR(__xludf.DUMMYFUNCTION("""COMPUTED_VALUE"""),"")</f>
        <v/>
      </c>
      <c r="S2763" s="106" t="str">
        <f>IFERROR(__xludf.DUMMYFUNCTION("""COMPUTED_VALUE"""),"")</f>
        <v/>
      </c>
      <c r="T2763" s="139" t="str">
        <f>IFERROR(__xludf.DUMMYFUNCTION("""COMPUTED_VALUE"""),"")</f>
        <v/>
      </c>
      <c r="U2763" s="139" t="str">
        <f>IFERROR(__xludf.DUMMYFUNCTION("""COMPUTED_VALUE"""),"")</f>
        <v/>
      </c>
      <c r="V2763" s="136" t="str">
        <f>IFERROR(__xludf.DUMMYFUNCTION("""COMPUTED_VALUE"""),"")</f>
        <v/>
      </c>
      <c r="W2763" s="106" t="str">
        <f>IFERROR(__xludf.DUMMYFUNCTION("""COMPUTED_VALUE"""),"")</f>
        <v/>
      </c>
      <c r="X2763" s="143" t="str">
        <f t="shared" si="2"/>
        <v/>
      </c>
      <c r="Y2763" s="139" t="str">
        <f>IFERROR(__xludf.DUMMYFUNCTION("""COMPUTED_VALUE"""),"")</f>
        <v/>
      </c>
      <c r="Z2763" s="141" t="str">
        <f>IFERROR(__xludf.DUMMYFUNCTION("""COMPUTED_VALUE"""),"")</f>
        <v/>
      </c>
    </row>
    <row r="2764">
      <c r="D2764" s="136" t="str">
        <f t="shared" si="3"/>
        <v/>
      </c>
      <c r="E2764" s="152"/>
      <c r="F2764" s="106" t="s">
        <v>133</v>
      </c>
      <c r="G2764" s="152"/>
      <c r="H2764" s="106" t="s">
        <v>133</v>
      </c>
      <c r="J2764" s="139" t="s">
        <v>133</v>
      </c>
      <c r="K2764" s="136" t="s">
        <v>133</v>
      </c>
      <c r="L2764" s="153"/>
      <c r="M2764" s="136" t="str">
        <f t="shared" si="1"/>
        <v/>
      </c>
      <c r="O2764" s="141" t="s">
        <v>133</v>
      </c>
      <c r="P2764" s="136" t="str">
        <f>IFERROR(__xludf.DUMMYFUNCTION("""COMPUTED_VALUE"""),"")</f>
        <v/>
      </c>
      <c r="Q2764" s="136" t="str">
        <f>IFERROR(__xludf.DUMMYFUNCTION("""COMPUTED_VALUE"""),"")</f>
        <v/>
      </c>
      <c r="R2764" s="106" t="str">
        <f>IFERROR(__xludf.DUMMYFUNCTION("""COMPUTED_VALUE"""),"")</f>
        <v/>
      </c>
      <c r="S2764" s="106" t="str">
        <f>IFERROR(__xludf.DUMMYFUNCTION("""COMPUTED_VALUE"""),"")</f>
        <v/>
      </c>
      <c r="T2764" s="139" t="str">
        <f>IFERROR(__xludf.DUMMYFUNCTION("""COMPUTED_VALUE"""),"")</f>
        <v/>
      </c>
      <c r="U2764" s="139" t="str">
        <f>IFERROR(__xludf.DUMMYFUNCTION("""COMPUTED_VALUE"""),"")</f>
        <v/>
      </c>
      <c r="V2764" s="136" t="str">
        <f>IFERROR(__xludf.DUMMYFUNCTION("""COMPUTED_VALUE"""),"")</f>
        <v/>
      </c>
      <c r="W2764" s="106" t="str">
        <f>IFERROR(__xludf.DUMMYFUNCTION("""COMPUTED_VALUE"""),"")</f>
        <v/>
      </c>
      <c r="X2764" s="143" t="str">
        <f t="shared" si="2"/>
        <v/>
      </c>
      <c r="Y2764" s="139" t="str">
        <f>IFERROR(__xludf.DUMMYFUNCTION("""COMPUTED_VALUE"""),"")</f>
        <v/>
      </c>
      <c r="Z2764" s="141" t="str">
        <f>IFERROR(__xludf.DUMMYFUNCTION("""COMPUTED_VALUE"""),"")</f>
        <v/>
      </c>
    </row>
    <row r="2765">
      <c r="D2765" s="136" t="str">
        <f t="shared" si="3"/>
        <v/>
      </c>
      <c r="E2765" s="152"/>
      <c r="F2765" s="106" t="s">
        <v>133</v>
      </c>
      <c r="G2765" s="152"/>
      <c r="H2765" s="106" t="s">
        <v>133</v>
      </c>
      <c r="J2765" s="139" t="s">
        <v>133</v>
      </c>
      <c r="K2765" s="136" t="s">
        <v>133</v>
      </c>
      <c r="L2765" s="153"/>
      <c r="M2765" s="136" t="str">
        <f t="shared" si="1"/>
        <v/>
      </c>
      <c r="O2765" s="141" t="s">
        <v>133</v>
      </c>
      <c r="P2765" s="136" t="str">
        <f>IFERROR(__xludf.DUMMYFUNCTION("""COMPUTED_VALUE"""),"")</f>
        <v/>
      </c>
      <c r="Q2765" s="136" t="str">
        <f>IFERROR(__xludf.DUMMYFUNCTION("""COMPUTED_VALUE"""),"")</f>
        <v/>
      </c>
      <c r="R2765" s="106" t="str">
        <f>IFERROR(__xludf.DUMMYFUNCTION("""COMPUTED_VALUE"""),"")</f>
        <v/>
      </c>
      <c r="S2765" s="106" t="str">
        <f>IFERROR(__xludf.DUMMYFUNCTION("""COMPUTED_VALUE"""),"")</f>
        <v/>
      </c>
      <c r="T2765" s="139" t="str">
        <f>IFERROR(__xludf.DUMMYFUNCTION("""COMPUTED_VALUE"""),"")</f>
        <v/>
      </c>
      <c r="U2765" s="139" t="str">
        <f>IFERROR(__xludf.DUMMYFUNCTION("""COMPUTED_VALUE"""),"")</f>
        <v/>
      </c>
      <c r="V2765" s="136" t="str">
        <f>IFERROR(__xludf.DUMMYFUNCTION("""COMPUTED_VALUE"""),"")</f>
        <v/>
      </c>
      <c r="W2765" s="106" t="str">
        <f>IFERROR(__xludf.DUMMYFUNCTION("""COMPUTED_VALUE"""),"")</f>
        <v/>
      </c>
      <c r="X2765" s="143" t="str">
        <f t="shared" si="2"/>
        <v/>
      </c>
      <c r="Y2765" s="139" t="str">
        <f>IFERROR(__xludf.DUMMYFUNCTION("""COMPUTED_VALUE"""),"")</f>
        <v/>
      </c>
      <c r="Z2765" s="141" t="str">
        <f>IFERROR(__xludf.DUMMYFUNCTION("""COMPUTED_VALUE"""),"")</f>
        <v/>
      </c>
    </row>
    <row r="2766">
      <c r="D2766" s="136" t="str">
        <f t="shared" si="3"/>
        <v/>
      </c>
      <c r="E2766" s="152"/>
      <c r="F2766" s="106" t="s">
        <v>133</v>
      </c>
      <c r="G2766" s="152"/>
      <c r="H2766" s="106" t="s">
        <v>133</v>
      </c>
      <c r="J2766" s="139" t="s">
        <v>133</v>
      </c>
      <c r="K2766" s="136" t="s">
        <v>133</v>
      </c>
      <c r="L2766" s="153"/>
      <c r="M2766" s="136" t="str">
        <f t="shared" si="1"/>
        <v/>
      </c>
      <c r="O2766" s="141" t="s">
        <v>133</v>
      </c>
      <c r="P2766" s="136" t="str">
        <f>IFERROR(__xludf.DUMMYFUNCTION("""COMPUTED_VALUE"""),"")</f>
        <v/>
      </c>
      <c r="Q2766" s="136" t="str">
        <f>IFERROR(__xludf.DUMMYFUNCTION("""COMPUTED_VALUE"""),"")</f>
        <v/>
      </c>
      <c r="R2766" s="106" t="str">
        <f>IFERROR(__xludf.DUMMYFUNCTION("""COMPUTED_VALUE"""),"")</f>
        <v/>
      </c>
      <c r="S2766" s="106" t="str">
        <f>IFERROR(__xludf.DUMMYFUNCTION("""COMPUTED_VALUE"""),"")</f>
        <v/>
      </c>
      <c r="T2766" s="139" t="str">
        <f>IFERROR(__xludf.DUMMYFUNCTION("""COMPUTED_VALUE"""),"")</f>
        <v/>
      </c>
      <c r="U2766" s="139" t="str">
        <f>IFERROR(__xludf.DUMMYFUNCTION("""COMPUTED_VALUE"""),"")</f>
        <v/>
      </c>
      <c r="V2766" s="136" t="str">
        <f>IFERROR(__xludf.DUMMYFUNCTION("""COMPUTED_VALUE"""),"")</f>
        <v/>
      </c>
      <c r="W2766" s="106" t="str">
        <f>IFERROR(__xludf.DUMMYFUNCTION("""COMPUTED_VALUE"""),"")</f>
        <v/>
      </c>
      <c r="X2766" s="143" t="str">
        <f t="shared" si="2"/>
        <v/>
      </c>
      <c r="Y2766" s="139" t="str">
        <f>IFERROR(__xludf.DUMMYFUNCTION("""COMPUTED_VALUE"""),"")</f>
        <v/>
      </c>
      <c r="Z2766" s="141" t="str">
        <f>IFERROR(__xludf.DUMMYFUNCTION("""COMPUTED_VALUE"""),"")</f>
        <v/>
      </c>
    </row>
    <row r="2767">
      <c r="D2767" s="136" t="str">
        <f t="shared" si="3"/>
        <v/>
      </c>
      <c r="E2767" s="152"/>
      <c r="F2767" s="106" t="s">
        <v>133</v>
      </c>
      <c r="G2767" s="152"/>
      <c r="H2767" s="106" t="s">
        <v>133</v>
      </c>
      <c r="J2767" s="139" t="s">
        <v>133</v>
      </c>
      <c r="K2767" s="136" t="s">
        <v>133</v>
      </c>
      <c r="L2767" s="153"/>
      <c r="M2767" s="136" t="str">
        <f t="shared" si="1"/>
        <v/>
      </c>
      <c r="O2767" s="141" t="s">
        <v>133</v>
      </c>
      <c r="P2767" s="136" t="str">
        <f>IFERROR(__xludf.DUMMYFUNCTION("""COMPUTED_VALUE"""),"")</f>
        <v/>
      </c>
      <c r="Q2767" s="136" t="str">
        <f>IFERROR(__xludf.DUMMYFUNCTION("""COMPUTED_VALUE"""),"")</f>
        <v/>
      </c>
      <c r="R2767" s="106" t="str">
        <f>IFERROR(__xludf.DUMMYFUNCTION("""COMPUTED_VALUE"""),"")</f>
        <v/>
      </c>
      <c r="S2767" s="106" t="str">
        <f>IFERROR(__xludf.DUMMYFUNCTION("""COMPUTED_VALUE"""),"")</f>
        <v/>
      </c>
      <c r="T2767" s="139" t="str">
        <f>IFERROR(__xludf.DUMMYFUNCTION("""COMPUTED_VALUE"""),"")</f>
        <v/>
      </c>
      <c r="U2767" s="139" t="str">
        <f>IFERROR(__xludf.DUMMYFUNCTION("""COMPUTED_VALUE"""),"")</f>
        <v/>
      </c>
      <c r="V2767" s="136" t="str">
        <f>IFERROR(__xludf.DUMMYFUNCTION("""COMPUTED_VALUE"""),"")</f>
        <v/>
      </c>
      <c r="W2767" s="106" t="str">
        <f>IFERROR(__xludf.DUMMYFUNCTION("""COMPUTED_VALUE"""),"")</f>
        <v/>
      </c>
      <c r="X2767" s="143" t="str">
        <f t="shared" si="2"/>
        <v/>
      </c>
      <c r="Y2767" s="139" t="str">
        <f>IFERROR(__xludf.DUMMYFUNCTION("""COMPUTED_VALUE"""),"")</f>
        <v/>
      </c>
      <c r="Z2767" s="141" t="str">
        <f>IFERROR(__xludf.DUMMYFUNCTION("""COMPUTED_VALUE"""),"")</f>
        <v/>
      </c>
    </row>
    <row r="2768">
      <c r="D2768" s="136" t="str">
        <f t="shared" si="3"/>
        <v/>
      </c>
      <c r="E2768" s="152"/>
      <c r="F2768" s="106" t="s">
        <v>133</v>
      </c>
      <c r="G2768" s="152"/>
      <c r="H2768" s="106" t="s">
        <v>133</v>
      </c>
      <c r="J2768" s="139" t="s">
        <v>133</v>
      </c>
      <c r="K2768" s="136" t="s">
        <v>133</v>
      </c>
      <c r="L2768" s="153"/>
      <c r="M2768" s="136" t="str">
        <f t="shared" si="1"/>
        <v/>
      </c>
      <c r="O2768" s="141" t="s">
        <v>133</v>
      </c>
      <c r="P2768" s="136" t="str">
        <f>IFERROR(__xludf.DUMMYFUNCTION("""COMPUTED_VALUE"""),"")</f>
        <v/>
      </c>
      <c r="Q2768" s="136" t="str">
        <f>IFERROR(__xludf.DUMMYFUNCTION("""COMPUTED_VALUE"""),"")</f>
        <v/>
      </c>
      <c r="R2768" s="106" t="str">
        <f>IFERROR(__xludf.DUMMYFUNCTION("""COMPUTED_VALUE"""),"")</f>
        <v/>
      </c>
      <c r="S2768" s="106" t="str">
        <f>IFERROR(__xludf.DUMMYFUNCTION("""COMPUTED_VALUE"""),"")</f>
        <v/>
      </c>
      <c r="T2768" s="139" t="str">
        <f>IFERROR(__xludf.DUMMYFUNCTION("""COMPUTED_VALUE"""),"")</f>
        <v/>
      </c>
      <c r="U2768" s="139" t="str">
        <f>IFERROR(__xludf.DUMMYFUNCTION("""COMPUTED_VALUE"""),"")</f>
        <v/>
      </c>
      <c r="V2768" s="136" t="str">
        <f>IFERROR(__xludf.DUMMYFUNCTION("""COMPUTED_VALUE"""),"")</f>
        <v/>
      </c>
      <c r="W2768" s="106" t="str">
        <f>IFERROR(__xludf.DUMMYFUNCTION("""COMPUTED_VALUE"""),"")</f>
        <v/>
      </c>
      <c r="X2768" s="143" t="str">
        <f t="shared" si="2"/>
        <v/>
      </c>
      <c r="Y2768" s="139" t="str">
        <f>IFERROR(__xludf.DUMMYFUNCTION("""COMPUTED_VALUE"""),"")</f>
        <v/>
      </c>
      <c r="Z2768" s="141" t="str">
        <f>IFERROR(__xludf.DUMMYFUNCTION("""COMPUTED_VALUE"""),"")</f>
        <v/>
      </c>
    </row>
    <row r="2769">
      <c r="D2769" s="136" t="str">
        <f t="shared" si="3"/>
        <v/>
      </c>
      <c r="E2769" s="152"/>
      <c r="F2769" s="106" t="s">
        <v>133</v>
      </c>
      <c r="G2769" s="152"/>
      <c r="H2769" s="106" t="s">
        <v>133</v>
      </c>
      <c r="J2769" s="139" t="s">
        <v>133</v>
      </c>
      <c r="K2769" s="136" t="s">
        <v>133</v>
      </c>
      <c r="L2769" s="153"/>
      <c r="M2769" s="136" t="str">
        <f t="shared" si="1"/>
        <v/>
      </c>
      <c r="O2769" s="141" t="s">
        <v>133</v>
      </c>
      <c r="P2769" s="136" t="str">
        <f>IFERROR(__xludf.DUMMYFUNCTION("""COMPUTED_VALUE"""),"")</f>
        <v/>
      </c>
      <c r="Q2769" s="136" t="str">
        <f>IFERROR(__xludf.DUMMYFUNCTION("""COMPUTED_VALUE"""),"")</f>
        <v/>
      </c>
      <c r="R2769" s="106" t="str">
        <f>IFERROR(__xludf.DUMMYFUNCTION("""COMPUTED_VALUE"""),"")</f>
        <v/>
      </c>
      <c r="S2769" s="106" t="str">
        <f>IFERROR(__xludf.DUMMYFUNCTION("""COMPUTED_VALUE"""),"")</f>
        <v/>
      </c>
      <c r="T2769" s="139" t="str">
        <f>IFERROR(__xludf.DUMMYFUNCTION("""COMPUTED_VALUE"""),"")</f>
        <v/>
      </c>
      <c r="U2769" s="139" t="str">
        <f>IFERROR(__xludf.DUMMYFUNCTION("""COMPUTED_VALUE"""),"")</f>
        <v/>
      </c>
      <c r="V2769" s="136" t="str">
        <f>IFERROR(__xludf.DUMMYFUNCTION("""COMPUTED_VALUE"""),"")</f>
        <v/>
      </c>
      <c r="W2769" s="106" t="str">
        <f>IFERROR(__xludf.DUMMYFUNCTION("""COMPUTED_VALUE"""),"")</f>
        <v/>
      </c>
      <c r="X2769" s="143" t="str">
        <f t="shared" si="2"/>
        <v/>
      </c>
      <c r="Y2769" s="139" t="str">
        <f>IFERROR(__xludf.DUMMYFUNCTION("""COMPUTED_VALUE"""),"")</f>
        <v/>
      </c>
      <c r="Z2769" s="141" t="str">
        <f>IFERROR(__xludf.DUMMYFUNCTION("""COMPUTED_VALUE"""),"")</f>
        <v/>
      </c>
    </row>
    <row r="2770">
      <c r="D2770" s="136" t="str">
        <f t="shared" si="3"/>
        <v/>
      </c>
      <c r="E2770" s="152"/>
      <c r="F2770" s="106" t="s">
        <v>133</v>
      </c>
      <c r="G2770" s="152"/>
      <c r="H2770" s="106" t="s">
        <v>133</v>
      </c>
      <c r="J2770" s="139" t="s">
        <v>133</v>
      </c>
      <c r="K2770" s="136" t="s">
        <v>133</v>
      </c>
      <c r="L2770" s="153"/>
      <c r="M2770" s="136" t="str">
        <f t="shared" si="1"/>
        <v/>
      </c>
      <c r="O2770" s="141" t="s">
        <v>133</v>
      </c>
      <c r="P2770" s="136" t="str">
        <f>IFERROR(__xludf.DUMMYFUNCTION("""COMPUTED_VALUE"""),"")</f>
        <v/>
      </c>
      <c r="Q2770" s="136" t="str">
        <f>IFERROR(__xludf.DUMMYFUNCTION("""COMPUTED_VALUE"""),"")</f>
        <v/>
      </c>
      <c r="R2770" s="106" t="str">
        <f>IFERROR(__xludf.DUMMYFUNCTION("""COMPUTED_VALUE"""),"")</f>
        <v/>
      </c>
      <c r="S2770" s="106" t="str">
        <f>IFERROR(__xludf.DUMMYFUNCTION("""COMPUTED_VALUE"""),"")</f>
        <v/>
      </c>
      <c r="T2770" s="139" t="str">
        <f>IFERROR(__xludf.DUMMYFUNCTION("""COMPUTED_VALUE"""),"")</f>
        <v/>
      </c>
      <c r="U2770" s="139" t="str">
        <f>IFERROR(__xludf.DUMMYFUNCTION("""COMPUTED_VALUE"""),"")</f>
        <v/>
      </c>
      <c r="V2770" s="136" t="str">
        <f>IFERROR(__xludf.DUMMYFUNCTION("""COMPUTED_VALUE"""),"")</f>
        <v/>
      </c>
      <c r="W2770" s="106" t="str">
        <f>IFERROR(__xludf.DUMMYFUNCTION("""COMPUTED_VALUE"""),"")</f>
        <v/>
      </c>
      <c r="X2770" s="143" t="str">
        <f t="shared" si="2"/>
        <v/>
      </c>
      <c r="Y2770" s="139" t="str">
        <f>IFERROR(__xludf.DUMMYFUNCTION("""COMPUTED_VALUE"""),"")</f>
        <v/>
      </c>
      <c r="Z2770" s="141" t="str">
        <f>IFERROR(__xludf.DUMMYFUNCTION("""COMPUTED_VALUE"""),"")</f>
        <v/>
      </c>
    </row>
    <row r="2771">
      <c r="D2771" s="136" t="str">
        <f t="shared" si="3"/>
        <v/>
      </c>
      <c r="E2771" s="152"/>
      <c r="F2771" s="106" t="s">
        <v>133</v>
      </c>
      <c r="G2771" s="152"/>
      <c r="H2771" s="106" t="s">
        <v>133</v>
      </c>
      <c r="J2771" s="139" t="s">
        <v>133</v>
      </c>
      <c r="K2771" s="136" t="s">
        <v>133</v>
      </c>
      <c r="L2771" s="153"/>
      <c r="M2771" s="136" t="str">
        <f t="shared" si="1"/>
        <v/>
      </c>
      <c r="O2771" s="141" t="s">
        <v>133</v>
      </c>
      <c r="P2771" s="136" t="str">
        <f>IFERROR(__xludf.DUMMYFUNCTION("""COMPUTED_VALUE"""),"")</f>
        <v/>
      </c>
      <c r="Q2771" s="136" t="str">
        <f>IFERROR(__xludf.DUMMYFUNCTION("""COMPUTED_VALUE"""),"")</f>
        <v/>
      </c>
      <c r="R2771" s="106" t="str">
        <f>IFERROR(__xludf.DUMMYFUNCTION("""COMPUTED_VALUE"""),"")</f>
        <v/>
      </c>
      <c r="S2771" s="106" t="str">
        <f>IFERROR(__xludf.DUMMYFUNCTION("""COMPUTED_VALUE"""),"")</f>
        <v/>
      </c>
      <c r="T2771" s="139" t="str">
        <f>IFERROR(__xludf.DUMMYFUNCTION("""COMPUTED_VALUE"""),"")</f>
        <v/>
      </c>
      <c r="U2771" s="139" t="str">
        <f>IFERROR(__xludf.DUMMYFUNCTION("""COMPUTED_VALUE"""),"")</f>
        <v/>
      </c>
      <c r="V2771" s="136" t="str">
        <f>IFERROR(__xludf.DUMMYFUNCTION("""COMPUTED_VALUE"""),"")</f>
        <v/>
      </c>
      <c r="W2771" s="106" t="str">
        <f>IFERROR(__xludf.DUMMYFUNCTION("""COMPUTED_VALUE"""),"")</f>
        <v/>
      </c>
      <c r="X2771" s="143" t="str">
        <f t="shared" si="2"/>
        <v/>
      </c>
      <c r="Y2771" s="139" t="str">
        <f>IFERROR(__xludf.DUMMYFUNCTION("""COMPUTED_VALUE"""),"")</f>
        <v/>
      </c>
      <c r="Z2771" s="141" t="str">
        <f>IFERROR(__xludf.DUMMYFUNCTION("""COMPUTED_VALUE"""),"")</f>
        <v/>
      </c>
    </row>
    <row r="2772">
      <c r="D2772" s="136" t="str">
        <f t="shared" si="3"/>
        <v/>
      </c>
      <c r="E2772" s="152"/>
      <c r="F2772" s="106" t="s">
        <v>133</v>
      </c>
      <c r="G2772" s="152"/>
      <c r="H2772" s="106" t="s">
        <v>133</v>
      </c>
      <c r="J2772" s="139" t="s">
        <v>133</v>
      </c>
      <c r="K2772" s="136" t="s">
        <v>133</v>
      </c>
      <c r="L2772" s="153"/>
      <c r="M2772" s="136" t="str">
        <f t="shared" si="1"/>
        <v/>
      </c>
      <c r="O2772" s="141" t="s">
        <v>133</v>
      </c>
      <c r="P2772" s="136" t="str">
        <f>IFERROR(__xludf.DUMMYFUNCTION("""COMPUTED_VALUE"""),"")</f>
        <v/>
      </c>
      <c r="Q2772" s="136" t="str">
        <f>IFERROR(__xludf.DUMMYFUNCTION("""COMPUTED_VALUE"""),"")</f>
        <v/>
      </c>
      <c r="R2772" s="106" t="str">
        <f>IFERROR(__xludf.DUMMYFUNCTION("""COMPUTED_VALUE"""),"")</f>
        <v/>
      </c>
      <c r="S2772" s="106" t="str">
        <f>IFERROR(__xludf.DUMMYFUNCTION("""COMPUTED_VALUE"""),"")</f>
        <v/>
      </c>
      <c r="T2772" s="139" t="str">
        <f>IFERROR(__xludf.DUMMYFUNCTION("""COMPUTED_VALUE"""),"")</f>
        <v/>
      </c>
      <c r="U2772" s="139" t="str">
        <f>IFERROR(__xludf.DUMMYFUNCTION("""COMPUTED_VALUE"""),"")</f>
        <v/>
      </c>
      <c r="V2772" s="136" t="str">
        <f>IFERROR(__xludf.DUMMYFUNCTION("""COMPUTED_VALUE"""),"")</f>
        <v/>
      </c>
      <c r="W2772" s="106" t="str">
        <f>IFERROR(__xludf.DUMMYFUNCTION("""COMPUTED_VALUE"""),"")</f>
        <v/>
      </c>
      <c r="X2772" s="143" t="str">
        <f t="shared" si="2"/>
        <v/>
      </c>
      <c r="Y2772" s="139" t="str">
        <f>IFERROR(__xludf.DUMMYFUNCTION("""COMPUTED_VALUE"""),"")</f>
        <v/>
      </c>
      <c r="Z2772" s="141" t="str">
        <f>IFERROR(__xludf.DUMMYFUNCTION("""COMPUTED_VALUE"""),"")</f>
        <v/>
      </c>
    </row>
    <row r="2773">
      <c r="D2773" s="136" t="str">
        <f t="shared" si="3"/>
        <v/>
      </c>
      <c r="E2773" s="152"/>
      <c r="F2773" s="106" t="s">
        <v>133</v>
      </c>
      <c r="G2773" s="152"/>
      <c r="H2773" s="106" t="s">
        <v>133</v>
      </c>
      <c r="J2773" s="139" t="s">
        <v>133</v>
      </c>
      <c r="K2773" s="136" t="s">
        <v>133</v>
      </c>
      <c r="L2773" s="153"/>
      <c r="M2773" s="136" t="str">
        <f t="shared" si="1"/>
        <v/>
      </c>
      <c r="O2773" s="141" t="s">
        <v>133</v>
      </c>
      <c r="P2773" s="136" t="str">
        <f>IFERROR(__xludf.DUMMYFUNCTION("""COMPUTED_VALUE"""),"")</f>
        <v/>
      </c>
      <c r="Q2773" s="136" t="str">
        <f>IFERROR(__xludf.DUMMYFUNCTION("""COMPUTED_VALUE"""),"")</f>
        <v/>
      </c>
      <c r="R2773" s="106" t="str">
        <f>IFERROR(__xludf.DUMMYFUNCTION("""COMPUTED_VALUE"""),"")</f>
        <v/>
      </c>
      <c r="S2773" s="106" t="str">
        <f>IFERROR(__xludf.DUMMYFUNCTION("""COMPUTED_VALUE"""),"")</f>
        <v/>
      </c>
      <c r="T2773" s="139" t="str">
        <f>IFERROR(__xludf.DUMMYFUNCTION("""COMPUTED_VALUE"""),"")</f>
        <v/>
      </c>
      <c r="U2773" s="139" t="str">
        <f>IFERROR(__xludf.DUMMYFUNCTION("""COMPUTED_VALUE"""),"")</f>
        <v/>
      </c>
      <c r="V2773" s="136" t="str">
        <f>IFERROR(__xludf.DUMMYFUNCTION("""COMPUTED_VALUE"""),"")</f>
        <v/>
      </c>
      <c r="W2773" s="106" t="str">
        <f>IFERROR(__xludf.DUMMYFUNCTION("""COMPUTED_VALUE"""),"")</f>
        <v/>
      </c>
      <c r="X2773" s="143" t="str">
        <f t="shared" si="2"/>
        <v/>
      </c>
      <c r="Y2773" s="139" t="str">
        <f>IFERROR(__xludf.DUMMYFUNCTION("""COMPUTED_VALUE"""),"")</f>
        <v/>
      </c>
      <c r="Z2773" s="141" t="str">
        <f>IFERROR(__xludf.DUMMYFUNCTION("""COMPUTED_VALUE"""),"")</f>
        <v/>
      </c>
    </row>
    <row r="2774">
      <c r="D2774" s="136" t="str">
        <f t="shared" si="3"/>
        <v/>
      </c>
      <c r="E2774" s="152"/>
      <c r="F2774" s="106" t="s">
        <v>133</v>
      </c>
      <c r="G2774" s="152"/>
      <c r="H2774" s="106" t="s">
        <v>133</v>
      </c>
      <c r="J2774" s="139" t="s">
        <v>133</v>
      </c>
      <c r="K2774" s="136" t="s">
        <v>133</v>
      </c>
      <c r="L2774" s="153"/>
      <c r="M2774" s="136" t="str">
        <f t="shared" si="1"/>
        <v/>
      </c>
      <c r="O2774" s="141" t="s">
        <v>133</v>
      </c>
      <c r="P2774" s="136" t="str">
        <f>IFERROR(__xludf.DUMMYFUNCTION("""COMPUTED_VALUE"""),"")</f>
        <v/>
      </c>
      <c r="Q2774" s="136" t="str">
        <f>IFERROR(__xludf.DUMMYFUNCTION("""COMPUTED_VALUE"""),"")</f>
        <v/>
      </c>
      <c r="R2774" s="106" t="str">
        <f>IFERROR(__xludf.DUMMYFUNCTION("""COMPUTED_VALUE"""),"")</f>
        <v/>
      </c>
      <c r="S2774" s="106" t="str">
        <f>IFERROR(__xludf.DUMMYFUNCTION("""COMPUTED_VALUE"""),"")</f>
        <v/>
      </c>
      <c r="T2774" s="139" t="str">
        <f>IFERROR(__xludf.DUMMYFUNCTION("""COMPUTED_VALUE"""),"")</f>
        <v/>
      </c>
      <c r="U2774" s="139" t="str">
        <f>IFERROR(__xludf.DUMMYFUNCTION("""COMPUTED_VALUE"""),"")</f>
        <v/>
      </c>
      <c r="V2774" s="136" t="str">
        <f>IFERROR(__xludf.DUMMYFUNCTION("""COMPUTED_VALUE"""),"")</f>
        <v/>
      </c>
      <c r="W2774" s="106" t="str">
        <f>IFERROR(__xludf.DUMMYFUNCTION("""COMPUTED_VALUE"""),"")</f>
        <v/>
      </c>
      <c r="X2774" s="143" t="str">
        <f t="shared" si="2"/>
        <v/>
      </c>
      <c r="Y2774" s="139" t="str">
        <f>IFERROR(__xludf.DUMMYFUNCTION("""COMPUTED_VALUE"""),"")</f>
        <v/>
      </c>
      <c r="Z2774" s="141" t="str">
        <f>IFERROR(__xludf.DUMMYFUNCTION("""COMPUTED_VALUE"""),"")</f>
        <v/>
      </c>
    </row>
    <row r="2775">
      <c r="D2775" s="136" t="str">
        <f t="shared" si="3"/>
        <v/>
      </c>
      <c r="E2775" s="152"/>
      <c r="F2775" s="106" t="s">
        <v>133</v>
      </c>
      <c r="G2775" s="152"/>
      <c r="H2775" s="106" t="s">
        <v>133</v>
      </c>
      <c r="J2775" s="139" t="s">
        <v>133</v>
      </c>
      <c r="K2775" s="136" t="s">
        <v>133</v>
      </c>
      <c r="L2775" s="153"/>
      <c r="M2775" s="136" t="str">
        <f t="shared" si="1"/>
        <v/>
      </c>
      <c r="O2775" s="141" t="s">
        <v>133</v>
      </c>
      <c r="P2775" s="136" t="str">
        <f>IFERROR(__xludf.DUMMYFUNCTION("""COMPUTED_VALUE"""),"")</f>
        <v/>
      </c>
      <c r="Q2775" s="136" t="str">
        <f>IFERROR(__xludf.DUMMYFUNCTION("""COMPUTED_VALUE"""),"")</f>
        <v/>
      </c>
      <c r="R2775" s="106" t="str">
        <f>IFERROR(__xludf.DUMMYFUNCTION("""COMPUTED_VALUE"""),"")</f>
        <v/>
      </c>
      <c r="S2775" s="106" t="str">
        <f>IFERROR(__xludf.DUMMYFUNCTION("""COMPUTED_VALUE"""),"")</f>
        <v/>
      </c>
      <c r="T2775" s="139" t="str">
        <f>IFERROR(__xludf.DUMMYFUNCTION("""COMPUTED_VALUE"""),"")</f>
        <v/>
      </c>
      <c r="U2775" s="139" t="str">
        <f>IFERROR(__xludf.DUMMYFUNCTION("""COMPUTED_VALUE"""),"")</f>
        <v/>
      </c>
      <c r="V2775" s="136" t="str">
        <f>IFERROR(__xludf.DUMMYFUNCTION("""COMPUTED_VALUE"""),"")</f>
        <v/>
      </c>
      <c r="W2775" s="106" t="str">
        <f>IFERROR(__xludf.DUMMYFUNCTION("""COMPUTED_VALUE"""),"")</f>
        <v/>
      </c>
      <c r="X2775" s="143" t="str">
        <f t="shared" si="2"/>
        <v/>
      </c>
      <c r="Y2775" s="139" t="str">
        <f>IFERROR(__xludf.DUMMYFUNCTION("""COMPUTED_VALUE"""),"")</f>
        <v/>
      </c>
      <c r="Z2775" s="141" t="str">
        <f>IFERROR(__xludf.DUMMYFUNCTION("""COMPUTED_VALUE"""),"")</f>
        <v/>
      </c>
    </row>
    <row r="2776">
      <c r="D2776" s="136" t="str">
        <f t="shared" si="3"/>
        <v/>
      </c>
      <c r="E2776" s="152"/>
      <c r="F2776" s="106" t="s">
        <v>133</v>
      </c>
      <c r="G2776" s="152"/>
      <c r="H2776" s="106" t="s">
        <v>133</v>
      </c>
      <c r="J2776" s="139" t="s">
        <v>133</v>
      </c>
      <c r="K2776" s="136" t="s">
        <v>133</v>
      </c>
      <c r="L2776" s="153"/>
      <c r="M2776" s="136" t="str">
        <f t="shared" si="1"/>
        <v/>
      </c>
      <c r="O2776" s="141" t="s">
        <v>133</v>
      </c>
      <c r="P2776" s="136" t="str">
        <f>IFERROR(__xludf.DUMMYFUNCTION("""COMPUTED_VALUE"""),"")</f>
        <v/>
      </c>
      <c r="Q2776" s="136" t="str">
        <f>IFERROR(__xludf.DUMMYFUNCTION("""COMPUTED_VALUE"""),"")</f>
        <v/>
      </c>
      <c r="R2776" s="106" t="str">
        <f>IFERROR(__xludf.DUMMYFUNCTION("""COMPUTED_VALUE"""),"")</f>
        <v/>
      </c>
      <c r="S2776" s="106" t="str">
        <f>IFERROR(__xludf.DUMMYFUNCTION("""COMPUTED_VALUE"""),"")</f>
        <v/>
      </c>
      <c r="T2776" s="139" t="str">
        <f>IFERROR(__xludf.DUMMYFUNCTION("""COMPUTED_VALUE"""),"")</f>
        <v/>
      </c>
      <c r="U2776" s="139" t="str">
        <f>IFERROR(__xludf.DUMMYFUNCTION("""COMPUTED_VALUE"""),"")</f>
        <v/>
      </c>
      <c r="V2776" s="136" t="str">
        <f>IFERROR(__xludf.DUMMYFUNCTION("""COMPUTED_VALUE"""),"")</f>
        <v/>
      </c>
      <c r="W2776" s="106" t="str">
        <f>IFERROR(__xludf.DUMMYFUNCTION("""COMPUTED_VALUE"""),"")</f>
        <v/>
      </c>
      <c r="X2776" s="143" t="str">
        <f t="shared" si="2"/>
        <v/>
      </c>
      <c r="Y2776" s="139" t="str">
        <f>IFERROR(__xludf.DUMMYFUNCTION("""COMPUTED_VALUE"""),"")</f>
        <v/>
      </c>
      <c r="Z2776" s="141" t="str">
        <f>IFERROR(__xludf.DUMMYFUNCTION("""COMPUTED_VALUE"""),"")</f>
        <v/>
      </c>
    </row>
    <row r="2777">
      <c r="D2777" s="136" t="str">
        <f t="shared" si="3"/>
        <v/>
      </c>
      <c r="E2777" s="152"/>
      <c r="F2777" s="106" t="s">
        <v>133</v>
      </c>
      <c r="G2777" s="152"/>
      <c r="H2777" s="106" t="s">
        <v>133</v>
      </c>
      <c r="J2777" s="139" t="s">
        <v>133</v>
      </c>
      <c r="K2777" s="136" t="s">
        <v>133</v>
      </c>
      <c r="L2777" s="153"/>
      <c r="M2777" s="136" t="str">
        <f t="shared" si="1"/>
        <v/>
      </c>
      <c r="O2777" s="141" t="s">
        <v>133</v>
      </c>
      <c r="P2777" s="136" t="str">
        <f>IFERROR(__xludf.DUMMYFUNCTION("""COMPUTED_VALUE"""),"")</f>
        <v/>
      </c>
      <c r="Q2777" s="136" t="str">
        <f>IFERROR(__xludf.DUMMYFUNCTION("""COMPUTED_VALUE"""),"")</f>
        <v/>
      </c>
      <c r="R2777" s="106" t="str">
        <f>IFERROR(__xludf.DUMMYFUNCTION("""COMPUTED_VALUE"""),"")</f>
        <v/>
      </c>
      <c r="S2777" s="106" t="str">
        <f>IFERROR(__xludf.DUMMYFUNCTION("""COMPUTED_VALUE"""),"")</f>
        <v/>
      </c>
      <c r="T2777" s="139" t="str">
        <f>IFERROR(__xludf.DUMMYFUNCTION("""COMPUTED_VALUE"""),"")</f>
        <v/>
      </c>
      <c r="U2777" s="139" t="str">
        <f>IFERROR(__xludf.DUMMYFUNCTION("""COMPUTED_VALUE"""),"")</f>
        <v/>
      </c>
      <c r="V2777" s="136" t="str">
        <f>IFERROR(__xludf.DUMMYFUNCTION("""COMPUTED_VALUE"""),"")</f>
        <v/>
      </c>
      <c r="W2777" s="106" t="str">
        <f>IFERROR(__xludf.DUMMYFUNCTION("""COMPUTED_VALUE"""),"")</f>
        <v/>
      </c>
      <c r="X2777" s="143" t="str">
        <f t="shared" si="2"/>
        <v/>
      </c>
      <c r="Y2777" s="139" t="str">
        <f>IFERROR(__xludf.DUMMYFUNCTION("""COMPUTED_VALUE"""),"")</f>
        <v/>
      </c>
      <c r="Z2777" s="141" t="str">
        <f>IFERROR(__xludf.DUMMYFUNCTION("""COMPUTED_VALUE"""),"")</f>
        <v/>
      </c>
    </row>
    <row r="2778">
      <c r="D2778" s="136" t="str">
        <f t="shared" si="3"/>
        <v/>
      </c>
      <c r="E2778" s="152"/>
      <c r="F2778" s="106" t="s">
        <v>133</v>
      </c>
      <c r="G2778" s="152"/>
      <c r="H2778" s="106" t="s">
        <v>133</v>
      </c>
      <c r="J2778" s="139" t="s">
        <v>133</v>
      </c>
      <c r="K2778" s="136" t="s">
        <v>133</v>
      </c>
      <c r="L2778" s="153"/>
      <c r="M2778" s="136" t="str">
        <f t="shared" si="1"/>
        <v/>
      </c>
      <c r="O2778" s="141" t="s">
        <v>133</v>
      </c>
      <c r="P2778" s="136" t="str">
        <f>IFERROR(__xludf.DUMMYFUNCTION("""COMPUTED_VALUE"""),"")</f>
        <v/>
      </c>
      <c r="Q2778" s="136" t="str">
        <f>IFERROR(__xludf.DUMMYFUNCTION("""COMPUTED_VALUE"""),"")</f>
        <v/>
      </c>
      <c r="R2778" s="106" t="str">
        <f>IFERROR(__xludf.DUMMYFUNCTION("""COMPUTED_VALUE"""),"")</f>
        <v/>
      </c>
      <c r="S2778" s="106" t="str">
        <f>IFERROR(__xludf.DUMMYFUNCTION("""COMPUTED_VALUE"""),"")</f>
        <v/>
      </c>
      <c r="T2778" s="139" t="str">
        <f>IFERROR(__xludf.DUMMYFUNCTION("""COMPUTED_VALUE"""),"")</f>
        <v/>
      </c>
      <c r="U2778" s="139" t="str">
        <f>IFERROR(__xludf.DUMMYFUNCTION("""COMPUTED_VALUE"""),"")</f>
        <v/>
      </c>
      <c r="V2778" s="136" t="str">
        <f>IFERROR(__xludf.DUMMYFUNCTION("""COMPUTED_VALUE"""),"")</f>
        <v/>
      </c>
      <c r="W2778" s="106" t="str">
        <f>IFERROR(__xludf.DUMMYFUNCTION("""COMPUTED_VALUE"""),"")</f>
        <v/>
      </c>
      <c r="X2778" s="143" t="str">
        <f t="shared" si="2"/>
        <v/>
      </c>
      <c r="Y2778" s="139" t="str">
        <f>IFERROR(__xludf.DUMMYFUNCTION("""COMPUTED_VALUE"""),"")</f>
        <v/>
      </c>
      <c r="Z2778" s="141" t="str">
        <f>IFERROR(__xludf.DUMMYFUNCTION("""COMPUTED_VALUE"""),"")</f>
        <v/>
      </c>
    </row>
    <row r="2779">
      <c r="D2779" s="136" t="str">
        <f t="shared" si="3"/>
        <v/>
      </c>
      <c r="E2779" s="152"/>
      <c r="F2779" s="106" t="s">
        <v>133</v>
      </c>
      <c r="G2779" s="152"/>
      <c r="H2779" s="106" t="s">
        <v>133</v>
      </c>
      <c r="J2779" s="139" t="s">
        <v>133</v>
      </c>
      <c r="K2779" s="136" t="s">
        <v>133</v>
      </c>
      <c r="L2779" s="153"/>
      <c r="M2779" s="136" t="str">
        <f t="shared" si="1"/>
        <v/>
      </c>
      <c r="O2779" s="141" t="s">
        <v>133</v>
      </c>
      <c r="P2779" s="136" t="str">
        <f>IFERROR(__xludf.DUMMYFUNCTION("""COMPUTED_VALUE"""),"")</f>
        <v/>
      </c>
      <c r="Q2779" s="136" t="str">
        <f>IFERROR(__xludf.DUMMYFUNCTION("""COMPUTED_VALUE"""),"")</f>
        <v/>
      </c>
      <c r="R2779" s="106" t="str">
        <f>IFERROR(__xludf.DUMMYFUNCTION("""COMPUTED_VALUE"""),"")</f>
        <v/>
      </c>
      <c r="S2779" s="106" t="str">
        <f>IFERROR(__xludf.DUMMYFUNCTION("""COMPUTED_VALUE"""),"")</f>
        <v/>
      </c>
      <c r="T2779" s="139" t="str">
        <f>IFERROR(__xludf.DUMMYFUNCTION("""COMPUTED_VALUE"""),"")</f>
        <v/>
      </c>
      <c r="U2779" s="139" t="str">
        <f>IFERROR(__xludf.DUMMYFUNCTION("""COMPUTED_VALUE"""),"")</f>
        <v/>
      </c>
      <c r="V2779" s="136" t="str">
        <f>IFERROR(__xludf.DUMMYFUNCTION("""COMPUTED_VALUE"""),"")</f>
        <v/>
      </c>
      <c r="W2779" s="106" t="str">
        <f>IFERROR(__xludf.DUMMYFUNCTION("""COMPUTED_VALUE"""),"")</f>
        <v/>
      </c>
      <c r="X2779" s="143" t="str">
        <f t="shared" si="2"/>
        <v/>
      </c>
      <c r="Y2779" s="139" t="str">
        <f>IFERROR(__xludf.DUMMYFUNCTION("""COMPUTED_VALUE"""),"")</f>
        <v/>
      </c>
      <c r="Z2779" s="141" t="str">
        <f>IFERROR(__xludf.DUMMYFUNCTION("""COMPUTED_VALUE"""),"")</f>
        <v/>
      </c>
    </row>
    <row r="2780">
      <c r="D2780" s="136" t="str">
        <f t="shared" si="3"/>
        <v/>
      </c>
      <c r="E2780" s="152"/>
      <c r="F2780" s="106" t="s">
        <v>133</v>
      </c>
      <c r="G2780" s="152"/>
      <c r="H2780" s="106" t="s">
        <v>133</v>
      </c>
      <c r="J2780" s="139" t="s">
        <v>133</v>
      </c>
      <c r="K2780" s="136" t="s">
        <v>133</v>
      </c>
      <c r="L2780" s="153"/>
      <c r="M2780" s="136" t="str">
        <f t="shared" si="1"/>
        <v/>
      </c>
      <c r="O2780" s="141" t="s">
        <v>133</v>
      </c>
      <c r="P2780" s="136" t="str">
        <f>IFERROR(__xludf.DUMMYFUNCTION("""COMPUTED_VALUE"""),"")</f>
        <v/>
      </c>
      <c r="Q2780" s="136" t="str">
        <f>IFERROR(__xludf.DUMMYFUNCTION("""COMPUTED_VALUE"""),"")</f>
        <v/>
      </c>
      <c r="R2780" s="106" t="str">
        <f>IFERROR(__xludf.DUMMYFUNCTION("""COMPUTED_VALUE"""),"")</f>
        <v/>
      </c>
      <c r="S2780" s="106" t="str">
        <f>IFERROR(__xludf.DUMMYFUNCTION("""COMPUTED_VALUE"""),"")</f>
        <v/>
      </c>
      <c r="T2780" s="139" t="str">
        <f>IFERROR(__xludf.DUMMYFUNCTION("""COMPUTED_VALUE"""),"")</f>
        <v/>
      </c>
      <c r="U2780" s="139" t="str">
        <f>IFERROR(__xludf.DUMMYFUNCTION("""COMPUTED_VALUE"""),"")</f>
        <v/>
      </c>
      <c r="V2780" s="136" t="str">
        <f>IFERROR(__xludf.DUMMYFUNCTION("""COMPUTED_VALUE"""),"")</f>
        <v/>
      </c>
      <c r="W2780" s="106" t="str">
        <f>IFERROR(__xludf.DUMMYFUNCTION("""COMPUTED_VALUE"""),"")</f>
        <v/>
      </c>
      <c r="X2780" s="143" t="str">
        <f t="shared" si="2"/>
        <v/>
      </c>
      <c r="Y2780" s="139" t="str">
        <f>IFERROR(__xludf.DUMMYFUNCTION("""COMPUTED_VALUE"""),"")</f>
        <v/>
      </c>
      <c r="Z2780" s="141" t="str">
        <f>IFERROR(__xludf.DUMMYFUNCTION("""COMPUTED_VALUE"""),"")</f>
        <v/>
      </c>
    </row>
    <row r="2781">
      <c r="D2781" s="136" t="str">
        <f t="shared" si="3"/>
        <v/>
      </c>
      <c r="E2781" s="152"/>
      <c r="F2781" s="106" t="s">
        <v>133</v>
      </c>
      <c r="G2781" s="152"/>
      <c r="H2781" s="106" t="s">
        <v>133</v>
      </c>
      <c r="J2781" s="139" t="s">
        <v>133</v>
      </c>
      <c r="K2781" s="136" t="s">
        <v>133</v>
      </c>
      <c r="L2781" s="153"/>
      <c r="M2781" s="136" t="str">
        <f t="shared" si="1"/>
        <v/>
      </c>
      <c r="O2781" s="141" t="s">
        <v>133</v>
      </c>
      <c r="P2781" s="136" t="str">
        <f>IFERROR(__xludf.DUMMYFUNCTION("""COMPUTED_VALUE"""),"")</f>
        <v/>
      </c>
      <c r="Q2781" s="136" t="str">
        <f>IFERROR(__xludf.DUMMYFUNCTION("""COMPUTED_VALUE"""),"")</f>
        <v/>
      </c>
      <c r="R2781" s="106" t="str">
        <f>IFERROR(__xludf.DUMMYFUNCTION("""COMPUTED_VALUE"""),"")</f>
        <v/>
      </c>
      <c r="S2781" s="106" t="str">
        <f>IFERROR(__xludf.DUMMYFUNCTION("""COMPUTED_VALUE"""),"")</f>
        <v/>
      </c>
      <c r="T2781" s="139" t="str">
        <f>IFERROR(__xludf.DUMMYFUNCTION("""COMPUTED_VALUE"""),"")</f>
        <v/>
      </c>
      <c r="U2781" s="139" t="str">
        <f>IFERROR(__xludf.DUMMYFUNCTION("""COMPUTED_VALUE"""),"")</f>
        <v/>
      </c>
      <c r="V2781" s="136" t="str">
        <f>IFERROR(__xludf.DUMMYFUNCTION("""COMPUTED_VALUE"""),"")</f>
        <v/>
      </c>
      <c r="W2781" s="106" t="str">
        <f>IFERROR(__xludf.DUMMYFUNCTION("""COMPUTED_VALUE"""),"")</f>
        <v/>
      </c>
      <c r="X2781" s="143" t="str">
        <f t="shared" si="2"/>
        <v/>
      </c>
      <c r="Y2781" s="139" t="str">
        <f>IFERROR(__xludf.DUMMYFUNCTION("""COMPUTED_VALUE"""),"")</f>
        <v/>
      </c>
      <c r="Z2781" s="141" t="str">
        <f>IFERROR(__xludf.DUMMYFUNCTION("""COMPUTED_VALUE"""),"")</f>
        <v/>
      </c>
    </row>
    <row r="2782">
      <c r="D2782" s="136" t="str">
        <f t="shared" si="3"/>
        <v/>
      </c>
      <c r="E2782" s="152"/>
      <c r="F2782" s="106" t="s">
        <v>133</v>
      </c>
      <c r="G2782" s="152"/>
      <c r="H2782" s="106" t="s">
        <v>133</v>
      </c>
      <c r="J2782" s="139" t="s">
        <v>133</v>
      </c>
      <c r="K2782" s="136" t="s">
        <v>133</v>
      </c>
      <c r="L2782" s="153"/>
      <c r="M2782" s="136" t="str">
        <f t="shared" si="1"/>
        <v/>
      </c>
      <c r="O2782" s="141" t="s">
        <v>133</v>
      </c>
      <c r="P2782" s="136" t="str">
        <f>IFERROR(__xludf.DUMMYFUNCTION("""COMPUTED_VALUE"""),"")</f>
        <v/>
      </c>
      <c r="Q2782" s="136" t="str">
        <f>IFERROR(__xludf.DUMMYFUNCTION("""COMPUTED_VALUE"""),"")</f>
        <v/>
      </c>
      <c r="R2782" s="106" t="str">
        <f>IFERROR(__xludf.DUMMYFUNCTION("""COMPUTED_VALUE"""),"")</f>
        <v/>
      </c>
      <c r="S2782" s="106" t="str">
        <f>IFERROR(__xludf.DUMMYFUNCTION("""COMPUTED_VALUE"""),"")</f>
        <v/>
      </c>
      <c r="T2782" s="139" t="str">
        <f>IFERROR(__xludf.DUMMYFUNCTION("""COMPUTED_VALUE"""),"")</f>
        <v/>
      </c>
      <c r="U2782" s="139" t="str">
        <f>IFERROR(__xludf.DUMMYFUNCTION("""COMPUTED_VALUE"""),"")</f>
        <v/>
      </c>
      <c r="V2782" s="136" t="str">
        <f>IFERROR(__xludf.DUMMYFUNCTION("""COMPUTED_VALUE"""),"")</f>
        <v/>
      </c>
      <c r="W2782" s="106" t="str">
        <f>IFERROR(__xludf.DUMMYFUNCTION("""COMPUTED_VALUE"""),"")</f>
        <v/>
      </c>
      <c r="X2782" s="143" t="str">
        <f t="shared" si="2"/>
        <v/>
      </c>
      <c r="Y2782" s="139" t="str">
        <f>IFERROR(__xludf.DUMMYFUNCTION("""COMPUTED_VALUE"""),"")</f>
        <v/>
      </c>
      <c r="Z2782" s="141" t="str">
        <f>IFERROR(__xludf.DUMMYFUNCTION("""COMPUTED_VALUE"""),"")</f>
        <v/>
      </c>
    </row>
    <row r="2783">
      <c r="D2783" s="136" t="str">
        <f t="shared" si="3"/>
        <v/>
      </c>
      <c r="E2783" s="152"/>
      <c r="F2783" s="106" t="s">
        <v>133</v>
      </c>
      <c r="G2783" s="152"/>
      <c r="H2783" s="106" t="s">
        <v>133</v>
      </c>
      <c r="J2783" s="139" t="s">
        <v>133</v>
      </c>
      <c r="K2783" s="136" t="s">
        <v>133</v>
      </c>
      <c r="L2783" s="153"/>
      <c r="M2783" s="136" t="str">
        <f t="shared" si="1"/>
        <v/>
      </c>
      <c r="O2783" s="141" t="s">
        <v>133</v>
      </c>
      <c r="P2783" s="136" t="str">
        <f>IFERROR(__xludf.DUMMYFUNCTION("""COMPUTED_VALUE"""),"")</f>
        <v/>
      </c>
      <c r="Q2783" s="136" t="str">
        <f>IFERROR(__xludf.DUMMYFUNCTION("""COMPUTED_VALUE"""),"")</f>
        <v/>
      </c>
      <c r="R2783" s="106" t="str">
        <f>IFERROR(__xludf.DUMMYFUNCTION("""COMPUTED_VALUE"""),"")</f>
        <v/>
      </c>
      <c r="S2783" s="106" t="str">
        <f>IFERROR(__xludf.DUMMYFUNCTION("""COMPUTED_VALUE"""),"")</f>
        <v/>
      </c>
      <c r="T2783" s="139" t="str">
        <f>IFERROR(__xludf.DUMMYFUNCTION("""COMPUTED_VALUE"""),"")</f>
        <v/>
      </c>
      <c r="U2783" s="139" t="str">
        <f>IFERROR(__xludf.DUMMYFUNCTION("""COMPUTED_VALUE"""),"")</f>
        <v/>
      </c>
      <c r="V2783" s="136" t="str">
        <f>IFERROR(__xludf.DUMMYFUNCTION("""COMPUTED_VALUE"""),"")</f>
        <v/>
      </c>
      <c r="W2783" s="106" t="str">
        <f>IFERROR(__xludf.DUMMYFUNCTION("""COMPUTED_VALUE"""),"")</f>
        <v/>
      </c>
      <c r="X2783" s="143" t="str">
        <f t="shared" si="2"/>
        <v/>
      </c>
      <c r="Y2783" s="139" t="str">
        <f>IFERROR(__xludf.DUMMYFUNCTION("""COMPUTED_VALUE"""),"")</f>
        <v/>
      </c>
      <c r="Z2783" s="141" t="str">
        <f>IFERROR(__xludf.DUMMYFUNCTION("""COMPUTED_VALUE"""),"")</f>
        <v/>
      </c>
    </row>
    <row r="2784">
      <c r="D2784" s="136" t="str">
        <f t="shared" si="3"/>
        <v/>
      </c>
      <c r="E2784" s="152"/>
      <c r="F2784" s="106" t="s">
        <v>133</v>
      </c>
      <c r="G2784" s="152"/>
      <c r="H2784" s="106" t="s">
        <v>133</v>
      </c>
      <c r="J2784" s="139" t="s">
        <v>133</v>
      </c>
      <c r="K2784" s="136" t="s">
        <v>133</v>
      </c>
      <c r="L2784" s="153"/>
      <c r="M2784" s="136" t="str">
        <f t="shared" si="1"/>
        <v/>
      </c>
      <c r="O2784" s="141" t="s">
        <v>133</v>
      </c>
      <c r="P2784" s="136" t="str">
        <f>IFERROR(__xludf.DUMMYFUNCTION("""COMPUTED_VALUE"""),"")</f>
        <v/>
      </c>
      <c r="Q2784" s="136" t="str">
        <f>IFERROR(__xludf.DUMMYFUNCTION("""COMPUTED_VALUE"""),"")</f>
        <v/>
      </c>
      <c r="R2784" s="106" t="str">
        <f>IFERROR(__xludf.DUMMYFUNCTION("""COMPUTED_VALUE"""),"")</f>
        <v/>
      </c>
      <c r="S2784" s="106" t="str">
        <f>IFERROR(__xludf.DUMMYFUNCTION("""COMPUTED_VALUE"""),"")</f>
        <v/>
      </c>
      <c r="T2784" s="139" t="str">
        <f>IFERROR(__xludf.DUMMYFUNCTION("""COMPUTED_VALUE"""),"")</f>
        <v/>
      </c>
      <c r="U2784" s="139" t="str">
        <f>IFERROR(__xludf.DUMMYFUNCTION("""COMPUTED_VALUE"""),"")</f>
        <v/>
      </c>
      <c r="V2784" s="136" t="str">
        <f>IFERROR(__xludf.DUMMYFUNCTION("""COMPUTED_VALUE"""),"")</f>
        <v/>
      </c>
      <c r="W2784" s="106" t="str">
        <f>IFERROR(__xludf.DUMMYFUNCTION("""COMPUTED_VALUE"""),"")</f>
        <v/>
      </c>
      <c r="X2784" s="143" t="str">
        <f t="shared" si="2"/>
        <v/>
      </c>
      <c r="Y2784" s="139" t="str">
        <f>IFERROR(__xludf.DUMMYFUNCTION("""COMPUTED_VALUE"""),"")</f>
        <v/>
      </c>
      <c r="Z2784" s="141" t="str">
        <f>IFERROR(__xludf.DUMMYFUNCTION("""COMPUTED_VALUE"""),"")</f>
        <v/>
      </c>
    </row>
    <row r="2785">
      <c r="D2785" s="136" t="str">
        <f t="shared" si="3"/>
        <v/>
      </c>
      <c r="E2785" s="152"/>
      <c r="F2785" s="106" t="s">
        <v>133</v>
      </c>
      <c r="G2785" s="152"/>
      <c r="H2785" s="106" t="s">
        <v>133</v>
      </c>
      <c r="J2785" s="139" t="s">
        <v>133</v>
      </c>
      <c r="K2785" s="136" t="s">
        <v>133</v>
      </c>
      <c r="L2785" s="153"/>
      <c r="M2785" s="136" t="str">
        <f t="shared" si="1"/>
        <v/>
      </c>
      <c r="O2785" s="141" t="s">
        <v>133</v>
      </c>
      <c r="P2785" s="136" t="str">
        <f>IFERROR(__xludf.DUMMYFUNCTION("""COMPUTED_VALUE"""),"")</f>
        <v/>
      </c>
      <c r="Q2785" s="136" t="str">
        <f>IFERROR(__xludf.DUMMYFUNCTION("""COMPUTED_VALUE"""),"")</f>
        <v/>
      </c>
      <c r="R2785" s="106" t="str">
        <f>IFERROR(__xludf.DUMMYFUNCTION("""COMPUTED_VALUE"""),"")</f>
        <v/>
      </c>
      <c r="S2785" s="106" t="str">
        <f>IFERROR(__xludf.DUMMYFUNCTION("""COMPUTED_VALUE"""),"")</f>
        <v/>
      </c>
      <c r="T2785" s="139" t="str">
        <f>IFERROR(__xludf.DUMMYFUNCTION("""COMPUTED_VALUE"""),"")</f>
        <v/>
      </c>
      <c r="U2785" s="139" t="str">
        <f>IFERROR(__xludf.DUMMYFUNCTION("""COMPUTED_VALUE"""),"")</f>
        <v/>
      </c>
      <c r="V2785" s="136" t="str">
        <f>IFERROR(__xludf.DUMMYFUNCTION("""COMPUTED_VALUE"""),"")</f>
        <v/>
      </c>
      <c r="W2785" s="106" t="str">
        <f>IFERROR(__xludf.DUMMYFUNCTION("""COMPUTED_VALUE"""),"")</f>
        <v/>
      </c>
      <c r="X2785" s="143" t="str">
        <f t="shared" si="2"/>
        <v/>
      </c>
      <c r="Y2785" s="139" t="str">
        <f>IFERROR(__xludf.DUMMYFUNCTION("""COMPUTED_VALUE"""),"")</f>
        <v/>
      </c>
      <c r="Z2785" s="141" t="str">
        <f>IFERROR(__xludf.DUMMYFUNCTION("""COMPUTED_VALUE"""),"")</f>
        <v/>
      </c>
    </row>
    <row r="2786">
      <c r="D2786" s="136" t="str">
        <f t="shared" si="3"/>
        <v/>
      </c>
      <c r="E2786" s="152"/>
      <c r="F2786" s="106" t="s">
        <v>133</v>
      </c>
      <c r="G2786" s="152"/>
      <c r="H2786" s="106" t="s">
        <v>133</v>
      </c>
      <c r="J2786" s="139" t="s">
        <v>133</v>
      </c>
      <c r="K2786" s="136" t="s">
        <v>133</v>
      </c>
      <c r="L2786" s="153"/>
      <c r="M2786" s="136" t="str">
        <f t="shared" si="1"/>
        <v/>
      </c>
      <c r="O2786" s="141" t="s">
        <v>133</v>
      </c>
      <c r="P2786" s="136" t="str">
        <f>IFERROR(__xludf.DUMMYFUNCTION("""COMPUTED_VALUE"""),"")</f>
        <v/>
      </c>
      <c r="Q2786" s="136" t="str">
        <f>IFERROR(__xludf.DUMMYFUNCTION("""COMPUTED_VALUE"""),"")</f>
        <v/>
      </c>
      <c r="R2786" s="106" t="str">
        <f>IFERROR(__xludf.DUMMYFUNCTION("""COMPUTED_VALUE"""),"")</f>
        <v/>
      </c>
      <c r="S2786" s="106" t="str">
        <f>IFERROR(__xludf.DUMMYFUNCTION("""COMPUTED_VALUE"""),"")</f>
        <v/>
      </c>
      <c r="T2786" s="139" t="str">
        <f>IFERROR(__xludf.DUMMYFUNCTION("""COMPUTED_VALUE"""),"")</f>
        <v/>
      </c>
      <c r="U2786" s="139" t="str">
        <f>IFERROR(__xludf.DUMMYFUNCTION("""COMPUTED_VALUE"""),"")</f>
        <v/>
      </c>
      <c r="V2786" s="136" t="str">
        <f>IFERROR(__xludf.DUMMYFUNCTION("""COMPUTED_VALUE"""),"")</f>
        <v/>
      </c>
      <c r="W2786" s="106" t="str">
        <f>IFERROR(__xludf.DUMMYFUNCTION("""COMPUTED_VALUE"""),"")</f>
        <v/>
      </c>
      <c r="X2786" s="143" t="str">
        <f t="shared" si="2"/>
        <v/>
      </c>
      <c r="Y2786" s="139" t="str">
        <f>IFERROR(__xludf.DUMMYFUNCTION("""COMPUTED_VALUE"""),"")</f>
        <v/>
      </c>
      <c r="Z2786" s="141" t="str">
        <f>IFERROR(__xludf.DUMMYFUNCTION("""COMPUTED_VALUE"""),"")</f>
        <v/>
      </c>
    </row>
    <row r="2787">
      <c r="D2787" s="136" t="str">
        <f t="shared" si="3"/>
        <v/>
      </c>
      <c r="E2787" s="152"/>
      <c r="F2787" s="106" t="s">
        <v>133</v>
      </c>
      <c r="G2787" s="152"/>
      <c r="H2787" s="106" t="s">
        <v>133</v>
      </c>
      <c r="J2787" s="139" t="s">
        <v>133</v>
      </c>
      <c r="K2787" s="136" t="s">
        <v>133</v>
      </c>
      <c r="L2787" s="153"/>
      <c r="M2787" s="136" t="str">
        <f t="shared" si="1"/>
        <v/>
      </c>
      <c r="O2787" s="141" t="s">
        <v>133</v>
      </c>
      <c r="P2787" s="136" t="str">
        <f>IFERROR(__xludf.DUMMYFUNCTION("""COMPUTED_VALUE"""),"")</f>
        <v/>
      </c>
      <c r="Q2787" s="136" t="str">
        <f>IFERROR(__xludf.DUMMYFUNCTION("""COMPUTED_VALUE"""),"")</f>
        <v/>
      </c>
      <c r="R2787" s="106" t="str">
        <f>IFERROR(__xludf.DUMMYFUNCTION("""COMPUTED_VALUE"""),"")</f>
        <v/>
      </c>
      <c r="S2787" s="106" t="str">
        <f>IFERROR(__xludf.DUMMYFUNCTION("""COMPUTED_VALUE"""),"")</f>
        <v/>
      </c>
      <c r="T2787" s="139" t="str">
        <f>IFERROR(__xludf.DUMMYFUNCTION("""COMPUTED_VALUE"""),"")</f>
        <v/>
      </c>
      <c r="U2787" s="139" t="str">
        <f>IFERROR(__xludf.DUMMYFUNCTION("""COMPUTED_VALUE"""),"")</f>
        <v/>
      </c>
      <c r="V2787" s="136" t="str">
        <f>IFERROR(__xludf.DUMMYFUNCTION("""COMPUTED_VALUE"""),"")</f>
        <v/>
      </c>
      <c r="W2787" s="106" t="str">
        <f>IFERROR(__xludf.DUMMYFUNCTION("""COMPUTED_VALUE"""),"")</f>
        <v/>
      </c>
      <c r="X2787" s="143" t="str">
        <f t="shared" si="2"/>
        <v/>
      </c>
      <c r="Y2787" s="139" t="str">
        <f>IFERROR(__xludf.DUMMYFUNCTION("""COMPUTED_VALUE"""),"")</f>
        <v/>
      </c>
      <c r="Z2787" s="141" t="str">
        <f>IFERROR(__xludf.DUMMYFUNCTION("""COMPUTED_VALUE"""),"")</f>
        <v/>
      </c>
    </row>
    <row r="2788">
      <c r="D2788" s="136" t="str">
        <f t="shared" si="3"/>
        <v/>
      </c>
      <c r="E2788" s="152"/>
      <c r="F2788" s="106" t="s">
        <v>133</v>
      </c>
      <c r="G2788" s="152"/>
      <c r="H2788" s="106" t="s">
        <v>133</v>
      </c>
      <c r="J2788" s="139" t="s">
        <v>133</v>
      </c>
      <c r="K2788" s="136" t="s">
        <v>133</v>
      </c>
      <c r="L2788" s="153"/>
      <c r="M2788" s="136" t="str">
        <f t="shared" si="1"/>
        <v/>
      </c>
      <c r="O2788" s="141" t="s">
        <v>133</v>
      </c>
      <c r="P2788" s="136" t="str">
        <f>IFERROR(__xludf.DUMMYFUNCTION("""COMPUTED_VALUE"""),"")</f>
        <v/>
      </c>
      <c r="Q2788" s="136" t="str">
        <f>IFERROR(__xludf.DUMMYFUNCTION("""COMPUTED_VALUE"""),"")</f>
        <v/>
      </c>
      <c r="R2788" s="106" t="str">
        <f>IFERROR(__xludf.DUMMYFUNCTION("""COMPUTED_VALUE"""),"")</f>
        <v/>
      </c>
      <c r="S2788" s="106" t="str">
        <f>IFERROR(__xludf.DUMMYFUNCTION("""COMPUTED_VALUE"""),"")</f>
        <v/>
      </c>
      <c r="T2788" s="139" t="str">
        <f>IFERROR(__xludf.DUMMYFUNCTION("""COMPUTED_VALUE"""),"")</f>
        <v/>
      </c>
      <c r="U2788" s="139" t="str">
        <f>IFERROR(__xludf.DUMMYFUNCTION("""COMPUTED_VALUE"""),"")</f>
        <v/>
      </c>
      <c r="V2788" s="136" t="str">
        <f>IFERROR(__xludf.DUMMYFUNCTION("""COMPUTED_VALUE"""),"")</f>
        <v/>
      </c>
      <c r="W2788" s="106" t="str">
        <f>IFERROR(__xludf.DUMMYFUNCTION("""COMPUTED_VALUE"""),"")</f>
        <v/>
      </c>
      <c r="X2788" s="143" t="str">
        <f t="shared" si="2"/>
        <v/>
      </c>
      <c r="Y2788" s="139" t="str">
        <f>IFERROR(__xludf.DUMMYFUNCTION("""COMPUTED_VALUE"""),"")</f>
        <v/>
      </c>
      <c r="Z2788" s="141" t="str">
        <f>IFERROR(__xludf.DUMMYFUNCTION("""COMPUTED_VALUE"""),"")</f>
        <v/>
      </c>
    </row>
    <row r="2789">
      <c r="D2789" s="136" t="str">
        <f t="shared" si="3"/>
        <v/>
      </c>
      <c r="E2789" s="152"/>
      <c r="F2789" s="106" t="s">
        <v>133</v>
      </c>
      <c r="G2789" s="152"/>
      <c r="H2789" s="106" t="s">
        <v>133</v>
      </c>
      <c r="J2789" s="139" t="s">
        <v>133</v>
      </c>
      <c r="K2789" s="136" t="s">
        <v>133</v>
      </c>
      <c r="L2789" s="153"/>
      <c r="M2789" s="136" t="str">
        <f t="shared" si="1"/>
        <v/>
      </c>
      <c r="O2789" s="141" t="s">
        <v>133</v>
      </c>
      <c r="P2789" s="136" t="str">
        <f>IFERROR(__xludf.DUMMYFUNCTION("""COMPUTED_VALUE"""),"")</f>
        <v/>
      </c>
      <c r="Q2789" s="136" t="str">
        <f>IFERROR(__xludf.DUMMYFUNCTION("""COMPUTED_VALUE"""),"")</f>
        <v/>
      </c>
      <c r="R2789" s="106" t="str">
        <f>IFERROR(__xludf.DUMMYFUNCTION("""COMPUTED_VALUE"""),"")</f>
        <v/>
      </c>
      <c r="S2789" s="106" t="str">
        <f>IFERROR(__xludf.DUMMYFUNCTION("""COMPUTED_VALUE"""),"")</f>
        <v/>
      </c>
      <c r="T2789" s="139" t="str">
        <f>IFERROR(__xludf.DUMMYFUNCTION("""COMPUTED_VALUE"""),"")</f>
        <v/>
      </c>
      <c r="U2789" s="139" t="str">
        <f>IFERROR(__xludf.DUMMYFUNCTION("""COMPUTED_VALUE"""),"")</f>
        <v/>
      </c>
      <c r="V2789" s="136" t="str">
        <f>IFERROR(__xludf.DUMMYFUNCTION("""COMPUTED_VALUE"""),"")</f>
        <v/>
      </c>
      <c r="W2789" s="106" t="str">
        <f>IFERROR(__xludf.DUMMYFUNCTION("""COMPUTED_VALUE"""),"")</f>
        <v/>
      </c>
      <c r="X2789" s="143" t="str">
        <f t="shared" si="2"/>
        <v/>
      </c>
      <c r="Y2789" s="139" t="str">
        <f>IFERROR(__xludf.DUMMYFUNCTION("""COMPUTED_VALUE"""),"")</f>
        <v/>
      </c>
      <c r="Z2789" s="141" t="str">
        <f>IFERROR(__xludf.DUMMYFUNCTION("""COMPUTED_VALUE"""),"")</f>
        <v/>
      </c>
    </row>
    <row r="2790">
      <c r="D2790" s="136" t="str">
        <f t="shared" si="3"/>
        <v/>
      </c>
      <c r="E2790" s="152"/>
      <c r="F2790" s="106" t="s">
        <v>133</v>
      </c>
      <c r="G2790" s="152"/>
      <c r="H2790" s="106" t="s">
        <v>133</v>
      </c>
      <c r="J2790" s="139" t="s">
        <v>133</v>
      </c>
      <c r="K2790" s="136" t="s">
        <v>133</v>
      </c>
      <c r="L2790" s="153"/>
      <c r="M2790" s="136" t="str">
        <f t="shared" si="1"/>
        <v/>
      </c>
      <c r="O2790" s="141" t="s">
        <v>133</v>
      </c>
      <c r="P2790" s="136" t="str">
        <f>IFERROR(__xludf.DUMMYFUNCTION("""COMPUTED_VALUE"""),"")</f>
        <v/>
      </c>
      <c r="Q2790" s="136" t="str">
        <f>IFERROR(__xludf.DUMMYFUNCTION("""COMPUTED_VALUE"""),"")</f>
        <v/>
      </c>
      <c r="R2790" s="106" t="str">
        <f>IFERROR(__xludf.DUMMYFUNCTION("""COMPUTED_VALUE"""),"")</f>
        <v/>
      </c>
      <c r="S2790" s="106" t="str">
        <f>IFERROR(__xludf.DUMMYFUNCTION("""COMPUTED_VALUE"""),"")</f>
        <v/>
      </c>
      <c r="T2790" s="139" t="str">
        <f>IFERROR(__xludf.DUMMYFUNCTION("""COMPUTED_VALUE"""),"")</f>
        <v/>
      </c>
      <c r="U2790" s="139" t="str">
        <f>IFERROR(__xludf.DUMMYFUNCTION("""COMPUTED_VALUE"""),"")</f>
        <v/>
      </c>
      <c r="V2790" s="136" t="str">
        <f>IFERROR(__xludf.DUMMYFUNCTION("""COMPUTED_VALUE"""),"")</f>
        <v/>
      </c>
      <c r="W2790" s="106" t="str">
        <f>IFERROR(__xludf.DUMMYFUNCTION("""COMPUTED_VALUE"""),"")</f>
        <v/>
      </c>
      <c r="X2790" s="143" t="str">
        <f t="shared" si="2"/>
        <v/>
      </c>
      <c r="Y2790" s="139" t="str">
        <f>IFERROR(__xludf.DUMMYFUNCTION("""COMPUTED_VALUE"""),"")</f>
        <v/>
      </c>
      <c r="Z2790" s="141" t="str">
        <f>IFERROR(__xludf.DUMMYFUNCTION("""COMPUTED_VALUE"""),"")</f>
        <v/>
      </c>
    </row>
    <row r="2791">
      <c r="D2791" s="136" t="str">
        <f t="shared" si="3"/>
        <v/>
      </c>
      <c r="E2791" s="152"/>
      <c r="F2791" s="106" t="s">
        <v>133</v>
      </c>
      <c r="G2791" s="152"/>
      <c r="H2791" s="106" t="s">
        <v>133</v>
      </c>
      <c r="J2791" s="139" t="s">
        <v>133</v>
      </c>
      <c r="K2791" s="136" t="s">
        <v>133</v>
      </c>
      <c r="L2791" s="153"/>
      <c r="M2791" s="136" t="str">
        <f t="shared" si="1"/>
        <v/>
      </c>
      <c r="O2791" s="141" t="s">
        <v>133</v>
      </c>
      <c r="P2791" s="136" t="str">
        <f>IFERROR(__xludf.DUMMYFUNCTION("""COMPUTED_VALUE"""),"")</f>
        <v/>
      </c>
      <c r="Q2791" s="136" t="str">
        <f>IFERROR(__xludf.DUMMYFUNCTION("""COMPUTED_VALUE"""),"")</f>
        <v/>
      </c>
      <c r="R2791" s="106" t="str">
        <f>IFERROR(__xludf.DUMMYFUNCTION("""COMPUTED_VALUE"""),"")</f>
        <v/>
      </c>
      <c r="S2791" s="106" t="str">
        <f>IFERROR(__xludf.DUMMYFUNCTION("""COMPUTED_VALUE"""),"")</f>
        <v/>
      </c>
      <c r="T2791" s="139" t="str">
        <f>IFERROR(__xludf.DUMMYFUNCTION("""COMPUTED_VALUE"""),"")</f>
        <v/>
      </c>
      <c r="U2791" s="139" t="str">
        <f>IFERROR(__xludf.DUMMYFUNCTION("""COMPUTED_VALUE"""),"")</f>
        <v/>
      </c>
      <c r="V2791" s="136" t="str">
        <f>IFERROR(__xludf.DUMMYFUNCTION("""COMPUTED_VALUE"""),"")</f>
        <v/>
      </c>
      <c r="W2791" s="106" t="str">
        <f>IFERROR(__xludf.DUMMYFUNCTION("""COMPUTED_VALUE"""),"")</f>
        <v/>
      </c>
      <c r="X2791" s="143" t="str">
        <f t="shared" si="2"/>
        <v/>
      </c>
      <c r="Y2791" s="139" t="str">
        <f>IFERROR(__xludf.DUMMYFUNCTION("""COMPUTED_VALUE"""),"")</f>
        <v/>
      </c>
      <c r="Z2791" s="141" t="str">
        <f>IFERROR(__xludf.DUMMYFUNCTION("""COMPUTED_VALUE"""),"")</f>
        <v/>
      </c>
    </row>
    <row r="2792">
      <c r="D2792" s="136" t="str">
        <f t="shared" si="3"/>
        <v/>
      </c>
      <c r="E2792" s="152"/>
      <c r="F2792" s="106" t="s">
        <v>133</v>
      </c>
      <c r="G2792" s="152"/>
      <c r="H2792" s="106" t="s">
        <v>133</v>
      </c>
      <c r="J2792" s="139" t="s">
        <v>133</v>
      </c>
      <c r="K2792" s="136" t="s">
        <v>133</v>
      </c>
      <c r="L2792" s="153"/>
      <c r="M2792" s="136" t="str">
        <f t="shared" si="1"/>
        <v/>
      </c>
      <c r="O2792" s="141" t="s">
        <v>133</v>
      </c>
      <c r="P2792" s="136" t="str">
        <f>IFERROR(__xludf.DUMMYFUNCTION("""COMPUTED_VALUE"""),"")</f>
        <v/>
      </c>
      <c r="Q2792" s="136" t="str">
        <f>IFERROR(__xludf.DUMMYFUNCTION("""COMPUTED_VALUE"""),"")</f>
        <v/>
      </c>
      <c r="R2792" s="106" t="str">
        <f>IFERROR(__xludf.DUMMYFUNCTION("""COMPUTED_VALUE"""),"")</f>
        <v/>
      </c>
      <c r="S2792" s="106" t="str">
        <f>IFERROR(__xludf.DUMMYFUNCTION("""COMPUTED_VALUE"""),"")</f>
        <v/>
      </c>
      <c r="T2792" s="139" t="str">
        <f>IFERROR(__xludf.DUMMYFUNCTION("""COMPUTED_VALUE"""),"")</f>
        <v/>
      </c>
      <c r="U2792" s="139" t="str">
        <f>IFERROR(__xludf.DUMMYFUNCTION("""COMPUTED_VALUE"""),"")</f>
        <v/>
      </c>
      <c r="V2792" s="136" t="str">
        <f>IFERROR(__xludf.DUMMYFUNCTION("""COMPUTED_VALUE"""),"")</f>
        <v/>
      </c>
      <c r="W2792" s="106" t="str">
        <f>IFERROR(__xludf.DUMMYFUNCTION("""COMPUTED_VALUE"""),"")</f>
        <v/>
      </c>
      <c r="X2792" s="143" t="str">
        <f t="shared" si="2"/>
        <v/>
      </c>
      <c r="Y2792" s="139" t="str">
        <f>IFERROR(__xludf.DUMMYFUNCTION("""COMPUTED_VALUE"""),"")</f>
        <v/>
      </c>
      <c r="Z2792" s="141" t="str">
        <f>IFERROR(__xludf.DUMMYFUNCTION("""COMPUTED_VALUE"""),"")</f>
        <v/>
      </c>
    </row>
    <row r="2793">
      <c r="D2793" s="136" t="str">
        <f t="shared" si="3"/>
        <v/>
      </c>
      <c r="E2793" s="152"/>
      <c r="F2793" s="106" t="s">
        <v>133</v>
      </c>
      <c r="G2793" s="152"/>
      <c r="H2793" s="106" t="s">
        <v>133</v>
      </c>
      <c r="J2793" s="139" t="s">
        <v>133</v>
      </c>
      <c r="K2793" s="136" t="s">
        <v>133</v>
      </c>
      <c r="L2793" s="153"/>
      <c r="M2793" s="136" t="str">
        <f t="shared" si="1"/>
        <v/>
      </c>
      <c r="O2793" s="141" t="s">
        <v>133</v>
      </c>
      <c r="P2793" s="136" t="str">
        <f>IFERROR(__xludf.DUMMYFUNCTION("""COMPUTED_VALUE"""),"")</f>
        <v/>
      </c>
      <c r="Q2793" s="136" t="str">
        <f>IFERROR(__xludf.DUMMYFUNCTION("""COMPUTED_VALUE"""),"")</f>
        <v/>
      </c>
      <c r="R2793" s="106" t="str">
        <f>IFERROR(__xludf.DUMMYFUNCTION("""COMPUTED_VALUE"""),"")</f>
        <v/>
      </c>
      <c r="S2793" s="106" t="str">
        <f>IFERROR(__xludf.DUMMYFUNCTION("""COMPUTED_VALUE"""),"")</f>
        <v/>
      </c>
      <c r="T2793" s="139" t="str">
        <f>IFERROR(__xludf.DUMMYFUNCTION("""COMPUTED_VALUE"""),"")</f>
        <v/>
      </c>
      <c r="U2793" s="139" t="str">
        <f>IFERROR(__xludf.DUMMYFUNCTION("""COMPUTED_VALUE"""),"")</f>
        <v/>
      </c>
      <c r="V2793" s="136" t="str">
        <f>IFERROR(__xludf.DUMMYFUNCTION("""COMPUTED_VALUE"""),"")</f>
        <v/>
      </c>
      <c r="W2793" s="106" t="str">
        <f>IFERROR(__xludf.DUMMYFUNCTION("""COMPUTED_VALUE"""),"")</f>
        <v/>
      </c>
      <c r="X2793" s="143" t="str">
        <f t="shared" si="2"/>
        <v/>
      </c>
      <c r="Y2793" s="139" t="str">
        <f>IFERROR(__xludf.DUMMYFUNCTION("""COMPUTED_VALUE"""),"")</f>
        <v/>
      </c>
      <c r="Z2793" s="141" t="str">
        <f>IFERROR(__xludf.DUMMYFUNCTION("""COMPUTED_VALUE"""),"")</f>
        <v/>
      </c>
    </row>
    <row r="2794">
      <c r="D2794" s="136" t="str">
        <f t="shared" si="3"/>
        <v/>
      </c>
      <c r="E2794" s="152"/>
      <c r="F2794" s="106" t="s">
        <v>133</v>
      </c>
      <c r="G2794" s="152"/>
      <c r="H2794" s="106" t="s">
        <v>133</v>
      </c>
      <c r="J2794" s="139" t="s">
        <v>133</v>
      </c>
      <c r="K2794" s="136" t="s">
        <v>133</v>
      </c>
      <c r="L2794" s="153"/>
      <c r="M2794" s="136" t="str">
        <f t="shared" si="1"/>
        <v/>
      </c>
      <c r="O2794" s="141" t="s">
        <v>133</v>
      </c>
      <c r="P2794" s="136" t="str">
        <f>IFERROR(__xludf.DUMMYFUNCTION("""COMPUTED_VALUE"""),"")</f>
        <v/>
      </c>
      <c r="Q2794" s="136" t="str">
        <f>IFERROR(__xludf.DUMMYFUNCTION("""COMPUTED_VALUE"""),"")</f>
        <v/>
      </c>
      <c r="R2794" s="106" t="str">
        <f>IFERROR(__xludf.DUMMYFUNCTION("""COMPUTED_VALUE"""),"")</f>
        <v/>
      </c>
      <c r="S2794" s="106" t="str">
        <f>IFERROR(__xludf.DUMMYFUNCTION("""COMPUTED_VALUE"""),"")</f>
        <v/>
      </c>
      <c r="T2794" s="139" t="str">
        <f>IFERROR(__xludf.DUMMYFUNCTION("""COMPUTED_VALUE"""),"")</f>
        <v/>
      </c>
      <c r="U2794" s="139" t="str">
        <f>IFERROR(__xludf.DUMMYFUNCTION("""COMPUTED_VALUE"""),"")</f>
        <v/>
      </c>
      <c r="V2794" s="136" t="str">
        <f>IFERROR(__xludf.DUMMYFUNCTION("""COMPUTED_VALUE"""),"")</f>
        <v/>
      </c>
      <c r="W2794" s="106" t="str">
        <f>IFERROR(__xludf.DUMMYFUNCTION("""COMPUTED_VALUE"""),"")</f>
        <v/>
      </c>
      <c r="X2794" s="143" t="str">
        <f t="shared" si="2"/>
        <v/>
      </c>
      <c r="Y2794" s="139" t="str">
        <f>IFERROR(__xludf.DUMMYFUNCTION("""COMPUTED_VALUE"""),"")</f>
        <v/>
      </c>
      <c r="Z2794" s="141" t="str">
        <f>IFERROR(__xludf.DUMMYFUNCTION("""COMPUTED_VALUE"""),"")</f>
        <v/>
      </c>
    </row>
    <row r="2795">
      <c r="D2795" s="136" t="str">
        <f t="shared" si="3"/>
        <v/>
      </c>
      <c r="E2795" s="152"/>
      <c r="F2795" s="106" t="s">
        <v>133</v>
      </c>
      <c r="G2795" s="152"/>
      <c r="H2795" s="106" t="s">
        <v>133</v>
      </c>
      <c r="J2795" s="139" t="s">
        <v>133</v>
      </c>
      <c r="K2795" s="136" t="s">
        <v>133</v>
      </c>
      <c r="L2795" s="153"/>
      <c r="M2795" s="136" t="str">
        <f t="shared" si="1"/>
        <v/>
      </c>
      <c r="O2795" s="141" t="s">
        <v>133</v>
      </c>
      <c r="P2795" s="136" t="str">
        <f>IFERROR(__xludf.DUMMYFUNCTION("""COMPUTED_VALUE"""),"")</f>
        <v/>
      </c>
      <c r="Q2795" s="136" t="str">
        <f>IFERROR(__xludf.DUMMYFUNCTION("""COMPUTED_VALUE"""),"")</f>
        <v/>
      </c>
      <c r="R2795" s="106" t="str">
        <f>IFERROR(__xludf.DUMMYFUNCTION("""COMPUTED_VALUE"""),"")</f>
        <v/>
      </c>
      <c r="S2795" s="106" t="str">
        <f>IFERROR(__xludf.DUMMYFUNCTION("""COMPUTED_VALUE"""),"")</f>
        <v/>
      </c>
      <c r="T2795" s="139" t="str">
        <f>IFERROR(__xludf.DUMMYFUNCTION("""COMPUTED_VALUE"""),"")</f>
        <v/>
      </c>
      <c r="U2795" s="139" t="str">
        <f>IFERROR(__xludf.DUMMYFUNCTION("""COMPUTED_VALUE"""),"")</f>
        <v/>
      </c>
      <c r="V2795" s="136" t="str">
        <f>IFERROR(__xludf.DUMMYFUNCTION("""COMPUTED_VALUE"""),"")</f>
        <v/>
      </c>
      <c r="W2795" s="106" t="str">
        <f>IFERROR(__xludf.DUMMYFUNCTION("""COMPUTED_VALUE"""),"")</f>
        <v/>
      </c>
      <c r="X2795" s="143" t="str">
        <f t="shared" si="2"/>
        <v/>
      </c>
      <c r="Y2795" s="139" t="str">
        <f>IFERROR(__xludf.DUMMYFUNCTION("""COMPUTED_VALUE"""),"")</f>
        <v/>
      </c>
      <c r="Z2795" s="141" t="str">
        <f>IFERROR(__xludf.DUMMYFUNCTION("""COMPUTED_VALUE"""),"")</f>
        <v/>
      </c>
    </row>
    <row r="2796">
      <c r="D2796" s="136" t="str">
        <f t="shared" si="3"/>
        <v/>
      </c>
      <c r="E2796" s="152"/>
      <c r="F2796" s="106" t="s">
        <v>133</v>
      </c>
      <c r="G2796" s="152"/>
      <c r="H2796" s="106" t="s">
        <v>133</v>
      </c>
      <c r="J2796" s="139" t="s">
        <v>133</v>
      </c>
      <c r="K2796" s="136" t="s">
        <v>133</v>
      </c>
      <c r="L2796" s="153"/>
      <c r="M2796" s="136" t="str">
        <f t="shared" si="1"/>
        <v/>
      </c>
      <c r="O2796" s="141" t="s">
        <v>133</v>
      </c>
      <c r="P2796" s="136" t="str">
        <f>IFERROR(__xludf.DUMMYFUNCTION("""COMPUTED_VALUE"""),"")</f>
        <v/>
      </c>
      <c r="Q2796" s="136" t="str">
        <f>IFERROR(__xludf.DUMMYFUNCTION("""COMPUTED_VALUE"""),"")</f>
        <v/>
      </c>
      <c r="R2796" s="106" t="str">
        <f>IFERROR(__xludf.DUMMYFUNCTION("""COMPUTED_VALUE"""),"")</f>
        <v/>
      </c>
      <c r="S2796" s="106" t="str">
        <f>IFERROR(__xludf.DUMMYFUNCTION("""COMPUTED_VALUE"""),"")</f>
        <v/>
      </c>
      <c r="T2796" s="139" t="str">
        <f>IFERROR(__xludf.DUMMYFUNCTION("""COMPUTED_VALUE"""),"")</f>
        <v/>
      </c>
      <c r="U2796" s="139" t="str">
        <f>IFERROR(__xludf.DUMMYFUNCTION("""COMPUTED_VALUE"""),"")</f>
        <v/>
      </c>
      <c r="V2796" s="136" t="str">
        <f>IFERROR(__xludf.DUMMYFUNCTION("""COMPUTED_VALUE"""),"")</f>
        <v/>
      </c>
      <c r="W2796" s="106" t="str">
        <f>IFERROR(__xludf.DUMMYFUNCTION("""COMPUTED_VALUE"""),"")</f>
        <v/>
      </c>
      <c r="X2796" s="143" t="str">
        <f t="shared" si="2"/>
        <v/>
      </c>
      <c r="Y2796" s="139" t="str">
        <f>IFERROR(__xludf.DUMMYFUNCTION("""COMPUTED_VALUE"""),"")</f>
        <v/>
      </c>
      <c r="Z2796" s="141" t="str">
        <f>IFERROR(__xludf.DUMMYFUNCTION("""COMPUTED_VALUE"""),"")</f>
        <v/>
      </c>
    </row>
    <row r="2797">
      <c r="D2797" s="136" t="str">
        <f t="shared" si="3"/>
        <v/>
      </c>
      <c r="E2797" s="152"/>
      <c r="F2797" s="106" t="s">
        <v>133</v>
      </c>
      <c r="G2797" s="152"/>
      <c r="H2797" s="106" t="s">
        <v>133</v>
      </c>
      <c r="J2797" s="139" t="s">
        <v>133</v>
      </c>
      <c r="K2797" s="136" t="s">
        <v>133</v>
      </c>
      <c r="L2797" s="153"/>
      <c r="M2797" s="136" t="str">
        <f t="shared" si="1"/>
        <v/>
      </c>
      <c r="O2797" s="141" t="s">
        <v>133</v>
      </c>
      <c r="P2797" s="136" t="str">
        <f>IFERROR(__xludf.DUMMYFUNCTION("""COMPUTED_VALUE"""),"")</f>
        <v/>
      </c>
      <c r="Q2797" s="136" t="str">
        <f>IFERROR(__xludf.DUMMYFUNCTION("""COMPUTED_VALUE"""),"")</f>
        <v/>
      </c>
      <c r="R2797" s="106" t="str">
        <f>IFERROR(__xludf.DUMMYFUNCTION("""COMPUTED_VALUE"""),"")</f>
        <v/>
      </c>
      <c r="S2797" s="106" t="str">
        <f>IFERROR(__xludf.DUMMYFUNCTION("""COMPUTED_VALUE"""),"")</f>
        <v/>
      </c>
      <c r="T2797" s="139" t="str">
        <f>IFERROR(__xludf.DUMMYFUNCTION("""COMPUTED_VALUE"""),"")</f>
        <v/>
      </c>
      <c r="U2797" s="139" t="str">
        <f>IFERROR(__xludf.DUMMYFUNCTION("""COMPUTED_VALUE"""),"")</f>
        <v/>
      </c>
      <c r="V2797" s="136" t="str">
        <f>IFERROR(__xludf.DUMMYFUNCTION("""COMPUTED_VALUE"""),"")</f>
        <v/>
      </c>
      <c r="W2797" s="106" t="str">
        <f>IFERROR(__xludf.DUMMYFUNCTION("""COMPUTED_VALUE"""),"")</f>
        <v/>
      </c>
      <c r="X2797" s="143" t="str">
        <f t="shared" si="2"/>
        <v/>
      </c>
      <c r="Y2797" s="139" t="str">
        <f>IFERROR(__xludf.DUMMYFUNCTION("""COMPUTED_VALUE"""),"")</f>
        <v/>
      </c>
      <c r="Z2797" s="141" t="str">
        <f>IFERROR(__xludf.DUMMYFUNCTION("""COMPUTED_VALUE"""),"")</f>
        <v/>
      </c>
    </row>
    <row r="2798">
      <c r="D2798" s="136" t="str">
        <f t="shared" si="3"/>
        <v/>
      </c>
      <c r="E2798" s="152"/>
      <c r="F2798" s="106" t="s">
        <v>133</v>
      </c>
      <c r="G2798" s="152"/>
      <c r="H2798" s="106" t="s">
        <v>133</v>
      </c>
      <c r="J2798" s="139" t="s">
        <v>133</v>
      </c>
      <c r="K2798" s="136" t="s">
        <v>133</v>
      </c>
      <c r="L2798" s="153"/>
      <c r="M2798" s="136" t="str">
        <f t="shared" si="1"/>
        <v/>
      </c>
      <c r="O2798" s="141" t="s">
        <v>133</v>
      </c>
      <c r="P2798" s="136" t="str">
        <f>IFERROR(__xludf.DUMMYFUNCTION("""COMPUTED_VALUE"""),"")</f>
        <v/>
      </c>
      <c r="Q2798" s="136" t="str">
        <f>IFERROR(__xludf.DUMMYFUNCTION("""COMPUTED_VALUE"""),"")</f>
        <v/>
      </c>
      <c r="R2798" s="106" t="str">
        <f>IFERROR(__xludf.DUMMYFUNCTION("""COMPUTED_VALUE"""),"")</f>
        <v/>
      </c>
      <c r="S2798" s="106" t="str">
        <f>IFERROR(__xludf.DUMMYFUNCTION("""COMPUTED_VALUE"""),"")</f>
        <v/>
      </c>
      <c r="T2798" s="139" t="str">
        <f>IFERROR(__xludf.DUMMYFUNCTION("""COMPUTED_VALUE"""),"")</f>
        <v/>
      </c>
      <c r="U2798" s="139" t="str">
        <f>IFERROR(__xludf.DUMMYFUNCTION("""COMPUTED_VALUE"""),"")</f>
        <v/>
      </c>
      <c r="V2798" s="136" t="str">
        <f>IFERROR(__xludf.DUMMYFUNCTION("""COMPUTED_VALUE"""),"")</f>
        <v/>
      </c>
      <c r="W2798" s="106" t="str">
        <f>IFERROR(__xludf.DUMMYFUNCTION("""COMPUTED_VALUE"""),"")</f>
        <v/>
      </c>
      <c r="X2798" s="143" t="str">
        <f t="shared" si="2"/>
        <v/>
      </c>
      <c r="Y2798" s="139" t="str">
        <f>IFERROR(__xludf.DUMMYFUNCTION("""COMPUTED_VALUE"""),"")</f>
        <v/>
      </c>
      <c r="Z2798" s="141" t="str">
        <f>IFERROR(__xludf.DUMMYFUNCTION("""COMPUTED_VALUE"""),"")</f>
        <v/>
      </c>
    </row>
    <row r="2799">
      <c r="D2799" s="136" t="str">
        <f t="shared" si="3"/>
        <v/>
      </c>
      <c r="E2799" s="152"/>
      <c r="F2799" s="106" t="s">
        <v>133</v>
      </c>
      <c r="G2799" s="152"/>
      <c r="H2799" s="106" t="s">
        <v>133</v>
      </c>
      <c r="J2799" s="139" t="s">
        <v>133</v>
      </c>
      <c r="K2799" s="136" t="s">
        <v>133</v>
      </c>
      <c r="L2799" s="153"/>
      <c r="M2799" s="136" t="str">
        <f t="shared" si="1"/>
        <v/>
      </c>
      <c r="O2799" s="141" t="s">
        <v>133</v>
      </c>
      <c r="P2799" s="136" t="str">
        <f>IFERROR(__xludf.DUMMYFUNCTION("""COMPUTED_VALUE"""),"")</f>
        <v/>
      </c>
      <c r="Q2799" s="136" t="str">
        <f>IFERROR(__xludf.DUMMYFUNCTION("""COMPUTED_VALUE"""),"")</f>
        <v/>
      </c>
      <c r="R2799" s="106" t="str">
        <f>IFERROR(__xludf.DUMMYFUNCTION("""COMPUTED_VALUE"""),"")</f>
        <v/>
      </c>
      <c r="S2799" s="106" t="str">
        <f>IFERROR(__xludf.DUMMYFUNCTION("""COMPUTED_VALUE"""),"")</f>
        <v/>
      </c>
      <c r="T2799" s="139" t="str">
        <f>IFERROR(__xludf.DUMMYFUNCTION("""COMPUTED_VALUE"""),"")</f>
        <v/>
      </c>
      <c r="U2799" s="139" t="str">
        <f>IFERROR(__xludf.DUMMYFUNCTION("""COMPUTED_VALUE"""),"")</f>
        <v/>
      </c>
      <c r="V2799" s="136" t="str">
        <f>IFERROR(__xludf.DUMMYFUNCTION("""COMPUTED_VALUE"""),"")</f>
        <v/>
      </c>
      <c r="W2799" s="106" t="str">
        <f>IFERROR(__xludf.DUMMYFUNCTION("""COMPUTED_VALUE"""),"")</f>
        <v/>
      </c>
      <c r="X2799" s="143" t="str">
        <f t="shared" si="2"/>
        <v/>
      </c>
      <c r="Y2799" s="139" t="str">
        <f>IFERROR(__xludf.DUMMYFUNCTION("""COMPUTED_VALUE"""),"")</f>
        <v/>
      </c>
      <c r="Z2799" s="141" t="str">
        <f>IFERROR(__xludf.DUMMYFUNCTION("""COMPUTED_VALUE"""),"")</f>
        <v/>
      </c>
    </row>
    <row r="2800">
      <c r="D2800" s="136" t="str">
        <f t="shared" si="3"/>
        <v/>
      </c>
      <c r="E2800" s="152"/>
      <c r="F2800" s="106" t="s">
        <v>133</v>
      </c>
      <c r="G2800" s="152"/>
      <c r="H2800" s="106" t="s">
        <v>133</v>
      </c>
      <c r="J2800" s="139" t="s">
        <v>133</v>
      </c>
      <c r="K2800" s="136" t="s">
        <v>133</v>
      </c>
      <c r="L2800" s="153"/>
      <c r="M2800" s="136" t="str">
        <f t="shared" si="1"/>
        <v/>
      </c>
      <c r="O2800" s="141" t="s">
        <v>133</v>
      </c>
      <c r="P2800" s="136" t="str">
        <f>IFERROR(__xludf.DUMMYFUNCTION("""COMPUTED_VALUE"""),"")</f>
        <v/>
      </c>
      <c r="Q2800" s="136" t="str">
        <f>IFERROR(__xludf.DUMMYFUNCTION("""COMPUTED_VALUE"""),"")</f>
        <v/>
      </c>
      <c r="R2800" s="106" t="str">
        <f>IFERROR(__xludf.DUMMYFUNCTION("""COMPUTED_VALUE"""),"")</f>
        <v/>
      </c>
      <c r="S2800" s="106" t="str">
        <f>IFERROR(__xludf.DUMMYFUNCTION("""COMPUTED_VALUE"""),"")</f>
        <v/>
      </c>
      <c r="T2800" s="139" t="str">
        <f>IFERROR(__xludf.DUMMYFUNCTION("""COMPUTED_VALUE"""),"")</f>
        <v/>
      </c>
      <c r="U2800" s="139" t="str">
        <f>IFERROR(__xludf.DUMMYFUNCTION("""COMPUTED_VALUE"""),"")</f>
        <v/>
      </c>
      <c r="V2800" s="136" t="str">
        <f>IFERROR(__xludf.DUMMYFUNCTION("""COMPUTED_VALUE"""),"")</f>
        <v/>
      </c>
      <c r="W2800" s="106" t="str">
        <f>IFERROR(__xludf.DUMMYFUNCTION("""COMPUTED_VALUE"""),"")</f>
        <v/>
      </c>
      <c r="X2800" s="143" t="str">
        <f t="shared" si="2"/>
        <v/>
      </c>
      <c r="Y2800" s="139" t="str">
        <f>IFERROR(__xludf.DUMMYFUNCTION("""COMPUTED_VALUE"""),"")</f>
        <v/>
      </c>
      <c r="Z2800" s="141" t="str">
        <f>IFERROR(__xludf.DUMMYFUNCTION("""COMPUTED_VALUE"""),"")</f>
        <v/>
      </c>
    </row>
    <row r="2801">
      <c r="D2801" s="136" t="str">
        <f t="shared" si="3"/>
        <v/>
      </c>
      <c r="E2801" s="152"/>
      <c r="F2801" s="106" t="s">
        <v>133</v>
      </c>
      <c r="G2801" s="152"/>
      <c r="H2801" s="106" t="s">
        <v>133</v>
      </c>
      <c r="J2801" s="139" t="s">
        <v>133</v>
      </c>
      <c r="K2801" s="136" t="s">
        <v>133</v>
      </c>
      <c r="L2801" s="153"/>
      <c r="M2801" s="136" t="str">
        <f t="shared" si="1"/>
        <v/>
      </c>
      <c r="O2801" s="141" t="s">
        <v>133</v>
      </c>
      <c r="P2801" s="136" t="str">
        <f>IFERROR(__xludf.DUMMYFUNCTION("""COMPUTED_VALUE"""),"")</f>
        <v/>
      </c>
      <c r="Q2801" s="136" t="str">
        <f>IFERROR(__xludf.DUMMYFUNCTION("""COMPUTED_VALUE"""),"")</f>
        <v/>
      </c>
      <c r="R2801" s="106" t="str">
        <f>IFERROR(__xludf.DUMMYFUNCTION("""COMPUTED_VALUE"""),"")</f>
        <v/>
      </c>
      <c r="S2801" s="106" t="str">
        <f>IFERROR(__xludf.DUMMYFUNCTION("""COMPUTED_VALUE"""),"")</f>
        <v/>
      </c>
      <c r="T2801" s="139" t="str">
        <f>IFERROR(__xludf.DUMMYFUNCTION("""COMPUTED_VALUE"""),"")</f>
        <v/>
      </c>
      <c r="U2801" s="139" t="str">
        <f>IFERROR(__xludf.DUMMYFUNCTION("""COMPUTED_VALUE"""),"")</f>
        <v/>
      </c>
      <c r="V2801" s="136" t="str">
        <f>IFERROR(__xludf.DUMMYFUNCTION("""COMPUTED_VALUE"""),"")</f>
        <v/>
      </c>
      <c r="W2801" s="106" t="str">
        <f>IFERROR(__xludf.DUMMYFUNCTION("""COMPUTED_VALUE"""),"")</f>
        <v/>
      </c>
      <c r="X2801" s="143" t="str">
        <f t="shared" si="2"/>
        <v/>
      </c>
      <c r="Y2801" s="139" t="str">
        <f>IFERROR(__xludf.DUMMYFUNCTION("""COMPUTED_VALUE"""),"")</f>
        <v/>
      </c>
      <c r="Z2801" s="141" t="str">
        <f>IFERROR(__xludf.DUMMYFUNCTION("""COMPUTED_VALUE"""),"")</f>
        <v/>
      </c>
    </row>
    <row r="2802">
      <c r="D2802" s="136" t="str">
        <f t="shared" si="3"/>
        <v/>
      </c>
      <c r="E2802" s="152"/>
      <c r="F2802" s="106" t="s">
        <v>133</v>
      </c>
      <c r="G2802" s="152"/>
      <c r="H2802" s="106" t="s">
        <v>133</v>
      </c>
      <c r="J2802" s="139" t="s">
        <v>133</v>
      </c>
      <c r="K2802" s="136" t="s">
        <v>133</v>
      </c>
      <c r="L2802" s="153"/>
      <c r="M2802" s="136" t="str">
        <f t="shared" si="1"/>
        <v/>
      </c>
      <c r="O2802" s="141" t="s">
        <v>133</v>
      </c>
      <c r="P2802" s="136" t="str">
        <f>IFERROR(__xludf.DUMMYFUNCTION("""COMPUTED_VALUE"""),"")</f>
        <v/>
      </c>
      <c r="Q2802" s="136" t="str">
        <f>IFERROR(__xludf.DUMMYFUNCTION("""COMPUTED_VALUE"""),"")</f>
        <v/>
      </c>
      <c r="R2802" s="106" t="str">
        <f>IFERROR(__xludf.DUMMYFUNCTION("""COMPUTED_VALUE"""),"")</f>
        <v/>
      </c>
      <c r="S2802" s="106" t="str">
        <f>IFERROR(__xludf.DUMMYFUNCTION("""COMPUTED_VALUE"""),"")</f>
        <v/>
      </c>
      <c r="T2802" s="139" t="str">
        <f>IFERROR(__xludf.DUMMYFUNCTION("""COMPUTED_VALUE"""),"")</f>
        <v/>
      </c>
      <c r="U2802" s="139" t="str">
        <f>IFERROR(__xludf.DUMMYFUNCTION("""COMPUTED_VALUE"""),"")</f>
        <v/>
      </c>
      <c r="V2802" s="136" t="str">
        <f>IFERROR(__xludf.DUMMYFUNCTION("""COMPUTED_VALUE"""),"")</f>
        <v/>
      </c>
      <c r="W2802" s="106" t="str">
        <f>IFERROR(__xludf.DUMMYFUNCTION("""COMPUTED_VALUE"""),"")</f>
        <v/>
      </c>
      <c r="X2802" s="143" t="str">
        <f t="shared" si="2"/>
        <v/>
      </c>
      <c r="Y2802" s="139" t="str">
        <f>IFERROR(__xludf.DUMMYFUNCTION("""COMPUTED_VALUE"""),"")</f>
        <v/>
      </c>
      <c r="Z2802" s="141" t="str">
        <f>IFERROR(__xludf.DUMMYFUNCTION("""COMPUTED_VALUE"""),"")</f>
        <v/>
      </c>
    </row>
    <row r="2803">
      <c r="D2803" s="136" t="str">
        <f t="shared" si="3"/>
        <v/>
      </c>
      <c r="E2803" s="152"/>
      <c r="F2803" s="106" t="s">
        <v>133</v>
      </c>
      <c r="G2803" s="152"/>
      <c r="H2803" s="106" t="s">
        <v>133</v>
      </c>
      <c r="J2803" s="139" t="s">
        <v>133</v>
      </c>
      <c r="K2803" s="136" t="s">
        <v>133</v>
      </c>
      <c r="L2803" s="153"/>
      <c r="M2803" s="136" t="str">
        <f t="shared" si="1"/>
        <v/>
      </c>
      <c r="O2803" s="141" t="s">
        <v>133</v>
      </c>
      <c r="P2803" s="136" t="str">
        <f>IFERROR(__xludf.DUMMYFUNCTION("""COMPUTED_VALUE"""),"")</f>
        <v/>
      </c>
      <c r="Q2803" s="136" t="str">
        <f>IFERROR(__xludf.DUMMYFUNCTION("""COMPUTED_VALUE"""),"")</f>
        <v/>
      </c>
      <c r="R2803" s="106" t="str">
        <f>IFERROR(__xludf.DUMMYFUNCTION("""COMPUTED_VALUE"""),"")</f>
        <v/>
      </c>
      <c r="S2803" s="106" t="str">
        <f>IFERROR(__xludf.DUMMYFUNCTION("""COMPUTED_VALUE"""),"")</f>
        <v/>
      </c>
      <c r="T2803" s="139" t="str">
        <f>IFERROR(__xludf.DUMMYFUNCTION("""COMPUTED_VALUE"""),"")</f>
        <v/>
      </c>
      <c r="U2803" s="139" t="str">
        <f>IFERROR(__xludf.DUMMYFUNCTION("""COMPUTED_VALUE"""),"")</f>
        <v/>
      </c>
      <c r="V2803" s="136" t="str">
        <f>IFERROR(__xludf.DUMMYFUNCTION("""COMPUTED_VALUE"""),"")</f>
        <v/>
      </c>
      <c r="W2803" s="106" t="str">
        <f>IFERROR(__xludf.DUMMYFUNCTION("""COMPUTED_VALUE"""),"")</f>
        <v/>
      </c>
      <c r="X2803" s="143" t="str">
        <f t="shared" si="2"/>
        <v/>
      </c>
      <c r="Y2803" s="139" t="str">
        <f>IFERROR(__xludf.DUMMYFUNCTION("""COMPUTED_VALUE"""),"")</f>
        <v/>
      </c>
      <c r="Z2803" s="141" t="str">
        <f>IFERROR(__xludf.DUMMYFUNCTION("""COMPUTED_VALUE"""),"")</f>
        <v/>
      </c>
    </row>
    <row r="2804">
      <c r="D2804" s="136" t="str">
        <f t="shared" si="3"/>
        <v/>
      </c>
      <c r="E2804" s="152"/>
      <c r="F2804" s="106" t="s">
        <v>133</v>
      </c>
      <c r="G2804" s="152"/>
      <c r="H2804" s="106" t="s">
        <v>133</v>
      </c>
      <c r="J2804" s="139" t="s">
        <v>133</v>
      </c>
      <c r="K2804" s="136" t="s">
        <v>133</v>
      </c>
      <c r="L2804" s="153"/>
      <c r="M2804" s="136" t="str">
        <f t="shared" si="1"/>
        <v/>
      </c>
      <c r="O2804" s="141" t="s">
        <v>133</v>
      </c>
      <c r="P2804" s="136" t="str">
        <f>IFERROR(__xludf.DUMMYFUNCTION("""COMPUTED_VALUE"""),"")</f>
        <v/>
      </c>
      <c r="Q2804" s="136" t="str">
        <f>IFERROR(__xludf.DUMMYFUNCTION("""COMPUTED_VALUE"""),"")</f>
        <v/>
      </c>
      <c r="R2804" s="106" t="str">
        <f>IFERROR(__xludf.DUMMYFUNCTION("""COMPUTED_VALUE"""),"")</f>
        <v/>
      </c>
      <c r="S2804" s="106" t="str">
        <f>IFERROR(__xludf.DUMMYFUNCTION("""COMPUTED_VALUE"""),"")</f>
        <v/>
      </c>
      <c r="T2804" s="139" t="str">
        <f>IFERROR(__xludf.DUMMYFUNCTION("""COMPUTED_VALUE"""),"")</f>
        <v/>
      </c>
      <c r="U2804" s="139" t="str">
        <f>IFERROR(__xludf.DUMMYFUNCTION("""COMPUTED_VALUE"""),"")</f>
        <v/>
      </c>
      <c r="V2804" s="136" t="str">
        <f>IFERROR(__xludf.DUMMYFUNCTION("""COMPUTED_VALUE"""),"")</f>
        <v/>
      </c>
      <c r="W2804" s="106" t="str">
        <f>IFERROR(__xludf.DUMMYFUNCTION("""COMPUTED_VALUE"""),"")</f>
        <v/>
      </c>
      <c r="X2804" s="143" t="str">
        <f t="shared" si="2"/>
        <v/>
      </c>
      <c r="Y2804" s="139" t="str">
        <f>IFERROR(__xludf.DUMMYFUNCTION("""COMPUTED_VALUE"""),"")</f>
        <v/>
      </c>
      <c r="Z2804" s="141" t="str">
        <f>IFERROR(__xludf.DUMMYFUNCTION("""COMPUTED_VALUE"""),"")</f>
        <v/>
      </c>
    </row>
    <row r="2805">
      <c r="D2805" s="136" t="str">
        <f t="shared" si="3"/>
        <v/>
      </c>
      <c r="E2805" s="152"/>
      <c r="F2805" s="106" t="s">
        <v>133</v>
      </c>
      <c r="G2805" s="152"/>
      <c r="H2805" s="106" t="s">
        <v>133</v>
      </c>
      <c r="J2805" s="139" t="s">
        <v>133</v>
      </c>
      <c r="K2805" s="136" t="s">
        <v>133</v>
      </c>
      <c r="L2805" s="153"/>
      <c r="M2805" s="136" t="str">
        <f t="shared" si="1"/>
        <v/>
      </c>
      <c r="O2805" s="141" t="s">
        <v>133</v>
      </c>
      <c r="P2805" s="136" t="str">
        <f>IFERROR(__xludf.DUMMYFUNCTION("""COMPUTED_VALUE"""),"")</f>
        <v/>
      </c>
      <c r="Q2805" s="136" t="str">
        <f>IFERROR(__xludf.DUMMYFUNCTION("""COMPUTED_VALUE"""),"")</f>
        <v/>
      </c>
      <c r="R2805" s="106" t="str">
        <f>IFERROR(__xludf.DUMMYFUNCTION("""COMPUTED_VALUE"""),"")</f>
        <v/>
      </c>
      <c r="S2805" s="106" t="str">
        <f>IFERROR(__xludf.DUMMYFUNCTION("""COMPUTED_VALUE"""),"")</f>
        <v/>
      </c>
      <c r="T2805" s="139" t="str">
        <f>IFERROR(__xludf.DUMMYFUNCTION("""COMPUTED_VALUE"""),"")</f>
        <v/>
      </c>
      <c r="U2805" s="139" t="str">
        <f>IFERROR(__xludf.DUMMYFUNCTION("""COMPUTED_VALUE"""),"")</f>
        <v/>
      </c>
      <c r="V2805" s="136" t="str">
        <f>IFERROR(__xludf.DUMMYFUNCTION("""COMPUTED_VALUE"""),"")</f>
        <v/>
      </c>
      <c r="W2805" s="106" t="str">
        <f>IFERROR(__xludf.DUMMYFUNCTION("""COMPUTED_VALUE"""),"")</f>
        <v/>
      </c>
      <c r="X2805" s="143" t="str">
        <f t="shared" si="2"/>
        <v/>
      </c>
      <c r="Y2805" s="139" t="str">
        <f>IFERROR(__xludf.DUMMYFUNCTION("""COMPUTED_VALUE"""),"")</f>
        <v/>
      </c>
      <c r="Z2805" s="141" t="str">
        <f>IFERROR(__xludf.DUMMYFUNCTION("""COMPUTED_VALUE"""),"")</f>
        <v/>
      </c>
    </row>
    <row r="2806">
      <c r="D2806" s="136" t="str">
        <f t="shared" si="3"/>
        <v/>
      </c>
      <c r="E2806" s="152"/>
      <c r="F2806" s="106" t="s">
        <v>133</v>
      </c>
      <c r="G2806" s="152"/>
      <c r="H2806" s="106" t="s">
        <v>133</v>
      </c>
      <c r="J2806" s="139" t="s">
        <v>133</v>
      </c>
      <c r="K2806" s="136" t="s">
        <v>133</v>
      </c>
      <c r="L2806" s="153"/>
      <c r="M2806" s="136" t="str">
        <f t="shared" si="1"/>
        <v/>
      </c>
      <c r="O2806" s="141" t="s">
        <v>133</v>
      </c>
      <c r="P2806" s="136" t="str">
        <f>IFERROR(__xludf.DUMMYFUNCTION("""COMPUTED_VALUE"""),"")</f>
        <v/>
      </c>
      <c r="Q2806" s="136" t="str">
        <f>IFERROR(__xludf.DUMMYFUNCTION("""COMPUTED_VALUE"""),"")</f>
        <v/>
      </c>
      <c r="R2806" s="106" t="str">
        <f>IFERROR(__xludf.DUMMYFUNCTION("""COMPUTED_VALUE"""),"")</f>
        <v/>
      </c>
      <c r="S2806" s="106" t="str">
        <f>IFERROR(__xludf.DUMMYFUNCTION("""COMPUTED_VALUE"""),"")</f>
        <v/>
      </c>
      <c r="T2806" s="139" t="str">
        <f>IFERROR(__xludf.DUMMYFUNCTION("""COMPUTED_VALUE"""),"")</f>
        <v/>
      </c>
      <c r="U2806" s="139" t="str">
        <f>IFERROR(__xludf.DUMMYFUNCTION("""COMPUTED_VALUE"""),"")</f>
        <v/>
      </c>
      <c r="V2806" s="136" t="str">
        <f>IFERROR(__xludf.DUMMYFUNCTION("""COMPUTED_VALUE"""),"")</f>
        <v/>
      </c>
      <c r="W2806" s="106" t="str">
        <f>IFERROR(__xludf.DUMMYFUNCTION("""COMPUTED_VALUE"""),"")</f>
        <v/>
      </c>
      <c r="X2806" s="143" t="str">
        <f t="shared" si="2"/>
        <v/>
      </c>
      <c r="Y2806" s="139" t="str">
        <f>IFERROR(__xludf.DUMMYFUNCTION("""COMPUTED_VALUE"""),"")</f>
        <v/>
      </c>
      <c r="Z2806" s="141" t="str">
        <f>IFERROR(__xludf.DUMMYFUNCTION("""COMPUTED_VALUE"""),"")</f>
        <v/>
      </c>
    </row>
    <row r="2807">
      <c r="D2807" s="136" t="str">
        <f t="shared" si="3"/>
        <v/>
      </c>
      <c r="E2807" s="152"/>
      <c r="F2807" s="106" t="s">
        <v>133</v>
      </c>
      <c r="G2807" s="152"/>
      <c r="H2807" s="106" t="s">
        <v>133</v>
      </c>
      <c r="J2807" s="139" t="s">
        <v>133</v>
      </c>
      <c r="K2807" s="136" t="s">
        <v>133</v>
      </c>
      <c r="L2807" s="153"/>
      <c r="M2807" s="136" t="str">
        <f t="shared" si="1"/>
        <v/>
      </c>
      <c r="O2807" s="141" t="s">
        <v>133</v>
      </c>
      <c r="P2807" s="136" t="str">
        <f>IFERROR(__xludf.DUMMYFUNCTION("""COMPUTED_VALUE"""),"")</f>
        <v/>
      </c>
      <c r="Q2807" s="136" t="str">
        <f>IFERROR(__xludf.DUMMYFUNCTION("""COMPUTED_VALUE"""),"")</f>
        <v/>
      </c>
      <c r="R2807" s="106" t="str">
        <f>IFERROR(__xludf.DUMMYFUNCTION("""COMPUTED_VALUE"""),"")</f>
        <v/>
      </c>
      <c r="S2807" s="106" t="str">
        <f>IFERROR(__xludf.DUMMYFUNCTION("""COMPUTED_VALUE"""),"")</f>
        <v/>
      </c>
      <c r="T2807" s="139" t="str">
        <f>IFERROR(__xludf.DUMMYFUNCTION("""COMPUTED_VALUE"""),"")</f>
        <v/>
      </c>
      <c r="U2807" s="139" t="str">
        <f>IFERROR(__xludf.DUMMYFUNCTION("""COMPUTED_VALUE"""),"")</f>
        <v/>
      </c>
      <c r="V2807" s="136" t="str">
        <f>IFERROR(__xludf.DUMMYFUNCTION("""COMPUTED_VALUE"""),"")</f>
        <v/>
      </c>
      <c r="W2807" s="106" t="str">
        <f>IFERROR(__xludf.DUMMYFUNCTION("""COMPUTED_VALUE"""),"")</f>
        <v/>
      </c>
      <c r="X2807" s="143" t="str">
        <f t="shared" si="2"/>
        <v/>
      </c>
      <c r="Y2807" s="139" t="str">
        <f>IFERROR(__xludf.DUMMYFUNCTION("""COMPUTED_VALUE"""),"")</f>
        <v/>
      </c>
      <c r="Z2807" s="141" t="str">
        <f>IFERROR(__xludf.DUMMYFUNCTION("""COMPUTED_VALUE"""),"")</f>
        <v/>
      </c>
    </row>
    <row r="2808">
      <c r="D2808" s="136" t="str">
        <f t="shared" si="3"/>
        <v/>
      </c>
      <c r="E2808" s="152"/>
      <c r="F2808" s="106" t="s">
        <v>133</v>
      </c>
      <c r="G2808" s="152"/>
      <c r="H2808" s="106" t="s">
        <v>133</v>
      </c>
      <c r="J2808" s="139" t="s">
        <v>133</v>
      </c>
      <c r="K2808" s="136" t="s">
        <v>133</v>
      </c>
      <c r="L2808" s="153"/>
      <c r="M2808" s="136" t="str">
        <f t="shared" si="1"/>
        <v/>
      </c>
      <c r="O2808" s="141" t="s">
        <v>133</v>
      </c>
      <c r="P2808" s="136" t="str">
        <f>IFERROR(__xludf.DUMMYFUNCTION("""COMPUTED_VALUE"""),"")</f>
        <v/>
      </c>
      <c r="Q2808" s="136" t="str">
        <f>IFERROR(__xludf.DUMMYFUNCTION("""COMPUTED_VALUE"""),"")</f>
        <v/>
      </c>
      <c r="R2808" s="106" t="str">
        <f>IFERROR(__xludf.DUMMYFUNCTION("""COMPUTED_VALUE"""),"")</f>
        <v/>
      </c>
      <c r="S2808" s="106" t="str">
        <f>IFERROR(__xludf.DUMMYFUNCTION("""COMPUTED_VALUE"""),"")</f>
        <v/>
      </c>
      <c r="T2808" s="139" t="str">
        <f>IFERROR(__xludf.DUMMYFUNCTION("""COMPUTED_VALUE"""),"")</f>
        <v/>
      </c>
      <c r="U2808" s="139" t="str">
        <f>IFERROR(__xludf.DUMMYFUNCTION("""COMPUTED_VALUE"""),"")</f>
        <v/>
      </c>
      <c r="V2808" s="136" t="str">
        <f>IFERROR(__xludf.DUMMYFUNCTION("""COMPUTED_VALUE"""),"")</f>
        <v/>
      </c>
      <c r="W2808" s="106" t="str">
        <f>IFERROR(__xludf.DUMMYFUNCTION("""COMPUTED_VALUE"""),"")</f>
        <v/>
      </c>
      <c r="X2808" s="143" t="str">
        <f t="shared" si="2"/>
        <v/>
      </c>
      <c r="Y2808" s="139" t="str">
        <f>IFERROR(__xludf.DUMMYFUNCTION("""COMPUTED_VALUE"""),"")</f>
        <v/>
      </c>
      <c r="Z2808" s="141" t="str">
        <f>IFERROR(__xludf.DUMMYFUNCTION("""COMPUTED_VALUE"""),"")</f>
        <v/>
      </c>
    </row>
    <row r="2809">
      <c r="D2809" s="136" t="str">
        <f t="shared" si="3"/>
        <v/>
      </c>
      <c r="E2809" s="152"/>
      <c r="F2809" s="106" t="s">
        <v>133</v>
      </c>
      <c r="G2809" s="152"/>
      <c r="H2809" s="106" t="s">
        <v>133</v>
      </c>
      <c r="J2809" s="139" t="s">
        <v>133</v>
      </c>
      <c r="K2809" s="136" t="s">
        <v>133</v>
      </c>
      <c r="L2809" s="153"/>
      <c r="M2809" s="136" t="str">
        <f t="shared" si="1"/>
        <v/>
      </c>
      <c r="O2809" s="141" t="s">
        <v>133</v>
      </c>
      <c r="P2809" s="136" t="str">
        <f>IFERROR(__xludf.DUMMYFUNCTION("""COMPUTED_VALUE"""),"")</f>
        <v/>
      </c>
      <c r="Q2809" s="136" t="str">
        <f>IFERROR(__xludf.DUMMYFUNCTION("""COMPUTED_VALUE"""),"")</f>
        <v/>
      </c>
      <c r="R2809" s="106" t="str">
        <f>IFERROR(__xludf.DUMMYFUNCTION("""COMPUTED_VALUE"""),"")</f>
        <v/>
      </c>
      <c r="S2809" s="106" t="str">
        <f>IFERROR(__xludf.DUMMYFUNCTION("""COMPUTED_VALUE"""),"")</f>
        <v/>
      </c>
      <c r="T2809" s="139" t="str">
        <f>IFERROR(__xludf.DUMMYFUNCTION("""COMPUTED_VALUE"""),"")</f>
        <v/>
      </c>
      <c r="U2809" s="139" t="str">
        <f>IFERROR(__xludf.DUMMYFUNCTION("""COMPUTED_VALUE"""),"")</f>
        <v/>
      </c>
      <c r="V2809" s="136" t="str">
        <f>IFERROR(__xludf.DUMMYFUNCTION("""COMPUTED_VALUE"""),"")</f>
        <v/>
      </c>
      <c r="W2809" s="106" t="str">
        <f>IFERROR(__xludf.DUMMYFUNCTION("""COMPUTED_VALUE"""),"")</f>
        <v/>
      </c>
      <c r="X2809" s="143" t="str">
        <f t="shared" si="2"/>
        <v/>
      </c>
      <c r="Y2809" s="139" t="str">
        <f>IFERROR(__xludf.DUMMYFUNCTION("""COMPUTED_VALUE"""),"")</f>
        <v/>
      </c>
      <c r="Z2809" s="141" t="str">
        <f>IFERROR(__xludf.DUMMYFUNCTION("""COMPUTED_VALUE"""),"")</f>
        <v/>
      </c>
    </row>
    <row r="2810">
      <c r="D2810" s="136" t="str">
        <f t="shared" si="3"/>
        <v/>
      </c>
      <c r="E2810" s="152"/>
      <c r="F2810" s="106" t="s">
        <v>133</v>
      </c>
      <c r="G2810" s="152"/>
      <c r="H2810" s="106" t="s">
        <v>133</v>
      </c>
      <c r="J2810" s="139" t="s">
        <v>133</v>
      </c>
      <c r="K2810" s="136" t="s">
        <v>133</v>
      </c>
      <c r="L2810" s="153"/>
      <c r="M2810" s="136" t="str">
        <f t="shared" si="1"/>
        <v/>
      </c>
      <c r="O2810" s="141" t="s">
        <v>133</v>
      </c>
      <c r="P2810" s="136" t="str">
        <f>IFERROR(__xludf.DUMMYFUNCTION("""COMPUTED_VALUE"""),"")</f>
        <v/>
      </c>
      <c r="Q2810" s="136" t="str">
        <f>IFERROR(__xludf.DUMMYFUNCTION("""COMPUTED_VALUE"""),"")</f>
        <v/>
      </c>
      <c r="R2810" s="106" t="str">
        <f>IFERROR(__xludf.DUMMYFUNCTION("""COMPUTED_VALUE"""),"")</f>
        <v/>
      </c>
      <c r="S2810" s="106" t="str">
        <f>IFERROR(__xludf.DUMMYFUNCTION("""COMPUTED_VALUE"""),"")</f>
        <v/>
      </c>
      <c r="T2810" s="139" t="str">
        <f>IFERROR(__xludf.DUMMYFUNCTION("""COMPUTED_VALUE"""),"")</f>
        <v/>
      </c>
      <c r="U2810" s="139" t="str">
        <f>IFERROR(__xludf.DUMMYFUNCTION("""COMPUTED_VALUE"""),"")</f>
        <v/>
      </c>
      <c r="V2810" s="136" t="str">
        <f>IFERROR(__xludf.DUMMYFUNCTION("""COMPUTED_VALUE"""),"")</f>
        <v/>
      </c>
      <c r="W2810" s="106" t="str">
        <f>IFERROR(__xludf.DUMMYFUNCTION("""COMPUTED_VALUE"""),"")</f>
        <v/>
      </c>
      <c r="X2810" s="143" t="str">
        <f t="shared" si="2"/>
        <v/>
      </c>
      <c r="Y2810" s="139" t="str">
        <f>IFERROR(__xludf.DUMMYFUNCTION("""COMPUTED_VALUE"""),"")</f>
        <v/>
      </c>
      <c r="Z2810" s="141" t="str">
        <f>IFERROR(__xludf.DUMMYFUNCTION("""COMPUTED_VALUE"""),"")</f>
        <v/>
      </c>
    </row>
    <row r="2811">
      <c r="D2811" s="136" t="str">
        <f t="shared" si="3"/>
        <v/>
      </c>
      <c r="E2811" s="152"/>
      <c r="F2811" s="106" t="s">
        <v>133</v>
      </c>
      <c r="G2811" s="152"/>
      <c r="H2811" s="106" t="s">
        <v>133</v>
      </c>
      <c r="J2811" s="139" t="s">
        <v>133</v>
      </c>
      <c r="K2811" s="136" t="s">
        <v>133</v>
      </c>
      <c r="L2811" s="153"/>
      <c r="M2811" s="136" t="str">
        <f t="shared" si="1"/>
        <v/>
      </c>
      <c r="O2811" s="141" t="s">
        <v>133</v>
      </c>
      <c r="P2811" s="136" t="str">
        <f>IFERROR(__xludf.DUMMYFUNCTION("""COMPUTED_VALUE"""),"")</f>
        <v/>
      </c>
      <c r="Q2811" s="136" t="str">
        <f>IFERROR(__xludf.DUMMYFUNCTION("""COMPUTED_VALUE"""),"")</f>
        <v/>
      </c>
      <c r="R2811" s="106" t="str">
        <f>IFERROR(__xludf.DUMMYFUNCTION("""COMPUTED_VALUE"""),"")</f>
        <v/>
      </c>
      <c r="S2811" s="106" t="str">
        <f>IFERROR(__xludf.DUMMYFUNCTION("""COMPUTED_VALUE"""),"")</f>
        <v/>
      </c>
      <c r="T2811" s="139" t="str">
        <f>IFERROR(__xludf.DUMMYFUNCTION("""COMPUTED_VALUE"""),"")</f>
        <v/>
      </c>
      <c r="U2811" s="139" t="str">
        <f>IFERROR(__xludf.DUMMYFUNCTION("""COMPUTED_VALUE"""),"")</f>
        <v/>
      </c>
      <c r="V2811" s="136" t="str">
        <f>IFERROR(__xludf.DUMMYFUNCTION("""COMPUTED_VALUE"""),"")</f>
        <v/>
      </c>
      <c r="W2811" s="106" t="str">
        <f>IFERROR(__xludf.DUMMYFUNCTION("""COMPUTED_VALUE"""),"")</f>
        <v/>
      </c>
      <c r="X2811" s="143" t="str">
        <f t="shared" si="2"/>
        <v/>
      </c>
      <c r="Y2811" s="139" t="str">
        <f>IFERROR(__xludf.DUMMYFUNCTION("""COMPUTED_VALUE"""),"")</f>
        <v/>
      </c>
      <c r="Z2811" s="141" t="str">
        <f>IFERROR(__xludf.DUMMYFUNCTION("""COMPUTED_VALUE"""),"")</f>
        <v/>
      </c>
    </row>
    <row r="2812">
      <c r="D2812" s="136" t="str">
        <f t="shared" si="3"/>
        <v/>
      </c>
      <c r="E2812" s="152"/>
      <c r="F2812" s="106" t="s">
        <v>133</v>
      </c>
      <c r="G2812" s="152"/>
      <c r="H2812" s="106" t="s">
        <v>133</v>
      </c>
      <c r="J2812" s="139" t="s">
        <v>133</v>
      </c>
      <c r="K2812" s="136" t="s">
        <v>133</v>
      </c>
      <c r="L2812" s="153"/>
      <c r="M2812" s="136" t="str">
        <f t="shared" si="1"/>
        <v/>
      </c>
      <c r="O2812" s="141" t="s">
        <v>133</v>
      </c>
      <c r="P2812" s="136" t="str">
        <f>IFERROR(__xludf.DUMMYFUNCTION("""COMPUTED_VALUE"""),"")</f>
        <v/>
      </c>
      <c r="Q2812" s="136" t="str">
        <f>IFERROR(__xludf.DUMMYFUNCTION("""COMPUTED_VALUE"""),"")</f>
        <v/>
      </c>
      <c r="R2812" s="106" t="str">
        <f>IFERROR(__xludf.DUMMYFUNCTION("""COMPUTED_VALUE"""),"")</f>
        <v/>
      </c>
      <c r="S2812" s="106" t="str">
        <f>IFERROR(__xludf.DUMMYFUNCTION("""COMPUTED_VALUE"""),"")</f>
        <v/>
      </c>
      <c r="T2812" s="139" t="str">
        <f>IFERROR(__xludf.DUMMYFUNCTION("""COMPUTED_VALUE"""),"")</f>
        <v/>
      </c>
      <c r="U2812" s="139" t="str">
        <f>IFERROR(__xludf.DUMMYFUNCTION("""COMPUTED_VALUE"""),"")</f>
        <v/>
      </c>
      <c r="V2812" s="136" t="str">
        <f>IFERROR(__xludf.DUMMYFUNCTION("""COMPUTED_VALUE"""),"")</f>
        <v/>
      </c>
      <c r="W2812" s="106" t="str">
        <f>IFERROR(__xludf.DUMMYFUNCTION("""COMPUTED_VALUE"""),"")</f>
        <v/>
      </c>
      <c r="X2812" s="143" t="str">
        <f t="shared" si="2"/>
        <v/>
      </c>
      <c r="Y2812" s="139" t="str">
        <f>IFERROR(__xludf.DUMMYFUNCTION("""COMPUTED_VALUE"""),"")</f>
        <v/>
      </c>
      <c r="Z2812" s="141" t="str">
        <f>IFERROR(__xludf.DUMMYFUNCTION("""COMPUTED_VALUE"""),"")</f>
        <v/>
      </c>
    </row>
    <row r="2813">
      <c r="D2813" s="136" t="str">
        <f t="shared" si="3"/>
        <v/>
      </c>
      <c r="E2813" s="152"/>
      <c r="F2813" s="106" t="s">
        <v>133</v>
      </c>
      <c r="G2813" s="152"/>
      <c r="H2813" s="106" t="s">
        <v>133</v>
      </c>
      <c r="J2813" s="139" t="s">
        <v>133</v>
      </c>
      <c r="K2813" s="136" t="s">
        <v>133</v>
      </c>
      <c r="L2813" s="153"/>
      <c r="M2813" s="136" t="str">
        <f t="shared" si="1"/>
        <v/>
      </c>
      <c r="O2813" s="141" t="s">
        <v>133</v>
      </c>
      <c r="P2813" s="136" t="str">
        <f>IFERROR(__xludf.DUMMYFUNCTION("""COMPUTED_VALUE"""),"")</f>
        <v/>
      </c>
      <c r="Q2813" s="136" t="str">
        <f>IFERROR(__xludf.DUMMYFUNCTION("""COMPUTED_VALUE"""),"")</f>
        <v/>
      </c>
      <c r="R2813" s="106" t="str">
        <f>IFERROR(__xludf.DUMMYFUNCTION("""COMPUTED_VALUE"""),"")</f>
        <v/>
      </c>
      <c r="S2813" s="106" t="str">
        <f>IFERROR(__xludf.DUMMYFUNCTION("""COMPUTED_VALUE"""),"")</f>
        <v/>
      </c>
      <c r="T2813" s="139" t="str">
        <f>IFERROR(__xludf.DUMMYFUNCTION("""COMPUTED_VALUE"""),"")</f>
        <v/>
      </c>
      <c r="U2813" s="139" t="str">
        <f>IFERROR(__xludf.DUMMYFUNCTION("""COMPUTED_VALUE"""),"")</f>
        <v/>
      </c>
      <c r="V2813" s="136" t="str">
        <f>IFERROR(__xludf.DUMMYFUNCTION("""COMPUTED_VALUE"""),"")</f>
        <v/>
      </c>
      <c r="W2813" s="106" t="str">
        <f>IFERROR(__xludf.DUMMYFUNCTION("""COMPUTED_VALUE"""),"")</f>
        <v/>
      </c>
      <c r="X2813" s="143" t="str">
        <f t="shared" si="2"/>
        <v/>
      </c>
      <c r="Y2813" s="139" t="str">
        <f>IFERROR(__xludf.DUMMYFUNCTION("""COMPUTED_VALUE"""),"")</f>
        <v/>
      </c>
      <c r="Z2813" s="141" t="str">
        <f>IFERROR(__xludf.DUMMYFUNCTION("""COMPUTED_VALUE"""),"")</f>
        <v/>
      </c>
    </row>
    <row r="2814">
      <c r="D2814" s="136" t="str">
        <f t="shared" si="3"/>
        <v/>
      </c>
      <c r="E2814" s="152"/>
      <c r="F2814" s="106" t="s">
        <v>133</v>
      </c>
      <c r="G2814" s="152"/>
      <c r="H2814" s="106" t="s">
        <v>133</v>
      </c>
      <c r="J2814" s="139" t="s">
        <v>133</v>
      </c>
      <c r="K2814" s="136" t="s">
        <v>133</v>
      </c>
      <c r="L2814" s="153"/>
      <c r="M2814" s="136" t="str">
        <f t="shared" si="1"/>
        <v/>
      </c>
      <c r="O2814" s="141" t="s">
        <v>133</v>
      </c>
      <c r="P2814" s="136" t="str">
        <f>IFERROR(__xludf.DUMMYFUNCTION("""COMPUTED_VALUE"""),"")</f>
        <v/>
      </c>
      <c r="Q2814" s="136" t="str">
        <f>IFERROR(__xludf.DUMMYFUNCTION("""COMPUTED_VALUE"""),"")</f>
        <v/>
      </c>
      <c r="R2814" s="106" t="str">
        <f>IFERROR(__xludf.DUMMYFUNCTION("""COMPUTED_VALUE"""),"")</f>
        <v/>
      </c>
      <c r="S2814" s="106" t="str">
        <f>IFERROR(__xludf.DUMMYFUNCTION("""COMPUTED_VALUE"""),"")</f>
        <v/>
      </c>
      <c r="T2814" s="139" t="str">
        <f>IFERROR(__xludf.DUMMYFUNCTION("""COMPUTED_VALUE"""),"")</f>
        <v/>
      </c>
      <c r="U2814" s="139" t="str">
        <f>IFERROR(__xludf.DUMMYFUNCTION("""COMPUTED_VALUE"""),"")</f>
        <v/>
      </c>
      <c r="V2814" s="136" t="str">
        <f>IFERROR(__xludf.DUMMYFUNCTION("""COMPUTED_VALUE"""),"")</f>
        <v/>
      </c>
      <c r="W2814" s="106" t="str">
        <f>IFERROR(__xludf.DUMMYFUNCTION("""COMPUTED_VALUE"""),"")</f>
        <v/>
      </c>
      <c r="X2814" s="143" t="str">
        <f t="shared" si="2"/>
        <v/>
      </c>
      <c r="Y2814" s="139" t="str">
        <f>IFERROR(__xludf.DUMMYFUNCTION("""COMPUTED_VALUE"""),"")</f>
        <v/>
      </c>
      <c r="Z2814" s="141" t="str">
        <f>IFERROR(__xludf.DUMMYFUNCTION("""COMPUTED_VALUE"""),"")</f>
        <v/>
      </c>
    </row>
    <row r="2815">
      <c r="D2815" s="136" t="str">
        <f t="shared" si="3"/>
        <v/>
      </c>
      <c r="E2815" s="152"/>
      <c r="F2815" s="106" t="s">
        <v>133</v>
      </c>
      <c r="G2815" s="152"/>
      <c r="H2815" s="106" t="s">
        <v>133</v>
      </c>
      <c r="J2815" s="139" t="s">
        <v>133</v>
      </c>
      <c r="K2815" s="136" t="s">
        <v>133</v>
      </c>
      <c r="L2815" s="153"/>
      <c r="M2815" s="136" t="str">
        <f t="shared" si="1"/>
        <v/>
      </c>
      <c r="O2815" s="141" t="s">
        <v>133</v>
      </c>
      <c r="P2815" s="136" t="str">
        <f>IFERROR(__xludf.DUMMYFUNCTION("""COMPUTED_VALUE"""),"")</f>
        <v/>
      </c>
      <c r="Q2815" s="136" t="str">
        <f>IFERROR(__xludf.DUMMYFUNCTION("""COMPUTED_VALUE"""),"")</f>
        <v/>
      </c>
      <c r="R2815" s="106" t="str">
        <f>IFERROR(__xludf.DUMMYFUNCTION("""COMPUTED_VALUE"""),"")</f>
        <v/>
      </c>
      <c r="S2815" s="106" t="str">
        <f>IFERROR(__xludf.DUMMYFUNCTION("""COMPUTED_VALUE"""),"")</f>
        <v/>
      </c>
      <c r="T2815" s="139" t="str">
        <f>IFERROR(__xludf.DUMMYFUNCTION("""COMPUTED_VALUE"""),"")</f>
        <v/>
      </c>
      <c r="U2815" s="139" t="str">
        <f>IFERROR(__xludf.DUMMYFUNCTION("""COMPUTED_VALUE"""),"")</f>
        <v/>
      </c>
      <c r="V2815" s="136" t="str">
        <f>IFERROR(__xludf.DUMMYFUNCTION("""COMPUTED_VALUE"""),"")</f>
        <v/>
      </c>
      <c r="W2815" s="106" t="str">
        <f>IFERROR(__xludf.DUMMYFUNCTION("""COMPUTED_VALUE"""),"")</f>
        <v/>
      </c>
      <c r="X2815" s="143" t="str">
        <f t="shared" si="2"/>
        <v/>
      </c>
      <c r="Y2815" s="139" t="str">
        <f>IFERROR(__xludf.DUMMYFUNCTION("""COMPUTED_VALUE"""),"")</f>
        <v/>
      </c>
      <c r="Z2815" s="141" t="str">
        <f>IFERROR(__xludf.DUMMYFUNCTION("""COMPUTED_VALUE"""),"")</f>
        <v/>
      </c>
    </row>
    <row r="2816">
      <c r="D2816" s="136" t="str">
        <f t="shared" si="3"/>
        <v/>
      </c>
      <c r="E2816" s="152"/>
      <c r="F2816" s="106" t="s">
        <v>133</v>
      </c>
      <c r="G2816" s="152"/>
      <c r="H2816" s="106" t="s">
        <v>133</v>
      </c>
      <c r="J2816" s="139" t="s">
        <v>133</v>
      </c>
      <c r="K2816" s="136" t="s">
        <v>133</v>
      </c>
      <c r="L2816" s="153"/>
      <c r="M2816" s="136" t="str">
        <f t="shared" si="1"/>
        <v/>
      </c>
      <c r="O2816" s="141" t="s">
        <v>133</v>
      </c>
      <c r="P2816" s="136" t="str">
        <f>IFERROR(__xludf.DUMMYFUNCTION("""COMPUTED_VALUE"""),"")</f>
        <v/>
      </c>
      <c r="Q2816" s="136" t="str">
        <f>IFERROR(__xludf.DUMMYFUNCTION("""COMPUTED_VALUE"""),"")</f>
        <v/>
      </c>
      <c r="R2816" s="106" t="str">
        <f>IFERROR(__xludf.DUMMYFUNCTION("""COMPUTED_VALUE"""),"")</f>
        <v/>
      </c>
      <c r="S2816" s="106" t="str">
        <f>IFERROR(__xludf.DUMMYFUNCTION("""COMPUTED_VALUE"""),"")</f>
        <v/>
      </c>
      <c r="T2816" s="139" t="str">
        <f>IFERROR(__xludf.DUMMYFUNCTION("""COMPUTED_VALUE"""),"")</f>
        <v/>
      </c>
      <c r="U2816" s="139" t="str">
        <f>IFERROR(__xludf.DUMMYFUNCTION("""COMPUTED_VALUE"""),"")</f>
        <v/>
      </c>
      <c r="V2816" s="136" t="str">
        <f>IFERROR(__xludf.DUMMYFUNCTION("""COMPUTED_VALUE"""),"")</f>
        <v/>
      </c>
      <c r="W2816" s="106" t="str">
        <f>IFERROR(__xludf.DUMMYFUNCTION("""COMPUTED_VALUE"""),"")</f>
        <v/>
      </c>
      <c r="X2816" s="143" t="str">
        <f t="shared" si="2"/>
        <v/>
      </c>
      <c r="Y2816" s="139" t="str">
        <f>IFERROR(__xludf.DUMMYFUNCTION("""COMPUTED_VALUE"""),"")</f>
        <v/>
      </c>
      <c r="Z2816" s="141" t="str">
        <f>IFERROR(__xludf.DUMMYFUNCTION("""COMPUTED_VALUE"""),"")</f>
        <v/>
      </c>
    </row>
    <row r="2817">
      <c r="D2817" s="136" t="str">
        <f t="shared" si="3"/>
        <v/>
      </c>
      <c r="E2817" s="152"/>
      <c r="F2817" s="106" t="s">
        <v>133</v>
      </c>
      <c r="G2817" s="152"/>
      <c r="H2817" s="106" t="s">
        <v>133</v>
      </c>
      <c r="J2817" s="139" t="s">
        <v>133</v>
      </c>
      <c r="K2817" s="136" t="s">
        <v>133</v>
      </c>
      <c r="L2817" s="153"/>
      <c r="M2817" s="136" t="str">
        <f t="shared" si="1"/>
        <v/>
      </c>
      <c r="O2817" s="141" t="s">
        <v>133</v>
      </c>
      <c r="P2817" s="136" t="str">
        <f>IFERROR(__xludf.DUMMYFUNCTION("""COMPUTED_VALUE"""),"")</f>
        <v/>
      </c>
      <c r="Q2817" s="136" t="str">
        <f>IFERROR(__xludf.DUMMYFUNCTION("""COMPUTED_VALUE"""),"")</f>
        <v/>
      </c>
      <c r="R2817" s="106" t="str">
        <f>IFERROR(__xludf.DUMMYFUNCTION("""COMPUTED_VALUE"""),"")</f>
        <v/>
      </c>
      <c r="S2817" s="106" t="str">
        <f>IFERROR(__xludf.DUMMYFUNCTION("""COMPUTED_VALUE"""),"")</f>
        <v/>
      </c>
      <c r="T2817" s="139" t="str">
        <f>IFERROR(__xludf.DUMMYFUNCTION("""COMPUTED_VALUE"""),"")</f>
        <v/>
      </c>
      <c r="U2817" s="139" t="str">
        <f>IFERROR(__xludf.DUMMYFUNCTION("""COMPUTED_VALUE"""),"")</f>
        <v/>
      </c>
      <c r="V2817" s="136" t="str">
        <f>IFERROR(__xludf.DUMMYFUNCTION("""COMPUTED_VALUE"""),"")</f>
        <v/>
      </c>
      <c r="W2817" s="106" t="str">
        <f>IFERROR(__xludf.DUMMYFUNCTION("""COMPUTED_VALUE"""),"")</f>
        <v/>
      </c>
      <c r="X2817" s="143" t="str">
        <f t="shared" si="2"/>
        <v/>
      </c>
      <c r="Y2817" s="139" t="str">
        <f>IFERROR(__xludf.DUMMYFUNCTION("""COMPUTED_VALUE"""),"")</f>
        <v/>
      </c>
      <c r="Z2817" s="141" t="str">
        <f>IFERROR(__xludf.DUMMYFUNCTION("""COMPUTED_VALUE"""),"")</f>
        <v/>
      </c>
    </row>
    <row r="2818">
      <c r="D2818" s="136" t="str">
        <f t="shared" si="3"/>
        <v/>
      </c>
      <c r="E2818" s="152"/>
      <c r="F2818" s="106" t="s">
        <v>133</v>
      </c>
      <c r="G2818" s="152"/>
      <c r="H2818" s="106" t="s">
        <v>133</v>
      </c>
      <c r="J2818" s="139" t="s">
        <v>133</v>
      </c>
      <c r="K2818" s="136" t="s">
        <v>133</v>
      </c>
      <c r="L2818" s="153"/>
      <c r="M2818" s="136" t="str">
        <f t="shared" si="1"/>
        <v/>
      </c>
      <c r="O2818" s="141" t="s">
        <v>133</v>
      </c>
      <c r="P2818" s="136" t="str">
        <f>IFERROR(__xludf.DUMMYFUNCTION("""COMPUTED_VALUE"""),"")</f>
        <v/>
      </c>
      <c r="Q2818" s="136" t="str">
        <f>IFERROR(__xludf.DUMMYFUNCTION("""COMPUTED_VALUE"""),"")</f>
        <v/>
      </c>
      <c r="R2818" s="106" t="str">
        <f>IFERROR(__xludf.DUMMYFUNCTION("""COMPUTED_VALUE"""),"")</f>
        <v/>
      </c>
      <c r="S2818" s="106" t="str">
        <f>IFERROR(__xludf.DUMMYFUNCTION("""COMPUTED_VALUE"""),"")</f>
        <v/>
      </c>
      <c r="T2818" s="139" t="str">
        <f>IFERROR(__xludf.DUMMYFUNCTION("""COMPUTED_VALUE"""),"")</f>
        <v/>
      </c>
      <c r="U2818" s="139" t="str">
        <f>IFERROR(__xludf.DUMMYFUNCTION("""COMPUTED_VALUE"""),"")</f>
        <v/>
      </c>
      <c r="V2818" s="136" t="str">
        <f>IFERROR(__xludf.DUMMYFUNCTION("""COMPUTED_VALUE"""),"")</f>
        <v/>
      </c>
      <c r="W2818" s="106" t="str">
        <f>IFERROR(__xludf.DUMMYFUNCTION("""COMPUTED_VALUE"""),"")</f>
        <v/>
      </c>
      <c r="X2818" s="143" t="str">
        <f t="shared" si="2"/>
        <v/>
      </c>
      <c r="Y2818" s="139" t="str">
        <f>IFERROR(__xludf.DUMMYFUNCTION("""COMPUTED_VALUE"""),"")</f>
        <v/>
      </c>
      <c r="Z2818" s="141" t="str">
        <f>IFERROR(__xludf.DUMMYFUNCTION("""COMPUTED_VALUE"""),"")</f>
        <v/>
      </c>
    </row>
    <row r="2819">
      <c r="D2819" s="136" t="str">
        <f t="shared" si="3"/>
        <v/>
      </c>
      <c r="E2819" s="152"/>
      <c r="F2819" s="106" t="s">
        <v>133</v>
      </c>
      <c r="G2819" s="152"/>
      <c r="H2819" s="106" t="s">
        <v>133</v>
      </c>
      <c r="J2819" s="139" t="s">
        <v>133</v>
      </c>
      <c r="K2819" s="136" t="s">
        <v>133</v>
      </c>
      <c r="L2819" s="153"/>
      <c r="M2819" s="136" t="str">
        <f t="shared" si="1"/>
        <v/>
      </c>
      <c r="O2819" s="141" t="s">
        <v>133</v>
      </c>
      <c r="P2819" s="136" t="str">
        <f>IFERROR(__xludf.DUMMYFUNCTION("""COMPUTED_VALUE"""),"")</f>
        <v/>
      </c>
      <c r="Q2819" s="136" t="str">
        <f>IFERROR(__xludf.DUMMYFUNCTION("""COMPUTED_VALUE"""),"")</f>
        <v/>
      </c>
      <c r="R2819" s="106" t="str">
        <f>IFERROR(__xludf.DUMMYFUNCTION("""COMPUTED_VALUE"""),"")</f>
        <v/>
      </c>
      <c r="S2819" s="106" t="str">
        <f>IFERROR(__xludf.DUMMYFUNCTION("""COMPUTED_VALUE"""),"")</f>
        <v/>
      </c>
      <c r="T2819" s="139" t="str">
        <f>IFERROR(__xludf.DUMMYFUNCTION("""COMPUTED_VALUE"""),"")</f>
        <v/>
      </c>
      <c r="U2819" s="139" t="str">
        <f>IFERROR(__xludf.DUMMYFUNCTION("""COMPUTED_VALUE"""),"")</f>
        <v/>
      </c>
      <c r="V2819" s="136" t="str">
        <f>IFERROR(__xludf.DUMMYFUNCTION("""COMPUTED_VALUE"""),"")</f>
        <v/>
      </c>
      <c r="W2819" s="106" t="str">
        <f>IFERROR(__xludf.DUMMYFUNCTION("""COMPUTED_VALUE"""),"")</f>
        <v/>
      </c>
      <c r="X2819" s="143" t="str">
        <f t="shared" si="2"/>
        <v/>
      </c>
      <c r="Y2819" s="139" t="str">
        <f>IFERROR(__xludf.DUMMYFUNCTION("""COMPUTED_VALUE"""),"")</f>
        <v/>
      </c>
      <c r="Z2819" s="141" t="str">
        <f>IFERROR(__xludf.DUMMYFUNCTION("""COMPUTED_VALUE"""),"")</f>
        <v/>
      </c>
    </row>
    <row r="2820">
      <c r="D2820" s="136" t="str">
        <f t="shared" si="3"/>
        <v/>
      </c>
      <c r="E2820" s="152"/>
      <c r="F2820" s="106" t="s">
        <v>133</v>
      </c>
      <c r="G2820" s="152"/>
      <c r="H2820" s="106" t="s">
        <v>133</v>
      </c>
      <c r="J2820" s="139" t="s">
        <v>133</v>
      </c>
      <c r="K2820" s="136" t="s">
        <v>133</v>
      </c>
      <c r="L2820" s="153"/>
      <c r="M2820" s="136" t="str">
        <f t="shared" si="1"/>
        <v/>
      </c>
      <c r="O2820" s="141" t="s">
        <v>133</v>
      </c>
      <c r="P2820" s="136" t="str">
        <f>IFERROR(__xludf.DUMMYFUNCTION("""COMPUTED_VALUE"""),"")</f>
        <v/>
      </c>
      <c r="Q2820" s="136" t="str">
        <f>IFERROR(__xludf.DUMMYFUNCTION("""COMPUTED_VALUE"""),"")</f>
        <v/>
      </c>
      <c r="R2820" s="106" t="str">
        <f>IFERROR(__xludf.DUMMYFUNCTION("""COMPUTED_VALUE"""),"")</f>
        <v/>
      </c>
      <c r="S2820" s="106" t="str">
        <f>IFERROR(__xludf.DUMMYFUNCTION("""COMPUTED_VALUE"""),"")</f>
        <v/>
      </c>
      <c r="T2820" s="139" t="str">
        <f>IFERROR(__xludf.DUMMYFUNCTION("""COMPUTED_VALUE"""),"")</f>
        <v/>
      </c>
      <c r="U2820" s="139" t="str">
        <f>IFERROR(__xludf.DUMMYFUNCTION("""COMPUTED_VALUE"""),"")</f>
        <v/>
      </c>
      <c r="V2820" s="136" t="str">
        <f>IFERROR(__xludf.DUMMYFUNCTION("""COMPUTED_VALUE"""),"")</f>
        <v/>
      </c>
      <c r="W2820" s="106" t="str">
        <f>IFERROR(__xludf.DUMMYFUNCTION("""COMPUTED_VALUE"""),"")</f>
        <v/>
      </c>
      <c r="X2820" s="143" t="str">
        <f t="shared" si="2"/>
        <v/>
      </c>
      <c r="Y2820" s="139" t="str">
        <f>IFERROR(__xludf.DUMMYFUNCTION("""COMPUTED_VALUE"""),"")</f>
        <v/>
      </c>
      <c r="Z2820" s="141" t="str">
        <f>IFERROR(__xludf.DUMMYFUNCTION("""COMPUTED_VALUE"""),"")</f>
        <v/>
      </c>
    </row>
    <row r="2821">
      <c r="D2821" s="136" t="str">
        <f t="shared" si="3"/>
        <v/>
      </c>
      <c r="E2821" s="152"/>
      <c r="F2821" s="106" t="s">
        <v>133</v>
      </c>
      <c r="G2821" s="152"/>
      <c r="H2821" s="106" t="s">
        <v>133</v>
      </c>
      <c r="J2821" s="139" t="s">
        <v>133</v>
      </c>
      <c r="K2821" s="136" t="s">
        <v>133</v>
      </c>
      <c r="L2821" s="153"/>
      <c r="M2821" s="136" t="str">
        <f t="shared" si="1"/>
        <v/>
      </c>
      <c r="O2821" s="141" t="s">
        <v>133</v>
      </c>
      <c r="P2821" s="136" t="str">
        <f>IFERROR(__xludf.DUMMYFUNCTION("""COMPUTED_VALUE"""),"")</f>
        <v/>
      </c>
      <c r="Q2821" s="136" t="str">
        <f>IFERROR(__xludf.DUMMYFUNCTION("""COMPUTED_VALUE"""),"")</f>
        <v/>
      </c>
      <c r="R2821" s="106" t="str">
        <f>IFERROR(__xludf.DUMMYFUNCTION("""COMPUTED_VALUE"""),"")</f>
        <v/>
      </c>
      <c r="S2821" s="106" t="str">
        <f>IFERROR(__xludf.DUMMYFUNCTION("""COMPUTED_VALUE"""),"")</f>
        <v/>
      </c>
      <c r="T2821" s="139" t="str">
        <f>IFERROR(__xludf.DUMMYFUNCTION("""COMPUTED_VALUE"""),"")</f>
        <v/>
      </c>
      <c r="U2821" s="139" t="str">
        <f>IFERROR(__xludf.DUMMYFUNCTION("""COMPUTED_VALUE"""),"")</f>
        <v/>
      </c>
      <c r="V2821" s="136" t="str">
        <f>IFERROR(__xludf.DUMMYFUNCTION("""COMPUTED_VALUE"""),"")</f>
        <v/>
      </c>
      <c r="W2821" s="106" t="str">
        <f>IFERROR(__xludf.DUMMYFUNCTION("""COMPUTED_VALUE"""),"")</f>
        <v/>
      </c>
      <c r="X2821" s="143" t="str">
        <f t="shared" si="2"/>
        <v/>
      </c>
      <c r="Y2821" s="139" t="str">
        <f>IFERROR(__xludf.DUMMYFUNCTION("""COMPUTED_VALUE"""),"")</f>
        <v/>
      </c>
      <c r="Z2821" s="141" t="str">
        <f>IFERROR(__xludf.DUMMYFUNCTION("""COMPUTED_VALUE"""),"")</f>
        <v/>
      </c>
    </row>
    <row r="2822">
      <c r="D2822" s="136" t="str">
        <f t="shared" si="3"/>
        <v/>
      </c>
      <c r="E2822" s="152"/>
      <c r="F2822" s="106" t="s">
        <v>133</v>
      </c>
      <c r="G2822" s="152"/>
      <c r="H2822" s="106" t="s">
        <v>133</v>
      </c>
      <c r="J2822" s="139" t="s">
        <v>133</v>
      </c>
      <c r="K2822" s="136" t="s">
        <v>133</v>
      </c>
      <c r="L2822" s="153"/>
      <c r="M2822" s="136" t="str">
        <f t="shared" si="1"/>
        <v/>
      </c>
      <c r="O2822" s="141" t="s">
        <v>133</v>
      </c>
      <c r="P2822" s="136" t="str">
        <f>IFERROR(__xludf.DUMMYFUNCTION("""COMPUTED_VALUE"""),"")</f>
        <v/>
      </c>
      <c r="Q2822" s="136" t="str">
        <f>IFERROR(__xludf.DUMMYFUNCTION("""COMPUTED_VALUE"""),"")</f>
        <v/>
      </c>
      <c r="R2822" s="106" t="str">
        <f>IFERROR(__xludf.DUMMYFUNCTION("""COMPUTED_VALUE"""),"")</f>
        <v/>
      </c>
      <c r="S2822" s="106" t="str">
        <f>IFERROR(__xludf.DUMMYFUNCTION("""COMPUTED_VALUE"""),"")</f>
        <v/>
      </c>
      <c r="T2822" s="139" t="str">
        <f>IFERROR(__xludf.DUMMYFUNCTION("""COMPUTED_VALUE"""),"")</f>
        <v/>
      </c>
      <c r="U2822" s="139" t="str">
        <f>IFERROR(__xludf.DUMMYFUNCTION("""COMPUTED_VALUE"""),"")</f>
        <v/>
      </c>
      <c r="V2822" s="136" t="str">
        <f>IFERROR(__xludf.DUMMYFUNCTION("""COMPUTED_VALUE"""),"")</f>
        <v/>
      </c>
      <c r="W2822" s="106" t="str">
        <f>IFERROR(__xludf.DUMMYFUNCTION("""COMPUTED_VALUE"""),"")</f>
        <v/>
      </c>
      <c r="X2822" s="143" t="str">
        <f t="shared" si="2"/>
        <v/>
      </c>
      <c r="Y2822" s="139" t="str">
        <f>IFERROR(__xludf.DUMMYFUNCTION("""COMPUTED_VALUE"""),"")</f>
        <v/>
      </c>
      <c r="Z2822" s="141" t="str">
        <f>IFERROR(__xludf.DUMMYFUNCTION("""COMPUTED_VALUE"""),"")</f>
        <v/>
      </c>
    </row>
    <row r="2823">
      <c r="D2823" s="136" t="str">
        <f t="shared" si="3"/>
        <v/>
      </c>
      <c r="E2823" s="152"/>
      <c r="F2823" s="106" t="s">
        <v>133</v>
      </c>
      <c r="G2823" s="152"/>
      <c r="H2823" s="106" t="s">
        <v>133</v>
      </c>
      <c r="J2823" s="139" t="s">
        <v>133</v>
      </c>
      <c r="K2823" s="136" t="s">
        <v>133</v>
      </c>
      <c r="L2823" s="153"/>
      <c r="M2823" s="136" t="str">
        <f t="shared" si="1"/>
        <v/>
      </c>
      <c r="O2823" s="141" t="s">
        <v>133</v>
      </c>
      <c r="P2823" s="136" t="str">
        <f>IFERROR(__xludf.DUMMYFUNCTION("""COMPUTED_VALUE"""),"")</f>
        <v/>
      </c>
      <c r="Q2823" s="136" t="str">
        <f>IFERROR(__xludf.DUMMYFUNCTION("""COMPUTED_VALUE"""),"")</f>
        <v/>
      </c>
      <c r="R2823" s="106" t="str">
        <f>IFERROR(__xludf.DUMMYFUNCTION("""COMPUTED_VALUE"""),"")</f>
        <v/>
      </c>
      <c r="S2823" s="106" t="str">
        <f>IFERROR(__xludf.DUMMYFUNCTION("""COMPUTED_VALUE"""),"")</f>
        <v/>
      </c>
      <c r="T2823" s="139" t="str">
        <f>IFERROR(__xludf.DUMMYFUNCTION("""COMPUTED_VALUE"""),"")</f>
        <v/>
      </c>
      <c r="U2823" s="139" t="str">
        <f>IFERROR(__xludf.DUMMYFUNCTION("""COMPUTED_VALUE"""),"")</f>
        <v/>
      </c>
      <c r="V2823" s="136" t="str">
        <f>IFERROR(__xludf.DUMMYFUNCTION("""COMPUTED_VALUE"""),"")</f>
        <v/>
      </c>
      <c r="W2823" s="106" t="str">
        <f>IFERROR(__xludf.DUMMYFUNCTION("""COMPUTED_VALUE"""),"")</f>
        <v/>
      </c>
      <c r="X2823" s="143" t="str">
        <f t="shared" si="2"/>
        <v/>
      </c>
      <c r="Y2823" s="139" t="str">
        <f>IFERROR(__xludf.DUMMYFUNCTION("""COMPUTED_VALUE"""),"")</f>
        <v/>
      </c>
      <c r="Z2823" s="141" t="str">
        <f>IFERROR(__xludf.DUMMYFUNCTION("""COMPUTED_VALUE"""),"")</f>
        <v/>
      </c>
    </row>
    <row r="2824">
      <c r="D2824" s="136" t="str">
        <f t="shared" si="3"/>
        <v/>
      </c>
      <c r="E2824" s="152"/>
      <c r="F2824" s="106" t="s">
        <v>133</v>
      </c>
      <c r="G2824" s="152"/>
      <c r="H2824" s="106" t="s">
        <v>133</v>
      </c>
      <c r="J2824" s="139" t="s">
        <v>133</v>
      </c>
      <c r="K2824" s="136" t="s">
        <v>133</v>
      </c>
      <c r="L2824" s="153"/>
      <c r="M2824" s="136" t="str">
        <f t="shared" si="1"/>
        <v/>
      </c>
      <c r="O2824" s="141" t="s">
        <v>133</v>
      </c>
      <c r="P2824" s="136" t="str">
        <f>IFERROR(__xludf.DUMMYFUNCTION("""COMPUTED_VALUE"""),"")</f>
        <v/>
      </c>
      <c r="Q2824" s="136" t="str">
        <f>IFERROR(__xludf.DUMMYFUNCTION("""COMPUTED_VALUE"""),"")</f>
        <v/>
      </c>
      <c r="R2824" s="106" t="str">
        <f>IFERROR(__xludf.DUMMYFUNCTION("""COMPUTED_VALUE"""),"")</f>
        <v/>
      </c>
      <c r="S2824" s="106" t="str">
        <f>IFERROR(__xludf.DUMMYFUNCTION("""COMPUTED_VALUE"""),"")</f>
        <v/>
      </c>
      <c r="T2824" s="139" t="str">
        <f>IFERROR(__xludf.DUMMYFUNCTION("""COMPUTED_VALUE"""),"")</f>
        <v/>
      </c>
      <c r="U2824" s="139" t="str">
        <f>IFERROR(__xludf.DUMMYFUNCTION("""COMPUTED_VALUE"""),"")</f>
        <v/>
      </c>
      <c r="V2824" s="136" t="str">
        <f>IFERROR(__xludf.DUMMYFUNCTION("""COMPUTED_VALUE"""),"")</f>
        <v/>
      </c>
      <c r="W2824" s="106" t="str">
        <f>IFERROR(__xludf.DUMMYFUNCTION("""COMPUTED_VALUE"""),"")</f>
        <v/>
      </c>
      <c r="X2824" s="143" t="str">
        <f t="shared" si="2"/>
        <v/>
      </c>
      <c r="Y2824" s="139" t="str">
        <f>IFERROR(__xludf.DUMMYFUNCTION("""COMPUTED_VALUE"""),"")</f>
        <v/>
      </c>
      <c r="Z2824" s="141" t="str">
        <f>IFERROR(__xludf.DUMMYFUNCTION("""COMPUTED_VALUE"""),"")</f>
        <v/>
      </c>
    </row>
    <row r="2825">
      <c r="D2825" s="136" t="str">
        <f t="shared" si="3"/>
        <v/>
      </c>
      <c r="E2825" s="152"/>
      <c r="F2825" s="106" t="s">
        <v>133</v>
      </c>
      <c r="G2825" s="152"/>
      <c r="H2825" s="106" t="s">
        <v>133</v>
      </c>
      <c r="J2825" s="139" t="s">
        <v>133</v>
      </c>
      <c r="K2825" s="136" t="s">
        <v>133</v>
      </c>
      <c r="L2825" s="153"/>
      <c r="M2825" s="136" t="str">
        <f t="shared" si="1"/>
        <v/>
      </c>
      <c r="O2825" s="141" t="s">
        <v>133</v>
      </c>
      <c r="P2825" s="136" t="str">
        <f>IFERROR(__xludf.DUMMYFUNCTION("""COMPUTED_VALUE"""),"")</f>
        <v/>
      </c>
      <c r="Q2825" s="136" t="str">
        <f>IFERROR(__xludf.DUMMYFUNCTION("""COMPUTED_VALUE"""),"")</f>
        <v/>
      </c>
      <c r="R2825" s="106" t="str">
        <f>IFERROR(__xludf.DUMMYFUNCTION("""COMPUTED_VALUE"""),"")</f>
        <v/>
      </c>
      <c r="S2825" s="106" t="str">
        <f>IFERROR(__xludf.DUMMYFUNCTION("""COMPUTED_VALUE"""),"")</f>
        <v/>
      </c>
      <c r="T2825" s="139" t="str">
        <f>IFERROR(__xludf.DUMMYFUNCTION("""COMPUTED_VALUE"""),"")</f>
        <v/>
      </c>
      <c r="U2825" s="139" t="str">
        <f>IFERROR(__xludf.DUMMYFUNCTION("""COMPUTED_VALUE"""),"")</f>
        <v/>
      </c>
      <c r="V2825" s="136" t="str">
        <f>IFERROR(__xludf.DUMMYFUNCTION("""COMPUTED_VALUE"""),"")</f>
        <v/>
      </c>
      <c r="W2825" s="106" t="str">
        <f>IFERROR(__xludf.DUMMYFUNCTION("""COMPUTED_VALUE"""),"")</f>
        <v/>
      </c>
      <c r="X2825" s="143" t="str">
        <f t="shared" si="2"/>
        <v/>
      </c>
      <c r="Y2825" s="139" t="str">
        <f>IFERROR(__xludf.DUMMYFUNCTION("""COMPUTED_VALUE"""),"")</f>
        <v/>
      </c>
      <c r="Z2825" s="141" t="str">
        <f>IFERROR(__xludf.DUMMYFUNCTION("""COMPUTED_VALUE"""),"")</f>
        <v/>
      </c>
    </row>
    <row r="2826">
      <c r="D2826" s="136" t="str">
        <f t="shared" si="3"/>
        <v/>
      </c>
      <c r="E2826" s="152"/>
      <c r="F2826" s="106" t="s">
        <v>133</v>
      </c>
      <c r="G2826" s="152"/>
      <c r="H2826" s="106" t="s">
        <v>133</v>
      </c>
      <c r="J2826" s="139" t="s">
        <v>133</v>
      </c>
      <c r="K2826" s="136" t="s">
        <v>133</v>
      </c>
      <c r="L2826" s="153"/>
      <c r="M2826" s="136" t="str">
        <f t="shared" si="1"/>
        <v/>
      </c>
      <c r="O2826" s="141" t="s">
        <v>133</v>
      </c>
      <c r="P2826" s="136" t="str">
        <f>IFERROR(__xludf.DUMMYFUNCTION("""COMPUTED_VALUE"""),"")</f>
        <v/>
      </c>
      <c r="Q2826" s="136" t="str">
        <f>IFERROR(__xludf.DUMMYFUNCTION("""COMPUTED_VALUE"""),"")</f>
        <v/>
      </c>
      <c r="R2826" s="106" t="str">
        <f>IFERROR(__xludf.DUMMYFUNCTION("""COMPUTED_VALUE"""),"")</f>
        <v/>
      </c>
      <c r="S2826" s="106" t="str">
        <f>IFERROR(__xludf.DUMMYFUNCTION("""COMPUTED_VALUE"""),"")</f>
        <v/>
      </c>
      <c r="T2826" s="139" t="str">
        <f>IFERROR(__xludf.DUMMYFUNCTION("""COMPUTED_VALUE"""),"")</f>
        <v/>
      </c>
      <c r="U2826" s="139" t="str">
        <f>IFERROR(__xludf.DUMMYFUNCTION("""COMPUTED_VALUE"""),"")</f>
        <v/>
      </c>
      <c r="V2826" s="136" t="str">
        <f>IFERROR(__xludf.DUMMYFUNCTION("""COMPUTED_VALUE"""),"")</f>
        <v/>
      </c>
      <c r="W2826" s="106" t="str">
        <f>IFERROR(__xludf.DUMMYFUNCTION("""COMPUTED_VALUE"""),"")</f>
        <v/>
      </c>
      <c r="X2826" s="143" t="str">
        <f t="shared" si="2"/>
        <v/>
      </c>
      <c r="Y2826" s="139" t="str">
        <f>IFERROR(__xludf.DUMMYFUNCTION("""COMPUTED_VALUE"""),"")</f>
        <v/>
      </c>
      <c r="Z2826" s="141" t="str">
        <f>IFERROR(__xludf.DUMMYFUNCTION("""COMPUTED_VALUE"""),"")</f>
        <v/>
      </c>
    </row>
    <row r="2827">
      <c r="D2827" s="136" t="str">
        <f t="shared" si="3"/>
        <v/>
      </c>
      <c r="E2827" s="152"/>
      <c r="F2827" s="106" t="s">
        <v>133</v>
      </c>
      <c r="G2827" s="152"/>
      <c r="H2827" s="106" t="s">
        <v>133</v>
      </c>
      <c r="J2827" s="139" t="s">
        <v>133</v>
      </c>
      <c r="K2827" s="136" t="s">
        <v>133</v>
      </c>
      <c r="L2827" s="153"/>
      <c r="M2827" s="136" t="str">
        <f t="shared" si="1"/>
        <v/>
      </c>
      <c r="O2827" s="141" t="s">
        <v>133</v>
      </c>
      <c r="P2827" s="136" t="str">
        <f>IFERROR(__xludf.DUMMYFUNCTION("""COMPUTED_VALUE"""),"")</f>
        <v/>
      </c>
      <c r="Q2827" s="136" t="str">
        <f>IFERROR(__xludf.DUMMYFUNCTION("""COMPUTED_VALUE"""),"")</f>
        <v/>
      </c>
      <c r="R2827" s="106" t="str">
        <f>IFERROR(__xludf.DUMMYFUNCTION("""COMPUTED_VALUE"""),"")</f>
        <v/>
      </c>
      <c r="S2827" s="106" t="str">
        <f>IFERROR(__xludf.DUMMYFUNCTION("""COMPUTED_VALUE"""),"")</f>
        <v/>
      </c>
      <c r="T2827" s="139" t="str">
        <f>IFERROR(__xludf.DUMMYFUNCTION("""COMPUTED_VALUE"""),"")</f>
        <v/>
      </c>
      <c r="U2827" s="139" t="str">
        <f>IFERROR(__xludf.DUMMYFUNCTION("""COMPUTED_VALUE"""),"")</f>
        <v/>
      </c>
      <c r="V2827" s="136" t="str">
        <f>IFERROR(__xludf.DUMMYFUNCTION("""COMPUTED_VALUE"""),"")</f>
        <v/>
      </c>
      <c r="W2827" s="106" t="str">
        <f>IFERROR(__xludf.DUMMYFUNCTION("""COMPUTED_VALUE"""),"")</f>
        <v/>
      </c>
      <c r="X2827" s="143" t="str">
        <f t="shared" si="2"/>
        <v/>
      </c>
      <c r="Y2827" s="139" t="str">
        <f>IFERROR(__xludf.DUMMYFUNCTION("""COMPUTED_VALUE"""),"")</f>
        <v/>
      </c>
      <c r="Z2827" s="141" t="str">
        <f>IFERROR(__xludf.DUMMYFUNCTION("""COMPUTED_VALUE"""),"")</f>
        <v/>
      </c>
    </row>
    <row r="2828">
      <c r="D2828" s="136" t="str">
        <f t="shared" si="3"/>
        <v/>
      </c>
      <c r="E2828" s="152"/>
      <c r="F2828" s="106" t="s">
        <v>133</v>
      </c>
      <c r="G2828" s="152"/>
      <c r="H2828" s="106" t="s">
        <v>133</v>
      </c>
      <c r="J2828" s="139" t="s">
        <v>133</v>
      </c>
      <c r="K2828" s="136" t="s">
        <v>133</v>
      </c>
      <c r="L2828" s="153"/>
      <c r="M2828" s="136" t="str">
        <f t="shared" si="1"/>
        <v/>
      </c>
      <c r="O2828" s="141" t="s">
        <v>133</v>
      </c>
      <c r="P2828" s="136" t="str">
        <f>IFERROR(__xludf.DUMMYFUNCTION("""COMPUTED_VALUE"""),"")</f>
        <v/>
      </c>
      <c r="Q2828" s="136" t="str">
        <f>IFERROR(__xludf.DUMMYFUNCTION("""COMPUTED_VALUE"""),"")</f>
        <v/>
      </c>
      <c r="R2828" s="106" t="str">
        <f>IFERROR(__xludf.DUMMYFUNCTION("""COMPUTED_VALUE"""),"")</f>
        <v/>
      </c>
      <c r="S2828" s="106" t="str">
        <f>IFERROR(__xludf.DUMMYFUNCTION("""COMPUTED_VALUE"""),"")</f>
        <v/>
      </c>
      <c r="T2828" s="139" t="str">
        <f>IFERROR(__xludf.DUMMYFUNCTION("""COMPUTED_VALUE"""),"")</f>
        <v/>
      </c>
      <c r="U2828" s="139" t="str">
        <f>IFERROR(__xludf.DUMMYFUNCTION("""COMPUTED_VALUE"""),"")</f>
        <v/>
      </c>
      <c r="V2828" s="136" t="str">
        <f>IFERROR(__xludf.DUMMYFUNCTION("""COMPUTED_VALUE"""),"")</f>
        <v/>
      </c>
      <c r="W2828" s="106" t="str">
        <f>IFERROR(__xludf.DUMMYFUNCTION("""COMPUTED_VALUE"""),"")</f>
        <v/>
      </c>
      <c r="X2828" s="143" t="str">
        <f t="shared" si="2"/>
        <v/>
      </c>
      <c r="Y2828" s="139" t="str">
        <f>IFERROR(__xludf.DUMMYFUNCTION("""COMPUTED_VALUE"""),"")</f>
        <v/>
      </c>
      <c r="Z2828" s="141" t="str">
        <f>IFERROR(__xludf.DUMMYFUNCTION("""COMPUTED_VALUE"""),"")</f>
        <v/>
      </c>
    </row>
    <row r="2829">
      <c r="D2829" s="136" t="str">
        <f t="shared" si="3"/>
        <v/>
      </c>
      <c r="E2829" s="152"/>
      <c r="F2829" s="106" t="s">
        <v>133</v>
      </c>
      <c r="G2829" s="152"/>
      <c r="H2829" s="106" t="s">
        <v>133</v>
      </c>
      <c r="J2829" s="139" t="s">
        <v>133</v>
      </c>
      <c r="K2829" s="136" t="s">
        <v>133</v>
      </c>
      <c r="L2829" s="153"/>
      <c r="M2829" s="136" t="str">
        <f t="shared" si="1"/>
        <v/>
      </c>
      <c r="O2829" s="141" t="s">
        <v>133</v>
      </c>
      <c r="P2829" s="136" t="str">
        <f>IFERROR(__xludf.DUMMYFUNCTION("""COMPUTED_VALUE"""),"")</f>
        <v/>
      </c>
      <c r="Q2829" s="136" t="str">
        <f>IFERROR(__xludf.DUMMYFUNCTION("""COMPUTED_VALUE"""),"")</f>
        <v/>
      </c>
      <c r="R2829" s="106" t="str">
        <f>IFERROR(__xludf.DUMMYFUNCTION("""COMPUTED_VALUE"""),"")</f>
        <v/>
      </c>
      <c r="S2829" s="106" t="str">
        <f>IFERROR(__xludf.DUMMYFUNCTION("""COMPUTED_VALUE"""),"")</f>
        <v/>
      </c>
      <c r="T2829" s="139" t="str">
        <f>IFERROR(__xludf.DUMMYFUNCTION("""COMPUTED_VALUE"""),"")</f>
        <v/>
      </c>
      <c r="U2829" s="139" t="str">
        <f>IFERROR(__xludf.DUMMYFUNCTION("""COMPUTED_VALUE"""),"")</f>
        <v/>
      </c>
      <c r="V2829" s="136" t="str">
        <f>IFERROR(__xludf.DUMMYFUNCTION("""COMPUTED_VALUE"""),"")</f>
        <v/>
      </c>
      <c r="W2829" s="106" t="str">
        <f>IFERROR(__xludf.DUMMYFUNCTION("""COMPUTED_VALUE"""),"")</f>
        <v/>
      </c>
      <c r="X2829" s="143" t="str">
        <f t="shared" si="2"/>
        <v/>
      </c>
      <c r="Y2829" s="139" t="str">
        <f>IFERROR(__xludf.DUMMYFUNCTION("""COMPUTED_VALUE"""),"")</f>
        <v/>
      </c>
      <c r="Z2829" s="141" t="str">
        <f>IFERROR(__xludf.DUMMYFUNCTION("""COMPUTED_VALUE"""),"")</f>
        <v/>
      </c>
    </row>
    <row r="2830">
      <c r="D2830" s="136" t="str">
        <f t="shared" si="3"/>
        <v/>
      </c>
      <c r="E2830" s="152"/>
      <c r="F2830" s="106" t="s">
        <v>133</v>
      </c>
      <c r="G2830" s="152"/>
      <c r="H2830" s="106" t="s">
        <v>133</v>
      </c>
      <c r="J2830" s="139" t="s">
        <v>133</v>
      </c>
      <c r="K2830" s="136" t="s">
        <v>133</v>
      </c>
      <c r="L2830" s="153"/>
      <c r="M2830" s="136" t="str">
        <f t="shared" si="1"/>
        <v/>
      </c>
      <c r="O2830" s="141" t="s">
        <v>133</v>
      </c>
      <c r="P2830" s="136" t="str">
        <f>IFERROR(__xludf.DUMMYFUNCTION("""COMPUTED_VALUE"""),"")</f>
        <v/>
      </c>
      <c r="Q2830" s="136" t="str">
        <f>IFERROR(__xludf.DUMMYFUNCTION("""COMPUTED_VALUE"""),"")</f>
        <v/>
      </c>
      <c r="R2830" s="106" t="str">
        <f>IFERROR(__xludf.DUMMYFUNCTION("""COMPUTED_VALUE"""),"")</f>
        <v/>
      </c>
      <c r="S2830" s="106" t="str">
        <f>IFERROR(__xludf.DUMMYFUNCTION("""COMPUTED_VALUE"""),"")</f>
        <v/>
      </c>
      <c r="T2830" s="139" t="str">
        <f>IFERROR(__xludf.DUMMYFUNCTION("""COMPUTED_VALUE"""),"")</f>
        <v/>
      </c>
      <c r="U2830" s="139" t="str">
        <f>IFERROR(__xludf.DUMMYFUNCTION("""COMPUTED_VALUE"""),"")</f>
        <v/>
      </c>
      <c r="V2830" s="136" t="str">
        <f>IFERROR(__xludf.DUMMYFUNCTION("""COMPUTED_VALUE"""),"")</f>
        <v/>
      </c>
      <c r="W2830" s="106" t="str">
        <f>IFERROR(__xludf.DUMMYFUNCTION("""COMPUTED_VALUE"""),"")</f>
        <v/>
      </c>
      <c r="X2830" s="143" t="str">
        <f t="shared" si="2"/>
        <v/>
      </c>
      <c r="Y2830" s="139" t="str">
        <f>IFERROR(__xludf.DUMMYFUNCTION("""COMPUTED_VALUE"""),"")</f>
        <v/>
      </c>
      <c r="Z2830" s="141" t="str">
        <f>IFERROR(__xludf.DUMMYFUNCTION("""COMPUTED_VALUE"""),"")</f>
        <v/>
      </c>
    </row>
    <row r="2831">
      <c r="D2831" s="136" t="str">
        <f t="shared" si="3"/>
        <v/>
      </c>
      <c r="E2831" s="152"/>
      <c r="F2831" s="106" t="s">
        <v>133</v>
      </c>
      <c r="G2831" s="152"/>
      <c r="H2831" s="106" t="s">
        <v>133</v>
      </c>
      <c r="J2831" s="139" t="s">
        <v>133</v>
      </c>
      <c r="K2831" s="136" t="s">
        <v>133</v>
      </c>
      <c r="L2831" s="153"/>
      <c r="M2831" s="136" t="str">
        <f t="shared" si="1"/>
        <v/>
      </c>
      <c r="O2831" s="141" t="s">
        <v>133</v>
      </c>
      <c r="P2831" s="136" t="str">
        <f>IFERROR(__xludf.DUMMYFUNCTION("""COMPUTED_VALUE"""),"")</f>
        <v/>
      </c>
      <c r="Q2831" s="136" t="str">
        <f>IFERROR(__xludf.DUMMYFUNCTION("""COMPUTED_VALUE"""),"")</f>
        <v/>
      </c>
      <c r="R2831" s="106" t="str">
        <f>IFERROR(__xludf.DUMMYFUNCTION("""COMPUTED_VALUE"""),"")</f>
        <v/>
      </c>
      <c r="S2831" s="106" t="str">
        <f>IFERROR(__xludf.DUMMYFUNCTION("""COMPUTED_VALUE"""),"")</f>
        <v/>
      </c>
      <c r="T2831" s="139" t="str">
        <f>IFERROR(__xludf.DUMMYFUNCTION("""COMPUTED_VALUE"""),"")</f>
        <v/>
      </c>
      <c r="U2831" s="139" t="str">
        <f>IFERROR(__xludf.DUMMYFUNCTION("""COMPUTED_VALUE"""),"")</f>
        <v/>
      </c>
      <c r="V2831" s="136" t="str">
        <f>IFERROR(__xludf.DUMMYFUNCTION("""COMPUTED_VALUE"""),"")</f>
        <v/>
      </c>
      <c r="W2831" s="106" t="str">
        <f>IFERROR(__xludf.DUMMYFUNCTION("""COMPUTED_VALUE"""),"")</f>
        <v/>
      </c>
      <c r="X2831" s="143" t="str">
        <f t="shared" si="2"/>
        <v/>
      </c>
      <c r="Y2831" s="139" t="str">
        <f>IFERROR(__xludf.DUMMYFUNCTION("""COMPUTED_VALUE"""),"")</f>
        <v/>
      </c>
      <c r="Z2831" s="141" t="str">
        <f>IFERROR(__xludf.DUMMYFUNCTION("""COMPUTED_VALUE"""),"")</f>
        <v/>
      </c>
    </row>
    <row r="2832">
      <c r="D2832" s="136" t="str">
        <f t="shared" si="3"/>
        <v/>
      </c>
      <c r="E2832" s="152"/>
      <c r="F2832" s="106" t="s">
        <v>133</v>
      </c>
      <c r="G2832" s="152"/>
      <c r="H2832" s="106" t="s">
        <v>133</v>
      </c>
      <c r="J2832" s="139" t="s">
        <v>133</v>
      </c>
      <c r="K2832" s="136" t="s">
        <v>133</v>
      </c>
      <c r="L2832" s="153"/>
      <c r="M2832" s="136" t="str">
        <f t="shared" si="1"/>
        <v/>
      </c>
      <c r="O2832" s="141" t="s">
        <v>133</v>
      </c>
      <c r="P2832" s="136" t="str">
        <f>IFERROR(__xludf.DUMMYFUNCTION("""COMPUTED_VALUE"""),"")</f>
        <v/>
      </c>
      <c r="Q2832" s="136" t="str">
        <f>IFERROR(__xludf.DUMMYFUNCTION("""COMPUTED_VALUE"""),"")</f>
        <v/>
      </c>
      <c r="R2832" s="106" t="str">
        <f>IFERROR(__xludf.DUMMYFUNCTION("""COMPUTED_VALUE"""),"")</f>
        <v/>
      </c>
      <c r="S2832" s="106" t="str">
        <f>IFERROR(__xludf.DUMMYFUNCTION("""COMPUTED_VALUE"""),"")</f>
        <v/>
      </c>
      <c r="T2832" s="139" t="str">
        <f>IFERROR(__xludf.DUMMYFUNCTION("""COMPUTED_VALUE"""),"")</f>
        <v/>
      </c>
      <c r="U2832" s="139" t="str">
        <f>IFERROR(__xludf.DUMMYFUNCTION("""COMPUTED_VALUE"""),"")</f>
        <v/>
      </c>
      <c r="V2832" s="136" t="str">
        <f>IFERROR(__xludf.DUMMYFUNCTION("""COMPUTED_VALUE"""),"")</f>
        <v/>
      </c>
      <c r="W2832" s="106" t="str">
        <f>IFERROR(__xludf.DUMMYFUNCTION("""COMPUTED_VALUE"""),"")</f>
        <v/>
      </c>
      <c r="X2832" s="143" t="str">
        <f t="shared" si="2"/>
        <v/>
      </c>
      <c r="Y2832" s="139" t="str">
        <f>IFERROR(__xludf.DUMMYFUNCTION("""COMPUTED_VALUE"""),"")</f>
        <v/>
      </c>
      <c r="Z2832" s="141" t="str">
        <f>IFERROR(__xludf.DUMMYFUNCTION("""COMPUTED_VALUE"""),"")</f>
        <v/>
      </c>
    </row>
    <row r="2833">
      <c r="D2833" s="136" t="str">
        <f t="shared" si="3"/>
        <v/>
      </c>
      <c r="E2833" s="152"/>
      <c r="F2833" s="106" t="s">
        <v>133</v>
      </c>
      <c r="G2833" s="152"/>
      <c r="H2833" s="106" t="s">
        <v>133</v>
      </c>
      <c r="J2833" s="139" t="s">
        <v>133</v>
      </c>
      <c r="K2833" s="136" t="s">
        <v>133</v>
      </c>
      <c r="L2833" s="153"/>
      <c r="M2833" s="136" t="str">
        <f t="shared" si="1"/>
        <v/>
      </c>
      <c r="O2833" s="141" t="s">
        <v>133</v>
      </c>
      <c r="P2833" s="136" t="str">
        <f>IFERROR(__xludf.DUMMYFUNCTION("""COMPUTED_VALUE"""),"")</f>
        <v/>
      </c>
      <c r="Q2833" s="136" t="str">
        <f>IFERROR(__xludf.DUMMYFUNCTION("""COMPUTED_VALUE"""),"")</f>
        <v/>
      </c>
      <c r="R2833" s="106" t="str">
        <f>IFERROR(__xludf.DUMMYFUNCTION("""COMPUTED_VALUE"""),"")</f>
        <v/>
      </c>
      <c r="S2833" s="106" t="str">
        <f>IFERROR(__xludf.DUMMYFUNCTION("""COMPUTED_VALUE"""),"")</f>
        <v/>
      </c>
      <c r="T2833" s="139" t="str">
        <f>IFERROR(__xludf.DUMMYFUNCTION("""COMPUTED_VALUE"""),"")</f>
        <v/>
      </c>
      <c r="U2833" s="139" t="str">
        <f>IFERROR(__xludf.DUMMYFUNCTION("""COMPUTED_VALUE"""),"")</f>
        <v/>
      </c>
      <c r="V2833" s="136" t="str">
        <f>IFERROR(__xludf.DUMMYFUNCTION("""COMPUTED_VALUE"""),"")</f>
        <v/>
      </c>
      <c r="W2833" s="106" t="str">
        <f>IFERROR(__xludf.DUMMYFUNCTION("""COMPUTED_VALUE"""),"")</f>
        <v/>
      </c>
      <c r="X2833" s="143" t="str">
        <f t="shared" si="2"/>
        <v/>
      </c>
      <c r="Y2833" s="139" t="str">
        <f>IFERROR(__xludf.DUMMYFUNCTION("""COMPUTED_VALUE"""),"")</f>
        <v/>
      </c>
      <c r="Z2833" s="141" t="str">
        <f>IFERROR(__xludf.DUMMYFUNCTION("""COMPUTED_VALUE"""),"")</f>
        <v/>
      </c>
    </row>
    <row r="2834">
      <c r="D2834" s="136" t="str">
        <f t="shared" si="3"/>
        <v/>
      </c>
      <c r="E2834" s="152"/>
      <c r="F2834" s="106" t="s">
        <v>133</v>
      </c>
      <c r="G2834" s="152"/>
      <c r="H2834" s="106" t="s">
        <v>133</v>
      </c>
      <c r="J2834" s="139" t="s">
        <v>133</v>
      </c>
      <c r="K2834" s="136" t="s">
        <v>133</v>
      </c>
      <c r="L2834" s="153"/>
      <c r="M2834" s="136" t="str">
        <f t="shared" si="1"/>
        <v/>
      </c>
      <c r="O2834" s="141" t="s">
        <v>133</v>
      </c>
      <c r="P2834" s="136" t="str">
        <f>IFERROR(__xludf.DUMMYFUNCTION("""COMPUTED_VALUE"""),"")</f>
        <v/>
      </c>
      <c r="Q2834" s="136" t="str">
        <f>IFERROR(__xludf.DUMMYFUNCTION("""COMPUTED_VALUE"""),"")</f>
        <v/>
      </c>
      <c r="R2834" s="106" t="str">
        <f>IFERROR(__xludf.DUMMYFUNCTION("""COMPUTED_VALUE"""),"")</f>
        <v/>
      </c>
      <c r="S2834" s="106" t="str">
        <f>IFERROR(__xludf.DUMMYFUNCTION("""COMPUTED_VALUE"""),"")</f>
        <v/>
      </c>
      <c r="T2834" s="139" t="str">
        <f>IFERROR(__xludf.DUMMYFUNCTION("""COMPUTED_VALUE"""),"")</f>
        <v/>
      </c>
      <c r="U2834" s="139" t="str">
        <f>IFERROR(__xludf.DUMMYFUNCTION("""COMPUTED_VALUE"""),"")</f>
        <v/>
      </c>
      <c r="V2834" s="136" t="str">
        <f>IFERROR(__xludf.DUMMYFUNCTION("""COMPUTED_VALUE"""),"")</f>
        <v/>
      </c>
      <c r="W2834" s="106" t="str">
        <f>IFERROR(__xludf.DUMMYFUNCTION("""COMPUTED_VALUE"""),"")</f>
        <v/>
      </c>
      <c r="X2834" s="143" t="str">
        <f t="shared" si="2"/>
        <v/>
      </c>
      <c r="Y2834" s="139" t="str">
        <f>IFERROR(__xludf.DUMMYFUNCTION("""COMPUTED_VALUE"""),"")</f>
        <v/>
      </c>
      <c r="Z2834" s="141" t="str">
        <f>IFERROR(__xludf.DUMMYFUNCTION("""COMPUTED_VALUE"""),"")</f>
        <v/>
      </c>
    </row>
    <row r="2835">
      <c r="D2835" s="136" t="str">
        <f t="shared" si="3"/>
        <v/>
      </c>
      <c r="E2835" s="152"/>
      <c r="F2835" s="106" t="s">
        <v>133</v>
      </c>
      <c r="G2835" s="152"/>
      <c r="H2835" s="106" t="s">
        <v>133</v>
      </c>
      <c r="J2835" s="139" t="s">
        <v>133</v>
      </c>
      <c r="K2835" s="136" t="s">
        <v>133</v>
      </c>
      <c r="L2835" s="153"/>
      <c r="M2835" s="136" t="str">
        <f t="shared" si="1"/>
        <v/>
      </c>
      <c r="O2835" s="141" t="s">
        <v>133</v>
      </c>
      <c r="P2835" s="136" t="str">
        <f>IFERROR(__xludf.DUMMYFUNCTION("""COMPUTED_VALUE"""),"")</f>
        <v/>
      </c>
      <c r="Q2835" s="136" t="str">
        <f>IFERROR(__xludf.DUMMYFUNCTION("""COMPUTED_VALUE"""),"")</f>
        <v/>
      </c>
      <c r="R2835" s="106" t="str">
        <f>IFERROR(__xludf.DUMMYFUNCTION("""COMPUTED_VALUE"""),"")</f>
        <v/>
      </c>
      <c r="S2835" s="106" t="str">
        <f>IFERROR(__xludf.DUMMYFUNCTION("""COMPUTED_VALUE"""),"")</f>
        <v/>
      </c>
      <c r="T2835" s="139" t="str">
        <f>IFERROR(__xludf.DUMMYFUNCTION("""COMPUTED_VALUE"""),"")</f>
        <v/>
      </c>
      <c r="U2835" s="139" t="str">
        <f>IFERROR(__xludf.DUMMYFUNCTION("""COMPUTED_VALUE"""),"")</f>
        <v/>
      </c>
      <c r="V2835" s="136" t="str">
        <f>IFERROR(__xludf.DUMMYFUNCTION("""COMPUTED_VALUE"""),"")</f>
        <v/>
      </c>
      <c r="W2835" s="106" t="str">
        <f>IFERROR(__xludf.DUMMYFUNCTION("""COMPUTED_VALUE"""),"")</f>
        <v/>
      </c>
      <c r="X2835" s="143" t="str">
        <f t="shared" si="2"/>
        <v/>
      </c>
      <c r="Y2835" s="139" t="str">
        <f>IFERROR(__xludf.DUMMYFUNCTION("""COMPUTED_VALUE"""),"")</f>
        <v/>
      </c>
      <c r="Z2835" s="141" t="str">
        <f>IFERROR(__xludf.DUMMYFUNCTION("""COMPUTED_VALUE"""),"")</f>
        <v/>
      </c>
    </row>
    <row r="2836">
      <c r="D2836" s="136" t="str">
        <f t="shared" si="3"/>
        <v/>
      </c>
      <c r="E2836" s="152"/>
      <c r="F2836" s="106" t="s">
        <v>133</v>
      </c>
      <c r="G2836" s="152"/>
      <c r="H2836" s="106" t="s">
        <v>133</v>
      </c>
      <c r="J2836" s="139" t="s">
        <v>133</v>
      </c>
      <c r="K2836" s="136" t="s">
        <v>133</v>
      </c>
      <c r="L2836" s="153"/>
      <c r="M2836" s="136" t="str">
        <f t="shared" si="1"/>
        <v/>
      </c>
      <c r="O2836" s="141" t="s">
        <v>133</v>
      </c>
      <c r="P2836" s="136" t="str">
        <f>IFERROR(__xludf.DUMMYFUNCTION("""COMPUTED_VALUE"""),"")</f>
        <v/>
      </c>
      <c r="Q2836" s="136" t="str">
        <f>IFERROR(__xludf.DUMMYFUNCTION("""COMPUTED_VALUE"""),"")</f>
        <v/>
      </c>
      <c r="R2836" s="106" t="str">
        <f>IFERROR(__xludf.DUMMYFUNCTION("""COMPUTED_VALUE"""),"")</f>
        <v/>
      </c>
      <c r="S2836" s="106" t="str">
        <f>IFERROR(__xludf.DUMMYFUNCTION("""COMPUTED_VALUE"""),"")</f>
        <v/>
      </c>
      <c r="T2836" s="139" t="str">
        <f>IFERROR(__xludf.DUMMYFUNCTION("""COMPUTED_VALUE"""),"")</f>
        <v/>
      </c>
      <c r="U2836" s="139" t="str">
        <f>IFERROR(__xludf.DUMMYFUNCTION("""COMPUTED_VALUE"""),"")</f>
        <v/>
      </c>
      <c r="V2836" s="136" t="str">
        <f>IFERROR(__xludf.DUMMYFUNCTION("""COMPUTED_VALUE"""),"")</f>
        <v/>
      </c>
      <c r="W2836" s="106" t="str">
        <f>IFERROR(__xludf.DUMMYFUNCTION("""COMPUTED_VALUE"""),"")</f>
        <v/>
      </c>
      <c r="X2836" s="143" t="str">
        <f t="shared" si="2"/>
        <v/>
      </c>
      <c r="Y2836" s="139" t="str">
        <f>IFERROR(__xludf.DUMMYFUNCTION("""COMPUTED_VALUE"""),"")</f>
        <v/>
      </c>
      <c r="Z2836" s="141" t="str">
        <f>IFERROR(__xludf.DUMMYFUNCTION("""COMPUTED_VALUE"""),"")</f>
        <v/>
      </c>
    </row>
    <row r="2837">
      <c r="D2837" s="136" t="str">
        <f t="shared" si="3"/>
        <v/>
      </c>
      <c r="E2837" s="152"/>
      <c r="F2837" s="106" t="s">
        <v>133</v>
      </c>
      <c r="G2837" s="152"/>
      <c r="H2837" s="106" t="s">
        <v>133</v>
      </c>
      <c r="J2837" s="139" t="s">
        <v>133</v>
      </c>
      <c r="K2837" s="136" t="s">
        <v>133</v>
      </c>
      <c r="L2837" s="153"/>
      <c r="M2837" s="136" t="str">
        <f t="shared" si="1"/>
        <v/>
      </c>
      <c r="O2837" s="141" t="s">
        <v>133</v>
      </c>
      <c r="P2837" s="136" t="str">
        <f>IFERROR(__xludf.DUMMYFUNCTION("""COMPUTED_VALUE"""),"")</f>
        <v/>
      </c>
      <c r="Q2837" s="136" t="str">
        <f>IFERROR(__xludf.DUMMYFUNCTION("""COMPUTED_VALUE"""),"")</f>
        <v/>
      </c>
      <c r="R2837" s="106" t="str">
        <f>IFERROR(__xludf.DUMMYFUNCTION("""COMPUTED_VALUE"""),"")</f>
        <v/>
      </c>
      <c r="S2837" s="106" t="str">
        <f>IFERROR(__xludf.DUMMYFUNCTION("""COMPUTED_VALUE"""),"")</f>
        <v/>
      </c>
      <c r="T2837" s="139" t="str">
        <f>IFERROR(__xludf.DUMMYFUNCTION("""COMPUTED_VALUE"""),"")</f>
        <v/>
      </c>
      <c r="U2837" s="139" t="str">
        <f>IFERROR(__xludf.DUMMYFUNCTION("""COMPUTED_VALUE"""),"")</f>
        <v/>
      </c>
      <c r="V2837" s="136" t="str">
        <f>IFERROR(__xludf.DUMMYFUNCTION("""COMPUTED_VALUE"""),"")</f>
        <v/>
      </c>
      <c r="W2837" s="106" t="str">
        <f>IFERROR(__xludf.DUMMYFUNCTION("""COMPUTED_VALUE"""),"")</f>
        <v/>
      </c>
      <c r="X2837" s="143" t="str">
        <f t="shared" si="2"/>
        <v/>
      </c>
      <c r="Y2837" s="139" t="str">
        <f>IFERROR(__xludf.DUMMYFUNCTION("""COMPUTED_VALUE"""),"")</f>
        <v/>
      </c>
      <c r="Z2837" s="141" t="str">
        <f>IFERROR(__xludf.DUMMYFUNCTION("""COMPUTED_VALUE"""),"")</f>
        <v/>
      </c>
    </row>
    <row r="2838">
      <c r="D2838" s="136" t="str">
        <f t="shared" si="3"/>
        <v/>
      </c>
      <c r="E2838" s="152"/>
      <c r="F2838" s="106" t="s">
        <v>133</v>
      </c>
      <c r="G2838" s="152"/>
      <c r="H2838" s="106" t="s">
        <v>133</v>
      </c>
      <c r="J2838" s="139" t="s">
        <v>133</v>
      </c>
      <c r="K2838" s="136" t="s">
        <v>133</v>
      </c>
      <c r="L2838" s="153"/>
      <c r="M2838" s="136" t="str">
        <f t="shared" si="1"/>
        <v/>
      </c>
      <c r="O2838" s="141" t="s">
        <v>133</v>
      </c>
      <c r="P2838" s="136" t="str">
        <f>IFERROR(__xludf.DUMMYFUNCTION("""COMPUTED_VALUE"""),"")</f>
        <v/>
      </c>
      <c r="Q2838" s="136" t="str">
        <f>IFERROR(__xludf.DUMMYFUNCTION("""COMPUTED_VALUE"""),"")</f>
        <v/>
      </c>
      <c r="R2838" s="106" t="str">
        <f>IFERROR(__xludf.DUMMYFUNCTION("""COMPUTED_VALUE"""),"")</f>
        <v/>
      </c>
      <c r="S2838" s="106" t="str">
        <f>IFERROR(__xludf.DUMMYFUNCTION("""COMPUTED_VALUE"""),"")</f>
        <v/>
      </c>
      <c r="T2838" s="139" t="str">
        <f>IFERROR(__xludf.DUMMYFUNCTION("""COMPUTED_VALUE"""),"")</f>
        <v/>
      </c>
      <c r="U2838" s="139" t="str">
        <f>IFERROR(__xludf.DUMMYFUNCTION("""COMPUTED_VALUE"""),"")</f>
        <v/>
      </c>
      <c r="V2838" s="136" t="str">
        <f>IFERROR(__xludf.DUMMYFUNCTION("""COMPUTED_VALUE"""),"")</f>
        <v/>
      </c>
      <c r="W2838" s="106" t="str">
        <f>IFERROR(__xludf.DUMMYFUNCTION("""COMPUTED_VALUE"""),"")</f>
        <v/>
      </c>
      <c r="X2838" s="143" t="str">
        <f t="shared" si="2"/>
        <v/>
      </c>
      <c r="Y2838" s="139" t="str">
        <f>IFERROR(__xludf.DUMMYFUNCTION("""COMPUTED_VALUE"""),"")</f>
        <v/>
      </c>
      <c r="Z2838" s="141" t="str">
        <f>IFERROR(__xludf.DUMMYFUNCTION("""COMPUTED_VALUE"""),"")</f>
        <v/>
      </c>
    </row>
    <row r="2839">
      <c r="D2839" s="136" t="str">
        <f t="shared" si="3"/>
        <v/>
      </c>
      <c r="E2839" s="152"/>
      <c r="F2839" s="106" t="s">
        <v>133</v>
      </c>
      <c r="G2839" s="152"/>
      <c r="H2839" s="106" t="s">
        <v>133</v>
      </c>
      <c r="J2839" s="139" t="s">
        <v>133</v>
      </c>
      <c r="K2839" s="136" t="s">
        <v>133</v>
      </c>
      <c r="L2839" s="153"/>
      <c r="M2839" s="136" t="str">
        <f t="shared" si="1"/>
        <v/>
      </c>
      <c r="O2839" s="141" t="s">
        <v>133</v>
      </c>
      <c r="P2839" s="136" t="str">
        <f>IFERROR(__xludf.DUMMYFUNCTION("""COMPUTED_VALUE"""),"")</f>
        <v/>
      </c>
      <c r="Q2839" s="136" t="str">
        <f>IFERROR(__xludf.DUMMYFUNCTION("""COMPUTED_VALUE"""),"")</f>
        <v/>
      </c>
      <c r="R2839" s="106" t="str">
        <f>IFERROR(__xludf.DUMMYFUNCTION("""COMPUTED_VALUE"""),"")</f>
        <v/>
      </c>
      <c r="S2839" s="106" t="str">
        <f>IFERROR(__xludf.DUMMYFUNCTION("""COMPUTED_VALUE"""),"")</f>
        <v/>
      </c>
      <c r="T2839" s="139" t="str">
        <f>IFERROR(__xludf.DUMMYFUNCTION("""COMPUTED_VALUE"""),"")</f>
        <v/>
      </c>
      <c r="U2839" s="139" t="str">
        <f>IFERROR(__xludf.DUMMYFUNCTION("""COMPUTED_VALUE"""),"")</f>
        <v/>
      </c>
      <c r="V2839" s="136" t="str">
        <f>IFERROR(__xludf.DUMMYFUNCTION("""COMPUTED_VALUE"""),"")</f>
        <v/>
      </c>
      <c r="W2839" s="106" t="str">
        <f>IFERROR(__xludf.DUMMYFUNCTION("""COMPUTED_VALUE"""),"")</f>
        <v/>
      </c>
      <c r="X2839" s="143" t="str">
        <f t="shared" si="2"/>
        <v/>
      </c>
      <c r="Y2839" s="139" t="str">
        <f>IFERROR(__xludf.DUMMYFUNCTION("""COMPUTED_VALUE"""),"")</f>
        <v/>
      </c>
      <c r="Z2839" s="141" t="str">
        <f>IFERROR(__xludf.DUMMYFUNCTION("""COMPUTED_VALUE"""),"")</f>
        <v/>
      </c>
    </row>
    <row r="2840">
      <c r="D2840" s="136" t="str">
        <f t="shared" si="3"/>
        <v/>
      </c>
      <c r="E2840" s="152"/>
      <c r="F2840" s="106" t="s">
        <v>133</v>
      </c>
      <c r="G2840" s="152"/>
      <c r="H2840" s="106" t="s">
        <v>133</v>
      </c>
      <c r="J2840" s="139" t="s">
        <v>133</v>
      </c>
      <c r="K2840" s="136" t="s">
        <v>133</v>
      </c>
      <c r="L2840" s="153"/>
      <c r="M2840" s="136" t="str">
        <f t="shared" si="1"/>
        <v/>
      </c>
      <c r="O2840" s="141" t="s">
        <v>133</v>
      </c>
      <c r="P2840" s="136" t="str">
        <f>IFERROR(__xludf.DUMMYFUNCTION("""COMPUTED_VALUE"""),"")</f>
        <v/>
      </c>
      <c r="Q2840" s="136" t="str">
        <f>IFERROR(__xludf.DUMMYFUNCTION("""COMPUTED_VALUE"""),"")</f>
        <v/>
      </c>
      <c r="R2840" s="106" t="str">
        <f>IFERROR(__xludf.DUMMYFUNCTION("""COMPUTED_VALUE"""),"")</f>
        <v/>
      </c>
      <c r="S2840" s="106" t="str">
        <f>IFERROR(__xludf.DUMMYFUNCTION("""COMPUTED_VALUE"""),"")</f>
        <v/>
      </c>
      <c r="T2840" s="139" t="str">
        <f>IFERROR(__xludf.DUMMYFUNCTION("""COMPUTED_VALUE"""),"")</f>
        <v/>
      </c>
      <c r="U2840" s="139" t="str">
        <f>IFERROR(__xludf.DUMMYFUNCTION("""COMPUTED_VALUE"""),"")</f>
        <v/>
      </c>
      <c r="V2840" s="136" t="str">
        <f>IFERROR(__xludf.DUMMYFUNCTION("""COMPUTED_VALUE"""),"")</f>
        <v/>
      </c>
      <c r="W2840" s="106" t="str">
        <f>IFERROR(__xludf.DUMMYFUNCTION("""COMPUTED_VALUE"""),"")</f>
        <v/>
      </c>
      <c r="X2840" s="143" t="str">
        <f t="shared" si="2"/>
        <v/>
      </c>
      <c r="Y2840" s="139" t="str">
        <f>IFERROR(__xludf.DUMMYFUNCTION("""COMPUTED_VALUE"""),"")</f>
        <v/>
      </c>
      <c r="Z2840" s="141" t="str">
        <f>IFERROR(__xludf.DUMMYFUNCTION("""COMPUTED_VALUE"""),"")</f>
        <v/>
      </c>
    </row>
    <row r="2841">
      <c r="D2841" s="136" t="str">
        <f t="shared" si="3"/>
        <v/>
      </c>
      <c r="E2841" s="152"/>
      <c r="F2841" s="106" t="s">
        <v>133</v>
      </c>
      <c r="G2841" s="152"/>
      <c r="H2841" s="106" t="s">
        <v>133</v>
      </c>
      <c r="J2841" s="139" t="s">
        <v>133</v>
      </c>
      <c r="K2841" s="136" t="s">
        <v>133</v>
      </c>
      <c r="L2841" s="153"/>
      <c r="M2841" s="136" t="str">
        <f t="shared" si="1"/>
        <v/>
      </c>
      <c r="O2841" s="141" t="s">
        <v>133</v>
      </c>
      <c r="P2841" s="136" t="str">
        <f>IFERROR(__xludf.DUMMYFUNCTION("""COMPUTED_VALUE"""),"")</f>
        <v/>
      </c>
      <c r="Q2841" s="136" t="str">
        <f>IFERROR(__xludf.DUMMYFUNCTION("""COMPUTED_VALUE"""),"")</f>
        <v/>
      </c>
      <c r="R2841" s="106" t="str">
        <f>IFERROR(__xludf.DUMMYFUNCTION("""COMPUTED_VALUE"""),"")</f>
        <v/>
      </c>
      <c r="S2841" s="106" t="str">
        <f>IFERROR(__xludf.DUMMYFUNCTION("""COMPUTED_VALUE"""),"")</f>
        <v/>
      </c>
      <c r="T2841" s="139" t="str">
        <f>IFERROR(__xludf.DUMMYFUNCTION("""COMPUTED_VALUE"""),"")</f>
        <v/>
      </c>
      <c r="U2841" s="139" t="str">
        <f>IFERROR(__xludf.DUMMYFUNCTION("""COMPUTED_VALUE"""),"")</f>
        <v/>
      </c>
      <c r="V2841" s="136" t="str">
        <f>IFERROR(__xludf.DUMMYFUNCTION("""COMPUTED_VALUE"""),"")</f>
        <v/>
      </c>
      <c r="W2841" s="106" t="str">
        <f>IFERROR(__xludf.DUMMYFUNCTION("""COMPUTED_VALUE"""),"")</f>
        <v/>
      </c>
      <c r="X2841" s="143" t="str">
        <f t="shared" si="2"/>
        <v/>
      </c>
      <c r="Y2841" s="139" t="str">
        <f>IFERROR(__xludf.DUMMYFUNCTION("""COMPUTED_VALUE"""),"")</f>
        <v/>
      </c>
      <c r="Z2841" s="141" t="str">
        <f>IFERROR(__xludf.DUMMYFUNCTION("""COMPUTED_VALUE"""),"")</f>
        <v/>
      </c>
    </row>
    <row r="2842">
      <c r="D2842" s="136" t="str">
        <f t="shared" si="3"/>
        <v/>
      </c>
      <c r="E2842" s="152"/>
      <c r="F2842" s="106" t="s">
        <v>133</v>
      </c>
      <c r="G2842" s="152"/>
      <c r="H2842" s="106" t="s">
        <v>133</v>
      </c>
      <c r="J2842" s="139" t="s">
        <v>133</v>
      </c>
      <c r="K2842" s="136" t="s">
        <v>133</v>
      </c>
      <c r="L2842" s="153"/>
      <c r="M2842" s="136" t="str">
        <f t="shared" si="1"/>
        <v/>
      </c>
      <c r="O2842" s="141" t="s">
        <v>133</v>
      </c>
      <c r="P2842" s="136" t="str">
        <f>IFERROR(__xludf.DUMMYFUNCTION("""COMPUTED_VALUE"""),"")</f>
        <v/>
      </c>
      <c r="Q2842" s="136" t="str">
        <f>IFERROR(__xludf.DUMMYFUNCTION("""COMPUTED_VALUE"""),"")</f>
        <v/>
      </c>
      <c r="R2842" s="106" t="str">
        <f>IFERROR(__xludf.DUMMYFUNCTION("""COMPUTED_VALUE"""),"")</f>
        <v/>
      </c>
      <c r="S2842" s="106" t="str">
        <f>IFERROR(__xludf.DUMMYFUNCTION("""COMPUTED_VALUE"""),"")</f>
        <v/>
      </c>
      <c r="T2842" s="139" t="str">
        <f>IFERROR(__xludf.DUMMYFUNCTION("""COMPUTED_VALUE"""),"")</f>
        <v/>
      </c>
      <c r="U2842" s="139" t="str">
        <f>IFERROR(__xludf.DUMMYFUNCTION("""COMPUTED_VALUE"""),"")</f>
        <v/>
      </c>
      <c r="V2842" s="136" t="str">
        <f>IFERROR(__xludf.DUMMYFUNCTION("""COMPUTED_VALUE"""),"")</f>
        <v/>
      </c>
      <c r="W2842" s="106" t="str">
        <f>IFERROR(__xludf.DUMMYFUNCTION("""COMPUTED_VALUE"""),"")</f>
        <v/>
      </c>
      <c r="X2842" s="143" t="str">
        <f t="shared" si="2"/>
        <v/>
      </c>
      <c r="Y2842" s="139" t="str">
        <f>IFERROR(__xludf.DUMMYFUNCTION("""COMPUTED_VALUE"""),"")</f>
        <v/>
      </c>
      <c r="Z2842" s="141" t="str">
        <f>IFERROR(__xludf.DUMMYFUNCTION("""COMPUTED_VALUE"""),"")</f>
        <v/>
      </c>
    </row>
    <row r="2843">
      <c r="D2843" s="136" t="str">
        <f t="shared" si="3"/>
        <v/>
      </c>
      <c r="E2843" s="152"/>
      <c r="F2843" s="106" t="s">
        <v>133</v>
      </c>
      <c r="G2843" s="152"/>
      <c r="H2843" s="106" t="s">
        <v>133</v>
      </c>
      <c r="J2843" s="139" t="s">
        <v>133</v>
      </c>
      <c r="K2843" s="136" t="s">
        <v>133</v>
      </c>
      <c r="L2843" s="153"/>
      <c r="M2843" s="136" t="str">
        <f t="shared" si="1"/>
        <v/>
      </c>
      <c r="O2843" s="141" t="s">
        <v>133</v>
      </c>
      <c r="P2843" s="136" t="str">
        <f>IFERROR(__xludf.DUMMYFUNCTION("""COMPUTED_VALUE"""),"")</f>
        <v/>
      </c>
      <c r="Q2843" s="136" t="str">
        <f>IFERROR(__xludf.DUMMYFUNCTION("""COMPUTED_VALUE"""),"")</f>
        <v/>
      </c>
      <c r="R2843" s="106" t="str">
        <f>IFERROR(__xludf.DUMMYFUNCTION("""COMPUTED_VALUE"""),"")</f>
        <v/>
      </c>
      <c r="S2843" s="106" t="str">
        <f>IFERROR(__xludf.DUMMYFUNCTION("""COMPUTED_VALUE"""),"")</f>
        <v/>
      </c>
      <c r="T2843" s="139" t="str">
        <f>IFERROR(__xludf.DUMMYFUNCTION("""COMPUTED_VALUE"""),"")</f>
        <v/>
      </c>
      <c r="U2843" s="139" t="str">
        <f>IFERROR(__xludf.DUMMYFUNCTION("""COMPUTED_VALUE"""),"")</f>
        <v/>
      </c>
      <c r="V2843" s="136" t="str">
        <f>IFERROR(__xludf.DUMMYFUNCTION("""COMPUTED_VALUE"""),"")</f>
        <v/>
      </c>
      <c r="W2843" s="106" t="str">
        <f>IFERROR(__xludf.DUMMYFUNCTION("""COMPUTED_VALUE"""),"")</f>
        <v/>
      </c>
      <c r="X2843" s="143" t="str">
        <f t="shared" si="2"/>
        <v/>
      </c>
      <c r="Y2843" s="139" t="str">
        <f>IFERROR(__xludf.DUMMYFUNCTION("""COMPUTED_VALUE"""),"")</f>
        <v/>
      </c>
      <c r="Z2843" s="141" t="str">
        <f>IFERROR(__xludf.DUMMYFUNCTION("""COMPUTED_VALUE"""),"")</f>
        <v/>
      </c>
    </row>
    <row r="2844">
      <c r="D2844" s="136" t="str">
        <f t="shared" si="3"/>
        <v/>
      </c>
      <c r="E2844" s="152"/>
      <c r="F2844" s="106" t="s">
        <v>133</v>
      </c>
      <c r="G2844" s="152"/>
      <c r="H2844" s="106" t="s">
        <v>133</v>
      </c>
      <c r="J2844" s="139" t="s">
        <v>133</v>
      </c>
      <c r="K2844" s="136" t="s">
        <v>133</v>
      </c>
      <c r="L2844" s="153"/>
      <c r="M2844" s="136" t="str">
        <f t="shared" si="1"/>
        <v/>
      </c>
      <c r="O2844" s="141" t="s">
        <v>133</v>
      </c>
      <c r="P2844" s="136" t="str">
        <f>IFERROR(__xludf.DUMMYFUNCTION("""COMPUTED_VALUE"""),"")</f>
        <v/>
      </c>
      <c r="Q2844" s="136" t="str">
        <f>IFERROR(__xludf.DUMMYFUNCTION("""COMPUTED_VALUE"""),"")</f>
        <v/>
      </c>
      <c r="R2844" s="106" t="str">
        <f>IFERROR(__xludf.DUMMYFUNCTION("""COMPUTED_VALUE"""),"")</f>
        <v/>
      </c>
      <c r="S2844" s="106" t="str">
        <f>IFERROR(__xludf.DUMMYFUNCTION("""COMPUTED_VALUE"""),"")</f>
        <v/>
      </c>
      <c r="T2844" s="139" t="str">
        <f>IFERROR(__xludf.DUMMYFUNCTION("""COMPUTED_VALUE"""),"")</f>
        <v/>
      </c>
      <c r="U2844" s="139" t="str">
        <f>IFERROR(__xludf.DUMMYFUNCTION("""COMPUTED_VALUE"""),"")</f>
        <v/>
      </c>
      <c r="V2844" s="136" t="str">
        <f>IFERROR(__xludf.DUMMYFUNCTION("""COMPUTED_VALUE"""),"")</f>
        <v/>
      </c>
      <c r="W2844" s="106" t="str">
        <f>IFERROR(__xludf.DUMMYFUNCTION("""COMPUTED_VALUE"""),"")</f>
        <v/>
      </c>
      <c r="X2844" s="143" t="str">
        <f t="shared" si="2"/>
        <v/>
      </c>
      <c r="Y2844" s="139" t="str">
        <f>IFERROR(__xludf.DUMMYFUNCTION("""COMPUTED_VALUE"""),"")</f>
        <v/>
      </c>
      <c r="Z2844" s="141" t="str">
        <f>IFERROR(__xludf.DUMMYFUNCTION("""COMPUTED_VALUE"""),"")</f>
        <v/>
      </c>
    </row>
    <row r="2845">
      <c r="D2845" s="136" t="str">
        <f t="shared" si="3"/>
        <v/>
      </c>
      <c r="E2845" s="152"/>
      <c r="F2845" s="106" t="s">
        <v>133</v>
      </c>
      <c r="G2845" s="152"/>
      <c r="H2845" s="106" t="s">
        <v>133</v>
      </c>
      <c r="J2845" s="139" t="s">
        <v>133</v>
      </c>
      <c r="K2845" s="136" t="s">
        <v>133</v>
      </c>
      <c r="L2845" s="153"/>
      <c r="M2845" s="136" t="str">
        <f t="shared" si="1"/>
        <v/>
      </c>
      <c r="O2845" s="141" t="s">
        <v>133</v>
      </c>
      <c r="P2845" s="136" t="str">
        <f>IFERROR(__xludf.DUMMYFUNCTION("""COMPUTED_VALUE"""),"")</f>
        <v/>
      </c>
      <c r="Q2845" s="136" t="str">
        <f>IFERROR(__xludf.DUMMYFUNCTION("""COMPUTED_VALUE"""),"")</f>
        <v/>
      </c>
      <c r="R2845" s="106" t="str">
        <f>IFERROR(__xludf.DUMMYFUNCTION("""COMPUTED_VALUE"""),"")</f>
        <v/>
      </c>
      <c r="S2845" s="106" t="str">
        <f>IFERROR(__xludf.DUMMYFUNCTION("""COMPUTED_VALUE"""),"")</f>
        <v/>
      </c>
      <c r="T2845" s="139" t="str">
        <f>IFERROR(__xludf.DUMMYFUNCTION("""COMPUTED_VALUE"""),"")</f>
        <v/>
      </c>
      <c r="U2845" s="139" t="str">
        <f>IFERROR(__xludf.DUMMYFUNCTION("""COMPUTED_VALUE"""),"")</f>
        <v/>
      </c>
      <c r="V2845" s="136" t="str">
        <f>IFERROR(__xludf.DUMMYFUNCTION("""COMPUTED_VALUE"""),"")</f>
        <v/>
      </c>
      <c r="W2845" s="106" t="str">
        <f>IFERROR(__xludf.DUMMYFUNCTION("""COMPUTED_VALUE"""),"")</f>
        <v/>
      </c>
      <c r="X2845" s="143" t="str">
        <f t="shared" si="2"/>
        <v/>
      </c>
      <c r="Y2845" s="139" t="str">
        <f>IFERROR(__xludf.DUMMYFUNCTION("""COMPUTED_VALUE"""),"")</f>
        <v/>
      </c>
      <c r="Z2845" s="141" t="str">
        <f>IFERROR(__xludf.DUMMYFUNCTION("""COMPUTED_VALUE"""),"")</f>
        <v/>
      </c>
    </row>
    <row r="2846">
      <c r="D2846" s="136" t="str">
        <f t="shared" si="3"/>
        <v/>
      </c>
      <c r="E2846" s="152"/>
      <c r="F2846" s="106" t="s">
        <v>133</v>
      </c>
      <c r="G2846" s="152"/>
      <c r="H2846" s="106" t="s">
        <v>133</v>
      </c>
      <c r="J2846" s="139" t="s">
        <v>133</v>
      </c>
      <c r="K2846" s="136" t="s">
        <v>133</v>
      </c>
      <c r="L2846" s="153"/>
      <c r="M2846" s="136" t="str">
        <f t="shared" si="1"/>
        <v/>
      </c>
      <c r="O2846" s="141" t="s">
        <v>133</v>
      </c>
      <c r="P2846" s="136" t="str">
        <f>IFERROR(__xludf.DUMMYFUNCTION("""COMPUTED_VALUE"""),"")</f>
        <v/>
      </c>
      <c r="Q2846" s="136" t="str">
        <f>IFERROR(__xludf.DUMMYFUNCTION("""COMPUTED_VALUE"""),"")</f>
        <v/>
      </c>
      <c r="R2846" s="106" t="str">
        <f>IFERROR(__xludf.DUMMYFUNCTION("""COMPUTED_VALUE"""),"")</f>
        <v/>
      </c>
      <c r="S2846" s="106" t="str">
        <f>IFERROR(__xludf.DUMMYFUNCTION("""COMPUTED_VALUE"""),"")</f>
        <v/>
      </c>
      <c r="T2846" s="139" t="str">
        <f>IFERROR(__xludf.DUMMYFUNCTION("""COMPUTED_VALUE"""),"")</f>
        <v/>
      </c>
      <c r="U2846" s="139" t="str">
        <f>IFERROR(__xludf.DUMMYFUNCTION("""COMPUTED_VALUE"""),"")</f>
        <v/>
      </c>
      <c r="V2846" s="136" t="str">
        <f>IFERROR(__xludf.DUMMYFUNCTION("""COMPUTED_VALUE"""),"")</f>
        <v/>
      </c>
      <c r="W2846" s="106" t="str">
        <f>IFERROR(__xludf.DUMMYFUNCTION("""COMPUTED_VALUE"""),"")</f>
        <v/>
      </c>
      <c r="X2846" s="143" t="str">
        <f t="shared" si="2"/>
        <v/>
      </c>
      <c r="Y2846" s="139" t="str">
        <f>IFERROR(__xludf.DUMMYFUNCTION("""COMPUTED_VALUE"""),"")</f>
        <v/>
      </c>
      <c r="Z2846" s="141" t="str">
        <f>IFERROR(__xludf.DUMMYFUNCTION("""COMPUTED_VALUE"""),"")</f>
        <v/>
      </c>
    </row>
    <row r="2847">
      <c r="D2847" s="136" t="str">
        <f t="shared" si="3"/>
        <v/>
      </c>
      <c r="E2847" s="152"/>
      <c r="F2847" s="106" t="s">
        <v>133</v>
      </c>
      <c r="G2847" s="152"/>
      <c r="H2847" s="106" t="s">
        <v>133</v>
      </c>
      <c r="J2847" s="139" t="s">
        <v>133</v>
      </c>
      <c r="K2847" s="136" t="s">
        <v>133</v>
      </c>
      <c r="L2847" s="153"/>
      <c r="M2847" s="136" t="str">
        <f t="shared" si="1"/>
        <v/>
      </c>
      <c r="O2847" s="141" t="s">
        <v>133</v>
      </c>
      <c r="P2847" s="136" t="str">
        <f>IFERROR(__xludf.DUMMYFUNCTION("""COMPUTED_VALUE"""),"")</f>
        <v/>
      </c>
      <c r="Q2847" s="136" t="str">
        <f>IFERROR(__xludf.DUMMYFUNCTION("""COMPUTED_VALUE"""),"")</f>
        <v/>
      </c>
      <c r="R2847" s="106" t="str">
        <f>IFERROR(__xludf.DUMMYFUNCTION("""COMPUTED_VALUE"""),"")</f>
        <v/>
      </c>
      <c r="S2847" s="106" t="str">
        <f>IFERROR(__xludf.DUMMYFUNCTION("""COMPUTED_VALUE"""),"")</f>
        <v/>
      </c>
      <c r="T2847" s="139" t="str">
        <f>IFERROR(__xludf.DUMMYFUNCTION("""COMPUTED_VALUE"""),"")</f>
        <v/>
      </c>
      <c r="U2847" s="139" t="str">
        <f>IFERROR(__xludf.DUMMYFUNCTION("""COMPUTED_VALUE"""),"")</f>
        <v/>
      </c>
      <c r="V2847" s="136" t="str">
        <f>IFERROR(__xludf.DUMMYFUNCTION("""COMPUTED_VALUE"""),"")</f>
        <v/>
      </c>
      <c r="W2847" s="106" t="str">
        <f>IFERROR(__xludf.DUMMYFUNCTION("""COMPUTED_VALUE"""),"")</f>
        <v/>
      </c>
      <c r="X2847" s="143" t="str">
        <f t="shared" si="2"/>
        <v/>
      </c>
      <c r="Y2847" s="139" t="str">
        <f>IFERROR(__xludf.DUMMYFUNCTION("""COMPUTED_VALUE"""),"")</f>
        <v/>
      </c>
      <c r="Z2847" s="141" t="str">
        <f>IFERROR(__xludf.DUMMYFUNCTION("""COMPUTED_VALUE"""),"")</f>
        <v/>
      </c>
    </row>
    <row r="2848">
      <c r="D2848" s="136" t="str">
        <f t="shared" si="3"/>
        <v/>
      </c>
      <c r="E2848" s="152"/>
      <c r="F2848" s="106" t="s">
        <v>133</v>
      </c>
      <c r="G2848" s="152"/>
      <c r="H2848" s="106" t="s">
        <v>133</v>
      </c>
      <c r="J2848" s="139" t="s">
        <v>133</v>
      </c>
      <c r="K2848" s="136" t="s">
        <v>133</v>
      </c>
      <c r="L2848" s="153"/>
      <c r="M2848" s="136" t="str">
        <f t="shared" si="1"/>
        <v/>
      </c>
      <c r="O2848" s="141" t="s">
        <v>133</v>
      </c>
      <c r="P2848" s="136" t="str">
        <f>IFERROR(__xludf.DUMMYFUNCTION("""COMPUTED_VALUE"""),"")</f>
        <v/>
      </c>
      <c r="Q2848" s="136" t="str">
        <f>IFERROR(__xludf.DUMMYFUNCTION("""COMPUTED_VALUE"""),"")</f>
        <v/>
      </c>
      <c r="R2848" s="106" t="str">
        <f>IFERROR(__xludf.DUMMYFUNCTION("""COMPUTED_VALUE"""),"")</f>
        <v/>
      </c>
      <c r="S2848" s="106" t="str">
        <f>IFERROR(__xludf.DUMMYFUNCTION("""COMPUTED_VALUE"""),"")</f>
        <v/>
      </c>
      <c r="T2848" s="139" t="str">
        <f>IFERROR(__xludf.DUMMYFUNCTION("""COMPUTED_VALUE"""),"")</f>
        <v/>
      </c>
      <c r="U2848" s="139" t="str">
        <f>IFERROR(__xludf.DUMMYFUNCTION("""COMPUTED_VALUE"""),"")</f>
        <v/>
      </c>
      <c r="V2848" s="136" t="str">
        <f>IFERROR(__xludf.DUMMYFUNCTION("""COMPUTED_VALUE"""),"")</f>
        <v/>
      </c>
      <c r="W2848" s="106" t="str">
        <f>IFERROR(__xludf.DUMMYFUNCTION("""COMPUTED_VALUE"""),"")</f>
        <v/>
      </c>
      <c r="X2848" s="143" t="str">
        <f t="shared" si="2"/>
        <v/>
      </c>
      <c r="Y2848" s="139" t="str">
        <f>IFERROR(__xludf.DUMMYFUNCTION("""COMPUTED_VALUE"""),"")</f>
        <v/>
      </c>
      <c r="Z2848" s="141" t="str">
        <f>IFERROR(__xludf.DUMMYFUNCTION("""COMPUTED_VALUE"""),"")</f>
        <v/>
      </c>
    </row>
    <row r="2849">
      <c r="D2849" s="136" t="str">
        <f t="shared" si="3"/>
        <v/>
      </c>
      <c r="E2849" s="152"/>
      <c r="F2849" s="106" t="s">
        <v>133</v>
      </c>
      <c r="G2849" s="152"/>
      <c r="H2849" s="106" t="s">
        <v>133</v>
      </c>
      <c r="J2849" s="139" t="s">
        <v>133</v>
      </c>
      <c r="K2849" s="136" t="s">
        <v>133</v>
      </c>
      <c r="L2849" s="153"/>
      <c r="M2849" s="136" t="str">
        <f t="shared" si="1"/>
        <v/>
      </c>
      <c r="O2849" s="141" t="s">
        <v>133</v>
      </c>
      <c r="P2849" s="136" t="str">
        <f>IFERROR(__xludf.DUMMYFUNCTION("""COMPUTED_VALUE"""),"")</f>
        <v/>
      </c>
      <c r="Q2849" s="136" t="str">
        <f>IFERROR(__xludf.DUMMYFUNCTION("""COMPUTED_VALUE"""),"")</f>
        <v/>
      </c>
      <c r="R2849" s="106" t="str">
        <f>IFERROR(__xludf.DUMMYFUNCTION("""COMPUTED_VALUE"""),"")</f>
        <v/>
      </c>
      <c r="S2849" s="106" t="str">
        <f>IFERROR(__xludf.DUMMYFUNCTION("""COMPUTED_VALUE"""),"")</f>
        <v/>
      </c>
      <c r="T2849" s="139" t="str">
        <f>IFERROR(__xludf.DUMMYFUNCTION("""COMPUTED_VALUE"""),"")</f>
        <v/>
      </c>
      <c r="U2849" s="139" t="str">
        <f>IFERROR(__xludf.DUMMYFUNCTION("""COMPUTED_VALUE"""),"")</f>
        <v/>
      </c>
      <c r="V2849" s="136" t="str">
        <f>IFERROR(__xludf.DUMMYFUNCTION("""COMPUTED_VALUE"""),"")</f>
        <v/>
      </c>
      <c r="W2849" s="106" t="str">
        <f>IFERROR(__xludf.DUMMYFUNCTION("""COMPUTED_VALUE"""),"")</f>
        <v/>
      </c>
      <c r="X2849" s="143" t="str">
        <f t="shared" si="2"/>
        <v/>
      </c>
      <c r="Y2849" s="139" t="str">
        <f>IFERROR(__xludf.DUMMYFUNCTION("""COMPUTED_VALUE"""),"")</f>
        <v/>
      </c>
      <c r="Z2849" s="141" t="str">
        <f>IFERROR(__xludf.DUMMYFUNCTION("""COMPUTED_VALUE"""),"")</f>
        <v/>
      </c>
    </row>
    <row r="2850">
      <c r="D2850" s="136" t="str">
        <f t="shared" si="3"/>
        <v/>
      </c>
      <c r="E2850" s="152"/>
      <c r="F2850" s="106" t="s">
        <v>133</v>
      </c>
      <c r="G2850" s="152"/>
      <c r="H2850" s="106" t="s">
        <v>133</v>
      </c>
      <c r="J2850" s="139" t="s">
        <v>133</v>
      </c>
      <c r="K2850" s="136" t="s">
        <v>133</v>
      </c>
      <c r="L2850" s="153"/>
      <c r="M2850" s="136" t="str">
        <f t="shared" si="1"/>
        <v/>
      </c>
      <c r="O2850" s="141" t="s">
        <v>133</v>
      </c>
      <c r="P2850" s="136" t="str">
        <f>IFERROR(__xludf.DUMMYFUNCTION("""COMPUTED_VALUE"""),"")</f>
        <v/>
      </c>
      <c r="Q2850" s="136" t="str">
        <f>IFERROR(__xludf.DUMMYFUNCTION("""COMPUTED_VALUE"""),"")</f>
        <v/>
      </c>
      <c r="R2850" s="106" t="str">
        <f>IFERROR(__xludf.DUMMYFUNCTION("""COMPUTED_VALUE"""),"")</f>
        <v/>
      </c>
      <c r="S2850" s="106" t="str">
        <f>IFERROR(__xludf.DUMMYFUNCTION("""COMPUTED_VALUE"""),"")</f>
        <v/>
      </c>
      <c r="T2850" s="139" t="str">
        <f>IFERROR(__xludf.DUMMYFUNCTION("""COMPUTED_VALUE"""),"")</f>
        <v/>
      </c>
      <c r="U2850" s="139" t="str">
        <f>IFERROR(__xludf.DUMMYFUNCTION("""COMPUTED_VALUE"""),"")</f>
        <v/>
      </c>
      <c r="V2850" s="136" t="str">
        <f>IFERROR(__xludf.DUMMYFUNCTION("""COMPUTED_VALUE"""),"")</f>
        <v/>
      </c>
      <c r="W2850" s="106" t="str">
        <f>IFERROR(__xludf.DUMMYFUNCTION("""COMPUTED_VALUE"""),"")</f>
        <v/>
      </c>
      <c r="X2850" s="143" t="str">
        <f t="shared" si="2"/>
        <v/>
      </c>
      <c r="Y2850" s="139" t="str">
        <f>IFERROR(__xludf.DUMMYFUNCTION("""COMPUTED_VALUE"""),"")</f>
        <v/>
      </c>
      <c r="Z2850" s="141" t="str">
        <f>IFERROR(__xludf.DUMMYFUNCTION("""COMPUTED_VALUE"""),"")</f>
        <v/>
      </c>
    </row>
    <row r="2851">
      <c r="D2851" s="136" t="str">
        <f t="shared" si="3"/>
        <v/>
      </c>
      <c r="E2851" s="152"/>
      <c r="F2851" s="106" t="s">
        <v>133</v>
      </c>
      <c r="G2851" s="152"/>
      <c r="H2851" s="106" t="s">
        <v>133</v>
      </c>
      <c r="J2851" s="139" t="s">
        <v>133</v>
      </c>
      <c r="K2851" s="136" t="s">
        <v>133</v>
      </c>
      <c r="L2851" s="153"/>
      <c r="M2851" s="136" t="str">
        <f t="shared" si="1"/>
        <v/>
      </c>
      <c r="O2851" s="141" t="s">
        <v>133</v>
      </c>
      <c r="P2851" s="136" t="str">
        <f>IFERROR(__xludf.DUMMYFUNCTION("""COMPUTED_VALUE"""),"")</f>
        <v/>
      </c>
      <c r="Q2851" s="136" t="str">
        <f>IFERROR(__xludf.DUMMYFUNCTION("""COMPUTED_VALUE"""),"")</f>
        <v/>
      </c>
      <c r="R2851" s="106" t="str">
        <f>IFERROR(__xludf.DUMMYFUNCTION("""COMPUTED_VALUE"""),"")</f>
        <v/>
      </c>
      <c r="S2851" s="106" t="str">
        <f>IFERROR(__xludf.DUMMYFUNCTION("""COMPUTED_VALUE"""),"")</f>
        <v/>
      </c>
      <c r="T2851" s="139" t="str">
        <f>IFERROR(__xludf.DUMMYFUNCTION("""COMPUTED_VALUE"""),"")</f>
        <v/>
      </c>
      <c r="U2851" s="139" t="str">
        <f>IFERROR(__xludf.DUMMYFUNCTION("""COMPUTED_VALUE"""),"")</f>
        <v/>
      </c>
      <c r="V2851" s="136" t="str">
        <f>IFERROR(__xludf.DUMMYFUNCTION("""COMPUTED_VALUE"""),"")</f>
        <v/>
      </c>
      <c r="W2851" s="106" t="str">
        <f>IFERROR(__xludf.DUMMYFUNCTION("""COMPUTED_VALUE"""),"")</f>
        <v/>
      </c>
      <c r="X2851" s="143" t="str">
        <f t="shared" si="2"/>
        <v/>
      </c>
      <c r="Y2851" s="139" t="str">
        <f>IFERROR(__xludf.DUMMYFUNCTION("""COMPUTED_VALUE"""),"")</f>
        <v/>
      </c>
      <c r="Z2851" s="141" t="str">
        <f>IFERROR(__xludf.DUMMYFUNCTION("""COMPUTED_VALUE"""),"")</f>
        <v/>
      </c>
    </row>
    <row r="2852">
      <c r="D2852" s="136" t="str">
        <f t="shared" si="3"/>
        <v/>
      </c>
      <c r="E2852" s="152"/>
      <c r="F2852" s="106" t="s">
        <v>133</v>
      </c>
      <c r="G2852" s="152"/>
      <c r="H2852" s="106" t="s">
        <v>133</v>
      </c>
      <c r="J2852" s="139" t="s">
        <v>133</v>
      </c>
      <c r="K2852" s="136" t="s">
        <v>133</v>
      </c>
      <c r="L2852" s="153"/>
      <c r="M2852" s="136" t="str">
        <f t="shared" si="1"/>
        <v/>
      </c>
      <c r="O2852" s="141" t="s">
        <v>133</v>
      </c>
      <c r="P2852" s="136" t="str">
        <f>IFERROR(__xludf.DUMMYFUNCTION("""COMPUTED_VALUE"""),"")</f>
        <v/>
      </c>
      <c r="Q2852" s="136" t="str">
        <f>IFERROR(__xludf.DUMMYFUNCTION("""COMPUTED_VALUE"""),"")</f>
        <v/>
      </c>
      <c r="R2852" s="106" t="str">
        <f>IFERROR(__xludf.DUMMYFUNCTION("""COMPUTED_VALUE"""),"")</f>
        <v/>
      </c>
      <c r="S2852" s="106" t="str">
        <f>IFERROR(__xludf.DUMMYFUNCTION("""COMPUTED_VALUE"""),"")</f>
        <v/>
      </c>
      <c r="T2852" s="139" t="str">
        <f>IFERROR(__xludf.DUMMYFUNCTION("""COMPUTED_VALUE"""),"")</f>
        <v/>
      </c>
      <c r="U2852" s="139" t="str">
        <f>IFERROR(__xludf.DUMMYFUNCTION("""COMPUTED_VALUE"""),"")</f>
        <v/>
      </c>
      <c r="V2852" s="136" t="str">
        <f>IFERROR(__xludf.DUMMYFUNCTION("""COMPUTED_VALUE"""),"")</f>
        <v/>
      </c>
      <c r="W2852" s="106" t="str">
        <f>IFERROR(__xludf.DUMMYFUNCTION("""COMPUTED_VALUE"""),"")</f>
        <v/>
      </c>
      <c r="X2852" s="143" t="str">
        <f t="shared" si="2"/>
        <v/>
      </c>
      <c r="Y2852" s="139" t="str">
        <f>IFERROR(__xludf.DUMMYFUNCTION("""COMPUTED_VALUE"""),"")</f>
        <v/>
      </c>
      <c r="Z2852" s="141" t="str">
        <f>IFERROR(__xludf.DUMMYFUNCTION("""COMPUTED_VALUE"""),"")</f>
        <v/>
      </c>
    </row>
    <row r="2853">
      <c r="D2853" s="136" t="str">
        <f t="shared" si="3"/>
        <v/>
      </c>
      <c r="E2853" s="152"/>
      <c r="F2853" s="106" t="s">
        <v>133</v>
      </c>
      <c r="G2853" s="152"/>
      <c r="H2853" s="106" t="s">
        <v>133</v>
      </c>
      <c r="J2853" s="139" t="s">
        <v>133</v>
      </c>
      <c r="K2853" s="136" t="s">
        <v>133</v>
      </c>
      <c r="L2853" s="153"/>
      <c r="M2853" s="136" t="str">
        <f t="shared" si="1"/>
        <v/>
      </c>
      <c r="O2853" s="141" t="s">
        <v>133</v>
      </c>
      <c r="P2853" s="136" t="str">
        <f>IFERROR(__xludf.DUMMYFUNCTION("""COMPUTED_VALUE"""),"")</f>
        <v/>
      </c>
      <c r="Q2853" s="136" t="str">
        <f>IFERROR(__xludf.DUMMYFUNCTION("""COMPUTED_VALUE"""),"")</f>
        <v/>
      </c>
      <c r="R2853" s="106" t="str">
        <f>IFERROR(__xludf.DUMMYFUNCTION("""COMPUTED_VALUE"""),"")</f>
        <v/>
      </c>
      <c r="S2853" s="106" t="str">
        <f>IFERROR(__xludf.DUMMYFUNCTION("""COMPUTED_VALUE"""),"")</f>
        <v/>
      </c>
      <c r="T2853" s="139" t="str">
        <f>IFERROR(__xludf.DUMMYFUNCTION("""COMPUTED_VALUE"""),"")</f>
        <v/>
      </c>
      <c r="U2853" s="139" t="str">
        <f>IFERROR(__xludf.DUMMYFUNCTION("""COMPUTED_VALUE"""),"")</f>
        <v/>
      </c>
      <c r="V2853" s="136" t="str">
        <f>IFERROR(__xludf.DUMMYFUNCTION("""COMPUTED_VALUE"""),"")</f>
        <v/>
      </c>
      <c r="W2853" s="106" t="str">
        <f>IFERROR(__xludf.DUMMYFUNCTION("""COMPUTED_VALUE"""),"")</f>
        <v/>
      </c>
      <c r="X2853" s="143" t="str">
        <f t="shared" si="2"/>
        <v/>
      </c>
      <c r="Y2853" s="139" t="str">
        <f>IFERROR(__xludf.DUMMYFUNCTION("""COMPUTED_VALUE"""),"")</f>
        <v/>
      </c>
      <c r="Z2853" s="141" t="str">
        <f>IFERROR(__xludf.DUMMYFUNCTION("""COMPUTED_VALUE"""),"")</f>
        <v/>
      </c>
    </row>
    <row r="2854">
      <c r="D2854" s="136" t="str">
        <f t="shared" si="3"/>
        <v/>
      </c>
      <c r="E2854" s="152"/>
      <c r="F2854" s="106" t="s">
        <v>133</v>
      </c>
      <c r="G2854" s="152"/>
      <c r="H2854" s="106" t="s">
        <v>133</v>
      </c>
      <c r="J2854" s="139" t="s">
        <v>133</v>
      </c>
      <c r="K2854" s="136" t="s">
        <v>133</v>
      </c>
      <c r="L2854" s="153"/>
      <c r="M2854" s="136" t="str">
        <f t="shared" si="1"/>
        <v/>
      </c>
      <c r="O2854" s="141" t="s">
        <v>133</v>
      </c>
      <c r="P2854" s="136" t="str">
        <f>IFERROR(__xludf.DUMMYFUNCTION("""COMPUTED_VALUE"""),"")</f>
        <v/>
      </c>
      <c r="Q2854" s="136" t="str">
        <f>IFERROR(__xludf.DUMMYFUNCTION("""COMPUTED_VALUE"""),"")</f>
        <v/>
      </c>
      <c r="R2854" s="106" t="str">
        <f>IFERROR(__xludf.DUMMYFUNCTION("""COMPUTED_VALUE"""),"")</f>
        <v/>
      </c>
      <c r="S2854" s="106" t="str">
        <f>IFERROR(__xludf.DUMMYFUNCTION("""COMPUTED_VALUE"""),"")</f>
        <v/>
      </c>
      <c r="T2854" s="139" t="str">
        <f>IFERROR(__xludf.DUMMYFUNCTION("""COMPUTED_VALUE"""),"")</f>
        <v/>
      </c>
      <c r="U2854" s="139" t="str">
        <f>IFERROR(__xludf.DUMMYFUNCTION("""COMPUTED_VALUE"""),"")</f>
        <v/>
      </c>
      <c r="V2854" s="136" t="str">
        <f>IFERROR(__xludf.DUMMYFUNCTION("""COMPUTED_VALUE"""),"")</f>
        <v/>
      </c>
      <c r="W2854" s="106" t="str">
        <f>IFERROR(__xludf.DUMMYFUNCTION("""COMPUTED_VALUE"""),"")</f>
        <v/>
      </c>
      <c r="X2854" s="143" t="str">
        <f t="shared" si="2"/>
        <v/>
      </c>
      <c r="Y2854" s="139" t="str">
        <f>IFERROR(__xludf.DUMMYFUNCTION("""COMPUTED_VALUE"""),"")</f>
        <v/>
      </c>
      <c r="Z2854" s="141" t="str">
        <f>IFERROR(__xludf.DUMMYFUNCTION("""COMPUTED_VALUE"""),"")</f>
        <v/>
      </c>
    </row>
    <row r="2855">
      <c r="D2855" s="136" t="str">
        <f t="shared" si="3"/>
        <v/>
      </c>
      <c r="E2855" s="152"/>
      <c r="F2855" s="106" t="s">
        <v>133</v>
      </c>
      <c r="G2855" s="152"/>
      <c r="H2855" s="106" t="s">
        <v>133</v>
      </c>
      <c r="J2855" s="139" t="s">
        <v>133</v>
      </c>
      <c r="K2855" s="136" t="s">
        <v>133</v>
      </c>
      <c r="L2855" s="153"/>
      <c r="M2855" s="136" t="str">
        <f t="shared" si="1"/>
        <v/>
      </c>
      <c r="O2855" s="141" t="s">
        <v>133</v>
      </c>
      <c r="P2855" s="136" t="str">
        <f>IFERROR(__xludf.DUMMYFUNCTION("""COMPUTED_VALUE"""),"")</f>
        <v/>
      </c>
      <c r="Q2855" s="136" t="str">
        <f>IFERROR(__xludf.DUMMYFUNCTION("""COMPUTED_VALUE"""),"")</f>
        <v/>
      </c>
      <c r="R2855" s="106" t="str">
        <f>IFERROR(__xludf.DUMMYFUNCTION("""COMPUTED_VALUE"""),"")</f>
        <v/>
      </c>
      <c r="S2855" s="106" t="str">
        <f>IFERROR(__xludf.DUMMYFUNCTION("""COMPUTED_VALUE"""),"")</f>
        <v/>
      </c>
      <c r="T2855" s="139" t="str">
        <f>IFERROR(__xludf.DUMMYFUNCTION("""COMPUTED_VALUE"""),"")</f>
        <v/>
      </c>
      <c r="U2855" s="139" t="str">
        <f>IFERROR(__xludf.DUMMYFUNCTION("""COMPUTED_VALUE"""),"")</f>
        <v/>
      </c>
      <c r="V2855" s="136" t="str">
        <f>IFERROR(__xludf.DUMMYFUNCTION("""COMPUTED_VALUE"""),"")</f>
        <v/>
      </c>
      <c r="W2855" s="106" t="str">
        <f>IFERROR(__xludf.DUMMYFUNCTION("""COMPUTED_VALUE"""),"")</f>
        <v/>
      </c>
      <c r="X2855" s="143" t="str">
        <f t="shared" si="2"/>
        <v/>
      </c>
      <c r="Y2855" s="139" t="str">
        <f>IFERROR(__xludf.DUMMYFUNCTION("""COMPUTED_VALUE"""),"")</f>
        <v/>
      </c>
      <c r="Z2855" s="141" t="str">
        <f>IFERROR(__xludf.DUMMYFUNCTION("""COMPUTED_VALUE"""),"")</f>
        <v/>
      </c>
    </row>
    <row r="2856">
      <c r="D2856" s="136" t="str">
        <f t="shared" si="3"/>
        <v/>
      </c>
      <c r="E2856" s="152"/>
      <c r="F2856" s="106" t="s">
        <v>133</v>
      </c>
      <c r="G2856" s="152"/>
      <c r="H2856" s="106" t="s">
        <v>133</v>
      </c>
      <c r="J2856" s="139" t="s">
        <v>133</v>
      </c>
      <c r="K2856" s="136" t="s">
        <v>133</v>
      </c>
      <c r="L2856" s="153"/>
      <c r="M2856" s="136" t="str">
        <f t="shared" si="1"/>
        <v/>
      </c>
      <c r="O2856" s="141" t="s">
        <v>133</v>
      </c>
      <c r="P2856" s="136" t="str">
        <f>IFERROR(__xludf.DUMMYFUNCTION("""COMPUTED_VALUE"""),"")</f>
        <v/>
      </c>
      <c r="Q2856" s="136" t="str">
        <f>IFERROR(__xludf.DUMMYFUNCTION("""COMPUTED_VALUE"""),"")</f>
        <v/>
      </c>
      <c r="R2856" s="106" t="str">
        <f>IFERROR(__xludf.DUMMYFUNCTION("""COMPUTED_VALUE"""),"")</f>
        <v/>
      </c>
      <c r="S2856" s="106" t="str">
        <f>IFERROR(__xludf.DUMMYFUNCTION("""COMPUTED_VALUE"""),"")</f>
        <v/>
      </c>
      <c r="T2856" s="139" t="str">
        <f>IFERROR(__xludf.DUMMYFUNCTION("""COMPUTED_VALUE"""),"")</f>
        <v/>
      </c>
      <c r="U2856" s="139" t="str">
        <f>IFERROR(__xludf.DUMMYFUNCTION("""COMPUTED_VALUE"""),"")</f>
        <v/>
      </c>
      <c r="V2856" s="136" t="str">
        <f>IFERROR(__xludf.DUMMYFUNCTION("""COMPUTED_VALUE"""),"")</f>
        <v/>
      </c>
      <c r="W2856" s="106" t="str">
        <f>IFERROR(__xludf.DUMMYFUNCTION("""COMPUTED_VALUE"""),"")</f>
        <v/>
      </c>
      <c r="X2856" s="143" t="str">
        <f t="shared" si="2"/>
        <v/>
      </c>
      <c r="Y2856" s="139" t="str">
        <f>IFERROR(__xludf.DUMMYFUNCTION("""COMPUTED_VALUE"""),"")</f>
        <v/>
      </c>
      <c r="Z2856" s="141" t="str">
        <f>IFERROR(__xludf.DUMMYFUNCTION("""COMPUTED_VALUE"""),"")</f>
        <v/>
      </c>
    </row>
    <row r="2857">
      <c r="D2857" s="136" t="str">
        <f t="shared" si="3"/>
        <v/>
      </c>
      <c r="E2857" s="152"/>
      <c r="F2857" s="106" t="s">
        <v>133</v>
      </c>
      <c r="G2857" s="152"/>
      <c r="H2857" s="106" t="s">
        <v>133</v>
      </c>
      <c r="J2857" s="139" t="s">
        <v>133</v>
      </c>
      <c r="K2857" s="136" t="s">
        <v>133</v>
      </c>
      <c r="L2857" s="153"/>
      <c r="M2857" s="136" t="str">
        <f t="shared" si="1"/>
        <v/>
      </c>
      <c r="O2857" s="141" t="s">
        <v>133</v>
      </c>
      <c r="P2857" s="136" t="str">
        <f>IFERROR(__xludf.DUMMYFUNCTION("""COMPUTED_VALUE"""),"")</f>
        <v/>
      </c>
      <c r="Q2857" s="136" t="str">
        <f>IFERROR(__xludf.DUMMYFUNCTION("""COMPUTED_VALUE"""),"")</f>
        <v/>
      </c>
      <c r="R2857" s="106" t="str">
        <f>IFERROR(__xludf.DUMMYFUNCTION("""COMPUTED_VALUE"""),"")</f>
        <v/>
      </c>
      <c r="S2857" s="106" t="str">
        <f>IFERROR(__xludf.DUMMYFUNCTION("""COMPUTED_VALUE"""),"")</f>
        <v/>
      </c>
      <c r="T2857" s="139" t="str">
        <f>IFERROR(__xludf.DUMMYFUNCTION("""COMPUTED_VALUE"""),"")</f>
        <v/>
      </c>
      <c r="U2857" s="139" t="str">
        <f>IFERROR(__xludf.DUMMYFUNCTION("""COMPUTED_VALUE"""),"")</f>
        <v/>
      </c>
      <c r="V2857" s="136" t="str">
        <f>IFERROR(__xludf.DUMMYFUNCTION("""COMPUTED_VALUE"""),"")</f>
        <v/>
      </c>
      <c r="W2857" s="106" t="str">
        <f>IFERROR(__xludf.DUMMYFUNCTION("""COMPUTED_VALUE"""),"")</f>
        <v/>
      </c>
      <c r="X2857" s="143" t="str">
        <f t="shared" si="2"/>
        <v/>
      </c>
      <c r="Y2857" s="139" t="str">
        <f>IFERROR(__xludf.DUMMYFUNCTION("""COMPUTED_VALUE"""),"")</f>
        <v/>
      </c>
      <c r="Z2857" s="141" t="str">
        <f>IFERROR(__xludf.DUMMYFUNCTION("""COMPUTED_VALUE"""),"")</f>
        <v/>
      </c>
    </row>
    <row r="2858">
      <c r="D2858" s="136" t="str">
        <f t="shared" si="3"/>
        <v/>
      </c>
      <c r="E2858" s="152"/>
      <c r="F2858" s="106" t="s">
        <v>133</v>
      </c>
      <c r="G2858" s="152"/>
      <c r="H2858" s="106" t="s">
        <v>133</v>
      </c>
      <c r="J2858" s="139" t="s">
        <v>133</v>
      </c>
      <c r="K2858" s="136" t="s">
        <v>133</v>
      </c>
      <c r="L2858" s="153"/>
      <c r="M2858" s="136" t="str">
        <f t="shared" si="1"/>
        <v/>
      </c>
      <c r="O2858" s="141" t="s">
        <v>133</v>
      </c>
      <c r="P2858" s="136" t="str">
        <f>IFERROR(__xludf.DUMMYFUNCTION("""COMPUTED_VALUE"""),"")</f>
        <v/>
      </c>
      <c r="Q2858" s="136" t="str">
        <f>IFERROR(__xludf.DUMMYFUNCTION("""COMPUTED_VALUE"""),"")</f>
        <v/>
      </c>
      <c r="R2858" s="106" t="str">
        <f>IFERROR(__xludf.DUMMYFUNCTION("""COMPUTED_VALUE"""),"")</f>
        <v/>
      </c>
      <c r="S2858" s="106" t="str">
        <f>IFERROR(__xludf.DUMMYFUNCTION("""COMPUTED_VALUE"""),"")</f>
        <v/>
      </c>
      <c r="T2858" s="139" t="str">
        <f>IFERROR(__xludf.DUMMYFUNCTION("""COMPUTED_VALUE"""),"")</f>
        <v/>
      </c>
      <c r="U2858" s="139" t="str">
        <f>IFERROR(__xludf.DUMMYFUNCTION("""COMPUTED_VALUE"""),"")</f>
        <v/>
      </c>
      <c r="V2858" s="136" t="str">
        <f>IFERROR(__xludf.DUMMYFUNCTION("""COMPUTED_VALUE"""),"")</f>
        <v/>
      </c>
      <c r="W2858" s="106" t="str">
        <f>IFERROR(__xludf.DUMMYFUNCTION("""COMPUTED_VALUE"""),"")</f>
        <v/>
      </c>
      <c r="X2858" s="143" t="str">
        <f t="shared" si="2"/>
        <v/>
      </c>
      <c r="Y2858" s="139" t="str">
        <f>IFERROR(__xludf.DUMMYFUNCTION("""COMPUTED_VALUE"""),"")</f>
        <v/>
      </c>
      <c r="Z2858" s="141" t="str">
        <f>IFERROR(__xludf.DUMMYFUNCTION("""COMPUTED_VALUE"""),"")</f>
        <v/>
      </c>
    </row>
    <row r="2859">
      <c r="D2859" s="136" t="str">
        <f t="shared" si="3"/>
        <v/>
      </c>
      <c r="E2859" s="152"/>
      <c r="F2859" s="106" t="s">
        <v>133</v>
      </c>
      <c r="G2859" s="152"/>
      <c r="H2859" s="106" t="s">
        <v>133</v>
      </c>
      <c r="J2859" s="139" t="s">
        <v>133</v>
      </c>
      <c r="K2859" s="136" t="s">
        <v>133</v>
      </c>
      <c r="L2859" s="153"/>
      <c r="M2859" s="136" t="str">
        <f t="shared" si="1"/>
        <v/>
      </c>
      <c r="O2859" s="141" t="s">
        <v>133</v>
      </c>
      <c r="P2859" s="136" t="str">
        <f>IFERROR(__xludf.DUMMYFUNCTION("""COMPUTED_VALUE"""),"")</f>
        <v/>
      </c>
      <c r="Q2859" s="136" t="str">
        <f>IFERROR(__xludf.DUMMYFUNCTION("""COMPUTED_VALUE"""),"")</f>
        <v/>
      </c>
      <c r="R2859" s="106" t="str">
        <f>IFERROR(__xludf.DUMMYFUNCTION("""COMPUTED_VALUE"""),"")</f>
        <v/>
      </c>
      <c r="S2859" s="106" t="str">
        <f>IFERROR(__xludf.DUMMYFUNCTION("""COMPUTED_VALUE"""),"")</f>
        <v/>
      </c>
      <c r="T2859" s="139" t="str">
        <f>IFERROR(__xludf.DUMMYFUNCTION("""COMPUTED_VALUE"""),"")</f>
        <v/>
      </c>
      <c r="U2859" s="139" t="str">
        <f>IFERROR(__xludf.DUMMYFUNCTION("""COMPUTED_VALUE"""),"")</f>
        <v/>
      </c>
      <c r="V2859" s="136" t="str">
        <f>IFERROR(__xludf.DUMMYFUNCTION("""COMPUTED_VALUE"""),"")</f>
        <v/>
      </c>
      <c r="W2859" s="106" t="str">
        <f>IFERROR(__xludf.DUMMYFUNCTION("""COMPUTED_VALUE"""),"")</f>
        <v/>
      </c>
      <c r="X2859" s="143" t="str">
        <f t="shared" si="2"/>
        <v/>
      </c>
      <c r="Y2859" s="139" t="str">
        <f>IFERROR(__xludf.DUMMYFUNCTION("""COMPUTED_VALUE"""),"")</f>
        <v/>
      </c>
      <c r="Z2859" s="141" t="str">
        <f>IFERROR(__xludf.DUMMYFUNCTION("""COMPUTED_VALUE"""),"")</f>
        <v/>
      </c>
    </row>
    <row r="2860">
      <c r="D2860" s="136" t="str">
        <f t="shared" si="3"/>
        <v/>
      </c>
      <c r="E2860" s="152"/>
      <c r="F2860" s="106" t="s">
        <v>133</v>
      </c>
      <c r="G2860" s="152"/>
      <c r="H2860" s="106" t="s">
        <v>133</v>
      </c>
      <c r="J2860" s="139" t="s">
        <v>133</v>
      </c>
      <c r="K2860" s="136" t="s">
        <v>133</v>
      </c>
      <c r="L2860" s="153"/>
      <c r="M2860" s="136" t="str">
        <f t="shared" si="1"/>
        <v/>
      </c>
      <c r="O2860" s="141" t="s">
        <v>133</v>
      </c>
      <c r="P2860" s="136" t="str">
        <f>IFERROR(__xludf.DUMMYFUNCTION("""COMPUTED_VALUE"""),"")</f>
        <v/>
      </c>
      <c r="Q2860" s="136" t="str">
        <f>IFERROR(__xludf.DUMMYFUNCTION("""COMPUTED_VALUE"""),"")</f>
        <v/>
      </c>
      <c r="R2860" s="106" t="str">
        <f>IFERROR(__xludf.DUMMYFUNCTION("""COMPUTED_VALUE"""),"")</f>
        <v/>
      </c>
      <c r="S2860" s="106" t="str">
        <f>IFERROR(__xludf.DUMMYFUNCTION("""COMPUTED_VALUE"""),"")</f>
        <v/>
      </c>
      <c r="T2860" s="139" t="str">
        <f>IFERROR(__xludf.DUMMYFUNCTION("""COMPUTED_VALUE"""),"")</f>
        <v/>
      </c>
      <c r="U2860" s="139" t="str">
        <f>IFERROR(__xludf.DUMMYFUNCTION("""COMPUTED_VALUE"""),"")</f>
        <v/>
      </c>
      <c r="V2860" s="136" t="str">
        <f>IFERROR(__xludf.DUMMYFUNCTION("""COMPUTED_VALUE"""),"")</f>
        <v/>
      </c>
      <c r="W2860" s="106" t="str">
        <f>IFERROR(__xludf.DUMMYFUNCTION("""COMPUTED_VALUE"""),"")</f>
        <v/>
      </c>
      <c r="X2860" s="143" t="str">
        <f t="shared" si="2"/>
        <v/>
      </c>
      <c r="Y2860" s="139" t="str">
        <f>IFERROR(__xludf.DUMMYFUNCTION("""COMPUTED_VALUE"""),"")</f>
        <v/>
      </c>
      <c r="Z2860" s="141" t="str">
        <f>IFERROR(__xludf.DUMMYFUNCTION("""COMPUTED_VALUE"""),"")</f>
        <v/>
      </c>
    </row>
    <row r="2861">
      <c r="D2861" s="136" t="str">
        <f t="shared" si="3"/>
        <v/>
      </c>
      <c r="E2861" s="152"/>
      <c r="F2861" s="106" t="s">
        <v>133</v>
      </c>
      <c r="G2861" s="152"/>
      <c r="H2861" s="106" t="s">
        <v>133</v>
      </c>
      <c r="J2861" s="139" t="s">
        <v>133</v>
      </c>
      <c r="K2861" s="136" t="s">
        <v>133</v>
      </c>
      <c r="L2861" s="153"/>
      <c r="M2861" s="136" t="str">
        <f t="shared" si="1"/>
        <v/>
      </c>
      <c r="O2861" s="141" t="s">
        <v>133</v>
      </c>
      <c r="P2861" s="136" t="str">
        <f>IFERROR(__xludf.DUMMYFUNCTION("""COMPUTED_VALUE"""),"")</f>
        <v/>
      </c>
      <c r="Q2861" s="136" t="str">
        <f>IFERROR(__xludf.DUMMYFUNCTION("""COMPUTED_VALUE"""),"")</f>
        <v/>
      </c>
      <c r="R2861" s="106" t="str">
        <f>IFERROR(__xludf.DUMMYFUNCTION("""COMPUTED_VALUE"""),"")</f>
        <v/>
      </c>
      <c r="S2861" s="106" t="str">
        <f>IFERROR(__xludf.DUMMYFUNCTION("""COMPUTED_VALUE"""),"")</f>
        <v/>
      </c>
      <c r="T2861" s="139" t="str">
        <f>IFERROR(__xludf.DUMMYFUNCTION("""COMPUTED_VALUE"""),"")</f>
        <v/>
      </c>
      <c r="U2861" s="139" t="str">
        <f>IFERROR(__xludf.DUMMYFUNCTION("""COMPUTED_VALUE"""),"")</f>
        <v/>
      </c>
      <c r="V2861" s="136" t="str">
        <f>IFERROR(__xludf.DUMMYFUNCTION("""COMPUTED_VALUE"""),"")</f>
        <v/>
      </c>
      <c r="W2861" s="106" t="str">
        <f>IFERROR(__xludf.DUMMYFUNCTION("""COMPUTED_VALUE"""),"")</f>
        <v/>
      </c>
      <c r="X2861" s="143" t="str">
        <f t="shared" si="2"/>
        <v/>
      </c>
      <c r="Y2861" s="139" t="str">
        <f>IFERROR(__xludf.DUMMYFUNCTION("""COMPUTED_VALUE"""),"")</f>
        <v/>
      </c>
      <c r="Z2861" s="141" t="str">
        <f>IFERROR(__xludf.DUMMYFUNCTION("""COMPUTED_VALUE"""),"")</f>
        <v/>
      </c>
    </row>
    <row r="2862">
      <c r="D2862" s="136" t="str">
        <f t="shared" si="3"/>
        <v/>
      </c>
      <c r="E2862" s="152"/>
      <c r="F2862" s="106" t="s">
        <v>133</v>
      </c>
      <c r="G2862" s="152"/>
      <c r="H2862" s="106" t="s">
        <v>133</v>
      </c>
      <c r="J2862" s="139" t="s">
        <v>133</v>
      </c>
      <c r="K2862" s="136" t="s">
        <v>133</v>
      </c>
      <c r="L2862" s="153"/>
      <c r="M2862" s="136" t="str">
        <f t="shared" si="1"/>
        <v/>
      </c>
      <c r="O2862" s="141" t="s">
        <v>133</v>
      </c>
      <c r="P2862" s="136" t="str">
        <f>IFERROR(__xludf.DUMMYFUNCTION("""COMPUTED_VALUE"""),"")</f>
        <v/>
      </c>
      <c r="Q2862" s="136" t="str">
        <f>IFERROR(__xludf.DUMMYFUNCTION("""COMPUTED_VALUE"""),"")</f>
        <v/>
      </c>
      <c r="R2862" s="106" t="str">
        <f>IFERROR(__xludf.DUMMYFUNCTION("""COMPUTED_VALUE"""),"")</f>
        <v/>
      </c>
      <c r="S2862" s="106" t="str">
        <f>IFERROR(__xludf.DUMMYFUNCTION("""COMPUTED_VALUE"""),"")</f>
        <v/>
      </c>
      <c r="T2862" s="139" t="str">
        <f>IFERROR(__xludf.DUMMYFUNCTION("""COMPUTED_VALUE"""),"")</f>
        <v/>
      </c>
      <c r="U2862" s="139" t="str">
        <f>IFERROR(__xludf.DUMMYFUNCTION("""COMPUTED_VALUE"""),"")</f>
        <v/>
      </c>
      <c r="V2862" s="136" t="str">
        <f>IFERROR(__xludf.DUMMYFUNCTION("""COMPUTED_VALUE"""),"")</f>
        <v/>
      </c>
      <c r="W2862" s="106" t="str">
        <f>IFERROR(__xludf.DUMMYFUNCTION("""COMPUTED_VALUE"""),"")</f>
        <v/>
      </c>
      <c r="X2862" s="143" t="str">
        <f t="shared" si="2"/>
        <v/>
      </c>
      <c r="Y2862" s="139" t="str">
        <f>IFERROR(__xludf.DUMMYFUNCTION("""COMPUTED_VALUE"""),"")</f>
        <v/>
      </c>
      <c r="Z2862" s="141" t="str">
        <f>IFERROR(__xludf.DUMMYFUNCTION("""COMPUTED_VALUE"""),"")</f>
        <v/>
      </c>
    </row>
    <row r="2863">
      <c r="D2863" s="136" t="str">
        <f t="shared" si="3"/>
        <v/>
      </c>
      <c r="E2863" s="152"/>
      <c r="F2863" s="106" t="s">
        <v>133</v>
      </c>
      <c r="G2863" s="152"/>
      <c r="H2863" s="106" t="s">
        <v>133</v>
      </c>
      <c r="J2863" s="139" t="s">
        <v>133</v>
      </c>
      <c r="K2863" s="136" t="s">
        <v>133</v>
      </c>
      <c r="L2863" s="153"/>
      <c r="M2863" s="136" t="str">
        <f t="shared" si="1"/>
        <v/>
      </c>
      <c r="O2863" s="141" t="s">
        <v>133</v>
      </c>
      <c r="P2863" s="136" t="str">
        <f>IFERROR(__xludf.DUMMYFUNCTION("""COMPUTED_VALUE"""),"")</f>
        <v/>
      </c>
      <c r="Q2863" s="136" t="str">
        <f>IFERROR(__xludf.DUMMYFUNCTION("""COMPUTED_VALUE"""),"")</f>
        <v/>
      </c>
      <c r="R2863" s="106" t="str">
        <f>IFERROR(__xludf.DUMMYFUNCTION("""COMPUTED_VALUE"""),"")</f>
        <v/>
      </c>
      <c r="S2863" s="106" t="str">
        <f>IFERROR(__xludf.DUMMYFUNCTION("""COMPUTED_VALUE"""),"")</f>
        <v/>
      </c>
      <c r="T2863" s="139" t="str">
        <f>IFERROR(__xludf.DUMMYFUNCTION("""COMPUTED_VALUE"""),"")</f>
        <v/>
      </c>
      <c r="U2863" s="139" t="str">
        <f>IFERROR(__xludf.DUMMYFUNCTION("""COMPUTED_VALUE"""),"")</f>
        <v/>
      </c>
      <c r="V2863" s="136" t="str">
        <f>IFERROR(__xludf.DUMMYFUNCTION("""COMPUTED_VALUE"""),"")</f>
        <v/>
      </c>
      <c r="W2863" s="106" t="str">
        <f>IFERROR(__xludf.DUMMYFUNCTION("""COMPUTED_VALUE"""),"")</f>
        <v/>
      </c>
      <c r="X2863" s="143" t="str">
        <f t="shared" si="2"/>
        <v/>
      </c>
      <c r="Y2863" s="139" t="str">
        <f>IFERROR(__xludf.DUMMYFUNCTION("""COMPUTED_VALUE"""),"")</f>
        <v/>
      </c>
      <c r="Z2863" s="141" t="str">
        <f>IFERROR(__xludf.DUMMYFUNCTION("""COMPUTED_VALUE"""),"")</f>
        <v/>
      </c>
    </row>
    <row r="2864">
      <c r="D2864" s="136" t="str">
        <f t="shared" si="3"/>
        <v/>
      </c>
      <c r="E2864" s="152"/>
      <c r="F2864" s="106" t="s">
        <v>133</v>
      </c>
      <c r="G2864" s="152"/>
      <c r="H2864" s="106" t="s">
        <v>133</v>
      </c>
      <c r="J2864" s="139" t="s">
        <v>133</v>
      </c>
      <c r="K2864" s="136" t="s">
        <v>133</v>
      </c>
      <c r="L2864" s="153"/>
      <c r="M2864" s="136" t="str">
        <f t="shared" si="1"/>
        <v/>
      </c>
      <c r="O2864" s="141" t="s">
        <v>133</v>
      </c>
      <c r="P2864" s="136" t="str">
        <f>IFERROR(__xludf.DUMMYFUNCTION("""COMPUTED_VALUE"""),"")</f>
        <v/>
      </c>
      <c r="Q2864" s="136" t="str">
        <f>IFERROR(__xludf.DUMMYFUNCTION("""COMPUTED_VALUE"""),"")</f>
        <v/>
      </c>
      <c r="R2864" s="106" t="str">
        <f>IFERROR(__xludf.DUMMYFUNCTION("""COMPUTED_VALUE"""),"")</f>
        <v/>
      </c>
      <c r="S2864" s="106" t="str">
        <f>IFERROR(__xludf.DUMMYFUNCTION("""COMPUTED_VALUE"""),"")</f>
        <v/>
      </c>
      <c r="T2864" s="139" t="str">
        <f>IFERROR(__xludf.DUMMYFUNCTION("""COMPUTED_VALUE"""),"")</f>
        <v/>
      </c>
      <c r="U2864" s="139" t="str">
        <f>IFERROR(__xludf.DUMMYFUNCTION("""COMPUTED_VALUE"""),"")</f>
        <v/>
      </c>
      <c r="V2864" s="136" t="str">
        <f>IFERROR(__xludf.DUMMYFUNCTION("""COMPUTED_VALUE"""),"")</f>
        <v/>
      </c>
      <c r="W2864" s="106" t="str">
        <f>IFERROR(__xludf.DUMMYFUNCTION("""COMPUTED_VALUE"""),"")</f>
        <v/>
      </c>
      <c r="X2864" s="143" t="str">
        <f t="shared" si="2"/>
        <v/>
      </c>
      <c r="Y2864" s="139" t="str">
        <f>IFERROR(__xludf.DUMMYFUNCTION("""COMPUTED_VALUE"""),"")</f>
        <v/>
      </c>
      <c r="Z2864" s="141" t="str">
        <f>IFERROR(__xludf.DUMMYFUNCTION("""COMPUTED_VALUE"""),"")</f>
        <v/>
      </c>
    </row>
    <row r="2865">
      <c r="D2865" s="136" t="str">
        <f t="shared" si="3"/>
        <v/>
      </c>
      <c r="E2865" s="152"/>
      <c r="F2865" s="106" t="s">
        <v>133</v>
      </c>
      <c r="G2865" s="152"/>
      <c r="H2865" s="106" t="s">
        <v>133</v>
      </c>
      <c r="J2865" s="139" t="s">
        <v>133</v>
      </c>
      <c r="K2865" s="136" t="s">
        <v>133</v>
      </c>
      <c r="L2865" s="153"/>
      <c r="M2865" s="136" t="str">
        <f t="shared" si="1"/>
        <v/>
      </c>
      <c r="O2865" s="141" t="s">
        <v>133</v>
      </c>
      <c r="P2865" s="136" t="str">
        <f>IFERROR(__xludf.DUMMYFUNCTION("""COMPUTED_VALUE"""),"")</f>
        <v/>
      </c>
      <c r="Q2865" s="136" t="str">
        <f>IFERROR(__xludf.DUMMYFUNCTION("""COMPUTED_VALUE"""),"")</f>
        <v/>
      </c>
      <c r="R2865" s="106" t="str">
        <f>IFERROR(__xludf.DUMMYFUNCTION("""COMPUTED_VALUE"""),"")</f>
        <v/>
      </c>
      <c r="S2865" s="106" t="str">
        <f>IFERROR(__xludf.DUMMYFUNCTION("""COMPUTED_VALUE"""),"")</f>
        <v/>
      </c>
      <c r="T2865" s="139" t="str">
        <f>IFERROR(__xludf.DUMMYFUNCTION("""COMPUTED_VALUE"""),"")</f>
        <v/>
      </c>
      <c r="U2865" s="139" t="str">
        <f>IFERROR(__xludf.DUMMYFUNCTION("""COMPUTED_VALUE"""),"")</f>
        <v/>
      </c>
      <c r="V2865" s="136" t="str">
        <f>IFERROR(__xludf.DUMMYFUNCTION("""COMPUTED_VALUE"""),"")</f>
        <v/>
      </c>
      <c r="W2865" s="106" t="str">
        <f>IFERROR(__xludf.DUMMYFUNCTION("""COMPUTED_VALUE"""),"")</f>
        <v/>
      </c>
      <c r="X2865" s="143" t="str">
        <f t="shared" si="2"/>
        <v/>
      </c>
      <c r="Y2865" s="139" t="str">
        <f>IFERROR(__xludf.DUMMYFUNCTION("""COMPUTED_VALUE"""),"")</f>
        <v/>
      </c>
      <c r="Z2865" s="141" t="str">
        <f>IFERROR(__xludf.DUMMYFUNCTION("""COMPUTED_VALUE"""),"")</f>
        <v/>
      </c>
    </row>
    <row r="2866">
      <c r="D2866" s="136" t="str">
        <f t="shared" si="3"/>
        <v/>
      </c>
      <c r="E2866" s="152"/>
      <c r="F2866" s="106" t="s">
        <v>133</v>
      </c>
      <c r="G2866" s="152"/>
      <c r="H2866" s="106" t="s">
        <v>133</v>
      </c>
      <c r="J2866" s="139" t="s">
        <v>133</v>
      </c>
      <c r="K2866" s="136" t="s">
        <v>133</v>
      </c>
      <c r="L2866" s="153"/>
      <c r="M2866" s="136" t="str">
        <f t="shared" si="1"/>
        <v/>
      </c>
      <c r="O2866" s="141" t="s">
        <v>133</v>
      </c>
      <c r="P2866" s="136" t="str">
        <f>IFERROR(__xludf.DUMMYFUNCTION("""COMPUTED_VALUE"""),"")</f>
        <v/>
      </c>
      <c r="Q2866" s="136" t="str">
        <f>IFERROR(__xludf.DUMMYFUNCTION("""COMPUTED_VALUE"""),"")</f>
        <v/>
      </c>
      <c r="R2866" s="106" t="str">
        <f>IFERROR(__xludf.DUMMYFUNCTION("""COMPUTED_VALUE"""),"")</f>
        <v/>
      </c>
      <c r="S2866" s="106" t="str">
        <f>IFERROR(__xludf.DUMMYFUNCTION("""COMPUTED_VALUE"""),"")</f>
        <v/>
      </c>
      <c r="T2866" s="139" t="str">
        <f>IFERROR(__xludf.DUMMYFUNCTION("""COMPUTED_VALUE"""),"")</f>
        <v/>
      </c>
      <c r="U2866" s="139" t="str">
        <f>IFERROR(__xludf.DUMMYFUNCTION("""COMPUTED_VALUE"""),"")</f>
        <v/>
      </c>
      <c r="V2866" s="136" t="str">
        <f>IFERROR(__xludf.DUMMYFUNCTION("""COMPUTED_VALUE"""),"")</f>
        <v/>
      </c>
      <c r="W2866" s="106" t="str">
        <f>IFERROR(__xludf.DUMMYFUNCTION("""COMPUTED_VALUE"""),"")</f>
        <v/>
      </c>
      <c r="X2866" s="143" t="str">
        <f t="shared" si="2"/>
        <v/>
      </c>
      <c r="Y2866" s="139" t="str">
        <f>IFERROR(__xludf.DUMMYFUNCTION("""COMPUTED_VALUE"""),"")</f>
        <v/>
      </c>
      <c r="Z2866" s="141" t="str">
        <f>IFERROR(__xludf.DUMMYFUNCTION("""COMPUTED_VALUE"""),"")</f>
        <v/>
      </c>
    </row>
    <row r="2867">
      <c r="D2867" s="136" t="str">
        <f t="shared" si="3"/>
        <v/>
      </c>
      <c r="E2867" s="152"/>
      <c r="F2867" s="106" t="s">
        <v>133</v>
      </c>
      <c r="G2867" s="152"/>
      <c r="H2867" s="106" t="s">
        <v>133</v>
      </c>
      <c r="J2867" s="139" t="s">
        <v>133</v>
      </c>
      <c r="K2867" s="136" t="s">
        <v>133</v>
      </c>
      <c r="L2867" s="153"/>
      <c r="M2867" s="136" t="str">
        <f t="shared" si="1"/>
        <v/>
      </c>
      <c r="O2867" s="141" t="s">
        <v>133</v>
      </c>
      <c r="P2867" s="136" t="str">
        <f>IFERROR(__xludf.DUMMYFUNCTION("""COMPUTED_VALUE"""),"")</f>
        <v/>
      </c>
      <c r="Q2867" s="136" t="str">
        <f>IFERROR(__xludf.DUMMYFUNCTION("""COMPUTED_VALUE"""),"")</f>
        <v/>
      </c>
      <c r="R2867" s="106" t="str">
        <f>IFERROR(__xludf.DUMMYFUNCTION("""COMPUTED_VALUE"""),"")</f>
        <v/>
      </c>
      <c r="S2867" s="106" t="str">
        <f>IFERROR(__xludf.DUMMYFUNCTION("""COMPUTED_VALUE"""),"")</f>
        <v/>
      </c>
      <c r="T2867" s="139" t="str">
        <f>IFERROR(__xludf.DUMMYFUNCTION("""COMPUTED_VALUE"""),"")</f>
        <v/>
      </c>
      <c r="U2867" s="139" t="str">
        <f>IFERROR(__xludf.DUMMYFUNCTION("""COMPUTED_VALUE"""),"")</f>
        <v/>
      </c>
      <c r="V2867" s="136" t="str">
        <f>IFERROR(__xludf.DUMMYFUNCTION("""COMPUTED_VALUE"""),"")</f>
        <v/>
      </c>
      <c r="W2867" s="106" t="str">
        <f>IFERROR(__xludf.DUMMYFUNCTION("""COMPUTED_VALUE"""),"")</f>
        <v/>
      </c>
      <c r="X2867" s="143" t="str">
        <f t="shared" si="2"/>
        <v/>
      </c>
      <c r="Y2867" s="139" t="str">
        <f>IFERROR(__xludf.DUMMYFUNCTION("""COMPUTED_VALUE"""),"")</f>
        <v/>
      </c>
      <c r="Z2867" s="141" t="str">
        <f>IFERROR(__xludf.DUMMYFUNCTION("""COMPUTED_VALUE"""),"")</f>
        <v/>
      </c>
    </row>
    <row r="2868">
      <c r="D2868" s="136" t="str">
        <f t="shared" si="3"/>
        <v/>
      </c>
      <c r="E2868" s="152"/>
      <c r="F2868" s="106" t="s">
        <v>133</v>
      </c>
      <c r="G2868" s="152"/>
      <c r="H2868" s="106" t="s">
        <v>133</v>
      </c>
      <c r="J2868" s="139" t="s">
        <v>133</v>
      </c>
      <c r="K2868" s="136" t="s">
        <v>133</v>
      </c>
      <c r="L2868" s="153"/>
      <c r="M2868" s="136" t="str">
        <f t="shared" si="1"/>
        <v/>
      </c>
      <c r="O2868" s="141" t="s">
        <v>133</v>
      </c>
      <c r="P2868" s="136" t="str">
        <f>IFERROR(__xludf.DUMMYFUNCTION("""COMPUTED_VALUE"""),"")</f>
        <v/>
      </c>
      <c r="Q2868" s="136" t="str">
        <f>IFERROR(__xludf.DUMMYFUNCTION("""COMPUTED_VALUE"""),"")</f>
        <v/>
      </c>
      <c r="R2868" s="106" t="str">
        <f>IFERROR(__xludf.DUMMYFUNCTION("""COMPUTED_VALUE"""),"")</f>
        <v/>
      </c>
      <c r="S2868" s="106" t="str">
        <f>IFERROR(__xludf.DUMMYFUNCTION("""COMPUTED_VALUE"""),"")</f>
        <v/>
      </c>
      <c r="T2868" s="139" t="str">
        <f>IFERROR(__xludf.DUMMYFUNCTION("""COMPUTED_VALUE"""),"")</f>
        <v/>
      </c>
      <c r="U2868" s="139" t="str">
        <f>IFERROR(__xludf.DUMMYFUNCTION("""COMPUTED_VALUE"""),"")</f>
        <v/>
      </c>
      <c r="V2868" s="136" t="str">
        <f>IFERROR(__xludf.DUMMYFUNCTION("""COMPUTED_VALUE"""),"")</f>
        <v/>
      </c>
      <c r="W2868" s="106" t="str">
        <f>IFERROR(__xludf.DUMMYFUNCTION("""COMPUTED_VALUE"""),"")</f>
        <v/>
      </c>
      <c r="X2868" s="143" t="str">
        <f t="shared" si="2"/>
        <v/>
      </c>
      <c r="Y2868" s="139" t="str">
        <f>IFERROR(__xludf.DUMMYFUNCTION("""COMPUTED_VALUE"""),"")</f>
        <v/>
      </c>
      <c r="Z2868" s="141" t="str">
        <f>IFERROR(__xludf.DUMMYFUNCTION("""COMPUTED_VALUE"""),"")</f>
        <v/>
      </c>
    </row>
    <row r="2869">
      <c r="D2869" s="136" t="str">
        <f t="shared" si="3"/>
        <v/>
      </c>
      <c r="E2869" s="152"/>
      <c r="F2869" s="106" t="s">
        <v>133</v>
      </c>
      <c r="G2869" s="152"/>
      <c r="H2869" s="106" t="s">
        <v>133</v>
      </c>
      <c r="J2869" s="139" t="s">
        <v>133</v>
      </c>
      <c r="K2869" s="136" t="s">
        <v>133</v>
      </c>
      <c r="L2869" s="153"/>
      <c r="M2869" s="136" t="str">
        <f t="shared" si="1"/>
        <v/>
      </c>
      <c r="O2869" s="141" t="s">
        <v>133</v>
      </c>
      <c r="P2869" s="136" t="str">
        <f>IFERROR(__xludf.DUMMYFUNCTION("""COMPUTED_VALUE"""),"")</f>
        <v/>
      </c>
      <c r="Q2869" s="136" t="str">
        <f>IFERROR(__xludf.DUMMYFUNCTION("""COMPUTED_VALUE"""),"")</f>
        <v/>
      </c>
      <c r="R2869" s="106" t="str">
        <f>IFERROR(__xludf.DUMMYFUNCTION("""COMPUTED_VALUE"""),"")</f>
        <v/>
      </c>
      <c r="S2869" s="106" t="str">
        <f>IFERROR(__xludf.DUMMYFUNCTION("""COMPUTED_VALUE"""),"")</f>
        <v/>
      </c>
      <c r="T2869" s="139" t="str">
        <f>IFERROR(__xludf.DUMMYFUNCTION("""COMPUTED_VALUE"""),"")</f>
        <v/>
      </c>
      <c r="U2869" s="139" t="str">
        <f>IFERROR(__xludf.DUMMYFUNCTION("""COMPUTED_VALUE"""),"")</f>
        <v/>
      </c>
      <c r="V2869" s="136" t="str">
        <f>IFERROR(__xludf.DUMMYFUNCTION("""COMPUTED_VALUE"""),"")</f>
        <v/>
      </c>
      <c r="W2869" s="106" t="str">
        <f>IFERROR(__xludf.DUMMYFUNCTION("""COMPUTED_VALUE"""),"")</f>
        <v/>
      </c>
      <c r="X2869" s="143" t="str">
        <f t="shared" si="2"/>
        <v/>
      </c>
      <c r="Y2869" s="139" t="str">
        <f>IFERROR(__xludf.DUMMYFUNCTION("""COMPUTED_VALUE"""),"")</f>
        <v/>
      </c>
      <c r="Z2869" s="141" t="str">
        <f>IFERROR(__xludf.DUMMYFUNCTION("""COMPUTED_VALUE"""),"")</f>
        <v/>
      </c>
    </row>
    <row r="2870">
      <c r="D2870" s="136" t="str">
        <f t="shared" si="3"/>
        <v/>
      </c>
      <c r="E2870" s="152"/>
      <c r="F2870" s="106" t="s">
        <v>133</v>
      </c>
      <c r="G2870" s="152"/>
      <c r="H2870" s="106" t="s">
        <v>133</v>
      </c>
      <c r="J2870" s="139" t="s">
        <v>133</v>
      </c>
      <c r="K2870" s="136" t="s">
        <v>133</v>
      </c>
      <c r="L2870" s="153"/>
      <c r="M2870" s="136" t="str">
        <f t="shared" si="1"/>
        <v/>
      </c>
      <c r="O2870" s="141" t="s">
        <v>133</v>
      </c>
      <c r="P2870" s="136" t="str">
        <f>IFERROR(__xludf.DUMMYFUNCTION("""COMPUTED_VALUE"""),"")</f>
        <v/>
      </c>
      <c r="Q2870" s="136" t="str">
        <f>IFERROR(__xludf.DUMMYFUNCTION("""COMPUTED_VALUE"""),"")</f>
        <v/>
      </c>
      <c r="R2870" s="106" t="str">
        <f>IFERROR(__xludf.DUMMYFUNCTION("""COMPUTED_VALUE"""),"")</f>
        <v/>
      </c>
      <c r="S2870" s="106" t="str">
        <f>IFERROR(__xludf.DUMMYFUNCTION("""COMPUTED_VALUE"""),"")</f>
        <v/>
      </c>
      <c r="T2870" s="139" t="str">
        <f>IFERROR(__xludf.DUMMYFUNCTION("""COMPUTED_VALUE"""),"")</f>
        <v/>
      </c>
      <c r="U2870" s="139" t="str">
        <f>IFERROR(__xludf.DUMMYFUNCTION("""COMPUTED_VALUE"""),"")</f>
        <v/>
      </c>
      <c r="V2870" s="136" t="str">
        <f>IFERROR(__xludf.DUMMYFUNCTION("""COMPUTED_VALUE"""),"")</f>
        <v/>
      </c>
      <c r="W2870" s="106" t="str">
        <f>IFERROR(__xludf.DUMMYFUNCTION("""COMPUTED_VALUE"""),"")</f>
        <v/>
      </c>
      <c r="X2870" s="143" t="str">
        <f t="shared" si="2"/>
        <v/>
      </c>
      <c r="Y2870" s="139" t="str">
        <f>IFERROR(__xludf.DUMMYFUNCTION("""COMPUTED_VALUE"""),"")</f>
        <v/>
      </c>
      <c r="Z2870" s="141" t="str">
        <f>IFERROR(__xludf.DUMMYFUNCTION("""COMPUTED_VALUE"""),"")</f>
        <v/>
      </c>
    </row>
    <row r="2871">
      <c r="D2871" s="136" t="str">
        <f t="shared" si="3"/>
        <v/>
      </c>
      <c r="E2871" s="152"/>
      <c r="F2871" s="106" t="s">
        <v>133</v>
      </c>
      <c r="G2871" s="152"/>
      <c r="H2871" s="106" t="s">
        <v>133</v>
      </c>
      <c r="J2871" s="139" t="s">
        <v>133</v>
      </c>
      <c r="K2871" s="136" t="s">
        <v>133</v>
      </c>
      <c r="L2871" s="153"/>
      <c r="M2871" s="136" t="str">
        <f t="shared" si="1"/>
        <v/>
      </c>
      <c r="O2871" s="141" t="s">
        <v>133</v>
      </c>
      <c r="P2871" s="136" t="str">
        <f>IFERROR(__xludf.DUMMYFUNCTION("""COMPUTED_VALUE"""),"")</f>
        <v/>
      </c>
      <c r="Q2871" s="136" t="str">
        <f>IFERROR(__xludf.DUMMYFUNCTION("""COMPUTED_VALUE"""),"")</f>
        <v/>
      </c>
      <c r="R2871" s="106" t="str">
        <f>IFERROR(__xludf.DUMMYFUNCTION("""COMPUTED_VALUE"""),"")</f>
        <v/>
      </c>
      <c r="S2871" s="106" t="str">
        <f>IFERROR(__xludf.DUMMYFUNCTION("""COMPUTED_VALUE"""),"")</f>
        <v/>
      </c>
      <c r="T2871" s="139" t="str">
        <f>IFERROR(__xludf.DUMMYFUNCTION("""COMPUTED_VALUE"""),"")</f>
        <v/>
      </c>
      <c r="U2871" s="139" t="str">
        <f>IFERROR(__xludf.DUMMYFUNCTION("""COMPUTED_VALUE"""),"")</f>
        <v/>
      </c>
      <c r="V2871" s="136" t="str">
        <f>IFERROR(__xludf.DUMMYFUNCTION("""COMPUTED_VALUE"""),"")</f>
        <v/>
      </c>
      <c r="W2871" s="106" t="str">
        <f>IFERROR(__xludf.DUMMYFUNCTION("""COMPUTED_VALUE"""),"")</f>
        <v/>
      </c>
      <c r="X2871" s="143" t="str">
        <f t="shared" si="2"/>
        <v/>
      </c>
      <c r="Y2871" s="139" t="str">
        <f>IFERROR(__xludf.DUMMYFUNCTION("""COMPUTED_VALUE"""),"")</f>
        <v/>
      </c>
      <c r="Z2871" s="141" t="str">
        <f>IFERROR(__xludf.DUMMYFUNCTION("""COMPUTED_VALUE"""),"")</f>
        <v/>
      </c>
    </row>
    <row r="2872">
      <c r="D2872" s="136" t="str">
        <f t="shared" si="3"/>
        <v/>
      </c>
      <c r="E2872" s="152"/>
      <c r="F2872" s="106" t="s">
        <v>133</v>
      </c>
      <c r="G2872" s="152"/>
      <c r="H2872" s="106" t="s">
        <v>133</v>
      </c>
      <c r="J2872" s="139" t="s">
        <v>133</v>
      </c>
      <c r="K2872" s="136" t="s">
        <v>133</v>
      </c>
      <c r="L2872" s="153"/>
      <c r="M2872" s="136" t="str">
        <f t="shared" si="1"/>
        <v/>
      </c>
      <c r="O2872" s="141" t="s">
        <v>133</v>
      </c>
      <c r="P2872" s="136" t="str">
        <f>IFERROR(__xludf.DUMMYFUNCTION("""COMPUTED_VALUE"""),"")</f>
        <v/>
      </c>
      <c r="Q2872" s="136" t="str">
        <f>IFERROR(__xludf.DUMMYFUNCTION("""COMPUTED_VALUE"""),"")</f>
        <v/>
      </c>
      <c r="R2872" s="106" t="str">
        <f>IFERROR(__xludf.DUMMYFUNCTION("""COMPUTED_VALUE"""),"")</f>
        <v/>
      </c>
      <c r="S2872" s="106" t="str">
        <f>IFERROR(__xludf.DUMMYFUNCTION("""COMPUTED_VALUE"""),"")</f>
        <v/>
      </c>
      <c r="T2872" s="139" t="str">
        <f>IFERROR(__xludf.DUMMYFUNCTION("""COMPUTED_VALUE"""),"")</f>
        <v/>
      </c>
      <c r="U2872" s="139" t="str">
        <f>IFERROR(__xludf.DUMMYFUNCTION("""COMPUTED_VALUE"""),"")</f>
        <v/>
      </c>
      <c r="V2872" s="136" t="str">
        <f>IFERROR(__xludf.DUMMYFUNCTION("""COMPUTED_VALUE"""),"")</f>
        <v/>
      </c>
      <c r="W2872" s="106" t="str">
        <f>IFERROR(__xludf.DUMMYFUNCTION("""COMPUTED_VALUE"""),"")</f>
        <v/>
      </c>
      <c r="X2872" s="143" t="str">
        <f t="shared" si="2"/>
        <v/>
      </c>
      <c r="Y2872" s="139" t="str">
        <f>IFERROR(__xludf.DUMMYFUNCTION("""COMPUTED_VALUE"""),"")</f>
        <v/>
      </c>
      <c r="Z2872" s="141" t="str">
        <f>IFERROR(__xludf.DUMMYFUNCTION("""COMPUTED_VALUE"""),"")</f>
        <v/>
      </c>
    </row>
    <row r="2873">
      <c r="D2873" s="136" t="str">
        <f t="shared" si="3"/>
        <v/>
      </c>
      <c r="E2873" s="152"/>
      <c r="F2873" s="106" t="s">
        <v>133</v>
      </c>
      <c r="G2873" s="152"/>
      <c r="H2873" s="106" t="s">
        <v>133</v>
      </c>
      <c r="J2873" s="139" t="s">
        <v>133</v>
      </c>
      <c r="K2873" s="136" t="s">
        <v>133</v>
      </c>
      <c r="L2873" s="153"/>
      <c r="M2873" s="136" t="str">
        <f t="shared" si="1"/>
        <v/>
      </c>
      <c r="O2873" s="141" t="s">
        <v>133</v>
      </c>
      <c r="P2873" s="136" t="str">
        <f>IFERROR(__xludf.DUMMYFUNCTION("""COMPUTED_VALUE"""),"")</f>
        <v/>
      </c>
      <c r="Q2873" s="136" t="str">
        <f>IFERROR(__xludf.DUMMYFUNCTION("""COMPUTED_VALUE"""),"")</f>
        <v/>
      </c>
      <c r="R2873" s="106" t="str">
        <f>IFERROR(__xludf.DUMMYFUNCTION("""COMPUTED_VALUE"""),"")</f>
        <v/>
      </c>
      <c r="S2873" s="106" t="str">
        <f>IFERROR(__xludf.DUMMYFUNCTION("""COMPUTED_VALUE"""),"")</f>
        <v/>
      </c>
      <c r="T2873" s="139" t="str">
        <f>IFERROR(__xludf.DUMMYFUNCTION("""COMPUTED_VALUE"""),"")</f>
        <v/>
      </c>
      <c r="U2873" s="139" t="str">
        <f>IFERROR(__xludf.DUMMYFUNCTION("""COMPUTED_VALUE"""),"")</f>
        <v/>
      </c>
      <c r="V2873" s="136" t="str">
        <f>IFERROR(__xludf.DUMMYFUNCTION("""COMPUTED_VALUE"""),"")</f>
        <v/>
      </c>
      <c r="W2873" s="106" t="str">
        <f>IFERROR(__xludf.DUMMYFUNCTION("""COMPUTED_VALUE"""),"")</f>
        <v/>
      </c>
      <c r="X2873" s="143" t="str">
        <f t="shared" si="2"/>
        <v/>
      </c>
      <c r="Y2873" s="139" t="str">
        <f>IFERROR(__xludf.DUMMYFUNCTION("""COMPUTED_VALUE"""),"")</f>
        <v/>
      </c>
      <c r="Z2873" s="141" t="str">
        <f>IFERROR(__xludf.DUMMYFUNCTION("""COMPUTED_VALUE"""),"")</f>
        <v/>
      </c>
    </row>
    <row r="2874">
      <c r="D2874" s="136" t="str">
        <f t="shared" si="3"/>
        <v/>
      </c>
      <c r="E2874" s="152"/>
      <c r="F2874" s="106" t="s">
        <v>133</v>
      </c>
      <c r="G2874" s="152"/>
      <c r="H2874" s="106" t="s">
        <v>133</v>
      </c>
      <c r="J2874" s="139" t="s">
        <v>133</v>
      </c>
      <c r="K2874" s="136" t="s">
        <v>133</v>
      </c>
      <c r="L2874" s="153"/>
      <c r="M2874" s="136" t="str">
        <f t="shared" si="1"/>
        <v/>
      </c>
      <c r="O2874" s="141" t="s">
        <v>133</v>
      </c>
      <c r="P2874" s="136" t="str">
        <f>IFERROR(__xludf.DUMMYFUNCTION("""COMPUTED_VALUE"""),"")</f>
        <v/>
      </c>
      <c r="Q2874" s="136" t="str">
        <f>IFERROR(__xludf.DUMMYFUNCTION("""COMPUTED_VALUE"""),"")</f>
        <v/>
      </c>
      <c r="R2874" s="106" t="str">
        <f>IFERROR(__xludf.DUMMYFUNCTION("""COMPUTED_VALUE"""),"")</f>
        <v/>
      </c>
      <c r="S2874" s="106" t="str">
        <f>IFERROR(__xludf.DUMMYFUNCTION("""COMPUTED_VALUE"""),"")</f>
        <v/>
      </c>
      <c r="T2874" s="139" t="str">
        <f>IFERROR(__xludf.DUMMYFUNCTION("""COMPUTED_VALUE"""),"")</f>
        <v/>
      </c>
      <c r="U2874" s="139" t="str">
        <f>IFERROR(__xludf.DUMMYFUNCTION("""COMPUTED_VALUE"""),"")</f>
        <v/>
      </c>
      <c r="V2874" s="136" t="str">
        <f>IFERROR(__xludf.DUMMYFUNCTION("""COMPUTED_VALUE"""),"")</f>
        <v/>
      </c>
      <c r="W2874" s="106" t="str">
        <f>IFERROR(__xludf.DUMMYFUNCTION("""COMPUTED_VALUE"""),"")</f>
        <v/>
      </c>
      <c r="X2874" s="143" t="str">
        <f t="shared" si="2"/>
        <v/>
      </c>
      <c r="Y2874" s="139" t="str">
        <f>IFERROR(__xludf.DUMMYFUNCTION("""COMPUTED_VALUE"""),"")</f>
        <v/>
      </c>
      <c r="Z2874" s="141" t="str">
        <f>IFERROR(__xludf.DUMMYFUNCTION("""COMPUTED_VALUE"""),"")</f>
        <v/>
      </c>
    </row>
    <row r="2875">
      <c r="D2875" s="136" t="str">
        <f t="shared" si="3"/>
        <v/>
      </c>
      <c r="E2875" s="152"/>
      <c r="F2875" s="106" t="s">
        <v>133</v>
      </c>
      <c r="G2875" s="152"/>
      <c r="H2875" s="106" t="s">
        <v>133</v>
      </c>
      <c r="J2875" s="139" t="s">
        <v>133</v>
      </c>
      <c r="K2875" s="136" t="s">
        <v>133</v>
      </c>
      <c r="L2875" s="153"/>
      <c r="M2875" s="136" t="str">
        <f t="shared" si="1"/>
        <v/>
      </c>
      <c r="O2875" s="141" t="s">
        <v>133</v>
      </c>
      <c r="P2875" s="136" t="str">
        <f>IFERROR(__xludf.DUMMYFUNCTION("""COMPUTED_VALUE"""),"")</f>
        <v/>
      </c>
      <c r="Q2875" s="136" t="str">
        <f>IFERROR(__xludf.DUMMYFUNCTION("""COMPUTED_VALUE"""),"")</f>
        <v/>
      </c>
      <c r="R2875" s="106" t="str">
        <f>IFERROR(__xludf.DUMMYFUNCTION("""COMPUTED_VALUE"""),"")</f>
        <v/>
      </c>
      <c r="S2875" s="106" t="str">
        <f>IFERROR(__xludf.DUMMYFUNCTION("""COMPUTED_VALUE"""),"")</f>
        <v/>
      </c>
      <c r="T2875" s="139" t="str">
        <f>IFERROR(__xludf.DUMMYFUNCTION("""COMPUTED_VALUE"""),"")</f>
        <v/>
      </c>
      <c r="U2875" s="139" t="str">
        <f>IFERROR(__xludf.DUMMYFUNCTION("""COMPUTED_VALUE"""),"")</f>
        <v/>
      </c>
      <c r="V2875" s="136" t="str">
        <f>IFERROR(__xludf.DUMMYFUNCTION("""COMPUTED_VALUE"""),"")</f>
        <v/>
      </c>
      <c r="W2875" s="106" t="str">
        <f>IFERROR(__xludf.DUMMYFUNCTION("""COMPUTED_VALUE"""),"")</f>
        <v/>
      </c>
      <c r="X2875" s="143" t="str">
        <f t="shared" si="2"/>
        <v/>
      </c>
      <c r="Y2875" s="139" t="str">
        <f>IFERROR(__xludf.DUMMYFUNCTION("""COMPUTED_VALUE"""),"")</f>
        <v/>
      </c>
      <c r="Z2875" s="141" t="str">
        <f>IFERROR(__xludf.DUMMYFUNCTION("""COMPUTED_VALUE"""),"")</f>
        <v/>
      </c>
    </row>
    <row r="2876">
      <c r="D2876" s="136" t="str">
        <f t="shared" si="3"/>
        <v/>
      </c>
      <c r="E2876" s="152"/>
      <c r="F2876" s="106" t="s">
        <v>133</v>
      </c>
      <c r="G2876" s="152"/>
      <c r="H2876" s="106" t="s">
        <v>133</v>
      </c>
      <c r="J2876" s="139" t="s">
        <v>133</v>
      </c>
      <c r="K2876" s="136" t="s">
        <v>133</v>
      </c>
      <c r="L2876" s="153"/>
      <c r="M2876" s="136" t="str">
        <f t="shared" si="1"/>
        <v/>
      </c>
      <c r="O2876" s="141" t="s">
        <v>133</v>
      </c>
      <c r="P2876" s="136" t="str">
        <f>IFERROR(__xludf.DUMMYFUNCTION("""COMPUTED_VALUE"""),"")</f>
        <v/>
      </c>
      <c r="Q2876" s="136" t="str">
        <f>IFERROR(__xludf.DUMMYFUNCTION("""COMPUTED_VALUE"""),"")</f>
        <v/>
      </c>
      <c r="R2876" s="106" t="str">
        <f>IFERROR(__xludf.DUMMYFUNCTION("""COMPUTED_VALUE"""),"")</f>
        <v/>
      </c>
      <c r="S2876" s="106" t="str">
        <f>IFERROR(__xludf.DUMMYFUNCTION("""COMPUTED_VALUE"""),"")</f>
        <v/>
      </c>
      <c r="T2876" s="139" t="str">
        <f>IFERROR(__xludf.DUMMYFUNCTION("""COMPUTED_VALUE"""),"")</f>
        <v/>
      </c>
      <c r="U2876" s="139" t="str">
        <f>IFERROR(__xludf.DUMMYFUNCTION("""COMPUTED_VALUE"""),"")</f>
        <v/>
      </c>
      <c r="V2876" s="136" t="str">
        <f>IFERROR(__xludf.DUMMYFUNCTION("""COMPUTED_VALUE"""),"")</f>
        <v/>
      </c>
      <c r="W2876" s="106" t="str">
        <f>IFERROR(__xludf.DUMMYFUNCTION("""COMPUTED_VALUE"""),"")</f>
        <v/>
      </c>
      <c r="X2876" s="143" t="str">
        <f t="shared" si="2"/>
        <v/>
      </c>
      <c r="Y2876" s="139" t="str">
        <f>IFERROR(__xludf.DUMMYFUNCTION("""COMPUTED_VALUE"""),"")</f>
        <v/>
      </c>
      <c r="Z2876" s="141" t="str">
        <f>IFERROR(__xludf.DUMMYFUNCTION("""COMPUTED_VALUE"""),"")</f>
        <v/>
      </c>
    </row>
    <row r="2877">
      <c r="D2877" s="136" t="str">
        <f t="shared" si="3"/>
        <v/>
      </c>
      <c r="E2877" s="152"/>
      <c r="F2877" s="106" t="s">
        <v>133</v>
      </c>
      <c r="G2877" s="152"/>
      <c r="H2877" s="106" t="s">
        <v>133</v>
      </c>
      <c r="J2877" s="139" t="s">
        <v>133</v>
      </c>
      <c r="K2877" s="136" t="s">
        <v>133</v>
      </c>
      <c r="L2877" s="153"/>
      <c r="M2877" s="136" t="str">
        <f t="shared" si="1"/>
        <v/>
      </c>
      <c r="O2877" s="141" t="s">
        <v>133</v>
      </c>
      <c r="P2877" s="136" t="str">
        <f>IFERROR(__xludf.DUMMYFUNCTION("""COMPUTED_VALUE"""),"")</f>
        <v/>
      </c>
      <c r="Q2877" s="136" t="str">
        <f>IFERROR(__xludf.DUMMYFUNCTION("""COMPUTED_VALUE"""),"")</f>
        <v/>
      </c>
      <c r="R2877" s="106" t="str">
        <f>IFERROR(__xludf.DUMMYFUNCTION("""COMPUTED_VALUE"""),"")</f>
        <v/>
      </c>
      <c r="S2877" s="106" t="str">
        <f>IFERROR(__xludf.DUMMYFUNCTION("""COMPUTED_VALUE"""),"")</f>
        <v/>
      </c>
      <c r="T2877" s="139" t="str">
        <f>IFERROR(__xludf.DUMMYFUNCTION("""COMPUTED_VALUE"""),"")</f>
        <v/>
      </c>
      <c r="U2877" s="139" t="str">
        <f>IFERROR(__xludf.DUMMYFUNCTION("""COMPUTED_VALUE"""),"")</f>
        <v/>
      </c>
      <c r="V2877" s="136" t="str">
        <f>IFERROR(__xludf.DUMMYFUNCTION("""COMPUTED_VALUE"""),"")</f>
        <v/>
      </c>
      <c r="W2877" s="106" t="str">
        <f>IFERROR(__xludf.DUMMYFUNCTION("""COMPUTED_VALUE"""),"")</f>
        <v/>
      </c>
      <c r="X2877" s="143" t="str">
        <f t="shared" si="2"/>
        <v/>
      </c>
      <c r="Y2877" s="139" t="str">
        <f>IFERROR(__xludf.DUMMYFUNCTION("""COMPUTED_VALUE"""),"")</f>
        <v/>
      </c>
      <c r="Z2877" s="141" t="str">
        <f>IFERROR(__xludf.DUMMYFUNCTION("""COMPUTED_VALUE"""),"")</f>
        <v/>
      </c>
    </row>
    <row r="2878">
      <c r="D2878" s="136" t="str">
        <f t="shared" si="3"/>
        <v/>
      </c>
      <c r="E2878" s="152"/>
      <c r="F2878" s="106" t="s">
        <v>133</v>
      </c>
      <c r="G2878" s="152"/>
      <c r="H2878" s="106" t="s">
        <v>133</v>
      </c>
      <c r="J2878" s="139" t="s">
        <v>133</v>
      </c>
      <c r="K2878" s="136" t="s">
        <v>133</v>
      </c>
      <c r="L2878" s="153"/>
      <c r="M2878" s="136" t="str">
        <f t="shared" si="1"/>
        <v/>
      </c>
      <c r="O2878" s="141" t="s">
        <v>133</v>
      </c>
      <c r="P2878" s="136" t="str">
        <f>IFERROR(__xludf.DUMMYFUNCTION("""COMPUTED_VALUE"""),"")</f>
        <v/>
      </c>
      <c r="Q2878" s="136" t="str">
        <f>IFERROR(__xludf.DUMMYFUNCTION("""COMPUTED_VALUE"""),"")</f>
        <v/>
      </c>
      <c r="R2878" s="106" t="str">
        <f>IFERROR(__xludf.DUMMYFUNCTION("""COMPUTED_VALUE"""),"")</f>
        <v/>
      </c>
      <c r="S2878" s="106" t="str">
        <f>IFERROR(__xludf.DUMMYFUNCTION("""COMPUTED_VALUE"""),"")</f>
        <v/>
      </c>
      <c r="T2878" s="139" t="str">
        <f>IFERROR(__xludf.DUMMYFUNCTION("""COMPUTED_VALUE"""),"")</f>
        <v/>
      </c>
      <c r="U2878" s="139" t="str">
        <f>IFERROR(__xludf.DUMMYFUNCTION("""COMPUTED_VALUE"""),"")</f>
        <v/>
      </c>
      <c r="V2878" s="136" t="str">
        <f>IFERROR(__xludf.DUMMYFUNCTION("""COMPUTED_VALUE"""),"")</f>
        <v/>
      </c>
      <c r="W2878" s="106" t="str">
        <f>IFERROR(__xludf.DUMMYFUNCTION("""COMPUTED_VALUE"""),"")</f>
        <v/>
      </c>
      <c r="X2878" s="143" t="str">
        <f t="shared" si="2"/>
        <v/>
      </c>
      <c r="Y2878" s="139" t="str">
        <f>IFERROR(__xludf.DUMMYFUNCTION("""COMPUTED_VALUE"""),"")</f>
        <v/>
      </c>
      <c r="Z2878" s="141" t="str">
        <f>IFERROR(__xludf.DUMMYFUNCTION("""COMPUTED_VALUE"""),"")</f>
        <v/>
      </c>
    </row>
    <row r="2879">
      <c r="D2879" s="136" t="str">
        <f t="shared" si="3"/>
        <v/>
      </c>
      <c r="E2879" s="152"/>
      <c r="F2879" s="106" t="s">
        <v>133</v>
      </c>
      <c r="G2879" s="152"/>
      <c r="H2879" s="106" t="s">
        <v>133</v>
      </c>
      <c r="J2879" s="139" t="s">
        <v>133</v>
      </c>
      <c r="K2879" s="136" t="s">
        <v>133</v>
      </c>
      <c r="L2879" s="153"/>
      <c r="M2879" s="136" t="str">
        <f t="shared" si="1"/>
        <v/>
      </c>
      <c r="O2879" s="141" t="s">
        <v>133</v>
      </c>
      <c r="P2879" s="136" t="str">
        <f>IFERROR(__xludf.DUMMYFUNCTION("""COMPUTED_VALUE"""),"")</f>
        <v/>
      </c>
      <c r="Q2879" s="136" t="str">
        <f>IFERROR(__xludf.DUMMYFUNCTION("""COMPUTED_VALUE"""),"")</f>
        <v/>
      </c>
      <c r="R2879" s="106" t="str">
        <f>IFERROR(__xludf.DUMMYFUNCTION("""COMPUTED_VALUE"""),"")</f>
        <v/>
      </c>
      <c r="S2879" s="106" t="str">
        <f>IFERROR(__xludf.DUMMYFUNCTION("""COMPUTED_VALUE"""),"")</f>
        <v/>
      </c>
      <c r="T2879" s="139" t="str">
        <f>IFERROR(__xludf.DUMMYFUNCTION("""COMPUTED_VALUE"""),"")</f>
        <v/>
      </c>
      <c r="U2879" s="139" t="str">
        <f>IFERROR(__xludf.DUMMYFUNCTION("""COMPUTED_VALUE"""),"")</f>
        <v/>
      </c>
      <c r="V2879" s="136" t="str">
        <f>IFERROR(__xludf.DUMMYFUNCTION("""COMPUTED_VALUE"""),"")</f>
        <v/>
      </c>
      <c r="W2879" s="106" t="str">
        <f>IFERROR(__xludf.DUMMYFUNCTION("""COMPUTED_VALUE"""),"")</f>
        <v/>
      </c>
      <c r="X2879" s="143" t="str">
        <f t="shared" si="2"/>
        <v/>
      </c>
      <c r="Y2879" s="139" t="str">
        <f>IFERROR(__xludf.DUMMYFUNCTION("""COMPUTED_VALUE"""),"")</f>
        <v/>
      </c>
      <c r="Z2879" s="141" t="str">
        <f>IFERROR(__xludf.DUMMYFUNCTION("""COMPUTED_VALUE"""),"")</f>
        <v/>
      </c>
    </row>
    <row r="2880">
      <c r="D2880" s="136" t="str">
        <f t="shared" si="3"/>
        <v/>
      </c>
      <c r="E2880" s="152"/>
      <c r="F2880" s="106" t="s">
        <v>133</v>
      </c>
      <c r="G2880" s="152"/>
      <c r="H2880" s="106" t="s">
        <v>133</v>
      </c>
      <c r="J2880" s="139" t="s">
        <v>133</v>
      </c>
      <c r="K2880" s="136" t="s">
        <v>133</v>
      </c>
      <c r="L2880" s="153"/>
      <c r="M2880" s="136" t="str">
        <f t="shared" si="1"/>
        <v/>
      </c>
      <c r="O2880" s="141" t="s">
        <v>133</v>
      </c>
      <c r="P2880" s="136" t="str">
        <f>IFERROR(__xludf.DUMMYFUNCTION("""COMPUTED_VALUE"""),"")</f>
        <v/>
      </c>
      <c r="Q2880" s="136" t="str">
        <f>IFERROR(__xludf.DUMMYFUNCTION("""COMPUTED_VALUE"""),"")</f>
        <v/>
      </c>
      <c r="R2880" s="106" t="str">
        <f>IFERROR(__xludf.DUMMYFUNCTION("""COMPUTED_VALUE"""),"")</f>
        <v/>
      </c>
      <c r="S2880" s="106" t="str">
        <f>IFERROR(__xludf.DUMMYFUNCTION("""COMPUTED_VALUE"""),"")</f>
        <v/>
      </c>
      <c r="T2880" s="139" t="str">
        <f>IFERROR(__xludf.DUMMYFUNCTION("""COMPUTED_VALUE"""),"")</f>
        <v/>
      </c>
      <c r="U2880" s="139" t="str">
        <f>IFERROR(__xludf.DUMMYFUNCTION("""COMPUTED_VALUE"""),"")</f>
        <v/>
      </c>
      <c r="V2880" s="136" t="str">
        <f>IFERROR(__xludf.DUMMYFUNCTION("""COMPUTED_VALUE"""),"")</f>
        <v/>
      </c>
      <c r="W2880" s="106" t="str">
        <f>IFERROR(__xludf.DUMMYFUNCTION("""COMPUTED_VALUE"""),"")</f>
        <v/>
      </c>
      <c r="X2880" s="143" t="str">
        <f t="shared" si="2"/>
        <v/>
      </c>
      <c r="Y2880" s="139" t="str">
        <f>IFERROR(__xludf.DUMMYFUNCTION("""COMPUTED_VALUE"""),"")</f>
        <v/>
      </c>
      <c r="Z2880" s="141" t="str">
        <f>IFERROR(__xludf.DUMMYFUNCTION("""COMPUTED_VALUE"""),"")</f>
        <v/>
      </c>
    </row>
    <row r="2881">
      <c r="D2881" s="136" t="str">
        <f t="shared" si="3"/>
        <v/>
      </c>
      <c r="E2881" s="152"/>
      <c r="F2881" s="106" t="s">
        <v>133</v>
      </c>
      <c r="G2881" s="152"/>
      <c r="H2881" s="106" t="s">
        <v>133</v>
      </c>
      <c r="J2881" s="139" t="s">
        <v>133</v>
      </c>
      <c r="K2881" s="136" t="s">
        <v>133</v>
      </c>
      <c r="L2881" s="153"/>
      <c r="M2881" s="136" t="str">
        <f t="shared" si="1"/>
        <v/>
      </c>
      <c r="O2881" s="141" t="s">
        <v>133</v>
      </c>
      <c r="P2881" s="136" t="str">
        <f>IFERROR(__xludf.DUMMYFUNCTION("""COMPUTED_VALUE"""),"")</f>
        <v/>
      </c>
      <c r="Q2881" s="136" t="str">
        <f>IFERROR(__xludf.DUMMYFUNCTION("""COMPUTED_VALUE"""),"")</f>
        <v/>
      </c>
      <c r="R2881" s="106" t="str">
        <f>IFERROR(__xludf.DUMMYFUNCTION("""COMPUTED_VALUE"""),"")</f>
        <v/>
      </c>
      <c r="S2881" s="106" t="str">
        <f>IFERROR(__xludf.DUMMYFUNCTION("""COMPUTED_VALUE"""),"")</f>
        <v/>
      </c>
      <c r="T2881" s="139" t="str">
        <f>IFERROR(__xludf.DUMMYFUNCTION("""COMPUTED_VALUE"""),"")</f>
        <v/>
      </c>
      <c r="U2881" s="139" t="str">
        <f>IFERROR(__xludf.DUMMYFUNCTION("""COMPUTED_VALUE"""),"")</f>
        <v/>
      </c>
      <c r="V2881" s="136" t="str">
        <f>IFERROR(__xludf.DUMMYFUNCTION("""COMPUTED_VALUE"""),"")</f>
        <v/>
      </c>
      <c r="W2881" s="106" t="str">
        <f>IFERROR(__xludf.DUMMYFUNCTION("""COMPUTED_VALUE"""),"")</f>
        <v/>
      </c>
      <c r="X2881" s="143" t="str">
        <f t="shared" si="2"/>
        <v/>
      </c>
      <c r="Y2881" s="139" t="str">
        <f>IFERROR(__xludf.DUMMYFUNCTION("""COMPUTED_VALUE"""),"")</f>
        <v/>
      </c>
      <c r="Z2881" s="141" t="str">
        <f>IFERROR(__xludf.DUMMYFUNCTION("""COMPUTED_VALUE"""),"")</f>
        <v/>
      </c>
    </row>
    <row r="2882">
      <c r="D2882" s="136" t="str">
        <f t="shared" si="3"/>
        <v/>
      </c>
      <c r="E2882" s="152"/>
      <c r="F2882" s="106" t="s">
        <v>133</v>
      </c>
      <c r="G2882" s="152"/>
      <c r="H2882" s="106" t="s">
        <v>133</v>
      </c>
      <c r="J2882" s="139" t="s">
        <v>133</v>
      </c>
      <c r="K2882" s="136" t="s">
        <v>133</v>
      </c>
      <c r="L2882" s="153"/>
      <c r="M2882" s="136" t="str">
        <f t="shared" si="1"/>
        <v/>
      </c>
      <c r="O2882" s="141" t="s">
        <v>133</v>
      </c>
      <c r="P2882" s="136" t="str">
        <f>IFERROR(__xludf.DUMMYFUNCTION("""COMPUTED_VALUE"""),"")</f>
        <v/>
      </c>
      <c r="Q2882" s="136" t="str">
        <f>IFERROR(__xludf.DUMMYFUNCTION("""COMPUTED_VALUE"""),"")</f>
        <v/>
      </c>
      <c r="R2882" s="106" t="str">
        <f>IFERROR(__xludf.DUMMYFUNCTION("""COMPUTED_VALUE"""),"")</f>
        <v/>
      </c>
      <c r="S2882" s="106" t="str">
        <f>IFERROR(__xludf.DUMMYFUNCTION("""COMPUTED_VALUE"""),"")</f>
        <v/>
      </c>
      <c r="T2882" s="139" t="str">
        <f>IFERROR(__xludf.DUMMYFUNCTION("""COMPUTED_VALUE"""),"")</f>
        <v/>
      </c>
      <c r="U2882" s="139" t="str">
        <f>IFERROR(__xludf.DUMMYFUNCTION("""COMPUTED_VALUE"""),"")</f>
        <v/>
      </c>
      <c r="V2882" s="136" t="str">
        <f>IFERROR(__xludf.DUMMYFUNCTION("""COMPUTED_VALUE"""),"")</f>
        <v/>
      </c>
      <c r="W2882" s="106" t="str">
        <f>IFERROR(__xludf.DUMMYFUNCTION("""COMPUTED_VALUE"""),"")</f>
        <v/>
      </c>
      <c r="X2882" s="143" t="str">
        <f t="shared" si="2"/>
        <v/>
      </c>
      <c r="Y2882" s="139" t="str">
        <f>IFERROR(__xludf.DUMMYFUNCTION("""COMPUTED_VALUE"""),"")</f>
        <v/>
      </c>
      <c r="Z2882" s="141" t="str">
        <f>IFERROR(__xludf.DUMMYFUNCTION("""COMPUTED_VALUE"""),"")</f>
        <v/>
      </c>
    </row>
    <row r="2883">
      <c r="D2883" s="136" t="str">
        <f t="shared" si="3"/>
        <v/>
      </c>
      <c r="E2883" s="152"/>
      <c r="F2883" s="106" t="s">
        <v>133</v>
      </c>
      <c r="G2883" s="152"/>
      <c r="H2883" s="106" t="s">
        <v>133</v>
      </c>
      <c r="J2883" s="139" t="s">
        <v>133</v>
      </c>
      <c r="K2883" s="136" t="s">
        <v>133</v>
      </c>
      <c r="L2883" s="153"/>
      <c r="M2883" s="136" t="str">
        <f t="shared" si="1"/>
        <v/>
      </c>
      <c r="O2883" s="141" t="s">
        <v>133</v>
      </c>
      <c r="P2883" s="136" t="str">
        <f>IFERROR(__xludf.DUMMYFUNCTION("""COMPUTED_VALUE"""),"")</f>
        <v/>
      </c>
      <c r="Q2883" s="136" t="str">
        <f>IFERROR(__xludf.DUMMYFUNCTION("""COMPUTED_VALUE"""),"")</f>
        <v/>
      </c>
      <c r="R2883" s="106" t="str">
        <f>IFERROR(__xludf.DUMMYFUNCTION("""COMPUTED_VALUE"""),"")</f>
        <v/>
      </c>
      <c r="S2883" s="106" t="str">
        <f>IFERROR(__xludf.DUMMYFUNCTION("""COMPUTED_VALUE"""),"")</f>
        <v/>
      </c>
      <c r="T2883" s="139" t="str">
        <f>IFERROR(__xludf.DUMMYFUNCTION("""COMPUTED_VALUE"""),"")</f>
        <v/>
      </c>
      <c r="U2883" s="139" t="str">
        <f>IFERROR(__xludf.DUMMYFUNCTION("""COMPUTED_VALUE"""),"")</f>
        <v/>
      </c>
      <c r="V2883" s="136" t="str">
        <f>IFERROR(__xludf.DUMMYFUNCTION("""COMPUTED_VALUE"""),"")</f>
        <v/>
      </c>
      <c r="W2883" s="106" t="str">
        <f>IFERROR(__xludf.DUMMYFUNCTION("""COMPUTED_VALUE"""),"")</f>
        <v/>
      </c>
      <c r="X2883" s="143" t="str">
        <f t="shared" si="2"/>
        <v/>
      </c>
      <c r="Y2883" s="139" t="str">
        <f>IFERROR(__xludf.DUMMYFUNCTION("""COMPUTED_VALUE"""),"")</f>
        <v/>
      </c>
      <c r="Z2883" s="141" t="str">
        <f>IFERROR(__xludf.DUMMYFUNCTION("""COMPUTED_VALUE"""),"")</f>
        <v/>
      </c>
    </row>
    <row r="2884">
      <c r="D2884" s="136" t="str">
        <f t="shared" si="3"/>
        <v/>
      </c>
      <c r="E2884" s="152"/>
      <c r="F2884" s="106" t="s">
        <v>133</v>
      </c>
      <c r="G2884" s="152"/>
      <c r="H2884" s="106" t="s">
        <v>133</v>
      </c>
      <c r="J2884" s="139" t="s">
        <v>133</v>
      </c>
      <c r="K2884" s="136" t="s">
        <v>133</v>
      </c>
      <c r="L2884" s="153"/>
      <c r="M2884" s="136" t="str">
        <f t="shared" si="1"/>
        <v/>
      </c>
      <c r="O2884" s="141" t="s">
        <v>133</v>
      </c>
      <c r="P2884" s="136" t="str">
        <f>IFERROR(__xludf.DUMMYFUNCTION("""COMPUTED_VALUE"""),"")</f>
        <v/>
      </c>
      <c r="Q2884" s="136" t="str">
        <f>IFERROR(__xludf.DUMMYFUNCTION("""COMPUTED_VALUE"""),"")</f>
        <v/>
      </c>
      <c r="R2884" s="106" t="str">
        <f>IFERROR(__xludf.DUMMYFUNCTION("""COMPUTED_VALUE"""),"")</f>
        <v/>
      </c>
      <c r="S2884" s="106" t="str">
        <f>IFERROR(__xludf.DUMMYFUNCTION("""COMPUTED_VALUE"""),"")</f>
        <v/>
      </c>
      <c r="T2884" s="139" t="str">
        <f>IFERROR(__xludf.DUMMYFUNCTION("""COMPUTED_VALUE"""),"")</f>
        <v/>
      </c>
      <c r="U2884" s="139" t="str">
        <f>IFERROR(__xludf.DUMMYFUNCTION("""COMPUTED_VALUE"""),"")</f>
        <v/>
      </c>
      <c r="V2884" s="136" t="str">
        <f>IFERROR(__xludf.DUMMYFUNCTION("""COMPUTED_VALUE"""),"")</f>
        <v/>
      </c>
      <c r="W2884" s="106" t="str">
        <f>IFERROR(__xludf.DUMMYFUNCTION("""COMPUTED_VALUE"""),"")</f>
        <v/>
      </c>
      <c r="X2884" s="143" t="str">
        <f t="shared" si="2"/>
        <v/>
      </c>
      <c r="Y2884" s="139" t="str">
        <f>IFERROR(__xludf.DUMMYFUNCTION("""COMPUTED_VALUE"""),"")</f>
        <v/>
      </c>
      <c r="Z2884" s="141" t="str">
        <f>IFERROR(__xludf.DUMMYFUNCTION("""COMPUTED_VALUE"""),"")</f>
        <v/>
      </c>
    </row>
    <row r="2885">
      <c r="D2885" s="136" t="str">
        <f t="shared" si="3"/>
        <v/>
      </c>
      <c r="E2885" s="152"/>
      <c r="F2885" s="106" t="s">
        <v>133</v>
      </c>
      <c r="G2885" s="152"/>
      <c r="H2885" s="106" t="s">
        <v>133</v>
      </c>
      <c r="J2885" s="139" t="s">
        <v>133</v>
      </c>
      <c r="K2885" s="136" t="s">
        <v>133</v>
      </c>
      <c r="L2885" s="153"/>
      <c r="M2885" s="136" t="str">
        <f t="shared" si="1"/>
        <v/>
      </c>
      <c r="O2885" s="141" t="s">
        <v>133</v>
      </c>
      <c r="P2885" s="136" t="str">
        <f>IFERROR(__xludf.DUMMYFUNCTION("""COMPUTED_VALUE"""),"")</f>
        <v/>
      </c>
      <c r="Q2885" s="136" t="str">
        <f>IFERROR(__xludf.DUMMYFUNCTION("""COMPUTED_VALUE"""),"")</f>
        <v/>
      </c>
      <c r="R2885" s="106" t="str">
        <f>IFERROR(__xludf.DUMMYFUNCTION("""COMPUTED_VALUE"""),"")</f>
        <v/>
      </c>
      <c r="S2885" s="106" t="str">
        <f>IFERROR(__xludf.DUMMYFUNCTION("""COMPUTED_VALUE"""),"")</f>
        <v/>
      </c>
      <c r="T2885" s="139" t="str">
        <f>IFERROR(__xludf.DUMMYFUNCTION("""COMPUTED_VALUE"""),"")</f>
        <v/>
      </c>
      <c r="U2885" s="139" t="str">
        <f>IFERROR(__xludf.DUMMYFUNCTION("""COMPUTED_VALUE"""),"")</f>
        <v/>
      </c>
      <c r="V2885" s="136" t="str">
        <f>IFERROR(__xludf.DUMMYFUNCTION("""COMPUTED_VALUE"""),"")</f>
        <v/>
      </c>
      <c r="W2885" s="106" t="str">
        <f>IFERROR(__xludf.DUMMYFUNCTION("""COMPUTED_VALUE"""),"")</f>
        <v/>
      </c>
      <c r="X2885" s="143" t="str">
        <f t="shared" si="2"/>
        <v/>
      </c>
      <c r="Y2885" s="139" t="str">
        <f>IFERROR(__xludf.DUMMYFUNCTION("""COMPUTED_VALUE"""),"")</f>
        <v/>
      </c>
      <c r="Z2885" s="141" t="str">
        <f>IFERROR(__xludf.DUMMYFUNCTION("""COMPUTED_VALUE"""),"")</f>
        <v/>
      </c>
    </row>
    <row r="2886">
      <c r="D2886" s="136" t="str">
        <f t="shared" si="3"/>
        <v/>
      </c>
      <c r="E2886" s="152"/>
      <c r="F2886" s="106" t="s">
        <v>133</v>
      </c>
      <c r="G2886" s="152"/>
      <c r="H2886" s="106" t="s">
        <v>133</v>
      </c>
      <c r="J2886" s="139" t="s">
        <v>133</v>
      </c>
      <c r="K2886" s="136" t="s">
        <v>133</v>
      </c>
      <c r="L2886" s="153"/>
      <c r="M2886" s="136" t="str">
        <f t="shared" si="1"/>
        <v/>
      </c>
      <c r="O2886" s="141" t="s">
        <v>133</v>
      </c>
      <c r="P2886" s="136" t="str">
        <f>IFERROR(__xludf.DUMMYFUNCTION("""COMPUTED_VALUE"""),"")</f>
        <v/>
      </c>
      <c r="Q2886" s="136" t="str">
        <f>IFERROR(__xludf.DUMMYFUNCTION("""COMPUTED_VALUE"""),"")</f>
        <v/>
      </c>
      <c r="R2886" s="106" t="str">
        <f>IFERROR(__xludf.DUMMYFUNCTION("""COMPUTED_VALUE"""),"")</f>
        <v/>
      </c>
      <c r="S2886" s="106" t="str">
        <f>IFERROR(__xludf.DUMMYFUNCTION("""COMPUTED_VALUE"""),"")</f>
        <v/>
      </c>
      <c r="T2886" s="139" t="str">
        <f>IFERROR(__xludf.DUMMYFUNCTION("""COMPUTED_VALUE"""),"")</f>
        <v/>
      </c>
      <c r="U2886" s="139" t="str">
        <f>IFERROR(__xludf.DUMMYFUNCTION("""COMPUTED_VALUE"""),"")</f>
        <v/>
      </c>
      <c r="V2886" s="136" t="str">
        <f>IFERROR(__xludf.DUMMYFUNCTION("""COMPUTED_VALUE"""),"")</f>
        <v/>
      </c>
      <c r="W2886" s="106" t="str">
        <f>IFERROR(__xludf.DUMMYFUNCTION("""COMPUTED_VALUE"""),"")</f>
        <v/>
      </c>
      <c r="X2886" s="143" t="str">
        <f t="shared" si="2"/>
        <v/>
      </c>
      <c r="Y2886" s="139" t="str">
        <f>IFERROR(__xludf.DUMMYFUNCTION("""COMPUTED_VALUE"""),"")</f>
        <v/>
      </c>
      <c r="Z2886" s="141" t="str">
        <f>IFERROR(__xludf.DUMMYFUNCTION("""COMPUTED_VALUE"""),"")</f>
        <v/>
      </c>
    </row>
    <row r="2887">
      <c r="D2887" s="136" t="str">
        <f t="shared" si="3"/>
        <v/>
      </c>
      <c r="E2887" s="152"/>
      <c r="F2887" s="106" t="s">
        <v>133</v>
      </c>
      <c r="G2887" s="152"/>
      <c r="H2887" s="106" t="s">
        <v>133</v>
      </c>
      <c r="J2887" s="139" t="s">
        <v>133</v>
      </c>
      <c r="K2887" s="136" t="s">
        <v>133</v>
      </c>
      <c r="L2887" s="153"/>
      <c r="M2887" s="136" t="str">
        <f t="shared" si="1"/>
        <v/>
      </c>
      <c r="O2887" s="141" t="s">
        <v>133</v>
      </c>
      <c r="P2887" s="136" t="str">
        <f>IFERROR(__xludf.DUMMYFUNCTION("""COMPUTED_VALUE"""),"")</f>
        <v/>
      </c>
      <c r="Q2887" s="136" t="str">
        <f>IFERROR(__xludf.DUMMYFUNCTION("""COMPUTED_VALUE"""),"")</f>
        <v/>
      </c>
      <c r="R2887" s="106" t="str">
        <f>IFERROR(__xludf.DUMMYFUNCTION("""COMPUTED_VALUE"""),"")</f>
        <v/>
      </c>
      <c r="S2887" s="106" t="str">
        <f>IFERROR(__xludf.DUMMYFUNCTION("""COMPUTED_VALUE"""),"")</f>
        <v/>
      </c>
      <c r="T2887" s="139" t="str">
        <f>IFERROR(__xludf.DUMMYFUNCTION("""COMPUTED_VALUE"""),"")</f>
        <v/>
      </c>
      <c r="U2887" s="139" t="str">
        <f>IFERROR(__xludf.DUMMYFUNCTION("""COMPUTED_VALUE"""),"")</f>
        <v/>
      </c>
      <c r="V2887" s="136" t="str">
        <f>IFERROR(__xludf.DUMMYFUNCTION("""COMPUTED_VALUE"""),"")</f>
        <v/>
      </c>
      <c r="W2887" s="106" t="str">
        <f>IFERROR(__xludf.DUMMYFUNCTION("""COMPUTED_VALUE"""),"")</f>
        <v/>
      </c>
      <c r="X2887" s="143" t="str">
        <f t="shared" si="2"/>
        <v/>
      </c>
      <c r="Y2887" s="139" t="str">
        <f>IFERROR(__xludf.DUMMYFUNCTION("""COMPUTED_VALUE"""),"")</f>
        <v/>
      </c>
      <c r="Z2887" s="141" t="str">
        <f>IFERROR(__xludf.DUMMYFUNCTION("""COMPUTED_VALUE"""),"")</f>
        <v/>
      </c>
    </row>
    <row r="2888">
      <c r="D2888" s="136" t="str">
        <f t="shared" si="3"/>
        <v/>
      </c>
      <c r="E2888" s="152"/>
      <c r="F2888" s="106" t="s">
        <v>133</v>
      </c>
      <c r="G2888" s="152"/>
      <c r="H2888" s="106" t="s">
        <v>133</v>
      </c>
      <c r="J2888" s="139" t="s">
        <v>133</v>
      </c>
      <c r="K2888" s="136" t="s">
        <v>133</v>
      </c>
      <c r="L2888" s="153"/>
      <c r="M2888" s="136" t="str">
        <f t="shared" si="1"/>
        <v/>
      </c>
      <c r="O2888" s="141" t="s">
        <v>133</v>
      </c>
      <c r="P2888" s="136" t="str">
        <f>IFERROR(__xludf.DUMMYFUNCTION("""COMPUTED_VALUE"""),"")</f>
        <v/>
      </c>
      <c r="Q2888" s="136" t="str">
        <f>IFERROR(__xludf.DUMMYFUNCTION("""COMPUTED_VALUE"""),"")</f>
        <v/>
      </c>
      <c r="R2888" s="106" t="str">
        <f>IFERROR(__xludf.DUMMYFUNCTION("""COMPUTED_VALUE"""),"")</f>
        <v/>
      </c>
      <c r="S2888" s="106" t="str">
        <f>IFERROR(__xludf.DUMMYFUNCTION("""COMPUTED_VALUE"""),"")</f>
        <v/>
      </c>
      <c r="T2888" s="139" t="str">
        <f>IFERROR(__xludf.DUMMYFUNCTION("""COMPUTED_VALUE"""),"")</f>
        <v/>
      </c>
      <c r="U2888" s="139" t="str">
        <f>IFERROR(__xludf.DUMMYFUNCTION("""COMPUTED_VALUE"""),"")</f>
        <v/>
      </c>
      <c r="V2888" s="136" t="str">
        <f>IFERROR(__xludf.DUMMYFUNCTION("""COMPUTED_VALUE"""),"")</f>
        <v/>
      </c>
      <c r="W2888" s="106" t="str">
        <f>IFERROR(__xludf.DUMMYFUNCTION("""COMPUTED_VALUE"""),"")</f>
        <v/>
      </c>
      <c r="X2888" s="143" t="str">
        <f t="shared" si="2"/>
        <v/>
      </c>
      <c r="Y2888" s="139" t="str">
        <f>IFERROR(__xludf.DUMMYFUNCTION("""COMPUTED_VALUE"""),"")</f>
        <v/>
      </c>
      <c r="Z2888" s="141" t="str">
        <f>IFERROR(__xludf.DUMMYFUNCTION("""COMPUTED_VALUE"""),"")</f>
        <v/>
      </c>
    </row>
    <row r="2889">
      <c r="D2889" s="136" t="str">
        <f t="shared" si="3"/>
        <v/>
      </c>
      <c r="E2889" s="152"/>
      <c r="F2889" s="106" t="s">
        <v>133</v>
      </c>
      <c r="G2889" s="152"/>
      <c r="H2889" s="106" t="s">
        <v>133</v>
      </c>
      <c r="J2889" s="139" t="s">
        <v>133</v>
      </c>
      <c r="K2889" s="136" t="s">
        <v>133</v>
      </c>
      <c r="L2889" s="153"/>
      <c r="M2889" s="136" t="str">
        <f t="shared" si="1"/>
        <v/>
      </c>
      <c r="O2889" s="141" t="s">
        <v>133</v>
      </c>
      <c r="P2889" s="136" t="str">
        <f>IFERROR(__xludf.DUMMYFUNCTION("""COMPUTED_VALUE"""),"")</f>
        <v/>
      </c>
      <c r="Q2889" s="136" t="str">
        <f>IFERROR(__xludf.DUMMYFUNCTION("""COMPUTED_VALUE"""),"")</f>
        <v/>
      </c>
      <c r="R2889" s="106" t="str">
        <f>IFERROR(__xludf.DUMMYFUNCTION("""COMPUTED_VALUE"""),"")</f>
        <v/>
      </c>
      <c r="S2889" s="106" t="str">
        <f>IFERROR(__xludf.DUMMYFUNCTION("""COMPUTED_VALUE"""),"")</f>
        <v/>
      </c>
      <c r="T2889" s="139" t="str">
        <f>IFERROR(__xludf.DUMMYFUNCTION("""COMPUTED_VALUE"""),"")</f>
        <v/>
      </c>
      <c r="U2889" s="139" t="str">
        <f>IFERROR(__xludf.DUMMYFUNCTION("""COMPUTED_VALUE"""),"")</f>
        <v/>
      </c>
      <c r="V2889" s="136" t="str">
        <f>IFERROR(__xludf.DUMMYFUNCTION("""COMPUTED_VALUE"""),"")</f>
        <v/>
      </c>
      <c r="W2889" s="106" t="str">
        <f>IFERROR(__xludf.DUMMYFUNCTION("""COMPUTED_VALUE"""),"")</f>
        <v/>
      </c>
      <c r="X2889" s="143" t="str">
        <f t="shared" si="2"/>
        <v/>
      </c>
      <c r="Y2889" s="139" t="str">
        <f>IFERROR(__xludf.DUMMYFUNCTION("""COMPUTED_VALUE"""),"")</f>
        <v/>
      </c>
      <c r="Z2889" s="141" t="str">
        <f>IFERROR(__xludf.DUMMYFUNCTION("""COMPUTED_VALUE"""),"")</f>
        <v/>
      </c>
    </row>
    <row r="2890">
      <c r="D2890" s="136" t="str">
        <f t="shared" si="3"/>
        <v/>
      </c>
      <c r="E2890" s="152"/>
      <c r="F2890" s="106" t="s">
        <v>133</v>
      </c>
      <c r="G2890" s="152"/>
      <c r="H2890" s="106" t="s">
        <v>133</v>
      </c>
      <c r="J2890" s="139" t="s">
        <v>133</v>
      </c>
      <c r="K2890" s="136" t="s">
        <v>133</v>
      </c>
      <c r="L2890" s="153"/>
      <c r="M2890" s="136" t="str">
        <f t="shared" si="1"/>
        <v/>
      </c>
      <c r="O2890" s="141" t="s">
        <v>133</v>
      </c>
      <c r="P2890" s="136" t="str">
        <f>IFERROR(__xludf.DUMMYFUNCTION("""COMPUTED_VALUE"""),"")</f>
        <v/>
      </c>
      <c r="Q2890" s="136" t="str">
        <f>IFERROR(__xludf.DUMMYFUNCTION("""COMPUTED_VALUE"""),"")</f>
        <v/>
      </c>
      <c r="R2890" s="106" t="str">
        <f>IFERROR(__xludf.DUMMYFUNCTION("""COMPUTED_VALUE"""),"")</f>
        <v/>
      </c>
      <c r="S2890" s="106" t="str">
        <f>IFERROR(__xludf.DUMMYFUNCTION("""COMPUTED_VALUE"""),"")</f>
        <v/>
      </c>
      <c r="T2890" s="139" t="str">
        <f>IFERROR(__xludf.DUMMYFUNCTION("""COMPUTED_VALUE"""),"")</f>
        <v/>
      </c>
      <c r="U2890" s="139" t="str">
        <f>IFERROR(__xludf.DUMMYFUNCTION("""COMPUTED_VALUE"""),"")</f>
        <v/>
      </c>
      <c r="V2890" s="136" t="str">
        <f>IFERROR(__xludf.DUMMYFUNCTION("""COMPUTED_VALUE"""),"")</f>
        <v/>
      </c>
      <c r="W2890" s="106" t="str">
        <f>IFERROR(__xludf.DUMMYFUNCTION("""COMPUTED_VALUE"""),"")</f>
        <v/>
      </c>
      <c r="X2890" s="143" t="str">
        <f t="shared" si="2"/>
        <v/>
      </c>
      <c r="Y2890" s="139" t="str">
        <f>IFERROR(__xludf.DUMMYFUNCTION("""COMPUTED_VALUE"""),"")</f>
        <v/>
      </c>
      <c r="Z2890" s="141" t="str">
        <f>IFERROR(__xludf.DUMMYFUNCTION("""COMPUTED_VALUE"""),"")</f>
        <v/>
      </c>
    </row>
    <row r="2891">
      <c r="D2891" s="136" t="str">
        <f t="shared" si="3"/>
        <v/>
      </c>
      <c r="E2891" s="152"/>
      <c r="F2891" s="106" t="s">
        <v>133</v>
      </c>
      <c r="G2891" s="152"/>
      <c r="H2891" s="106" t="s">
        <v>133</v>
      </c>
      <c r="J2891" s="139" t="s">
        <v>133</v>
      </c>
      <c r="K2891" s="136" t="s">
        <v>133</v>
      </c>
      <c r="L2891" s="153"/>
      <c r="M2891" s="136" t="str">
        <f t="shared" si="1"/>
        <v/>
      </c>
      <c r="O2891" s="141" t="s">
        <v>133</v>
      </c>
      <c r="P2891" s="136" t="str">
        <f>IFERROR(__xludf.DUMMYFUNCTION("""COMPUTED_VALUE"""),"")</f>
        <v/>
      </c>
      <c r="Q2891" s="136" t="str">
        <f>IFERROR(__xludf.DUMMYFUNCTION("""COMPUTED_VALUE"""),"")</f>
        <v/>
      </c>
      <c r="R2891" s="106" t="str">
        <f>IFERROR(__xludf.DUMMYFUNCTION("""COMPUTED_VALUE"""),"")</f>
        <v/>
      </c>
      <c r="S2891" s="106" t="str">
        <f>IFERROR(__xludf.DUMMYFUNCTION("""COMPUTED_VALUE"""),"")</f>
        <v/>
      </c>
      <c r="T2891" s="139" t="str">
        <f>IFERROR(__xludf.DUMMYFUNCTION("""COMPUTED_VALUE"""),"")</f>
        <v/>
      </c>
      <c r="U2891" s="139" t="str">
        <f>IFERROR(__xludf.DUMMYFUNCTION("""COMPUTED_VALUE"""),"")</f>
        <v/>
      </c>
      <c r="V2891" s="136" t="str">
        <f>IFERROR(__xludf.DUMMYFUNCTION("""COMPUTED_VALUE"""),"")</f>
        <v/>
      </c>
      <c r="W2891" s="106" t="str">
        <f>IFERROR(__xludf.DUMMYFUNCTION("""COMPUTED_VALUE"""),"")</f>
        <v/>
      </c>
      <c r="X2891" s="143" t="str">
        <f t="shared" si="2"/>
        <v/>
      </c>
      <c r="Y2891" s="139" t="str">
        <f>IFERROR(__xludf.DUMMYFUNCTION("""COMPUTED_VALUE"""),"")</f>
        <v/>
      </c>
      <c r="Z2891" s="141" t="str">
        <f>IFERROR(__xludf.DUMMYFUNCTION("""COMPUTED_VALUE"""),"")</f>
        <v/>
      </c>
    </row>
    <row r="2892">
      <c r="D2892" s="136" t="str">
        <f t="shared" si="3"/>
        <v/>
      </c>
      <c r="E2892" s="152"/>
      <c r="F2892" s="106" t="s">
        <v>133</v>
      </c>
      <c r="G2892" s="152"/>
      <c r="H2892" s="106" t="s">
        <v>133</v>
      </c>
      <c r="J2892" s="139" t="s">
        <v>133</v>
      </c>
      <c r="K2892" s="136" t="s">
        <v>133</v>
      </c>
      <c r="L2892" s="153"/>
      <c r="M2892" s="136" t="str">
        <f t="shared" si="1"/>
        <v/>
      </c>
      <c r="O2892" s="141" t="s">
        <v>133</v>
      </c>
      <c r="P2892" s="136" t="str">
        <f>IFERROR(__xludf.DUMMYFUNCTION("""COMPUTED_VALUE"""),"")</f>
        <v/>
      </c>
      <c r="Q2892" s="136" t="str">
        <f>IFERROR(__xludf.DUMMYFUNCTION("""COMPUTED_VALUE"""),"")</f>
        <v/>
      </c>
      <c r="R2892" s="106" t="str">
        <f>IFERROR(__xludf.DUMMYFUNCTION("""COMPUTED_VALUE"""),"")</f>
        <v/>
      </c>
      <c r="S2892" s="106" t="str">
        <f>IFERROR(__xludf.DUMMYFUNCTION("""COMPUTED_VALUE"""),"")</f>
        <v/>
      </c>
      <c r="T2892" s="139" t="str">
        <f>IFERROR(__xludf.DUMMYFUNCTION("""COMPUTED_VALUE"""),"")</f>
        <v/>
      </c>
      <c r="U2892" s="139" t="str">
        <f>IFERROR(__xludf.DUMMYFUNCTION("""COMPUTED_VALUE"""),"")</f>
        <v/>
      </c>
      <c r="V2892" s="136" t="str">
        <f>IFERROR(__xludf.DUMMYFUNCTION("""COMPUTED_VALUE"""),"")</f>
        <v/>
      </c>
      <c r="W2892" s="106" t="str">
        <f>IFERROR(__xludf.DUMMYFUNCTION("""COMPUTED_VALUE"""),"")</f>
        <v/>
      </c>
      <c r="X2892" s="143" t="str">
        <f t="shared" si="2"/>
        <v/>
      </c>
      <c r="Y2892" s="139" t="str">
        <f>IFERROR(__xludf.DUMMYFUNCTION("""COMPUTED_VALUE"""),"")</f>
        <v/>
      </c>
      <c r="Z2892" s="141" t="str">
        <f>IFERROR(__xludf.DUMMYFUNCTION("""COMPUTED_VALUE"""),"")</f>
        <v/>
      </c>
    </row>
    <row r="2893">
      <c r="D2893" s="136" t="str">
        <f t="shared" si="3"/>
        <v/>
      </c>
      <c r="E2893" s="152"/>
      <c r="F2893" s="106" t="s">
        <v>133</v>
      </c>
      <c r="G2893" s="152"/>
      <c r="H2893" s="106" t="s">
        <v>133</v>
      </c>
      <c r="J2893" s="139" t="s">
        <v>133</v>
      </c>
      <c r="K2893" s="136" t="s">
        <v>133</v>
      </c>
      <c r="L2893" s="153"/>
      <c r="M2893" s="136" t="str">
        <f t="shared" si="1"/>
        <v/>
      </c>
      <c r="O2893" s="141" t="s">
        <v>133</v>
      </c>
      <c r="P2893" s="136" t="str">
        <f>IFERROR(__xludf.DUMMYFUNCTION("""COMPUTED_VALUE"""),"")</f>
        <v/>
      </c>
      <c r="Q2893" s="136" t="str">
        <f>IFERROR(__xludf.DUMMYFUNCTION("""COMPUTED_VALUE"""),"")</f>
        <v/>
      </c>
      <c r="R2893" s="106" t="str">
        <f>IFERROR(__xludf.DUMMYFUNCTION("""COMPUTED_VALUE"""),"")</f>
        <v/>
      </c>
      <c r="S2893" s="106" t="str">
        <f>IFERROR(__xludf.DUMMYFUNCTION("""COMPUTED_VALUE"""),"")</f>
        <v/>
      </c>
      <c r="T2893" s="139" t="str">
        <f>IFERROR(__xludf.DUMMYFUNCTION("""COMPUTED_VALUE"""),"")</f>
        <v/>
      </c>
      <c r="U2893" s="139" t="str">
        <f>IFERROR(__xludf.DUMMYFUNCTION("""COMPUTED_VALUE"""),"")</f>
        <v/>
      </c>
      <c r="V2893" s="136" t="str">
        <f>IFERROR(__xludf.DUMMYFUNCTION("""COMPUTED_VALUE"""),"")</f>
        <v/>
      </c>
      <c r="W2893" s="106" t="str">
        <f>IFERROR(__xludf.DUMMYFUNCTION("""COMPUTED_VALUE"""),"")</f>
        <v/>
      </c>
      <c r="X2893" s="143" t="str">
        <f t="shared" si="2"/>
        <v/>
      </c>
      <c r="Y2893" s="139" t="str">
        <f>IFERROR(__xludf.DUMMYFUNCTION("""COMPUTED_VALUE"""),"")</f>
        <v/>
      </c>
      <c r="Z2893" s="141" t="str">
        <f>IFERROR(__xludf.DUMMYFUNCTION("""COMPUTED_VALUE"""),"")</f>
        <v/>
      </c>
    </row>
    <row r="2894">
      <c r="D2894" s="136" t="str">
        <f t="shared" si="3"/>
        <v/>
      </c>
      <c r="E2894" s="152"/>
      <c r="F2894" s="106" t="s">
        <v>133</v>
      </c>
      <c r="G2894" s="152"/>
      <c r="H2894" s="106" t="s">
        <v>133</v>
      </c>
      <c r="J2894" s="139" t="s">
        <v>133</v>
      </c>
      <c r="K2894" s="136" t="s">
        <v>133</v>
      </c>
      <c r="L2894" s="153"/>
      <c r="M2894" s="136" t="str">
        <f t="shared" si="1"/>
        <v/>
      </c>
      <c r="O2894" s="141" t="s">
        <v>133</v>
      </c>
      <c r="P2894" s="136" t="str">
        <f>IFERROR(__xludf.DUMMYFUNCTION("""COMPUTED_VALUE"""),"")</f>
        <v/>
      </c>
      <c r="Q2894" s="136" t="str">
        <f>IFERROR(__xludf.DUMMYFUNCTION("""COMPUTED_VALUE"""),"")</f>
        <v/>
      </c>
      <c r="R2894" s="106" t="str">
        <f>IFERROR(__xludf.DUMMYFUNCTION("""COMPUTED_VALUE"""),"")</f>
        <v/>
      </c>
      <c r="S2894" s="106" t="str">
        <f>IFERROR(__xludf.DUMMYFUNCTION("""COMPUTED_VALUE"""),"")</f>
        <v/>
      </c>
      <c r="T2894" s="139" t="str">
        <f>IFERROR(__xludf.DUMMYFUNCTION("""COMPUTED_VALUE"""),"")</f>
        <v/>
      </c>
      <c r="U2894" s="139" t="str">
        <f>IFERROR(__xludf.DUMMYFUNCTION("""COMPUTED_VALUE"""),"")</f>
        <v/>
      </c>
      <c r="V2894" s="136" t="str">
        <f>IFERROR(__xludf.DUMMYFUNCTION("""COMPUTED_VALUE"""),"")</f>
        <v/>
      </c>
      <c r="W2894" s="106" t="str">
        <f>IFERROR(__xludf.DUMMYFUNCTION("""COMPUTED_VALUE"""),"")</f>
        <v/>
      </c>
      <c r="X2894" s="143" t="str">
        <f t="shared" si="2"/>
        <v/>
      </c>
      <c r="Y2894" s="139" t="str">
        <f>IFERROR(__xludf.DUMMYFUNCTION("""COMPUTED_VALUE"""),"")</f>
        <v/>
      </c>
      <c r="Z2894" s="141" t="str">
        <f>IFERROR(__xludf.DUMMYFUNCTION("""COMPUTED_VALUE"""),"")</f>
        <v/>
      </c>
    </row>
    <row r="2895">
      <c r="D2895" s="136" t="str">
        <f t="shared" si="3"/>
        <v/>
      </c>
      <c r="E2895" s="152"/>
      <c r="F2895" s="106" t="s">
        <v>133</v>
      </c>
      <c r="G2895" s="152"/>
      <c r="H2895" s="106" t="s">
        <v>133</v>
      </c>
      <c r="J2895" s="139" t="s">
        <v>133</v>
      </c>
      <c r="K2895" s="136" t="s">
        <v>133</v>
      </c>
      <c r="L2895" s="153"/>
      <c r="M2895" s="136" t="str">
        <f t="shared" si="1"/>
        <v/>
      </c>
      <c r="O2895" s="141" t="s">
        <v>133</v>
      </c>
      <c r="P2895" s="136" t="str">
        <f>IFERROR(__xludf.DUMMYFUNCTION("""COMPUTED_VALUE"""),"")</f>
        <v/>
      </c>
      <c r="Q2895" s="136" t="str">
        <f>IFERROR(__xludf.DUMMYFUNCTION("""COMPUTED_VALUE"""),"")</f>
        <v/>
      </c>
      <c r="R2895" s="106" t="str">
        <f>IFERROR(__xludf.DUMMYFUNCTION("""COMPUTED_VALUE"""),"")</f>
        <v/>
      </c>
      <c r="S2895" s="106" t="str">
        <f>IFERROR(__xludf.DUMMYFUNCTION("""COMPUTED_VALUE"""),"")</f>
        <v/>
      </c>
      <c r="T2895" s="139" t="str">
        <f>IFERROR(__xludf.DUMMYFUNCTION("""COMPUTED_VALUE"""),"")</f>
        <v/>
      </c>
      <c r="U2895" s="139" t="str">
        <f>IFERROR(__xludf.DUMMYFUNCTION("""COMPUTED_VALUE"""),"")</f>
        <v/>
      </c>
      <c r="V2895" s="136" t="str">
        <f>IFERROR(__xludf.DUMMYFUNCTION("""COMPUTED_VALUE"""),"")</f>
        <v/>
      </c>
      <c r="W2895" s="106" t="str">
        <f>IFERROR(__xludf.DUMMYFUNCTION("""COMPUTED_VALUE"""),"")</f>
        <v/>
      </c>
      <c r="X2895" s="143" t="str">
        <f t="shared" si="2"/>
        <v/>
      </c>
      <c r="Y2895" s="139" t="str">
        <f>IFERROR(__xludf.DUMMYFUNCTION("""COMPUTED_VALUE"""),"")</f>
        <v/>
      </c>
      <c r="Z2895" s="141" t="str">
        <f>IFERROR(__xludf.DUMMYFUNCTION("""COMPUTED_VALUE"""),"")</f>
        <v/>
      </c>
    </row>
    <row r="2896">
      <c r="D2896" s="136" t="str">
        <f t="shared" si="3"/>
        <v/>
      </c>
      <c r="E2896" s="152"/>
      <c r="F2896" s="106" t="s">
        <v>133</v>
      </c>
      <c r="G2896" s="152"/>
      <c r="H2896" s="106" t="s">
        <v>133</v>
      </c>
      <c r="J2896" s="139" t="s">
        <v>133</v>
      </c>
      <c r="K2896" s="136" t="s">
        <v>133</v>
      </c>
      <c r="L2896" s="153"/>
      <c r="M2896" s="136" t="str">
        <f t="shared" si="1"/>
        <v/>
      </c>
      <c r="O2896" s="141" t="s">
        <v>133</v>
      </c>
      <c r="P2896" s="136" t="str">
        <f>IFERROR(__xludf.DUMMYFUNCTION("""COMPUTED_VALUE"""),"")</f>
        <v/>
      </c>
      <c r="Q2896" s="136" t="str">
        <f>IFERROR(__xludf.DUMMYFUNCTION("""COMPUTED_VALUE"""),"")</f>
        <v/>
      </c>
      <c r="R2896" s="106" t="str">
        <f>IFERROR(__xludf.DUMMYFUNCTION("""COMPUTED_VALUE"""),"")</f>
        <v/>
      </c>
      <c r="S2896" s="106" t="str">
        <f>IFERROR(__xludf.DUMMYFUNCTION("""COMPUTED_VALUE"""),"")</f>
        <v/>
      </c>
      <c r="T2896" s="139" t="str">
        <f>IFERROR(__xludf.DUMMYFUNCTION("""COMPUTED_VALUE"""),"")</f>
        <v/>
      </c>
      <c r="U2896" s="139" t="str">
        <f>IFERROR(__xludf.DUMMYFUNCTION("""COMPUTED_VALUE"""),"")</f>
        <v/>
      </c>
      <c r="V2896" s="136" t="str">
        <f>IFERROR(__xludf.DUMMYFUNCTION("""COMPUTED_VALUE"""),"")</f>
        <v/>
      </c>
      <c r="W2896" s="106" t="str">
        <f>IFERROR(__xludf.DUMMYFUNCTION("""COMPUTED_VALUE"""),"")</f>
        <v/>
      </c>
      <c r="X2896" s="143" t="str">
        <f t="shared" si="2"/>
        <v/>
      </c>
      <c r="Y2896" s="139" t="str">
        <f>IFERROR(__xludf.DUMMYFUNCTION("""COMPUTED_VALUE"""),"")</f>
        <v/>
      </c>
      <c r="Z2896" s="141" t="str">
        <f>IFERROR(__xludf.DUMMYFUNCTION("""COMPUTED_VALUE"""),"")</f>
        <v/>
      </c>
    </row>
    <row r="2897">
      <c r="D2897" s="136" t="str">
        <f t="shared" si="3"/>
        <v/>
      </c>
      <c r="E2897" s="152"/>
      <c r="F2897" s="106" t="s">
        <v>133</v>
      </c>
      <c r="G2897" s="152"/>
      <c r="H2897" s="106" t="s">
        <v>133</v>
      </c>
      <c r="J2897" s="139" t="s">
        <v>133</v>
      </c>
      <c r="K2897" s="136" t="s">
        <v>133</v>
      </c>
      <c r="L2897" s="153"/>
      <c r="M2897" s="136" t="str">
        <f t="shared" si="1"/>
        <v/>
      </c>
      <c r="O2897" s="141" t="s">
        <v>133</v>
      </c>
      <c r="P2897" s="136" t="str">
        <f>IFERROR(__xludf.DUMMYFUNCTION("""COMPUTED_VALUE"""),"")</f>
        <v/>
      </c>
      <c r="Q2897" s="136" t="str">
        <f>IFERROR(__xludf.DUMMYFUNCTION("""COMPUTED_VALUE"""),"")</f>
        <v/>
      </c>
      <c r="R2897" s="106" t="str">
        <f>IFERROR(__xludf.DUMMYFUNCTION("""COMPUTED_VALUE"""),"")</f>
        <v/>
      </c>
      <c r="S2897" s="106" t="str">
        <f>IFERROR(__xludf.DUMMYFUNCTION("""COMPUTED_VALUE"""),"")</f>
        <v/>
      </c>
      <c r="T2897" s="139" t="str">
        <f>IFERROR(__xludf.DUMMYFUNCTION("""COMPUTED_VALUE"""),"")</f>
        <v/>
      </c>
      <c r="U2897" s="139" t="str">
        <f>IFERROR(__xludf.DUMMYFUNCTION("""COMPUTED_VALUE"""),"")</f>
        <v/>
      </c>
      <c r="V2897" s="136" t="str">
        <f>IFERROR(__xludf.DUMMYFUNCTION("""COMPUTED_VALUE"""),"")</f>
        <v/>
      </c>
      <c r="W2897" s="106" t="str">
        <f>IFERROR(__xludf.DUMMYFUNCTION("""COMPUTED_VALUE"""),"")</f>
        <v/>
      </c>
      <c r="X2897" s="143" t="str">
        <f t="shared" si="2"/>
        <v/>
      </c>
      <c r="Y2897" s="139" t="str">
        <f>IFERROR(__xludf.DUMMYFUNCTION("""COMPUTED_VALUE"""),"")</f>
        <v/>
      </c>
      <c r="Z2897" s="141" t="str">
        <f>IFERROR(__xludf.DUMMYFUNCTION("""COMPUTED_VALUE"""),"")</f>
        <v/>
      </c>
    </row>
    <row r="2898">
      <c r="D2898" s="136" t="str">
        <f t="shared" si="3"/>
        <v/>
      </c>
      <c r="E2898" s="152"/>
      <c r="F2898" s="106" t="s">
        <v>133</v>
      </c>
      <c r="G2898" s="152"/>
      <c r="H2898" s="106" t="s">
        <v>133</v>
      </c>
      <c r="J2898" s="139" t="s">
        <v>133</v>
      </c>
      <c r="K2898" s="136" t="s">
        <v>133</v>
      </c>
      <c r="L2898" s="153"/>
      <c r="M2898" s="136" t="str">
        <f t="shared" si="1"/>
        <v/>
      </c>
      <c r="O2898" s="141" t="s">
        <v>133</v>
      </c>
      <c r="P2898" s="136" t="str">
        <f>IFERROR(__xludf.DUMMYFUNCTION("""COMPUTED_VALUE"""),"")</f>
        <v/>
      </c>
      <c r="Q2898" s="136" t="str">
        <f>IFERROR(__xludf.DUMMYFUNCTION("""COMPUTED_VALUE"""),"")</f>
        <v/>
      </c>
      <c r="R2898" s="106" t="str">
        <f>IFERROR(__xludf.DUMMYFUNCTION("""COMPUTED_VALUE"""),"")</f>
        <v/>
      </c>
      <c r="S2898" s="106" t="str">
        <f>IFERROR(__xludf.DUMMYFUNCTION("""COMPUTED_VALUE"""),"")</f>
        <v/>
      </c>
      <c r="T2898" s="139" t="str">
        <f>IFERROR(__xludf.DUMMYFUNCTION("""COMPUTED_VALUE"""),"")</f>
        <v/>
      </c>
      <c r="U2898" s="139" t="str">
        <f>IFERROR(__xludf.DUMMYFUNCTION("""COMPUTED_VALUE"""),"")</f>
        <v/>
      </c>
      <c r="V2898" s="136" t="str">
        <f>IFERROR(__xludf.DUMMYFUNCTION("""COMPUTED_VALUE"""),"")</f>
        <v/>
      </c>
      <c r="W2898" s="106" t="str">
        <f>IFERROR(__xludf.DUMMYFUNCTION("""COMPUTED_VALUE"""),"")</f>
        <v/>
      </c>
      <c r="X2898" s="143" t="str">
        <f t="shared" si="2"/>
        <v/>
      </c>
      <c r="Y2898" s="139" t="str">
        <f>IFERROR(__xludf.DUMMYFUNCTION("""COMPUTED_VALUE"""),"")</f>
        <v/>
      </c>
      <c r="Z2898" s="141" t="str">
        <f>IFERROR(__xludf.DUMMYFUNCTION("""COMPUTED_VALUE"""),"")</f>
        <v/>
      </c>
    </row>
    <row r="2899">
      <c r="D2899" s="136" t="str">
        <f t="shared" si="3"/>
        <v/>
      </c>
      <c r="E2899" s="152"/>
      <c r="F2899" s="106" t="s">
        <v>133</v>
      </c>
      <c r="G2899" s="152"/>
      <c r="H2899" s="106" t="s">
        <v>133</v>
      </c>
      <c r="J2899" s="139" t="s">
        <v>133</v>
      </c>
      <c r="K2899" s="136" t="s">
        <v>133</v>
      </c>
      <c r="L2899" s="153"/>
      <c r="M2899" s="136" t="str">
        <f t="shared" si="1"/>
        <v/>
      </c>
      <c r="O2899" s="141" t="s">
        <v>133</v>
      </c>
      <c r="P2899" s="136" t="str">
        <f>IFERROR(__xludf.DUMMYFUNCTION("""COMPUTED_VALUE"""),"")</f>
        <v/>
      </c>
      <c r="Q2899" s="136" t="str">
        <f>IFERROR(__xludf.DUMMYFUNCTION("""COMPUTED_VALUE"""),"")</f>
        <v/>
      </c>
      <c r="R2899" s="106" t="str">
        <f>IFERROR(__xludf.DUMMYFUNCTION("""COMPUTED_VALUE"""),"")</f>
        <v/>
      </c>
      <c r="S2899" s="106" t="str">
        <f>IFERROR(__xludf.DUMMYFUNCTION("""COMPUTED_VALUE"""),"")</f>
        <v/>
      </c>
      <c r="T2899" s="139" t="str">
        <f>IFERROR(__xludf.DUMMYFUNCTION("""COMPUTED_VALUE"""),"")</f>
        <v/>
      </c>
      <c r="U2899" s="139" t="str">
        <f>IFERROR(__xludf.DUMMYFUNCTION("""COMPUTED_VALUE"""),"")</f>
        <v/>
      </c>
      <c r="V2899" s="136" t="str">
        <f>IFERROR(__xludf.DUMMYFUNCTION("""COMPUTED_VALUE"""),"")</f>
        <v/>
      </c>
      <c r="W2899" s="106" t="str">
        <f>IFERROR(__xludf.DUMMYFUNCTION("""COMPUTED_VALUE"""),"")</f>
        <v/>
      </c>
      <c r="X2899" s="143" t="str">
        <f t="shared" si="2"/>
        <v/>
      </c>
      <c r="Y2899" s="139" t="str">
        <f>IFERROR(__xludf.DUMMYFUNCTION("""COMPUTED_VALUE"""),"")</f>
        <v/>
      </c>
      <c r="Z2899" s="141" t="str">
        <f>IFERROR(__xludf.DUMMYFUNCTION("""COMPUTED_VALUE"""),"")</f>
        <v/>
      </c>
    </row>
    <row r="2900">
      <c r="D2900" s="136" t="str">
        <f t="shared" si="3"/>
        <v/>
      </c>
      <c r="E2900" s="152"/>
      <c r="F2900" s="106" t="s">
        <v>133</v>
      </c>
      <c r="G2900" s="152"/>
      <c r="H2900" s="106" t="s">
        <v>133</v>
      </c>
      <c r="J2900" s="139" t="s">
        <v>133</v>
      </c>
      <c r="K2900" s="136" t="s">
        <v>133</v>
      </c>
      <c r="L2900" s="153"/>
      <c r="M2900" s="136" t="str">
        <f t="shared" si="1"/>
        <v/>
      </c>
      <c r="O2900" s="141" t="s">
        <v>133</v>
      </c>
      <c r="P2900" s="136" t="str">
        <f>IFERROR(__xludf.DUMMYFUNCTION("""COMPUTED_VALUE"""),"")</f>
        <v/>
      </c>
      <c r="Q2900" s="136" t="str">
        <f>IFERROR(__xludf.DUMMYFUNCTION("""COMPUTED_VALUE"""),"")</f>
        <v/>
      </c>
      <c r="R2900" s="106" t="str">
        <f>IFERROR(__xludf.DUMMYFUNCTION("""COMPUTED_VALUE"""),"")</f>
        <v/>
      </c>
      <c r="S2900" s="106" t="str">
        <f>IFERROR(__xludf.DUMMYFUNCTION("""COMPUTED_VALUE"""),"")</f>
        <v/>
      </c>
      <c r="T2900" s="139" t="str">
        <f>IFERROR(__xludf.DUMMYFUNCTION("""COMPUTED_VALUE"""),"")</f>
        <v/>
      </c>
      <c r="U2900" s="139" t="str">
        <f>IFERROR(__xludf.DUMMYFUNCTION("""COMPUTED_VALUE"""),"")</f>
        <v/>
      </c>
      <c r="V2900" s="136" t="str">
        <f>IFERROR(__xludf.DUMMYFUNCTION("""COMPUTED_VALUE"""),"")</f>
        <v/>
      </c>
      <c r="W2900" s="106" t="str">
        <f>IFERROR(__xludf.DUMMYFUNCTION("""COMPUTED_VALUE"""),"")</f>
        <v/>
      </c>
      <c r="X2900" s="143" t="str">
        <f t="shared" si="2"/>
        <v/>
      </c>
      <c r="Y2900" s="139" t="str">
        <f>IFERROR(__xludf.DUMMYFUNCTION("""COMPUTED_VALUE"""),"")</f>
        <v/>
      </c>
      <c r="Z2900" s="141" t="str">
        <f>IFERROR(__xludf.DUMMYFUNCTION("""COMPUTED_VALUE"""),"")</f>
        <v/>
      </c>
    </row>
    <row r="2901">
      <c r="D2901" s="136" t="str">
        <f t="shared" si="3"/>
        <v/>
      </c>
      <c r="E2901" s="152"/>
      <c r="F2901" s="106" t="s">
        <v>133</v>
      </c>
      <c r="G2901" s="152"/>
      <c r="H2901" s="106" t="s">
        <v>133</v>
      </c>
      <c r="J2901" s="139" t="s">
        <v>133</v>
      </c>
      <c r="K2901" s="136" t="s">
        <v>133</v>
      </c>
      <c r="L2901" s="153"/>
      <c r="M2901" s="136" t="str">
        <f t="shared" si="1"/>
        <v/>
      </c>
      <c r="O2901" s="141" t="s">
        <v>133</v>
      </c>
      <c r="P2901" s="136" t="str">
        <f>IFERROR(__xludf.DUMMYFUNCTION("""COMPUTED_VALUE"""),"")</f>
        <v/>
      </c>
      <c r="Q2901" s="136" t="str">
        <f>IFERROR(__xludf.DUMMYFUNCTION("""COMPUTED_VALUE"""),"")</f>
        <v/>
      </c>
      <c r="R2901" s="106" t="str">
        <f>IFERROR(__xludf.DUMMYFUNCTION("""COMPUTED_VALUE"""),"")</f>
        <v/>
      </c>
      <c r="S2901" s="106" t="str">
        <f>IFERROR(__xludf.DUMMYFUNCTION("""COMPUTED_VALUE"""),"")</f>
        <v/>
      </c>
      <c r="T2901" s="139" t="str">
        <f>IFERROR(__xludf.DUMMYFUNCTION("""COMPUTED_VALUE"""),"")</f>
        <v/>
      </c>
      <c r="U2901" s="139" t="str">
        <f>IFERROR(__xludf.DUMMYFUNCTION("""COMPUTED_VALUE"""),"")</f>
        <v/>
      </c>
      <c r="V2901" s="136" t="str">
        <f>IFERROR(__xludf.DUMMYFUNCTION("""COMPUTED_VALUE"""),"")</f>
        <v/>
      </c>
      <c r="W2901" s="106" t="str">
        <f>IFERROR(__xludf.DUMMYFUNCTION("""COMPUTED_VALUE"""),"")</f>
        <v/>
      </c>
      <c r="X2901" s="143" t="str">
        <f t="shared" si="2"/>
        <v/>
      </c>
      <c r="Y2901" s="139" t="str">
        <f>IFERROR(__xludf.DUMMYFUNCTION("""COMPUTED_VALUE"""),"")</f>
        <v/>
      </c>
      <c r="Z2901" s="141" t="str">
        <f>IFERROR(__xludf.DUMMYFUNCTION("""COMPUTED_VALUE"""),"")</f>
        <v/>
      </c>
    </row>
    <row r="2902">
      <c r="D2902" s="136" t="str">
        <f t="shared" si="3"/>
        <v/>
      </c>
      <c r="E2902" s="152"/>
      <c r="F2902" s="106" t="s">
        <v>133</v>
      </c>
      <c r="G2902" s="152"/>
      <c r="H2902" s="106" t="s">
        <v>133</v>
      </c>
      <c r="J2902" s="139" t="s">
        <v>133</v>
      </c>
      <c r="K2902" s="136" t="s">
        <v>133</v>
      </c>
      <c r="L2902" s="153"/>
      <c r="M2902" s="136" t="str">
        <f t="shared" si="1"/>
        <v/>
      </c>
      <c r="O2902" s="141" t="s">
        <v>133</v>
      </c>
      <c r="P2902" s="136" t="str">
        <f>IFERROR(__xludf.DUMMYFUNCTION("""COMPUTED_VALUE"""),"")</f>
        <v/>
      </c>
      <c r="Q2902" s="136" t="str">
        <f>IFERROR(__xludf.DUMMYFUNCTION("""COMPUTED_VALUE"""),"")</f>
        <v/>
      </c>
      <c r="R2902" s="106" t="str">
        <f>IFERROR(__xludf.DUMMYFUNCTION("""COMPUTED_VALUE"""),"")</f>
        <v/>
      </c>
      <c r="S2902" s="106" t="str">
        <f>IFERROR(__xludf.DUMMYFUNCTION("""COMPUTED_VALUE"""),"")</f>
        <v/>
      </c>
      <c r="T2902" s="139" t="str">
        <f>IFERROR(__xludf.DUMMYFUNCTION("""COMPUTED_VALUE"""),"")</f>
        <v/>
      </c>
      <c r="U2902" s="139" t="str">
        <f>IFERROR(__xludf.DUMMYFUNCTION("""COMPUTED_VALUE"""),"")</f>
        <v/>
      </c>
      <c r="V2902" s="136" t="str">
        <f>IFERROR(__xludf.DUMMYFUNCTION("""COMPUTED_VALUE"""),"")</f>
        <v/>
      </c>
      <c r="W2902" s="106" t="str">
        <f>IFERROR(__xludf.DUMMYFUNCTION("""COMPUTED_VALUE"""),"")</f>
        <v/>
      </c>
      <c r="X2902" s="143" t="str">
        <f t="shared" si="2"/>
        <v/>
      </c>
      <c r="Y2902" s="139" t="str">
        <f>IFERROR(__xludf.DUMMYFUNCTION("""COMPUTED_VALUE"""),"")</f>
        <v/>
      </c>
      <c r="Z2902" s="141" t="str">
        <f>IFERROR(__xludf.DUMMYFUNCTION("""COMPUTED_VALUE"""),"")</f>
        <v/>
      </c>
    </row>
    <row r="2903">
      <c r="D2903" s="136" t="str">
        <f t="shared" si="3"/>
        <v/>
      </c>
      <c r="E2903" s="152"/>
      <c r="F2903" s="106" t="s">
        <v>133</v>
      </c>
      <c r="G2903" s="152"/>
      <c r="H2903" s="106" t="s">
        <v>133</v>
      </c>
      <c r="J2903" s="139" t="s">
        <v>133</v>
      </c>
      <c r="K2903" s="136" t="s">
        <v>133</v>
      </c>
      <c r="L2903" s="153"/>
      <c r="M2903" s="136" t="str">
        <f t="shared" si="1"/>
        <v/>
      </c>
      <c r="O2903" s="141" t="s">
        <v>133</v>
      </c>
      <c r="P2903" s="136" t="str">
        <f>IFERROR(__xludf.DUMMYFUNCTION("""COMPUTED_VALUE"""),"")</f>
        <v/>
      </c>
      <c r="Q2903" s="136" t="str">
        <f>IFERROR(__xludf.DUMMYFUNCTION("""COMPUTED_VALUE"""),"")</f>
        <v/>
      </c>
      <c r="R2903" s="106" t="str">
        <f>IFERROR(__xludf.DUMMYFUNCTION("""COMPUTED_VALUE"""),"")</f>
        <v/>
      </c>
      <c r="S2903" s="106" t="str">
        <f>IFERROR(__xludf.DUMMYFUNCTION("""COMPUTED_VALUE"""),"")</f>
        <v/>
      </c>
      <c r="T2903" s="139" t="str">
        <f>IFERROR(__xludf.DUMMYFUNCTION("""COMPUTED_VALUE"""),"")</f>
        <v/>
      </c>
      <c r="U2903" s="139" t="str">
        <f>IFERROR(__xludf.DUMMYFUNCTION("""COMPUTED_VALUE"""),"")</f>
        <v/>
      </c>
      <c r="V2903" s="136" t="str">
        <f>IFERROR(__xludf.DUMMYFUNCTION("""COMPUTED_VALUE"""),"")</f>
        <v/>
      </c>
      <c r="W2903" s="106" t="str">
        <f>IFERROR(__xludf.DUMMYFUNCTION("""COMPUTED_VALUE"""),"")</f>
        <v/>
      </c>
      <c r="X2903" s="143" t="str">
        <f t="shared" si="2"/>
        <v/>
      </c>
      <c r="Y2903" s="139" t="str">
        <f>IFERROR(__xludf.DUMMYFUNCTION("""COMPUTED_VALUE"""),"")</f>
        <v/>
      </c>
      <c r="Z2903" s="141" t="str">
        <f>IFERROR(__xludf.DUMMYFUNCTION("""COMPUTED_VALUE"""),"")</f>
        <v/>
      </c>
    </row>
    <row r="2904">
      <c r="D2904" s="136" t="str">
        <f t="shared" si="3"/>
        <v/>
      </c>
      <c r="E2904" s="152"/>
      <c r="F2904" s="106" t="s">
        <v>133</v>
      </c>
      <c r="G2904" s="152"/>
      <c r="H2904" s="106" t="s">
        <v>133</v>
      </c>
      <c r="J2904" s="139" t="s">
        <v>133</v>
      </c>
      <c r="K2904" s="136" t="s">
        <v>133</v>
      </c>
      <c r="L2904" s="153"/>
      <c r="M2904" s="136" t="str">
        <f t="shared" si="1"/>
        <v/>
      </c>
      <c r="O2904" s="141" t="s">
        <v>133</v>
      </c>
      <c r="P2904" s="136" t="str">
        <f>IFERROR(__xludf.DUMMYFUNCTION("""COMPUTED_VALUE"""),"")</f>
        <v/>
      </c>
      <c r="Q2904" s="136" t="str">
        <f>IFERROR(__xludf.DUMMYFUNCTION("""COMPUTED_VALUE"""),"")</f>
        <v/>
      </c>
      <c r="R2904" s="106" t="str">
        <f>IFERROR(__xludf.DUMMYFUNCTION("""COMPUTED_VALUE"""),"")</f>
        <v/>
      </c>
      <c r="S2904" s="106" t="str">
        <f>IFERROR(__xludf.DUMMYFUNCTION("""COMPUTED_VALUE"""),"")</f>
        <v/>
      </c>
      <c r="T2904" s="139" t="str">
        <f>IFERROR(__xludf.DUMMYFUNCTION("""COMPUTED_VALUE"""),"")</f>
        <v/>
      </c>
      <c r="U2904" s="139" t="str">
        <f>IFERROR(__xludf.DUMMYFUNCTION("""COMPUTED_VALUE"""),"")</f>
        <v/>
      </c>
      <c r="V2904" s="136" t="str">
        <f>IFERROR(__xludf.DUMMYFUNCTION("""COMPUTED_VALUE"""),"")</f>
        <v/>
      </c>
      <c r="W2904" s="106" t="str">
        <f>IFERROR(__xludf.DUMMYFUNCTION("""COMPUTED_VALUE"""),"")</f>
        <v/>
      </c>
      <c r="X2904" s="143" t="str">
        <f t="shared" si="2"/>
        <v/>
      </c>
      <c r="Y2904" s="139" t="str">
        <f>IFERROR(__xludf.DUMMYFUNCTION("""COMPUTED_VALUE"""),"")</f>
        <v/>
      </c>
      <c r="Z2904" s="141" t="str">
        <f>IFERROR(__xludf.DUMMYFUNCTION("""COMPUTED_VALUE"""),"")</f>
        <v/>
      </c>
    </row>
    <row r="2905">
      <c r="D2905" s="136" t="str">
        <f t="shared" si="3"/>
        <v/>
      </c>
      <c r="E2905" s="152"/>
      <c r="F2905" s="106" t="s">
        <v>133</v>
      </c>
      <c r="G2905" s="152"/>
      <c r="H2905" s="106" t="s">
        <v>133</v>
      </c>
      <c r="J2905" s="139" t="s">
        <v>133</v>
      </c>
      <c r="K2905" s="136" t="s">
        <v>133</v>
      </c>
      <c r="L2905" s="153"/>
      <c r="M2905" s="136" t="str">
        <f t="shared" si="1"/>
        <v/>
      </c>
      <c r="O2905" s="141" t="s">
        <v>133</v>
      </c>
      <c r="P2905" s="136" t="str">
        <f>IFERROR(__xludf.DUMMYFUNCTION("""COMPUTED_VALUE"""),"")</f>
        <v/>
      </c>
      <c r="Q2905" s="136" t="str">
        <f>IFERROR(__xludf.DUMMYFUNCTION("""COMPUTED_VALUE"""),"")</f>
        <v/>
      </c>
      <c r="R2905" s="106" t="str">
        <f>IFERROR(__xludf.DUMMYFUNCTION("""COMPUTED_VALUE"""),"")</f>
        <v/>
      </c>
      <c r="S2905" s="106" t="str">
        <f>IFERROR(__xludf.DUMMYFUNCTION("""COMPUTED_VALUE"""),"")</f>
        <v/>
      </c>
      <c r="T2905" s="139" t="str">
        <f>IFERROR(__xludf.DUMMYFUNCTION("""COMPUTED_VALUE"""),"")</f>
        <v/>
      </c>
      <c r="U2905" s="139" t="str">
        <f>IFERROR(__xludf.DUMMYFUNCTION("""COMPUTED_VALUE"""),"")</f>
        <v/>
      </c>
      <c r="V2905" s="136" t="str">
        <f>IFERROR(__xludf.DUMMYFUNCTION("""COMPUTED_VALUE"""),"")</f>
        <v/>
      </c>
      <c r="W2905" s="106" t="str">
        <f>IFERROR(__xludf.DUMMYFUNCTION("""COMPUTED_VALUE"""),"")</f>
        <v/>
      </c>
      <c r="X2905" s="143" t="str">
        <f t="shared" si="2"/>
        <v/>
      </c>
      <c r="Y2905" s="139" t="str">
        <f>IFERROR(__xludf.DUMMYFUNCTION("""COMPUTED_VALUE"""),"")</f>
        <v/>
      </c>
      <c r="Z2905" s="141" t="str">
        <f>IFERROR(__xludf.DUMMYFUNCTION("""COMPUTED_VALUE"""),"")</f>
        <v/>
      </c>
    </row>
    <row r="2906">
      <c r="D2906" s="136" t="str">
        <f t="shared" si="3"/>
        <v/>
      </c>
      <c r="E2906" s="152"/>
      <c r="F2906" s="106" t="s">
        <v>133</v>
      </c>
      <c r="G2906" s="152"/>
      <c r="H2906" s="106" t="s">
        <v>133</v>
      </c>
      <c r="J2906" s="139" t="s">
        <v>133</v>
      </c>
      <c r="K2906" s="136" t="s">
        <v>133</v>
      </c>
      <c r="L2906" s="153"/>
      <c r="M2906" s="136" t="str">
        <f t="shared" si="1"/>
        <v/>
      </c>
      <c r="O2906" s="141" t="s">
        <v>133</v>
      </c>
      <c r="P2906" s="136" t="str">
        <f>IFERROR(__xludf.DUMMYFUNCTION("""COMPUTED_VALUE"""),"")</f>
        <v/>
      </c>
      <c r="Q2906" s="136" t="str">
        <f>IFERROR(__xludf.DUMMYFUNCTION("""COMPUTED_VALUE"""),"")</f>
        <v/>
      </c>
      <c r="R2906" s="106" t="str">
        <f>IFERROR(__xludf.DUMMYFUNCTION("""COMPUTED_VALUE"""),"")</f>
        <v/>
      </c>
      <c r="S2906" s="106" t="str">
        <f>IFERROR(__xludf.DUMMYFUNCTION("""COMPUTED_VALUE"""),"")</f>
        <v/>
      </c>
      <c r="T2906" s="139" t="str">
        <f>IFERROR(__xludf.DUMMYFUNCTION("""COMPUTED_VALUE"""),"")</f>
        <v/>
      </c>
      <c r="U2906" s="139" t="str">
        <f>IFERROR(__xludf.DUMMYFUNCTION("""COMPUTED_VALUE"""),"")</f>
        <v/>
      </c>
      <c r="V2906" s="136" t="str">
        <f>IFERROR(__xludf.DUMMYFUNCTION("""COMPUTED_VALUE"""),"")</f>
        <v/>
      </c>
      <c r="W2906" s="106" t="str">
        <f>IFERROR(__xludf.DUMMYFUNCTION("""COMPUTED_VALUE"""),"")</f>
        <v/>
      </c>
      <c r="X2906" s="143" t="str">
        <f t="shared" si="2"/>
        <v/>
      </c>
      <c r="Y2906" s="139" t="str">
        <f>IFERROR(__xludf.DUMMYFUNCTION("""COMPUTED_VALUE"""),"")</f>
        <v/>
      </c>
      <c r="Z2906" s="141" t="str">
        <f>IFERROR(__xludf.DUMMYFUNCTION("""COMPUTED_VALUE"""),"")</f>
        <v/>
      </c>
    </row>
    <row r="2907">
      <c r="D2907" s="136" t="str">
        <f t="shared" si="3"/>
        <v/>
      </c>
      <c r="E2907" s="152"/>
      <c r="F2907" s="106" t="s">
        <v>133</v>
      </c>
      <c r="G2907" s="152"/>
      <c r="H2907" s="106" t="s">
        <v>133</v>
      </c>
      <c r="J2907" s="139" t="s">
        <v>133</v>
      </c>
      <c r="K2907" s="136" t="s">
        <v>133</v>
      </c>
      <c r="L2907" s="153"/>
      <c r="M2907" s="136" t="str">
        <f t="shared" si="1"/>
        <v/>
      </c>
      <c r="O2907" s="141" t="s">
        <v>133</v>
      </c>
      <c r="P2907" s="136" t="str">
        <f>IFERROR(__xludf.DUMMYFUNCTION("""COMPUTED_VALUE"""),"")</f>
        <v/>
      </c>
      <c r="Q2907" s="136" t="str">
        <f>IFERROR(__xludf.DUMMYFUNCTION("""COMPUTED_VALUE"""),"")</f>
        <v/>
      </c>
      <c r="R2907" s="106" t="str">
        <f>IFERROR(__xludf.DUMMYFUNCTION("""COMPUTED_VALUE"""),"")</f>
        <v/>
      </c>
      <c r="S2907" s="106" t="str">
        <f>IFERROR(__xludf.DUMMYFUNCTION("""COMPUTED_VALUE"""),"")</f>
        <v/>
      </c>
      <c r="T2907" s="139" t="str">
        <f>IFERROR(__xludf.DUMMYFUNCTION("""COMPUTED_VALUE"""),"")</f>
        <v/>
      </c>
      <c r="U2907" s="139" t="str">
        <f>IFERROR(__xludf.DUMMYFUNCTION("""COMPUTED_VALUE"""),"")</f>
        <v/>
      </c>
      <c r="V2907" s="136" t="str">
        <f>IFERROR(__xludf.DUMMYFUNCTION("""COMPUTED_VALUE"""),"")</f>
        <v/>
      </c>
      <c r="W2907" s="106" t="str">
        <f>IFERROR(__xludf.DUMMYFUNCTION("""COMPUTED_VALUE"""),"")</f>
        <v/>
      </c>
      <c r="X2907" s="143" t="str">
        <f t="shared" si="2"/>
        <v/>
      </c>
      <c r="Y2907" s="139" t="str">
        <f>IFERROR(__xludf.DUMMYFUNCTION("""COMPUTED_VALUE"""),"")</f>
        <v/>
      </c>
      <c r="Z2907" s="141" t="str">
        <f>IFERROR(__xludf.DUMMYFUNCTION("""COMPUTED_VALUE"""),"")</f>
        <v/>
      </c>
    </row>
    <row r="2908">
      <c r="D2908" s="136" t="str">
        <f t="shared" si="3"/>
        <v/>
      </c>
      <c r="E2908" s="152"/>
      <c r="F2908" s="106" t="s">
        <v>133</v>
      </c>
      <c r="G2908" s="152"/>
      <c r="H2908" s="106" t="s">
        <v>133</v>
      </c>
      <c r="J2908" s="139" t="s">
        <v>133</v>
      </c>
      <c r="K2908" s="136" t="s">
        <v>133</v>
      </c>
      <c r="L2908" s="153"/>
      <c r="M2908" s="136" t="str">
        <f t="shared" si="1"/>
        <v/>
      </c>
      <c r="O2908" s="141" t="s">
        <v>133</v>
      </c>
      <c r="P2908" s="136" t="str">
        <f>IFERROR(__xludf.DUMMYFUNCTION("""COMPUTED_VALUE"""),"")</f>
        <v/>
      </c>
      <c r="Q2908" s="136" t="str">
        <f>IFERROR(__xludf.DUMMYFUNCTION("""COMPUTED_VALUE"""),"")</f>
        <v/>
      </c>
      <c r="R2908" s="106" t="str">
        <f>IFERROR(__xludf.DUMMYFUNCTION("""COMPUTED_VALUE"""),"")</f>
        <v/>
      </c>
      <c r="S2908" s="106" t="str">
        <f>IFERROR(__xludf.DUMMYFUNCTION("""COMPUTED_VALUE"""),"")</f>
        <v/>
      </c>
      <c r="T2908" s="139" t="str">
        <f>IFERROR(__xludf.DUMMYFUNCTION("""COMPUTED_VALUE"""),"")</f>
        <v/>
      </c>
      <c r="U2908" s="139" t="str">
        <f>IFERROR(__xludf.DUMMYFUNCTION("""COMPUTED_VALUE"""),"")</f>
        <v/>
      </c>
      <c r="V2908" s="136" t="str">
        <f>IFERROR(__xludf.DUMMYFUNCTION("""COMPUTED_VALUE"""),"")</f>
        <v/>
      </c>
      <c r="W2908" s="106" t="str">
        <f>IFERROR(__xludf.DUMMYFUNCTION("""COMPUTED_VALUE"""),"")</f>
        <v/>
      </c>
      <c r="X2908" s="143" t="str">
        <f t="shared" si="2"/>
        <v/>
      </c>
      <c r="Y2908" s="139" t="str">
        <f>IFERROR(__xludf.DUMMYFUNCTION("""COMPUTED_VALUE"""),"")</f>
        <v/>
      </c>
      <c r="Z2908" s="141" t="str">
        <f>IFERROR(__xludf.DUMMYFUNCTION("""COMPUTED_VALUE"""),"")</f>
        <v/>
      </c>
    </row>
    <row r="2909">
      <c r="D2909" s="136" t="str">
        <f t="shared" si="3"/>
        <v/>
      </c>
      <c r="E2909" s="152"/>
      <c r="F2909" s="106" t="s">
        <v>133</v>
      </c>
      <c r="G2909" s="152"/>
      <c r="H2909" s="106" t="s">
        <v>133</v>
      </c>
      <c r="J2909" s="139" t="s">
        <v>133</v>
      </c>
      <c r="K2909" s="136" t="s">
        <v>133</v>
      </c>
      <c r="L2909" s="153"/>
      <c r="M2909" s="136" t="str">
        <f t="shared" si="1"/>
        <v/>
      </c>
      <c r="O2909" s="141" t="s">
        <v>133</v>
      </c>
      <c r="P2909" s="136" t="str">
        <f>IFERROR(__xludf.DUMMYFUNCTION("""COMPUTED_VALUE"""),"")</f>
        <v/>
      </c>
      <c r="Q2909" s="136" t="str">
        <f>IFERROR(__xludf.DUMMYFUNCTION("""COMPUTED_VALUE"""),"")</f>
        <v/>
      </c>
      <c r="R2909" s="106" t="str">
        <f>IFERROR(__xludf.DUMMYFUNCTION("""COMPUTED_VALUE"""),"")</f>
        <v/>
      </c>
      <c r="S2909" s="106" t="str">
        <f>IFERROR(__xludf.DUMMYFUNCTION("""COMPUTED_VALUE"""),"")</f>
        <v/>
      </c>
      <c r="T2909" s="139" t="str">
        <f>IFERROR(__xludf.DUMMYFUNCTION("""COMPUTED_VALUE"""),"")</f>
        <v/>
      </c>
      <c r="U2909" s="139" t="str">
        <f>IFERROR(__xludf.DUMMYFUNCTION("""COMPUTED_VALUE"""),"")</f>
        <v/>
      </c>
      <c r="V2909" s="136" t="str">
        <f>IFERROR(__xludf.DUMMYFUNCTION("""COMPUTED_VALUE"""),"")</f>
        <v/>
      </c>
      <c r="W2909" s="106" t="str">
        <f>IFERROR(__xludf.DUMMYFUNCTION("""COMPUTED_VALUE"""),"")</f>
        <v/>
      </c>
      <c r="X2909" s="143" t="str">
        <f t="shared" si="2"/>
        <v/>
      </c>
      <c r="Y2909" s="139" t="str">
        <f>IFERROR(__xludf.DUMMYFUNCTION("""COMPUTED_VALUE"""),"")</f>
        <v/>
      </c>
      <c r="Z2909" s="141" t="str">
        <f>IFERROR(__xludf.DUMMYFUNCTION("""COMPUTED_VALUE"""),"")</f>
        <v/>
      </c>
    </row>
    <row r="2910">
      <c r="D2910" s="136" t="str">
        <f t="shared" si="3"/>
        <v/>
      </c>
      <c r="E2910" s="152"/>
      <c r="F2910" s="106" t="s">
        <v>133</v>
      </c>
      <c r="G2910" s="152"/>
      <c r="H2910" s="106" t="s">
        <v>133</v>
      </c>
      <c r="J2910" s="139" t="s">
        <v>133</v>
      </c>
      <c r="K2910" s="136" t="s">
        <v>133</v>
      </c>
      <c r="L2910" s="153"/>
      <c r="M2910" s="136" t="str">
        <f t="shared" si="1"/>
        <v/>
      </c>
      <c r="O2910" s="141" t="s">
        <v>133</v>
      </c>
      <c r="P2910" s="136" t="str">
        <f>IFERROR(__xludf.DUMMYFUNCTION("""COMPUTED_VALUE"""),"")</f>
        <v/>
      </c>
      <c r="Q2910" s="136" t="str">
        <f>IFERROR(__xludf.DUMMYFUNCTION("""COMPUTED_VALUE"""),"")</f>
        <v/>
      </c>
      <c r="R2910" s="106" t="str">
        <f>IFERROR(__xludf.DUMMYFUNCTION("""COMPUTED_VALUE"""),"")</f>
        <v/>
      </c>
      <c r="S2910" s="106" t="str">
        <f>IFERROR(__xludf.DUMMYFUNCTION("""COMPUTED_VALUE"""),"")</f>
        <v/>
      </c>
      <c r="T2910" s="139" t="str">
        <f>IFERROR(__xludf.DUMMYFUNCTION("""COMPUTED_VALUE"""),"")</f>
        <v/>
      </c>
      <c r="U2910" s="139" t="str">
        <f>IFERROR(__xludf.DUMMYFUNCTION("""COMPUTED_VALUE"""),"")</f>
        <v/>
      </c>
      <c r="V2910" s="136" t="str">
        <f>IFERROR(__xludf.DUMMYFUNCTION("""COMPUTED_VALUE"""),"")</f>
        <v/>
      </c>
      <c r="W2910" s="106" t="str">
        <f>IFERROR(__xludf.DUMMYFUNCTION("""COMPUTED_VALUE"""),"")</f>
        <v/>
      </c>
      <c r="X2910" s="143" t="str">
        <f t="shared" si="2"/>
        <v/>
      </c>
      <c r="Y2910" s="139" t="str">
        <f>IFERROR(__xludf.DUMMYFUNCTION("""COMPUTED_VALUE"""),"")</f>
        <v/>
      </c>
      <c r="Z2910" s="141" t="str">
        <f>IFERROR(__xludf.DUMMYFUNCTION("""COMPUTED_VALUE"""),"")</f>
        <v/>
      </c>
    </row>
    <row r="2911">
      <c r="D2911" s="136" t="str">
        <f t="shared" si="3"/>
        <v/>
      </c>
      <c r="E2911" s="152"/>
      <c r="F2911" s="106" t="s">
        <v>133</v>
      </c>
      <c r="G2911" s="152"/>
      <c r="H2911" s="106" t="s">
        <v>133</v>
      </c>
      <c r="J2911" s="139" t="s">
        <v>133</v>
      </c>
      <c r="K2911" s="136" t="s">
        <v>133</v>
      </c>
      <c r="L2911" s="153"/>
      <c r="M2911" s="136" t="str">
        <f t="shared" si="1"/>
        <v/>
      </c>
      <c r="O2911" s="141" t="s">
        <v>133</v>
      </c>
      <c r="P2911" s="136" t="str">
        <f>IFERROR(__xludf.DUMMYFUNCTION("""COMPUTED_VALUE"""),"")</f>
        <v/>
      </c>
      <c r="Q2911" s="136" t="str">
        <f>IFERROR(__xludf.DUMMYFUNCTION("""COMPUTED_VALUE"""),"")</f>
        <v/>
      </c>
      <c r="R2911" s="106" t="str">
        <f>IFERROR(__xludf.DUMMYFUNCTION("""COMPUTED_VALUE"""),"")</f>
        <v/>
      </c>
      <c r="S2911" s="106" t="str">
        <f>IFERROR(__xludf.DUMMYFUNCTION("""COMPUTED_VALUE"""),"")</f>
        <v/>
      </c>
      <c r="T2911" s="139" t="str">
        <f>IFERROR(__xludf.DUMMYFUNCTION("""COMPUTED_VALUE"""),"")</f>
        <v/>
      </c>
      <c r="U2911" s="139" t="str">
        <f>IFERROR(__xludf.DUMMYFUNCTION("""COMPUTED_VALUE"""),"")</f>
        <v/>
      </c>
      <c r="V2911" s="136" t="str">
        <f>IFERROR(__xludf.DUMMYFUNCTION("""COMPUTED_VALUE"""),"")</f>
        <v/>
      </c>
      <c r="W2911" s="106" t="str">
        <f>IFERROR(__xludf.DUMMYFUNCTION("""COMPUTED_VALUE"""),"")</f>
        <v/>
      </c>
      <c r="X2911" s="143" t="str">
        <f t="shared" si="2"/>
        <v/>
      </c>
      <c r="Y2911" s="139" t="str">
        <f>IFERROR(__xludf.DUMMYFUNCTION("""COMPUTED_VALUE"""),"")</f>
        <v/>
      </c>
      <c r="Z2911" s="141" t="str">
        <f>IFERROR(__xludf.DUMMYFUNCTION("""COMPUTED_VALUE"""),"")</f>
        <v/>
      </c>
    </row>
    <row r="2912">
      <c r="D2912" s="136" t="str">
        <f t="shared" si="3"/>
        <v/>
      </c>
      <c r="E2912" s="152"/>
      <c r="F2912" s="106" t="s">
        <v>133</v>
      </c>
      <c r="G2912" s="152"/>
      <c r="H2912" s="106" t="s">
        <v>133</v>
      </c>
      <c r="J2912" s="139" t="s">
        <v>133</v>
      </c>
      <c r="K2912" s="136" t="s">
        <v>133</v>
      </c>
      <c r="L2912" s="153"/>
      <c r="M2912" s="136" t="str">
        <f t="shared" si="1"/>
        <v/>
      </c>
      <c r="O2912" s="141" t="s">
        <v>133</v>
      </c>
      <c r="P2912" s="136" t="str">
        <f>IFERROR(__xludf.DUMMYFUNCTION("""COMPUTED_VALUE"""),"")</f>
        <v/>
      </c>
      <c r="Q2912" s="136" t="str">
        <f>IFERROR(__xludf.DUMMYFUNCTION("""COMPUTED_VALUE"""),"")</f>
        <v/>
      </c>
      <c r="R2912" s="106" t="str">
        <f>IFERROR(__xludf.DUMMYFUNCTION("""COMPUTED_VALUE"""),"")</f>
        <v/>
      </c>
      <c r="S2912" s="106" t="str">
        <f>IFERROR(__xludf.DUMMYFUNCTION("""COMPUTED_VALUE"""),"")</f>
        <v/>
      </c>
      <c r="T2912" s="139" t="str">
        <f>IFERROR(__xludf.DUMMYFUNCTION("""COMPUTED_VALUE"""),"")</f>
        <v/>
      </c>
      <c r="U2912" s="139" t="str">
        <f>IFERROR(__xludf.DUMMYFUNCTION("""COMPUTED_VALUE"""),"")</f>
        <v/>
      </c>
      <c r="V2912" s="136" t="str">
        <f>IFERROR(__xludf.DUMMYFUNCTION("""COMPUTED_VALUE"""),"")</f>
        <v/>
      </c>
      <c r="W2912" s="106" t="str">
        <f>IFERROR(__xludf.DUMMYFUNCTION("""COMPUTED_VALUE"""),"")</f>
        <v/>
      </c>
      <c r="X2912" s="143" t="str">
        <f t="shared" si="2"/>
        <v/>
      </c>
      <c r="Y2912" s="139" t="str">
        <f>IFERROR(__xludf.DUMMYFUNCTION("""COMPUTED_VALUE"""),"")</f>
        <v/>
      </c>
      <c r="Z2912" s="141" t="str">
        <f>IFERROR(__xludf.DUMMYFUNCTION("""COMPUTED_VALUE"""),"")</f>
        <v/>
      </c>
    </row>
    <row r="2913">
      <c r="D2913" s="136" t="str">
        <f t="shared" si="3"/>
        <v/>
      </c>
      <c r="E2913" s="152"/>
      <c r="F2913" s="106" t="s">
        <v>133</v>
      </c>
      <c r="G2913" s="152"/>
      <c r="H2913" s="106" t="s">
        <v>133</v>
      </c>
      <c r="J2913" s="139" t="s">
        <v>133</v>
      </c>
      <c r="K2913" s="136" t="s">
        <v>133</v>
      </c>
      <c r="L2913" s="153"/>
      <c r="M2913" s="136" t="str">
        <f t="shared" si="1"/>
        <v/>
      </c>
      <c r="O2913" s="141" t="s">
        <v>133</v>
      </c>
      <c r="P2913" s="136" t="str">
        <f>IFERROR(__xludf.DUMMYFUNCTION("""COMPUTED_VALUE"""),"")</f>
        <v/>
      </c>
      <c r="Q2913" s="136" t="str">
        <f>IFERROR(__xludf.DUMMYFUNCTION("""COMPUTED_VALUE"""),"")</f>
        <v/>
      </c>
      <c r="R2913" s="106" t="str">
        <f>IFERROR(__xludf.DUMMYFUNCTION("""COMPUTED_VALUE"""),"")</f>
        <v/>
      </c>
      <c r="S2913" s="106" t="str">
        <f>IFERROR(__xludf.DUMMYFUNCTION("""COMPUTED_VALUE"""),"")</f>
        <v/>
      </c>
      <c r="T2913" s="139" t="str">
        <f>IFERROR(__xludf.DUMMYFUNCTION("""COMPUTED_VALUE"""),"")</f>
        <v/>
      </c>
      <c r="U2913" s="139" t="str">
        <f>IFERROR(__xludf.DUMMYFUNCTION("""COMPUTED_VALUE"""),"")</f>
        <v/>
      </c>
      <c r="V2913" s="136" t="str">
        <f>IFERROR(__xludf.DUMMYFUNCTION("""COMPUTED_VALUE"""),"")</f>
        <v/>
      </c>
      <c r="W2913" s="106" t="str">
        <f>IFERROR(__xludf.DUMMYFUNCTION("""COMPUTED_VALUE"""),"")</f>
        <v/>
      </c>
      <c r="X2913" s="143" t="str">
        <f t="shared" si="2"/>
        <v/>
      </c>
      <c r="Y2913" s="139" t="str">
        <f>IFERROR(__xludf.DUMMYFUNCTION("""COMPUTED_VALUE"""),"")</f>
        <v/>
      </c>
      <c r="Z2913" s="141" t="str">
        <f>IFERROR(__xludf.DUMMYFUNCTION("""COMPUTED_VALUE"""),"")</f>
        <v/>
      </c>
    </row>
    <row r="2914">
      <c r="D2914" s="136" t="str">
        <f t="shared" si="3"/>
        <v/>
      </c>
      <c r="E2914" s="152"/>
      <c r="F2914" s="106" t="s">
        <v>133</v>
      </c>
      <c r="G2914" s="152"/>
      <c r="H2914" s="106" t="s">
        <v>133</v>
      </c>
      <c r="J2914" s="139" t="s">
        <v>133</v>
      </c>
      <c r="K2914" s="136" t="s">
        <v>133</v>
      </c>
      <c r="L2914" s="153"/>
      <c r="M2914" s="136" t="str">
        <f t="shared" si="1"/>
        <v/>
      </c>
      <c r="O2914" s="141" t="s">
        <v>133</v>
      </c>
      <c r="P2914" s="136" t="str">
        <f>IFERROR(__xludf.DUMMYFUNCTION("""COMPUTED_VALUE"""),"")</f>
        <v/>
      </c>
      <c r="Q2914" s="136" t="str">
        <f>IFERROR(__xludf.DUMMYFUNCTION("""COMPUTED_VALUE"""),"")</f>
        <v/>
      </c>
      <c r="R2914" s="106" t="str">
        <f>IFERROR(__xludf.DUMMYFUNCTION("""COMPUTED_VALUE"""),"")</f>
        <v/>
      </c>
      <c r="S2914" s="106" t="str">
        <f>IFERROR(__xludf.DUMMYFUNCTION("""COMPUTED_VALUE"""),"")</f>
        <v/>
      </c>
      <c r="T2914" s="139" t="str">
        <f>IFERROR(__xludf.DUMMYFUNCTION("""COMPUTED_VALUE"""),"")</f>
        <v/>
      </c>
      <c r="U2914" s="139" t="str">
        <f>IFERROR(__xludf.DUMMYFUNCTION("""COMPUTED_VALUE"""),"")</f>
        <v/>
      </c>
      <c r="V2914" s="136" t="str">
        <f>IFERROR(__xludf.DUMMYFUNCTION("""COMPUTED_VALUE"""),"")</f>
        <v/>
      </c>
      <c r="W2914" s="106" t="str">
        <f>IFERROR(__xludf.DUMMYFUNCTION("""COMPUTED_VALUE"""),"")</f>
        <v/>
      </c>
      <c r="X2914" s="143" t="str">
        <f t="shared" si="2"/>
        <v/>
      </c>
      <c r="Y2914" s="139" t="str">
        <f>IFERROR(__xludf.DUMMYFUNCTION("""COMPUTED_VALUE"""),"")</f>
        <v/>
      </c>
      <c r="Z2914" s="141" t="str">
        <f>IFERROR(__xludf.DUMMYFUNCTION("""COMPUTED_VALUE"""),"")</f>
        <v/>
      </c>
    </row>
    <row r="2915">
      <c r="D2915" s="136" t="str">
        <f t="shared" si="3"/>
        <v/>
      </c>
      <c r="E2915" s="152"/>
      <c r="F2915" s="106" t="s">
        <v>133</v>
      </c>
      <c r="G2915" s="152"/>
      <c r="H2915" s="106" t="s">
        <v>133</v>
      </c>
      <c r="J2915" s="139" t="s">
        <v>133</v>
      </c>
      <c r="K2915" s="136" t="s">
        <v>133</v>
      </c>
      <c r="L2915" s="153"/>
      <c r="M2915" s="136" t="str">
        <f t="shared" si="1"/>
        <v/>
      </c>
      <c r="O2915" s="141" t="s">
        <v>133</v>
      </c>
      <c r="P2915" s="136" t="str">
        <f>IFERROR(__xludf.DUMMYFUNCTION("""COMPUTED_VALUE"""),"")</f>
        <v/>
      </c>
      <c r="Q2915" s="136" t="str">
        <f>IFERROR(__xludf.DUMMYFUNCTION("""COMPUTED_VALUE"""),"")</f>
        <v/>
      </c>
      <c r="R2915" s="106" t="str">
        <f>IFERROR(__xludf.DUMMYFUNCTION("""COMPUTED_VALUE"""),"")</f>
        <v/>
      </c>
      <c r="S2915" s="106" t="str">
        <f>IFERROR(__xludf.DUMMYFUNCTION("""COMPUTED_VALUE"""),"")</f>
        <v/>
      </c>
      <c r="T2915" s="139" t="str">
        <f>IFERROR(__xludf.DUMMYFUNCTION("""COMPUTED_VALUE"""),"")</f>
        <v/>
      </c>
      <c r="U2915" s="139" t="str">
        <f>IFERROR(__xludf.DUMMYFUNCTION("""COMPUTED_VALUE"""),"")</f>
        <v/>
      </c>
      <c r="V2915" s="136" t="str">
        <f>IFERROR(__xludf.DUMMYFUNCTION("""COMPUTED_VALUE"""),"")</f>
        <v/>
      </c>
      <c r="W2915" s="106" t="str">
        <f>IFERROR(__xludf.DUMMYFUNCTION("""COMPUTED_VALUE"""),"")</f>
        <v/>
      </c>
      <c r="X2915" s="143" t="str">
        <f t="shared" si="2"/>
        <v/>
      </c>
      <c r="Y2915" s="139" t="str">
        <f>IFERROR(__xludf.DUMMYFUNCTION("""COMPUTED_VALUE"""),"")</f>
        <v/>
      </c>
      <c r="Z2915" s="141" t="str">
        <f>IFERROR(__xludf.DUMMYFUNCTION("""COMPUTED_VALUE"""),"")</f>
        <v/>
      </c>
    </row>
    <row r="2916">
      <c r="D2916" s="136" t="str">
        <f t="shared" si="3"/>
        <v/>
      </c>
      <c r="E2916" s="152"/>
      <c r="F2916" s="106" t="s">
        <v>133</v>
      </c>
      <c r="G2916" s="152"/>
      <c r="H2916" s="106" t="s">
        <v>133</v>
      </c>
      <c r="J2916" s="139" t="s">
        <v>133</v>
      </c>
      <c r="K2916" s="136" t="s">
        <v>133</v>
      </c>
      <c r="L2916" s="153"/>
      <c r="M2916" s="136" t="str">
        <f t="shared" si="1"/>
        <v/>
      </c>
      <c r="O2916" s="141" t="s">
        <v>133</v>
      </c>
      <c r="P2916" s="136" t="str">
        <f>IFERROR(__xludf.DUMMYFUNCTION("""COMPUTED_VALUE"""),"")</f>
        <v/>
      </c>
      <c r="Q2916" s="136" t="str">
        <f>IFERROR(__xludf.DUMMYFUNCTION("""COMPUTED_VALUE"""),"")</f>
        <v/>
      </c>
      <c r="R2916" s="106" t="str">
        <f>IFERROR(__xludf.DUMMYFUNCTION("""COMPUTED_VALUE"""),"")</f>
        <v/>
      </c>
      <c r="S2916" s="106" t="str">
        <f>IFERROR(__xludf.DUMMYFUNCTION("""COMPUTED_VALUE"""),"")</f>
        <v/>
      </c>
      <c r="T2916" s="139" t="str">
        <f>IFERROR(__xludf.DUMMYFUNCTION("""COMPUTED_VALUE"""),"")</f>
        <v/>
      </c>
      <c r="U2916" s="139" t="str">
        <f>IFERROR(__xludf.DUMMYFUNCTION("""COMPUTED_VALUE"""),"")</f>
        <v/>
      </c>
      <c r="V2916" s="136" t="str">
        <f>IFERROR(__xludf.DUMMYFUNCTION("""COMPUTED_VALUE"""),"")</f>
        <v/>
      </c>
      <c r="W2916" s="106" t="str">
        <f>IFERROR(__xludf.DUMMYFUNCTION("""COMPUTED_VALUE"""),"")</f>
        <v/>
      </c>
      <c r="X2916" s="143" t="str">
        <f t="shared" si="2"/>
        <v/>
      </c>
      <c r="Y2916" s="139" t="str">
        <f>IFERROR(__xludf.DUMMYFUNCTION("""COMPUTED_VALUE"""),"")</f>
        <v/>
      </c>
      <c r="Z2916" s="141" t="str">
        <f>IFERROR(__xludf.DUMMYFUNCTION("""COMPUTED_VALUE"""),"")</f>
        <v/>
      </c>
    </row>
    <row r="2917">
      <c r="D2917" s="136" t="str">
        <f t="shared" si="3"/>
        <v/>
      </c>
      <c r="E2917" s="152"/>
      <c r="F2917" s="106" t="s">
        <v>133</v>
      </c>
      <c r="G2917" s="152"/>
      <c r="H2917" s="106" t="s">
        <v>133</v>
      </c>
      <c r="J2917" s="139" t="s">
        <v>133</v>
      </c>
      <c r="K2917" s="136" t="s">
        <v>133</v>
      </c>
      <c r="L2917" s="153"/>
      <c r="M2917" s="136" t="str">
        <f t="shared" si="1"/>
        <v/>
      </c>
      <c r="O2917" s="141" t="s">
        <v>133</v>
      </c>
      <c r="P2917" s="136" t="str">
        <f>IFERROR(__xludf.DUMMYFUNCTION("""COMPUTED_VALUE"""),"")</f>
        <v/>
      </c>
      <c r="Q2917" s="136" t="str">
        <f>IFERROR(__xludf.DUMMYFUNCTION("""COMPUTED_VALUE"""),"")</f>
        <v/>
      </c>
      <c r="R2917" s="106" t="str">
        <f>IFERROR(__xludf.DUMMYFUNCTION("""COMPUTED_VALUE"""),"")</f>
        <v/>
      </c>
      <c r="S2917" s="106" t="str">
        <f>IFERROR(__xludf.DUMMYFUNCTION("""COMPUTED_VALUE"""),"")</f>
        <v/>
      </c>
      <c r="T2917" s="139" t="str">
        <f>IFERROR(__xludf.DUMMYFUNCTION("""COMPUTED_VALUE"""),"")</f>
        <v/>
      </c>
      <c r="U2917" s="139" t="str">
        <f>IFERROR(__xludf.DUMMYFUNCTION("""COMPUTED_VALUE"""),"")</f>
        <v/>
      </c>
      <c r="V2917" s="136" t="str">
        <f>IFERROR(__xludf.DUMMYFUNCTION("""COMPUTED_VALUE"""),"")</f>
        <v/>
      </c>
      <c r="W2917" s="106" t="str">
        <f>IFERROR(__xludf.DUMMYFUNCTION("""COMPUTED_VALUE"""),"")</f>
        <v/>
      </c>
      <c r="X2917" s="143" t="str">
        <f t="shared" si="2"/>
        <v/>
      </c>
      <c r="Y2917" s="139" t="str">
        <f>IFERROR(__xludf.DUMMYFUNCTION("""COMPUTED_VALUE"""),"")</f>
        <v/>
      </c>
      <c r="Z2917" s="141" t="str">
        <f>IFERROR(__xludf.DUMMYFUNCTION("""COMPUTED_VALUE"""),"")</f>
        <v/>
      </c>
    </row>
    <row r="2918">
      <c r="D2918" s="136" t="str">
        <f t="shared" si="3"/>
        <v/>
      </c>
      <c r="E2918" s="152"/>
      <c r="F2918" s="106" t="s">
        <v>133</v>
      </c>
      <c r="G2918" s="152"/>
      <c r="H2918" s="106" t="s">
        <v>133</v>
      </c>
      <c r="J2918" s="139" t="s">
        <v>133</v>
      </c>
      <c r="K2918" s="136" t="s">
        <v>133</v>
      </c>
      <c r="L2918" s="153"/>
      <c r="M2918" s="136" t="str">
        <f t="shared" si="1"/>
        <v/>
      </c>
      <c r="O2918" s="141" t="s">
        <v>133</v>
      </c>
      <c r="P2918" s="136" t="str">
        <f>IFERROR(__xludf.DUMMYFUNCTION("""COMPUTED_VALUE"""),"")</f>
        <v/>
      </c>
      <c r="Q2918" s="136" t="str">
        <f>IFERROR(__xludf.DUMMYFUNCTION("""COMPUTED_VALUE"""),"")</f>
        <v/>
      </c>
      <c r="R2918" s="106" t="str">
        <f>IFERROR(__xludf.DUMMYFUNCTION("""COMPUTED_VALUE"""),"")</f>
        <v/>
      </c>
      <c r="S2918" s="106" t="str">
        <f>IFERROR(__xludf.DUMMYFUNCTION("""COMPUTED_VALUE"""),"")</f>
        <v/>
      </c>
      <c r="T2918" s="139" t="str">
        <f>IFERROR(__xludf.DUMMYFUNCTION("""COMPUTED_VALUE"""),"")</f>
        <v/>
      </c>
      <c r="U2918" s="139" t="str">
        <f>IFERROR(__xludf.DUMMYFUNCTION("""COMPUTED_VALUE"""),"")</f>
        <v/>
      </c>
      <c r="V2918" s="136" t="str">
        <f>IFERROR(__xludf.DUMMYFUNCTION("""COMPUTED_VALUE"""),"")</f>
        <v/>
      </c>
      <c r="W2918" s="106" t="str">
        <f>IFERROR(__xludf.DUMMYFUNCTION("""COMPUTED_VALUE"""),"")</f>
        <v/>
      </c>
      <c r="X2918" s="143" t="str">
        <f t="shared" si="2"/>
        <v/>
      </c>
      <c r="Y2918" s="139" t="str">
        <f>IFERROR(__xludf.DUMMYFUNCTION("""COMPUTED_VALUE"""),"")</f>
        <v/>
      </c>
      <c r="Z2918" s="141" t="str">
        <f>IFERROR(__xludf.DUMMYFUNCTION("""COMPUTED_VALUE"""),"")</f>
        <v/>
      </c>
    </row>
    <row r="2919">
      <c r="D2919" s="136" t="str">
        <f t="shared" si="3"/>
        <v/>
      </c>
      <c r="E2919" s="152"/>
      <c r="F2919" s="106" t="s">
        <v>133</v>
      </c>
      <c r="G2919" s="152"/>
      <c r="H2919" s="106" t="s">
        <v>133</v>
      </c>
      <c r="J2919" s="139" t="s">
        <v>133</v>
      </c>
      <c r="K2919" s="136" t="s">
        <v>133</v>
      </c>
      <c r="L2919" s="153"/>
      <c r="M2919" s="136" t="str">
        <f t="shared" si="1"/>
        <v/>
      </c>
      <c r="O2919" s="141" t="s">
        <v>133</v>
      </c>
      <c r="P2919" s="136" t="str">
        <f>IFERROR(__xludf.DUMMYFUNCTION("""COMPUTED_VALUE"""),"")</f>
        <v/>
      </c>
      <c r="Q2919" s="136" t="str">
        <f>IFERROR(__xludf.DUMMYFUNCTION("""COMPUTED_VALUE"""),"")</f>
        <v/>
      </c>
      <c r="R2919" s="106" t="str">
        <f>IFERROR(__xludf.DUMMYFUNCTION("""COMPUTED_VALUE"""),"")</f>
        <v/>
      </c>
      <c r="S2919" s="106" t="str">
        <f>IFERROR(__xludf.DUMMYFUNCTION("""COMPUTED_VALUE"""),"")</f>
        <v/>
      </c>
      <c r="T2919" s="139" t="str">
        <f>IFERROR(__xludf.DUMMYFUNCTION("""COMPUTED_VALUE"""),"")</f>
        <v/>
      </c>
      <c r="U2919" s="139" t="str">
        <f>IFERROR(__xludf.DUMMYFUNCTION("""COMPUTED_VALUE"""),"")</f>
        <v/>
      </c>
      <c r="V2919" s="136" t="str">
        <f>IFERROR(__xludf.DUMMYFUNCTION("""COMPUTED_VALUE"""),"")</f>
        <v/>
      </c>
      <c r="W2919" s="106" t="str">
        <f>IFERROR(__xludf.DUMMYFUNCTION("""COMPUTED_VALUE"""),"")</f>
        <v/>
      </c>
      <c r="X2919" s="143" t="str">
        <f t="shared" si="2"/>
        <v/>
      </c>
      <c r="Y2919" s="139" t="str">
        <f>IFERROR(__xludf.DUMMYFUNCTION("""COMPUTED_VALUE"""),"")</f>
        <v/>
      </c>
      <c r="Z2919" s="141" t="str">
        <f>IFERROR(__xludf.DUMMYFUNCTION("""COMPUTED_VALUE"""),"")</f>
        <v/>
      </c>
    </row>
    <row r="2920">
      <c r="D2920" s="136" t="str">
        <f t="shared" si="3"/>
        <v/>
      </c>
      <c r="E2920" s="152"/>
      <c r="F2920" s="106" t="s">
        <v>133</v>
      </c>
      <c r="G2920" s="152"/>
      <c r="H2920" s="106" t="s">
        <v>133</v>
      </c>
      <c r="J2920" s="139" t="s">
        <v>133</v>
      </c>
      <c r="K2920" s="136" t="s">
        <v>133</v>
      </c>
      <c r="L2920" s="153"/>
      <c r="M2920" s="136" t="str">
        <f t="shared" si="1"/>
        <v/>
      </c>
      <c r="O2920" s="141" t="s">
        <v>133</v>
      </c>
      <c r="P2920" s="136" t="str">
        <f>IFERROR(__xludf.DUMMYFUNCTION("""COMPUTED_VALUE"""),"")</f>
        <v/>
      </c>
      <c r="Q2920" s="136" t="str">
        <f>IFERROR(__xludf.DUMMYFUNCTION("""COMPUTED_VALUE"""),"")</f>
        <v/>
      </c>
      <c r="R2920" s="106" t="str">
        <f>IFERROR(__xludf.DUMMYFUNCTION("""COMPUTED_VALUE"""),"")</f>
        <v/>
      </c>
      <c r="S2920" s="106" t="str">
        <f>IFERROR(__xludf.DUMMYFUNCTION("""COMPUTED_VALUE"""),"")</f>
        <v/>
      </c>
      <c r="T2920" s="139" t="str">
        <f>IFERROR(__xludf.DUMMYFUNCTION("""COMPUTED_VALUE"""),"")</f>
        <v/>
      </c>
      <c r="U2920" s="139" t="str">
        <f>IFERROR(__xludf.DUMMYFUNCTION("""COMPUTED_VALUE"""),"")</f>
        <v/>
      </c>
      <c r="V2920" s="136" t="str">
        <f>IFERROR(__xludf.DUMMYFUNCTION("""COMPUTED_VALUE"""),"")</f>
        <v/>
      </c>
      <c r="W2920" s="106" t="str">
        <f>IFERROR(__xludf.DUMMYFUNCTION("""COMPUTED_VALUE"""),"")</f>
        <v/>
      </c>
      <c r="X2920" s="143" t="str">
        <f t="shared" si="2"/>
        <v/>
      </c>
      <c r="Y2920" s="139" t="str">
        <f>IFERROR(__xludf.DUMMYFUNCTION("""COMPUTED_VALUE"""),"")</f>
        <v/>
      </c>
      <c r="Z2920" s="141" t="str">
        <f>IFERROR(__xludf.DUMMYFUNCTION("""COMPUTED_VALUE"""),"")</f>
        <v/>
      </c>
    </row>
    <row r="2921">
      <c r="D2921" s="136" t="str">
        <f t="shared" si="3"/>
        <v/>
      </c>
      <c r="E2921" s="152"/>
      <c r="F2921" s="106" t="s">
        <v>133</v>
      </c>
      <c r="G2921" s="152"/>
      <c r="H2921" s="106" t="s">
        <v>133</v>
      </c>
      <c r="J2921" s="139" t="s">
        <v>133</v>
      </c>
      <c r="K2921" s="136" t="s">
        <v>133</v>
      </c>
      <c r="L2921" s="153"/>
      <c r="M2921" s="136" t="str">
        <f t="shared" si="1"/>
        <v/>
      </c>
      <c r="O2921" s="141" t="s">
        <v>133</v>
      </c>
      <c r="P2921" s="136" t="str">
        <f>IFERROR(__xludf.DUMMYFUNCTION("""COMPUTED_VALUE"""),"")</f>
        <v/>
      </c>
      <c r="Q2921" s="136" t="str">
        <f>IFERROR(__xludf.DUMMYFUNCTION("""COMPUTED_VALUE"""),"")</f>
        <v/>
      </c>
      <c r="R2921" s="106" t="str">
        <f>IFERROR(__xludf.DUMMYFUNCTION("""COMPUTED_VALUE"""),"")</f>
        <v/>
      </c>
      <c r="S2921" s="106" t="str">
        <f>IFERROR(__xludf.DUMMYFUNCTION("""COMPUTED_VALUE"""),"")</f>
        <v/>
      </c>
      <c r="T2921" s="139" t="str">
        <f>IFERROR(__xludf.DUMMYFUNCTION("""COMPUTED_VALUE"""),"")</f>
        <v/>
      </c>
      <c r="U2921" s="139" t="str">
        <f>IFERROR(__xludf.DUMMYFUNCTION("""COMPUTED_VALUE"""),"")</f>
        <v/>
      </c>
      <c r="V2921" s="136" t="str">
        <f>IFERROR(__xludf.DUMMYFUNCTION("""COMPUTED_VALUE"""),"")</f>
        <v/>
      </c>
      <c r="W2921" s="106" t="str">
        <f>IFERROR(__xludf.DUMMYFUNCTION("""COMPUTED_VALUE"""),"")</f>
        <v/>
      </c>
      <c r="X2921" s="143" t="str">
        <f t="shared" si="2"/>
        <v/>
      </c>
      <c r="Y2921" s="139" t="str">
        <f>IFERROR(__xludf.DUMMYFUNCTION("""COMPUTED_VALUE"""),"")</f>
        <v/>
      </c>
      <c r="Z2921" s="141" t="str">
        <f>IFERROR(__xludf.DUMMYFUNCTION("""COMPUTED_VALUE"""),"")</f>
        <v/>
      </c>
    </row>
    <row r="2922">
      <c r="D2922" s="136" t="str">
        <f t="shared" si="3"/>
        <v/>
      </c>
      <c r="E2922" s="152"/>
      <c r="F2922" s="106" t="s">
        <v>133</v>
      </c>
      <c r="G2922" s="152"/>
      <c r="H2922" s="106" t="s">
        <v>133</v>
      </c>
      <c r="J2922" s="139" t="s">
        <v>133</v>
      </c>
      <c r="K2922" s="136" t="s">
        <v>133</v>
      </c>
      <c r="L2922" s="153"/>
      <c r="M2922" s="136" t="str">
        <f t="shared" si="1"/>
        <v/>
      </c>
      <c r="O2922" s="141" t="s">
        <v>133</v>
      </c>
      <c r="P2922" s="136" t="str">
        <f>IFERROR(__xludf.DUMMYFUNCTION("""COMPUTED_VALUE"""),"")</f>
        <v/>
      </c>
      <c r="Q2922" s="136" t="str">
        <f>IFERROR(__xludf.DUMMYFUNCTION("""COMPUTED_VALUE"""),"")</f>
        <v/>
      </c>
      <c r="R2922" s="106" t="str">
        <f>IFERROR(__xludf.DUMMYFUNCTION("""COMPUTED_VALUE"""),"")</f>
        <v/>
      </c>
      <c r="S2922" s="106" t="str">
        <f>IFERROR(__xludf.DUMMYFUNCTION("""COMPUTED_VALUE"""),"")</f>
        <v/>
      </c>
      <c r="T2922" s="139" t="str">
        <f>IFERROR(__xludf.DUMMYFUNCTION("""COMPUTED_VALUE"""),"")</f>
        <v/>
      </c>
      <c r="U2922" s="139" t="str">
        <f>IFERROR(__xludf.DUMMYFUNCTION("""COMPUTED_VALUE"""),"")</f>
        <v/>
      </c>
      <c r="V2922" s="136" t="str">
        <f>IFERROR(__xludf.DUMMYFUNCTION("""COMPUTED_VALUE"""),"")</f>
        <v/>
      </c>
      <c r="W2922" s="106" t="str">
        <f>IFERROR(__xludf.DUMMYFUNCTION("""COMPUTED_VALUE"""),"")</f>
        <v/>
      </c>
      <c r="X2922" s="143" t="str">
        <f t="shared" si="2"/>
        <v/>
      </c>
      <c r="Y2922" s="139" t="str">
        <f>IFERROR(__xludf.DUMMYFUNCTION("""COMPUTED_VALUE"""),"")</f>
        <v/>
      </c>
      <c r="Z2922" s="141" t="str">
        <f>IFERROR(__xludf.DUMMYFUNCTION("""COMPUTED_VALUE"""),"")</f>
        <v/>
      </c>
    </row>
    <row r="2923">
      <c r="D2923" s="136" t="str">
        <f t="shared" si="3"/>
        <v/>
      </c>
      <c r="E2923" s="152"/>
      <c r="F2923" s="106" t="s">
        <v>133</v>
      </c>
      <c r="G2923" s="152"/>
      <c r="H2923" s="106" t="s">
        <v>133</v>
      </c>
      <c r="J2923" s="139" t="s">
        <v>133</v>
      </c>
      <c r="K2923" s="136" t="s">
        <v>133</v>
      </c>
      <c r="L2923" s="153"/>
      <c r="M2923" s="136" t="str">
        <f t="shared" si="1"/>
        <v/>
      </c>
      <c r="O2923" s="141" t="s">
        <v>133</v>
      </c>
      <c r="P2923" s="136" t="str">
        <f>IFERROR(__xludf.DUMMYFUNCTION("""COMPUTED_VALUE"""),"")</f>
        <v/>
      </c>
      <c r="Q2923" s="136" t="str">
        <f>IFERROR(__xludf.DUMMYFUNCTION("""COMPUTED_VALUE"""),"")</f>
        <v/>
      </c>
      <c r="R2923" s="106" t="str">
        <f>IFERROR(__xludf.DUMMYFUNCTION("""COMPUTED_VALUE"""),"")</f>
        <v/>
      </c>
      <c r="S2923" s="106" t="str">
        <f>IFERROR(__xludf.DUMMYFUNCTION("""COMPUTED_VALUE"""),"")</f>
        <v/>
      </c>
      <c r="T2923" s="139" t="str">
        <f>IFERROR(__xludf.DUMMYFUNCTION("""COMPUTED_VALUE"""),"")</f>
        <v/>
      </c>
      <c r="U2923" s="139" t="str">
        <f>IFERROR(__xludf.DUMMYFUNCTION("""COMPUTED_VALUE"""),"")</f>
        <v/>
      </c>
      <c r="V2923" s="136" t="str">
        <f>IFERROR(__xludf.DUMMYFUNCTION("""COMPUTED_VALUE"""),"")</f>
        <v/>
      </c>
      <c r="W2923" s="106" t="str">
        <f>IFERROR(__xludf.DUMMYFUNCTION("""COMPUTED_VALUE"""),"")</f>
        <v/>
      </c>
      <c r="X2923" s="143" t="str">
        <f t="shared" si="2"/>
        <v/>
      </c>
      <c r="Y2923" s="139" t="str">
        <f>IFERROR(__xludf.DUMMYFUNCTION("""COMPUTED_VALUE"""),"")</f>
        <v/>
      </c>
      <c r="Z2923" s="141" t="str">
        <f>IFERROR(__xludf.DUMMYFUNCTION("""COMPUTED_VALUE"""),"")</f>
        <v/>
      </c>
    </row>
    <row r="2924">
      <c r="D2924" s="136" t="str">
        <f t="shared" si="3"/>
        <v/>
      </c>
      <c r="E2924" s="152"/>
      <c r="F2924" s="106" t="s">
        <v>133</v>
      </c>
      <c r="G2924" s="152"/>
      <c r="H2924" s="106" t="s">
        <v>133</v>
      </c>
      <c r="J2924" s="139" t="s">
        <v>133</v>
      </c>
      <c r="K2924" s="136" t="s">
        <v>133</v>
      </c>
      <c r="L2924" s="153"/>
      <c r="M2924" s="136" t="str">
        <f t="shared" si="1"/>
        <v/>
      </c>
      <c r="O2924" s="141" t="s">
        <v>133</v>
      </c>
      <c r="P2924" s="136" t="str">
        <f>IFERROR(__xludf.DUMMYFUNCTION("""COMPUTED_VALUE"""),"")</f>
        <v/>
      </c>
      <c r="Q2924" s="136" t="str">
        <f>IFERROR(__xludf.DUMMYFUNCTION("""COMPUTED_VALUE"""),"")</f>
        <v/>
      </c>
      <c r="R2924" s="106" t="str">
        <f>IFERROR(__xludf.DUMMYFUNCTION("""COMPUTED_VALUE"""),"")</f>
        <v/>
      </c>
      <c r="S2924" s="106" t="str">
        <f>IFERROR(__xludf.DUMMYFUNCTION("""COMPUTED_VALUE"""),"")</f>
        <v/>
      </c>
      <c r="T2924" s="139" t="str">
        <f>IFERROR(__xludf.DUMMYFUNCTION("""COMPUTED_VALUE"""),"")</f>
        <v/>
      </c>
      <c r="U2924" s="139" t="str">
        <f>IFERROR(__xludf.DUMMYFUNCTION("""COMPUTED_VALUE"""),"")</f>
        <v/>
      </c>
      <c r="V2924" s="136" t="str">
        <f>IFERROR(__xludf.DUMMYFUNCTION("""COMPUTED_VALUE"""),"")</f>
        <v/>
      </c>
      <c r="W2924" s="106" t="str">
        <f>IFERROR(__xludf.DUMMYFUNCTION("""COMPUTED_VALUE"""),"")</f>
        <v/>
      </c>
      <c r="X2924" s="143" t="str">
        <f t="shared" si="2"/>
        <v/>
      </c>
      <c r="Y2924" s="139" t="str">
        <f>IFERROR(__xludf.DUMMYFUNCTION("""COMPUTED_VALUE"""),"")</f>
        <v/>
      </c>
      <c r="Z2924" s="141" t="str">
        <f>IFERROR(__xludf.DUMMYFUNCTION("""COMPUTED_VALUE"""),"")</f>
        <v/>
      </c>
    </row>
    <row r="2925">
      <c r="D2925" s="136" t="str">
        <f t="shared" si="3"/>
        <v/>
      </c>
      <c r="E2925" s="152"/>
      <c r="F2925" s="106" t="s">
        <v>133</v>
      </c>
      <c r="G2925" s="152"/>
      <c r="H2925" s="106" t="s">
        <v>133</v>
      </c>
      <c r="J2925" s="139" t="s">
        <v>133</v>
      </c>
      <c r="K2925" s="136" t="s">
        <v>133</v>
      </c>
      <c r="L2925" s="153"/>
      <c r="M2925" s="136" t="str">
        <f t="shared" si="1"/>
        <v/>
      </c>
      <c r="O2925" s="141" t="s">
        <v>133</v>
      </c>
      <c r="P2925" s="136" t="str">
        <f>IFERROR(__xludf.DUMMYFUNCTION("""COMPUTED_VALUE"""),"")</f>
        <v/>
      </c>
      <c r="Q2925" s="136" t="str">
        <f>IFERROR(__xludf.DUMMYFUNCTION("""COMPUTED_VALUE"""),"")</f>
        <v/>
      </c>
      <c r="R2925" s="106" t="str">
        <f>IFERROR(__xludf.DUMMYFUNCTION("""COMPUTED_VALUE"""),"")</f>
        <v/>
      </c>
      <c r="S2925" s="106" t="str">
        <f>IFERROR(__xludf.DUMMYFUNCTION("""COMPUTED_VALUE"""),"")</f>
        <v/>
      </c>
      <c r="T2925" s="139" t="str">
        <f>IFERROR(__xludf.DUMMYFUNCTION("""COMPUTED_VALUE"""),"")</f>
        <v/>
      </c>
      <c r="U2925" s="139" t="str">
        <f>IFERROR(__xludf.DUMMYFUNCTION("""COMPUTED_VALUE"""),"")</f>
        <v/>
      </c>
      <c r="V2925" s="136" t="str">
        <f>IFERROR(__xludf.DUMMYFUNCTION("""COMPUTED_VALUE"""),"")</f>
        <v/>
      </c>
      <c r="W2925" s="106" t="str">
        <f>IFERROR(__xludf.DUMMYFUNCTION("""COMPUTED_VALUE"""),"")</f>
        <v/>
      </c>
      <c r="X2925" s="143" t="str">
        <f t="shared" si="2"/>
        <v/>
      </c>
      <c r="Y2925" s="139" t="str">
        <f>IFERROR(__xludf.DUMMYFUNCTION("""COMPUTED_VALUE"""),"")</f>
        <v/>
      </c>
      <c r="Z2925" s="141" t="str">
        <f>IFERROR(__xludf.DUMMYFUNCTION("""COMPUTED_VALUE"""),"")</f>
        <v/>
      </c>
    </row>
    <row r="2926">
      <c r="D2926" s="136" t="str">
        <f t="shared" si="3"/>
        <v/>
      </c>
      <c r="E2926" s="152"/>
      <c r="F2926" s="106" t="s">
        <v>133</v>
      </c>
      <c r="G2926" s="152"/>
      <c r="H2926" s="106" t="s">
        <v>133</v>
      </c>
      <c r="J2926" s="139" t="s">
        <v>133</v>
      </c>
      <c r="K2926" s="136" t="s">
        <v>133</v>
      </c>
      <c r="L2926" s="153"/>
      <c r="M2926" s="136" t="str">
        <f t="shared" si="1"/>
        <v/>
      </c>
      <c r="O2926" s="141" t="s">
        <v>133</v>
      </c>
      <c r="P2926" s="136" t="str">
        <f>IFERROR(__xludf.DUMMYFUNCTION("""COMPUTED_VALUE"""),"")</f>
        <v/>
      </c>
      <c r="Q2926" s="136" t="str">
        <f>IFERROR(__xludf.DUMMYFUNCTION("""COMPUTED_VALUE"""),"")</f>
        <v/>
      </c>
      <c r="R2926" s="106" t="str">
        <f>IFERROR(__xludf.DUMMYFUNCTION("""COMPUTED_VALUE"""),"")</f>
        <v/>
      </c>
      <c r="S2926" s="106" t="str">
        <f>IFERROR(__xludf.DUMMYFUNCTION("""COMPUTED_VALUE"""),"")</f>
        <v/>
      </c>
      <c r="T2926" s="139" t="str">
        <f>IFERROR(__xludf.DUMMYFUNCTION("""COMPUTED_VALUE"""),"")</f>
        <v/>
      </c>
      <c r="U2926" s="139" t="str">
        <f>IFERROR(__xludf.DUMMYFUNCTION("""COMPUTED_VALUE"""),"")</f>
        <v/>
      </c>
      <c r="V2926" s="136" t="str">
        <f>IFERROR(__xludf.DUMMYFUNCTION("""COMPUTED_VALUE"""),"")</f>
        <v/>
      </c>
      <c r="W2926" s="106" t="str">
        <f>IFERROR(__xludf.DUMMYFUNCTION("""COMPUTED_VALUE"""),"")</f>
        <v/>
      </c>
      <c r="X2926" s="143" t="str">
        <f t="shared" si="2"/>
        <v/>
      </c>
      <c r="Y2926" s="139" t="str">
        <f>IFERROR(__xludf.DUMMYFUNCTION("""COMPUTED_VALUE"""),"")</f>
        <v/>
      </c>
      <c r="Z2926" s="141" t="str">
        <f>IFERROR(__xludf.DUMMYFUNCTION("""COMPUTED_VALUE"""),"")</f>
        <v/>
      </c>
    </row>
    <row r="2927">
      <c r="D2927" s="136" t="str">
        <f t="shared" si="3"/>
        <v/>
      </c>
      <c r="E2927" s="152"/>
      <c r="F2927" s="106" t="s">
        <v>133</v>
      </c>
      <c r="G2927" s="152"/>
      <c r="H2927" s="106" t="s">
        <v>133</v>
      </c>
      <c r="J2927" s="139" t="s">
        <v>133</v>
      </c>
      <c r="K2927" s="136" t="s">
        <v>133</v>
      </c>
      <c r="L2927" s="153"/>
      <c r="M2927" s="136" t="str">
        <f t="shared" si="1"/>
        <v/>
      </c>
      <c r="O2927" s="141" t="s">
        <v>133</v>
      </c>
      <c r="P2927" s="136" t="str">
        <f>IFERROR(__xludf.DUMMYFUNCTION("""COMPUTED_VALUE"""),"")</f>
        <v/>
      </c>
      <c r="Q2927" s="136" t="str">
        <f>IFERROR(__xludf.DUMMYFUNCTION("""COMPUTED_VALUE"""),"")</f>
        <v/>
      </c>
      <c r="R2927" s="106" t="str">
        <f>IFERROR(__xludf.DUMMYFUNCTION("""COMPUTED_VALUE"""),"")</f>
        <v/>
      </c>
      <c r="S2927" s="106" t="str">
        <f>IFERROR(__xludf.DUMMYFUNCTION("""COMPUTED_VALUE"""),"")</f>
        <v/>
      </c>
      <c r="T2927" s="139" t="str">
        <f>IFERROR(__xludf.DUMMYFUNCTION("""COMPUTED_VALUE"""),"")</f>
        <v/>
      </c>
      <c r="U2927" s="139" t="str">
        <f>IFERROR(__xludf.DUMMYFUNCTION("""COMPUTED_VALUE"""),"")</f>
        <v/>
      </c>
      <c r="V2927" s="136" t="str">
        <f>IFERROR(__xludf.DUMMYFUNCTION("""COMPUTED_VALUE"""),"")</f>
        <v/>
      </c>
      <c r="W2927" s="106" t="str">
        <f>IFERROR(__xludf.DUMMYFUNCTION("""COMPUTED_VALUE"""),"")</f>
        <v/>
      </c>
      <c r="X2927" s="143" t="str">
        <f t="shared" si="2"/>
        <v/>
      </c>
      <c r="Y2927" s="139" t="str">
        <f>IFERROR(__xludf.DUMMYFUNCTION("""COMPUTED_VALUE"""),"")</f>
        <v/>
      </c>
      <c r="Z2927" s="141" t="str">
        <f>IFERROR(__xludf.DUMMYFUNCTION("""COMPUTED_VALUE"""),"")</f>
        <v/>
      </c>
    </row>
    <row r="2928">
      <c r="D2928" s="136" t="str">
        <f t="shared" si="3"/>
        <v/>
      </c>
      <c r="E2928" s="152"/>
      <c r="F2928" s="106" t="s">
        <v>133</v>
      </c>
      <c r="G2928" s="152"/>
      <c r="H2928" s="106" t="s">
        <v>133</v>
      </c>
      <c r="J2928" s="139" t="s">
        <v>133</v>
      </c>
      <c r="K2928" s="136" t="s">
        <v>133</v>
      </c>
      <c r="L2928" s="153"/>
      <c r="M2928" s="136" t="str">
        <f t="shared" si="1"/>
        <v/>
      </c>
      <c r="O2928" s="141" t="s">
        <v>133</v>
      </c>
      <c r="P2928" s="136" t="str">
        <f>IFERROR(__xludf.DUMMYFUNCTION("""COMPUTED_VALUE"""),"")</f>
        <v/>
      </c>
      <c r="Q2928" s="136" t="str">
        <f>IFERROR(__xludf.DUMMYFUNCTION("""COMPUTED_VALUE"""),"")</f>
        <v/>
      </c>
      <c r="R2928" s="106" t="str">
        <f>IFERROR(__xludf.DUMMYFUNCTION("""COMPUTED_VALUE"""),"")</f>
        <v/>
      </c>
      <c r="S2928" s="106" t="str">
        <f>IFERROR(__xludf.DUMMYFUNCTION("""COMPUTED_VALUE"""),"")</f>
        <v/>
      </c>
      <c r="T2928" s="139" t="str">
        <f>IFERROR(__xludf.DUMMYFUNCTION("""COMPUTED_VALUE"""),"")</f>
        <v/>
      </c>
      <c r="U2928" s="139" t="str">
        <f>IFERROR(__xludf.DUMMYFUNCTION("""COMPUTED_VALUE"""),"")</f>
        <v/>
      </c>
      <c r="V2928" s="136" t="str">
        <f>IFERROR(__xludf.DUMMYFUNCTION("""COMPUTED_VALUE"""),"")</f>
        <v/>
      </c>
      <c r="W2928" s="106" t="str">
        <f>IFERROR(__xludf.DUMMYFUNCTION("""COMPUTED_VALUE"""),"")</f>
        <v/>
      </c>
      <c r="X2928" s="143" t="str">
        <f t="shared" si="2"/>
        <v/>
      </c>
      <c r="Y2928" s="139" t="str">
        <f>IFERROR(__xludf.DUMMYFUNCTION("""COMPUTED_VALUE"""),"")</f>
        <v/>
      </c>
      <c r="Z2928" s="141" t="str">
        <f>IFERROR(__xludf.DUMMYFUNCTION("""COMPUTED_VALUE"""),"")</f>
        <v/>
      </c>
    </row>
    <row r="2929">
      <c r="D2929" s="136" t="str">
        <f t="shared" si="3"/>
        <v/>
      </c>
      <c r="E2929" s="152"/>
      <c r="F2929" s="106" t="s">
        <v>133</v>
      </c>
      <c r="G2929" s="152"/>
      <c r="H2929" s="106" t="s">
        <v>133</v>
      </c>
      <c r="J2929" s="139" t="s">
        <v>133</v>
      </c>
      <c r="K2929" s="136" t="s">
        <v>133</v>
      </c>
      <c r="L2929" s="153"/>
      <c r="M2929" s="136" t="str">
        <f t="shared" si="1"/>
        <v/>
      </c>
      <c r="O2929" s="141" t="s">
        <v>133</v>
      </c>
      <c r="P2929" s="136" t="str">
        <f>IFERROR(__xludf.DUMMYFUNCTION("""COMPUTED_VALUE"""),"")</f>
        <v/>
      </c>
      <c r="Q2929" s="136" t="str">
        <f>IFERROR(__xludf.DUMMYFUNCTION("""COMPUTED_VALUE"""),"")</f>
        <v/>
      </c>
      <c r="R2929" s="106" t="str">
        <f>IFERROR(__xludf.DUMMYFUNCTION("""COMPUTED_VALUE"""),"")</f>
        <v/>
      </c>
      <c r="S2929" s="106" t="str">
        <f>IFERROR(__xludf.DUMMYFUNCTION("""COMPUTED_VALUE"""),"")</f>
        <v/>
      </c>
      <c r="T2929" s="139" t="str">
        <f>IFERROR(__xludf.DUMMYFUNCTION("""COMPUTED_VALUE"""),"")</f>
        <v/>
      </c>
      <c r="U2929" s="139" t="str">
        <f>IFERROR(__xludf.DUMMYFUNCTION("""COMPUTED_VALUE"""),"")</f>
        <v/>
      </c>
      <c r="V2929" s="136" t="str">
        <f>IFERROR(__xludf.DUMMYFUNCTION("""COMPUTED_VALUE"""),"")</f>
        <v/>
      </c>
      <c r="W2929" s="106" t="str">
        <f>IFERROR(__xludf.DUMMYFUNCTION("""COMPUTED_VALUE"""),"")</f>
        <v/>
      </c>
      <c r="X2929" s="143" t="str">
        <f t="shared" si="2"/>
        <v/>
      </c>
      <c r="Y2929" s="139" t="str">
        <f>IFERROR(__xludf.DUMMYFUNCTION("""COMPUTED_VALUE"""),"")</f>
        <v/>
      </c>
      <c r="Z2929" s="141" t="str">
        <f>IFERROR(__xludf.DUMMYFUNCTION("""COMPUTED_VALUE"""),"")</f>
        <v/>
      </c>
    </row>
    <row r="2930">
      <c r="D2930" s="136" t="str">
        <f t="shared" si="3"/>
        <v/>
      </c>
      <c r="E2930" s="152"/>
      <c r="F2930" s="106" t="s">
        <v>133</v>
      </c>
      <c r="G2930" s="152"/>
      <c r="H2930" s="106" t="s">
        <v>133</v>
      </c>
      <c r="J2930" s="139" t="s">
        <v>133</v>
      </c>
      <c r="K2930" s="136" t="s">
        <v>133</v>
      </c>
      <c r="L2930" s="153"/>
      <c r="M2930" s="136" t="str">
        <f t="shared" si="1"/>
        <v/>
      </c>
      <c r="O2930" s="141" t="s">
        <v>133</v>
      </c>
      <c r="P2930" s="136" t="str">
        <f>IFERROR(__xludf.DUMMYFUNCTION("""COMPUTED_VALUE"""),"")</f>
        <v/>
      </c>
      <c r="Q2930" s="136" t="str">
        <f>IFERROR(__xludf.DUMMYFUNCTION("""COMPUTED_VALUE"""),"")</f>
        <v/>
      </c>
      <c r="R2930" s="106" t="str">
        <f>IFERROR(__xludf.DUMMYFUNCTION("""COMPUTED_VALUE"""),"")</f>
        <v/>
      </c>
      <c r="S2930" s="106" t="str">
        <f>IFERROR(__xludf.DUMMYFUNCTION("""COMPUTED_VALUE"""),"")</f>
        <v/>
      </c>
      <c r="T2930" s="139" t="str">
        <f>IFERROR(__xludf.DUMMYFUNCTION("""COMPUTED_VALUE"""),"")</f>
        <v/>
      </c>
      <c r="U2930" s="139" t="str">
        <f>IFERROR(__xludf.DUMMYFUNCTION("""COMPUTED_VALUE"""),"")</f>
        <v/>
      </c>
      <c r="V2930" s="136" t="str">
        <f>IFERROR(__xludf.DUMMYFUNCTION("""COMPUTED_VALUE"""),"")</f>
        <v/>
      </c>
      <c r="W2930" s="106" t="str">
        <f>IFERROR(__xludf.DUMMYFUNCTION("""COMPUTED_VALUE"""),"")</f>
        <v/>
      </c>
      <c r="X2930" s="143" t="str">
        <f t="shared" si="2"/>
        <v/>
      </c>
      <c r="Y2930" s="139" t="str">
        <f>IFERROR(__xludf.DUMMYFUNCTION("""COMPUTED_VALUE"""),"")</f>
        <v/>
      </c>
      <c r="Z2930" s="141" t="str">
        <f>IFERROR(__xludf.DUMMYFUNCTION("""COMPUTED_VALUE"""),"")</f>
        <v/>
      </c>
    </row>
    <row r="2931">
      <c r="D2931" s="136" t="str">
        <f t="shared" si="3"/>
        <v/>
      </c>
      <c r="E2931" s="152"/>
      <c r="F2931" s="106" t="s">
        <v>133</v>
      </c>
      <c r="G2931" s="152"/>
      <c r="H2931" s="106" t="s">
        <v>133</v>
      </c>
      <c r="J2931" s="139" t="s">
        <v>133</v>
      </c>
      <c r="K2931" s="136" t="s">
        <v>133</v>
      </c>
      <c r="L2931" s="153"/>
      <c r="M2931" s="136" t="str">
        <f t="shared" si="1"/>
        <v/>
      </c>
      <c r="O2931" s="141" t="s">
        <v>133</v>
      </c>
      <c r="P2931" s="136" t="str">
        <f>IFERROR(__xludf.DUMMYFUNCTION("""COMPUTED_VALUE"""),"")</f>
        <v/>
      </c>
      <c r="Q2931" s="136" t="str">
        <f>IFERROR(__xludf.DUMMYFUNCTION("""COMPUTED_VALUE"""),"")</f>
        <v/>
      </c>
      <c r="R2931" s="106" t="str">
        <f>IFERROR(__xludf.DUMMYFUNCTION("""COMPUTED_VALUE"""),"")</f>
        <v/>
      </c>
      <c r="S2931" s="106" t="str">
        <f>IFERROR(__xludf.DUMMYFUNCTION("""COMPUTED_VALUE"""),"")</f>
        <v/>
      </c>
      <c r="T2931" s="139" t="str">
        <f>IFERROR(__xludf.DUMMYFUNCTION("""COMPUTED_VALUE"""),"")</f>
        <v/>
      </c>
      <c r="U2931" s="139" t="str">
        <f>IFERROR(__xludf.DUMMYFUNCTION("""COMPUTED_VALUE"""),"")</f>
        <v/>
      </c>
      <c r="V2931" s="136" t="str">
        <f>IFERROR(__xludf.DUMMYFUNCTION("""COMPUTED_VALUE"""),"")</f>
        <v/>
      </c>
      <c r="W2931" s="106" t="str">
        <f>IFERROR(__xludf.DUMMYFUNCTION("""COMPUTED_VALUE"""),"")</f>
        <v/>
      </c>
      <c r="X2931" s="143" t="str">
        <f t="shared" si="2"/>
        <v/>
      </c>
      <c r="Y2931" s="139" t="str">
        <f>IFERROR(__xludf.DUMMYFUNCTION("""COMPUTED_VALUE"""),"")</f>
        <v/>
      </c>
      <c r="Z2931" s="141" t="str">
        <f>IFERROR(__xludf.DUMMYFUNCTION("""COMPUTED_VALUE"""),"")</f>
        <v/>
      </c>
    </row>
    <row r="2932">
      <c r="D2932" s="136" t="str">
        <f t="shared" si="3"/>
        <v/>
      </c>
      <c r="E2932" s="152"/>
      <c r="F2932" s="106" t="s">
        <v>133</v>
      </c>
      <c r="G2932" s="152"/>
      <c r="H2932" s="106" t="s">
        <v>133</v>
      </c>
      <c r="J2932" s="139" t="s">
        <v>133</v>
      </c>
      <c r="K2932" s="136" t="s">
        <v>133</v>
      </c>
      <c r="L2932" s="153"/>
      <c r="M2932" s="136" t="str">
        <f t="shared" si="1"/>
        <v/>
      </c>
      <c r="O2932" s="141" t="s">
        <v>133</v>
      </c>
      <c r="P2932" s="136" t="str">
        <f>IFERROR(__xludf.DUMMYFUNCTION("""COMPUTED_VALUE"""),"")</f>
        <v/>
      </c>
      <c r="Q2932" s="136" t="str">
        <f>IFERROR(__xludf.DUMMYFUNCTION("""COMPUTED_VALUE"""),"")</f>
        <v/>
      </c>
      <c r="R2932" s="106" t="str">
        <f>IFERROR(__xludf.DUMMYFUNCTION("""COMPUTED_VALUE"""),"")</f>
        <v/>
      </c>
      <c r="S2932" s="106" t="str">
        <f>IFERROR(__xludf.DUMMYFUNCTION("""COMPUTED_VALUE"""),"")</f>
        <v/>
      </c>
      <c r="T2932" s="139" t="str">
        <f>IFERROR(__xludf.DUMMYFUNCTION("""COMPUTED_VALUE"""),"")</f>
        <v/>
      </c>
      <c r="U2932" s="139" t="str">
        <f>IFERROR(__xludf.DUMMYFUNCTION("""COMPUTED_VALUE"""),"")</f>
        <v/>
      </c>
      <c r="V2932" s="136" t="str">
        <f>IFERROR(__xludf.DUMMYFUNCTION("""COMPUTED_VALUE"""),"")</f>
        <v/>
      </c>
      <c r="W2932" s="106" t="str">
        <f>IFERROR(__xludf.DUMMYFUNCTION("""COMPUTED_VALUE"""),"")</f>
        <v/>
      </c>
      <c r="X2932" s="143" t="str">
        <f t="shared" si="2"/>
        <v/>
      </c>
      <c r="Y2932" s="139" t="str">
        <f>IFERROR(__xludf.DUMMYFUNCTION("""COMPUTED_VALUE"""),"")</f>
        <v/>
      </c>
      <c r="Z2932" s="141" t="str">
        <f>IFERROR(__xludf.DUMMYFUNCTION("""COMPUTED_VALUE"""),"")</f>
        <v/>
      </c>
    </row>
    <row r="2933">
      <c r="D2933" s="136" t="str">
        <f t="shared" si="3"/>
        <v/>
      </c>
      <c r="E2933" s="152"/>
      <c r="F2933" s="106" t="s">
        <v>133</v>
      </c>
      <c r="G2933" s="152"/>
      <c r="H2933" s="106" t="s">
        <v>133</v>
      </c>
      <c r="J2933" s="139" t="s">
        <v>133</v>
      </c>
      <c r="K2933" s="136" t="s">
        <v>133</v>
      </c>
      <c r="L2933" s="153"/>
      <c r="M2933" s="136" t="str">
        <f t="shared" si="1"/>
        <v/>
      </c>
      <c r="O2933" s="141" t="s">
        <v>133</v>
      </c>
      <c r="P2933" s="136" t="str">
        <f>IFERROR(__xludf.DUMMYFUNCTION("""COMPUTED_VALUE"""),"")</f>
        <v/>
      </c>
      <c r="Q2933" s="136" t="str">
        <f>IFERROR(__xludf.DUMMYFUNCTION("""COMPUTED_VALUE"""),"")</f>
        <v/>
      </c>
      <c r="R2933" s="106" t="str">
        <f>IFERROR(__xludf.DUMMYFUNCTION("""COMPUTED_VALUE"""),"")</f>
        <v/>
      </c>
      <c r="S2933" s="106" t="str">
        <f>IFERROR(__xludf.DUMMYFUNCTION("""COMPUTED_VALUE"""),"")</f>
        <v/>
      </c>
      <c r="T2933" s="139" t="str">
        <f>IFERROR(__xludf.DUMMYFUNCTION("""COMPUTED_VALUE"""),"")</f>
        <v/>
      </c>
      <c r="U2933" s="139" t="str">
        <f>IFERROR(__xludf.DUMMYFUNCTION("""COMPUTED_VALUE"""),"")</f>
        <v/>
      </c>
      <c r="V2933" s="136" t="str">
        <f>IFERROR(__xludf.DUMMYFUNCTION("""COMPUTED_VALUE"""),"")</f>
        <v/>
      </c>
      <c r="W2933" s="106" t="str">
        <f>IFERROR(__xludf.DUMMYFUNCTION("""COMPUTED_VALUE"""),"")</f>
        <v/>
      </c>
      <c r="X2933" s="143" t="str">
        <f t="shared" si="2"/>
        <v/>
      </c>
      <c r="Y2933" s="139" t="str">
        <f>IFERROR(__xludf.DUMMYFUNCTION("""COMPUTED_VALUE"""),"")</f>
        <v/>
      </c>
      <c r="Z2933" s="141" t="str">
        <f>IFERROR(__xludf.DUMMYFUNCTION("""COMPUTED_VALUE"""),"")</f>
        <v/>
      </c>
    </row>
    <row r="2934">
      <c r="D2934" s="136" t="str">
        <f t="shared" si="3"/>
        <v/>
      </c>
      <c r="E2934" s="152"/>
      <c r="F2934" s="106" t="s">
        <v>133</v>
      </c>
      <c r="G2934" s="152"/>
      <c r="H2934" s="106" t="s">
        <v>133</v>
      </c>
      <c r="J2934" s="139" t="s">
        <v>133</v>
      </c>
      <c r="K2934" s="136" t="s">
        <v>133</v>
      </c>
      <c r="L2934" s="153"/>
      <c r="M2934" s="136" t="str">
        <f t="shared" si="1"/>
        <v/>
      </c>
      <c r="O2934" s="141" t="s">
        <v>133</v>
      </c>
      <c r="P2934" s="136" t="str">
        <f>IFERROR(__xludf.DUMMYFUNCTION("""COMPUTED_VALUE"""),"")</f>
        <v/>
      </c>
      <c r="Q2934" s="136" t="str">
        <f>IFERROR(__xludf.DUMMYFUNCTION("""COMPUTED_VALUE"""),"")</f>
        <v/>
      </c>
      <c r="R2934" s="106" t="str">
        <f>IFERROR(__xludf.DUMMYFUNCTION("""COMPUTED_VALUE"""),"")</f>
        <v/>
      </c>
      <c r="S2934" s="106" t="str">
        <f>IFERROR(__xludf.DUMMYFUNCTION("""COMPUTED_VALUE"""),"")</f>
        <v/>
      </c>
      <c r="T2934" s="139" t="str">
        <f>IFERROR(__xludf.DUMMYFUNCTION("""COMPUTED_VALUE"""),"")</f>
        <v/>
      </c>
      <c r="U2934" s="139" t="str">
        <f>IFERROR(__xludf.DUMMYFUNCTION("""COMPUTED_VALUE"""),"")</f>
        <v/>
      </c>
      <c r="V2934" s="136" t="str">
        <f>IFERROR(__xludf.DUMMYFUNCTION("""COMPUTED_VALUE"""),"")</f>
        <v/>
      </c>
      <c r="W2934" s="106" t="str">
        <f>IFERROR(__xludf.DUMMYFUNCTION("""COMPUTED_VALUE"""),"")</f>
        <v/>
      </c>
      <c r="X2934" s="143" t="str">
        <f t="shared" si="2"/>
        <v/>
      </c>
      <c r="Y2934" s="139" t="str">
        <f>IFERROR(__xludf.DUMMYFUNCTION("""COMPUTED_VALUE"""),"")</f>
        <v/>
      </c>
      <c r="Z2934" s="141" t="str">
        <f>IFERROR(__xludf.DUMMYFUNCTION("""COMPUTED_VALUE"""),"")</f>
        <v/>
      </c>
    </row>
    <row r="2935">
      <c r="D2935" s="136" t="str">
        <f t="shared" si="3"/>
        <v/>
      </c>
      <c r="E2935" s="152"/>
      <c r="F2935" s="106" t="s">
        <v>133</v>
      </c>
      <c r="G2935" s="152"/>
      <c r="H2935" s="106" t="s">
        <v>133</v>
      </c>
      <c r="J2935" s="139" t="s">
        <v>133</v>
      </c>
      <c r="K2935" s="136" t="s">
        <v>133</v>
      </c>
      <c r="L2935" s="153"/>
      <c r="M2935" s="136" t="str">
        <f t="shared" si="1"/>
        <v/>
      </c>
      <c r="O2935" s="141" t="s">
        <v>133</v>
      </c>
      <c r="P2935" s="136" t="str">
        <f>IFERROR(__xludf.DUMMYFUNCTION("""COMPUTED_VALUE"""),"")</f>
        <v/>
      </c>
      <c r="Q2935" s="136" t="str">
        <f>IFERROR(__xludf.DUMMYFUNCTION("""COMPUTED_VALUE"""),"")</f>
        <v/>
      </c>
      <c r="R2935" s="106" t="str">
        <f>IFERROR(__xludf.DUMMYFUNCTION("""COMPUTED_VALUE"""),"")</f>
        <v/>
      </c>
      <c r="S2935" s="106" t="str">
        <f>IFERROR(__xludf.DUMMYFUNCTION("""COMPUTED_VALUE"""),"")</f>
        <v/>
      </c>
      <c r="T2935" s="139" t="str">
        <f>IFERROR(__xludf.DUMMYFUNCTION("""COMPUTED_VALUE"""),"")</f>
        <v/>
      </c>
      <c r="U2935" s="139" t="str">
        <f>IFERROR(__xludf.DUMMYFUNCTION("""COMPUTED_VALUE"""),"")</f>
        <v/>
      </c>
      <c r="V2935" s="136" t="str">
        <f>IFERROR(__xludf.DUMMYFUNCTION("""COMPUTED_VALUE"""),"")</f>
        <v/>
      </c>
      <c r="W2935" s="106" t="str">
        <f>IFERROR(__xludf.DUMMYFUNCTION("""COMPUTED_VALUE"""),"")</f>
        <v/>
      </c>
      <c r="X2935" s="143" t="str">
        <f t="shared" si="2"/>
        <v/>
      </c>
      <c r="Y2935" s="139" t="str">
        <f>IFERROR(__xludf.DUMMYFUNCTION("""COMPUTED_VALUE"""),"")</f>
        <v/>
      </c>
      <c r="Z2935" s="141" t="str">
        <f>IFERROR(__xludf.DUMMYFUNCTION("""COMPUTED_VALUE"""),"")</f>
        <v/>
      </c>
    </row>
    <row r="2936">
      <c r="D2936" s="136" t="str">
        <f t="shared" si="3"/>
        <v/>
      </c>
      <c r="E2936" s="152"/>
      <c r="F2936" s="106" t="s">
        <v>133</v>
      </c>
      <c r="G2936" s="152"/>
      <c r="H2936" s="106" t="s">
        <v>133</v>
      </c>
      <c r="J2936" s="139" t="s">
        <v>133</v>
      </c>
      <c r="K2936" s="136" t="s">
        <v>133</v>
      </c>
      <c r="L2936" s="153"/>
      <c r="M2936" s="136" t="str">
        <f t="shared" si="1"/>
        <v/>
      </c>
      <c r="O2936" s="141" t="s">
        <v>133</v>
      </c>
      <c r="P2936" s="136" t="str">
        <f>IFERROR(__xludf.DUMMYFUNCTION("""COMPUTED_VALUE"""),"")</f>
        <v/>
      </c>
      <c r="Q2936" s="136" t="str">
        <f>IFERROR(__xludf.DUMMYFUNCTION("""COMPUTED_VALUE"""),"")</f>
        <v/>
      </c>
      <c r="R2936" s="106" t="str">
        <f>IFERROR(__xludf.DUMMYFUNCTION("""COMPUTED_VALUE"""),"")</f>
        <v/>
      </c>
      <c r="S2936" s="106" t="str">
        <f>IFERROR(__xludf.DUMMYFUNCTION("""COMPUTED_VALUE"""),"")</f>
        <v/>
      </c>
      <c r="T2936" s="139" t="str">
        <f>IFERROR(__xludf.DUMMYFUNCTION("""COMPUTED_VALUE"""),"")</f>
        <v/>
      </c>
      <c r="U2936" s="139" t="str">
        <f>IFERROR(__xludf.DUMMYFUNCTION("""COMPUTED_VALUE"""),"")</f>
        <v/>
      </c>
      <c r="V2936" s="136" t="str">
        <f>IFERROR(__xludf.DUMMYFUNCTION("""COMPUTED_VALUE"""),"")</f>
        <v/>
      </c>
      <c r="W2936" s="106" t="str">
        <f>IFERROR(__xludf.DUMMYFUNCTION("""COMPUTED_VALUE"""),"")</f>
        <v/>
      </c>
      <c r="X2936" s="143" t="str">
        <f t="shared" si="2"/>
        <v/>
      </c>
      <c r="Y2936" s="139" t="str">
        <f>IFERROR(__xludf.DUMMYFUNCTION("""COMPUTED_VALUE"""),"")</f>
        <v/>
      </c>
      <c r="Z2936" s="141" t="str">
        <f>IFERROR(__xludf.DUMMYFUNCTION("""COMPUTED_VALUE"""),"")</f>
        <v/>
      </c>
    </row>
    <row r="2937">
      <c r="D2937" s="136" t="str">
        <f t="shared" si="3"/>
        <v/>
      </c>
      <c r="E2937" s="152"/>
      <c r="F2937" s="106" t="s">
        <v>133</v>
      </c>
      <c r="G2937" s="152"/>
      <c r="H2937" s="106" t="s">
        <v>133</v>
      </c>
      <c r="J2937" s="139" t="s">
        <v>133</v>
      </c>
      <c r="K2937" s="136" t="s">
        <v>133</v>
      </c>
      <c r="L2937" s="153"/>
      <c r="M2937" s="136" t="str">
        <f t="shared" si="1"/>
        <v/>
      </c>
      <c r="O2937" s="141" t="s">
        <v>133</v>
      </c>
      <c r="P2937" s="136" t="str">
        <f>IFERROR(__xludf.DUMMYFUNCTION("""COMPUTED_VALUE"""),"")</f>
        <v/>
      </c>
      <c r="Q2937" s="136" t="str">
        <f>IFERROR(__xludf.DUMMYFUNCTION("""COMPUTED_VALUE"""),"")</f>
        <v/>
      </c>
      <c r="R2937" s="106" t="str">
        <f>IFERROR(__xludf.DUMMYFUNCTION("""COMPUTED_VALUE"""),"")</f>
        <v/>
      </c>
      <c r="S2937" s="106" t="str">
        <f>IFERROR(__xludf.DUMMYFUNCTION("""COMPUTED_VALUE"""),"")</f>
        <v/>
      </c>
      <c r="T2937" s="139" t="str">
        <f>IFERROR(__xludf.DUMMYFUNCTION("""COMPUTED_VALUE"""),"")</f>
        <v/>
      </c>
      <c r="U2937" s="139" t="str">
        <f>IFERROR(__xludf.DUMMYFUNCTION("""COMPUTED_VALUE"""),"")</f>
        <v/>
      </c>
      <c r="V2937" s="136" t="str">
        <f>IFERROR(__xludf.DUMMYFUNCTION("""COMPUTED_VALUE"""),"")</f>
        <v/>
      </c>
      <c r="W2937" s="106" t="str">
        <f>IFERROR(__xludf.DUMMYFUNCTION("""COMPUTED_VALUE"""),"")</f>
        <v/>
      </c>
      <c r="X2937" s="143" t="str">
        <f t="shared" si="2"/>
        <v/>
      </c>
      <c r="Y2937" s="139" t="str">
        <f>IFERROR(__xludf.DUMMYFUNCTION("""COMPUTED_VALUE"""),"")</f>
        <v/>
      </c>
      <c r="Z2937" s="141" t="str">
        <f>IFERROR(__xludf.DUMMYFUNCTION("""COMPUTED_VALUE"""),"")</f>
        <v/>
      </c>
    </row>
    <row r="2938">
      <c r="D2938" s="136" t="str">
        <f t="shared" si="3"/>
        <v/>
      </c>
      <c r="E2938" s="152"/>
      <c r="F2938" s="106" t="s">
        <v>133</v>
      </c>
      <c r="G2938" s="152"/>
      <c r="H2938" s="106" t="s">
        <v>133</v>
      </c>
      <c r="J2938" s="139" t="s">
        <v>133</v>
      </c>
      <c r="K2938" s="136" t="s">
        <v>133</v>
      </c>
      <c r="L2938" s="153"/>
      <c r="M2938" s="136" t="str">
        <f t="shared" si="1"/>
        <v/>
      </c>
      <c r="O2938" s="141" t="s">
        <v>133</v>
      </c>
      <c r="P2938" s="136" t="str">
        <f>IFERROR(__xludf.DUMMYFUNCTION("""COMPUTED_VALUE"""),"")</f>
        <v/>
      </c>
      <c r="Q2938" s="136" t="str">
        <f>IFERROR(__xludf.DUMMYFUNCTION("""COMPUTED_VALUE"""),"")</f>
        <v/>
      </c>
      <c r="R2938" s="106" t="str">
        <f>IFERROR(__xludf.DUMMYFUNCTION("""COMPUTED_VALUE"""),"")</f>
        <v/>
      </c>
      <c r="S2938" s="106" t="str">
        <f>IFERROR(__xludf.DUMMYFUNCTION("""COMPUTED_VALUE"""),"")</f>
        <v/>
      </c>
      <c r="T2938" s="139" t="str">
        <f>IFERROR(__xludf.DUMMYFUNCTION("""COMPUTED_VALUE"""),"")</f>
        <v/>
      </c>
      <c r="U2938" s="139" t="str">
        <f>IFERROR(__xludf.DUMMYFUNCTION("""COMPUTED_VALUE"""),"")</f>
        <v/>
      </c>
      <c r="V2938" s="136" t="str">
        <f>IFERROR(__xludf.DUMMYFUNCTION("""COMPUTED_VALUE"""),"")</f>
        <v/>
      </c>
      <c r="W2938" s="106" t="str">
        <f>IFERROR(__xludf.DUMMYFUNCTION("""COMPUTED_VALUE"""),"")</f>
        <v/>
      </c>
      <c r="X2938" s="143" t="str">
        <f t="shared" si="2"/>
        <v/>
      </c>
      <c r="Y2938" s="139" t="str">
        <f>IFERROR(__xludf.DUMMYFUNCTION("""COMPUTED_VALUE"""),"")</f>
        <v/>
      </c>
      <c r="Z2938" s="141" t="str">
        <f>IFERROR(__xludf.DUMMYFUNCTION("""COMPUTED_VALUE"""),"")</f>
        <v/>
      </c>
    </row>
    <row r="2939">
      <c r="D2939" s="136" t="str">
        <f t="shared" si="3"/>
        <v/>
      </c>
      <c r="E2939" s="152"/>
      <c r="F2939" s="106" t="s">
        <v>133</v>
      </c>
      <c r="G2939" s="152"/>
      <c r="H2939" s="106" t="s">
        <v>133</v>
      </c>
      <c r="J2939" s="139" t="s">
        <v>133</v>
      </c>
      <c r="K2939" s="136" t="s">
        <v>133</v>
      </c>
      <c r="L2939" s="153"/>
      <c r="M2939" s="136" t="str">
        <f t="shared" si="1"/>
        <v/>
      </c>
      <c r="O2939" s="141" t="s">
        <v>133</v>
      </c>
      <c r="P2939" s="136" t="str">
        <f>IFERROR(__xludf.DUMMYFUNCTION("""COMPUTED_VALUE"""),"")</f>
        <v/>
      </c>
      <c r="Q2939" s="136" t="str">
        <f>IFERROR(__xludf.DUMMYFUNCTION("""COMPUTED_VALUE"""),"")</f>
        <v/>
      </c>
      <c r="R2939" s="106" t="str">
        <f>IFERROR(__xludf.DUMMYFUNCTION("""COMPUTED_VALUE"""),"")</f>
        <v/>
      </c>
      <c r="S2939" s="106" t="str">
        <f>IFERROR(__xludf.DUMMYFUNCTION("""COMPUTED_VALUE"""),"")</f>
        <v/>
      </c>
      <c r="T2939" s="139" t="str">
        <f>IFERROR(__xludf.DUMMYFUNCTION("""COMPUTED_VALUE"""),"")</f>
        <v/>
      </c>
      <c r="U2939" s="139" t="str">
        <f>IFERROR(__xludf.DUMMYFUNCTION("""COMPUTED_VALUE"""),"")</f>
        <v/>
      </c>
      <c r="V2939" s="136" t="str">
        <f>IFERROR(__xludf.DUMMYFUNCTION("""COMPUTED_VALUE"""),"")</f>
        <v/>
      </c>
      <c r="W2939" s="106" t="str">
        <f>IFERROR(__xludf.DUMMYFUNCTION("""COMPUTED_VALUE"""),"")</f>
        <v/>
      </c>
      <c r="X2939" s="143" t="str">
        <f t="shared" si="2"/>
        <v/>
      </c>
      <c r="Y2939" s="139" t="str">
        <f>IFERROR(__xludf.DUMMYFUNCTION("""COMPUTED_VALUE"""),"")</f>
        <v/>
      </c>
      <c r="Z2939" s="141" t="str">
        <f>IFERROR(__xludf.DUMMYFUNCTION("""COMPUTED_VALUE"""),"")</f>
        <v/>
      </c>
    </row>
    <row r="2940">
      <c r="D2940" s="136" t="str">
        <f t="shared" si="3"/>
        <v/>
      </c>
      <c r="E2940" s="152"/>
      <c r="F2940" s="106" t="s">
        <v>133</v>
      </c>
      <c r="G2940" s="152"/>
      <c r="H2940" s="106" t="s">
        <v>133</v>
      </c>
      <c r="J2940" s="139" t="s">
        <v>133</v>
      </c>
      <c r="K2940" s="136" t="s">
        <v>133</v>
      </c>
      <c r="L2940" s="153"/>
      <c r="M2940" s="136" t="str">
        <f t="shared" si="1"/>
        <v/>
      </c>
      <c r="O2940" s="141" t="s">
        <v>133</v>
      </c>
      <c r="P2940" s="136" t="str">
        <f>IFERROR(__xludf.DUMMYFUNCTION("""COMPUTED_VALUE"""),"")</f>
        <v/>
      </c>
      <c r="Q2940" s="136" t="str">
        <f>IFERROR(__xludf.DUMMYFUNCTION("""COMPUTED_VALUE"""),"")</f>
        <v/>
      </c>
      <c r="R2940" s="106" t="str">
        <f>IFERROR(__xludf.DUMMYFUNCTION("""COMPUTED_VALUE"""),"")</f>
        <v/>
      </c>
      <c r="S2940" s="106" t="str">
        <f>IFERROR(__xludf.DUMMYFUNCTION("""COMPUTED_VALUE"""),"")</f>
        <v/>
      </c>
      <c r="T2940" s="139" t="str">
        <f>IFERROR(__xludf.DUMMYFUNCTION("""COMPUTED_VALUE"""),"")</f>
        <v/>
      </c>
      <c r="U2940" s="139" t="str">
        <f>IFERROR(__xludf.DUMMYFUNCTION("""COMPUTED_VALUE"""),"")</f>
        <v/>
      </c>
      <c r="V2940" s="136" t="str">
        <f>IFERROR(__xludf.DUMMYFUNCTION("""COMPUTED_VALUE"""),"")</f>
        <v/>
      </c>
      <c r="W2940" s="106" t="str">
        <f>IFERROR(__xludf.DUMMYFUNCTION("""COMPUTED_VALUE"""),"")</f>
        <v/>
      </c>
      <c r="X2940" s="143" t="str">
        <f t="shared" si="2"/>
        <v/>
      </c>
      <c r="Y2940" s="139" t="str">
        <f>IFERROR(__xludf.DUMMYFUNCTION("""COMPUTED_VALUE"""),"")</f>
        <v/>
      </c>
      <c r="Z2940" s="141" t="str">
        <f>IFERROR(__xludf.DUMMYFUNCTION("""COMPUTED_VALUE"""),"")</f>
        <v/>
      </c>
    </row>
    <row r="2941">
      <c r="D2941" s="136" t="str">
        <f t="shared" si="3"/>
        <v/>
      </c>
      <c r="E2941" s="152"/>
      <c r="F2941" s="106" t="s">
        <v>133</v>
      </c>
      <c r="G2941" s="152"/>
      <c r="H2941" s="106" t="s">
        <v>133</v>
      </c>
      <c r="J2941" s="139" t="s">
        <v>133</v>
      </c>
      <c r="K2941" s="136" t="s">
        <v>133</v>
      </c>
      <c r="L2941" s="153"/>
      <c r="M2941" s="136" t="str">
        <f t="shared" si="1"/>
        <v/>
      </c>
      <c r="O2941" s="141" t="s">
        <v>133</v>
      </c>
      <c r="P2941" s="136" t="str">
        <f>IFERROR(__xludf.DUMMYFUNCTION("""COMPUTED_VALUE"""),"")</f>
        <v/>
      </c>
      <c r="Q2941" s="136" t="str">
        <f>IFERROR(__xludf.DUMMYFUNCTION("""COMPUTED_VALUE"""),"")</f>
        <v/>
      </c>
      <c r="R2941" s="106" t="str">
        <f>IFERROR(__xludf.DUMMYFUNCTION("""COMPUTED_VALUE"""),"")</f>
        <v/>
      </c>
      <c r="S2941" s="106" t="str">
        <f>IFERROR(__xludf.DUMMYFUNCTION("""COMPUTED_VALUE"""),"")</f>
        <v/>
      </c>
      <c r="T2941" s="139" t="str">
        <f>IFERROR(__xludf.DUMMYFUNCTION("""COMPUTED_VALUE"""),"")</f>
        <v/>
      </c>
      <c r="U2941" s="139" t="str">
        <f>IFERROR(__xludf.DUMMYFUNCTION("""COMPUTED_VALUE"""),"")</f>
        <v/>
      </c>
      <c r="V2941" s="136" t="str">
        <f>IFERROR(__xludf.DUMMYFUNCTION("""COMPUTED_VALUE"""),"")</f>
        <v/>
      </c>
      <c r="W2941" s="106" t="str">
        <f>IFERROR(__xludf.DUMMYFUNCTION("""COMPUTED_VALUE"""),"")</f>
        <v/>
      </c>
      <c r="X2941" s="143" t="str">
        <f t="shared" si="2"/>
        <v/>
      </c>
      <c r="Y2941" s="139" t="str">
        <f>IFERROR(__xludf.DUMMYFUNCTION("""COMPUTED_VALUE"""),"")</f>
        <v/>
      </c>
      <c r="Z2941" s="141" t="str">
        <f>IFERROR(__xludf.DUMMYFUNCTION("""COMPUTED_VALUE"""),"")</f>
        <v/>
      </c>
    </row>
    <row r="2942">
      <c r="D2942" s="136" t="str">
        <f t="shared" si="3"/>
        <v/>
      </c>
      <c r="E2942" s="152"/>
      <c r="F2942" s="106" t="s">
        <v>133</v>
      </c>
      <c r="G2942" s="152"/>
      <c r="H2942" s="106" t="s">
        <v>133</v>
      </c>
      <c r="J2942" s="139" t="s">
        <v>133</v>
      </c>
      <c r="K2942" s="136" t="s">
        <v>133</v>
      </c>
      <c r="L2942" s="153"/>
      <c r="M2942" s="136" t="str">
        <f t="shared" si="1"/>
        <v/>
      </c>
      <c r="O2942" s="141" t="s">
        <v>133</v>
      </c>
      <c r="P2942" s="136" t="str">
        <f>IFERROR(__xludf.DUMMYFUNCTION("""COMPUTED_VALUE"""),"")</f>
        <v/>
      </c>
      <c r="Q2942" s="136" t="str">
        <f>IFERROR(__xludf.DUMMYFUNCTION("""COMPUTED_VALUE"""),"")</f>
        <v/>
      </c>
      <c r="R2942" s="106" t="str">
        <f>IFERROR(__xludf.DUMMYFUNCTION("""COMPUTED_VALUE"""),"")</f>
        <v/>
      </c>
      <c r="S2942" s="106" t="str">
        <f>IFERROR(__xludf.DUMMYFUNCTION("""COMPUTED_VALUE"""),"")</f>
        <v/>
      </c>
      <c r="T2942" s="139" t="str">
        <f>IFERROR(__xludf.DUMMYFUNCTION("""COMPUTED_VALUE"""),"")</f>
        <v/>
      </c>
      <c r="U2942" s="139" t="str">
        <f>IFERROR(__xludf.DUMMYFUNCTION("""COMPUTED_VALUE"""),"")</f>
        <v/>
      </c>
      <c r="V2942" s="136" t="str">
        <f>IFERROR(__xludf.DUMMYFUNCTION("""COMPUTED_VALUE"""),"")</f>
        <v/>
      </c>
      <c r="W2942" s="106" t="str">
        <f>IFERROR(__xludf.DUMMYFUNCTION("""COMPUTED_VALUE"""),"")</f>
        <v/>
      </c>
      <c r="X2942" s="143" t="str">
        <f t="shared" si="2"/>
        <v/>
      </c>
      <c r="Y2942" s="139" t="str">
        <f>IFERROR(__xludf.DUMMYFUNCTION("""COMPUTED_VALUE"""),"")</f>
        <v/>
      </c>
      <c r="Z2942" s="141" t="str">
        <f>IFERROR(__xludf.DUMMYFUNCTION("""COMPUTED_VALUE"""),"")</f>
        <v/>
      </c>
    </row>
    <row r="2943">
      <c r="D2943" s="136" t="str">
        <f t="shared" si="3"/>
        <v/>
      </c>
      <c r="E2943" s="152"/>
      <c r="F2943" s="106" t="s">
        <v>133</v>
      </c>
      <c r="G2943" s="152"/>
      <c r="H2943" s="106" t="s">
        <v>133</v>
      </c>
      <c r="J2943" s="139" t="s">
        <v>133</v>
      </c>
      <c r="K2943" s="136" t="s">
        <v>133</v>
      </c>
      <c r="L2943" s="153"/>
      <c r="M2943" s="136" t="str">
        <f t="shared" si="1"/>
        <v/>
      </c>
      <c r="O2943" s="141" t="s">
        <v>133</v>
      </c>
      <c r="P2943" s="136" t="str">
        <f>IFERROR(__xludf.DUMMYFUNCTION("""COMPUTED_VALUE"""),"")</f>
        <v/>
      </c>
      <c r="Q2943" s="136" t="str">
        <f>IFERROR(__xludf.DUMMYFUNCTION("""COMPUTED_VALUE"""),"")</f>
        <v/>
      </c>
      <c r="R2943" s="106" t="str">
        <f>IFERROR(__xludf.DUMMYFUNCTION("""COMPUTED_VALUE"""),"")</f>
        <v/>
      </c>
      <c r="S2943" s="106" t="str">
        <f>IFERROR(__xludf.DUMMYFUNCTION("""COMPUTED_VALUE"""),"")</f>
        <v/>
      </c>
      <c r="T2943" s="139" t="str">
        <f>IFERROR(__xludf.DUMMYFUNCTION("""COMPUTED_VALUE"""),"")</f>
        <v/>
      </c>
      <c r="U2943" s="139" t="str">
        <f>IFERROR(__xludf.DUMMYFUNCTION("""COMPUTED_VALUE"""),"")</f>
        <v/>
      </c>
      <c r="V2943" s="136" t="str">
        <f>IFERROR(__xludf.DUMMYFUNCTION("""COMPUTED_VALUE"""),"")</f>
        <v/>
      </c>
      <c r="W2943" s="106" t="str">
        <f>IFERROR(__xludf.DUMMYFUNCTION("""COMPUTED_VALUE"""),"")</f>
        <v/>
      </c>
      <c r="X2943" s="143" t="str">
        <f t="shared" si="2"/>
        <v/>
      </c>
      <c r="Y2943" s="139" t="str">
        <f>IFERROR(__xludf.DUMMYFUNCTION("""COMPUTED_VALUE"""),"")</f>
        <v/>
      </c>
      <c r="Z2943" s="141" t="str">
        <f>IFERROR(__xludf.DUMMYFUNCTION("""COMPUTED_VALUE"""),"")</f>
        <v/>
      </c>
    </row>
    <row r="2944">
      <c r="D2944" s="136" t="str">
        <f t="shared" si="3"/>
        <v/>
      </c>
      <c r="E2944" s="152"/>
      <c r="F2944" s="106" t="s">
        <v>133</v>
      </c>
      <c r="G2944" s="152"/>
      <c r="H2944" s="106" t="s">
        <v>133</v>
      </c>
      <c r="J2944" s="139" t="s">
        <v>133</v>
      </c>
      <c r="K2944" s="136" t="s">
        <v>133</v>
      </c>
      <c r="L2944" s="153"/>
      <c r="M2944" s="136" t="str">
        <f t="shared" si="1"/>
        <v/>
      </c>
      <c r="O2944" s="141" t="s">
        <v>133</v>
      </c>
      <c r="P2944" s="136" t="str">
        <f>IFERROR(__xludf.DUMMYFUNCTION("""COMPUTED_VALUE"""),"")</f>
        <v/>
      </c>
      <c r="Q2944" s="136" t="str">
        <f>IFERROR(__xludf.DUMMYFUNCTION("""COMPUTED_VALUE"""),"")</f>
        <v/>
      </c>
      <c r="R2944" s="106" t="str">
        <f>IFERROR(__xludf.DUMMYFUNCTION("""COMPUTED_VALUE"""),"")</f>
        <v/>
      </c>
      <c r="S2944" s="106" t="str">
        <f>IFERROR(__xludf.DUMMYFUNCTION("""COMPUTED_VALUE"""),"")</f>
        <v/>
      </c>
      <c r="T2944" s="139" t="str">
        <f>IFERROR(__xludf.DUMMYFUNCTION("""COMPUTED_VALUE"""),"")</f>
        <v/>
      </c>
      <c r="U2944" s="139" t="str">
        <f>IFERROR(__xludf.DUMMYFUNCTION("""COMPUTED_VALUE"""),"")</f>
        <v/>
      </c>
      <c r="V2944" s="136" t="str">
        <f>IFERROR(__xludf.DUMMYFUNCTION("""COMPUTED_VALUE"""),"")</f>
        <v/>
      </c>
      <c r="W2944" s="106" t="str">
        <f>IFERROR(__xludf.DUMMYFUNCTION("""COMPUTED_VALUE"""),"")</f>
        <v/>
      </c>
      <c r="X2944" s="143" t="str">
        <f t="shared" si="2"/>
        <v/>
      </c>
      <c r="Y2944" s="139" t="str">
        <f>IFERROR(__xludf.DUMMYFUNCTION("""COMPUTED_VALUE"""),"")</f>
        <v/>
      </c>
      <c r="Z2944" s="141" t="str">
        <f>IFERROR(__xludf.DUMMYFUNCTION("""COMPUTED_VALUE"""),"")</f>
        <v/>
      </c>
    </row>
    <row r="2945">
      <c r="D2945" s="136" t="str">
        <f t="shared" si="3"/>
        <v/>
      </c>
      <c r="E2945" s="152"/>
      <c r="F2945" s="106" t="s">
        <v>133</v>
      </c>
      <c r="G2945" s="152"/>
      <c r="H2945" s="106" t="s">
        <v>133</v>
      </c>
      <c r="J2945" s="139" t="s">
        <v>133</v>
      </c>
      <c r="K2945" s="136" t="s">
        <v>133</v>
      </c>
      <c r="L2945" s="153"/>
      <c r="M2945" s="136" t="str">
        <f t="shared" si="1"/>
        <v/>
      </c>
      <c r="O2945" s="141" t="s">
        <v>133</v>
      </c>
      <c r="P2945" s="136" t="str">
        <f>IFERROR(__xludf.DUMMYFUNCTION("""COMPUTED_VALUE"""),"")</f>
        <v/>
      </c>
      <c r="Q2945" s="136" t="str">
        <f>IFERROR(__xludf.DUMMYFUNCTION("""COMPUTED_VALUE"""),"")</f>
        <v/>
      </c>
      <c r="R2945" s="106" t="str">
        <f>IFERROR(__xludf.DUMMYFUNCTION("""COMPUTED_VALUE"""),"")</f>
        <v/>
      </c>
      <c r="S2945" s="106" t="str">
        <f>IFERROR(__xludf.DUMMYFUNCTION("""COMPUTED_VALUE"""),"")</f>
        <v/>
      </c>
      <c r="T2945" s="139" t="str">
        <f>IFERROR(__xludf.DUMMYFUNCTION("""COMPUTED_VALUE"""),"")</f>
        <v/>
      </c>
      <c r="U2945" s="139" t="str">
        <f>IFERROR(__xludf.DUMMYFUNCTION("""COMPUTED_VALUE"""),"")</f>
        <v/>
      </c>
      <c r="V2945" s="136" t="str">
        <f>IFERROR(__xludf.DUMMYFUNCTION("""COMPUTED_VALUE"""),"")</f>
        <v/>
      </c>
      <c r="W2945" s="106" t="str">
        <f>IFERROR(__xludf.DUMMYFUNCTION("""COMPUTED_VALUE"""),"")</f>
        <v/>
      </c>
      <c r="X2945" s="143" t="str">
        <f t="shared" si="2"/>
        <v/>
      </c>
      <c r="Y2945" s="139" t="str">
        <f>IFERROR(__xludf.DUMMYFUNCTION("""COMPUTED_VALUE"""),"")</f>
        <v/>
      </c>
      <c r="Z2945" s="141" t="str">
        <f>IFERROR(__xludf.DUMMYFUNCTION("""COMPUTED_VALUE"""),"")</f>
        <v/>
      </c>
    </row>
    <row r="2946">
      <c r="D2946" s="136" t="str">
        <f t="shared" si="3"/>
        <v/>
      </c>
      <c r="E2946" s="152"/>
      <c r="F2946" s="106" t="s">
        <v>133</v>
      </c>
      <c r="G2946" s="152"/>
      <c r="H2946" s="106" t="s">
        <v>133</v>
      </c>
      <c r="J2946" s="139" t="s">
        <v>133</v>
      </c>
      <c r="K2946" s="136" t="s">
        <v>133</v>
      </c>
      <c r="L2946" s="153"/>
      <c r="M2946" s="136" t="str">
        <f t="shared" si="1"/>
        <v/>
      </c>
      <c r="O2946" s="141" t="s">
        <v>133</v>
      </c>
      <c r="P2946" s="136" t="str">
        <f>IFERROR(__xludf.DUMMYFUNCTION("""COMPUTED_VALUE"""),"")</f>
        <v/>
      </c>
      <c r="Q2946" s="136" t="str">
        <f>IFERROR(__xludf.DUMMYFUNCTION("""COMPUTED_VALUE"""),"")</f>
        <v/>
      </c>
      <c r="R2946" s="106" t="str">
        <f>IFERROR(__xludf.DUMMYFUNCTION("""COMPUTED_VALUE"""),"")</f>
        <v/>
      </c>
      <c r="S2946" s="106" t="str">
        <f>IFERROR(__xludf.DUMMYFUNCTION("""COMPUTED_VALUE"""),"")</f>
        <v/>
      </c>
      <c r="T2946" s="139" t="str">
        <f>IFERROR(__xludf.DUMMYFUNCTION("""COMPUTED_VALUE"""),"")</f>
        <v/>
      </c>
      <c r="U2946" s="139" t="str">
        <f>IFERROR(__xludf.DUMMYFUNCTION("""COMPUTED_VALUE"""),"")</f>
        <v/>
      </c>
      <c r="V2946" s="136" t="str">
        <f>IFERROR(__xludf.DUMMYFUNCTION("""COMPUTED_VALUE"""),"")</f>
        <v/>
      </c>
      <c r="W2946" s="106" t="str">
        <f>IFERROR(__xludf.DUMMYFUNCTION("""COMPUTED_VALUE"""),"")</f>
        <v/>
      </c>
      <c r="X2946" s="143" t="str">
        <f t="shared" si="2"/>
        <v/>
      </c>
      <c r="Y2946" s="139" t="str">
        <f>IFERROR(__xludf.DUMMYFUNCTION("""COMPUTED_VALUE"""),"")</f>
        <v/>
      </c>
      <c r="Z2946" s="141" t="str">
        <f>IFERROR(__xludf.DUMMYFUNCTION("""COMPUTED_VALUE"""),"")</f>
        <v/>
      </c>
    </row>
    <row r="2947">
      <c r="D2947" s="136" t="str">
        <f t="shared" si="3"/>
        <v/>
      </c>
      <c r="E2947" s="152"/>
      <c r="F2947" s="106" t="s">
        <v>133</v>
      </c>
      <c r="G2947" s="152"/>
      <c r="H2947" s="106" t="s">
        <v>133</v>
      </c>
      <c r="J2947" s="139" t="s">
        <v>133</v>
      </c>
      <c r="K2947" s="136" t="s">
        <v>133</v>
      </c>
      <c r="L2947" s="153"/>
      <c r="M2947" s="136" t="str">
        <f t="shared" si="1"/>
        <v/>
      </c>
      <c r="O2947" s="141" t="s">
        <v>133</v>
      </c>
      <c r="P2947" s="136" t="str">
        <f>IFERROR(__xludf.DUMMYFUNCTION("""COMPUTED_VALUE"""),"")</f>
        <v/>
      </c>
      <c r="Q2947" s="136" t="str">
        <f>IFERROR(__xludf.DUMMYFUNCTION("""COMPUTED_VALUE"""),"")</f>
        <v/>
      </c>
      <c r="R2947" s="106" t="str">
        <f>IFERROR(__xludf.DUMMYFUNCTION("""COMPUTED_VALUE"""),"")</f>
        <v/>
      </c>
      <c r="S2947" s="106" t="str">
        <f>IFERROR(__xludf.DUMMYFUNCTION("""COMPUTED_VALUE"""),"")</f>
        <v/>
      </c>
      <c r="T2947" s="139" t="str">
        <f>IFERROR(__xludf.DUMMYFUNCTION("""COMPUTED_VALUE"""),"")</f>
        <v/>
      </c>
      <c r="U2947" s="139" t="str">
        <f>IFERROR(__xludf.DUMMYFUNCTION("""COMPUTED_VALUE"""),"")</f>
        <v/>
      </c>
      <c r="V2947" s="136" t="str">
        <f>IFERROR(__xludf.DUMMYFUNCTION("""COMPUTED_VALUE"""),"")</f>
        <v/>
      </c>
      <c r="W2947" s="106" t="str">
        <f>IFERROR(__xludf.DUMMYFUNCTION("""COMPUTED_VALUE"""),"")</f>
        <v/>
      </c>
      <c r="X2947" s="143" t="str">
        <f t="shared" si="2"/>
        <v/>
      </c>
      <c r="Y2947" s="139" t="str">
        <f>IFERROR(__xludf.DUMMYFUNCTION("""COMPUTED_VALUE"""),"")</f>
        <v/>
      </c>
      <c r="Z2947" s="141" t="str">
        <f>IFERROR(__xludf.DUMMYFUNCTION("""COMPUTED_VALUE"""),"")</f>
        <v/>
      </c>
    </row>
    <row r="2948">
      <c r="D2948" s="136" t="str">
        <f t="shared" si="3"/>
        <v/>
      </c>
      <c r="E2948" s="152"/>
      <c r="F2948" s="106" t="s">
        <v>133</v>
      </c>
      <c r="G2948" s="152"/>
      <c r="H2948" s="106" t="s">
        <v>133</v>
      </c>
      <c r="J2948" s="139" t="s">
        <v>133</v>
      </c>
      <c r="K2948" s="136" t="s">
        <v>133</v>
      </c>
      <c r="L2948" s="153"/>
      <c r="M2948" s="136" t="str">
        <f t="shared" si="1"/>
        <v/>
      </c>
      <c r="O2948" s="141" t="s">
        <v>133</v>
      </c>
      <c r="P2948" s="136" t="str">
        <f>IFERROR(__xludf.DUMMYFUNCTION("""COMPUTED_VALUE"""),"")</f>
        <v/>
      </c>
      <c r="Q2948" s="136" t="str">
        <f>IFERROR(__xludf.DUMMYFUNCTION("""COMPUTED_VALUE"""),"")</f>
        <v/>
      </c>
      <c r="R2948" s="106" t="str">
        <f>IFERROR(__xludf.DUMMYFUNCTION("""COMPUTED_VALUE"""),"")</f>
        <v/>
      </c>
      <c r="S2948" s="106" t="str">
        <f>IFERROR(__xludf.DUMMYFUNCTION("""COMPUTED_VALUE"""),"")</f>
        <v/>
      </c>
      <c r="T2948" s="139" t="str">
        <f>IFERROR(__xludf.DUMMYFUNCTION("""COMPUTED_VALUE"""),"")</f>
        <v/>
      </c>
      <c r="U2948" s="139" t="str">
        <f>IFERROR(__xludf.DUMMYFUNCTION("""COMPUTED_VALUE"""),"")</f>
        <v/>
      </c>
      <c r="V2948" s="136" t="str">
        <f>IFERROR(__xludf.DUMMYFUNCTION("""COMPUTED_VALUE"""),"")</f>
        <v/>
      </c>
      <c r="W2948" s="106" t="str">
        <f>IFERROR(__xludf.DUMMYFUNCTION("""COMPUTED_VALUE"""),"")</f>
        <v/>
      </c>
      <c r="X2948" s="143" t="str">
        <f t="shared" si="2"/>
        <v/>
      </c>
      <c r="Y2948" s="139" t="str">
        <f>IFERROR(__xludf.DUMMYFUNCTION("""COMPUTED_VALUE"""),"")</f>
        <v/>
      </c>
      <c r="Z2948" s="141" t="str">
        <f>IFERROR(__xludf.DUMMYFUNCTION("""COMPUTED_VALUE"""),"")</f>
        <v/>
      </c>
    </row>
    <row r="2949">
      <c r="D2949" s="136" t="str">
        <f t="shared" si="3"/>
        <v/>
      </c>
      <c r="E2949" s="152"/>
      <c r="F2949" s="106" t="s">
        <v>133</v>
      </c>
      <c r="G2949" s="152"/>
      <c r="H2949" s="106" t="s">
        <v>133</v>
      </c>
      <c r="J2949" s="139" t="s">
        <v>133</v>
      </c>
      <c r="K2949" s="136" t="s">
        <v>133</v>
      </c>
      <c r="L2949" s="153"/>
      <c r="M2949" s="136" t="str">
        <f t="shared" si="1"/>
        <v/>
      </c>
      <c r="O2949" s="141" t="s">
        <v>133</v>
      </c>
      <c r="P2949" s="136" t="str">
        <f>IFERROR(__xludf.DUMMYFUNCTION("""COMPUTED_VALUE"""),"")</f>
        <v/>
      </c>
      <c r="Q2949" s="136" t="str">
        <f>IFERROR(__xludf.DUMMYFUNCTION("""COMPUTED_VALUE"""),"")</f>
        <v/>
      </c>
      <c r="R2949" s="106" t="str">
        <f>IFERROR(__xludf.DUMMYFUNCTION("""COMPUTED_VALUE"""),"")</f>
        <v/>
      </c>
      <c r="S2949" s="106" t="str">
        <f>IFERROR(__xludf.DUMMYFUNCTION("""COMPUTED_VALUE"""),"")</f>
        <v/>
      </c>
      <c r="T2949" s="139" t="str">
        <f>IFERROR(__xludf.DUMMYFUNCTION("""COMPUTED_VALUE"""),"")</f>
        <v/>
      </c>
      <c r="U2949" s="139" t="str">
        <f>IFERROR(__xludf.DUMMYFUNCTION("""COMPUTED_VALUE"""),"")</f>
        <v/>
      </c>
      <c r="V2949" s="136" t="str">
        <f>IFERROR(__xludf.DUMMYFUNCTION("""COMPUTED_VALUE"""),"")</f>
        <v/>
      </c>
      <c r="W2949" s="106" t="str">
        <f>IFERROR(__xludf.DUMMYFUNCTION("""COMPUTED_VALUE"""),"")</f>
        <v/>
      </c>
      <c r="X2949" s="143" t="str">
        <f t="shared" si="2"/>
        <v/>
      </c>
      <c r="Y2949" s="139" t="str">
        <f>IFERROR(__xludf.DUMMYFUNCTION("""COMPUTED_VALUE"""),"")</f>
        <v/>
      </c>
      <c r="Z2949" s="141" t="str">
        <f>IFERROR(__xludf.DUMMYFUNCTION("""COMPUTED_VALUE"""),"")</f>
        <v/>
      </c>
    </row>
    <row r="2950">
      <c r="D2950" s="136" t="str">
        <f t="shared" si="3"/>
        <v/>
      </c>
      <c r="E2950" s="152"/>
      <c r="F2950" s="106" t="s">
        <v>133</v>
      </c>
      <c r="G2950" s="152"/>
      <c r="H2950" s="106" t="s">
        <v>133</v>
      </c>
      <c r="J2950" s="139" t="s">
        <v>133</v>
      </c>
      <c r="K2950" s="136" t="s">
        <v>133</v>
      </c>
      <c r="L2950" s="153"/>
      <c r="M2950" s="136" t="str">
        <f t="shared" si="1"/>
        <v/>
      </c>
      <c r="O2950" s="141" t="s">
        <v>133</v>
      </c>
      <c r="P2950" s="136" t="str">
        <f>IFERROR(__xludf.DUMMYFUNCTION("""COMPUTED_VALUE"""),"")</f>
        <v/>
      </c>
      <c r="Q2950" s="136" t="str">
        <f>IFERROR(__xludf.DUMMYFUNCTION("""COMPUTED_VALUE"""),"")</f>
        <v/>
      </c>
      <c r="R2950" s="106" t="str">
        <f>IFERROR(__xludf.DUMMYFUNCTION("""COMPUTED_VALUE"""),"")</f>
        <v/>
      </c>
      <c r="S2950" s="106" t="str">
        <f>IFERROR(__xludf.DUMMYFUNCTION("""COMPUTED_VALUE"""),"")</f>
        <v/>
      </c>
      <c r="T2950" s="139" t="str">
        <f>IFERROR(__xludf.DUMMYFUNCTION("""COMPUTED_VALUE"""),"")</f>
        <v/>
      </c>
      <c r="U2950" s="139" t="str">
        <f>IFERROR(__xludf.DUMMYFUNCTION("""COMPUTED_VALUE"""),"")</f>
        <v/>
      </c>
      <c r="V2950" s="136" t="str">
        <f>IFERROR(__xludf.DUMMYFUNCTION("""COMPUTED_VALUE"""),"")</f>
        <v/>
      </c>
      <c r="W2950" s="106" t="str">
        <f>IFERROR(__xludf.DUMMYFUNCTION("""COMPUTED_VALUE"""),"")</f>
        <v/>
      </c>
      <c r="X2950" s="143" t="str">
        <f t="shared" si="2"/>
        <v/>
      </c>
      <c r="Y2950" s="139" t="str">
        <f>IFERROR(__xludf.DUMMYFUNCTION("""COMPUTED_VALUE"""),"")</f>
        <v/>
      </c>
      <c r="Z2950" s="141" t="str">
        <f>IFERROR(__xludf.DUMMYFUNCTION("""COMPUTED_VALUE"""),"")</f>
        <v/>
      </c>
    </row>
    <row r="2951">
      <c r="D2951" s="136" t="str">
        <f t="shared" si="3"/>
        <v/>
      </c>
      <c r="E2951" s="152"/>
      <c r="F2951" s="106" t="s">
        <v>133</v>
      </c>
      <c r="G2951" s="152"/>
      <c r="H2951" s="106" t="s">
        <v>133</v>
      </c>
      <c r="J2951" s="139" t="s">
        <v>133</v>
      </c>
      <c r="K2951" s="136" t="s">
        <v>133</v>
      </c>
      <c r="L2951" s="153"/>
      <c r="M2951" s="136" t="str">
        <f t="shared" si="1"/>
        <v/>
      </c>
      <c r="O2951" s="141" t="s">
        <v>133</v>
      </c>
      <c r="P2951" s="136" t="str">
        <f>IFERROR(__xludf.DUMMYFUNCTION("""COMPUTED_VALUE"""),"")</f>
        <v/>
      </c>
      <c r="Q2951" s="136" t="str">
        <f>IFERROR(__xludf.DUMMYFUNCTION("""COMPUTED_VALUE"""),"")</f>
        <v/>
      </c>
      <c r="R2951" s="106" t="str">
        <f>IFERROR(__xludf.DUMMYFUNCTION("""COMPUTED_VALUE"""),"")</f>
        <v/>
      </c>
      <c r="S2951" s="106" t="str">
        <f>IFERROR(__xludf.DUMMYFUNCTION("""COMPUTED_VALUE"""),"")</f>
        <v/>
      </c>
      <c r="T2951" s="139" t="str">
        <f>IFERROR(__xludf.DUMMYFUNCTION("""COMPUTED_VALUE"""),"")</f>
        <v/>
      </c>
      <c r="U2951" s="139" t="str">
        <f>IFERROR(__xludf.DUMMYFUNCTION("""COMPUTED_VALUE"""),"")</f>
        <v/>
      </c>
      <c r="V2951" s="136" t="str">
        <f>IFERROR(__xludf.DUMMYFUNCTION("""COMPUTED_VALUE"""),"")</f>
        <v/>
      </c>
      <c r="W2951" s="106" t="str">
        <f>IFERROR(__xludf.DUMMYFUNCTION("""COMPUTED_VALUE"""),"")</f>
        <v/>
      </c>
      <c r="X2951" s="143" t="str">
        <f t="shared" si="2"/>
        <v/>
      </c>
      <c r="Y2951" s="139" t="str">
        <f>IFERROR(__xludf.DUMMYFUNCTION("""COMPUTED_VALUE"""),"")</f>
        <v/>
      </c>
      <c r="Z2951" s="141" t="str">
        <f>IFERROR(__xludf.DUMMYFUNCTION("""COMPUTED_VALUE"""),"")</f>
        <v/>
      </c>
    </row>
    <row r="2952">
      <c r="D2952" s="136" t="str">
        <f t="shared" si="3"/>
        <v/>
      </c>
      <c r="E2952" s="152"/>
      <c r="F2952" s="106" t="s">
        <v>133</v>
      </c>
      <c r="G2952" s="152"/>
      <c r="H2952" s="106" t="s">
        <v>133</v>
      </c>
      <c r="J2952" s="139" t="s">
        <v>133</v>
      </c>
      <c r="K2952" s="136" t="s">
        <v>133</v>
      </c>
      <c r="L2952" s="153"/>
      <c r="M2952" s="136" t="str">
        <f t="shared" si="1"/>
        <v/>
      </c>
      <c r="O2952" s="141" t="s">
        <v>133</v>
      </c>
      <c r="P2952" s="136" t="str">
        <f>IFERROR(__xludf.DUMMYFUNCTION("""COMPUTED_VALUE"""),"")</f>
        <v/>
      </c>
      <c r="Q2952" s="136" t="str">
        <f>IFERROR(__xludf.DUMMYFUNCTION("""COMPUTED_VALUE"""),"")</f>
        <v/>
      </c>
      <c r="R2952" s="106" t="str">
        <f>IFERROR(__xludf.DUMMYFUNCTION("""COMPUTED_VALUE"""),"")</f>
        <v/>
      </c>
      <c r="S2952" s="106" t="str">
        <f>IFERROR(__xludf.DUMMYFUNCTION("""COMPUTED_VALUE"""),"")</f>
        <v/>
      </c>
      <c r="T2952" s="139" t="str">
        <f>IFERROR(__xludf.DUMMYFUNCTION("""COMPUTED_VALUE"""),"")</f>
        <v/>
      </c>
      <c r="U2952" s="139" t="str">
        <f>IFERROR(__xludf.DUMMYFUNCTION("""COMPUTED_VALUE"""),"")</f>
        <v/>
      </c>
      <c r="V2952" s="136" t="str">
        <f>IFERROR(__xludf.DUMMYFUNCTION("""COMPUTED_VALUE"""),"")</f>
        <v/>
      </c>
      <c r="W2952" s="106" t="str">
        <f>IFERROR(__xludf.DUMMYFUNCTION("""COMPUTED_VALUE"""),"")</f>
        <v/>
      </c>
      <c r="X2952" s="143" t="str">
        <f t="shared" si="2"/>
        <v/>
      </c>
      <c r="Y2952" s="139" t="str">
        <f>IFERROR(__xludf.DUMMYFUNCTION("""COMPUTED_VALUE"""),"")</f>
        <v/>
      </c>
      <c r="Z2952" s="141" t="str">
        <f>IFERROR(__xludf.DUMMYFUNCTION("""COMPUTED_VALUE"""),"")</f>
        <v/>
      </c>
    </row>
    <row r="2953">
      <c r="D2953" s="136" t="str">
        <f t="shared" si="3"/>
        <v/>
      </c>
      <c r="E2953" s="152"/>
      <c r="F2953" s="106" t="s">
        <v>133</v>
      </c>
      <c r="G2953" s="152"/>
      <c r="H2953" s="106" t="s">
        <v>133</v>
      </c>
      <c r="J2953" s="139" t="s">
        <v>133</v>
      </c>
      <c r="K2953" s="136" t="s">
        <v>133</v>
      </c>
      <c r="L2953" s="153"/>
      <c r="M2953" s="136" t="str">
        <f t="shared" si="1"/>
        <v/>
      </c>
      <c r="O2953" s="141" t="s">
        <v>133</v>
      </c>
      <c r="P2953" s="136" t="str">
        <f>IFERROR(__xludf.DUMMYFUNCTION("""COMPUTED_VALUE"""),"")</f>
        <v/>
      </c>
      <c r="Q2953" s="136" t="str">
        <f>IFERROR(__xludf.DUMMYFUNCTION("""COMPUTED_VALUE"""),"")</f>
        <v/>
      </c>
      <c r="R2953" s="106" t="str">
        <f>IFERROR(__xludf.DUMMYFUNCTION("""COMPUTED_VALUE"""),"")</f>
        <v/>
      </c>
      <c r="S2953" s="106" t="str">
        <f>IFERROR(__xludf.DUMMYFUNCTION("""COMPUTED_VALUE"""),"")</f>
        <v/>
      </c>
      <c r="T2953" s="139" t="str">
        <f>IFERROR(__xludf.DUMMYFUNCTION("""COMPUTED_VALUE"""),"")</f>
        <v/>
      </c>
      <c r="U2953" s="139" t="str">
        <f>IFERROR(__xludf.DUMMYFUNCTION("""COMPUTED_VALUE"""),"")</f>
        <v/>
      </c>
      <c r="V2953" s="136" t="str">
        <f>IFERROR(__xludf.DUMMYFUNCTION("""COMPUTED_VALUE"""),"")</f>
        <v/>
      </c>
      <c r="W2953" s="106" t="str">
        <f>IFERROR(__xludf.DUMMYFUNCTION("""COMPUTED_VALUE"""),"")</f>
        <v/>
      </c>
      <c r="X2953" s="143" t="str">
        <f t="shared" si="2"/>
        <v/>
      </c>
      <c r="Y2953" s="139" t="str">
        <f>IFERROR(__xludf.DUMMYFUNCTION("""COMPUTED_VALUE"""),"")</f>
        <v/>
      </c>
      <c r="Z2953" s="141" t="str">
        <f>IFERROR(__xludf.DUMMYFUNCTION("""COMPUTED_VALUE"""),"")</f>
        <v/>
      </c>
    </row>
    <row r="2954">
      <c r="D2954" s="136" t="str">
        <f t="shared" si="3"/>
        <v/>
      </c>
      <c r="E2954" s="152"/>
      <c r="F2954" s="106" t="s">
        <v>133</v>
      </c>
      <c r="G2954" s="152"/>
      <c r="H2954" s="106" t="s">
        <v>133</v>
      </c>
      <c r="J2954" s="139" t="s">
        <v>133</v>
      </c>
      <c r="K2954" s="136" t="s">
        <v>133</v>
      </c>
      <c r="L2954" s="153"/>
      <c r="M2954" s="136" t="str">
        <f t="shared" si="1"/>
        <v/>
      </c>
      <c r="O2954" s="141" t="s">
        <v>133</v>
      </c>
      <c r="P2954" s="136" t="str">
        <f>IFERROR(__xludf.DUMMYFUNCTION("""COMPUTED_VALUE"""),"")</f>
        <v/>
      </c>
      <c r="Q2954" s="136" t="str">
        <f>IFERROR(__xludf.DUMMYFUNCTION("""COMPUTED_VALUE"""),"")</f>
        <v/>
      </c>
      <c r="R2954" s="106" t="str">
        <f>IFERROR(__xludf.DUMMYFUNCTION("""COMPUTED_VALUE"""),"")</f>
        <v/>
      </c>
      <c r="S2954" s="106" t="str">
        <f>IFERROR(__xludf.DUMMYFUNCTION("""COMPUTED_VALUE"""),"")</f>
        <v/>
      </c>
      <c r="T2954" s="139" t="str">
        <f>IFERROR(__xludf.DUMMYFUNCTION("""COMPUTED_VALUE"""),"")</f>
        <v/>
      </c>
      <c r="U2954" s="139" t="str">
        <f>IFERROR(__xludf.DUMMYFUNCTION("""COMPUTED_VALUE"""),"")</f>
        <v/>
      </c>
      <c r="V2954" s="136" t="str">
        <f>IFERROR(__xludf.DUMMYFUNCTION("""COMPUTED_VALUE"""),"")</f>
        <v/>
      </c>
      <c r="W2954" s="106" t="str">
        <f>IFERROR(__xludf.DUMMYFUNCTION("""COMPUTED_VALUE"""),"")</f>
        <v/>
      </c>
      <c r="X2954" s="143" t="str">
        <f t="shared" si="2"/>
        <v/>
      </c>
      <c r="Y2954" s="139" t="str">
        <f>IFERROR(__xludf.DUMMYFUNCTION("""COMPUTED_VALUE"""),"")</f>
        <v/>
      </c>
      <c r="Z2954" s="141" t="str">
        <f>IFERROR(__xludf.DUMMYFUNCTION("""COMPUTED_VALUE"""),"")</f>
        <v/>
      </c>
    </row>
    <row r="2955">
      <c r="D2955" s="136" t="str">
        <f t="shared" si="3"/>
        <v/>
      </c>
      <c r="E2955" s="152"/>
      <c r="F2955" s="106" t="s">
        <v>133</v>
      </c>
      <c r="G2955" s="152"/>
      <c r="H2955" s="106" t="s">
        <v>133</v>
      </c>
      <c r="J2955" s="139" t="s">
        <v>133</v>
      </c>
      <c r="K2955" s="136" t="s">
        <v>133</v>
      </c>
      <c r="L2955" s="153"/>
      <c r="M2955" s="136" t="str">
        <f t="shared" si="1"/>
        <v/>
      </c>
      <c r="O2955" s="141" t="s">
        <v>133</v>
      </c>
      <c r="P2955" s="136" t="str">
        <f>IFERROR(__xludf.DUMMYFUNCTION("""COMPUTED_VALUE"""),"")</f>
        <v/>
      </c>
      <c r="Q2955" s="136" t="str">
        <f>IFERROR(__xludf.DUMMYFUNCTION("""COMPUTED_VALUE"""),"")</f>
        <v/>
      </c>
      <c r="R2955" s="106" t="str">
        <f>IFERROR(__xludf.DUMMYFUNCTION("""COMPUTED_VALUE"""),"")</f>
        <v/>
      </c>
      <c r="S2955" s="106" t="str">
        <f>IFERROR(__xludf.DUMMYFUNCTION("""COMPUTED_VALUE"""),"")</f>
        <v/>
      </c>
      <c r="T2955" s="139" t="str">
        <f>IFERROR(__xludf.DUMMYFUNCTION("""COMPUTED_VALUE"""),"")</f>
        <v/>
      </c>
      <c r="U2955" s="139" t="str">
        <f>IFERROR(__xludf.DUMMYFUNCTION("""COMPUTED_VALUE"""),"")</f>
        <v/>
      </c>
      <c r="V2955" s="136" t="str">
        <f>IFERROR(__xludf.DUMMYFUNCTION("""COMPUTED_VALUE"""),"")</f>
        <v/>
      </c>
      <c r="W2955" s="106" t="str">
        <f>IFERROR(__xludf.DUMMYFUNCTION("""COMPUTED_VALUE"""),"")</f>
        <v/>
      </c>
      <c r="X2955" s="143" t="str">
        <f t="shared" si="2"/>
        <v/>
      </c>
      <c r="Y2955" s="139" t="str">
        <f>IFERROR(__xludf.DUMMYFUNCTION("""COMPUTED_VALUE"""),"")</f>
        <v/>
      </c>
      <c r="Z2955" s="141" t="str">
        <f>IFERROR(__xludf.DUMMYFUNCTION("""COMPUTED_VALUE"""),"")</f>
        <v/>
      </c>
    </row>
    <row r="2956">
      <c r="D2956" s="136" t="str">
        <f t="shared" si="3"/>
        <v/>
      </c>
      <c r="E2956" s="152"/>
      <c r="F2956" s="106" t="s">
        <v>133</v>
      </c>
      <c r="G2956" s="152"/>
      <c r="H2956" s="106" t="s">
        <v>133</v>
      </c>
      <c r="J2956" s="139" t="s">
        <v>133</v>
      </c>
      <c r="K2956" s="136" t="s">
        <v>133</v>
      </c>
      <c r="L2956" s="153"/>
      <c r="M2956" s="136" t="str">
        <f t="shared" si="1"/>
        <v/>
      </c>
      <c r="O2956" s="141" t="s">
        <v>133</v>
      </c>
      <c r="P2956" s="136" t="str">
        <f>IFERROR(__xludf.DUMMYFUNCTION("""COMPUTED_VALUE"""),"")</f>
        <v/>
      </c>
      <c r="Q2956" s="136" t="str">
        <f>IFERROR(__xludf.DUMMYFUNCTION("""COMPUTED_VALUE"""),"")</f>
        <v/>
      </c>
      <c r="R2956" s="106" t="str">
        <f>IFERROR(__xludf.DUMMYFUNCTION("""COMPUTED_VALUE"""),"")</f>
        <v/>
      </c>
      <c r="S2956" s="106" t="str">
        <f>IFERROR(__xludf.DUMMYFUNCTION("""COMPUTED_VALUE"""),"")</f>
        <v/>
      </c>
      <c r="T2956" s="139" t="str">
        <f>IFERROR(__xludf.DUMMYFUNCTION("""COMPUTED_VALUE"""),"")</f>
        <v/>
      </c>
      <c r="U2956" s="139" t="str">
        <f>IFERROR(__xludf.DUMMYFUNCTION("""COMPUTED_VALUE"""),"")</f>
        <v/>
      </c>
      <c r="V2956" s="136" t="str">
        <f>IFERROR(__xludf.DUMMYFUNCTION("""COMPUTED_VALUE"""),"")</f>
        <v/>
      </c>
      <c r="W2956" s="106" t="str">
        <f>IFERROR(__xludf.DUMMYFUNCTION("""COMPUTED_VALUE"""),"")</f>
        <v/>
      </c>
      <c r="X2956" s="143" t="str">
        <f t="shared" si="2"/>
        <v/>
      </c>
      <c r="Y2956" s="139" t="str">
        <f>IFERROR(__xludf.DUMMYFUNCTION("""COMPUTED_VALUE"""),"")</f>
        <v/>
      </c>
      <c r="Z2956" s="141" t="str">
        <f>IFERROR(__xludf.DUMMYFUNCTION("""COMPUTED_VALUE"""),"")</f>
        <v/>
      </c>
    </row>
    <row r="2957">
      <c r="D2957" s="136" t="str">
        <f t="shared" si="3"/>
        <v/>
      </c>
      <c r="E2957" s="152"/>
      <c r="F2957" s="106" t="s">
        <v>133</v>
      </c>
      <c r="G2957" s="152"/>
      <c r="H2957" s="106" t="s">
        <v>133</v>
      </c>
      <c r="J2957" s="139" t="s">
        <v>133</v>
      </c>
      <c r="K2957" s="136" t="s">
        <v>133</v>
      </c>
      <c r="L2957" s="153"/>
      <c r="M2957" s="136" t="str">
        <f t="shared" si="1"/>
        <v/>
      </c>
      <c r="O2957" s="141" t="s">
        <v>133</v>
      </c>
      <c r="P2957" s="136" t="str">
        <f>IFERROR(__xludf.DUMMYFUNCTION("""COMPUTED_VALUE"""),"")</f>
        <v/>
      </c>
      <c r="Q2957" s="136" t="str">
        <f>IFERROR(__xludf.DUMMYFUNCTION("""COMPUTED_VALUE"""),"")</f>
        <v/>
      </c>
      <c r="R2957" s="106" t="str">
        <f>IFERROR(__xludf.DUMMYFUNCTION("""COMPUTED_VALUE"""),"")</f>
        <v/>
      </c>
      <c r="S2957" s="106" t="str">
        <f>IFERROR(__xludf.DUMMYFUNCTION("""COMPUTED_VALUE"""),"")</f>
        <v/>
      </c>
      <c r="T2957" s="139" t="str">
        <f>IFERROR(__xludf.DUMMYFUNCTION("""COMPUTED_VALUE"""),"")</f>
        <v/>
      </c>
      <c r="U2957" s="139" t="str">
        <f>IFERROR(__xludf.DUMMYFUNCTION("""COMPUTED_VALUE"""),"")</f>
        <v/>
      </c>
      <c r="V2957" s="136" t="str">
        <f>IFERROR(__xludf.DUMMYFUNCTION("""COMPUTED_VALUE"""),"")</f>
        <v/>
      </c>
      <c r="W2957" s="106" t="str">
        <f>IFERROR(__xludf.DUMMYFUNCTION("""COMPUTED_VALUE"""),"")</f>
        <v/>
      </c>
      <c r="X2957" s="143" t="str">
        <f t="shared" si="2"/>
        <v/>
      </c>
      <c r="Y2957" s="139" t="str">
        <f>IFERROR(__xludf.DUMMYFUNCTION("""COMPUTED_VALUE"""),"")</f>
        <v/>
      </c>
      <c r="Z2957" s="141" t="str">
        <f>IFERROR(__xludf.DUMMYFUNCTION("""COMPUTED_VALUE"""),"")</f>
        <v/>
      </c>
    </row>
    <row r="2958">
      <c r="D2958" s="136" t="str">
        <f t="shared" si="3"/>
        <v/>
      </c>
      <c r="E2958" s="152"/>
      <c r="F2958" s="106" t="s">
        <v>133</v>
      </c>
      <c r="G2958" s="152"/>
      <c r="H2958" s="106" t="s">
        <v>133</v>
      </c>
      <c r="J2958" s="139" t="s">
        <v>133</v>
      </c>
      <c r="K2958" s="136" t="s">
        <v>133</v>
      </c>
      <c r="L2958" s="153"/>
      <c r="M2958" s="136" t="str">
        <f t="shared" si="1"/>
        <v/>
      </c>
      <c r="O2958" s="141" t="s">
        <v>133</v>
      </c>
      <c r="P2958" s="136" t="str">
        <f>IFERROR(__xludf.DUMMYFUNCTION("""COMPUTED_VALUE"""),"")</f>
        <v/>
      </c>
      <c r="Q2958" s="136" t="str">
        <f>IFERROR(__xludf.DUMMYFUNCTION("""COMPUTED_VALUE"""),"")</f>
        <v/>
      </c>
      <c r="R2958" s="106" t="str">
        <f>IFERROR(__xludf.DUMMYFUNCTION("""COMPUTED_VALUE"""),"")</f>
        <v/>
      </c>
      <c r="S2958" s="106" t="str">
        <f>IFERROR(__xludf.DUMMYFUNCTION("""COMPUTED_VALUE"""),"")</f>
        <v/>
      </c>
      <c r="T2958" s="139" t="str">
        <f>IFERROR(__xludf.DUMMYFUNCTION("""COMPUTED_VALUE"""),"")</f>
        <v/>
      </c>
      <c r="U2958" s="139" t="str">
        <f>IFERROR(__xludf.DUMMYFUNCTION("""COMPUTED_VALUE"""),"")</f>
        <v/>
      </c>
      <c r="V2958" s="136" t="str">
        <f>IFERROR(__xludf.DUMMYFUNCTION("""COMPUTED_VALUE"""),"")</f>
        <v/>
      </c>
      <c r="W2958" s="106" t="str">
        <f>IFERROR(__xludf.DUMMYFUNCTION("""COMPUTED_VALUE"""),"")</f>
        <v/>
      </c>
      <c r="X2958" s="143" t="str">
        <f t="shared" si="2"/>
        <v/>
      </c>
      <c r="Y2958" s="139" t="str">
        <f>IFERROR(__xludf.DUMMYFUNCTION("""COMPUTED_VALUE"""),"")</f>
        <v/>
      </c>
      <c r="Z2958" s="141" t="str">
        <f>IFERROR(__xludf.DUMMYFUNCTION("""COMPUTED_VALUE"""),"")</f>
        <v/>
      </c>
    </row>
    <row r="2959">
      <c r="D2959" s="136" t="str">
        <f t="shared" si="3"/>
        <v/>
      </c>
      <c r="E2959" s="152"/>
      <c r="F2959" s="106" t="s">
        <v>133</v>
      </c>
      <c r="G2959" s="152"/>
      <c r="H2959" s="106" t="s">
        <v>133</v>
      </c>
      <c r="J2959" s="139" t="s">
        <v>133</v>
      </c>
      <c r="K2959" s="136" t="s">
        <v>133</v>
      </c>
      <c r="L2959" s="153"/>
      <c r="M2959" s="136" t="str">
        <f t="shared" si="1"/>
        <v/>
      </c>
      <c r="O2959" s="141" t="s">
        <v>133</v>
      </c>
      <c r="P2959" s="136" t="str">
        <f>IFERROR(__xludf.DUMMYFUNCTION("""COMPUTED_VALUE"""),"")</f>
        <v/>
      </c>
      <c r="Q2959" s="136" t="str">
        <f>IFERROR(__xludf.DUMMYFUNCTION("""COMPUTED_VALUE"""),"")</f>
        <v/>
      </c>
      <c r="R2959" s="106" t="str">
        <f>IFERROR(__xludf.DUMMYFUNCTION("""COMPUTED_VALUE"""),"")</f>
        <v/>
      </c>
      <c r="S2959" s="106" t="str">
        <f>IFERROR(__xludf.DUMMYFUNCTION("""COMPUTED_VALUE"""),"")</f>
        <v/>
      </c>
      <c r="T2959" s="139" t="str">
        <f>IFERROR(__xludf.DUMMYFUNCTION("""COMPUTED_VALUE"""),"")</f>
        <v/>
      </c>
      <c r="U2959" s="139" t="str">
        <f>IFERROR(__xludf.DUMMYFUNCTION("""COMPUTED_VALUE"""),"")</f>
        <v/>
      </c>
      <c r="V2959" s="136" t="str">
        <f>IFERROR(__xludf.DUMMYFUNCTION("""COMPUTED_VALUE"""),"")</f>
        <v/>
      </c>
      <c r="W2959" s="106" t="str">
        <f>IFERROR(__xludf.DUMMYFUNCTION("""COMPUTED_VALUE"""),"")</f>
        <v/>
      </c>
      <c r="X2959" s="143" t="str">
        <f t="shared" si="2"/>
        <v/>
      </c>
      <c r="Y2959" s="139" t="str">
        <f>IFERROR(__xludf.DUMMYFUNCTION("""COMPUTED_VALUE"""),"")</f>
        <v/>
      </c>
      <c r="Z2959" s="141" t="str">
        <f>IFERROR(__xludf.DUMMYFUNCTION("""COMPUTED_VALUE"""),"")</f>
        <v/>
      </c>
    </row>
    <row r="2960">
      <c r="D2960" s="136" t="str">
        <f t="shared" si="3"/>
        <v/>
      </c>
      <c r="E2960" s="152"/>
      <c r="F2960" s="106" t="s">
        <v>133</v>
      </c>
      <c r="G2960" s="152"/>
      <c r="H2960" s="106" t="s">
        <v>133</v>
      </c>
      <c r="J2960" s="139" t="s">
        <v>133</v>
      </c>
      <c r="K2960" s="136" t="s">
        <v>133</v>
      </c>
      <c r="L2960" s="153"/>
      <c r="M2960" s="136" t="str">
        <f t="shared" si="1"/>
        <v/>
      </c>
      <c r="O2960" s="141" t="s">
        <v>133</v>
      </c>
      <c r="P2960" s="136" t="str">
        <f>IFERROR(__xludf.DUMMYFUNCTION("""COMPUTED_VALUE"""),"")</f>
        <v/>
      </c>
      <c r="Q2960" s="136" t="str">
        <f>IFERROR(__xludf.DUMMYFUNCTION("""COMPUTED_VALUE"""),"")</f>
        <v/>
      </c>
      <c r="R2960" s="106" t="str">
        <f>IFERROR(__xludf.DUMMYFUNCTION("""COMPUTED_VALUE"""),"")</f>
        <v/>
      </c>
      <c r="S2960" s="106" t="str">
        <f>IFERROR(__xludf.DUMMYFUNCTION("""COMPUTED_VALUE"""),"")</f>
        <v/>
      </c>
      <c r="T2960" s="139" t="str">
        <f>IFERROR(__xludf.DUMMYFUNCTION("""COMPUTED_VALUE"""),"")</f>
        <v/>
      </c>
      <c r="U2960" s="139" t="str">
        <f>IFERROR(__xludf.DUMMYFUNCTION("""COMPUTED_VALUE"""),"")</f>
        <v/>
      </c>
      <c r="V2960" s="136" t="str">
        <f>IFERROR(__xludf.DUMMYFUNCTION("""COMPUTED_VALUE"""),"")</f>
        <v/>
      </c>
      <c r="W2960" s="106" t="str">
        <f>IFERROR(__xludf.DUMMYFUNCTION("""COMPUTED_VALUE"""),"")</f>
        <v/>
      </c>
      <c r="X2960" s="143" t="str">
        <f t="shared" si="2"/>
        <v/>
      </c>
      <c r="Y2960" s="139" t="str">
        <f>IFERROR(__xludf.DUMMYFUNCTION("""COMPUTED_VALUE"""),"")</f>
        <v/>
      </c>
      <c r="Z2960" s="141" t="str">
        <f>IFERROR(__xludf.DUMMYFUNCTION("""COMPUTED_VALUE"""),"")</f>
        <v/>
      </c>
    </row>
    <row r="2961">
      <c r="D2961" s="136" t="str">
        <f t="shared" si="3"/>
        <v/>
      </c>
      <c r="E2961" s="152"/>
      <c r="F2961" s="106" t="s">
        <v>133</v>
      </c>
      <c r="G2961" s="152"/>
      <c r="H2961" s="106" t="s">
        <v>133</v>
      </c>
      <c r="J2961" s="139" t="s">
        <v>133</v>
      </c>
      <c r="K2961" s="136" t="s">
        <v>133</v>
      </c>
      <c r="L2961" s="153"/>
      <c r="M2961" s="136" t="str">
        <f t="shared" si="1"/>
        <v/>
      </c>
      <c r="O2961" s="141" t="s">
        <v>133</v>
      </c>
      <c r="P2961" s="136" t="str">
        <f>IFERROR(__xludf.DUMMYFUNCTION("""COMPUTED_VALUE"""),"")</f>
        <v/>
      </c>
      <c r="Q2961" s="136" t="str">
        <f>IFERROR(__xludf.DUMMYFUNCTION("""COMPUTED_VALUE"""),"")</f>
        <v/>
      </c>
      <c r="R2961" s="106" t="str">
        <f>IFERROR(__xludf.DUMMYFUNCTION("""COMPUTED_VALUE"""),"")</f>
        <v/>
      </c>
      <c r="S2961" s="106" t="str">
        <f>IFERROR(__xludf.DUMMYFUNCTION("""COMPUTED_VALUE"""),"")</f>
        <v/>
      </c>
      <c r="T2961" s="139" t="str">
        <f>IFERROR(__xludf.DUMMYFUNCTION("""COMPUTED_VALUE"""),"")</f>
        <v/>
      </c>
      <c r="U2961" s="139" t="str">
        <f>IFERROR(__xludf.DUMMYFUNCTION("""COMPUTED_VALUE"""),"")</f>
        <v/>
      </c>
      <c r="V2961" s="136" t="str">
        <f>IFERROR(__xludf.DUMMYFUNCTION("""COMPUTED_VALUE"""),"")</f>
        <v/>
      </c>
      <c r="W2961" s="106" t="str">
        <f>IFERROR(__xludf.DUMMYFUNCTION("""COMPUTED_VALUE"""),"")</f>
        <v/>
      </c>
      <c r="X2961" s="143" t="str">
        <f t="shared" si="2"/>
        <v/>
      </c>
      <c r="Y2961" s="139" t="str">
        <f>IFERROR(__xludf.DUMMYFUNCTION("""COMPUTED_VALUE"""),"")</f>
        <v/>
      </c>
      <c r="Z2961" s="141" t="str">
        <f>IFERROR(__xludf.DUMMYFUNCTION("""COMPUTED_VALUE"""),"")</f>
        <v/>
      </c>
    </row>
    <row r="2962">
      <c r="D2962" s="136" t="str">
        <f t="shared" si="3"/>
        <v/>
      </c>
      <c r="E2962" s="152"/>
      <c r="F2962" s="106" t="s">
        <v>133</v>
      </c>
      <c r="G2962" s="152"/>
      <c r="H2962" s="106" t="s">
        <v>133</v>
      </c>
      <c r="J2962" s="139" t="s">
        <v>133</v>
      </c>
      <c r="K2962" s="136" t="s">
        <v>133</v>
      </c>
      <c r="L2962" s="153"/>
      <c r="M2962" s="136" t="str">
        <f t="shared" si="1"/>
        <v/>
      </c>
      <c r="O2962" s="141" t="s">
        <v>133</v>
      </c>
      <c r="P2962" s="136" t="str">
        <f>IFERROR(__xludf.DUMMYFUNCTION("""COMPUTED_VALUE"""),"")</f>
        <v/>
      </c>
      <c r="Q2962" s="136" t="str">
        <f>IFERROR(__xludf.DUMMYFUNCTION("""COMPUTED_VALUE"""),"")</f>
        <v/>
      </c>
      <c r="R2962" s="106" t="str">
        <f>IFERROR(__xludf.DUMMYFUNCTION("""COMPUTED_VALUE"""),"")</f>
        <v/>
      </c>
      <c r="S2962" s="106" t="str">
        <f>IFERROR(__xludf.DUMMYFUNCTION("""COMPUTED_VALUE"""),"")</f>
        <v/>
      </c>
      <c r="T2962" s="139" t="str">
        <f>IFERROR(__xludf.DUMMYFUNCTION("""COMPUTED_VALUE"""),"")</f>
        <v/>
      </c>
      <c r="U2962" s="139" t="str">
        <f>IFERROR(__xludf.DUMMYFUNCTION("""COMPUTED_VALUE"""),"")</f>
        <v/>
      </c>
      <c r="V2962" s="136" t="str">
        <f>IFERROR(__xludf.DUMMYFUNCTION("""COMPUTED_VALUE"""),"")</f>
        <v/>
      </c>
      <c r="W2962" s="106" t="str">
        <f>IFERROR(__xludf.DUMMYFUNCTION("""COMPUTED_VALUE"""),"")</f>
        <v/>
      </c>
      <c r="X2962" s="143" t="str">
        <f t="shared" si="2"/>
        <v/>
      </c>
      <c r="Y2962" s="139" t="str">
        <f>IFERROR(__xludf.DUMMYFUNCTION("""COMPUTED_VALUE"""),"")</f>
        <v/>
      </c>
      <c r="Z2962" s="141" t="str">
        <f>IFERROR(__xludf.DUMMYFUNCTION("""COMPUTED_VALUE"""),"")</f>
        <v/>
      </c>
    </row>
    <row r="2963">
      <c r="D2963" s="136" t="str">
        <f t="shared" si="3"/>
        <v/>
      </c>
      <c r="E2963" s="152"/>
      <c r="F2963" s="106" t="s">
        <v>133</v>
      </c>
      <c r="G2963" s="152"/>
      <c r="H2963" s="106" t="s">
        <v>133</v>
      </c>
      <c r="J2963" s="139" t="s">
        <v>133</v>
      </c>
      <c r="K2963" s="136" t="s">
        <v>133</v>
      </c>
      <c r="L2963" s="153"/>
      <c r="M2963" s="136" t="str">
        <f t="shared" si="1"/>
        <v/>
      </c>
      <c r="O2963" s="141" t="s">
        <v>133</v>
      </c>
      <c r="P2963" s="136" t="str">
        <f>IFERROR(__xludf.DUMMYFUNCTION("""COMPUTED_VALUE"""),"")</f>
        <v/>
      </c>
      <c r="Q2963" s="136" t="str">
        <f>IFERROR(__xludf.DUMMYFUNCTION("""COMPUTED_VALUE"""),"")</f>
        <v/>
      </c>
      <c r="R2963" s="106" t="str">
        <f>IFERROR(__xludf.DUMMYFUNCTION("""COMPUTED_VALUE"""),"")</f>
        <v/>
      </c>
      <c r="S2963" s="106" t="str">
        <f>IFERROR(__xludf.DUMMYFUNCTION("""COMPUTED_VALUE"""),"")</f>
        <v/>
      </c>
      <c r="T2963" s="139" t="str">
        <f>IFERROR(__xludf.DUMMYFUNCTION("""COMPUTED_VALUE"""),"")</f>
        <v/>
      </c>
      <c r="U2963" s="139" t="str">
        <f>IFERROR(__xludf.DUMMYFUNCTION("""COMPUTED_VALUE"""),"")</f>
        <v/>
      </c>
      <c r="V2963" s="136" t="str">
        <f>IFERROR(__xludf.DUMMYFUNCTION("""COMPUTED_VALUE"""),"")</f>
        <v/>
      </c>
      <c r="W2963" s="106" t="str">
        <f>IFERROR(__xludf.DUMMYFUNCTION("""COMPUTED_VALUE"""),"")</f>
        <v/>
      </c>
      <c r="X2963" s="143" t="str">
        <f t="shared" si="2"/>
        <v/>
      </c>
      <c r="Y2963" s="139" t="str">
        <f>IFERROR(__xludf.DUMMYFUNCTION("""COMPUTED_VALUE"""),"")</f>
        <v/>
      </c>
      <c r="Z2963" s="141" t="str">
        <f>IFERROR(__xludf.DUMMYFUNCTION("""COMPUTED_VALUE"""),"")</f>
        <v/>
      </c>
    </row>
    <row r="2964">
      <c r="D2964" s="136" t="str">
        <f t="shared" si="3"/>
        <v/>
      </c>
      <c r="E2964" s="152"/>
      <c r="F2964" s="106" t="s">
        <v>133</v>
      </c>
      <c r="G2964" s="152"/>
      <c r="H2964" s="106" t="s">
        <v>133</v>
      </c>
      <c r="J2964" s="139" t="s">
        <v>133</v>
      </c>
      <c r="K2964" s="136" t="s">
        <v>133</v>
      </c>
      <c r="L2964" s="153"/>
      <c r="M2964" s="136" t="str">
        <f t="shared" si="1"/>
        <v/>
      </c>
      <c r="O2964" s="141" t="s">
        <v>133</v>
      </c>
      <c r="P2964" s="136" t="str">
        <f>IFERROR(__xludf.DUMMYFUNCTION("""COMPUTED_VALUE"""),"")</f>
        <v/>
      </c>
      <c r="Q2964" s="136" t="str">
        <f>IFERROR(__xludf.DUMMYFUNCTION("""COMPUTED_VALUE"""),"")</f>
        <v/>
      </c>
      <c r="R2964" s="106" t="str">
        <f>IFERROR(__xludf.DUMMYFUNCTION("""COMPUTED_VALUE"""),"")</f>
        <v/>
      </c>
      <c r="S2964" s="106" t="str">
        <f>IFERROR(__xludf.DUMMYFUNCTION("""COMPUTED_VALUE"""),"")</f>
        <v/>
      </c>
      <c r="T2964" s="139" t="str">
        <f>IFERROR(__xludf.DUMMYFUNCTION("""COMPUTED_VALUE"""),"")</f>
        <v/>
      </c>
      <c r="U2964" s="139" t="str">
        <f>IFERROR(__xludf.DUMMYFUNCTION("""COMPUTED_VALUE"""),"")</f>
        <v/>
      </c>
      <c r="V2964" s="136" t="str">
        <f>IFERROR(__xludf.DUMMYFUNCTION("""COMPUTED_VALUE"""),"")</f>
        <v/>
      </c>
      <c r="W2964" s="106" t="str">
        <f>IFERROR(__xludf.DUMMYFUNCTION("""COMPUTED_VALUE"""),"")</f>
        <v/>
      </c>
      <c r="X2964" s="143" t="str">
        <f t="shared" si="2"/>
        <v/>
      </c>
      <c r="Y2964" s="139" t="str">
        <f>IFERROR(__xludf.DUMMYFUNCTION("""COMPUTED_VALUE"""),"")</f>
        <v/>
      </c>
      <c r="Z2964" s="141" t="str">
        <f>IFERROR(__xludf.DUMMYFUNCTION("""COMPUTED_VALUE"""),"")</f>
        <v/>
      </c>
    </row>
    <row r="2965">
      <c r="D2965" s="136" t="str">
        <f t="shared" si="3"/>
        <v/>
      </c>
      <c r="E2965" s="152"/>
      <c r="F2965" s="106" t="s">
        <v>133</v>
      </c>
      <c r="G2965" s="152"/>
      <c r="H2965" s="106" t="s">
        <v>133</v>
      </c>
      <c r="J2965" s="139" t="s">
        <v>133</v>
      </c>
      <c r="K2965" s="136" t="s">
        <v>133</v>
      </c>
      <c r="L2965" s="153"/>
      <c r="M2965" s="136" t="str">
        <f t="shared" si="1"/>
        <v/>
      </c>
      <c r="O2965" s="141" t="s">
        <v>133</v>
      </c>
      <c r="P2965" s="136" t="str">
        <f>IFERROR(__xludf.DUMMYFUNCTION("""COMPUTED_VALUE"""),"")</f>
        <v/>
      </c>
      <c r="Q2965" s="136" t="str">
        <f>IFERROR(__xludf.DUMMYFUNCTION("""COMPUTED_VALUE"""),"")</f>
        <v/>
      </c>
      <c r="R2965" s="106" t="str">
        <f>IFERROR(__xludf.DUMMYFUNCTION("""COMPUTED_VALUE"""),"")</f>
        <v/>
      </c>
      <c r="S2965" s="106" t="str">
        <f>IFERROR(__xludf.DUMMYFUNCTION("""COMPUTED_VALUE"""),"")</f>
        <v/>
      </c>
      <c r="T2965" s="139" t="str">
        <f>IFERROR(__xludf.DUMMYFUNCTION("""COMPUTED_VALUE"""),"")</f>
        <v/>
      </c>
      <c r="U2965" s="139" t="str">
        <f>IFERROR(__xludf.DUMMYFUNCTION("""COMPUTED_VALUE"""),"")</f>
        <v/>
      </c>
      <c r="V2965" s="136" t="str">
        <f>IFERROR(__xludf.DUMMYFUNCTION("""COMPUTED_VALUE"""),"")</f>
        <v/>
      </c>
      <c r="W2965" s="106" t="str">
        <f>IFERROR(__xludf.DUMMYFUNCTION("""COMPUTED_VALUE"""),"")</f>
        <v/>
      </c>
      <c r="X2965" s="143" t="str">
        <f t="shared" si="2"/>
        <v/>
      </c>
      <c r="Y2965" s="139" t="str">
        <f>IFERROR(__xludf.DUMMYFUNCTION("""COMPUTED_VALUE"""),"")</f>
        <v/>
      </c>
      <c r="Z2965" s="141" t="str">
        <f>IFERROR(__xludf.DUMMYFUNCTION("""COMPUTED_VALUE"""),"")</f>
        <v/>
      </c>
    </row>
    <row r="2966">
      <c r="D2966" s="136" t="str">
        <f t="shared" si="3"/>
        <v/>
      </c>
      <c r="E2966" s="152"/>
      <c r="F2966" s="106" t="s">
        <v>133</v>
      </c>
      <c r="G2966" s="152"/>
      <c r="H2966" s="106" t="s">
        <v>133</v>
      </c>
      <c r="J2966" s="139" t="s">
        <v>133</v>
      </c>
      <c r="K2966" s="136" t="s">
        <v>133</v>
      </c>
      <c r="L2966" s="153"/>
      <c r="M2966" s="136" t="str">
        <f t="shared" si="1"/>
        <v/>
      </c>
      <c r="O2966" s="141" t="s">
        <v>133</v>
      </c>
      <c r="P2966" s="136" t="str">
        <f>IFERROR(__xludf.DUMMYFUNCTION("""COMPUTED_VALUE"""),"")</f>
        <v/>
      </c>
      <c r="Q2966" s="136" t="str">
        <f>IFERROR(__xludf.DUMMYFUNCTION("""COMPUTED_VALUE"""),"")</f>
        <v/>
      </c>
      <c r="R2966" s="106" t="str">
        <f>IFERROR(__xludf.DUMMYFUNCTION("""COMPUTED_VALUE"""),"")</f>
        <v/>
      </c>
      <c r="S2966" s="106" t="str">
        <f>IFERROR(__xludf.DUMMYFUNCTION("""COMPUTED_VALUE"""),"")</f>
        <v/>
      </c>
      <c r="T2966" s="139" t="str">
        <f>IFERROR(__xludf.DUMMYFUNCTION("""COMPUTED_VALUE"""),"")</f>
        <v/>
      </c>
      <c r="U2966" s="139" t="str">
        <f>IFERROR(__xludf.DUMMYFUNCTION("""COMPUTED_VALUE"""),"")</f>
        <v/>
      </c>
      <c r="V2966" s="136" t="str">
        <f>IFERROR(__xludf.DUMMYFUNCTION("""COMPUTED_VALUE"""),"")</f>
        <v/>
      </c>
      <c r="W2966" s="106" t="str">
        <f>IFERROR(__xludf.DUMMYFUNCTION("""COMPUTED_VALUE"""),"")</f>
        <v/>
      </c>
      <c r="X2966" s="143" t="str">
        <f t="shared" si="2"/>
        <v/>
      </c>
      <c r="Y2966" s="139" t="str">
        <f>IFERROR(__xludf.DUMMYFUNCTION("""COMPUTED_VALUE"""),"")</f>
        <v/>
      </c>
      <c r="Z2966" s="141" t="str">
        <f>IFERROR(__xludf.DUMMYFUNCTION("""COMPUTED_VALUE"""),"")</f>
        <v/>
      </c>
    </row>
    <row r="2967">
      <c r="D2967" s="136" t="str">
        <f t="shared" si="3"/>
        <v/>
      </c>
      <c r="E2967" s="152"/>
      <c r="F2967" s="106" t="s">
        <v>133</v>
      </c>
      <c r="G2967" s="152"/>
      <c r="H2967" s="106" t="s">
        <v>133</v>
      </c>
      <c r="J2967" s="139" t="s">
        <v>133</v>
      </c>
      <c r="K2967" s="136" t="s">
        <v>133</v>
      </c>
      <c r="L2967" s="153"/>
      <c r="M2967" s="136" t="str">
        <f t="shared" si="1"/>
        <v/>
      </c>
      <c r="O2967" s="141" t="s">
        <v>133</v>
      </c>
      <c r="P2967" s="136" t="str">
        <f>IFERROR(__xludf.DUMMYFUNCTION("""COMPUTED_VALUE"""),"")</f>
        <v/>
      </c>
      <c r="Q2967" s="136" t="str">
        <f>IFERROR(__xludf.DUMMYFUNCTION("""COMPUTED_VALUE"""),"")</f>
        <v/>
      </c>
      <c r="R2967" s="106" t="str">
        <f>IFERROR(__xludf.DUMMYFUNCTION("""COMPUTED_VALUE"""),"")</f>
        <v/>
      </c>
      <c r="S2967" s="106" t="str">
        <f>IFERROR(__xludf.DUMMYFUNCTION("""COMPUTED_VALUE"""),"")</f>
        <v/>
      </c>
      <c r="T2967" s="139" t="str">
        <f>IFERROR(__xludf.DUMMYFUNCTION("""COMPUTED_VALUE"""),"")</f>
        <v/>
      </c>
      <c r="U2967" s="139" t="str">
        <f>IFERROR(__xludf.DUMMYFUNCTION("""COMPUTED_VALUE"""),"")</f>
        <v/>
      </c>
      <c r="V2967" s="136" t="str">
        <f>IFERROR(__xludf.DUMMYFUNCTION("""COMPUTED_VALUE"""),"")</f>
        <v/>
      </c>
      <c r="W2967" s="106" t="str">
        <f>IFERROR(__xludf.DUMMYFUNCTION("""COMPUTED_VALUE"""),"")</f>
        <v/>
      </c>
      <c r="X2967" s="143" t="str">
        <f t="shared" si="2"/>
        <v/>
      </c>
      <c r="Y2967" s="139" t="str">
        <f>IFERROR(__xludf.DUMMYFUNCTION("""COMPUTED_VALUE"""),"")</f>
        <v/>
      </c>
      <c r="Z2967" s="141" t="str">
        <f>IFERROR(__xludf.DUMMYFUNCTION("""COMPUTED_VALUE"""),"")</f>
        <v/>
      </c>
    </row>
    <row r="2968">
      <c r="D2968" s="136" t="str">
        <f t="shared" si="3"/>
        <v/>
      </c>
      <c r="E2968" s="152"/>
      <c r="F2968" s="106" t="s">
        <v>133</v>
      </c>
      <c r="G2968" s="152"/>
      <c r="H2968" s="106" t="s">
        <v>133</v>
      </c>
      <c r="J2968" s="139" t="s">
        <v>133</v>
      </c>
      <c r="K2968" s="136" t="s">
        <v>133</v>
      </c>
      <c r="L2968" s="153"/>
      <c r="M2968" s="136" t="str">
        <f t="shared" si="1"/>
        <v/>
      </c>
      <c r="O2968" s="141" t="s">
        <v>133</v>
      </c>
      <c r="P2968" s="136" t="str">
        <f>IFERROR(__xludf.DUMMYFUNCTION("""COMPUTED_VALUE"""),"")</f>
        <v/>
      </c>
      <c r="Q2968" s="136" t="str">
        <f>IFERROR(__xludf.DUMMYFUNCTION("""COMPUTED_VALUE"""),"")</f>
        <v/>
      </c>
      <c r="R2968" s="106" t="str">
        <f>IFERROR(__xludf.DUMMYFUNCTION("""COMPUTED_VALUE"""),"")</f>
        <v/>
      </c>
      <c r="S2968" s="106" t="str">
        <f>IFERROR(__xludf.DUMMYFUNCTION("""COMPUTED_VALUE"""),"")</f>
        <v/>
      </c>
      <c r="T2968" s="139" t="str">
        <f>IFERROR(__xludf.DUMMYFUNCTION("""COMPUTED_VALUE"""),"")</f>
        <v/>
      </c>
      <c r="U2968" s="139" t="str">
        <f>IFERROR(__xludf.DUMMYFUNCTION("""COMPUTED_VALUE"""),"")</f>
        <v/>
      </c>
      <c r="V2968" s="136" t="str">
        <f>IFERROR(__xludf.DUMMYFUNCTION("""COMPUTED_VALUE"""),"")</f>
        <v/>
      </c>
      <c r="W2968" s="106" t="str">
        <f>IFERROR(__xludf.DUMMYFUNCTION("""COMPUTED_VALUE"""),"")</f>
        <v/>
      </c>
      <c r="X2968" s="143" t="str">
        <f t="shared" si="2"/>
        <v/>
      </c>
      <c r="Y2968" s="139" t="str">
        <f>IFERROR(__xludf.DUMMYFUNCTION("""COMPUTED_VALUE"""),"")</f>
        <v/>
      </c>
      <c r="Z2968" s="141" t="str">
        <f>IFERROR(__xludf.DUMMYFUNCTION("""COMPUTED_VALUE"""),"")</f>
        <v/>
      </c>
    </row>
    <row r="2969">
      <c r="D2969" s="136" t="str">
        <f t="shared" si="3"/>
        <v/>
      </c>
      <c r="E2969" s="152"/>
      <c r="F2969" s="106" t="s">
        <v>133</v>
      </c>
      <c r="G2969" s="152"/>
      <c r="H2969" s="106" t="s">
        <v>133</v>
      </c>
      <c r="J2969" s="139" t="s">
        <v>133</v>
      </c>
      <c r="K2969" s="136" t="s">
        <v>133</v>
      </c>
      <c r="L2969" s="153"/>
      <c r="M2969" s="136" t="str">
        <f t="shared" si="1"/>
        <v/>
      </c>
      <c r="O2969" s="141" t="s">
        <v>133</v>
      </c>
      <c r="P2969" s="136" t="str">
        <f>IFERROR(__xludf.DUMMYFUNCTION("""COMPUTED_VALUE"""),"")</f>
        <v/>
      </c>
      <c r="Q2969" s="136" t="str">
        <f>IFERROR(__xludf.DUMMYFUNCTION("""COMPUTED_VALUE"""),"")</f>
        <v/>
      </c>
      <c r="R2969" s="106" t="str">
        <f>IFERROR(__xludf.DUMMYFUNCTION("""COMPUTED_VALUE"""),"")</f>
        <v/>
      </c>
      <c r="S2969" s="106" t="str">
        <f>IFERROR(__xludf.DUMMYFUNCTION("""COMPUTED_VALUE"""),"")</f>
        <v/>
      </c>
      <c r="T2969" s="139" t="str">
        <f>IFERROR(__xludf.DUMMYFUNCTION("""COMPUTED_VALUE"""),"")</f>
        <v/>
      </c>
      <c r="U2969" s="139" t="str">
        <f>IFERROR(__xludf.DUMMYFUNCTION("""COMPUTED_VALUE"""),"")</f>
        <v/>
      </c>
      <c r="V2969" s="136" t="str">
        <f>IFERROR(__xludf.DUMMYFUNCTION("""COMPUTED_VALUE"""),"")</f>
        <v/>
      </c>
      <c r="W2969" s="106" t="str">
        <f>IFERROR(__xludf.DUMMYFUNCTION("""COMPUTED_VALUE"""),"")</f>
        <v/>
      </c>
      <c r="X2969" s="143" t="str">
        <f t="shared" si="2"/>
        <v/>
      </c>
      <c r="Y2969" s="139" t="str">
        <f>IFERROR(__xludf.DUMMYFUNCTION("""COMPUTED_VALUE"""),"")</f>
        <v/>
      </c>
      <c r="Z2969" s="141" t="str">
        <f>IFERROR(__xludf.DUMMYFUNCTION("""COMPUTED_VALUE"""),"")</f>
        <v/>
      </c>
    </row>
    <row r="2970">
      <c r="D2970" s="136" t="str">
        <f t="shared" si="3"/>
        <v/>
      </c>
      <c r="E2970" s="152"/>
      <c r="F2970" s="106" t="s">
        <v>133</v>
      </c>
      <c r="G2970" s="152"/>
      <c r="H2970" s="106" t="s">
        <v>133</v>
      </c>
      <c r="J2970" s="139" t="s">
        <v>133</v>
      </c>
      <c r="K2970" s="136" t="s">
        <v>133</v>
      </c>
      <c r="L2970" s="153"/>
      <c r="M2970" s="136" t="str">
        <f t="shared" si="1"/>
        <v/>
      </c>
      <c r="O2970" s="141" t="s">
        <v>133</v>
      </c>
      <c r="P2970" s="136" t="str">
        <f>IFERROR(__xludf.DUMMYFUNCTION("""COMPUTED_VALUE"""),"")</f>
        <v/>
      </c>
      <c r="Q2970" s="136" t="str">
        <f>IFERROR(__xludf.DUMMYFUNCTION("""COMPUTED_VALUE"""),"")</f>
        <v/>
      </c>
      <c r="R2970" s="106" t="str">
        <f>IFERROR(__xludf.DUMMYFUNCTION("""COMPUTED_VALUE"""),"")</f>
        <v/>
      </c>
      <c r="S2970" s="106" t="str">
        <f>IFERROR(__xludf.DUMMYFUNCTION("""COMPUTED_VALUE"""),"")</f>
        <v/>
      </c>
      <c r="T2970" s="139" t="str">
        <f>IFERROR(__xludf.DUMMYFUNCTION("""COMPUTED_VALUE"""),"")</f>
        <v/>
      </c>
      <c r="U2970" s="139" t="str">
        <f>IFERROR(__xludf.DUMMYFUNCTION("""COMPUTED_VALUE"""),"")</f>
        <v/>
      </c>
      <c r="V2970" s="136" t="str">
        <f>IFERROR(__xludf.DUMMYFUNCTION("""COMPUTED_VALUE"""),"")</f>
        <v/>
      </c>
      <c r="W2970" s="106" t="str">
        <f>IFERROR(__xludf.DUMMYFUNCTION("""COMPUTED_VALUE"""),"")</f>
        <v/>
      </c>
      <c r="X2970" s="143" t="str">
        <f t="shared" si="2"/>
        <v/>
      </c>
      <c r="Y2970" s="139" t="str">
        <f>IFERROR(__xludf.DUMMYFUNCTION("""COMPUTED_VALUE"""),"")</f>
        <v/>
      </c>
      <c r="Z2970" s="141" t="str">
        <f>IFERROR(__xludf.DUMMYFUNCTION("""COMPUTED_VALUE"""),"")</f>
        <v/>
      </c>
    </row>
    <row r="2971">
      <c r="D2971" s="136" t="str">
        <f t="shared" si="3"/>
        <v/>
      </c>
      <c r="E2971" s="152"/>
      <c r="F2971" s="106" t="s">
        <v>133</v>
      </c>
      <c r="G2971" s="152"/>
      <c r="H2971" s="106" t="s">
        <v>133</v>
      </c>
      <c r="J2971" s="139" t="s">
        <v>133</v>
      </c>
      <c r="K2971" s="136" t="s">
        <v>133</v>
      </c>
      <c r="L2971" s="153"/>
      <c r="M2971" s="136" t="str">
        <f t="shared" si="1"/>
        <v/>
      </c>
      <c r="O2971" s="141" t="s">
        <v>133</v>
      </c>
      <c r="P2971" s="136" t="str">
        <f>IFERROR(__xludf.DUMMYFUNCTION("""COMPUTED_VALUE"""),"")</f>
        <v/>
      </c>
      <c r="Q2971" s="136" t="str">
        <f>IFERROR(__xludf.DUMMYFUNCTION("""COMPUTED_VALUE"""),"")</f>
        <v/>
      </c>
      <c r="R2971" s="106" t="str">
        <f>IFERROR(__xludf.DUMMYFUNCTION("""COMPUTED_VALUE"""),"")</f>
        <v/>
      </c>
      <c r="S2971" s="106" t="str">
        <f>IFERROR(__xludf.DUMMYFUNCTION("""COMPUTED_VALUE"""),"")</f>
        <v/>
      </c>
      <c r="T2971" s="139" t="str">
        <f>IFERROR(__xludf.DUMMYFUNCTION("""COMPUTED_VALUE"""),"")</f>
        <v/>
      </c>
      <c r="U2971" s="139" t="str">
        <f>IFERROR(__xludf.DUMMYFUNCTION("""COMPUTED_VALUE"""),"")</f>
        <v/>
      </c>
      <c r="V2971" s="136" t="str">
        <f>IFERROR(__xludf.DUMMYFUNCTION("""COMPUTED_VALUE"""),"")</f>
        <v/>
      </c>
      <c r="W2971" s="106" t="str">
        <f>IFERROR(__xludf.DUMMYFUNCTION("""COMPUTED_VALUE"""),"")</f>
        <v/>
      </c>
      <c r="X2971" s="143" t="str">
        <f t="shared" si="2"/>
        <v/>
      </c>
      <c r="Y2971" s="139" t="str">
        <f>IFERROR(__xludf.DUMMYFUNCTION("""COMPUTED_VALUE"""),"")</f>
        <v/>
      </c>
      <c r="Z2971" s="141" t="str">
        <f>IFERROR(__xludf.DUMMYFUNCTION("""COMPUTED_VALUE"""),"")</f>
        <v/>
      </c>
    </row>
    <row r="2972">
      <c r="D2972" s="136" t="str">
        <f t="shared" si="3"/>
        <v/>
      </c>
      <c r="E2972" s="152"/>
      <c r="F2972" s="106" t="s">
        <v>133</v>
      </c>
      <c r="G2972" s="152"/>
      <c r="H2972" s="106" t="s">
        <v>133</v>
      </c>
      <c r="J2972" s="139" t="s">
        <v>133</v>
      </c>
      <c r="K2972" s="136" t="s">
        <v>133</v>
      </c>
      <c r="L2972" s="153"/>
      <c r="M2972" s="136" t="str">
        <f t="shared" si="1"/>
        <v/>
      </c>
      <c r="O2972" s="141" t="s">
        <v>133</v>
      </c>
      <c r="P2972" s="136" t="str">
        <f>IFERROR(__xludf.DUMMYFUNCTION("""COMPUTED_VALUE"""),"")</f>
        <v/>
      </c>
      <c r="Q2972" s="136" t="str">
        <f>IFERROR(__xludf.DUMMYFUNCTION("""COMPUTED_VALUE"""),"")</f>
        <v/>
      </c>
      <c r="R2972" s="106" t="str">
        <f>IFERROR(__xludf.DUMMYFUNCTION("""COMPUTED_VALUE"""),"")</f>
        <v/>
      </c>
      <c r="S2972" s="106" t="str">
        <f>IFERROR(__xludf.DUMMYFUNCTION("""COMPUTED_VALUE"""),"")</f>
        <v/>
      </c>
      <c r="T2972" s="139" t="str">
        <f>IFERROR(__xludf.DUMMYFUNCTION("""COMPUTED_VALUE"""),"")</f>
        <v/>
      </c>
      <c r="U2972" s="139" t="str">
        <f>IFERROR(__xludf.DUMMYFUNCTION("""COMPUTED_VALUE"""),"")</f>
        <v/>
      </c>
      <c r="V2972" s="136" t="str">
        <f>IFERROR(__xludf.DUMMYFUNCTION("""COMPUTED_VALUE"""),"")</f>
        <v/>
      </c>
      <c r="W2972" s="106" t="str">
        <f>IFERROR(__xludf.DUMMYFUNCTION("""COMPUTED_VALUE"""),"")</f>
        <v/>
      </c>
      <c r="X2972" s="143" t="str">
        <f t="shared" si="2"/>
        <v/>
      </c>
      <c r="Y2972" s="139" t="str">
        <f>IFERROR(__xludf.DUMMYFUNCTION("""COMPUTED_VALUE"""),"")</f>
        <v/>
      </c>
      <c r="Z2972" s="141" t="str">
        <f>IFERROR(__xludf.DUMMYFUNCTION("""COMPUTED_VALUE"""),"")</f>
        <v/>
      </c>
    </row>
    <row r="2973">
      <c r="D2973" s="136" t="str">
        <f t="shared" si="3"/>
        <v/>
      </c>
      <c r="E2973" s="152"/>
      <c r="F2973" s="106" t="s">
        <v>133</v>
      </c>
      <c r="G2973" s="152"/>
      <c r="H2973" s="106" t="s">
        <v>133</v>
      </c>
      <c r="J2973" s="139" t="s">
        <v>133</v>
      </c>
      <c r="K2973" s="136" t="s">
        <v>133</v>
      </c>
      <c r="L2973" s="153"/>
      <c r="M2973" s="136" t="str">
        <f t="shared" si="1"/>
        <v/>
      </c>
      <c r="O2973" s="141" t="s">
        <v>133</v>
      </c>
      <c r="P2973" s="136" t="str">
        <f>IFERROR(__xludf.DUMMYFUNCTION("""COMPUTED_VALUE"""),"")</f>
        <v/>
      </c>
      <c r="Q2973" s="136" t="str">
        <f>IFERROR(__xludf.DUMMYFUNCTION("""COMPUTED_VALUE"""),"")</f>
        <v/>
      </c>
      <c r="R2973" s="106" t="str">
        <f>IFERROR(__xludf.DUMMYFUNCTION("""COMPUTED_VALUE"""),"")</f>
        <v/>
      </c>
      <c r="S2973" s="106" t="str">
        <f>IFERROR(__xludf.DUMMYFUNCTION("""COMPUTED_VALUE"""),"")</f>
        <v/>
      </c>
      <c r="T2973" s="139" t="str">
        <f>IFERROR(__xludf.DUMMYFUNCTION("""COMPUTED_VALUE"""),"")</f>
        <v/>
      </c>
      <c r="U2973" s="139" t="str">
        <f>IFERROR(__xludf.DUMMYFUNCTION("""COMPUTED_VALUE"""),"")</f>
        <v/>
      </c>
      <c r="V2973" s="136" t="str">
        <f>IFERROR(__xludf.DUMMYFUNCTION("""COMPUTED_VALUE"""),"")</f>
        <v/>
      </c>
      <c r="W2973" s="106" t="str">
        <f>IFERROR(__xludf.DUMMYFUNCTION("""COMPUTED_VALUE"""),"")</f>
        <v/>
      </c>
      <c r="X2973" s="143" t="str">
        <f t="shared" si="2"/>
        <v/>
      </c>
      <c r="Y2973" s="139" t="str">
        <f>IFERROR(__xludf.DUMMYFUNCTION("""COMPUTED_VALUE"""),"")</f>
        <v/>
      </c>
      <c r="Z2973" s="141" t="str">
        <f>IFERROR(__xludf.DUMMYFUNCTION("""COMPUTED_VALUE"""),"")</f>
        <v/>
      </c>
    </row>
    <row r="2974">
      <c r="D2974" s="136" t="str">
        <f t="shared" si="3"/>
        <v/>
      </c>
      <c r="E2974" s="152"/>
      <c r="F2974" s="106" t="s">
        <v>133</v>
      </c>
      <c r="G2974" s="152"/>
      <c r="H2974" s="106" t="s">
        <v>133</v>
      </c>
      <c r="J2974" s="139" t="s">
        <v>133</v>
      </c>
      <c r="K2974" s="136" t="s">
        <v>133</v>
      </c>
      <c r="L2974" s="153"/>
      <c r="M2974" s="136" t="str">
        <f t="shared" si="1"/>
        <v/>
      </c>
      <c r="O2974" s="141" t="s">
        <v>133</v>
      </c>
      <c r="P2974" s="136" t="str">
        <f>IFERROR(__xludf.DUMMYFUNCTION("""COMPUTED_VALUE"""),"")</f>
        <v/>
      </c>
      <c r="Q2974" s="136" t="str">
        <f>IFERROR(__xludf.DUMMYFUNCTION("""COMPUTED_VALUE"""),"")</f>
        <v/>
      </c>
      <c r="R2974" s="106" t="str">
        <f>IFERROR(__xludf.DUMMYFUNCTION("""COMPUTED_VALUE"""),"")</f>
        <v/>
      </c>
      <c r="S2974" s="106" t="str">
        <f>IFERROR(__xludf.DUMMYFUNCTION("""COMPUTED_VALUE"""),"")</f>
        <v/>
      </c>
      <c r="T2974" s="139" t="str">
        <f>IFERROR(__xludf.DUMMYFUNCTION("""COMPUTED_VALUE"""),"")</f>
        <v/>
      </c>
      <c r="U2974" s="139" t="str">
        <f>IFERROR(__xludf.DUMMYFUNCTION("""COMPUTED_VALUE"""),"")</f>
        <v/>
      </c>
      <c r="V2974" s="136" t="str">
        <f>IFERROR(__xludf.DUMMYFUNCTION("""COMPUTED_VALUE"""),"")</f>
        <v/>
      </c>
      <c r="W2974" s="106" t="str">
        <f>IFERROR(__xludf.DUMMYFUNCTION("""COMPUTED_VALUE"""),"")</f>
        <v/>
      </c>
      <c r="X2974" s="143" t="str">
        <f t="shared" si="2"/>
        <v/>
      </c>
      <c r="Y2974" s="139" t="str">
        <f>IFERROR(__xludf.DUMMYFUNCTION("""COMPUTED_VALUE"""),"")</f>
        <v/>
      </c>
      <c r="Z2974" s="141" t="str">
        <f>IFERROR(__xludf.DUMMYFUNCTION("""COMPUTED_VALUE"""),"")</f>
        <v/>
      </c>
    </row>
    <row r="2975">
      <c r="D2975" s="136" t="str">
        <f t="shared" si="3"/>
        <v/>
      </c>
      <c r="E2975" s="152"/>
      <c r="F2975" s="106" t="s">
        <v>133</v>
      </c>
      <c r="G2975" s="152"/>
      <c r="H2975" s="106" t="s">
        <v>133</v>
      </c>
      <c r="J2975" s="139" t="s">
        <v>133</v>
      </c>
      <c r="K2975" s="136" t="s">
        <v>133</v>
      </c>
      <c r="L2975" s="153"/>
      <c r="M2975" s="136" t="str">
        <f t="shared" si="1"/>
        <v/>
      </c>
      <c r="O2975" s="141" t="s">
        <v>133</v>
      </c>
      <c r="P2975" s="136" t="str">
        <f>IFERROR(__xludf.DUMMYFUNCTION("""COMPUTED_VALUE"""),"")</f>
        <v/>
      </c>
      <c r="Q2975" s="136" t="str">
        <f>IFERROR(__xludf.DUMMYFUNCTION("""COMPUTED_VALUE"""),"")</f>
        <v/>
      </c>
      <c r="R2975" s="106" t="str">
        <f>IFERROR(__xludf.DUMMYFUNCTION("""COMPUTED_VALUE"""),"")</f>
        <v/>
      </c>
      <c r="S2975" s="106" t="str">
        <f>IFERROR(__xludf.DUMMYFUNCTION("""COMPUTED_VALUE"""),"")</f>
        <v/>
      </c>
      <c r="T2975" s="139" t="str">
        <f>IFERROR(__xludf.DUMMYFUNCTION("""COMPUTED_VALUE"""),"")</f>
        <v/>
      </c>
      <c r="U2975" s="139" t="str">
        <f>IFERROR(__xludf.DUMMYFUNCTION("""COMPUTED_VALUE"""),"")</f>
        <v/>
      </c>
      <c r="V2975" s="136" t="str">
        <f>IFERROR(__xludf.DUMMYFUNCTION("""COMPUTED_VALUE"""),"")</f>
        <v/>
      </c>
      <c r="W2975" s="106" t="str">
        <f>IFERROR(__xludf.DUMMYFUNCTION("""COMPUTED_VALUE"""),"")</f>
        <v/>
      </c>
      <c r="X2975" s="143" t="str">
        <f t="shared" si="2"/>
        <v/>
      </c>
      <c r="Y2975" s="139" t="str">
        <f>IFERROR(__xludf.DUMMYFUNCTION("""COMPUTED_VALUE"""),"")</f>
        <v/>
      </c>
      <c r="Z2975" s="141" t="str">
        <f>IFERROR(__xludf.DUMMYFUNCTION("""COMPUTED_VALUE"""),"")</f>
        <v/>
      </c>
    </row>
    <row r="2976">
      <c r="D2976" s="136" t="str">
        <f t="shared" si="3"/>
        <v/>
      </c>
      <c r="E2976" s="152"/>
      <c r="F2976" s="106" t="s">
        <v>133</v>
      </c>
      <c r="G2976" s="152"/>
      <c r="H2976" s="106" t="s">
        <v>133</v>
      </c>
      <c r="J2976" s="139" t="s">
        <v>133</v>
      </c>
      <c r="K2976" s="136" t="s">
        <v>133</v>
      </c>
      <c r="L2976" s="153"/>
      <c r="M2976" s="136" t="str">
        <f t="shared" si="1"/>
        <v/>
      </c>
      <c r="O2976" s="141" t="s">
        <v>133</v>
      </c>
      <c r="P2976" s="136" t="str">
        <f>IFERROR(__xludf.DUMMYFUNCTION("""COMPUTED_VALUE"""),"")</f>
        <v/>
      </c>
      <c r="Q2976" s="136" t="str">
        <f>IFERROR(__xludf.DUMMYFUNCTION("""COMPUTED_VALUE"""),"")</f>
        <v/>
      </c>
      <c r="R2976" s="106" t="str">
        <f>IFERROR(__xludf.DUMMYFUNCTION("""COMPUTED_VALUE"""),"")</f>
        <v/>
      </c>
      <c r="S2976" s="106" t="str">
        <f>IFERROR(__xludf.DUMMYFUNCTION("""COMPUTED_VALUE"""),"")</f>
        <v/>
      </c>
      <c r="T2976" s="139" t="str">
        <f>IFERROR(__xludf.DUMMYFUNCTION("""COMPUTED_VALUE"""),"")</f>
        <v/>
      </c>
      <c r="U2976" s="139" t="str">
        <f>IFERROR(__xludf.DUMMYFUNCTION("""COMPUTED_VALUE"""),"")</f>
        <v/>
      </c>
      <c r="V2976" s="136" t="str">
        <f>IFERROR(__xludf.DUMMYFUNCTION("""COMPUTED_VALUE"""),"")</f>
        <v/>
      </c>
      <c r="W2976" s="106" t="str">
        <f>IFERROR(__xludf.DUMMYFUNCTION("""COMPUTED_VALUE"""),"")</f>
        <v/>
      </c>
      <c r="X2976" s="143" t="str">
        <f t="shared" si="2"/>
        <v/>
      </c>
      <c r="Y2976" s="139" t="str">
        <f>IFERROR(__xludf.DUMMYFUNCTION("""COMPUTED_VALUE"""),"")</f>
        <v/>
      </c>
      <c r="Z2976" s="141" t="str">
        <f>IFERROR(__xludf.DUMMYFUNCTION("""COMPUTED_VALUE"""),"")</f>
        <v/>
      </c>
    </row>
    <row r="2977">
      <c r="D2977" s="136" t="str">
        <f t="shared" si="3"/>
        <v/>
      </c>
      <c r="E2977" s="152"/>
      <c r="F2977" s="106" t="s">
        <v>133</v>
      </c>
      <c r="G2977" s="152"/>
      <c r="H2977" s="106" t="s">
        <v>133</v>
      </c>
      <c r="J2977" s="139" t="s">
        <v>133</v>
      </c>
      <c r="K2977" s="136" t="s">
        <v>133</v>
      </c>
      <c r="L2977" s="153"/>
      <c r="M2977" s="136" t="str">
        <f t="shared" si="1"/>
        <v/>
      </c>
      <c r="O2977" s="141" t="s">
        <v>133</v>
      </c>
      <c r="P2977" s="136" t="str">
        <f>IFERROR(__xludf.DUMMYFUNCTION("""COMPUTED_VALUE"""),"")</f>
        <v/>
      </c>
      <c r="Q2977" s="136" t="str">
        <f>IFERROR(__xludf.DUMMYFUNCTION("""COMPUTED_VALUE"""),"")</f>
        <v/>
      </c>
      <c r="R2977" s="106" t="str">
        <f>IFERROR(__xludf.DUMMYFUNCTION("""COMPUTED_VALUE"""),"")</f>
        <v/>
      </c>
      <c r="S2977" s="106" t="str">
        <f>IFERROR(__xludf.DUMMYFUNCTION("""COMPUTED_VALUE"""),"")</f>
        <v/>
      </c>
      <c r="T2977" s="139" t="str">
        <f>IFERROR(__xludf.DUMMYFUNCTION("""COMPUTED_VALUE"""),"")</f>
        <v/>
      </c>
      <c r="U2977" s="139" t="str">
        <f>IFERROR(__xludf.DUMMYFUNCTION("""COMPUTED_VALUE"""),"")</f>
        <v/>
      </c>
      <c r="V2977" s="136" t="str">
        <f>IFERROR(__xludf.DUMMYFUNCTION("""COMPUTED_VALUE"""),"")</f>
        <v/>
      </c>
      <c r="W2977" s="106" t="str">
        <f>IFERROR(__xludf.DUMMYFUNCTION("""COMPUTED_VALUE"""),"")</f>
        <v/>
      </c>
      <c r="X2977" s="143" t="str">
        <f t="shared" si="2"/>
        <v/>
      </c>
      <c r="Y2977" s="139" t="str">
        <f>IFERROR(__xludf.DUMMYFUNCTION("""COMPUTED_VALUE"""),"")</f>
        <v/>
      </c>
      <c r="Z2977" s="141" t="str">
        <f>IFERROR(__xludf.DUMMYFUNCTION("""COMPUTED_VALUE"""),"")</f>
        <v/>
      </c>
    </row>
    <row r="2978">
      <c r="D2978" s="136" t="str">
        <f t="shared" si="3"/>
        <v/>
      </c>
      <c r="E2978" s="152"/>
      <c r="F2978" s="106" t="s">
        <v>133</v>
      </c>
      <c r="G2978" s="152"/>
      <c r="H2978" s="106" t="s">
        <v>133</v>
      </c>
      <c r="J2978" s="139" t="s">
        <v>133</v>
      </c>
      <c r="K2978" s="136" t="s">
        <v>133</v>
      </c>
      <c r="L2978" s="153"/>
      <c r="M2978" s="136" t="str">
        <f t="shared" si="1"/>
        <v/>
      </c>
      <c r="O2978" s="141" t="s">
        <v>133</v>
      </c>
      <c r="P2978" s="136" t="str">
        <f>IFERROR(__xludf.DUMMYFUNCTION("""COMPUTED_VALUE"""),"")</f>
        <v/>
      </c>
      <c r="Q2978" s="136" t="str">
        <f>IFERROR(__xludf.DUMMYFUNCTION("""COMPUTED_VALUE"""),"")</f>
        <v/>
      </c>
      <c r="R2978" s="106" t="str">
        <f>IFERROR(__xludf.DUMMYFUNCTION("""COMPUTED_VALUE"""),"")</f>
        <v/>
      </c>
      <c r="S2978" s="106" t="str">
        <f>IFERROR(__xludf.DUMMYFUNCTION("""COMPUTED_VALUE"""),"")</f>
        <v/>
      </c>
      <c r="T2978" s="139" t="str">
        <f>IFERROR(__xludf.DUMMYFUNCTION("""COMPUTED_VALUE"""),"")</f>
        <v/>
      </c>
      <c r="U2978" s="139" t="str">
        <f>IFERROR(__xludf.DUMMYFUNCTION("""COMPUTED_VALUE"""),"")</f>
        <v/>
      </c>
      <c r="V2978" s="136" t="str">
        <f>IFERROR(__xludf.DUMMYFUNCTION("""COMPUTED_VALUE"""),"")</f>
        <v/>
      </c>
      <c r="W2978" s="106" t="str">
        <f>IFERROR(__xludf.DUMMYFUNCTION("""COMPUTED_VALUE"""),"")</f>
        <v/>
      </c>
      <c r="X2978" s="143" t="str">
        <f t="shared" si="2"/>
        <v/>
      </c>
      <c r="Y2978" s="139" t="str">
        <f>IFERROR(__xludf.DUMMYFUNCTION("""COMPUTED_VALUE"""),"")</f>
        <v/>
      </c>
      <c r="Z2978" s="141" t="str">
        <f>IFERROR(__xludf.DUMMYFUNCTION("""COMPUTED_VALUE"""),"")</f>
        <v/>
      </c>
    </row>
    <row r="2979">
      <c r="D2979" s="136" t="str">
        <f t="shared" si="3"/>
        <v/>
      </c>
      <c r="E2979" s="152"/>
      <c r="F2979" s="106" t="s">
        <v>133</v>
      </c>
      <c r="G2979" s="152"/>
      <c r="H2979" s="106" t="s">
        <v>133</v>
      </c>
      <c r="J2979" s="139" t="s">
        <v>133</v>
      </c>
      <c r="K2979" s="136" t="s">
        <v>133</v>
      </c>
      <c r="L2979" s="153"/>
      <c r="M2979" s="136" t="str">
        <f t="shared" si="1"/>
        <v/>
      </c>
      <c r="O2979" s="141" t="s">
        <v>133</v>
      </c>
      <c r="P2979" s="136" t="str">
        <f>IFERROR(__xludf.DUMMYFUNCTION("""COMPUTED_VALUE"""),"")</f>
        <v/>
      </c>
      <c r="Q2979" s="136" t="str">
        <f>IFERROR(__xludf.DUMMYFUNCTION("""COMPUTED_VALUE"""),"")</f>
        <v/>
      </c>
      <c r="R2979" s="106" t="str">
        <f>IFERROR(__xludf.DUMMYFUNCTION("""COMPUTED_VALUE"""),"")</f>
        <v/>
      </c>
      <c r="S2979" s="106" t="str">
        <f>IFERROR(__xludf.DUMMYFUNCTION("""COMPUTED_VALUE"""),"")</f>
        <v/>
      </c>
      <c r="T2979" s="139" t="str">
        <f>IFERROR(__xludf.DUMMYFUNCTION("""COMPUTED_VALUE"""),"")</f>
        <v/>
      </c>
      <c r="U2979" s="139" t="str">
        <f>IFERROR(__xludf.DUMMYFUNCTION("""COMPUTED_VALUE"""),"")</f>
        <v/>
      </c>
      <c r="V2979" s="136" t="str">
        <f>IFERROR(__xludf.DUMMYFUNCTION("""COMPUTED_VALUE"""),"")</f>
        <v/>
      </c>
      <c r="W2979" s="106" t="str">
        <f>IFERROR(__xludf.DUMMYFUNCTION("""COMPUTED_VALUE"""),"")</f>
        <v/>
      </c>
      <c r="X2979" s="143" t="str">
        <f t="shared" si="2"/>
        <v/>
      </c>
      <c r="Y2979" s="139" t="str">
        <f>IFERROR(__xludf.DUMMYFUNCTION("""COMPUTED_VALUE"""),"")</f>
        <v/>
      </c>
      <c r="Z2979" s="141" t="str">
        <f>IFERROR(__xludf.DUMMYFUNCTION("""COMPUTED_VALUE"""),"")</f>
        <v/>
      </c>
    </row>
    <row r="2980">
      <c r="D2980" s="136" t="str">
        <f t="shared" si="3"/>
        <v/>
      </c>
      <c r="E2980" s="152"/>
      <c r="F2980" s="106" t="s">
        <v>133</v>
      </c>
      <c r="G2980" s="152"/>
      <c r="H2980" s="106" t="s">
        <v>133</v>
      </c>
      <c r="J2980" s="139" t="s">
        <v>133</v>
      </c>
      <c r="K2980" s="136" t="s">
        <v>133</v>
      </c>
      <c r="L2980" s="153"/>
      <c r="M2980" s="136" t="str">
        <f t="shared" si="1"/>
        <v/>
      </c>
      <c r="O2980" s="141" t="s">
        <v>133</v>
      </c>
      <c r="P2980" s="136" t="str">
        <f>IFERROR(__xludf.DUMMYFUNCTION("""COMPUTED_VALUE"""),"")</f>
        <v/>
      </c>
      <c r="Q2980" s="136" t="str">
        <f>IFERROR(__xludf.DUMMYFUNCTION("""COMPUTED_VALUE"""),"")</f>
        <v/>
      </c>
      <c r="R2980" s="106" t="str">
        <f>IFERROR(__xludf.DUMMYFUNCTION("""COMPUTED_VALUE"""),"")</f>
        <v/>
      </c>
      <c r="S2980" s="106" t="str">
        <f>IFERROR(__xludf.DUMMYFUNCTION("""COMPUTED_VALUE"""),"")</f>
        <v/>
      </c>
      <c r="T2980" s="139" t="str">
        <f>IFERROR(__xludf.DUMMYFUNCTION("""COMPUTED_VALUE"""),"")</f>
        <v/>
      </c>
      <c r="U2980" s="139" t="str">
        <f>IFERROR(__xludf.DUMMYFUNCTION("""COMPUTED_VALUE"""),"")</f>
        <v/>
      </c>
      <c r="V2980" s="136" t="str">
        <f>IFERROR(__xludf.DUMMYFUNCTION("""COMPUTED_VALUE"""),"")</f>
        <v/>
      </c>
      <c r="W2980" s="106" t="str">
        <f>IFERROR(__xludf.DUMMYFUNCTION("""COMPUTED_VALUE"""),"")</f>
        <v/>
      </c>
      <c r="X2980" s="143" t="str">
        <f t="shared" si="2"/>
        <v/>
      </c>
      <c r="Y2980" s="139" t="str">
        <f>IFERROR(__xludf.DUMMYFUNCTION("""COMPUTED_VALUE"""),"")</f>
        <v/>
      </c>
      <c r="Z2980" s="141" t="str">
        <f>IFERROR(__xludf.DUMMYFUNCTION("""COMPUTED_VALUE"""),"")</f>
        <v/>
      </c>
    </row>
    <row r="2981">
      <c r="D2981" s="136" t="str">
        <f t="shared" si="3"/>
        <v/>
      </c>
      <c r="E2981" s="152"/>
      <c r="F2981" s="106" t="s">
        <v>133</v>
      </c>
      <c r="G2981" s="152"/>
      <c r="H2981" s="106" t="s">
        <v>133</v>
      </c>
      <c r="J2981" s="139" t="s">
        <v>133</v>
      </c>
      <c r="K2981" s="136" t="s">
        <v>133</v>
      </c>
      <c r="L2981" s="153"/>
      <c r="M2981" s="136" t="str">
        <f t="shared" si="1"/>
        <v/>
      </c>
      <c r="O2981" s="141" t="s">
        <v>133</v>
      </c>
      <c r="P2981" s="136" t="str">
        <f>IFERROR(__xludf.DUMMYFUNCTION("""COMPUTED_VALUE"""),"")</f>
        <v/>
      </c>
      <c r="Q2981" s="136" t="str">
        <f>IFERROR(__xludf.DUMMYFUNCTION("""COMPUTED_VALUE"""),"")</f>
        <v/>
      </c>
      <c r="R2981" s="106" t="str">
        <f>IFERROR(__xludf.DUMMYFUNCTION("""COMPUTED_VALUE"""),"")</f>
        <v/>
      </c>
      <c r="S2981" s="106" t="str">
        <f>IFERROR(__xludf.DUMMYFUNCTION("""COMPUTED_VALUE"""),"")</f>
        <v/>
      </c>
      <c r="T2981" s="139" t="str">
        <f>IFERROR(__xludf.DUMMYFUNCTION("""COMPUTED_VALUE"""),"")</f>
        <v/>
      </c>
      <c r="U2981" s="139" t="str">
        <f>IFERROR(__xludf.DUMMYFUNCTION("""COMPUTED_VALUE"""),"")</f>
        <v/>
      </c>
      <c r="V2981" s="136" t="str">
        <f>IFERROR(__xludf.DUMMYFUNCTION("""COMPUTED_VALUE"""),"")</f>
        <v/>
      </c>
      <c r="W2981" s="106" t="str">
        <f>IFERROR(__xludf.DUMMYFUNCTION("""COMPUTED_VALUE"""),"")</f>
        <v/>
      </c>
      <c r="X2981" s="143" t="str">
        <f t="shared" si="2"/>
        <v/>
      </c>
      <c r="Y2981" s="139" t="str">
        <f>IFERROR(__xludf.DUMMYFUNCTION("""COMPUTED_VALUE"""),"")</f>
        <v/>
      </c>
      <c r="Z2981" s="141" t="str">
        <f>IFERROR(__xludf.DUMMYFUNCTION("""COMPUTED_VALUE"""),"")</f>
        <v/>
      </c>
    </row>
    <row r="2982">
      <c r="D2982" s="136" t="str">
        <f t="shared" si="3"/>
        <v/>
      </c>
      <c r="E2982" s="152"/>
      <c r="F2982" s="106" t="s">
        <v>133</v>
      </c>
      <c r="G2982" s="152"/>
      <c r="H2982" s="106" t="s">
        <v>133</v>
      </c>
      <c r="J2982" s="139" t="s">
        <v>133</v>
      </c>
      <c r="K2982" s="136" t="s">
        <v>133</v>
      </c>
      <c r="L2982" s="153"/>
      <c r="M2982" s="136" t="str">
        <f t="shared" si="1"/>
        <v/>
      </c>
      <c r="O2982" s="141" t="s">
        <v>133</v>
      </c>
      <c r="P2982" s="136" t="str">
        <f>IFERROR(__xludf.DUMMYFUNCTION("""COMPUTED_VALUE"""),"")</f>
        <v/>
      </c>
      <c r="Q2982" s="136" t="str">
        <f>IFERROR(__xludf.DUMMYFUNCTION("""COMPUTED_VALUE"""),"")</f>
        <v/>
      </c>
      <c r="R2982" s="106" t="str">
        <f>IFERROR(__xludf.DUMMYFUNCTION("""COMPUTED_VALUE"""),"")</f>
        <v/>
      </c>
      <c r="S2982" s="106" t="str">
        <f>IFERROR(__xludf.DUMMYFUNCTION("""COMPUTED_VALUE"""),"")</f>
        <v/>
      </c>
      <c r="T2982" s="139" t="str">
        <f>IFERROR(__xludf.DUMMYFUNCTION("""COMPUTED_VALUE"""),"")</f>
        <v/>
      </c>
      <c r="U2982" s="139" t="str">
        <f>IFERROR(__xludf.DUMMYFUNCTION("""COMPUTED_VALUE"""),"")</f>
        <v/>
      </c>
      <c r="V2982" s="136" t="str">
        <f>IFERROR(__xludf.DUMMYFUNCTION("""COMPUTED_VALUE"""),"")</f>
        <v/>
      </c>
      <c r="W2982" s="106" t="str">
        <f>IFERROR(__xludf.DUMMYFUNCTION("""COMPUTED_VALUE"""),"")</f>
        <v/>
      </c>
      <c r="X2982" s="143" t="str">
        <f t="shared" si="2"/>
        <v/>
      </c>
      <c r="Y2982" s="139" t="str">
        <f>IFERROR(__xludf.DUMMYFUNCTION("""COMPUTED_VALUE"""),"")</f>
        <v/>
      </c>
      <c r="Z2982" s="141" t="str">
        <f>IFERROR(__xludf.DUMMYFUNCTION("""COMPUTED_VALUE"""),"")</f>
        <v/>
      </c>
    </row>
    <row r="2983">
      <c r="D2983" s="136" t="str">
        <f t="shared" si="3"/>
        <v/>
      </c>
      <c r="E2983" s="152"/>
      <c r="F2983" s="106" t="s">
        <v>133</v>
      </c>
      <c r="G2983" s="152"/>
      <c r="H2983" s="106" t="s">
        <v>133</v>
      </c>
      <c r="J2983" s="139" t="s">
        <v>133</v>
      </c>
      <c r="K2983" s="136" t="s">
        <v>133</v>
      </c>
      <c r="L2983" s="153"/>
      <c r="M2983" s="136" t="str">
        <f t="shared" si="1"/>
        <v/>
      </c>
      <c r="O2983" s="141" t="s">
        <v>133</v>
      </c>
      <c r="P2983" s="136" t="str">
        <f>IFERROR(__xludf.DUMMYFUNCTION("""COMPUTED_VALUE"""),"")</f>
        <v/>
      </c>
      <c r="Q2983" s="136" t="str">
        <f>IFERROR(__xludf.DUMMYFUNCTION("""COMPUTED_VALUE"""),"")</f>
        <v/>
      </c>
      <c r="R2983" s="106" t="str">
        <f>IFERROR(__xludf.DUMMYFUNCTION("""COMPUTED_VALUE"""),"")</f>
        <v/>
      </c>
      <c r="S2983" s="106" t="str">
        <f>IFERROR(__xludf.DUMMYFUNCTION("""COMPUTED_VALUE"""),"")</f>
        <v/>
      </c>
      <c r="T2983" s="139" t="str">
        <f>IFERROR(__xludf.DUMMYFUNCTION("""COMPUTED_VALUE"""),"")</f>
        <v/>
      </c>
      <c r="U2983" s="139" t="str">
        <f>IFERROR(__xludf.DUMMYFUNCTION("""COMPUTED_VALUE"""),"")</f>
        <v/>
      </c>
      <c r="V2983" s="136" t="str">
        <f>IFERROR(__xludf.DUMMYFUNCTION("""COMPUTED_VALUE"""),"")</f>
        <v/>
      </c>
      <c r="W2983" s="106" t="str">
        <f>IFERROR(__xludf.DUMMYFUNCTION("""COMPUTED_VALUE"""),"")</f>
        <v/>
      </c>
      <c r="X2983" s="143" t="str">
        <f t="shared" si="2"/>
        <v/>
      </c>
      <c r="Y2983" s="139" t="str">
        <f>IFERROR(__xludf.DUMMYFUNCTION("""COMPUTED_VALUE"""),"")</f>
        <v/>
      </c>
      <c r="Z2983" s="141" t="str">
        <f>IFERROR(__xludf.DUMMYFUNCTION("""COMPUTED_VALUE"""),"")</f>
        <v/>
      </c>
    </row>
    <row r="2984">
      <c r="D2984" s="136" t="str">
        <f t="shared" si="3"/>
        <v/>
      </c>
      <c r="E2984" s="152"/>
      <c r="F2984" s="106" t="s">
        <v>133</v>
      </c>
      <c r="G2984" s="152"/>
      <c r="H2984" s="106" t="s">
        <v>133</v>
      </c>
      <c r="J2984" s="139" t="s">
        <v>133</v>
      </c>
      <c r="K2984" s="136" t="s">
        <v>133</v>
      </c>
      <c r="L2984" s="153"/>
      <c r="M2984" s="136" t="str">
        <f t="shared" si="1"/>
        <v/>
      </c>
      <c r="O2984" s="141" t="s">
        <v>133</v>
      </c>
      <c r="P2984" s="136" t="str">
        <f>IFERROR(__xludf.DUMMYFUNCTION("""COMPUTED_VALUE"""),"")</f>
        <v/>
      </c>
      <c r="Q2984" s="136" t="str">
        <f>IFERROR(__xludf.DUMMYFUNCTION("""COMPUTED_VALUE"""),"")</f>
        <v/>
      </c>
      <c r="R2984" s="106" t="str">
        <f>IFERROR(__xludf.DUMMYFUNCTION("""COMPUTED_VALUE"""),"")</f>
        <v/>
      </c>
      <c r="S2984" s="106" t="str">
        <f>IFERROR(__xludf.DUMMYFUNCTION("""COMPUTED_VALUE"""),"")</f>
        <v/>
      </c>
      <c r="T2984" s="139" t="str">
        <f>IFERROR(__xludf.DUMMYFUNCTION("""COMPUTED_VALUE"""),"")</f>
        <v/>
      </c>
      <c r="U2984" s="139" t="str">
        <f>IFERROR(__xludf.DUMMYFUNCTION("""COMPUTED_VALUE"""),"")</f>
        <v/>
      </c>
      <c r="V2984" s="136" t="str">
        <f>IFERROR(__xludf.DUMMYFUNCTION("""COMPUTED_VALUE"""),"")</f>
        <v/>
      </c>
      <c r="W2984" s="106" t="str">
        <f>IFERROR(__xludf.DUMMYFUNCTION("""COMPUTED_VALUE"""),"")</f>
        <v/>
      </c>
      <c r="X2984" s="143" t="str">
        <f t="shared" si="2"/>
        <v/>
      </c>
      <c r="Y2984" s="139" t="str">
        <f>IFERROR(__xludf.DUMMYFUNCTION("""COMPUTED_VALUE"""),"")</f>
        <v/>
      </c>
      <c r="Z2984" s="141" t="str">
        <f>IFERROR(__xludf.DUMMYFUNCTION("""COMPUTED_VALUE"""),"")</f>
        <v/>
      </c>
    </row>
    <row r="2985">
      <c r="D2985" s="136" t="str">
        <f t="shared" si="3"/>
        <v/>
      </c>
      <c r="E2985" s="152"/>
      <c r="F2985" s="106" t="s">
        <v>133</v>
      </c>
      <c r="G2985" s="152"/>
      <c r="H2985" s="106" t="s">
        <v>133</v>
      </c>
      <c r="J2985" s="139" t="s">
        <v>133</v>
      </c>
      <c r="K2985" s="136" t="s">
        <v>133</v>
      </c>
      <c r="L2985" s="153"/>
      <c r="M2985" s="136" t="str">
        <f t="shared" si="1"/>
        <v/>
      </c>
      <c r="O2985" s="141" t="s">
        <v>133</v>
      </c>
      <c r="P2985" s="136" t="str">
        <f>IFERROR(__xludf.DUMMYFUNCTION("""COMPUTED_VALUE"""),"")</f>
        <v/>
      </c>
      <c r="Q2985" s="136" t="str">
        <f>IFERROR(__xludf.DUMMYFUNCTION("""COMPUTED_VALUE"""),"")</f>
        <v/>
      </c>
      <c r="R2985" s="106" t="str">
        <f>IFERROR(__xludf.DUMMYFUNCTION("""COMPUTED_VALUE"""),"")</f>
        <v/>
      </c>
      <c r="S2985" s="106" t="str">
        <f>IFERROR(__xludf.DUMMYFUNCTION("""COMPUTED_VALUE"""),"")</f>
        <v/>
      </c>
      <c r="T2985" s="139" t="str">
        <f>IFERROR(__xludf.DUMMYFUNCTION("""COMPUTED_VALUE"""),"")</f>
        <v/>
      </c>
      <c r="U2985" s="139" t="str">
        <f>IFERROR(__xludf.DUMMYFUNCTION("""COMPUTED_VALUE"""),"")</f>
        <v/>
      </c>
      <c r="V2985" s="136" t="str">
        <f>IFERROR(__xludf.DUMMYFUNCTION("""COMPUTED_VALUE"""),"")</f>
        <v/>
      </c>
      <c r="W2985" s="106" t="str">
        <f>IFERROR(__xludf.DUMMYFUNCTION("""COMPUTED_VALUE"""),"")</f>
        <v/>
      </c>
      <c r="X2985" s="143" t="str">
        <f t="shared" si="2"/>
        <v/>
      </c>
      <c r="Y2985" s="139" t="str">
        <f>IFERROR(__xludf.DUMMYFUNCTION("""COMPUTED_VALUE"""),"")</f>
        <v/>
      </c>
      <c r="Z2985" s="141" t="str">
        <f>IFERROR(__xludf.DUMMYFUNCTION("""COMPUTED_VALUE"""),"")</f>
        <v/>
      </c>
    </row>
    <row r="2986">
      <c r="D2986" s="136" t="str">
        <f t="shared" si="3"/>
        <v/>
      </c>
      <c r="E2986" s="152"/>
      <c r="F2986" s="106" t="s">
        <v>133</v>
      </c>
      <c r="G2986" s="152"/>
      <c r="H2986" s="106" t="s">
        <v>133</v>
      </c>
      <c r="J2986" s="139" t="s">
        <v>133</v>
      </c>
      <c r="K2986" s="136" t="s">
        <v>133</v>
      </c>
      <c r="L2986" s="153"/>
      <c r="M2986" s="136" t="str">
        <f t="shared" si="1"/>
        <v/>
      </c>
      <c r="O2986" s="141" t="s">
        <v>133</v>
      </c>
      <c r="P2986" s="136" t="str">
        <f>IFERROR(__xludf.DUMMYFUNCTION("""COMPUTED_VALUE"""),"")</f>
        <v/>
      </c>
      <c r="Q2986" s="136" t="str">
        <f>IFERROR(__xludf.DUMMYFUNCTION("""COMPUTED_VALUE"""),"")</f>
        <v/>
      </c>
      <c r="R2986" s="106" t="str">
        <f>IFERROR(__xludf.DUMMYFUNCTION("""COMPUTED_VALUE"""),"")</f>
        <v/>
      </c>
      <c r="S2986" s="106" t="str">
        <f>IFERROR(__xludf.DUMMYFUNCTION("""COMPUTED_VALUE"""),"")</f>
        <v/>
      </c>
      <c r="T2986" s="139" t="str">
        <f>IFERROR(__xludf.DUMMYFUNCTION("""COMPUTED_VALUE"""),"")</f>
        <v/>
      </c>
      <c r="U2986" s="139" t="str">
        <f>IFERROR(__xludf.DUMMYFUNCTION("""COMPUTED_VALUE"""),"")</f>
        <v/>
      </c>
      <c r="V2986" s="136" t="str">
        <f>IFERROR(__xludf.DUMMYFUNCTION("""COMPUTED_VALUE"""),"")</f>
        <v/>
      </c>
      <c r="W2986" s="106" t="str">
        <f>IFERROR(__xludf.DUMMYFUNCTION("""COMPUTED_VALUE"""),"")</f>
        <v/>
      </c>
      <c r="X2986" s="143" t="str">
        <f t="shared" si="2"/>
        <v/>
      </c>
      <c r="Y2986" s="139" t="str">
        <f>IFERROR(__xludf.DUMMYFUNCTION("""COMPUTED_VALUE"""),"")</f>
        <v/>
      </c>
      <c r="Z2986" s="141" t="str">
        <f>IFERROR(__xludf.DUMMYFUNCTION("""COMPUTED_VALUE"""),"")</f>
        <v/>
      </c>
    </row>
    <row r="2987">
      <c r="D2987" s="136" t="str">
        <f t="shared" si="3"/>
        <v/>
      </c>
      <c r="E2987" s="152"/>
      <c r="F2987" s="106" t="s">
        <v>133</v>
      </c>
      <c r="G2987" s="152"/>
      <c r="H2987" s="106" t="s">
        <v>133</v>
      </c>
      <c r="J2987" s="139" t="s">
        <v>133</v>
      </c>
      <c r="K2987" s="136" t="s">
        <v>133</v>
      </c>
      <c r="L2987" s="153"/>
      <c r="M2987" s="136" t="str">
        <f t="shared" si="1"/>
        <v/>
      </c>
      <c r="O2987" s="141" t="s">
        <v>133</v>
      </c>
      <c r="P2987" s="136" t="str">
        <f>IFERROR(__xludf.DUMMYFUNCTION("""COMPUTED_VALUE"""),"")</f>
        <v/>
      </c>
      <c r="Q2987" s="136" t="str">
        <f>IFERROR(__xludf.DUMMYFUNCTION("""COMPUTED_VALUE"""),"")</f>
        <v/>
      </c>
      <c r="R2987" s="106" t="str">
        <f>IFERROR(__xludf.DUMMYFUNCTION("""COMPUTED_VALUE"""),"")</f>
        <v/>
      </c>
      <c r="S2987" s="106" t="str">
        <f>IFERROR(__xludf.DUMMYFUNCTION("""COMPUTED_VALUE"""),"")</f>
        <v/>
      </c>
      <c r="T2987" s="139" t="str">
        <f>IFERROR(__xludf.DUMMYFUNCTION("""COMPUTED_VALUE"""),"")</f>
        <v/>
      </c>
      <c r="U2987" s="139" t="str">
        <f>IFERROR(__xludf.DUMMYFUNCTION("""COMPUTED_VALUE"""),"")</f>
        <v/>
      </c>
      <c r="V2987" s="136" t="str">
        <f>IFERROR(__xludf.DUMMYFUNCTION("""COMPUTED_VALUE"""),"")</f>
        <v/>
      </c>
      <c r="W2987" s="106" t="str">
        <f>IFERROR(__xludf.DUMMYFUNCTION("""COMPUTED_VALUE"""),"")</f>
        <v/>
      </c>
      <c r="X2987" s="143" t="str">
        <f t="shared" si="2"/>
        <v/>
      </c>
      <c r="Y2987" s="139" t="str">
        <f>IFERROR(__xludf.DUMMYFUNCTION("""COMPUTED_VALUE"""),"")</f>
        <v/>
      </c>
      <c r="Z2987" s="141" t="str">
        <f>IFERROR(__xludf.DUMMYFUNCTION("""COMPUTED_VALUE"""),"")</f>
        <v/>
      </c>
    </row>
    <row r="2988">
      <c r="D2988" s="136" t="str">
        <f t="shared" si="3"/>
        <v/>
      </c>
      <c r="E2988" s="152"/>
      <c r="F2988" s="106" t="s">
        <v>133</v>
      </c>
      <c r="G2988" s="152"/>
      <c r="H2988" s="106" t="s">
        <v>133</v>
      </c>
      <c r="J2988" s="139" t="s">
        <v>133</v>
      </c>
      <c r="K2988" s="136" t="s">
        <v>133</v>
      </c>
      <c r="L2988" s="153"/>
      <c r="M2988" s="136" t="str">
        <f t="shared" si="1"/>
        <v/>
      </c>
      <c r="O2988" s="141" t="s">
        <v>133</v>
      </c>
      <c r="P2988" s="136" t="str">
        <f>IFERROR(__xludf.DUMMYFUNCTION("""COMPUTED_VALUE"""),"")</f>
        <v/>
      </c>
      <c r="Q2988" s="136" t="str">
        <f>IFERROR(__xludf.DUMMYFUNCTION("""COMPUTED_VALUE"""),"")</f>
        <v/>
      </c>
      <c r="R2988" s="106" t="str">
        <f>IFERROR(__xludf.DUMMYFUNCTION("""COMPUTED_VALUE"""),"")</f>
        <v/>
      </c>
      <c r="S2988" s="106" t="str">
        <f>IFERROR(__xludf.DUMMYFUNCTION("""COMPUTED_VALUE"""),"")</f>
        <v/>
      </c>
      <c r="T2988" s="139" t="str">
        <f>IFERROR(__xludf.DUMMYFUNCTION("""COMPUTED_VALUE"""),"")</f>
        <v/>
      </c>
      <c r="U2988" s="139" t="str">
        <f>IFERROR(__xludf.DUMMYFUNCTION("""COMPUTED_VALUE"""),"")</f>
        <v/>
      </c>
      <c r="V2988" s="136" t="str">
        <f>IFERROR(__xludf.DUMMYFUNCTION("""COMPUTED_VALUE"""),"")</f>
        <v/>
      </c>
      <c r="W2988" s="106" t="str">
        <f>IFERROR(__xludf.DUMMYFUNCTION("""COMPUTED_VALUE"""),"")</f>
        <v/>
      </c>
      <c r="X2988" s="143" t="str">
        <f t="shared" si="2"/>
        <v/>
      </c>
      <c r="Y2988" s="139" t="str">
        <f>IFERROR(__xludf.DUMMYFUNCTION("""COMPUTED_VALUE"""),"")</f>
        <v/>
      </c>
      <c r="Z2988" s="141" t="str">
        <f>IFERROR(__xludf.DUMMYFUNCTION("""COMPUTED_VALUE"""),"")</f>
        <v/>
      </c>
    </row>
    <row r="2989">
      <c r="D2989" s="136" t="str">
        <f t="shared" si="3"/>
        <v/>
      </c>
      <c r="E2989" s="152"/>
      <c r="F2989" s="106" t="s">
        <v>133</v>
      </c>
      <c r="G2989" s="152"/>
      <c r="H2989" s="106" t="s">
        <v>133</v>
      </c>
      <c r="J2989" s="139" t="s">
        <v>133</v>
      </c>
      <c r="K2989" s="136" t="s">
        <v>133</v>
      </c>
      <c r="L2989" s="153"/>
      <c r="M2989" s="136" t="str">
        <f t="shared" si="1"/>
        <v/>
      </c>
      <c r="O2989" s="141" t="s">
        <v>133</v>
      </c>
      <c r="P2989" s="136" t="str">
        <f>IFERROR(__xludf.DUMMYFUNCTION("""COMPUTED_VALUE"""),"")</f>
        <v/>
      </c>
      <c r="Q2989" s="136" t="str">
        <f>IFERROR(__xludf.DUMMYFUNCTION("""COMPUTED_VALUE"""),"")</f>
        <v/>
      </c>
      <c r="R2989" s="106" t="str">
        <f>IFERROR(__xludf.DUMMYFUNCTION("""COMPUTED_VALUE"""),"")</f>
        <v/>
      </c>
      <c r="S2989" s="106" t="str">
        <f>IFERROR(__xludf.DUMMYFUNCTION("""COMPUTED_VALUE"""),"")</f>
        <v/>
      </c>
      <c r="T2989" s="139" t="str">
        <f>IFERROR(__xludf.DUMMYFUNCTION("""COMPUTED_VALUE"""),"")</f>
        <v/>
      </c>
      <c r="U2989" s="139" t="str">
        <f>IFERROR(__xludf.DUMMYFUNCTION("""COMPUTED_VALUE"""),"")</f>
        <v/>
      </c>
      <c r="V2989" s="136" t="str">
        <f>IFERROR(__xludf.DUMMYFUNCTION("""COMPUTED_VALUE"""),"")</f>
        <v/>
      </c>
      <c r="W2989" s="106" t="str">
        <f>IFERROR(__xludf.DUMMYFUNCTION("""COMPUTED_VALUE"""),"")</f>
        <v/>
      </c>
      <c r="X2989" s="143" t="str">
        <f t="shared" si="2"/>
        <v/>
      </c>
      <c r="Y2989" s="139" t="str">
        <f>IFERROR(__xludf.DUMMYFUNCTION("""COMPUTED_VALUE"""),"")</f>
        <v/>
      </c>
      <c r="Z2989" s="141" t="str">
        <f>IFERROR(__xludf.DUMMYFUNCTION("""COMPUTED_VALUE"""),"")</f>
        <v/>
      </c>
    </row>
    <row r="2990">
      <c r="D2990" s="136" t="str">
        <f t="shared" si="3"/>
        <v/>
      </c>
      <c r="E2990" s="152"/>
      <c r="F2990" s="106" t="s">
        <v>133</v>
      </c>
      <c r="G2990" s="152"/>
      <c r="H2990" s="106" t="s">
        <v>133</v>
      </c>
      <c r="J2990" s="139" t="s">
        <v>133</v>
      </c>
      <c r="K2990" s="136" t="s">
        <v>133</v>
      </c>
      <c r="L2990" s="153"/>
      <c r="M2990" s="136" t="str">
        <f t="shared" si="1"/>
        <v/>
      </c>
      <c r="O2990" s="141" t="s">
        <v>133</v>
      </c>
      <c r="P2990" s="136" t="str">
        <f>IFERROR(__xludf.DUMMYFUNCTION("""COMPUTED_VALUE"""),"")</f>
        <v/>
      </c>
      <c r="Q2990" s="136" t="str">
        <f>IFERROR(__xludf.DUMMYFUNCTION("""COMPUTED_VALUE"""),"")</f>
        <v/>
      </c>
      <c r="R2990" s="106" t="str">
        <f>IFERROR(__xludf.DUMMYFUNCTION("""COMPUTED_VALUE"""),"")</f>
        <v/>
      </c>
      <c r="S2990" s="106" t="str">
        <f>IFERROR(__xludf.DUMMYFUNCTION("""COMPUTED_VALUE"""),"")</f>
        <v/>
      </c>
      <c r="T2990" s="139" t="str">
        <f>IFERROR(__xludf.DUMMYFUNCTION("""COMPUTED_VALUE"""),"")</f>
        <v/>
      </c>
      <c r="U2990" s="139" t="str">
        <f>IFERROR(__xludf.DUMMYFUNCTION("""COMPUTED_VALUE"""),"")</f>
        <v/>
      </c>
      <c r="V2990" s="136" t="str">
        <f>IFERROR(__xludf.DUMMYFUNCTION("""COMPUTED_VALUE"""),"")</f>
        <v/>
      </c>
      <c r="W2990" s="106" t="str">
        <f>IFERROR(__xludf.DUMMYFUNCTION("""COMPUTED_VALUE"""),"")</f>
        <v/>
      </c>
      <c r="X2990" s="143" t="str">
        <f t="shared" si="2"/>
        <v/>
      </c>
      <c r="Y2990" s="139" t="str">
        <f>IFERROR(__xludf.DUMMYFUNCTION("""COMPUTED_VALUE"""),"")</f>
        <v/>
      </c>
      <c r="Z2990" s="141" t="str">
        <f>IFERROR(__xludf.DUMMYFUNCTION("""COMPUTED_VALUE"""),"")</f>
        <v/>
      </c>
    </row>
    <row r="2991">
      <c r="D2991" s="136" t="str">
        <f t="shared" si="3"/>
        <v/>
      </c>
      <c r="E2991" s="152"/>
      <c r="F2991" s="106" t="s">
        <v>133</v>
      </c>
      <c r="G2991" s="152"/>
      <c r="H2991" s="106" t="s">
        <v>133</v>
      </c>
      <c r="J2991" s="139" t="s">
        <v>133</v>
      </c>
      <c r="K2991" s="136" t="s">
        <v>133</v>
      </c>
      <c r="L2991" s="153"/>
      <c r="M2991" s="136" t="str">
        <f t="shared" si="1"/>
        <v/>
      </c>
      <c r="O2991" s="141" t="s">
        <v>133</v>
      </c>
      <c r="P2991" s="136" t="str">
        <f>IFERROR(__xludf.DUMMYFUNCTION("""COMPUTED_VALUE"""),"")</f>
        <v/>
      </c>
      <c r="Q2991" s="136" t="str">
        <f>IFERROR(__xludf.DUMMYFUNCTION("""COMPUTED_VALUE"""),"")</f>
        <v/>
      </c>
      <c r="R2991" s="106" t="str">
        <f>IFERROR(__xludf.DUMMYFUNCTION("""COMPUTED_VALUE"""),"")</f>
        <v/>
      </c>
      <c r="S2991" s="106" t="str">
        <f>IFERROR(__xludf.DUMMYFUNCTION("""COMPUTED_VALUE"""),"")</f>
        <v/>
      </c>
      <c r="T2991" s="139" t="str">
        <f>IFERROR(__xludf.DUMMYFUNCTION("""COMPUTED_VALUE"""),"")</f>
        <v/>
      </c>
      <c r="U2991" s="139" t="str">
        <f>IFERROR(__xludf.DUMMYFUNCTION("""COMPUTED_VALUE"""),"")</f>
        <v/>
      </c>
      <c r="V2991" s="136" t="str">
        <f>IFERROR(__xludf.DUMMYFUNCTION("""COMPUTED_VALUE"""),"")</f>
        <v/>
      </c>
      <c r="W2991" s="106" t="str">
        <f>IFERROR(__xludf.DUMMYFUNCTION("""COMPUTED_VALUE"""),"")</f>
        <v/>
      </c>
      <c r="X2991" s="143" t="str">
        <f t="shared" si="2"/>
        <v/>
      </c>
      <c r="Y2991" s="139" t="str">
        <f>IFERROR(__xludf.DUMMYFUNCTION("""COMPUTED_VALUE"""),"")</f>
        <v/>
      </c>
      <c r="Z2991" s="141" t="str">
        <f>IFERROR(__xludf.DUMMYFUNCTION("""COMPUTED_VALUE"""),"")</f>
        <v/>
      </c>
    </row>
    <row r="2992">
      <c r="D2992" s="136" t="str">
        <f t="shared" si="3"/>
        <v/>
      </c>
      <c r="E2992" s="152"/>
      <c r="F2992" s="106" t="s">
        <v>133</v>
      </c>
      <c r="G2992" s="152"/>
      <c r="H2992" s="106" t="s">
        <v>133</v>
      </c>
      <c r="J2992" s="139" t="s">
        <v>133</v>
      </c>
      <c r="K2992" s="136" t="s">
        <v>133</v>
      </c>
      <c r="L2992" s="153"/>
      <c r="M2992" s="136" t="str">
        <f t="shared" si="1"/>
        <v/>
      </c>
      <c r="O2992" s="141" t="s">
        <v>133</v>
      </c>
      <c r="P2992" s="136" t="str">
        <f>IFERROR(__xludf.DUMMYFUNCTION("""COMPUTED_VALUE"""),"")</f>
        <v/>
      </c>
      <c r="Q2992" s="136" t="str">
        <f>IFERROR(__xludf.DUMMYFUNCTION("""COMPUTED_VALUE"""),"")</f>
        <v/>
      </c>
      <c r="R2992" s="106" t="str">
        <f>IFERROR(__xludf.DUMMYFUNCTION("""COMPUTED_VALUE"""),"")</f>
        <v/>
      </c>
      <c r="S2992" s="106" t="str">
        <f>IFERROR(__xludf.DUMMYFUNCTION("""COMPUTED_VALUE"""),"")</f>
        <v/>
      </c>
      <c r="T2992" s="139" t="str">
        <f>IFERROR(__xludf.DUMMYFUNCTION("""COMPUTED_VALUE"""),"")</f>
        <v/>
      </c>
      <c r="U2992" s="139" t="str">
        <f>IFERROR(__xludf.DUMMYFUNCTION("""COMPUTED_VALUE"""),"")</f>
        <v/>
      </c>
      <c r="V2992" s="136" t="str">
        <f>IFERROR(__xludf.DUMMYFUNCTION("""COMPUTED_VALUE"""),"")</f>
        <v/>
      </c>
      <c r="W2992" s="106" t="str">
        <f>IFERROR(__xludf.DUMMYFUNCTION("""COMPUTED_VALUE"""),"")</f>
        <v/>
      </c>
      <c r="X2992" s="143" t="str">
        <f t="shared" si="2"/>
        <v/>
      </c>
      <c r="Y2992" s="139" t="str">
        <f>IFERROR(__xludf.DUMMYFUNCTION("""COMPUTED_VALUE"""),"")</f>
        <v/>
      </c>
      <c r="Z2992" s="141" t="str">
        <f>IFERROR(__xludf.DUMMYFUNCTION("""COMPUTED_VALUE"""),"")</f>
        <v/>
      </c>
    </row>
    <row r="2993">
      <c r="D2993" s="136" t="str">
        <f t="shared" si="3"/>
        <v/>
      </c>
      <c r="E2993" s="152"/>
      <c r="F2993" s="106" t="s">
        <v>133</v>
      </c>
      <c r="G2993" s="152"/>
      <c r="H2993" s="106" t="s">
        <v>133</v>
      </c>
      <c r="J2993" s="139" t="s">
        <v>133</v>
      </c>
      <c r="K2993" s="136" t="s">
        <v>133</v>
      </c>
      <c r="L2993" s="153"/>
      <c r="M2993" s="136" t="str">
        <f t="shared" si="1"/>
        <v/>
      </c>
      <c r="O2993" s="141" t="s">
        <v>133</v>
      </c>
      <c r="P2993" s="136" t="str">
        <f>IFERROR(__xludf.DUMMYFUNCTION("""COMPUTED_VALUE"""),"")</f>
        <v/>
      </c>
      <c r="Q2993" s="136" t="str">
        <f>IFERROR(__xludf.DUMMYFUNCTION("""COMPUTED_VALUE"""),"")</f>
        <v/>
      </c>
      <c r="R2993" s="106" t="str">
        <f>IFERROR(__xludf.DUMMYFUNCTION("""COMPUTED_VALUE"""),"")</f>
        <v/>
      </c>
      <c r="S2993" s="106" t="str">
        <f>IFERROR(__xludf.DUMMYFUNCTION("""COMPUTED_VALUE"""),"")</f>
        <v/>
      </c>
      <c r="T2993" s="139" t="str">
        <f>IFERROR(__xludf.DUMMYFUNCTION("""COMPUTED_VALUE"""),"")</f>
        <v/>
      </c>
      <c r="U2993" s="139" t="str">
        <f>IFERROR(__xludf.DUMMYFUNCTION("""COMPUTED_VALUE"""),"")</f>
        <v/>
      </c>
      <c r="V2993" s="136" t="str">
        <f>IFERROR(__xludf.DUMMYFUNCTION("""COMPUTED_VALUE"""),"")</f>
        <v/>
      </c>
      <c r="W2993" s="106" t="str">
        <f>IFERROR(__xludf.DUMMYFUNCTION("""COMPUTED_VALUE"""),"")</f>
        <v/>
      </c>
      <c r="X2993" s="143" t="str">
        <f t="shared" si="2"/>
        <v/>
      </c>
      <c r="Y2993" s="139" t="str">
        <f>IFERROR(__xludf.DUMMYFUNCTION("""COMPUTED_VALUE"""),"")</f>
        <v/>
      </c>
      <c r="Z2993" s="141" t="str">
        <f>IFERROR(__xludf.DUMMYFUNCTION("""COMPUTED_VALUE"""),"")</f>
        <v/>
      </c>
    </row>
    <row r="2994">
      <c r="D2994" s="136" t="str">
        <f t="shared" si="3"/>
        <v/>
      </c>
      <c r="E2994" s="152"/>
      <c r="F2994" s="106" t="s">
        <v>133</v>
      </c>
      <c r="G2994" s="152"/>
      <c r="H2994" s="106" t="s">
        <v>133</v>
      </c>
      <c r="J2994" s="139" t="s">
        <v>133</v>
      </c>
      <c r="K2994" s="136" t="s">
        <v>133</v>
      </c>
      <c r="L2994" s="153"/>
      <c r="M2994" s="136" t="str">
        <f t="shared" si="1"/>
        <v/>
      </c>
      <c r="O2994" s="141" t="s">
        <v>133</v>
      </c>
      <c r="P2994" s="136" t="str">
        <f>IFERROR(__xludf.DUMMYFUNCTION("""COMPUTED_VALUE"""),"")</f>
        <v/>
      </c>
      <c r="Q2994" s="136" t="str">
        <f>IFERROR(__xludf.DUMMYFUNCTION("""COMPUTED_VALUE"""),"")</f>
        <v/>
      </c>
      <c r="R2994" s="106" t="str">
        <f>IFERROR(__xludf.DUMMYFUNCTION("""COMPUTED_VALUE"""),"")</f>
        <v/>
      </c>
      <c r="S2994" s="106" t="str">
        <f>IFERROR(__xludf.DUMMYFUNCTION("""COMPUTED_VALUE"""),"")</f>
        <v/>
      </c>
      <c r="T2994" s="139" t="str">
        <f>IFERROR(__xludf.DUMMYFUNCTION("""COMPUTED_VALUE"""),"")</f>
        <v/>
      </c>
      <c r="U2994" s="139" t="str">
        <f>IFERROR(__xludf.DUMMYFUNCTION("""COMPUTED_VALUE"""),"")</f>
        <v/>
      </c>
      <c r="V2994" s="136" t="str">
        <f>IFERROR(__xludf.DUMMYFUNCTION("""COMPUTED_VALUE"""),"")</f>
        <v/>
      </c>
      <c r="W2994" s="106" t="str">
        <f>IFERROR(__xludf.DUMMYFUNCTION("""COMPUTED_VALUE"""),"")</f>
        <v/>
      </c>
      <c r="X2994" s="143" t="str">
        <f t="shared" si="2"/>
        <v/>
      </c>
      <c r="Y2994" s="139" t="str">
        <f>IFERROR(__xludf.DUMMYFUNCTION("""COMPUTED_VALUE"""),"")</f>
        <v/>
      </c>
      <c r="Z2994" s="141" t="str">
        <f>IFERROR(__xludf.DUMMYFUNCTION("""COMPUTED_VALUE"""),"")</f>
        <v/>
      </c>
    </row>
    <row r="2995">
      <c r="D2995" s="136" t="str">
        <f t="shared" si="3"/>
        <v/>
      </c>
      <c r="E2995" s="152"/>
      <c r="F2995" s="106" t="s">
        <v>133</v>
      </c>
      <c r="G2995" s="152"/>
      <c r="H2995" s="106" t="s">
        <v>133</v>
      </c>
      <c r="J2995" s="139" t="s">
        <v>133</v>
      </c>
      <c r="K2995" s="136" t="s">
        <v>133</v>
      </c>
      <c r="L2995" s="153"/>
      <c r="M2995" s="136" t="str">
        <f t="shared" si="1"/>
        <v/>
      </c>
      <c r="O2995" s="141" t="s">
        <v>133</v>
      </c>
      <c r="P2995" s="136" t="str">
        <f>IFERROR(__xludf.DUMMYFUNCTION("""COMPUTED_VALUE"""),"")</f>
        <v/>
      </c>
      <c r="Q2995" s="136" t="str">
        <f>IFERROR(__xludf.DUMMYFUNCTION("""COMPUTED_VALUE"""),"")</f>
        <v/>
      </c>
      <c r="R2995" s="106" t="str">
        <f>IFERROR(__xludf.DUMMYFUNCTION("""COMPUTED_VALUE"""),"")</f>
        <v/>
      </c>
      <c r="S2995" s="106" t="str">
        <f>IFERROR(__xludf.DUMMYFUNCTION("""COMPUTED_VALUE"""),"")</f>
        <v/>
      </c>
      <c r="T2995" s="139" t="str">
        <f>IFERROR(__xludf.DUMMYFUNCTION("""COMPUTED_VALUE"""),"")</f>
        <v/>
      </c>
      <c r="U2995" s="139" t="str">
        <f>IFERROR(__xludf.DUMMYFUNCTION("""COMPUTED_VALUE"""),"")</f>
        <v/>
      </c>
      <c r="V2995" s="136" t="str">
        <f>IFERROR(__xludf.DUMMYFUNCTION("""COMPUTED_VALUE"""),"")</f>
        <v/>
      </c>
      <c r="W2995" s="106" t="str">
        <f>IFERROR(__xludf.DUMMYFUNCTION("""COMPUTED_VALUE"""),"")</f>
        <v/>
      </c>
      <c r="X2995" s="143" t="str">
        <f t="shared" si="2"/>
        <v/>
      </c>
      <c r="Y2995" s="139" t="str">
        <f>IFERROR(__xludf.DUMMYFUNCTION("""COMPUTED_VALUE"""),"")</f>
        <v/>
      </c>
      <c r="Z2995" s="141" t="str">
        <f>IFERROR(__xludf.DUMMYFUNCTION("""COMPUTED_VALUE"""),"")</f>
        <v/>
      </c>
    </row>
    <row r="2996">
      <c r="D2996" s="136" t="str">
        <f t="shared" si="3"/>
        <v/>
      </c>
      <c r="E2996" s="152"/>
      <c r="F2996" s="106" t="s">
        <v>133</v>
      </c>
      <c r="G2996" s="152"/>
      <c r="H2996" s="106" t="s">
        <v>133</v>
      </c>
      <c r="J2996" s="139" t="s">
        <v>133</v>
      </c>
      <c r="K2996" s="136" t="s">
        <v>133</v>
      </c>
      <c r="L2996" s="153"/>
      <c r="M2996" s="136" t="str">
        <f t="shared" si="1"/>
        <v/>
      </c>
      <c r="O2996" s="141" t="s">
        <v>133</v>
      </c>
      <c r="P2996" s="136" t="str">
        <f>IFERROR(__xludf.DUMMYFUNCTION("""COMPUTED_VALUE"""),"")</f>
        <v/>
      </c>
      <c r="Q2996" s="136" t="str">
        <f>IFERROR(__xludf.DUMMYFUNCTION("""COMPUTED_VALUE"""),"")</f>
        <v/>
      </c>
      <c r="R2996" s="106" t="str">
        <f>IFERROR(__xludf.DUMMYFUNCTION("""COMPUTED_VALUE"""),"")</f>
        <v/>
      </c>
      <c r="S2996" s="106" t="str">
        <f>IFERROR(__xludf.DUMMYFUNCTION("""COMPUTED_VALUE"""),"")</f>
        <v/>
      </c>
      <c r="T2996" s="139" t="str">
        <f>IFERROR(__xludf.DUMMYFUNCTION("""COMPUTED_VALUE"""),"")</f>
        <v/>
      </c>
      <c r="U2996" s="139" t="str">
        <f>IFERROR(__xludf.DUMMYFUNCTION("""COMPUTED_VALUE"""),"")</f>
        <v/>
      </c>
      <c r="V2996" s="136" t="str">
        <f>IFERROR(__xludf.DUMMYFUNCTION("""COMPUTED_VALUE"""),"")</f>
        <v/>
      </c>
      <c r="W2996" s="106" t="str">
        <f>IFERROR(__xludf.DUMMYFUNCTION("""COMPUTED_VALUE"""),"")</f>
        <v/>
      </c>
      <c r="X2996" s="143" t="str">
        <f t="shared" si="2"/>
        <v/>
      </c>
      <c r="Y2996" s="139" t="str">
        <f>IFERROR(__xludf.DUMMYFUNCTION("""COMPUTED_VALUE"""),"")</f>
        <v/>
      </c>
      <c r="Z2996" s="141" t="str">
        <f>IFERROR(__xludf.DUMMYFUNCTION("""COMPUTED_VALUE"""),"")</f>
        <v/>
      </c>
    </row>
    <row r="2997">
      <c r="D2997" s="136" t="str">
        <f t="shared" si="3"/>
        <v/>
      </c>
      <c r="E2997" s="152"/>
      <c r="F2997" s="106" t="s">
        <v>133</v>
      </c>
      <c r="G2997" s="152"/>
      <c r="H2997" s="106" t="s">
        <v>133</v>
      </c>
      <c r="J2997" s="139" t="s">
        <v>133</v>
      </c>
      <c r="K2997" s="136" t="s">
        <v>133</v>
      </c>
      <c r="L2997" s="153"/>
      <c r="M2997" s="136" t="str">
        <f t="shared" si="1"/>
        <v/>
      </c>
      <c r="O2997" s="141" t="s">
        <v>133</v>
      </c>
      <c r="P2997" s="136" t="str">
        <f>IFERROR(__xludf.DUMMYFUNCTION("""COMPUTED_VALUE"""),"")</f>
        <v/>
      </c>
      <c r="Q2997" s="136" t="str">
        <f>IFERROR(__xludf.DUMMYFUNCTION("""COMPUTED_VALUE"""),"")</f>
        <v/>
      </c>
      <c r="R2997" s="106" t="str">
        <f>IFERROR(__xludf.DUMMYFUNCTION("""COMPUTED_VALUE"""),"")</f>
        <v/>
      </c>
      <c r="S2997" s="106" t="str">
        <f>IFERROR(__xludf.DUMMYFUNCTION("""COMPUTED_VALUE"""),"")</f>
        <v/>
      </c>
      <c r="T2997" s="139" t="str">
        <f>IFERROR(__xludf.DUMMYFUNCTION("""COMPUTED_VALUE"""),"")</f>
        <v/>
      </c>
      <c r="U2997" s="139" t="str">
        <f>IFERROR(__xludf.DUMMYFUNCTION("""COMPUTED_VALUE"""),"")</f>
        <v/>
      </c>
      <c r="V2997" s="136" t="str">
        <f>IFERROR(__xludf.DUMMYFUNCTION("""COMPUTED_VALUE"""),"")</f>
        <v/>
      </c>
      <c r="W2997" s="106" t="str">
        <f>IFERROR(__xludf.DUMMYFUNCTION("""COMPUTED_VALUE"""),"")</f>
        <v/>
      </c>
      <c r="X2997" s="143" t="str">
        <f t="shared" si="2"/>
        <v/>
      </c>
      <c r="Y2997" s="139" t="str">
        <f>IFERROR(__xludf.DUMMYFUNCTION("""COMPUTED_VALUE"""),"")</f>
        <v/>
      </c>
      <c r="Z2997" s="141" t="str">
        <f>IFERROR(__xludf.DUMMYFUNCTION("""COMPUTED_VALUE"""),"")</f>
        <v/>
      </c>
    </row>
    <row r="2998">
      <c r="D2998" s="136" t="str">
        <f t="shared" si="3"/>
        <v/>
      </c>
      <c r="E2998" s="152"/>
      <c r="F2998" s="106" t="s">
        <v>133</v>
      </c>
      <c r="G2998" s="152"/>
      <c r="H2998" s="106" t="s">
        <v>133</v>
      </c>
      <c r="J2998" s="139" t="s">
        <v>133</v>
      </c>
      <c r="K2998" s="136" t="s">
        <v>133</v>
      </c>
      <c r="L2998" s="153"/>
      <c r="M2998" s="136" t="str">
        <f t="shared" si="1"/>
        <v/>
      </c>
      <c r="O2998" s="141" t="s">
        <v>133</v>
      </c>
      <c r="P2998" s="136" t="str">
        <f>IFERROR(__xludf.DUMMYFUNCTION("""COMPUTED_VALUE"""),"")</f>
        <v/>
      </c>
      <c r="Q2998" s="136" t="str">
        <f>IFERROR(__xludf.DUMMYFUNCTION("""COMPUTED_VALUE"""),"")</f>
        <v/>
      </c>
      <c r="R2998" s="106" t="str">
        <f>IFERROR(__xludf.DUMMYFUNCTION("""COMPUTED_VALUE"""),"")</f>
        <v/>
      </c>
      <c r="S2998" s="106" t="str">
        <f>IFERROR(__xludf.DUMMYFUNCTION("""COMPUTED_VALUE"""),"")</f>
        <v/>
      </c>
      <c r="T2998" s="139" t="str">
        <f>IFERROR(__xludf.DUMMYFUNCTION("""COMPUTED_VALUE"""),"")</f>
        <v/>
      </c>
      <c r="U2998" s="139" t="str">
        <f>IFERROR(__xludf.DUMMYFUNCTION("""COMPUTED_VALUE"""),"")</f>
        <v/>
      </c>
      <c r="V2998" s="136" t="str">
        <f>IFERROR(__xludf.DUMMYFUNCTION("""COMPUTED_VALUE"""),"")</f>
        <v/>
      </c>
      <c r="W2998" s="106" t="str">
        <f>IFERROR(__xludf.DUMMYFUNCTION("""COMPUTED_VALUE"""),"")</f>
        <v/>
      </c>
      <c r="X2998" s="143" t="str">
        <f t="shared" si="2"/>
        <v/>
      </c>
      <c r="Y2998" s="139" t="str">
        <f>IFERROR(__xludf.DUMMYFUNCTION("""COMPUTED_VALUE"""),"")</f>
        <v/>
      </c>
      <c r="Z2998" s="141" t="str">
        <f>IFERROR(__xludf.DUMMYFUNCTION("""COMPUTED_VALUE"""),"")</f>
        <v/>
      </c>
    </row>
    <row r="2999">
      <c r="D2999" s="136" t="str">
        <f t="shared" si="3"/>
        <v/>
      </c>
      <c r="E2999" s="152"/>
      <c r="F2999" s="106" t="s">
        <v>133</v>
      </c>
      <c r="G2999" s="152"/>
      <c r="H2999" s="106" t="s">
        <v>133</v>
      </c>
      <c r="J2999" s="139" t="s">
        <v>133</v>
      </c>
      <c r="K2999" s="136" t="s">
        <v>133</v>
      </c>
      <c r="L2999" s="153"/>
      <c r="M2999" s="136" t="str">
        <f t="shared" si="1"/>
        <v/>
      </c>
      <c r="O2999" s="141" t="s">
        <v>133</v>
      </c>
      <c r="P2999" s="136" t="str">
        <f>IFERROR(__xludf.DUMMYFUNCTION("""COMPUTED_VALUE"""),"")</f>
        <v/>
      </c>
      <c r="Q2999" s="136" t="str">
        <f>IFERROR(__xludf.DUMMYFUNCTION("""COMPUTED_VALUE"""),"")</f>
        <v/>
      </c>
      <c r="R2999" s="106" t="str">
        <f>IFERROR(__xludf.DUMMYFUNCTION("""COMPUTED_VALUE"""),"")</f>
        <v/>
      </c>
      <c r="S2999" s="106" t="str">
        <f>IFERROR(__xludf.DUMMYFUNCTION("""COMPUTED_VALUE"""),"")</f>
        <v/>
      </c>
      <c r="T2999" s="139" t="str">
        <f>IFERROR(__xludf.DUMMYFUNCTION("""COMPUTED_VALUE"""),"")</f>
        <v/>
      </c>
      <c r="U2999" s="139" t="str">
        <f>IFERROR(__xludf.DUMMYFUNCTION("""COMPUTED_VALUE"""),"")</f>
        <v/>
      </c>
      <c r="V2999" s="136" t="str">
        <f>IFERROR(__xludf.DUMMYFUNCTION("""COMPUTED_VALUE"""),"")</f>
        <v/>
      </c>
      <c r="W2999" s="106" t="str">
        <f>IFERROR(__xludf.DUMMYFUNCTION("""COMPUTED_VALUE"""),"")</f>
        <v/>
      </c>
      <c r="X2999" s="143" t="str">
        <f t="shared" si="2"/>
        <v/>
      </c>
      <c r="Y2999" s="139" t="str">
        <f>IFERROR(__xludf.DUMMYFUNCTION("""COMPUTED_VALUE"""),"")</f>
        <v/>
      </c>
      <c r="Z2999" s="141" t="str">
        <f>IFERROR(__xludf.DUMMYFUNCTION("""COMPUTED_VALUE"""),"")</f>
        <v/>
      </c>
    </row>
    <row r="3000">
      <c r="D3000" s="136" t="str">
        <f t="shared" si="3"/>
        <v/>
      </c>
      <c r="E3000" s="152"/>
      <c r="F3000" s="106" t="s">
        <v>133</v>
      </c>
      <c r="G3000" s="152"/>
      <c r="H3000" s="106" t="s">
        <v>133</v>
      </c>
      <c r="J3000" s="139" t="s">
        <v>133</v>
      </c>
      <c r="K3000" s="136" t="s">
        <v>133</v>
      </c>
      <c r="L3000" s="153"/>
      <c r="M3000" s="136" t="str">
        <f t="shared" si="1"/>
        <v/>
      </c>
      <c r="O3000" s="141" t="s">
        <v>133</v>
      </c>
      <c r="P3000" s="136" t="str">
        <f>IFERROR(__xludf.DUMMYFUNCTION("""COMPUTED_VALUE"""),"")</f>
        <v/>
      </c>
      <c r="Q3000" s="136" t="str">
        <f>IFERROR(__xludf.DUMMYFUNCTION("""COMPUTED_VALUE"""),"")</f>
        <v/>
      </c>
      <c r="R3000" s="106" t="str">
        <f>IFERROR(__xludf.DUMMYFUNCTION("""COMPUTED_VALUE"""),"")</f>
        <v/>
      </c>
      <c r="S3000" s="106" t="str">
        <f>IFERROR(__xludf.DUMMYFUNCTION("""COMPUTED_VALUE"""),"")</f>
        <v/>
      </c>
      <c r="T3000" s="139" t="str">
        <f>IFERROR(__xludf.DUMMYFUNCTION("""COMPUTED_VALUE"""),"")</f>
        <v/>
      </c>
      <c r="U3000" s="139" t="str">
        <f>IFERROR(__xludf.DUMMYFUNCTION("""COMPUTED_VALUE"""),"")</f>
        <v/>
      </c>
      <c r="V3000" s="136" t="str">
        <f>IFERROR(__xludf.DUMMYFUNCTION("""COMPUTED_VALUE"""),"")</f>
        <v/>
      </c>
      <c r="W3000" s="106" t="str">
        <f>IFERROR(__xludf.DUMMYFUNCTION("""COMPUTED_VALUE"""),"")</f>
        <v/>
      </c>
      <c r="X3000" s="143" t="str">
        <f t="shared" si="2"/>
        <v/>
      </c>
      <c r="Y3000" s="139" t="str">
        <f>IFERROR(__xludf.DUMMYFUNCTION("""COMPUTED_VALUE"""),"")</f>
        <v/>
      </c>
      <c r="Z3000" s="141" t="str">
        <f>IFERROR(__xludf.DUMMYFUNCTION("""COMPUTED_VALUE"""),"")</f>
        <v/>
      </c>
    </row>
    <row r="3001">
      <c r="D3001" s="136" t="str">
        <f t="shared" si="3"/>
        <v/>
      </c>
      <c r="E3001" s="152"/>
      <c r="F3001" s="106" t="s">
        <v>133</v>
      </c>
      <c r="G3001" s="152"/>
      <c r="H3001" s="106" t="s">
        <v>133</v>
      </c>
      <c r="J3001" s="139" t="s">
        <v>133</v>
      </c>
      <c r="K3001" s="136" t="s">
        <v>133</v>
      </c>
      <c r="L3001" s="153"/>
      <c r="M3001" s="136" t="str">
        <f t="shared" si="1"/>
        <v/>
      </c>
      <c r="O3001" s="141" t="s">
        <v>133</v>
      </c>
      <c r="P3001" s="136" t="str">
        <f>IFERROR(__xludf.DUMMYFUNCTION("""COMPUTED_VALUE"""),"")</f>
        <v/>
      </c>
      <c r="Q3001" s="136" t="str">
        <f>IFERROR(__xludf.DUMMYFUNCTION("""COMPUTED_VALUE"""),"")</f>
        <v/>
      </c>
      <c r="R3001" s="106" t="str">
        <f>IFERROR(__xludf.DUMMYFUNCTION("""COMPUTED_VALUE"""),"")</f>
        <v/>
      </c>
      <c r="S3001" s="106" t="str">
        <f>IFERROR(__xludf.DUMMYFUNCTION("""COMPUTED_VALUE"""),"")</f>
        <v/>
      </c>
      <c r="T3001" s="139" t="str">
        <f>IFERROR(__xludf.DUMMYFUNCTION("""COMPUTED_VALUE"""),"")</f>
        <v/>
      </c>
      <c r="U3001" s="139" t="str">
        <f>IFERROR(__xludf.DUMMYFUNCTION("""COMPUTED_VALUE"""),"")</f>
        <v/>
      </c>
      <c r="V3001" s="136" t="str">
        <f>IFERROR(__xludf.DUMMYFUNCTION("""COMPUTED_VALUE"""),"")</f>
        <v/>
      </c>
      <c r="W3001" s="106" t="str">
        <f>IFERROR(__xludf.DUMMYFUNCTION("""COMPUTED_VALUE"""),"")</f>
        <v/>
      </c>
      <c r="X3001" s="143" t="str">
        <f t="shared" si="2"/>
        <v/>
      </c>
      <c r="Y3001" s="139" t="str">
        <f>IFERROR(__xludf.DUMMYFUNCTION("""COMPUTED_VALUE"""),"")</f>
        <v/>
      </c>
      <c r="Z3001" s="141" t="str">
        <f>IFERROR(__xludf.DUMMYFUNCTION("""COMPUTED_VALUE"""),"")</f>
        <v/>
      </c>
    </row>
    <row r="3002">
      <c r="D3002" s="136" t="str">
        <f t="shared" si="3"/>
        <v/>
      </c>
      <c r="E3002" s="152"/>
      <c r="F3002" s="106" t="s">
        <v>133</v>
      </c>
      <c r="G3002" s="152"/>
      <c r="H3002" s="106" t="s">
        <v>133</v>
      </c>
      <c r="J3002" s="139" t="s">
        <v>133</v>
      </c>
      <c r="K3002" s="136" t="s">
        <v>133</v>
      </c>
      <c r="L3002" s="153"/>
      <c r="M3002" s="136" t="str">
        <f t="shared" si="1"/>
        <v/>
      </c>
      <c r="O3002" s="141" t="s">
        <v>133</v>
      </c>
      <c r="P3002" s="136" t="str">
        <f>IFERROR(__xludf.DUMMYFUNCTION("""COMPUTED_VALUE"""),"")</f>
        <v/>
      </c>
      <c r="Q3002" s="136" t="str">
        <f>IFERROR(__xludf.DUMMYFUNCTION("""COMPUTED_VALUE"""),"")</f>
        <v/>
      </c>
      <c r="R3002" s="106" t="str">
        <f>IFERROR(__xludf.DUMMYFUNCTION("""COMPUTED_VALUE"""),"")</f>
        <v/>
      </c>
      <c r="S3002" s="106" t="str">
        <f>IFERROR(__xludf.DUMMYFUNCTION("""COMPUTED_VALUE"""),"")</f>
        <v/>
      </c>
      <c r="T3002" s="139" t="str">
        <f>IFERROR(__xludf.DUMMYFUNCTION("""COMPUTED_VALUE"""),"")</f>
        <v/>
      </c>
      <c r="U3002" s="139" t="str">
        <f>IFERROR(__xludf.DUMMYFUNCTION("""COMPUTED_VALUE"""),"")</f>
        <v/>
      </c>
      <c r="V3002" s="136" t="str">
        <f>IFERROR(__xludf.DUMMYFUNCTION("""COMPUTED_VALUE"""),"")</f>
        <v/>
      </c>
      <c r="W3002" s="106" t="str">
        <f>IFERROR(__xludf.DUMMYFUNCTION("""COMPUTED_VALUE"""),"")</f>
        <v/>
      </c>
      <c r="X3002" s="143" t="str">
        <f t="shared" si="2"/>
        <v/>
      </c>
      <c r="Y3002" s="139" t="str">
        <f>IFERROR(__xludf.DUMMYFUNCTION("""COMPUTED_VALUE"""),"")</f>
        <v/>
      </c>
      <c r="Z3002" s="141" t="str">
        <f>IFERROR(__xludf.DUMMYFUNCTION("""COMPUTED_VALUE"""),"")</f>
        <v/>
      </c>
    </row>
    <row r="3003">
      <c r="D3003" s="136" t="str">
        <f t="shared" si="3"/>
        <v/>
      </c>
      <c r="E3003" s="152"/>
      <c r="F3003" s="106" t="s">
        <v>133</v>
      </c>
      <c r="G3003" s="152"/>
      <c r="H3003" s="106" t="s">
        <v>133</v>
      </c>
      <c r="J3003" s="139" t="s">
        <v>133</v>
      </c>
      <c r="K3003" s="136" t="s">
        <v>133</v>
      </c>
      <c r="L3003" s="153"/>
      <c r="M3003" s="136" t="str">
        <f t="shared" si="1"/>
        <v/>
      </c>
      <c r="O3003" s="141" t="s">
        <v>133</v>
      </c>
      <c r="P3003" s="136" t="str">
        <f>IFERROR(__xludf.DUMMYFUNCTION("""COMPUTED_VALUE"""),"")</f>
        <v/>
      </c>
      <c r="Q3003" s="136" t="str">
        <f>IFERROR(__xludf.DUMMYFUNCTION("""COMPUTED_VALUE"""),"")</f>
        <v/>
      </c>
      <c r="R3003" s="106" t="str">
        <f>IFERROR(__xludf.DUMMYFUNCTION("""COMPUTED_VALUE"""),"")</f>
        <v/>
      </c>
      <c r="S3003" s="106" t="str">
        <f>IFERROR(__xludf.DUMMYFUNCTION("""COMPUTED_VALUE"""),"")</f>
        <v/>
      </c>
      <c r="T3003" s="139" t="str">
        <f>IFERROR(__xludf.DUMMYFUNCTION("""COMPUTED_VALUE"""),"")</f>
        <v/>
      </c>
      <c r="U3003" s="139" t="str">
        <f>IFERROR(__xludf.DUMMYFUNCTION("""COMPUTED_VALUE"""),"")</f>
        <v/>
      </c>
      <c r="V3003" s="136" t="str">
        <f>IFERROR(__xludf.DUMMYFUNCTION("""COMPUTED_VALUE"""),"")</f>
        <v/>
      </c>
      <c r="W3003" s="106" t="str">
        <f>IFERROR(__xludf.DUMMYFUNCTION("""COMPUTED_VALUE"""),"")</f>
        <v/>
      </c>
      <c r="X3003" s="143" t="str">
        <f t="shared" si="2"/>
        <v/>
      </c>
      <c r="Y3003" s="139" t="str">
        <f>IFERROR(__xludf.DUMMYFUNCTION("""COMPUTED_VALUE"""),"")</f>
        <v/>
      </c>
      <c r="Z3003" s="141" t="str">
        <f>IFERROR(__xludf.DUMMYFUNCTION("""COMPUTED_VALUE"""),"")</f>
        <v/>
      </c>
    </row>
    <row r="3004">
      <c r="D3004" s="136" t="str">
        <f t="shared" si="3"/>
        <v/>
      </c>
      <c r="E3004" s="152"/>
      <c r="F3004" s="106" t="s">
        <v>133</v>
      </c>
      <c r="G3004" s="152"/>
      <c r="H3004" s="106" t="s">
        <v>133</v>
      </c>
      <c r="J3004" s="139" t="s">
        <v>133</v>
      </c>
      <c r="K3004" s="136" t="s">
        <v>133</v>
      </c>
      <c r="L3004" s="153"/>
      <c r="M3004" s="136" t="str">
        <f t="shared" si="1"/>
        <v/>
      </c>
      <c r="O3004" s="141" t="s">
        <v>133</v>
      </c>
      <c r="P3004" s="136" t="str">
        <f>IFERROR(__xludf.DUMMYFUNCTION("""COMPUTED_VALUE"""),"")</f>
        <v/>
      </c>
      <c r="Q3004" s="136" t="str">
        <f>IFERROR(__xludf.DUMMYFUNCTION("""COMPUTED_VALUE"""),"")</f>
        <v/>
      </c>
      <c r="R3004" s="106" t="str">
        <f>IFERROR(__xludf.DUMMYFUNCTION("""COMPUTED_VALUE"""),"")</f>
        <v/>
      </c>
      <c r="S3004" s="106" t="str">
        <f>IFERROR(__xludf.DUMMYFUNCTION("""COMPUTED_VALUE"""),"")</f>
        <v/>
      </c>
      <c r="T3004" s="139" t="str">
        <f>IFERROR(__xludf.DUMMYFUNCTION("""COMPUTED_VALUE"""),"")</f>
        <v/>
      </c>
      <c r="U3004" s="139" t="str">
        <f>IFERROR(__xludf.DUMMYFUNCTION("""COMPUTED_VALUE"""),"")</f>
        <v/>
      </c>
      <c r="V3004" s="136" t="str">
        <f>IFERROR(__xludf.DUMMYFUNCTION("""COMPUTED_VALUE"""),"")</f>
        <v/>
      </c>
      <c r="W3004" s="106" t="str">
        <f>IFERROR(__xludf.DUMMYFUNCTION("""COMPUTED_VALUE"""),"")</f>
        <v/>
      </c>
      <c r="X3004" s="143" t="str">
        <f t="shared" si="2"/>
        <v/>
      </c>
      <c r="Y3004" s="139" t="str">
        <f>IFERROR(__xludf.DUMMYFUNCTION("""COMPUTED_VALUE"""),"")</f>
        <v/>
      </c>
      <c r="Z3004" s="141" t="str">
        <f>IFERROR(__xludf.DUMMYFUNCTION("""COMPUTED_VALUE"""),"")</f>
        <v/>
      </c>
    </row>
    <row r="3005">
      <c r="D3005" s="136" t="str">
        <f t="shared" si="3"/>
        <v/>
      </c>
      <c r="E3005" s="152"/>
      <c r="F3005" s="106" t="s">
        <v>133</v>
      </c>
      <c r="G3005" s="152"/>
      <c r="H3005" s="106" t="s">
        <v>133</v>
      </c>
      <c r="J3005" s="139" t="s">
        <v>133</v>
      </c>
      <c r="K3005" s="136" t="s">
        <v>133</v>
      </c>
      <c r="L3005" s="153"/>
      <c r="M3005" s="136" t="str">
        <f t="shared" si="1"/>
        <v/>
      </c>
      <c r="O3005" s="141" t="s">
        <v>133</v>
      </c>
      <c r="P3005" s="136" t="str">
        <f>IFERROR(__xludf.DUMMYFUNCTION("""COMPUTED_VALUE"""),"")</f>
        <v/>
      </c>
      <c r="Q3005" s="136" t="str">
        <f>IFERROR(__xludf.DUMMYFUNCTION("""COMPUTED_VALUE"""),"")</f>
        <v/>
      </c>
      <c r="R3005" s="106" t="str">
        <f>IFERROR(__xludf.DUMMYFUNCTION("""COMPUTED_VALUE"""),"")</f>
        <v/>
      </c>
      <c r="S3005" s="106" t="str">
        <f>IFERROR(__xludf.DUMMYFUNCTION("""COMPUTED_VALUE"""),"")</f>
        <v/>
      </c>
      <c r="T3005" s="139" t="str">
        <f>IFERROR(__xludf.DUMMYFUNCTION("""COMPUTED_VALUE"""),"")</f>
        <v/>
      </c>
      <c r="U3005" s="139" t="str">
        <f>IFERROR(__xludf.DUMMYFUNCTION("""COMPUTED_VALUE"""),"")</f>
        <v/>
      </c>
      <c r="V3005" s="136" t="str">
        <f>IFERROR(__xludf.DUMMYFUNCTION("""COMPUTED_VALUE"""),"")</f>
        <v/>
      </c>
      <c r="W3005" s="106" t="str">
        <f>IFERROR(__xludf.DUMMYFUNCTION("""COMPUTED_VALUE"""),"")</f>
        <v/>
      </c>
      <c r="X3005" s="143" t="str">
        <f t="shared" si="2"/>
        <v/>
      </c>
      <c r="Y3005" s="139" t="str">
        <f>IFERROR(__xludf.DUMMYFUNCTION("""COMPUTED_VALUE"""),"")</f>
        <v/>
      </c>
      <c r="Z3005" s="141" t="str">
        <f>IFERROR(__xludf.DUMMYFUNCTION("""COMPUTED_VALUE"""),"")</f>
        <v/>
      </c>
    </row>
    <row r="3006">
      <c r="D3006" s="136" t="str">
        <f t="shared" si="3"/>
        <v/>
      </c>
      <c r="E3006" s="152"/>
      <c r="F3006" s="106" t="s">
        <v>133</v>
      </c>
      <c r="G3006" s="152"/>
      <c r="H3006" s="106" t="s">
        <v>133</v>
      </c>
      <c r="J3006" s="139" t="s">
        <v>133</v>
      </c>
      <c r="K3006" s="136" t="s">
        <v>133</v>
      </c>
      <c r="L3006" s="153"/>
      <c r="M3006" s="136" t="str">
        <f t="shared" si="1"/>
        <v/>
      </c>
      <c r="O3006" s="141" t="s">
        <v>133</v>
      </c>
      <c r="P3006" s="136" t="str">
        <f>IFERROR(__xludf.DUMMYFUNCTION("""COMPUTED_VALUE"""),"")</f>
        <v/>
      </c>
      <c r="Q3006" s="136" t="str">
        <f>IFERROR(__xludf.DUMMYFUNCTION("""COMPUTED_VALUE"""),"")</f>
        <v/>
      </c>
      <c r="R3006" s="106" t="str">
        <f>IFERROR(__xludf.DUMMYFUNCTION("""COMPUTED_VALUE"""),"")</f>
        <v/>
      </c>
      <c r="S3006" s="106" t="str">
        <f>IFERROR(__xludf.DUMMYFUNCTION("""COMPUTED_VALUE"""),"")</f>
        <v/>
      </c>
      <c r="T3006" s="139" t="str">
        <f>IFERROR(__xludf.DUMMYFUNCTION("""COMPUTED_VALUE"""),"")</f>
        <v/>
      </c>
      <c r="U3006" s="139" t="str">
        <f>IFERROR(__xludf.DUMMYFUNCTION("""COMPUTED_VALUE"""),"")</f>
        <v/>
      </c>
      <c r="V3006" s="136" t="str">
        <f>IFERROR(__xludf.DUMMYFUNCTION("""COMPUTED_VALUE"""),"")</f>
        <v/>
      </c>
      <c r="W3006" s="106" t="str">
        <f>IFERROR(__xludf.DUMMYFUNCTION("""COMPUTED_VALUE"""),"")</f>
        <v/>
      </c>
      <c r="X3006" s="143" t="str">
        <f t="shared" si="2"/>
        <v/>
      </c>
      <c r="Y3006" s="139" t="str">
        <f>IFERROR(__xludf.DUMMYFUNCTION("""COMPUTED_VALUE"""),"")</f>
        <v/>
      </c>
      <c r="Z3006" s="141" t="str">
        <f>IFERROR(__xludf.DUMMYFUNCTION("""COMPUTED_VALUE"""),"")</f>
        <v/>
      </c>
    </row>
    <row r="3007">
      <c r="D3007" s="136" t="str">
        <f t="shared" si="3"/>
        <v/>
      </c>
      <c r="E3007" s="152"/>
      <c r="F3007" s="106" t="s">
        <v>133</v>
      </c>
      <c r="G3007" s="152"/>
      <c r="H3007" s="106" t="s">
        <v>133</v>
      </c>
      <c r="J3007" s="139" t="s">
        <v>133</v>
      </c>
      <c r="K3007" s="136" t="s">
        <v>133</v>
      </c>
      <c r="L3007" s="153"/>
      <c r="M3007" s="136" t="str">
        <f t="shared" si="1"/>
        <v/>
      </c>
      <c r="O3007" s="141" t="s">
        <v>133</v>
      </c>
      <c r="P3007" s="136" t="str">
        <f>IFERROR(__xludf.DUMMYFUNCTION("""COMPUTED_VALUE"""),"")</f>
        <v/>
      </c>
      <c r="Q3007" s="136" t="str">
        <f>IFERROR(__xludf.DUMMYFUNCTION("""COMPUTED_VALUE"""),"")</f>
        <v/>
      </c>
      <c r="R3007" s="106" t="str">
        <f>IFERROR(__xludf.DUMMYFUNCTION("""COMPUTED_VALUE"""),"")</f>
        <v/>
      </c>
      <c r="S3007" s="106" t="str">
        <f>IFERROR(__xludf.DUMMYFUNCTION("""COMPUTED_VALUE"""),"")</f>
        <v/>
      </c>
      <c r="T3007" s="139" t="str">
        <f>IFERROR(__xludf.DUMMYFUNCTION("""COMPUTED_VALUE"""),"")</f>
        <v/>
      </c>
      <c r="U3007" s="139" t="str">
        <f>IFERROR(__xludf.DUMMYFUNCTION("""COMPUTED_VALUE"""),"")</f>
        <v/>
      </c>
      <c r="V3007" s="136" t="str">
        <f>IFERROR(__xludf.DUMMYFUNCTION("""COMPUTED_VALUE"""),"")</f>
        <v/>
      </c>
      <c r="W3007" s="106" t="str">
        <f>IFERROR(__xludf.DUMMYFUNCTION("""COMPUTED_VALUE"""),"")</f>
        <v/>
      </c>
      <c r="X3007" s="143" t="str">
        <f t="shared" si="2"/>
        <v/>
      </c>
      <c r="Y3007" s="139" t="str">
        <f>IFERROR(__xludf.DUMMYFUNCTION("""COMPUTED_VALUE"""),"")</f>
        <v/>
      </c>
      <c r="Z3007" s="141" t="str">
        <f>IFERROR(__xludf.DUMMYFUNCTION("""COMPUTED_VALUE"""),"")</f>
        <v/>
      </c>
    </row>
    <row r="3008">
      <c r="D3008" s="136" t="str">
        <f t="shared" si="3"/>
        <v/>
      </c>
      <c r="E3008" s="152"/>
      <c r="F3008" s="106" t="s">
        <v>133</v>
      </c>
      <c r="G3008" s="152"/>
      <c r="H3008" s="106" t="s">
        <v>133</v>
      </c>
      <c r="J3008" s="139" t="s">
        <v>133</v>
      </c>
      <c r="K3008" s="136" t="s">
        <v>133</v>
      </c>
      <c r="L3008" s="153"/>
      <c r="M3008" s="136" t="str">
        <f t="shared" si="1"/>
        <v/>
      </c>
      <c r="O3008" s="141" t="s">
        <v>133</v>
      </c>
      <c r="P3008" s="136" t="str">
        <f>IFERROR(__xludf.DUMMYFUNCTION("""COMPUTED_VALUE"""),"")</f>
        <v/>
      </c>
      <c r="Q3008" s="136" t="str">
        <f>IFERROR(__xludf.DUMMYFUNCTION("""COMPUTED_VALUE"""),"")</f>
        <v/>
      </c>
      <c r="R3008" s="106" t="str">
        <f>IFERROR(__xludf.DUMMYFUNCTION("""COMPUTED_VALUE"""),"")</f>
        <v/>
      </c>
      <c r="S3008" s="106" t="str">
        <f>IFERROR(__xludf.DUMMYFUNCTION("""COMPUTED_VALUE"""),"")</f>
        <v/>
      </c>
      <c r="T3008" s="139" t="str">
        <f>IFERROR(__xludf.DUMMYFUNCTION("""COMPUTED_VALUE"""),"")</f>
        <v/>
      </c>
      <c r="U3008" s="139" t="str">
        <f>IFERROR(__xludf.DUMMYFUNCTION("""COMPUTED_VALUE"""),"")</f>
        <v/>
      </c>
      <c r="V3008" s="136" t="str">
        <f>IFERROR(__xludf.DUMMYFUNCTION("""COMPUTED_VALUE"""),"")</f>
        <v/>
      </c>
      <c r="W3008" s="106" t="str">
        <f>IFERROR(__xludf.DUMMYFUNCTION("""COMPUTED_VALUE"""),"")</f>
        <v/>
      </c>
      <c r="X3008" s="143" t="str">
        <f t="shared" si="2"/>
        <v/>
      </c>
      <c r="Y3008" s="139" t="str">
        <f>IFERROR(__xludf.DUMMYFUNCTION("""COMPUTED_VALUE"""),"")</f>
        <v/>
      </c>
      <c r="Z3008" s="141" t="str">
        <f>IFERROR(__xludf.DUMMYFUNCTION("""COMPUTED_VALUE"""),"")</f>
        <v/>
      </c>
    </row>
    <row r="3009">
      <c r="D3009" s="136" t="str">
        <f t="shared" si="3"/>
        <v/>
      </c>
      <c r="E3009" s="152"/>
      <c r="F3009" s="106" t="s">
        <v>133</v>
      </c>
      <c r="G3009" s="152"/>
      <c r="H3009" s="106" t="s">
        <v>133</v>
      </c>
      <c r="J3009" s="139" t="s">
        <v>133</v>
      </c>
      <c r="K3009" s="136" t="s">
        <v>133</v>
      </c>
      <c r="L3009" s="153"/>
      <c r="M3009" s="136" t="str">
        <f t="shared" si="1"/>
        <v/>
      </c>
      <c r="O3009" s="141" t="s">
        <v>133</v>
      </c>
      <c r="P3009" s="136" t="str">
        <f>IFERROR(__xludf.DUMMYFUNCTION("""COMPUTED_VALUE"""),"")</f>
        <v/>
      </c>
      <c r="Q3009" s="136" t="str">
        <f>IFERROR(__xludf.DUMMYFUNCTION("""COMPUTED_VALUE"""),"")</f>
        <v/>
      </c>
      <c r="R3009" s="106" t="str">
        <f>IFERROR(__xludf.DUMMYFUNCTION("""COMPUTED_VALUE"""),"")</f>
        <v/>
      </c>
      <c r="S3009" s="106" t="str">
        <f>IFERROR(__xludf.DUMMYFUNCTION("""COMPUTED_VALUE"""),"")</f>
        <v/>
      </c>
      <c r="T3009" s="139" t="str">
        <f>IFERROR(__xludf.DUMMYFUNCTION("""COMPUTED_VALUE"""),"")</f>
        <v/>
      </c>
      <c r="U3009" s="139" t="str">
        <f>IFERROR(__xludf.DUMMYFUNCTION("""COMPUTED_VALUE"""),"")</f>
        <v/>
      </c>
      <c r="V3009" s="136" t="str">
        <f>IFERROR(__xludf.DUMMYFUNCTION("""COMPUTED_VALUE"""),"")</f>
        <v/>
      </c>
      <c r="W3009" s="106" t="str">
        <f>IFERROR(__xludf.DUMMYFUNCTION("""COMPUTED_VALUE"""),"")</f>
        <v/>
      </c>
      <c r="X3009" s="143" t="str">
        <f t="shared" si="2"/>
        <v/>
      </c>
      <c r="Y3009" s="139" t="str">
        <f>IFERROR(__xludf.DUMMYFUNCTION("""COMPUTED_VALUE"""),"")</f>
        <v/>
      </c>
      <c r="Z3009" s="141" t="str">
        <f>IFERROR(__xludf.DUMMYFUNCTION("""COMPUTED_VALUE"""),"")</f>
        <v/>
      </c>
    </row>
    <row r="3010">
      <c r="D3010" s="136" t="str">
        <f t="shared" si="3"/>
        <v/>
      </c>
      <c r="E3010" s="152"/>
      <c r="F3010" s="106" t="s">
        <v>133</v>
      </c>
      <c r="G3010" s="152"/>
      <c r="H3010" s="106" t="s">
        <v>133</v>
      </c>
      <c r="J3010" s="139" t="s">
        <v>133</v>
      </c>
      <c r="K3010" s="136" t="s">
        <v>133</v>
      </c>
      <c r="L3010" s="153"/>
      <c r="M3010" s="136" t="str">
        <f t="shared" si="1"/>
        <v/>
      </c>
      <c r="O3010" s="141" t="s">
        <v>133</v>
      </c>
      <c r="P3010" s="136" t="str">
        <f>IFERROR(__xludf.DUMMYFUNCTION("""COMPUTED_VALUE"""),"")</f>
        <v/>
      </c>
      <c r="Q3010" s="136" t="str">
        <f>IFERROR(__xludf.DUMMYFUNCTION("""COMPUTED_VALUE"""),"")</f>
        <v/>
      </c>
      <c r="R3010" s="106" t="str">
        <f>IFERROR(__xludf.DUMMYFUNCTION("""COMPUTED_VALUE"""),"")</f>
        <v/>
      </c>
      <c r="S3010" s="106" t="str">
        <f>IFERROR(__xludf.DUMMYFUNCTION("""COMPUTED_VALUE"""),"")</f>
        <v/>
      </c>
      <c r="T3010" s="139" t="str">
        <f>IFERROR(__xludf.DUMMYFUNCTION("""COMPUTED_VALUE"""),"")</f>
        <v/>
      </c>
      <c r="U3010" s="139" t="str">
        <f>IFERROR(__xludf.DUMMYFUNCTION("""COMPUTED_VALUE"""),"")</f>
        <v/>
      </c>
      <c r="V3010" s="136" t="str">
        <f>IFERROR(__xludf.DUMMYFUNCTION("""COMPUTED_VALUE"""),"")</f>
        <v/>
      </c>
      <c r="W3010" s="106" t="str">
        <f>IFERROR(__xludf.DUMMYFUNCTION("""COMPUTED_VALUE"""),"")</f>
        <v/>
      </c>
      <c r="X3010" s="143" t="str">
        <f t="shared" si="2"/>
        <v/>
      </c>
      <c r="Y3010" s="139" t="str">
        <f>IFERROR(__xludf.DUMMYFUNCTION("""COMPUTED_VALUE"""),"")</f>
        <v/>
      </c>
      <c r="Z3010" s="141" t="str">
        <f>IFERROR(__xludf.DUMMYFUNCTION("""COMPUTED_VALUE"""),"")</f>
        <v/>
      </c>
    </row>
    <row r="3011">
      <c r="D3011" s="136" t="str">
        <f t="shared" si="3"/>
        <v/>
      </c>
      <c r="E3011" s="152"/>
      <c r="F3011" s="106" t="s">
        <v>133</v>
      </c>
      <c r="G3011" s="152"/>
      <c r="H3011" s="106" t="s">
        <v>133</v>
      </c>
      <c r="J3011" s="139" t="s">
        <v>133</v>
      </c>
      <c r="K3011" s="136" t="s">
        <v>133</v>
      </c>
      <c r="L3011" s="153"/>
      <c r="M3011" s="136" t="str">
        <f t="shared" si="1"/>
        <v/>
      </c>
      <c r="O3011" s="141" t="s">
        <v>133</v>
      </c>
      <c r="P3011" s="136" t="str">
        <f>IFERROR(__xludf.DUMMYFUNCTION("""COMPUTED_VALUE"""),"")</f>
        <v/>
      </c>
      <c r="Q3011" s="136" t="str">
        <f>IFERROR(__xludf.DUMMYFUNCTION("""COMPUTED_VALUE"""),"")</f>
        <v/>
      </c>
      <c r="R3011" s="106" t="str">
        <f>IFERROR(__xludf.DUMMYFUNCTION("""COMPUTED_VALUE"""),"")</f>
        <v/>
      </c>
      <c r="S3011" s="106" t="str">
        <f>IFERROR(__xludf.DUMMYFUNCTION("""COMPUTED_VALUE"""),"")</f>
        <v/>
      </c>
      <c r="T3011" s="139" t="str">
        <f>IFERROR(__xludf.DUMMYFUNCTION("""COMPUTED_VALUE"""),"")</f>
        <v/>
      </c>
      <c r="U3011" s="139" t="str">
        <f>IFERROR(__xludf.DUMMYFUNCTION("""COMPUTED_VALUE"""),"")</f>
        <v/>
      </c>
      <c r="V3011" s="136" t="str">
        <f>IFERROR(__xludf.DUMMYFUNCTION("""COMPUTED_VALUE"""),"")</f>
        <v/>
      </c>
      <c r="W3011" s="106" t="str">
        <f>IFERROR(__xludf.DUMMYFUNCTION("""COMPUTED_VALUE"""),"")</f>
        <v/>
      </c>
      <c r="X3011" s="143" t="str">
        <f t="shared" si="2"/>
        <v/>
      </c>
      <c r="Y3011" s="139" t="str">
        <f>IFERROR(__xludf.DUMMYFUNCTION("""COMPUTED_VALUE"""),"")</f>
        <v/>
      </c>
      <c r="Z3011" s="141" t="str">
        <f>IFERROR(__xludf.DUMMYFUNCTION("""COMPUTED_VALUE"""),"")</f>
        <v/>
      </c>
    </row>
    <row r="3012">
      <c r="D3012" s="136" t="str">
        <f t="shared" si="3"/>
        <v/>
      </c>
      <c r="E3012" s="152"/>
      <c r="F3012" s="106" t="s">
        <v>133</v>
      </c>
      <c r="G3012" s="152"/>
      <c r="H3012" s="106" t="s">
        <v>133</v>
      </c>
      <c r="J3012" s="139" t="s">
        <v>133</v>
      </c>
      <c r="K3012" s="136" t="s">
        <v>133</v>
      </c>
      <c r="L3012" s="153"/>
      <c r="M3012" s="136" t="str">
        <f t="shared" si="1"/>
        <v/>
      </c>
      <c r="O3012" s="141" t="s">
        <v>133</v>
      </c>
      <c r="P3012" s="136" t="str">
        <f>IFERROR(__xludf.DUMMYFUNCTION("""COMPUTED_VALUE"""),"")</f>
        <v/>
      </c>
      <c r="Q3012" s="136" t="str">
        <f>IFERROR(__xludf.DUMMYFUNCTION("""COMPUTED_VALUE"""),"")</f>
        <v/>
      </c>
      <c r="R3012" s="106" t="str">
        <f>IFERROR(__xludf.DUMMYFUNCTION("""COMPUTED_VALUE"""),"")</f>
        <v/>
      </c>
      <c r="S3012" s="106" t="str">
        <f>IFERROR(__xludf.DUMMYFUNCTION("""COMPUTED_VALUE"""),"")</f>
        <v/>
      </c>
      <c r="T3012" s="139" t="str">
        <f>IFERROR(__xludf.DUMMYFUNCTION("""COMPUTED_VALUE"""),"")</f>
        <v/>
      </c>
      <c r="U3012" s="139" t="str">
        <f>IFERROR(__xludf.DUMMYFUNCTION("""COMPUTED_VALUE"""),"")</f>
        <v/>
      </c>
      <c r="V3012" s="136" t="str">
        <f>IFERROR(__xludf.DUMMYFUNCTION("""COMPUTED_VALUE"""),"")</f>
        <v/>
      </c>
      <c r="W3012" s="106" t="str">
        <f>IFERROR(__xludf.DUMMYFUNCTION("""COMPUTED_VALUE"""),"")</f>
        <v/>
      </c>
      <c r="X3012" s="143" t="str">
        <f t="shared" si="2"/>
        <v/>
      </c>
      <c r="Y3012" s="139" t="str">
        <f>IFERROR(__xludf.DUMMYFUNCTION("""COMPUTED_VALUE"""),"")</f>
        <v/>
      </c>
      <c r="Z3012" s="141" t="str">
        <f>IFERROR(__xludf.DUMMYFUNCTION("""COMPUTED_VALUE"""),"")</f>
        <v/>
      </c>
    </row>
    <row r="3013">
      <c r="D3013" s="136" t="str">
        <f t="shared" si="3"/>
        <v/>
      </c>
      <c r="E3013" s="152"/>
      <c r="F3013" s="106" t="s">
        <v>133</v>
      </c>
      <c r="G3013" s="152"/>
      <c r="H3013" s="106" t="s">
        <v>133</v>
      </c>
      <c r="J3013" s="139" t="s">
        <v>133</v>
      </c>
      <c r="K3013" s="136" t="s">
        <v>133</v>
      </c>
      <c r="L3013" s="153"/>
      <c r="M3013" s="136" t="str">
        <f t="shared" si="1"/>
        <v/>
      </c>
      <c r="O3013" s="141" t="s">
        <v>133</v>
      </c>
      <c r="P3013" s="136" t="str">
        <f>IFERROR(__xludf.DUMMYFUNCTION("""COMPUTED_VALUE"""),"")</f>
        <v/>
      </c>
      <c r="Q3013" s="136" t="str">
        <f>IFERROR(__xludf.DUMMYFUNCTION("""COMPUTED_VALUE"""),"")</f>
        <v/>
      </c>
      <c r="R3013" s="106" t="str">
        <f>IFERROR(__xludf.DUMMYFUNCTION("""COMPUTED_VALUE"""),"")</f>
        <v/>
      </c>
      <c r="S3013" s="106" t="str">
        <f>IFERROR(__xludf.DUMMYFUNCTION("""COMPUTED_VALUE"""),"")</f>
        <v/>
      </c>
      <c r="T3013" s="139" t="str">
        <f>IFERROR(__xludf.DUMMYFUNCTION("""COMPUTED_VALUE"""),"")</f>
        <v/>
      </c>
      <c r="U3013" s="139" t="str">
        <f>IFERROR(__xludf.DUMMYFUNCTION("""COMPUTED_VALUE"""),"")</f>
        <v/>
      </c>
      <c r="V3013" s="136" t="str">
        <f>IFERROR(__xludf.DUMMYFUNCTION("""COMPUTED_VALUE"""),"")</f>
        <v/>
      </c>
      <c r="W3013" s="106" t="str">
        <f>IFERROR(__xludf.DUMMYFUNCTION("""COMPUTED_VALUE"""),"")</f>
        <v/>
      </c>
      <c r="X3013" s="143" t="str">
        <f t="shared" si="2"/>
        <v/>
      </c>
      <c r="Y3013" s="139" t="str">
        <f>IFERROR(__xludf.DUMMYFUNCTION("""COMPUTED_VALUE"""),"")</f>
        <v/>
      </c>
      <c r="Z3013" s="141" t="str">
        <f>IFERROR(__xludf.DUMMYFUNCTION("""COMPUTED_VALUE"""),"")</f>
        <v/>
      </c>
    </row>
    <row r="3014">
      <c r="D3014" s="136" t="str">
        <f t="shared" si="3"/>
        <v/>
      </c>
      <c r="E3014" s="152"/>
      <c r="F3014" s="106" t="s">
        <v>133</v>
      </c>
      <c r="G3014" s="152"/>
      <c r="H3014" s="106" t="s">
        <v>133</v>
      </c>
      <c r="J3014" s="139" t="s">
        <v>133</v>
      </c>
      <c r="K3014" s="136" t="s">
        <v>133</v>
      </c>
      <c r="L3014" s="153"/>
      <c r="M3014" s="136" t="str">
        <f t="shared" si="1"/>
        <v/>
      </c>
      <c r="O3014" s="141" t="s">
        <v>133</v>
      </c>
      <c r="P3014" s="136" t="str">
        <f>IFERROR(__xludf.DUMMYFUNCTION("""COMPUTED_VALUE"""),"")</f>
        <v/>
      </c>
      <c r="Q3014" s="136" t="str">
        <f>IFERROR(__xludf.DUMMYFUNCTION("""COMPUTED_VALUE"""),"")</f>
        <v/>
      </c>
      <c r="R3014" s="106" t="str">
        <f>IFERROR(__xludf.DUMMYFUNCTION("""COMPUTED_VALUE"""),"")</f>
        <v/>
      </c>
      <c r="S3014" s="106" t="str">
        <f>IFERROR(__xludf.DUMMYFUNCTION("""COMPUTED_VALUE"""),"")</f>
        <v/>
      </c>
      <c r="T3014" s="139" t="str">
        <f>IFERROR(__xludf.DUMMYFUNCTION("""COMPUTED_VALUE"""),"")</f>
        <v/>
      </c>
      <c r="U3014" s="139" t="str">
        <f>IFERROR(__xludf.DUMMYFUNCTION("""COMPUTED_VALUE"""),"")</f>
        <v/>
      </c>
      <c r="V3014" s="136" t="str">
        <f>IFERROR(__xludf.DUMMYFUNCTION("""COMPUTED_VALUE"""),"")</f>
        <v/>
      </c>
      <c r="W3014" s="106" t="str">
        <f>IFERROR(__xludf.DUMMYFUNCTION("""COMPUTED_VALUE"""),"")</f>
        <v/>
      </c>
      <c r="X3014" s="143" t="str">
        <f t="shared" si="2"/>
        <v/>
      </c>
      <c r="Y3014" s="139" t="str">
        <f>IFERROR(__xludf.DUMMYFUNCTION("""COMPUTED_VALUE"""),"")</f>
        <v/>
      </c>
      <c r="Z3014" s="141" t="str">
        <f>IFERROR(__xludf.DUMMYFUNCTION("""COMPUTED_VALUE"""),"")</f>
        <v/>
      </c>
    </row>
    <row r="3015">
      <c r="D3015" s="136" t="str">
        <f t="shared" si="3"/>
        <v/>
      </c>
      <c r="E3015" s="152"/>
      <c r="F3015" s="106" t="s">
        <v>133</v>
      </c>
      <c r="G3015" s="152"/>
      <c r="H3015" s="106" t="s">
        <v>133</v>
      </c>
      <c r="J3015" s="139" t="s">
        <v>133</v>
      </c>
      <c r="K3015" s="136" t="s">
        <v>133</v>
      </c>
      <c r="L3015" s="153"/>
      <c r="M3015" s="136" t="str">
        <f t="shared" si="1"/>
        <v/>
      </c>
      <c r="O3015" s="141" t="s">
        <v>133</v>
      </c>
      <c r="P3015" s="136" t="str">
        <f>IFERROR(__xludf.DUMMYFUNCTION("""COMPUTED_VALUE"""),"")</f>
        <v/>
      </c>
      <c r="Q3015" s="136" t="str">
        <f>IFERROR(__xludf.DUMMYFUNCTION("""COMPUTED_VALUE"""),"")</f>
        <v/>
      </c>
      <c r="R3015" s="106" t="str">
        <f>IFERROR(__xludf.DUMMYFUNCTION("""COMPUTED_VALUE"""),"")</f>
        <v/>
      </c>
      <c r="S3015" s="106" t="str">
        <f>IFERROR(__xludf.DUMMYFUNCTION("""COMPUTED_VALUE"""),"")</f>
        <v/>
      </c>
      <c r="T3015" s="139" t="str">
        <f>IFERROR(__xludf.DUMMYFUNCTION("""COMPUTED_VALUE"""),"")</f>
        <v/>
      </c>
      <c r="U3015" s="139" t="str">
        <f>IFERROR(__xludf.DUMMYFUNCTION("""COMPUTED_VALUE"""),"")</f>
        <v/>
      </c>
      <c r="V3015" s="136" t="str">
        <f>IFERROR(__xludf.DUMMYFUNCTION("""COMPUTED_VALUE"""),"")</f>
        <v/>
      </c>
      <c r="W3015" s="106" t="str">
        <f>IFERROR(__xludf.DUMMYFUNCTION("""COMPUTED_VALUE"""),"")</f>
        <v/>
      </c>
      <c r="X3015" s="143" t="str">
        <f t="shared" si="2"/>
        <v/>
      </c>
      <c r="Y3015" s="139" t="str">
        <f>IFERROR(__xludf.DUMMYFUNCTION("""COMPUTED_VALUE"""),"")</f>
        <v/>
      </c>
      <c r="Z3015" s="141" t="str">
        <f>IFERROR(__xludf.DUMMYFUNCTION("""COMPUTED_VALUE"""),"")</f>
        <v/>
      </c>
    </row>
    <row r="3016">
      <c r="D3016" s="136" t="str">
        <f t="shared" si="3"/>
        <v/>
      </c>
      <c r="E3016" s="152"/>
      <c r="F3016" s="106" t="s">
        <v>133</v>
      </c>
      <c r="G3016" s="152"/>
      <c r="H3016" s="106" t="s">
        <v>133</v>
      </c>
      <c r="J3016" s="139" t="s">
        <v>133</v>
      </c>
      <c r="K3016" s="136" t="s">
        <v>133</v>
      </c>
      <c r="L3016" s="153"/>
      <c r="M3016" s="136" t="str">
        <f t="shared" si="1"/>
        <v/>
      </c>
      <c r="O3016" s="141" t="s">
        <v>133</v>
      </c>
      <c r="P3016" s="136" t="str">
        <f>IFERROR(__xludf.DUMMYFUNCTION("""COMPUTED_VALUE"""),"")</f>
        <v/>
      </c>
      <c r="Q3016" s="136" t="str">
        <f>IFERROR(__xludf.DUMMYFUNCTION("""COMPUTED_VALUE"""),"")</f>
        <v/>
      </c>
      <c r="R3016" s="106" t="str">
        <f>IFERROR(__xludf.DUMMYFUNCTION("""COMPUTED_VALUE"""),"")</f>
        <v/>
      </c>
      <c r="S3016" s="106" t="str">
        <f>IFERROR(__xludf.DUMMYFUNCTION("""COMPUTED_VALUE"""),"")</f>
        <v/>
      </c>
      <c r="T3016" s="139" t="str">
        <f>IFERROR(__xludf.DUMMYFUNCTION("""COMPUTED_VALUE"""),"")</f>
        <v/>
      </c>
      <c r="U3016" s="139" t="str">
        <f>IFERROR(__xludf.DUMMYFUNCTION("""COMPUTED_VALUE"""),"")</f>
        <v/>
      </c>
      <c r="V3016" s="136" t="str">
        <f>IFERROR(__xludf.DUMMYFUNCTION("""COMPUTED_VALUE"""),"")</f>
        <v/>
      </c>
      <c r="W3016" s="106" t="str">
        <f>IFERROR(__xludf.DUMMYFUNCTION("""COMPUTED_VALUE"""),"")</f>
        <v/>
      </c>
      <c r="X3016" s="143" t="str">
        <f t="shared" si="2"/>
        <v/>
      </c>
      <c r="Y3016" s="139" t="str">
        <f>IFERROR(__xludf.DUMMYFUNCTION("""COMPUTED_VALUE"""),"")</f>
        <v/>
      </c>
      <c r="Z3016" s="141" t="str">
        <f>IFERROR(__xludf.DUMMYFUNCTION("""COMPUTED_VALUE"""),"")</f>
        <v/>
      </c>
    </row>
    <row r="3017">
      <c r="D3017" s="136" t="str">
        <f t="shared" si="3"/>
        <v/>
      </c>
      <c r="E3017" s="152"/>
      <c r="F3017" s="106" t="s">
        <v>133</v>
      </c>
      <c r="G3017" s="152"/>
      <c r="H3017" s="106" t="s">
        <v>133</v>
      </c>
      <c r="J3017" s="139" t="s">
        <v>133</v>
      </c>
      <c r="K3017" s="136" t="s">
        <v>133</v>
      </c>
      <c r="L3017" s="153"/>
      <c r="M3017" s="136" t="str">
        <f t="shared" si="1"/>
        <v/>
      </c>
      <c r="O3017" s="141" t="s">
        <v>133</v>
      </c>
      <c r="P3017" s="136" t="str">
        <f>IFERROR(__xludf.DUMMYFUNCTION("""COMPUTED_VALUE"""),"")</f>
        <v/>
      </c>
      <c r="Q3017" s="136" t="str">
        <f>IFERROR(__xludf.DUMMYFUNCTION("""COMPUTED_VALUE"""),"")</f>
        <v/>
      </c>
      <c r="R3017" s="106" t="str">
        <f>IFERROR(__xludf.DUMMYFUNCTION("""COMPUTED_VALUE"""),"")</f>
        <v/>
      </c>
      <c r="S3017" s="106" t="str">
        <f>IFERROR(__xludf.DUMMYFUNCTION("""COMPUTED_VALUE"""),"")</f>
        <v/>
      </c>
      <c r="T3017" s="139" t="str">
        <f>IFERROR(__xludf.DUMMYFUNCTION("""COMPUTED_VALUE"""),"")</f>
        <v/>
      </c>
      <c r="U3017" s="139" t="str">
        <f>IFERROR(__xludf.DUMMYFUNCTION("""COMPUTED_VALUE"""),"")</f>
        <v/>
      </c>
      <c r="V3017" s="136" t="str">
        <f>IFERROR(__xludf.DUMMYFUNCTION("""COMPUTED_VALUE"""),"")</f>
        <v/>
      </c>
      <c r="W3017" s="106" t="str">
        <f>IFERROR(__xludf.DUMMYFUNCTION("""COMPUTED_VALUE"""),"")</f>
        <v/>
      </c>
      <c r="X3017" s="143" t="str">
        <f t="shared" si="2"/>
        <v/>
      </c>
      <c r="Y3017" s="139" t="str">
        <f>IFERROR(__xludf.DUMMYFUNCTION("""COMPUTED_VALUE"""),"")</f>
        <v/>
      </c>
      <c r="Z3017" s="141" t="str">
        <f>IFERROR(__xludf.DUMMYFUNCTION("""COMPUTED_VALUE"""),"")</f>
        <v/>
      </c>
    </row>
    <row r="3018">
      <c r="D3018" s="136" t="str">
        <f t="shared" si="3"/>
        <v/>
      </c>
      <c r="E3018" s="152"/>
      <c r="F3018" s="106" t="s">
        <v>133</v>
      </c>
      <c r="G3018" s="152"/>
      <c r="H3018" s="106" t="s">
        <v>133</v>
      </c>
      <c r="J3018" s="139" t="s">
        <v>133</v>
      </c>
      <c r="K3018" s="136" t="s">
        <v>133</v>
      </c>
      <c r="L3018" s="153"/>
      <c r="M3018" s="136" t="str">
        <f t="shared" si="1"/>
        <v/>
      </c>
      <c r="O3018" s="141" t="s">
        <v>133</v>
      </c>
      <c r="P3018" s="136" t="str">
        <f>IFERROR(__xludf.DUMMYFUNCTION("""COMPUTED_VALUE"""),"")</f>
        <v/>
      </c>
      <c r="Q3018" s="136" t="str">
        <f>IFERROR(__xludf.DUMMYFUNCTION("""COMPUTED_VALUE"""),"")</f>
        <v/>
      </c>
      <c r="R3018" s="106" t="str">
        <f>IFERROR(__xludf.DUMMYFUNCTION("""COMPUTED_VALUE"""),"")</f>
        <v/>
      </c>
      <c r="S3018" s="106" t="str">
        <f>IFERROR(__xludf.DUMMYFUNCTION("""COMPUTED_VALUE"""),"")</f>
        <v/>
      </c>
      <c r="T3018" s="139" t="str">
        <f>IFERROR(__xludf.DUMMYFUNCTION("""COMPUTED_VALUE"""),"")</f>
        <v/>
      </c>
      <c r="U3018" s="139" t="str">
        <f>IFERROR(__xludf.DUMMYFUNCTION("""COMPUTED_VALUE"""),"")</f>
        <v/>
      </c>
      <c r="V3018" s="136" t="str">
        <f>IFERROR(__xludf.DUMMYFUNCTION("""COMPUTED_VALUE"""),"")</f>
        <v/>
      </c>
      <c r="W3018" s="106" t="str">
        <f>IFERROR(__xludf.DUMMYFUNCTION("""COMPUTED_VALUE"""),"")</f>
        <v/>
      </c>
      <c r="X3018" s="143" t="str">
        <f t="shared" si="2"/>
        <v/>
      </c>
      <c r="Y3018" s="139" t="str">
        <f>IFERROR(__xludf.DUMMYFUNCTION("""COMPUTED_VALUE"""),"")</f>
        <v/>
      </c>
      <c r="Z3018" s="141" t="str">
        <f>IFERROR(__xludf.DUMMYFUNCTION("""COMPUTED_VALUE"""),"")</f>
        <v/>
      </c>
    </row>
    <row r="3019">
      <c r="D3019" s="136" t="str">
        <f t="shared" si="3"/>
        <v/>
      </c>
      <c r="E3019" s="152"/>
      <c r="F3019" s="106" t="s">
        <v>133</v>
      </c>
      <c r="G3019" s="152"/>
      <c r="H3019" s="106" t="s">
        <v>133</v>
      </c>
      <c r="J3019" s="139" t="s">
        <v>133</v>
      </c>
      <c r="K3019" s="136" t="s">
        <v>133</v>
      </c>
      <c r="L3019" s="153"/>
      <c r="M3019" s="136" t="str">
        <f t="shared" si="1"/>
        <v/>
      </c>
      <c r="O3019" s="141" t="s">
        <v>133</v>
      </c>
      <c r="P3019" s="136" t="str">
        <f>IFERROR(__xludf.DUMMYFUNCTION("""COMPUTED_VALUE"""),"")</f>
        <v/>
      </c>
      <c r="Q3019" s="136" t="str">
        <f>IFERROR(__xludf.DUMMYFUNCTION("""COMPUTED_VALUE"""),"")</f>
        <v/>
      </c>
      <c r="R3019" s="106" t="str">
        <f>IFERROR(__xludf.DUMMYFUNCTION("""COMPUTED_VALUE"""),"")</f>
        <v/>
      </c>
      <c r="S3019" s="106" t="str">
        <f>IFERROR(__xludf.DUMMYFUNCTION("""COMPUTED_VALUE"""),"")</f>
        <v/>
      </c>
      <c r="T3019" s="139" t="str">
        <f>IFERROR(__xludf.DUMMYFUNCTION("""COMPUTED_VALUE"""),"")</f>
        <v/>
      </c>
      <c r="U3019" s="139" t="str">
        <f>IFERROR(__xludf.DUMMYFUNCTION("""COMPUTED_VALUE"""),"")</f>
        <v/>
      </c>
      <c r="V3019" s="136" t="str">
        <f>IFERROR(__xludf.DUMMYFUNCTION("""COMPUTED_VALUE"""),"")</f>
        <v/>
      </c>
      <c r="W3019" s="106" t="str">
        <f>IFERROR(__xludf.DUMMYFUNCTION("""COMPUTED_VALUE"""),"")</f>
        <v/>
      </c>
      <c r="X3019" s="143" t="str">
        <f t="shared" si="2"/>
        <v/>
      </c>
      <c r="Y3019" s="139" t="str">
        <f>IFERROR(__xludf.DUMMYFUNCTION("""COMPUTED_VALUE"""),"")</f>
        <v/>
      </c>
      <c r="Z3019" s="141" t="str">
        <f>IFERROR(__xludf.DUMMYFUNCTION("""COMPUTED_VALUE"""),"")</f>
        <v/>
      </c>
    </row>
    <row r="3020">
      <c r="D3020" s="136" t="str">
        <f t="shared" si="3"/>
        <v/>
      </c>
      <c r="E3020" s="152"/>
      <c r="F3020" s="106" t="s">
        <v>133</v>
      </c>
      <c r="G3020" s="152"/>
      <c r="H3020" s="106" t="s">
        <v>133</v>
      </c>
      <c r="J3020" s="139" t="s">
        <v>133</v>
      </c>
      <c r="K3020" s="136" t="s">
        <v>133</v>
      </c>
      <c r="L3020" s="153"/>
      <c r="M3020" s="136" t="str">
        <f t="shared" si="1"/>
        <v/>
      </c>
      <c r="O3020" s="141" t="s">
        <v>133</v>
      </c>
      <c r="P3020" s="136" t="str">
        <f>IFERROR(__xludf.DUMMYFUNCTION("""COMPUTED_VALUE"""),"")</f>
        <v/>
      </c>
      <c r="Q3020" s="136" t="str">
        <f>IFERROR(__xludf.DUMMYFUNCTION("""COMPUTED_VALUE"""),"")</f>
        <v/>
      </c>
      <c r="R3020" s="106" t="str">
        <f>IFERROR(__xludf.DUMMYFUNCTION("""COMPUTED_VALUE"""),"")</f>
        <v/>
      </c>
      <c r="S3020" s="106" t="str">
        <f>IFERROR(__xludf.DUMMYFUNCTION("""COMPUTED_VALUE"""),"")</f>
        <v/>
      </c>
      <c r="T3020" s="139" t="str">
        <f>IFERROR(__xludf.DUMMYFUNCTION("""COMPUTED_VALUE"""),"")</f>
        <v/>
      </c>
      <c r="U3020" s="139" t="str">
        <f>IFERROR(__xludf.DUMMYFUNCTION("""COMPUTED_VALUE"""),"")</f>
        <v/>
      </c>
      <c r="V3020" s="136" t="str">
        <f>IFERROR(__xludf.DUMMYFUNCTION("""COMPUTED_VALUE"""),"")</f>
        <v/>
      </c>
      <c r="W3020" s="106" t="str">
        <f>IFERROR(__xludf.DUMMYFUNCTION("""COMPUTED_VALUE"""),"")</f>
        <v/>
      </c>
      <c r="X3020" s="143" t="str">
        <f t="shared" si="2"/>
        <v/>
      </c>
      <c r="Y3020" s="139" t="str">
        <f>IFERROR(__xludf.DUMMYFUNCTION("""COMPUTED_VALUE"""),"")</f>
        <v/>
      </c>
      <c r="Z3020" s="141" t="str">
        <f>IFERROR(__xludf.DUMMYFUNCTION("""COMPUTED_VALUE"""),"")</f>
        <v/>
      </c>
    </row>
    <row r="3021">
      <c r="D3021" s="136" t="str">
        <f t="shared" si="3"/>
        <v/>
      </c>
      <c r="E3021" s="152"/>
      <c r="F3021" s="106" t="s">
        <v>133</v>
      </c>
      <c r="G3021" s="152"/>
      <c r="H3021" s="106" t="s">
        <v>133</v>
      </c>
      <c r="J3021" s="139" t="s">
        <v>133</v>
      </c>
      <c r="K3021" s="136" t="s">
        <v>133</v>
      </c>
      <c r="L3021" s="153"/>
      <c r="M3021" s="136" t="str">
        <f t="shared" si="1"/>
        <v/>
      </c>
      <c r="O3021" s="141" t="s">
        <v>133</v>
      </c>
      <c r="P3021" s="136" t="str">
        <f>IFERROR(__xludf.DUMMYFUNCTION("""COMPUTED_VALUE"""),"")</f>
        <v/>
      </c>
      <c r="Q3021" s="136" t="str">
        <f>IFERROR(__xludf.DUMMYFUNCTION("""COMPUTED_VALUE"""),"")</f>
        <v/>
      </c>
      <c r="R3021" s="106" t="str">
        <f>IFERROR(__xludf.DUMMYFUNCTION("""COMPUTED_VALUE"""),"")</f>
        <v/>
      </c>
      <c r="S3021" s="106" t="str">
        <f>IFERROR(__xludf.DUMMYFUNCTION("""COMPUTED_VALUE"""),"")</f>
        <v/>
      </c>
      <c r="T3021" s="139" t="str">
        <f>IFERROR(__xludf.DUMMYFUNCTION("""COMPUTED_VALUE"""),"")</f>
        <v/>
      </c>
      <c r="U3021" s="139" t="str">
        <f>IFERROR(__xludf.DUMMYFUNCTION("""COMPUTED_VALUE"""),"")</f>
        <v/>
      </c>
      <c r="V3021" s="136" t="str">
        <f>IFERROR(__xludf.DUMMYFUNCTION("""COMPUTED_VALUE"""),"")</f>
        <v/>
      </c>
      <c r="W3021" s="106" t="str">
        <f>IFERROR(__xludf.DUMMYFUNCTION("""COMPUTED_VALUE"""),"")</f>
        <v/>
      </c>
      <c r="X3021" s="143" t="str">
        <f t="shared" si="2"/>
        <v/>
      </c>
      <c r="Y3021" s="139" t="str">
        <f>IFERROR(__xludf.DUMMYFUNCTION("""COMPUTED_VALUE"""),"")</f>
        <v/>
      </c>
      <c r="Z3021" s="141" t="str">
        <f>IFERROR(__xludf.DUMMYFUNCTION("""COMPUTED_VALUE"""),"")</f>
        <v/>
      </c>
    </row>
    <row r="3022">
      <c r="D3022" s="136" t="str">
        <f t="shared" si="3"/>
        <v/>
      </c>
      <c r="E3022" s="152"/>
      <c r="F3022" s="106" t="s">
        <v>133</v>
      </c>
      <c r="G3022" s="152"/>
      <c r="H3022" s="106" t="s">
        <v>133</v>
      </c>
      <c r="J3022" s="139" t="s">
        <v>133</v>
      </c>
      <c r="K3022" s="136" t="s">
        <v>133</v>
      </c>
      <c r="L3022" s="153"/>
      <c r="M3022" s="136" t="str">
        <f t="shared" si="1"/>
        <v/>
      </c>
      <c r="O3022" s="141" t="s">
        <v>133</v>
      </c>
      <c r="P3022" s="136" t="str">
        <f>IFERROR(__xludf.DUMMYFUNCTION("""COMPUTED_VALUE"""),"")</f>
        <v/>
      </c>
      <c r="Q3022" s="136" t="str">
        <f>IFERROR(__xludf.DUMMYFUNCTION("""COMPUTED_VALUE"""),"")</f>
        <v/>
      </c>
      <c r="R3022" s="106" t="str">
        <f>IFERROR(__xludf.DUMMYFUNCTION("""COMPUTED_VALUE"""),"")</f>
        <v/>
      </c>
      <c r="S3022" s="106" t="str">
        <f>IFERROR(__xludf.DUMMYFUNCTION("""COMPUTED_VALUE"""),"")</f>
        <v/>
      </c>
      <c r="T3022" s="139" t="str">
        <f>IFERROR(__xludf.DUMMYFUNCTION("""COMPUTED_VALUE"""),"")</f>
        <v/>
      </c>
      <c r="U3022" s="139" t="str">
        <f>IFERROR(__xludf.DUMMYFUNCTION("""COMPUTED_VALUE"""),"")</f>
        <v/>
      </c>
      <c r="V3022" s="136" t="str">
        <f>IFERROR(__xludf.DUMMYFUNCTION("""COMPUTED_VALUE"""),"")</f>
        <v/>
      </c>
      <c r="W3022" s="106" t="str">
        <f>IFERROR(__xludf.DUMMYFUNCTION("""COMPUTED_VALUE"""),"")</f>
        <v/>
      </c>
      <c r="X3022" s="143" t="str">
        <f t="shared" si="2"/>
        <v/>
      </c>
      <c r="Y3022" s="139" t="str">
        <f>IFERROR(__xludf.DUMMYFUNCTION("""COMPUTED_VALUE"""),"")</f>
        <v/>
      </c>
      <c r="Z3022" s="141" t="str">
        <f>IFERROR(__xludf.DUMMYFUNCTION("""COMPUTED_VALUE"""),"")</f>
        <v/>
      </c>
    </row>
    <row r="3023">
      <c r="D3023" s="136" t="str">
        <f t="shared" si="3"/>
        <v/>
      </c>
      <c r="E3023" s="152"/>
      <c r="F3023" s="106" t="s">
        <v>133</v>
      </c>
      <c r="G3023" s="152"/>
      <c r="H3023" s="106" t="s">
        <v>133</v>
      </c>
      <c r="J3023" s="139" t="s">
        <v>133</v>
      </c>
      <c r="K3023" s="136" t="s">
        <v>133</v>
      </c>
      <c r="L3023" s="153"/>
      <c r="M3023" s="136" t="str">
        <f t="shared" si="1"/>
        <v/>
      </c>
      <c r="O3023" s="141" t="s">
        <v>133</v>
      </c>
      <c r="P3023" s="136" t="str">
        <f>IFERROR(__xludf.DUMMYFUNCTION("""COMPUTED_VALUE"""),"")</f>
        <v/>
      </c>
      <c r="Q3023" s="136" t="str">
        <f>IFERROR(__xludf.DUMMYFUNCTION("""COMPUTED_VALUE"""),"")</f>
        <v/>
      </c>
      <c r="R3023" s="106" t="str">
        <f>IFERROR(__xludf.DUMMYFUNCTION("""COMPUTED_VALUE"""),"")</f>
        <v/>
      </c>
      <c r="S3023" s="106" t="str">
        <f>IFERROR(__xludf.DUMMYFUNCTION("""COMPUTED_VALUE"""),"")</f>
        <v/>
      </c>
      <c r="T3023" s="139" t="str">
        <f>IFERROR(__xludf.DUMMYFUNCTION("""COMPUTED_VALUE"""),"")</f>
        <v/>
      </c>
      <c r="U3023" s="139" t="str">
        <f>IFERROR(__xludf.DUMMYFUNCTION("""COMPUTED_VALUE"""),"")</f>
        <v/>
      </c>
      <c r="V3023" s="136" t="str">
        <f>IFERROR(__xludf.DUMMYFUNCTION("""COMPUTED_VALUE"""),"")</f>
        <v/>
      </c>
      <c r="W3023" s="106" t="str">
        <f>IFERROR(__xludf.DUMMYFUNCTION("""COMPUTED_VALUE"""),"")</f>
        <v/>
      </c>
      <c r="X3023" s="143" t="str">
        <f t="shared" si="2"/>
        <v/>
      </c>
      <c r="Y3023" s="139" t="str">
        <f>IFERROR(__xludf.DUMMYFUNCTION("""COMPUTED_VALUE"""),"")</f>
        <v/>
      </c>
      <c r="Z3023" s="141" t="str">
        <f>IFERROR(__xludf.DUMMYFUNCTION("""COMPUTED_VALUE"""),"")</f>
        <v/>
      </c>
    </row>
    <row r="3024">
      <c r="D3024" s="136" t="str">
        <f t="shared" si="3"/>
        <v/>
      </c>
      <c r="E3024" s="152"/>
      <c r="F3024" s="106" t="s">
        <v>133</v>
      </c>
      <c r="G3024" s="152"/>
      <c r="H3024" s="106" t="s">
        <v>133</v>
      </c>
      <c r="J3024" s="139" t="s">
        <v>133</v>
      </c>
      <c r="K3024" s="136" t="s">
        <v>133</v>
      </c>
      <c r="L3024" s="153"/>
      <c r="M3024" s="136" t="str">
        <f t="shared" si="1"/>
        <v/>
      </c>
      <c r="O3024" s="141" t="s">
        <v>133</v>
      </c>
      <c r="P3024" s="136" t="str">
        <f>IFERROR(__xludf.DUMMYFUNCTION("""COMPUTED_VALUE"""),"")</f>
        <v/>
      </c>
      <c r="Q3024" s="136" t="str">
        <f>IFERROR(__xludf.DUMMYFUNCTION("""COMPUTED_VALUE"""),"")</f>
        <v/>
      </c>
      <c r="R3024" s="106" t="str">
        <f>IFERROR(__xludf.DUMMYFUNCTION("""COMPUTED_VALUE"""),"")</f>
        <v/>
      </c>
      <c r="S3024" s="106" t="str">
        <f>IFERROR(__xludf.DUMMYFUNCTION("""COMPUTED_VALUE"""),"")</f>
        <v/>
      </c>
      <c r="T3024" s="139" t="str">
        <f>IFERROR(__xludf.DUMMYFUNCTION("""COMPUTED_VALUE"""),"")</f>
        <v/>
      </c>
      <c r="U3024" s="139" t="str">
        <f>IFERROR(__xludf.DUMMYFUNCTION("""COMPUTED_VALUE"""),"")</f>
        <v/>
      </c>
      <c r="V3024" s="136" t="str">
        <f>IFERROR(__xludf.DUMMYFUNCTION("""COMPUTED_VALUE"""),"")</f>
        <v/>
      </c>
      <c r="W3024" s="106" t="str">
        <f>IFERROR(__xludf.DUMMYFUNCTION("""COMPUTED_VALUE"""),"")</f>
        <v/>
      </c>
      <c r="X3024" s="143" t="str">
        <f t="shared" si="2"/>
        <v/>
      </c>
      <c r="Y3024" s="139" t="str">
        <f>IFERROR(__xludf.DUMMYFUNCTION("""COMPUTED_VALUE"""),"")</f>
        <v/>
      </c>
      <c r="Z3024" s="141" t="str">
        <f>IFERROR(__xludf.DUMMYFUNCTION("""COMPUTED_VALUE"""),"")</f>
        <v/>
      </c>
    </row>
    <row r="3025">
      <c r="D3025" s="136" t="str">
        <f t="shared" si="3"/>
        <v/>
      </c>
      <c r="E3025" s="152"/>
      <c r="F3025" s="106" t="s">
        <v>133</v>
      </c>
      <c r="G3025" s="152"/>
      <c r="H3025" s="106" t="s">
        <v>133</v>
      </c>
      <c r="J3025" s="139" t="s">
        <v>133</v>
      </c>
      <c r="K3025" s="136" t="s">
        <v>133</v>
      </c>
      <c r="L3025" s="153"/>
      <c r="M3025" s="136" t="str">
        <f t="shared" si="1"/>
        <v/>
      </c>
      <c r="O3025" s="141" t="s">
        <v>133</v>
      </c>
      <c r="P3025" s="136" t="str">
        <f>IFERROR(__xludf.DUMMYFUNCTION("""COMPUTED_VALUE"""),"")</f>
        <v/>
      </c>
      <c r="Q3025" s="136" t="str">
        <f>IFERROR(__xludf.DUMMYFUNCTION("""COMPUTED_VALUE"""),"")</f>
        <v/>
      </c>
      <c r="R3025" s="106" t="str">
        <f>IFERROR(__xludf.DUMMYFUNCTION("""COMPUTED_VALUE"""),"")</f>
        <v/>
      </c>
      <c r="S3025" s="106" t="str">
        <f>IFERROR(__xludf.DUMMYFUNCTION("""COMPUTED_VALUE"""),"")</f>
        <v/>
      </c>
      <c r="T3025" s="139" t="str">
        <f>IFERROR(__xludf.DUMMYFUNCTION("""COMPUTED_VALUE"""),"")</f>
        <v/>
      </c>
      <c r="U3025" s="139" t="str">
        <f>IFERROR(__xludf.DUMMYFUNCTION("""COMPUTED_VALUE"""),"")</f>
        <v/>
      </c>
      <c r="V3025" s="136" t="str">
        <f>IFERROR(__xludf.DUMMYFUNCTION("""COMPUTED_VALUE"""),"")</f>
        <v/>
      </c>
      <c r="W3025" s="106" t="str">
        <f>IFERROR(__xludf.DUMMYFUNCTION("""COMPUTED_VALUE"""),"")</f>
        <v/>
      </c>
      <c r="X3025" s="143" t="str">
        <f t="shared" si="2"/>
        <v/>
      </c>
      <c r="Y3025" s="139" t="str">
        <f>IFERROR(__xludf.DUMMYFUNCTION("""COMPUTED_VALUE"""),"")</f>
        <v/>
      </c>
      <c r="Z3025" s="141" t="str">
        <f>IFERROR(__xludf.DUMMYFUNCTION("""COMPUTED_VALUE"""),"")</f>
        <v/>
      </c>
    </row>
    <row r="3026">
      <c r="D3026" s="136" t="str">
        <f t="shared" si="3"/>
        <v/>
      </c>
      <c r="E3026" s="152"/>
      <c r="F3026" s="106" t="s">
        <v>133</v>
      </c>
      <c r="G3026" s="152"/>
      <c r="H3026" s="106" t="s">
        <v>133</v>
      </c>
      <c r="J3026" s="139" t="s">
        <v>133</v>
      </c>
      <c r="K3026" s="136" t="s">
        <v>133</v>
      </c>
      <c r="L3026" s="153"/>
      <c r="M3026" s="136" t="str">
        <f t="shared" si="1"/>
        <v/>
      </c>
      <c r="O3026" s="141" t="s">
        <v>133</v>
      </c>
      <c r="P3026" s="136" t="str">
        <f>IFERROR(__xludf.DUMMYFUNCTION("""COMPUTED_VALUE"""),"")</f>
        <v/>
      </c>
      <c r="Q3026" s="136" t="str">
        <f>IFERROR(__xludf.DUMMYFUNCTION("""COMPUTED_VALUE"""),"")</f>
        <v/>
      </c>
      <c r="R3026" s="106" t="str">
        <f>IFERROR(__xludf.DUMMYFUNCTION("""COMPUTED_VALUE"""),"")</f>
        <v/>
      </c>
      <c r="S3026" s="106" t="str">
        <f>IFERROR(__xludf.DUMMYFUNCTION("""COMPUTED_VALUE"""),"")</f>
        <v/>
      </c>
      <c r="T3026" s="139" t="str">
        <f>IFERROR(__xludf.DUMMYFUNCTION("""COMPUTED_VALUE"""),"")</f>
        <v/>
      </c>
      <c r="U3026" s="139" t="str">
        <f>IFERROR(__xludf.DUMMYFUNCTION("""COMPUTED_VALUE"""),"")</f>
        <v/>
      </c>
      <c r="V3026" s="136" t="str">
        <f>IFERROR(__xludf.DUMMYFUNCTION("""COMPUTED_VALUE"""),"")</f>
        <v/>
      </c>
      <c r="W3026" s="106" t="str">
        <f>IFERROR(__xludf.DUMMYFUNCTION("""COMPUTED_VALUE"""),"")</f>
        <v/>
      </c>
      <c r="X3026" s="143" t="str">
        <f t="shared" si="2"/>
        <v/>
      </c>
      <c r="Y3026" s="139" t="str">
        <f>IFERROR(__xludf.DUMMYFUNCTION("""COMPUTED_VALUE"""),"")</f>
        <v/>
      </c>
      <c r="Z3026" s="141" t="str">
        <f>IFERROR(__xludf.DUMMYFUNCTION("""COMPUTED_VALUE"""),"")</f>
        <v/>
      </c>
    </row>
    <row r="3027">
      <c r="D3027" s="136" t="str">
        <f t="shared" si="3"/>
        <v/>
      </c>
      <c r="E3027" s="152"/>
      <c r="F3027" s="106" t="s">
        <v>133</v>
      </c>
      <c r="G3027" s="152"/>
      <c r="H3027" s="106" t="s">
        <v>133</v>
      </c>
      <c r="J3027" s="139" t="s">
        <v>133</v>
      </c>
      <c r="K3027" s="136" t="s">
        <v>133</v>
      </c>
      <c r="L3027" s="153"/>
      <c r="M3027" s="136" t="str">
        <f t="shared" si="1"/>
        <v/>
      </c>
      <c r="O3027" s="141" t="s">
        <v>133</v>
      </c>
      <c r="P3027" s="136" t="str">
        <f>IFERROR(__xludf.DUMMYFUNCTION("""COMPUTED_VALUE"""),"")</f>
        <v/>
      </c>
      <c r="Q3027" s="136" t="str">
        <f>IFERROR(__xludf.DUMMYFUNCTION("""COMPUTED_VALUE"""),"")</f>
        <v/>
      </c>
      <c r="R3027" s="106" t="str">
        <f>IFERROR(__xludf.DUMMYFUNCTION("""COMPUTED_VALUE"""),"")</f>
        <v/>
      </c>
      <c r="S3027" s="106" t="str">
        <f>IFERROR(__xludf.DUMMYFUNCTION("""COMPUTED_VALUE"""),"")</f>
        <v/>
      </c>
      <c r="T3027" s="139" t="str">
        <f>IFERROR(__xludf.DUMMYFUNCTION("""COMPUTED_VALUE"""),"")</f>
        <v/>
      </c>
      <c r="U3027" s="139" t="str">
        <f>IFERROR(__xludf.DUMMYFUNCTION("""COMPUTED_VALUE"""),"")</f>
        <v/>
      </c>
      <c r="V3027" s="136" t="str">
        <f>IFERROR(__xludf.DUMMYFUNCTION("""COMPUTED_VALUE"""),"")</f>
        <v/>
      </c>
      <c r="W3027" s="106" t="str">
        <f>IFERROR(__xludf.DUMMYFUNCTION("""COMPUTED_VALUE"""),"")</f>
        <v/>
      </c>
      <c r="X3027" s="143" t="str">
        <f t="shared" si="2"/>
        <v/>
      </c>
      <c r="Y3027" s="139" t="str">
        <f>IFERROR(__xludf.DUMMYFUNCTION("""COMPUTED_VALUE"""),"")</f>
        <v/>
      </c>
      <c r="Z3027" s="141" t="str">
        <f>IFERROR(__xludf.DUMMYFUNCTION("""COMPUTED_VALUE"""),"")</f>
        <v/>
      </c>
    </row>
    <row r="3028">
      <c r="D3028" s="136" t="str">
        <f t="shared" si="3"/>
        <v/>
      </c>
      <c r="E3028" s="152"/>
      <c r="F3028" s="106" t="s">
        <v>133</v>
      </c>
      <c r="G3028" s="152"/>
      <c r="H3028" s="106" t="s">
        <v>133</v>
      </c>
      <c r="J3028" s="139" t="s">
        <v>133</v>
      </c>
      <c r="K3028" s="136" t="s">
        <v>133</v>
      </c>
      <c r="L3028" s="153"/>
      <c r="M3028" s="136" t="str">
        <f t="shared" si="1"/>
        <v/>
      </c>
      <c r="O3028" s="141" t="s">
        <v>133</v>
      </c>
      <c r="P3028" s="136" t="str">
        <f>IFERROR(__xludf.DUMMYFUNCTION("""COMPUTED_VALUE"""),"")</f>
        <v/>
      </c>
      <c r="Q3028" s="136" t="str">
        <f>IFERROR(__xludf.DUMMYFUNCTION("""COMPUTED_VALUE"""),"")</f>
        <v/>
      </c>
      <c r="R3028" s="106" t="str">
        <f>IFERROR(__xludf.DUMMYFUNCTION("""COMPUTED_VALUE"""),"")</f>
        <v/>
      </c>
      <c r="S3028" s="106" t="str">
        <f>IFERROR(__xludf.DUMMYFUNCTION("""COMPUTED_VALUE"""),"")</f>
        <v/>
      </c>
      <c r="T3028" s="139" t="str">
        <f>IFERROR(__xludf.DUMMYFUNCTION("""COMPUTED_VALUE"""),"")</f>
        <v/>
      </c>
      <c r="U3028" s="139" t="str">
        <f>IFERROR(__xludf.DUMMYFUNCTION("""COMPUTED_VALUE"""),"")</f>
        <v/>
      </c>
      <c r="V3028" s="136" t="str">
        <f>IFERROR(__xludf.DUMMYFUNCTION("""COMPUTED_VALUE"""),"")</f>
        <v/>
      </c>
      <c r="W3028" s="106" t="str">
        <f>IFERROR(__xludf.DUMMYFUNCTION("""COMPUTED_VALUE"""),"")</f>
        <v/>
      </c>
      <c r="X3028" s="143" t="str">
        <f t="shared" si="2"/>
        <v/>
      </c>
      <c r="Y3028" s="139" t="str">
        <f>IFERROR(__xludf.DUMMYFUNCTION("""COMPUTED_VALUE"""),"")</f>
        <v/>
      </c>
      <c r="Z3028" s="141" t="str">
        <f>IFERROR(__xludf.DUMMYFUNCTION("""COMPUTED_VALUE"""),"")</f>
        <v/>
      </c>
    </row>
    <row r="3029">
      <c r="D3029" s="136" t="str">
        <f t="shared" si="3"/>
        <v/>
      </c>
      <c r="E3029" s="152"/>
      <c r="F3029" s="106" t="s">
        <v>133</v>
      </c>
      <c r="G3029" s="152"/>
      <c r="H3029" s="106" t="s">
        <v>133</v>
      </c>
      <c r="J3029" s="139" t="s">
        <v>133</v>
      </c>
      <c r="K3029" s="136" t="s">
        <v>133</v>
      </c>
      <c r="L3029" s="153"/>
      <c r="M3029" s="136" t="str">
        <f t="shared" si="1"/>
        <v/>
      </c>
      <c r="O3029" s="141" t="s">
        <v>133</v>
      </c>
      <c r="P3029" s="136" t="str">
        <f>IFERROR(__xludf.DUMMYFUNCTION("""COMPUTED_VALUE"""),"")</f>
        <v/>
      </c>
      <c r="Q3029" s="136" t="str">
        <f>IFERROR(__xludf.DUMMYFUNCTION("""COMPUTED_VALUE"""),"")</f>
        <v/>
      </c>
      <c r="R3029" s="106" t="str">
        <f>IFERROR(__xludf.DUMMYFUNCTION("""COMPUTED_VALUE"""),"")</f>
        <v/>
      </c>
      <c r="S3029" s="106" t="str">
        <f>IFERROR(__xludf.DUMMYFUNCTION("""COMPUTED_VALUE"""),"")</f>
        <v/>
      </c>
      <c r="T3029" s="139" t="str">
        <f>IFERROR(__xludf.DUMMYFUNCTION("""COMPUTED_VALUE"""),"")</f>
        <v/>
      </c>
      <c r="U3029" s="139" t="str">
        <f>IFERROR(__xludf.DUMMYFUNCTION("""COMPUTED_VALUE"""),"")</f>
        <v/>
      </c>
      <c r="V3029" s="136" t="str">
        <f>IFERROR(__xludf.DUMMYFUNCTION("""COMPUTED_VALUE"""),"")</f>
        <v/>
      </c>
      <c r="W3029" s="106" t="str">
        <f>IFERROR(__xludf.DUMMYFUNCTION("""COMPUTED_VALUE"""),"")</f>
        <v/>
      </c>
      <c r="X3029" s="143" t="str">
        <f t="shared" si="2"/>
        <v/>
      </c>
      <c r="Y3029" s="139" t="str">
        <f>IFERROR(__xludf.DUMMYFUNCTION("""COMPUTED_VALUE"""),"")</f>
        <v/>
      </c>
      <c r="Z3029" s="141" t="str">
        <f>IFERROR(__xludf.DUMMYFUNCTION("""COMPUTED_VALUE"""),"")</f>
        <v/>
      </c>
    </row>
    <row r="3030">
      <c r="D3030" s="136" t="str">
        <f t="shared" si="3"/>
        <v/>
      </c>
      <c r="E3030" s="152"/>
      <c r="F3030" s="106" t="s">
        <v>133</v>
      </c>
      <c r="G3030" s="152"/>
      <c r="H3030" s="106" t="s">
        <v>133</v>
      </c>
      <c r="J3030" s="139" t="s">
        <v>133</v>
      </c>
      <c r="K3030" s="136" t="s">
        <v>133</v>
      </c>
      <c r="L3030" s="153"/>
      <c r="M3030" s="136" t="str">
        <f t="shared" si="1"/>
        <v/>
      </c>
      <c r="O3030" s="141" t="s">
        <v>133</v>
      </c>
      <c r="P3030" s="136" t="str">
        <f>IFERROR(__xludf.DUMMYFUNCTION("""COMPUTED_VALUE"""),"")</f>
        <v/>
      </c>
      <c r="Q3030" s="136" t="str">
        <f>IFERROR(__xludf.DUMMYFUNCTION("""COMPUTED_VALUE"""),"")</f>
        <v/>
      </c>
      <c r="R3030" s="106" t="str">
        <f>IFERROR(__xludf.DUMMYFUNCTION("""COMPUTED_VALUE"""),"")</f>
        <v/>
      </c>
      <c r="S3030" s="106" t="str">
        <f>IFERROR(__xludf.DUMMYFUNCTION("""COMPUTED_VALUE"""),"")</f>
        <v/>
      </c>
      <c r="T3030" s="139" t="str">
        <f>IFERROR(__xludf.DUMMYFUNCTION("""COMPUTED_VALUE"""),"")</f>
        <v/>
      </c>
      <c r="U3030" s="139" t="str">
        <f>IFERROR(__xludf.DUMMYFUNCTION("""COMPUTED_VALUE"""),"")</f>
        <v/>
      </c>
      <c r="V3030" s="136" t="str">
        <f>IFERROR(__xludf.DUMMYFUNCTION("""COMPUTED_VALUE"""),"")</f>
        <v/>
      </c>
      <c r="W3030" s="106" t="str">
        <f>IFERROR(__xludf.DUMMYFUNCTION("""COMPUTED_VALUE"""),"")</f>
        <v/>
      </c>
      <c r="X3030" s="143" t="str">
        <f t="shared" si="2"/>
        <v/>
      </c>
      <c r="Y3030" s="139" t="str">
        <f>IFERROR(__xludf.DUMMYFUNCTION("""COMPUTED_VALUE"""),"")</f>
        <v/>
      </c>
      <c r="Z3030" s="141" t="str">
        <f>IFERROR(__xludf.DUMMYFUNCTION("""COMPUTED_VALUE"""),"")</f>
        <v/>
      </c>
    </row>
    <row r="3031">
      <c r="D3031" s="136" t="str">
        <f t="shared" si="3"/>
        <v/>
      </c>
      <c r="E3031" s="152"/>
      <c r="F3031" s="106" t="s">
        <v>133</v>
      </c>
      <c r="G3031" s="152"/>
      <c r="H3031" s="106" t="s">
        <v>133</v>
      </c>
      <c r="J3031" s="139" t="s">
        <v>133</v>
      </c>
      <c r="K3031" s="136" t="s">
        <v>133</v>
      </c>
      <c r="L3031" s="153"/>
      <c r="M3031" s="136" t="str">
        <f t="shared" si="1"/>
        <v/>
      </c>
      <c r="O3031" s="141" t="s">
        <v>133</v>
      </c>
      <c r="P3031" s="136" t="str">
        <f>IFERROR(__xludf.DUMMYFUNCTION("""COMPUTED_VALUE"""),"")</f>
        <v/>
      </c>
      <c r="Q3031" s="136" t="str">
        <f>IFERROR(__xludf.DUMMYFUNCTION("""COMPUTED_VALUE"""),"")</f>
        <v/>
      </c>
      <c r="R3031" s="106" t="str">
        <f>IFERROR(__xludf.DUMMYFUNCTION("""COMPUTED_VALUE"""),"")</f>
        <v/>
      </c>
      <c r="S3031" s="106" t="str">
        <f>IFERROR(__xludf.DUMMYFUNCTION("""COMPUTED_VALUE"""),"")</f>
        <v/>
      </c>
      <c r="T3031" s="139" t="str">
        <f>IFERROR(__xludf.DUMMYFUNCTION("""COMPUTED_VALUE"""),"")</f>
        <v/>
      </c>
      <c r="U3031" s="139" t="str">
        <f>IFERROR(__xludf.DUMMYFUNCTION("""COMPUTED_VALUE"""),"")</f>
        <v/>
      </c>
      <c r="V3031" s="136" t="str">
        <f>IFERROR(__xludf.DUMMYFUNCTION("""COMPUTED_VALUE"""),"")</f>
        <v/>
      </c>
      <c r="W3031" s="106" t="str">
        <f>IFERROR(__xludf.DUMMYFUNCTION("""COMPUTED_VALUE"""),"")</f>
        <v/>
      </c>
      <c r="X3031" s="143" t="str">
        <f t="shared" si="2"/>
        <v/>
      </c>
      <c r="Y3031" s="139" t="str">
        <f>IFERROR(__xludf.DUMMYFUNCTION("""COMPUTED_VALUE"""),"")</f>
        <v/>
      </c>
      <c r="Z3031" s="141" t="str">
        <f>IFERROR(__xludf.DUMMYFUNCTION("""COMPUTED_VALUE"""),"")</f>
        <v/>
      </c>
    </row>
    <row r="3032">
      <c r="D3032" s="136" t="str">
        <f t="shared" si="3"/>
        <v/>
      </c>
      <c r="E3032" s="152"/>
      <c r="F3032" s="106" t="s">
        <v>133</v>
      </c>
      <c r="G3032" s="152"/>
      <c r="H3032" s="106" t="s">
        <v>133</v>
      </c>
      <c r="J3032" s="139" t="s">
        <v>133</v>
      </c>
      <c r="K3032" s="136" t="s">
        <v>133</v>
      </c>
      <c r="L3032" s="153"/>
      <c r="M3032" s="136" t="str">
        <f t="shared" si="1"/>
        <v/>
      </c>
      <c r="O3032" s="141" t="s">
        <v>133</v>
      </c>
      <c r="P3032" s="136" t="str">
        <f>IFERROR(__xludf.DUMMYFUNCTION("""COMPUTED_VALUE"""),"")</f>
        <v/>
      </c>
      <c r="Q3032" s="136" t="str">
        <f>IFERROR(__xludf.DUMMYFUNCTION("""COMPUTED_VALUE"""),"")</f>
        <v/>
      </c>
      <c r="R3032" s="106" t="str">
        <f>IFERROR(__xludf.DUMMYFUNCTION("""COMPUTED_VALUE"""),"")</f>
        <v/>
      </c>
      <c r="S3032" s="106" t="str">
        <f>IFERROR(__xludf.DUMMYFUNCTION("""COMPUTED_VALUE"""),"")</f>
        <v/>
      </c>
      <c r="T3032" s="139" t="str">
        <f>IFERROR(__xludf.DUMMYFUNCTION("""COMPUTED_VALUE"""),"")</f>
        <v/>
      </c>
      <c r="U3032" s="139" t="str">
        <f>IFERROR(__xludf.DUMMYFUNCTION("""COMPUTED_VALUE"""),"")</f>
        <v/>
      </c>
      <c r="V3032" s="136" t="str">
        <f>IFERROR(__xludf.DUMMYFUNCTION("""COMPUTED_VALUE"""),"")</f>
        <v/>
      </c>
      <c r="W3032" s="106" t="str">
        <f>IFERROR(__xludf.DUMMYFUNCTION("""COMPUTED_VALUE"""),"")</f>
        <v/>
      </c>
      <c r="X3032" s="143" t="str">
        <f t="shared" si="2"/>
        <v/>
      </c>
      <c r="Y3032" s="139" t="str">
        <f>IFERROR(__xludf.DUMMYFUNCTION("""COMPUTED_VALUE"""),"")</f>
        <v/>
      </c>
      <c r="Z3032" s="141" t="str">
        <f>IFERROR(__xludf.DUMMYFUNCTION("""COMPUTED_VALUE"""),"")</f>
        <v/>
      </c>
    </row>
    <row r="3033">
      <c r="D3033" s="136" t="str">
        <f t="shared" si="3"/>
        <v/>
      </c>
      <c r="E3033" s="152"/>
      <c r="F3033" s="106" t="s">
        <v>133</v>
      </c>
      <c r="G3033" s="152"/>
      <c r="H3033" s="106" t="s">
        <v>133</v>
      </c>
      <c r="J3033" s="139" t="s">
        <v>133</v>
      </c>
      <c r="K3033" s="136" t="s">
        <v>133</v>
      </c>
      <c r="L3033" s="153"/>
      <c r="M3033" s="136" t="str">
        <f t="shared" si="1"/>
        <v/>
      </c>
      <c r="O3033" s="141" t="s">
        <v>133</v>
      </c>
      <c r="P3033" s="136" t="str">
        <f>IFERROR(__xludf.DUMMYFUNCTION("""COMPUTED_VALUE"""),"")</f>
        <v/>
      </c>
      <c r="Q3033" s="136" t="str">
        <f>IFERROR(__xludf.DUMMYFUNCTION("""COMPUTED_VALUE"""),"")</f>
        <v/>
      </c>
      <c r="R3033" s="106" t="str">
        <f>IFERROR(__xludf.DUMMYFUNCTION("""COMPUTED_VALUE"""),"")</f>
        <v/>
      </c>
      <c r="S3033" s="106" t="str">
        <f>IFERROR(__xludf.DUMMYFUNCTION("""COMPUTED_VALUE"""),"")</f>
        <v/>
      </c>
      <c r="T3033" s="139" t="str">
        <f>IFERROR(__xludf.DUMMYFUNCTION("""COMPUTED_VALUE"""),"")</f>
        <v/>
      </c>
      <c r="U3033" s="139" t="str">
        <f>IFERROR(__xludf.DUMMYFUNCTION("""COMPUTED_VALUE"""),"")</f>
        <v/>
      </c>
      <c r="V3033" s="136" t="str">
        <f>IFERROR(__xludf.DUMMYFUNCTION("""COMPUTED_VALUE"""),"")</f>
        <v/>
      </c>
      <c r="W3033" s="106" t="str">
        <f>IFERROR(__xludf.DUMMYFUNCTION("""COMPUTED_VALUE"""),"")</f>
        <v/>
      </c>
      <c r="X3033" s="143" t="str">
        <f t="shared" si="2"/>
        <v/>
      </c>
      <c r="Y3033" s="139" t="str">
        <f>IFERROR(__xludf.DUMMYFUNCTION("""COMPUTED_VALUE"""),"")</f>
        <v/>
      </c>
      <c r="Z3033" s="141" t="str">
        <f>IFERROR(__xludf.DUMMYFUNCTION("""COMPUTED_VALUE"""),"")</f>
        <v/>
      </c>
    </row>
    <row r="3034">
      <c r="D3034" s="136" t="str">
        <f t="shared" si="3"/>
        <v/>
      </c>
      <c r="E3034" s="152"/>
      <c r="F3034" s="106" t="s">
        <v>133</v>
      </c>
      <c r="G3034" s="152"/>
      <c r="H3034" s="106" t="s">
        <v>133</v>
      </c>
      <c r="J3034" s="139" t="s">
        <v>133</v>
      </c>
      <c r="K3034" s="136" t="s">
        <v>133</v>
      </c>
      <c r="L3034" s="153"/>
      <c r="M3034" s="136" t="str">
        <f t="shared" si="1"/>
        <v/>
      </c>
      <c r="O3034" s="141" t="s">
        <v>133</v>
      </c>
      <c r="P3034" s="136" t="str">
        <f>IFERROR(__xludf.DUMMYFUNCTION("""COMPUTED_VALUE"""),"")</f>
        <v/>
      </c>
      <c r="Q3034" s="136" t="str">
        <f>IFERROR(__xludf.DUMMYFUNCTION("""COMPUTED_VALUE"""),"")</f>
        <v/>
      </c>
      <c r="R3034" s="106" t="str">
        <f>IFERROR(__xludf.DUMMYFUNCTION("""COMPUTED_VALUE"""),"")</f>
        <v/>
      </c>
      <c r="S3034" s="106" t="str">
        <f>IFERROR(__xludf.DUMMYFUNCTION("""COMPUTED_VALUE"""),"")</f>
        <v/>
      </c>
      <c r="T3034" s="139" t="str">
        <f>IFERROR(__xludf.DUMMYFUNCTION("""COMPUTED_VALUE"""),"")</f>
        <v/>
      </c>
      <c r="U3034" s="139" t="str">
        <f>IFERROR(__xludf.DUMMYFUNCTION("""COMPUTED_VALUE"""),"")</f>
        <v/>
      </c>
      <c r="V3034" s="136" t="str">
        <f>IFERROR(__xludf.DUMMYFUNCTION("""COMPUTED_VALUE"""),"")</f>
        <v/>
      </c>
      <c r="W3034" s="106" t="str">
        <f>IFERROR(__xludf.DUMMYFUNCTION("""COMPUTED_VALUE"""),"")</f>
        <v/>
      </c>
      <c r="X3034" s="143" t="str">
        <f t="shared" si="2"/>
        <v/>
      </c>
      <c r="Y3034" s="139" t="str">
        <f>IFERROR(__xludf.DUMMYFUNCTION("""COMPUTED_VALUE"""),"")</f>
        <v/>
      </c>
      <c r="Z3034" s="141" t="str">
        <f>IFERROR(__xludf.DUMMYFUNCTION("""COMPUTED_VALUE"""),"")</f>
        <v/>
      </c>
    </row>
    <row r="3035">
      <c r="D3035" s="136" t="str">
        <f t="shared" si="3"/>
        <v/>
      </c>
      <c r="E3035" s="152"/>
      <c r="F3035" s="106" t="s">
        <v>133</v>
      </c>
      <c r="G3035" s="152"/>
      <c r="H3035" s="106" t="s">
        <v>133</v>
      </c>
      <c r="J3035" s="139" t="s">
        <v>133</v>
      </c>
      <c r="K3035" s="136" t="s">
        <v>133</v>
      </c>
      <c r="L3035" s="153"/>
      <c r="M3035" s="136" t="str">
        <f t="shared" si="1"/>
        <v/>
      </c>
      <c r="O3035" s="141" t="s">
        <v>133</v>
      </c>
      <c r="P3035" s="136" t="str">
        <f>IFERROR(__xludf.DUMMYFUNCTION("""COMPUTED_VALUE"""),"")</f>
        <v/>
      </c>
      <c r="Q3035" s="136" t="str">
        <f>IFERROR(__xludf.DUMMYFUNCTION("""COMPUTED_VALUE"""),"")</f>
        <v/>
      </c>
      <c r="R3035" s="106" t="str">
        <f>IFERROR(__xludf.DUMMYFUNCTION("""COMPUTED_VALUE"""),"")</f>
        <v/>
      </c>
      <c r="S3035" s="106" t="str">
        <f>IFERROR(__xludf.DUMMYFUNCTION("""COMPUTED_VALUE"""),"")</f>
        <v/>
      </c>
      <c r="T3035" s="139" t="str">
        <f>IFERROR(__xludf.DUMMYFUNCTION("""COMPUTED_VALUE"""),"")</f>
        <v/>
      </c>
      <c r="U3035" s="139" t="str">
        <f>IFERROR(__xludf.DUMMYFUNCTION("""COMPUTED_VALUE"""),"")</f>
        <v/>
      </c>
      <c r="V3035" s="136" t="str">
        <f>IFERROR(__xludf.DUMMYFUNCTION("""COMPUTED_VALUE"""),"")</f>
        <v/>
      </c>
      <c r="W3035" s="106" t="str">
        <f>IFERROR(__xludf.DUMMYFUNCTION("""COMPUTED_VALUE"""),"")</f>
        <v/>
      </c>
      <c r="X3035" s="143" t="str">
        <f t="shared" si="2"/>
        <v/>
      </c>
      <c r="Y3035" s="139" t="str">
        <f>IFERROR(__xludf.DUMMYFUNCTION("""COMPUTED_VALUE"""),"")</f>
        <v/>
      </c>
      <c r="Z3035" s="141" t="str">
        <f>IFERROR(__xludf.DUMMYFUNCTION("""COMPUTED_VALUE"""),"")</f>
        <v/>
      </c>
    </row>
    <row r="3036">
      <c r="D3036" s="136" t="str">
        <f t="shared" si="3"/>
        <v/>
      </c>
      <c r="E3036" s="152"/>
      <c r="F3036" s="106" t="s">
        <v>133</v>
      </c>
      <c r="G3036" s="152"/>
      <c r="H3036" s="106" t="s">
        <v>133</v>
      </c>
      <c r="J3036" s="139" t="s">
        <v>133</v>
      </c>
      <c r="K3036" s="136" t="s">
        <v>133</v>
      </c>
      <c r="L3036" s="153"/>
      <c r="M3036" s="136" t="str">
        <f t="shared" si="1"/>
        <v/>
      </c>
      <c r="O3036" s="141" t="s">
        <v>133</v>
      </c>
      <c r="P3036" s="136" t="str">
        <f>IFERROR(__xludf.DUMMYFUNCTION("""COMPUTED_VALUE"""),"")</f>
        <v/>
      </c>
      <c r="Q3036" s="136" t="str">
        <f>IFERROR(__xludf.DUMMYFUNCTION("""COMPUTED_VALUE"""),"")</f>
        <v/>
      </c>
      <c r="R3036" s="106" t="str">
        <f>IFERROR(__xludf.DUMMYFUNCTION("""COMPUTED_VALUE"""),"")</f>
        <v/>
      </c>
      <c r="S3036" s="106" t="str">
        <f>IFERROR(__xludf.DUMMYFUNCTION("""COMPUTED_VALUE"""),"")</f>
        <v/>
      </c>
      <c r="T3036" s="139" t="str">
        <f>IFERROR(__xludf.DUMMYFUNCTION("""COMPUTED_VALUE"""),"")</f>
        <v/>
      </c>
      <c r="U3036" s="139" t="str">
        <f>IFERROR(__xludf.DUMMYFUNCTION("""COMPUTED_VALUE"""),"")</f>
        <v/>
      </c>
      <c r="V3036" s="136" t="str">
        <f>IFERROR(__xludf.DUMMYFUNCTION("""COMPUTED_VALUE"""),"")</f>
        <v/>
      </c>
      <c r="W3036" s="106" t="str">
        <f>IFERROR(__xludf.DUMMYFUNCTION("""COMPUTED_VALUE"""),"")</f>
        <v/>
      </c>
      <c r="X3036" s="143" t="str">
        <f t="shared" si="2"/>
        <v/>
      </c>
      <c r="Y3036" s="139" t="str">
        <f>IFERROR(__xludf.DUMMYFUNCTION("""COMPUTED_VALUE"""),"")</f>
        <v/>
      </c>
      <c r="Z3036" s="141" t="str">
        <f>IFERROR(__xludf.DUMMYFUNCTION("""COMPUTED_VALUE"""),"")</f>
        <v/>
      </c>
    </row>
    <row r="3037">
      <c r="D3037" s="136" t="str">
        <f t="shared" si="3"/>
        <v/>
      </c>
      <c r="E3037" s="152"/>
      <c r="F3037" s="106" t="s">
        <v>133</v>
      </c>
      <c r="G3037" s="152"/>
      <c r="H3037" s="106" t="s">
        <v>133</v>
      </c>
      <c r="J3037" s="139" t="s">
        <v>133</v>
      </c>
      <c r="K3037" s="136" t="s">
        <v>133</v>
      </c>
      <c r="L3037" s="153"/>
      <c r="M3037" s="136" t="str">
        <f t="shared" si="1"/>
        <v/>
      </c>
      <c r="O3037" s="141" t="s">
        <v>133</v>
      </c>
      <c r="P3037" s="136" t="str">
        <f>IFERROR(__xludf.DUMMYFUNCTION("""COMPUTED_VALUE"""),"")</f>
        <v/>
      </c>
      <c r="Q3037" s="136" t="str">
        <f>IFERROR(__xludf.DUMMYFUNCTION("""COMPUTED_VALUE"""),"")</f>
        <v/>
      </c>
      <c r="R3037" s="106" t="str">
        <f>IFERROR(__xludf.DUMMYFUNCTION("""COMPUTED_VALUE"""),"")</f>
        <v/>
      </c>
      <c r="S3037" s="106" t="str">
        <f>IFERROR(__xludf.DUMMYFUNCTION("""COMPUTED_VALUE"""),"")</f>
        <v/>
      </c>
      <c r="T3037" s="139" t="str">
        <f>IFERROR(__xludf.DUMMYFUNCTION("""COMPUTED_VALUE"""),"")</f>
        <v/>
      </c>
      <c r="U3037" s="139" t="str">
        <f>IFERROR(__xludf.DUMMYFUNCTION("""COMPUTED_VALUE"""),"")</f>
        <v/>
      </c>
      <c r="V3037" s="136" t="str">
        <f>IFERROR(__xludf.DUMMYFUNCTION("""COMPUTED_VALUE"""),"")</f>
        <v/>
      </c>
      <c r="W3037" s="106" t="str">
        <f>IFERROR(__xludf.DUMMYFUNCTION("""COMPUTED_VALUE"""),"")</f>
        <v/>
      </c>
      <c r="X3037" s="143" t="str">
        <f t="shared" si="2"/>
        <v/>
      </c>
      <c r="Y3037" s="139" t="str">
        <f>IFERROR(__xludf.DUMMYFUNCTION("""COMPUTED_VALUE"""),"")</f>
        <v/>
      </c>
      <c r="Z3037" s="141" t="str">
        <f>IFERROR(__xludf.DUMMYFUNCTION("""COMPUTED_VALUE"""),"")</f>
        <v/>
      </c>
    </row>
    <row r="3038">
      <c r="D3038" s="136" t="str">
        <f t="shared" si="3"/>
        <v/>
      </c>
      <c r="E3038" s="152"/>
      <c r="F3038" s="106" t="s">
        <v>133</v>
      </c>
      <c r="G3038" s="152"/>
      <c r="H3038" s="106" t="s">
        <v>133</v>
      </c>
      <c r="J3038" s="139" t="s">
        <v>133</v>
      </c>
      <c r="K3038" s="136" t="s">
        <v>133</v>
      </c>
      <c r="L3038" s="153"/>
      <c r="M3038" s="136" t="str">
        <f t="shared" si="1"/>
        <v/>
      </c>
      <c r="O3038" s="141" t="s">
        <v>133</v>
      </c>
      <c r="P3038" s="136" t="str">
        <f>IFERROR(__xludf.DUMMYFUNCTION("""COMPUTED_VALUE"""),"")</f>
        <v/>
      </c>
      <c r="Q3038" s="136" t="str">
        <f>IFERROR(__xludf.DUMMYFUNCTION("""COMPUTED_VALUE"""),"")</f>
        <v/>
      </c>
      <c r="R3038" s="106" t="str">
        <f>IFERROR(__xludf.DUMMYFUNCTION("""COMPUTED_VALUE"""),"")</f>
        <v/>
      </c>
      <c r="S3038" s="106" t="str">
        <f>IFERROR(__xludf.DUMMYFUNCTION("""COMPUTED_VALUE"""),"")</f>
        <v/>
      </c>
      <c r="T3038" s="139" t="str">
        <f>IFERROR(__xludf.DUMMYFUNCTION("""COMPUTED_VALUE"""),"")</f>
        <v/>
      </c>
      <c r="U3038" s="139" t="str">
        <f>IFERROR(__xludf.DUMMYFUNCTION("""COMPUTED_VALUE"""),"")</f>
        <v/>
      </c>
      <c r="V3038" s="136" t="str">
        <f>IFERROR(__xludf.DUMMYFUNCTION("""COMPUTED_VALUE"""),"")</f>
        <v/>
      </c>
      <c r="W3038" s="106" t="str">
        <f>IFERROR(__xludf.DUMMYFUNCTION("""COMPUTED_VALUE"""),"")</f>
        <v/>
      </c>
      <c r="X3038" s="143" t="str">
        <f t="shared" si="2"/>
        <v/>
      </c>
      <c r="Y3038" s="139" t="str">
        <f>IFERROR(__xludf.DUMMYFUNCTION("""COMPUTED_VALUE"""),"")</f>
        <v/>
      </c>
      <c r="Z3038" s="141" t="str">
        <f>IFERROR(__xludf.DUMMYFUNCTION("""COMPUTED_VALUE"""),"")</f>
        <v/>
      </c>
    </row>
    <row r="3039">
      <c r="D3039" s="136" t="str">
        <f t="shared" si="3"/>
        <v/>
      </c>
      <c r="E3039" s="152"/>
      <c r="F3039" s="106" t="s">
        <v>133</v>
      </c>
      <c r="G3039" s="152"/>
      <c r="H3039" s="106" t="s">
        <v>133</v>
      </c>
      <c r="J3039" s="139" t="s">
        <v>133</v>
      </c>
      <c r="K3039" s="136" t="s">
        <v>133</v>
      </c>
      <c r="L3039" s="153"/>
      <c r="M3039" s="136" t="str">
        <f t="shared" si="1"/>
        <v/>
      </c>
      <c r="O3039" s="141" t="s">
        <v>133</v>
      </c>
      <c r="P3039" s="136" t="str">
        <f>IFERROR(__xludf.DUMMYFUNCTION("""COMPUTED_VALUE"""),"")</f>
        <v/>
      </c>
      <c r="Q3039" s="136" t="str">
        <f>IFERROR(__xludf.DUMMYFUNCTION("""COMPUTED_VALUE"""),"")</f>
        <v/>
      </c>
      <c r="R3039" s="106" t="str">
        <f>IFERROR(__xludf.DUMMYFUNCTION("""COMPUTED_VALUE"""),"")</f>
        <v/>
      </c>
      <c r="S3039" s="106" t="str">
        <f>IFERROR(__xludf.DUMMYFUNCTION("""COMPUTED_VALUE"""),"")</f>
        <v/>
      </c>
      <c r="T3039" s="139" t="str">
        <f>IFERROR(__xludf.DUMMYFUNCTION("""COMPUTED_VALUE"""),"")</f>
        <v/>
      </c>
      <c r="U3039" s="139" t="str">
        <f>IFERROR(__xludf.DUMMYFUNCTION("""COMPUTED_VALUE"""),"")</f>
        <v/>
      </c>
      <c r="V3039" s="136" t="str">
        <f>IFERROR(__xludf.DUMMYFUNCTION("""COMPUTED_VALUE"""),"")</f>
        <v/>
      </c>
      <c r="W3039" s="106" t="str">
        <f>IFERROR(__xludf.DUMMYFUNCTION("""COMPUTED_VALUE"""),"")</f>
        <v/>
      </c>
      <c r="X3039" s="143" t="str">
        <f t="shared" si="2"/>
        <v/>
      </c>
      <c r="Y3039" s="139" t="str">
        <f>IFERROR(__xludf.DUMMYFUNCTION("""COMPUTED_VALUE"""),"")</f>
        <v/>
      </c>
      <c r="Z3039" s="141" t="str">
        <f>IFERROR(__xludf.DUMMYFUNCTION("""COMPUTED_VALUE"""),"")</f>
        <v/>
      </c>
    </row>
    <row r="3040">
      <c r="D3040" s="136" t="str">
        <f t="shared" si="3"/>
        <v/>
      </c>
      <c r="E3040" s="152"/>
      <c r="F3040" s="106" t="s">
        <v>133</v>
      </c>
      <c r="G3040" s="152"/>
      <c r="H3040" s="106" t="s">
        <v>133</v>
      </c>
      <c r="J3040" s="139" t="s">
        <v>133</v>
      </c>
      <c r="K3040" s="136" t="s">
        <v>133</v>
      </c>
      <c r="L3040" s="153"/>
      <c r="M3040" s="136" t="str">
        <f t="shared" si="1"/>
        <v/>
      </c>
      <c r="O3040" s="141" t="s">
        <v>133</v>
      </c>
      <c r="P3040" s="136" t="str">
        <f>IFERROR(__xludf.DUMMYFUNCTION("""COMPUTED_VALUE"""),"")</f>
        <v/>
      </c>
      <c r="Q3040" s="136" t="str">
        <f>IFERROR(__xludf.DUMMYFUNCTION("""COMPUTED_VALUE"""),"")</f>
        <v/>
      </c>
      <c r="R3040" s="106" t="str">
        <f>IFERROR(__xludf.DUMMYFUNCTION("""COMPUTED_VALUE"""),"")</f>
        <v/>
      </c>
      <c r="S3040" s="106" t="str">
        <f>IFERROR(__xludf.DUMMYFUNCTION("""COMPUTED_VALUE"""),"")</f>
        <v/>
      </c>
      <c r="T3040" s="139" t="str">
        <f>IFERROR(__xludf.DUMMYFUNCTION("""COMPUTED_VALUE"""),"")</f>
        <v/>
      </c>
      <c r="U3040" s="139" t="str">
        <f>IFERROR(__xludf.DUMMYFUNCTION("""COMPUTED_VALUE"""),"")</f>
        <v/>
      </c>
      <c r="V3040" s="136" t="str">
        <f>IFERROR(__xludf.DUMMYFUNCTION("""COMPUTED_VALUE"""),"")</f>
        <v/>
      </c>
      <c r="W3040" s="106" t="str">
        <f>IFERROR(__xludf.DUMMYFUNCTION("""COMPUTED_VALUE"""),"")</f>
        <v/>
      </c>
      <c r="X3040" s="143" t="str">
        <f t="shared" si="2"/>
        <v/>
      </c>
      <c r="Y3040" s="139" t="str">
        <f>IFERROR(__xludf.DUMMYFUNCTION("""COMPUTED_VALUE"""),"")</f>
        <v/>
      </c>
      <c r="Z3040" s="141" t="str">
        <f>IFERROR(__xludf.DUMMYFUNCTION("""COMPUTED_VALUE"""),"")</f>
        <v/>
      </c>
    </row>
    <row r="3041">
      <c r="D3041" s="136" t="str">
        <f t="shared" si="3"/>
        <v/>
      </c>
      <c r="E3041" s="152"/>
      <c r="F3041" s="106" t="s">
        <v>133</v>
      </c>
      <c r="G3041" s="152"/>
      <c r="H3041" s="106" t="s">
        <v>133</v>
      </c>
      <c r="J3041" s="139" t="s">
        <v>133</v>
      </c>
      <c r="K3041" s="136" t="s">
        <v>133</v>
      </c>
      <c r="L3041" s="153"/>
      <c r="M3041" s="136" t="str">
        <f t="shared" si="1"/>
        <v/>
      </c>
      <c r="O3041" s="141" t="s">
        <v>133</v>
      </c>
      <c r="P3041" s="136" t="str">
        <f>IFERROR(__xludf.DUMMYFUNCTION("""COMPUTED_VALUE"""),"")</f>
        <v/>
      </c>
      <c r="Q3041" s="136" t="str">
        <f>IFERROR(__xludf.DUMMYFUNCTION("""COMPUTED_VALUE"""),"")</f>
        <v/>
      </c>
      <c r="R3041" s="106" t="str">
        <f>IFERROR(__xludf.DUMMYFUNCTION("""COMPUTED_VALUE"""),"")</f>
        <v/>
      </c>
      <c r="S3041" s="106" t="str">
        <f>IFERROR(__xludf.DUMMYFUNCTION("""COMPUTED_VALUE"""),"")</f>
        <v/>
      </c>
      <c r="T3041" s="139" t="str">
        <f>IFERROR(__xludf.DUMMYFUNCTION("""COMPUTED_VALUE"""),"")</f>
        <v/>
      </c>
      <c r="U3041" s="139" t="str">
        <f>IFERROR(__xludf.DUMMYFUNCTION("""COMPUTED_VALUE"""),"")</f>
        <v/>
      </c>
      <c r="V3041" s="136" t="str">
        <f>IFERROR(__xludf.DUMMYFUNCTION("""COMPUTED_VALUE"""),"")</f>
        <v/>
      </c>
      <c r="W3041" s="106" t="str">
        <f>IFERROR(__xludf.DUMMYFUNCTION("""COMPUTED_VALUE"""),"")</f>
        <v/>
      </c>
      <c r="X3041" s="143" t="str">
        <f t="shared" si="2"/>
        <v/>
      </c>
      <c r="Y3041" s="139" t="str">
        <f>IFERROR(__xludf.DUMMYFUNCTION("""COMPUTED_VALUE"""),"")</f>
        <v/>
      </c>
      <c r="Z3041" s="141" t="str">
        <f>IFERROR(__xludf.DUMMYFUNCTION("""COMPUTED_VALUE"""),"")</f>
        <v/>
      </c>
    </row>
    <row r="3042">
      <c r="D3042" s="136" t="str">
        <f t="shared" si="3"/>
        <v/>
      </c>
      <c r="E3042" s="152"/>
      <c r="F3042" s="106" t="s">
        <v>133</v>
      </c>
      <c r="G3042" s="152"/>
      <c r="H3042" s="106" t="s">
        <v>133</v>
      </c>
      <c r="J3042" s="139" t="s">
        <v>133</v>
      </c>
      <c r="K3042" s="136" t="s">
        <v>133</v>
      </c>
      <c r="L3042" s="153"/>
      <c r="M3042" s="136" t="str">
        <f t="shared" si="1"/>
        <v/>
      </c>
      <c r="O3042" s="141" t="s">
        <v>133</v>
      </c>
      <c r="P3042" s="136" t="str">
        <f>IFERROR(__xludf.DUMMYFUNCTION("""COMPUTED_VALUE"""),"")</f>
        <v/>
      </c>
      <c r="Q3042" s="136" t="str">
        <f>IFERROR(__xludf.DUMMYFUNCTION("""COMPUTED_VALUE"""),"")</f>
        <v/>
      </c>
      <c r="R3042" s="106" t="str">
        <f>IFERROR(__xludf.DUMMYFUNCTION("""COMPUTED_VALUE"""),"")</f>
        <v/>
      </c>
      <c r="S3042" s="106" t="str">
        <f>IFERROR(__xludf.DUMMYFUNCTION("""COMPUTED_VALUE"""),"")</f>
        <v/>
      </c>
      <c r="T3042" s="139" t="str">
        <f>IFERROR(__xludf.DUMMYFUNCTION("""COMPUTED_VALUE"""),"")</f>
        <v/>
      </c>
      <c r="U3042" s="139" t="str">
        <f>IFERROR(__xludf.DUMMYFUNCTION("""COMPUTED_VALUE"""),"")</f>
        <v/>
      </c>
      <c r="V3042" s="136" t="str">
        <f>IFERROR(__xludf.DUMMYFUNCTION("""COMPUTED_VALUE"""),"")</f>
        <v/>
      </c>
      <c r="W3042" s="106" t="str">
        <f>IFERROR(__xludf.DUMMYFUNCTION("""COMPUTED_VALUE"""),"")</f>
        <v/>
      </c>
      <c r="X3042" s="143" t="str">
        <f t="shared" si="2"/>
        <v/>
      </c>
      <c r="Y3042" s="139" t="str">
        <f>IFERROR(__xludf.DUMMYFUNCTION("""COMPUTED_VALUE"""),"")</f>
        <v/>
      </c>
      <c r="Z3042" s="141" t="str">
        <f>IFERROR(__xludf.DUMMYFUNCTION("""COMPUTED_VALUE"""),"")</f>
        <v/>
      </c>
    </row>
    <row r="3043">
      <c r="D3043" s="136" t="str">
        <f t="shared" si="3"/>
        <v/>
      </c>
      <c r="E3043" s="152"/>
      <c r="F3043" s="106" t="s">
        <v>133</v>
      </c>
      <c r="G3043" s="152"/>
      <c r="H3043" s="106" t="s">
        <v>133</v>
      </c>
      <c r="J3043" s="139" t="s">
        <v>133</v>
      </c>
      <c r="K3043" s="136" t="s">
        <v>133</v>
      </c>
      <c r="L3043" s="153"/>
      <c r="M3043" s="136" t="str">
        <f t="shared" si="1"/>
        <v/>
      </c>
      <c r="O3043" s="141" t="s">
        <v>133</v>
      </c>
      <c r="P3043" s="136" t="str">
        <f>IFERROR(__xludf.DUMMYFUNCTION("""COMPUTED_VALUE"""),"")</f>
        <v/>
      </c>
      <c r="Q3043" s="136" t="str">
        <f>IFERROR(__xludf.DUMMYFUNCTION("""COMPUTED_VALUE"""),"")</f>
        <v/>
      </c>
      <c r="R3043" s="106" t="str">
        <f>IFERROR(__xludf.DUMMYFUNCTION("""COMPUTED_VALUE"""),"")</f>
        <v/>
      </c>
      <c r="S3043" s="106" t="str">
        <f>IFERROR(__xludf.DUMMYFUNCTION("""COMPUTED_VALUE"""),"")</f>
        <v/>
      </c>
      <c r="T3043" s="139" t="str">
        <f>IFERROR(__xludf.DUMMYFUNCTION("""COMPUTED_VALUE"""),"")</f>
        <v/>
      </c>
      <c r="U3043" s="139" t="str">
        <f>IFERROR(__xludf.DUMMYFUNCTION("""COMPUTED_VALUE"""),"")</f>
        <v/>
      </c>
      <c r="V3043" s="136" t="str">
        <f>IFERROR(__xludf.DUMMYFUNCTION("""COMPUTED_VALUE"""),"")</f>
        <v/>
      </c>
      <c r="W3043" s="106" t="str">
        <f>IFERROR(__xludf.DUMMYFUNCTION("""COMPUTED_VALUE"""),"")</f>
        <v/>
      </c>
      <c r="X3043" s="143" t="str">
        <f t="shared" si="2"/>
        <v/>
      </c>
      <c r="Y3043" s="139" t="str">
        <f>IFERROR(__xludf.DUMMYFUNCTION("""COMPUTED_VALUE"""),"")</f>
        <v/>
      </c>
      <c r="Z3043" s="141" t="str">
        <f>IFERROR(__xludf.DUMMYFUNCTION("""COMPUTED_VALUE"""),"")</f>
        <v/>
      </c>
    </row>
    <row r="3044">
      <c r="D3044" s="136" t="str">
        <f t="shared" si="3"/>
        <v/>
      </c>
      <c r="E3044" s="152"/>
      <c r="F3044" s="106" t="s">
        <v>133</v>
      </c>
      <c r="G3044" s="152"/>
      <c r="H3044" s="106" t="s">
        <v>133</v>
      </c>
      <c r="J3044" s="139" t="s">
        <v>133</v>
      </c>
      <c r="K3044" s="136" t="s">
        <v>133</v>
      </c>
      <c r="L3044" s="153"/>
      <c r="M3044" s="136" t="str">
        <f t="shared" si="1"/>
        <v/>
      </c>
      <c r="O3044" s="141" t="s">
        <v>133</v>
      </c>
      <c r="P3044" s="136" t="str">
        <f>IFERROR(__xludf.DUMMYFUNCTION("""COMPUTED_VALUE"""),"")</f>
        <v/>
      </c>
      <c r="Q3044" s="136" t="str">
        <f>IFERROR(__xludf.DUMMYFUNCTION("""COMPUTED_VALUE"""),"")</f>
        <v/>
      </c>
      <c r="R3044" s="106" t="str">
        <f>IFERROR(__xludf.DUMMYFUNCTION("""COMPUTED_VALUE"""),"")</f>
        <v/>
      </c>
      <c r="S3044" s="106" t="str">
        <f>IFERROR(__xludf.DUMMYFUNCTION("""COMPUTED_VALUE"""),"")</f>
        <v/>
      </c>
      <c r="T3044" s="139" t="str">
        <f>IFERROR(__xludf.DUMMYFUNCTION("""COMPUTED_VALUE"""),"")</f>
        <v/>
      </c>
      <c r="U3044" s="139" t="str">
        <f>IFERROR(__xludf.DUMMYFUNCTION("""COMPUTED_VALUE"""),"")</f>
        <v/>
      </c>
      <c r="V3044" s="136" t="str">
        <f>IFERROR(__xludf.DUMMYFUNCTION("""COMPUTED_VALUE"""),"")</f>
        <v/>
      </c>
      <c r="W3044" s="106" t="str">
        <f>IFERROR(__xludf.DUMMYFUNCTION("""COMPUTED_VALUE"""),"")</f>
        <v/>
      </c>
      <c r="X3044" s="143" t="str">
        <f t="shared" si="2"/>
        <v/>
      </c>
      <c r="Y3044" s="139" t="str">
        <f>IFERROR(__xludf.DUMMYFUNCTION("""COMPUTED_VALUE"""),"")</f>
        <v/>
      </c>
      <c r="Z3044" s="141" t="str">
        <f>IFERROR(__xludf.DUMMYFUNCTION("""COMPUTED_VALUE"""),"")</f>
        <v/>
      </c>
    </row>
    <row r="3045">
      <c r="D3045" s="136" t="str">
        <f t="shared" si="3"/>
        <v/>
      </c>
      <c r="E3045" s="152"/>
      <c r="F3045" s="106" t="s">
        <v>133</v>
      </c>
      <c r="G3045" s="152"/>
      <c r="H3045" s="106" t="s">
        <v>133</v>
      </c>
      <c r="J3045" s="139" t="s">
        <v>133</v>
      </c>
      <c r="K3045" s="136" t="s">
        <v>133</v>
      </c>
      <c r="L3045" s="153"/>
      <c r="M3045" s="136" t="str">
        <f t="shared" si="1"/>
        <v/>
      </c>
      <c r="O3045" s="141" t="s">
        <v>133</v>
      </c>
      <c r="P3045" s="136" t="str">
        <f>IFERROR(__xludf.DUMMYFUNCTION("""COMPUTED_VALUE"""),"")</f>
        <v/>
      </c>
      <c r="Q3045" s="136" t="str">
        <f>IFERROR(__xludf.DUMMYFUNCTION("""COMPUTED_VALUE"""),"")</f>
        <v/>
      </c>
      <c r="R3045" s="106" t="str">
        <f>IFERROR(__xludf.DUMMYFUNCTION("""COMPUTED_VALUE"""),"")</f>
        <v/>
      </c>
      <c r="S3045" s="106" t="str">
        <f>IFERROR(__xludf.DUMMYFUNCTION("""COMPUTED_VALUE"""),"")</f>
        <v/>
      </c>
      <c r="T3045" s="139" t="str">
        <f>IFERROR(__xludf.DUMMYFUNCTION("""COMPUTED_VALUE"""),"")</f>
        <v/>
      </c>
      <c r="U3045" s="139" t="str">
        <f>IFERROR(__xludf.DUMMYFUNCTION("""COMPUTED_VALUE"""),"")</f>
        <v/>
      </c>
      <c r="V3045" s="136" t="str">
        <f>IFERROR(__xludf.DUMMYFUNCTION("""COMPUTED_VALUE"""),"")</f>
        <v/>
      </c>
      <c r="W3045" s="106" t="str">
        <f>IFERROR(__xludf.DUMMYFUNCTION("""COMPUTED_VALUE"""),"")</f>
        <v/>
      </c>
      <c r="X3045" s="143" t="str">
        <f t="shared" si="2"/>
        <v/>
      </c>
      <c r="Y3045" s="139" t="str">
        <f>IFERROR(__xludf.DUMMYFUNCTION("""COMPUTED_VALUE"""),"")</f>
        <v/>
      </c>
      <c r="Z3045" s="141" t="str">
        <f>IFERROR(__xludf.DUMMYFUNCTION("""COMPUTED_VALUE"""),"")</f>
        <v/>
      </c>
    </row>
    <row r="3046">
      <c r="D3046" s="136" t="str">
        <f t="shared" si="3"/>
        <v/>
      </c>
      <c r="E3046" s="152"/>
      <c r="F3046" s="106" t="s">
        <v>133</v>
      </c>
      <c r="G3046" s="152"/>
      <c r="H3046" s="106" t="s">
        <v>133</v>
      </c>
      <c r="J3046" s="139" t="s">
        <v>133</v>
      </c>
      <c r="K3046" s="136" t="s">
        <v>133</v>
      </c>
      <c r="L3046" s="153"/>
      <c r="M3046" s="136" t="str">
        <f t="shared" si="1"/>
        <v/>
      </c>
      <c r="O3046" s="141" t="s">
        <v>133</v>
      </c>
      <c r="P3046" s="136" t="str">
        <f>IFERROR(__xludf.DUMMYFUNCTION("""COMPUTED_VALUE"""),"")</f>
        <v/>
      </c>
      <c r="Q3046" s="136" t="str">
        <f>IFERROR(__xludf.DUMMYFUNCTION("""COMPUTED_VALUE"""),"")</f>
        <v/>
      </c>
      <c r="R3046" s="106" t="str">
        <f>IFERROR(__xludf.DUMMYFUNCTION("""COMPUTED_VALUE"""),"")</f>
        <v/>
      </c>
      <c r="S3046" s="106" t="str">
        <f>IFERROR(__xludf.DUMMYFUNCTION("""COMPUTED_VALUE"""),"")</f>
        <v/>
      </c>
      <c r="T3046" s="139" t="str">
        <f>IFERROR(__xludf.DUMMYFUNCTION("""COMPUTED_VALUE"""),"")</f>
        <v/>
      </c>
      <c r="U3046" s="139" t="str">
        <f>IFERROR(__xludf.DUMMYFUNCTION("""COMPUTED_VALUE"""),"")</f>
        <v/>
      </c>
      <c r="V3046" s="136" t="str">
        <f>IFERROR(__xludf.DUMMYFUNCTION("""COMPUTED_VALUE"""),"")</f>
        <v/>
      </c>
      <c r="W3046" s="106" t="str">
        <f>IFERROR(__xludf.DUMMYFUNCTION("""COMPUTED_VALUE"""),"")</f>
        <v/>
      </c>
      <c r="X3046" s="143" t="str">
        <f t="shared" si="2"/>
        <v/>
      </c>
      <c r="Y3046" s="139" t="str">
        <f>IFERROR(__xludf.DUMMYFUNCTION("""COMPUTED_VALUE"""),"")</f>
        <v/>
      </c>
      <c r="Z3046" s="141" t="str">
        <f>IFERROR(__xludf.DUMMYFUNCTION("""COMPUTED_VALUE"""),"")</f>
        <v/>
      </c>
    </row>
    <row r="3047">
      <c r="D3047" s="136" t="str">
        <f t="shared" si="3"/>
        <v/>
      </c>
      <c r="E3047" s="152"/>
      <c r="F3047" s="106" t="s">
        <v>133</v>
      </c>
      <c r="G3047" s="152"/>
      <c r="H3047" s="106" t="s">
        <v>133</v>
      </c>
      <c r="J3047" s="139" t="s">
        <v>133</v>
      </c>
      <c r="K3047" s="136" t="s">
        <v>133</v>
      </c>
      <c r="L3047" s="153"/>
      <c r="M3047" s="136" t="str">
        <f t="shared" si="1"/>
        <v/>
      </c>
      <c r="O3047" s="141" t="s">
        <v>133</v>
      </c>
      <c r="P3047" s="136" t="str">
        <f>IFERROR(__xludf.DUMMYFUNCTION("""COMPUTED_VALUE"""),"")</f>
        <v/>
      </c>
      <c r="Q3047" s="136" t="str">
        <f>IFERROR(__xludf.DUMMYFUNCTION("""COMPUTED_VALUE"""),"")</f>
        <v/>
      </c>
      <c r="R3047" s="106" t="str">
        <f>IFERROR(__xludf.DUMMYFUNCTION("""COMPUTED_VALUE"""),"")</f>
        <v/>
      </c>
      <c r="S3047" s="106" t="str">
        <f>IFERROR(__xludf.DUMMYFUNCTION("""COMPUTED_VALUE"""),"")</f>
        <v/>
      </c>
      <c r="T3047" s="139" t="str">
        <f>IFERROR(__xludf.DUMMYFUNCTION("""COMPUTED_VALUE"""),"")</f>
        <v/>
      </c>
      <c r="U3047" s="139" t="str">
        <f>IFERROR(__xludf.DUMMYFUNCTION("""COMPUTED_VALUE"""),"")</f>
        <v/>
      </c>
      <c r="V3047" s="136" t="str">
        <f>IFERROR(__xludf.DUMMYFUNCTION("""COMPUTED_VALUE"""),"")</f>
        <v/>
      </c>
      <c r="W3047" s="106" t="str">
        <f>IFERROR(__xludf.DUMMYFUNCTION("""COMPUTED_VALUE"""),"")</f>
        <v/>
      </c>
      <c r="X3047" s="143" t="str">
        <f t="shared" si="2"/>
        <v/>
      </c>
      <c r="Y3047" s="139" t="str">
        <f>IFERROR(__xludf.DUMMYFUNCTION("""COMPUTED_VALUE"""),"")</f>
        <v/>
      </c>
      <c r="Z3047" s="141" t="str">
        <f>IFERROR(__xludf.DUMMYFUNCTION("""COMPUTED_VALUE"""),"")</f>
        <v/>
      </c>
    </row>
    <row r="3048">
      <c r="D3048" s="136" t="str">
        <f t="shared" si="3"/>
        <v/>
      </c>
      <c r="E3048" s="152"/>
      <c r="F3048" s="106" t="s">
        <v>133</v>
      </c>
      <c r="G3048" s="152"/>
      <c r="H3048" s="106" t="s">
        <v>133</v>
      </c>
      <c r="J3048" s="139" t="s">
        <v>133</v>
      </c>
      <c r="K3048" s="136" t="s">
        <v>133</v>
      </c>
      <c r="L3048" s="153"/>
      <c r="M3048" s="136" t="str">
        <f t="shared" si="1"/>
        <v/>
      </c>
      <c r="O3048" s="141" t="s">
        <v>133</v>
      </c>
      <c r="P3048" s="136" t="str">
        <f>IFERROR(__xludf.DUMMYFUNCTION("""COMPUTED_VALUE"""),"")</f>
        <v/>
      </c>
      <c r="Q3048" s="136" t="str">
        <f>IFERROR(__xludf.DUMMYFUNCTION("""COMPUTED_VALUE"""),"")</f>
        <v/>
      </c>
      <c r="R3048" s="106" t="str">
        <f>IFERROR(__xludf.DUMMYFUNCTION("""COMPUTED_VALUE"""),"")</f>
        <v/>
      </c>
      <c r="S3048" s="106" t="str">
        <f>IFERROR(__xludf.DUMMYFUNCTION("""COMPUTED_VALUE"""),"")</f>
        <v/>
      </c>
      <c r="T3048" s="139" t="str">
        <f>IFERROR(__xludf.DUMMYFUNCTION("""COMPUTED_VALUE"""),"")</f>
        <v/>
      </c>
      <c r="U3048" s="139" t="str">
        <f>IFERROR(__xludf.DUMMYFUNCTION("""COMPUTED_VALUE"""),"")</f>
        <v/>
      </c>
      <c r="V3048" s="136" t="str">
        <f>IFERROR(__xludf.DUMMYFUNCTION("""COMPUTED_VALUE"""),"")</f>
        <v/>
      </c>
      <c r="W3048" s="106" t="str">
        <f>IFERROR(__xludf.DUMMYFUNCTION("""COMPUTED_VALUE"""),"")</f>
        <v/>
      </c>
      <c r="X3048" s="143" t="str">
        <f t="shared" si="2"/>
        <v/>
      </c>
      <c r="Y3048" s="139" t="str">
        <f>IFERROR(__xludf.DUMMYFUNCTION("""COMPUTED_VALUE"""),"")</f>
        <v/>
      </c>
      <c r="Z3048" s="141" t="str">
        <f>IFERROR(__xludf.DUMMYFUNCTION("""COMPUTED_VALUE"""),"")</f>
        <v/>
      </c>
    </row>
    <row r="3049">
      <c r="D3049" s="136" t="str">
        <f t="shared" si="3"/>
        <v/>
      </c>
      <c r="E3049" s="152"/>
      <c r="F3049" s="106" t="s">
        <v>133</v>
      </c>
      <c r="G3049" s="152"/>
      <c r="H3049" s="106" t="s">
        <v>133</v>
      </c>
      <c r="J3049" s="139" t="s">
        <v>133</v>
      </c>
      <c r="K3049" s="136" t="s">
        <v>133</v>
      </c>
      <c r="L3049" s="153"/>
      <c r="M3049" s="136" t="str">
        <f t="shared" si="1"/>
        <v/>
      </c>
      <c r="O3049" s="141" t="s">
        <v>133</v>
      </c>
      <c r="P3049" s="136" t="str">
        <f>IFERROR(__xludf.DUMMYFUNCTION("""COMPUTED_VALUE"""),"")</f>
        <v/>
      </c>
      <c r="Q3049" s="136" t="str">
        <f>IFERROR(__xludf.DUMMYFUNCTION("""COMPUTED_VALUE"""),"")</f>
        <v/>
      </c>
      <c r="R3049" s="106" t="str">
        <f>IFERROR(__xludf.DUMMYFUNCTION("""COMPUTED_VALUE"""),"")</f>
        <v/>
      </c>
      <c r="S3049" s="106" t="str">
        <f>IFERROR(__xludf.DUMMYFUNCTION("""COMPUTED_VALUE"""),"")</f>
        <v/>
      </c>
      <c r="T3049" s="139" t="str">
        <f>IFERROR(__xludf.DUMMYFUNCTION("""COMPUTED_VALUE"""),"")</f>
        <v/>
      </c>
      <c r="U3049" s="139" t="str">
        <f>IFERROR(__xludf.DUMMYFUNCTION("""COMPUTED_VALUE"""),"")</f>
        <v/>
      </c>
      <c r="V3049" s="136" t="str">
        <f>IFERROR(__xludf.DUMMYFUNCTION("""COMPUTED_VALUE"""),"")</f>
        <v/>
      </c>
      <c r="W3049" s="106" t="str">
        <f>IFERROR(__xludf.DUMMYFUNCTION("""COMPUTED_VALUE"""),"")</f>
        <v/>
      </c>
      <c r="X3049" s="143" t="str">
        <f t="shared" si="2"/>
        <v/>
      </c>
      <c r="Y3049" s="139" t="str">
        <f>IFERROR(__xludf.DUMMYFUNCTION("""COMPUTED_VALUE"""),"")</f>
        <v/>
      </c>
      <c r="Z3049" s="141" t="str">
        <f>IFERROR(__xludf.DUMMYFUNCTION("""COMPUTED_VALUE"""),"")</f>
        <v/>
      </c>
    </row>
    <row r="3050">
      <c r="D3050" s="136" t="str">
        <f t="shared" si="3"/>
        <v/>
      </c>
      <c r="E3050" s="152"/>
      <c r="F3050" s="106" t="s">
        <v>133</v>
      </c>
      <c r="G3050" s="152"/>
      <c r="H3050" s="106" t="s">
        <v>133</v>
      </c>
      <c r="J3050" s="139" t="s">
        <v>133</v>
      </c>
      <c r="K3050" s="136" t="s">
        <v>133</v>
      </c>
      <c r="L3050" s="153"/>
      <c r="M3050" s="136" t="str">
        <f t="shared" si="1"/>
        <v/>
      </c>
      <c r="O3050" s="141" t="s">
        <v>133</v>
      </c>
      <c r="P3050" s="136" t="str">
        <f>IFERROR(__xludf.DUMMYFUNCTION("""COMPUTED_VALUE"""),"")</f>
        <v/>
      </c>
      <c r="Q3050" s="136" t="str">
        <f>IFERROR(__xludf.DUMMYFUNCTION("""COMPUTED_VALUE"""),"")</f>
        <v/>
      </c>
      <c r="R3050" s="106" t="str">
        <f>IFERROR(__xludf.DUMMYFUNCTION("""COMPUTED_VALUE"""),"")</f>
        <v/>
      </c>
      <c r="S3050" s="106" t="str">
        <f>IFERROR(__xludf.DUMMYFUNCTION("""COMPUTED_VALUE"""),"")</f>
        <v/>
      </c>
      <c r="T3050" s="139" t="str">
        <f>IFERROR(__xludf.DUMMYFUNCTION("""COMPUTED_VALUE"""),"")</f>
        <v/>
      </c>
      <c r="U3050" s="139" t="str">
        <f>IFERROR(__xludf.DUMMYFUNCTION("""COMPUTED_VALUE"""),"")</f>
        <v/>
      </c>
      <c r="V3050" s="136" t="str">
        <f>IFERROR(__xludf.DUMMYFUNCTION("""COMPUTED_VALUE"""),"")</f>
        <v/>
      </c>
      <c r="W3050" s="106" t="str">
        <f>IFERROR(__xludf.DUMMYFUNCTION("""COMPUTED_VALUE"""),"")</f>
        <v/>
      </c>
      <c r="X3050" s="143" t="str">
        <f t="shared" si="2"/>
        <v/>
      </c>
      <c r="Y3050" s="139" t="str">
        <f>IFERROR(__xludf.DUMMYFUNCTION("""COMPUTED_VALUE"""),"")</f>
        <v/>
      </c>
      <c r="Z3050" s="141" t="str">
        <f>IFERROR(__xludf.DUMMYFUNCTION("""COMPUTED_VALUE"""),"")</f>
        <v/>
      </c>
    </row>
    <row r="3051">
      <c r="D3051" s="136" t="str">
        <f t="shared" si="3"/>
        <v/>
      </c>
      <c r="E3051" s="152"/>
      <c r="F3051" s="106" t="s">
        <v>133</v>
      </c>
      <c r="G3051" s="152"/>
      <c r="H3051" s="106" t="s">
        <v>133</v>
      </c>
      <c r="J3051" s="139" t="s">
        <v>133</v>
      </c>
      <c r="K3051" s="136" t="s">
        <v>133</v>
      </c>
      <c r="L3051" s="153"/>
      <c r="M3051" s="136" t="str">
        <f t="shared" si="1"/>
        <v/>
      </c>
      <c r="O3051" s="141" t="s">
        <v>133</v>
      </c>
      <c r="P3051" s="136" t="str">
        <f>IFERROR(__xludf.DUMMYFUNCTION("""COMPUTED_VALUE"""),"")</f>
        <v/>
      </c>
      <c r="Q3051" s="136" t="str">
        <f>IFERROR(__xludf.DUMMYFUNCTION("""COMPUTED_VALUE"""),"")</f>
        <v/>
      </c>
      <c r="R3051" s="106" t="str">
        <f>IFERROR(__xludf.DUMMYFUNCTION("""COMPUTED_VALUE"""),"")</f>
        <v/>
      </c>
      <c r="S3051" s="106" t="str">
        <f>IFERROR(__xludf.DUMMYFUNCTION("""COMPUTED_VALUE"""),"")</f>
        <v/>
      </c>
      <c r="T3051" s="139" t="str">
        <f>IFERROR(__xludf.DUMMYFUNCTION("""COMPUTED_VALUE"""),"")</f>
        <v/>
      </c>
      <c r="U3051" s="139" t="str">
        <f>IFERROR(__xludf.DUMMYFUNCTION("""COMPUTED_VALUE"""),"")</f>
        <v/>
      </c>
      <c r="V3051" s="136" t="str">
        <f>IFERROR(__xludf.DUMMYFUNCTION("""COMPUTED_VALUE"""),"")</f>
        <v/>
      </c>
      <c r="W3051" s="106" t="str">
        <f>IFERROR(__xludf.DUMMYFUNCTION("""COMPUTED_VALUE"""),"")</f>
        <v/>
      </c>
      <c r="X3051" s="143" t="str">
        <f t="shared" si="2"/>
        <v/>
      </c>
      <c r="Y3051" s="139" t="str">
        <f>IFERROR(__xludf.DUMMYFUNCTION("""COMPUTED_VALUE"""),"")</f>
        <v/>
      </c>
      <c r="Z3051" s="141" t="str">
        <f>IFERROR(__xludf.DUMMYFUNCTION("""COMPUTED_VALUE"""),"")</f>
        <v/>
      </c>
    </row>
    <row r="3052">
      <c r="D3052" s="136" t="str">
        <f t="shared" si="3"/>
        <v/>
      </c>
      <c r="E3052" s="152"/>
      <c r="F3052" s="106" t="s">
        <v>133</v>
      </c>
      <c r="G3052" s="152"/>
      <c r="H3052" s="106" t="s">
        <v>133</v>
      </c>
      <c r="J3052" s="139" t="s">
        <v>133</v>
      </c>
      <c r="K3052" s="136" t="s">
        <v>133</v>
      </c>
      <c r="L3052" s="153"/>
      <c r="M3052" s="136" t="str">
        <f t="shared" si="1"/>
        <v/>
      </c>
      <c r="O3052" s="141" t="s">
        <v>133</v>
      </c>
      <c r="P3052" s="136" t="str">
        <f>IFERROR(__xludf.DUMMYFUNCTION("""COMPUTED_VALUE"""),"")</f>
        <v/>
      </c>
      <c r="Q3052" s="136" t="str">
        <f>IFERROR(__xludf.DUMMYFUNCTION("""COMPUTED_VALUE"""),"")</f>
        <v/>
      </c>
      <c r="R3052" s="106" t="str">
        <f>IFERROR(__xludf.DUMMYFUNCTION("""COMPUTED_VALUE"""),"")</f>
        <v/>
      </c>
      <c r="S3052" s="106" t="str">
        <f>IFERROR(__xludf.DUMMYFUNCTION("""COMPUTED_VALUE"""),"")</f>
        <v/>
      </c>
      <c r="T3052" s="139" t="str">
        <f>IFERROR(__xludf.DUMMYFUNCTION("""COMPUTED_VALUE"""),"")</f>
        <v/>
      </c>
      <c r="U3052" s="139" t="str">
        <f>IFERROR(__xludf.DUMMYFUNCTION("""COMPUTED_VALUE"""),"")</f>
        <v/>
      </c>
      <c r="V3052" s="136" t="str">
        <f>IFERROR(__xludf.DUMMYFUNCTION("""COMPUTED_VALUE"""),"")</f>
        <v/>
      </c>
      <c r="W3052" s="106" t="str">
        <f>IFERROR(__xludf.DUMMYFUNCTION("""COMPUTED_VALUE"""),"")</f>
        <v/>
      </c>
      <c r="X3052" s="143" t="str">
        <f t="shared" si="2"/>
        <v/>
      </c>
      <c r="Y3052" s="139" t="str">
        <f>IFERROR(__xludf.DUMMYFUNCTION("""COMPUTED_VALUE"""),"")</f>
        <v/>
      </c>
      <c r="Z3052" s="141" t="str">
        <f>IFERROR(__xludf.DUMMYFUNCTION("""COMPUTED_VALUE"""),"")</f>
        <v/>
      </c>
    </row>
    <row r="3053">
      <c r="D3053" s="136" t="str">
        <f t="shared" si="3"/>
        <v/>
      </c>
      <c r="E3053" s="152"/>
      <c r="F3053" s="106" t="s">
        <v>133</v>
      </c>
      <c r="G3053" s="152"/>
      <c r="H3053" s="106" t="s">
        <v>133</v>
      </c>
      <c r="J3053" s="139" t="s">
        <v>133</v>
      </c>
      <c r="K3053" s="136" t="s">
        <v>133</v>
      </c>
      <c r="L3053" s="153"/>
      <c r="M3053" s="136" t="str">
        <f t="shared" si="1"/>
        <v/>
      </c>
      <c r="O3053" s="141" t="s">
        <v>133</v>
      </c>
      <c r="P3053" s="136" t="str">
        <f>IFERROR(__xludf.DUMMYFUNCTION("""COMPUTED_VALUE"""),"")</f>
        <v/>
      </c>
      <c r="Q3053" s="136" t="str">
        <f>IFERROR(__xludf.DUMMYFUNCTION("""COMPUTED_VALUE"""),"")</f>
        <v/>
      </c>
      <c r="R3053" s="106" t="str">
        <f>IFERROR(__xludf.DUMMYFUNCTION("""COMPUTED_VALUE"""),"")</f>
        <v/>
      </c>
      <c r="S3053" s="106" t="str">
        <f>IFERROR(__xludf.DUMMYFUNCTION("""COMPUTED_VALUE"""),"")</f>
        <v/>
      </c>
      <c r="T3053" s="139" t="str">
        <f>IFERROR(__xludf.DUMMYFUNCTION("""COMPUTED_VALUE"""),"")</f>
        <v/>
      </c>
      <c r="U3053" s="139" t="str">
        <f>IFERROR(__xludf.DUMMYFUNCTION("""COMPUTED_VALUE"""),"")</f>
        <v/>
      </c>
      <c r="V3053" s="136" t="str">
        <f>IFERROR(__xludf.DUMMYFUNCTION("""COMPUTED_VALUE"""),"")</f>
        <v/>
      </c>
      <c r="W3053" s="106" t="str">
        <f>IFERROR(__xludf.DUMMYFUNCTION("""COMPUTED_VALUE"""),"")</f>
        <v/>
      </c>
      <c r="X3053" s="143" t="str">
        <f t="shared" si="2"/>
        <v/>
      </c>
      <c r="Y3053" s="139" t="str">
        <f>IFERROR(__xludf.DUMMYFUNCTION("""COMPUTED_VALUE"""),"")</f>
        <v/>
      </c>
      <c r="Z3053" s="141" t="str">
        <f>IFERROR(__xludf.DUMMYFUNCTION("""COMPUTED_VALUE"""),"")</f>
        <v/>
      </c>
    </row>
    <row r="3054">
      <c r="D3054" s="136" t="str">
        <f t="shared" si="3"/>
        <v/>
      </c>
      <c r="E3054" s="152"/>
      <c r="F3054" s="106" t="s">
        <v>133</v>
      </c>
      <c r="G3054" s="152"/>
      <c r="H3054" s="106" t="s">
        <v>133</v>
      </c>
      <c r="J3054" s="139" t="s">
        <v>133</v>
      </c>
      <c r="K3054" s="136" t="s">
        <v>133</v>
      </c>
      <c r="L3054" s="153"/>
      <c r="M3054" s="136" t="str">
        <f t="shared" si="1"/>
        <v/>
      </c>
      <c r="O3054" s="141" t="s">
        <v>133</v>
      </c>
      <c r="P3054" s="136" t="str">
        <f>IFERROR(__xludf.DUMMYFUNCTION("""COMPUTED_VALUE"""),"")</f>
        <v/>
      </c>
      <c r="Q3054" s="136" t="str">
        <f>IFERROR(__xludf.DUMMYFUNCTION("""COMPUTED_VALUE"""),"")</f>
        <v/>
      </c>
      <c r="R3054" s="106" t="str">
        <f>IFERROR(__xludf.DUMMYFUNCTION("""COMPUTED_VALUE"""),"")</f>
        <v/>
      </c>
      <c r="S3054" s="106" t="str">
        <f>IFERROR(__xludf.DUMMYFUNCTION("""COMPUTED_VALUE"""),"")</f>
        <v/>
      </c>
      <c r="T3054" s="139" t="str">
        <f>IFERROR(__xludf.DUMMYFUNCTION("""COMPUTED_VALUE"""),"")</f>
        <v/>
      </c>
      <c r="U3054" s="139" t="str">
        <f>IFERROR(__xludf.DUMMYFUNCTION("""COMPUTED_VALUE"""),"")</f>
        <v/>
      </c>
      <c r="V3054" s="136" t="str">
        <f>IFERROR(__xludf.DUMMYFUNCTION("""COMPUTED_VALUE"""),"")</f>
        <v/>
      </c>
      <c r="W3054" s="106" t="str">
        <f>IFERROR(__xludf.DUMMYFUNCTION("""COMPUTED_VALUE"""),"")</f>
        <v/>
      </c>
      <c r="X3054" s="143" t="str">
        <f t="shared" si="2"/>
        <v/>
      </c>
      <c r="Y3054" s="139" t="str">
        <f>IFERROR(__xludf.DUMMYFUNCTION("""COMPUTED_VALUE"""),"")</f>
        <v/>
      </c>
      <c r="Z3054" s="141" t="str">
        <f>IFERROR(__xludf.DUMMYFUNCTION("""COMPUTED_VALUE"""),"")</f>
        <v/>
      </c>
    </row>
    <row r="3055">
      <c r="D3055" s="136" t="str">
        <f t="shared" si="3"/>
        <v/>
      </c>
      <c r="E3055" s="152"/>
      <c r="F3055" s="106" t="s">
        <v>133</v>
      </c>
      <c r="G3055" s="152"/>
      <c r="H3055" s="106" t="s">
        <v>133</v>
      </c>
      <c r="J3055" s="139" t="s">
        <v>133</v>
      </c>
      <c r="K3055" s="136" t="s">
        <v>133</v>
      </c>
      <c r="L3055" s="153"/>
      <c r="M3055" s="136" t="str">
        <f t="shared" si="1"/>
        <v/>
      </c>
      <c r="O3055" s="141" t="s">
        <v>133</v>
      </c>
      <c r="P3055" s="136" t="str">
        <f>IFERROR(__xludf.DUMMYFUNCTION("""COMPUTED_VALUE"""),"")</f>
        <v/>
      </c>
      <c r="Q3055" s="136" t="str">
        <f>IFERROR(__xludf.DUMMYFUNCTION("""COMPUTED_VALUE"""),"")</f>
        <v/>
      </c>
      <c r="R3055" s="106" t="str">
        <f>IFERROR(__xludf.DUMMYFUNCTION("""COMPUTED_VALUE"""),"")</f>
        <v/>
      </c>
      <c r="S3055" s="106" t="str">
        <f>IFERROR(__xludf.DUMMYFUNCTION("""COMPUTED_VALUE"""),"")</f>
        <v/>
      </c>
      <c r="T3055" s="139" t="str">
        <f>IFERROR(__xludf.DUMMYFUNCTION("""COMPUTED_VALUE"""),"")</f>
        <v/>
      </c>
      <c r="U3055" s="139" t="str">
        <f>IFERROR(__xludf.DUMMYFUNCTION("""COMPUTED_VALUE"""),"")</f>
        <v/>
      </c>
      <c r="V3055" s="136" t="str">
        <f>IFERROR(__xludf.DUMMYFUNCTION("""COMPUTED_VALUE"""),"")</f>
        <v/>
      </c>
      <c r="W3055" s="106" t="str">
        <f>IFERROR(__xludf.DUMMYFUNCTION("""COMPUTED_VALUE"""),"")</f>
        <v/>
      </c>
      <c r="X3055" s="143" t="str">
        <f t="shared" si="2"/>
        <v/>
      </c>
      <c r="Y3055" s="139" t="str">
        <f>IFERROR(__xludf.DUMMYFUNCTION("""COMPUTED_VALUE"""),"")</f>
        <v/>
      </c>
      <c r="Z3055" s="141" t="str">
        <f>IFERROR(__xludf.DUMMYFUNCTION("""COMPUTED_VALUE"""),"")</f>
        <v/>
      </c>
    </row>
    <row r="3056">
      <c r="D3056" s="136" t="str">
        <f t="shared" si="3"/>
        <v/>
      </c>
      <c r="E3056" s="152"/>
      <c r="F3056" s="106" t="s">
        <v>133</v>
      </c>
      <c r="G3056" s="152"/>
      <c r="H3056" s="106" t="s">
        <v>133</v>
      </c>
      <c r="J3056" s="139" t="s">
        <v>133</v>
      </c>
      <c r="K3056" s="136" t="s">
        <v>133</v>
      </c>
      <c r="L3056" s="153"/>
      <c r="M3056" s="136" t="str">
        <f t="shared" si="1"/>
        <v/>
      </c>
      <c r="O3056" s="141" t="s">
        <v>133</v>
      </c>
      <c r="P3056" s="136" t="str">
        <f>IFERROR(__xludf.DUMMYFUNCTION("""COMPUTED_VALUE"""),"")</f>
        <v/>
      </c>
      <c r="Q3056" s="136" t="str">
        <f>IFERROR(__xludf.DUMMYFUNCTION("""COMPUTED_VALUE"""),"")</f>
        <v/>
      </c>
      <c r="R3056" s="106" t="str">
        <f>IFERROR(__xludf.DUMMYFUNCTION("""COMPUTED_VALUE"""),"")</f>
        <v/>
      </c>
      <c r="S3056" s="106" t="str">
        <f>IFERROR(__xludf.DUMMYFUNCTION("""COMPUTED_VALUE"""),"")</f>
        <v/>
      </c>
      <c r="T3056" s="139" t="str">
        <f>IFERROR(__xludf.DUMMYFUNCTION("""COMPUTED_VALUE"""),"")</f>
        <v/>
      </c>
      <c r="U3056" s="139" t="str">
        <f>IFERROR(__xludf.DUMMYFUNCTION("""COMPUTED_VALUE"""),"")</f>
        <v/>
      </c>
      <c r="V3056" s="136" t="str">
        <f>IFERROR(__xludf.DUMMYFUNCTION("""COMPUTED_VALUE"""),"")</f>
        <v/>
      </c>
      <c r="W3056" s="106" t="str">
        <f>IFERROR(__xludf.DUMMYFUNCTION("""COMPUTED_VALUE"""),"")</f>
        <v/>
      </c>
      <c r="X3056" s="143" t="str">
        <f t="shared" si="2"/>
        <v/>
      </c>
      <c r="Y3056" s="139" t="str">
        <f>IFERROR(__xludf.DUMMYFUNCTION("""COMPUTED_VALUE"""),"")</f>
        <v/>
      </c>
      <c r="Z3056" s="141" t="str">
        <f>IFERROR(__xludf.DUMMYFUNCTION("""COMPUTED_VALUE"""),"")</f>
        <v/>
      </c>
    </row>
    <row r="3057">
      <c r="D3057" s="136" t="str">
        <f t="shared" si="3"/>
        <v/>
      </c>
      <c r="E3057" s="152"/>
      <c r="F3057" s="106" t="s">
        <v>133</v>
      </c>
      <c r="G3057" s="152"/>
      <c r="H3057" s="106" t="s">
        <v>133</v>
      </c>
      <c r="J3057" s="139" t="s">
        <v>133</v>
      </c>
      <c r="K3057" s="136" t="s">
        <v>133</v>
      </c>
      <c r="L3057" s="153"/>
      <c r="M3057" s="136" t="str">
        <f t="shared" si="1"/>
        <v/>
      </c>
      <c r="O3057" s="141" t="s">
        <v>133</v>
      </c>
      <c r="P3057" s="136" t="str">
        <f>IFERROR(__xludf.DUMMYFUNCTION("""COMPUTED_VALUE"""),"")</f>
        <v/>
      </c>
      <c r="Q3057" s="136" t="str">
        <f>IFERROR(__xludf.DUMMYFUNCTION("""COMPUTED_VALUE"""),"")</f>
        <v/>
      </c>
      <c r="R3057" s="106" t="str">
        <f>IFERROR(__xludf.DUMMYFUNCTION("""COMPUTED_VALUE"""),"")</f>
        <v/>
      </c>
      <c r="S3057" s="106" t="str">
        <f>IFERROR(__xludf.DUMMYFUNCTION("""COMPUTED_VALUE"""),"")</f>
        <v/>
      </c>
      <c r="T3057" s="139" t="str">
        <f>IFERROR(__xludf.DUMMYFUNCTION("""COMPUTED_VALUE"""),"")</f>
        <v/>
      </c>
      <c r="U3057" s="139" t="str">
        <f>IFERROR(__xludf.DUMMYFUNCTION("""COMPUTED_VALUE"""),"")</f>
        <v/>
      </c>
      <c r="V3057" s="136" t="str">
        <f>IFERROR(__xludf.DUMMYFUNCTION("""COMPUTED_VALUE"""),"")</f>
        <v/>
      </c>
      <c r="W3057" s="106" t="str">
        <f>IFERROR(__xludf.DUMMYFUNCTION("""COMPUTED_VALUE"""),"")</f>
        <v/>
      </c>
      <c r="X3057" s="143" t="str">
        <f t="shared" si="2"/>
        <v/>
      </c>
      <c r="Y3057" s="139" t="str">
        <f>IFERROR(__xludf.DUMMYFUNCTION("""COMPUTED_VALUE"""),"")</f>
        <v/>
      </c>
      <c r="Z3057" s="141" t="str">
        <f>IFERROR(__xludf.DUMMYFUNCTION("""COMPUTED_VALUE"""),"")</f>
        <v/>
      </c>
    </row>
    <row r="3058">
      <c r="D3058" s="136" t="str">
        <f t="shared" si="3"/>
        <v/>
      </c>
      <c r="E3058" s="152"/>
      <c r="F3058" s="106" t="s">
        <v>133</v>
      </c>
      <c r="G3058" s="152"/>
      <c r="H3058" s="106" t="s">
        <v>133</v>
      </c>
      <c r="J3058" s="139" t="s">
        <v>133</v>
      </c>
      <c r="K3058" s="136" t="s">
        <v>133</v>
      </c>
      <c r="L3058" s="153"/>
      <c r="M3058" s="136" t="str">
        <f t="shared" si="1"/>
        <v/>
      </c>
      <c r="O3058" s="141" t="s">
        <v>133</v>
      </c>
      <c r="P3058" s="136" t="str">
        <f>IFERROR(__xludf.DUMMYFUNCTION("""COMPUTED_VALUE"""),"")</f>
        <v/>
      </c>
      <c r="Q3058" s="136" t="str">
        <f>IFERROR(__xludf.DUMMYFUNCTION("""COMPUTED_VALUE"""),"")</f>
        <v/>
      </c>
      <c r="R3058" s="106" t="str">
        <f>IFERROR(__xludf.DUMMYFUNCTION("""COMPUTED_VALUE"""),"")</f>
        <v/>
      </c>
      <c r="S3058" s="106" t="str">
        <f>IFERROR(__xludf.DUMMYFUNCTION("""COMPUTED_VALUE"""),"")</f>
        <v/>
      </c>
      <c r="T3058" s="139" t="str">
        <f>IFERROR(__xludf.DUMMYFUNCTION("""COMPUTED_VALUE"""),"")</f>
        <v/>
      </c>
      <c r="U3058" s="139" t="str">
        <f>IFERROR(__xludf.DUMMYFUNCTION("""COMPUTED_VALUE"""),"")</f>
        <v/>
      </c>
      <c r="V3058" s="136" t="str">
        <f>IFERROR(__xludf.DUMMYFUNCTION("""COMPUTED_VALUE"""),"")</f>
        <v/>
      </c>
      <c r="W3058" s="106" t="str">
        <f>IFERROR(__xludf.DUMMYFUNCTION("""COMPUTED_VALUE"""),"")</f>
        <v/>
      </c>
      <c r="X3058" s="143" t="str">
        <f t="shared" si="2"/>
        <v/>
      </c>
      <c r="Y3058" s="139" t="str">
        <f>IFERROR(__xludf.DUMMYFUNCTION("""COMPUTED_VALUE"""),"")</f>
        <v/>
      </c>
      <c r="Z3058" s="141" t="str">
        <f>IFERROR(__xludf.DUMMYFUNCTION("""COMPUTED_VALUE"""),"")</f>
        <v/>
      </c>
    </row>
    <row r="3059">
      <c r="D3059" s="136" t="str">
        <f t="shared" si="3"/>
        <v/>
      </c>
      <c r="E3059" s="152"/>
      <c r="F3059" s="106" t="s">
        <v>133</v>
      </c>
      <c r="G3059" s="152"/>
      <c r="H3059" s="106" t="s">
        <v>133</v>
      </c>
      <c r="J3059" s="139" t="s">
        <v>133</v>
      </c>
      <c r="K3059" s="136" t="s">
        <v>133</v>
      </c>
      <c r="L3059" s="153"/>
      <c r="M3059" s="136" t="str">
        <f t="shared" si="1"/>
        <v/>
      </c>
      <c r="O3059" s="141" t="s">
        <v>133</v>
      </c>
      <c r="P3059" s="136" t="str">
        <f>IFERROR(__xludf.DUMMYFUNCTION("""COMPUTED_VALUE"""),"")</f>
        <v/>
      </c>
      <c r="Q3059" s="136" t="str">
        <f>IFERROR(__xludf.DUMMYFUNCTION("""COMPUTED_VALUE"""),"")</f>
        <v/>
      </c>
      <c r="R3059" s="106" t="str">
        <f>IFERROR(__xludf.DUMMYFUNCTION("""COMPUTED_VALUE"""),"")</f>
        <v/>
      </c>
      <c r="S3059" s="106" t="str">
        <f>IFERROR(__xludf.DUMMYFUNCTION("""COMPUTED_VALUE"""),"")</f>
        <v/>
      </c>
      <c r="T3059" s="139" t="str">
        <f>IFERROR(__xludf.DUMMYFUNCTION("""COMPUTED_VALUE"""),"")</f>
        <v/>
      </c>
      <c r="U3059" s="139" t="str">
        <f>IFERROR(__xludf.DUMMYFUNCTION("""COMPUTED_VALUE"""),"")</f>
        <v/>
      </c>
      <c r="V3059" s="136" t="str">
        <f>IFERROR(__xludf.DUMMYFUNCTION("""COMPUTED_VALUE"""),"")</f>
        <v/>
      </c>
      <c r="W3059" s="106" t="str">
        <f>IFERROR(__xludf.DUMMYFUNCTION("""COMPUTED_VALUE"""),"")</f>
        <v/>
      </c>
      <c r="X3059" s="143" t="str">
        <f t="shared" si="2"/>
        <v/>
      </c>
      <c r="Y3059" s="139" t="str">
        <f>IFERROR(__xludf.DUMMYFUNCTION("""COMPUTED_VALUE"""),"")</f>
        <v/>
      </c>
      <c r="Z3059" s="141" t="str">
        <f>IFERROR(__xludf.DUMMYFUNCTION("""COMPUTED_VALUE"""),"")</f>
        <v/>
      </c>
    </row>
    <row r="3060">
      <c r="D3060" s="136" t="str">
        <f t="shared" si="3"/>
        <v/>
      </c>
      <c r="E3060" s="152"/>
      <c r="F3060" s="106" t="s">
        <v>133</v>
      </c>
      <c r="G3060" s="152"/>
      <c r="H3060" s="106" t="s">
        <v>133</v>
      </c>
      <c r="J3060" s="139" t="s">
        <v>133</v>
      </c>
      <c r="K3060" s="136" t="s">
        <v>133</v>
      </c>
      <c r="L3060" s="153"/>
      <c r="M3060" s="136" t="str">
        <f t="shared" si="1"/>
        <v/>
      </c>
      <c r="O3060" s="141" t="s">
        <v>133</v>
      </c>
      <c r="P3060" s="136" t="str">
        <f>IFERROR(__xludf.DUMMYFUNCTION("""COMPUTED_VALUE"""),"")</f>
        <v/>
      </c>
      <c r="Q3060" s="136" t="str">
        <f>IFERROR(__xludf.DUMMYFUNCTION("""COMPUTED_VALUE"""),"")</f>
        <v/>
      </c>
      <c r="R3060" s="106" t="str">
        <f>IFERROR(__xludf.DUMMYFUNCTION("""COMPUTED_VALUE"""),"")</f>
        <v/>
      </c>
      <c r="S3060" s="106" t="str">
        <f>IFERROR(__xludf.DUMMYFUNCTION("""COMPUTED_VALUE"""),"")</f>
        <v/>
      </c>
      <c r="T3060" s="139" t="str">
        <f>IFERROR(__xludf.DUMMYFUNCTION("""COMPUTED_VALUE"""),"")</f>
        <v/>
      </c>
      <c r="U3060" s="139" t="str">
        <f>IFERROR(__xludf.DUMMYFUNCTION("""COMPUTED_VALUE"""),"")</f>
        <v/>
      </c>
      <c r="V3060" s="136" t="str">
        <f>IFERROR(__xludf.DUMMYFUNCTION("""COMPUTED_VALUE"""),"")</f>
        <v/>
      </c>
      <c r="W3060" s="106" t="str">
        <f>IFERROR(__xludf.DUMMYFUNCTION("""COMPUTED_VALUE"""),"")</f>
        <v/>
      </c>
      <c r="X3060" s="143" t="str">
        <f t="shared" si="2"/>
        <v/>
      </c>
      <c r="Y3060" s="139" t="str">
        <f>IFERROR(__xludf.DUMMYFUNCTION("""COMPUTED_VALUE"""),"")</f>
        <v/>
      </c>
      <c r="Z3060" s="141" t="str">
        <f>IFERROR(__xludf.DUMMYFUNCTION("""COMPUTED_VALUE"""),"")</f>
        <v/>
      </c>
    </row>
    <row r="3061">
      <c r="D3061" s="136" t="str">
        <f t="shared" si="3"/>
        <v/>
      </c>
      <c r="E3061" s="152"/>
      <c r="F3061" s="106" t="s">
        <v>133</v>
      </c>
      <c r="G3061" s="152"/>
      <c r="H3061" s="106" t="s">
        <v>133</v>
      </c>
      <c r="J3061" s="139" t="s">
        <v>133</v>
      </c>
      <c r="K3061" s="136" t="s">
        <v>133</v>
      </c>
      <c r="L3061" s="153"/>
      <c r="M3061" s="136" t="str">
        <f t="shared" si="1"/>
        <v/>
      </c>
      <c r="O3061" s="141" t="s">
        <v>133</v>
      </c>
      <c r="P3061" s="136" t="str">
        <f>IFERROR(__xludf.DUMMYFUNCTION("""COMPUTED_VALUE"""),"")</f>
        <v/>
      </c>
      <c r="Q3061" s="136" t="str">
        <f>IFERROR(__xludf.DUMMYFUNCTION("""COMPUTED_VALUE"""),"")</f>
        <v/>
      </c>
      <c r="R3061" s="106" t="str">
        <f>IFERROR(__xludf.DUMMYFUNCTION("""COMPUTED_VALUE"""),"")</f>
        <v/>
      </c>
      <c r="S3061" s="106" t="str">
        <f>IFERROR(__xludf.DUMMYFUNCTION("""COMPUTED_VALUE"""),"")</f>
        <v/>
      </c>
      <c r="T3061" s="139" t="str">
        <f>IFERROR(__xludf.DUMMYFUNCTION("""COMPUTED_VALUE"""),"")</f>
        <v/>
      </c>
      <c r="U3061" s="139" t="str">
        <f>IFERROR(__xludf.DUMMYFUNCTION("""COMPUTED_VALUE"""),"")</f>
        <v/>
      </c>
      <c r="V3061" s="136" t="str">
        <f>IFERROR(__xludf.DUMMYFUNCTION("""COMPUTED_VALUE"""),"")</f>
        <v/>
      </c>
      <c r="W3061" s="106" t="str">
        <f>IFERROR(__xludf.DUMMYFUNCTION("""COMPUTED_VALUE"""),"")</f>
        <v/>
      </c>
      <c r="X3061" s="143" t="str">
        <f t="shared" si="2"/>
        <v/>
      </c>
      <c r="Y3061" s="139" t="str">
        <f>IFERROR(__xludf.DUMMYFUNCTION("""COMPUTED_VALUE"""),"")</f>
        <v/>
      </c>
      <c r="Z3061" s="141" t="str">
        <f>IFERROR(__xludf.DUMMYFUNCTION("""COMPUTED_VALUE"""),"")</f>
        <v/>
      </c>
    </row>
    <row r="3062">
      <c r="D3062" s="136" t="str">
        <f t="shared" si="3"/>
        <v/>
      </c>
      <c r="E3062" s="152"/>
      <c r="F3062" s="106" t="s">
        <v>133</v>
      </c>
      <c r="G3062" s="152"/>
      <c r="H3062" s="106" t="s">
        <v>133</v>
      </c>
      <c r="J3062" s="139" t="s">
        <v>133</v>
      </c>
      <c r="K3062" s="136" t="s">
        <v>133</v>
      </c>
      <c r="L3062" s="153"/>
      <c r="M3062" s="136" t="str">
        <f t="shared" si="1"/>
        <v/>
      </c>
      <c r="O3062" s="141" t="s">
        <v>133</v>
      </c>
      <c r="P3062" s="136" t="str">
        <f>IFERROR(__xludf.DUMMYFUNCTION("""COMPUTED_VALUE"""),"")</f>
        <v/>
      </c>
      <c r="Q3062" s="136" t="str">
        <f>IFERROR(__xludf.DUMMYFUNCTION("""COMPUTED_VALUE"""),"")</f>
        <v/>
      </c>
      <c r="R3062" s="106" t="str">
        <f>IFERROR(__xludf.DUMMYFUNCTION("""COMPUTED_VALUE"""),"")</f>
        <v/>
      </c>
      <c r="S3062" s="106" t="str">
        <f>IFERROR(__xludf.DUMMYFUNCTION("""COMPUTED_VALUE"""),"")</f>
        <v/>
      </c>
      <c r="T3062" s="139" t="str">
        <f>IFERROR(__xludf.DUMMYFUNCTION("""COMPUTED_VALUE"""),"")</f>
        <v/>
      </c>
      <c r="U3062" s="139" t="str">
        <f>IFERROR(__xludf.DUMMYFUNCTION("""COMPUTED_VALUE"""),"")</f>
        <v/>
      </c>
      <c r="V3062" s="136" t="str">
        <f>IFERROR(__xludf.DUMMYFUNCTION("""COMPUTED_VALUE"""),"")</f>
        <v/>
      </c>
      <c r="W3062" s="106" t="str">
        <f>IFERROR(__xludf.DUMMYFUNCTION("""COMPUTED_VALUE"""),"")</f>
        <v/>
      </c>
      <c r="X3062" s="143" t="str">
        <f t="shared" si="2"/>
        <v/>
      </c>
      <c r="Y3062" s="139" t="str">
        <f>IFERROR(__xludf.DUMMYFUNCTION("""COMPUTED_VALUE"""),"")</f>
        <v/>
      </c>
      <c r="Z3062" s="141" t="str">
        <f>IFERROR(__xludf.DUMMYFUNCTION("""COMPUTED_VALUE"""),"")</f>
        <v/>
      </c>
    </row>
    <row r="3063">
      <c r="D3063" s="136" t="str">
        <f t="shared" si="3"/>
        <v/>
      </c>
      <c r="E3063" s="152"/>
      <c r="F3063" s="106" t="s">
        <v>133</v>
      </c>
      <c r="G3063" s="152"/>
      <c r="H3063" s="106" t="s">
        <v>133</v>
      </c>
      <c r="J3063" s="139" t="s">
        <v>133</v>
      </c>
      <c r="K3063" s="136" t="s">
        <v>133</v>
      </c>
      <c r="L3063" s="153"/>
      <c r="M3063" s="136" t="str">
        <f t="shared" si="1"/>
        <v/>
      </c>
      <c r="O3063" s="141" t="s">
        <v>133</v>
      </c>
      <c r="P3063" s="136" t="str">
        <f>IFERROR(__xludf.DUMMYFUNCTION("""COMPUTED_VALUE"""),"")</f>
        <v/>
      </c>
      <c r="Q3063" s="136" t="str">
        <f>IFERROR(__xludf.DUMMYFUNCTION("""COMPUTED_VALUE"""),"")</f>
        <v/>
      </c>
      <c r="R3063" s="106" t="str">
        <f>IFERROR(__xludf.DUMMYFUNCTION("""COMPUTED_VALUE"""),"")</f>
        <v/>
      </c>
      <c r="S3063" s="106" t="str">
        <f>IFERROR(__xludf.DUMMYFUNCTION("""COMPUTED_VALUE"""),"")</f>
        <v/>
      </c>
      <c r="T3063" s="139" t="str">
        <f>IFERROR(__xludf.DUMMYFUNCTION("""COMPUTED_VALUE"""),"")</f>
        <v/>
      </c>
      <c r="U3063" s="139" t="str">
        <f>IFERROR(__xludf.DUMMYFUNCTION("""COMPUTED_VALUE"""),"")</f>
        <v/>
      </c>
      <c r="V3063" s="136" t="str">
        <f>IFERROR(__xludf.DUMMYFUNCTION("""COMPUTED_VALUE"""),"")</f>
        <v/>
      </c>
      <c r="W3063" s="106" t="str">
        <f>IFERROR(__xludf.DUMMYFUNCTION("""COMPUTED_VALUE"""),"")</f>
        <v/>
      </c>
      <c r="X3063" s="143" t="str">
        <f t="shared" si="2"/>
        <v/>
      </c>
      <c r="Y3063" s="139" t="str">
        <f>IFERROR(__xludf.DUMMYFUNCTION("""COMPUTED_VALUE"""),"")</f>
        <v/>
      </c>
      <c r="Z3063" s="141" t="str">
        <f>IFERROR(__xludf.DUMMYFUNCTION("""COMPUTED_VALUE"""),"")</f>
        <v/>
      </c>
    </row>
    <row r="3064">
      <c r="D3064" s="136" t="str">
        <f t="shared" si="3"/>
        <v/>
      </c>
      <c r="E3064" s="152"/>
      <c r="F3064" s="106" t="s">
        <v>133</v>
      </c>
      <c r="G3064" s="152"/>
      <c r="H3064" s="106" t="s">
        <v>133</v>
      </c>
      <c r="J3064" s="139" t="s">
        <v>133</v>
      </c>
      <c r="K3064" s="136" t="s">
        <v>133</v>
      </c>
      <c r="L3064" s="153"/>
      <c r="M3064" s="136" t="str">
        <f t="shared" si="1"/>
        <v/>
      </c>
      <c r="O3064" s="141" t="s">
        <v>133</v>
      </c>
      <c r="P3064" s="136" t="str">
        <f>IFERROR(__xludf.DUMMYFUNCTION("""COMPUTED_VALUE"""),"")</f>
        <v/>
      </c>
      <c r="Q3064" s="136" t="str">
        <f>IFERROR(__xludf.DUMMYFUNCTION("""COMPUTED_VALUE"""),"")</f>
        <v/>
      </c>
      <c r="R3064" s="106" t="str">
        <f>IFERROR(__xludf.DUMMYFUNCTION("""COMPUTED_VALUE"""),"")</f>
        <v/>
      </c>
      <c r="S3064" s="106" t="str">
        <f>IFERROR(__xludf.DUMMYFUNCTION("""COMPUTED_VALUE"""),"")</f>
        <v/>
      </c>
      <c r="T3064" s="139" t="str">
        <f>IFERROR(__xludf.DUMMYFUNCTION("""COMPUTED_VALUE"""),"")</f>
        <v/>
      </c>
      <c r="U3064" s="139" t="str">
        <f>IFERROR(__xludf.DUMMYFUNCTION("""COMPUTED_VALUE"""),"")</f>
        <v/>
      </c>
      <c r="V3064" s="136" t="str">
        <f>IFERROR(__xludf.DUMMYFUNCTION("""COMPUTED_VALUE"""),"")</f>
        <v/>
      </c>
      <c r="W3064" s="106" t="str">
        <f>IFERROR(__xludf.DUMMYFUNCTION("""COMPUTED_VALUE"""),"")</f>
        <v/>
      </c>
      <c r="X3064" s="143" t="str">
        <f t="shared" si="2"/>
        <v/>
      </c>
      <c r="Y3064" s="139" t="str">
        <f>IFERROR(__xludf.DUMMYFUNCTION("""COMPUTED_VALUE"""),"")</f>
        <v/>
      </c>
      <c r="Z3064" s="141" t="str">
        <f>IFERROR(__xludf.DUMMYFUNCTION("""COMPUTED_VALUE"""),"")</f>
        <v/>
      </c>
    </row>
    <row r="3065">
      <c r="D3065" s="136" t="str">
        <f t="shared" si="3"/>
        <v/>
      </c>
      <c r="E3065" s="152"/>
      <c r="F3065" s="106" t="s">
        <v>133</v>
      </c>
      <c r="G3065" s="152"/>
      <c r="H3065" s="106" t="s">
        <v>133</v>
      </c>
      <c r="J3065" s="139" t="s">
        <v>133</v>
      </c>
      <c r="K3065" s="136" t="s">
        <v>133</v>
      </c>
      <c r="L3065" s="153"/>
      <c r="M3065" s="136" t="str">
        <f t="shared" si="1"/>
        <v/>
      </c>
      <c r="O3065" s="141" t="s">
        <v>133</v>
      </c>
      <c r="P3065" s="136" t="str">
        <f>IFERROR(__xludf.DUMMYFUNCTION("""COMPUTED_VALUE"""),"")</f>
        <v/>
      </c>
      <c r="Q3065" s="136" t="str">
        <f>IFERROR(__xludf.DUMMYFUNCTION("""COMPUTED_VALUE"""),"")</f>
        <v/>
      </c>
      <c r="R3065" s="106" t="str">
        <f>IFERROR(__xludf.DUMMYFUNCTION("""COMPUTED_VALUE"""),"")</f>
        <v/>
      </c>
      <c r="S3065" s="106" t="str">
        <f>IFERROR(__xludf.DUMMYFUNCTION("""COMPUTED_VALUE"""),"")</f>
        <v/>
      </c>
      <c r="T3065" s="139" t="str">
        <f>IFERROR(__xludf.DUMMYFUNCTION("""COMPUTED_VALUE"""),"")</f>
        <v/>
      </c>
      <c r="U3065" s="139" t="str">
        <f>IFERROR(__xludf.DUMMYFUNCTION("""COMPUTED_VALUE"""),"")</f>
        <v/>
      </c>
      <c r="V3065" s="136" t="str">
        <f>IFERROR(__xludf.DUMMYFUNCTION("""COMPUTED_VALUE"""),"")</f>
        <v/>
      </c>
      <c r="W3065" s="106" t="str">
        <f>IFERROR(__xludf.DUMMYFUNCTION("""COMPUTED_VALUE"""),"")</f>
        <v/>
      </c>
      <c r="X3065" s="143" t="str">
        <f t="shared" si="2"/>
        <v/>
      </c>
      <c r="Y3065" s="139" t="str">
        <f>IFERROR(__xludf.DUMMYFUNCTION("""COMPUTED_VALUE"""),"")</f>
        <v/>
      </c>
      <c r="Z3065" s="141" t="str">
        <f>IFERROR(__xludf.DUMMYFUNCTION("""COMPUTED_VALUE"""),"")</f>
        <v/>
      </c>
    </row>
    <row r="3066">
      <c r="D3066" s="136" t="str">
        <f t="shared" si="3"/>
        <v/>
      </c>
      <c r="E3066" s="152"/>
      <c r="F3066" s="106" t="s">
        <v>133</v>
      </c>
      <c r="G3066" s="152"/>
      <c r="H3066" s="106" t="s">
        <v>133</v>
      </c>
      <c r="J3066" s="139" t="s">
        <v>133</v>
      </c>
      <c r="K3066" s="136" t="s">
        <v>133</v>
      </c>
      <c r="L3066" s="153"/>
      <c r="M3066" s="136" t="str">
        <f t="shared" si="1"/>
        <v/>
      </c>
      <c r="O3066" s="141" t="s">
        <v>133</v>
      </c>
      <c r="P3066" s="136" t="str">
        <f>IFERROR(__xludf.DUMMYFUNCTION("""COMPUTED_VALUE"""),"")</f>
        <v/>
      </c>
      <c r="Q3066" s="136" t="str">
        <f>IFERROR(__xludf.DUMMYFUNCTION("""COMPUTED_VALUE"""),"")</f>
        <v/>
      </c>
      <c r="R3066" s="106" t="str">
        <f>IFERROR(__xludf.DUMMYFUNCTION("""COMPUTED_VALUE"""),"")</f>
        <v/>
      </c>
      <c r="S3066" s="106" t="str">
        <f>IFERROR(__xludf.DUMMYFUNCTION("""COMPUTED_VALUE"""),"")</f>
        <v/>
      </c>
      <c r="T3066" s="139" t="str">
        <f>IFERROR(__xludf.DUMMYFUNCTION("""COMPUTED_VALUE"""),"")</f>
        <v/>
      </c>
      <c r="U3066" s="139" t="str">
        <f>IFERROR(__xludf.DUMMYFUNCTION("""COMPUTED_VALUE"""),"")</f>
        <v/>
      </c>
      <c r="V3066" s="136" t="str">
        <f>IFERROR(__xludf.DUMMYFUNCTION("""COMPUTED_VALUE"""),"")</f>
        <v/>
      </c>
      <c r="W3066" s="106" t="str">
        <f>IFERROR(__xludf.DUMMYFUNCTION("""COMPUTED_VALUE"""),"")</f>
        <v/>
      </c>
      <c r="X3066" s="143" t="str">
        <f t="shared" si="2"/>
        <v/>
      </c>
      <c r="Y3066" s="139" t="str">
        <f>IFERROR(__xludf.DUMMYFUNCTION("""COMPUTED_VALUE"""),"")</f>
        <v/>
      </c>
      <c r="Z3066" s="141" t="str">
        <f>IFERROR(__xludf.DUMMYFUNCTION("""COMPUTED_VALUE"""),"")</f>
        <v/>
      </c>
    </row>
    <row r="3067">
      <c r="D3067" s="136" t="str">
        <f t="shared" si="3"/>
        <v/>
      </c>
      <c r="E3067" s="152"/>
      <c r="F3067" s="106" t="s">
        <v>133</v>
      </c>
      <c r="G3067" s="152"/>
      <c r="H3067" s="106" t="s">
        <v>133</v>
      </c>
      <c r="J3067" s="139" t="s">
        <v>133</v>
      </c>
      <c r="K3067" s="136" t="s">
        <v>133</v>
      </c>
      <c r="L3067" s="153"/>
      <c r="M3067" s="136" t="str">
        <f t="shared" si="1"/>
        <v/>
      </c>
      <c r="O3067" s="141" t="s">
        <v>133</v>
      </c>
      <c r="P3067" s="136" t="str">
        <f>IFERROR(__xludf.DUMMYFUNCTION("""COMPUTED_VALUE"""),"")</f>
        <v/>
      </c>
      <c r="Q3067" s="136" t="str">
        <f>IFERROR(__xludf.DUMMYFUNCTION("""COMPUTED_VALUE"""),"")</f>
        <v/>
      </c>
      <c r="R3067" s="106" t="str">
        <f>IFERROR(__xludf.DUMMYFUNCTION("""COMPUTED_VALUE"""),"")</f>
        <v/>
      </c>
      <c r="S3067" s="106" t="str">
        <f>IFERROR(__xludf.DUMMYFUNCTION("""COMPUTED_VALUE"""),"")</f>
        <v/>
      </c>
      <c r="T3067" s="139" t="str">
        <f>IFERROR(__xludf.DUMMYFUNCTION("""COMPUTED_VALUE"""),"")</f>
        <v/>
      </c>
      <c r="U3067" s="139" t="str">
        <f>IFERROR(__xludf.DUMMYFUNCTION("""COMPUTED_VALUE"""),"")</f>
        <v/>
      </c>
      <c r="V3067" s="136" t="str">
        <f>IFERROR(__xludf.DUMMYFUNCTION("""COMPUTED_VALUE"""),"")</f>
        <v/>
      </c>
      <c r="W3067" s="106" t="str">
        <f>IFERROR(__xludf.DUMMYFUNCTION("""COMPUTED_VALUE"""),"")</f>
        <v/>
      </c>
      <c r="X3067" s="143" t="str">
        <f t="shared" si="2"/>
        <v/>
      </c>
      <c r="Y3067" s="139" t="str">
        <f>IFERROR(__xludf.DUMMYFUNCTION("""COMPUTED_VALUE"""),"")</f>
        <v/>
      </c>
      <c r="Z3067" s="141" t="str">
        <f>IFERROR(__xludf.DUMMYFUNCTION("""COMPUTED_VALUE"""),"")</f>
        <v/>
      </c>
    </row>
    <row r="3068">
      <c r="D3068" s="136" t="str">
        <f t="shared" si="3"/>
        <v/>
      </c>
      <c r="E3068" s="152"/>
      <c r="F3068" s="106" t="s">
        <v>133</v>
      </c>
      <c r="G3068" s="152"/>
      <c r="H3068" s="106" t="s">
        <v>133</v>
      </c>
      <c r="J3068" s="139" t="s">
        <v>133</v>
      </c>
      <c r="K3068" s="136" t="s">
        <v>133</v>
      </c>
      <c r="L3068" s="153"/>
      <c r="M3068" s="136" t="str">
        <f t="shared" si="1"/>
        <v/>
      </c>
      <c r="O3068" s="141" t="s">
        <v>133</v>
      </c>
      <c r="P3068" s="136" t="str">
        <f>IFERROR(__xludf.DUMMYFUNCTION("""COMPUTED_VALUE"""),"")</f>
        <v/>
      </c>
      <c r="Q3068" s="136" t="str">
        <f>IFERROR(__xludf.DUMMYFUNCTION("""COMPUTED_VALUE"""),"")</f>
        <v/>
      </c>
      <c r="R3068" s="106" t="str">
        <f>IFERROR(__xludf.DUMMYFUNCTION("""COMPUTED_VALUE"""),"")</f>
        <v/>
      </c>
      <c r="S3068" s="106" t="str">
        <f>IFERROR(__xludf.DUMMYFUNCTION("""COMPUTED_VALUE"""),"")</f>
        <v/>
      </c>
      <c r="T3068" s="139" t="str">
        <f>IFERROR(__xludf.DUMMYFUNCTION("""COMPUTED_VALUE"""),"")</f>
        <v/>
      </c>
      <c r="U3068" s="139" t="str">
        <f>IFERROR(__xludf.DUMMYFUNCTION("""COMPUTED_VALUE"""),"")</f>
        <v/>
      </c>
      <c r="V3068" s="136" t="str">
        <f>IFERROR(__xludf.DUMMYFUNCTION("""COMPUTED_VALUE"""),"")</f>
        <v/>
      </c>
      <c r="W3068" s="106" t="str">
        <f>IFERROR(__xludf.DUMMYFUNCTION("""COMPUTED_VALUE"""),"")</f>
        <v/>
      </c>
      <c r="X3068" s="143" t="str">
        <f t="shared" si="2"/>
        <v/>
      </c>
      <c r="Y3068" s="139" t="str">
        <f>IFERROR(__xludf.DUMMYFUNCTION("""COMPUTED_VALUE"""),"")</f>
        <v/>
      </c>
      <c r="Z3068" s="141" t="str">
        <f>IFERROR(__xludf.DUMMYFUNCTION("""COMPUTED_VALUE"""),"")</f>
        <v/>
      </c>
    </row>
    <row r="3069">
      <c r="D3069" s="136" t="str">
        <f t="shared" si="3"/>
        <v/>
      </c>
      <c r="E3069" s="152"/>
      <c r="F3069" s="106" t="s">
        <v>133</v>
      </c>
      <c r="G3069" s="152"/>
      <c r="H3069" s="106" t="s">
        <v>133</v>
      </c>
      <c r="J3069" s="139" t="s">
        <v>133</v>
      </c>
      <c r="K3069" s="136" t="s">
        <v>133</v>
      </c>
      <c r="L3069" s="153"/>
      <c r="M3069" s="136" t="str">
        <f t="shared" si="1"/>
        <v/>
      </c>
      <c r="O3069" s="141" t="s">
        <v>133</v>
      </c>
      <c r="P3069" s="136" t="str">
        <f>IFERROR(__xludf.DUMMYFUNCTION("""COMPUTED_VALUE"""),"")</f>
        <v/>
      </c>
      <c r="Q3069" s="136" t="str">
        <f>IFERROR(__xludf.DUMMYFUNCTION("""COMPUTED_VALUE"""),"")</f>
        <v/>
      </c>
      <c r="R3069" s="106" t="str">
        <f>IFERROR(__xludf.DUMMYFUNCTION("""COMPUTED_VALUE"""),"")</f>
        <v/>
      </c>
      <c r="S3069" s="106" t="str">
        <f>IFERROR(__xludf.DUMMYFUNCTION("""COMPUTED_VALUE"""),"")</f>
        <v/>
      </c>
      <c r="T3069" s="139" t="str">
        <f>IFERROR(__xludf.DUMMYFUNCTION("""COMPUTED_VALUE"""),"")</f>
        <v/>
      </c>
      <c r="U3069" s="139" t="str">
        <f>IFERROR(__xludf.DUMMYFUNCTION("""COMPUTED_VALUE"""),"")</f>
        <v/>
      </c>
      <c r="V3069" s="136" t="str">
        <f>IFERROR(__xludf.DUMMYFUNCTION("""COMPUTED_VALUE"""),"")</f>
        <v/>
      </c>
      <c r="W3069" s="106" t="str">
        <f>IFERROR(__xludf.DUMMYFUNCTION("""COMPUTED_VALUE"""),"")</f>
        <v/>
      </c>
      <c r="X3069" s="143" t="str">
        <f t="shared" si="2"/>
        <v/>
      </c>
      <c r="Y3069" s="139" t="str">
        <f>IFERROR(__xludf.DUMMYFUNCTION("""COMPUTED_VALUE"""),"")</f>
        <v/>
      </c>
      <c r="Z3069" s="141" t="str">
        <f>IFERROR(__xludf.DUMMYFUNCTION("""COMPUTED_VALUE"""),"")</f>
        <v/>
      </c>
    </row>
    <row r="3070">
      <c r="D3070" s="136" t="str">
        <f t="shared" si="3"/>
        <v/>
      </c>
      <c r="E3070" s="152"/>
      <c r="F3070" s="106" t="s">
        <v>133</v>
      </c>
      <c r="G3070" s="152"/>
      <c r="H3070" s="106" t="s">
        <v>133</v>
      </c>
      <c r="J3070" s="139" t="s">
        <v>133</v>
      </c>
      <c r="K3070" s="136" t="s">
        <v>133</v>
      </c>
      <c r="L3070" s="153"/>
      <c r="M3070" s="136" t="str">
        <f t="shared" si="1"/>
        <v/>
      </c>
      <c r="O3070" s="141" t="s">
        <v>133</v>
      </c>
      <c r="P3070" s="136" t="str">
        <f>IFERROR(__xludf.DUMMYFUNCTION("""COMPUTED_VALUE"""),"")</f>
        <v/>
      </c>
      <c r="Q3070" s="136" t="str">
        <f>IFERROR(__xludf.DUMMYFUNCTION("""COMPUTED_VALUE"""),"")</f>
        <v/>
      </c>
      <c r="R3070" s="106" t="str">
        <f>IFERROR(__xludf.DUMMYFUNCTION("""COMPUTED_VALUE"""),"")</f>
        <v/>
      </c>
      <c r="S3070" s="106" t="str">
        <f>IFERROR(__xludf.DUMMYFUNCTION("""COMPUTED_VALUE"""),"")</f>
        <v/>
      </c>
      <c r="T3070" s="139" t="str">
        <f>IFERROR(__xludf.DUMMYFUNCTION("""COMPUTED_VALUE"""),"")</f>
        <v/>
      </c>
      <c r="U3070" s="139" t="str">
        <f>IFERROR(__xludf.DUMMYFUNCTION("""COMPUTED_VALUE"""),"")</f>
        <v/>
      </c>
      <c r="V3070" s="136" t="str">
        <f>IFERROR(__xludf.DUMMYFUNCTION("""COMPUTED_VALUE"""),"")</f>
        <v/>
      </c>
      <c r="W3070" s="106" t="str">
        <f>IFERROR(__xludf.DUMMYFUNCTION("""COMPUTED_VALUE"""),"")</f>
        <v/>
      </c>
      <c r="X3070" s="143" t="str">
        <f t="shared" si="2"/>
        <v/>
      </c>
      <c r="Y3070" s="139" t="str">
        <f>IFERROR(__xludf.DUMMYFUNCTION("""COMPUTED_VALUE"""),"")</f>
        <v/>
      </c>
      <c r="Z3070" s="141" t="str">
        <f>IFERROR(__xludf.DUMMYFUNCTION("""COMPUTED_VALUE"""),"")</f>
        <v/>
      </c>
    </row>
    <row r="3071">
      <c r="D3071" s="136" t="str">
        <f t="shared" si="3"/>
        <v/>
      </c>
      <c r="E3071" s="152"/>
      <c r="F3071" s="106" t="s">
        <v>133</v>
      </c>
      <c r="G3071" s="152"/>
      <c r="H3071" s="106" t="s">
        <v>133</v>
      </c>
      <c r="J3071" s="139" t="s">
        <v>133</v>
      </c>
      <c r="K3071" s="136" t="s">
        <v>133</v>
      </c>
      <c r="L3071" s="153"/>
      <c r="M3071" s="136" t="str">
        <f t="shared" si="1"/>
        <v/>
      </c>
      <c r="O3071" s="141" t="s">
        <v>133</v>
      </c>
      <c r="P3071" s="136" t="str">
        <f>IFERROR(__xludf.DUMMYFUNCTION("""COMPUTED_VALUE"""),"")</f>
        <v/>
      </c>
      <c r="Q3071" s="136" t="str">
        <f>IFERROR(__xludf.DUMMYFUNCTION("""COMPUTED_VALUE"""),"")</f>
        <v/>
      </c>
      <c r="R3071" s="106" t="str">
        <f>IFERROR(__xludf.DUMMYFUNCTION("""COMPUTED_VALUE"""),"")</f>
        <v/>
      </c>
      <c r="S3071" s="106" t="str">
        <f>IFERROR(__xludf.DUMMYFUNCTION("""COMPUTED_VALUE"""),"")</f>
        <v/>
      </c>
      <c r="T3071" s="139" t="str">
        <f>IFERROR(__xludf.DUMMYFUNCTION("""COMPUTED_VALUE"""),"")</f>
        <v/>
      </c>
      <c r="U3071" s="139" t="str">
        <f>IFERROR(__xludf.DUMMYFUNCTION("""COMPUTED_VALUE"""),"")</f>
        <v/>
      </c>
      <c r="V3071" s="136" t="str">
        <f>IFERROR(__xludf.DUMMYFUNCTION("""COMPUTED_VALUE"""),"")</f>
        <v/>
      </c>
      <c r="W3071" s="106" t="str">
        <f>IFERROR(__xludf.DUMMYFUNCTION("""COMPUTED_VALUE"""),"")</f>
        <v/>
      </c>
      <c r="X3071" s="143" t="str">
        <f t="shared" si="2"/>
        <v/>
      </c>
      <c r="Y3071" s="139" t="str">
        <f>IFERROR(__xludf.DUMMYFUNCTION("""COMPUTED_VALUE"""),"")</f>
        <v/>
      </c>
      <c r="Z3071" s="141" t="str">
        <f>IFERROR(__xludf.DUMMYFUNCTION("""COMPUTED_VALUE"""),"")</f>
        <v/>
      </c>
    </row>
    <row r="3072">
      <c r="D3072" s="136" t="str">
        <f t="shared" si="3"/>
        <v/>
      </c>
      <c r="E3072" s="152"/>
      <c r="F3072" s="106" t="s">
        <v>133</v>
      </c>
      <c r="G3072" s="152"/>
      <c r="H3072" s="106" t="s">
        <v>133</v>
      </c>
      <c r="J3072" s="139" t="s">
        <v>133</v>
      </c>
      <c r="K3072" s="136" t="s">
        <v>133</v>
      </c>
      <c r="L3072" s="153"/>
      <c r="M3072" s="136" t="str">
        <f t="shared" si="1"/>
        <v/>
      </c>
      <c r="O3072" s="141" t="s">
        <v>133</v>
      </c>
      <c r="P3072" s="136" t="str">
        <f>IFERROR(__xludf.DUMMYFUNCTION("""COMPUTED_VALUE"""),"")</f>
        <v/>
      </c>
      <c r="Q3072" s="136" t="str">
        <f>IFERROR(__xludf.DUMMYFUNCTION("""COMPUTED_VALUE"""),"")</f>
        <v/>
      </c>
      <c r="R3072" s="106" t="str">
        <f>IFERROR(__xludf.DUMMYFUNCTION("""COMPUTED_VALUE"""),"")</f>
        <v/>
      </c>
      <c r="S3072" s="106" t="str">
        <f>IFERROR(__xludf.DUMMYFUNCTION("""COMPUTED_VALUE"""),"")</f>
        <v/>
      </c>
      <c r="T3072" s="139" t="str">
        <f>IFERROR(__xludf.DUMMYFUNCTION("""COMPUTED_VALUE"""),"")</f>
        <v/>
      </c>
      <c r="U3072" s="139" t="str">
        <f>IFERROR(__xludf.DUMMYFUNCTION("""COMPUTED_VALUE"""),"")</f>
        <v/>
      </c>
      <c r="V3072" s="136" t="str">
        <f>IFERROR(__xludf.DUMMYFUNCTION("""COMPUTED_VALUE"""),"")</f>
        <v/>
      </c>
      <c r="W3072" s="106" t="str">
        <f>IFERROR(__xludf.DUMMYFUNCTION("""COMPUTED_VALUE"""),"")</f>
        <v/>
      </c>
      <c r="X3072" s="143" t="str">
        <f t="shared" si="2"/>
        <v/>
      </c>
      <c r="Y3072" s="139" t="str">
        <f>IFERROR(__xludf.DUMMYFUNCTION("""COMPUTED_VALUE"""),"")</f>
        <v/>
      </c>
      <c r="Z3072" s="141" t="str">
        <f>IFERROR(__xludf.DUMMYFUNCTION("""COMPUTED_VALUE"""),"")</f>
        <v/>
      </c>
    </row>
    <row r="3073">
      <c r="D3073" s="136" t="str">
        <f t="shared" si="3"/>
        <v/>
      </c>
      <c r="E3073" s="152"/>
      <c r="F3073" s="106" t="s">
        <v>133</v>
      </c>
      <c r="G3073" s="152"/>
      <c r="H3073" s="106" t="s">
        <v>133</v>
      </c>
      <c r="J3073" s="139" t="s">
        <v>133</v>
      </c>
      <c r="K3073" s="136" t="s">
        <v>133</v>
      </c>
      <c r="L3073" s="153"/>
      <c r="M3073" s="136" t="str">
        <f t="shared" si="1"/>
        <v/>
      </c>
      <c r="O3073" s="141" t="s">
        <v>133</v>
      </c>
      <c r="P3073" s="136" t="str">
        <f>IFERROR(__xludf.DUMMYFUNCTION("""COMPUTED_VALUE"""),"")</f>
        <v/>
      </c>
      <c r="Q3073" s="136" t="str">
        <f>IFERROR(__xludf.DUMMYFUNCTION("""COMPUTED_VALUE"""),"")</f>
        <v/>
      </c>
      <c r="R3073" s="106" t="str">
        <f>IFERROR(__xludf.DUMMYFUNCTION("""COMPUTED_VALUE"""),"")</f>
        <v/>
      </c>
      <c r="S3073" s="106" t="str">
        <f>IFERROR(__xludf.DUMMYFUNCTION("""COMPUTED_VALUE"""),"")</f>
        <v/>
      </c>
      <c r="T3073" s="139" t="str">
        <f>IFERROR(__xludf.DUMMYFUNCTION("""COMPUTED_VALUE"""),"")</f>
        <v/>
      </c>
      <c r="U3073" s="139" t="str">
        <f>IFERROR(__xludf.DUMMYFUNCTION("""COMPUTED_VALUE"""),"")</f>
        <v/>
      </c>
      <c r="V3073" s="136" t="str">
        <f>IFERROR(__xludf.DUMMYFUNCTION("""COMPUTED_VALUE"""),"")</f>
        <v/>
      </c>
      <c r="W3073" s="106" t="str">
        <f>IFERROR(__xludf.DUMMYFUNCTION("""COMPUTED_VALUE"""),"")</f>
        <v/>
      </c>
      <c r="X3073" s="143" t="str">
        <f t="shared" si="2"/>
        <v/>
      </c>
      <c r="Y3073" s="139" t="str">
        <f>IFERROR(__xludf.DUMMYFUNCTION("""COMPUTED_VALUE"""),"")</f>
        <v/>
      </c>
      <c r="Z3073" s="141" t="str">
        <f>IFERROR(__xludf.DUMMYFUNCTION("""COMPUTED_VALUE"""),"")</f>
        <v/>
      </c>
    </row>
    <row r="3074">
      <c r="D3074" s="136" t="str">
        <f t="shared" si="3"/>
        <v/>
      </c>
      <c r="E3074" s="152"/>
      <c r="F3074" s="106" t="s">
        <v>133</v>
      </c>
      <c r="G3074" s="152"/>
      <c r="H3074" s="106" t="s">
        <v>133</v>
      </c>
      <c r="J3074" s="139" t="s">
        <v>133</v>
      </c>
      <c r="K3074" s="136" t="s">
        <v>133</v>
      </c>
      <c r="L3074" s="153"/>
      <c r="M3074" s="136" t="str">
        <f t="shared" si="1"/>
        <v/>
      </c>
      <c r="O3074" s="141" t="s">
        <v>133</v>
      </c>
      <c r="P3074" s="136" t="str">
        <f>IFERROR(__xludf.DUMMYFUNCTION("""COMPUTED_VALUE"""),"")</f>
        <v/>
      </c>
      <c r="Q3074" s="136" t="str">
        <f>IFERROR(__xludf.DUMMYFUNCTION("""COMPUTED_VALUE"""),"")</f>
        <v/>
      </c>
      <c r="R3074" s="106" t="str">
        <f>IFERROR(__xludf.DUMMYFUNCTION("""COMPUTED_VALUE"""),"")</f>
        <v/>
      </c>
      <c r="S3074" s="106" t="str">
        <f>IFERROR(__xludf.DUMMYFUNCTION("""COMPUTED_VALUE"""),"")</f>
        <v/>
      </c>
      <c r="T3074" s="139" t="str">
        <f>IFERROR(__xludf.DUMMYFUNCTION("""COMPUTED_VALUE"""),"")</f>
        <v/>
      </c>
      <c r="U3074" s="139" t="str">
        <f>IFERROR(__xludf.DUMMYFUNCTION("""COMPUTED_VALUE"""),"")</f>
        <v/>
      </c>
      <c r="V3074" s="136" t="str">
        <f>IFERROR(__xludf.DUMMYFUNCTION("""COMPUTED_VALUE"""),"")</f>
        <v/>
      </c>
      <c r="W3074" s="106" t="str">
        <f>IFERROR(__xludf.DUMMYFUNCTION("""COMPUTED_VALUE"""),"")</f>
        <v/>
      </c>
      <c r="X3074" s="143" t="str">
        <f t="shared" si="2"/>
        <v/>
      </c>
      <c r="Y3074" s="139" t="str">
        <f>IFERROR(__xludf.DUMMYFUNCTION("""COMPUTED_VALUE"""),"")</f>
        <v/>
      </c>
      <c r="Z3074" s="141" t="str">
        <f>IFERROR(__xludf.DUMMYFUNCTION("""COMPUTED_VALUE"""),"")</f>
        <v/>
      </c>
    </row>
    <row r="3075">
      <c r="D3075" s="136" t="str">
        <f t="shared" si="3"/>
        <v/>
      </c>
      <c r="E3075" s="152"/>
      <c r="F3075" s="106" t="s">
        <v>133</v>
      </c>
      <c r="G3075" s="152"/>
      <c r="H3075" s="106" t="s">
        <v>133</v>
      </c>
      <c r="J3075" s="139" t="s">
        <v>133</v>
      </c>
      <c r="K3075" s="136" t="s">
        <v>133</v>
      </c>
      <c r="L3075" s="153"/>
      <c r="M3075" s="136" t="str">
        <f t="shared" si="1"/>
        <v/>
      </c>
      <c r="O3075" s="141" t="s">
        <v>133</v>
      </c>
      <c r="P3075" s="136" t="str">
        <f>IFERROR(__xludf.DUMMYFUNCTION("""COMPUTED_VALUE"""),"")</f>
        <v/>
      </c>
      <c r="Q3075" s="136" t="str">
        <f>IFERROR(__xludf.DUMMYFUNCTION("""COMPUTED_VALUE"""),"")</f>
        <v/>
      </c>
      <c r="R3075" s="106" t="str">
        <f>IFERROR(__xludf.DUMMYFUNCTION("""COMPUTED_VALUE"""),"")</f>
        <v/>
      </c>
      <c r="S3075" s="106" t="str">
        <f>IFERROR(__xludf.DUMMYFUNCTION("""COMPUTED_VALUE"""),"")</f>
        <v/>
      </c>
      <c r="T3075" s="139" t="str">
        <f>IFERROR(__xludf.DUMMYFUNCTION("""COMPUTED_VALUE"""),"")</f>
        <v/>
      </c>
      <c r="U3075" s="139" t="str">
        <f>IFERROR(__xludf.DUMMYFUNCTION("""COMPUTED_VALUE"""),"")</f>
        <v/>
      </c>
      <c r="V3075" s="136" t="str">
        <f>IFERROR(__xludf.DUMMYFUNCTION("""COMPUTED_VALUE"""),"")</f>
        <v/>
      </c>
      <c r="W3075" s="106" t="str">
        <f>IFERROR(__xludf.DUMMYFUNCTION("""COMPUTED_VALUE"""),"")</f>
        <v/>
      </c>
      <c r="X3075" s="143" t="str">
        <f t="shared" si="2"/>
        <v/>
      </c>
      <c r="Y3075" s="139" t="str">
        <f>IFERROR(__xludf.DUMMYFUNCTION("""COMPUTED_VALUE"""),"")</f>
        <v/>
      </c>
      <c r="Z3075" s="141" t="str">
        <f>IFERROR(__xludf.DUMMYFUNCTION("""COMPUTED_VALUE"""),"")</f>
        <v/>
      </c>
    </row>
    <row r="3076">
      <c r="D3076" s="136" t="str">
        <f t="shared" si="3"/>
        <v/>
      </c>
      <c r="E3076" s="152"/>
      <c r="F3076" s="106" t="s">
        <v>133</v>
      </c>
      <c r="G3076" s="152"/>
      <c r="H3076" s="106" t="s">
        <v>133</v>
      </c>
      <c r="J3076" s="139" t="s">
        <v>133</v>
      </c>
      <c r="K3076" s="136" t="s">
        <v>133</v>
      </c>
      <c r="L3076" s="153"/>
      <c r="M3076" s="136" t="str">
        <f t="shared" si="1"/>
        <v/>
      </c>
      <c r="O3076" s="141" t="s">
        <v>133</v>
      </c>
      <c r="P3076" s="136" t="str">
        <f>IFERROR(__xludf.DUMMYFUNCTION("""COMPUTED_VALUE"""),"")</f>
        <v/>
      </c>
      <c r="Q3076" s="136" t="str">
        <f>IFERROR(__xludf.DUMMYFUNCTION("""COMPUTED_VALUE"""),"")</f>
        <v/>
      </c>
      <c r="R3076" s="106" t="str">
        <f>IFERROR(__xludf.DUMMYFUNCTION("""COMPUTED_VALUE"""),"")</f>
        <v/>
      </c>
      <c r="S3076" s="106" t="str">
        <f>IFERROR(__xludf.DUMMYFUNCTION("""COMPUTED_VALUE"""),"")</f>
        <v/>
      </c>
      <c r="T3076" s="139" t="str">
        <f>IFERROR(__xludf.DUMMYFUNCTION("""COMPUTED_VALUE"""),"")</f>
        <v/>
      </c>
      <c r="U3076" s="139" t="str">
        <f>IFERROR(__xludf.DUMMYFUNCTION("""COMPUTED_VALUE"""),"")</f>
        <v/>
      </c>
      <c r="V3076" s="136" t="str">
        <f>IFERROR(__xludf.DUMMYFUNCTION("""COMPUTED_VALUE"""),"")</f>
        <v/>
      </c>
      <c r="W3076" s="106" t="str">
        <f>IFERROR(__xludf.DUMMYFUNCTION("""COMPUTED_VALUE"""),"")</f>
        <v/>
      </c>
      <c r="X3076" s="143" t="str">
        <f t="shared" si="2"/>
        <v/>
      </c>
      <c r="Y3076" s="139" t="str">
        <f>IFERROR(__xludf.DUMMYFUNCTION("""COMPUTED_VALUE"""),"")</f>
        <v/>
      </c>
      <c r="Z3076" s="141" t="str">
        <f>IFERROR(__xludf.DUMMYFUNCTION("""COMPUTED_VALUE"""),"")</f>
        <v/>
      </c>
    </row>
    <row r="3077">
      <c r="D3077" s="136" t="str">
        <f t="shared" si="3"/>
        <v/>
      </c>
      <c r="E3077" s="152"/>
      <c r="F3077" s="106" t="s">
        <v>133</v>
      </c>
      <c r="G3077" s="152"/>
      <c r="H3077" s="106" t="s">
        <v>133</v>
      </c>
      <c r="J3077" s="139" t="s">
        <v>133</v>
      </c>
      <c r="K3077" s="136" t="s">
        <v>133</v>
      </c>
      <c r="L3077" s="153"/>
      <c r="M3077" s="136" t="str">
        <f t="shared" si="1"/>
        <v/>
      </c>
      <c r="O3077" s="141" t="s">
        <v>133</v>
      </c>
      <c r="P3077" s="136" t="str">
        <f>IFERROR(__xludf.DUMMYFUNCTION("""COMPUTED_VALUE"""),"")</f>
        <v/>
      </c>
      <c r="Q3077" s="136" t="str">
        <f>IFERROR(__xludf.DUMMYFUNCTION("""COMPUTED_VALUE"""),"")</f>
        <v/>
      </c>
      <c r="R3077" s="106" t="str">
        <f>IFERROR(__xludf.DUMMYFUNCTION("""COMPUTED_VALUE"""),"")</f>
        <v/>
      </c>
      <c r="S3077" s="106" t="str">
        <f>IFERROR(__xludf.DUMMYFUNCTION("""COMPUTED_VALUE"""),"")</f>
        <v/>
      </c>
      <c r="T3077" s="139" t="str">
        <f>IFERROR(__xludf.DUMMYFUNCTION("""COMPUTED_VALUE"""),"")</f>
        <v/>
      </c>
      <c r="U3077" s="139" t="str">
        <f>IFERROR(__xludf.DUMMYFUNCTION("""COMPUTED_VALUE"""),"")</f>
        <v/>
      </c>
      <c r="V3077" s="136" t="str">
        <f>IFERROR(__xludf.DUMMYFUNCTION("""COMPUTED_VALUE"""),"")</f>
        <v/>
      </c>
      <c r="W3077" s="106" t="str">
        <f>IFERROR(__xludf.DUMMYFUNCTION("""COMPUTED_VALUE"""),"")</f>
        <v/>
      </c>
      <c r="X3077" s="143" t="str">
        <f t="shared" si="2"/>
        <v/>
      </c>
      <c r="Y3077" s="139" t="str">
        <f>IFERROR(__xludf.DUMMYFUNCTION("""COMPUTED_VALUE"""),"")</f>
        <v/>
      </c>
      <c r="Z3077" s="141" t="str">
        <f>IFERROR(__xludf.DUMMYFUNCTION("""COMPUTED_VALUE"""),"")</f>
        <v/>
      </c>
    </row>
    <row r="3078">
      <c r="D3078" s="136" t="str">
        <f t="shared" si="3"/>
        <v/>
      </c>
      <c r="E3078" s="152"/>
      <c r="F3078" s="106" t="s">
        <v>133</v>
      </c>
      <c r="G3078" s="152"/>
      <c r="H3078" s="106" t="s">
        <v>133</v>
      </c>
      <c r="J3078" s="139" t="s">
        <v>133</v>
      </c>
      <c r="K3078" s="136" t="s">
        <v>133</v>
      </c>
      <c r="L3078" s="153"/>
      <c r="M3078" s="136" t="str">
        <f t="shared" si="1"/>
        <v/>
      </c>
      <c r="O3078" s="141" t="s">
        <v>133</v>
      </c>
      <c r="P3078" s="136" t="str">
        <f>IFERROR(__xludf.DUMMYFUNCTION("""COMPUTED_VALUE"""),"")</f>
        <v/>
      </c>
      <c r="Q3078" s="136" t="str">
        <f>IFERROR(__xludf.DUMMYFUNCTION("""COMPUTED_VALUE"""),"")</f>
        <v/>
      </c>
      <c r="R3078" s="106" t="str">
        <f>IFERROR(__xludf.DUMMYFUNCTION("""COMPUTED_VALUE"""),"")</f>
        <v/>
      </c>
      <c r="S3078" s="106" t="str">
        <f>IFERROR(__xludf.DUMMYFUNCTION("""COMPUTED_VALUE"""),"")</f>
        <v/>
      </c>
      <c r="T3078" s="139" t="str">
        <f>IFERROR(__xludf.DUMMYFUNCTION("""COMPUTED_VALUE"""),"")</f>
        <v/>
      </c>
      <c r="U3078" s="139" t="str">
        <f>IFERROR(__xludf.DUMMYFUNCTION("""COMPUTED_VALUE"""),"")</f>
        <v/>
      </c>
      <c r="V3078" s="136" t="str">
        <f>IFERROR(__xludf.DUMMYFUNCTION("""COMPUTED_VALUE"""),"")</f>
        <v/>
      </c>
      <c r="W3078" s="106" t="str">
        <f>IFERROR(__xludf.DUMMYFUNCTION("""COMPUTED_VALUE"""),"")</f>
        <v/>
      </c>
      <c r="X3078" s="143" t="str">
        <f t="shared" si="2"/>
        <v/>
      </c>
      <c r="Y3078" s="139" t="str">
        <f>IFERROR(__xludf.DUMMYFUNCTION("""COMPUTED_VALUE"""),"")</f>
        <v/>
      </c>
      <c r="Z3078" s="141" t="str">
        <f>IFERROR(__xludf.DUMMYFUNCTION("""COMPUTED_VALUE"""),"")</f>
        <v/>
      </c>
    </row>
    <row r="3079">
      <c r="D3079" s="136" t="str">
        <f t="shared" si="3"/>
        <v/>
      </c>
      <c r="E3079" s="152"/>
      <c r="F3079" s="106" t="s">
        <v>133</v>
      </c>
      <c r="G3079" s="152"/>
      <c r="H3079" s="106" t="s">
        <v>133</v>
      </c>
      <c r="J3079" s="139" t="s">
        <v>133</v>
      </c>
      <c r="K3079" s="136" t="s">
        <v>133</v>
      </c>
      <c r="L3079" s="153"/>
      <c r="M3079" s="136" t="str">
        <f t="shared" si="1"/>
        <v/>
      </c>
      <c r="O3079" s="141" t="s">
        <v>133</v>
      </c>
      <c r="P3079" s="136" t="str">
        <f>IFERROR(__xludf.DUMMYFUNCTION("""COMPUTED_VALUE"""),"")</f>
        <v/>
      </c>
      <c r="Q3079" s="136" t="str">
        <f>IFERROR(__xludf.DUMMYFUNCTION("""COMPUTED_VALUE"""),"")</f>
        <v/>
      </c>
      <c r="R3079" s="106" t="str">
        <f>IFERROR(__xludf.DUMMYFUNCTION("""COMPUTED_VALUE"""),"")</f>
        <v/>
      </c>
      <c r="S3079" s="106" t="str">
        <f>IFERROR(__xludf.DUMMYFUNCTION("""COMPUTED_VALUE"""),"")</f>
        <v/>
      </c>
      <c r="T3079" s="139" t="str">
        <f>IFERROR(__xludf.DUMMYFUNCTION("""COMPUTED_VALUE"""),"")</f>
        <v/>
      </c>
      <c r="U3079" s="139" t="str">
        <f>IFERROR(__xludf.DUMMYFUNCTION("""COMPUTED_VALUE"""),"")</f>
        <v/>
      </c>
      <c r="V3079" s="136" t="str">
        <f>IFERROR(__xludf.DUMMYFUNCTION("""COMPUTED_VALUE"""),"")</f>
        <v/>
      </c>
      <c r="W3079" s="106" t="str">
        <f>IFERROR(__xludf.DUMMYFUNCTION("""COMPUTED_VALUE"""),"")</f>
        <v/>
      </c>
      <c r="X3079" s="143" t="str">
        <f t="shared" si="2"/>
        <v/>
      </c>
      <c r="Y3079" s="139" t="str">
        <f>IFERROR(__xludf.DUMMYFUNCTION("""COMPUTED_VALUE"""),"")</f>
        <v/>
      </c>
      <c r="Z3079" s="141" t="str">
        <f>IFERROR(__xludf.DUMMYFUNCTION("""COMPUTED_VALUE"""),"")</f>
        <v/>
      </c>
    </row>
    <row r="3080">
      <c r="D3080" s="136" t="str">
        <f t="shared" si="3"/>
        <v/>
      </c>
      <c r="E3080" s="152"/>
      <c r="F3080" s="106" t="s">
        <v>133</v>
      </c>
      <c r="G3080" s="152"/>
      <c r="H3080" s="106" t="s">
        <v>133</v>
      </c>
      <c r="J3080" s="139" t="s">
        <v>133</v>
      </c>
      <c r="K3080" s="136" t="s">
        <v>133</v>
      </c>
      <c r="L3080" s="153"/>
      <c r="M3080" s="136" t="str">
        <f t="shared" si="1"/>
        <v/>
      </c>
      <c r="O3080" s="141" t="s">
        <v>133</v>
      </c>
      <c r="P3080" s="136" t="str">
        <f>IFERROR(__xludf.DUMMYFUNCTION("""COMPUTED_VALUE"""),"")</f>
        <v/>
      </c>
      <c r="Q3080" s="136" t="str">
        <f>IFERROR(__xludf.DUMMYFUNCTION("""COMPUTED_VALUE"""),"")</f>
        <v/>
      </c>
      <c r="R3080" s="106" t="str">
        <f>IFERROR(__xludf.DUMMYFUNCTION("""COMPUTED_VALUE"""),"")</f>
        <v/>
      </c>
      <c r="S3080" s="106" t="str">
        <f>IFERROR(__xludf.DUMMYFUNCTION("""COMPUTED_VALUE"""),"")</f>
        <v/>
      </c>
      <c r="T3080" s="139" t="str">
        <f>IFERROR(__xludf.DUMMYFUNCTION("""COMPUTED_VALUE"""),"")</f>
        <v/>
      </c>
      <c r="U3080" s="139" t="str">
        <f>IFERROR(__xludf.DUMMYFUNCTION("""COMPUTED_VALUE"""),"")</f>
        <v/>
      </c>
      <c r="V3080" s="136" t="str">
        <f>IFERROR(__xludf.DUMMYFUNCTION("""COMPUTED_VALUE"""),"")</f>
        <v/>
      </c>
      <c r="W3080" s="106" t="str">
        <f>IFERROR(__xludf.DUMMYFUNCTION("""COMPUTED_VALUE"""),"")</f>
        <v/>
      </c>
      <c r="X3080" s="143" t="str">
        <f t="shared" si="2"/>
        <v/>
      </c>
      <c r="Y3080" s="139" t="str">
        <f>IFERROR(__xludf.DUMMYFUNCTION("""COMPUTED_VALUE"""),"")</f>
        <v/>
      </c>
      <c r="Z3080" s="141" t="str">
        <f>IFERROR(__xludf.DUMMYFUNCTION("""COMPUTED_VALUE"""),"")</f>
        <v/>
      </c>
    </row>
    <row r="3081">
      <c r="D3081" s="136" t="str">
        <f t="shared" si="3"/>
        <v/>
      </c>
      <c r="E3081" s="152"/>
      <c r="F3081" s="106" t="s">
        <v>133</v>
      </c>
      <c r="G3081" s="152"/>
      <c r="H3081" s="106" t="s">
        <v>133</v>
      </c>
      <c r="J3081" s="139" t="s">
        <v>133</v>
      </c>
      <c r="K3081" s="136" t="s">
        <v>133</v>
      </c>
      <c r="L3081" s="153"/>
      <c r="M3081" s="136" t="str">
        <f t="shared" si="1"/>
        <v/>
      </c>
      <c r="O3081" s="141" t="s">
        <v>133</v>
      </c>
      <c r="P3081" s="136" t="str">
        <f>IFERROR(__xludf.DUMMYFUNCTION("""COMPUTED_VALUE"""),"")</f>
        <v/>
      </c>
      <c r="Q3081" s="136" t="str">
        <f>IFERROR(__xludf.DUMMYFUNCTION("""COMPUTED_VALUE"""),"")</f>
        <v/>
      </c>
      <c r="R3081" s="106" t="str">
        <f>IFERROR(__xludf.DUMMYFUNCTION("""COMPUTED_VALUE"""),"")</f>
        <v/>
      </c>
      <c r="S3081" s="106" t="str">
        <f>IFERROR(__xludf.DUMMYFUNCTION("""COMPUTED_VALUE"""),"")</f>
        <v/>
      </c>
      <c r="T3081" s="139" t="str">
        <f>IFERROR(__xludf.DUMMYFUNCTION("""COMPUTED_VALUE"""),"")</f>
        <v/>
      </c>
      <c r="U3081" s="139" t="str">
        <f>IFERROR(__xludf.DUMMYFUNCTION("""COMPUTED_VALUE"""),"")</f>
        <v/>
      </c>
      <c r="V3081" s="136" t="str">
        <f>IFERROR(__xludf.DUMMYFUNCTION("""COMPUTED_VALUE"""),"")</f>
        <v/>
      </c>
      <c r="W3081" s="106" t="str">
        <f>IFERROR(__xludf.DUMMYFUNCTION("""COMPUTED_VALUE"""),"")</f>
        <v/>
      </c>
      <c r="X3081" s="143" t="str">
        <f t="shared" si="2"/>
        <v/>
      </c>
      <c r="Y3081" s="139" t="str">
        <f>IFERROR(__xludf.DUMMYFUNCTION("""COMPUTED_VALUE"""),"")</f>
        <v/>
      </c>
      <c r="Z3081" s="141" t="str">
        <f>IFERROR(__xludf.DUMMYFUNCTION("""COMPUTED_VALUE"""),"")</f>
        <v/>
      </c>
    </row>
    <row r="3082">
      <c r="D3082" s="136" t="str">
        <f t="shared" si="3"/>
        <v/>
      </c>
      <c r="E3082" s="152"/>
      <c r="F3082" s="106" t="s">
        <v>133</v>
      </c>
      <c r="G3082" s="152"/>
      <c r="H3082" s="106" t="s">
        <v>133</v>
      </c>
      <c r="J3082" s="139" t="s">
        <v>133</v>
      </c>
      <c r="K3082" s="136" t="s">
        <v>133</v>
      </c>
      <c r="L3082" s="153"/>
      <c r="M3082" s="136" t="str">
        <f t="shared" si="1"/>
        <v/>
      </c>
      <c r="O3082" s="141" t="s">
        <v>133</v>
      </c>
      <c r="P3082" s="136" t="str">
        <f>IFERROR(__xludf.DUMMYFUNCTION("""COMPUTED_VALUE"""),"")</f>
        <v/>
      </c>
      <c r="Q3082" s="136" t="str">
        <f>IFERROR(__xludf.DUMMYFUNCTION("""COMPUTED_VALUE"""),"")</f>
        <v/>
      </c>
      <c r="R3082" s="106" t="str">
        <f>IFERROR(__xludf.DUMMYFUNCTION("""COMPUTED_VALUE"""),"")</f>
        <v/>
      </c>
      <c r="S3082" s="106" t="str">
        <f>IFERROR(__xludf.DUMMYFUNCTION("""COMPUTED_VALUE"""),"")</f>
        <v/>
      </c>
      <c r="T3082" s="139" t="str">
        <f>IFERROR(__xludf.DUMMYFUNCTION("""COMPUTED_VALUE"""),"")</f>
        <v/>
      </c>
      <c r="U3082" s="139" t="str">
        <f>IFERROR(__xludf.DUMMYFUNCTION("""COMPUTED_VALUE"""),"")</f>
        <v/>
      </c>
      <c r="V3082" s="136" t="str">
        <f>IFERROR(__xludf.DUMMYFUNCTION("""COMPUTED_VALUE"""),"")</f>
        <v/>
      </c>
      <c r="W3082" s="106" t="str">
        <f>IFERROR(__xludf.DUMMYFUNCTION("""COMPUTED_VALUE"""),"")</f>
        <v/>
      </c>
      <c r="X3082" s="143" t="str">
        <f t="shared" si="2"/>
        <v/>
      </c>
      <c r="Y3082" s="139" t="str">
        <f>IFERROR(__xludf.DUMMYFUNCTION("""COMPUTED_VALUE"""),"")</f>
        <v/>
      </c>
      <c r="Z3082" s="141" t="str">
        <f>IFERROR(__xludf.DUMMYFUNCTION("""COMPUTED_VALUE"""),"")</f>
        <v/>
      </c>
    </row>
    <row r="3083">
      <c r="D3083" s="136" t="str">
        <f t="shared" si="3"/>
        <v/>
      </c>
      <c r="E3083" s="152"/>
      <c r="F3083" s="106" t="s">
        <v>133</v>
      </c>
      <c r="G3083" s="152"/>
      <c r="H3083" s="106" t="s">
        <v>133</v>
      </c>
      <c r="J3083" s="139" t="s">
        <v>133</v>
      </c>
      <c r="K3083" s="136" t="s">
        <v>133</v>
      </c>
      <c r="L3083" s="153"/>
      <c r="M3083" s="136" t="str">
        <f t="shared" si="1"/>
        <v/>
      </c>
      <c r="O3083" s="141" t="s">
        <v>133</v>
      </c>
      <c r="P3083" s="136" t="str">
        <f>IFERROR(__xludf.DUMMYFUNCTION("""COMPUTED_VALUE"""),"")</f>
        <v/>
      </c>
      <c r="Q3083" s="136" t="str">
        <f>IFERROR(__xludf.DUMMYFUNCTION("""COMPUTED_VALUE"""),"")</f>
        <v/>
      </c>
      <c r="R3083" s="106" t="str">
        <f>IFERROR(__xludf.DUMMYFUNCTION("""COMPUTED_VALUE"""),"")</f>
        <v/>
      </c>
      <c r="S3083" s="106" t="str">
        <f>IFERROR(__xludf.DUMMYFUNCTION("""COMPUTED_VALUE"""),"")</f>
        <v/>
      </c>
      <c r="T3083" s="139" t="str">
        <f>IFERROR(__xludf.DUMMYFUNCTION("""COMPUTED_VALUE"""),"")</f>
        <v/>
      </c>
      <c r="U3083" s="139" t="str">
        <f>IFERROR(__xludf.DUMMYFUNCTION("""COMPUTED_VALUE"""),"")</f>
        <v/>
      </c>
      <c r="V3083" s="136" t="str">
        <f>IFERROR(__xludf.DUMMYFUNCTION("""COMPUTED_VALUE"""),"")</f>
        <v/>
      </c>
      <c r="W3083" s="106" t="str">
        <f>IFERROR(__xludf.DUMMYFUNCTION("""COMPUTED_VALUE"""),"")</f>
        <v/>
      </c>
      <c r="X3083" s="143" t="str">
        <f t="shared" si="2"/>
        <v/>
      </c>
      <c r="Y3083" s="139" t="str">
        <f>IFERROR(__xludf.DUMMYFUNCTION("""COMPUTED_VALUE"""),"")</f>
        <v/>
      </c>
      <c r="Z3083" s="141" t="str">
        <f>IFERROR(__xludf.DUMMYFUNCTION("""COMPUTED_VALUE"""),"")</f>
        <v/>
      </c>
    </row>
    <row r="3084">
      <c r="D3084" s="136" t="str">
        <f t="shared" si="3"/>
        <v/>
      </c>
      <c r="E3084" s="152"/>
      <c r="F3084" s="106" t="s">
        <v>133</v>
      </c>
      <c r="G3084" s="152"/>
      <c r="H3084" s="106" t="s">
        <v>133</v>
      </c>
      <c r="J3084" s="139" t="s">
        <v>133</v>
      </c>
      <c r="K3084" s="136" t="s">
        <v>133</v>
      </c>
      <c r="L3084" s="153"/>
      <c r="M3084" s="136" t="str">
        <f t="shared" si="1"/>
        <v/>
      </c>
      <c r="O3084" s="141" t="s">
        <v>133</v>
      </c>
      <c r="P3084" s="136" t="str">
        <f>IFERROR(__xludf.DUMMYFUNCTION("""COMPUTED_VALUE"""),"")</f>
        <v/>
      </c>
      <c r="Q3084" s="136" t="str">
        <f>IFERROR(__xludf.DUMMYFUNCTION("""COMPUTED_VALUE"""),"")</f>
        <v/>
      </c>
      <c r="R3084" s="106" t="str">
        <f>IFERROR(__xludf.DUMMYFUNCTION("""COMPUTED_VALUE"""),"")</f>
        <v/>
      </c>
      <c r="S3084" s="106" t="str">
        <f>IFERROR(__xludf.DUMMYFUNCTION("""COMPUTED_VALUE"""),"")</f>
        <v/>
      </c>
      <c r="T3084" s="139" t="str">
        <f>IFERROR(__xludf.DUMMYFUNCTION("""COMPUTED_VALUE"""),"")</f>
        <v/>
      </c>
      <c r="U3084" s="139" t="str">
        <f>IFERROR(__xludf.DUMMYFUNCTION("""COMPUTED_VALUE"""),"")</f>
        <v/>
      </c>
      <c r="V3084" s="136" t="str">
        <f>IFERROR(__xludf.DUMMYFUNCTION("""COMPUTED_VALUE"""),"")</f>
        <v/>
      </c>
      <c r="W3084" s="106" t="str">
        <f>IFERROR(__xludf.DUMMYFUNCTION("""COMPUTED_VALUE"""),"")</f>
        <v/>
      </c>
      <c r="X3084" s="143" t="str">
        <f t="shared" si="2"/>
        <v/>
      </c>
      <c r="Y3084" s="139" t="str">
        <f>IFERROR(__xludf.DUMMYFUNCTION("""COMPUTED_VALUE"""),"")</f>
        <v/>
      </c>
      <c r="Z3084" s="141" t="str">
        <f>IFERROR(__xludf.DUMMYFUNCTION("""COMPUTED_VALUE"""),"")</f>
        <v/>
      </c>
    </row>
    <row r="3085">
      <c r="D3085" s="136" t="str">
        <f t="shared" si="3"/>
        <v/>
      </c>
      <c r="E3085" s="152"/>
      <c r="F3085" s="106" t="s">
        <v>133</v>
      </c>
      <c r="G3085" s="152"/>
      <c r="H3085" s="106" t="s">
        <v>133</v>
      </c>
      <c r="J3085" s="139" t="s">
        <v>133</v>
      </c>
      <c r="K3085" s="136" t="s">
        <v>133</v>
      </c>
      <c r="L3085" s="153"/>
      <c r="M3085" s="136" t="str">
        <f t="shared" si="1"/>
        <v/>
      </c>
      <c r="O3085" s="141" t="s">
        <v>133</v>
      </c>
      <c r="P3085" s="136" t="str">
        <f>IFERROR(__xludf.DUMMYFUNCTION("""COMPUTED_VALUE"""),"")</f>
        <v/>
      </c>
      <c r="Q3085" s="136" t="str">
        <f>IFERROR(__xludf.DUMMYFUNCTION("""COMPUTED_VALUE"""),"")</f>
        <v/>
      </c>
      <c r="R3085" s="106" t="str">
        <f>IFERROR(__xludf.DUMMYFUNCTION("""COMPUTED_VALUE"""),"")</f>
        <v/>
      </c>
      <c r="S3085" s="106" t="str">
        <f>IFERROR(__xludf.DUMMYFUNCTION("""COMPUTED_VALUE"""),"")</f>
        <v/>
      </c>
      <c r="T3085" s="139" t="str">
        <f>IFERROR(__xludf.DUMMYFUNCTION("""COMPUTED_VALUE"""),"")</f>
        <v/>
      </c>
      <c r="U3085" s="139" t="str">
        <f>IFERROR(__xludf.DUMMYFUNCTION("""COMPUTED_VALUE"""),"")</f>
        <v/>
      </c>
      <c r="V3085" s="136" t="str">
        <f>IFERROR(__xludf.DUMMYFUNCTION("""COMPUTED_VALUE"""),"")</f>
        <v/>
      </c>
      <c r="W3085" s="106" t="str">
        <f>IFERROR(__xludf.DUMMYFUNCTION("""COMPUTED_VALUE"""),"")</f>
        <v/>
      </c>
      <c r="X3085" s="143" t="str">
        <f t="shared" si="2"/>
        <v/>
      </c>
      <c r="Y3085" s="139" t="str">
        <f>IFERROR(__xludf.DUMMYFUNCTION("""COMPUTED_VALUE"""),"")</f>
        <v/>
      </c>
      <c r="Z3085" s="141" t="str">
        <f>IFERROR(__xludf.DUMMYFUNCTION("""COMPUTED_VALUE"""),"")</f>
        <v/>
      </c>
    </row>
    <row r="3086">
      <c r="D3086" s="136" t="str">
        <f t="shared" si="3"/>
        <v/>
      </c>
      <c r="E3086" s="152"/>
      <c r="F3086" s="106" t="s">
        <v>133</v>
      </c>
      <c r="G3086" s="152"/>
      <c r="H3086" s="106" t="s">
        <v>133</v>
      </c>
      <c r="J3086" s="139" t="s">
        <v>133</v>
      </c>
      <c r="K3086" s="136" t="s">
        <v>133</v>
      </c>
      <c r="L3086" s="153"/>
      <c r="M3086" s="136" t="str">
        <f t="shared" si="1"/>
        <v/>
      </c>
      <c r="O3086" s="141" t="s">
        <v>133</v>
      </c>
      <c r="P3086" s="136" t="str">
        <f>IFERROR(__xludf.DUMMYFUNCTION("""COMPUTED_VALUE"""),"")</f>
        <v/>
      </c>
      <c r="Q3086" s="136" t="str">
        <f>IFERROR(__xludf.DUMMYFUNCTION("""COMPUTED_VALUE"""),"")</f>
        <v/>
      </c>
      <c r="R3086" s="106" t="str">
        <f>IFERROR(__xludf.DUMMYFUNCTION("""COMPUTED_VALUE"""),"")</f>
        <v/>
      </c>
      <c r="S3086" s="106" t="str">
        <f>IFERROR(__xludf.DUMMYFUNCTION("""COMPUTED_VALUE"""),"")</f>
        <v/>
      </c>
      <c r="T3086" s="139" t="str">
        <f>IFERROR(__xludf.DUMMYFUNCTION("""COMPUTED_VALUE"""),"")</f>
        <v/>
      </c>
      <c r="U3086" s="139" t="str">
        <f>IFERROR(__xludf.DUMMYFUNCTION("""COMPUTED_VALUE"""),"")</f>
        <v/>
      </c>
      <c r="V3086" s="136" t="str">
        <f>IFERROR(__xludf.DUMMYFUNCTION("""COMPUTED_VALUE"""),"")</f>
        <v/>
      </c>
      <c r="W3086" s="106" t="str">
        <f>IFERROR(__xludf.DUMMYFUNCTION("""COMPUTED_VALUE"""),"")</f>
        <v/>
      </c>
      <c r="X3086" s="143" t="str">
        <f t="shared" si="2"/>
        <v/>
      </c>
      <c r="Y3086" s="139" t="str">
        <f>IFERROR(__xludf.DUMMYFUNCTION("""COMPUTED_VALUE"""),"")</f>
        <v/>
      </c>
      <c r="Z3086" s="141" t="str">
        <f>IFERROR(__xludf.DUMMYFUNCTION("""COMPUTED_VALUE"""),"")</f>
        <v/>
      </c>
    </row>
    <row r="3087">
      <c r="D3087" s="136" t="str">
        <f t="shared" si="3"/>
        <v/>
      </c>
      <c r="E3087" s="152"/>
      <c r="F3087" s="106" t="s">
        <v>133</v>
      </c>
      <c r="G3087" s="152"/>
      <c r="H3087" s="106" t="s">
        <v>133</v>
      </c>
      <c r="J3087" s="139" t="s">
        <v>133</v>
      </c>
      <c r="K3087" s="136" t="s">
        <v>133</v>
      </c>
      <c r="L3087" s="153"/>
      <c r="M3087" s="136" t="str">
        <f t="shared" si="1"/>
        <v/>
      </c>
      <c r="O3087" s="141" t="s">
        <v>133</v>
      </c>
      <c r="P3087" s="136" t="str">
        <f>IFERROR(__xludf.DUMMYFUNCTION("""COMPUTED_VALUE"""),"")</f>
        <v/>
      </c>
      <c r="Q3087" s="136" t="str">
        <f>IFERROR(__xludf.DUMMYFUNCTION("""COMPUTED_VALUE"""),"")</f>
        <v/>
      </c>
      <c r="R3087" s="106" t="str">
        <f>IFERROR(__xludf.DUMMYFUNCTION("""COMPUTED_VALUE"""),"")</f>
        <v/>
      </c>
      <c r="S3087" s="106" t="str">
        <f>IFERROR(__xludf.DUMMYFUNCTION("""COMPUTED_VALUE"""),"")</f>
        <v/>
      </c>
      <c r="T3087" s="139" t="str">
        <f>IFERROR(__xludf.DUMMYFUNCTION("""COMPUTED_VALUE"""),"")</f>
        <v/>
      </c>
      <c r="U3087" s="139" t="str">
        <f>IFERROR(__xludf.DUMMYFUNCTION("""COMPUTED_VALUE"""),"")</f>
        <v/>
      </c>
      <c r="V3087" s="136" t="str">
        <f>IFERROR(__xludf.DUMMYFUNCTION("""COMPUTED_VALUE"""),"")</f>
        <v/>
      </c>
      <c r="W3087" s="106" t="str">
        <f>IFERROR(__xludf.DUMMYFUNCTION("""COMPUTED_VALUE"""),"")</f>
        <v/>
      </c>
      <c r="X3087" s="143" t="str">
        <f t="shared" si="2"/>
        <v/>
      </c>
      <c r="Y3087" s="139" t="str">
        <f>IFERROR(__xludf.DUMMYFUNCTION("""COMPUTED_VALUE"""),"")</f>
        <v/>
      </c>
      <c r="Z3087" s="141" t="str">
        <f>IFERROR(__xludf.DUMMYFUNCTION("""COMPUTED_VALUE"""),"")</f>
        <v/>
      </c>
    </row>
    <row r="3088">
      <c r="D3088" s="136" t="str">
        <f t="shared" si="3"/>
        <v/>
      </c>
      <c r="E3088" s="152"/>
      <c r="F3088" s="106" t="s">
        <v>133</v>
      </c>
      <c r="G3088" s="152"/>
      <c r="H3088" s="106" t="s">
        <v>133</v>
      </c>
      <c r="J3088" s="139" t="s">
        <v>133</v>
      </c>
      <c r="K3088" s="136" t="s">
        <v>133</v>
      </c>
      <c r="L3088" s="153"/>
      <c r="M3088" s="136" t="str">
        <f t="shared" si="1"/>
        <v/>
      </c>
      <c r="O3088" s="141" t="s">
        <v>133</v>
      </c>
      <c r="P3088" s="136" t="str">
        <f>IFERROR(__xludf.DUMMYFUNCTION("""COMPUTED_VALUE"""),"")</f>
        <v/>
      </c>
      <c r="Q3088" s="136" t="str">
        <f>IFERROR(__xludf.DUMMYFUNCTION("""COMPUTED_VALUE"""),"")</f>
        <v/>
      </c>
      <c r="R3088" s="106" t="str">
        <f>IFERROR(__xludf.DUMMYFUNCTION("""COMPUTED_VALUE"""),"")</f>
        <v/>
      </c>
      <c r="S3088" s="106" t="str">
        <f>IFERROR(__xludf.DUMMYFUNCTION("""COMPUTED_VALUE"""),"")</f>
        <v/>
      </c>
      <c r="T3088" s="139" t="str">
        <f>IFERROR(__xludf.DUMMYFUNCTION("""COMPUTED_VALUE"""),"")</f>
        <v/>
      </c>
      <c r="U3088" s="139" t="str">
        <f>IFERROR(__xludf.DUMMYFUNCTION("""COMPUTED_VALUE"""),"")</f>
        <v/>
      </c>
      <c r="V3088" s="136" t="str">
        <f>IFERROR(__xludf.DUMMYFUNCTION("""COMPUTED_VALUE"""),"")</f>
        <v/>
      </c>
      <c r="W3088" s="106" t="str">
        <f>IFERROR(__xludf.DUMMYFUNCTION("""COMPUTED_VALUE"""),"")</f>
        <v/>
      </c>
      <c r="X3088" s="143" t="str">
        <f t="shared" si="2"/>
        <v/>
      </c>
      <c r="Y3088" s="139" t="str">
        <f>IFERROR(__xludf.DUMMYFUNCTION("""COMPUTED_VALUE"""),"")</f>
        <v/>
      </c>
      <c r="Z3088" s="141" t="str">
        <f>IFERROR(__xludf.DUMMYFUNCTION("""COMPUTED_VALUE"""),"")</f>
        <v/>
      </c>
    </row>
    <row r="3089">
      <c r="D3089" s="136" t="str">
        <f t="shared" si="3"/>
        <v/>
      </c>
      <c r="E3089" s="152"/>
      <c r="F3089" s="106" t="s">
        <v>133</v>
      </c>
      <c r="G3089" s="152"/>
      <c r="H3089" s="106" t="s">
        <v>133</v>
      </c>
      <c r="J3089" s="139" t="s">
        <v>133</v>
      </c>
      <c r="K3089" s="136" t="s">
        <v>133</v>
      </c>
      <c r="L3089" s="153"/>
      <c r="M3089" s="136" t="str">
        <f t="shared" si="1"/>
        <v/>
      </c>
      <c r="O3089" s="141" t="s">
        <v>133</v>
      </c>
      <c r="P3089" s="136" t="str">
        <f>IFERROR(__xludf.DUMMYFUNCTION("""COMPUTED_VALUE"""),"")</f>
        <v/>
      </c>
      <c r="Q3089" s="136" t="str">
        <f>IFERROR(__xludf.DUMMYFUNCTION("""COMPUTED_VALUE"""),"")</f>
        <v/>
      </c>
      <c r="R3089" s="106" t="str">
        <f>IFERROR(__xludf.DUMMYFUNCTION("""COMPUTED_VALUE"""),"")</f>
        <v/>
      </c>
      <c r="S3089" s="106" t="str">
        <f>IFERROR(__xludf.DUMMYFUNCTION("""COMPUTED_VALUE"""),"")</f>
        <v/>
      </c>
      <c r="T3089" s="139" t="str">
        <f>IFERROR(__xludf.DUMMYFUNCTION("""COMPUTED_VALUE"""),"")</f>
        <v/>
      </c>
      <c r="U3089" s="139" t="str">
        <f>IFERROR(__xludf.DUMMYFUNCTION("""COMPUTED_VALUE"""),"")</f>
        <v/>
      </c>
      <c r="V3089" s="136" t="str">
        <f>IFERROR(__xludf.DUMMYFUNCTION("""COMPUTED_VALUE"""),"")</f>
        <v/>
      </c>
      <c r="W3089" s="106" t="str">
        <f>IFERROR(__xludf.DUMMYFUNCTION("""COMPUTED_VALUE"""),"")</f>
        <v/>
      </c>
      <c r="X3089" s="143" t="str">
        <f t="shared" si="2"/>
        <v/>
      </c>
      <c r="Y3089" s="139" t="str">
        <f>IFERROR(__xludf.DUMMYFUNCTION("""COMPUTED_VALUE"""),"")</f>
        <v/>
      </c>
      <c r="Z3089" s="141" t="str">
        <f>IFERROR(__xludf.DUMMYFUNCTION("""COMPUTED_VALUE"""),"")</f>
        <v/>
      </c>
    </row>
    <row r="3090">
      <c r="D3090" s="136" t="str">
        <f t="shared" si="3"/>
        <v/>
      </c>
      <c r="E3090" s="152"/>
      <c r="F3090" s="106" t="s">
        <v>133</v>
      </c>
      <c r="G3090" s="152"/>
      <c r="H3090" s="106" t="s">
        <v>133</v>
      </c>
      <c r="J3090" s="139" t="s">
        <v>133</v>
      </c>
      <c r="K3090" s="136" t="s">
        <v>133</v>
      </c>
      <c r="L3090" s="153"/>
      <c r="M3090" s="136" t="str">
        <f t="shared" si="1"/>
        <v/>
      </c>
      <c r="O3090" s="141" t="s">
        <v>133</v>
      </c>
      <c r="P3090" s="136" t="str">
        <f>IFERROR(__xludf.DUMMYFUNCTION("""COMPUTED_VALUE"""),"")</f>
        <v/>
      </c>
      <c r="Q3090" s="136" t="str">
        <f>IFERROR(__xludf.DUMMYFUNCTION("""COMPUTED_VALUE"""),"")</f>
        <v/>
      </c>
      <c r="R3090" s="106" t="str">
        <f>IFERROR(__xludf.DUMMYFUNCTION("""COMPUTED_VALUE"""),"")</f>
        <v/>
      </c>
      <c r="S3090" s="106" t="str">
        <f>IFERROR(__xludf.DUMMYFUNCTION("""COMPUTED_VALUE"""),"")</f>
        <v/>
      </c>
      <c r="T3090" s="139" t="str">
        <f>IFERROR(__xludf.DUMMYFUNCTION("""COMPUTED_VALUE"""),"")</f>
        <v/>
      </c>
      <c r="U3090" s="139" t="str">
        <f>IFERROR(__xludf.DUMMYFUNCTION("""COMPUTED_VALUE"""),"")</f>
        <v/>
      </c>
      <c r="V3090" s="136" t="str">
        <f>IFERROR(__xludf.DUMMYFUNCTION("""COMPUTED_VALUE"""),"")</f>
        <v/>
      </c>
      <c r="W3090" s="106" t="str">
        <f>IFERROR(__xludf.DUMMYFUNCTION("""COMPUTED_VALUE"""),"")</f>
        <v/>
      </c>
      <c r="X3090" s="143" t="str">
        <f t="shared" si="2"/>
        <v/>
      </c>
      <c r="Y3090" s="139" t="str">
        <f>IFERROR(__xludf.DUMMYFUNCTION("""COMPUTED_VALUE"""),"")</f>
        <v/>
      </c>
      <c r="Z3090" s="141" t="str">
        <f>IFERROR(__xludf.DUMMYFUNCTION("""COMPUTED_VALUE"""),"")</f>
        <v/>
      </c>
    </row>
    <row r="3091">
      <c r="D3091" s="136" t="str">
        <f t="shared" si="3"/>
        <v/>
      </c>
      <c r="E3091" s="152"/>
      <c r="F3091" s="106" t="s">
        <v>133</v>
      </c>
      <c r="G3091" s="152"/>
      <c r="H3091" s="106" t="s">
        <v>133</v>
      </c>
      <c r="J3091" s="139" t="s">
        <v>133</v>
      </c>
      <c r="K3091" s="136" t="s">
        <v>133</v>
      </c>
      <c r="L3091" s="153"/>
      <c r="M3091" s="136" t="str">
        <f t="shared" si="1"/>
        <v/>
      </c>
      <c r="O3091" s="141" t="s">
        <v>133</v>
      </c>
      <c r="P3091" s="136" t="str">
        <f>IFERROR(__xludf.DUMMYFUNCTION("""COMPUTED_VALUE"""),"")</f>
        <v/>
      </c>
      <c r="Q3091" s="136" t="str">
        <f>IFERROR(__xludf.DUMMYFUNCTION("""COMPUTED_VALUE"""),"")</f>
        <v/>
      </c>
      <c r="R3091" s="106" t="str">
        <f>IFERROR(__xludf.DUMMYFUNCTION("""COMPUTED_VALUE"""),"")</f>
        <v/>
      </c>
      <c r="S3091" s="106" t="str">
        <f>IFERROR(__xludf.DUMMYFUNCTION("""COMPUTED_VALUE"""),"")</f>
        <v/>
      </c>
      <c r="T3091" s="139" t="str">
        <f>IFERROR(__xludf.DUMMYFUNCTION("""COMPUTED_VALUE"""),"")</f>
        <v/>
      </c>
      <c r="U3091" s="139" t="str">
        <f>IFERROR(__xludf.DUMMYFUNCTION("""COMPUTED_VALUE"""),"")</f>
        <v/>
      </c>
      <c r="V3091" s="136" t="str">
        <f>IFERROR(__xludf.DUMMYFUNCTION("""COMPUTED_VALUE"""),"")</f>
        <v/>
      </c>
      <c r="W3091" s="106" t="str">
        <f>IFERROR(__xludf.DUMMYFUNCTION("""COMPUTED_VALUE"""),"")</f>
        <v/>
      </c>
      <c r="X3091" s="143" t="str">
        <f t="shared" si="2"/>
        <v/>
      </c>
      <c r="Y3091" s="139" t="str">
        <f>IFERROR(__xludf.DUMMYFUNCTION("""COMPUTED_VALUE"""),"")</f>
        <v/>
      </c>
      <c r="Z3091" s="141" t="str">
        <f>IFERROR(__xludf.DUMMYFUNCTION("""COMPUTED_VALUE"""),"")</f>
        <v/>
      </c>
    </row>
    <row r="3092">
      <c r="D3092" s="136" t="str">
        <f t="shared" si="3"/>
        <v/>
      </c>
      <c r="E3092" s="152"/>
      <c r="F3092" s="106" t="s">
        <v>133</v>
      </c>
      <c r="G3092" s="152"/>
      <c r="H3092" s="106" t="s">
        <v>133</v>
      </c>
      <c r="J3092" s="139" t="s">
        <v>133</v>
      </c>
      <c r="K3092" s="136" t="s">
        <v>133</v>
      </c>
      <c r="L3092" s="153"/>
      <c r="M3092" s="136" t="str">
        <f t="shared" si="1"/>
        <v/>
      </c>
      <c r="O3092" s="141" t="s">
        <v>133</v>
      </c>
      <c r="P3092" s="136" t="str">
        <f>IFERROR(__xludf.DUMMYFUNCTION("""COMPUTED_VALUE"""),"")</f>
        <v/>
      </c>
      <c r="Q3092" s="136" t="str">
        <f>IFERROR(__xludf.DUMMYFUNCTION("""COMPUTED_VALUE"""),"")</f>
        <v/>
      </c>
      <c r="R3092" s="106" t="str">
        <f>IFERROR(__xludf.DUMMYFUNCTION("""COMPUTED_VALUE"""),"")</f>
        <v/>
      </c>
      <c r="S3092" s="106" t="str">
        <f>IFERROR(__xludf.DUMMYFUNCTION("""COMPUTED_VALUE"""),"")</f>
        <v/>
      </c>
      <c r="T3092" s="139" t="str">
        <f>IFERROR(__xludf.DUMMYFUNCTION("""COMPUTED_VALUE"""),"")</f>
        <v/>
      </c>
      <c r="U3092" s="139" t="str">
        <f>IFERROR(__xludf.DUMMYFUNCTION("""COMPUTED_VALUE"""),"")</f>
        <v/>
      </c>
      <c r="V3092" s="136" t="str">
        <f>IFERROR(__xludf.DUMMYFUNCTION("""COMPUTED_VALUE"""),"")</f>
        <v/>
      </c>
      <c r="W3092" s="106" t="str">
        <f>IFERROR(__xludf.DUMMYFUNCTION("""COMPUTED_VALUE"""),"")</f>
        <v/>
      </c>
      <c r="X3092" s="143" t="str">
        <f t="shared" si="2"/>
        <v/>
      </c>
      <c r="Y3092" s="139" t="str">
        <f>IFERROR(__xludf.DUMMYFUNCTION("""COMPUTED_VALUE"""),"")</f>
        <v/>
      </c>
      <c r="Z3092" s="141" t="str">
        <f>IFERROR(__xludf.DUMMYFUNCTION("""COMPUTED_VALUE"""),"")</f>
        <v/>
      </c>
    </row>
    <row r="3093">
      <c r="D3093" s="136" t="str">
        <f t="shared" si="3"/>
        <v/>
      </c>
      <c r="E3093" s="152"/>
      <c r="F3093" s="106" t="s">
        <v>133</v>
      </c>
      <c r="G3093" s="152"/>
      <c r="H3093" s="106" t="s">
        <v>133</v>
      </c>
      <c r="J3093" s="139" t="s">
        <v>133</v>
      </c>
      <c r="K3093" s="136" t="s">
        <v>133</v>
      </c>
      <c r="L3093" s="153"/>
      <c r="M3093" s="136" t="str">
        <f t="shared" si="1"/>
        <v/>
      </c>
      <c r="O3093" s="141" t="s">
        <v>133</v>
      </c>
      <c r="P3093" s="136" t="str">
        <f>IFERROR(__xludf.DUMMYFUNCTION("""COMPUTED_VALUE"""),"")</f>
        <v/>
      </c>
      <c r="Q3093" s="136" t="str">
        <f>IFERROR(__xludf.DUMMYFUNCTION("""COMPUTED_VALUE"""),"")</f>
        <v/>
      </c>
      <c r="R3093" s="106" t="str">
        <f>IFERROR(__xludf.DUMMYFUNCTION("""COMPUTED_VALUE"""),"")</f>
        <v/>
      </c>
      <c r="S3093" s="106" t="str">
        <f>IFERROR(__xludf.DUMMYFUNCTION("""COMPUTED_VALUE"""),"")</f>
        <v/>
      </c>
      <c r="T3093" s="139" t="str">
        <f>IFERROR(__xludf.DUMMYFUNCTION("""COMPUTED_VALUE"""),"")</f>
        <v/>
      </c>
      <c r="U3093" s="139" t="str">
        <f>IFERROR(__xludf.DUMMYFUNCTION("""COMPUTED_VALUE"""),"")</f>
        <v/>
      </c>
      <c r="V3093" s="136" t="str">
        <f>IFERROR(__xludf.DUMMYFUNCTION("""COMPUTED_VALUE"""),"")</f>
        <v/>
      </c>
      <c r="W3093" s="106" t="str">
        <f>IFERROR(__xludf.DUMMYFUNCTION("""COMPUTED_VALUE"""),"")</f>
        <v/>
      </c>
      <c r="X3093" s="143" t="str">
        <f t="shared" si="2"/>
        <v/>
      </c>
      <c r="Y3093" s="139" t="str">
        <f>IFERROR(__xludf.DUMMYFUNCTION("""COMPUTED_VALUE"""),"")</f>
        <v/>
      </c>
      <c r="Z3093" s="141" t="str">
        <f>IFERROR(__xludf.DUMMYFUNCTION("""COMPUTED_VALUE"""),"")</f>
        <v/>
      </c>
    </row>
    <row r="3094">
      <c r="D3094" s="136" t="str">
        <f t="shared" si="3"/>
        <v/>
      </c>
      <c r="E3094" s="152"/>
      <c r="F3094" s="106" t="s">
        <v>133</v>
      </c>
      <c r="G3094" s="152"/>
      <c r="H3094" s="106" t="s">
        <v>133</v>
      </c>
      <c r="J3094" s="139" t="s">
        <v>133</v>
      </c>
      <c r="K3094" s="136" t="s">
        <v>133</v>
      </c>
      <c r="L3094" s="153"/>
      <c r="M3094" s="136" t="str">
        <f t="shared" si="1"/>
        <v/>
      </c>
      <c r="O3094" s="141" t="s">
        <v>133</v>
      </c>
      <c r="P3094" s="136" t="str">
        <f>IFERROR(__xludf.DUMMYFUNCTION("""COMPUTED_VALUE"""),"")</f>
        <v/>
      </c>
      <c r="Q3094" s="136" t="str">
        <f>IFERROR(__xludf.DUMMYFUNCTION("""COMPUTED_VALUE"""),"")</f>
        <v/>
      </c>
      <c r="R3094" s="106" t="str">
        <f>IFERROR(__xludf.DUMMYFUNCTION("""COMPUTED_VALUE"""),"")</f>
        <v/>
      </c>
      <c r="S3094" s="106" t="str">
        <f>IFERROR(__xludf.DUMMYFUNCTION("""COMPUTED_VALUE"""),"")</f>
        <v/>
      </c>
      <c r="T3094" s="139" t="str">
        <f>IFERROR(__xludf.DUMMYFUNCTION("""COMPUTED_VALUE"""),"")</f>
        <v/>
      </c>
      <c r="U3094" s="139" t="str">
        <f>IFERROR(__xludf.DUMMYFUNCTION("""COMPUTED_VALUE"""),"")</f>
        <v/>
      </c>
      <c r="V3094" s="136" t="str">
        <f>IFERROR(__xludf.DUMMYFUNCTION("""COMPUTED_VALUE"""),"")</f>
        <v/>
      </c>
      <c r="W3094" s="106" t="str">
        <f>IFERROR(__xludf.DUMMYFUNCTION("""COMPUTED_VALUE"""),"")</f>
        <v/>
      </c>
      <c r="X3094" s="143" t="str">
        <f t="shared" si="2"/>
        <v/>
      </c>
      <c r="Y3094" s="139" t="str">
        <f>IFERROR(__xludf.DUMMYFUNCTION("""COMPUTED_VALUE"""),"")</f>
        <v/>
      </c>
      <c r="Z3094" s="141" t="str">
        <f>IFERROR(__xludf.DUMMYFUNCTION("""COMPUTED_VALUE"""),"")</f>
        <v/>
      </c>
    </row>
    <row r="3095">
      <c r="D3095" s="136" t="str">
        <f t="shared" si="3"/>
        <v/>
      </c>
      <c r="E3095" s="152"/>
      <c r="F3095" s="106" t="s">
        <v>133</v>
      </c>
      <c r="G3095" s="152"/>
      <c r="H3095" s="106" t="s">
        <v>133</v>
      </c>
      <c r="J3095" s="139" t="s">
        <v>133</v>
      </c>
      <c r="K3095" s="136" t="s">
        <v>133</v>
      </c>
      <c r="L3095" s="153"/>
      <c r="M3095" s="136" t="str">
        <f t="shared" si="1"/>
        <v/>
      </c>
      <c r="O3095" s="141" t="s">
        <v>133</v>
      </c>
      <c r="P3095" s="136" t="str">
        <f>IFERROR(__xludf.DUMMYFUNCTION("""COMPUTED_VALUE"""),"")</f>
        <v/>
      </c>
      <c r="Q3095" s="136" t="str">
        <f>IFERROR(__xludf.DUMMYFUNCTION("""COMPUTED_VALUE"""),"")</f>
        <v/>
      </c>
      <c r="R3095" s="106" t="str">
        <f>IFERROR(__xludf.DUMMYFUNCTION("""COMPUTED_VALUE"""),"")</f>
        <v/>
      </c>
      <c r="S3095" s="106" t="str">
        <f>IFERROR(__xludf.DUMMYFUNCTION("""COMPUTED_VALUE"""),"")</f>
        <v/>
      </c>
      <c r="T3095" s="139" t="str">
        <f>IFERROR(__xludf.DUMMYFUNCTION("""COMPUTED_VALUE"""),"")</f>
        <v/>
      </c>
      <c r="U3095" s="139" t="str">
        <f>IFERROR(__xludf.DUMMYFUNCTION("""COMPUTED_VALUE"""),"")</f>
        <v/>
      </c>
      <c r="V3095" s="136" t="str">
        <f>IFERROR(__xludf.DUMMYFUNCTION("""COMPUTED_VALUE"""),"")</f>
        <v/>
      </c>
      <c r="W3095" s="106" t="str">
        <f>IFERROR(__xludf.DUMMYFUNCTION("""COMPUTED_VALUE"""),"")</f>
        <v/>
      </c>
      <c r="X3095" s="143" t="str">
        <f t="shared" si="2"/>
        <v/>
      </c>
      <c r="Y3095" s="139" t="str">
        <f>IFERROR(__xludf.DUMMYFUNCTION("""COMPUTED_VALUE"""),"")</f>
        <v/>
      </c>
      <c r="Z3095" s="141" t="str">
        <f>IFERROR(__xludf.DUMMYFUNCTION("""COMPUTED_VALUE"""),"")</f>
        <v/>
      </c>
    </row>
    <row r="3096">
      <c r="D3096" s="136" t="str">
        <f t="shared" si="3"/>
        <v/>
      </c>
      <c r="E3096" s="152"/>
      <c r="F3096" s="106" t="s">
        <v>133</v>
      </c>
      <c r="G3096" s="152"/>
      <c r="H3096" s="106" t="s">
        <v>133</v>
      </c>
      <c r="J3096" s="139" t="s">
        <v>133</v>
      </c>
      <c r="K3096" s="136" t="s">
        <v>133</v>
      </c>
      <c r="L3096" s="153"/>
      <c r="M3096" s="136" t="str">
        <f t="shared" si="1"/>
        <v/>
      </c>
      <c r="O3096" s="141" t="s">
        <v>133</v>
      </c>
      <c r="P3096" s="136" t="str">
        <f>IFERROR(__xludf.DUMMYFUNCTION("""COMPUTED_VALUE"""),"")</f>
        <v/>
      </c>
      <c r="Q3096" s="136" t="str">
        <f>IFERROR(__xludf.DUMMYFUNCTION("""COMPUTED_VALUE"""),"")</f>
        <v/>
      </c>
      <c r="R3096" s="106" t="str">
        <f>IFERROR(__xludf.DUMMYFUNCTION("""COMPUTED_VALUE"""),"")</f>
        <v/>
      </c>
      <c r="S3096" s="106" t="str">
        <f>IFERROR(__xludf.DUMMYFUNCTION("""COMPUTED_VALUE"""),"")</f>
        <v/>
      </c>
      <c r="T3096" s="139" t="str">
        <f>IFERROR(__xludf.DUMMYFUNCTION("""COMPUTED_VALUE"""),"")</f>
        <v/>
      </c>
      <c r="U3096" s="139" t="str">
        <f>IFERROR(__xludf.DUMMYFUNCTION("""COMPUTED_VALUE"""),"")</f>
        <v/>
      </c>
      <c r="V3096" s="136" t="str">
        <f>IFERROR(__xludf.DUMMYFUNCTION("""COMPUTED_VALUE"""),"")</f>
        <v/>
      </c>
      <c r="W3096" s="106" t="str">
        <f>IFERROR(__xludf.DUMMYFUNCTION("""COMPUTED_VALUE"""),"")</f>
        <v/>
      </c>
      <c r="X3096" s="143" t="str">
        <f t="shared" si="2"/>
        <v/>
      </c>
      <c r="Y3096" s="139" t="str">
        <f>IFERROR(__xludf.DUMMYFUNCTION("""COMPUTED_VALUE"""),"")</f>
        <v/>
      </c>
      <c r="Z3096" s="141" t="str">
        <f>IFERROR(__xludf.DUMMYFUNCTION("""COMPUTED_VALUE"""),"")</f>
        <v/>
      </c>
    </row>
    <row r="3097">
      <c r="D3097" s="136" t="str">
        <f t="shared" si="3"/>
        <v/>
      </c>
      <c r="E3097" s="152"/>
      <c r="F3097" s="106" t="s">
        <v>133</v>
      </c>
      <c r="G3097" s="152"/>
      <c r="H3097" s="106" t="s">
        <v>133</v>
      </c>
      <c r="J3097" s="139" t="s">
        <v>133</v>
      </c>
      <c r="K3097" s="136" t="s">
        <v>133</v>
      </c>
      <c r="L3097" s="153"/>
      <c r="M3097" s="136" t="str">
        <f t="shared" si="1"/>
        <v/>
      </c>
      <c r="O3097" s="141" t="s">
        <v>133</v>
      </c>
      <c r="P3097" s="136" t="str">
        <f>IFERROR(__xludf.DUMMYFUNCTION("""COMPUTED_VALUE"""),"")</f>
        <v/>
      </c>
      <c r="Q3097" s="136" t="str">
        <f>IFERROR(__xludf.DUMMYFUNCTION("""COMPUTED_VALUE"""),"")</f>
        <v/>
      </c>
      <c r="R3097" s="106" t="str">
        <f>IFERROR(__xludf.DUMMYFUNCTION("""COMPUTED_VALUE"""),"")</f>
        <v/>
      </c>
      <c r="S3097" s="106" t="str">
        <f>IFERROR(__xludf.DUMMYFUNCTION("""COMPUTED_VALUE"""),"")</f>
        <v/>
      </c>
      <c r="T3097" s="139" t="str">
        <f>IFERROR(__xludf.DUMMYFUNCTION("""COMPUTED_VALUE"""),"")</f>
        <v/>
      </c>
      <c r="U3097" s="139" t="str">
        <f>IFERROR(__xludf.DUMMYFUNCTION("""COMPUTED_VALUE"""),"")</f>
        <v/>
      </c>
      <c r="V3097" s="136" t="str">
        <f>IFERROR(__xludf.DUMMYFUNCTION("""COMPUTED_VALUE"""),"")</f>
        <v/>
      </c>
      <c r="W3097" s="106" t="str">
        <f>IFERROR(__xludf.DUMMYFUNCTION("""COMPUTED_VALUE"""),"")</f>
        <v/>
      </c>
      <c r="X3097" s="143" t="str">
        <f t="shared" si="2"/>
        <v/>
      </c>
      <c r="Y3097" s="139" t="str">
        <f>IFERROR(__xludf.DUMMYFUNCTION("""COMPUTED_VALUE"""),"")</f>
        <v/>
      </c>
      <c r="Z3097" s="141" t="str">
        <f>IFERROR(__xludf.DUMMYFUNCTION("""COMPUTED_VALUE"""),"")</f>
        <v/>
      </c>
    </row>
    <row r="3098">
      <c r="D3098" s="136" t="str">
        <f t="shared" si="3"/>
        <v/>
      </c>
      <c r="E3098" s="152"/>
      <c r="F3098" s="106" t="s">
        <v>133</v>
      </c>
      <c r="G3098" s="152"/>
      <c r="H3098" s="106" t="s">
        <v>133</v>
      </c>
      <c r="J3098" s="139" t="s">
        <v>133</v>
      </c>
      <c r="K3098" s="136" t="s">
        <v>133</v>
      </c>
      <c r="L3098" s="153"/>
      <c r="M3098" s="136" t="str">
        <f t="shared" si="1"/>
        <v/>
      </c>
      <c r="O3098" s="141" t="s">
        <v>133</v>
      </c>
      <c r="P3098" s="136" t="str">
        <f>IFERROR(__xludf.DUMMYFUNCTION("""COMPUTED_VALUE"""),"")</f>
        <v/>
      </c>
      <c r="Q3098" s="136" t="str">
        <f>IFERROR(__xludf.DUMMYFUNCTION("""COMPUTED_VALUE"""),"")</f>
        <v/>
      </c>
      <c r="R3098" s="106" t="str">
        <f>IFERROR(__xludf.DUMMYFUNCTION("""COMPUTED_VALUE"""),"")</f>
        <v/>
      </c>
      <c r="S3098" s="106" t="str">
        <f>IFERROR(__xludf.DUMMYFUNCTION("""COMPUTED_VALUE"""),"")</f>
        <v/>
      </c>
      <c r="T3098" s="139" t="str">
        <f>IFERROR(__xludf.DUMMYFUNCTION("""COMPUTED_VALUE"""),"")</f>
        <v/>
      </c>
      <c r="U3098" s="139" t="str">
        <f>IFERROR(__xludf.DUMMYFUNCTION("""COMPUTED_VALUE"""),"")</f>
        <v/>
      </c>
      <c r="V3098" s="136" t="str">
        <f>IFERROR(__xludf.DUMMYFUNCTION("""COMPUTED_VALUE"""),"")</f>
        <v/>
      </c>
      <c r="W3098" s="106" t="str">
        <f>IFERROR(__xludf.DUMMYFUNCTION("""COMPUTED_VALUE"""),"")</f>
        <v/>
      </c>
      <c r="X3098" s="143" t="str">
        <f t="shared" si="2"/>
        <v/>
      </c>
      <c r="Y3098" s="139" t="str">
        <f>IFERROR(__xludf.DUMMYFUNCTION("""COMPUTED_VALUE"""),"")</f>
        <v/>
      </c>
      <c r="Z3098" s="141" t="str">
        <f>IFERROR(__xludf.DUMMYFUNCTION("""COMPUTED_VALUE"""),"")</f>
        <v/>
      </c>
    </row>
    <row r="3099">
      <c r="D3099" s="136" t="str">
        <f t="shared" si="3"/>
        <v/>
      </c>
      <c r="E3099" s="152"/>
      <c r="F3099" s="106" t="s">
        <v>133</v>
      </c>
      <c r="G3099" s="152"/>
      <c r="H3099" s="106" t="s">
        <v>133</v>
      </c>
      <c r="J3099" s="139" t="s">
        <v>133</v>
      </c>
      <c r="K3099" s="136" t="s">
        <v>133</v>
      </c>
      <c r="L3099" s="153"/>
      <c r="M3099" s="136" t="str">
        <f t="shared" si="1"/>
        <v/>
      </c>
      <c r="O3099" s="141" t="s">
        <v>133</v>
      </c>
      <c r="P3099" s="136" t="str">
        <f>IFERROR(__xludf.DUMMYFUNCTION("""COMPUTED_VALUE"""),"")</f>
        <v/>
      </c>
      <c r="Q3099" s="136" t="str">
        <f>IFERROR(__xludf.DUMMYFUNCTION("""COMPUTED_VALUE"""),"")</f>
        <v/>
      </c>
      <c r="R3099" s="106" t="str">
        <f>IFERROR(__xludf.DUMMYFUNCTION("""COMPUTED_VALUE"""),"")</f>
        <v/>
      </c>
      <c r="S3099" s="106" t="str">
        <f>IFERROR(__xludf.DUMMYFUNCTION("""COMPUTED_VALUE"""),"")</f>
        <v/>
      </c>
      <c r="T3099" s="139" t="str">
        <f>IFERROR(__xludf.DUMMYFUNCTION("""COMPUTED_VALUE"""),"")</f>
        <v/>
      </c>
      <c r="U3099" s="139" t="str">
        <f>IFERROR(__xludf.DUMMYFUNCTION("""COMPUTED_VALUE"""),"")</f>
        <v/>
      </c>
      <c r="V3099" s="136" t="str">
        <f>IFERROR(__xludf.DUMMYFUNCTION("""COMPUTED_VALUE"""),"")</f>
        <v/>
      </c>
      <c r="W3099" s="106" t="str">
        <f>IFERROR(__xludf.DUMMYFUNCTION("""COMPUTED_VALUE"""),"")</f>
        <v/>
      </c>
      <c r="X3099" s="143" t="str">
        <f t="shared" si="2"/>
        <v/>
      </c>
      <c r="Y3099" s="139" t="str">
        <f>IFERROR(__xludf.DUMMYFUNCTION("""COMPUTED_VALUE"""),"")</f>
        <v/>
      </c>
      <c r="Z3099" s="141" t="str">
        <f>IFERROR(__xludf.DUMMYFUNCTION("""COMPUTED_VALUE"""),"")</f>
        <v/>
      </c>
    </row>
    <row r="3100">
      <c r="D3100" s="136" t="str">
        <f t="shared" si="3"/>
        <v/>
      </c>
      <c r="E3100" s="152"/>
      <c r="F3100" s="106" t="s">
        <v>133</v>
      </c>
      <c r="G3100" s="152"/>
      <c r="H3100" s="106" t="s">
        <v>133</v>
      </c>
      <c r="J3100" s="139" t="s">
        <v>133</v>
      </c>
      <c r="K3100" s="136" t="s">
        <v>133</v>
      </c>
      <c r="L3100" s="153"/>
      <c r="M3100" s="136" t="str">
        <f t="shared" si="1"/>
        <v/>
      </c>
      <c r="O3100" s="141" t="s">
        <v>133</v>
      </c>
      <c r="P3100" s="136" t="str">
        <f>IFERROR(__xludf.DUMMYFUNCTION("""COMPUTED_VALUE"""),"")</f>
        <v/>
      </c>
      <c r="Q3100" s="136" t="str">
        <f>IFERROR(__xludf.DUMMYFUNCTION("""COMPUTED_VALUE"""),"")</f>
        <v/>
      </c>
      <c r="R3100" s="106" t="str">
        <f>IFERROR(__xludf.DUMMYFUNCTION("""COMPUTED_VALUE"""),"")</f>
        <v/>
      </c>
      <c r="S3100" s="106" t="str">
        <f>IFERROR(__xludf.DUMMYFUNCTION("""COMPUTED_VALUE"""),"")</f>
        <v/>
      </c>
      <c r="T3100" s="139" t="str">
        <f>IFERROR(__xludf.DUMMYFUNCTION("""COMPUTED_VALUE"""),"")</f>
        <v/>
      </c>
      <c r="U3100" s="139" t="str">
        <f>IFERROR(__xludf.DUMMYFUNCTION("""COMPUTED_VALUE"""),"")</f>
        <v/>
      </c>
      <c r="V3100" s="136" t="str">
        <f>IFERROR(__xludf.DUMMYFUNCTION("""COMPUTED_VALUE"""),"")</f>
        <v/>
      </c>
      <c r="W3100" s="106" t="str">
        <f>IFERROR(__xludf.DUMMYFUNCTION("""COMPUTED_VALUE"""),"")</f>
        <v/>
      </c>
      <c r="X3100" s="143" t="str">
        <f t="shared" si="2"/>
        <v/>
      </c>
      <c r="Y3100" s="139" t="str">
        <f>IFERROR(__xludf.DUMMYFUNCTION("""COMPUTED_VALUE"""),"")</f>
        <v/>
      </c>
      <c r="Z3100" s="141" t="str">
        <f>IFERROR(__xludf.DUMMYFUNCTION("""COMPUTED_VALUE"""),"")</f>
        <v/>
      </c>
    </row>
    <row r="3101">
      <c r="D3101" s="136" t="str">
        <f t="shared" si="3"/>
        <v/>
      </c>
      <c r="E3101" s="152"/>
      <c r="F3101" s="106" t="s">
        <v>133</v>
      </c>
      <c r="G3101" s="152"/>
      <c r="H3101" s="106" t="s">
        <v>133</v>
      </c>
      <c r="J3101" s="139" t="s">
        <v>133</v>
      </c>
      <c r="K3101" s="136" t="s">
        <v>133</v>
      </c>
      <c r="L3101" s="153"/>
      <c r="M3101" s="136" t="str">
        <f t="shared" si="1"/>
        <v/>
      </c>
      <c r="O3101" s="141" t="s">
        <v>133</v>
      </c>
      <c r="P3101" s="136" t="str">
        <f>IFERROR(__xludf.DUMMYFUNCTION("""COMPUTED_VALUE"""),"")</f>
        <v/>
      </c>
      <c r="Q3101" s="136" t="str">
        <f>IFERROR(__xludf.DUMMYFUNCTION("""COMPUTED_VALUE"""),"")</f>
        <v/>
      </c>
      <c r="R3101" s="106" t="str">
        <f>IFERROR(__xludf.DUMMYFUNCTION("""COMPUTED_VALUE"""),"")</f>
        <v/>
      </c>
      <c r="S3101" s="106" t="str">
        <f>IFERROR(__xludf.DUMMYFUNCTION("""COMPUTED_VALUE"""),"")</f>
        <v/>
      </c>
      <c r="T3101" s="139" t="str">
        <f>IFERROR(__xludf.DUMMYFUNCTION("""COMPUTED_VALUE"""),"")</f>
        <v/>
      </c>
      <c r="U3101" s="139" t="str">
        <f>IFERROR(__xludf.DUMMYFUNCTION("""COMPUTED_VALUE"""),"")</f>
        <v/>
      </c>
      <c r="V3101" s="136" t="str">
        <f>IFERROR(__xludf.DUMMYFUNCTION("""COMPUTED_VALUE"""),"")</f>
        <v/>
      </c>
      <c r="W3101" s="106" t="str">
        <f>IFERROR(__xludf.DUMMYFUNCTION("""COMPUTED_VALUE"""),"")</f>
        <v/>
      </c>
      <c r="X3101" s="143" t="str">
        <f t="shared" si="2"/>
        <v/>
      </c>
      <c r="Y3101" s="139" t="str">
        <f>IFERROR(__xludf.DUMMYFUNCTION("""COMPUTED_VALUE"""),"")</f>
        <v/>
      </c>
      <c r="Z3101" s="141" t="str">
        <f>IFERROR(__xludf.DUMMYFUNCTION("""COMPUTED_VALUE"""),"")</f>
        <v/>
      </c>
    </row>
    <row r="3102">
      <c r="D3102" s="136" t="str">
        <f t="shared" si="3"/>
        <v/>
      </c>
      <c r="E3102" s="152"/>
      <c r="F3102" s="106" t="s">
        <v>133</v>
      </c>
      <c r="G3102" s="152"/>
      <c r="H3102" s="106" t="s">
        <v>133</v>
      </c>
      <c r="J3102" s="139" t="s">
        <v>133</v>
      </c>
      <c r="K3102" s="136" t="s">
        <v>133</v>
      </c>
      <c r="L3102" s="153"/>
      <c r="M3102" s="136" t="str">
        <f t="shared" si="1"/>
        <v/>
      </c>
      <c r="O3102" s="141" t="s">
        <v>133</v>
      </c>
      <c r="P3102" s="136" t="str">
        <f>IFERROR(__xludf.DUMMYFUNCTION("""COMPUTED_VALUE"""),"")</f>
        <v/>
      </c>
      <c r="Q3102" s="136" t="str">
        <f>IFERROR(__xludf.DUMMYFUNCTION("""COMPUTED_VALUE"""),"")</f>
        <v/>
      </c>
      <c r="R3102" s="106" t="str">
        <f>IFERROR(__xludf.DUMMYFUNCTION("""COMPUTED_VALUE"""),"")</f>
        <v/>
      </c>
      <c r="S3102" s="106" t="str">
        <f>IFERROR(__xludf.DUMMYFUNCTION("""COMPUTED_VALUE"""),"")</f>
        <v/>
      </c>
      <c r="T3102" s="139" t="str">
        <f>IFERROR(__xludf.DUMMYFUNCTION("""COMPUTED_VALUE"""),"")</f>
        <v/>
      </c>
      <c r="U3102" s="139" t="str">
        <f>IFERROR(__xludf.DUMMYFUNCTION("""COMPUTED_VALUE"""),"")</f>
        <v/>
      </c>
      <c r="V3102" s="136" t="str">
        <f>IFERROR(__xludf.DUMMYFUNCTION("""COMPUTED_VALUE"""),"")</f>
        <v/>
      </c>
      <c r="W3102" s="106" t="str">
        <f>IFERROR(__xludf.DUMMYFUNCTION("""COMPUTED_VALUE"""),"")</f>
        <v/>
      </c>
      <c r="X3102" s="143" t="str">
        <f t="shared" si="2"/>
        <v/>
      </c>
      <c r="Y3102" s="139" t="str">
        <f>IFERROR(__xludf.DUMMYFUNCTION("""COMPUTED_VALUE"""),"")</f>
        <v/>
      </c>
      <c r="Z3102" s="141" t="str">
        <f>IFERROR(__xludf.DUMMYFUNCTION("""COMPUTED_VALUE"""),"")</f>
        <v/>
      </c>
    </row>
    <row r="3103">
      <c r="D3103" s="136" t="str">
        <f t="shared" si="3"/>
        <v/>
      </c>
      <c r="E3103" s="152"/>
      <c r="F3103" s="106" t="s">
        <v>133</v>
      </c>
      <c r="G3103" s="152"/>
      <c r="H3103" s="106" t="s">
        <v>133</v>
      </c>
      <c r="J3103" s="139" t="s">
        <v>133</v>
      </c>
      <c r="K3103" s="136" t="s">
        <v>133</v>
      </c>
      <c r="L3103" s="153"/>
      <c r="M3103" s="136" t="str">
        <f t="shared" si="1"/>
        <v/>
      </c>
      <c r="O3103" s="141" t="s">
        <v>133</v>
      </c>
      <c r="P3103" s="136" t="str">
        <f>IFERROR(__xludf.DUMMYFUNCTION("""COMPUTED_VALUE"""),"")</f>
        <v/>
      </c>
      <c r="Q3103" s="136" t="str">
        <f>IFERROR(__xludf.DUMMYFUNCTION("""COMPUTED_VALUE"""),"")</f>
        <v/>
      </c>
      <c r="R3103" s="106" t="str">
        <f>IFERROR(__xludf.DUMMYFUNCTION("""COMPUTED_VALUE"""),"")</f>
        <v/>
      </c>
      <c r="S3103" s="106" t="str">
        <f>IFERROR(__xludf.DUMMYFUNCTION("""COMPUTED_VALUE"""),"")</f>
        <v/>
      </c>
      <c r="T3103" s="139" t="str">
        <f>IFERROR(__xludf.DUMMYFUNCTION("""COMPUTED_VALUE"""),"")</f>
        <v/>
      </c>
      <c r="U3103" s="139" t="str">
        <f>IFERROR(__xludf.DUMMYFUNCTION("""COMPUTED_VALUE"""),"")</f>
        <v/>
      </c>
      <c r="V3103" s="136" t="str">
        <f>IFERROR(__xludf.DUMMYFUNCTION("""COMPUTED_VALUE"""),"")</f>
        <v/>
      </c>
      <c r="W3103" s="106" t="str">
        <f>IFERROR(__xludf.DUMMYFUNCTION("""COMPUTED_VALUE"""),"")</f>
        <v/>
      </c>
      <c r="X3103" s="143" t="str">
        <f t="shared" si="2"/>
        <v/>
      </c>
      <c r="Y3103" s="139" t="str">
        <f>IFERROR(__xludf.DUMMYFUNCTION("""COMPUTED_VALUE"""),"")</f>
        <v/>
      </c>
      <c r="Z3103" s="141" t="str">
        <f>IFERROR(__xludf.DUMMYFUNCTION("""COMPUTED_VALUE"""),"")</f>
        <v/>
      </c>
    </row>
    <row r="3104">
      <c r="D3104" s="136" t="str">
        <f t="shared" si="3"/>
        <v/>
      </c>
      <c r="E3104" s="152"/>
      <c r="F3104" s="106" t="s">
        <v>133</v>
      </c>
      <c r="G3104" s="152"/>
      <c r="H3104" s="106" t="s">
        <v>133</v>
      </c>
      <c r="J3104" s="139" t="s">
        <v>133</v>
      </c>
      <c r="K3104" s="136" t="s">
        <v>133</v>
      </c>
      <c r="L3104" s="153"/>
      <c r="M3104" s="136" t="str">
        <f t="shared" si="1"/>
        <v/>
      </c>
      <c r="O3104" s="141" t="s">
        <v>133</v>
      </c>
      <c r="P3104" s="136" t="str">
        <f>IFERROR(__xludf.DUMMYFUNCTION("""COMPUTED_VALUE"""),"")</f>
        <v/>
      </c>
      <c r="Q3104" s="136" t="str">
        <f>IFERROR(__xludf.DUMMYFUNCTION("""COMPUTED_VALUE"""),"")</f>
        <v/>
      </c>
      <c r="R3104" s="106" t="str">
        <f>IFERROR(__xludf.DUMMYFUNCTION("""COMPUTED_VALUE"""),"")</f>
        <v/>
      </c>
      <c r="S3104" s="106" t="str">
        <f>IFERROR(__xludf.DUMMYFUNCTION("""COMPUTED_VALUE"""),"")</f>
        <v/>
      </c>
      <c r="T3104" s="139" t="str">
        <f>IFERROR(__xludf.DUMMYFUNCTION("""COMPUTED_VALUE"""),"")</f>
        <v/>
      </c>
      <c r="U3104" s="139" t="str">
        <f>IFERROR(__xludf.DUMMYFUNCTION("""COMPUTED_VALUE"""),"")</f>
        <v/>
      </c>
      <c r="V3104" s="136" t="str">
        <f>IFERROR(__xludf.DUMMYFUNCTION("""COMPUTED_VALUE"""),"")</f>
        <v/>
      </c>
      <c r="W3104" s="106" t="str">
        <f>IFERROR(__xludf.DUMMYFUNCTION("""COMPUTED_VALUE"""),"")</f>
        <v/>
      </c>
      <c r="X3104" s="143" t="str">
        <f t="shared" si="2"/>
        <v/>
      </c>
      <c r="Y3104" s="139" t="str">
        <f>IFERROR(__xludf.DUMMYFUNCTION("""COMPUTED_VALUE"""),"")</f>
        <v/>
      </c>
      <c r="Z3104" s="141" t="str">
        <f>IFERROR(__xludf.DUMMYFUNCTION("""COMPUTED_VALUE"""),"")</f>
        <v/>
      </c>
    </row>
    <row r="3105">
      <c r="D3105" s="136" t="str">
        <f t="shared" si="3"/>
        <v/>
      </c>
      <c r="E3105" s="152"/>
      <c r="F3105" s="106" t="s">
        <v>133</v>
      </c>
      <c r="G3105" s="152"/>
      <c r="H3105" s="106" t="s">
        <v>133</v>
      </c>
      <c r="J3105" s="139" t="s">
        <v>133</v>
      </c>
      <c r="K3105" s="136" t="s">
        <v>133</v>
      </c>
      <c r="L3105" s="153"/>
      <c r="M3105" s="136" t="str">
        <f t="shared" si="1"/>
        <v/>
      </c>
      <c r="O3105" s="141" t="s">
        <v>133</v>
      </c>
      <c r="P3105" s="136" t="str">
        <f>IFERROR(__xludf.DUMMYFUNCTION("""COMPUTED_VALUE"""),"")</f>
        <v/>
      </c>
      <c r="Q3105" s="136" t="str">
        <f>IFERROR(__xludf.DUMMYFUNCTION("""COMPUTED_VALUE"""),"")</f>
        <v/>
      </c>
      <c r="R3105" s="106" t="str">
        <f>IFERROR(__xludf.DUMMYFUNCTION("""COMPUTED_VALUE"""),"")</f>
        <v/>
      </c>
      <c r="S3105" s="106" t="str">
        <f>IFERROR(__xludf.DUMMYFUNCTION("""COMPUTED_VALUE"""),"")</f>
        <v/>
      </c>
      <c r="T3105" s="139" t="str">
        <f>IFERROR(__xludf.DUMMYFUNCTION("""COMPUTED_VALUE"""),"")</f>
        <v/>
      </c>
      <c r="U3105" s="139" t="str">
        <f>IFERROR(__xludf.DUMMYFUNCTION("""COMPUTED_VALUE"""),"")</f>
        <v/>
      </c>
      <c r="V3105" s="136" t="str">
        <f>IFERROR(__xludf.DUMMYFUNCTION("""COMPUTED_VALUE"""),"")</f>
        <v/>
      </c>
      <c r="W3105" s="106" t="str">
        <f>IFERROR(__xludf.DUMMYFUNCTION("""COMPUTED_VALUE"""),"")</f>
        <v/>
      </c>
      <c r="X3105" s="143" t="str">
        <f t="shared" si="2"/>
        <v/>
      </c>
      <c r="Y3105" s="139" t="str">
        <f>IFERROR(__xludf.DUMMYFUNCTION("""COMPUTED_VALUE"""),"")</f>
        <v/>
      </c>
      <c r="Z3105" s="141" t="str">
        <f>IFERROR(__xludf.DUMMYFUNCTION("""COMPUTED_VALUE"""),"")</f>
        <v/>
      </c>
    </row>
    <row r="3106">
      <c r="D3106" s="136" t="str">
        <f t="shared" si="3"/>
        <v/>
      </c>
      <c r="E3106" s="152"/>
      <c r="F3106" s="106" t="s">
        <v>133</v>
      </c>
      <c r="G3106" s="152"/>
      <c r="H3106" s="106" t="s">
        <v>133</v>
      </c>
      <c r="J3106" s="139" t="s">
        <v>133</v>
      </c>
      <c r="K3106" s="136" t="s">
        <v>133</v>
      </c>
      <c r="L3106" s="153"/>
      <c r="M3106" s="136" t="str">
        <f t="shared" si="1"/>
        <v/>
      </c>
      <c r="O3106" s="141" t="s">
        <v>133</v>
      </c>
      <c r="P3106" s="136" t="str">
        <f>IFERROR(__xludf.DUMMYFUNCTION("""COMPUTED_VALUE"""),"")</f>
        <v/>
      </c>
      <c r="Q3106" s="136" t="str">
        <f>IFERROR(__xludf.DUMMYFUNCTION("""COMPUTED_VALUE"""),"")</f>
        <v/>
      </c>
      <c r="R3106" s="106" t="str">
        <f>IFERROR(__xludf.DUMMYFUNCTION("""COMPUTED_VALUE"""),"")</f>
        <v/>
      </c>
      <c r="S3106" s="106" t="str">
        <f>IFERROR(__xludf.DUMMYFUNCTION("""COMPUTED_VALUE"""),"")</f>
        <v/>
      </c>
      <c r="T3106" s="139" t="str">
        <f>IFERROR(__xludf.DUMMYFUNCTION("""COMPUTED_VALUE"""),"")</f>
        <v/>
      </c>
      <c r="U3106" s="139" t="str">
        <f>IFERROR(__xludf.DUMMYFUNCTION("""COMPUTED_VALUE"""),"")</f>
        <v/>
      </c>
      <c r="V3106" s="136" t="str">
        <f>IFERROR(__xludf.DUMMYFUNCTION("""COMPUTED_VALUE"""),"")</f>
        <v/>
      </c>
      <c r="W3106" s="106" t="str">
        <f>IFERROR(__xludf.DUMMYFUNCTION("""COMPUTED_VALUE"""),"")</f>
        <v/>
      </c>
      <c r="X3106" s="143" t="str">
        <f t="shared" si="2"/>
        <v/>
      </c>
      <c r="Y3106" s="139" t="str">
        <f>IFERROR(__xludf.DUMMYFUNCTION("""COMPUTED_VALUE"""),"")</f>
        <v/>
      </c>
      <c r="Z3106" s="141" t="str">
        <f>IFERROR(__xludf.DUMMYFUNCTION("""COMPUTED_VALUE"""),"")</f>
        <v/>
      </c>
    </row>
    <row r="3107">
      <c r="D3107" s="136" t="str">
        <f t="shared" si="3"/>
        <v/>
      </c>
      <c r="E3107" s="152"/>
      <c r="F3107" s="106" t="s">
        <v>133</v>
      </c>
      <c r="G3107" s="152"/>
      <c r="H3107" s="106" t="s">
        <v>133</v>
      </c>
      <c r="J3107" s="139" t="s">
        <v>133</v>
      </c>
      <c r="K3107" s="136" t="s">
        <v>133</v>
      </c>
      <c r="L3107" s="153"/>
      <c r="M3107" s="136" t="str">
        <f t="shared" si="1"/>
        <v/>
      </c>
      <c r="O3107" s="141" t="s">
        <v>133</v>
      </c>
      <c r="P3107" s="136" t="str">
        <f>IFERROR(__xludf.DUMMYFUNCTION("""COMPUTED_VALUE"""),"")</f>
        <v/>
      </c>
      <c r="Q3107" s="136" t="str">
        <f>IFERROR(__xludf.DUMMYFUNCTION("""COMPUTED_VALUE"""),"")</f>
        <v/>
      </c>
      <c r="R3107" s="106" t="str">
        <f>IFERROR(__xludf.DUMMYFUNCTION("""COMPUTED_VALUE"""),"")</f>
        <v/>
      </c>
      <c r="S3107" s="106" t="str">
        <f>IFERROR(__xludf.DUMMYFUNCTION("""COMPUTED_VALUE"""),"")</f>
        <v/>
      </c>
      <c r="T3107" s="139" t="str">
        <f>IFERROR(__xludf.DUMMYFUNCTION("""COMPUTED_VALUE"""),"")</f>
        <v/>
      </c>
      <c r="U3107" s="139" t="str">
        <f>IFERROR(__xludf.DUMMYFUNCTION("""COMPUTED_VALUE"""),"")</f>
        <v/>
      </c>
      <c r="V3107" s="136" t="str">
        <f>IFERROR(__xludf.DUMMYFUNCTION("""COMPUTED_VALUE"""),"")</f>
        <v/>
      </c>
      <c r="W3107" s="106" t="str">
        <f>IFERROR(__xludf.DUMMYFUNCTION("""COMPUTED_VALUE"""),"")</f>
        <v/>
      </c>
      <c r="X3107" s="143" t="str">
        <f t="shared" si="2"/>
        <v/>
      </c>
      <c r="Y3107" s="139" t="str">
        <f>IFERROR(__xludf.DUMMYFUNCTION("""COMPUTED_VALUE"""),"")</f>
        <v/>
      </c>
      <c r="Z3107" s="141" t="str">
        <f>IFERROR(__xludf.DUMMYFUNCTION("""COMPUTED_VALUE"""),"")</f>
        <v/>
      </c>
    </row>
    <row r="3108">
      <c r="D3108" s="136" t="str">
        <f t="shared" si="3"/>
        <v/>
      </c>
      <c r="E3108" s="152"/>
      <c r="F3108" s="106" t="s">
        <v>133</v>
      </c>
      <c r="G3108" s="152"/>
      <c r="H3108" s="106" t="s">
        <v>133</v>
      </c>
      <c r="J3108" s="139" t="s">
        <v>133</v>
      </c>
      <c r="K3108" s="136" t="s">
        <v>133</v>
      </c>
      <c r="L3108" s="153"/>
      <c r="M3108" s="136" t="str">
        <f t="shared" si="1"/>
        <v/>
      </c>
      <c r="O3108" s="141" t="s">
        <v>133</v>
      </c>
      <c r="P3108" s="136" t="str">
        <f>IFERROR(__xludf.DUMMYFUNCTION("""COMPUTED_VALUE"""),"")</f>
        <v/>
      </c>
      <c r="Q3108" s="136" t="str">
        <f>IFERROR(__xludf.DUMMYFUNCTION("""COMPUTED_VALUE"""),"")</f>
        <v/>
      </c>
      <c r="R3108" s="106" t="str">
        <f>IFERROR(__xludf.DUMMYFUNCTION("""COMPUTED_VALUE"""),"")</f>
        <v/>
      </c>
      <c r="S3108" s="106" t="str">
        <f>IFERROR(__xludf.DUMMYFUNCTION("""COMPUTED_VALUE"""),"")</f>
        <v/>
      </c>
      <c r="T3108" s="139" t="str">
        <f>IFERROR(__xludf.DUMMYFUNCTION("""COMPUTED_VALUE"""),"")</f>
        <v/>
      </c>
      <c r="U3108" s="139" t="str">
        <f>IFERROR(__xludf.DUMMYFUNCTION("""COMPUTED_VALUE"""),"")</f>
        <v/>
      </c>
      <c r="V3108" s="136" t="str">
        <f>IFERROR(__xludf.DUMMYFUNCTION("""COMPUTED_VALUE"""),"")</f>
        <v/>
      </c>
      <c r="W3108" s="106" t="str">
        <f>IFERROR(__xludf.DUMMYFUNCTION("""COMPUTED_VALUE"""),"")</f>
        <v/>
      </c>
      <c r="X3108" s="143" t="str">
        <f t="shared" si="2"/>
        <v/>
      </c>
      <c r="Y3108" s="139" t="str">
        <f>IFERROR(__xludf.DUMMYFUNCTION("""COMPUTED_VALUE"""),"")</f>
        <v/>
      </c>
      <c r="Z3108" s="141" t="str">
        <f>IFERROR(__xludf.DUMMYFUNCTION("""COMPUTED_VALUE"""),"")</f>
        <v/>
      </c>
    </row>
    <row r="3109">
      <c r="D3109" s="136" t="str">
        <f t="shared" si="3"/>
        <v/>
      </c>
      <c r="E3109" s="152"/>
      <c r="F3109" s="106" t="s">
        <v>133</v>
      </c>
      <c r="G3109" s="152"/>
      <c r="H3109" s="106" t="s">
        <v>133</v>
      </c>
      <c r="J3109" s="139" t="s">
        <v>133</v>
      </c>
      <c r="K3109" s="136" t="s">
        <v>133</v>
      </c>
      <c r="L3109" s="153"/>
      <c r="M3109" s="136" t="str">
        <f t="shared" si="1"/>
        <v/>
      </c>
      <c r="O3109" s="141" t="s">
        <v>133</v>
      </c>
      <c r="P3109" s="136" t="str">
        <f>IFERROR(__xludf.DUMMYFUNCTION("""COMPUTED_VALUE"""),"")</f>
        <v/>
      </c>
      <c r="Q3109" s="136" t="str">
        <f>IFERROR(__xludf.DUMMYFUNCTION("""COMPUTED_VALUE"""),"")</f>
        <v/>
      </c>
      <c r="R3109" s="106" t="str">
        <f>IFERROR(__xludf.DUMMYFUNCTION("""COMPUTED_VALUE"""),"")</f>
        <v/>
      </c>
      <c r="S3109" s="106" t="str">
        <f>IFERROR(__xludf.DUMMYFUNCTION("""COMPUTED_VALUE"""),"")</f>
        <v/>
      </c>
      <c r="T3109" s="139" t="str">
        <f>IFERROR(__xludf.DUMMYFUNCTION("""COMPUTED_VALUE"""),"")</f>
        <v/>
      </c>
      <c r="U3109" s="139" t="str">
        <f>IFERROR(__xludf.DUMMYFUNCTION("""COMPUTED_VALUE"""),"")</f>
        <v/>
      </c>
      <c r="V3109" s="136" t="str">
        <f>IFERROR(__xludf.DUMMYFUNCTION("""COMPUTED_VALUE"""),"")</f>
        <v/>
      </c>
      <c r="W3109" s="106" t="str">
        <f>IFERROR(__xludf.DUMMYFUNCTION("""COMPUTED_VALUE"""),"")</f>
        <v/>
      </c>
      <c r="X3109" s="143" t="str">
        <f t="shared" si="2"/>
        <v/>
      </c>
      <c r="Y3109" s="139" t="str">
        <f>IFERROR(__xludf.DUMMYFUNCTION("""COMPUTED_VALUE"""),"")</f>
        <v/>
      </c>
      <c r="Z3109" s="141" t="str">
        <f>IFERROR(__xludf.DUMMYFUNCTION("""COMPUTED_VALUE"""),"")</f>
        <v/>
      </c>
    </row>
    <row r="3110">
      <c r="D3110" s="136" t="str">
        <f t="shared" si="3"/>
        <v/>
      </c>
      <c r="E3110" s="152"/>
      <c r="F3110" s="106" t="s">
        <v>133</v>
      </c>
      <c r="G3110" s="152"/>
      <c r="H3110" s="106" t="s">
        <v>133</v>
      </c>
      <c r="J3110" s="139" t="s">
        <v>133</v>
      </c>
      <c r="K3110" s="136" t="s">
        <v>133</v>
      </c>
      <c r="L3110" s="153"/>
      <c r="M3110" s="136" t="str">
        <f t="shared" si="1"/>
        <v/>
      </c>
      <c r="O3110" s="141" t="s">
        <v>133</v>
      </c>
      <c r="P3110" s="136" t="str">
        <f>IFERROR(__xludf.DUMMYFUNCTION("""COMPUTED_VALUE"""),"")</f>
        <v/>
      </c>
      <c r="Q3110" s="136" t="str">
        <f>IFERROR(__xludf.DUMMYFUNCTION("""COMPUTED_VALUE"""),"")</f>
        <v/>
      </c>
      <c r="R3110" s="106" t="str">
        <f>IFERROR(__xludf.DUMMYFUNCTION("""COMPUTED_VALUE"""),"")</f>
        <v/>
      </c>
      <c r="S3110" s="106" t="str">
        <f>IFERROR(__xludf.DUMMYFUNCTION("""COMPUTED_VALUE"""),"")</f>
        <v/>
      </c>
      <c r="T3110" s="139" t="str">
        <f>IFERROR(__xludf.DUMMYFUNCTION("""COMPUTED_VALUE"""),"")</f>
        <v/>
      </c>
      <c r="U3110" s="139" t="str">
        <f>IFERROR(__xludf.DUMMYFUNCTION("""COMPUTED_VALUE"""),"")</f>
        <v/>
      </c>
      <c r="V3110" s="136" t="str">
        <f>IFERROR(__xludf.DUMMYFUNCTION("""COMPUTED_VALUE"""),"")</f>
        <v/>
      </c>
      <c r="W3110" s="106" t="str">
        <f>IFERROR(__xludf.DUMMYFUNCTION("""COMPUTED_VALUE"""),"")</f>
        <v/>
      </c>
      <c r="X3110" s="143" t="str">
        <f t="shared" si="2"/>
        <v/>
      </c>
      <c r="Y3110" s="139" t="str">
        <f>IFERROR(__xludf.DUMMYFUNCTION("""COMPUTED_VALUE"""),"")</f>
        <v/>
      </c>
      <c r="Z3110" s="141" t="str">
        <f>IFERROR(__xludf.DUMMYFUNCTION("""COMPUTED_VALUE"""),"")</f>
        <v/>
      </c>
    </row>
    <row r="3111">
      <c r="D3111" s="136" t="str">
        <f t="shared" si="3"/>
        <v/>
      </c>
      <c r="E3111" s="152"/>
      <c r="F3111" s="106" t="s">
        <v>133</v>
      </c>
      <c r="G3111" s="152"/>
      <c r="H3111" s="106" t="s">
        <v>133</v>
      </c>
      <c r="J3111" s="139" t="s">
        <v>133</v>
      </c>
      <c r="K3111" s="136" t="s">
        <v>133</v>
      </c>
      <c r="L3111" s="153"/>
      <c r="M3111" s="136" t="str">
        <f t="shared" si="1"/>
        <v/>
      </c>
      <c r="O3111" s="141" t="s">
        <v>133</v>
      </c>
      <c r="P3111" s="136" t="str">
        <f>IFERROR(__xludf.DUMMYFUNCTION("""COMPUTED_VALUE"""),"")</f>
        <v/>
      </c>
      <c r="Q3111" s="136" t="str">
        <f>IFERROR(__xludf.DUMMYFUNCTION("""COMPUTED_VALUE"""),"")</f>
        <v/>
      </c>
      <c r="R3111" s="106" t="str">
        <f>IFERROR(__xludf.DUMMYFUNCTION("""COMPUTED_VALUE"""),"")</f>
        <v/>
      </c>
      <c r="S3111" s="106" t="str">
        <f>IFERROR(__xludf.DUMMYFUNCTION("""COMPUTED_VALUE"""),"")</f>
        <v/>
      </c>
      <c r="T3111" s="139" t="str">
        <f>IFERROR(__xludf.DUMMYFUNCTION("""COMPUTED_VALUE"""),"")</f>
        <v/>
      </c>
      <c r="U3111" s="139" t="str">
        <f>IFERROR(__xludf.DUMMYFUNCTION("""COMPUTED_VALUE"""),"")</f>
        <v/>
      </c>
      <c r="V3111" s="136" t="str">
        <f>IFERROR(__xludf.DUMMYFUNCTION("""COMPUTED_VALUE"""),"")</f>
        <v/>
      </c>
      <c r="W3111" s="106" t="str">
        <f>IFERROR(__xludf.DUMMYFUNCTION("""COMPUTED_VALUE"""),"")</f>
        <v/>
      </c>
      <c r="X3111" s="143" t="str">
        <f t="shared" si="2"/>
        <v/>
      </c>
      <c r="Y3111" s="139" t="str">
        <f>IFERROR(__xludf.DUMMYFUNCTION("""COMPUTED_VALUE"""),"")</f>
        <v/>
      </c>
      <c r="Z3111" s="141" t="str">
        <f>IFERROR(__xludf.DUMMYFUNCTION("""COMPUTED_VALUE"""),"")</f>
        <v/>
      </c>
    </row>
    <row r="3112">
      <c r="D3112" s="136" t="str">
        <f t="shared" si="3"/>
        <v/>
      </c>
      <c r="E3112" s="152"/>
      <c r="F3112" s="106" t="s">
        <v>133</v>
      </c>
      <c r="G3112" s="152"/>
      <c r="H3112" s="106" t="s">
        <v>133</v>
      </c>
      <c r="J3112" s="139" t="s">
        <v>133</v>
      </c>
      <c r="K3112" s="136" t="s">
        <v>133</v>
      </c>
      <c r="L3112" s="153"/>
      <c r="M3112" s="136" t="str">
        <f t="shared" si="1"/>
        <v/>
      </c>
      <c r="O3112" s="141" t="s">
        <v>133</v>
      </c>
      <c r="P3112" s="136" t="str">
        <f>IFERROR(__xludf.DUMMYFUNCTION("""COMPUTED_VALUE"""),"")</f>
        <v/>
      </c>
      <c r="Q3112" s="136" t="str">
        <f>IFERROR(__xludf.DUMMYFUNCTION("""COMPUTED_VALUE"""),"")</f>
        <v/>
      </c>
      <c r="R3112" s="106" t="str">
        <f>IFERROR(__xludf.DUMMYFUNCTION("""COMPUTED_VALUE"""),"")</f>
        <v/>
      </c>
      <c r="S3112" s="106" t="str">
        <f>IFERROR(__xludf.DUMMYFUNCTION("""COMPUTED_VALUE"""),"")</f>
        <v/>
      </c>
      <c r="T3112" s="139" t="str">
        <f>IFERROR(__xludf.DUMMYFUNCTION("""COMPUTED_VALUE"""),"")</f>
        <v/>
      </c>
      <c r="U3112" s="139" t="str">
        <f>IFERROR(__xludf.DUMMYFUNCTION("""COMPUTED_VALUE"""),"")</f>
        <v/>
      </c>
      <c r="V3112" s="136" t="str">
        <f>IFERROR(__xludf.DUMMYFUNCTION("""COMPUTED_VALUE"""),"")</f>
        <v/>
      </c>
      <c r="W3112" s="106" t="str">
        <f>IFERROR(__xludf.DUMMYFUNCTION("""COMPUTED_VALUE"""),"")</f>
        <v/>
      </c>
      <c r="X3112" s="143" t="str">
        <f t="shared" si="2"/>
        <v/>
      </c>
      <c r="Y3112" s="139" t="str">
        <f>IFERROR(__xludf.DUMMYFUNCTION("""COMPUTED_VALUE"""),"")</f>
        <v/>
      </c>
      <c r="Z3112" s="141" t="str">
        <f>IFERROR(__xludf.DUMMYFUNCTION("""COMPUTED_VALUE"""),"")</f>
        <v/>
      </c>
    </row>
    <row r="3113">
      <c r="D3113" s="136" t="str">
        <f t="shared" si="3"/>
        <v/>
      </c>
      <c r="E3113" s="152"/>
      <c r="F3113" s="106" t="s">
        <v>133</v>
      </c>
      <c r="G3113" s="152"/>
      <c r="H3113" s="106" t="s">
        <v>133</v>
      </c>
      <c r="J3113" s="139" t="s">
        <v>133</v>
      </c>
      <c r="K3113" s="136" t="s">
        <v>133</v>
      </c>
      <c r="L3113" s="153"/>
      <c r="M3113" s="136" t="str">
        <f t="shared" si="1"/>
        <v/>
      </c>
      <c r="O3113" s="141" t="s">
        <v>133</v>
      </c>
      <c r="P3113" s="136" t="str">
        <f>IFERROR(__xludf.DUMMYFUNCTION("""COMPUTED_VALUE"""),"")</f>
        <v/>
      </c>
      <c r="Q3113" s="136" t="str">
        <f>IFERROR(__xludf.DUMMYFUNCTION("""COMPUTED_VALUE"""),"")</f>
        <v/>
      </c>
      <c r="R3113" s="106" t="str">
        <f>IFERROR(__xludf.DUMMYFUNCTION("""COMPUTED_VALUE"""),"")</f>
        <v/>
      </c>
      <c r="S3113" s="106" t="str">
        <f>IFERROR(__xludf.DUMMYFUNCTION("""COMPUTED_VALUE"""),"")</f>
        <v/>
      </c>
      <c r="T3113" s="139" t="str">
        <f>IFERROR(__xludf.DUMMYFUNCTION("""COMPUTED_VALUE"""),"")</f>
        <v/>
      </c>
      <c r="U3113" s="139" t="str">
        <f>IFERROR(__xludf.DUMMYFUNCTION("""COMPUTED_VALUE"""),"")</f>
        <v/>
      </c>
      <c r="V3113" s="136" t="str">
        <f>IFERROR(__xludf.DUMMYFUNCTION("""COMPUTED_VALUE"""),"")</f>
        <v/>
      </c>
      <c r="W3113" s="106" t="str">
        <f>IFERROR(__xludf.DUMMYFUNCTION("""COMPUTED_VALUE"""),"")</f>
        <v/>
      </c>
      <c r="X3113" s="143" t="str">
        <f t="shared" si="2"/>
        <v/>
      </c>
      <c r="Y3113" s="139" t="str">
        <f>IFERROR(__xludf.DUMMYFUNCTION("""COMPUTED_VALUE"""),"")</f>
        <v/>
      </c>
      <c r="Z3113" s="141" t="str">
        <f>IFERROR(__xludf.DUMMYFUNCTION("""COMPUTED_VALUE"""),"")</f>
        <v/>
      </c>
    </row>
    <row r="3114">
      <c r="D3114" s="136" t="str">
        <f t="shared" si="3"/>
        <v/>
      </c>
      <c r="E3114" s="152"/>
      <c r="F3114" s="106" t="s">
        <v>133</v>
      </c>
      <c r="G3114" s="152"/>
      <c r="H3114" s="106" t="s">
        <v>133</v>
      </c>
      <c r="J3114" s="139" t="s">
        <v>133</v>
      </c>
      <c r="K3114" s="136" t="s">
        <v>133</v>
      </c>
      <c r="L3114" s="153"/>
      <c r="M3114" s="136" t="str">
        <f t="shared" si="1"/>
        <v/>
      </c>
      <c r="O3114" s="141" t="s">
        <v>133</v>
      </c>
      <c r="P3114" s="136" t="str">
        <f>IFERROR(__xludf.DUMMYFUNCTION("""COMPUTED_VALUE"""),"")</f>
        <v/>
      </c>
      <c r="Q3114" s="136" t="str">
        <f>IFERROR(__xludf.DUMMYFUNCTION("""COMPUTED_VALUE"""),"")</f>
        <v/>
      </c>
      <c r="R3114" s="106" t="str">
        <f>IFERROR(__xludf.DUMMYFUNCTION("""COMPUTED_VALUE"""),"")</f>
        <v/>
      </c>
      <c r="S3114" s="106" t="str">
        <f>IFERROR(__xludf.DUMMYFUNCTION("""COMPUTED_VALUE"""),"")</f>
        <v/>
      </c>
      <c r="T3114" s="139" t="str">
        <f>IFERROR(__xludf.DUMMYFUNCTION("""COMPUTED_VALUE"""),"")</f>
        <v/>
      </c>
      <c r="U3114" s="139" t="str">
        <f>IFERROR(__xludf.DUMMYFUNCTION("""COMPUTED_VALUE"""),"")</f>
        <v/>
      </c>
      <c r="V3114" s="136" t="str">
        <f>IFERROR(__xludf.DUMMYFUNCTION("""COMPUTED_VALUE"""),"")</f>
        <v/>
      </c>
      <c r="W3114" s="106" t="str">
        <f>IFERROR(__xludf.DUMMYFUNCTION("""COMPUTED_VALUE"""),"")</f>
        <v/>
      </c>
      <c r="X3114" s="143" t="str">
        <f t="shared" si="2"/>
        <v/>
      </c>
      <c r="Y3114" s="139" t="str">
        <f>IFERROR(__xludf.DUMMYFUNCTION("""COMPUTED_VALUE"""),"")</f>
        <v/>
      </c>
      <c r="Z3114" s="141" t="str">
        <f>IFERROR(__xludf.DUMMYFUNCTION("""COMPUTED_VALUE"""),"")</f>
        <v/>
      </c>
    </row>
    <row r="3115">
      <c r="D3115" s="136" t="str">
        <f t="shared" si="3"/>
        <v/>
      </c>
      <c r="E3115" s="152"/>
      <c r="F3115" s="106" t="s">
        <v>133</v>
      </c>
      <c r="G3115" s="152"/>
      <c r="H3115" s="106" t="s">
        <v>133</v>
      </c>
      <c r="J3115" s="139" t="s">
        <v>133</v>
      </c>
      <c r="K3115" s="136" t="s">
        <v>133</v>
      </c>
      <c r="L3115" s="153"/>
      <c r="M3115" s="136" t="str">
        <f t="shared" si="1"/>
        <v/>
      </c>
      <c r="O3115" s="141" t="s">
        <v>133</v>
      </c>
      <c r="P3115" s="136" t="str">
        <f>IFERROR(__xludf.DUMMYFUNCTION("""COMPUTED_VALUE"""),"")</f>
        <v/>
      </c>
      <c r="Q3115" s="136" t="str">
        <f>IFERROR(__xludf.DUMMYFUNCTION("""COMPUTED_VALUE"""),"")</f>
        <v/>
      </c>
      <c r="R3115" s="106" t="str">
        <f>IFERROR(__xludf.DUMMYFUNCTION("""COMPUTED_VALUE"""),"")</f>
        <v/>
      </c>
      <c r="S3115" s="106" t="str">
        <f>IFERROR(__xludf.DUMMYFUNCTION("""COMPUTED_VALUE"""),"")</f>
        <v/>
      </c>
      <c r="T3115" s="139" t="str">
        <f>IFERROR(__xludf.DUMMYFUNCTION("""COMPUTED_VALUE"""),"")</f>
        <v/>
      </c>
      <c r="U3115" s="139" t="str">
        <f>IFERROR(__xludf.DUMMYFUNCTION("""COMPUTED_VALUE"""),"")</f>
        <v/>
      </c>
      <c r="V3115" s="136" t="str">
        <f>IFERROR(__xludf.DUMMYFUNCTION("""COMPUTED_VALUE"""),"")</f>
        <v/>
      </c>
      <c r="W3115" s="106" t="str">
        <f>IFERROR(__xludf.DUMMYFUNCTION("""COMPUTED_VALUE"""),"")</f>
        <v/>
      </c>
      <c r="X3115" s="143" t="str">
        <f t="shared" si="2"/>
        <v/>
      </c>
      <c r="Y3115" s="139" t="str">
        <f>IFERROR(__xludf.DUMMYFUNCTION("""COMPUTED_VALUE"""),"")</f>
        <v/>
      </c>
      <c r="Z3115" s="141" t="str">
        <f>IFERROR(__xludf.DUMMYFUNCTION("""COMPUTED_VALUE"""),"")</f>
        <v/>
      </c>
    </row>
    <row r="3116">
      <c r="D3116" s="136" t="str">
        <f t="shared" si="3"/>
        <v/>
      </c>
      <c r="E3116" s="152"/>
      <c r="F3116" s="106" t="s">
        <v>133</v>
      </c>
      <c r="G3116" s="152"/>
      <c r="H3116" s="106" t="s">
        <v>133</v>
      </c>
      <c r="J3116" s="139" t="s">
        <v>133</v>
      </c>
      <c r="K3116" s="136" t="s">
        <v>133</v>
      </c>
      <c r="L3116" s="153"/>
      <c r="M3116" s="136" t="str">
        <f t="shared" si="1"/>
        <v/>
      </c>
      <c r="O3116" s="141" t="s">
        <v>133</v>
      </c>
      <c r="P3116" s="136" t="str">
        <f>IFERROR(__xludf.DUMMYFUNCTION("""COMPUTED_VALUE"""),"")</f>
        <v/>
      </c>
      <c r="Q3116" s="136" t="str">
        <f>IFERROR(__xludf.DUMMYFUNCTION("""COMPUTED_VALUE"""),"")</f>
        <v/>
      </c>
      <c r="R3116" s="106" t="str">
        <f>IFERROR(__xludf.DUMMYFUNCTION("""COMPUTED_VALUE"""),"")</f>
        <v/>
      </c>
      <c r="S3116" s="106" t="str">
        <f>IFERROR(__xludf.DUMMYFUNCTION("""COMPUTED_VALUE"""),"")</f>
        <v/>
      </c>
      <c r="T3116" s="139" t="str">
        <f>IFERROR(__xludf.DUMMYFUNCTION("""COMPUTED_VALUE"""),"")</f>
        <v/>
      </c>
      <c r="U3116" s="139" t="str">
        <f>IFERROR(__xludf.DUMMYFUNCTION("""COMPUTED_VALUE"""),"")</f>
        <v/>
      </c>
      <c r="V3116" s="136" t="str">
        <f>IFERROR(__xludf.DUMMYFUNCTION("""COMPUTED_VALUE"""),"")</f>
        <v/>
      </c>
      <c r="W3116" s="106" t="str">
        <f>IFERROR(__xludf.DUMMYFUNCTION("""COMPUTED_VALUE"""),"")</f>
        <v/>
      </c>
      <c r="X3116" s="143" t="str">
        <f t="shared" si="2"/>
        <v/>
      </c>
      <c r="Y3116" s="139" t="str">
        <f>IFERROR(__xludf.DUMMYFUNCTION("""COMPUTED_VALUE"""),"")</f>
        <v/>
      </c>
      <c r="Z3116" s="141" t="str">
        <f>IFERROR(__xludf.DUMMYFUNCTION("""COMPUTED_VALUE"""),"")</f>
        <v/>
      </c>
    </row>
    <row r="3117">
      <c r="D3117" s="136" t="str">
        <f t="shared" si="3"/>
        <v/>
      </c>
      <c r="E3117" s="152"/>
      <c r="F3117" s="106" t="s">
        <v>133</v>
      </c>
      <c r="G3117" s="152"/>
      <c r="H3117" s="106" t="s">
        <v>133</v>
      </c>
      <c r="J3117" s="139" t="s">
        <v>133</v>
      </c>
      <c r="K3117" s="136" t="s">
        <v>133</v>
      </c>
      <c r="L3117" s="153"/>
      <c r="M3117" s="136" t="str">
        <f t="shared" si="1"/>
        <v/>
      </c>
      <c r="O3117" s="141" t="s">
        <v>133</v>
      </c>
      <c r="P3117" s="136" t="str">
        <f>IFERROR(__xludf.DUMMYFUNCTION("""COMPUTED_VALUE"""),"")</f>
        <v/>
      </c>
      <c r="Q3117" s="136" t="str">
        <f>IFERROR(__xludf.DUMMYFUNCTION("""COMPUTED_VALUE"""),"")</f>
        <v/>
      </c>
      <c r="R3117" s="106" t="str">
        <f>IFERROR(__xludf.DUMMYFUNCTION("""COMPUTED_VALUE"""),"")</f>
        <v/>
      </c>
      <c r="S3117" s="106" t="str">
        <f>IFERROR(__xludf.DUMMYFUNCTION("""COMPUTED_VALUE"""),"")</f>
        <v/>
      </c>
      <c r="T3117" s="139" t="str">
        <f>IFERROR(__xludf.DUMMYFUNCTION("""COMPUTED_VALUE"""),"")</f>
        <v/>
      </c>
      <c r="U3117" s="139" t="str">
        <f>IFERROR(__xludf.DUMMYFUNCTION("""COMPUTED_VALUE"""),"")</f>
        <v/>
      </c>
      <c r="V3117" s="136" t="str">
        <f>IFERROR(__xludf.DUMMYFUNCTION("""COMPUTED_VALUE"""),"")</f>
        <v/>
      </c>
      <c r="W3117" s="106" t="str">
        <f>IFERROR(__xludf.DUMMYFUNCTION("""COMPUTED_VALUE"""),"")</f>
        <v/>
      </c>
      <c r="X3117" s="143" t="str">
        <f t="shared" si="2"/>
        <v/>
      </c>
      <c r="Y3117" s="139" t="str">
        <f>IFERROR(__xludf.DUMMYFUNCTION("""COMPUTED_VALUE"""),"")</f>
        <v/>
      </c>
      <c r="Z3117" s="141" t="str">
        <f>IFERROR(__xludf.DUMMYFUNCTION("""COMPUTED_VALUE"""),"")</f>
        <v/>
      </c>
    </row>
    <row r="3118">
      <c r="D3118" s="136" t="str">
        <f t="shared" si="3"/>
        <v/>
      </c>
      <c r="E3118" s="152"/>
      <c r="F3118" s="106" t="s">
        <v>133</v>
      </c>
      <c r="G3118" s="152"/>
      <c r="H3118" s="106" t="s">
        <v>133</v>
      </c>
      <c r="J3118" s="139" t="s">
        <v>133</v>
      </c>
      <c r="K3118" s="136" t="s">
        <v>133</v>
      </c>
      <c r="L3118" s="153"/>
      <c r="M3118" s="136" t="str">
        <f t="shared" si="1"/>
        <v/>
      </c>
      <c r="O3118" s="141" t="s">
        <v>133</v>
      </c>
      <c r="P3118" s="136" t="str">
        <f>IFERROR(__xludf.DUMMYFUNCTION("""COMPUTED_VALUE"""),"")</f>
        <v/>
      </c>
      <c r="Q3118" s="136" t="str">
        <f>IFERROR(__xludf.DUMMYFUNCTION("""COMPUTED_VALUE"""),"")</f>
        <v/>
      </c>
      <c r="R3118" s="106" t="str">
        <f>IFERROR(__xludf.DUMMYFUNCTION("""COMPUTED_VALUE"""),"")</f>
        <v/>
      </c>
      <c r="S3118" s="106" t="str">
        <f>IFERROR(__xludf.DUMMYFUNCTION("""COMPUTED_VALUE"""),"")</f>
        <v/>
      </c>
      <c r="T3118" s="139" t="str">
        <f>IFERROR(__xludf.DUMMYFUNCTION("""COMPUTED_VALUE"""),"")</f>
        <v/>
      </c>
      <c r="U3118" s="139" t="str">
        <f>IFERROR(__xludf.DUMMYFUNCTION("""COMPUTED_VALUE"""),"")</f>
        <v/>
      </c>
      <c r="V3118" s="136" t="str">
        <f>IFERROR(__xludf.DUMMYFUNCTION("""COMPUTED_VALUE"""),"")</f>
        <v/>
      </c>
      <c r="W3118" s="106" t="str">
        <f>IFERROR(__xludf.DUMMYFUNCTION("""COMPUTED_VALUE"""),"")</f>
        <v/>
      </c>
      <c r="X3118" s="143" t="str">
        <f t="shared" si="2"/>
        <v/>
      </c>
      <c r="Y3118" s="139" t="str">
        <f>IFERROR(__xludf.DUMMYFUNCTION("""COMPUTED_VALUE"""),"")</f>
        <v/>
      </c>
      <c r="Z3118" s="141" t="str">
        <f>IFERROR(__xludf.DUMMYFUNCTION("""COMPUTED_VALUE"""),"")</f>
        <v/>
      </c>
    </row>
    <row r="3119">
      <c r="D3119" s="136" t="str">
        <f t="shared" si="3"/>
        <v/>
      </c>
      <c r="E3119" s="152"/>
      <c r="F3119" s="106" t="s">
        <v>133</v>
      </c>
      <c r="G3119" s="152"/>
      <c r="H3119" s="106" t="s">
        <v>133</v>
      </c>
      <c r="J3119" s="139" t="s">
        <v>133</v>
      </c>
      <c r="K3119" s="136" t="s">
        <v>133</v>
      </c>
      <c r="L3119" s="153"/>
      <c r="M3119" s="136" t="str">
        <f t="shared" si="1"/>
        <v/>
      </c>
      <c r="O3119" s="141" t="s">
        <v>133</v>
      </c>
      <c r="P3119" s="136" t="str">
        <f>IFERROR(__xludf.DUMMYFUNCTION("""COMPUTED_VALUE"""),"")</f>
        <v/>
      </c>
      <c r="Q3119" s="136" t="str">
        <f>IFERROR(__xludf.DUMMYFUNCTION("""COMPUTED_VALUE"""),"")</f>
        <v/>
      </c>
      <c r="R3119" s="106" t="str">
        <f>IFERROR(__xludf.DUMMYFUNCTION("""COMPUTED_VALUE"""),"")</f>
        <v/>
      </c>
      <c r="S3119" s="106" t="str">
        <f>IFERROR(__xludf.DUMMYFUNCTION("""COMPUTED_VALUE"""),"")</f>
        <v/>
      </c>
      <c r="T3119" s="139" t="str">
        <f>IFERROR(__xludf.DUMMYFUNCTION("""COMPUTED_VALUE"""),"")</f>
        <v/>
      </c>
      <c r="U3119" s="139" t="str">
        <f>IFERROR(__xludf.DUMMYFUNCTION("""COMPUTED_VALUE"""),"")</f>
        <v/>
      </c>
      <c r="V3119" s="136" t="str">
        <f>IFERROR(__xludf.DUMMYFUNCTION("""COMPUTED_VALUE"""),"")</f>
        <v/>
      </c>
      <c r="W3119" s="106" t="str">
        <f>IFERROR(__xludf.DUMMYFUNCTION("""COMPUTED_VALUE"""),"")</f>
        <v/>
      </c>
      <c r="X3119" s="143" t="str">
        <f t="shared" si="2"/>
        <v/>
      </c>
      <c r="Y3119" s="139" t="str">
        <f>IFERROR(__xludf.DUMMYFUNCTION("""COMPUTED_VALUE"""),"")</f>
        <v/>
      </c>
      <c r="Z3119" s="141" t="str">
        <f>IFERROR(__xludf.DUMMYFUNCTION("""COMPUTED_VALUE"""),"")</f>
        <v/>
      </c>
    </row>
    <row r="3120">
      <c r="D3120" s="136" t="str">
        <f t="shared" si="3"/>
        <v/>
      </c>
      <c r="E3120" s="152"/>
      <c r="F3120" s="106" t="s">
        <v>133</v>
      </c>
      <c r="G3120" s="152"/>
      <c r="H3120" s="106" t="s">
        <v>133</v>
      </c>
      <c r="J3120" s="139" t="s">
        <v>133</v>
      </c>
      <c r="K3120" s="136" t="s">
        <v>133</v>
      </c>
      <c r="L3120" s="153"/>
      <c r="M3120" s="136" t="str">
        <f t="shared" si="1"/>
        <v/>
      </c>
      <c r="O3120" s="141" t="s">
        <v>133</v>
      </c>
      <c r="P3120" s="136" t="str">
        <f>IFERROR(__xludf.DUMMYFUNCTION("""COMPUTED_VALUE"""),"")</f>
        <v/>
      </c>
      <c r="Q3120" s="136" t="str">
        <f>IFERROR(__xludf.DUMMYFUNCTION("""COMPUTED_VALUE"""),"")</f>
        <v/>
      </c>
      <c r="R3120" s="106" t="str">
        <f>IFERROR(__xludf.DUMMYFUNCTION("""COMPUTED_VALUE"""),"")</f>
        <v/>
      </c>
      <c r="S3120" s="106" t="str">
        <f>IFERROR(__xludf.DUMMYFUNCTION("""COMPUTED_VALUE"""),"")</f>
        <v/>
      </c>
      <c r="T3120" s="139" t="str">
        <f>IFERROR(__xludf.DUMMYFUNCTION("""COMPUTED_VALUE"""),"")</f>
        <v/>
      </c>
      <c r="U3120" s="139" t="str">
        <f>IFERROR(__xludf.DUMMYFUNCTION("""COMPUTED_VALUE"""),"")</f>
        <v/>
      </c>
      <c r="V3120" s="136" t="str">
        <f>IFERROR(__xludf.DUMMYFUNCTION("""COMPUTED_VALUE"""),"")</f>
        <v/>
      </c>
      <c r="W3120" s="106" t="str">
        <f>IFERROR(__xludf.DUMMYFUNCTION("""COMPUTED_VALUE"""),"")</f>
        <v/>
      </c>
      <c r="X3120" s="143" t="str">
        <f t="shared" si="2"/>
        <v/>
      </c>
      <c r="Y3120" s="139" t="str">
        <f>IFERROR(__xludf.DUMMYFUNCTION("""COMPUTED_VALUE"""),"")</f>
        <v/>
      </c>
      <c r="Z3120" s="141" t="str">
        <f>IFERROR(__xludf.DUMMYFUNCTION("""COMPUTED_VALUE"""),"")</f>
        <v/>
      </c>
    </row>
    <row r="3121">
      <c r="D3121" s="136" t="str">
        <f t="shared" si="3"/>
        <v/>
      </c>
      <c r="E3121" s="152"/>
      <c r="F3121" s="106" t="s">
        <v>133</v>
      </c>
      <c r="G3121" s="152"/>
      <c r="H3121" s="106" t="s">
        <v>133</v>
      </c>
      <c r="J3121" s="139" t="s">
        <v>133</v>
      </c>
      <c r="K3121" s="136" t="s">
        <v>133</v>
      </c>
      <c r="L3121" s="153"/>
      <c r="M3121" s="136" t="str">
        <f t="shared" si="1"/>
        <v/>
      </c>
      <c r="O3121" s="141" t="s">
        <v>133</v>
      </c>
      <c r="P3121" s="136" t="str">
        <f>IFERROR(__xludf.DUMMYFUNCTION("""COMPUTED_VALUE"""),"")</f>
        <v/>
      </c>
      <c r="Q3121" s="136" t="str">
        <f>IFERROR(__xludf.DUMMYFUNCTION("""COMPUTED_VALUE"""),"")</f>
        <v/>
      </c>
      <c r="R3121" s="106" t="str">
        <f>IFERROR(__xludf.DUMMYFUNCTION("""COMPUTED_VALUE"""),"")</f>
        <v/>
      </c>
      <c r="S3121" s="106" t="str">
        <f>IFERROR(__xludf.DUMMYFUNCTION("""COMPUTED_VALUE"""),"")</f>
        <v/>
      </c>
      <c r="T3121" s="139" t="str">
        <f>IFERROR(__xludf.DUMMYFUNCTION("""COMPUTED_VALUE"""),"")</f>
        <v/>
      </c>
      <c r="U3121" s="139" t="str">
        <f>IFERROR(__xludf.DUMMYFUNCTION("""COMPUTED_VALUE"""),"")</f>
        <v/>
      </c>
      <c r="V3121" s="136" t="str">
        <f>IFERROR(__xludf.DUMMYFUNCTION("""COMPUTED_VALUE"""),"")</f>
        <v/>
      </c>
      <c r="W3121" s="106" t="str">
        <f>IFERROR(__xludf.DUMMYFUNCTION("""COMPUTED_VALUE"""),"")</f>
        <v/>
      </c>
      <c r="X3121" s="143" t="str">
        <f t="shared" si="2"/>
        <v/>
      </c>
      <c r="Y3121" s="139" t="str">
        <f>IFERROR(__xludf.DUMMYFUNCTION("""COMPUTED_VALUE"""),"")</f>
        <v/>
      </c>
      <c r="Z3121" s="141" t="str">
        <f>IFERROR(__xludf.DUMMYFUNCTION("""COMPUTED_VALUE"""),"")</f>
        <v/>
      </c>
    </row>
    <row r="3122">
      <c r="D3122" s="136" t="str">
        <f t="shared" si="3"/>
        <v/>
      </c>
      <c r="E3122" s="152"/>
      <c r="F3122" s="106" t="s">
        <v>133</v>
      </c>
      <c r="G3122" s="152"/>
      <c r="H3122" s="106" t="s">
        <v>133</v>
      </c>
      <c r="J3122" s="139" t="s">
        <v>133</v>
      </c>
      <c r="K3122" s="136" t="s">
        <v>133</v>
      </c>
      <c r="L3122" s="153"/>
      <c r="M3122" s="136" t="str">
        <f t="shared" si="1"/>
        <v/>
      </c>
      <c r="O3122" s="141" t="s">
        <v>133</v>
      </c>
      <c r="P3122" s="136" t="str">
        <f>IFERROR(__xludf.DUMMYFUNCTION("""COMPUTED_VALUE"""),"")</f>
        <v/>
      </c>
      <c r="Q3122" s="136" t="str">
        <f>IFERROR(__xludf.DUMMYFUNCTION("""COMPUTED_VALUE"""),"")</f>
        <v/>
      </c>
      <c r="R3122" s="106" t="str">
        <f>IFERROR(__xludf.DUMMYFUNCTION("""COMPUTED_VALUE"""),"")</f>
        <v/>
      </c>
      <c r="S3122" s="106" t="str">
        <f>IFERROR(__xludf.DUMMYFUNCTION("""COMPUTED_VALUE"""),"")</f>
        <v/>
      </c>
      <c r="T3122" s="139" t="str">
        <f>IFERROR(__xludf.DUMMYFUNCTION("""COMPUTED_VALUE"""),"")</f>
        <v/>
      </c>
      <c r="U3122" s="139" t="str">
        <f>IFERROR(__xludf.DUMMYFUNCTION("""COMPUTED_VALUE"""),"")</f>
        <v/>
      </c>
      <c r="V3122" s="136" t="str">
        <f>IFERROR(__xludf.DUMMYFUNCTION("""COMPUTED_VALUE"""),"")</f>
        <v/>
      </c>
      <c r="W3122" s="106" t="str">
        <f>IFERROR(__xludf.DUMMYFUNCTION("""COMPUTED_VALUE"""),"")</f>
        <v/>
      </c>
      <c r="X3122" s="143" t="str">
        <f t="shared" si="2"/>
        <v/>
      </c>
      <c r="Y3122" s="139" t="str">
        <f>IFERROR(__xludf.DUMMYFUNCTION("""COMPUTED_VALUE"""),"")</f>
        <v/>
      </c>
      <c r="Z3122" s="141" t="str">
        <f>IFERROR(__xludf.DUMMYFUNCTION("""COMPUTED_VALUE"""),"")</f>
        <v/>
      </c>
    </row>
    <row r="3123">
      <c r="D3123" s="136" t="str">
        <f t="shared" si="3"/>
        <v/>
      </c>
      <c r="E3123" s="152"/>
      <c r="F3123" s="106" t="s">
        <v>133</v>
      </c>
      <c r="G3123" s="152"/>
      <c r="H3123" s="106" t="s">
        <v>133</v>
      </c>
      <c r="J3123" s="139" t="s">
        <v>133</v>
      </c>
      <c r="K3123" s="136" t="s">
        <v>133</v>
      </c>
      <c r="L3123" s="153"/>
      <c r="M3123" s="136" t="str">
        <f t="shared" si="1"/>
        <v/>
      </c>
      <c r="O3123" s="141" t="s">
        <v>133</v>
      </c>
      <c r="P3123" s="136" t="str">
        <f>IFERROR(__xludf.DUMMYFUNCTION("""COMPUTED_VALUE"""),"")</f>
        <v/>
      </c>
      <c r="Q3123" s="136" t="str">
        <f>IFERROR(__xludf.DUMMYFUNCTION("""COMPUTED_VALUE"""),"")</f>
        <v/>
      </c>
      <c r="R3123" s="106" t="str">
        <f>IFERROR(__xludf.DUMMYFUNCTION("""COMPUTED_VALUE"""),"")</f>
        <v/>
      </c>
      <c r="S3123" s="106" t="str">
        <f>IFERROR(__xludf.DUMMYFUNCTION("""COMPUTED_VALUE"""),"")</f>
        <v/>
      </c>
      <c r="T3123" s="139" t="str">
        <f>IFERROR(__xludf.DUMMYFUNCTION("""COMPUTED_VALUE"""),"")</f>
        <v/>
      </c>
      <c r="U3123" s="139" t="str">
        <f>IFERROR(__xludf.DUMMYFUNCTION("""COMPUTED_VALUE"""),"")</f>
        <v/>
      </c>
      <c r="V3123" s="136" t="str">
        <f>IFERROR(__xludf.DUMMYFUNCTION("""COMPUTED_VALUE"""),"")</f>
        <v/>
      </c>
      <c r="W3123" s="106" t="str">
        <f>IFERROR(__xludf.DUMMYFUNCTION("""COMPUTED_VALUE"""),"")</f>
        <v/>
      </c>
      <c r="X3123" s="143" t="str">
        <f t="shared" si="2"/>
        <v/>
      </c>
      <c r="Y3123" s="139" t="str">
        <f>IFERROR(__xludf.DUMMYFUNCTION("""COMPUTED_VALUE"""),"")</f>
        <v/>
      </c>
      <c r="Z3123" s="141" t="str">
        <f>IFERROR(__xludf.DUMMYFUNCTION("""COMPUTED_VALUE"""),"")</f>
        <v/>
      </c>
    </row>
    <row r="3124">
      <c r="D3124" s="136" t="str">
        <f t="shared" si="3"/>
        <v/>
      </c>
      <c r="E3124" s="152"/>
      <c r="F3124" s="106" t="s">
        <v>133</v>
      </c>
      <c r="G3124" s="152"/>
      <c r="H3124" s="106" t="s">
        <v>133</v>
      </c>
      <c r="J3124" s="139" t="s">
        <v>133</v>
      </c>
      <c r="K3124" s="136" t="s">
        <v>133</v>
      </c>
      <c r="L3124" s="153"/>
      <c r="M3124" s="136" t="str">
        <f t="shared" si="1"/>
        <v/>
      </c>
      <c r="O3124" s="141" t="s">
        <v>133</v>
      </c>
      <c r="P3124" s="136" t="str">
        <f>IFERROR(__xludf.DUMMYFUNCTION("""COMPUTED_VALUE"""),"")</f>
        <v/>
      </c>
      <c r="Q3124" s="136" t="str">
        <f>IFERROR(__xludf.DUMMYFUNCTION("""COMPUTED_VALUE"""),"")</f>
        <v/>
      </c>
      <c r="R3124" s="106" t="str">
        <f>IFERROR(__xludf.DUMMYFUNCTION("""COMPUTED_VALUE"""),"")</f>
        <v/>
      </c>
      <c r="S3124" s="106" t="str">
        <f>IFERROR(__xludf.DUMMYFUNCTION("""COMPUTED_VALUE"""),"")</f>
        <v/>
      </c>
      <c r="T3124" s="139" t="str">
        <f>IFERROR(__xludf.DUMMYFUNCTION("""COMPUTED_VALUE"""),"")</f>
        <v/>
      </c>
      <c r="U3124" s="139" t="str">
        <f>IFERROR(__xludf.DUMMYFUNCTION("""COMPUTED_VALUE"""),"")</f>
        <v/>
      </c>
      <c r="V3124" s="136" t="str">
        <f>IFERROR(__xludf.DUMMYFUNCTION("""COMPUTED_VALUE"""),"")</f>
        <v/>
      </c>
      <c r="W3124" s="106" t="str">
        <f>IFERROR(__xludf.DUMMYFUNCTION("""COMPUTED_VALUE"""),"")</f>
        <v/>
      </c>
      <c r="X3124" s="143" t="str">
        <f t="shared" si="2"/>
        <v/>
      </c>
      <c r="Y3124" s="139" t="str">
        <f>IFERROR(__xludf.DUMMYFUNCTION("""COMPUTED_VALUE"""),"")</f>
        <v/>
      </c>
      <c r="Z3124" s="141" t="str">
        <f>IFERROR(__xludf.DUMMYFUNCTION("""COMPUTED_VALUE"""),"")</f>
        <v/>
      </c>
    </row>
    <row r="3125">
      <c r="D3125" s="136" t="str">
        <f t="shared" si="3"/>
        <v/>
      </c>
      <c r="E3125" s="152"/>
      <c r="F3125" s="106" t="s">
        <v>133</v>
      </c>
      <c r="G3125" s="152"/>
      <c r="H3125" s="106" t="s">
        <v>133</v>
      </c>
      <c r="J3125" s="139" t="s">
        <v>133</v>
      </c>
      <c r="K3125" s="136" t="s">
        <v>133</v>
      </c>
      <c r="L3125" s="153"/>
      <c r="M3125" s="136" t="str">
        <f t="shared" si="1"/>
        <v/>
      </c>
      <c r="O3125" s="141" t="s">
        <v>133</v>
      </c>
      <c r="P3125" s="136" t="str">
        <f>IFERROR(__xludf.DUMMYFUNCTION("""COMPUTED_VALUE"""),"")</f>
        <v/>
      </c>
      <c r="Q3125" s="136" t="str">
        <f>IFERROR(__xludf.DUMMYFUNCTION("""COMPUTED_VALUE"""),"")</f>
        <v/>
      </c>
      <c r="R3125" s="106" t="str">
        <f>IFERROR(__xludf.DUMMYFUNCTION("""COMPUTED_VALUE"""),"")</f>
        <v/>
      </c>
      <c r="S3125" s="106" t="str">
        <f>IFERROR(__xludf.DUMMYFUNCTION("""COMPUTED_VALUE"""),"")</f>
        <v/>
      </c>
      <c r="T3125" s="139" t="str">
        <f>IFERROR(__xludf.DUMMYFUNCTION("""COMPUTED_VALUE"""),"")</f>
        <v/>
      </c>
      <c r="U3125" s="139" t="str">
        <f>IFERROR(__xludf.DUMMYFUNCTION("""COMPUTED_VALUE"""),"")</f>
        <v/>
      </c>
      <c r="V3125" s="136" t="str">
        <f>IFERROR(__xludf.DUMMYFUNCTION("""COMPUTED_VALUE"""),"")</f>
        <v/>
      </c>
      <c r="W3125" s="106" t="str">
        <f>IFERROR(__xludf.DUMMYFUNCTION("""COMPUTED_VALUE"""),"")</f>
        <v/>
      </c>
      <c r="X3125" s="143" t="str">
        <f t="shared" si="2"/>
        <v/>
      </c>
      <c r="Y3125" s="139" t="str">
        <f>IFERROR(__xludf.DUMMYFUNCTION("""COMPUTED_VALUE"""),"")</f>
        <v/>
      </c>
      <c r="Z3125" s="141" t="str">
        <f>IFERROR(__xludf.DUMMYFUNCTION("""COMPUTED_VALUE"""),"")</f>
        <v/>
      </c>
    </row>
    <row r="3126">
      <c r="D3126" s="136" t="str">
        <f t="shared" si="3"/>
        <v/>
      </c>
      <c r="E3126" s="152"/>
      <c r="F3126" s="106" t="s">
        <v>133</v>
      </c>
      <c r="G3126" s="152"/>
      <c r="H3126" s="106" t="s">
        <v>133</v>
      </c>
      <c r="J3126" s="139" t="s">
        <v>133</v>
      </c>
      <c r="K3126" s="136" t="s">
        <v>133</v>
      </c>
      <c r="L3126" s="153"/>
      <c r="M3126" s="136" t="str">
        <f t="shared" si="1"/>
        <v/>
      </c>
      <c r="O3126" s="141" t="s">
        <v>133</v>
      </c>
      <c r="P3126" s="136" t="str">
        <f>IFERROR(__xludf.DUMMYFUNCTION("""COMPUTED_VALUE"""),"")</f>
        <v/>
      </c>
      <c r="Q3126" s="136" t="str">
        <f>IFERROR(__xludf.DUMMYFUNCTION("""COMPUTED_VALUE"""),"")</f>
        <v/>
      </c>
      <c r="R3126" s="106" t="str">
        <f>IFERROR(__xludf.DUMMYFUNCTION("""COMPUTED_VALUE"""),"")</f>
        <v/>
      </c>
      <c r="S3126" s="106" t="str">
        <f>IFERROR(__xludf.DUMMYFUNCTION("""COMPUTED_VALUE"""),"")</f>
        <v/>
      </c>
      <c r="T3126" s="139" t="str">
        <f>IFERROR(__xludf.DUMMYFUNCTION("""COMPUTED_VALUE"""),"")</f>
        <v/>
      </c>
      <c r="U3126" s="139" t="str">
        <f>IFERROR(__xludf.DUMMYFUNCTION("""COMPUTED_VALUE"""),"")</f>
        <v/>
      </c>
      <c r="V3126" s="136" t="str">
        <f>IFERROR(__xludf.DUMMYFUNCTION("""COMPUTED_VALUE"""),"")</f>
        <v/>
      </c>
      <c r="W3126" s="106" t="str">
        <f>IFERROR(__xludf.DUMMYFUNCTION("""COMPUTED_VALUE"""),"")</f>
        <v/>
      </c>
      <c r="X3126" s="143" t="str">
        <f t="shared" si="2"/>
        <v/>
      </c>
      <c r="Y3126" s="139" t="str">
        <f>IFERROR(__xludf.DUMMYFUNCTION("""COMPUTED_VALUE"""),"")</f>
        <v/>
      </c>
      <c r="Z3126" s="141" t="str">
        <f>IFERROR(__xludf.DUMMYFUNCTION("""COMPUTED_VALUE"""),"")</f>
        <v/>
      </c>
    </row>
    <row r="3127">
      <c r="D3127" s="136" t="str">
        <f t="shared" si="3"/>
        <v/>
      </c>
      <c r="E3127" s="152"/>
      <c r="F3127" s="106" t="s">
        <v>133</v>
      </c>
      <c r="G3127" s="152"/>
      <c r="H3127" s="106" t="s">
        <v>133</v>
      </c>
      <c r="J3127" s="139" t="s">
        <v>133</v>
      </c>
      <c r="K3127" s="136" t="s">
        <v>133</v>
      </c>
      <c r="L3127" s="153"/>
      <c r="M3127" s="136" t="str">
        <f t="shared" si="1"/>
        <v/>
      </c>
      <c r="O3127" s="141" t="s">
        <v>133</v>
      </c>
      <c r="P3127" s="136" t="str">
        <f>IFERROR(__xludf.DUMMYFUNCTION("""COMPUTED_VALUE"""),"")</f>
        <v/>
      </c>
      <c r="Q3127" s="136" t="str">
        <f>IFERROR(__xludf.DUMMYFUNCTION("""COMPUTED_VALUE"""),"")</f>
        <v/>
      </c>
      <c r="R3127" s="106" t="str">
        <f>IFERROR(__xludf.DUMMYFUNCTION("""COMPUTED_VALUE"""),"")</f>
        <v/>
      </c>
      <c r="S3127" s="106" t="str">
        <f>IFERROR(__xludf.DUMMYFUNCTION("""COMPUTED_VALUE"""),"")</f>
        <v/>
      </c>
      <c r="T3127" s="139" t="str">
        <f>IFERROR(__xludf.DUMMYFUNCTION("""COMPUTED_VALUE"""),"")</f>
        <v/>
      </c>
      <c r="U3127" s="139" t="str">
        <f>IFERROR(__xludf.DUMMYFUNCTION("""COMPUTED_VALUE"""),"")</f>
        <v/>
      </c>
      <c r="V3127" s="136" t="str">
        <f>IFERROR(__xludf.DUMMYFUNCTION("""COMPUTED_VALUE"""),"")</f>
        <v/>
      </c>
      <c r="W3127" s="106" t="str">
        <f>IFERROR(__xludf.DUMMYFUNCTION("""COMPUTED_VALUE"""),"")</f>
        <v/>
      </c>
      <c r="X3127" s="143" t="str">
        <f t="shared" si="2"/>
        <v/>
      </c>
      <c r="Y3127" s="139" t="str">
        <f>IFERROR(__xludf.DUMMYFUNCTION("""COMPUTED_VALUE"""),"")</f>
        <v/>
      </c>
      <c r="Z3127" s="141" t="str">
        <f>IFERROR(__xludf.DUMMYFUNCTION("""COMPUTED_VALUE"""),"")</f>
        <v/>
      </c>
    </row>
    <row r="3128">
      <c r="D3128" s="136" t="str">
        <f t="shared" si="3"/>
        <v/>
      </c>
      <c r="E3128" s="152"/>
      <c r="F3128" s="106" t="s">
        <v>133</v>
      </c>
      <c r="G3128" s="152"/>
      <c r="H3128" s="106" t="s">
        <v>133</v>
      </c>
      <c r="J3128" s="139" t="s">
        <v>133</v>
      </c>
      <c r="K3128" s="136" t="s">
        <v>133</v>
      </c>
      <c r="L3128" s="153"/>
      <c r="M3128" s="136" t="str">
        <f t="shared" si="1"/>
        <v/>
      </c>
      <c r="O3128" s="141" t="s">
        <v>133</v>
      </c>
      <c r="P3128" s="136" t="str">
        <f>IFERROR(__xludf.DUMMYFUNCTION("""COMPUTED_VALUE"""),"")</f>
        <v/>
      </c>
      <c r="Q3128" s="136" t="str">
        <f>IFERROR(__xludf.DUMMYFUNCTION("""COMPUTED_VALUE"""),"")</f>
        <v/>
      </c>
      <c r="R3128" s="106" t="str">
        <f>IFERROR(__xludf.DUMMYFUNCTION("""COMPUTED_VALUE"""),"")</f>
        <v/>
      </c>
      <c r="S3128" s="106" t="str">
        <f>IFERROR(__xludf.DUMMYFUNCTION("""COMPUTED_VALUE"""),"")</f>
        <v/>
      </c>
      <c r="T3128" s="139" t="str">
        <f>IFERROR(__xludf.DUMMYFUNCTION("""COMPUTED_VALUE"""),"")</f>
        <v/>
      </c>
      <c r="U3128" s="139" t="str">
        <f>IFERROR(__xludf.DUMMYFUNCTION("""COMPUTED_VALUE"""),"")</f>
        <v/>
      </c>
      <c r="V3128" s="136" t="str">
        <f>IFERROR(__xludf.DUMMYFUNCTION("""COMPUTED_VALUE"""),"")</f>
        <v/>
      </c>
      <c r="W3128" s="106" t="str">
        <f>IFERROR(__xludf.DUMMYFUNCTION("""COMPUTED_VALUE"""),"")</f>
        <v/>
      </c>
      <c r="X3128" s="143" t="str">
        <f t="shared" si="2"/>
        <v/>
      </c>
      <c r="Y3128" s="139" t="str">
        <f>IFERROR(__xludf.DUMMYFUNCTION("""COMPUTED_VALUE"""),"")</f>
        <v/>
      </c>
      <c r="Z3128" s="141" t="str">
        <f>IFERROR(__xludf.DUMMYFUNCTION("""COMPUTED_VALUE"""),"")</f>
        <v/>
      </c>
    </row>
    <row r="3129">
      <c r="D3129" s="136" t="str">
        <f t="shared" si="3"/>
        <v/>
      </c>
      <c r="E3129" s="152"/>
      <c r="F3129" s="106" t="s">
        <v>133</v>
      </c>
      <c r="G3129" s="152"/>
      <c r="H3129" s="106" t="s">
        <v>133</v>
      </c>
      <c r="J3129" s="139" t="s">
        <v>133</v>
      </c>
      <c r="K3129" s="136" t="s">
        <v>133</v>
      </c>
      <c r="L3129" s="153"/>
      <c r="M3129" s="136" t="str">
        <f t="shared" si="1"/>
        <v/>
      </c>
      <c r="O3129" s="141" t="s">
        <v>133</v>
      </c>
      <c r="P3129" s="136" t="str">
        <f>IFERROR(__xludf.DUMMYFUNCTION("""COMPUTED_VALUE"""),"")</f>
        <v/>
      </c>
      <c r="Q3129" s="136" t="str">
        <f>IFERROR(__xludf.DUMMYFUNCTION("""COMPUTED_VALUE"""),"")</f>
        <v/>
      </c>
      <c r="R3129" s="106" t="str">
        <f>IFERROR(__xludf.DUMMYFUNCTION("""COMPUTED_VALUE"""),"")</f>
        <v/>
      </c>
      <c r="S3129" s="106" t="str">
        <f>IFERROR(__xludf.DUMMYFUNCTION("""COMPUTED_VALUE"""),"")</f>
        <v/>
      </c>
      <c r="T3129" s="139" t="str">
        <f>IFERROR(__xludf.DUMMYFUNCTION("""COMPUTED_VALUE"""),"")</f>
        <v/>
      </c>
      <c r="U3129" s="139" t="str">
        <f>IFERROR(__xludf.DUMMYFUNCTION("""COMPUTED_VALUE"""),"")</f>
        <v/>
      </c>
      <c r="V3129" s="136" t="str">
        <f>IFERROR(__xludf.DUMMYFUNCTION("""COMPUTED_VALUE"""),"")</f>
        <v/>
      </c>
      <c r="W3129" s="106" t="str">
        <f>IFERROR(__xludf.DUMMYFUNCTION("""COMPUTED_VALUE"""),"")</f>
        <v/>
      </c>
      <c r="X3129" s="143" t="str">
        <f t="shared" si="2"/>
        <v/>
      </c>
      <c r="Y3129" s="139" t="str">
        <f>IFERROR(__xludf.DUMMYFUNCTION("""COMPUTED_VALUE"""),"")</f>
        <v/>
      </c>
      <c r="Z3129" s="141" t="str">
        <f>IFERROR(__xludf.DUMMYFUNCTION("""COMPUTED_VALUE"""),"")</f>
        <v/>
      </c>
    </row>
    <row r="3130">
      <c r="D3130" s="136" t="str">
        <f t="shared" si="3"/>
        <v/>
      </c>
      <c r="E3130" s="152"/>
      <c r="F3130" s="106" t="s">
        <v>133</v>
      </c>
      <c r="G3130" s="152"/>
      <c r="H3130" s="106" t="s">
        <v>133</v>
      </c>
      <c r="J3130" s="139" t="s">
        <v>133</v>
      </c>
      <c r="K3130" s="136" t="s">
        <v>133</v>
      </c>
      <c r="L3130" s="153"/>
      <c r="M3130" s="136" t="str">
        <f t="shared" si="1"/>
        <v/>
      </c>
      <c r="O3130" s="141" t="s">
        <v>133</v>
      </c>
      <c r="P3130" s="136" t="str">
        <f>IFERROR(__xludf.DUMMYFUNCTION("""COMPUTED_VALUE"""),"")</f>
        <v/>
      </c>
      <c r="Q3130" s="136" t="str">
        <f>IFERROR(__xludf.DUMMYFUNCTION("""COMPUTED_VALUE"""),"")</f>
        <v/>
      </c>
      <c r="R3130" s="106" t="str">
        <f>IFERROR(__xludf.DUMMYFUNCTION("""COMPUTED_VALUE"""),"")</f>
        <v/>
      </c>
      <c r="S3130" s="106" t="str">
        <f>IFERROR(__xludf.DUMMYFUNCTION("""COMPUTED_VALUE"""),"")</f>
        <v/>
      </c>
      <c r="T3130" s="139" t="str">
        <f>IFERROR(__xludf.DUMMYFUNCTION("""COMPUTED_VALUE"""),"")</f>
        <v/>
      </c>
      <c r="U3130" s="139" t="str">
        <f>IFERROR(__xludf.DUMMYFUNCTION("""COMPUTED_VALUE"""),"")</f>
        <v/>
      </c>
      <c r="V3130" s="136" t="str">
        <f>IFERROR(__xludf.DUMMYFUNCTION("""COMPUTED_VALUE"""),"")</f>
        <v/>
      </c>
      <c r="W3130" s="106" t="str">
        <f>IFERROR(__xludf.DUMMYFUNCTION("""COMPUTED_VALUE"""),"")</f>
        <v/>
      </c>
      <c r="X3130" s="143" t="str">
        <f t="shared" si="2"/>
        <v/>
      </c>
      <c r="Y3130" s="139" t="str">
        <f>IFERROR(__xludf.DUMMYFUNCTION("""COMPUTED_VALUE"""),"")</f>
        <v/>
      </c>
      <c r="Z3130" s="141" t="str">
        <f>IFERROR(__xludf.DUMMYFUNCTION("""COMPUTED_VALUE"""),"")</f>
        <v/>
      </c>
    </row>
    <row r="3131">
      <c r="D3131" s="136" t="str">
        <f t="shared" si="3"/>
        <v/>
      </c>
      <c r="E3131" s="152"/>
      <c r="F3131" s="106" t="s">
        <v>133</v>
      </c>
      <c r="G3131" s="152"/>
      <c r="H3131" s="106" t="s">
        <v>133</v>
      </c>
      <c r="J3131" s="139" t="s">
        <v>133</v>
      </c>
      <c r="K3131" s="136" t="s">
        <v>133</v>
      </c>
      <c r="L3131" s="153"/>
      <c r="M3131" s="136" t="str">
        <f t="shared" si="1"/>
        <v/>
      </c>
      <c r="O3131" s="141" t="s">
        <v>133</v>
      </c>
      <c r="P3131" s="136" t="str">
        <f>IFERROR(__xludf.DUMMYFUNCTION("""COMPUTED_VALUE"""),"")</f>
        <v/>
      </c>
      <c r="Q3131" s="136" t="str">
        <f>IFERROR(__xludf.DUMMYFUNCTION("""COMPUTED_VALUE"""),"")</f>
        <v/>
      </c>
      <c r="R3131" s="106" t="str">
        <f>IFERROR(__xludf.DUMMYFUNCTION("""COMPUTED_VALUE"""),"")</f>
        <v/>
      </c>
      <c r="S3131" s="106" t="str">
        <f>IFERROR(__xludf.DUMMYFUNCTION("""COMPUTED_VALUE"""),"")</f>
        <v/>
      </c>
      <c r="T3131" s="139" t="str">
        <f>IFERROR(__xludf.DUMMYFUNCTION("""COMPUTED_VALUE"""),"")</f>
        <v/>
      </c>
      <c r="U3131" s="139" t="str">
        <f>IFERROR(__xludf.DUMMYFUNCTION("""COMPUTED_VALUE"""),"")</f>
        <v/>
      </c>
      <c r="V3131" s="136" t="str">
        <f>IFERROR(__xludf.DUMMYFUNCTION("""COMPUTED_VALUE"""),"")</f>
        <v/>
      </c>
      <c r="W3131" s="106" t="str">
        <f>IFERROR(__xludf.DUMMYFUNCTION("""COMPUTED_VALUE"""),"")</f>
        <v/>
      </c>
      <c r="X3131" s="143" t="str">
        <f t="shared" si="2"/>
        <v/>
      </c>
      <c r="Y3131" s="139" t="str">
        <f>IFERROR(__xludf.DUMMYFUNCTION("""COMPUTED_VALUE"""),"")</f>
        <v/>
      </c>
      <c r="Z3131" s="141" t="str">
        <f>IFERROR(__xludf.DUMMYFUNCTION("""COMPUTED_VALUE"""),"")</f>
        <v/>
      </c>
    </row>
    <row r="3132">
      <c r="D3132" s="136" t="str">
        <f t="shared" si="3"/>
        <v/>
      </c>
      <c r="E3132" s="152"/>
      <c r="F3132" s="106" t="s">
        <v>133</v>
      </c>
      <c r="G3132" s="152"/>
      <c r="H3132" s="106" t="s">
        <v>133</v>
      </c>
      <c r="J3132" s="139" t="s">
        <v>133</v>
      </c>
      <c r="K3132" s="136" t="s">
        <v>133</v>
      </c>
      <c r="L3132" s="153"/>
      <c r="M3132" s="136" t="str">
        <f t="shared" si="1"/>
        <v/>
      </c>
      <c r="O3132" s="141" t="s">
        <v>133</v>
      </c>
      <c r="P3132" s="136" t="str">
        <f>IFERROR(__xludf.DUMMYFUNCTION("""COMPUTED_VALUE"""),"")</f>
        <v/>
      </c>
      <c r="Q3132" s="136" t="str">
        <f>IFERROR(__xludf.DUMMYFUNCTION("""COMPUTED_VALUE"""),"")</f>
        <v/>
      </c>
      <c r="R3132" s="106" t="str">
        <f>IFERROR(__xludf.DUMMYFUNCTION("""COMPUTED_VALUE"""),"")</f>
        <v/>
      </c>
      <c r="S3132" s="106" t="str">
        <f>IFERROR(__xludf.DUMMYFUNCTION("""COMPUTED_VALUE"""),"")</f>
        <v/>
      </c>
      <c r="T3132" s="139" t="str">
        <f>IFERROR(__xludf.DUMMYFUNCTION("""COMPUTED_VALUE"""),"")</f>
        <v/>
      </c>
      <c r="U3132" s="139" t="str">
        <f>IFERROR(__xludf.DUMMYFUNCTION("""COMPUTED_VALUE"""),"")</f>
        <v/>
      </c>
      <c r="V3132" s="136" t="str">
        <f>IFERROR(__xludf.DUMMYFUNCTION("""COMPUTED_VALUE"""),"")</f>
        <v/>
      </c>
      <c r="W3132" s="106" t="str">
        <f>IFERROR(__xludf.DUMMYFUNCTION("""COMPUTED_VALUE"""),"")</f>
        <v/>
      </c>
      <c r="X3132" s="143" t="str">
        <f t="shared" si="2"/>
        <v/>
      </c>
      <c r="Y3132" s="139" t="str">
        <f>IFERROR(__xludf.DUMMYFUNCTION("""COMPUTED_VALUE"""),"")</f>
        <v/>
      </c>
      <c r="Z3132" s="141" t="str">
        <f>IFERROR(__xludf.DUMMYFUNCTION("""COMPUTED_VALUE"""),"")</f>
        <v/>
      </c>
    </row>
    <row r="3133">
      <c r="D3133" s="136" t="str">
        <f t="shared" si="3"/>
        <v/>
      </c>
      <c r="E3133" s="152"/>
      <c r="F3133" s="106" t="s">
        <v>133</v>
      </c>
      <c r="G3133" s="152"/>
      <c r="H3133" s="106" t="s">
        <v>133</v>
      </c>
      <c r="J3133" s="139" t="s">
        <v>133</v>
      </c>
      <c r="K3133" s="136" t="s">
        <v>133</v>
      </c>
      <c r="L3133" s="153"/>
      <c r="M3133" s="136" t="str">
        <f t="shared" si="1"/>
        <v/>
      </c>
      <c r="O3133" s="141" t="s">
        <v>133</v>
      </c>
      <c r="P3133" s="136" t="str">
        <f>IFERROR(__xludf.DUMMYFUNCTION("""COMPUTED_VALUE"""),"")</f>
        <v/>
      </c>
      <c r="Q3133" s="136" t="str">
        <f>IFERROR(__xludf.DUMMYFUNCTION("""COMPUTED_VALUE"""),"")</f>
        <v/>
      </c>
      <c r="R3133" s="106" t="str">
        <f>IFERROR(__xludf.DUMMYFUNCTION("""COMPUTED_VALUE"""),"")</f>
        <v/>
      </c>
      <c r="S3133" s="106" t="str">
        <f>IFERROR(__xludf.DUMMYFUNCTION("""COMPUTED_VALUE"""),"")</f>
        <v/>
      </c>
      <c r="T3133" s="139" t="str">
        <f>IFERROR(__xludf.DUMMYFUNCTION("""COMPUTED_VALUE"""),"")</f>
        <v/>
      </c>
      <c r="U3133" s="139" t="str">
        <f>IFERROR(__xludf.DUMMYFUNCTION("""COMPUTED_VALUE"""),"")</f>
        <v/>
      </c>
      <c r="V3133" s="136" t="str">
        <f>IFERROR(__xludf.DUMMYFUNCTION("""COMPUTED_VALUE"""),"")</f>
        <v/>
      </c>
      <c r="W3133" s="106" t="str">
        <f>IFERROR(__xludf.DUMMYFUNCTION("""COMPUTED_VALUE"""),"")</f>
        <v/>
      </c>
      <c r="X3133" s="143" t="str">
        <f t="shared" si="2"/>
        <v/>
      </c>
      <c r="Y3133" s="139" t="str">
        <f>IFERROR(__xludf.DUMMYFUNCTION("""COMPUTED_VALUE"""),"")</f>
        <v/>
      </c>
      <c r="Z3133" s="141" t="str">
        <f>IFERROR(__xludf.DUMMYFUNCTION("""COMPUTED_VALUE"""),"")</f>
        <v/>
      </c>
    </row>
    <row r="3134">
      <c r="D3134" s="136" t="str">
        <f t="shared" si="3"/>
        <v/>
      </c>
      <c r="E3134" s="152"/>
      <c r="F3134" s="106" t="s">
        <v>133</v>
      </c>
      <c r="G3134" s="152"/>
      <c r="H3134" s="106" t="s">
        <v>133</v>
      </c>
      <c r="J3134" s="139" t="s">
        <v>133</v>
      </c>
      <c r="K3134" s="136" t="s">
        <v>133</v>
      </c>
      <c r="L3134" s="153"/>
      <c r="M3134" s="136" t="str">
        <f t="shared" si="1"/>
        <v/>
      </c>
      <c r="O3134" s="141" t="s">
        <v>133</v>
      </c>
      <c r="P3134" s="136" t="str">
        <f>IFERROR(__xludf.DUMMYFUNCTION("""COMPUTED_VALUE"""),"")</f>
        <v/>
      </c>
      <c r="Q3134" s="136" t="str">
        <f>IFERROR(__xludf.DUMMYFUNCTION("""COMPUTED_VALUE"""),"")</f>
        <v/>
      </c>
      <c r="R3134" s="106" t="str">
        <f>IFERROR(__xludf.DUMMYFUNCTION("""COMPUTED_VALUE"""),"")</f>
        <v/>
      </c>
      <c r="S3134" s="106" t="str">
        <f>IFERROR(__xludf.DUMMYFUNCTION("""COMPUTED_VALUE"""),"")</f>
        <v/>
      </c>
      <c r="T3134" s="139" t="str">
        <f>IFERROR(__xludf.DUMMYFUNCTION("""COMPUTED_VALUE"""),"")</f>
        <v/>
      </c>
      <c r="U3134" s="139" t="str">
        <f>IFERROR(__xludf.DUMMYFUNCTION("""COMPUTED_VALUE"""),"")</f>
        <v/>
      </c>
      <c r="V3134" s="136" t="str">
        <f>IFERROR(__xludf.DUMMYFUNCTION("""COMPUTED_VALUE"""),"")</f>
        <v/>
      </c>
      <c r="W3134" s="106" t="str">
        <f>IFERROR(__xludf.DUMMYFUNCTION("""COMPUTED_VALUE"""),"")</f>
        <v/>
      </c>
      <c r="X3134" s="143" t="str">
        <f t="shared" si="2"/>
        <v/>
      </c>
      <c r="Y3134" s="139" t="str">
        <f>IFERROR(__xludf.DUMMYFUNCTION("""COMPUTED_VALUE"""),"")</f>
        <v/>
      </c>
      <c r="Z3134" s="141" t="str">
        <f>IFERROR(__xludf.DUMMYFUNCTION("""COMPUTED_VALUE"""),"")</f>
        <v/>
      </c>
    </row>
    <row r="3135">
      <c r="D3135" s="136" t="str">
        <f t="shared" si="3"/>
        <v/>
      </c>
      <c r="E3135" s="152"/>
      <c r="F3135" s="106" t="s">
        <v>133</v>
      </c>
      <c r="G3135" s="152"/>
      <c r="H3135" s="106" t="s">
        <v>133</v>
      </c>
      <c r="J3135" s="139" t="s">
        <v>133</v>
      </c>
      <c r="K3135" s="136" t="s">
        <v>133</v>
      </c>
      <c r="L3135" s="153"/>
      <c r="M3135" s="136" t="str">
        <f t="shared" si="1"/>
        <v/>
      </c>
      <c r="O3135" s="141" t="s">
        <v>133</v>
      </c>
      <c r="P3135" s="136" t="str">
        <f>IFERROR(__xludf.DUMMYFUNCTION("""COMPUTED_VALUE"""),"")</f>
        <v/>
      </c>
      <c r="Q3135" s="136" t="str">
        <f>IFERROR(__xludf.DUMMYFUNCTION("""COMPUTED_VALUE"""),"")</f>
        <v/>
      </c>
      <c r="R3135" s="106" t="str">
        <f>IFERROR(__xludf.DUMMYFUNCTION("""COMPUTED_VALUE"""),"")</f>
        <v/>
      </c>
      <c r="S3135" s="106" t="str">
        <f>IFERROR(__xludf.DUMMYFUNCTION("""COMPUTED_VALUE"""),"")</f>
        <v/>
      </c>
      <c r="T3135" s="139" t="str">
        <f>IFERROR(__xludf.DUMMYFUNCTION("""COMPUTED_VALUE"""),"")</f>
        <v/>
      </c>
      <c r="U3135" s="139" t="str">
        <f>IFERROR(__xludf.DUMMYFUNCTION("""COMPUTED_VALUE"""),"")</f>
        <v/>
      </c>
      <c r="V3135" s="136" t="str">
        <f>IFERROR(__xludf.DUMMYFUNCTION("""COMPUTED_VALUE"""),"")</f>
        <v/>
      </c>
      <c r="W3135" s="106" t="str">
        <f>IFERROR(__xludf.DUMMYFUNCTION("""COMPUTED_VALUE"""),"")</f>
        <v/>
      </c>
      <c r="X3135" s="143" t="str">
        <f t="shared" si="2"/>
        <v/>
      </c>
      <c r="Y3135" s="139" t="str">
        <f>IFERROR(__xludf.DUMMYFUNCTION("""COMPUTED_VALUE"""),"")</f>
        <v/>
      </c>
      <c r="Z3135" s="141" t="str">
        <f>IFERROR(__xludf.DUMMYFUNCTION("""COMPUTED_VALUE"""),"")</f>
        <v/>
      </c>
    </row>
    <row r="3136">
      <c r="D3136" s="136" t="str">
        <f t="shared" si="3"/>
        <v/>
      </c>
      <c r="E3136" s="152"/>
      <c r="F3136" s="106" t="s">
        <v>133</v>
      </c>
      <c r="G3136" s="152"/>
      <c r="H3136" s="106" t="s">
        <v>133</v>
      </c>
      <c r="J3136" s="139" t="s">
        <v>133</v>
      </c>
      <c r="K3136" s="136" t="s">
        <v>133</v>
      </c>
      <c r="L3136" s="153"/>
      <c r="M3136" s="136" t="str">
        <f t="shared" si="1"/>
        <v/>
      </c>
      <c r="O3136" s="141" t="s">
        <v>133</v>
      </c>
      <c r="P3136" s="136" t="str">
        <f>IFERROR(__xludf.DUMMYFUNCTION("""COMPUTED_VALUE"""),"")</f>
        <v/>
      </c>
      <c r="Q3136" s="136" t="str">
        <f>IFERROR(__xludf.DUMMYFUNCTION("""COMPUTED_VALUE"""),"")</f>
        <v/>
      </c>
      <c r="R3136" s="106" t="str">
        <f>IFERROR(__xludf.DUMMYFUNCTION("""COMPUTED_VALUE"""),"")</f>
        <v/>
      </c>
      <c r="S3136" s="106" t="str">
        <f>IFERROR(__xludf.DUMMYFUNCTION("""COMPUTED_VALUE"""),"")</f>
        <v/>
      </c>
      <c r="T3136" s="139" t="str">
        <f>IFERROR(__xludf.DUMMYFUNCTION("""COMPUTED_VALUE"""),"")</f>
        <v/>
      </c>
      <c r="U3136" s="139" t="str">
        <f>IFERROR(__xludf.DUMMYFUNCTION("""COMPUTED_VALUE"""),"")</f>
        <v/>
      </c>
      <c r="V3136" s="136" t="str">
        <f>IFERROR(__xludf.DUMMYFUNCTION("""COMPUTED_VALUE"""),"")</f>
        <v/>
      </c>
      <c r="W3136" s="106" t="str">
        <f>IFERROR(__xludf.DUMMYFUNCTION("""COMPUTED_VALUE"""),"")</f>
        <v/>
      </c>
      <c r="X3136" s="143" t="str">
        <f t="shared" si="2"/>
        <v/>
      </c>
      <c r="Y3136" s="139" t="str">
        <f>IFERROR(__xludf.DUMMYFUNCTION("""COMPUTED_VALUE"""),"")</f>
        <v/>
      </c>
      <c r="Z3136" s="141" t="str">
        <f>IFERROR(__xludf.DUMMYFUNCTION("""COMPUTED_VALUE"""),"")</f>
        <v/>
      </c>
    </row>
    <row r="3137">
      <c r="D3137" s="136" t="str">
        <f t="shared" si="3"/>
        <v/>
      </c>
      <c r="E3137" s="152"/>
      <c r="F3137" s="106" t="s">
        <v>133</v>
      </c>
      <c r="G3137" s="152"/>
      <c r="H3137" s="106" t="s">
        <v>133</v>
      </c>
      <c r="J3137" s="139" t="s">
        <v>133</v>
      </c>
      <c r="K3137" s="136" t="s">
        <v>133</v>
      </c>
      <c r="L3137" s="153"/>
      <c r="M3137" s="136" t="str">
        <f t="shared" si="1"/>
        <v/>
      </c>
      <c r="O3137" s="141" t="s">
        <v>133</v>
      </c>
      <c r="P3137" s="136" t="str">
        <f>IFERROR(__xludf.DUMMYFUNCTION("""COMPUTED_VALUE"""),"")</f>
        <v/>
      </c>
      <c r="Q3137" s="136" t="str">
        <f>IFERROR(__xludf.DUMMYFUNCTION("""COMPUTED_VALUE"""),"")</f>
        <v/>
      </c>
      <c r="R3137" s="106" t="str">
        <f>IFERROR(__xludf.DUMMYFUNCTION("""COMPUTED_VALUE"""),"")</f>
        <v/>
      </c>
      <c r="S3137" s="106" t="str">
        <f>IFERROR(__xludf.DUMMYFUNCTION("""COMPUTED_VALUE"""),"")</f>
        <v/>
      </c>
      <c r="T3137" s="139" t="str">
        <f>IFERROR(__xludf.DUMMYFUNCTION("""COMPUTED_VALUE"""),"")</f>
        <v/>
      </c>
      <c r="U3137" s="139" t="str">
        <f>IFERROR(__xludf.DUMMYFUNCTION("""COMPUTED_VALUE"""),"")</f>
        <v/>
      </c>
      <c r="V3137" s="136" t="str">
        <f>IFERROR(__xludf.DUMMYFUNCTION("""COMPUTED_VALUE"""),"")</f>
        <v/>
      </c>
      <c r="W3137" s="106" t="str">
        <f>IFERROR(__xludf.DUMMYFUNCTION("""COMPUTED_VALUE"""),"")</f>
        <v/>
      </c>
      <c r="X3137" s="143" t="str">
        <f t="shared" si="2"/>
        <v/>
      </c>
      <c r="Y3137" s="139" t="str">
        <f>IFERROR(__xludf.DUMMYFUNCTION("""COMPUTED_VALUE"""),"")</f>
        <v/>
      </c>
      <c r="Z3137" s="141" t="str">
        <f>IFERROR(__xludf.DUMMYFUNCTION("""COMPUTED_VALUE"""),"")</f>
        <v/>
      </c>
    </row>
    <row r="3138">
      <c r="D3138" s="136" t="str">
        <f t="shared" si="3"/>
        <v/>
      </c>
      <c r="E3138" s="152"/>
      <c r="F3138" s="106" t="s">
        <v>133</v>
      </c>
      <c r="G3138" s="152"/>
      <c r="H3138" s="106" t="s">
        <v>133</v>
      </c>
      <c r="J3138" s="139" t="s">
        <v>133</v>
      </c>
      <c r="K3138" s="136" t="s">
        <v>133</v>
      </c>
      <c r="L3138" s="153"/>
      <c r="M3138" s="136" t="str">
        <f t="shared" si="1"/>
        <v/>
      </c>
      <c r="O3138" s="141" t="s">
        <v>133</v>
      </c>
      <c r="P3138" s="136" t="str">
        <f>IFERROR(__xludf.DUMMYFUNCTION("""COMPUTED_VALUE"""),"")</f>
        <v/>
      </c>
      <c r="Q3138" s="136" t="str">
        <f>IFERROR(__xludf.DUMMYFUNCTION("""COMPUTED_VALUE"""),"")</f>
        <v/>
      </c>
      <c r="R3138" s="106" t="str">
        <f>IFERROR(__xludf.DUMMYFUNCTION("""COMPUTED_VALUE"""),"")</f>
        <v/>
      </c>
      <c r="S3138" s="106" t="str">
        <f>IFERROR(__xludf.DUMMYFUNCTION("""COMPUTED_VALUE"""),"")</f>
        <v/>
      </c>
      <c r="T3138" s="139" t="str">
        <f>IFERROR(__xludf.DUMMYFUNCTION("""COMPUTED_VALUE"""),"")</f>
        <v/>
      </c>
      <c r="U3138" s="139" t="str">
        <f>IFERROR(__xludf.DUMMYFUNCTION("""COMPUTED_VALUE"""),"")</f>
        <v/>
      </c>
      <c r="V3138" s="136" t="str">
        <f>IFERROR(__xludf.DUMMYFUNCTION("""COMPUTED_VALUE"""),"")</f>
        <v/>
      </c>
      <c r="W3138" s="106" t="str">
        <f>IFERROR(__xludf.DUMMYFUNCTION("""COMPUTED_VALUE"""),"")</f>
        <v/>
      </c>
      <c r="X3138" s="143" t="str">
        <f t="shared" si="2"/>
        <v/>
      </c>
      <c r="Y3138" s="139" t="str">
        <f>IFERROR(__xludf.DUMMYFUNCTION("""COMPUTED_VALUE"""),"")</f>
        <v/>
      </c>
      <c r="Z3138" s="141" t="str">
        <f>IFERROR(__xludf.DUMMYFUNCTION("""COMPUTED_VALUE"""),"")</f>
        <v/>
      </c>
    </row>
    <row r="3139">
      <c r="D3139" s="136" t="str">
        <f t="shared" si="3"/>
        <v/>
      </c>
      <c r="E3139" s="152"/>
      <c r="F3139" s="106" t="s">
        <v>133</v>
      </c>
      <c r="G3139" s="152"/>
      <c r="H3139" s="106" t="s">
        <v>133</v>
      </c>
      <c r="J3139" s="139" t="s">
        <v>133</v>
      </c>
      <c r="K3139" s="136" t="s">
        <v>133</v>
      </c>
      <c r="L3139" s="153"/>
      <c r="M3139" s="136" t="str">
        <f t="shared" si="1"/>
        <v/>
      </c>
      <c r="O3139" s="141" t="s">
        <v>133</v>
      </c>
      <c r="P3139" s="136" t="str">
        <f>IFERROR(__xludf.DUMMYFUNCTION("""COMPUTED_VALUE"""),"")</f>
        <v/>
      </c>
      <c r="Q3139" s="136" t="str">
        <f>IFERROR(__xludf.DUMMYFUNCTION("""COMPUTED_VALUE"""),"")</f>
        <v/>
      </c>
      <c r="R3139" s="106" t="str">
        <f>IFERROR(__xludf.DUMMYFUNCTION("""COMPUTED_VALUE"""),"")</f>
        <v/>
      </c>
      <c r="S3139" s="106" t="str">
        <f>IFERROR(__xludf.DUMMYFUNCTION("""COMPUTED_VALUE"""),"")</f>
        <v/>
      </c>
      <c r="T3139" s="139" t="str">
        <f>IFERROR(__xludf.DUMMYFUNCTION("""COMPUTED_VALUE"""),"")</f>
        <v/>
      </c>
      <c r="U3139" s="139" t="str">
        <f>IFERROR(__xludf.DUMMYFUNCTION("""COMPUTED_VALUE"""),"")</f>
        <v/>
      </c>
      <c r="V3139" s="136" t="str">
        <f>IFERROR(__xludf.DUMMYFUNCTION("""COMPUTED_VALUE"""),"")</f>
        <v/>
      </c>
      <c r="W3139" s="106" t="str">
        <f>IFERROR(__xludf.DUMMYFUNCTION("""COMPUTED_VALUE"""),"")</f>
        <v/>
      </c>
      <c r="X3139" s="143" t="str">
        <f t="shared" si="2"/>
        <v/>
      </c>
      <c r="Y3139" s="139" t="str">
        <f>IFERROR(__xludf.DUMMYFUNCTION("""COMPUTED_VALUE"""),"")</f>
        <v/>
      </c>
      <c r="Z3139" s="141" t="str">
        <f>IFERROR(__xludf.DUMMYFUNCTION("""COMPUTED_VALUE"""),"")</f>
        <v/>
      </c>
    </row>
    <row r="3140">
      <c r="D3140" s="136" t="str">
        <f t="shared" si="3"/>
        <v/>
      </c>
      <c r="E3140" s="152"/>
      <c r="F3140" s="106" t="s">
        <v>133</v>
      </c>
      <c r="G3140" s="152"/>
      <c r="H3140" s="106" t="s">
        <v>133</v>
      </c>
      <c r="J3140" s="139" t="s">
        <v>133</v>
      </c>
      <c r="K3140" s="136" t="s">
        <v>133</v>
      </c>
      <c r="L3140" s="153"/>
      <c r="M3140" s="136" t="str">
        <f t="shared" si="1"/>
        <v/>
      </c>
      <c r="O3140" s="141" t="s">
        <v>133</v>
      </c>
      <c r="P3140" s="136" t="str">
        <f>IFERROR(__xludf.DUMMYFUNCTION("""COMPUTED_VALUE"""),"")</f>
        <v/>
      </c>
      <c r="Q3140" s="136" t="str">
        <f>IFERROR(__xludf.DUMMYFUNCTION("""COMPUTED_VALUE"""),"")</f>
        <v/>
      </c>
      <c r="R3140" s="106" t="str">
        <f>IFERROR(__xludf.DUMMYFUNCTION("""COMPUTED_VALUE"""),"")</f>
        <v/>
      </c>
      <c r="S3140" s="106" t="str">
        <f>IFERROR(__xludf.DUMMYFUNCTION("""COMPUTED_VALUE"""),"")</f>
        <v/>
      </c>
      <c r="T3140" s="139" t="str">
        <f>IFERROR(__xludf.DUMMYFUNCTION("""COMPUTED_VALUE"""),"")</f>
        <v/>
      </c>
      <c r="U3140" s="139" t="str">
        <f>IFERROR(__xludf.DUMMYFUNCTION("""COMPUTED_VALUE"""),"")</f>
        <v/>
      </c>
      <c r="V3140" s="136" t="str">
        <f>IFERROR(__xludf.DUMMYFUNCTION("""COMPUTED_VALUE"""),"")</f>
        <v/>
      </c>
      <c r="W3140" s="106" t="str">
        <f>IFERROR(__xludf.DUMMYFUNCTION("""COMPUTED_VALUE"""),"")</f>
        <v/>
      </c>
      <c r="X3140" s="143" t="str">
        <f t="shared" si="2"/>
        <v/>
      </c>
      <c r="Y3140" s="139" t="str">
        <f>IFERROR(__xludf.DUMMYFUNCTION("""COMPUTED_VALUE"""),"")</f>
        <v/>
      </c>
      <c r="Z3140" s="141" t="str">
        <f>IFERROR(__xludf.DUMMYFUNCTION("""COMPUTED_VALUE"""),"")</f>
        <v/>
      </c>
    </row>
    <row r="3141">
      <c r="D3141" s="136" t="str">
        <f t="shared" si="3"/>
        <v/>
      </c>
      <c r="E3141" s="152"/>
      <c r="F3141" s="106" t="s">
        <v>133</v>
      </c>
      <c r="G3141" s="152"/>
      <c r="H3141" s="106" t="s">
        <v>133</v>
      </c>
      <c r="J3141" s="139" t="s">
        <v>133</v>
      </c>
      <c r="K3141" s="136" t="s">
        <v>133</v>
      </c>
      <c r="L3141" s="153"/>
      <c r="M3141" s="136" t="str">
        <f t="shared" si="1"/>
        <v/>
      </c>
      <c r="O3141" s="141" t="s">
        <v>133</v>
      </c>
      <c r="P3141" s="136" t="str">
        <f>IFERROR(__xludf.DUMMYFUNCTION("""COMPUTED_VALUE"""),"")</f>
        <v/>
      </c>
      <c r="Q3141" s="136" t="str">
        <f>IFERROR(__xludf.DUMMYFUNCTION("""COMPUTED_VALUE"""),"")</f>
        <v/>
      </c>
      <c r="R3141" s="106" t="str">
        <f>IFERROR(__xludf.DUMMYFUNCTION("""COMPUTED_VALUE"""),"")</f>
        <v/>
      </c>
      <c r="S3141" s="106" t="str">
        <f>IFERROR(__xludf.DUMMYFUNCTION("""COMPUTED_VALUE"""),"")</f>
        <v/>
      </c>
      <c r="T3141" s="139" t="str">
        <f>IFERROR(__xludf.DUMMYFUNCTION("""COMPUTED_VALUE"""),"")</f>
        <v/>
      </c>
      <c r="U3141" s="139" t="str">
        <f>IFERROR(__xludf.DUMMYFUNCTION("""COMPUTED_VALUE"""),"")</f>
        <v/>
      </c>
      <c r="V3141" s="136" t="str">
        <f>IFERROR(__xludf.DUMMYFUNCTION("""COMPUTED_VALUE"""),"")</f>
        <v/>
      </c>
      <c r="W3141" s="106" t="str">
        <f>IFERROR(__xludf.DUMMYFUNCTION("""COMPUTED_VALUE"""),"")</f>
        <v/>
      </c>
      <c r="X3141" s="143" t="str">
        <f t="shared" si="2"/>
        <v/>
      </c>
      <c r="Y3141" s="139" t="str">
        <f>IFERROR(__xludf.DUMMYFUNCTION("""COMPUTED_VALUE"""),"")</f>
        <v/>
      </c>
      <c r="Z3141" s="141" t="str">
        <f>IFERROR(__xludf.DUMMYFUNCTION("""COMPUTED_VALUE"""),"")</f>
        <v/>
      </c>
    </row>
    <row r="3142">
      <c r="D3142" s="136" t="str">
        <f t="shared" si="3"/>
        <v/>
      </c>
      <c r="E3142" s="152"/>
      <c r="F3142" s="106" t="s">
        <v>133</v>
      </c>
      <c r="G3142" s="152"/>
      <c r="H3142" s="106" t="s">
        <v>133</v>
      </c>
      <c r="J3142" s="139" t="s">
        <v>133</v>
      </c>
      <c r="K3142" s="136" t="s">
        <v>133</v>
      </c>
      <c r="L3142" s="153"/>
      <c r="M3142" s="136" t="str">
        <f t="shared" si="1"/>
        <v/>
      </c>
      <c r="O3142" s="141" t="s">
        <v>133</v>
      </c>
      <c r="P3142" s="136" t="str">
        <f>IFERROR(__xludf.DUMMYFUNCTION("""COMPUTED_VALUE"""),"")</f>
        <v/>
      </c>
      <c r="Q3142" s="136" t="str">
        <f>IFERROR(__xludf.DUMMYFUNCTION("""COMPUTED_VALUE"""),"")</f>
        <v/>
      </c>
      <c r="R3142" s="106" t="str">
        <f>IFERROR(__xludf.DUMMYFUNCTION("""COMPUTED_VALUE"""),"")</f>
        <v/>
      </c>
      <c r="S3142" s="106" t="str">
        <f>IFERROR(__xludf.DUMMYFUNCTION("""COMPUTED_VALUE"""),"")</f>
        <v/>
      </c>
      <c r="T3142" s="139" t="str">
        <f>IFERROR(__xludf.DUMMYFUNCTION("""COMPUTED_VALUE"""),"")</f>
        <v/>
      </c>
      <c r="U3142" s="139" t="str">
        <f>IFERROR(__xludf.DUMMYFUNCTION("""COMPUTED_VALUE"""),"")</f>
        <v/>
      </c>
      <c r="V3142" s="136" t="str">
        <f>IFERROR(__xludf.DUMMYFUNCTION("""COMPUTED_VALUE"""),"")</f>
        <v/>
      </c>
      <c r="W3142" s="106" t="str">
        <f>IFERROR(__xludf.DUMMYFUNCTION("""COMPUTED_VALUE"""),"")</f>
        <v/>
      </c>
      <c r="X3142" s="143" t="str">
        <f t="shared" si="2"/>
        <v/>
      </c>
      <c r="Y3142" s="139" t="str">
        <f>IFERROR(__xludf.DUMMYFUNCTION("""COMPUTED_VALUE"""),"")</f>
        <v/>
      </c>
      <c r="Z3142" s="141" t="str">
        <f>IFERROR(__xludf.DUMMYFUNCTION("""COMPUTED_VALUE"""),"")</f>
        <v/>
      </c>
    </row>
    <row r="3143">
      <c r="D3143" s="136" t="str">
        <f t="shared" si="3"/>
        <v/>
      </c>
      <c r="E3143" s="152"/>
      <c r="F3143" s="106" t="s">
        <v>133</v>
      </c>
      <c r="G3143" s="152"/>
      <c r="H3143" s="106" t="s">
        <v>133</v>
      </c>
      <c r="J3143" s="139" t="s">
        <v>133</v>
      </c>
      <c r="K3143" s="136" t="s">
        <v>133</v>
      </c>
      <c r="L3143" s="153"/>
      <c r="M3143" s="136" t="str">
        <f t="shared" si="1"/>
        <v/>
      </c>
      <c r="O3143" s="141" t="s">
        <v>133</v>
      </c>
      <c r="P3143" s="136" t="str">
        <f>IFERROR(__xludf.DUMMYFUNCTION("""COMPUTED_VALUE"""),"")</f>
        <v/>
      </c>
      <c r="Q3143" s="136" t="str">
        <f>IFERROR(__xludf.DUMMYFUNCTION("""COMPUTED_VALUE"""),"")</f>
        <v/>
      </c>
      <c r="R3143" s="106" t="str">
        <f>IFERROR(__xludf.DUMMYFUNCTION("""COMPUTED_VALUE"""),"")</f>
        <v/>
      </c>
      <c r="S3143" s="106" t="str">
        <f>IFERROR(__xludf.DUMMYFUNCTION("""COMPUTED_VALUE"""),"")</f>
        <v/>
      </c>
      <c r="T3143" s="139" t="str">
        <f>IFERROR(__xludf.DUMMYFUNCTION("""COMPUTED_VALUE"""),"")</f>
        <v/>
      </c>
      <c r="U3143" s="139" t="str">
        <f>IFERROR(__xludf.DUMMYFUNCTION("""COMPUTED_VALUE"""),"")</f>
        <v/>
      </c>
      <c r="V3143" s="136" t="str">
        <f>IFERROR(__xludf.DUMMYFUNCTION("""COMPUTED_VALUE"""),"")</f>
        <v/>
      </c>
      <c r="W3143" s="106" t="str">
        <f>IFERROR(__xludf.DUMMYFUNCTION("""COMPUTED_VALUE"""),"")</f>
        <v/>
      </c>
      <c r="X3143" s="143" t="str">
        <f t="shared" si="2"/>
        <v/>
      </c>
      <c r="Y3143" s="139" t="str">
        <f>IFERROR(__xludf.DUMMYFUNCTION("""COMPUTED_VALUE"""),"")</f>
        <v/>
      </c>
      <c r="Z3143" s="141" t="str">
        <f>IFERROR(__xludf.DUMMYFUNCTION("""COMPUTED_VALUE"""),"")</f>
        <v/>
      </c>
    </row>
    <row r="3144">
      <c r="D3144" s="136" t="str">
        <f t="shared" si="3"/>
        <v/>
      </c>
      <c r="E3144" s="152"/>
      <c r="F3144" s="106" t="s">
        <v>133</v>
      </c>
      <c r="G3144" s="152"/>
      <c r="H3144" s="106" t="s">
        <v>133</v>
      </c>
      <c r="J3144" s="139" t="s">
        <v>133</v>
      </c>
      <c r="K3144" s="136" t="s">
        <v>133</v>
      </c>
      <c r="L3144" s="153"/>
      <c r="M3144" s="136" t="str">
        <f t="shared" si="1"/>
        <v/>
      </c>
      <c r="O3144" s="141" t="s">
        <v>133</v>
      </c>
      <c r="P3144" s="136" t="str">
        <f>IFERROR(__xludf.DUMMYFUNCTION("""COMPUTED_VALUE"""),"")</f>
        <v/>
      </c>
      <c r="Q3144" s="136" t="str">
        <f>IFERROR(__xludf.DUMMYFUNCTION("""COMPUTED_VALUE"""),"")</f>
        <v/>
      </c>
      <c r="R3144" s="106" t="str">
        <f>IFERROR(__xludf.DUMMYFUNCTION("""COMPUTED_VALUE"""),"")</f>
        <v/>
      </c>
      <c r="S3144" s="106" t="str">
        <f>IFERROR(__xludf.DUMMYFUNCTION("""COMPUTED_VALUE"""),"")</f>
        <v/>
      </c>
      <c r="T3144" s="139" t="str">
        <f>IFERROR(__xludf.DUMMYFUNCTION("""COMPUTED_VALUE"""),"")</f>
        <v/>
      </c>
      <c r="U3144" s="139" t="str">
        <f>IFERROR(__xludf.DUMMYFUNCTION("""COMPUTED_VALUE"""),"")</f>
        <v/>
      </c>
      <c r="V3144" s="136" t="str">
        <f>IFERROR(__xludf.DUMMYFUNCTION("""COMPUTED_VALUE"""),"")</f>
        <v/>
      </c>
      <c r="W3144" s="106" t="str">
        <f>IFERROR(__xludf.DUMMYFUNCTION("""COMPUTED_VALUE"""),"")</f>
        <v/>
      </c>
      <c r="X3144" s="143" t="str">
        <f t="shared" si="2"/>
        <v/>
      </c>
      <c r="Y3144" s="139" t="str">
        <f>IFERROR(__xludf.DUMMYFUNCTION("""COMPUTED_VALUE"""),"")</f>
        <v/>
      </c>
      <c r="Z3144" s="141" t="str">
        <f>IFERROR(__xludf.DUMMYFUNCTION("""COMPUTED_VALUE"""),"")</f>
        <v/>
      </c>
    </row>
    <row r="3145">
      <c r="D3145" s="136" t="str">
        <f t="shared" si="3"/>
        <v/>
      </c>
      <c r="E3145" s="152"/>
      <c r="F3145" s="106" t="s">
        <v>133</v>
      </c>
      <c r="G3145" s="152"/>
      <c r="H3145" s="106" t="s">
        <v>133</v>
      </c>
      <c r="J3145" s="139" t="s">
        <v>133</v>
      </c>
      <c r="K3145" s="136" t="s">
        <v>133</v>
      </c>
      <c r="L3145" s="153"/>
      <c r="M3145" s="136" t="str">
        <f t="shared" si="1"/>
        <v/>
      </c>
      <c r="O3145" s="141" t="s">
        <v>133</v>
      </c>
      <c r="P3145" s="136" t="str">
        <f>IFERROR(__xludf.DUMMYFUNCTION("""COMPUTED_VALUE"""),"")</f>
        <v/>
      </c>
      <c r="Q3145" s="136" t="str">
        <f>IFERROR(__xludf.DUMMYFUNCTION("""COMPUTED_VALUE"""),"")</f>
        <v/>
      </c>
      <c r="R3145" s="106" t="str">
        <f>IFERROR(__xludf.DUMMYFUNCTION("""COMPUTED_VALUE"""),"")</f>
        <v/>
      </c>
      <c r="S3145" s="106" t="str">
        <f>IFERROR(__xludf.DUMMYFUNCTION("""COMPUTED_VALUE"""),"")</f>
        <v/>
      </c>
      <c r="T3145" s="139" t="str">
        <f>IFERROR(__xludf.DUMMYFUNCTION("""COMPUTED_VALUE"""),"")</f>
        <v/>
      </c>
      <c r="U3145" s="139" t="str">
        <f>IFERROR(__xludf.DUMMYFUNCTION("""COMPUTED_VALUE"""),"")</f>
        <v/>
      </c>
      <c r="V3145" s="136" t="str">
        <f>IFERROR(__xludf.DUMMYFUNCTION("""COMPUTED_VALUE"""),"")</f>
        <v/>
      </c>
      <c r="W3145" s="106" t="str">
        <f>IFERROR(__xludf.DUMMYFUNCTION("""COMPUTED_VALUE"""),"")</f>
        <v/>
      </c>
      <c r="X3145" s="143" t="str">
        <f t="shared" si="2"/>
        <v/>
      </c>
      <c r="Y3145" s="139" t="str">
        <f>IFERROR(__xludf.DUMMYFUNCTION("""COMPUTED_VALUE"""),"")</f>
        <v/>
      </c>
      <c r="Z3145" s="141" t="str">
        <f>IFERROR(__xludf.DUMMYFUNCTION("""COMPUTED_VALUE"""),"")</f>
        <v/>
      </c>
    </row>
    <row r="3146">
      <c r="D3146" s="136" t="str">
        <f t="shared" si="3"/>
        <v/>
      </c>
      <c r="E3146" s="152"/>
      <c r="F3146" s="106" t="s">
        <v>133</v>
      </c>
      <c r="G3146" s="152"/>
      <c r="H3146" s="106" t="s">
        <v>133</v>
      </c>
      <c r="J3146" s="139" t="s">
        <v>133</v>
      </c>
      <c r="K3146" s="136" t="s">
        <v>133</v>
      </c>
      <c r="L3146" s="153"/>
      <c r="M3146" s="136" t="str">
        <f t="shared" si="1"/>
        <v/>
      </c>
      <c r="O3146" s="141" t="s">
        <v>133</v>
      </c>
      <c r="P3146" s="136" t="str">
        <f>IFERROR(__xludf.DUMMYFUNCTION("""COMPUTED_VALUE"""),"")</f>
        <v/>
      </c>
      <c r="Q3146" s="136" t="str">
        <f>IFERROR(__xludf.DUMMYFUNCTION("""COMPUTED_VALUE"""),"")</f>
        <v/>
      </c>
      <c r="R3146" s="106" t="str">
        <f>IFERROR(__xludf.DUMMYFUNCTION("""COMPUTED_VALUE"""),"")</f>
        <v/>
      </c>
      <c r="S3146" s="106" t="str">
        <f>IFERROR(__xludf.DUMMYFUNCTION("""COMPUTED_VALUE"""),"")</f>
        <v/>
      </c>
      <c r="T3146" s="139" t="str">
        <f>IFERROR(__xludf.DUMMYFUNCTION("""COMPUTED_VALUE"""),"")</f>
        <v/>
      </c>
      <c r="U3146" s="139" t="str">
        <f>IFERROR(__xludf.DUMMYFUNCTION("""COMPUTED_VALUE"""),"")</f>
        <v/>
      </c>
      <c r="V3146" s="136" t="str">
        <f>IFERROR(__xludf.DUMMYFUNCTION("""COMPUTED_VALUE"""),"")</f>
        <v/>
      </c>
      <c r="W3146" s="106" t="str">
        <f>IFERROR(__xludf.DUMMYFUNCTION("""COMPUTED_VALUE"""),"")</f>
        <v/>
      </c>
      <c r="X3146" s="143" t="str">
        <f t="shared" si="2"/>
        <v/>
      </c>
      <c r="Y3146" s="139" t="str">
        <f>IFERROR(__xludf.DUMMYFUNCTION("""COMPUTED_VALUE"""),"")</f>
        <v/>
      </c>
      <c r="Z3146" s="141" t="str">
        <f>IFERROR(__xludf.DUMMYFUNCTION("""COMPUTED_VALUE"""),"")</f>
        <v/>
      </c>
    </row>
    <row r="3147">
      <c r="D3147" s="136" t="str">
        <f t="shared" si="3"/>
        <v/>
      </c>
      <c r="E3147" s="152"/>
      <c r="F3147" s="106" t="s">
        <v>133</v>
      </c>
      <c r="G3147" s="152"/>
      <c r="H3147" s="106" t="s">
        <v>133</v>
      </c>
      <c r="J3147" s="139" t="s">
        <v>133</v>
      </c>
      <c r="K3147" s="136" t="s">
        <v>133</v>
      </c>
      <c r="L3147" s="153"/>
      <c r="M3147" s="136" t="str">
        <f t="shared" si="1"/>
        <v/>
      </c>
      <c r="O3147" s="141" t="s">
        <v>133</v>
      </c>
      <c r="P3147" s="136" t="str">
        <f>IFERROR(__xludf.DUMMYFUNCTION("""COMPUTED_VALUE"""),"")</f>
        <v/>
      </c>
      <c r="Q3147" s="136" t="str">
        <f>IFERROR(__xludf.DUMMYFUNCTION("""COMPUTED_VALUE"""),"")</f>
        <v/>
      </c>
      <c r="R3147" s="106" t="str">
        <f>IFERROR(__xludf.DUMMYFUNCTION("""COMPUTED_VALUE"""),"")</f>
        <v/>
      </c>
      <c r="S3147" s="106" t="str">
        <f>IFERROR(__xludf.DUMMYFUNCTION("""COMPUTED_VALUE"""),"")</f>
        <v/>
      </c>
      <c r="T3147" s="139" t="str">
        <f>IFERROR(__xludf.DUMMYFUNCTION("""COMPUTED_VALUE"""),"")</f>
        <v/>
      </c>
      <c r="U3147" s="139" t="str">
        <f>IFERROR(__xludf.DUMMYFUNCTION("""COMPUTED_VALUE"""),"")</f>
        <v/>
      </c>
      <c r="V3147" s="136" t="str">
        <f>IFERROR(__xludf.DUMMYFUNCTION("""COMPUTED_VALUE"""),"")</f>
        <v/>
      </c>
      <c r="W3147" s="106" t="str">
        <f>IFERROR(__xludf.DUMMYFUNCTION("""COMPUTED_VALUE"""),"")</f>
        <v/>
      </c>
      <c r="X3147" s="143" t="str">
        <f t="shared" si="2"/>
        <v/>
      </c>
      <c r="Y3147" s="139" t="str">
        <f>IFERROR(__xludf.DUMMYFUNCTION("""COMPUTED_VALUE"""),"")</f>
        <v/>
      </c>
      <c r="Z3147" s="141" t="str">
        <f>IFERROR(__xludf.DUMMYFUNCTION("""COMPUTED_VALUE"""),"")</f>
        <v/>
      </c>
    </row>
    <row r="3148">
      <c r="D3148" s="136" t="str">
        <f t="shared" si="3"/>
        <v/>
      </c>
      <c r="E3148" s="152"/>
      <c r="F3148" s="106" t="s">
        <v>133</v>
      </c>
      <c r="G3148" s="152"/>
      <c r="H3148" s="106" t="s">
        <v>133</v>
      </c>
      <c r="J3148" s="139" t="s">
        <v>133</v>
      </c>
      <c r="K3148" s="136" t="s">
        <v>133</v>
      </c>
      <c r="L3148" s="153"/>
      <c r="M3148" s="136" t="str">
        <f t="shared" si="1"/>
        <v/>
      </c>
      <c r="O3148" s="141" t="s">
        <v>133</v>
      </c>
      <c r="P3148" s="136" t="str">
        <f>IFERROR(__xludf.DUMMYFUNCTION("""COMPUTED_VALUE"""),"")</f>
        <v/>
      </c>
      <c r="Q3148" s="136" t="str">
        <f>IFERROR(__xludf.DUMMYFUNCTION("""COMPUTED_VALUE"""),"")</f>
        <v/>
      </c>
      <c r="R3148" s="106" t="str">
        <f>IFERROR(__xludf.DUMMYFUNCTION("""COMPUTED_VALUE"""),"")</f>
        <v/>
      </c>
      <c r="S3148" s="106" t="str">
        <f>IFERROR(__xludf.DUMMYFUNCTION("""COMPUTED_VALUE"""),"")</f>
        <v/>
      </c>
      <c r="T3148" s="139" t="str">
        <f>IFERROR(__xludf.DUMMYFUNCTION("""COMPUTED_VALUE"""),"")</f>
        <v/>
      </c>
      <c r="U3148" s="139" t="str">
        <f>IFERROR(__xludf.DUMMYFUNCTION("""COMPUTED_VALUE"""),"")</f>
        <v/>
      </c>
      <c r="V3148" s="136" t="str">
        <f>IFERROR(__xludf.DUMMYFUNCTION("""COMPUTED_VALUE"""),"")</f>
        <v/>
      </c>
      <c r="W3148" s="106" t="str">
        <f>IFERROR(__xludf.DUMMYFUNCTION("""COMPUTED_VALUE"""),"")</f>
        <v/>
      </c>
      <c r="X3148" s="143" t="str">
        <f t="shared" si="2"/>
        <v/>
      </c>
      <c r="Y3148" s="139" t="str">
        <f>IFERROR(__xludf.DUMMYFUNCTION("""COMPUTED_VALUE"""),"")</f>
        <v/>
      </c>
      <c r="Z3148" s="141" t="str">
        <f>IFERROR(__xludf.DUMMYFUNCTION("""COMPUTED_VALUE"""),"")</f>
        <v/>
      </c>
    </row>
    <row r="3149">
      <c r="D3149" s="136" t="str">
        <f t="shared" si="3"/>
        <v/>
      </c>
      <c r="E3149" s="152"/>
      <c r="F3149" s="106" t="s">
        <v>133</v>
      </c>
      <c r="G3149" s="152"/>
      <c r="H3149" s="106" t="s">
        <v>133</v>
      </c>
      <c r="J3149" s="139" t="s">
        <v>133</v>
      </c>
      <c r="K3149" s="136" t="s">
        <v>133</v>
      </c>
      <c r="L3149" s="153"/>
      <c r="M3149" s="136" t="str">
        <f t="shared" si="1"/>
        <v/>
      </c>
      <c r="O3149" s="141" t="s">
        <v>133</v>
      </c>
      <c r="P3149" s="136" t="str">
        <f>IFERROR(__xludf.DUMMYFUNCTION("""COMPUTED_VALUE"""),"")</f>
        <v/>
      </c>
      <c r="Q3149" s="136" t="str">
        <f>IFERROR(__xludf.DUMMYFUNCTION("""COMPUTED_VALUE"""),"")</f>
        <v/>
      </c>
      <c r="R3149" s="106" t="str">
        <f>IFERROR(__xludf.DUMMYFUNCTION("""COMPUTED_VALUE"""),"")</f>
        <v/>
      </c>
      <c r="S3149" s="106" t="str">
        <f>IFERROR(__xludf.DUMMYFUNCTION("""COMPUTED_VALUE"""),"")</f>
        <v/>
      </c>
      <c r="T3149" s="139" t="str">
        <f>IFERROR(__xludf.DUMMYFUNCTION("""COMPUTED_VALUE"""),"")</f>
        <v/>
      </c>
      <c r="U3149" s="139" t="str">
        <f>IFERROR(__xludf.DUMMYFUNCTION("""COMPUTED_VALUE"""),"")</f>
        <v/>
      </c>
      <c r="V3149" s="136" t="str">
        <f>IFERROR(__xludf.DUMMYFUNCTION("""COMPUTED_VALUE"""),"")</f>
        <v/>
      </c>
      <c r="W3149" s="106" t="str">
        <f>IFERROR(__xludf.DUMMYFUNCTION("""COMPUTED_VALUE"""),"")</f>
        <v/>
      </c>
      <c r="X3149" s="143" t="str">
        <f t="shared" si="2"/>
        <v/>
      </c>
      <c r="Y3149" s="139" t="str">
        <f>IFERROR(__xludf.DUMMYFUNCTION("""COMPUTED_VALUE"""),"")</f>
        <v/>
      </c>
      <c r="Z3149" s="141" t="str">
        <f>IFERROR(__xludf.DUMMYFUNCTION("""COMPUTED_VALUE"""),"")</f>
        <v/>
      </c>
    </row>
    <row r="3150">
      <c r="D3150" s="136" t="str">
        <f t="shared" si="3"/>
        <v/>
      </c>
      <c r="E3150" s="152"/>
      <c r="F3150" s="106" t="s">
        <v>133</v>
      </c>
      <c r="G3150" s="152"/>
      <c r="H3150" s="106" t="s">
        <v>133</v>
      </c>
      <c r="J3150" s="139" t="s">
        <v>133</v>
      </c>
      <c r="K3150" s="136" t="s">
        <v>133</v>
      </c>
      <c r="L3150" s="153"/>
      <c r="M3150" s="136" t="str">
        <f t="shared" si="1"/>
        <v/>
      </c>
      <c r="O3150" s="141" t="s">
        <v>133</v>
      </c>
      <c r="P3150" s="136" t="str">
        <f>IFERROR(__xludf.DUMMYFUNCTION("""COMPUTED_VALUE"""),"")</f>
        <v/>
      </c>
      <c r="Q3150" s="136" t="str">
        <f>IFERROR(__xludf.DUMMYFUNCTION("""COMPUTED_VALUE"""),"")</f>
        <v/>
      </c>
      <c r="R3150" s="106" t="str">
        <f>IFERROR(__xludf.DUMMYFUNCTION("""COMPUTED_VALUE"""),"")</f>
        <v/>
      </c>
      <c r="S3150" s="106" t="str">
        <f>IFERROR(__xludf.DUMMYFUNCTION("""COMPUTED_VALUE"""),"")</f>
        <v/>
      </c>
      <c r="T3150" s="139" t="str">
        <f>IFERROR(__xludf.DUMMYFUNCTION("""COMPUTED_VALUE"""),"")</f>
        <v/>
      </c>
      <c r="U3150" s="139" t="str">
        <f>IFERROR(__xludf.DUMMYFUNCTION("""COMPUTED_VALUE"""),"")</f>
        <v/>
      </c>
      <c r="V3150" s="136" t="str">
        <f>IFERROR(__xludf.DUMMYFUNCTION("""COMPUTED_VALUE"""),"")</f>
        <v/>
      </c>
      <c r="W3150" s="106" t="str">
        <f>IFERROR(__xludf.DUMMYFUNCTION("""COMPUTED_VALUE"""),"")</f>
        <v/>
      </c>
      <c r="X3150" s="143" t="str">
        <f t="shared" si="2"/>
        <v/>
      </c>
      <c r="Y3150" s="139" t="str">
        <f>IFERROR(__xludf.DUMMYFUNCTION("""COMPUTED_VALUE"""),"")</f>
        <v/>
      </c>
      <c r="Z3150" s="141" t="str">
        <f>IFERROR(__xludf.DUMMYFUNCTION("""COMPUTED_VALUE"""),"")</f>
        <v/>
      </c>
    </row>
    <row r="3151">
      <c r="D3151" s="136" t="str">
        <f t="shared" si="3"/>
        <v/>
      </c>
      <c r="E3151" s="152"/>
      <c r="F3151" s="106" t="s">
        <v>133</v>
      </c>
      <c r="G3151" s="152"/>
      <c r="H3151" s="106" t="s">
        <v>133</v>
      </c>
      <c r="J3151" s="139" t="s">
        <v>133</v>
      </c>
      <c r="K3151" s="136" t="s">
        <v>133</v>
      </c>
      <c r="L3151" s="153"/>
      <c r="M3151" s="136" t="str">
        <f t="shared" si="1"/>
        <v/>
      </c>
      <c r="O3151" s="141" t="s">
        <v>133</v>
      </c>
      <c r="P3151" s="136" t="str">
        <f>IFERROR(__xludf.DUMMYFUNCTION("""COMPUTED_VALUE"""),"")</f>
        <v/>
      </c>
      <c r="Q3151" s="136" t="str">
        <f>IFERROR(__xludf.DUMMYFUNCTION("""COMPUTED_VALUE"""),"")</f>
        <v/>
      </c>
      <c r="R3151" s="106" t="str">
        <f>IFERROR(__xludf.DUMMYFUNCTION("""COMPUTED_VALUE"""),"")</f>
        <v/>
      </c>
      <c r="S3151" s="106" t="str">
        <f>IFERROR(__xludf.DUMMYFUNCTION("""COMPUTED_VALUE"""),"")</f>
        <v/>
      </c>
      <c r="T3151" s="139" t="str">
        <f>IFERROR(__xludf.DUMMYFUNCTION("""COMPUTED_VALUE"""),"")</f>
        <v/>
      </c>
      <c r="U3151" s="139" t="str">
        <f>IFERROR(__xludf.DUMMYFUNCTION("""COMPUTED_VALUE"""),"")</f>
        <v/>
      </c>
      <c r="V3151" s="136" t="str">
        <f>IFERROR(__xludf.DUMMYFUNCTION("""COMPUTED_VALUE"""),"")</f>
        <v/>
      </c>
      <c r="W3151" s="106" t="str">
        <f>IFERROR(__xludf.DUMMYFUNCTION("""COMPUTED_VALUE"""),"")</f>
        <v/>
      </c>
      <c r="X3151" s="143" t="str">
        <f t="shared" si="2"/>
        <v/>
      </c>
      <c r="Y3151" s="139" t="str">
        <f>IFERROR(__xludf.DUMMYFUNCTION("""COMPUTED_VALUE"""),"")</f>
        <v/>
      </c>
      <c r="Z3151" s="141" t="str">
        <f>IFERROR(__xludf.DUMMYFUNCTION("""COMPUTED_VALUE"""),"")</f>
        <v/>
      </c>
    </row>
    <row r="3152">
      <c r="D3152" s="136" t="str">
        <f t="shared" si="3"/>
        <v/>
      </c>
      <c r="E3152" s="152"/>
      <c r="F3152" s="106" t="s">
        <v>133</v>
      </c>
      <c r="G3152" s="152"/>
      <c r="H3152" s="106" t="s">
        <v>133</v>
      </c>
      <c r="J3152" s="139" t="s">
        <v>133</v>
      </c>
      <c r="K3152" s="136" t="s">
        <v>133</v>
      </c>
      <c r="L3152" s="153"/>
      <c r="M3152" s="136" t="str">
        <f t="shared" si="1"/>
        <v/>
      </c>
      <c r="O3152" s="141" t="s">
        <v>133</v>
      </c>
      <c r="P3152" s="136" t="str">
        <f>IFERROR(__xludf.DUMMYFUNCTION("""COMPUTED_VALUE"""),"")</f>
        <v/>
      </c>
      <c r="Q3152" s="136" t="str">
        <f>IFERROR(__xludf.DUMMYFUNCTION("""COMPUTED_VALUE"""),"")</f>
        <v/>
      </c>
      <c r="R3152" s="106" t="str">
        <f>IFERROR(__xludf.DUMMYFUNCTION("""COMPUTED_VALUE"""),"")</f>
        <v/>
      </c>
      <c r="S3152" s="106" t="str">
        <f>IFERROR(__xludf.DUMMYFUNCTION("""COMPUTED_VALUE"""),"")</f>
        <v/>
      </c>
      <c r="T3152" s="139" t="str">
        <f>IFERROR(__xludf.DUMMYFUNCTION("""COMPUTED_VALUE"""),"")</f>
        <v/>
      </c>
      <c r="U3152" s="139" t="str">
        <f>IFERROR(__xludf.DUMMYFUNCTION("""COMPUTED_VALUE"""),"")</f>
        <v/>
      </c>
      <c r="V3152" s="136" t="str">
        <f>IFERROR(__xludf.DUMMYFUNCTION("""COMPUTED_VALUE"""),"")</f>
        <v/>
      </c>
      <c r="W3152" s="106" t="str">
        <f>IFERROR(__xludf.DUMMYFUNCTION("""COMPUTED_VALUE"""),"")</f>
        <v/>
      </c>
      <c r="X3152" s="143" t="str">
        <f t="shared" si="2"/>
        <v/>
      </c>
      <c r="Y3152" s="139" t="str">
        <f>IFERROR(__xludf.DUMMYFUNCTION("""COMPUTED_VALUE"""),"")</f>
        <v/>
      </c>
      <c r="Z3152" s="141" t="str">
        <f>IFERROR(__xludf.DUMMYFUNCTION("""COMPUTED_VALUE"""),"")</f>
        <v/>
      </c>
    </row>
    <row r="3153">
      <c r="D3153" s="136" t="str">
        <f t="shared" si="3"/>
        <v/>
      </c>
      <c r="E3153" s="152"/>
      <c r="F3153" s="106" t="s">
        <v>133</v>
      </c>
      <c r="G3153" s="152"/>
      <c r="H3153" s="106" t="s">
        <v>133</v>
      </c>
      <c r="J3153" s="139" t="s">
        <v>133</v>
      </c>
      <c r="K3153" s="136" t="s">
        <v>133</v>
      </c>
      <c r="L3153" s="153"/>
      <c r="M3153" s="136" t="str">
        <f t="shared" si="1"/>
        <v/>
      </c>
      <c r="O3153" s="141" t="s">
        <v>133</v>
      </c>
      <c r="P3153" s="136" t="str">
        <f>IFERROR(__xludf.DUMMYFUNCTION("""COMPUTED_VALUE"""),"")</f>
        <v/>
      </c>
      <c r="Q3153" s="136" t="str">
        <f>IFERROR(__xludf.DUMMYFUNCTION("""COMPUTED_VALUE"""),"")</f>
        <v/>
      </c>
      <c r="R3153" s="106" t="str">
        <f>IFERROR(__xludf.DUMMYFUNCTION("""COMPUTED_VALUE"""),"")</f>
        <v/>
      </c>
      <c r="S3153" s="106" t="str">
        <f>IFERROR(__xludf.DUMMYFUNCTION("""COMPUTED_VALUE"""),"")</f>
        <v/>
      </c>
      <c r="T3153" s="139" t="str">
        <f>IFERROR(__xludf.DUMMYFUNCTION("""COMPUTED_VALUE"""),"")</f>
        <v/>
      </c>
      <c r="U3153" s="139" t="str">
        <f>IFERROR(__xludf.DUMMYFUNCTION("""COMPUTED_VALUE"""),"")</f>
        <v/>
      </c>
      <c r="V3153" s="136" t="str">
        <f>IFERROR(__xludf.DUMMYFUNCTION("""COMPUTED_VALUE"""),"")</f>
        <v/>
      </c>
      <c r="W3153" s="106" t="str">
        <f>IFERROR(__xludf.DUMMYFUNCTION("""COMPUTED_VALUE"""),"")</f>
        <v/>
      </c>
      <c r="X3153" s="143" t="str">
        <f t="shared" si="2"/>
        <v/>
      </c>
      <c r="Y3153" s="139" t="str">
        <f>IFERROR(__xludf.DUMMYFUNCTION("""COMPUTED_VALUE"""),"")</f>
        <v/>
      </c>
      <c r="Z3153" s="141" t="str">
        <f>IFERROR(__xludf.DUMMYFUNCTION("""COMPUTED_VALUE"""),"")</f>
        <v/>
      </c>
    </row>
    <row r="3154">
      <c r="D3154" s="136" t="str">
        <f t="shared" si="3"/>
        <v/>
      </c>
      <c r="E3154" s="152"/>
      <c r="F3154" s="106" t="s">
        <v>133</v>
      </c>
      <c r="G3154" s="152"/>
      <c r="H3154" s="106" t="s">
        <v>133</v>
      </c>
      <c r="J3154" s="139" t="s">
        <v>133</v>
      </c>
      <c r="K3154" s="136" t="s">
        <v>133</v>
      </c>
      <c r="L3154" s="153"/>
      <c r="M3154" s="136" t="str">
        <f t="shared" si="1"/>
        <v/>
      </c>
      <c r="O3154" s="141" t="s">
        <v>133</v>
      </c>
      <c r="P3154" s="136" t="str">
        <f>IFERROR(__xludf.DUMMYFUNCTION("""COMPUTED_VALUE"""),"")</f>
        <v/>
      </c>
      <c r="Q3154" s="136" t="str">
        <f>IFERROR(__xludf.DUMMYFUNCTION("""COMPUTED_VALUE"""),"")</f>
        <v/>
      </c>
      <c r="R3154" s="106" t="str">
        <f>IFERROR(__xludf.DUMMYFUNCTION("""COMPUTED_VALUE"""),"")</f>
        <v/>
      </c>
      <c r="S3154" s="106" t="str">
        <f>IFERROR(__xludf.DUMMYFUNCTION("""COMPUTED_VALUE"""),"")</f>
        <v/>
      </c>
      <c r="T3154" s="139" t="str">
        <f>IFERROR(__xludf.DUMMYFUNCTION("""COMPUTED_VALUE"""),"")</f>
        <v/>
      </c>
      <c r="U3154" s="139" t="str">
        <f>IFERROR(__xludf.DUMMYFUNCTION("""COMPUTED_VALUE"""),"")</f>
        <v/>
      </c>
      <c r="V3154" s="136" t="str">
        <f>IFERROR(__xludf.DUMMYFUNCTION("""COMPUTED_VALUE"""),"")</f>
        <v/>
      </c>
      <c r="W3154" s="106" t="str">
        <f>IFERROR(__xludf.DUMMYFUNCTION("""COMPUTED_VALUE"""),"")</f>
        <v/>
      </c>
      <c r="X3154" s="143" t="str">
        <f t="shared" si="2"/>
        <v/>
      </c>
      <c r="Y3154" s="139" t="str">
        <f>IFERROR(__xludf.DUMMYFUNCTION("""COMPUTED_VALUE"""),"")</f>
        <v/>
      </c>
      <c r="Z3154" s="141" t="str">
        <f>IFERROR(__xludf.DUMMYFUNCTION("""COMPUTED_VALUE"""),"")</f>
        <v/>
      </c>
    </row>
    <row r="3155">
      <c r="D3155" s="136" t="str">
        <f t="shared" si="3"/>
        <v/>
      </c>
      <c r="E3155" s="152"/>
      <c r="F3155" s="106" t="s">
        <v>133</v>
      </c>
      <c r="G3155" s="152"/>
      <c r="H3155" s="106" t="s">
        <v>133</v>
      </c>
      <c r="J3155" s="139" t="s">
        <v>133</v>
      </c>
      <c r="K3155" s="136" t="s">
        <v>133</v>
      </c>
      <c r="L3155" s="153"/>
      <c r="M3155" s="136" t="str">
        <f t="shared" si="1"/>
        <v/>
      </c>
      <c r="O3155" s="141" t="s">
        <v>133</v>
      </c>
      <c r="P3155" s="136" t="str">
        <f>IFERROR(__xludf.DUMMYFUNCTION("""COMPUTED_VALUE"""),"")</f>
        <v/>
      </c>
      <c r="Q3155" s="136" t="str">
        <f>IFERROR(__xludf.DUMMYFUNCTION("""COMPUTED_VALUE"""),"")</f>
        <v/>
      </c>
      <c r="R3155" s="106" t="str">
        <f>IFERROR(__xludf.DUMMYFUNCTION("""COMPUTED_VALUE"""),"")</f>
        <v/>
      </c>
      <c r="S3155" s="106" t="str">
        <f>IFERROR(__xludf.DUMMYFUNCTION("""COMPUTED_VALUE"""),"")</f>
        <v/>
      </c>
      <c r="T3155" s="139" t="str">
        <f>IFERROR(__xludf.DUMMYFUNCTION("""COMPUTED_VALUE"""),"")</f>
        <v/>
      </c>
      <c r="U3155" s="139" t="str">
        <f>IFERROR(__xludf.DUMMYFUNCTION("""COMPUTED_VALUE"""),"")</f>
        <v/>
      </c>
      <c r="V3155" s="136" t="str">
        <f>IFERROR(__xludf.DUMMYFUNCTION("""COMPUTED_VALUE"""),"")</f>
        <v/>
      </c>
      <c r="W3155" s="106" t="str">
        <f>IFERROR(__xludf.DUMMYFUNCTION("""COMPUTED_VALUE"""),"")</f>
        <v/>
      </c>
      <c r="X3155" s="143" t="str">
        <f t="shared" si="2"/>
        <v/>
      </c>
      <c r="Y3155" s="139" t="str">
        <f>IFERROR(__xludf.DUMMYFUNCTION("""COMPUTED_VALUE"""),"")</f>
        <v/>
      </c>
      <c r="Z3155" s="141" t="str">
        <f>IFERROR(__xludf.DUMMYFUNCTION("""COMPUTED_VALUE"""),"")</f>
        <v/>
      </c>
    </row>
    <row r="3156">
      <c r="D3156" s="136" t="str">
        <f t="shared" si="3"/>
        <v/>
      </c>
      <c r="E3156" s="152"/>
      <c r="F3156" s="106" t="s">
        <v>133</v>
      </c>
      <c r="G3156" s="152"/>
      <c r="H3156" s="106" t="s">
        <v>133</v>
      </c>
      <c r="J3156" s="139" t="s">
        <v>133</v>
      </c>
      <c r="K3156" s="136" t="s">
        <v>133</v>
      </c>
      <c r="L3156" s="153"/>
      <c r="M3156" s="136" t="str">
        <f t="shared" si="1"/>
        <v/>
      </c>
      <c r="O3156" s="141" t="s">
        <v>133</v>
      </c>
      <c r="P3156" s="136" t="str">
        <f>IFERROR(__xludf.DUMMYFUNCTION("""COMPUTED_VALUE"""),"")</f>
        <v/>
      </c>
      <c r="Q3156" s="136" t="str">
        <f>IFERROR(__xludf.DUMMYFUNCTION("""COMPUTED_VALUE"""),"")</f>
        <v/>
      </c>
      <c r="R3156" s="106" t="str">
        <f>IFERROR(__xludf.DUMMYFUNCTION("""COMPUTED_VALUE"""),"")</f>
        <v/>
      </c>
      <c r="S3156" s="106" t="str">
        <f>IFERROR(__xludf.DUMMYFUNCTION("""COMPUTED_VALUE"""),"")</f>
        <v/>
      </c>
      <c r="T3156" s="139" t="str">
        <f>IFERROR(__xludf.DUMMYFUNCTION("""COMPUTED_VALUE"""),"")</f>
        <v/>
      </c>
      <c r="U3156" s="139" t="str">
        <f>IFERROR(__xludf.DUMMYFUNCTION("""COMPUTED_VALUE"""),"")</f>
        <v/>
      </c>
      <c r="V3156" s="136" t="str">
        <f>IFERROR(__xludf.DUMMYFUNCTION("""COMPUTED_VALUE"""),"")</f>
        <v/>
      </c>
      <c r="W3156" s="106" t="str">
        <f>IFERROR(__xludf.DUMMYFUNCTION("""COMPUTED_VALUE"""),"")</f>
        <v/>
      </c>
      <c r="X3156" s="143" t="str">
        <f t="shared" si="2"/>
        <v/>
      </c>
      <c r="Y3156" s="139" t="str">
        <f>IFERROR(__xludf.DUMMYFUNCTION("""COMPUTED_VALUE"""),"")</f>
        <v/>
      </c>
      <c r="Z3156" s="141" t="str">
        <f>IFERROR(__xludf.DUMMYFUNCTION("""COMPUTED_VALUE"""),"")</f>
        <v/>
      </c>
    </row>
    <row r="3157">
      <c r="D3157" s="136" t="str">
        <f t="shared" si="3"/>
        <v/>
      </c>
      <c r="E3157" s="152"/>
      <c r="F3157" s="106" t="s">
        <v>133</v>
      </c>
      <c r="G3157" s="152"/>
      <c r="H3157" s="106" t="s">
        <v>133</v>
      </c>
      <c r="J3157" s="139" t="s">
        <v>133</v>
      </c>
      <c r="K3157" s="136" t="s">
        <v>133</v>
      </c>
      <c r="L3157" s="153"/>
      <c r="M3157" s="136" t="str">
        <f t="shared" si="1"/>
        <v/>
      </c>
      <c r="O3157" s="141" t="s">
        <v>133</v>
      </c>
      <c r="P3157" s="136" t="str">
        <f>IFERROR(__xludf.DUMMYFUNCTION("""COMPUTED_VALUE"""),"")</f>
        <v/>
      </c>
      <c r="Q3157" s="136" t="str">
        <f>IFERROR(__xludf.DUMMYFUNCTION("""COMPUTED_VALUE"""),"")</f>
        <v/>
      </c>
      <c r="R3157" s="106" t="str">
        <f>IFERROR(__xludf.DUMMYFUNCTION("""COMPUTED_VALUE"""),"")</f>
        <v/>
      </c>
      <c r="S3157" s="106" t="str">
        <f>IFERROR(__xludf.DUMMYFUNCTION("""COMPUTED_VALUE"""),"")</f>
        <v/>
      </c>
      <c r="T3157" s="139" t="str">
        <f>IFERROR(__xludf.DUMMYFUNCTION("""COMPUTED_VALUE"""),"")</f>
        <v/>
      </c>
      <c r="U3157" s="139" t="str">
        <f>IFERROR(__xludf.DUMMYFUNCTION("""COMPUTED_VALUE"""),"")</f>
        <v/>
      </c>
      <c r="V3157" s="136" t="str">
        <f>IFERROR(__xludf.DUMMYFUNCTION("""COMPUTED_VALUE"""),"")</f>
        <v/>
      </c>
      <c r="W3157" s="106" t="str">
        <f>IFERROR(__xludf.DUMMYFUNCTION("""COMPUTED_VALUE"""),"")</f>
        <v/>
      </c>
      <c r="X3157" s="143" t="str">
        <f t="shared" si="2"/>
        <v/>
      </c>
      <c r="Y3157" s="139" t="str">
        <f>IFERROR(__xludf.DUMMYFUNCTION("""COMPUTED_VALUE"""),"")</f>
        <v/>
      </c>
      <c r="Z3157" s="141" t="str">
        <f>IFERROR(__xludf.DUMMYFUNCTION("""COMPUTED_VALUE"""),"")</f>
        <v/>
      </c>
    </row>
    <row r="3158">
      <c r="D3158" s="136" t="str">
        <f t="shared" si="3"/>
        <v/>
      </c>
      <c r="E3158" s="152"/>
      <c r="F3158" s="106" t="s">
        <v>133</v>
      </c>
      <c r="G3158" s="152"/>
      <c r="H3158" s="106" t="s">
        <v>133</v>
      </c>
      <c r="J3158" s="139" t="s">
        <v>133</v>
      </c>
      <c r="K3158" s="136" t="s">
        <v>133</v>
      </c>
      <c r="L3158" s="153"/>
      <c r="M3158" s="136" t="str">
        <f t="shared" si="1"/>
        <v/>
      </c>
      <c r="O3158" s="141" t="s">
        <v>133</v>
      </c>
      <c r="P3158" s="136" t="str">
        <f>IFERROR(__xludf.DUMMYFUNCTION("""COMPUTED_VALUE"""),"")</f>
        <v/>
      </c>
      <c r="Q3158" s="136" t="str">
        <f>IFERROR(__xludf.DUMMYFUNCTION("""COMPUTED_VALUE"""),"")</f>
        <v/>
      </c>
      <c r="R3158" s="106" t="str">
        <f>IFERROR(__xludf.DUMMYFUNCTION("""COMPUTED_VALUE"""),"")</f>
        <v/>
      </c>
      <c r="S3158" s="106" t="str">
        <f>IFERROR(__xludf.DUMMYFUNCTION("""COMPUTED_VALUE"""),"")</f>
        <v/>
      </c>
      <c r="T3158" s="139" t="str">
        <f>IFERROR(__xludf.DUMMYFUNCTION("""COMPUTED_VALUE"""),"")</f>
        <v/>
      </c>
      <c r="U3158" s="139" t="str">
        <f>IFERROR(__xludf.DUMMYFUNCTION("""COMPUTED_VALUE"""),"")</f>
        <v/>
      </c>
      <c r="V3158" s="136" t="str">
        <f>IFERROR(__xludf.DUMMYFUNCTION("""COMPUTED_VALUE"""),"")</f>
        <v/>
      </c>
      <c r="W3158" s="106" t="str">
        <f>IFERROR(__xludf.DUMMYFUNCTION("""COMPUTED_VALUE"""),"")</f>
        <v/>
      </c>
      <c r="X3158" s="143" t="str">
        <f t="shared" si="2"/>
        <v/>
      </c>
      <c r="Y3158" s="139" t="str">
        <f>IFERROR(__xludf.DUMMYFUNCTION("""COMPUTED_VALUE"""),"")</f>
        <v/>
      </c>
      <c r="Z3158" s="141" t="str">
        <f>IFERROR(__xludf.DUMMYFUNCTION("""COMPUTED_VALUE"""),"")</f>
        <v/>
      </c>
    </row>
    <row r="3159">
      <c r="D3159" s="136" t="str">
        <f t="shared" si="3"/>
        <v/>
      </c>
      <c r="E3159" s="152"/>
      <c r="F3159" s="106" t="s">
        <v>133</v>
      </c>
      <c r="G3159" s="152"/>
      <c r="H3159" s="106" t="s">
        <v>133</v>
      </c>
      <c r="J3159" s="139" t="s">
        <v>133</v>
      </c>
      <c r="K3159" s="136" t="s">
        <v>133</v>
      </c>
      <c r="L3159" s="153"/>
      <c r="M3159" s="136" t="str">
        <f t="shared" si="1"/>
        <v/>
      </c>
      <c r="O3159" s="141" t="s">
        <v>133</v>
      </c>
      <c r="P3159" s="136" t="str">
        <f>IFERROR(__xludf.DUMMYFUNCTION("""COMPUTED_VALUE"""),"")</f>
        <v/>
      </c>
      <c r="Q3159" s="136" t="str">
        <f>IFERROR(__xludf.DUMMYFUNCTION("""COMPUTED_VALUE"""),"")</f>
        <v/>
      </c>
      <c r="R3159" s="106" t="str">
        <f>IFERROR(__xludf.DUMMYFUNCTION("""COMPUTED_VALUE"""),"")</f>
        <v/>
      </c>
      <c r="S3159" s="106" t="str">
        <f>IFERROR(__xludf.DUMMYFUNCTION("""COMPUTED_VALUE"""),"")</f>
        <v/>
      </c>
      <c r="T3159" s="139" t="str">
        <f>IFERROR(__xludf.DUMMYFUNCTION("""COMPUTED_VALUE"""),"")</f>
        <v/>
      </c>
      <c r="U3159" s="139" t="str">
        <f>IFERROR(__xludf.DUMMYFUNCTION("""COMPUTED_VALUE"""),"")</f>
        <v/>
      </c>
      <c r="V3159" s="136" t="str">
        <f>IFERROR(__xludf.DUMMYFUNCTION("""COMPUTED_VALUE"""),"")</f>
        <v/>
      </c>
      <c r="W3159" s="106" t="str">
        <f>IFERROR(__xludf.DUMMYFUNCTION("""COMPUTED_VALUE"""),"")</f>
        <v/>
      </c>
      <c r="X3159" s="143" t="str">
        <f t="shared" si="2"/>
        <v/>
      </c>
      <c r="Y3159" s="139" t="str">
        <f>IFERROR(__xludf.DUMMYFUNCTION("""COMPUTED_VALUE"""),"")</f>
        <v/>
      </c>
      <c r="Z3159" s="141" t="str">
        <f>IFERROR(__xludf.DUMMYFUNCTION("""COMPUTED_VALUE"""),"")</f>
        <v/>
      </c>
    </row>
    <row r="3160">
      <c r="D3160" s="136" t="str">
        <f t="shared" si="3"/>
        <v/>
      </c>
      <c r="E3160" s="152"/>
      <c r="F3160" s="106" t="s">
        <v>133</v>
      </c>
      <c r="G3160" s="152"/>
      <c r="H3160" s="106" t="s">
        <v>133</v>
      </c>
      <c r="J3160" s="139" t="s">
        <v>133</v>
      </c>
      <c r="K3160" s="136" t="s">
        <v>133</v>
      </c>
      <c r="L3160" s="153"/>
      <c r="M3160" s="136" t="str">
        <f t="shared" si="1"/>
        <v/>
      </c>
      <c r="O3160" s="141" t="s">
        <v>133</v>
      </c>
      <c r="P3160" s="136" t="str">
        <f>IFERROR(__xludf.DUMMYFUNCTION("""COMPUTED_VALUE"""),"")</f>
        <v/>
      </c>
      <c r="Q3160" s="136" t="str">
        <f>IFERROR(__xludf.DUMMYFUNCTION("""COMPUTED_VALUE"""),"")</f>
        <v/>
      </c>
      <c r="R3160" s="106" t="str">
        <f>IFERROR(__xludf.DUMMYFUNCTION("""COMPUTED_VALUE"""),"")</f>
        <v/>
      </c>
      <c r="S3160" s="106" t="str">
        <f>IFERROR(__xludf.DUMMYFUNCTION("""COMPUTED_VALUE"""),"")</f>
        <v/>
      </c>
      <c r="T3160" s="139" t="str">
        <f>IFERROR(__xludf.DUMMYFUNCTION("""COMPUTED_VALUE"""),"")</f>
        <v/>
      </c>
      <c r="U3160" s="139" t="str">
        <f>IFERROR(__xludf.DUMMYFUNCTION("""COMPUTED_VALUE"""),"")</f>
        <v/>
      </c>
      <c r="V3160" s="136" t="str">
        <f>IFERROR(__xludf.DUMMYFUNCTION("""COMPUTED_VALUE"""),"")</f>
        <v/>
      </c>
      <c r="W3160" s="106" t="str">
        <f>IFERROR(__xludf.DUMMYFUNCTION("""COMPUTED_VALUE"""),"")</f>
        <v/>
      </c>
      <c r="X3160" s="143" t="str">
        <f t="shared" si="2"/>
        <v/>
      </c>
      <c r="Y3160" s="139" t="str">
        <f>IFERROR(__xludf.DUMMYFUNCTION("""COMPUTED_VALUE"""),"")</f>
        <v/>
      </c>
      <c r="Z3160" s="141" t="str">
        <f>IFERROR(__xludf.DUMMYFUNCTION("""COMPUTED_VALUE"""),"")</f>
        <v/>
      </c>
    </row>
    <row r="3161">
      <c r="D3161" s="136" t="str">
        <f t="shared" si="3"/>
        <v/>
      </c>
      <c r="E3161" s="152"/>
      <c r="F3161" s="106" t="s">
        <v>133</v>
      </c>
      <c r="G3161" s="152"/>
      <c r="H3161" s="106" t="s">
        <v>133</v>
      </c>
      <c r="J3161" s="139" t="s">
        <v>133</v>
      </c>
      <c r="K3161" s="136" t="s">
        <v>133</v>
      </c>
      <c r="L3161" s="153"/>
      <c r="M3161" s="136" t="str">
        <f t="shared" si="1"/>
        <v/>
      </c>
      <c r="O3161" s="141" t="s">
        <v>133</v>
      </c>
      <c r="P3161" s="136" t="str">
        <f>IFERROR(__xludf.DUMMYFUNCTION("""COMPUTED_VALUE"""),"")</f>
        <v/>
      </c>
      <c r="Q3161" s="136" t="str">
        <f>IFERROR(__xludf.DUMMYFUNCTION("""COMPUTED_VALUE"""),"")</f>
        <v/>
      </c>
      <c r="R3161" s="106" t="str">
        <f>IFERROR(__xludf.DUMMYFUNCTION("""COMPUTED_VALUE"""),"")</f>
        <v/>
      </c>
      <c r="S3161" s="106" t="str">
        <f>IFERROR(__xludf.DUMMYFUNCTION("""COMPUTED_VALUE"""),"")</f>
        <v/>
      </c>
      <c r="T3161" s="139" t="str">
        <f>IFERROR(__xludf.DUMMYFUNCTION("""COMPUTED_VALUE"""),"")</f>
        <v/>
      </c>
      <c r="U3161" s="139" t="str">
        <f>IFERROR(__xludf.DUMMYFUNCTION("""COMPUTED_VALUE"""),"")</f>
        <v/>
      </c>
      <c r="V3161" s="136" t="str">
        <f>IFERROR(__xludf.DUMMYFUNCTION("""COMPUTED_VALUE"""),"")</f>
        <v/>
      </c>
      <c r="W3161" s="106" t="str">
        <f>IFERROR(__xludf.DUMMYFUNCTION("""COMPUTED_VALUE"""),"")</f>
        <v/>
      </c>
      <c r="X3161" s="143" t="str">
        <f t="shared" si="2"/>
        <v/>
      </c>
      <c r="Y3161" s="139" t="str">
        <f>IFERROR(__xludf.DUMMYFUNCTION("""COMPUTED_VALUE"""),"")</f>
        <v/>
      </c>
      <c r="Z3161" s="141" t="str">
        <f>IFERROR(__xludf.DUMMYFUNCTION("""COMPUTED_VALUE"""),"")</f>
        <v/>
      </c>
    </row>
    <row r="3162">
      <c r="D3162" s="136" t="str">
        <f t="shared" si="3"/>
        <v/>
      </c>
      <c r="E3162" s="152"/>
      <c r="F3162" s="106" t="s">
        <v>133</v>
      </c>
      <c r="G3162" s="152"/>
      <c r="H3162" s="106" t="s">
        <v>133</v>
      </c>
      <c r="J3162" s="139" t="s">
        <v>133</v>
      </c>
      <c r="K3162" s="136" t="s">
        <v>133</v>
      </c>
      <c r="L3162" s="153"/>
      <c r="M3162" s="136" t="str">
        <f t="shared" si="1"/>
        <v/>
      </c>
      <c r="O3162" s="141" t="s">
        <v>133</v>
      </c>
      <c r="P3162" s="136" t="str">
        <f>IFERROR(__xludf.DUMMYFUNCTION("""COMPUTED_VALUE"""),"")</f>
        <v/>
      </c>
      <c r="Q3162" s="136" t="str">
        <f>IFERROR(__xludf.DUMMYFUNCTION("""COMPUTED_VALUE"""),"")</f>
        <v/>
      </c>
      <c r="R3162" s="106" t="str">
        <f>IFERROR(__xludf.DUMMYFUNCTION("""COMPUTED_VALUE"""),"")</f>
        <v/>
      </c>
      <c r="S3162" s="106" t="str">
        <f>IFERROR(__xludf.DUMMYFUNCTION("""COMPUTED_VALUE"""),"")</f>
        <v/>
      </c>
      <c r="T3162" s="139" t="str">
        <f>IFERROR(__xludf.DUMMYFUNCTION("""COMPUTED_VALUE"""),"")</f>
        <v/>
      </c>
      <c r="U3162" s="139" t="str">
        <f>IFERROR(__xludf.DUMMYFUNCTION("""COMPUTED_VALUE"""),"")</f>
        <v/>
      </c>
      <c r="V3162" s="136" t="str">
        <f>IFERROR(__xludf.DUMMYFUNCTION("""COMPUTED_VALUE"""),"")</f>
        <v/>
      </c>
      <c r="W3162" s="106" t="str">
        <f>IFERROR(__xludf.DUMMYFUNCTION("""COMPUTED_VALUE"""),"")</f>
        <v/>
      </c>
      <c r="X3162" s="143" t="str">
        <f t="shared" si="2"/>
        <v/>
      </c>
      <c r="Y3162" s="139" t="str">
        <f>IFERROR(__xludf.DUMMYFUNCTION("""COMPUTED_VALUE"""),"")</f>
        <v/>
      </c>
      <c r="Z3162" s="141" t="str">
        <f>IFERROR(__xludf.DUMMYFUNCTION("""COMPUTED_VALUE"""),"")</f>
        <v/>
      </c>
    </row>
    <row r="3163">
      <c r="D3163" s="136" t="str">
        <f t="shared" si="3"/>
        <v/>
      </c>
      <c r="E3163" s="152"/>
      <c r="F3163" s="106" t="s">
        <v>133</v>
      </c>
      <c r="G3163" s="152"/>
      <c r="H3163" s="106" t="s">
        <v>133</v>
      </c>
      <c r="J3163" s="139" t="s">
        <v>133</v>
      </c>
      <c r="K3163" s="136" t="s">
        <v>133</v>
      </c>
      <c r="L3163" s="153"/>
      <c r="M3163" s="136" t="str">
        <f t="shared" si="1"/>
        <v/>
      </c>
      <c r="O3163" s="141" t="s">
        <v>133</v>
      </c>
      <c r="P3163" s="136" t="str">
        <f>IFERROR(__xludf.DUMMYFUNCTION("""COMPUTED_VALUE"""),"")</f>
        <v/>
      </c>
      <c r="Q3163" s="136" t="str">
        <f>IFERROR(__xludf.DUMMYFUNCTION("""COMPUTED_VALUE"""),"")</f>
        <v/>
      </c>
      <c r="R3163" s="106" t="str">
        <f>IFERROR(__xludf.DUMMYFUNCTION("""COMPUTED_VALUE"""),"")</f>
        <v/>
      </c>
      <c r="S3163" s="106" t="str">
        <f>IFERROR(__xludf.DUMMYFUNCTION("""COMPUTED_VALUE"""),"")</f>
        <v/>
      </c>
      <c r="T3163" s="139" t="str">
        <f>IFERROR(__xludf.DUMMYFUNCTION("""COMPUTED_VALUE"""),"")</f>
        <v/>
      </c>
      <c r="U3163" s="139" t="str">
        <f>IFERROR(__xludf.DUMMYFUNCTION("""COMPUTED_VALUE"""),"")</f>
        <v/>
      </c>
      <c r="V3163" s="136" t="str">
        <f>IFERROR(__xludf.DUMMYFUNCTION("""COMPUTED_VALUE"""),"")</f>
        <v/>
      </c>
      <c r="W3163" s="106" t="str">
        <f>IFERROR(__xludf.DUMMYFUNCTION("""COMPUTED_VALUE"""),"")</f>
        <v/>
      </c>
      <c r="X3163" s="143" t="str">
        <f t="shared" si="2"/>
        <v/>
      </c>
      <c r="Y3163" s="139" t="str">
        <f>IFERROR(__xludf.DUMMYFUNCTION("""COMPUTED_VALUE"""),"")</f>
        <v/>
      </c>
      <c r="Z3163" s="141" t="str">
        <f>IFERROR(__xludf.DUMMYFUNCTION("""COMPUTED_VALUE"""),"")</f>
        <v/>
      </c>
    </row>
    <row r="3164">
      <c r="D3164" s="136" t="str">
        <f t="shared" si="3"/>
        <v/>
      </c>
      <c r="E3164" s="152"/>
      <c r="F3164" s="106" t="s">
        <v>133</v>
      </c>
      <c r="G3164" s="152"/>
      <c r="H3164" s="106" t="s">
        <v>133</v>
      </c>
      <c r="J3164" s="139" t="s">
        <v>133</v>
      </c>
      <c r="K3164" s="136" t="s">
        <v>133</v>
      </c>
      <c r="L3164" s="153"/>
      <c r="M3164" s="136" t="str">
        <f t="shared" si="1"/>
        <v/>
      </c>
      <c r="O3164" s="141" t="s">
        <v>133</v>
      </c>
      <c r="P3164" s="136" t="str">
        <f>IFERROR(__xludf.DUMMYFUNCTION("""COMPUTED_VALUE"""),"")</f>
        <v/>
      </c>
      <c r="Q3164" s="136" t="str">
        <f>IFERROR(__xludf.DUMMYFUNCTION("""COMPUTED_VALUE"""),"")</f>
        <v/>
      </c>
      <c r="R3164" s="106" t="str">
        <f>IFERROR(__xludf.DUMMYFUNCTION("""COMPUTED_VALUE"""),"")</f>
        <v/>
      </c>
      <c r="S3164" s="106" t="str">
        <f>IFERROR(__xludf.DUMMYFUNCTION("""COMPUTED_VALUE"""),"")</f>
        <v/>
      </c>
      <c r="T3164" s="139" t="str">
        <f>IFERROR(__xludf.DUMMYFUNCTION("""COMPUTED_VALUE"""),"")</f>
        <v/>
      </c>
      <c r="U3164" s="139" t="str">
        <f>IFERROR(__xludf.DUMMYFUNCTION("""COMPUTED_VALUE"""),"")</f>
        <v/>
      </c>
      <c r="V3164" s="136" t="str">
        <f>IFERROR(__xludf.DUMMYFUNCTION("""COMPUTED_VALUE"""),"")</f>
        <v/>
      </c>
      <c r="W3164" s="106" t="str">
        <f>IFERROR(__xludf.DUMMYFUNCTION("""COMPUTED_VALUE"""),"")</f>
        <v/>
      </c>
      <c r="X3164" s="143" t="str">
        <f t="shared" si="2"/>
        <v/>
      </c>
      <c r="Y3164" s="139" t="str">
        <f>IFERROR(__xludf.DUMMYFUNCTION("""COMPUTED_VALUE"""),"")</f>
        <v/>
      </c>
      <c r="Z3164" s="141" t="str">
        <f>IFERROR(__xludf.DUMMYFUNCTION("""COMPUTED_VALUE"""),"")</f>
        <v/>
      </c>
    </row>
    <row r="3165">
      <c r="D3165" s="136" t="str">
        <f t="shared" si="3"/>
        <v/>
      </c>
      <c r="E3165" s="152"/>
      <c r="F3165" s="106" t="s">
        <v>133</v>
      </c>
      <c r="G3165" s="152"/>
      <c r="H3165" s="106" t="s">
        <v>133</v>
      </c>
      <c r="J3165" s="139" t="s">
        <v>133</v>
      </c>
      <c r="K3165" s="136" t="s">
        <v>133</v>
      </c>
      <c r="L3165" s="153"/>
      <c r="M3165" s="136" t="str">
        <f t="shared" si="1"/>
        <v/>
      </c>
      <c r="O3165" s="141" t="s">
        <v>133</v>
      </c>
      <c r="P3165" s="136" t="str">
        <f>IFERROR(__xludf.DUMMYFUNCTION("""COMPUTED_VALUE"""),"")</f>
        <v/>
      </c>
      <c r="Q3165" s="136" t="str">
        <f>IFERROR(__xludf.DUMMYFUNCTION("""COMPUTED_VALUE"""),"")</f>
        <v/>
      </c>
      <c r="R3165" s="106" t="str">
        <f>IFERROR(__xludf.DUMMYFUNCTION("""COMPUTED_VALUE"""),"")</f>
        <v/>
      </c>
      <c r="S3165" s="106" t="str">
        <f>IFERROR(__xludf.DUMMYFUNCTION("""COMPUTED_VALUE"""),"")</f>
        <v/>
      </c>
      <c r="T3165" s="139" t="str">
        <f>IFERROR(__xludf.DUMMYFUNCTION("""COMPUTED_VALUE"""),"")</f>
        <v/>
      </c>
      <c r="U3165" s="139" t="str">
        <f>IFERROR(__xludf.DUMMYFUNCTION("""COMPUTED_VALUE"""),"")</f>
        <v/>
      </c>
      <c r="V3165" s="136" t="str">
        <f>IFERROR(__xludf.DUMMYFUNCTION("""COMPUTED_VALUE"""),"")</f>
        <v/>
      </c>
      <c r="W3165" s="106" t="str">
        <f>IFERROR(__xludf.DUMMYFUNCTION("""COMPUTED_VALUE"""),"")</f>
        <v/>
      </c>
      <c r="X3165" s="143" t="str">
        <f t="shared" si="2"/>
        <v/>
      </c>
      <c r="Y3165" s="139" t="str">
        <f>IFERROR(__xludf.DUMMYFUNCTION("""COMPUTED_VALUE"""),"")</f>
        <v/>
      </c>
      <c r="Z3165" s="141" t="str">
        <f>IFERROR(__xludf.DUMMYFUNCTION("""COMPUTED_VALUE"""),"")</f>
        <v/>
      </c>
    </row>
    <row r="3166">
      <c r="D3166" s="136" t="str">
        <f t="shared" si="3"/>
        <v/>
      </c>
      <c r="E3166" s="152"/>
      <c r="F3166" s="106" t="s">
        <v>133</v>
      </c>
      <c r="G3166" s="152"/>
      <c r="H3166" s="106" t="s">
        <v>133</v>
      </c>
      <c r="J3166" s="139" t="s">
        <v>133</v>
      </c>
      <c r="K3166" s="136" t="s">
        <v>133</v>
      </c>
      <c r="L3166" s="153"/>
      <c r="M3166" s="136" t="str">
        <f t="shared" si="1"/>
        <v/>
      </c>
      <c r="O3166" s="141" t="s">
        <v>133</v>
      </c>
      <c r="P3166" s="136" t="str">
        <f>IFERROR(__xludf.DUMMYFUNCTION("""COMPUTED_VALUE"""),"")</f>
        <v/>
      </c>
      <c r="Q3166" s="136" t="str">
        <f>IFERROR(__xludf.DUMMYFUNCTION("""COMPUTED_VALUE"""),"")</f>
        <v/>
      </c>
      <c r="R3166" s="106" t="str">
        <f>IFERROR(__xludf.DUMMYFUNCTION("""COMPUTED_VALUE"""),"")</f>
        <v/>
      </c>
      <c r="S3166" s="106" t="str">
        <f>IFERROR(__xludf.DUMMYFUNCTION("""COMPUTED_VALUE"""),"")</f>
        <v/>
      </c>
      <c r="T3166" s="139" t="str">
        <f>IFERROR(__xludf.DUMMYFUNCTION("""COMPUTED_VALUE"""),"")</f>
        <v/>
      </c>
      <c r="U3166" s="139" t="str">
        <f>IFERROR(__xludf.DUMMYFUNCTION("""COMPUTED_VALUE"""),"")</f>
        <v/>
      </c>
      <c r="V3166" s="136" t="str">
        <f>IFERROR(__xludf.DUMMYFUNCTION("""COMPUTED_VALUE"""),"")</f>
        <v/>
      </c>
      <c r="W3166" s="106" t="str">
        <f>IFERROR(__xludf.DUMMYFUNCTION("""COMPUTED_VALUE"""),"")</f>
        <v/>
      </c>
      <c r="X3166" s="143" t="str">
        <f t="shared" si="2"/>
        <v/>
      </c>
      <c r="Y3166" s="139" t="str">
        <f>IFERROR(__xludf.DUMMYFUNCTION("""COMPUTED_VALUE"""),"")</f>
        <v/>
      </c>
      <c r="Z3166" s="141" t="str">
        <f>IFERROR(__xludf.DUMMYFUNCTION("""COMPUTED_VALUE"""),"")</f>
        <v/>
      </c>
    </row>
    <row r="3167">
      <c r="D3167" s="136" t="str">
        <f t="shared" si="3"/>
        <v/>
      </c>
      <c r="E3167" s="152"/>
      <c r="F3167" s="106" t="s">
        <v>133</v>
      </c>
      <c r="G3167" s="152"/>
      <c r="H3167" s="106" t="s">
        <v>133</v>
      </c>
      <c r="J3167" s="139" t="s">
        <v>133</v>
      </c>
      <c r="K3167" s="136" t="s">
        <v>133</v>
      </c>
      <c r="L3167" s="153"/>
      <c r="M3167" s="136" t="str">
        <f t="shared" si="1"/>
        <v/>
      </c>
      <c r="O3167" s="141" t="s">
        <v>133</v>
      </c>
      <c r="P3167" s="136" t="str">
        <f>IFERROR(__xludf.DUMMYFUNCTION("""COMPUTED_VALUE"""),"")</f>
        <v/>
      </c>
      <c r="Q3167" s="136" t="str">
        <f>IFERROR(__xludf.DUMMYFUNCTION("""COMPUTED_VALUE"""),"")</f>
        <v/>
      </c>
      <c r="R3167" s="106" t="str">
        <f>IFERROR(__xludf.DUMMYFUNCTION("""COMPUTED_VALUE"""),"")</f>
        <v/>
      </c>
      <c r="S3167" s="106" t="str">
        <f>IFERROR(__xludf.DUMMYFUNCTION("""COMPUTED_VALUE"""),"")</f>
        <v/>
      </c>
      <c r="T3167" s="139" t="str">
        <f>IFERROR(__xludf.DUMMYFUNCTION("""COMPUTED_VALUE"""),"")</f>
        <v/>
      </c>
      <c r="U3167" s="139" t="str">
        <f>IFERROR(__xludf.DUMMYFUNCTION("""COMPUTED_VALUE"""),"")</f>
        <v/>
      </c>
      <c r="V3167" s="136" t="str">
        <f>IFERROR(__xludf.DUMMYFUNCTION("""COMPUTED_VALUE"""),"")</f>
        <v/>
      </c>
      <c r="W3167" s="106" t="str">
        <f>IFERROR(__xludf.DUMMYFUNCTION("""COMPUTED_VALUE"""),"")</f>
        <v/>
      </c>
      <c r="X3167" s="143" t="str">
        <f t="shared" si="2"/>
        <v/>
      </c>
      <c r="Y3167" s="139" t="str">
        <f>IFERROR(__xludf.DUMMYFUNCTION("""COMPUTED_VALUE"""),"")</f>
        <v/>
      </c>
      <c r="Z3167" s="141" t="str">
        <f>IFERROR(__xludf.DUMMYFUNCTION("""COMPUTED_VALUE"""),"")</f>
        <v/>
      </c>
    </row>
    <row r="3168">
      <c r="D3168" s="136" t="str">
        <f t="shared" si="3"/>
        <v/>
      </c>
      <c r="E3168" s="152"/>
      <c r="F3168" s="106" t="s">
        <v>133</v>
      </c>
      <c r="G3168" s="152"/>
      <c r="H3168" s="106" t="s">
        <v>133</v>
      </c>
      <c r="J3168" s="139" t="s">
        <v>133</v>
      </c>
      <c r="K3168" s="136" t="s">
        <v>133</v>
      </c>
      <c r="L3168" s="153"/>
      <c r="M3168" s="136" t="str">
        <f t="shared" si="1"/>
        <v/>
      </c>
      <c r="O3168" s="141" t="s">
        <v>133</v>
      </c>
      <c r="P3168" s="136" t="str">
        <f>IFERROR(__xludf.DUMMYFUNCTION("""COMPUTED_VALUE"""),"")</f>
        <v/>
      </c>
      <c r="Q3168" s="136" t="str">
        <f>IFERROR(__xludf.DUMMYFUNCTION("""COMPUTED_VALUE"""),"")</f>
        <v/>
      </c>
      <c r="R3168" s="106" t="str">
        <f>IFERROR(__xludf.DUMMYFUNCTION("""COMPUTED_VALUE"""),"")</f>
        <v/>
      </c>
      <c r="S3168" s="106" t="str">
        <f>IFERROR(__xludf.DUMMYFUNCTION("""COMPUTED_VALUE"""),"")</f>
        <v/>
      </c>
      <c r="T3168" s="139" t="str">
        <f>IFERROR(__xludf.DUMMYFUNCTION("""COMPUTED_VALUE"""),"")</f>
        <v/>
      </c>
      <c r="U3168" s="139" t="str">
        <f>IFERROR(__xludf.DUMMYFUNCTION("""COMPUTED_VALUE"""),"")</f>
        <v/>
      </c>
      <c r="V3168" s="136" t="str">
        <f>IFERROR(__xludf.DUMMYFUNCTION("""COMPUTED_VALUE"""),"")</f>
        <v/>
      </c>
      <c r="W3168" s="106" t="str">
        <f>IFERROR(__xludf.DUMMYFUNCTION("""COMPUTED_VALUE"""),"")</f>
        <v/>
      </c>
      <c r="X3168" s="143" t="str">
        <f t="shared" si="2"/>
        <v/>
      </c>
      <c r="Y3168" s="139" t="str">
        <f>IFERROR(__xludf.DUMMYFUNCTION("""COMPUTED_VALUE"""),"")</f>
        <v/>
      </c>
      <c r="Z3168" s="141" t="str">
        <f>IFERROR(__xludf.DUMMYFUNCTION("""COMPUTED_VALUE"""),"")</f>
        <v/>
      </c>
    </row>
    <row r="3169">
      <c r="D3169" s="136" t="str">
        <f t="shared" si="3"/>
        <v/>
      </c>
      <c r="E3169" s="152"/>
      <c r="F3169" s="106" t="s">
        <v>133</v>
      </c>
      <c r="G3169" s="152"/>
      <c r="H3169" s="106" t="s">
        <v>133</v>
      </c>
      <c r="J3169" s="139" t="s">
        <v>133</v>
      </c>
      <c r="K3169" s="136" t="s">
        <v>133</v>
      </c>
      <c r="L3169" s="153"/>
      <c r="M3169" s="136" t="str">
        <f t="shared" si="1"/>
        <v/>
      </c>
      <c r="O3169" s="141" t="s">
        <v>133</v>
      </c>
      <c r="P3169" s="136" t="str">
        <f>IFERROR(__xludf.DUMMYFUNCTION("""COMPUTED_VALUE"""),"")</f>
        <v/>
      </c>
      <c r="Q3169" s="136" t="str">
        <f>IFERROR(__xludf.DUMMYFUNCTION("""COMPUTED_VALUE"""),"")</f>
        <v/>
      </c>
      <c r="R3169" s="106" t="str">
        <f>IFERROR(__xludf.DUMMYFUNCTION("""COMPUTED_VALUE"""),"")</f>
        <v/>
      </c>
      <c r="S3169" s="106" t="str">
        <f>IFERROR(__xludf.DUMMYFUNCTION("""COMPUTED_VALUE"""),"")</f>
        <v/>
      </c>
      <c r="T3169" s="139" t="str">
        <f>IFERROR(__xludf.DUMMYFUNCTION("""COMPUTED_VALUE"""),"")</f>
        <v/>
      </c>
      <c r="U3169" s="139" t="str">
        <f>IFERROR(__xludf.DUMMYFUNCTION("""COMPUTED_VALUE"""),"")</f>
        <v/>
      </c>
      <c r="V3169" s="136" t="str">
        <f>IFERROR(__xludf.DUMMYFUNCTION("""COMPUTED_VALUE"""),"")</f>
        <v/>
      </c>
      <c r="W3169" s="106" t="str">
        <f>IFERROR(__xludf.DUMMYFUNCTION("""COMPUTED_VALUE"""),"")</f>
        <v/>
      </c>
      <c r="X3169" s="143" t="str">
        <f t="shared" si="2"/>
        <v/>
      </c>
      <c r="Y3169" s="139" t="str">
        <f>IFERROR(__xludf.DUMMYFUNCTION("""COMPUTED_VALUE"""),"")</f>
        <v/>
      </c>
      <c r="Z3169" s="141" t="str">
        <f>IFERROR(__xludf.DUMMYFUNCTION("""COMPUTED_VALUE"""),"")</f>
        <v/>
      </c>
    </row>
    <row r="3170">
      <c r="D3170" s="136" t="str">
        <f t="shared" si="3"/>
        <v/>
      </c>
      <c r="E3170" s="152"/>
      <c r="F3170" s="106" t="s">
        <v>133</v>
      </c>
      <c r="G3170" s="152"/>
      <c r="H3170" s="106" t="s">
        <v>133</v>
      </c>
      <c r="J3170" s="139" t="s">
        <v>133</v>
      </c>
      <c r="K3170" s="136" t="s">
        <v>133</v>
      </c>
      <c r="L3170" s="153"/>
      <c r="M3170" s="136" t="str">
        <f t="shared" si="1"/>
        <v/>
      </c>
      <c r="O3170" s="141" t="s">
        <v>133</v>
      </c>
      <c r="P3170" s="136" t="str">
        <f>IFERROR(__xludf.DUMMYFUNCTION("""COMPUTED_VALUE"""),"")</f>
        <v/>
      </c>
      <c r="Q3170" s="136" t="str">
        <f>IFERROR(__xludf.DUMMYFUNCTION("""COMPUTED_VALUE"""),"")</f>
        <v/>
      </c>
      <c r="R3170" s="106" t="str">
        <f>IFERROR(__xludf.DUMMYFUNCTION("""COMPUTED_VALUE"""),"")</f>
        <v/>
      </c>
      <c r="S3170" s="106" t="str">
        <f>IFERROR(__xludf.DUMMYFUNCTION("""COMPUTED_VALUE"""),"")</f>
        <v/>
      </c>
      <c r="T3170" s="139" t="str">
        <f>IFERROR(__xludf.DUMMYFUNCTION("""COMPUTED_VALUE"""),"")</f>
        <v/>
      </c>
      <c r="U3170" s="139" t="str">
        <f>IFERROR(__xludf.DUMMYFUNCTION("""COMPUTED_VALUE"""),"")</f>
        <v/>
      </c>
      <c r="V3170" s="136" t="str">
        <f>IFERROR(__xludf.DUMMYFUNCTION("""COMPUTED_VALUE"""),"")</f>
        <v/>
      </c>
      <c r="W3170" s="106" t="str">
        <f>IFERROR(__xludf.DUMMYFUNCTION("""COMPUTED_VALUE"""),"")</f>
        <v/>
      </c>
      <c r="X3170" s="143" t="str">
        <f t="shared" si="2"/>
        <v/>
      </c>
      <c r="Y3170" s="139" t="str">
        <f>IFERROR(__xludf.DUMMYFUNCTION("""COMPUTED_VALUE"""),"")</f>
        <v/>
      </c>
      <c r="Z3170" s="141" t="str">
        <f>IFERROR(__xludf.DUMMYFUNCTION("""COMPUTED_VALUE"""),"")</f>
        <v/>
      </c>
    </row>
    <row r="3171">
      <c r="D3171" s="136" t="str">
        <f t="shared" si="3"/>
        <v/>
      </c>
      <c r="E3171" s="152"/>
      <c r="F3171" s="106" t="s">
        <v>133</v>
      </c>
      <c r="G3171" s="152"/>
      <c r="H3171" s="106" t="s">
        <v>133</v>
      </c>
      <c r="J3171" s="139" t="s">
        <v>133</v>
      </c>
      <c r="K3171" s="136" t="s">
        <v>133</v>
      </c>
      <c r="L3171" s="153"/>
      <c r="M3171" s="136" t="str">
        <f t="shared" si="1"/>
        <v/>
      </c>
      <c r="O3171" s="141" t="s">
        <v>133</v>
      </c>
      <c r="P3171" s="136" t="str">
        <f>IFERROR(__xludf.DUMMYFUNCTION("""COMPUTED_VALUE"""),"")</f>
        <v/>
      </c>
      <c r="Q3171" s="136" t="str">
        <f>IFERROR(__xludf.DUMMYFUNCTION("""COMPUTED_VALUE"""),"")</f>
        <v/>
      </c>
      <c r="R3171" s="106" t="str">
        <f>IFERROR(__xludf.DUMMYFUNCTION("""COMPUTED_VALUE"""),"")</f>
        <v/>
      </c>
      <c r="S3171" s="106" t="str">
        <f>IFERROR(__xludf.DUMMYFUNCTION("""COMPUTED_VALUE"""),"")</f>
        <v/>
      </c>
      <c r="T3171" s="139" t="str">
        <f>IFERROR(__xludf.DUMMYFUNCTION("""COMPUTED_VALUE"""),"")</f>
        <v/>
      </c>
      <c r="U3171" s="139" t="str">
        <f>IFERROR(__xludf.DUMMYFUNCTION("""COMPUTED_VALUE"""),"")</f>
        <v/>
      </c>
      <c r="V3171" s="136" t="str">
        <f>IFERROR(__xludf.DUMMYFUNCTION("""COMPUTED_VALUE"""),"")</f>
        <v/>
      </c>
      <c r="W3171" s="106" t="str">
        <f>IFERROR(__xludf.DUMMYFUNCTION("""COMPUTED_VALUE"""),"")</f>
        <v/>
      </c>
      <c r="X3171" s="143" t="str">
        <f t="shared" si="2"/>
        <v/>
      </c>
      <c r="Y3171" s="139" t="str">
        <f>IFERROR(__xludf.DUMMYFUNCTION("""COMPUTED_VALUE"""),"")</f>
        <v/>
      </c>
      <c r="Z3171" s="141" t="str">
        <f>IFERROR(__xludf.DUMMYFUNCTION("""COMPUTED_VALUE"""),"")</f>
        <v/>
      </c>
    </row>
    <row r="3172">
      <c r="D3172" s="136" t="str">
        <f t="shared" si="3"/>
        <v/>
      </c>
      <c r="E3172" s="152"/>
      <c r="F3172" s="106" t="s">
        <v>133</v>
      </c>
      <c r="G3172" s="152"/>
      <c r="H3172" s="106" t="s">
        <v>133</v>
      </c>
      <c r="J3172" s="139" t="s">
        <v>133</v>
      </c>
      <c r="K3172" s="136" t="s">
        <v>133</v>
      </c>
      <c r="L3172" s="153"/>
      <c r="M3172" s="136" t="str">
        <f t="shared" si="1"/>
        <v/>
      </c>
      <c r="O3172" s="141" t="s">
        <v>133</v>
      </c>
      <c r="P3172" s="136" t="str">
        <f>IFERROR(__xludf.DUMMYFUNCTION("""COMPUTED_VALUE"""),"")</f>
        <v/>
      </c>
      <c r="Q3172" s="136" t="str">
        <f>IFERROR(__xludf.DUMMYFUNCTION("""COMPUTED_VALUE"""),"")</f>
        <v/>
      </c>
      <c r="R3172" s="106" t="str">
        <f>IFERROR(__xludf.DUMMYFUNCTION("""COMPUTED_VALUE"""),"")</f>
        <v/>
      </c>
      <c r="S3172" s="106" t="str">
        <f>IFERROR(__xludf.DUMMYFUNCTION("""COMPUTED_VALUE"""),"")</f>
        <v/>
      </c>
      <c r="T3172" s="139" t="str">
        <f>IFERROR(__xludf.DUMMYFUNCTION("""COMPUTED_VALUE"""),"")</f>
        <v/>
      </c>
      <c r="U3172" s="139" t="str">
        <f>IFERROR(__xludf.DUMMYFUNCTION("""COMPUTED_VALUE"""),"")</f>
        <v/>
      </c>
      <c r="V3172" s="136" t="str">
        <f>IFERROR(__xludf.DUMMYFUNCTION("""COMPUTED_VALUE"""),"")</f>
        <v/>
      </c>
      <c r="W3172" s="106" t="str">
        <f>IFERROR(__xludf.DUMMYFUNCTION("""COMPUTED_VALUE"""),"")</f>
        <v/>
      </c>
      <c r="X3172" s="143" t="str">
        <f t="shared" si="2"/>
        <v/>
      </c>
      <c r="Y3172" s="139" t="str">
        <f>IFERROR(__xludf.DUMMYFUNCTION("""COMPUTED_VALUE"""),"")</f>
        <v/>
      </c>
      <c r="Z3172" s="141" t="str">
        <f>IFERROR(__xludf.DUMMYFUNCTION("""COMPUTED_VALUE"""),"")</f>
        <v/>
      </c>
    </row>
    <row r="3173">
      <c r="D3173" s="136" t="str">
        <f t="shared" si="3"/>
        <v/>
      </c>
      <c r="E3173" s="152"/>
      <c r="F3173" s="106" t="s">
        <v>133</v>
      </c>
      <c r="G3173" s="152"/>
      <c r="H3173" s="106" t="s">
        <v>133</v>
      </c>
      <c r="J3173" s="139" t="s">
        <v>133</v>
      </c>
      <c r="K3173" s="136" t="s">
        <v>133</v>
      </c>
      <c r="L3173" s="153"/>
      <c r="M3173" s="136" t="str">
        <f t="shared" si="1"/>
        <v/>
      </c>
      <c r="O3173" s="141" t="s">
        <v>133</v>
      </c>
      <c r="P3173" s="136" t="str">
        <f>IFERROR(__xludf.DUMMYFUNCTION("""COMPUTED_VALUE"""),"")</f>
        <v/>
      </c>
      <c r="Q3173" s="136" t="str">
        <f>IFERROR(__xludf.DUMMYFUNCTION("""COMPUTED_VALUE"""),"")</f>
        <v/>
      </c>
      <c r="R3173" s="106" t="str">
        <f>IFERROR(__xludf.DUMMYFUNCTION("""COMPUTED_VALUE"""),"")</f>
        <v/>
      </c>
      <c r="S3173" s="106" t="str">
        <f>IFERROR(__xludf.DUMMYFUNCTION("""COMPUTED_VALUE"""),"")</f>
        <v/>
      </c>
      <c r="T3173" s="139" t="str">
        <f>IFERROR(__xludf.DUMMYFUNCTION("""COMPUTED_VALUE"""),"")</f>
        <v/>
      </c>
      <c r="U3173" s="139" t="str">
        <f>IFERROR(__xludf.DUMMYFUNCTION("""COMPUTED_VALUE"""),"")</f>
        <v/>
      </c>
      <c r="V3173" s="136" t="str">
        <f>IFERROR(__xludf.DUMMYFUNCTION("""COMPUTED_VALUE"""),"")</f>
        <v/>
      </c>
      <c r="W3173" s="106" t="str">
        <f>IFERROR(__xludf.DUMMYFUNCTION("""COMPUTED_VALUE"""),"")</f>
        <v/>
      </c>
      <c r="X3173" s="143" t="str">
        <f t="shared" si="2"/>
        <v/>
      </c>
      <c r="Y3173" s="139" t="str">
        <f>IFERROR(__xludf.DUMMYFUNCTION("""COMPUTED_VALUE"""),"")</f>
        <v/>
      </c>
      <c r="Z3173" s="141" t="str">
        <f>IFERROR(__xludf.DUMMYFUNCTION("""COMPUTED_VALUE"""),"")</f>
        <v/>
      </c>
    </row>
    <row r="3174">
      <c r="D3174" s="136" t="str">
        <f t="shared" si="3"/>
        <v/>
      </c>
      <c r="E3174" s="152"/>
      <c r="F3174" s="106" t="s">
        <v>133</v>
      </c>
      <c r="G3174" s="152"/>
      <c r="H3174" s="106" t="s">
        <v>133</v>
      </c>
      <c r="J3174" s="139" t="s">
        <v>133</v>
      </c>
      <c r="K3174" s="136" t="s">
        <v>133</v>
      </c>
      <c r="L3174" s="153"/>
      <c r="M3174" s="136" t="str">
        <f t="shared" si="1"/>
        <v/>
      </c>
      <c r="O3174" s="141" t="s">
        <v>133</v>
      </c>
      <c r="P3174" s="136" t="str">
        <f>IFERROR(__xludf.DUMMYFUNCTION("""COMPUTED_VALUE"""),"")</f>
        <v/>
      </c>
      <c r="Q3174" s="136" t="str">
        <f>IFERROR(__xludf.DUMMYFUNCTION("""COMPUTED_VALUE"""),"")</f>
        <v/>
      </c>
      <c r="R3174" s="106" t="str">
        <f>IFERROR(__xludf.DUMMYFUNCTION("""COMPUTED_VALUE"""),"")</f>
        <v/>
      </c>
      <c r="S3174" s="106" t="str">
        <f>IFERROR(__xludf.DUMMYFUNCTION("""COMPUTED_VALUE"""),"")</f>
        <v/>
      </c>
      <c r="T3174" s="139" t="str">
        <f>IFERROR(__xludf.DUMMYFUNCTION("""COMPUTED_VALUE"""),"")</f>
        <v/>
      </c>
      <c r="U3174" s="139" t="str">
        <f>IFERROR(__xludf.DUMMYFUNCTION("""COMPUTED_VALUE"""),"")</f>
        <v/>
      </c>
      <c r="V3174" s="136" t="str">
        <f>IFERROR(__xludf.DUMMYFUNCTION("""COMPUTED_VALUE"""),"")</f>
        <v/>
      </c>
      <c r="W3174" s="106" t="str">
        <f>IFERROR(__xludf.DUMMYFUNCTION("""COMPUTED_VALUE"""),"")</f>
        <v/>
      </c>
      <c r="X3174" s="143" t="str">
        <f t="shared" si="2"/>
        <v/>
      </c>
      <c r="Y3174" s="139" t="str">
        <f>IFERROR(__xludf.DUMMYFUNCTION("""COMPUTED_VALUE"""),"")</f>
        <v/>
      </c>
      <c r="Z3174" s="141" t="str">
        <f>IFERROR(__xludf.DUMMYFUNCTION("""COMPUTED_VALUE"""),"")</f>
        <v/>
      </c>
    </row>
    <row r="3175">
      <c r="D3175" s="136" t="str">
        <f t="shared" si="3"/>
        <v/>
      </c>
      <c r="E3175" s="152"/>
      <c r="F3175" s="106" t="s">
        <v>133</v>
      </c>
      <c r="G3175" s="152"/>
      <c r="H3175" s="106" t="s">
        <v>133</v>
      </c>
      <c r="J3175" s="139" t="s">
        <v>133</v>
      </c>
      <c r="K3175" s="136" t="s">
        <v>133</v>
      </c>
      <c r="L3175" s="153"/>
      <c r="M3175" s="136" t="str">
        <f t="shared" si="1"/>
        <v/>
      </c>
      <c r="O3175" s="141" t="s">
        <v>133</v>
      </c>
      <c r="P3175" s="136" t="str">
        <f>IFERROR(__xludf.DUMMYFUNCTION("""COMPUTED_VALUE"""),"")</f>
        <v/>
      </c>
      <c r="Q3175" s="136" t="str">
        <f>IFERROR(__xludf.DUMMYFUNCTION("""COMPUTED_VALUE"""),"")</f>
        <v/>
      </c>
      <c r="R3175" s="106" t="str">
        <f>IFERROR(__xludf.DUMMYFUNCTION("""COMPUTED_VALUE"""),"")</f>
        <v/>
      </c>
      <c r="S3175" s="106" t="str">
        <f>IFERROR(__xludf.DUMMYFUNCTION("""COMPUTED_VALUE"""),"")</f>
        <v/>
      </c>
      <c r="T3175" s="139" t="str">
        <f>IFERROR(__xludf.DUMMYFUNCTION("""COMPUTED_VALUE"""),"")</f>
        <v/>
      </c>
      <c r="U3175" s="139" t="str">
        <f>IFERROR(__xludf.DUMMYFUNCTION("""COMPUTED_VALUE"""),"")</f>
        <v/>
      </c>
      <c r="V3175" s="136" t="str">
        <f>IFERROR(__xludf.DUMMYFUNCTION("""COMPUTED_VALUE"""),"")</f>
        <v/>
      </c>
      <c r="W3175" s="106" t="str">
        <f>IFERROR(__xludf.DUMMYFUNCTION("""COMPUTED_VALUE"""),"")</f>
        <v/>
      </c>
      <c r="X3175" s="143" t="str">
        <f t="shared" si="2"/>
        <v/>
      </c>
      <c r="Y3175" s="139" t="str">
        <f>IFERROR(__xludf.DUMMYFUNCTION("""COMPUTED_VALUE"""),"")</f>
        <v/>
      </c>
      <c r="Z3175" s="141" t="str">
        <f>IFERROR(__xludf.DUMMYFUNCTION("""COMPUTED_VALUE"""),"")</f>
        <v/>
      </c>
    </row>
    <row r="3176">
      <c r="D3176" s="136" t="str">
        <f t="shared" si="3"/>
        <v/>
      </c>
      <c r="E3176" s="152"/>
      <c r="F3176" s="106" t="s">
        <v>133</v>
      </c>
      <c r="G3176" s="152"/>
      <c r="H3176" s="106" t="s">
        <v>133</v>
      </c>
      <c r="J3176" s="139" t="s">
        <v>133</v>
      </c>
      <c r="K3176" s="136" t="s">
        <v>133</v>
      </c>
      <c r="L3176" s="153"/>
      <c r="M3176" s="136" t="str">
        <f t="shared" si="1"/>
        <v/>
      </c>
      <c r="O3176" s="141" t="s">
        <v>133</v>
      </c>
      <c r="P3176" s="136" t="str">
        <f>IFERROR(__xludf.DUMMYFUNCTION("""COMPUTED_VALUE"""),"")</f>
        <v/>
      </c>
      <c r="Q3176" s="136" t="str">
        <f>IFERROR(__xludf.DUMMYFUNCTION("""COMPUTED_VALUE"""),"")</f>
        <v/>
      </c>
      <c r="R3176" s="106" t="str">
        <f>IFERROR(__xludf.DUMMYFUNCTION("""COMPUTED_VALUE"""),"")</f>
        <v/>
      </c>
      <c r="S3176" s="106" t="str">
        <f>IFERROR(__xludf.DUMMYFUNCTION("""COMPUTED_VALUE"""),"")</f>
        <v/>
      </c>
      <c r="T3176" s="139" t="str">
        <f>IFERROR(__xludf.DUMMYFUNCTION("""COMPUTED_VALUE"""),"")</f>
        <v/>
      </c>
      <c r="U3176" s="139" t="str">
        <f>IFERROR(__xludf.DUMMYFUNCTION("""COMPUTED_VALUE"""),"")</f>
        <v/>
      </c>
      <c r="V3176" s="136" t="str">
        <f>IFERROR(__xludf.DUMMYFUNCTION("""COMPUTED_VALUE"""),"")</f>
        <v/>
      </c>
      <c r="W3176" s="106" t="str">
        <f>IFERROR(__xludf.DUMMYFUNCTION("""COMPUTED_VALUE"""),"")</f>
        <v/>
      </c>
      <c r="X3176" s="143" t="str">
        <f t="shared" si="2"/>
        <v/>
      </c>
      <c r="Y3176" s="139" t="str">
        <f>IFERROR(__xludf.DUMMYFUNCTION("""COMPUTED_VALUE"""),"")</f>
        <v/>
      </c>
      <c r="Z3176" s="141" t="str">
        <f>IFERROR(__xludf.DUMMYFUNCTION("""COMPUTED_VALUE"""),"")</f>
        <v/>
      </c>
    </row>
    <row r="3177">
      <c r="D3177" s="136" t="str">
        <f t="shared" si="3"/>
        <v/>
      </c>
      <c r="E3177" s="152"/>
      <c r="F3177" s="106" t="s">
        <v>133</v>
      </c>
      <c r="G3177" s="152"/>
      <c r="H3177" s="106" t="s">
        <v>133</v>
      </c>
      <c r="J3177" s="139" t="s">
        <v>133</v>
      </c>
      <c r="K3177" s="136" t="s">
        <v>133</v>
      </c>
      <c r="L3177" s="153"/>
      <c r="M3177" s="136" t="str">
        <f t="shared" si="1"/>
        <v/>
      </c>
      <c r="O3177" s="141" t="s">
        <v>133</v>
      </c>
      <c r="P3177" s="136" t="str">
        <f>IFERROR(__xludf.DUMMYFUNCTION("""COMPUTED_VALUE"""),"")</f>
        <v/>
      </c>
      <c r="Q3177" s="136" t="str">
        <f>IFERROR(__xludf.DUMMYFUNCTION("""COMPUTED_VALUE"""),"")</f>
        <v/>
      </c>
      <c r="R3177" s="106" t="str">
        <f>IFERROR(__xludf.DUMMYFUNCTION("""COMPUTED_VALUE"""),"")</f>
        <v/>
      </c>
      <c r="S3177" s="106" t="str">
        <f>IFERROR(__xludf.DUMMYFUNCTION("""COMPUTED_VALUE"""),"")</f>
        <v/>
      </c>
      <c r="T3177" s="139" t="str">
        <f>IFERROR(__xludf.DUMMYFUNCTION("""COMPUTED_VALUE"""),"")</f>
        <v/>
      </c>
      <c r="U3177" s="139" t="str">
        <f>IFERROR(__xludf.DUMMYFUNCTION("""COMPUTED_VALUE"""),"")</f>
        <v/>
      </c>
      <c r="V3177" s="136" t="str">
        <f>IFERROR(__xludf.DUMMYFUNCTION("""COMPUTED_VALUE"""),"")</f>
        <v/>
      </c>
      <c r="W3177" s="106" t="str">
        <f>IFERROR(__xludf.DUMMYFUNCTION("""COMPUTED_VALUE"""),"")</f>
        <v/>
      </c>
      <c r="X3177" s="143" t="str">
        <f t="shared" si="2"/>
        <v/>
      </c>
      <c r="Y3177" s="139" t="str">
        <f>IFERROR(__xludf.DUMMYFUNCTION("""COMPUTED_VALUE"""),"")</f>
        <v/>
      </c>
      <c r="Z3177" s="141" t="str">
        <f>IFERROR(__xludf.DUMMYFUNCTION("""COMPUTED_VALUE"""),"")</f>
        <v/>
      </c>
    </row>
    <row r="3178">
      <c r="D3178" s="136" t="str">
        <f t="shared" si="3"/>
        <v/>
      </c>
      <c r="E3178" s="152"/>
      <c r="F3178" s="106" t="s">
        <v>133</v>
      </c>
      <c r="G3178" s="152"/>
      <c r="H3178" s="106" t="s">
        <v>133</v>
      </c>
      <c r="J3178" s="139" t="s">
        <v>133</v>
      </c>
      <c r="K3178" s="136" t="s">
        <v>133</v>
      </c>
      <c r="L3178" s="153"/>
      <c r="M3178" s="136" t="str">
        <f t="shared" si="1"/>
        <v/>
      </c>
      <c r="O3178" s="141" t="s">
        <v>133</v>
      </c>
      <c r="P3178" s="136" t="str">
        <f>IFERROR(__xludf.DUMMYFUNCTION("""COMPUTED_VALUE"""),"")</f>
        <v/>
      </c>
      <c r="Q3178" s="136" t="str">
        <f>IFERROR(__xludf.DUMMYFUNCTION("""COMPUTED_VALUE"""),"")</f>
        <v/>
      </c>
      <c r="R3178" s="106" t="str">
        <f>IFERROR(__xludf.DUMMYFUNCTION("""COMPUTED_VALUE"""),"")</f>
        <v/>
      </c>
      <c r="S3178" s="106" t="str">
        <f>IFERROR(__xludf.DUMMYFUNCTION("""COMPUTED_VALUE"""),"")</f>
        <v/>
      </c>
      <c r="T3178" s="139" t="str">
        <f>IFERROR(__xludf.DUMMYFUNCTION("""COMPUTED_VALUE"""),"")</f>
        <v/>
      </c>
      <c r="U3178" s="139" t="str">
        <f>IFERROR(__xludf.DUMMYFUNCTION("""COMPUTED_VALUE"""),"")</f>
        <v/>
      </c>
      <c r="V3178" s="136" t="str">
        <f>IFERROR(__xludf.DUMMYFUNCTION("""COMPUTED_VALUE"""),"")</f>
        <v/>
      </c>
      <c r="W3178" s="106" t="str">
        <f>IFERROR(__xludf.DUMMYFUNCTION("""COMPUTED_VALUE"""),"")</f>
        <v/>
      </c>
      <c r="X3178" s="143" t="str">
        <f t="shared" si="2"/>
        <v/>
      </c>
      <c r="Y3178" s="139" t="str">
        <f>IFERROR(__xludf.DUMMYFUNCTION("""COMPUTED_VALUE"""),"")</f>
        <v/>
      </c>
      <c r="Z3178" s="141" t="str">
        <f>IFERROR(__xludf.DUMMYFUNCTION("""COMPUTED_VALUE"""),"")</f>
        <v/>
      </c>
    </row>
    <row r="3179">
      <c r="D3179" s="136" t="str">
        <f t="shared" si="3"/>
        <v/>
      </c>
      <c r="E3179" s="152"/>
      <c r="F3179" s="106" t="s">
        <v>133</v>
      </c>
      <c r="G3179" s="152"/>
      <c r="H3179" s="106" t="s">
        <v>133</v>
      </c>
      <c r="J3179" s="139" t="s">
        <v>133</v>
      </c>
      <c r="K3179" s="136" t="s">
        <v>133</v>
      </c>
      <c r="L3179" s="153"/>
      <c r="M3179" s="136" t="str">
        <f t="shared" si="1"/>
        <v/>
      </c>
      <c r="O3179" s="141" t="s">
        <v>133</v>
      </c>
      <c r="P3179" s="136" t="str">
        <f>IFERROR(__xludf.DUMMYFUNCTION("""COMPUTED_VALUE"""),"")</f>
        <v/>
      </c>
      <c r="Q3179" s="136" t="str">
        <f>IFERROR(__xludf.DUMMYFUNCTION("""COMPUTED_VALUE"""),"")</f>
        <v/>
      </c>
      <c r="R3179" s="106" t="str">
        <f>IFERROR(__xludf.DUMMYFUNCTION("""COMPUTED_VALUE"""),"")</f>
        <v/>
      </c>
      <c r="S3179" s="106" t="str">
        <f>IFERROR(__xludf.DUMMYFUNCTION("""COMPUTED_VALUE"""),"")</f>
        <v/>
      </c>
      <c r="T3179" s="139" t="str">
        <f>IFERROR(__xludf.DUMMYFUNCTION("""COMPUTED_VALUE"""),"")</f>
        <v/>
      </c>
      <c r="U3179" s="139" t="str">
        <f>IFERROR(__xludf.DUMMYFUNCTION("""COMPUTED_VALUE"""),"")</f>
        <v/>
      </c>
      <c r="V3179" s="136" t="str">
        <f>IFERROR(__xludf.DUMMYFUNCTION("""COMPUTED_VALUE"""),"")</f>
        <v/>
      </c>
      <c r="W3179" s="106" t="str">
        <f>IFERROR(__xludf.DUMMYFUNCTION("""COMPUTED_VALUE"""),"")</f>
        <v/>
      </c>
      <c r="X3179" s="143" t="str">
        <f t="shared" si="2"/>
        <v/>
      </c>
      <c r="Y3179" s="139" t="str">
        <f>IFERROR(__xludf.DUMMYFUNCTION("""COMPUTED_VALUE"""),"")</f>
        <v/>
      </c>
      <c r="Z3179" s="141" t="str">
        <f>IFERROR(__xludf.DUMMYFUNCTION("""COMPUTED_VALUE"""),"")</f>
        <v/>
      </c>
    </row>
    <row r="3180">
      <c r="D3180" s="136" t="str">
        <f t="shared" si="3"/>
        <v/>
      </c>
      <c r="E3180" s="152"/>
      <c r="F3180" s="106" t="s">
        <v>133</v>
      </c>
      <c r="G3180" s="152"/>
      <c r="H3180" s="106" t="s">
        <v>133</v>
      </c>
      <c r="J3180" s="139" t="s">
        <v>133</v>
      </c>
      <c r="K3180" s="136" t="s">
        <v>133</v>
      </c>
      <c r="L3180" s="153"/>
      <c r="M3180" s="136" t="str">
        <f t="shared" si="1"/>
        <v/>
      </c>
      <c r="O3180" s="141" t="s">
        <v>133</v>
      </c>
      <c r="P3180" s="136" t="str">
        <f>IFERROR(__xludf.DUMMYFUNCTION("""COMPUTED_VALUE"""),"")</f>
        <v/>
      </c>
      <c r="Q3180" s="136" t="str">
        <f>IFERROR(__xludf.DUMMYFUNCTION("""COMPUTED_VALUE"""),"")</f>
        <v/>
      </c>
      <c r="R3180" s="106" t="str">
        <f>IFERROR(__xludf.DUMMYFUNCTION("""COMPUTED_VALUE"""),"")</f>
        <v/>
      </c>
      <c r="S3180" s="106" t="str">
        <f>IFERROR(__xludf.DUMMYFUNCTION("""COMPUTED_VALUE"""),"")</f>
        <v/>
      </c>
      <c r="T3180" s="139" t="str">
        <f>IFERROR(__xludf.DUMMYFUNCTION("""COMPUTED_VALUE"""),"")</f>
        <v/>
      </c>
      <c r="U3180" s="139" t="str">
        <f>IFERROR(__xludf.DUMMYFUNCTION("""COMPUTED_VALUE"""),"")</f>
        <v/>
      </c>
      <c r="V3180" s="136" t="str">
        <f>IFERROR(__xludf.DUMMYFUNCTION("""COMPUTED_VALUE"""),"")</f>
        <v/>
      </c>
      <c r="W3180" s="106" t="str">
        <f>IFERROR(__xludf.DUMMYFUNCTION("""COMPUTED_VALUE"""),"")</f>
        <v/>
      </c>
      <c r="X3180" s="143" t="str">
        <f t="shared" si="2"/>
        <v/>
      </c>
      <c r="Y3180" s="139" t="str">
        <f>IFERROR(__xludf.DUMMYFUNCTION("""COMPUTED_VALUE"""),"")</f>
        <v/>
      </c>
      <c r="Z3180" s="141" t="str">
        <f>IFERROR(__xludf.DUMMYFUNCTION("""COMPUTED_VALUE"""),"")</f>
        <v/>
      </c>
    </row>
    <row r="3181">
      <c r="D3181" s="136" t="str">
        <f t="shared" si="3"/>
        <v/>
      </c>
      <c r="E3181" s="152"/>
      <c r="F3181" s="106" t="s">
        <v>133</v>
      </c>
      <c r="G3181" s="152"/>
      <c r="H3181" s="106" t="s">
        <v>133</v>
      </c>
      <c r="J3181" s="139" t="s">
        <v>133</v>
      </c>
      <c r="K3181" s="136" t="s">
        <v>133</v>
      </c>
      <c r="L3181" s="153"/>
      <c r="M3181" s="136" t="str">
        <f t="shared" si="1"/>
        <v/>
      </c>
      <c r="O3181" s="141" t="s">
        <v>133</v>
      </c>
      <c r="P3181" s="136" t="str">
        <f>IFERROR(__xludf.DUMMYFUNCTION("""COMPUTED_VALUE"""),"")</f>
        <v/>
      </c>
      <c r="Q3181" s="136" t="str">
        <f>IFERROR(__xludf.DUMMYFUNCTION("""COMPUTED_VALUE"""),"")</f>
        <v/>
      </c>
      <c r="R3181" s="106" t="str">
        <f>IFERROR(__xludf.DUMMYFUNCTION("""COMPUTED_VALUE"""),"")</f>
        <v/>
      </c>
      <c r="S3181" s="106" t="str">
        <f>IFERROR(__xludf.DUMMYFUNCTION("""COMPUTED_VALUE"""),"")</f>
        <v/>
      </c>
      <c r="T3181" s="139" t="str">
        <f>IFERROR(__xludf.DUMMYFUNCTION("""COMPUTED_VALUE"""),"")</f>
        <v/>
      </c>
      <c r="U3181" s="139" t="str">
        <f>IFERROR(__xludf.DUMMYFUNCTION("""COMPUTED_VALUE"""),"")</f>
        <v/>
      </c>
      <c r="V3181" s="136" t="str">
        <f>IFERROR(__xludf.DUMMYFUNCTION("""COMPUTED_VALUE"""),"")</f>
        <v/>
      </c>
      <c r="W3181" s="106" t="str">
        <f>IFERROR(__xludf.DUMMYFUNCTION("""COMPUTED_VALUE"""),"")</f>
        <v/>
      </c>
      <c r="X3181" s="143" t="str">
        <f t="shared" si="2"/>
        <v/>
      </c>
      <c r="Y3181" s="139" t="str">
        <f>IFERROR(__xludf.DUMMYFUNCTION("""COMPUTED_VALUE"""),"")</f>
        <v/>
      </c>
      <c r="Z3181" s="141" t="str">
        <f>IFERROR(__xludf.DUMMYFUNCTION("""COMPUTED_VALUE"""),"")</f>
        <v/>
      </c>
    </row>
    <row r="3182">
      <c r="D3182" s="136" t="str">
        <f t="shared" si="3"/>
        <v/>
      </c>
      <c r="E3182" s="152"/>
      <c r="F3182" s="106" t="s">
        <v>133</v>
      </c>
      <c r="G3182" s="152"/>
      <c r="H3182" s="106" t="s">
        <v>133</v>
      </c>
      <c r="J3182" s="139" t="s">
        <v>133</v>
      </c>
      <c r="K3182" s="136" t="s">
        <v>133</v>
      </c>
      <c r="L3182" s="153"/>
      <c r="M3182" s="136" t="str">
        <f t="shared" si="1"/>
        <v/>
      </c>
      <c r="O3182" s="141" t="s">
        <v>133</v>
      </c>
      <c r="P3182" s="136" t="str">
        <f>IFERROR(__xludf.DUMMYFUNCTION("""COMPUTED_VALUE"""),"")</f>
        <v/>
      </c>
      <c r="Q3182" s="136" t="str">
        <f>IFERROR(__xludf.DUMMYFUNCTION("""COMPUTED_VALUE"""),"")</f>
        <v/>
      </c>
      <c r="R3182" s="106" t="str">
        <f>IFERROR(__xludf.DUMMYFUNCTION("""COMPUTED_VALUE"""),"")</f>
        <v/>
      </c>
      <c r="S3182" s="106" t="str">
        <f>IFERROR(__xludf.DUMMYFUNCTION("""COMPUTED_VALUE"""),"")</f>
        <v/>
      </c>
      <c r="T3182" s="139" t="str">
        <f>IFERROR(__xludf.DUMMYFUNCTION("""COMPUTED_VALUE"""),"")</f>
        <v/>
      </c>
      <c r="U3182" s="139" t="str">
        <f>IFERROR(__xludf.DUMMYFUNCTION("""COMPUTED_VALUE"""),"")</f>
        <v/>
      </c>
      <c r="V3182" s="136" t="str">
        <f>IFERROR(__xludf.DUMMYFUNCTION("""COMPUTED_VALUE"""),"")</f>
        <v/>
      </c>
      <c r="W3182" s="106" t="str">
        <f>IFERROR(__xludf.DUMMYFUNCTION("""COMPUTED_VALUE"""),"")</f>
        <v/>
      </c>
      <c r="X3182" s="143" t="str">
        <f t="shared" si="2"/>
        <v/>
      </c>
      <c r="Y3182" s="139" t="str">
        <f>IFERROR(__xludf.DUMMYFUNCTION("""COMPUTED_VALUE"""),"")</f>
        <v/>
      </c>
      <c r="Z3182" s="141" t="str">
        <f>IFERROR(__xludf.DUMMYFUNCTION("""COMPUTED_VALUE"""),"")</f>
        <v/>
      </c>
    </row>
    <row r="3183">
      <c r="D3183" s="136" t="str">
        <f t="shared" si="3"/>
        <v/>
      </c>
      <c r="E3183" s="152"/>
      <c r="F3183" s="106" t="s">
        <v>133</v>
      </c>
      <c r="G3183" s="152"/>
      <c r="H3183" s="106" t="s">
        <v>133</v>
      </c>
      <c r="J3183" s="139" t="s">
        <v>133</v>
      </c>
      <c r="K3183" s="136" t="s">
        <v>133</v>
      </c>
      <c r="L3183" s="153"/>
      <c r="M3183" s="136" t="str">
        <f t="shared" si="1"/>
        <v/>
      </c>
      <c r="O3183" s="141" t="s">
        <v>133</v>
      </c>
      <c r="P3183" s="136" t="str">
        <f>IFERROR(__xludf.DUMMYFUNCTION("""COMPUTED_VALUE"""),"")</f>
        <v/>
      </c>
      <c r="Q3183" s="136" t="str">
        <f>IFERROR(__xludf.DUMMYFUNCTION("""COMPUTED_VALUE"""),"")</f>
        <v/>
      </c>
      <c r="R3183" s="106" t="str">
        <f>IFERROR(__xludf.DUMMYFUNCTION("""COMPUTED_VALUE"""),"")</f>
        <v/>
      </c>
      <c r="S3183" s="106" t="str">
        <f>IFERROR(__xludf.DUMMYFUNCTION("""COMPUTED_VALUE"""),"")</f>
        <v/>
      </c>
      <c r="T3183" s="139" t="str">
        <f>IFERROR(__xludf.DUMMYFUNCTION("""COMPUTED_VALUE"""),"")</f>
        <v/>
      </c>
      <c r="U3183" s="139" t="str">
        <f>IFERROR(__xludf.DUMMYFUNCTION("""COMPUTED_VALUE"""),"")</f>
        <v/>
      </c>
      <c r="V3183" s="136" t="str">
        <f>IFERROR(__xludf.DUMMYFUNCTION("""COMPUTED_VALUE"""),"")</f>
        <v/>
      </c>
      <c r="W3183" s="106" t="str">
        <f>IFERROR(__xludf.DUMMYFUNCTION("""COMPUTED_VALUE"""),"")</f>
        <v/>
      </c>
      <c r="X3183" s="143" t="str">
        <f t="shared" si="2"/>
        <v/>
      </c>
      <c r="Y3183" s="139" t="str">
        <f>IFERROR(__xludf.DUMMYFUNCTION("""COMPUTED_VALUE"""),"")</f>
        <v/>
      </c>
      <c r="Z3183" s="141" t="str">
        <f>IFERROR(__xludf.DUMMYFUNCTION("""COMPUTED_VALUE"""),"")</f>
        <v/>
      </c>
    </row>
    <row r="3184">
      <c r="D3184" s="136" t="str">
        <f t="shared" si="3"/>
        <v/>
      </c>
      <c r="E3184" s="152"/>
      <c r="F3184" s="106" t="s">
        <v>133</v>
      </c>
      <c r="G3184" s="152"/>
      <c r="H3184" s="106" t="s">
        <v>133</v>
      </c>
      <c r="J3184" s="139" t="s">
        <v>133</v>
      </c>
      <c r="K3184" s="136" t="s">
        <v>133</v>
      </c>
      <c r="L3184" s="153"/>
      <c r="M3184" s="136" t="str">
        <f t="shared" si="1"/>
        <v/>
      </c>
      <c r="O3184" s="141" t="s">
        <v>133</v>
      </c>
      <c r="P3184" s="136" t="str">
        <f>IFERROR(__xludf.DUMMYFUNCTION("""COMPUTED_VALUE"""),"")</f>
        <v/>
      </c>
      <c r="Q3184" s="136" t="str">
        <f>IFERROR(__xludf.DUMMYFUNCTION("""COMPUTED_VALUE"""),"")</f>
        <v/>
      </c>
      <c r="R3184" s="106" t="str">
        <f>IFERROR(__xludf.DUMMYFUNCTION("""COMPUTED_VALUE"""),"")</f>
        <v/>
      </c>
      <c r="S3184" s="106" t="str">
        <f>IFERROR(__xludf.DUMMYFUNCTION("""COMPUTED_VALUE"""),"")</f>
        <v/>
      </c>
      <c r="T3184" s="139" t="str">
        <f>IFERROR(__xludf.DUMMYFUNCTION("""COMPUTED_VALUE"""),"")</f>
        <v/>
      </c>
      <c r="U3184" s="139" t="str">
        <f>IFERROR(__xludf.DUMMYFUNCTION("""COMPUTED_VALUE"""),"")</f>
        <v/>
      </c>
      <c r="V3184" s="136" t="str">
        <f>IFERROR(__xludf.DUMMYFUNCTION("""COMPUTED_VALUE"""),"")</f>
        <v/>
      </c>
      <c r="W3184" s="106" t="str">
        <f>IFERROR(__xludf.DUMMYFUNCTION("""COMPUTED_VALUE"""),"")</f>
        <v/>
      </c>
      <c r="X3184" s="143" t="str">
        <f t="shared" si="2"/>
        <v/>
      </c>
      <c r="Y3184" s="139" t="str">
        <f>IFERROR(__xludf.DUMMYFUNCTION("""COMPUTED_VALUE"""),"")</f>
        <v/>
      </c>
      <c r="Z3184" s="141" t="str">
        <f>IFERROR(__xludf.DUMMYFUNCTION("""COMPUTED_VALUE"""),"")</f>
        <v/>
      </c>
    </row>
    <row r="3185">
      <c r="D3185" s="136" t="str">
        <f t="shared" si="3"/>
        <v/>
      </c>
      <c r="E3185" s="152"/>
      <c r="F3185" s="106" t="s">
        <v>133</v>
      </c>
      <c r="G3185" s="152"/>
      <c r="H3185" s="106" t="s">
        <v>133</v>
      </c>
      <c r="J3185" s="139" t="s">
        <v>133</v>
      </c>
      <c r="K3185" s="136" t="s">
        <v>133</v>
      </c>
      <c r="L3185" s="153"/>
      <c r="M3185" s="136" t="str">
        <f t="shared" si="1"/>
        <v/>
      </c>
      <c r="O3185" s="141" t="s">
        <v>133</v>
      </c>
      <c r="P3185" s="136" t="str">
        <f>IFERROR(__xludf.DUMMYFUNCTION("""COMPUTED_VALUE"""),"")</f>
        <v/>
      </c>
      <c r="Q3185" s="136" t="str">
        <f>IFERROR(__xludf.DUMMYFUNCTION("""COMPUTED_VALUE"""),"")</f>
        <v/>
      </c>
      <c r="R3185" s="106" t="str">
        <f>IFERROR(__xludf.DUMMYFUNCTION("""COMPUTED_VALUE"""),"")</f>
        <v/>
      </c>
      <c r="S3185" s="106" t="str">
        <f>IFERROR(__xludf.DUMMYFUNCTION("""COMPUTED_VALUE"""),"")</f>
        <v/>
      </c>
      <c r="T3185" s="139" t="str">
        <f>IFERROR(__xludf.DUMMYFUNCTION("""COMPUTED_VALUE"""),"")</f>
        <v/>
      </c>
      <c r="U3185" s="139" t="str">
        <f>IFERROR(__xludf.DUMMYFUNCTION("""COMPUTED_VALUE"""),"")</f>
        <v/>
      </c>
      <c r="V3185" s="136" t="str">
        <f>IFERROR(__xludf.DUMMYFUNCTION("""COMPUTED_VALUE"""),"")</f>
        <v/>
      </c>
      <c r="W3185" s="106" t="str">
        <f>IFERROR(__xludf.DUMMYFUNCTION("""COMPUTED_VALUE"""),"")</f>
        <v/>
      </c>
      <c r="X3185" s="143" t="str">
        <f t="shared" si="2"/>
        <v/>
      </c>
      <c r="Y3185" s="139" t="str">
        <f>IFERROR(__xludf.DUMMYFUNCTION("""COMPUTED_VALUE"""),"")</f>
        <v/>
      </c>
      <c r="Z3185" s="141" t="str">
        <f>IFERROR(__xludf.DUMMYFUNCTION("""COMPUTED_VALUE"""),"")</f>
        <v/>
      </c>
    </row>
    <row r="3186">
      <c r="D3186" s="136" t="str">
        <f t="shared" si="3"/>
        <v/>
      </c>
      <c r="E3186" s="152"/>
      <c r="F3186" s="106" t="s">
        <v>133</v>
      </c>
      <c r="G3186" s="152"/>
      <c r="H3186" s="106" t="s">
        <v>133</v>
      </c>
      <c r="J3186" s="139" t="s">
        <v>133</v>
      </c>
      <c r="K3186" s="136" t="s">
        <v>133</v>
      </c>
      <c r="L3186" s="153"/>
      <c r="M3186" s="136" t="str">
        <f t="shared" si="1"/>
        <v/>
      </c>
      <c r="O3186" s="141" t="s">
        <v>133</v>
      </c>
      <c r="P3186" s="136" t="str">
        <f>IFERROR(__xludf.DUMMYFUNCTION("""COMPUTED_VALUE"""),"")</f>
        <v/>
      </c>
      <c r="Q3186" s="136" t="str">
        <f>IFERROR(__xludf.DUMMYFUNCTION("""COMPUTED_VALUE"""),"")</f>
        <v/>
      </c>
      <c r="R3186" s="106" t="str">
        <f>IFERROR(__xludf.DUMMYFUNCTION("""COMPUTED_VALUE"""),"")</f>
        <v/>
      </c>
      <c r="S3186" s="106" t="str">
        <f>IFERROR(__xludf.DUMMYFUNCTION("""COMPUTED_VALUE"""),"")</f>
        <v/>
      </c>
      <c r="T3186" s="139" t="str">
        <f>IFERROR(__xludf.DUMMYFUNCTION("""COMPUTED_VALUE"""),"")</f>
        <v/>
      </c>
      <c r="U3186" s="139" t="str">
        <f>IFERROR(__xludf.DUMMYFUNCTION("""COMPUTED_VALUE"""),"")</f>
        <v/>
      </c>
      <c r="V3186" s="136" t="str">
        <f>IFERROR(__xludf.DUMMYFUNCTION("""COMPUTED_VALUE"""),"")</f>
        <v/>
      </c>
      <c r="W3186" s="106" t="str">
        <f>IFERROR(__xludf.DUMMYFUNCTION("""COMPUTED_VALUE"""),"")</f>
        <v/>
      </c>
      <c r="X3186" s="143" t="str">
        <f t="shared" si="2"/>
        <v/>
      </c>
      <c r="Y3186" s="139" t="str">
        <f>IFERROR(__xludf.DUMMYFUNCTION("""COMPUTED_VALUE"""),"")</f>
        <v/>
      </c>
      <c r="Z3186" s="141" t="str">
        <f>IFERROR(__xludf.DUMMYFUNCTION("""COMPUTED_VALUE"""),"")</f>
        <v/>
      </c>
    </row>
    <row r="3187">
      <c r="D3187" s="136" t="str">
        <f t="shared" si="3"/>
        <v/>
      </c>
      <c r="E3187" s="152"/>
      <c r="F3187" s="106" t="s">
        <v>133</v>
      </c>
      <c r="G3187" s="152"/>
      <c r="H3187" s="106" t="s">
        <v>133</v>
      </c>
      <c r="J3187" s="139" t="s">
        <v>133</v>
      </c>
      <c r="K3187" s="136" t="s">
        <v>133</v>
      </c>
      <c r="L3187" s="153"/>
      <c r="M3187" s="136" t="str">
        <f t="shared" si="1"/>
        <v/>
      </c>
      <c r="O3187" s="141" t="s">
        <v>133</v>
      </c>
      <c r="P3187" s="136" t="str">
        <f>IFERROR(__xludf.DUMMYFUNCTION("""COMPUTED_VALUE"""),"")</f>
        <v/>
      </c>
      <c r="Q3187" s="136" t="str">
        <f>IFERROR(__xludf.DUMMYFUNCTION("""COMPUTED_VALUE"""),"")</f>
        <v/>
      </c>
      <c r="R3187" s="106" t="str">
        <f>IFERROR(__xludf.DUMMYFUNCTION("""COMPUTED_VALUE"""),"")</f>
        <v/>
      </c>
      <c r="S3187" s="106" t="str">
        <f>IFERROR(__xludf.DUMMYFUNCTION("""COMPUTED_VALUE"""),"")</f>
        <v/>
      </c>
      <c r="T3187" s="139" t="str">
        <f>IFERROR(__xludf.DUMMYFUNCTION("""COMPUTED_VALUE"""),"")</f>
        <v/>
      </c>
      <c r="U3187" s="139" t="str">
        <f>IFERROR(__xludf.DUMMYFUNCTION("""COMPUTED_VALUE"""),"")</f>
        <v/>
      </c>
      <c r="V3187" s="136" t="str">
        <f>IFERROR(__xludf.DUMMYFUNCTION("""COMPUTED_VALUE"""),"")</f>
        <v/>
      </c>
      <c r="W3187" s="106" t="str">
        <f>IFERROR(__xludf.DUMMYFUNCTION("""COMPUTED_VALUE"""),"")</f>
        <v/>
      </c>
      <c r="X3187" s="143" t="str">
        <f t="shared" si="2"/>
        <v/>
      </c>
      <c r="Y3187" s="139" t="str">
        <f>IFERROR(__xludf.DUMMYFUNCTION("""COMPUTED_VALUE"""),"")</f>
        <v/>
      </c>
      <c r="Z3187" s="141" t="str">
        <f>IFERROR(__xludf.DUMMYFUNCTION("""COMPUTED_VALUE"""),"")</f>
        <v/>
      </c>
    </row>
    <row r="3188">
      <c r="D3188" s="136" t="str">
        <f t="shared" si="3"/>
        <v/>
      </c>
      <c r="E3188" s="152"/>
      <c r="F3188" s="106" t="s">
        <v>133</v>
      </c>
      <c r="G3188" s="152"/>
      <c r="H3188" s="106" t="s">
        <v>133</v>
      </c>
      <c r="J3188" s="139" t="s">
        <v>133</v>
      </c>
      <c r="K3188" s="136" t="s">
        <v>133</v>
      </c>
      <c r="L3188" s="153"/>
      <c r="M3188" s="136" t="str">
        <f t="shared" si="1"/>
        <v/>
      </c>
      <c r="O3188" s="141" t="s">
        <v>133</v>
      </c>
      <c r="P3188" s="136" t="str">
        <f>IFERROR(__xludf.DUMMYFUNCTION("""COMPUTED_VALUE"""),"")</f>
        <v/>
      </c>
      <c r="Q3188" s="136" t="str">
        <f>IFERROR(__xludf.DUMMYFUNCTION("""COMPUTED_VALUE"""),"")</f>
        <v/>
      </c>
      <c r="R3188" s="106" t="str">
        <f>IFERROR(__xludf.DUMMYFUNCTION("""COMPUTED_VALUE"""),"")</f>
        <v/>
      </c>
      <c r="S3188" s="106" t="str">
        <f>IFERROR(__xludf.DUMMYFUNCTION("""COMPUTED_VALUE"""),"")</f>
        <v/>
      </c>
      <c r="T3188" s="139" t="str">
        <f>IFERROR(__xludf.DUMMYFUNCTION("""COMPUTED_VALUE"""),"")</f>
        <v/>
      </c>
      <c r="U3188" s="139" t="str">
        <f>IFERROR(__xludf.DUMMYFUNCTION("""COMPUTED_VALUE"""),"")</f>
        <v/>
      </c>
      <c r="V3188" s="136" t="str">
        <f>IFERROR(__xludf.DUMMYFUNCTION("""COMPUTED_VALUE"""),"")</f>
        <v/>
      </c>
      <c r="W3188" s="106" t="str">
        <f>IFERROR(__xludf.DUMMYFUNCTION("""COMPUTED_VALUE"""),"")</f>
        <v/>
      </c>
      <c r="X3188" s="143" t="str">
        <f t="shared" si="2"/>
        <v/>
      </c>
      <c r="Y3188" s="139" t="str">
        <f>IFERROR(__xludf.DUMMYFUNCTION("""COMPUTED_VALUE"""),"")</f>
        <v/>
      </c>
      <c r="Z3188" s="141" t="str">
        <f>IFERROR(__xludf.DUMMYFUNCTION("""COMPUTED_VALUE"""),"")</f>
        <v/>
      </c>
    </row>
    <row r="3189">
      <c r="D3189" s="136" t="str">
        <f t="shared" si="3"/>
        <v/>
      </c>
      <c r="E3189" s="152"/>
      <c r="F3189" s="106" t="s">
        <v>133</v>
      </c>
      <c r="G3189" s="152"/>
      <c r="H3189" s="106" t="s">
        <v>133</v>
      </c>
      <c r="J3189" s="139" t="s">
        <v>133</v>
      </c>
      <c r="K3189" s="136" t="s">
        <v>133</v>
      </c>
      <c r="L3189" s="153"/>
      <c r="M3189" s="136" t="str">
        <f t="shared" si="1"/>
        <v/>
      </c>
      <c r="O3189" s="141" t="s">
        <v>133</v>
      </c>
      <c r="P3189" s="136" t="str">
        <f>IFERROR(__xludf.DUMMYFUNCTION("""COMPUTED_VALUE"""),"")</f>
        <v/>
      </c>
      <c r="Q3189" s="136" t="str">
        <f>IFERROR(__xludf.DUMMYFUNCTION("""COMPUTED_VALUE"""),"")</f>
        <v/>
      </c>
      <c r="R3189" s="106" t="str">
        <f>IFERROR(__xludf.DUMMYFUNCTION("""COMPUTED_VALUE"""),"")</f>
        <v/>
      </c>
      <c r="S3189" s="106" t="str">
        <f>IFERROR(__xludf.DUMMYFUNCTION("""COMPUTED_VALUE"""),"")</f>
        <v/>
      </c>
      <c r="T3189" s="139" t="str">
        <f>IFERROR(__xludf.DUMMYFUNCTION("""COMPUTED_VALUE"""),"")</f>
        <v/>
      </c>
      <c r="U3189" s="139" t="str">
        <f>IFERROR(__xludf.DUMMYFUNCTION("""COMPUTED_VALUE"""),"")</f>
        <v/>
      </c>
      <c r="V3189" s="136" t="str">
        <f>IFERROR(__xludf.DUMMYFUNCTION("""COMPUTED_VALUE"""),"")</f>
        <v/>
      </c>
      <c r="W3189" s="106" t="str">
        <f>IFERROR(__xludf.DUMMYFUNCTION("""COMPUTED_VALUE"""),"")</f>
        <v/>
      </c>
      <c r="X3189" s="143" t="str">
        <f t="shared" si="2"/>
        <v/>
      </c>
      <c r="Y3189" s="139" t="str">
        <f>IFERROR(__xludf.DUMMYFUNCTION("""COMPUTED_VALUE"""),"")</f>
        <v/>
      </c>
      <c r="Z3189" s="141" t="str">
        <f>IFERROR(__xludf.DUMMYFUNCTION("""COMPUTED_VALUE"""),"")</f>
        <v/>
      </c>
    </row>
    <row r="3190">
      <c r="D3190" s="136" t="str">
        <f t="shared" si="3"/>
        <v/>
      </c>
      <c r="E3190" s="152"/>
      <c r="F3190" s="106" t="s">
        <v>133</v>
      </c>
      <c r="G3190" s="152"/>
      <c r="H3190" s="106" t="s">
        <v>133</v>
      </c>
      <c r="J3190" s="139" t="s">
        <v>133</v>
      </c>
      <c r="K3190" s="136" t="s">
        <v>133</v>
      </c>
      <c r="L3190" s="153"/>
      <c r="M3190" s="136" t="str">
        <f t="shared" si="1"/>
        <v/>
      </c>
      <c r="O3190" s="141" t="s">
        <v>133</v>
      </c>
      <c r="P3190" s="136" t="str">
        <f>IFERROR(__xludf.DUMMYFUNCTION("""COMPUTED_VALUE"""),"")</f>
        <v/>
      </c>
      <c r="Q3190" s="136" t="str">
        <f>IFERROR(__xludf.DUMMYFUNCTION("""COMPUTED_VALUE"""),"")</f>
        <v/>
      </c>
      <c r="R3190" s="106" t="str">
        <f>IFERROR(__xludf.DUMMYFUNCTION("""COMPUTED_VALUE"""),"")</f>
        <v/>
      </c>
      <c r="S3190" s="106" t="str">
        <f>IFERROR(__xludf.DUMMYFUNCTION("""COMPUTED_VALUE"""),"")</f>
        <v/>
      </c>
      <c r="T3190" s="139" t="str">
        <f>IFERROR(__xludf.DUMMYFUNCTION("""COMPUTED_VALUE"""),"")</f>
        <v/>
      </c>
      <c r="U3190" s="139" t="str">
        <f>IFERROR(__xludf.DUMMYFUNCTION("""COMPUTED_VALUE"""),"")</f>
        <v/>
      </c>
      <c r="V3190" s="136" t="str">
        <f>IFERROR(__xludf.DUMMYFUNCTION("""COMPUTED_VALUE"""),"")</f>
        <v/>
      </c>
      <c r="W3190" s="106" t="str">
        <f>IFERROR(__xludf.DUMMYFUNCTION("""COMPUTED_VALUE"""),"")</f>
        <v/>
      </c>
      <c r="X3190" s="143" t="str">
        <f t="shared" si="2"/>
        <v/>
      </c>
      <c r="Y3190" s="139" t="str">
        <f>IFERROR(__xludf.DUMMYFUNCTION("""COMPUTED_VALUE"""),"")</f>
        <v/>
      </c>
      <c r="Z3190" s="141" t="str">
        <f>IFERROR(__xludf.DUMMYFUNCTION("""COMPUTED_VALUE"""),"")</f>
        <v/>
      </c>
    </row>
    <row r="3191">
      <c r="D3191" s="136" t="str">
        <f t="shared" si="3"/>
        <v/>
      </c>
      <c r="E3191" s="152"/>
      <c r="F3191" s="106" t="s">
        <v>133</v>
      </c>
      <c r="G3191" s="152"/>
      <c r="H3191" s="106" t="s">
        <v>133</v>
      </c>
      <c r="J3191" s="139" t="s">
        <v>133</v>
      </c>
      <c r="K3191" s="136" t="s">
        <v>133</v>
      </c>
      <c r="L3191" s="153"/>
      <c r="M3191" s="136" t="str">
        <f t="shared" si="1"/>
        <v/>
      </c>
      <c r="O3191" s="141" t="s">
        <v>133</v>
      </c>
      <c r="P3191" s="136" t="str">
        <f>IFERROR(__xludf.DUMMYFUNCTION("""COMPUTED_VALUE"""),"")</f>
        <v/>
      </c>
      <c r="Q3191" s="136" t="str">
        <f>IFERROR(__xludf.DUMMYFUNCTION("""COMPUTED_VALUE"""),"")</f>
        <v/>
      </c>
      <c r="R3191" s="106" t="str">
        <f>IFERROR(__xludf.DUMMYFUNCTION("""COMPUTED_VALUE"""),"")</f>
        <v/>
      </c>
      <c r="S3191" s="106" t="str">
        <f>IFERROR(__xludf.DUMMYFUNCTION("""COMPUTED_VALUE"""),"")</f>
        <v/>
      </c>
      <c r="T3191" s="139" t="str">
        <f>IFERROR(__xludf.DUMMYFUNCTION("""COMPUTED_VALUE"""),"")</f>
        <v/>
      </c>
      <c r="U3191" s="139" t="str">
        <f>IFERROR(__xludf.DUMMYFUNCTION("""COMPUTED_VALUE"""),"")</f>
        <v/>
      </c>
      <c r="V3191" s="136" t="str">
        <f>IFERROR(__xludf.DUMMYFUNCTION("""COMPUTED_VALUE"""),"")</f>
        <v/>
      </c>
      <c r="W3191" s="106" t="str">
        <f>IFERROR(__xludf.DUMMYFUNCTION("""COMPUTED_VALUE"""),"")</f>
        <v/>
      </c>
      <c r="X3191" s="143" t="str">
        <f t="shared" si="2"/>
        <v/>
      </c>
      <c r="Y3191" s="139" t="str">
        <f>IFERROR(__xludf.DUMMYFUNCTION("""COMPUTED_VALUE"""),"")</f>
        <v/>
      </c>
      <c r="Z3191" s="141" t="str">
        <f>IFERROR(__xludf.DUMMYFUNCTION("""COMPUTED_VALUE"""),"")</f>
        <v/>
      </c>
    </row>
    <row r="3192">
      <c r="D3192" s="136" t="str">
        <f t="shared" si="3"/>
        <v/>
      </c>
      <c r="E3192" s="152"/>
      <c r="F3192" s="106" t="s">
        <v>133</v>
      </c>
      <c r="G3192" s="152"/>
      <c r="H3192" s="106" t="s">
        <v>133</v>
      </c>
      <c r="J3192" s="139" t="s">
        <v>133</v>
      </c>
      <c r="K3192" s="136" t="s">
        <v>133</v>
      </c>
      <c r="L3192" s="153"/>
      <c r="M3192" s="136" t="str">
        <f t="shared" si="1"/>
        <v/>
      </c>
      <c r="O3192" s="141" t="s">
        <v>133</v>
      </c>
      <c r="P3192" s="136" t="str">
        <f>IFERROR(__xludf.DUMMYFUNCTION("""COMPUTED_VALUE"""),"")</f>
        <v/>
      </c>
      <c r="Q3192" s="136" t="str">
        <f>IFERROR(__xludf.DUMMYFUNCTION("""COMPUTED_VALUE"""),"")</f>
        <v/>
      </c>
      <c r="R3192" s="106" t="str">
        <f>IFERROR(__xludf.DUMMYFUNCTION("""COMPUTED_VALUE"""),"")</f>
        <v/>
      </c>
      <c r="S3192" s="106" t="str">
        <f>IFERROR(__xludf.DUMMYFUNCTION("""COMPUTED_VALUE"""),"")</f>
        <v/>
      </c>
      <c r="T3192" s="139" t="str">
        <f>IFERROR(__xludf.DUMMYFUNCTION("""COMPUTED_VALUE"""),"")</f>
        <v/>
      </c>
      <c r="U3192" s="139" t="str">
        <f>IFERROR(__xludf.DUMMYFUNCTION("""COMPUTED_VALUE"""),"")</f>
        <v/>
      </c>
      <c r="V3192" s="136" t="str">
        <f>IFERROR(__xludf.DUMMYFUNCTION("""COMPUTED_VALUE"""),"")</f>
        <v/>
      </c>
      <c r="W3192" s="106" t="str">
        <f>IFERROR(__xludf.DUMMYFUNCTION("""COMPUTED_VALUE"""),"")</f>
        <v/>
      </c>
      <c r="X3192" s="143" t="str">
        <f t="shared" si="2"/>
        <v/>
      </c>
      <c r="Y3192" s="139" t="str">
        <f>IFERROR(__xludf.DUMMYFUNCTION("""COMPUTED_VALUE"""),"")</f>
        <v/>
      </c>
      <c r="Z3192" s="141" t="str">
        <f>IFERROR(__xludf.DUMMYFUNCTION("""COMPUTED_VALUE"""),"")</f>
        <v/>
      </c>
    </row>
    <row r="3193">
      <c r="D3193" s="136" t="str">
        <f t="shared" si="3"/>
        <v/>
      </c>
      <c r="E3193" s="152"/>
      <c r="F3193" s="106" t="s">
        <v>133</v>
      </c>
      <c r="G3193" s="152"/>
      <c r="H3193" s="106" t="s">
        <v>133</v>
      </c>
      <c r="J3193" s="139" t="s">
        <v>133</v>
      </c>
      <c r="K3193" s="136" t="s">
        <v>133</v>
      </c>
      <c r="L3193" s="153"/>
      <c r="M3193" s="136" t="str">
        <f t="shared" si="1"/>
        <v/>
      </c>
      <c r="O3193" s="141" t="s">
        <v>133</v>
      </c>
      <c r="P3193" s="136" t="str">
        <f>IFERROR(__xludf.DUMMYFUNCTION("""COMPUTED_VALUE"""),"")</f>
        <v/>
      </c>
      <c r="Q3193" s="136" t="str">
        <f>IFERROR(__xludf.DUMMYFUNCTION("""COMPUTED_VALUE"""),"")</f>
        <v/>
      </c>
      <c r="R3193" s="106" t="str">
        <f>IFERROR(__xludf.DUMMYFUNCTION("""COMPUTED_VALUE"""),"")</f>
        <v/>
      </c>
      <c r="S3193" s="106" t="str">
        <f>IFERROR(__xludf.DUMMYFUNCTION("""COMPUTED_VALUE"""),"")</f>
        <v/>
      </c>
      <c r="T3193" s="139" t="str">
        <f>IFERROR(__xludf.DUMMYFUNCTION("""COMPUTED_VALUE"""),"")</f>
        <v/>
      </c>
      <c r="U3193" s="139" t="str">
        <f>IFERROR(__xludf.DUMMYFUNCTION("""COMPUTED_VALUE"""),"")</f>
        <v/>
      </c>
      <c r="V3193" s="136" t="str">
        <f>IFERROR(__xludf.DUMMYFUNCTION("""COMPUTED_VALUE"""),"")</f>
        <v/>
      </c>
      <c r="W3193" s="106" t="str">
        <f>IFERROR(__xludf.DUMMYFUNCTION("""COMPUTED_VALUE"""),"")</f>
        <v/>
      </c>
      <c r="X3193" s="143" t="str">
        <f t="shared" si="2"/>
        <v/>
      </c>
      <c r="Y3193" s="139" t="str">
        <f>IFERROR(__xludf.DUMMYFUNCTION("""COMPUTED_VALUE"""),"")</f>
        <v/>
      </c>
      <c r="Z3193" s="141" t="str">
        <f>IFERROR(__xludf.DUMMYFUNCTION("""COMPUTED_VALUE"""),"")</f>
        <v/>
      </c>
    </row>
    <row r="3194">
      <c r="D3194" s="136" t="str">
        <f t="shared" si="3"/>
        <v/>
      </c>
      <c r="E3194" s="152"/>
      <c r="F3194" s="106" t="s">
        <v>133</v>
      </c>
      <c r="G3194" s="152"/>
      <c r="H3194" s="106" t="s">
        <v>133</v>
      </c>
      <c r="J3194" s="139" t="s">
        <v>133</v>
      </c>
      <c r="K3194" s="136" t="s">
        <v>133</v>
      </c>
      <c r="L3194" s="153"/>
      <c r="M3194" s="136" t="str">
        <f t="shared" si="1"/>
        <v/>
      </c>
      <c r="O3194" s="141" t="s">
        <v>133</v>
      </c>
      <c r="P3194" s="136" t="str">
        <f>IFERROR(__xludf.DUMMYFUNCTION("""COMPUTED_VALUE"""),"")</f>
        <v/>
      </c>
      <c r="Q3194" s="136" t="str">
        <f>IFERROR(__xludf.DUMMYFUNCTION("""COMPUTED_VALUE"""),"")</f>
        <v/>
      </c>
      <c r="R3194" s="106" t="str">
        <f>IFERROR(__xludf.DUMMYFUNCTION("""COMPUTED_VALUE"""),"")</f>
        <v/>
      </c>
      <c r="S3194" s="106" t="str">
        <f>IFERROR(__xludf.DUMMYFUNCTION("""COMPUTED_VALUE"""),"")</f>
        <v/>
      </c>
      <c r="T3194" s="139" t="str">
        <f>IFERROR(__xludf.DUMMYFUNCTION("""COMPUTED_VALUE"""),"")</f>
        <v/>
      </c>
      <c r="U3194" s="139" t="str">
        <f>IFERROR(__xludf.DUMMYFUNCTION("""COMPUTED_VALUE"""),"")</f>
        <v/>
      </c>
      <c r="V3194" s="136" t="str">
        <f>IFERROR(__xludf.DUMMYFUNCTION("""COMPUTED_VALUE"""),"")</f>
        <v/>
      </c>
      <c r="W3194" s="106" t="str">
        <f>IFERROR(__xludf.DUMMYFUNCTION("""COMPUTED_VALUE"""),"")</f>
        <v/>
      </c>
      <c r="X3194" s="143" t="str">
        <f t="shared" si="2"/>
        <v/>
      </c>
      <c r="Y3194" s="139" t="str">
        <f>IFERROR(__xludf.DUMMYFUNCTION("""COMPUTED_VALUE"""),"")</f>
        <v/>
      </c>
      <c r="Z3194" s="141" t="str">
        <f>IFERROR(__xludf.DUMMYFUNCTION("""COMPUTED_VALUE"""),"")</f>
        <v/>
      </c>
    </row>
    <row r="3195">
      <c r="D3195" s="136" t="str">
        <f t="shared" si="3"/>
        <v/>
      </c>
      <c r="E3195" s="152"/>
      <c r="F3195" s="106" t="s">
        <v>133</v>
      </c>
      <c r="G3195" s="152"/>
      <c r="H3195" s="106" t="s">
        <v>133</v>
      </c>
      <c r="J3195" s="139" t="s">
        <v>133</v>
      </c>
      <c r="K3195" s="136" t="s">
        <v>133</v>
      </c>
      <c r="L3195" s="153"/>
      <c r="M3195" s="136" t="str">
        <f t="shared" si="1"/>
        <v/>
      </c>
      <c r="O3195" s="141" t="s">
        <v>133</v>
      </c>
      <c r="P3195" s="136" t="str">
        <f>IFERROR(__xludf.DUMMYFUNCTION("""COMPUTED_VALUE"""),"")</f>
        <v/>
      </c>
      <c r="Q3195" s="136" t="str">
        <f>IFERROR(__xludf.DUMMYFUNCTION("""COMPUTED_VALUE"""),"")</f>
        <v/>
      </c>
      <c r="R3195" s="106" t="str">
        <f>IFERROR(__xludf.DUMMYFUNCTION("""COMPUTED_VALUE"""),"")</f>
        <v/>
      </c>
      <c r="S3195" s="106" t="str">
        <f>IFERROR(__xludf.DUMMYFUNCTION("""COMPUTED_VALUE"""),"")</f>
        <v/>
      </c>
      <c r="T3195" s="139" t="str">
        <f>IFERROR(__xludf.DUMMYFUNCTION("""COMPUTED_VALUE"""),"")</f>
        <v/>
      </c>
      <c r="U3195" s="139" t="str">
        <f>IFERROR(__xludf.DUMMYFUNCTION("""COMPUTED_VALUE"""),"")</f>
        <v/>
      </c>
      <c r="V3195" s="136" t="str">
        <f>IFERROR(__xludf.DUMMYFUNCTION("""COMPUTED_VALUE"""),"")</f>
        <v/>
      </c>
      <c r="W3195" s="106" t="str">
        <f>IFERROR(__xludf.DUMMYFUNCTION("""COMPUTED_VALUE"""),"")</f>
        <v/>
      </c>
      <c r="X3195" s="143" t="str">
        <f t="shared" si="2"/>
        <v/>
      </c>
      <c r="Y3195" s="139" t="str">
        <f>IFERROR(__xludf.DUMMYFUNCTION("""COMPUTED_VALUE"""),"")</f>
        <v/>
      </c>
      <c r="Z3195" s="141" t="str">
        <f>IFERROR(__xludf.DUMMYFUNCTION("""COMPUTED_VALUE"""),"")</f>
        <v/>
      </c>
    </row>
    <row r="3196">
      <c r="D3196" s="136" t="str">
        <f t="shared" si="3"/>
        <v/>
      </c>
      <c r="E3196" s="152"/>
      <c r="F3196" s="106" t="s">
        <v>133</v>
      </c>
      <c r="G3196" s="152"/>
      <c r="H3196" s="106" t="s">
        <v>133</v>
      </c>
      <c r="J3196" s="139" t="s">
        <v>133</v>
      </c>
      <c r="K3196" s="136" t="s">
        <v>133</v>
      </c>
      <c r="L3196" s="153"/>
      <c r="M3196" s="136" t="str">
        <f t="shared" si="1"/>
        <v/>
      </c>
      <c r="O3196" s="141" t="s">
        <v>133</v>
      </c>
      <c r="P3196" s="136" t="str">
        <f>IFERROR(__xludf.DUMMYFUNCTION("""COMPUTED_VALUE"""),"")</f>
        <v/>
      </c>
      <c r="Q3196" s="136" t="str">
        <f>IFERROR(__xludf.DUMMYFUNCTION("""COMPUTED_VALUE"""),"")</f>
        <v/>
      </c>
      <c r="R3196" s="106" t="str">
        <f>IFERROR(__xludf.DUMMYFUNCTION("""COMPUTED_VALUE"""),"")</f>
        <v/>
      </c>
      <c r="S3196" s="106" t="str">
        <f>IFERROR(__xludf.DUMMYFUNCTION("""COMPUTED_VALUE"""),"")</f>
        <v/>
      </c>
      <c r="T3196" s="139" t="str">
        <f>IFERROR(__xludf.DUMMYFUNCTION("""COMPUTED_VALUE"""),"")</f>
        <v/>
      </c>
      <c r="U3196" s="139" t="str">
        <f>IFERROR(__xludf.DUMMYFUNCTION("""COMPUTED_VALUE"""),"")</f>
        <v/>
      </c>
      <c r="V3196" s="136" t="str">
        <f>IFERROR(__xludf.DUMMYFUNCTION("""COMPUTED_VALUE"""),"")</f>
        <v/>
      </c>
      <c r="W3196" s="106" t="str">
        <f>IFERROR(__xludf.DUMMYFUNCTION("""COMPUTED_VALUE"""),"")</f>
        <v/>
      </c>
      <c r="X3196" s="143" t="str">
        <f t="shared" si="2"/>
        <v/>
      </c>
      <c r="Y3196" s="139" t="str">
        <f>IFERROR(__xludf.DUMMYFUNCTION("""COMPUTED_VALUE"""),"")</f>
        <v/>
      </c>
      <c r="Z3196" s="141" t="str">
        <f>IFERROR(__xludf.DUMMYFUNCTION("""COMPUTED_VALUE"""),"")</f>
        <v/>
      </c>
    </row>
    <row r="3197">
      <c r="D3197" s="136" t="str">
        <f t="shared" si="3"/>
        <v/>
      </c>
      <c r="E3197" s="152"/>
      <c r="F3197" s="106" t="s">
        <v>133</v>
      </c>
      <c r="G3197" s="152"/>
      <c r="H3197" s="106" t="s">
        <v>133</v>
      </c>
      <c r="J3197" s="139" t="s">
        <v>133</v>
      </c>
      <c r="K3197" s="136" t="s">
        <v>133</v>
      </c>
      <c r="L3197" s="153"/>
      <c r="M3197" s="136" t="str">
        <f t="shared" si="1"/>
        <v/>
      </c>
      <c r="O3197" s="141" t="s">
        <v>133</v>
      </c>
      <c r="P3197" s="136" t="str">
        <f>IFERROR(__xludf.DUMMYFUNCTION("""COMPUTED_VALUE"""),"")</f>
        <v/>
      </c>
      <c r="Q3197" s="136" t="str">
        <f>IFERROR(__xludf.DUMMYFUNCTION("""COMPUTED_VALUE"""),"")</f>
        <v/>
      </c>
      <c r="R3197" s="106" t="str">
        <f>IFERROR(__xludf.DUMMYFUNCTION("""COMPUTED_VALUE"""),"")</f>
        <v/>
      </c>
      <c r="S3197" s="106" t="str">
        <f>IFERROR(__xludf.DUMMYFUNCTION("""COMPUTED_VALUE"""),"")</f>
        <v/>
      </c>
      <c r="T3197" s="139" t="str">
        <f>IFERROR(__xludf.DUMMYFUNCTION("""COMPUTED_VALUE"""),"")</f>
        <v/>
      </c>
      <c r="U3197" s="139" t="str">
        <f>IFERROR(__xludf.DUMMYFUNCTION("""COMPUTED_VALUE"""),"")</f>
        <v/>
      </c>
      <c r="V3197" s="136" t="str">
        <f>IFERROR(__xludf.DUMMYFUNCTION("""COMPUTED_VALUE"""),"")</f>
        <v/>
      </c>
      <c r="W3197" s="106" t="str">
        <f>IFERROR(__xludf.DUMMYFUNCTION("""COMPUTED_VALUE"""),"")</f>
        <v/>
      </c>
      <c r="X3197" s="143" t="str">
        <f t="shared" si="2"/>
        <v/>
      </c>
      <c r="Y3197" s="139" t="str">
        <f>IFERROR(__xludf.DUMMYFUNCTION("""COMPUTED_VALUE"""),"")</f>
        <v/>
      </c>
      <c r="Z3197" s="141" t="str">
        <f>IFERROR(__xludf.DUMMYFUNCTION("""COMPUTED_VALUE"""),"")</f>
        <v/>
      </c>
    </row>
    <row r="3198">
      <c r="D3198" s="136" t="str">
        <f t="shared" si="3"/>
        <v/>
      </c>
      <c r="E3198" s="152"/>
      <c r="F3198" s="106" t="s">
        <v>133</v>
      </c>
      <c r="G3198" s="152"/>
      <c r="H3198" s="106" t="s">
        <v>133</v>
      </c>
      <c r="J3198" s="139" t="s">
        <v>133</v>
      </c>
      <c r="K3198" s="136" t="s">
        <v>133</v>
      </c>
      <c r="L3198" s="153"/>
      <c r="M3198" s="136" t="str">
        <f t="shared" si="1"/>
        <v/>
      </c>
      <c r="O3198" s="141" t="s">
        <v>133</v>
      </c>
      <c r="P3198" s="136" t="str">
        <f>IFERROR(__xludf.DUMMYFUNCTION("""COMPUTED_VALUE"""),"")</f>
        <v/>
      </c>
      <c r="Q3198" s="136" t="str">
        <f>IFERROR(__xludf.DUMMYFUNCTION("""COMPUTED_VALUE"""),"")</f>
        <v/>
      </c>
      <c r="R3198" s="106" t="str">
        <f>IFERROR(__xludf.DUMMYFUNCTION("""COMPUTED_VALUE"""),"")</f>
        <v/>
      </c>
      <c r="S3198" s="106" t="str">
        <f>IFERROR(__xludf.DUMMYFUNCTION("""COMPUTED_VALUE"""),"")</f>
        <v/>
      </c>
      <c r="T3198" s="139" t="str">
        <f>IFERROR(__xludf.DUMMYFUNCTION("""COMPUTED_VALUE"""),"")</f>
        <v/>
      </c>
      <c r="U3198" s="139" t="str">
        <f>IFERROR(__xludf.DUMMYFUNCTION("""COMPUTED_VALUE"""),"")</f>
        <v/>
      </c>
      <c r="V3198" s="136" t="str">
        <f>IFERROR(__xludf.DUMMYFUNCTION("""COMPUTED_VALUE"""),"")</f>
        <v/>
      </c>
      <c r="W3198" s="106" t="str">
        <f>IFERROR(__xludf.DUMMYFUNCTION("""COMPUTED_VALUE"""),"")</f>
        <v/>
      </c>
      <c r="X3198" s="143" t="str">
        <f t="shared" si="2"/>
        <v/>
      </c>
      <c r="Y3198" s="139" t="str">
        <f>IFERROR(__xludf.DUMMYFUNCTION("""COMPUTED_VALUE"""),"")</f>
        <v/>
      </c>
      <c r="Z3198" s="141" t="str">
        <f>IFERROR(__xludf.DUMMYFUNCTION("""COMPUTED_VALUE"""),"")</f>
        <v/>
      </c>
    </row>
    <row r="3199">
      <c r="D3199" s="136" t="str">
        <f t="shared" si="3"/>
        <v/>
      </c>
      <c r="E3199" s="152"/>
      <c r="F3199" s="106" t="s">
        <v>133</v>
      </c>
      <c r="G3199" s="152"/>
      <c r="H3199" s="106" t="s">
        <v>133</v>
      </c>
      <c r="J3199" s="139" t="s">
        <v>133</v>
      </c>
      <c r="K3199" s="136" t="s">
        <v>133</v>
      </c>
      <c r="L3199" s="153"/>
      <c r="M3199" s="136" t="str">
        <f t="shared" si="1"/>
        <v/>
      </c>
      <c r="O3199" s="141" t="s">
        <v>133</v>
      </c>
      <c r="P3199" s="136" t="str">
        <f>IFERROR(__xludf.DUMMYFUNCTION("""COMPUTED_VALUE"""),"")</f>
        <v/>
      </c>
      <c r="Q3199" s="136" t="str">
        <f>IFERROR(__xludf.DUMMYFUNCTION("""COMPUTED_VALUE"""),"")</f>
        <v/>
      </c>
      <c r="R3199" s="106" t="str">
        <f>IFERROR(__xludf.DUMMYFUNCTION("""COMPUTED_VALUE"""),"")</f>
        <v/>
      </c>
      <c r="S3199" s="106" t="str">
        <f>IFERROR(__xludf.DUMMYFUNCTION("""COMPUTED_VALUE"""),"")</f>
        <v/>
      </c>
      <c r="T3199" s="139" t="str">
        <f>IFERROR(__xludf.DUMMYFUNCTION("""COMPUTED_VALUE"""),"")</f>
        <v/>
      </c>
      <c r="U3199" s="139" t="str">
        <f>IFERROR(__xludf.DUMMYFUNCTION("""COMPUTED_VALUE"""),"")</f>
        <v/>
      </c>
      <c r="V3199" s="136" t="str">
        <f>IFERROR(__xludf.DUMMYFUNCTION("""COMPUTED_VALUE"""),"")</f>
        <v/>
      </c>
      <c r="W3199" s="106" t="str">
        <f>IFERROR(__xludf.DUMMYFUNCTION("""COMPUTED_VALUE"""),"")</f>
        <v/>
      </c>
      <c r="X3199" s="143" t="str">
        <f t="shared" si="2"/>
        <v/>
      </c>
      <c r="Y3199" s="139" t="str">
        <f>IFERROR(__xludf.DUMMYFUNCTION("""COMPUTED_VALUE"""),"")</f>
        <v/>
      </c>
      <c r="Z3199" s="141" t="str">
        <f>IFERROR(__xludf.DUMMYFUNCTION("""COMPUTED_VALUE"""),"")</f>
        <v/>
      </c>
    </row>
    <row r="3200">
      <c r="D3200" s="136" t="str">
        <f t="shared" si="3"/>
        <v/>
      </c>
      <c r="E3200" s="152"/>
      <c r="F3200" s="106" t="s">
        <v>133</v>
      </c>
      <c r="G3200" s="152"/>
      <c r="H3200" s="106" t="s">
        <v>133</v>
      </c>
      <c r="J3200" s="139" t="s">
        <v>133</v>
      </c>
      <c r="K3200" s="136" t="s">
        <v>133</v>
      </c>
      <c r="L3200" s="153"/>
      <c r="M3200" s="136" t="str">
        <f t="shared" si="1"/>
        <v/>
      </c>
      <c r="O3200" s="141" t="s">
        <v>133</v>
      </c>
      <c r="P3200" s="136" t="str">
        <f>IFERROR(__xludf.DUMMYFUNCTION("""COMPUTED_VALUE"""),"")</f>
        <v/>
      </c>
      <c r="Q3200" s="136" t="str">
        <f>IFERROR(__xludf.DUMMYFUNCTION("""COMPUTED_VALUE"""),"")</f>
        <v/>
      </c>
      <c r="R3200" s="106" t="str">
        <f>IFERROR(__xludf.DUMMYFUNCTION("""COMPUTED_VALUE"""),"")</f>
        <v/>
      </c>
      <c r="S3200" s="106" t="str">
        <f>IFERROR(__xludf.DUMMYFUNCTION("""COMPUTED_VALUE"""),"")</f>
        <v/>
      </c>
      <c r="T3200" s="139" t="str">
        <f>IFERROR(__xludf.DUMMYFUNCTION("""COMPUTED_VALUE"""),"")</f>
        <v/>
      </c>
      <c r="U3200" s="139" t="str">
        <f>IFERROR(__xludf.DUMMYFUNCTION("""COMPUTED_VALUE"""),"")</f>
        <v/>
      </c>
      <c r="V3200" s="136" t="str">
        <f>IFERROR(__xludf.DUMMYFUNCTION("""COMPUTED_VALUE"""),"")</f>
        <v/>
      </c>
      <c r="W3200" s="106" t="str">
        <f>IFERROR(__xludf.DUMMYFUNCTION("""COMPUTED_VALUE"""),"")</f>
        <v/>
      </c>
      <c r="X3200" s="143" t="str">
        <f t="shared" si="2"/>
        <v/>
      </c>
      <c r="Y3200" s="139" t="str">
        <f>IFERROR(__xludf.DUMMYFUNCTION("""COMPUTED_VALUE"""),"")</f>
        <v/>
      </c>
      <c r="Z3200" s="141" t="str">
        <f>IFERROR(__xludf.DUMMYFUNCTION("""COMPUTED_VALUE"""),"")</f>
        <v/>
      </c>
    </row>
    <row r="3201">
      <c r="D3201" s="136" t="str">
        <f t="shared" si="3"/>
        <v/>
      </c>
      <c r="E3201" s="152"/>
      <c r="F3201" s="106" t="s">
        <v>133</v>
      </c>
      <c r="G3201" s="152"/>
      <c r="H3201" s="106" t="s">
        <v>133</v>
      </c>
      <c r="J3201" s="139" t="s">
        <v>133</v>
      </c>
      <c r="K3201" s="136" t="s">
        <v>133</v>
      </c>
      <c r="L3201" s="153"/>
      <c r="M3201" s="136" t="str">
        <f t="shared" si="1"/>
        <v/>
      </c>
      <c r="O3201" s="141" t="s">
        <v>133</v>
      </c>
      <c r="P3201" s="136" t="str">
        <f>IFERROR(__xludf.DUMMYFUNCTION("""COMPUTED_VALUE"""),"")</f>
        <v/>
      </c>
      <c r="Q3201" s="136" t="str">
        <f>IFERROR(__xludf.DUMMYFUNCTION("""COMPUTED_VALUE"""),"")</f>
        <v/>
      </c>
      <c r="R3201" s="106" t="str">
        <f>IFERROR(__xludf.DUMMYFUNCTION("""COMPUTED_VALUE"""),"")</f>
        <v/>
      </c>
      <c r="S3201" s="106" t="str">
        <f>IFERROR(__xludf.DUMMYFUNCTION("""COMPUTED_VALUE"""),"")</f>
        <v/>
      </c>
      <c r="T3201" s="139" t="str">
        <f>IFERROR(__xludf.DUMMYFUNCTION("""COMPUTED_VALUE"""),"")</f>
        <v/>
      </c>
      <c r="U3201" s="139" t="str">
        <f>IFERROR(__xludf.DUMMYFUNCTION("""COMPUTED_VALUE"""),"")</f>
        <v/>
      </c>
      <c r="V3201" s="136" t="str">
        <f>IFERROR(__xludf.DUMMYFUNCTION("""COMPUTED_VALUE"""),"")</f>
        <v/>
      </c>
      <c r="W3201" s="106" t="str">
        <f>IFERROR(__xludf.DUMMYFUNCTION("""COMPUTED_VALUE"""),"")</f>
        <v/>
      </c>
      <c r="X3201" s="143" t="str">
        <f t="shared" si="2"/>
        <v/>
      </c>
      <c r="Y3201" s="139" t="str">
        <f>IFERROR(__xludf.DUMMYFUNCTION("""COMPUTED_VALUE"""),"")</f>
        <v/>
      </c>
      <c r="Z3201" s="141" t="str">
        <f>IFERROR(__xludf.DUMMYFUNCTION("""COMPUTED_VALUE"""),"")</f>
        <v/>
      </c>
    </row>
    <row r="3202">
      <c r="D3202" s="136" t="str">
        <f t="shared" si="3"/>
        <v/>
      </c>
      <c r="E3202" s="152"/>
      <c r="F3202" s="106" t="s">
        <v>133</v>
      </c>
      <c r="G3202" s="152"/>
      <c r="H3202" s="106" t="s">
        <v>133</v>
      </c>
      <c r="J3202" s="139" t="s">
        <v>133</v>
      </c>
      <c r="K3202" s="136" t="s">
        <v>133</v>
      </c>
      <c r="L3202" s="153"/>
      <c r="M3202" s="136" t="str">
        <f t="shared" si="1"/>
        <v/>
      </c>
      <c r="O3202" s="141" t="s">
        <v>133</v>
      </c>
      <c r="P3202" s="136" t="str">
        <f>IFERROR(__xludf.DUMMYFUNCTION("""COMPUTED_VALUE"""),"")</f>
        <v/>
      </c>
      <c r="Q3202" s="136" t="str">
        <f>IFERROR(__xludf.DUMMYFUNCTION("""COMPUTED_VALUE"""),"")</f>
        <v/>
      </c>
      <c r="R3202" s="106" t="str">
        <f>IFERROR(__xludf.DUMMYFUNCTION("""COMPUTED_VALUE"""),"")</f>
        <v/>
      </c>
      <c r="S3202" s="106" t="str">
        <f>IFERROR(__xludf.DUMMYFUNCTION("""COMPUTED_VALUE"""),"")</f>
        <v/>
      </c>
      <c r="T3202" s="139" t="str">
        <f>IFERROR(__xludf.DUMMYFUNCTION("""COMPUTED_VALUE"""),"")</f>
        <v/>
      </c>
      <c r="U3202" s="139" t="str">
        <f>IFERROR(__xludf.DUMMYFUNCTION("""COMPUTED_VALUE"""),"")</f>
        <v/>
      </c>
      <c r="V3202" s="136" t="str">
        <f>IFERROR(__xludf.DUMMYFUNCTION("""COMPUTED_VALUE"""),"")</f>
        <v/>
      </c>
      <c r="W3202" s="106" t="str">
        <f>IFERROR(__xludf.DUMMYFUNCTION("""COMPUTED_VALUE"""),"")</f>
        <v/>
      </c>
      <c r="X3202" s="143" t="str">
        <f t="shared" si="2"/>
        <v/>
      </c>
      <c r="Y3202" s="139" t="str">
        <f>IFERROR(__xludf.DUMMYFUNCTION("""COMPUTED_VALUE"""),"")</f>
        <v/>
      </c>
      <c r="Z3202" s="141" t="str">
        <f>IFERROR(__xludf.DUMMYFUNCTION("""COMPUTED_VALUE"""),"")</f>
        <v/>
      </c>
    </row>
    <row r="3203">
      <c r="D3203" s="136" t="str">
        <f t="shared" si="3"/>
        <v/>
      </c>
      <c r="E3203" s="152"/>
      <c r="F3203" s="106" t="s">
        <v>133</v>
      </c>
      <c r="G3203" s="152"/>
      <c r="H3203" s="106" t="s">
        <v>133</v>
      </c>
      <c r="J3203" s="139" t="s">
        <v>133</v>
      </c>
      <c r="K3203" s="136" t="s">
        <v>133</v>
      </c>
      <c r="L3203" s="153"/>
      <c r="M3203" s="136" t="str">
        <f t="shared" si="1"/>
        <v/>
      </c>
      <c r="O3203" s="141" t="s">
        <v>133</v>
      </c>
      <c r="P3203" s="136" t="str">
        <f>IFERROR(__xludf.DUMMYFUNCTION("""COMPUTED_VALUE"""),"")</f>
        <v/>
      </c>
      <c r="Q3203" s="136" t="str">
        <f>IFERROR(__xludf.DUMMYFUNCTION("""COMPUTED_VALUE"""),"")</f>
        <v/>
      </c>
      <c r="R3203" s="106" t="str">
        <f>IFERROR(__xludf.DUMMYFUNCTION("""COMPUTED_VALUE"""),"")</f>
        <v/>
      </c>
      <c r="S3203" s="106" t="str">
        <f>IFERROR(__xludf.DUMMYFUNCTION("""COMPUTED_VALUE"""),"")</f>
        <v/>
      </c>
      <c r="T3203" s="139" t="str">
        <f>IFERROR(__xludf.DUMMYFUNCTION("""COMPUTED_VALUE"""),"")</f>
        <v/>
      </c>
      <c r="U3203" s="139" t="str">
        <f>IFERROR(__xludf.DUMMYFUNCTION("""COMPUTED_VALUE"""),"")</f>
        <v/>
      </c>
      <c r="V3203" s="136" t="str">
        <f>IFERROR(__xludf.DUMMYFUNCTION("""COMPUTED_VALUE"""),"")</f>
        <v/>
      </c>
      <c r="W3203" s="106" t="str">
        <f>IFERROR(__xludf.DUMMYFUNCTION("""COMPUTED_VALUE"""),"")</f>
        <v/>
      </c>
      <c r="X3203" s="143" t="str">
        <f t="shared" si="2"/>
        <v/>
      </c>
      <c r="Y3203" s="139" t="str">
        <f>IFERROR(__xludf.DUMMYFUNCTION("""COMPUTED_VALUE"""),"")</f>
        <v/>
      </c>
      <c r="Z3203" s="141" t="str">
        <f>IFERROR(__xludf.DUMMYFUNCTION("""COMPUTED_VALUE"""),"")</f>
        <v/>
      </c>
    </row>
    <row r="3204">
      <c r="D3204" s="136" t="str">
        <f t="shared" si="3"/>
        <v/>
      </c>
      <c r="E3204" s="152"/>
      <c r="F3204" s="106" t="s">
        <v>133</v>
      </c>
      <c r="G3204" s="152"/>
      <c r="H3204" s="106" t="s">
        <v>133</v>
      </c>
      <c r="J3204" s="139" t="s">
        <v>133</v>
      </c>
      <c r="K3204" s="136" t="s">
        <v>133</v>
      </c>
      <c r="L3204" s="153"/>
      <c r="M3204" s="136" t="str">
        <f t="shared" si="1"/>
        <v/>
      </c>
      <c r="O3204" s="141" t="s">
        <v>133</v>
      </c>
      <c r="P3204" s="136" t="str">
        <f>IFERROR(__xludf.DUMMYFUNCTION("""COMPUTED_VALUE"""),"")</f>
        <v/>
      </c>
      <c r="Q3204" s="136" t="str">
        <f>IFERROR(__xludf.DUMMYFUNCTION("""COMPUTED_VALUE"""),"")</f>
        <v/>
      </c>
      <c r="R3204" s="106" t="str">
        <f>IFERROR(__xludf.DUMMYFUNCTION("""COMPUTED_VALUE"""),"")</f>
        <v/>
      </c>
      <c r="S3204" s="106" t="str">
        <f>IFERROR(__xludf.DUMMYFUNCTION("""COMPUTED_VALUE"""),"")</f>
        <v/>
      </c>
      <c r="T3204" s="139" t="str">
        <f>IFERROR(__xludf.DUMMYFUNCTION("""COMPUTED_VALUE"""),"")</f>
        <v/>
      </c>
      <c r="U3204" s="139" t="str">
        <f>IFERROR(__xludf.DUMMYFUNCTION("""COMPUTED_VALUE"""),"")</f>
        <v/>
      </c>
      <c r="V3204" s="136" t="str">
        <f>IFERROR(__xludf.DUMMYFUNCTION("""COMPUTED_VALUE"""),"")</f>
        <v/>
      </c>
      <c r="W3204" s="106" t="str">
        <f>IFERROR(__xludf.DUMMYFUNCTION("""COMPUTED_VALUE"""),"")</f>
        <v/>
      </c>
      <c r="X3204" s="143" t="str">
        <f t="shared" si="2"/>
        <v/>
      </c>
      <c r="Y3204" s="139" t="str">
        <f>IFERROR(__xludf.DUMMYFUNCTION("""COMPUTED_VALUE"""),"")</f>
        <v/>
      </c>
      <c r="Z3204" s="141" t="str">
        <f>IFERROR(__xludf.DUMMYFUNCTION("""COMPUTED_VALUE"""),"")</f>
        <v/>
      </c>
    </row>
    <row r="3205">
      <c r="D3205" s="136" t="str">
        <f t="shared" si="3"/>
        <v/>
      </c>
      <c r="E3205" s="152"/>
      <c r="F3205" s="106" t="s">
        <v>133</v>
      </c>
      <c r="G3205" s="152"/>
      <c r="H3205" s="106" t="s">
        <v>133</v>
      </c>
      <c r="J3205" s="139" t="s">
        <v>133</v>
      </c>
      <c r="K3205" s="136" t="s">
        <v>133</v>
      </c>
      <c r="L3205" s="153"/>
      <c r="M3205" s="136" t="str">
        <f t="shared" si="1"/>
        <v/>
      </c>
      <c r="O3205" s="141" t="s">
        <v>133</v>
      </c>
      <c r="P3205" s="136" t="str">
        <f>IFERROR(__xludf.DUMMYFUNCTION("""COMPUTED_VALUE"""),"")</f>
        <v/>
      </c>
      <c r="Q3205" s="136" t="str">
        <f>IFERROR(__xludf.DUMMYFUNCTION("""COMPUTED_VALUE"""),"")</f>
        <v/>
      </c>
      <c r="R3205" s="106" t="str">
        <f>IFERROR(__xludf.DUMMYFUNCTION("""COMPUTED_VALUE"""),"")</f>
        <v/>
      </c>
      <c r="S3205" s="106" t="str">
        <f>IFERROR(__xludf.DUMMYFUNCTION("""COMPUTED_VALUE"""),"")</f>
        <v/>
      </c>
      <c r="T3205" s="139" t="str">
        <f>IFERROR(__xludf.DUMMYFUNCTION("""COMPUTED_VALUE"""),"")</f>
        <v/>
      </c>
      <c r="U3205" s="139" t="str">
        <f>IFERROR(__xludf.DUMMYFUNCTION("""COMPUTED_VALUE"""),"")</f>
        <v/>
      </c>
      <c r="V3205" s="136" t="str">
        <f>IFERROR(__xludf.DUMMYFUNCTION("""COMPUTED_VALUE"""),"")</f>
        <v/>
      </c>
      <c r="W3205" s="106" t="str">
        <f>IFERROR(__xludf.DUMMYFUNCTION("""COMPUTED_VALUE"""),"")</f>
        <v/>
      </c>
      <c r="X3205" s="143" t="str">
        <f t="shared" si="2"/>
        <v/>
      </c>
      <c r="Y3205" s="139" t="str">
        <f>IFERROR(__xludf.DUMMYFUNCTION("""COMPUTED_VALUE"""),"")</f>
        <v/>
      </c>
      <c r="Z3205" s="141" t="str">
        <f>IFERROR(__xludf.DUMMYFUNCTION("""COMPUTED_VALUE"""),"")</f>
        <v/>
      </c>
    </row>
    <row r="3206">
      <c r="D3206" s="136" t="str">
        <f t="shared" si="3"/>
        <v/>
      </c>
      <c r="E3206" s="152"/>
      <c r="F3206" s="106" t="s">
        <v>133</v>
      </c>
      <c r="G3206" s="152"/>
      <c r="H3206" s="106" t="s">
        <v>133</v>
      </c>
      <c r="J3206" s="139" t="s">
        <v>133</v>
      </c>
      <c r="K3206" s="136" t="s">
        <v>133</v>
      </c>
      <c r="L3206" s="153"/>
      <c r="M3206" s="136" t="str">
        <f t="shared" si="1"/>
        <v/>
      </c>
      <c r="O3206" s="141" t="s">
        <v>133</v>
      </c>
      <c r="P3206" s="136" t="str">
        <f>IFERROR(__xludf.DUMMYFUNCTION("""COMPUTED_VALUE"""),"")</f>
        <v/>
      </c>
      <c r="Q3206" s="136" t="str">
        <f>IFERROR(__xludf.DUMMYFUNCTION("""COMPUTED_VALUE"""),"")</f>
        <v/>
      </c>
      <c r="R3206" s="106" t="str">
        <f>IFERROR(__xludf.DUMMYFUNCTION("""COMPUTED_VALUE"""),"")</f>
        <v/>
      </c>
      <c r="S3206" s="106" t="str">
        <f>IFERROR(__xludf.DUMMYFUNCTION("""COMPUTED_VALUE"""),"")</f>
        <v/>
      </c>
      <c r="T3206" s="139" t="str">
        <f>IFERROR(__xludf.DUMMYFUNCTION("""COMPUTED_VALUE"""),"")</f>
        <v/>
      </c>
      <c r="U3206" s="139" t="str">
        <f>IFERROR(__xludf.DUMMYFUNCTION("""COMPUTED_VALUE"""),"")</f>
        <v/>
      </c>
      <c r="V3206" s="136" t="str">
        <f>IFERROR(__xludf.DUMMYFUNCTION("""COMPUTED_VALUE"""),"")</f>
        <v/>
      </c>
      <c r="W3206" s="106" t="str">
        <f>IFERROR(__xludf.DUMMYFUNCTION("""COMPUTED_VALUE"""),"")</f>
        <v/>
      </c>
      <c r="X3206" s="143" t="str">
        <f t="shared" si="2"/>
        <v/>
      </c>
      <c r="Y3206" s="139" t="str">
        <f>IFERROR(__xludf.DUMMYFUNCTION("""COMPUTED_VALUE"""),"")</f>
        <v/>
      </c>
      <c r="Z3206" s="141" t="str">
        <f>IFERROR(__xludf.DUMMYFUNCTION("""COMPUTED_VALUE"""),"")</f>
        <v/>
      </c>
    </row>
    <row r="3207">
      <c r="D3207" s="136" t="str">
        <f t="shared" si="3"/>
        <v/>
      </c>
      <c r="E3207" s="152"/>
      <c r="F3207" s="106" t="s">
        <v>133</v>
      </c>
      <c r="G3207" s="152"/>
      <c r="H3207" s="106" t="s">
        <v>133</v>
      </c>
      <c r="J3207" s="139" t="s">
        <v>133</v>
      </c>
      <c r="K3207" s="136" t="s">
        <v>133</v>
      </c>
      <c r="L3207" s="153"/>
      <c r="M3207" s="136" t="str">
        <f t="shared" si="1"/>
        <v/>
      </c>
      <c r="O3207" s="141" t="s">
        <v>133</v>
      </c>
      <c r="P3207" s="136" t="str">
        <f>IFERROR(__xludf.DUMMYFUNCTION("""COMPUTED_VALUE"""),"")</f>
        <v/>
      </c>
      <c r="Q3207" s="136" t="str">
        <f>IFERROR(__xludf.DUMMYFUNCTION("""COMPUTED_VALUE"""),"")</f>
        <v/>
      </c>
      <c r="R3207" s="106" t="str">
        <f>IFERROR(__xludf.DUMMYFUNCTION("""COMPUTED_VALUE"""),"")</f>
        <v/>
      </c>
      <c r="S3207" s="106" t="str">
        <f>IFERROR(__xludf.DUMMYFUNCTION("""COMPUTED_VALUE"""),"")</f>
        <v/>
      </c>
      <c r="T3207" s="139" t="str">
        <f>IFERROR(__xludf.DUMMYFUNCTION("""COMPUTED_VALUE"""),"")</f>
        <v/>
      </c>
      <c r="U3207" s="139" t="str">
        <f>IFERROR(__xludf.DUMMYFUNCTION("""COMPUTED_VALUE"""),"")</f>
        <v/>
      </c>
      <c r="V3207" s="136" t="str">
        <f>IFERROR(__xludf.DUMMYFUNCTION("""COMPUTED_VALUE"""),"")</f>
        <v/>
      </c>
      <c r="W3207" s="106" t="str">
        <f>IFERROR(__xludf.DUMMYFUNCTION("""COMPUTED_VALUE"""),"")</f>
        <v/>
      </c>
      <c r="X3207" s="143" t="str">
        <f t="shared" si="2"/>
        <v/>
      </c>
      <c r="Y3207" s="139" t="str">
        <f>IFERROR(__xludf.DUMMYFUNCTION("""COMPUTED_VALUE"""),"")</f>
        <v/>
      </c>
      <c r="Z3207" s="141" t="str">
        <f>IFERROR(__xludf.DUMMYFUNCTION("""COMPUTED_VALUE"""),"")</f>
        <v/>
      </c>
    </row>
    <row r="3208">
      <c r="D3208" s="136" t="str">
        <f t="shared" si="3"/>
        <v/>
      </c>
      <c r="E3208" s="152"/>
      <c r="F3208" s="106" t="s">
        <v>133</v>
      </c>
      <c r="G3208" s="152"/>
      <c r="H3208" s="106" t="s">
        <v>133</v>
      </c>
      <c r="J3208" s="139" t="s">
        <v>133</v>
      </c>
      <c r="K3208" s="136" t="s">
        <v>133</v>
      </c>
      <c r="L3208" s="153"/>
      <c r="M3208" s="136" t="str">
        <f t="shared" si="1"/>
        <v/>
      </c>
      <c r="O3208" s="141" t="s">
        <v>133</v>
      </c>
      <c r="P3208" s="136" t="str">
        <f>IFERROR(__xludf.DUMMYFUNCTION("""COMPUTED_VALUE"""),"")</f>
        <v/>
      </c>
      <c r="Q3208" s="136" t="str">
        <f>IFERROR(__xludf.DUMMYFUNCTION("""COMPUTED_VALUE"""),"")</f>
        <v/>
      </c>
      <c r="R3208" s="106" t="str">
        <f>IFERROR(__xludf.DUMMYFUNCTION("""COMPUTED_VALUE"""),"")</f>
        <v/>
      </c>
      <c r="S3208" s="106" t="str">
        <f>IFERROR(__xludf.DUMMYFUNCTION("""COMPUTED_VALUE"""),"")</f>
        <v/>
      </c>
      <c r="T3208" s="139" t="str">
        <f>IFERROR(__xludf.DUMMYFUNCTION("""COMPUTED_VALUE"""),"")</f>
        <v/>
      </c>
      <c r="U3208" s="139" t="str">
        <f>IFERROR(__xludf.DUMMYFUNCTION("""COMPUTED_VALUE"""),"")</f>
        <v/>
      </c>
      <c r="V3208" s="136" t="str">
        <f>IFERROR(__xludf.DUMMYFUNCTION("""COMPUTED_VALUE"""),"")</f>
        <v/>
      </c>
      <c r="W3208" s="106" t="str">
        <f>IFERROR(__xludf.DUMMYFUNCTION("""COMPUTED_VALUE"""),"")</f>
        <v/>
      </c>
      <c r="X3208" s="143" t="str">
        <f t="shared" si="2"/>
        <v/>
      </c>
      <c r="Y3208" s="139" t="str">
        <f>IFERROR(__xludf.DUMMYFUNCTION("""COMPUTED_VALUE"""),"")</f>
        <v/>
      </c>
      <c r="Z3208" s="141" t="str">
        <f>IFERROR(__xludf.DUMMYFUNCTION("""COMPUTED_VALUE"""),"")</f>
        <v/>
      </c>
    </row>
    <row r="3209">
      <c r="D3209" s="136" t="str">
        <f t="shared" si="3"/>
        <v/>
      </c>
      <c r="E3209" s="152"/>
      <c r="F3209" s="106" t="s">
        <v>133</v>
      </c>
      <c r="G3209" s="152"/>
      <c r="H3209" s="106" t="s">
        <v>133</v>
      </c>
      <c r="J3209" s="139" t="s">
        <v>133</v>
      </c>
      <c r="K3209" s="136" t="s">
        <v>133</v>
      </c>
      <c r="L3209" s="153"/>
      <c r="M3209" s="136" t="str">
        <f t="shared" si="1"/>
        <v/>
      </c>
      <c r="O3209" s="141" t="s">
        <v>133</v>
      </c>
      <c r="P3209" s="136" t="str">
        <f>IFERROR(__xludf.DUMMYFUNCTION("""COMPUTED_VALUE"""),"")</f>
        <v/>
      </c>
      <c r="Q3209" s="136" t="str">
        <f>IFERROR(__xludf.DUMMYFUNCTION("""COMPUTED_VALUE"""),"")</f>
        <v/>
      </c>
      <c r="R3209" s="106" t="str">
        <f>IFERROR(__xludf.DUMMYFUNCTION("""COMPUTED_VALUE"""),"")</f>
        <v/>
      </c>
      <c r="S3209" s="106" t="str">
        <f>IFERROR(__xludf.DUMMYFUNCTION("""COMPUTED_VALUE"""),"")</f>
        <v/>
      </c>
      <c r="T3209" s="139" t="str">
        <f>IFERROR(__xludf.DUMMYFUNCTION("""COMPUTED_VALUE"""),"")</f>
        <v/>
      </c>
      <c r="U3209" s="139" t="str">
        <f>IFERROR(__xludf.DUMMYFUNCTION("""COMPUTED_VALUE"""),"")</f>
        <v/>
      </c>
      <c r="V3209" s="136" t="str">
        <f>IFERROR(__xludf.DUMMYFUNCTION("""COMPUTED_VALUE"""),"")</f>
        <v/>
      </c>
      <c r="W3209" s="106" t="str">
        <f>IFERROR(__xludf.DUMMYFUNCTION("""COMPUTED_VALUE"""),"")</f>
        <v/>
      </c>
      <c r="X3209" s="143" t="str">
        <f t="shared" si="2"/>
        <v/>
      </c>
      <c r="Y3209" s="139" t="str">
        <f>IFERROR(__xludf.DUMMYFUNCTION("""COMPUTED_VALUE"""),"")</f>
        <v/>
      </c>
      <c r="Z3209" s="141" t="str">
        <f>IFERROR(__xludf.DUMMYFUNCTION("""COMPUTED_VALUE"""),"")</f>
        <v/>
      </c>
    </row>
    <row r="3210">
      <c r="D3210" s="136" t="str">
        <f t="shared" si="3"/>
        <v/>
      </c>
      <c r="E3210" s="152"/>
      <c r="F3210" s="106" t="s">
        <v>133</v>
      </c>
      <c r="G3210" s="152"/>
      <c r="H3210" s="106" t="s">
        <v>133</v>
      </c>
      <c r="J3210" s="139" t="s">
        <v>133</v>
      </c>
      <c r="K3210" s="136" t="s">
        <v>133</v>
      </c>
      <c r="L3210" s="153"/>
      <c r="M3210" s="136" t="str">
        <f t="shared" si="1"/>
        <v/>
      </c>
      <c r="O3210" s="141" t="s">
        <v>133</v>
      </c>
      <c r="P3210" s="136" t="str">
        <f>IFERROR(__xludf.DUMMYFUNCTION("""COMPUTED_VALUE"""),"")</f>
        <v/>
      </c>
      <c r="Q3210" s="136" t="str">
        <f>IFERROR(__xludf.DUMMYFUNCTION("""COMPUTED_VALUE"""),"")</f>
        <v/>
      </c>
      <c r="R3210" s="106" t="str">
        <f>IFERROR(__xludf.DUMMYFUNCTION("""COMPUTED_VALUE"""),"")</f>
        <v/>
      </c>
      <c r="S3210" s="106" t="str">
        <f>IFERROR(__xludf.DUMMYFUNCTION("""COMPUTED_VALUE"""),"")</f>
        <v/>
      </c>
      <c r="T3210" s="139" t="str">
        <f>IFERROR(__xludf.DUMMYFUNCTION("""COMPUTED_VALUE"""),"")</f>
        <v/>
      </c>
      <c r="U3210" s="139" t="str">
        <f>IFERROR(__xludf.DUMMYFUNCTION("""COMPUTED_VALUE"""),"")</f>
        <v/>
      </c>
      <c r="V3210" s="136" t="str">
        <f>IFERROR(__xludf.DUMMYFUNCTION("""COMPUTED_VALUE"""),"")</f>
        <v/>
      </c>
      <c r="W3210" s="106" t="str">
        <f>IFERROR(__xludf.DUMMYFUNCTION("""COMPUTED_VALUE"""),"")</f>
        <v/>
      </c>
      <c r="X3210" s="143" t="str">
        <f t="shared" si="2"/>
        <v/>
      </c>
      <c r="Y3210" s="139" t="str">
        <f>IFERROR(__xludf.DUMMYFUNCTION("""COMPUTED_VALUE"""),"")</f>
        <v/>
      </c>
      <c r="Z3210" s="141" t="str">
        <f>IFERROR(__xludf.DUMMYFUNCTION("""COMPUTED_VALUE"""),"")</f>
        <v/>
      </c>
    </row>
    <row r="3211">
      <c r="D3211" s="136" t="str">
        <f t="shared" si="3"/>
        <v/>
      </c>
      <c r="E3211" s="152"/>
      <c r="F3211" s="106" t="s">
        <v>133</v>
      </c>
      <c r="G3211" s="152"/>
      <c r="H3211" s="106" t="s">
        <v>133</v>
      </c>
      <c r="J3211" s="139" t="s">
        <v>133</v>
      </c>
      <c r="K3211" s="136" t="s">
        <v>133</v>
      </c>
      <c r="L3211" s="153"/>
      <c r="M3211" s="136" t="str">
        <f t="shared" si="1"/>
        <v/>
      </c>
      <c r="O3211" s="141" t="s">
        <v>133</v>
      </c>
      <c r="P3211" s="136" t="str">
        <f>IFERROR(__xludf.DUMMYFUNCTION("""COMPUTED_VALUE"""),"")</f>
        <v/>
      </c>
      <c r="Q3211" s="136" t="str">
        <f>IFERROR(__xludf.DUMMYFUNCTION("""COMPUTED_VALUE"""),"")</f>
        <v/>
      </c>
      <c r="R3211" s="106" t="str">
        <f>IFERROR(__xludf.DUMMYFUNCTION("""COMPUTED_VALUE"""),"")</f>
        <v/>
      </c>
      <c r="S3211" s="106" t="str">
        <f>IFERROR(__xludf.DUMMYFUNCTION("""COMPUTED_VALUE"""),"")</f>
        <v/>
      </c>
      <c r="T3211" s="139" t="str">
        <f>IFERROR(__xludf.DUMMYFUNCTION("""COMPUTED_VALUE"""),"")</f>
        <v/>
      </c>
      <c r="U3211" s="139" t="str">
        <f>IFERROR(__xludf.DUMMYFUNCTION("""COMPUTED_VALUE"""),"")</f>
        <v/>
      </c>
      <c r="V3211" s="136" t="str">
        <f>IFERROR(__xludf.DUMMYFUNCTION("""COMPUTED_VALUE"""),"")</f>
        <v/>
      </c>
      <c r="W3211" s="106" t="str">
        <f>IFERROR(__xludf.DUMMYFUNCTION("""COMPUTED_VALUE"""),"")</f>
        <v/>
      </c>
      <c r="X3211" s="143" t="str">
        <f t="shared" si="2"/>
        <v/>
      </c>
      <c r="Y3211" s="139" t="str">
        <f>IFERROR(__xludf.DUMMYFUNCTION("""COMPUTED_VALUE"""),"")</f>
        <v/>
      </c>
      <c r="Z3211" s="141" t="str">
        <f>IFERROR(__xludf.DUMMYFUNCTION("""COMPUTED_VALUE"""),"")</f>
        <v/>
      </c>
    </row>
    <row r="3212">
      <c r="D3212" s="136" t="str">
        <f t="shared" si="3"/>
        <v/>
      </c>
      <c r="E3212" s="152"/>
      <c r="F3212" s="106" t="s">
        <v>133</v>
      </c>
      <c r="G3212" s="152"/>
      <c r="H3212" s="106" t="s">
        <v>133</v>
      </c>
      <c r="J3212" s="139" t="s">
        <v>133</v>
      </c>
      <c r="K3212" s="136" t="s">
        <v>133</v>
      </c>
      <c r="L3212" s="153"/>
      <c r="M3212" s="136" t="str">
        <f t="shared" si="1"/>
        <v/>
      </c>
      <c r="O3212" s="141" t="s">
        <v>133</v>
      </c>
      <c r="P3212" s="136" t="str">
        <f>IFERROR(__xludf.DUMMYFUNCTION("""COMPUTED_VALUE"""),"")</f>
        <v/>
      </c>
      <c r="Q3212" s="136" t="str">
        <f>IFERROR(__xludf.DUMMYFUNCTION("""COMPUTED_VALUE"""),"")</f>
        <v/>
      </c>
      <c r="R3212" s="106" t="str">
        <f>IFERROR(__xludf.DUMMYFUNCTION("""COMPUTED_VALUE"""),"")</f>
        <v/>
      </c>
      <c r="S3212" s="106" t="str">
        <f>IFERROR(__xludf.DUMMYFUNCTION("""COMPUTED_VALUE"""),"")</f>
        <v/>
      </c>
      <c r="T3212" s="139" t="str">
        <f>IFERROR(__xludf.DUMMYFUNCTION("""COMPUTED_VALUE"""),"")</f>
        <v/>
      </c>
      <c r="U3212" s="139" t="str">
        <f>IFERROR(__xludf.DUMMYFUNCTION("""COMPUTED_VALUE"""),"")</f>
        <v/>
      </c>
      <c r="V3212" s="136" t="str">
        <f>IFERROR(__xludf.DUMMYFUNCTION("""COMPUTED_VALUE"""),"")</f>
        <v/>
      </c>
      <c r="W3212" s="106" t="str">
        <f>IFERROR(__xludf.DUMMYFUNCTION("""COMPUTED_VALUE"""),"")</f>
        <v/>
      </c>
      <c r="X3212" s="143" t="str">
        <f t="shared" si="2"/>
        <v/>
      </c>
      <c r="Y3212" s="139" t="str">
        <f>IFERROR(__xludf.DUMMYFUNCTION("""COMPUTED_VALUE"""),"")</f>
        <v/>
      </c>
      <c r="Z3212" s="141" t="str">
        <f>IFERROR(__xludf.DUMMYFUNCTION("""COMPUTED_VALUE"""),"")</f>
        <v/>
      </c>
    </row>
    <row r="3213">
      <c r="D3213" s="136" t="str">
        <f t="shared" si="3"/>
        <v/>
      </c>
      <c r="E3213" s="152"/>
      <c r="F3213" s="106" t="s">
        <v>133</v>
      </c>
      <c r="G3213" s="152"/>
      <c r="H3213" s="106" t="s">
        <v>133</v>
      </c>
      <c r="J3213" s="139" t="s">
        <v>133</v>
      </c>
      <c r="K3213" s="136" t="s">
        <v>133</v>
      </c>
      <c r="L3213" s="153"/>
      <c r="M3213" s="136" t="str">
        <f t="shared" si="1"/>
        <v/>
      </c>
      <c r="O3213" s="141" t="s">
        <v>133</v>
      </c>
      <c r="P3213" s="136" t="str">
        <f>IFERROR(__xludf.DUMMYFUNCTION("""COMPUTED_VALUE"""),"")</f>
        <v/>
      </c>
      <c r="Q3213" s="136" t="str">
        <f>IFERROR(__xludf.DUMMYFUNCTION("""COMPUTED_VALUE"""),"")</f>
        <v/>
      </c>
      <c r="R3213" s="106" t="str">
        <f>IFERROR(__xludf.DUMMYFUNCTION("""COMPUTED_VALUE"""),"")</f>
        <v/>
      </c>
      <c r="S3213" s="106" t="str">
        <f>IFERROR(__xludf.DUMMYFUNCTION("""COMPUTED_VALUE"""),"")</f>
        <v/>
      </c>
      <c r="T3213" s="139" t="str">
        <f>IFERROR(__xludf.DUMMYFUNCTION("""COMPUTED_VALUE"""),"")</f>
        <v/>
      </c>
      <c r="U3213" s="139" t="str">
        <f>IFERROR(__xludf.DUMMYFUNCTION("""COMPUTED_VALUE"""),"")</f>
        <v/>
      </c>
      <c r="V3213" s="136" t="str">
        <f>IFERROR(__xludf.DUMMYFUNCTION("""COMPUTED_VALUE"""),"")</f>
        <v/>
      </c>
      <c r="W3213" s="106" t="str">
        <f>IFERROR(__xludf.DUMMYFUNCTION("""COMPUTED_VALUE"""),"")</f>
        <v/>
      </c>
      <c r="X3213" s="143" t="str">
        <f t="shared" si="2"/>
        <v/>
      </c>
      <c r="Y3213" s="139" t="str">
        <f>IFERROR(__xludf.DUMMYFUNCTION("""COMPUTED_VALUE"""),"")</f>
        <v/>
      </c>
      <c r="Z3213" s="141" t="str">
        <f>IFERROR(__xludf.DUMMYFUNCTION("""COMPUTED_VALUE"""),"")</f>
        <v/>
      </c>
    </row>
    <row r="3214">
      <c r="D3214" s="136" t="str">
        <f t="shared" si="3"/>
        <v/>
      </c>
      <c r="E3214" s="152"/>
      <c r="F3214" s="106" t="s">
        <v>133</v>
      </c>
      <c r="G3214" s="152"/>
      <c r="H3214" s="106" t="s">
        <v>133</v>
      </c>
      <c r="J3214" s="139" t="s">
        <v>133</v>
      </c>
      <c r="K3214" s="136" t="s">
        <v>133</v>
      </c>
      <c r="L3214" s="153"/>
      <c r="M3214" s="136" t="str">
        <f t="shared" si="1"/>
        <v/>
      </c>
      <c r="O3214" s="141" t="s">
        <v>133</v>
      </c>
      <c r="P3214" s="136" t="str">
        <f>IFERROR(__xludf.DUMMYFUNCTION("""COMPUTED_VALUE"""),"")</f>
        <v/>
      </c>
      <c r="Q3214" s="136" t="str">
        <f>IFERROR(__xludf.DUMMYFUNCTION("""COMPUTED_VALUE"""),"")</f>
        <v/>
      </c>
      <c r="R3214" s="106" t="str">
        <f>IFERROR(__xludf.DUMMYFUNCTION("""COMPUTED_VALUE"""),"")</f>
        <v/>
      </c>
      <c r="S3214" s="106" t="str">
        <f>IFERROR(__xludf.DUMMYFUNCTION("""COMPUTED_VALUE"""),"")</f>
        <v/>
      </c>
      <c r="T3214" s="139" t="str">
        <f>IFERROR(__xludf.DUMMYFUNCTION("""COMPUTED_VALUE"""),"")</f>
        <v/>
      </c>
      <c r="U3214" s="139" t="str">
        <f>IFERROR(__xludf.DUMMYFUNCTION("""COMPUTED_VALUE"""),"")</f>
        <v/>
      </c>
      <c r="V3214" s="136" t="str">
        <f>IFERROR(__xludf.DUMMYFUNCTION("""COMPUTED_VALUE"""),"")</f>
        <v/>
      </c>
      <c r="W3214" s="106" t="str">
        <f>IFERROR(__xludf.DUMMYFUNCTION("""COMPUTED_VALUE"""),"")</f>
        <v/>
      </c>
      <c r="X3214" s="143" t="str">
        <f t="shared" si="2"/>
        <v/>
      </c>
      <c r="Y3214" s="139" t="str">
        <f>IFERROR(__xludf.DUMMYFUNCTION("""COMPUTED_VALUE"""),"")</f>
        <v/>
      </c>
      <c r="Z3214" s="141" t="str">
        <f>IFERROR(__xludf.DUMMYFUNCTION("""COMPUTED_VALUE"""),"")</f>
        <v/>
      </c>
    </row>
    <row r="3215">
      <c r="D3215" s="136" t="str">
        <f t="shared" si="3"/>
        <v/>
      </c>
      <c r="E3215" s="152"/>
      <c r="F3215" s="106" t="s">
        <v>133</v>
      </c>
      <c r="G3215" s="152"/>
      <c r="H3215" s="106" t="s">
        <v>133</v>
      </c>
      <c r="J3215" s="139" t="s">
        <v>133</v>
      </c>
      <c r="K3215" s="136" t="s">
        <v>133</v>
      </c>
      <c r="L3215" s="153"/>
      <c r="M3215" s="136" t="str">
        <f t="shared" si="1"/>
        <v/>
      </c>
      <c r="O3215" s="141" t="s">
        <v>133</v>
      </c>
      <c r="P3215" s="136" t="str">
        <f>IFERROR(__xludf.DUMMYFUNCTION("""COMPUTED_VALUE"""),"")</f>
        <v/>
      </c>
      <c r="Q3215" s="136" t="str">
        <f>IFERROR(__xludf.DUMMYFUNCTION("""COMPUTED_VALUE"""),"")</f>
        <v/>
      </c>
      <c r="R3215" s="106" t="str">
        <f>IFERROR(__xludf.DUMMYFUNCTION("""COMPUTED_VALUE"""),"")</f>
        <v/>
      </c>
      <c r="S3215" s="106" t="str">
        <f>IFERROR(__xludf.DUMMYFUNCTION("""COMPUTED_VALUE"""),"")</f>
        <v/>
      </c>
      <c r="T3215" s="139" t="str">
        <f>IFERROR(__xludf.DUMMYFUNCTION("""COMPUTED_VALUE"""),"")</f>
        <v/>
      </c>
      <c r="U3215" s="139" t="str">
        <f>IFERROR(__xludf.DUMMYFUNCTION("""COMPUTED_VALUE"""),"")</f>
        <v/>
      </c>
      <c r="V3215" s="136" t="str">
        <f>IFERROR(__xludf.DUMMYFUNCTION("""COMPUTED_VALUE"""),"")</f>
        <v/>
      </c>
      <c r="W3215" s="106" t="str">
        <f>IFERROR(__xludf.DUMMYFUNCTION("""COMPUTED_VALUE"""),"")</f>
        <v/>
      </c>
      <c r="X3215" s="143" t="str">
        <f t="shared" si="2"/>
        <v/>
      </c>
      <c r="Y3215" s="139" t="str">
        <f>IFERROR(__xludf.DUMMYFUNCTION("""COMPUTED_VALUE"""),"")</f>
        <v/>
      </c>
      <c r="Z3215" s="141" t="str">
        <f>IFERROR(__xludf.DUMMYFUNCTION("""COMPUTED_VALUE"""),"")</f>
        <v/>
      </c>
    </row>
    <row r="3216">
      <c r="D3216" s="136" t="str">
        <f t="shared" si="3"/>
        <v/>
      </c>
      <c r="E3216" s="152"/>
      <c r="F3216" s="106" t="s">
        <v>133</v>
      </c>
      <c r="G3216" s="152"/>
      <c r="H3216" s="106" t="s">
        <v>133</v>
      </c>
      <c r="J3216" s="139" t="s">
        <v>133</v>
      </c>
      <c r="K3216" s="136" t="s">
        <v>133</v>
      </c>
      <c r="L3216" s="153"/>
      <c r="M3216" s="136" t="str">
        <f t="shared" si="1"/>
        <v/>
      </c>
      <c r="O3216" s="141" t="s">
        <v>133</v>
      </c>
      <c r="P3216" s="136" t="str">
        <f>IFERROR(__xludf.DUMMYFUNCTION("""COMPUTED_VALUE"""),"")</f>
        <v/>
      </c>
      <c r="Q3216" s="136" t="str">
        <f>IFERROR(__xludf.DUMMYFUNCTION("""COMPUTED_VALUE"""),"")</f>
        <v/>
      </c>
      <c r="R3216" s="106" t="str">
        <f>IFERROR(__xludf.DUMMYFUNCTION("""COMPUTED_VALUE"""),"")</f>
        <v/>
      </c>
      <c r="S3216" s="106" t="str">
        <f>IFERROR(__xludf.DUMMYFUNCTION("""COMPUTED_VALUE"""),"")</f>
        <v/>
      </c>
      <c r="T3216" s="139" t="str">
        <f>IFERROR(__xludf.DUMMYFUNCTION("""COMPUTED_VALUE"""),"")</f>
        <v/>
      </c>
      <c r="U3216" s="139" t="str">
        <f>IFERROR(__xludf.DUMMYFUNCTION("""COMPUTED_VALUE"""),"")</f>
        <v/>
      </c>
      <c r="V3216" s="136" t="str">
        <f>IFERROR(__xludf.DUMMYFUNCTION("""COMPUTED_VALUE"""),"")</f>
        <v/>
      </c>
      <c r="W3216" s="106" t="str">
        <f>IFERROR(__xludf.DUMMYFUNCTION("""COMPUTED_VALUE"""),"")</f>
        <v/>
      </c>
      <c r="X3216" s="143" t="str">
        <f t="shared" si="2"/>
        <v/>
      </c>
      <c r="Y3216" s="139" t="str">
        <f>IFERROR(__xludf.DUMMYFUNCTION("""COMPUTED_VALUE"""),"")</f>
        <v/>
      </c>
      <c r="Z3216" s="141" t="str">
        <f>IFERROR(__xludf.DUMMYFUNCTION("""COMPUTED_VALUE"""),"")</f>
        <v/>
      </c>
    </row>
    <row r="3217">
      <c r="D3217" s="136" t="str">
        <f t="shared" si="3"/>
        <v/>
      </c>
      <c r="E3217" s="152"/>
      <c r="F3217" s="106" t="s">
        <v>133</v>
      </c>
      <c r="G3217" s="152"/>
      <c r="H3217" s="106" t="s">
        <v>133</v>
      </c>
      <c r="J3217" s="139" t="s">
        <v>133</v>
      </c>
      <c r="K3217" s="136" t="s">
        <v>133</v>
      </c>
      <c r="L3217" s="153"/>
      <c r="M3217" s="136" t="str">
        <f t="shared" si="1"/>
        <v/>
      </c>
      <c r="O3217" s="141" t="s">
        <v>133</v>
      </c>
      <c r="P3217" s="136" t="str">
        <f>IFERROR(__xludf.DUMMYFUNCTION("""COMPUTED_VALUE"""),"")</f>
        <v/>
      </c>
      <c r="Q3217" s="136" t="str">
        <f>IFERROR(__xludf.DUMMYFUNCTION("""COMPUTED_VALUE"""),"")</f>
        <v/>
      </c>
      <c r="R3217" s="106" t="str">
        <f>IFERROR(__xludf.DUMMYFUNCTION("""COMPUTED_VALUE"""),"")</f>
        <v/>
      </c>
      <c r="S3217" s="106" t="str">
        <f>IFERROR(__xludf.DUMMYFUNCTION("""COMPUTED_VALUE"""),"")</f>
        <v/>
      </c>
      <c r="T3217" s="139" t="str">
        <f>IFERROR(__xludf.DUMMYFUNCTION("""COMPUTED_VALUE"""),"")</f>
        <v/>
      </c>
      <c r="U3217" s="139" t="str">
        <f>IFERROR(__xludf.DUMMYFUNCTION("""COMPUTED_VALUE"""),"")</f>
        <v/>
      </c>
      <c r="V3217" s="136" t="str">
        <f>IFERROR(__xludf.DUMMYFUNCTION("""COMPUTED_VALUE"""),"")</f>
        <v/>
      </c>
      <c r="W3217" s="106" t="str">
        <f>IFERROR(__xludf.DUMMYFUNCTION("""COMPUTED_VALUE"""),"")</f>
        <v/>
      </c>
      <c r="X3217" s="143" t="str">
        <f t="shared" si="2"/>
        <v/>
      </c>
      <c r="Y3217" s="139" t="str">
        <f>IFERROR(__xludf.DUMMYFUNCTION("""COMPUTED_VALUE"""),"")</f>
        <v/>
      </c>
      <c r="Z3217" s="141" t="str">
        <f>IFERROR(__xludf.DUMMYFUNCTION("""COMPUTED_VALUE"""),"")</f>
        <v/>
      </c>
    </row>
    <row r="3218">
      <c r="D3218" s="136" t="str">
        <f t="shared" si="3"/>
        <v/>
      </c>
      <c r="E3218" s="152"/>
      <c r="F3218" s="106" t="s">
        <v>133</v>
      </c>
      <c r="G3218" s="152"/>
      <c r="H3218" s="106" t="s">
        <v>133</v>
      </c>
      <c r="J3218" s="139" t="s">
        <v>133</v>
      </c>
      <c r="K3218" s="136" t="s">
        <v>133</v>
      </c>
      <c r="L3218" s="153"/>
      <c r="M3218" s="136" t="str">
        <f t="shared" si="1"/>
        <v/>
      </c>
      <c r="O3218" s="141" t="s">
        <v>133</v>
      </c>
      <c r="P3218" s="136" t="str">
        <f>IFERROR(__xludf.DUMMYFUNCTION("""COMPUTED_VALUE"""),"")</f>
        <v/>
      </c>
      <c r="Q3218" s="136" t="str">
        <f>IFERROR(__xludf.DUMMYFUNCTION("""COMPUTED_VALUE"""),"")</f>
        <v/>
      </c>
      <c r="R3218" s="106" t="str">
        <f>IFERROR(__xludf.DUMMYFUNCTION("""COMPUTED_VALUE"""),"")</f>
        <v/>
      </c>
      <c r="S3218" s="106" t="str">
        <f>IFERROR(__xludf.DUMMYFUNCTION("""COMPUTED_VALUE"""),"")</f>
        <v/>
      </c>
      <c r="T3218" s="139" t="str">
        <f>IFERROR(__xludf.DUMMYFUNCTION("""COMPUTED_VALUE"""),"")</f>
        <v/>
      </c>
      <c r="U3218" s="139" t="str">
        <f>IFERROR(__xludf.DUMMYFUNCTION("""COMPUTED_VALUE"""),"")</f>
        <v/>
      </c>
      <c r="V3218" s="136" t="str">
        <f>IFERROR(__xludf.DUMMYFUNCTION("""COMPUTED_VALUE"""),"")</f>
        <v/>
      </c>
      <c r="W3218" s="106" t="str">
        <f>IFERROR(__xludf.DUMMYFUNCTION("""COMPUTED_VALUE"""),"")</f>
        <v/>
      </c>
      <c r="X3218" s="143" t="str">
        <f t="shared" si="2"/>
        <v/>
      </c>
      <c r="Y3218" s="139" t="str">
        <f>IFERROR(__xludf.DUMMYFUNCTION("""COMPUTED_VALUE"""),"")</f>
        <v/>
      </c>
      <c r="Z3218" s="141" t="str">
        <f>IFERROR(__xludf.DUMMYFUNCTION("""COMPUTED_VALUE"""),"")</f>
        <v/>
      </c>
    </row>
    <row r="3219">
      <c r="D3219" s="136" t="str">
        <f t="shared" si="3"/>
        <v/>
      </c>
      <c r="E3219" s="152"/>
      <c r="F3219" s="106" t="s">
        <v>133</v>
      </c>
      <c r="G3219" s="152"/>
      <c r="H3219" s="106" t="s">
        <v>133</v>
      </c>
      <c r="J3219" s="139" t="s">
        <v>133</v>
      </c>
      <c r="K3219" s="136" t="s">
        <v>133</v>
      </c>
      <c r="L3219" s="153"/>
      <c r="M3219" s="136" t="str">
        <f t="shared" si="1"/>
        <v/>
      </c>
      <c r="O3219" s="141" t="s">
        <v>133</v>
      </c>
      <c r="P3219" s="136" t="str">
        <f>IFERROR(__xludf.DUMMYFUNCTION("""COMPUTED_VALUE"""),"")</f>
        <v/>
      </c>
      <c r="Q3219" s="136" t="str">
        <f>IFERROR(__xludf.DUMMYFUNCTION("""COMPUTED_VALUE"""),"")</f>
        <v/>
      </c>
      <c r="R3219" s="106" t="str">
        <f>IFERROR(__xludf.DUMMYFUNCTION("""COMPUTED_VALUE"""),"")</f>
        <v/>
      </c>
      <c r="S3219" s="106" t="str">
        <f>IFERROR(__xludf.DUMMYFUNCTION("""COMPUTED_VALUE"""),"")</f>
        <v/>
      </c>
      <c r="T3219" s="139" t="str">
        <f>IFERROR(__xludf.DUMMYFUNCTION("""COMPUTED_VALUE"""),"")</f>
        <v/>
      </c>
      <c r="U3219" s="139" t="str">
        <f>IFERROR(__xludf.DUMMYFUNCTION("""COMPUTED_VALUE"""),"")</f>
        <v/>
      </c>
      <c r="V3219" s="136" t="str">
        <f>IFERROR(__xludf.DUMMYFUNCTION("""COMPUTED_VALUE"""),"")</f>
        <v/>
      </c>
      <c r="W3219" s="106" t="str">
        <f>IFERROR(__xludf.DUMMYFUNCTION("""COMPUTED_VALUE"""),"")</f>
        <v/>
      </c>
      <c r="X3219" s="143" t="str">
        <f t="shared" si="2"/>
        <v/>
      </c>
      <c r="Y3219" s="139" t="str">
        <f>IFERROR(__xludf.DUMMYFUNCTION("""COMPUTED_VALUE"""),"")</f>
        <v/>
      </c>
      <c r="Z3219" s="141" t="str">
        <f>IFERROR(__xludf.DUMMYFUNCTION("""COMPUTED_VALUE"""),"")</f>
        <v/>
      </c>
    </row>
    <row r="3220">
      <c r="D3220" s="136" t="str">
        <f t="shared" si="3"/>
        <v/>
      </c>
      <c r="E3220" s="152"/>
      <c r="F3220" s="106" t="s">
        <v>133</v>
      </c>
      <c r="G3220" s="152"/>
      <c r="H3220" s="106" t="s">
        <v>133</v>
      </c>
      <c r="J3220" s="139" t="s">
        <v>133</v>
      </c>
      <c r="K3220" s="136" t="s">
        <v>133</v>
      </c>
      <c r="L3220" s="153"/>
      <c r="M3220" s="136" t="str">
        <f t="shared" si="1"/>
        <v/>
      </c>
      <c r="O3220" s="141" t="s">
        <v>133</v>
      </c>
      <c r="P3220" s="136" t="str">
        <f>IFERROR(__xludf.DUMMYFUNCTION("""COMPUTED_VALUE"""),"")</f>
        <v/>
      </c>
      <c r="Q3220" s="136" t="str">
        <f>IFERROR(__xludf.DUMMYFUNCTION("""COMPUTED_VALUE"""),"")</f>
        <v/>
      </c>
      <c r="R3220" s="106" t="str">
        <f>IFERROR(__xludf.DUMMYFUNCTION("""COMPUTED_VALUE"""),"")</f>
        <v/>
      </c>
      <c r="S3220" s="106" t="str">
        <f>IFERROR(__xludf.DUMMYFUNCTION("""COMPUTED_VALUE"""),"")</f>
        <v/>
      </c>
      <c r="T3220" s="139" t="str">
        <f>IFERROR(__xludf.DUMMYFUNCTION("""COMPUTED_VALUE"""),"")</f>
        <v/>
      </c>
      <c r="U3220" s="139" t="str">
        <f>IFERROR(__xludf.DUMMYFUNCTION("""COMPUTED_VALUE"""),"")</f>
        <v/>
      </c>
      <c r="V3220" s="136" t="str">
        <f>IFERROR(__xludf.DUMMYFUNCTION("""COMPUTED_VALUE"""),"")</f>
        <v/>
      </c>
      <c r="W3220" s="106" t="str">
        <f>IFERROR(__xludf.DUMMYFUNCTION("""COMPUTED_VALUE"""),"")</f>
        <v/>
      </c>
      <c r="X3220" s="143" t="str">
        <f t="shared" si="2"/>
        <v/>
      </c>
      <c r="Y3220" s="139" t="str">
        <f>IFERROR(__xludf.DUMMYFUNCTION("""COMPUTED_VALUE"""),"")</f>
        <v/>
      </c>
      <c r="Z3220" s="141" t="str">
        <f>IFERROR(__xludf.DUMMYFUNCTION("""COMPUTED_VALUE"""),"")</f>
        <v/>
      </c>
    </row>
    <row r="3221">
      <c r="D3221" s="136" t="str">
        <f t="shared" si="3"/>
        <v/>
      </c>
      <c r="E3221" s="152"/>
      <c r="F3221" s="106" t="s">
        <v>133</v>
      </c>
      <c r="G3221" s="152"/>
      <c r="H3221" s="106" t="s">
        <v>133</v>
      </c>
      <c r="J3221" s="139" t="s">
        <v>133</v>
      </c>
      <c r="K3221" s="136" t="s">
        <v>133</v>
      </c>
      <c r="L3221" s="153"/>
      <c r="M3221" s="136" t="str">
        <f t="shared" si="1"/>
        <v/>
      </c>
      <c r="O3221" s="141" t="s">
        <v>133</v>
      </c>
      <c r="P3221" s="136" t="str">
        <f>IFERROR(__xludf.DUMMYFUNCTION("""COMPUTED_VALUE"""),"")</f>
        <v/>
      </c>
      <c r="Q3221" s="136" t="str">
        <f>IFERROR(__xludf.DUMMYFUNCTION("""COMPUTED_VALUE"""),"")</f>
        <v/>
      </c>
      <c r="R3221" s="106" t="str">
        <f>IFERROR(__xludf.DUMMYFUNCTION("""COMPUTED_VALUE"""),"")</f>
        <v/>
      </c>
      <c r="S3221" s="106" t="str">
        <f>IFERROR(__xludf.DUMMYFUNCTION("""COMPUTED_VALUE"""),"")</f>
        <v/>
      </c>
      <c r="T3221" s="139" t="str">
        <f>IFERROR(__xludf.DUMMYFUNCTION("""COMPUTED_VALUE"""),"")</f>
        <v/>
      </c>
      <c r="U3221" s="139" t="str">
        <f>IFERROR(__xludf.DUMMYFUNCTION("""COMPUTED_VALUE"""),"")</f>
        <v/>
      </c>
      <c r="V3221" s="136" t="str">
        <f>IFERROR(__xludf.DUMMYFUNCTION("""COMPUTED_VALUE"""),"")</f>
        <v/>
      </c>
      <c r="W3221" s="106" t="str">
        <f>IFERROR(__xludf.DUMMYFUNCTION("""COMPUTED_VALUE"""),"")</f>
        <v/>
      </c>
      <c r="X3221" s="143" t="str">
        <f t="shared" si="2"/>
        <v/>
      </c>
      <c r="Y3221" s="139" t="str">
        <f>IFERROR(__xludf.DUMMYFUNCTION("""COMPUTED_VALUE"""),"")</f>
        <v/>
      </c>
      <c r="Z3221" s="141" t="str">
        <f>IFERROR(__xludf.DUMMYFUNCTION("""COMPUTED_VALUE"""),"")</f>
        <v/>
      </c>
    </row>
    <row r="3222">
      <c r="D3222" s="136" t="str">
        <f t="shared" si="3"/>
        <v/>
      </c>
      <c r="E3222" s="152"/>
      <c r="F3222" s="106" t="s">
        <v>133</v>
      </c>
      <c r="G3222" s="152"/>
      <c r="H3222" s="106" t="s">
        <v>133</v>
      </c>
      <c r="J3222" s="139" t="s">
        <v>133</v>
      </c>
      <c r="K3222" s="136" t="s">
        <v>133</v>
      </c>
      <c r="L3222" s="153"/>
      <c r="M3222" s="136" t="str">
        <f t="shared" si="1"/>
        <v/>
      </c>
      <c r="O3222" s="141" t="s">
        <v>133</v>
      </c>
      <c r="P3222" s="136" t="str">
        <f>IFERROR(__xludf.DUMMYFUNCTION("""COMPUTED_VALUE"""),"")</f>
        <v/>
      </c>
      <c r="Q3222" s="136" t="str">
        <f>IFERROR(__xludf.DUMMYFUNCTION("""COMPUTED_VALUE"""),"")</f>
        <v/>
      </c>
      <c r="R3222" s="106" t="str">
        <f>IFERROR(__xludf.DUMMYFUNCTION("""COMPUTED_VALUE"""),"")</f>
        <v/>
      </c>
      <c r="S3222" s="106" t="str">
        <f>IFERROR(__xludf.DUMMYFUNCTION("""COMPUTED_VALUE"""),"")</f>
        <v/>
      </c>
      <c r="T3222" s="139" t="str">
        <f>IFERROR(__xludf.DUMMYFUNCTION("""COMPUTED_VALUE"""),"")</f>
        <v/>
      </c>
      <c r="U3222" s="139" t="str">
        <f>IFERROR(__xludf.DUMMYFUNCTION("""COMPUTED_VALUE"""),"")</f>
        <v/>
      </c>
      <c r="V3222" s="136" t="str">
        <f>IFERROR(__xludf.DUMMYFUNCTION("""COMPUTED_VALUE"""),"")</f>
        <v/>
      </c>
      <c r="W3222" s="106" t="str">
        <f>IFERROR(__xludf.DUMMYFUNCTION("""COMPUTED_VALUE"""),"")</f>
        <v/>
      </c>
      <c r="X3222" s="143" t="str">
        <f t="shared" si="2"/>
        <v/>
      </c>
      <c r="Y3222" s="139" t="str">
        <f>IFERROR(__xludf.DUMMYFUNCTION("""COMPUTED_VALUE"""),"")</f>
        <v/>
      </c>
      <c r="Z3222" s="141" t="str">
        <f>IFERROR(__xludf.DUMMYFUNCTION("""COMPUTED_VALUE"""),"")</f>
        <v/>
      </c>
    </row>
    <row r="3223">
      <c r="D3223" s="136" t="str">
        <f t="shared" si="3"/>
        <v/>
      </c>
      <c r="E3223" s="152"/>
      <c r="F3223" s="106" t="s">
        <v>133</v>
      </c>
      <c r="G3223" s="152"/>
      <c r="H3223" s="106" t="s">
        <v>133</v>
      </c>
      <c r="J3223" s="139" t="s">
        <v>133</v>
      </c>
      <c r="K3223" s="136" t="s">
        <v>133</v>
      </c>
      <c r="L3223" s="153"/>
      <c r="M3223" s="136" t="str">
        <f t="shared" si="1"/>
        <v/>
      </c>
      <c r="O3223" s="141" t="s">
        <v>133</v>
      </c>
      <c r="P3223" s="136" t="str">
        <f>IFERROR(__xludf.DUMMYFUNCTION("""COMPUTED_VALUE"""),"")</f>
        <v/>
      </c>
      <c r="Q3223" s="136" t="str">
        <f>IFERROR(__xludf.DUMMYFUNCTION("""COMPUTED_VALUE"""),"")</f>
        <v/>
      </c>
      <c r="R3223" s="106" t="str">
        <f>IFERROR(__xludf.DUMMYFUNCTION("""COMPUTED_VALUE"""),"")</f>
        <v/>
      </c>
      <c r="S3223" s="106" t="str">
        <f>IFERROR(__xludf.DUMMYFUNCTION("""COMPUTED_VALUE"""),"")</f>
        <v/>
      </c>
      <c r="T3223" s="139" t="str">
        <f>IFERROR(__xludf.DUMMYFUNCTION("""COMPUTED_VALUE"""),"")</f>
        <v/>
      </c>
      <c r="U3223" s="139" t="str">
        <f>IFERROR(__xludf.DUMMYFUNCTION("""COMPUTED_VALUE"""),"")</f>
        <v/>
      </c>
      <c r="V3223" s="136" t="str">
        <f>IFERROR(__xludf.DUMMYFUNCTION("""COMPUTED_VALUE"""),"")</f>
        <v/>
      </c>
      <c r="W3223" s="106" t="str">
        <f>IFERROR(__xludf.DUMMYFUNCTION("""COMPUTED_VALUE"""),"")</f>
        <v/>
      </c>
      <c r="X3223" s="143" t="str">
        <f t="shared" si="2"/>
        <v/>
      </c>
      <c r="Y3223" s="139" t="str">
        <f>IFERROR(__xludf.DUMMYFUNCTION("""COMPUTED_VALUE"""),"")</f>
        <v/>
      </c>
      <c r="Z3223" s="141" t="str">
        <f>IFERROR(__xludf.DUMMYFUNCTION("""COMPUTED_VALUE"""),"")</f>
        <v/>
      </c>
    </row>
    <row r="3224">
      <c r="D3224" s="136" t="str">
        <f t="shared" si="3"/>
        <v/>
      </c>
      <c r="E3224" s="152"/>
      <c r="F3224" s="106" t="s">
        <v>133</v>
      </c>
      <c r="G3224" s="152"/>
      <c r="H3224" s="106" t="s">
        <v>133</v>
      </c>
      <c r="J3224" s="139" t="s">
        <v>133</v>
      </c>
      <c r="K3224" s="136" t="s">
        <v>133</v>
      </c>
      <c r="L3224" s="153"/>
      <c r="M3224" s="136" t="str">
        <f t="shared" si="1"/>
        <v/>
      </c>
      <c r="O3224" s="141" t="s">
        <v>133</v>
      </c>
      <c r="P3224" s="136" t="str">
        <f>IFERROR(__xludf.DUMMYFUNCTION("""COMPUTED_VALUE"""),"")</f>
        <v/>
      </c>
      <c r="Q3224" s="136" t="str">
        <f>IFERROR(__xludf.DUMMYFUNCTION("""COMPUTED_VALUE"""),"")</f>
        <v/>
      </c>
      <c r="R3224" s="106" t="str">
        <f>IFERROR(__xludf.DUMMYFUNCTION("""COMPUTED_VALUE"""),"")</f>
        <v/>
      </c>
      <c r="S3224" s="106" t="str">
        <f>IFERROR(__xludf.DUMMYFUNCTION("""COMPUTED_VALUE"""),"")</f>
        <v/>
      </c>
      <c r="T3224" s="139" t="str">
        <f>IFERROR(__xludf.DUMMYFUNCTION("""COMPUTED_VALUE"""),"")</f>
        <v/>
      </c>
      <c r="U3224" s="139" t="str">
        <f>IFERROR(__xludf.DUMMYFUNCTION("""COMPUTED_VALUE"""),"")</f>
        <v/>
      </c>
      <c r="V3224" s="136" t="str">
        <f>IFERROR(__xludf.DUMMYFUNCTION("""COMPUTED_VALUE"""),"")</f>
        <v/>
      </c>
      <c r="W3224" s="106" t="str">
        <f>IFERROR(__xludf.DUMMYFUNCTION("""COMPUTED_VALUE"""),"")</f>
        <v/>
      </c>
      <c r="X3224" s="143" t="str">
        <f t="shared" si="2"/>
        <v/>
      </c>
      <c r="Y3224" s="139" t="str">
        <f>IFERROR(__xludf.DUMMYFUNCTION("""COMPUTED_VALUE"""),"")</f>
        <v/>
      </c>
      <c r="Z3224" s="141" t="str">
        <f>IFERROR(__xludf.DUMMYFUNCTION("""COMPUTED_VALUE"""),"")</f>
        <v/>
      </c>
    </row>
    <row r="3225">
      <c r="D3225" s="136" t="str">
        <f t="shared" si="3"/>
        <v/>
      </c>
      <c r="E3225" s="152"/>
      <c r="F3225" s="106" t="s">
        <v>133</v>
      </c>
      <c r="G3225" s="152"/>
      <c r="H3225" s="106" t="s">
        <v>133</v>
      </c>
      <c r="J3225" s="139" t="s">
        <v>133</v>
      </c>
      <c r="K3225" s="136" t="s">
        <v>133</v>
      </c>
      <c r="L3225" s="153"/>
      <c r="M3225" s="136" t="str">
        <f t="shared" si="1"/>
        <v/>
      </c>
      <c r="O3225" s="141" t="s">
        <v>133</v>
      </c>
      <c r="P3225" s="136" t="str">
        <f>IFERROR(__xludf.DUMMYFUNCTION("""COMPUTED_VALUE"""),"")</f>
        <v/>
      </c>
      <c r="Q3225" s="136" t="str">
        <f>IFERROR(__xludf.DUMMYFUNCTION("""COMPUTED_VALUE"""),"")</f>
        <v/>
      </c>
      <c r="R3225" s="106" t="str">
        <f>IFERROR(__xludf.DUMMYFUNCTION("""COMPUTED_VALUE"""),"")</f>
        <v/>
      </c>
      <c r="S3225" s="106" t="str">
        <f>IFERROR(__xludf.DUMMYFUNCTION("""COMPUTED_VALUE"""),"")</f>
        <v/>
      </c>
      <c r="T3225" s="139" t="str">
        <f>IFERROR(__xludf.DUMMYFUNCTION("""COMPUTED_VALUE"""),"")</f>
        <v/>
      </c>
      <c r="U3225" s="139" t="str">
        <f>IFERROR(__xludf.DUMMYFUNCTION("""COMPUTED_VALUE"""),"")</f>
        <v/>
      </c>
      <c r="V3225" s="136" t="str">
        <f>IFERROR(__xludf.DUMMYFUNCTION("""COMPUTED_VALUE"""),"")</f>
        <v/>
      </c>
      <c r="W3225" s="106" t="str">
        <f>IFERROR(__xludf.DUMMYFUNCTION("""COMPUTED_VALUE"""),"")</f>
        <v/>
      </c>
      <c r="X3225" s="143" t="str">
        <f t="shared" si="2"/>
        <v/>
      </c>
      <c r="Y3225" s="139" t="str">
        <f>IFERROR(__xludf.DUMMYFUNCTION("""COMPUTED_VALUE"""),"")</f>
        <v/>
      </c>
      <c r="Z3225" s="141" t="str">
        <f>IFERROR(__xludf.DUMMYFUNCTION("""COMPUTED_VALUE"""),"")</f>
        <v/>
      </c>
    </row>
    <row r="3226">
      <c r="D3226" s="136" t="str">
        <f t="shared" si="3"/>
        <v/>
      </c>
      <c r="E3226" s="152"/>
      <c r="F3226" s="106" t="s">
        <v>133</v>
      </c>
      <c r="G3226" s="152"/>
      <c r="H3226" s="106" t="s">
        <v>133</v>
      </c>
      <c r="J3226" s="139" t="s">
        <v>133</v>
      </c>
      <c r="K3226" s="136" t="s">
        <v>133</v>
      </c>
      <c r="L3226" s="153"/>
      <c r="M3226" s="136" t="str">
        <f t="shared" si="1"/>
        <v/>
      </c>
      <c r="O3226" s="141" t="s">
        <v>133</v>
      </c>
      <c r="P3226" s="136" t="str">
        <f>IFERROR(__xludf.DUMMYFUNCTION("""COMPUTED_VALUE"""),"")</f>
        <v/>
      </c>
      <c r="Q3226" s="136" t="str">
        <f>IFERROR(__xludf.DUMMYFUNCTION("""COMPUTED_VALUE"""),"")</f>
        <v/>
      </c>
      <c r="R3226" s="106" t="str">
        <f>IFERROR(__xludf.DUMMYFUNCTION("""COMPUTED_VALUE"""),"")</f>
        <v/>
      </c>
      <c r="S3226" s="106" t="str">
        <f>IFERROR(__xludf.DUMMYFUNCTION("""COMPUTED_VALUE"""),"")</f>
        <v/>
      </c>
      <c r="T3226" s="139" t="str">
        <f>IFERROR(__xludf.DUMMYFUNCTION("""COMPUTED_VALUE"""),"")</f>
        <v/>
      </c>
      <c r="U3226" s="139" t="str">
        <f>IFERROR(__xludf.DUMMYFUNCTION("""COMPUTED_VALUE"""),"")</f>
        <v/>
      </c>
      <c r="V3226" s="136" t="str">
        <f>IFERROR(__xludf.DUMMYFUNCTION("""COMPUTED_VALUE"""),"")</f>
        <v/>
      </c>
      <c r="W3226" s="106" t="str">
        <f>IFERROR(__xludf.DUMMYFUNCTION("""COMPUTED_VALUE"""),"")</f>
        <v/>
      </c>
      <c r="X3226" s="143" t="str">
        <f t="shared" si="2"/>
        <v/>
      </c>
      <c r="Y3226" s="139" t="str">
        <f>IFERROR(__xludf.DUMMYFUNCTION("""COMPUTED_VALUE"""),"")</f>
        <v/>
      </c>
      <c r="Z3226" s="141" t="str">
        <f>IFERROR(__xludf.DUMMYFUNCTION("""COMPUTED_VALUE"""),"")</f>
        <v/>
      </c>
    </row>
    <row r="3227">
      <c r="D3227" s="136" t="str">
        <f t="shared" si="3"/>
        <v/>
      </c>
      <c r="E3227" s="152"/>
      <c r="F3227" s="106" t="s">
        <v>133</v>
      </c>
      <c r="G3227" s="152"/>
      <c r="H3227" s="106" t="s">
        <v>133</v>
      </c>
      <c r="J3227" s="139" t="s">
        <v>133</v>
      </c>
      <c r="K3227" s="136" t="s">
        <v>133</v>
      </c>
      <c r="L3227" s="153"/>
      <c r="M3227" s="136" t="str">
        <f t="shared" si="1"/>
        <v/>
      </c>
      <c r="O3227" s="141" t="s">
        <v>133</v>
      </c>
      <c r="P3227" s="136" t="str">
        <f>IFERROR(__xludf.DUMMYFUNCTION("""COMPUTED_VALUE"""),"")</f>
        <v/>
      </c>
      <c r="Q3227" s="136" t="str">
        <f>IFERROR(__xludf.DUMMYFUNCTION("""COMPUTED_VALUE"""),"")</f>
        <v/>
      </c>
      <c r="R3227" s="106" t="str">
        <f>IFERROR(__xludf.DUMMYFUNCTION("""COMPUTED_VALUE"""),"")</f>
        <v/>
      </c>
      <c r="S3227" s="106" t="str">
        <f>IFERROR(__xludf.DUMMYFUNCTION("""COMPUTED_VALUE"""),"")</f>
        <v/>
      </c>
      <c r="T3227" s="139" t="str">
        <f>IFERROR(__xludf.DUMMYFUNCTION("""COMPUTED_VALUE"""),"")</f>
        <v/>
      </c>
      <c r="U3227" s="139" t="str">
        <f>IFERROR(__xludf.DUMMYFUNCTION("""COMPUTED_VALUE"""),"")</f>
        <v/>
      </c>
      <c r="V3227" s="136" t="str">
        <f>IFERROR(__xludf.DUMMYFUNCTION("""COMPUTED_VALUE"""),"")</f>
        <v/>
      </c>
      <c r="W3227" s="106" t="str">
        <f>IFERROR(__xludf.DUMMYFUNCTION("""COMPUTED_VALUE"""),"")</f>
        <v/>
      </c>
      <c r="X3227" s="143" t="str">
        <f t="shared" si="2"/>
        <v/>
      </c>
      <c r="Y3227" s="139" t="str">
        <f>IFERROR(__xludf.DUMMYFUNCTION("""COMPUTED_VALUE"""),"")</f>
        <v/>
      </c>
      <c r="Z3227" s="141" t="str">
        <f>IFERROR(__xludf.DUMMYFUNCTION("""COMPUTED_VALUE"""),"")</f>
        <v/>
      </c>
    </row>
    <row r="3228">
      <c r="D3228" s="136" t="str">
        <f t="shared" si="3"/>
        <v/>
      </c>
      <c r="E3228" s="152"/>
      <c r="F3228" s="106" t="s">
        <v>133</v>
      </c>
      <c r="G3228" s="152"/>
      <c r="H3228" s="106" t="s">
        <v>133</v>
      </c>
      <c r="J3228" s="139" t="s">
        <v>133</v>
      </c>
      <c r="K3228" s="136" t="s">
        <v>133</v>
      </c>
      <c r="L3228" s="153"/>
      <c r="M3228" s="136" t="str">
        <f t="shared" si="1"/>
        <v/>
      </c>
      <c r="O3228" s="141" t="s">
        <v>133</v>
      </c>
      <c r="P3228" s="136" t="str">
        <f>IFERROR(__xludf.DUMMYFUNCTION("""COMPUTED_VALUE"""),"")</f>
        <v/>
      </c>
      <c r="Q3228" s="136" t="str">
        <f>IFERROR(__xludf.DUMMYFUNCTION("""COMPUTED_VALUE"""),"")</f>
        <v/>
      </c>
      <c r="R3228" s="106" t="str">
        <f>IFERROR(__xludf.DUMMYFUNCTION("""COMPUTED_VALUE"""),"")</f>
        <v/>
      </c>
      <c r="S3228" s="106" t="str">
        <f>IFERROR(__xludf.DUMMYFUNCTION("""COMPUTED_VALUE"""),"")</f>
        <v/>
      </c>
      <c r="T3228" s="139" t="str">
        <f>IFERROR(__xludf.DUMMYFUNCTION("""COMPUTED_VALUE"""),"")</f>
        <v/>
      </c>
      <c r="U3228" s="139" t="str">
        <f>IFERROR(__xludf.DUMMYFUNCTION("""COMPUTED_VALUE"""),"")</f>
        <v/>
      </c>
      <c r="V3228" s="136" t="str">
        <f>IFERROR(__xludf.DUMMYFUNCTION("""COMPUTED_VALUE"""),"")</f>
        <v/>
      </c>
      <c r="W3228" s="106" t="str">
        <f>IFERROR(__xludf.DUMMYFUNCTION("""COMPUTED_VALUE"""),"")</f>
        <v/>
      </c>
      <c r="X3228" s="143" t="str">
        <f t="shared" si="2"/>
        <v/>
      </c>
      <c r="Y3228" s="139" t="str">
        <f>IFERROR(__xludf.DUMMYFUNCTION("""COMPUTED_VALUE"""),"")</f>
        <v/>
      </c>
      <c r="Z3228" s="141" t="str">
        <f>IFERROR(__xludf.DUMMYFUNCTION("""COMPUTED_VALUE"""),"")</f>
        <v/>
      </c>
    </row>
    <row r="3229">
      <c r="D3229" s="136" t="str">
        <f t="shared" si="3"/>
        <v/>
      </c>
      <c r="E3229" s="152"/>
      <c r="F3229" s="106" t="s">
        <v>133</v>
      </c>
      <c r="G3229" s="152"/>
      <c r="H3229" s="106" t="s">
        <v>133</v>
      </c>
      <c r="J3229" s="139" t="s">
        <v>133</v>
      </c>
      <c r="K3229" s="136" t="s">
        <v>133</v>
      </c>
      <c r="L3229" s="153"/>
      <c r="M3229" s="136" t="str">
        <f t="shared" si="1"/>
        <v/>
      </c>
      <c r="O3229" s="141" t="s">
        <v>133</v>
      </c>
      <c r="P3229" s="136" t="str">
        <f>IFERROR(__xludf.DUMMYFUNCTION("""COMPUTED_VALUE"""),"")</f>
        <v/>
      </c>
      <c r="Q3229" s="136" t="str">
        <f>IFERROR(__xludf.DUMMYFUNCTION("""COMPUTED_VALUE"""),"")</f>
        <v/>
      </c>
      <c r="R3229" s="106" t="str">
        <f>IFERROR(__xludf.DUMMYFUNCTION("""COMPUTED_VALUE"""),"")</f>
        <v/>
      </c>
      <c r="S3229" s="106" t="str">
        <f>IFERROR(__xludf.DUMMYFUNCTION("""COMPUTED_VALUE"""),"")</f>
        <v/>
      </c>
      <c r="T3229" s="139" t="str">
        <f>IFERROR(__xludf.DUMMYFUNCTION("""COMPUTED_VALUE"""),"")</f>
        <v/>
      </c>
      <c r="U3229" s="139" t="str">
        <f>IFERROR(__xludf.DUMMYFUNCTION("""COMPUTED_VALUE"""),"")</f>
        <v/>
      </c>
      <c r="V3229" s="136" t="str">
        <f>IFERROR(__xludf.DUMMYFUNCTION("""COMPUTED_VALUE"""),"")</f>
        <v/>
      </c>
      <c r="W3229" s="106" t="str">
        <f>IFERROR(__xludf.DUMMYFUNCTION("""COMPUTED_VALUE"""),"")</f>
        <v/>
      </c>
      <c r="X3229" s="143" t="str">
        <f t="shared" si="2"/>
        <v/>
      </c>
      <c r="Y3229" s="139" t="str">
        <f>IFERROR(__xludf.DUMMYFUNCTION("""COMPUTED_VALUE"""),"")</f>
        <v/>
      </c>
      <c r="Z3229" s="141" t="str">
        <f>IFERROR(__xludf.DUMMYFUNCTION("""COMPUTED_VALUE"""),"")</f>
        <v/>
      </c>
    </row>
    <row r="3230">
      <c r="D3230" s="136" t="str">
        <f t="shared" si="3"/>
        <v/>
      </c>
      <c r="E3230" s="152"/>
      <c r="F3230" s="106" t="s">
        <v>133</v>
      </c>
      <c r="G3230" s="152"/>
      <c r="H3230" s="106" t="s">
        <v>133</v>
      </c>
      <c r="J3230" s="139" t="s">
        <v>133</v>
      </c>
      <c r="K3230" s="136" t="s">
        <v>133</v>
      </c>
      <c r="L3230" s="153"/>
      <c r="M3230" s="136" t="str">
        <f t="shared" si="1"/>
        <v/>
      </c>
      <c r="O3230" s="141" t="s">
        <v>133</v>
      </c>
      <c r="P3230" s="136" t="str">
        <f>IFERROR(__xludf.DUMMYFUNCTION("""COMPUTED_VALUE"""),"")</f>
        <v/>
      </c>
      <c r="Q3230" s="136" t="str">
        <f>IFERROR(__xludf.DUMMYFUNCTION("""COMPUTED_VALUE"""),"")</f>
        <v/>
      </c>
      <c r="R3230" s="106" t="str">
        <f>IFERROR(__xludf.DUMMYFUNCTION("""COMPUTED_VALUE"""),"")</f>
        <v/>
      </c>
      <c r="S3230" s="106" t="str">
        <f>IFERROR(__xludf.DUMMYFUNCTION("""COMPUTED_VALUE"""),"")</f>
        <v/>
      </c>
      <c r="T3230" s="139" t="str">
        <f>IFERROR(__xludf.DUMMYFUNCTION("""COMPUTED_VALUE"""),"")</f>
        <v/>
      </c>
      <c r="U3230" s="139" t="str">
        <f>IFERROR(__xludf.DUMMYFUNCTION("""COMPUTED_VALUE"""),"")</f>
        <v/>
      </c>
      <c r="V3230" s="136" t="str">
        <f>IFERROR(__xludf.DUMMYFUNCTION("""COMPUTED_VALUE"""),"")</f>
        <v/>
      </c>
      <c r="W3230" s="106" t="str">
        <f>IFERROR(__xludf.DUMMYFUNCTION("""COMPUTED_VALUE"""),"")</f>
        <v/>
      </c>
      <c r="X3230" s="143" t="str">
        <f t="shared" si="2"/>
        <v/>
      </c>
      <c r="Y3230" s="139" t="str">
        <f>IFERROR(__xludf.DUMMYFUNCTION("""COMPUTED_VALUE"""),"")</f>
        <v/>
      </c>
      <c r="Z3230" s="141" t="str">
        <f>IFERROR(__xludf.DUMMYFUNCTION("""COMPUTED_VALUE"""),"")</f>
        <v/>
      </c>
    </row>
    <row r="3231">
      <c r="D3231" s="136" t="str">
        <f t="shared" si="3"/>
        <v/>
      </c>
      <c r="E3231" s="152"/>
      <c r="F3231" s="106" t="s">
        <v>133</v>
      </c>
      <c r="G3231" s="152"/>
      <c r="H3231" s="106" t="s">
        <v>133</v>
      </c>
      <c r="J3231" s="139" t="s">
        <v>133</v>
      </c>
      <c r="K3231" s="136" t="s">
        <v>133</v>
      </c>
      <c r="L3231" s="153"/>
      <c r="M3231" s="136" t="str">
        <f t="shared" si="1"/>
        <v/>
      </c>
      <c r="O3231" s="141" t="s">
        <v>133</v>
      </c>
      <c r="P3231" s="136" t="str">
        <f>IFERROR(__xludf.DUMMYFUNCTION("""COMPUTED_VALUE"""),"")</f>
        <v/>
      </c>
      <c r="Q3231" s="136" t="str">
        <f>IFERROR(__xludf.DUMMYFUNCTION("""COMPUTED_VALUE"""),"")</f>
        <v/>
      </c>
      <c r="R3231" s="106" t="str">
        <f>IFERROR(__xludf.DUMMYFUNCTION("""COMPUTED_VALUE"""),"")</f>
        <v/>
      </c>
      <c r="S3231" s="106" t="str">
        <f>IFERROR(__xludf.DUMMYFUNCTION("""COMPUTED_VALUE"""),"")</f>
        <v/>
      </c>
      <c r="T3231" s="139" t="str">
        <f>IFERROR(__xludf.DUMMYFUNCTION("""COMPUTED_VALUE"""),"")</f>
        <v/>
      </c>
      <c r="U3231" s="139" t="str">
        <f>IFERROR(__xludf.DUMMYFUNCTION("""COMPUTED_VALUE"""),"")</f>
        <v/>
      </c>
      <c r="V3231" s="136" t="str">
        <f>IFERROR(__xludf.DUMMYFUNCTION("""COMPUTED_VALUE"""),"")</f>
        <v/>
      </c>
      <c r="W3231" s="106" t="str">
        <f>IFERROR(__xludf.DUMMYFUNCTION("""COMPUTED_VALUE"""),"")</f>
        <v/>
      </c>
      <c r="X3231" s="143" t="str">
        <f t="shared" si="2"/>
        <v/>
      </c>
      <c r="Y3231" s="139" t="str">
        <f>IFERROR(__xludf.DUMMYFUNCTION("""COMPUTED_VALUE"""),"")</f>
        <v/>
      </c>
      <c r="Z3231" s="141" t="str">
        <f>IFERROR(__xludf.DUMMYFUNCTION("""COMPUTED_VALUE"""),"")</f>
        <v/>
      </c>
    </row>
    <row r="3232">
      <c r="D3232" s="136" t="str">
        <f t="shared" si="3"/>
        <v/>
      </c>
      <c r="E3232" s="152"/>
      <c r="F3232" s="106" t="s">
        <v>133</v>
      </c>
      <c r="G3232" s="152"/>
      <c r="H3232" s="106" t="s">
        <v>133</v>
      </c>
      <c r="J3232" s="139" t="s">
        <v>133</v>
      </c>
      <c r="K3232" s="136" t="s">
        <v>133</v>
      </c>
      <c r="L3232" s="153"/>
      <c r="M3232" s="136" t="str">
        <f t="shared" si="1"/>
        <v/>
      </c>
      <c r="O3232" s="141" t="s">
        <v>133</v>
      </c>
      <c r="P3232" s="136" t="str">
        <f>IFERROR(__xludf.DUMMYFUNCTION("""COMPUTED_VALUE"""),"")</f>
        <v/>
      </c>
      <c r="Q3232" s="136" t="str">
        <f>IFERROR(__xludf.DUMMYFUNCTION("""COMPUTED_VALUE"""),"")</f>
        <v/>
      </c>
      <c r="R3232" s="106" t="str">
        <f>IFERROR(__xludf.DUMMYFUNCTION("""COMPUTED_VALUE"""),"")</f>
        <v/>
      </c>
      <c r="S3232" s="106" t="str">
        <f>IFERROR(__xludf.DUMMYFUNCTION("""COMPUTED_VALUE"""),"")</f>
        <v/>
      </c>
      <c r="T3232" s="139" t="str">
        <f>IFERROR(__xludf.DUMMYFUNCTION("""COMPUTED_VALUE"""),"")</f>
        <v/>
      </c>
      <c r="U3232" s="139" t="str">
        <f>IFERROR(__xludf.DUMMYFUNCTION("""COMPUTED_VALUE"""),"")</f>
        <v/>
      </c>
      <c r="V3232" s="136" t="str">
        <f>IFERROR(__xludf.DUMMYFUNCTION("""COMPUTED_VALUE"""),"")</f>
        <v/>
      </c>
      <c r="W3232" s="106" t="str">
        <f>IFERROR(__xludf.DUMMYFUNCTION("""COMPUTED_VALUE"""),"")</f>
        <v/>
      </c>
      <c r="X3232" s="143" t="str">
        <f t="shared" si="2"/>
        <v/>
      </c>
      <c r="Y3232" s="139" t="str">
        <f>IFERROR(__xludf.DUMMYFUNCTION("""COMPUTED_VALUE"""),"")</f>
        <v/>
      </c>
      <c r="Z3232" s="141" t="str">
        <f>IFERROR(__xludf.DUMMYFUNCTION("""COMPUTED_VALUE"""),"")</f>
        <v/>
      </c>
    </row>
    <row r="3233">
      <c r="D3233" s="136" t="str">
        <f t="shared" si="3"/>
        <v/>
      </c>
      <c r="E3233" s="152"/>
      <c r="F3233" s="106" t="s">
        <v>133</v>
      </c>
      <c r="G3233" s="152"/>
      <c r="H3233" s="106" t="s">
        <v>133</v>
      </c>
      <c r="J3233" s="139" t="s">
        <v>133</v>
      </c>
      <c r="K3233" s="136" t="s">
        <v>133</v>
      </c>
      <c r="L3233" s="153"/>
      <c r="M3233" s="136" t="str">
        <f t="shared" si="1"/>
        <v/>
      </c>
      <c r="O3233" s="141" t="s">
        <v>133</v>
      </c>
      <c r="P3233" s="136" t="str">
        <f>IFERROR(__xludf.DUMMYFUNCTION("""COMPUTED_VALUE"""),"")</f>
        <v/>
      </c>
      <c r="Q3233" s="136" t="str">
        <f>IFERROR(__xludf.DUMMYFUNCTION("""COMPUTED_VALUE"""),"")</f>
        <v/>
      </c>
      <c r="R3233" s="106" t="str">
        <f>IFERROR(__xludf.DUMMYFUNCTION("""COMPUTED_VALUE"""),"")</f>
        <v/>
      </c>
      <c r="S3233" s="106" t="str">
        <f>IFERROR(__xludf.DUMMYFUNCTION("""COMPUTED_VALUE"""),"")</f>
        <v/>
      </c>
      <c r="T3233" s="139" t="str">
        <f>IFERROR(__xludf.DUMMYFUNCTION("""COMPUTED_VALUE"""),"")</f>
        <v/>
      </c>
      <c r="U3233" s="139" t="str">
        <f>IFERROR(__xludf.DUMMYFUNCTION("""COMPUTED_VALUE"""),"")</f>
        <v/>
      </c>
      <c r="V3233" s="136" t="str">
        <f>IFERROR(__xludf.DUMMYFUNCTION("""COMPUTED_VALUE"""),"")</f>
        <v/>
      </c>
      <c r="W3233" s="106" t="str">
        <f>IFERROR(__xludf.DUMMYFUNCTION("""COMPUTED_VALUE"""),"")</f>
        <v/>
      </c>
      <c r="X3233" s="143" t="str">
        <f t="shared" si="2"/>
        <v/>
      </c>
      <c r="Y3233" s="139" t="str">
        <f>IFERROR(__xludf.DUMMYFUNCTION("""COMPUTED_VALUE"""),"")</f>
        <v/>
      </c>
      <c r="Z3233" s="141" t="str">
        <f>IFERROR(__xludf.DUMMYFUNCTION("""COMPUTED_VALUE"""),"")</f>
        <v/>
      </c>
    </row>
    <row r="3234">
      <c r="D3234" s="136" t="str">
        <f t="shared" si="3"/>
        <v/>
      </c>
      <c r="E3234" s="152"/>
      <c r="F3234" s="106" t="s">
        <v>133</v>
      </c>
      <c r="G3234" s="152"/>
      <c r="H3234" s="106" t="s">
        <v>133</v>
      </c>
      <c r="J3234" s="139" t="s">
        <v>133</v>
      </c>
      <c r="K3234" s="136" t="s">
        <v>133</v>
      </c>
      <c r="L3234" s="153"/>
      <c r="M3234" s="136" t="str">
        <f t="shared" si="1"/>
        <v/>
      </c>
      <c r="O3234" s="141" t="s">
        <v>133</v>
      </c>
      <c r="P3234" s="136" t="str">
        <f>IFERROR(__xludf.DUMMYFUNCTION("""COMPUTED_VALUE"""),"")</f>
        <v/>
      </c>
      <c r="Q3234" s="136" t="str">
        <f>IFERROR(__xludf.DUMMYFUNCTION("""COMPUTED_VALUE"""),"")</f>
        <v/>
      </c>
      <c r="R3234" s="106" t="str">
        <f>IFERROR(__xludf.DUMMYFUNCTION("""COMPUTED_VALUE"""),"")</f>
        <v/>
      </c>
      <c r="S3234" s="106" t="str">
        <f>IFERROR(__xludf.DUMMYFUNCTION("""COMPUTED_VALUE"""),"")</f>
        <v/>
      </c>
      <c r="T3234" s="139" t="str">
        <f>IFERROR(__xludf.DUMMYFUNCTION("""COMPUTED_VALUE"""),"")</f>
        <v/>
      </c>
      <c r="U3234" s="139" t="str">
        <f>IFERROR(__xludf.DUMMYFUNCTION("""COMPUTED_VALUE"""),"")</f>
        <v/>
      </c>
      <c r="V3234" s="136" t="str">
        <f>IFERROR(__xludf.DUMMYFUNCTION("""COMPUTED_VALUE"""),"")</f>
        <v/>
      </c>
      <c r="W3234" s="106" t="str">
        <f>IFERROR(__xludf.DUMMYFUNCTION("""COMPUTED_VALUE"""),"")</f>
        <v/>
      </c>
      <c r="X3234" s="143" t="str">
        <f t="shared" si="2"/>
        <v/>
      </c>
      <c r="Y3234" s="139" t="str">
        <f>IFERROR(__xludf.DUMMYFUNCTION("""COMPUTED_VALUE"""),"")</f>
        <v/>
      </c>
      <c r="Z3234" s="141" t="str">
        <f>IFERROR(__xludf.DUMMYFUNCTION("""COMPUTED_VALUE"""),"")</f>
        <v/>
      </c>
    </row>
    <row r="3235">
      <c r="D3235" s="136" t="str">
        <f t="shared" si="3"/>
        <v/>
      </c>
      <c r="E3235" s="152"/>
      <c r="F3235" s="106" t="s">
        <v>133</v>
      </c>
      <c r="G3235" s="152"/>
      <c r="H3235" s="106" t="s">
        <v>133</v>
      </c>
      <c r="J3235" s="139" t="s">
        <v>133</v>
      </c>
      <c r="K3235" s="136" t="s">
        <v>133</v>
      </c>
      <c r="L3235" s="153"/>
      <c r="M3235" s="136" t="str">
        <f t="shared" si="1"/>
        <v/>
      </c>
      <c r="O3235" s="141" t="s">
        <v>133</v>
      </c>
      <c r="P3235" s="136" t="str">
        <f>IFERROR(__xludf.DUMMYFUNCTION("""COMPUTED_VALUE"""),"")</f>
        <v/>
      </c>
      <c r="Q3235" s="136" t="str">
        <f>IFERROR(__xludf.DUMMYFUNCTION("""COMPUTED_VALUE"""),"")</f>
        <v/>
      </c>
      <c r="R3235" s="106" t="str">
        <f>IFERROR(__xludf.DUMMYFUNCTION("""COMPUTED_VALUE"""),"")</f>
        <v/>
      </c>
      <c r="S3235" s="106" t="str">
        <f>IFERROR(__xludf.DUMMYFUNCTION("""COMPUTED_VALUE"""),"")</f>
        <v/>
      </c>
      <c r="T3235" s="139" t="str">
        <f>IFERROR(__xludf.DUMMYFUNCTION("""COMPUTED_VALUE"""),"")</f>
        <v/>
      </c>
      <c r="U3235" s="139" t="str">
        <f>IFERROR(__xludf.DUMMYFUNCTION("""COMPUTED_VALUE"""),"")</f>
        <v/>
      </c>
      <c r="V3235" s="136" t="str">
        <f>IFERROR(__xludf.DUMMYFUNCTION("""COMPUTED_VALUE"""),"")</f>
        <v/>
      </c>
      <c r="W3235" s="106" t="str">
        <f>IFERROR(__xludf.DUMMYFUNCTION("""COMPUTED_VALUE"""),"")</f>
        <v/>
      </c>
      <c r="X3235" s="143" t="str">
        <f t="shared" si="2"/>
        <v/>
      </c>
      <c r="Y3235" s="139" t="str">
        <f>IFERROR(__xludf.DUMMYFUNCTION("""COMPUTED_VALUE"""),"")</f>
        <v/>
      </c>
      <c r="Z3235" s="141" t="str">
        <f>IFERROR(__xludf.DUMMYFUNCTION("""COMPUTED_VALUE"""),"")</f>
        <v/>
      </c>
    </row>
    <row r="3236">
      <c r="D3236" s="136" t="str">
        <f t="shared" si="3"/>
        <v/>
      </c>
      <c r="E3236" s="152"/>
      <c r="F3236" s="106" t="s">
        <v>133</v>
      </c>
      <c r="G3236" s="152"/>
      <c r="H3236" s="106" t="s">
        <v>133</v>
      </c>
      <c r="J3236" s="139" t="s">
        <v>133</v>
      </c>
      <c r="K3236" s="136" t="s">
        <v>133</v>
      </c>
      <c r="L3236" s="153"/>
      <c r="M3236" s="136" t="str">
        <f t="shared" si="1"/>
        <v/>
      </c>
      <c r="O3236" s="141" t="s">
        <v>133</v>
      </c>
      <c r="P3236" s="136" t="str">
        <f>IFERROR(__xludf.DUMMYFUNCTION("""COMPUTED_VALUE"""),"")</f>
        <v/>
      </c>
      <c r="Q3236" s="136" t="str">
        <f>IFERROR(__xludf.DUMMYFUNCTION("""COMPUTED_VALUE"""),"")</f>
        <v/>
      </c>
      <c r="R3236" s="106" t="str">
        <f>IFERROR(__xludf.DUMMYFUNCTION("""COMPUTED_VALUE"""),"")</f>
        <v/>
      </c>
      <c r="S3236" s="106" t="str">
        <f>IFERROR(__xludf.DUMMYFUNCTION("""COMPUTED_VALUE"""),"")</f>
        <v/>
      </c>
      <c r="T3236" s="139" t="str">
        <f>IFERROR(__xludf.DUMMYFUNCTION("""COMPUTED_VALUE"""),"")</f>
        <v/>
      </c>
      <c r="U3236" s="139" t="str">
        <f>IFERROR(__xludf.DUMMYFUNCTION("""COMPUTED_VALUE"""),"")</f>
        <v/>
      </c>
      <c r="V3236" s="136" t="str">
        <f>IFERROR(__xludf.DUMMYFUNCTION("""COMPUTED_VALUE"""),"")</f>
        <v/>
      </c>
      <c r="W3236" s="106" t="str">
        <f>IFERROR(__xludf.DUMMYFUNCTION("""COMPUTED_VALUE"""),"")</f>
        <v/>
      </c>
      <c r="X3236" s="143" t="str">
        <f t="shared" si="2"/>
        <v/>
      </c>
      <c r="Y3236" s="139" t="str">
        <f>IFERROR(__xludf.DUMMYFUNCTION("""COMPUTED_VALUE"""),"")</f>
        <v/>
      </c>
      <c r="Z3236" s="141" t="str">
        <f>IFERROR(__xludf.DUMMYFUNCTION("""COMPUTED_VALUE"""),"")</f>
        <v/>
      </c>
    </row>
    <row r="3237">
      <c r="D3237" s="136" t="str">
        <f t="shared" si="3"/>
        <v/>
      </c>
      <c r="E3237" s="152"/>
      <c r="F3237" s="106" t="s">
        <v>133</v>
      </c>
      <c r="G3237" s="152"/>
      <c r="H3237" s="106" t="s">
        <v>133</v>
      </c>
      <c r="J3237" s="139" t="s">
        <v>133</v>
      </c>
      <c r="K3237" s="136" t="s">
        <v>133</v>
      </c>
      <c r="L3237" s="153"/>
      <c r="M3237" s="136" t="str">
        <f t="shared" si="1"/>
        <v/>
      </c>
      <c r="O3237" s="141" t="s">
        <v>133</v>
      </c>
      <c r="P3237" s="136" t="str">
        <f>IFERROR(__xludf.DUMMYFUNCTION("""COMPUTED_VALUE"""),"")</f>
        <v/>
      </c>
      <c r="Q3237" s="136" t="str">
        <f>IFERROR(__xludf.DUMMYFUNCTION("""COMPUTED_VALUE"""),"")</f>
        <v/>
      </c>
      <c r="R3237" s="106" t="str">
        <f>IFERROR(__xludf.DUMMYFUNCTION("""COMPUTED_VALUE"""),"")</f>
        <v/>
      </c>
      <c r="S3237" s="106" t="str">
        <f>IFERROR(__xludf.DUMMYFUNCTION("""COMPUTED_VALUE"""),"")</f>
        <v/>
      </c>
      <c r="T3237" s="139" t="str">
        <f>IFERROR(__xludf.DUMMYFUNCTION("""COMPUTED_VALUE"""),"")</f>
        <v/>
      </c>
      <c r="U3237" s="139" t="str">
        <f>IFERROR(__xludf.DUMMYFUNCTION("""COMPUTED_VALUE"""),"")</f>
        <v/>
      </c>
      <c r="V3237" s="136" t="str">
        <f>IFERROR(__xludf.DUMMYFUNCTION("""COMPUTED_VALUE"""),"")</f>
        <v/>
      </c>
      <c r="W3237" s="106" t="str">
        <f>IFERROR(__xludf.DUMMYFUNCTION("""COMPUTED_VALUE"""),"")</f>
        <v/>
      </c>
      <c r="X3237" s="143" t="str">
        <f t="shared" si="2"/>
        <v/>
      </c>
      <c r="Y3237" s="139" t="str">
        <f>IFERROR(__xludf.DUMMYFUNCTION("""COMPUTED_VALUE"""),"")</f>
        <v/>
      </c>
      <c r="Z3237" s="141" t="str">
        <f>IFERROR(__xludf.DUMMYFUNCTION("""COMPUTED_VALUE"""),"")</f>
        <v/>
      </c>
    </row>
    <row r="3238">
      <c r="D3238" s="136" t="str">
        <f t="shared" si="3"/>
        <v/>
      </c>
      <c r="E3238" s="152"/>
      <c r="F3238" s="106" t="s">
        <v>133</v>
      </c>
      <c r="G3238" s="152"/>
      <c r="H3238" s="106" t="s">
        <v>133</v>
      </c>
      <c r="J3238" s="139" t="s">
        <v>133</v>
      </c>
      <c r="K3238" s="136" t="s">
        <v>133</v>
      </c>
      <c r="L3238" s="153"/>
      <c r="M3238" s="136" t="str">
        <f t="shared" si="1"/>
        <v/>
      </c>
      <c r="O3238" s="141" t="s">
        <v>133</v>
      </c>
      <c r="P3238" s="136" t="str">
        <f>IFERROR(__xludf.DUMMYFUNCTION("""COMPUTED_VALUE"""),"")</f>
        <v/>
      </c>
      <c r="Q3238" s="136" t="str">
        <f>IFERROR(__xludf.DUMMYFUNCTION("""COMPUTED_VALUE"""),"")</f>
        <v/>
      </c>
      <c r="R3238" s="106" t="str">
        <f>IFERROR(__xludf.DUMMYFUNCTION("""COMPUTED_VALUE"""),"")</f>
        <v/>
      </c>
      <c r="S3238" s="106" t="str">
        <f>IFERROR(__xludf.DUMMYFUNCTION("""COMPUTED_VALUE"""),"")</f>
        <v/>
      </c>
      <c r="T3238" s="139" t="str">
        <f>IFERROR(__xludf.DUMMYFUNCTION("""COMPUTED_VALUE"""),"")</f>
        <v/>
      </c>
      <c r="U3238" s="139" t="str">
        <f>IFERROR(__xludf.DUMMYFUNCTION("""COMPUTED_VALUE"""),"")</f>
        <v/>
      </c>
      <c r="V3238" s="136" t="str">
        <f>IFERROR(__xludf.DUMMYFUNCTION("""COMPUTED_VALUE"""),"")</f>
        <v/>
      </c>
      <c r="W3238" s="106" t="str">
        <f>IFERROR(__xludf.DUMMYFUNCTION("""COMPUTED_VALUE"""),"")</f>
        <v/>
      </c>
      <c r="X3238" s="143" t="str">
        <f t="shared" si="2"/>
        <v/>
      </c>
      <c r="Y3238" s="139" t="str">
        <f>IFERROR(__xludf.DUMMYFUNCTION("""COMPUTED_VALUE"""),"")</f>
        <v/>
      </c>
      <c r="Z3238" s="141" t="str">
        <f>IFERROR(__xludf.DUMMYFUNCTION("""COMPUTED_VALUE"""),"")</f>
        <v/>
      </c>
    </row>
    <row r="3239">
      <c r="D3239" s="136" t="str">
        <f t="shared" si="3"/>
        <v/>
      </c>
      <c r="E3239" s="152"/>
      <c r="F3239" s="106" t="s">
        <v>133</v>
      </c>
      <c r="G3239" s="152"/>
      <c r="H3239" s="106" t="s">
        <v>133</v>
      </c>
      <c r="J3239" s="139" t="s">
        <v>133</v>
      </c>
      <c r="K3239" s="136" t="s">
        <v>133</v>
      </c>
      <c r="L3239" s="153"/>
      <c r="M3239" s="136" t="str">
        <f t="shared" si="1"/>
        <v/>
      </c>
      <c r="O3239" s="141" t="s">
        <v>133</v>
      </c>
      <c r="P3239" s="136" t="str">
        <f>IFERROR(__xludf.DUMMYFUNCTION("""COMPUTED_VALUE"""),"")</f>
        <v/>
      </c>
      <c r="Q3239" s="136" t="str">
        <f>IFERROR(__xludf.DUMMYFUNCTION("""COMPUTED_VALUE"""),"")</f>
        <v/>
      </c>
      <c r="R3239" s="106" t="str">
        <f>IFERROR(__xludf.DUMMYFUNCTION("""COMPUTED_VALUE"""),"")</f>
        <v/>
      </c>
      <c r="S3239" s="106" t="str">
        <f>IFERROR(__xludf.DUMMYFUNCTION("""COMPUTED_VALUE"""),"")</f>
        <v/>
      </c>
      <c r="T3239" s="139" t="str">
        <f>IFERROR(__xludf.DUMMYFUNCTION("""COMPUTED_VALUE"""),"")</f>
        <v/>
      </c>
      <c r="U3239" s="139" t="str">
        <f>IFERROR(__xludf.DUMMYFUNCTION("""COMPUTED_VALUE"""),"")</f>
        <v/>
      </c>
      <c r="V3239" s="136" t="str">
        <f>IFERROR(__xludf.DUMMYFUNCTION("""COMPUTED_VALUE"""),"")</f>
        <v/>
      </c>
      <c r="W3239" s="106" t="str">
        <f>IFERROR(__xludf.DUMMYFUNCTION("""COMPUTED_VALUE"""),"")</f>
        <v/>
      </c>
      <c r="X3239" s="143" t="str">
        <f t="shared" si="2"/>
        <v/>
      </c>
      <c r="Y3239" s="139" t="str">
        <f>IFERROR(__xludf.DUMMYFUNCTION("""COMPUTED_VALUE"""),"")</f>
        <v/>
      </c>
      <c r="Z3239" s="141" t="str">
        <f>IFERROR(__xludf.DUMMYFUNCTION("""COMPUTED_VALUE"""),"")</f>
        <v/>
      </c>
    </row>
    <row r="3240">
      <c r="D3240" s="136" t="str">
        <f t="shared" si="3"/>
        <v/>
      </c>
      <c r="E3240" s="152"/>
      <c r="F3240" s="106" t="s">
        <v>133</v>
      </c>
      <c r="G3240" s="152"/>
      <c r="H3240" s="106" t="s">
        <v>133</v>
      </c>
      <c r="J3240" s="139" t="s">
        <v>133</v>
      </c>
      <c r="K3240" s="136" t="s">
        <v>133</v>
      </c>
      <c r="L3240" s="153"/>
      <c r="M3240" s="136" t="str">
        <f t="shared" si="1"/>
        <v/>
      </c>
      <c r="O3240" s="141" t="s">
        <v>133</v>
      </c>
      <c r="P3240" s="136" t="str">
        <f>IFERROR(__xludf.DUMMYFUNCTION("""COMPUTED_VALUE"""),"")</f>
        <v/>
      </c>
      <c r="Q3240" s="136" t="str">
        <f>IFERROR(__xludf.DUMMYFUNCTION("""COMPUTED_VALUE"""),"")</f>
        <v/>
      </c>
      <c r="R3240" s="106" t="str">
        <f>IFERROR(__xludf.DUMMYFUNCTION("""COMPUTED_VALUE"""),"")</f>
        <v/>
      </c>
      <c r="S3240" s="106" t="str">
        <f>IFERROR(__xludf.DUMMYFUNCTION("""COMPUTED_VALUE"""),"")</f>
        <v/>
      </c>
      <c r="T3240" s="139" t="str">
        <f>IFERROR(__xludf.DUMMYFUNCTION("""COMPUTED_VALUE"""),"")</f>
        <v/>
      </c>
      <c r="U3240" s="139" t="str">
        <f>IFERROR(__xludf.DUMMYFUNCTION("""COMPUTED_VALUE"""),"")</f>
        <v/>
      </c>
      <c r="V3240" s="136" t="str">
        <f>IFERROR(__xludf.DUMMYFUNCTION("""COMPUTED_VALUE"""),"")</f>
        <v/>
      </c>
      <c r="W3240" s="106" t="str">
        <f>IFERROR(__xludf.DUMMYFUNCTION("""COMPUTED_VALUE"""),"")</f>
        <v/>
      </c>
      <c r="X3240" s="143" t="str">
        <f t="shared" si="2"/>
        <v/>
      </c>
      <c r="Y3240" s="139" t="str">
        <f>IFERROR(__xludf.DUMMYFUNCTION("""COMPUTED_VALUE"""),"")</f>
        <v/>
      </c>
      <c r="Z3240" s="141" t="str">
        <f>IFERROR(__xludf.DUMMYFUNCTION("""COMPUTED_VALUE"""),"")</f>
        <v/>
      </c>
    </row>
    <row r="3241">
      <c r="D3241" s="136" t="str">
        <f t="shared" si="3"/>
        <v/>
      </c>
      <c r="E3241" s="152"/>
      <c r="F3241" s="106" t="s">
        <v>133</v>
      </c>
      <c r="G3241" s="152"/>
      <c r="H3241" s="106" t="s">
        <v>133</v>
      </c>
      <c r="J3241" s="139" t="s">
        <v>133</v>
      </c>
      <c r="K3241" s="136" t="s">
        <v>133</v>
      </c>
      <c r="L3241" s="153"/>
      <c r="M3241" s="136" t="str">
        <f t="shared" si="1"/>
        <v/>
      </c>
      <c r="O3241" s="141" t="s">
        <v>133</v>
      </c>
      <c r="P3241" s="136" t="str">
        <f>IFERROR(__xludf.DUMMYFUNCTION("""COMPUTED_VALUE"""),"")</f>
        <v/>
      </c>
      <c r="Q3241" s="136" t="str">
        <f>IFERROR(__xludf.DUMMYFUNCTION("""COMPUTED_VALUE"""),"")</f>
        <v/>
      </c>
      <c r="R3241" s="106" t="str">
        <f>IFERROR(__xludf.DUMMYFUNCTION("""COMPUTED_VALUE"""),"")</f>
        <v/>
      </c>
      <c r="S3241" s="106" t="str">
        <f>IFERROR(__xludf.DUMMYFUNCTION("""COMPUTED_VALUE"""),"")</f>
        <v/>
      </c>
      <c r="T3241" s="139" t="str">
        <f>IFERROR(__xludf.DUMMYFUNCTION("""COMPUTED_VALUE"""),"")</f>
        <v/>
      </c>
      <c r="U3241" s="139" t="str">
        <f>IFERROR(__xludf.DUMMYFUNCTION("""COMPUTED_VALUE"""),"")</f>
        <v/>
      </c>
      <c r="V3241" s="136" t="str">
        <f>IFERROR(__xludf.DUMMYFUNCTION("""COMPUTED_VALUE"""),"")</f>
        <v/>
      </c>
      <c r="W3241" s="106" t="str">
        <f>IFERROR(__xludf.DUMMYFUNCTION("""COMPUTED_VALUE"""),"")</f>
        <v/>
      </c>
      <c r="X3241" s="143" t="str">
        <f t="shared" si="2"/>
        <v/>
      </c>
      <c r="Y3241" s="139" t="str">
        <f>IFERROR(__xludf.DUMMYFUNCTION("""COMPUTED_VALUE"""),"")</f>
        <v/>
      </c>
      <c r="Z3241" s="141" t="str">
        <f>IFERROR(__xludf.DUMMYFUNCTION("""COMPUTED_VALUE"""),"")</f>
        <v/>
      </c>
    </row>
    <row r="3242">
      <c r="D3242" s="136" t="str">
        <f t="shared" si="3"/>
        <v/>
      </c>
      <c r="E3242" s="152"/>
      <c r="F3242" s="106" t="s">
        <v>133</v>
      </c>
      <c r="G3242" s="152"/>
      <c r="H3242" s="106" t="s">
        <v>133</v>
      </c>
      <c r="J3242" s="139" t="s">
        <v>133</v>
      </c>
      <c r="K3242" s="136" t="s">
        <v>133</v>
      </c>
      <c r="L3242" s="153"/>
      <c r="M3242" s="136" t="str">
        <f t="shared" si="1"/>
        <v/>
      </c>
      <c r="O3242" s="141" t="s">
        <v>133</v>
      </c>
      <c r="P3242" s="136" t="str">
        <f>IFERROR(__xludf.DUMMYFUNCTION("""COMPUTED_VALUE"""),"")</f>
        <v/>
      </c>
      <c r="Q3242" s="136" t="str">
        <f>IFERROR(__xludf.DUMMYFUNCTION("""COMPUTED_VALUE"""),"")</f>
        <v/>
      </c>
      <c r="R3242" s="106" t="str">
        <f>IFERROR(__xludf.DUMMYFUNCTION("""COMPUTED_VALUE"""),"")</f>
        <v/>
      </c>
      <c r="S3242" s="106" t="str">
        <f>IFERROR(__xludf.DUMMYFUNCTION("""COMPUTED_VALUE"""),"")</f>
        <v/>
      </c>
      <c r="T3242" s="139" t="str">
        <f>IFERROR(__xludf.DUMMYFUNCTION("""COMPUTED_VALUE"""),"")</f>
        <v/>
      </c>
      <c r="U3242" s="139" t="str">
        <f>IFERROR(__xludf.DUMMYFUNCTION("""COMPUTED_VALUE"""),"")</f>
        <v/>
      </c>
      <c r="V3242" s="136" t="str">
        <f>IFERROR(__xludf.DUMMYFUNCTION("""COMPUTED_VALUE"""),"")</f>
        <v/>
      </c>
      <c r="W3242" s="106" t="str">
        <f>IFERROR(__xludf.DUMMYFUNCTION("""COMPUTED_VALUE"""),"")</f>
        <v/>
      </c>
      <c r="X3242" s="143" t="str">
        <f t="shared" si="2"/>
        <v/>
      </c>
      <c r="Y3242" s="139" t="str">
        <f>IFERROR(__xludf.DUMMYFUNCTION("""COMPUTED_VALUE"""),"")</f>
        <v/>
      </c>
      <c r="Z3242" s="141" t="str">
        <f>IFERROR(__xludf.DUMMYFUNCTION("""COMPUTED_VALUE"""),"")</f>
        <v/>
      </c>
    </row>
    <row r="3243">
      <c r="D3243" s="136" t="str">
        <f t="shared" si="3"/>
        <v/>
      </c>
      <c r="E3243" s="152"/>
      <c r="F3243" s="106" t="s">
        <v>133</v>
      </c>
      <c r="G3243" s="152"/>
      <c r="H3243" s="106" t="s">
        <v>133</v>
      </c>
      <c r="J3243" s="139" t="s">
        <v>133</v>
      </c>
      <c r="K3243" s="136" t="s">
        <v>133</v>
      </c>
      <c r="L3243" s="153"/>
      <c r="M3243" s="136" t="str">
        <f t="shared" si="1"/>
        <v/>
      </c>
      <c r="O3243" s="141" t="s">
        <v>133</v>
      </c>
      <c r="P3243" s="136" t="str">
        <f>IFERROR(__xludf.DUMMYFUNCTION("""COMPUTED_VALUE"""),"")</f>
        <v/>
      </c>
      <c r="Q3243" s="136" t="str">
        <f>IFERROR(__xludf.DUMMYFUNCTION("""COMPUTED_VALUE"""),"")</f>
        <v/>
      </c>
      <c r="R3243" s="106" t="str">
        <f>IFERROR(__xludf.DUMMYFUNCTION("""COMPUTED_VALUE"""),"")</f>
        <v/>
      </c>
      <c r="S3243" s="106" t="str">
        <f>IFERROR(__xludf.DUMMYFUNCTION("""COMPUTED_VALUE"""),"")</f>
        <v/>
      </c>
      <c r="T3243" s="139" t="str">
        <f>IFERROR(__xludf.DUMMYFUNCTION("""COMPUTED_VALUE"""),"")</f>
        <v/>
      </c>
      <c r="U3243" s="139" t="str">
        <f>IFERROR(__xludf.DUMMYFUNCTION("""COMPUTED_VALUE"""),"")</f>
        <v/>
      </c>
      <c r="V3243" s="136" t="str">
        <f>IFERROR(__xludf.DUMMYFUNCTION("""COMPUTED_VALUE"""),"")</f>
        <v/>
      </c>
      <c r="W3243" s="106" t="str">
        <f>IFERROR(__xludf.DUMMYFUNCTION("""COMPUTED_VALUE"""),"")</f>
        <v/>
      </c>
      <c r="X3243" s="143" t="str">
        <f t="shared" si="2"/>
        <v/>
      </c>
      <c r="Y3243" s="139" t="str">
        <f>IFERROR(__xludf.DUMMYFUNCTION("""COMPUTED_VALUE"""),"")</f>
        <v/>
      </c>
      <c r="Z3243" s="141" t="str">
        <f>IFERROR(__xludf.DUMMYFUNCTION("""COMPUTED_VALUE"""),"")</f>
        <v/>
      </c>
    </row>
    <row r="3244">
      <c r="D3244" s="136" t="str">
        <f t="shared" si="3"/>
        <v/>
      </c>
      <c r="E3244" s="152"/>
      <c r="F3244" s="106" t="s">
        <v>133</v>
      </c>
      <c r="G3244" s="152"/>
      <c r="H3244" s="106" t="s">
        <v>133</v>
      </c>
      <c r="J3244" s="139" t="s">
        <v>133</v>
      </c>
      <c r="K3244" s="136" t="s">
        <v>133</v>
      </c>
      <c r="L3244" s="153"/>
      <c r="M3244" s="136" t="str">
        <f t="shared" si="1"/>
        <v/>
      </c>
      <c r="O3244" s="141" t="s">
        <v>133</v>
      </c>
      <c r="P3244" s="136" t="str">
        <f>IFERROR(__xludf.DUMMYFUNCTION("""COMPUTED_VALUE"""),"")</f>
        <v/>
      </c>
      <c r="Q3244" s="136" t="str">
        <f>IFERROR(__xludf.DUMMYFUNCTION("""COMPUTED_VALUE"""),"")</f>
        <v/>
      </c>
      <c r="R3244" s="106" t="str">
        <f>IFERROR(__xludf.DUMMYFUNCTION("""COMPUTED_VALUE"""),"")</f>
        <v/>
      </c>
      <c r="S3244" s="106" t="str">
        <f>IFERROR(__xludf.DUMMYFUNCTION("""COMPUTED_VALUE"""),"")</f>
        <v/>
      </c>
      <c r="T3244" s="139" t="str">
        <f>IFERROR(__xludf.DUMMYFUNCTION("""COMPUTED_VALUE"""),"")</f>
        <v/>
      </c>
      <c r="U3244" s="139" t="str">
        <f>IFERROR(__xludf.DUMMYFUNCTION("""COMPUTED_VALUE"""),"")</f>
        <v/>
      </c>
      <c r="V3244" s="136" t="str">
        <f>IFERROR(__xludf.DUMMYFUNCTION("""COMPUTED_VALUE"""),"")</f>
        <v/>
      </c>
      <c r="W3244" s="106" t="str">
        <f>IFERROR(__xludf.DUMMYFUNCTION("""COMPUTED_VALUE"""),"")</f>
        <v/>
      </c>
      <c r="X3244" s="143" t="str">
        <f t="shared" si="2"/>
        <v/>
      </c>
      <c r="Y3244" s="139" t="str">
        <f>IFERROR(__xludf.DUMMYFUNCTION("""COMPUTED_VALUE"""),"")</f>
        <v/>
      </c>
      <c r="Z3244" s="141" t="str">
        <f>IFERROR(__xludf.DUMMYFUNCTION("""COMPUTED_VALUE"""),"")</f>
        <v/>
      </c>
    </row>
    <row r="3245">
      <c r="D3245" s="136" t="str">
        <f t="shared" si="3"/>
        <v/>
      </c>
      <c r="E3245" s="152"/>
      <c r="F3245" s="106" t="s">
        <v>133</v>
      </c>
      <c r="G3245" s="152"/>
      <c r="H3245" s="106" t="s">
        <v>133</v>
      </c>
      <c r="J3245" s="139" t="s">
        <v>133</v>
      </c>
      <c r="K3245" s="136" t="s">
        <v>133</v>
      </c>
      <c r="L3245" s="153"/>
      <c r="M3245" s="136" t="str">
        <f t="shared" si="1"/>
        <v/>
      </c>
      <c r="O3245" s="141" t="s">
        <v>133</v>
      </c>
      <c r="P3245" s="136" t="str">
        <f>IFERROR(__xludf.DUMMYFUNCTION("""COMPUTED_VALUE"""),"")</f>
        <v/>
      </c>
      <c r="Q3245" s="136" t="str">
        <f>IFERROR(__xludf.DUMMYFUNCTION("""COMPUTED_VALUE"""),"")</f>
        <v/>
      </c>
      <c r="R3245" s="106" t="str">
        <f>IFERROR(__xludf.DUMMYFUNCTION("""COMPUTED_VALUE"""),"")</f>
        <v/>
      </c>
      <c r="S3245" s="106" t="str">
        <f>IFERROR(__xludf.DUMMYFUNCTION("""COMPUTED_VALUE"""),"")</f>
        <v/>
      </c>
      <c r="T3245" s="139" t="str">
        <f>IFERROR(__xludf.DUMMYFUNCTION("""COMPUTED_VALUE"""),"")</f>
        <v/>
      </c>
      <c r="U3245" s="139" t="str">
        <f>IFERROR(__xludf.DUMMYFUNCTION("""COMPUTED_VALUE"""),"")</f>
        <v/>
      </c>
      <c r="V3245" s="136" t="str">
        <f>IFERROR(__xludf.DUMMYFUNCTION("""COMPUTED_VALUE"""),"")</f>
        <v/>
      </c>
      <c r="W3245" s="106" t="str">
        <f>IFERROR(__xludf.DUMMYFUNCTION("""COMPUTED_VALUE"""),"")</f>
        <v/>
      </c>
      <c r="X3245" s="143" t="str">
        <f t="shared" si="2"/>
        <v/>
      </c>
      <c r="Y3245" s="139" t="str">
        <f>IFERROR(__xludf.DUMMYFUNCTION("""COMPUTED_VALUE"""),"")</f>
        <v/>
      </c>
      <c r="Z3245" s="141" t="str">
        <f>IFERROR(__xludf.DUMMYFUNCTION("""COMPUTED_VALUE"""),"")</f>
        <v/>
      </c>
    </row>
    <row r="3246">
      <c r="D3246" s="136" t="str">
        <f t="shared" si="3"/>
        <v/>
      </c>
      <c r="E3246" s="152"/>
      <c r="F3246" s="106" t="s">
        <v>133</v>
      </c>
      <c r="G3246" s="152"/>
      <c r="H3246" s="106" t="s">
        <v>133</v>
      </c>
      <c r="J3246" s="139" t="s">
        <v>133</v>
      </c>
      <c r="K3246" s="136" t="s">
        <v>133</v>
      </c>
      <c r="L3246" s="153"/>
      <c r="M3246" s="136" t="str">
        <f t="shared" si="1"/>
        <v/>
      </c>
      <c r="O3246" s="141" t="s">
        <v>133</v>
      </c>
      <c r="P3246" s="136" t="str">
        <f>IFERROR(__xludf.DUMMYFUNCTION("""COMPUTED_VALUE"""),"")</f>
        <v/>
      </c>
      <c r="Q3246" s="136" t="str">
        <f>IFERROR(__xludf.DUMMYFUNCTION("""COMPUTED_VALUE"""),"")</f>
        <v/>
      </c>
      <c r="R3246" s="106" t="str">
        <f>IFERROR(__xludf.DUMMYFUNCTION("""COMPUTED_VALUE"""),"")</f>
        <v/>
      </c>
      <c r="S3246" s="106" t="str">
        <f>IFERROR(__xludf.DUMMYFUNCTION("""COMPUTED_VALUE"""),"")</f>
        <v/>
      </c>
      <c r="T3246" s="139" t="str">
        <f>IFERROR(__xludf.DUMMYFUNCTION("""COMPUTED_VALUE"""),"")</f>
        <v/>
      </c>
      <c r="U3246" s="139" t="str">
        <f>IFERROR(__xludf.DUMMYFUNCTION("""COMPUTED_VALUE"""),"")</f>
        <v/>
      </c>
      <c r="V3246" s="136" t="str">
        <f>IFERROR(__xludf.DUMMYFUNCTION("""COMPUTED_VALUE"""),"")</f>
        <v/>
      </c>
      <c r="W3246" s="106" t="str">
        <f>IFERROR(__xludf.DUMMYFUNCTION("""COMPUTED_VALUE"""),"")</f>
        <v/>
      </c>
      <c r="X3246" s="143" t="str">
        <f t="shared" si="2"/>
        <v/>
      </c>
      <c r="Y3246" s="139" t="str">
        <f>IFERROR(__xludf.DUMMYFUNCTION("""COMPUTED_VALUE"""),"")</f>
        <v/>
      </c>
      <c r="Z3246" s="141" t="str">
        <f>IFERROR(__xludf.DUMMYFUNCTION("""COMPUTED_VALUE"""),"")</f>
        <v/>
      </c>
    </row>
    <row r="3247">
      <c r="D3247" s="136" t="str">
        <f t="shared" si="3"/>
        <v/>
      </c>
      <c r="E3247" s="152"/>
      <c r="F3247" s="106" t="s">
        <v>133</v>
      </c>
      <c r="G3247" s="152"/>
      <c r="H3247" s="106" t="s">
        <v>133</v>
      </c>
      <c r="J3247" s="139" t="s">
        <v>133</v>
      </c>
      <c r="K3247" s="136" t="s">
        <v>133</v>
      </c>
      <c r="L3247" s="153"/>
      <c r="M3247" s="136" t="str">
        <f t="shared" si="1"/>
        <v/>
      </c>
      <c r="O3247" s="141" t="s">
        <v>133</v>
      </c>
      <c r="P3247" s="136" t="str">
        <f>IFERROR(__xludf.DUMMYFUNCTION("""COMPUTED_VALUE"""),"")</f>
        <v/>
      </c>
      <c r="Q3247" s="136" t="str">
        <f>IFERROR(__xludf.DUMMYFUNCTION("""COMPUTED_VALUE"""),"")</f>
        <v/>
      </c>
      <c r="R3247" s="106" t="str">
        <f>IFERROR(__xludf.DUMMYFUNCTION("""COMPUTED_VALUE"""),"")</f>
        <v/>
      </c>
      <c r="S3247" s="106" t="str">
        <f>IFERROR(__xludf.DUMMYFUNCTION("""COMPUTED_VALUE"""),"")</f>
        <v/>
      </c>
      <c r="T3247" s="139" t="str">
        <f>IFERROR(__xludf.DUMMYFUNCTION("""COMPUTED_VALUE"""),"")</f>
        <v/>
      </c>
      <c r="U3247" s="139" t="str">
        <f>IFERROR(__xludf.DUMMYFUNCTION("""COMPUTED_VALUE"""),"")</f>
        <v/>
      </c>
      <c r="V3247" s="136" t="str">
        <f>IFERROR(__xludf.DUMMYFUNCTION("""COMPUTED_VALUE"""),"")</f>
        <v/>
      </c>
      <c r="W3247" s="106" t="str">
        <f>IFERROR(__xludf.DUMMYFUNCTION("""COMPUTED_VALUE"""),"")</f>
        <v/>
      </c>
      <c r="X3247" s="143" t="str">
        <f t="shared" si="2"/>
        <v/>
      </c>
      <c r="Y3247" s="139" t="str">
        <f>IFERROR(__xludf.DUMMYFUNCTION("""COMPUTED_VALUE"""),"")</f>
        <v/>
      </c>
      <c r="Z3247" s="141" t="str">
        <f>IFERROR(__xludf.DUMMYFUNCTION("""COMPUTED_VALUE"""),"")</f>
        <v/>
      </c>
    </row>
    <row r="3248">
      <c r="D3248" s="136" t="str">
        <f t="shared" si="3"/>
        <v/>
      </c>
      <c r="E3248" s="152"/>
      <c r="F3248" s="106" t="s">
        <v>133</v>
      </c>
      <c r="G3248" s="152"/>
      <c r="H3248" s="106" t="s">
        <v>133</v>
      </c>
      <c r="J3248" s="139" t="s">
        <v>133</v>
      </c>
      <c r="K3248" s="136" t="s">
        <v>133</v>
      </c>
      <c r="L3248" s="153"/>
      <c r="M3248" s="136" t="str">
        <f t="shared" si="1"/>
        <v/>
      </c>
      <c r="O3248" s="141" t="s">
        <v>133</v>
      </c>
      <c r="P3248" s="136" t="str">
        <f>IFERROR(__xludf.DUMMYFUNCTION("""COMPUTED_VALUE"""),"")</f>
        <v/>
      </c>
      <c r="Q3248" s="136" t="str">
        <f>IFERROR(__xludf.DUMMYFUNCTION("""COMPUTED_VALUE"""),"")</f>
        <v/>
      </c>
      <c r="R3248" s="106" t="str">
        <f>IFERROR(__xludf.DUMMYFUNCTION("""COMPUTED_VALUE"""),"")</f>
        <v/>
      </c>
      <c r="S3248" s="106" t="str">
        <f>IFERROR(__xludf.DUMMYFUNCTION("""COMPUTED_VALUE"""),"")</f>
        <v/>
      </c>
      <c r="T3248" s="139" t="str">
        <f>IFERROR(__xludf.DUMMYFUNCTION("""COMPUTED_VALUE"""),"")</f>
        <v/>
      </c>
      <c r="U3248" s="139" t="str">
        <f>IFERROR(__xludf.DUMMYFUNCTION("""COMPUTED_VALUE"""),"")</f>
        <v/>
      </c>
      <c r="V3248" s="136" t="str">
        <f>IFERROR(__xludf.DUMMYFUNCTION("""COMPUTED_VALUE"""),"")</f>
        <v/>
      </c>
      <c r="W3248" s="106" t="str">
        <f>IFERROR(__xludf.DUMMYFUNCTION("""COMPUTED_VALUE"""),"")</f>
        <v/>
      </c>
      <c r="X3248" s="143" t="str">
        <f t="shared" si="2"/>
        <v/>
      </c>
      <c r="Y3248" s="139" t="str">
        <f>IFERROR(__xludf.DUMMYFUNCTION("""COMPUTED_VALUE"""),"")</f>
        <v/>
      </c>
      <c r="Z3248" s="141" t="str">
        <f>IFERROR(__xludf.DUMMYFUNCTION("""COMPUTED_VALUE"""),"")</f>
        <v/>
      </c>
    </row>
    <row r="3249">
      <c r="D3249" s="136" t="str">
        <f t="shared" si="3"/>
        <v/>
      </c>
      <c r="E3249" s="152"/>
      <c r="F3249" s="106" t="s">
        <v>133</v>
      </c>
      <c r="G3249" s="152"/>
      <c r="H3249" s="106" t="s">
        <v>133</v>
      </c>
      <c r="J3249" s="139" t="s">
        <v>133</v>
      </c>
      <c r="K3249" s="136" t="s">
        <v>133</v>
      </c>
      <c r="L3249" s="153"/>
      <c r="M3249" s="136" t="str">
        <f t="shared" si="1"/>
        <v/>
      </c>
      <c r="O3249" s="141" t="s">
        <v>133</v>
      </c>
      <c r="P3249" s="136" t="str">
        <f>IFERROR(__xludf.DUMMYFUNCTION("""COMPUTED_VALUE"""),"")</f>
        <v/>
      </c>
      <c r="Q3249" s="136" t="str">
        <f>IFERROR(__xludf.DUMMYFUNCTION("""COMPUTED_VALUE"""),"")</f>
        <v/>
      </c>
      <c r="R3249" s="106" t="str">
        <f>IFERROR(__xludf.DUMMYFUNCTION("""COMPUTED_VALUE"""),"")</f>
        <v/>
      </c>
      <c r="S3249" s="106" t="str">
        <f>IFERROR(__xludf.DUMMYFUNCTION("""COMPUTED_VALUE"""),"")</f>
        <v/>
      </c>
      <c r="T3249" s="139" t="str">
        <f>IFERROR(__xludf.DUMMYFUNCTION("""COMPUTED_VALUE"""),"")</f>
        <v/>
      </c>
      <c r="U3249" s="139" t="str">
        <f>IFERROR(__xludf.DUMMYFUNCTION("""COMPUTED_VALUE"""),"")</f>
        <v/>
      </c>
      <c r="V3249" s="136" t="str">
        <f>IFERROR(__xludf.DUMMYFUNCTION("""COMPUTED_VALUE"""),"")</f>
        <v/>
      </c>
      <c r="W3249" s="106" t="str">
        <f>IFERROR(__xludf.DUMMYFUNCTION("""COMPUTED_VALUE"""),"")</f>
        <v/>
      </c>
      <c r="X3249" s="143" t="str">
        <f t="shared" si="2"/>
        <v/>
      </c>
      <c r="Y3249" s="139" t="str">
        <f>IFERROR(__xludf.DUMMYFUNCTION("""COMPUTED_VALUE"""),"")</f>
        <v/>
      </c>
      <c r="Z3249" s="141" t="str">
        <f>IFERROR(__xludf.DUMMYFUNCTION("""COMPUTED_VALUE"""),"")</f>
        <v/>
      </c>
    </row>
    <row r="3250">
      <c r="D3250" s="136" t="str">
        <f t="shared" si="3"/>
        <v/>
      </c>
      <c r="E3250" s="152"/>
      <c r="F3250" s="106" t="s">
        <v>133</v>
      </c>
      <c r="G3250" s="152"/>
      <c r="H3250" s="106" t="s">
        <v>133</v>
      </c>
      <c r="J3250" s="139" t="s">
        <v>133</v>
      </c>
      <c r="K3250" s="136" t="s">
        <v>133</v>
      </c>
      <c r="L3250" s="153"/>
      <c r="M3250" s="136" t="str">
        <f t="shared" si="1"/>
        <v/>
      </c>
      <c r="O3250" s="141" t="s">
        <v>133</v>
      </c>
      <c r="P3250" s="136" t="str">
        <f>IFERROR(__xludf.DUMMYFUNCTION("""COMPUTED_VALUE"""),"")</f>
        <v/>
      </c>
      <c r="Q3250" s="136" t="str">
        <f>IFERROR(__xludf.DUMMYFUNCTION("""COMPUTED_VALUE"""),"")</f>
        <v/>
      </c>
      <c r="R3250" s="106" t="str">
        <f>IFERROR(__xludf.DUMMYFUNCTION("""COMPUTED_VALUE"""),"")</f>
        <v/>
      </c>
      <c r="S3250" s="106" t="str">
        <f>IFERROR(__xludf.DUMMYFUNCTION("""COMPUTED_VALUE"""),"")</f>
        <v/>
      </c>
      <c r="T3250" s="139" t="str">
        <f>IFERROR(__xludf.DUMMYFUNCTION("""COMPUTED_VALUE"""),"")</f>
        <v/>
      </c>
      <c r="U3250" s="139" t="str">
        <f>IFERROR(__xludf.DUMMYFUNCTION("""COMPUTED_VALUE"""),"")</f>
        <v/>
      </c>
      <c r="V3250" s="136" t="str">
        <f>IFERROR(__xludf.DUMMYFUNCTION("""COMPUTED_VALUE"""),"")</f>
        <v/>
      </c>
      <c r="W3250" s="106" t="str">
        <f>IFERROR(__xludf.DUMMYFUNCTION("""COMPUTED_VALUE"""),"")</f>
        <v/>
      </c>
      <c r="X3250" s="143" t="str">
        <f t="shared" si="2"/>
        <v/>
      </c>
      <c r="Y3250" s="139" t="str">
        <f>IFERROR(__xludf.DUMMYFUNCTION("""COMPUTED_VALUE"""),"")</f>
        <v/>
      </c>
      <c r="Z3250" s="141" t="str">
        <f>IFERROR(__xludf.DUMMYFUNCTION("""COMPUTED_VALUE"""),"")</f>
        <v/>
      </c>
    </row>
    <row r="3251">
      <c r="D3251" s="136" t="str">
        <f t="shared" si="3"/>
        <v/>
      </c>
      <c r="E3251" s="152"/>
      <c r="F3251" s="106" t="s">
        <v>133</v>
      </c>
      <c r="G3251" s="152"/>
      <c r="H3251" s="106" t="s">
        <v>133</v>
      </c>
      <c r="J3251" s="139" t="s">
        <v>133</v>
      </c>
      <c r="K3251" s="136" t="s">
        <v>133</v>
      </c>
      <c r="L3251" s="153"/>
      <c r="M3251" s="136" t="str">
        <f t="shared" si="1"/>
        <v/>
      </c>
      <c r="O3251" s="141" t="s">
        <v>133</v>
      </c>
      <c r="P3251" s="136" t="str">
        <f>IFERROR(__xludf.DUMMYFUNCTION("""COMPUTED_VALUE"""),"")</f>
        <v/>
      </c>
      <c r="Q3251" s="136" t="str">
        <f>IFERROR(__xludf.DUMMYFUNCTION("""COMPUTED_VALUE"""),"")</f>
        <v/>
      </c>
      <c r="R3251" s="106" t="str">
        <f>IFERROR(__xludf.DUMMYFUNCTION("""COMPUTED_VALUE"""),"")</f>
        <v/>
      </c>
      <c r="S3251" s="106" t="str">
        <f>IFERROR(__xludf.DUMMYFUNCTION("""COMPUTED_VALUE"""),"")</f>
        <v/>
      </c>
      <c r="T3251" s="139" t="str">
        <f>IFERROR(__xludf.DUMMYFUNCTION("""COMPUTED_VALUE"""),"")</f>
        <v/>
      </c>
      <c r="U3251" s="139" t="str">
        <f>IFERROR(__xludf.DUMMYFUNCTION("""COMPUTED_VALUE"""),"")</f>
        <v/>
      </c>
      <c r="V3251" s="136" t="str">
        <f>IFERROR(__xludf.DUMMYFUNCTION("""COMPUTED_VALUE"""),"")</f>
        <v/>
      </c>
      <c r="W3251" s="106" t="str">
        <f>IFERROR(__xludf.DUMMYFUNCTION("""COMPUTED_VALUE"""),"")</f>
        <v/>
      </c>
      <c r="X3251" s="143" t="str">
        <f t="shared" si="2"/>
        <v/>
      </c>
      <c r="Y3251" s="139" t="str">
        <f>IFERROR(__xludf.DUMMYFUNCTION("""COMPUTED_VALUE"""),"")</f>
        <v/>
      </c>
      <c r="Z3251" s="141" t="str">
        <f>IFERROR(__xludf.DUMMYFUNCTION("""COMPUTED_VALUE"""),"")</f>
        <v/>
      </c>
    </row>
    <row r="3252">
      <c r="D3252" s="136" t="str">
        <f t="shared" si="3"/>
        <v/>
      </c>
      <c r="E3252" s="152"/>
      <c r="F3252" s="106" t="s">
        <v>133</v>
      </c>
      <c r="G3252" s="152"/>
      <c r="H3252" s="106" t="s">
        <v>133</v>
      </c>
      <c r="J3252" s="139" t="s">
        <v>133</v>
      </c>
      <c r="K3252" s="136" t="s">
        <v>133</v>
      </c>
      <c r="L3252" s="153"/>
      <c r="M3252" s="136" t="str">
        <f t="shared" si="1"/>
        <v/>
      </c>
      <c r="O3252" s="141" t="s">
        <v>133</v>
      </c>
      <c r="P3252" s="136" t="str">
        <f>IFERROR(__xludf.DUMMYFUNCTION("""COMPUTED_VALUE"""),"")</f>
        <v/>
      </c>
      <c r="Q3252" s="136" t="str">
        <f>IFERROR(__xludf.DUMMYFUNCTION("""COMPUTED_VALUE"""),"")</f>
        <v/>
      </c>
      <c r="R3252" s="106" t="str">
        <f>IFERROR(__xludf.DUMMYFUNCTION("""COMPUTED_VALUE"""),"")</f>
        <v/>
      </c>
      <c r="S3252" s="106" t="str">
        <f>IFERROR(__xludf.DUMMYFUNCTION("""COMPUTED_VALUE"""),"")</f>
        <v/>
      </c>
      <c r="T3252" s="139" t="str">
        <f>IFERROR(__xludf.DUMMYFUNCTION("""COMPUTED_VALUE"""),"")</f>
        <v/>
      </c>
      <c r="U3252" s="139" t="str">
        <f>IFERROR(__xludf.DUMMYFUNCTION("""COMPUTED_VALUE"""),"")</f>
        <v/>
      </c>
      <c r="V3252" s="136" t="str">
        <f>IFERROR(__xludf.DUMMYFUNCTION("""COMPUTED_VALUE"""),"")</f>
        <v/>
      </c>
      <c r="W3252" s="106" t="str">
        <f>IFERROR(__xludf.DUMMYFUNCTION("""COMPUTED_VALUE"""),"")</f>
        <v/>
      </c>
      <c r="X3252" s="143" t="str">
        <f t="shared" si="2"/>
        <v/>
      </c>
      <c r="Y3252" s="139" t="str">
        <f>IFERROR(__xludf.DUMMYFUNCTION("""COMPUTED_VALUE"""),"")</f>
        <v/>
      </c>
      <c r="Z3252" s="141" t="str">
        <f>IFERROR(__xludf.DUMMYFUNCTION("""COMPUTED_VALUE"""),"")</f>
        <v/>
      </c>
    </row>
    <row r="3253">
      <c r="D3253" s="136" t="str">
        <f t="shared" si="3"/>
        <v/>
      </c>
      <c r="E3253" s="152"/>
      <c r="F3253" s="106" t="s">
        <v>133</v>
      </c>
      <c r="G3253" s="152"/>
      <c r="H3253" s="106" t="s">
        <v>133</v>
      </c>
      <c r="J3253" s="139" t="s">
        <v>133</v>
      </c>
      <c r="K3253" s="136" t="s">
        <v>133</v>
      </c>
      <c r="L3253" s="153"/>
      <c r="M3253" s="136" t="str">
        <f t="shared" si="1"/>
        <v/>
      </c>
      <c r="O3253" s="141" t="s">
        <v>133</v>
      </c>
      <c r="P3253" s="136" t="str">
        <f>IFERROR(__xludf.DUMMYFUNCTION("""COMPUTED_VALUE"""),"")</f>
        <v/>
      </c>
      <c r="Q3253" s="136" t="str">
        <f>IFERROR(__xludf.DUMMYFUNCTION("""COMPUTED_VALUE"""),"")</f>
        <v/>
      </c>
      <c r="R3253" s="106" t="str">
        <f>IFERROR(__xludf.DUMMYFUNCTION("""COMPUTED_VALUE"""),"")</f>
        <v/>
      </c>
      <c r="S3253" s="106" t="str">
        <f>IFERROR(__xludf.DUMMYFUNCTION("""COMPUTED_VALUE"""),"")</f>
        <v/>
      </c>
      <c r="T3253" s="139" t="str">
        <f>IFERROR(__xludf.DUMMYFUNCTION("""COMPUTED_VALUE"""),"")</f>
        <v/>
      </c>
      <c r="U3253" s="139" t="str">
        <f>IFERROR(__xludf.DUMMYFUNCTION("""COMPUTED_VALUE"""),"")</f>
        <v/>
      </c>
      <c r="V3253" s="136" t="str">
        <f>IFERROR(__xludf.DUMMYFUNCTION("""COMPUTED_VALUE"""),"")</f>
        <v/>
      </c>
      <c r="W3253" s="106" t="str">
        <f>IFERROR(__xludf.DUMMYFUNCTION("""COMPUTED_VALUE"""),"")</f>
        <v/>
      </c>
      <c r="X3253" s="143" t="str">
        <f t="shared" si="2"/>
        <v/>
      </c>
      <c r="Y3253" s="139" t="str">
        <f>IFERROR(__xludf.DUMMYFUNCTION("""COMPUTED_VALUE"""),"")</f>
        <v/>
      </c>
      <c r="Z3253" s="141" t="str">
        <f>IFERROR(__xludf.DUMMYFUNCTION("""COMPUTED_VALUE"""),"")</f>
        <v/>
      </c>
    </row>
    <row r="3254">
      <c r="D3254" s="136" t="str">
        <f t="shared" si="3"/>
        <v/>
      </c>
      <c r="E3254" s="152"/>
      <c r="F3254" s="106" t="s">
        <v>133</v>
      </c>
      <c r="G3254" s="152"/>
      <c r="H3254" s="106" t="s">
        <v>133</v>
      </c>
      <c r="J3254" s="139" t="s">
        <v>133</v>
      </c>
      <c r="K3254" s="136" t="s">
        <v>133</v>
      </c>
      <c r="L3254" s="153"/>
      <c r="M3254" s="136" t="str">
        <f t="shared" si="1"/>
        <v/>
      </c>
      <c r="O3254" s="141" t="s">
        <v>133</v>
      </c>
      <c r="P3254" s="136" t="str">
        <f>IFERROR(__xludf.DUMMYFUNCTION("""COMPUTED_VALUE"""),"")</f>
        <v/>
      </c>
      <c r="Q3254" s="136" t="str">
        <f>IFERROR(__xludf.DUMMYFUNCTION("""COMPUTED_VALUE"""),"")</f>
        <v/>
      </c>
      <c r="R3254" s="106" t="str">
        <f>IFERROR(__xludf.DUMMYFUNCTION("""COMPUTED_VALUE"""),"")</f>
        <v/>
      </c>
      <c r="S3254" s="106" t="str">
        <f>IFERROR(__xludf.DUMMYFUNCTION("""COMPUTED_VALUE"""),"")</f>
        <v/>
      </c>
      <c r="T3254" s="139" t="str">
        <f>IFERROR(__xludf.DUMMYFUNCTION("""COMPUTED_VALUE"""),"")</f>
        <v/>
      </c>
      <c r="U3254" s="139" t="str">
        <f>IFERROR(__xludf.DUMMYFUNCTION("""COMPUTED_VALUE"""),"")</f>
        <v/>
      </c>
      <c r="V3254" s="136" t="str">
        <f>IFERROR(__xludf.DUMMYFUNCTION("""COMPUTED_VALUE"""),"")</f>
        <v/>
      </c>
      <c r="W3254" s="106" t="str">
        <f>IFERROR(__xludf.DUMMYFUNCTION("""COMPUTED_VALUE"""),"")</f>
        <v/>
      </c>
      <c r="X3254" s="143" t="str">
        <f t="shared" si="2"/>
        <v/>
      </c>
      <c r="Y3254" s="139" t="str">
        <f>IFERROR(__xludf.DUMMYFUNCTION("""COMPUTED_VALUE"""),"")</f>
        <v/>
      </c>
      <c r="Z3254" s="141" t="str">
        <f>IFERROR(__xludf.DUMMYFUNCTION("""COMPUTED_VALUE"""),"")</f>
        <v/>
      </c>
    </row>
    <row r="3255">
      <c r="D3255" s="136" t="str">
        <f t="shared" si="3"/>
        <v/>
      </c>
      <c r="E3255" s="152"/>
      <c r="F3255" s="106" t="s">
        <v>133</v>
      </c>
      <c r="G3255" s="152"/>
      <c r="H3255" s="106" t="s">
        <v>133</v>
      </c>
      <c r="J3255" s="139" t="s">
        <v>133</v>
      </c>
      <c r="K3255" s="136" t="s">
        <v>133</v>
      </c>
      <c r="L3255" s="153"/>
      <c r="M3255" s="136" t="str">
        <f t="shared" si="1"/>
        <v/>
      </c>
      <c r="O3255" s="141" t="s">
        <v>133</v>
      </c>
      <c r="P3255" s="136" t="str">
        <f>IFERROR(__xludf.DUMMYFUNCTION("""COMPUTED_VALUE"""),"")</f>
        <v/>
      </c>
      <c r="Q3255" s="136" t="str">
        <f>IFERROR(__xludf.DUMMYFUNCTION("""COMPUTED_VALUE"""),"")</f>
        <v/>
      </c>
      <c r="R3255" s="106" t="str">
        <f>IFERROR(__xludf.DUMMYFUNCTION("""COMPUTED_VALUE"""),"")</f>
        <v/>
      </c>
      <c r="S3255" s="106" t="str">
        <f>IFERROR(__xludf.DUMMYFUNCTION("""COMPUTED_VALUE"""),"")</f>
        <v/>
      </c>
      <c r="T3255" s="139" t="str">
        <f>IFERROR(__xludf.DUMMYFUNCTION("""COMPUTED_VALUE"""),"")</f>
        <v/>
      </c>
      <c r="U3255" s="139" t="str">
        <f>IFERROR(__xludf.DUMMYFUNCTION("""COMPUTED_VALUE"""),"")</f>
        <v/>
      </c>
      <c r="V3255" s="136" t="str">
        <f>IFERROR(__xludf.DUMMYFUNCTION("""COMPUTED_VALUE"""),"")</f>
        <v/>
      </c>
      <c r="W3255" s="106" t="str">
        <f>IFERROR(__xludf.DUMMYFUNCTION("""COMPUTED_VALUE"""),"")</f>
        <v/>
      </c>
      <c r="X3255" s="143" t="str">
        <f t="shared" si="2"/>
        <v/>
      </c>
      <c r="Y3255" s="139" t="str">
        <f>IFERROR(__xludf.DUMMYFUNCTION("""COMPUTED_VALUE"""),"")</f>
        <v/>
      </c>
      <c r="Z3255" s="141" t="str">
        <f>IFERROR(__xludf.DUMMYFUNCTION("""COMPUTED_VALUE"""),"")</f>
        <v/>
      </c>
    </row>
    <row r="3256">
      <c r="D3256" s="136" t="str">
        <f t="shared" si="3"/>
        <v/>
      </c>
      <c r="E3256" s="152"/>
      <c r="F3256" s="106" t="s">
        <v>133</v>
      </c>
      <c r="G3256" s="152"/>
      <c r="H3256" s="106" t="s">
        <v>133</v>
      </c>
      <c r="J3256" s="139" t="s">
        <v>133</v>
      </c>
      <c r="K3256" s="136" t="s">
        <v>133</v>
      </c>
      <c r="L3256" s="153"/>
      <c r="M3256" s="136" t="str">
        <f t="shared" si="1"/>
        <v/>
      </c>
      <c r="O3256" s="141" t="s">
        <v>133</v>
      </c>
      <c r="P3256" s="136" t="str">
        <f>IFERROR(__xludf.DUMMYFUNCTION("""COMPUTED_VALUE"""),"")</f>
        <v/>
      </c>
      <c r="Q3256" s="136" t="str">
        <f>IFERROR(__xludf.DUMMYFUNCTION("""COMPUTED_VALUE"""),"")</f>
        <v/>
      </c>
      <c r="R3256" s="106" t="str">
        <f>IFERROR(__xludf.DUMMYFUNCTION("""COMPUTED_VALUE"""),"")</f>
        <v/>
      </c>
      <c r="S3256" s="106" t="str">
        <f>IFERROR(__xludf.DUMMYFUNCTION("""COMPUTED_VALUE"""),"")</f>
        <v/>
      </c>
      <c r="T3256" s="139" t="str">
        <f>IFERROR(__xludf.DUMMYFUNCTION("""COMPUTED_VALUE"""),"")</f>
        <v/>
      </c>
      <c r="U3256" s="139" t="str">
        <f>IFERROR(__xludf.DUMMYFUNCTION("""COMPUTED_VALUE"""),"")</f>
        <v/>
      </c>
      <c r="V3256" s="136" t="str">
        <f>IFERROR(__xludf.DUMMYFUNCTION("""COMPUTED_VALUE"""),"")</f>
        <v/>
      </c>
      <c r="W3256" s="106" t="str">
        <f>IFERROR(__xludf.DUMMYFUNCTION("""COMPUTED_VALUE"""),"")</f>
        <v/>
      </c>
      <c r="X3256" s="143" t="str">
        <f t="shared" si="2"/>
        <v/>
      </c>
      <c r="Y3256" s="139" t="str">
        <f>IFERROR(__xludf.DUMMYFUNCTION("""COMPUTED_VALUE"""),"")</f>
        <v/>
      </c>
      <c r="Z3256" s="141" t="str">
        <f>IFERROR(__xludf.DUMMYFUNCTION("""COMPUTED_VALUE"""),"")</f>
        <v/>
      </c>
    </row>
    <row r="3257">
      <c r="D3257" s="136" t="str">
        <f t="shared" si="3"/>
        <v/>
      </c>
      <c r="E3257" s="152"/>
      <c r="F3257" s="106" t="s">
        <v>133</v>
      </c>
      <c r="G3257" s="152"/>
      <c r="H3257" s="106" t="s">
        <v>133</v>
      </c>
      <c r="J3257" s="139" t="s">
        <v>133</v>
      </c>
      <c r="K3257" s="136" t="s">
        <v>133</v>
      </c>
      <c r="L3257" s="153"/>
      <c r="M3257" s="136" t="str">
        <f t="shared" si="1"/>
        <v/>
      </c>
      <c r="O3257" s="141" t="s">
        <v>133</v>
      </c>
      <c r="P3257" s="136" t="str">
        <f>IFERROR(__xludf.DUMMYFUNCTION("""COMPUTED_VALUE"""),"")</f>
        <v/>
      </c>
      <c r="Q3257" s="136" t="str">
        <f>IFERROR(__xludf.DUMMYFUNCTION("""COMPUTED_VALUE"""),"")</f>
        <v/>
      </c>
      <c r="R3257" s="106" t="str">
        <f>IFERROR(__xludf.DUMMYFUNCTION("""COMPUTED_VALUE"""),"")</f>
        <v/>
      </c>
      <c r="S3257" s="106" t="str">
        <f>IFERROR(__xludf.DUMMYFUNCTION("""COMPUTED_VALUE"""),"")</f>
        <v/>
      </c>
      <c r="T3257" s="139" t="str">
        <f>IFERROR(__xludf.DUMMYFUNCTION("""COMPUTED_VALUE"""),"")</f>
        <v/>
      </c>
      <c r="U3257" s="139" t="str">
        <f>IFERROR(__xludf.DUMMYFUNCTION("""COMPUTED_VALUE"""),"")</f>
        <v/>
      </c>
      <c r="V3257" s="136" t="str">
        <f>IFERROR(__xludf.DUMMYFUNCTION("""COMPUTED_VALUE"""),"")</f>
        <v/>
      </c>
      <c r="W3257" s="106" t="str">
        <f>IFERROR(__xludf.DUMMYFUNCTION("""COMPUTED_VALUE"""),"")</f>
        <v/>
      </c>
      <c r="X3257" s="143" t="str">
        <f t="shared" si="2"/>
        <v/>
      </c>
      <c r="Y3257" s="139" t="str">
        <f>IFERROR(__xludf.DUMMYFUNCTION("""COMPUTED_VALUE"""),"")</f>
        <v/>
      </c>
      <c r="Z3257" s="141" t="str">
        <f>IFERROR(__xludf.DUMMYFUNCTION("""COMPUTED_VALUE"""),"")</f>
        <v/>
      </c>
    </row>
    <row r="3258">
      <c r="D3258" s="136" t="str">
        <f t="shared" si="3"/>
        <v/>
      </c>
      <c r="E3258" s="152"/>
      <c r="F3258" s="106" t="s">
        <v>133</v>
      </c>
      <c r="G3258" s="152"/>
      <c r="H3258" s="106" t="s">
        <v>133</v>
      </c>
      <c r="J3258" s="139" t="s">
        <v>133</v>
      </c>
      <c r="K3258" s="136" t="s">
        <v>133</v>
      </c>
      <c r="L3258" s="153"/>
      <c r="M3258" s="136" t="str">
        <f t="shared" si="1"/>
        <v/>
      </c>
      <c r="O3258" s="141" t="s">
        <v>133</v>
      </c>
      <c r="P3258" s="136" t="str">
        <f>IFERROR(__xludf.DUMMYFUNCTION("""COMPUTED_VALUE"""),"")</f>
        <v/>
      </c>
      <c r="Q3258" s="136" t="str">
        <f>IFERROR(__xludf.DUMMYFUNCTION("""COMPUTED_VALUE"""),"")</f>
        <v/>
      </c>
      <c r="R3258" s="106" t="str">
        <f>IFERROR(__xludf.DUMMYFUNCTION("""COMPUTED_VALUE"""),"")</f>
        <v/>
      </c>
      <c r="S3258" s="106" t="str">
        <f>IFERROR(__xludf.DUMMYFUNCTION("""COMPUTED_VALUE"""),"")</f>
        <v/>
      </c>
      <c r="T3258" s="139" t="str">
        <f>IFERROR(__xludf.DUMMYFUNCTION("""COMPUTED_VALUE"""),"")</f>
        <v/>
      </c>
      <c r="U3258" s="139" t="str">
        <f>IFERROR(__xludf.DUMMYFUNCTION("""COMPUTED_VALUE"""),"")</f>
        <v/>
      </c>
      <c r="V3258" s="136" t="str">
        <f>IFERROR(__xludf.DUMMYFUNCTION("""COMPUTED_VALUE"""),"")</f>
        <v/>
      </c>
      <c r="W3258" s="106" t="str">
        <f>IFERROR(__xludf.DUMMYFUNCTION("""COMPUTED_VALUE"""),"")</f>
        <v/>
      </c>
      <c r="X3258" s="143" t="str">
        <f t="shared" si="2"/>
        <v/>
      </c>
      <c r="Y3258" s="139" t="str">
        <f>IFERROR(__xludf.DUMMYFUNCTION("""COMPUTED_VALUE"""),"")</f>
        <v/>
      </c>
      <c r="Z3258" s="141" t="str">
        <f>IFERROR(__xludf.DUMMYFUNCTION("""COMPUTED_VALUE"""),"")</f>
        <v/>
      </c>
    </row>
    <row r="3259">
      <c r="D3259" s="136" t="str">
        <f t="shared" si="3"/>
        <v/>
      </c>
      <c r="E3259" s="152"/>
      <c r="F3259" s="106" t="s">
        <v>133</v>
      </c>
      <c r="G3259" s="152"/>
      <c r="H3259" s="106" t="s">
        <v>133</v>
      </c>
      <c r="J3259" s="139" t="s">
        <v>133</v>
      </c>
      <c r="K3259" s="136" t="s">
        <v>133</v>
      </c>
      <c r="L3259" s="153"/>
      <c r="M3259" s="136" t="str">
        <f t="shared" si="1"/>
        <v/>
      </c>
      <c r="O3259" s="141" t="s">
        <v>133</v>
      </c>
      <c r="P3259" s="136" t="str">
        <f>IFERROR(__xludf.DUMMYFUNCTION("""COMPUTED_VALUE"""),"")</f>
        <v/>
      </c>
      <c r="Q3259" s="136" t="str">
        <f>IFERROR(__xludf.DUMMYFUNCTION("""COMPUTED_VALUE"""),"")</f>
        <v/>
      </c>
      <c r="R3259" s="106" t="str">
        <f>IFERROR(__xludf.DUMMYFUNCTION("""COMPUTED_VALUE"""),"")</f>
        <v/>
      </c>
      <c r="S3259" s="106" t="str">
        <f>IFERROR(__xludf.DUMMYFUNCTION("""COMPUTED_VALUE"""),"")</f>
        <v/>
      </c>
      <c r="T3259" s="139" t="str">
        <f>IFERROR(__xludf.DUMMYFUNCTION("""COMPUTED_VALUE"""),"")</f>
        <v/>
      </c>
      <c r="U3259" s="139" t="str">
        <f>IFERROR(__xludf.DUMMYFUNCTION("""COMPUTED_VALUE"""),"")</f>
        <v/>
      </c>
      <c r="V3259" s="136" t="str">
        <f>IFERROR(__xludf.DUMMYFUNCTION("""COMPUTED_VALUE"""),"")</f>
        <v/>
      </c>
      <c r="W3259" s="106" t="str">
        <f>IFERROR(__xludf.DUMMYFUNCTION("""COMPUTED_VALUE"""),"")</f>
        <v/>
      </c>
      <c r="X3259" s="143" t="str">
        <f t="shared" si="2"/>
        <v/>
      </c>
      <c r="Y3259" s="139" t="str">
        <f>IFERROR(__xludf.DUMMYFUNCTION("""COMPUTED_VALUE"""),"")</f>
        <v/>
      </c>
      <c r="Z3259" s="141" t="str">
        <f>IFERROR(__xludf.DUMMYFUNCTION("""COMPUTED_VALUE"""),"")</f>
        <v/>
      </c>
    </row>
    <row r="3260">
      <c r="D3260" s="136" t="str">
        <f t="shared" si="3"/>
        <v/>
      </c>
      <c r="E3260" s="152"/>
      <c r="F3260" s="106" t="s">
        <v>133</v>
      </c>
      <c r="G3260" s="152"/>
      <c r="H3260" s="106" t="s">
        <v>133</v>
      </c>
      <c r="J3260" s="139" t="s">
        <v>133</v>
      </c>
      <c r="K3260" s="136" t="s">
        <v>133</v>
      </c>
      <c r="L3260" s="153"/>
      <c r="M3260" s="136" t="str">
        <f t="shared" si="1"/>
        <v/>
      </c>
      <c r="O3260" s="141" t="s">
        <v>133</v>
      </c>
      <c r="P3260" s="136" t="str">
        <f>IFERROR(__xludf.DUMMYFUNCTION("""COMPUTED_VALUE"""),"")</f>
        <v/>
      </c>
      <c r="Q3260" s="136" t="str">
        <f>IFERROR(__xludf.DUMMYFUNCTION("""COMPUTED_VALUE"""),"")</f>
        <v/>
      </c>
      <c r="R3260" s="106" t="str">
        <f>IFERROR(__xludf.DUMMYFUNCTION("""COMPUTED_VALUE"""),"")</f>
        <v/>
      </c>
      <c r="S3260" s="106" t="str">
        <f>IFERROR(__xludf.DUMMYFUNCTION("""COMPUTED_VALUE"""),"")</f>
        <v/>
      </c>
      <c r="T3260" s="139" t="str">
        <f>IFERROR(__xludf.DUMMYFUNCTION("""COMPUTED_VALUE"""),"")</f>
        <v/>
      </c>
      <c r="U3260" s="139" t="str">
        <f>IFERROR(__xludf.DUMMYFUNCTION("""COMPUTED_VALUE"""),"")</f>
        <v/>
      </c>
      <c r="V3260" s="136" t="str">
        <f>IFERROR(__xludf.DUMMYFUNCTION("""COMPUTED_VALUE"""),"")</f>
        <v/>
      </c>
      <c r="W3260" s="106" t="str">
        <f>IFERROR(__xludf.DUMMYFUNCTION("""COMPUTED_VALUE"""),"")</f>
        <v/>
      </c>
      <c r="X3260" s="143" t="str">
        <f t="shared" si="2"/>
        <v/>
      </c>
      <c r="Y3260" s="139" t="str">
        <f>IFERROR(__xludf.DUMMYFUNCTION("""COMPUTED_VALUE"""),"")</f>
        <v/>
      </c>
      <c r="Z3260" s="141" t="str">
        <f>IFERROR(__xludf.DUMMYFUNCTION("""COMPUTED_VALUE"""),"")</f>
        <v/>
      </c>
    </row>
    <row r="3261">
      <c r="D3261" s="136" t="str">
        <f t="shared" si="3"/>
        <v/>
      </c>
      <c r="E3261" s="152"/>
      <c r="F3261" s="106" t="s">
        <v>133</v>
      </c>
      <c r="G3261" s="152"/>
      <c r="H3261" s="106" t="s">
        <v>133</v>
      </c>
      <c r="J3261" s="139" t="s">
        <v>133</v>
      </c>
      <c r="K3261" s="136" t="s">
        <v>133</v>
      </c>
      <c r="L3261" s="153"/>
      <c r="M3261" s="136" t="str">
        <f t="shared" si="1"/>
        <v/>
      </c>
      <c r="O3261" s="141" t="s">
        <v>133</v>
      </c>
      <c r="P3261" s="136" t="str">
        <f>IFERROR(__xludf.DUMMYFUNCTION("""COMPUTED_VALUE"""),"")</f>
        <v/>
      </c>
      <c r="Q3261" s="136" t="str">
        <f>IFERROR(__xludf.DUMMYFUNCTION("""COMPUTED_VALUE"""),"")</f>
        <v/>
      </c>
      <c r="R3261" s="106" t="str">
        <f>IFERROR(__xludf.DUMMYFUNCTION("""COMPUTED_VALUE"""),"")</f>
        <v/>
      </c>
      <c r="S3261" s="106" t="str">
        <f>IFERROR(__xludf.DUMMYFUNCTION("""COMPUTED_VALUE"""),"")</f>
        <v/>
      </c>
      <c r="T3261" s="139" t="str">
        <f>IFERROR(__xludf.DUMMYFUNCTION("""COMPUTED_VALUE"""),"")</f>
        <v/>
      </c>
      <c r="U3261" s="139" t="str">
        <f>IFERROR(__xludf.DUMMYFUNCTION("""COMPUTED_VALUE"""),"")</f>
        <v/>
      </c>
      <c r="V3261" s="136" t="str">
        <f>IFERROR(__xludf.DUMMYFUNCTION("""COMPUTED_VALUE"""),"")</f>
        <v/>
      </c>
      <c r="W3261" s="106" t="str">
        <f>IFERROR(__xludf.DUMMYFUNCTION("""COMPUTED_VALUE"""),"")</f>
        <v/>
      </c>
      <c r="X3261" s="143" t="str">
        <f t="shared" si="2"/>
        <v/>
      </c>
      <c r="Y3261" s="139" t="str">
        <f>IFERROR(__xludf.DUMMYFUNCTION("""COMPUTED_VALUE"""),"")</f>
        <v/>
      </c>
      <c r="Z3261" s="141" t="str">
        <f>IFERROR(__xludf.DUMMYFUNCTION("""COMPUTED_VALUE"""),"")</f>
        <v/>
      </c>
    </row>
    <row r="3262">
      <c r="D3262" s="136" t="str">
        <f t="shared" si="3"/>
        <v/>
      </c>
      <c r="E3262" s="152"/>
      <c r="F3262" s="106" t="s">
        <v>133</v>
      </c>
      <c r="G3262" s="152"/>
      <c r="H3262" s="106" t="s">
        <v>133</v>
      </c>
      <c r="J3262" s="139" t="s">
        <v>133</v>
      </c>
      <c r="K3262" s="136" t="s">
        <v>133</v>
      </c>
      <c r="L3262" s="153"/>
      <c r="M3262" s="136" t="str">
        <f t="shared" si="1"/>
        <v/>
      </c>
      <c r="O3262" s="141" t="s">
        <v>133</v>
      </c>
      <c r="P3262" s="136" t="str">
        <f>IFERROR(__xludf.DUMMYFUNCTION("""COMPUTED_VALUE"""),"")</f>
        <v/>
      </c>
      <c r="Q3262" s="136" t="str">
        <f>IFERROR(__xludf.DUMMYFUNCTION("""COMPUTED_VALUE"""),"")</f>
        <v/>
      </c>
      <c r="R3262" s="106" t="str">
        <f>IFERROR(__xludf.DUMMYFUNCTION("""COMPUTED_VALUE"""),"")</f>
        <v/>
      </c>
      <c r="S3262" s="106" t="str">
        <f>IFERROR(__xludf.DUMMYFUNCTION("""COMPUTED_VALUE"""),"")</f>
        <v/>
      </c>
      <c r="T3262" s="139" t="str">
        <f>IFERROR(__xludf.DUMMYFUNCTION("""COMPUTED_VALUE"""),"")</f>
        <v/>
      </c>
      <c r="U3262" s="139" t="str">
        <f>IFERROR(__xludf.DUMMYFUNCTION("""COMPUTED_VALUE"""),"")</f>
        <v/>
      </c>
      <c r="V3262" s="136" t="str">
        <f>IFERROR(__xludf.DUMMYFUNCTION("""COMPUTED_VALUE"""),"")</f>
        <v/>
      </c>
      <c r="W3262" s="106" t="str">
        <f>IFERROR(__xludf.DUMMYFUNCTION("""COMPUTED_VALUE"""),"")</f>
        <v/>
      </c>
      <c r="X3262" s="143" t="str">
        <f t="shared" si="2"/>
        <v/>
      </c>
      <c r="Y3262" s="139" t="str">
        <f>IFERROR(__xludf.DUMMYFUNCTION("""COMPUTED_VALUE"""),"")</f>
        <v/>
      </c>
      <c r="Z3262" s="141" t="str">
        <f>IFERROR(__xludf.DUMMYFUNCTION("""COMPUTED_VALUE"""),"")</f>
        <v/>
      </c>
    </row>
    <row r="3263">
      <c r="D3263" s="136" t="str">
        <f t="shared" si="3"/>
        <v/>
      </c>
      <c r="E3263" s="152"/>
      <c r="F3263" s="106" t="s">
        <v>133</v>
      </c>
      <c r="G3263" s="152"/>
      <c r="H3263" s="106" t="s">
        <v>133</v>
      </c>
      <c r="J3263" s="139" t="s">
        <v>133</v>
      </c>
      <c r="K3263" s="136" t="s">
        <v>133</v>
      </c>
      <c r="L3263" s="153"/>
      <c r="M3263" s="136" t="str">
        <f t="shared" si="1"/>
        <v/>
      </c>
      <c r="O3263" s="141" t="s">
        <v>133</v>
      </c>
      <c r="P3263" s="136" t="str">
        <f>IFERROR(__xludf.DUMMYFUNCTION("""COMPUTED_VALUE"""),"")</f>
        <v/>
      </c>
      <c r="Q3263" s="136" t="str">
        <f>IFERROR(__xludf.DUMMYFUNCTION("""COMPUTED_VALUE"""),"")</f>
        <v/>
      </c>
      <c r="R3263" s="106" t="str">
        <f>IFERROR(__xludf.DUMMYFUNCTION("""COMPUTED_VALUE"""),"")</f>
        <v/>
      </c>
      <c r="S3263" s="106" t="str">
        <f>IFERROR(__xludf.DUMMYFUNCTION("""COMPUTED_VALUE"""),"")</f>
        <v/>
      </c>
      <c r="T3263" s="139" t="str">
        <f>IFERROR(__xludf.DUMMYFUNCTION("""COMPUTED_VALUE"""),"")</f>
        <v/>
      </c>
      <c r="U3263" s="139" t="str">
        <f>IFERROR(__xludf.DUMMYFUNCTION("""COMPUTED_VALUE"""),"")</f>
        <v/>
      </c>
      <c r="V3263" s="136" t="str">
        <f>IFERROR(__xludf.DUMMYFUNCTION("""COMPUTED_VALUE"""),"")</f>
        <v/>
      </c>
      <c r="W3263" s="106" t="str">
        <f>IFERROR(__xludf.DUMMYFUNCTION("""COMPUTED_VALUE"""),"")</f>
        <v/>
      </c>
      <c r="X3263" s="143" t="str">
        <f t="shared" si="2"/>
        <v/>
      </c>
      <c r="Y3263" s="139" t="str">
        <f>IFERROR(__xludf.DUMMYFUNCTION("""COMPUTED_VALUE"""),"")</f>
        <v/>
      </c>
      <c r="Z3263" s="141" t="str">
        <f>IFERROR(__xludf.DUMMYFUNCTION("""COMPUTED_VALUE"""),"")</f>
        <v/>
      </c>
    </row>
    <row r="3264">
      <c r="D3264" s="136" t="str">
        <f t="shared" si="3"/>
        <v/>
      </c>
      <c r="E3264" s="152"/>
      <c r="F3264" s="106" t="s">
        <v>133</v>
      </c>
      <c r="G3264" s="152"/>
      <c r="H3264" s="106" t="s">
        <v>133</v>
      </c>
      <c r="J3264" s="139" t="s">
        <v>133</v>
      </c>
      <c r="K3264" s="136" t="s">
        <v>133</v>
      </c>
      <c r="L3264" s="153"/>
      <c r="M3264" s="136" t="str">
        <f t="shared" si="1"/>
        <v/>
      </c>
      <c r="O3264" s="141" t="s">
        <v>133</v>
      </c>
      <c r="P3264" s="136" t="str">
        <f>IFERROR(__xludf.DUMMYFUNCTION("""COMPUTED_VALUE"""),"")</f>
        <v/>
      </c>
      <c r="Q3264" s="136" t="str">
        <f>IFERROR(__xludf.DUMMYFUNCTION("""COMPUTED_VALUE"""),"")</f>
        <v/>
      </c>
      <c r="R3264" s="106" t="str">
        <f>IFERROR(__xludf.DUMMYFUNCTION("""COMPUTED_VALUE"""),"")</f>
        <v/>
      </c>
      <c r="S3264" s="106" t="str">
        <f>IFERROR(__xludf.DUMMYFUNCTION("""COMPUTED_VALUE"""),"")</f>
        <v/>
      </c>
      <c r="T3264" s="139" t="str">
        <f>IFERROR(__xludf.DUMMYFUNCTION("""COMPUTED_VALUE"""),"")</f>
        <v/>
      </c>
      <c r="U3264" s="139" t="str">
        <f>IFERROR(__xludf.DUMMYFUNCTION("""COMPUTED_VALUE"""),"")</f>
        <v/>
      </c>
      <c r="V3264" s="136" t="str">
        <f>IFERROR(__xludf.DUMMYFUNCTION("""COMPUTED_VALUE"""),"")</f>
        <v/>
      </c>
      <c r="W3264" s="106" t="str">
        <f>IFERROR(__xludf.DUMMYFUNCTION("""COMPUTED_VALUE"""),"")</f>
        <v/>
      </c>
      <c r="X3264" s="143" t="str">
        <f t="shared" si="2"/>
        <v/>
      </c>
      <c r="Y3264" s="139" t="str">
        <f>IFERROR(__xludf.DUMMYFUNCTION("""COMPUTED_VALUE"""),"")</f>
        <v/>
      </c>
      <c r="Z3264" s="141" t="str">
        <f>IFERROR(__xludf.DUMMYFUNCTION("""COMPUTED_VALUE"""),"")</f>
        <v/>
      </c>
    </row>
    <row r="3265">
      <c r="D3265" s="136" t="str">
        <f t="shared" si="3"/>
        <v/>
      </c>
      <c r="E3265" s="152"/>
      <c r="F3265" s="106" t="s">
        <v>133</v>
      </c>
      <c r="G3265" s="152"/>
      <c r="H3265" s="106" t="s">
        <v>133</v>
      </c>
      <c r="J3265" s="139" t="s">
        <v>133</v>
      </c>
      <c r="K3265" s="136" t="s">
        <v>133</v>
      </c>
      <c r="L3265" s="153"/>
      <c r="M3265" s="136" t="str">
        <f t="shared" si="1"/>
        <v/>
      </c>
      <c r="O3265" s="141" t="s">
        <v>133</v>
      </c>
      <c r="P3265" s="136" t="str">
        <f>IFERROR(__xludf.DUMMYFUNCTION("""COMPUTED_VALUE"""),"")</f>
        <v/>
      </c>
      <c r="Q3265" s="136" t="str">
        <f>IFERROR(__xludf.DUMMYFUNCTION("""COMPUTED_VALUE"""),"")</f>
        <v/>
      </c>
      <c r="R3265" s="106" t="str">
        <f>IFERROR(__xludf.DUMMYFUNCTION("""COMPUTED_VALUE"""),"")</f>
        <v/>
      </c>
      <c r="S3265" s="106" t="str">
        <f>IFERROR(__xludf.DUMMYFUNCTION("""COMPUTED_VALUE"""),"")</f>
        <v/>
      </c>
      <c r="T3265" s="139" t="str">
        <f>IFERROR(__xludf.DUMMYFUNCTION("""COMPUTED_VALUE"""),"")</f>
        <v/>
      </c>
      <c r="U3265" s="139" t="str">
        <f>IFERROR(__xludf.DUMMYFUNCTION("""COMPUTED_VALUE"""),"")</f>
        <v/>
      </c>
      <c r="V3265" s="136" t="str">
        <f>IFERROR(__xludf.DUMMYFUNCTION("""COMPUTED_VALUE"""),"")</f>
        <v/>
      </c>
      <c r="W3265" s="106" t="str">
        <f>IFERROR(__xludf.DUMMYFUNCTION("""COMPUTED_VALUE"""),"")</f>
        <v/>
      </c>
      <c r="X3265" s="143" t="str">
        <f t="shared" si="2"/>
        <v/>
      </c>
      <c r="Y3265" s="139" t="str">
        <f>IFERROR(__xludf.DUMMYFUNCTION("""COMPUTED_VALUE"""),"")</f>
        <v/>
      </c>
      <c r="Z3265" s="141" t="str">
        <f>IFERROR(__xludf.DUMMYFUNCTION("""COMPUTED_VALUE"""),"")</f>
        <v/>
      </c>
    </row>
    <row r="3266">
      <c r="D3266" s="136" t="str">
        <f t="shared" si="3"/>
        <v/>
      </c>
      <c r="E3266" s="152"/>
      <c r="F3266" s="106" t="s">
        <v>133</v>
      </c>
      <c r="G3266" s="152"/>
      <c r="H3266" s="106" t="s">
        <v>133</v>
      </c>
      <c r="J3266" s="139" t="s">
        <v>133</v>
      </c>
      <c r="K3266" s="136" t="s">
        <v>133</v>
      </c>
      <c r="L3266" s="153"/>
      <c r="M3266" s="136" t="str">
        <f t="shared" si="1"/>
        <v/>
      </c>
      <c r="O3266" s="141" t="s">
        <v>133</v>
      </c>
      <c r="P3266" s="136" t="str">
        <f>IFERROR(__xludf.DUMMYFUNCTION("""COMPUTED_VALUE"""),"")</f>
        <v/>
      </c>
      <c r="Q3266" s="136" t="str">
        <f>IFERROR(__xludf.DUMMYFUNCTION("""COMPUTED_VALUE"""),"")</f>
        <v/>
      </c>
      <c r="R3266" s="106" t="str">
        <f>IFERROR(__xludf.DUMMYFUNCTION("""COMPUTED_VALUE"""),"")</f>
        <v/>
      </c>
      <c r="S3266" s="106" t="str">
        <f>IFERROR(__xludf.DUMMYFUNCTION("""COMPUTED_VALUE"""),"")</f>
        <v/>
      </c>
      <c r="T3266" s="139" t="str">
        <f>IFERROR(__xludf.DUMMYFUNCTION("""COMPUTED_VALUE"""),"")</f>
        <v/>
      </c>
      <c r="U3266" s="139" t="str">
        <f>IFERROR(__xludf.DUMMYFUNCTION("""COMPUTED_VALUE"""),"")</f>
        <v/>
      </c>
      <c r="V3266" s="136" t="str">
        <f>IFERROR(__xludf.DUMMYFUNCTION("""COMPUTED_VALUE"""),"")</f>
        <v/>
      </c>
      <c r="W3266" s="106" t="str">
        <f>IFERROR(__xludf.DUMMYFUNCTION("""COMPUTED_VALUE"""),"")</f>
        <v/>
      </c>
      <c r="X3266" s="143" t="str">
        <f t="shared" si="2"/>
        <v/>
      </c>
      <c r="Y3266" s="139" t="str">
        <f>IFERROR(__xludf.DUMMYFUNCTION("""COMPUTED_VALUE"""),"")</f>
        <v/>
      </c>
      <c r="Z3266" s="141" t="str">
        <f>IFERROR(__xludf.DUMMYFUNCTION("""COMPUTED_VALUE"""),"")</f>
        <v/>
      </c>
    </row>
    <row r="3267">
      <c r="D3267" s="136" t="str">
        <f t="shared" si="3"/>
        <v/>
      </c>
      <c r="E3267" s="152"/>
      <c r="F3267" s="106" t="s">
        <v>133</v>
      </c>
      <c r="G3267" s="152"/>
      <c r="H3267" s="106" t="s">
        <v>133</v>
      </c>
      <c r="J3267" s="139" t="s">
        <v>133</v>
      </c>
      <c r="K3267" s="136" t="s">
        <v>133</v>
      </c>
      <c r="L3267" s="153"/>
      <c r="M3267" s="136" t="str">
        <f t="shared" si="1"/>
        <v/>
      </c>
      <c r="O3267" s="141" t="s">
        <v>133</v>
      </c>
      <c r="P3267" s="136" t="str">
        <f>IFERROR(__xludf.DUMMYFUNCTION("""COMPUTED_VALUE"""),"")</f>
        <v/>
      </c>
      <c r="Q3267" s="136" t="str">
        <f>IFERROR(__xludf.DUMMYFUNCTION("""COMPUTED_VALUE"""),"")</f>
        <v/>
      </c>
      <c r="R3267" s="106" t="str">
        <f>IFERROR(__xludf.DUMMYFUNCTION("""COMPUTED_VALUE"""),"")</f>
        <v/>
      </c>
      <c r="S3267" s="106" t="str">
        <f>IFERROR(__xludf.DUMMYFUNCTION("""COMPUTED_VALUE"""),"")</f>
        <v/>
      </c>
      <c r="T3267" s="139" t="str">
        <f>IFERROR(__xludf.DUMMYFUNCTION("""COMPUTED_VALUE"""),"")</f>
        <v/>
      </c>
      <c r="U3267" s="139" t="str">
        <f>IFERROR(__xludf.DUMMYFUNCTION("""COMPUTED_VALUE"""),"")</f>
        <v/>
      </c>
      <c r="V3267" s="136" t="str">
        <f>IFERROR(__xludf.DUMMYFUNCTION("""COMPUTED_VALUE"""),"")</f>
        <v/>
      </c>
      <c r="W3267" s="106" t="str">
        <f>IFERROR(__xludf.DUMMYFUNCTION("""COMPUTED_VALUE"""),"")</f>
        <v/>
      </c>
      <c r="X3267" s="143" t="str">
        <f t="shared" si="2"/>
        <v/>
      </c>
      <c r="Y3267" s="139" t="str">
        <f>IFERROR(__xludf.DUMMYFUNCTION("""COMPUTED_VALUE"""),"")</f>
        <v/>
      </c>
      <c r="Z3267" s="141" t="str">
        <f>IFERROR(__xludf.DUMMYFUNCTION("""COMPUTED_VALUE"""),"")</f>
        <v/>
      </c>
    </row>
    <row r="3268">
      <c r="D3268" s="136" t="str">
        <f t="shared" si="3"/>
        <v/>
      </c>
      <c r="E3268" s="152"/>
      <c r="F3268" s="106" t="s">
        <v>133</v>
      </c>
      <c r="G3268" s="152"/>
      <c r="H3268" s="106" t="s">
        <v>133</v>
      </c>
      <c r="J3268" s="139" t="s">
        <v>133</v>
      </c>
      <c r="K3268" s="136" t="s">
        <v>133</v>
      </c>
      <c r="L3268" s="153"/>
      <c r="M3268" s="136" t="str">
        <f t="shared" si="1"/>
        <v/>
      </c>
      <c r="O3268" s="141" t="s">
        <v>133</v>
      </c>
      <c r="P3268" s="136" t="str">
        <f>IFERROR(__xludf.DUMMYFUNCTION("""COMPUTED_VALUE"""),"")</f>
        <v/>
      </c>
      <c r="Q3268" s="136" t="str">
        <f>IFERROR(__xludf.DUMMYFUNCTION("""COMPUTED_VALUE"""),"")</f>
        <v/>
      </c>
      <c r="R3268" s="106" t="str">
        <f>IFERROR(__xludf.DUMMYFUNCTION("""COMPUTED_VALUE"""),"")</f>
        <v/>
      </c>
      <c r="S3268" s="106" t="str">
        <f>IFERROR(__xludf.DUMMYFUNCTION("""COMPUTED_VALUE"""),"")</f>
        <v/>
      </c>
      <c r="T3268" s="139" t="str">
        <f>IFERROR(__xludf.DUMMYFUNCTION("""COMPUTED_VALUE"""),"")</f>
        <v/>
      </c>
      <c r="U3268" s="139" t="str">
        <f>IFERROR(__xludf.DUMMYFUNCTION("""COMPUTED_VALUE"""),"")</f>
        <v/>
      </c>
      <c r="V3268" s="136" t="str">
        <f>IFERROR(__xludf.DUMMYFUNCTION("""COMPUTED_VALUE"""),"")</f>
        <v/>
      </c>
      <c r="W3268" s="106" t="str">
        <f>IFERROR(__xludf.DUMMYFUNCTION("""COMPUTED_VALUE"""),"")</f>
        <v/>
      </c>
      <c r="X3268" s="143" t="str">
        <f t="shared" si="2"/>
        <v/>
      </c>
      <c r="Y3268" s="139" t="str">
        <f>IFERROR(__xludf.DUMMYFUNCTION("""COMPUTED_VALUE"""),"")</f>
        <v/>
      </c>
      <c r="Z3268" s="141" t="str">
        <f>IFERROR(__xludf.DUMMYFUNCTION("""COMPUTED_VALUE"""),"")</f>
        <v/>
      </c>
    </row>
    <row r="3269">
      <c r="D3269" s="136" t="str">
        <f t="shared" si="3"/>
        <v/>
      </c>
      <c r="E3269" s="152"/>
      <c r="F3269" s="106" t="s">
        <v>133</v>
      </c>
      <c r="G3269" s="152"/>
      <c r="H3269" s="106" t="s">
        <v>133</v>
      </c>
      <c r="J3269" s="139" t="s">
        <v>133</v>
      </c>
      <c r="K3269" s="136" t="s">
        <v>133</v>
      </c>
      <c r="L3269" s="153"/>
      <c r="M3269" s="136" t="str">
        <f t="shared" si="1"/>
        <v/>
      </c>
      <c r="O3269" s="141" t="s">
        <v>133</v>
      </c>
      <c r="P3269" s="136" t="str">
        <f>IFERROR(__xludf.DUMMYFUNCTION("""COMPUTED_VALUE"""),"")</f>
        <v/>
      </c>
      <c r="Q3269" s="136" t="str">
        <f>IFERROR(__xludf.DUMMYFUNCTION("""COMPUTED_VALUE"""),"")</f>
        <v/>
      </c>
      <c r="R3269" s="106" t="str">
        <f>IFERROR(__xludf.DUMMYFUNCTION("""COMPUTED_VALUE"""),"")</f>
        <v/>
      </c>
      <c r="S3269" s="106" t="str">
        <f>IFERROR(__xludf.DUMMYFUNCTION("""COMPUTED_VALUE"""),"")</f>
        <v/>
      </c>
      <c r="T3269" s="139" t="str">
        <f>IFERROR(__xludf.DUMMYFUNCTION("""COMPUTED_VALUE"""),"")</f>
        <v/>
      </c>
      <c r="U3269" s="139" t="str">
        <f>IFERROR(__xludf.DUMMYFUNCTION("""COMPUTED_VALUE"""),"")</f>
        <v/>
      </c>
      <c r="V3269" s="136" t="str">
        <f>IFERROR(__xludf.DUMMYFUNCTION("""COMPUTED_VALUE"""),"")</f>
        <v/>
      </c>
      <c r="W3269" s="106" t="str">
        <f>IFERROR(__xludf.DUMMYFUNCTION("""COMPUTED_VALUE"""),"")</f>
        <v/>
      </c>
      <c r="X3269" s="143" t="str">
        <f t="shared" si="2"/>
        <v/>
      </c>
      <c r="Y3269" s="139" t="str">
        <f>IFERROR(__xludf.DUMMYFUNCTION("""COMPUTED_VALUE"""),"")</f>
        <v/>
      </c>
      <c r="Z3269" s="141" t="str">
        <f>IFERROR(__xludf.DUMMYFUNCTION("""COMPUTED_VALUE"""),"")</f>
        <v/>
      </c>
    </row>
    <row r="3270">
      <c r="D3270" s="136" t="str">
        <f t="shared" si="3"/>
        <v/>
      </c>
      <c r="E3270" s="152"/>
      <c r="F3270" s="106" t="s">
        <v>133</v>
      </c>
      <c r="G3270" s="152"/>
      <c r="H3270" s="106" t="s">
        <v>133</v>
      </c>
      <c r="J3270" s="139" t="s">
        <v>133</v>
      </c>
      <c r="K3270" s="136" t="s">
        <v>133</v>
      </c>
      <c r="L3270" s="153"/>
      <c r="M3270" s="136" t="str">
        <f t="shared" si="1"/>
        <v/>
      </c>
      <c r="O3270" s="141" t="s">
        <v>133</v>
      </c>
      <c r="P3270" s="136" t="str">
        <f>IFERROR(__xludf.DUMMYFUNCTION("""COMPUTED_VALUE"""),"")</f>
        <v/>
      </c>
      <c r="Q3270" s="136" t="str">
        <f>IFERROR(__xludf.DUMMYFUNCTION("""COMPUTED_VALUE"""),"")</f>
        <v/>
      </c>
      <c r="R3270" s="106" t="str">
        <f>IFERROR(__xludf.DUMMYFUNCTION("""COMPUTED_VALUE"""),"")</f>
        <v/>
      </c>
      <c r="S3270" s="106" t="str">
        <f>IFERROR(__xludf.DUMMYFUNCTION("""COMPUTED_VALUE"""),"")</f>
        <v/>
      </c>
      <c r="T3270" s="139" t="str">
        <f>IFERROR(__xludf.DUMMYFUNCTION("""COMPUTED_VALUE"""),"")</f>
        <v/>
      </c>
      <c r="U3270" s="139" t="str">
        <f>IFERROR(__xludf.DUMMYFUNCTION("""COMPUTED_VALUE"""),"")</f>
        <v/>
      </c>
      <c r="V3270" s="136" t="str">
        <f>IFERROR(__xludf.DUMMYFUNCTION("""COMPUTED_VALUE"""),"")</f>
        <v/>
      </c>
      <c r="W3270" s="106" t="str">
        <f>IFERROR(__xludf.DUMMYFUNCTION("""COMPUTED_VALUE"""),"")</f>
        <v/>
      </c>
      <c r="X3270" s="143" t="str">
        <f t="shared" si="2"/>
        <v/>
      </c>
      <c r="Y3270" s="139" t="str">
        <f>IFERROR(__xludf.DUMMYFUNCTION("""COMPUTED_VALUE"""),"")</f>
        <v/>
      </c>
      <c r="Z3270" s="141" t="str">
        <f>IFERROR(__xludf.DUMMYFUNCTION("""COMPUTED_VALUE"""),"")</f>
        <v/>
      </c>
    </row>
    <row r="3271">
      <c r="D3271" s="136" t="str">
        <f t="shared" si="3"/>
        <v/>
      </c>
      <c r="E3271" s="152"/>
      <c r="F3271" s="106" t="s">
        <v>133</v>
      </c>
      <c r="G3271" s="152"/>
      <c r="H3271" s="106" t="s">
        <v>133</v>
      </c>
      <c r="J3271" s="139" t="s">
        <v>133</v>
      </c>
      <c r="K3271" s="136" t="s">
        <v>133</v>
      </c>
      <c r="L3271" s="153"/>
      <c r="M3271" s="136" t="str">
        <f t="shared" si="1"/>
        <v/>
      </c>
      <c r="O3271" s="141" t="s">
        <v>133</v>
      </c>
      <c r="P3271" s="136" t="str">
        <f>IFERROR(__xludf.DUMMYFUNCTION("""COMPUTED_VALUE"""),"")</f>
        <v/>
      </c>
      <c r="Q3271" s="136" t="str">
        <f>IFERROR(__xludf.DUMMYFUNCTION("""COMPUTED_VALUE"""),"")</f>
        <v/>
      </c>
      <c r="R3271" s="106" t="str">
        <f>IFERROR(__xludf.DUMMYFUNCTION("""COMPUTED_VALUE"""),"")</f>
        <v/>
      </c>
      <c r="S3271" s="106" t="str">
        <f>IFERROR(__xludf.DUMMYFUNCTION("""COMPUTED_VALUE"""),"")</f>
        <v/>
      </c>
      <c r="T3271" s="139" t="str">
        <f>IFERROR(__xludf.DUMMYFUNCTION("""COMPUTED_VALUE"""),"")</f>
        <v/>
      </c>
      <c r="U3271" s="139" t="str">
        <f>IFERROR(__xludf.DUMMYFUNCTION("""COMPUTED_VALUE"""),"")</f>
        <v/>
      </c>
      <c r="V3271" s="136" t="str">
        <f>IFERROR(__xludf.DUMMYFUNCTION("""COMPUTED_VALUE"""),"")</f>
        <v/>
      </c>
      <c r="W3271" s="106" t="str">
        <f>IFERROR(__xludf.DUMMYFUNCTION("""COMPUTED_VALUE"""),"")</f>
        <v/>
      </c>
      <c r="X3271" s="143" t="str">
        <f t="shared" si="2"/>
        <v/>
      </c>
      <c r="Y3271" s="139" t="str">
        <f>IFERROR(__xludf.DUMMYFUNCTION("""COMPUTED_VALUE"""),"")</f>
        <v/>
      </c>
      <c r="Z3271" s="141" t="str">
        <f>IFERROR(__xludf.DUMMYFUNCTION("""COMPUTED_VALUE"""),"")</f>
        <v/>
      </c>
    </row>
    <row r="3272">
      <c r="D3272" s="136" t="str">
        <f t="shared" si="3"/>
        <v/>
      </c>
      <c r="E3272" s="152"/>
      <c r="F3272" s="106" t="s">
        <v>133</v>
      </c>
      <c r="G3272" s="152"/>
      <c r="H3272" s="106" t="s">
        <v>133</v>
      </c>
      <c r="J3272" s="139" t="s">
        <v>133</v>
      </c>
      <c r="K3272" s="136" t="s">
        <v>133</v>
      </c>
      <c r="L3272" s="153"/>
      <c r="M3272" s="136" t="str">
        <f t="shared" si="1"/>
        <v/>
      </c>
      <c r="O3272" s="141" t="s">
        <v>133</v>
      </c>
      <c r="P3272" s="136" t="str">
        <f>IFERROR(__xludf.DUMMYFUNCTION("""COMPUTED_VALUE"""),"")</f>
        <v/>
      </c>
      <c r="Q3272" s="136" t="str">
        <f>IFERROR(__xludf.DUMMYFUNCTION("""COMPUTED_VALUE"""),"")</f>
        <v/>
      </c>
      <c r="R3272" s="106" t="str">
        <f>IFERROR(__xludf.DUMMYFUNCTION("""COMPUTED_VALUE"""),"")</f>
        <v/>
      </c>
      <c r="S3272" s="106" t="str">
        <f>IFERROR(__xludf.DUMMYFUNCTION("""COMPUTED_VALUE"""),"")</f>
        <v/>
      </c>
      <c r="T3272" s="139" t="str">
        <f>IFERROR(__xludf.DUMMYFUNCTION("""COMPUTED_VALUE"""),"")</f>
        <v/>
      </c>
      <c r="U3272" s="139" t="str">
        <f>IFERROR(__xludf.DUMMYFUNCTION("""COMPUTED_VALUE"""),"")</f>
        <v/>
      </c>
      <c r="V3272" s="136" t="str">
        <f>IFERROR(__xludf.DUMMYFUNCTION("""COMPUTED_VALUE"""),"")</f>
        <v/>
      </c>
      <c r="W3272" s="106" t="str">
        <f>IFERROR(__xludf.DUMMYFUNCTION("""COMPUTED_VALUE"""),"")</f>
        <v/>
      </c>
      <c r="X3272" s="143" t="str">
        <f t="shared" si="2"/>
        <v/>
      </c>
      <c r="Y3272" s="139" t="str">
        <f>IFERROR(__xludf.DUMMYFUNCTION("""COMPUTED_VALUE"""),"")</f>
        <v/>
      </c>
      <c r="Z3272" s="141" t="str">
        <f>IFERROR(__xludf.DUMMYFUNCTION("""COMPUTED_VALUE"""),"")</f>
        <v/>
      </c>
    </row>
    <row r="3273">
      <c r="D3273" s="136" t="str">
        <f t="shared" si="3"/>
        <v/>
      </c>
      <c r="E3273" s="152"/>
      <c r="F3273" s="106" t="s">
        <v>133</v>
      </c>
      <c r="G3273" s="152"/>
      <c r="H3273" s="106" t="s">
        <v>133</v>
      </c>
      <c r="J3273" s="139" t="s">
        <v>133</v>
      </c>
      <c r="K3273" s="136" t="s">
        <v>133</v>
      </c>
      <c r="L3273" s="153"/>
      <c r="M3273" s="136" t="str">
        <f t="shared" si="1"/>
        <v/>
      </c>
      <c r="O3273" s="141" t="s">
        <v>133</v>
      </c>
      <c r="P3273" s="136" t="str">
        <f>IFERROR(__xludf.DUMMYFUNCTION("""COMPUTED_VALUE"""),"")</f>
        <v/>
      </c>
      <c r="Q3273" s="136" t="str">
        <f>IFERROR(__xludf.DUMMYFUNCTION("""COMPUTED_VALUE"""),"")</f>
        <v/>
      </c>
      <c r="R3273" s="106" t="str">
        <f>IFERROR(__xludf.DUMMYFUNCTION("""COMPUTED_VALUE"""),"")</f>
        <v/>
      </c>
      <c r="S3273" s="106" t="str">
        <f>IFERROR(__xludf.DUMMYFUNCTION("""COMPUTED_VALUE"""),"")</f>
        <v/>
      </c>
      <c r="T3273" s="139" t="str">
        <f>IFERROR(__xludf.DUMMYFUNCTION("""COMPUTED_VALUE"""),"")</f>
        <v/>
      </c>
      <c r="U3273" s="139" t="str">
        <f>IFERROR(__xludf.DUMMYFUNCTION("""COMPUTED_VALUE"""),"")</f>
        <v/>
      </c>
      <c r="V3273" s="136" t="str">
        <f>IFERROR(__xludf.DUMMYFUNCTION("""COMPUTED_VALUE"""),"")</f>
        <v/>
      </c>
      <c r="W3273" s="106" t="str">
        <f>IFERROR(__xludf.DUMMYFUNCTION("""COMPUTED_VALUE"""),"")</f>
        <v/>
      </c>
      <c r="X3273" s="143" t="str">
        <f t="shared" si="2"/>
        <v/>
      </c>
      <c r="Y3273" s="139" t="str">
        <f>IFERROR(__xludf.DUMMYFUNCTION("""COMPUTED_VALUE"""),"")</f>
        <v/>
      </c>
      <c r="Z3273" s="141" t="str">
        <f>IFERROR(__xludf.DUMMYFUNCTION("""COMPUTED_VALUE"""),"")</f>
        <v/>
      </c>
    </row>
    <row r="3274">
      <c r="D3274" s="136" t="str">
        <f t="shared" si="3"/>
        <v/>
      </c>
      <c r="E3274" s="152"/>
      <c r="F3274" s="106" t="s">
        <v>133</v>
      </c>
      <c r="G3274" s="152"/>
      <c r="H3274" s="106" t="s">
        <v>133</v>
      </c>
      <c r="J3274" s="139" t="s">
        <v>133</v>
      </c>
      <c r="K3274" s="136" t="s">
        <v>133</v>
      </c>
      <c r="L3274" s="153"/>
      <c r="M3274" s="136" t="str">
        <f t="shared" si="1"/>
        <v/>
      </c>
      <c r="O3274" s="141" t="s">
        <v>133</v>
      </c>
      <c r="P3274" s="136" t="str">
        <f>IFERROR(__xludf.DUMMYFUNCTION("""COMPUTED_VALUE"""),"")</f>
        <v/>
      </c>
      <c r="Q3274" s="136" t="str">
        <f>IFERROR(__xludf.DUMMYFUNCTION("""COMPUTED_VALUE"""),"")</f>
        <v/>
      </c>
      <c r="R3274" s="106" t="str">
        <f>IFERROR(__xludf.DUMMYFUNCTION("""COMPUTED_VALUE"""),"")</f>
        <v/>
      </c>
      <c r="S3274" s="106" t="str">
        <f>IFERROR(__xludf.DUMMYFUNCTION("""COMPUTED_VALUE"""),"")</f>
        <v/>
      </c>
      <c r="T3274" s="139" t="str">
        <f>IFERROR(__xludf.DUMMYFUNCTION("""COMPUTED_VALUE"""),"")</f>
        <v/>
      </c>
      <c r="U3274" s="139" t="str">
        <f>IFERROR(__xludf.DUMMYFUNCTION("""COMPUTED_VALUE"""),"")</f>
        <v/>
      </c>
      <c r="V3274" s="136" t="str">
        <f>IFERROR(__xludf.DUMMYFUNCTION("""COMPUTED_VALUE"""),"")</f>
        <v/>
      </c>
      <c r="W3274" s="106" t="str">
        <f>IFERROR(__xludf.DUMMYFUNCTION("""COMPUTED_VALUE"""),"")</f>
        <v/>
      </c>
      <c r="X3274" s="143" t="str">
        <f t="shared" si="2"/>
        <v/>
      </c>
      <c r="Y3274" s="139" t="str">
        <f>IFERROR(__xludf.DUMMYFUNCTION("""COMPUTED_VALUE"""),"")</f>
        <v/>
      </c>
      <c r="Z3274" s="141" t="str">
        <f>IFERROR(__xludf.DUMMYFUNCTION("""COMPUTED_VALUE"""),"")</f>
        <v/>
      </c>
    </row>
    <row r="3275">
      <c r="D3275" s="136" t="str">
        <f t="shared" si="3"/>
        <v/>
      </c>
      <c r="E3275" s="152"/>
      <c r="F3275" s="106" t="s">
        <v>133</v>
      </c>
      <c r="G3275" s="152"/>
      <c r="H3275" s="106" t="s">
        <v>133</v>
      </c>
      <c r="J3275" s="139" t="s">
        <v>133</v>
      </c>
      <c r="K3275" s="136" t="s">
        <v>133</v>
      </c>
      <c r="L3275" s="153"/>
      <c r="M3275" s="136" t="str">
        <f t="shared" si="1"/>
        <v/>
      </c>
      <c r="O3275" s="141" t="s">
        <v>133</v>
      </c>
      <c r="P3275" s="136" t="str">
        <f>IFERROR(__xludf.DUMMYFUNCTION("""COMPUTED_VALUE"""),"")</f>
        <v/>
      </c>
      <c r="Q3275" s="136" t="str">
        <f>IFERROR(__xludf.DUMMYFUNCTION("""COMPUTED_VALUE"""),"")</f>
        <v/>
      </c>
      <c r="R3275" s="106" t="str">
        <f>IFERROR(__xludf.DUMMYFUNCTION("""COMPUTED_VALUE"""),"")</f>
        <v/>
      </c>
      <c r="S3275" s="106" t="str">
        <f>IFERROR(__xludf.DUMMYFUNCTION("""COMPUTED_VALUE"""),"")</f>
        <v/>
      </c>
      <c r="T3275" s="139" t="str">
        <f>IFERROR(__xludf.DUMMYFUNCTION("""COMPUTED_VALUE"""),"")</f>
        <v/>
      </c>
      <c r="U3275" s="139" t="str">
        <f>IFERROR(__xludf.DUMMYFUNCTION("""COMPUTED_VALUE"""),"")</f>
        <v/>
      </c>
      <c r="V3275" s="136" t="str">
        <f>IFERROR(__xludf.DUMMYFUNCTION("""COMPUTED_VALUE"""),"")</f>
        <v/>
      </c>
      <c r="W3275" s="106" t="str">
        <f>IFERROR(__xludf.DUMMYFUNCTION("""COMPUTED_VALUE"""),"")</f>
        <v/>
      </c>
      <c r="X3275" s="143" t="str">
        <f t="shared" si="2"/>
        <v/>
      </c>
      <c r="Y3275" s="139" t="str">
        <f>IFERROR(__xludf.DUMMYFUNCTION("""COMPUTED_VALUE"""),"")</f>
        <v/>
      </c>
      <c r="Z3275" s="141" t="str">
        <f>IFERROR(__xludf.DUMMYFUNCTION("""COMPUTED_VALUE"""),"")</f>
        <v/>
      </c>
    </row>
    <row r="3276">
      <c r="D3276" s="136" t="str">
        <f t="shared" si="3"/>
        <v/>
      </c>
      <c r="E3276" s="152"/>
      <c r="F3276" s="106" t="s">
        <v>133</v>
      </c>
      <c r="G3276" s="152"/>
      <c r="H3276" s="106" t="s">
        <v>133</v>
      </c>
      <c r="J3276" s="139" t="s">
        <v>133</v>
      </c>
      <c r="K3276" s="136" t="s">
        <v>133</v>
      </c>
      <c r="L3276" s="153"/>
      <c r="M3276" s="136" t="str">
        <f t="shared" si="1"/>
        <v/>
      </c>
      <c r="O3276" s="141" t="s">
        <v>133</v>
      </c>
      <c r="P3276" s="136" t="str">
        <f>IFERROR(__xludf.DUMMYFUNCTION("""COMPUTED_VALUE"""),"")</f>
        <v/>
      </c>
      <c r="Q3276" s="136" t="str">
        <f>IFERROR(__xludf.DUMMYFUNCTION("""COMPUTED_VALUE"""),"")</f>
        <v/>
      </c>
      <c r="R3276" s="106" t="str">
        <f>IFERROR(__xludf.DUMMYFUNCTION("""COMPUTED_VALUE"""),"")</f>
        <v/>
      </c>
      <c r="S3276" s="106" t="str">
        <f>IFERROR(__xludf.DUMMYFUNCTION("""COMPUTED_VALUE"""),"")</f>
        <v/>
      </c>
      <c r="T3276" s="139" t="str">
        <f>IFERROR(__xludf.DUMMYFUNCTION("""COMPUTED_VALUE"""),"")</f>
        <v/>
      </c>
      <c r="U3276" s="139" t="str">
        <f>IFERROR(__xludf.DUMMYFUNCTION("""COMPUTED_VALUE"""),"")</f>
        <v/>
      </c>
      <c r="V3276" s="136" t="str">
        <f>IFERROR(__xludf.DUMMYFUNCTION("""COMPUTED_VALUE"""),"")</f>
        <v/>
      </c>
      <c r="W3276" s="106" t="str">
        <f>IFERROR(__xludf.DUMMYFUNCTION("""COMPUTED_VALUE"""),"")</f>
        <v/>
      </c>
      <c r="X3276" s="143" t="str">
        <f t="shared" si="2"/>
        <v/>
      </c>
      <c r="Y3276" s="139" t="str">
        <f>IFERROR(__xludf.DUMMYFUNCTION("""COMPUTED_VALUE"""),"")</f>
        <v/>
      </c>
      <c r="Z3276" s="141" t="str">
        <f>IFERROR(__xludf.DUMMYFUNCTION("""COMPUTED_VALUE"""),"")</f>
        <v/>
      </c>
    </row>
    <row r="3277">
      <c r="D3277" s="136" t="str">
        <f t="shared" si="3"/>
        <v/>
      </c>
      <c r="E3277" s="152"/>
      <c r="F3277" s="106" t="s">
        <v>133</v>
      </c>
      <c r="G3277" s="152"/>
      <c r="H3277" s="106" t="s">
        <v>133</v>
      </c>
      <c r="J3277" s="139" t="s">
        <v>133</v>
      </c>
      <c r="K3277" s="136" t="s">
        <v>133</v>
      </c>
      <c r="L3277" s="153"/>
      <c r="M3277" s="136" t="str">
        <f t="shared" si="1"/>
        <v/>
      </c>
      <c r="O3277" s="141" t="s">
        <v>133</v>
      </c>
      <c r="P3277" s="136" t="str">
        <f>IFERROR(__xludf.DUMMYFUNCTION("""COMPUTED_VALUE"""),"")</f>
        <v/>
      </c>
      <c r="Q3277" s="136" t="str">
        <f>IFERROR(__xludf.DUMMYFUNCTION("""COMPUTED_VALUE"""),"")</f>
        <v/>
      </c>
      <c r="R3277" s="106" t="str">
        <f>IFERROR(__xludf.DUMMYFUNCTION("""COMPUTED_VALUE"""),"")</f>
        <v/>
      </c>
      <c r="S3277" s="106" t="str">
        <f>IFERROR(__xludf.DUMMYFUNCTION("""COMPUTED_VALUE"""),"")</f>
        <v/>
      </c>
      <c r="T3277" s="139" t="str">
        <f>IFERROR(__xludf.DUMMYFUNCTION("""COMPUTED_VALUE"""),"")</f>
        <v/>
      </c>
      <c r="U3277" s="139" t="str">
        <f>IFERROR(__xludf.DUMMYFUNCTION("""COMPUTED_VALUE"""),"")</f>
        <v/>
      </c>
      <c r="V3277" s="136" t="str">
        <f>IFERROR(__xludf.DUMMYFUNCTION("""COMPUTED_VALUE"""),"")</f>
        <v/>
      </c>
      <c r="W3277" s="106" t="str">
        <f>IFERROR(__xludf.DUMMYFUNCTION("""COMPUTED_VALUE"""),"")</f>
        <v/>
      </c>
      <c r="X3277" s="143" t="str">
        <f t="shared" si="2"/>
        <v/>
      </c>
      <c r="Y3277" s="139" t="str">
        <f>IFERROR(__xludf.DUMMYFUNCTION("""COMPUTED_VALUE"""),"")</f>
        <v/>
      </c>
      <c r="Z3277" s="141" t="str">
        <f>IFERROR(__xludf.DUMMYFUNCTION("""COMPUTED_VALUE"""),"")</f>
        <v/>
      </c>
    </row>
    <row r="3278">
      <c r="D3278" s="136" t="str">
        <f t="shared" si="3"/>
        <v/>
      </c>
      <c r="E3278" s="152"/>
      <c r="F3278" s="106" t="s">
        <v>133</v>
      </c>
      <c r="G3278" s="152"/>
      <c r="H3278" s="106" t="s">
        <v>133</v>
      </c>
      <c r="J3278" s="139" t="s">
        <v>133</v>
      </c>
      <c r="K3278" s="136" t="s">
        <v>133</v>
      </c>
      <c r="L3278" s="153"/>
      <c r="M3278" s="136" t="str">
        <f t="shared" si="1"/>
        <v/>
      </c>
      <c r="O3278" s="141" t="s">
        <v>133</v>
      </c>
      <c r="P3278" s="136" t="str">
        <f>IFERROR(__xludf.DUMMYFUNCTION("""COMPUTED_VALUE"""),"")</f>
        <v/>
      </c>
      <c r="Q3278" s="136" t="str">
        <f>IFERROR(__xludf.DUMMYFUNCTION("""COMPUTED_VALUE"""),"")</f>
        <v/>
      </c>
      <c r="R3278" s="106" t="str">
        <f>IFERROR(__xludf.DUMMYFUNCTION("""COMPUTED_VALUE"""),"")</f>
        <v/>
      </c>
      <c r="S3278" s="106" t="str">
        <f>IFERROR(__xludf.DUMMYFUNCTION("""COMPUTED_VALUE"""),"")</f>
        <v/>
      </c>
      <c r="T3278" s="139" t="str">
        <f>IFERROR(__xludf.DUMMYFUNCTION("""COMPUTED_VALUE"""),"")</f>
        <v/>
      </c>
      <c r="U3278" s="139" t="str">
        <f>IFERROR(__xludf.DUMMYFUNCTION("""COMPUTED_VALUE"""),"")</f>
        <v/>
      </c>
      <c r="V3278" s="136" t="str">
        <f>IFERROR(__xludf.DUMMYFUNCTION("""COMPUTED_VALUE"""),"")</f>
        <v/>
      </c>
      <c r="W3278" s="106" t="str">
        <f>IFERROR(__xludf.DUMMYFUNCTION("""COMPUTED_VALUE"""),"")</f>
        <v/>
      </c>
      <c r="X3278" s="143" t="str">
        <f t="shared" si="2"/>
        <v/>
      </c>
      <c r="Y3278" s="139" t="str">
        <f>IFERROR(__xludf.DUMMYFUNCTION("""COMPUTED_VALUE"""),"")</f>
        <v/>
      </c>
      <c r="Z3278" s="141" t="str">
        <f>IFERROR(__xludf.DUMMYFUNCTION("""COMPUTED_VALUE"""),"")</f>
        <v/>
      </c>
    </row>
    <row r="3279">
      <c r="D3279" s="136" t="str">
        <f t="shared" si="3"/>
        <v/>
      </c>
      <c r="E3279" s="152"/>
      <c r="F3279" s="106" t="s">
        <v>133</v>
      </c>
      <c r="G3279" s="152"/>
      <c r="H3279" s="106" t="s">
        <v>133</v>
      </c>
      <c r="J3279" s="139" t="s">
        <v>133</v>
      </c>
      <c r="K3279" s="136" t="s">
        <v>133</v>
      </c>
      <c r="L3279" s="153"/>
      <c r="M3279" s="136" t="str">
        <f t="shared" si="1"/>
        <v/>
      </c>
      <c r="O3279" s="141" t="s">
        <v>133</v>
      </c>
      <c r="P3279" s="136" t="str">
        <f>IFERROR(__xludf.DUMMYFUNCTION("""COMPUTED_VALUE"""),"")</f>
        <v/>
      </c>
      <c r="Q3279" s="136" t="str">
        <f>IFERROR(__xludf.DUMMYFUNCTION("""COMPUTED_VALUE"""),"")</f>
        <v/>
      </c>
      <c r="R3279" s="106" t="str">
        <f>IFERROR(__xludf.DUMMYFUNCTION("""COMPUTED_VALUE"""),"")</f>
        <v/>
      </c>
      <c r="S3279" s="106" t="str">
        <f>IFERROR(__xludf.DUMMYFUNCTION("""COMPUTED_VALUE"""),"")</f>
        <v/>
      </c>
      <c r="T3279" s="139" t="str">
        <f>IFERROR(__xludf.DUMMYFUNCTION("""COMPUTED_VALUE"""),"")</f>
        <v/>
      </c>
      <c r="U3279" s="139" t="str">
        <f>IFERROR(__xludf.DUMMYFUNCTION("""COMPUTED_VALUE"""),"")</f>
        <v/>
      </c>
      <c r="V3279" s="136" t="str">
        <f>IFERROR(__xludf.DUMMYFUNCTION("""COMPUTED_VALUE"""),"")</f>
        <v/>
      </c>
      <c r="W3279" s="106" t="str">
        <f>IFERROR(__xludf.DUMMYFUNCTION("""COMPUTED_VALUE"""),"")</f>
        <v/>
      </c>
      <c r="X3279" s="143" t="str">
        <f t="shared" si="2"/>
        <v/>
      </c>
      <c r="Y3279" s="139" t="str">
        <f>IFERROR(__xludf.DUMMYFUNCTION("""COMPUTED_VALUE"""),"")</f>
        <v/>
      </c>
      <c r="Z3279" s="141" t="str">
        <f>IFERROR(__xludf.DUMMYFUNCTION("""COMPUTED_VALUE"""),"")</f>
        <v/>
      </c>
    </row>
    <row r="3280">
      <c r="D3280" s="136" t="str">
        <f t="shared" si="3"/>
        <v/>
      </c>
      <c r="E3280" s="152"/>
      <c r="F3280" s="106" t="s">
        <v>133</v>
      </c>
      <c r="G3280" s="152"/>
      <c r="H3280" s="106" t="s">
        <v>133</v>
      </c>
      <c r="J3280" s="139" t="s">
        <v>133</v>
      </c>
      <c r="K3280" s="136" t="s">
        <v>133</v>
      </c>
      <c r="L3280" s="153"/>
      <c r="M3280" s="136" t="str">
        <f t="shared" si="1"/>
        <v/>
      </c>
      <c r="O3280" s="141" t="s">
        <v>133</v>
      </c>
      <c r="P3280" s="136" t="str">
        <f>IFERROR(__xludf.DUMMYFUNCTION("""COMPUTED_VALUE"""),"")</f>
        <v/>
      </c>
      <c r="Q3280" s="136" t="str">
        <f>IFERROR(__xludf.DUMMYFUNCTION("""COMPUTED_VALUE"""),"")</f>
        <v/>
      </c>
      <c r="R3280" s="106" t="str">
        <f>IFERROR(__xludf.DUMMYFUNCTION("""COMPUTED_VALUE"""),"")</f>
        <v/>
      </c>
      <c r="S3280" s="106" t="str">
        <f>IFERROR(__xludf.DUMMYFUNCTION("""COMPUTED_VALUE"""),"")</f>
        <v/>
      </c>
      <c r="T3280" s="139" t="str">
        <f>IFERROR(__xludf.DUMMYFUNCTION("""COMPUTED_VALUE"""),"")</f>
        <v/>
      </c>
      <c r="U3280" s="139" t="str">
        <f>IFERROR(__xludf.DUMMYFUNCTION("""COMPUTED_VALUE"""),"")</f>
        <v/>
      </c>
      <c r="V3280" s="136" t="str">
        <f>IFERROR(__xludf.DUMMYFUNCTION("""COMPUTED_VALUE"""),"")</f>
        <v/>
      </c>
      <c r="W3280" s="106" t="str">
        <f>IFERROR(__xludf.DUMMYFUNCTION("""COMPUTED_VALUE"""),"")</f>
        <v/>
      </c>
      <c r="X3280" s="143" t="str">
        <f t="shared" si="2"/>
        <v/>
      </c>
      <c r="Y3280" s="139" t="str">
        <f>IFERROR(__xludf.DUMMYFUNCTION("""COMPUTED_VALUE"""),"")</f>
        <v/>
      </c>
      <c r="Z3280" s="141" t="str">
        <f>IFERROR(__xludf.DUMMYFUNCTION("""COMPUTED_VALUE"""),"")</f>
        <v/>
      </c>
    </row>
    <row r="3281">
      <c r="D3281" s="136" t="str">
        <f t="shared" si="3"/>
        <v/>
      </c>
      <c r="E3281" s="152"/>
      <c r="F3281" s="106" t="s">
        <v>133</v>
      </c>
      <c r="G3281" s="152"/>
      <c r="H3281" s="106" t="s">
        <v>133</v>
      </c>
      <c r="J3281" s="139" t="s">
        <v>133</v>
      </c>
      <c r="K3281" s="136" t="s">
        <v>133</v>
      </c>
      <c r="L3281" s="153"/>
      <c r="M3281" s="136" t="str">
        <f t="shared" si="1"/>
        <v/>
      </c>
      <c r="O3281" s="141" t="s">
        <v>133</v>
      </c>
      <c r="P3281" s="136" t="str">
        <f>IFERROR(__xludf.DUMMYFUNCTION("""COMPUTED_VALUE"""),"")</f>
        <v/>
      </c>
      <c r="Q3281" s="136" t="str">
        <f>IFERROR(__xludf.DUMMYFUNCTION("""COMPUTED_VALUE"""),"")</f>
        <v/>
      </c>
      <c r="R3281" s="106" t="str">
        <f>IFERROR(__xludf.DUMMYFUNCTION("""COMPUTED_VALUE"""),"")</f>
        <v/>
      </c>
      <c r="S3281" s="106" t="str">
        <f>IFERROR(__xludf.DUMMYFUNCTION("""COMPUTED_VALUE"""),"")</f>
        <v/>
      </c>
      <c r="T3281" s="139" t="str">
        <f>IFERROR(__xludf.DUMMYFUNCTION("""COMPUTED_VALUE"""),"")</f>
        <v/>
      </c>
      <c r="U3281" s="139" t="str">
        <f>IFERROR(__xludf.DUMMYFUNCTION("""COMPUTED_VALUE"""),"")</f>
        <v/>
      </c>
      <c r="V3281" s="136" t="str">
        <f>IFERROR(__xludf.DUMMYFUNCTION("""COMPUTED_VALUE"""),"")</f>
        <v/>
      </c>
      <c r="W3281" s="106" t="str">
        <f>IFERROR(__xludf.DUMMYFUNCTION("""COMPUTED_VALUE"""),"")</f>
        <v/>
      </c>
      <c r="X3281" s="143" t="str">
        <f t="shared" si="2"/>
        <v/>
      </c>
      <c r="Y3281" s="139" t="str">
        <f>IFERROR(__xludf.DUMMYFUNCTION("""COMPUTED_VALUE"""),"")</f>
        <v/>
      </c>
      <c r="Z3281" s="141" t="str">
        <f>IFERROR(__xludf.DUMMYFUNCTION("""COMPUTED_VALUE"""),"")</f>
        <v/>
      </c>
    </row>
    <row r="3282">
      <c r="D3282" s="136" t="str">
        <f t="shared" si="3"/>
        <v/>
      </c>
      <c r="E3282" s="152"/>
      <c r="F3282" s="106" t="s">
        <v>133</v>
      </c>
      <c r="G3282" s="152"/>
      <c r="H3282" s="106" t="s">
        <v>133</v>
      </c>
      <c r="J3282" s="139" t="s">
        <v>133</v>
      </c>
      <c r="K3282" s="136" t="s">
        <v>133</v>
      </c>
      <c r="L3282" s="153"/>
      <c r="M3282" s="136" t="str">
        <f t="shared" si="1"/>
        <v/>
      </c>
      <c r="O3282" s="141" t="s">
        <v>133</v>
      </c>
      <c r="P3282" s="136" t="str">
        <f>IFERROR(__xludf.DUMMYFUNCTION("""COMPUTED_VALUE"""),"")</f>
        <v/>
      </c>
      <c r="Q3282" s="136" t="str">
        <f>IFERROR(__xludf.DUMMYFUNCTION("""COMPUTED_VALUE"""),"")</f>
        <v/>
      </c>
      <c r="R3282" s="106" t="str">
        <f>IFERROR(__xludf.DUMMYFUNCTION("""COMPUTED_VALUE"""),"")</f>
        <v/>
      </c>
      <c r="S3282" s="106" t="str">
        <f>IFERROR(__xludf.DUMMYFUNCTION("""COMPUTED_VALUE"""),"")</f>
        <v/>
      </c>
      <c r="T3282" s="139" t="str">
        <f>IFERROR(__xludf.DUMMYFUNCTION("""COMPUTED_VALUE"""),"")</f>
        <v/>
      </c>
      <c r="U3282" s="139" t="str">
        <f>IFERROR(__xludf.DUMMYFUNCTION("""COMPUTED_VALUE"""),"")</f>
        <v/>
      </c>
      <c r="V3282" s="136" t="str">
        <f>IFERROR(__xludf.DUMMYFUNCTION("""COMPUTED_VALUE"""),"")</f>
        <v/>
      </c>
      <c r="W3282" s="106" t="str">
        <f>IFERROR(__xludf.DUMMYFUNCTION("""COMPUTED_VALUE"""),"")</f>
        <v/>
      </c>
      <c r="X3282" s="143" t="str">
        <f t="shared" si="2"/>
        <v/>
      </c>
      <c r="Y3282" s="139" t="str">
        <f>IFERROR(__xludf.DUMMYFUNCTION("""COMPUTED_VALUE"""),"")</f>
        <v/>
      </c>
      <c r="Z3282" s="141" t="str">
        <f>IFERROR(__xludf.DUMMYFUNCTION("""COMPUTED_VALUE"""),"")</f>
        <v/>
      </c>
    </row>
    <row r="3283">
      <c r="D3283" s="136" t="str">
        <f t="shared" si="3"/>
        <v/>
      </c>
      <c r="E3283" s="152"/>
      <c r="F3283" s="106" t="s">
        <v>133</v>
      </c>
      <c r="G3283" s="152"/>
      <c r="H3283" s="106" t="s">
        <v>133</v>
      </c>
      <c r="J3283" s="139" t="s">
        <v>133</v>
      </c>
      <c r="K3283" s="136" t="s">
        <v>133</v>
      </c>
      <c r="L3283" s="153"/>
      <c r="M3283" s="136" t="str">
        <f t="shared" si="1"/>
        <v/>
      </c>
      <c r="O3283" s="141" t="s">
        <v>133</v>
      </c>
      <c r="P3283" s="136" t="str">
        <f>IFERROR(__xludf.DUMMYFUNCTION("""COMPUTED_VALUE"""),"")</f>
        <v/>
      </c>
      <c r="Q3283" s="136" t="str">
        <f>IFERROR(__xludf.DUMMYFUNCTION("""COMPUTED_VALUE"""),"")</f>
        <v/>
      </c>
      <c r="R3283" s="106" t="str">
        <f>IFERROR(__xludf.DUMMYFUNCTION("""COMPUTED_VALUE"""),"")</f>
        <v/>
      </c>
      <c r="S3283" s="106" t="str">
        <f>IFERROR(__xludf.DUMMYFUNCTION("""COMPUTED_VALUE"""),"")</f>
        <v/>
      </c>
      <c r="T3283" s="139" t="str">
        <f>IFERROR(__xludf.DUMMYFUNCTION("""COMPUTED_VALUE"""),"")</f>
        <v/>
      </c>
      <c r="U3283" s="139" t="str">
        <f>IFERROR(__xludf.DUMMYFUNCTION("""COMPUTED_VALUE"""),"")</f>
        <v/>
      </c>
      <c r="V3283" s="136" t="str">
        <f>IFERROR(__xludf.DUMMYFUNCTION("""COMPUTED_VALUE"""),"")</f>
        <v/>
      </c>
      <c r="W3283" s="106" t="str">
        <f>IFERROR(__xludf.DUMMYFUNCTION("""COMPUTED_VALUE"""),"")</f>
        <v/>
      </c>
      <c r="X3283" s="143" t="str">
        <f t="shared" si="2"/>
        <v/>
      </c>
      <c r="Y3283" s="139" t="str">
        <f>IFERROR(__xludf.DUMMYFUNCTION("""COMPUTED_VALUE"""),"")</f>
        <v/>
      </c>
      <c r="Z3283" s="141" t="str">
        <f>IFERROR(__xludf.DUMMYFUNCTION("""COMPUTED_VALUE"""),"")</f>
        <v/>
      </c>
    </row>
    <row r="3284">
      <c r="D3284" s="136" t="str">
        <f t="shared" si="3"/>
        <v/>
      </c>
      <c r="E3284" s="152"/>
      <c r="F3284" s="106" t="s">
        <v>133</v>
      </c>
      <c r="G3284" s="152"/>
      <c r="H3284" s="106" t="s">
        <v>133</v>
      </c>
      <c r="J3284" s="139" t="s">
        <v>133</v>
      </c>
      <c r="K3284" s="136" t="s">
        <v>133</v>
      </c>
      <c r="L3284" s="153"/>
      <c r="M3284" s="136" t="str">
        <f t="shared" si="1"/>
        <v/>
      </c>
      <c r="O3284" s="141" t="s">
        <v>133</v>
      </c>
      <c r="P3284" s="136" t="str">
        <f>IFERROR(__xludf.DUMMYFUNCTION("""COMPUTED_VALUE"""),"")</f>
        <v/>
      </c>
      <c r="Q3284" s="136" t="str">
        <f>IFERROR(__xludf.DUMMYFUNCTION("""COMPUTED_VALUE"""),"")</f>
        <v/>
      </c>
      <c r="R3284" s="106" t="str">
        <f>IFERROR(__xludf.DUMMYFUNCTION("""COMPUTED_VALUE"""),"")</f>
        <v/>
      </c>
      <c r="S3284" s="106" t="str">
        <f>IFERROR(__xludf.DUMMYFUNCTION("""COMPUTED_VALUE"""),"")</f>
        <v/>
      </c>
      <c r="T3284" s="139" t="str">
        <f>IFERROR(__xludf.DUMMYFUNCTION("""COMPUTED_VALUE"""),"")</f>
        <v/>
      </c>
      <c r="U3284" s="139" t="str">
        <f>IFERROR(__xludf.DUMMYFUNCTION("""COMPUTED_VALUE"""),"")</f>
        <v/>
      </c>
      <c r="V3284" s="136" t="str">
        <f>IFERROR(__xludf.DUMMYFUNCTION("""COMPUTED_VALUE"""),"")</f>
        <v/>
      </c>
      <c r="W3284" s="106" t="str">
        <f>IFERROR(__xludf.DUMMYFUNCTION("""COMPUTED_VALUE"""),"")</f>
        <v/>
      </c>
      <c r="X3284" s="143" t="str">
        <f t="shared" si="2"/>
        <v/>
      </c>
      <c r="Y3284" s="139" t="str">
        <f>IFERROR(__xludf.DUMMYFUNCTION("""COMPUTED_VALUE"""),"")</f>
        <v/>
      </c>
      <c r="Z3284" s="141" t="str">
        <f>IFERROR(__xludf.DUMMYFUNCTION("""COMPUTED_VALUE"""),"")</f>
        <v/>
      </c>
    </row>
    <row r="3285">
      <c r="D3285" s="136" t="str">
        <f t="shared" si="3"/>
        <v/>
      </c>
      <c r="E3285" s="152"/>
      <c r="F3285" s="106" t="s">
        <v>133</v>
      </c>
      <c r="G3285" s="152"/>
      <c r="H3285" s="106" t="s">
        <v>133</v>
      </c>
      <c r="J3285" s="139" t="s">
        <v>133</v>
      </c>
      <c r="K3285" s="136" t="s">
        <v>133</v>
      </c>
      <c r="L3285" s="153"/>
      <c r="M3285" s="136" t="str">
        <f t="shared" si="1"/>
        <v/>
      </c>
      <c r="O3285" s="141" t="s">
        <v>133</v>
      </c>
      <c r="P3285" s="136" t="str">
        <f>IFERROR(__xludf.DUMMYFUNCTION("""COMPUTED_VALUE"""),"")</f>
        <v/>
      </c>
      <c r="Q3285" s="136" t="str">
        <f>IFERROR(__xludf.DUMMYFUNCTION("""COMPUTED_VALUE"""),"")</f>
        <v/>
      </c>
      <c r="R3285" s="106" t="str">
        <f>IFERROR(__xludf.DUMMYFUNCTION("""COMPUTED_VALUE"""),"")</f>
        <v/>
      </c>
      <c r="S3285" s="106" t="str">
        <f>IFERROR(__xludf.DUMMYFUNCTION("""COMPUTED_VALUE"""),"")</f>
        <v/>
      </c>
      <c r="T3285" s="139" t="str">
        <f>IFERROR(__xludf.DUMMYFUNCTION("""COMPUTED_VALUE"""),"")</f>
        <v/>
      </c>
      <c r="U3285" s="139" t="str">
        <f>IFERROR(__xludf.DUMMYFUNCTION("""COMPUTED_VALUE"""),"")</f>
        <v/>
      </c>
      <c r="V3285" s="136" t="str">
        <f>IFERROR(__xludf.DUMMYFUNCTION("""COMPUTED_VALUE"""),"")</f>
        <v/>
      </c>
      <c r="W3285" s="106" t="str">
        <f>IFERROR(__xludf.DUMMYFUNCTION("""COMPUTED_VALUE"""),"")</f>
        <v/>
      </c>
      <c r="X3285" s="143" t="str">
        <f t="shared" si="2"/>
        <v/>
      </c>
      <c r="Y3285" s="139" t="str">
        <f>IFERROR(__xludf.DUMMYFUNCTION("""COMPUTED_VALUE"""),"")</f>
        <v/>
      </c>
      <c r="Z3285" s="141" t="str">
        <f>IFERROR(__xludf.DUMMYFUNCTION("""COMPUTED_VALUE"""),"")</f>
        <v/>
      </c>
    </row>
    <row r="3286">
      <c r="D3286" s="136" t="str">
        <f t="shared" si="3"/>
        <v/>
      </c>
      <c r="E3286" s="152"/>
      <c r="F3286" s="106" t="s">
        <v>133</v>
      </c>
      <c r="G3286" s="152"/>
      <c r="H3286" s="106" t="s">
        <v>133</v>
      </c>
      <c r="J3286" s="139" t="s">
        <v>133</v>
      </c>
      <c r="K3286" s="136" t="s">
        <v>133</v>
      </c>
      <c r="L3286" s="153"/>
      <c r="M3286" s="136" t="str">
        <f t="shared" si="1"/>
        <v/>
      </c>
      <c r="O3286" s="141" t="s">
        <v>133</v>
      </c>
      <c r="P3286" s="136" t="str">
        <f>IFERROR(__xludf.DUMMYFUNCTION("""COMPUTED_VALUE"""),"")</f>
        <v/>
      </c>
      <c r="Q3286" s="136" t="str">
        <f>IFERROR(__xludf.DUMMYFUNCTION("""COMPUTED_VALUE"""),"")</f>
        <v/>
      </c>
      <c r="R3286" s="106" t="str">
        <f>IFERROR(__xludf.DUMMYFUNCTION("""COMPUTED_VALUE"""),"")</f>
        <v/>
      </c>
      <c r="S3286" s="106" t="str">
        <f>IFERROR(__xludf.DUMMYFUNCTION("""COMPUTED_VALUE"""),"")</f>
        <v/>
      </c>
      <c r="T3286" s="139" t="str">
        <f>IFERROR(__xludf.DUMMYFUNCTION("""COMPUTED_VALUE"""),"")</f>
        <v/>
      </c>
      <c r="U3286" s="139" t="str">
        <f>IFERROR(__xludf.DUMMYFUNCTION("""COMPUTED_VALUE"""),"")</f>
        <v/>
      </c>
      <c r="V3286" s="136" t="str">
        <f>IFERROR(__xludf.DUMMYFUNCTION("""COMPUTED_VALUE"""),"")</f>
        <v/>
      </c>
      <c r="W3286" s="106" t="str">
        <f>IFERROR(__xludf.DUMMYFUNCTION("""COMPUTED_VALUE"""),"")</f>
        <v/>
      </c>
      <c r="X3286" s="143" t="str">
        <f t="shared" si="2"/>
        <v/>
      </c>
      <c r="Y3286" s="139" t="str">
        <f>IFERROR(__xludf.DUMMYFUNCTION("""COMPUTED_VALUE"""),"")</f>
        <v/>
      </c>
      <c r="Z3286" s="141" t="str">
        <f>IFERROR(__xludf.DUMMYFUNCTION("""COMPUTED_VALUE"""),"")</f>
        <v/>
      </c>
    </row>
    <row r="3287">
      <c r="D3287" s="136" t="str">
        <f t="shared" si="3"/>
        <v/>
      </c>
      <c r="E3287" s="152"/>
      <c r="F3287" s="106" t="s">
        <v>133</v>
      </c>
      <c r="G3287" s="152"/>
      <c r="H3287" s="106" t="s">
        <v>133</v>
      </c>
      <c r="J3287" s="139" t="s">
        <v>133</v>
      </c>
      <c r="K3287" s="136" t="s">
        <v>133</v>
      </c>
      <c r="L3287" s="153"/>
      <c r="M3287" s="136" t="str">
        <f t="shared" si="1"/>
        <v/>
      </c>
      <c r="O3287" s="141" t="s">
        <v>133</v>
      </c>
      <c r="P3287" s="136" t="str">
        <f>IFERROR(__xludf.DUMMYFUNCTION("""COMPUTED_VALUE"""),"")</f>
        <v/>
      </c>
      <c r="Q3287" s="136" t="str">
        <f>IFERROR(__xludf.DUMMYFUNCTION("""COMPUTED_VALUE"""),"")</f>
        <v/>
      </c>
      <c r="R3287" s="106" t="str">
        <f>IFERROR(__xludf.DUMMYFUNCTION("""COMPUTED_VALUE"""),"")</f>
        <v/>
      </c>
      <c r="S3287" s="106" t="str">
        <f>IFERROR(__xludf.DUMMYFUNCTION("""COMPUTED_VALUE"""),"")</f>
        <v/>
      </c>
      <c r="T3287" s="139" t="str">
        <f>IFERROR(__xludf.DUMMYFUNCTION("""COMPUTED_VALUE"""),"")</f>
        <v/>
      </c>
      <c r="U3287" s="139" t="str">
        <f>IFERROR(__xludf.DUMMYFUNCTION("""COMPUTED_VALUE"""),"")</f>
        <v/>
      </c>
      <c r="V3287" s="136" t="str">
        <f>IFERROR(__xludf.DUMMYFUNCTION("""COMPUTED_VALUE"""),"")</f>
        <v/>
      </c>
      <c r="W3287" s="106" t="str">
        <f>IFERROR(__xludf.DUMMYFUNCTION("""COMPUTED_VALUE"""),"")</f>
        <v/>
      </c>
      <c r="X3287" s="143" t="str">
        <f t="shared" si="2"/>
        <v/>
      </c>
      <c r="Y3287" s="139" t="str">
        <f>IFERROR(__xludf.DUMMYFUNCTION("""COMPUTED_VALUE"""),"")</f>
        <v/>
      </c>
      <c r="Z3287" s="141" t="str">
        <f>IFERROR(__xludf.DUMMYFUNCTION("""COMPUTED_VALUE"""),"")</f>
        <v/>
      </c>
    </row>
    <row r="3288">
      <c r="D3288" s="136" t="str">
        <f t="shared" si="3"/>
        <v/>
      </c>
      <c r="E3288" s="152"/>
      <c r="F3288" s="106" t="s">
        <v>133</v>
      </c>
      <c r="G3288" s="152"/>
      <c r="H3288" s="106" t="s">
        <v>133</v>
      </c>
      <c r="J3288" s="139" t="s">
        <v>133</v>
      </c>
      <c r="K3288" s="136" t="s">
        <v>133</v>
      </c>
      <c r="L3288" s="153"/>
      <c r="M3288" s="136" t="str">
        <f t="shared" si="1"/>
        <v/>
      </c>
      <c r="O3288" s="141" t="s">
        <v>133</v>
      </c>
      <c r="P3288" s="136" t="str">
        <f>IFERROR(__xludf.DUMMYFUNCTION("""COMPUTED_VALUE"""),"")</f>
        <v/>
      </c>
      <c r="Q3288" s="136" t="str">
        <f>IFERROR(__xludf.DUMMYFUNCTION("""COMPUTED_VALUE"""),"")</f>
        <v/>
      </c>
      <c r="R3288" s="106" t="str">
        <f>IFERROR(__xludf.DUMMYFUNCTION("""COMPUTED_VALUE"""),"")</f>
        <v/>
      </c>
      <c r="S3288" s="106" t="str">
        <f>IFERROR(__xludf.DUMMYFUNCTION("""COMPUTED_VALUE"""),"")</f>
        <v/>
      </c>
      <c r="T3288" s="139" t="str">
        <f>IFERROR(__xludf.DUMMYFUNCTION("""COMPUTED_VALUE"""),"")</f>
        <v/>
      </c>
      <c r="U3288" s="139" t="str">
        <f>IFERROR(__xludf.DUMMYFUNCTION("""COMPUTED_VALUE"""),"")</f>
        <v/>
      </c>
      <c r="V3288" s="136" t="str">
        <f>IFERROR(__xludf.DUMMYFUNCTION("""COMPUTED_VALUE"""),"")</f>
        <v/>
      </c>
      <c r="W3288" s="106" t="str">
        <f>IFERROR(__xludf.DUMMYFUNCTION("""COMPUTED_VALUE"""),"")</f>
        <v/>
      </c>
      <c r="X3288" s="143" t="str">
        <f t="shared" si="2"/>
        <v/>
      </c>
      <c r="Y3288" s="139" t="str">
        <f>IFERROR(__xludf.DUMMYFUNCTION("""COMPUTED_VALUE"""),"")</f>
        <v/>
      </c>
      <c r="Z3288" s="141" t="str">
        <f>IFERROR(__xludf.DUMMYFUNCTION("""COMPUTED_VALUE"""),"")</f>
        <v/>
      </c>
    </row>
    <row r="3289">
      <c r="D3289" s="136" t="str">
        <f t="shared" si="3"/>
        <v/>
      </c>
      <c r="E3289" s="152"/>
      <c r="F3289" s="106" t="s">
        <v>133</v>
      </c>
      <c r="G3289" s="152"/>
      <c r="H3289" s="106" t="s">
        <v>133</v>
      </c>
      <c r="J3289" s="139" t="s">
        <v>133</v>
      </c>
      <c r="K3289" s="136" t="s">
        <v>133</v>
      </c>
      <c r="L3289" s="153"/>
      <c r="M3289" s="136" t="str">
        <f t="shared" si="1"/>
        <v/>
      </c>
      <c r="O3289" s="141" t="s">
        <v>133</v>
      </c>
      <c r="P3289" s="136" t="str">
        <f>IFERROR(__xludf.DUMMYFUNCTION("""COMPUTED_VALUE"""),"")</f>
        <v/>
      </c>
      <c r="Q3289" s="136" t="str">
        <f>IFERROR(__xludf.DUMMYFUNCTION("""COMPUTED_VALUE"""),"")</f>
        <v/>
      </c>
      <c r="R3289" s="106" t="str">
        <f>IFERROR(__xludf.DUMMYFUNCTION("""COMPUTED_VALUE"""),"")</f>
        <v/>
      </c>
      <c r="S3289" s="106" t="str">
        <f>IFERROR(__xludf.DUMMYFUNCTION("""COMPUTED_VALUE"""),"")</f>
        <v/>
      </c>
      <c r="T3289" s="139" t="str">
        <f>IFERROR(__xludf.DUMMYFUNCTION("""COMPUTED_VALUE"""),"")</f>
        <v/>
      </c>
      <c r="U3289" s="139" t="str">
        <f>IFERROR(__xludf.DUMMYFUNCTION("""COMPUTED_VALUE"""),"")</f>
        <v/>
      </c>
      <c r="V3289" s="136" t="str">
        <f>IFERROR(__xludf.DUMMYFUNCTION("""COMPUTED_VALUE"""),"")</f>
        <v/>
      </c>
      <c r="W3289" s="106" t="str">
        <f>IFERROR(__xludf.DUMMYFUNCTION("""COMPUTED_VALUE"""),"")</f>
        <v/>
      </c>
      <c r="X3289" s="143" t="str">
        <f t="shared" si="2"/>
        <v/>
      </c>
      <c r="Y3289" s="139" t="str">
        <f>IFERROR(__xludf.DUMMYFUNCTION("""COMPUTED_VALUE"""),"")</f>
        <v/>
      </c>
      <c r="Z3289" s="141" t="str">
        <f>IFERROR(__xludf.DUMMYFUNCTION("""COMPUTED_VALUE"""),"")</f>
        <v/>
      </c>
    </row>
    <row r="3290">
      <c r="D3290" s="136" t="str">
        <f t="shared" si="3"/>
        <v/>
      </c>
      <c r="E3290" s="152"/>
      <c r="F3290" s="106" t="s">
        <v>133</v>
      </c>
      <c r="G3290" s="152"/>
      <c r="H3290" s="106" t="s">
        <v>133</v>
      </c>
      <c r="J3290" s="139" t="s">
        <v>133</v>
      </c>
      <c r="K3290" s="136" t="s">
        <v>133</v>
      </c>
      <c r="L3290" s="153"/>
      <c r="M3290" s="136" t="str">
        <f t="shared" si="1"/>
        <v/>
      </c>
      <c r="O3290" s="141" t="s">
        <v>133</v>
      </c>
      <c r="P3290" s="136" t="str">
        <f>IFERROR(__xludf.DUMMYFUNCTION("""COMPUTED_VALUE"""),"")</f>
        <v/>
      </c>
      <c r="Q3290" s="136" t="str">
        <f>IFERROR(__xludf.DUMMYFUNCTION("""COMPUTED_VALUE"""),"")</f>
        <v/>
      </c>
      <c r="R3290" s="106" t="str">
        <f>IFERROR(__xludf.DUMMYFUNCTION("""COMPUTED_VALUE"""),"")</f>
        <v/>
      </c>
      <c r="S3290" s="106" t="str">
        <f>IFERROR(__xludf.DUMMYFUNCTION("""COMPUTED_VALUE"""),"")</f>
        <v/>
      </c>
      <c r="T3290" s="139" t="str">
        <f>IFERROR(__xludf.DUMMYFUNCTION("""COMPUTED_VALUE"""),"")</f>
        <v/>
      </c>
      <c r="U3290" s="139" t="str">
        <f>IFERROR(__xludf.DUMMYFUNCTION("""COMPUTED_VALUE"""),"")</f>
        <v/>
      </c>
      <c r="V3290" s="136" t="str">
        <f>IFERROR(__xludf.DUMMYFUNCTION("""COMPUTED_VALUE"""),"")</f>
        <v/>
      </c>
      <c r="W3290" s="106" t="str">
        <f>IFERROR(__xludf.DUMMYFUNCTION("""COMPUTED_VALUE"""),"")</f>
        <v/>
      </c>
      <c r="X3290" s="143" t="str">
        <f t="shared" si="2"/>
        <v/>
      </c>
      <c r="Y3290" s="139" t="str">
        <f>IFERROR(__xludf.DUMMYFUNCTION("""COMPUTED_VALUE"""),"")</f>
        <v/>
      </c>
      <c r="Z3290" s="141" t="str">
        <f>IFERROR(__xludf.DUMMYFUNCTION("""COMPUTED_VALUE"""),"")</f>
        <v/>
      </c>
    </row>
    <row r="3291">
      <c r="D3291" s="136" t="str">
        <f t="shared" si="3"/>
        <v/>
      </c>
      <c r="E3291" s="152"/>
      <c r="F3291" s="106" t="s">
        <v>133</v>
      </c>
      <c r="G3291" s="152"/>
      <c r="H3291" s="106" t="s">
        <v>133</v>
      </c>
      <c r="J3291" s="139" t="s">
        <v>133</v>
      </c>
      <c r="K3291" s="136" t="s">
        <v>133</v>
      </c>
      <c r="L3291" s="153"/>
      <c r="M3291" s="136" t="str">
        <f t="shared" si="1"/>
        <v/>
      </c>
      <c r="O3291" s="141" t="s">
        <v>133</v>
      </c>
      <c r="P3291" s="136" t="str">
        <f>IFERROR(__xludf.DUMMYFUNCTION("""COMPUTED_VALUE"""),"")</f>
        <v/>
      </c>
      <c r="Q3291" s="136" t="str">
        <f>IFERROR(__xludf.DUMMYFUNCTION("""COMPUTED_VALUE"""),"")</f>
        <v/>
      </c>
      <c r="R3291" s="106" t="str">
        <f>IFERROR(__xludf.DUMMYFUNCTION("""COMPUTED_VALUE"""),"")</f>
        <v/>
      </c>
      <c r="S3291" s="106" t="str">
        <f>IFERROR(__xludf.DUMMYFUNCTION("""COMPUTED_VALUE"""),"")</f>
        <v/>
      </c>
      <c r="T3291" s="139" t="str">
        <f>IFERROR(__xludf.DUMMYFUNCTION("""COMPUTED_VALUE"""),"")</f>
        <v/>
      </c>
      <c r="U3291" s="139" t="str">
        <f>IFERROR(__xludf.DUMMYFUNCTION("""COMPUTED_VALUE"""),"")</f>
        <v/>
      </c>
      <c r="V3291" s="136" t="str">
        <f>IFERROR(__xludf.DUMMYFUNCTION("""COMPUTED_VALUE"""),"")</f>
        <v/>
      </c>
      <c r="W3291" s="106" t="str">
        <f>IFERROR(__xludf.DUMMYFUNCTION("""COMPUTED_VALUE"""),"")</f>
        <v/>
      </c>
      <c r="X3291" s="143" t="str">
        <f t="shared" si="2"/>
        <v/>
      </c>
      <c r="Y3291" s="139" t="str">
        <f>IFERROR(__xludf.DUMMYFUNCTION("""COMPUTED_VALUE"""),"")</f>
        <v/>
      </c>
      <c r="Z3291" s="141" t="str">
        <f>IFERROR(__xludf.DUMMYFUNCTION("""COMPUTED_VALUE"""),"")</f>
        <v/>
      </c>
    </row>
    <row r="3292">
      <c r="D3292" s="136" t="str">
        <f t="shared" si="3"/>
        <v/>
      </c>
      <c r="E3292" s="152"/>
      <c r="F3292" s="106" t="s">
        <v>133</v>
      </c>
      <c r="G3292" s="152"/>
      <c r="H3292" s="106" t="s">
        <v>133</v>
      </c>
      <c r="J3292" s="139" t="s">
        <v>133</v>
      </c>
      <c r="K3292" s="136" t="s">
        <v>133</v>
      </c>
      <c r="L3292" s="153"/>
      <c r="M3292" s="136" t="str">
        <f t="shared" si="1"/>
        <v/>
      </c>
      <c r="O3292" s="141" t="s">
        <v>133</v>
      </c>
      <c r="P3292" s="136" t="str">
        <f>IFERROR(__xludf.DUMMYFUNCTION("""COMPUTED_VALUE"""),"")</f>
        <v/>
      </c>
      <c r="Q3292" s="136" t="str">
        <f>IFERROR(__xludf.DUMMYFUNCTION("""COMPUTED_VALUE"""),"")</f>
        <v/>
      </c>
      <c r="R3292" s="106" t="str">
        <f>IFERROR(__xludf.DUMMYFUNCTION("""COMPUTED_VALUE"""),"")</f>
        <v/>
      </c>
      <c r="S3292" s="106" t="str">
        <f>IFERROR(__xludf.DUMMYFUNCTION("""COMPUTED_VALUE"""),"")</f>
        <v/>
      </c>
      <c r="T3292" s="139" t="str">
        <f>IFERROR(__xludf.DUMMYFUNCTION("""COMPUTED_VALUE"""),"")</f>
        <v/>
      </c>
      <c r="U3292" s="139" t="str">
        <f>IFERROR(__xludf.DUMMYFUNCTION("""COMPUTED_VALUE"""),"")</f>
        <v/>
      </c>
      <c r="V3292" s="136" t="str">
        <f>IFERROR(__xludf.DUMMYFUNCTION("""COMPUTED_VALUE"""),"")</f>
        <v/>
      </c>
      <c r="W3292" s="106" t="str">
        <f>IFERROR(__xludf.DUMMYFUNCTION("""COMPUTED_VALUE"""),"")</f>
        <v/>
      </c>
      <c r="X3292" s="143" t="str">
        <f t="shared" si="2"/>
        <v/>
      </c>
      <c r="Y3292" s="139" t="str">
        <f>IFERROR(__xludf.DUMMYFUNCTION("""COMPUTED_VALUE"""),"")</f>
        <v/>
      </c>
      <c r="Z3292" s="141" t="str">
        <f>IFERROR(__xludf.DUMMYFUNCTION("""COMPUTED_VALUE"""),"")</f>
        <v/>
      </c>
    </row>
    <row r="3293">
      <c r="D3293" s="136" t="str">
        <f t="shared" si="3"/>
        <v/>
      </c>
      <c r="E3293" s="152"/>
      <c r="F3293" s="106" t="s">
        <v>133</v>
      </c>
      <c r="G3293" s="152"/>
      <c r="H3293" s="106" t="s">
        <v>133</v>
      </c>
      <c r="J3293" s="139" t="s">
        <v>133</v>
      </c>
      <c r="K3293" s="136" t="s">
        <v>133</v>
      </c>
      <c r="L3293" s="153"/>
      <c r="M3293" s="136" t="str">
        <f t="shared" si="1"/>
        <v/>
      </c>
      <c r="O3293" s="141" t="s">
        <v>133</v>
      </c>
      <c r="P3293" s="136" t="str">
        <f>IFERROR(__xludf.DUMMYFUNCTION("""COMPUTED_VALUE"""),"")</f>
        <v/>
      </c>
      <c r="Q3293" s="136" t="str">
        <f>IFERROR(__xludf.DUMMYFUNCTION("""COMPUTED_VALUE"""),"")</f>
        <v/>
      </c>
      <c r="R3293" s="106" t="str">
        <f>IFERROR(__xludf.DUMMYFUNCTION("""COMPUTED_VALUE"""),"")</f>
        <v/>
      </c>
      <c r="S3293" s="106" t="str">
        <f>IFERROR(__xludf.DUMMYFUNCTION("""COMPUTED_VALUE"""),"")</f>
        <v/>
      </c>
      <c r="T3293" s="139" t="str">
        <f>IFERROR(__xludf.DUMMYFUNCTION("""COMPUTED_VALUE"""),"")</f>
        <v/>
      </c>
      <c r="U3293" s="139" t="str">
        <f>IFERROR(__xludf.DUMMYFUNCTION("""COMPUTED_VALUE"""),"")</f>
        <v/>
      </c>
      <c r="V3293" s="136" t="str">
        <f>IFERROR(__xludf.DUMMYFUNCTION("""COMPUTED_VALUE"""),"")</f>
        <v/>
      </c>
      <c r="W3293" s="106" t="str">
        <f>IFERROR(__xludf.DUMMYFUNCTION("""COMPUTED_VALUE"""),"")</f>
        <v/>
      </c>
      <c r="X3293" s="143" t="str">
        <f t="shared" si="2"/>
        <v/>
      </c>
      <c r="Y3293" s="139" t="str">
        <f>IFERROR(__xludf.DUMMYFUNCTION("""COMPUTED_VALUE"""),"")</f>
        <v/>
      </c>
      <c r="Z3293" s="141" t="str">
        <f>IFERROR(__xludf.DUMMYFUNCTION("""COMPUTED_VALUE"""),"")</f>
        <v/>
      </c>
    </row>
    <row r="3294">
      <c r="D3294" s="136" t="str">
        <f t="shared" si="3"/>
        <v/>
      </c>
      <c r="E3294" s="152"/>
      <c r="F3294" s="106" t="s">
        <v>133</v>
      </c>
      <c r="G3294" s="152"/>
      <c r="H3294" s="106" t="s">
        <v>133</v>
      </c>
      <c r="J3294" s="139" t="s">
        <v>133</v>
      </c>
      <c r="K3294" s="136" t="s">
        <v>133</v>
      </c>
      <c r="L3294" s="153"/>
      <c r="M3294" s="136" t="str">
        <f t="shared" si="1"/>
        <v/>
      </c>
      <c r="O3294" s="141" t="s">
        <v>133</v>
      </c>
      <c r="P3294" s="136" t="str">
        <f>IFERROR(__xludf.DUMMYFUNCTION("""COMPUTED_VALUE"""),"")</f>
        <v/>
      </c>
      <c r="Q3294" s="136" t="str">
        <f>IFERROR(__xludf.DUMMYFUNCTION("""COMPUTED_VALUE"""),"")</f>
        <v/>
      </c>
      <c r="R3294" s="106" t="str">
        <f>IFERROR(__xludf.DUMMYFUNCTION("""COMPUTED_VALUE"""),"")</f>
        <v/>
      </c>
      <c r="S3294" s="106" t="str">
        <f>IFERROR(__xludf.DUMMYFUNCTION("""COMPUTED_VALUE"""),"")</f>
        <v/>
      </c>
      <c r="T3294" s="139" t="str">
        <f>IFERROR(__xludf.DUMMYFUNCTION("""COMPUTED_VALUE"""),"")</f>
        <v/>
      </c>
      <c r="U3294" s="139" t="str">
        <f>IFERROR(__xludf.DUMMYFUNCTION("""COMPUTED_VALUE"""),"")</f>
        <v/>
      </c>
      <c r="V3294" s="136" t="str">
        <f>IFERROR(__xludf.DUMMYFUNCTION("""COMPUTED_VALUE"""),"")</f>
        <v/>
      </c>
      <c r="W3294" s="106" t="str">
        <f>IFERROR(__xludf.DUMMYFUNCTION("""COMPUTED_VALUE"""),"")</f>
        <v/>
      </c>
      <c r="X3294" s="143" t="str">
        <f t="shared" si="2"/>
        <v/>
      </c>
      <c r="Y3294" s="139" t="str">
        <f>IFERROR(__xludf.DUMMYFUNCTION("""COMPUTED_VALUE"""),"")</f>
        <v/>
      </c>
      <c r="Z3294" s="141" t="str">
        <f>IFERROR(__xludf.DUMMYFUNCTION("""COMPUTED_VALUE"""),"")</f>
        <v/>
      </c>
    </row>
    <row r="3295">
      <c r="D3295" s="136" t="str">
        <f t="shared" si="3"/>
        <v/>
      </c>
      <c r="E3295" s="152"/>
      <c r="F3295" s="106" t="s">
        <v>133</v>
      </c>
      <c r="G3295" s="152"/>
      <c r="H3295" s="106" t="s">
        <v>133</v>
      </c>
      <c r="J3295" s="139" t="s">
        <v>133</v>
      </c>
      <c r="K3295" s="136" t="s">
        <v>133</v>
      </c>
      <c r="L3295" s="153"/>
      <c r="M3295" s="136" t="str">
        <f t="shared" si="1"/>
        <v/>
      </c>
      <c r="O3295" s="141" t="s">
        <v>133</v>
      </c>
      <c r="P3295" s="136" t="str">
        <f>IFERROR(__xludf.DUMMYFUNCTION("""COMPUTED_VALUE"""),"")</f>
        <v/>
      </c>
      <c r="Q3295" s="136" t="str">
        <f>IFERROR(__xludf.DUMMYFUNCTION("""COMPUTED_VALUE"""),"")</f>
        <v/>
      </c>
      <c r="R3295" s="106" t="str">
        <f>IFERROR(__xludf.DUMMYFUNCTION("""COMPUTED_VALUE"""),"")</f>
        <v/>
      </c>
      <c r="S3295" s="106" t="str">
        <f>IFERROR(__xludf.DUMMYFUNCTION("""COMPUTED_VALUE"""),"")</f>
        <v/>
      </c>
      <c r="T3295" s="139" t="str">
        <f>IFERROR(__xludf.DUMMYFUNCTION("""COMPUTED_VALUE"""),"")</f>
        <v/>
      </c>
      <c r="U3295" s="139" t="str">
        <f>IFERROR(__xludf.DUMMYFUNCTION("""COMPUTED_VALUE"""),"")</f>
        <v/>
      </c>
      <c r="V3295" s="136" t="str">
        <f>IFERROR(__xludf.DUMMYFUNCTION("""COMPUTED_VALUE"""),"")</f>
        <v/>
      </c>
      <c r="W3295" s="106" t="str">
        <f>IFERROR(__xludf.DUMMYFUNCTION("""COMPUTED_VALUE"""),"")</f>
        <v/>
      </c>
      <c r="X3295" s="143" t="str">
        <f t="shared" si="2"/>
        <v/>
      </c>
      <c r="Y3295" s="139" t="str">
        <f>IFERROR(__xludf.DUMMYFUNCTION("""COMPUTED_VALUE"""),"")</f>
        <v/>
      </c>
      <c r="Z3295" s="141" t="str">
        <f>IFERROR(__xludf.DUMMYFUNCTION("""COMPUTED_VALUE"""),"")</f>
        <v/>
      </c>
    </row>
    <row r="3296">
      <c r="D3296" s="136" t="str">
        <f t="shared" si="3"/>
        <v/>
      </c>
      <c r="E3296" s="152"/>
      <c r="F3296" s="106" t="s">
        <v>133</v>
      </c>
      <c r="G3296" s="152"/>
      <c r="H3296" s="106" t="s">
        <v>133</v>
      </c>
      <c r="J3296" s="139" t="s">
        <v>133</v>
      </c>
      <c r="K3296" s="136" t="s">
        <v>133</v>
      </c>
      <c r="L3296" s="153"/>
      <c r="M3296" s="136" t="str">
        <f t="shared" si="1"/>
        <v/>
      </c>
      <c r="O3296" s="141" t="s">
        <v>133</v>
      </c>
      <c r="P3296" s="136" t="str">
        <f>IFERROR(__xludf.DUMMYFUNCTION("""COMPUTED_VALUE"""),"")</f>
        <v/>
      </c>
      <c r="Q3296" s="136" t="str">
        <f>IFERROR(__xludf.DUMMYFUNCTION("""COMPUTED_VALUE"""),"")</f>
        <v/>
      </c>
      <c r="R3296" s="106" t="str">
        <f>IFERROR(__xludf.DUMMYFUNCTION("""COMPUTED_VALUE"""),"")</f>
        <v/>
      </c>
      <c r="S3296" s="106" t="str">
        <f>IFERROR(__xludf.DUMMYFUNCTION("""COMPUTED_VALUE"""),"")</f>
        <v/>
      </c>
      <c r="T3296" s="139" t="str">
        <f>IFERROR(__xludf.DUMMYFUNCTION("""COMPUTED_VALUE"""),"")</f>
        <v/>
      </c>
      <c r="U3296" s="139" t="str">
        <f>IFERROR(__xludf.DUMMYFUNCTION("""COMPUTED_VALUE"""),"")</f>
        <v/>
      </c>
      <c r="V3296" s="136" t="str">
        <f>IFERROR(__xludf.DUMMYFUNCTION("""COMPUTED_VALUE"""),"")</f>
        <v/>
      </c>
      <c r="W3296" s="106" t="str">
        <f>IFERROR(__xludf.DUMMYFUNCTION("""COMPUTED_VALUE"""),"")</f>
        <v/>
      </c>
      <c r="X3296" s="143" t="str">
        <f t="shared" si="2"/>
        <v/>
      </c>
      <c r="Y3296" s="139" t="str">
        <f>IFERROR(__xludf.DUMMYFUNCTION("""COMPUTED_VALUE"""),"")</f>
        <v/>
      </c>
      <c r="Z3296" s="141" t="str">
        <f>IFERROR(__xludf.DUMMYFUNCTION("""COMPUTED_VALUE"""),"")</f>
        <v/>
      </c>
    </row>
    <row r="3297">
      <c r="D3297" s="136" t="str">
        <f t="shared" si="3"/>
        <v/>
      </c>
      <c r="E3297" s="152"/>
      <c r="F3297" s="106" t="s">
        <v>133</v>
      </c>
      <c r="G3297" s="152"/>
      <c r="H3297" s="106" t="s">
        <v>133</v>
      </c>
      <c r="J3297" s="139" t="s">
        <v>133</v>
      </c>
      <c r="K3297" s="136" t="s">
        <v>133</v>
      </c>
      <c r="L3297" s="153"/>
      <c r="M3297" s="136" t="str">
        <f t="shared" si="1"/>
        <v/>
      </c>
      <c r="O3297" s="141" t="s">
        <v>133</v>
      </c>
      <c r="P3297" s="136" t="str">
        <f>IFERROR(__xludf.DUMMYFUNCTION("""COMPUTED_VALUE"""),"")</f>
        <v/>
      </c>
      <c r="Q3297" s="136" t="str">
        <f>IFERROR(__xludf.DUMMYFUNCTION("""COMPUTED_VALUE"""),"")</f>
        <v/>
      </c>
      <c r="R3297" s="106" t="str">
        <f>IFERROR(__xludf.DUMMYFUNCTION("""COMPUTED_VALUE"""),"")</f>
        <v/>
      </c>
      <c r="S3297" s="106" t="str">
        <f>IFERROR(__xludf.DUMMYFUNCTION("""COMPUTED_VALUE"""),"")</f>
        <v/>
      </c>
      <c r="T3297" s="139" t="str">
        <f>IFERROR(__xludf.DUMMYFUNCTION("""COMPUTED_VALUE"""),"")</f>
        <v/>
      </c>
      <c r="U3297" s="139" t="str">
        <f>IFERROR(__xludf.DUMMYFUNCTION("""COMPUTED_VALUE"""),"")</f>
        <v/>
      </c>
      <c r="V3297" s="136" t="str">
        <f>IFERROR(__xludf.DUMMYFUNCTION("""COMPUTED_VALUE"""),"")</f>
        <v/>
      </c>
      <c r="W3297" s="106" t="str">
        <f>IFERROR(__xludf.DUMMYFUNCTION("""COMPUTED_VALUE"""),"")</f>
        <v/>
      </c>
      <c r="X3297" s="143" t="str">
        <f t="shared" si="2"/>
        <v/>
      </c>
      <c r="Y3297" s="139" t="str">
        <f>IFERROR(__xludf.DUMMYFUNCTION("""COMPUTED_VALUE"""),"")</f>
        <v/>
      </c>
      <c r="Z3297" s="141" t="str">
        <f>IFERROR(__xludf.DUMMYFUNCTION("""COMPUTED_VALUE"""),"")</f>
        <v/>
      </c>
    </row>
    <row r="3298">
      <c r="D3298" s="136" t="str">
        <f t="shared" si="3"/>
        <v/>
      </c>
      <c r="E3298" s="152"/>
      <c r="F3298" s="106" t="s">
        <v>133</v>
      </c>
      <c r="G3298" s="152"/>
      <c r="H3298" s="106" t="s">
        <v>133</v>
      </c>
      <c r="J3298" s="139" t="s">
        <v>133</v>
      </c>
      <c r="K3298" s="136" t="s">
        <v>133</v>
      </c>
      <c r="L3298" s="153"/>
      <c r="M3298" s="136" t="str">
        <f t="shared" si="1"/>
        <v/>
      </c>
      <c r="O3298" s="141" t="s">
        <v>133</v>
      </c>
      <c r="P3298" s="136" t="str">
        <f>IFERROR(__xludf.DUMMYFUNCTION("""COMPUTED_VALUE"""),"")</f>
        <v/>
      </c>
      <c r="Q3298" s="136" t="str">
        <f>IFERROR(__xludf.DUMMYFUNCTION("""COMPUTED_VALUE"""),"")</f>
        <v/>
      </c>
      <c r="R3298" s="106" t="str">
        <f>IFERROR(__xludf.DUMMYFUNCTION("""COMPUTED_VALUE"""),"")</f>
        <v/>
      </c>
      <c r="S3298" s="106" t="str">
        <f>IFERROR(__xludf.DUMMYFUNCTION("""COMPUTED_VALUE"""),"")</f>
        <v/>
      </c>
      <c r="T3298" s="139" t="str">
        <f>IFERROR(__xludf.DUMMYFUNCTION("""COMPUTED_VALUE"""),"")</f>
        <v/>
      </c>
      <c r="U3298" s="139" t="str">
        <f>IFERROR(__xludf.DUMMYFUNCTION("""COMPUTED_VALUE"""),"")</f>
        <v/>
      </c>
      <c r="V3298" s="136" t="str">
        <f>IFERROR(__xludf.DUMMYFUNCTION("""COMPUTED_VALUE"""),"")</f>
        <v/>
      </c>
      <c r="W3298" s="106" t="str">
        <f>IFERROR(__xludf.DUMMYFUNCTION("""COMPUTED_VALUE"""),"")</f>
        <v/>
      </c>
      <c r="X3298" s="143" t="str">
        <f t="shared" si="2"/>
        <v/>
      </c>
      <c r="Y3298" s="139" t="str">
        <f>IFERROR(__xludf.DUMMYFUNCTION("""COMPUTED_VALUE"""),"")</f>
        <v/>
      </c>
      <c r="Z3298" s="141" t="str">
        <f>IFERROR(__xludf.DUMMYFUNCTION("""COMPUTED_VALUE"""),"")</f>
        <v/>
      </c>
    </row>
    <row r="3299">
      <c r="D3299" s="136" t="str">
        <f t="shared" si="3"/>
        <v/>
      </c>
      <c r="E3299" s="152"/>
      <c r="F3299" s="106" t="s">
        <v>133</v>
      </c>
      <c r="G3299" s="152"/>
      <c r="H3299" s="106" t="s">
        <v>133</v>
      </c>
      <c r="J3299" s="139" t="s">
        <v>133</v>
      </c>
      <c r="K3299" s="136" t="s">
        <v>133</v>
      </c>
      <c r="L3299" s="153"/>
      <c r="M3299" s="136" t="str">
        <f t="shared" si="1"/>
        <v/>
      </c>
      <c r="O3299" s="141" t="s">
        <v>133</v>
      </c>
      <c r="P3299" s="136" t="str">
        <f>IFERROR(__xludf.DUMMYFUNCTION("""COMPUTED_VALUE"""),"")</f>
        <v/>
      </c>
      <c r="Q3299" s="136" t="str">
        <f>IFERROR(__xludf.DUMMYFUNCTION("""COMPUTED_VALUE"""),"")</f>
        <v/>
      </c>
      <c r="R3299" s="106" t="str">
        <f>IFERROR(__xludf.DUMMYFUNCTION("""COMPUTED_VALUE"""),"")</f>
        <v/>
      </c>
      <c r="S3299" s="106" t="str">
        <f>IFERROR(__xludf.DUMMYFUNCTION("""COMPUTED_VALUE"""),"")</f>
        <v/>
      </c>
      <c r="T3299" s="139" t="str">
        <f>IFERROR(__xludf.DUMMYFUNCTION("""COMPUTED_VALUE"""),"")</f>
        <v/>
      </c>
      <c r="U3299" s="139" t="str">
        <f>IFERROR(__xludf.DUMMYFUNCTION("""COMPUTED_VALUE"""),"")</f>
        <v/>
      </c>
      <c r="V3299" s="136" t="str">
        <f>IFERROR(__xludf.DUMMYFUNCTION("""COMPUTED_VALUE"""),"")</f>
        <v/>
      </c>
      <c r="W3299" s="106" t="str">
        <f>IFERROR(__xludf.DUMMYFUNCTION("""COMPUTED_VALUE"""),"")</f>
        <v/>
      </c>
      <c r="X3299" s="143" t="str">
        <f t="shared" si="2"/>
        <v/>
      </c>
      <c r="Y3299" s="139" t="str">
        <f>IFERROR(__xludf.DUMMYFUNCTION("""COMPUTED_VALUE"""),"")</f>
        <v/>
      </c>
      <c r="Z3299" s="141" t="str">
        <f>IFERROR(__xludf.DUMMYFUNCTION("""COMPUTED_VALUE"""),"")</f>
        <v/>
      </c>
    </row>
    <row r="3300">
      <c r="D3300" s="136" t="str">
        <f t="shared" si="3"/>
        <v/>
      </c>
      <c r="E3300" s="152"/>
      <c r="F3300" s="106" t="s">
        <v>133</v>
      </c>
      <c r="G3300" s="152"/>
      <c r="H3300" s="106" t="s">
        <v>133</v>
      </c>
      <c r="J3300" s="139" t="s">
        <v>133</v>
      </c>
      <c r="K3300" s="136" t="s">
        <v>133</v>
      </c>
      <c r="L3300" s="153"/>
      <c r="M3300" s="136" t="str">
        <f t="shared" si="1"/>
        <v/>
      </c>
      <c r="O3300" s="141" t="s">
        <v>133</v>
      </c>
      <c r="P3300" s="136" t="str">
        <f>IFERROR(__xludf.DUMMYFUNCTION("""COMPUTED_VALUE"""),"")</f>
        <v/>
      </c>
      <c r="Q3300" s="136" t="str">
        <f>IFERROR(__xludf.DUMMYFUNCTION("""COMPUTED_VALUE"""),"")</f>
        <v/>
      </c>
      <c r="R3300" s="106" t="str">
        <f>IFERROR(__xludf.DUMMYFUNCTION("""COMPUTED_VALUE"""),"")</f>
        <v/>
      </c>
      <c r="S3300" s="106" t="str">
        <f>IFERROR(__xludf.DUMMYFUNCTION("""COMPUTED_VALUE"""),"")</f>
        <v/>
      </c>
      <c r="T3300" s="139" t="str">
        <f>IFERROR(__xludf.DUMMYFUNCTION("""COMPUTED_VALUE"""),"")</f>
        <v/>
      </c>
      <c r="U3300" s="139" t="str">
        <f>IFERROR(__xludf.DUMMYFUNCTION("""COMPUTED_VALUE"""),"")</f>
        <v/>
      </c>
      <c r="V3300" s="136" t="str">
        <f>IFERROR(__xludf.DUMMYFUNCTION("""COMPUTED_VALUE"""),"")</f>
        <v/>
      </c>
      <c r="W3300" s="106" t="str">
        <f>IFERROR(__xludf.DUMMYFUNCTION("""COMPUTED_VALUE"""),"")</f>
        <v/>
      </c>
      <c r="X3300" s="143" t="str">
        <f t="shared" si="2"/>
        <v/>
      </c>
      <c r="Y3300" s="139" t="str">
        <f>IFERROR(__xludf.DUMMYFUNCTION("""COMPUTED_VALUE"""),"")</f>
        <v/>
      </c>
      <c r="Z3300" s="141" t="str">
        <f>IFERROR(__xludf.DUMMYFUNCTION("""COMPUTED_VALUE"""),"")</f>
        <v/>
      </c>
    </row>
    <row r="3301">
      <c r="D3301" s="136" t="str">
        <f t="shared" si="3"/>
        <v/>
      </c>
      <c r="E3301" s="152"/>
      <c r="F3301" s="106" t="s">
        <v>133</v>
      </c>
      <c r="G3301" s="152"/>
      <c r="H3301" s="106" t="s">
        <v>133</v>
      </c>
      <c r="J3301" s="139" t="s">
        <v>133</v>
      </c>
      <c r="K3301" s="136" t="s">
        <v>133</v>
      </c>
      <c r="L3301" s="153"/>
      <c r="M3301" s="136" t="str">
        <f t="shared" si="1"/>
        <v/>
      </c>
      <c r="O3301" s="141" t="s">
        <v>133</v>
      </c>
      <c r="P3301" s="136" t="str">
        <f>IFERROR(__xludf.DUMMYFUNCTION("""COMPUTED_VALUE"""),"")</f>
        <v/>
      </c>
      <c r="Q3301" s="136" t="str">
        <f>IFERROR(__xludf.DUMMYFUNCTION("""COMPUTED_VALUE"""),"")</f>
        <v/>
      </c>
      <c r="R3301" s="106" t="str">
        <f>IFERROR(__xludf.DUMMYFUNCTION("""COMPUTED_VALUE"""),"")</f>
        <v/>
      </c>
      <c r="S3301" s="106" t="str">
        <f>IFERROR(__xludf.DUMMYFUNCTION("""COMPUTED_VALUE"""),"")</f>
        <v/>
      </c>
      <c r="T3301" s="139" t="str">
        <f>IFERROR(__xludf.DUMMYFUNCTION("""COMPUTED_VALUE"""),"")</f>
        <v/>
      </c>
      <c r="U3301" s="139" t="str">
        <f>IFERROR(__xludf.DUMMYFUNCTION("""COMPUTED_VALUE"""),"")</f>
        <v/>
      </c>
      <c r="V3301" s="136" t="str">
        <f>IFERROR(__xludf.DUMMYFUNCTION("""COMPUTED_VALUE"""),"")</f>
        <v/>
      </c>
      <c r="W3301" s="106" t="str">
        <f>IFERROR(__xludf.DUMMYFUNCTION("""COMPUTED_VALUE"""),"")</f>
        <v/>
      </c>
      <c r="X3301" s="143" t="str">
        <f t="shared" si="2"/>
        <v/>
      </c>
      <c r="Y3301" s="139" t="str">
        <f>IFERROR(__xludf.DUMMYFUNCTION("""COMPUTED_VALUE"""),"")</f>
        <v/>
      </c>
      <c r="Z3301" s="141" t="str">
        <f>IFERROR(__xludf.DUMMYFUNCTION("""COMPUTED_VALUE"""),"")</f>
        <v/>
      </c>
    </row>
    <row r="3302">
      <c r="D3302" s="136" t="str">
        <f t="shared" si="3"/>
        <v/>
      </c>
      <c r="E3302" s="152"/>
      <c r="F3302" s="106" t="s">
        <v>133</v>
      </c>
      <c r="G3302" s="152"/>
      <c r="H3302" s="106" t="s">
        <v>133</v>
      </c>
      <c r="J3302" s="139" t="s">
        <v>133</v>
      </c>
      <c r="K3302" s="136" t="s">
        <v>133</v>
      </c>
      <c r="L3302" s="153"/>
      <c r="M3302" s="136" t="str">
        <f t="shared" si="1"/>
        <v/>
      </c>
      <c r="O3302" s="141" t="s">
        <v>133</v>
      </c>
      <c r="P3302" s="136" t="str">
        <f>IFERROR(__xludf.DUMMYFUNCTION("""COMPUTED_VALUE"""),"")</f>
        <v/>
      </c>
      <c r="Q3302" s="136" t="str">
        <f>IFERROR(__xludf.DUMMYFUNCTION("""COMPUTED_VALUE"""),"")</f>
        <v/>
      </c>
      <c r="R3302" s="106" t="str">
        <f>IFERROR(__xludf.DUMMYFUNCTION("""COMPUTED_VALUE"""),"")</f>
        <v/>
      </c>
      <c r="S3302" s="106" t="str">
        <f>IFERROR(__xludf.DUMMYFUNCTION("""COMPUTED_VALUE"""),"")</f>
        <v/>
      </c>
      <c r="T3302" s="139" t="str">
        <f>IFERROR(__xludf.DUMMYFUNCTION("""COMPUTED_VALUE"""),"")</f>
        <v/>
      </c>
      <c r="U3302" s="139" t="str">
        <f>IFERROR(__xludf.DUMMYFUNCTION("""COMPUTED_VALUE"""),"")</f>
        <v/>
      </c>
      <c r="V3302" s="136" t="str">
        <f>IFERROR(__xludf.DUMMYFUNCTION("""COMPUTED_VALUE"""),"")</f>
        <v/>
      </c>
      <c r="W3302" s="106" t="str">
        <f>IFERROR(__xludf.DUMMYFUNCTION("""COMPUTED_VALUE"""),"")</f>
        <v/>
      </c>
      <c r="X3302" s="143" t="str">
        <f t="shared" si="2"/>
        <v/>
      </c>
      <c r="Y3302" s="139" t="str">
        <f>IFERROR(__xludf.DUMMYFUNCTION("""COMPUTED_VALUE"""),"")</f>
        <v/>
      </c>
      <c r="Z3302" s="141" t="str">
        <f>IFERROR(__xludf.DUMMYFUNCTION("""COMPUTED_VALUE"""),"")</f>
        <v/>
      </c>
    </row>
    <row r="3303">
      <c r="D3303" s="136" t="str">
        <f t="shared" si="3"/>
        <v/>
      </c>
      <c r="E3303" s="152"/>
      <c r="F3303" s="106" t="s">
        <v>133</v>
      </c>
      <c r="G3303" s="152"/>
      <c r="H3303" s="106" t="s">
        <v>133</v>
      </c>
      <c r="J3303" s="139" t="s">
        <v>133</v>
      </c>
      <c r="K3303" s="136" t="s">
        <v>133</v>
      </c>
      <c r="L3303" s="153"/>
      <c r="M3303" s="136" t="str">
        <f t="shared" si="1"/>
        <v/>
      </c>
      <c r="O3303" s="141" t="s">
        <v>133</v>
      </c>
      <c r="P3303" s="136" t="str">
        <f>IFERROR(__xludf.DUMMYFUNCTION("""COMPUTED_VALUE"""),"")</f>
        <v/>
      </c>
      <c r="Q3303" s="136" t="str">
        <f>IFERROR(__xludf.DUMMYFUNCTION("""COMPUTED_VALUE"""),"")</f>
        <v/>
      </c>
      <c r="R3303" s="106" t="str">
        <f>IFERROR(__xludf.DUMMYFUNCTION("""COMPUTED_VALUE"""),"")</f>
        <v/>
      </c>
      <c r="S3303" s="106" t="str">
        <f>IFERROR(__xludf.DUMMYFUNCTION("""COMPUTED_VALUE"""),"")</f>
        <v/>
      </c>
      <c r="T3303" s="139" t="str">
        <f>IFERROR(__xludf.DUMMYFUNCTION("""COMPUTED_VALUE"""),"")</f>
        <v/>
      </c>
      <c r="U3303" s="139" t="str">
        <f>IFERROR(__xludf.DUMMYFUNCTION("""COMPUTED_VALUE"""),"")</f>
        <v/>
      </c>
      <c r="V3303" s="136" t="str">
        <f>IFERROR(__xludf.DUMMYFUNCTION("""COMPUTED_VALUE"""),"")</f>
        <v/>
      </c>
      <c r="W3303" s="106" t="str">
        <f>IFERROR(__xludf.DUMMYFUNCTION("""COMPUTED_VALUE"""),"")</f>
        <v/>
      </c>
      <c r="X3303" s="143" t="str">
        <f t="shared" si="2"/>
        <v/>
      </c>
      <c r="Y3303" s="139" t="str">
        <f>IFERROR(__xludf.DUMMYFUNCTION("""COMPUTED_VALUE"""),"")</f>
        <v/>
      </c>
      <c r="Z3303" s="141" t="str">
        <f>IFERROR(__xludf.DUMMYFUNCTION("""COMPUTED_VALUE"""),"")</f>
        <v/>
      </c>
    </row>
    <row r="3304">
      <c r="D3304" s="136" t="str">
        <f t="shared" si="3"/>
        <v/>
      </c>
      <c r="E3304" s="152"/>
      <c r="F3304" s="106" t="s">
        <v>133</v>
      </c>
      <c r="G3304" s="152"/>
      <c r="H3304" s="106" t="s">
        <v>133</v>
      </c>
      <c r="J3304" s="139" t="s">
        <v>133</v>
      </c>
      <c r="K3304" s="136" t="s">
        <v>133</v>
      </c>
      <c r="L3304" s="153"/>
      <c r="M3304" s="136" t="str">
        <f t="shared" si="1"/>
        <v/>
      </c>
      <c r="O3304" s="141" t="s">
        <v>133</v>
      </c>
      <c r="P3304" s="136" t="str">
        <f>IFERROR(__xludf.DUMMYFUNCTION("""COMPUTED_VALUE"""),"")</f>
        <v/>
      </c>
      <c r="Q3304" s="136" t="str">
        <f>IFERROR(__xludf.DUMMYFUNCTION("""COMPUTED_VALUE"""),"")</f>
        <v/>
      </c>
      <c r="R3304" s="106" t="str">
        <f>IFERROR(__xludf.DUMMYFUNCTION("""COMPUTED_VALUE"""),"")</f>
        <v/>
      </c>
      <c r="S3304" s="106" t="str">
        <f>IFERROR(__xludf.DUMMYFUNCTION("""COMPUTED_VALUE"""),"")</f>
        <v/>
      </c>
      <c r="T3304" s="139" t="str">
        <f>IFERROR(__xludf.DUMMYFUNCTION("""COMPUTED_VALUE"""),"")</f>
        <v/>
      </c>
      <c r="U3304" s="139" t="str">
        <f>IFERROR(__xludf.DUMMYFUNCTION("""COMPUTED_VALUE"""),"")</f>
        <v/>
      </c>
      <c r="V3304" s="136" t="str">
        <f>IFERROR(__xludf.DUMMYFUNCTION("""COMPUTED_VALUE"""),"")</f>
        <v/>
      </c>
      <c r="W3304" s="106" t="str">
        <f>IFERROR(__xludf.DUMMYFUNCTION("""COMPUTED_VALUE"""),"")</f>
        <v/>
      </c>
      <c r="X3304" s="143" t="str">
        <f t="shared" si="2"/>
        <v/>
      </c>
      <c r="Y3304" s="139" t="str">
        <f>IFERROR(__xludf.DUMMYFUNCTION("""COMPUTED_VALUE"""),"")</f>
        <v/>
      </c>
      <c r="Z3304" s="141" t="str">
        <f>IFERROR(__xludf.DUMMYFUNCTION("""COMPUTED_VALUE"""),"")</f>
        <v/>
      </c>
    </row>
    <row r="3305">
      <c r="D3305" s="136" t="str">
        <f t="shared" si="3"/>
        <v/>
      </c>
      <c r="E3305" s="152"/>
      <c r="F3305" s="106" t="s">
        <v>133</v>
      </c>
      <c r="G3305" s="152"/>
      <c r="H3305" s="106" t="s">
        <v>133</v>
      </c>
      <c r="J3305" s="139" t="s">
        <v>133</v>
      </c>
      <c r="K3305" s="136" t="s">
        <v>133</v>
      </c>
      <c r="L3305" s="153"/>
      <c r="M3305" s="136" t="str">
        <f t="shared" si="1"/>
        <v/>
      </c>
      <c r="O3305" s="141" t="s">
        <v>133</v>
      </c>
      <c r="P3305" s="136" t="str">
        <f>IFERROR(__xludf.DUMMYFUNCTION("""COMPUTED_VALUE"""),"")</f>
        <v/>
      </c>
      <c r="Q3305" s="136" t="str">
        <f>IFERROR(__xludf.DUMMYFUNCTION("""COMPUTED_VALUE"""),"")</f>
        <v/>
      </c>
      <c r="R3305" s="106" t="str">
        <f>IFERROR(__xludf.DUMMYFUNCTION("""COMPUTED_VALUE"""),"")</f>
        <v/>
      </c>
      <c r="S3305" s="106" t="str">
        <f>IFERROR(__xludf.DUMMYFUNCTION("""COMPUTED_VALUE"""),"")</f>
        <v/>
      </c>
      <c r="T3305" s="139" t="str">
        <f>IFERROR(__xludf.DUMMYFUNCTION("""COMPUTED_VALUE"""),"")</f>
        <v/>
      </c>
      <c r="U3305" s="139" t="str">
        <f>IFERROR(__xludf.DUMMYFUNCTION("""COMPUTED_VALUE"""),"")</f>
        <v/>
      </c>
      <c r="V3305" s="136" t="str">
        <f>IFERROR(__xludf.DUMMYFUNCTION("""COMPUTED_VALUE"""),"")</f>
        <v/>
      </c>
      <c r="W3305" s="106" t="str">
        <f>IFERROR(__xludf.DUMMYFUNCTION("""COMPUTED_VALUE"""),"")</f>
        <v/>
      </c>
      <c r="X3305" s="143" t="str">
        <f t="shared" si="2"/>
        <v/>
      </c>
      <c r="Y3305" s="139" t="str">
        <f>IFERROR(__xludf.DUMMYFUNCTION("""COMPUTED_VALUE"""),"")</f>
        <v/>
      </c>
      <c r="Z3305" s="141" t="str">
        <f>IFERROR(__xludf.DUMMYFUNCTION("""COMPUTED_VALUE"""),"")</f>
        <v/>
      </c>
    </row>
    <row r="3306">
      <c r="D3306" s="136" t="str">
        <f t="shared" si="3"/>
        <v/>
      </c>
      <c r="E3306" s="152"/>
      <c r="F3306" s="106" t="s">
        <v>133</v>
      </c>
      <c r="G3306" s="152"/>
      <c r="H3306" s="106" t="s">
        <v>133</v>
      </c>
      <c r="J3306" s="139" t="s">
        <v>133</v>
      </c>
      <c r="K3306" s="136" t="s">
        <v>133</v>
      </c>
      <c r="L3306" s="153"/>
      <c r="M3306" s="136" t="str">
        <f t="shared" si="1"/>
        <v/>
      </c>
      <c r="O3306" s="141" t="s">
        <v>133</v>
      </c>
      <c r="P3306" s="136" t="str">
        <f>IFERROR(__xludf.DUMMYFUNCTION("""COMPUTED_VALUE"""),"")</f>
        <v/>
      </c>
      <c r="Q3306" s="136" t="str">
        <f>IFERROR(__xludf.DUMMYFUNCTION("""COMPUTED_VALUE"""),"")</f>
        <v/>
      </c>
      <c r="R3306" s="106" t="str">
        <f>IFERROR(__xludf.DUMMYFUNCTION("""COMPUTED_VALUE"""),"")</f>
        <v/>
      </c>
      <c r="S3306" s="106" t="str">
        <f>IFERROR(__xludf.DUMMYFUNCTION("""COMPUTED_VALUE"""),"")</f>
        <v/>
      </c>
      <c r="T3306" s="139" t="str">
        <f>IFERROR(__xludf.DUMMYFUNCTION("""COMPUTED_VALUE"""),"")</f>
        <v/>
      </c>
      <c r="U3306" s="139" t="str">
        <f>IFERROR(__xludf.DUMMYFUNCTION("""COMPUTED_VALUE"""),"")</f>
        <v/>
      </c>
      <c r="V3306" s="136" t="str">
        <f>IFERROR(__xludf.DUMMYFUNCTION("""COMPUTED_VALUE"""),"")</f>
        <v/>
      </c>
      <c r="W3306" s="106" t="str">
        <f>IFERROR(__xludf.DUMMYFUNCTION("""COMPUTED_VALUE"""),"")</f>
        <v/>
      </c>
      <c r="X3306" s="143" t="str">
        <f t="shared" si="2"/>
        <v/>
      </c>
      <c r="Y3306" s="139" t="str">
        <f>IFERROR(__xludf.DUMMYFUNCTION("""COMPUTED_VALUE"""),"")</f>
        <v/>
      </c>
      <c r="Z3306" s="141" t="str">
        <f>IFERROR(__xludf.DUMMYFUNCTION("""COMPUTED_VALUE"""),"")</f>
        <v/>
      </c>
    </row>
    <row r="3307">
      <c r="D3307" s="136" t="str">
        <f t="shared" si="3"/>
        <v/>
      </c>
      <c r="E3307" s="152"/>
      <c r="F3307" s="106" t="s">
        <v>133</v>
      </c>
      <c r="G3307" s="152"/>
      <c r="H3307" s="106" t="s">
        <v>133</v>
      </c>
      <c r="J3307" s="139" t="s">
        <v>133</v>
      </c>
      <c r="K3307" s="136" t="s">
        <v>133</v>
      </c>
      <c r="L3307" s="153"/>
      <c r="M3307" s="136" t="str">
        <f t="shared" si="1"/>
        <v/>
      </c>
      <c r="O3307" s="141" t="s">
        <v>133</v>
      </c>
      <c r="P3307" s="136" t="str">
        <f>IFERROR(__xludf.DUMMYFUNCTION("""COMPUTED_VALUE"""),"")</f>
        <v/>
      </c>
      <c r="Q3307" s="136" t="str">
        <f>IFERROR(__xludf.DUMMYFUNCTION("""COMPUTED_VALUE"""),"")</f>
        <v/>
      </c>
      <c r="R3307" s="106" t="str">
        <f>IFERROR(__xludf.DUMMYFUNCTION("""COMPUTED_VALUE"""),"")</f>
        <v/>
      </c>
      <c r="S3307" s="106" t="str">
        <f>IFERROR(__xludf.DUMMYFUNCTION("""COMPUTED_VALUE"""),"")</f>
        <v/>
      </c>
      <c r="T3307" s="139" t="str">
        <f>IFERROR(__xludf.DUMMYFUNCTION("""COMPUTED_VALUE"""),"")</f>
        <v/>
      </c>
      <c r="U3307" s="139" t="str">
        <f>IFERROR(__xludf.DUMMYFUNCTION("""COMPUTED_VALUE"""),"")</f>
        <v/>
      </c>
      <c r="V3307" s="136" t="str">
        <f>IFERROR(__xludf.DUMMYFUNCTION("""COMPUTED_VALUE"""),"")</f>
        <v/>
      </c>
      <c r="W3307" s="106" t="str">
        <f>IFERROR(__xludf.DUMMYFUNCTION("""COMPUTED_VALUE"""),"")</f>
        <v/>
      </c>
      <c r="X3307" s="143" t="str">
        <f t="shared" si="2"/>
        <v/>
      </c>
      <c r="Y3307" s="139" t="str">
        <f>IFERROR(__xludf.DUMMYFUNCTION("""COMPUTED_VALUE"""),"")</f>
        <v/>
      </c>
      <c r="Z3307" s="141" t="str">
        <f>IFERROR(__xludf.DUMMYFUNCTION("""COMPUTED_VALUE"""),"")</f>
        <v/>
      </c>
    </row>
    <row r="3308">
      <c r="D3308" s="136" t="str">
        <f t="shared" si="3"/>
        <v/>
      </c>
      <c r="E3308" s="152"/>
      <c r="F3308" s="106" t="s">
        <v>133</v>
      </c>
      <c r="G3308" s="152"/>
      <c r="H3308" s="106" t="s">
        <v>133</v>
      </c>
      <c r="J3308" s="139" t="s">
        <v>133</v>
      </c>
      <c r="K3308" s="136" t="s">
        <v>133</v>
      </c>
      <c r="L3308" s="153"/>
      <c r="M3308" s="136" t="str">
        <f t="shared" si="1"/>
        <v/>
      </c>
      <c r="O3308" s="141" t="s">
        <v>133</v>
      </c>
      <c r="P3308" s="136" t="str">
        <f>IFERROR(__xludf.DUMMYFUNCTION("""COMPUTED_VALUE"""),"")</f>
        <v/>
      </c>
      <c r="Q3308" s="136" t="str">
        <f>IFERROR(__xludf.DUMMYFUNCTION("""COMPUTED_VALUE"""),"")</f>
        <v/>
      </c>
      <c r="R3308" s="106" t="str">
        <f>IFERROR(__xludf.DUMMYFUNCTION("""COMPUTED_VALUE"""),"")</f>
        <v/>
      </c>
      <c r="S3308" s="106" t="str">
        <f>IFERROR(__xludf.DUMMYFUNCTION("""COMPUTED_VALUE"""),"")</f>
        <v/>
      </c>
      <c r="T3308" s="139" t="str">
        <f>IFERROR(__xludf.DUMMYFUNCTION("""COMPUTED_VALUE"""),"")</f>
        <v/>
      </c>
      <c r="U3308" s="139" t="str">
        <f>IFERROR(__xludf.DUMMYFUNCTION("""COMPUTED_VALUE"""),"")</f>
        <v/>
      </c>
      <c r="V3308" s="136" t="str">
        <f>IFERROR(__xludf.DUMMYFUNCTION("""COMPUTED_VALUE"""),"")</f>
        <v/>
      </c>
      <c r="W3308" s="106" t="str">
        <f>IFERROR(__xludf.DUMMYFUNCTION("""COMPUTED_VALUE"""),"")</f>
        <v/>
      </c>
      <c r="X3308" s="143" t="str">
        <f t="shared" si="2"/>
        <v/>
      </c>
      <c r="Y3308" s="139" t="str">
        <f>IFERROR(__xludf.DUMMYFUNCTION("""COMPUTED_VALUE"""),"")</f>
        <v/>
      </c>
      <c r="Z3308" s="141" t="str">
        <f>IFERROR(__xludf.DUMMYFUNCTION("""COMPUTED_VALUE"""),"")</f>
        <v/>
      </c>
    </row>
    <row r="3309">
      <c r="D3309" s="136" t="str">
        <f t="shared" si="3"/>
        <v/>
      </c>
      <c r="E3309" s="152"/>
      <c r="F3309" s="106" t="s">
        <v>133</v>
      </c>
      <c r="G3309" s="152"/>
      <c r="H3309" s="106" t="s">
        <v>133</v>
      </c>
      <c r="J3309" s="139" t="s">
        <v>133</v>
      </c>
      <c r="K3309" s="136" t="s">
        <v>133</v>
      </c>
      <c r="L3309" s="153"/>
      <c r="M3309" s="136" t="str">
        <f t="shared" si="1"/>
        <v/>
      </c>
      <c r="O3309" s="141" t="s">
        <v>133</v>
      </c>
      <c r="P3309" s="136" t="str">
        <f>IFERROR(__xludf.DUMMYFUNCTION("""COMPUTED_VALUE"""),"")</f>
        <v/>
      </c>
      <c r="Q3309" s="136" t="str">
        <f>IFERROR(__xludf.DUMMYFUNCTION("""COMPUTED_VALUE"""),"")</f>
        <v/>
      </c>
      <c r="R3309" s="106" t="str">
        <f>IFERROR(__xludf.DUMMYFUNCTION("""COMPUTED_VALUE"""),"")</f>
        <v/>
      </c>
      <c r="S3309" s="106" t="str">
        <f>IFERROR(__xludf.DUMMYFUNCTION("""COMPUTED_VALUE"""),"")</f>
        <v/>
      </c>
      <c r="T3309" s="139" t="str">
        <f>IFERROR(__xludf.DUMMYFUNCTION("""COMPUTED_VALUE"""),"")</f>
        <v/>
      </c>
      <c r="U3309" s="139" t="str">
        <f>IFERROR(__xludf.DUMMYFUNCTION("""COMPUTED_VALUE"""),"")</f>
        <v/>
      </c>
      <c r="V3309" s="136" t="str">
        <f>IFERROR(__xludf.DUMMYFUNCTION("""COMPUTED_VALUE"""),"")</f>
        <v/>
      </c>
      <c r="W3309" s="106" t="str">
        <f>IFERROR(__xludf.DUMMYFUNCTION("""COMPUTED_VALUE"""),"")</f>
        <v/>
      </c>
      <c r="X3309" s="143" t="str">
        <f t="shared" si="2"/>
        <v/>
      </c>
      <c r="Y3309" s="139" t="str">
        <f>IFERROR(__xludf.DUMMYFUNCTION("""COMPUTED_VALUE"""),"")</f>
        <v/>
      </c>
      <c r="Z3309" s="141" t="str">
        <f>IFERROR(__xludf.DUMMYFUNCTION("""COMPUTED_VALUE"""),"")</f>
        <v/>
      </c>
    </row>
    <row r="3310">
      <c r="D3310" s="136" t="str">
        <f t="shared" si="3"/>
        <v/>
      </c>
      <c r="E3310" s="152"/>
      <c r="F3310" s="106" t="s">
        <v>133</v>
      </c>
      <c r="G3310" s="152"/>
      <c r="H3310" s="106" t="s">
        <v>133</v>
      </c>
      <c r="J3310" s="139" t="s">
        <v>133</v>
      </c>
      <c r="K3310" s="136" t="s">
        <v>133</v>
      </c>
      <c r="L3310" s="153"/>
      <c r="M3310" s="136" t="str">
        <f t="shared" si="1"/>
        <v/>
      </c>
      <c r="O3310" s="141" t="s">
        <v>133</v>
      </c>
      <c r="P3310" s="136" t="str">
        <f>IFERROR(__xludf.DUMMYFUNCTION("""COMPUTED_VALUE"""),"")</f>
        <v/>
      </c>
      <c r="Q3310" s="136" t="str">
        <f>IFERROR(__xludf.DUMMYFUNCTION("""COMPUTED_VALUE"""),"")</f>
        <v/>
      </c>
      <c r="R3310" s="106" t="str">
        <f>IFERROR(__xludf.DUMMYFUNCTION("""COMPUTED_VALUE"""),"")</f>
        <v/>
      </c>
      <c r="S3310" s="106" t="str">
        <f>IFERROR(__xludf.DUMMYFUNCTION("""COMPUTED_VALUE"""),"")</f>
        <v/>
      </c>
      <c r="T3310" s="139" t="str">
        <f>IFERROR(__xludf.DUMMYFUNCTION("""COMPUTED_VALUE"""),"")</f>
        <v/>
      </c>
      <c r="U3310" s="139" t="str">
        <f>IFERROR(__xludf.DUMMYFUNCTION("""COMPUTED_VALUE"""),"")</f>
        <v/>
      </c>
      <c r="V3310" s="136" t="str">
        <f>IFERROR(__xludf.DUMMYFUNCTION("""COMPUTED_VALUE"""),"")</f>
        <v/>
      </c>
      <c r="W3310" s="106" t="str">
        <f>IFERROR(__xludf.DUMMYFUNCTION("""COMPUTED_VALUE"""),"")</f>
        <v/>
      </c>
      <c r="X3310" s="143" t="str">
        <f t="shared" si="2"/>
        <v/>
      </c>
      <c r="Y3310" s="139" t="str">
        <f>IFERROR(__xludf.DUMMYFUNCTION("""COMPUTED_VALUE"""),"")</f>
        <v/>
      </c>
      <c r="Z3310" s="141" t="str">
        <f>IFERROR(__xludf.DUMMYFUNCTION("""COMPUTED_VALUE"""),"")</f>
        <v/>
      </c>
    </row>
    <row r="3311">
      <c r="D3311" s="136" t="str">
        <f t="shared" si="3"/>
        <v/>
      </c>
      <c r="E3311" s="152"/>
      <c r="F3311" s="106" t="s">
        <v>133</v>
      </c>
      <c r="G3311" s="152"/>
      <c r="H3311" s="106" t="s">
        <v>133</v>
      </c>
      <c r="J3311" s="139" t="s">
        <v>133</v>
      </c>
      <c r="K3311" s="136" t="s">
        <v>133</v>
      </c>
      <c r="L3311" s="153"/>
      <c r="M3311" s="136" t="str">
        <f t="shared" si="1"/>
        <v/>
      </c>
      <c r="O3311" s="141" t="s">
        <v>133</v>
      </c>
      <c r="P3311" s="136" t="str">
        <f>IFERROR(__xludf.DUMMYFUNCTION("""COMPUTED_VALUE"""),"")</f>
        <v/>
      </c>
      <c r="Q3311" s="136" t="str">
        <f>IFERROR(__xludf.DUMMYFUNCTION("""COMPUTED_VALUE"""),"")</f>
        <v/>
      </c>
      <c r="R3311" s="106" t="str">
        <f>IFERROR(__xludf.DUMMYFUNCTION("""COMPUTED_VALUE"""),"")</f>
        <v/>
      </c>
      <c r="S3311" s="106" t="str">
        <f>IFERROR(__xludf.DUMMYFUNCTION("""COMPUTED_VALUE"""),"")</f>
        <v/>
      </c>
      <c r="T3311" s="139" t="str">
        <f>IFERROR(__xludf.DUMMYFUNCTION("""COMPUTED_VALUE"""),"")</f>
        <v/>
      </c>
      <c r="U3311" s="139" t="str">
        <f>IFERROR(__xludf.DUMMYFUNCTION("""COMPUTED_VALUE"""),"")</f>
        <v/>
      </c>
      <c r="V3311" s="136" t="str">
        <f>IFERROR(__xludf.DUMMYFUNCTION("""COMPUTED_VALUE"""),"")</f>
        <v/>
      </c>
      <c r="W3311" s="106" t="str">
        <f>IFERROR(__xludf.DUMMYFUNCTION("""COMPUTED_VALUE"""),"")</f>
        <v/>
      </c>
      <c r="X3311" s="143" t="str">
        <f t="shared" si="2"/>
        <v/>
      </c>
      <c r="Y3311" s="139" t="str">
        <f>IFERROR(__xludf.DUMMYFUNCTION("""COMPUTED_VALUE"""),"")</f>
        <v/>
      </c>
      <c r="Z3311" s="141" t="str">
        <f>IFERROR(__xludf.DUMMYFUNCTION("""COMPUTED_VALUE"""),"")</f>
        <v/>
      </c>
    </row>
    <row r="3312">
      <c r="D3312" s="136" t="str">
        <f t="shared" si="3"/>
        <v/>
      </c>
      <c r="E3312" s="152"/>
      <c r="F3312" s="106" t="s">
        <v>133</v>
      </c>
      <c r="G3312" s="152"/>
      <c r="H3312" s="106" t="s">
        <v>133</v>
      </c>
      <c r="J3312" s="139" t="s">
        <v>133</v>
      </c>
      <c r="K3312" s="136" t="s">
        <v>133</v>
      </c>
      <c r="L3312" s="153"/>
      <c r="M3312" s="136" t="str">
        <f t="shared" si="1"/>
        <v/>
      </c>
      <c r="O3312" s="141" t="s">
        <v>133</v>
      </c>
      <c r="P3312" s="136" t="str">
        <f>IFERROR(__xludf.DUMMYFUNCTION("""COMPUTED_VALUE"""),"")</f>
        <v/>
      </c>
      <c r="Q3312" s="136" t="str">
        <f>IFERROR(__xludf.DUMMYFUNCTION("""COMPUTED_VALUE"""),"")</f>
        <v/>
      </c>
      <c r="R3312" s="106" t="str">
        <f>IFERROR(__xludf.DUMMYFUNCTION("""COMPUTED_VALUE"""),"")</f>
        <v/>
      </c>
      <c r="S3312" s="106" t="str">
        <f>IFERROR(__xludf.DUMMYFUNCTION("""COMPUTED_VALUE"""),"")</f>
        <v/>
      </c>
      <c r="T3312" s="139" t="str">
        <f>IFERROR(__xludf.DUMMYFUNCTION("""COMPUTED_VALUE"""),"")</f>
        <v/>
      </c>
      <c r="U3312" s="139" t="str">
        <f>IFERROR(__xludf.DUMMYFUNCTION("""COMPUTED_VALUE"""),"")</f>
        <v/>
      </c>
      <c r="V3312" s="136" t="str">
        <f>IFERROR(__xludf.DUMMYFUNCTION("""COMPUTED_VALUE"""),"")</f>
        <v/>
      </c>
      <c r="W3312" s="106" t="str">
        <f>IFERROR(__xludf.DUMMYFUNCTION("""COMPUTED_VALUE"""),"")</f>
        <v/>
      </c>
      <c r="X3312" s="143" t="str">
        <f t="shared" si="2"/>
        <v/>
      </c>
      <c r="Y3312" s="139" t="str">
        <f>IFERROR(__xludf.DUMMYFUNCTION("""COMPUTED_VALUE"""),"")</f>
        <v/>
      </c>
      <c r="Z3312" s="141" t="str">
        <f>IFERROR(__xludf.DUMMYFUNCTION("""COMPUTED_VALUE"""),"")</f>
        <v/>
      </c>
    </row>
    <row r="3313">
      <c r="D3313" s="136" t="str">
        <f t="shared" si="3"/>
        <v/>
      </c>
      <c r="E3313" s="152"/>
      <c r="F3313" s="106" t="s">
        <v>133</v>
      </c>
      <c r="G3313" s="152"/>
      <c r="H3313" s="106" t="s">
        <v>133</v>
      </c>
      <c r="J3313" s="139" t="s">
        <v>133</v>
      </c>
      <c r="K3313" s="136" t="s">
        <v>133</v>
      </c>
      <c r="L3313" s="153"/>
      <c r="M3313" s="136" t="str">
        <f t="shared" si="1"/>
        <v/>
      </c>
      <c r="O3313" s="141" t="s">
        <v>133</v>
      </c>
      <c r="P3313" s="136" t="str">
        <f>IFERROR(__xludf.DUMMYFUNCTION("""COMPUTED_VALUE"""),"")</f>
        <v/>
      </c>
      <c r="Q3313" s="136" t="str">
        <f>IFERROR(__xludf.DUMMYFUNCTION("""COMPUTED_VALUE"""),"")</f>
        <v/>
      </c>
      <c r="R3313" s="106" t="str">
        <f>IFERROR(__xludf.DUMMYFUNCTION("""COMPUTED_VALUE"""),"")</f>
        <v/>
      </c>
      <c r="S3313" s="106" t="str">
        <f>IFERROR(__xludf.DUMMYFUNCTION("""COMPUTED_VALUE"""),"")</f>
        <v/>
      </c>
      <c r="T3313" s="139" t="str">
        <f>IFERROR(__xludf.DUMMYFUNCTION("""COMPUTED_VALUE"""),"")</f>
        <v/>
      </c>
      <c r="U3313" s="139" t="str">
        <f>IFERROR(__xludf.DUMMYFUNCTION("""COMPUTED_VALUE"""),"")</f>
        <v/>
      </c>
      <c r="V3313" s="136" t="str">
        <f>IFERROR(__xludf.DUMMYFUNCTION("""COMPUTED_VALUE"""),"")</f>
        <v/>
      </c>
      <c r="W3313" s="106" t="str">
        <f>IFERROR(__xludf.DUMMYFUNCTION("""COMPUTED_VALUE"""),"")</f>
        <v/>
      </c>
      <c r="X3313" s="143" t="str">
        <f t="shared" si="2"/>
        <v/>
      </c>
      <c r="Y3313" s="139" t="str">
        <f>IFERROR(__xludf.DUMMYFUNCTION("""COMPUTED_VALUE"""),"")</f>
        <v/>
      </c>
      <c r="Z3313" s="141" t="str">
        <f>IFERROR(__xludf.DUMMYFUNCTION("""COMPUTED_VALUE"""),"")</f>
        <v/>
      </c>
    </row>
    <row r="3314">
      <c r="D3314" s="136" t="str">
        <f t="shared" si="3"/>
        <v/>
      </c>
      <c r="E3314" s="152"/>
      <c r="F3314" s="106" t="s">
        <v>133</v>
      </c>
      <c r="G3314" s="152"/>
      <c r="H3314" s="106" t="s">
        <v>133</v>
      </c>
      <c r="J3314" s="139" t="s">
        <v>133</v>
      </c>
      <c r="K3314" s="136" t="s">
        <v>133</v>
      </c>
      <c r="L3314" s="153"/>
      <c r="M3314" s="136" t="str">
        <f t="shared" si="1"/>
        <v/>
      </c>
      <c r="O3314" s="141" t="s">
        <v>133</v>
      </c>
      <c r="P3314" s="136" t="str">
        <f>IFERROR(__xludf.DUMMYFUNCTION("""COMPUTED_VALUE"""),"")</f>
        <v/>
      </c>
      <c r="Q3314" s="136" t="str">
        <f>IFERROR(__xludf.DUMMYFUNCTION("""COMPUTED_VALUE"""),"")</f>
        <v/>
      </c>
      <c r="R3314" s="106" t="str">
        <f>IFERROR(__xludf.DUMMYFUNCTION("""COMPUTED_VALUE"""),"")</f>
        <v/>
      </c>
      <c r="S3314" s="106" t="str">
        <f>IFERROR(__xludf.DUMMYFUNCTION("""COMPUTED_VALUE"""),"")</f>
        <v/>
      </c>
      <c r="T3314" s="139" t="str">
        <f>IFERROR(__xludf.DUMMYFUNCTION("""COMPUTED_VALUE"""),"")</f>
        <v/>
      </c>
      <c r="U3314" s="139" t="str">
        <f>IFERROR(__xludf.DUMMYFUNCTION("""COMPUTED_VALUE"""),"")</f>
        <v/>
      </c>
      <c r="V3314" s="136" t="str">
        <f>IFERROR(__xludf.DUMMYFUNCTION("""COMPUTED_VALUE"""),"")</f>
        <v/>
      </c>
      <c r="W3314" s="106" t="str">
        <f>IFERROR(__xludf.DUMMYFUNCTION("""COMPUTED_VALUE"""),"")</f>
        <v/>
      </c>
      <c r="X3314" s="143" t="str">
        <f t="shared" si="2"/>
        <v/>
      </c>
      <c r="Y3314" s="139" t="str">
        <f>IFERROR(__xludf.DUMMYFUNCTION("""COMPUTED_VALUE"""),"")</f>
        <v/>
      </c>
      <c r="Z3314" s="141" t="str">
        <f>IFERROR(__xludf.DUMMYFUNCTION("""COMPUTED_VALUE"""),"")</f>
        <v/>
      </c>
    </row>
    <row r="3315">
      <c r="D3315" s="136" t="str">
        <f t="shared" si="3"/>
        <v/>
      </c>
      <c r="E3315" s="152"/>
      <c r="F3315" s="106" t="s">
        <v>133</v>
      </c>
      <c r="G3315" s="152"/>
      <c r="H3315" s="106" t="s">
        <v>133</v>
      </c>
      <c r="J3315" s="139" t="s">
        <v>133</v>
      </c>
      <c r="K3315" s="136" t="s">
        <v>133</v>
      </c>
      <c r="L3315" s="153"/>
      <c r="M3315" s="136" t="str">
        <f t="shared" si="1"/>
        <v/>
      </c>
      <c r="O3315" s="141" t="s">
        <v>133</v>
      </c>
      <c r="P3315" s="136" t="str">
        <f>IFERROR(__xludf.DUMMYFUNCTION("""COMPUTED_VALUE"""),"")</f>
        <v/>
      </c>
      <c r="Q3315" s="136" t="str">
        <f>IFERROR(__xludf.DUMMYFUNCTION("""COMPUTED_VALUE"""),"")</f>
        <v/>
      </c>
      <c r="R3315" s="106" t="str">
        <f>IFERROR(__xludf.DUMMYFUNCTION("""COMPUTED_VALUE"""),"")</f>
        <v/>
      </c>
      <c r="S3315" s="106" t="str">
        <f>IFERROR(__xludf.DUMMYFUNCTION("""COMPUTED_VALUE"""),"")</f>
        <v/>
      </c>
      <c r="T3315" s="139" t="str">
        <f>IFERROR(__xludf.DUMMYFUNCTION("""COMPUTED_VALUE"""),"")</f>
        <v/>
      </c>
      <c r="U3315" s="139" t="str">
        <f>IFERROR(__xludf.DUMMYFUNCTION("""COMPUTED_VALUE"""),"")</f>
        <v/>
      </c>
      <c r="V3315" s="136" t="str">
        <f>IFERROR(__xludf.DUMMYFUNCTION("""COMPUTED_VALUE"""),"")</f>
        <v/>
      </c>
      <c r="W3315" s="106" t="str">
        <f>IFERROR(__xludf.DUMMYFUNCTION("""COMPUTED_VALUE"""),"")</f>
        <v/>
      </c>
      <c r="X3315" s="143" t="str">
        <f t="shared" si="2"/>
        <v/>
      </c>
      <c r="Y3315" s="139" t="str">
        <f>IFERROR(__xludf.DUMMYFUNCTION("""COMPUTED_VALUE"""),"")</f>
        <v/>
      </c>
      <c r="Z3315" s="141" t="str">
        <f>IFERROR(__xludf.DUMMYFUNCTION("""COMPUTED_VALUE"""),"")</f>
        <v/>
      </c>
    </row>
    <row r="3316">
      <c r="D3316" s="136" t="str">
        <f t="shared" si="3"/>
        <v/>
      </c>
      <c r="E3316" s="152"/>
      <c r="F3316" s="106" t="s">
        <v>133</v>
      </c>
      <c r="G3316" s="152"/>
      <c r="H3316" s="106" t="s">
        <v>133</v>
      </c>
      <c r="J3316" s="139" t="s">
        <v>133</v>
      </c>
      <c r="K3316" s="136" t="s">
        <v>133</v>
      </c>
      <c r="L3316" s="153"/>
      <c r="M3316" s="136" t="str">
        <f t="shared" si="1"/>
        <v/>
      </c>
      <c r="O3316" s="141" t="s">
        <v>133</v>
      </c>
      <c r="P3316" s="136" t="str">
        <f>IFERROR(__xludf.DUMMYFUNCTION("""COMPUTED_VALUE"""),"")</f>
        <v/>
      </c>
      <c r="Q3316" s="136" t="str">
        <f>IFERROR(__xludf.DUMMYFUNCTION("""COMPUTED_VALUE"""),"")</f>
        <v/>
      </c>
      <c r="R3316" s="106" t="str">
        <f>IFERROR(__xludf.DUMMYFUNCTION("""COMPUTED_VALUE"""),"")</f>
        <v/>
      </c>
      <c r="S3316" s="106" t="str">
        <f>IFERROR(__xludf.DUMMYFUNCTION("""COMPUTED_VALUE"""),"")</f>
        <v/>
      </c>
      <c r="T3316" s="139" t="str">
        <f>IFERROR(__xludf.DUMMYFUNCTION("""COMPUTED_VALUE"""),"")</f>
        <v/>
      </c>
      <c r="U3316" s="139" t="str">
        <f>IFERROR(__xludf.DUMMYFUNCTION("""COMPUTED_VALUE"""),"")</f>
        <v/>
      </c>
      <c r="V3316" s="136" t="str">
        <f>IFERROR(__xludf.DUMMYFUNCTION("""COMPUTED_VALUE"""),"")</f>
        <v/>
      </c>
      <c r="W3316" s="106" t="str">
        <f>IFERROR(__xludf.DUMMYFUNCTION("""COMPUTED_VALUE"""),"")</f>
        <v/>
      </c>
      <c r="X3316" s="143" t="str">
        <f t="shared" si="2"/>
        <v/>
      </c>
      <c r="Y3316" s="139" t="str">
        <f>IFERROR(__xludf.DUMMYFUNCTION("""COMPUTED_VALUE"""),"")</f>
        <v/>
      </c>
      <c r="Z3316" s="141" t="str">
        <f>IFERROR(__xludf.DUMMYFUNCTION("""COMPUTED_VALUE"""),"")</f>
        <v/>
      </c>
    </row>
    <row r="3317">
      <c r="D3317" s="136" t="str">
        <f t="shared" si="3"/>
        <v/>
      </c>
      <c r="E3317" s="152"/>
      <c r="F3317" s="106" t="s">
        <v>133</v>
      </c>
      <c r="G3317" s="152"/>
      <c r="H3317" s="106" t="s">
        <v>133</v>
      </c>
      <c r="J3317" s="139" t="s">
        <v>133</v>
      </c>
      <c r="K3317" s="136" t="s">
        <v>133</v>
      </c>
      <c r="L3317" s="153"/>
      <c r="M3317" s="136" t="str">
        <f t="shared" si="1"/>
        <v/>
      </c>
      <c r="O3317" s="141" t="s">
        <v>133</v>
      </c>
      <c r="P3317" s="136" t="str">
        <f>IFERROR(__xludf.DUMMYFUNCTION("""COMPUTED_VALUE"""),"")</f>
        <v/>
      </c>
      <c r="Q3317" s="136" t="str">
        <f>IFERROR(__xludf.DUMMYFUNCTION("""COMPUTED_VALUE"""),"")</f>
        <v/>
      </c>
      <c r="R3317" s="106" t="str">
        <f>IFERROR(__xludf.DUMMYFUNCTION("""COMPUTED_VALUE"""),"")</f>
        <v/>
      </c>
      <c r="S3317" s="106" t="str">
        <f>IFERROR(__xludf.DUMMYFUNCTION("""COMPUTED_VALUE"""),"")</f>
        <v/>
      </c>
      <c r="T3317" s="139" t="str">
        <f>IFERROR(__xludf.DUMMYFUNCTION("""COMPUTED_VALUE"""),"")</f>
        <v/>
      </c>
      <c r="U3317" s="139" t="str">
        <f>IFERROR(__xludf.DUMMYFUNCTION("""COMPUTED_VALUE"""),"")</f>
        <v/>
      </c>
      <c r="V3317" s="136" t="str">
        <f>IFERROR(__xludf.DUMMYFUNCTION("""COMPUTED_VALUE"""),"")</f>
        <v/>
      </c>
      <c r="W3317" s="106" t="str">
        <f>IFERROR(__xludf.DUMMYFUNCTION("""COMPUTED_VALUE"""),"")</f>
        <v/>
      </c>
      <c r="X3317" s="143" t="str">
        <f t="shared" si="2"/>
        <v/>
      </c>
      <c r="Y3317" s="139" t="str">
        <f>IFERROR(__xludf.DUMMYFUNCTION("""COMPUTED_VALUE"""),"")</f>
        <v/>
      </c>
      <c r="Z3317" s="141" t="str">
        <f>IFERROR(__xludf.DUMMYFUNCTION("""COMPUTED_VALUE"""),"")</f>
        <v/>
      </c>
    </row>
    <row r="3318">
      <c r="D3318" s="136" t="str">
        <f t="shared" si="3"/>
        <v/>
      </c>
      <c r="E3318" s="152"/>
      <c r="F3318" s="106" t="s">
        <v>133</v>
      </c>
      <c r="G3318" s="152"/>
      <c r="H3318" s="106" t="s">
        <v>133</v>
      </c>
      <c r="J3318" s="139" t="s">
        <v>133</v>
      </c>
      <c r="K3318" s="136" t="s">
        <v>133</v>
      </c>
      <c r="L3318" s="153"/>
      <c r="M3318" s="136" t="str">
        <f t="shared" si="1"/>
        <v/>
      </c>
      <c r="O3318" s="141" t="s">
        <v>133</v>
      </c>
      <c r="P3318" s="136" t="str">
        <f>IFERROR(__xludf.DUMMYFUNCTION("""COMPUTED_VALUE"""),"")</f>
        <v/>
      </c>
      <c r="Q3318" s="136" t="str">
        <f>IFERROR(__xludf.DUMMYFUNCTION("""COMPUTED_VALUE"""),"")</f>
        <v/>
      </c>
      <c r="R3318" s="106" t="str">
        <f>IFERROR(__xludf.DUMMYFUNCTION("""COMPUTED_VALUE"""),"")</f>
        <v/>
      </c>
      <c r="S3318" s="106" t="str">
        <f>IFERROR(__xludf.DUMMYFUNCTION("""COMPUTED_VALUE"""),"")</f>
        <v/>
      </c>
      <c r="T3318" s="139" t="str">
        <f>IFERROR(__xludf.DUMMYFUNCTION("""COMPUTED_VALUE"""),"")</f>
        <v/>
      </c>
      <c r="U3318" s="139" t="str">
        <f>IFERROR(__xludf.DUMMYFUNCTION("""COMPUTED_VALUE"""),"")</f>
        <v/>
      </c>
      <c r="V3318" s="136" t="str">
        <f>IFERROR(__xludf.DUMMYFUNCTION("""COMPUTED_VALUE"""),"")</f>
        <v/>
      </c>
      <c r="W3318" s="106" t="str">
        <f>IFERROR(__xludf.DUMMYFUNCTION("""COMPUTED_VALUE"""),"")</f>
        <v/>
      </c>
      <c r="X3318" s="143" t="str">
        <f t="shared" si="2"/>
        <v/>
      </c>
      <c r="Y3318" s="139" t="str">
        <f>IFERROR(__xludf.DUMMYFUNCTION("""COMPUTED_VALUE"""),"")</f>
        <v/>
      </c>
      <c r="Z3318" s="141" t="str">
        <f>IFERROR(__xludf.DUMMYFUNCTION("""COMPUTED_VALUE"""),"")</f>
        <v/>
      </c>
    </row>
    <row r="3319">
      <c r="D3319" s="136" t="str">
        <f t="shared" si="3"/>
        <v/>
      </c>
      <c r="E3319" s="152"/>
      <c r="F3319" s="106" t="s">
        <v>133</v>
      </c>
      <c r="G3319" s="152"/>
      <c r="H3319" s="106" t="s">
        <v>133</v>
      </c>
      <c r="J3319" s="139" t="s">
        <v>133</v>
      </c>
      <c r="K3319" s="136" t="s">
        <v>133</v>
      </c>
      <c r="L3319" s="153"/>
      <c r="M3319" s="136" t="str">
        <f t="shared" si="1"/>
        <v/>
      </c>
      <c r="O3319" s="141" t="s">
        <v>133</v>
      </c>
      <c r="P3319" s="136" t="str">
        <f>IFERROR(__xludf.DUMMYFUNCTION("""COMPUTED_VALUE"""),"")</f>
        <v/>
      </c>
      <c r="Q3319" s="136" t="str">
        <f>IFERROR(__xludf.DUMMYFUNCTION("""COMPUTED_VALUE"""),"")</f>
        <v/>
      </c>
      <c r="R3319" s="106" t="str">
        <f>IFERROR(__xludf.DUMMYFUNCTION("""COMPUTED_VALUE"""),"")</f>
        <v/>
      </c>
      <c r="S3319" s="106" t="str">
        <f>IFERROR(__xludf.DUMMYFUNCTION("""COMPUTED_VALUE"""),"")</f>
        <v/>
      </c>
      <c r="T3319" s="139" t="str">
        <f>IFERROR(__xludf.DUMMYFUNCTION("""COMPUTED_VALUE"""),"")</f>
        <v/>
      </c>
      <c r="U3319" s="139" t="str">
        <f>IFERROR(__xludf.DUMMYFUNCTION("""COMPUTED_VALUE"""),"")</f>
        <v/>
      </c>
      <c r="V3319" s="136" t="str">
        <f>IFERROR(__xludf.DUMMYFUNCTION("""COMPUTED_VALUE"""),"")</f>
        <v/>
      </c>
      <c r="W3319" s="106" t="str">
        <f>IFERROR(__xludf.DUMMYFUNCTION("""COMPUTED_VALUE"""),"")</f>
        <v/>
      </c>
      <c r="X3319" s="143" t="str">
        <f t="shared" si="2"/>
        <v/>
      </c>
      <c r="Y3319" s="139" t="str">
        <f>IFERROR(__xludf.DUMMYFUNCTION("""COMPUTED_VALUE"""),"")</f>
        <v/>
      </c>
      <c r="Z3319" s="141" t="str">
        <f>IFERROR(__xludf.DUMMYFUNCTION("""COMPUTED_VALUE"""),"")</f>
        <v/>
      </c>
    </row>
    <row r="3320">
      <c r="D3320" s="136" t="str">
        <f t="shared" si="3"/>
        <v/>
      </c>
      <c r="E3320" s="152"/>
      <c r="F3320" s="106" t="s">
        <v>133</v>
      </c>
      <c r="G3320" s="152"/>
      <c r="H3320" s="106" t="s">
        <v>133</v>
      </c>
      <c r="J3320" s="139" t="s">
        <v>133</v>
      </c>
      <c r="K3320" s="136" t="s">
        <v>133</v>
      </c>
      <c r="L3320" s="153"/>
      <c r="M3320" s="136" t="str">
        <f t="shared" si="1"/>
        <v/>
      </c>
      <c r="O3320" s="141" t="s">
        <v>133</v>
      </c>
      <c r="P3320" s="136" t="str">
        <f>IFERROR(__xludf.DUMMYFUNCTION("""COMPUTED_VALUE"""),"")</f>
        <v/>
      </c>
      <c r="Q3320" s="136" t="str">
        <f>IFERROR(__xludf.DUMMYFUNCTION("""COMPUTED_VALUE"""),"")</f>
        <v/>
      </c>
      <c r="R3320" s="106" t="str">
        <f>IFERROR(__xludf.DUMMYFUNCTION("""COMPUTED_VALUE"""),"")</f>
        <v/>
      </c>
      <c r="S3320" s="106" t="str">
        <f>IFERROR(__xludf.DUMMYFUNCTION("""COMPUTED_VALUE"""),"")</f>
        <v/>
      </c>
      <c r="T3320" s="139" t="str">
        <f>IFERROR(__xludf.DUMMYFUNCTION("""COMPUTED_VALUE"""),"")</f>
        <v/>
      </c>
      <c r="U3320" s="139" t="str">
        <f>IFERROR(__xludf.DUMMYFUNCTION("""COMPUTED_VALUE"""),"")</f>
        <v/>
      </c>
      <c r="V3320" s="136" t="str">
        <f>IFERROR(__xludf.DUMMYFUNCTION("""COMPUTED_VALUE"""),"")</f>
        <v/>
      </c>
      <c r="W3320" s="106" t="str">
        <f>IFERROR(__xludf.DUMMYFUNCTION("""COMPUTED_VALUE"""),"")</f>
        <v/>
      </c>
      <c r="X3320" s="143" t="str">
        <f t="shared" si="2"/>
        <v/>
      </c>
      <c r="Y3320" s="139" t="str">
        <f>IFERROR(__xludf.DUMMYFUNCTION("""COMPUTED_VALUE"""),"")</f>
        <v/>
      </c>
      <c r="Z3320" s="141" t="str">
        <f>IFERROR(__xludf.DUMMYFUNCTION("""COMPUTED_VALUE"""),"")</f>
        <v/>
      </c>
    </row>
    <row r="3321">
      <c r="D3321" s="136" t="str">
        <f t="shared" si="3"/>
        <v/>
      </c>
      <c r="E3321" s="152"/>
      <c r="F3321" s="106" t="s">
        <v>133</v>
      </c>
      <c r="G3321" s="152"/>
      <c r="H3321" s="106" t="s">
        <v>133</v>
      </c>
      <c r="J3321" s="139" t="s">
        <v>133</v>
      </c>
      <c r="K3321" s="136" t="s">
        <v>133</v>
      </c>
      <c r="L3321" s="153"/>
      <c r="M3321" s="136" t="str">
        <f t="shared" si="1"/>
        <v/>
      </c>
      <c r="O3321" s="141" t="s">
        <v>133</v>
      </c>
      <c r="P3321" s="136" t="str">
        <f>IFERROR(__xludf.DUMMYFUNCTION("""COMPUTED_VALUE"""),"")</f>
        <v/>
      </c>
      <c r="Q3321" s="136" t="str">
        <f>IFERROR(__xludf.DUMMYFUNCTION("""COMPUTED_VALUE"""),"")</f>
        <v/>
      </c>
      <c r="R3321" s="106" t="str">
        <f>IFERROR(__xludf.DUMMYFUNCTION("""COMPUTED_VALUE"""),"")</f>
        <v/>
      </c>
      <c r="S3321" s="106" t="str">
        <f>IFERROR(__xludf.DUMMYFUNCTION("""COMPUTED_VALUE"""),"")</f>
        <v/>
      </c>
      <c r="T3321" s="139" t="str">
        <f>IFERROR(__xludf.DUMMYFUNCTION("""COMPUTED_VALUE"""),"")</f>
        <v/>
      </c>
      <c r="U3321" s="139" t="str">
        <f>IFERROR(__xludf.DUMMYFUNCTION("""COMPUTED_VALUE"""),"")</f>
        <v/>
      </c>
      <c r="V3321" s="136" t="str">
        <f>IFERROR(__xludf.DUMMYFUNCTION("""COMPUTED_VALUE"""),"")</f>
        <v/>
      </c>
      <c r="W3321" s="106" t="str">
        <f>IFERROR(__xludf.DUMMYFUNCTION("""COMPUTED_VALUE"""),"")</f>
        <v/>
      </c>
      <c r="X3321" s="143" t="str">
        <f t="shared" si="2"/>
        <v/>
      </c>
      <c r="Y3321" s="139" t="str">
        <f>IFERROR(__xludf.DUMMYFUNCTION("""COMPUTED_VALUE"""),"")</f>
        <v/>
      </c>
      <c r="Z3321" s="141" t="str">
        <f>IFERROR(__xludf.DUMMYFUNCTION("""COMPUTED_VALUE"""),"")</f>
        <v/>
      </c>
    </row>
    <row r="3322">
      <c r="D3322" s="136" t="str">
        <f t="shared" si="3"/>
        <v/>
      </c>
      <c r="E3322" s="152"/>
      <c r="F3322" s="106" t="s">
        <v>133</v>
      </c>
      <c r="G3322" s="152"/>
      <c r="H3322" s="106" t="s">
        <v>133</v>
      </c>
      <c r="J3322" s="139" t="s">
        <v>133</v>
      </c>
      <c r="K3322" s="136" t="s">
        <v>133</v>
      </c>
      <c r="L3322" s="153"/>
      <c r="M3322" s="136" t="str">
        <f t="shared" si="1"/>
        <v/>
      </c>
      <c r="O3322" s="141" t="s">
        <v>133</v>
      </c>
      <c r="P3322" s="136" t="str">
        <f>IFERROR(__xludf.DUMMYFUNCTION("""COMPUTED_VALUE"""),"")</f>
        <v/>
      </c>
      <c r="Q3322" s="136" t="str">
        <f>IFERROR(__xludf.DUMMYFUNCTION("""COMPUTED_VALUE"""),"")</f>
        <v/>
      </c>
      <c r="R3322" s="106" t="str">
        <f>IFERROR(__xludf.DUMMYFUNCTION("""COMPUTED_VALUE"""),"")</f>
        <v/>
      </c>
      <c r="S3322" s="106" t="str">
        <f>IFERROR(__xludf.DUMMYFUNCTION("""COMPUTED_VALUE"""),"")</f>
        <v/>
      </c>
      <c r="T3322" s="139" t="str">
        <f>IFERROR(__xludf.DUMMYFUNCTION("""COMPUTED_VALUE"""),"")</f>
        <v/>
      </c>
      <c r="U3322" s="139" t="str">
        <f>IFERROR(__xludf.DUMMYFUNCTION("""COMPUTED_VALUE"""),"")</f>
        <v/>
      </c>
      <c r="V3322" s="136" t="str">
        <f>IFERROR(__xludf.DUMMYFUNCTION("""COMPUTED_VALUE"""),"")</f>
        <v/>
      </c>
      <c r="W3322" s="106" t="str">
        <f>IFERROR(__xludf.DUMMYFUNCTION("""COMPUTED_VALUE"""),"")</f>
        <v/>
      </c>
      <c r="X3322" s="143" t="str">
        <f t="shared" si="2"/>
        <v/>
      </c>
      <c r="Y3322" s="139" t="str">
        <f>IFERROR(__xludf.DUMMYFUNCTION("""COMPUTED_VALUE"""),"")</f>
        <v/>
      </c>
      <c r="Z3322" s="141" t="str">
        <f>IFERROR(__xludf.DUMMYFUNCTION("""COMPUTED_VALUE"""),"")</f>
        <v/>
      </c>
    </row>
    <row r="3323">
      <c r="D3323" s="136" t="str">
        <f t="shared" si="3"/>
        <v/>
      </c>
      <c r="E3323" s="152"/>
      <c r="F3323" s="106" t="s">
        <v>133</v>
      </c>
      <c r="G3323" s="152"/>
      <c r="H3323" s="106" t="s">
        <v>133</v>
      </c>
      <c r="J3323" s="139" t="s">
        <v>133</v>
      </c>
      <c r="K3323" s="136" t="s">
        <v>133</v>
      </c>
      <c r="L3323" s="153"/>
      <c r="M3323" s="136" t="str">
        <f t="shared" si="1"/>
        <v/>
      </c>
      <c r="O3323" s="141" t="s">
        <v>133</v>
      </c>
      <c r="P3323" s="136" t="str">
        <f>IFERROR(__xludf.DUMMYFUNCTION("""COMPUTED_VALUE"""),"")</f>
        <v/>
      </c>
      <c r="Q3323" s="136" t="str">
        <f>IFERROR(__xludf.DUMMYFUNCTION("""COMPUTED_VALUE"""),"")</f>
        <v/>
      </c>
      <c r="R3323" s="106" t="str">
        <f>IFERROR(__xludf.DUMMYFUNCTION("""COMPUTED_VALUE"""),"")</f>
        <v/>
      </c>
      <c r="S3323" s="106" t="str">
        <f>IFERROR(__xludf.DUMMYFUNCTION("""COMPUTED_VALUE"""),"")</f>
        <v/>
      </c>
      <c r="T3323" s="139" t="str">
        <f>IFERROR(__xludf.DUMMYFUNCTION("""COMPUTED_VALUE"""),"")</f>
        <v/>
      </c>
      <c r="U3323" s="139" t="str">
        <f>IFERROR(__xludf.DUMMYFUNCTION("""COMPUTED_VALUE"""),"")</f>
        <v/>
      </c>
      <c r="V3323" s="136" t="str">
        <f>IFERROR(__xludf.DUMMYFUNCTION("""COMPUTED_VALUE"""),"")</f>
        <v/>
      </c>
      <c r="W3323" s="106" t="str">
        <f>IFERROR(__xludf.DUMMYFUNCTION("""COMPUTED_VALUE"""),"")</f>
        <v/>
      </c>
      <c r="X3323" s="143" t="str">
        <f t="shared" si="2"/>
        <v/>
      </c>
      <c r="Y3323" s="139" t="str">
        <f>IFERROR(__xludf.DUMMYFUNCTION("""COMPUTED_VALUE"""),"")</f>
        <v/>
      </c>
      <c r="Z3323" s="141" t="str">
        <f>IFERROR(__xludf.DUMMYFUNCTION("""COMPUTED_VALUE"""),"")</f>
        <v/>
      </c>
    </row>
    <row r="3324">
      <c r="D3324" s="136" t="str">
        <f t="shared" si="3"/>
        <v/>
      </c>
      <c r="E3324" s="152"/>
      <c r="F3324" s="106" t="s">
        <v>133</v>
      </c>
      <c r="G3324" s="152"/>
      <c r="H3324" s="106" t="s">
        <v>133</v>
      </c>
      <c r="J3324" s="139" t="s">
        <v>133</v>
      </c>
      <c r="K3324" s="136" t="s">
        <v>133</v>
      </c>
      <c r="L3324" s="153"/>
      <c r="M3324" s="136" t="str">
        <f t="shared" si="1"/>
        <v/>
      </c>
      <c r="O3324" s="141" t="s">
        <v>133</v>
      </c>
      <c r="P3324" s="136" t="str">
        <f>IFERROR(__xludf.DUMMYFUNCTION("""COMPUTED_VALUE"""),"")</f>
        <v/>
      </c>
      <c r="Q3324" s="136" t="str">
        <f>IFERROR(__xludf.DUMMYFUNCTION("""COMPUTED_VALUE"""),"")</f>
        <v/>
      </c>
      <c r="R3324" s="106" t="str">
        <f>IFERROR(__xludf.DUMMYFUNCTION("""COMPUTED_VALUE"""),"")</f>
        <v/>
      </c>
      <c r="S3324" s="106" t="str">
        <f>IFERROR(__xludf.DUMMYFUNCTION("""COMPUTED_VALUE"""),"")</f>
        <v/>
      </c>
      <c r="T3324" s="139" t="str">
        <f>IFERROR(__xludf.DUMMYFUNCTION("""COMPUTED_VALUE"""),"")</f>
        <v/>
      </c>
      <c r="U3324" s="139" t="str">
        <f>IFERROR(__xludf.DUMMYFUNCTION("""COMPUTED_VALUE"""),"")</f>
        <v/>
      </c>
      <c r="V3324" s="136" t="str">
        <f>IFERROR(__xludf.DUMMYFUNCTION("""COMPUTED_VALUE"""),"")</f>
        <v/>
      </c>
      <c r="W3324" s="106" t="str">
        <f>IFERROR(__xludf.DUMMYFUNCTION("""COMPUTED_VALUE"""),"")</f>
        <v/>
      </c>
      <c r="X3324" s="143" t="str">
        <f t="shared" si="2"/>
        <v/>
      </c>
      <c r="Y3324" s="139" t="str">
        <f>IFERROR(__xludf.DUMMYFUNCTION("""COMPUTED_VALUE"""),"")</f>
        <v/>
      </c>
      <c r="Z3324" s="141" t="str">
        <f>IFERROR(__xludf.DUMMYFUNCTION("""COMPUTED_VALUE"""),"")</f>
        <v/>
      </c>
    </row>
    <row r="3325">
      <c r="D3325" s="136" t="str">
        <f t="shared" si="3"/>
        <v/>
      </c>
      <c r="E3325" s="152"/>
      <c r="F3325" s="106" t="s">
        <v>133</v>
      </c>
      <c r="G3325" s="152"/>
      <c r="H3325" s="106" t="s">
        <v>133</v>
      </c>
      <c r="J3325" s="139" t="s">
        <v>133</v>
      </c>
      <c r="K3325" s="136" t="s">
        <v>133</v>
      </c>
      <c r="L3325" s="153"/>
      <c r="M3325" s="136" t="str">
        <f t="shared" si="1"/>
        <v/>
      </c>
      <c r="O3325" s="141" t="s">
        <v>133</v>
      </c>
      <c r="P3325" s="136" t="str">
        <f>IFERROR(__xludf.DUMMYFUNCTION("""COMPUTED_VALUE"""),"")</f>
        <v/>
      </c>
      <c r="Q3325" s="136" t="str">
        <f>IFERROR(__xludf.DUMMYFUNCTION("""COMPUTED_VALUE"""),"")</f>
        <v/>
      </c>
      <c r="R3325" s="106" t="str">
        <f>IFERROR(__xludf.DUMMYFUNCTION("""COMPUTED_VALUE"""),"")</f>
        <v/>
      </c>
      <c r="S3325" s="106" t="str">
        <f>IFERROR(__xludf.DUMMYFUNCTION("""COMPUTED_VALUE"""),"")</f>
        <v/>
      </c>
      <c r="T3325" s="139" t="str">
        <f>IFERROR(__xludf.DUMMYFUNCTION("""COMPUTED_VALUE"""),"")</f>
        <v/>
      </c>
      <c r="U3325" s="139" t="str">
        <f>IFERROR(__xludf.DUMMYFUNCTION("""COMPUTED_VALUE"""),"")</f>
        <v/>
      </c>
      <c r="V3325" s="136" t="str">
        <f>IFERROR(__xludf.DUMMYFUNCTION("""COMPUTED_VALUE"""),"")</f>
        <v/>
      </c>
      <c r="W3325" s="106" t="str">
        <f>IFERROR(__xludf.DUMMYFUNCTION("""COMPUTED_VALUE"""),"")</f>
        <v/>
      </c>
      <c r="X3325" s="143" t="str">
        <f t="shared" si="2"/>
        <v/>
      </c>
      <c r="Y3325" s="139" t="str">
        <f>IFERROR(__xludf.DUMMYFUNCTION("""COMPUTED_VALUE"""),"")</f>
        <v/>
      </c>
      <c r="Z3325" s="141" t="str">
        <f>IFERROR(__xludf.DUMMYFUNCTION("""COMPUTED_VALUE"""),"")</f>
        <v/>
      </c>
    </row>
    <row r="3326">
      <c r="D3326" s="136" t="str">
        <f t="shared" si="3"/>
        <v/>
      </c>
      <c r="E3326" s="152"/>
      <c r="F3326" s="106" t="s">
        <v>133</v>
      </c>
      <c r="G3326" s="152"/>
      <c r="H3326" s="106" t="s">
        <v>133</v>
      </c>
      <c r="J3326" s="139" t="s">
        <v>133</v>
      </c>
      <c r="K3326" s="136" t="s">
        <v>133</v>
      </c>
      <c r="L3326" s="153"/>
      <c r="M3326" s="136" t="str">
        <f t="shared" si="1"/>
        <v/>
      </c>
      <c r="O3326" s="141" t="s">
        <v>133</v>
      </c>
      <c r="P3326" s="136" t="str">
        <f>IFERROR(__xludf.DUMMYFUNCTION("""COMPUTED_VALUE"""),"")</f>
        <v/>
      </c>
      <c r="Q3326" s="136" t="str">
        <f>IFERROR(__xludf.DUMMYFUNCTION("""COMPUTED_VALUE"""),"")</f>
        <v/>
      </c>
      <c r="R3326" s="106" t="str">
        <f>IFERROR(__xludf.DUMMYFUNCTION("""COMPUTED_VALUE"""),"")</f>
        <v/>
      </c>
      <c r="S3326" s="106" t="str">
        <f>IFERROR(__xludf.DUMMYFUNCTION("""COMPUTED_VALUE"""),"")</f>
        <v/>
      </c>
      <c r="T3326" s="139" t="str">
        <f>IFERROR(__xludf.DUMMYFUNCTION("""COMPUTED_VALUE"""),"")</f>
        <v/>
      </c>
      <c r="U3326" s="139" t="str">
        <f>IFERROR(__xludf.DUMMYFUNCTION("""COMPUTED_VALUE"""),"")</f>
        <v/>
      </c>
      <c r="V3326" s="136" t="str">
        <f>IFERROR(__xludf.DUMMYFUNCTION("""COMPUTED_VALUE"""),"")</f>
        <v/>
      </c>
      <c r="W3326" s="106" t="str">
        <f>IFERROR(__xludf.DUMMYFUNCTION("""COMPUTED_VALUE"""),"")</f>
        <v/>
      </c>
      <c r="X3326" s="143" t="str">
        <f t="shared" si="2"/>
        <v/>
      </c>
      <c r="Y3326" s="139" t="str">
        <f>IFERROR(__xludf.DUMMYFUNCTION("""COMPUTED_VALUE"""),"")</f>
        <v/>
      </c>
      <c r="Z3326" s="141" t="str">
        <f>IFERROR(__xludf.DUMMYFUNCTION("""COMPUTED_VALUE"""),"")</f>
        <v/>
      </c>
    </row>
    <row r="3327">
      <c r="D3327" s="136" t="str">
        <f t="shared" si="3"/>
        <v/>
      </c>
      <c r="E3327" s="152"/>
      <c r="F3327" s="106" t="s">
        <v>133</v>
      </c>
      <c r="G3327" s="152"/>
      <c r="H3327" s="106" t="s">
        <v>133</v>
      </c>
      <c r="J3327" s="139" t="s">
        <v>133</v>
      </c>
      <c r="K3327" s="136" t="s">
        <v>133</v>
      </c>
      <c r="L3327" s="153"/>
      <c r="M3327" s="136" t="str">
        <f t="shared" si="1"/>
        <v/>
      </c>
      <c r="O3327" s="141" t="s">
        <v>133</v>
      </c>
      <c r="P3327" s="136" t="str">
        <f>IFERROR(__xludf.DUMMYFUNCTION("""COMPUTED_VALUE"""),"")</f>
        <v/>
      </c>
      <c r="Q3327" s="136" t="str">
        <f>IFERROR(__xludf.DUMMYFUNCTION("""COMPUTED_VALUE"""),"")</f>
        <v/>
      </c>
      <c r="R3327" s="106" t="str">
        <f>IFERROR(__xludf.DUMMYFUNCTION("""COMPUTED_VALUE"""),"")</f>
        <v/>
      </c>
      <c r="S3327" s="106" t="str">
        <f>IFERROR(__xludf.DUMMYFUNCTION("""COMPUTED_VALUE"""),"")</f>
        <v/>
      </c>
      <c r="T3327" s="139" t="str">
        <f>IFERROR(__xludf.DUMMYFUNCTION("""COMPUTED_VALUE"""),"")</f>
        <v/>
      </c>
      <c r="U3327" s="139" t="str">
        <f>IFERROR(__xludf.DUMMYFUNCTION("""COMPUTED_VALUE"""),"")</f>
        <v/>
      </c>
      <c r="V3327" s="136" t="str">
        <f>IFERROR(__xludf.DUMMYFUNCTION("""COMPUTED_VALUE"""),"")</f>
        <v/>
      </c>
      <c r="W3327" s="106" t="str">
        <f>IFERROR(__xludf.DUMMYFUNCTION("""COMPUTED_VALUE"""),"")</f>
        <v/>
      </c>
      <c r="X3327" s="143" t="str">
        <f t="shared" si="2"/>
        <v/>
      </c>
      <c r="Y3327" s="139" t="str">
        <f>IFERROR(__xludf.DUMMYFUNCTION("""COMPUTED_VALUE"""),"")</f>
        <v/>
      </c>
      <c r="Z3327" s="141" t="str">
        <f>IFERROR(__xludf.DUMMYFUNCTION("""COMPUTED_VALUE"""),"")</f>
        <v/>
      </c>
    </row>
    <row r="3328">
      <c r="D3328" s="136" t="str">
        <f t="shared" si="3"/>
        <v/>
      </c>
      <c r="E3328" s="152"/>
      <c r="F3328" s="106" t="s">
        <v>133</v>
      </c>
      <c r="G3328" s="152"/>
      <c r="H3328" s="106" t="s">
        <v>133</v>
      </c>
      <c r="J3328" s="139" t="s">
        <v>133</v>
      </c>
      <c r="K3328" s="136" t="s">
        <v>133</v>
      </c>
      <c r="L3328" s="153"/>
      <c r="M3328" s="136" t="str">
        <f t="shared" si="1"/>
        <v/>
      </c>
      <c r="O3328" s="141" t="s">
        <v>133</v>
      </c>
      <c r="P3328" s="136" t="str">
        <f>IFERROR(__xludf.DUMMYFUNCTION("""COMPUTED_VALUE"""),"")</f>
        <v/>
      </c>
      <c r="Q3328" s="136" t="str">
        <f>IFERROR(__xludf.DUMMYFUNCTION("""COMPUTED_VALUE"""),"")</f>
        <v/>
      </c>
      <c r="R3328" s="106" t="str">
        <f>IFERROR(__xludf.DUMMYFUNCTION("""COMPUTED_VALUE"""),"")</f>
        <v/>
      </c>
      <c r="S3328" s="106" t="str">
        <f>IFERROR(__xludf.DUMMYFUNCTION("""COMPUTED_VALUE"""),"")</f>
        <v/>
      </c>
      <c r="T3328" s="139" t="str">
        <f>IFERROR(__xludf.DUMMYFUNCTION("""COMPUTED_VALUE"""),"")</f>
        <v/>
      </c>
      <c r="U3328" s="139" t="str">
        <f>IFERROR(__xludf.DUMMYFUNCTION("""COMPUTED_VALUE"""),"")</f>
        <v/>
      </c>
      <c r="V3328" s="136" t="str">
        <f>IFERROR(__xludf.DUMMYFUNCTION("""COMPUTED_VALUE"""),"")</f>
        <v/>
      </c>
      <c r="W3328" s="106" t="str">
        <f>IFERROR(__xludf.DUMMYFUNCTION("""COMPUTED_VALUE"""),"")</f>
        <v/>
      </c>
      <c r="X3328" s="143" t="str">
        <f t="shared" si="2"/>
        <v/>
      </c>
      <c r="Y3328" s="139" t="str">
        <f>IFERROR(__xludf.DUMMYFUNCTION("""COMPUTED_VALUE"""),"")</f>
        <v/>
      </c>
      <c r="Z3328" s="141" t="str">
        <f>IFERROR(__xludf.DUMMYFUNCTION("""COMPUTED_VALUE"""),"")</f>
        <v/>
      </c>
    </row>
    <row r="3329">
      <c r="D3329" s="136" t="str">
        <f t="shared" si="3"/>
        <v/>
      </c>
      <c r="E3329" s="152"/>
      <c r="F3329" s="106" t="s">
        <v>133</v>
      </c>
      <c r="G3329" s="152"/>
      <c r="H3329" s="106" t="s">
        <v>133</v>
      </c>
      <c r="J3329" s="139" t="s">
        <v>133</v>
      </c>
      <c r="K3329" s="136" t="s">
        <v>133</v>
      </c>
      <c r="L3329" s="153"/>
      <c r="M3329" s="136" t="str">
        <f t="shared" si="1"/>
        <v/>
      </c>
      <c r="O3329" s="141" t="s">
        <v>133</v>
      </c>
      <c r="P3329" s="136" t="str">
        <f>IFERROR(__xludf.DUMMYFUNCTION("""COMPUTED_VALUE"""),"")</f>
        <v/>
      </c>
      <c r="Q3329" s="136" t="str">
        <f>IFERROR(__xludf.DUMMYFUNCTION("""COMPUTED_VALUE"""),"")</f>
        <v/>
      </c>
      <c r="R3329" s="106" t="str">
        <f>IFERROR(__xludf.DUMMYFUNCTION("""COMPUTED_VALUE"""),"")</f>
        <v/>
      </c>
      <c r="S3329" s="106" t="str">
        <f>IFERROR(__xludf.DUMMYFUNCTION("""COMPUTED_VALUE"""),"")</f>
        <v/>
      </c>
      <c r="T3329" s="139" t="str">
        <f>IFERROR(__xludf.DUMMYFUNCTION("""COMPUTED_VALUE"""),"")</f>
        <v/>
      </c>
      <c r="U3329" s="139" t="str">
        <f>IFERROR(__xludf.DUMMYFUNCTION("""COMPUTED_VALUE"""),"")</f>
        <v/>
      </c>
      <c r="V3329" s="136" t="str">
        <f>IFERROR(__xludf.DUMMYFUNCTION("""COMPUTED_VALUE"""),"")</f>
        <v/>
      </c>
      <c r="W3329" s="106" t="str">
        <f>IFERROR(__xludf.DUMMYFUNCTION("""COMPUTED_VALUE"""),"")</f>
        <v/>
      </c>
      <c r="X3329" s="143" t="str">
        <f t="shared" si="2"/>
        <v/>
      </c>
      <c r="Y3329" s="139" t="str">
        <f>IFERROR(__xludf.DUMMYFUNCTION("""COMPUTED_VALUE"""),"")</f>
        <v/>
      </c>
      <c r="Z3329" s="141" t="str">
        <f>IFERROR(__xludf.DUMMYFUNCTION("""COMPUTED_VALUE"""),"")</f>
        <v/>
      </c>
    </row>
    <row r="3330">
      <c r="D3330" s="136" t="str">
        <f t="shared" si="3"/>
        <v/>
      </c>
      <c r="E3330" s="152"/>
      <c r="F3330" s="106" t="s">
        <v>133</v>
      </c>
      <c r="G3330" s="152"/>
      <c r="H3330" s="106" t="s">
        <v>133</v>
      </c>
      <c r="J3330" s="139" t="s">
        <v>133</v>
      </c>
      <c r="K3330" s="136" t="s">
        <v>133</v>
      </c>
      <c r="L3330" s="153"/>
      <c r="M3330" s="136" t="str">
        <f t="shared" si="1"/>
        <v/>
      </c>
      <c r="O3330" s="141" t="s">
        <v>133</v>
      </c>
      <c r="P3330" s="136" t="str">
        <f>IFERROR(__xludf.DUMMYFUNCTION("""COMPUTED_VALUE"""),"")</f>
        <v/>
      </c>
      <c r="Q3330" s="136" t="str">
        <f>IFERROR(__xludf.DUMMYFUNCTION("""COMPUTED_VALUE"""),"")</f>
        <v/>
      </c>
      <c r="R3330" s="106" t="str">
        <f>IFERROR(__xludf.DUMMYFUNCTION("""COMPUTED_VALUE"""),"")</f>
        <v/>
      </c>
      <c r="S3330" s="106" t="str">
        <f>IFERROR(__xludf.DUMMYFUNCTION("""COMPUTED_VALUE"""),"")</f>
        <v/>
      </c>
      <c r="T3330" s="139" t="str">
        <f>IFERROR(__xludf.DUMMYFUNCTION("""COMPUTED_VALUE"""),"")</f>
        <v/>
      </c>
      <c r="U3330" s="139" t="str">
        <f>IFERROR(__xludf.DUMMYFUNCTION("""COMPUTED_VALUE"""),"")</f>
        <v/>
      </c>
      <c r="V3330" s="136" t="str">
        <f>IFERROR(__xludf.DUMMYFUNCTION("""COMPUTED_VALUE"""),"")</f>
        <v/>
      </c>
      <c r="W3330" s="106" t="str">
        <f>IFERROR(__xludf.DUMMYFUNCTION("""COMPUTED_VALUE"""),"")</f>
        <v/>
      </c>
      <c r="X3330" s="143" t="str">
        <f t="shared" si="2"/>
        <v/>
      </c>
      <c r="Y3330" s="139" t="str">
        <f>IFERROR(__xludf.DUMMYFUNCTION("""COMPUTED_VALUE"""),"")</f>
        <v/>
      </c>
      <c r="Z3330" s="141" t="str">
        <f>IFERROR(__xludf.DUMMYFUNCTION("""COMPUTED_VALUE"""),"")</f>
        <v/>
      </c>
    </row>
    <row r="3331">
      <c r="D3331" s="136" t="str">
        <f t="shared" si="3"/>
        <v/>
      </c>
      <c r="E3331" s="152"/>
      <c r="F3331" s="106" t="s">
        <v>133</v>
      </c>
      <c r="G3331" s="152"/>
      <c r="H3331" s="106" t="s">
        <v>133</v>
      </c>
      <c r="J3331" s="139" t="s">
        <v>133</v>
      </c>
      <c r="K3331" s="136" t="s">
        <v>133</v>
      </c>
      <c r="L3331" s="153"/>
      <c r="M3331" s="136" t="str">
        <f t="shared" si="1"/>
        <v/>
      </c>
      <c r="O3331" s="141" t="s">
        <v>133</v>
      </c>
      <c r="P3331" s="136" t="str">
        <f>IFERROR(__xludf.DUMMYFUNCTION("""COMPUTED_VALUE"""),"")</f>
        <v/>
      </c>
      <c r="Q3331" s="136" t="str">
        <f>IFERROR(__xludf.DUMMYFUNCTION("""COMPUTED_VALUE"""),"")</f>
        <v/>
      </c>
      <c r="R3331" s="106" t="str">
        <f>IFERROR(__xludf.DUMMYFUNCTION("""COMPUTED_VALUE"""),"")</f>
        <v/>
      </c>
      <c r="S3331" s="106" t="str">
        <f>IFERROR(__xludf.DUMMYFUNCTION("""COMPUTED_VALUE"""),"")</f>
        <v/>
      </c>
      <c r="T3331" s="139" t="str">
        <f>IFERROR(__xludf.DUMMYFUNCTION("""COMPUTED_VALUE"""),"")</f>
        <v/>
      </c>
      <c r="U3331" s="139" t="str">
        <f>IFERROR(__xludf.DUMMYFUNCTION("""COMPUTED_VALUE"""),"")</f>
        <v/>
      </c>
      <c r="V3331" s="136" t="str">
        <f>IFERROR(__xludf.DUMMYFUNCTION("""COMPUTED_VALUE"""),"")</f>
        <v/>
      </c>
      <c r="W3331" s="106" t="str">
        <f>IFERROR(__xludf.DUMMYFUNCTION("""COMPUTED_VALUE"""),"")</f>
        <v/>
      </c>
      <c r="X3331" s="143" t="str">
        <f t="shared" si="2"/>
        <v/>
      </c>
      <c r="Y3331" s="139" t="str">
        <f>IFERROR(__xludf.DUMMYFUNCTION("""COMPUTED_VALUE"""),"")</f>
        <v/>
      </c>
      <c r="Z3331" s="141" t="str">
        <f>IFERROR(__xludf.DUMMYFUNCTION("""COMPUTED_VALUE"""),"")</f>
        <v/>
      </c>
    </row>
    <row r="3332">
      <c r="D3332" s="136" t="str">
        <f t="shared" si="3"/>
        <v/>
      </c>
      <c r="E3332" s="152"/>
      <c r="F3332" s="106" t="s">
        <v>133</v>
      </c>
      <c r="G3332" s="152"/>
      <c r="H3332" s="106" t="s">
        <v>133</v>
      </c>
      <c r="J3332" s="139" t="s">
        <v>133</v>
      </c>
      <c r="K3332" s="136" t="s">
        <v>133</v>
      </c>
      <c r="L3332" s="153"/>
      <c r="M3332" s="136" t="str">
        <f t="shared" si="1"/>
        <v/>
      </c>
      <c r="O3332" s="141" t="s">
        <v>133</v>
      </c>
      <c r="P3332" s="136" t="str">
        <f>IFERROR(__xludf.DUMMYFUNCTION("""COMPUTED_VALUE"""),"")</f>
        <v/>
      </c>
      <c r="Q3332" s="136" t="str">
        <f>IFERROR(__xludf.DUMMYFUNCTION("""COMPUTED_VALUE"""),"")</f>
        <v/>
      </c>
      <c r="R3332" s="106" t="str">
        <f>IFERROR(__xludf.DUMMYFUNCTION("""COMPUTED_VALUE"""),"")</f>
        <v/>
      </c>
      <c r="S3332" s="106" t="str">
        <f>IFERROR(__xludf.DUMMYFUNCTION("""COMPUTED_VALUE"""),"")</f>
        <v/>
      </c>
      <c r="T3332" s="139" t="str">
        <f>IFERROR(__xludf.DUMMYFUNCTION("""COMPUTED_VALUE"""),"")</f>
        <v/>
      </c>
      <c r="U3332" s="139" t="str">
        <f>IFERROR(__xludf.DUMMYFUNCTION("""COMPUTED_VALUE"""),"")</f>
        <v/>
      </c>
      <c r="V3332" s="136" t="str">
        <f>IFERROR(__xludf.DUMMYFUNCTION("""COMPUTED_VALUE"""),"")</f>
        <v/>
      </c>
      <c r="W3332" s="106" t="str">
        <f>IFERROR(__xludf.DUMMYFUNCTION("""COMPUTED_VALUE"""),"")</f>
        <v/>
      </c>
      <c r="X3332" s="143" t="str">
        <f t="shared" si="2"/>
        <v/>
      </c>
      <c r="Y3332" s="139" t="str">
        <f>IFERROR(__xludf.DUMMYFUNCTION("""COMPUTED_VALUE"""),"")</f>
        <v/>
      </c>
      <c r="Z3332" s="141" t="str">
        <f>IFERROR(__xludf.DUMMYFUNCTION("""COMPUTED_VALUE"""),"")</f>
        <v/>
      </c>
    </row>
    <row r="3333">
      <c r="D3333" s="136" t="str">
        <f t="shared" si="3"/>
        <v/>
      </c>
      <c r="E3333" s="152"/>
      <c r="F3333" s="106" t="s">
        <v>133</v>
      </c>
      <c r="G3333" s="152"/>
      <c r="H3333" s="106" t="s">
        <v>133</v>
      </c>
      <c r="J3333" s="139" t="s">
        <v>133</v>
      </c>
      <c r="K3333" s="136" t="s">
        <v>133</v>
      </c>
      <c r="L3333" s="153"/>
      <c r="M3333" s="136" t="str">
        <f t="shared" si="1"/>
        <v/>
      </c>
      <c r="O3333" s="141" t="s">
        <v>133</v>
      </c>
      <c r="P3333" s="136" t="str">
        <f>IFERROR(__xludf.DUMMYFUNCTION("""COMPUTED_VALUE"""),"")</f>
        <v/>
      </c>
      <c r="Q3333" s="136" t="str">
        <f>IFERROR(__xludf.DUMMYFUNCTION("""COMPUTED_VALUE"""),"")</f>
        <v/>
      </c>
      <c r="R3333" s="106" t="str">
        <f>IFERROR(__xludf.DUMMYFUNCTION("""COMPUTED_VALUE"""),"")</f>
        <v/>
      </c>
      <c r="S3333" s="106" t="str">
        <f>IFERROR(__xludf.DUMMYFUNCTION("""COMPUTED_VALUE"""),"")</f>
        <v/>
      </c>
      <c r="T3333" s="139" t="str">
        <f>IFERROR(__xludf.DUMMYFUNCTION("""COMPUTED_VALUE"""),"")</f>
        <v/>
      </c>
      <c r="U3333" s="139" t="str">
        <f>IFERROR(__xludf.DUMMYFUNCTION("""COMPUTED_VALUE"""),"")</f>
        <v/>
      </c>
      <c r="V3333" s="136" t="str">
        <f>IFERROR(__xludf.DUMMYFUNCTION("""COMPUTED_VALUE"""),"")</f>
        <v/>
      </c>
      <c r="W3333" s="106" t="str">
        <f>IFERROR(__xludf.DUMMYFUNCTION("""COMPUTED_VALUE"""),"")</f>
        <v/>
      </c>
      <c r="X3333" s="143" t="str">
        <f t="shared" si="2"/>
        <v/>
      </c>
      <c r="Y3333" s="139" t="str">
        <f>IFERROR(__xludf.DUMMYFUNCTION("""COMPUTED_VALUE"""),"")</f>
        <v/>
      </c>
      <c r="Z3333" s="141" t="str">
        <f>IFERROR(__xludf.DUMMYFUNCTION("""COMPUTED_VALUE"""),"")</f>
        <v/>
      </c>
    </row>
    <row r="3334">
      <c r="D3334" s="136" t="str">
        <f t="shared" si="3"/>
        <v/>
      </c>
      <c r="E3334" s="152"/>
      <c r="F3334" s="106" t="s">
        <v>133</v>
      </c>
      <c r="G3334" s="152"/>
      <c r="H3334" s="106" t="s">
        <v>133</v>
      </c>
      <c r="J3334" s="139" t="s">
        <v>133</v>
      </c>
      <c r="K3334" s="136" t="s">
        <v>133</v>
      </c>
      <c r="L3334" s="153"/>
      <c r="M3334" s="136" t="str">
        <f t="shared" si="1"/>
        <v/>
      </c>
      <c r="O3334" s="141" t="s">
        <v>133</v>
      </c>
      <c r="P3334" s="136" t="str">
        <f>IFERROR(__xludf.DUMMYFUNCTION("""COMPUTED_VALUE"""),"")</f>
        <v/>
      </c>
      <c r="Q3334" s="136" t="str">
        <f>IFERROR(__xludf.DUMMYFUNCTION("""COMPUTED_VALUE"""),"")</f>
        <v/>
      </c>
      <c r="R3334" s="106" t="str">
        <f>IFERROR(__xludf.DUMMYFUNCTION("""COMPUTED_VALUE"""),"")</f>
        <v/>
      </c>
      <c r="S3334" s="106" t="str">
        <f>IFERROR(__xludf.DUMMYFUNCTION("""COMPUTED_VALUE"""),"")</f>
        <v/>
      </c>
      <c r="T3334" s="139" t="str">
        <f>IFERROR(__xludf.DUMMYFUNCTION("""COMPUTED_VALUE"""),"")</f>
        <v/>
      </c>
      <c r="U3334" s="139" t="str">
        <f>IFERROR(__xludf.DUMMYFUNCTION("""COMPUTED_VALUE"""),"")</f>
        <v/>
      </c>
      <c r="V3334" s="136" t="str">
        <f>IFERROR(__xludf.DUMMYFUNCTION("""COMPUTED_VALUE"""),"")</f>
        <v/>
      </c>
      <c r="W3334" s="106" t="str">
        <f>IFERROR(__xludf.DUMMYFUNCTION("""COMPUTED_VALUE"""),"")</f>
        <v/>
      </c>
      <c r="X3334" s="143" t="str">
        <f t="shared" si="2"/>
        <v/>
      </c>
      <c r="Y3334" s="139" t="str">
        <f>IFERROR(__xludf.DUMMYFUNCTION("""COMPUTED_VALUE"""),"")</f>
        <v/>
      </c>
      <c r="Z3334" s="141" t="str">
        <f>IFERROR(__xludf.DUMMYFUNCTION("""COMPUTED_VALUE"""),"")</f>
        <v/>
      </c>
    </row>
    <row r="3335">
      <c r="D3335" s="136" t="str">
        <f t="shared" si="3"/>
        <v/>
      </c>
      <c r="E3335" s="152"/>
      <c r="F3335" s="106" t="s">
        <v>133</v>
      </c>
      <c r="G3335" s="152"/>
      <c r="H3335" s="106" t="s">
        <v>133</v>
      </c>
      <c r="J3335" s="139" t="s">
        <v>133</v>
      </c>
      <c r="K3335" s="136" t="s">
        <v>133</v>
      </c>
      <c r="L3335" s="153"/>
      <c r="M3335" s="136" t="str">
        <f t="shared" si="1"/>
        <v/>
      </c>
      <c r="O3335" s="141" t="s">
        <v>133</v>
      </c>
      <c r="P3335" s="136" t="str">
        <f>IFERROR(__xludf.DUMMYFUNCTION("""COMPUTED_VALUE"""),"")</f>
        <v/>
      </c>
      <c r="Q3335" s="136" t="str">
        <f>IFERROR(__xludf.DUMMYFUNCTION("""COMPUTED_VALUE"""),"")</f>
        <v/>
      </c>
      <c r="R3335" s="106" t="str">
        <f>IFERROR(__xludf.DUMMYFUNCTION("""COMPUTED_VALUE"""),"")</f>
        <v/>
      </c>
      <c r="S3335" s="106" t="str">
        <f>IFERROR(__xludf.DUMMYFUNCTION("""COMPUTED_VALUE"""),"")</f>
        <v/>
      </c>
      <c r="T3335" s="139" t="str">
        <f>IFERROR(__xludf.DUMMYFUNCTION("""COMPUTED_VALUE"""),"")</f>
        <v/>
      </c>
      <c r="U3335" s="139" t="str">
        <f>IFERROR(__xludf.DUMMYFUNCTION("""COMPUTED_VALUE"""),"")</f>
        <v/>
      </c>
      <c r="V3335" s="136" t="str">
        <f>IFERROR(__xludf.DUMMYFUNCTION("""COMPUTED_VALUE"""),"")</f>
        <v/>
      </c>
      <c r="W3335" s="106" t="str">
        <f>IFERROR(__xludf.DUMMYFUNCTION("""COMPUTED_VALUE"""),"")</f>
        <v/>
      </c>
      <c r="X3335" s="143" t="str">
        <f t="shared" si="2"/>
        <v/>
      </c>
      <c r="Y3335" s="139" t="str">
        <f>IFERROR(__xludf.DUMMYFUNCTION("""COMPUTED_VALUE"""),"")</f>
        <v/>
      </c>
      <c r="Z3335" s="141" t="str">
        <f>IFERROR(__xludf.DUMMYFUNCTION("""COMPUTED_VALUE"""),"")</f>
        <v/>
      </c>
    </row>
    <row r="3336">
      <c r="D3336" s="136" t="str">
        <f t="shared" si="3"/>
        <v/>
      </c>
      <c r="E3336" s="152"/>
      <c r="F3336" s="106" t="s">
        <v>133</v>
      </c>
      <c r="G3336" s="152"/>
      <c r="H3336" s="106" t="s">
        <v>133</v>
      </c>
      <c r="J3336" s="139" t="s">
        <v>133</v>
      </c>
      <c r="K3336" s="136" t="s">
        <v>133</v>
      </c>
      <c r="L3336" s="153"/>
      <c r="M3336" s="136" t="str">
        <f t="shared" si="1"/>
        <v/>
      </c>
      <c r="O3336" s="141" t="s">
        <v>133</v>
      </c>
      <c r="P3336" s="136" t="str">
        <f>IFERROR(__xludf.DUMMYFUNCTION("""COMPUTED_VALUE"""),"")</f>
        <v/>
      </c>
      <c r="Q3336" s="136" t="str">
        <f>IFERROR(__xludf.DUMMYFUNCTION("""COMPUTED_VALUE"""),"")</f>
        <v/>
      </c>
      <c r="R3336" s="106" t="str">
        <f>IFERROR(__xludf.DUMMYFUNCTION("""COMPUTED_VALUE"""),"")</f>
        <v/>
      </c>
      <c r="S3336" s="106" t="str">
        <f>IFERROR(__xludf.DUMMYFUNCTION("""COMPUTED_VALUE"""),"")</f>
        <v/>
      </c>
      <c r="T3336" s="139" t="str">
        <f>IFERROR(__xludf.DUMMYFUNCTION("""COMPUTED_VALUE"""),"")</f>
        <v/>
      </c>
      <c r="U3336" s="139" t="str">
        <f>IFERROR(__xludf.DUMMYFUNCTION("""COMPUTED_VALUE"""),"")</f>
        <v/>
      </c>
      <c r="V3336" s="136" t="str">
        <f>IFERROR(__xludf.DUMMYFUNCTION("""COMPUTED_VALUE"""),"")</f>
        <v/>
      </c>
      <c r="W3336" s="106" t="str">
        <f>IFERROR(__xludf.DUMMYFUNCTION("""COMPUTED_VALUE"""),"")</f>
        <v/>
      </c>
      <c r="X3336" s="143" t="str">
        <f t="shared" si="2"/>
        <v/>
      </c>
      <c r="Y3336" s="139" t="str">
        <f>IFERROR(__xludf.DUMMYFUNCTION("""COMPUTED_VALUE"""),"")</f>
        <v/>
      </c>
      <c r="Z3336" s="141" t="str">
        <f>IFERROR(__xludf.DUMMYFUNCTION("""COMPUTED_VALUE"""),"")</f>
        <v/>
      </c>
    </row>
    <row r="3337">
      <c r="D3337" s="136" t="str">
        <f t="shared" si="3"/>
        <v/>
      </c>
      <c r="E3337" s="152"/>
      <c r="F3337" s="106" t="s">
        <v>133</v>
      </c>
      <c r="G3337" s="152"/>
      <c r="H3337" s="106" t="s">
        <v>133</v>
      </c>
      <c r="J3337" s="139" t="s">
        <v>133</v>
      </c>
      <c r="K3337" s="136" t="s">
        <v>133</v>
      </c>
      <c r="L3337" s="153"/>
      <c r="M3337" s="136" t="str">
        <f t="shared" si="1"/>
        <v/>
      </c>
      <c r="O3337" s="141" t="s">
        <v>133</v>
      </c>
      <c r="P3337" s="136" t="str">
        <f>IFERROR(__xludf.DUMMYFUNCTION("""COMPUTED_VALUE"""),"")</f>
        <v/>
      </c>
      <c r="Q3337" s="136" t="str">
        <f>IFERROR(__xludf.DUMMYFUNCTION("""COMPUTED_VALUE"""),"")</f>
        <v/>
      </c>
      <c r="R3337" s="106" t="str">
        <f>IFERROR(__xludf.DUMMYFUNCTION("""COMPUTED_VALUE"""),"")</f>
        <v/>
      </c>
      <c r="S3337" s="106" t="str">
        <f>IFERROR(__xludf.DUMMYFUNCTION("""COMPUTED_VALUE"""),"")</f>
        <v/>
      </c>
      <c r="T3337" s="139" t="str">
        <f>IFERROR(__xludf.DUMMYFUNCTION("""COMPUTED_VALUE"""),"")</f>
        <v/>
      </c>
      <c r="U3337" s="139" t="str">
        <f>IFERROR(__xludf.DUMMYFUNCTION("""COMPUTED_VALUE"""),"")</f>
        <v/>
      </c>
      <c r="V3337" s="136" t="str">
        <f>IFERROR(__xludf.DUMMYFUNCTION("""COMPUTED_VALUE"""),"")</f>
        <v/>
      </c>
      <c r="W3337" s="106" t="str">
        <f>IFERROR(__xludf.DUMMYFUNCTION("""COMPUTED_VALUE"""),"")</f>
        <v/>
      </c>
      <c r="X3337" s="143" t="str">
        <f t="shared" si="2"/>
        <v/>
      </c>
      <c r="Y3337" s="139" t="str">
        <f>IFERROR(__xludf.DUMMYFUNCTION("""COMPUTED_VALUE"""),"")</f>
        <v/>
      </c>
      <c r="Z3337" s="141" t="str">
        <f>IFERROR(__xludf.DUMMYFUNCTION("""COMPUTED_VALUE"""),"")</f>
        <v/>
      </c>
    </row>
    <row r="3338">
      <c r="D3338" s="136" t="str">
        <f t="shared" si="3"/>
        <v/>
      </c>
      <c r="E3338" s="152"/>
      <c r="F3338" s="106" t="s">
        <v>133</v>
      </c>
      <c r="G3338" s="152"/>
      <c r="H3338" s="106" t="s">
        <v>133</v>
      </c>
      <c r="J3338" s="139" t="s">
        <v>133</v>
      </c>
      <c r="K3338" s="136" t="s">
        <v>133</v>
      </c>
      <c r="L3338" s="153"/>
      <c r="M3338" s="136" t="str">
        <f t="shared" si="1"/>
        <v/>
      </c>
      <c r="O3338" s="141" t="s">
        <v>133</v>
      </c>
      <c r="P3338" s="136" t="str">
        <f>IFERROR(__xludf.DUMMYFUNCTION("""COMPUTED_VALUE"""),"")</f>
        <v/>
      </c>
      <c r="Q3338" s="136" t="str">
        <f>IFERROR(__xludf.DUMMYFUNCTION("""COMPUTED_VALUE"""),"")</f>
        <v/>
      </c>
      <c r="R3338" s="106" t="str">
        <f>IFERROR(__xludf.DUMMYFUNCTION("""COMPUTED_VALUE"""),"")</f>
        <v/>
      </c>
      <c r="S3338" s="106" t="str">
        <f>IFERROR(__xludf.DUMMYFUNCTION("""COMPUTED_VALUE"""),"")</f>
        <v/>
      </c>
      <c r="T3338" s="139" t="str">
        <f>IFERROR(__xludf.DUMMYFUNCTION("""COMPUTED_VALUE"""),"")</f>
        <v/>
      </c>
      <c r="U3338" s="139" t="str">
        <f>IFERROR(__xludf.DUMMYFUNCTION("""COMPUTED_VALUE"""),"")</f>
        <v/>
      </c>
      <c r="V3338" s="136" t="str">
        <f>IFERROR(__xludf.DUMMYFUNCTION("""COMPUTED_VALUE"""),"")</f>
        <v/>
      </c>
      <c r="W3338" s="106" t="str">
        <f>IFERROR(__xludf.DUMMYFUNCTION("""COMPUTED_VALUE"""),"")</f>
        <v/>
      </c>
      <c r="X3338" s="143" t="str">
        <f t="shared" si="2"/>
        <v/>
      </c>
      <c r="Y3338" s="139" t="str">
        <f>IFERROR(__xludf.DUMMYFUNCTION("""COMPUTED_VALUE"""),"")</f>
        <v/>
      </c>
      <c r="Z3338" s="141" t="str">
        <f>IFERROR(__xludf.DUMMYFUNCTION("""COMPUTED_VALUE"""),"")</f>
        <v/>
      </c>
    </row>
    <row r="3339">
      <c r="D3339" s="136" t="str">
        <f t="shared" si="3"/>
        <v/>
      </c>
      <c r="E3339" s="152"/>
      <c r="F3339" s="106" t="s">
        <v>133</v>
      </c>
      <c r="G3339" s="152"/>
      <c r="H3339" s="106" t="s">
        <v>133</v>
      </c>
      <c r="J3339" s="139" t="s">
        <v>133</v>
      </c>
      <c r="K3339" s="136" t="s">
        <v>133</v>
      </c>
      <c r="L3339" s="153"/>
      <c r="M3339" s="136" t="str">
        <f t="shared" si="1"/>
        <v/>
      </c>
      <c r="O3339" s="141" t="s">
        <v>133</v>
      </c>
      <c r="P3339" s="136" t="str">
        <f>IFERROR(__xludf.DUMMYFUNCTION("""COMPUTED_VALUE"""),"")</f>
        <v/>
      </c>
      <c r="Q3339" s="136" t="str">
        <f>IFERROR(__xludf.DUMMYFUNCTION("""COMPUTED_VALUE"""),"")</f>
        <v/>
      </c>
      <c r="R3339" s="106" t="str">
        <f>IFERROR(__xludf.DUMMYFUNCTION("""COMPUTED_VALUE"""),"")</f>
        <v/>
      </c>
      <c r="S3339" s="106" t="str">
        <f>IFERROR(__xludf.DUMMYFUNCTION("""COMPUTED_VALUE"""),"")</f>
        <v/>
      </c>
      <c r="T3339" s="139" t="str">
        <f>IFERROR(__xludf.DUMMYFUNCTION("""COMPUTED_VALUE"""),"")</f>
        <v/>
      </c>
      <c r="U3339" s="139" t="str">
        <f>IFERROR(__xludf.DUMMYFUNCTION("""COMPUTED_VALUE"""),"")</f>
        <v/>
      </c>
      <c r="V3339" s="136" t="str">
        <f>IFERROR(__xludf.DUMMYFUNCTION("""COMPUTED_VALUE"""),"")</f>
        <v/>
      </c>
      <c r="W3339" s="106" t="str">
        <f>IFERROR(__xludf.DUMMYFUNCTION("""COMPUTED_VALUE"""),"")</f>
        <v/>
      </c>
      <c r="X3339" s="143" t="str">
        <f t="shared" si="2"/>
        <v/>
      </c>
      <c r="Y3339" s="139" t="str">
        <f>IFERROR(__xludf.DUMMYFUNCTION("""COMPUTED_VALUE"""),"")</f>
        <v/>
      </c>
      <c r="Z3339" s="141" t="str">
        <f>IFERROR(__xludf.DUMMYFUNCTION("""COMPUTED_VALUE"""),"")</f>
        <v/>
      </c>
    </row>
    <row r="3340">
      <c r="D3340" s="136" t="str">
        <f t="shared" si="3"/>
        <v/>
      </c>
      <c r="E3340" s="152"/>
      <c r="F3340" s="106" t="s">
        <v>133</v>
      </c>
      <c r="G3340" s="152"/>
      <c r="H3340" s="106" t="s">
        <v>133</v>
      </c>
      <c r="J3340" s="139" t="s">
        <v>133</v>
      </c>
      <c r="K3340" s="136" t="s">
        <v>133</v>
      </c>
      <c r="L3340" s="153"/>
      <c r="M3340" s="136" t="str">
        <f t="shared" si="1"/>
        <v/>
      </c>
      <c r="O3340" s="141" t="s">
        <v>133</v>
      </c>
      <c r="P3340" s="136" t="str">
        <f>IFERROR(__xludf.DUMMYFUNCTION("""COMPUTED_VALUE"""),"")</f>
        <v/>
      </c>
      <c r="Q3340" s="136" t="str">
        <f>IFERROR(__xludf.DUMMYFUNCTION("""COMPUTED_VALUE"""),"")</f>
        <v/>
      </c>
      <c r="R3340" s="106" t="str">
        <f>IFERROR(__xludf.DUMMYFUNCTION("""COMPUTED_VALUE"""),"")</f>
        <v/>
      </c>
      <c r="S3340" s="106" t="str">
        <f>IFERROR(__xludf.DUMMYFUNCTION("""COMPUTED_VALUE"""),"")</f>
        <v/>
      </c>
      <c r="T3340" s="139" t="str">
        <f>IFERROR(__xludf.DUMMYFUNCTION("""COMPUTED_VALUE"""),"")</f>
        <v/>
      </c>
      <c r="U3340" s="139" t="str">
        <f>IFERROR(__xludf.DUMMYFUNCTION("""COMPUTED_VALUE"""),"")</f>
        <v/>
      </c>
      <c r="V3340" s="136" t="str">
        <f>IFERROR(__xludf.DUMMYFUNCTION("""COMPUTED_VALUE"""),"")</f>
        <v/>
      </c>
      <c r="W3340" s="106" t="str">
        <f>IFERROR(__xludf.DUMMYFUNCTION("""COMPUTED_VALUE"""),"")</f>
        <v/>
      </c>
      <c r="X3340" s="143" t="str">
        <f t="shared" si="2"/>
        <v/>
      </c>
      <c r="Y3340" s="139" t="str">
        <f>IFERROR(__xludf.DUMMYFUNCTION("""COMPUTED_VALUE"""),"")</f>
        <v/>
      </c>
      <c r="Z3340" s="141" t="str">
        <f>IFERROR(__xludf.DUMMYFUNCTION("""COMPUTED_VALUE"""),"")</f>
        <v/>
      </c>
    </row>
    <row r="3341">
      <c r="D3341" s="136" t="str">
        <f t="shared" si="3"/>
        <v/>
      </c>
      <c r="E3341" s="152"/>
      <c r="F3341" s="106" t="s">
        <v>133</v>
      </c>
      <c r="G3341" s="152"/>
      <c r="H3341" s="106" t="s">
        <v>133</v>
      </c>
      <c r="J3341" s="139" t="s">
        <v>133</v>
      </c>
      <c r="K3341" s="136" t="s">
        <v>133</v>
      </c>
      <c r="L3341" s="153"/>
      <c r="M3341" s="136" t="str">
        <f t="shared" si="1"/>
        <v/>
      </c>
      <c r="O3341" s="141" t="s">
        <v>133</v>
      </c>
      <c r="P3341" s="136" t="str">
        <f>IFERROR(__xludf.DUMMYFUNCTION("""COMPUTED_VALUE"""),"")</f>
        <v/>
      </c>
      <c r="Q3341" s="136" t="str">
        <f>IFERROR(__xludf.DUMMYFUNCTION("""COMPUTED_VALUE"""),"")</f>
        <v/>
      </c>
      <c r="R3341" s="106" t="str">
        <f>IFERROR(__xludf.DUMMYFUNCTION("""COMPUTED_VALUE"""),"")</f>
        <v/>
      </c>
      <c r="S3341" s="106" t="str">
        <f>IFERROR(__xludf.DUMMYFUNCTION("""COMPUTED_VALUE"""),"")</f>
        <v/>
      </c>
      <c r="T3341" s="139" t="str">
        <f>IFERROR(__xludf.DUMMYFUNCTION("""COMPUTED_VALUE"""),"")</f>
        <v/>
      </c>
      <c r="U3341" s="139" t="str">
        <f>IFERROR(__xludf.DUMMYFUNCTION("""COMPUTED_VALUE"""),"")</f>
        <v/>
      </c>
      <c r="V3341" s="136" t="str">
        <f>IFERROR(__xludf.DUMMYFUNCTION("""COMPUTED_VALUE"""),"")</f>
        <v/>
      </c>
      <c r="W3341" s="106" t="str">
        <f>IFERROR(__xludf.DUMMYFUNCTION("""COMPUTED_VALUE"""),"")</f>
        <v/>
      </c>
      <c r="X3341" s="143" t="str">
        <f t="shared" si="2"/>
        <v/>
      </c>
      <c r="Y3341" s="139" t="str">
        <f>IFERROR(__xludf.DUMMYFUNCTION("""COMPUTED_VALUE"""),"")</f>
        <v/>
      </c>
      <c r="Z3341" s="141" t="str">
        <f>IFERROR(__xludf.DUMMYFUNCTION("""COMPUTED_VALUE"""),"")</f>
        <v/>
      </c>
    </row>
    <row r="3342">
      <c r="D3342" s="136" t="str">
        <f t="shared" si="3"/>
        <v/>
      </c>
      <c r="E3342" s="152"/>
      <c r="F3342" s="106" t="s">
        <v>133</v>
      </c>
      <c r="G3342" s="152"/>
      <c r="H3342" s="106" t="s">
        <v>133</v>
      </c>
      <c r="J3342" s="139" t="s">
        <v>133</v>
      </c>
      <c r="K3342" s="136" t="s">
        <v>133</v>
      </c>
      <c r="L3342" s="153"/>
      <c r="M3342" s="136" t="str">
        <f t="shared" si="1"/>
        <v/>
      </c>
      <c r="O3342" s="141" t="s">
        <v>133</v>
      </c>
      <c r="P3342" s="136" t="str">
        <f>IFERROR(__xludf.DUMMYFUNCTION("""COMPUTED_VALUE"""),"")</f>
        <v/>
      </c>
      <c r="Q3342" s="136" t="str">
        <f>IFERROR(__xludf.DUMMYFUNCTION("""COMPUTED_VALUE"""),"")</f>
        <v/>
      </c>
      <c r="R3342" s="106" t="str">
        <f>IFERROR(__xludf.DUMMYFUNCTION("""COMPUTED_VALUE"""),"")</f>
        <v/>
      </c>
      <c r="S3342" s="106" t="str">
        <f>IFERROR(__xludf.DUMMYFUNCTION("""COMPUTED_VALUE"""),"")</f>
        <v/>
      </c>
      <c r="T3342" s="139" t="str">
        <f>IFERROR(__xludf.DUMMYFUNCTION("""COMPUTED_VALUE"""),"")</f>
        <v/>
      </c>
      <c r="U3342" s="139" t="str">
        <f>IFERROR(__xludf.DUMMYFUNCTION("""COMPUTED_VALUE"""),"")</f>
        <v/>
      </c>
      <c r="V3342" s="136" t="str">
        <f>IFERROR(__xludf.DUMMYFUNCTION("""COMPUTED_VALUE"""),"")</f>
        <v/>
      </c>
      <c r="W3342" s="106" t="str">
        <f>IFERROR(__xludf.DUMMYFUNCTION("""COMPUTED_VALUE"""),"")</f>
        <v/>
      </c>
      <c r="X3342" s="143" t="str">
        <f t="shared" si="2"/>
        <v/>
      </c>
      <c r="Y3342" s="139" t="str">
        <f>IFERROR(__xludf.DUMMYFUNCTION("""COMPUTED_VALUE"""),"")</f>
        <v/>
      </c>
      <c r="Z3342" s="141" t="str">
        <f>IFERROR(__xludf.DUMMYFUNCTION("""COMPUTED_VALUE"""),"")</f>
        <v/>
      </c>
    </row>
    <row r="3343">
      <c r="D3343" s="136" t="str">
        <f t="shared" si="3"/>
        <v/>
      </c>
      <c r="E3343" s="152"/>
      <c r="F3343" s="106" t="s">
        <v>133</v>
      </c>
      <c r="G3343" s="152"/>
      <c r="H3343" s="106" t="s">
        <v>133</v>
      </c>
      <c r="J3343" s="139" t="s">
        <v>133</v>
      </c>
      <c r="K3343" s="136" t="s">
        <v>133</v>
      </c>
      <c r="L3343" s="153"/>
      <c r="M3343" s="136" t="str">
        <f t="shared" si="1"/>
        <v/>
      </c>
      <c r="O3343" s="141" t="s">
        <v>133</v>
      </c>
      <c r="P3343" s="136" t="str">
        <f>IFERROR(__xludf.DUMMYFUNCTION("""COMPUTED_VALUE"""),"")</f>
        <v/>
      </c>
      <c r="Q3343" s="136" t="str">
        <f>IFERROR(__xludf.DUMMYFUNCTION("""COMPUTED_VALUE"""),"")</f>
        <v/>
      </c>
      <c r="R3343" s="106" t="str">
        <f>IFERROR(__xludf.DUMMYFUNCTION("""COMPUTED_VALUE"""),"")</f>
        <v/>
      </c>
      <c r="S3343" s="106" t="str">
        <f>IFERROR(__xludf.DUMMYFUNCTION("""COMPUTED_VALUE"""),"")</f>
        <v/>
      </c>
      <c r="T3343" s="139" t="str">
        <f>IFERROR(__xludf.DUMMYFUNCTION("""COMPUTED_VALUE"""),"")</f>
        <v/>
      </c>
      <c r="U3343" s="139" t="str">
        <f>IFERROR(__xludf.DUMMYFUNCTION("""COMPUTED_VALUE"""),"")</f>
        <v/>
      </c>
      <c r="V3343" s="136" t="str">
        <f>IFERROR(__xludf.DUMMYFUNCTION("""COMPUTED_VALUE"""),"")</f>
        <v/>
      </c>
      <c r="W3343" s="106" t="str">
        <f>IFERROR(__xludf.DUMMYFUNCTION("""COMPUTED_VALUE"""),"")</f>
        <v/>
      </c>
      <c r="X3343" s="143" t="str">
        <f t="shared" si="2"/>
        <v/>
      </c>
      <c r="Y3343" s="139" t="str">
        <f>IFERROR(__xludf.DUMMYFUNCTION("""COMPUTED_VALUE"""),"")</f>
        <v/>
      </c>
      <c r="Z3343" s="141" t="str">
        <f>IFERROR(__xludf.DUMMYFUNCTION("""COMPUTED_VALUE"""),"")</f>
        <v/>
      </c>
    </row>
    <row r="3344">
      <c r="D3344" s="136" t="str">
        <f t="shared" si="3"/>
        <v/>
      </c>
      <c r="E3344" s="152"/>
      <c r="F3344" s="106" t="s">
        <v>133</v>
      </c>
      <c r="G3344" s="152"/>
      <c r="H3344" s="106" t="s">
        <v>133</v>
      </c>
      <c r="J3344" s="139" t="s">
        <v>133</v>
      </c>
      <c r="K3344" s="136" t="s">
        <v>133</v>
      </c>
      <c r="L3344" s="153"/>
      <c r="M3344" s="136" t="str">
        <f t="shared" si="1"/>
        <v/>
      </c>
      <c r="O3344" s="141" t="s">
        <v>133</v>
      </c>
      <c r="P3344" s="136" t="str">
        <f>IFERROR(__xludf.DUMMYFUNCTION("""COMPUTED_VALUE"""),"")</f>
        <v/>
      </c>
      <c r="Q3344" s="136" t="str">
        <f>IFERROR(__xludf.DUMMYFUNCTION("""COMPUTED_VALUE"""),"")</f>
        <v/>
      </c>
      <c r="R3344" s="106" t="str">
        <f>IFERROR(__xludf.DUMMYFUNCTION("""COMPUTED_VALUE"""),"")</f>
        <v/>
      </c>
      <c r="S3344" s="106" t="str">
        <f>IFERROR(__xludf.DUMMYFUNCTION("""COMPUTED_VALUE"""),"")</f>
        <v/>
      </c>
      <c r="T3344" s="139" t="str">
        <f>IFERROR(__xludf.DUMMYFUNCTION("""COMPUTED_VALUE"""),"")</f>
        <v/>
      </c>
      <c r="U3344" s="139" t="str">
        <f>IFERROR(__xludf.DUMMYFUNCTION("""COMPUTED_VALUE"""),"")</f>
        <v/>
      </c>
      <c r="V3344" s="136" t="str">
        <f>IFERROR(__xludf.DUMMYFUNCTION("""COMPUTED_VALUE"""),"")</f>
        <v/>
      </c>
      <c r="W3344" s="106" t="str">
        <f>IFERROR(__xludf.DUMMYFUNCTION("""COMPUTED_VALUE"""),"")</f>
        <v/>
      </c>
      <c r="X3344" s="143" t="str">
        <f t="shared" si="2"/>
        <v/>
      </c>
      <c r="Y3344" s="139" t="str">
        <f>IFERROR(__xludf.DUMMYFUNCTION("""COMPUTED_VALUE"""),"")</f>
        <v/>
      </c>
      <c r="Z3344" s="141" t="str">
        <f>IFERROR(__xludf.DUMMYFUNCTION("""COMPUTED_VALUE"""),"")</f>
        <v/>
      </c>
    </row>
    <row r="3345">
      <c r="D3345" s="136" t="str">
        <f t="shared" si="3"/>
        <v/>
      </c>
      <c r="E3345" s="152"/>
      <c r="F3345" s="106" t="s">
        <v>133</v>
      </c>
      <c r="G3345" s="152"/>
      <c r="H3345" s="106" t="s">
        <v>133</v>
      </c>
      <c r="J3345" s="139" t="s">
        <v>133</v>
      </c>
      <c r="K3345" s="136" t="s">
        <v>133</v>
      </c>
      <c r="L3345" s="153"/>
      <c r="M3345" s="136" t="str">
        <f t="shared" si="1"/>
        <v/>
      </c>
      <c r="O3345" s="141" t="s">
        <v>133</v>
      </c>
      <c r="P3345" s="136" t="str">
        <f>IFERROR(__xludf.DUMMYFUNCTION("""COMPUTED_VALUE"""),"")</f>
        <v/>
      </c>
      <c r="Q3345" s="136" t="str">
        <f>IFERROR(__xludf.DUMMYFUNCTION("""COMPUTED_VALUE"""),"")</f>
        <v/>
      </c>
      <c r="R3345" s="106" t="str">
        <f>IFERROR(__xludf.DUMMYFUNCTION("""COMPUTED_VALUE"""),"")</f>
        <v/>
      </c>
      <c r="S3345" s="106" t="str">
        <f>IFERROR(__xludf.DUMMYFUNCTION("""COMPUTED_VALUE"""),"")</f>
        <v/>
      </c>
      <c r="T3345" s="139" t="str">
        <f>IFERROR(__xludf.DUMMYFUNCTION("""COMPUTED_VALUE"""),"")</f>
        <v/>
      </c>
      <c r="U3345" s="139" t="str">
        <f>IFERROR(__xludf.DUMMYFUNCTION("""COMPUTED_VALUE"""),"")</f>
        <v/>
      </c>
      <c r="V3345" s="136" t="str">
        <f>IFERROR(__xludf.DUMMYFUNCTION("""COMPUTED_VALUE"""),"")</f>
        <v/>
      </c>
      <c r="W3345" s="106" t="str">
        <f>IFERROR(__xludf.DUMMYFUNCTION("""COMPUTED_VALUE"""),"")</f>
        <v/>
      </c>
      <c r="X3345" s="143" t="str">
        <f t="shared" si="2"/>
        <v/>
      </c>
      <c r="Y3345" s="139" t="str">
        <f>IFERROR(__xludf.DUMMYFUNCTION("""COMPUTED_VALUE"""),"")</f>
        <v/>
      </c>
      <c r="Z3345" s="141" t="str">
        <f>IFERROR(__xludf.DUMMYFUNCTION("""COMPUTED_VALUE"""),"")</f>
        <v/>
      </c>
    </row>
    <row r="3346">
      <c r="D3346" s="136" t="str">
        <f t="shared" si="3"/>
        <v/>
      </c>
      <c r="E3346" s="152"/>
      <c r="F3346" s="106" t="s">
        <v>133</v>
      </c>
      <c r="G3346" s="152"/>
      <c r="H3346" s="106" t="s">
        <v>133</v>
      </c>
      <c r="J3346" s="139" t="s">
        <v>133</v>
      </c>
      <c r="K3346" s="136" t="s">
        <v>133</v>
      </c>
      <c r="L3346" s="153"/>
      <c r="M3346" s="136" t="str">
        <f t="shared" si="1"/>
        <v/>
      </c>
      <c r="O3346" s="141" t="s">
        <v>133</v>
      </c>
      <c r="P3346" s="136" t="str">
        <f>IFERROR(__xludf.DUMMYFUNCTION("""COMPUTED_VALUE"""),"")</f>
        <v/>
      </c>
      <c r="Q3346" s="136" t="str">
        <f>IFERROR(__xludf.DUMMYFUNCTION("""COMPUTED_VALUE"""),"")</f>
        <v/>
      </c>
      <c r="R3346" s="106" t="str">
        <f>IFERROR(__xludf.DUMMYFUNCTION("""COMPUTED_VALUE"""),"")</f>
        <v/>
      </c>
      <c r="S3346" s="106" t="str">
        <f>IFERROR(__xludf.DUMMYFUNCTION("""COMPUTED_VALUE"""),"")</f>
        <v/>
      </c>
      <c r="T3346" s="139" t="str">
        <f>IFERROR(__xludf.DUMMYFUNCTION("""COMPUTED_VALUE"""),"")</f>
        <v/>
      </c>
      <c r="U3346" s="139" t="str">
        <f>IFERROR(__xludf.DUMMYFUNCTION("""COMPUTED_VALUE"""),"")</f>
        <v/>
      </c>
      <c r="V3346" s="136" t="str">
        <f>IFERROR(__xludf.DUMMYFUNCTION("""COMPUTED_VALUE"""),"")</f>
        <v/>
      </c>
      <c r="W3346" s="106" t="str">
        <f>IFERROR(__xludf.DUMMYFUNCTION("""COMPUTED_VALUE"""),"")</f>
        <v/>
      </c>
      <c r="X3346" s="143" t="str">
        <f t="shared" si="2"/>
        <v/>
      </c>
      <c r="Y3346" s="139" t="str">
        <f>IFERROR(__xludf.DUMMYFUNCTION("""COMPUTED_VALUE"""),"")</f>
        <v/>
      </c>
      <c r="Z3346" s="141" t="str">
        <f>IFERROR(__xludf.DUMMYFUNCTION("""COMPUTED_VALUE"""),"")</f>
        <v/>
      </c>
    </row>
    <row r="3347">
      <c r="D3347" s="136" t="str">
        <f t="shared" si="3"/>
        <v/>
      </c>
      <c r="E3347" s="152"/>
      <c r="F3347" s="106" t="s">
        <v>133</v>
      </c>
      <c r="G3347" s="152"/>
      <c r="H3347" s="106" t="s">
        <v>133</v>
      </c>
      <c r="J3347" s="139" t="s">
        <v>133</v>
      </c>
      <c r="K3347" s="136" t="s">
        <v>133</v>
      </c>
      <c r="L3347" s="153"/>
      <c r="M3347" s="136" t="str">
        <f t="shared" si="1"/>
        <v/>
      </c>
      <c r="O3347" s="141" t="s">
        <v>133</v>
      </c>
      <c r="P3347" s="136" t="str">
        <f>IFERROR(__xludf.DUMMYFUNCTION("""COMPUTED_VALUE"""),"")</f>
        <v/>
      </c>
      <c r="Q3347" s="136" t="str">
        <f>IFERROR(__xludf.DUMMYFUNCTION("""COMPUTED_VALUE"""),"")</f>
        <v/>
      </c>
      <c r="R3347" s="106" t="str">
        <f>IFERROR(__xludf.DUMMYFUNCTION("""COMPUTED_VALUE"""),"")</f>
        <v/>
      </c>
      <c r="S3347" s="106" t="str">
        <f>IFERROR(__xludf.DUMMYFUNCTION("""COMPUTED_VALUE"""),"")</f>
        <v/>
      </c>
      <c r="T3347" s="139" t="str">
        <f>IFERROR(__xludf.DUMMYFUNCTION("""COMPUTED_VALUE"""),"")</f>
        <v/>
      </c>
      <c r="U3347" s="139" t="str">
        <f>IFERROR(__xludf.DUMMYFUNCTION("""COMPUTED_VALUE"""),"")</f>
        <v/>
      </c>
      <c r="V3347" s="136" t="str">
        <f>IFERROR(__xludf.DUMMYFUNCTION("""COMPUTED_VALUE"""),"")</f>
        <v/>
      </c>
      <c r="W3347" s="106" t="str">
        <f>IFERROR(__xludf.DUMMYFUNCTION("""COMPUTED_VALUE"""),"")</f>
        <v/>
      </c>
      <c r="X3347" s="143" t="str">
        <f t="shared" si="2"/>
        <v/>
      </c>
      <c r="Y3347" s="139" t="str">
        <f>IFERROR(__xludf.DUMMYFUNCTION("""COMPUTED_VALUE"""),"")</f>
        <v/>
      </c>
      <c r="Z3347" s="141" t="str">
        <f>IFERROR(__xludf.DUMMYFUNCTION("""COMPUTED_VALUE"""),"")</f>
        <v/>
      </c>
    </row>
    <row r="3348">
      <c r="D3348" s="136" t="str">
        <f t="shared" si="3"/>
        <v/>
      </c>
      <c r="E3348" s="152"/>
      <c r="F3348" s="106" t="s">
        <v>133</v>
      </c>
      <c r="G3348" s="152"/>
      <c r="H3348" s="106" t="s">
        <v>133</v>
      </c>
      <c r="J3348" s="139" t="s">
        <v>133</v>
      </c>
      <c r="K3348" s="136" t="s">
        <v>133</v>
      </c>
      <c r="L3348" s="153"/>
      <c r="M3348" s="136" t="str">
        <f t="shared" si="1"/>
        <v/>
      </c>
      <c r="O3348" s="141" t="s">
        <v>133</v>
      </c>
      <c r="P3348" s="136" t="str">
        <f>IFERROR(__xludf.DUMMYFUNCTION("""COMPUTED_VALUE"""),"")</f>
        <v/>
      </c>
      <c r="Q3348" s="136" t="str">
        <f>IFERROR(__xludf.DUMMYFUNCTION("""COMPUTED_VALUE"""),"")</f>
        <v/>
      </c>
      <c r="R3348" s="106" t="str">
        <f>IFERROR(__xludf.DUMMYFUNCTION("""COMPUTED_VALUE"""),"")</f>
        <v/>
      </c>
      <c r="S3348" s="106" t="str">
        <f>IFERROR(__xludf.DUMMYFUNCTION("""COMPUTED_VALUE"""),"")</f>
        <v/>
      </c>
      <c r="T3348" s="139" t="str">
        <f>IFERROR(__xludf.DUMMYFUNCTION("""COMPUTED_VALUE"""),"")</f>
        <v/>
      </c>
      <c r="U3348" s="139" t="str">
        <f>IFERROR(__xludf.DUMMYFUNCTION("""COMPUTED_VALUE"""),"")</f>
        <v/>
      </c>
      <c r="V3348" s="136" t="str">
        <f>IFERROR(__xludf.DUMMYFUNCTION("""COMPUTED_VALUE"""),"")</f>
        <v/>
      </c>
      <c r="W3348" s="106" t="str">
        <f>IFERROR(__xludf.DUMMYFUNCTION("""COMPUTED_VALUE"""),"")</f>
        <v/>
      </c>
      <c r="X3348" s="143" t="str">
        <f t="shared" si="2"/>
        <v/>
      </c>
      <c r="Y3348" s="139" t="str">
        <f>IFERROR(__xludf.DUMMYFUNCTION("""COMPUTED_VALUE"""),"")</f>
        <v/>
      </c>
      <c r="Z3348" s="141" t="str">
        <f>IFERROR(__xludf.DUMMYFUNCTION("""COMPUTED_VALUE"""),"")</f>
        <v/>
      </c>
    </row>
    <row r="3349">
      <c r="D3349" s="136" t="str">
        <f t="shared" si="3"/>
        <v/>
      </c>
      <c r="E3349" s="152"/>
      <c r="F3349" s="106" t="s">
        <v>133</v>
      </c>
      <c r="G3349" s="152"/>
      <c r="H3349" s="106" t="s">
        <v>133</v>
      </c>
      <c r="J3349" s="139" t="s">
        <v>133</v>
      </c>
      <c r="K3349" s="136" t="s">
        <v>133</v>
      </c>
      <c r="L3349" s="153"/>
      <c r="M3349" s="136" t="str">
        <f t="shared" si="1"/>
        <v/>
      </c>
      <c r="O3349" s="141" t="s">
        <v>133</v>
      </c>
      <c r="P3349" s="136" t="str">
        <f>IFERROR(__xludf.DUMMYFUNCTION("""COMPUTED_VALUE"""),"")</f>
        <v/>
      </c>
      <c r="Q3349" s="136" t="str">
        <f>IFERROR(__xludf.DUMMYFUNCTION("""COMPUTED_VALUE"""),"")</f>
        <v/>
      </c>
      <c r="R3349" s="106" t="str">
        <f>IFERROR(__xludf.DUMMYFUNCTION("""COMPUTED_VALUE"""),"")</f>
        <v/>
      </c>
      <c r="S3349" s="106" t="str">
        <f>IFERROR(__xludf.DUMMYFUNCTION("""COMPUTED_VALUE"""),"")</f>
        <v/>
      </c>
      <c r="T3349" s="139" t="str">
        <f>IFERROR(__xludf.DUMMYFUNCTION("""COMPUTED_VALUE"""),"")</f>
        <v/>
      </c>
      <c r="U3349" s="139" t="str">
        <f>IFERROR(__xludf.DUMMYFUNCTION("""COMPUTED_VALUE"""),"")</f>
        <v/>
      </c>
      <c r="V3349" s="136" t="str">
        <f>IFERROR(__xludf.DUMMYFUNCTION("""COMPUTED_VALUE"""),"")</f>
        <v/>
      </c>
      <c r="W3349" s="106" t="str">
        <f>IFERROR(__xludf.DUMMYFUNCTION("""COMPUTED_VALUE"""),"")</f>
        <v/>
      </c>
      <c r="X3349" s="143" t="str">
        <f t="shared" si="2"/>
        <v/>
      </c>
      <c r="Y3349" s="139" t="str">
        <f>IFERROR(__xludf.DUMMYFUNCTION("""COMPUTED_VALUE"""),"")</f>
        <v/>
      </c>
      <c r="Z3349" s="141" t="str">
        <f>IFERROR(__xludf.DUMMYFUNCTION("""COMPUTED_VALUE"""),"")</f>
        <v/>
      </c>
    </row>
    <row r="3350">
      <c r="D3350" s="136" t="str">
        <f t="shared" si="3"/>
        <v/>
      </c>
      <c r="E3350" s="152"/>
      <c r="F3350" s="106" t="s">
        <v>133</v>
      </c>
      <c r="G3350" s="152"/>
      <c r="H3350" s="106" t="s">
        <v>133</v>
      </c>
      <c r="J3350" s="139" t="s">
        <v>133</v>
      </c>
      <c r="K3350" s="136" t="s">
        <v>133</v>
      </c>
      <c r="L3350" s="153"/>
      <c r="M3350" s="136" t="str">
        <f t="shared" si="1"/>
        <v/>
      </c>
      <c r="O3350" s="141" t="s">
        <v>133</v>
      </c>
      <c r="P3350" s="136" t="str">
        <f>IFERROR(__xludf.DUMMYFUNCTION("""COMPUTED_VALUE"""),"")</f>
        <v/>
      </c>
      <c r="Q3350" s="136" t="str">
        <f>IFERROR(__xludf.DUMMYFUNCTION("""COMPUTED_VALUE"""),"")</f>
        <v/>
      </c>
      <c r="R3350" s="106" t="str">
        <f>IFERROR(__xludf.DUMMYFUNCTION("""COMPUTED_VALUE"""),"")</f>
        <v/>
      </c>
      <c r="S3350" s="106" t="str">
        <f>IFERROR(__xludf.DUMMYFUNCTION("""COMPUTED_VALUE"""),"")</f>
        <v/>
      </c>
      <c r="T3350" s="139" t="str">
        <f>IFERROR(__xludf.DUMMYFUNCTION("""COMPUTED_VALUE"""),"")</f>
        <v/>
      </c>
      <c r="U3350" s="139" t="str">
        <f>IFERROR(__xludf.DUMMYFUNCTION("""COMPUTED_VALUE"""),"")</f>
        <v/>
      </c>
      <c r="V3350" s="136" t="str">
        <f>IFERROR(__xludf.DUMMYFUNCTION("""COMPUTED_VALUE"""),"")</f>
        <v/>
      </c>
      <c r="W3350" s="106" t="str">
        <f>IFERROR(__xludf.DUMMYFUNCTION("""COMPUTED_VALUE"""),"")</f>
        <v/>
      </c>
      <c r="X3350" s="143" t="str">
        <f t="shared" si="2"/>
        <v/>
      </c>
      <c r="Y3350" s="139" t="str">
        <f>IFERROR(__xludf.DUMMYFUNCTION("""COMPUTED_VALUE"""),"")</f>
        <v/>
      </c>
      <c r="Z3350" s="141" t="str">
        <f>IFERROR(__xludf.DUMMYFUNCTION("""COMPUTED_VALUE"""),"")</f>
        <v/>
      </c>
    </row>
    <row r="3351">
      <c r="D3351" s="136" t="str">
        <f t="shared" si="3"/>
        <v/>
      </c>
      <c r="E3351" s="152"/>
      <c r="F3351" s="106" t="s">
        <v>133</v>
      </c>
      <c r="G3351" s="152"/>
      <c r="H3351" s="106" t="s">
        <v>133</v>
      </c>
      <c r="J3351" s="139" t="s">
        <v>133</v>
      </c>
      <c r="K3351" s="136" t="s">
        <v>133</v>
      </c>
      <c r="L3351" s="153"/>
      <c r="M3351" s="136" t="str">
        <f t="shared" si="1"/>
        <v/>
      </c>
      <c r="O3351" s="141" t="s">
        <v>133</v>
      </c>
      <c r="P3351" s="136" t="str">
        <f>IFERROR(__xludf.DUMMYFUNCTION("""COMPUTED_VALUE"""),"")</f>
        <v/>
      </c>
      <c r="Q3351" s="136" t="str">
        <f>IFERROR(__xludf.DUMMYFUNCTION("""COMPUTED_VALUE"""),"")</f>
        <v/>
      </c>
      <c r="R3351" s="106" t="str">
        <f>IFERROR(__xludf.DUMMYFUNCTION("""COMPUTED_VALUE"""),"")</f>
        <v/>
      </c>
      <c r="S3351" s="106" t="str">
        <f>IFERROR(__xludf.DUMMYFUNCTION("""COMPUTED_VALUE"""),"")</f>
        <v/>
      </c>
      <c r="T3351" s="139" t="str">
        <f>IFERROR(__xludf.DUMMYFUNCTION("""COMPUTED_VALUE"""),"")</f>
        <v/>
      </c>
      <c r="U3351" s="139" t="str">
        <f>IFERROR(__xludf.DUMMYFUNCTION("""COMPUTED_VALUE"""),"")</f>
        <v/>
      </c>
      <c r="V3351" s="136" t="str">
        <f>IFERROR(__xludf.DUMMYFUNCTION("""COMPUTED_VALUE"""),"")</f>
        <v/>
      </c>
      <c r="W3351" s="106" t="str">
        <f>IFERROR(__xludf.DUMMYFUNCTION("""COMPUTED_VALUE"""),"")</f>
        <v/>
      </c>
      <c r="X3351" s="143" t="str">
        <f t="shared" si="2"/>
        <v/>
      </c>
      <c r="Y3351" s="139" t="str">
        <f>IFERROR(__xludf.DUMMYFUNCTION("""COMPUTED_VALUE"""),"")</f>
        <v/>
      </c>
      <c r="Z3351" s="141" t="str">
        <f>IFERROR(__xludf.DUMMYFUNCTION("""COMPUTED_VALUE"""),"")</f>
        <v/>
      </c>
    </row>
    <row r="3352">
      <c r="D3352" s="136" t="str">
        <f t="shared" si="3"/>
        <v/>
      </c>
      <c r="E3352" s="152"/>
      <c r="F3352" s="106" t="s">
        <v>133</v>
      </c>
      <c r="G3352" s="152"/>
      <c r="H3352" s="106" t="s">
        <v>133</v>
      </c>
      <c r="J3352" s="139" t="s">
        <v>133</v>
      </c>
      <c r="K3352" s="136" t="s">
        <v>133</v>
      </c>
      <c r="L3352" s="153"/>
      <c r="M3352" s="136" t="str">
        <f t="shared" si="1"/>
        <v/>
      </c>
      <c r="O3352" s="141" t="s">
        <v>133</v>
      </c>
      <c r="P3352" s="136" t="str">
        <f>IFERROR(__xludf.DUMMYFUNCTION("""COMPUTED_VALUE"""),"")</f>
        <v/>
      </c>
      <c r="Q3352" s="136" t="str">
        <f>IFERROR(__xludf.DUMMYFUNCTION("""COMPUTED_VALUE"""),"")</f>
        <v/>
      </c>
      <c r="R3352" s="106" t="str">
        <f>IFERROR(__xludf.DUMMYFUNCTION("""COMPUTED_VALUE"""),"")</f>
        <v/>
      </c>
      <c r="S3352" s="106" t="str">
        <f>IFERROR(__xludf.DUMMYFUNCTION("""COMPUTED_VALUE"""),"")</f>
        <v/>
      </c>
      <c r="T3352" s="139" t="str">
        <f>IFERROR(__xludf.DUMMYFUNCTION("""COMPUTED_VALUE"""),"")</f>
        <v/>
      </c>
      <c r="U3352" s="139" t="str">
        <f>IFERROR(__xludf.DUMMYFUNCTION("""COMPUTED_VALUE"""),"")</f>
        <v/>
      </c>
      <c r="V3352" s="136" t="str">
        <f>IFERROR(__xludf.DUMMYFUNCTION("""COMPUTED_VALUE"""),"")</f>
        <v/>
      </c>
      <c r="W3352" s="106" t="str">
        <f>IFERROR(__xludf.DUMMYFUNCTION("""COMPUTED_VALUE"""),"")</f>
        <v/>
      </c>
      <c r="X3352" s="143" t="str">
        <f t="shared" si="2"/>
        <v/>
      </c>
      <c r="Y3352" s="139" t="str">
        <f>IFERROR(__xludf.DUMMYFUNCTION("""COMPUTED_VALUE"""),"")</f>
        <v/>
      </c>
      <c r="Z3352" s="141" t="str">
        <f>IFERROR(__xludf.DUMMYFUNCTION("""COMPUTED_VALUE"""),"")</f>
        <v/>
      </c>
    </row>
    <row r="3353">
      <c r="D3353" s="136" t="str">
        <f t="shared" si="3"/>
        <v/>
      </c>
      <c r="E3353" s="152"/>
      <c r="F3353" s="106" t="s">
        <v>133</v>
      </c>
      <c r="G3353" s="152"/>
      <c r="H3353" s="106" t="s">
        <v>133</v>
      </c>
      <c r="J3353" s="139" t="s">
        <v>133</v>
      </c>
      <c r="K3353" s="136" t="s">
        <v>133</v>
      </c>
      <c r="L3353" s="153"/>
      <c r="M3353" s="136" t="str">
        <f t="shared" si="1"/>
        <v/>
      </c>
      <c r="O3353" s="141" t="s">
        <v>133</v>
      </c>
      <c r="P3353" s="136" t="str">
        <f>IFERROR(__xludf.DUMMYFUNCTION("""COMPUTED_VALUE"""),"")</f>
        <v/>
      </c>
      <c r="Q3353" s="136" t="str">
        <f>IFERROR(__xludf.DUMMYFUNCTION("""COMPUTED_VALUE"""),"")</f>
        <v/>
      </c>
      <c r="R3353" s="106" t="str">
        <f>IFERROR(__xludf.DUMMYFUNCTION("""COMPUTED_VALUE"""),"")</f>
        <v/>
      </c>
      <c r="S3353" s="106" t="str">
        <f>IFERROR(__xludf.DUMMYFUNCTION("""COMPUTED_VALUE"""),"")</f>
        <v/>
      </c>
      <c r="T3353" s="139" t="str">
        <f>IFERROR(__xludf.DUMMYFUNCTION("""COMPUTED_VALUE"""),"")</f>
        <v/>
      </c>
      <c r="U3353" s="139" t="str">
        <f>IFERROR(__xludf.DUMMYFUNCTION("""COMPUTED_VALUE"""),"")</f>
        <v/>
      </c>
      <c r="V3353" s="136" t="str">
        <f>IFERROR(__xludf.DUMMYFUNCTION("""COMPUTED_VALUE"""),"")</f>
        <v/>
      </c>
      <c r="W3353" s="106" t="str">
        <f>IFERROR(__xludf.DUMMYFUNCTION("""COMPUTED_VALUE"""),"")</f>
        <v/>
      </c>
      <c r="X3353" s="143" t="str">
        <f t="shared" si="2"/>
        <v/>
      </c>
      <c r="Y3353" s="139" t="str">
        <f>IFERROR(__xludf.DUMMYFUNCTION("""COMPUTED_VALUE"""),"")</f>
        <v/>
      </c>
      <c r="Z3353" s="141" t="str">
        <f>IFERROR(__xludf.DUMMYFUNCTION("""COMPUTED_VALUE"""),"")</f>
        <v/>
      </c>
    </row>
    <row r="3354">
      <c r="D3354" s="136" t="str">
        <f t="shared" si="3"/>
        <v/>
      </c>
      <c r="E3354" s="152"/>
      <c r="F3354" s="106" t="s">
        <v>133</v>
      </c>
      <c r="G3354" s="152"/>
      <c r="H3354" s="106" t="s">
        <v>133</v>
      </c>
      <c r="J3354" s="139" t="s">
        <v>133</v>
      </c>
      <c r="K3354" s="136" t="s">
        <v>133</v>
      </c>
      <c r="L3354" s="153"/>
      <c r="M3354" s="136" t="str">
        <f t="shared" si="1"/>
        <v/>
      </c>
      <c r="O3354" s="141" t="s">
        <v>133</v>
      </c>
      <c r="P3354" s="136" t="str">
        <f>IFERROR(__xludf.DUMMYFUNCTION("""COMPUTED_VALUE"""),"")</f>
        <v/>
      </c>
      <c r="Q3354" s="136" t="str">
        <f>IFERROR(__xludf.DUMMYFUNCTION("""COMPUTED_VALUE"""),"")</f>
        <v/>
      </c>
      <c r="R3354" s="106" t="str">
        <f>IFERROR(__xludf.DUMMYFUNCTION("""COMPUTED_VALUE"""),"")</f>
        <v/>
      </c>
      <c r="S3354" s="106" t="str">
        <f>IFERROR(__xludf.DUMMYFUNCTION("""COMPUTED_VALUE"""),"")</f>
        <v/>
      </c>
      <c r="T3354" s="139" t="str">
        <f>IFERROR(__xludf.DUMMYFUNCTION("""COMPUTED_VALUE"""),"")</f>
        <v/>
      </c>
      <c r="U3354" s="139" t="str">
        <f>IFERROR(__xludf.DUMMYFUNCTION("""COMPUTED_VALUE"""),"")</f>
        <v/>
      </c>
      <c r="V3354" s="136" t="str">
        <f>IFERROR(__xludf.DUMMYFUNCTION("""COMPUTED_VALUE"""),"")</f>
        <v/>
      </c>
      <c r="W3354" s="106" t="str">
        <f>IFERROR(__xludf.DUMMYFUNCTION("""COMPUTED_VALUE"""),"")</f>
        <v/>
      </c>
      <c r="X3354" s="143" t="str">
        <f t="shared" si="2"/>
        <v/>
      </c>
      <c r="Y3354" s="139" t="str">
        <f>IFERROR(__xludf.DUMMYFUNCTION("""COMPUTED_VALUE"""),"")</f>
        <v/>
      </c>
      <c r="Z3354" s="141" t="str">
        <f>IFERROR(__xludf.DUMMYFUNCTION("""COMPUTED_VALUE"""),"")</f>
        <v/>
      </c>
    </row>
    <row r="3355">
      <c r="D3355" s="136" t="str">
        <f t="shared" si="3"/>
        <v/>
      </c>
      <c r="E3355" s="152"/>
      <c r="F3355" s="106" t="s">
        <v>133</v>
      </c>
      <c r="G3355" s="152"/>
      <c r="H3355" s="106" t="s">
        <v>133</v>
      </c>
      <c r="J3355" s="139" t="s">
        <v>133</v>
      </c>
      <c r="K3355" s="136" t="s">
        <v>133</v>
      </c>
      <c r="L3355" s="153"/>
      <c r="M3355" s="136" t="str">
        <f t="shared" si="1"/>
        <v/>
      </c>
      <c r="O3355" s="141" t="s">
        <v>133</v>
      </c>
      <c r="P3355" s="136" t="str">
        <f>IFERROR(__xludf.DUMMYFUNCTION("""COMPUTED_VALUE"""),"")</f>
        <v/>
      </c>
      <c r="Q3355" s="136" t="str">
        <f>IFERROR(__xludf.DUMMYFUNCTION("""COMPUTED_VALUE"""),"")</f>
        <v/>
      </c>
      <c r="R3355" s="106" t="str">
        <f>IFERROR(__xludf.DUMMYFUNCTION("""COMPUTED_VALUE"""),"")</f>
        <v/>
      </c>
      <c r="S3355" s="106" t="str">
        <f>IFERROR(__xludf.DUMMYFUNCTION("""COMPUTED_VALUE"""),"")</f>
        <v/>
      </c>
      <c r="T3355" s="139" t="str">
        <f>IFERROR(__xludf.DUMMYFUNCTION("""COMPUTED_VALUE"""),"")</f>
        <v/>
      </c>
      <c r="U3355" s="139" t="str">
        <f>IFERROR(__xludf.DUMMYFUNCTION("""COMPUTED_VALUE"""),"")</f>
        <v/>
      </c>
      <c r="V3355" s="136" t="str">
        <f>IFERROR(__xludf.DUMMYFUNCTION("""COMPUTED_VALUE"""),"")</f>
        <v/>
      </c>
      <c r="W3355" s="106" t="str">
        <f>IFERROR(__xludf.DUMMYFUNCTION("""COMPUTED_VALUE"""),"")</f>
        <v/>
      </c>
      <c r="X3355" s="143" t="str">
        <f t="shared" si="2"/>
        <v/>
      </c>
      <c r="Y3355" s="139" t="str">
        <f>IFERROR(__xludf.DUMMYFUNCTION("""COMPUTED_VALUE"""),"")</f>
        <v/>
      </c>
      <c r="Z3355" s="141" t="str">
        <f>IFERROR(__xludf.DUMMYFUNCTION("""COMPUTED_VALUE"""),"")</f>
        <v/>
      </c>
    </row>
    <row r="3356">
      <c r="D3356" s="136" t="str">
        <f t="shared" si="3"/>
        <v/>
      </c>
      <c r="E3356" s="152"/>
      <c r="F3356" s="106" t="s">
        <v>133</v>
      </c>
      <c r="G3356" s="152"/>
      <c r="H3356" s="106" t="s">
        <v>133</v>
      </c>
      <c r="J3356" s="139" t="s">
        <v>133</v>
      </c>
      <c r="K3356" s="136" t="s">
        <v>133</v>
      </c>
      <c r="L3356" s="153"/>
      <c r="M3356" s="136" t="str">
        <f t="shared" si="1"/>
        <v/>
      </c>
      <c r="O3356" s="141" t="s">
        <v>133</v>
      </c>
      <c r="P3356" s="136" t="str">
        <f>IFERROR(__xludf.DUMMYFUNCTION("""COMPUTED_VALUE"""),"")</f>
        <v/>
      </c>
      <c r="Q3356" s="136" t="str">
        <f>IFERROR(__xludf.DUMMYFUNCTION("""COMPUTED_VALUE"""),"")</f>
        <v/>
      </c>
      <c r="R3356" s="106" t="str">
        <f>IFERROR(__xludf.DUMMYFUNCTION("""COMPUTED_VALUE"""),"")</f>
        <v/>
      </c>
      <c r="S3356" s="106" t="str">
        <f>IFERROR(__xludf.DUMMYFUNCTION("""COMPUTED_VALUE"""),"")</f>
        <v/>
      </c>
      <c r="T3356" s="139" t="str">
        <f>IFERROR(__xludf.DUMMYFUNCTION("""COMPUTED_VALUE"""),"")</f>
        <v/>
      </c>
      <c r="U3356" s="139" t="str">
        <f>IFERROR(__xludf.DUMMYFUNCTION("""COMPUTED_VALUE"""),"")</f>
        <v/>
      </c>
      <c r="V3356" s="136" t="str">
        <f>IFERROR(__xludf.DUMMYFUNCTION("""COMPUTED_VALUE"""),"")</f>
        <v/>
      </c>
      <c r="W3356" s="106" t="str">
        <f>IFERROR(__xludf.DUMMYFUNCTION("""COMPUTED_VALUE"""),"")</f>
        <v/>
      </c>
      <c r="X3356" s="143" t="str">
        <f t="shared" si="2"/>
        <v/>
      </c>
      <c r="Y3356" s="139" t="str">
        <f>IFERROR(__xludf.DUMMYFUNCTION("""COMPUTED_VALUE"""),"")</f>
        <v/>
      </c>
      <c r="Z3356" s="141" t="str">
        <f>IFERROR(__xludf.DUMMYFUNCTION("""COMPUTED_VALUE"""),"")</f>
        <v/>
      </c>
    </row>
    <row r="3357">
      <c r="D3357" s="136" t="str">
        <f t="shared" si="3"/>
        <v/>
      </c>
      <c r="E3357" s="152"/>
      <c r="F3357" s="106" t="s">
        <v>133</v>
      </c>
      <c r="G3357" s="152"/>
      <c r="H3357" s="106" t="s">
        <v>133</v>
      </c>
      <c r="J3357" s="139" t="s">
        <v>133</v>
      </c>
      <c r="K3357" s="136" t="s">
        <v>133</v>
      </c>
      <c r="L3357" s="153"/>
      <c r="M3357" s="136" t="str">
        <f t="shared" si="1"/>
        <v/>
      </c>
      <c r="O3357" s="141" t="s">
        <v>133</v>
      </c>
      <c r="P3357" s="136" t="str">
        <f>IFERROR(__xludf.DUMMYFUNCTION("""COMPUTED_VALUE"""),"")</f>
        <v/>
      </c>
      <c r="Q3357" s="136" t="str">
        <f>IFERROR(__xludf.DUMMYFUNCTION("""COMPUTED_VALUE"""),"")</f>
        <v/>
      </c>
      <c r="R3357" s="106" t="str">
        <f>IFERROR(__xludf.DUMMYFUNCTION("""COMPUTED_VALUE"""),"")</f>
        <v/>
      </c>
      <c r="S3357" s="106" t="str">
        <f>IFERROR(__xludf.DUMMYFUNCTION("""COMPUTED_VALUE"""),"")</f>
        <v/>
      </c>
      <c r="T3357" s="139" t="str">
        <f>IFERROR(__xludf.DUMMYFUNCTION("""COMPUTED_VALUE"""),"")</f>
        <v/>
      </c>
      <c r="U3357" s="139" t="str">
        <f>IFERROR(__xludf.DUMMYFUNCTION("""COMPUTED_VALUE"""),"")</f>
        <v/>
      </c>
      <c r="V3357" s="136" t="str">
        <f>IFERROR(__xludf.DUMMYFUNCTION("""COMPUTED_VALUE"""),"")</f>
        <v/>
      </c>
      <c r="W3357" s="106" t="str">
        <f>IFERROR(__xludf.DUMMYFUNCTION("""COMPUTED_VALUE"""),"")</f>
        <v/>
      </c>
      <c r="X3357" s="143" t="str">
        <f t="shared" si="2"/>
        <v/>
      </c>
      <c r="Y3357" s="139" t="str">
        <f>IFERROR(__xludf.DUMMYFUNCTION("""COMPUTED_VALUE"""),"")</f>
        <v/>
      </c>
      <c r="Z3357" s="141" t="str">
        <f>IFERROR(__xludf.DUMMYFUNCTION("""COMPUTED_VALUE"""),"")</f>
        <v/>
      </c>
    </row>
    <row r="3358">
      <c r="D3358" s="136" t="str">
        <f t="shared" si="3"/>
        <v/>
      </c>
      <c r="E3358" s="152"/>
      <c r="F3358" s="106" t="s">
        <v>133</v>
      </c>
      <c r="G3358" s="152"/>
      <c r="H3358" s="106" t="s">
        <v>133</v>
      </c>
      <c r="J3358" s="139" t="s">
        <v>133</v>
      </c>
      <c r="K3358" s="136" t="s">
        <v>133</v>
      </c>
      <c r="L3358" s="153"/>
      <c r="M3358" s="136" t="str">
        <f t="shared" si="1"/>
        <v/>
      </c>
      <c r="O3358" s="141" t="s">
        <v>133</v>
      </c>
      <c r="P3358" s="136" t="str">
        <f>IFERROR(__xludf.DUMMYFUNCTION("""COMPUTED_VALUE"""),"")</f>
        <v/>
      </c>
      <c r="Q3358" s="136" t="str">
        <f>IFERROR(__xludf.DUMMYFUNCTION("""COMPUTED_VALUE"""),"")</f>
        <v/>
      </c>
      <c r="R3358" s="106" t="str">
        <f>IFERROR(__xludf.DUMMYFUNCTION("""COMPUTED_VALUE"""),"")</f>
        <v/>
      </c>
      <c r="S3358" s="106" t="str">
        <f>IFERROR(__xludf.DUMMYFUNCTION("""COMPUTED_VALUE"""),"")</f>
        <v/>
      </c>
      <c r="T3358" s="139" t="str">
        <f>IFERROR(__xludf.DUMMYFUNCTION("""COMPUTED_VALUE"""),"")</f>
        <v/>
      </c>
      <c r="U3358" s="139" t="str">
        <f>IFERROR(__xludf.DUMMYFUNCTION("""COMPUTED_VALUE"""),"")</f>
        <v/>
      </c>
      <c r="V3358" s="136" t="str">
        <f>IFERROR(__xludf.DUMMYFUNCTION("""COMPUTED_VALUE"""),"")</f>
        <v/>
      </c>
      <c r="W3358" s="106" t="str">
        <f>IFERROR(__xludf.DUMMYFUNCTION("""COMPUTED_VALUE"""),"")</f>
        <v/>
      </c>
      <c r="X3358" s="143" t="str">
        <f t="shared" si="2"/>
        <v/>
      </c>
      <c r="Y3358" s="139" t="str">
        <f>IFERROR(__xludf.DUMMYFUNCTION("""COMPUTED_VALUE"""),"")</f>
        <v/>
      </c>
      <c r="Z3358" s="141" t="str">
        <f>IFERROR(__xludf.DUMMYFUNCTION("""COMPUTED_VALUE"""),"")</f>
        <v/>
      </c>
    </row>
    <row r="3359">
      <c r="D3359" s="136" t="str">
        <f t="shared" si="3"/>
        <v/>
      </c>
      <c r="E3359" s="152"/>
      <c r="F3359" s="106" t="s">
        <v>133</v>
      </c>
      <c r="G3359" s="152"/>
      <c r="H3359" s="106" t="s">
        <v>133</v>
      </c>
      <c r="J3359" s="139" t="s">
        <v>133</v>
      </c>
      <c r="K3359" s="136" t="s">
        <v>133</v>
      </c>
      <c r="L3359" s="153"/>
      <c r="M3359" s="136" t="str">
        <f t="shared" si="1"/>
        <v/>
      </c>
      <c r="O3359" s="141" t="s">
        <v>133</v>
      </c>
      <c r="P3359" s="136" t="str">
        <f>IFERROR(__xludf.DUMMYFUNCTION("""COMPUTED_VALUE"""),"")</f>
        <v/>
      </c>
      <c r="Q3359" s="136" t="str">
        <f>IFERROR(__xludf.DUMMYFUNCTION("""COMPUTED_VALUE"""),"")</f>
        <v/>
      </c>
      <c r="R3359" s="106" t="str">
        <f>IFERROR(__xludf.DUMMYFUNCTION("""COMPUTED_VALUE"""),"")</f>
        <v/>
      </c>
      <c r="S3359" s="106" t="str">
        <f>IFERROR(__xludf.DUMMYFUNCTION("""COMPUTED_VALUE"""),"")</f>
        <v/>
      </c>
      <c r="T3359" s="139" t="str">
        <f>IFERROR(__xludf.DUMMYFUNCTION("""COMPUTED_VALUE"""),"")</f>
        <v/>
      </c>
      <c r="U3359" s="139" t="str">
        <f>IFERROR(__xludf.DUMMYFUNCTION("""COMPUTED_VALUE"""),"")</f>
        <v/>
      </c>
      <c r="V3359" s="136" t="str">
        <f>IFERROR(__xludf.DUMMYFUNCTION("""COMPUTED_VALUE"""),"")</f>
        <v/>
      </c>
      <c r="W3359" s="106" t="str">
        <f>IFERROR(__xludf.DUMMYFUNCTION("""COMPUTED_VALUE"""),"")</f>
        <v/>
      </c>
      <c r="X3359" s="143" t="str">
        <f t="shared" si="2"/>
        <v/>
      </c>
      <c r="Y3359" s="139" t="str">
        <f>IFERROR(__xludf.DUMMYFUNCTION("""COMPUTED_VALUE"""),"")</f>
        <v/>
      </c>
      <c r="Z3359" s="141" t="str">
        <f>IFERROR(__xludf.DUMMYFUNCTION("""COMPUTED_VALUE"""),"")</f>
        <v/>
      </c>
    </row>
    <row r="3360">
      <c r="D3360" s="136" t="str">
        <f t="shared" si="3"/>
        <v/>
      </c>
      <c r="E3360" s="152"/>
      <c r="F3360" s="106" t="s">
        <v>133</v>
      </c>
      <c r="G3360" s="152"/>
      <c r="H3360" s="106" t="s">
        <v>133</v>
      </c>
      <c r="J3360" s="139" t="s">
        <v>133</v>
      </c>
      <c r="K3360" s="136" t="s">
        <v>133</v>
      </c>
      <c r="L3360" s="153"/>
      <c r="M3360" s="136" t="str">
        <f t="shared" si="1"/>
        <v/>
      </c>
      <c r="O3360" s="141" t="s">
        <v>133</v>
      </c>
      <c r="P3360" s="136" t="str">
        <f>IFERROR(__xludf.DUMMYFUNCTION("""COMPUTED_VALUE"""),"")</f>
        <v/>
      </c>
      <c r="Q3360" s="136" t="str">
        <f>IFERROR(__xludf.DUMMYFUNCTION("""COMPUTED_VALUE"""),"")</f>
        <v/>
      </c>
      <c r="R3360" s="106" t="str">
        <f>IFERROR(__xludf.DUMMYFUNCTION("""COMPUTED_VALUE"""),"")</f>
        <v/>
      </c>
      <c r="S3360" s="106" t="str">
        <f>IFERROR(__xludf.DUMMYFUNCTION("""COMPUTED_VALUE"""),"")</f>
        <v/>
      </c>
      <c r="T3360" s="139" t="str">
        <f>IFERROR(__xludf.DUMMYFUNCTION("""COMPUTED_VALUE"""),"")</f>
        <v/>
      </c>
      <c r="U3360" s="139" t="str">
        <f>IFERROR(__xludf.DUMMYFUNCTION("""COMPUTED_VALUE"""),"")</f>
        <v/>
      </c>
      <c r="V3360" s="136" t="str">
        <f>IFERROR(__xludf.DUMMYFUNCTION("""COMPUTED_VALUE"""),"")</f>
        <v/>
      </c>
      <c r="W3360" s="106" t="str">
        <f>IFERROR(__xludf.DUMMYFUNCTION("""COMPUTED_VALUE"""),"")</f>
        <v/>
      </c>
      <c r="X3360" s="143" t="str">
        <f t="shared" si="2"/>
        <v/>
      </c>
      <c r="Y3360" s="139" t="str">
        <f>IFERROR(__xludf.DUMMYFUNCTION("""COMPUTED_VALUE"""),"")</f>
        <v/>
      </c>
      <c r="Z3360" s="141" t="str">
        <f>IFERROR(__xludf.DUMMYFUNCTION("""COMPUTED_VALUE"""),"")</f>
        <v/>
      </c>
    </row>
    <row r="3361">
      <c r="D3361" s="136" t="str">
        <f t="shared" si="3"/>
        <v/>
      </c>
      <c r="E3361" s="152"/>
      <c r="F3361" s="106" t="s">
        <v>133</v>
      </c>
      <c r="G3361" s="152"/>
      <c r="H3361" s="106" t="s">
        <v>133</v>
      </c>
      <c r="J3361" s="139" t="s">
        <v>133</v>
      </c>
      <c r="K3361" s="136" t="s">
        <v>133</v>
      </c>
      <c r="L3361" s="153"/>
      <c r="M3361" s="136" t="str">
        <f t="shared" si="1"/>
        <v/>
      </c>
      <c r="O3361" s="141" t="s">
        <v>133</v>
      </c>
      <c r="P3361" s="136" t="str">
        <f>IFERROR(__xludf.DUMMYFUNCTION("""COMPUTED_VALUE"""),"")</f>
        <v/>
      </c>
      <c r="Q3361" s="136" t="str">
        <f>IFERROR(__xludf.DUMMYFUNCTION("""COMPUTED_VALUE"""),"")</f>
        <v/>
      </c>
      <c r="R3361" s="106" t="str">
        <f>IFERROR(__xludf.DUMMYFUNCTION("""COMPUTED_VALUE"""),"")</f>
        <v/>
      </c>
      <c r="S3361" s="106" t="str">
        <f>IFERROR(__xludf.DUMMYFUNCTION("""COMPUTED_VALUE"""),"")</f>
        <v/>
      </c>
      <c r="T3361" s="139" t="str">
        <f>IFERROR(__xludf.DUMMYFUNCTION("""COMPUTED_VALUE"""),"")</f>
        <v/>
      </c>
      <c r="U3361" s="139" t="str">
        <f>IFERROR(__xludf.DUMMYFUNCTION("""COMPUTED_VALUE"""),"")</f>
        <v/>
      </c>
      <c r="V3361" s="136" t="str">
        <f>IFERROR(__xludf.DUMMYFUNCTION("""COMPUTED_VALUE"""),"")</f>
        <v/>
      </c>
      <c r="W3361" s="106" t="str">
        <f>IFERROR(__xludf.DUMMYFUNCTION("""COMPUTED_VALUE"""),"")</f>
        <v/>
      </c>
      <c r="X3361" s="143" t="str">
        <f t="shared" si="2"/>
        <v/>
      </c>
      <c r="Y3361" s="139" t="str">
        <f>IFERROR(__xludf.DUMMYFUNCTION("""COMPUTED_VALUE"""),"")</f>
        <v/>
      </c>
      <c r="Z3361" s="141" t="str">
        <f>IFERROR(__xludf.DUMMYFUNCTION("""COMPUTED_VALUE"""),"")</f>
        <v/>
      </c>
    </row>
    <row r="3362">
      <c r="D3362" s="136" t="str">
        <f t="shared" si="3"/>
        <v/>
      </c>
      <c r="E3362" s="152"/>
      <c r="F3362" s="106" t="s">
        <v>133</v>
      </c>
      <c r="G3362" s="152"/>
      <c r="H3362" s="106" t="s">
        <v>133</v>
      </c>
      <c r="J3362" s="139" t="s">
        <v>133</v>
      </c>
      <c r="K3362" s="136" t="s">
        <v>133</v>
      </c>
      <c r="L3362" s="153"/>
      <c r="M3362" s="136" t="str">
        <f t="shared" si="1"/>
        <v/>
      </c>
      <c r="O3362" s="141" t="s">
        <v>133</v>
      </c>
      <c r="P3362" s="136" t="str">
        <f>IFERROR(__xludf.DUMMYFUNCTION("""COMPUTED_VALUE"""),"")</f>
        <v/>
      </c>
      <c r="Q3362" s="136" t="str">
        <f>IFERROR(__xludf.DUMMYFUNCTION("""COMPUTED_VALUE"""),"")</f>
        <v/>
      </c>
      <c r="R3362" s="106" t="str">
        <f>IFERROR(__xludf.DUMMYFUNCTION("""COMPUTED_VALUE"""),"")</f>
        <v/>
      </c>
      <c r="S3362" s="106" t="str">
        <f>IFERROR(__xludf.DUMMYFUNCTION("""COMPUTED_VALUE"""),"")</f>
        <v/>
      </c>
      <c r="T3362" s="139" t="str">
        <f>IFERROR(__xludf.DUMMYFUNCTION("""COMPUTED_VALUE"""),"")</f>
        <v/>
      </c>
      <c r="U3362" s="139" t="str">
        <f>IFERROR(__xludf.DUMMYFUNCTION("""COMPUTED_VALUE"""),"")</f>
        <v/>
      </c>
      <c r="V3362" s="136" t="str">
        <f>IFERROR(__xludf.DUMMYFUNCTION("""COMPUTED_VALUE"""),"")</f>
        <v/>
      </c>
      <c r="W3362" s="106" t="str">
        <f>IFERROR(__xludf.DUMMYFUNCTION("""COMPUTED_VALUE"""),"")</f>
        <v/>
      </c>
      <c r="X3362" s="143" t="str">
        <f t="shared" si="2"/>
        <v/>
      </c>
      <c r="Y3362" s="139" t="str">
        <f>IFERROR(__xludf.DUMMYFUNCTION("""COMPUTED_VALUE"""),"")</f>
        <v/>
      </c>
      <c r="Z3362" s="141" t="str">
        <f>IFERROR(__xludf.DUMMYFUNCTION("""COMPUTED_VALUE"""),"")</f>
        <v/>
      </c>
    </row>
    <row r="3363">
      <c r="D3363" s="136" t="str">
        <f t="shared" si="3"/>
        <v/>
      </c>
      <c r="E3363" s="152"/>
      <c r="F3363" s="106" t="s">
        <v>133</v>
      </c>
      <c r="G3363" s="152"/>
      <c r="H3363" s="106" t="s">
        <v>133</v>
      </c>
      <c r="J3363" s="139" t="s">
        <v>133</v>
      </c>
      <c r="K3363" s="136" t="s">
        <v>133</v>
      </c>
      <c r="L3363" s="153"/>
      <c r="M3363" s="136" t="str">
        <f t="shared" si="1"/>
        <v/>
      </c>
      <c r="O3363" s="141" t="s">
        <v>133</v>
      </c>
      <c r="P3363" s="136" t="str">
        <f>IFERROR(__xludf.DUMMYFUNCTION("""COMPUTED_VALUE"""),"")</f>
        <v/>
      </c>
      <c r="Q3363" s="136" t="str">
        <f>IFERROR(__xludf.DUMMYFUNCTION("""COMPUTED_VALUE"""),"")</f>
        <v/>
      </c>
      <c r="R3363" s="106" t="str">
        <f>IFERROR(__xludf.DUMMYFUNCTION("""COMPUTED_VALUE"""),"")</f>
        <v/>
      </c>
      <c r="S3363" s="106" t="str">
        <f>IFERROR(__xludf.DUMMYFUNCTION("""COMPUTED_VALUE"""),"")</f>
        <v/>
      </c>
      <c r="T3363" s="139" t="str">
        <f>IFERROR(__xludf.DUMMYFUNCTION("""COMPUTED_VALUE"""),"")</f>
        <v/>
      </c>
      <c r="U3363" s="139" t="str">
        <f>IFERROR(__xludf.DUMMYFUNCTION("""COMPUTED_VALUE"""),"")</f>
        <v/>
      </c>
      <c r="V3363" s="136" t="str">
        <f>IFERROR(__xludf.DUMMYFUNCTION("""COMPUTED_VALUE"""),"")</f>
        <v/>
      </c>
      <c r="W3363" s="106" t="str">
        <f>IFERROR(__xludf.DUMMYFUNCTION("""COMPUTED_VALUE"""),"")</f>
        <v/>
      </c>
      <c r="X3363" s="143" t="str">
        <f t="shared" si="2"/>
        <v/>
      </c>
      <c r="Y3363" s="139" t="str">
        <f>IFERROR(__xludf.DUMMYFUNCTION("""COMPUTED_VALUE"""),"")</f>
        <v/>
      </c>
      <c r="Z3363" s="141" t="str">
        <f>IFERROR(__xludf.DUMMYFUNCTION("""COMPUTED_VALUE"""),"")</f>
        <v/>
      </c>
    </row>
    <row r="3364">
      <c r="D3364" s="136" t="str">
        <f t="shared" si="3"/>
        <v/>
      </c>
      <c r="E3364" s="152"/>
      <c r="F3364" s="106" t="s">
        <v>133</v>
      </c>
      <c r="G3364" s="152"/>
      <c r="H3364" s="106" t="s">
        <v>133</v>
      </c>
      <c r="J3364" s="139" t="s">
        <v>133</v>
      </c>
      <c r="K3364" s="136" t="s">
        <v>133</v>
      </c>
      <c r="L3364" s="153"/>
      <c r="M3364" s="136" t="str">
        <f t="shared" si="1"/>
        <v/>
      </c>
      <c r="O3364" s="141" t="s">
        <v>133</v>
      </c>
      <c r="P3364" s="136" t="str">
        <f>IFERROR(__xludf.DUMMYFUNCTION("""COMPUTED_VALUE"""),"")</f>
        <v/>
      </c>
      <c r="Q3364" s="136" t="str">
        <f>IFERROR(__xludf.DUMMYFUNCTION("""COMPUTED_VALUE"""),"")</f>
        <v/>
      </c>
      <c r="R3364" s="106" t="str">
        <f>IFERROR(__xludf.DUMMYFUNCTION("""COMPUTED_VALUE"""),"")</f>
        <v/>
      </c>
      <c r="S3364" s="106" t="str">
        <f>IFERROR(__xludf.DUMMYFUNCTION("""COMPUTED_VALUE"""),"")</f>
        <v/>
      </c>
      <c r="T3364" s="139" t="str">
        <f>IFERROR(__xludf.DUMMYFUNCTION("""COMPUTED_VALUE"""),"")</f>
        <v/>
      </c>
      <c r="U3364" s="139" t="str">
        <f>IFERROR(__xludf.DUMMYFUNCTION("""COMPUTED_VALUE"""),"")</f>
        <v/>
      </c>
      <c r="V3364" s="136" t="str">
        <f>IFERROR(__xludf.DUMMYFUNCTION("""COMPUTED_VALUE"""),"")</f>
        <v/>
      </c>
      <c r="W3364" s="106" t="str">
        <f>IFERROR(__xludf.DUMMYFUNCTION("""COMPUTED_VALUE"""),"")</f>
        <v/>
      </c>
      <c r="X3364" s="143" t="str">
        <f t="shared" si="2"/>
        <v/>
      </c>
      <c r="Y3364" s="139" t="str">
        <f>IFERROR(__xludf.DUMMYFUNCTION("""COMPUTED_VALUE"""),"")</f>
        <v/>
      </c>
      <c r="Z3364" s="141" t="str">
        <f>IFERROR(__xludf.DUMMYFUNCTION("""COMPUTED_VALUE"""),"")</f>
        <v/>
      </c>
    </row>
    <row r="3365">
      <c r="D3365" s="136" t="str">
        <f t="shared" si="3"/>
        <v/>
      </c>
      <c r="E3365" s="152"/>
      <c r="F3365" s="106" t="s">
        <v>133</v>
      </c>
      <c r="G3365" s="152"/>
      <c r="H3365" s="106" t="s">
        <v>133</v>
      </c>
      <c r="J3365" s="139" t="s">
        <v>133</v>
      </c>
      <c r="K3365" s="136" t="s">
        <v>133</v>
      </c>
      <c r="L3365" s="153"/>
      <c r="M3365" s="136" t="str">
        <f t="shared" si="1"/>
        <v/>
      </c>
      <c r="O3365" s="141" t="s">
        <v>133</v>
      </c>
      <c r="P3365" s="136" t="str">
        <f>IFERROR(__xludf.DUMMYFUNCTION("""COMPUTED_VALUE"""),"")</f>
        <v/>
      </c>
      <c r="Q3365" s="136" t="str">
        <f>IFERROR(__xludf.DUMMYFUNCTION("""COMPUTED_VALUE"""),"")</f>
        <v/>
      </c>
      <c r="R3365" s="106" t="str">
        <f>IFERROR(__xludf.DUMMYFUNCTION("""COMPUTED_VALUE"""),"")</f>
        <v/>
      </c>
      <c r="S3365" s="106" t="str">
        <f>IFERROR(__xludf.DUMMYFUNCTION("""COMPUTED_VALUE"""),"")</f>
        <v/>
      </c>
      <c r="T3365" s="139" t="str">
        <f>IFERROR(__xludf.DUMMYFUNCTION("""COMPUTED_VALUE"""),"")</f>
        <v/>
      </c>
      <c r="U3365" s="139" t="str">
        <f>IFERROR(__xludf.DUMMYFUNCTION("""COMPUTED_VALUE"""),"")</f>
        <v/>
      </c>
      <c r="V3365" s="136" t="str">
        <f>IFERROR(__xludf.DUMMYFUNCTION("""COMPUTED_VALUE"""),"")</f>
        <v/>
      </c>
      <c r="W3365" s="106" t="str">
        <f>IFERROR(__xludf.DUMMYFUNCTION("""COMPUTED_VALUE"""),"")</f>
        <v/>
      </c>
      <c r="X3365" s="143" t="str">
        <f t="shared" si="2"/>
        <v/>
      </c>
      <c r="Y3365" s="139" t="str">
        <f>IFERROR(__xludf.DUMMYFUNCTION("""COMPUTED_VALUE"""),"")</f>
        <v/>
      </c>
      <c r="Z3365" s="141" t="str">
        <f>IFERROR(__xludf.DUMMYFUNCTION("""COMPUTED_VALUE"""),"")</f>
        <v/>
      </c>
    </row>
    <row r="3366">
      <c r="D3366" s="136" t="str">
        <f t="shared" si="3"/>
        <v/>
      </c>
      <c r="E3366" s="152"/>
      <c r="F3366" s="106" t="s">
        <v>133</v>
      </c>
      <c r="G3366" s="152"/>
      <c r="H3366" s="106" t="s">
        <v>133</v>
      </c>
      <c r="J3366" s="139" t="s">
        <v>133</v>
      </c>
      <c r="K3366" s="136" t="s">
        <v>133</v>
      </c>
      <c r="L3366" s="153"/>
      <c r="M3366" s="136" t="str">
        <f t="shared" si="1"/>
        <v/>
      </c>
      <c r="O3366" s="141" t="s">
        <v>133</v>
      </c>
      <c r="P3366" s="136" t="str">
        <f>IFERROR(__xludf.DUMMYFUNCTION("""COMPUTED_VALUE"""),"")</f>
        <v/>
      </c>
      <c r="Q3366" s="136" t="str">
        <f>IFERROR(__xludf.DUMMYFUNCTION("""COMPUTED_VALUE"""),"")</f>
        <v/>
      </c>
      <c r="R3366" s="106" t="str">
        <f>IFERROR(__xludf.DUMMYFUNCTION("""COMPUTED_VALUE"""),"")</f>
        <v/>
      </c>
      <c r="S3366" s="106" t="str">
        <f>IFERROR(__xludf.DUMMYFUNCTION("""COMPUTED_VALUE"""),"")</f>
        <v/>
      </c>
      <c r="T3366" s="139" t="str">
        <f>IFERROR(__xludf.DUMMYFUNCTION("""COMPUTED_VALUE"""),"")</f>
        <v/>
      </c>
      <c r="U3366" s="139" t="str">
        <f>IFERROR(__xludf.DUMMYFUNCTION("""COMPUTED_VALUE"""),"")</f>
        <v/>
      </c>
      <c r="V3366" s="136" t="str">
        <f>IFERROR(__xludf.DUMMYFUNCTION("""COMPUTED_VALUE"""),"")</f>
        <v/>
      </c>
      <c r="W3366" s="106" t="str">
        <f>IFERROR(__xludf.DUMMYFUNCTION("""COMPUTED_VALUE"""),"")</f>
        <v/>
      </c>
      <c r="X3366" s="143" t="str">
        <f t="shared" si="2"/>
        <v/>
      </c>
      <c r="Y3366" s="139" t="str">
        <f>IFERROR(__xludf.DUMMYFUNCTION("""COMPUTED_VALUE"""),"")</f>
        <v/>
      </c>
      <c r="Z3366" s="141" t="str">
        <f>IFERROR(__xludf.DUMMYFUNCTION("""COMPUTED_VALUE"""),"")</f>
        <v/>
      </c>
    </row>
    <row r="3367">
      <c r="D3367" s="136" t="str">
        <f t="shared" si="3"/>
        <v/>
      </c>
      <c r="E3367" s="152"/>
      <c r="F3367" s="106" t="s">
        <v>133</v>
      </c>
      <c r="G3367" s="152"/>
      <c r="H3367" s="106" t="s">
        <v>133</v>
      </c>
      <c r="J3367" s="139" t="s">
        <v>133</v>
      </c>
      <c r="K3367" s="136" t="s">
        <v>133</v>
      </c>
      <c r="L3367" s="153"/>
      <c r="M3367" s="136" t="str">
        <f t="shared" si="1"/>
        <v/>
      </c>
      <c r="O3367" s="141" t="s">
        <v>133</v>
      </c>
      <c r="P3367" s="136" t="str">
        <f>IFERROR(__xludf.DUMMYFUNCTION("""COMPUTED_VALUE"""),"")</f>
        <v/>
      </c>
      <c r="Q3367" s="136" t="str">
        <f>IFERROR(__xludf.DUMMYFUNCTION("""COMPUTED_VALUE"""),"")</f>
        <v/>
      </c>
      <c r="R3367" s="106" t="str">
        <f>IFERROR(__xludf.DUMMYFUNCTION("""COMPUTED_VALUE"""),"")</f>
        <v/>
      </c>
      <c r="S3367" s="106" t="str">
        <f>IFERROR(__xludf.DUMMYFUNCTION("""COMPUTED_VALUE"""),"")</f>
        <v/>
      </c>
      <c r="T3367" s="139" t="str">
        <f>IFERROR(__xludf.DUMMYFUNCTION("""COMPUTED_VALUE"""),"")</f>
        <v/>
      </c>
      <c r="U3367" s="139" t="str">
        <f>IFERROR(__xludf.DUMMYFUNCTION("""COMPUTED_VALUE"""),"")</f>
        <v/>
      </c>
      <c r="V3367" s="136" t="str">
        <f>IFERROR(__xludf.DUMMYFUNCTION("""COMPUTED_VALUE"""),"")</f>
        <v/>
      </c>
      <c r="W3367" s="106" t="str">
        <f>IFERROR(__xludf.DUMMYFUNCTION("""COMPUTED_VALUE"""),"")</f>
        <v/>
      </c>
      <c r="X3367" s="143" t="str">
        <f t="shared" si="2"/>
        <v/>
      </c>
      <c r="Y3367" s="139" t="str">
        <f>IFERROR(__xludf.DUMMYFUNCTION("""COMPUTED_VALUE"""),"")</f>
        <v/>
      </c>
      <c r="Z3367" s="141" t="str">
        <f>IFERROR(__xludf.DUMMYFUNCTION("""COMPUTED_VALUE"""),"")</f>
        <v/>
      </c>
    </row>
    <row r="3368">
      <c r="D3368" s="136" t="str">
        <f t="shared" si="3"/>
        <v/>
      </c>
      <c r="E3368" s="152"/>
      <c r="F3368" s="106" t="s">
        <v>133</v>
      </c>
      <c r="G3368" s="152"/>
      <c r="H3368" s="106" t="s">
        <v>133</v>
      </c>
      <c r="J3368" s="139" t="s">
        <v>133</v>
      </c>
      <c r="K3368" s="136" t="s">
        <v>133</v>
      </c>
      <c r="L3368" s="153"/>
      <c r="M3368" s="136" t="str">
        <f t="shared" si="1"/>
        <v/>
      </c>
      <c r="O3368" s="141" t="s">
        <v>133</v>
      </c>
      <c r="P3368" s="136" t="str">
        <f>IFERROR(__xludf.DUMMYFUNCTION("""COMPUTED_VALUE"""),"")</f>
        <v/>
      </c>
      <c r="Q3368" s="136" t="str">
        <f>IFERROR(__xludf.DUMMYFUNCTION("""COMPUTED_VALUE"""),"")</f>
        <v/>
      </c>
      <c r="R3368" s="106" t="str">
        <f>IFERROR(__xludf.DUMMYFUNCTION("""COMPUTED_VALUE"""),"")</f>
        <v/>
      </c>
      <c r="S3368" s="106" t="str">
        <f>IFERROR(__xludf.DUMMYFUNCTION("""COMPUTED_VALUE"""),"")</f>
        <v/>
      </c>
      <c r="T3368" s="139" t="str">
        <f>IFERROR(__xludf.DUMMYFUNCTION("""COMPUTED_VALUE"""),"")</f>
        <v/>
      </c>
      <c r="U3368" s="139" t="str">
        <f>IFERROR(__xludf.DUMMYFUNCTION("""COMPUTED_VALUE"""),"")</f>
        <v/>
      </c>
      <c r="V3368" s="136" t="str">
        <f>IFERROR(__xludf.DUMMYFUNCTION("""COMPUTED_VALUE"""),"")</f>
        <v/>
      </c>
      <c r="W3368" s="106" t="str">
        <f>IFERROR(__xludf.DUMMYFUNCTION("""COMPUTED_VALUE"""),"")</f>
        <v/>
      </c>
      <c r="X3368" s="143" t="str">
        <f t="shared" si="2"/>
        <v/>
      </c>
      <c r="Y3368" s="139" t="str">
        <f>IFERROR(__xludf.DUMMYFUNCTION("""COMPUTED_VALUE"""),"")</f>
        <v/>
      </c>
      <c r="Z3368" s="141" t="str">
        <f>IFERROR(__xludf.DUMMYFUNCTION("""COMPUTED_VALUE"""),"")</f>
        <v/>
      </c>
    </row>
    <row r="3369">
      <c r="D3369" s="136" t="str">
        <f t="shared" si="3"/>
        <v/>
      </c>
      <c r="E3369" s="152"/>
      <c r="F3369" s="106" t="s">
        <v>133</v>
      </c>
      <c r="G3369" s="152"/>
      <c r="H3369" s="106" t="s">
        <v>133</v>
      </c>
      <c r="J3369" s="139" t="s">
        <v>133</v>
      </c>
      <c r="K3369" s="136" t="s">
        <v>133</v>
      </c>
      <c r="L3369" s="153"/>
      <c r="M3369" s="136" t="str">
        <f t="shared" si="1"/>
        <v/>
      </c>
      <c r="O3369" s="141" t="s">
        <v>133</v>
      </c>
      <c r="P3369" s="136" t="str">
        <f>IFERROR(__xludf.DUMMYFUNCTION("""COMPUTED_VALUE"""),"")</f>
        <v/>
      </c>
      <c r="Q3369" s="136" t="str">
        <f>IFERROR(__xludf.DUMMYFUNCTION("""COMPUTED_VALUE"""),"")</f>
        <v/>
      </c>
      <c r="R3369" s="106" t="str">
        <f>IFERROR(__xludf.DUMMYFUNCTION("""COMPUTED_VALUE"""),"")</f>
        <v/>
      </c>
      <c r="S3369" s="106" t="str">
        <f>IFERROR(__xludf.DUMMYFUNCTION("""COMPUTED_VALUE"""),"")</f>
        <v/>
      </c>
      <c r="T3369" s="139" t="str">
        <f>IFERROR(__xludf.DUMMYFUNCTION("""COMPUTED_VALUE"""),"")</f>
        <v/>
      </c>
      <c r="U3369" s="139" t="str">
        <f>IFERROR(__xludf.DUMMYFUNCTION("""COMPUTED_VALUE"""),"")</f>
        <v/>
      </c>
      <c r="V3369" s="136" t="str">
        <f>IFERROR(__xludf.DUMMYFUNCTION("""COMPUTED_VALUE"""),"")</f>
        <v/>
      </c>
      <c r="W3369" s="106" t="str">
        <f>IFERROR(__xludf.DUMMYFUNCTION("""COMPUTED_VALUE"""),"")</f>
        <v/>
      </c>
      <c r="X3369" s="143" t="str">
        <f t="shared" si="2"/>
        <v/>
      </c>
      <c r="Y3369" s="139" t="str">
        <f>IFERROR(__xludf.DUMMYFUNCTION("""COMPUTED_VALUE"""),"")</f>
        <v/>
      </c>
      <c r="Z3369" s="141" t="str">
        <f>IFERROR(__xludf.DUMMYFUNCTION("""COMPUTED_VALUE"""),"")</f>
        <v/>
      </c>
    </row>
    <row r="3370">
      <c r="D3370" s="136" t="str">
        <f t="shared" si="3"/>
        <v/>
      </c>
      <c r="E3370" s="152"/>
      <c r="F3370" s="106" t="s">
        <v>133</v>
      </c>
      <c r="G3370" s="152"/>
      <c r="H3370" s="106" t="s">
        <v>133</v>
      </c>
      <c r="J3370" s="139" t="s">
        <v>133</v>
      </c>
      <c r="K3370" s="136" t="s">
        <v>133</v>
      </c>
      <c r="L3370" s="153"/>
      <c r="M3370" s="136" t="str">
        <f t="shared" si="1"/>
        <v/>
      </c>
      <c r="O3370" s="141" t="s">
        <v>133</v>
      </c>
      <c r="P3370" s="136" t="str">
        <f>IFERROR(__xludf.DUMMYFUNCTION("""COMPUTED_VALUE"""),"")</f>
        <v/>
      </c>
      <c r="Q3370" s="136" t="str">
        <f>IFERROR(__xludf.DUMMYFUNCTION("""COMPUTED_VALUE"""),"")</f>
        <v/>
      </c>
      <c r="R3370" s="106" t="str">
        <f>IFERROR(__xludf.DUMMYFUNCTION("""COMPUTED_VALUE"""),"")</f>
        <v/>
      </c>
      <c r="S3370" s="106" t="str">
        <f>IFERROR(__xludf.DUMMYFUNCTION("""COMPUTED_VALUE"""),"")</f>
        <v/>
      </c>
      <c r="T3370" s="139" t="str">
        <f>IFERROR(__xludf.DUMMYFUNCTION("""COMPUTED_VALUE"""),"")</f>
        <v/>
      </c>
      <c r="U3370" s="139" t="str">
        <f>IFERROR(__xludf.DUMMYFUNCTION("""COMPUTED_VALUE"""),"")</f>
        <v/>
      </c>
      <c r="V3370" s="136" t="str">
        <f>IFERROR(__xludf.DUMMYFUNCTION("""COMPUTED_VALUE"""),"")</f>
        <v/>
      </c>
      <c r="W3370" s="106" t="str">
        <f>IFERROR(__xludf.DUMMYFUNCTION("""COMPUTED_VALUE"""),"")</f>
        <v/>
      </c>
      <c r="X3370" s="143" t="str">
        <f t="shared" si="2"/>
        <v/>
      </c>
      <c r="Y3370" s="139" t="str">
        <f>IFERROR(__xludf.DUMMYFUNCTION("""COMPUTED_VALUE"""),"")</f>
        <v/>
      </c>
      <c r="Z3370" s="141" t="str">
        <f>IFERROR(__xludf.DUMMYFUNCTION("""COMPUTED_VALUE"""),"")</f>
        <v/>
      </c>
    </row>
    <row r="3371">
      <c r="D3371" s="136" t="str">
        <f t="shared" si="3"/>
        <v/>
      </c>
      <c r="E3371" s="152"/>
      <c r="F3371" s="106" t="s">
        <v>133</v>
      </c>
      <c r="G3371" s="152"/>
      <c r="H3371" s="106" t="s">
        <v>133</v>
      </c>
      <c r="J3371" s="139" t="s">
        <v>133</v>
      </c>
      <c r="K3371" s="136" t="s">
        <v>133</v>
      </c>
      <c r="L3371" s="153"/>
      <c r="M3371" s="136" t="str">
        <f t="shared" si="1"/>
        <v/>
      </c>
      <c r="O3371" s="141" t="s">
        <v>133</v>
      </c>
      <c r="P3371" s="136" t="str">
        <f>IFERROR(__xludf.DUMMYFUNCTION("""COMPUTED_VALUE"""),"")</f>
        <v/>
      </c>
      <c r="Q3371" s="136" t="str">
        <f>IFERROR(__xludf.DUMMYFUNCTION("""COMPUTED_VALUE"""),"")</f>
        <v/>
      </c>
      <c r="R3371" s="106" t="str">
        <f>IFERROR(__xludf.DUMMYFUNCTION("""COMPUTED_VALUE"""),"")</f>
        <v/>
      </c>
      <c r="S3371" s="106" t="str">
        <f>IFERROR(__xludf.DUMMYFUNCTION("""COMPUTED_VALUE"""),"")</f>
        <v/>
      </c>
      <c r="T3371" s="139" t="str">
        <f>IFERROR(__xludf.DUMMYFUNCTION("""COMPUTED_VALUE"""),"")</f>
        <v/>
      </c>
      <c r="U3371" s="139" t="str">
        <f>IFERROR(__xludf.DUMMYFUNCTION("""COMPUTED_VALUE"""),"")</f>
        <v/>
      </c>
      <c r="V3371" s="136" t="str">
        <f>IFERROR(__xludf.DUMMYFUNCTION("""COMPUTED_VALUE"""),"")</f>
        <v/>
      </c>
      <c r="W3371" s="106" t="str">
        <f>IFERROR(__xludf.DUMMYFUNCTION("""COMPUTED_VALUE"""),"")</f>
        <v/>
      </c>
      <c r="X3371" s="143" t="str">
        <f t="shared" si="2"/>
        <v/>
      </c>
      <c r="Y3371" s="139" t="str">
        <f>IFERROR(__xludf.DUMMYFUNCTION("""COMPUTED_VALUE"""),"")</f>
        <v/>
      </c>
      <c r="Z3371" s="141" t="str">
        <f>IFERROR(__xludf.DUMMYFUNCTION("""COMPUTED_VALUE"""),"")</f>
        <v/>
      </c>
    </row>
    <row r="3372">
      <c r="D3372" s="136" t="str">
        <f t="shared" si="3"/>
        <v/>
      </c>
      <c r="E3372" s="152"/>
      <c r="F3372" s="106" t="s">
        <v>133</v>
      </c>
      <c r="G3372" s="152"/>
      <c r="H3372" s="106" t="s">
        <v>133</v>
      </c>
      <c r="J3372" s="139" t="s">
        <v>133</v>
      </c>
      <c r="K3372" s="136" t="s">
        <v>133</v>
      </c>
      <c r="L3372" s="153"/>
      <c r="M3372" s="136" t="str">
        <f t="shared" si="1"/>
        <v/>
      </c>
      <c r="O3372" s="141" t="s">
        <v>133</v>
      </c>
      <c r="P3372" s="136" t="str">
        <f>IFERROR(__xludf.DUMMYFUNCTION("""COMPUTED_VALUE"""),"")</f>
        <v/>
      </c>
      <c r="Q3372" s="136" t="str">
        <f>IFERROR(__xludf.DUMMYFUNCTION("""COMPUTED_VALUE"""),"")</f>
        <v/>
      </c>
      <c r="R3372" s="106" t="str">
        <f>IFERROR(__xludf.DUMMYFUNCTION("""COMPUTED_VALUE"""),"")</f>
        <v/>
      </c>
      <c r="S3372" s="106" t="str">
        <f>IFERROR(__xludf.DUMMYFUNCTION("""COMPUTED_VALUE"""),"")</f>
        <v/>
      </c>
      <c r="T3372" s="139" t="str">
        <f>IFERROR(__xludf.DUMMYFUNCTION("""COMPUTED_VALUE"""),"")</f>
        <v/>
      </c>
      <c r="U3372" s="139" t="str">
        <f>IFERROR(__xludf.DUMMYFUNCTION("""COMPUTED_VALUE"""),"")</f>
        <v/>
      </c>
      <c r="V3372" s="136" t="str">
        <f>IFERROR(__xludf.DUMMYFUNCTION("""COMPUTED_VALUE"""),"")</f>
        <v/>
      </c>
      <c r="W3372" s="106" t="str">
        <f>IFERROR(__xludf.DUMMYFUNCTION("""COMPUTED_VALUE"""),"")</f>
        <v/>
      </c>
      <c r="X3372" s="143" t="str">
        <f t="shared" si="2"/>
        <v/>
      </c>
      <c r="Y3372" s="139" t="str">
        <f>IFERROR(__xludf.DUMMYFUNCTION("""COMPUTED_VALUE"""),"")</f>
        <v/>
      </c>
      <c r="Z3372" s="141" t="str">
        <f>IFERROR(__xludf.DUMMYFUNCTION("""COMPUTED_VALUE"""),"")</f>
        <v/>
      </c>
    </row>
    <row r="3373">
      <c r="D3373" s="136" t="str">
        <f t="shared" si="3"/>
        <v/>
      </c>
      <c r="E3373" s="152"/>
      <c r="F3373" s="106" t="s">
        <v>133</v>
      </c>
      <c r="G3373" s="152"/>
      <c r="H3373" s="106" t="s">
        <v>133</v>
      </c>
      <c r="J3373" s="139" t="s">
        <v>133</v>
      </c>
      <c r="K3373" s="136" t="s">
        <v>133</v>
      </c>
      <c r="L3373" s="153"/>
      <c r="M3373" s="136" t="str">
        <f t="shared" si="1"/>
        <v/>
      </c>
      <c r="O3373" s="141" t="s">
        <v>133</v>
      </c>
      <c r="P3373" s="136" t="str">
        <f>IFERROR(__xludf.DUMMYFUNCTION("""COMPUTED_VALUE"""),"")</f>
        <v/>
      </c>
      <c r="Q3373" s="136" t="str">
        <f>IFERROR(__xludf.DUMMYFUNCTION("""COMPUTED_VALUE"""),"")</f>
        <v/>
      </c>
      <c r="R3373" s="106" t="str">
        <f>IFERROR(__xludf.DUMMYFUNCTION("""COMPUTED_VALUE"""),"")</f>
        <v/>
      </c>
      <c r="S3373" s="106" t="str">
        <f>IFERROR(__xludf.DUMMYFUNCTION("""COMPUTED_VALUE"""),"")</f>
        <v/>
      </c>
      <c r="T3373" s="139" t="str">
        <f>IFERROR(__xludf.DUMMYFUNCTION("""COMPUTED_VALUE"""),"")</f>
        <v/>
      </c>
      <c r="U3373" s="139" t="str">
        <f>IFERROR(__xludf.DUMMYFUNCTION("""COMPUTED_VALUE"""),"")</f>
        <v/>
      </c>
      <c r="V3373" s="136" t="str">
        <f>IFERROR(__xludf.DUMMYFUNCTION("""COMPUTED_VALUE"""),"")</f>
        <v/>
      </c>
      <c r="W3373" s="106" t="str">
        <f>IFERROR(__xludf.DUMMYFUNCTION("""COMPUTED_VALUE"""),"")</f>
        <v/>
      </c>
      <c r="X3373" s="143" t="str">
        <f t="shared" si="2"/>
        <v/>
      </c>
      <c r="Y3373" s="139" t="str">
        <f>IFERROR(__xludf.DUMMYFUNCTION("""COMPUTED_VALUE"""),"")</f>
        <v/>
      </c>
      <c r="Z3373" s="141" t="str">
        <f>IFERROR(__xludf.DUMMYFUNCTION("""COMPUTED_VALUE"""),"")</f>
        <v/>
      </c>
    </row>
    <row r="3374">
      <c r="D3374" s="136" t="str">
        <f t="shared" si="3"/>
        <v/>
      </c>
      <c r="E3374" s="152"/>
      <c r="F3374" s="106" t="s">
        <v>133</v>
      </c>
      <c r="G3374" s="152"/>
      <c r="H3374" s="106" t="s">
        <v>133</v>
      </c>
      <c r="J3374" s="139" t="s">
        <v>133</v>
      </c>
      <c r="K3374" s="136" t="s">
        <v>133</v>
      </c>
      <c r="L3374" s="153"/>
      <c r="M3374" s="136" t="str">
        <f t="shared" si="1"/>
        <v/>
      </c>
      <c r="O3374" s="141" t="s">
        <v>133</v>
      </c>
      <c r="P3374" s="136" t="str">
        <f>IFERROR(__xludf.DUMMYFUNCTION("""COMPUTED_VALUE"""),"")</f>
        <v/>
      </c>
      <c r="Q3374" s="136" t="str">
        <f>IFERROR(__xludf.DUMMYFUNCTION("""COMPUTED_VALUE"""),"")</f>
        <v/>
      </c>
      <c r="R3374" s="106" t="str">
        <f>IFERROR(__xludf.DUMMYFUNCTION("""COMPUTED_VALUE"""),"")</f>
        <v/>
      </c>
      <c r="S3374" s="106" t="str">
        <f>IFERROR(__xludf.DUMMYFUNCTION("""COMPUTED_VALUE"""),"")</f>
        <v/>
      </c>
      <c r="T3374" s="139" t="str">
        <f>IFERROR(__xludf.DUMMYFUNCTION("""COMPUTED_VALUE"""),"")</f>
        <v/>
      </c>
      <c r="U3374" s="139" t="str">
        <f>IFERROR(__xludf.DUMMYFUNCTION("""COMPUTED_VALUE"""),"")</f>
        <v/>
      </c>
      <c r="V3374" s="136" t="str">
        <f>IFERROR(__xludf.DUMMYFUNCTION("""COMPUTED_VALUE"""),"")</f>
        <v/>
      </c>
      <c r="W3374" s="106" t="str">
        <f>IFERROR(__xludf.DUMMYFUNCTION("""COMPUTED_VALUE"""),"")</f>
        <v/>
      </c>
      <c r="X3374" s="143" t="str">
        <f t="shared" si="2"/>
        <v/>
      </c>
      <c r="Y3374" s="139" t="str">
        <f>IFERROR(__xludf.DUMMYFUNCTION("""COMPUTED_VALUE"""),"")</f>
        <v/>
      </c>
      <c r="Z3374" s="141" t="str">
        <f>IFERROR(__xludf.DUMMYFUNCTION("""COMPUTED_VALUE"""),"")</f>
        <v/>
      </c>
    </row>
    <row r="3375">
      <c r="D3375" s="136" t="str">
        <f t="shared" si="3"/>
        <v/>
      </c>
      <c r="E3375" s="152"/>
      <c r="F3375" s="106" t="s">
        <v>133</v>
      </c>
      <c r="G3375" s="152"/>
      <c r="H3375" s="106" t="s">
        <v>133</v>
      </c>
      <c r="J3375" s="139" t="s">
        <v>133</v>
      </c>
      <c r="K3375" s="136" t="s">
        <v>133</v>
      </c>
      <c r="L3375" s="153"/>
      <c r="M3375" s="136" t="str">
        <f t="shared" si="1"/>
        <v/>
      </c>
      <c r="O3375" s="141" t="s">
        <v>133</v>
      </c>
      <c r="P3375" s="136" t="str">
        <f>IFERROR(__xludf.DUMMYFUNCTION("""COMPUTED_VALUE"""),"")</f>
        <v/>
      </c>
      <c r="Q3375" s="136" t="str">
        <f>IFERROR(__xludf.DUMMYFUNCTION("""COMPUTED_VALUE"""),"")</f>
        <v/>
      </c>
      <c r="R3375" s="106" t="str">
        <f>IFERROR(__xludf.DUMMYFUNCTION("""COMPUTED_VALUE"""),"")</f>
        <v/>
      </c>
      <c r="S3375" s="106" t="str">
        <f>IFERROR(__xludf.DUMMYFUNCTION("""COMPUTED_VALUE"""),"")</f>
        <v/>
      </c>
      <c r="T3375" s="139" t="str">
        <f>IFERROR(__xludf.DUMMYFUNCTION("""COMPUTED_VALUE"""),"")</f>
        <v/>
      </c>
      <c r="U3375" s="139" t="str">
        <f>IFERROR(__xludf.DUMMYFUNCTION("""COMPUTED_VALUE"""),"")</f>
        <v/>
      </c>
      <c r="V3375" s="136" t="str">
        <f>IFERROR(__xludf.DUMMYFUNCTION("""COMPUTED_VALUE"""),"")</f>
        <v/>
      </c>
      <c r="W3375" s="106" t="str">
        <f>IFERROR(__xludf.DUMMYFUNCTION("""COMPUTED_VALUE"""),"")</f>
        <v/>
      </c>
      <c r="X3375" s="143" t="str">
        <f t="shared" si="2"/>
        <v/>
      </c>
      <c r="Y3375" s="139" t="str">
        <f>IFERROR(__xludf.DUMMYFUNCTION("""COMPUTED_VALUE"""),"")</f>
        <v/>
      </c>
      <c r="Z3375" s="141" t="str">
        <f>IFERROR(__xludf.DUMMYFUNCTION("""COMPUTED_VALUE"""),"")</f>
        <v/>
      </c>
    </row>
    <row r="3376">
      <c r="D3376" s="136" t="str">
        <f t="shared" si="3"/>
        <v/>
      </c>
      <c r="E3376" s="152"/>
      <c r="F3376" s="106" t="s">
        <v>133</v>
      </c>
      <c r="G3376" s="152"/>
      <c r="H3376" s="106" t="s">
        <v>133</v>
      </c>
      <c r="J3376" s="139" t="s">
        <v>133</v>
      </c>
      <c r="K3376" s="136" t="s">
        <v>133</v>
      </c>
      <c r="L3376" s="153"/>
      <c r="M3376" s="136" t="str">
        <f t="shared" si="1"/>
        <v/>
      </c>
      <c r="O3376" s="141" t="s">
        <v>133</v>
      </c>
      <c r="P3376" s="136" t="str">
        <f>IFERROR(__xludf.DUMMYFUNCTION("""COMPUTED_VALUE"""),"")</f>
        <v/>
      </c>
      <c r="Q3376" s="136" t="str">
        <f>IFERROR(__xludf.DUMMYFUNCTION("""COMPUTED_VALUE"""),"")</f>
        <v/>
      </c>
      <c r="R3376" s="106" t="str">
        <f>IFERROR(__xludf.DUMMYFUNCTION("""COMPUTED_VALUE"""),"")</f>
        <v/>
      </c>
      <c r="S3376" s="106" t="str">
        <f>IFERROR(__xludf.DUMMYFUNCTION("""COMPUTED_VALUE"""),"")</f>
        <v/>
      </c>
      <c r="T3376" s="139" t="str">
        <f>IFERROR(__xludf.DUMMYFUNCTION("""COMPUTED_VALUE"""),"")</f>
        <v/>
      </c>
      <c r="U3376" s="139" t="str">
        <f>IFERROR(__xludf.DUMMYFUNCTION("""COMPUTED_VALUE"""),"")</f>
        <v/>
      </c>
      <c r="V3376" s="136" t="str">
        <f>IFERROR(__xludf.DUMMYFUNCTION("""COMPUTED_VALUE"""),"")</f>
        <v/>
      </c>
      <c r="W3376" s="106" t="str">
        <f>IFERROR(__xludf.DUMMYFUNCTION("""COMPUTED_VALUE"""),"")</f>
        <v/>
      </c>
      <c r="X3376" s="143" t="str">
        <f t="shared" si="2"/>
        <v/>
      </c>
      <c r="Y3376" s="139" t="str">
        <f>IFERROR(__xludf.DUMMYFUNCTION("""COMPUTED_VALUE"""),"")</f>
        <v/>
      </c>
      <c r="Z3376" s="141" t="str">
        <f>IFERROR(__xludf.DUMMYFUNCTION("""COMPUTED_VALUE"""),"")</f>
        <v/>
      </c>
    </row>
    <row r="3377">
      <c r="D3377" s="136" t="str">
        <f t="shared" si="3"/>
        <v/>
      </c>
      <c r="E3377" s="152"/>
      <c r="F3377" s="106" t="s">
        <v>133</v>
      </c>
      <c r="G3377" s="152"/>
      <c r="H3377" s="106" t="s">
        <v>133</v>
      </c>
      <c r="J3377" s="139" t="s">
        <v>133</v>
      </c>
      <c r="K3377" s="136" t="s">
        <v>133</v>
      </c>
      <c r="L3377" s="153"/>
      <c r="M3377" s="136" t="str">
        <f t="shared" si="1"/>
        <v/>
      </c>
      <c r="O3377" s="141" t="s">
        <v>133</v>
      </c>
      <c r="P3377" s="136" t="str">
        <f>IFERROR(__xludf.DUMMYFUNCTION("""COMPUTED_VALUE"""),"")</f>
        <v/>
      </c>
      <c r="Q3377" s="136" t="str">
        <f>IFERROR(__xludf.DUMMYFUNCTION("""COMPUTED_VALUE"""),"")</f>
        <v/>
      </c>
      <c r="R3377" s="106" t="str">
        <f>IFERROR(__xludf.DUMMYFUNCTION("""COMPUTED_VALUE"""),"")</f>
        <v/>
      </c>
      <c r="S3377" s="106" t="str">
        <f>IFERROR(__xludf.DUMMYFUNCTION("""COMPUTED_VALUE"""),"")</f>
        <v/>
      </c>
      <c r="T3377" s="139" t="str">
        <f>IFERROR(__xludf.DUMMYFUNCTION("""COMPUTED_VALUE"""),"")</f>
        <v/>
      </c>
      <c r="U3377" s="139" t="str">
        <f>IFERROR(__xludf.DUMMYFUNCTION("""COMPUTED_VALUE"""),"")</f>
        <v/>
      </c>
      <c r="V3377" s="136" t="str">
        <f>IFERROR(__xludf.DUMMYFUNCTION("""COMPUTED_VALUE"""),"")</f>
        <v/>
      </c>
      <c r="W3377" s="106" t="str">
        <f>IFERROR(__xludf.DUMMYFUNCTION("""COMPUTED_VALUE"""),"")</f>
        <v/>
      </c>
      <c r="X3377" s="143" t="str">
        <f t="shared" si="2"/>
        <v/>
      </c>
      <c r="Y3377" s="139" t="str">
        <f>IFERROR(__xludf.DUMMYFUNCTION("""COMPUTED_VALUE"""),"")</f>
        <v/>
      </c>
      <c r="Z3377" s="141" t="str">
        <f>IFERROR(__xludf.DUMMYFUNCTION("""COMPUTED_VALUE"""),"")</f>
        <v/>
      </c>
    </row>
    <row r="3378">
      <c r="D3378" s="136" t="str">
        <f t="shared" si="3"/>
        <v/>
      </c>
      <c r="E3378" s="152"/>
      <c r="F3378" s="106" t="s">
        <v>133</v>
      </c>
      <c r="G3378" s="152"/>
      <c r="H3378" s="106" t="s">
        <v>133</v>
      </c>
      <c r="J3378" s="139" t="s">
        <v>133</v>
      </c>
      <c r="K3378" s="136" t="s">
        <v>133</v>
      </c>
      <c r="L3378" s="153"/>
      <c r="M3378" s="136" t="str">
        <f t="shared" si="1"/>
        <v/>
      </c>
      <c r="O3378" s="141" t="s">
        <v>133</v>
      </c>
      <c r="P3378" s="136" t="str">
        <f>IFERROR(__xludf.DUMMYFUNCTION("""COMPUTED_VALUE"""),"")</f>
        <v/>
      </c>
      <c r="Q3378" s="136" t="str">
        <f>IFERROR(__xludf.DUMMYFUNCTION("""COMPUTED_VALUE"""),"")</f>
        <v/>
      </c>
      <c r="R3378" s="106" t="str">
        <f>IFERROR(__xludf.DUMMYFUNCTION("""COMPUTED_VALUE"""),"")</f>
        <v/>
      </c>
      <c r="S3378" s="106" t="str">
        <f>IFERROR(__xludf.DUMMYFUNCTION("""COMPUTED_VALUE"""),"")</f>
        <v/>
      </c>
      <c r="T3378" s="139" t="str">
        <f>IFERROR(__xludf.DUMMYFUNCTION("""COMPUTED_VALUE"""),"")</f>
        <v/>
      </c>
      <c r="U3378" s="139" t="str">
        <f>IFERROR(__xludf.DUMMYFUNCTION("""COMPUTED_VALUE"""),"")</f>
        <v/>
      </c>
      <c r="V3378" s="136" t="str">
        <f>IFERROR(__xludf.DUMMYFUNCTION("""COMPUTED_VALUE"""),"")</f>
        <v/>
      </c>
      <c r="W3378" s="106" t="str">
        <f>IFERROR(__xludf.DUMMYFUNCTION("""COMPUTED_VALUE"""),"")</f>
        <v/>
      </c>
      <c r="X3378" s="143" t="str">
        <f t="shared" si="2"/>
        <v/>
      </c>
      <c r="Y3378" s="139" t="str">
        <f>IFERROR(__xludf.DUMMYFUNCTION("""COMPUTED_VALUE"""),"")</f>
        <v/>
      </c>
      <c r="Z3378" s="141" t="str">
        <f>IFERROR(__xludf.DUMMYFUNCTION("""COMPUTED_VALUE"""),"")</f>
        <v/>
      </c>
    </row>
    <row r="3379">
      <c r="D3379" s="136" t="str">
        <f t="shared" si="3"/>
        <v/>
      </c>
      <c r="E3379" s="152"/>
      <c r="F3379" s="106" t="s">
        <v>133</v>
      </c>
      <c r="G3379" s="152"/>
      <c r="H3379" s="106" t="s">
        <v>133</v>
      </c>
      <c r="J3379" s="139" t="s">
        <v>133</v>
      </c>
      <c r="K3379" s="136" t="s">
        <v>133</v>
      </c>
      <c r="L3379" s="153"/>
      <c r="M3379" s="136" t="str">
        <f t="shared" si="1"/>
        <v/>
      </c>
      <c r="O3379" s="141" t="s">
        <v>133</v>
      </c>
      <c r="P3379" s="136" t="str">
        <f>IFERROR(__xludf.DUMMYFUNCTION("""COMPUTED_VALUE"""),"")</f>
        <v/>
      </c>
      <c r="Q3379" s="136" t="str">
        <f>IFERROR(__xludf.DUMMYFUNCTION("""COMPUTED_VALUE"""),"")</f>
        <v/>
      </c>
      <c r="R3379" s="106" t="str">
        <f>IFERROR(__xludf.DUMMYFUNCTION("""COMPUTED_VALUE"""),"")</f>
        <v/>
      </c>
      <c r="S3379" s="106" t="str">
        <f>IFERROR(__xludf.DUMMYFUNCTION("""COMPUTED_VALUE"""),"")</f>
        <v/>
      </c>
      <c r="T3379" s="139" t="str">
        <f>IFERROR(__xludf.DUMMYFUNCTION("""COMPUTED_VALUE"""),"")</f>
        <v/>
      </c>
      <c r="U3379" s="139" t="str">
        <f>IFERROR(__xludf.DUMMYFUNCTION("""COMPUTED_VALUE"""),"")</f>
        <v/>
      </c>
      <c r="V3379" s="136" t="str">
        <f>IFERROR(__xludf.DUMMYFUNCTION("""COMPUTED_VALUE"""),"")</f>
        <v/>
      </c>
      <c r="W3379" s="106" t="str">
        <f>IFERROR(__xludf.DUMMYFUNCTION("""COMPUTED_VALUE"""),"")</f>
        <v/>
      </c>
      <c r="X3379" s="143" t="str">
        <f t="shared" si="2"/>
        <v/>
      </c>
      <c r="Y3379" s="139" t="str">
        <f>IFERROR(__xludf.DUMMYFUNCTION("""COMPUTED_VALUE"""),"")</f>
        <v/>
      </c>
      <c r="Z3379" s="141" t="str">
        <f>IFERROR(__xludf.DUMMYFUNCTION("""COMPUTED_VALUE"""),"")</f>
        <v/>
      </c>
    </row>
    <row r="3380">
      <c r="D3380" s="136" t="str">
        <f t="shared" si="3"/>
        <v/>
      </c>
      <c r="E3380" s="152"/>
      <c r="F3380" s="106" t="s">
        <v>133</v>
      </c>
      <c r="G3380" s="152"/>
      <c r="H3380" s="106" t="s">
        <v>133</v>
      </c>
      <c r="J3380" s="139" t="s">
        <v>133</v>
      </c>
      <c r="K3380" s="136" t="s">
        <v>133</v>
      </c>
      <c r="L3380" s="153"/>
      <c r="M3380" s="136" t="str">
        <f t="shared" si="1"/>
        <v/>
      </c>
      <c r="O3380" s="141" t="s">
        <v>133</v>
      </c>
      <c r="P3380" s="136" t="str">
        <f>IFERROR(__xludf.DUMMYFUNCTION("""COMPUTED_VALUE"""),"")</f>
        <v/>
      </c>
      <c r="Q3380" s="136" t="str">
        <f>IFERROR(__xludf.DUMMYFUNCTION("""COMPUTED_VALUE"""),"")</f>
        <v/>
      </c>
      <c r="R3380" s="106" t="str">
        <f>IFERROR(__xludf.DUMMYFUNCTION("""COMPUTED_VALUE"""),"")</f>
        <v/>
      </c>
      <c r="S3380" s="106" t="str">
        <f>IFERROR(__xludf.DUMMYFUNCTION("""COMPUTED_VALUE"""),"")</f>
        <v/>
      </c>
      <c r="T3380" s="139" t="str">
        <f>IFERROR(__xludf.DUMMYFUNCTION("""COMPUTED_VALUE"""),"")</f>
        <v/>
      </c>
      <c r="U3380" s="139" t="str">
        <f>IFERROR(__xludf.DUMMYFUNCTION("""COMPUTED_VALUE"""),"")</f>
        <v/>
      </c>
      <c r="V3380" s="136" t="str">
        <f>IFERROR(__xludf.DUMMYFUNCTION("""COMPUTED_VALUE"""),"")</f>
        <v/>
      </c>
      <c r="W3380" s="106" t="str">
        <f>IFERROR(__xludf.DUMMYFUNCTION("""COMPUTED_VALUE"""),"")</f>
        <v/>
      </c>
      <c r="X3380" s="143" t="str">
        <f t="shared" si="2"/>
        <v/>
      </c>
      <c r="Y3380" s="139" t="str">
        <f>IFERROR(__xludf.DUMMYFUNCTION("""COMPUTED_VALUE"""),"")</f>
        <v/>
      </c>
      <c r="Z3380" s="141" t="str">
        <f>IFERROR(__xludf.DUMMYFUNCTION("""COMPUTED_VALUE"""),"")</f>
        <v/>
      </c>
    </row>
    <row r="3381">
      <c r="D3381" s="136" t="str">
        <f t="shared" si="3"/>
        <v/>
      </c>
      <c r="E3381" s="152"/>
      <c r="F3381" s="106" t="s">
        <v>133</v>
      </c>
      <c r="G3381" s="152"/>
      <c r="H3381" s="106" t="s">
        <v>133</v>
      </c>
      <c r="J3381" s="139" t="s">
        <v>133</v>
      </c>
      <c r="K3381" s="136" t="s">
        <v>133</v>
      </c>
      <c r="L3381" s="153"/>
      <c r="M3381" s="136" t="str">
        <f t="shared" si="1"/>
        <v/>
      </c>
      <c r="O3381" s="141" t="s">
        <v>133</v>
      </c>
      <c r="P3381" s="136" t="str">
        <f>IFERROR(__xludf.DUMMYFUNCTION("""COMPUTED_VALUE"""),"")</f>
        <v/>
      </c>
      <c r="Q3381" s="136" t="str">
        <f>IFERROR(__xludf.DUMMYFUNCTION("""COMPUTED_VALUE"""),"")</f>
        <v/>
      </c>
      <c r="R3381" s="106" t="str">
        <f>IFERROR(__xludf.DUMMYFUNCTION("""COMPUTED_VALUE"""),"")</f>
        <v/>
      </c>
      <c r="S3381" s="106" t="str">
        <f>IFERROR(__xludf.DUMMYFUNCTION("""COMPUTED_VALUE"""),"")</f>
        <v/>
      </c>
      <c r="T3381" s="139" t="str">
        <f>IFERROR(__xludf.DUMMYFUNCTION("""COMPUTED_VALUE"""),"")</f>
        <v/>
      </c>
      <c r="U3381" s="139" t="str">
        <f>IFERROR(__xludf.DUMMYFUNCTION("""COMPUTED_VALUE"""),"")</f>
        <v/>
      </c>
      <c r="V3381" s="136" t="str">
        <f>IFERROR(__xludf.DUMMYFUNCTION("""COMPUTED_VALUE"""),"")</f>
        <v/>
      </c>
      <c r="W3381" s="106" t="str">
        <f>IFERROR(__xludf.DUMMYFUNCTION("""COMPUTED_VALUE"""),"")</f>
        <v/>
      </c>
      <c r="X3381" s="143" t="str">
        <f t="shared" si="2"/>
        <v/>
      </c>
      <c r="Y3381" s="139" t="str">
        <f>IFERROR(__xludf.DUMMYFUNCTION("""COMPUTED_VALUE"""),"")</f>
        <v/>
      </c>
      <c r="Z3381" s="141" t="str">
        <f>IFERROR(__xludf.DUMMYFUNCTION("""COMPUTED_VALUE"""),"")</f>
        <v/>
      </c>
    </row>
    <row r="3382">
      <c r="D3382" s="136" t="str">
        <f t="shared" si="3"/>
        <v/>
      </c>
      <c r="E3382" s="152"/>
      <c r="F3382" s="106" t="s">
        <v>133</v>
      </c>
      <c r="G3382" s="152"/>
      <c r="H3382" s="106" t="s">
        <v>133</v>
      </c>
      <c r="J3382" s="139" t="s">
        <v>133</v>
      </c>
      <c r="K3382" s="136" t="s">
        <v>133</v>
      </c>
      <c r="L3382" s="153"/>
      <c r="M3382" s="136" t="str">
        <f t="shared" si="1"/>
        <v/>
      </c>
      <c r="O3382" s="141" t="s">
        <v>133</v>
      </c>
      <c r="P3382" s="136" t="str">
        <f>IFERROR(__xludf.DUMMYFUNCTION("""COMPUTED_VALUE"""),"")</f>
        <v/>
      </c>
      <c r="Q3382" s="136" t="str">
        <f>IFERROR(__xludf.DUMMYFUNCTION("""COMPUTED_VALUE"""),"")</f>
        <v/>
      </c>
      <c r="R3382" s="106" t="str">
        <f>IFERROR(__xludf.DUMMYFUNCTION("""COMPUTED_VALUE"""),"")</f>
        <v/>
      </c>
      <c r="S3382" s="106" t="str">
        <f>IFERROR(__xludf.DUMMYFUNCTION("""COMPUTED_VALUE"""),"")</f>
        <v/>
      </c>
      <c r="T3382" s="139" t="str">
        <f>IFERROR(__xludf.DUMMYFUNCTION("""COMPUTED_VALUE"""),"")</f>
        <v/>
      </c>
      <c r="U3382" s="139" t="str">
        <f>IFERROR(__xludf.DUMMYFUNCTION("""COMPUTED_VALUE"""),"")</f>
        <v/>
      </c>
      <c r="V3382" s="136" t="str">
        <f>IFERROR(__xludf.DUMMYFUNCTION("""COMPUTED_VALUE"""),"")</f>
        <v/>
      </c>
      <c r="W3382" s="106" t="str">
        <f>IFERROR(__xludf.DUMMYFUNCTION("""COMPUTED_VALUE"""),"")</f>
        <v/>
      </c>
      <c r="X3382" s="143" t="str">
        <f t="shared" si="2"/>
        <v/>
      </c>
      <c r="Y3382" s="139" t="str">
        <f>IFERROR(__xludf.DUMMYFUNCTION("""COMPUTED_VALUE"""),"")</f>
        <v/>
      </c>
      <c r="Z3382" s="141" t="str">
        <f>IFERROR(__xludf.DUMMYFUNCTION("""COMPUTED_VALUE"""),"")</f>
        <v/>
      </c>
    </row>
    <row r="3383">
      <c r="D3383" s="136" t="str">
        <f t="shared" si="3"/>
        <v/>
      </c>
      <c r="E3383" s="152"/>
      <c r="F3383" s="106" t="s">
        <v>133</v>
      </c>
      <c r="G3383" s="152"/>
      <c r="H3383" s="106" t="s">
        <v>133</v>
      </c>
      <c r="J3383" s="139" t="s">
        <v>133</v>
      </c>
      <c r="K3383" s="136" t="s">
        <v>133</v>
      </c>
      <c r="L3383" s="153"/>
      <c r="M3383" s="136" t="str">
        <f t="shared" si="1"/>
        <v/>
      </c>
      <c r="O3383" s="141" t="s">
        <v>133</v>
      </c>
      <c r="P3383" s="136" t="str">
        <f>IFERROR(__xludf.DUMMYFUNCTION("""COMPUTED_VALUE"""),"")</f>
        <v/>
      </c>
      <c r="Q3383" s="136" t="str">
        <f>IFERROR(__xludf.DUMMYFUNCTION("""COMPUTED_VALUE"""),"")</f>
        <v/>
      </c>
      <c r="R3383" s="106" t="str">
        <f>IFERROR(__xludf.DUMMYFUNCTION("""COMPUTED_VALUE"""),"")</f>
        <v/>
      </c>
      <c r="S3383" s="106" t="str">
        <f>IFERROR(__xludf.DUMMYFUNCTION("""COMPUTED_VALUE"""),"")</f>
        <v/>
      </c>
      <c r="T3383" s="139" t="str">
        <f>IFERROR(__xludf.DUMMYFUNCTION("""COMPUTED_VALUE"""),"")</f>
        <v/>
      </c>
      <c r="U3383" s="139" t="str">
        <f>IFERROR(__xludf.DUMMYFUNCTION("""COMPUTED_VALUE"""),"")</f>
        <v/>
      </c>
      <c r="V3383" s="136" t="str">
        <f>IFERROR(__xludf.DUMMYFUNCTION("""COMPUTED_VALUE"""),"")</f>
        <v/>
      </c>
      <c r="W3383" s="106" t="str">
        <f>IFERROR(__xludf.DUMMYFUNCTION("""COMPUTED_VALUE"""),"")</f>
        <v/>
      </c>
      <c r="X3383" s="143" t="str">
        <f t="shared" si="2"/>
        <v/>
      </c>
      <c r="Y3383" s="139" t="str">
        <f>IFERROR(__xludf.DUMMYFUNCTION("""COMPUTED_VALUE"""),"")</f>
        <v/>
      </c>
      <c r="Z3383" s="141" t="str">
        <f>IFERROR(__xludf.DUMMYFUNCTION("""COMPUTED_VALUE"""),"")</f>
        <v/>
      </c>
    </row>
    <row r="3384">
      <c r="D3384" s="136" t="str">
        <f t="shared" si="3"/>
        <v/>
      </c>
      <c r="E3384" s="152"/>
      <c r="F3384" s="106" t="s">
        <v>133</v>
      </c>
      <c r="G3384" s="152"/>
      <c r="H3384" s="106" t="s">
        <v>133</v>
      </c>
      <c r="J3384" s="139" t="s">
        <v>133</v>
      </c>
      <c r="K3384" s="136" t="s">
        <v>133</v>
      </c>
      <c r="L3384" s="153"/>
      <c r="M3384" s="136" t="str">
        <f t="shared" si="1"/>
        <v/>
      </c>
      <c r="O3384" s="141" t="s">
        <v>133</v>
      </c>
      <c r="P3384" s="136" t="str">
        <f>IFERROR(__xludf.DUMMYFUNCTION("""COMPUTED_VALUE"""),"")</f>
        <v/>
      </c>
      <c r="Q3384" s="136" t="str">
        <f>IFERROR(__xludf.DUMMYFUNCTION("""COMPUTED_VALUE"""),"")</f>
        <v/>
      </c>
      <c r="R3384" s="106" t="str">
        <f>IFERROR(__xludf.DUMMYFUNCTION("""COMPUTED_VALUE"""),"")</f>
        <v/>
      </c>
      <c r="S3384" s="106" t="str">
        <f>IFERROR(__xludf.DUMMYFUNCTION("""COMPUTED_VALUE"""),"")</f>
        <v/>
      </c>
      <c r="T3384" s="139" t="str">
        <f>IFERROR(__xludf.DUMMYFUNCTION("""COMPUTED_VALUE"""),"")</f>
        <v/>
      </c>
      <c r="U3384" s="139" t="str">
        <f>IFERROR(__xludf.DUMMYFUNCTION("""COMPUTED_VALUE"""),"")</f>
        <v/>
      </c>
      <c r="V3384" s="136" t="str">
        <f>IFERROR(__xludf.DUMMYFUNCTION("""COMPUTED_VALUE"""),"")</f>
        <v/>
      </c>
      <c r="W3384" s="106" t="str">
        <f>IFERROR(__xludf.DUMMYFUNCTION("""COMPUTED_VALUE"""),"")</f>
        <v/>
      </c>
      <c r="X3384" s="143" t="str">
        <f t="shared" si="2"/>
        <v/>
      </c>
      <c r="Y3384" s="139" t="str">
        <f>IFERROR(__xludf.DUMMYFUNCTION("""COMPUTED_VALUE"""),"")</f>
        <v/>
      </c>
      <c r="Z3384" s="141" t="str">
        <f>IFERROR(__xludf.DUMMYFUNCTION("""COMPUTED_VALUE"""),"")</f>
        <v/>
      </c>
    </row>
    <row r="3385">
      <c r="D3385" s="136" t="str">
        <f t="shared" si="3"/>
        <v/>
      </c>
      <c r="E3385" s="152"/>
      <c r="F3385" s="106" t="s">
        <v>133</v>
      </c>
      <c r="G3385" s="152"/>
      <c r="H3385" s="106" t="s">
        <v>133</v>
      </c>
      <c r="J3385" s="139" t="s">
        <v>133</v>
      </c>
      <c r="K3385" s="136" t="s">
        <v>133</v>
      </c>
      <c r="L3385" s="153"/>
      <c r="M3385" s="136" t="str">
        <f t="shared" si="1"/>
        <v/>
      </c>
      <c r="O3385" s="141" t="s">
        <v>133</v>
      </c>
      <c r="P3385" s="136" t="str">
        <f>IFERROR(__xludf.DUMMYFUNCTION("""COMPUTED_VALUE"""),"")</f>
        <v/>
      </c>
      <c r="Q3385" s="136" t="str">
        <f>IFERROR(__xludf.DUMMYFUNCTION("""COMPUTED_VALUE"""),"")</f>
        <v/>
      </c>
      <c r="R3385" s="106" t="str">
        <f>IFERROR(__xludf.DUMMYFUNCTION("""COMPUTED_VALUE"""),"")</f>
        <v/>
      </c>
      <c r="S3385" s="106" t="str">
        <f>IFERROR(__xludf.DUMMYFUNCTION("""COMPUTED_VALUE"""),"")</f>
        <v/>
      </c>
      <c r="T3385" s="139" t="str">
        <f>IFERROR(__xludf.DUMMYFUNCTION("""COMPUTED_VALUE"""),"")</f>
        <v/>
      </c>
      <c r="U3385" s="139" t="str">
        <f>IFERROR(__xludf.DUMMYFUNCTION("""COMPUTED_VALUE"""),"")</f>
        <v/>
      </c>
      <c r="V3385" s="136" t="str">
        <f>IFERROR(__xludf.DUMMYFUNCTION("""COMPUTED_VALUE"""),"")</f>
        <v/>
      </c>
      <c r="W3385" s="106" t="str">
        <f>IFERROR(__xludf.DUMMYFUNCTION("""COMPUTED_VALUE"""),"")</f>
        <v/>
      </c>
      <c r="X3385" s="143" t="str">
        <f t="shared" si="2"/>
        <v/>
      </c>
      <c r="Y3385" s="139" t="str">
        <f>IFERROR(__xludf.DUMMYFUNCTION("""COMPUTED_VALUE"""),"")</f>
        <v/>
      </c>
      <c r="Z3385" s="141" t="str">
        <f>IFERROR(__xludf.DUMMYFUNCTION("""COMPUTED_VALUE"""),"")</f>
        <v/>
      </c>
    </row>
    <row r="3386">
      <c r="D3386" s="136" t="str">
        <f t="shared" si="3"/>
        <v/>
      </c>
      <c r="E3386" s="152"/>
      <c r="F3386" s="106" t="s">
        <v>133</v>
      </c>
      <c r="G3386" s="152"/>
      <c r="H3386" s="106" t="s">
        <v>133</v>
      </c>
      <c r="J3386" s="139" t="s">
        <v>133</v>
      </c>
      <c r="K3386" s="136" t="s">
        <v>133</v>
      </c>
      <c r="L3386" s="153"/>
      <c r="M3386" s="136" t="str">
        <f t="shared" si="1"/>
        <v/>
      </c>
      <c r="O3386" s="141" t="s">
        <v>133</v>
      </c>
      <c r="P3386" s="136" t="str">
        <f>IFERROR(__xludf.DUMMYFUNCTION("""COMPUTED_VALUE"""),"")</f>
        <v/>
      </c>
      <c r="Q3386" s="136" t="str">
        <f>IFERROR(__xludf.DUMMYFUNCTION("""COMPUTED_VALUE"""),"")</f>
        <v/>
      </c>
      <c r="R3386" s="106" t="str">
        <f>IFERROR(__xludf.DUMMYFUNCTION("""COMPUTED_VALUE"""),"")</f>
        <v/>
      </c>
      <c r="S3386" s="106" t="str">
        <f>IFERROR(__xludf.DUMMYFUNCTION("""COMPUTED_VALUE"""),"")</f>
        <v/>
      </c>
      <c r="T3386" s="139" t="str">
        <f>IFERROR(__xludf.DUMMYFUNCTION("""COMPUTED_VALUE"""),"")</f>
        <v/>
      </c>
      <c r="U3386" s="139" t="str">
        <f>IFERROR(__xludf.DUMMYFUNCTION("""COMPUTED_VALUE"""),"")</f>
        <v/>
      </c>
      <c r="V3386" s="136" t="str">
        <f>IFERROR(__xludf.DUMMYFUNCTION("""COMPUTED_VALUE"""),"")</f>
        <v/>
      </c>
      <c r="W3386" s="106" t="str">
        <f>IFERROR(__xludf.DUMMYFUNCTION("""COMPUTED_VALUE"""),"")</f>
        <v/>
      </c>
      <c r="X3386" s="143" t="str">
        <f t="shared" si="2"/>
        <v/>
      </c>
      <c r="Y3386" s="139" t="str">
        <f>IFERROR(__xludf.DUMMYFUNCTION("""COMPUTED_VALUE"""),"")</f>
        <v/>
      </c>
      <c r="Z3386" s="141" t="str">
        <f>IFERROR(__xludf.DUMMYFUNCTION("""COMPUTED_VALUE"""),"")</f>
        <v/>
      </c>
    </row>
    <row r="3387">
      <c r="D3387" s="136" t="str">
        <f t="shared" si="3"/>
        <v/>
      </c>
      <c r="E3387" s="152"/>
      <c r="F3387" s="106" t="s">
        <v>133</v>
      </c>
      <c r="G3387" s="152"/>
      <c r="H3387" s="106" t="s">
        <v>133</v>
      </c>
      <c r="J3387" s="139" t="s">
        <v>133</v>
      </c>
      <c r="K3387" s="136" t="s">
        <v>133</v>
      </c>
      <c r="L3387" s="153"/>
      <c r="M3387" s="136" t="str">
        <f t="shared" si="1"/>
        <v/>
      </c>
      <c r="O3387" s="141" t="s">
        <v>133</v>
      </c>
      <c r="P3387" s="136" t="str">
        <f>IFERROR(__xludf.DUMMYFUNCTION("""COMPUTED_VALUE"""),"")</f>
        <v/>
      </c>
      <c r="Q3387" s="136" t="str">
        <f>IFERROR(__xludf.DUMMYFUNCTION("""COMPUTED_VALUE"""),"")</f>
        <v/>
      </c>
      <c r="R3387" s="106" t="str">
        <f>IFERROR(__xludf.DUMMYFUNCTION("""COMPUTED_VALUE"""),"")</f>
        <v/>
      </c>
      <c r="S3387" s="106" t="str">
        <f>IFERROR(__xludf.DUMMYFUNCTION("""COMPUTED_VALUE"""),"")</f>
        <v/>
      </c>
      <c r="T3387" s="139" t="str">
        <f>IFERROR(__xludf.DUMMYFUNCTION("""COMPUTED_VALUE"""),"")</f>
        <v/>
      </c>
      <c r="U3387" s="139" t="str">
        <f>IFERROR(__xludf.DUMMYFUNCTION("""COMPUTED_VALUE"""),"")</f>
        <v/>
      </c>
      <c r="V3387" s="136" t="str">
        <f>IFERROR(__xludf.DUMMYFUNCTION("""COMPUTED_VALUE"""),"")</f>
        <v/>
      </c>
      <c r="W3387" s="106" t="str">
        <f>IFERROR(__xludf.DUMMYFUNCTION("""COMPUTED_VALUE"""),"")</f>
        <v/>
      </c>
      <c r="X3387" s="143" t="str">
        <f t="shared" si="2"/>
        <v/>
      </c>
      <c r="Y3387" s="139" t="str">
        <f>IFERROR(__xludf.DUMMYFUNCTION("""COMPUTED_VALUE"""),"")</f>
        <v/>
      </c>
      <c r="Z3387" s="141" t="str">
        <f>IFERROR(__xludf.DUMMYFUNCTION("""COMPUTED_VALUE"""),"")</f>
        <v/>
      </c>
    </row>
    <row r="3388">
      <c r="D3388" s="136" t="str">
        <f t="shared" si="3"/>
        <v/>
      </c>
      <c r="E3388" s="152"/>
      <c r="F3388" s="106" t="s">
        <v>133</v>
      </c>
      <c r="G3388" s="152"/>
      <c r="H3388" s="106" t="s">
        <v>133</v>
      </c>
      <c r="J3388" s="139" t="s">
        <v>133</v>
      </c>
      <c r="K3388" s="136" t="s">
        <v>133</v>
      </c>
      <c r="L3388" s="153"/>
      <c r="M3388" s="136" t="str">
        <f t="shared" si="1"/>
        <v/>
      </c>
      <c r="O3388" s="141" t="s">
        <v>133</v>
      </c>
      <c r="P3388" s="136" t="str">
        <f>IFERROR(__xludf.DUMMYFUNCTION("""COMPUTED_VALUE"""),"")</f>
        <v/>
      </c>
      <c r="Q3388" s="136" t="str">
        <f>IFERROR(__xludf.DUMMYFUNCTION("""COMPUTED_VALUE"""),"")</f>
        <v/>
      </c>
      <c r="R3388" s="106" t="str">
        <f>IFERROR(__xludf.DUMMYFUNCTION("""COMPUTED_VALUE"""),"")</f>
        <v/>
      </c>
      <c r="S3388" s="106" t="str">
        <f>IFERROR(__xludf.DUMMYFUNCTION("""COMPUTED_VALUE"""),"")</f>
        <v/>
      </c>
      <c r="T3388" s="139" t="str">
        <f>IFERROR(__xludf.DUMMYFUNCTION("""COMPUTED_VALUE"""),"")</f>
        <v/>
      </c>
      <c r="U3388" s="139" t="str">
        <f>IFERROR(__xludf.DUMMYFUNCTION("""COMPUTED_VALUE"""),"")</f>
        <v/>
      </c>
      <c r="V3388" s="136" t="str">
        <f>IFERROR(__xludf.DUMMYFUNCTION("""COMPUTED_VALUE"""),"")</f>
        <v/>
      </c>
      <c r="W3388" s="106" t="str">
        <f>IFERROR(__xludf.DUMMYFUNCTION("""COMPUTED_VALUE"""),"")</f>
        <v/>
      </c>
      <c r="X3388" s="143" t="str">
        <f t="shared" si="2"/>
        <v/>
      </c>
      <c r="Y3388" s="139" t="str">
        <f>IFERROR(__xludf.DUMMYFUNCTION("""COMPUTED_VALUE"""),"")</f>
        <v/>
      </c>
      <c r="Z3388" s="141" t="str">
        <f>IFERROR(__xludf.DUMMYFUNCTION("""COMPUTED_VALUE"""),"")</f>
        <v/>
      </c>
    </row>
    <row r="3389">
      <c r="D3389" s="136" t="str">
        <f t="shared" si="3"/>
        <v/>
      </c>
      <c r="E3389" s="152"/>
      <c r="F3389" s="106" t="s">
        <v>133</v>
      </c>
      <c r="G3389" s="152"/>
      <c r="H3389" s="106" t="s">
        <v>133</v>
      </c>
      <c r="J3389" s="139" t="s">
        <v>133</v>
      </c>
      <c r="K3389" s="136" t="s">
        <v>133</v>
      </c>
      <c r="L3389" s="153"/>
      <c r="M3389" s="136" t="str">
        <f t="shared" si="1"/>
        <v/>
      </c>
      <c r="O3389" s="141" t="s">
        <v>133</v>
      </c>
      <c r="P3389" s="136" t="str">
        <f>IFERROR(__xludf.DUMMYFUNCTION("""COMPUTED_VALUE"""),"")</f>
        <v/>
      </c>
      <c r="Q3389" s="136" t="str">
        <f>IFERROR(__xludf.DUMMYFUNCTION("""COMPUTED_VALUE"""),"")</f>
        <v/>
      </c>
      <c r="R3389" s="106" t="str">
        <f>IFERROR(__xludf.DUMMYFUNCTION("""COMPUTED_VALUE"""),"")</f>
        <v/>
      </c>
      <c r="S3389" s="106" t="str">
        <f>IFERROR(__xludf.DUMMYFUNCTION("""COMPUTED_VALUE"""),"")</f>
        <v/>
      </c>
      <c r="T3389" s="139" t="str">
        <f>IFERROR(__xludf.DUMMYFUNCTION("""COMPUTED_VALUE"""),"")</f>
        <v/>
      </c>
      <c r="U3389" s="139" t="str">
        <f>IFERROR(__xludf.DUMMYFUNCTION("""COMPUTED_VALUE"""),"")</f>
        <v/>
      </c>
      <c r="V3389" s="136" t="str">
        <f>IFERROR(__xludf.DUMMYFUNCTION("""COMPUTED_VALUE"""),"")</f>
        <v/>
      </c>
      <c r="W3389" s="106" t="str">
        <f>IFERROR(__xludf.DUMMYFUNCTION("""COMPUTED_VALUE"""),"")</f>
        <v/>
      </c>
      <c r="X3389" s="143" t="str">
        <f t="shared" si="2"/>
        <v/>
      </c>
      <c r="Y3389" s="139" t="str">
        <f>IFERROR(__xludf.DUMMYFUNCTION("""COMPUTED_VALUE"""),"")</f>
        <v/>
      </c>
      <c r="Z3389" s="141" t="str">
        <f>IFERROR(__xludf.DUMMYFUNCTION("""COMPUTED_VALUE"""),"")</f>
        <v/>
      </c>
    </row>
    <row r="3390">
      <c r="D3390" s="136" t="str">
        <f t="shared" si="3"/>
        <v/>
      </c>
      <c r="E3390" s="152"/>
      <c r="F3390" s="106" t="s">
        <v>133</v>
      </c>
      <c r="G3390" s="152"/>
      <c r="H3390" s="106" t="s">
        <v>133</v>
      </c>
      <c r="J3390" s="139" t="s">
        <v>133</v>
      </c>
      <c r="K3390" s="136" t="s">
        <v>133</v>
      </c>
      <c r="L3390" s="153"/>
      <c r="M3390" s="136" t="str">
        <f t="shared" si="1"/>
        <v/>
      </c>
      <c r="O3390" s="141" t="s">
        <v>133</v>
      </c>
      <c r="P3390" s="136" t="str">
        <f>IFERROR(__xludf.DUMMYFUNCTION("""COMPUTED_VALUE"""),"")</f>
        <v/>
      </c>
      <c r="Q3390" s="136" t="str">
        <f>IFERROR(__xludf.DUMMYFUNCTION("""COMPUTED_VALUE"""),"")</f>
        <v/>
      </c>
      <c r="R3390" s="106" t="str">
        <f>IFERROR(__xludf.DUMMYFUNCTION("""COMPUTED_VALUE"""),"")</f>
        <v/>
      </c>
      <c r="S3390" s="106" t="str">
        <f>IFERROR(__xludf.DUMMYFUNCTION("""COMPUTED_VALUE"""),"")</f>
        <v/>
      </c>
      <c r="T3390" s="139" t="str">
        <f>IFERROR(__xludf.DUMMYFUNCTION("""COMPUTED_VALUE"""),"")</f>
        <v/>
      </c>
      <c r="U3390" s="139" t="str">
        <f>IFERROR(__xludf.DUMMYFUNCTION("""COMPUTED_VALUE"""),"")</f>
        <v/>
      </c>
      <c r="V3390" s="136" t="str">
        <f>IFERROR(__xludf.DUMMYFUNCTION("""COMPUTED_VALUE"""),"")</f>
        <v/>
      </c>
      <c r="W3390" s="106" t="str">
        <f>IFERROR(__xludf.DUMMYFUNCTION("""COMPUTED_VALUE"""),"")</f>
        <v/>
      </c>
      <c r="X3390" s="143" t="str">
        <f t="shared" si="2"/>
        <v/>
      </c>
      <c r="Y3390" s="139" t="str">
        <f>IFERROR(__xludf.DUMMYFUNCTION("""COMPUTED_VALUE"""),"")</f>
        <v/>
      </c>
      <c r="Z3390" s="141" t="str">
        <f>IFERROR(__xludf.DUMMYFUNCTION("""COMPUTED_VALUE"""),"")</f>
        <v/>
      </c>
    </row>
    <row r="3391">
      <c r="D3391" s="136" t="str">
        <f t="shared" si="3"/>
        <v/>
      </c>
      <c r="E3391" s="152"/>
      <c r="F3391" s="106" t="s">
        <v>133</v>
      </c>
      <c r="G3391" s="152"/>
      <c r="H3391" s="106" t="s">
        <v>133</v>
      </c>
      <c r="J3391" s="139" t="s">
        <v>133</v>
      </c>
      <c r="K3391" s="136" t="s">
        <v>133</v>
      </c>
      <c r="L3391" s="153"/>
      <c r="M3391" s="136" t="str">
        <f t="shared" si="1"/>
        <v/>
      </c>
      <c r="O3391" s="141" t="s">
        <v>133</v>
      </c>
      <c r="P3391" s="136" t="str">
        <f>IFERROR(__xludf.DUMMYFUNCTION("""COMPUTED_VALUE"""),"")</f>
        <v/>
      </c>
      <c r="Q3391" s="136" t="str">
        <f>IFERROR(__xludf.DUMMYFUNCTION("""COMPUTED_VALUE"""),"")</f>
        <v/>
      </c>
      <c r="R3391" s="106" t="str">
        <f>IFERROR(__xludf.DUMMYFUNCTION("""COMPUTED_VALUE"""),"")</f>
        <v/>
      </c>
      <c r="S3391" s="106" t="str">
        <f>IFERROR(__xludf.DUMMYFUNCTION("""COMPUTED_VALUE"""),"")</f>
        <v/>
      </c>
      <c r="T3391" s="139" t="str">
        <f>IFERROR(__xludf.DUMMYFUNCTION("""COMPUTED_VALUE"""),"")</f>
        <v/>
      </c>
      <c r="U3391" s="139" t="str">
        <f>IFERROR(__xludf.DUMMYFUNCTION("""COMPUTED_VALUE"""),"")</f>
        <v/>
      </c>
      <c r="V3391" s="136" t="str">
        <f>IFERROR(__xludf.DUMMYFUNCTION("""COMPUTED_VALUE"""),"")</f>
        <v/>
      </c>
      <c r="W3391" s="106" t="str">
        <f>IFERROR(__xludf.DUMMYFUNCTION("""COMPUTED_VALUE"""),"")</f>
        <v/>
      </c>
      <c r="X3391" s="143" t="str">
        <f t="shared" si="2"/>
        <v/>
      </c>
      <c r="Y3391" s="139" t="str">
        <f>IFERROR(__xludf.DUMMYFUNCTION("""COMPUTED_VALUE"""),"")</f>
        <v/>
      </c>
      <c r="Z3391" s="141" t="str">
        <f>IFERROR(__xludf.DUMMYFUNCTION("""COMPUTED_VALUE"""),"")</f>
        <v/>
      </c>
    </row>
    <row r="3392">
      <c r="D3392" s="136" t="str">
        <f t="shared" si="3"/>
        <v/>
      </c>
      <c r="E3392" s="152"/>
      <c r="F3392" s="106" t="s">
        <v>133</v>
      </c>
      <c r="G3392" s="152"/>
      <c r="H3392" s="106" t="s">
        <v>133</v>
      </c>
      <c r="J3392" s="139" t="s">
        <v>133</v>
      </c>
      <c r="K3392" s="136" t="s">
        <v>133</v>
      </c>
      <c r="L3392" s="153"/>
      <c r="M3392" s="136" t="str">
        <f t="shared" si="1"/>
        <v/>
      </c>
      <c r="O3392" s="141" t="s">
        <v>133</v>
      </c>
      <c r="P3392" s="136" t="str">
        <f>IFERROR(__xludf.DUMMYFUNCTION("""COMPUTED_VALUE"""),"")</f>
        <v/>
      </c>
      <c r="Q3392" s="136" t="str">
        <f>IFERROR(__xludf.DUMMYFUNCTION("""COMPUTED_VALUE"""),"")</f>
        <v/>
      </c>
      <c r="R3392" s="106" t="str">
        <f>IFERROR(__xludf.DUMMYFUNCTION("""COMPUTED_VALUE"""),"")</f>
        <v/>
      </c>
      <c r="S3392" s="106" t="str">
        <f>IFERROR(__xludf.DUMMYFUNCTION("""COMPUTED_VALUE"""),"")</f>
        <v/>
      </c>
      <c r="T3392" s="139" t="str">
        <f>IFERROR(__xludf.DUMMYFUNCTION("""COMPUTED_VALUE"""),"")</f>
        <v/>
      </c>
      <c r="U3392" s="139" t="str">
        <f>IFERROR(__xludf.DUMMYFUNCTION("""COMPUTED_VALUE"""),"")</f>
        <v/>
      </c>
      <c r="V3392" s="136" t="str">
        <f>IFERROR(__xludf.DUMMYFUNCTION("""COMPUTED_VALUE"""),"")</f>
        <v/>
      </c>
      <c r="W3392" s="106" t="str">
        <f>IFERROR(__xludf.DUMMYFUNCTION("""COMPUTED_VALUE"""),"")</f>
        <v/>
      </c>
      <c r="X3392" s="143" t="str">
        <f t="shared" si="2"/>
        <v/>
      </c>
      <c r="Y3392" s="139" t="str">
        <f>IFERROR(__xludf.DUMMYFUNCTION("""COMPUTED_VALUE"""),"")</f>
        <v/>
      </c>
      <c r="Z3392" s="141" t="str">
        <f>IFERROR(__xludf.DUMMYFUNCTION("""COMPUTED_VALUE"""),"")</f>
        <v/>
      </c>
    </row>
    <row r="3393">
      <c r="D3393" s="136" t="str">
        <f t="shared" si="3"/>
        <v/>
      </c>
      <c r="E3393" s="152"/>
      <c r="F3393" s="106" t="s">
        <v>133</v>
      </c>
      <c r="G3393" s="152"/>
      <c r="H3393" s="106" t="s">
        <v>133</v>
      </c>
      <c r="J3393" s="139" t="s">
        <v>133</v>
      </c>
      <c r="K3393" s="136" t="s">
        <v>133</v>
      </c>
      <c r="L3393" s="153"/>
      <c r="M3393" s="136" t="str">
        <f t="shared" si="1"/>
        <v/>
      </c>
      <c r="O3393" s="141" t="s">
        <v>133</v>
      </c>
      <c r="P3393" s="136" t="str">
        <f>IFERROR(__xludf.DUMMYFUNCTION("""COMPUTED_VALUE"""),"")</f>
        <v/>
      </c>
      <c r="Q3393" s="136" t="str">
        <f>IFERROR(__xludf.DUMMYFUNCTION("""COMPUTED_VALUE"""),"")</f>
        <v/>
      </c>
      <c r="R3393" s="106" t="str">
        <f>IFERROR(__xludf.DUMMYFUNCTION("""COMPUTED_VALUE"""),"")</f>
        <v/>
      </c>
      <c r="S3393" s="106" t="str">
        <f>IFERROR(__xludf.DUMMYFUNCTION("""COMPUTED_VALUE"""),"")</f>
        <v/>
      </c>
      <c r="T3393" s="139" t="str">
        <f>IFERROR(__xludf.DUMMYFUNCTION("""COMPUTED_VALUE"""),"")</f>
        <v/>
      </c>
      <c r="U3393" s="139" t="str">
        <f>IFERROR(__xludf.DUMMYFUNCTION("""COMPUTED_VALUE"""),"")</f>
        <v/>
      </c>
      <c r="V3393" s="136" t="str">
        <f>IFERROR(__xludf.DUMMYFUNCTION("""COMPUTED_VALUE"""),"")</f>
        <v/>
      </c>
      <c r="W3393" s="106" t="str">
        <f>IFERROR(__xludf.DUMMYFUNCTION("""COMPUTED_VALUE"""),"")</f>
        <v/>
      </c>
      <c r="X3393" s="143" t="str">
        <f t="shared" si="2"/>
        <v/>
      </c>
      <c r="Y3393" s="139" t="str">
        <f>IFERROR(__xludf.DUMMYFUNCTION("""COMPUTED_VALUE"""),"")</f>
        <v/>
      </c>
      <c r="Z3393" s="141" t="str">
        <f>IFERROR(__xludf.DUMMYFUNCTION("""COMPUTED_VALUE"""),"")</f>
        <v/>
      </c>
    </row>
    <row r="3394">
      <c r="D3394" s="136" t="str">
        <f t="shared" si="3"/>
        <v/>
      </c>
      <c r="E3394" s="152"/>
      <c r="F3394" s="106" t="s">
        <v>133</v>
      </c>
      <c r="G3394" s="152"/>
      <c r="H3394" s="106" t="s">
        <v>133</v>
      </c>
      <c r="J3394" s="139" t="s">
        <v>133</v>
      </c>
      <c r="K3394" s="136" t="s">
        <v>133</v>
      </c>
      <c r="L3394" s="153"/>
      <c r="M3394" s="136" t="str">
        <f t="shared" si="1"/>
        <v/>
      </c>
      <c r="O3394" s="141" t="s">
        <v>133</v>
      </c>
      <c r="P3394" s="136" t="str">
        <f>IFERROR(__xludf.DUMMYFUNCTION("""COMPUTED_VALUE"""),"")</f>
        <v/>
      </c>
      <c r="Q3394" s="136" t="str">
        <f>IFERROR(__xludf.DUMMYFUNCTION("""COMPUTED_VALUE"""),"")</f>
        <v/>
      </c>
      <c r="R3394" s="106" t="str">
        <f>IFERROR(__xludf.DUMMYFUNCTION("""COMPUTED_VALUE"""),"")</f>
        <v/>
      </c>
      <c r="S3394" s="106" t="str">
        <f>IFERROR(__xludf.DUMMYFUNCTION("""COMPUTED_VALUE"""),"")</f>
        <v/>
      </c>
      <c r="T3394" s="139" t="str">
        <f>IFERROR(__xludf.DUMMYFUNCTION("""COMPUTED_VALUE"""),"")</f>
        <v/>
      </c>
      <c r="U3394" s="139" t="str">
        <f>IFERROR(__xludf.DUMMYFUNCTION("""COMPUTED_VALUE"""),"")</f>
        <v/>
      </c>
      <c r="V3394" s="136" t="str">
        <f>IFERROR(__xludf.DUMMYFUNCTION("""COMPUTED_VALUE"""),"")</f>
        <v/>
      </c>
      <c r="W3394" s="106" t="str">
        <f>IFERROR(__xludf.DUMMYFUNCTION("""COMPUTED_VALUE"""),"")</f>
        <v/>
      </c>
      <c r="X3394" s="143" t="str">
        <f t="shared" si="2"/>
        <v/>
      </c>
      <c r="Y3394" s="139" t="str">
        <f>IFERROR(__xludf.DUMMYFUNCTION("""COMPUTED_VALUE"""),"")</f>
        <v/>
      </c>
      <c r="Z3394" s="141" t="str">
        <f>IFERROR(__xludf.DUMMYFUNCTION("""COMPUTED_VALUE"""),"")</f>
        <v/>
      </c>
    </row>
    <row r="3395">
      <c r="D3395" s="136" t="str">
        <f t="shared" si="3"/>
        <v/>
      </c>
      <c r="E3395" s="152"/>
      <c r="F3395" s="106" t="s">
        <v>133</v>
      </c>
      <c r="G3395" s="152"/>
      <c r="H3395" s="106" t="s">
        <v>133</v>
      </c>
      <c r="J3395" s="139" t="s">
        <v>133</v>
      </c>
      <c r="K3395" s="136" t="s">
        <v>133</v>
      </c>
      <c r="L3395" s="153"/>
      <c r="M3395" s="136" t="str">
        <f t="shared" si="1"/>
        <v/>
      </c>
      <c r="O3395" s="141" t="s">
        <v>133</v>
      </c>
      <c r="P3395" s="136" t="str">
        <f>IFERROR(__xludf.DUMMYFUNCTION("""COMPUTED_VALUE"""),"")</f>
        <v/>
      </c>
      <c r="Q3395" s="136" t="str">
        <f>IFERROR(__xludf.DUMMYFUNCTION("""COMPUTED_VALUE"""),"")</f>
        <v/>
      </c>
      <c r="R3395" s="106" t="str">
        <f>IFERROR(__xludf.DUMMYFUNCTION("""COMPUTED_VALUE"""),"")</f>
        <v/>
      </c>
      <c r="S3395" s="106" t="str">
        <f>IFERROR(__xludf.DUMMYFUNCTION("""COMPUTED_VALUE"""),"")</f>
        <v/>
      </c>
      <c r="T3395" s="139" t="str">
        <f>IFERROR(__xludf.DUMMYFUNCTION("""COMPUTED_VALUE"""),"")</f>
        <v/>
      </c>
      <c r="U3395" s="139" t="str">
        <f>IFERROR(__xludf.DUMMYFUNCTION("""COMPUTED_VALUE"""),"")</f>
        <v/>
      </c>
      <c r="V3395" s="136" t="str">
        <f>IFERROR(__xludf.DUMMYFUNCTION("""COMPUTED_VALUE"""),"")</f>
        <v/>
      </c>
      <c r="W3395" s="106" t="str">
        <f>IFERROR(__xludf.DUMMYFUNCTION("""COMPUTED_VALUE"""),"")</f>
        <v/>
      </c>
      <c r="X3395" s="143" t="str">
        <f t="shared" si="2"/>
        <v/>
      </c>
      <c r="Y3395" s="139" t="str">
        <f>IFERROR(__xludf.DUMMYFUNCTION("""COMPUTED_VALUE"""),"")</f>
        <v/>
      </c>
      <c r="Z3395" s="141" t="str">
        <f>IFERROR(__xludf.DUMMYFUNCTION("""COMPUTED_VALUE"""),"")</f>
        <v/>
      </c>
    </row>
    <row r="3396">
      <c r="D3396" s="136" t="str">
        <f t="shared" si="3"/>
        <v/>
      </c>
      <c r="E3396" s="152"/>
      <c r="F3396" s="106" t="s">
        <v>133</v>
      </c>
      <c r="G3396" s="152"/>
      <c r="H3396" s="106" t="s">
        <v>133</v>
      </c>
      <c r="J3396" s="139" t="s">
        <v>133</v>
      </c>
      <c r="K3396" s="136" t="s">
        <v>133</v>
      </c>
      <c r="L3396" s="153"/>
      <c r="M3396" s="136" t="str">
        <f t="shared" si="1"/>
        <v/>
      </c>
      <c r="O3396" s="141" t="s">
        <v>133</v>
      </c>
      <c r="P3396" s="136" t="str">
        <f>IFERROR(__xludf.DUMMYFUNCTION("""COMPUTED_VALUE"""),"")</f>
        <v/>
      </c>
      <c r="Q3396" s="136" t="str">
        <f>IFERROR(__xludf.DUMMYFUNCTION("""COMPUTED_VALUE"""),"")</f>
        <v/>
      </c>
      <c r="R3396" s="106" t="str">
        <f>IFERROR(__xludf.DUMMYFUNCTION("""COMPUTED_VALUE"""),"")</f>
        <v/>
      </c>
      <c r="S3396" s="106" t="str">
        <f>IFERROR(__xludf.DUMMYFUNCTION("""COMPUTED_VALUE"""),"")</f>
        <v/>
      </c>
      <c r="T3396" s="139" t="str">
        <f>IFERROR(__xludf.DUMMYFUNCTION("""COMPUTED_VALUE"""),"")</f>
        <v/>
      </c>
      <c r="U3396" s="139" t="str">
        <f>IFERROR(__xludf.DUMMYFUNCTION("""COMPUTED_VALUE"""),"")</f>
        <v/>
      </c>
      <c r="V3396" s="136" t="str">
        <f>IFERROR(__xludf.DUMMYFUNCTION("""COMPUTED_VALUE"""),"")</f>
        <v/>
      </c>
      <c r="W3396" s="106" t="str">
        <f>IFERROR(__xludf.DUMMYFUNCTION("""COMPUTED_VALUE"""),"")</f>
        <v/>
      </c>
      <c r="X3396" s="143" t="str">
        <f t="shared" si="2"/>
        <v/>
      </c>
      <c r="Y3396" s="139" t="str">
        <f>IFERROR(__xludf.DUMMYFUNCTION("""COMPUTED_VALUE"""),"")</f>
        <v/>
      </c>
      <c r="Z3396" s="141" t="str">
        <f>IFERROR(__xludf.DUMMYFUNCTION("""COMPUTED_VALUE"""),"")</f>
        <v/>
      </c>
    </row>
    <row r="3397">
      <c r="D3397" s="136" t="str">
        <f t="shared" si="3"/>
        <v/>
      </c>
      <c r="E3397" s="152"/>
      <c r="F3397" s="106" t="s">
        <v>133</v>
      </c>
      <c r="G3397" s="152"/>
      <c r="H3397" s="106" t="s">
        <v>133</v>
      </c>
      <c r="J3397" s="139" t="s">
        <v>133</v>
      </c>
      <c r="K3397" s="136" t="s">
        <v>133</v>
      </c>
      <c r="L3397" s="153"/>
      <c r="M3397" s="136" t="str">
        <f t="shared" si="1"/>
        <v/>
      </c>
      <c r="O3397" s="141" t="s">
        <v>133</v>
      </c>
      <c r="P3397" s="136" t="str">
        <f>IFERROR(__xludf.DUMMYFUNCTION("""COMPUTED_VALUE"""),"")</f>
        <v/>
      </c>
      <c r="Q3397" s="136" t="str">
        <f>IFERROR(__xludf.DUMMYFUNCTION("""COMPUTED_VALUE"""),"")</f>
        <v/>
      </c>
      <c r="R3397" s="106" t="str">
        <f>IFERROR(__xludf.DUMMYFUNCTION("""COMPUTED_VALUE"""),"")</f>
        <v/>
      </c>
      <c r="S3397" s="106" t="str">
        <f>IFERROR(__xludf.DUMMYFUNCTION("""COMPUTED_VALUE"""),"")</f>
        <v/>
      </c>
      <c r="T3397" s="139" t="str">
        <f>IFERROR(__xludf.DUMMYFUNCTION("""COMPUTED_VALUE"""),"")</f>
        <v/>
      </c>
      <c r="U3397" s="139" t="str">
        <f>IFERROR(__xludf.DUMMYFUNCTION("""COMPUTED_VALUE"""),"")</f>
        <v/>
      </c>
      <c r="V3397" s="136" t="str">
        <f>IFERROR(__xludf.DUMMYFUNCTION("""COMPUTED_VALUE"""),"")</f>
        <v/>
      </c>
      <c r="W3397" s="106" t="str">
        <f>IFERROR(__xludf.DUMMYFUNCTION("""COMPUTED_VALUE"""),"")</f>
        <v/>
      </c>
      <c r="X3397" s="143" t="str">
        <f t="shared" si="2"/>
        <v/>
      </c>
      <c r="Y3397" s="139" t="str">
        <f>IFERROR(__xludf.DUMMYFUNCTION("""COMPUTED_VALUE"""),"")</f>
        <v/>
      </c>
      <c r="Z3397" s="141" t="str">
        <f>IFERROR(__xludf.DUMMYFUNCTION("""COMPUTED_VALUE"""),"")</f>
        <v/>
      </c>
    </row>
    <row r="3398">
      <c r="D3398" s="136" t="str">
        <f t="shared" si="3"/>
        <v/>
      </c>
      <c r="E3398" s="152"/>
      <c r="F3398" s="106" t="s">
        <v>133</v>
      </c>
      <c r="G3398" s="152"/>
      <c r="H3398" s="106" t="s">
        <v>133</v>
      </c>
      <c r="J3398" s="139" t="s">
        <v>133</v>
      </c>
      <c r="K3398" s="136" t="s">
        <v>133</v>
      </c>
      <c r="L3398" s="153"/>
      <c r="M3398" s="136" t="str">
        <f t="shared" si="1"/>
        <v/>
      </c>
      <c r="O3398" s="141" t="s">
        <v>133</v>
      </c>
      <c r="P3398" s="136" t="str">
        <f>IFERROR(__xludf.DUMMYFUNCTION("""COMPUTED_VALUE"""),"")</f>
        <v/>
      </c>
      <c r="Q3398" s="136" t="str">
        <f>IFERROR(__xludf.DUMMYFUNCTION("""COMPUTED_VALUE"""),"")</f>
        <v/>
      </c>
      <c r="R3398" s="106" t="str">
        <f>IFERROR(__xludf.DUMMYFUNCTION("""COMPUTED_VALUE"""),"")</f>
        <v/>
      </c>
      <c r="S3398" s="106" t="str">
        <f>IFERROR(__xludf.DUMMYFUNCTION("""COMPUTED_VALUE"""),"")</f>
        <v/>
      </c>
      <c r="T3398" s="139" t="str">
        <f>IFERROR(__xludf.DUMMYFUNCTION("""COMPUTED_VALUE"""),"")</f>
        <v/>
      </c>
      <c r="U3398" s="139" t="str">
        <f>IFERROR(__xludf.DUMMYFUNCTION("""COMPUTED_VALUE"""),"")</f>
        <v/>
      </c>
      <c r="V3398" s="136" t="str">
        <f>IFERROR(__xludf.DUMMYFUNCTION("""COMPUTED_VALUE"""),"")</f>
        <v/>
      </c>
      <c r="W3398" s="106" t="str">
        <f>IFERROR(__xludf.DUMMYFUNCTION("""COMPUTED_VALUE"""),"")</f>
        <v/>
      </c>
      <c r="X3398" s="143" t="str">
        <f t="shared" si="2"/>
        <v/>
      </c>
      <c r="Y3398" s="139" t="str">
        <f>IFERROR(__xludf.DUMMYFUNCTION("""COMPUTED_VALUE"""),"")</f>
        <v/>
      </c>
      <c r="Z3398" s="141" t="str">
        <f>IFERROR(__xludf.DUMMYFUNCTION("""COMPUTED_VALUE"""),"")</f>
        <v/>
      </c>
    </row>
    <row r="3399">
      <c r="D3399" s="136" t="str">
        <f t="shared" si="3"/>
        <v/>
      </c>
      <c r="E3399" s="152"/>
      <c r="F3399" s="106" t="s">
        <v>133</v>
      </c>
      <c r="G3399" s="152"/>
      <c r="H3399" s="106" t="s">
        <v>133</v>
      </c>
      <c r="J3399" s="139" t="s">
        <v>133</v>
      </c>
      <c r="K3399" s="136" t="s">
        <v>133</v>
      </c>
      <c r="L3399" s="153"/>
      <c r="M3399" s="136" t="str">
        <f t="shared" si="1"/>
        <v/>
      </c>
      <c r="O3399" s="141" t="s">
        <v>133</v>
      </c>
      <c r="P3399" s="136" t="str">
        <f>IFERROR(__xludf.DUMMYFUNCTION("""COMPUTED_VALUE"""),"")</f>
        <v/>
      </c>
      <c r="Q3399" s="136" t="str">
        <f>IFERROR(__xludf.DUMMYFUNCTION("""COMPUTED_VALUE"""),"")</f>
        <v/>
      </c>
      <c r="R3399" s="106" t="str">
        <f>IFERROR(__xludf.DUMMYFUNCTION("""COMPUTED_VALUE"""),"")</f>
        <v/>
      </c>
      <c r="S3399" s="106" t="str">
        <f>IFERROR(__xludf.DUMMYFUNCTION("""COMPUTED_VALUE"""),"")</f>
        <v/>
      </c>
      <c r="T3399" s="139" t="str">
        <f>IFERROR(__xludf.DUMMYFUNCTION("""COMPUTED_VALUE"""),"")</f>
        <v/>
      </c>
      <c r="U3399" s="139" t="str">
        <f>IFERROR(__xludf.DUMMYFUNCTION("""COMPUTED_VALUE"""),"")</f>
        <v/>
      </c>
      <c r="V3399" s="136" t="str">
        <f>IFERROR(__xludf.DUMMYFUNCTION("""COMPUTED_VALUE"""),"")</f>
        <v/>
      </c>
      <c r="W3399" s="106" t="str">
        <f>IFERROR(__xludf.DUMMYFUNCTION("""COMPUTED_VALUE"""),"")</f>
        <v/>
      </c>
      <c r="X3399" s="143" t="str">
        <f t="shared" si="2"/>
        <v/>
      </c>
      <c r="Y3399" s="139" t="str">
        <f>IFERROR(__xludf.DUMMYFUNCTION("""COMPUTED_VALUE"""),"")</f>
        <v/>
      </c>
      <c r="Z3399" s="141" t="str">
        <f>IFERROR(__xludf.DUMMYFUNCTION("""COMPUTED_VALUE"""),"")</f>
        <v/>
      </c>
    </row>
    <row r="3400">
      <c r="D3400" s="136" t="str">
        <f t="shared" si="3"/>
        <v/>
      </c>
      <c r="E3400" s="152"/>
      <c r="F3400" s="106" t="s">
        <v>133</v>
      </c>
      <c r="G3400" s="152"/>
      <c r="H3400" s="106" t="s">
        <v>133</v>
      </c>
      <c r="J3400" s="139" t="s">
        <v>133</v>
      </c>
      <c r="K3400" s="136" t="s">
        <v>133</v>
      </c>
      <c r="L3400" s="153"/>
      <c r="M3400" s="136" t="str">
        <f t="shared" si="1"/>
        <v/>
      </c>
      <c r="O3400" s="141" t="s">
        <v>133</v>
      </c>
      <c r="P3400" s="136" t="str">
        <f>IFERROR(__xludf.DUMMYFUNCTION("""COMPUTED_VALUE"""),"")</f>
        <v/>
      </c>
      <c r="Q3400" s="136" t="str">
        <f>IFERROR(__xludf.DUMMYFUNCTION("""COMPUTED_VALUE"""),"")</f>
        <v/>
      </c>
      <c r="R3400" s="106" t="str">
        <f>IFERROR(__xludf.DUMMYFUNCTION("""COMPUTED_VALUE"""),"")</f>
        <v/>
      </c>
      <c r="S3400" s="106" t="str">
        <f>IFERROR(__xludf.DUMMYFUNCTION("""COMPUTED_VALUE"""),"")</f>
        <v/>
      </c>
      <c r="T3400" s="139" t="str">
        <f>IFERROR(__xludf.DUMMYFUNCTION("""COMPUTED_VALUE"""),"")</f>
        <v/>
      </c>
      <c r="U3400" s="139" t="str">
        <f>IFERROR(__xludf.DUMMYFUNCTION("""COMPUTED_VALUE"""),"")</f>
        <v/>
      </c>
      <c r="V3400" s="136" t="str">
        <f>IFERROR(__xludf.DUMMYFUNCTION("""COMPUTED_VALUE"""),"")</f>
        <v/>
      </c>
      <c r="W3400" s="106" t="str">
        <f>IFERROR(__xludf.DUMMYFUNCTION("""COMPUTED_VALUE"""),"")</f>
        <v/>
      </c>
      <c r="X3400" s="143" t="str">
        <f t="shared" si="2"/>
        <v/>
      </c>
      <c r="Y3400" s="139" t="str">
        <f>IFERROR(__xludf.DUMMYFUNCTION("""COMPUTED_VALUE"""),"")</f>
        <v/>
      </c>
      <c r="Z3400" s="141" t="str">
        <f>IFERROR(__xludf.DUMMYFUNCTION("""COMPUTED_VALUE"""),"")</f>
        <v/>
      </c>
    </row>
    <row r="3401">
      <c r="D3401" s="136" t="str">
        <f t="shared" si="3"/>
        <v/>
      </c>
      <c r="E3401" s="152"/>
      <c r="F3401" s="106" t="s">
        <v>133</v>
      </c>
      <c r="G3401" s="152"/>
      <c r="H3401" s="106" t="s">
        <v>133</v>
      </c>
      <c r="J3401" s="139" t="s">
        <v>133</v>
      </c>
      <c r="K3401" s="136" t="s">
        <v>133</v>
      </c>
      <c r="L3401" s="153"/>
      <c r="M3401" s="136" t="str">
        <f t="shared" si="1"/>
        <v/>
      </c>
      <c r="O3401" s="141" t="s">
        <v>133</v>
      </c>
      <c r="P3401" s="136" t="str">
        <f>IFERROR(__xludf.DUMMYFUNCTION("""COMPUTED_VALUE"""),"")</f>
        <v/>
      </c>
      <c r="Q3401" s="136" t="str">
        <f>IFERROR(__xludf.DUMMYFUNCTION("""COMPUTED_VALUE"""),"")</f>
        <v/>
      </c>
      <c r="R3401" s="106" t="str">
        <f>IFERROR(__xludf.DUMMYFUNCTION("""COMPUTED_VALUE"""),"")</f>
        <v/>
      </c>
      <c r="S3401" s="106" t="str">
        <f>IFERROR(__xludf.DUMMYFUNCTION("""COMPUTED_VALUE"""),"")</f>
        <v/>
      </c>
      <c r="T3401" s="139" t="str">
        <f>IFERROR(__xludf.DUMMYFUNCTION("""COMPUTED_VALUE"""),"")</f>
        <v/>
      </c>
      <c r="U3401" s="139" t="str">
        <f>IFERROR(__xludf.DUMMYFUNCTION("""COMPUTED_VALUE"""),"")</f>
        <v/>
      </c>
      <c r="V3401" s="136" t="str">
        <f>IFERROR(__xludf.DUMMYFUNCTION("""COMPUTED_VALUE"""),"")</f>
        <v/>
      </c>
      <c r="W3401" s="106" t="str">
        <f>IFERROR(__xludf.DUMMYFUNCTION("""COMPUTED_VALUE"""),"")</f>
        <v/>
      </c>
      <c r="X3401" s="143" t="str">
        <f t="shared" si="2"/>
        <v/>
      </c>
      <c r="Y3401" s="139" t="str">
        <f>IFERROR(__xludf.DUMMYFUNCTION("""COMPUTED_VALUE"""),"")</f>
        <v/>
      </c>
      <c r="Z3401" s="141" t="str">
        <f>IFERROR(__xludf.DUMMYFUNCTION("""COMPUTED_VALUE"""),"")</f>
        <v/>
      </c>
    </row>
    <row r="3402">
      <c r="D3402" s="136" t="str">
        <f t="shared" si="3"/>
        <v/>
      </c>
      <c r="E3402" s="152"/>
      <c r="F3402" s="106" t="s">
        <v>133</v>
      </c>
      <c r="G3402" s="152"/>
      <c r="H3402" s="106" t="s">
        <v>133</v>
      </c>
      <c r="J3402" s="139" t="s">
        <v>133</v>
      </c>
      <c r="K3402" s="136" t="s">
        <v>133</v>
      </c>
      <c r="L3402" s="153"/>
      <c r="M3402" s="136" t="str">
        <f t="shared" si="1"/>
        <v/>
      </c>
      <c r="O3402" s="141" t="s">
        <v>133</v>
      </c>
      <c r="P3402" s="136" t="str">
        <f>IFERROR(__xludf.DUMMYFUNCTION("""COMPUTED_VALUE"""),"")</f>
        <v/>
      </c>
      <c r="Q3402" s="136" t="str">
        <f>IFERROR(__xludf.DUMMYFUNCTION("""COMPUTED_VALUE"""),"")</f>
        <v/>
      </c>
      <c r="R3402" s="106" t="str">
        <f>IFERROR(__xludf.DUMMYFUNCTION("""COMPUTED_VALUE"""),"")</f>
        <v/>
      </c>
      <c r="S3402" s="106" t="str">
        <f>IFERROR(__xludf.DUMMYFUNCTION("""COMPUTED_VALUE"""),"")</f>
        <v/>
      </c>
      <c r="T3402" s="139" t="str">
        <f>IFERROR(__xludf.DUMMYFUNCTION("""COMPUTED_VALUE"""),"")</f>
        <v/>
      </c>
      <c r="U3402" s="139" t="str">
        <f>IFERROR(__xludf.DUMMYFUNCTION("""COMPUTED_VALUE"""),"")</f>
        <v/>
      </c>
      <c r="V3402" s="136" t="str">
        <f>IFERROR(__xludf.DUMMYFUNCTION("""COMPUTED_VALUE"""),"")</f>
        <v/>
      </c>
      <c r="W3402" s="106" t="str">
        <f>IFERROR(__xludf.DUMMYFUNCTION("""COMPUTED_VALUE"""),"")</f>
        <v/>
      </c>
      <c r="X3402" s="143" t="str">
        <f t="shared" si="2"/>
        <v/>
      </c>
      <c r="Y3402" s="139" t="str">
        <f>IFERROR(__xludf.DUMMYFUNCTION("""COMPUTED_VALUE"""),"")</f>
        <v/>
      </c>
      <c r="Z3402" s="141" t="str">
        <f>IFERROR(__xludf.DUMMYFUNCTION("""COMPUTED_VALUE"""),"")</f>
        <v/>
      </c>
    </row>
    <row r="3403">
      <c r="D3403" s="136" t="str">
        <f t="shared" si="3"/>
        <v/>
      </c>
      <c r="E3403" s="152"/>
      <c r="F3403" s="106" t="s">
        <v>133</v>
      </c>
      <c r="G3403" s="152"/>
      <c r="H3403" s="106" t="s">
        <v>133</v>
      </c>
      <c r="J3403" s="139" t="s">
        <v>133</v>
      </c>
      <c r="K3403" s="136" t="s">
        <v>133</v>
      </c>
      <c r="L3403" s="153"/>
      <c r="M3403" s="136" t="str">
        <f t="shared" si="1"/>
        <v/>
      </c>
      <c r="O3403" s="141" t="s">
        <v>133</v>
      </c>
      <c r="P3403" s="136" t="str">
        <f>IFERROR(__xludf.DUMMYFUNCTION("""COMPUTED_VALUE"""),"")</f>
        <v/>
      </c>
      <c r="Q3403" s="136" t="str">
        <f>IFERROR(__xludf.DUMMYFUNCTION("""COMPUTED_VALUE"""),"")</f>
        <v/>
      </c>
      <c r="R3403" s="106" t="str">
        <f>IFERROR(__xludf.DUMMYFUNCTION("""COMPUTED_VALUE"""),"")</f>
        <v/>
      </c>
      <c r="S3403" s="106" t="str">
        <f>IFERROR(__xludf.DUMMYFUNCTION("""COMPUTED_VALUE"""),"")</f>
        <v/>
      </c>
      <c r="T3403" s="139" t="str">
        <f>IFERROR(__xludf.DUMMYFUNCTION("""COMPUTED_VALUE"""),"")</f>
        <v/>
      </c>
      <c r="U3403" s="139" t="str">
        <f>IFERROR(__xludf.DUMMYFUNCTION("""COMPUTED_VALUE"""),"")</f>
        <v/>
      </c>
      <c r="V3403" s="136" t="str">
        <f>IFERROR(__xludf.DUMMYFUNCTION("""COMPUTED_VALUE"""),"")</f>
        <v/>
      </c>
      <c r="W3403" s="106" t="str">
        <f>IFERROR(__xludf.DUMMYFUNCTION("""COMPUTED_VALUE"""),"")</f>
        <v/>
      </c>
      <c r="X3403" s="143" t="str">
        <f t="shared" si="2"/>
        <v/>
      </c>
      <c r="Y3403" s="139" t="str">
        <f>IFERROR(__xludf.DUMMYFUNCTION("""COMPUTED_VALUE"""),"")</f>
        <v/>
      </c>
      <c r="Z3403" s="141" t="str">
        <f>IFERROR(__xludf.DUMMYFUNCTION("""COMPUTED_VALUE"""),"")</f>
        <v/>
      </c>
    </row>
    <row r="3404">
      <c r="D3404" s="136" t="str">
        <f t="shared" si="3"/>
        <v/>
      </c>
      <c r="E3404" s="152"/>
      <c r="F3404" s="106" t="s">
        <v>133</v>
      </c>
      <c r="G3404" s="152"/>
      <c r="H3404" s="106" t="s">
        <v>133</v>
      </c>
      <c r="J3404" s="139" t="s">
        <v>133</v>
      </c>
      <c r="K3404" s="136" t="s">
        <v>133</v>
      </c>
      <c r="L3404" s="153"/>
      <c r="M3404" s="136" t="str">
        <f t="shared" si="1"/>
        <v/>
      </c>
      <c r="O3404" s="141" t="s">
        <v>133</v>
      </c>
      <c r="P3404" s="136" t="str">
        <f>IFERROR(__xludf.DUMMYFUNCTION("""COMPUTED_VALUE"""),"")</f>
        <v/>
      </c>
      <c r="Q3404" s="136" t="str">
        <f>IFERROR(__xludf.DUMMYFUNCTION("""COMPUTED_VALUE"""),"")</f>
        <v/>
      </c>
      <c r="R3404" s="106" t="str">
        <f>IFERROR(__xludf.DUMMYFUNCTION("""COMPUTED_VALUE"""),"")</f>
        <v/>
      </c>
      <c r="S3404" s="106" t="str">
        <f>IFERROR(__xludf.DUMMYFUNCTION("""COMPUTED_VALUE"""),"")</f>
        <v/>
      </c>
      <c r="T3404" s="139" t="str">
        <f>IFERROR(__xludf.DUMMYFUNCTION("""COMPUTED_VALUE"""),"")</f>
        <v/>
      </c>
      <c r="U3404" s="139" t="str">
        <f>IFERROR(__xludf.DUMMYFUNCTION("""COMPUTED_VALUE"""),"")</f>
        <v/>
      </c>
      <c r="V3404" s="136" t="str">
        <f>IFERROR(__xludf.DUMMYFUNCTION("""COMPUTED_VALUE"""),"")</f>
        <v/>
      </c>
      <c r="W3404" s="106" t="str">
        <f>IFERROR(__xludf.DUMMYFUNCTION("""COMPUTED_VALUE"""),"")</f>
        <v/>
      </c>
      <c r="X3404" s="143" t="str">
        <f t="shared" si="2"/>
        <v/>
      </c>
      <c r="Y3404" s="139" t="str">
        <f>IFERROR(__xludf.DUMMYFUNCTION("""COMPUTED_VALUE"""),"")</f>
        <v/>
      </c>
      <c r="Z3404" s="141" t="str">
        <f>IFERROR(__xludf.DUMMYFUNCTION("""COMPUTED_VALUE"""),"")</f>
        <v/>
      </c>
    </row>
    <row r="3405">
      <c r="D3405" s="136" t="str">
        <f t="shared" si="3"/>
        <v/>
      </c>
      <c r="E3405" s="152"/>
      <c r="F3405" s="106" t="s">
        <v>133</v>
      </c>
      <c r="G3405" s="152"/>
      <c r="H3405" s="106" t="s">
        <v>133</v>
      </c>
      <c r="J3405" s="139" t="s">
        <v>133</v>
      </c>
      <c r="K3405" s="136" t="s">
        <v>133</v>
      </c>
      <c r="L3405" s="153"/>
      <c r="M3405" s="136" t="str">
        <f t="shared" si="1"/>
        <v/>
      </c>
      <c r="O3405" s="141" t="s">
        <v>133</v>
      </c>
      <c r="P3405" s="136" t="str">
        <f>IFERROR(__xludf.DUMMYFUNCTION("""COMPUTED_VALUE"""),"")</f>
        <v/>
      </c>
      <c r="Q3405" s="136" t="str">
        <f>IFERROR(__xludf.DUMMYFUNCTION("""COMPUTED_VALUE"""),"")</f>
        <v/>
      </c>
      <c r="R3405" s="106" t="str">
        <f>IFERROR(__xludf.DUMMYFUNCTION("""COMPUTED_VALUE"""),"")</f>
        <v/>
      </c>
      <c r="S3405" s="106" t="str">
        <f>IFERROR(__xludf.DUMMYFUNCTION("""COMPUTED_VALUE"""),"")</f>
        <v/>
      </c>
      <c r="T3405" s="139" t="str">
        <f>IFERROR(__xludf.DUMMYFUNCTION("""COMPUTED_VALUE"""),"")</f>
        <v/>
      </c>
      <c r="U3405" s="139" t="str">
        <f>IFERROR(__xludf.DUMMYFUNCTION("""COMPUTED_VALUE"""),"")</f>
        <v/>
      </c>
      <c r="V3405" s="136" t="str">
        <f>IFERROR(__xludf.DUMMYFUNCTION("""COMPUTED_VALUE"""),"")</f>
        <v/>
      </c>
      <c r="W3405" s="106" t="str">
        <f>IFERROR(__xludf.DUMMYFUNCTION("""COMPUTED_VALUE"""),"")</f>
        <v/>
      </c>
      <c r="X3405" s="143" t="str">
        <f t="shared" si="2"/>
        <v/>
      </c>
      <c r="Y3405" s="139" t="str">
        <f>IFERROR(__xludf.DUMMYFUNCTION("""COMPUTED_VALUE"""),"")</f>
        <v/>
      </c>
      <c r="Z3405" s="141" t="str">
        <f>IFERROR(__xludf.DUMMYFUNCTION("""COMPUTED_VALUE"""),"")</f>
        <v/>
      </c>
    </row>
    <row r="3406">
      <c r="D3406" s="136" t="str">
        <f t="shared" si="3"/>
        <v/>
      </c>
      <c r="E3406" s="152"/>
      <c r="F3406" s="106" t="s">
        <v>133</v>
      </c>
      <c r="G3406" s="152"/>
      <c r="H3406" s="106" t="s">
        <v>133</v>
      </c>
      <c r="J3406" s="139" t="s">
        <v>133</v>
      </c>
      <c r="K3406" s="136" t="s">
        <v>133</v>
      </c>
      <c r="L3406" s="153"/>
      <c r="M3406" s="136" t="str">
        <f t="shared" si="1"/>
        <v/>
      </c>
      <c r="O3406" s="141" t="s">
        <v>133</v>
      </c>
      <c r="P3406" s="136" t="str">
        <f>IFERROR(__xludf.DUMMYFUNCTION("""COMPUTED_VALUE"""),"")</f>
        <v/>
      </c>
      <c r="Q3406" s="136" t="str">
        <f>IFERROR(__xludf.DUMMYFUNCTION("""COMPUTED_VALUE"""),"")</f>
        <v/>
      </c>
      <c r="R3406" s="106" t="str">
        <f>IFERROR(__xludf.DUMMYFUNCTION("""COMPUTED_VALUE"""),"")</f>
        <v/>
      </c>
      <c r="S3406" s="106" t="str">
        <f>IFERROR(__xludf.DUMMYFUNCTION("""COMPUTED_VALUE"""),"")</f>
        <v/>
      </c>
      <c r="T3406" s="139" t="str">
        <f>IFERROR(__xludf.DUMMYFUNCTION("""COMPUTED_VALUE"""),"")</f>
        <v/>
      </c>
      <c r="U3406" s="139" t="str">
        <f>IFERROR(__xludf.DUMMYFUNCTION("""COMPUTED_VALUE"""),"")</f>
        <v/>
      </c>
      <c r="V3406" s="136" t="str">
        <f>IFERROR(__xludf.DUMMYFUNCTION("""COMPUTED_VALUE"""),"")</f>
        <v/>
      </c>
      <c r="W3406" s="106" t="str">
        <f>IFERROR(__xludf.DUMMYFUNCTION("""COMPUTED_VALUE"""),"")</f>
        <v/>
      </c>
      <c r="X3406" s="143" t="str">
        <f t="shared" si="2"/>
        <v/>
      </c>
      <c r="Y3406" s="139" t="str">
        <f>IFERROR(__xludf.DUMMYFUNCTION("""COMPUTED_VALUE"""),"")</f>
        <v/>
      </c>
      <c r="Z3406" s="141" t="str">
        <f>IFERROR(__xludf.DUMMYFUNCTION("""COMPUTED_VALUE"""),"")</f>
        <v/>
      </c>
    </row>
    <row r="3407">
      <c r="D3407" s="136" t="str">
        <f t="shared" si="3"/>
        <v/>
      </c>
      <c r="E3407" s="152"/>
      <c r="F3407" s="106" t="s">
        <v>133</v>
      </c>
      <c r="G3407" s="152"/>
      <c r="H3407" s="106" t="s">
        <v>133</v>
      </c>
      <c r="J3407" s="139" t="s">
        <v>133</v>
      </c>
      <c r="K3407" s="136" t="s">
        <v>133</v>
      </c>
      <c r="L3407" s="153"/>
      <c r="M3407" s="136" t="str">
        <f t="shared" si="1"/>
        <v/>
      </c>
      <c r="O3407" s="141" t="s">
        <v>133</v>
      </c>
      <c r="P3407" s="136" t="str">
        <f>IFERROR(__xludf.DUMMYFUNCTION("""COMPUTED_VALUE"""),"")</f>
        <v/>
      </c>
      <c r="Q3407" s="136" t="str">
        <f>IFERROR(__xludf.DUMMYFUNCTION("""COMPUTED_VALUE"""),"")</f>
        <v/>
      </c>
      <c r="R3407" s="106" t="str">
        <f>IFERROR(__xludf.DUMMYFUNCTION("""COMPUTED_VALUE"""),"")</f>
        <v/>
      </c>
      <c r="S3407" s="106" t="str">
        <f>IFERROR(__xludf.DUMMYFUNCTION("""COMPUTED_VALUE"""),"")</f>
        <v/>
      </c>
      <c r="T3407" s="139" t="str">
        <f>IFERROR(__xludf.DUMMYFUNCTION("""COMPUTED_VALUE"""),"")</f>
        <v/>
      </c>
      <c r="U3407" s="139" t="str">
        <f>IFERROR(__xludf.DUMMYFUNCTION("""COMPUTED_VALUE"""),"")</f>
        <v/>
      </c>
      <c r="V3407" s="136" t="str">
        <f>IFERROR(__xludf.DUMMYFUNCTION("""COMPUTED_VALUE"""),"")</f>
        <v/>
      </c>
      <c r="W3407" s="106" t="str">
        <f>IFERROR(__xludf.DUMMYFUNCTION("""COMPUTED_VALUE"""),"")</f>
        <v/>
      </c>
      <c r="X3407" s="143" t="str">
        <f t="shared" si="2"/>
        <v/>
      </c>
      <c r="Y3407" s="139" t="str">
        <f>IFERROR(__xludf.DUMMYFUNCTION("""COMPUTED_VALUE"""),"")</f>
        <v/>
      </c>
      <c r="Z3407" s="141" t="str">
        <f>IFERROR(__xludf.DUMMYFUNCTION("""COMPUTED_VALUE"""),"")</f>
        <v/>
      </c>
    </row>
    <row r="3408">
      <c r="D3408" s="136" t="str">
        <f t="shared" si="3"/>
        <v/>
      </c>
      <c r="E3408" s="152"/>
      <c r="F3408" s="106" t="s">
        <v>133</v>
      </c>
      <c r="G3408" s="152"/>
      <c r="H3408" s="106" t="s">
        <v>133</v>
      </c>
      <c r="J3408" s="139" t="s">
        <v>133</v>
      </c>
      <c r="K3408" s="136" t="s">
        <v>133</v>
      </c>
      <c r="L3408" s="153"/>
      <c r="M3408" s="136" t="str">
        <f t="shared" si="1"/>
        <v/>
      </c>
      <c r="O3408" s="141" t="s">
        <v>133</v>
      </c>
      <c r="P3408" s="136" t="str">
        <f>IFERROR(__xludf.DUMMYFUNCTION("""COMPUTED_VALUE"""),"")</f>
        <v/>
      </c>
      <c r="Q3408" s="136" t="str">
        <f>IFERROR(__xludf.DUMMYFUNCTION("""COMPUTED_VALUE"""),"")</f>
        <v/>
      </c>
      <c r="R3408" s="106" t="str">
        <f>IFERROR(__xludf.DUMMYFUNCTION("""COMPUTED_VALUE"""),"")</f>
        <v/>
      </c>
      <c r="S3408" s="106" t="str">
        <f>IFERROR(__xludf.DUMMYFUNCTION("""COMPUTED_VALUE"""),"")</f>
        <v/>
      </c>
      <c r="T3408" s="139" t="str">
        <f>IFERROR(__xludf.DUMMYFUNCTION("""COMPUTED_VALUE"""),"")</f>
        <v/>
      </c>
      <c r="U3408" s="139" t="str">
        <f>IFERROR(__xludf.DUMMYFUNCTION("""COMPUTED_VALUE"""),"")</f>
        <v/>
      </c>
      <c r="V3408" s="136" t="str">
        <f>IFERROR(__xludf.DUMMYFUNCTION("""COMPUTED_VALUE"""),"")</f>
        <v/>
      </c>
      <c r="W3408" s="106" t="str">
        <f>IFERROR(__xludf.DUMMYFUNCTION("""COMPUTED_VALUE"""),"")</f>
        <v/>
      </c>
      <c r="X3408" s="143" t="str">
        <f t="shared" si="2"/>
        <v/>
      </c>
      <c r="Y3408" s="139" t="str">
        <f>IFERROR(__xludf.DUMMYFUNCTION("""COMPUTED_VALUE"""),"")</f>
        <v/>
      </c>
      <c r="Z3408" s="141" t="str">
        <f>IFERROR(__xludf.DUMMYFUNCTION("""COMPUTED_VALUE"""),"")</f>
        <v/>
      </c>
    </row>
    <row r="3409">
      <c r="D3409" s="136" t="str">
        <f t="shared" si="3"/>
        <v/>
      </c>
      <c r="E3409" s="152"/>
      <c r="F3409" s="106" t="s">
        <v>133</v>
      </c>
      <c r="G3409" s="152"/>
      <c r="H3409" s="106" t="s">
        <v>133</v>
      </c>
      <c r="J3409" s="139" t="s">
        <v>133</v>
      </c>
      <c r="K3409" s="136" t="s">
        <v>133</v>
      </c>
      <c r="L3409" s="153"/>
      <c r="M3409" s="136" t="str">
        <f t="shared" si="1"/>
        <v/>
      </c>
      <c r="O3409" s="141" t="s">
        <v>133</v>
      </c>
      <c r="P3409" s="136" t="str">
        <f>IFERROR(__xludf.DUMMYFUNCTION("""COMPUTED_VALUE"""),"")</f>
        <v/>
      </c>
      <c r="Q3409" s="136" t="str">
        <f>IFERROR(__xludf.DUMMYFUNCTION("""COMPUTED_VALUE"""),"")</f>
        <v/>
      </c>
      <c r="R3409" s="106" t="str">
        <f>IFERROR(__xludf.DUMMYFUNCTION("""COMPUTED_VALUE"""),"")</f>
        <v/>
      </c>
      <c r="S3409" s="106" t="str">
        <f>IFERROR(__xludf.DUMMYFUNCTION("""COMPUTED_VALUE"""),"")</f>
        <v/>
      </c>
      <c r="T3409" s="139" t="str">
        <f>IFERROR(__xludf.DUMMYFUNCTION("""COMPUTED_VALUE"""),"")</f>
        <v/>
      </c>
      <c r="U3409" s="139" t="str">
        <f>IFERROR(__xludf.DUMMYFUNCTION("""COMPUTED_VALUE"""),"")</f>
        <v/>
      </c>
      <c r="V3409" s="136" t="str">
        <f>IFERROR(__xludf.DUMMYFUNCTION("""COMPUTED_VALUE"""),"")</f>
        <v/>
      </c>
      <c r="W3409" s="106" t="str">
        <f>IFERROR(__xludf.DUMMYFUNCTION("""COMPUTED_VALUE"""),"")</f>
        <v/>
      </c>
      <c r="X3409" s="143" t="str">
        <f t="shared" si="2"/>
        <v/>
      </c>
      <c r="Y3409" s="139" t="str">
        <f>IFERROR(__xludf.DUMMYFUNCTION("""COMPUTED_VALUE"""),"")</f>
        <v/>
      </c>
      <c r="Z3409" s="141" t="str">
        <f>IFERROR(__xludf.DUMMYFUNCTION("""COMPUTED_VALUE"""),"")</f>
        <v/>
      </c>
    </row>
    <row r="3410">
      <c r="D3410" s="136" t="str">
        <f t="shared" si="3"/>
        <v/>
      </c>
      <c r="E3410" s="152"/>
      <c r="F3410" s="106" t="s">
        <v>133</v>
      </c>
      <c r="G3410" s="152"/>
      <c r="H3410" s="106" t="s">
        <v>133</v>
      </c>
      <c r="J3410" s="139" t="s">
        <v>133</v>
      </c>
      <c r="K3410" s="136" t="s">
        <v>133</v>
      </c>
      <c r="L3410" s="153"/>
      <c r="M3410" s="136" t="str">
        <f t="shared" si="1"/>
        <v/>
      </c>
      <c r="O3410" s="141" t="s">
        <v>133</v>
      </c>
      <c r="P3410" s="136" t="str">
        <f>IFERROR(__xludf.DUMMYFUNCTION("""COMPUTED_VALUE"""),"")</f>
        <v/>
      </c>
      <c r="Q3410" s="136" t="str">
        <f>IFERROR(__xludf.DUMMYFUNCTION("""COMPUTED_VALUE"""),"")</f>
        <v/>
      </c>
      <c r="R3410" s="106" t="str">
        <f>IFERROR(__xludf.DUMMYFUNCTION("""COMPUTED_VALUE"""),"")</f>
        <v/>
      </c>
      <c r="S3410" s="106" t="str">
        <f>IFERROR(__xludf.DUMMYFUNCTION("""COMPUTED_VALUE"""),"")</f>
        <v/>
      </c>
      <c r="T3410" s="139" t="str">
        <f>IFERROR(__xludf.DUMMYFUNCTION("""COMPUTED_VALUE"""),"")</f>
        <v/>
      </c>
      <c r="U3410" s="139" t="str">
        <f>IFERROR(__xludf.DUMMYFUNCTION("""COMPUTED_VALUE"""),"")</f>
        <v/>
      </c>
      <c r="V3410" s="136" t="str">
        <f>IFERROR(__xludf.DUMMYFUNCTION("""COMPUTED_VALUE"""),"")</f>
        <v/>
      </c>
      <c r="W3410" s="106" t="str">
        <f>IFERROR(__xludf.DUMMYFUNCTION("""COMPUTED_VALUE"""),"")</f>
        <v/>
      </c>
      <c r="X3410" s="143" t="str">
        <f t="shared" si="2"/>
        <v/>
      </c>
      <c r="Y3410" s="139" t="str">
        <f>IFERROR(__xludf.DUMMYFUNCTION("""COMPUTED_VALUE"""),"")</f>
        <v/>
      </c>
      <c r="Z3410" s="141" t="str">
        <f>IFERROR(__xludf.DUMMYFUNCTION("""COMPUTED_VALUE"""),"")</f>
        <v/>
      </c>
    </row>
    <row r="3411">
      <c r="D3411" s="136" t="str">
        <f t="shared" si="3"/>
        <v/>
      </c>
      <c r="E3411" s="152"/>
      <c r="F3411" s="106" t="s">
        <v>133</v>
      </c>
      <c r="G3411" s="152"/>
      <c r="H3411" s="106" t="s">
        <v>133</v>
      </c>
      <c r="J3411" s="139" t="s">
        <v>133</v>
      </c>
      <c r="K3411" s="136" t="s">
        <v>133</v>
      </c>
      <c r="L3411" s="153"/>
      <c r="M3411" s="136" t="str">
        <f t="shared" si="1"/>
        <v/>
      </c>
      <c r="O3411" s="141" t="s">
        <v>133</v>
      </c>
      <c r="P3411" s="136" t="str">
        <f>IFERROR(__xludf.DUMMYFUNCTION("""COMPUTED_VALUE"""),"")</f>
        <v/>
      </c>
      <c r="Q3411" s="136" t="str">
        <f>IFERROR(__xludf.DUMMYFUNCTION("""COMPUTED_VALUE"""),"")</f>
        <v/>
      </c>
      <c r="R3411" s="106" t="str">
        <f>IFERROR(__xludf.DUMMYFUNCTION("""COMPUTED_VALUE"""),"")</f>
        <v/>
      </c>
      <c r="S3411" s="106" t="str">
        <f>IFERROR(__xludf.DUMMYFUNCTION("""COMPUTED_VALUE"""),"")</f>
        <v/>
      </c>
      <c r="T3411" s="139" t="str">
        <f>IFERROR(__xludf.DUMMYFUNCTION("""COMPUTED_VALUE"""),"")</f>
        <v/>
      </c>
      <c r="U3411" s="139" t="str">
        <f>IFERROR(__xludf.DUMMYFUNCTION("""COMPUTED_VALUE"""),"")</f>
        <v/>
      </c>
      <c r="V3411" s="136" t="str">
        <f>IFERROR(__xludf.DUMMYFUNCTION("""COMPUTED_VALUE"""),"")</f>
        <v/>
      </c>
      <c r="W3411" s="106" t="str">
        <f>IFERROR(__xludf.DUMMYFUNCTION("""COMPUTED_VALUE"""),"")</f>
        <v/>
      </c>
      <c r="X3411" s="143" t="str">
        <f t="shared" si="2"/>
        <v/>
      </c>
      <c r="Y3411" s="139" t="str">
        <f>IFERROR(__xludf.DUMMYFUNCTION("""COMPUTED_VALUE"""),"")</f>
        <v/>
      </c>
      <c r="Z3411" s="141" t="str">
        <f>IFERROR(__xludf.DUMMYFUNCTION("""COMPUTED_VALUE"""),"")</f>
        <v/>
      </c>
    </row>
    <row r="3412">
      <c r="D3412" s="136" t="str">
        <f t="shared" si="3"/>
        <v/>
      </c>
      <c r="E3412" s="152"/>
      <c r="F3412" s="106" t="s">
        <v>133</v>
      </c>
      <c r="G3412" s="152"/>
      <c r="H3412" s="106" t="s">
        <v>133</v>
      </c>
      <c r="J3412" s="139" t="s">
        <v>133</v>
      </c>
      <c r="K3412" s="136" t="s">
        <v>133</v>
      </c>
      <c r="L3412" s="153"/>
      <c r="M3412" s="136" t="str">
        <f t="shared" si="1"/>
        <v/>
      </c>
      <c r="O3412" s="141" t="s">
        <v>133</v>
      </c>
      <c r="P3412" s="136" t="str">
        <f>IFERROR(__xludf.DUMMYFUNCTION("""COMPUTED_VALUE"""),"")</f>
        <v/>
      </c>
      <c r="Q3412" s="136" t="str">
        <f>IFERROR(__xludf.DUMMYFUNCTION("""COMPUTED_VALUE"""),"")</f>
        <v/>
      </c>
      <c r="R3412" s="106" t="str">
        <f>IFERROR(__xludf.DUMMYFUNCTION("""COMPUTED_VALUE"""),"")</f>
        <v/>
      </c>
      <c r="S3412" s="106" t="str">
        <f>IFERROR(__xludf.DUMMYFUNCTION("""COMPUTED_VALUE"""),"")</f>
        <v/>
      </c>
      <c r="T3412" s="139" t="str">
        <f>IFERROR(__xludf.DUMMYFUNCTION("""COMPUTED_VALUE"""),"")</f>
        <v/>
      </c>
      <c r="U3412" s="139" t="str">
        <f>IFERROR(__xludf.DUMMYFUNCTION("""COMPUTED_VALUE"""),"")</f>
        <v/>
      </c>
      <c r="V3412" s="136" t="str">
        <f>IFERROR(__xludf.DUMMYFUNCTION("""COMPUTED_VALUE"""),"")</f>
        <v/>
      </c>
      <c r="W3412" s="106" t="str">
        <f>IFERROR(__xludf.DUMMYFUNCTION("""COMPUTED_VALUE"""),"")</f>
        <v/>
      </c>
      <c r="X3412" s="143" t="str">
        <f t="shared" si="2"/>
        <v/>
      </c>
      <c r="Y3412" s="139" t="str">
        <f>IFERROR(__xludf.DUMMYFUNCTION("""COMPUTED_VALUE"""),"")</f>
        <v/>
      </c>
      <c r="Z3412" s="141" t="str">
        <f>IFERROR(__xludf.DUMMYFUNCTION("""COMPUTED_VALUE"""),"")</f>
        <v/>
      </c>
    </row>
    <row r="3413">
      <c r="D3413" s="136" t="str">
        <f t="shared" si="3"/>
        <v/>
      </c>
      <c r="E3413" s="152"/>
      <c r="F3413" s="106" t="s">
        <v>133</v>
      </c>
      <c r="G3413" s="152"/>
      <c r="H3413" s="106" t="s">
        <v>133</v>
      </c>
      <c r="J3413" s="139" t="s">
        <v>133</v>
      </c>
      <c r="K3413" s="136" t="s">
        <v>133</v>
      </c>
      <c r="L3413" s="153"/>
      <c r="M3413" s="136" t="str">
        <f t="shared" si="1"/>
        <v/>
      </c>
      <c r="O3413" s="141" t="s">
        <v>133</v>
      </c>
      <c r="P3413" s="136" t="str">
        <f>IFERROR(__xludf.DUMMYFUNCTION("""COMPUTED_VALUE"""),"")</f>
        <v/>
      </c>
      <c r="Q3413" s="136" t="str">
        <f>IFERROR(__xludf.DUMMYFUNCTION("""COMPUTED_VALUE"""),"")</f>
        <v/>
      </c>
      <c r="R3413" s="106" t="str">
        <f>IFERROR(__xludf.DUMMYFUNCTION("""COMPUTED_VALUE"""),"")</f>
        <v/>
      </c>
      <c r="S3413" s="106" t="str">
        <f>IFERROR(__xludf.DUMMYFUNCTION("""COMPUTED_VALUE"""),"")</f>
        <v/>
      </c>
      <c r="T3413" s="139" t="str">
        <f>IFERROR(__xludf.DUMMYFUNCTION("""COMPUTED_VALUE"""),"")</f>
        <v/>
      </c>
      <c r="U3413" s="139" t="str">
        <f>IFERROR(__xludf.DUMMYFUNCTION("""COMPUTED_VALUE"""),"")</f>
        <v/>
      </c>
      <c r="V3413" s="136" t="str">
        <f>IFERROR(__xludf.DUMMYFUNCTION("""COMPUTED_VALUE"""),"")</f>
        <v/>
      </c>
      <c r="W3413" s="106" t="str">
        <f>IFERROR(__xludf.DUMMYFUNCTION("""COMPUTED_VALUE"""),"")</f>
        <v/>
      </c>
      <c r="X3413" s="143" t="str">
        <f t="shared" si="2"/>
        <v/>
      </c>
      <c r="Y3413" s="139" t="str">
        <f>IFERROR(__xludf.DUMMYFUNCTION("""COMPUTED_VALUE"""),"")</f>
        <v/>
      </c>
      <c r="Z3413" s="141" t="str">
        <f>IFERROR(__xludf.DUMMYFUNCTION("""COMPUTED_VALUE"""),"")</f>
        <v/>
      </c>
    </row>
    <row r="3414">
      <c r="D3414" s="136" t="str">
        <f t="shared" si="3"/>
        <v/>
      </c>
      <c r="E3414" s="152"/>
      <c r="F3414" s="106" t="s">
        <v>133</v>
      </c>
      <c r="G3414" s="152"/>
      <c r="H3414" s="106" t="s">
        <v>133</v>
      </c>
      <c r="J3414" s="139" t="s">
        <v>133</v>
      </c>
      <c r="K3414" s="136" t="s">
        <v>133</v>
      </c>
      <c r="L3414" s="153"/>
      <c r="M3414" s="136" t="str">
        <f t="shared" si="1"/>
        <v/>
      </c>
      <c r="O3414" s="141" t="s">
        <v>133</v>
      </c>
      <c r="P3414" s="136" t="str">
        <f>IFERROR(__xludf.DUMMYFUNCTION("""COMPUTED_VALUE"""),"")</f>
        <v/>
      </c>
      <c r="Q3414" s="136" t="str">
        <f>IFERROR(__xludf.DUMMYFUNCTION("""COMPUTED_VALUE"""),"")</f>
        <v/>
      </c>
      <c r="R3414" s="106" t="str">
        <f>IFERROR(__xludf.DUMMYFUNCTION("""COMPUTED_VALUE"""),"")</f>
        <v/>
      </c>
      <c r="S3414" s="106" t="str">
        <f>IFERROR(__xludf.DUMMYFUNCTION("""COMPUTED_VALUE"""),"")</f>
        <v/>
      </c>
      <c r="T3414" s="139" t="str">
        <f>IFERROR(__xludf.DUMMYFUNCTION("""COMPUTED_VALUE"""),"")</f>
        <v/>
      </c>
      <c r="U3414" s="139" t="str">
        <f>IFERROR(__xludf.DUMMYFUNCTION("""COMPUTED_VALUE"""),"")</f>
        <v/>
      </c>
      <c r="V3414" s="136" t="str">
        <f>IFERROR(__xludf.DUMMYFUNCTION("""COMPUTED_VALUE"""),"")</f>
        <v/>
      </c>
      <c r="W3414" s="106" t="str">
        <f>IFERROR(__xludf.DUMMYFUNCTION("""COMPUTED_VALUE"""),"")</f>
        <v/>
      </c>
      <c r="X3414" s="143" t="str">
        <f t="shared" si="2"/>
        <v/>
      </c>
      <c r="Y3414" s="139" t="str">
        <f>IFERROR(__xludf.DUMMYFUNCTION("""COMPUTED_VALUE"""),"")</f>
        <v/>
      </c>
      <c r="Z3414" s="141" t="str">
        <f>IFERROR(__xludf.DUMMYFUNCTION("""COMPUTED_VALUE"""),"")</f>
        <v/>
      </c>
    </row>
    <row r="3415">
      <c r="D3415" s="136" t="str">
        <f t="shared" si="3"/>
        <v/>
      </c>
      <c r="E3415" s="152"/>
      <c r="F3415" s="106" t="s">
        <v>133</v>
      </c>
      <c r="G3415" s="152"/>
      <c r="H3415" s="106" t="s">
        <v>133</v>
      </c>
      <c r="J3415" s="139" t="s">
        <v>133</v>
      </c>
      <c r="K3415" s="136" t="s">
        <v>133</v>
      </c>
      <c r="L3415" s="153"/>
      <c r="M3415" s="136" t="str">
        <f t="shared" si="1"/>
        <v/>
      </c>
      <c r="O3415" s="141" t="s">
        <v>133</v>
      </c>
      <c r="P3415" s="136" t="str">
        <f>IFERROR(__xludf.DUMMYFUNCTION("""COMPUTED_VALUE"""),"")</f>
        <v/>
      </c>
      <c r="Q3415" s="136" t="str">
        <f>IFERROR(__xludf.DUMMYFUNCTION("""COMPUTED_VALUE"""),"")</f>
        <v/>
      </c>
      <c r="R3415" s="106" t="str">
        <f>IFERROR(__xludf.DUMMYFUNCTION("""COMPUTED_VALUE"""),"")</f>
        <v/>
      </c>
      <c r="S3415" s="106" t="str">
        <f>IFERROR(__xludf.DUMMYFUNCTION("""COMPUTED_VALUE"""),"")</f>
        <v/>
      </c>
      <c r="T3415" s="139" t="str">
        <f>IFERROR(__xludf.DUMMYFUNCTION("""COMPUTED_VALUE"""),"")</f>
        <v/>
      </c>
      <c r="U3415" s="139" t="str">
        <f>IFERROR(__xludf.DUMMYFUNCTION("""COMPUTED_VALUE"""),"")</f>
        <v/>
      </c>
      <c r="V3415" s="136" t="str">
        <f>IFERROR(__xludf.DUMMYFUNCTION("""COMPUTED_VALUE"""),"")</f>
        <v/>
      </c>
      <c r="W3415" s="106" t="str">
        <f>IFERROR(__xludf.DUMMYFUNCTION("""COMPUTED_VALUE"""),"")</f>
        <v/>
      </c>
      <c r="X3415" s="143" t="str">
        <f t="shared" si="2"/>
        <v/>
      </c>
      <c r="Y3415" s="139" t="str">
        <f>IFERROR(__xludf.DUMMYFUNCTION("""COMPUTED_VALUE"""),"")</f>
        <v/>
      </c>
      <c r="Z3415" s="141" t="str">
        <f>IFERROR(__xludf.DUMMYFUNCTION("""COMPUTED_VALUE"""),"")</f>
        <v/>
      </c>
    </row>
    <row r="3416">
      <c r="D3416" s="136" t="str">
        <f t="shared" si="3"/>
        <v/>
      </c>
      <c r="E3416" s="152"/>
      <c r="F3416" s="106" t="s">
        <v>133</v>
      </c>
      <c r="G3416" s="152"/>
      <c r="H3416" s="106" t="s">
        <v>133</v>
      </c>
      <c r="J3416" s="139" t="s">
        <v>133</v>
      </c>
      <c r="K3416" s="136" t="s">
        <v>133</v>
      </c>
      <c r="L3416" s="153"/>
      <c r="M3416" s="136" t="str">
        <f t="shared" si="1"/>
        <v/>
      </c>
      <c r="O3416" s="141" t="s">
        <v>133</v>
      </c>
      <c r="P3416" s="136" t="str">
        <f>IFERROR(__xludf.DUMMYFUNCTION("""COMPUTED_VALUE"""),"")</f>
        <v/>
      </c>
      <c r="Q3416" s="136" t="str">
        <f>IFERROR(__xludf.DUMMYFUNCTION("""COMPUTED_VALUE"""),"")</f>
        <v/>
      </c>
      <c r="R3416" s="106" t="str">
        <f>IFERROR(__xludf.DUMMYFUNCTION("""COMPUTED_VALUE"""),"")</f>
        <v/>
      </c>
      <c r="S3416" s="106" t="str">
        <f>IFERROR(__xludf.DUMMYFUNCTION("""COMPUTED_VALUE"""),"")</f>
        <v/>
      </c>
      <c r="T3416" s="139" t="str">
        <f>IFERROR(__xludf.DUMMYFUNCTION("""COMPUTED_VALUE"""),"")</f>
        <v/>
      </c>
      <c r="U3416" s="139" t="str">
        <f>IFERROR(__xludf.DUMMYFUNCTION("""COMPUTED_VALUE"""),"")</f>
        <v/>
      </c>
      <c r="V3416" s="136" t="str">
        <f>IFERROR(__xludf.DUMMYFUNCTION("""COMPUTED_VALUE"""),"")</f>
        <v/>
      </c>
      <c r="W3416" s="106" t="str">
        <f>IFERROR(__xludf.DUMMYFUNCTION("""COMPUTED_VALUE"""),"")</f>
        <v/>
      </c>
      <c r="X3416" s="143" t="str">
        <f t="shared" si="2"/>
        <v/>
      </c>
      <c r="Y3416" s="139" t="str">
        <f>IFERROR(__xludf.DUMMYFUNCTION("""COMPUTED_VALUE"""),"")</f>
        <v/>
      </c>
      <c r="Z3416" s="141" t="str">
        <f>IFERROR(__xludf.DUMMYFUNCTION("""COMPUTED_VALUE"""),"")</f>
        <v/>
      </c>
    </row>
    <row r="3417">
      <c r="D3417" s="136" t="str">
        <f t="shared" si="3"/>
        <v/>
      </c>
      <c r="E3417" s="152"/>
      <c r="F3417" s="106" t="s">
        <v>133</v>
      </c>
      <c r="G3417" s="152"/>
      <c r="H3417" s="106" t="s">
        <v>133</v>
      </c>
      <c r="J3417" s="139" t="s">
        <v>133</v>
      </c>
      <c r="K3417" s="136" t="s">
        <v>133</v>
      </c>
      <c r="L3417" s="153"/>
      <c r="M3417" s="136" t="str">
        <f t="shared" si="1"/>
        <v/>
      </c>
      <c r="O3417" s="141" t="s">
        <v>133</v>
      </c>
      <c r="P3417" s="136" t="str">
        <f>IFERROR(__xludf.DUMMYFUNCTION("""COMPUTED_VALUE"""),"")</f>
        <v/>
      </c>
      <c r="Q3417" s="136" t="str">
        <f>IFERROR(__xludf.DUMMYFUNCTION("""COMPUTED_VALUE"""),"")</f>
        <v/>
      </c>
      <c r="R3417" s="106" t="str">
        <f>IFERROR(__xludf.DUMMYFUNCTION("""COMPUTED_VALUE"""),"")</f>
        <v/>
      </c>
      <c r="S3417" s="106" t="str">
        <f>IFERROR(__xludf.DUMMYFUNCTION("""COMPUTED_VALUE"""),"")</f>
        <v/>
      </c>
      <c r="T3417" s="139" t="str">
        <f>IFERROR(__xludf.DUMMYFUNCTION("""COMPUTED_VALUE"""),"")</f>
        <v/>
      </c>
      <c r="U3417" s="139" t="str">
        <f>IFERROR(__xludf.DUMMYFUNCTION("""COMPUTED_VALUE"""),"")</f>
        <v/>
      </c>
      <c r="V3417" s="136" t="str">
        <f>IFERROR(__xludf.DUMMYFUNCTION("""COMPUTED_VALUE"""),"")</f>
        <v/>
      </c>
      <c r="W3417" s="106" t="str">
        <f>IFERROR(__xludf.DUMMYFUNCTION("""COMPUTED_VALUE"""),"")</f>
        <v/>
      </c>
      <c r="X3417" s="143" t="str">
        <f t="shared" si="2"/>
        <v/>
      </c>
      <c r="Y3417" s="139" t="str">
        <f>IFERROR(__xludf.DUMMYFUNCTION("""COMPUTED_VALUE"""),"")</f>
        <v/>
      </c>
      <c r="Z3417" s="141" t="str">
        <f>IFERROR(__xludf.DUMMYFUNCTION("""COMPUTED_VALUE"""),"")</f>
        <v/>
      </c>
    </row>
    <row r="3418">
      <c r="D3418" s="136" t="str">
        <f t="shared" si="3"/>
        <v/>
      </c>
      <c r="E3418" s="152"/>
      <c r="F3418" s="106" t="s">
        <v>133</v>
      </c>
      <c r="G3418" s="152"/>
      <c r="H3418" s="106" t="s">
        <v>133</v>
      </c>
      <c r="J3418" s="139" t="s">
        <v>133</v>
      </c>
      <c r="K3418" s="136" t="s">
        <v>133</v>
      </c>
      <c r="L3418" s="153"/>
      <c r="M3418" s="136" t="str">
        <f t="shared" si="1"/>
        <v/>
      </c>
      <c r="O3418" s="141" t="s">
        <v>133</v>
      </c>
      <c r="P3418" s="136" t="str">
        <f>IFERROR(__xludf.DUMMYFUNCTION("""COMPUTED_VALUE"""),"")</f>
        <v/>
      </c>
      <c r="Q3418" s="136" t="str">
        <f>IFERROR(__xludf.DUMMYFUNCTION("""COMPUTED_VALUE"""),"")</f>
        <v/>
      </c>
      <c r="R3418" s="106" t="str">
        <f>IFERROR(__xludf.DUMMYFUNCTION("""COMPUTED_VALUE"""),"")</f>
        <v/>
      </c>
      <c r="S3418" s="106" t="str">
        <f>IFERROR(__xludf.DUMMYFUNCTION("""COMPUTED_VALUE"""),"")</f>
        <v/>
      </c>
      <c r="T3418" s="139" t="str">
        <f>IFERROR(__xludf.DUMMYFUNCTION("""COMPUTED_VALUE"""),"")</f>
        <v/>
      </c>
      <c r="U3418" s="139" t="str">
        <f>IFERROR(__xludf.DUMMYFUNCTION("""COMPUTED_VALUE"""),"")</f>
        <v/>
      </c>
      <c r="V3418" s="136" t="str">
        <f>IFERROR(__xludf.DUMMYFUNCTION("""COMPUTED_VALUE"""),"")</f>
        <v/>
      </c>
      <c r="W3418" s="106" t="str">
        <f>IFERROR(__xludf.DUMMYFUNCTION("""COMPUTED_VALUE"""),"")</f>
        <v/>
      </c>
      <c r="X3418" s="143" t="str">
        <f t="shared" si="2"/>
        <v/>
      </c>
      <c r="Y3418" s="139" t="str">
        <f>IFERROR(__xludf.DUMMYFUNCTION("""COMPUTED_VALUE"""),"")</f>
        <v/>
      </c>
      <c r="Z3418" s="141" t="str">
        <f>IFERROR(__xludf.DUMMYFUNCTION("""COMPUTED_VALUE"""),"")</f>
        <v/>
      </c>
    </row>
    <row r="3419">
      <c r="D3419" s="136" t="str">
        <f t="shared" si="3"/>
        <v/>
      </c>
      <c r="E3419" s="152"/>
      <c r="F3419" s="106" t="s">
        <v>133</v>
      </c>
      <c r="G3419" s="152"/>
      <c r="H3419" s="106" t="s">
        <v>133</v>
      </c>
      <c r="J3419" s="139" t="s">
        <v>133</v>
      </c>
      <c r="K3419" s="136" t="s">
        <v>133</v>
      </c>
      <c r="L3419" s="153"/>
      <c r="M3419" s="136" t="str">
        <f t="shared" si="1"/>
        <v/>
      </c>
      <c r="O3419" s="141" t="s">
        <v>133</v>
      </c>
      <c r="P3419" s="136" t="str">
        <f>IFERROR(__xludf.DUMMYFUNCTION("""COMPUTED_VALUE"""),"")</f>
        <v/>
      </c>
      <c r="Q3419" s="136" t="str">
        <f>IFERROR(__xludf.DUMMYFUNCTION("""COMPUTED_VALUE"""),"")</f>
        <v/>
      </c>
      <c r="R3419" s="106" t="str">
        <f>IFERROR(__xludf.DUMMYFUNCTION("""COMPUTED_VALUE"""),"")</f>
        <v/>
      </c>
      <c r="S3419" s="106" t="str">
        <f>IFERROR(__xludf.DUMMYFUNCTION("""COMPUTED_VALUE"""),"")</f>
        <v/>
      </c>
      <c r="T3419" s="139" t="str">
        <f>IFERROR(__xludf.DUMMYFUNCTION("""COMPUTED_VALUE"""),"")</f>
        <v/>
      </c>
      <c r="U3419" s="139" t="str">
        <f>IFERROR(__xludf.DUMMYFUNCTION("""COMPUTED_VALUE"""),"")</f>
        <v/>
      </c>
      <c r="V3419" s="136" t="str">
        <f>IFERROR(__xludf.DUMMYFUNCTION("""COMPUTED_VALUE"""),"")</f>
        <v/>
      </c>
      <c r="W3419" s="106" t="str">
        <f>IFERROR(__xludf.DUMMYFUNCTION("""COMPUTED_VALUE"""),"")</f>
        <v/>
      </c>
      <c r="X3419" s="143" t="str">
        <f t="shared" si="2"/>
        <v/>
      </c>
      <c r="Y3419" s="139" t="str">
        <f>IFERROR(__xludf.DUMMYFUNCTION("""COMPUTED_VALUE"""),"")</f>
        <v/>
      </c>
      <c r="Z3419" s="141" t="str">
        <f>IFERROR(__xludf.DUMMYFUNCTION("""COMPUTED_VALUE"""),"")</f>
        <v/>
      </c>
    </row>
    <row r="3420">
      <c r="D3420" s="136" t="str">
        <f t="shared" si="3"/>
        <v/>
      </c>
      <c r="E3420" s="152"/>
      <c r="F3420" s="106" t="s">
        <v>133</v>
      </c>
      <c r="G3420" s="152"/>
      <c r="H3420" s="106" t="s">
        <v>133</v>
      </c>
      <c r="J3420" s="139" t="s">
        <v>133</v>
      </c>
      <c r="K3420" s="136" t="s">
        <v>133</v>
      </c>
      <c r="L3420" s="153"/>
      <c r="M3420" s="136" t="str">
        <f t="shared" si="1"/>
        <v/>
      </c>
      <c r="O3420" s="141" t="s">
        <v>133</v>
      </c>
      <c r="P3420" s="136" t="str">
        <f>IFERROR(__xludf.DUMMYFUNCTION("""COMPUTED_VALUE"""),"")</f>
        <v/>
      </c>
      <c r="Q3420" s="136" t="str">
        <f>IFERROR(__xludf.DUMMYFUNCTION("""COMPUTED_VALUE"""),"")</f>
        <v/>
      </c>
      <c r="R3420" s="106" t="str">
        <f>IFERROR(__xludf.DUMMYFUNCTION("""COMPUTED_VALUE"""),"")</f>
        <v/>
      </c>
      <c r="S3420" s="106" t="str">
        <f>IFERROR(__xludf.DUMMYFUNCTION("""COMPUTED_VALUE"""),"")</f>
        <v/>
      </c>
      <c r="T3420" s="139" t="str">
        <f>IFERROR(__xludf.DUMMYFUNCTION("""COMPUTED_VALUE"""),"")</f>
        <v/>
      </c>
      <c r="U3420" s="139" t="str">
        <f>IFERROR(__xludf.DUMMYFUNCTION("""COMPUTED_VALUE"""),"")</f>
        <v/>
      </c>
      <c r="V3420" s="136" t="str">
        <f>IFERROR(__xludf.DUMMYFUNCTION("""COMPUTED_VALUE"""),"")</f>
        <v/>
      </c>
      <c r="W3420" s="106" t="str">
        <f>IFERROR(__xludf.DUMMYFUNCTION("""COMPUTED_VALUE"""),"")</f>
        <v/>
      </c>
      <c r="X3420" s="143" t="str">
        <f t="shared" si="2"/>
        <v/>
      </c>
      <c r="Y3420" s="139" t="str">
        <f>IFERROR(__xludf.DUMMYFUNCTION("""COMPUTED_VALUE"""),"")</f>
        <v/>
      </c>
      <c r="Z3420" s="141" t="str">
        <f>IFERROR(__xludf.DUMMYFUNCTION("""COMPUTED_VALUE"""),"")</f>
        <v/>
      </c>
    </row>
    <row r="3421">
      <c r="D3421" s="136" t="str">
        <f t="shared" si="3"/>
        <v/>
      </c>
      <c r="E3421" s="152"/>
      <c r="F3421" s="106" t="s">
        <v>133</v>
      </c>
      <c r="G3421" s="152"/>
      <c r="H3421" s="106" t="s">
        <v>133</v>
      </c>
      <c r="J3421" s="139" t="s">
        <v>133</v>
      </c>
      <c r="K3421" s="136" t="s">
        <v>133</v>
      </c>
      <c r="L3421" s="153"/>
      <c r="M3421" s="136" t="str">
        <f t="shared" si="1"/>
        <v/>
      </c>
      <c r="O3421" s="141" t="s">
        <v>133</v>
      </c>
      <c r="P3421" s="136" t="str">
        <f>IFERROR(__xludf.DUMMYFUNCTION("""COMPUTED_VALUE"""),"")</f>
        <v/>
      </c>
      <c r="Q3421" s="136" t="str">
        <f>IFERROR(__xludf.DUMMYFUNCTION("""COMPUTED_VALUE"""),"")</f>
        <v/>
      </c>
      <c r="R3421" s="106" t="str">
        <f>IFERROR(__xludf.DUMMYFUNCTION("""COMPUTED_VALUE"""),"")</f>
        <v/>
      </c>
      <c r="S3421" s="106" t="str">
        <f>IFERROR(__xludf.DUMMYFUNCTION("""COMPUTED_VALUE"""),"")</f>
        <v/>
      </c>
      <c r="T3421" s="139" t="str">
        <f>IFERROR(__xludf.DUMMYFUNCTION("""COMPUTED_VALUE"""),"")</f>
        <v/>
      </c>
      <c r="U3421" s="139" t="str">
        <f>IFERROR(__xludf.DUMMYFUNCTION("""COMPUTED_VALUE"""),"")</f>
        <v/>
      </c>
      <c r="V3421" s="136" t="str">
        <f>IFERROR(__xludf.DUMMYFUNCTION("""COMPUTED_VALUE"""),"")</f>
        <v/>
      </c>
      <c r="W3421" s="106" t="str">
        <f>IFERROR(__xludf.DUMMYFUNCTION("""COMPUTED_VALUE"""),"")</f>
        <v/>
      </c>
      <c r="X3421" s="143" t="str">
        <f t="shared" si="2"/>
        <v/>
      </c>
      <c r="Y3421" s="139" t="str">
        <f>IFERROR(__xludf.DUMMYFUNCTION("""COMPUTED_VALUE"""),"")</f>
        <v/>
      </c>
      <c r="Z3421" s="141" t="str">
        <f>IFERROR(__xludf.DUMMYFUNCTION("""COMPUTED_VALUE"""),"")</f>
        <v/>
      </c>
    </row>
    <row r="3422">
      <c r="D3422" s="136" t="str">
        <f t="shared" si="3"/>
        <v/>
      </c>
      <c r="E3422" s="152"/>
      <c r="F3422" s="106" t="s">
        <v>133</v>
      </c>
      <c r="G3422" s="152"/>
      <c r="H3422" s="106" t="s">
        <v>133</v>
      </c>
      <c r="J3422" s="139" t="s">
        <v>133</v>
      </c>
      <c r="K3422" s="136" t="s">
        <v>133</v>
      </c>
      <c r="L3422" s="153"/>
      <c r="M3422" s="136" t="str">
        <f t="shared" si="1"/>
        <v/>
      </c>
      <c r="O3422" s="141" t="s">
        <v>133</v>
      </c>
      <c r="P3422" s="136" t="str">
        <f>IFERROR(__xludf.DUMMYFUNCTION("""COMPUTED_VALUE"""),"")</f>
        <v/>
      </c>
      <c r="Q3422" s="136" t="str">
        <f>IFERROR(__xludf.DUMMYFUNCTION("""COMPUTED_VALUE"""),"")</f>
        <v/>
      </c>
      <c r="R3422" s="106" t="str">
        <f>IFERROR(__xludf.DUMMYFUNCTION("""COMPUTED_VALUE"""),"")</f>
        <v/>
      </c>
      <c r="S3422" s="106" t="str">
        <f>IFERROR(__xludf.DUMMYFUNCTION("""COMPUTED_VALUE"""),"")</f>
        <v/>
      </c>
      <c r="T3422" s="139" t="str">
        <f>IFERROR(__xludf.DUMMYFUNCTION("""COMPUTED_VALUE"""),"")</f>
        <v/>
      </c>
      <c r="U3422" s="139" t="str">
        <f>IFERROR(__xludf.DUMMYFUNCTION("""COMPUTED_VALUE"""),"")</f>
        <v/>
      </c>
      <c r="V3422" s="136" t="str">
        <f>IFERROR(__xludf.DUMMYFUNCTION("""COMPUTED_VALUE"""),"")</f>
        <v/>
      </c>
      <c r="W3422" s="106" t="str">
        <f>IFERROR(__xludf.DUMMYFUNCTION("""COMPUTED_VALUE"""),"")</f>
        <v/>
      </c>
      <c r="X3422" s="143" t="str">
        <f t="shared" si="2"/>
        <v/>
      </c>
      <c r="Y3422" s="139" t="str">
        <f>IFERROR(__xludf.DUMMYFUNCTION("""COMPUTED_VALUE"""),"")</f>
        <v/>
      </c>
      <c r="Z3422" s="141" t="str">
        <f>IFERROR(__xludf.DUMMYFUNCTION("""COMPUTED_VALUE"""),"")</f>
        <v/>
      </c>
    </row>
    <row r="3423">
      <c r="D3423" s="136" t="str">
        <f t="shared" si="3"/>
        <v/>
      </c>
      <c r="E3423" s="152"/>
      <c r="F3423" s="106" t="s">
        <v>133</v>
      </c>
      <c r="G3423" s="152"/>
      <c r="H3423" s="106" t="s">
        <v>133</v>
      </c>
      <c r="J3423" s="139" t="s">
        <v>133</v>
      </c>
      <c r="K3423" s="136" t="s">
        <v>133</v>
      </c>
      <c r="L3423" s="153"/>
      <c r="M3423" s="136" t="str">
        <f t="shared" si="1"/>
        <v/>
      </c>
      <c r="O3423" s="141" t="s">
        <v>133</v>
      </c>
      <c r="P3423" s="136" t="str">
        <f>IFERROR(__xludf.DUMMYFUNCTION("""COMPUTED_VALUE"""),"")</f>
        <v/>
      </c>
      <c r="Q3423" s="136" t="str">
        <f>IFERROR(__xludf.DUMMYFUNCTION("""COMPUTED_VALUE"""),"")</f>
        <v/>
      </c>
      <c r="R3423" s="106" t="str">
        <f>IFERROR(__xludf.DUMMYFUNCTION("""COMPUTED_VALUE"""),"")</f>
        <v/>
      </c>
      <c r="S3423" s="106" t="str">
        <f>IFERROR(__xludf.DUMMYFUNCTION("""COMPUTED_VALUE"""),"")</f>
        <v/>
      </c>
      <c r="T3423" s="139" t="str">
        <f>IFERROR(__xludf.DUMMYFUNCTION("""COMPUTED_VALUE"""),"")</f>
        <v/>
      </c>
      <c r="U3423" s="139" t="str">
        <f>IFERROR(__xludf.DUMMYFUNCTION("""COMPUTED_VALUE"""),"")</f>
        <v/>
      </c>
      <c r="V3423" s="136" t="str">
        <f>IFERROR(__xludf.DUMMYFUNCTION("""COMPUTED_VALUE"""),"")</f>
        <v/>
      </c>
      <c r="W3423" s="106" t="str">
        <f>IFERROR(__xludf.DUMMYFUNCTION("""COMPUTED_VALUE"""),"")</f>
        <v/>
      </c>
      <c r="X3423" s="143" t="str">
        <f t="shared" si="2"/>
        <v/>
      </c>
      <c r="Y3423" s="139" t="str">
        <f>IFERROR(__xludf.DUMMYFUNCTION("""COMPUTED_VALUE"""),"")</f>
        <v/>
      </c>
      <c r="Z3423" s="141" t="str">
        <f>IFERROR(__xludf.DUMMYFUNCTION("""COMPUTED_VALUE"""),"")</f>
        <v/>
      </c>
    </row>
    <row r="3424">
      <c r="D3424" s="136" t="str">
        <f t="shared" si="3"/>
        <v/>
      </c>
      <c r="E3424" s="152"/>
      <c r="F3424" s="106" t="s">
        <v>133</v>
      </c>
      <c r="G3424" s="152"/>
      <c r="H3424" s="106" t="s">
        <v>133</v>
      </c>
      <c r="J3424" s="139" t="s">
        <v>133</v>
      </c>
      <c r="K3424" s="136" t="s">
        <v>133</v>
      </c>
      <c r="L3424" s="153"/>
      <c r="M3424" s="136" t="str">
        <f t="shared" si="1"/>
        <v/>
      </c>
      <c r="O3424" s="141" t="s">
        <v>133</v>
      </c>
      <c r="P3424" s="136" t="str">
        <f>IFERROR(__xludf.DUMMYFUNCTION("""COMPUTED_VALUE"""),"")</f>
        <v/>
      </c>
      <c r="Q3424" s="136" t="str">
        <f>IFERROR(__xludf.DUMMYFUNCTION("""COMPUTED_VALUE"""),"")</f>
        <v/>
      </c>
      <c r="R3424" s="106" t="str">
        <f>IFERROR(__xludf.DUMMYFUNCTION("""COMPUTED_VALUE"""),"")</f>
        <v/>
      </c>
      <c r="S3424" s="106" t="str">
        <f>IFERROR(__xludf.DUMMYFUNCTION("""COMPUTED_VALUE"""),"")</f>
        <v/>
      </c>
      <c r="T3424" s="139" t="str">
        <f>IFERROR(__xludf.DUMMYFUNCTION("""COMPUTED_VALUE"""),"")</f>
        <v/>
      </c>
      <c r="U3424" s="139" t="str">
        <f>IFERROR(__xludf.DUMMYFUNCTION("""COMPUTED_VALUE"""),"")</f>
        <v/>
      </c>
      <c r="V3424" s="136" t="str">
        <f>IFERROR(__xludf.DUMMYFUNCTION("""COMPUTED_VALUE"""),"")</f>
        <v/>
      </c>
      <c r="W3424" s="106" t="str">
        <f>IFERROR(__xludf.DUMMYFUNCTION("""COMPUTED_VALUE"""),"")</f>
        <v/>
      </c>
      <c r="X3424" s="143" t="str">
        <f t="shared" si="2"/>
        <v/>
      </c>
      <c r="Y3424" s="139" t="str">
        <f>IFERROR(__xludf.DUMMYFUNCTION("""COMPUTED_VALUE"""),"")</f>
        <v/>
      </c>
      <c r="Z3424" s="141" t="str">
        <f>IFERROR(__xludf.DUMMYFUNCTION("""COMPUTED_VALUE"""),"")</f>
        <v/>
      </c>
    </row>
    <row r="3425">
      <c r="D3425" s="136" t="str">
        <f t="shared" si="3"/>
        <v/>
      </c>
      <c r="E3425" s="152"/>
      <c r="F3425" s="106" t="s">
        <v>133</v>
      </c>
      <c r="G3425" s="152"/>
      <c r="H3425" s="106" t="s">
        <v>133</v>
      </c>
      <c r="J3425" s="139" t="s">
        <v>133</v>
      </c>
      <c r="K3425" s="136" t="s">
        <v>133</v>
      </c>
      <c r="L3425" s="153"/>
      <c r="M3425" s="136" t="str">
        <f t="shared" si="1"/>
        <v/>
      </c>
      <c r="O3425" s="141" t="s">
        <v>133</v>
      </c>
      <c r="P3425" s="136" t="str">
        <f>IFERROR(__xludf.DUMMYFUNCTION("""COMPUTED_VALUE"""),"")</f>
        <v/>
      </c>
      <c r="Q3425" s="136" t="str">
        <f>IFERROR(__xludf.DUMMYFUNCTION("""COMPUTED_VALUE"""),"")</f>
        <v/>
      </c>
      <c r="R3425" s="106" t="str">
        <f>IFERROR(__xludf.DUMMYFUNCTION("""COMPUTED_VALUE"""),"")</f>
        <v/>
      </c>
      <c r="S3425" s="106" t="str">
        <f>IFERROR(__xludf.DUMMYFUNCTION("""COMPUTED_VALUE"""),"")</f>
        <v/>
      </c>
      <c r="T3425" s="139" t="str">
        <f>IFERROR(__xludf.DUMMYFUNCTION("""COMPUTED_VALUE"""),"")</f>
        <v/>
      </c>
      <c r="U3425" s="139" t="str">
        <f>IFERROR(__xludf.DUMMYFUNCTION("""COMPUTED_VALUE"""),"")</f>
        <v/>
      </c>
      <c r="V3425" s="136" t="str">
        <f>IFERROR(__xludf.DUMMYFUNCTION("""COMPUTED_VALUE"""),"")</f>
        <v/>
      </c>
      <c r="W3425" s="106" t="str">
        <f>IFERROR(__xludf.DUMMYFUNCTION("""COMPUTED_VALUE"""),"")</f>
        <v/>
      </c>
      <c r="X3425" s="143" t="str">
        <f t="shared" si="2"/>
        <v/>
      </c>
      <c r="Y3425" s="139" t="str">
        <f>IFERROR(__xludf.DUMMYFUNCTION("""COMPUTED_VALUE"""),"")</f>
        <v/>
      </c>
      <c r="Z3425" s="141" t="str">
        <f>IFERROR(__xludf.DUMMYFUNCTION("""COMPUTED_VALUE"""),"")</f>
        <v/>
      </c>
    </row>
    <row r="3426">
      <c r="D3426" s="136" t="str">
        <f t="shared" si="3"/>
        <v/>
      </c>
      <c r="E3426" s="152"/>
      <c r="F3426" s="106" t="s">
        <v>133</v>
      </c>
      <c r="G3426" s="152"/>
      <c r="H3426" s="106" t="s">
        <v>133</v>
      </c>
      <c r="J3426" s="139" t="s">
        <v>133</v>
      </c>
      <c r="K3426" s="136" t="s">
        <v>133</v>
      </c>
      <c r="L3426" s="153"/>
      <c r="M3426" s="136" t="str">
        <f t="shared" si="1"/>
        <v/>
      </c>
      <c r="O3426" s="141" t="s">
        <v>133</v>
      </c>
      <c r="P3426" s="136" t="str">
        <f>IFERROR(__xludf.DUMMYFUNCTION("""COMPUTED_VALUE"""),"")</f>
        <v/>
      </c>
      <c r="Q3426" s="136" t="str">
        <f>IFERROR(__xludf.DUMMYFUNCTION("""COMPUTED_VALUE"""),"")</f>
        <v/>
      </c>
      <c r="R3426" s="106" t="str">
        <f>IFERROR(__xludf.DUMMYFUNCTION("""COMPUTED_VALUE"""),"")</f>
        <v/>
      </c>
      <c r="S3426" s="106" t="str">
        <f>IFERROR(__xludf.DUMMYFUNCTION("""COMPUTED_VALUE"""),"")</f>
        <v/>
      </c>
      <c r="T3426" s="139" t="str">
        <f>IFERROR(__xludf.DUMMYFUNCTION("""COMPUTED_VALUE"""),"")</f>
        <v/>
      </c>
      <c r="U3426" s="139" t="str">
        <f>IFERROR(__xludf.DUMMYFUNCTION("""COMPUTED_VALUE"""),"")</f>
        <v/>
      </c>
      <c r="V3426" s="136" t="str">
        <f>IFERROR(__xludf.DUMMYFUNCTION("""COMPUTED_VALUE"""),"")</f>
        <v/>
      </c>
      <c r="W3426" s="106" t="str">
        <f>IFERROR(__xludf.DUMMYFUNCTION("""COMPUTED_VALUE"""),"")</f>
        <v/>
      </c>
      <c r="X3426" s="143" t="str">
        <f t="shared" si="2"/>
        <v/>
      </c>
      <c r="Y3426" s="139" t="str">
        <f>IFERROR(__xludf.DUMMYFUNCTION("""COMPUTED_VALUE"""),"")</f>
        <v/>
      </c>
      <c r="Z3426" s="141" t="str">
        <f>IFERROR(__xludf.DUMMYFUNCTION("""COMPUTED_VALUE"""),"")</f>
        <v/>
      </c>
    </row>
    <row r="3427">
      <c r="D3427" s="136" t="str">
        <f t="shared" si="3"/>
        <v/>
      </c>
      <c r="E3427" s="152"/>
      <c r="F3427" s="106" t="s">
        <v>133</v>
      </c>
      <c r="G3427" s="152"/>
      <c r="H3427" s="106" t="s">
        <v>133</v>
      </c>
      <c r="J3427" s="139" t="s">
        <v>133</v>
      </c>
      <c r="K3427" s="136" t="s">
        <v>133</v>
      </c>
      <c r="L3427" s="153"/>
      <c r="M3427" s="136" t="str">
        <f t="shared" si="1"/>
        <v/>
      </c>
      <c r="O3427" s="141" t="s">
        <v>133</v>
      </c>
      <c r="P3427" s="136" t="str">
        <f>IFERROR(__xludf.DUMMYFUNCTION("""COMPUTED_VALUE"""),"")</f>
        <v/>
      </c>
      <c r="Q3427" s="136" t="str">
        <f>IFERROR(__xludf.DUMMYFUNCTION("""COMPUTED_VALUE"""),"")</f>
        <v/>
      </c>
      <c r="R3427" s="106" t="str">
        <f>IFERROR(__xludf.DUMMYFUNCTION("""COMPUTED_VALUE"""),"")</f>
        <v/>
      </c>
      <c r="S3427" s="106" t="str">
        <f>IFERROR(__xludf.DUMMYFUNCTION("""COMPUTED_VALUE"""),"")</f>
        <v/>
      </c>
      <c r="T3427" s="139" t="str">
        <f>IFERROR(__xludf.DUMMYFUNCTION("""COMPUTED_VALUE"""),"")</f>
        <v/>
      </c>
      <c r="U3427" s="139" t="str">
        <f>IFERROR(__xludf.DUMMYFUNCTION("""COMPUTED_VALUE"""),"")</f>
        <v/>
      </c>
      <c r="V3427" s="136" t="str">
        <f>IFERROR(__xludf.DUMMYFUNCTION("""COMPUTED_VALUE"""),"")</f>
        <v/>
      </c>
      <c r="W3427" s="106" t="str">
        <f>IFERROR(__xludf.DUMMYFUNCTION("""COMPUTED_VALUE"""),"")</f>
        <v/>
      </c>
      <c r="X3427" s="143" t="str">
        <f t="shared" si="2"/>
        <v/>
      </c>
      <c r="Y3427" s="139" t="str">
        <f>IFERROR(__xludf.DUMMYFUNCTION("""COMPUTED_VALUE"""),"")</f>
        <v/>
      </c>
      <c r="Z3427" s="141" t="str">
        <f>IFERROR(__xludf.DUMMYFUNCTION("""COMPUTED_VALUE"""),"")</f>
        <v/>
      </c>
    </row>
    <row r="3428">
      <c r="D3428" s="136" t="str">
        <f t="shared" si="3"/>
        <v/>
      </c>
      <c r="E3428" s="152"/>
      <c r="F3428" s="106" t="s">
        <v>133</v>
      </c>
      <c r="G3428" s="152"/>
      <c r="H3428" s="106" t="s">
        <v>133</v>
      </c>
      <c r="J3428" s="139" t="s">
        <v>133</v>
      </c>
      <c r="K3428" s="136" t="s">
        <v>133</v>
      </c>
      <c r="L3428" s="153"/>
      <c r="M3428" s="136" t="str">
        <f t="shared" si="1"/>
        <v/>
      </c>
      <c r="O3428" s="141" t="s">
        <v>133</v>
      </c>
      <c r="P3428" s="136" t="str">
        <f>IFERROR(__xludf.DUMMYFUNCTION("""COMPUTED_VALUE"""),"")</f>
        <v/>
      </c>
      <c r="Q3428" s="136" t="str">
        <f>IFERROR(__xludf.DUMMYFUNCTION("""COMPUTED_VALUE"""),"")</f>
        <v/>
      </c>
      <c r="R3428" s="106" t="str">
        <f>IFERROR(__xludf.DUMMYFUNCTION("""COMPUTED_VALUE"""),"")</f>
        <v/>
      </c>
      <c r="S3428" s="106" t="str">
        <f>IFERROR(__xludf.DUMMYFUNCTION("""COMPUTED_VALUE"""),"")</f>
        <v/>
      </c>
      <c r="T3428" s="139" t="str">
        <f>IFERROR(__xludf.DUMMYFUNCTION("""COMPUTED_VALUE"""),"")</f>
        <v/>
      </c>
      <c r="U3428" s="139" t="str">
        <f>IFERROR(__xludf.DUMMYFUNCTION("""COMPUTED_VALUE"""),"")</f>
        <v/>
      </c>
      <c r="V3428" s="136" t="str">
        <f>IFERROR(__xludf.DUMMYFUNCTION("""COMPUTED_VALUE"""),"")</f>
        <v/>
      </c>
      <c r="W3428" s="106" t="str">
        <f>IFERROR(__xludf.DUMMYFUNCTION("""COMPUTED_VALUE"""),"")</f>
        <v/>
      </c>
      <c r="X3428" s="143" t="str">
        <f t="shared" si="2"/>
        <v/>
      </c>
      <c r="Y3428" s="139" t="str">
        <f>IFERROR(__xludf.DUMMYFUNCTION("""COMPUTED_VALUE"""),"")</f>
        <v/>
      </c>
      <c r="Z3428" s="141" t="str">
        <f>IFERROR(__xludf.DUMMYFUNCTION("""COMPUTED_VALUE"""),"")</f>
        <v/>
      </c>
    </row>
    <row r="3429">
      <c r="D3429" s="136" t="str">
        <f t="shared" si="3"/>
        <v/>
      </c>
      <c r="E3429" s="152"/>
      <c r="F3429" s="106" t="s">
        <v>133</v>
      </c>
      <c r="G3429" s="152"/>
      <c r="H3429" s="106" t="s">
        <v>133</v>
      </c>
      <c r="J3429" s="139" t="s">
        <v>133</v>
      </c>
      <c r="K3429" s="136" t="s">
        <v>133</v>
      </c>
      <c r="L3429" s="153"/>
      <c r="M3429" s="136" t="str">
        <f t="shared" si="1"/>
        <v/>
      </c>
      <c r="O3429" s="141" t="s">
        <v>133</v>
      </c>
      <c r="P3429" s="136" t="str">
        <f>IFERROR(__xludf.DUMMYFUNCTION("""COMPUTED_VALUE"""),"")</f>
        <v/>
      </c>
      <c r="Q3429" s="136" t="str">
        <f>IFERROR(__xludf.DUMMYFUNCTION("""COMPUTED_VALUE"""),"")</f>
        <v/>
      </c>
      <c r="R3429" s="106" t="str">
        <f>IFERROR(__xludf.DUMMYFUNCTION("""COMPUTED_VALUE"""),"")</f>
        <v/>
      </c>
      <c r="S3429" s="106" t="str">
        <f>IFERROR(__xludf.DUMMYFUNCTION("""COMPUTED_VALUE"""),"")</f>
        <v/>
      </c>
      <c r="T3429" s="139" t="str">
        <f>IFERROR(__xludf.DUMMYFUNCTION("""COMPUTED_VALUE"""),"")</f>
        <v/>
      </c>
      <c r="U3429" s="139" t="str">
        <f>IFERROR(__xludf.DUMMYFUNCTION("""COMPUTED_VALUE"""),"")</f>
        <v/>
      </c>
      <c r="V3429" s="136" t="str">
        <f>IFERROR(__xludf.DUMMYFUNCTION("""COMPUTED_VALUE"""),"")</f>
        <v/>
      </c>
      <c r="W3429" s="106" t="str">
        <f>IFERROR(__xludf.DUMMYFUNCTION("""COMPUTED_VALUE"""),"")</f>
        <v/>
      </c>
      <c r="X3429" s="143" t="str">
        <f t="shared" si="2"/>
        <v/>
      </c>
      <c r="Y3429" s="139" t="str">
        <f>IFERROR(__xludf.DUMMYFUNCTION("""COMPUTED_VALUE"""),"")</f>
        <v/>
      </c>
      <c r="Z3429" s="141" t="str">
        <f>IFERROR(__xludf.DUMMYFUNCTION("""COMPUTED_VALUE"""),"")</f>
        <v/>
      </c>
    </row>
    <row r="3430">
      <c r="D3430" s="136" t="str">
        <f t="shared" si="3"/>
        <v/>
      </c>
      <c r="E3430" s="152"/>
      <c r="F3430" s="106" t="s">
        <v>133</v>
      </c>
      <c r="G3430" s="152"/>
      <c r="H3430" s="106" t="s">
        <v>133</v>
      </c>
      <c r="J3430" s="139" t="s">
        <v>133</v>
      </c>
      <c r="K3430" s="136" t="s">
        <v>133</v>
      </c>
      <c r="L3430" s="153"/>
      <c r="M3430" s="136" t="str">
        <f t="shared" si="1"/>
        <v/>
      </c>
      <c r="O3430" s="141" t="s">
        <v>133</v>
      </c>
      <c r="P3430" s="136" t="str">
        <f>IFERROR(__xludf.DUMMYFUNCTION("""COMPUTED_VALUE"""),"")</f>
        <v/>
      </c>
      <c r="Q3430" s="136" t="str">
        <f>IFERROR(__xludf.DUMMYFUNCTION("""COMPUTED_VALUE"""),"")</f>
        <v/>
      </c>
      <c r="R3430" s="106" t="str">
        <f>IFERROR(__xludf.DUMMYFUNCTION("""COMPUTED_VALUE"""),"")</f>
        <v/>
      </c>
      <c r="S3430" s="106" t="str">
        <f>IFERROR(__xludf.DUMMYFUNCTION("""COMPUTED_VALUE"""),"")</f>
        <v/>
      </c>
      <c r="T3430" s="139" t="str">
        <f>IFERROR(__xludf.DUMMYFUNCTION("""COMPUTED_VALUE"""),"")</f>
        <v/>
      </c>
      <c r="U3430" s="139" t="str">
        <f>IFERROR(__xludf.DUMMYFUNCTION("""COMPUTED_VALUE"""),"")</f>
        <v/>
      </c>
      <c r="V3430" s="136" t="str">
        <f>IFERROR(__xludf.DUMMYFUNCTION("""COMPUTED_VALUE"""),"")</f>
        <v/>
      </c>
      <c r="W3430" s="106" t="str">
        <f>IFERROR(__xludf.DUMMYFUNCTION("""COMPUTED_VALUE"""),"")</f>
        <v/>
      </c>
      <c r="X3430" s="143" t="str">
        <f t="shared" si="2"/>
        <v/>
      </c>
      <c r="Y3430" s="139" t="str">
        <f>IFERROR(__xludf.DUMMYFUNCTION("""COMPUTED_VALUE"""),"")</f>
        <v/>
      </c>
      <c r="Z3430" s="141" t="str">
        <f>IFERROR(__xludf.DUMMYFUNCTION("""COMPUTED_VALUE"""),"")</f>
        <v/>
      </c>
    </row>
    <row r="3431">
      <c r="D3431" s="136" t="str">
        <f t="shared" si="3"/>
        <v/>
      </c>
      <c r="E3431" s="152"/>
      <c r="F3431" s="106" t="s">
        <v>133</v>
      </c>
      <c r="G3431" s="152"/>
      <c r="H3431" s="106" t="s">
        <v>133</v>
      </c>
      <c r="J3431" s="139" t="s">
        <v>133</v>
      </c>
      <c r="K3431" s="136" t="s">
        <v>133</v>
      </c>
      <c r="L3431" s="153"/>
      <c r="M3431" s="136" t="str">
        <f t="shared" si="1"/>
        <v/>
      </c>
      <c r="O3431" s="141" t="s">
        <v>133</v>
      </c>
      <c r="P3431" s="136" t="str">
        <f>IFERROR(__xludf.DUMMYFUNCTION("""COMPUTED_VALUE"""),"")</f>
        <v/>
      </c>
      <c r="Q3431" s="136" t="str">
        <f>IFERROR(__xludf.DUMMYFUNCTION("""COMPUTED_VALUE"""),"")</f>
        <v/>
      </c>
      <c r="R3431" s="106" t="str">
        <f>IFERROR(__xludf.DUMMYFUNCTION("""COMPUTED_VALUE"""),"")</f>
        <v/>
      </c>
      <c r="S3431" s="106" t="str">
        <f>IFERROR(__xludf.DUMMYFUNCTION("""COMPUTED_VALUE"""),"")</f>
        <v/>
      </c>
      <c r="T3431" s="139" t="str">
        <f>IFERROR(__xludf.DUMMYFUNCTION("""COMPUTED_VALUE"""),"")</f>
        <v/>
      </c>
      <c r="U3431" s="139" t="str">
        <f>IFERROR(__xludf.DUMMYFUNCTION("""COMPUTED_VALUE"""),"")</f>
        <v/>
      </c>
      <c r="V3431" s="136" t="str">
        <f>IFERROR(__xludf.DUMMYFUNCTION("""COMPUTED_VALUE"""),"")</f>
        <v/>
      </c>
      <c r="W3431" s="106" t="str">
        <f>IFERROR(__xludf.DUMMYFUNCTION("""COMPUTED_VALUE"""),"")</f>
        <v/>
      </c>
      <c r="X3431" s="143" t="str">
        <f t="shared" si="2"/>
        <v/>
      </c>
      <c r="Y3431" s="139" t="str">
        <f>IFERROR(__xludf.DUMMYFUNCTION("""COMPUTED_VALUE"""),"")</f>
        <v/>
      </c>
      <c r="Z3431" s="141" t="str">
        <f>IFERROR(__xludf.DUMMYFUNCTION("""COMPUTED_VALUE"""),"")</f>
        <v/>
      </c>
    </row>
    <row r="3432">
      <c r="D3432" s="136" t="str">
        <f t="shared" si="3"/>
        <v/>
      </c>
      <c r="E3432" s="152"/>
      <c r="F3432" s="106" t="s">
        <v>133</v>
      </c>
      <c r="G3432" s="152"/>
      <c r="H3432" s="106" t="s">
        <v>133</v>
      </c>
      <c r="J3432" s="139" t="s">
        <v>133</v>
      </c>
      <c r="K3432" s="136" t="s">
        <v>133</v>
      </c>
      <c r="L3432" s="153"/>
      <c r="M3432" s="136" t="str">
        <f t="shared" si="1"/>
        <v/>
      </c>
      <c r="O3432" s="141" t="s">
        <v>133</v>
      </c>
      <c r="P3432" s="136" t="str">
        <f>IFERROR(__xludf.DUMMYFUNCTION("""COMPUTED_VALUE"""),"")</f>
        <v/>
      </c>
      <c r="Q3432" s="136" t="str">
        <f>IFERROR(__xludf.DUMMYFUNCTION("""COMPUTED_VALUE"""),"")</f>
        <v/>
      </c>
      <c r="R3432" s="106" t="str">
        <f>IFERROR(__xludf.DUMMYFUNCTION("""COMPUTED_VALUE"""),"")</f>
        <v/>
      </c>
      <c r="S3432" s="106" t="str">
        <f>IFERROR(__xludf.DUMMYFUNCTION("""COMPUTED_VALUE"""),"")</f>
        <v/>
      </c>
      <c r="T3432" s="139" t="str">
        <f>IFERROR(__xludf.DUMMYFUNCTION("""COMPUTED_VALUE"""),"")</f>
        <v/>
      </c>
      <c r="U3432" s="139" t="str">
        <f>IFERROR(__xludf.DUMMYFUNCTION("""COMPUTED_VALUE"""),"")</f>
        <v/>
      </c>
      <c r="V3432" s="136" t="str">
        <f>IFERROR(__xludf.DUMMYFUNCTION("""COMPUTED_VALUE"""),"")</f>
        <v/>
      </c>
      <c r="W3432" s="106" t="str">
        <f>IFERROR(__xludf.DUMMYFUNCTION("""COMPUTED_VALUE"""),"")</f>
        <v/>
      </c>
      <c r="X3432" s="143" t="str">
        <f t="shared" si="2"/>
        <v/>
      </c>
      <c r="Y3432" s="139" t="str">
        <f>IFERROR(__xludf.DUMMYFUNCTION("""COMPUTED_VALUE"""),"")</f>
        <v/>
      </c>
      <c r="Z3432" s="141" t="str">
        <f>IFERROR(__xludf.DUMMYFUNCTION("""COMPUTED_VALUE"""),"")</f>
        <v/>
      </c>
    </row>
    <row r="3433">
      <c r="D3433" s="136" t="str">
        <f t="shared" si="3"/>
        <v/>
      </c>
      <c r="E3433" s="152"/>
      <c r="F3433" s="106" t="s">
        <v>133</v>
      </c>
      <c r="G3433" s="152"/>
      <c r="H3433" s="106" t="s">
        <v>133</v>
      </c>
      <c r="J3433" s="139" t="s">
        <v>133</v>
      </c>
      <c r="K3433" s="136" t="s">
        <v>133</v>
      </c>
      <c r="L3433" s="153"/>
      <c r="M3433" s="136" t="str">
        <f t="shared" si="1"/>
        <v/>
      </c>
      <c r="O3433" s="141" t="s">
        <v>133</v>
      </c>
      <c r="P3433" s="136" t="str">
        <f>IFERROR(__xludf.DUMMYFUNCTION("""COMPUTED_VALUE"""),"")</f>
        <v/>
      </c>
      <c r="Q3433" s="136" t="str">
        <f>IFERROR(__xludf.DUMMYFUNCTION("""COMPUTED_VALUE"""),"")</f>
        <v/>
      </c>
      <c r="R3433" s="106" t="str">
        <f>IFERROR(__xludf.DUMMYFUNCTION("""COMPUTED_VALUE"""),"")</f>
        <v/>
      </c>
      <c r="S3433" s="106" t="str">
        <f>IFERROR(__xludf.DUMMYFUNCTION("""COMPUTED_VALUE"""),"")</f>
        <v/>
      </c>
      <c r="T3433" s="139" t="str">
        <f>IFERROR(__xludf.DUMMYFUNCTION("""COMPUTED_VALUE"""),"")</f>
        <v/>
      </c>
      <c r="U3433" s="139" t="str">
        <f>IFERROR(__xludf.DUMMYFUNCTION("""COMPUTED_VALUE"""),"")</f>
        <v/>
      </c>
      <c r="V3433" s="136" t="str">
        <f>IFERROR(__xludf.DUMMYFUNCTION("""COMPUTED_VALUE"""),"")</f>
        <v/>
      </c>
      <c r="W3433" s="106" t="str">
        <f>IFERROR(__xludf.DUMMYFUNCTION("""COMPUTED_VALUE"""),"")</f>
        <v/>
      </c>
      <c r="X3433" s="143" t="str">
        <f t="shared" si="2"/>
        <v/>
      </c>
      <c r="Y3433" s="139" t="str">
        <f>IFERROR(__xludf.DUMMYFUNCTION("""COMPUTED_VALUE"""),"")</f>
        <v/>
      </c>
      <c r="Z3433" s="141" t="str">
        <f>IFERROR(__xludf.DUMMYFUNCTION("""COMPUTED_VALUE"""),"")</f>
        <v/>
      </c>
    </row>
    <row r="3434">
      <c r="D3434" s="136" t="str">
        <f t="shared" si="3"/>
        <v/>
      </c>
      <c r="E3434" s="152"/>
      <c r="F3434" s="106" t="s">
        <v>133</v>
      </c>
      <c r="G3434" s="152"/>
      <c r="H3434" s="106" t="s">
        <v>133</v>
      </c>
      <c r="J3434" s="139" t="s">
        <v>133</v>
      </c>
      <c r="K3434" s="136" t="s">
        <v>133</v>
      </c>
      <c r="L3434" s="153"/>
      <c r="M3434" s="136" t="str">
        <f t="shared" si="1"/>
        <v/>
      </c>
      <c r="O3434" s="141" t="s">
        <v>133</v>
      </c>
      <c r="P3434" s="136" t="str">
        <f>IFERROR(__xludf.DUMMYFUNCTION("""COMPUTED_VALUE"""),"")</f>
        <v/>
      </c>
      <c r="Q3434" s="136" t="str">
        <f>IFERROR(__xludf.DUMMYFUNCTION("""COMPUTED_VALUE"""),"")</f>
        <v/>
      </c>
      <c r="R3434" s="106" t="str">
        <f>IFERROR(__xludf.DUMMYFUNCTION("""COMPUTED_VALUE"""),"")</f>
        <v/>
      </c>
      <c r="S3434" s="106" t="str">
        <f>IFERROR(__xludf.DUMMYFUNCTION("""COMPUTED_VALUE"""),"")</f>
        <v/>
      </c>
      <c r="T3434" s="139" t="str">
        <f>IFERROR(__xludf.DUMMYFUNCTION("""COMPUTED_VALUE"""),"")</f>
        <v/>
      </c>
      <c r="U3434" s="139" t="str">
        <f>IFERROR(__xludf.DUMMYFUNCTION("""COMPUTED_VALUE"""),"")</f>
        <v/>
      </c>
      <c r="V3434" s="136" t="str">
        <f>IFERROR(__xludf.DUMMYFUNCTION("""COMPUTED_VALUE"""),"")</f>
        <v/>
      </c>
      <c r="W3434" s="106" t="str">
        <f>IFERROR(__xludf.DUMMYFUNCTION("""COMPUTED_VALUE"""),"")</f>
        <v/>
      </c>
      <c r="X3434" s="143" t="str">
        <f t="shared" si="2"/>
        <v/>
      </c>
      <c r="Y3434" s="139" t="str">
        <f>IFERROR(__xludf.DUMMYFUNCTION("""COMPUTED_VALUE"""),"")</f>
        <v/>
      </c>
      <c r="Z3434" s="141" t="str">
        <f>IFERROR(__xludf.DUMMYFUNCTION("""COMPUTED_VALUE"""),"")</f>
        <v/>
      </c>
    </row>
    <row r="3435">
      <c r="D3435" s="136" t="str">
        <f t="shared" si="3"/>
        <v/>
      </c>
      <c r="E3435" s="152"/>
      <c r="F3435" s="106" t="s">
        <v>133</v>
      </c>
      <c r="G3435" s="152"/>
      <c r="H3435" s="106" t="s">
        <v>133</v>
      </c>
      <c r="J3435" s="139" t="s">
        <v>133</v>
      </c>
      <c r="K3435" s="136" t="s">
        <v>133</v>
      </c>
      <c r="L3435" s="153"/>
      <c r="M3435" s="136" t="str">
        <f t="shared" si="1"/>
        <v/>
      </c>
      <c r="O3435" s="141" t="s">
        <v>133</v>
      </c>
      <c r="P3435" s="136" t="str">
        <f>IFERROR(__xludf.DUMMYFUNCTION("""COMPUTED_VALUE"""),"")</f>
        <v/>
      </c>
      <c r="Q3435" s="136" t="str">
        <f>IFERROR(__xludf.DUMMYFUNCTION("""COMPUTED_VALUE"""),"")</f>
        <v/>
      </c>
      <c r="R3435" s="106" t="str">
        <f>IFERROR(__xludf.DUMMYFUNCTION("""COMPUTED_VALUE"""),"")</f>
        <v/>
      </c>
      <c r="S3435" s="106" t="str">
        <f>IFERROR(__xludf.DUMMYFUNCTION("""COMPUTED_VALUE"""),"")</f>
        <v/>
      </c>
      <c r="T3435" s="139" t="str">
        <f>IFERROR(__xludf.DUMMYFUNCTION("""COMPUTED_VALUE"""),"")</f>
        <v/>
      </c>
      <c r="U3435" s="139" t="str">
        <f>IFERROR(__xludf.DUMMYFUNCTION("""COMPUTED_VALUE"""),"")</f>
        <v/>
      </c>
      <c r="V3435" s="136" t="str">
        <f>IFERROR(__xludf.DUMMYFUNCTION("""COMPUTED_VALUE"""),"")</f>
        <v/>
      </c>
      <c r="W3435" s="106" t="str">
        <f>IFERROR(__xludf.DUMMYFUNCTION("""COMPUTED_VALUE"""),"")</f>
        <v/>
      </c>
      <c r="X3435" s="143" t="str">
        <f t="shared" si="2"/>
        <v/>
      </c>
      <c r="Y3435" s="139" t="str">
        <f>IFERROR(__xludf.DUMMYFUNCTION("""COMPUTED_VALUE"""),"")</f>
        <v/>
      </c>
      <c r="Z3435" s="141" t="str">
        <f>IFERROR(__xludf.DUMMYFUNCTION("""COMPUTED_VALUE"""),"")</f>
        <v/>
      </c>
    </row>
    <row r="3436">
      <c r="D3436" s="136" t="str">
        <f t="shared" si="3"/>
        <v/>
      </c>
      <c r="E3436" s="152"/>
      <c r="F3436" s="106" t="s">
        <v>133</v>
      </c>
      <c r="G3436" s="152"/>
      <c r="H3436" s="106" t="s">
        <v>133</v>
      </c>
      <c r="J3436" s="139" t="s">
        <v>133</v>
      </c>
      <c r="K3436" s="136" t="s">
        <v>133</v>
      </c>
      <c r="L3436" s="153"/>
      <c r="M3436" s="136" t="str">
        <f t="shared" si="1"/>
        <v/>
      </c>
      <c r="O3436" s="141" t="s">
        <v>133</v>
      </c>
      <c r="P3436" s="136" t="str">
        <f>IFERROR(__xludf.DUMMYFUNCTION("""COMPUTED_VALUE"""),"")</f>
        <v/>
      </c>
      <c r="Q3436" s="136" t="str">
        <f>IFERROR(__xludf.DUMMYFUNCTION("""COMPUTED_VALUE"""),"")</f>
        <v/>
      </c>
      <c r="R3436" s="106" t="str">
        <f>IFERROR(__xludf.DUMMYFUNCTION("""COMPUTED_VALUE"""),"")</f>
        <v/>
      </c>
      <c r="S3436" s="106" t="str">
        <f>IFERROR(__xludf.DUMMYFUNCTION("""COMPUTED_VALUE"""),"")</f>
        <v/>
      </c>
      <c r="T3436" s="139" t="str">
        <f>IFERROR(__xludf.DUMMYFUNCTION("""COMPUTED_VALUE"""),"")</f>
        <v/>
      </c>
      <c r="U3436" s="139" t="str">
        <f>IFERROR(__xludf.DUMMYFUNCTION("""COMPUTED_VALUE"""),"")</f>
        <v/>
      </c>
      <c r="V3436" s="136" t="str">
        <f>IFERROR(__xludf.DUMMYFUNCTION("""COMPUTED_VALUE"""),"")</f>
        <v/>
      </c>
      <c r="W3436" s="106" t="str">
        <f>IFERROR(__xludf.DUMMYFUNCTION("""COMPUTED_VALUE"""),"")</f>
        <v/>
      </c>
      <c r="X3436" s="143" t="str">
        <f t="shared" si="2"/>
        <v/>
      </c>
      <c r="Y3436" s="139" t="str">
        <f>IFERROR(__xludf.DUMMYFUNCTION("""COMPUTED_VALUE"""),"")</f>
        <v/>
      </c>
      <c r="Z3436" s="141" t="str">
        <f>IFERROR(__xludf.DUMMYFUNCTION("""COMPUTED_VALUE"""),"")</f>
        <v/>
      </c>
    </row>
    <row r="3437">
      <c r="D3437" s="136" t="str">
        <f t="shared" si="3"/>
        <v/>
      </c>
      <c r="E3437" s="152"/>
      <c r="F3437" s="106" t="s">
        <v>133</v>
      </c>
      <c r="G3437" s="152"/>
      <c r="H3437" s="106" t="s">
        <v>133</v>
      </c>
      <c r="J3437" s="139" t="s">
        <v>133</v>
      </c>
      <c r="K3437" s="136" t="s">
        <v>133</v>
      </c>
      <c r="L3437" s="153"/>
      <c r="M3437" s="136" t="str">
        <f t="shared" si="1"/>
        <v/>
      </c>
      <c r="O3437" s="141" t="s">
        <v>133</v>
      </c>
      <c r="P3437" s="136" t="str">
        <f>IFERROR(__xludf.DUMMYFUNCTION("""COMPUTED_VALUE"""),"")</f>
        <v/>
      </c>
      <c r="Q3437" s="136" t="str">
        <f>IFERROR(__xludf.DUMMYFUNCTION("""COMPUTED_VALUE"""),"")</f>
        <v/>
      </c>
      <c r="R3437" s="106" t="str">
        <f>IFERROR(__xludf.DUMMYFUNCTION("""COMPUTED_VALUE"""),"")</f>
        <v/>
      </c>
      <c r="S3437" s="106" t="str">
        <f>IFERROR(__xludf.DUMMYFUNCTION("""COMPUTED_VALUE"""),"")</f>
        <v/>
      </c>
      <c r="T3437" s="139" t="str">
        <f>IFERROR(__xludf.DUMMYFUNCTION("""COMPUTED_VALUE"""),"")</f>
        <v/>
      </c>
      <c r="U3437" s="139" t="str">
        <f>IFERROR(__xludf.DUMMYFUNCTION("""COMPUTED_VALUE"""),"")</f>
        <v/>
      </c>
      <c r="V3437" s="136" t="str">
        <f>IFERROR(__xludf.DUMMYFUNCTION("""COMPUTED_VALUE"""),"")</f>
        <v/>
      </c>
      <c r="W3437" s="106" t="str">
        <f>IFERROR(__xludf.DUMMYFUNCTION("""COMPUTED_VALUE"""),"")</f>
        <v/>
      </c>
      <c r="X3437" s="143" t="str">
        <f t="shared" si="2"/>
        <v/>
      </c>
      <c r="Y3437" s="139" t="str">
        <f>IFERROR(__xludf.DUMMYFUNCTION("""COMPUTED_VALUE"""),"")</f>
        <v/>
      </c>
      <c r="Z3437" s="141" t="str">
        <f>IFERROR(__xludf.DUMMYFUNCTION("""COMPUTED_VALUE"""),"")</f>
        <v/>
      </c>
    </row>
    <row r="3438">
      <c r="D3438" s="136" t="str">
        <f t="shared" si="3"/>
        <v/>
      </c>
      <c r="E3438" s="152"/>
      <c r="F3438" s="106" t="s">
        <v>133</v>
      </c>
      <c r="G3438" s="152"/>
      <c r="H3438" s="106" t="s">
        <v>133</v>
      </c>
      <c r="J3438" s="139" t="s">
        <v>133</v>
      </c>
      <c r="K3438" s="136" t="s">
        <v>133</v>
      </c>
      <c r="L3438" s="153"/>
      <c r="M3438" s="136" t="str">
        <f t="shared" si="1"/>
        <v/>
      </c>
      <c r="O3438" s="141" t="s">
        <v>133</v>
      </c>
      <c r="P3438" s="136" t="str">
        <f>IFERROR(__xludf.DUMMYFUNCTION("""COMPUTED_VALUE"""),"")</f>
        <v/>
      </c>
      <c r="Q3438" s="136" t="str">
        <f>IFERROR(__xludf.DUMMYFUNCTION("""COMPUTED_VALUE"""),"")</f>
        <v/>
      </c>
      <c r="R3438" s="106" t="str">
        <f>IFERROR(__xludf.DUMMYFUNCTION("""COMPUTED_VALUE"""),"")</f>
        <v/>
      </c>
      <c r="S3438" s="106" t="str">
        <f>IFERROR(__xludf.DUMMYFUNCTION("""COMPUTED_VALUE"""),"")</f>
        <v/>
      </c>
      <c r="T3438" s="139" t="str">
        <f>IFERROR(__xludf.DUMMYFUNCTION("""COMPUTED_VALUE"""),"")</f>
        <v/>
      </c>
      <c r="U3438" s="139" t="str">
        <f>IFERROR(__xludf.DUMMYFUNCTION("""COMPUTED_VALUE"""),"")</f>
        <v/>
      </c>
      <c r="V3438" s="136" t="str">
        <f>IFERROR(__xludf.DUMMYFUNCTION("""COMPUTED_VALUE"""),"")</f>
        <v/>
      </c>
      <c r="W3438" s="106" t="str">
        <f>IFERROR(__xludf.DUMMYFUNCTION("""COMPUTED_VALUE"""),"")</f>
        <v/>
      </c>
      <c r="X3438" s="143" t="str">
        <f t="shared" si="2"/>
        <v/>
      </c>
      <c r="Y3438" s="139" t="str">
        <f>IFERROR(__xludf.DUMMYFUNCTION("""COMPUTED_VALUE"""),"")</f>
        <v/>
      </c>
      <c r="Z3438" s="141" t="str">
        <f>IFERROR(__xludf.DUMMYFUNCTION("""COMPUTED_VALUE"""),"")</f>
        <v/>
      </c>
    </row>
    <row r="3439">
      <c r="D3439" s="136" t="str">
        <f t="shared" si="3"/>
        <v/>
      </c>
      <c r="E3439" s="152"/>
      <c r="F3439" s="106" t="s">
        <v>133</v>
      </c>
      <c r="G3439" s="152"/>
      <c r="H3439" s="106" t="s">
        <v>133</v>
      </c>
      <c r="J3439" s="139" t="s">
        <v>133</v>
      </c>
      <c r="K3439" s="136" t="s">
        <v>133</v>
      </c>
      <c r="L3439" s="153"/>
      <c r="M3439" s="136" t="str">
        <f t="shared" si="1"/>
        <v/>
      </c>
      <c r="O3439" s="141" t="s">
        <v>133</v>
      </c>
      <c r="P3439" s="136" t="str">
        <f>IFERROR(__xludf.DUMMYFUNCTION("""COMPUTED_VALUE"""),"")</f>
        <v/>
      </c>
      <c r="Q3439" s="136" t="str">
        <f>IFERROR(__xludf.DUMMYFUNCTION("""COMPUTED_VALUE"""),"")</f>
        <v/>
      </c>
      <c r="R3439" s="106" t="str">
        <f>IFERROR(__xludf.DUMMYFUNCTION("""COMPUTED_VALUE"""),"")</f>
        <v/>
      </c>
      <c r="S3439" s="106" t="str">
        <f>IFERROR(__xludf.DUMMYFUNCTION("""COMPUTED_VALUE"""),"")</f>
        <v/>
      </c>
      <c r="T3439" s="139" t="str">
        <f>IFERROR(__xludf.DUMMYFUNCTION("""COMPUTED_VALUE"""),"")</f>
        <v/>
      </c>
      <c r="U3439" s="139" t="str">
        <f>IFERROR(__xludf.DUMMYFUNCTION("""COMPUTED_VALUE"""),"")</f>
        <v/>
      </c>
      <c r="V3439" s="136" t="str">
        <f>IFERROR(__xludf.DUMMYFUNCTION("""COMPUTED_VALUE"""),"")</f>
        <v/>
      </c>
      <c r="W3439" s="106" t="str">
        <f>IFERROR(__xludf.DUMMYFUNCTION("""COMPUTED_VALUE"""),"")</f>
        <v/>
      </c>
      <c r="X3439" s="143" t="str">
        <f t="shared" si="2"/>
        <v/>
      </c>
      <c r="Y3439" s="139" t="str">
        <f>IFERROR(__xludf.DUMMYFUNCTION("""COMPUTED_VALUE"""),"")</f>
        <v/>
      </c>
      <c r="Z3439" s="141" t="str">
        <f>IFERROR(__xludf.DUMMYFUNCTION("""COMPUTED_VALUE"""),"")</f>
        <v/>
      </c>
    </row>
    <row r="3440">
      <c r="D3440" s="136" t="str">
        <f t="shared" si="3"/>
        <v/>
      </c>
      <c r="E3440" s="152"/>
      <c r="F3440" s="106" t="s">
        <v>133</v>
      </c>
      <c r="G3440" s="152"/>
      <c r="H3440" s="106" t="s">
        <v>133</v>
      </c>
      <c r="J3440" s="139" t="s">
        <v>133</v>
      </c>
      <c r="K3440" s="136" t="s">
        <v>133</v>
      </c>
      <c r="L3440" s="153"/>
      <c r="M3440" s="136" t="str">
        <f t="shared" si="1"/>
        <v/>
      </c>
      <c r="O3440" s="141" t="s">
        <v>133</v>
      </c>
      <c r="P3440" s="136" t="str">
        <f>IFERROR(__xludf.DUMMYFUNCTION("""COMPUTED_VALUE"""),"")</f>
        <v/>
      </c>
      <c r="Q3440" s="136" t="str">
        <f>IFERROR(__xludf.DUMMYFUNCTION("""COMPUTED_VALUE"""),"")</f>
        <v/>
      </c>
      <c r="R3440" s="106" t="str">
        <f>IFERROR(__xludf.DUMMYFUNCTION("""COMPUTED_VALUE"""),"")</f>
        <v/>
      </c>
      <c r="S3440" s="106" t="str">
        <f>IFERROR(__xludf.DUMMYFUNCTION("""COMPUTED_VALUE"""),"")</f>
        <v/>
      </c>
      <c r="T3440" s="139" t="str">
        <f>IFERROR(__xludf.DUMMYFUNCTION("""COMPUTED_VALUE"""),"")</f>
        <v/>
      </c>
      <c r="U3440" s="139" t="str">
        <f>IFERROR(__xludf.DUMMYFUNCTION("""COMPUTED_VALUE"""),"")</f>
        <v/>
      </c>
      <c r="V3440" s="136" t="str">
        <f>IFERROR(__xludf.DUMMYFUNCTION("""COMPUTED_VALUE"""),"")</f>
        <v/>
      </c>
      <c r="W3440" s="106" t="str">
        <f>IFERROR(__xludf.DUMMYFUNCTION("""COMPUTED_VALUE"""),"")</f>
        <v/>
      </c>
      <c r="X3440" s="143" t="str">
        <f t="shared" si="2"/>
        <v/>
      </c>
      <c r="Y3440" s="139" t="str">
        <f>IFERROR(__xludf.DUMMYFUNCTION("""COMPUTED_VALUE"""),"")</f>
        <v/>
      </c>
      <c r="Z3440" s="141" t="str">
        <f>IFERROR(__xludf.DUMMYFUNCTION("""COMPUTED_VALUE"""),"")</f>
        <v/>
      </c>
    </row>
    <row r="3441">
      <c r="D3441" s="136" t="str">
        <f t="shared" si="3"/>
        <v/>
      </c>
      <c r="E3441" s="152"/>
      <c r="F3441" s="106" t="s">
        <v>133</v>
      </c>
      <c r="G3441" s="152"/>
      <c r="H3441" s="106" t="s">
        <v>133</v>
      </c>
      <c r="J3441" s="139" t="s">
        <v>133</v>
      </c>
      <c r="K3441" s="136" t="s">
        <v>133</v>
      </c>
      <c r="L3441" s="153"/>
      <c r="M3441" s="136" t="str">
        <f t="shared" si="1"/>
        <v/>
      </c>
      <c r="O3441" s="141" t="s">
        <v>133</v>
      </c>
      <c r="P3441" s="136" t="str">
        <f>IFERROR(__xludf.DUMMYFUNCTION("""COMPUTED_VALUE"""),"")</f>
        <v/>
      </c>
      <c r="Q3441" s="136" t="str">
        <f>IFERROR(__xludf.DUMMYFUNCTION("""COMPUTED_VALUE"""),"")</f>
        <v/>
      </c>
      <c r="R3441" s="106" t="str">
        <f>IFERROR(__xludf.DUMMYFUNCTION("""COMPUTED_VALUE"""),"")</f>
        <v/>
      </c>
      <c r="S3441" s="106" t="str">
        <f>IFERROR(__xludf.DUMMYFUNCTION("""COMPUTED_VALUE"""),"")</f>
        <v/>
      </c>
      <c r="T3441" s="139" t="str">
        <f>IFERROR(__xludf.DUMMYFUNCTION("""COMPUTED_VALUE"""),"")</f>
        <v/>
      </c>
      <c r="U3441" s="139" t="str">
        <f>IFERROR(__xludf.DUMMYFUNCTION("""COMPUTED_VALUE"""),"")</f>
        <v/>
      </c>
      <c r="V3441" s="136" t="str">
        <f>IFERROR(__xludf.DUMMYFUNCTION("""COMPUTED_VALUE"""),"")</f>
        <v/>
      </c>
      <c r="W3441" s="106" t="str">
        <f>IFERROR(__xludf.DUMMYFUNCTION("""COMPUTED_VALUE"""),"")</f>
        <v/>
      </c>
      <c r="X3441" s="143" t="str">
        <f t="shared" si="2"/>
        <v/>
      </c>
      <c r="Y3441" s="139" t="str">
        <f>IFERROR(__xludf.DUMMYFUNCTION("""COMPUTED_VALUE"""),"")</f>
        <v/>
      </c>
      <c r="Z3441" s="141" t="str">
        <f>IFERROR(__xludf.DUMMYFUNCTION("""COMPUTED_VALUE"""),"")</f>
        <v/>
      </c>
    </row>
    <row r="3442">
      <c r="D3442" s="136" t="str">
        <f t="shared" si="3"/>
        <v/>
      </c>
      <c r="E3442" s="152"/>
      <c r="F3442" s="106" t="s">
        <v>133</v>
      </c>
      <c r="G3442" s="152"/>
      <c r="H3442" s="106" t="s">
        <v>133</v>
      </c>
      <c r="J3442" s="139" t="s">
        <v>133</v>
      </c>
      <c r="K3442" s="136" t="s">
        <v>133</v>
      </c>
      <c r="L3442" s="153"/>
      <c r="M3442" s="136" t="str">
        <f t="shared" si="1"/>
        <v/>
      </c>
      <c r="O3442" s="141" t="s">
        <v>133</v>
      </c>
      <c r="P3442" s="136" t="str">
        <f>IFERROR(__xludf.DUMMYFUNCTION("""COMPUTED_VALUE"""),"")</f>
        <v/>
      </c>
      <c r="Q3442" s="136" t="str">
        <f>IFERROR(__xludf.DUMMYFUNCTION("""COMPUTED_VALUE"""),"")</f>
        <v/>
      </c>
      <c r="R3442" s="106" t="str">
        <f>IFERROR(__xludf.DUMMYFUNCTION("""COMPUTED_VALUE"""),"")</f>
        <v/>
      </c>
      <c r="S3442" s="106" t="str">
        <f>IFERROR(__xludf.DUMMYFUNCTION("""COMPUTED_VALUE"""),"")</f>
        <v/>
      </c>
      <c r="T3442" s="139" t="str">
        <f>IFERROR(__xludf.DUMMYFUNCTION("""COMPUTED_VALUE"""),"")</f>
        <v/>
      </c>
      <c r="U3442" s="139" t="str">
        <f>IFERROR(__xludf.DUMMYFUNCTION("""COMPUTED_VALUE"""),"")</f>
        <v/>
      </c>
      <c r="V3442" s="136" t="str">
        <f>IFERROR(__xludf.DUMMYFUNCTION("""COMPUTED_VALUE"""),"")</f>
        <v/>
      </c>
      <c r="W3442" s="106" t="str">
        <f>IFERROR(__xludf.DUMMYFUNCTION("""COMPUTED_VALUE"""),"")</f>
        <v/>
      </c>
      <c r="X3442" s="143" t="str">
        <f t="shared" si="2"/>
        <v/>
      </c>
      <c r="Y3442" s="139" t="str">
        <f>IFERROR(__xludf.DUMMYFUNCTION("""COMPUTED_VALUE"""),"")</f>
        <v/>
      </c>
      <c r="Z3442" s="141" t="str">
        <f>IFERROR(__xludf.DUMMYFUNCTION("""COMPUTED_VALUE"""),"")</f>
        <v/>
      </c>
    </row>
    <row r="3443">
      <c r="D3443" s="136" t="str">
        <f t="shared" si="3"/>
        <v/>
      </c>
      <c r="E3443" s="152"/>
      <c r="F3443" s="106" t="s">
        <v>133</v>
      </c>
      <c r="G3443" s="152"/>
      <c r="H3443" s="106" t="s">
        <v>133</v>
      </c>
      <c r="J3443" s="139" t="s">
        <v>133</v>
      </c>
      <c r="K3443" s="136" t="s">
        <v>133</v>
      </c>
      <c r="L3443" s="153"/>
      <c r="M3443" s="136" t="str">
        <f t="shared" si="1"/>
        <v/>
      </c>
      <c r="O3443" s="141" t="s">
        <v>133</v>
      </c>
      <c r="P3443" s="136" t="str">
        <f>IFERROR(__xludf.DUMMYFUNCTION("""COMPUTED_VALUE"""),"")</f>
        <v/>
      </c>
      <c r="Q3443" s="136" t="str">
        <f>IFERROR(__xludf.DUMMYFUNCTION("""COMPUTED_VALUE"""),"")</f>
        <v/>
      </c>
      <c r="R3443" s="106" t="str">
        <f>IFERROR(__xludf.DUMMYFUNCTION("""COMPUTED_VALUE"""),"")</f>
        <v/>
      </c>
      <c r="S3443" s="106" t="str">
        <f>IFERROR(__xludf.DUMMYFUNCTION("""COMPUTED_VALUE"""),"")</f>
        <v/>
      </c>
      <c r="T3443" s="139" t="str">
        <f>IFERROR(__xludf.DUMMYFUNCTION("""COMPUTED_VALUE"""),"")</f>
        <v/>
      </c>
      <c r="U3443" s="139" t="str">
        <f>IFERROR(__xludf.DUMMYFUNCTION("""COMPUTED_VALUE"""),"")</f>
        <v/>
      </c>
      <c r="V3443" s="136" t="str">
        <f>IFERROR(__xludf.DUMMYFUNCTION("""COMPUTED_VALUE"""),"")</f>
        <v/>
      </c>
      <c r="W3443" s="106" t="str">
        <f>IFERROR(__xludf.DUMMYFUNCTION("""COMPUTED_VALUE"""),"")</f>
        <v/>
      </c>
      <c r="X3443" s="143" t="str">
        <f t="shared" si="2"/>
        <v/>
      </c>
      <c r="Y3443" s="139" t="str">
        <f>IFERROR(__xludf.DUMMYFUNCTION("""COMPUTED_VALUE"""),"")</f>
        <v/>
      </c>
      <c r="Z3443" s="141" t="str">
        <f>IFERROR(__xludf.DUMMYFUNCTION("""COMPUTED_VALUE"""),"")</f>
        <v/>
      </c>
    </row>
    <row r="3444">
      <c r="D3444" s="136" t="str">
        <f t="shared" si="3"/>
        <v/>
      </c>
      <c r="E3444" s="152"/>
      <c r="F3444" s="106" t="s">
        <v>133</v>
      </c>
      <c r="G3444" s="152"/>
      <c r="H3444" s="106" t="s">
        <v>133</v>
      </c>
      <c r="J3444" s="139" t="s">
        <v>133</v>
      </c>
      <c r="K3444" s="136" t="s">
        <v>133</v>
      </c>
      <c r="L3444" s="153"/>
      <c r="M3444" s="136" t="str">
        <f t="shared" si="1"/>
        <v/>
      </c>
      <c r="O3444" s="141" t="s">
        <v>133</v>
      </c>
      <c r="P3444" s="136" t="str">
        <f>IFERROR(__xludf.DUMMYFUNCTION("""COMPUTED_VALUE"""),"")</f>
        <v/>
      </c>
      <c r="Q3444" s="136" t="str">
        <f>IFERROR(__xludf.DUMMYFUNCTION("""COMPUTED_VALUE"""),"")</f>
        <v/>
      </c>
      <c r="R3444" s="106" t="str">
        <f>IFERROR(__xludf.DUMMYFUNCTION("""COMPUTED_VALUE"""),"")</f>
        <v/>
      </c>
      <c r="S3444" s="106" t="str">
        <f>IFERROR(__xludf.DUMMYFUNCTION("""COMPUTED_VALUE"""),"")</f>
        <v/>
      </c>
      <c r="T3444" s="139" t="str">
        <f>IFERROR(__xludf.DUMMYFUNCTION("""COMPUTED_VALUE"""),"")</f>
        <v/>
      </c>
      <c r="U3444" s="139" t="str">
        <f>IFERROR(__xludf.DUMMYFUNCTION("""COMPUTED_VALUE"""),"")</f>
        <v/>
      </c>
      <c r="V3444" s="136" t="str">
        <f>IFERROR(__xludf.DUMMYFUNCTION("""COMPUTED_VALUE"""),"")</f>
        <v/>
      </c>
      <c r="W3444" s="106" t="str">
        <f>IFERROR(__xludf.DUMMYFUNCTION("""COMPUTED_VALUE"""),"")</f>
        <v/>
      </c>
      <c r="X3444" s="143" t="str">
        <f t="shared" si="2"/>
        <v/>
      </c>
      <c r="Y3444" s="139" t="str">
        <f>IFERROR(__xludf.DUMMYFUNCTION("""COMPUTED_VALUE"""),"")</f>
        <v/>
      </c>
      <c r="Z3444" s="141" t="str">
        <f>IFERROR(__xludf.DUMMYFUNCTION("""COMPUTED_VALUE"""),"")</f>
        <v/>
      </c>
    </row>
    <row r="3445">
      <c r="D3445" s="136" t="str">
        <f t="shared" si="3"/>
        <v/>
      </c>
      <c r="E3445" s="152"/>
      <c r="F3445" s="106" t="s">
        <v>133</v>
      </c>
      <c r="G3445" s="152"/>
      <c r="H3445" s="106" t="s">
        <v>133</v>
      </c>
      <c r="J3445" s="139" t="s">
        <v>133</v>
      </c>
      <c r="K3445" s="136" t="s">
        <v>133</v>
      </c>
      <c r="L3445" s="153"/>
      <c r="M3445" s="136" t="str">
        <f t="shared" si="1"/>
        <v/>
      </c>
      <c r="O3445" s="141" t="s">
        <v>133</v>
      </c>
      <c r="P3445" s="136" t="str">
        <f>IFERROR(__xludf.DUMMYFUNCTION("""COMPUTED_VALUE"""),"")</f>
        <v/>
      </c>
      <c r="Q3445" s="136" t="str">
        <f>IFERROR(__xludf.DUMMYFUNCTION("""COMPUTED_VALUE"""),"")</f>
        <v/>
      </c>
      <c r="R3445" s="106" t="str">
        <f>IFERROR(__xludf.DUMMYFUNCTION("""COMPUTED_VALUE"""),"")</f>
        <v/>
      </c>
      <c r="S3445" s="106" t="str">
        <f>IFERROR(__xludf.DUMMYFUNCTION("""COMPUTED_VALUE"""),"")</f>
        <v/>
      </c>
      <c r="T3445" s="139" t="str">
        <f>IFERROR(__xludf.DUMMYFUNCTION("""COMPUTED_VALUE"""),"")</f>
        <v/>
      </c>
      <c r="U3445" s="139" t="str">
        <f>IFERROR(__xludf.DUMMYFUNCTION("""COMPUTED_VALUE"""),"")</f>
        <v/>
      </c>
      <c r="V3445" s="136" t="str">
        <f>IFERROR(__xludf.DUMMYFUNCTION("""COMPUTED_VALUE"""),"")</f>
        <v/>
      </c>
      <c r="W3445" s="106" t="str">
        <f>IFERROR(__xludf.DUMMYFUNCTION("""COMPUTED_VALUE"""),"")</f>
        <v/>
      </c>
      <c r="X3445" s="143" t="str">
        <f t="shared" si="2"/>
        <v/>
      </c>
      <c r="Y3445" s="139" t="str">
        <f>IFERROR(__xludf.DUMMYFUNCTION("""COMPUTED_VALUE"""),"")</f>
        <v/>
      </c>
      <c r="Z3445" s="141" t="str">
        <f>IFERROR(__xludf.DUMMYFUNCTION("""COMPUTED_VALUE"""),"")</f>
        <v/>
      </c>
    </row>
    <row r="3446">
      <c r="D3446" s="136" t="str">
        <f t="shared" si="3"/>
        <v/>
      </c>
      <c r="E3446" s="152"/>
      <c r="F3446" s="106" t="s">
        <v>133</v>
      </c>
      <c r="G3446" s="152"/>
      <c r="H3446" s="106" t="s">
        <v>133</v>
      </c>
      <c r="J3446" s="139" t="s">
        <v>133</v>
      </c>
      <c r="K3446" s="136" t="s">
        <v>133</v>
      </c>
      <c r="L3446" s="153"/>
      <c r="M3446" s="136" t="str">
        <f t="shared" si="1"/>
        <v/>
      </c>
      <c r="O3446" s="141" t="s">
        <v>133</v>
      </c>
      <c r="P3446" s="136" t="str">
        <f>IFERROR(__xludf.DUMMYFUNCTION("""COMPUTED_VALUE"""),"")</f>
        <v/>
      </c>
      <c r="Q3446" s="136" t="str">
        <f>IFERROR(__xludf.DUMMYFUNCTION("""COMPUTED_VALUE"""),"")</f>
        <v/>
      </c>
      <c r="R3446" s="106" t="str">
        <f>IFERROR(__xludf.DUMMYFUNCTION("""COMPUTED_VALUE"""),"")</f>
        <v/>
      </c>
      <c r="S3446" s="106" t="str">
        <f>IFERROR(__xludf.DUMMYFUNCTION("""COMPUTED_VALUE"""),"")</f>
        <v/>
      </c>
      <c r="T3446" s="139" t="str">
        <f>IFERROR(__xludf.DUMMYFUNCTION("""COMPUTED_VALUE"""),"")</f>
        <v/>
      </c>
      <c r="U3446" s="139" t="str">
        <f>IFERROR(__xludf.DUMMYFUNCTION("""COMPUTED_VALUE"""),"")</f>
        <v/>
      </c>
      <c r="V3446" s="136" t="str">
        <f>IFERROR(__xludf.DUMMYFUNCTION("""COMPUTED_VALUE"""),"")</f>
        <v/>
      </c>
      <c r="W3446" s="106" t="str">
        <f>IFERROR(__xludf.DUMMYFUNCTION("""COMPUTED_VALUE"""),"")</f>
        <v/>
      </c>
      <c r="X3446" s="143" t="str">
        <f t="shared" si="2"/>
        <v/>
      </c>
      <c r="Y3446" s="139" t="str">
        <f>IFERROR(__xludf.DUMMYFUNCTION("""COMPUTED_VALUE"""),"")</f>
        <v/>
      </c>
      <c r="Z3446" s="141" t="str">
        <f>IFERROR(__xludf.DUMMYFUNCTION("""COMPUTED_VALUE"""),"")</f>
        <v/>
      </c>
    </row>
    <row r="3447">
      <c r="D3447" s="136" t="str">
        <f t="shared" si="3"/>
        <v/>
      </c>
      <c r="E3447" s="152"/>
      <c r="F3447" s="106" t="s">
        <v>133</v>
      </c>
      <c r="G3447" s="152"/>
      <c r="H3447" s="106" t="s">
        <v>133</v>
      </c>
      <c r="J3447" s="139" t="s">
        <v>133</v>
      </c>
      <c r="K3447" s="136" t="s">
        <v>133</v>
      </c>
      <c r="L3447" s="153"/>
      <c r="M3447" s="136" t="str">
        <f t="shared" si="1"/>
        <v/>
      </c>
      <c r="O3447" s="141" t="s">
        <v>133</v>
      </c>
      <c r="P3447" s="136" t="str">
        <f>IFERROR(__xludf.DUMMYFUNCTION("""COMPUTED_VALUE"""),"")</f>
        <v/>
      </c>
      <c r="Q3447" s="136" t="str">
        <f>IFERROR(__xludf.DUMMYFUNCTION("""COMPUTED_VALUE"""),"")</f>
        <v/>
      </c>
      <c r="R3447" s="106" t="str">
        <f>IFERROR(__xludf.DUMMYFUNCTION("""COMPUTED_VALUE"""),"")</f>
        <v/>
      </c>
      <c r="S3447" s="106" t="str">
        <f>IFERROR(__xludf.DUMMYFUNCTION("""COMPUTED_VALUE"""),"")</f>
        <v/>
      </c>
      <c r="T3447" s="139" t="str">
        <f>IFERROR(__xludf.DUMMYFUNCTION("""COMPUTED_VALUE"""),"")</f>
        <v/>
      </c>
      <c r="U3447" s="139" t="str">
        <f>IFERROR(__xludf.DUMMYFUNCTION("""COMPUTED_VALUE"""),"")</f>
        <v/>
      </c>
      <c r="V3447" s="136" t="str">
        <f>IFERROR(__xludf.DUMMYFUNCTION("""COMPUTED_VALUE"""),"")</f>
        <v/>
      </c>
      <c r="W3447" s="106" t="str">
        <f>IFERROR(__xludf.DUMMYFUNCTION("""COMPUTED_VALUE"""),"")</f>
        <v/>
      </c>
      <c r="X3447" s="143" t="str">
        <f t="shared" si="2"/>
        <v/>
      </c>
      <c r="Y3447" s="139" t="str">
        <f>IFERROR(__xludf.DUMMYFUNCTION("""COMPUTED_VALUE"""),"")</f>
        <v/>
      </c>
      <c r="Z3447" s="141" t="str">
        <f>IFERROR(__xludf.DUMMYFUNCTION("""COMPUTED_VALUE"""),"")</f>
        <v/>
      </c>
    </row>
    <row r="3448">
      <c r="D3448" s="136" t="str">
        <f t="shared" si="3"/>
        <v/>
      </c>
      <c r="E3448" s="152"/>
      <c r="F3448" s="106" t="s">
        <v>133</v>
      </c>
      <c r="G3448" s="152"/>
      <c r="H3448" s="106" t="s">
        <v>133</v>
      </c>
      <c r="J3448" s="139" t="s">
        <v>133</v>
      </c>
      <c r="K3448" s="136" t="s">
        <v>133</v>
      </c>
      <c r="L3448" s="153"/>
      <c r="M3448" s="136" t="str">
        <f t="shared" si="1"/>
        <v/>
      </c>
      <c r="O3448" s="141" t="s">
        <v>133</v>
      </c>
      <c r="P3448" s="136" t="str">
        <f>IFERROR(__xludf.DUMMYFUNCTION("""COMPUTED_VALUE"""),"")</f>
        <v/>
      </c>
      <c r="Q3448" s="136" t="str">
        <f>IFERROR(__xludf.DUMMYFUNCTION("""COMPUTED_VALUE"""),"")</f>
        <v/>
      </c>
      <c r="R3448" s="106" t="str">
        <f>IFERROR(__xludf.DUMMYFUNCTION("""COMPUTED_VALUE"""),"")</f>
        <v/>
      </c>
      <c r="S3448" s="106" t="str">
        <f>IFERROR(__xludf.DUMMYFUNCTION("""COMPUTED_VALUE"""),"")</f>
        <v/>
      </c>
      <c r="T3448" s="139" t="str">
        <f>IFERROR(__xludf.DUMMYFUNCTION("""COMPUTED_VALUE"""),"")</f>
        <v/>
      </c>
      <c r="U3448" s="139" t="str">
        <f>IFERROR(__xludf.DUMMYFUNCTION("""COMPUTED_VALUE"""),"")</f>
        <v/>
      </c>
      <c r="V3448" s="136" t="str">
        <f>IFERROR(__xludf.DUMMYFUNCTION("""COMPUTED_VALUE"""),"")</f>
        <v/>
      </c>
      <c r="W3448" s="106" t="str">
        <f>IFERROR(__xludf.DUMMYFUNCTION("""COMPUTED_VALUE"""),"")</f>
        <v/>
      </c>
      <c r="X3448" s="143" t="str">
        <f t="shared" si="2"/>
        <v/>
      </c>
      <c r="Y3448" s="139" t="str">
        <f>IFERROR(__xludf.DUMMYFUNCTION("""COMPUTED_VALUE"""),"")</f>
        <v/>
      </c>
      <c r="Z3448" s="141" t="str">
        <f>IFERROR(__xludf.DUMMYFUNCTION("""COMPUTED_VALUE"""),"")</f>
        <v/>
      </c>
    </row>
    <row r="3449">
      <c r="D3449" s="136" t="str">
        <f t="shared" si="3"/>
        <v/>
      </c>
      <c r="E3449" s="152"/>
      <c r="F3449" s="106" t="s">
        <v>133</v>
      </c>
      <c r="G3449" s="152"/>
      <c r="H3449" s="106" t="s">
        <v>133</v>
      </c>
      <c r="J3449" s="139" t="s">
        <v>133</v>
      </c>
      <c r="K3449" s="136" t="s">
        <v>133</v>
      </c>
      <c r="L3449" s="153"/>
      <c r="M3449" s="136" t="str">
        <f t="shared" si="1"/>
        <v/>
      </c>
      <c r="O3449" s="141" t="s">
        <v>133</v>
      </c>
      <c r="P3449" s="136" t="str">
        <f>IFERROR(__xludf.DUMMYFUNCTION("""COMPUTED_VALUE"""),"")</f>
        <v/>
      </c>
      <c r="Q3449" s="136" t="str">
        <f>IFERROR(__xludf.DUMMYFUNCTION("""COMPUTED_VALUE"""),"")</f>
        <v/>
      </c>
      <c r="R3449" s="106" t="str">
        <f>IFERROR(__xludf.DUMMYFUNCTION("""COMPUTED_VALUE"""),"")</f>
        <v/>
      </c>
      <c r="S3449" s="106" t="str">
        <f>IFERROR(__xludf.DUMMYFUNCTION("""COMPUTED_VALUE"""),"")</f>
        <v/>
      </c>
      <c r="T3449" s="139" t="str">
        <f>IFERROR(__xludf.DUMMYFUNCTION("""COMPUTED_VALUE"""),"")</f>
        <v/>
      </c>
      <c r="U3449" s="139" t="str">
        <f>IFERROR(__xludf.DUMMYFUNCTION("""COMPUTED_VALUE"""),"")</f>
        <v/>
      </c>
      <c r="V3449" s="136" t="str">
        <f>IFERROR(__xludf.DUMMYFUNCTION("""COMPUTED_VALUE"""),"")</f>
        <v/>
      </c>
      <c r="W3449" s="106" t="str">
        <f>IFERROR(__xludf.DUMMYFUNCTION("""COMPUTED_VALUE"""),"")</f>
        <v/>
      </c>
      <c r="X3449" s="143" t="str">
        <f t="shared" si="2"/>
        <v/>
      </c>
      <c r="Y3449" s="139" t="str">
        <f>IFERROR(__xludf.DUMMYFUNCTION("""COMPUTED_VALUE"""),"")</f>
        <v/>
      </c>
      <c r="Z3449" s="141" t="str">
        <f>IFERROR(__xludf.DUMMYFUNCTION("""COMPUTED_VALUE"""),"")</f>
        <v/>
      </c>
    </row>
    <row r="3450">
      <c r="D3450" s="136" t="str">
        <f t="shared" si="3"/>
        <v/>
      </c>
      <c r="E3450" s="152"/>
      <c r="F3450" s="106" t="s">
        <v>133</v>
      </c>
      <c r="G3450" s="152"/>
      <c r="H3450" s="106" t="s">
        <v>133</v>
      </c>
      <c r="J3450" s="139" t="s">
        <v>133</v>
      </c>
      <c r="K3450" s="136" t="s">
        <v>133</v>
      </c>
      <c r="L3450" s="153"/>
      <c r="M3450" s="136" t="str">
        <f t="shared" si="1"/>
        <v/>
      </c>
      <c r="O3450" s="141" t="s">
        <v>133</v>
      </c>
      <c r="P3450" s="136" t="str">
        <f>IFERROR(__xludf.DUMMYFUNCTION("""COMPUTED_VALUE"""),"")</f>
        <v/>
      </c>
      <c r="Q3450" s="136" t="str">
        <f>IFERROR(__xludf.DUMMYFUNCTION("""COMPUTED_VALUE"""),"")</f>
        <v/>
      </c>
      <c r="R3450" s="106" t="str">
        <f>IFERROR(__xludf.DUMMYFUNCTION("""COMPUTED_VALUE"""),"")</f>
        <v/>
      </c>
      <c r="S3450" s="106" t="str">
        <f>IFERROR(__xludf.DUMMYFUNCTION("""COMPUTED_VALUE"""),"")</f>
        <v/>
      </c>
      <c r="T3450" s="139" t="str">
        <f>IFERROR(__xludf.DUMMYFUNCTION("""COMPUTED_VALUE"""),"")</f>
        <v/>
      </c>
      <c r="U3450" s="139" t="str">
        <f>IFERROR(__xludf.DUMMYFUNCTION("""COMPUTED_VALUE"""),"")</f>
        <v/>
      </c>
      <c r="V3450" s="136" t="str">
        <f>IFERROR(__xludf.DUMMYFUNCTION("""COMPUTED_VALUE"""),"")</f>
        <v/>
      </c>
      <c r="W3450" s="106" t="str">
        <f>IFERROR(__xludf.DUMMYFUNCTION("""COMPUTED_VALUE"""),"")</f>
        <v/>
      </c>
      <c r="X3450" s="143" t="str">
        <f t="shared" si="2"/>
        <v/>
      </c>
      <c r="Y3450" s="139" t="str">
        <f>IFERROR(__xludf.DUMMYFUNCTION("""COMPUTED_VALUE"""),"")</f>
        <v/>
      </c>
      <c r="Z3450" s="141" t="str">
        <f>IFERROR(__xludf.DUMMYFUNCTION("""COMPUTED_VALUE"""),"")</f>
        <v/>
      </c>
    </row>
    <row r="3451">
      <c r="D3451" s="136" t="str">
        <f t="shared" si="3"/>
        <v/>
      </c>
      <c r="E3451" s="152"/>
      <c r="F3451" s="106" t="s">
        <v>133</v>
      </c>
      <c r="G3451" s="152"/>
      <c r="H3451" s="106" t="s">
        <v>133</v>
      </c>
      <c r="J3451" s="139" t="s">
        <v>133</v>
      </c>
      <c r="K3451" s="136" t="s">
        <v>133</v>
      </c>
      <c r="L3451" s="153"/>
      <c r="M3451" s="136" t="str">
        <f t="shared" si="1"/>
        <v/>
      </c>
      <c r="O3451" s="141" t="s">
        <v>133</v>
      </c>
      <c r="P3451" s="136" t="str">
        <f>IFERROR(__xludf.DUMMYFUNCTION("""COMPUTED_VALUE"""),"")</f>
        <v/>
      </c>
      <c r="Q3451" s="136" t="str">
        <f>IFERROR(__xludf.DUMMYFUNCTION("""COMPUTED_VALUE"""),"")</f>
        <v/>
      </c>
      <c r="R3451" s="106" t="str">
        <f>IFERROR(__xludf.DUMMYFUNCTION("""COMPUTED_VALUE"""),"")</f>
        <v/>
      </c>
      <c r="S3451" s="106" t="str">
        <f>IFERROR(__xludf.DUMMYFUNCTION("""COMPUTED_VALUE"""),"")</f>
        <v/>
      </c>
      <c r="T3451" s="139" t="str">
        <f>IFERROR(__xludf.DUMMYFUNCTION("""COMPUTED_VALUE"""),"")</f>
        <v/>
      </c>
      <c r="U3451" s="139" t="str">
        <f>IFERROR(__xludf.DUMMYFUNCTION("""COMPUTED_VALUE"""),"")</f>
        <v/>
      </c>
      <c r="V3451" s="136" t="str">
        <f>IFERROR(__xludf.DUMMYFUNCTION("""COMPUTED_VALUE"""),"")</f>
        <v/>
      </c>
      <c r="W3451" s="106" t="str">
        <f>IFERROR(__xludf.DUMMYFUNCTION("""COMPUTED_VALUE"""),"")</f>
        <v/>
      </c>
      <c r="X3451" s="143" t="str">
        <f t="shared" si="2"/>
        <v/>
      </c>
      <c r="Y3451" s="139" t="str">
        <f>IFERROR(__xludf.DUMMYFUNCTION("""COMPUTED_VALUE"""),"")</f>
        <v/>
      </c>
      <c r="Z3451" s="141" t="str">
        <f>IFERROR(__xludf.DUMMYFUNCTION("""COMPUTED_VALUE"""),"")</f>
        <v/>
      </c>
    </row>
    <row r="3452">
      <c r="D3452" s="136" t="str">
        <f t="shared" si="3"/>
        <v/>
      </c>
      <c r="E3452" s="152"/>
      <c r="F3452" s="106" t="s">
        <v>133</v>
      </c>
      <c r="G3452" s="152"/>
      <c r="H3452" s="106" t="s">
        <v>133</v>
      </c>
      <c r="J3452" s="139" t="s">
        <v>133</v>
      </c>
      <c r="K3452" s="136" t="s">
        <v>133</v>
      </c>
      <c r="L3452" s="153"/>
      <c r="M3452" s="136" t="str">
        <f t="shared" si="1"/>
        <v/>
      </c>
      <c r="O3452" s="141" t="s">
        <v>133</v>
      </c>
      <c r="P3452" s="136" t="str">
        <f>IFERROR(__xludf.DUMMYFUNCTION("""COMPUTED_VALUE"""),"")</f>
        <v/>
      </c>
      <c r="Q3452" s="136" t="str">
        <f>IFERROR(__xludf.DUMMYFUNCTION("""COMPUTED_VALUE"""),"")</f>
        <v/>
      </c>
      <c r="R3452" s="106" t="str">
        <f>IFERROR(__xludf.DUMMYFUNCTION("""COMPUTED_VALUE"""),"")</f>
        <v/>
      </c>
      <c r="S3452" s="106" t="str">
        <f>IFERROR(__xludf.DUMMYFUNCTION("""COMPUTED_VALUE"""),"")</f>
        <v/>
      </c>
      <c r="T3452" s="139" t="str">
        <f>IFERROR(__xludf.DUMMYFUNCTION("""COMPUTED_VALUE"""),"")</f>
        <v/>
      </c>
      <c r="U3452" s="139" t="str">
        <f>IFERROR(__xludf.DUMMYFUNCTION("""COMPUTED_VALUE"""),"")</f>
        <v/>
      </c>
      <c r="V3452" s="136" t="str">
        <f>IFERROR(__xludf.DUMMYFUNCTION("""COMPUTED_VALUE"""),"")</f>
        <v/>
      </c>
      <c r="W3452" s="106" t="str">
        <f>IFERROR(__xludf.DUMMYFUNCTION("""COMPUTED_VALUE"""),"")</f>
        <v/>
      </c>
      <c r="X3452" s="143" t="str">
        <f t="shared" si="2"/>
        <v/>
      </c>
      <c r="Y3452" s="139" t="str">
        <f>IFERROR(__xludf.DUMMYFUNCTION("""COMPUTED_VALUE"""),"")</f>
        <v/>
      </c>
      <c r="Z3452" s="141" t="str">
        <f>IFERROR(__xludf.DUMMYFUNCTION("""COMPUTED_VALUE"""),"")</f>
        <v/>
      </c>
    </row>
    <row r="3453">
      <c r="D3453" s="136" t="str">
        <f t="shared" si="3"/>
        <v/>
      </c>
      <c r="E3453" s="152"/>
      <c r="F3453" s="106" t="s">
        <v>133</v>
      </c>
      <c r="G3453" s="152"/>
      <c r="H3453" s="106" t="s">
        <v>133</v>
      </c>
      <c r="J3453" s="139" t="s">
        <v>133</v>
      </c>
      <c r="K3453" s="136" t="s">
        <v>133</v>
      </c>
      <c r="L3453" s="153"/>
      <c r="M3453" s="136" t="str">
        <f t="shared" si="1"/>
        <v/>
      </c>
      <c r="O3453" s="141" t="s">
        <v>133</v>
      </c>
      <c r="P3453" s="136" t="str">
        <f>IFERROR(__xludf.DUMMYFUNCTION("""COMPUTED_VALUE"""),"")</f>
        <v/>
      </c>
      <c r="Q3453" s="136" t="str">
        <f>IFERROR(__xludf.DUMMYFUNCTION("""COMPUTED_VALUE"""),"")</f>
        <v/>
      </c>
      <c r="R3453" s="106" t="str">
        <f>IFERROR(__xludf.DUMMYFUNCTION("""COMPUTED_VALUE"""),"")</f>
        <v/>
      </c>
      <c r="S3453" s="106" t="str">
        <f>IFERROR(__xludf.DUMMYFUNCTION("""COMPUTED_VALUE"""),"")</f>
        <v/>
      </c>
      <c r="T3453" s="139" t="str">
        <f>IFERROR(__xludf.DUMMYFUNCTION("""COMPUTED_VALUE"""),"")</f>
        <v/>
      </c>
      <c r="U3453" s="139" t="str">
        <f>IFERROR(__xludf.DUMMYFUNCTION("""COMPUTED_VALUE"""),"")</f>
        <v/>
      </c>
      <c r="V3453" s="136" t="str">
        <f>IFERROR(__xludf.DUMMYFUNCTION("""COMPUTED_VALUE"""),"")</f>
        <v/>
      </c>
      <c r="W3453" s="106" t="str">
        <f>IFERROR(__xludf.DUMMYFUNCTION("""COMPUTED_VALUE"""),"")</f>
        <v/>
      </c>
      <c r="X3453" s="143" t="str">
        <f t="shared" si="2"/>
        <v/>
      </c>
      <c r="Y3453" s="139" t="str">
        <f>IFERROR(__xludf.DUMMYFUNCTION("""COMPUTED_VALUE"""),"")</f>
        <v/>
      </c>
      <c r="Z3453" s="141" t="str">
        <f>IFERROR(__xludf.DUMMYFUNCTION("""COMPUTED_VALUE"""),"")</f>
        <v/>
      </c>
    </row>
    <row r="3454">
      <c r="D3454" s="136" t="str">
        <f t="shared" si="3"/>
        <v/>
      </c>
      <c r="E3454" s="152"/>
      <c r="F3454" s="106" t="s">
        <v>133</v>
      </c>
      <c r="G3454" s="152"/>
      <c r="H3454" s="106" t="s">
        <v>133</v>
      </c>
      <c r="J3454" s="139" t="s">
        <v>133</v>
      </c>
      <c r="K3454" s="136" t="s">
        <v>133</v>
      </c>
      <c r="L3454" s="153"/>
      <c r="M3454" s="136" t="str">
        <f t="shared" si="1"/>
        <v/>
      </c>
      <c r="O3454" s="141" t="s">
        <v>133</v>
      </c>
      <c r="P3454" s="136" t="str">
        <f>IFERROR(__xludf.DUMMYFUNCTION("""COMPUTED_VALUE"""),"")</f>
        <v/>
      </c>
      <c r="Q3454" s="136" t="str">
        <f>IFERROR(__xludf.DUMMYFUNCTION("""COMPUTED_VALUE"""),"")</f>
        <v/>
      </c>
      <c r="R3454" s="106" t="str">
        <f>IFERROR(__xludf.DUMMYFUNCTION("""COMPUTED_VALUE"""),"")</f>
        <v/>
      </c>
      <c r="S3454" s="106" t="str">
        <f>IFERROR(__xludf.DUMMYFUNCTION("""COMPUTED_VALUE"""),"")</f>
        <v/>
      </c>
      <c r="T3454" s="139" t="str">
        <f>IFERROR(__xludf.DUMMYFUNCTION("""COMPUTED_VALUE"""),"")</f>
        <v/>
      </c>
      <c r="U3454" s="139" t="str">
        <f>IFERROR(__xludf.DUMMYFUNCTION("""COMPUTED_VALUE"""),"")</f>
        <v/>
      </c>
      <c r="V3454" s="136" t="str">
        <f>IFERROR(__xludf.DUMMYFUNCTION("""COMPUTED_VALUE"""),"")</f>
        <v/>
      </c>
      <c r="W3454" s="106" t="str">
        <f>IFERROR(__xludf.DUMMYFUNCTION("""COMPUTED_VALUE"""),"")</f>
        <v/>
      </c>
      <c r="X3454" s="143" t="str">
        <f t="shared" si="2"/>
        <v/>
      </c>
      <c r="Y3454" s="139" t="str">
        <f>IFERROR(__xludf.DUMMYFUNCTION("""COMPUTED_VALUE"""),"")</f>
        <v/>
      </c>
      <c r="Z3454" s="141" t="str">
        <f>IFERROR(__xludf.DUMMYFUNCTION("""COMPUTED_VALUE"""),"")</f>
        <v/>
      </c>
    </row>
    <row r="3455">
      <c r="D3455" s="136" t="str">
        <f t="shared" si="3"/>
        <v/>
      </c>
      <c r="E3455" s="152"/>
      <c r="F3455" s="106" t="s">
        <v>133</v>
      </c>
      <c r="G3455" s="152"/>
      <c r="H3455" s="106" t="s">
        <v>133</v>
      </c>
      <c r="J3455" s="139" t="s">
        <v>133</v>
      </c>
      <c r="K3455" s="136" t="s">
        <v>133</v>
      </c>
      <c r="L3455" s="153"/>
      <c r="M3455" s="136" t="str">
        <f t="shared" si="1"/>
        <v/>
      </c>
      <c r="O3455" s="141" t="s">
        <v>133</v>
      </c>
      <c r="P3455" s="136" t="str">
        <f>IFERROR(__xludf.DUMMYFUNCTION("""COMPUTED_VALUE"""),"")</f>
        <v/>
      </c>
      <c r="Q3455" s="136" t="str">
        <f>IFERROR(__xludf.DUMMYFUNCTION("""COMPUTED_VALUE"""),"")</f>
        <v/>
      </c>
      <c r="R3455" s="106" t="str">
        <f>IFERROR(__xludf.DUMMYFUNCTION("""COMPUTED_VALUE"""),"")</f>
        <v/>
      </c>
      <c r="S3455" s="106" t="str">
        <f>IFERROR(__xludf.DUMMYFUNCTION("""COMPUTED_VALUE"""),"")</f>
        <v/>
      </c>
      <c r="T3455" s="139" t="str">
        <f>IFERROR(__xludf.DUMMYFUNCTION("""COMPUTED_VALUE"""),"")</f>
        <v/>
      </c>
      <c r="U3455" s="139" t="str">
        <f>IFERROR(__xludf.DUMMYFUNCTION("""COMPUTED_VALUE"""),"")</f>
        <v/>
      </c>
      <c r="V3455" s="136" t="str">
        <f>IFERROR(__xludf.DUMMYFUNCTION("""COMPUTED_VALUE"""),"")</f>
        <v/>
      </c>
      <c r="W3455" s="106" t="str">
        <f>IFERROR(__xludf.DUMMYFUNCTION("""COMPUTED_VALUE"""),"")</f>
        <v/>
      </c>
      <c r="X3455" s="143" t="str">
        <f t="shared" si="2"/>
        <v/>
      </c>
      <c r="Y3455" s="139" t="str">
        <f>IFERROR(__xludf.DUMMYFUNCTION("""COMPUTED_VALUE"""),"")</f>
        <v/>
      </c>
      <c r="Z3455" s="141" t="str">
        <f>IFERROR(__xludf.DUMMYFUNCTION("""COMPUTED_VALUE"""),"")</f>
        <v/>
      </c>
    </row>
    <row r="3456">
      <c r="D3456" s="136" t="str">
        <f t="shared" si="3"/>
        <v/>
      </c>
      <c r="E3456" s="152"/>
      <c r="F3456" s="106" t="s">
        <v>133</v>
      </c>
      <c r="G3456" s="152"/>
      <c r="H3456" s="106" t="s">
        <v>133</v>
      </c>
      <c r="J3456" s="139" t="s">
        <v>133</v>
      </c>
      <c r="K3456" s="136" t="s">
        <v>133</v>
      </c>
      <c r="L3456" s="153"/>
      <c r="M3456" s="136" t="str">
        <f t="shared" si="1"/>
        <v/>
      </c>
      <c r="O3456" s="141" t="s">
        <v>133</v>
      </c>
      <c r="P3456" s="136" t="str">
        <f>IFERROR(__xludf.DUMMYFUNCTION("""COMPUTED_VALUE"""),"")</f>
        <v/>
      </c>
      <c r="Q3456" s="136" t="str">
        <f>IFERROR(__xludf.DUMMYFUNCTION("""COMPUTED_VALUE"""),"")</f>
        <v/>
      </c>
      <c r="R3456" s="106" t="str">
        <f>IFERROR(__xludf.DUMMYFUNCTION("""COMPUTED_VALUE"""),"")</f>
        <v/>
      </c>
      <c r="S3456" s="106" t="str">
        <f>IFERROR(__xludf.DUMMYFUNCTION("""COMPUTED_VALUE"""),"")</f>
        <v/>
      </c>
      <c r="T3456" s="139" t="str">
        <f>IFERROR(__xludf.DUMMYFUNCTION("""COMPUTED_VALUE"""),"")</f>
        <v/>
      </c>
      <c r="U3456" s="139" t="str">
        <f>IFERROR(__xludf.DUMMYFUNCTION("""COMPUTED_VALUE"""),"")</f>
        <v/>
      </c>
      <c r="V3456" s="136" t="str">
        <f>IFERROR(__xludf.DUMMYFUNCTION("""COMPUTED_VALUE"""),"")</f>
        <v/>
      </c>
      <c r="W3456" s="106" t="str">
        <f>IFERROR(__xludf.DUMMYFUNCTION("""COMPUTED_VALUE"""),"")</f>
        <v/>
      </c>
      <c r="X3456" s="143" t="str">
        <f t="shared" si="2"/>
        <v/>
      </c>
      <c r="Y3456" s="139" t="str">
        <f>IFERROR(__xludf.DUMMYFUNCTION("""COMPUTED_VALUE"""),"")</f>
        <v/>
      </c>
      <c r="Z3456" s="141" t="str">
        <f>IFERROR(__xludf.DUMMYFUNCTION("""COMPUTED_VALUE"""),"")</f>
        <v/>
      </c>
    </row>
    <row r="3457">
      <c r="D3457" s="136" t="str">
        <f t="shared" si="3"/>
        <v/>
      </c>
      <c r="E3457" s="152"/>
      <c r="F3457" s="106" t="s">
        <v>133</v>
      </c>
      <c r="G3457" s="152"/>
      <c r="H3457" s="106" t="s">
        <v>133</v>
      </c>
      <c r="J3457" s="139" t="s">
        <v>133</v>
      </c>
      <c r="K3457" s="136" t="s">
        <v>133</v>
      </c>
      <c r="L3457" s="153"/>
      <c r="M3457" s="136" t="str">
        <f t="shared" si="1"/>
        <v/>
      </c>
      <c r="O3457" s="141" t="s">
        <v>133</v>
      </c>
      <c r="P3457" s="136" t="str">
        <f>IFERROR(__xludf.DUMMYFUNCTION("""COMPUTED_VALUE"""),"")</f>
        <v/>
      </c>
      <c r="Q3457" s="136" t="str">
        <f>IFERROR(__xludf.DUMMYFUNCTION("""COMPUTED_VALUE"""),"")</f>
        <v/>
      </c>
      <c r="R3457" s="106" t="str">
        <f>IFERROR(__xludf.DUMMYFUNCTION("""COMPUTED_VALUE"""),"")</f>
        <v/>
      </c>
      <c r="S3457" s="106" t="str">
        <f>IFERROR(__xludf.DUMMYFUNCTION("""COMPUTED_VALUE"""),"")</f>
        <v/>
      </c>
      <c r="T3457" s="139" t="str">
        <f>IFERROR(__xludf.DUMMYFUNCTION("""COMPUTED_VALUE"""),"")</f>
        <v/>
      </c>
      <c r="U3457" s="139" t="str">
        <f>IFERROR(__xludf.DUMMYFUNCTION("""COMPUTED_VALUE"""),"")</f>
        <v/>
      </c>
      <c r="V3457" s="136" t="str">
        <f>IFERROR(__xludf.DUMMYFUNCTION("""COMPUTED_VALUE"""),"")</f>
        <v/>
      </c>
      <c r="W3457" s="106" t="str">
        <f>IFERROR(__xludf.DUMMYFUNCTION("""COMPUTED_VALUE"""),"")</f>
        <v/>
      </c>
      <c r="X3457" s="143" t="str">
        <f t="shared" si="2"/>
        <v/>
      </c>
      <c r="Y3457" s="139" t="str">
        <f>IFERROR(__xludf.DUMMYFUNCTION("""COMPUTED_VALUE"""),"")</f>
        <v/>
      </c>
      <c r="Z3457" s="141" t="str">
        <f>IFERROR(__xludf.DUMMYFUNCTION("""COMPUTED_VALUE"""),"")</f>
        <v/>
      </c>
    </row>
    <row r="3458">
      <c r="D3458" s="136" t="str">
        <f t="shared" si="3"/>
        <v/>
      </c>
      <c r="E3458" s="152"/>
      <c r="F3458" s="106" t="s">
        <v>133</v>
      </c>
      <c r="G3458" s="152"/>
      <c r="H3458" s="106" t="s">
        <v>133</v>
      </c>
      <c r="J3458" s="139" t="s">
        <v>133</v>
      </c>
      <c r="K3458" s="136" t="s">
        <v>133</v>
      </c>
      <c r="L3458" s="153"/>
      <c r="M3458" s="136" t="str">
        <f t="shared" si="1"/>
        <v/>
      </c>
      <c r="O3458" s="141" t="s">
        <v>133</v>
      </c>
      <c r="P3458" s="136" t="str">
        <f>IFERROR(__xludf.DUMMYFUNCTION("""COMPUTED_VALUE"""),"")</f>
        <v/>
      </c>
      <c r="Q3458" s="136" t="str">
        <f>IFERROR(__xludf.DUMMYFUNCTION("""COMPUTED_VALUE"""),"")</f>
        <v/>
      </c>
      <c r="R3458" s="106" t="str">
        <f>IFERROR(__xludf.DUMMYFUNCTION("""COMPUTED_VALUE"""),"")</f>
        <v/>
      </c>
      <c r="S3458" s="106" t="str">
        <f>IFERROR(__xludf.DUMMYFUNCTION("""COMPUTED_VALUE"""),"")</f>
        <v/>
      </c>
      <c r="T3458" s="139" t="str">
        <f>IFERROR(__xludf.DUMMYFUNCTION("""COMPUTED_VALUE"""),"")</f>
        <v/>
      </c>
      <c r="U3458" s="139" t="str">
        <f>IFERROR(__xludf.DUMMYFUNCTION("""COMPUTED_VALUE"""),"")</f>
        <v/>
      </c>
      <c r="V3458" s="136" t="str">
        <f>IFERROR(__xludf.DUMMYFUNCTION("""COMPUTED_VALUE"""),"")</f>
        <v/>
      </c>
      <c r="W3458" s="106" t="str">
        <f>IFERROR(__xludf.DUMMYFUNCTION("""COMPUTED_VALUE"""),"")</f>
        <v/>
      </c>
      <c r="X3458" s="143" t="str">
        <f t="shared" si="2"/>
        <v/>
      </c>
      <c r="Y3458" s="139" t="str">
        <f>IFERROR(__xludf.DUMMYFUNCTION("""COMPUTED_VALUE"""),"")</f>
        <v/>
      </c>
      <c r="Z3458" s="141" t="str">
        <f>IFERROR(__xludf.DUMMYFUNCTION("""COMPUTED_VALUE"""),"")</f>
        <v/>
      </c>
    </row>
    <row r="3459">
      <c r="D3459" s="136" t="str">
        <f t="shared" si="3"/>
        <v/>
      </c>
      <c r="E3459" s="152"/>
      <c r="F3459" s="106" t="s">
        <v>133</v>
      </c>
      <c r="G3459" s="152"/>
      <c r="H3459" s="106" t="s">
        <v>133</v>
      </c>
      <c r="J3459" s="139" t="s">
        <v>133</v>
      </c>
      <c r="K3459" s="136" t="s">
        <v>133</v>
      </c>
      <c r="L3459" s="153"/>
      <c r="M3459" s="136" t="str">
        <f t="shared" si="1"/>
        <v/>
      </c>
      <c r="O3459" s="141" t="s">
        <v>133</v>
      </c>
      <c r="P3459" s="136" t="str">
        <f>IFERROR(__xludf.DUMMYFUNCTION("""COMPUTED_VALUE"""),"")</f>
        <v/>
      </c>
      <c r="Q3459" s="136" t="str">
        <f>IFERROR(__xludf.DUMMYFUNCTION("""COMPUTED_VALUE"""),"")</f>
        <v/>
      </c>
      <c r="R3459" s="106" t="str">
        <f>IFERROR(__xludf.DUMMYFUNCTION("""COMPUTED_VALUE"""),"")</f>
        <v/>
      </c>
      <c r="S3459" s="106" t="str">
        <f>IFERROR(__xludf.DUMMYFUNCTION("""COMPUTED_VALUE"""),"")</f>
        <v/>
      </c>
      <c r="T3459" s="139" t="str">
        <f>IFERROR(__xludf.DUMMYFUNCTION("""COMPUTED_VALUE"""),"")</f>
        <v/>
      </c>
      <c r="U3459" s="139" t="str">
        <f>IFERROR(__xludf.DUMMYFUNCTION("""COMPUTED_VALUE"""),"")</f>
        <v/>
      </c>
      <c r="V3459" s="136" t="str">
        <f>IFERROR(__xludf.DUMMYFUNCTION("""COMPUTED_VALUE"""),"")</f>
        <v/>
      </c>
      <c r="W3459" s="106" t="str">
        <f>IFERROR(__xludf.DUMMYFUNCTION("""COMPUTED_VALUE"""),"")</f>
        <v/>
      </c>
      <c r="X3459" s="143" t="str">
        <f t="shared" si="2"/>
        <v/>
      </c>
      <c r="Y3459" s="139" t="str">
        <f>IFERROR(__xludf.DUMMYFUNCTION("""COMPUTED_VALUE"""),"")</f>
        <v/>
      </c>
      <c r="Z3459" s="141" t="str">
        <f>IFERROR(__xludf.DUMMYFUNCTION("""COMPUTED_VALUE"""),"")</f>
        <v/>
      </c>
    </row>
    <row r="3460">
      <c r="D3460" s="136" t="str">
        <f t="shared" si="3"/>
        <v/>
      </c>
      <c r="E3460" s="152"/>
      <c r="F3460" s="106" t="s">
        <v>133</v>
      </c>
      <c r="G3460" s="152"/>
      <c r="H3460" s="106" t="s">
        <v>133</v>
      </c>
      <c r="J3460" s="139" t="s">
        <v>133</v>
      </c>
      <c r="K3460" s="136" t="s">
        <v>133</v>
      </c>
      <c r="L3460" s="153"/>
      <c r="M3460" s="136" t="str">
        <f t="shared" si="1"/>
        <v/>
      </c>
      <c r="O3460" s="141" t="s">
        <v>133</v>
      </c>
      <c r="P3460" s="136" t="str">
        <f>IFERROR(__xludf.DUMMYFUNCTION("""COMPUTED_VALUE"""),"")</f>
        <v/>
      </c>
      <c r="Q3460" s="136" t="str">
        <f>IFERROR(__xludf.DUMMYFUNCTION("""COMPUTED_VALUE"""),"")</f>
        <v/>
      </c>
      <c r="R3460" s="106" t="str">
        <f>IFERROR(__xludf.DUMMYFUNCTION("""COMPUTED_VALUE"""),"")</f>
        <v/>
      </c>
      <c r="S3460" s="106" t="str">
        <f>IFERROR(__xludf.DUMMYFUNCTION("""COMPUTED_VALUE"""),"")</f>
        <v/>
      </c>
      <c r="T3460" s="139" t="str">
        <f>IFERROR(__xludf.DUMMYFUNCTION("""COMPUTED_VALUE"""),"")</f>
        <v/>
      </c>
      <c r="U3460" s="139" t="str">
        <f>IFERROR(__xludf.DUMMYFUNCTION("""COMPUTED_VALUE"""),"")</f>
        <v/>
      </c>
      <c r="V3460" s="136" t="str">
        <f>IFERROR(__xludf.DUMMYFUNCTION("""COMPUTED_VALUE"""),"")</f>
        <v/>
      </c>
      <c r="W3460" s="106" t="str">
        <f>IFERROR(__xludf.DUMMYFUNCTION("""COMPUTED_VALUE"""),"")</f>
        <v/>
      </c>
      <c r="X3460" s="143" t="str">
        <f t="shared" si="2"/>
        <v/>
      </c>
      <c r="Y3460" s="139" t="str">
        <f>IFERROR(__xludf.DUMMYFUNCTION("""COMPUTED_VALUE"""),"")</f>
        <v/>
      </c>
      <c r="Z3460" s="141" t="str">
        <f>IFERROR(__xludf.DUMMYFUNCTION("""COMPUTED_VALUE"""),"")</f>
        <v/>
      </c>
    </row>
    <row r="3461">
      <c r="D3461" s="136" t="str">
        <f t="shared" si="3"/>
        <v/>
      </c>
      <c r="E3461" s="152"/>
      <c r="F3461" s="106" t="s">
        <v>133</v>
      </c>
      <c r="G3461" s="152"/>
      <c r="H3461" s="106" t="s">
        <v>133</v>
      </c>
      <c r="J3461" s="139" t="s">
        <v>133</v>
      </c>
      <c r="K3461" s="136" t="s">
        <v>133</v>
      </c>
      <c r="L3461" s="153"/>
      <c r="M3461" s="136" t="str">
        <f t="shared" si="1"/>
        <v/>
      </c>
      <c r="O3461" s="141" t="s">
        <v>133</v>
      </c>
      <c r="P3461" s="136" t="str">
        <f>IFERROR(__xludf.DUMMYFUNCTION("""COMPUTED_VALUE"""),"")</f>
        <v/>
      </c>
      <c r="Q3461" s="136" t="str">
        <f>IFERROR(__xludf.DUMMYFUNCTION("""COMPUTED_VALUE"""),"")</f>
        <v/>
      </c>
      <c r="R3461" s="106" t="str">
        <f>IFERROR(__xludf.DUMMYFUNCTION("""COMPUTED_VALUE"""),"")</f>
        <v/>
      </c>
      <c r="S3461" s="106" t="str">
        <f>IFERROR(__xludf.DUMMYFUNCTION("""COMPUTED_VALUE"""),"")</f>
        <v/>
      </c>
      <c r="T3461" s="139" t="str">
        <f>IFERROR(__xludf.DUMMYFUNCTION("""COMPUTED_VALUE"""),"")</f>
        <v/>
      </c>
      <c r="U3461" s="139" t="str">
        <f>IFERROR(__xludf.DUMMYFUNCTION("""COMPUTED_VALUE"""),"")</f>
        <v/>
      </c>
      <c r="V3461" s="136" t="str">
        <f>IFERROR(__xludf.DUMMYFUNCTION("""COMPUTED_VALUE"""),"")</f>
        <v/>
      </c>
      <c r="W3461" s="106" t="str">
        <f>IFERROR(__xludf.DUMMYFUNCTION("""COMPUTED_VALUE"""),"")</f>
        <v/>
      </c>
      <c r="X3461" s="143" t="str">
        <f t="shared" si="2"/>
        <v/>
      </c>
      <c r="Y3461" s="139" t="str">
        <f>IFERROR(__xludf.DUMMYFUNCTION("""COMPUTED_VALUE"""),"")</f>
        <v/>
      </c>
      <c r="Z3461" s="141" t="str">
        <f>IFERROR(__xludf.DUMMYFUNCTION("""COMPUTED_VALUE"""),"")</f>
        <v/>
      </c>
    </row>
    <row r="3462">
      <c r="D3462" s="136" t="str">
        <f t="shared" si="3"/>
        <v/>
      </c>
      <c r="E3462" s="152"/>
      <c r="F3462" s="106" t="s">
        <v>133</v>
      </c>
      <c r="G3462" s="152"/>
      <c r="H3462" s="106" t="s">
        <v>133</v>
      </c>
      <c r="J3462" s="139" t="s">
        <v>133</v>
      </c>
      <c r="K3462" s="136" t="s">
        <v>133</v>
      </c>
      <c r="L3462" s="153"/>
      <c r="M3462" s="136" t="str">
        <f t="shared" si="1"/>
        <v/>
      </c>
      <c r="O3462" s="141" t="s">
        <v>133</v>
      </c>
      <c r="P3462" s="136" t="str">
        <f>IFERROR(__xludf.DUMMYFUNCTION("""COMPUTED_VALUE"""),"")</f>
        <v/>
      </c>
      <c r="Q3462" s="136" t="str">
        <f>IFERROR(__xludf.DUMMYFUNCTION("""COMPUTED_VALUE"""),"")</f>
        <v/>
      </c>
      <c r="R3462" s="106" t="str">
        <f>IFERROR(__xludf.DUMMYFUNCTION("""COMPUTED_VALUE"""),"")</f>
        <v/>
      </c>
      <c r="S3462" s="106" t="str">
        <f>IFERROR(__xludf.DUMMYFUNCTION("""COMPUTED_VALUE"""),"")</f>
        <v/>
      </c>
      <c r="T3462" s="139" t="str">
        <f>IFERROR(__xludf.DUMMYFUNCTION("""COMPUTED_VALUE"""),"")</f>
        <v/>
      </c>
      <c r="U3462" s="139" t="str">
        <f>IFERROR(__xludf.DUMMYFUNCTION("""COMPUTED_VALUE"""),"")</f>
        <v/>
      </c>
      <c r="V3462" s="136" t="str">
        <f>IFERROR(__xludf.DUMMYFUNCTION("""COMPUTED_VALUE"""),"")</f>
        <v/>
      </c>
      <c r="W3462" s="106" t="str">
        <f>IFERROR(__xludf.DUMMYFUNCTION("""COMPUTED_VALUE"""),"")</f>
        <v/>
      </c>
      <c r="X3462" s="143" t="str">
        <f t="shared" si="2"/>
        <v/>
      </c>
      <c r="Y3462" s="139" t="str">
        <f>IFERROR(__xludf.DUMMYFUNCTION("""COMPUTED_VALUE"""),"")</f>
        <v/>
      </c>
      <c r="Z3462" s="141" t="str">
        <f>IFERROR(__xludf.DUMMYFUNCTION("""COMPUTED_VALUE"""),"")</f>
        <v/>
      </c>
    </row>
    <row r="3463">
      <c r="D3463" s="136" t="str">
        <f t="shared" si="3"/>
        <v/>
      </c>
      <c r="E3463" s="152"/>
      <c r="F3463" s="106" t="s">
        <v>133</v>
      </c>
      <c r="G3463" s="152"/>
      <c r="H3463" s="106" t="s">
        <v>133</v>
      </c>
      <c r="J3463" s="139" t="s">
        <v>133</v>
      </c>
      <c r="K3463" s="136" t="s">
        <v>133</v>
      </c>
      <c r="L3463" s="153"/>
      <c r="M3463" s="136" t="str">
        <f t="shared" si="1"/>
        <v/>
      </c>
      <c r="O3463" s="141" t="s">
        <v>133</v>
      </c>
      <c r="P3463" s="136" t="str">
        <f>IFERROR(__xludf.DUMMYFUNCTION("""COMPUTED_VALUE"""),"")</f>
        <v/>
      </c>
      <c r="Q3463" s="136" t="str">
        <f>IFERROR(__xludf.DUMMYFUNCTION("""COMPUTED_VALUE"""),"")</f>
        <v/>
      </c>
      <c r="R3463" s="106" t="str">
        <f>IFERROR(__xludf.DUMMYFUNCTION("""COMPUTED_VALUE"""),"")</f>
        <v/>
      </c>
      <c r="S3463" s="106" t="str">
        <f>IFERROR(__xludf.DUMMYFUNCTION("""COMPUTED_VALUE"""),"")</f>
        <v/>
      </c>
      <c r="T3463" s="139" t="str">
        <f>IFERROR(__xludf.DUMMYFUNCTION("""COMPUTED_VALUE"""),"")</f>
        <v/>
      </c>
      <c r="U3463" s="139" t="str">
        <f>IFERROR(__xludf.DUMMYFUNCTION("""COMPUTED_VALUE"""),"")</f>
        <v/>
      </c>
      <c r="V3463" s="136" t="str">
        <f>IFERROR(__xludf.DUMMYFUNCTION("""COMPUTED_VALUE"""),"")</f>
        <v/>
      </c>
      <c r="W3463" s="106" t="str">
        <f>IFERROR(__xludf.DUMMYFUNCTION("""COMPUTED_VALUE"""),"")</f>
        <v/>
      </c>
      <c r="X3463" s="143" t="str">
        <f t="shared" si="2"/>
        <v/>
      </c>
      <c r="Y3463" s="139" t="str">
        <f>IFERROR(__xludf.DUMMYFUNCTION("""COMPUTED_VALUE"""),"")</f>
        <v/>
      </c>
      <c r="Z3463" s="141" t="str">
        <f>IFERROR(__xludf.DUMMYFUNCTION("""COMPUTED_VALUE"""),"")</f>
        <v/>
      </c>
    </row>
    <row r="3464">
      <c r="D3464" s="136" t="str">
        <f t="shared" si="3"/>
        <v/>
      </c>
      <c r="E3464" s="152"/>
      <c r="F3464" s="106" t="s">
        <v>133</v>
      </c>
      <c r="G3464" s="152"/>
      <c r="H3464" s="106" t="s">
        <v>133</v>
      </c>
      <c r="J3464" s="139" t="s">
        <v>133</v>
      </c>
      <c r="K3464" s="136" t="s">
        <v>133</v>
      </c>
      <c r="L3464" s="153"/>
      <c r="M3464" s="136" t="str">
        <f t="shared" si="1"/>
        <v/>
      </c>
      <c r="O3464" s="141" t="s">
        <v>133</v>
      </c>
      <c r="P3464" s="136" t="str">
        <f>IFERROR(__xludf.DUMMYFUNCTION("""COMPUTED_VALUE"""),"")</f>
        <v/>
      </c>
      <c r="Q3464" s="136" t="str">
        <f>IFERROR(__xludf.DUMMYFUNCTION("""COMPUTED_VALUE"""),"")</f>
        <v/>
      </c>
      <c r="R3464" s="106" t="str">
        <f>IFERROR(__xludf.DUMMYFUNCTION("""COMPUTED_VALUE"""),"")</f>
        <v/>
      </c>
      <c r="S3464" s="106" t="str">
        <f>IFERROR(__xludf.DUMMYFUNCTION("""COMPUTED_VALUE"""),"")</f>
        <v/>
      </c>
      <c r="T3464" s="139" t="str">
        <f>IFERROR(__xludf.DUMMYFUNCTION("""COMPUTED_VALUE"""),"")</f>
        <v/>
      </c>
      <c r="U3464" s="139" t="str">
        <f>IFERROR(__xludf.DUMMYFUNCTION("""COMPUTED_VALUE"""),"")</f>
        <v/>
      </c>
      <c r="V3464" s="136" t="str">
        <f>IFERROR(__xludf.DUMMYFUNCTION("""COMPUTED_VALUE"""),"")</f>
        <v/>
      </c>
      <c r="W3464" s="106" t="str">
        <f>IFERROR(__xludf.DUMMYFUNCTION("""COMPUTED_VALUE"""),"")</f>
        <v/>
      </c>
      <c r="X3464" s="143" t="str">
        <f t="shared" si="2"/>
        <v/>
      </c>
      <c r="Y3464" s="139" t="str">
        <f>IFERROR(__xludf.DUMMYFUNCTION("""COMPUTED_VALUE"""),"")</f>
        <v/>
      </c>
      <c r="Z3464" s="141" t="str">
        <f>IFERROR(__xludf.DUMMYFUNCTION("""COMPUTED_VALUE"""),"")</f>
        <v/>
      </c>
    </row>
    <row r="3465">
      <c r="D3465" s="136" t="str">
        <f t="shared" si="3"/>
        <v/>
      </c>
      <c r="E3465" s="152"/>
      <c r="F3465" s="106" t="s">
        <v>133</v>
      </c>
      <c r="G3465" s="152"/>
      <c r="H3465" s="106" t="s">
        <v>133</v>
      </c>
      <c r="J3465" s="139" t="s">
        <v>133</v>
      </c>
      <c r="K3465" s="136" t="s">
        <v>133</v>
      </c>
      <c r="L3465" s="153"/>
      <c r="M3465" s="136" t="str">
        <f t="shared" si="1"/>
        <v/>
      </c>
      <c r="O3465" s="141" t="s">
        <v>133</v>
      </c>
      <c r="P3465" s="136" t="str">
        <f>IFERROR(__xludf.DUMMYFUNCTION("""COMPUTED_VALUE"""),"")</f>
        <v/>
      </c>
      <c r="Q3465" s="136" t="str">
        <f>IFERROR(__xludf.DUMMYFUNCTION("""COMPUTED_VALUE"""),"")</f>
        <v/>
      </c>
      <c r="R3465" s="106" t="str">
        <f>IFERROR(__xludf.DUMMYFUNCTION("""COMPUTED_VALUE"""),"")</f>
        <v/>
      </c>
      <c r="S3465" s="106" t="str">
        <f>IFERROR(__xludf.DUMMYFUNCTION("""COMPUTED_VALUE"""),"")</f>
        <v/>
      </c>
      <c r="T3465" s="139" t="str">
        <f>IFERROR(__xludf.DUMMYFUNCTION("""COMPUTED_VALUE"""),"")</f>
        <v/>
      </c>
      <c r="U3465" s="139" t="str">
        <f>IFERROR(__xludf.DUMMYFUNCTION("""COMPUTED_VALUE"""),"")</f>
        <v/>
      </c>
      <c r="V3465" s="136" t="str">
        <f>IFERROR(__xludf.DUMMYFUNCTION("""COMPUTED_VALUE"""),"")</f>
        <v/>
      </c>
      <c r="W3465" s="106" t="str">
        <f>IFERROR(__xludf.DUMMYFUNCTION("""COMPUTED_VALUE"""),"")</f>
        <v/>
      </c>
      <c r="X3465" s="143" t="str">
        <f t="shared" si="2"/>
        <v/>
      </c>
      <c r="Y3465" s="139" t="str">
        <f>IFERROR(__xludf.DUMMYFUNCTION("""COMPUTED_VALUE"""),"")</f>
        <v/>
      </c>
      <c r="Z3465" s="141" t="str">
        <f>IFERROR(__xludf.DUMMYFUNCTION("""COMPUTED_VALUE"""),"")</f>
        <v/>
      </c>
    </row>
    <row r="3466">
      <c r="D3466" s="136" t="str">
        <f t="shared" si="3"/>
        <v/>
      </c>
      <c r="E3466" s="152"/>
      <c r="F3466" s="106" t="s">
        <v>133</v>
      </c>
      <c r="G3466" s="152"/>
      <c r="H3466" s="106" t="s">
        <v>133</v>
      </c>
      <c r="J3466" s="139" t="s">
        <v>133</v>
      </c>
      <c r="K3466" s="136" t="s">
        <v>133</v>
      </c>
      <c r="L3466" s="153"/>
      <c r="M3466" s="136" t="str">
        <f t="shared" si="1"/>
        <v/>
      </c>
      <c r="O3466" s="141" t="s">
        <v>133</v>
      </c>
      <c r="P3466" s="136" t="str">
        <f>IFERROR(__xludf.DUMMYFUNCTION("""COMPUTED_VALUE"""),"")</f>
        <v/>
      </c>
      <c r="Q3466" s="136" t="str">
        <f>IFERROR(__xludf.DUMMYFUNCTION("""COMPUTED_VALUE"""),"")</f>
        <v/>
      </c>
      <c r="R3466" s="106" t="str">
        <f>IFERROR(__xludf.DUMMYFUNCTION("""COMPUTED_VALUE"""),"")</f>
        <v/>
      </c>
      <c r="S3466" s="106" t="str">
        <f>IFERROR(__xludf.DUMMYFUNCTION("""COMPUTED_VALUE"""),"")</f>
        <v/>
      </c>
      <c r="T3466" s="139" t="str">
        <f>IFERROR(__xludf.DUMMYFUNCTION("""COMPUTED_VALUE"""),"")</f>
        <v/>
      </c>
      <c r="U3466" s="139" t="str">
        <f>IFERROR(__xludf.DUMMYFUNCTION("""COMPUTED_VALUE"""),"")</f>
        <v/>
      </c>
      <c r="V3466" s="136" t="str">
        <f>IFERROR(__xludf.DUMMYFUNCTION("""COMPUTED_VALUE"""),"")</f>
        <v/>
      </c>
      <c r="W3466" s="106" t="str">
        <f>IFERROR(__xludf.DUMMYFUNCTION("""COMPUTED_VALUE"""),"")</f>
        <v/>
      </c>
      <c r="X3466" s="143" t="str">
        <f t="shared" si="2"/>
        <v/>
      </c>
      <c r="Y3466" s="139" t="str">
        <f>IFERROR(__xludf.DUMMYFUNCTION("""COMPUTED_VALUE"""),"")</f>
        <v/>
      </c>
      <c r="Z3466" s="141" t="str">
        <f>IFERROR(__xludf.DUMMYFUNCTION("""COMPUTED_VALUE"""),"")</f>
        <v/>
      </c>
    </row>
    <row r="3467">
      <c r="D3467" s="136" t="str">
        <f t="shared" si="3"/>
        <v/>
      </c>
      <c r="E3467" s="152"/>
      <c r="F3467" s="106" t="s">
        <v>133</v>
      </c>
      <c r="G3467" s="152"/>
      <c r="H3467" s="106" t="s">
        <v>133</v>
      </c>
      <c r="J3467" s="139" t="s">
        <v>133</v>
      </c>
      <c r="K3467" s="136" t="s">
        <v>133</v>
      </c>
      <c r="L3467" s="153"/>
      <c r="M3467" s="136" t="str">
        <f t="shared" si="1"/>
        <v/>
      </c>
      <c r="O3467" s="141" t="s">
        <v>133</v>
      </c>
      <c r="P3467" s="136" t="str">
        <f>IFERROR(__xludf.DUMMYFUNCTION("""COMPUTED_VALUE"""),"")</f>
        <v/>
      </c>
      <c r="Q3467" s="136" t="str">
        <f>IFERROR(__xludf.DUMMYFUNCTION("""COMPUTED_VALUE"""),"")</f>
        <v/>
      </c>
      <c r="R3467" s="106" t="str">
        <f>IFERROR(__xludf.DUMMYFUNCTION("""COMPUTED_VALUE"""),"")</f>
        <v/>
      </c>
      <c r="S3467" s="106" t="str">
        <f>IFERROR(__xludf.DUMMYFUNCTION("""COMPUTED_VALUE"""),"")</f>
        <v/>
      </c>
      <c r="T3467" s="139" t="str">
        <f>IFERROR(__xludf.DUMMYFUNCTION("""COMPUTED_VALUE"""),"")</f>
        <v/>
      </c>
      <c r="U3467" s="139" t="str">
        <f>IFERROR(__xludf.DUMMYFUNCTION("""COMPUTED_VALUE"""),"")</f>
        <v/>
      </c>
      <c r="V3467" s="136" t="str">
        <f>IFERROR(__xludf.DUMMYFUNCTION("""COMPUTED_VALUE"""),"")</f>
        <v/>
      </c>
      <c r="W3467" s="106" t="str">
        <f>IFERROR(__xludf.DUMMYFUNCTION("""COMPUTED_VALUE"""),"")</f>
        <v/>
      </c>
      <c r="X3467" s="143" t="str">
        <f t="shared" si="2"/>
        <v/>
      </c>
      <c r="Y3467" s="139" t="str">
        <f>IFERROR(__xludf.DUMMYFUNCTION("""COMPUTED_VALUE"""),"")</f>
        <v/>
      </c>
      <c r="Z3467" s="141" t="str">
        <f>IFERROR(__xludf.DUMMYFUNCTION("""COMPUTED_VALUE"""),"")</f>
        <v/>
      </c>
    </row>
    <row r="3468">
      <c r="D3468" s="136" t="str">
        <f t="shared" si="3"/>
        <v/>
      </c>
      <c r="E3468" s="152"/>
      <c r="F3468" s="106" t="s">
        <v>133</v>
      </c>
      <c r="G3468" s="152"/>
      <c r="H3468" s="106" t="s">
        <v>133</v>
      </c>
      <c r="J3468" s="139" t="s">
        <v>133</v>
      </c>
      <c r="K3468" s="136" t="s">
        <v>133</v>
      </c>
      <c r="L3468" s="153"/>
      <c r="M3468" s="136" t="str">
        <f t="shared" si="1"/>
        <v/>
      </c>
      <c r="O3468" s="141" t="s">
        <v>133</v>
      </c>
      <c r="P3468" s="136" t="str">
        <f>IFERROR(__xludf.DUMMYFUNCTION("""COMPUTED_VALUE"""),"")</f>
        <v/>
      </c>
      <c r="Q3468" s="136" t="str">
        <f>IFERROR(__xludf.DUMMYFUNCTION("""COMPUTED_VALUE"""),"")</f>
        <v/>
      </c>
      <c r="R3468" s="106" t="str">
        <f>IFERROR(__xludf.DUMMYFUNCTION("""COMPUTED_VALUE"""),"")</f>
        <v/>
      </c>
      <c r="S3468" s="106" t="str">
        <f>IFERROR(__xludf.DUMMYFUNCTION("""COMPUTED_VALUE"""),"")</f>
        <v/>
      </c>
      <c r="T3468" s="139" t="str">
        <f>IFERROR(__xludf.DUMMYFUNCTION("""COMPUTED_VALUE"""),"")</f>
        <v/>
      </c>
      <c r="U3468" s="139" t="str">
        <f>IFERROR(__xludf.DUMMYFUNCTION("""COMPUTED_VALUE"""),"")</f>
        <v/>
      </c>
      <c r="V3468" s="136" t="str">
        <f>IFERROR(__xludf.DUMMYFUNCTION("""COMPUTED_VALUE"""),"")</f>
        <v/>
      </c>
      <c r="W3468" s="106" t="str">
        <f>IFERROR(__xludf.DUMMYFUNCTION("""COMPUTED_VALUE"""),"")</f>
        <v/>
      </c>
      <c r="X3468" s="143" t="str">
        <f t="shared" si="2"/>
        <v/>
      </c>
      <c r="Y3468" s="139" t="str">
        <f>IFERROR(__xludf.DUMMYFUNCTION("""COMPUTED_VALUE"""),"")</f>
        <v/>
      </c>
      <c r="Z3468" s="141" t="str">
        <f>IFERROR(__xludf.DUMMYFUNCTION("""COMPUTED_VALUE"""),"")</f>
        <v/>
      </c>
    </row>
    <row r="3469">
      <c r="D3469" s="136" t="str">
        <f t="shared" si="3"/>
        <v/>
      </c>
      <c r="E3469" s="152"/>
      <c r="F3469" s="106" t="s">
        <v>133</v>
      </c>
      <c r="G3469" s="152"/>
      <c r="H3469" s="106" t="s">
        <v>133</v>
      </c>
      <c r="J3469" s="139" t="s">
        <v>133</v>
      </c>
      <c r="K3469" s="136" t="s">
        <v>133</v>
      </c>
      <c r="L3469" s="153"/>
      <c r="M3469" s="136" t="str">
        <f t="shared" si="1"/>
        <v/>
      </c>
      <c r="O3469" s="141" t="s">
        <v>133</v>
      </c>
      <c r="P3469" s="136" t="str">
        <f>IFERROR(__xludf.DUMMYFUNCTION("""COMPUTED_VALUE"""),"")</f>
        <v/>
      </c>
      <c r="Q3469" s="136" t="str">
        <f>IFERROR(__xludf.DUMMYFUNCTION("""COMPUTED_VALUE"""),"")</f>
        <v/>
      </c>
      <c r="R3469" s="106" t="str">
        <f>IFERROR(__xludf.DUMMYFUNCTION("""COMPUTED_VALUE"""),"")</f>
        <v/>
      </c>
      <c r="S3469" s="106" t="str">
        <f>IFERROR(__xludf.DUMMYFUNCTION("""COMPUTED_VALUE"""),"")</f>
        <v/>
      </c>
      <c r="T3469" s="139" t="str">
        <f>IFERROR(__xludf.DUMMYFUNCTION("""COMPUTED_VALUE"""),"")</f>
        <v/>
      </c>
      <c r="U3469" s="139" t="str">
        <f>IFERROR(__xludf.DUMMYFUNCTION("""COMPUTED_VALUE"""),"")</f>
        <v/>
      </c>
      <c r="V3469" s="136" t="str">
        <f>IFERROR(__xludf.DUMMYFUNCTION("""COMPUTED_VALUE"""),"")</f>
        <v/>
      </c>
      <c r="W3469" s="106" t="str">
        <f>IFERROR(__xludf.DUMMYFUNCTION("""COMPUTED_VALUE"""),"")</f>
        <v/>
      </c>
      <c r="X3469" s="143" t="str">
        <f t="shared" si="2"/>
        <v/>
      </c>
      <c r="Y3469" s="139" t="str">
        <f>IFERROR(__xludf.DUMMYFUNCTION("""COMPUTED_VALUE"""),"")</f>
        <v/>
      </c>
      <c r="Z3469" s="141" t="str">
        <f>IFERROR(__xludf.DUMMYFUNCTION("""COMPUTED_VALUE"""),"")</f>
        <v/>
      </c>
    </row>
    <row r="3470">
      <c r="D3470" s="136" t="str">
        <f t="shared" si="3"/>
        <v/>
      </c>
      <c r="E3470" s="152"/>
      <c r="F3470" s="106" t="s">
        <v>133</v>
      </c>
      <c r="G3470" s="152"/>
      <c r="H3470" s="106" t="s">
        <v>133</v>
      </c>
      <c r="J3470" s="139" t="s">
        <v>133</v>
      </c>
      <c r="K3470" s="136" t="s">
        <v>133</v>
      </c>
      <c r="L3470" s="153"/>
      <c r="M3470" s="136" t="str">
        <f t="shared" si="1"/>
        <v/>
      </c>
      <c r="O3470" s="141" t="s">
        <v>133</v>
      </c>
      <c r="P3470" s="136" t="str">
        <f>IFERROR(__xludf.DUMMYFUNCTION("""COMPUTED_VALUE"""),"")</f>
        <v/>
      </c>
      <c r="Q3470" s="136" t="str">
        <f>IFERROR(__xludf.DUMMYFUNCTION("""COMPUTED_VALUE"""),"")</f>
        <v/>
      </c>
      <c r="R3470" s="106" t="str">
        <f>IFERROR(__xludf.DUMMYFUNCTION("""COMPUTED_VALUE"""),"")</f>
        <v/>
      </c>
      <c r="S3470" s="106" t="str">
        <f>IFERROR(__xludf.DUMMYFUNCTION("""COMPUTED_VALUE"""),"")</f>
        <v/>
      </c>
      <c r="T3470" s="139" t="str">
        <f>IFERROR(__xludf.DUMMYFUNCTION("""COMPUTED_VALUE"""),"")</f>
        <v/>
      </c>
      <c r="U3470" s="139" t="str">
        <f>IFERROR(__xludf.DUMMYFUNCTION("""COMPUTED_VALUE"""),"")</f>
        <v/>
      </c>
      <c r="V3470" s="136" t="str">
        <f>IFERROR(__xludf.DUMMYFUNCTION("""COMPUTED_VALUE"""),"")</f>
        <v/>
      </c>
      <c r="W3470" s="106" t="str">
        <f>IFERROR(__xludf.DUMMYFUNCTION("""COMPUTED_VALUE"""),"")</f>
        <v/>
      </c>
      <c r="X3470" s="143" t="str">
        <f t="shared" si="2"/>
        <v/>
      </c>
      <c r="Y3470" s="139" t="str">
        <f>IFERROR(__xludf.DUMMYFUNCTION("""COMPUTED_VALUE"""),"")</f>
        <v/>
      </c>
      <c r="Z3470" s="141" t="str">
        <f>IFERROR(__xludf.DUMMYFUNCTION("""COMPUTED_VALUE"""),"")</f>
        <v/>
      </c>
    </row>
    <row r="3471">
      <c r="D3471" s="136" t="str">
        <f t="shared" si="3"/>
        <v/>
      </c>
      <c r="E3471" s="152"/>
      <c r="F3471" s="106" t="s">
        <v>133</v>
      </c>
      <c r="G3471" s="152"/>
      <c r="H3471" s="106" t="s">
        <v>133</v>
      </c>
      <c r="J3471" s="139" t="s">
        <v>133</v>
      </c>
      <c r="K3471" s="136" t="s">
        <v>133</v>
      </c>
      <c r="L3471" s="153"/>
      <c r="M3471" s="136" t="str">
        <f t="shared" si="1"/>
        <v/>
      </c>
      <c r="O3471" s="141" t="s">
        <v>133</v>
      </c>
      <c r="P3471" s="136" t="str">
        <f>IFERROR(__xludf.DUMMYFUNCTION("""COMPUTED_VALUE"""),"")</f>
        <v/>
      </c>
      <c r="Q3471" s="136" t="str">
        <f>IFERROR(__xludf.DUMMYFUNCTION("""COMPUTED_VALUE"""),"")</f>
        <v/>
      </c>
      <c r="R3471" s="106" t="str">
        <f>IFERROR(__xludf.DUMMYFUNCTION("""COMPUTED_VALUE"""),"")</f>
        <v/>
      </c>
      <c r="S3471" s="106" t="str">
        <f>IFERROR(__xludf.DUMMYFUNCTION("""COMPUTED_VALUE"""),"")</f>
        <v/>
      </c>
      <c r="T3471" s="139" t="str">
        <f>IFERROR(__xludf.DUMMYFUNCTION("""COMPUTED_VALUE"""),"")</f>
        <v/>
      </c>
      <c r="U3471" s="139" t="str">
        <f>IFERROR(__xludf.DUMMYFUNCTION("""COMPUTED_VALUE"""),"")</f>
        <v/>
      </c>
      <c r="V3471" s="136" t="str">
        <f>IFERROR(__xludf.DUMMYFUNCTION("""COMPUTED_VALUE"""),"")</f>
        <v/>
      </c>
      <c r="W3471" s="106" t="str">
        <f>IFERROR(__xludf.DUMMYFUNCTION("""COMPUTED_VALUE"""),"")</f>
        <v/>
      </c>
      <c r="X3471" s="143" t="str">
        <f t="shared" si="2"/>
        <v/>
      </c>
      <c r="Y3471" s="139" t="str">
        <f>IFERROR(__xludf.DUMMYFUNCTION("""COMPUTED_VALUE"""),"")</f>
        <v/>
      </c>
      <c r="Z3471" s="141" t="str">
        <f>IFERROR(__xludf.DUMMYFUNCTION("""COMPUTED_VALUE"""),"")</f>
        <v/>
      </c>
    </row>
    <row r="3472">
      <c r="D3472" s="136" t="str">
        <f t="shared" si="3"/>
        <v/>
      </c>
      <c r="E3472" s="152"/>
      <c r="F3472" s="106" t="s">
        <v>133</v>
      </c>
      <c r="G3472" s="152"/>
      <c r="H3472" s="106" t="s">
        <v>133</v>
      </c>
      <c r="J3472" s="139" t="s">
        <v>133</v>
      </c>
      <c r="K3472" s="136" t="s">
        <v>133</v>
      </c>
      <c r="L3472" s="153"/>
      <c r="M3472" s="136" t="str">
        <f t="shared" si="1"/>
        <v/>
      </c>
      <c r="O3472" s="141" t="s">
        <v>133</v>
      </c>
      <c r="P3472" s="136" t="str">
        <f>IFERROR(__xludf.DUMMYFUNCTION("""COMPUTED_VALUE"""),"")</f>
        <v/>
      </c>
      <c r="Q3472" s="136" t="str">
        <f>IFERROR(__xludf.DUMMYFUNCTION("""COMPUTED_VALUE"""),"")</f>
        <v/>
      </c>
      <c r="R3472" s="106" t="str">
        <f>IFERROR(__xludf.DUMMYFUNCTION("""COMPUTED_VALUE"""),"")</f>
        <v/>
      </c>
      <c r="S3472" s="106" t="str">
        <f>IFERROR(__xludf.DUMMYFUNCTION("""COMPUTED_VALUE"""),"")</f>
        <v/>
      </c>
      <c r="T3472" s="139" t="str">
        <f>IFERROR(__xludf.DUMMYFUNCTION("""COMPUTED_VALUE"""),"")</f>
        <v/>
      </c>
      <c r="U3472" s="139" t="str">
        <f>IFERROR(__xludf.DUMMYFUNCTION("""COMPUTED_VALUE"""),"")</f>
        <v/>
      </c>
      <c r="V3472" s="136" t="str">
        <f>IFERROR(__xludf.DUMMYFUNCTION("""COMPUTED_VALUE"""),"")</f>
        <v/>
      </c>
      <c r="W3472" s="106" t="str">
        <f>IFERROR(__xludf.DUMMYFUNCTION("""COMPUTED_VALUE"""),"")</f>
        <v/>
      </c>
      <c r="X3472" s="143" t="str">
        <f t="shared" si="2"/>
        <v/>
      </c>
      <c r="Y3472" s="139" t="str">
        <f>IFERROR(__xludf.DUMMYFUNCTION("""COMPUTED_VALUE"""),"")</f>
        <v/>
      </c>
      <c r="Z3472" s="141" t="str">
        <f>IFERROR(__xludf.DUMMYFUNCTION("""COMPUTED_VALUE"""),"")</f>
        <v/>
      </c>
    </row>
    <row r="3473">
      <c r="D3473" s="136" t="str">
        <f t="shared" si="3"/>
        <v/>
      </c>
      <c r="E3473" s="152"/>
      <c r="F3473" s="106" t="s">
        <v>133</v>
      </c>
      <c r="G3473" s="152"/>
      <c r="H3473" s="106" t="s">
        <v>133</v>
      </c>
      <c r="J3473" s="139" t="s">
        <v>133</v>
      </c>
      <c r="K3473" s="136" t="s">
        <v>133</v>
      </c>
      <c r="L3473" s="153"/>
      <c r="M3473" s="136" t="str">
        <f t="shared" si="1"/>
        <v/>
      </c>
      <c r="O3473" s="141" t="s">
        <v>133</v>
      </c>
      <c r="P3473" s="136" t="str">
        <f>IFERROR(__xludf.DUMMYFUNCTION("""COMPUTED_VALUE"""),"")</f>
        <v/>
      </c>
      <c r="Q3473" s="136" t="str">
        <f>IFERROR(__xludf.DUMMYFUNCTION("""COMPUTED_VALUE"""),"")</f>
        <v/>
      </c>
      <c r="R3473" s="106" t="str">
        <f>IFERROR(__xludf.DUMMYFUNCTION("""COMPUTED_VALUE"""),"")</f>
        <v/>
      </c>
      <c r="S3473" s="106" t="str">
        <f>IFERROR(__xludf.DUMMYFUNCTION("""COMPUTED_VALUE"""),"")</f>
        <v/>
      </c>
      <c r="T3473" s="139" t="str">
        <f>IFERROR(__xludf.DUMMYFUNCTION("""COMPUTED_VALUE"""),"")</f>
        <v/>
      </c>
      <c r="U3473" s="139" t="str">
        <f>IFERROR(__xludf.DUMMYFUNCTION("""COMPUTED_VALUE"""),"")</f>
        <v/>
      </c>
      <c r="V3473" s="136" t="str">
        <f>IFERROR(__xludf.DUMMYFUNCTION("""COMPUTED_VALUE"""),"")</f>
        <v/>
      </c>
      <c r="W3473" s="106" t="str">
        <f>IFERROR(__xludf.DUMMYFUNCTION("""COMPUTED_VALUE"""),"")</f>
        <v/>
      </c>
      <c r="X3473" s="143" t="str">
        <f t="shared" si="2"/>
        <v/>
      </c>
      <c r="Y3473" s="139" t="str">
        <f>IFERROR(__xludf.DUMMYFUNCTION("""COMPUTED_VALUE"""),"")</f>
        <v/>
      </c>
      <c r="Z3473" s="141" t="str">
        <f>IFERROR(__xludf.DUMMYFUNCTION("""COMPUTED_VALUE"""),"")</f>
        <v/>
      </c>
    </row>
    <row r="3474">
      <c r="D3474" s="136" t="str">
        <f t="shared" si="3"/>
        <v/>
      </c>
      <c r="E3474" s="152"/>
      <c r="F3474" s="106" t="s">
        <v>133</v>
      </c>
      <c r="G3474" s="152"/>
      <c r="H3474" s="106" t="s">
        <v>133</v>
      </c>
      <c r="J3474" s="139" t="s">
        <v>133</v>
      </c>
      <c r="K3474" s="136" t="s">
        <v>133</v>
      </c>
      <c r="L3474" s="153"/>
      <c r="M3474" s="136" t="str">
        <f t="shared" si="1"/>
        <v/>
      </c>
      <c r="O3474" s="141" t="s">
        <v>133</v>
      </c>
      <c r="P3474" s="136" t="str">
        <f>IFERROR(__xludf.DUMMYFUNCTION("""COMPUTED_VALUE"""),"")</f>
        <v/>
      </c>
      <c r="Q3474" s="136" t="str">
        <f>IFERROR(__xludf.DUMMYFUNCTION("""COMPUTED_VALUE"""),"")</f>
        <v/>
      </c>
      <c r="R3474" s="106" t="str">
        <f>IFERROR(__xludf.DUMMYFUNCTION("""COMPUTED_VALUE"""),"")</f>
        <v/>
      </c>
      <c r="S3474" s="106" t="str">
        <f>IFERROR(__xludf.DUMMYFUNCTION("""COMPUTED_VALUE"""),"")</f>
        <v/>
      </c>
      <c r="T3474" s="139" t="str">
        <f>IFERROR(__xludf.DUMMYFUNCTION("""COMPUTED_VALUE"""),"")</f>
        <v/>
      </c>
      <c r="U3474" s="139" t="str">
        <f>IFERROR(__xludf.DUMMYFUNCTION("""COMPUTED_VALUE"""),"")</f>
        <v/>
      </c>
      <c r="V3474" s="136" t="str">
        <f>IFERROR(__xludf.DUMMYFUNCTION("""COMPUTED_VALUE"""),"")</f>
        <v/>
      </c>
      <c r="W3474" s="106" t="str">
        <f>IFERROR(__xludf.DUMMYFUNCTION("""COMPUTED_VALUE"""),"")</f>
        <v/>
      </c>
      <c r="X3474" s="143" t="str">
        <f t="shared" si="2"/>
        <v/>
      </c>
      <c r="Y3474" s="139" t="str">
        <f>IFERROR(__xludf.DUMMYFUNCTION("""COMPUTED_VALUE"""),"")</f>
        <v/>
      </c>
      <c r="Z3474" s="141" t="str">
        <f>IFERROR(__xludf.DUMMYFUNCTION("""COMPUTED_VALUE"""),"")</f>
        <v/>
      </c>
    </row>
    <row r="3475">
      <c r="D3475" s="136" t="str">
        <f t="shared" si="3"/>
        <v/>
      </c>
      <c r="E3475" s="152"/>
      <c r="F3475" s="106" t="s">
        <v>133</v>
      </c>
      <c r="G3475" s="152"/>
      <c r="H3475" s="106" t="s">
        <v>133</v>
      </c>
      <c r="J3475" s="139" t="s">
        <v>133</v>
      </c>
      <c r="K3475" s="136" t="s">
        <v>133</v>
      </c>
      <c r="L3475" s="153"/>
      <c r="M3475" s="136" t="str">
        <f t="shared" si="1"/>
        <v/>
      </c>
      <c r="O3475" s="141" t="s">
        <v>133</v>
      </c>
      <c r="P3475" s="136" t="str">
        <f>IFERROR(__xludf.DUMMYFUNCTION("""COMPUTED_VALUE"""),"")</f>
        <v/>
      </c>
      <c r="Q3475" s="136" t="str">
        <f>IFERROR(__xludf.DUMMYFUNCTION("""COMPUTED_VALUE"""),"")</f>
        <v/>
      </c>
      <c r="R3475" s="106" t="str">
        <f>IFERROR(__xludf.DUMMYFUNCTION("""COMPUTED_VALUE"""),"")</f>
        <v/>
      </c>
      <c r="S3475" s="106" t="str">
        <f>IFERROR(__xludf.DUMMYFUNCTION("""COMPUTED_VALUE"""),"")</f>
        <v/>
      </c>
      <c r="T3475" s="139" t="str">
        <f>IFERROR(__xludf.DUMMYFUNCTION("""COMPUTED_VALUE"""),"")</f>
        <v/>
      </c>
      <c r="U3475" s="139" t="str">
        <f>IFERROR(__xludf.DUMMYFUNCTION("""COMPUTED_VALUE"""),"")</f>
        <v/>
      </c>
      <c r="V3475" s="136" t="str">
        <f>IFERROR(__xludf.DUMMYFUNCTION("""COMPUTED_VALUE"""),"")</f>
        <v/>
      </c>
      <c r="W3475" s="106" t="str">
        <f>IFERROR(__xludf.DUMMYFUNCTION("""COMPUTED_VALUE"""),"")</f>
        <v/>
      </c>
      <c r="X3475" s="143" t="str">
        <f t="shared" si="2"/>
        <v/>
      </c>
      <c r="Y3475" s="139" t="str">
        <f>IFERROR(__xludf.DUMMYFUNCTION("""COMPUTED_VALUE"""),"")</f>
        <v/>
      </c>
      <c r="Z3475" s="141" t="str">
        <f>IFERROR(__xludf.DUMMYFUNCTION("""COMPUTED_VALUE"""),"")</f>
        <v/>
      </c>
    </row>
    <row r="3476">
      <c r="D3476" s="136" t="str">
        <f t="shared" si="3"/>
        <v/>
      </c>
      <c r="E3476" s="152"/>
      <c r="F3476" s="106" t="s">
        <v>133</v>
      </c>
      <c r="G3476" s="152"/>
      <c r="H3476" s="106" t="s">
        <v>133</v>
      </c>
      <c r="J3476" s="139" t="s">
        <v>133</v>
      </c>
      <c r="K3476" s="136" t="s">
        <v>133</v>
      </c>
      <c r="L3476" s="153"/>
      <c r="M3476" s="136" t="str">
        <f t="shared" si="1"/>
        <v/>
      </c>
      <c r="O3476" s="141" t="s">
        <v>133</v>
      </c>
      <c r="P3476" s="136" t="str">
        <f>IFERROR(__xludf.DUMMYFUNCTION("""COMPUTED_VALUE"""),"")</f>
        <v/>
      </c>
      <c r="Q3476" s="136" t="str">
        <f>IFERROR(__xludf.DUMMYFUNCTION("""COMPUTED_VALUE"""),"")</f>
        <v/>
      </c>
      <c r="R3476" s="106" t="str">
        <f>IFERROR(__xludf.DUMMYFUNCTION("""COMPUTED_VALUE"""),"")</f>
        <v/>
      </c>
      <c r="S3476" s="106" t="str">
        <f>IFERROR(__xludf.DUMMYFUNCTION("""COMPUTED_VALUE"""),"")</f>
        <v/>
      </c>
      <c r="T3476" s="139" t="str">
        <f>IFERROR(__xludf.DUMMYFUNCTION("""COMPUTED_VALUE"""),"")</f>
        <v/>
      </c>
      <c r="U3476" s="139" t="str">
        <f>IFERROR(__xludf.DUMMYFUNCTION("""COMPUTED_VALUE"""),"")</f>
        <v/>
      </c>
      <c r="V3476" s="136" t="str">
        <f>IFERROR(__xludf.DUMMYFUNCTION("""COMPUTED_VALUE"""),"")</f>
        <v/>
      </c>
      <c r="W3476" s="106" t="str">
        <f>IFERROR(__xludf.DUMMYFUNCTION("""COMPUTED_VALUE"""),"")</f>
        <v/>
      </c>
      <c r="X3476" s="143" t="str">
        <f t="shared" si="2"/>
        <v/>
      </c>
      <c r="Y3476" s="139" t="str">
        <f>IFERROR(__xludf.DUMMYFUNCTION("""COMPUTED_VALUE"""),"")</f>
        <v/>
      </c>
      <c r="Z3476" s="141" t="str">
        <f>IFERROR(__xludf.DUMMYFUNCTION("""COMPUTED_VALUE"""),"")</f>
        <v/>
      </c>
    </row>
    <row r="3477">
      <c r="D3477" s="136" t="str">
        <f t="shared" si="3"/>
        <v/>
      </c>
      <c r="E3477" s="152"/>
      <c r="F3477" s="106" t="s">
        <v>133</v>
      </c>
      <c r="G3477" s="152"/>
      <c r="H3477" s="106" t="s">
        <v>133</v>
      </c>
      <c r="J3477" s="139" t="s">
        <v>133</v>
      </c>
      <c r="K3477" s="136" t="s">
        <v>133</v>
      </c>
      <c r="L3477" s="153"/>
      <c r="M3477" s="136" t="str">
        <f t="shared" si="1"/>
        <v/>
      </c>
      <c r="O3477" s="141" t="s">
        <v>133</v>
      </c>
      <c r="P3477" s="136" t="str">
        <f>IFERROR(__xludf.DUMMYFUNCTION("""COMPUTED_VALUE"""),"")</f>
        <v/>
      </c>
      <c r="Q3477" s="136" t="str">
        <f>IFERROR(__xludf.DUMMYFUNCTION("""COMPUTED_VALUE"""),"")</f>
        <v/>
      </c>
      <c r="R3477" s="106" t="str">
        <f>IFERROR(__xludf.DUMMYFUNCTION("""COMPUTED_VALUE"""),"")</f>
        <v/>
      </c>
      <c r="S3477" s="106" t="str">
        <f>IFERROR(__xludf.DUMMYFUNCTION("""COMPUTED_VALUE"""),"")</f>
        <v/>
      </c>
      <c r="T3477" s="139" t="str">
        <f>IFERROR(__xludf.DUMMYFUNCTION("""COMPUTED_VALUE"""),"")</f>
        <v/>
      </c>
      <c r="U3477" s="139" t="str">
        <f>IFERROR(__xludf.DUMMYFUNCTION("""COMPUTED_VALUE"""),"")</f>
        <v/>
      </c>
      <c r="V3477" s="136" t="str">
        <f>IFERROR(__xludf.DUMMYFUNCTION("""COMPUTED_VALUE"""),"")</f>
        <v/>
      </c>
      <c r="W3477" s="106" t="str">
        <f>IFERROR(__xludf.DUMMYFUNCTION("""COMPUTED_VALUE"""),"")</f>
        <v/>
      </c>
      <c r="X3477" s="143" t="str">
        <f t="shared" si="2"/>
        <v/>
      </c>
      <c r="Y3477" s="139" t="str">
        <f>IFERROR(__xludf.DUMMYFUNCTION("""COMPUTED_VALUE"""),"")</f>
        <v/>
      </c>
      <c r="Z3477" s="141" t="str">
        <f>IFERROR(__xludf.DUMMYFUNCTION("""COMPUTED_VALUE"""),"")</f>
        <v/>
      </c>
    </row>
    <row r="3478">
      <c r="D3478" s="136" t="str">
        <f t="shared" si="3"/>
        <v/>
      </c>
      <c r="E3478" s="152"/>
      <c r="F3478" s="106" t="s">
        <v>133</v>
      </c>
      <c r="G3478" s="152"/>
      <c r="H3478" s="106" t="s">
        <v>133</v>
      </c>
      <c r="J3478" s="139" t="s">
        <v>133</v>
      </c>
      <c r="K3478" s="136" t="s">
        <v>133</v>
      </c>
      <c r="L3478" s="153"/>
      <c r="M3478" s="136" t="str">
        <f t="shared" si="1"/>
        <v/>
      </c>
      <c r="O3478" s="141" t="s">
        <v>133</v>
      </c>
      <c r="P3478" s="136" t="str">
        <f>IFERROR(__xludf.DUMMYFUNCTION("""COMPUTED_VALUE"""),"")</f>
        <v/>
      </c>
      <c r="Q3478" s="136" t="str">
        <f>IFERROR(__xludf.DUMMYFUNCTION("""COMPUTED_VALUE"""),"")</f>
        <v/>
      </c>
      <c r="R3478" s="106" t="str">
        <f>IFERROR(__xludf.DUMMYFUNCTION("""COMPUTED_VALUE"""),"")</f>
        <v/>
      </c>
      <c r="S3478" s="106" t="str">
        <f>IFERROR(__xludf.DUMMYFUNCTION("""COMPUTED_VALUE"""),"")</f>
        <v/>
      </c>
      <c r="T3478" s="139" t="str">
        <f>IFERROR(__xludf.DUMMYFUNCTION("""COMPUTED_VALUE"""),"")</f>
        <v/>
      </c>
      <c r="U3478" s="139" t="str">
        <f>IFERROR(__xludf.DUMMYFUNCTION("""COMPUTED_VALUE"""),"")</f>
        <v/>
      </c>
      <c r="V3478" s="136" t="str">
        <f>IFERROR(__xludf.DUMMYFUNCTION("""COMPUTED_VALUE"""),"")</f>
        <v/>
      </c>
      <c r="W3478" s="106" t="str">
        <f>IFERROR(__xludf.DUMMYFUNCTION("""COMPUTED_VALUE"""),"")</f>
        <v/>
      </c>
      <c r="X3478" s="143" t="str">
        <f t="shared" si="2"/>
        <v/>
      </c>
      <c r="Y3478" s="139" t="str">
        <f>IFERROR(__xludf.DUMMYFUNCTION("""COMPUTED_VALUE"""),"")</f>
        <v/>
      </c>
      <c r="Z3478" s="141" t="str">
        <f>IFERROR(__xludf.DUMMYFUNCTION("""COMPUTED_VALUE"""),"")</f>
        <v/>
      </c>
    </row>
    <row r="3479">
      <c r="D3479" s="136" t="str">
        <f t="shared" si="3"/>
        <v/>
      </c>
      <c r="E3479" s="152"/>
      <c r="F3479" s="106" t="s">
        <v>133</v>
      </c>
      <c r="G3479" s="152"/>
      <c r="H3479" s="106" t="s">
        <v>133</v>
      </c>
      <c r="J3479" s="139" t="s">
        <v>133</v>
      </c>
      <c r="K3479" s="136" t="s">
        <v>133</v>
      </c>
      <c r="L3479" s="153"/>
      <c r="M3479" s="136" t="str">
        <f t="shared" si="1"/>
        <v/>
      </c>
      <c r="O3479" s="141" t="s">
        <v>133</v>
      </c>
      <c r="P3479" s="136" t="str">
        <f>IFERROR(__xludf.DUMMYFUNCTION("""COMPUTED_VALUE"""),"")</f>
        <v/>
      </c>
      <c r="Q3479" s="136" t="str">
        <f>IFERROR(__xludf.DUMMYFUNCTION("""COMPUTED_VALUE"""),"")</f>
        <v/>
      </c>
      <c r="R3479" s="106" t="str">
        <f>IFERROR(__xludf.DUMMYFUNCTION("""COMPUTED_VALUE"""),"")</f>
        <v/>
      </c>
      <c r="S3479" s="106" t="str">
        <f>IFERROR(__xludf.DUMMYFUNCTION("""COMPUTED_VALUE"""),"")</f>
        <v/>
      </c>
      <c r="T3479" s="139" t="str">
        <f>IFERROR(__xludf.DUMMYFUNCTION("""COMPUTED_VALUE"""),"")</f>
        <v/>
      </c>
      <c r="U3479" s="139" t="str">
        <f>IFERROR(__xludf.DUMMYFUNCTION("""COMPUTED_VALUE"""),"")</f>
        <v/>
      </c>
      <c r="V3479" s="136" t="str">
        <f>IFERROR(__xludf.DUMMYFUNCTION("""COMPUTED_VALUE"""),"")</f>
        <v/>
      </c>
      <c r="W3479" s="106" t="str">
        <f>IFERROR(__xludf.DUMMYFUNCTION("""COMPUTED_VALUE"""),"")</f>
        <v/>
      </c>
      <c r="X3479" s="143" t="str">
        <f t="shared" si="2"/>
        <v/>
      </c>
      <c r="Y3479" s="139" t="str">
        <f>IFERROR(__xludf.DUMMYFUNCTION("""COMPUTED_VALUE"""),"")</f>
        <v/>
      </c>
      <c r="Z3479" s="141" t="str">
        <f>IFERROR(__xludf.DUMMYFUNCTION("""COMPUTED_VALUE"""),"")</f>
        <v/>
      </c>
    </row>
    <row r="3480">
      <c r="D3480" s="136" t="str">
        <f t="shared" si="3"/>
        <v/>
      </c>
      <c r="E3480" s="152"/>
      <c r="F3480" s="106" t="s">
        <v>133</v>
      </c>
      <c r="G3480" s="152"/>
      <c r="H3480" s="106" t="s">
        <v>133</v>
      </c>
      <c r="J3480" s="139" t="s">
        <v>133</v>
      </c>
      <c r="K3480" s="136" t="s">
        <v>133</v>
      </c>
      <c r="L3480" s="153"/>
      <c r="M3480" s="136" t="str">
        <f t="shared" si="1"/>
        <v/>
      </c>
      <c r="O3480" s="141" t="s">
        <v>133</v>
      </c>
      <c r="P3480" s="136" t="str">
        <f>IFERROR(__xludf.DUMMYFUNCTION("""COMPUTED_VALUE"""),"")</f>
        <v/>
      </c>
      <c r="Q3480" s="136" t="str">
        <f>IFERROR(__xludf.DUMMYFUNCTION("""COMPUTED_VALUE"""),"")</f>
        <v/>
      </c>
      <c r="R3480" s="106" t="str">
        <f>IFERROR(__xludf.DUMMYFUNCTION("""COMPUTED_VALUE"""),"")</f>
        <v/>
      </c>
      <c r="S3480" s="106" t="str">
        <f>IFERROR(__xludf.DUMMYFUNCTION("""COMPUTED_VALUE"""),"")</f>
        <v/>
      </c>
      <c r="T3480" s="139" t="str">
        <f>IFERROR(__xludf.DUMMYFUNCTION("""COMPUTED_VALUE"""),"")</f>
        <v/>
      </c>
      <c r="U3480" s="139" t="str">
        <f>IFERROR(__xludf.DUMMYFUNCTION("""COMPUTED_VALUE"""),"")</f>
        <v/>
      </c>
      <c r="V3480" s="136" t="str">
        <f>IFERROR(__xludf.DUMMYFUNCTION("""COMPUTED_VALUE"""),"")</f>
        <v/>
      </c>
      <c r="W3480" s="106" t="str">
        <f>IFERROR(__xludf.DUMMYFUNCTION("""COMPUTED_VALUE"""),"")</f>
        <v/>
      </c>
      <c r="X3480" s="143" t="str">
        <f t="shared" si="2"/>
        <v/>
      </c>
      <c r="Y3480" s="139" t="str">
        <f>IFERROR(__xludf.DUMMYFUNCTION("""COMPUTED_VALUE"""),"")</f>
        <v/>
      </c>
      <c r="Z3480" s="141" t="str">
        <f>IFERROR(__xludf.DUMMYFUNCTION("""COMPUTED_VALUE"""),"")</f>
        <v/>
      </c>
    </row>
    <row r="3481">
      <c r="D3481" s="136" t="str">
        <f t="shared" si="3"/>
        <v/>
      </c>
      <c r="E3481" s="152"/>
      <c r="F3481" s="106" t="s">
        <v>133</v>
      </c>
      <c r="G3481" s="152"/>
      <c r="H3481" s="106" t="s">
        <v>133</v>
      </c>
      <c r="J3481" s="139" t="s">
        <v>133</v>
      </c>
      <c r="K3481" s="136" t="s">
        <v>133</v>
      </c>
      <c r="L3481" s="153"/>
      <c r="M3481" s="136" t="str">
        <f t="shared" si="1"/>
        <v/>
      </c>
      <c r="O3481" s="141" t="s">
        <v>133</v>
      </c>
      <c r="P3481" s="136" t="str">
        <f>IFERROR(__xludf.DUMMYFUNCTION("""COMPUTED_VALUE"""),"")</f>
        <v/>
      </c>
      <c r="Q3481" s="136" t="str">
        <f>IFERROR(__xludf.DUMMYFUNCTION("""COMPUTED_VALUE"""),"")</f>
        <v/>
      </c>
      <c r="R3481" s="106" t="str">
        <f>IFERROR(__xludf.DUMMYFUNCTION("""COMPUTED_VALUE"""),"")</f>
        <v/>
      </c>
      <c r="S3481" s="106" t="str">
        <f>IFERROR(__xludf.DUMMYFUNCTION("""COMPUTED_VALUE"""),"")</f>
        <v/>
      </c>
      <c r="T3481" s="139" t="str">
        <f>IFERROR(__xludf.DUMMYFUNCTION("""COMPUTED_VALUE"""),"")</f>
        <v/>
      </c>
      <c r="U3481" s="139" t="str">
        <f>IFERROR(__xludf.DUMMYFUNCTION("""COMPUTED_VALUE"""),"")</f>
        <v/>
      </c>
      <c r="V3481" s="136" t="str">
        <f>IFERROR(__xludf.DUMMYFUNCTION("""COMPUTED_VALUE"""),"")</f>
        <v/>
      </c>
      <c r="W3481" s="106" t="str">
        <f>IFERROR(__xludf.DUMMYFUNCTION("""COMPUTED_VALUE"""),"")</f>
        <v/>
      </c>
      <c r="X3481" s="143" t="str">
        <f t="shared" si="2"/>
        <v/>
      </c>
      <c r="Y3481" s="139" t="str">
        <f>IFERROR(__xludf.DUMMYFUNCTION("""COMPUTED_VALUE"""),"")</f>
        <v/>
      </c>
      <c r="Z3481" s="141" t="str">
        <f>IFERROR(__xludf.DUMMYFUNCTION("""COMPUTED_VALUE"""),"")</f>
        <v/>
      </c>
    </row>
    <row r="3482">
      <c r="D3482" s="136" t="str">
        <f t="shared" si="3"/>
        <v/>
      </c>
      <c r="E3482" s="152"/>
      <c r="F3482" s="106" t="s">
        <v>133</v>
      </c>
      <c r="G3482" s="152"/>
      <c r="H3482" s="106" t="s">
        <v>133</v>
      </c>
      <c r="J3482" s="139" t="s">
        <v>133</v>
      </c>
      <c r="K3482" s="136" t="s">
        <v>133</v>
      </c>
      <c r="L3482" s="153"/>
      <c r="M3482" s="136" t="str">
        <f t="shared" si="1"/>
        <v/>
      </c>
      <c r="O3482" s="141" t="s">
        <v>133</v>
      </c>
      <c r="P3482" s="136" t="str">
        <f>IFERROR(__xludf.DUMMYFUNCTION("""COMPUTED_VALUE"""),"")</f>
        <v/>
      </c>
      <c r="Q3482" s="136" t="str">
        <f>IFERROR(__xludf.DUMMYFUNCTION("""COMPUTED_VALUE"""),"")</f>
        <v/>
      </c>
      <c r="R3482" s="106" t="str">
        <f>IFERROR(__xludf.DUMMYFUNCTION("""COMPUTED_VALUE"""),"")</f>
        <v/>
      </c>
      <c r="S3482" s="106" t="str">
        <f>IFERROR(__xludf.DUMMYFUNCTION("""COMPUTED_VALUE"""),"")</f>
        <v/>
      </c>
      <c r="T3482" s="139" t="str">
        <f>IFERROR(__xludf.DUMMYFUNCTION("""COMPUTED_VALUE"""),"")</f>
        <v/>
      </c>
      <c r="U3482" s="139" t="str">
        <f>IFERROR(__xludf.DUMMYFUNCTION("""COMPUTED_VALUE"""),"")</f>
        <v/>
      </c>
      <c r="V3482" s="136" t="str">
        <f>IFERROR(__xludf.DUMMYFUNCTION("""COMPUTED_VALUE"""),"")</f>
        <v/>
      </c>
      <c r="W3482" s="106" t="str">
        <f>IFERROR(__xludf.DUMMYFUNCTION("""COMPUTED_VALUE"""),"")</f>
        <v/>
      </c>
      <c r="X3482" s="143" t="str">
        <f t="shared" si="2"/>
        <v/>
      </c>
      <c r="Y3482" s="139" t="str">
        <f>IFERROR(__xludf.DUMMYFUNCTION("""COMPUTED_VALUE"""),"")</f>
        <v/>
      </c>
      <c r="Z3482" s="141" t="str">
        <f>IFERROR(__xludf.DUMMYFUNCTION("""COMPUTED_VALUE"""),"")</f>
        <v/>
      </c>
    </row>
    <row r="3483">
      <c r="D3483" s="136" t="str">
        <f t="shared" si="3"/>
        <v/>
      </c>
      <c r="E3483" s="152"/>
      <c r="F3483" s="106" t="s">
        <v>133</v>
      </c>
      <c r="G3483" s="152"/>
      <c r="H3483" s="106" t="s">
        <v>133</v>
      </c>
      <c r="J3483" s="139" t="s">
        <v>133</v>
      </c>
      <c r="K3483" s="136" t="s">
        <v>133</v>
      </c>
      <c r="L3483" s="153"/>
      <c r="M3483" s="136" t="str">
        <f t="shared" si="1"/>
        <v/>
      </c>
      <c r="O3483" s="141" t="s">
        <v>133</v>
      </c>
      <c r="P3483" s="136" t="str">
        <f>IFERROR(__xludf.DUMMYFUNCTION("""COMPUTED_VALUE"""),"")</f>
        <v/>
      </c>
      <c r="Q3483" s="136" t="str">
        <f>IFERROR(__xludf.DUMMYFUNCTION("""COMPUTED_VALUE"""),"")</f>
        <v/>
      </c>
      <c r="R3483" s="106" t="str">
        <f>IFERROR(__xludf.DUMMYFUNCTION("""COMPUTED_VALUE"""),"")</f>
        <v/>
      </c>
      <c r="S3483" s="106" t="str">
        <f>IFERROR(__xludf.DUMMYFUNCTION("""COMPUTED_VALUE"""),"")</f>
        <v/>
      </c>
      <c r="T3483" s="139" t="str">
        <f>IFERROR(__xludf.DUMMYFUNCTION("""COMPUTED_VALUE"""),"")</f>
        <v/>
      </c>
      <c r="U3483" s="139" t="str">
        <f>IFERROR(__xludf.DUMMYFUNCTION("""COMPUTED_VALUE"""),"")</f>
        <v/>
      </c>
      <c r="V3483" s="136" t="str">
        <f>IFERROR(__xludf.DUMMYFUNCTION("""COMPUTED_VALUE"""),"")</f>
        <v/>
      </c>
      <c r="W3483" s="106" t="str">
        <f>IFERROR(__xludf.DUMMYFUNCTION("""COMPUTED_VALUE"""),"")</f>
        <v/>
      </c>
      <c r="X3483" s="143" t="str">
        <f t="shared" si="2"/>
        <v/>
      </c>
      <c r="Y3483" s="139" t="str">
        <f>IFERROR(__xludf.DUMMYFUNCTION("""COMPUTED_VALUE"""),"")</f>
        <v/>
      </c>
      <c r="Z3483" s="141" t="str">
        <f>IFERROR(__xludf.DUMMYFUNCTION("""COMPUTED_VALUE"""),"")</f>
        <v/>
      </c>
    </row>
    <row r="3484">
      <c r="D3484" s="136" t="str">
        <f t="shared" si="3"/>
        <v/>
      </c>
      <c r="E3484" s="152"/>
      <c r="F3484" s="106" t="s">
        <v>133</v>
      </c>
      <c r="G3484" s="152"/>
      <c r="H3484" s="106" t="s">
        <v>133</v>
      </c>
      <c r="J3484" s="139" t="s">
        <v>133</v>
      </c>
      <c r="K3484" s="136" t="s">
        <v>133</v>
      </c>
      <c r="L3484" s="153"/>
      <c r="M3484" s="136" t="str">
        <f t="shared" si="1"/>
        <v/>
      </c>
      <c r="O3484" s="141" t="s">
        <v>133</v>
      </c>
      <c r="P3484" s="136" t="str">
        <f>IFERROR(__xludf.DUMMYFUNCTION("""COMPUTED_VALUE"""),"")</f>
        <v/>
      </c>
      <c r="Q3484" s="136" t="str">
        <f>IFERROR(__xludf.DUMMYFUNCTION("""COMPUTED_VALUE"""),"")</f>
        <v/>
      </c>
      <c r="R3484" s="106" t="str">
        <f>IFERROR(__xludf.DUMMYFUNCTION("""COMPUTED_VALUE"""),"")</f>
        <v/>
      </c>
      <c r="S3484" s="106" t="str">
        <f>IFERROR(__xludf.DUMMYFUNCTION("""COMPUTED_VALUE"""),"")</f>
        <v/>
      </c>
      <c r="T3484" s="139" t="str">
        <f>IFERROR(__xludf.DUMMYFUNCTION("""COMPUTED_VALUE"""),"")</f>
        <v/>
      </c>
      <c r="U3484" s="139" t="str">
        <f>IFERROR(__xludf.DUMMYFUNCTION("""COMPUTED_VALUE"""),"")</f>
        <v/>
      </c>
      <c r="V3484" s="136" t="str">
        <f>IFERROR(__xludf.DUMMYFUNCTION("""COMPUTED_VALUE"""),"")</f>
        <v/>
      </c>
      <c r="W3484" s="106" t="str">
        <f>IFERROR(__xludf.DUMMYFUNCTION("""COMPUTED_VALUE"""),"")</f>
        <v/>
      </c>
      <c r="X3484" s="143" t="str">
        <f t="shared" si="2"/>
        <v/>
      </c>
      <c r="Y3484" s="139" t="str">
        <f>IFERROR(__xludf.DUMMYFUNCTION("""COMPUTED_VALUE"""),"")</f>
        <v/>
      </c>
      <c r="Z3484" s="141" t="str">
        <f>IFERROR(__xludf.DUMMYFUNCTION("""COMPUTED_VALUE"""),"")</f>
        <v/>
      </c>
    </row>
    <row r="3485">
      <c r="D3485" s="136" t="str">
        <f t="shared" si="3"/>
        <v/>
      </c>
      <c r="E3485" s="152"/>
      <c r="F3485" s="106" t="s">
        <v>133</v>
      </c>
      <c r="G3485" s="152"/>
      <c r="H3485" s="106" t="s">
        <v>133</v>
      </c>
      <c r="J3485" s="139" t="s">
        <v>133</v>
      </c>
      <c r="K3485" s="136" t="s">
        <v>133</v>
      </c>
      <c r="L3485" s="153"/>
      <c r="M3485" s="136" t="str">
        <f t="shared" si="1"/>
        <v/>
      </c>
      <c r="O3485" s="141" t="s">
        <v>133</v>
      </c>
      <c r="P3485" s="136" t="str">
        <f>IFERROR(__xludf.DUMMYFUNCTION("""COMPUTED_VALUE"""),"")</f>
        <v/>
      </c>
      <c r="Q3485" s="136" t="str">
        <f>IFERROR(__xludf.DUMMYFUNCTION("""COMPUTED_VALUE"""),"")</f>
        <v/>
      </c>
      <c r="R3485" s="106" t="str">
        <f>IFERROR(__xludf.DUMMYFUNCTION("""COMPUTED_VALUE"""),"")</f>
        <v/>
      </c>
      <c r="S3485" s="106" t="str">
        <f>IFERROR(__xludf.DUMMYFUNCTION("""COMPUTED_VALUE"""),"")</f>
        <v/>
      </c>
      <c r="T3485" s="139" t="str">
        <f>IFERROR(__xludf.DUMMYFUNCTION("""COMPUTED_VALUE"""),"")</f>
        <v/>
      </c>
      <c r="U3485" s="139" t="str">
        <f>IFERROR(__xludf.DUMMYFUNCTION("""COMPUTED_VALUE"""),"")</f>
        <v/>
      </c>
      <c r="V3485" s="136" t="str">
        <f>IFERROR(__xludf.DUMMYFUNCTION("""COMPUTED_VALUE"""),"")</f>
        <v/>
      </c>
      <c r="W3485" s="106" t="str">
        <f>IFERROR(__xludf.DUMMYFUNCTION("""COMPUTED_VALUE"""),"")</f>
        <v/>
      </c>
      <c r="X3485" s="143" t="str">
        <f t="shared" si="2"/>
        <v/>
      </c>
      <c r="Y3485" s="139" t="str">
        <f>IFERROR(__xludf.DUMMYFUNCTION("""COMPUTED_VALUE"""),"")</f>
        <v/>
      </c>
      <c r="Z3485" s="141" t="str">
        <f>IFERROR(__xludf.DUMMYFUNCTION("""COMPUTED_VALUE"""),"")</f>
        <v/>
      </c>
    </row>
    <row r="3486">
      <c r="D3486" s="136" t="str">
        <f t="shared" si="3"/>
        <v/>
      </c>
      <c r="E3486" s="152"/>
      <c r="F3486" s="106" t="s">
        <v>133</v>
      </c>
      <c r="G3486" s="152"/>
      <c r="H3486" s="106" t="s">
        <v>133</v>
      </c>
      <c r="J3486" s="139" t="s">
        <v>133</v>
      </c>
      <c r="K3486" s="136" t="s">
        <v>133</v>
      </c>
      <c r="L3486" s="153"/>
      <c r="M3486" s="136" t="str">
        <f t="shared" si="1"/>
        <v/>
      </c>
      <c r="O3486" s="141" t="s">
        <v>133</v>
      </c>
      <c r="P3486" s="136" t="str">
        <f>IFERROR(__xludf.DUMMYFUNCTION("""COMPUTED_VALUE"""),"")</f>
        <v/>
      </c>
      <c r="Q3486" s="136" t="str">
        <f>IFERROR(__xludf.DUMMYFUNCTION("""COMPUTED_VALUE"""),"")</f>
        <v/>
      </c>
      <c r="R3486" s="106" t="str">
        <f>IFERROR(__xludf.DUMMYFUNCTION("""COMPUTED_VALUE"""),"")</f>
        <v/>
      </c>
      <c r="S3486" s="106" t="str">
        <f>IFERROR(__xludf.DUMMYFUNCTION("""COMPUTED_VALUE"""),"")</f>
        <v/>
      </c>
      <c r="T3486" s="139" t="str">
        <f>IFERROR(__xludf.DUMMYFUNCTION("""COMPUTED_VALUE"""),"")</f>
        <v/>
      </c>
      <c r="U3486" s="139" t="str">
        <f>IFERROR(__xludf.DUMMYFUNCTION("""COMPUTED_VALUE"""),"")</f>
        <v/>
      </c>
      <c r="V3486" s="136" t="str">
        <f>IFERROR(__xludf.DUMMYFUNCTION("""COMPUTED_VALUE"""),"")</f>
        <v/>
      </c>
      <c r="W3486" s="106" t="str">
        <f>IFERROR(__xludf.DUMMYFUNCTION("""COMPUTED_VALUE"""),"")</f>
        <v/>
      </c>
      <c r="X3486" s="143" t="str">
        <f t="shared" si="2"/>
        <v/>
      </c>
      <c r="Y3486" s="139" t="str">
        <f>IFERROR(__xludf.DUMMYFUNCTION("""COMPUTED_VALUE"""),"")</f>
        <v/>
      </c>
      <c r="Z3486" s="141" t="str">
        <f>IFERROR(__xludf.DUMMYFUNCTION("""COMPUTED_VALUE"""),"")</f>
        <v/>
      </c>
    </row>
    <row r="3487">
      <c r="D3487" s="136" t="str">
        <f t="shared" si="3"/>
        <v/>
      </c>
      <c r="E3487" s="152"/>
      <c r="F3487" s="106" t="s">
        <v>133</v>
      </c>
      <c r="G3487" s="152"/>
      <c r="H3487" s="106" t="s">
        <v>133</v>
      </c>
      <c r="J3487" s="139" t="s">
        <v>133</v>
      </c>
      <c r="K3487" s="136" t="s">
        <v>133</v>
      </c>
      <c r="L3487" s="153"/>
      <c r="M3487" s="136" t="str">
        <f t="shared" si="1"/>
        <v/>
      </c>
      <c r="O3487" s="141" t="s">
        <v>133</v>
      </c>
      <c r="P3487" s="136" t="str">
        <f>IFERROR(__xludf.DUMMYFUNCTION("""COMPUTED_VALUE"""),"")</f>
        <v/>
      </c>
      <c r="Q3487" s="136" t="str">
        <f>IFERROR(__xludf.DUMMYFUNCTION("""COMPUTED_VALUE"""),"")</f>
        <v/>
      </c>
      <c r="R3487" s="106" t="str">
        <f>IFERROR(__xludf.DUMMYFUNCTION("""COMPUTED_VALUE"""),"")</f>
        <v/>
      </c>
      <c r="S3487" s="106" t="str">
        <f>IFERROR(__xludf.DUMMYFUNCTION("""COMPUTED_VALUE"""),"")</f>
        <v/>
      </c>
      <c r="T3487" s="139" t="str">
        <f>IFERROR(__xludf.DUMMYFUNCTION("""COMPUTED_VALUE"""),"")</f>
        <v/>
      </c>
      <c r="U3487" s="139" t="str">
        <f>IFERROR(__xludf.DUMMYFUNCTION("""COMPUTED_VALUE"""),"")</f>
        <v/>
      </c>
      <c r="V3487" s="136" t="str">
        <f>IFERROR(__xludf.DUMMYFUNCTION("""COMPUTED_VALUE"""),"")</f>
        <v/>
      </c>
      <c r="W3487" s="106" t="str">
        <f>IFERROR(__xludf.DUMMYFUNCTION("""COMPUTED_VALUE"""),"")</f>
        <v/>
      </c>
      <c r="X3487" s="143" t="str">
        <f t="shared" si="2"/>
        <v/>
      </c>
      <c r="Y3487" s="139" t="str">
        <f>IFERROR(__xludf.DUMMYFUNCTION("""COMPUTED_VALUE"""),"")</f>
        <v/>
      </c>
      <c r="Z3487" s="141" t="str">
        <f>IFERROR(__xludf.DUMMYFUNCTION("""COMPUTED_VALUE"""),"")</f>
        <v/>
      </c>
    </row>
    <row r="3488">
      <c r="D3488" s="136" t="str">
        <f t="shared" si="3"/>
        <v/>
      </c>
      <c r="E3488" s="152"/>
      <c r="F3488" s="106" t="s">
        <v>133</v>
      </c>
      <c r="G3488" s="152"/>
      <c r="H3488" s="106" t="s">
        <v>133</v>
      </c>
      <c r="J3488" s="139" t="s">
        <v>133</v>
      </c>
      <c r="K3488" s="136" t="s">
        <v>133</v>
      </c>
      <c r="L3488" s="153"/>
      <c r="M3488" s="136" t="str">
        <f t="shared" si="1"/>
        <v/>
      </c>
      <c r="O3488" s="141" t="s">
        <v>133</v>
      </c>
      <c r="P3488" s="136" t="str">
        <f>IFERROR(__xludf.DUMMYFUNCTION("""COMPUTED_VALUE"""),"")</f>
        <v/>
      </c>
      <c r="Q3488" s="136" t="str">
        <f>IFERROR(__xludf.DUMMYFUNCTION("""COMPUTED_VALUE"""),"")</f>
        <v/>
      </c>
      <c r="R3488" s="106" t="str">
        <f>IFERROR(__xludf.DUMMYFUNCTION("""COMPUTED_VALUE"""),"")</f>
        <v/>
      </c>
      <c r="S3488" s="106" t="str">
        <f>IFERROR(__xludf.DUMMYFUNCTION("""COMPUTED_VALUE"""),"")</f>
        <v/>
      </c>
      <c r="T3488" s="139" t="str">
        <f>IFERROR(__xludf.DUMMYFUNCTION("""COMPUTED_VALUE"""),"")</f>
        <v/>
      </c>
      <c r="U3488" s="139" t="str">
        <f>IFERROR(__xludf.DUMMYFUNCTION("""COMPUTED_VALUE"""),"")</f>
        <v/>
      </c>
      <c r="V3488" s="136" t="str">
        <f>IFERROR(__xludf.DUMMYFUNCTION("""COMPUTED_VALUE"""),"")</f>
        <v/>
      </c>
      <c r="W3488" s="106" t="str">
        <f>IFERROR(__xludf.DUMMYFUNCTION("""COMPUTED_VALUE"""),"")</f>
        <v/>
      </c>
      <c r="X3488" s="143" t="str">
        <f t="shared" si="2"/>
        <v/>
      </c>
      <c r="Y3488" s="139" t="str">
        <f>IFERROR(__xludf.DUMMYFUNCTION("""COMPUTED_VALUE"""),"")</f>
        <v/>
      </c>
      <c r="Z3488" s="141" t="str">
        <f>IFERROR(__xludf.DUMMYFUNCTION("""COMPUTED_VALUE"""),"")</f>
        <v/>
      </c>
    </row>
    <row r="3489">
      <c r="D3489" s="136" t="str">
        <f t="shared" si="3"/>
        <v/>
      </c>
      <c r="E3489" s="152"/>
      <c r="F3489" s="106" t="s">
        <v>133</v>
      </c>
      <c r="G3489" s="152"/>
      <c r="H3489" s="106" t="s">
        <v>133</v>
      </c>
      <c r="J3489" s="139" t="s">
        <v>133</v>
      </c>
      <c r="K3489" s="136" t="s">
        <v>133</v>
      </c>
      <c r="L3489" s="153"/>
      <c r="M3489" s="136" t="str">
        <f t="shared" si="1"/>
        <v/>
      </c>
      <c r="O3489" s="141" t="s">
        <v>133</v>
      </c>
      <c r="P3489" s="136" t="str">
        <f>IFERROR(__xludf.DUMMYFUNCTION("""COMPUTED_VALUE"""),"")</f>
        <v/>
      </c>
      <c r="Q3489" s="136" t="str">
        <f>IFERROR(__xludf.DUMMYFUNCTION("""COMPUTED_VALUE"""),"")</f>
        <v/>
      </c>
      <c r="R3489" s="106" t="str">
        <f>IFERROR(__xludf.DUMMYFUNCTION("""COMPUTED_VALUE"""),"")</f>
        <v/>
      </c>
      <c r="S3489" s="106" t="str">
        <f>IFERROR(__xludf.DUMMYFUNCTION("""COMPUTED_VALUE"""),"")</f>
        <v/>
      </c>
      <c r="T3489" s="139" t="str">
        <f>IFERROR(__xludf.DUMMYFUNCTION("""COMPUTED_VALUE"""),"")</f>
        <v/>
      </c>
      <c r="U3489" s="139" t="str">
        <f>IFERROR(__xludf.DUMMYFUNCTION("""COMPUTED_VALUE"""),"")</f>
        <v/>
      </c>
      <c r="V3489" s="136" t="str">
        <f>IFERROR(__xludf.DUMMYFUNCTION("""COMPUTED_VALUE"""),"")</f>
        <v/>
      </c>
      <c r="W3489" s="106" t="str">
        <f>IFERROR(__xludf.DUMMYFUNCTION("""COMPUTED_VALUE"""),"")</f>
        <v/>
      </c>
      <c r="X3489" s="143" t="str">
        <f t="shared" si="2"/>
        <v/>
      </c>
      <c r="Y3489" s="139" t="str">
        <f>IFERROR(__xludf.DUMMYFUNCTION("""COMPUTED_VALUE"""),"")</f>
        <v/>
      </c>
      <c r="Z3489" s="141" t="str">
        <f>IFERROR(__xludf.DUMMYFUNCTION("""COMPUTED_VALUE"""),"")</f>
        <v/>
      </c>
    </row>
    <row r="3490">
      <c r="D3490" s="136" t="str">
        <f t="shared" si="3"/>
        <v/>
      </c>
      <c r="E3490" s="152"/>
      <c r="F3490" s="106" t="s">
        <v>133</v>
      </c>
      <c r="G3490" s="152"/>
      <c r="H3490" s="106" t="s">
        <v>133</v>
      </c>
      <c r="J3490" s="139" t="s">
        <v>133</v>
      </c>
      <c r="K3490" s="136" t="s">
        <v>133</v>
      </c>
      <c r="L3490" s="153"/>
      <c r="M3490" s="136" t="str">
        <f t="shared" si="1"/>
        <v/>
      </c>
      <c r="O3490" s="141" t="s">
        <v>133</v>
      </c>
      <c r="P3490" s="136" t="str">
        <f>IFERROR(__xludf.DUMMYFUNCTION("""COMPUTED_VALUE"""),"")</f>
        <v/>
      </c>
      <c r="Q3490" s="136" t="str">
        <f>IFERROR(__xludf.DUMMYFUNCTION("""COMPUTED_VALUE"""),"")</f>
        <v/>
      </c>
      <c r="R3490" s="106" t="str">
        <f>IFERROR(__xludf.DUMMYFUNCTION("""COMPUTED_VALUE"""),"")</f>
        <v/>
      </c>
      <c r="S3490" s="106" t="str">
        <f>IFERROR(__xludf.DUMMYFUNCTION("""COMPUTED_VALUE"""),"")</f>
        <v/>
      </c>
      <c r="T3490" s="139" t="str">
        <f>IFERROR(__xludf.DUMMYFUNCTION("""COMPUTED_VALUE"""),"")</f>
        <v/>
      </c>
      <c r="U3490" s="139" t="str">
        <f>IFERROR(__xludf.DUMMYFUNCTION("""COMPUTED_VALUE"""),"")</f>
        <v/>
      </c>
      <c r="V3490" s="136" t="str">
        <f>IFERROR(__xludf.DUMMYFUNCTION("""COMPUTED_VALUE"""),"")</f>
        <v/>
      </c>
      <c r="W3490" s="106" t="str">
        <f>IFERROR(__xludf.DUMMYFUNCTION("""COMPUTED_VALUE"""),"")</f>
        <v/>
      </c>
      <c r="X3490" s="143" t="str">
        <f t="shared" si="2"/>
        <v/>
      </c>
      <c r="Y3490" s="139" t="str">
        <f>IFERROR(__xludf.DUMMYFUNCTION("""COMPUTED_VALUE"""),"")</f>
        <v/>
      </c>
      <c r="Z3490" s="141" t="str">
        <f>IFERROR(__xludf.DUMMYFUNCTION("""COMPUTED_VALUE"""),"")</f>
        <v/>
      </c>
    </row>
    <row r="3491">
      <c r="D3491" s="136" t="str">
        <f t="shared" si="3"/>
        <v/>
      </c>
      <c r="E3491" s="152"/>
      <c r="F3491" s="106" t="s">
        <v>133</v>
      </c>
      <c r="G3491" s="152"/>
      <c r="H3491" s="106" t="s">
        <v>133</v>
      </c>
      <c r="J3491" s="139" t="s">
        <v>133</v>
      </c>
      <c r="K3491" s="136" t="s">
        <v>133</v>
      </c>
      <c r="L3491" s="153"/>
      <c r="M3491" s="136" t="str">
        <f t="shared" si="1"/>
        <v/>
      </c>
      <c r="O3491" s="141" t="s">
        <v>133</v>
      </c>
      <c r="P3491" s="136" t="str">
        <f>IFERROR(__xludf.DUMMYFUNCTION("""COMPUTED_VALUE"""),"")</f>
        <v/>
      </c>
      <c r="Q3491" s="136" t="str">
        <f>IFERROR(__xludf.DUMMYFUNCTION("""COMPUTED_VALUE"""),"")</f>
        <v/>
      </c>
      <c r="R3491" s="106" t="str">
        <f>IFERROR(__xludf.DUMMYFUNCTION("""COMPUTED_VALUE"""),"")</f>
        <v/>
      </c>
      <c r="S3491" s="106" t="str">
        <f>IFERROR(__xludf.DUMMYFUNCTION("""COMPUTED_VALUE"""),"")</f>
        <v/>
      </c>
      <c r="T3491" s="139" t="str">
        <f>IFERROR(__xludf.DUMMYFUNCTION("""COMPUTED_VALUE"""),"")</f>
        <v/>
      </c>
      <c r="U3491" s="139" t="str">
        <f>IFERROR(__xludf.DUMMYFUNCTION("""COMPUTED_VALUE"""),"")</f>
        <v/>
      </c>
      <c r="V3491" s="136" t="str">
        <f>IFERROR(__xludf.DUMMYFUNCTION("""COMPUTED_VALUE"""),"")</f>
        <v/>
      </c>
      <c r="W3491" s="106" t="str">
        <f>IFERROR(__xludf.DUMMYFUNCTION("""COMPUTED_VALUE"""),"")</f>
        <v/>
      </c>
      <c r="X3491" s="143" t="str">
        <f t="shared" si="2"/>
        <v/>
      </c>
      <c r="Y3491" s="139" t="str">
        <f>IFERROR(__xludf.DUMMYFUNCTION("""COMPUTED_VALUE"""),"")</f>
        <v/>
      </c>
      <c r="Z3491" s="141" t="str">
        <f>IFERROR(__xludf.DUMMYFUNCTION("""COMPUTED_VALUE"""),"")</f>
        <v/>
      </c>
    </row>
    <row r="3492">
      <c r="D3492" s="136" t="str">
        <f t="shared" si="3"/>
        <v/>
      </c>
      <c r="E3492" s="152"/>
      <c r="F3492" s="106" t="s">
        <v>133</v>
      </c>
      <c r="G3492" s="152"/>
      <c r="H3492" s="106" t="s">
        <v>133</v>
      </c>
      <c r="J3492" s="139" t="s">
        <v>133</v>
      </c>
      <c r="K3492" s="136" t="s">
        <v>133</v>
      </c>
      <c r="L3492" s="153"/>
      <c r="M3492" s="136" t="str">
        <f t="shared" si="1"/>
        <v/>
      </c>
      <c r="O3492" s="141" t="s">
        <v>133</v>
      </c>
      <c r="P3492" s="136" t="str">
        <f>IFERROR(__xludf.DUMMYFUNCTION("""COMPUTED_VALUE"""),"")</f>
        <v/>
      </c>
      <c r="Q3492" s="136" t="str">
        <f>IFERROR(__xludf.DUMMYFUNCTION("""COMPUTED_VALUE"""),"")</f>
        <v/>
      </c>
      <c r="R3492" s="106" t="str">
        <f>IFERROR(__xludf.DUMMYFUNCTION("""COMPUTED_VALUE"""),"")</f>
        <v/>
      </c>
      <c r="S3492" s="106" t="str">
        <f>IFERROR(__xludf.DUMMYFUNCTION("""COMPUTED_VALUE"""),"")</f>
        <v/>
      </c>
      <c r="T3492" s="139" t="str">
        <f>IFERROR(__xludf.DUMMYFUNCTION("""COMPUTED_VALUE"""),"")</f>
        <v/>
      </c>
      <c r="U3492" s="139" t="str">
        <f>IFERROR(__xludf.DUMMYFUNCTION("""COMPUTED_VALUE"""),"")</f>
        <v/>
      </c>
      <c r="V3492" s="136" t="str">
        <f>IFERROR(__xludf.DUMMYFUNCTION("""COMPUTED_VALUE"""),"")</f>
        <v/>
      </c>
      <c r="W3492" s="106" t="str">
        <f>IFERROR(__xludf.DUMMYFUNCTION("""COMPUTED_VALUE"""),"")</f>
        <v/>
      </c>
      <c r="X3492" s="143" t="str">
        <f t="shared" si="2"/>
        <v/>
      </c>
      <c r="Y3492" s="139" t="str">
        <f>IFERROR(__xludf.DUMMYFUNCTION("""COMPUTED_VALUE"""),"")</f>
        <v/>
      </c>
      <c r="Z3492" s="141" t="str">
        <f>IFERROR(__xludf.DUMMYFUNCTION("""COMPUTED_VALUE"""),"")</f>
        <v/>
      </c>
    </row>
    <row r="3493">
      <c r="D3493" s="136" t="str">
        <f t="shared" si="3"/>
        <v/>
      </c>
      <c r="E3493" s="152"/>
      <c r="F3493" s="106" t="s">
        <v>133</v>
      </c>
      <c r="G3493" s="152"/>
      <c r="H3493" s="106" t="s">
        <v>133</v>
      </c>
      <c r="J3493" s="139" t="s">
        <v>133</v>
      </c>
      <c r="K3493" s="136" t="s">
        <v>133</v>
      </c>
      <c r="L3493" s="153"/>
      <c r="M3493" s="136" t="str">
        <f t="shared" si="1"/>
        <v/>
      </c>
      <c r="O3493" s="141" t="s">
        <v>133</v>
      </c>
      <c r="P3493" s="136" t="str">
        <f>IFERROR(__xludf.DUMMYFUNCTION("""COMPUTED_VALUE"""),"")</f>
        <v/>
      </c>
      <c r="Q3493" s="136" t="str">
        <f>IFERROR(__xludf.DUMMYFUNCTION("""COMPUTED_VALUE"""),"")</f>
        <v/>
      </c>
      <c r="R3493" s="106" t="str">
        <f>IFERROR(__xludf.DUMMYFUNCTION("""COMPUTED_VALUE"""),"")</f>
        <v/>
      </c>
      <c r="S3493" s="106" t="str">
        <f>IFERROR(__xludf.DUMMYFUNCTION("""COMPUTED_VALUE"""),"")</f>
        <v/>
      </c>
      <c r="T3493" s="139" t="str">
        <f>IFERROR(__xludf.DUMMYFUNCTION("""COMPUTED_VALUE"""),"")</f>
        <v/>
      </c>
      <c r="U3493" s="139" t="str">
        <f>IFERROR(__xludf.DUMMYFUNCTION("""COMPUTED_VALUE"""),"")</f>
        <v/>
      </c>
      <c r="V3493" s="136" t="str">
        <f>IFERROR(__xludf.DUMMYFUNCTION("""COMPUTED_VALUE"""),"")</f>
        <v/>
      </c>
      <c r="W3493" s="106" t="str">
        <f>IFERROR(__xludf.DUMMYFUNCTION("""COMPUTED_VALUE"""),"")</f>
        <v/>
      </c>
      <c r="X3493" s="143" t="str">
        <f t="shared" si="2"/>
        <v/>
      </c>
      <c r="Y3493" s="139" t="str">
        <f>IFERROR(__xludf.DUMMYFUNCTION("""COMPUTED_VALUE"""),"")</f>
        <v/>
      </c>
      <c r="Z3493" s="141" t="str">
        <f>IFERROR(__xludf.DUMMYFUNCTION("""COMPUTED_VALUE"""),"")</f>
        <v/>
      </c>
    </row>
    <row r="3494">
      <c r="D3494" s="136" t="str">
        <f t="shared" si="3"/>
        <v/>
      </c>
      <c r="E3494" s="152"/>
      <c r="F3494" s="106" t="s">
        <v>133</v>
      </c>
      <c r="G3494" s="152"/>
      <c r="H3494" s="106" t="s">
        <v>133</v>
      </c>
      <c r="J3494" s="139" t="s">
        <v>133</v>
      </c>
      <c r="K3494" s="136" t="s">
        <v>133</v>
      </c>
      <c r="L3494" s="153"/>
      <c r="M3494" s="136" t="str">
        <f t="shared" si="1"/>
        <v/>
      </c>
      <c r="O3494" s="141" t="s">
        <v>133</v>
      </c>
      <c r="P3494" s="136" t="str">
        <f>IFERROR(__xludf.DUMMYFUNCTION("""COMPUTED_VALUE"""),"")</f>
        <v/>
      </c>
      <c r="Q3494" s="136" t="str">
        <f>IFERROR(__xludf.DUMMYFUNCTION("""COMPUTED_VALUE"""),"")</f>
        <v/>
      </c>
      <c r="R3494" s="106" t="str">
        <f>IFERROR(__xludf.DUMMYFUNCTION("""COMPUTED_VALUE"""),"")</f>
        <v/>
      </c>
      <c r="S3494" s="106" t="str">
        <f>IFERROR(__xludf.DUMMYFUNCTION("""COMPUTED_VALUE"""),"")</f>
        <v/>
      </c>
      <c r="T3494" s="139" t="str">
        <f>IFERROR(__xludf.DUMMYFUNCTION("""COMPUTED_VALUE"""),"")</f>
        <v/>
      </c>
      <c r="U3494" s="139" t="str">
        <f>IFERROR(__xludf.DUMMYFUNCTION("""COMPUTED_VALUE"""),"")</f>
        <v/>
      </c>
      <c r="V3494" s="136" t="str">
        <f>IFERROR(__xludf.DUMMYFUNCTION("""COMPUTED_VALUE"""),"")</f>
        <v/>
      </c>
      <c r="W3494" s="106" t="str">
        <f>IFERROR(__xludf.DUMMYFUNCTION("""COMPUTED_VALUE"""),"")</f>
        <v/>
      </c>
      <c r="X3494" s="143" t="str">
        <f t="shared" si="2"/>
        <v/>
      </c>
      <c r="Y3494" s="139" t="str">
        <f>IFERROR(__xludf.DUMMYFUNCTION("""COMPUTED_VALUE"""),"")</f>
        <v/>
      </c>
      <c r="Z3494" s="141" t="str">
        <f>IFERROR(__xludf.DUMMYFUNCTION("""COMPUTED_VALUE"""),"")</f>
        <v/>
      </c>
    </row>
    <row r="3495">
      <c r="D3495" s="136" t="str">
        <f t="shared" si="3"/>
        <v/>
      </c>
      <c r="E3495" s="152"/>
      <c r="F3495" s="106" t="s">
        <v>133</v>
      </c>
      <c r="G3495" s="152"/>
      <c r="H3495" s="106" t="s">
        <v>133</v>
      </c>
      <c r="J3495" s="139" t="s">
        <v>133</v>
      </c>
      <c r="K3495" s="136" t="s">
        <v>133</v>
      </c>
      <c r="L3495" s="153"/>
      <c r="M3495" s="136" t="str">
        <f t="shared" si="1"/>
        <v/>
      </c>
      <c r="O3495" s="141" t="s">
        <v>133</v>
      </c>
      <c r="P3495" s="136" t="str">
        <f>IFERROR(__xludf.DUMMYFUNCTION("""COMPUTED_VALUE"""),"")</f>
        <v/>
      </c>
      <c r="Q3495" s="136" t="str">
        <f>IFERROR(__xludf.DUMMYFUNCTION("""COMPUTED_VALUE"""),"")</f>
        <v/>
      </c>
      <c r="R3495" s="106" t="str">
        <f>IFERROR(__xludf.DUMMYFUNCTION("""COMPUTED_VALUE"""),"")</f>
        <v/>
      </c>
      <c r="S3495" s="106" t="str">
        <f>IFERROR(__xludf.DUMMYFUNCTION("""COMPUTED_VALUE"""),"")</f>
        <v/>
      </c>
      <c r="T3495" s="139" t="str">
        <f>IFERROR(__xludf.DUMMYFUNCTION("""COMPUTED_VALUE"""),"")</f>
        <v/>
      </c>
      <c r="U3495" s="139" t="str">
        <f>IFERROR(__xludf.DUMMYFUNCTION("""COMPUTED_VALUE"""),"")</f>
        <v/>
      </c>
      <c r="V3495" s="136" t="str">
        <f>IFERROR(__xludf.DUMMYFUNCTION("""COMPUTED_VALUE"""),"")</f>
        <v/>
      </c>
      <c r="W3495" s="106" t="str">
        <f>IFERROR(__xludf.DUMMYFUNCTION("""COMPUTED_VALUE"""),"")</f>
        <v/>
      </c>
      <c r="X3495" s="143" t="str">
        <f t="shared" si="2"/>
        <v/>
      </c>
      <c r="Y3495" s="139" t="str">
        <f>IFERROR(__xludf.DUMMYFUNCTION("""COMPUTED_VALUE"""),"")</f>
        <v/>
      </c>
      <c r="Z3495" s="141" t="str">
        <f>IFERROR(__xludf.DUMMYFUNCTION("""COMPUTED_VALUE"""),"")</f>
        <v/>
      </c>
    </row>
    <row r="3496">
      <c r="D3496" s="136" t="str">
        <f t="shared" si="3"/>
        <v/>
      </c>
      <c r="E3496" s="152"/>
      <c r="F3496" s="106" t="s">
        <v>133</v>
      </c>
      <c r="G3496" s="152"/>
      <c r="H3496" s="106" t="s">
        <v>133</v>
      </c>
      <c r="J3496" s="139" t="s">
        <v>133</v>
      </c>
      <c r="K3496" s="136" t="s">
        <v>133</v>
      </c>
      <c r="L3496" s="153"/>
      <c r="M3496" s="136" t="str">
        <f t="shared" si="1"/>
        <v/>
      </c>
      <c r="O3496" s="141" t="s">
        <v>133</v>
      </c>
      <c r="P3496" s="136" t="str">
        <f>IFERROR(__xludf.DUMMYFUNCTION("""COMPUTED_VALUE"""),"")</f>
        <v/>
      </c>
      <c r="Q3496" s="136" t="str">
        <f>IFERROR(__xludf.DUMMYFUNCTION("""COMPUTED_VALUE"""),"")</f>
        <v/>
      </c>
      <c r="R3496" s="106" t="str">
        <f>IFERROR(__xludf.DUMMYFUNCTION("""COMPUTED_VALUE"""),"")</f>
        <v/>
      </c>
      <c r="S3496" s="106" t="str">
        <f>IFERROR(__xludf.DUMMYFUNCTION("""COMPUTED_VALUE"""),"")</f>
        <v/>
      </c>
      <c r="T3496" s="139" t="str">
        <f>IFERROR(__xludf.DUMMYFUNCTION("""COMPUTED_VALUE"""),"")</f>
        <v/>
      </c>
      <c r="U3496" s="139" t="str">
        <f>IFERROR(__xludf.DUMMYFUNCTION("""COMPUTED_VALUE"""),"")</f>
        <v/>
      </c>
      <c r="V3496" s="136" t="str">
        <f>IFERROR(__xludf.DUMMYFUNCTION("""COMPUTED_VALUE"""),"")</f>
        <v/>
      </c>
      <c r="W3496" s="106" t="str">
        <f>IFERROR(__xludf.DUMMYFUNCTION("""COMPUTED_VALUE"""),"")</f>
        <v/>
      </c>
      <c r="X3496" s="143" t="str">
        <f t="shared" si="2"/>
        <v/>
      </c>
      <c r="Y3496" s="139" t="str">
        <f>IFERROR(__xludf.DUMMYFUNCTION("""COMPUTED_VALUE"""),"")</f>
        <v/>
      </c>
      <c r="Z3496" s="141" t="str">
        <f>IFERROR(__xludf.DUMMYFUNCTION("""COMPUTED_VALUE"""),"")</f>
        <v/>
      </c>
    </row>
    <row r="3497">
      <c r="D3497" s="136" t="str">
        <f t="shared" si="3"/>
        <v/>
      </c>
      <c r="E3497" s="152"/>
      <c r="F3497" s="106" t="s">
        <v>133</v>
      </c>
      <c r="G3497" s="152"/>
      <c r="H3497" s="106" t="s">
        <v>133</v>
      </c>
      <c r="J3497" s="139" t="s">
        <v>133</v>
      </c>
      <c r="K3497" s="136" t="s">
        <v>133</v>
      </c>
      <c r="L3497" s="153"/>
      <c r="M3497" s="136" t="str">
        <f t="shared" si="1"/>
        <v/>
      </c>
      <c r="O3497" s="141" t="s">
        <v>133</v>
      </c>
      <c r="P3497" s="136" t="str">
        <f>IFERROR(__xludf.DUMMYFUNCTION("""COMPUTED_VALUE"""),"")</f>
        <v/>
      </c>
      <c r="Q3497" s="136" t="str">
        <f>IFERROR(__xludf.DUMMYFUNCTION("""COMPUTED_VALUE"""),"")</f>
        <v/>
      </c>
      <c r="R3497" s="106" t="str">
        <f>IFERROR(__xludf.DUMMYFUNCTION("""COMPUTED_VALUE"""),"")</f>
        <v/>
      </c>
      <c r="S3497" s="106" t="str">
        <f>IFERROR(__xludf.DUMMYFUNCTION("""COMPUTED_VALUE"""),"")</f>
        <v/>
      </c>
      <c r="T3497" s="139" t="str">
        <f>IFERROR(__xludf.DUMMYFUNCTION("""COMPUTED_VALUE"""),"")</f>
        <v/>
      </c>
      <c r="U3497" s="139" t="str">
        <f>IFERROR(__xludf.DUMMYFUNCTION("""COMPUTED_VALUE"""),"")</f>
        <v/>
      </c>
      <c r="V3497" s="136" t="str">
        <f>IFERROR(__xludf.DUMMYFUNCTION("""COMPUTED_VALUE"""),"")</f>
        <v/>
      </c>
      <c r="W3497" s="106" t="str">
        <f>IFERROR(__xludf.DUMMYFUNCTION("""COMPUTED_VALUE"""),"")</f>
        <v/>
      </c>
      <c r="X3497" s="143" t="str">
        <f t="shared" si="2"/>
        <v/>
      </c>
      <c r="Y3497" s="139" t="str">
        <f>IFERROR(__xludf.DUMMYFUNCTION("""COMPUTED_VALUE"""),"")</f>
        <v/>
      </c>
      <c r="Z3497" s="141" t="str">
        <f>IFERROR(__xludf.DUMMYFUNCTION("""COMPUTED_VALUE"""),"")</f>
        <v/>
      </c>
    </row>
    <row r="3498">
      <c r="D3498" s="136" t="str">
        <f t="shared" si="3"/>
        <v/>
      </c>
      <c r="E3498" s="152"/>
      <c r="F3498" s="106" t="s">
        <v>133</v>
      </c>
      <c r="G3498" s="152"/>
      <c r="H3498" s="106" t="s">
        <v>133</v>
      </c>
      <c r="J3498" s="139" t="s">
        <v>133</v>
      </c>
      <c r="K3498" s="136" t="s">
        <v>133</v>
      </c>
      <c r="L3498" s="153"/>
      <c r="M3498" s="136" t="str">
        <f t="shared" si="1"/>
        <v/>
      </c>
      <c r="O3498" s="141" t="s">
        <v>133</v>
      </c>
      <c r="P3498" s="136" t="str">
        <f>IFERROR(__xludf.DUMMYFUNCTION("""COMPUTED_VALUE"""),"")</f>
        <v/>
      </c>
      <c r="Q3498" s="136" t="str">
        <f>IFERROR(__xludf.DUMMYFUNCTION("""COMPUTED_VALUE"""),"")</f>
        <v/>
      </c>
      <c r="R3498" s="106" t="str">
        <f>IFERROR(__xludf.DUMMYFUNCTION("""COMPUTED_VALUE"""),"")</f>
        <v/>
      </c>
      <c r="S3498" s="106" t="str">
        <f>IFERROR(__xludf.DUMMYFUNCTION("""COMPUTED_VALUE"""),"")</f>
        <v/>
      </c>
      <c r="T3498" s="139" t="str">
        <f>IFERROR(__xludf.DUMMYFUNCTION("""COMPUTED_VALUE"""),"")</f>
        <v/>
      </c>
      <c r="U3498" s="139" t="str">
        <f>IFERROR(__xludf.DUMMYFUNCTION("""COMPUTED_VALUE"""),"")</f>
        <v/>
      </c>
      <c r="V3498" s="136" t="str">
        <f>IFERROR(__xludf.DUMMYFUNCTION("""COMPUTED_VALUE"""),"")</f>
        <v/>
      </c>
      <c r="W3498" s="106" t="str">
        <f>IFERROR(__xludf.DUMMYFUNCTION("""COMPUTED_VALUE"""),"")</f>
        <v/>
      </c>
      <c r="X3498" s="143" t="str">
        <f t="shared" si="2"/>
        <v/>
      </c>
      <c r="Y3498" s="139" t="str">
        <f>IFERROR(__xludf.DUMMYFUNCTION("""COMPUTED_VALUE"""),"")</f>
        <v/>
      </c>
      <c r="Z3498" s="141" t="str">
        <f>IFERROR(__xludf.DUMMYFUNCTION("""COMPUTED_VALUE"""),"")</f>
        <v/>
      </c>
    </row>
    <row r="3499">
      <c r="D3499" s="136" t="str">
        <f t="shared" si="3"/>
        <v/>
      </c>
      <c r="E3499" s="152"/>
      <c r="F3499" s="106" t="s">
        <v>133</v>
      </c>
      <c r="G3499" s="152"/>
      <c r="H3499" s="106" t="s">
        <v>133</v>
      </c>
      <c r="J3499" s="139" t="s">
        <v>133</v>
      </c>
      <c r="K3499" s="136" t="s">
        <v>133</v>
      </c>
      <c r="L3499" s="153"/>
      <c r="M3499" s="136" t="str">
        <f t="shared" si="1"/>
        <v/>
      </c>
      <c r="O3499" s="141" t="s">
        <v>133</v>
      </c>
      <c r="P3499" s="136" t="str">
        <f>IFERROR(__xludf.DUMMYFUNCTION("""COMPUTED_VALUE"""),"")</f>
        <v/>
      </c>
      <c r="Q3499" s="136" t="str">
        <f>IFERROR(__xludf.DUMMYFUNCTION("""COMPUTED_VALUE"""),"")</f>
        <v/>
      </c>
      <c r="R3499" s="106" t="str">
        <f>IFERROR(__xludf.DUMMYFUNCTION("""COMPUTED_VALUE"""),"")</f>
        <v/>
      </c>
      <c r="S3499" s="106" t="str">
        <f>IFERROR(__xludf.DUMMYFUNCTION("""COMPUTED_VALUE"""),"")</f>
        <v/>
      </c>
      <c r="T3499" s="139" t="str">
        <f>IFERROR(__xludf.DUMMYFUNCTION("""COMPUTED_VALUE"""),"")</f>
        <v/>
      </c>
      <c r="U3499" s="139" t="str">
        <f>IFERROR(__xludf.DUMMYFUNCTION("""COMPUTED_VALUE"""),"")</f>
        <v/>
      </c>
      <c r="V3499" s="136" t="str">
        <f>IFERROR(__xludf.DUMMYFUNCTION("""COMPUTED_VALUE"""),"")</f>
        <v/>
      </c>
      <c r="W3499" s="106" t="str">
        <f>IFERROR(__xludf.DUMMYFUNCTION("""COMPUTED_VALUE"""),"")</f>
        <v/>
      </c>
      <c r="X3499" s="143" t="str">
        <f t="shared" si="2"/>
        <v/>
      </c>
      <c r="Y3499" s="139" t="str">
        <f>IFERROR(__xludf.DUMMYFUNCTION("""COMPUTED_VALUE"""),"")</f>
        <v/>
      </c>
      <c r="Z3499" s="141" t="str">
        <f>IFERROR(__xludf.DUMMYFUNCTION("""COMPUTED_VALUE"""),"")</f>
        <v/>
      </c>
    </row>
    <row r="3500">
      <c r="D3500" s="136" t="str">
        <f t="shared" si="3"/>
        <v/>
      </c>
      <c r="E3500" s="152"/>
      <c r="F3500" s="106" t="s">
        <v>133</v>
      </c>
      <c r="G3500" s="152"/>
      <c r="H3500" s="106" t="s">
        <v>133</v>
      </c>
      <c r="J3500" s="139" t="s">
        <v>133</v>
      </c>
      <c r="K3500" s="136" t="s">
        <v>133</v>
      </c>
      <c r="L3500" s="153"/>
      <c r="M3500" s="136" t="str">
        <f t="shared" si="1"/>
        <v/>
      </c>
      <c r="O3500" s="141" t="s">
        <v>133</v>
      </c>
      <c r="P3500" s="136" t="str">
        <f>IFERROR(__xludf.DUMMYFUNCTION("""COMPUTED_VALUE"""),"")</f>
        <v/>
      </c>
      <c r="Q3500" s="136" t="str">
        <f>IFERROR(__xludf.DUMMYFUNCTION("""COMPUTED_VALUE"""),"")</f>
        <v/>
      </c>
      <c r="R3500" s="106" t="str">
        <f>IFERROR(__xludf.DUMMYFUNCTION("""COMPUTED_VALUE"""),"")</f>
        <v/>
      </c>
      <c r="S3500" s="106" t="str">
        <f>IFERROR(__xludf.DUMMYFUNCTION("""COMPUTED_VALUE"""),"")</f>
        <v/>
      </c>
      <c r="T3500" s="139" t="str">
        <f>IFERROR(__xludf.DUMMYFUNCTION("""COMPUTED_VALUE"""),"")</f>
        <v/>
      </c>
      <c r="U3500" s="139" t="str">
        <f>IFERROR(__xludf.DUMMYFUNCTION("""COMPUTED_VALUE"""),"")</f>
        <v/>
      </c>
      <c r="V3500" s="136" t="str">
        <f>IFERROR(__xludf.DUMMYFUNCTION("""COMPUTED_VALUE"""),"")</f>
        <v/>
      </c>
      <c r="W3500" s="106" t="str">
        <f>IFERROR(__xludf.DUMMYFUNCTION("""COMPUTED_VALUE"""),"")</f>
        <v/>
      </c>
      <c r="X3500" s="143" t="str">
        <f t="shared" si="2"/>
        <v/>
      </c>
      <c r="Y3500" s="139" t="str">
        <f>IFERROR(__xludf.DUMMYFUNCTION("""COMPUTED_VALUE"""),"")</f>
        <v/>
      </c>
      <c r="Z3500" s="141" t="str">
        <f>IFERROR(__xludf.DUMMYFUNCTION("""COMPUTED_VALUE"""),"")</f>
        <v/>
      </c>
    </row>
    <row r="3501">
      <c r="D3501" s="136" t="str">
        <f t="shared" si="3"/>
        <v/>
      </c>
      <c r="E3501" s="152"/>
      <c r="F3501" s="106" t="s">
        <v>133</v>
      </c>
      <c r="G3501" s="152"/>
      <c r="H3501" s="106" t="s">
        <v>133</v>
      </c>
      <c r="J3501" s="139" t="s">
        <v>133</v>
      </c>
      <c r="K3501" s="136" t="s">
        <v>133</v>
      </c>
      <c r="L3501" s="153"/>
      <c r="M3501" s="136" t="str">
        <f t="shared" si="1"/>
        <v/>
      </c>
      <c r="O3501" s="141" t="s">
        <v>133</v>
      </c>
      <c r="P3501" s="136" t="str">
        <f>IFERROR(__xludf.DUMMYFUNCTION("""COMPUTED_VALUE"""),"")</f>
        <v/>
      </c>
      <c r="Q3501" s="136" t="str">
        <f>IFERROR(__xludf.DUMMYFUNCTION("""COMPUTED_VALUE"""),"")</f>
        <v/>
      </c>
      <c r="R3501" s="106" t="str">
        <f>IFERROR(__xludf.DUMMYFUNCTION("""COMPUTED_VALUE"""),"")</f>
        <v/>
      </c>
      <c r="S3501" s="106" t="str">
        <f>IFERROR(__xludf.DUMMYFUNCTION("""COMPUTED_VALUE"""),"")</f>
        <v/>
      </c>
      <c r="T3501" s="139" t="str">
        <f>IFERROR(__xludf.DUMMYFUNCTION("""COMPUTED_VALUE"""),"")</f>
        <v/>
      </c>
      <c r="U3501" s="139" t="str">
        <f>IFERROR(__xludf.DUMMYFUNCTION("""COMPUTED_VALUE"""),"")</f>
        <v/>
      </c>
      <c r="V3501" s="136" t="str">
        <f>IFERROR(__xludf.DUMMYFUNCTION("""COMPUTED_VALUE"""),"")</f>
        <v/>
      </c>
      <c r="W3501" s="106" t="str">
        <f>IFERROR(__xludf.DUMMYFUNCTION("""COMPUTED_VALUE"""),"")</f>
        <v/>
      </c>
      <c r="X3501" s="143" t="str">
        <f t="shared" si="2"/>
        <v/>
      </c>
      <c r="Y3501" s="139" t="str">
        <f>IFERROR(__xludf.DUMMYFUNCTION("""COMPUTED_VALUE"""),"")</f>
        <v/>
      </c>
      <c r="Z3501" s="141" t="str">
        <f>IFERROR(__xludf.DUMMYFUNCTION("""COMPUTED_VALUE"""),"")</f>
        <v/>
      </c>
    </row>
    <row r="3502">
      <c r="D3502" s="136" t="str">
        <f t="shared" si="3"/>
        <v/>
      </c>
      <c r="E3502" s="152"/>
      <c r="F3502" s="106" t="s">
        <v>133</v>
      </c>
      <c r="G3502" s="152"/>
      <c r="H3502" s="106" t="s">
        <v>133</v>
      </c>
      <c r="J3502" s="139" t="s">
        <v>133</v>
      </c>
      <c r="K3502" s="136" t="s">
        <v>133</v>
      </c>
      <c r="L3502" s="153"/>
      <c r="M3502" s="136" t="str">
        <f t="shared" si="1"/>
        <v/>
      </c>
      <c r="O3502" s="141" t="s">
        <v>133</v>
      </c>
      <c r="P3502" s="136" t="str">
        <f>IFERROR(__xludf.DUMMYFUNCTION("""COMPUTED_VALUE"""),"")</f>
        <v/>
      </c>
      <c r="Q3502" s="136" t="str">
        <f>IFERROR(__xludf.DUMMYFUNCTION("""COMPUTED_VALUE"""),"")</f>
        <v/>
      </c>
      <c r="R3502" s="106" t="str">
        <f>IFERROR(__xludf.DUMMYFUNCTION("""COMPUTED_VALUE"""),"")</f>
        <v/>
      </c>
      <c r="S3502" s="106" t="str">
        <f>IFERROR(__xludf.DUMMYFUNCTION("""COMPUTED_VALUE"""),"")</f>
        <v/>
      </c>
      <c r="T3502" s="139" t="str">
        <f>IFERROR(__xludf.DUMMYFUNCTION("""COMPUTED_VALUE"""),"")</f>
        <v/>
      </c>
      <c r="U3502" s="139" t="str">
        <f>IFERROR(__xludf.DUMMYFUNCTION("""COMPUTED_VALUE"""),"")</f>
        <v/>
      </c>
      <c r="V3502" s="136" t="str">
        <f>IFERROR(__xludf.DUMMYFUNCTION("""COMPUTED_VALUE"""),"")</f>
        <v/>
      </c>
      <c r="W3502" s="106" t="str">
        <f>IFERROR(__xludf.DUMMYFUNCTION("""COMPUTED_VALUE"""),"")</f>
        <v/>
      </c>
      <c r="X3502" s="143" t="str">
        <f t="shared" si="2"/>
        <v/>
      </c>
      <c r="Y3502" s="139" t="str">
        <f>IFERROR(__xludf.DUMMYFUNCTION("""COMPUTED_VALUE"""),"")</f>
        <v/>
      </c>
      <c r="Z3502" s="141" t="str">
        <f>IFERROR(__xludf.DUMMYFUNCTION("""COMPUTED_VALUE"""),"")</f>
        <v/>
      </c>
    </row>
    <row r="3503">
      <c r="D3503" s="136" t="str">
        <f t="shared" si="3"/>
        <v/>
      </c>
      <c r="E3503" s="152"/>
      <c r="F3503" s="106" t="s">
        <v>133</v>
      </c>
      <c r="G3503" s="152"/>
      <c r="H3503" s="106" t="s">
        <v>133</v>
      </c>
      <c r="J3503" s="139" t="s">
        <v>133</v>
      </c>
      <c r="K3503" s="136" t="s">
        <v>133</v>
      </c>
      <c r="L3503" s="153"/>
      <c r="M3503" s="136" t="str">
        <f t="shared" si="1"/>
        <v/>
      </c>
      <c r="O3503" s="141" t="s">
        <v>133</v>
      </c>
      <c r="P3503" s="136" t="str">
        <f>IFERROR(__xludf.DUMMYFUNCTION("""COMPUTED_VALUE"""),"")</f>
        <v/>
      </c>
      <c r="Q3503" s="136" t="str">
        <f>IFERROR(__xludf.DUMMYFUNCTION("""COMPUTED_VALUE"""),"")</f>
        <v/>
      </c>
      <c r="R3503" s="106" t="str">
        <f>IFERROR(__xludf.DUMMYFUNCTION("""COMPUTED_VALUE"""),"")</f>
        <v/>
      </c>
      <c r="S3503" s="106" t="str">
        <f>IFERROR(__xludf.DUMMYFUNCTION("""COMPUTED_VALUE"""),"")</f>
        <v/>
      </c>
      <c r="T3503" s="139" t="str">
        <f>IFERROR(__xludf.DUMMYFUNCTION("""COMPUTED_VALUE"""),"")</f>
        <v/>
      </c>
      <c r="U3503" s="139" t="str">
        <f>IFERROR(__xludf.DUMMYFUNCTION("""COMPUTED_VALUE"""),"")</f>
        <v/>
      </c>
      <c r="V3503" s="136" t="str">
        <f>IFERROR(__xludf.DUMMYFUNCTION("""COMPUTED_VALUE"""),"")</f>
        <v/>
      </c>
      <c r="W3503" s="106" t="str">
        <f>IFERROR(__xludf.DUMMYFUNCTION("""COMPUTED_VALUE"""),"")</f>
        <v/>
      </c>
      <c r="X3503" s="143" t="str">
        <f t="shared" si="2"/>
        <v/>
      </c>
      <c r="Y3503" s="139" t="str">
        <f>IFERROR(__xludf.DUMMYFUNCTION("""COMPUTED_VALUE"""),"")</f>
        <v/>
      </c>
      <c r="Z3503" s="141" t="str">
        <f>IFERROR(__xludf.DUMMYFUNCTION("""COMPUTED_VALUE"""),"")</f>
        <v/>
      </c>
    </row>
    <row r="3504">
      <c r="D3504" s="136" t="str">
        <f t="shared" si="3"/>
        <v/>
      </c>
      <c r="E3504" s="152"/>
      <c r="F3504" s="106" t="s">
        <v>133</v>
      </c>
      <c r="G3504" s="152"/>
      <c r="H3504" s="106" t="s">
        <v>133</v>
      </c>
      <c r="J3504" s="139" t="s">
        <v>133</v>
      </c>
      <c r="K3504" s="136" t="s">
        <v>133</v>
      </c>
      <c r="L3504" s="153"/>
      <c r="M3504" s="136" t="str">
        <f t="shared" si="1"/>
        <v/>
      </c>
      <c r="O3504" s="141" t="s">
        <v>133</v>
      </c>
      <c r="P3504" s="136" t="str">
        <f>IFERROR(__xludf.DUMMYFUNCTION("""COMPUTED_VALUE"""),"")</f>
        <v/>
      </c>
      <c r="Q3504" s="136" t="str">
        <f>IFERROR(__xludf.DUMMYFUNCTION("""COMPUTED_VALUE"""),"")</f>
        <v/>
      </c>
      <c r="R3504" s="106" t="str">
        <f>IFERROR(__xludf.DUMMYFUNCTION("""COMPUTED_VALUE"""),"")</f>
        <v/>
      </c>
      <c r="S3504" s="106" t="str">
        <f>IFERROR(__xludf.DUMMYFUNCTION("""COMPUTED_VALUE"""),"")</f>
        <v/>
      </c>
      <c r="T3504" s="139" t="str">
        <f>IFERROR(__xludf.DUMMYFUNCTION("""COMPUTED_VALUE"""),"")</f>
        <v/>
      </c>
      <c r="U3504" s="139" t="str">
        <f>IFERROR(__xludf.DUMMYFUNCTION("""COMPUTED_VALUE"""),"")</f>
        <v/>
      </c>
      <c r="V3504" s="136" t="str">
        <f>IFERROR(__xludf.DUMMYFUNCTION("""COMPUTED_VALUE"""),"")</f>
        <v/>
      </c>
      <c r="W3504" s="106" t="str">
        <f>IFERROR(__xludf.DUMMYFUNCTION("""COMPUTED_VALUE"""),"")</f>
        <v/>
      </c>
      <c r="X3504" s="143" t="str">
        <f t="shared" si="2"/>
        <v/>
      </c>
      <c r="Y3504" s="139" t="str">
        <f>IFERROR(__xludf.DUMMYFUNCTION("""COMPUTED_VALUE"""),"")</f>
        <v/>
      </c>
      <c r="Z3504" s="141" t="str">
        <f>IFERROR(__xludf.DUMMYFUNCTION("""COMPUTED_VALUE"""),"")</f>
        <v/>
      </c>
    </row>
    <row r="3505">
      <c r="D3505" s="136" t="str">
        <f t="shared" si="3"/>
        <v/>
      </c>
      <c r="E3505" s="152"/>
      <c r="F3505" s="106" t="s">
        <v>133</v>
      </c>
      <c r="G3505" s="152"/>
      <c r="H3505" s="106" t="s">
        <v>133</v>
      </c>
      <c r="J3505" s="139" t="s">
        <v>133</v>
      </c>
      <c r="K3505" s="136" t="s">
        <v>133</v>
      </c>
      <c r="L3505" s="153"/>
      <c r="M3505" s="136" t="str">
        <f t="shared" si="1"/>
        <v/>
      </c>
      <c r="O3505" s="141" t="s">
        <v>133</v>
      </c>
      <c r="P3505" s="136" t="str">
        <f>IFERROR(__xludf.DUMMYFUNCTION("""COMPUTED_VALUE"""),"")</f>
        <v/>
      </c>
      <c r="Q3505" s="136" t="str">
        <f>IFERROR(__xludf.DUMMYFUNCTION("""COMPUTED_VALUE"""),"")</f>
        <v/>
      </c>
      <c r="R3505" s="106" t="str">
        <f>IFERROR(__xludf.DUMMYFUNCTION("""COMPUTED_VALUE"""),"")</f>
        <v/>
      </c>
      <c r="S3505" s="106" t="str">
        <f>IFERROR(__xludf.DUMMYFUNCTION("""COMPUTED_VALUE"""),"")</f>
        <v/>
      </c>
      <c r="T3505" s="139" t="str">
        <f>IFERROR(__xludf.DUMMYFUNCTION("""COMPUTED_VALUE"""),"")</f>
        <v/>
      </c>
      <c r="U3505" s="139" t="str">
        <f>IFERROR(__xludf.DUMMYFUNCTION("""COMPUTED_VALUE"""),"")</f>
        <v/>
      </c>
      <c r="V3505" s="136" t="str">
        <f>IFERROR(__xludf.DUMMYFUNCTION("""COMPUTED_VALUE"""),"")</f>
        <v/>
      </c>
      <c r="W3505" s="106" t="str">
        <f>IFERROR(__xludf.DUMMYFUNCTION("""COMPUTED_VALUE"""),"")</f>
        <v/>
      </c>
      <c r="X3505" s="143" t="str">
        <f t="shared" si="2"/>
        <v/>
      </c>
      <c r="Y3505" s="139" t="str">
        <f>IFERROR(__xludf.DUMMYFUNCTION("""COMPUTED_VALUE"""),"")</f>
        <v/>
      </c>
      <c r="Z3505" s="141" t="str">
        <f>IFERROR(__xludf.DUMMYFUNCTION("""COMPUTED_VALUE"""),"")</f>
        <v/>
      </c>
    </row>
    <row r="3506">
      <c r="D3506" s="136" t="str">
        <f t="shared" si="3"/>
        <v/>
      </c>
      <c r="E3506" s="152"/>
      <c r="F3506" s="106" t="s">
        <v>133</v>
      </c>
      <c r="G3506" s="152"/>
      <c r="H3506" s="106" t="s">
        <v>133</v>
      </c>
      <c r="J3506" s="139" t="s">
        <v>133</v>
      </c>
      <c r="K3506" s="136" t="s">
        <v>133</v>
      </c>
      <c r="L3506" s="153"/>
      <c r="M3506" s="136" t="str">
        <f t="shared" si="1"/>
        <v/>
      </c>
      <c r="O3506" s="141" t="s">
        <v>133</v>
      </c>
      <c r="P3506" s="136" t="str">
        <f>IFERROR(__xludf.DUMMYFUNCTION("""COMPUTED_VALUE"""),"")</f>
        <v/>
      </c>
      <c r="Q3506" s="136" t="str">
        <f>IFERROR(__xludf.DUMMYFUNCTION("""COMPUTED_VALUE"""),"")</f>
        <v/>
      </c>
      <c r="R3506" s="106" t="str">
        <f>IFERROR(__xludf.DUMMYFUNCTION("""COMPUTED_VALUE"""),"")</f>
        <v/>
      </c>
      <c r="S3506" s="106" t="str">
        <f>IFERROR(__xludf.DUMMYFUNCTION("""COMPUTED_VALUE"""),"")</f>
        <v/>
      </c>
      <c r="T3506" s="139" t="str">
        <f>IFERROR(__xludf.DUMMYFUNCTION("""COMPUTED_VALUE"""),"")</f>
        <v/>
      </c>
      <c r="U3506" s="139" t="str">
        <f>IFERROR(__xludf.DUMMYFUNCTION("""COMPUTED_VALUE"""),"")</f>
        <v/>
      </c>
      <c r="V3506" s="136" t="str">
        <f>IFERROR(__xludf.DUMMYFUNCTION("""COMPUTED_VALUE"""),"")</f>
        <v/>
      </c>
      <c r="W3506" s="106" t="str">
        <f>IFERROR(__xludf.DUMMYFUNCTION("""COMPUTED_VALUE"""),"")</f>
        <v/>
      </c>
      <c r="X3506" s="143" t="str">
        <f t="shared" si="2"/>
        <v/>
      </c>
      <c r="Y3506" s="139" t="str">
        <f>IFERROR(__xludf.DUMMYFUNCTION("""COMPUTED_VALUE"""),"")</f>
        <v/>
      </c>
      <c r="Z3506" s="141" t="str">
        <f>IFERROR(__xludf.DUMMYFUNCTION("""COMPUTED_VALUE"""),"")</f>
        <v/>
      </c>
    </row>
    <row r="3507">
      <c r="D3507" s="136" t="str">
        <f t="shared" si="3"/>
        <v/>
      </c>
      <c r="E3507" s="152"/>
      <c r="F3507" s="106" t="s">
        <v>133</v>
      </c>
      <c r="G3507" s="152"/>
      <c r="H3507" s="106" t="s">
        <v>133</v>
      </c>
      <c r="J3507" s="139" t="s">
        <v>133</v>
      </c>
      <c r="K3507" s="136" t="s">
        <v>133</v>
      </c>
      <c r="L3507" s="153"/>
      <c r="M3507" s="136" t="str">
        <f t="shared" si="1"/>
        <v/>
      </c>
      <c r="O3507" s="141" t="s">
        <v>133</v>
      </c>
      <c r="P3507" s="136" t="str">
        <f>IFERROR(__xludf.DUMMYFUNCTION("""COMPUTED_VALUE"""),"")</f>
        <v/>
      </c>
      <c r="Q3507" s="136" t="str">
        <f>IFERROR(__xludf.DUMMYFUNCTION("""COMPUTED_VALUE"""),"")</f>
        <v/>
      </c>
      <c r="R3507" s="106" t="str">
        <f>IFERROR(__xludf.DUMMYFUNCTION("""COMPUTED_VALUE"""),"")</f>
        <v/>
      </c>
      <c r="S3507" s="106" t="str">
        <f>IFERROR(__xludf.DUMMYFUNCTION("""COMPUTED_VALUE"""),"")</f>
        <v/>
      </c>
      <c r="T3507" s="139" t="str">
        <f>IFERROR(__xludf.DUMMYFUNCTION("""COMPUTED_VALUE"""),"")</f>
        <v/>
      </c>
      <c r="U3507" s="139" t="str">
        <f>IFERROR(__xludf.DUMMYFUNCTION("""COMPUTED_VALUE"""),"")</f>
        <v/>
      </c>
      <c r="V3507" s="136" t="str">
        <f>IFERROR(__xludf.DUMMYFUNCTION("""COMPUTED_VALUE"""),"")</f>
        <v/>
      </c>
      <c r="W3507" s="106" t="str">
        <f>IFERROR(__xludf.DUMMYFUNCTION("""COMPUTED_VALUE"""),"")</f>
        <v/>
      </c>
      <c r="X3507" s="143" t="str">
        <f t="shared" si="2"/>
        <v/>
      </c>
      <c r="Y3507" s="139" t="str">
        <f>IFERROR(__xludf.DUMMYFUNCTION("""COMPUTED_VALUE"""),"")</f>
        <v/>
      </c>
      <c r="Z3507" s="141" t="str">
        <f>IFERROR(__xludf.DUMMYFUNCTION("""COMPUTED_VALUE"""),"")</f>
        <v/>
      </c>
    </row>
    <row r="3508">
      <c r="D3508" s="136" t="str">
        <f t="shared" si="3"/>
        <v/>
      </c>
      <c r="E3508" s="152"/>
      <c r="F3508" s="106" t="s">
        <v>133</v>
      </c>
      <c r="G3508" s="152"/>
      <c r="H3508" s="106" t="s">
        <v>133</v>
      </c>
      <c r="J3508" s="139" t="s">
        <v>133</v>
      </c>
      <c r="K3508" s="136" t="s">
        <v>133</v>
      </c>
      <c r="L3508" s="153"/>
      <c r="M3508" s="136" t="str">
        <f t="shared" si="1"/>
        <v/>
      </c>
      <c r="O3508" s="141" t="s">
        <v>133</v>
      </c>
      <c r="P3508" s="136" t="str">
        <f>IFERROR(__xludf.DUMMYFUNCTION("""COMPUTED_VALUE"""),"")</f>
        <v/>
      </c>
      <c r="Q3508" s="136" t="str">
        <f>IFERROR(__xludf.DUMMYFUNCTION("""COMPUTED_VALUE"""),"")</f>
        <v/>
      </c>
      <c r="R3508" s="106" t="str">
        <f>IFERROR(__xludf.DUMMYFUNCTION("""COMPUTED_VALUE"""),"")</f>
        <v/>
      </c>
      <c r="S3508" s="106" t="str">
        <f>IFERROR(__xludf.DUMMYFUNCTION("""COMPUTED_VALUE"""),"")</f>
        <v/>
      </c>
      <c r="T3508" s="139" t="str">
        <f>IFERROR(__xludf.DUMMYFUNCTION("""COMPUTED_VALUE"""),"")</f>
        <v/>
      </c>
      <c r="U3508" s="139" t="str">
        <f>IFERROR(__xludf.DUMMYFUNCTION("""COMPUTED_VALUE"""),"")</f>
        <v/>
      </c>
      <c r="V3508" s="136" t="str">
        <f>IFERROR(__xludf.DUMMYFUNCTION("""COMPUTED_VALUE"""),"")</f>
        <v/>
      </c>
      <c r="W3508" s="106" t="str">
        <f>IFERROR(__xludf.DUMMYFUNCTION("""COMPUTED_VALUE"""),"")</f>
        <v/>
      </c>
      <c r="X3508" s="143" t="str">
        <f t="shared" si="2"/>
        <v/>
      </c>
      <c r="Y3508" s="139" t="str">
        <f>IFERROR(__xludf.DUMMYFUNCTION("""COMPUTED_VALUE"""),"")</f>
        <v/>
      </c>
      <c r="Z3508" s="141" t="str">
        <f>IFERROR(__xludf.DUMMYFUNCTION("""COMPUTED_VALUE"""),"")</f>
        <v/>
      </c>
    </row>
    <row r="3509">
      <c r="D3509" s="136" t="str">
        <f t="shared" si="3"/>
        <v/>
      </c>
      <c r="E3509" s="152"/>
      <c r="F3509" s="106" t="s">
        <v>133</v>
      </c>
      <c r="G3509" s="152"/>
      <c r="H3509" s="106" t="s">
        <v>133</v>
      </c>
      <c r="J3509" s="139" t="s">
        <v>133</v>
      </c>
      <c r="K3509" s="136" t="s">
        <v>133</v>
      </c>
      <c r="L3509" s="153"/>
      <c r="M3509" s="136" t="str">
        <f t="shared" si="1"/>
        <v/>
      </c>
      <c r="O3509" s="141" t="s">
        <v>133</v>
      </c>
      <c r="P3509" s="136" t="str">
        <f>IFERROR(__xludf.DUMMYFUNCTION("""COMPUTED_VALUE"""),"")</f>
        <v/>
      </c>
      <c r="Q3509" s="136" t="str">
        <f>IFERROR(__xludf.DUMMYFUNCTION("""COMPUTED_VALUE"""),"")</f>
        <v/>
      </c>
      <c r="R3509" s="106" t="str">
        <f>IFERROR(__xludf.DUMMYFUNCTION("""COMPUTED_VALUE"""),"")</f>
        <v/>
      </c>
      <c r="S3509" s="106" t="str">
        <f>IFERROR(__xludf.DUMMYFUNCTION("""COMPUTED_VALUE"""),"")</f>
        <v/>
      </c>
      <c r="T3509" s="139" t="str">
        <f>IFERROR(__xludf.DUMMYFUNCTION("""COMPUTED_VALUE"""),"")</f>
        <v/>
      </c>
      <c r="U3509" s="139" t="str">
        <f>IFERROR(__xludf.DUMMYFUNCTION("""COMPUTED_VALUE"""),"")</f>
        <v/>
      </c>
      <c r="V3509" s="136" t="str">
        <f>IFERROR(__xludf.DUMMYFUNCTION("""COMPUTED_VALUE"""),"")</f>
        <v/>
      </c>
      <c r="W3509" s="106" t="str">
        <f>IFERROR(__xludf.DUMMYFUNCTION("""COMPUTED_VALUE"""),"")</f>
        <v/>
      </c>
      <c r="X3509" s="143" t="str">
        <f t="shared" si="2"/>
        <v/>
      </c>
      <c r="Y3509" s="139" t="str">
        <f>IFERROR(__xludf.DUMMYFUNCTION("""COMPUTED_VALUE"""),"")</f>
        <v/>
      </c>
      <c r="Z3509" s="141" t="str">
        <f>IFERROR(__xludf.DUMMYFUNCTION("""COMPUTED_VALUE"""),"")</f>
        <v/>
      </c>
    </row>
    <row r="3510">
      <c r="D3510" s="136" t="str">
        <f t="shared" si="3"/>
        <v/>
      </c>
      <c r="E3510" s="152"/>
      <c r="F3510" s="106" t="s">
        <v>133</v>
      </c>
      <c r="G3510" s="152"/>
      <c r="H3510" s="106" t="s">
        <v>133</v>
      </c>
      <c r="J3510" s="139" t="s">
        <v>133</v>
      </c>
      <c r="K3510" s="136" t="s">
        <v>133</v>
      </c>
      <c r="L3510" s="153"/>
      <c r="M3510" s="136" t="str">
        <f t="shared" si="1"/>
        <v/>
      </c>
      <c r="O3510" s="141" t="s">
        <v>133</v>
      </c>
      <c r="P3510" s="136" t="str">
        <f>IFERROR(__xludf.DUMMYFUNCTION("""COMPUTED_VALUE"""),"")</f>
        <v/>
      </c>
      <c r="Q3510" s="136" t="str">
        <f>IFERROR(__xludf.DUMMYFUNCTION("""COMPUTED_VALUE"""),"")</f>
        <v/>
      </c>
      <c r="R3510" s="106" t="str">
        <f>IFERROR(__xludf.DUMMYFUNCTION("""COMPUTED_VALUE"""),"")</f>
        <v/>
      </c>
      <c r="S3510" s="106" t="str">
        <f>IFERROR(__xludf.DUMMYFUNCTION("""COMPUTED_VALUE"""),"")</f>
        <v/>
      </c>
      <c r="T3510" s="139" t="str">
        <f>IFERROR(__xludf.DUMMYFUNCTION("""COMPUTED_VALUE"""),"")</f>
        <v/>
      </c>
      <c r="U3510" s="139" t="str">
        <f>IFERROR(__xludf.DUMMYFUNCTION("""COMPUTED_VALUE"""),"")</f>
        <v/>
      </c>
      <c r="V3510" s="136" t="str">
        <f>IFERROR(__xludf.DUMMYFUNCTION("""COMPUTED_VALUE"""),"")</f>
        <v/>
      </c>
      <c r="W3510" s="106" t="str">
        <f>IFERROR(__xludf.DUMMYFUNCTION("""COMPUTED_VALUE"""),"")</f>
        <v/>
      </c>
      <c r="X3510" s="143" t="str">
        <f t="shared" si="2"/>
        <v/>
      </c>
      <c r="Y3510" s="139" t="str">
        <f>IFERROR(__xludf.DUMMYFUNCTION("""COMPUTED_VALUE"""),"")</f>
        <v/>
      </c>
      <c r="Z3510" s="141" t="str">
        <f>IFERROR(__xludf.DUMMYFUNCTION("""COMPUTED_VALUE"""),"")</f>
        <v/>
      </c>
    </row>
    <row r="3511">
      <c r="D3511" s="136" t="str">
        <f t="shared" si="3"/>
        <v/>
      </c>
      <c r="E3511" s="152"/>
      <c r="F3511" s="106" t="s">
        <v>133</v>
      </c>
      <c r="G3511" s="152"/>
      <c r="H3511" s="106" t="s">
        <v>133</v>
      </c>
      <c r="J3511" s="139" t="s">
        <v>133</v>
      </c>
      <c r="K3511" s="136" t="s">
        <v>133</v>
      </c>
      <c r="L3511" s="153"/>
      <c r="M3511" s="136" t="str">
        <f t="shared" si="1"/>
        <v/>
      </c>
      <c r="O3511" s="141" t="s">
        <v>133</v>
      </c>
      <c r="P3511" s="136" t="str">
        <f>IFERROR(__xludf.DUMMYFUNCTION("""COMPUTED_VALUE"""),"")</f>
        <v/>
      </c>
      <c r="Q3511" s="136" t="str">
        <f>IFERROR(__xludf.DUMMYFUNCTION("""COMPUTED_VALUE"""),"")</f>
        <v/>
      </c>
      <c r="R3511" s="106" t="str">
        <f>IFERROR(__xludf.DUMMYFUNCTION("""COMPUTED_VALUE"""),"")</f>
        <v/>
      </c>
      <c r="S3511" s="106" t="str">
        <f>IFERROR(__xludf.DUMMYFUNCTION("""COMPUTED_VALUE"""),"")</f>
        <v/>
      </c>
      <c r="T3511" s="139" t="str">
        <f>IFERROR(__xludf.DUMMYFUNCTION("""COMPUTED_VALUE"""),"")</f>
        <v/>
      </c>
      <c r="U3511" s="139" t="str">
        <f>IFERROR(__xludf.DUMMYFUNCTION("""COMPUTED_VALUE"""),"")</f>
        <v/>
      </c>
      <c r="V3511" s="136" t="str">
        <f>IFERROR(__xludf.DUMMYFUNCTION("""COMPUTED_VALUE"""),"")</f>
        <v/>
      </c>
      <c r="W3511" s="106" t="str">
        <f>IFERROR(__xludf.DUMMYFUNCTION("""COMPUTED_VALUE"""),"")</f>
        <v/>
      </c>
      <c r="X3511" s="143" t="str">
        <f t="shared" si="2"/>
        <v/>
      </c>
      <c r="Y3511" s="139" t="str">
        <f>IFERROR(__xludf.DUMMYFUNCTION("""COMPUTED_VALUE"""),"")</f>
        <v/>
      </c>
      <c r="Z3511" s="141" t="str">
        <f>IFERROR(__xludf.DUMMYFUNCTION("""COMPUTED_VALUE"""),"")</f>
        <v/>
      </c>
    </row>
    <row r="3512">
      <c r="D3512" s="136" t="str">
        <f t="shared" si="3"/>
        <v/>
      </c>
      <c r="E3512" s="152"/>
      <c r="F3512" s="106" t="s">
        <v>133</v>
      </c>
      <c r="G3512" s="152"/>
      <c r="H3512" s="106" t="s">
        <v>133</v>
      </c>
      <c r="J3512" s="139" t="s">
        <v>133</v>
      </c>
      <c r="K3512" s="136" t="s">
        <v>133</v>
      </c>
      <c r="L3512" s="153"/>
      <c r="M3512" s="136" t="str">
        <f t="shared" si="1"/>
        <v/>
      </c>
      <c r="O3512" s="141" t="s">
        <v>133</v>
      </c>
      <c r="P3512" s="136" t="str">
        <f>IFERROR(__xludf.DUMMYFUNCTION("""COMPUTED_VALUE"""),"")</f>
        <v/>
      </c>
      <c r="Q3512" s="136" t="str">
        <f>IFERROR(__xludf.DUMMYFUNCTION("""COMPUTED_VALUE"""),"")</f>
        <v/>
      </c>
      <c r="R3512" s="106" t="str">
        <f>IFERROR(__xludf.DUMMYFUNCTION("""COMPUTED_VALUE"""),"")</f>
        <v/>
      </c>
      <c r="S3512" s="106" t="str">
        <f>IFERROR(__xludf.DUMMYFUNCTION("""COMPUTED_VALUE"""),"")</f>
        <v/>
      </c>
      <c r="T3512" s="139" t="str">
        <f>IFERROR(__xludf.DUMMYFUNCTION("""COMPUTED_VALUE"""),"")</f>
        <v/>
      </c>
      <c r="U3512" s="139" t="str">
        <f>IFERROR(__xludf.DUMMYFUNCTION("""COMPUTED_VALUE"""),"")</f>
        <v/>
      </c>
      <c r="V3512" s="136" t="str">
        <f>IFERROR(__xludf.DUMMYFUNCTION("""COMPUTED_VALUE"""),"")</f>
        <v/>
      </c>
      <c r="W3512" s="106" t="str">
        <f>IFERROR(__xludf.DUMMYFUNCTION("""COMPUTED_VALUE"""),"")</f>
        <v/>
      </c>
      <c r="X3512" s="143" t="str">
        <f t="shared" si="2"/>
        <v/>
      </c>
      <c r="Y3512" s="139" t="str">
        <f>IFERROR(__xludf.DUMMYFUNCTION("""COMPUTED_VALUE"""),"")</f>
        <v/>
      </c>
      <c r="Z3512" s="141" t="str">
        <f>IFERROR(__xludf.DUMMYFUNCTION("""COMPUTED_VALUE"""),"")</f>
        <v/>
      </c>
    </row>
    <row r="3513">
      <c r="D3513" s="136" t="str">
        <f t="shared" si="3"/>
        <v/>
      </c>
      <c r="E3513" s="152"/>
      <c r="F3513" s="106" t="s">
        <v>133</v>
      </c>
      <c r="G3513" s="152"/>
      <c r="H3513" s="106" t="s">
        <v>133</v>
      </c>
      <c r="J3513" s="139" t="s">
        <v>133</v>
      </c>
      <c r="K3513" s="136" t="s">
        <v>133</v>
      </c>
      <c r="L3513" s="153"/>
      <c r="M3513" s="136" t="str">
        <f t="shared" si="1"/>
        <v/>
      </c>
      <c r="O3513" s="141" t="s">
        <v>133</v>
      </c>
      <c r="P3513" s="136" t="str">
        <f>IFERROR(__xludf.DUMMYFUNCTION("""COMPUTED_VALUE"""),"")</f>
        <v/>
      </c>
      <c r="Q3513" s="136" t="str">
        <f>IFERROR(__xludf.DUMMYFUNCTION("""COMPUTED_VALUE"""),"")</f>
        <v/>
      </c>
      <c r="R3513" s="106" t="str">
        <f>IFERROR(__xludf.DUMMYFUNCTION("""COMPUTED_VALUE"""),"")</f>
        <v/>
      </c>
      <c r="S3513" s="106" t="str">
        <f>IFERROR(__xludf.DUMMYFUNCTION("""COMPUTED_VALUE"""),"")</f>
        <v/>
      </c>
      <c r="T3513" s="139" t="str">
        <f>IFERROR(__xludf.DUMMYFUNCTION("""COMPUTED_VALUE"""),"")</f>
        <v/>
      </c>
      <c r="U3513" s="139" t="str">
        <f>IFERROR(__xludf.DUMMYFUNCTION("""COMPUTED_VALUE"""),"")</f>
        <v/>
      </c>
      <c r="V3513" s="136" t="str">
        <f>IFERROR(__xludf.DUMMYFUNCTION("""COMPUTED_VALUE"""),"")</f>
        <v/>
      </c>
      <c r="W3513" s="106" t="str">
        <f>IFERROR(__xludf.DUMMYFUNCTION("""COMPUTED_VALUE"""),"")</f>
        <v/>
      </c>
      <c r="X3513" s="143" t="str">
        <f t="shared" si="2"/>
        <v/>
      </c>
      <c r="Y3513" s="139" t="str">
        <f>IFERROR(__xludf.DUMMYFUNCTION("""COMPUTED_VALUE"""),"")</f>
        <v/>
      </c>
      <c r="Z3513" s="141" t="str">
        <f>IFERROR(__xludf.DUMMYFUNCTION("""COMPUTED_VALUE"""),"")</f>
        <v/>
      </c>
    </row>
  </sheetData>
  <conditionalFormatting sqref="D1:D3513">
    <cfRule type="cellIs" dxfId="0" priority="1" operator="equal">
      <formula>"True"</formula>
    </cfRule>
  </conditionalFormatting>
  <conditionalFormatting sqref="K1:K3513">
    <cfRule type="cellIs" dxfId="1" priority="2" operator="equal">
      <formula>"Breakfast"</formula>
    </cfRule>
  </conditionalFormatting>
  <conditionalFormatting sqref="K1:K3513">
    <cfRule type="cellIs" dxfId="2" priority="3" operator="equal">
      <formula>"Breakfast/Lunch"</formula>
    </cfRule>
  </conditionalFormatting>
  <conditionalFormatting sqref="K1:K3513">
    <cfRule type="cellIs" dxfId="3" priority="4" operator="equal">
      <formula>"Lunch"</formula>
    </cfRule>
  </conditionalFormatting>
  <conditionalFormatting sqref="K1:K3513">
    <cfRule type="cellIs" dxfId="4" priority="5" operator="equal">
      <formula>"Lunch/Dinner"</formula>
    </cfRule>
  </conditionalFormatting>
  <conditionalFormatting sqref="K1:K3513">
    <cfRule type="cellIs" dxfId="5" priority="6" operator="equal">
      <formula>"Dinner"</formula>
    </cfRule>
  </conditionalFormatting>
  <conditionalFormatting sqref="M1:M3513">
    <cfRule type="cellIs" dxfId="6" priority="7" operator="equal">
      <formula>"Monday"</formula>
    </cfRule>
  </conditionalFormatting>
  <conditionalFormatting sqref="M1:M3513">
    <cfRule type="cellIs" dxfId="7" priority="8" operator="equal">
      <formula>"Tuesday"</formula>
    </cfRule>
  </conditionalFormatting>
  <conditionalFormatting sqref="M1:M3513">
    <cfRule type="cellIs" dxfId="8" priority="9" operator="equal">
      <formula>"Wednesday"</formula>
    </cfRule>
  </conditionalFormatting>
  <conditionalFormatting sqref="M1:M3513">
    <cfRule type="cellIs" dxfId="9" priority="10" operator="equal">
      <formula>"Thursday"</formula>
    </cfRule>
  </conditionalFormatting>
  <conditionalFormatting sqref="M1:M3513">
    <cfRule type="cellIs" dxfId="10" priority="11" operator="equal">
      <formula>"Friday"</formula>
    </cfRule>
  </conditionalFormatting>
  <conditionalFormatting sqref="N1:N3513">
    <cfRule type="cellIs" dxfId="11" priority="12" operator="equal">
      <formula>"MF"</formula>
    </cfRule>
  </conditionalFormatting>
  <conditionalFormatting sqref="N1:N3513">
    <cfRule type="cellIs" dxfId="12" priority="13" operator="equal">
      <formula>"BF"</formula>
    </cfRule>
  </conditionalFormatting>
  <conditionalFormatting sqref="P2:P3513 R2:R3513 T2:T3513">
    <cfRule type="notContainsBlanks" dxfId="11" priority="14">
      <formula>LEN(TRIM(P2))&gt;0</formula>
    </cfRule>
  </conditionalFormatting>
  <conditionalFormatting sqref="Q2:Q3513 S2:S3513 U2:U3513">
    <cfRule type="notContainsBlanks" dxfId="12" priority="15">
      <formula>LEN(TRIM(Q2))&gt;0</formula>
    </cfRule>
  </conditionalFormatting>
  <conditionalFormatting sqref="V2:X3513">
    <cfRule type="notContainsBlanks" dxfId="13" priority="16">
      <formula>LEN(TRIM(V2))&gt;0</formula>
    </cfRule>
  </conditionalFormatting>
  <conditionalFormatting sqref="Y3:Y3513">
    <cfRule type="notContainsBlanks" dxfId="1" priority="17">
      <formula>LEN(TRIM(Y3))&gt;0</formula>
    </cfRule>
  </conditionalFormatting>
  <conditionalFormatting sqref="J1:J3513">
    <cfRule type="cellIs" dxfId="14" priority="18" operator="greaterThanOrEqual">
      <formula>100</formula>
    </cfRule>
  </conditionalFormatting>
  <conditionalFormatting sqref="J1:J3513">
    <cfRule type="cellIs" dxfId="15" priority="19" operator="greaterThanOrEqual">
      <formula>70</formula>
    </cfRule>
  </conditionalFormatting>
  <conditionalFormatting sqref="J1:J3513">
    <cfRule type="cellIs" dxfId="16" priority="20" operator="lessThanOrEqual">
      <formula>25</formula>
    </cfRule>
  </conditionalFormatting>
  <conditionalFormatting sqref="J1:J3513">
    <cfRule type="cellIs" dxfId="17" priority="21" operator="lessThanOrEqual">
      <formula>30</formula>
    </cfRule>
  </conditionalFormatting>
  <conditionalFormatting sqref="J1:J3513">
    <cfRule type="cellIs" dxfId="18" priority="22" operator="lessThanOrEqual">
      <formula>40</formula>
    </cfRule>
  </conditionalFormatting>
  <conditionalFormatting sqref="L3:L3513">
    <cfRule type="expression" dxfId="19" priority="23">
      <formula>AND(L3&lt;&gt;"", ISEVEN(SUMPRODUCT((L$3:L3&lt;&gt;OFFSET(L$3:L3,-1,0))*(L$3:L3&lt;&gt;""))))</formula>
    </cfRule>
  </conditionalFormatting>
  <conditionalFormatting sqref="O3:O3513">
    <cfRule type="colorScale" priority="24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Z3:Z3513">
    <cfRule type="colorScale" priority="25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H3:H3513">
    <cfRule type="cellIs" dxfId="20" priority="26" operator="lessThan">
      <formula>0</formula>
    </cfRule>
  </conditionalFormatting>
  <conditionalFormatting sqref="H3:H3513">
    <cfRule type="cellIs" dxfId="20" priority="27" operator="greaterThan">
      <formula>0.25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102</v>
      </c>
      <c r="B1" s="113" t="s">
        <v>102</v>
      </c>
      <c r="C1" s="113" t="s">
        <v>102</v>
      </c>
      <c r="D1" s="107" t="s">
        <v>102</v>
      </c>
      <c r="E1" s="113" t="s">
        <v>103</v>
      </c>
      <c r="F1" s="107" t="s">
        <v>102</v>
      </c>
      <c r="G1" s="113" t="s">
        <v>102</v>
      </c>
      <c r="H1" s="107" t="s">
        <v>102</v>
      </c>
      <c r="I1" s="154" t="s">
        <v>103</v>
      </c>
      <c r="J1" s="107" t="s">
        <v>102</v>
      </c>
      <c r="K1" s="112" t="s">
        <v>103</v>
      </c>
      <c r="L1" s="107" t="s">
        <v>104</v>
      </c>
    </row>
    <row r="2">
      <c r="A2" s="2" t="s">
        <v>105</v>
      </c>
      <c r="B2" s="2" t="s">
        <v>106</v>
      </c>
      <c r="C2" s="65" t="s">
        <v>136</v>
      </c>
      <c r="D2" s="2" t="s">
        <v>114</v>
      </c>
      <c r="E2" s="65" t="s">
        <v>115</v>
      </c>
      <c r="F2" s="2" t="s">
        <v>137</v>
      </c>
      <c r="G2" s="155" t="s">
        <v>138</v>
      </c>
      <c r="H2" s="2" t="s">
        <v>139</v>
      </c>
      <c r="I2" s="156" t="s">
        <v>140</v>
      </c>
      <c r="J2" s="2" t="s">
        <v>141</v>
      </c>
      <c r="K2" s="75" t="s">
        <v>142</v>
      </c>
      <c r="L2" s="2" t="s">
        <v>143</v>
      </c>
      <c r="O2" s="157" t="s">
        <v>144</v>
      </c>
      <c r="Q2" s="158"/>
      <c r="R2" s="158"/>
      <c r="S2" s="158"/>
      <c r="T2" s="158"/>
    </row>
    <row r="3">
      <c r="A3" s="144">
        <f>IFERROR(__xludf.DUMMYFUNCTION("IMPORTRANGE(""https://docs.google.com/spreadsheets/d/1jmXuuYb2rWIX1PbFVp-yzH3IqJm3OKXaoMXcca97_l4/edit?gid=1259547262#gid=1259547262"",""S2026 Plate Data!A2:A"")"),46051.54546171296)</f>
        <v>46051.54546</v>
      </c>
      <c r="B3" s="136" t="str">
        <f>IFERROR(__xludf.DUMMYFUNCTION("IMPORTRANGE(""https://docs.google.com/spreadsheets/d/1jmXuuYb2rWIX1PbFVp-yzH3IqJm3OKXaoMXcca97_l4/edit?gid=1259547262#gid=1259547262"",""S2026 Plate Data!C2:C"")"),"Kyra Turner")</f>
        <v>Kyra Turner</v>
      </c>
      <c r="C3" s="136" t="str">
        <f>IFERROR(__xludf.DUMMYFUNCTION("ARRAYFORMULA(
  iferror(IFs(
    IMPORTRANGE(""https://docs.google.com/spreadsheets/d/1jmXuuYb2rWIX1PbFVp-yzH3IqJm3OKXaoMXcca97_l4/edit?gid=1259547262#gid=1259547262"",""S2026 Plate Data!E2:E"") = ""Mainfare"",
    ""MF"",
    IMPORTRANGE(""https://docs.g"&amp;"oogle.com/spreadsheets/d/1jmXuuYb2rWIX1PbFVp-yzH3IqJm3OKXaoMXcca97_l4/edit?gid=1259547262#gid=1259547262"",""S2026 Plate Data!E2:E"") = ""Butterfield"", ""BF""
  ),"""")
)"),"BF")</f>
        <v>BF</v>
      </c>
      <c r="D3" s="146">
        <f>IFERROR(__xludf.DUMMYFUNCTION("IMPORTRANGE(""https://docs.google.com/spreadsheets/d/1jmXuuYb2rWIX1PbFVp-yzH3IqJm3OKXaoMXcca97_l4/edit?gid=1259547262#gid=1259547262"",""S2026 Plate Data!D2:D"")"),46051.0)</f>
        <v>46051</v>
      </c>
      <c r="E3" s="136" t="str">
        <f t="shared" ref="E3:E168" si="1">IFS( D3="","",
  WEEKDAY(D3)=1, "Sunday",
  WEEKDAY(D3)=2, "Monday",
  WEEKDAY(D3)=3, "Tuesday",
  WEEKDAY(D3)=4, "Wednesday",
  WEEKDAY(D3)=5, "Thursday",
  WEEKDAY(D3)=6, "Friday",
  WEEKDAY(D3)=7, "Saturday"
)</f>
        <v>Thursday</v>
      </c>
      <c r="F3" s="137">
        <f>IFERROR(__xludf.DUMMYFUNCTION("IMPORTRANGE(""https://docs.google.com/spreadsheets/d/1jmXuuYb2rWIX1PbFVp-yzH3IqJm3OKXaoMXcca97_l4/edit?gid=1259547262#gid=1259547262"",""S2026 Plate Data!G2:G"")"),0.5402777777781012)</f>
        <v>0.5402777778</v>
      </c>
      <c r="G3" s="106">
        <f>IFERROR(__xludf.DUMMYFUNCTION("ARRAYFORMULA(IMPORTRANGE(""https://docs.google.com/spreadsheets/d/1jmXuuYb2rWIX1PbFVp-yzH3IqJm3OKXaoMXcca97_l4/edit?gid=1259547262#gid=1259547262"",""S2026 Plate Data!H2:H"")-IMPORTRANGE(""https://docs.google.com/spreadsheets/d/1jmXuuYb2rWIX1PbFVp-yzH3IqJ"&amp;"m3OKXaoMXcca97_l4/edit?gid=1259547262#gid=1259547262"",""S2026 Plate Data!G2:G""))"),0.004861111112404615)</f>
        <v>0.004861111112</v>
      </c>
      <c r="H3" s="137">
        <f>IFERROR(__xludf.DUMMYFUNCTION("IMPORTRANGE(""https://docs.google.com/spreadsheets/d/1jmXuuYb2rWIX1PbFVp-yzH3IqJm3OKXaoMXcca97_l4/edit?gid=1259547262#gid=1259547262"",""S2026 Plate Data!H2:H"")"),0.5451388888905058)</f>
        <v>0.5451388889</v>
      </c>
      <c r="I3" s="159">
        <f t="shared" ref="I3:I119" si="2">IFERROR(30/((G3*24)*60),"")</f>
        <v>4.285714285</v>
      </c>
      <c r="J3" s="136">
        <f>IFERROR(__xludf.DUMMYFUNCTION("BYROW(
  IMPORTRANGE(""https://docs.google.com/spreadsheets/d/1jmXuuYb2rWIX1PbFVp-yzH3IqJm3OKXaoMXcca97_l4/edit?gid=1259547262#gid=1259547262"",""S2026 Plate Data!I2:AL""),
  LAMBDA(eachRow, COUNTIF(eachRow, ""Food waste diverted""))
)"),23.0)</f>
        <v>23</v>
      </c>
      <c r="K3" s="141">
        <f t="shared" ref="K3:K119" si="3">if(J3=0,"",J3/30)</f>
        <v>0.7666666667</v>
      </c>
      <c r="L3" s="136" t="str">
        <f t="array" ref="L3:L1000">IF(F3:F1000="","",
    IF(
      (F3:F1000 &lt; 'Master Sheet'!M5) * (H3:H1000 &gt; 'Master Sheet'!L6), "Breakfast/Lunch",
      IF(
        (F3:F1000 &lt; ('Master Sheet'!M6-0.01)) * (H3:H1000 &gt; 'Master Sheet'!L7), "Lunch/Dinner",
        IF(
          (F3:F1000 &gt;= 'Master Sheet'!L5) * (H3:H1000 &lt;= 'Master Sheet'!M5), "Breakfast",
          IF(
            (F3:F1000 &gt;= 'Master Sheet'!L6) * (H3:H1000 &lt;= 'Master Sheet'!M6), "Lunch",
            IF(
              (F3:F1000 &gt;= ('Master Sheet'!L7-0.01)) * (H3:H1000 &lt;= 'Master Sheet'!M7), "Dinner",
              ""
            )
          )
        )
      )
    )
  )</f>
        <v>Lunch</v>
      </c>
      <c r="O3" s="160" t="s">
        <v>7</v>
      </c>
      <c r="P3" s="161" t="s">
        <v>145</v>
      </c>
      <c r="Q3" s="162"/>
      <c r="R3" s="162"/>
      <c r="S3" s="162"/>
      <c r="T3" s="162"/>
    </row>
    <row r="4">
      <c r="A4" s="144">
        <f>IFERROR(__xludf.DUMMYFUNCTION("""COMPUTED_VALUE"""),46051.769635046294)</f>
        <v>46051.76964</v>
      </c>
      <c r="B4" s="136" t="str">
        <f>IFERROR(__xludf.DUMMYFUNCTION("""COMPUTED_VALUE"""),"Emmett Khan")</f>
        <v>Emmett Khan</v>
      </c>
      <c r="C4" s="136" t="str">
        <f>IFERROR(__xludf.DUMMYFUNCTION("""COMPUTED_VALUE"""),"MF")</f>
        <v>MF</v>
      </c>
      <c r="D4" s="146">
        <f>IFERROR(__xludf.DUMMYFUNCTION("""COMPUTED_VALUE"""),46051.0)</f>
        <v>46051</v>
      </c>
      <c r="E4" s="136" t="str">
        <f t="shared" si="1"/>
        <v>Thursday</v>
      </c>
      <c r="F4" s="137">
        <f>IFERROR(__xludf.DUMMYFUNCTION("""COMPUTED_VALUE"""),0.7645833333372138)</f>
        <v>0.7645833333</v>
      </c>
      <c r="G4" s="106">
        <f>IFERROR(__xludf.DUMMYFUNCTION("""COMPUTED_VALUE"""),0.004861111105128657)</f>
        <v>0.004861111105</v>
      </c>
      <c r="H4" s="137">
        <f>IFERROR(__xludf.DUMMYFUNCTION("""COMPUTED_VALUE"""),0.7694444444423425)</f>
        <v>0.7694444444</v>
      </c>
      <c r="I4" s="159">
        <f t="shared" si="2"/>
        <v>4.285714291</v>
      </c>
      <c r="J4" s="136">
        <f>IFERROR(__xludf.DUMMYFUNCTION("""COMPUTED_VALUE"""),29.0)</f>
        <v>29</v>
      </c>
      <c r="K4" s="141">
        <f t="shared" si="3"/>
        <v>0.9666666667</v>
      </c>
      <c r="L4" s="136" t="s">
        <v>18</v>
      </c>
      <c r="O4" s="163" t="s">
        <v>12</v>
      </c>
      <c r="P4" s="164">
        <f t="shared" ref="P4:P7" si="4">AVERAGEIF(L:L,O4,I:I)</f>
        <v>2.08435438</v>
      </c>
    </row>
    <row r="5">
      <c r="A5" s="144">
        <f>IFERROR(__xludf.DUMMYFUNCTION("""COMPUTED_VALUE"""),46052.5325824537)</f>
        <v>46052.53258</v>
      </c>
      <c r="B5" s="136" t="str">
        <f>IFERROR(__xludf.DUMMYFUNCTION("""COMPUTED_VALUE"""),"Brynn Hornig")</f>
        <v>Brynn Hornig</v>
      </c>
      <c r="C5" s="136" t="str">
        <f>IFERROR(__xludf.DUMMYFUNCTION("""COMPUTED_VALUE"""),"BF")</f>
        <v>BF</v>
      </c>
      <c r="D5" s="146">
        <f>IFERROR(__xludf.DUMMYFUNCTION("""COMPUTED_VALUE"""),46052.0)</f>
        <v>46052</v>
      </c>
      <c r="E5" s="136" t="str">
        <f t="shared" si="1"/>
        <v>Friday</v>
      </c>
      <c r="F5" s="137">
        <f>IFERROR(__xludf.DUMMYFUNCTION("""COMPUTED_VALUE"""),0.5208333333357587)</f>
        <v>0.5208333333</v>
      </c>
      <c r="G5" s="106">
        <f>IFERROR(__xludf.DUMMYFUNCTION("""COMPUTED_VALUE"""),0.011111111110949423)</f>
        <v>0.01111111111</v>
      </c>
      <c r="H5" s="137">
        <f>IFERROR(__xludf.DUMMYFUNCTION("""COMPUTED_VALUE"""),0.5319444444467081)</f>
        <v>0.5319444444</v>
      </c>
      <c r="I5" s="159">
        <f t="shared" si="2"/>
        <v>1.875</v>
      </c>
      <c r="J5" s="136">
        <f>IFERROR(__xludf.DUMMYFUNCTION("""COMPUTED_VALUE"""),27.0)</f>
        <v>27</v>
      </c>
      <c r="K5" s="141">
        <f t="shared" si="3"/>
        <v>0.9</v>
      </c>
      <c r="L5" s="136" t="s">
        <v>15</v>
      </c>
      <c r="O5" s="165" t="s">
        <v>134</v>
      </c>
      <c r="P5" s="164">
        <f t="shared" si="4"/>
        <v>2.142857142</v>
      </c>
    </row>
    <row r="6">
      <c r="A6" s="144">
        <f>IFERROR(__xludf.DUMMYFUNCTION("""COMPUTED_VALUE"""),46055.753300219905)</f>
        <v>46055.7533</v>
      </c>
      <c r="B6" s="136" t="str">
        <f>IFERROR(__xludf.DUMMYFUNCTION("""COMPUTED_VALUE"""),"Maureen Surgot")</f>
        <v>Maureen Surgot</v>
      </c>
      <c r="C6" s="136" t="str">
        <f>IFERROR(__xludf.DUMMYFUNCTION("""COMPUTED_VALUE"""),"MF")</f>
        <v>MF</v>
      </c>
      <c r="D6" s="146">
        <f>IFERROR(__xludf.DUMMYFUNCTION("""COMPUTED_VALUE"""),46055.0)</f>
        <v>46055</v>
      </c>
      <c r="E6" s="136" t="str">
        <f t="shared" si="1"/>
        <v>Monday</v>
      </c>
      <c r="F6" s="137">
        <f>IFERROR(__xludf.DUMMYFUNCTION("""COMPUTED_VALUE"""),0.7486111111065838)</f>
        <v>0.7486111111</v>
      </c>
      <c r="G6" s="106">
        <f>IFERROR(__xludf.DUMMYFUNCTION("""COMPUTED_VALUE"""),0.004166666672972497)</f>
        <v>0.004166666673</v>
      </c>
      <c r="H6" s="137">
        <f>IFERROR(__xludf.DUMMYFUNCTION("""COMPUTED_VALUE"""),0.7527777777795563)</f>
        <v>0.7527777778</v>
      </c>
      <c r="I6" s="159">
        <f t="shared" si="2"/>
        <v>4.999999992</v>
      </c>
      <c r="J6" s="136">
        <f>IFERROR(__xludf.DUMMYFUNCTION("""COMPUTED_VALUE"""),30.0)</f>
        <v>30</v>
      </c>
      <c r="K6" s="141">
        <f t="shared" si="3"/>
        <v>1</v>
      </c>
      <c r="L6" s="136" t="s">
        <v>18</v>
      </c>
      <c r="O6" s="28" t="s">
        <v>15</v>
      </c>
      <c r="P6" s="164">
        <f t="shared" si="4"/>
        <v>3.129288431</v>
      </c>
    </row>
    <row r="7">
      <c r="A7" s="144">
        <f>IFERROR(__xludf.DUMMYFUNCTION("""COMPUTED_VALUE"""),46058.75645945602)</f>
        <v>46058.75646</v>
      </c>
      <c r="B7" s="136" t="str">
        <f>IFERROR(__xludf.DUMMYFUNCTION("""COMPUTED_VALUE"""),"Emmett Khan")</f>
        <v>Emmett Khan</v>
      </c>
      <c r="C7" s="136" t="str">
        <f>IFERROR(__xludf.DUMMYFUNCTION("""COMPUTED_VALUE"""),"BF")</f>
        <v>BF</v>
      </c>
      <c r="D7" s="146">
        <f>IFERROR(__xludf.DUMMYFUNCTION("""COMPUTED_VALUE"""),46058.0)</f>
        <v>46058</v>
      </c>
      <c r="E7" s="136" t="str">
        <f t="shared" si="1"/>
        <v>Thursday</v>
      </c>
      <c r="F7" s="137">
        <f>IFERROR(__xludf.DUMMYFUNCTION("""COMPUTED_VALUE"""),0.7541666666656965)</f>
        <v>0.7541666667</v>
      </c>
      <c r="G7" s="106">
        <f>IFERROR(__xludf.DUMMYFUNCTION("""COMPUTED_VALUE"""),0.002777777779556345)</f>
        <v>0.00277777778</v>
      </c>
      <c r="H7" s="137">
        <f>IFERROR(__xludf.DUMMYFUNCTION("""COMPUTED_VALUE"""),0.7569444444452529)</f>
        <v>0.7569444444</v>
      </c>
      <c r="I7" s="159">
        <f t="shared" si="2"/>
        <v>7.499999995</v>
      </c>
      <c r="J7" s="136">
        <f>IFERROR(__xludf.DUMMYFUNCTION("""COMPUTED_VALUE"""),26.0)</f>
        <v>26</v>
      </c>
      <c r="K7" s="141">
        <f t="shared" si="3"/>
        <v>0.8666666667</v>
      </c>
      <c r="L7" s="136" t="s">
        <v>18</v>
      </c>
      <c r="O7" s="30" t="s">
        <v>18</v>
      </c>
      <c r="P7" s="164">
        <f t="shared" si="4"/>
        <v>3.602995795</v>
      </c>
    </row>
    <row r="8">
      <c r="A8" s="144">
        <f>IFERROR(__xludf.DUMMYFUNCTION("""COMPUTED_VALUE"""),46059.53197497685)</f>
        <v>46059.53197</v>
      </c>
      <c r="B8" s="136" t="str">
        <f>IFERROR(__xludf.DUMMYFUNCTION("""COMPUTED_VALUE"""),"Brynn Hornig")</f>
        <v>Brynn Hornig</v>
      </c>
      <c r="C8" s="136" t="str">
        <f>IFERROR(__xludf.DUMMYFUNCTION("""COMPUTED_VALUE"""),"BF")</f>
        <v>BF</v>
      </c>
      <c r="D8" s="146">
        <f>IFERROR(__xludf.DUMMYFUNCTION("""COMPUTED_VALUE"""),46059.0)</f>
        <v>46059</v>
      </c>
      <c r="E8" s="136" t="str">
        <f t="shared" si="1"/>
        <v>Friday</v>
      </c>
      <c r="F8" s="137">
        <f>IFERROR(__xludf.DUMMYFUNCTION("""COMPUTED_VALUE"""),0.5256944444408873)</f>
        <v>0.5256944444</v>
      </c>
      <c r="G8" s="106">
        <f>IFERROR(__xludf.DUMMYFUNCTION("""COMPUTED_VALUE"""),0.00555555555911269)</f>
        <v>0.005555555559</v>
      </c>
      <c r="H8" s="137">
        <f>IFERROR(__xludf.DUMMYFUNCTION("""COMPUTED_VALUE"""),0.53125)</f>
        <v>0.53125</v>
      </c>
      <c r="I8" s="159">
        <f t="shared" si="2"/>
        <v>3.749999998</v>
      </c>
      <c r="J8" s="136">
        <f>IFERROR(__xludf.DUMMYFUNCTION("""COMPUTED_VALUE"""),30.0)</f>
        <v>30</v>
      </c>
      <c r="K8" s="141">
        <f t="shared" si="3"/>
        <v>1</v>
      </c>
      <c r="L8" s="136" t="s">
        <v>15</v>
      </c>
    </row>
    <row r="9">
      <c r="A9" s="144">
        <f>IFERROR(__xludf.DUMMYFUNCTION("""COMPUTED_VALUE"""),46059.753169999996)</f>
        <v>46059.75317</v>
      </c>
      <c r="B9" s="136" t="str">
        <f>IFERROR(__xludf.DUMMYFUNCTION("""COMPUTED_VALUE"""),"Orpheus Wilson")</f>
        <v>Orpheus Wilson</v>
      </c>
      <c r="C9" s="136" t="str">
        <f>IFERROR(__xludf.DUMMYFUNCTION("""COMPUTED_VALUE"""),"MF")</f>
        <v>MF</v>
      </c>
      <c r="D9" s="146">
        <f>IFERROR(__xludf.DUMMYFUNCTION("""COMPUTED_VALUE"""),46059.0)</f>
        <v>46059</v>
      </c>
      <c r="E9" s="136" t="str">
        <f t="shared" si="1"/>
        <v>Friday</v>
      </c>
      <c r="F9" s="137">
        <f>IFERROR(__xludf.DUMMYFUNCTION("""COMPUTED_VALUE"""),0.7493055555532919)</f>
        <v>0.7493055556</v>
      </c>
      <c r="G9" s="106">
        <f>IFERROR(__xludf.DUMMYFUNCTION("""COMPUTED_VALUE"""),0.003472222226264421)</f>
        <v>0.003472222226</v>
      </c>
      <c r="H9" s="137">
        <f>IFERROR(__xludf.DUMMYFUNCTION("""COMPUTED_VALUE"""),0.7527777777795563)</f>
        <v>0.7527777778</v>
      </c>
      <c r="I9" s="159">
        <f t="shared" si="2"/>
        <v>5.999999993</v>
      </c>
      <c r="J9" s="136">
        <f>IFERROR(__xludf.DUMMYFUNCTION("""COMPUTED_VALUE"""),18.0)</f>
        <v>18</v>
      </c>
      <c r="K9" s="141">
        <f t="shared" si="3"/>
        <v>0.6</v>
      </c>
      <c r="L9" s="136" t="s">
        <v>18</v>
      </c>
    </row>
    <row r="10">
      <c r="A10" s="144">
        <f>IFERROR(__xludf.DUMMYFUNCTION("""COMPUTED_VALUE"""),46059.79056010417)</f>
        <v>46059.79056</v>
      </c>
      <c r="B10" s="136" t="str">
        <f>IFERROR(__xludf.DUMMYFUNCTION("""COMPUTED_VALUE"""),"Leah Bucci")</f>
        <v>Leah Bucci</v>
      </c>
      <c r="C10" s="136" t="str">
        <f>IFERROR(__xludf.DUMMYFUNCTION("""COMPUTED_VALUE"""),"MF")</f>
        <v>MF</v>
      </c>
      <c r="D10" s="146">
        <f>IFERROR(__xludf.DUMMYFUNCTION("""COMPUTED_VALUE"""),46059.0)</f>
        <v>46059</v>
      </c>
      <c r="E10" s="136" t="str">
        <f t="shared" si="1"/>
        <v>Friday</v>
      </c>
      <c r="F10" s="137">
        <f>IFERROR(__xludf.DUMMYFUNCTION("""COMPUTED_VALUE"""),0.7256944444452529)</f>
        <v>0.7256944444</v>
      </c>
      <c r="G10" s="106">
        <f>IFERROR(__xludf.DUMMYFUNCTION("""COMPUTED_VALUE"""),0.01736111110949423)</f>
        <v>0.01736111111</v>
      </c>
      <c r="H10" s="137">
        <f>IFERROR(__xludf.DUMMYFUNCTION("""COMPUTED_VALUE"""),0.7430555555547471)</f>
        <v>0.7430555556</v>
      </c>
      <c r="I10" s="159">
        <f t="shared" si="2"/>
        <v>1.2</v>
      </c>
      <c r="J10" s="136">
        <f>IFERROR(__xludf.DUMMYFUNCTION("""COMPUTED_VALUE"""),20.0)</f>
        <v>20</v>
      </c>
      <c r="K10" s="141">
        <f t="shared" si="3"/>
        <v>0.6666666667</v>
      </c>
      <c r="L10" s="136" t="s">
        <v>18</v>
      </c>
      <c r="N10" s="166" t="s">
        <v>136</v>
      </c>
      <c r="O10" s="167" t="s">
        <v>7</v>
      </c>
      <c r="P10" s="167" t="s">
        <v>115</v>
      </c>
      <c r="Q10" s="83"/>
      <c r="R10" s="83"/>
      <c r="S10" s="83"/>
      <c r="T10" s="83"/>
      <c r="U10" s="7"/>
    </row>
    <row r="11">
      <c r="A11" s="144">
        <f>IFERROR(__xludf.DUMMYFUNCTION("""COMPUTED_VALUE"""),46062.68045630787)</f>
        <v>46062.68046</v>
      </c>
      <c r="B11" s="136" t="str">
        <f>IFERROR(__xludf.DUMMYFUNCTION("""COMPUTED_VALUE"""),"Orpheus Wilson")</f>
        <v>Orpheus Wilson</v>
      </c>
      <c r="C11" s="136" t="str">
        <f>IFERROR(__xludf.DUMMYFUNCTION("""COMPUTED_VALUE"""),"MF")</f>
        <v>MF</v>
      </c>
      <c r="D11" s="146">
        <f>IFERROR(__xludf.DUMMYFUNCTION("""COMPUTED_VALUE"""),46062.0)</f>
        <v>46062</v>
      </c>
      <c r="E11" s="136" t="str">
        <f t="shared" si="1"/>
        <v>Monday</v>
      </c>
      <c r="F11" s="137">
        <f>IFERROR(__xludf.DUMMYFUNCTION("""COMPUTED_VALUE"""),0.6659722222248092)</f>
        <v>0.6659722222</v>
      </c>
      <c r="G11" s="106">
        <f>IFERROR(__xludf.DUMMYFUNCTION("""COMPUTED_VALUE"""),0.013888888890505768)</f>
        <v>0.01388888889</v>
      </c>
      <c r="H11" s="137">
        <f>IFERROR(__xludf.DUMMYFUNCTION("""COMPUTED_VALUE"""),0.679861111115315)</f>
        <v>0.6798611111</v>
      </c>
      <c r="I11" s="159">
        <f t="shared" si="2"/>
        <v>1.5</v>
      </c>
      <c r="J11" s="136">
        <f>IFERROR(__xludf.DUMMYFUNCTION("""COMPUTED_VALUE"""),19.0)</f>
        <v>19</v>
      </c>
      <c r="K11" s="141">
        <f t="shared" si="3"/>
        <v>0.6333333333</v>
      </c>
      <c r="L11" s="136" t="s">
        <v>18</v>
      </c>
      <c r="N11" s="168"/>
      <c r="O11" s="169"/>
      <c r="P11" s="170" t="s">
        <v>36</v>
      </c>
      <c r="Q11" s="171" t="s">
        <v>40</v>
      </c>
      <c r="R11" s="170" t="s">
        <v>44</v>
      </c>
      <c r="S11" s="171" t="s">
        <v>48</v>
      </c>
      <c r="T11" s="170" t="s">
        <v>52</v>
      </c>
      <c r="U11" s="172" t="s">
        <v>146</v>
      </c>
    </row>
    <row r="12">
      <c r="A12" s="144">
        <f>IFERROR(__xludf.DUMMYFUNCTION("""COMPUTED_VALUE"""),46062.75345667824)</f>
        <v>46062.75346</v>
      </c>
      <c r="B12" s="136" t="str">
        <f>IFERROR(__xludf.DUMMYFUNCTION("""COMPUTED_VALUE"""),"Maureen Surgot")</f>
        <v>Maureen Surgot</v>
      </c>
      <c r="C12" s="136" t="str">
        <f>IFERROR(__xludf.DUMMYFUNCTION("""COMPUTED_VALUE"""),"MF")</f>
        <v>MF</v>
      </c>
      <c r="D12" s="146">
        <f>IFERROR(__xludf.DUMMYFUNCTION("""COMPUTED_VALUE"""),46062.0)</f>
        <v>46062</v>
      </c>
      <c r="E12" s="136" t="str">
        <f t="shared" si="1"/>
        <v>Monday</v>
      </c>
      <c r="F12" s="137">
        <f>IFERROR(__xludf.DUMMYFUNCTION("""COMPUTED_VALUE"""),0.75)</f>
        <v>0.75</v>
      </c>
      <c r="G12" s="106">
        <f>IFERROR(__xludf.DUMMYFUNCTION("""COMPUTED_VALUE"""),0.002777777779556345)</f>
        <v>0.00277777778</v>
      </c>
      <c r="H12" s="137">
        <f>IFERROR(__xludf.DUMMYFUNCTION("""COMPUTED_VALUE"""),0.7527777777795563)</f>
        <v>0.7527777778</v>
      </c>
      <c r="I12" s="159">
        <f t="shared" si="2"/>
        <v>7.499999995</v>
      </c>
      <c r="J12" s="136">
        <f>IFERROR(__xludf.DUMMYFUNCTION("""COMPUTED_VALUE"""),30.0)</f>
        <v>30</v>
      </c>
      <c r="K12" s="141">
        <f t="shared" si="3"/>
        <v>1</v>
      </c>
      <c r="L12" s="136" t="s">
        <v>18</v>
      </c>
      <c r="N12" s="173" t="s">
        <v>147</v>
      </c>
      <c r="O12" s="174"/>
      <c r="P12" s="174"/>
      <c r="Q12" s="174"/>
      <c r="R12" s="174"/>
      <c r="S12" s="174"/>
      <c r="T12" s="174"/>
      <c r="U12" s="175"/>
    </row>
    <row r="13">
      <c r="A13" s="144">
        <f>IFERROR(__xludf.DUMMYFUNCTION("""COMPUTED_VALUE"""),46063.508809837964)</f>
        <v>46063.50881</v>
      </c>
      <c r="B13" s="136" t="str">
        <f>IFERROR(__xludf.DUMMYFUNCTION("""COMPUTED_VALUE"""),"Kaylie Forgue")</f>
        <v>Kaylie Forgue</v>
      </c>
      <c r="C13" s="136" t="str">
        <f>IFERROR(__xludf.DUMMYFUNCTION("""COMPUTED_VALUE"""),"BF")</f>
        <v>BF</v>
      </c>
      <c r="D13" s="146">
        <f>IFERROR(__xludf.DUMMYFUNCTION("""COMPUTED_VALUE"""),46063.0)</f>
        <v>46063</v>
      </c>
      <c r="E13" s="136" t="str">
        <f t="shared" si="1"/>
        <v>Tuesday</v>
      </c>
      <c r="F13" s="137">
        <f>IFERROR(__xludf.DUMMYFUNCTION("""COMPUTED_VALUE"""),0.4993055555532919)</f>
        <v>0.4993055556</v>
      </c>
      <c r="G13" s="106">
        <f>IFERROR(__xludf.DUMMYFUNCTION("""COMPUTED_VALUE"""),0.009027777778101154)</f>
        <v>0.009027777778</v>
      </c>
      <c r="H13" s="137">
        <f>IFERROR(__xludf.DUMMYFUNCTION("""COMPUTED_VALUE"""),0.5083333333313931)</f>
        <v>0.5083333333</v>
      </c>
      <c r="I13" s="159">
        <f t="shared" si="2"/>
        <v>2.307692308</v>
      </c>
      <c r="J13" s="136">
        <f>IFERROR(__xludf.DUMMYFUNCTION("""COMPUTED_VALUE"""),26.0)</f>
        <v>26</v>
      </c>
      <c r="K13" s="141">
        <f t="shared" si="3"/>
        <v>0.8666666667</v>
      </c>
      <c r="L13" s="136" t="s">
        <v>15</v>
      </c>
      <c r="N13" s="176" t="s">
        <v>148</v>
      </c>
      <c r="O13" s="177" t="s">
        <v>15</v>
      </c>
      <c r="P13" s="178">
        <f>iferror(AVERAGEIFS(I:I,L:L,O13,C:C,"MF",E:E,"Monday"),0)</f>
        <v>0</v>
      </c>
      <c r="Q13" s="179">
        <f t="shared" ref="Q13:Q14" si="5">AVERAGEIFS(I:I,L:L,O13,C:C,"MF",E:E,"Tuesday")</f>
        <v>3.289473685</v>
      </c>
      <c r="R13" s="180">
        <f t="shared" ref="R13:R14" si="6">AVERAGEIFS(I:I,L:L,O13,C:C,"MF",E:E,"Wednesday")</f>
        <v>3.168831171</v>
      </c>
      <c r="S13" s="179">
        <f t="shared" ref="S13:S14" si="7">AVERAGEIFS(I:I,L:L,O13,C:C,"MF",E:E,"Thursday")</f>
        <v>4.874999998</v>
      </c>
      <c r="T13" s="180">
        <f t="shared" ref="T13:T14" si="8">AVERAGEIFS(I:I,L:L,O13,C:C,"MF",E:E,"Friday")</f>
        <v>3.714285716</v>
      </c>
      <c r="U13" s="181">
        <f t="shared" ref="U13:U14" si="9">AVERAGEIFS(I:I,L:L,O13,C:C,"MF")</f>
        <v>3.697829802</v>
      </c>
    </row>
    <row r="14">
      <c r="A14" s="144">
        <f>IFERROR(__xludf.DUMMYFUNCTION("""COMPUTED_VALUE"""),46064.779868275466)</f>
        <v>46064.77987</v>
      </c>
      <c r="B14" s="136" t="str">
        <f>IFERROR(__xludf.DUMMYFUNCTION("""COMPUTED_VALUE"""),"Brynn Hornig")</f>
        <v>Brynn Hornig</v>
      </c>
      <c r="C14" s="136" t="str">
        <f>IFERROR(__xludf.DUMMYFUNCTION("""COMPUTED_VALUE"""),"MF")</f>
        <v>MF</v>
      </c>
      <c r="D14" s="146">
        <f>IFERROR(__xludf.DUMMYFUNCTION("""COMPUTED_VALUE"""),46064.0)</f>
        <v>46064</v>
      </c>
      <c r="E14" s="136" t="str">
        <f t="shared" si="1"/>
        <v>Wednesday</v>
      </c>
      <c r="F14" s="137">
        <f>IFERROR(__xludf.DUMMYFUNCTION("""COMPUTED_VALUE"""),0.773611111115315)</f>
        <v>0.7736111111</v>
      </c>
      <c r="G14" s="106">
        <f>IFERROR(__xludf.DUMMYFUNCTION("""COMPUTED_VALUE"""),0.005555555551836733)</f>
        <v>0.005555555552</v>
      </c>
      <c r="H14" s="137">
        <f>IFERROR(__xludf.DUMMYFUNCTION("""COMPUTED_VALUE"""),0.7791666666671517)</f>
        <v>0.7791666667</v>
      </c>
      <c r="I14" s="159">
        <f t="shared" si="2"/>
        <v>3.750000003</v>
      </c>
      <c r="J14" s="136">
        <f>IFERROR(__xludf.DUMMYFUNCTION("""COMPUTED_VALUE"""),28.0)</f>
        <v>28</v>
      </c>
      <c r="K14" s="141">
        <f t="shared" si="3"/>
        <v>0.9333333333</v>
      </c>
      <c r="L14" s="136" t="s">
        <v>18</v>
      </c>
      <c r="N14" s="182"/>
      <c r="O14" s="183" t="s">
        <v>18</v>
      </c>
      <c r="P14" s="178">
        <f>iferror(AVERAGEIFS(I:I,L:L,O14,C:C,"MF",E:E,"Monday"),"N/A")</f>
        <v>3.929698396</v>
      </c>
      <c r="Q14" s="179">
        <f t="shared" si="5"/>
        <v>4.708333333</v>
      </c>
      <c r="R14" s="180">
        <f t="shared" si="6"/>
        <v>2.82948533</v>
      </c>
      <c r="S14" s="179">
        <f t="shared" si="7"/>
        <v>3.118005952</v>
      </c>
      <c r="T14" s="180">
        <f t="shared" si="8"/>
        <v>3.252516231</v>
      </c>
      <c r="U14" s="181">
        <f t="shared" si="9"/>
        <v>3.572592045</v>
      </c>
    </row>
    <row r="15">
      <c r="A15" s="144">
        <f>IFERROR(__xludf.DUMMYFUNCTION("""COMPUTED_VALUE"""),46065.32183648148)</f>
        <v>46065.32184</v>
      </c>
      <c r="B15" s="136" t="str">
        <f>IFERROR(__xludf.DUMMYFUNCTION("""COMPUTED_VALUE"""),"Evan Morgan")</f>
        <v>Evan Morgan</v>
      </c>
      <c r="C15" s="136" t="str">
        <f>IFERROR(__xludf.DUMMYFUNCTION("""COMPUTED_VALUE"""),"BF")</f>
        <v>BF</v>
      </c>
      <c r="D15" s="146">
        <f>IFERROR(__xludf.DUMMYFUNCTION("""COMPUTED_VALUE"""),46065.0)</f>
        <v>46065</v>
      </c>
      <c r="E15" s="136" t="str">
        <f t="shared" si="1"/>
        <v>Thursday</v>
      </c>
      <c r="F15" s="137">
        <f>IFERROR(__xludf.DUMMYFUNCTION("""COMPUTED_VALUE"""),0.29166666666424135)</f>
        <v>0.2916666667</v>
      </c>
      <c r="G15" s="106">
        <f>IFERROR(__xludf.DUMMYFUNCTION("""COMPUTED_VALUE"""),0.027777777781011537)</f>
        <v>0.02777777778</v>
      </c>
      <c r="H15" s="137">
        <f>IFERROR(__xludf.DUMMYFUNCTION("""COMPUTED_VALUE"""),0.3194444444452529)</f>
        <v>0.3194444444</v>
      </c>
      <c r="I15" s="159">
        <f t="shared" si="2"/>
        <v>0.7499999999</v>
      </c>
      <c r="J15" s="136">
        <f>IFERROR(__xludf.DUMMYFUNCTION("""COMPUTED_VALUE"""),25.0)</f>
        <v>25</v>
      </c>
      <c r="K15" s="141">
        <f t="shared" si="3"/>
        <v>0.8333333333</v>
      </c>
      <c r="L15" s="136" t="s">
        <v>12</v>
      </c>
      <c r="N15" s="184" t="s">
        <v>149</v>
      </c>
      <c r="O15" s="185" t="s">
        <v>12</v>
      </c>
      <c r="P15" s="186">
        <f t="shared" ref="P15:P18" si="10">iferror(AVERAGEIFS(I:I,L:L,O15,C:C,"BF",E:E,"Monday"),"N/A")</f>
        <v>2.613636363</v>
      </c>
      <c r="Q15" s="187">
        <f>iferror(AVERAGEIFS(I:I,L:L,O15,C:C,"BF",E:E,"Tuesday"),0)</f>
        <v>0</v>
      </c>
      <c r="R15" s="188">
        <f t="shared" ref="R15:R18" si="11">iferror(AVERAGEIFS(I:I,L:L,O15,C:C,"BF",E:E,"Wednesday"),"N/A")</f>
        <v>1.599419868</v>
      </c>
      <c r="S15" s="187">
        <f t="shared" ref="S15:S18" si="12">iferror(AVERAGEIFS(I:I,L:L,O15,C:C,"BF",E:E,"Thursday"),"N/A")</f>
        <v>2.631954918</v>
      </c>
      <c r="T15" s="188">
        <f t="shared" ref="T15:T18" si="13">iferror(AVERAGEIFS(I:I,L:L,O15,C:C,"BF",E:E,"Friday"),"N/A")</f>
        <v>2.142857142</v>
      </c>
      <c r="U15" s="189">
        <f t="shared" ref="U15:U18" si="14">iferror(AVERAGEIFS(I:I,L:L,O15,C:C,"BF"),"N/A")</f>
        <v>2.219826017</v>
      </c>
    </row>
    <row r="16">
      <c r="A16" s="144">
        <f>IFERROR(__xludf.DUMMYFUNCTION("""COMPUTED_VALUE"""),46065.37695780092)</f>
        <v>46065.37696</v>
      </c>
      <c r="B16" s="136" t="str">
        <f>IFERROR(__xludf.DUMMYFUNCTION("""COMPUTED_VALUE"""),"Sophia Kluck")</f>
        <v>Sophia Kluck</v>
      </c>
      <c r="C16" s="136" t="str">
        <f>IFERROR(__xludf.DUMMYFUNCTION("""COMPUTED_VALUE"""),"BF")</f>
        <v>BF</v>
      </c>
      <c r="D16" s="146">
        <f>IFERROR(__xludf.DUMMYFUNCTION("""COMPUTED_VALUE"""),46065.0)</f>
        <v>46065</v>
      </c>
      <c r="E16" s="136" t="str">
        <f t="shared" si="1"/>
        <v>Thursday</v>
      </c>
      <c r="F16" s="137">
        <f>IFERROR(__xludf.DUMMYFUNCTION("""COMPUTED_VALUE"""),0.37083333333430346)</f>
        <v>0.3708333333</v>
      </c>
      <c r="G16" s="106">
        <f>IFERROR(__xludf.DUMMYFUNCTION("""COMPUTED_VALUE"""),0.00555555555911269)</f>
        <v>0.005555555559</v>
      </c>
      <c r="H16" s="137">
        <f>IFERROR(__xludf.DUMMYFUNCTION("""COMPUTED_VALUE"""),0.37638888889341615)</f>
        <v>0.3763888889</v>
      </c>
      <c r="I16" s="159">
        <f t="shared" si="2"/>
        <v>3.749999998</v>
      </c>
      <c r="J16" s="136">
        <f>IFERROR(__xludf.DUMMYFUNCTION("""COMPUTED_VALUE"""),28.0)</f>
        <v>28</v>
      </c>
      <c r="K16" s="141">
        <f t="shared" si="3"/>
        <v>0.9333333333</v>
      </c>
      <c r="L16" s="136" t="s">
        <v>12</v>
      </c>
      <c r="N16" s="182"/>
      <c r="O16" s="190" t="s">
        <v>134</v>
      </c>
      <c r="P16" s="191" t="str">
        <f t="shared" si="10"/>
        <v>N/A</v>
      </c>
      <c r="Q16" s="192" t="str">
        <f t="shared" ref="Q16:Q18" si="15">iferror(AVERAGEIFS(I:I,L:L,O16,C:C,"BF",E:E,"Tuesday"),"N/A")</f>
        <v>N/A</v>
      </c>
      <c r="R16" s="193">
        <f t="shared" si="11"/>
        <v>2.142857142</v>
      </c>
      <c r="S16" s="192" t="str">
        <f t="shared" si="12"/>
        <v>N/A</v>
      </c>
      <c r="T16" s="193" t="str">
        <f t="shared" si="13"/>
        <v>N/A</v>
      </c>
      <c r="U16" s="194">
        <f t="shared" si="14"/>
        <v>2.142857142</v>
      </c>
    </row>
    <row r="17">
      <c r="A17" s="144">
        <f>IFERROR(__xludf.DUMMYFUNCTION("""COMPUTED_VALUE"""),46065.51871505787)</f>
        <v>46065.51872</v>
      </c>
      <c r="B17" s="136" t="str">
        <f>IFERROR(__xludf.DUMMYFUNCTION("""COMPUTED_VALUE"""),"Kyra Turner")</f>
        <v>Kyra Turner</v>
      </c>
      <c r="C17" s="136" t="str">
        <f>IFERROR(__xludf.DUMMYFUNCTION("""COMPUTED_VALUE"""),"BF")</f>
        <v>BF</v>
      </c>
      <c r="D17" s="146">
        <f>IFERROR(__xludf.DUMMYFUNCTION("""COMPUTED_VALUE"""),46065.0)</f>
        <v>46065</v>
      </c>
      <c r="E17" s="136" t="str">
        <f t="shared" si="1"/>
        <v>Thursday</v>
      </c>
      <c r="F17" s="137">
        <f>IFERROR(__xludf.DUMMYFUNCTION("""COMPUTED_VALUE"""),0.5069444444452529)</f>
        <v>0.5069444444</v>
      </c>
      <c r="G17" s="106">
        <f>IFERROR(__xludf.DUMMYFUNCTION("""COMPUTED_VALUE"""),0.011111111110949423)</f>
        <v>0.01111111111</v>
      </c>
      <c r="H17" s="137">
        <f>IFERROR(__xludf.DUMMYFUNCTION("""COMPUTED_VALUE"""),0.5180555555562023)</f>
        <v>0.5180555556</v>
      </c>
      <c r="I17" s="159">
        <f t="shared" si="2"/>
        <v>1.875</v>
      </c>
      <c r="J17" s="136">
        <f>IFERROR(__xludf.DUMMYFUNCTION("""COMPUTED_VALUE"""),23.0)</f>
        <v>23</v>
      </c>
      <c r="K17" s="141">
        <f t="shared" si="3"/>
        <v>0.7666666667</v>
      </c>
      <c r="L17" s="136" t="s">
        <v>15</v>
      </c>
      <c r="N17" s="182"/>
      <c r="O17" s="177" t="s">
        <v>15</v>
      </c>
      <c r="P17" s="191">
        <f t="shared" si="10"/>
        <v>1.835664336</v>
      </c>
      <c r="Q17" s="192">
        <f t="shared" si="15"/>
        <v>2.653846154</v>
      </c>
      <c r="R17" s="193" t="str">
        <f t="shared" si="11"/>
        <v>N/A</v>
      </c>
      <c r="S17" s="192">
        <f t="shared" si="12"/>
        <v>3.06337933</v>
      </c>
      <c r="T17" s="193">
        <f t="shared" si="13"/>
        <v>2.589285713</v>
      </c>
      <c r="U17" s="194">
        <f t="shared" si="14"/>
        <v>2.75026085</v>
      </c>
    </row>
    <row r="18">
      <c r="A18" s="144">
        <f>IFERROR(__xludf.DUMMYFUNCTION("""COMPUTED_VALUE"""),46065.759634525464)</f>
        <v>46065.75963</v>
      </c>
      <c r="B18" s="136" t="str">
        <f>IFERROR(__xludf.DUMMYFUNCTION("""COMPUTED_VALUE"""),"Emmett Khan")</f>
        <v>Emmett Khan</v>
      </c>
      <c r="C18" s="136" t="str">
        <f>IFERROR(__xludf.DUMMYFUNCTION("""COMPUTED_VALUE"""),"MF")</f>
        <v>MF</v>
      </c>
      <c r="D18" s="146">
        <f>IFERROR(__xludf.DUMMYFUNCTION("""COMPUTED_VALUE"""),46065.0)</f>
        <v>46065</v>
      </c>
      <c r="E18" s="136" t="str">
        <f t="shared" si="1"/>
        <v>Thursday</v>
      </c>
      <c r="F18" s="137">
        <f>IFERROR(__xludf.DUMMYFUNCTION("""COMPUTED_VALUE"""),0.7534722222189885)</f>
        <v>0.7534722222</v>
      </c>
      <c r="G18" s="106">
        <f>IFERROR(__xludf.DUMMYFUNCTION("""COMPUTED_VALUE"""),0.00555555555911269)</f>
        <v>0.005555555559</v>
      </c>
      <c r="H18" s="137">
        <f>IFERROR(__xludf.DUMMYFUNCTION("""COMPUTED_VALUE"""),0.7590277777781012)</f>
        <v>0.7590277778</v>
      </c>
      <c r="I18" s="159">
        <f t="shared" si="2"/>
        <v>3.749999998</v>
      </c>
      <c r="J18" s="136">
        <f>IFERROR(__xludf.DUMMYFUNCTION("""COMPUTED_VALUE"""),25.0)</f>
        <v>25</v>
      </c>
      <c r="K18" s="141">
        <f t="shared" si="3"/>
        <v>0.8333333333</v>
      </c>
      <c r="L18" s="136" t="s">
        <v>18</v>
      </c>
      <c r="N18" s="182"/>
      <c r="O18" s="183" t="s">
        <v>18</v>
      </c>
      <c r="P18" s="191" t="str">
        <f t="shared" si="10"/>
        <v>N/A</v>
      </c>
      <c r="Q18" s="192">
        <f t="shared" si="15"/>
        <v>3.000000003</v>
      </c>
      <c r="R18" s="193">
        <f t="shared" si="11"/>
        <v>5.000000001</v>
      </c>
      <c r="S18" s="192">
        <f t="shared" si="12"/>
        <v>3.824786323</v>
      </c>
      <c r="T18" s="193" t="str">
        <f t="shared" si="13"/>
        <v>N/A</v>
      </c>
      <c r="U18" s="194">
        <f t="shared" si="14"/>
        <v>3.894871795</v>
      </c>
    </row>
    <row r="19">
      <c r="A19" s="144">
        <f>IFERROR(__xludf.DUMMYFUNCTION("""COMPUTED_VALUE"""),46066.71210606481)</f>
        <v>46066.71211</v>
      </c>
      <c r="B19" s="136" t="str">
        <f>IFERROR(__xludf.DUMMYFUNCTION("""COMPUTED_VALUE"""),"Leah Bucci")</f>
        <v>Leah Bucci</v>
      </c>
      <c r="C19" s="136" t="str">
        <f>IFERROR(__xludf.DUMMYFUNCTION("""COMPUTED_VALUE"""),"MF")</f>
        <v>MF</v>
      </c>
      <c r="D19" s="146">
        <f>IFERROR(__xludf.DUMMYFUNCTION("""COMPUTED_VALUE"""),46066.0)</f>
        <v>46066</v>
      </c>
      <c r="E19" s="136" t="str">
        <f t="shared" si="1"/>
        <v>Friday</v>
      </c>
      <c r="F19" s="137">
        <f>IFERROR(__xludf.DUMMYFUNCTION("""COMPUTED_VALUE"""),0.7041666666627862)</f>
        <v>0.7041666667</v>
      </c>
      <c r="G19" s="106">
        <f>IFERROR(__xludf.DUMMYFUNCTION("""COMPUTED_VALUE"""),0.00763888889196096)</f>
        <v>0.007638888892</v>
      </c>
      <c r="H19" s="137">
        <f>IFERROR(__xludf.DUMMYFUNCTION("""COMPUTED_VALUE"""),0.7118055555547471)</f>
        <v>0.7118055556</v>
      </c>
      <c r="I19" s="159">
        <f t="shared" si="2"/>
        <v>2.727272726</v>
      </c>
      <c r="J19" s="136">
        <f>IFERROR(__xludf.DUMMYFUNCTION("""COMPUTED_VALUE"""),15.0)</f>
        <v>15</v>
      </c>
      <c r="K19" s="141">
        <f t="shared" si="3"/>
        <v>0.5</v>
      </c>
      <c r="L19" s="136" t="s">
        <v>18</v>
      </c>
      <c r="N19" s="173" t="s">
        <v>150</v>
      </c>
      <c r="O19" s="174"/>
      <c r="P19" s="174"/>
      <c r="Q19" s="174"/>
      <c r="R19" s="174"/>
      <c r="S19" s="174"/>
      <c r="T19" s="174"/>
      <c r="U19" s="175"/>
    </row>
    <row r="20">
      <c r="A20" s="144">
        <f>IFERROR(__xludf.DUMMYFUNCTION("""COMPUTED_VALUE"""),46071.356526828706)</f>
        <v>46071.35653</v>
      </c>
      <c r="B20" s="136" t="str">
        <f>IFERROR(__xludf.DUMMYFUNCTION("""COMPUTED_VALUE"""),"Kaylie Forgue")</f>
        <v>Kaylie Forgue</v>
      </c>
      <c r="C20" s="136" t="str">
        <f>IFERROR(__xludf.DUMMYFUNCTION("""COMPUTED_VALUE"""),"BF")</f>
        <v>BF</v>
      </c>
      <c r="D20" s="146">
        <f>IFERROR(__xludf.DUMMYFUNCTION("""COMPUTED_VALUE"""),46071.0)</f>
        <v>46071</v>
      </c>
      <c r="E20" s="136" t="str">
        <f t="shared" si="1"/>
        <v>Wednesday</v>
      </c>
      <c r="F20" s="137">
        <f>IFERROR(__xludf.DUMMYFUNCTION("""COMPUTED_VALUE"""),0.3444444444467081)</f>
        <v>0.3444444444</v>
      </c>
      <c r="G20" s="106">
        <f>IFERROR(__xludf.DUMMYFUNCTION("""COMPUTED_VALUE"""),0.011805555550381541)</f>
        <v>0.01180555555</v>
      </c>
      <c r="H20" s="137">
        <f>IFERROR(__xludf.DUMMYFUNCTION("""COMPUTED_VALUE"""),0.3562499999970896)</f>
        <v>0.35625</v>
      </c>
      <c r="I20" s="159">
        <f t="shared" si="2"/>
        <v>1.764705883</v>
      </c>
      <c r="J20" s="136">
        <f>IFERROR(__xludf.DUMMYFUNCTION("""COMPUTED_VALUE"""),24.0)</f>
        <v>24</v>
      </c>
      <c r="K20" s="141">
        <f t="shared" si="3"/>
        <v>0.8</v>
      </c>
      <c r="L20" s="136" t="s">
        <v>12</v>
      </c>
      <c r="N20" s="176" t="s">
        <v>148</v>
      </c>
      <c r="O20" s="177" t="s">
        <v>15</v>
      </c>
      <c r="P20" s="178">
        <f>iferror(('Std Deviations'!AC32/(60*(AVERAGEIFS(I:I,L:L,O20,C:C,"MF",E:E,"Monday")))*10),0)</f>
        <v>0</v>
      </c>
      <c r="Q20" s="179">
        <f>iferror(10*('Std Deviations'!AC33/(60*(AVERAGEIFS(I:I,L:L,O20,C:C,"MF",E:E,"Tuesday")))),"N/A")</f>
        <v>4.441257876</v>
      </c>
      <c r="R20" s="180">
        <f>iferror(10*('Std Deviations'!AC34/(60*(AVERAGEIFS(I:I,L:L,O20,C:C,"MF",E:E,"Wednesday")))),"N/A")</f>
        <v>2.644376409</v>
      </c>
      <c r="S20" s="179">
        <f>iferror(10*('Std Deviations'!AC35/(60*(AVERAGEIFS(I:I,L:L,O20,C:C,"MF",E:E,"Thursday")))),"N/A")</f>
        <v>1.83423816</v>
      </c>
      <c r="T20" s="180">
        <f>iferror(10*('Std Deviations'!AC36/(60*(AVERAGEIFS(I:I,L:L,O20,C:C,"MF",E:E,"Friday")))),"N/A")</f>
        <v>2.21697825</v>
      </c>
      <c r="U20" s="181">
        <f>iferror(10*('Std Deviations'!AC31/(60*(AVERAGEIFS(I:I,L:L,O20,C:C,"MF")))),"N/A")</f>
        <v>2.822482641</v>
      </c>
    </row>
    <row r="21">
      <c r="A21" s="144">
        <f>IFERROR(__xludf.DUMMYFUNCTION("""COMPUTED_VALUE"""),46071.76558259259)</f>
        <v>46071.76558</v>
      </c>
      <c r="B21" s="136" t="str">
        <f>IFERROR(__xludf.DUMMYFUNCTION("""COMPUTED_VALUE"""),"Brynn Hornig")</f>
        <v>Brynn Hornig</v>
      </c>
      <c r="C21" s="136" t="str">
        <f>IFERROR(__xludf.DUMMYFUNCTION("""COMPUTED_VALUE"""),"MF")</f>
        <v>MF</v>
      </c>
      <c r="D21" s="146">
        <f>IFERROR(__xludf.DUMMYFUNCTION("""COMPUTED_VALUE"""),46071.0)</f>
        <v>46071</v>
      </c>
      <c r="E21" s="136" t="str">
        <f t="shared" si="1"/>
        <v>Wednesday</v>
      </c>
      <c r="F21" s="137">
        <f>IFERROR(__xludf.DUMMYFUNCTION("""COMPUTED_VALUE"""),0.7597222222248092)</f>
        <v>0.7597222222</v>
      </c>
      <c r="G21" s="106">
        <f>IFERROR(__xludf.DUMMYFUNCTION("""COMPUTED_VALUE"""),0.005555555551836733)</f>
        <v>0.005555555552</v>
      </c>
      <c r="H21" s="137">
        <f>IFERROR(__xludf.DUMMYFUNCTION("""COMPUTED_VALUE"""),0.765277777776646)</f>
        <v>0.7652777778</v>
      </c>
      <c r="I21" s="159">
        <f t="shared" si="2"/>
        <v>3.750000003</v>
      </c>
      <c r="J21" s="136">
        <f>IFERROR(__xludf.DUMMYFUNCTION("""COMPUTED_VALUE"""),30.0)</f>
        <v>30</v>
      </c>
      <c r="K21" s="141">
        <f t="shared" si="3"/>
        <v>1</v>
      </c>
      <c r="L21" s="136" t="s">
        <v>18</v>
      </c>
      <c r="N21" s="182"/>
      <c r="O21" s="183" t="s">
        <v>18</v>
      </c>
      <c r="P21" s="178">
        <f>iferror(10*('Std Deviations'!AC42/(60*(AVERAGEIFS(I:I,L:L,O21,C:C,"MF",E:E,"Monday")))),"N/A")</f>
        <v>2.372223501</v>
      </c>
      <c r="Q21" s="179">
        <f>iferror(10*('Std Deviations'!AC43/(60*(AVERAGEIFS(I:I,L:L,O21,C:C,"MF",E:E,"Tuesday")))),"N/A")</f>
        <v>1.64695293</v>
      </c>
      <c r="R21" s="180">
        <f>iferror(10*('Std Deviations'!AC44/(60*(AVERAGEIFS(I:I,L:L,O21,C:C,"MF",E:E,"Wednesday")))),"N/A")</f>
        <v>2.816145435</v>
      </c>
      <c r="S21" s="179">
        <f>iferror(10*('Std Deviations'!AC45/(60*(AVERAGEIFS(I:I,L:L,O21,C:C,"MF",E:E,"Thursday")))),"N/A")</f>
        <v>3.443185846</v>
      </c>
      <c r="T21" s="180">
        <f>iferror(10*('Std Deviations'!AC46/(60*(AVERAGEIFS(I:I,L:L,O21,C:C,"MF",E:E,"Friday")))),"N/A")</f>
        <v>3.55951723</v>
      </c>
      <c r="U21" s="181">
        <f>iferror(10*('Std Deviations'!AC41/(60*(AVERAGEIFS(I:I,L:L,O21,C:C,"MF")))),"N/A")</f>
        <v>2.687264779</v>
      </c>
    </row>
    <row r="22">
      <c r="A22" s="144">
        <f>IFERROR(__xludf.DUMMYFUNCTION("""COMPUTED_VALUE"""),46071.769558518514)</f>
        <v>46071.76956</v>
      </c>
      <c r="B22" s="136" t="str">
        <f>IFERROR(__xludf.DUMMYFUNCTION("""COMPUTED_VALUE"""),"Maureen Surgot")</f>
        <v>Maureen Surgot</v>
      </c>
      <c r="C22" s="136" t="str">
        <f>IFERROR(__xludf.DUMMYFUNCTION("""COMPUTED_VALUE"""),"BF")</f>
        <v>BF</v>
      </c>
      <c r="D22" s="146">
        <f>IFERROR(__xludf.DUMMYFUNCTION("""COMPUTED_VALUE"""),46071.0)</f>
        <v>46071</v>
      </c>
      <c r="E22" s="136" t="str">
        <f t="shared" si="1"/>
        <v>Wednesday</v>
      </c>
      <c r="F22" s="137">
        <f>IFERROR(__xludf.DUMMYFUNCTION("""COMPUTED_VALUE"""),0.7645833333372138)</f>
        <v>0.7645833333</v>
      </c>
      <c r="G22" s="106">
        <f>IFERROR(__xludf.DUMMYFUNCTION("""COMPUTED_VALUE"""),0.004166666665696539)</f>
        <v>0.004166666666</v>
      </c>
      <c r="H22" s="137">
        <f>IFERROR(__xludf.DUMMYFUNCTION("""COMPUTED_VALUE"""),0.7687500000029104)</f>
        <v>0.76875</v>
      </c>
      <c r="I22" s="159">
        <f t="shared" si="2"/>
        <v>5.000000001</v>
      </c>
      <c r="J22" s="136">
        <f>IFERROR(__xludf.DUMMYFUNCTION("""COMPUTED_VALUE"""),30.0)</f>
        <v>30</v>
      </c>
      <c r="K22" s="141">
        <f t="shared" si="3"/>
        <v>1</v>
      </c>
      <c r="L22" s="136" t="s">
        <v>18</v>
      </c>
      <c r="N22" s="184" t="s">
        <v>149</v>
      </c>
      <c r="O22" s="185" t="s">
        <v>12</v>
      </c>
      <c r="P22" s="186">
        <f>iferror(10*('Std Deviations'!AG22/(60*(AVERAGEIFS(I:I,L:L,O22,C:C,"BF",E:E,"Monday")))),"N/A")</f>
        <v>2.04909937</v>
      </c>
      <c r="Q22" s="187">
        <f>iferror(10*('Std Deviations'!AG23/(60*(AVERAGEIFS(I:I,L:L,O22,C:C,"BF",E:E,"Tuesday")))),0)</f>
        <v>0</v>
      </c>
      <c r="R22" s="188">
        <f>iferror(10*('Std Deviations'!AG24/(60*(AVERAGEIFS(I:I,L:L,O22,C:C,"BF",E:E,"Wednesday")))),"N/A")</f>
        <v>4.667424886</v>
      </c>
      <c r="S22" s="187">
        <f>iferror(10*('Std Deviations'!AG25/(60*(AVERAGEIFS(I:I,L:L,O22,C:C,"BF",E:E,"Thursday")))),"N/A")</f>
        <v>1.312806309</v>
      </c>
      <c r="T22" s="188">
        <f>iferror(10*('Std Deviations'!AG26/(60*(AVERAGEIFS(I:I,L:L,O22,C:C,"BF",E:E,"Friday")))),"N/A")</f>
        <v>3.329304228</v>
      </c>
      <c r="U22" s="189">
        <f>iferror(10*('Std Deviations'!AG21/(60*(AVERAGEIFS(I:I,L:L,O22,C:C,"BF")))),"N/A")</f>
        <v>2.731664033</v>
      </c>
    </row>
    <row r="23">
      <c r="A23" s="144">
        <f>IFERROR(__xludf.DUMMYFUNCTION("""COMPUTED_VALUE"""),46072.32526)</f>
        <v>46072.32526</v>
      </c>
      <c r="B23" s="136" t="str">
        <f>IFERROR(__xludf.DUMMYFUNCTION("""COMPUTED_VALUE"""),"Evan Morgan")</f>
        <v>Evan Morgan</v>
      </c>
      <c r="C23" s="136" t="str">
        <f>IFERROR(__xludf.DUMMYFUNCTION("""COMPUTED_VALUE"""),"BF")</f>
        <v>BF</v>
      </c>
      <c r="D23" s="146">
        <f>IFERROR(__xludf.DUMMYFUNCTION("""COMPUTED_VALUE"""),46072.0)</f>
        <v>46072</v>
      </c>
      <c r="E23" s="136" t="str">
        <f t="shared" si="1"/>
        <v>Thursday</v>
      </c>
      <c r="F23" s="137">
        <f>IFERROR(__xludf.DUMMYFUNCTION("""COMPUTED_VALUE"""),0.29166666666424135)</f>
        <v>0.2916666667</v>
      </c>
      <c r="G23" s="106">
        <f>IFERROR(__xludf.DUMMYFUNCTION("""COMPUTED_VALUE"""),0.03333333333284827)</f>
        <v>0.03333333333</v>
      </c>
      <c r="H23" s="137">
        <f>IFERROR(__xludf.DUMMYFUNCTION("""COMPUTED_VALUE"""),0.3249999999970896)</f>
        <v>0.325</v>
      </c>
      <c r="I23" s="159">
        <f t="shared" si="2"/>
        <v>0.625</v>
      </c>
      <c r="J23" s="136">
        <f>IFERROR(__xludf.DUMMYFUNCTION("""COMPUTED_VALUE"""),23.0)</f>
        <v>23</v>
      </c>
      <c r="K23" s="141">
        <f t="shared" si="3"/>
        <v>0.7666666667</v>
      </c>
      <c r="L23" s="136" t="s">
        <v>12</v>
      </c>
      <c r="N23" s="182"/>
      <c r="O23" s="190" t="s">
        <v>134</v>
      </c>
      <c r="P23" s="191" t="str">
        <f>iferror(10*((0.5*('Std Deviations'!AG22+'Std Deviations'!AG32))/(60*(AVERAGEIFS(I:I,L:L,O23,C:C,"BF",E:E,"Monday")))),"N/A")</f>
        <v>N/A</v>
      </c>
      <c r="Q23" s="192" t="str">
        <f>iferror(10*('Std Deviations'!AG24/(60*(AVERAGEIFS(I:I,L:L,O23,C:C,"BF",E:E,"Tuesday")))),"N/A")</f>
        <v>N/A</v>
      </c>
      <c r="R23" s="193">
        <f>iferror(10*((0.5*('Std Deviations'!AG24+'Std Deviations'!AG34))/(60*(AVERAGEIFS(I:I,L:L,O23,C:C,"BF",E:E,"Wednesday")))),"N/A")</f>
        <v>2.844398743</v>
      </c>
      <c r="S23" s="192" t="str">
        <f>iferror(10*(0.5*('Std Deviations'!AG25+'Std Deviations'!AG35)/(60*(AVERAGEIFS(I:I,L:L,O23,C:C,"BF",E:E,"Thursday")))),"N/A")</f>
        <v>N/A</v>
      </c>
      <c r="T23" s="193" t="str">
        <f>iferror(10*(0.5*('Std Deviations'!AG26+'Std Deviations'!AG36)/(60*(AVERAGEIFS(I:I,L:L,O23,C:C,"BF",E:E,"Friday")))),"N/A")</f>
        <v>N/A</v>
      </c>
      <c r="U23" s="194">
        <f>iferror(10*(0.5*('Std Deviations'!AG31+'Std Deviations'!AG21)/(60*(AVERAGEIFS(I:I,L:L,O23,C:C,"BF")))),"N/A")</f>
        <v>2.867468116</v>
      </c>
    </row>
    <row r="24">
      <c r="A24" s="144">
        <f>IFERROR(__xludf.DUMMYFUNCTION("""COMPUTED_VALUE"""),46072.38617064815)</f>
        <v>46072.38617</v>
      </c>
      <c r="B24" s="136" t="str">
        <f>IFERROR(__xludf.DUMMYFUNCTION("""COMPUTED_VALUE"""),"Sophia Kluck")</f>
        <v>Sophia Kluck</v>
      </c>
      <c r="C24" s="136" t="str">
        <f>IFERROR(__xludf.DUMMYFUNCTION("""COMPUTED_VALUE"""),"BF")</f>
        <v>BF</v>
      </c>
      <c r="D24" s="146">
        <f>IFERROR(__xludf.DUMMYFUNCTION("""COMPUTED_VALUE"""),46072.0)</f>
        <v>46072</v>
      </c>
      <c r="E24" s="136" t="str">
        <f t="shared" si="1"/>
        <v>Thursday</v>
      </c>
      <c r="F24" s="137">
        <f>IFERROR(__xludf.DUMMYFUNCTION("""COMPUTED_VALUE"""),0.382638888884685)</f>
        <v>0.3826388889</v>
      </c>
      <c r="G24" s="106">
        <f>IFERROR(__xludf.DUMMYFUNCTION("""COMPUTED_VALUE"""),0.003472222226264421)</f>
        <v>0.003472222226</v>
      </c>
      <c r="H24" s="137">
        <f>IFERROR(__xludf.DUMMYFUNCTION("""COMPUTED_VALUE"""),0.3861111111109494)</f>
        <v>0.3861111111</v>
      </c>
      <c r="I24" s="159">
        <f t="shared" si="2"/>
        <v>5.999999993</v>
      </c>
      <c r="J24" s="136">
        <f>IFERROR(__xludf.DUMMYFUNCTION("""COMPUTED_VALUE"""),26.0)</f>
        <v>26</v>
      </c>
      <c r="K24" s="141">
        <f t="shared" si="3"/>
        <v>0.8666666667</v>
      </c>
      <c r="L24" s="136" t="s">
        <v>12</v>
      </c>
      <c r="N24" s="182"/>
      <c r="O24" s="177" t="s">
        <v>15</v>
      </c>
      <c r="P24" s="191">
        <f>iferror(10*('Std Deviations'!AG32/(60*(AVERAGEIFS(I:I,L:L,O24,C:C,"BF",E:E,"Monday")))),"N/A")</f>
        <v>3.324678998</v>
      </c>
      <c r="Q24" s="192">
        <f>iferror(10*('Std Deviations'!AG33/(60*(AVERAGEIFS(I:I,L:L,O24,C:C,"BF",E:E,"Tuesday")))),"N/A")</f>
        <v>2.301887016</v>
      </c>
      <c r="R24" s="193" t="str">
        <f>iferror(10*('Std Deviations'!AG34/(60*(AVERAGEIFS(I:I,L:L,O24,C:C,"BF",E:E,"Wednesday")))),"N/A")</f>
        <v>N/A</v>
      </c>
      <c r="S24" s="192">
        <f>iferror(10*('Std Deviations'!AG35/(60*(AVERAGEIFS(I:I,L:L,O24,C:C,"BF",E:E,"Thursday")))),"N/A")</f>
        <v>2.737885797</v>
      </c>
      <c r="T24" s="193">
        <f>iferror(10*('Std Deviations'!AG36/(60*(AVERAGEIFS(I:I,L:L,O24,C:C,"BF",E:E,"Friday")))),"N/A")</f>
        <v>1.878738814</v>
      </c>
      <c r="U24" s="194">
        <f>iferror(10*('Std Deviations'!AG31/(60*(AVERAGEIFS(I:I,L:L,O24,C:C,"BF")))),"N/A")</f>
        <v>2.263541719</v>
      </c>
    </row>
    <row r="25">
      <c r="A25" s="144">
        <f>IFERROR(__xludf.DUMMYFUNCTION("""COMPUTED_VALUE"""),46072.5296640625)</f>
        <v>46072.52966</v>
      </c>
      <c r="B25" s="136" t="str">
        <f>IFERROR(__xludf.DUMMYFUNCTION("""COMPUTED_VALUE"""),"Kyra Turner")</f>
        <v>Kyra Turner</v>
      </c>
      <c r="C25" s="136" t="str">
        <f>IFERROR(__xludf.DUMMYFUNCTION("""COMPUTED_VALUE"""),"BF")</f>
        <v>BF</v>
      </c>
      <c r="D25" s="146">
        <f>IFERROR(__xludf.DUMMYFUNCTION("""COMPUTED_VALUE"""),46072.0)</f>
        <v>46072</v>
      </c>
      <c r="E25" s="136" t="str">
        <f t="shared" si="1"/>
        <v>Thursday</v>
      </c>
      <c r="F25" s="137">
        <f>IFERROR(__xludf.DUMMYFUNCTION("""COMPUTED_VALUE"""),0.523611111115315)</f>
        <v>0.5236111111</v>
      </c>
      <c r="G25" s="106">
        <f>IFERROR(__xludf.DUMMYFUNCTION("""COMPUTED_VALUE"""),0.004861111105128657)</f>
        <v>0.004861111105</v>
      </c>
      <c r="H25" s="137">
        <f>IFERROR(__xludf.DUMMYFUNCTION("""COMPUTED_VALUE"""),0.5284722222204437)</f>
        <v>0.5284722222</v>
      </c>
      <c r="I25" s="159">
        <f t="shared" si="2"/>
        <v>4.285714291</v>
      </c>
      <c r="J25" s="136">
        <f>IFERROR(__xludf.DUMMYFUNCTION("""COMPUTED_VALUE"""),26.0)</f>
        <v>26</v>
      </c>
      <c r="K25" s="141">
        <f t="shared" si="3"/>
        <v>0.8666666667</v>
      </c>
      <c r="L25" s="136" t="s">
        <v>15</v>
      </c>
      <c r="N25" s="195"/>
      <c r="O25" s="196" t="s">
        <v>18</v>
      </c>
      <c r="P25" s="197" t="str">
        <f>iferror(10*('Std Deviations'!AG42/(60*(AVERAGEIFS(I:I,L:L,O25,C:C,"BF",E:E,"Monday")))),"N/A")</f>
        <v>N/A</v>
      </c>
      <c r="Q25" s="198">
        <f>iferror(10*('Std Deviations'!AG43/(60*(AVERAGEIFS(I:I,L:L,O25,C:C,"BF",E:E,"Tuesday")))),"N/A")</f>
        <v>2.643874534</v>
      </c>
      <c r="R25" s="199">
        <f>iferror(10*('Std Deviations'!AG44/(60*(AVERAGEIFS(I:I,L:L,O25,C:C,"BF",E:E,"Wednesday")))),"N/A")</f>
        <v>1.481060606</v>
      </c>
      <c r="S25" s="198">
        <f>iferror(10*('Std Deviations'!AG45/(60*(AVERAGEIFS(I:I,L:L,O25,C:C,"BF",E:E,"Thursday")))),"N/A")</f>
        <v>2.494927202</v>
      </c>
      <c r="T25" s="199" t="str">
        <f>iferror(10*('Std Deviations'!AG46/(60*(AVERAGEIFS(I:I,L:L,O25,C:C,"BF",E:E,"Friday")))),"N/A")</f>
        <v>N/A</v>
      </c>
      <c r="U25" s="200">
        <f>iferror(10*('Std Deviations'!AG41/(60*(AVERAGEIFS(I:I,L:L,O25,C:C,"BF")))),"N/A")</f>
        <v>2.060374866</v>
      </c>
    </row>
    <row r="26">
      <c r="A26" s="144">
        <f>IFERROR(__xludf.DUMMYFUNCTION("""COMPUTED_VALUE"""),46073.69454740741)</f>
        <v>46073.69455</v>
      </c>
      <c r="B26" s="136" t="str">
        <f>IFERROR(__xludf.DUMMYFUNCTION("""COMPUTED_VALUE"""),"Leah Bucci")</f>
        <v>Leah Bucci</v>
      </c>
      <c r="C26" s="136" t="str">
        <f>IFERROR(__xludf.DUMMYFUNCTION("""COMPUTED_VALUE"""),"MF")</f>
        <v>MF</v>
      </c>
      <c r="D26" s="146">
        <f>IFERROR(__xludf.DUMMYFUNCTION("""COMPUTED_VALUE"""),46073.0)</f>
        <v>46073</v>
      </c>
      <c r="E26" s="136" t="str">
        <f t="shared" si="1"/>
        <v>Friday</v>
      </c>
      <c r="F26" s="137">
        <f>IFERROR(__xludf.DUMMYFUNCTION("""COMPUTED_VALUE"""),0.6847222222204437)</f>
        <v>0.6847222222</v>
      </c>
      <c r="G26" s="106">
        <f>IFERROR(__xludf.DUMMYFUNCTION("""COMPUTED_VALUE"""),0.00972222222480923)</f>
        <v>0.009722222225</v>
      </c>
      <c r="H26" s="137">
        <f>IFERROR(__xludf.DUMMYFUNCTION("""COMPUTED_VALUE"""),0.6944444444452529)</f>
        <v>0.6944444444</v>
      </c>
      <c r="I26" s="159">
        <f t="shared" si="2"/>
        <v>2.142857142</v>
      </c>
      <c r="J26" s="136">
        <f>IFERROR(__xludf.DUMMYFUNCTION("""COMPUTED_VALUE"""),19.0)</f>
        <v>19</v>
      </c>
      <c r="K26" s="141">
        <f t="shared" si="3"/>
        <v>0.6333333333</v>
      </c>
      <c r="L26" s="136" t="s">
        <v>18</v>
      </c>
    </row>
    <row r="27">
      <c r="A27" s="144">
        <f>IFERROR(__xludf.DUMMYFUNCTION("""COMPUTED_VALUE"""),46073.76017541667)</f>
        <v>46073.76018</v>
      </c>
      <c r="B27" s="136" t="str">
        <f>IFERROR(__xludf.DUMMYFUNCTION("""COMPUTED_VALUE"""),"Orpheus Wilson")</f>
        <v>Orpheus Wilson</v>
      </c>
      <c r="C27" s="136" t="str">
        <f>IFERROR(__xludf.DUMMYFUNCTION("""COMPUTED_VALUE"""),"MF")</f>
        <v>MF</v>
      </c>
      <c r="D27" s="146">
        <f>IFERROR(__xludf.DUMMYFUNCTION("""COMPUTED_VALUE"""),46073.0)</f>
        <v>46073</v>
      </c>
      <c r="E27" s="136" t="str">
        <f t="shared" si="1"/>
        <v>Friday</v>
      </c>
      <c r="F27" s="137">
        <f>IFERROR(__xludf.DUMMYFUNCTION("""COMPUTED_VALUE"""),0.7562499999985448)</f>
        <v>0.75625</v>
      </c>
      <c r="G27" s="106">
        <f>IFERROR(__xludf.DUMMYFUNCTION("""COMPUTED_VALUE"""),0.003472222226264421)</f>
        <v>0.003472222226</v>
      </c>
      <c r="H27" s="137">
        <f>IFERROR(__xludf.DUMMYFUNCTION("""COMPUTED_VALUE"""),0.7597222222248092)</f>
        <v>0.7597222222</v>
      </c>
      <c r="I27" s="159">
        <f t="shared" si="2"/>
        <v>5.999999993</v>
      </c>
      <c r="J27" s="136">
        <f>IFERROR(__xludf.DUMMYFUNCTION("""COMPUTED_VALUE"""),21.0)</f>
        <v>21</v>
      </c>
      <c r="K27" s="141">
        <f t="shared" si="3"/>
        <v>0.7</v>
      </c>
      <c r="L27" s="136" t="s">
        <v>18</v>
      </c>
    </row>
    <row r="28">
      <c r="A28" s="144">
        <f>IFERROR(__xludf.DUMMYFUNCTION("""COMPUTED_VALUE"""),46079.51280363426)</f>
        <v>46079.5128</v>
      </c>
      <c r="B28" s="136" t="str">
        <f>IFERROR(__xludf.DUMMYFUNCTION("""COMPUTED_VALUE"""),"Emmett Khan")</f>
        <v>Emmett Khan</v>
      </c>
      <c r="C28" s="136" t="str">
        <f>IFERROR(__xludf.DUMMYFUNCTION("""COMPUTED_VALUE"""),"MF")</f>
        <v>MF</v>
      </c>
      <c r="D28" s="146">
        <f>IFERROR(__xludf.DUMMYFUNCTION("""COMPUTED_VALUE"""),46079.0)</f>
        <v>46079</v>
      </c>
      <c r="E28" s="136" t="str">
        <f t="shared" si="1"/>
        <v>Thursday</v>
      </c>
      <c r="F28" s="137">
        <f>IFERROR(__xludf.DUMMYFUNCTION("""COMPUTED_VALUE"""),0.5069444444452529)</f>
        <v>0.5069444444</v>
      </c>
      <c r="G28" s="106">
        <f>IFERROR(__xludf.DUMMYFUNCTION("""COMPUTED_VALUE"""),0.005555555551836733)</f>
        <v>0.005555555552</v>
      </c>
      <c r="H28" s="137">
        <f>IFERROR(__xludf.DUMMYFUNCTION("""COMPUTED_VALUE"""),0.5124999999970896)</f>
        <v>0.5125</v>
      </c>
      <c r="I28" s="159">
        <f t="shared" si="2"/>
        <v>3.750000003</v>
      </c>
      <c r="J28" s="136">
        <f>IFERROR(__xludf.DUMMYFUNCTION("""COMPUTED_VALUE"""),26.0)</f>
        <v>26</v>
      </c>
      <c r="K28" s="141">
        <f t="shared" si="3"/>
        <v>0.8666666667</v>
      </c>
      <c r="L28" s="136" t="s">
        <v>15</v>
      </c>
    </row>
    <row r="29">
      <c r="A29" s="144">
        <f>IFERROR(__xludf.DUMMYFUNCTION("""COMPUTED_VALUE"""),46079.74893244213)</f>
        <v>46079.74893</v>
      </c>
      <c r="B29" s="136" t="str">
        <f>IFERROR(__xludf.DUMMYFUNCTION("""COMPUTED_VALUE"""),"Brynn Hornig")</f>
        <v>Brynn Hornig</v>
      </c>
      <c r="C29" s="136" t="str">
        <f>IFERROR(__xludf.DUMMYFUNCTION("""COMPUTED_VALUE"""),"MF")</f>
        <v>MF</v>
      </c>
      <c r="D29" s="146">
        <f>IFERROR(__xludf.DUMMYFUNCTION("""COMPUTED_VALUE"""),46079.0)</f>
        <v>46079</v>
      </c>
      <c r="E29" s="136" t="str">
        <f t="shared" si="1"/>
        <v>Thursday</v>
      </c>
      <c r="F29" s="137">
        <f>IFERROR(__xludf.DUMMYFUNCTION("""COMPUTED_VALUE"""),0.7312499999970896)</f>
        <v>0.73125</v>
      </c>
      <c r="G29" s="106">
        <f>IFERROR(__xludf.DUMMYFUNCTION("""COMPUTED_VALUE"""),0.01736111110949423)</f>
        <v>0.01736111111</v>
      </c>
      <c r="H29" s="137">
        <f>IFERROR(__xludf.DUMMYFUNCTION("""COMPUTED_VALUE"""),0.7486111111065838)</f>
        <v>0.7486111111</v>
      </c>
      <c r="I29" s="159">
        <f t="shared" si="2"/>
        <v>1.2</v>
      </c>
      <c r="J29" s="136">
        <f>IFERROR(__xludf.DUMMYFUNCTION("""COMPUTED_VALUE"""),30.0)</f>
        <v>30</v>
      </c>
      <c r="K29" s="141">
        <f t="shared" si="3"/>
        <v>1</v>
      </c>
      <c r="L29" s="136" t="s">
        <v>18</v>
      </c>
    </row>
    <row r="30">
      <c r="A30" s="144">
        <f>IFERROR(__xludf.DUMMYFUNCTION("""COMPUTED_VALUE"""),46080.39338196759)</f>
        <v>46080.39338</v>
      </c>
      <c r="B30" s="136" t="str">
        <f>IFERROR(__xludf.DUMMYFUNCTION("""COMPUTED_VALUE"""),"Kaylie Forgue")</f>
        <v>Kaylie Forgue</v>
      </c>
      <c r="C30" s="136" t="str">
        <f>IFERROR(__xludf.DUMMYFUNCTION("""COMPUTED_VALUE"""),"BF")</f>
        <v>BF</v>
      </c>
      <c r="D30" s="146">
        <f>IFERROR(__xludf.DUMMYFUNCTION("""COMPUTED_VALUE"""),46080.0)</f>
        <v>46080</v>
      </c>
      <c r="E30" s="136" t="str">
        <f t="shared" si="1"/>
        <v>Friday</v>
      </c>
      <c r="F30" s="137">
        <f>IFERROR(__xludf.DUMMYFUNCTION("""COMPUTED_VALUE"""),0.3833333333313931)</f>
        <v>0.3833333333</v>
      </c>
      <c r="G30" s="106">
        <f>IFERROR(__xludf.DUMMYFUNCTION("""COMPUTED_VALUE"""),0.00972222222480923)</f>
        <v>0.009722222225</v>
      </c>
      <c r="H30" s="137">
        <f>IFERROR(__xludf.DUMMYFUNCTION("""COMPUTED_VALUE"""),0.3930555555562023)</f>
        <v>0.3930555556</v>
      </c>
      <c r="I30" s="159">
        <f t="shared" si="2"/>
        <v>2.142857142</v>
      </c>
      <c r="J30" s="136">
        <f>IFERROR(__xludf.DUMMYFUNCTION("""COMPUTED_VALUE"""),25.0)</f>
        <v>25</v>
      </c>
      <c r="K30" s="141">
        <f t="shared" si="3"/>
        <v>0.8333333333</v>
      </c>
      <c r="L30" s="136" t="s">
        <v>12</v>
      </c>
    </row>
    <row r="31">
      <c r="A31" s="144">
        <f>IFERROR(__xludf.DUMMYFUNCTION("""COMPUTED_VALUE"""),46080.71242295139)</f>
        <v>46080.71242</v>
      </c>
      <c r="B31" s="136" t="str">
        <f>IFERROR(__xludf.DUMMYFUNCTION("""COMPUTED_VALUE"""),"Leah Bucci")</f>
        <v>Leah Bucci</v>
      </c>
      <c r="C31" s="136" t="str">
        <f>IFERROR(__xludf.DUMMYFUNCTION("""COMPUTED_VALUE"""),"MF")</f>
        <v>MF</v>
      </c>
      <c r="D31" s="146">
        <f>IFERROR(__xludf.DUMMYFUNCTION("""COMPUTED_VALUE"""),46080.0)</f>
        <v>46080</v>
      </c>
      <c r="E31" s="136" t="str">
        <f t="shared" si="1"/>
        <v>Friday</v>
      </c>
      <c r="F31" s="137">
        <f>IFERROR(__xludf.DUMMYFUNCTION("""COMPUTED_VALUE"""),0.7048611111094942)</f>
        <v>0.7048611111</v>
      </c>
      <c r="G31" s="106">
        <f>IFERROR(__xludf.DUMMYFUNCTION("""COMPUTED_VALUE"""),0.006944444445252884)</f>
        <v>0.006944444445</v>
      </c>
      <c r="H31" s="137">
        <f>IFERROR(__xludf.DUMMYFUNCTION("""COMPUTED_VALUE"""),0.7118055555547471)</f>
        <v>0.7118055556</v>
      </c>
      <c r="I31" s="159">
        <f t="shared" si="2"/>
        <v>3</v>
      </c>
      <c r="J31" s="136">
        <f>IFERROR(__xludf.DUMMYFUNCTION("""COMPUTED_VALUE"""),20.0)</f>
        <v>20</v>
      </c>
      <c r="K31" s="141">
        <f t="shared" si="3"/>
        <v>0.6666666667</v>
      </c>
      <c r="L31" s="136" t="s">
        <v>18</v>
      </c>
    </row>
    <row r="32">
      <c r="A32" s="144">
        <f>IFERROR(__xludf.DUMMYFUNCTION("""COMPUTED_VALUE"""),46083.68573619213)</f>
        <v>46083.68574</v>
      </c>
      <c r="B32" s="136" t="str">
        <f>IFERROR(__xludf.DUMMYFUNCTION("""COMPUTED_VALUE"""),"Orpheus Wilson")</f>
        <v>Orpheus Wilson</v>
      </c>
      <c r="C32" s="136" t="str">
        <f>IFERROR(__xludf.DUMMYFUNCTION("""COMPUTED_VALUE"""),"MF")</f>
        <v>MF</v>
      </c>
      <c r="D32" s="146">
        <f>IFERROR(__xludf.DUMMYFUNCTION("""COMPUTED_VALUE"""),46083.0)</f>
        <v>46083</v>
      </c>
      <c r="E32" s="136" t="str">
        <f t="shared" si="1"/>
        <v>Monday</v>
      </c>
      <c r="F32" s="137">
        <f>IFERROR(__xludf.DUMMYFUNCTION("""COMPUTED_VALUE"""),0.672222222223354)</f>
        <v>0.6722222222</v>
      </c>
      <c r="G32" s="106">
        <f>IFERROR(__xludf.DUMMYFUNCTION("""COMPUTED_VALUE"""),0.013194444443797693)</f>
        <v>0.01319444444</v>
      </c>
      <c r="H32" s="137">
        <f>IFERROR(__xludf.DUMMYFUNCTION("""COMPUTED_VALUE"""),0.6854166666671517)</f>
        <v>0.6854166667</v>
      </c>
      <c r="I32" s="159">
        <f t="shared" si="2"/>
        <v>1.578947368</v>
      </c>
      <c r="J32" s="136">
        <f>IFERROR(__xludf.DUMMYFUNCTION("""COMPUTED_VALUE"""),26.0)</f>
        <v>26</v>
      </c>
      <c r="K32" s="141">
        <f t="shared" si="3"/>
        <v>0.8666666667</v>
      </c>
      <c r="L32" s="136" t="s">
        <v>18</v>
      </c>
    </row>
    <row r="33">
      <c r="A33" s="144">
        <f>IFERROR(__xludf.DUMMYFUNCTION("""COMPUTED_VALUE"""),46083.75088179398)</f>
        <v>46083.75088</v>
      </c>
      <c r="B33" s="136" t="str">
        <f>IFERROR(__xludf.DUMMYFUNCTION("""COMPUTED_VALUE"""),"Maureen Surgot")</f>
        <v>Maureen Surgot</v>
      </c>
      <c r="C33" s="136" t="str">
        <f>IFERROR(__xludf.DUMMYFUNCTION("""COMPUTED_VALUE"""),"MF")</f>
        <v>MF</v>
      </c>
      <c r="D33" s="146">
        <f>IFERROR(__xludf.DUMMYFUNCTION("""COMPUTED_VALUE"""),46083.0)</f>
        <v>46083</v>
      </c>
      <c r="E33" s="136" t="str">
        <f t="shared" si="1"/>
        <v>Monday</v>
      </c>
      <c r="F33" s="137">
        <f>IFERROR(__xludf.DUMMYFUNCTION("""COMPUTED_VALUE"""),0.7479166666671517)</f>
        <v>0.7479166667</v>
      </c>
      <c r="G33" s="106">
        <f>IFERROR(__xludf.DUMMYFUNCTION("""COMPUTED_VALUE"""),0.002777777779556345)</f>
        <v>0.00277777778</v>
      </c>
      <c r="H33" s="137">
        <f>IFERROR(__xludf.DUMMYFUNCTION("""COMPUTED_VALUE"""),0.7506944444467081)</f>
        <v>0.7506944444</v>
      </c>
      <c r="I33" s="159">
        <f t="shared" si="2"/>
        <v>7.499999995</v>
      </c>
      <c r="J33" s="136">
        <f>IFERROR(__xludf.DUMMYFUNCTION("""COMPUTED_VALUE"""),30.0)</f>
        <v>30</v>
      </c>
      <c r="K33" s="141">
        <f t="shared" si="3"/>
        <v>1</v>
      </c>
      <c r="L33" s="136" t="s">
        <v>18</v>
      </c>
    </row>
    <row r="34">
      <c r="A34" s="144">
        <f>IFERROR(__xludf.DUMMYFUNCTION("""COMPUTED_VALUE"""),46084.46644921297)</f>
        <v>46084.46645</v>
      </c>
      <c r="B34" s="136" t="str">
        <f>IFERROR(__xludf.DUMMYFUNCTION("""COMPUTED_VALUE"""),"Kaylie Forgue")</f>
        <v>Kaylie Forgue</v>
      </c>
      <c r="C34" s="136" t="str">
        <f>IFERROR(__xludf.DUMMYFUNCTION("""COMPUTED_VALUE"""),"BF")</f>
        <v>BF</v>
      </c>
      <c r="D34" s="146">
        <f>IFERROR(__xludf.DUMMYFUNCTION("""COMPUTED_VALUE"""),46084.0)</f>
        <v>46084</v>
      </c>
      <c r="E34" s="136" t="str">
        <f t="shared" si="1"/>
        <v>Tuesday</v>
      </c>
      <c r="F34" s="137">
        <f>IFERROR(__xludf.DUMMYFUNCTION("""COMPUTED_VALUE"""),0.45902777777519077)</f>
        <v>0.4590277778</v>
      </c>
      <c r="G34" s="106">
        <f>IFERROR(__xludf.DUMMYFUNCTION("""COMPUTED_VALUE"""),0.006944444445252884)</f>
        <v>0.006944444445</v>
      </c>
      <c r="H34" s="137">
        <f>IFERROR(__xludf.DUMMYFUNCTION("""COMPUTED_VALUE"""),0.46597222222044365)</f>
        <v>0.4659722222</v>
      </c>
      <c r="I34" s="159">
        <f t="shared" si="2"/>
        <v>3</v>
      </c>
      <c r="J34" s="136">
        <f>IFERROR(__xludf.DUMMYFUNCTION("""COMPUTED_VALUE"""),24.0)</f>
        <v>24</v>
      </c>
      <c r="K34" s="141">
        <f t="shared" si="3"/>
        <v>0.8</v>
      </c>
      <c r="L34" s="136" t="s">
        <v>15</v>
      </c>
    </row>
    <row r="35">
      <c r="A35" s="144">
        <f>IFERROR(__xludf.DUMMYFUNCTION("""COMPUTED_VALUE"""),46084.49652721065)</f>
        <v>46084.49653</v>
      </c>
      <c r="B35" s="136" t="str">
        <f>IFERROR(__xludf.DUMMYFUNCTION("""COMPUTED_VALUE"""),"Kyra Turner")</f>
        <v>Kyra Turner</v>
      </c>
      <c r="C35" s="136" t="str">
        <f>IFERROR(__xludf.DUMMYFUNCTION("""COMPUTED_VALUE"""),"MF")</f>
        <v>MF</v>
      </c>
      <c r="D35" s="146">
        <f>IFERROR(__xludf.DUMMYFUNCTION("""COMPUTED_VALUE"""),46084.0)</f>
        <v>46084</v>
      </c>
      <c r="E35" s="136" t="str">
        <f t="shared" si="1"/>
        <v>Tuesday</v>
      </c>
      <c r="F35" s="137">
        <f>IFERROR(__xludf.DUMMYFUNCTION("""COMPUTED_VALUE"""),0.48263888889050577)</f>
        <v>0.4826388889</v>
      </c>
      <c r="G35" s="106">
        <f>IFERROR(__xludf.DUMMYFUNCTION("""COMPUTED_VALUE"""),0.013194444443797693)</f>
        <v>0.01319444444</v>
      </c>
      <c r="H35" s="137">
        <f>IFERROR(__xludf.DUMMYFUNCTION("""COMPUTED_VALUE"""),0.49583333333430346)</f>
        <v>0.4958333333</v>
      </c>
      <c r="I35" s="159">
        <f t="shared" si="2"/>
        <v>1.578947368</v>
      </c>
      <c r="J35" s="136">
        <f>IFERROR(__xludf.DUMMYFUNCTION("""COMPUTED_VALUE"""),24.0)</f>
        <v>24</v>
      </c>
      <c r="K35" s="141">
        <f t="shared" si="3"/>
        <v>0.8</v>
      </c>
      <c r="L35" s="136" t="s">
        <v>15</v>
      </c>
    </row>
    <row r="36">
      <c r="A36" s="144">
        <f>IFERROR(__xludf.DUMMYFUNCTION("""COMPUTED_VALUE"""),46084.821576145834)</f>
        <v>46084.82158</v>
      </c>
      <c r="B36" s="136" t="str">
        <f>IFERROR(__xludf.DUMMYFUNCTION("""COMPUTED_VALUE"""),"Laila Maisuria")</f>
        <v>Laila Maisuria</v>
      </c>
      <c r="C36" s="136" t="str">
        <f>IFERROR(__xludf.DUMMYFUNCTION("""COMPUTED_VALUE"""),"MF")</f>
        <v>MF</v>
      </c>
      <c r="D36" s="146">
        <f>IFERROR(__xludf.DUMMYFUNCTION("""COMPUTED_VALUE"""),46084.0)</f>
        <v>46084</v>
      </c>
      <c r="E36" s="136" t="str">
        <f t="shared" si="1"/>
        <v>Tuesday</v>
      </c>
      <c r="F36" s="137">
        <f>IFERROR(__xludf.DUMMYFUNCTION("""COMPUTED_VALUE"""),0.8187499999985448)</f>
        <v>0.81875</v>
      </c>
      <c r="G36" s="106">
        <f>IFERROR(__xludf.DUMMYFUNCTION("""COMPUTED_VALUE"""),0.002777777779556345)</f>
        <v>0.00277777778</v>
      </c>
      <c r="H36" s="137">
        <f>IFERROR(__xludf.DUMMYFUNCTION("""COMPUTED_VALUE"""),0.8215277777781012)</f>
        <v>0.8215277778</v>
      </c>
      <c r="I36" s="159">
        <f t="shared" si="2"/>
        <v>7.499999995</v>
      </c>
      <c r="J36" s="136">
        <f>IFERROR(__xludf.DUMMYFUNCTION("""COMPUTED_VALUE"""),27.0)</f>
        <v>27</v>
      </c>
      <c r="K36" s="141">
        <f t="shared" si="3"/>
        <v>0.9</v>
      </c>
      <c r="L36" s="136" t="s">
        <v>18</v>
      </c>
    </row>
    <row r="37">
      <c r="A37" s="144">
        <f>IFERROR(__xludf.DUMMYFUNCTION("""COMPUTED_VALUE"""),46085.704441469905)</f>
        <v>46085.70444</v>
      </c>
      <c r="B37" s="136" t="str">
        <f>IFERROR(__xludf.DUMMYFUNCTION("""COMPUTED_VALUE"""),"Evan Morgan")</f>
        <v>Evan Morgan</v>
      </c>
      <c r="C37" s="136" t="str">
        <f>IFERROR(__xludf.DUMMYFUNCTION("""COMPUTED_VALUE"""),"MF")</f>
        <v>MF</v>
      </c>
      <c r="D37" s="146">
        <f>IFERROR(__xludf.DUMMYFUNCTION("""COMPUTED_VALUE"""),46085.0)</f>
        <v>46085</v>
      </c>
      <c r="E37" s="136" t="str">
        <f t="shared" si="1"/>
        <v>Wednesday</v>
      </c>
      <c r="F37" s="137">
        <f>IFERROR(__xludf.DUMMYFUNCTION("""COMPUTED_VALUE"""),0.6979166666642413)</f>
        <v>0.6979166667</v>
      </c>
      <c r="G37" s="106">
        <f>IFERROR(__xludf.DUMMYFUNCTION("""COMPUTED_VALUE"""),0.006250000002425371)</f>
        <v>0.006250000002</v>
      </c>
      <c r="H37" s="137">
        <f>IFERROR(__xludf.DUMMYFUNCTION("""COMPUTED_VALUE"""),0.7041666666666667)</f>
        <v>0.7041666667</v>
      </c>
      <c r="I37" s="159">
        <f t="shared" si="2"/>
        <v>3.333333332</v>
      </c>
      <c r="J37" s="136">
        <f>IFERROR(__xludf.DUMMYFUNCTION("""COMPUTED_VALUE"""),22.0)</f>
        <v>22</v>
      </c>
      <c r="K37" s="141">
        <f t="shared" si="3"/>
        <v>0.7333333333</v>
      </c>
      <c r="L37" s="136" t="s">
        <v>18</v>
      </c>
    </row>
    <row r="38">
      <c r="A38" s="144">
        <f>IFERROR(__xludf.DUMMYFUNCTION("""COMPUTED_VALUE"""),46085.844073125)</f>
        <v>46085.84407</v>
      </c>
      <c r="B38" s="136" t="str">
        <f>IFERROR(__xludf.DUMMYFUNCTION("""COMPUTED_VALUE"""),"Brynn Hornig")</f>
        <v>Brynn Hornig</v>
      </c>
      <c r="C38" s="136" t="str">
        <f>IFERROR(__xludf.DUMMYFUNCTION("""COMPUTED_VALUE"""),"MF")</f>
        <v>MF</v>
      </c>
      <c r="D38" s="146">
        <f>IFERROR(__xludf.DUMMYFUNCTION("""COMPUTED_VALUE"""),46085.0)</f>
        <v>46085</v>
      </c>
      <c r="E38" s="136" t="str">
        <f t="shared" si="1"/>
        <v>Wednesday</v>
      </c>
      <c r="F38" s="137">
        <f>IFERROR(__xludf.DUMMYFUNCTION("""COMPUTED_VALUE"""),0.8298611111094942)</f>
        <v>0.8298611111</v>
      </c>
      <c r="G38" s="106">
        <f>IFERROR(__xludf.DUMMYFUNCTION("""COMPUTED_VALUE"""),0.014583333337213844)</f>
        <v>0.01458333334</v>
      </c>
      <c r="H38" s="137">
        <f>IFERROR(__xludf.DUMMYFUNCTION("""COMPUTED_VALUE"""),0.8444444444467081)</f>
        <v>0.8444444444</v>
      </c>
      <c r="I38" s="159">
        <f t="shared" si="2"/>
        <v>1.428571428</v>
      </c>
      <c r="J38" s="136">
        <f>IFERROR(__xludf.DUMMYFUNCTION("""COMPUTED_VALUE"""),28.0)</f>
        <v>28</v>
      </c>
      <c r="K38" s="141">
        <f t="shared" si="3"/>
        <v>0.9333333333</v>
      </c>
      <c r="L38" s="136" t="s">
        <v>18</v>
      </c>
    </row>
    <row r="39">
      <c r="A39" s="144">
        <f>IFERROR(__xludf.DUMMYFUNCTION("""COMPUTED_VALUE"""),46086.40426407407)</f>
        <v>46086.40426</v>
      </c>
      <c r="B39" s="136" t="str">
        <f>IFERROR(__xludf.DUMMYFUNCTION("""COMPUTED_VALUE"""),"Sophia Kluck")</f>
        <v>Sophia Kluck</v>
      </c>
      <c r="C39" s="136" t="str">
        <f>IFERROR(__xludf.DUMMYFUNCTION("""COMPUTED_VALUE"""),"BF")</f>
        <v>BF</v>
      </c>
      <c r="D39" s="146">
        <f>IFERROR(__xludf.DUMMYFUNCTION("""COMPUTED_VALUE"""),46086.0)</f>
        <v>46086</v>
      </c>
      <c r="E39" s="136" t="str">
        <f t="shared" si="1"/>
        <v>Thursday</v>
      </c>
      <c r="F39" s="137">
        <f>IFERROR(__xludf.DUMMYFUNCTION("""COMPUTED_VALUE"""),0.39722222222189885)</f>
        <v>0.3972222222</v>
      </c>
      <c r="G39" s="106">
        <f>IFERROR(__xludf.DUMMYFUNCTION("""COMPUTED_VALUE"""),0.0062499999985448085)</f>
        <v>0.006249999999</v>
      </c>
      <c r="H39" s="137">
        <f>IFERROR(__xludf.DUMMYFUNCTION("""COMPUTED_VALUE"""),0.40347222222044365)</f>
        <v>0.4034722222</v>
      </c>
      <c r="I39" s="159">
        <f t="shared" si="2"/>
        <v>3.333333334</v>
      </c>
      <c r="J39" s="136">
        <f>IFERROR(__xludf.DUMMYFUNCTION("""COMPUTED_VALUE"""),27.0)</f>
        <v>27</v>
      </c>
      <c r="K39" s="141">
        <f t="shared" si="3"/>
        <v>0.9</v>
      </c>
      <c r="L39" s="136" t="s">
        <v>12</v>
      </c>
    </row>
    <row r="40">
      <c r="A40" s="144">
        <f>IFERROR(__xludf.DUMMYFUNCTION("""COMPUTED_VALUE"""),46086.75641056713)</f>
        <v>46086.75641</v>
      </c>
      <c r="B40" s="136" t="str">
        <f>IFERROR(__xludf.DUMMYFUNCTION("""COMPUTED_VALUE"""),"Emmett Khan")</f>
        <v>Emmett Khan</v>
      </c>
      <c r="C40" s="136" t="str">
        <f>IFERROR(__xludf.DUMMYFUNCTION("""COMPUTED_VALUE"""),"MF")</f>
        <v>MF</v>
      </c>
      <c r="D40" s="146">
        <f>IFERROR(__xludf.DUMMYFUNCTION("""COMPUTED_VALUE"""),46086.0)</f>
        <v>46086</v>
      </c>
      <c r="E40" s="136" t="str">
        <f t="shared" si="1"/>
        <v>Thursday</v>
      </c>
      <c r="F40" s="137">
        <f>IFERROR(__xludf.DUMMYFUNCTION("""COMPUTED_VALUE"""),0.75)</f>
        <v>0.75</v>
      </c>
      <c r="G40" s="106">
        <f>IFERROR(__xludf.DUMMYFUNCTION("""COMPUTED_VALUE"""),0.006944444445252884)</f>
        <v>0.006944444445</v>
      </c>
      <c r="H40" s="137">
        <f>IFERROR(__xludf.DUMMYFUNCTION("""COMPUTED_VALUE"""),0.7569444444452529)</f>
        <v>0.7569444444</v>
      </c>
      <c r="I40" s="159">
        <f t="shared" si="2"/>
        <v>3</v>
      </c>
      <c r="J40" s="136">
        <f>IFERROR(__xludf.DUMMYFUNCTION("""COMPUTED_VALUE"""),22.0)</f>
        <v>22</v>
      </c>
      <c r="K40" s="141">
        <f t="shared" si="3"/>
        <v>0.7333333333</v>
      </c>
      <c r="L40" s="136" t="s">
        <v>18</v>
      </c>
    </row>
    <row r="41">
      <c r="A41" s="144">
        <f>IFERROR(__xludf.DUMMYFUNCTION("""COMPUTED_VALUE"""),46087.507878449076)</f>
        <v>46087.50788</v>
      </c>
      <c r="B41" s="136" t="str">
        <f>IFERROR(__xludf.DUMMYFUNCTION("""COMPUTED_VALUE"""),"Oluwatimilehin Shodipe")</f>
        <v>Oluwatimilehin Shodipe</v>
      </c>
      <c r="C41" s="136" t="str">
        <f>IFERROR(__xludf.DUMMYFUNCTION("""COMPUTED_VALUE"""),"MF")</f>
        <v>MF</v>
      </c>
      <c r="D41" s="146">
        <f>IFERROR(__xludf.DUMMYFUNCTION("""COMPUTED_VALUE"""),46087.0)</f>
        <v>46087</v>
      </c>
      <c r="E41" s="136" t="str">
        <f t="shared" si="1"/>
        <v>Friday</v>
      </c>
      <c r="F41" s="137">
        <f>IFERROR(__xludf.DUMMYFUNCTION("""COMPUTED_VALUE"""),0.5)</f>
        <v>0.5</v>
      </c>
      <c r="G41" s="106">
        <f>IFERROR(__xludf.DUMMYFUNCTION("""COMPUTED_VALUE"""),0.006944444445252884)</f>
        <v>0.006944444445</v>
      </c>
      <c r="H41" s="137">
        <f>IFERROR(__xludf.DUMMYFUNCTION("""COMPUTED_VALUE"""),0.5069444444452529)</f>
        <v>0.5069444444</v>
      </c>
      <c r="I41" s="159">
        <f t="shared" si="2"/>
        <v>3</v>
      </c>
      <c r="J41" s="136">
        <f>IFERROR(__xludf.DUMMYFUNCTION("""COMPUTED_VALUE"""),23.0)</f>
        <v>23</v>
      </c>
      <c r="K41" s="141">
        <f t="shared" si="3"/>
        <v>0.7666666667</v>
      </c>
      <c r="L41" s="136" t="s">
        <v>15</v>
      </c>
    </row>
    <row r="42">
      <c r="A42" s="144">
        <f>IFERROR(__xludf.DUMMYFUNCTION("""COMPUTED_VALUE"""),46090.68451319444)</f>
        <v>46090.68451</v>
      </c>
      <c r="B42" s="136" t="str">
        <f>IFERROR(__xludf.DUMMYFUNCTION("""COMPUTED_VALUE"""),"Orpheus Wilson")</f>
        <v>Orpheus Wilson</v>
      </c>
      <c r="C42" s="136" t="str">
        <f>IFERROR(__xludf.DUMMYFUNCTION("""COMPUTED_VALUE"""),"MF")</f>
        <v>MF</v>
      </c>
      <c r="D42" s="146">
        <f>IFERROR(__xludf.DUMMYFUNCTION("""COMPUTED_VALUE"""),46090.0)</f>
        <v>46090</v>
      </c>
      <c r="E42" s="136" t="str">
        <f t="shared" si="1"/>
        <v>Monday</v>
      </c>
      <c r="F42" s="137">
        <f>IFERROR(__xludf.DUMMYFUNCTION("""COMPUTED_VALUE"""),0.671527777776646)</f>
        <v>0.6715277778</v>
      </c>
      <c r="G42" s="106">
        <f>IFERROR(__xludf.DUMMYFUNCTION("""COMPUTED_VALUE"""),0.012500000004365575)</f>
        <v>0.0125</v>
      </c>
      <c r="H42" s="137">
        <f>IFERROR(__xludf.DUMMYFUNCTION("""COMPUTED_VALUE"""),0.6840277777810115)</f>
        <v>0.6840277778</v>
      </c>
      <c r="I42" s="159">
        <f t="shared" si="2"/>
        <v>1.666666666</v>
      </c>
      <c r="J42" s="136">
        <f>IFERROR(__xludf.DUMMYFUNCTION("""COMPUTED_VALUE"""),20.0)</f>
        <v>20</v>
      </c>
      <c r="K42" s="141">
        <f t="shared" si="3"/>
        <v>0.6666666667</v>
      </c>
      <c r="L42" s="136" t="s">
        <v>18</v>
      </c>
    </row>
    <row r="43">
      <c r="A43" s="144">
        <f>IFERROR(__xludf.DUMMYFUNCTION("""COMPUTED_VALUE"""),46092.391265439815)</f>
        <v>46092.39127</v>
      </c>
      <c r="B43" s="136" t="str">
        <f>IFERROR(__xludf.DUMMYFUNCTION("""COMPUTED_VALUE"""),"Kaylie Forgue")</f>
        <v>Kaylie Forgue</v>
      </c>
      <c r="C43" s="136" t="str">
        <f>IFERROR(__xludf.DUMMYFUNCTION("""COMPUTED_VALUE"""),"BF")</f>
        <v>BF</v>
      </c>
      <c r="D43" s="146">
        <f>IFERROR(__xludf.DUMMYFUNCTION("""COMPUTED_VALUE"""),46092.0)</f>
        <v>46092</v>
      </c>
      <c r="E43" s="136" t="str">
        <f t="shared" si="1"/>
        <v>Wednesday</v>
      </c>
      <c r="F43" s="137">
        <f>IFERROR(__xludf.DUMMYFUNCTION("""COMPUTED_VALUE"""),0.37847222221898846)</f>
        <v>0.3784722222</v>
      </c>
      <c r="G43" s="106">
        <f>IFERROR(__xludf.DUMMYFUNCTION("""COMPUTED_VALUE"""),0.012500000004365575)</f>
        <v>0.0125</v>
      </c>
      <c r="H43" s="137">
        <f>IFERROR(__xludf.DUMMYFUNCTION("""COMPUTED_VALUE"""),0.39097222222335404)</f>
        <v>0.3909722222</v>
      </c>
      <c r="I43" s="159">
        <f t="shared" si="2"/>
        <v>1.666666666</v>
      </c>
      <c r="J43" s="136">
        <f>IFERROR(__xludf.DUMMYFUNCTION("""COMPUTED_VALUE"""),25.0)</f>
        <v>25</v>
      </c>
      <c r="K43" s="141">
        <f t="shared" si="3"/>
        <v>0.8333333333</v>
      </c>
      <c r="L43" s="136" t="s">
        <v>12</v>
      </c>
    </row>
    <row r="44">
      <c r="A44" s="144">
        <f>IFERROR(__xludf.DUMMYFUNCTION("""COMPUTED_VALUE"""),46092.83337403936)</f>
        <v>46092.83337</v>
      </c>
      <c r="B44" s="136" t="str">
        <f>IFERROR(__xludf.DUMMYFUNCTION("""COMPUTED_VALUE"""),"Brynn Hornig")</f>
        <v>Brynn Hornig</v>
      </c>
      <c r="C44" s="136" t="str">
        <f>IFERROR(__xludf.DUMMYFUNCTION("""COMPUTED_VALUE"""),"MF")</f>
        <v>MF</v>
      </c>
      <c r="D44" s="146">
        <f>IFERROR(__xludf.DUMMYFUNCTION("""COMPUTED_VALUE"""),46092.0)</f>
        <v>46092</v>
      </c>
      <c r="E44" s="136" t="str">
        <f t="shared" si="1"/>
        <v>Wednesday</v>
      </c>
      <c r="F44" s="137">
        <f>IFERROR(__xludf.DUMMYFUNCTION("""COMPUTED_VALUE"""),0.8236111111109494)</f>
        <v>0.8236111111</v>
      </c>
      <c r="G44" s="106">
        <f>IFERROR(__xludf.DUMMYFUNCTION("""COMPUTED_VALUE"""),0.00972222222480923)</f>
        <v>0.009722222225</v>
      </c>
      <c r="H44" s="137">
        <f>IFERROR(__xludf.DUMMYFUNCTION("""COMPUTED_VALUE"""),0.8333333333357587)</f>
        <v>0.8333333333</v>
      </c>
      <c r="I44" s="159">
        <f t="shared" si="2"/>
        <v>2.142857142</v>
      </c>
      <c r="J44" s="136">
        <f>IFERROR(__xludf.DUMMYFUNCTION("""COMPUTED_VALUE"""),29.0)</f>
        <v>29</v>
      </c>
      <c r="K44" s="141">
        <f t="shared" si="3"/>
        <v>0.9666666667</v>
      </c>
      <c r="L44" s="136" t="s">
        <v>18</v>
      </c>
    </row>
    <row r="45">
      <c r="A45" s="144">
        <f>IFERROR(__xludf.DUMMYFUNCTION("""COMPUTED_VALUE"""),46093.52035021991)</f>
        <v>46093.52035</v>
      </c>
      <c r="B45" s="136" t="str">
        <f>IFERROR(__xludf.DUMMYFUNCTION("""COMPUTED_VALUE"""),"Kyra Turner")</f>
        <v>Kyra Turner</v>
      </c>
      <c r="C45" s="136" t="str">
        <f>IFERROR(__xludf.DUMMYFUNCTION("""COMPUTED_VALUE"""),"BF")</f>
        <v>BF</v>
      </c>
      <c r="D45" s="146">
        <f>IFERROR(__xludf.DUMMYFUNCTION("""COMPUTED_VALUE"""),46093.0)</f>
        <v>46093</v>
      </c>
      <c r="E45" s="136" t="str">
        <f t="shared" si="1"/>
        <v>Thursday</v>
      </c>
      <c r="F45" s="137">
        <f>IFERROR(__xludf.DUMMYFUNCTION("""COMPUTED_VALUE"""),0.5090277777781012)</f>
        <v>0.5090277778</v>
      </c>
      <c r="G45" s="106">
        <f>IFERROR(__xludf.DUMMYFUNCTION("""COMPUTED_VALUE"""),0.010416666664241347)</f>
        <v>0.01041666666</v>
      </c>
      <c r="H45" s="137">
        <f>IFERROR(__xludf.DUMMYFUNCTION("""COMPUTED_VALUE"""),0.5194444444423425)</f>
        <v>0.5194444444</v>
      </c>
      <c r="I45" s="159">
        <f t="shared" si="2"/>
        <v>2</v>
      </c>
      <c r="J45" s="136">
        <f>IFERROR(__xludf.DUMMYFUNCTION("""COMPUTED_VALUE"""),20.0)</f>
        <v>20</v>
      </c>
      <c r="K45" s="141">
        <f t="shared" si="3"/>
        <v>0.6666666667</v>
      </c>
      <c r="L45" s="136" t="s">
        <v>15</v>
      </c>
    </row>
    <row r="46">
      <c r="A46" s="144">
        <f>IFERROR(__xludf.DUMMYFUNCTION("""COMPUTED_VALUE"""),46093.758685625)</f>
        <v>46093.75869</v>
      </c>
      <c r="B46" s="136" t="str">
        <f>IFERROR(__xludf.DUMMYFUNCTION("""COMPUTED_VALUE"""),"Emmett Khan")</f>
        <v>Emmett Khan</v>
      </c>
      <c r="C46" s="136" t="str">
        <f>IFERROR(__xludf.DUMMYFUNCTION("""COMPUTED_VALUE"""),"MF")</f>
        <v>MF</v>
      </c>
      <c r="D46" s="146">
        <f>IFERROR(__xludf.DUMMYFUNCTION("""COMPUTED_VALUE"""),46093.0)</f>
        <v>46093</v>
      </c>
      <c r="E46" s="136" t="str">
        <f t="shared" si="1"/>
        <v>Thursday</v>
      </c>
      <c r="F46" s="137">
        <f>IFERROR(__xludf.DUMMYFUNCTION("""COMPUTED_VALUE"""),0.7513888888934162)</f>
        <v>0.7513888889</v>
      </c>
      <c r="G46" s="106">
        <f>IFERROR(__xludf.DUMMYFUNCTION("""COMPUTED_VALUE"""),0.0069444444379769266)</f>
        <v>0.006944444438</v>
      </c>
      <c r="H46" s="137">
        <f>IFERROR(__xludf.DUMMYFUNCTION("""COMPUTED_VALUE"""),0.7583333333313931)</f>
        <v>0.7583333333</v>
      </c>
      <c r="I46" s="159">
        <f t="shared" si="2"/>
        <v>3.000000003</v>
      </c>
      <c r="J46" s="136">
        <f>IFERROR(__xludf.DUMMYFUNCTION("""COMPUTED_VALUE"""),26.0)</f>
        <v>26</v>
      </c>
      <c r="K46" s="141">
        <f t="shared" si="3"/>
        <v>0.8666666667</v>
      </c>
      <c r="L46" s="136" t="s">
        <v>18</v>
      </c>
    </row>
    <row r="47">
      <c r="A47" s="144">
        <f>IFERROR(__xludf.DUMMYFUNCTION("""COMPUTED_VALUE"""),46094.23758635417)</f>
        <v>46094.23759</v>
      </c>
      <c r="B47" s="136" t="str">
        <f>IFERROR(__xludf.DUMMYFUNCTION("""COMPUTED_VALUE"""),"Alexis Sylvestre")</f>
        <v>Alexis Sylvestre</v>
      </c>
      <c r="C47" s="136" t="str">
        <f>IFERROR(__xludf.DUMMYFUNCTION("""COMPUTED_VALUE"""),"MF")</f>
        <v>MF</v>
      </c>
      <c r="D47" s="146">
        <f>IFERROR(__xludf.DUMMYFUNCTION("""COMPUTED_VALUE"""),46091.0)</f>
        <v>46091</v>
      </c>
      <c r="E47" s="136" t="str">
        <f t="shared" si="1"/>
        <v>Tuesday</v>
      </c>
      <c r="F47" s="137">
        <f>IFERROR(__xludf.DUMMYFUNCTION("""COMPUTED_VALUE"""),0.7916666666642413)</f>
        <v>0.7916666667</v>
      </c>
      <c r="G47" s="106">
        <f>IFERROR(__xludf.DUMMYFUNCTION("""COMPUTED_VALUE"""),0.020833333335758653)</f>
        <v>0.02083333334</v>
      </c>
      <c r="H47" s="137">
        <f>IFERROR(__xludf.DUMMYFUNCTION("""COMPUTED_VALUE"""),0.8125)</f>
        <v>0.8125</v>
      </c>
      <c r="I47" s="159">
        <f t="shared" si="2"/>
        <v>0.9999999999</v>
      </c>
      <c r="J47" s="136">
        <f>IFERROR(__xludf.DUMMYFUNCTION("""COMPUTED_VALUE"""),27.0)</f>
        <v>27</v>
      </c>
      <c r="K47" s="141">
        <f t="shared" si="3"/>
        <v>0.9</v>
      </c>
      <c r="L47" s="136" t="s">
        <v>18</v>
      </c>
    </row>
    <row r="48">
      <c r="A48" s="144">
        <f>IFERROR(__xludf.DUMMYFUNCTION("""COMPUTED_VALUE"""),46094.70889841435)</f>
        <v>46094.7089</v>
      </c>
      <c r="B48" s="136" t="str">
        <f>IFERROR(__xludf.DUMMYFUNCTION("""COMPUTED_VALUE"""),"Leah Bucci")</f>
        <v>Leah Bucci</v>
      </c>
      <c r="C48" s="136" t="str">
        <f>IFERROR(__xludf.DUMMYFUNCTION("""COMPUTED_VALUE"""),"MF")</f>
        <v>MF</v>
      </c>
      <c r="D48" s="146">
        <f>IFERROR(__xludf.DUMMYFUNCTION("""COMPUTED_VALUE"""),46094.0)</f>
        <v>46094</v>
      </c>
      <c r="E48" s="136" t="str">
        <f t="shared" si="1"/>
        <v>Friday</v>
      </c>
      <c r="F48" s="137">
        <f>IFERROR(__xludf.DUMMYFUNCTION("""COMPUTED_VALUE"""),0.6909722222189885)</f>
        <v>0.6909722222</v>
      </c>
      <c r="G48" s="106">
        <f>IFERROR(__xludf.DUMMYFUNCTION("""COMPUTED_VALUE"""),0.01736111111677019)</f>
        <v>0.01736111112</v>
      </c>
      <c r="H48" s="137">
        <f>IFERROR(__xludf.DUMMYFUNCTION("""COMPUTED_VALUE"""),0.7083333333357587)</f>
        <v>0.7083333333</v>
      </c>
      <c r="I48" s="159">
        <f t="shared" si="2"/>
        <v>1.2</v>
      </c>
      <c r="J48" s="136">
        <f>IFERROR(__xludf.DUMMYFUNCTION("""COMPUTED_VALUE"""),20.0)</f>
        <v>20</v>
      </c>
      <c r="K48" s="141">
        <f t="shared" si="3"/>
        <v>0.6666666667</v>
      </c>
      <c r="L48" s="136" t="s">
        <v>18</v>
      </c>
    </row>
    <row r="49">
      <c r="A49" s="144">
        <f>IFERROR(__xludf.DUMMYFUNCTION("""COMPUTED_VALUE"""),46104.38049378472)</f>
        <v>46104.38049</v>
      </c>
      <c r="B49" s="136" t="str">
        <f>IFERROR(__xludf.DUMMYFUNCTION("""COMPUTED_VALUE"""),"Sophia Kluck")</f>
        <v>Sophia Kluck</v>
      </c>
      <c r="C49" s="136" t="str">
        <f>IFERROR(__xludf.DUMMYFUNCTION("""COMPUTED_VALUE"""),"BF")</f>
        <v>BF</v>
      </c>
      <c r="D49" s="146">
        <f>IFERROR(__xludf.DUMMYFUNCTION("""COMPUTED_VALUE"""),46104.0)</f>
        <v>46104</v>
      </c>
      <c r="E49" s="136" t="str">
        <f t="shared" si="1"/>
        <v>Monday</v>
      </c>
      <c r="F49" s="137">
        <f>IFERROR(__xludf.DUMMYFUNCTION("""COMPUTED_VALUE"""),0.37152777778101154)</f>
        <v>0.3715277778</v>
      </c>
      <c r="G49" s="106">
        <f>IFERROR(__xludf.DUMMYFUNCTION("""COMPUTED_VALUE"""),0.008333333331393078)</f>
        <v>0.008333333331</v>
      </c>
      <c r="H49" s="137">
        <f>IFERROR(__xludf.DUMMYFUNCTION("""COMPUTED_VALUE"""),0.3798611111124046)</f>
        <v>0.3798611111</v>
      </c>
      <c r="I49" s="159">
        <f t="shared" si="2"/>
        <v>2.500000001</v>
      </c>
      <c r="J49" s="136">
        <f>IFERROR(__xludf.DUMMYFUNCTION("""COMPUTED_VALUE"""),25.0)</f>
        <v>25</v>
      </c>
      <c r="K49" s="141">
        <f t="shared" si="3"/>
        <v>0.8333333333</v>
      </c>
      <c r="L49" s="136" t="s">
        <v>12</v>
      </c>
    </row>
    <row r="50">
      <c r="A50" s="144">
        <f>IFERROR(__xludf.DUMMYFUNCTION("""COMPUTED_VALUE"""),46104.611826249995)</f>
        <v>46104.61183</v>
      </c>
      <c r="B50" s="136" t="str">
        <f>IFERROR(__xludf.DUMMYFUNCTION("""COMPUTED_VALUE"""),"Brynn Hornig")</f>
        <v>Brynn Hornig</v>
      </c>
      <c r="C50" s="136" t="str">
        <f>IFERROR(__xludf.DUMMYFUNCTION("""COMPUTED_VALUE"""),"BF")</f>
        <v>BF</v>
      </c>
      <c r="D50" s="146">
        <f>IFERROR(__xludf.DUMMYFUNCTION("""COMPUTED_VALUE"""),46104.0)</f>
        <v>46104</v>
      </c>
      <c r="E50" s="136" t="str">
        <f t="shared" si="1"/>
        <v>Monday</v>
      </c>
      <c r="F50" s="137">
        <f>IFERROR(__xludf.DUMMYFUNCTION("""COMPUTED_VALUE"""),0.5958333333328483)</f>
        <v>0.5958333333</v>
      </c>
      <c r="G50" s="106">
        <f>IFERROR(__xludf.DUMMYFUNCTION("""COMPUTED_VALUE"""),0.015277777776645962)</f>
        <v>0.01527777778</v>
      </c>
      <c r="H50" s="137">
        <f>IFERROR(__xludf.DUMMYFUNCTION("""COMPUTED_VALUE"""),0.6111111111094942)</f>
        <v>0.6111111111</v>
      </c>
      <c r="I50" s="159">
        <f t="shared" si="2"/>
        <v>1.363636364</v>
      </c>
      <c r="J50" s="136">
        <f>IFERROR(__xludf.DUMMYFUNCTION("""COMPUTED_VALUE"""),29.0)</f>
        <v>29</v>
      </c>
      <c r="K50" s="141">
        <f t="shared" si="3"/>
        <v>0.9666666667</v>
      </c>
      <c r="L50" s="136" t="s">
        <v>15</v>
      </c>
    </row>
    <row r="51">
      <c r="A51" s="144">
        <f>IFERROR(__xludf.DUMMYFUNCTION("""COMPUTED_VALUE"""),46104.68409135417)</f>
        <v>46104.68409</v>
      </c>
      <c r="B51" s="136" t="str">
        <f>IFERROR(__xludf.DUMMYFUNCTION("""COMPUTED_VALUE"""),"Orpheus Wilson")</f>
        <v>Orpheus Wilson</v>
      </c>
      <c r="C51" s="136" t="str">
        <f>IFERROR(__xludf.DUMMYFUNCTION("""COMPUTED_VALUE"""),"MF")</f>
        <v>MF</v>
      </c>
      <c r="D51" s="146">
        <f>IFERROR(__xludf.DUMMYFUNCTION("""COMPUTED_VALUE"""),46104.0)</f>
        <v>46104</v>
      </c>
      <c r="E51" s="136" t="str">
        <f t="shared" si="1"/>
        <v>Monday</v>
      </c>
      <c r="F51" s="137">
        <f>IFERROR(__xludf.DUMMYFUNCTION("""COMPUTED_VALUE"""),0.6687499999970896)</f>
        <v>0.66875</v>
      </c>
      <c r="G51" s="106">
        <f>IFERROR(__xludf.DUMMYFUNCTION("""COMPUTED_VALUE"""),0.014583333337213844)</f>
        <v>0.01458333334</v>
      </c>
      <c r="H51" s="137">
        <f>IFERROR(__xludf.DUMMYFUNCTION("""COMPUTED_VALUE"""),0.6833333333343035)</f>
        <v>0.6833333333</v>
      </c>
      <c r="I51" s="159">
        <f t="shared" si="2"/>
        <v>1.428571428</v>
      </c>
      <c r="J51" s="136">
        <f>IFERROR(__xludf.DUMMYFUNCTION("""COMPUTED_VALUE"""),22.0)</f>
        <v>22</v>
      </c>
      <c r="K51" s="141">
        <f t="shared" si="3"/>
        <v>0.7333333333</v>
      </c>
      <c r="L51" s="136" t="s">
        <v>18</v>
      </c>
    </row>
    <row r="52">
      <c r="A52" s="144">
        <f>IFERROR(__xludf.DUMMYFUNCTION("""COMPUTED_VALUE"""),46104.7522327662)</f>
        <v>46104.75223</v>
      </c>
      <c r="B52" s="136" t="str">
        <f>IFERROR(__xludf.DUMMYFUNCTION("""COMPUTED_VALUE"""),"Maureen Surgot")</f>
        <v>Maureen Surgot</v>
      </c>
      <c r="C52" s="136" t="str">
        <f>IFERROR(__xludf.DUMMYFUNCTION("""COMPUTED_VALUE"""),"MF")</f>
        <v>MF</v>
      </c>
      <c r="D52" s="146">
        <f>IFERROR(__xludf.DUMMYFUNCTION("""COMPUTED_VALUE"""),46104.0)</f>
        <v>46104</v>
      </c>
      <c r="E52" s="136" t="str">
        <f t="shared" si="1"/>
        <v>Monday</v>
      </c>
      <c r="F52" s="137">
        <f>IFERROR(__xludf.DUMMYFUNCTION("""COMPUTED_VALUE"""),0.7472222222204437)</f>
        <v>0.7472222222</v>
      </c>
      <c r="G52" s="106">
        <f>IFERROR(__xludf.DUMMYFUNCTION("""COMPUTED_VALUE"""),0.004861111112404615)</f>
        <v>0.004861111112</v>
      </c>
      <c r="H52" s="137">
        <f>IFERROR(__xludf.DUMMYFUNCTION("""COMPUTED_VALUE"""),0.7520833333328483)</f>
        <v>0.7520833333</v>
      </c>
      <c r="I52" s="159">
        <f t="shared" si="2"/>
        <v>4.285714285</v>
      </c>
      <c r="J52" s="136">
        <f>IFERROR(__xludf.DUMMYFUNCTION("""COMPUTED_VALUE"""),30.0)</f>
        <v>30</v>
      </c>
      <c r="K52" s="141">
        <f t="shared" si="3"/>
        <v>1</v>
      </c>
      <c r="L52" s="136" t="s">
        <v>18</v>
      </c>
    </row>
    <row r="53">
      <c r="A53" s="144">
        <f>IFERROR(__xludf.DUMMYFUNCTION("""COMPUTED_VALUE"""),46106.32711989583)</f>
        <v>46106.32712</v>
      </c>
      <c r="B53" s="136" t="str">
        <f>IFERROR(__xludf.DUMMYFUNCTION("""COMPUTED_VALUE"""),"Kaylie Forgue")</f>
        <v>Kaylie Forgue</v>
      </c>
      <c r="C53" s="136" t="str">
        <f>IFERROR(__xludf.DUMMYFUNCTION("""COMPUTED_VALUE"""),"BF")</f>
        <v>BF</v>
      </c>
      <c r="D53" s="146">
        <f>IFERROR(__xludf.DUMMYFUNCTION("""COMPUTED_VALUE"""),46106.0)</f>
        <v>46106</v>
      </c>
      <c r="E53" s="136" t="str">
        <f t="shared" si="1"/>
        <v>Wednesday</v>
      </c>
      <c r="F53" s="137">
        <f>IFERROR(__xludf.DUMMYFUNCTION("""COMPUTED_VALUE"""),0.31527777777955635)</f>
        <v>0.3152777778</v>
      </c>
      <c r="G53" s="106">
        <f>IFERROR(__xludf.DUMMYFUNCTION("""COMPUTED_VALUE"""),0.011111111110949423)</f>
        <v>0.01111111111</v>
      </c>
      <c r="H53" s="137">
        <f>IFERROR(__xludf.DUMMYFUNCTION("""COMPUTED_VALUE"""),0.32638888889050577)</f>
        <v>0.3263888889</v>
      </c>
      <c r="I53" s="159">
        <f t="shared" si="2"/>
        <v>1.875</v>
      </c>
      <c r="J53" s="136">
        <f>IFERROR(__xludf.DUMMYFUNCTION("""COMPUTED_VALUE"""),25.0)</f>
        <v>25</v>
      </c>
      <c r="K53" s="141">
        <f t="shared" si="3"/>
        <v>0.8333333333</v>
      </c>
      <c r="L53" s="136" t="s">
        <v>12</v>
      </c>
    </row>
    <row r="54">
      <c r="A54" s="144">
        <f>IFERROR(__xludf.DUMMYFUNCTION("""COMPUTED_VALUE"""),46106.45898447916)</f>
        <v>46106.45898</v>
      </c>
      <c r="B54" s="136" t="str">
        <f>IFERROR(__xludf.DUMMYFUNCTION("""COMPUTED_VALUE"""),"Oluwatimilehin Shodipe")</f>
        <v>Oluwatimilehin Shodipe</v>
      </c>
      <c r="C54" s="136" t="str">
        <f>IFERROR(__xludf.DUMMYFUNCTION("""COMPUTED_VALUE"""),"BF")</f>
        <v>BF</v>
      </c>
      <c r="D54" s="146">
        <f>IFERROR(__xludf.DUMMYFUNCTION("""COMPUTED_VALUE"""),46106.0)</f>
        <v>46106</v>
      </c>
      <c r="E54" s="136" t="str">
        <f t="shared" si="1"/>
        <v>Wednesday</v>
      </c>
      <c r="F54" s="137">
        <f>IFERROR(__xludf.DUMMYFUNCTION("""COMPUTED_VALUE"""),0.4486111111109494)</f>
        <v>0.4486111111</v>
      </c>
      <c r="G54" s="106">
        <f>IFERROR(__xludf.DUMMYFUNCTION("""COMPUTED_VALUE"""),0.00972222222480923)</f>
        <v>0.009722222225</v>
      </c>
      <c r="H54" s="137">
        <f>IFERROR(__xludf.DUMMYFUNCTION("""COMPUTED_VALUE"""),0.45833333333575865)</f>
        <v>0.4583333333</v>
      </c>
      <c r="I54" s="159">
        <f t="shared" si="2"/>
        <v>2.142857142</v>
      </c>
      <c r="J54" s="136">
        <f>IFERROR(__xludf.DUMMYFUNCTION("""COMPUTED_VALUE"""),21.0)</f>
        <v>21</v>
      </c>
      <c r="K54" s="141">
        <f t="shared" si="3"/>
        <v>0.7</v>
      </c>
      <c r="L54" s="136" t="s">
        <v>134</v>
      </c>
    </row>
    <row r="55">
      <c r="A55" s="144">
        <f>IFERROR(__xludf.DUMMYFUNCTION("""COMPUTED_VALUE"""),46107.32737505787)</f>
        <v>46107.32738</v>
      </c>
      <c r="B55" s="136" t="str">
        <f>IFERROR(__xludf.DUMMYFUNCTION("""COMPUTED_VALUE"""),"Evan Morgan")</f>
        <v>Evan Morgan</v>
      </c>
      <c r="C55" s="136" t="str">
        <f>IFERROR(__xludf.DUMMYFUNCTION("""COMPUTED_VALUE"""),"BF")</f>
        <v>BF</v>
      </c>
      <c r="D55" s="146">
        <f>IFERROR(__xludf.DUMMYFUNCTION("""COMPUTED_VALUE"""),46107.0)</f>
        <v>46107</v>
      </c>
      <c r="E55" s="136" t="str">
        <f t="shared" si="1"/>
        <v>Thursday</v>
      </c>
      <c r="F55" s="137">
        <f>IFERROR(__xludf.DUMMYFUNCTION("""COMPUTED_VALUE"""),0.29166666666424135)</f>
        <v>0.2916666667</v>
      </c>
      <c r="G55" s="106">
        <f>IFERROR(__xludf.DUMMYFUNCTION("""COMPUTED_VALUE"""),0.0354166666729725)</f>
        <v>0.03541666667</v>
      </c>
      <c r="H55" s="137">
        <f>IFERROR(__xludf.DUMMYFUNCTION("""COMPUTED_VALUE"""),0.32708333333721384)</f>
        <v>0.3270833333</v>
      </c>
      <c r="I55" s="159">
        <f t="shared" si="2"/>
        <v>0.588235294</v>
      </c>
      <c r="J55" s="136">
        <f>IFERROR(__xludf.DUMMYFUNCTION("""COMPUTED_VALUE"""),24.0)</f>
        <v>24</v>
      </c>
      <c r="K55" s="141">
        <f t="shared" si="3"/>
        <v>0.8</v>
      </c>
      <c r="L55" s="136" t="s">
        <v>12</v>
      </c>
    </row>
    <row r="56">
      <c r="A56" s="144">
        <f>IFERROR(__xludf.DUMMYFUNCTION("""COMPUTED_VALUE"""),46107.50713033565)</f>
        <v>46107.50713</v>
      </c>
      <c r="B56" s="136" t="str">
        <f>IFERROR(__xludf.DUMMYFUNCTION("""COMPUTED_VALUE"""),"Emmett Khan")</f>
        <v>Emmett Khan</v>
      </c>
      <c r="C56" s="136" t="str">
        <f>IFERROR(__xludf.DUMMYFUNCTION("""COMPUTED_VALUE"""),"MF")</f>
        <v>MF</v>
      </c>
      <c r="D56" s="146">
        <f>IFERROR(__xludf.DUMMYFUNCTION("""COMPUTED_VALUE"""),46107.0)</f>
        <v>46107</v>
      </c>
      <c r="E56" s="136" t="str">
        <f t="shared" si="1"/>
        <v>Thursday</v>
      </c>
      <c r="F56" s="137">
        <f>IFERROR(__xludf.DUMMYFUNCTION("""COMPUTED_VALUE"""),0.5034722222189885)</f>
        <v>0.5034722222</v>
      </c>
      <c r="G56" s="106">
        <f>IFERROR(__xludf.DUMMYFUNCTION("""COMPUTED_VALUE"""),0.003472222226264421)</f>
        <v>0.003472222226</v>
      </c>
      <c r="H56" s="137">
        <f>IFERROR(__xludf.DUMMYFUNCTION("""COMPUTED_VALUE"""),0.5069444444452529)</f>
        <v>0.5069444444</v>
      </c>
      <c r="I56" s="159">
        <f t="shared" si="2"/>
        <v>5.999999993</v>
      </c>
      <c r="J56" s="136">
        <f>IFERROR(__xludf.DUMMYFUNCTION("""COMPUTED_VALUE"""),27.0)</f>
        <v>27</v>
      </c>
      <c r="K56" s="141">
        <f t="shared" si="3"/>
        <v>0.9</v>
      </c>
      <c r="L56" s="136" t="s">
        <v>15</v>
      </c>
    </row>
    <row r="57">
      <c r="A57" s="144">
        <f>IFERROR(__xludf.DUMMYFUNCTION("""COMPUTED_VALUE"""),46107.59013737268)</f>
        <v>46107.59014</v>
      </c>
      <c r="B57" s="136" t="str">
        <f>IFERROR(__xludf.DUMMYFUNCTION("""COMPUTED_VALUE"""),"Kyra Turner")</f>
        <v>Kyra Turner</v>
      </c>
      <c r="C57" s="136" t="str">
        <f>IFERROR(__xludf.DUMMYFUNCTION("""COMPUTED_VALUE"""),"BF")</f>
        <v>BF</v>
      </c>
      <c r="D57" s="146">
        <f>IFERROR(__xludf.DUMMYFUNCTION("""COMPUTED_VALUE"""),46107.0)</f>
        <v>46107</v>
      </c>
      <c r="E57" s="136" t="str">
        <f t="shared" si="1"/>
        <v>Thursday</v>
      </c>
      <c r="F57" s="137">
        <f>IFERROR(__xludf.DUMMYFUNCTION("""COMPUTED_VALUE"""),0.5812500000029104)</f>
        <v>0.58125</v>
      </c>
      <c r="G57" s="106">
        <f>IFERROR(__xludf.DUMMYFUNCTION("""COMPUTED_VALUE"""),0.0069444444379769266)</f>
        <v>0.006944444438</v>
      </c>
      <c r="H57" s="137">
        <f>IFERROR(__xludf.DUMMYFUNCTION("""COMPUTED_VALUE"""),0.5881944444408873)</f>
        <v>0.5881944444</v>
      </c>
      <c r="I57" s="159">
        <f t="shared" si="2"/>
        <v>3.000000003</v>
      </c>
      <c r="J57" s="136">
        <f>IFERROR(__xludf.DUMMYFUNCTION("""COMPUTED_VALUE"""),23.0)</f>
        <v>23</v>
      </c>
      <c r="K57" s="141">
        <f t="shared" si="3"/>
        <v>0.7666666667</v>
      </c>
      <c r="L57" s="136" t="s">
        <v>15</v>
      </c>
    </row>
    <row r="58">
      <c r="A58" s="144">
        <f>IFERROR(__xludf.DUMMYFUNCTION("""COMPUTED_VALUE"""),46111.682499409726)</f>
        <v>46111.6825</v>
      </c>
      <c r="B58" s="136" t="str">
        <f>IFERROR(__xludf.DUMMYFUNCTION("""COMPUTED_VALUE"""),"Orpheus Wilson")</f>
        <v>Orpheus Wilson</v>
      </c>
      <c r="C58" s="136" t="str">
        <f>IFERROR(__xludf.DUMMYFUNCTION("""COMPUTED_VALUE"""),"MF")</f>
        <v>MF</v>
      </c>
      <c r="D58" s="146">
        <f>IFERROR(__xludf.DUMMYFUNCTION("""COMPUTED_VALUE"""),46111.0)</f>
        <v>46111</v>
      </c>
      <c r="E58" s="136" t="str">
        <f t="shared" si="1"/>
        <v>Monday</v>
      </c>
      <c r="F58" s="137">
        <f>IFERROR(__xludf.DUMMYFUNCTION("""COMPUTED_VALUE"""),0.6729166666627862)</f>
        <v>0.6729166667</v>
      </c>
      <c r="G58" s="106">
        <f>IFERROR(__xludf.DUMMYFUNCTION("""COMPUTED_VALUE"""),0.009027777778101154)</f>
        <v>0.009027777778</v>
      </c>
      <c r="H58" s="137">
        <f>IFERROR(__xludf.DUMMYFUNCTION("""COMPUTED_VALUE"""),0.6819444444408873)</f>
        <v>0.6819444444</v>
      </c>
      <c r="I58" s="159">
        <f t="shared" si="2"/>
        <v>2.307692308</v>
      </c>
      <c r="J58" s="136">
        <f>IFERROR(__xludf.DUMMYFUNCTION("""COMPUTED_VALUE"""),19.0)</f>
        <v>19</v>
      </c>
      <c r="K58" s="141">
        <f t="shared" si="3"/>
        <v>0.6333333333</v>
      </c>
      <c r="L58" s="136" t="s">
        <v>18</v>
      </c>
    </row>
    <row r="59">
      <c r="A59" s="144">
        <f>IFERROR(__xludf.DUMMYFUNCTION("""COMPUTED_VALUE"""),46111.756169016204)</f>
        <v>46111.75617</v>
      </c>
      <c r="B59" s="136" t="str">
        <f>IFERROR(__xludf.DUMMYFUNCTION("""COMPUTED_VALUE"""),"Maureen Surgot")</f>
        <v>Maureen Surgot</v>
      </c>
      <c r="C59" s="136" t="str">
        <f>IFERROR(__xludf.DUMMYFUNCTION("""COMPUTED_VALUE"""),"MF")</f>
        <v>MF</v>
      </c>
      <c r="D59" s="146">
        <f>IFERROR(__xludf.DUMMYFUNCTION("""COMPUTED_VALUE"""),46111.0)</f>
        <v>46111</v>
      </c>
      <c r="E59" s="136" t="str">
        <f t="shared" si="1"/>
        <v>Monday</v>
      </c>
      <c r="F59" s="137">
        <f>IFERROR(__xludf.DUMMYFUNCTION("""COMPUTED_VALUE"""),0.75)</f>
        <v>0.75</v>
      </c>
      <c r="G59" s="106">
        <f>IFERROR(__xludf.DUMMYFUNCTION("""COMPUTED_VALUE"""),0.00555555555911269)</f>
        <v>0.005555555559</v>
      </c>
      <c r="H59" s="137">
        <f>IFERROR(__xludf.DUMMYFUNCTION("""COMPUTED_VALUE"""),0.7555555555591127)</f>
        <v>0.7555555556</v>
      </c>
      <c r="I59" s="159">
        <f t="shared" si="2"/>
        <v>3.749999998</v>
      </c>
      <c r="J59" s="136">
        <f>IFERROR(__xludf.DUMMYFUNCTION("""COMPUTED_VALUE"""),30.0)</f>
        <v>30</v>
      </c>
      <c r="K59" s="141">
        <f t="shared" si="3"/>
        <v>1</v>
      </c>
      <c r="L59" s="136" t="s">
        <v>18</v>
      </c>
    </row>
    <row r="60">
      <c r="A60" s="144">
        <f>IFERROR(__xludf.DUMMYFUNCTION("""COMPUTED_VALUE"""),46112.49746056713)</f>
        <v>46112.49746</v>
      </c>
      <c r="B60" s="136" t="str">
        <f>IFERROR(__xludf.DUMMYFUNCTION("""COMPUTED_VALUE"""),"Kyra Turner")</f>
        <v>Kyra Turner</v>
      </c>
      <c r="C60" s="136" t="str">
        <f>IFERROR(__xludf.DUMMYFUNCTION("""COMPUTED_VALUE"""),"MF")</f>
        <v>MF</v>
      </c>
      <c r="D60" s="146">
        <f>IFERROR(__xludf.DUMMYFUNCTION("""COMPUTED_VALUE"""),46112.0)</f>
        <v>46112</v>
      </c>
      <c r="E60" s="136" t="str">
        <f t="shared" si="1"/>
        <v>Tuesday</v>
      </c>
      <c r="F60" s="137">
        <f>IFERROR(__xludf.DUMMYFUNCTION("""COMPUTED_VALUE"""),0.4930555555547471)</f>
        <v>0.4930555556</v>
      </c>
      <c r="G60" s="106">
        <f>IFERROR(__xludf.DUMMYFUNCTION("""COMPUTED_VALUE"""),0.004166666665696539)</f>
        <v>0.004166666666</v>
      </c>
      <c r="H60" s="137">
        <f>IFERROR(__xludf.DUMMYFUNCTION("""COMPUTED_VALUE"""),0.49722222222044365)</f>
        <v>0.4972222222</v>
      </c>
      <c r="I60" s="159">
        <f t="shared" si="2"/>
        <v>5.000000001</v>
      </c>
      <c r="J60" s="136">
        <f>IFERROR(__xludf.DUMMYFUNCTION("""COMPUTED_VALUE"""),12.0)</f>
        <v>12</v>
      </c>
      <c r="K60" s="141">
        <f t="shared" si="3"/>
        <v>0.4</v>
      </c>
      <c r="L60" s="136" t="s">
        <v>15</v>
      </c>
    </row>
    <row r="61">
      <c r="A61" s="144">
        <f>IFERROR(__xludf.DUMMYFUNCTION("""COMPUTED_VALUE"""),46112.8579462037)</f>
        <v>46112.85795</v>
      </c>
      <c r="B61" s="136" t="str">
        <f>IFERROR(__xludf.DUMMYFUNCTION("""COMPUTED_VALUE"""),"Laila Maisuria")</f>
        <v>Laila Maisuria</v>
      </c>
      <c r="C61" s="136" t="str">
        <f>IFERROR(__xludf.DUMMYFUNCTION("""COMPUTED_VALUE"""),"MF")</f>
        <v>MF</v>
      </c>
      <c r="D61" s="146">
        <f>IFERROR(__xludf.DUMMYFUNCTION("""COMPUTED_VALUE"""),46112.0)</f>
        <v>46112</v>
      </c>
      <c r="E61" s="136" t="str">
        <f t="shared" si="1"/>
        <v>Tuesday</v>
      </c>
      <c r="F61" s="137">
        <f>IFERROR(__xludf.DUMMYFUNCTION("""COMPUTED_VALUE"""),0.8520833333313931)</f>
        <v>0.8520833333</v>
      </c>
      <c r="G61" s="106">
        <f>IFERROR(__xludf.DUMMYFUNCTION("""COMPUTED_VALUE"""),0.00555555555911269)</f>
        <v>0.005555555559</v>
      </c>
      <c r="H61" s="137">
        <f>IFERROR(__xludf.DUMMYFUNCTION("""COMPUTED_VALUE"""),0.8576388888905058)</f>
        <v>0.8576388889</v>
      </c>
      <c r="I61" s="159">
        <f t="shared" si="2"/>
        <v>3.749999998</v>
      </c>
      <c r="J61" s="136">
        <f>IFERROR(__xludf.DUMMYFUNCTION("""COMPUTED_VALUE"""),26.0)</f>
        <v>26</v>
      </c>
      <c r="K61" s="141">
        <f t="shared" si="3"/>
        <v>0.8666666667</v>
      </c>
      <c r="L61" s="136" t="s">
        <v>18</v>
      </c>
    </row>
    <row r="62">
      <c r="A62" s="144">
        <f>IFERROR(__xludf.DUMMYFUNCTION("""COMPUTED_VALUE"""),46113.389141921296)</f>
        <v>46113.38914</v>
      </c>
      <c r="B62" s="136" t="str">
        <f>IFERROR(__xludf.DUMMYFUNCTION("""COMPUTED_VALUE"""),"Kaylie Forgue")</f>
        <v>Kaylie Forgue</v>
      </c>
      <c r="C62" s="136" t="str">
        <f>IFERROR(__xludf.DUMMYFUNCTION("""COMPUTED_VALUE"""),"BF")</f>
        <v>BF</v>
      </c>
      <c r="D62" s="146">
        <f>IFERROR(__xludf.DUMMYFUNCTION("""COMPUTED_VALUE"""),46113.0)</f>
        <v>46113</v>
      </c>
      <c r="E62" s="136" t="str">
        <f t="shared" si="1"/>
        <v>Wednesday</v>
      </c>
      <c r="F62" s="137">
        <f>IFERROR(__xludf.DUMMYFUNCTION("""COMPUTED_VALUE"""),0.37708333333284827)</f>
        <v>0.3770833333</v>
      </c>
      <c r="G62" s="106">
        <f>IFERROR(__xludf.DUMMYFUNCTION("""COMPUTED_VALUE"""),0.011805555557657499)</f>
        <v>0.01180555556</v>
      </c>
      <c r="H62" s="137">
        <f>IFERROR(__xludf.DUMMYFUNCTION("""COMPUTED_VALUE"""),0.38888888889050577)</f>
        <v>0.3888888889</v>
      </c>
      <c r="I62" s="159">
        <f t="shared" si="2"/>
        <v>1.764705882</v>
      </c>
      <c r="J62" s="136">
        <f>IFERROR(__xludf.DUMMYFUNCTION("""COMPUTED_VALUE"""),25.0)</f>
        <v>25</v>
      </c>
      <c r="K62" s="141">
        <f t="shared" si="3"/>
        <v>0.8333333333</v>
      </c>
      <c r="L62" s="136" t="s">
        <v>12</v>
      </c>
    </row>
    <row r="63">
      <c r="A63" s="144">
        <f>IFERROR(__xludf.DUMMYFUNCTION("""COMPUTED_VALUE"""),46113.5035778125)</f>
        <v>46113.50358</v>
      </c>
      <c r="B63" s="136" t="str">
        <f>IFERROR(__xludf.DUMMYFUNCTION("""COMPUTED_VALUE"""),"Oluwatimilehin Shodipe")</f>
        <v>Oluwatimilehin Shodipe</v>
      </c>
      <c r="C63" s="136" t="str">
        <f>IFERROR(__xludf.DUMMYFUNCTION("""COMPUTED_VALUE"""),"MF")</f>
        <v>MF</v>
      </c>
      <c r="D63" s="146">
        <f>IFERROR(__xludf.DUMMYFUNCTION("""COMPUTED_VALUE"""),46113.0)</f>
        <v>46113</v>
      </c>
      <c r="E63" s="136" t="str">
        <f t="shared" si="1"/>
        <v>Wednesday</v>
      </c>
      <c r="F63" s="137">
        <f>IFERROR(__xludf.DUMMYFUNCTION("""COMPUTED_VALUE"""),0.4881944444423425)</f>
        <v>0.4881944444</v>
      </c>
      <c r="G63" s="106">
        <f>IFERROR(__xludf.DUMMYFUNCTION("""COMPUTED_VALUE"""),0.015277777776645962)</f>
        <v>0.01527777778</v>
      </c>
      <c r="H63" s="137">
        <f>IFERROR(__xludf.DUMMYFUNCTION("""COMPUTED_VALUE"""),0.5034722222189885)</f>
        <v>0.5034722222</v>
      </c>
      <c r="I63" s="159">
        <f t="shared" si="2"/>
        <v>1.363636364</v>
      </c>
      <c r="J63" s="136">
        <f>IFERROR(__xludf.DUMMYFUNCTION("""COMPUTED_VALUE"""),21.0)</f>
        <v>21</v>
      </c>
      <c r="K63" s="141">
        <f t="shared" si="3"/>
        <v>0.7</v>
      </c>
      <c r="L63" s="136" t="s">
        <v>15</v>
      </c>
    </row>
    <row r="64">
      <c r="A64" s="144">
        <f>IFERROR(__xludf.DUMMYFUNCTION("""COMPUTED_VALUE"""),46113.72253756944)</f>
        <v>46113.72254</v>
      </c>
      <c r="B64" s="136" t="str">
        <f>IFERROR(__xludf.DUMMYFUNCTION("""COMPUTED_VALUE"""),"Evan Morgan")</f>
        <v>Evan Morgan</v>
      </c>
      <c r="C64" s="136" t="str">
        <f>IFERROR(__xludf.DUMMYFUNCTION("""COMPUTED_VALUE"""),"MF")</f>
        <v>MF</v>
      </c>
      <c r="D64" s="146">
        <f>IFERROR(__xludf.DUMMYFUNCTION("""COMPUTED_VALUE"""),46113.0)</f>
        <v>46113</v>
      </c>
      <c r="E64" s="136" t="str">
        <f t="shared" si="1"/>
        <v>Wednesday</v>
      </c>
      <c r="F64" s="137">
        <f>IFERROR(__xludf.DUMMYFUNCTION("""COMPUTED_VALUE"""),0.7152777777810115)</f>
        <v>0.7152777778</v>
      </c>
      <c r="G64" s="106">
        <f>IFERROR(__xludf.DUMMYFUNCTION("""COMPUTED_VALUE"""),0.0069444444379769266)</f>
        <v>0.006944444438</v>
      </c>
      <c r="H64" s="137">
        <f>IFERROR(__xludf.DUMMYFUNCTION("""COMPUTED_VALUE"""),0.7222222222189885)</f>
        <v>0.7222222222</v>
      </c>
      <c r="I64" s="159">
        <f t="shared" si="2"/>
        <v>3.000000003</v>
      </c>
      <c r="J64" s="136">
        <f>IFERROR(__xludf.DUMMYFUNCTION("""COMPUTED_VALUE"""),25.0)</f>
        <v>25</v>
      </c>
      <c r="K64" s="141">
        <f t="shared" si="3"/>
        <v>0.8333333333</v>
      </c>
      <c r="L64" s="136" t="s">
        <v>18</v>
      </c>
    </row>
    <row r="65">
      <c r="A65" s="144">
        <f>IFERROR(__xludf.DUMMYFUNCTION("""COMPUTED_VALUE"""),46113.80413329861)</f>
        <v>46113.80413</v>
      </c>
      <c r="B65" s="136" t="str">
        <f>IFERROR(__xludf.DUMMYFUNCTION("""COMPUTED_VALUE"""),"Brynn Hornig")</f>
        <v>Brynn Hornig</v>
      </c>
      <c r="C65" s="136" t="str">
        <f>IFERROR(__xludf.DUMMYFUNCTION("""COMPUTED_VALUE"""),"MF")</f>
        <v>MF</v>
      </c>
      <c r="D65" s="146">
        <f>IFERROR(__xludf.DUMMYFUNCTION("""COMPUTED_VALUE"""),46113.0)</f>
        <v>46113</v>
      </c>
      <c r="E65" s="136" t="str">
        <f t="shared" si="1"/>
        <v>Wednesday</v>
      </c>
      <c r="F65" s="137">
        <f>IFERROR(__xludf.DUMMYFUNCTION("""COMPUTED_VALUE"""),0.7930555555576575)</f>
        <v>0.7930555556</v>
      </c>
      <c r="G65" s="106">
        <f>IFERROR(__xludf.DUMMYFUNCTION("""COMPUTED_VALUE"""),0.010416666664241347)</f>
        <v>0.01041666666</v>
      </c>
      <c r="H65" s="137">
        <f>IFERROR(__xludf.DUMMYFUNCTION("""COMPUTED_VALUE"""),0.8034722222218988)</f>
        <v>0.8034722222</v>
      </c>
      <c r="I65" s="159">
        <f t="shared" si="2"/>
        <v>2</v>
      </c>
      <c r="J65" s="136">
        <f>IFERROR(__xludf.DUMMYFUNCTION("""COMPUTED_VALUE"""),29.0)</f>
        <v>29</v>
      </c>
      <c r="K65" s="141">
        <f t="shared" si="3"/>
        <v>0.9666666667</v>
      </c>
      <c r="L65" s="136" t="s">
        <v>18</v>
      </c>
    </row>
    <row r="66">
      <c r="A66" s="144">
        <f>IFERROR(__xludf.DUMMYFUNCTION("""COMPUTED_VALUE"""),46114.37460700232)</f>
        <v>46114.37461</v>
      </c>
      <c r="B66" s="136" t="str">
        <f>IFERROR(__xludf.DUMMYFUNCTION("""COMPUTED_VALUE"""),"Sophia Kluck")</f>
        <v>Sophia Kluck</v>
      </c>
      <c r="C66" s="136" t="str">
        <f>IFERROR(__xludf.DUMMYFUNCTION("""COMPUTED_VALUE"""),"BF")</f>
        <v>BF</v>
      </c>
      <c r="D66" s="146">
        <f>IFERROR(__xludf.DUMMYFUNCTION("""COMPUTED_VALUE"""),46114.0)</f>
        <v>46114</v>
      </c>
      <c r="E66" s="136" t="str">
        <f t="shared" si="1"/>
        <v>Thursday</v>
      </c>
      <c r="F66" s="137">
        <f>IFERROR(__xludf.DUMMYFUNCTION("""COMPUTED_VALUE"""),0.3680555555547471)</f>
        <v>0.3680555556</v>
      </c>
      <c r="G66" s="106">
        <f>IFERROR(__xludf.DUMMYFUNCTION("""COMPUTED_VALUE"""),0.0062499999985448085)</f>
        <v>0.006249999999</v>
      </c>
      <c r="H66" s="137">
        <f>IFERROR(__xludf.DUMMYFUNCTION("""COMPUTED_VALUE"""),0.3743055555532919)</f>
        <v>0.3743055556</v>
      </c>
      <c r="I66" s="159">
        <f t="shared" si="2"/>
        <v>3.333333334</v>
      </c>
      <c r="J66" s="136">
        <f>IFERROR(__xludf.DUMMYFUNCTION("""COMPUTED_VALUE"""),27.0)</f>
        <v>27</v>
      </c>
      <c r="K66" s="141">
        <f t="shared" si="3"/>
        <v>0.9</v>
      </c>
      <c r="L66" s="136" t="s">
        <v>12</v>
      </c>
    </row>
    <row r="67">
      <c r="A67" s="144">
        <f>IFERROR(__xludf.DUMMYFUNCTION("""COMPUTED_VALUE"""),46114.72099758102)</f>
        <v>46114.721</v>
      </c>
      <c r="B67" s="136" t="str">
        <f>IFERROR(__xludf.DUMMYFUNCTION("""COMPUTED_VALUE"""),"Leah Bucci")</f>
        <v>Leah Bucci</v>
      </c>
      <c r="C67" s="136" t="str">
        <f>IFERROR(__xludf.DUMMYFUNCTION("""COMPUTED_VALUE"""),"BF")</f>
        <v>BF</v>
      </c>
      <c r="D67" s="146">
        <f>IFERROR(__xludf.DUMMYFUNCTION("""COMPUTED_VALUE"""),46114.0)</f>
        <v>46114</v>
      </c>
      <c r="E67" s="136" t="str">
        <f t="shared" si="1"/>
        <v>Thursday</v>
      </c>
      <c r="F67" s="137">
        <f>IFERROR(__xludf.DUMMYFUNCTION("""COMPUTED_VALUE"""),0.7118055555547471)</f>
        <v>0.7118055556</v>
      </c>
      <c r="G67" s="106">
        <f>IFERROR(__xludf.DUMMYFUNCTION("""COMPUTED_VALUE"""),0.009027777778101154)</f>
        <v>0.009027777778</v>
      </c>
      <c r="H67" s="137">
        <f>IFERROR(__xludf.DUMMYFUNCTION("""COMPUTED_VALUE"""),0.7208333333328483)</f>
        <v>0.7208333333</v>
      </c>
      <c r="I67" s="159">
        <f t="shared" si="2"/>
        <v>2.307692308</v>
      </c>
      <c r="J67" s="136">
        <f>IFERROR(__xludf.DUMMYFUNCTION("""COMPUTED_VALUE"""),18.0)</f>
        <v>18</v>
      </c>
      <c r="K67" s="141">
        <f t="shared" si="3"/>
        <v>0.6</v>
      </c>
      <c r="L67" s="136" t="s">
        <v>18</v>
      </c>
    </row>
    <row r="68">
      <c r="A68" s="144">
        <f>IFERROR(__xludf.DUMMYFUNCTION("""COMPUTED_VALUE"""),46118.39393226852)</f>
        <v>46118.39393</v>
      </c>
      <c r="B68" s="136" t="str">
        <f>IFERROR(__xludf.DUMMYFUNCTION("""COMPUTED_VALUE"""),"Sophia Kluck")</f>
        <v>Sophia Kluck</v>
      </c>
      <c r="C68" s="136" t="str">
        <f>IFERROR(__xludf.DUMMYFUNCTION("""COMPUTED_VALUE"""),"BF")</f>
        <v>BF</v>
      </c>
      <c r="D68" s="146">
        <f>IFERROR(__xludf.DUMMYFUNCTION("""COMPUTED_VALUE"""),46118.0)</f>
        <v>46118</v>
      </c>
      <c r="E68" s="136" t="str">
        <f t="shared" si="1"/>
        <v>Monday</v>
      </c>
      <c r="F68" s="137">
        <f>IFERROR(__xludf.DUMMYFUNCTION("""COMPUTED_VALUE"""),0.3861111111109494)</f>
        <v>0.3861111111</v>
      </c>
      <c r="G68" s="106">
        <f>IFERROR(__xludf.DUMMYFUNCTION("""COMPUTED_VALUE"""),0.00763888889196096)</f>
        <v>0.007638888892</v>
      </c>
      <c r="H68" s="137">
        <f>IFERROR(__xludf.DUMMYFUNCTION("""COMPUTED_VALUE"""),0.3937500000029104)</f>
        <v>0.39375</v>
      </c>
      <c r="I68" s="159">
        <f t="shared" si="2"/>
        <v>2.727272726</v>
      </c>
      <c r="J68" s="136">
        <f>IFERROR(__xludf.DUMMYFUNCTION("""COMPUTED_VALUE"""),27.0)</f>
        <v>27</v>
      </c>
      <c r="K68" s="141">
        <f t="shared" si="3"/>
        <v>0.9</v>
      </c>
      <c r="L68" s="136" t="s">
        <v>12</v>
      </c>
    </row>
    <row r="69">
      <c r="A69" s="144">
        <f>IFERROR(__xludf.DUMMYFUNCTION("""COMPUTED_VALUE"""),46118.683063993056)</f>
        <v>46118.68306</v>
      </c>
      <c r="B69" s="136" t="str">
        <f>IFERROR(__xludf.DUMMYFUNCTION("""COMPUTED_VALUE"""),"Orpheus Wilson")</f>
        <v>Orpheus Wilson</v>
      </c>
      <c r="C69" s="136" t="str">
        <f>IFERROR(__xludf.DUMMYFUNCTION("""COMPUTED_VALUE"""),"MF")</f>
        <v>MF</v>
      </c>
      <c r="D69" s="146">
        <f>IFERROR(__xludf.DUMMYFUNCTION("""COMPUTED_VALUE"""),46118.0)</f>
        <v>46118</v>
      </c>
      <c r="E69" s="136" t="str">
        <f t="shared" si="1"/>
        <v>Monday</v>
      </c>
      <c r="F69" s="137">
        <f>IFERROR(__xludf.DUMMYFUNCTION("""COMPUTED_VALUE"""),0.671527777776646)</f>
        <v>0.6715277778</v>
      </c>
      <c r="G69" s="106">
        <f>IFERROR(__xludf.DUMMYFUNCTION("""COMPUTED_VALUE"""),0.011111111110949423)</f>
        <v>0.01111111111</v>
      </c>
      <c r="H69" s="137">
        <f>IFERROR(__xludf.DUMMYFUNCTION("""COMPUTED_VALUE"""),0.6826388888875954)</f>
        <v>0.6826388889</v>
      </c>
      <c r="I69" s="159">
        <f t="shared" si="2"/>
        <v>1.875</v>
      </c>
      <c r="J69" s="136">
        <f>IFERROR(__xludf.DUMMYFUNCTION("""COMPUTED_VALUE"""),15.0)</f>
        <v>15</v>
      </c>
      <c r="K69" s="141">
        <f t="shared" si="3"/>
        <v>0.5</v>
      </c>
      <c r="L69" s="136" t="s">
        <v>18</v>
      </c>
    </row>
    <row r="70">
      <c r="A70" s="144">
        <f>IFERROR(__xludf.DUMMYFUNCTION("""COMPUTED_VALUE"""),46118.749912025465)</f>
        <v>46118.74991</v>
      </c>
      <c r="B70" s="136" t="str">
        <f>IFERROR(__xludf.DUMMYFUNCTION("""COMPUTED_VALUE"""),"Maureen Surgot")</f>
        <v>Maureen Surgot</v>
      </c>
      <c r="C70" s="136" t="str">
        <f>IFERROR(__xludf.DUMMYFUNCTION("""COMPUTED_VALUE"""),"MF")</f>
        <v>MF</v>
      </c>
      <c r="D70" s="146">
        <f>IFERROR(__xludf.DUMMYFUNCTION("""COMPUTED_VALUE"""),46118.0)</f>
        <v>46118</v>
      </c>
      <c r="E70" s="136" t="str">
        <f t="shared" si="1"/>
        <v>Monday</v>
      </c>
      <c r="F70" s="137">
        <f>IFERROR(__xludf.DUMMYFUNCTION("""COMPUTED_VALUE"""),0.7465277777810115)</f>
        <v>0.7465277778</v>
      </c>
      <c r="G70" s="106">
        <f>IFERROR(__xludf.DUMMYFUNCTION("""COMPUTED_VALUE"""),0.0027777777722803876)</f>
        <v>0.002777777772</v>
      </c>
      <c r="H70" s="137">
        <f>IFERROR(__xludf.DUMMYFUNCTION("""COMPUTED_VALUE"""),0.7493055555532919)</f>
        <v>0.7493055556</v>
      </c>
      <c r="I70" s="159">
        <f t="shared" si="2"/>
        <v>7.500000015</v>
      </c>
      <c r="J70" s="136">
        <f>IFERROR(__xludf.DUMMYFUNCTION("""COMPUTED_VALUE"""),30.0)</f>
        <v>30</v>
      </c>
      <c r="K70" s="141">
        <f t="shared" si="3"/>
        <v>1</v>
      </c>
      <c r="L70" s="136" t="s">
        <v>18</v>
      </c>
    </row>
    <row r="71">
      <c r="A71" s="144">
        <f>IFERROR(__xludf.DUMMYFUNCTION("""COMPUTED_VALUE"""),46119.804955520834)</f>
        <v>46119.80496</v>
      </c>
      <c r="B71" s="136" t="str">
        <f>IFERROR(__xludf.DUMMYFUNCTION("""COMPUTED_VALUE"""),"Laila Maisuria")</f>
        <v>Laila Maisuria</v>
      </c>
      <c r="C71" s="136" t="str">
        <f>IFERROR(__xludf.DUMMYFUNCTION("""COMPUTED_VALUE"""),"MF")</f>
        <v>MF</v>
      </c>
      <c r="D71" s="146">
        <f>IFERROR(__xludf.DUMMYFUNCTION("""COMPUTED_VALUE"""),46119.0)</f>
        <v>46119</v>
      </c>
      <c r="E71" s="136" t="str">
        <f t="shared" si="1"/>
        <v>Tuesday</v>
      </c>
      <c r="F71" s="137">
        <f>IFERROR(__xludf.DUMMYFUNCTION("""COMPUTED_VALUE"""),0.8000000000029104)</f>
        <v>0.8</v>
      </c>
      <c r="G71" s="106">
        <f>IFERROR(__xludf.DUMMYFUNCTION("""COMPUTED_VALUE"""),0.004166666665696539)</f>
        <v>0.004166666666</v>
      </c>
      <c r="H71" s="137">
        <f>IFERROR(__xludf.DUMMYFUNCTION("""COMPUTED_VALUE"""),0.8041666666686069)</f>
        <v>0.8041666667</v>
      </c>
      <c r="I71" s="159">
        <f t="shared" si="2"/>
        <v>5.000000001</v>
      </c>
      <c r="J71" s="136">
        <f>IFERROR(__xludf.DUMMYFUNCTION("""COMPUTED_VALUE"""),27.0)</f>
        <v>27</v>
      </c>
      <c r="K71" s="141">
        <f t="shared" si="3"/>
        <v>0.9</v>
      </c>
      <c r="L71" s="136" t="s">
        <v>18</v>
      </c>
    </row>
    <row r="72">
      <c r="A72" s="144">
        <f>IFERROR(__xludf.DUMMYFUNCTION("""COMPUTED_VALUE"""),46120.35481172454)</f>
        <v>46120.35481</v>
      </c>
      <c r="B72" s="136" t="str">
        <f>IFERROR(__xludf.DUMMYFUNCTION("""COMPUTED_VALUE"""),"Kaylie Forgue")</f>
        <v>Kaylie Forgue</v>
      </c>
      <c r="C72" s="136" t="str">
        <f>IFERROR(__xludf.DUMMYFUNCTION("""COMPUTED_VALUE"""),"BF")</f>
        <v>BF</v>
      </c>
      <c r="D72" s="146">
        <f>IFERROR(__xludf.DUMMYFUNCTION("""COMPUTED_VALUE"""),46120.0)</f>
        <v>46120</v>
      </c>
      <c r="E72" s="136" t="str">
        <f t="shared" si="1"/>
        <v>Wednesday</v>
      </c>
      <c r="F72" s="137">
        <f>IFERROR(__xludf.DUMMYFUNCTION("""COMPUTED_VALUE"""),0.3381944444408873)</f>
        <v>0.3381944444</v>
      </c>
      <c r="G72" s="106">
        <f>IFERROR(__xludf.DUMMYFUNCTION("""COMPUTED_VALUE"""),0.015972222223354038)</f>
        <v>0.01597222222</v>
      </c>
      <c r="H72" s="137">
        <f>IFERROR(__xludf.DUMMYFUNCTION("""COMPUTED_VALUE"""),0.35416666666424135)</f>
        <v>0.3541666667</v>
      </c>
      <c r="I72" s="159">
        <f t="shared" si="2"/>
        <v>1.304347826</v>
      </c>
      <c r="J72" s="136">
        <f>IFERROR(__xludf.DUMMYFUNCTION("""COMPUTED_VALUE"""),21.0)</f>
        <v>21</v>
      </c>
      <c r="K72" s="141">
        <f t="shared" si="3"/>
        <v>0.7</v>
      </c>
      <c r="L72" s="136" t="s">
        <v>12</v>
      </c>
    </row>
    <row r="73">
      <c r="A73" s="144">
        <f>IFERROR(__xludf.DUMMYFUNCTION("""COMPUTED_VALUE"""),46121.325173958336)</f>
        <v>46121.32517</v>
      </c>
      <c r="B73" s="136" t="str">
        <f>IFERROR(__xludf.DUMMYFUNCTION("""COMPUTED_VALUE"""),"Evan Morgan")</f>
        <v>Evan Morgan</v>
      </c>
      <c r="C73" s="136" t="str">
        <f>IFERROR(__xludf.DUMMYFUNCTION("""COMPUTED_VALUE"""),"MF")</f>
        <v>MF</v>
      </c>
      <c r="D73" s="146">
        <f>IFERROR(__xludf.DUMMYFUNCTION("""COMPUTED_VALUE"""),46121.0)</f>
        <v>46121</v>
      </c>
      <c r="E73" s="136" t="str">
        <f t="shared" si="1"/>
        <v>Thursday</v>
      </c>
      <c r="F73" s="137">
        <f>IFERROR(__xludf.DUMMYFUNCTION("""COMPUTED_VALUE"""),0.3013888888890506)</f>
        <v>0.3013888889</v>
      </c>
      <c r="G73" s="106">
        <f>IFERROR(__xludf.DUMMYFUNCTION("""COMPUTED_VALUE"""),0.02361111110803904)</f>
        <v>0.02361111111</v>
      </c>
      <c r="H73" s="137">
        <f>IFERROR(__xludf.DUMMYFUNCTION("""COMPUTED_VALUE"""),0.3249999999970896)</f>
        <v>0.325</v>
      </c>
      <c r="I73" s="159">
        <f t="shared" si="2"/>
        <v>0.8823529413</v>
      </c>
      <c r="J73" s="136">
        <f>IFERROR(__xludf.DUMMYFUNCTION("""COMPUTED_VALUE"""),24.0)</f>
        <v>24</v>
      </c>
      <c r="K73" s="141">
        <f t="shared" si="3"/>
        <v>0.8</v>
      </c>
      <c r="L73" s="136" t="s">
        <v>12</v>
      </c>
    </row>
    <row r="74">
      <c r="A74" s="144">
        <f>IFERROR(__xludf.DUMMYFUNCTION("""COMPUTED_VALUE"""),46121.57504649306)</f>
        <v>46121.57505</v>
      </c>
      <c r="B74" s="136" t="str">
        <f>IFERROR(__xludf.DUMMYFUNCTION("""COMPUTED_VALUE"""),"Kyra Turner")</f>
        <v>Kyra Turner</v>
      </c>
      <c r="C74" s="136" t="str">
        <f>IFERROR(__xludf.DUMMYFUNCTION("""COMPUTED_VALUE"""),"BF")</f>
        <v>BF</v>
      </c>
      <c r="D74" s="146">
        <f>IFERROR(__xludf.DUMMYFUNCTION("""COMPUTED_VALUE"""),46121.0)</f>
        <v>46121</v>
      </c>
      <c r="E74" s="136" t="str">
        <f t="shared" si="1"/>
        <v>Thursday</v>
      </c>
      <c r="F74" s="137">
        <f>IFERROR(__xludf.DUMMYFUNCTION("""COMPUTED_VALUE"""),0.5680555555591127)</f>
        <v>0.5680555556</v>
      </c>
      <c r="G74" s="106">
        <f>IFERROR(__xludf.DUMMYFUNCTION("""COMPUTED_VALUE"""),0.0062499999985448085)</f>
        <v>0.006249999999</v>
      </c>
      <c r="H74" s="137">
        <f>IFERROR(__xludf.DUMMYFUNCTION("""COMPUTED_VALUE"""),0.5743055555576575)</f>
        <v>0.5743055556</v>
      </c>
      <c r="I74" s="159">
        <f t="shared" si="2"/>
        <v>3.333333334</v>
      </c>
      <c r="J74" s="136">
        <f>IFERROR(__xludf.DUMMYFUNCTION("""COMPUTED_VALUE"""),19.0)</f>
        <v>19</v>
      </c>
      <c r="K74" s="141">
        <f t="shared" si="3"/>
        <v>0.6333333333</v>
      </c>
      <c r="L74" s="136" t="s">
        <v>15</v>
      </c>
    </row>
    <row r="75">
      <c r="A75" s="144">
        <f>IFERROR(__xludf.DUMMYFUNCTION("""COMPUTED_VALUE"""),46121.76462328703)</f>
        <v>46121.76462</v>
      </c>
      <c r="B75" s="136" t="str">
        <f>IFERROR(__xludf.DUMMYFUNCTION("""COMPUTED_VALUE"""),"Emmett Khan")</f>
        <v>Emmett Khan</v>
      </c>
      <c r="C75" s="136" t="str">
        <f>IFERROR(__xludf.DUMMYFUNCTION("""COMPUTED_VALUE"""),"MF")</f>
        <v>MF</v>
      </c>
      <c r="D75" s="146">
        <f>IFERROR(__xludf.DUMMYFUNCTION("""COMPUTED_VALUE"""),46121.0)</f>
        <v>46121</v>
      </c>
      <c r="E75" s="136" t="str">
        <f t="shared" si="1"/>
        <v>Thursday</v>
      </c>
      <c r="F75" s="137">
        <f>IFERROR(__xludf.DUMMYFUNCTION("""COMPUTED_VALUE"""),0.7083333333357587)</f>
        <v>0.7083333333</v>
      </c>
      <c r="G75" s="106">
        <f>IFERROR(__xludf.DUMMYFUNCTION("""COMPUTED_VALUE"""),0.055555555554747116)</f>
        <v>0.05555555555</v>
      </c>
      <c r="H75" s="137">
        <f>IFERROR(__xludf.DUMMYFUNCTION("""COMPUTED_VALUE"""),0.7638888888905058)</f>
        <v>0.7638888889</v>
      </c>
      <c r="I75" s="159">
        <f t="shared" si="2"/>
        <v>0.375</v>
      </c>
      <c r="J75" s="136">
        <f>IFERROR(__xludf.DUMMYFUNCTION("""COMPUTED_VALUE"""),24.0)</f>
        <v>24</v>
      </c>
      <c r="K75" s="141">
        <f t="shared" si="3"/>
        <v>0.8</v>
      </c>
      <c r="L75" s="136" t="s">
        <v>18</v>
      </c>
    </row>
    <row r="76">
      <c r="A76" s="144">
        <f>IFERROR(__xludf.DUMMYFUNCTION("""COMPUTED_VALUE"""),46121.80450475695)</f>
        <v>46121.8045</v>
      </c>
      <c r="B76" s="136" t="str">
        <f>IFERROR(__xludf.DUMMYFUNCTION("""COMPUTED_VALUE"""),"Leah Bucci")</f>
        <v>Leah Bucci</v>
      </c>
      <c r="C76" s="136" t="str">
        <f>IFERROR(__xludf.DUMMYFUNCTION("""COMPUTED_VALUE"""),"BF")</f>
        <v>BF</v>
      </c>
      <c r="D76" s="146">
        <f>IFERROR(__xludf.DUMMYFUNCTION("""COMPUTED_VALUE"""),46121.0)</f>
        <v>46121</v>
      </c>
      <c r="E76" s="136" t="str">
        <f t="shared" si="1"/>
        <v>Thursday</v>
      </c>
      <c r="F76" s="137">
        <f>IFERROR(__xludf.DUMMYFUNCTION("""COMPUTED_VALUE"""),0.7916666666642413)</f>
        <v>0.7916666667</v>
      </c>
      <c r="G76" s="106">
        <f>IFERROR(__xludf.DUMMYFUNCTION("""COMPUTED_VALUE"""),0.012500000004365575)</f>
        <v>0.0125</v>
      </c>
      <c r="H76" s="137">
        <f>IFERROR(__xludf.DUMMYFUNCTION("""COMPUTED_VALUE"""),0.8041666666686069)</f>
        <v>0.8041666667</v>
      </c>
      <c r="I76" s="159">
        <f t="shared" si="2"/>
        <v>1.666666666</v>
      </c>
      <c r="J76" s="136">
        <f>IFERROR(__xludf.DUMMYFUNCTION("""COMPUTED_VALUE"""),21.0)</f>
        <v>21</v>
      </c>
      <c r="K76" s="141">
        <f t="shared" si="3"/>
        <v>0.7</v>
      </c>
      <c r="L76" s="136" t="s">
        <v>18</v>
      </c>
    </row>
    <row r="77">
      <c r="A77" s="144">
        <f>IFERROR(__xludf.DUMMYFUNCTION("""COMPUTED_VALUE"""),46122.503141180554)</f>
        <v>46122.50314</v>
      </c>
      <c r="B77" s="136" t="str">
        <f>IFERROR(__xludf.DUMMYFUNCTION("""COMPUTED_VALUE"""),"Oluwatimilehin Shodipe")</f>
        <v>Oluwatimilehin Shodipe</v>
      </c>
      <c r="C77" s="136" t="str">
        <f>IFERROR(__xludf.DUMMYFUNCTION("""COMPUTED_VALUE"""),"MF")</f>
        <v>MF</v>
      </c>
      <c r="D77" s="146">
        <f>IFERROR(__xludf.DUMMYFUNCTION("""COMPUTED_VALUE"""),46122.0)</f>
        <v>46122</v>
      </c>
      <c r="E77" s="136" t="str">
        <f t="shared" si="1"/>
        <v>Friday</v>
      </c>
      <c r="F77" s="137">
        <f>IFERROR(__xludf.DUMMYFUNCTION("""COMPUTED_VALUE"""),0.4930555555547471)</f>
        <v>0.4930555556</v>
      </c>
      <c r="G77" s="106">
        <f>IFERROR(__xludf.DUMMYFUNCTION("""COMPUTED_VALUE"""),0.00972222222480923)</f>
        <v>0.009722222225</v>
      </c>
      <c r="H77" s="137">
        <f>IFERROR(__xludf.DUMMYFUNCTION("""COMPUTED_VALUE"""),0.5027777777795563)</f>
        <v>0.5027777778</v>
      </c>
      <c r="I77" s="159">
        <f t="shared" si="2"/>
        <v>2.142857142</v>
      </c>
      <c r="J77" s="136">
        <f>IFERROR(__xludf.DUMMYFUNCTION("""COMPUTED_VALUE"""),22.0)</f>
        <v>22</v>
      </c>
      <c r="K77" s="141">
        <f t="shared" si="3"/>
        <v>0.7333333333</v>
      </c>
      <c r="L77" s="136" t="s">
        <v>15</v>
      </c>
    </row>
    <row r="78">
      <c r="A78" s="144">
        <f>IFERROR(__xludf.DUMMYFUNCTION("""COMPUTED_VALUE"""),46122.52243153936)</f>
        <v>46122.52243</v>
      </c>
      <c r="B78" s="136" t="str">
        <f>IFERROR(__xludf.DUMMYFUNCTION("""COMPUTED_VALUE"""),"Brynn Hornig")</f>
        <v>Brynn Hornig</v>
      </c>
      <c r="C78" s="136" t="str">
        <f>IFERROR(__xludf.DUMMYFUNCTION("""COMPUTED_VALUE"""),"BF")</f>
        <v>BF</v>
      </c>
      <c r="D78" s="146">
        <f>IFERROR(__xludf.DUMMYFUNCTION("""COMPUTED_VALUE"""),46122.0)</f>
        <v>46122</v>
      </c>
      <c r="E78" s="136" t="str">
        <f t="shared" si="1"/>
        <v>Friday</v>
      </c>
      <c r="F78" s="137">
        <f>IFERROR(__xludf.DUMMYFUNCTION("""COMPUTED_VALUE"""),0.5124999999970896)</f>
        <v>0.5125</v>
      </c>
      <c r="G78" s="106">
        <f>IFERROR(__xludf.DUMMYFUNCTION("""COMPUTED_VALUE"""),0.00972222222480923)</f>
        <v>0.009722222225</v>
      </c>
      <c r="H78" s="137">
        <f>IFERROR(__xludf.DUMMYFUNCTION("""COMPUTED_VALUE"""),0.5222222222218988)</f>
        <v>0.5222222222</v>
      </c>
      <c r="I78" s="159">
        <f t="shared" si="2"/>
        <v>2.142857142</v>
      </c>
      <c r="J78" s="136">
        <f>IFERROR(__xludf.DUMMYFUNCTION("""COMPUTED_VALUE"""),28.0)</f>
        <v>28</v>
      </c>
      <c r="K78" s="141">
        <f t="shared" si="3"/>
        <v>0.9333333333</v>
      </c>
      <c r="L78" s="136" t="s">
        <v>15</v>
      </c>
    </row>
    <row r="79">
      <c r="A79" s="144">
        <f>IFERROR(__xludf.DUMMYFUNCTION("""COMPUTED_VALUE"""),46125.68239741898)</f>
        <v>46125.6824</v>
      </c>
      <c r="B79" s="136" t="str">
        <f>IFERROR(__xludf.DUMMYFUNCTION("""COMPUTED_VALUE"""),"Orpheus Wilson")</f>
        <v>Orpheus Wilson</v>
      </c>
      <c r="C79" s="136" t="str">
        <f>IFERROR(__xludf.DUMMYFUNCTION("""COMPUTED_VALUE"""),"MF")</f>
        <v>MF</v>
      </c>
      <c r="D79" s="146">
        <f>IFERROR(__xludf.DUMMYFUNCTION("""COMPUTED_VALUE"""),46125.0)</f>
        <v>46125</v>
      </c>
      <c r="E79" s="136" t="str">
        <f t="shared" si="1"/>
        <v>Monday</v>
      </c>
      <c r="F79" s="137">
        <f>IFERROR(__xludf.DUMMYFUNCTION("""COMPUTED_VALUE"""),0.6687499999970896)</f>
        <v>0.66875</v>
      </c>
      <c r="G79" s="106">
        <f>IFERROR(__xludf.DUMMYFUNCTION("""COMPUTED_VALUE"""),0.013194444443797693)</f>
        <v>0.01319444444</v>
      </c>
      <c r="H79" s="137">
        <f>IFERROR(__xludf.DUMMYFUNCTION("""COMPUTED_VALUE"""),0.6819444444408873)</f>
        <v>0.6819444444</v>
      </c>
      <c r="I79" s="159">
        <f t="shared" si="2"/>
        <v>1.578947368</v>
      </c>
      <c r="J79" s="136">
        <f>IFERROR(__xludf.DUMMYFUNCTION("""COMPUTED_VALUE"""),18.0)</f>
        <v>18</v>
      </c>
      <c r="K79" s="141">
        <f t="shared" si="3"/>
        <v>0.6</v>
      </c>
      <c r="L79" s="136" t="s">
        <v>18</v>
      </c>
    </row>
    <row r="80">
      <c r="A80" s="144">
        <f>IFERROR(__xludf.DUMMYFUNCTION("""COMPUTED_VALUE"""),46125.756322002315)</f>
        <v>46125.75632</v>
      </c>
      <c r="B80" s="136" t="str">
        <f>IFERROR(__xludf.DUMMYFUNCTION("""COMPUTED_VALUE"""),"Maureen Surgot")</f>
        <v>Maureen Surgot</v>
      </c>
      <c r="C80" s="136" t="str">
        <f>IFERROR(__xludf.DUMMYFUNCTION("""COMPUTED_VALUE"""),"MF")</f>
        <v>MF</v>
      </c>
      <c r="D80" s="146">
        <f>IFERROR(__xludf.DUMMYFUNCTION("""COMPUTED_VALUE"""),46125.0)</f>
        <v>46125</v>
      </c>
      <c r="E80" s="136" t="str">
        <f t="shared" si="1"/>
        <v>Monday</v>
      </c>
      <c r="F80" s="137">
        <f>IFERROR(__xludf.DUMMYFUNCTION("""COMPUTED_VALUE"""),0.7527777777795563)</f>
        <v>0.7527777778</v>
      </c>
      <c r="G80" s="106">
        <f>IFERROR(__xludf.DUMMYFUNCTION("""COMPUTED_VALUE"""),0.002777777779556345)</f>
        <v>0.00277777778</v>
      </c>
      <c r="H80" s="137">
        <f>IFERROR(__xludf.DUMMYFUNCTION("""COMPUTED_VALUE"""),0.7555555555591127)</f>
        <v>0.7555555556</v>
      </c>
      <c r="I80" s="159">
        <f t="shared" si="2"/>
        <v>7.499999995</v>
      </c>
      <c r="J80" s="136">
        <f>IFERROR(__xludf.DUMMYFUNCTION("""COMPUTED_VALUE"""),30.0)</f>
        <v>30</v>
      </c>
      <c r="K80" s="141">
        <f t="shared" si="3"/>
        <v>1</v>
      </c>
      <c r="L80" s="136" t="s">
        <v>18</v>
      </c>
    </row>
    <row r="81">
      <c r="A81" s="144">
        <f>IFERROR(__xludf.DUMMYFUNCTION("""COMPUTED_VALUE"""),46126.78490788194)</f>
        <v>46126.78491</v>
      </c>
      <c r="B81" s="136" t="str">
        <f>IFERROR(__xludf.DUMMYFUNCTION("""COMPUTED_VALUE"""),"Leah Bucci")</f>
        <v>Leah Bucci</v>
      </c>
      <c r="C81" s="136" t="str">
        <f>IFERROR(__xludf.DUMMYFUNCTION("""COMPUTED_VALUE"""),"BF")</f>
        <v>BF</v>
      </c>
      <c r="D81" s="146">
        <f>IFERROR(__xludf.DUMMYFUNCTION("""COMPUTED_VALUE"""),46126.0)</f>
        <v>46126</v>
      </c>
      <c r="E81" s="136" t="str">
        <f t="shared" si="1"/>
        <v>Tuesday</v>
      </c>
      <c r="F81" s="137">
        <f>IFERROR(__xludf.DUMMYFUNCTION("""COMPUTED_VALUE"""),0.7777777777810115)</f>
        <v>0.7777777778</v>
      </c>
      <c r="G81" s="106">
        <f>IFERROR(__xludf.DUMMYFUNCTION("""COMPUTED_VALUE"""),0.0069444444379769266)</f>
        <v>0.006944444438</v>
      </c>
      <c r="H81" s="137">
        <f>IFERROR(__xludf.DUMMYFUNCTION("""COMPUTED_VALUE"""),0.7847222222189885)</f>
        <v>0.7847222222</v>
      </c>
      <c r="I81" s="159">
        <f t="shared" si="2"/>
        <v>3.000000003</v>
      </c>
      <c r="J81" s="136">
        <f>IFERROR(__xludf.DUMMYFUNCTION("""COMPUTED_VALUE"""),21.0)</f>
        <v>21</v>
      </c>
      <c r="K81" s="141">
        <f t="shared" si="3"/>
        <v>0.7</v>
      </c>
      <c r="L81" s="136" t="s">
        <v>18</v>
      </c>
    </row>
    <row r="82">
      <c r="A82" s="144">
        <f>IFERROR(__xludf.DUMMYFUNCTION("""COMPUTED_VALUE"""),46126.851888784724)</f>
        <v>46126.85189</v>
      </c>
      <c r="B82" s="136" t="str">
        <f>IFERROR(__xludf.DUMMYFUNCTION("""COMPUTED_VALUE"""),"Laila Maisuria")</f>
        <v>Laila Maisuria</v>
      </c>
      <c r="C82" s="136" t="str">
        <f>IFERROR(__xludf.DUMMYFUNCTION("""COMPUTED_VALUE"""),"MF")</f>
        <v>MF</v>
      </c>
      <c r="D82" s="146">
        <f>IFERROR(__xludf.DUMMYFUNCTION("""COMPUTED_VALUE"""),46126.0)</f>
        <v>46126</v>
      </c>
      <c r="E82" s="136" t="str">
        <f t="shared" si="1"/>
        <v>Tuesday</v>
      </c>
      <c r="F82" s="137">
        <f>IFERROR(__xludf.DUMMYFUNCTION("""COMPUTED_VALUE"""),0.8479166666656965)</f>
        <v>0.8479166667</v>
      </c>
      <c r="G82" s="106">
        <f>IFERROR(__xludf.DUMMYFUNCTION("""COMPUTED_VALUE"""),0.0034722222189884633)</f>
        <v>0.003472222219</v>
      </c>
      <c r="H82" s="137">
        <f>IFERROR(__xludf.DUMMYFUNCTION("""COMPUTED_VALUE"""),0.851388888884685)</f>
        <v>0.8513888889</v>
      </c>
      <c r="I82" s="159">
        <f t="shared" si="2"/>
        <v>6.000000006</v>
      </c>
      <c r="J82" s="136">
        <f>IFERROR(__xludf.DUMMYFUNCTION("""COMPUTED_VALUE"""),27.0)</f>
        <v>27</v>
      </c>
      <c r="K82" s="141">
        <f t="shared" si="3"/>
        <v>0.9</v>
      </c>
      <c r="L82" s="136" t="s">
        <v>18</v>
      </c>
    </row>
    <row r="83">
      <c r="A83" s="144">
        <f>IFERROR(__xludf.DUMMYFUNCTION("""COMPUTED_VALUE"""),46127.35180358797)</f>
        <v>46127.3518</v>
      </c>
      <c r="B83" s="136" t="str">
        <f>IFERROR(__xludf.DUMMYFUNCTION("""COMPUTED_VALUE"""),"Kaylie Forgue")</f>
        <v>Kaylie Forgue</v>
      </c>
      <c r="C83" s="136" t="str">
        <f>IFERROR(__xludf.DUMMYFUNCTION("""COMPUTED_VALUE"""),"BF")</f>
        <v>BF</v>
      </c>
      <c r="D83" s="146">
        <f>IFERROR(__xludf.DUMMYFUNCTION("""COMPUTED_VALUE"""),46127.0)</f>
        <v>46127</v>
      </c>
      <c r="E83" s="136" t="str">
        <f t="shared" si="1"/>
        <v>Wednesday</v>
      </c>
      <c r="F83" s="137">
        <f>IFERROR(__xludf.DUMMYFUNCTION("""COMPUTED_VALUE"""),0.3388888888875954)</f>
        <v>0.3388888889</v>
      </c>
      <c r="G83" s="106">
        <f>IFERROR(__xludf.DUMMYFUNCTION("""COMPUTED_VALUE"""),0.012499999997089617)</f>
        <v>0.0125</v>
      </c>
      <c r="H83" s="137">
        <f>IFERROR(__xludf.DUMMYFUNCTION("""COMPUTED_VALUE"""),0.351388888884685)</f>
        <v>0.3513888889</v>
      </c>
      <c r="I83" s="159">
        <f t="shared" si="2"/>
        <v>1.666666667</v>
      </c>
      <c r="J83" s="136">
        <f>IFERROR(__xludf.DUMMYFUNCTION("""COMPUTED_VALUE"""),21.0)</f>
        <v>21</v>
      </c>
      <c r="K83" s="141">
        <f t="shared" si="3"/>
        <v>0.7</v>
      </c>
      <c r="L83" s="136" t="s">
        <v>12</v>
      </c>
    </row>
    <row r="84">
      <c r="A84" s="144">
        <f>IFERROR(__xludf.DUMMYFUNCTION("""COMPUTED_VALUE"""),46127.7780580324)</f>
        <v>46127.77806</v>
      </c>
      <c r="B84" s="136" t="str">
        <f>IFERROR(__xludf.DUMMYFUNCTION("""COMPUTED_VALUE"""),"Brynn Hornig")</f>
        <v>Brynn Hornig</v>
      </c>
      <c r="C84" s="136" t="str">
        <f>IFERROR(__xludf.DUMMYFUNCTION("""COMPUTED_VALUE"""),"MF")</f>
        <v>MF</v>
      </c>
      <c r="D84" s="146">
        <f>IFERROR(__xludf.DUMMYFUNCTION("""COMPUTED_VALUE"""),46127.0)</f>
        <v>46127</v>
      </c>
      <c r="E84" s="136" t="str">
        <f t="shared" si="1"/>
        <v>Wednesday</v>
      </c>
      <c r="F84" s="137">
        <f>IFERROR(__xludf.DUMMYFUNCTION("""COMPUTED_VALUE"""),0.7715277777751908)</f>
        <v>0.7715277778</v>
      </c>
      <c r="G84" s="106">
        <f>IFERROR(__xludf.DUMMYFUNCTION("""COMPUTED_VALUE"""),0.006250000005820766)</f>
        <v>0.006250000006</v>
      </c>
      <c r="H84" s="137">
        <f>IFERROR(__xludf.DUMMYFUNCTION("""COMPUTED_VALUE"""),0.7777777777810115)</f>
        <v>0.7777777778</v>
      </c>
      <c r="I84" s="159">
        <f t="shared" si="2"/>
        <v>3.33333333</v>
      </c>
      <c r="J84" s="136">
        <f>IFERROR(__xludf.DUMMYFUNCTION("""COMPUTED_VALUE"""),30.0)</f>
        <v>30</v>
      </c>
      <c r="K84" s="141">
        <f t="shared" si="3"/>
        <v>1</v>
      </c>
      <c r="L84" s="136" t="s">
        <v>18</v>
      </c>
    </row>
    <row r="85">
      <c r="A85" s="144">
        <f>IFERROR(__xludf.DUMMYFUNCTION("""COMPUTED_VALUE"""),46128.32827322917)</f>
        <v>46128.32827</v>
      </c>
      <c r="B85" s="136" t="str">
        <f>IFERROR(__xludf.DUMMYFUNCTION("""COMPUTED_VALUE"""),"Evan Morgan")</f>
        <v>Evan Morgan</v>
      </c>
      <c r="C85" s="136" t="str">
        <f>IFERROR(__xludf.DUMMYFUNCTION("""COMPUTED_VALUE"""),"MF")</f>
        <v>MF</v>
      </c>
      <c r="D85" s="146">
        <f>IFERROR(__xludf.DUMMYFUNCTION("""COMPUTED_VALUE"""),46128.0)</f>
        <v>46128</v>
      </c>
      <c r="E85" s="136" t="str">
        <f t="shared" si="1"/>
        <v>Thursday</v>
      </c>
      <c r="F85" s="137">
        <f>IFERROR(__xludf.DUMMYFUNCTION("""COMPUTED_VALUE"""),0.29166666666424135)</f>
        <v>0.2916666667</v>
      </c>
      <c r="G85" s="106">
        <f>IFERROR(__xludf.DUMMYFUNCTION("""COMPUTED_VALUE"""),0.036111111112404615)</f>
        <v>0.03611111111</v>
      </c>
      <c r="H85" s="137">
        <f>IFERROR(__xludf.DUMMYFUNCTION("""COMPUTED_VALUE"""),0.32777777777664596)</f>
        <v>0.3277777778</v>
      </c>
      <c r="I85" s="159">
        <f t="shared" si="2"/>
        <v>0.5769230769</v>
      </c>
      <c r="J85" s="136">
        <f>IFERROR(__xludf.DUMMYFUNCTION("""COMPUTED_VALUE"""),25.0)</f>
        <v>25</v>
      </c>
      <c r="K85" s="141">
        <f t="shared" si="3"/>
        <v>0.8333333333</v>
      </c>
      <c r="L85" s="136" t="s">
        <v>12</v>
      </c>
    </row>
    <row r="86">
      <c r="A86" s="144">
        <f>IFERROR(__xludf.DUMMYFUNCTION("""COMPUTED_VALUE"""),46128.37883922453)</f>
        <v>46128.37884</v>
      </c>
      <c r="B86" s="136" t="str">
        <f>IFERROR(__xludf.DUMMYFUNCTION("""COMPUTED_VALUE"""),"Sophia Kluck")</f>
        <v>Sophia Kluck</v>
      </c>
      <c r="C86" s="136" t="str">
        <f>IFERROR(__xludf.DUMMYFUNCTION("""COMPUTED_VALUE"""),"BF")</f>
        <v>BF</v>
      </c>
      <c r="D86" s="146">
        <f>IFERROR(__xludf.DUMMYFUNCTION("""COMPUTED_VALUE"""),46128.0)</f>
        <v>46128</v>
      </c>
      <c r="E86" s="136" t="str">
        <f t="shared" si="1"/>
        <v>Thursday</v>
      </c>
      <c r="F86" s="137">
        <f>IFERROR(__xludf.DUMMYFUNCTION("""COMPUTED_VALUE"""),0.3694444444408873)</f>
        <v>0.3694444444</v>
      </c>
      <c r="G86" s="106">
        <f>IFERROR(__xludf.DUMMYFUNCTION("""COMPUTED_VALUE"""),0.009027777778101154)</f>
        <v>0.009027777778</v>
      </c>
      <c r="H86" s="137">
        <f>IFERROR(__xludf.DUMMYFUNCTION("""COMPUTED_VALUE"""),0.37847222221898846)</f>
        <v>0.3784722222</v>
      </c>
      <c r="I86" s="159">
        <f t="shared" si="2"/>
        <v>2.307692308</v>
      </c>
      <c r="J86" s="136">
        <f>IFERROR(__xludf.DUMMYFUNCTION("""COMPUTED_VALUE"""),28.0)</f>
        <v>28</v>
      </c>
      <c r="K86" s="141">
        <f t="shared" si="3"/>
        <v>0.9333333333</v>
      </c>
      <c r="L86" s="136" t="s">
        <v>12</v>
      </c>
    </row>
    <row r="87">
      <c r="A87" s="144">
        <f>IFERROR(__xludf.DUMMYFUNCTION("""COMPUTED_VALUE"""),46128.57752335648)</f>
        <v>46128.57752</v>
      </c>
      <c r="B87" s="136" t="str">
        <f>IFERROR(__xludf.DUMMYFUNCTION("""COMPUTED_VALUE"""),"Kyra Turner")</f>
        <v>Kyra Turner</v>
      </c>
      <c r="C87" s="136" t="str">
        <f>IFERROR(__xludf.DUMMYFUNCTION("""COMPUTED_VALUE"""),"BF")</f>
        <v>BF</v>
      </c>
      <c r="D87" s="146">
        <f>IFERROR(__xludf.DUMMYFUNCTION("""COMPUTED_VALUE"""),46128.0)</f>
        <v>46128</v>
      </c>
      <c r="E87" s="136" t="str">
        <f t="shared" si="1"/>
        <v>Thursday</v>
      </c>
      <c r="F87" s="137">
        <f>IFERROR(__xludf.DUMMYFUNCTION("""COMPUTED_VALUE"""),0.5694444444452529)</f>
        <v>0.5694444444</v>
      </c>
      <c r="G87" s="106">
        <f>IFERROR(__xludf.DUMMYFUNCTION("""COMPUTED_VALUE"""),0.00763888889196096)</f>
        <v>0.007638888892</v>
      </c>
      <c r="H87" s="137">
        <f>IFERROR(__xludf.DUMMYFUNCTION("""COMPUTED_VALUE"""),0.5770833333372138)</f>
        <v>0.5770833333</v>
      </c>
      <c r="I87" s="159">
        <f t="shared" si="2"/>
        <v>2.727272726</v>
      </c>
      <c r="J87" s="136">
        <f>IFERROR(__xludf.DUMMYFUNCTION("""COMPUTED_VALUE"""),17.0)</f>
        <v>17</v>
      </c>
      <c r="K87" s="141">
        <f t="shared" si="3"/>
        <v>0.5666666667</v>
      </c>
      <c r="L87" s="136" t="s">
        <v>15</v>
      </c>
    </row>
    <row r="88">
      <c r="A88" s="144">
        <f>IFERROR(__xludf.DUMMYFUNCTION("""COMPUTED_VALUE"""),46128.7575502199)</f>
        <v>46128.75755</v>
      </c>
      <c r="B88" s="136" t="str">
        <f>IFERROR(__xludf.DUMMYFUNCTION("""COMPUTED_VALUE"""),"Emmett Khan")</f>
        <v>Emmett Khan</v>
      </c>
      <c r="C88" s="136" t="str">
        <f>IFERROR(__xludf.DUMMYFUNCTION("""COMPUTED_VALUE"""),"MF")</f>
        <v>MF</v>
      </c>
      <c r="D88" s="146">
        <f>IFERROR(__xludf.DUMMYFUNCTION("""COMPUTED_VALUE"""),46128.0)</f>
        <v>46128</v>
      </c>
      <c r="E88" s="136" t="str">
        <f t="shared" si="1"/>
        <v>Thursday</v>
      </c>
      <c r="F88" s="137">
        <f>IFERROR(__xludf.DUMMYFUNCTION("""COMPUTED_VALUE"""),0.7534722222189885)</f>
        <v>0.7534722222</v>
      </c>
      <c r="G88" s="106">
        <f>IFERROR(__xludf.DUMMYFUNCTION("""COMPUTED_VALUE"""),0.003472222226264421)</f>
        <v>0.003472222226</v>
      </c>
      <c r="H88" s="137">
        <f>IFERROR(__xludf.DUMMYFUNCTION("""COMPUTED_VALUE"""),0.7569444444452529)</f>
        <v>0.7569444444</v>
      </c>
      <c r="I88" s="159">
        <f t="shared" si="2"/>
        <v>5.999999993</v>
      </c>
      <c r="J88" s="136">
        <f>IFERROR(__xludf.DUMMYFUNCTION("""COMPUTED_VALUE"""),26.0)</f>
        <v>26</v>
      </c>
      <c r="K88" s="141">
        <f t="shared" si="3"/>
        <v>0.8666666667</v>
      </c>
      <c r="L88" s="136" t="s">
        <v>18</v>
      </c>
    </row>
    <row r="89">
      <c r="A89" s="144">
        <f>IFERROR(__xludf.DUMMYFUNCTION("""COMPUTED_VALUE"""),46129.55925634259)</f>
        <v>46129.55926</v>
      </c>
      <c r="B89" s="136" t="str">
        <f>IFERROR(__xludf.DUMMYFUNCTION("""COMPUTED_VALUE"""),"Oluwatimilehin Shodipe")</f>
        <v>Oluwatimilehin Shodipe</v>
      </c>
      <c r="C89" s="136" t="str">
        <f>IFERROR(__xludf.DUMMYFUNCTION("""COMPUTED_VALUE"""),"MF")</f>
        <v>MF</v>
      </c>
      <c r="D89" s="146">
        <f>IFERROR(__xludf.DUMMYFUNCTION("""COMPUTED_VALUE"""),46129.0)</f>
        <v>46129</v>
      </c>
      <c r="E89" s="136" t="str">
        <f t="shared" si="1"/>
        <v>Friday</v>
      </c>
      <c r="F89" s="137">
        <f>IFERROR(__xludf.DUMMYFUNCTION("""COMPUTED_VALUE"""),0.5541666666686069)</f>
        <v>0.5541666667</v>
      </c>
      <c r="G89" s="106">
        <f>IFERROR(__xludf.DUMMYFUNCTION("""COMPUTED_VALUE"""),0.0034722222189884633)</f>
        <v>0.003472222219</v>
      </c>
      <c r="H89" s="137">
        <f>IFERROR(__xludf.DUMMYFUNCTION("""COMPUTED_VALUE"""),0.5576388888875954)</f>
        <v>0.5576388889</v>
      </c>
      <c r="I89" s="159">
        <f t="shared" si="2"/>
        <v>6.000000006</v>
      </c>
      <c r="J89" s="136">
        <f>IFERROR(__xludf.DUMMYFUNCTION("""COMPUTED_VALUE"""),14.0)</f>
        <v>14</v>
      </c>
      <c r="K89" s="141">
        <f t="shared" si="3"/>
        <v>0.4666666667</v>
      </c>
      <c r="L89" s="136" t="s">
        <v>15</v>
      </c>
    </row>
    <row r="90">
      <c r="A90" s="144">
        <f>IFERROR(__xludf.DUMMYFUNCTION("""COMPUTED_VALUE"""),46132.683030451386)</f>
        <v>46132.68303</v>
      </c>
      <c r="B90" s="136" t="str">
        <f>IFERROR(__xludf.DUMMYFUNCTION("""COMPUTED_VALUE"""),"Orpheus Wilson")</f>
        <v>Orpheus Wilson</v>
      </c>
      <c r="C90" s="136" t="str">
        <f>IFERROR(__xludf.DUMMYFUNCTION("""COMPUTED_VALUE"""),"MF")</f>
        <v>MF</v>
      </c>
      <c r="D90" s="146">
        <f>IFERROR(__xludf.DUMMYFUNCTION("""COMPUTED_VALUE"""),46132.0)</f>
        <v>46132</v>
      </c>
      <c r="E90" s="136" t="str">
        <f t="shared" si="1"/>
        <v>Monday</v>
      </c>
      <c r="F90" s="137">
        <f>IFERROR(__xludf.DUMMYFUNCTION("""COMPUTED_VALUE"""),0.6763888888890506)</f>
        <v>0.6763888889</v>
      </c>
      <c r="G90" s="106">
        <f>IFERROR(__xludf.DUMMYFUNCTION("""COMPUTED_VALUE"""),0.0062499999985448085)</f>
        <v>0.006249999999</v>
      </c>
      <c r="H90" s="137">
        <f>IFERROR(__xludf.DUMMYFUNCTION("""COMPUTED_VALUE"""),0.6826388888875954)</f>
        <v>0.6826388889</v>
      </c>
      <c r="I90" s="159">
        <f t="shared" si="2"/>
        <v>3.333333334</v>
      </c>
      <c r="J90" s="136">
        <f>IFERROR(__xludf.DUMMYFUNCTION("""COMPUTED_VALUE"""),20.0)</f>
        <v>20</v>
      </c>
      <c r="K90" s="141">
        <f t="shared" si="3"/>
        <v>0.6666666667</v>
      </c>
      <c r="L90" s="136" t="s">
        <v>18</v>
      </c>
    </row>
    <row r="91">
      <c r="A91" s="144">
        <f>IFERROR(__xludf.DUMMYFUNCTION("""COMPUTED_VALUE"""),46132.75265873843)</f>
        <v>46132.75266</v>
      </c>
      <c r="B91" s="136" t="str">
        <f>IFERROR(__xludf.DUMMYFUNCTION("""COMPUTED_VALUE"""),"Maureen Surgot")</f>
        <v>Maureen Surgot</v>
      </c>
      <c r="C91" s="136" t="str">
        <f>IFERROR(__xludf.DUMMYFUNCTION("""COMPUTED_VALUE"""),"MF")</f>
        <v>MF</v>
      </c>
      <c r="D91" s="146">
        <f>IFERROR(__xludf.DUMMYFUNCTION("""COMPUTED_VALUE"""),46132.0)</f>
        <v>46132</v>
      </c>
      <c r="E91" s="136" t="str">
        <f t="shared" si="1"/>
        <v>Monday</v>
      </c>
      <c r="F91" s="137">
        <f>IFERROR(__xludf.DUMMYFUNCTION("""COMPUTED_VALUE"""),0.7486111111065838)</f>
        <v>0.7486111111</v>
      </c>
      <c r="G91" s="106">
        <f>IFERROR(__xludf.DUMMYFUNCTION("""COMPUTED_VALUE"""),0.003472222226264421)</f>
        <v>0.003472222226</v>
      </c>
      <c r="H91" s="137">
        <f>IFERROR(__xludf.DUMMYFUNCTION("""COMPUTED_VALUE"""),0.7520833333328483)</f>
        <v>0.7520833333</v>
      </c>
      <c r="I91" s="159">
        <f t="shared" si="2"/>
        <v>5.999999993</v>
      </c>
      <c r="J91" s="136">
        <f>IFERROR(__xludf.DUMMYFUNCTION("""COMPUTED_VALUE"""),30.0)</f>
        <v>30</v>
      </c>
      <c r="K91" s="141">
        <f t="shared" si="3"/>
        <v>1</v>
      </c>
      <c r="L91" s="136" t="s">
        <v>18</v>
      </c>
    </row>
    <row r="92">
      <c r="A92" s="144">
        <f>IFERROR(__xludf.DUMMYFUNCTION("""COMPUTED_VALUE"""),46134.598020324076)</f>
        <v>46134.59802</v>
      </c>
      <c r="B92" s="136" t="str">
        <f>IFERROR(__xludf.DUMMYFUNCTION("""COMPUTED_VALUE"""),"Evan Morgan")</f>
        <v>Evan Morgan</v>
      </c>
      <c r="C92" s="136" t="str">
        <f>IFERROR(__xludf.DUMMYFUNCTION("""COMPUTED_VALUE"""),"MF")</f>
        <v>MF</v>
      </c>
      <c r="D92" s="146">
        <f>IFERROR(__xludf.DUMMYFUNCTION("""COMPUTED_VALUE"""),46134.0)</f>
        <v>46134</v>
      </c>
      <c r="E92" s="136" t="str">
        <f t="shared" si="1"/>
        <v>Wednesday</v>
      </c>
      <c r="F92" s="137">
        <f>IFERROR(__xludf.DUMMYFUNCTION("""COMPUTED_VALUE"""),0.59375)</f>
        <v>0.59375</v>
      </c>
      <c r="G92" s="106">
        <f>IFERROR(__xludf.DUMMYFUNCTION("""COMPUTED_VALUE"""),0.0034722222189884633)</f>
        <v>0.003472222219</v>
      </c>
      <c r="H92" s="137">
        <f>IFERROR(__xludf.DUMMYFUNCTION("""COMPUTED_VALUE"""),0.5972222222189885)</f>
        <v>0.5972222222</v>
      </c>
      <c r="I92" s="159">
        <f t="shared" si="2"/>
        <v>6.000000006</v>
      </c>
      <c r="J92" s="136">
        <f>IFERROR(__xludf.DUMMYFUNCTION("""COMPUTED_VALUE"""),25.0)</f>
        <v>25</v>
      </c>
      <c r="K92" s="141">
        <f t="shared" si="3"/>
        <v>0.8333333333</v>
      </c>
      <c r="L92" s="136" t="s">
        <v>15</v>
      </c>
    </row>
    <row r="93">
      <c r="A93" s="144">
        <f>IFERROR(__xludf.DUMMYFUNCTION("""COMPUTED_VALUE"""),46134.784562175926)</f>
        <v>46134.78456</v>
      </c>
      <c r="B93" s="136" t="str">
        <f>IFERROR(__xludf.DUMMYFUNCTION("""COMPUTED_VALUE"""),"Brynn Hornig")</f>
        <v>Brynn Hornig</v>
      </c>
      <c r="C93" s="136" t="str">
        <f>IFERROR(__xludf.DUMMYFUNCTION("""COMPUTED_VALUE"""),"MF")</f>
        <v>MF</v>
      </c>
      <c r="D93" s="146">
        <f>IFERROR(__xludf.DUMMYFUNCTION("""COMPUTED_VALUE"""),46134.0)</f>
        <v>46134</v>
      </c>
      <c r="E93" s="136" t="str">
        <f t="shared" si="1"/>
        <v>Wednesday</v>
      </c>
      <c r="F93" s="137">
        <f>IFERROR(__xludf.DUMMYFUNCTION("""COMPUTED_VALUE"""),0.7763888888875954)</f>
        <v>0.7763888889</v>
      </c>
      <c r="G93" s="106">
        <f>IFERROR(__xludf.DUMMYFUNCTION("""COMPUTED_VALUE"""),0.00763888889196096)</f>
        <v>0.007638888892</v>
      </c>
      <c r="H93" s="137">
        <f>IFERROR(__xludf.DUMMYFUNCTION("""COMPUTED_VALUE"""),0.7840277777795563)</f>
        <v>0.7840277778</v>
      </c>
      <c r="I93" s="159">
        <f t="shared" si="2"/>
        <v>2.727272726</v>
      </c>
      <c r="J93" s="136">
        <f>IFERROR(__xludf.DUMMYFUNCTION("""COMPUTED_VALUE"""),30.0)</f>
        <v>30</v>
      </c>
      <c r="K93" s="141">
        <f t="shared" si="3"/>
        <v>1</v>
      </c>
      <c r="L93" s="136" t="s">
        <v>18</v>
      </c>
    </row>
    <row r="94">
      <c r="A94" s="144">
        <f>IFERROR(__xludf.DUMMYFUNCTION("""COMPUTED_VALUE"""),46135.44271721065)</f>
        <v>46135.44272</v>
      </c>
      <c r="B94" s="136" t="str">
        <f>IFERROR(__xludf.DUMMYFUNCTION("""COMPUTED_VALUE"""),"Sophia Kluck")</f>
        <v>Sophia Kluck</v>
      </c>
      <c r="C94" s="136" t="str">
        <f>IFERROR(__xludf.DUMMYFUNCTION("""COMPUTED_VALUE"""),"BF")</f>
        <v>BF</v>
      </c>
      <c r="D94" s="146">
        <f>IFERROR(__xludf.DUMMYFUNCTION("""COMPUTED_VALUE"""),46135.0)</f>
        <v>46135</v>
      </c>
      <c r="E94" s="136" t="str">
        <f t="shared" si="1"/>
        <v>Thursday</v>
      </c>
      <c r="F94" s="137">
        <f>IFERROR(__xludf.DUMMYFUNCTION("""COMPUTED_VALUE"""),0.43541666666715173)</f>
        <v>0.4354166667</v>
      </c>
      <c r="G94" s="106">
        <f>IFERROR(__xludf.DUMMYFUNCTION("""COMPUTED_VALUE"""),0.006944444445252884)</f>
        <v>0.006944444445</v>
      </c>
      <c r="H94" s="137">
        <f>IFERROR(__xludf.DUMMYFUNCTION("""COMPUTED_VALUE"""),0.4423611111124046)</f>
        <v>0.4423611111</v>
      </c>
      <c r="I94" s="159">
        <f t="shared" si="2"/>
        <v>3</v>
      </c>
      <c r="J94" s="136">
        <f>IFERROR(__xludf.DUMMYFUNCTION("""COMPUTED_VALUE"""),22.0)</f>
        <v>22</v>
      </c>
      <c r="K94" s="141">
        <f t="shared" si="3"/>
        <v>0.7333333333</v>
      </c>
      <c r="L94" s="136" t="s">
        <v>12</v>
      </c>
    </row>
    <row r="95">
      <c r="A95" s="144">
        <f>IFERROR(__xludf.DUMMYFUNCTION("""COMPUTED_VALUE"""),46135.59159038194)</f>
        <v>46135.59159</v>
      </c>
      <c r="B95" s="136" t="str">
        <f>IFERROR(__xludf.DUMMYFUNCTION("""COMPUTED_VALUE"""),"Kyra Turner")</f>
        <v>Kyra Turner</v>
      </c>
      <c r="C95" s="136" t="str">
        <f>IFERROR(__xludf.DUMMYFUNCTION("""COMPUTED_VALUE"""),"BF")</f>
        <v>BF</v>
      </c>
      <c r="D95" s="146">
        <f>IFERROR(__xludf.DUMMYFUNCTION("""COMPUTED_VALUE"""),46135.0)</f>
        <v>46135</v>
      </c>
      <c r="E95" s="136" t="str">
        <f t="shared" si="1"/>
        <v>Thursday</v>
      </c>
      <c r="F95" s="137">
        <f>IFERROR(__xludf.DUMMYFUNCTION("""COMPUTED_VALUE"""),0.5840277777751908)</f>
        <v>0.5840277778</v>
      </c>
      <c r="G95" s="106">
        <f>IFERROR(__xludf.DUMMYFUNCTION("""COMPUTED_VALUE"""),0.006944444445252884)</f>
        <v>0.006944444445</v>
      </c>
      <c r="H95" s="137">
        <f>IFERROR(__xludf.DUMMYFUNCTION("""COMPUTED_VALUE"""),0.5909722222204437)</f>
        <v>0.5909722222</v>
      </c>
      <c r="I95" s="159">
        <f t="shared" si="2"/>
        <v>3</v>
      </c>
      <c r="J95" s="136">
        <f>IFERROR(__xludf.DUMMYFUNCTION("""COMPUTED_VALUE"""),18.0)</f>
        <v>18</v>
      </c>
      <c r="K95" s="141">
        <f t="shared" si="3"/>
        <v>0.6</v>
      </c>
      <c r="L95" s="136" t="s">
        <v>15</v>
      </c>
    </row>
    <row r="96">
      <c r="A96" s="144">
        <f>IFERROR(__xludf.DUMMYFUNCTION("""COMPUTED_VALUE"""),46135.759913333335)</f>
        <v>46135.75991</v>
      </c>
      <c r="B96" s="136" t="str">
        <f>IFERROR(__xludf.DUMMYFUNCTION("""COMPUTED_VALUE"""),"Emmett Khan")</f>
        <v>Emmett Khan</v>
      </c>
      <c r="C96" s="136" t="str">
        <f>IFERROR(__xludf.DUMMYFUNCTION("""COMPUTED_VALUE"""),"MF")</f>
        <v>MF</v>
      </c>
      <c r="D96" s="146">
        <f>IFERROR(__xludf.DUMMYFUNCTION("""COMPUTED_VALUE"""),46135.0)</f>
        <v>46135</v>
      </c>
      <c r="E96" s="136" t="str">
        <f t="shared" si="1"/>
        <v>Thursday</v>
      </c>
      <c r="F96" s="137">
        <f>IFERROR(__xludf.DUMMYFUNCTION("""COMPUTED_VALUE"""),0.7534722222189885)</f>
        <v>0.7534722222</v>
      </c>
      <c r="G96" s="106">
        <f>IFERROR(__xludf.DUMMYFUNCTION("""COMPUTED_VALUE"""),0.006250000005820766)</f>
        <v>0.006250000006</v>
      </c>
      <c r="H96" s="137">
        <f>IFERROR(__xludf.DUMMYFUNCTION("""COMPUTED_VALUE"""),0.7597222222248092)</f>
        <v>0.7597222222</v>
      </c>
      <c r="I96" s="159">
        <f t="shared" si="2"/>
        <v>3.33333333</v>
      </c>
      <c r="J96" s="136">
        <f>IFERROR(__xludf.DUMMYFUNCTION("""COMPUTED_VALUE"""),26.0)</f>
        <v>26</v>
      </c>
      <c r="K96" s="141">
        <f t="shared" si="3"/>
        <v>0.8666666667</v>
      </c>
      <c r="L96" s="136" t="s">
        <v>18</v>
      </c>
    </row>
    <row r="97">
      <c r="A97" s="144">
        <f>IFERROR(__xludf.DUMMYFUNCTION("""COMPUTED_VALUE"""),46136.39380935185)</f>
        <v>46136.39381</v>
      </c>
      <c r="B97" s="136" t="str">
        <f>IFERROR(__xludf.DUMMYFUNCTION("""COMPUTED_VALUE"""),"Kaylie Forgue")</f>
        <v>Kaylie Forgue</v>
      </c>
      <c r="C97" s="136" t="str">
        <f>IFERROR(__xludf.DUMMYFUNCTION("""COMPUTED_VALUE"""),"BF")</f>
        <v>BF</v>
      </c>
      <c r="D97" s="146">
        <f>IFERROR(__xludf.DUMMYFUNCTION("""COMPUTED_VALUE"""),46136.0)</f>
        <v>46136</v>
      </c>
      <c r="E97" s="136" t="str">
        <f t="shared" si="1"/>
        <v>Friday</v>
      </c>
      <c r="F97" s="137">
        <f>IFERROR(__xludf.DUMMYFUNCTION("""COMPUTED_VALUE"""),0.3833333333313931)</f>
        <v>0.3833333333</v>
      </c>
      <c r="G97" s="106">
        <f>IFERROR(__xludf.DUMMYFUNCTION("""COMPUTED_VALUE"""),0.00972222222480923)</f>
        <v>0.009722222225</v>
      </c>
      <c r="H97" s="137">
        <f>IFERROR(__xludf.DUMMYFUNCTION("""COMPUTED_VALUE"""),0.3930555555562023)</f>
        <v>0.3930555556</v>
      </c>
      <c r="I97" s="159">
        <f t="shared" si="2"/>
        <v>2.142857142</v>
      </c>
      <c r="J97" s="136">
        <f>IFERROR(__xludf.DUMMYFUNCTION("""COMPUTED_VALUE"""),23.0)</f>
        <v>23</v>
      </c>
      <c r="K97" s="141">
        <f t="shared" si="3"/>
        <v>0.7666666667</v>
      </c>
      <c r="L97" s="136" t="s">
        <v>12</v>
      </c>
    </row>
    <row r="98">
      <c r="A98" s="144">
        <f>IFERROR(__xludf.DUMMYFUNCTION("""COMPUTED_VALUE"""),46136.70412076389)</f>
        <v>46136.70412</v>
      </c>
      <c r="B98" s="136" t="str">
        <f>IFERROR(__xludf.DUMMYFUNCTION("""COMPUTED_VALUE"""),"Leah Bucci")</f>
        <v>Leah Bucci</v>
      </c>
      <c r="C98" s="136" t="str">
        <f>IFERROR(__xludf.DUMMYFUNCTION("""COMPUTED_VALUE"""),"MF")</f>
        <v>MF</v>
      </c>
      <c r="D98" s="146">
        <f>IFERROR(__xludf.DUMMYFUNCTION("""COMPUTED_VALUE"""),46136.0)</f>
        <v>46136</v>
      </c>
      <c r="E98" s="136" t="str">
        <f t="shared" si="1"/>
        <v>Friday</v>
      </c>
      <c r="F98" s="137">
        <f>IFERROR(__xludf.DUMMYFUNCTION("""COMPUTED_VALUE"""),0.6979166666642413)</f>
        <v>0.6979166667</v>
      </c>
      <c r="G98" s="106">
        <f>IFERROR(__xludf.DUMMYFUNCTION("""COMPUTED_VALUE"""),0.00555555555911269)</f>
        <v>0.005555555559</v>
      </c>
      <c r="H98" s="137">
        <f>IFERROR(__xludf.DUMMYFUNCTION("""COMPUTED_VALUE"""),0.703472222223354)</f>
        <v>0.7034722222</v>
      </c>
      <c r="I98" s="159">
        <f t="shared" si="2"/>
        <v>3.749999998</v>
      </c>
      <c r="J98" s="136">
        <f>IFERROR(__xludf.DUMMYFUNCTION("""COMPUTED_VALUE"""),23.0)</f>
        <v>23</v>
      </c>
      <c r="K98" s="141">
        <f t="shared" si="3"/>
        <v>0.7666666667</v>
      </c>
      <c r="L98" s="136" t="s">
        <v>18</v>
      </c>
    </row>
    <row r="99">
      <c r="A99" s="144">
        <f>IFERROR(__xludf.DUMMYFUNCTION("""COMPUTED_VALUE"""),46139.54371295139)</f>
        <v>46139.54371</v>
      </c>
      <c r="B99" s="136" t="str">
        <f>IFERROR(__xludf.DUMMYFUNCTION("""COMPUTED_VALUE"""),"Brynn Hornig")</f>
        <v>Brynn Hornig</v>
      </c>
      <c r="C99" s="136" t="str">
        <f>IFERROR(__xludf.DUMMYFUNCTION("""COMPUTED_VALUE"""),"BF")</f>
        <v>BF</v>
      </c>
      <c r="D99" s="146">
        <f>IFERROR(__xludf.DUMMYFUNCTION("""COMPUTED_VALUE"""),46139.0)</f>
        <v>46139</v>
      </c>
      <c r="E99" s="136" t="str">
        <f t="shared" si="1"/>
        <v>Monday</v>
      </c>
      <c r="F99" s="137">
        <f>IFERROR(__xludf.DUMMYFUNCTION("""COMPUTED_VALUE"""),0.5340277777795563)</f>
        <v>0.5340277778</v>
      </c>
      <c r="G99" s="106">
        <f>IFERROR(__xludf.DUMMYFUNCTION("""COMPUTED_VALUE"""),0.009027777778101154)</f>
        <v>0.009027777778</v>
      </c>
      <c r="H99" s="137">
        <f>IFERROR(__xludf.DUMMYFUNCTION("""COMPUTED_VALUE"""),0.5430555555576575)</f>
        <v>0.5430555556</v>
      </c>
      <c r="I99" s="159">
        <f t="shared" si="2"/>
        <v>2.307692308</v>
      </c>
      <c r="J99" s="136">
        <f>IFERROR(__xludf.DUMMYFUNCTION("""COMPUTED_VALUE"""),29.0)</f>
        <v>29</v>
      </c>
      <c r="K99" s="141">
        <f t="shared" si="3"/>
        <v>0.9666666667</v>
      </c>
      <c r="L99" s="136" t="s">
        <v>15</v>
      </c>
    </row>
    <row r="100">
      <c r="A100" s="144">
        <f>IFERROR(__xludf.DUMMYFUNCTION("""COMPUTED_VALUE"""),46139.68162715278)</f>
        <v>46139.68163</v>
      </c>
      <c r="B100" s="136" t="str">
        <f>IFERROR(__xludf.DUMMYFUNCTION("""COMPUTED_VALUE"""),"Orpheus Wilson")</f>
        <v>Orpheus Wilson</v>
      </c>
      <c r="C100" s="136" t="str">
        <f>IFERROR(__xludf.DUMMYFUNCTION("""COMPUTED_VALUE"""),"MF")</f>
        <v>MF</v>
      </c>
      <c r="D100" s="146">
        <f>IFERROR(__xludf.DUMMYFUNCTION("""COMPUTED_VALUE"""),46139.0)</f>
        <v>46139</v>
      </c>
      <c r="E100" s="136" t="str">
        <f t="shared" si="1"/>
        <v>Monday</v>
      </c>
      <c r="F100" s="137">
        <f>IFERROR(__xludf.DUMMYFUNCTION("""COMPUTED_VALUE"""),0.671527777776646)</f>
        <v>0.6715277778</v>
      </c>
      <c r="G100" s="106">
        <f>IFERROR(__xludf.DUMMYFUNCTION("""COMPUTED_VALUE"""),0.008333333338669036)</f>
        <v>0.008333333339</v>
      </c>
      <c r="H100" s="137">
        <f>IFERROR(__xludf.DUMMYFUNCTION("""COMPUTED_VALUE"""),0.679861111115315)</f>
        <v>0.6798611111</v>
      </c>
      <c r="I100" s="159">
        <f t="shared" si="2"/>
        <v>2.499999998</v>
      </c>
      <c r="J100" s="136">
        <f>IFERROR(__xludf.DUMMYFUNCTION("""COMPUTED_VALUE"""),23.0)</f>
        <v>23</v>
      </c>
      <c r="K100" s="141">
        <f t="shared" si="3"/>
        <v>0.7666666667</v>
      </c>
      <c r="L100" s="136" t="s">
        <v>18</v>
      </c>
    </row>
    <row r="101">
      <c r="A101" s="144">
        <f>IFERROR(__xludf.DUMMYFUNCTION("""COMPUTED_VALUE"""),46140.85227945602)</f>
        <v>46140.85228</v>
      </c>
      <c r="B101" s="136" t="str">
        <f>IFERROR(__xludf.DUMMYFUNCTION("""COMPUTED_VALUE"""),"Laila Maisuria")</f>
        <v>Laila Maisuria</v>
      </c>
      <c r="C101" s="136" t="str">
        <f>IFERROR(__xludf.DUMMYFUNCTION("""COMPUTED_VALUE"""),"MF")</f>
        <v>MF</v>
      </c>
      <c r="D101" s="146">
        <f>IFERROR(__xludf.DUMMYFUNCTION("""COMPUTED_VALUE"""),46140.0)</f>
        <v>46140</v>
      </c>
      <c r="E101" s="136" t="str">
        <f t="shared" si="1"/>
        <v>Tuesday</v>
      </c>
      <c r="F101" s="137">
        <f>IFERROR(__xludf.DUMMYFUNCTION("""COMPUTED_VALUE"""),0.8472222222189885)</f>
        <v>0.8472222222</v>
      </c>
      <c r="G101" s="106">
        <f>IFERROR(__xludf.DUMMYFUNCTION("""COMPUTED_VALUE"""),0.004166666665696539)</f>
        <v>0.004166666666</v>
      </c>
      <c r="H101" s="137">
        <f>IFERROR(__xludf.DUMMYFUNCTION("""COMPUTED_VALUE"""),0.851388888884685)</f>
        <v>0.8513888889</v>
      </c>
      <c r="I101" s="159">
        <f t="shared" si="2"/>
        <v>5.000000001</v>
      </c>
      <c r="J101" s="136">
        <f>IFERROR(__xludf.DUMMYFUNCTION("""COMPUTED_VALUE"""),28.0)</f>
        <v>28</v>
      </c>
      <c r="K101" s="141">
        <f t="shared" si="3"/>
        <v>0.9333333333</v>
      </c>
      <c r="L101" s="136" t="s">
        <v>18</v>
      </c>
    </row>
    <row r="102">
      <c r="A102" s="144">
        <f>IFERROR(__xludf.DUMMYFUNCTION("""COMPUTED_VALUE"""),46141.34640700232)</f>
        <v>46141.34641</v>
      </c>
      <c r="B102" s="136" t="str">
        <f>IFERROR(__xludf.DUMMYFUNCTION("""COMPUTED_VALUE"""),"Kaylie Forgue")</f>
        <v>Kaylie Forgue</v>
      </c>
      <c r="C102" s="136" t="str">
        <f>IFERROR(__xludf.DUMMYFUNCTION("""COMPUTED_VALUE"""),"BF")</f>
        <v>BF</v>
      </c>
      <c r="D102" s="146">
        <f>IFERROR(__xludf.DUMMYFUNCTION("""COMPUTED_VALUE"""),46141.0)</f>
        <v>46141</v>
      </c>
      <c r="E102" s="136" t="str">
        <f t="shared" si="1"/>
        <v>Wednesday</v>
      </c>
      <c r="F102" s="137">
        <f>IFERROR(__xludf.DUMMYFUNCTION("""COMPUTED_VALUE"""),0.32777777777664596)</f>
        <v>0.3277777778</v>
      </c>
      <c r="G102" s="106">
        <f>IFERROR(__xludf.DUMMYFUNCTION("""COMPUTED_VALUE"""),0.018055555556202307)</f>
        <v>0.01805555556</v>
      </c>
      <c r="H102" s="137">
        <f>IFERROR(__xludf.DUMMYFUNCTION("""COMPUTED_VALUE"""),0.34583333333284827)</f>
        <v>0.3458333333</v>
      </c>
      <c r="I102" s="159">
        <f t="shared" si="2"/>
        <v>1.153846154</v>
      </c>
      <c r="J102" s="136">
        <f>IFERROR(__xludf.DUMMYFUNCTION("""COMPUTED_VALUE"""),23.0)</f>
        <v>23</v>
      </c>
      <c r="K102" s="141">
        <f t="shared" si="3"/>
        <v>0.7666666667</v>
      </c>
      <c r="L102" s="136" t="s">
        <v>12</v>
      </c>
    </row>
    <row r="103">
      <c r="A103" s="144">
        <f>IFERROR(__xludf.DUMMYFUNCTION("""COMPUTED_VALUE"""),46141.58681650463)</f>
        <v>46141.58682</v>
      </c>
      <c r="B103" s="136" t="str">
        <f>IFERROR(__xludf.DUMMYFUNCTION("""COMPUTED_VALUE"""),"Evan Morgan")</f>
        <v>Evan Morgan</v>
      </c>
      <c r="C103" s="136" t="str">
        <f>IFERROR(__xludf.DUMMYFUNCTION("""COMPUTED_VALUE"""),"MF")</f>
        <v>MF</v>
      </c>
      <c r="D103" s="146">
        <f>IFERROR(__xludf.DUMMYFUNCTION("""COMPUTED_VALUE"""),46141.0)</f>
        <v>46141</v>
      </c>
      <c r="E103" s="136" t="str">
        <f t="shared" si="1"/>
        <v>Wednesday</v>
      </c>
      <c r="F103" s="137">
        <f>IFERROR(__xludf.DUMMYFUNCTION("""COMPUTED_VALUE"""),0.5763888888905058)</f>
        <v>0.5763888889</v>
      </c>
      <c r="G103" s="106">
        <f>IFERROR(__xludf.DUMMYFUNCTION("""COMPUTED_VALUE"""),0.00972222222480923)</f>
        <v>0.009722222225</v>
      </c>
      <c r="H103" s="137">
        <f>IFERROR(__xludf.DUMMYFUNCTION("""COMPUTED_VALUE"""),0.586111111115315)</f>
        <v>0.5861111111</v>
      </c>
      <c r="I103" s="159">
        <f t="shared" si="2"/>
        <v>2.142857142</v>
      </c>
      <c r="J103" s="136">
        <f>IFERROR(__xludf.DUMMYFUNCTION("""COMPUTED_VALUE"""),27.0)</f>
        <v>27</v>
      </c>
      <c r="K103" s="141">
        <f t="shared" si="3"/>
        <v>0.9</v>
      </c>
      <c r="L103" s="136" t="s">
        <v>15</v>
      </c>
    </row>
    <row r="104">
      <c r="A104" s="136"/>
      <c r="B104" s="136"/>
      <c r="C104" s="136" t="str">
        <f>IFERROR(__xludf.DUMMYFUNCTION("""COMPUTED_VALUE"""),"")</f>
        <v/>
      </c>
      <c r="D104" s="136"/>
      <c r="E104" s="136" t="str">
        <f t="shared" si="1"/>
        <v/>
      </c>
      <c r="F104" s="136"/>
      <c r="G104" s="106">
        <f>IFERROR(__xludf.DUMMYFUNCTION("""COMPUTED_VALUE"""),0.0)</f>
        <v>0</v>
      </c>
      <c r="H104" s="136"/>
      <c r="I104" s="159" t="str">
        <f t="shared" si="2"/>
        <v/>
      </c>
      <c r="J104" s="136">
        <f>IFERROR(__xludf.DUMMYFUNCTION("""COMPUTED_VALUE"""),0.0)</f>
        <v>0</v>
      </c>
      <c r="K104" s="141" t="str">
        <f t="shared" si="3"/>
        <v/>
      </c>
      <c r="L104" s="136" t="s">
        <v>133</v>
      </c>
    </row>
    <row r="105">
      <c r="A105" s="136"/>
      <c r="B105" s="136"/>
      <c r="C105" s="136" t="str">
        <f>IFERROR(__xludf.DUMMYFUNCTION("""COMPUTED_VALUE"""),"")</f>
        <v/>
      </c>
      <c r="D105" s="136"/>
      <c r="E105" s="136" t="str">
        <f t="shared" si="1"/>
        <v/>
      </c>
      <c r="F105" s="136"/>
      <c r="G105" s="106">
        <f>IFERROR(__xludf.DUMMYFUNCTION("""COMPUTED_VALUE"""),0.0)</f>
        <v>0</v>
      </c>
      <c r="H105" s="136"/>
      <c r="I105" s="159" t="str">
        <f t="shared" si="2"/>
        <v/>
      </c>
      <c r="J105" s="136">
        <f>IFERROR(__xludf.DUMMYFUNCTION("""COMPUTED_VALUE"""),0.0)</f>
        <v>0</v>
      </c>
      <c r="K105" s="141" t="str">
        <f t="shared" si="3"/>
        <v/>
      </c>
      <c r="L105" s="136" t="s">
        <v>133</v>
      </c>
    </row>
    <row r="106">
      <c r="A106" s="136"/>
      <c r="B106" s="136"/>
      <c r="C106" s="136" t="str">
        <f>IFERROR(__xludf.DUMMYFUNCTION("""COMPUTED_VALUE"""),"")</f>
        <v/>
      </c>
      <c r="D106" s="136"/>
      <c r="E106" s="136" t="str">
        <f t="shared" si="1"/>
        <v/>
      </c>
      <c r="F106" s="136"/>
      <c r="G106" s="106">
        <f>IFERROR(__xludf.DUMMYFUNCTION("""COMPUTED_VALUE"""),0.0)</f>
        <v>0</v>
      </c>
      <c r="H106" s="136"/>
      <c r="I106" s="159" t="str">
        <f t="shared" si="2"/>
        <v/>
      </c>
      <c r="J106" s="136">
        <f>IFERROR(__xludf.DUMMYFUNCTION("""COMPUTED_VALUE"""),0.0)</f>
        <v>0</v>
      </c>
      <c r="K106" s="141" t="str">
        <f t="shared" si="3"/>
        <v/>
      </c>
      <c r="L106" s="136" t="s">
        <v>133</v>
      </c>
    </row>
    <row r="107">
      <c r="A107" s="136"/>
      <c r="B107" s="136"/>
      <c r="C107" s="136" t="str">
        <f>IFERROR(__xludf.DUMMYFUNCTION("""COMPUTED_VALUE"""),"")</f>
        <v/>
      </c>
      <c r="D107" s="136"/>
      <c r="E107" s="136" t="str">
        <f t="shared" si="1"/>
        <v/>
      </c>
      <c r="F107" s="136"/>
      <c r="G107" s="106">
        <f>IFERROR(__xludf.DUMMYFUNCTION("""COMPUTED_VALUE"""),0.0)</f>
        <v>0</v>
      </c>
      <c r="H107" s="136"/>
      <c r="I107" s="159" t="str">
        <f t="shared" si="2"/>
        <v/>
      </c>
      <c r="J107" s="136">
        <f>IFERROR(__xludf.DUMMYFUNCTION("""COMPUTED_VALUE"""),0.0)</f>
        <v>0</v>
      </c>
      <c r="K107" s="141" t="str">
        <f t="shared" si="3"/>
        <v/>
      </c>
      <c r="L107" s="136" t="s">
        <v>133</v>
      </c>
    </row>
    <row r="108">
      <c r="A108" s="136"/>
      <c r="B108" s="136"/>
      <c r="C108" s="136" t="str">
        <f>IFERROR(__xludf.DUMMYFUNCTION("""COMPUTED_VALUE"""),"")</f>
        <v/>
      </c>
      <c r="D108" s="136"/>
      <c r="E108" s="136" t="str">
        <f t="shared" si="1"/>
        <v/>
      </c>
      <c r="F108" s="136"/>
      <c r="G108" s="106">
        <f>IFERROR(__xludf.DUMMYFUNCTION("""COMPUTED_VALUE"""),0.0)</f>
        <v>0</v>
      </c>
      <c r="H108" s="136"/>
      <c r="I108" s="159" t="str">
        <f t="shared" si="2"/>
        <v/>
      </c>
      <c r="J108" s="136">
        <f>IFERROR(__xludf.DUMMYFUNCTION("""COMPUTED_VALUE"""),0.0)</f>
        <v>0</v>
      </c>
      <c r="K108" s="141" t="str">
        <f t="shared" si="3"/>
        <v/>
      </c>
      <c r="L108" s="136" t="s">
        <v>133</v>
      </c>
    </row>
    <row r="109">
      <c r="A109" s="136"/>
      <c r="B109" s="136"/>
      <c r="C109" s="136" t="str">
        <f>IFERROR(__xludf.DUMMYFUNCTION("""COMPUTED_VALUE"""),"")</f>
        <v/>
      </c>
      <c r="D109" s="136"/>
      <c r="E109" s="136" t="str">
        <f t="shared" si="1"/>
        <v/>
      </c>
      <c r="F109" s="136"/>
      <c r="G109" s="106">
        <f>IFERROR(__xludf.DUMMYFUNCTION("""COMPUTED_VALUE"""),0.0)</f>
        <v>0</v>
      </c>
      <c r="H109" s="136"/>
      <c r="I109" s="159" t="str">
        <f t="shared" si="2"/>
        <v/>
      </c>
      <c r="J109" s="136">
        <f>IFERROR(__xludf.DUMMYFUNCTION("""COMPUTED_VALUE"""),0.0)</f>
        <v>0</v>
      </c>
      <c r="K109" s="141" t="str">
        <f t="shared" si="3"/>
        <v/>
      </c>
      <c r="L109" s="136" t="s">
        <v>133</v>
      </c>
    </row>
    <row r="110">
      <c r="A110" s="136"/>
      <c r="B110" s="136"/>
      <c r="C110" s="136" t="str">
        <f>IFERROR(__xludf.DUMMYFUNCTION("""COMPUTED_VALUE"""),"")</f>
        <v/>
      </c>
      <c r="D110" s="136"/>
      <c r="E110" s="136" t="str">
        <f t="shared" si="1"/>
        <v/>
      </c>
      <c r="F110" s="136"/>
      <c r="G110" s="106">
        <f>IFERROR(__xludf.DUMMYFUNCTION("""COMPUTED_VALUE"""),0.0)</f>
        <v>0</v>
      </c>
      <c r="H110" s="136"/>
      <c r="I110" s="159" t="str">
        <f t="shared" si="2"/>
        <v/>
      </c>
      <c r="J110" s="136">
        <f>IFERROR(__xludf.DUMMYFUNCTION("""COMPUTED_VALUE"""),0.0)</f>
        <v>0</v>
      </c>
      <c r="K110" s="141" t="str">
        <f t="shared" si="3"/>
        <v/>
      </c>
      <c r="L110" s="136" t="s">
        <v>133</v>
      </c>
    </row>
    <row r="111">
      <c r="A111" s="136"/>
      <c r="B111" s="136"/>
      <c r="C111" s="136" t="str">
        <f>IFERROR(__xludf.DUMMYFUNCTION("""COMPUTED_VALUE"""),"")</f>
        <v/>
      </c>
      <c r="D111" s="136"/>
      <c r="E111" s="136" t="str">
        <f t="shared" si="1"/>
        <v/>
      </c>
      <c r="F111" s="136"/>
      <c r="G111" s="106">
        <f>IFERROR(__xludf.DUMMYFUNCTION("""COMPUTED_VALUE"""),0.0)</f>
        <v>0</v>
      </c>
      <c r="H111" s="136"/>
      <c r="I111" s="159" t="str">
        <f t="shared" si="2"/>
        <v/>
      </c>
      <c r="J111" s="136">
        <f>IFERROR(__xludf.DUMMYFUNCTION("""COMPUTED_VALUE"""),0.0)</f>
        <v>0</v>
      </c>
      <c r="K111" s="141" t="str">
        <f t="shared" si="3"/>
        <v/>
      </c>
      <c r="L111" s="136" t="s">
        <v>133</v>
      </c>
    </row>
    <row r="112">
      <c r="A112" s="136"/>
      <c r="B112" s="136"/>
      <c r="C112" s="136" t="str">
        <f>IFERROR(__xludf.DUMMYFUNCTION("""COMPUTED_VALUE"""),"")</f>
        <v/>
      </c>
      <c r="D112" s="136"/>
      <c r="E112" s="136" t="str">
        <f t="shared" si="1"/>
        <v/>
      </c>
      <c r="F112" s="136"/>
      <c r="G112" s="106">
        <f>IFERROR(__xludf.DUMMYFUNCTION("""COMPUTED_VALUE"""),0.0)</f>
        <v>0</v>
      </c>
      <c r="H112" s="136"/>
      <c r="I112" s="159" t="str">
        <f t="shared" si="2"/>
        <v/>
      </c>
      <c r="J112" s="136">
        <f>IFERROR(__xludf.DUMMYFUNCTION("""COMPUTED_VALUE"""),0.0)</f>
        <v>0</v>
      </c>
      <c r="K112" s="141" t="str">
        <f t="shared" si="3"/>
        <v/>
      </c>
      <c r="L112" s="136" t="s">
        <v>133</v>
      </c>
    </row>
    <row r="113">
      <c r="A113" s="136"/>
      <c r="B113" s="136"/>
      <c r="C113" s="136" t="str">
        <f>IFERROR(__xludf.DUMMYFUNCTION("""COMPUTED_VALUE"""),"")</f>
        <v/>
      </c>
      <c r="D113" s="136"/>
      <c r="E113" s="136" t="str">
        <f t="shared" si="1"/>
        <v/>
      </c>
      <c r="F113" s="136"/>
      <c r="G113" s="106">
        <f>IFERROR(__xludf.DUMMYFUNCTION("""COMPUTED_VALUE"""),0.0)</f>
        <v>0</v>
      </c>
      <c r="H113" s="136"/>
      <c r="I113" s="159" t="str">
        <f t="shared" si="2"/>
        <v/>
      </c>
      <c r="J113" s="136">
        <f>IFERROR(__xludf.DUMMYFUNCTION("""COMPUTED_VALUE"""),0.0)</f>
        <v>0</v>
      </c>
      <c r="K113" s="141" t="str">
        <f t="shared" si="3"/>
        <v/>
      </c>
      <c r="L113" s="136" t="s">
        <v>133</v>
      </c>
    </row>
    <row r="114">
      <c r="A114" s="136"/>
      <c r="B114" s="136"/>
      <c r="C114" s="136" t="str">
        <f>IFERROR(__xludf.DUMMYFUNCTION("""COMPUTED_VALUE"""),"")</f>
        <v/>
      </c>
      <c r="D114" s="136"/>
      <c r="E114" s="136" t="str">
        <f t="shared" si="1"/>
        <v/>
      </c>
      <c r="F114" s="136"/>
      <c r="G114" s="106">
        <f>IFERROR(__xludf.DUMMYFUNCTION("""COMPUTED_VALUE"""),0.0)</f>
        <v>0</v>
      </c>
      <c r="H114" s="136"/>
      <c r="I114" s="159" t="str">
        <f t="shared" si="2"/>
        <v/>
      </c>
      <c r="J114" s="136">
        <f>IFERROR(__xludf.DUMMYFUNCTION("""COMPUTED_VALUE"""),0.0)</f>
        <v>0</v>
      </c>
      <c r="K114" s="141" t="str">
        <f t="shared" si="3"/>
        <v/>
      </c>
      <c r="L114" s="136" t="s">
        <v>133</v>
      </c>
    </row>
    <row r="115">
      <c r="A115" s="136"/>
      <c r="B115" s="136"/>
      <c r="C115" s="136" t="str">
        <f>IFERROR(__xludf.DUMMYFUNCTION("""COMPUTED_VALUE"""),"")</f>
        <v/>
      </c>
      <c r="D115" s="136"/>
      <c r="E115" s="136" t="str">
        <f t="shared" si="1"/>
        <v/>
      </c>
      <c r="F115" s="136"/>
      <c r="G115" s="106">
        <f>IFERROR(__xludf.DUMMYFUNCTION("""COMPUTED_VALUE"""),0.0)</f>
        <v>0</v>
      </c>
      <c r="H115" s="136"/>
      <c r="I115" s="159" t="str">
        <f t="shared" si="2"/>
        <v/>
      </c>
      <c r="J115" s="136">
        <f>IFERROR(__xludf.DUMMYFUNCTION("""COMPUTED_VALUE"""),0.0)</f>
        <v>0</v>
      </c>
      <c r="K115" s="141" t="str">
        <f t="shared" si="3"/>
        <v/>
      </c>
      <c r="L115" s="136" t="s">
        <v>133</v>
      </c>
    </row>
    <row r="116">
      <c r="A116" s="136"/>
      <c r="B116" s="136"/>
      <c r="C116" s="136" t="str">
        <f>IFERROR(__xludf.DUMMYFUNCTION("""COMPUTED_VALUE"""),"")</f>
        <v/>
      </c>
      <c r="D116" s="136"/>
      <c r="E116" s="136" t="str">
        <f t="shared" si="1"/>
        <v/>
      </c>
      <c r="F116" s="136"/>
      <c r="G116" s="106">
        <f>IFERROR(__xludf.DUMMYFUNCTION("""COMPUTED_VALUE"""),0.0)</f>
        <v>0</v>
      </c>
      <c r="H116" s="136"/>
      <c r="I116" s="159" t="str">
        <f t="shared" si="2"/>
        <v/>
      </c>
      <c r="J116" s="136">
        <f>IFERROR(__xludf.DUMMYFUNCTION("""COMPUTED_VALUE"""),0.0)</f>
        <v>0</v>
      </c>
      <c r="K116" s="141" t="str">
        <f t="shared" si="3"/>
        <v/>
      </c>
      <c r="L116" s="136" t="s">
        <v>133</v>
      </c>
    </row>
    <row r="117">
      <c r="A117" s="136"/>
      <c r="B117" s="136"/>
      <c r="C117" s="136" t="str">
        <f>IFERROR(__xludf.DUMMYFUNCTION("""COMPUTED_VALUE"""),"")</f>
        <v/>
      </c>
      <c r="D117" s="136"/>
      <c r="E117" s="136" t="str">
        <f t="shared" si="1"/>
        <v/>
      </c>
      <c r="F117" s="136"/>
      <c r="G117" s="106">
        <f>IFERROR(__xludf.DUMMYFUNCTION("""COMPUTED_VALUE"""),0.0)</f>
        <v>0</v>
      </c>
      <c r="H117" s="136"/>
      <c r="I117" s="159" t="str">
        <f t="shared" si="2"/>
        <v/>
      </c>
      <c r="J117" s="136">
        <f>IFERROR(__xludf.DUMMYFUNCTION("""COMPUTED_VALUE"""),0.0)</f>
        <v>0</v>
      </c>
      <c r="K117" s="141" t="str">
        <f t="shared" si="3"/>
        <v/>
      </c>
      <c r="L117" s="136" t="s">
        <v>133</v>
      </c>
    </row>
    <row r="118">
      <c r="A118" s="136"/>
      <c r="B118" s="136"/>
      <c r="C118" s="136" t="str">
        <f>IFERROR(__xludf.DUMMYFUNCTION("""COMPUTED_VALUE"""),"")</f>
        <v/>
      </c>
      <c r="D118" s="136"/>
      <c r="E118" s="136" t="str">
        <f t="shared" si="1"/>
        <v/>
      </c>
      <c r="F118" s="136"/>
      <c r="G118" s="106">
        <f>IFERROR(__xludf.DUMMYFUNCTION("""COMPUTED_VALUE"""),0.0)</f>
        <v>0</v>
      </c>
      <c r="H118" s="136"/>
      <c r="I118" s="159" t="str">
        <f t="shared" si="2"/>
        <v/>
      </c>
      <c r="J118" s="136">
        <f>IFERROR(__xludf.DUMMYFUNCTION("""COMPUTED_VALUE"""),0.0)</f>
        <v>0</v>
      </c>
      <c r="K118" s="141" t="str">
        <f t="shared" si="3"/>
        <v/>
      </c>
      <c r="L118" s="136" t="s">
        <v>133</v>
      </c>
    </row>
    <row r="119">
      <c r="A119" s="136"/>
      <c r="B119" s="136"/>
      <c r="C119" s="136" t="str">
        <f>IFERROR(__xludf.DUMMYFUNCTION("""COMPUTED_VALUE"""),"")</f>
        <v/>
      </c>
      <c r="D119" s="136"/>
      <c r="E119" s="136" t="str">
        <f t="shared" si="1"/>
        <v/>
      </c>
      <c r="F119" s="136"/>
      <c r="G119" s="106">
        <f>IFERROR(__xludf.DUMMYFUNCTION("""COMPUTED_VALUE"""),0.0)</f>
        <v>0</v>
      </c>
      <c r="H119" s="136"/>
      <c r="I119" s="159" t="str">
        <f t="shared" si="2"/>
        <v/>
      </c>
      <c r="J119" s="136">
        <f>IFERROR(__xludf.DUMMYFUNCTION("""COMPUTED_VALUE"""),0.0)</f>
        <v>0</v>
      </c>
      <c r="K119" s="141" t="str">
        <f t="shared" si="3"/>
        <v/>
      </c>
      <c r="L119" s="136" t="s">
        <v>133</v>
      </c>
    </row>
    <row r="120">
      <c r="A120" s="136"/>
      <c r="B120" s="136"/>
      <c r="C120" s="136" t="str">
        <f>IFERROR(__xludf.DUMMYFUNCTION("""COMPUTED_VALUE"""),"")</f>
        <v/>
      </c>
      <c r="D120" s="136"/>
      <c r="E120" s="136" t="str">
        <f t="shared" si="1"/>
        <v/>
      </c>
      <c r="F120" s="136"/>
      <c r="G120" s="106">
        <f>IFERROR(__xludf.DUMMYFUNCTION("""COMPUTED_VALUE"""),0.0)</f>
        <v>0</v>
      </c>
      <c r="H120" s="136"/>
      <c r="I120" s="159"/>
      <c r="J120" s="136">
        <f>IFERROR(__xludf.DUMMYFUNCTION("""COMPUTED_VALUE"""),0.0)</f>
        <v>0</v>
      </c>
      <c r="K120" s="141"/>
      <c r="L120" s="136" t="s">
        <v>133</v>
      </c>
    </row>
    <row r="121">
      <c r="A121" s="136"/>
      <c r="B121" s="136"/>
      <c r="C121" s="136" t="str">
        <f>IFERROR(__xludf.DUMMYFUNCTION("""COMPUTED_VALUE"""),"")</f>
        <v/>
      </c>
      <c r="D121" s="136"/>
      <c r="E121" s="136" t="str">
        <f t="shared" si="1"/>
        <v/>
      </c>
      <c r="F121" s="136"/>
      <c r="G121" s="106">
        <f>IFERROR(__xludf.DUMMYFUNCTION("""COMPUTED_VALUE"""),0.0)</f>
        <v>0</v>
      </c>
      <c r="H121" s="136"/>
      <c r="I121" s="159"/>
      <c r="J121" s="136">
        <f>IFERROR(__xludf.DUMMYFUNCTION("""COMPUTED_VALUE"""),0.0)</f>
        <v>0</v>
      </c>
      <c r="K121" s="141"/>
      <c r="L121" s="136" t="s">
        <v>133</v>
      </c>
    </row>
    <row r="122">
      <c r="A122" s="136"/>
      <c r="B122" s="136"/>
      <c r="C122" s="136" t="str">
        <f>IFERROR(__xludf.DUMMYFUNCTION("""COMPUTED_VALUE"""),"")</f>
        <v/>
      </c>
      <c r="D122" s="136"/>
      <c r="E122" s="136" t="str">
        <f t="shared" si="1"/>
        <v/>
      </c>
      <c r="F122" s="136"/>
      <c r="G122" s="106">
        <f>IFERROR(__xludf.DUMMYFUNCTION("""COMPUTED_VALUE"""),0.0)</f>
        <v>0</v>
      </c>
      <c r="H122" s="136"/>
      <c r="I122" s="159"/>
      <c r="J122" s="136">
        <f>IFERROR(__xludf.DUMMYFUNCTION("""COMPUTED_VALUE"""),0.0)</f>
        <v>0</v>
      </c>
      <c r="K122" s="141"/>
      <c r="L122" s="136" t="s">
        <v>133</v>
      </c>
    </row>
    <row r="123">
      <c r="A123" s="136"/>
      <c r="B123" s="136"/>
      <c r="C123" s="136" t="str">
        <f>IFERROR(__xludf.DUMMYFUNCTION("""COMPUTED_VALUE"""),"")</f>
        <v/>
      </c>
      <c r="D123" s="136"/>
      <c r="E123" s="136" t="str">
        <f t="shared" si="1"/>
        <v/>
      </c>
      <c r="F123" s="136"/>
      <c r="G123" s="106">
        <f>IFERROR(__xludf.DUMMYFUNCTION("""COMPUTED_VALUE"""),0.0)</f>
        <v>0</v>
      </c>
      <c r="H123" s="136"/>
      <c r="I123" s="159"/>
      <c r="J123" s="136">
        <f>IFERROR(__xludf.DUMMYFUNCTION("""COMPUTED_VALUE"""),0.0)</f>
        <v>0</v>
      </c>
      <c r="K123" s="141"/>
      <c r="L123" s="136" t="s">
        <v>133</v>
      </c>
    </row>
    <row r="124">
      <c r="A124" s="136"/>
      <c r="B124" s="136"/>
      <c r="C124" s="136" t="str">
        <f>IFERROR(__xludf.DUMMYFUNCTION("""COMPUTED_VALUE"""),"")</f>
        <v/>
      </c>
      <c r="D124" s="136"/>
      <c r="E124" s="136" t="str">
        <f t="shared" si="1"/>
        <v/>
      </c>
      <c r="F124" s="136"/>
      <c r="G124" s="106">
        <f>IFERROR(__xludf.DUMMYFUNCTION("""COMPUTED_VALUE"""),0.0)</f>
        <v>0</v>
      </c>
      <c r="H124" s="136"/>
      <c r="I124" s="159"/>
      <c r="J124" s="136">
        <f>IFERROR(__xludf.DUMMYFUNCTION("""COMPUTED_VALUE"""),0.0)</f>
        <v>0</v>
      </c>
      <c r="K124" s="141"/>
      <c r="L124" s="136" t="s">
        <v>133</v>
      </c>
    </row>
    <row r="125">
      <c r="A125" s="136"/>
      <c r="B125" s="136"/>
      <c r="C125" s="136" t="str">
        <f>IFERROR(__xludf.DUMMYFUNCTION("""COMPUTED_VALUE"""),"")</f>
        <v/>
      </c>
      <c r="D125" s="136"/>
      <c r="E125" s="136" t="str">
        <f t="shared" si="1"/>
        <v/>
      </c>
      <c r="F125" s="136"/>
      <c r="G125" s="106">
        <f>IFERROR(__xludf.DUMMYFUNCTION("""COMPUTED_VALUE"""),0.0)</f>
        <v>0</v>
      </c>
      <c r="H125" s="136"/>
      <c r="I125" s="159"/>
      <c r="J125" s="136">
        <f>IFERROR(__xludf.DUMMYFUNCTION("""COMPUTED_VALUE"""),0.0)</f>
        <v>0</v>
      </c>
      <c r="K125" s="141"/>
      <c r="L125" s="136" t="s">
        <v>133</v>
      </c>
    </row>
    <row r="126">
      <c r="A126" s="136"/>
      <c r="B126" s="136"/>
      <c r="C126" s="136" t="str">
        <f>IFERROR(__xludf.DUMMYFUNCTION("""COMPUTED_VALUE"""),"")</f>
        <v/>
      </c>
      <c r="D126" s="136"/>
      <c r="E126" s="136" t="str">
        <f t="shared" si="1"/>
        <v/>
      </c>
      <c r="F126" s="136"/>
      <c r="G126" s="106">
        <f>IFERROR(__xludf.DUMMYFUNCTION("""COMPUTED_VALUE"""),0.0)</f>
        <v>0</v>
      </c>
      <c r="H126" s="136"/>
      <c r="I126" s="159"/>
      <c r="J126" s="136">
        <f>IFERROR(__xludf.DUMMYFUNCTION("""COMPUTED_VALUE"""),0.0)</f>
        <v>0</v>
      </c>
      <c r="K126" s="141"/>
      <c r="L126" s="136" t="s">
        <v>133</v>
      </c>
    </row>
    <row r="127">
      <c r="A127" s="136"/>
      <c r="B127" s="136"/>
      <c r="C127" s="136" t="str">
        <f>IFERROR(__xludf.DUMMYFUNCTION("""COMPUTED_VALUE"""),"")</f>
        <v/>
      </c>
      <c r="D127" s="136"/>
      <c r="E127" s="136" t="str">
        <f t="shared" si="1"/>
        <v/>
      </c>
      <c r="F127" s="136"/>
      <c r="G127" s="106">
        <f>IFERROR(__xludf.DUMMYFUNCTION("""COMPUTED_VALUE"""),0.0)</f>
        <v>0</v>
      </c>
      <c r="H127" s="136"/>
      <c r="I127" s="159"/>
      <c r="J127" s="136">
        <f>IFERROR(__xludf.DUMMYFUNCTION("""COMPUTED_VALUE"""),0.0)</f>
        <v>0</v>
      </c>
      <c r="K127" s="141"/>
      <c r="L127" s="136" t="s">
        <v>133</v>
      </c>
    </row>
    <row r="128">
      <c r="A128" s="136"/>
      <c r="B128" s="136"/>
      <c r="C128" s="136" t="str">
        <f>IFERROR(__xludf.DUMMYFUNCTION("""COMPUTED_VALUE"""),"")</f>
        <v/>
      </c>
      <c r="D128" s="136"/>
      <c r="E128" s="136" t="str">
        <f t="shared" si="1"/>
        <v/>
      </c>
      <c r="F128" s="136"/>
      <c r="G128" s="106">
        <f>IFERROR(__xludf.DUMMYFUNCTION("""COMPUTED_VALUE"""),0.0)</f>
        <v>0</v>
      </c>
      <c r="H128" s="136"/>
      <c r="I128" s="159"/>
      <c r="J128" s="136">
        <f>IFERROR(__xludf.DUMMYFUNCTION("""COMPUTED_VALUE"""),0.0)</f>
        <v>0</v>
      </c>
      <c r="K128" s="141"/>
      <c r="L128" s="136" t="s">
        <v>133</v>
      </c>
    </row>
    <row r="129">
      <c r="A129" s="136"/>
      <c r="B129" s="136"/>
      <c r="C129" s="136" t="str">
        <f>IFERROR(__xludf.DUMMYFUNCTION("""COMPUTED_VALUE"""),"")</f>
        <v/>
      </c>
      <c r="D129" s="136"/>
      <c r="E129" s="136" t="str">
        <f t="shared" si="1"/>
        <v/>
      </c>
      <c r="F129" s="136"/>
      <c r="G129" s="106">
        <f>IFERROR(__xludf.DUMMYFUNCTION("""COMPUTED_VALUE"""),0.0)</f>
        <v>0</v>
      </c>
      <c r="H129" s="136"/>
      <c r="I129" s="159"/>
      <c r="J129" s="136">
        <f>IFERROR(__xludf.DUMMYFUNCTION("""COMPUTED_VALUE"""),0.0)</f>
        <v>0</v>
      </c>
      <c r="K129" s="141"/>
      <c r="L129" s="136" t="s">
        <v>133</v>
      </c>
    </row>
    <row r="130">
      <c r="A130" s="136"/>
      <c r="B130" s="136"/>
      <c r="C130" s="136" t="str">
        <f>IFERROR(__xludf.DUMMYFUNCTION("""COMPUTED_VALUE"""),"")</f>
        <v/>
      </c>
      <c r="D130" s="136"/>
      <c r="E130" s="136" t="str">
        <f t="shared" si="1"/>
        <v/>
      </c>
      <c r="F130" s="136"/>
      <c r="G130" s="106">
        <f>IFERROR(__xludf.DUMMYFUNCTION("""COMPUTED_VALUE"""),0.0)</f>
        <v>0</v>
      </c>
      <c r="H130" s="136"/>
      <c r="I130" s="159"/>
      <c r="J130" s="136">
        <f>IFERROR(__xludf.DUMMYFUNCTION("""COMPUTED_VALUE"""),0.0)</f>
        <v>0</v>
      </c>
      <c r="K130" s="141"/>
      <c r="L130" s="136" t="s">
        <v>133</v>
      </c>
    </row>
    <row r="131">
      <c r="A131" s="136"/>
      <c r="B131" s="136"/>
      <c r="C131" s="136" t="str">
        <f>IFERROR(__xludf.DUMMYFUNCTION("""COMPUTED_VALUE"""),"")</f>
        <v/>
      </c>
      <c r="D131" s="136"/>
      <c r="E131" s="136" t="str">
        <f t="shared" si="1"/>
        <v/>
      </c>
      <c r="F131" s="136"/>
      <c r="G131" s="106">
        <f>IFERROR(__xludf.DUMMYFUNCTION("""COMPUTED_VALUE"""),0.0)</f>
        <v>0</v>
      </c>
      <c r="H131" s="136"/>
      <c r="I131" s="159"/>
      <c r="J131" s="136">
        <f>IFERROR(__xludf.DUMMYFUNCTION("""COMPUTED_VALUE"""),0.0)</f>
        <v>0</v>
      </c>
      <c r="K131" s="141"/>
      <c r="L131" s="136" t="s">
        <v>133</v>
      </c>
    </row>
    <row r="132">
      <c r="A132" s="136"/>
      <c r="B132" s="136"/>
      <c r="C132" s="136" t="str">
        <f>IFERROR(__xludf.DUMMYFUNCTION("""COMPUTED_VALUE"""),"")</f>
        <v/>
      </c>
      <c r="D132" s="136"/>
      <c r="E132" s="136" t="str">
        <f t="shared" si="1"/>
        <v/>
      </c>
      <c r="F132" s="136"/>
      <c r="G132" s="106">
        <f>IFERROR(__xludf.DUMMYFUNCTION("""COMPUTED_VALUE"""),0.0)</f>
        <v>0</v>
      </c>
      <c r="H132" s="136"/>
      <c r="I132" s="159"/>
      <c r="J132" s="136">
        <f>IFERROR(__xludf.DUMMYFUNCTION("""COMPUTED_VALUE"""),0.0)</f>
        <v>0</v>
      </c>
      <c r="K132" s="141"/>
      <c r="L132" s="136" t="s">
        <v>133</v>
      </c>
    </row>
    <row r="133">
      <c r="A133" s="136"/>
      <c r="B133" s="136"/>
      <c r="C133" s="136" t="str">
        <f>IFERROR(__xludf.DUMMYFUNCTION("""COMPUTED_VALUE"""),"")</f>
        <v/>
      </c>
      <c r="D133" s="136"/>
      <c r="E133" s="136" t="str">
        <f t="shared" si="1"/>
        <v/>
      </c>
      <c r="F133" s="136"/>
      <c r="G133" s="106">
        <f>IFERROR(__xludf.DUMMYFUNCTION("""COMPUTED_VALUE"""),0.0)</f>
        <v>0</v>
      </c>
      <c r="H133" s="136"/>
      <c r="I133" s="159"/>
      <c r="J133" s="136">
        <f>IFERROR(__xludf.DUMMYFUNCTION("""COMPUTED_VALUE"""),0.0)</f>
        <v>0</v>
      </c>
      <c r="K133" s="141"/>
      <c r="L133" s="136" t="s">
        <v>133</v>
      </c>
    </row>
    <row r="134">
      <c r="A134" s="136"/>
      <c r="B134" s="136"/>
      <c r="C134" s="136" t="str">
        <f>IFERROR(__xludf.DUMMYFUNCTION("""COMPUTED_VALUE"""),"")</f>
        <v/>
      </c>
      <c r="D134" s="136"/>
      <c r="E134" s="136" t="str">
        <f t="shared" si="1"/>
        <v/>
      </c>
      <c r="F134" s="136"/>
      <c r="G134" s="106">
        <f>IFERROR(__xludf.DUMMYFUNCTION("""COMPUTED_VALUE"""),0.0)</f>
        <v>0</v>
      </c>
      <c r="H134" s="136"/>
      <c r="I134" s="159"/>
      <c r="J134" s="136">
        <f>IFERROR(__xludf.DUMMYFUNCTION("""COMPUTED_VALUE"""),0.0)</f>
        <v>0</v>
      </c>
      <c r="K134" s="141"/>
      <c r="L134" s="136" t="s">
        <v>133</v>
      </c>
    </row>
    <row r="135">
      <c r="A135" s="136"/>
      <c r="B135" s="136"/>
      <c r="C135" s="136" t="str">
        <f>IFERROR(__xludf.DUMMYFUNCTION("""COMPUTED_VALUE"""),"")</f>
        <v/>
      </c>
      <c r="D135" s="136"/>
      <c r="E135" s="136" t="str">
        <f t="shared" si="1"/>
        <v/>
      </c>
      <c r="F135" s="136"/>
      <c r="G135" s="106">
        <f>IFERROR(__xludf.DUMMYFUNCTION("""COMPUTED_VALUE"""),0.0)</f>
        <v>0</v>
      </c>
      <c r="H135" s="136"/>
      <c r="I135" s="159"/>
      <c r="J135" s="136">
        <f>IFERROR(__xludf.DUMMYFUNCTION("""COMPUTED_VALUE"""),0.0)</f>
        <v>0</v>
      </c>
      <c r="K135" s="141"/>
      <c r="L135" s="136" t="s">
        <v>133</v>
      </c>
    </row>
    <row r="136">
      <c r="A136" s="136"/>
      <c r="B136" s="136"/>
      <c r="C136" s="136" t="str">
        <f>IFERROR(__xludf.DUMMYFUNCTION("""COMPUTED_VALUE"""),"")</f>
        <v/>
      </c>
      <c r="D136" s="136"/>
      <c r="E136" s="136" t="str">
        <f t="shared" si="1"/>
        <v/>
      </c>
      <c r="F136" s="136"/>
      <c r="G136" s="106">
        <f>IFERROR(__xludf.DUMMYFUNCTION("""COMPUTED_VALUE"""),0.0)</f>
        <v>0</v>
      </c>
      <c r="H136" s="136"/>
      <c r="I136" s="159"/>
      <c r="J136" s="136">
        <f>IFERROR(__xludf.DUMMYFUNCTION("""COMPUTED_VALUE"""),0.0)</f>
        <v>0</v>
      </c>
      <c r="K136" s="141"/>
      <c r="L136" s="136" t="s">
        <v>133</v>
      </c>
    </row>
    <row r="137">
      <c r="A137" s="136"/>
      <c r="B137" s="136"/>
      <c r="C137" s="136" t="str">
        <f>IFERROR(__xludf.DUMMYFUNCTION("""COMPUTED_VALUE"""),"")</f>
        <v/>
      </c>
      <c r="D137" s="136"/>
      <c r="E137" s="136" t="str">
        <f t="shared" si="1"/>
        <v/>
      </c>
      <c r="F137" s="136"/>
      <c r="G137" s="106">
        <f>IFERROR(__xludf.DUMMYFUNCTION("""COMPUTED_VALUE"""),0.0)</f>
        <v>0</v>
      </c>
      <c r="H137" s="136"/>
      <c r="I137" s="159"/>
      <c r="J137" s="136">
        <f>IFERROR(__xludf.DUMMYFUNCTION("""COMPUTED_VALUE"""),0.0)</f>
        <v>0</v>
      </c>
      <c r="K137" s="141"/>
      <c r="L137" s="136" t="s">
        <v>133</v>
      </c>
    </row>
    <row r="138">
      <c r="A138" s="136"/>
      <c r="B138" s="136"/>
      <c r="C138" s="136" t="str">
        <f>IFERROR(__xludf.DUMMYFUNCTION("""COMPUTED_VALUE"""),"")</f>
        <v/>
      </c>
      <c r="D138" s="136"/>
      <c r="E138" s="136" t="str">
        <f t="shared" si="1"/>
        <v/>
      </c>
      <c r="F138" s="136"/>
      <c r="G138" s="106">
        <f>IFERROR(__xludf.DUMMYFUNCTION("""COMPUTED_VALUE"""),0.0)</f>
        <v>0</v>
      </c>
      <c r="H138" s="136"/>
      <c r="I138" s="159"/>
      <c r="J138" s="136">
        <f>IFERROR(__xludf.DUMMYFUNCTION("""COMPUTED_VALUE"""),0.0)</f>
        <v>0</v>
      </c>
      <c r="K138" s="141"/>
      <c r="L138" s="136" t="s">
        <v>133</v>
      </c>
    </row>
    <row r="139">
      <c r="A139" s="136"/>
      <c r="B139" s="136"/>
      <c r="C139" s="136" t="str">
        <f>IFERROR(__xludf.DUMMYFUNCTION("""COMPUTED_VALUE"""),"")</f>
        <v/>
      </c>
      <c r="D139" s="136"/>
      <c r="E139" s="136" t="str">
        <f t="shared" si="1"/>
        <v/>
      </c>
      <c r="F139" s="136"/>
      <c r="G139" s="106">
        <f>IFERROR(__xludf.DUMMYFUNCTION("""COMPUTED_VALUE"""),0.0)</f>
        <v>0</v>
      </c>
      <c r="H139" s="136"/>
      <c r="I139" s="159"/>
      <c r="J139" s="136">
        <f>IFERROR(__xludf.DUMMYFUNCTION("""COMPUTED_VALUE"""),0.0)</f>
        <v>0</v>
      </c>
      <c r="K139" s="141"/>
      <c r="L139" s="136" t="s">
        <v>133</v>
      </c>
    </row>
    <row r="140">
      <c r="A140" s="136"/>
      <c r="B140" s="136"/>
      <c r="C140" s="136" t="str">
        <f>IFERROR(__xludf.DUMMYFUNCTION("""COMPUTED_VALUE"""),"")</f>
        <v/>
      </c>
      <c r="D140" s="136"/>
      <c r="E140" s="136" t="str">
        <f t="shared" si="1"/>
        <v/>
      </c>
      <c r="F140" s="136"/>
      <c r="G140" s="106">
        <f>IFERROR(__xludf.DUMMYFUNCTION("""COMPUTED_VALUE"""),0.0)</f>
        <v>0</v>
      </c>
      <c r="H140" s="136"/>
      <c r="I140" s="159"/>
      <c r="J140" s="136">
        <f>IFERROR(__xludf.DUMMYFUNCTION("""COMPUTED_VALUE"""),0.0)</f>
        <v>0</v>
      </c>
      <c r="K140" s="141"/>
      <c r="L140" s="136" t="s">
        <v>133</v>
      </c>
    </row>
    <row r="141">
      <c r="A141" s="136"/>
      <c r="B141" s="136"/>
      <c r="C141" s="136" t="str">
        <f>IFERROR(__xludf.DUMMYFUNCTION("""COMPUTED_VALUE"""),"")</f>
        <v/>
      </c>
      <c r="D141" s="136"/>
      <c r="E141" s="136" t="str">
        <f t="shared" si="1"/>
        <v/>
      </c>
      <c r="F141" s="136"/>
      <c r="G141" s="106">
        <f>IFERROR(__xludf.DUMMYFUNCTION("""COMPUTED_VALUE"""),0.0)</f>
        <v>0</v>
      </c>
      <c r="H141" s="136"/>
      <c r="I141" s="159"/>
      <c r="J141" s="136">
        <f>IFERROR(__xludf.DUMMYFUNCTION("""COMPUTED_VALUE"""),0.0)</f>
        <v>0</v>
      </c>
      <c r="K141" s="141"/>
      <c r="L141" s="136" t="s">
        <v>133</v>
      </c>
    </row>
    <row r="142">
      <c r="A142" s="136"/>
      <c r="B142" s="136"/>
      <c r="C142" s="136" t="str">
        <f>IFERROR(__xludf.DUMMYFUNCTION("""COMPUTED_VALUE"""),"")</f>
        <v/>
      </c>
      <c r="D142" s="136"/>
      <c r="E142" s="136" t="str">
        <f t="shared" si="1"/>
        <v/>
      </c>
      <c r="F142" s="136"/>
      <c r="G142" s="106">
        <f>IFERROR(__xludf.DUMMYFUNCTION("""COMPUTED_VALUE"""),0.0)</f>
        <v>0</v>
      </c>
      <c r="H142" s="136"/>
      <c r="I142" s="159"/>
      <c r="J142" s="136">
        <f>IFERROR(__xludf.DUMMYFUNCTION("""COMPUTED_VALUE"""),0.0)</f>
        <v>0</v>
      </c>
      <c r="K142" s="141"/>
      <c r="L142" s="136" t="s">
        <v>133</v>
      </c>
    </row>
    <row r="143">
      <c r="A143" s="136"/>
      <c r="B143" s="136"/>
      <c r="C143" s="136" t="str">
        <f>IFERROR(__xludf.DUMMYFUNCTION("""COMPUTED_VALUE"""),"")</f>
        <v/>
      </c>
      <c r="D143" s="136"/>
      <c r="E143" s="136" t="str">
        <f t="shared" si="1"/>
        <v/>
      </c>
      <c r="F143" s="136"/>
      <c r="G143" s="106">
        <f>IFERROR(__xludf.DUMMYFUNCTION("""COMPUTED_VALUE"""),0.0)</f>
        <v>0</v>
      </c>
      <c r="H143" s="136"/>
      <c r="I143" s="159"/>
      <c r="J143" s="136">
        <f>IFERROR(__xludf.DUMMYFUNCTION("""COMPUTED_VALUE"""),0.0)</f>
        <v>0</v>
      </c>
      <c r="K143" s="141"/>
      <c r="L143" s="136" t="s">
        <v>133</v>
      </c>
    </row>
    <row r="144">
      <c r="A144" s="136"/>
      <c r="B144" s="136"/>
      <c r="C144" s="136" t="str">
        <f>IFERROR(__xludf.DUMMYFUNCTION("""COMPUTED_VALUE"""),"")</f>
        <v/>
      </c>
      <c r="D144" s="136"/>
      <c r="E144" s="136" t="str">
        <f t="shared" si="1"/>
        <v/>
      </c>
      <c r="F144" s="136"/>
      <c r="G144" s="106">
        <f>IFERROR(__xludf.DUMMYFUNCTION("""COMPUTED_VALUE"""),0.0)</f>
        <v>0</v>
      </c>
      <c r="H144" s="136"/>
      <c r="I144" s="159"/>
      <c r="J144" s="136">
        <f>IFERROR(__xludf.DUMMYFUNCTION("""COMPUTED_VALUE"""),0.0)</f>
        <v>0</v>
      </c>
      <c r="K144" s="141"/>
      <c r="L144" s="136" t="s">
        <v>133</v>
      </c>
    </row>
    <row r="145">
      <c r="A145" s="136"/>
      <c r="B145" s="136"/>
      <c r="C145" s="136" t="str">
        <f>IFERROR(__xludf.DUMMYFUNCTION("""COMPUTED_VALUE"""),"")</f>
        <v/>
      </c>
      <c r="D145" s="136"/>
      <c r="E145" s="136" t="str">
        <f t="shared" si="1"/>
        <v/>
      </c>
      <c r="F145" s="136"/>
      <c r="G145" s="106">
        <f>IFERROR(__xludf.DUMMYFUNCTION("""COMPUTED_VALUE"""),0.0)</f>
        <v>0</v>
      </c>
      <c r="H145" s="136"/>
      <c r="I145" s="159"/>
      <c r="J145" s="136">
        <f>IFERROR(__xludf.DUMMYFUNCTION("""COMPUTED_VALUE"""),0.0)</f>
        <v>0</v>
      </c>
      <c r="K145" s="141"/>
      <c r="L145" s="136" t="s">
        <v>133</v>
      </c>
    </row>
    <row r="146">
      <c r="A146" s="136"/>
      <c r="B146" s="136"/>
      <c r="C146" s="136" t="str">
        <f>IFERROR(__xludf.DUMMYFUNCTION("""COMPUTED_VALUE"""),"")</f>
        <v/>
      </c>
      <c r="D146" s="136"/>
      <c r="E146" s="136" t="str">
        <f t="shared" si="1"/>
        <v/>
      </c>
      <c r="F146" s="136"/>
      <c r="G146" s="106">
        <f>IFERROR(__xludf.DUMMYFUNCTION("""COMPUTED_VALUE"""),0.0)</f>
        <v>0</v>
      </c>
      <c r="H146" s="136"/>
      <c r="I146" s="159"/>
      <c r="J146" s="136">
        <f>IFERROR(__xludf.DUMMYFUNCTION("""COMPUTED_VALUE"""),0.0)</f>
        <v>0</v>
      </c>
      <c r="K146" s="141"/>
      <c r="L146" s="136" t="s">
        <v>133</v>
      </c>
    </row>
    <row r="147">
      <c r="A147" s="136"/>
      <c r="B147" s="136"/>
      <c r="C147" s="136" t="str">
        <f>IFERROR(__xludf.DUMMYFUNCTION("""COMPUTED_VALUE"""),"")</f>
        <v/>
      </c>
      <c r="D147" s="136"/>
      <c r="E147" s="136" t="str">
        <f t="shared" si="1"/>
        <v/>
      </c>
      <c r="F147" s="136"/>
      <c r="G147" s="106">
        <f>IFERROR(__xludf.DUMMYFUNCTION("""COMPUTED_VALUE"""),0.0)</f>
        <v>0</v>
      </c>
      <c r="H147" s="136"/>
      <c r="I147" s="159"/>
      <c r="J147" s="136">
        <f>IFERROR(__xludf.DUMMYFUNCTION("""COMPUTED_VALUE"""),0.0)</f>
        <v>0</v>
      </c>
      <c r="K147" s="141"/>
      <c r="L147" s="136" t="s">
        <v>133</v>
      </c>
    </row>
    <row r="148">
      <c r="A148" s="136"/>
      <c r="B148" s="136"/>
      <c r="C148" s="136" t="str">
        <f>IFERROR(__xludf.DUMMYFUNCTION("""COMPUTED_VALUE"""),"")</f>
        <v/>
      </c>
      <c r="D148" s="136"/>
      <c r="E148" s="136" t="str">
        <f t="shared" si="1"/>
        <v/>
      </c>
      <c r="F148" s="136"/>
      <c r="G148" s="106">
        <f>IFERROR(__xludf.DUMMYFUNCTION("""COMPUTED_VALUE"""),0.0)</f>
        <v>0</v>
      </c>
      <c r="H148" s="136"/>
      <c r="I148" s="159"/>
      <c r="J148" s="136">
        <f>IFERROR(__xludf.DUMMYFUNCTION("""COMPUTED_VALUE"""),0.0)</f>
        <v>0</v>
      </c>
      <c r="K148" s="141"/>
      <c r="L148" s="136" t="s">
        <v>133</v>
      </c>
    </row>
    <row r="149">
      <c r="A149" s="136"/>
      <c r="B149" s="136"/>
      <c r="C149" s="136" t="str">
        <f>IFERROR(__xludf.DUMMYFUNCTION("""COMPUTED_VALUE"""),"")</f>
        <v/>
      </c>
      <c r="D149" s="136"/>
      <c r="E149" s="136" t="str">
        <f t="shared" si="1"/>
        <v/>
      </c>
      <c r="F149" s="136"/>
      <c r="G149" s="106">
        <f>IFERROR(__xludf.DUMMYFUNCTION("""COMPUTED_VALUE"""),0.0)</f>
        <v>0</v>
      </c>
      <c r="H149" s="136"/>
      <c r="I149" s="159"/>
      <c r="J149" s="136">
        <f>IFERROR(__xludf.DUMMYFUNCTION("""COMPUTED_VALUE"""),0.0)</f>
        <v>0</v>
      </c>
      <c r="K149" s="141"/>
      <c r="L149" s="136" t="s">
        <v>133</v>
      </c>
    </row>
    <row r="150">
      <c r="A150" s="136"/>
      <c r="B150" s="136"/>
      <c r="C150" s="136" t="str">
        <f>IFERROR(__xludf.DUMMYFUNCTION("""COMPUTED_VALUE"""),"")</f>
        <v/>
      </c>
      <c r="D150" s="136"/>
      <c r="E150" s="136" t="str">
        <f t="shared" si="1"/>
        <v/>
      </c>
      <c r="F150" s="136"/>
      <c r="G150" s="106">
        <f>IFERROR(__xludf.DUMMYFUNCTION("""COMPUTED_VALUE"""),0.0)</f>
        <v>0</v>
      </c>
      <c r="H150" s="136"/>
      <c r="I150" s="159"/>
      <c r="J150" s="136">
        <f>IFERROR(__xludf.DUMMYFUNCTION("""COMPUTED_VALUE"""),0.0)</f>
        <v>0</v>
      </c>
      <c r="K150" s="141"/>
      <c r="L150" s="136" t="s">
        <v>133</v>
      </c>
    </row>
    <row r="151">
      <c r="A151" s="136"/>
      <c r="B151" s="136"/>
      <c r="C151" s="136" t="str">
        <f>IFERROR(__xludf.DUMMYFUNCTION("""COMPUTED_VALUE"""),"")</f>
        <v/>
      </c>
      <c r="D151" s="136"/>
      <c r="E151" s="136" t="str">
        <f t="shared" si="1"/>
        <v/>
      </c>
      <c r="F151" s="136"/>
      <c r="G151" s="106">
        <f>IFERROR(__xludf.DUMMYFUNCTION("""COMPUTED_VALUE"""),0.0)</f>
        <v>0</v>
      </c>
      <c r="H151" s="136"/>
      <c r="I151" s="159"/>
      <c r="J151" s="136">
        <f>IFERROR(__xludf.DUMMYFUNCTION("""COMPUTED_VALUE"""),0.0)</f>
        <v>0</v>
      </c>
      <c r="K151" s="141"/>
      <c r="L151" s="136" t="s">
        <v>133</v>
      </c>
    </row>
    <row r="152">
      <c r="A152" s="136"/>
      <c r="B152" s="136"/>
      <c r="C152" s="136" t="str">
        <f>IFERROR(__xludf.DUMMYFUNCTION("""COMPUTED_VALUE"""),"")</f>
        <v/>
      </c>
      <c r="D152" s="136"/>
      <c r="E152" s="136" t="str">
        <f t="shared" si="1"/>
        <v/>
      </c>
      <c r="F152" s="136"/>
      <c r="G152" s="106">
        <f>IFERROR(__xludf.DUMMYFUNCTION("""COMPUTED_VALUE"""),0.0)</f>
        <v>0</v>
      </c>
      <c r="H152" s="136"/>
      <c r="I152" s="159"/>
      <c r="J152" s="136">
        <f>IFERROR(__xludf.DUMMYFUNCTION("""COMPUTED_VALUE"""),0.0)</f>
        <v>0</v>
      </c>
      <c r="K152" s="141"/>
      <c r="L152" s="136" t="s">
        <v>133</v>
      </c>
    </row>
    <row r="153">
      <c r="A153" s="136"/>
      <c r="B153" s="136"/>
      <c r="C153" s="136" t="str">
        <f>IFERROR(__xludf.DUMMYFUNCTION("""COMPUTED_VALUE"""),"")</f>
        <v/>
      </c>
      <c r="D153" s="136"/>
      <c r="E153" s="136" t="str">
        <f t="shared" si="1"/>
        <v/>
      </c>
      <c r="F153" s="136"/>
      <c r="G153" s="106">
        <f>IFERROR(__xludf.DUMMYFUNCTION("""COMPUTED_VALUE"""),0.0)</f>
        <v>0</v>
      </c>
      <c r="H153" s="136"/>
      <c r="I153" s="159"/>
      <c r="J153" s="136">
        <f>IFERROR(__xludf.DUMMYFUNCTION("""COMPUTED_VALUE"""),0.0)</f>
        <v>0</v>
      </c>
      <c r="K153" s="141"/>
      <c r="L153" s="136" t="s">
        <v>133</v>
      </c>
    </row>
    <row r="154">
      <c r="A154" s="136"/>
      <c r="B154" s="136"/>
      <c r="C154" s="136" t="str">
        <f>IFERROR(__xludf.DUMMYFUNCTION("""COMPUTED_VALUE"""),"")</f>
        <v/>
      </c>
      <c r="D154" s="136"/>
      <c r="E154" s="136" t="str">
        <f t="shared" si="1"/>
        <v/>
      </c>
      <c r="F154" s="136"/>
      <c r="G154" s="106">
        <f>IFERROR(__xludf.DUMMYFUNCTION("""COMPUTED_VALUE"""),0.0)</f>
        <v>0</v>
      </c>
      <c r="H154" s="136"/>
      <c r="I154" s="159"/>
      <c r="J154" s="136">
        <f>IFERROR(__xludf.DUMMYFUNCTION("""COMPUTED_VALUE"""),0.0)</f>
        <v>0</v>
      </c>
      <c r="K154" s="141"/>
      <c r="L154" s="136" t="s">
        <v>133</v>
      </c>
    </row>
    <row r="155">
      <c r="A155" s="136"/>
      <c r="B155" s="136"/>
      <c r="C155" s="136" t="str">
        <f>IFERROR(__xludf.DUMMYFUNCTION("""COMPUTED_VALUE"""),"")</f>
        <v/>
      </c>
      <c r="D155" s="136"/>
      <c r="E155" s="136" t="str">
        <f t="shared" si="1"/>
        <v/>
      </c>
      <c r="F155" s="136"/>
      <c r="G155" s="106">
        <f>IFERROR(__xludf.DUMMYFUNCTION("""COMPUTED_VALUE"""),0.0)</f>
        <v>0</v>
      </c>
      <c r="H155" s="136"/>
      <c r="I155" s="159"/>
      <c r="J155" s="136">
        <f>IFERROR(__xludf.DUMMYFUNCTION("""COMPUTED_VALUE"""),0.0)</f>
        <v>0</v>
      </c>
      <c r="K155" s="141"/>
      <c r="L155" s="136" t="s">
        <v>133</v>
      </c>
    </row>
    <row r="156">
      <c r="A156" s="136"/>
      <c r="B156" s="136"/>
      <c r="C156" s="136" t="str">
        <f>IFERROR(__xludf.DUMMYFUNCTION("""COMPUTED_VALUE"""),"")</f>
        <v/>
      </c>
      <c r="D156" s="136"/>
      <c r="E156" s="136" t="str">
        <f t="shared" si="1"/>
        <v/>
      </c>
      <c r="F156" s="136"/>
      <c r="G156" s="106">
        <f>IFERROR(__xludf.DUMMYFUNCTION("""COMPUTED_VALUE"""),0.0)</f>
        <v>0</v>
      </c>
      <c r="H156" s="136"/>
      <c r="I156" s="159"/>
      <c r="J156" s="136">
        <f>IFERROR(__xludf.DUMMYFUNCTION("""COMPUTED_VALUE"""),0.0)</f>
        <v>0</v>
      </c>
      <c r="K156" s="141"/>
      <c r="L156" s="136" t="s">
        <v>133</v>
      </c>
    </row>
    <row r="157">
      <c r="A157" s="136"/>
      <c r="B157" s="136"/>
      <c r="C157" s="136" t="str">
        <f>IFERROR(__xludf.DUMMYFUNCTION("""COMPUTED_VALUE"""),"")</f>
        <v/>
      </c>
      <c r="D157" s="136"/>
      <c r="E157" s="136" t="str">
        <f t="shared" si="1"/>
        <v/>
      </c>
      <c r="F157" s="136"/>
      <c r="G157" s="106">
        <f>IFERROR(__xludf.DUMMYFUNCTION("""COMPUTED_VALUE"""),0.0)</f>
        <v>0</v>
      </c>
      <c r="H157" s="136"/>
      <c r="I157" s="159"/>
      <c r="J157" s="136">
        <f>IFERROR(__xludf.DUMMYFUNCTION("""COMPUTED_VALUE"""),0.0)</f>
        <v>0</v>
      </c>
      <c r="K157" s="141"/>
      <c r="L157" s="136" t="s">
        <v>133</v>
      </c>
    </row>
    <row r="158">
      <c r="A158" s="136"/>
      <c r="B158" s="136"/>
      <c r="C158" s="136" t="str">
        <f>IFERROR(__xludf.DUMMYFUNCTION("""COMPUTED_VALUE"""),"")</f>
        <v/>
      </c>
      <c r="D158" s="136"/>
      <c r="E158" s="136" t="str">
        <f t="shared" si="1"/>
        <v/>
      </c>
      <c r="F158" s="136"/>
      <c r="G158" s="106">
        <f>IFERROR(__xludf.DUMMYFUNCTION("""COMPUTED_VALUE"""),0.0)</f>
        <v>0</v>
      </c>
      <c r="H158" s="136"/>
      <c r="I158" s="159"/>
      <c r="J158" s="136">
        <f>IFERROR(__xludf.DUMMYFUNCTION("""COMPUTED_VALUE"""),0.0)</f>
        <v>0</v>
      </c>
      <c r="K158" s="141"/>
      <c r="L158" s="136" t="s">
        <v>133</v>
      </c>
    </row>
    <row r="159">
      <c r="A159" s="136"/>
      <c r="B159" s="136"/>
      <c r="C159" s="136" t="str">
        <f>IFERROR(__xludf.DUMMYFUNCTION("""COMPUTED_VALUE"""),"")</f>
        <v/>
      </c>
      <c r="D159" s="136"/>
      <c r="E159" s="136" t="str">
        <f t="shared" si="1"/>
        <v/>
      </c>
      <c r="F159" s="136"/>
      <c r="G159" s="106">
        <f>IFERROR(__xludf.DUMMYFUNCTION("""COMPUTED_VALUE"""),0.0)</f>
        <v>0</v>
      </c>
      <c r="H159" s="136"/>
      <c r="I159" s="159"/>
      <c r="J159" s="136">
        <f>IFERROR(__xludf.DUMMYFUNCTION("""COMPUTED_VALUE"""),0.0)</f>
        <v>0</v>
      </c>
      <c r="K159" s="141"/>
      <c r="L159" s="136" t="s">
        <v>133</v>
      </c>
    </row>
    <row r="160">
      <c r="A160" s="136"/>
      <c r="B160" s="136"/>
      <c r="C160" s="136" t="str">
        <f>IFERROR(__xludf.DUMMYFUNCTION("""COMPUTED_VALUE"""),"")</f>
        <v/>
      </c>
      <c r="D160" s="136"/>
      <c r="E160" s="136" t="str">
        <f t="shared" si="1"/>
        <v/>
      </c>
      <c r="F160" s="136"/>
      <c r="G160" s="106">
        <f>IFERROR(__xludf.DUMMYFUNCTION("""COMPUTED_VALUE"""),0.0)</f>
        <v>0</v>
      </c>
      <c r="H160" s="136"/>
      <c r="I160" s="159"/>
      <c r="J160" s="136">
        <f>IFERROR(__xludf.DUMMYFUNCTION("""COMPUTED_VALUE"""),0.0)</f>
        <v>0</v>
      </c>
      <c r="K160" s="141"/>
      <c r="L160" s="136" t="s">
        <v>133</v>
      </c>
    </row>
    <row r="161">
      <c r="A161" s="136"/>
      <c r="B161" s="136"/>
      <c r="C161" s="136" t="str">
        <f>IFERROR(__xludf.DUMMYFUNCTION("""COMPUTED_VALUE"""),"")</f>
        <v/>
      </c>
      <c r="D161" s="136"/>
      <c r="E161" s="136" t="str">
        <f t="shared" si="1"/>
        <v/>
      </c>
      <c r="F161" s="136"/>
      <c r="G161" s="106">
        <f>IFERROR(__xludf.DUMMYFUNCTION("""COMPUTED_VALUE"""),0.0)</f>
        <v>0</v>
      </c>
      <c r="H161" s="136"/>
      <c r="I161" s="159"/>
      <c r="J161" s="136">
        <f>IFERROR(__xludf.DUMMYFUNCTION("""COMPUTED_VALUE"""),0.0)</f>
        <v>0</v>
      </c>
      <c r="K161" s="141"/>
      <c r="L161" s="136" t="s">
        <v>133</v>
      </c>
    </row>
    <row r="162">
      <c r="A162" s="136"/>
      <c r="B162" s="136"/>
      <c r="C162" s="136" t="str">
        <f>IFERROR(__xludf.DUMMYFUNCTION("""COMPUTED_VALUE"""),"")</f>
        <v/>
      </c>
      <c r="D162" s="136"/>
      <c r="E162" s="136" t="str">
        <f t="shared" si="1"/>
        <v/>
      </c>
      <c r="F162" s="136"/>
      <c r="G162" s="106">
        <f>IFERROR(__xludf.DUMMYFUNCTION("""COMPUTED_VALUE"""),0.0)</f>
        <v>0</v>
      </c>
      <c r="H162" s="136"/>
      <c r="I162" s="159"/>
      <c r="J162" s="136">
        <f>IFERROR(__xludf.DUMMYFUNCTION("""COMPUTED_VALUE"""),0.0)</f>
        <v>0</v>
      </c>
      <c r="K162" s="141"/>
      <c r="L162" s="136" t="s">
        <v>133</v>
      </c>
    </row>
    <row r="163">
      <c r="A163" s="136"/>
      <c r="B163" s="136"/>
      <c r="C163" s="136" t="str">
        <f>IFERROR(__xludf.DUMMYFUNCTION("""COMPUTED_VALUE"""),"")</f>
        <v/>
      </c>
      <c r="D163" s="136"/>
      <c r="E163" s="136" t="str">
        <f t="shared" si="1"/>
        <v/>
      </c>
      <c r="F163" s="136"/>
      <c r="G163" s="106">
        <f>IFERROR(__xludf.DUMMYFUNCTION("""COMPUTED_VALUE"""),0.0)</f>
        <v>0</v>
      </c>
      <c r="H163" s="136"/>
      <c r="I163" s="159"/>
      <c r="J163" s="136">
        <f>IFERROR(__xludf.DUMMYFUNCTION("""COMPUTED_VALUE"""),0.0)</f>
        <v>0</v>
      </c>
      <c r="K163" s="141"/>
      <c r="L163" s="136" t="s">
        <v>133</v>
      </c>
    </row>
    <row r="164">
      <c r="A164" s="136"/>
      <c r="B164" s="136"/>
      <c r="C164" s="136" t="str">
        <f>IFERROR(__xludf.DUMMYFUNCTION("""COMPUTED_VALUE"""),"")</f>
        <v/>
      </c>
      <c r="D164" s="136"/>
      <c r="E164" s="136" t="str">
        <f t="shared" si="1"/>
        <v/>
      </c>
      <c r="F164" s="136"/>
      <c r="G164" s="106">
        <f>IFERROR(__xludf.DUMMYFUNCTION("""COMPUTED_VALUE"""),0.0)</f>
        <v>0</v>
      </c>
      <c r="H164" s="136"/>
      <c r="I164" s="159"/>
      <c r="J164" s="136">
        <f>IFERROR(__xludf.DUMMYFUNCTION("""COMPUTED_VALUE"""),0.0)</f>
        <v>0</v>
      </c>
      <c r="K164" s="141"/>
      <c r="L164" s="136" t="s">
        <v>133</v>
      </c>
    </row>
    <row r="165">
      <c r="A165" s="136"/>
      <c r="B165" s="136"/>
      <c r="C165" s="136" t="str">
        <f>IFERROR(__xludf.DUMMYFUNCTION("""COMPUTED_VALUE"""),"")</f>
        <v/>
      </c>
      <c r="D165" s="136"/>
      <c r="E165" s="136" t="str">
        <f t="shared" si="1"/>
        <v/>
      </c>
      <c r="F165" s="136"/>
      <c r="G165" s="106">
        <f>IFERROR(__xludf.DUMMYFUNCTION("""COMPUTED_VALUE"""),0.0)</f>
        <v>0</v>
      </c>
      <c r="H165" s="136"/>
      <c r="I165" s="159"/>
      <c r="J165" s="136">
        <f>IFERROR(__xludf.DUMMYFUNCTION("""COMPUTED_VALUE"""),0.0)</f>
        <v>0</v>
      </c>
      <c r="K165" s="141"/>
      <c r="L165" s="136" t="s">
        <v>133</v>
      </c>
    </row>
    <row r="166">
      <c r="A166" s="136"/>
      <c r="B166" s="136"/>
      <c r="C166" s="136" t="str">
        <f>IFERROR(__xludf.DUMMYFUNCTION("""COMPUTED_VALUE"""),"")</f>
        <v/>
      </c>
      <c r="D166" s="136"/>
      <c r="E166" s="136" t="str">
        <f t="shared" si="1"/>
        <v/>
      </c>
      <c r="F166" s="136"/>
      <c r="G166" s="106">
        <f>IFERROR(__xludf.DUMMYFUNCTION("""COMPUTED_VALUE"""),0.0)</f>
        <v>0</v>
      </c>
      <c r="H166" s="136"/>
      <c r="I166" s="159"/>
      <c r="J166" s="136">
        <f>IFERROR(__xludf.DUMMYFUNCTION("""COMPUTED_VALUE"""),0.0)</f>
        <v>0</v>
      </c>
      <c r="K166" s="141"/>
      <c r="L166" s="136" t="s">
        <v>133</v>
      </c>
    </row>
    <row r="167">
      <c r="A167" s="136"/>
      <c r="B167" s="136"/>
      <c r="C167" s="136" t="str">
        <f>IFERROR(__xludf.DUMMYFUNCTION("""COMPUTED_VALUE"""),"")</f>
        <v/>
      </c>
      <c r="D167" s="136"/>
      <c r="E167" s="136" t="str">
        <f t="shared" si="1"/>
        <v/>
      </c>
      <c r="F167" s="136"/>
      <c r="G167" s="106">
        <f>IFERROR(__xludf.DUMMYFUNCTION("""COMPUTED_VALUE"""),0.0)</f>
        <v>0</v>
      </c>
      <c r="H167" s="136"/>
      <c r="I167" s="159"/>
      <c r="J167" s="136">
        <f>IFERROR(__xludf.DUMMYFUNCTION("""COMPUTED_VALUE"""),0.0)</f>
        <v>0</v>
      </c>
      <c r="K167" s="141"/>
      <c r="L167" s="136" t="s">
        <v>133</v>
      </c>
    </row>
    <row r="168">
      <c r="A168" s="136"/>
      <c r="B168" s="136"/>
      <c r="C168" s="136" t="str">
        <f>IFERROR(__xludf.DUMMYFUNCTION("""COMPUTED_VALUE"""),"")</f>
        <v/>
      </c>
      <c r="D168" s="136"/>
      <c r="E168" s="136" t="str">
        <f t="shared" si="1"/>
        <v/>
      </c>
      <c r="F168" s="136"/>
      <c r="G168" s="106">
        <f>IFERROR(__xludf.DUMMYFUNCTION("""COMPUTED_VALUE"""),0.0)</f>
        <v>0</v>
      </c>
      <c r="H168" s="136"/>
      <c r="I168" s="159"/>
      <c r="J168" s="136">
        <f>IFERROR(__xludf.DUMMYFUNCTION("""COMPUTED_VALUE"""),0.0)</f>
        <v>0</v>
      </c>
      <c r="K168" s="141"/>
      <c r="L168" s="136" t="s">
        <v>133</v>
      </c>
    </row>
    <row r="169">
      <c r="A169" s="136"/>
      <c r="B169" s="136"/>
      <c r="C169" s="136" t="str">
        <f>IFERROR(__xludf.DUMMYFUNCTION("""COMPUTED_VALUE"""),"")</f>
        <v/>
      </c>
      <c r="D169" s="136"/>
      <c r="F169" s="136"/>
      <c r="G169" s="106">
        <f>IFERROR(__xludf.DUMMYFUNCTION("""COMPUTED_VALUE"""),0.0)</f>
        <v>0</v>
      </c>
      <c r="H169" s="136"/>
      <c r="I169" s="159"/>
      <c r="J169" s="136">
        <f>IFERROR(__xludf.DUMMYFUNCTION("""COMPUTED_VALUE"""),0.0)</f>
        <v>0</v>
      </c>
      <c r="K169" s="141"/>
      <c r="L169" s="136" t="s">
        <v>133</v>
      </c>
    </row>
    <row r="170">
      <c r="A170" s="136"/>
      <c r="B170" s="136"/>
      <c r="C170" s="136" t="str">
        <f>IFERROR(__xludf.DUMMYFUNCTION("""COMPUTED_VALUE"""),"")</f>
        <v/>
      </c>
      <c r="D170" s="136"/>
      <c r="F170" s="136"/>
      <c r="G170" s="106">
        <f>IFERROR(__xludf.DUMMYFUNCTION("""COMPUTED_VALUE"""),0.0)</f>
        <v>0</v>
      </c>
      <c r="H170" s="136"/>
      <c r="I170" s="159"/>
      <c r="J170" s="136">
        <f>IFERROR(__xludf.DUMMYFUNCTION("""COMPUTED_VALUE"""),0.0)</f>
        <v>0</v>
      </c>
      <c r="K170" s="141"/>
      <c r="L170" s="136" t="s">
        <v>133</v>
      </c>
    </row>
    <row r="171">
      <c r="A171" s="136"/>
      <c r="B171" s="136"/>
      <c r="C171" s="136" t="str">
        <f>IFERROR(__xludf.DUMMYFUNCTION("""COMPUTED_VALUE"""),"")</f>
        <v/>
      </c>
      <c r="D171" s="136"/>
      <c r="F171" s="136"/>
      <c r="G171" s="106">
        <f>IFERROR(__xludf.DUMMYFUNCTION("""COMPUTED_VALUE"""),0.0)</f>
        <v>0</v>
      </c>
      <c r="H171" s="136"/>
      <c r="I171" s="159"/>
      <c r="J171" s="136">
        <f>IFERROR(__xludf.DUMMYFUNCTION("""COMPUTED_VALUE"""),0.0)</f>
        <v>0</v>
      </c>
      <c r="K171" s="141"/>
      <c r="L171" s="136" t="s">
        <v>133</v>
      </c>
    </row>
    <row r="172">
      <c r="A172" s="136"/>
      <c r="B172" s="136"/>
      <c r="C172" s="136" t="str">
        <f>IFERROR(__xludf.DUMMYFUNCTION("""COMPUTED_VALUE"""),"")</f>
        <v/>
      </c>
      <c r="D172" s="136"/>
      <c r="F172" s="136"/>
      <c r="G172" s="106">
        <f>IFERROR(__xludf.DUMMYFUNCTION("""COMPUTED_VALUE"""),0.0)</f>
        <v>0</v>
      </c>
      <c r="H172" s="136"/>
      <c r="I172" s="159"/>
      <c r="J172" s="136">
        <f>IFERROR(__xludf.DUMMYFUNCTION("""COMPUTED_VALUE"""),0.0)</f>
        <v>0</v>
      </c>
      <c r="K172" s="141"/>
      <c r="L172" s="136" t="s">
        <v>133</v>
      </c>
    </row>
    <row r="173">
      <c r="A173" s="136"/>
      <c r="B173" s="136"/>
      <c r="C173" s="136" t="str">
        <f>IFERROR(__xludf.DUMMYFUNCTION("""COMPUTED_VALUE"""),"")</f>
        <v/>
      </c>
      <c r="D173" s="136"/>
      <c r="F173" s="136"/>
      <c r="G173" s="106">
        <f>IFERROR(__xludf.DUMMYFUNCTION("""COMPUTED_VALUE"""),0.0)</f>
        <v>0</v>
      </c>
      <c r="H173" s="136"/>
      <c r="I173" s="159"/>
      <c r="J173" s="136">
        <f>IFERROR(__xludf.DUMMYFUNCTION("""COMPUTED_VALUE"""),0.0)</f>
        <v>0</v>
      </c>
      <c r="K173" s="141"/>
      <c r="L173" s="136" t="s">
        <v>133</v>
      </c>
    </row>
    <row r="174">
      <c r="A174" s="136"/>
      <c r="B174" s="136"/>
      <c r="C174" s="136" t="str">
        <f>IFERROR(__xludf.DUMMYFUNCTION("""COMPUTED_VALUE"""),"")</f>
        <v/>
      </c>
      <c r="D174" s="136"/>
      <c r="F174" s="136"/>
      <c r="G174" s="106">
        <f>IFERROR(__xludf.DUMMYFUNCTION("""COMPUTED_VALUE"""),0.0)</f>
        <v>0</v>
      </c>
      <c r="H174" s="136"/>
      <c r="I174" s="159"/>
      <c r="J174" s="136">
        <f>IFERROR(__xludf.DUMMYFUNCTION("""COMPUTED_VALUE"""),0.0)</f>
        <v>0</v>
      </c>
      <c r="K174" s="141"/>
      <c r="L174" s="136" t="s">
        <v>133</v>
      </c>
    </row>
    <row r="175">
      <c r="A175" s="136"/>
      <c r="B175" s="136"/>
      <c r="C175" s="136" t="str">
        <f>IFERROR(__xludf.DUMMYFUNCTION("""COMPUTED_VALUE"""),"")</f>
        <v/>
      </c>
      <c r="D175" s="136"/>
      <c r="F175" s="136"/>
      <c r="G175" s="106">
        <f>IFERROR(__xludf.DUMMYFUNCTION("""COMPUTED_VALUE"""),0.0)</f>
        <v>0</v>
      </c>
      <c r="H175" s="136"/>
      <c r="I175" s="159"/>
      <c r="J175" s="136">
        <f>IFERROR(__xludf.DUMMYFUNCTION("""COMPUTED_VALUE"""),0.0)</f>
        <v>0</v>
      </c>
      <c r="K175" s="141"/>
      <c r="L175" s="136" t="s">
        <v>133</v>
      </c>
    </row>
    <row r="176">
      <c r="A176" s="136"/>
      <c r="B176" s="136"/>
      <c r="C176" s="136" t="str">
        <f>IFERROR(__xludf.DUMMYFUNCTION("""COMPUTED_VALUE"""),"")</f>
        <v/>
      </c>
      <c r="D176" s="136"/>
      <c r="F176" s="136"/>
      <c r="G176" s="106">
        <f>IFERROR(__xludf.DUMMYFUNCTION("""COMPUTED_VALUE"""),0.0)</f>
        <v>0</v>
      </c>
      <c r="H176" s="136"/>
      <c r="I176" s="159"/>
      <c r="J176" s="136">
        <f>IFERROR(__xludf.DUMMYFUNCTION("""COMPUTED_VALUE"""),0.0)</f>
        <v>0</v>
      </c>
      <c r="K176" s="141"/>
      <c r="L176" s="136" t="s">
        <v>133</v>
      </c>
    </row>
    <row r="177">
      <c r="A177" s="136"/>
      <c r="B177" s="136"/>
      <c r="C177" s="136" t="str">
        <f>IFERROR(__xludf.DUMMYFUNCTION("""COMPUTED_VALUE"""),"")</f>
        <v/>
      </c>
      <c r="D177" s="136"/>
      <c r="F177" s="136"/>
      <c r="G177" s="106">
        <f>IFERROR(__xludf.DUMMYFUNCTION("""COMPUTED_VALUE"""),0.0)</f>
        <v>0</v>
      </c>
      <c r="H177" s="136"/>
      <c r="I177" s="159"/>
      <c r="J177" s="136">
        <f>IFERROR(__xludf.DUMMYFUNCTION("""COMPUTED_VALUE"""),0.0)</f>
        <v>0</v>
      </c>
      <c r="K177" s="141"/>
      <c r="L177" s="136" t="s">
        <v>133</v>
      </c>
    </row>
    <row r="178">
      <c r="A178" s="136"/>
      <c r="B178" s="136"/>
      <c r="C178" s="136" t="str">
        <f>IFERROR(__xludf.DUMMYFUNCTION("""COMPUTED_VALUE"""),"")</f>
        <v/>
      </c>
      <c r="D178" s="136"/>
      <c r="F178" s="136"/>
      <c r="G178" s="106">
        <f>IFERROR(__xludf.DUMMYFUNCTION("""COMPUTED_VALUE"""),0.0)</f>
        <v>0</v>
      </c>
      <c r="H178" s="136"/>
      <c r="I178" s="159"/>
      <c r="J178" s="136">
        <f>IFERROR(__xludf.DUMMYFUNCTION("""COMPUTED_VALUE"""),0.0)</f>
        <v>0</v>
      </c>
      <c r="K178" s="141"/>
      <c r="L178" s="136" t="s">
        <v>133</v>
      </c>
    </row>
    <row r="179">
      <c r="A179" s="136"/>
      <c r="B179" s="136"/>
      <c r="C179" s="136" t="str">
        <f>IFERROR(__xludf.DUMMYFUNCTION("""COMPUTED_VALUE"""),"")</f>
        <v/>
      </c>
      <c r="D179" s="136"/>
      <c r="F179" s="136"/>
      <c r="G179" s="106">
        <f>IFERROR(__xludf.DUMMYFUNCTION("""COMPUTED_VALUE"""),0.0)</f>
        <v>0</v>
      </c>
      <c r="H179" s="136"/>
      <c r="I179" s="159"/>
      <c r="J179" s="136">
        <f>IFERROR(__xludf.DUMMYFUNCTION("""COMPUTED_VALUE"""),0.0)</f>
        <v>0</v>
      </c>
      <c r="K179" s="141"/>
      <c r="L179" s="136" t="s">
        <v>133</v>
      </c>
    </row>
    <row r="180">
      <c r="A180" s="136"/>
      <c r="B180" s="136"/>
      <c r="C180" s="136" t="str">
        <f>IFERROR(__xludf.DUMMYFUNCTION("""COMPUTED_VALUE"""),"")</f>
        <v/>
      </c>
      <c r="D180" s="136"/>
      <c r="F180" s="136"/>
      <c r="G180" s="106">
        <f>IFERROR(__xludf.DUMMYFUNCTION("""COMPUTED_VALUE"""),0.0)</f>
        <v>0</v>
      </c>
      <c r="H180" s="136"/>
      <c r="I180" s="159"/>
      <c r="J180" s="136">
        <f>IFERROR(__xludf.DUMMYFUNCTION("""COMPUTED_VALUE"""),0.0)</f>
        <v>0</v>
      </c>
      <c r="K180" s="141"/>
      <c r="L180" s="136" t="s">
        <v>133</v>
      </c>
    </row>
    <row r="181">
      <c r="A181" s="136"/>
      <c r="B181" s="136"/>
      <c r="C181" s="136" t="str">
        <f>IFERROR(__xludf.DUMMYFUNCTION("""COMPUTED_VALUE"""),"")</f>
        <v/>
      </c>
      <c r="D181" s="136"/>
      <c r="F181" s="136"/>
      <c r="G181" s="106">
        <f>IFERROR(__xludf.DUMMYFUNCTION("""COMPUTED_VALUE"""),0.0)</f>
        <v>0</v>
      </c>
      <c r="H181" s="136"/>
      <c r="I181" s="159"/>
      <c r="J181" s="136">
        <f>IFERROR(__xludf.DUMMYFUNCTION("""COMPUTED_VALUE"""),0.0)</f>
        <v>0</v>
      </c>
      <c r="K181" s="141"/>
      <c r="L181" s="136" t="s">
        <v>133</v>
      </c>
    </row>
    <row r="182">
      <c r="A182" s="136"/>
      <c r="B182" s="136"/>
      <c r="C182" s="136" t="str">
        <f>IFERROR(__xludf.DUMMYFUNCTION("""COMPUTED_VALUE"""),"")</f>
        <v/>
      </c>
      <c r="D182" s="136"/>
      <c r="F182" s="136"/>
      <c r="G182" s="106">
        <f>IFERROR(__xludf.DUMMYFUNCTION("""COMPUTED_VALUE"""),0.0)</f>
        <v>0</v>
      </c>
      <c r="H182" s="136"/>
      <c r="I182" s="159"/>
      <c r="J182" s="136">
        <f>IFERROR(__xludf.DUMMYFUNCTION("""COMPUTED_VALUE"""),0.0)</f>
        <v>0</v>
      </c>
      <c r="K182" s="141"/>
      <c r="L182" s="136" t="s">
        <v>133</v>
      </c>
    </row>
    <row r="183">
      <c r="A183" s="136"/>
      <c r="B183" s="136"/>
      <c r="C183" s="136" t="str">
        <f>IFERROR(__xludf.DUMMYFUNCTION("""COMPUTED_VALUE"""),"")</f>
        <v/>
      </c>
      <c r="D183" s="136"/>
      <c r="F183" s="136"/>
      <c r="G183" s="106">
        <f>IFERROR(__xludf.DUMMYFUNCTION("""COMPUTED_VALUE"""),0.0)</f>
        <v>0</v>
      </c>
      <c r="H183" s="136"/>
      <c r="I183" s="159"/>
      <c r="J183" s="136">
        <f>IFERROR(__xludf.DUMMYFUNCTION("""COMPUTED_VALUE"""),0.0)</f>
        <v>0</v>
      </c>
      <c r="K183" s="141"/>
      <c r="L183" s="136" t="s">
        <v>133</v>
      </c>
    </row>
    <row r="184">
      <c r="A184" s="136"/>
      <c r="B184" s="136"/>
      <c r="C184" s="136" t="str">
        <f>IFERROR(__xludf.DUMMYFUNCTION("""COMPUTED_VALUE"""),"")</f>
        <v/>
      </c>
      <c r="D184" s="136"/>
      <c r="F184" s="136"/>
      <c r="G184" s="106">
        <f>IFERROR(__xludf.DUMMYFUNCTION("""COMPUTED_VALUE"""),0.0)</f>
        <v>0</v>
      </c>
      <c r="H184" s="136"/>
      <c r="I184" s="159"/>
      <c r="J184" s="136">
        <f>IFERROR(__xludf.DUMMYFUNCTION("""COMPUTED_VALUE"""),0.0)</f>
        <v>0</v>
      </c>
      <c r="K184" s="141"/>
      <c r="L184" s="136" t="s">
        <v>133</v>
      </c>
    </row>
    <row r="185">
      <c r="A185" s="136"/>
      <c r="B185" s="136"/>
      <c r="C185" s="136" t="str">
        <f>IFERROR(__xludf.DUMMYFUNCTION("""COMPUTED_VALUE"""),"")</f>
        <v/>
      </c>
      <c r="D185" s="136"/>
      <c r="F185" s="136"/>
      <c r="G185" s="106">
        <f>IFERROR(__xludf.DUMMYFUNCTION("""COMPUTED_VALUE"""),0.0)</f>
        <v>0</v>
      </c>
      <c r="H185" s="136"/>
      <c r="I185" s="159"/>
      <c r="J185" s="136">
        <f>IFERROR(__xludf.DUMMYFUNCTION("""COMPUTED_VALUE"""),0.0)</f>
        <v>0</v>
      </c>
      <c r="K185" s="141"/>
      <c r="L185" s="136" t="s">
        <v>133</v>
      </c>
    </row>
    <row r="186">
      <c r="A186" s="136"/>
      <c r="B186" s="136"/>
      <c r="C186" s="136" t="str">
        <f>IFERROR(__xludf.DUMMYFUNCTION("""COMPUTED_VALUE"""),"")</f>
        <v/>
      </c>
      <c r="D186" s="136"/>
      <c r="F186" s="136"/>
      <c r="G186" s="106">
        <f>IFERROR(__xludf.DUMMYFUNCTION("""COMPUTED_VALUE"""),0.0)</f>
        <v>0</v>
      </c>
      <c r="H186" s="136"/>
      <c r="I186" s="159"/>
      <c r="J186" s="136">
        <f>IFERROR(__xludf.DUMMYFUNCTION("""COMPUTED_VALUE"""),0.0)</f>
        <v>0</v>
      </c>
      <c r="K186" s="141"/>
      <c r="L186" s="136" t="s">
        <v>133</v>
      </c>
    </row>
    <row r="187">
      <c r="A187" s="136"/>
      <c r="B187" s="136"/>
      <c r="C187" s="136" t="str">
        <f>IFERROR(__xludf.DUMMYFUNCTION("""COMPUTED_VALUE"""),"")</f>
        <v/>
      </c>
      <c r="D187" s="136"/>
      <c r="F187" s="136"/>
      <c r="G187" s="106">
        <f>IFERROR(__xludf.DUMMYFUNCTION("""COMPUTED_VALUE"""),0.0)</f>
        <v>0</v>
      </c>
      <c r="H187" s="136"/>
      <c r="I187" s="159"/>
      <c r="J187" s="136">
        <f>IFERROR(__xludf.DUMMYFUNCTION("""COMPUTED_VALUE"""),0.0)</f>
        <v>0</v>
      </c>
      <c r="K187" s="141"/>
      <c r="L187" s="136" t="s">
        <v>133</v>
      </c>
    </row>
    <row r="188">
      <c r="A188" s="136"/>
      <c r="B188" s="136"/>
      <c r="C188" s="136" t="str">
        <f>IFERROR(__xludf.DUMMYFUNCTION("""COMPUTED_VALUE"""),"")</f>
        <v/>
      </c>
      <c r="D188" s="136"/>
      <c r="F188" s="136"/>
      <c r="G188" s="106">
        <f>IFERROR(__xludf.DUMMYFUNCTION("""COMPUTED_VALUE"""),0.0)</f>
        <v>0</v>
      </c>
      <c r="H188" s="136"/>
      <c r="I188" s="159"/>
      <c r="J188" s="136">
        <f>IFERROR(__xludf.DUMMYFUNCTION("""COMPUTED_VALUE"""),0.0)</f>
        <v>0</v>
      </c>
      <c r="K188" s="141"/>
      <c r="L188" s="136" t="s">
        <v>133</v>
      </c>
    </row>
    <row r="189">
      <c r="A189" s="136"/>
      <c r="B189" s="136"/>
      <c r="C189" s="136" t="str">
        <f>IFERROR(__xludf.DUMMYFUNCTION("""COMPUTED_VALUE"""),"")</f>
        <v/>
      </c>
      <c r="D189" s="136"/>
      <c r="F189" s="136"/>
      <c r="G189" s="106">
        <f>IFERROR(__xludf.DUMMYFUNCTION("""COMPUTED_VALUE"""),0.0)</f>
        <v>0</v>
      </c>
      <c r="H189" s="136"/>
      <c r="I189" s="159"/>
      <c r="J189" s="136">
        <f>IFERROR(__xludf.DUMMYFUNCTION("""COMPUTED_VALUE"""),0.0)</f>
        <v>0</v>
      </c>
      <c r="K189" s="141"/>
      <c r="L189" s="136" t="s">
        <v>133</v>
      </c>
    </row>
    <row r="190">
      <c r="A190" s="136"/>
      <c r="B190" s="136"/>
      <c r="C190" s="136" t="str">
        <f>IFERROR(__xludf.DUMMYFUNCTION("""COMPUTED_VALUE"""),"")</f>
        <v/>
      </c>
      <c r="D190" s="136"/>
      <c r="F190" s="136"/>
      <c r="G190" s="106">
        <f>IFERROR(__xludf.DUMMYFUNCTION("""COMPUTED_VALUE"""),0.0)</f>
        <v>0</v>
      </c>
      <c r="H190" s="136"/>
      <c r="I190" s="159"/>
      <c r="J190" s="136">
        <f>IFERROR(__xludf.DUMMYFUNCTION("""COMPUTED_VALUE"""),0.0)</f>
        <v>0</v>
      </c>
      <c r="K190" s="141"/>
      <c r="L190" s="136" t="s">
        <v>133</v>
      </c>
    </row>
    <row r="191">
      <c r="A191" s="136"/>
      <c r="B191" s="136"/>
      <c r="C191" s="136" t="str">
        <f>IFERROR(__xludf.DUMMYFUNCTION("""COMPUTED_VALUE"""),"")</f>
        <v/>
      </c>
      <c r="D191" s="136"/>
      <c r="F191" s="136"/>
      <c r="G191" s="106">
        <f>IFERROR(__xludf.DUMMYFUNCTION("""COMPUTED_VALUE"""),0.0)</f>
        <v>0</v>
      </c>
      <c r="H191" s="136"/>
      <c r="I191" s="159"/>
      <c r="J191" s="136">
        <f>IFERROR(__xludf.DUMMYFUNCTION("""COMPUTED_VALUE"""),0.0)</f>
        <v>0</v>
      </c>
      <c r="K191" s="141"/>
      <c r="L191" s="136" t="s">
        <v>133</v>
      </c>
    </row>
    <row r="192">
      <c r="A192" s="136"/>
      <c r="B192" s="136"/>
      <c r="C192" s="136" t="str">
        <f>IFERROR(__xludf.DUMMYFUNCTION("""COMPUTED_VALUE"""),"")</f>
        <v/>
      </c>
      <c r="D192" s="136"/>
      <c r="F192" s="136"/>
      <c r="G192" s="106">
        <f>IFERROR(__xludf.DUMMYFUNCTION("""COMPUTED_VALUE"""),0.0)</f>
        <v>0</v>
      </c>
      <c r="H192" s="136"/>
      <c r="I192" s="159"/>
      <c r="J192" s="136">
        <f>IFERROR(__xludf.DUMMYFUNCTION("""COMPUTED_VALUE"""),0.0)</f>
        <v>0</v>
      </c>
      <c r="K192" s="141"/>
      <c r="L192" s="136" t="s">
        <v>133</v>
      </c>
    </row>
    <row r="193">
      <c r="A193" s="136"/>
      <c r="B193" s="136"/>
      <c r="C193" s="136" t="str">
        <f>IFERROR(__xludf.DUMMYFUNCTION("""COMPUTED_VALUE"""),"")</f>
        <v/>
      </c>
      <c r="D193" s="136"/>
      <c r="F193" s="136"/>
      <c r="G193" s="106">
        <f>IFERROR(__xludf.DUMMYFUNCTION("""COMPUTED_VALUE"""),0.0)</f>
        <v>0</v>
      </c>
      <c r="H193" s="136"/>
      <c r="I193" s="159"/>
      <c r="J193" s="136">
        <f>IFERROR(__xludf.DUMMYFUNCTION("""COMPUTED_VALUE"""),0.0)</f>
        <v>0</v>
      </c>
      <c r="K193" s="141"/>
      <c r="L193" s="136" t="s">
        <v>133</v>
      </c>
    </row>
    <row r="194">
      <c r="A194" s="136"/>
      <c r="B194" s="136"/>
      <c r="C194" s="136" t="str">
        <f>IFERROR(__xludf.DUMMYFUNCTION("""COMPUTED_VALUE"""),"")</f>
        <v/>
      </c>
      <c r="D194" s="136"/>
      <c r="F194" s="136"/>
      <c r="G194" s="106">
        <f>IFERROR(__xludf.DUMMYFUNCTION("""COMPUTED_VALUE"""),0.0)</f>
        <v>0</v>
      </c>
      <c r="H194" s="136"/>
      <c r="I194" s="159"/>
      <c r="J194" s="136">
        <f>IFERROR(__xludf.DUMMYFUNCTION("""COMPUTED_VALUE"""),0.0)</f>
        <v>0</v>
      </c>
      <c r="K194" s="141"/>
      <c r="L194" s="136" t="s">
        <v>133</v>
      </c>
    </row>
    <row r="195">
      <c r="A195" s="136"/>
      <c r="B195" s="136"/>
      <c r="C195" s="136" t="str">
        <f>IFERROR(__xludf.DUMMYFUNCTION("""COMPUTED_VALUE"""),"")</f>
        <v/>
      </c>
      <c r="D195" s="136"/>
      <c r="F195" s="136"/>
      <c r="G195" s="106">
        <f>IFERROR(__xludf.DUMMYFUNCTION("""COMPUTED_VALUE"""),0.0)</f>
        <v>0</v>
      </c>
      <c r="H195" s="136"/>
      <c r="I195" s="159"/>
      <c r="J195" s="136">
        <f>IFERROR(__xludf.DUMMYFUNCTION("""COMPUTED_VALUE"""),0.0)</f>
        <v>0</v>
      </c>
      <c r="K195" s="141"/>
      <c r="L195" s="136" t="s">
        <v>133</v>
      </c>
    </row>
    <row r="196">
      <c r="A196" s="136"/>
      <c r="B196" s="136"/>
      <c r="C196" s="136" t="str">
        <f>IFERROR(__xludf.DUMMYFUNCTION("""COMPUTED_VALUE"""),"")</f>
        <v/>
      </c>
      <c r="D196" s="136"/>
      <c r="F196" s="136"/>
      <c r="G196" s="106">
        <f>IFERROR(__xludf.DUMMYFUNCTION("""COMPUTED_VALUE"""),0.0)</f>
        <v>0</v>
      </c>
      <c r="H196" s="136"/>
      <c r="I196" s="159"/>
      <c r="J196" s="136">
        <f>IFERROR(__xludf.DUMMYFUNCTION("""COMPUTED_VALUE"""),0.0)</f>
        <v>0</v>
      </c>
      <c r="K196" s="141"/>
      <c r="L196" s="136" t="s">
        <v>133</v>
      </c>
    </row>
    <row r="197">
      <c r="A197" s="136"/>
      <c r="B197" s="136"/>
      <c r="C197" s="136" t="str">
        <f>IFERROR(__xludf.DUMMYFUNCTION("""COMPUTED_VALUE"""),"")</f>
        <v/>
      </c>
      <c r="D197" s="136"/>
      <c r="F197" s="136"/>
      <c r="G197" s="106">
        <f>IFERROR(__xludf.DUMMYFUNCTION("""COMPUTED_VALUE"""),0.0)</f>
        <v>0</v>
      </c>
      <c r="H197" s="136"/>
      <c r="I197" s="159"/>
      <c r="J197" s="136">
        <f>IFERROR(__xludf.DUMMYFUNCTION("""COMPUTED_VALUE"""),0.0)</f>
        <v>0</v>
      </c>
      <c r="K197" s="141"/>
      <c r="L197" s="136" t="s">
        <v>133</v>
      </c>
    </row>
    <row r="198">
      <c r="A198" s="136"/>
      <c r="B198" s="136"/>
      <c r="C198" s="136" t="str">
        <f>IFERROR(__xludf.DUMMYFUNCTION("""COMPUTED_VALUE"""),"")</f>
        <v/>
      </c>
      <c r="D198" s="136"/>
      <c r="F198" s="136"/>
      <c r="G198" s="106">
        <f>IFERROR(__xludf.DUMMYFUNCTION("""COMPUTED_VALUE"""),0.0)</f>
        <v>0</v>
      </c>
      <c r="H198" s="136"/>
      <c r="I198" s="159"/>
      <c r="J198" s="136">
        <f>IFERROR(__xludf.DUMMYFUNCTION("""COMPUTED_VALUE"""),0.0)</f>
        <v>0</v>
      </c>
      <c r="K198" s="141"/>
      <c r="L198" s="136" t="s">
        <v>133</v>
      </c>
    </row>
    <row r="199">
      <c r="A199" s="136"/>
      <c r="B199" s="136"/>
      <c r="C199" s="136" t="str">
        <f>IFERROR(__xludf.DUMMYFUNCTION("""COMPUTED_VALUE"""),"")</f>
        <v/>
      </c>
      <c r="D199" s="136"/>
      <c r="F199" s="136"/>
      <c r="G199" s="106">
        <f>IFERROR(__xludf.DUMMYFUNCTION("""COMPUTED_VALUE"""),0.0)</f>
        <v>0</v>
      </c>
      <c r="H199" s="136"/>
      <c r="I199" s="159"/>
      <c r="J199" s="136">
        <f>IFERROR(__xludf.DUMMYFUNCTION("""COMPUTED_VALUE"""),0.0)</f>
        <v>0</v>
      </c>
      <c r="K199" s="141"/>
      <c r="L199" s="136" t="s">
        <v>133</v>
      </c>
    </row>
    <row r="200">
      <c r="A200" s="136"/>
      <c r="B200" s="136"/>
      <c r="C200" s="136" t="str">
        <f>IFERROR(__xludf.DUMMYFUNCTION("""COMPUTED_VALUE"""),"")</f>
        <v/>
      </c>
      <c r="D200" s="136"/>
      <c r="F200" s="136"/>
      <c r="G200" s="106">
        <f>IFERROR(__xludf.DUMMYFUNCTION("""COMPUTED_VALUE"""),0.0)</f>
        <v>0</v>
      </c>
      <c r="H200" s="136"/>
      <c r="I200" s="159"/>
      <c r="J200" s="136">
        <f>IFERROR(__xludf.DUMMYFUNCTION("""COMPUTED_VALUE"""),0.0)</f>
        <v>0</v>
      </c>
      <c r="K200" s="141"/>
      <c r="L200" s="136" t="s">
        <v>133</v>
      </c>
    </row>
    <row r="201">
      <c r="A201" s="136"/>
      <c r="B201" s="136"/>
      <c r="C201" s="136" t="str">
        <f>IFERROR(__xludf.DUMMYFUNCTION("""COMPUTED_VALUE"""),"")</f>
        <v/>
      </c>
      <c r="D201" s="136"/>
      <c r="F201" s="136"/>
      <c r="G201" s="106">
        <f>IFERROR(__xludf.DUMMYFUNCTION("""COMPUTED_VALUE"""),0.0)</f>
        <v>0</v>
      </c>
      <c r="H201" s="136"/>
      <c r="I201" s="159"/>
      <c r="J201" s="136">
        <f>IFERROR(__xludf.DUMMYFUNCTION("""COMPUTED_VALUE"""),0.0)</f>
        <v>0</v>
      </c>
      <c r="K201" s="141"/>
      <c r="L201" s="136" t="s">
        <v>133</v>
      </c>
    </row>
    <row r="202">
      <c r="A202" s="136"/>
      <c r="B202" s="136"/>
      <c r="C202" s="136" t="str">
        <f>IFERROR(__xludf.DUMMYFUNCTION("""COMPUTED_VALUE"""),"")</f>
        <v/>
      </c>
      <c r="D202" s="136"/>
      <c r="F202" s="136"/>
      <c r="G202" s="106">
        <f>IFERROR(__xludf.DUMMYFUNCTION("""COMPUTED_VALUE"""),0.0)</f>
        <v>0</v>
      </c>
      <c r="H202" s="136"/>
      <c r="I202" s="159"/>
      <c r="J202" s="136">
        <f>IFERROR(__xludf.DUMMYFUNCTION("""COMPUTED_VALUE"""),0.0)</f>
        <v>0</v>
      </c>
      <c r="K202" s="141"/>
      <c r="L202" s="136" t="s">
        <v>133</v>
      </c>
    </row>
    <row r="203">
      <c r="A203" s="136"/>
      <c r="B203" s="136"/>
      <c r="C203" s="136" t="str">
        <f>IFERROR(__xludf.DUMMYFUNCTION("""COMPUTED_VALUE"""),"")</f>
        <v/>
      </c>
      <c r="D203" s="136"/>
      <c r="F203" s="136"/>
      <c r="G203" s="106">
        <f>IFERROR(__xludf.DUMMYFUNCTION("""COMPUTED_VALUE"""),0.0)</f>
        <v>0</v>
      </c>
      <c r="H203" s="136"/>
      <c r="I203" s="159"/>
      <c r="J203" s="136">
        <f>IFERROR(__xludf.DUMMYFUNCTION("""COMPUTED_VALUE"""),0.0)</f>
        <v>0</v>
      </c>
      <c r="K203" s="141"/>
      <c r="L203" s="136" t="s">
        <v>133</v>
      </c>
    </row>
    <row r="204">
      <c r="G204" s="106"/>
      <c r="I204" s="159"/>
      <c r="K204" s="141"/>
      <c r="L204" s="136" t="s">
        <v>133</v>
      </c>
    </row>
    <row r="205">
      <c r="G205" s="106"/>
      <c r="I205" s="159"/>
      <c r="K205" s="141"/>
      <c r="L205" s="136" t="s">
        <v>133</v>
      </c>
    </row>
    <row r="206">
      <c r="G206" s="106"/>
      <c r="I206" s="159"/>
      <c r="K206" s="141"/>
      <c r="L206" s="136" t="s">
        <v>133</v>
      </c>
    </row>
    <row r="207">
      <c r="G207" s="106"/>
      <c r="I207" s="159"/>
      <c r="K207" s="141"/>
      <c r="L207" s="136" t="s">
        <v>133</v>
      </c>
    </row>
    <row r="208">
      <c r="G208" s="106"/>
      <c r="I208" s="159"/>
      <c r="K208" s="141"/>
      <c r="L208" s="136" t="s">
        <v>133</v>
      </c>
    </row>
    <row r="209">
      <c r="G209" s="106"/>
      <c r="I209" s="159"/>
      <c r="K209" s="141"/>
      <c r="L209" s="136" t="s">
        <v>133</v>
      </c>
    </row>
    <row r="210">
      <c r="G210" s="106"/>
      <c r="I210" s="159"/>
      <c r="K210" s="141"/>
      <c r="L210" s="136" t="s">
        <v>133</v>
      </c>
    </row>
    <row r="211">
      <c r="G211" s="106"/>
      <c r="I211" s="159"/>
      <c r="K211" s="141"/>
      <c r="L211" s="136" t="s">
        <v>133</v>
      </c>
    </row>
    <row r="212">
      <c r="G212" s="106"/>
      <c r="I212" s="159"/>
      <c r="K212" s="141"/>
      <c r="L212" s="136" t="s">
        <v>133</v>
      </c>
    </row>
    <row r="213">
      <c r="G213" s="106"/>
      <c r="I213" s="159"/>
      <c r="K213" s="141"/>
      <c r="L213" s="136" t="s">
        <v>133</v>
      </c>
    </row>
    <row r="214">
      <c r="G214" s="106"/>
      <c r="I214" s="159"/>
      <c r="K214" s="141"/>
      <c r="L214" s="136" t="s">
        <v>133</v>
      </c>
    </row>
    <row r="215">
      <c r="G215" s="106"/>
      <c r="I215" s="159"/>
      <c r="K215" s="141"/>
      <c r="L215" s="136" t="s">
        <v>133</v>
      </c>
    </row>
    <row r="216">
      <c r="G216" s="106"/>
      <c r="I216" s="159"/>
      <c r="K216" s="141"/>
      <c r="L216" s="136" t="s">
        <v>133</v>
      </c>
    </row>
    <row r="217">
      <c r="G217" s="106"/>
      <c r="I217" s="159"/>
      <c r="K217" s="141"/>
      <c r="L217" s="136" t="s">
        <v>133</v>
      </c>
    </row>
    <row r="218">
      <c r="G218" s="106"/>
      <c r="I218" s="159"/>
      <c r="K218" s="141"/>
      <c r="L218" s="136" t="s">
        <v>133</v>
      </c>
    </row>
    <row r="219">
      <c r="G219" s="106"/>
      <c r="I219" s="159"/>
      <c r="K219" s="141"/>
      <c r="L219" s="136" t="s">
        <v>133</v>
      </c>
    </row>
    <row r="220">
      <c r="G220" s="106"/>
      <c r="I220" s="159"/>
      <c r="K220" s="141"/>
      <c r="L220" s="136" t="s">
        <v>133</v>
      </c>
    </row>
    <row r="221">
      <c r="G221" s="106"/>
      <c r="I221" s="159"/>
      <c r="K221" s="141"/>
      <c r="L221" s="136" t="s">
        <v>133</v>
      </c>
    </row>
    <row r="222">
      <c r="G222" s="106"/>
      <c r="I222" s="159"/>
      <c r="K222" s="141"/>
      <c r="L222" s="136" t="s">
        <v>133</v>
      </c>
    </row>
    <row r="223">
      <c r="G223" s="106"/>
      <c r="I223" s="159"/>
      <c r="K223" s="141"/>
      <c r="L223" s="136" t="s">
        <v>133</v>
      </c>
    </row>
    <row r="224">
      <c r="G224" s="106"/>
      <c r="I224" s="159"/>
      <c r="K224" s="141"/>
      <c r="L224" s="136" t="s">
        <v>133</v>
      </c>
    </row>
    <row r="225">
      <c r="G225" s="106"/>
      <c r="I225" s="159"/>
      <c r="K225" s="141"/>
      <c r="L225" s="136" t="s">
        <v>133</v>
      </c>
    </row>
    <row r="226">
      <c r="G226" s="106"/>
      <c r="I226" s="159"/>
      <c r="K226" s="141"/>
      <c r="L226" s="136" t="s">
        <v>133</v>
      </c>
    </row>
    <row r="227">
      <c r="G227" s="106"/>
      <c r="I227" s="159"/>
      <c r="K227" s="141"/>
      <c r="L227" s="136" t="s">
        <v>133</v>
      </c>
    </row>
    <row r="228">
      <c r="G228" s="106"/>
      <c r="I228" s="159"/>
      <c r="K228" s="141"/>
      <c r="L228" s="136" t="s">
        <v>133</v>
      </c>
    </row>
    <row r="229">
      <c r="G229" s="106"/>
      <c r="I229" s="159"/>
      <c r="K229" s="141"/>
      <c r="L229" s="136" t="s">
        <v>133</v>
      </c>
    </row>
    <row r="230">
      <c r="G230" s="106"/>
      <c r="I230" s="159"/>
      <c r="K230" s="141"/>
      <c r="L230" s="136" t="s">
        <v>133</v>
      </c>
    </row>
    <row r="231">
      <c r="G231" s="106"/>
      <c r="I231" s="159"/>
      <c r="K231" s="141"/>
      <c r="L231" s="136" t="s">
        <v>133</v>
      </c>
    </row>
    <row r="232">
      <c r="G232" s="106"/>
      <c r="I232" s="159"/>
      <c r="K232" s="141"/>
      <c r="L232" s="136" t="s">
        <v>133</v>
      </c>
    </row>
    <row r="233">
      <c r="G233" s="106"/>
      <c r="I233" s="159"/>
      <c r="K233" s="141"/>
      <c r="L233" s="136" t="s">
        <v>133</v>
      </c>
    </row>
    <row r="234">
      <c r="G234" s="106"/>
      <c r="I234" s="159"/>
      <c r="K234" s="141"/>
      <c r="L234" s="136" t="s">
        <v>133</v>
      </c>
    </row>
    <row r="235">
      <c r="G235" s="106"/>
      <c r="I235" s="159"/>
      <c r="K235" s="141"/>
      <c r="L235" s="136" t="s">
        <v>133</v>
      </c>
    </row>
    <row r="236">
      <c r="G236" s="106"/>
      <c r="I236" s="159"/>
      <c r="K236" s="141"/>
      <c r="L236" s="136" t="s">
        <v>133</v>
      </c>
    </row>
    <row r="237">
      <c r="G237" s="106"/>
      <c r="I237" s="159"/>
      <c r="K237" s="141"/>
      <c r="L237" s="136" t="s">
        <v>133</v>
      </c>
    </row>
    <row r="238">
      <c r="G238" s="106"/>
      <c r="I238" s="159"/>
      <c r="K238" s="141"/>
      <c r="L238" s="136" t="s">
        <v>133</v>
      </c>
    </row>
    <row r="239">
      <c r="G239" s="106"/>
      <c r="I239" s="159"/>
      <c r="K239" s="141"/>
      <c r="L239" s="136" t="s">
        <v>133</v>
      </c>
    </row>
    <row r="240">
      <c r="G240" s="106"/>
      <c r="I240" s="159"/>
      <c r="K240" s="141"/>
      <c r="L240" s="136" t="s">
        <v>133</v>
      </c>
    </row>
    <row r="241">
      <c r="G241" s="106"/>
      <c r="I241" s="159"/>
      <c r="K241" s="141"/>
      <c r="L241" s="136" t="s">
        <v>133</v>
      </c>
    </row>
    <row r="242">
      <c r="G242" s="106"/>
      <c r="I242" s="159"/>
      <c r="K242" s="141"/>
      <c r="L242" s="136" t="s">
        <v>133</v>
      </c>
    </row>
    <row r="243">
      <c r="G243" s="106"/>
      <c r="I243" s="159"/>
      <c r="K243" s="141"/>
      <c r="L243" s="136" t="s">
        <v>133</v>
      </c>
    </row>
    <row r="244">
      <c r="G244" s="106"/>
      <c r="I244" s="159"/>
      <c r="K244" s="141"/>
      <c r="L244" s="136" t="s">
        <v>133</v>
      </c>
    </row>
    <row r="245">
      <c r="G245" s="106"/>
      <c r="I245" s="159"/>
      <c r="K245" s="141"/>
      <c r="L245" s="136" t="s">
        <v>133</v>
      </c>
    </row>
    <row r="246">
      <c r="G246" s="106"/>
      <c r="I246" s="159"/>
      <c r="K246" s="141"/>
      <c r="L246" s="136" t="s">
        <v>133</v>
      </c>
    </row>
    <row r="247">
      <c r="G247" s="106"/>
      <c r="I247" s="159"/>
      <c r="K247" s="141"/>
      <c r="L247" s="136" t="s">
        <v>133</v>
      </c>
    </row>
    <row r="248">
      <c r="G248" s="106"/>
      <c r="I248" s="159"/>
      <c r="K248" s="141"/>
      <c r="L248" s="136" t="s">
        <v>133</v>
      </c>
    </row>
    <row r="249">
      <c r="G249" s="106"/>
      <c r="I249" s="159"/>
      <c r="K249" s="141"/>
      <c r="L249" s="136" t="s">
        <v>133</v>
      </c>
    </row>
    <row r="250">
      <c r="G250" s="106"/>
      <c r="I250" s="159"/>
      <c r="K250" s="141"/>
      <c r="L250" s="136" t="s">
        <v>133</v>
      </c>
    </row>
    <row r="251">
      <c r="G251" s="106"/>
      <c r="I251" s="159"/>
      <c r="K251" s="141"/>
      <c r="L251" s="136" t="s">
        <v>133</v>
      </c>
    </row>
    <row r="252">
      <c r="G252" s="106"/>
      <c r="I252" s="159"/>
      <c r="K252" s="141"/>
      <c r="L252" s="136" t="s">
        <v>133</v>
      </c>
    </row>
    <row r="253">
      <c r="G253" s="106"/>
      <c r="I253" s="159"/>
      <c r="K253" s="141"/>
      <c r="L253" s="136" t="s">
        <v>133</v>
      </c>
    </row>
    <row r="254">
      <c r="G254" s="106"/>
      <c r="I254" s="159"/>
      <c r="K254" s="141"/>
      <c r="L254" s="136" t="s">
        <v>133</v>
      </c>
    </row>
    <row r="255">
      <c r="G255" s="106"/>
      <c r="I255" s="159"/>
      <c r="K255" s="141"/>
      <c r="L255" s="136" t="s">
        <v>133</v>
      </c>
    </row>
    <row r="256">
      <c r="G256" s="106"/>
      <c r="I256" s="159"/>
      <c r="K256" s="141"/>
      <c r="L256" s="136" t="s">
        <v>133</v>
      </c>
    </row>
    <row r="257">
      <c r="G257" s="106"/>
      <c r="I257" s="159"/>
      <c r="K257" s="141"/>
      <c r="L257" s="136" t="s">
        <v>133</v>
      </c>
    </row>
    <row r="258">
      <c r="G258" s="106"/>
      <c r="I258" s="159"/>
      <c r="K258" s="141"/>
      <c r="L258" s="136" t="s">
        <v>133</v>
      </c>
    </row>
    <row r="259">
      <c r="G259" s="106"/>
      <c r="I259" s="159"/>
      <c r="K259" s="141"/>
      <c r="L259" s="136" t="s">
        <v>133</v>
      </c>
    </row>
    <row r="260">
      <c r="G260" s="106"/>
      <c r="I260" s="159"/>
      <c r="K260" s="141"/>
      <c r="L260" s="136" t="s">
        <v>133</v>
      </c>
    </row>
    <row r="261">
      <c r="G261" s="106"/>
      <c r="I261" s="159"/>
      <c r="K261" s="141"/>
      <c r="L261" s="136" t="s">
        <v>133</v>
      </c>
    </row>
    <row r="262">
      <c r="G262" s="106"/>
      <c r="I262" s="159"/>
      <c r="K262" s="141"/>
      <c r="L262" s="136" t="s">
        <v>133</v>
      </c>
    </row>
    <row r="263">
      <c r="G263" s="106"/>
      <c r="I263" s="159"/>
      <c r="K263" s="141"/>
      <c r="L263" s="136" t="s">
        <v>133</v>
      </c>
    </row>
    <row r="264">
      <c r="G264" s="106"/>
      <c r="I264" s="159"/>
      <c r="K264" s="141"/>
      <c r="L264" s="136" t="s">
        <v>133</v>
      </c>
    </row>
    <row r="265">
      <c r="G265" s="106"/>
      <c r="I265" s="159"/>
      <c r="K265" s="141"/>
      <c r="L265" s="136" t="s">
        <v>133</v>
      </c>
    </row>
    <row r="266">
      <c r="G266" s="106"/>
      <c r="I266" s="159"/>
      <c r="K266" s="141"/>
      <c r="L266" s="136" t="s">
        <v>133</v>
      </c>
    </row>
    <row r="267">
      <c r="G267" s="106"/>
      <c r="I267" s="159"/>
      <c r="K267" s="141"/>
      <c r="L267" s="136" t="s">
        <v>133</v>
      </c>
    </row>
    <row r="268">
      <c r="G268" s="106"/>
      <c r="I268" s="159"/>
      <c r="K268" s="141"/>
      <c r="L268" s="136" t="s">
        <v>133</v>
      </c>
    </row>
    <row r="269">
      <c r="G269" s="106"/>
      <c r="I269" s="159"/>
      <c r="K269" s="141"/>
      <c r="L269" s="136" t="s">
        <v>133</v>
      </c>
    </row>
    <row r="270">
      <c r="G270" s="106"/>
      <c r="I270" s="159"/>
      <c r="K270" s="141"/>
      <c r="L270" s="136" t="s">
        <v>133</v>
      </c>
    </row>
    <row r="271">
      <c r="G271" s="106"/>
      <c r="I271" s="159"/>
      <c r="K271" s="141"/>
      <c r="L271" s="136" t="s">
        <v>133</v>
      </c>
    </row>
    <row r="272">
      <c r="G272" s="106"/>
      <c r="I272" s="159"/>
      <c r="K272" s="141"/>
      <c r="L272" s="136" t="s">
        <v>133</v>
      </c>
    </row>
    <row r="273">
      <c r="G273" s="106"/>
      <c r="I273" s="159"/>
      <c r="K273" s="141"/>
      <c r="L273" s="136" t="s">
        <v>133</v>
      </c>
    </row>
    <row r="274">
      <c r="G274" s="106"/>
      <c r="I274" s="159"/>
      <c r="K274" s="141"/>
      <c r="L274" s="136" t="s">
        <v>133</v>
      </c>
    </row>
    <row r="275">
      <c r="G275" s="106"/>
      <c r="I275" s="159"/>
      <c r="K275" s="141"/>
      <c r="L275" s="136" t="s">
        <v>133</v>
      </c>
    </row>
    <row r="276">
      <c r="G276" s="106"/>
      <c r="I276" s="159"/>
      <c r="K276" s="141"/>
      <c r="L276" s="136" t="s">
        <v>133</v>
      </c>
    </row>
    <row r="277">
      <c r="G277" s="106"/>
      <c r="I277" s="159"/>
      <c r="K277" s="141"/>
      <c r="L277" s="136" t="s">
        <v>133</v>
      </c>
    </row>
    <row r="278">
      <c r="G278" s="106"/>
      <c r="I278" s="159"/>
      <c r="K278" s="141"/>
      <c r="L278" s="136" t="s">
        <v>133</v>
      </c>
    </row>
    <row r="279">
      <c r="G279" s="106"/>
      <c r="I279" s="159"/>
      <c r="K279" s="141"/>
      <c r="L279" s="136" t="s">
        <v>133</v>
      </c>
    </row>
    <row r="280">
      <c r="G280" s="106"/>
      <c r="I280" s="159"/>
      <c r="K280" s="141"/>
      <c r="L280" s="136" t="s">
        <v>133</v>
      </c>
    </row>
    <row r="281">
      <c r="G281" s="106"/>
      <c r="I281" s="159"/>
      <c r="K281" s="141"/>
      <c r="L281" s="136" t="s">
        <v>133</v>
      </c>
    </row>
    <row r="282">
      <c r="G282" s="106"/>
      <c r="I282" s="159"/>
      <c r="K282" s="141"/>
      <c r="L282" s="136" t="s">
        <v>133</v>
      </c>
    </row>
    <row r="283">
      <c r="G283" s="106"/>
      <c r="I283" s="159"/>
      <c r="K283" s="141"/>
      <c r="L283" s="136" t="s">
        <v>133</v>
      </c>
    </row>
    <row r="284">
      <c r="G284" s="106"/>
      <c r="I284" s="159"/>
      <c r="K284" s="141"/>
      <c r="L284" s="136" t="s">
        <v>133</v>
      </c>
    </row>
    <row r="285">
      <c r="G285" s="106"/>
      <c r="I285" s="159"/>
      <c r="K285" s="141"/>
      <c r="L285" s="136" t="s">
        <v>133</v>
      </c>
    </row>
    <row r="286">
      <c r="G286" s="106"/>
      <c r="I286" s="159"/>
      <c r="K286" s="141"/>
      <c r="L286" s="136" t="s">
        <v>133</v>
      </c>
    </row>
    <row r="287">
      <c r="G287" s="106"/>
      <c r="I287" s="159"/>
      <c r="K287" s="141"/>
      <c r="L287" s="136" t="s">
        <v>133</v>
      </c>
    </row>
    <row r="288">
      <c r="G288" s="106"/>
      <c r="I288" s="159"/>
      <c r="K288" s="141"/>
      <c r="L288" s="136" t="s">
        <v>133</v>
      </c>
    </row>
    <row r="289">
      <c r="G289" s="106"/>
      <c r="I289" s="159"/>
      <c r="K289" s="141"/>
      <c r="L289" s="136" t="s">
        <v>133</v>
      </c>
    </row>
    <row r="290">
      <c r="G290" s="106"/>
      <c r="I290" s="159"/>
      <c r="K290" s="141"/>
      <c r="L290" s="136" t="s">
        <v>133</v>
      </c>
    </row>
    <row r="291">
      <c r="G291" s="106"/>
      <c r="I291" s="159"/>
      <c r="K291" s="141"/>
      <c r="L291" s="136" t="s">
        <v>133</v>
      </c>
    </row>
    <row r="292">
      <c r="G292" s="106"/>
      <c r="I292" s="159"/>
      <c r="K292" s="141"/>
      <c r="L292" s="136" t="s">
        <v>133</v>
      </c>
    </row>
    <row r="293">
      <c r="G293" s="106"/>
      <c r="I293" s="159"/>
      <c r="K293" s="141"/>
      <c r="L293" s="136" t="s">
        <v>133</v>
      </c>
    </row>
    <row r="294">
      <c r="G294" s="106"/>
      <c r="I294" s="159"/>
      <c r="K294" s="141"/>
      <c r="L294" s="136" t="s">
        <v>133</v>
      </c>
    </row>
    <row r="295">
      <c r="G295" s="106"/>
      <c r="I295" s="159"/>
      <c r="K295" s="141"/>
      <c r="L295" s="136" t="s">
        <v>133</v>
      </c>
    </row>
    <row r="296">
      <c r="G296" s="106"/>
      <c r="I296" s="159"/>
      <c r="K296" s="141"/>
      <c r="L296" s="136" t="s">
        <v>133</v>
      </c>
    </row>
    <row r="297">
      <c r="G297" s="106"/>
      <c r="I297" s="159"/>
      <c r="K297" s="141"/>
      <c r="L297" s="136" t="s">
        <v>133</v>
      </c>
    </row>
    <row r="298">
      <c r="G298" s="106"/>
      <c r="I298" s="159"/>
      <c r="K298" s="141"/>
      <c r="L298" s="136" t="s">
        <v>133</v>
      </c>
    </row>
    <row r="299">
      <c r="G299" s="106"/>
      <c r="I299" s="159"/>
      <c r="K299" s="141"/>
      <c r="L299" s="136" t="s">
        <v>133</v>
      </c>
    </row>
    <row r="300">
      <c r="G300" s="106"/>
      <c r="I300" s="159"/>
      <c r="K300" s="141"/>
      <c r="L300" s="136" t="s">
        <v>133</v>
      </c>
    </row>
    <row r="301">
      <c r="G301" s="106"/>
      <c r="I301" s="159"/>
      <c r="K301" s="141"/>
      <c r="L301" s="136" t="s">
        <v>133</v>
      </c>
    </row>
    <row r="302">
      <c r="G302" s="106"/>
      <c r="I302" s="159"/>
      <c r="K302" s="141"/>
      <c r="L302" s="136" t="s">
        <v>133</v>
      </c>
    </row>
    <row r="303">
      <c r="G303" s="106"/>
      <c r="I303" s="159"/>
      <c r="K303" s="141"/>
      <c r="L303" s="136" t="s">
        <v>133</v>
      </c>
    </row>
    <row r="304">
      <c r="G304" s="106"/>
      <c r="I304" s="159"/>
      <c r="K304" s="141"/>
      <c r="L304" s="136" t="s">
        <v>133</v>
      </c>
    </row>
    <row r="305">
      <c r="G305" s="106"/>
      <c r="I305" s="159"/>
      <c r="K305" s="141"/>
      <c r="L305" s="136" t="s">
        <v>133</v>
      </c>
    </row>
    <row r="306">
      <c r="G306" s="106"/>
      <c r="I306" s="159"/>
      <c r="K306" s="141"/>
      <c r="L306" s="136" t="s">
        <v>133</v>
      </c>
    </row>
    <row r="307">
      <c r="G307" s="106"/>
      <c r="I307" s="159"/>
      <c r="K307" s="141"/>
      <c r="L307" s="136" t="s">
        <v>133</v>
      </c>
    </row>
    <row r="308">
      <c r="G308" s="106"/>
      <c r="I308" s="159"/>
      <c r="K308" s="141"/>
      <c r="L308" s="136" t="s">
        <v>133</v>
      </c>
    </row>
    <row r="309">
      <c r="G309" s="106"/>
      <c r="I309" s="159"/>
      <c r="K309" s="141"/>
      <c r="L309" s="136" t="s">
        <v>133</v>
      </c>
    </row>
    <row r="310">
      <c r="G310" s="106"/>
      <c r="I310" s="159"/>
      <c r="K310" s="141"/>
      <c r="L310" s="136" t="s">
        <v>133</v>
      </c>
    </row>
    <row r="311">
      <c r="G311" s="106"/>
      <c r="I311" s="159"/>
      <c r="K311" s="141"/>
      <c r="L311" s="136" t="s">
        <v>133</v>
      </c>
    </row>
    <row r="312">
      <c r="G312" s="106"/>
      <c r="I312" s="159"/>
      <c r="K312" s="141"/>
      <c r="L312" s="136" t="s">
        <v>133</v>
      </c>
    </row>
    <row r="313">
      <c r="G313" s="106"/>
      <c r="I313" s="159"/>
      <c r="K313" s="141"/>
      <c r="L313" s="136" t="s">
        <v>133</v>
      </c>
    </row>
    <row r="314">
      <c r="G314" s="106"/>
      <c r="I314" s="159"/>
      <c r="K314" s="141"/>
      <c r="L314" s="136" t="s">
        <v>133</v>
      </c>
    </row>
    <row r="315">
      <c r="G315" s="106"/>
      <c r="I315" s="159"/>
      <c r="K315" s="141"/>
      <c r="L315" s="136" t="s">
        <v>133</v>
      </c>
    </row>
    <row r="316">
      <c r="G316" s="106"/>
      <c r="I316" s="159"/>
      <c r="K316" s="141"/>
      <c r="L316" s="136" t="s">
        <v>133</v>
      </c>
    </row>
    <row r="317">
      <c r="G317" s="106"/>
      <c r="I317" s="159"/>
      <c r="K317" s="141"/>
      <c r="L317" s="136" t="s">
        <v>133</v>
      </c>
    </row>
    <row r="318">
      <c r="G318" s="106"/>
      <c r="I318" s="159"/>
      <c r="K318" s="141"/>
      <c r="L318" s="136" t="s">
        <v>133</v>
      </c>
    </row>
    <row r="319">
      <c r="G319" s="106"/>
      <c r="I319" s="159"/>
      <c r="K319" s="141"/>
      <c r="L319" s="136" t="s">
        <v>133</v>
      </c>
    </row>
    <row r="320">
      <c r="G320" s="106"/>
      <c r="I320" s="159"/>
      <c r="K320" s="141"/>
      <c r="L320" s="136" t="s">
        <v>133</v>
      </c>
    </row>
    <row r="321">
      <c r="G321" s="106"/>
      <c r="I321" s="159"/>
      <c r="K321" s="141"/>
      <c r="L321" s="136" t="s">
        <v>133</v>
      </c>
    </row>
    <row r="322">
      <c r="G322" s="106"/>
      <c r="I322" s="159"/>
      <c r="K322" s="141"/>
      <c r="L322" s="136" t="s">
        <v>133</v>
      </c>
    </row>
    <row r="323">
      <c r="G323" s="106"/>
      <c r="I323" s="159"/>
      <c r="K323" s="141"/>
      <c r="L323" s="136" t="s">
        <v>133</v>
      </c>
    </row>
    <row r="324">
      <c r="G324" s="106"/>
      <c r="I324" s="159"/>
      <c r="K324" s="141"/>
      <c r="L324" s="136" t="s">
        <v>133</v>
      </c>
    </row>
    <row r="325">
      <c r="G325" s="106"/>
      <c r="I325" s="159"/>
      <c r="K325" s="141"/>
      <c r="L325" s="136" t="s">
        <v>133</v>
      </c>
    </row>
    <row r="326">
      <c r="G326" s="106"/>
      <c r="I326" s="159"/>
      <c r="K326" s="141"/>
      <c r="L326" s="136" t="s">
        <v>133</v>
      </c>
    </row>
    <row r="327">
      <c r="G327" s="106"/>
      <c r="I327" s="159"/>
      <c r="K327" s="141"/>
      <c r="L327" s="136" t="s">
        <v>133</v>
      </c>
    </row>
    <row r="328">
      <c r="G328" s="106"/>
      <c r="I328" s="159"/>
      <c r="K328" s="141"/>
      <c r="L328" s="136" t="s">
        <v>133</v>
      </c>
    </row>
    <row r="329">
      <c r="G329" s="106"/>
      <c r="I329" s="159"/>
      <c r="K329" s="141"/>
      <c r="L329" s="136" t="s">
        <v>133</v>
      </c>
    </row>
    <row r="330">
      <c r="G330" s="106"/>
      <c r="I330" s="159"/>
      <c r="K330" s="141"/>
      <c r="L330" s="136" t="s">
        <v>133</v>
      </c>
    </row>
    <row r="331">
      <c r="G331" s="106"/>
      <c r="I331" s="159"/>
      <c r="K331" s="141"/>
      <c r="L331" s="136" t="s">
        <v>133</v>
      </c>
    </row>
    <row r="332">
      <c r="G332" s="106"/>
      <c r="I332" s="159"/>
      <c r="K332" s="141"/>
      <c r="L332" s="136" t="s">
        <v>133</v>
      </c>
    </row>
    <row r="333">
      <c r="G333" s="106"/>
      <c r="I333" s="159"/>
      <c r="K333" s="141"/>
      <c r="L333" s="136" t="s">
        <v>133</v>
      </c>
    </row>
    <row r="334">
      <c r="G334" s="106"/>
      <c r="I334" s="159"/>
      <c r="K334" s="141"/>
      <c r="L334" s="136" t="s">
        <v>133</v>
      </c>
    </row>
    <row r="335">
      <c r="G335" s="106"/>
      <c r="I335" s="159"/>
      <c r="K335" s="141"/>
      <c r="L335" s="136" t="s">
        <v>133</v>
      </c>
    </row>
    <row r="336">
      <c r="G336" s="106"/>
      <c r="I336" s="159"/>
      <c r="K336" s="141"/>
      <c r="L336" s="136" t="s">
        <v>133</v>
      </c>
    </row>
    <row r="337">
      <c r="G337" s="106"/>
      <c r="I337" s="159"/>
      <c r="K337" s="141"/>
      <c r="L337" s="136" t="s">
        <v>133</v>
      </c>
    </row>
    <row r="338">
      <c r="G338" s="106"/>
      <c r="I338" s="159"/>
      <c r="K338" s="141"/>
      <c r="L338" s="136" t="s">
        <v>133</v>
      </c>
    </row>
    <row r="339">
      <c r="G339" s="106"/>
      <c r="I339" s="159"/>
      <c r="K339" s="141"/>
      <c r="L339" s="136" t="s">
        <v>133</v>
      </c>
    </row>
    <row r="340">
      <c r="G340" s="106"/>
      <c r="I340" s="159"/>
      <c r="K340" s="141"/>
      <c r="L340" s="136" t="s">
        <v>133</v>
      </c>
    </row>
    <row r="341">
      <c r="G341" s="106"/>
      <c r="I341" s="159"/>
      <c r="K341" s="141"/>
      <c r="L341" s="136" t="s">
        <v>133</v>
      </c>
    </row>
    <row r="342">
      <c r="G342" s="106"/>
      <c r="I342" s="159"/>
      <c r="K342" s="141"/>
      <c r="L342" s="136" t="s">
        <v>133</v>
      </c>
    </row>
    <row r="343">
      <c r="G343" s="106"/>
      <c r="I343" s="159"/>
      <c r="K343" s="141"/>
      <c r="L343" s="136" t="s">
        <v>133</v>
      </c>
    </row>
    <row r="344">
      <c r="G344" s="106"/>
      <c r="I344" s="159"/>
      <c r="K344" s="141"/>
      <c r="L344" s="136" t="s">
        <v>133</v>
      </c>
    </row>
    <row r="345">
      <c r="G345" s="106"/>
      <c r="I345" s="159"/>
      <c r="K345" s="141"/>
      <c r="L345" s="136" t="s">
        <v>133</v>
      </c>
    </row>
    <row r="346">
      <c r="G346" s="106"/>
      <c r="I346" s="159"/>
      <c r="K346" s="141"/>
      <c r="L346" s="136" t="s">
        <v>133</v>
      </c>
    </row>
    <row r="347">
      <c r="G347" s="106"/>
      <c r="I347" s="159"/>
      <c r="K347" s="141"/>
      <c r="L347" s="136" t="s">
        <v>133</v>
      </c>
    </row>
    <row r="348">
      <c r="G348" s="106"/>
      <c r="I348" s="159"/>
      <c r="K348" s="141"/>
      <c r="L348" s="136" t="s">
        <v>133</v>
      </c>
    </row>
    <row r="349">
      <c r="G349" s="106"/>
      <c r="I349" s="159"/>
      <c r="K349" s="141"/>
      <c r="L349" s="136" t="s">
        <v>133</v>
      </c>
    </row>
    <row r="350">
      <c r="G350" s="106"/>
      <c r="I350" s="159"/>
      <c r="K350" s="141"/>
      <c r="L350" s="136" t="s">
        <v>133</v>
      </c>
    </row>
    <row r="351">
      <c r="G351" s="106"/>
      <c r="I351" s="159"/>
      <c r="K351" s="141"/>
      <c r="L351" s="136" t="s">
        <v>133</v>
      </c>
    </row>
    <row r="352">
      <c r="G352" s="106"/>
      <c r="I352" s="159"/>
      <c r="K352" s="141"/>
      <c r="L352" s="136" t="s">
        <v>133</v>
      </c>
    </row>
    <row r="353">
      <c r="G353" s="106"/>
      <c r="I353" s="159"/>
      <c r="K353" s="141"/>
      <c r="L353" s="136" t="s">
        <v>133</v>
      </c>
    </row>
    <row r="354">
      <c r="G354" s="106"/>
      <c r="I354" s="159"/>
      <c r="K354" s="141"/>
      <c r="L354" s="136" t="s">
        <v>133</v>
      </c>
    </row>
    <row r="355">
      <c r="G355" s="106"/>
      <c r="I355" s="159"/>
      <c r="K355" s="141"/>
      <c r="L355" s="136" t="s">
        <v>133</v>
      </c>
    </row>
    <row r="356">
      <c r="G356" s="106"/>
      <c r="I356" s="159"/>
      <c r="K356" s="141"/>
      <c r="L356" s="136" t="s">
        <v>133</v>
      </c>
    </row>
    <row r="357">
      <c r="G357" s="106"/>
      <c r="I357" s="159"/>
      <c r="K357" s="141"/>
      <c r="L357" s="136" t="s">
        <v>133</v>
      </c>
    </row>
    <row r="358">
      <c r="G358" s="106"/>
      <c r="I358" s="159"/>
      <c r="K358" s="141"/>
      <c r="L358" s="136" t="s">
        <v>133</v>
      </c>
    </row>
    <row r="359">
      <c r="G359" s="106"/>
      <c r="I359" s="159"/>
      <c r="K359" s="141"/>
      <c r="L359" s="136" t="s">
        <v>133</v>
      </c>
    </row>
    <row r="360">
      <c r="G360" s="106"/>
      <c r="I360" s="159"/>
      <c r="K360" s="141"/>
      <c r="L360" s="136" t="s">
        <v>133</v>
      </c>
    </row>
    <row r="361">
      <c r="G361" s="106"/>
      <c r="I361" s="159"/>
      <c r="K361" s="141"/>
      <c r="L361" s="136" t="s">
        <v>133</v>
      </c>
    </row>
    <row r="362">
      <c r="G362" s="106"/>
      <c r="I362" s="159"/>
      <c r="K362" s="141"/>
      <c r="L362" s="136" t="s">
        <v>133</v>
      </c>
    </row>
    <row r="363">
      <c r="G363" s="106"/>
      <c r="I363" s="159"/>
      <c r="K363" s="141"/>
      <c r="L363" s="136" t="s">
        <v>133</v>
      </c>
    </row>
    <row r="364">
      <c r="G364" s="106"/>
      <c r="I364" s="159"/>
      <c r="K364" s="141"/>
      <c r="L364" s="136" t="s">
        <v>133</v>
      </c>
    </row>
    <row r="365">
      <c r="G365" s="106"/>
      <c r="I365" s="159"/>
      <c r="K365" s="141"/>
      <c r="L365" s="136" t="s">
        <v>133</v>
      </c>
    </row>
    <row r="366">
      <c r="G366" s="106"/>
      <c r="I366" s="159"/>
      <c r="K366" s="141"/>
      <c r="L366" s="136" t="s">
        <v>133</v>
      </c>
    </row>
    <row r="367">
      <c r="G367" s="106"/>
      <c r="I367" s="159"/>
      <c r="K367" s="141"/>
      <c r="L367" s="136" t="s">
        <v>133</v>
      </c>
    </row>
    <row r="368">
      <c r="G368" s="106"/>
      <c r="I368" s="159"/>
      <c r="K368" s="141"/>
      <c r="L368" s="136" t="s">
        <v>133</v>
      </c>
    </row>
    <row r="369">
      <c r="G369" s="106"/>
      <c r="I369" s="159"/>
      <c r="K369" s="141"/>
      <c r="L369" s="136" t="s">
        <v>133</v>
      </c>
    </row>
    <row r="370">
      <c r="G370" s="106"/>
      <c r="I370" s="159"/>
      <c r="K370" s="141"/>
      <c r="L370" s="136" t="s">
        <v>133</v>
      </c>
    </row>
    <row r="371">
      <c r="G371" s="106"/>
      <c r="I371" s="159"/>
      <c r="K371" s="141"/>
      <c r="L371" s="136" t="s">
        <v>133</v>
      </c>
    </row>
    <row r="372">
      <c r="G372" s="106"/>
      <c r="I372" s="159"/>
      <c r="K372" s="141"/>
      <c r="L372" s="136" t="s">
        <v>133</v>
      </c>
    </row>
    <row r="373">
      <c r="G373" s="106"/>
      <c r="I373" s="159"/>
      <c r="K373" s="141"/>
      <c r="L373" s="136" t="s">
        <v>133</v>
      </c>
    </row>
    <row r="374">
      <c r="G374" s="106"/>
      <c r="I374" s="159"/>
      <c r="K374" s="141"/>
      <c r="L374" s="136" t="s">
        <v>133</v>
      </c>
    </row>
    <row r="375">
      <c r="G375" s="106"/>
      <c r="I375" s="159"/>
      <c r="K375" s="141"/>
      <c r="L375" s="136" t="s">
        <v>133</v>
      </c>
    </row>
    <row r="376">
      <c r="G376" s="106"/>
      <c r="I376" s="159"/>
      <c r="K376" s="141"/>
      <c r="L376" s="136" t="s">
        <v>133</v>
      </c>
    </row>
    <row r="377">
      <c r="G377" s="106"/>
      <c r="I377" s="159"/>
      <c r="K377" s="141"/>
      <c r="L377" s="136" t="s">
        <v>133</v>
      </c>
    </row>
    <row r="378">
      <c r="G378" s="106"/>
      <c r="I378" s="159"/>
      <c r="K378" s="141"/>
      <c r="L378" s="136" t="s">
        <v>133</v>
      </c>
    </row>
    <row r="379">
      <c r="G379" s="106"/>
      <c r="I379" s="159"/>
      <c r="K379" s="141"/>
      <c r="L379" s="136" t="s">
        <v>133</v>
      </c>
    </row>
    <row r="380">
      <c r="G380" s="106"/>
      <c r="I380" s="159"/>
      <c r="K380" s="141"/>
      <c r="L380" s="136" t="s">
        <v>133</v>
      </c>
    </row>
    <row r="381">
      <c r="G381" s="106"/>
      <c r="I381" s="159"/>
      <c r="K381" s="141"/>
      <c r="L381" s="136" t="s">
        <v>133</v>
      </c>
    </row>
    <row r="382">
      <c r="G382" s="106"/>
      <c r="I382" s="159"/>
      <c r="K382" s="141"/>
      <c r="L382" s="136" t="s">
        <v>133</v>
      </c>
    </row>
    <row r="383">
      <c r="G383" s="106"/>
      <c r="I383" s="159"/>
      <c r="K383" s="141"/>
      <c r="L383" s="136" t="s">
        <v>133</v>
      </c>
    </row>
    <row r="384">
      <c r="G384" s="106"/>
      <c r="I384" s="159"/>
      <c r="K384" s="141"/>
      <c r="L384" s="136" t="s">
        <v>133</v>
      </c>
    </row>
    <row r="385">
      <c r="G385" s="106"/>
      <c r="I385" s="159"/>
      <c r="K385" s="141"/>
      <c r="L385" s="136" t="s">
        <v>133</v>
      </c>
    </row>
    <row r="386">
      <c r="G386" s="106"/>
      <c r="I386" s="159"/>
      <c r="K386" s="141"/>
      <c r="L386" s="136" t="s">
        <v>133</v>
      </c>
    </row>
    <row r="387">
      <c r="G387" s="106"/>
      <c r="I387" s="159"/>
      <c r="K387" s="141"/>
      <c r="L387" s="136" t="s">
        <v>133</v>
      </c>
    </row>
    <row r="388">
      <c r="G388" s="106"/>
      <c r="I388" s="159"/>
      <c r="K388" s="141"/>
      <c r="L388" s="136" t="s">
        <v>133</v>
      </c>
    </row>
    <row r="389">
      <c r="G389" s="106"/>
      <c r="I389" s="159"/>
      <c r="K389" s="141"/>
      <c r="L389" s="136" t="s">
        <v>133</v>
      </c>
    </row>
    <row r="390">
      <c r="G390" s="106"/>
      <c r="I390" s="159"/>
      <c r="K390" s="141"/>
      <c r="L390" s="136" t="s">
        <v>133</v>
      </c>
    </row>
    <row r="391">
      <c r="G391" s="106"/>
      <c r="I391" s="159"/>
      <c r="K391" s="141"/>
      <c r="L391" s="136" t="s">
        <v>133</v>
      </c>
    </row>
    <row r="392">
      <c r="G392" s="106"/>
      <c r="I392" s="159"/>
      <c r="K392" s="141"/>
      <c r="L392" s="136" t="s">
        <v>133</v>
      </c>
    </row>
    <row r="393">
      <c r="G393" s="106"/>
      <c r="I393" s="159"/>
      <c r="K393" s="141"/>
      <c r="L393" s="136" t="s">
        <v>133</v>
      </c>
    </row>
    <row r="394">
      <c r="G394" s="106"/>
      <c r="I394" s="159"/>
      <c r="K394" s="141"/>
      <c r="L394" s="136" t="s">
        <v>133</v>
      </c>
    </row>
    <row r="395">
      <c r="G395" s="106"/>
      <c r="I395" s="159"/>
      <c r="K395" s="141"/>
      <c r="L395" s="136" t="s">
        <v>133</v>
      </c>
    </row>
    <row r="396">
      <c r="G396" s="106"/>
      <c r="I396" s="159"/>
      <c r="K396" s="141"/>
      <c r="L396" s="136" t="s">
        <v>133</v>
      </c>
    </row>
    <row r="397">
      <c r="G397" s="106"/>
      <c r="I397" s="159"/>
      <c r="K397" s="141"/>
      <c r="L397" s="136" t="s">
        <v>133</v>
      </c>
    </row>
    <row r="398">
      <c r="G398" s="106"/>
      <c r="I398" s="159"/>
      <c r="K398" s="141"/>
      <c r="L398" s="136" t="s">
        <v>133</v>
      </c>
    </row>
    <row r="399">
      <c r="G399" s="106"/>
      <c r="I399" s="159"/>
      <c r="K399" s="141"/>
      <c r="L399" s="136" t="s">
        <v>133</v>
      </c>
    </row>
    <row r="400">
      <c r="G400" s="106"/>
      <c r="I400" s="159"/>
      <c r="K400" s="141"/>
      <c r="L400" s="136" t="s">
        <v>133</v>
      </c>
    </row>
    <row r="401">
      <c r="G401" s="106"/>
      <c r="I401" s="159"/>
      <c r="K401" s="141"/>
      <c r="L401" s="136" t="s">
        <v>133</v>
      </c>
    </row>
    <row r="402">
      <c r="G402" s="106"/>
      <c r="I402" s="159"/>
      <c r="K402" s="141"/>
      <c r="L402" s="136" t="s">
        <v>133</v>
      </c>
    </row>
    <row r="403">
      <c r="G403" s="106"/>
      <c r="I403" s="159"/>
      <c r="K403" s="141"/>
      <c r="L403" s="136" t="s">
        <v>133</v>
      </c>
    </row>
    <row r="404">
      <c r="G404" s="106"/>
      <c r="I404" s="159"/>
      <c r="K404" s="141"/>
      <c r="L404" s="136" t="s">
        <v>133</v>
      </c>
    </row>
    <row r="405">
      <c r="G405" s="106"/>
      <c r="I405" s="159"/>
      <c r="K405" s="141"/>
      <c r="L405" s="136" t="s">
        <v>133</v>
      </c>
    </row>
    <row r="406">
      <c r="G406" s="106"/>
      <c r="I406" s="159"/>
      <c r="K406" s="141"/>
      <c r="L406" s="136" t="s">
        <v>133</v>
      </c>
    </row>
    <row r="407">
      <c r="G407" s="106"/>
      <c r="I407" s="159"/>
      <c r="K407" s="141"/>
      <c r="L407" s="136" t="s">
        <v>133</v>
      </c>
    </row>
    <row r="408">
      <c r="G408" s="106"/>
      <c r="I408" s="159"/>
      <c r="K408" s="141"/>
      <c r="L408" s="136" t="s">
        <v>133</v>
      </c>
    </row>
    <row r="409">
      <c r="G409" s="106"/>
      <c r="I409" s="159"/>
      <c r="K409" s="141"/>
      <c r="L409" s="136" t="s">
        <v>133</v>
      </c>
    </row>
    <row r="410">
      <c r="G410" s="106"/>
      <c r="I410" s="159"/>
      <c r="K410" s="141"/>
      <c r="L410" s="136" t="s">
        <v>133</v>
      </c>
    </row>
    <row r="411">
      <c r="G411" s="106"/>
      <c r="I411" s="159"/>
      <c r="K411" s="141"/>
      <c r="L411" s="136" t="s">
        <v>133</v>
      </c>
    </row>
    <row r="412">
      <c r="G412" s="106"/>
      <c r="I412" s="159"/>
      <c r="K412" s="141"/>
      <c r="L412" s="136" t="s">
        <v>133</v>
      </c>
    </row>
    <row r="413">
      <c r="G413" s="106"/>
      <c r="I413" s="159"/>
      <c r="K413" s="141"/>
      <c r="L413" s="136" t="s">
        <v>133</v>
      </c>
    </row>
    <row r="414">
      <c r="G414" s="106"/>
      <c r="I414" s="159"/>
      <c r="K414" s="141"/>
      <c r="L414" s="136" t="s">
        <v>133</v>
      </c>
    </row>
    <row r="415">
      <c r="G415" s="106"/>
      <c r="I415" s="159"/>
      <c r="K415" s="141"/>
      <c r="L415" s="136" t="s">
        <v>133</v>
      </c>
    </row>
    <row r="416">
      <c r="G416" s="106"/>
      <c r="I416" s="159"/>
      <c r="K416" s="141"/>
      <c r="L416" s="136" t="s">
        <v>133</v>
      </c>
    </row>
    <row r="417">
      <c r="G417" s="106"/>
      <c r="I417" s="159"/>
      <c r="K417" s="141"/>
      <c r="L417" s="136" t="s">
        <v>133</v>
      </c>
    </row>
    <row r="418">
      <c r="G418" s="106"/>
      <c r="I418" s="159"/>
      <c r="K418" s="141"/>
      <c r="L418" s="136" t="s">
        <v>133</v>
      </c>
    </row>
    <row r="419">
      <c r="G419" s="106"/>
      <c r="I419" s="159"/>
      <c r="K419" s="141"/>
      <c r="L419" s="136" t="s">
        <v>133</v>
      </c>
    </row>
    <row r="420">
      <c r="G420" s="106"/>
      <c r="I420" s="159"/>
      <c r="K420" s="141"/>
      <c r="L420" s="136" t="s">
        <v>133</v>
      </c>
    </row>
    <row r="421">
      <c r="G421" s="106"/>
      <c r="I421" s="159"/>
      <c r="K421" s="141"/>
      <c r="L421" s="136" t="s">
        <v>133</v>
      </c>
    </row>
    <row r="422">
      <c r="G422" s="106"/>
      <c r="I422" s="159"/>
      <c r="K422" s="141"/>
      <c r="L422" s="136" t="s">
        <v>133</v>
      </c>
    </row>
    <row r="423">
      <c r="G423" s="106"/>
      <c r="I423" s="159"/>
      <c r="K423" s="141"/>
      <c r="L423" s="136" t="s">
        <v>133</v>
      </c>
    </row>
    <row r="424">
      <c r="G424" s="106"/>
      <c r="I424" s="159"/>
      <c r="K424" s="141"/>
      <c r="L424" s="136" t="s">
        <v>133</v>
      </c>
    </row>
    <row r="425">
      <c r="G425" s="106"/>
      <c r="I425" s="159"/>
      <c r="K425" s="141"/>
      <c r="L425" s="136" t="s">
        <v>133</v>
      </c>
    </row>
    <row r="426">
      <c r="G426" s="106"/>
      <c r="I426" s="159"/>
      <c r="K426" s="141"/>
      <c r="L426" s="136" t="s">
        <v>133</v>
      </c>
    </row>
    <row r="427">
      <c r="G427" s="106"/>
      <c r="I427" s="159"/>
      <c r="K427" s="141"/>
      <c r="L427" s="136" t="s">
        <v>133</v>
      </c>
    </row>
    <row r="428">
      <c r="G428" s="106"/>
      <c r="I428" s="159"/>
      <c r="K428" s="141"/>
      <c r="L428" s="136" t="s">
        <v>133</v>
      </c>
    </row>
    <row r="429">
      <c r="G429" s="106"/>
      <c r="I429" s="159"/>
      <c r="K429" s="141"/>
      <c r="L429" s="136" t="s">
        <v>133</v>
      </c>
    </row>
    <row r="430">
      <c r="G430" s="106"/>
      <c r="I430" s="159"/>
      <c r="K430" s="141"/>
      <c r="L430" s="136" t="s">
        <v>133</v>
      </c>
    </row>
    <row r="431">
      <c r="G431" s="106"/>
      <c r="I431" s="159"/>
      <c r="K431" s="141"/>
      <c r="L431" s="136" t="s">
        <v>133</v>
      </c>
    </row>
    <row r="432">
      <c r="G432" s="106"/>
      <c r="I432" s="159"/>
      <c r="K432" s="141"/>
      <c r="L432" s="136" t="s">
        <v>133</v>
      </c>
    </row>
    <row r="433">
      <c r="G433" s="106"/>
      <c r="I433" s="159"/>
      <c r="K433" s="141"/>
      <c r="L433" s="136" t="s">
        <v>133</v>
      </c>
    </row>
    <row r="434">
      <c r="G434" s="106"/>
      <c r="I434" s="159"/>
      <c r="K434" s="141"/>
      <c r="L434" s="136" t="s">
        <v>133</v>
      </c>
    </row>
    <row r="435">
      <c r="G435" s="106"/>
      <c r="I435" s="159"/>
      <c r="K435" s="141"/>
      <c r="L435" s="136" t="s">
        <v>133</v>
      </c>
    </row>
    <row r="436">
      <c r="G436" s="106"/>
      <c r="I436" s="159"/>
      <c r="K436" s="141"/>
      <c r="L436" s="136" t="s">
        <v>133</v>
      </c>
    </row>
    <row r="437">
      <c r="G437" s="106"/>
      <c r="I437" s="159"/>
      <c r="K437" s="141"/>
      <c r="L437" s="136" t="s">
        <v>133</v>
      </c>
    </row>
    <row r="438">
      <c r="G438" s="106"/>
      <c r="I438" s="159"/>
      <c r="K438" s="141"/>
      <c r="L438" s="136" t="s">
        <v>133</v>
      </c>
    </row>
    <row r="439">
      <c r="G439" s="106"/>
      <c r="I439" s="159"/>
      <c r="K439" s="141"/>
      <c r="L439" s="136" t="s">
        <v>133</v>
      </c>
    </row>
    <row r="440">
      <c r="G440" s="106"/>
      <c r="I440" s="159"/>
      <c r="K440" s="141"/>
      <c r="L440" s="136" t="s">
        <v>133</v>
      </c>
    </row>
    <row r="441">
      <c r="G441" s="106"/>
      <c r="I441" s="159"/>
      <c r="K441" s="141"/>
      <c r="L441" s="136" t="s">
        <v>133</v>
      </c>
    </row>
    <row r="442">
      <c r="G442" s="106"/>
      <c r="I442" s="159"/>
      <c r="K442" s="141"/>
      <c r="L442" s="136" t="s">
        <v>133</v>
      </c>
    </row>
    <row r="443">
      <c r="G443" s="106"/>
      <c r="I443" s="159"/>
      <c r="K443" s="141"/>
      <c r="L443" s="136" t="s">
        <v>133</v>
      </c>
    </row>
    <row r="444">
      <c r="G444" s="106"/>
      <c r="I444" s="159"/>
      <c r="K444" s="141"/>
      <c r="L444" s="136" t="s">
        <v>133</v>
      </c>
    </row>
    <row r="445">
      <c r="G445" s="106"/>
      <c r="I445" s="159"/>
      <c r="K445" s="141"/>
      <c r="L445" s="136" t="s">
        <v>133</v>
      </c>
    </row>
    <row r="446">
      <c r="G446" s="106"/>
      <c r="I446" s="159"/>
      <c r="K446" s="141"/>
      <c r="L446" s="136" t="s">
        <v>133</v>
      </c>
    </row>
    <row r="447">
      <c r="G447" s="106"/>
      <c r="I447" s="159"/>
      <c r="K447" s="141"/>
      <c r="L447" s="136" t="s">
        <v>133</v>
      </c>
    </row>
    <row r="448">
      <c r="G448" s="106"/>
      <c r="I448" s="159"/>
      <c r="K448" s="141"/>
      <c r="L448" s="136" t="s">
        <v>133</v>
      </c>
    </row>
    <row r="449">
      <c r="G449" s="106"/>
      <c r="I449" s="159"/>
      <c r="K449" s="141"/>
      <c r="L449" s="136" t="s">
        <v>133</v>
      </c>
    </row>
    <row r="450">
      <c r="G450" s="106"/>
      <c r="I450" s="159"/>
      <c r="K450" s="141"/>
      <c r="L450" s="136" t="s">
        <v>133</v>
      </c>
    </row>
    <row r="451">
      <c r="G451" s="106"/>
      <c r="I451" s="159"/>
      <c r="K451" s="141"/>
      <c r="L451" s="136" t="s">
        <v>133</v>
      </c>
    </row>
    <row r="452">
      <c r="G452" s="106"/>
      <c r="I452" s="159"/>
      <c r="K452" s="141"/>
      <c r="L452" s="136" t="s">
        <v>133</v>
      </c>
    </row>
    <row r="453">
      <c r="G453" s="106"/>
      <c r="I453" s="159"/>
      <c r="K453" s="141"/>
      <c r="L453" s="136" t="s">
        <v>133</v>
      </c>
    </row>
    <row r="454">
      <c r="G454" s="106"/>
      <c r="I454" s="159"/>
      <c r="K454" s="141"/>
      <c r="L454" s="136" t="s">
        <v>133</v>
      </c>
    </row>
    <row r="455">
      <c r="G455" s="106"/>
      <c r="I455" s="159"/>
      <c r="K455" s="141"/>
      <c r="L455" s="136" t="s">
        <v>133</v>
      </c>
    </row>
    <row r="456">
      <c r="G456" s="106"/>
      <c r="I456" s="159"/>
      <c r="K456" s="141"/>
      <c r="L456" s="136" t="s">
        <v>133</v>
      </c>
    </row>
    <row r="457">
      <c r="G457" s="106"/>
      <c r="I457" s="159"/>
      <c r="K457" s="141"/>
      <c r="L457" s="136" t="s">
        <v>133</v>
      </c>
    </row>
    <row r="458">
      <c r="G458" s="106"/>
      <c r="I458" s="159"/>
      <c r="K458" s="141"/>
      <c r="L458" s="136" t="s">
        <v>133</v>
      </c>
    </row>
    <row r="459">
      <c r="G459" s="106"/>
      <c r="I459" s="159"/>
      <c r="K459" s="141"/>
      <c r="L459" s="136" t="s">
        <v>133</v>
      </c>
    </row>
    <row r="460">
      <c r="G460" s="106"/>
      <c r="I460" s="159"/>
      <c r="K460" s="141"/>
      <c r="L460" s="136" t="s">
        <v>133</v>
      </c>
    </row>
    <row r="461">
      <c r="G461" s="106"/>
      <c r="I461" s="159"/>
      <c r="K461" s="141"/>
      <c r="L461" s="136" t="s">
        <v>133</v>
      </c>
    </row>
    <row r="462">
      <c r="G462" s="106"/>
      <c r="I462" s="159"/>
      <c r="K462" s="141"/>
      <c r="L462" s="136" t="s">
        <v>133</v>
      </c>
    </row>
    <row r="463">
      <c r="G463" s="106"/>
      <c r="I463" s="159"/>
      <c r="K463" s="141"/>
      <c r="L463" s="136" t="s">
        <v>133</v>
      </c>
    </row>
    <row r="464">
      <c r="G464" s="106"/>
      <c r="I464" s="159"/>
      <c r="K464" s="141"/>
      <c r="L464" s="136" t="s">
        <v>133</v>
      </c>
    </row>
    <row r="465">
      <c r="G465" s="106"/>
      <c r="I465" s="159"/>
      <c r="K465" s="141"/>
      <c r="L465" s="136" t="s">
        <v>133</v>
      </c>
    </row>
    <row r="466">
      <c r="G466" s="106"/>
      <c r="I466" s="159"/>
      <c r="K466" s="141"/>
      <c r="L466" s="136" t="s">
        <v>133</v>
      </c>
    </row>
    <row r="467">
      <c r="G467" s="106"/>
      <c r="I467" s="159"/>
      <c r="K467" s="141"/>
      <c r="L467" s="136" t="s">
        <v>133</v>
      </c>
    </row>
    <row r="468">
      <c r="G468" s="106"/>
      <c r="I468" s="159"/>
      <c r="K468" s="141"/>
      <c r="L468" s="136" t="s">
        <v>133</v>
      </c>
    </row>
    <row r="469">
      <c r="G469" s="106"/>
      <c r="I469" s="159"/>
      <c r="K469" s="141"/>
      <c r="L469" s="136" t="s">
        <v>133</v>
      </c>
    </row>
    <row r="470">
      <c r="G470" s="106"/>
      <c r="I470" s="159"/>
      <c r="K470" s="141"/>
      <c r="L470" s="136" t="s">
        <v>133</v>
      </c>
    </row>
    <row r="471">
      <c r="G471" s="106"/>
      <c r="I471" s="159"/>
      <c r="K471" s="141"/>
      <c r="L471" s="136" t="s">
        <v>133</v>
      </c>
    </row>
    <row r="472">
      <c r="G472" s="106"/>
      <c r="I472" s="159"/>
      <c r="K472" s="141"/>
      <c r="L472" s="136" t="s">
        <v>133</v>
      </c>
    </row>
    <row r="473">
      <c r="G473" s="106"/>
      <c r="I473" s="159"/>
      <c r="K473" s="141"/>
      <c r="L473" s="136" t="s">
        <v>133</v>
      </c>
    </row>
    <row r="474">
      <c r="G474" s="106"/>
      <c r="I474" s="159"/>
      <c r="K474" s="141"/>
      <c r="L474" s="136" t="s">
        <v>133</v>
      </c>
    </row>
    <row r="475">
      <c r="G475" s="106"/>
      <c r="I475" s="159"/>
      <c r="K475" s="141"/>
      <c r="L475" s="136" t="s">
        <v>133</v>
      </c>
    </row>
    <row r="476">
      <c r="G476" s="106"/>
      <c r="I476" s="159"/>
      <c r="K476" s="141"/>
      <c r="L476" s="136" t="s">
        <v>133</v>
      </c>
    </row>
    <row r="477">
      <c r="G477" s="106"/>
      <c r="I477" s="159"/>
      <c r="K477" s="141"/>
      <c r="L477" s="136" t="s">
        <v>133</v>
      </c>
    </row>
    <row r="478">
      <c r="G478" s="106"/>
      <c r="I478" s="159"/>
      <c r="K478" s="141"/>
      <c r="L478" s="136" t="s">
        <v>133</v>
      </c>
    </row>
    <row r="479">
      <c r="G479" s="106"/>
      <c r="I479" s="159"/>
      <c r="K479" s="141"/>
      <c r="L479" s="136" t="s">
        <v>133</v>
      </c>
    </row>
    <row r="480">
      <c r="G480" s="106"/>
      <c r="I480" s="159"/>
      <c r="K480" s="141"/>
      <c r="L480" s="136" t="s">
        <v>133</v>
      </c>
    </row>
    <row r="481">
      <c r="G481" s="106"/>
      <c r="I481" s="159"/>
      <c r="K481" s="141"/>
      <c r="L481" s="136" t="s">
        <v>133</v>
      </c>
    </row>
    <row r="482">
      <c r="G482" s="106"/>
      <c r="I482" s="159"/>
      <c r="K482" s="141"/>
      <c r="L482" s="136" t="s">
        <v>133</v>
      </c>
    </row>
    <row r="483">
      <c r="G483" s="106"/>
      <c r="I483" s="159"/>
      <c r="K483" s="141"/>
      <c r="L483" s="136" t="s">
        <v>133</v>
      </c>
    </row>
    <row r="484">
      <c r="G484" s="106"/>
      <c r="I484" s="159"/>
      <c r="K484" s="141"/>
      <c r="L484" s="136" t="s">
        <v>133</v>
      </c>
    </row>
    <row r="485">
      <c r="G485" s="106"/>
      <c r="I485" s="159"/>
      <c r="K485" s="141"/>
      <c r="L485" s="136" t="s">
        <v>133</v>
      </c>
    </row>
    <row r="486">
      <c r="G486" s="106"/>
      <c r="I486" s="159"/>
      <c r="K486" s="141"/>
      <c r="L486" s="136" t="s">
        <v>133</v>
      </c>
    </row>
    <row r="487">
      <c r="G487" s="106"/>
      <c r="I487" s="159"/>
      <c r="K487" s="141"/>
      <c r="L487" s="136" t="s">
        <v>133</v>
      </c>
    </row>
    <row r="488">
      <c r="G488" s="106"/>
      <c r="I488" s="159"/>
      <c r="K488" s="141"/>
      <c r="L488" s="136" t="s">
        <v>133</v>
      </c>
    </row>
    <row r="489">
      <c r="G489" s="106"/>
      <c r="I489" s="159"/>
      <c r="K489" s="141"/>
      <c r="L489" s="136" t="s">
        <v>133</v>
      </c>
    </row>
    <row r="490">
      <c r="G490" s="106"/>
      <c r="I490" s="159"/>
      <c r="K490" s="141"/>
      <c r="L490" s="136" t="s">
        <v>133</v>
      </c>
    </row>
    <row r="491">
      <c r="G491" s="106"/>
      <c r="I491" s="159"/>
      <c r="K491" s="141"/>
      <c r="L491" s="136" t="s">
        <v>133</v>
      </c>
    </row>
    <row r="492">
      <c r="G492" s="106"/>
      <c r="I492" s="159"/>
      <c r="K492" s="141"/>
      <c r="L492" s="136" t="s">
        <v>133</v>
      </c>
    </row>
    <row r="493">
      <c r="G493" s="106"/>
      <c r="I493" s="159"/>
      <c r="K493" s="141"/>
      <c r="L493" s="136" t="s">
        <v>133</v>
      </c>
    </row>
    <row r="494">
      <c r="G494" s="106"/>
      <c r="I494" s="159"/>
      <c r="K494" s="141"/>
      <c r="L494" s="136" t="s">
        <v>133</v>
      </c>
    </row>
    <row r="495">
      <c r="G495" s="106"/>
      <c r="I495" s="159"/>
      <c r="K495" s="141"/>
      <c r="L495" s="136" t="s">
        <v>133</v>
      </c>
    </row>
    <row r="496">
      <c r="G496" s="106"/>
      <c r="I496" s="159"/>
      <c r="K496" s="141"/>
      <c r="L496" s="136" t="s">
        <v>133</v>
      </c>
    </row>
    <row r="497">
      <c r="G497" s="106"/>
      <c r="I497" s="159"/>
      <c r="K497" s="141"/>
      <c r="L497" s="136" t="s">
        <v>133</v>
      </c>
    </row>
    <row r="498">
      <c r="G498" s="106"/>
      <c r="I498" s="159"/>
      <c r="K498" s="141"/>
      <c r="L498" s="136" t="s">
        <v>133</v>
      </c>
    </row>
    <row r="499">
      <c r="G499" s="106"/>
      <c r="I499" s="159"/>
      <c r="K499" s="141"/>
      <c r="L499" s="136" t="s">
        <v>133</v>
      </c>
    </row>
    <row r="500">
      <c r="G500" s="106"/>
      <c r="I500" s="159"/>
      <c r="K500" s="141"/>
      <c r="L500" s="136" t="s">
        <v>133</v>
      </c>
    </row>
    <row r="501">
      <c r="G501" s="106"/>
      <c r="I501" s="159"/>
      <c r="K501" s="141"/>
      <c r="L501" s="136" t="s">
        <v>133</v>
      </c>
    </row>
    <row r="502">
      <c r="G502" s="106"/>
      <c r="I502" s="159"/>
      <c r="K502" s="141"/>
      <c r="L502" s="136" t="s">
        <v>133</v>
      </c>
    </row>
    <row r="503">
      <c r="G503" s="106"/>
      <c r="I503" s="159"/>
      <c r="K503" s="141"/>
      <c r="L503" s="136" t="s">
        <v>133</v>
      </c>
    </row>
    <row r="504">
      <c r="G504" s="106"/>
      <c r="I504" s="159"/>
      <c r="K504" s="141"/>
      <c r="L504" s="136" t="s">
        <v>133</v>
      </c>
    </row>
    <row r="505">
      <c r="G505" s="106"/>
      <c r="I505" s="159"/>
      <c r="K505" s="141"/>
      <c r="L505" s="136" t="s">
        <v>133</v>
      </c>
    </row>
    <row r="506">
      <c r="G506" s="106"/>
      <c r="I506" s="159"/>
      <c r="K506" s="141"/>
      <c r="L506" s="136" t="s">
        <v>133</v>
      </c>
    </row>
    <row r="507">
      <c r="G507" s="106"/>
      <c r="I507" s="159"/>
      <c r="K507" s="141"/>
      <c r="L507" s="136" t="s">
        <v>133</v>
      </c>
    </row>
    <row r="508">
      <c r="G508" s="106"/>
      <c r="I508" s="159"/>
      <c r="K508" s="141"/>
      <c r="L508" s="136" t="s">
        <v>133</v>
      </c>
    </row>
    <row r="509">
      <c r="G509" s="106"/>
      <c r="I509" s="159"/>
      <c r="K509" s="141"/>
      <c r="L509" s="136" t="s">
        <v>133</v>
      </c>
    </row>
    <row r="510">
      <c r="G510" s="106"/>
      <c r="I510" s="159"/>
      <c r="K510" s="141"/>
      <c r="L510" s="136" t="s">
        <v>133</v>
      </c>
    </row>
    <row r="511">
      <c r="G511" s="106"/>
      <c r="I511" s="159"/>
      <c r="K511" s="141"/>
      <c r="L511" s="136" t="s">
        <v>133</v>
      </c>
    </row>
    <row r="512">
      <c r="G512" s="106"/>
      <c r="I512" s="159"/>
      <c r="K512" s="141"/>
      <c r="L512" s="136" t="s">
        <v>133</v>
      </c>
    </row>
    <row r="513">
      <c r="G513" s="106"/>
      <c r="I513" s="159"/>
      <c r="K513" s="141"/>
      <c r="L513" s="136" t="s">
        <v>133</v>
      </c>
    </row>
    <row r="514">
      <c r="G514" s="106"/>
      <c r="I514" s="159"/>
      <c r="K514" s="141"/>
      <c r="L514" s="136" t="s">
        <v>133</v>
      </c>
    </row>
    <row r="515">
      <c r="G515" s="106"/>
      <c r="I515" s="159"/>
      <c r="K515" s="141"/>
      <c r="L515" s="136" t="s">
        <v>133</v>
      </c>
    </row>
    <row r="516">
      <c r="G516" s="106"/>
      <c r="I516" s="159"/>
      <c r="K516" s="141"/>
      <c r="L516" s="136" t="s">
        <v>133</v>
      </c>
    </row>
    <row r="517">
      <c r="G517" s="106"/>
      <c r="I517" s="159"/>
      <c r="K517" s="141"/>
      <c r="L517" s="136" t="s">
        <v>133</v>
      </c>
    </row>
    <row r="518">
      <c r="G518" s="106"/>
      <c r="I518" s="159"/>
      <c r="K518" s="141"/>
      <c r="L518" s="136" t="s">
        <v>133</v>
      </c>
    </row>
    <row r="519">
      <c r="G519" s="106"/>
      <c r="I519" s="159"/>
      <c r="K519" s="141"/>
      <c r="L519" s="136" t="s">
        <v>133</v>
      </c>
    </row>
    <row r="520">
      <c r="G520" s="106"/>
      <c r="I520" s="159"/>
      <c r="K520" s="141"/>
      <c r="L520" s="136" t="s">
        <v>133</v>
      </c>
    </row>
    <row r="521">
      <c r="G521" s="106"/>
      <c r="I521" s="159"/>
      <c r="K521" s="141"/>
      <c r="L521" s="136" t="s">
        <v>133</v>
      </c>
    </row>
    <row r="522">
      <c r="G522" s="106"/>
      <c r="I522" s="159"/>
      <c r="K522" s="141"/>
      <c r="L522" s="136" t="s">
        <v>133</v>
      </c>
    </row>
    <row r="523">
      <c r="G523" s="106"/>
      <c r="I523" s="159"/>
      <c r="K523" s="141"/>
      <c r="L523" s="136" t="s">
        <v>133</v>
      </c>
    </row>
    <row r="524">
      <c r="G524" s="106"/>
      <c r="I524" s="159"/>
      <c r="K524" s="141"/>
      <c r="L524" s="136" t="s">
        <v>133</v>
      </c>
    </row>
    <row r="525">
      <c r="G525" s="106"/>
      <c r="I525" s="159"/>
      <c r="K525" s="141"/>
      <c r="L525" s="136" t="s">
        <v>133</v>
      </c>
    </row>
    <row r="526">
      <c r="G526" s="106"/>
      <c r="I526" s="159"/>
      <c r="K526" s="141"/>
      <c r="L526" s="136" t="s">
        <v>133</v>
      </c>
    </row>
    <row r="527">
      <c r="G527" s="106"/>
      <c r="I527" s="159"/>
      <c r="K527" s="141"/>
      <c r="L527" s="136" t="s">
        <v>133</v>
      </c>
    </row>
    <row r="528">
      <c r="G528" s="106"/>
      <c r="I528" s="159"/>
      <c r="K528" s="141"/>
      <c r="L528" s="136" t="s">
        <v>133</v>
      </c>
    </row>
    <row r="529">
      <c r="G529" s="106"/>
      <c r="I529" s="159"/>
      <c r="K529" s="141"/>
      <c r="L529" s="136" t="s">
        <v>133</v>
      </c>
    </row>
    <row r="530">
      <c r="G530" s="106"/>
      <c r="I530" s="159"/>
      <c r="K530" s="141"/>
      <c r="L530" s="136" t="s">
        <v>133</v>
      </c>
    </row>
    <row r="531">
      <c r="G531" s="106"/>
      <c r="I531" s="159"/>
      <c r="K531" s="141"/>
      <c r="L531" s="136" t="s">
        <v>133</v>
      </c>
    </row>
    <row r="532">
      <c r="G532" s="106"/>
      <c r="I532" s="159"/>
      <c r="K532" s="141"/>
      <c r="L532" s="136" t="s">
        <v>133</v>
      </c>
    </row>
    <row r="533">
      <c r="G533" s="106"/>
      <c r="I533" s="159"/>
      <c r="K533" s="141"/>
      <c r="L533" s="136" t="s">
        <v>133</v>
      </c>
    </row>
    <row r="534">
      <c r="G534" s="106"/>
      <c r="I534" s="159"/>
      <c r="K534" s="141"/>
      <c r="L534" s="136" t="s">
        <v>133</v>
      </c>
    </row>
    <row r="535">
      <c r="G535" s="106"/>
      <c r="I535" s="159"/>
      <c r="K535" s="141"/>
      <c r="L535" s="136" t="s">
        <v>133</v>
      </c>
    </row>
    <row r="536">
      <c r="G536" s="106"/>
      <c r="I536" s="159"/>
      <c r="K536" s="141"/>
      <c r="L536" s="136" t="s">
        <v>133</v>
      </c>
    </row>
    <row r="537">
      <c r="G537" s="106"/>
      <c r="I537" s="159"/>
      <c r="K537" s="141"/>
      <c r="L537" s="136" t="s">
        <v>133</v>
      </c>
    </row>
    <row r="538">
      <c r="G538" s="106"/>
      <c r="I538" s="159"/>
      <c r="K538" s="141"/>
      <c r="L538" s="136" t="s">
        <v>133</v>
      </c>
    </row>
    <row r="539">
      <c r="G539" s="106"/>
      <c r="I539" s="159"/>
      <c r="K539" s="141"/>
      <c r="L539" s="136" t="s">
        <v>133</v>
      </c>
    </row>
    <row r="540">
      <c r="G540" s="106"/>
      <c r="I540" s="159"/>
      <c r="K540" s="141"/>
      <c r="L540" s="136" t="s">
        <v>133</v>
      </c>
    </row>
    <row r="541">
      <c r="G541" s="106"/>
      <c r="I541" s="159"/>
      <c r="K541" s="141"/>
      <c r="L541" s="136" t="s">
        <v>133</v>
      </c>
    </row>
    <row r="542">
      <c r="G542" s="106"/>
      <c r="I542" s="159"/>
      <c r="K542" s="141"/>
      <c r="L542" s="136" t="s">
        <v>133</v>
      </c>
    </row>
    <row r="543">
      <c r="G543" s="106"/>
      <c r="I543" s="159"/>
      <c r="K543" s="141"/>
      <c r="L543" s="136" t="s">
        <v>133</v>
      </c>
    </row>
    <row r="544">
      <c r="G544" s="106"/>
      <c r="I544" s="159"/>
      <c r="K544" s="141"/>
      <c r="L544" s="136" t="s">
        <v>133</v>
      </c>
    </row>
    <row r="545">
      <c r="G545" s="106"/>
      <c r="I545" s="159"/>
      <c r="K545" s="141"/>
      <c r="L545" s="136" t="s">
        <v>133</v>
      </c>
    </row>
    <row r="546">
      <c r="G546" s="106"/>
      <c r="I546" s="159"/>
      <c r="K546" s="141"/>
      <c r="L546" s="136" t="s">
        <v>133</v>
      </c>
    </row>
    <row r="547">
      <c r="G547" s="106"/>
      <c r="I547" s="159"/>
      <c r="K547" s="141"/>
      <c r="L547" s="136" t="s">
        <v>133</v>
      </c>
    </row>
    <row r="548">
      <c r="G548" s="106"/>
      <c r="I548" s="159"/>
      <c r="K548" s="141"/>
      <c r="L548" s="136" t="s">
        <v>133</v>
      </c>
    </row>
    <row r="549">
      <c r="G549" s="106"/>
      <c r="I549" s="159"/>
      <c r="K549" s="141"/>
      <c r="L549" s="136" t="s">
        <v>133</v>
      </c>
    </row>
    <row r="550">
      <c r="G550" s="106"/>
      <c r="I550" s="159"/>
      <c r="K550" s="141"/>
      <c r="L550" s="136" t="s">
        <v>133</v>
      </c>
    </row>
    <row r="551">
      <c r="G551" s="106"/>
      <c r="I551" s="159"/>
      <c r="K551" s="141"/>
      <c r="L551" s="136" t="s">
        <v>133</v>
      </c>
    </row>
    <row r="552">
      <c r="G552" s="106"/>
      <c r="I552" s="159"/>
      <c r="K552" s="141"/>
      <c r="L552" s="136" t="s">
        <v>133</v>
      </c>
    </row>
    <row r="553">
      <c r="G553" s="106"/>
      <c r="I553" s="159"/>
      <c r="K553" s="141"/>
      <c r="L553" s="136" t="s">
        <v>133</v>
      </c>
    </row>
    <row r="554">
      <c r="G554" s="106"/>
      <c r="I554" s="159"/>
      <c r="K554" s="141"/>
      <c r="L554" s="136" t="s">
        <v>133</v>
      </c>
    </row>
    <row r="555">
      <c r="G555" s="106"/>
      <c r="I555" s="159"/>
      <c r="K555" s="141"/>
      <c r="L555" s="136" t="s">
        <v>133</v>
      </c>
    </row>
    <row r="556">
      <c r="G556" s="106"/>
      <c r="I556" s="159"/>
      <c r="K556" s="141"/>
      <c r="L556" s="136" t="s">
        <v>133</v>
      </c>
    </row>
    <row r="557">
      <c r="G557" s="106"/>
      <c r="I557" s="159"/>
      <c r="K557" s="141"/>
      <c r="L557" s="136" t="s">
        <v>133</v>
      </c>
    </row>
    <row r="558">
      <c r="G558" s="106"/>
      <c r="I558" s="159"/>
      <c r="K558" s="141"/>
      <c r="L558" s="136" t="s">
        <v>133</v>
      </c>
    </row>
    <row r="559">
      <c r="G559" s="106"/>
      <c r="I559" s="159"/>
      <c r="K559" s="141"/>
      <c r="L559" s="136" t="s">
        <v>133</v>
      </c>
    </row>
    <row r="560">
      <c r="G560" s="106"/>
      <c r="I560" s="159"/>
      <c r="K560" s="141"/>
      <c r="L560" s="136" t="s">
        <v>133</v>
      </c>
    </row>
    <row r="561">
      <c r="G561" s="106"/>
      <c r="I561" s="159"/>
      <c r="K561" s="141"/>
      <c r="L561" s="136" t="s">
        <v>133</v>
      </c>
    </row>
    <row r="562">
      <c r="G562" s="106"/>
      <c r="I562" s="159"/>
      <c r="K562" s="141"/>
      <c r="L562" s="136" t="s">
        <v>133</v>
      </c>
    </row>
    <row r="563">
      <c r="G563" s="106"/>
      <c r="I563" s="159"/>
      <c r="K563" s="141"/>
      <c r="L563" s="136" t="s">
        <v>133</v>
      </c>
    </row>
    <row r="564">
      <c r="G564" s="106"/>
      <c r="I564" s="159"/>
      <c r="K564" s="141"/>
      <c r="L564" s="136" t="s">
        <v>133</v>
      </c>
    </row>
    <row r="565">
      <c r="G565" s="106"/>
      <c r="I565" s="159"/>
      <c r="K565" s="141"/>
      <c r="L565" s="136" t="s">
        <v>133</v>
      </c>
    </row>
    <row r="566">
      <c r="G566" s="106"/>
      <c r="I566" s="159"/>
      <c r="K566" s="141"/>
      <c r="L566" s="136" t="s">
        <v>133</v>
      </c>
    </row>
    <row r="567">
      <c r="G567" s="106"/>
      <c r="I567" s="159"/>
      <c r="K567" s="141"/>
      <c r="L567" s="136" t="s">
        <v>133</v>
      </c>
    </row>
    <row r="568">
      <c r="G568" s="106"/>
      <c r="I568" s="159"/>
      <c r="K568" s="141"/>
      <c r="L568" s="136" t="s">
        <v>133</v>
      </c>
    </row>
    <row r="569">
      <c r="G569" s="106"/>
      <c r="I569" s="159"/>
      <c r="K569" s="141"/>
      <c r="L569" s="136" t="s">
        <v>133</v>
      </c>
    </row>
    <row r="570">
      <c r="G570" s="106"/>
      <c r="I570" s="159"/>
      <c r="K570" s="141"/>
      <c r="L570" s="136" t="s">
        <v>133</v>
      </c>
    </row>
    <row r="571">
      <c r="G571" s="106"/>
      <c r="I571" s="159"/>
      <c r="K571" s="141"/>
      <c r="L571" s="136" t="s">
        <v>133</v>
      </c>
    </row>
    <row r="572">
      <c r="G572" s="106"/>
      <c r="I572" s="159"/>
      <c r="K572" s="141"/>
      <c r="L572" s="136" t="s">
        <v>133</v>
      </c>
    </row>
    <row r="573">
      <c r="G573" s="106"/>
      <c r="I573" s="159"/>
      <c r="K573" s="141"/>
      <c r="L573" s="136" t="s">
        <v>133</v>
      </c>
    </row>
    <row r="574">
      <c r="G574" s="106"/>
      <c r="I574" s="159"/>
      <c r="K574" s="141"/>
      <c r="L574" s="136" t="s">
        <v>133</v>
      </c>
    </row>
    <row r="575">
      <c r="G575" s="106"/>
      <c r="I575" s="159"/>
      <c r="K575" s="141"/>
      <c r="L575" s="136" t="s">
        <v>133</v>
      </c>
    </row>
    <row r="576">
      <c r="G576" s="106"/>
      <c r="I576" s="159"/>
      <c r="K576" s="141"/>
      <c r="L576" s="136" t="s">
        <v>133</v>
      </c>
    </row>
    <row r="577">
      <c r="G577" s="106"/>
      <c r="I577" s="159"/>
      <c r="K577" s="141"/>
      <c r="L577" s="136" t="s">
        <v>133</v>
      </c>
    </row>
    <row r="578">
      <c r="G578" s="106"/>
      <c r="I578" s="159"/>
      <c r="K578" s="141"/>
      <c r="L578" s="136" t="s">
        <v>133</v>
      </c>
    </row>
    <row r="579">
      <c r="G579" s="106"/>
      <c r="I579" s="159"/>
      <c r="K579" s="141"/>
      <c r="L579" s="136" t="s">
        <v>133</v>
      </c>
    </row>
    <row r="580">
      <c r="G580" s="106"/>
      <c r="I580" s="159"/>
      <c r="K580" s="141"/>
      <c r="L580" s="136" t="s">
        <v>133</v>
      </c>
    </row>
    <row r="581">
      <c r="G581" s="106"/>
      <c r="I581" s="159"/>
      <c r="K581" s="141"/>
      <c r="L581" s="136" t="s">
        <v>133</v>
      </c>
    </row>
    <row r="582">
      <c r="G582" s="106"/>
      <c r="I582" s="159"/>
      <c r="K582" s="141"/>
      <c r="L582" s="136" t="s">
        <v>133</v>
      </c>
    </row>
    <row r="583">
      <c r="G583" s="106"/>
      <c r="I583" s="159"/>
      <c r="K583" s="141"/>
      <c r="L583" s="136" t="s">
        <v>133</v>
      </c>
    </row>
    <row r="584">
      <c r="G584" s="106"/>
      <c r="I584" s="159"/>
      <c r="K584" s="141"/>
      <c r="L584" s="136" t="s">
        <v>133</v>
      </c>
    </row>
    <row r="585">
      <c r="G585" s="106"/>
      <c r="I585" s="159"/>
      <c r="K585" s="141"/>
      <c r="L585" s="136" t="s">
        <v>133</v>
      </c>
    </row>
    <row r="586">
      <c r="G586" s="106"/>
      <c r="I586" s="159"/>
      <c r="K586" s="141"/>
      <c r="L586" s="136" t="s">
        <v>133</v>
      </c>
    </row>
    <row r="587">
      <c r="G587" s="106"/>
      <c r="I587" s="159"/>
      <c r="K587" s="141"/>
      <c r="L587" s="136" t="s">
        <v>133</v>
      </c>
    </row>
    <row r="588">
      <c r="G588" s="106"/>
      <c r="I588" s="159"/>
      <c r="K588" s="141"/>
      <c r="L588" s="136" t="s">
        <v>133</v>
      </c>
    </row>
    <row r="589">
      <c r="G589" s="106"/>
      <c r="I589" s="159"/>
      <c r="K589" s="141"/>
      <c r="L589" s="136" t="s">
        <v>133</v>
      </c>
    </row>
    <row r="590">
      <c r="G590" s="106"/>
      <c r="I590" s="159"/>
      <c r="K590" s="141"/>
      <c r="L590" s="136" t="s">
        <v>133</v>
      </c>
    </row>
    <row r="591">
      <c r="G591" s="106"/>
      <c r="I591" s="159"/>
      <c r="K591" s="141"/>
      <c r="L591" s="136" t="s">
        <v>133</v>
      </c>
    </row>
    <row r="592">
      <c r="G592" s="106"/>
      <c r="I592" s="159"/>
      <c r="K592" s="141"/>
      <c r="L592" s="136" t="s">
        <v>133</v>
      </c>
    </row>
    <row r="593">
      <c r="G593" s="106"/>
      <c r="I593" s="159"/>
      <c r="K593" s="141"/>
      <c r="L593" s="136" t="s">
        <v>133</v>
      </c>
    </row>
    <row r="594">
      <c r="G594" s="106"/>
      <c r="I594" s="159"/>
      <c r="K594" s="141"/>
      <c r="L594" s="136" t="s">
        <v>133</v>
      </c>
    </row>
    <row r="595">
      <c r="G595" s="106"/>
      <c r="I595" s="159"/>
      <c r="K595" s="141"/>
      <c r="L595" s="136" t="s">
        <v>133</v>
      </c>
    </row>
    <row r="596">
      <c r="G596" s="106"/>
      <c r="I596" s="159"/>
      <c r="K596" s="141"/>
      <c r="L596" s="136" t="s">
        <v>133</v>
      </c>
    </row>
    <row r="597">
      <c r="G597" s="106"/>
      <c r="I597" s="159"/>
      <c r="K597" s="141"/>
      <c r="L597" s="136" t="s">
        <v>133</v>
      </c>
    </row>
    <row r="598">
      <c r="G598" s="106"/>
      <c r="I598" s="159"/>
      <c r="K598" s="141"/>
      <c r="L598" s="136" t="s">
        <v>133</v>
      </c>
    </row>
    <row r="599">
      <c r="G599" s="106"/>
      <c r="I599" s="159"/>
      <c r="K599" s="141"/>
      <c r="L599" s="136" t="s">
        <v>133</v>
      </c>
    </row>
    <row r="600">
      <c r="G600" s="106"/>
      <c r="I600" s="159"/>
      <c r="K600" s="141"/>
      <c r="L600" s="136" t="s">
        <v>133</v>
      </c>
    </row>
    <row r="601">
      <c r="G601" s="106"/>
      <c r="I601" s="159"/>
      <c r="K601" s="141"/>
      <c r="L601" s="136" t="s">
        <v>133</v>
      </c>
    </row>
    <row r="602">
      <c r="G602" s="106"/>
      <c r="I602" s="159"/>
      <c r="K602" s="141"/>
      <c r="L602" s="136" t="s">
        <v>133</v>
      </c>
    </row>
    <row r="603">
      <c r="G603" s="106"/>
      <c r="I603" s="159"/>
      <c r="K603" s="141"/>
      <c r="L603" s="136" t="s">
        <v>133</v>
      </c>
    </row>
    <row r="604">
      <c r="G604" s="106"/>
      <c r="I604" s="159"/>
      <c r="K604" s="141"/>
      <c r="L604" s="136" t="s">
        <v>133</v>
      </c>
    </row>
    <row r="605">
      <c r="G605" s="106"/>
      <c r="I605" s="159"/>
      <c r="K605" s="141"/>
      <c r="L605" s="136" t="s">
        <v>133</v>
      </c>
    </row>
    <row r="606">
      <c r="G606" s="106"/>
      <c r="I606" s="159"/>
      <c r="K606" s="141"/>
      <c r="L606" s="136" t="s">
        <v>133</v>
      </c>
    </row>
    <row r="607">
      <c r="G607" s="106"/>
      <c r="I607" s="159"/>
      <c r="K607" s="141"/>
      <c r="L607" s="136" t="s">
        <v>133</v>
      </c>
    </row>
    <row r="608">
      <c r="G608" s="106"/>
      <c r="I608" s="159"/>
      <c r="K608" s="141"/>
      <c r="L608" s="136" t="s">
        <v>133</v>
      </c>
    </row>
    <row r="609">
      <c r="G609" s="106"/>
      <c r="I609" s="159"/>
      <c r="K609" s="141"/>
      <c r="L609" s="136" t="s">
        <v>133</v>
      </c>
    </row>
    <row r="610">
      <c r="G610" s="106"/>
      <c r="I610" s="159"/>
      <c r="K610" s="141"/>
      <c r="L610" s="136" t="s">
        <v>133</v>
      </c>
    </row>
    <row r="611">
      <c r="G611" s="106"/>
      <c r="I611" s="159"/>
      <c r="K611" s="141"/>
      <c r="L611" s="136" t="s">
        <v>133</v>
      </c>
    </row>
    <row r="612">
      <c r="G612" s="106"/>
      <c r="I612" s="159"/>
      <c r="K612" s="141"/>
      <c r="L612" s="136" t="s">
        <v>133</v>
      </c>
    </row>
    <row r="613">
      <c r="G613" s="106"/>
      <c r="I613" s="159"/>
      <c r="K613" s="141"/>
      <c r="L613" s="136" t="s">
        <v>133</v>
      </c>
    </row>
    <row r="614">
      <c r="G614" s="106"/>
      <c r="I614" s="159"/>
      <c r="K614" s="141"/>
      <c r="L614" s="136" t="s">
        <v>133</v>
      </c>
    </row>
    <row r="615">
      <c r="G615" s="106"/>
      <c r="I615" s="159"/>
      <c r="K615" s="141"/>
      <c r="L615" s="136" t="s">
        <v>133</v>
      </c>
    </row>
    <row r="616">
      <c r="G616" s="106"/>
      <c r="I616" s="159"/>
      <c r="K616" s="141"/>
      <c r="L616" s="136" t="s">
        <v>133</v>
      </c>
    </row>
    <row r="617">
      <c r="G617" s="106"/>
      <c r="I617" s="159"/>
      <c r="K617" s="141"/>
      <c r="L617" s="136" t="s">
        <v>133</v>
      </c>
    </row>
    <row r="618">
      <c r="G618" s="106"/>
      <c r="I618" s="159"/>
      <c r="K618" s="141"/>
      <c r="L618" s="136" t="s">
        <v>133</v>
      </c>
    </row>
    <row r="619">
      <c r="G619" s="106"/>
      <c r="I619" s="159"/>
      <c r="K619" s="141"/>
      <c r="L619" s="136" t="s">
        <v>133</v>
      </c>
    </row>
    <row r="620">
      <c r="G620" s="106"/>
      <c r="I620" s="159"/>
      <c r="K620" s="141"/>
      <c r="L620" s="136" t="s">
        <v>133</v>
      </c>
    </row>
    <row r="621">
      <c r="G621" s="106"/>
      <c r="I621" s="159"/>
      <c r="K621" s="141"/>
      <c r="L621" s="136" t="s">
        <v>133</v>
      </c>
    </row>
    <row r="622">
      <c r="G622" s="106"/>
      <c r="I622" s="159"/>
      <c r="K622" s="141"/>
      <c r="L622" s="136" t="s">
        <v>133</v>
      </c>
    </row>
    <row r="623">
      <c r="G623" s="106"/>
      <c r="I623" s="159"/>
      <c r="K623" s="141"/>
      <c r="L623" s="136" t="s">
        <v>133</v>
      </c>
    </row>
    <row r="624">
      <c r="G624" s="106"/>
      <c r="I624" s="159"/>
      <c r="K624" s="141"/>
      <c r="L624" s="136" t="s">
        <v>133</v>
      </c>
    </row>
    <row r="625">
      <c r="G625" s="106"/>
      <c r="I625" s="159"/>
      <c r="K625" s="141"/>
      <c r="L625" s="136" t="s">
        <v>133</v>
      </c>
    </row>
    <row r="626">
      <c r="G626" s="106"/>
      <c r="I626" s="159"/>
      <c r="K626" s="141"/>
      <c r="L626" s="136" t="s">
        <v>133</v>
      </c>
    </row>
    <row r="627">
      <c r="G627" s="106"/>
      <c r="I627" s="159"/>
      <c r="K627" s="141"/>
      <c r="L627" s="136" t="s">
        <v>133</v>
      </c>
    </row>
    <row r="628">
      <c r="G628" s="106"/>
      <c r="I628" s="159"/>
      <c r="K628" s="141"/>
      <c r="L628" s="136" t="s">
        <v>133</v>
      </c>
    </row>
    <row r="629">
      <c r="G629" s="106"/>
      <c r="I629" s="159"/>
      <c r="K629" s="141"/>
      <c r="L629" s="136" t="s">
        <v>133</v>
      </c>
    </row>
    <row r="630">
      <c r="G630" s="106"/>
      <c r="I630" s="159"/>
      <c r="K630" s="141"/>
      <c r="L630" s="136" t="s">
        <v>133</v>
      </c>
    </row>
    <row r="631">
      <c r="G631" s="106"/>
      <c r="I631" s="159"/>
      <c r="K631" s="141"/>
      <c r="L631" s="136" t="s">
        <v>133</v>
      </c>
    </row>
    <row r="632">
      <c r="G632" s="106"/>
      <c r="I632" s="159"/>
      <c r="K632" s="141"/>
      <c r="L632" s="136" t="s">
        <v>133</v>
      </c>
    </row>
    <row r="633">
      <c r="G633" s="106"/>
      <c r="I633" s="159"/>
      <c r="K633" s="141"/>
      <c r="L633" s="136" t="s">
        <v>133</v>
      </c>
    </row>
    <row r="634">
      <c r="G634" s="106"/>
      <c r="I634" s="159"/>
      <c r="K634" s="141"/>
      <c r="L634" s="136" t="s">
        <v>133</v>
      </c>
    </row>
    <row r="635">
      <c r="G635" s="106"/>
      <c r="I635" s="159"/>
      <c r="K635" s="141"/>
      <c r="L635" s="136" t="s">
        <v>133</v>
      </c>
    </row>
    <row r="636">
      <c r="G636" s="106"/>
      <c r="I636" s="159"/>
      <c r="K636" s="141"/>
      <c r="L636" s="136" t="s">
        <v>133</v>
      </c>
    </row>
    <row r="637">
      <c r="G637" s="106"/>
      <c r="I637" s="159"/>
      <c r="K637" s="141"/>
      <c r="L637" s="136" t="s">
        <v>133</v>
      </c>
    </row>
    <row r="638">
      <c r="G638" s="106"/>
      <c r="I638" s="159"/>
      <c r="K638" s="141"/>
      <c r="L638" s="136" t="s">
        <v>133</v>
      </c>
    </row>
    <row r="639">
      <c r="G639" s="106"/>
      <c r="I639" s="159"/>
      <c r="K639" s="141"/>
      <c r="L639" s="136" t="s">
        <v>133</v>
      </c>
    </row>
    <row r="640">
      <c r="G640" s="106"/>
      <c r="I640" s="159"/>
      <c r="K640" s="141"/>
      <c r="L640" s="136" t="s">
        <v>133</v>
      </c>
    </row>
    <row r="641">
      <c r="G641" s="106"/>
      <c r="I641" s="159"/>
      <c r="K641" s="141"/>
      <c r="L641" s="136" t="s">
        <v>133</v>
      </c>
    </row>
    <row r="642">
      <c r="G642" s="106"/>
      <c r="I642" s="159"/>
      <c r="K642" s="141"/>
      <c r="L642" s="136" t="s">
        <v>133</v>
      </c>
    </row>
    <row r="643">
      <c r="G643" s="106"/>
      <c r="I643" s="159"/>
      <c r="K643" s="141"/>
      <c r="L643" s="136" t="s">
        <v>133</v>
      </c>
    </row>
    <row r="644">
      <c r="G644" s="106"/>
      <c r="I644" s="159"/>
      <c r="K644" s="141"/>
      <c r="L644" s="136" t="s">
        <v>133</v>
      </c>
    </row>
    <row r="645">
      <c r="G645" s="106"/>
      <c r="I645" s="159"/>
      <c r="K645" s="141"/>
      <c r="L645" s="136" t="s">
        <v>133</v>
      </c>
    </row>
    <row r="646">
      <c r="G646" s="106"/>
      <c r="I646" s="159"/>
      <c r="K646" s="141"/>
      <c r="L646" s="136" t="s">
        <v>133</v>
      </c>
    </row>
    <row r="647">
      <c r="G647" s="106"/>
      <c r="I647" s="159"/>
      <c r="K647" s="141"/>
      <c r="L647" s="136" t="s">
        <v>133</v>
      </c>
    </row>
    <row r="648">
      <c r="G648" s="106"/>
      <c r="I648" s="159"/>
      <c r="K648" s="141"/>
      <c r="L648" s="136" t="s">
        <v>133</v>
      </c>
    </row>
    <row r="649">
      <c r="G649" s="106"/>
      <c r="I649" s="159"/>
      <c r="K649" s="141"/>
      <c r="L649" s="136" t="s">
        <v>133</v>
      </c>
    </row>
    <row r="650">
      <c r="G650" s="106"/>
      <c r="I650" s="159"/>
      <c r="K650" s="141"/>
      <c r="L650" s="136" t="s">
        <v>133</v>
      </c>
    </row>
    <row r="651">
      <c r="G651" s="106"/>
      <c r="I651" s="159"/>
      <c r="K651" s="141"/>
      <c r="L651" s="136" t="s">
        <v>133</v>
      </c>
    </row>
    <row r="652">
      <c r="G652" s="106"/>
      <c r="I652" s="159"/>
      <c r="K652" s="141"/>
      <c r="L652" s="136" t="s">
        <v>133</v>
      </c>
    </row>
    <row r="653">
      <c r="G653" s="106"/>
      <c r="I653" s="159"/>
      <c r="K653" s="141"/>
      <c r="L653" s="136" t="s">
        <v>133</v>
      </c>
    </row>
    <row r="654">
      <c r="G654" s="106"/>
      <c r="I654" s="159"/>
      <c r="K654" s="141"/>
      <c r="L654" s="136" t="s">
        <v>133</v>
      </c>
    </row>
    <row r="655">
      <c r="G655" s="106"/>
      <c r="I655" s="159"/>
      <c r="K655" s="141"/>
      <c r="L655" s="136" t="s">
        <v>133</v>
      </c>
    </row>
    <row r="656">
      <c r="G656" s="106"/>
      <c r="I656" s="159"/>
      <c r="K656" s="141"/>
      <c r="L656" s="136" t="s">
        <v>133</v>
      </c>
    </row>
    <row r="657">
      <c r="G657" s="106"/>
      <c r="I657" s="159"/>
      <c r="K657" s="141"/>
      <c r="L657" s="136" t="s">
        <v>133</v>
      </c>
    </row>
    <row r="658">
      <c r="G658" s="106"/>
      <c r="I658" s="159"/>
      <c r="K658" s="141"/>
      <c r="L658" s="136" t="s">
        <v>133</v>
      </c>
    </row>
    <row r="659">
      <c r="G659" s="106"/>
      <c r="I659" s="159"/>
      <c r="K659" s="141"/>
      <c r="L659" s="136" t="s">
        <v>133</v>
      </c>
    </row>
    <row r="660">
      <c r="G660" s="106"/>
      <c r="I660" s="159"/>
      <c r="K660" s="141"/>
      <c r="L660" s="136" t="s">
        <v>133</v>
      </c>
    </row>
    <row r="661">
      <c r="G661" s="106"/>
      <c r="I661" s="159"/>
      <c r="K661" s="141"/>
      <c r="L661" s="136" t="s">
        <v>133</v>
      </c>
    </row>
    <row r="662">
      <c r="G662" s="106"/>
      <c r="I662" s="159"/>
      <c r="K662" s="141"/>
      <c r="L662" s="136" t="s">
        <v>133</v>
      </c>
    </row>
    <row r="663">
      <c r="G663" s="106"/>
      <c r="I663" s="159"/>
      <c r="K663" s="141"/>
      <c r="L663" s="136" t="s">
        <v>133</v>
      </c>
    </row>
    <row r="664">
      <c r="G664" s="106"/>
      <c r="I664" s="159"/>
      <c r="K664" s="141"/>
      <c r="L664" s="136" t="s">
        <v>133</v>
      </c>
    </row>
    <row r="665">
      <c r="G665" s="106"/>
      <c r="I665" s="159"/>
      <c r="K665" s="141"/>
      <c r="L665" s="136" t="s">
        <v>133</v>
      </c>
    </row>
    <row r="666">
      <c r="G666" s="106"/>
      <c r="I666" s="159"/>
      <c r="K666" s="141"/>
      <c r="L666" s="136" t="s">
        <v>133</v>
      </c>
    </row>
    <row r="667">
      <c r="G667" s="106"/>
      <c r="I667" s="159"/>
      <c r="K667" s="141"/>
      <c r="L667" s="136" t="s">
        <v>133</v>
      </c>
    </row>
    <row r="668">
      <c r="G668" s="106"/>
      <c r="I668" s="159"/>
      <c r="K668" s="141"/>
      <c r="L668" s="136" t="s">
        <v>133</v>
      </c>
    </row>
    <row r="669">
      <c r="G669" s="106"/>
      <c r="I669" s="159"/>
      <c r="K669" s="141"/>
      <c r="L669" s="136" t="s">
        <v>133</v>
      </c>
    </row>
    <row r="670">
      <c r="G670" s="106"/>
      <c r="I670" s="159"/>
      <c r="K670" s="141"/>
      <c r="L670" s="136" t="s">
        <v>133</v>
      </c>
    </row>
    <row r="671">
      <c r="G671" s="106"/>
      <c r="I671" s="159"/>
      <c r="K671" s="141"/>
      <c r="L671" s="136" t="s">
        <v>133</v>
      </c>
    </row>
    <row r="672">
      <c r="G672" s="106"/>
      <c r="I672" s="159"/>
      <c r="K672" s="141"/>
      <c r="L672" s="136" t="s">
        <v>133</v>
      </c>
    </row>
    <row r="673">
      <c r="G673" s="106"/>
      <c r="I673" s="159"/>
      <c r="K673" s="141"/>
      <c r="L673" s="136" t="s">
        <v>133</v>
      </c>
    </row>
    <row r="674">
      <c r="G674" s="106"/>
      <c r="I674" s="159"/>
      <c r="K674" s="141"/>
      <c r="L674" s="136" t="s">
        <v>133</v>
      </c>
    </row>
    <row r="675">
      <c r="G675" s="106"/>
      <c r="I675" s="159"/>
      <c r="K675" s="141"/>
      <c r="L675" s="136" t="s">
        <v>133</v>
      </c>
    </row>
    <row r="676">
      <c r="G676" s="106"/>
      <c r="I676" s="159"/>
      <c r="K676" s="141"/>
      <c r="L676" s="136" t="s">
        <v>133</v>
      </c>
    </row>
    <row r="677">
      <c r="G677" s="106"/>
      <c r="I677" s="159"/>
      <c r="K677" s="141"/>
      <c r="L677" s="136" t="s">
        <v>133</v>
      </c>
    </row>
    <row r="678">
      <c r="G678" s="106"/>
      <c r="I678" s="159"/>
      <c r="K678" s="141"/>
      <c r="L678" s="136" t="s">
        <v>133</v>
      </c>
    </row>
    <row r="679">
      <c r="G679" s="106"/>
      <c r="I679" s="159"/>
      <c r="K679" s="141"/>
      <c r="L679" s="136" t="s">
        <v>133</v>
      </c>
    </row>
    <row r="680">
      <c r="G680" s="106"/>
      <c r="I680" s="159"/>
      <c r="K680" s="141"/>
      <c r="L680" s="136" t="s">
        <v>133</v>
      </c>
    </row>
    <row r="681">
      <c r="G681" s="106"/>
      <c r="I681" s="159"/>
      <c r="K681" s="141"/>
      <c r="L681" s="136" t="s">
        <v>133</v>
      </c>
    </row>
    <row r="682">
      <c r="G682" s="106"/>
      <c r="I682" s="159"/>
      <c r="K682" s="141"/>
      <c r="L682" s="136" t="s">
        <v>133</v>
      </c>
    </row>
    <row r="683">
      <c r="G683" s="106"/>
      <c r="I683" s="159"/>
      <c r="K683" s="141"/>
      <c r="L683" s="136" t="s">
        <v>133</v>
      </c>
    </row>
    <row r="684">
      <c r="G684" s="106"/>
      <c r="I684" s="159"/>
      <c r="K684" s="141"/>
      <c r="L684" s="136" t="s">
        <v>133</v>
      </c>
    </row>
    <row r="685">
      <c r="G685" s="106"/>
      <c r="I685" s="159"/>
      <c r="K685" s="141"/>
      <c r="L685" s="136" t="s">
        <v>133</v>
      </c>
    </row>
    <row r="686">
      <c r="G686" s="106"/>
      <c r="I686" s="159"/>
      <c r="K686" s="141"/>
      <c r="L686" s="136" t="s">
        <v>133</v>
      </c>
    </row>
    <row r="687">
      <c r="G687" s="106"/>
      <c r="I687" s="159"/>
      <c r="K687" s="141"/>
      <c r="L687" s="136" t="s">
        <v>133</v>
      </c>
    </row>
    <row r="688">
      <c r="G688" s="106"/>
      <c r="I688" s="159"/>
      <c r="K688" s="141"/>
      <c r="L688" s="136" t="s">
        <v>133</v>
      </c>
    </row>
    <row r="689">
      <c r="G689" s="106"/>
      <c r="I689" s="159"/>
      <c r="K689" s="141"/>
      <c r="L689" s="136" t="s">
        <v>133</v>
      </c>
    </row>
    <row r="690">
      <c r="G690" s="106"/>
      <c r="I690" s="159"/>
      <c r="K690" s="141"/>
      <c r="L690" s="136" t="s">
        <v>133</v>
      </c>
    </row>
    <row r="691">
      <c r="G691" s="106"/>
      <c r="I691" s="159"/>
      <c r="K691" s="141"/>
      <c r="L691" s="136" t="s">
        <v>133</v>
      </c>
    </row>
    <row r="692">
      <c r="G692" s="106"/>
      <c r="I692" s="159"/>
      <c r="K692" s="141"/>
      <c r="L692" s="136" t="s">
        <v>133</v>
      </c>
    </row>
    <row r="693">
      <c r="G693" s="106"/>
      <c r="I693" s="159"/>
      <c r="K693" s="141"/>
      <c r="L693" s="136" t="s">
        <v>133</v>
      </c>
    </row>
    <row r="694">
      <c r="G694" s="106"/>
      <c r="I694" s="159"/>
      <c r="K694" s="141"/>
      <c r="L694" s="136" t="s">
        <v>133</v>
      </c>
    </row>
    <row r="695">
      <c r="G695" s="106"/>
      <c r="I695" s="159"/>
      <c r="K695" s="141"/>
      <c r="L695" s="136" t="s">
        <v>133</v>
      </c>
    </row>
    <row r="696">
      <c r="G696" s="106"/>
      <c r="I696" s="159"/>
      <c r="K696" s="141"/>
      <c r="L696" s="136" t="s">
        <v>133</v>
      </c>
    </row>
    <row r="697">
      <c r="G697" s="106"/>
      <c r="I697" s="159"/>
      <c r="K697" s="141"/>
      <c r="L697" s="136" t="s">
        <v>133</v>
      </c>
    </row>
    <row r="698">
      <c r="G698" s="106"/>
      <c r="I698" s="159"/>
      <c r="K698" s="141"/>
      <c r="L698" s="136" t="s">
        <v>133</v>
      </c>
    </row>
    <row r="699">
      <c r="G699" s="106"/>
      <c r="I699" s="159"/>
      <c r="K699" s="141"/>
      <c r="L699" s="136" t="s">
        <v>133</v>
      </c>
    </row>
    <row r="700">
      <c r="G700" s="106"/>
      <c r="I700" s="159"/>
      <c r="K700" s="141"/>
      <c r="L700" s="136" t="s">
        <v>133</v>
      </c>
    </row>
    <row r="701">
      <c r="G701" s="106"/>
      <c r="I701" s="159"/>
      <c r="K701" s="141"/>
      <c r="L701" s="136" t="s">
        <v>133</v>
      </c>
    </row>
    <row r="702">
      <c r="G702" s="106"/>
      <c r="I702" s="159"/>
      <c r="K702" s="141"/>
      <c r="L702" s="136" t="s">
        <v>133</v>
      </c>
    </row>
    <row r="703">
      <c r="G703" s="106"/>
      <c r="I703" s="159"/>
      <c r="K703" s="141"/>
      <c r="L703" s="136" t="s">
        <v>133</v>
      </c>
    </row>
    <row r="704">
      <c r="G704" s="106"/>
      <c r="I704" s="159"/>
      <c r="K704" s="141"/>
      <c r="L704" s="136" t="s">
        <v>133</v>
      </c>
    </row>
    <row r="705">
      <c r="G705" s="106"/>
      <c r="I705" s="159"/>
      <c r="K705" s="141"/>
      <c r="L705" s="136" t="s">
        <v>133</v>
      </c>
    </row>
    <row r="706">
      <c r="G706" s="106"/>
      <c r="I706" s="159"/>
      <c r="K706" s="141"/>
      <c r="L706" s="136" t="s">
        <v>133</v>
      </c>
    </row>
    <row r="707">
      <c r="G707" s="106"/>
      <c r="I707" s="159"/>
      <c r="K707" s="141"/>
      <c r="L707" s="136" t="s">
        <v>133</v>
      </c>
    </row>
    <row r="708">
      <c r="G708" s="106"/>
      <c r="I708" s="159"/>
      <c r="K708" s="141"/>
      <c r="L708" s="136" t="s">
        <v>133</v>
      </c>
    </row>
    <row r="709">
      <c r="G709" s="106"/>
      <c r="I709" s="159"/>
      <c r="K709" s="141"/>
      <c r="L709" s="136" t="s">
        <v>133</v>
      </c>
    </row>
    <row r="710">
      <c r="G710" s="106"/>
      <c r="I710" s="159"/>
      <c r="K710" s="141"/>
      <c r="L710" s="136" t="s">
        <v>133</v>
      </c>
    </row>
    <row r="711">
      <c r="G711" s="106"/>
      <c r="I711" s="159"/>
      <c r="K711" s="141"/>
      <c r="L711" s="136" t="s">
        <v>133</v>
      </c>
    </row>
    <row r="712">
      <c r="G712" s="106"/>
      <c r="I712" s="159"/>
      <c r="K712" s="141"/>
      <c r="L712" s="136" t="s">
        <v>133</v>
      </c>
    </row>
    <row r="713">
      <c r="G713" s="106"/>
      <c r="I713" s="159"/>
      <c r="K713" s="141"/>
      <c r="L713" s="136" t="s">
        <v>133</v>
      </c>
    </row>
    <row r="714">
      <c r="G714" s="106"/>
      <c r="I714" s="159"/>
      <c r="K714" s="141"/>
      <c r="L714" s="136" t="s">
        <v>133</v>
      </c>
    </row>
    <row r="715">
      <c r="G715" s="106"/>
      <c r="I715" s="159"/>
      <c r="K715" s="141"/>
      <c r="L715" s="136" t="s">
        <v>133</v>
      </c>
    </row>
    <row r="716">
      <c r="G716" s="106"/>
      <c r="I716" s="159"/>
      <c r="K716" s="141"/>
      <c r="L716" s="136" t="s">
        <v>133</v>
      </c>
    </row>
    <row r="717">
      <c r="G717" s="106"/>
      <c r="I717" s="159"/>
      <c r="K717" s="141"/>
      <c r="L717" s="136" t="s">
        <v>133</v>
      </c>
    </row>
    <row r="718">
      <c r="G718" s="106"/>
      <c r="I718" s="159"/>
      <c r="K718" s="141"/>
      <c r="L718" s="136" t="s">
        <v>133</v>
      </c>
    </row>
    <row r="719">
      <c r="G719" s="106"/>
      <c r="I719" s="159"/>
      <c r="K719" s="141"/>
      <c r="L719" s="136" t="s">
        <v>133</v>
      </c>
    </row>
    <row r="720">
      <c r="G720" s="106"/>
      <c r="I720" s="159"/>
      <c r="K720" s="141"/>
      <c r="L720" s="136" t="s">
        <v>133</v>
      </c>
    </row>
    <row r="721">
      <c r="G721" s="106"/>
      <c r="I721" s="159"/>
      <c r="K721" s="141"/>
      <c r="L721" s="136" t="s">
        <v>133</v>
      </c>
    </row>
    <row r="722">
      <c r="G722" s="106"/>
      <c r="I722" s="159"/>
      <c r="K722" s="141"/>
      <c r="L722" s="136" t="s">
        <v>133</v>
      </c>
    </row>
    <row r="723">
      <c r="G723" s="106"/>
      <c r="I723" s="159"/>
      <c r="K723" s="141"/>
      <c r="L723" s="136" t="s">
        <v>133</v>
      </c>
    </row>
    <row r="724">
      <c r="G724" s="106"/>
      <c r="I724" s="159"/>
      <c r="K724" s="141"/>
      <c r="L724" s="136" t="s">
        <v>133</v>
      </c>
    </row>
    <row r="725">
      <c r="G725" s="106"/>
      <c r="I725" s="159"/>
      <c r="K725" s="141"/>
      <c r="L725" s="136" t="s">
        <v>133</v>
      </c>
    </row>
    <row r="726">
      <c r="G726" s="106"/>
      <c r="I726" s="159"/>
      <c r="K726" s="141"/>
      <c r="L726" s="136" t="s">
        <v>133</v>
      </c>
    </row>
    <row r="727">
      <c r="G727" s="106"/>
      <c r="I727" s="159"/>
      <c r="K727" s="141"/>
      <c r="L727" s="136" t="s">
        <v>133</v>
      </c>
    </row>
    <row r="728">
      <c r="G728" s="106"/>
      <c r="I728" s="159"/>
      <c r="K728" s="141"/>
      <c r="L728" s="136" t="s">
        <v>133</v>
      </c>
    </row>
    <row r="729">
      <c r="G729" s="106"/>
      <c r="I729" s="159"/>
      <c r="K729" s="141"/>
      <c r="L729" s="136" t="s">
        <v>133</v>
      </c>
    </row>
    <row r="730">
      <c r="G730" s="106"/>
      <c r="I730" s="159"/>
      <c r="K730" s="141"/>
      <c r="L730" s="136" t="s">
        <v>133</v>
      </c>
    </row>
    <row r="731">
      <c r="G731" s="106"/>
      <c r="I731" s="159"/>
      <c r="K731" s="141"/>
      <c r="L731" s="136" t="s">
        <v>133</v>
      </c>
    </row>
    <row r="732">
      <c r="G732" s="106"/>
      <c r="I732" s="159"/>
      <c r="K732" s="141"/>
      <c r="L732" s="136" t="s">
        <v>133</v>
      </c>
    </row>
    <row r="733">
      <c r="G733" s="106"/>
      <c r="I733" s="159"/>
      <c r="K733" s="141"/>
      <c r="L733" s="136" t="s">
        <v>133</v>
      </c>
    </row>
    <row r="734">
      <c r="G734" s="106"/>
      <c r="I734" s="159"/>
      <c r="K734" s="141"/>
      <c r="L734" s="136" t="s">
        <v>133</v>
      </c>
    </row>
    <row r="735">
      <c r="G735" s="106"/>
      <c r="I735" s="159"/>
      <c r="K735" s="141"/>
      <c r="L735" s="136" t="s">
        <v>133</v>
      </c>
    </row>
    <row r="736">
      <c r="G736" s="106"/>
      <c r="I736" s="159"/>
      <c r="K736" s="141"/>
      <c r="L736" s="136" t="s">
        <v>133</v>
      </c>
    </row>
    <row r="737">
      <c r="G737" s="106"/>
      <c r="I737" s="159"/>
      <c r="K737" s="141"/>
      <c r="L737" s="136" t="s">
        <v>133</v>
      </c>
    </row>
    <row r="738">
      <c r="G738" s="106"/>
      <c r="I738" s="159"/>
      <c r="K738" s="141"/>
      <c r="L738" s="136" t="s">
        <v>133</v>
      </c>
    </row>
    <row r="739">
      <c r="G739" s="106"/>
      <c r="I739" s="159"/>
      <c r="K739" s="141"/>
      <c r="L739" s="136" t="s">
        <v>133</v>
      </c>
    </row>
    <row r="740">
      <c r="G740" s="106"/>
      <c r="I740" s="159"/>
      <c r="K740" s="141"/>
      <c r="L740" s="136" t="s">
        <v>133</v>
      </c>
    </row>
    <row r="741">
      <c r="G741" s="106"/>
      <c r="I741" s="159"/>
      <c r="K741" s="141"/>
      <c r="L741" s="136" t="s">
        <v>133</v>
      </c>
    </row>
    <row r="742">
      <c r="G742" s="106"/>
      <c r="I742" s="159"/>
      <c r="K742" s="141"/>
      <c r="L742" s="136" t="s">
        <v>133</v>
      </c>
    </row>
    <row r="743">
      <c r="G743" s="106"/>
      <c r="I743" s="159"/>
      <c r="K743" s="141"/>
      <c r="L743" s="136" t="s">
        <v>133</v>
      </c>
    </row>
    <row r="744">
      <c r="G744" s="106"/>
      <c r="I744" s="159"/>
      <c r="K744" s="141"/>
      <c r="L744" s="136" t="s">
        <v>133</v>
      </c>
    </row>
    <row r="745">
      <c r="G745" s="106"/>
      <c r="I745" s="159"/>
      <c r="K745" s="141"/>
      <c r="L745" s="136" t="s">
        <v>133</v>
      </c>
    </row>
    <row r="746">
      <c r="G746" s="106"/>
      <c r="I746" s="159"/>
      <c r="K746" s="141"/>
      <c r="L746" s="136" t="s">
        <v>133</v>
      </c>
    </row>
    <row r="747">
      <c r="G747" s="106"/>
      <c r="I747" s="159"/>
      <c r="K747" s="141"/>
      <c r="L747" s="136" t="s">
        <v>133</v>
      </c>
    </row>
    <row r="748">
      <c r="G748" s="106"/>
      <c r="I748" s="159"/>
      <c r="K748" s="141"/>
      <c r="L748" s="136" t="s">
        <v>133</v>
      </c>
    </row>
    <row r="749">
      <c r="G749" s="106"/>
      <c r="I749" s="159"/>
      <c r="K749" s="141"/>
      <c r="L749" s="136" t="s">
        <v>133</v>
      </c>
    </row>
    <row r="750">
      <c r="G750" s="106"/>
      <c r="I750" s="159"/>
      <c r="K750" s="141"/>
      <c r="L750" s="136" t="s">
        <v>133</v>
      </c>
    </row>
    <row r="751">
      <c r="G751" s="106"/>
      <c r="I751" s="159"/>
      <c r="K751" s="141"/>
      <c r="L751" s="136" t="s">
        <v>133</v>
      </c>
    </row>
    <row r="752">
      <c r="G752" s="106"/>
      <c r="I752" s="159"/>
      <c r="K752" s="141"/>
      <c r="L752" s="136" t="s">
        <v>133</v>
      </c>
    </row>
    <row r="753">
      <c r="G753" s="106"/>
      <c r="I753" s="159"/>
      <c r="K753" s="141"/>
      <c r="L753" s="136" t="s">
        <v>133</v>
      </c>
    </row>
    <row r="754">
      <c r="G754" s="106"/>
      <c r="I754" s="159"/>
      <c r="K754" s="141"/>
      <c r="L754" s="136" t="s">
        <v>133</v>
      </c>
    </row>
    <row r="755">
      <c r="G755" s="106"/>
      <c r="I755" s="159"/>
      <c r="K755" s="141"/>
      <c r="L755" s="136" t="s">
        <v>133</v>
      </c>
    </row>
    <row r="756">
      <c r="G756" s="106"/>
      <c r="I756" s="159"/>
      <c r="K756" s="141"/>
      <c r="L756" s="136" t="s">
        <v>133</v>
      </c>
    </row>
    <row r="757">
      <c r="G757" s="106"/>
      <c r="I757" s="159"/>
      <c r="K757" s="141"/>
      <c r="L757" s="136" t="s">
        <v>133</v>
      </c>
    </row>
    <row r="758">
      <c r="G758" s="106"/>
      <c r="I758" s="159"/>
      <c r="K758" s="141"/>
      <c r="L758" s="136" t="s">
        <v>133</v>
      </c>
    </row>
    <row r="759">
      <c r="G759" s="106"/>
      <c r="I759" s="159"/>
      <c r="K759" s="141"/>
      <c r="L759" s="136" t="s">
        <v>133</v>
      </c>
    </row>
    <row r="760">
      <c r="G760" s="106"/>
      <c r="I760" s="159"/>
      <c r="K760" s="141"/>
      <c r="L760" s="136" t="s">
        <v>133</v>
      </c>
    </row>
    <row r="761">
      <c r="G761" s="106"/>
      <c r="I761" s="159"/>
      <c r="K761" s="141"/>
      <c r="L761" s="136" t="s">
        <v>133</v>
      </c>
    </row>
    <row r="762">
      <c r="G762" s="106"/>
      <c r="I762" s="159"/>
      <c r="K762" s="141"/>
      <c r="L762" s="136" t="s">
        <v>133</v>
      </c>
    </row>
    <row r="763">
      <c r="G763" s="106"/>
      <c r="I763" s="159"/>
      <c r="K763" s="141"/>
      <c r="L763" s="136" t="s">
        <v>133</v>
      </c>
    </row>
    <row r="764">
      <c r="G764" s="106"/>
      <c r="I764" s="159"/>
      <c r="K764" s="141"/>
      <c r="L764" s="136" t="s">
        <v>133</v>
      </c>
    </row>
    <row r="765">
      <c r="G765" s="106"/>
      <c r="I765" s="159"/>
      <c r="K765" s="141"/>
      <c r="L765" s="136" t="s">
        <v>133</v>
      </c>
    </row>
    <row r="766">
      <c r="G766" s="106"/>
      <c r="I766" s="159"/>
      <c r="K766" s="141"/>
      <c r="L766" s="136" t="s">
        <v>133</v>
      </c>
    </row>
    <row r="767">
      <c r="G767" s="106"/>
      <c r="I767" s="159"/>
      <c r="K767" s="141"/>
      <c r="L767" s="136" t="s">
        <v>133</v>
      </c>
    </row>
    <row r="768">
      <c r="G768" s="106"/>
      <c r="I768" s="159"/>
      <c r="K768" s="141"/>
      <c r="L768" s="136" t="s">
        <v>133</v>
      </c>
    </row>
    <row r="769">
      <c r="G769" s="106"/>
      <c r="I769" s="159"/>
      <c r="K769" s="141"/>
      <c r="L769" s="136" t="s">
        <v>133</v>
      </c>
    </row>
    <row r="770">
      <c r="G770" s="106"/>
      <c r="I770" s="159"/>
      <c r="K770" s="141"/>
      <c r="L770" s="136" t="s">
        <v>133</v>
      </c>
    </row>
    <row r="771">
      <c r="G771" s="106"/>
      <c r="I771" s="159"/>
      <c r="K771" s="141"/>
      <c r="L771" s="136" t="s">
        <v>133</v>
      </c>
    </row>
    <row r="772">
      <c r="G772" s="106"/>
      <c r="I772" s="159"/>
      <c r="K772" s="141"/>
      <c r="L772" s="136" t="s">
        <v>133</v>
      </c>
    </row>
    <row r="773">
      <c r="G773" s="106"/>
      <c r="I773" s="159"/>
      <c r="K773" s="141"/>
      <c r="L773" s="136" t="s">
        <v>133</v>
      </c>
    </row>
    <row r="774">
      <c r="G774" s="106"/>
      <c r="I774" s="159"/>
      <c r="K774" s="141"/>
      <c r="L774" s="136" t="s">
        <v>133</v>
      </c>
    </row>
    <row r="775">
      <c r="G775" s="106"/>
      <c r="I775" s="159"/>
      <c r="K775" s="141"/>
      <c r="L775" s="136" t="s">
        <v>133</v>
      </c>
    </row>
    <row r="776">
      <c r="G776" s="106"/>
      <c r="I776" s="159"/>
      <c r="K776" s="141"/>
      <c r="L776" s="136" t="s">
        <v>133</v>
      </c>
    </row>
    <row r="777">
      <c r="G777" s="106"/>
      <c r="I777" s="159"/>
      <c r="K777" s="141"/>
      <c r="L777" s="136" t="s">
        <v>133</v>
      </c>
    </row>
    <row r="778">
      <c r="G778" s="106"/>
      <c r="I778" s="159"/>
      <c r="K778" s="141"/>
      <c r="L778" s="136" t="s">
        <v>133</v>
      </c>
    </row>
    <row r="779">
      <c r="G779" s="106"/>
      <c r="I779" s="159"/>
      <c r="K779" s="141"/>
      <c r="L779" s="136" t="s">
        <v>133</v>
      </c>
    </row>
    <row r="780">
      <c r="G780" s="106"/>
      <c r="I780" s="159"/>
      <c r="K780" s="141"/>
      <c r="L780" s="136" t="s">
        <v>133</v>
      </c>
    </row>
    <row r="781">
      <c r="G781" s="106"/>
      <c r="I781" s="159"/>
      <c r="K781" s="141"/>
      <c r="L781" s="136" t="s">
        <v>133</v>
      </c>
    </row>
    <row r="782">
      <c r="G782" s="106"/>
      <c r="I782" s="159"/>
      <c r="K782" s="141"/>
      <c r="L782" s="136" t="s">
        <v>133</v>
      </c>
    </row>
    <row r="783">
      <c r="G783" s="106"/>
      <c r="I783" s="159"/>
      <c r="K783" s="141"/>
      <c r="L783" s="136" t="s">
        <v>133</v>
      </c>
    </row>
    <row r="784">
      <c r="G784" s="106"/>
      <c r="I784" s="159"/>
      <c r="K784" s="141"/>
      <c r="L784" s="136" t="s">
        <v>133</v>
      </c>
    </row>
    <row r="785">
      <c r="G785" s="106"/>
      <c r="I785" s="159"/>
      <c r="K785" s="141"/>
      <c r="L785" s="136" t="s">
        <v>133</v>
      </c>
    </row>
    <row r="786">
      <c r="G786" s="106"/>
      <c r="I786" s="159"/>
      <c r="K786" s="141"/>
      <c r="L786" s="136" t="s">
        <v>133</v>
      </c>
    </row>
    <row r="787">
      <c r="G787" s="106"/>
      <c r="I787" s="159"/>
      <c r="K787" s="141"/>
      <c r="L787" s="136" t="s">
        <v>133</v>
      </c>
    </row>
    <row r="788">
      <c r="G788" s="106"/>
      <c r="I788" s="159"/>
      <c r="K788" s="141"/>
      <c r="L788" s="136" t="s">
        <v>133</v>
      </c>
    </row>
    <row r="789">
      <c r="G789" s="106"/>
      <c r="I789" s="159"/>
      <c r="K789" s="141"/>
      <c r="L789" s="136" t="s">
        <v>133</v>
      </c>
    </row>
    <row r="790">
      <c r="G790" s="106"/>
      <c r="I790" s="159"/>
      <c r="K790" s="141"/>
      <c r="L790" s="136" t="s">
        <v>133</v>
      </c>
    </row>
    <row r="791">
      <c r="G791" s="106"/>
      <c r="I791" s="159"/>
      <c r="K791" s="141"/>
      <c r="L791" s="136" t="s">
        <v>133</v>
      </c>
    </row>
    <row r="792">
      <c r="G792" s="106"/>
      <c r="I792" s="159"/>
      <c r="K792" s="141"/>
      <c r="L792" s="136" t="s">
        <v>133</v>
      </c>
    </row>
    <row r="793">
      <c r="G793" s="106"/>
      <c r="I793" s="159"/>
      <c r="K793" s="141"/>
      <c r="L793" s="136" t="s">
        <v>133</v>
      </c>
    </row>
    <row r="794">
      <c r="G794" s="106"/>
      <c r="I794" s="159"/>
      <c r="K794" s="141"/>
      <c r="L794" s="136" t="s">
        <v>133</v>
      </c>
    </row>
    <row r="795">
      <c r="G795" s="106"/>
      <c r="I795" s="159"/>
      <c r="K795" s="141"/>
      <c r="L795" s="136" t="s">
        <v>133</v>
      </c>
    </row>
    <row r="796">
      <c r="G796" s="106"/>
      <c r="I796" s="159"/>
      <c r="K796" s="141"/>
      <c r="L796" s="136" t="s">
        <v>133</v>
      </c>
    </row>
    <row r="797">
      <c r="G797" s="106"/>
      <c r="I797" s="159"/>
      <c r="K797" s="141"/>
      <c r="L797" s="136" t="s">
        <v>133</v>
      </c>
    </row>
    <row r="798">
      <c r="G798" s="106"/>
      <c r="I798" s="159"/>
      <c r="K798" s="141"/>
      <c r="L798" s="136" t="s">
        <v>133</v>
      </c>
    </row>
    <row r="799">
      <c r="G799" s="106"/>
      <c r="I799" s="159"/>
      <c r="K799" s="141"/>
      <c r="L799" s="136" t="s">
        <v>133</v>
      </c>
    </row>
    <row r="800">
      <c r="G800" s="106"/>
      <c r="I800" s="159"/>
      <c r="K800" s="141"/>
      <c r="L800" s="136" t="s">
        <v>133</v>
      </c>
    </row>
    <row r="801">
      <c r="G801" s="106"/>
      <c r="I801" s="159"/>
      <c r="K801" s="141"/>
      <c r="L801" s="136" t="s">
        <v>133</v>
      </c>
    </row>
    <row r="802">
      <c r="G802" s="106"/>
      <c r="I802" s="159"/>
      <c r="K802" s="141"/>
      <c r="L802" s="136" t="s">
        <v>133</v>
      </c>
    </row>
    <row r="803">
      <c r="G803" s="106"/>
      <c r="I803" s="159"/>
      <c r="K803" s="141"/>
      <c r="L803" s="136" t="s">
        <v>133</v>
      </c>
    </row>
    <row r="804">
      <c r="G804" s="106"/>
      <c r="I804" s="159"/>
      <c r="K804" s="141"/>
      <c r="L804" s="136" t="s">
        <v>133</v>
      </c>
    </row>
    <row r="805">
      <c r="G805" s="106"/>
      <c r="I805" s="159"/>
      <c r="K805" s="141"/>
      <c r="L805" s="136" t="s">
        <v>133</v>
      </c>
    </row>
    <row r="806">
      <c r="G806" s="106"/>
      <c r="I806" s="159"/>
      <c r="K806" s="141"/>
      <c r="L806" s="136" t="s">
        <v>133</v>
      </c>
    </row>
    <row r="807">
      <c r="G807" s="106"/>
      <c r="I807" s="159"/>
      <c r="K807" s="141"/>
      <c r="L807" s="136" t="s">
        <v>133</v>
      </c>
    </row>
    <row r="808">
      <c r="G808" s="106"/>
      <c r="I808" s="159"/>
      <c r="K808" s="141"/>
      <c r="L808" s="136" t="s">
        <v>133</v>
      </c>
    </row>
    <row r="809">
      <c r="G809" s="106"/>
      <c r="I809" s="159"/>
      <c r="K809" s="141"/>
      <c r="L809" s="136" t="s">
        <v>133</v>
      </c>
    </row>
    <row r="810">
      <c r="G810" s="106"/>
      <c r="I810" s="159"/>
      <c r="K810" s="141"/>
      <c r="L810" s="136" t="s">
        <v>133</v>
      </c>
    </row>
    <row r="811">
      <c r="G811" s="106"/>
      <c r="I811" s="159"/>
      <c r="K811" s="141"/>
      <c r="L811" s="136" t="s">
        <v>133</v>
      </c>
    </row>
    <row r="812">
      <c r="G812" s="106"/>
      <c r="I812" s="159"/>
      <c r="K812" s="141"/>
      <c r="L812" s="136" t="s">
        <v>133</v>
      </c>
    </row>
    <row r="813">
      <c r="G813" s="106"/>
      <c r="I813" s="159"/>
      <c r="K813" s="141"/>
      <c r="L813" s="136" t="s">
        <v>133</v>
      </c>
    </row>
    <row r="814">
      <c r="G814" s="106"/>
      <c r="I814" s="159"/>
      <c r="K814" s="141"/>
      <c r="L814" s="136" t="s">
        <v>133</v>
      </c>
    </row>
    <row r="815">
      <c r="G815" s="106"/>
      <c r="I815" s="159"/>
      <c r="K815" s="141"/>
      <c r="L815" s="136" t="s">
        <v>133</v>
      </c>
    </row>
    <row r="816">
      <c r="G816" s="106"/>
      <c r="I816" s="159"/>
      <c r="K816" s="141"/>
      <c r="L816" s="136" t="s">
        <v>133</v>
      </c>
    </row>
    <row r="817">
      <c r="G817" s="106"/>
      <c r="I817" s="159"/>
      <c r="K817" s="141"/>
      <c r="L817" s="136" t="s">
        <v>133</v>
      </c>
    </row>
    <row r="818">
      <c r="G818" s="106"/>
      <c r="I818" s="159"/>
      <c r="K818" s="141"/>
      <c r="L818" s="136" t="s">
        <v>133</v>
      </c>
    </row>
    <row r="819">
      <c r="G819" s="106"/>
      <c r="I819" s="159"/>
      <c r="K819" s="141"/>
      <c r="L819" s="136" t="s">
        <v>133</v>
      </c>
    </row>
    <row r="820">
      <c r="G820" s="106"/>
      <c r="I820" s="159"/>
      <c r="K820" s="141"/>
      <c r="L820" s="136" t="s">
        <v>133</v>
      </c>
    </row>
    <row r="821">
      <c r="G821" s="106"/>
      <c r="I821" s="159"/>
      <c r="K821" s="141"/>
      <c r="L821" s="136" t="s">
        <v>133</v>
      </c>
    </row>
    <row r="822">
      <c r="G822" s="106"/>
      <c r="I822" s="159"/>
      <c r="K822" s="141"/>
      <c r="L822" s="136" t="s">
        <v>133</v>
      </c>
    </row>
    <row r="823">
      <c r="G823" s="106"/>
      <c r="I823" s="159"/>
      <c r="K823" s="141"/>
      <c r="L823" s="136" t="s">
        <v>133</v>
      </c>
    </row>
    <row r="824">
      <c r="G824" s="106"/>
      <c r="I824" s="159"/>
      <c r="K824" s="141"/>
      <c r="L824" s="136" t="s">
        <v>133</v>
      </c>
    </row>
    <row r="825">
      <c r="G825" s="106"/>
      <c r="I825" s="159"/>
      <c r="K825" s="141"/>
      <c r="L825" s="136" t="s">
        <v>133</v>
      </c>
    </row>
    <row r="826">
      <c r="G826" s="106"/>
      <c r="I826" s="159"/>
      <c r="K826" s="141"/>
      <c r="L826" s="136" t="s">
        <v>133</v>
      </c>
    </row>
    <row r="827">
      <c r="G827" s="106"/>
      <c r="I827" s="159"/>
      <c r="K827" s="141"/>
      <c r="L827" s="136" t="s">
        <v>133</v>
      </c>
    </row>
    <row r="828">
      <c r="G828" s="106"/>
      <c r="I828" s="159"/>
      <c r="K828" s="141"/>
      <c r="L828" s="136" t="s">
        <v>133</v>
      </c>
    </row>
    <row r="829">
      <c r="G829" s="106"/>
      <c r="I829" s="159"/>
      <c r="K829" s="141"/>
      <c r="L829" s="136" t="s">
        <v>133</v>
      </c>
    </row>
    <row r="830">
      <c r="G830" s="106"/>
      <c r="I830" s="159"/>
      <c r="K830" s="141"/>
      <c r="L830" s="136" t="s">
        <v>133</v>
      </c>
    </row>
    <row r="831">
      <c r="G831" s="106"/>
      <c r="I831" s="159"/>
      <c r="K831" s="141"/>
      <c r="L831" s="136" t="s">
        <v>133</v>
      </c>
    </row>
    <row r="832">
      <c r="G832" s="106"/>
      <c r="I832" s="159"/>
      <c r="K832" s="141"/>
      <c r="L832" s="136" t="s">
        <v>133</v>
      </c>
    </row>
    <row r="833">
      <c r="G833" s="106"/>
      <c r="I833" s="159"/>
      <c r="K833" s="141"/>
      <c r="L833" s="136" t="s">
        <v>133</v>
      </c>
    </row>
    <row r="834">
      <c r="G834" s="106"/>
      <c r="I834" s="159"/>
      <c r="K834" s="141"/>
      <c r="L834" s="136" t="s">
        <v>133</v>
      </c>
    </row>
    <row r="835">
      <c r="G835" s="106"/>
      <c r="I835" s="159"/>
      <c r="K835" s="141"/>
      <c r="L835" s="136" t="s">
        <v>133</v>
      </c>
    </row>
    <row r="836">
      <c r="G836" s="106"/>
      <c r="I836" s="159"/>
      <c r="K836" s="141"/>
      <c r="L836" s="136" t="s">
        <v>133</v>
      </c>
    </row>
    <row r="837">
      <c r="G837" s="106"/>
      <c r="I837" s="159"/>
      <c r="K837" s="141"/>
      <c r="L837" s="136" t="s">
        <v>133</v>
      </c>
    </row>
    <row r="838">
      <c r="G838" s="106"/>
      <c r="I838" s="159"/>
      <c r="K838" s="141"/>
      <c r="L838" s="136" t="s">
        <v>133</v>
      </c>
    </row>
    <row r="839">
      <c r="G839" s="106"/>
      <c r="I839" s="159"/>
      <c r="K839" s="141"/>
      <c r="L839" s="136" t="s">
        <v>133</v>
      </c>
    </row>
    <row r="840">
      <c r="G840" s="106"/>
      <c r="I840" s="159"/>
      <c r="K840" s="141"/>
      <c r="L840" s="136" t="s">
        <v>133</v>
      </c>
    </row>
    <row r="841">
      <c r="G841" s="106"/>
      <c r="I841" s="159"/>
      <c r="K841" s="141"/>
      <c r="L841" s="136" t="s">
        <v>133</v>
      </c>
    </row>
    <row r="842">
      <c r="G842" s="106"/>
      <c r="I842" s="159"/>
      <c r="K842" s="141"/>
      <c r="L842" s="136" t="s">
        <v>133</v>
      </c>
    </row>
    <row r="843">
      <c r="G843" s="106"/>
      <c r="I843" s="159"/>
      <c r="K843" s="141"/>
      <c r="L843" s="136" t="s">
        <v>133</v>
      </c>
    </row>
    <row r="844">
      <c r="G844" s="106"/>
      <c r="I844" s="159"/>
      <c r="K844" s="141"/>
      <c r="L844" s="136" t="s">
        <v>133</v>
      </c>
    </row>
    <row r="845">
      <c r="G845" s="106"/>
      <c r="I845" s="159"/>
      <c r="K845" s="141"/>
      <c r="L845" s="136" t="s">
        <v>133</v>
      </c>
    </row>
    <row r="846">
      <c r="G846" s="106"/>
      <c r="I846" s="159"/>
      <c r="K846" s="141"/>
      <c r="L846" s="136" t="s">
        <v>133</v>
      </c>
    </row>
    <row r="847">
      <c r="G847" s="106"/>
      <c r="I847" s="159"/>
      <c r="K847" s="141"/>
      <c r="L847" s="136" t="s">
        <v>133</v>
      </c>
    </row>
    <row r="848">
      <c r="G848" s="106"/>
      <c r="I848" s="159"/>
      <c r="K848" s="141"/>
      <c r="L848" s="136" t="s">
        <v>133</v>
      </c>
    </row>
    <row r="849">
      <c r="G849" s="106"/>
      <c r="I849" s="159"/>
      <c r="K849" s="141"/>
      <c r="L849" s="136" t="s">
        <v>133</v>
      </c>
    </row>
    <row r="850">
      <c r="G850" s="106"/>
      <c r="I850" s="159"/>
      <c r="K850" s="141"/>
      <c r="L850" s="136" t="s">
        <v>133</v>
      </c>
    </row>
    <row r="851">
      <c r="G851" s="106"/>
      <c r="I851" s="159"/>
      <c r="K851" s="141"/>
      <c r="L851" s="136" t="s">
        <v>133</v>
      </c>
    </row>
    <row r="852">
      <c r="G852" s="106"/>
      <c r="I852" s="159"/>
      <c r="K852" s="141"/>
      <c r="L852" s="136" t="s">
        <v>133</v>
      </c>
    </row>
    <row r="853">
      <c r="G853" s="106"/>
      <c r="I853" s="159"/>
      <c r="K853" s="141"/>
      <c r="L853" s="136" t="s">
        <v>133</v>
      </c>
    </row>
    <row r="854">
      <c r="G854" s="106"/>
      <c r="I854" s="159"/>
      <c r="K854" s="141"/>
      <c r="L854" s="136" t="s">
        <v>133</v>
      </c>
    </row>
    <row r="855">
      <c r="G855" s="106"/>
      <c r="I855" s="159"/>
      <c r="K855" s="141"/>
      <c r="L855" s="136" t="s">
        <v>133</v>
      </c>
    </row>
    <row r="856">
      <c r="G856" s="106"/>
      <c r="I856" s="159"/>
      <c r="K856" s="141"/>
      <c r="L856" s="136" t="s">
        <v>133</v>
      </c>
    </row>
    <row r="857">
      <c r="G857" s="106"/>
      <c r="I857" s="159"/>
      <c r="K857" s="141"/>
      <c r="L857" s="136" t="s">
        <v>133</v>
      </c>
    </row>
    <row r="858">
      <c r="G858" s="106"/>
      <c r="I858" s="159"/>
      <c r="K858" s="141"/>
      <c r="L858" s="136" t="s">
        <v>133</v>
      </c>
    </row>
    <row r="859">
      <c r="G859" s="106"/>
      <c r="I859" s="159"/>
      <c r="K859" s="141"/>
      <c r="L859" s="136" t="s">
        <v>133</v>
      </c>
    </row>
    <row r="860">
      <c r="G860" s="106"/>
      <c r="I860" s="159"/>
      <c r="K860" s="141"/>
      <c r="L860" s="136" t="s">
        <v>133</v>
      </c>
    </row>
    <row r="861">
      <c r="G861" s="106"/>
      <c r="I861" s="159"/>
      <c r="K861" s="141"/>
      <c r="L861" s="136" t="s">
        <v>133</v>
      </c>
    </row>
    <row r="862">
      <c r="G862" s="106"/>
      <c r="I862" s="159"/>
      <c r="K862" s="141"/>
      <c r="L862" s="136" t="s">
        <v>133</v>
      </c>
    </row>
    <row r="863">
      <c r="G863" s="106"/>
      <c r="I863" s="159"/>
      <c r="K863" s="141"/>
      <c r="L863" s="136" t="s">
        <v>133</v>
      </c>
    </row>
    <row r="864">
      <c r="G864" s="106"/>
      <c r="I864" s="159"/>
      <c r="K864" s="141"/>
      <c r="L864" s="136" t="s">
        <v>133</v>
      </c>
    </row>
    <row r="865">
      <c r="G865" s="106"/>
      <c r="I865" s="159"/>
      <c r="K865" s="141"/>
      <c r="L865" s="136" t="s">
        <v>133</v>
      </c>
    </row>
    <row r="866">
      <c r="G866" s="106"/>
      <c r="I866" s="159"/>
      <c r="K866" s="141"/>
      <c r="L866" s="136" t="s">
        <v>133</v>
      </c>
    </row>
    <row r="867">
      <c r="G867" s="106"/>
      <c r="I867" s="159"/>
      <c r="K867" s="141"/>
      <c r="L867" s="136" t="s">
        <v>133</v>
      </c>
    </row>
    <row r="868">
      <c r="G868" s="106"/>
      <c r="I868" s="159"/>
      <c r="K868" s="141"/>
      <c r="L868" s="136" t="s">
        <v>133</v>
      </c>
    </row>
    <row r="869">
      <c r="G869" s="106"/>
      <c r="I869" s="159"/>
      <c r="K869" s="141"/>
      <c r="L869" s="136" t="s">
        <v>133</v>
      </c>
    </row>
    <row r="870">
      <c r="G870" s="106"/>
      <c r="I870" s="159"/>
      <c r="K870" s="141"/>
      <c r="L870" s="136" t="s">
        <v>133</v>
      </c>
    </row>
    <row r="871">
      <c r="G871" s="106"/>
      <c r="I871" s="159"/>
      <c r="K871" s="141"/>
      <c r="L871" s="136" t="s">
        <v>133</v>
      </c>
    </row>
    <row r="872">
      <c r="G872" s="106"/>
      <c r="I872" s="159"/>
      <c r="K872" s="141"/>
      <c r="L872" s="136" t="s">
        <v>133</v>
      </c>
    </row>
    <row r="873">
      <c r="G873" s="106"/>
      <c r="I873" s="159"/>
      <c r="K873" s="141"/>
      <c r="L873" s="136" t="s">
        <v>133</v>
      </c>
    </row>
    <row r="874">
      <c r="G874" s="106"/>
      <c r="I874" s="159"/>
      <c r="K874" s="141"/>
      <c r="L874" s="136" t="s">
        <v>133</v>
      </c>
    </row>
    <row r="875">
      <c r="G875" s="106"/>
      <c r="I875" s="159"/>
      <c r="K875" s="141"/>
      <c r="L875" s="136" t="s">
        <v>133</v>
      </c>
    </row>
    <row r="876">
      <c r="G876" s="106"/>
      <c r="I876" s="159"/>
      <c r="K876" s="141"/>
      <c r="L876" s="136" t="s">
        <v>133</v>
      </c>
    </row>
    <row r="877">
      <c r="G877" s="106"/>
      <c r="I877" s="159"/>
      <c r="K877" s="141"/>
      <c r="L877" s="136" t="s">
        <v>133</v>
      </c>
    </row>
    <row r="878">
      <c r="G878" s="106"/>
      <c r="I878" s="159"/>
      <c r="K878" s="141"/>
      <c r="L878" s="136" t="s">
        <v>133</v>
      </c>
    </row>
    <row r="879">
      <c r="G879" s="106"/>
      <c r="I879" s="159"/>
      <c r="K879" s="141"/>
      <c r="L879" s="136" t="s">
        <v>133</v>
      </c>
    </row>
    <row r="880">
      <c r="G880" s="106"/>
      <c r="I880" s="159"/>
      <c r="K880" s="141"/>
      <c r="L880" s="136" t="s">
        <v>133</v>
      </c>
    </row>
    <row r="881">
      <c r="G881" s="106"/>
      <c r="I881" s="159"/>
      <c r="K881" s="141"/>
      <c r="L881" s="136" t="s">
        <v>133</v>
      </c>
    </row>
    <row r="882">
      <c r="G882" s="106"/>
      <c r="I882" s="159"/>
      <c r="K882" s="141"/>
      <c r="L882" s="136" t="s">
        <v>133</v>
      </c>
    </row>
    <row r="883">
      <c r="G883" s="106"/>
      <c r="I883" s="159"/>
      <c r="K883" s="141"/>
      <c r="L883" s="136" t="s">
        <v>133</v>
      </c>
    </row>
    <row r="884">
      <c r="G884" s="106"/>
      <c r="I884" s="159"/>
      <c r="K884" s="141"/>
      <c r="L884" s="136" t="s">
        <v>133</v>
      </c>
    </row>
    <row r="885">
      <c r="G885" s="106"/>
      <c r="I885" s="159"/>
      <c r="K885" s="141"/>
      <c r="L885" s="136" t="s">
        <v>133</v>
      </c>
    </row>
    <row r="886">
      <c r="G886" s="106"/>
      <c r="I886" s="159"/>
      <c r="K886" s="141"/>
      <c r="L886" s="136" t="s">
        <v>133</v>
      </c>
    </row>
    <row r="887">
      <c r="G887" s="106"/>
      <c r="I887" s="159"/>
      <c r="K887" s="141"/>
      <c r="L887" s="136" t="s">
        <v>133</v>
      </c>
    </row>
    <row r="888">
      <c r="G888" s="106"/>
      <c r="I888" s="159"/>
      <c r="K888" s="141"/>
      <c r="L888" s="136" t="s">
        <v>133</v>
      </c>
    </row>
    <row r="889">
      <c r="G889" s="106"/>
      <c r="I889" s="159"/>
      <c r="K889" s="141"/>
      <c r="L889" s="136" t="s">
        <v>133</v>
      </c>
    </row>
    <row r="890">
      <c r="G890" s="106"/>
      <c r="I890" s="159"/>
      <c r="K890" s="141"/>
      <c r="L890" s="136" t="s">
        <v>133</v>
      </c>
    </row>
    <row r="891">
      <c r="G891" s="106"/>
      <c r="I891" s="159"/>
      <c r="K891" s="141"/>
      <c r="L891" s="136" t="s">
        <v>133</v>
      </c>
    </row>
    <row r="892">
      <c r="G892" s="106"/>
      <c r="I892" s="159"/>
      <c r="K892" s="141"/>
      <c r="L892" s="136" t="s">
        <v>133</v>
      </c>
    </row>
    <row r="893">
      <c r="G893" s="106"/>
      <c r="I893" s="159"/>
      <c r="K893" s="141"/>
      <c r="L893" s="136" t="s">
        <v>133</v>
      </c>
    </row>
    <row r="894">
      <c r="G894" s="106"/>
      <c r="I894" s="159"/>
      <c r="K894" s="141"/>
      <c r="L894" s="136" t="s">
        <v>133</v>
      </c>
    </row>
    <row r="895">
      <c r="G895" s="106"/>
      <c r="I895" s="159"/>
      <c r="K895" s="141"/>
      <c r="L895" s="136" t="s">
        <v>133</v>
      </c>
    </row>
    <row r="896">
      <c r="G896" s="106"/>
      <c r="I896" s="159"/>
      <c r="K896" s="141"/>
      <c r="L896" s="136" t="s">
        <v>133</v>
      </c>
    </row>
    <row r="897">
      <c r="G897" s="106"/>
      <c r="I897" s="159"/>
      <c r="K897" s="141"/>
      <c r="L897" s="136" t="s">
        <v>133</v>
      </c>
    </row>
    <row r="898">
      <c r="G898" s="106"/>
      <c r="I898" s="159"/>
      <c r="K898" s="141"/>
      <c r="L898" s="136" t="s">
        <v>133</v>
      </c>
    </row>
    <row r="899">
      <c r="G899" s="106"/>
      <c r="I899" s="159"/>
      <c r="K899" s="141"/>
      <c r="L899" s="136" t="s">
        <v>133</v>
      </c>
    </row>
    <row r="900">
      <c r="G900" s="106"/>
      <c r="I900" s="159"/>
      <c r="K900" s="141"/>
      <c r="L900" s="136" t="s">
        <v>133</v>
      </c>
    </row>
    <row r="901">
      <c r="G901" s="106"/>
      <c r="I901" s="159"/>
      <c r="K901" s="141"/>
      <c r="L901" s="136" t="s">
        <v>133</v>
      </c>
    </row>
    <row r="902">
      <c r="G902" s="106"/>
      <c r="I902" s="159"/>
      <c r="K902" s="141"/>
      <c r="L902" s="136" t="s">
        <v>133</v>
      </c>
    </row>
    <row r="903">
      <c r="G903" s="106"/>
      <c r="I903" s="159"/>
      <c r="K903" s="141"/>
      <c r="L903" s="136" t="s">
        <v>133</v>
      </c>
    </row>
    <row r="904">
      <c r="G904" s="106"/>
      <c r="I904" s="159"/>
      <c r="K904" s="141"/>
      <c r="L904" s="136" t="s">
        <v>133</v>
      </c>
    </row>
    <row r="905">
      <c r="G905" s="106"/>
      <c r="I905" s="159"/>
      <c r="K905" s="141"/>
      <c r="L905" s="136" t="s">
        <v>133</v>
      </c>
    </row>
    <row r="906">
      <c r="G906" s="106"/>
      <c r="I906" s="159"/>
      <c r="K906" s="141"/>
      <c r="L906" s="136" t="s">
        <v>133</v>
      </c>
    </row>
    <row r="907">
      <c r="G907" s="106"/>
      <c r="I907" s="159"/>
      <c r="K907" s="141"/>
      <c r="L907" s="136" t="s">
        <v>133</v>
      </c>
    </row>
    <row r="908">
      <c r="G908" s="106"/>
      <c r="I908" s="159"/>
      <c r="K908" s="141"/>
      <c r="L908" s="136" t="s">
        <v>133</v>
      </c>
    </row>
    <row r="909">
      <c r="G909" s="106"/>
      <c r="I909" s="159"/>
      <c r="K909" s="141"/>
      <c r="L909" s="136" t="s">
        <v>133</v>
      </c>
    </row>
    <row r="910">
      <c r="G910" s="106"/>
      <c r="I910" s="159"/>
      <c r="K910" s="141"/>
      <c r="L910" s="136" t="s">
        <v>133</v>
      </c>
    </row>
    <row r="911">
      <c r="G911" s="106"/>
      <c r="I911" s="159"/>
      <c r="K911" s="141"/>
      <c r="L911" s="136" t="s">
        <v>133</v>
      </c>
    </row>
    <row r="912">
      <c r="G912" s="106"/>
      <c r="I912" s="159"/>
      <c r="K912" s="141"/>
      <c r="L912" s="136" t="s">
        <v>133</v>
      </c>
    </row>
    <row r="913">
      <c r="G913" s="106"/>
      <c r="I913" s="159"/>
      <c r="K913" s="141"/>
      <c r="L913" s="136" t="s">
        <v>133</v>
      </c>
    </row>
    <row r="914">
      <c r="G914" s="106"/>
      <c r="I914" s="159"/>
      <c r="K914" s="141"/>
      <c r="L914" s="136" t="s">
        <v>133</v>
      </c>
    </row>
    <row r="915">
      <c r="G915" s="106"/>
      <c r="I915" s="159"/>
      <c r="K915" s="141"/>
      <c r="L915" s="136" t="s">
        <v>133</v>
      </c>
    </row>
    <row r="916">
      <c r="G916" s="106"/>
      <c r="I916" s="159"/>
      <c r="K916" s="141"/>
      <c r="L916" s="136" t="s">
        <v>133</v>
      </c>
    </row>
    <row r="917">
      <c r="G917" s="106"/>
      <c r="I917" s="159"/>
      <c r="K917" s="141"/>
      <c r="L917" s="136" t="s">
        <v>133</v>
      </c>
    </row>
    <row r="918">
      <c r="G918" s="106"/>
      <c r="I918" s="159"/>
      <c r="K918" s="141"/>
      <c r="L918" s="136" t="s">
        <v>133</v>
      </c>
    </row>
    <row r="919">
      <c r="G919" s="106"/>
      <c r="I919" s="159"/>
      <c r="K919" s="141"/>
      <c r="L919" s="136" t="s">
        <v>133</v>
      </c>
    </row>
    <row r="920">
      <c r="G920" s="106"/>
      <c r="I920" s="159"/>
      <c r="K920" s="141"/>
      <c r="L920" s="136" t="s">
        <v>133</v>
      </c>
    </row>
    <row r="921">
      <c r="G921" s="106"/>
      <c r="I921" s="159"/>
      <c r="K921" s="141"/>
      <c r="L921" s="136" t="s">
        <v>133</v>
      </c>
    </row>
    <row r="922">
      <c r="G922" s="106"/>
      <c r="I922" s="159"/>
      <c r="K922" s="141"/>
      <c r="L922" s="136" t="s">
        <v>133</v>
      </c>
    </row>
    <row r="923">
      <c r="G923" s="106"/>
      <c r="I923" s="159"/>
      <c r="K923" s="141"/>
      <c r="L923" s="136" t="s">
        <v>133</v>
      </c>
    </row>
    <row r="924">
      <c r="G924" s="106"/>
      <c r="I924" s="159"/>
      <c r="K924" s="141"/>
      <c r="L924" s="136" t="s">
        <v>133</v>
      </c>
    </row>
    <row r="925">
      <c r="G925" s="106"/>
      <c r="I925" s="159"/>
      <c r="K925" s="141"/>
      <c r="L925" s="136" t="s">
        <v>133</v>
      </c>
    </row>
    <row r="926">
      <c r="G926" s="106"/>
      <c r="I926" s="159"/>
      <c r="K926" s="141"/>
      <c r="L926" s="136" t="s">
        <v>133</v>
      </c>
    </row>
    <row r="927">
      <c r="G927" s="106"/>
      <c r="I927" s="159"/>
      <c r="K927" s="141"/>
      <c r="L927" s="136" t="s">
        <v>133</v>
      </c>
    </row>
    <row r="928">
      <c r="G928" s="106"/>
      <c r="I928" s="159"/>
      <c r="K928" s="141"/>
      <c r="L928" s="136" t="s">
        <v>133</v>
      </c>
    </row>
    <row r="929">
      <c r="G929" s="106"/>
      <c r="I929" s="159"/>
      <c r="K929" s="141"/>
      <c r="L929" s="136" t="s">
        <v>133</v>
      </c>
    </row>
    <row r="930">
      <c r="G930" s="106"/>
      <c r="I930" s="159"/>
      <c r="K930" s="141"/>
      <c r="L930" s="136" t="s">
        <v>133</v>
      </c>
    </row>
    <row r="931">
      <c r="G931" s="106"/>
      <c r="I931" s="159"/>
      <c r="K931" s="141"/>
      <c r="L931" s="136" t="s">
        <v>133</v>
      </c>
    </row>
    <row r="932">
      <c r="G932" s="106"/>
      <c r="I932" s="159"/>
      <c r="K932" s="141"/>
      <c r="L932" s="136" t="s">
        <v>133</v>
      </c>
    </row>
    <row r="933">
      <c r="G933" s="106"/>
      <c r="I933" s="159"/>
      <c r="K933" s="141"/>
      <c r="L933" s="136" t="s">
        <v>133</v>
      </c>
    </row>
    <row r="934">
      <c r="G934" s="106"/>
      <c r="I934" s="159"/>
      <c r="K934" s="141"/>
      <c r="L934" s="136" t="s">
        <v>133</v>
      </c>
    </row>
    <row r="935">
      <c r="G935" s="106"/>
      <c r="I935" s="159"/>
      <c r="K935" s="141"/>
      <c r="L935" s="136" t="s">
        <v>133</v>
      </c>
    </row>
    <row r="936">
      <c r="G936" s="106"/>
      <c r="I936" s="159"/>
      <c r="K936" s="141"/>
      <c r="L936" s="136" t="s">
        <v>133</v>
      </c>
    </row>
    <row r="937">
      <c r="G937" s="106"/>
      <c r="I937" s="159"/>
      <c r="K937" s="141"/>
      <c r="L937" s="136" t="s">
        <v>133</v>
      </c>
    </row>
    <row r="938">
      <c r="G938" s="106"/>
      <c r="I938" s="159"/>
      <c r="K938" s="141"/>
      <c r="L938" s="136" t="s">
        <v>133</v>
      </c>
    </row>
    <row r="939">
      <c r="G939" s="106"/>
      <c r="I939" s="159"/>
      <c r="K939" s="141"/>
      <c r="L939" s="136" t="s">
        <v>133</v>
      </c>
    </row>
    <row r="940">
      <c r="G940" s="106"/>
      <c r="I940" s="159"/>
      <c r="K940" s="141"/>
      <c r="L940" s="136" t="s">
        <v>133</v>
      </c>
    </row>
    <row r="941">
      <c r="G941" s="106"/>
      <c r="I941" s="159"/>
      <c r="K941" s="141"/>
      <c r="L941" s="136" t="s">
        <v>133</v>
      </c>
    </row>
    <row r="942">
      <c r="G942" s="106"/>
      <c r="I942" s="159"/>
      <c r="K942" s="141"/>
      <c r="L942" s="136" t="s">
        <v>133</v>
      </c>
    </row>
    <row r="943">
      <c r="G943" s="106"/>
      <c r="I943" s="159"/>
      <c r="K943" s="141"/>
      <c r="L943" s="136" t="s">
        <v>133</v>
      </c>
    </row>
    <row r="944">
      <c r="G944" s="106"/>
      <c r="I944" s="159"/>
      <c r="K944" s="141"/>
      <c r="L944" s="136" t="s">
        <v>133</v>
      </c>
    </row>
    <row r="945">
      <c r="G945" s="106"/>
      <c r="I945" s="159"/>
      <c r="K945" s="141"/>
      <c r="L945" s="136" t="s">
        <v>133</v>
      </c>
    </row>
    <row r="946">
      <c r="G946" s="106"/>
      <c r="I946" s="159"/>
      <c r="K946" s="141"/>
      <c r="L946" s="136" t="s">
        <v>133</v>
      </c>
    </row>
    <row r="947">
      <c r="G947" s="106"/>
      <c r="I947" s="159"/>
      <c r="K947" s="141"/>
      <c r="L947" s="136" t="s">
        <v>133</v>
      </c>
    </row>
    <row r="948">
      <c r="G948" s="106"/>
      <c r="I948" s="159"/>
      <c r="K948" s="141"/>
      <c r="L948" s="136" t="s">
        <v>133</v>
      </c>
    </row>
    <row r="949">
      <c r="G949" s="106"/>
      <c r="I949" s="159"/>
      <c r="K949" s="141"/>
      <c r="L949" s="136" t="s">
        <v>133</v>
      </c>
    </row>
    <row r="950">
      <c r="G950" s="106"/>
      <c r="I950" s="159"/>
      <c r="K950" s="141"/>
      <c r="L950" s="136" t="s">
        <v>133</v>
      </c>
    </row>
    <row r="951">
      <c r="G951" s="106"/>
      <c r="I951" s="159"/>
      <c r="K951" s="141"/>
      <c r="L951" s="136" t="s">
        <v>133</v>
      </c>
    </row>
    <row r="952">
      <c r="G952" s="106"/>
      <c r="I952" s="159"/>
      <c r="K952" s="141"/>
      <c r="L952" s="136" t="s">
        <v>133</v>
      </c>
    </row>
    <row r="953">
      <c r="G953" s="106"/>
      <c r="I953" s="159"/>
      <c r="K953" s="141"/>
      <c r="L953" s="136" t="s">
        <v>133</v>
      </c>
    </row>
    <row r="954">
      <c r="G954" s="106"/>
      <c r="I954" s="159"/>
      <c r="K954" s="141"/>
      <c r="L954" s="136" t="s">
        <v>133</v>
      </c>
    </row>
    <row r="955">
      <c r="G955" s="106"/>
      <c r="I955" s="159"/>
      <c r="K955" s="141"/>
      <c r="L955" s="136" t="s">
        <v>133</v>
      </c>
    </row>
    <row r="956">
      <c r="G956" s="106"/>
      <c r="I956" s="159"/>
      <c r="K956" s="141"/>
      <c r="L956" s="136" t="s">
        <v>133</v>
      </c>
    </row>
    <row r="957">
      <c r="G957" s="106"/>
      <c r="I957" s="159"/>
      <c r="K957" s="141"/>
      <c r="L957" s="136" t="s">
        <v>133</v>
      </c>
    </row>
    <row r="958">
      <c r="G958" s="106"/>
      <c r="I958" s="159"/>
      <c r="K958" s="141"/>
      <c r="L958" s="136" t="s">
        <v>133</v>
      </c>
    </row>
    <row r="959">
      <c r="G959" s="106"/>
      <c r="I959" s="159"/>
      <c r="K959" s="141"/>
      <c r="L959" s="136" t="s">
        <v>133</v>
      </c>
    </row>
    <row r="960">
      <c r="G960" s="106"/>
      <c r="I960" s="159"/>
      <c r="K960" s="141"/>
      <c r="L960" s="136" t="s">
        <v>133</v>
      </c>
    </row>
    <row r="961">
      <c r="G961" s="106"/>
      <c r="I961" s="159"/>
      <c r="K961" s="141"/>
      <c r="L961" s="136" t="s">
        <v>133</v>
      </c>
    </row>
    <row r="962">
      <c r="G962" s="106"/>
      <c r="I962" s="159"/>
      <c r="K962" s="141"/>
      <c r="L962" s="136" t="s">
        <v>133</v>
      </c>
    </row>
    <row r="963">
      <c r="G963" s="106"/>
      <c r="I963" s="159"/>
      <c r="K963" s="141"/>
      <c r="L963" s="136" t="s">
        <v>133</v>
      </c>
    </row>
    <row r="964">
      <c r="G964" s="106"/>
      <c r="I964" s="159"/>
      <c r="K964" s="141"/>
      <c r="L964" s="136" t="s">
        <v>133</v>
      </c>
    </row>
    <row r="965">
      <c r="G965" s="106"/>
      <c r="I965" s="159"/>
      <c r="K965" s="141"/>
      <c r="L965" s="136" t="s">
        <v>133</v>
      </c>
    </row>
    <row r="966">
      <c r="G966" s="106"/>
      <c r="I966" s="159"/>
      <c r="K966" s="141"/>
      <c r="L966" s="136" t="s">
        <v>133</v>
      </c>
    </row>
    <row r="967">
      <c r="G967" s="106"/>
      <c r="I967" s="159"/>
      <c r="K967" s="141"/>
      <c r="L967" s="136" t="s">
        <v>133</v>
      </c>
    </row>
    <row r="968">
      <c r="G968" s="106"/>
      <c r="I968" s="159"/>
      <c r="K968" s="141"/>
      <c r="L968" s="136" t="s">
        <v>133</v>
      </c>
    </row>
    <row r="969">
      <c r="G969" s="106"/>
      <c r="I969" s="159"/>
      <c r="K969" s="141"/>
      <c r="L969" s="136" t="s">
        <v>133</v>
      </c>
    </row>
    <row r="970">
      <c r="G970" s="106"/>
      <c r="I970" s="159"/>
      <c r="K970" s="141"/>
      <c r="L970" s="136" t="s">
        <v>133</v>
      </c>
    </row>
    <row r="971">
      <c r="G971" s="106"/>
      <c r="I971" s="159"/>
      <c r="K971" s="141"/>
      <c r="L971" s="136" t="s">
        <v>133</v>
      </c>
    </row>
    <row r="972">
      <c r="G972" s="106"/>
      <c r="I972" s="159"/>
      <c r="K972" s="141"/>
      <c r="L972" s="136" t="s">
        <v>133</v>
      </c>
    </row>
    <row r="973">
      <c r="G973" s="106"/>
      <c r="I973" s="159"/>
      <c r="K973" s="141"/>
      <c r="L973" s="136" t="s">
        <v>133</v>
      </c>
    </row>
    <row r="974">
      <c r="G974" s="106"/>
      <c r="I974" s="159"/>
      <c r="K974" s="141"/>
      <c r="L974" s="136" t="s">
        <v>133</v>
      </c>
    </row>
    <row r="975">
      <c r="G975" s="106"/>
      <c r="I975" s="159"/>
      <c r="K975" s="141"/>
      <c r="L975" s="136" t="s">
        <v>133</v>
      </c>
    </row>
    <row r="976">
      <c r="G976" s="106"/>
      <c r="I976" s="159"/>
      <c r="K976" s="141"/>
      <c r="L976" s="136" t="s">
        <v>133</v>
      </c>
    </row>
    <row r="977">
      <c r="G977" s="106"/>
      <c r="I977" s="159"/>
      <c r="K977" s="141"/>
      <c r="L977" s="136" t="s">
        <v>133</v>
      </c>
    </row>
    <row r="978">
      <c r="G978" s="106"/>
      <c r="I978" s="159"/>
      <c r="K978" s="141"/>
      <c r="L978" s="136" t="s">
        <v>133</v>
      </c>
    </row>
    <row r="979">
      <c r="G979" s="106"/>
      <c r="I979" s="159"/>
      <c r="K979" s="141"/>
      <c r="L979" s="136" t="s">
        <v>133</v>
      </c>
    </row>
    <row r="980">
      <c r="G980" s="106"/>
      <c r="I980" s="159"/>
      <c r="K980" s="141"/>
      <c r="L980" s="136" t="s">
        <v>133</v>
      </c>
    </row>
    <row r="981">
      <c r="G981" s="106"/>
      <c r="I981" s="159"/>
      <c r="K981" s="141"/>
      <c r="L981" s="136" t="s">
        <v>133</v>
      </c>
    </row>
    <row r="982">
      <c r="G982" s="106"/>
      <c r="I982" s="159"/>
      <c r="K982" s="141"/>
      <c r="L982" s="136" t="s">
        <v>133</v>
      </c>
    </row>
    <row r="983">
      <c r="G983" s="106"/>
      <c r="I983" s="159"/>
      <c r="K983" s="141"/>
      <c r="L983" s="136" t="s">
        <v>133</v>
      </c>
    </row>
    <row r="984">
      <c r="G984" s="106"/>
      <c r="I984" s="159"/>
      <c r="K984" s="141"/>
      <c r="L984" s="136" t="s">
        <v>133</v>
      </c>
    </row>
    <row r="985">
      <c r="G985" s="106"/>
      <c r="I985" s="159"/>
      <c r="K985" s="141"/>
      <c r="L985" s="136" t="s">
        <v>133</v>
      </c>
    </row>
    <row r="986">
      <c r="G986" s="106"/>
      <c r="I986" s="159"/>
      <c r="K986" s="141"/>
      <c r="L986" s="136" t="s">
        <v>133</v>
      </c>
    </row>
    <row r="987">
      <c r="G987" s="106"/>
      <c r="I987" s="159"/>
      <c r="K987" s="141"/>
      <c r="L987" s="136" t="s">
        <v>133</v>
      </c>
    </row>
    <row r="988">
      <c r="G988" s="106"/>
      <c r="I988" s="159"/>
      <c r="K988" s="141"/>
      <c r="L988" s="136" t="s">
        <v>133</v>
      </c>
    </row>
    <row r="989">
      <c r="G989" s="106"/>
      <c r="I989" s="159"/>
      <c r="K989" s="141"/>
      <c r="L989" s="136" t="s">
        <v>133</v>
      </c>
    </row>
    <row r="990">
      <c r="G990" s="106"/>
      <c r="I990" s="159"/>
      <c r="K990" s="141"/>
      <c r="L990" s="136" t="s">
        <v>133</v>
      </c>
    </row>
    <row r="991">
      <c r="G991" s="106"/>
      <c r="I991" s="159"/>
      <c r="K991" s="141"/>
      <c r="L991" s="136" t="s">
        <v>133</v>
      </c>
    </row>
    <row r="992">
      <c r="G992" s="106"/>
      <c r="I992" s="159"/>
      <c r="K992" s="141"/>
      <c r="L992" s="136" t="s">
        <v>133</v>
      </c>
    </row>
    <row r="993">
      <c r="G993" s="106"/>
      <c r="I993" s="159"/>
      <c r="K993" s="141"/>
      <c r="L993" s="136" t="s">
        <v>133</v>
      </c>
    </row>
    <row r="994">
      <c r="G994" s="106"/>
      <c r="I994" s="159"/>
      <c r="K994" s="141"/>
      <c r="L994" s="136" t="s">
        <v>133</v>
      </c>
    </row>
    <row r="995">
      <c r="G995" s="106"/>
      <c r="I995" s="159"/>
      <c r="K995" s="141"/>
      <c r="L995" s="136" t="s">
        <v>133</v>
      </c>
    </row>
    <row r="996">
      <c r="G996" s="106"/>
      <c r="I996" s="159"/>
      <c r="K996" s="141"/>
      <c r="L996" s="136" t="s">
        <v>133</v>
      </c>
    </row>
    <row r="997">
      <c r="G997" s="106"/>
      <c r="I997" s="159"/>
      <c r="K997" s="141"/>
      <c r="L997" s="136" t="s">
        <v>133</v>
      </c>
    </row>
    <row r="998">
      <c r="G998" s="106"/>
      <c r="I998" s="159"/>
      <c r="K998" s="141"/>
      <c r="L998" s="136" t="s">
        <v>133</v>
      </c>
    </row>
    <row r="999">
      <c r="G999" s="106"/>
      <c r="I999" s="159"/>
      <c r="K999" s="141"/>
      <c r="L999" s="136" t="s">
        <v>133</v>
      </c>
    </row>
    <row r="1000">
      <c r="G1000" s="106"/>
      <c r="I1000" s="159"/>
      <c r="K1000" s="141"/>
      <c r="L1000" s="136" t="s">
        <v>133</v>
      </c>
    </row>
  </sheetData>
  <mergeCells count="8">
    <mergeCell ref="O2:P2"/>
    <mergeCell ref="P10:U10"/>
    <mergeCell ref="N12:U12"/>
    <mergeCell ref="N13:N14"/>
    <mergeCell ref="N15:N18"/>
    <mergeCell ref="N19:U19"/>
    <mergeCell ref="N20:N21"/>
    <mergeCell ref="N22:N25"/>
  </mergeCells>
  <conditionalFormatting sqref="I3:I1000">
    <cfRule type="colorScale" priority="1">
      <colorScale>
        <cfvo type="min"/>
        <cfvo type="percentile" val="50"/>
        <cfvo type="max"/>
        <color rgb="FFF4CCCC"/>
        <color rgb="FFFFFFFF"/>
        <color rgb="FF34A853"/>
      </colorScale>
    </cfRule>
  </conditionalFormatting>
  <conditionalFormatting sqref="K3:K1000">
    <cfRule type="colorScale" priority="2">
      <colorScale>
        <cfvo type="min"/>
        <cfvo type="percentile" val="50"/>
        <cfvo type="max"/>
        <color rgb="FFFFFFFF"/>
        <color rgb="FF9AD4A9"/>
        <color rgb="FF34A853"/>
      </colorScale>
    </cfRule>
  </conditionalFormatting>
  <conditionalFormatting sqref="G1:G1000">
    <cfRule type="cellIs" dxfId="20" priority="3" operator="lessThan">
      <formula>0</formula>
    </cfRule>
  </conditionalFormatting>
  <conditionalFormatting sqref="G1:G1000">
    <cfRule type="cellIs" dxfId="20" priority="4" operator="greaterThan">
      <formula>0.25</formula>
    </cfRule>
  </conditionalFormatting>
  <conditionalFormatting sqref="P13:U18 P20:U25">
    <cfRule type="cellIs" dxfId="21" priority="5" operator="equal">
      <formula>"N/A"</formula>
    </cfRule>
  </conditionalFormatting>
  <conditionalFormatting sqref="P13:U18 P20:U25">
    <cfRule type="cellIs" dxfId="21" priority="6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6">
      <c r="A6" s="201" t="s">
        <v>151</v>
      </c>
      <c r="B6" s="201"/>
      <c r="C6" s="201"/>
      <c r="D6" s="201"/>
      <c r="E6" s="201"/>
      <c r="F6" s="201"/>
      <c r="G6" s="202" t="s">
        <v>151</v>
      </c>
      <c r="H6" s="203"/>
      <c r="I6" s="202"/>
      <c r="J6" s="204"/>
      <c r="K6" s="203"/>
      <c r="L6" s="202"/>
      <c r="M6" s="205" t="s">
        <v>151</v>
      </c>
      <c r="N6" s="206"/>
      <c r="O6" s="206"/>
      <c r="P6" s="207"/>
      <c r="Q6" s="206"/>
      <c r="R6" s="208"/>
      <c r="S6" s="209" t="s">
        <v>151</v>
      </c>
      <c r="T6" s="210"/>
      <c r="U6" s="209"/>
      <c r="V6" s="209"/>
      <c r="W6" s="209"/>
      <c r="X6" s="209"/>
      <c r="Y6" s="211" t="s">
        <v>151</v>
      </c>
      <c r="Z6" s="212"/>
      <c r="AA6" s="212"/>
      <c r="AB6" s="212"/>
      <c r="AC6" s="212"/>
      <c r="AD6" s="212"/>
      <c r="AE6" s="212"/>
    </row>
    <row r="7">
      <c r="A7" s="2" t="s">
        <v>152</v>
      </c>
      <c r="B7" s="2"/>
      <c r="C7" s="2"/>
      <c r="D7" s="2" t="s">
        <v>153</v>
      </c>
      <c r="E7" s="2"/>
      <c r="F7" s="2"/>
      <c r="G7" s="2" t="s">
        <v>154</v>
      </c>
      <c r="H7" s="25"/>
      <c r="I7" s="2"/>
      <c r="J7" s="2" t="s">
        <v>155</v>
      </c>
      <c r="K7" s="25"/>
      <c r="L7" s="2"/>
      <c r="M7" s="2" t="s">
        <v>156</v>
      </c>
      <c r="N7" s="25"/>
      <c r="O7" s="2"/>
      <c r="P7" s="2" t="s">
        <v>157</v>
      </c>
      <c r="Q7" s="25"/>
      <c r="R7" s="2"/>
      <c r="S7" s="2" t="s">
        <v>158</v>
      </c>
      <c r="T7" s="2"/>
      <c r="U7" s="2"/>
      <c r="V7" s="2" t="s">
        <v>159</v>
      </c>
      <c r="W7" s="25"/>
      <c r="X7" s="2"/>
      <c r="Y7" s="2" t="s">
        <v>160</v>
      </c>
      <c r="Z7" s="2"/>
      <c r="AA7" s="2"/>
      <c r="AB7" s="2" t="s">
        <v>161</v>
      </c>
      <c r="AC7" s="2"/>
      <c r="AD7" s="2"/>
      <c r="AE7" s="2"/>
    </row>
    <row r="8">
      <c r="A8" s="213">
        <f>sum(F:F)</f>
        <v>3143</v>
      </c>
      <c r="B8" s="2" t="str">
        <f>"/ " &amp; TEXT('Master Sheet'!I4, "0,000")</f>
        <v>/ 34,009</v>
      </c>
      <c r="C8" s="2" t="s">
        <v>162</v>
      </c>
      <c r="D8" s="214">
        <f>AVERAGE(F:F)</f>
        <v>46.91044776</v>
      </c>
      <c r="E8" s="2" t="str">
        <f>"/ " &amp; TEXT('Master Sheet'!I5, "0.00")</f>
        <v>/ 507.60</v>
      </c>
      <c r="F8" s="2" t="s">
        <v>163</v>
      </c>
      <c r="G8" s="213">
        <f>SUM(I97:I1585)</f>
        <v>2663</v>
      </c>
      <c r="H8" s="2" t="str">
        <f>"/ " &amp; TEXT('Master Sheet'!I4, "0,000")</f>
        <v>/ 34,009</v>
      </c>
      <c r="I8" s="2" t="s">
        <v>162</v>
      </c>
      <c r="J8" s="214">
        <f>AVERAGE(I97:I1585)</f>
        <v>39.74626866</v>
      </c>
      <c r="K8" s="2" t="str">
        <f>"/ " &amp; TEXT('Master Sheet'!I5, "0.00")</f>
        <v>/ 507.60</v>
      </c>
      <c r="L8" s="2" t="s">
        <v>163</v>
      </c>
      <c r="M8" s="213">
        <f>sum(L97:L1585)</f>
        <v>12384</v>
      </c>
      <c r="N8" s="2" t="str">
        <f>"/ " &amp; TEXT('Master Sheet'!I4, "0,000")</f>
        <v>/ 34,009</v>
      </c>
      <c r="O8" s="2" t="s">
        <v>162</v>
      </c>
      <c r="P8" s="214">
        <f>average(L:L)</f>
        <v>184.8358209</v>
      </c>
      <c r="Q8" s="2" t="str">
        <f>"/ " &amp; TEXT('Master Sheet'!I5, "0.00")</f>
        <v>/ 507.60</v>
      </c>
      <c r="R8" s="2" t="s">
        <v>163</v>
      </c>
      <c r="S8" s="213">
        <f>sum(O:O)</f>
        <v>0</v>
      </c>
      <c r="T8" s="2" t="str">
        <f>"/ " &amp; TEXT('Master Sheet'!I4, "0,000")</f>
        <v>/ 34,009</v>
      </c>
      <c r="U8" s="2" t="s">
        <v>162</v>
      </c>
      <c r="V8" s="214">
        <f>average(O:O)</f>
        <v>0</v>
      </c>
      <c r="W8" s="2" t="str">
        <f>"/ " &amp; TEXT('Master Sheet'!I5, "0.00")</f>
        <v>/ 507.60</v>
      </c>
      <c r="X8" s="2" t="s">
        <v>163</v>
      </c>
      <c r="Y8" s="213">
        <f>sum(R:R)</f>
        <v>15819</v>
      </c>
      <c r="Z8" s="2" t="str">
        <f>"/ " &amp; TEXT('Master Sheet'!I4, "0,000")</f>
        <v>/ 34,009</v>
      </c>
      <c r="AA8" s="2" t="s">
        <v>162</v>
      </c>
      <c r="AB8" s="214">
        <f>average(R:R)</f>
        <v>236.1044776</v>
      </c>
      <c r="AC8" s="2" t="str">
        <f>"/ " &amp; TEXT('Master Sheet'!I5, "0.00")</f>
        <v>/ 507.60</v>
      </c>
      <c r="AD8" s="2" t="s">
        <v>163</v>
      </c>
      <c r="AE8" s="2"/>
    </row>
    <row r="9">
      <c r="A9" s="215">
        <f>A8/'Master Sheet'!I4</f>
        <v>0.09241671322</v>
      </c>
      <c r="B9" s="2"/>
      <c r="C9" s="2"/>
      <c r="D9" s="75"/>
      <c r="E9" s="2"/>
      <c r="F9" s="2"/>
      <c r="G9" s="216">
        <f>G8/'Master Sheet'!I4</f>
        <v>0.0783028022</v>
      </c>
      <c r="H9" s="25"/>
      <c r="I9" s="2"/>
      <c r="J9" s="75"/>
      <c r="K9" s="2"/>
      <c r="L9" s="2"/>
      <c r="M9" s="217">
        <f>M8/'Master Sheet'!I4</f>
        <v>0.3641389044</v>
      </c>
      <c r="N9" s="25"/>
      <c r="O9" s="2"/>
      <c r="P9" s="75"/>
      <c r="Q9" s="2"/>
      <c r="R9" s="2"/>
      <c r="S9" s="218">
        <f>S8/'Master Sheet'!I4</f>
        <v>0</v>
      </c>
      <c r="T9" s="2"/>
      <c r="U9" s="2"/>
      <c r="V9" s="75"/>
      <c r="W9" s="2"/>
      <c r="X9" s="2"/>
      <c r="Y9" s="219">
        <f>Y8/'Master Sheet'!I4</f>
        <v>0.4651415802</v>
      </c>
      <c r="Z9" s="2"/>
      <c r="AA9" s="2"/>
      <c r="AB9" s="75"/>
      <c r="AC9" s="2"/>
      <c r="AD9" s="2"/>
      <c r="AE9" s="2"/>
    </row>
    <row r="28">
      <c r="A28" s="201" t="s">
        <v>164</v>
      </c>
      <c r="B28" s="201"/>
      <c r="C28" s="201"/>
      <c r="D28" s="201"/>
      <c r="E28" s="201"/>
      <c r="F28" s="201"/>
      <c r="G28" s="202" t="s">
        <v>164</v>
      </c>
      <c r="H28" s="203"/>
      <c r="I28" s="202"/>
      <c r="J28" s="204"/>
      <c r="K28" s="203"/>
      <c r="L28" s="202"/>
      <c r="M28" s="205" t="s">
        <v>164</v>
      </c>
      <c r="N28" s="206"/>
      <c r="O28" s="206"/>
      <c r="P28" s="207"/>
      <c r="Q28" s="206"/>
      <c r="R28" s="208"/>
      <c r="S28" s="209" t="s">
        <v>164</v>
      </c>
      <c r="T28" s="210"/>
      <c r="U28" s="209"/>
      <c r="V28" s="209"/>
      <c r="W28" s="209"/>
      <c r="X28" s="209"/>
      <c r="Y28" s="211" t="s">
        <v>164</v>
      </c>
      <c r="Z28" s="212"/>
      <c r="AA28" s="212"/>
      <c r="AB28" s="212"/>
      <c r="AC28" s="212"/>
      <c r="AD28" s="212"/>
      <c r="AE28" s="2"/>
    </row>
    <row r="29">
      <c r="A29" s="2" t="s">
        <v>165</v>
      </c>
      <c r="B29" s="2"/>
      <c r="C29" s="2"/>
      <c r="D29" s="2" t="s">
        <v>166</v>
      </c>
      <c r="E29" s="2"/>
      <c r="F29" s="2"/>
      <c r="G29" s="2" t="s">
        <v>167</v>
      </c>
      <c r="H29" s="25"/>
      <c r="I29" s="2"/>
      <c r="J29" s="2" t="s">
        <v>166</v>
      </c>
      <c r="K29" s="25"/>
      <c r="L29" s="2"/>
      <c r="M29" s="2" t="s">
        <v>168</v>
      </c>
      <c r="N29" s="25"/>
      <c r="O29" s="2"/>
      <c r="P29" s="2" t="s">
        <v>166</v>
      </c>
      <c r="Q29" s="25"/>
      <c r="R29" s="2"/>
      <c r="S29" s="2" t="s">
        <v>169</v>
      </c>
      <c r="T29" s="25"/>
      <c r="U29" s="2"/>
      <c r="V29" s="2" t="s">
        <v>166</v>
      </c>
      <c r="W29" s="2"/>
      <c r="X29" s="2"/>
      <c r="Y29" s="2" t="s">
        <v>170</v>
      </c>
      <c r="Z29" s="2"/>
      <c r="AA29" s="2"/>
      <c r="AB29" s="2" t="s">
        <v>166</v>
      </c>
      <c r="AC29" s="2"/>
      <c r="AD29" s="2"/>
      <c r="AE29" s="2"/>
    </row>
    <row r="30">
      <c r="A30" s="214">
        <f>AVERAGEIF('Bulk Data'!J4:J1585,"Breakfast",'Bulk Data'!I4:I1585)</f>
        <v>32.79478524</v>
      </c>
      <c r="B30" s="2" t="str">
        <f>"/ " &amp; TEXT(average('Bulk Data'!X4:X1585), "0.00")</f>
        <v>/ 51.30</v>
      </c>
      <c r="C30" s="2" t="s">
        <v>171</v>
      </c>
      <c r="D30" s="2"/>
      <c r="E30" s="2"/>
      <c r="F30" s="2"/>
      <c r="G30" s="214">
        <f>AVERAGEIF('Bulk Data'!J4:J1585,"Breakfast/Lunch",'Bulk Data'!I4:I1585)</f>
        <v>58.35981246</v>
      </c>
      <c r="H30" s="2" t="str">
        <f>"/ " &amp; TEXT(average('Bulk Data'!X4:X1585), "0.00")</f>
        <v>/ 51.30</v>
      </c>
      <c r="I30" s="2" t="s">
        <v>171</v>
      </c>
      <c r="J30" s="155"/>
      <c r="K30" s="25"/>
      <c r="L30" s="2"/>
      <c r="M30" s="214">
        <f>AVERAGEIF('Bulk Data'!J4:J1585,"Lunch",'Bulk Data'!I4:I1585)</f>
        <v>50.66406897</v>
      </c>
      <c r="N30" s="2" t="str">
        <f>"/ " &amp; TEXT(average('Bulk Data'!X4:X1585), "0.00")</f>
        <v>/ 51.30</v>
      </c>
      <c r="O30" s="2" t="s">
        <v>171</v>
      </c>
      <c r="P30" s="155"/>
      <c r="Q30" s="2"/>
      <c r="R30" s="2"/>
      <c r="S30" s="214" t="str">
        <f>AVERAGEIF('Bulk Data'!J4:J1585,"Lunch/Dinner",'Bulk Data'!I4:I1585)</f>
        <v>#DIV/0!</v>
      </c>
      <c r="T30" s="2" t="str">
        <f>"/ " &amp; TEXT(average('Bulk Data'!X4:X1585), "0.00")</f>
        <v>/ 51.30</v>
      </c>
      <c r="U30" s="2" t="s">
        <v>171</v>
      </c>
      <c r="V30" s="2"/>
      <c r="W30" s="2"/>
      <c r="X30" s="2"/>
      <c r="Y30" s="214">
        <f>AVERAGEIF('Bulk Data'!J4:J1585,"Dinner",'Bulk Data'!I4:I1585)</f>
        <v>56.14742314</v>
      </c>
      <c r="Z30" s="2" t="str">
        <f>"/ " &amp; TEXT(average('Bulk Data'!X4:X1585), "0.00")</f>
        <v>/ 51.30</v>
      </c>
      <c r="AA30" s="2" t="s">
        <v>171</v>
      </c>
      <c r="AB30" s="2"/>
      <c r="AC30" s="2"/>
      <c r="AD30" s="2"/>
      <c r="AE30" s="2" t="s">
        <v>172</v>
      </c>
    </row>
    <row r="31">
      <c r="A31" s="220">
        <f>A30/average('Bulk Data'!X4:X1585)</f>
        <v>0.639305273</v>
      </c>
      <c r="B31" s="2"/>
      <c r="C31" s="2"/>
      <c r="D31" s="221">
        <f>iferror(AVERAGEIFs('Bulk Data'!I4:I1585,'Bulk Data'!J4:J1585,"Breakfast",'Bulk Data'!M4:M1585,"MF"),"0")</f>
        <v>3.101311723</v>
      </c>
      <c r="E31" s="222">
        <f>iferror(AVERAGEIFs('Bulk Data'!I4:I1585,'Bulk Data'!J4:J1585,"Breakfast",'Bulk Data'!M4:M1585,"BF"),"0")</f>
        <v>34.17587703</v>
      </c>
      <c r="F31" s="2"/>
      <c r="G31" s="220">
        <f>G30/average('Bulk Data'!X4:X1585)</f>
        <v>1.137672821</v>
      </c>
      <c r="H31" s="25"/>
      <c r="I31" s="2"/>
      <c r="J31" s="221" t="str">
        <f>iferror(AVERAGEIFs('Bulk Data'!I4:I1585,'Bulk Data'!J4:J1585,"Breakfast/Lunch",'Bulk Data'!M4:M1585,"MF"),"0")</f>
        <v>0</v>
      </c>
      <c r="K31" s="222">
        <f>iferror(AVERAGEIFs('Bulk Data'!I4:I1585,'Bulk Data'!J4:J1585,"Breakfast/Lunch",'Bulk Data'!M4:M1585,"BF"),"0")</f>
        <v>58.35981246</v>
      </c>
      <c r="L31" s="2"/>
      <c r="M31" s="220">
        <f>M30/average('Bulk Data'!X4:X1585)</f>
        <v>0.9876511224</v>
      </c>
      <c r="N31" s="25"/>
      <c r="O31" s="25"/>
      <c r="P31" s="223">
        <f>iferror(AVERAGEIFs('Bulk Data'!I4:I1585,'Bulk Data'!J4:J1585,"Lunch",'Bulk Data'!M4:M1585,"MF"),"0")</f>
        <v>60.61647952</v>
      </c>
      <c r="Q31" s="222">
        <f>iferror(AVERAGEIFs('Bulk Data'!I4:I1585,'Bulk Data'!J4:J1585,"Lunch",'Bulk Data'!M4:M1585,"BF"),"0")</f>
        <v>37.22831473</v>
      </c>
      <c r="R31" s="2"/>
      <c r="S31" s="220" t="str">
        <f>S30/average('Bulk Data'!X4:X1585)</f>
        <v>#DIV/0!</v>
      </c>
      <c r="T31" s="25"/>
      <c r="U31" s="2"/>
      <c r="V31" s="223" t="str">
        <f>iferror(AVERAGEIFs('Bulk Data'!I4:I1585,'Bulk Data'!J4:J1585,"Lunch/Dinner",'Bulk Data'!M4:M1585,"MF"),"0")</f>
        <v>0</v>
      </c>
      <c r="W31" s="222" t="str">
        <f>iferror(AVERAGEIFs('Bulk Data'!I4:I1585,'Bulk Data'!J4:J1585,"Lunch/Dinner",'Bulk Data'!M4:M1585,"BF"),"0")</f>
        <v>0</v>
      </c>
      <c r="X31" s="2"/>
      <c r="Y31" s="220">
        <f>Y30/average('Bulk Data'!X4:X1585)</f>
        <v>1.094544252</v>
      </c>
      <c r="Z31" s="2"/>
      <c r="AA31" s="2"/>
      <c r="AB31" s="223">
        <f>iferror(AVERAGEIFs('Bulk Data'!I4:I1585,'Bulk Data'!J4:J1585,"Dinner",'Bulk Data'!M4:M1585,"MF"),"0")</f>
        <v>59.2644796</v>
      </c>
      <c r="AC31" s="222">
        <f>iferror(AVERAGEIFs('Bulk Data'!I4:I1585,'Bulk Data'!J4:J1585,"Dinner",'Bulk Data'!M4:M1585,"BF"),"0")</f>
        <v>48.74441403</v>
      </c>
      <c r="AD31" s="2"/>
      <c r="AE31" s="78" t="str">
        <f>average(Y31,S31,M31,G31,A31)</f>
        <v>#DIV/0!</v>
      </c>
    </row>
    <row r="50">
      <c r="A50" s="201" t="s">
        <v>173</v>
      </c>
      <c r="B50" s="201"/>
      <c r="C50" s="201"/>
      <c r="D50" s="201"/>
      <c r="E50" s="201"/>
      <c r="F50" s="201"/>
      <c r="G50" s="202" t="s">
        <v>173</v>
      </c>
      <c r="H50" s="203"/>
      <c r="I50" s="202"/>
      <c r="J50" s="204"/>
      <c r="K50" s="203"/>
      <c r="L50" s="202"/>
      <c r="M50" s="205" t="s">
        <v>173</v>
      </c>
      <c r="N50" s="206"/>
      <c r="O50" s="206"/>
      <c r="P50" s="207"/>
      <c r="Q50" s="206"/>
      <c r="R50" s="208"/>
      <c r="S50" s="209" t="s">
        <v>173</v>
      </c>
      <c r="T50" s="210"/>
      <c r="U50" s="209"/>
      <c r="V50" s="209"/>
      <c r="W50" s="209"/>
      <c r="X50" s="209"/>
      <c r="Y50" s="211" t="s">
        <v>173</v>
      </c>
      <c r="Z50" s="212"/>
      <c r="AA50" s="212"/>
      <c r="AB50" s="212"/>
      <c r="AC50" s="212"/>
      <c r="AD50" s="212"/>
    </row>
    <row r="51">
      <c r="A51" s="2" t="s">
        <v>174</v>
      </c>
      <c r="B51" s="2"/>
      <c r="C51" s="2"/>
      <c r="D51" s="2" t="s">
        <v>175</v>
      </c>
      <c r="E51" s="2"/>
      <c r="F51" s="2" t="s">
        <v>166</v>
      </c>
      <c r="G51" s="2" t="s">
        <v>176</v>
      </c>
      <c r="H51" s="2"/>
      <c r="I51" s="2"/>
      <c r="J51" s="2" t="s">
        <v>177</v>
      </c>
      <c r="K51" s="2"/>
      <c r="L51" s="2" t="s">
        <v>166</v>
      </c>
      <c r="M51" s="2" t="s">
        <v>178</v>
      </c>
      <c r="N51" s="2"/>
      <c r="O51" s="2"/>
      <c r="P51" s="2" t="s">
        <v>179</v>
      </c>
      <c r="Q51" s="2"/>
      <c r="R51" s="2" t="s">
        <v>166</v>
      </c>
      <c r="S51" s="2" t="s">
        <v>180</v>
      </c>
      <c r="T51" s="2"/>
      <c r="U51" s="2"/>
      <c r="V51" s="2" t="s">
        <v>181</v>
      </c>
      <c r="W51" s="2"/>
      <c r="X51" s="2" t="s">
        <v>166</v>
      </c>
      <c r="Y51" s="2" t="s">
        <v>182</v>
      </c>
      <c r="Z51" s="2"/>
      <c r="AA51" s="2"/>
      <c r="AB51" s="2" t="s">
        <v>183</v>
      </c>
      <c r="AC51" s="2"/>
      <c r="AD51" s="2" t="s">
        <v>166</v>
      </c>
    </row>
    <row r="52">
      <c r="A52" s="214">
        <f>SUM(G100:G1585)*24</f>
        <v>77.61666667</v>
      </c>
      <c r="B52" s="2" t="str">
        <f>"/ " &amp; TEXT('Master Sheet'!I8, "0.00")</f>
        <v>/ 672.98</v>
      </c>
      <c r="C52" s="2" t="s">
        <v>184</v>
      </c>
      <c r="D52" s="214">
        <f>average(G96:G1585)*24</f>
        <v>1.158457711</v>
      </c>
      <c r="E52" s="155" t="str">
        <f>"/ " &amp; TEXT('Master Sheet'!I9 * 24, "0.00")</f>
        <v>/ 10.04</v>
      </c>
      <c r="F52" s="2" t="s">
        <v>184</v>
      </c>
      <c r="G52" s="214">
        <f>SUM(J96:J1585)*24</f>
        <v>49.23333333</v>
      </c>
      <c r="H52" s="2" t="str">
        <f>"/ " &amp; TEXT('Master Sheet'!I8, "0.00")</f>
        <v>/ 672.98</v>
      </c>
      <c r="I52" s="2" t="s">
        <v>184</v>
      </c>
      <c r="J52" s="214">
        <f>AVERAGE(J96:J1585)*24</f>
        <v>0.7348258706</v>
      </c>
      <c r="K52" s="155" t="str">
        <f>"/ " &amp; TEXT('Master Sheet'!I9 * 24, "0.00")</f>
        <v>/ 10.04</v>
      </c>
      <c r="L52" s="2" t="s">
        <v>184</v>
      </c>
      <c r="M52" s="214">
        <f>SUM(M96:M1585)*24</f>
        <v>246.1333333</v>
      </c>
      <c r="N52" s="25" t="str">
        <f>"/ " &amp; TEXT('Master Sheet'!I8, "0.00")</f>
        <v>/ 672.98</v>
      </c>
      <c r="O52" s="2" t="s">
        <v>184</v>
      </c>
      <c r="P52" s="214">
        <f>AVERAGE(M96:M1585)*24</f>
        <v>3.673631841</v>
      </c>
      <c r="Q52" s="155" t="str">
        <f>"/ " &amp; TEXT('Master Sheet'!I9 * 24, "0.00")</f>
        <v>/ 10.04</v>
      </c>
      <c r="R52" s="2" t="s">
        <v>184</v>
      </c>
      <c r="S52" s="214">
        <f>SUM(P96:P1585)*24</f>
        <v>0</v>
      </c>
      <c r="T52" s="25" t="str">
        <f>"/ " &amp; TEXT('Master Sheet'!I8, "0.00")</f>
        <v>/ 672.98</v>
      </c>
      <c r="U52" s="2" t="s">
        <v>184</v>
      </c>
      <c r="V52" s="214">
        <f>AVERAGE(P96:P1585)*24</f>
        <v>0</v>
      </c>
      <c r="W52" s="155" t="str">
        <f>"/ " &amp; TEXT('Master Sheet'!I9 * 24, "0.00")</f>
        <v>/ 10.04</v>
      </c>
      <c r="X52" s="2" t="s">
        <v>184</v>
      </c>
      <c r="Y52" s="214">
        <f>SUM(S96:S1585)*24</f>
        <v>300</v>
      </c>
      <c r="Z52" s="2" t="str">
        <f>"/ " &amp; TEXT('Master Sheet'!I8, "0.00")</f>
        <v>/ 672.98</v>
      </c>
      <c r="AA52" s="2" t="s">
        <v>184</v>
      </c>
      <c r="AB52" s="214">
        <f>AVERAGE(S96:S1585)*24</f>
        <v>4.47761194</v>
      </c>
      <c r="AC52" s="155" t="str">
        <f>"/ " &amp; TEXT('Master Sheet'!I9 * 24, "0.00")</f>
        <v>/ 10.04</v>
      </c>
      <c r="AD52" s="2" t="s">
        <v>184</v>
      </c>
    </row>
    <row r="53">
      <c r="A53" s="215">
        <f>A52/'Master Sheet'!I8</f>
        <v>0.1153322271</v>
      </c>
      <c r="B53" s="2"/>
      <c r="C53" s="2"/>
      <c r="D53" s="75"/>
      <c r="E53" s="2"/>
      <c r="F53" s="2"/>
      <c r="G53" s="216">
        <f>G52/'Master Sheet'!I8</f>
        <v>0.07315683895</v>
      </c>
      <c r="H53" s="25"/>
      <c r="I53" s="2"/>
      <c r="J53" s="75"/>
      <c r="K53" s="25"/>
      <c r="L53" s="2"/>
      <c r="M53" s="224">
        <f>M52/'Master Sheet'!I8</f>
        <v>0.3657346641</v>
      </c>
      <c r="N53" s="25"/>
      <c r="O53" s="25"/>
      <c r="P53" s="75"/>
      <c r="Q53" s="25"/>
      <c r="R53" s="2"/>
      <c r="S53" s="218">
        <f>S52/'Master Sheet'!I8</f>
        <v>0</v>
      </c>
      <c r="T53" s="25"/>
      <c r="U53" s="2"/>
      <c r="V53" s="75"/>
      <c r="W53" s="2"/>
      <c r="X53" s="2"/>
      <c r="Y53" s="219">
        <f>Y52/'Master Sheet'!I8</f>
        <v>0.4457762698</v>
      </c>
      <c r="Z53" s="2"/>
      <c r="AA53" s="2"/>
      <c r="AB53" s="75"/>
      <c r="AC53" s="2"/>
      <c r="AD53" s="2"/>
    </row>
    <row r="100">
      <c r="A100" s="225" t="str">
        <f t="array" ref="A100:D1099">'Bulk Data'!J2:M1001</f>
        <v>Period</v>
      </c>
      <c r="B100" s="225" t="s">
        <v>114</v>
      </c>
      <c r="C100" s="225" t="s">
        <v>115</v>
      </c>
      <c r="D100" s="225" t="s">
        <v>116</v>
      </c>
      <c r="E100" s="225" t="str">
        <f t="array" ref="E100:E1099">'Bulk Data'!E2:E1585</f>
        <v>hours worked</v>
      </c>
      <c r="F100" s="226" t="s">
        <v>185</v>
      </c>
      <c r="G100" s="227" t="s">
        <v>186</v>
      </c>
      <c r="H100" s="228" t="s">
        <v>171</v>
      </c>
      <c r="I100" s="229" t="s">
        <v>187</v>
      </c>
      <c r="J100" s="227" t="s">
        <v>188</v>
      </c>
      <c r="K100" s="228" t="s">
        <v>171</v>
      </c>
      <c r="L100" s="230" t="s">
        <v>189</v>
      </c>
      <c r="M100" s="227" t="s">
        <v>190</v>
      </c>
      <c r="N100" s="228" t="s">
        <v>171</v>
      </c>
      <c r="O100" s="231" t="s">
        <v>191</v>
      </c>
      <c r="P100" s="227" t="s">
        <v>192</v>
      </c>
      <c r="Q100" s="228" t="s">
        <v>171</v>
      </c>
      <c r="R100" s="232" t="s">
        <v>193</v>
      </c>
      <c r="S100" s="227" t="s">
        <v>194</v>
      </c>
      <c r="T100" s="228" t="s">
        <v>171</v>
      </c>
    </row>
    <row r="101">
      <c r="A101" s="136"/>
      <c r="B101" s="146">
        <v>46041.0</v>
      </c>
      <c r="C101" s="136" t="s">
        <v>37</v>
      </c>
      <c r="D101" s="136"/>
      <c r="E101" s="106"/>
      <c r="F101" s="136">
        <f>IFERROR(__xludf.DUMMYFUNCTION("BYROW('Bulk Data'!K4:K992, LAMBDA(r,
  IF(r="""","""",
    LET(
      nextVal, IFERROR(INDEX('Bulk Data'!K4:K992, ROW(r)-ROW('Bulk Data'!K4)+2), """"),
      IF(r &lt;&gt; nextVal,
         IFERROR(
           SUM(FILTER('Bulk Data'!H4:H992, 'Bulk Data'!K4:K992"&amp;" = r, 'Bulk Data'!J4:J992 = ""Breakfast"")),
           0
         ),
         """"
      )
    )
  )
))"),0.0)</f>
        <v>0</v>
      </c>
      <c r="G101" s="106">
        <f>IFERROR(__xludf.DUMMYFUNCTION("BYROW('Bulk Data'!K4:K988, LAMBDA(r,
  IF(r="""","""",
    LET(
      nextVal, IFERROR(INDEX('Bulk Data'!K4:K988, ROW(r)-ROW('Bulk Data'!K4)+2), """"),
      IF(r &lt;&gt; nextVal,
         IFERROR(
           SUM(FILTER('Bulk Data'!E4:E988, 'Bulk Data'!K4:K988"&amp;" = r, 'Bulk Data'!J4:J988 = ""Breakfast"")),
           0
         ),
         """"
      )
    )
  )
))"),0.0)</f>
        <v>0</v>
      </c>
      <c r="H101" s="233" t="str">
        <f t="shared" ref="H101:H133" si="1">if(ISNUMBER(F101),IFERROR(F101/(G101*24),""),"")</f>
        <v/>
      </c>
      <c r="I101" s="136">
        <f>IFERROR(__xludf.DUMMYFUNCTION("BYROW('Bulk Data'!K4:K988, LAMBDA(r,
  IF(r="""","""",
    LET(
      nextVal, IFERROR(INDEX('Bulk Data'!K4:K988, ROW(r)-ROW('Bulk Data'!K4)+2), """"),
      IF(r &lt;&gt; nextVal,
         IFERROR(
           SUM(FILTER('Bulk Data'!H4:H988, 'Bulk Data'!K4:K988"&amp;" = r, 'Bulk Data'!J4:J988 = ""Breakfast/Lunch"")),
           0
         ),
         """"
      )
    )
  )
))"),0.0)</f>
        <v>0</v>
      </c>
      <c r="J101" s="106">
        <f>IFERROR(__xludf.DUMMYFUNCTION("BYROW('Bulk Data'!K4:K988, LAMBDA(r,
  IF(r="""","""",
    LET(
      nextVal, IFERROR(INDEX('Bulk Data'!K4:K988, ROW(r)-ROW('Bulk Data'!K4)+2), """"),
      IF(r &lt;&gt; nextVal,
         IFERROR(
           SUM(FILTER('Bulk Data'!E4:E988, 'Bulk Data'!K4:K988"&amp;" = r, 'Bulk Data'!J4:J988 = ""Breakfast/Lunch"")),
           0
         ),
         """"
      )
    )
  )
))"),0.0)</f>
        <v>0</v>
      </c>
      <c r="K101" s="233" t="str">
        <f t="shared" ref="K101:K133" si="2">if(ISNUMBER(I101),IFERROR(I101/(J101*24),""),"")</f>
        <v/>
      </c>
      <c r="L101" s="136">
        <f>IFERROR(__xludf.DUMMYFUNCTION("BYROW('Bulk Data'!K4:K988, LAMBDA(r,
  IF(r="""","""",
    LET(
      nextVal, IFERROR(INDEX('Bulk Data'!K4:K988, ROW(r)-ROW('Bulk Data'!K4)+2), """"),
      IF(r &lt;&gt; nextVal,
         IFERROR(
           SUM(FILTER('Bulk Data'!H4:H988, 'Bulk Data'!K4:K988"&amp;" = r, 'Bulk Data'!J4:J988 = ""Lunch"")),
           0
         ),
         """"
      )
    )
  )
))"),129.0)</f>
        <v>129</v>
      </c>
      <c r="M101" s="106">
        <f>IFERROR(__xludf.DUMMYFUNCTION("BYROW('Bulk Data'!K4:K988, LAMBDA(r,
  IF(r="""","""",
    LET(
      nextVal, IFERROR(INDEX('Bulk Data'!K4:K988, ROW(r)-ROW('Bulk Data'!K4)+2), """"),
      IF(r &lt;&gt; nextVal,
         IFERROR(
           SUM(FILTER('Bulk Data'!E4:E988, 'Bulk Data'!K4:K988"&amp;" = r, 'Bulk Data'!J4:J988 = ""Lunch"")),
           0
         ),
         """"
      )
    )
  )
))"),0.10416666666424135)</f>
        <v>0.1041666667</v>
      </c>
      <c r="N101" s="233">
        <f t="shared" ref="N101:N133" si="3">if(ISNUMBER(L101),IFERROR(L101/(M101*24),""),"")</f>
        <v>51.6</v>
      </c>
      <c r="O101" s="136">
        <f>IFERROR(__xludf.DUMMYFUNCTION("BYROW('Bulk Data'!K4:K988, LAMBDA(r,
  IF(r="""","""",
    LET(
      nextVal, IFERROR(INDEX('Bulk Data'!K4:K988, ROW(r)-ROW('Bulk Data'!K4)+2), """"),
      IF(r &lt;&gt; nextVal,
         IFERROR(
           SUM(FILTER('Bulk Data'!H4:H988, 'Bulk Data'!K4:K988"&amp;" = r, 'Bulk Data'!J4:J988 = ""Lunch/Dinner"")),
           0
         ),
         """"
      )
    )
  )
))"),0.0)</f>
        <v>0</v>
      </c>
      <c r="P101" s="106">
        <f>IFERROR(__xludf.DUMMYFUNCTION("BYROW('Bulk Data'!K4:K988, LAMBDA(r,
  IF(r="""","""",
    LET(
      nextVal, IFERROR(INDEX('Bulk Data'!K4:K988, ROW(r)-ROW('Bulk Data'!K4)+2), """"),
      IF(r &lt;&gt; nextVal,
         IFERROR(
           SUM(FILTER('Bulk Data'!E4:E988, 'Bulk Data'!K4:K988"&amp;" = r, 'Bulk Data'!J4:J988 = ""Lunch/Dinner"")),
           0
         ),
         """"
      )
    )
  )
))"),0.0)</f>
        <v>0</v>
      </c>
      <c r="Q101" s="233" t="str">
        <f t="shared" ref="Q101:Q133" si="4">if(ISNUMBER(O101),IFERROR(O101/(P101*24),""),"")</f>
        <v/>
      </c>
      <c r="R101" s="136">
        <f>IFERROR(__xludf.DUMMYFUNCTION("BYROW('Bulk Data'!K4:K988, LAMBDA(r,
  IF(r="""","""",
    LET(
      nextVal, IFERROR(INDEX('Bulk Data'!K4:K988, ROW(r)-ROW('Bulk Data'!K4)+2), """"),
      IF(r &lt;&gt; nextVal,
         IFERROR(
           SUM(FILTER('Bulk Data'!H4:H988, 'Bulk Data'!K4:K988"&amp;" = r, 'Bulk Data'!J4:J988 = ""Dinner"")),
           0
         ),
         """"
      )
    )
  )
))"),0.0)</f>
        <v>0</v>
      </c>
      <c r="S101" s="106">
        <f>IFERROR(__xludf.DUMMYFUNCTION("BYROW('Bulk Data'!K4:K988, LAMBDA(r,
  IF(r="""","""",
    LET(
      nextVal, IFERROR(INDEX('Bulk Data'!K4:K988, ROW(r)-ROW('Bulk Data'!K4)+2), """"),
      IF(r &lt;&gt; nextVal,
         IFERROR(
           SUM(FILTER('Bulk Data'!E4:E988, 'Bulk Data'!K4:K988"&amp;" = r, 'Bulk Data'!J4:J988 = ""Dinner"")),
           0
         ),
         """"
      )
    )
  )
))"),0.0)</f>
        <v>0</v>
      </c>
      <c r="T101" s="233" t="str">
        <f t="shared" ref="T101:T133" si="5">if(ISNUMBER(R101),IFERROR(R101/(S101*24),""),"")</f>
        <v/>
      </c>
    </row>
    <row r="102">
      <c r="A102" s="136" t="s">
        <v>15</v>
      </c>
      <c r="B102" s="146">
        <v>46043.0</v>
      </c>
      <c r="C102" s="136" t="s">
        <v>45</v>
      </c>
      <c r="D102" s="136" t="s">
        <v>148</v>
      </c>
      <c r="E102" s="106">
        <v>0.10416666666424135</v>
      </c>
      <c r="F102" s="136" t="str">
        <f>IFERROR(__xludf.DUMMYFUNCTION("""COMPUTED_VALUE"""),"")</f>
        <v/>
      </c>
      <c r="G102" s="106" t="str">
        <f>IFERROR(__xludf.DUMMYFUNCTION("""COMPUTED_VALUE"""),"")</f>
        <v/>
      </c>
      <c r="H102" s="233" t="str">
        <f t="shared" si="1"/>
        <v/>
      </c>
      <c r="I102" s="136" t="str">
        <f>IFERROR(__xludf.DUMMYFUNCTION("""COMPUTED_VALUE"""),"")</f>
        <v/>
      </c>
      <c r="J102" s="106" t="str">
        <f>IFERROR(__xludf.DUMMYFUNCTION("""COMPUTED_VALUE"""),"")</f>
        <v/>
      </c>
      <c r="K102" s="233" t="str">
        <f t="shared" si="2"/>
        <v/>
      </c>
      <c r="L102" s="136" t="str">
        <f>IFERROR(__xludf.DUMMYFUNCTION("""COMPUTED_VALUE"""),"")</f>
        <v/>
      </c>
      <c r="M102" s="106" t="str">
        <f>IFERROR(__xludf.DUMMYFUNCTION("""COMPUTED_VALUE"""),"")</f>
        <v/>
      </c>
      <c r="N102" s="233" t="str">
        <f t="shared" si="3"/>
        <v/>
      </c>
      <c r="O102" s="136" t="str">
        <f>IFERROR(__xludf.DUMMYFUNCTION("""COMPUTED_VALUE"""),"")</f>
        <v/>
      </c>
      <c r="P102" s="106" t="str">
        <f>IFERROR(__xludf.DUMMYFUNCTION("""COMPUTED_VALUE"""),"")</f>
        <v/>
      </c>
      <c r="Q102" s="233" t="str">
        <f t="shared" si="4"/>
        <v/>
      </c>
      <c r="R102" s="136" t="str">
        <f>IFERROR(__xludf.DUMMYFUNCTION("""COMPUTED_VALUE"""),"")</f>
        <v/>
      </c>
      <c r="S102" s="106" t="str">
        <f>IFERROR(__xludf.DUMMYFUNCTION("""COMPUTED_VALUE"""),"")</f>
        <v/>
      </c>
      <c r="T102" s="233" t="str">
        <f t="shared" si="5"/>
        <v/>
      </c>
    </row>
    <row r="103">
      <c r="A103" s="136" t="s">
        <v>18</v>
      </c>
      <c r="B103" s="146">
        <v>46044.0</v>
      </c>
      <c r="C103" s="136" t="s">
        <v>49</v>
      </c>
      <c r="D103" s="136" t="s">
        <v>149</v>
      </c>
      <c r="E103" s="106">
        <v>0.07291666666424135</v>
      </c>
      <c r="F103" s="136">
        <f>IFERROR(__xludf.DUMMYFUNCTION("""COMPUTED_VALUE"""),0.0)</f>
        <v>0</v>
      </c>
      <c r="G103" s="106">
        <f>IFERROR(__xludf.DUMMYFUNCTION("""COMPUTED_VALUE"""),0.0)</f>
        <v>0</v>
      </c>
      <c r="H103" s="233" t="str">
        <f t="shared" si="1"/>
        <v/>
      </c>
      <c r="I103" s="136">
        <f>IFERROR(__xludf.DUMMYFUNCTION("""COMPUTED_VALUE"""),0.0)</f>
        <v>0</v>
      </c>
      <c r="J103" s="106">
        <f>IFERROR(__xludf.DUMMYFUNCTION("""COMPUTED_VALUE"""),0.0)</f>
        <v>0</v>
      </c>
      <c r="K103" s="233" t="str">
        <f t="shared" si="2"/>
        <v/>
      </c>
      <c r="L103" s="136">
        <f>IFERROR(__xludf.DUMMYFUNCTION("""COMPUTED_VALUE"""),0.0)</f>
        <v>0</v>
      </c>
      <c r="M103" s="106">
        <f>IFERROR(__xludf.DUMMYFUNCTION("""COMPUTED_VALUE"""),0.0)</f>
        <v>0</v>
      </c>
      <c r="N103" s="233" t="str">
        <f t="shared" si="3"/>
        <v/>
      </c>
      <c r="O103" s="136">
        <f>IFERROR(__xludf.DUMMYFUNCTION("""COMPUTED_VALUE"""),0.0)</f>
        <v>0</v>
      </c>
      <c r="P103" s="106">
        <f>IFERROR(__xludf.DUMMYFUNCTION("""COMPUTED_VALUE"""),0.0)</f>
        <v>0</v>
      </c>
      <c r="Q103" s="233" t="str">
        <f t="shared" si="4"/>
        <v/>
      </c>
      <c r="R103" s="136">
        <f>IFERROR(__xludf.DUMMYFUNCTION("""COMPUTED_VALUE"""),218.0)</f>
        <v>218</v>
      </c>
      <c r="S103" s="106">
        <f>IFERROR(__xludf.DUMMYFUNCTION("""COMPUTED_VALUE"""),0.14999999999417923)</f>
        <v>0.15</v>
      </c>
      <c r="T103" s="233">
        <f t="shared" si="5"/>
        <v>60.55555556</v>
      </c>
    </row>
    <row r="104">
      <c r="A104" s="136" t="s">
        <v>18</v>
      </c>
      <c r="B104" s="146">
        <v>46044.0</v>
      </c>
      <c r="C104" s="136" t="s">
        <v>49</v>
      </c>
      <c r="D104" s="136" t="s">
        <v>148</v>
      </c>
      <c r="E104" s="106">
        <v>0.07708333332993789</v>
      </c>
      <c r="F104" s="136">
        <f>IFERROR(__xludf.DUMMYFUNCTION("""COMPUTED_VALUE"""),0.0)</f>
        <v>0</v>
      </c>
      <c r="G104" s="106">
        <f>IFERROR(__xludf.DUMMYFUNCTION("""COMPUTED_VALUE"""),0.0)</f>
        <v>0</v>
      </c>
      <c r="H104" s="233" t="str">
        <f t="shared" si="1"/>
        <v/>
      </c>
      <c r="I104" s="136">
        <f>IFERROR(__xludf.DUMMYFUNCTION("""COMPUTED_VALUE"""),0.0)</f>
        <v>0</v>
      </c>
      <c r="J104" s="106">
        <f>IFERROR(__xludf.DUMMYFUNCTION("""COMPUTED_VALUE"""),0.0)</f>
        <v>0</v>
      </c>
      <c r="K104" s="233" t="str">
        <f t="shared" si="2"/>
        <v/>
      </c>
      <c r="L104" s="136">
        <f>IFERROR(__xludf.DUMMYFUNCTION("""COMPUTED_VALUE"""),143.0)</f>
        <v>143</v>
      </c>
      <c r="M104" s="106">
        <f>IFERROR(__xludf.DUMMYFUNCTION("""COMPUTED_VALUE"""),0.12013888888759539)</f>
        <v>0.1201388889</v>
      </c>
      <c r="N104" s="233">
        <f t="shared" si="3"/>
        <v>49.59537572</v>
      </c>
      <c r="O104" s="136">
        <f>IFERROR(__xludf.DUMMYFUNCTION("""COMPUTED_VALUE"""),0.0)</f>
        <v>0</v>
      </c>
      <c r="P104" s="106">
        <f>IFERROR(__xludf.DUMMYFUNCTION("""COMPUTED_VALUE"""),0.0)</f>
        <v>0</v>
      </c>
      <c r="Q104" s="233" t="str">
        <f t="shared" si="4"/>
        <v/>
      </c>
      <c r="R104" s="136">
        <f>IFERROR(__xludf.DUMMYFUNCTION("""COMPUTED_VALUE"""),0.0)</f>
        <v>0</v>
      </c>
      <c r="S104" s="106">
        <f>IFERROR(__xludf.DUMMYFUNCTION("""COMPUTED_VALUE"""),0.0)</f>
        <v>0</v>
      </c>
      <c r="T104" s="233" t="str">
        <f t="shared" si="5"/>
        <v/>
      </c>
    </row>
    <row r="105">
      <c r="A105" s="136" t="s">
        <v>15</v>
      </c>
      <c r="B105" s="146">
        <v>46045.0</v>
      </c>
      <c r="C105" s="136" t="s">
        <v>53</v>
      </c>
      <c r="D105" s="136" t="s">
        <v>148</v>
      </c>
      <c r="E105" s="106">
        <v>0.12013888888759539</v>
      </c>
      <c r="F105" s="136">
        <f>IFERROR(__xludf.DUMMYFUNCTION("""COMPUTED_VALUE"""),0.0)</f>
        <v>0</v>
      </c>
      <c r="G105" s="106">
        <f>IFERROR(__xludf.DUMMYFUNCTION("""COMPUTED_VALUE"""),0.0)</f>
        <v>0</v>
      </c>
      <c r="H105" s="233" t="str">
        <f t="shared" si="1"/>
        <v/>
      </c>
      <c r="I105" s="136">
        <f>IFERROR(__xludf.DUMMYFUNCTION("""COMPUTED_VALUE"""),0.0)</f>
        <v>0</v>
      </c>
      <c r="J105" s="106">
        <f>IFERROR(__xludf.DUMMYFUNCTION("""COMPUTED_VALUE"""),0.0)</f>
        <v>0</v>
      </c>
      <c r="K105" s="233" t="str">
        <f t="shared" si="2"/>
        <v/>
      </c>
      <c r="L105" s="136">
        <f>IFERROR(__xludf.DUMMYFUNCTION("""COMPUTED_VALUE"""),0.0)</f>
        <v>0</v>
      </c>
      <c r="M105" s="106">
        <f>IFERROR(__xludf.DUMMYFUNCTION("""COMPUTED_VALUE"""),0.0)</f>
        <v>0</v>
      </c>
      <c r="N105" s="233" t="str">
        <f t="shared" si="3"/>
        <v/>
      </c>
      <c r="O105" s="136">
        <f>IFERROR(__xludf.DUMMYFUNCTION("""COMPUTED_VALUE"""),0.0)</f>
        <v>0</v>
      </c>
      <c r="P105" s="106">
        <f>IFERROR(__xludf.DUMMYFUNCTION("""COMPUTED_VALUE"""),0.0)</f>
        <v>0</v>
      </c>
      <c r="Q105" s="233" t="str">
        <f t="shared" si="4"/>
        <v/>
      </c>
      <c r="R105" s="136">
        <f>IFERROR(__xludf.DUMMYFUNCTION("""COMPUTED_VALUE"""),134.0)</f>
        <v>134</v>
      </c>
      <c r="S105" s="106">
        <f>IFERROR(__xludf.DUMMYFUNCTION("""COMPUTED_VALUE"""),0.11458333333575865)</f>
        <v>0.1145833333</v>
      </c>
      <c r="T105" s="233">
        <f t="shared" si="5"/>
        <v>48.72727273</v>
      </c>
    </row>
    <row r="106">
      <c r="A106" s="136" t="s">
        <v>18</v>
      </c>
      <c r="B106" s="146">
        <v>46049.0</v>
      </c>
      <c r="C106" s="136" t="s">
        <v>41</v>
      </c>
      <c r="D106" s="136" t="s">
        <v>148</v>
      </c>
      <c r="E106" s="106">
        <v>0.11458333333575865</v>
      </c>
      <c r="F106" s="136" t="str">
        <f>IFERROR(__xludf.DUMMYFUNCTION("""COMPUTED_VALUE"""),"")</f>
        <v/>
      </c>
      <c r="G106" s="106" t="str">
        <f>IFERROR(__xludf.DUMMYFUNCTION("""COMPUTED_VALUE"""),"")</f>
        <v/>
      </c>
      <c r="H106" s="233" t="str">
        <f t="shared" si="1"/>
        <v/>
      </c>
      <c r="I106" s="136" t="str">
        <f>IFERROR(__xludf.DUMMYFUNCTION("""COMPUTED_VALUE"""),"")</f>
        <v/>
      </c>
      <c r="J106" s="106" t="str">
        <f>IFERROR(__xludf.DUMMYFUNCTION("""COMPUTED_VALUE"""),"")</f>
        <v/>
      </c>
      <c r="K106" s="233" t="str">
        <f t="shared" si="2"/>
        <v/>
      </c>
      <c r="L106" s="136" t="str">
        <f>IFERROR(__xludf.DUMMYFUNCTION("""COMPUTED_VALUE"""),"")</f>
        <v/>
      </c>
      <c r="M106" s="106" t="str">
        <f>IFERROR(__xludf.DUMMYFUNCTION("""COMPUTED_VALUE"""),"")</f>
        <v/>
      </c>
      <c r="N106" s="233" t="str">
        <f t="shared" si="3"/>
        <v/>
      </c>
      <c r="O106" s="136" t="str">
        <f>IFERROR(__xludf.DUMMYFUNCTION("""COMPUTED_VALUE"""),"")</f>
        <v/>
      </c>
      <c r="P106" s="106" t="str">
        <f>IFERROR(__xludf.DUMMYFUNCTION("""COMPUTED_VALUE"""),"")</f>
        <v/>
      </c>
      <c r="Q106" s="233" t="str">
        <f t="shared" si="4"/>
        <v/>
      </c>
      <c r="R106" s="136" t="str">
        <f>IFERROR(__xludf.DUMMYFUNCTION("""COMPUTED_VALUE"""),"")</f>
        <v/>
      </c>
      <c r="S106" s="106" t="str">
        <f>IFERROR(__xludf.DUMMYFUNCTION("""COMPUTED_VALUE"""),"")</f>
        <v/>
      </c>
      <c r="T106" s="233" t="str">
        <f t="shared" si="5"/>
        <v/>
      </c>
    </row>
    <row r="107">
      <c r="A107" s="136" t="s">
        <v>12</v>
      </c>
      <c r="B107" s="146">
        <v>46050.0</v>
      </c>
      <c r="C107" s="136" t="s">
        <v>45</v>
      </c>
      <c r="D107" s="136" t="s">
        <v>149</v>
      </c>
      <c r="E107" s="106">
        <v>0.11597222222189885</v>
      </c>
      <c r="F107" s="136" t="str">
        <f>IFERROR(__xludf.DUMMYFUNCTION("""COMPUTED_VALUE"""),"")</f>
        <v/>
      </c>
      <c r="G107" s="106" t="str">
        <f>IFERROR(__xludf.DUMMYFUNCTION("""COMPUTED_VALUE"""),"")</f>
        <v/>
      </c>
      <c r="H107" s="233" t="str">
        <f t="shared" si="1"/>
        <v/>
      </c>
      <c r="I107" s="136" t="str">
        <f>IFERROR(__xludf.DUMMYFUNCTION("""COMPUTED_VALUE"""),"")</f>
        <v/>
      </c>
      <c r="J107" s="106" t="str">
        <f>IFERROR(__xludf.DUMMYFUNCTION("""COMPUTED_VALUE"""),"")</f>
        <v/>
      </c>
      <c r="K107" s="233" t="str">
        <f t="shared" si="2"/>
        <v/>
      </c>
      <c r="L107" s="136" t="str">
        <f>IFERROR(__xludf.DUMMYFUNCTION("""COMPUTED_VALUE"""),"")</f>
        <v/>
      </c>
      <c r="M107" s="106" t="str">
        <f>IFERROR(__xludf.DUMMYFUNCTION("""COMPUTED_VALUE"""),"")</f>
        <v/>
      </c>
      <c r="N107" s="233" t="str">
        <f t="shared" si="3"/>
        <v/>
      </c>
      <c r="O107" s="136" t="str">
        <f>IFERROR(__xludf.DUMMYFUNCTION("""COMPUTED_VALUE"""),"")</f>
        <v/>
      </c>
      <c r="P107" s="106" t="str">
        <f>IFERROR(__xludf.DUMMYFUNCTION("""COMPUTED_VALUE"""),"")</f>
        <v/>
      </c>
      <c r="Q107" s="233" t="str">
        <f t="shared" si="4"/>
        <v/>
      </c>
      <c r="R107" s="136" t="str">
        <f>IFERROR(__xludf.DUMMYFUNCTION("""COMPUTED_VALUE"""),"")</f>
        <v/>
      </c>
      <c r="S107" s="106" t="str">
        <f>IFERROR(__xludf.DUMMYFUNCTION("""COMPUTED_VALUE"""),"")</f>
        <v/>
      </c>
      <c r="T107" s="233" t="str">
        <f t="shared" si="5"/>
        <v/>
      </c>
    </row>
    <row r="108">
      <c r="A108" s="136" t="s">
        <v>134</v>
      </c>
      <c r="B108" s="146">
        <v>46050.0</v>
      </c>
      <c r="C108" s="136" t="s">
        <v>45</v>
      </c>
      <c r="D108" s="136" t="s">
        <v>149</v>
      </c>
      <c r="E108" s="106">
        <v>0.06666666666569654</v>
      </c>
      <c r="F108" s="136" t="str">
        <f>IFERROR(__xludf.DUMMYFUNCTION("""COMPUTED_VALUE"""),"")</f>
        <v/>
      </c>
      <c r="G108" s="106" t="str">
        <f>IFERROR(__xludf.DUMMYFUNCTION("""COMPUTED_VALUE"""),"")</f>
        <v/>
      </c>
      <c r="H108" s="233" t="str">
        <f t="shared" si="1"/>
        <v/>
      </c>
      <c r="I108" s="136" t="str">
        <f>IFERROR(__xludf.DUMMYFUNCTION("""COMPUTED_VALUE"""),"")</f>
        <v/>
      </c>
      <c r="J108" s="106" t="str">
        <f>IFERROR(__xludf.DUMMYFUNCTION("""COMPUTED_VALUE"""),"")</f>
        <v/>
      </c>
      <c r="K108" s="233" t="str">
        <f t="shared" si="2"/>
        <v/>
      </c>
      <c r="L108" s="136" t="str">
        <f>IFERROR(__xludf.DUMMYFUNCTION("""COMPUTED_VALUE"""),"")</f>
        <v/>
      </c>
      <c r="M108" s="106" t="str">
        <f>IFERROR(__xludf.DUMMYFUNCTION("""COMPUTED_VALUE"""),"")</f>
        <v/>
      </c>
      <c r="N108" s="233" t="str">
        <f t="shared" si="3"/>
        <v/>
      </c>
      <c r="O108" s="136" t="str">
        <f>IFERROR(__xludf.DUMMYFUNCTION("""COMPUTED_VALUE"""),"")</f>
        <v/>
      </c>
      <c r="P108" s="106" t="str">
        <f>IFERROR(__xludf.DUMMYFUNCTION("""COMPUTED_VALUE"""),"")</f>
        <v/>
      </c>
      <c r="Q108" s="233" t="str">
        <f t="shared" si="4"/>
        <v/>
      </c>
      <c r="R108" s="136" t="str">
        <f>IFERROR(__xludf.DUMMYFUNCTION("""COMPUTED_VALUE"""),"")</f>
        <v/>
      </c>
      <c r="S108" s="106" t="str">
        <f>IFERROR(__xludf.DUMMYFUNCTION("""COMPUTED_VALUE"""),"")</f>
        <v/>
      </c>
      <c r="T108" s="233" t="str">
        <f t="shared" si="5"/>
        <v/>
      </c>
    </row>
    <row r="109">
      <c r="A109" s="136" t="s">
        <v>18</v>
      </c>
      <c r="B109" s="146">
        <v>46050.0</v>
      </c>
      <c r="C109" s="136" t="s">
        <v>45</v>
      </c>
      <c r="D109" s="136" t="s">
        <v>149</v>
      </c>
      <c r="E109" s="106">
        <v>0.16666666666424135</v>
      </c>
      <c r="F109" s="136">
        <f>IFERROR(__xludf.DUMMYFUNCTION("""COMPUTED_VALUE"""),115.0)</f>
        <v>115</v>
      </c>
      <c r="G109" s="106">
        <f>IFERROR(__xludf.DUMMYFUNCTION("""COMPUTED_VALUE"""),0.11597222222189885)</f>
        <v>0.1159722222</v>
      </c>
      <c r="H109" s="233">
        <f t="shared" si="1"/>
        <v>41.31736527</v>
      </c>
      <c r="I109" s="136">
        <f>IFERROR(__xludf.DUMMYFUNCTION("""COMPUTED_VALUE"""),72.0)</f>
        <v>72</v>
      </c>
      <c r="J109" s="106">
        <f>IFERROR(__xludf.DUMMYFUNCTION("""COMPUTED_VALUE"""),0.06666666666569654)</f>
        <v>0.06666666667</v>
      </c>
      <c r="K109" s="233">
        <f t="shared" si="2"/>
        <v>45</v>
      </c>
      <c r="L109" s="136">
        <f>IFERROR(__xludf.DUMMYFUNCTION("""COMPUTED_VALUE"""),0.0)</f>
        <v>0</v>
      </c>
      <c r="M109" s="106">
        <f>IFERROR(__xludf.DUMMYFUNCTION("""COMPUTED_VALUE"""),0.0)</f>
        <v>0</v>
      </c>
      <c r="N109" s="233" t="str">
        <f t="shared" si="3"/>
        <v/>
      </c>
      <c r="O109" s="136">
        <f>IFERROR(__xludf.DUMMYFUNCTION("""COMPUTED_VALUE"""),0.0)</f>
        <v>0</v>
      </c>
      <c r="P109" s="106">
        <f>IFERROR(__xludf.DUMMYFUNCTION("""COMPUTED_VALUE"""),0.0)</f>
        <v>0</v>
      </c>
      <c r="Q109" s="233" t="str">
        <f t="shared" si="4"/>
        <v/>
      </c>
      <c r="R109" s="136">
        <f>IFERROR(__xludf.DUMMYFUNCTION("""COMPUTED_VALUE"""),388.0)</f>
        <v>388</v>
      </c>
      <c r="S109" s="106">
        <f>IFERROR(__xludf.DUMMYFUNCTION("""COMPUTED_VALUE"""),0.29166666666424135)</f>
        <v>0.2916666667</v>
      </c>
      <c r="T109" s="233">
        <f t="shared" si="5"/>
        <v>55.42857143</v>
      </c>
    </row>
    <row r="110">
      <c r="A110" s="136" t="s">
        <v>18</v>
      </c>
      <c r="B110" s="146">
        <v>46050.0</v>
      </c>
      <c r="C110" s="136" t="s">
        <v>45</v>
      </c>
      <c r="D110" s="136" t="s">
        <v>148</v>
      </c>
      <c r="E110" s="106">
        <v>0.125</v>
      </c>
      <c r="F110" s="136" t="str">
        <f>IFERROR(__xludf.DUMMYFUNCTION("""COMPUTED_VALUE"""),"")</f>
        <v/>
      </c>
      <c r="G110" s="106" t="str">
        <f>IFERROR(__xludf.DUMMYFUNCTION("""COMPUTED_VALUE"""),"")</f>
        <v/>
      </c>
      <c r="H110" s="233" t="str">
        <f t="shared" si="1"/>
        <v/>
      </c>
      <c r="I110" s="136" t="str">
        <f>IFERROR(__xludf.DUMMYFUNCTION("""COMPUTED_VALUE"""),"")</f>
        <v/>
      </c>
      <c r="J110" s="106" t="str">
        <f>IFERROR(__xludf.DUMMYFUNCTION("""COMPUTED_VALUE"""),"")</f>
        <v/>
      </c>
      <c r="K110" s="233" t="str">
        <f t="shared" si="2"/>
        <v/>
      </c>
      <c r="L110" s="136" t="str">
        <f>IFERROR(__xludf.DUMMYFUNCTION("""COMPUTED_VALUE"""),"")</f>
        <v/>
      </c>
      <c r="M110" s="106" t="str">
        <f>IFERROR(__xludf.DUMMYFUNCTION("""COMPUTED_VALUE"""),"")</f>
        <v/>
      </c>
      <c r="N110" s="233" t="str">
        <f t="shared" si="3"/>
        <v/>
      </c>
      <c r="O110" s="136" t="str">
        <f>IFERROR(__xludf.DUMMYFUNCTION("""COMPUTED_VALUE"""),"")</f>
        <v/>
      </c>
      <c r="P110" s="106" t="str">
        <f>IFERROR(__xludf.DUMMYFUNCTION("""COMPUTED_VALUE"""),"")</f>
        <v/>
      </c>
      <c r="Q110" s="233" t="str">
        <f t="shared" si="4"/>
        <v/>
      </c>
      <c r="R110" s="136" t="str">
        <f>IFERROR(__xludf.DUMMYFUNCTION("""COMPUTED_VALUE"""),"")</f>
        <v/>
      </c>
      <c r="S110" s="106" t="str">
        <f>IFERROR(__xludf.DUMMYFUNCTION("""COMPUTED_VALUE"""),"")</f>
        <v/>
      </c>
      <c r="T110" s="233" t="str">
        <f t="shared" si="5"/>
        <v/>
      </c>
    </row>
    <row r="111">
      <c r="A111" s="136" t="s">
        <v>15</v>
      </c>
      <c r="B111" s="146">
        <v>46051.0</v>
      </c>
      <c r="C111" s="136" t="s">
        <v>49</v>
      </c>
      <c r="D111" s="136" t="s">
        <v>149</v>
      </c>
      <c r="E111" s="106">
        <v>0.04930555555620231</v>
      </c>
      <c r="F111" s="136" t="str">
        <f>IFERROR(__xludf.DUMMYFUNCTION("""COMPUTED_VALUE"""),"")</f>
        <v/>
      </c>
      <c r="G111" s="106" t="str">
        <f>IFERROR(__xludf.DUMMYFUNCTION("""COMPUTED_VALUE"""),"")</f>
        <v/>
      </c>
      <c r="H111" s="233" t="str">
        <f t="shared" si="1"/>
        <v/>
      </c>
      <c r="I111" s="136" t="str">
        <f>IFERROR(__xludf.DUMMYFUNCTION("""COMPUTED_VALUE"""),"")</f>
        <v/>
      </c>
      <c r="J111" s="106" t="str">
        <f>IFERROR(__xludf.DUMMYFUNCTION("""COMPUTED_VALUE"""),"")</f>
        <v/>
      </c>
      <c r="K111" s="233" t="str">
        <f t="shared" si="2"/>
        <v/>
      </c>
      <c r="L111" s="136" t="str">
        <f>IFERROR(__xludf.DUMMYFUNCTION("""COMPUTED_VALUE"""),"")</f>
        <v/>
      </c>
      <c r="M111" s="106" t="str">
        <f>IFERROR(__xludf.DUMMYFUNCTION("""COMPUTED_VALUE"""),"")</f>
        <v/>
      </c>
      <c r="N111" s="233" t="str">
        <f t="shared" si="3"/>
        <v/>
      </c>
      <c r="O111" s="136" t="str">
        <f>IFERROR(__xludf.DUMMYFUNCTION("""COMPUTED_VALUE"""),"")</f>
        <v/>
      </c>
      <c r="P111" s="106" t="str">
        <f>IFERROR(__xludf.DUMMYFUNCTION("""COMPUTED_VALUE"""),"")</f>
        <v/>
      </c>
      <c r="Q111" s="233" t="str">
        <f t="shared" si="4"/>
        <v/>
      </c>
      <c r="R111" s="136" t="str">
        <f>IFERROR(__xludf.DUMMYFUNCTION("""COMPUTED_VALUE"""),"")</f>
        <v/>
      </c>
      <c r="S111" s="106" t="str">
        <f>IFERROR(__xludf.DUMMYFUNCTION("""COMPUTED_VALUE"""),"")</f>
        <v/>
      </c>
      <c r="T111" s="233" t="str">
        <f t="shared" si="5"/>
        <v/>
      </c>
    </row>
    <row r="112">
      <c r="A112" s="136" t="s">
        <v>15</v>
      </c>
      <c r="B112" s="146">
        <v>46051.0</v>
      </c>
      <c r="C112" s="136" t="s">
        <v>49</v>
      </c>
      <c r="D112" s="136" t="s">
        <v>149</v>
      </c>
      <c r="E112" s="106">
        <v>0.03749999999854481</v>
      </c>
      <c r="F112" s="136" t="str">
        <f>IFERROR(__xludf.DUMMYFUNCTION("""COMPUTED_VALUE"""),"")</f>
        <v/>
      </c>
      <c r="G112" s="106" t="str">
        <f>IFERROR(__xludf.DUMMYFUNCTION("""COMPUTED_VALUE"""),"")</f>
        <v/>
      </c>
      <c r="H112" s="233" t="str">
        <f t="shared" si="1"/>
        <v/>
      </c>
      <c r="I112" s="136" t="str">
        <f>IFERROR(__xludf.DUMMYFUNCTION("""COMPUTED_VALUE"""),"")</f>
        <v/>
      </c>
      <c r="J112" s="106" t="str">
        <f>IFERROR(__xludf.DUMMYFUNCTION("""COMPUTED_VALUE"""),"")</f>
        <v/>
      </c>
      <c r="K112" s="233" t="str">
        <f t="shared" si="2"/>
        <v/>
      </c>
      <c r="L112" s="136" t="str">
        <f>IFERROR(__xludf.DUMMYFUNCTION("""COMPUTED_VALUE"""),"")</f>
        <v/>
      </c>
      <c r="M112" s="106" t="str">
        <f>IFERROR(__xludf.DUMMYFUNCTION("""COMPUTED_VALUE"""),"")</f>
        <v/>
      </c>
      <c r="N112" s="233" t="str">
        <f t="shared" si="3"/>
        <v/>
      </c>
      <c r="O112" s="136" t="str">
        <f>IFERROR(__xludf.DUMMYFUNCTION("""COMPUTED_VALUE"""),"")</f>
        <v/>
      </c>
      <c r="P112" s="106" t="str">
        <f>IFERROR(__xludf.DUMMYFUNCTION("""COMPUTED_VALUE"""),"")</f>
        <v/>
      </c>
      <c r="Q112" s="233" t="str">
        <f t="shared" si="4"/>
        <v/>
      </c>
      <c r="R112" s="136" t="str">
        <f>IFERROR(__xludf.DUMMYFUNCTION("""COMPUTED_VALUE"""),"")</f>
        <v/>
      </c>
      <c r="S112" s="106" t="str">
        <f>IFERROR(__xludf.DUMMYFUNCTION("""COMPUTED_VALUE"""),"")</f>
        <v/>
      </c>
      <c r="T112" s="233" t="str">
        <f t="shared" si="5"/>
        <v/>
      </c>
    </row>
    <row r="113">
      <c r="A113" s="136" t="s">
        <v>15</v>
      </c>
      <c r="B113" s="146">
        <v>46051.0</v>
      </c>
      <c r="C113" s="136" t="s">
        <v>49</v>
      </c>
      <c r="D113" s="136" t="s">
        <v>149</v>
      </c>
      <c r="E113" s="106">
        <v>0.1041666666715173</v>
      </c>
      <c r="F113" s="136">
        <f>IFERROR(__xludf.DUMMYFUNCTION("""COMPUTED_VALUE"""),0.0)</f>
        <v>0</v>
      </c>
      <c r="G113" s="106">
        <f>IFERROR(__xludf.DUMMYFUNCTION("""COMPUTED_VALUE"""),0.0)</f>
        <v>0</v>
      </c>
      <c r="H113" s="233" t="str">
        <f t="shared" si="1"/>
        <v/>
      </c>
      <c r="I113" s="136">
        <f>IFERROR(__xludf.DUMMYFUNCTION("""COMPUTED_VALUE"""),0.0)</f>
        <v>0</v>
      </c>
      <c r="J113" s="106">
        <f>IFERROR(__xludf.DUMMYFUNCTION("""COMPUTED_VALUE"""),0.0)</f>
        <v>0</v>
      </c>
      <c r="K113" s="233" t="str">
        <f t="shared" si="2"/>
        <v/>
      </c>
      <c r="L113" s="136">
        <f>IFERROR(__xludf.DUMMYFUNCTION("""COMPUTED_VALUE"""),141.0)</f>
        <v>141</v>
      </c>
      <c r="M113" s="106">
        <f>IFERROR(__xludf.DUMMYFUNCTION("""COMPUTED_VALUE"""),0.19097222222626442)</f>
        <v>0.1909722222</v>
      </c>
      <c r="N113" s="233">
        <f t="shared" si="3"/>
        <v>30.76363636</v>
      </c>
      <c r="O113" s="136">
        <f>IFERROR(__xludf.DUMMYFUNCTION("""COMPUTED_VALUE"""),0.0)</f>
        <v>0</v>
      </c>
      <c r="P113" s="106">
        <f>IFERROR(__xludf.DUMMYFUNCTION("""COMPUTED_VALUE"""),0.0)</f>
        <v>0</v>
      </c>
      <c r="Q113" s="233" t="str">
        <f t="shared" si="4"/>
        <v/>
      </c>
      <c r="R113" s="136">
        <f>IFERROR(__xludf.DUMMYFUNCTION("""COMPUTED_VALUE"""),93.0)</f>
        <v>93</v>
      </c>
      <c r="S113" s="106">
        <f>IFERROR(__xludf.DUMMYFUNCTION("""COMPUTED_VALUE"""),0.07291666666424135)</f>
        <v>0.07291666666</v>
      </c>
      <c r="T113" s="233">
        <f t="shared" si="5"/>
        <v>53.14285714</v>
      </c>
    </row>
    <row r="114">
      <c r="A114" s="136" t="s">
        <v>18</v>
      </c>
      <c r="B114" s="146">
        <v>46051.0</v>
      </c>
      <c r="C114" s="136" t="s">
        <v>49</v>
      </c>
      <c r="D114" s="136" t="s">
        <v>148</v>
      </c>
      <c r="E114" s="106">
        <v>0.07291666666424135</v>
      </c>
      <c r="F114" s="136" t="str">
        <f>IFERROR(__xludf.DUMMYFUNCTION("""COMPUTED_VALUE"""),"")</f>
        <v/>
      </c>
      <c r="G114" s="106" t="str">
        <f>IFERROR(__xludf.DUMMYFUNCTION("""COMPUTED_VALUE"""),"")</f>
        <v/>
      </c>
      <c r="H114" s="233" t="str">
        <f t="shared" si="1"/>
        <v/>
      </c>
      <c r="I114" s="136" t="str">
        <f>IFERROR(__xludf.DUMMYFUNCTION("""COMPUTED_VALUE"""),"")</f>
        <v/>
      </c>
      <c r="J114" s="106" t="str">
        <f>IFERROR(__xludf.DUMMYFUNCTION("""COMPUTED_VALUE"""),"")</f>
        <v/>
      </c>
      <c r="K114" s="233" t="str">
        <f t="shared" si="2"/>
        <v/>
      </c>
      <c r="L114" s="136" t="str">
        <f>IFERROR(__xludf.DUMMYFUNCTION("""COMPUTED_VALUE"""),"")</f>
        <v/>
      </c>
      <c r="M114" s="106" t="str">
        <f>IFERROR(__xludf.DUMMYFUNCTION("""COMPUTED_VALUE"""),"")</f>
        <v/>
      </c>
      <c r="N114" s="233" t="str">
        <f t="shared" si="3"/>
        <v/>
      </c>
      <c r="O114" s="136" t="str">
        <f>IFERROR(__xludf.DUMMYFUNCTION("""COMPUTED_VALUE"""),"")</f>
        <v/>
      </c>
      <c r="P114" s="106" t="str">
        <f>IFERROR(__xludf.DUMMYFUNCTION("""COMPUTED_VALUE"""),"")</f>
        <v/>
      </c>
      <c r="Q114" s="233" t="str">
        <f t="shared" si="4"/>
        <v/>
      </c>
      <c r="R114" s="136" t="str">
        <f>IFERROR(__xludf.DUMMYFUNCTION("""COMPUTED_VALUE"""),"")</f>
        <v/>
      </c>
      <c r="S114" s="106" t="str">
        <f>IFERROR(__xludf.DUMMYFUNCTION("""COMPUTED_VALUE"""),"")</f>
        <v/>
      </c>
      <c r="T114" s="233" t="str">
        <f t="shared" si="5"/>
        <v/>
      </c>
    </row>
    <row r="115">
      <c r="A115" s="136" t="s">
        <v>15</v>
      </c>
      <c r="B115" s="146">
        <v>46052.0</v>
      </c>
      <c r="C115" s="136" t="s">
        <v>53</v>
      </c>
      <c r="D115" s="136" t="s">
        <v>149</v>
      </c>
      <c r="E115" s="106">
        <v>0.0625</v>
      </c>
      <c r="F115" s="136" t="str">
        <f>IFERROR(__xludf.DUMMYFUNCTION("""COMPUTED_VALUE"""),"")</f>
        <v/>
      </c>
      <c r="G115" s="106" t="str">
        <f>IFERROR(__xludf.DUMMYFUNCTION("""COMPUTED_VALUE"""),"")</f>
        <v/>
      </c>
      <c r="H115" s="233" t="str">
        <f t="shared" si="1"/>
        <v/>
      </c>
      <c r="I115" s="136" t="str">
        <f>IFERROR(__xludf.DUMMYFUNCTION("""COMPUTED_VALUE"""),"")</f>
        <v/>
      </c>
      <c r="J115" s="106" t="str">
        <f>IFERROR(__xludf.DUMMYFUNCTION("""COMPUTED_VALUE"""),"")</f>
        <v/>
      </c>
      <c r="K115" s="233" t="str">
        <f t="shared" si="2"/>
        <v/>
      </c>
      <c r="L115" s="136" t="str">
        <f>IFERROR(__xludf.DUMMYFUNCTION("""COMPUTED_VALUE"""),"")</f>
        <v/>
      </c>
      <c r="M115" s="106" t="str">
        <f>IFERROR(__xludf.DUMMYFUNCTION("""COMPUTED_VALUE"""),"")</f>
        <v/>
      </c>
      <c r="N115" s="233" t="str">
        <f t="shared" si="3"/>
        <v/>
      </c>
      <c r="O115" s="136" t="str">
        <f>IFERROR(__xludf.DUMMYFUNCTION("""COMPUTED_VALUE"""),"")</f>
        <v/>
      </c>
      <c r="P115" s="106" t="str">
        <f>IFERROR(__xludf.DUMMYFUNCTION("""COMPUTED_VALUE"""),"")</f>
        <v/>
      </c>
      <c r="Q115" s="233" t="str">
        <f t="shared" si="4"/>
        <v/>
      </c>
      <c r="R115" s="136" t="str">
        <f>IFERROR(__xludf.DUMMYFUNCTION("""COMPUTED_VALUE"""),"")</f>
        <v/>
      </c>
      <c r="S115" s="106" t="str">
        <f>IFERROR(__xludf.DUMMYFUNCTION("""COMPUTED_VALUE"""),"")</f>
        <v/>
      </c>
      <c r="T115" s="233" t="str">
        <f t="shared" si="5"/>
        <v/>
      </c>
    </row>
    <row r="116">
      <c r="A116" s="136" t="s">
        <v>15</v>
      </c>
      <c r="B116" s="146">
        <v>46052.0</v>
      </c>
      <c r="C116" s="136" t="s">
        <v>53</v>
      </c>
      <c r="D116" s="136" t="s">
        <v>148</v>
      </c>
      <c r="E116" s="106">
        <v>0.14236111110949423</v>
      </c>
      <c r="F116" s="136" t="str">
        <f>IFERROR(__xludf.DUMMYFUNCTION("""COMPUTED_VALUE"""),"")</f>
        <v/>
      </c>
      <c r="G116" s="106" t="str">
        <f>IFERROR(__xludf.DUMMYFUNCTION("""COMPUTED_VALUE"""),"")</f>
        <v/>
      </c>
      <c r="H116" s="233" t="str">
        <f t="shared" si="1"/>
        <v/>
      </c>
      <c r="I116" s="136" t="str">
        <f>IFERROR(__xludf.DUMMYFUNCTION("""COMPUTED_VALUE"""),"")</f>
        <v/>
      </c>
      <c r="J116" s="106" t="str">
        <f>IFERROR(__xludf.DUMMYFUNCTION("""COMPUTED_VALUE"""),"")</f>
        <v/>
      </c>
      <c r="K116" s="233" t="str">
        <f t="shared" si="2"/>
        <v/>
      </c>
      <c r="L116" s="136" t="str">
        <f>IFERROR(__xludf.DUMMYFUNCTION("""COMPUTED_VALUE"""),"")</f>
        <v/>
      </c>
      <c r="M116" s="106" t="str">
        <f>IFERROR(__xludf.DUMMYFUNCTION("""COMPUTED_VALUE"""),"")</f>
        <v/>
      </c>
      <c r="N116" s="233" t="str">
        <f t="shared" si="3"/>
        <v/>
      </c>
      <c r="O116" s="136" t="str">
        <f>IFERROR(__xludf.DUMMYFUNCTION("""COMPUTED_VALUE"""),"")</f>
        <v/>
      </c>
      <c r="P116" s="106" t="str">
        <f>IFERROR(__xludf.DUMMYFUNCTION("""COMPUTED_VALUE"""),"")</f>
        <v/>
      </c>
      <c r="Q116" s="233" t="str">
        <f t="shared" si="4"/>
        <v/>
      </c>
      <c r="R116" s="136" t="str">
        <f>IFERROR(__xludf.DUMMYFUNCTION("""COMPUTED_VALUE"""),"")</f>
        <v/>
      </c>
      <c r="S116" s="106" t="str">
        <f>IFERROR(__xludf.DUMMYFUNCTION("""COMPUTED_VALUE"""),"")</f>
        <v/>
      </c>
      <c r="T116" s="233" t="str">
        <f t="shared" si="5"/>
        <v/>
      </c>
    </row>
    <row r="117">
      <c r="A117" s="136" t="s">
        <v>18</v>
      </c>
      <c r="B117" s="146">
        <v>46052.0</v>
      </c>
      <c r="C117" s="136" t="s">
        <v>53</v>
      </c>
      <c r="D117" s="136" t="s">
        <v>148</v>
      </c>
      <c r="E117" s="106">
        <v>0.061111111113859806</v>
      </c>
      <c r="F117" s="136">
        <f>IFERROR(__xludf.DUMMYFUNCTION("""COMPUTED_VALUE"""),0.0)</f>
        <v>0</v>
      </c>
      <c r="G117" s="106">
        <f>IFERROR(__xludf.DUMMYFUNCTION("""COMPUTED_VALUE"""),0.0)</f>
        <v>0</v>
      </c>
      <c r="H117" s="233" t="str">
        <f t="shared" si="1"/>
        <v/>
      </c>
      <c r="I117" s="136">
        <f>IFERROR(__xludf.DUMMYFUNCTION("""COMPUTED_VALUE"""),0.0)</f>
        <v>0</v>
      </c>
      <c r="J117" s="106">
        <f>IFERROR(__xludf.DUMMYFUNCTION("""COMPUTED_VALUE"""),0.0)</f>
        <v>0</v>
      </c>
      <c r="K117" s="233" t="str">
        <f t="shared" si="2"/>
        <v/>
      </c>
      <c r="L117" s="136">
        <f>IFERROR(__xludf.DUMMYFUNCTION("""COMPUTED_VALUE"""),220.0)</f>
        <v>220</v>
      </c>
      <c r="M117" s="106">
        <f>IFERROR(__xludf.DUMMYFUNCTION("""COMPUTED_VALUE"""),0.20486111110949423)</f>
        <v>0.2048611111</v>
      </c>
      <c r="N117" s="233">
        <f t="shared" si="3"/>
        <v>44.74576271</v>
      </c>
      <c r="O117" s="136">
        <f>IFERROR(__xludf.DUMMYFUNCTION("""COMPUTED_VALUE"""),0.0)</f>
        <v>0</v>
      </c>
      <c r="P117" s="106">
        <f>IFERROR(__xludf.DUMMYFUNCTION("""COMPUTED_VALUE"""),0.0)</f>
        <v>0</v>
      </c>
      <c r="Q117" s="233" t="str">
        <f t="shared" si="4"/>
        <v/>
      </c>
      <c r="R117" s="136">
        <f>IFERROR(__xludf.DUMMYFUNCTION("""COMPUTED_VALUE"""),191.0)</f>
        <v>191</v>
      </c>
      <c r="S117" s="106">
        <f>IFERROR(__xludf.DUMMYFUNCTION("""COMPUTED_VALUE"""),0.0743055555576575)</f>
        <v>0.07430555556</v>
      </c>
      <c r="T117" s="233">
        <f t="shared" si="5"/>
        <v>107.1028037</v>
      </c>
    </row>
    <row r="118">
      <c r="A118" s="136" t="s">
        <v>18</v>
      </c>
      <c r="B118" s="146">
        <v>46052.0</v>
      </c>
      <c r="C118" s="136" t="s">
        <v>53</v>
      </c>
      <c r="D118" s="136" t="s">
        <v>148</v>
      </c>
      <c r="E118" s="106">
        <v>0.013194444443797693</v>
      </c>
      <c r="F118" s="136" t="str">
        <f>IFERROR(__xludf.DUMMYFUNCTION("""COMPUTED_VALUE"""),"")</f>
        <v/>
      </c>
      <c r="G118" s="106" t="str">
        <f>IFERROR(__xludf.DUMMYFUNCTION("""COMPUTED_VALUE"""),"")</f>
        <v/>
      </c>
      <c r="H118" s="233" t="str">
        <f t="shared" si="1"/>
        <v/>
      </c>
      <c r="I118" s="136" t="str">
        <f>IFERROR(__xludf.DUMMYFUNCTION("""COMPUTED_VALUE"""),"")</f>
        <v/>
      </c>
      <c r="J118" s="106" t="str">
        <f>IFERROR(__xludf.DUMMYFUNCTION("""COMPUTED_VALUE"""),"")</f>
        <v/>
      </c>
      <c r="K118" s="233" t="str">
        <f t="shared" si="2"/>
        <v/>
      </c>
      <c r="L118" s="136" t="str">
        <f>IFERROR(__xludf.DUMMYFUNCTION("""COMPUTED_VALUE"""),"")</f>
        <v/>
      </c>
      <c r="M118" s="106" t="str">
        <f>IFERROR(__xludf.DUMMYFUNCTION("""COMPUTED_VALUE"""),"")</f>
        <v/>
      </c>
      <c r="N118" s="233" t="str">
        <f t="shared" si="3"/>
        <v/>
      </c>
      <c r="O118" s="136" t="str">
        <f>IFERROR(__xludf.DUMMYFUNCTION("""COMPUTED_VALUE"""),"")</f>
        <v/>
      </c>
      <c r="P118" s="106" t="str">
        <f>IFERROR(__xludf.DUMMYFUNCTION("""COMPUTED_VALUE"""),"")</f>
        <v/>
      </c>
      <c r="Q118" s="233" t="str">
        <f t="shared" si="4"/>
        <v/>
      </c>
      <c r="R118" s="136" t="str">
        <f>IFERROR(__xludf.DUMMYFUNCTION("""COMPUTED_VALUE"""),"")</f>
        <v/>
      </c>
      <c r="S118" s="106" t="str">
        <f>IFERROR(__xludf.DUMMYFUNCTION("""COMPUTED_VALUE"""),"")</f>
        <v/>
      </c>
      <c r="T118" s="233" t="str">
        <f t="shared" si="5"/>
        <v/>
      </c>
    </row>
    <row r="119">
      <c r="A119" s="136" t="s">
        <v>15</v>
      </c>
      <c r="B119" s="146">
        <v>46055.0</v>
      </c>
      <c r="C119" s="136" t="s">
        <v>37</v>
      </c>
      <c r="D119" s="136" t="s">
        <v>149</v>
      </c>
      <c r="E119" s="106">
        <v>0.125</v>
      </c>
      <c r="F119" s="136" t="str">
        <f>IFERROR(__xludf.DUMMYFUNCTION("""COMPUTED_VALUE"""),"")</f>
        <v/>
      </c>
      <c r="G119" s="106" t="str">
        <f>IFERROR(__xludf.DUMMYFUNCTION("""COMPUTED_VALUE"""),"")</f>
        <v/>
      </c>
      <c r="H119" s="233" t="str">
        <f t="shared" si="1"/>
        <v/>
      </c>
      <c r="I119" s="136" t="str">
        <f>IFERROR(__xludf.DUMMYFUNCTION("""COMPUTED_VALUE"""),"")</f>
        <v/>
      </c>
      <c r="J119" s="106" t="str">
        <f>IFERROR(__xludf.DUMMYFUNCTION("""COMPUTED_VALUE"""),"")</f>
        <v/>
      </c>
      <c r="K119" s="233" t="str">
        <f t="shared" si="2"/>
        <v/>
      </c>
      <c r="L119" s="136" t="str">
        <f>IFERROR(__xludf.DUMMYFUNCTION("""COMPUTED_VALUE"""),"")</f>
        <v/>
      </c>
      <c r="M119" s="106" t="str">
        <f>IFERROR(__xludf.DUMMYFUNCTION("""COMPUTED_VALUE"""),"")</f>
        <v/>
      </c>
      <c r="N119" s="233" t="str">
        <f t="shared" si="3"/>
        <v/>
      </c>
      <c r="O119" s="136" t="str">
        <f>IFERROR(__xludf.DUMMYFUNCTION("""COMPUTED_VALUE"""),"")</f>
        <v/>
      </c>
      <c r="P119" s="106" t="str">
        <f>IFERROR(__xludf.DUMMYFUNCTION("""COMPUTED_VALUE"""),"")</f>
        <v/>
      </c>
      <c r="Q119" s="233" t="str">
        <f t="shared" si="4"/>
        <v/>
      </c>
      <c r="R119" s="136" t="str">
        <f>IFERROR(__xludf.DUMMYFUNCTION("""COMPUTED_VALUE"""),"")</f>
        <v/>
      </c>
      <c r="S119" s="106" t="str">
        <f>IFERROR(__xludf.DUMMYFUNCTION("""COMPUTED_VALUE"""),"")</f>
        <v/>
      </c>
      <c r="T119" s="233" t="str">
        <f t="shared" si="5"/>
        <v/>
      </c>
    </row>
    <row r="120">
      <c r="A120" s="136" t="s">
        <v>18</v>
      </c>
      <c r="B120" s="146">
        <v>46055.0</v>
      </c>
      <c r="C120" s="136" t="s">
        <v>37</v>
      </c>
      <c r="D120" s="136" t="s">
        <v>148</v>
      </c>
      <c r="E120" s="106">
        <v>0.07638888889050577</v>
      </c>
      <c r="F120" s="136" t="str">
        <f>IFERROR(__xludf.DUMMYFUNCTION("""COMPUTED_VALUE"""),"")</f>
        <v/>
      </c>
      <c r="G120" s="106" t="str">
        <f>IFERROR(__xludf.DUMMYFUNCTION("""COMPUTED_VALUE"""),"")</f>
        <v/>
      </c>
      <c r="H120" s="233" t="str">
        <f t="shared" si="1"/>
        <v/>
      </c>
      <c r="I120" s="136" t="str">
        <f>IFERROR(__xludf.DUMMYFUNCTION("""COMPUTED_VALUE"""),"")</f>
        <v/>
      </c>
      <c r="J120" s="106" t="str">
        <f>IFERROR(__xludf.DUMMYFUNCTION("""COMPUTED_VALUE"""),"")</f>
        <v/>
      </c>
      <c r="K120" s="233" t="str">
        <f t="shared" si="2"/>
        <v/>
      </c>
      <c r="L120" s="136" t="str">
        <f>IFERROR(__xludf.DUMMYFUNCTION("""COMPUTED_VALUE"""),"")</f>
        <v/>
      </c>
      <c r="M120" s="106" t="str">
        <f>IFERROR(__xludf.DUMMYFUNCTION("""COMPUTED_VALUE"""),"")</f>
        <v/>
      </c>
      <c r="N120" s="233" t="str">
        <f t="shared" si="3"/>
        <v/>
      </c>
      <c r="O120" s="136" t="str">
        <f>IFERROR(__xludf.DUMMYFUNCTION("""COMPUTED_VALUE"""),"")</f>
        <v/>
      </c>
      <c r="P120" s="106" t="str">
        <f>IFERROR(__xludf.DUMMYFUNCTION("""COMPUTED_VALUE"""),"")</f>
        <v/>
      </c>
      <c r="Q120" s="233" t="str">
        <f t="shared" si="4"/>
        <v/>
      </c>
      <c r="R120" s="136" t="str">
        <f>IFERROR(__xludf.DUMMYFUNCTION("""COMPUTED_VALUE"""),"")</f>
        <v/>
      </c>
      <c r="S120" s="106" t="str">
        <f>IFERROR(__xludf.DUMMYFUNCTION("""COMPUTED_VALUE"""),"")</f>
        <v/>
      </c>
      <c r="T120" s="233" t="str">
        <f t="shared" si="5"/>
        <v/>
      </c>
    </row>
    <row r="121">
      <c r="A121" s="136" t="s">
        <v>18</v>
      </c>
      <c r="B121" s="146">
        <v>46055.0</v>
      </c>
      <c r="C121" s="136" t="s">
        <v>37</v>
      </c>
      <c r="D121" s="136" t="s">
        <v>149</v>
      </c>
      <c r="E121" s="106">
        <v>0.17013888889050577</v>
      </c>
      <c r="F121" s="136">
        <f>IFERROR(__xludf.DUMMYFUNCTION("""COMPUTED_VALUE"""),0.0)</f>
        <v>0</v>
      </c>
      <c r="G121" s="106">
        <f>IFERROR(__xludf.DUMMYFUNCTION("""COMPUTED_VALUE"""),0.0)</f>
        <v>0</v>
      </c>
      <c r="H121" s="233" t="str">
        <f t="shared" si="1"/>
        <v/>
      </c>
      <c r="I121" s="136">
        <f>IFERROR(__xludf.DUMMYFUNCTION("""COMPUTED_VALUE"""),0.0)</f>
        <v>0</v>
      </c>
      <c r="J121" s="106">
        <f>IFERROR(__xludf.DUMMYFUNCTION("""COMPUTED_VALUE"""),0.0)</f>
        <v>0</v>
      </c>
      <c r="K121" s="233" t="str">
        <f t="shared" si="2"/>
        <v/>
      </c>
      <c r="L121" s="136">
        <f>IFERROR(__xludf.DUMMYFUNCTION("""COMPUTED_VALUE"""),106.0)</f>
        <v>106</v>
      </c>
      <c r="M121" s="106">
        <f>IFERROR(__xludf.DUMMYFUNCTION("""COMPUTED_VALUE"""),0.125)</f>
        <v>0.125</v>
      </c>
      <c r="N121" s="233">
        <f t="shared" si="3"/>
        <v>35.33333333</v>
      </c>
      <c r="O121" s="136">
        <f>IFERROR(__xludf.DUMMYFUNCTION("""COMPUTED_VALUE"""),0.0)</f>
        <v>0</v>
      </c>
      <c r="P121" s="106">
        <f>IFERROR(__xludf.DUMMYFUNCTION("""COMPUTED_VALUE"""),0.0)</f>
        <v>0</v>
      </c>
      <c r="Q121" s="233" t="str">
        <f t="shared" si="4"/>
        <v/>
      </c>
      <c r="R121" s="136">
        <f>IFERROR(__xludf.DUMMYFUNCTION("""COMPUTED_VALUE"""),414.0)</f>
        <v>414</v>
      </c>
      <c r="S121" s="106">
        <f>IFERROR(__xludf.DUMMYFUNCTION("""COMPUTED_VALUE"""),0.37152777778101154)</f>
        <v>0.3715277778</v>
      </c>
      <c r="T121" s="233">
        <f t="shared" si="5"/>
        <v>46.42990654</v>
      </c>
    </row>
    <row r="122">
      <c r="A122" s="136" t="s">
        <v>18</v>
      </c>
      <c r="B122" s="146">
        <v>46055.0</v>
      </c>
      <c r="C122" s="136" t="s">
        <v>37</v>
      </c>
      <c r="D122" s="136" t="s">
        <v>148</v>
      </c>
      <c r="E122" s="106">
        <v>0.125</v>
      </c>
      <c r="F122" s="136" t="str">
        <f>IFERROR(__xludf.DUMMYFUNCTION("""COMPUTED_VALUE"""),"")</f>
        <v/>
      </c>
      <c r="G122" s="106" t="str">
        <f>IFERROR(__xludf.DUMMYFUNCTION("""COMPUTED_VALUE"""),"")</f>
        <v/>
      </c>
      <c r="H122" s="233" t="str">
        <f t="shared" si="1"/>
        <v/>
      </c>
      <c r="I122" s="136" t="str">
        <f>IFERROR(__xludf.DUMMYFUNCTION("""COMPUTED_VALUE"""),"")</f>
        <v/>
      </c>
      <c r="J122" s="106" t="str">
        <f>IFERROR(__xludf.DUMMYFUNCTION("""COMPUTED_VALUE"""),"")</f>
        <v/>
      </c>
      <c r="K122" s="233" t="str">
        <f t="shared" si="2"/>
        <v/>
      </c>
      <c r="L122" s="136" t="str">
        <f>IFERROR(__xludf.DUMMYFUNCTION("""COMPUTED_VALUE"""),"")</f>
        <v/>
      </c>
      <c r="M122" s="106" t="str">
        <f>IFERROR(__xludf.DUMMYFUNCTION("""COMPUTED_VALUE"""),"")</f>
        <v/>
      </c>
      <c r="N122" s="233" t="str">
        <f t="shared" si="3"/>
        <v/>
      </c>
      <c r="O122" s="136" t="str">
        <f>IFERROR(__xludf.DUMMYFUNCTION("""COMPUTED_VALUE"""),"")</f>
        <v/>
      </c>
      <c r="P122" s="106" t="str">
        <f>IFERROR(__xludf.DUMMYFUNCTION("""COMPUTED_VALUE"""),"")</f>
        <v/>
      </c>
      <c r="Q122" s="233" t="str">
        <f t="shared" si="4"/>
        <v/>
      </c>
      <c r="R122" s="136" t="str">
        <f>IFERROR(__xludf.DUMMYFUNCTION("""COMPUTED_VALUE"""),"")</f>
        <v/>
      </c>
      <c r="S122" s="106" t="str">
        <f>IFERROR(__xludf.DUMMYFUNCTION("""COMPUTED_VALUE"""),"")</f>
        <v/>
      </c>
      <c r="T122" s="233" t="str">
        <f t="shared" si="5"/>
        <v/>
      </c>
    </row>
    <row r="123">
      <c r="A123" s="136" t="s">
        <v>12</v>
      </c>
      <c r="B123" s="146">
        <v>46056.0</v>
      </c>
      <c r="C123" s="136" t="s">
        <v>41</v>
      </c>
      <c r="D123" s="136" t="s">
        <v>149</v>
      </c>
      <c r="E123" s="106">
        <v>0.02916666666715173</v>
      </c>
      <c r="F123" s="136" t="str">
        <f>IFERROR(__xludf.DUMMYFUNCTION("""COMPUTED_VALUE"""),"")</f>
        <v/>
      </c>
      <c r="G123" s="106" t="str">
        <f>IFERROR(__xludf.DUMMYFUNCTION("""COMPUTED_VALUE"""),"")</f>
        <v/>
      </c>
      <c r="H123" s="233" t="str">
        <f t="shared" si="1"/>
        <v/>
      </c>
      <c r="I123" s="136" t="str">
        <f>IFERROR(__xludf.DUMMYFUNCTION("""COMPUTED_VALUE"""),"")</f>
        <v/>
      </c>
      <c r="J123" s="106" t="str">
        <f>IFERROR(__xludf.DUMMYFUNCTION("""COMPUTED_VALUE"""),"")</f>
        <v/>
      </c>
      <c r="K123" s="233" t="str">
        <f t="shared" si="2"/>
        <v/>
      </c>
      <c r="L123" s="136" t="str">
        <f>IFERROR(__xludf.DUMMYFUNCTION("""COMPUTED_VALUE"""),"")</f>
        <v/>
      </c>
      <c r="M123" s="106" t="str">
        <f>IFERROR(__xludf.DUMMYFUNCTION("""COMPUTED_VALUE"""),"")</f>
        <v/>
      </c>
      <c r="N123" s="233" t="str">
        <f t="shared" si="3"/>
        <v/>
      </c>
      <c r="O123" s="136" t="str">
        <f>IFERROR(__xludf.DUMMYFUNCTION("""COMPUTED_VALUE"""),"")</f>
        <v/>
      </c>
      <c r="P123" s="106" t="str">
        <f>IFERROR(__xludf.DUMMYFUNCTION("""COMPUTED_VALUE"""),"")</f>
        <v/>
      </c>
      <c r="Q123" s="233" t="str">
        <f t="shared" si="4"/>
        <v/>
      </c>
      <c r="R123" s="136" t="str">
        <f>IFERROR(__xludf.DUMMYFUNCTION("""COMPUTED_VALUE"""),"")</f>
        <v/>
      </c>
      <c r="S123" s="106" t="str">
        <f>IFERROR(__xludf.DUMMYFUNCTION("""COMPUTED_VALUE"""),"")</f>
        <v/>
      </c>
      <c r="T123" s="233" t="str">
        <f t="shared" si="5"/>
        <v/>
      </c>
    </row>
    <row r="124">
      <c r="A124" s="136" t="s">
        <v>12</v>
      </c>
      <c r="B124" s="146">
        <v>46056.0</v>
      </c>
      <c r="C124" s="136" t="s">
        <v>41</v>
      </c>
      <c r="D124" s="136" t="s">
        <v>149</v>
      </c>
      <c r="E124" s="106">
        <v>0.11597222222189885</v>
      </c>
      <c r="F124" s="136" t="str">
        <f>IFERROR(__xludf.DUMMYFUNCTION("""COMPUTED_VALUE"""),"")</f>
        <v/>
      </c>
      <c r="G124" s="106" t="str">
        <f>IFERROR(__xludf.DUMMYFUNCTION("""COMPUTED_VALUE"""),"")</f>
        <v/>
      </c>
      <c r="H124" s="233" t="str">
        <f t="shared" si="1"/>
        <v/>
      </c>
      <c r="I124" s="136" t="str">
        <f>IFERROR(__xludf.DUMMYFUNCTION("""COMPUTED_VALUE"""),"")</f>
        <v/>
      </c>
      <c r="J124" s="106" t="str">
        <f>IFERROR(__xludf.DUMMYFUNCTION("""COMPUTED_VALUE"""),"")</f>
        <v/>
      </c>
      <c r="K124" s="233" t="str">
        <f t="shared" si="2"/>
        <v/>
      </c>
      <c r="L124" s="136" t="str">
        <f>IFERROR(__xludf.DUMMYFUNCTION("""COMPUTED_VALUE"""),"")</f>
        <v/>
      </c>
      <c r="M124" s="106" t="str">
        <f>IFERROR(__xludf.DUMMYFUNCTION("""COMPUTED_VALUE"""),"")</f>
        <v/>
      </c>
      <c r="N124" s="233" t="str">
        <f t="shared" si="3"/>
        <v/>
      </c>
      <c r="O124" s="136" t="str">
        <f>IFERROR(__xludf.DUMMYFUNCTION("""COMPUTED_VALUE"""),"")</f>
        <v/>
      </c>
      <c r="P124" s="106" t="str">
        <f>IFERROR(__xludf.DUMMYFUNCTION("""COMPUTED_VALUE"""),"")</f>
        <v/>
      </c>
      <c r="Q124" s="233" t="str">
        <f t="shared" si="4"/>
        <v/>
      </c>
      <c r="R124" s="136" t="str">
        <f>IFERROR(__xludf.DUMMYFUNCTION("""COMPUTED_VALUE"""),"")</f>
        <v/>
      </c>
      <c r="S124" s="106" t="str">
        <f>IFERROR(__xludf.DUMMYFUNCTION("""COMPUTED_VALUE"""),"")</f>
        <v/>
      </c>
      <c r="T124" s="233" t="str">
        <f t="shared" si="5"/>
        <v/>
      </c>
    </row>
    <row r="125">
      <c r="A125" s="136" t="s">
        <v>134</v>
      </c>
      <c r="B125" s="146">
        <v>46056.0</v>
      </c>
      <c r="C125" s="136" t="s">
        <v>41</v>
      </c>
      <c r="D125" s="136" t="s">
        <v>149</v>
      </c>
      <c r="E125" s="106">
        <v>0.07499999999708962</v>
      </c>
      <c r="F125" s="136" t="str">
        <f>IFERROR(__xludf.DUMMYFUNCTION("""COMPUTED_VALUE"""),"")</f>
        <v/>
      </c>
      <c r="G125" s="106" t="str">
        <f>IFERROR(__xludf.DUMMYFUNCTION("""COMPUTED_VALUE"""),"")</f>
        <v/>
      </c>
      <c r="H125" s="233" t="str">
        <f t="shared" si="1"/>
        <v/>
      </c>
      <c r="I125" s="136" t="str">
        <f>IFERROR(__xludf.DUMMYFUNCTION("""COMPUTED_VALUE"""),"")</f>
        <v/>
      </c>
      <c r="J125" s="106" t="str">
        <f>IFERROR(__xludf.DUMMYFUNCTION("""COMPUTED_VALUE"""),"")</f>
        <v/>
      </c>
      <c r="K125" s="233" t="str">
        <f t="shared" si="2"/>
        <v/>
      </c>
      <c r="L125" s="136" t="str">
        <f>IFERROR(__xludf.DUMMYFUNCTION("""COMPUTED_VALUE"""),"")</f>
        <v/>
      </c>
      <c r="M125" s="106" t="str">
        <f>IFERROR(__xludf.DUMMYFUNCTION("""COMPUTED_VALUE"""),"")</f>
        <v/>
      </c>
      <c r="N125" s="233" t="str">
        <f t="shared" si="3"/>
        <v/>
      </c>
      <c r="O125" s="136" t="str">
        <f>IFERROR(__xludf.DUMMYFUNCTION("""COMPUTED_VALUE"""),"")</f>
        <v/>
      </c>
      <c r="P125" s="106" t="str">
        <f>IFERROR(__xludf.DUMMYFUNCTION("""COMPUTED_VALUE"""),"")</f>
        <v/>
      </c>
      <c r="Q125" s="233" t="str">
        <f t="shared" si="4"/>
        <v/>
      </c>
      <c r="R125" s="136" t="str">
        <f>IFERROR(__xludf.DUMMYFUNCTION("""COMPUTED_VALUE"""),"")</f>
        <v/>
      </c>
      <c r="S125" s="106" t="str">
        <f>IFERROR(__xludf.DUMMYFUNCTION("""COMPUTED_VALUE"""),"")</f>
        <v/>
      </c>
      <c r="T125" s="233" t="str">
        <f t="shared" si="5"/>
        <v/>
      </c>
    </row>
    <row r="126">
      <c r="A126" s="136" t="s">
        <v>15</v>
      </c>
      <c r="B126" s="146">
        <v>46056.0</v>
      </c>
      <c r="C126" s="136" t="s">
        <v>41</v>
      </c>
      <c r="D126" s="136" t="s">
        <v>148</v>
      </c>
      <c r="E126" s="106">
        <v>0.07013888889196096</v>
      </c>
      <c r="F126" s="136" t="str">
        <f>IFERROR(__xludf.DUMMYFUNCTION("""COMPUTED_VALUE"""),"")</f>
        <v/>
      </c>
      <c r="G126" s="106" t="str">
        <f>IFERROR(__xludf.DUMMYFUNCTION("""COMPUTED_VALUE"""),"")</f>
        <v/>
      </c>
      <c r="H126" s="233" t="str">
        <f t="shared" si="1"/>
        <v/>
      </c>
      <c r="I126" s="136" t="str">
        <f>IFERROR(__xludf.DUMMYFUNCTION("""COMPUTED_VALUE"""),"")</f>
        <v/>
      </c>
      <c r="J126" s="106" t="str">
        <f>IFERROR(__xludf.DUMMYFUNCTION("""COMPUTED_VALUE"""),"")</f>
        <v/>
      </c>
      <c r="K126" s="233" t="str">
        <f t="shared" si="2"/>
        <v/>
      </c>
      <c r="L126" s="136" t="str">
        <f>IFERROR(__xludf.DUMMYFUNCTION("""COMPUTED_VALUE"""),"")</f>
        <v/>
      </c>
      <c r="M126" s="106" t="str">
        <f>IFERROR(__xludf.DUMMYFUNCTION("""COMPUTED_VALUE"""),"")</f>
        <v/>
      </c>
      <c r="N126" s="233" t="str">
        <f t="shared" si="3"/>
        <v/>
      </c>
      <c r="O126" s="136" t="str">
        <f>IFERROR(__xludf.DUMMYFUNCTION("""COMPUTED_VALUE"""),"")</f>
        <v/>
      </c>
      <c r="P126" s="106" t="str">
        <f>IFERROR(__xludf.DUMMYFUNCTION("""COMPUTED_VALUE"""),"")</f>
        <v/>
      </c>
      <c r="Q126" s="233" t="str">
        <f t="shared" si="4"/>
        <v/>
      </c>
      <c r="R126" s="136" t="str">
        <f>IFERROR(__xludf.DUMMYFUNCTION("""COMPUTED_VALUE"""),"")</f>
        <v/>
      </c>
      <c r="S126" s="106" t="str">
        <f>IFERROR(__xludf.DUMMYFUNCTION("""COMPUTED_VALUE"""),"")</f>
        <v/>
      </c>
      <c r="T126" s="233" t="str">
        <f t="shared" si="5"/>
        <v/>
      </c>
    </row>
    <row r="127">
      <c r="A127" s="136" t="s">
        <v>15</v>
      </c>
      <c r="B127" s="146">
        <v>46056.0</v>
      </c>
      <c r="C127" s="136" t="s">
        <v>41</v>
      </c>
      <c r="D127" s="136" t="s">
        <v>148</v>
      </c>
      <c r="E127" s="106">
        <v>0.0625</v>
      </c>
      <c r="F127" s="136" t="str">
        <f>IFERROR(__xludf.DUMMYFUNCTION("""COMPUTED_VALUE"""),"")</f>
        <v/>
      </c>
      <c r="G127" s="106" t="str">
        <f>IFERROR(__xludf.DUMMYFUNCTION("""COMPUTED_VALUE"""),"")</f>
        <v/>
      </c>
      <c r="H127" s="233" t="str">
        <f t="shared" si="1"/>
        <v/>
      </c>
      <c r="I127" s="136" t="str">
        <f>IFERROR(__xludf.DUMMYFUNCTION("""COMPUTED_VALUE"""),"")</f>
        <v/>
      </c>
      <c r="J127" s="106" t="str">
        <f>IFERROR(__xludf.DUMMYFUNCTION("""COMPUTED_VALUE"""),"")</f>
        <v/>
      </c>
      <c r="K127" s="233" t="str">
        <f t="shared" si="2"/>
        <v/>
      </c>
      <c r="L127" s="136" t="str">
        <f>IFERROR(__xludf.DUMMYFUNCTION("""COMPUTED_VALUE"""),"")</f>
        <v/>
      </c>
      <c r="M127" s="106" t="str">
        <f>IFERROR(__xludf.DUMMYFUNCTION("""COMPUTED_VALUE"""),"")</f>
        <v/>
      </c>
      <c r="N127" s="233" t="str">
        <f t="shared" si="3"/>
        <v/>
      </c>
      <c r="O127" s="136" t="str">
        <f>IFERROR(__xludf.DUMMYFUNCTION("""COMPUTED_VALUE"""),"")</f>
        <v/>
      </c>
      <c r="P127" s="106" t="str">
        <f>IFERROR(__xludf.DUMMYFUNCTION("""COMPUTED_VALUE"""),"")</f>
        <v/>
      </c>
      <c r="Q127" s="233" t="str">
        <f t="shared" si="4"/>
        <v/>
      </c>
      <c r="R127" s="136" t="str">
        <f>IFERROR(__xludf.DUMMYFUNCTION("""COMPUTED_VALUE"""),"")</f>
        <v/>
      </c>
      <c r="S127" s="106" t="str">
        <f>IFERROR(__xludf.DUMMYFUNCTION("""COMPUTED_VALUE"""),"")</f>
        <v/>
      </c>
      <c r="T127" s="233" t="str">
        <f t="shared" si="5"/>
        <v/>
      </c>
    </row>
    <row r="128">
      <c r="A128" s="136" t="s">
        <v>18</v>
      </c>
      <c r="B128" s="146">
        <v>46056.0</v>
      </c>
      <c r="C128" s="136" t="s">
        <v>41</v>
      </c>
      <c r="D128" s="136" t="s">
        <v>149</v>
      </c>
      <c r="E128" s="106">
        <v>0.0625</v>
      </c>
      <c r="F128" s="136" t="str">
        <f>IFERROR(__xludf.DUMMYFUNCTION("""COMPUTED_VALUE"""),"")</f>
        <v/>
      </c>
      <c r="G128" s="106" t="str">
        <f>IFERROR(__xludf.DUMMYFUNCTION("""COMPUTED_VALUE"""),"")</f>
        <v/>
      </c>
      <c r="H128" s="233" t="str">
        <f t="shared" si="1"/>
        <v/>
      </c>
      <c r="I128" s="136" t="str">
        <f>IFERROR(__xludf.DUMMYFUNCTION("""COMPUTED_VALUE"""),"")</f>
        <v/>
      </c>
      <c r="J128" s="106" t="str">
        <f>IFERROR(__xludf.DUMMYFUNCTION("""COMPUTED_VALUE"""),"")</f>
        <v/>
      </c>
      <c r="K128" s="233" t="str">
        <f t="shared" si="2"/>
        <v/>
      </c>
      <c r="L128" s="136" t="str">
        <f>IFERROR(__xludf.DUMMYFUNCTION("""COMPUTED_VALUE"""),"")</f>
        <v/>
      </c>
      <c r="M128" s="106" t="str">
        <f>IFERROR(__xludf.DUMMYFUNCTION("""COMPUTED_VALUE"""),"")</f>
        <v/>
      </c>
      <c r="N128" s="233" t="str">
        <f t="shared" si="3"/>
        <v/>
      </c>
      <c r="O128" s="136" t="str">
        <f>IFERROR(__xludf.DUMMYFUNCTION("""COMPUTED_VALUE"""),"")</f>
        <v/>
      </c>
      <c r="P128" s="106" t="str">
        <f>IFERROR(__xludf.DUMMYFUNCTION("""COMPUTED_VALUE"""),"")</f>
        <v/>
      </c>
      <c r="Q128" s="233" t="str">
        <f t="shared" si="4"/>
        <v/>
      </c>
      <c r="R128" s="136" t="str">
        <f>IFERROR(__xludf.DUMMYFUNCTION("""COMPUTED_VALUE"""),"")</f>
        <v/>
      </c>
      <c r="S128" s="106" t="str">
        <f>IFERROR(__xludf.DUMMYFUNCTION("""COMPUTED_VALUE"""),"")</f>
        <v/>
      </c>
      <c r="T128" s="233" t="str">
        <f t="shared" si="5"/>
        <v/>
      </c>
    </row>
    <row r="129">
      <c r="A129" s="136" t="s">
        <v>18</v>
      </c>
      <c r="B129" s="146">
        <v>46056.0</v>
      </c>
      <c r="C129" s="136" t="s">
        <v>41</v>
      </c>
      <c r="D129" s="136" t="s">
        <v>149</v>
      </c>
      <c r="E129" s="106">
        <v>0.08680555556202307</v>
      </c>
      <c r="F129" s="136" t="str">
        <f>IFERROR(__xludf.DUMMYFUNCTION("""COMPUTED_VALUE"""),"")</f>
        <v/>
      </c>
      <c r="G129" s="106" t="str">
        <f>IFERROR(__xludf.DUMMYFUNCTION("""COMPUTED_VALUE"""),"")</f>
        <v/>
      </c>
      <c r="H129" s="233" t="str">
        <f t="shared" si="1"/>
        <v/>
      </c>
      <c r="I129" s="136" t="str">
        <f>IFERROR(__xludf.DUMMYFUNCTION("""COMPUTED_VALUE"""),"")</f>
        <v/>
      </c>
      <c r="J129" s="106" t="str">
        <f>IFERROR(__xludf.DUMMYFUNCTION("""COMPUTED_VALUE"""),"")</f>
        <v/>
      </c>
      <c r="K129" s="233" t="str">
        <f t="shared" si="2"/>
        <v/>
      </c>
      <c r="L129" s="136" t="str">
        <f>IFERROR(__xludf.DUMMYFUNCTION("""COMPUTED_VALUE"""),"")</f>
        <v/>
      </c>
      <c r="M129" s="106" t="str">
        <f>IFERROR(__xludf.DUMMYFUNCTION("""COMPUTED_VALUE"""),"")</f>
        <v/>
      </c>
      <c r="N129" s="233" t="str">
        <f t="shared" si="3"/>
        <v/>
      </c>
      <c r="O129" s="136" t="str">
        <f>IFERROR(__xludf.DUMMYFUNCTION("""COMPUTED_VALUE"""),"")</f>
        <v/>
      </c>
      <c r="P129" s="106" t="str">
        <f>IFERROR(__xludf.DUMMYFUNCTION("""COMPUTED_VALUE"""),"")</f>
        <v/>
      </c>
      <c r="Q129" s="233" t="str">
        <f t="shared" si="4"/>
        <v/>
      </c>
      <c r="R129" s="136" t="str">
        <f>IFERROR(__xludf.DUMMYFUNCTION("""COMPUTED_VALUE"""),"")</f>
        <v/>
      </c>
      <c r="S129" s="106" t="str">
        <f>IFERROR(__xludf.DUMMYFUNCTION("""COMPUTED_VALUE"""),"")</f>
        <v/>
      </c>
      <c r="T129" s="233" t="str">
        <f t="shared" si="5"/>
        <v/>
      </c>
    </row>
    <row r="130">
      <c r="A130" s="136" t="s">
        <v>18</v>
      </c>
      <c r="B130" s="146">
        <v>46056.0</v>
      </c>
      <c r="C130" s="136" t="s">
        <v>41</v>
      </c>
      <c r="D130" s="136" t="s">
        <v>148</v>
      </c>
      <c r="E130" s="106">
        <v>0.0847222222291748</v>
      </c>
      <c r="F130" s="136" t="str">
        <f>IFERROR(__xludf.DUMMYFUNCTION("""COMPUTED_VALUE"""),"")</f>
        <v/>
      </c>
      <c r="G130" s="106" t="str">
        <f>IFERROR(__xludf.DUMMYFUNCTION("""COMPUTED_VALUE"""),"")</f>
        <v/>
      </c>
      <c r="H130" s="233" t="str">
        <f t="shared" si="1"/>
        <v/>
      </c>
      <c r="I130" s="136" t="str">
        <f>IFERROR(__xludf.DUMMYFUNCTION("""COMPUTED_VALUE"""),"")</f>
        <v/>
      </c>
      <c r="J130" s="106" t="str">
        <f>IFERROR(__xludf.DUMMYFUNCTION("""COMPUTED_VALUE"""),"")</f>
        <v/>
      </c>
      <c r="K130" s="233" t="str">
        <f t="shared" si="2"/>
        <v/>
      </c>
      <c r="L130" s="136" t="str">
        <f>IFERROR(__xludf.DUMMYFUNCTION("""COMPUTED_VALUE"""),"")</f>
        <v/>
      </c>
      <c r="M130" s="106" t="str">
        <f>IFERROR(__xludf.DUMMYFUNCTION("""COMPUTED_VALUE"""),"")</f>
        <v/>
      </c>
      <c r="N130" s="233" t="str">
        <f t="shared" si="3"/>
        <v/>
      </c>
      <c r="O130" s="136" t="str">
        <f>IFERROR(__xludf.DUMMYFUNCTION("""COMPUTED_VALUE"""),"")</f>
        <v/>
      </c>
      <c r="P130" s="106" t="str">
        <f>IFERROR(__xludf.DUMMYFUNCTION("""COMPUTED_VALUE"""),"")</f>
        <v/>
      </c>
      <c r="Q130" s="233" t="str">
        <f t="shared" si="4"/>
        <v/>
      </c>
      <c r="R130" s="136" t="str">
        <f>IFERROR(__xludf.DUMMYFUNCTION("""COMPUTED_VALUE"""),"")</f>
        <v/>
      </c>
      <c r="S130" s="106" t="str">
        <f>IFERROR(__xludf.DUMMYFUNCTION("""COMPUTED_VALUE"""),"")</f>
        <v/>
      </c>
      <c r="T130" s="233" t="str">
        <f t="shared" si="5"/>
        <v/>
      </c>
    </row>
    <row r="131">
      <c r="A131" s="136" t="s">
        <v>18</v>
      </c>
      <c r="B131" s="146">
        <v>46056.0</v>
      </c>
      <c r="C131" s="136" t="s">
        <v>41</v>
      </c>
      <c r="D131" s="136" t="s">
        <v>148</v>
      </c>
      <c r="E131" s="106">
        <v>0.08333333333575865</v>
      </c>
      <c r="F131" s="136">
        <f>IFERROR(__xludf.DUMMYFUNCTION("""COMPUTED_VALUE"""),136.0)</f>
        <v>136</v>
      </c>
      <c r="G131" s="106">
        <f>IFERROR(__xludf.DUMMYFUNCTION("""COMPUTED_VALUE"""),0.14513888888905058)</f>
        <v>0.1451388889</v>
      </c>
      <c r="H131" s="233">
        <f t="shared" si="1"/>
        <v>39.0430622</v>
      </c>
      <c r="I131" s="136">
        <f>IFERROR(__xludf.DUMMYFUNCTION("""COMPUTED_VALUE"""),73.0)</f>
        <v>73</v>
      </c>
      <c r="J131" s="106">
        <f>IFERROR(__xludf.DUMMYFUNCTION("""COMPUTED_VALUE"""),0.07499999999708962)</f>
        <v>0.075</v>
      </c>
      <c r="K131" s="233">
        <f t="shared" si="2"/>
        <v>40.55555556</v>
      </c>
      <c r="L131" s="136">
        <f>IFERROR(__xludf.DUMMYFUNCTION("""COMPUTED_VALUE"""),276.0)</f>
        <v>276</v>
      </c>
      <c r="M131" s="106">
        <f>IFERROR(__xludf.DUMMYFUNCTION("""COMPUTED_VALUE"""),0.2541666666705472)</f>
        <v>0.2541666667</v>
      </c>
      <c r="N131" s="233">
        <f t="shared" si="3"/>
        <v>45.24590164</v>
      </c>
      <c r="O131" s="136">
        <f>IFERROR(__xludf.DUMMYFUNCTION("""COMPUTED_VALUE"""),0.0)</f>
        <v>0</v>
      </c>
      <c r="P131" s="106">
        <f>IFERROR(__xludf.DUMMYFUNCTION("""COMPUTED_VALUE"""),0.0)</f>
        <v>0</v>
      </c>
      <c r="Q131" s="233" t="str">
        <f t="shared" si="4"/>
        <v/>
      </c>
      <c r="R131" s="136">
        <f>IFERROR(__xludf.DUMMYFUNCTION("""COMPUTED_VALUE"""),405.0)</f>
        <v>405</v>
      </c>
      <c r="S131" s="106">
        <f>IFERROR(__xludf.DUMMYFUNCTION("""COMPUTED_VALUE"""),0.31736111112695653)</f>
        <v>0.3173611111</v>
      </c>
      <c r="T131" s="233">
        <f t="shared" si="5"/>
        <v>53.17286652</v>
      </c>
    </row>
    <row r="132">
      <c r="A132" s="136" t="s">
        <v>15</v>
      </c>
      <c r="B132" s="146">
        <v>46056.0</v>
      </c>
      <c r="C132" s="136" t="s">
        <v>41</v>
      </c>
      <c r="D132" s="136" t="s">
        <v>149</v>
      </c>
      <c r="E132" s="106">
        <v>0.12152777777858625</v>
      </c>
      <c r="F132" s="136" t="str">
        <f>IFERROR(__xludf.DUMMYFUNCTION("""COMPUTED_VALUE"""),"")</f>
        <v/>
      </c>
      <c r="G132" s="106" t="str">
        <f>IFERROR(__xludf.DUMMYFUNCTION("""COMPUTED_VALUE"""),"")</f>
        <v/>
      </c>
      <c r="H132" s="233" t="str">
        <f t="shared" si="1"/>
        <v/>
      </c>
      <c r="I132" s="136" t="str">
        <f>IFERROR(__xludf.DUMMYFUNCTION("""COMPUTED_VALUE"""),"")</f>
        <v/>
      </c>
      <c r="J132" s="106" t="str">
        <f>IFERROR(__xludf.DUMMYFUNCTION("""COMPUTED_VALUE"""),"")</f>
        <v/>
      </c>
      <c r="K132" s="233" t="str">
        <f t="shared" si="2"/>
        <v/>
      </c>
      <c r="L132" s="136" t="str">
        <f>IFERROR(__xludf.DUMMYFUNCTION("""COMPUTED_VALUE"""),"")</f>
        <v/>
      </c>
      <c r="M132" s="106" t="str">
        <f>IFERROR(__xludf.DUMMYFUNCTION("""COMPUTED_VALUE"""),"")</f>
        <v/>
      </c>
      <c r="N132" s="233" t="str">
        <f t="shared" si="3"/>
        <v/>
      </c>
      <c r="O132" s="136" t="str">
        <f>IFERROR(__xludf.DUMMYFUNCTION("""COMPUTED_VALUE"""),"")</f>
        <v/>
      </c>
      <c r="P132" s="106" t="str">
        <f>IFERROR(__xludf.DUMMYFUNCTION("""COMPUTED_VALUE"""),"")</f>
        <v/>
      </c>
      <c r="Q132" s="233" t="str">
        <f t="shared" si="4"/>
        <v/>
      </c>
      <c r="R132" s="136" t="str">
        <f>IFERROR(__xludf.DUMMYFUNCTION("""COMPUTED_VALUE"""),"")</f>
        <v/>
      </c>
      <c r="S132" s="106" t="str">
        <f>IFERROR(__xludf.DUMMYFUNCTION("""COMPUTED_VALUE"""),"")</f>
        <v/>
      </c>
      <c r="T132" s="233" t="str">
        <f t="shared" si="5"/>
        <v/>
      </c>
    </row>
    <row r="133">
      <c r="A133" s="136" t="s">
        <v>12</v>
      </c>
      <c r="B133" s="146">
        <v>46057.0</v>
      </c>
      <c r="C133" s="136" t="s">
        <v>45</v>
      </c>
      <c r="D133" s="136" t="s">
        <v>149</v>
      </c>
      <c r="E133" s="106">
        <v>0.05625000000145519</v>
      </c>
      <c r="F133" s="136" t="str">
        <f>IFERROR(__xludf.DUMMYFUNCTION("""COMPUTED_VALUE"""),"")</f>
        <v/>
      </c>
      <c r="G133" s="106" t="str">
        <f>IFERROR(__xludf.DUMMYFUNCTION("""COMPUTED_VALUE"""),"")</f>
        <v/>
      </c>
      <c r="H133" s="233" t="str">
        <f t="shared" si="1"/>
        <v/>
      </c>
      <c r="I133" s="136" t="str">
        <f>IFERROR(__xludf.DUMMYFUNCTION("""COMPUTED_VALUE"""),"")</f>
        <v/>
      </c>
      <c r="J133" s="106" t="str">
        <f>IFERROR(__xludf.DUMMYFUNCTION("""COMPUTED_VALUE"""),"")</f>
        <v/>
      </c>
      <c r="K133" s="233" t="str">
        <f t="shared" si="2"/>
        <v/>
      </c>
      <c r="L133" s="136" t="str">
        <f>IFERROR(__xludf.DUMMYFUNCTION("""COMPUTED_VALUE"""),"")</f>
        <v/>
      </c>
      <c r="M133" s="106" t="str">
        <f>IFERROR(__xludf.DUMMYFUNCTION("""COMPUTED_VALUE"""),"")</f>
        <v/>
      </c>
      <c r="N133" s="233" t="str">
        <f t="shared" si="3"/>
        <v/>
      </c>
      <c r="O133" s="136" t="str">
        <f>IFERROR(__xludf.DUMMYFUNCTION("""COMPUTED_VALUE"""),"")</f>
        <v/>
      </c>
      <c r="P133" s="106" t="str">
        <f>IFERROR(__xludf.DUMMYFUNCTION("""COMPUTED_VALUE"""),"")</f>
        <v/>
      </c>
      <c r="Q133" s="233" t="str">
        <f t="shared" si="4"/>
        <v/>
      </c>
      <c r="R133" s="136" t="str">
        <f>IFERROR(__xludf.DUMMYFUNCTION("""COMPUTED_VALUE"""),"")</f>
        <v/>
      </c>
      <c r="S133" s="106" t="str">
        <f>IFERROR(__xludf.DUMMYFUNCTION("""COMPUTED_VALUE"""),"")</f>
        <v/>
      </c>
      <c r="T133" s="233" t="str">
        <f t="shared" si="5"/>
        <v/>
      </c>
    </row>
    <row r="134">
      <c r="A134" s="136" t="s">
        <v>15</v>
      </c>
      <c r="B134" s="146">
        <v>46057.0</v>
      </c>
      <c r="C134" s="136" t="s">
        <v>45</v>
      </c>
      <c r="D134" s="136" t="s">
        <v>148</v>
      </c>
      <c r="E134" s="106">
        <v>0.05902777778101154</v>
      </c>
      <c r="F134" s="136" t="str">
        <f>IFERROR(__xludf.DUMMYFUNCTION("""COMPUTED_VALUE"""),"")</f>
        <v/>
      </c>
      <c r="G134" s="106" t="str">
        <f>IFERROR(__xludf.DUMMYFUNCTION("""COMPUTED_VALUE"""),"")</f>
        <v/>
      </c>
      <c r="I134" s="136" t="str">
        <f>IFERROR(__xludf.DUMMYFUNCTION("""COMPUTED_VALUE"""),"")</f>
        <v/>
      </c>
      <c r="J134" s="106" t="str">
        <f>IFERROR(__xludf.DUMMYFUNCTION("""COMPUTED_VALUE"""),"")</f>
        <v/>
      </c>
      <c r="L134" s="136" t="str">
        <f>IFERROR(__xludf.DUMMYFUNCTION("""COMPUTED_VALUE"""),"")</f>
        <v/>
      </c>
      <c r="M134" s="106" t="str">
        <f>IFERROR(__xludf.DUMMYFUNCTION("""COMPUTED_VALUE"""),"")</f>
        <v/>
      </c>
      <c r="O134" s="136" t="str">
        <f>IFERROR(__xludf.DUMMYFUNCTION("""COMPUTED_VALUE"""),"")</f>
        <v/>
      </c>
      <c r="P134" s="106" t="str">
        <f>IFERROR(__xludf.DUMMYFUNCTION("""COMPUTED_VALUE"""),"")</f>
        <v/>
      </c>
      <c r="R134" s="136" t="str">
        <f>IFERROR(__xludf.DUMMYFUNCTION("""COMPUTED_VALUE"""),"")</f>
        <v/>
      </c>
      <c r="S134" s="106" t="str">
        <f>IFERROR(__xludf.DUMMYFUNCTION("""COMPUTED_VALUE"""),"")</f>
        <v/>
      </c>
    </row>
    <row r="135">
      <c r="A135" s="136" t="s">
        <v>15</v>
      </c>
      <c r="B135" s="146">
        <v>46057.0</v>
      </c>
      <c r="C135" s="136" t="s">
        <v>45</v>
      </c>
      <c r="D135" s="136" t="s">
        <v>148</v>
      </c>
      <c r="E135" s="106">
        <v>0.07916666667006211</v>
      </c>
      <c r="F135" s="136" t="str">
        <f>IFERROR(__xludf.DUMMYFUNCTION("""COMPUTED_VALUE"""),"")</f>
        <v/>
      </c>
      <c r="G135" s="106" t="str">
        <f>IFERROR(__xludf.DUMMYFUNCTION("""COMPUTED_VALUE"""),"")</f>
        <v/>
      </c>
      <c r="I135" s="136" t="str">
        <f>IFERROR(__xludf.DUMMYFUNCTION("""COMPUTED_VALUE"""),"")</f>
        <v/>
      </c>
      <c r="J135" s="106" t="str">
        <f>IFERROR(__xludf.DUMMYFUNCTION("""COMPUTED_VALUE"""),"")</f>
        <v/>
      </c>
      <c r="L135" s="136" t="str">
        <f>IFERROR(__xludf.DUMMYFUNCTION("""COMPUTED_VALUE"""),"")</f>
        <v/>
      </c>
      <c r="M135" s="106" t="str">
        <f>IFERROR(__xludf.DUMMYFUNCTION("""COMPUTED_VALUE"""),"")</f>
        <v/>
      </c>
      <c r="O135" s="136" t="str">
        <f>IFERROR(__xludf.DUMMYFUNCTION("""COMPUTED_VALUE"""),"")</f>
        <v/>
      </c>
      <c r="P135" s="106" t="str">
        <f>IFERROR(__xludf.DUMMYFUNCTION("""COMPUTED_VALUE"""),"")</f>
        <v/>
      </c>
      <c r="R135" s="136" t="str">
        <f>IFERROR(__xludf.DUMMYFUNCTION("""COMPUTED_VALUE"""),"")</f>
        <v/>
      </c>
      <c r="S135" s="106" t="str">
        <f>IFERROR(__xludf.DUMMYFUNCTION("""COMPUTED_VALUE"""),"")</f>
        <v/>
      </c>
    </row>
    <row r="136">
      <c r="A136" s="136" t="s">
        <v>15</v>
      </c>
      <c r="B136" s="146">
        <v>46057.0</v>
      </c>
      <c r="C136" s="136" t="s">
        <v>45</v>
      </c>
      <c r="D136" s="136" t="s">
        <v>149</v>
      </c>
      <c r="E136" s="106">
        <v>0.14583333333575865</v>
      </c>
      <c r="F136" s="136" t="str">
        <f>IFERROR(__xludf.DUMMYFUNCTION("""COMPUTED_VALUE"""),"")</f>
        <v/>
      </c>
      <c r="G136" s="106" t="str">
        <f>IFERROR(__xludf.DUMMYFUNCTION("""COMPUTED_VALUE"""),"")</f>
        <v/>
      </c>
      <c r="I136" s="136" t="str">
        <f>IFERROR(__xludf.DUMMYFUNCTION("""COMPUTED_VALUE"""),"")</f>
        <v/>
      </c>
      <c r="J136" s="106" t="str">
        <f>IFERROR(__xludf.DUMMYFUNCTION("""COMPUTED_VALUE"""),"")</f>
        <v/>
      </c>
      <c r="L136" s="136" t="str">
        <f>IFERROR(__xludf.DUMMYFUNCTION("""COMPUTED_VALUE"""),"")</f>
        <v/>
      </c>
      <c r="M136" s="106" t="str">
        <f>IFERROR(__xludf.DUMMYFUNCTION("""COMPUTED_VALUE"""),"")</f>
        <v/>
      </c>
      <c r="O136" s="136" t="str">
        <f>IFERROR(__xludf.DUMMYFUNCTION("""COMPUTED_VALUE"""),"")</f>
        <v/>
      </c>
      <c r="P136" s="106" t="str">
        <f>IFERROR(__xludf.DUMMYFUNCTION("""COMPUTED_VALUE"""),"")</f>
        <v/>
      </c>
      <c r="R136" s="136" t="str">
        <f>IFERROR(__xludf.DUMMYFUNCTION("""COMPUTED_VALUE"""),"")</f>
        <v/>
      </c>
      <c r="S136" s="106" t="str">
        <f>IFERROR(__xludf.DUMMYFUNCTION("""COMPUTED_VALUE"""),"")</f>
        <v/>
      </c>
    </row>
    <row r="137">
      <c r="A137" s="136" t="s">
        <v>18</v>
      </c>
      <c r="B137" s="146">
        <v>46057.0</v>
      </c>
      <c r="C137" s="136" t="s">
        <v>45</v>
      </c>
      <c r="D137" s="136" t="s">
        <v>148</v>
      </c>
      <c r="E137" s="106">
        <v>0.0729166666715173</v>
      </c>
      <c r="F137" s="136" t="str">
        <f>IFERROR(__xludf.DUMMYFUNCTION("""COMPUTED_VALUE"""),"")</f>
        <v/>
      </c>
      <c r="G137" s="106" t="str">
        <f>IFERROR(__xludf.DUMMYFUNCTION("""COMPUTED_VALUE"""),"")</f>
        <v/>
      </c>
      <c r="I137" s="136" t="str">
        <f>IFERROR(__xludf.DUMMYFUNCTION("""COMPUTED_VALUE"""),"")</f>
        <v/>
      </c>
      <c r="J137" s="106" t="str">
        <f>IFERROR(__xludf.DUMMYFUNCTION("""COMPUTED_VALUE"""),"")</f>
        <v/>
      </c>
      <c r="L137" s="136" t="str">
        <f>IFERROR(__xludf.DUMMYFUNCTION("""COMPUTED_VALUE"""),"")</f>
        <v/>
      </c>
      <c r="M137" s="106" t="str">
        <f>IFERROR(__xludf.DUMMYFUNCTION("""COMPUTED_VALUE"""),"")</f>
        <v/>
      </c>
      <c r="O137" s="136" t="str">
        <f>IFERROR(__xludf.DUMMYFUNCTION("""COMPUTED_VALUE"""),"")</f>
        <v/>
      </c>
      <c r="P137" s="106" t="str">
        <f>IFERROR(__xludf.DUMMYFUNCTION("""COMPUTED_VALUE"""),"")</f>
        <v/>
      </c>
      <c r="R137" s="136" t="str">
        <f>IFERROR(__xludf.DUMMYFUNCTION("""COMPUTED_VALUE"""),"")</f>
        <v/>
      </c>
      <c r="S137" s="106" t="str">
        <f>IFERROR(__xludf.DUMMYFUNCTION("""COMPUTED_VALUE"""),"")</f>
        <v/>
      </c>
    </row>
    <row r="138">
      <c r="A138" s="136" t="s">
        <v>18</v>
      </c>
      <c r="B138" s="146">
        <v>46057.0</v>
      </c>
      <c r="C138" s="136" t="s">
        <v>45</v>
      </c>
      <c r="D138" s="136" t="s">
        <v>149</v>
      </c>
      <c r="E138" s="106">
        <v>0.16666666666424135</v>
      </c>
      <c r="F138" s="136">
        <f>IFERROR(__xludf.DUMMYFUNCTION("""COMPUTED_VALUE"""),92.0)</f>
        <v>92</v>
      </c>
      <c r="G138" s="106">
        <f>IFERROR(__xludf.DUMMYFUNCTION("""COMPUTED_VALUE"""),0.05625000000145519)</f>
        <v>0.05625</v>
      </c>
      <c r="I138" s="136">
        <f>IFERROR(__xludf.DUMMYFUNCTION("""COMPUTED_VALUE"""),68.0)</f>
        <v>68</v>
      </c>
      <c r="J138" s="106">
        <f>IFERROR(__xludf.DUMMYFUNCTION("""COMPUTED_VALUE"""),0.04513888888322981)</f>
        <v>0.04513888888</v>
      </c>
      <c r="L138" s="136">
        <f>IFERROR(__xludf.DUMMYFUNCTION("""COMPUTED_VALUE"""),174.0)</f>
        <v>174</v>
      </c>
      <c r="M138" s="106">
        <f>IFERROR(__xludf.DUMMYFUNCTION("""COMPUTED_VALUE"""),0.2840277777868323)</f>
        <v>0.2840277778</v>
      </c>
      <c r="O138" s="136">
        <f>IFERROR(__xludf.DUMMYFUNCTION("""COMPUTED_VALUE"""),0.0)</f>
        <v>0</v>
      </c>
      <c r="P138" s="106">
        <f>IFERROR(__xludf.DUMMYFUNCTION("""COMPUTED_VALUE"""),0.0)</f>
        <v>0</v>
      </c>
      <c r="R138" s="136">
        <f>IFERROR(__xludf.DUMMYFUNCTION("""COMPUTED_VALUE"""),268.0)</f>
        <v>268</v>
      </c>
      <c r="S138" s="106">
        <f>IFERROR(__xludf.DUMMYFUNCTION("""COMPUTED_VALUE"""),0.23958333333575865)</f>
        <v>0.2395833333</v>
      </c>
    </row>
    <row r="139">
      <c r="A139" s="136" t="s">
        <v>134</v>
      </c>
      <c r="B139" s="146">
        <v>46057.0</v>
      </c>
      <c r="C139" s="136" t="s">
        <v>45</v>
      </c>
      <c r="D139" s="136" t="s">
        <v>149</v>
      </c>
      <c r="E139" s="106">
        <v>0.04513888888322981</v>
      </c>
      <c r="F139" s="136" t="str">
        <f>IFERROR(__xludf.DUMMYFUNCTION("""COMPUTED_VALUE"""),"")</f>
        <v/>
      </c>
      <c r="G139" s="106" t="str">
        <f>IFERROR(__xludf.DUMMYFUNCTION("""COMPUTED_VALUE"""),"")</f>
        <v/>
      </c>
      <c r="I139" s="136" t="str">
        <f>IFERROR(__xludf.DUMMYFUNCTION("""COMPUTED_VALUE"""),"")</f>
        <v/>
      </c>
      <c r="J139" s="106" t="str">
        <f>IFERROR(__xludf.DUMMYFUNCTION("""COMPUTED_VALUE"""),"")</f>
        <v/>
      </c>
      <c r="L139" s="136" t="str">
        <f>IFERROR(__xludf.DUMMYFUNCTION("""COMPUTED_VALUE"""),"")</f>
        <v/>
      </c>
      <c r="M139" s="106" t="str">
        <f>IFERROR(__xludf.DUMMYFUNCTION("""COMPUTED_VALUE"""),"")</f>
        <v/>
      </c>
      <c r="O139" s="136" t="str">
        <f>IFERROR(__xludf.DUMMYFUNCTION("""COMPUTED_VALUE"""),"")</f>
        <v/>
      </c>
      <c r="P139" s="106" t="str">
        <f>IFERROR(__xludf.DUMMYFUNCTION("""COMPUTED_VALUE"""),"")</f>
        <v/>
      </c>
      <c r="R139" s="136" t="str">
        <f>IFERROR(__xludf.DUMMYFUNCTION("""COMPUTED_VALUE"""),"")</f>
        <v/>
      </c>
      <c r="S139" s="106" t="str">
        <f>IFERROR(__xludf.DUMMYFUNCTION("""COMPUTED_VALUE"""),"")</f>
        <v/>
      </c>
    </row>
    <row r="140">
      <c r="A140" s="136" t="s">
        <v>12</v>
      </c>
      <c r="B140" s="146">
        <v>46058.0</v>
      </c>
      <c r="C140" s="136" t="s">
        <v>49</v>
      </c>
      <c r="D140" s="136" t="s">
        <v>149</v>
      </c>
      <c r="E140" s="106">
        <v>0.06944444444525288</v>
      </c>
      <c r="F140" s="136" t="str">
        <f>IFERROR(__xludf.DUMMYFUNCTION("""COMPUTED_VALUE"""),"")</f>
        <v/>
      </c>
      <c r="G140" s="106" t="str">
        <f>IFERROR(__xludf.DUMMYFUNCTION("""COMPUTED_VALUE"""),"")</f>
        <v/>
      </c>
      <c r="I140" s="136" t="str">
        <f>IFERROR(__xludf.DUMMYFUNCTION("""COMPUTED_VALUE"""),"")</f>
        <v/>
      </c>
      <c r="J140" s="106" t="str">
        <f>IFERROR(__xludf.DUMMYFUNCTION("""COMPUTED_VALUE"""),"")</f>
        <v/>
      </c>
      <c r="L140" s="136" t="str">
        <f>IFERROR(__xludf.DUMMYFUNCTION("""COMPUTED_VALUE"""),"")</f>
        <v/>
      </c>
      <c r="M140" s="106" t="str">
        <f>IFERROR(__xludf.DUMMYFUNCTION("""COMPUTED_VALUE"""),"")</f>
        <v/>
      </c>
      <c r="O140" s="136" t="str">
        <f>IFERROR(__xludf.DUMMYFUNCTION("""COMPUTED_VALUE"""),"")</f>
        <v/>
      </c>
      <c r="P140" s="106" t="str">
        <f>IFERROR(__xludf.DUMMYFUNCTION("""COMPUTED_VALUE"""),"")</f>
        <v/>
      </c>
      <c r="R140" s="136" t="str">
        <f>IFERROR(__xludf.DUMMYFUNCTION("""COMPUTED_VALUE"""),"")</f>
        <v/>
      </c>
      <c r="S140" s="106" t="str">
        <f>IFERROR(__xludf.DUMMYFUNCTION("""COMPUTED_VALUE"""),"")</f>
        <v/>
      </c>
    </row>
    <row r="141">
      <c r="A141" s="136" t="s">
        <v>12</v>
      </c>
      <c r="B141" s="146">
        <v>46058.0</v>
      </c>
      <c r="C141" s="136" t="s">
        <v>49</v>
      </c>
      <c r="D141" s="136" t="s">
        <v>149</v>
      </c>
      <c r="E141" s="106">
        <v>0.0430555555576575</v>
      </c>
      <c r="F141" s="136" t="str">
        <f>IFERROR(__xludf.DUMMYFUNCTION("""COMPUTED_VALUE"""),"")</f>
        <v/>
      </c>
      <c r="G141" s="106" t="str">
        <f>IFERROR(__xludf.DUMMYFUNCTION("""COMPUTED_VALUE"""),"")</f>
        <v/>
      </c>
      <c r="I141" s="136" t="str">
        <f>IFERROR(__xludf.DUMMYFUNCTION("""COMPUTED_VALUE"""),"")</f>
        <v/>
      </c>
      <c r="J141" s="106" t="str">
        <f>IFERROR(__xludf.DUMMYFUNCTION("""COMPUTED_VALUE"""),"")</f>
        <v/>
      </c>
      <c r="L141" s="136" t="str">
        <f>IFERROR(__xludf.DUMMYFUNCTION("""COMPUTED_VALUE"""),"")</f>
        <v/>
      </c>
      <c r="M141" s="106" t="str">
        <f>IFERROR(__xludf.DUMMYFUNCTION("""COMPUTED_VALUE"""),"")</f>
        <v/>
      </c>
      <c r="O141" s="136" t="str">
        <f>IFERROR(__xludf.DUMMYFUNCTION("""COMPUTED_VALUE"""),"")</f>
        <v/>
      </c>
      <c r="P141" s="106" t="str">
        <f>IFERROR(__xludf.DUMMYFUNCTION("""COMPUTED_VALUE"""),"")</f>
        <v/>
      </c>
      <c r="R141" s="136" t="str">
        <f>IFERROR(__xludf.DUMMYFUNCTION("""COMPUTED_VALUE"""),"")</f>
        <v/>
      </c>
      <c r="S141" s="106" t="str">
        <f>IFERROR(__xludf.DUMMYFUNCTION("""COMPUTED_VALUE"""),"")</f>
        <v/>
      </c>
    </row>
    <row r="142">
      <c r="A142" s="136" t="s">
        <v>134</v>
      </c>
      <c r="B142" s="146">
        <v>46058.0</v>
      </c>
      <c r="C142" s="136" t="s">
        <v>49</v>
      </c>
      <c r="D142" s="136" t="s">
        <v>149</v>
      </c>
      <c r="E142" s="106">
        <v>0.059722222220443655</v>
      </c>
      <c r="F142" s="136" t="str">
        <f>IFERROR(__xludf.DUMMYFUNCTION("""COMPUTED_VALUE"""),"")</f>
        <v/>
      </c>
      <c r="G142" s="106" t="str">
        <f>IFERROR(__xludf.DUMMYFUNCTION("""COMPUTED_VALUE"""),"")</f>
        <v/>
      </c>
      <c r="I142" s="136" t="str">
        <f>IFERROR(__xludf.DUMMYFUNCTION("""COMPUTED_VALUE"""),"")</f>
        <v/>
      </c>
      <c r="J142" s="106" t="str">
        <f>IFERROR(__xludf.DUMMYFUNCTION("""COMPUTED_VALUE"""),"")</f>
        <v/>
      </c>
      <c r="L142" s="136" t="str">
        <f>IFERROR(__xludf.DUMMYFUNCTION("""COMPUTED_VALUE"""),"")</f>
        <v/>
      </c>
      <c r="M142" s="106" t="str">
        <f>IFERROR(__xludf.DUMMYFUNCTION("""COMPUTED_VALUE"""),"")</f>
        <v/>
      </c>
      <c r="O142" s="136" t="str">
        <f>IFERROR(__xludf.DUMMYFUNCTION("""COMPUTED_VALUE"""),"")</f>
        <v/>
      </c>
      <c r="P142" s="106" t="str">
        <f>IFERROR(__xludf.DUMMYFUNCTION("""COMPUTED_VALUE"""),"")</f>
        <v/>
      </c>
      <c r="R142" s="136" t="str">
        <f>IFERROR(__xludf.DUMMYFUNCTION("""COMPUTED_VALUE"""),"")</f>
        <v/>
      </c>
      <c r="S142" s="106" t="str">
        <f>IFERROR(__xludf.DUMMYFUNCTION("""COMPUTED_VALUE"""),"")</f>
        <v/>
      </c>
    </row>
    <row r="143">
      <c r="A143" s="136" t="s">
        <v>15</v>
      </c>
      <c r="B143" s="146">
        <v>46058.0</v>
      </c>
      <c r="C143" s="136" t="s">
        <v>49</v>
      </c>
      <c r="D143" s="136" t="s">
        <v>148</v>
      </c>
      <c r="E143" s="106">
        <v>0.05208333333575865</v>
      </c>
      <c r="F143" s="136" t="str">
        <f>IFERROR(__xludf.DUMMYFUNCTION("""COMPUTED_VALUE"""),"")</f>
        <v/>
      </c>
      <c r="G143" s="106" t="str">
        <f>IFERROR(__xludf.DUMMYFUNCTION("""COMPUTED_VALUE"""),"")</f>
        <v/>
      </c>
      <c r="I143" s="136" t="str">
        <f>IFERROR(__xludf.DUMMYFUNCTION("""COMPUTED_VALUE"""),"")</f>
        <v/>
      </c>
      <c r="J143" s="106" t="str">
        <f>IFERROR(__xludf.DUMMYFUNCTION("""COMPUTED_VALUE"""),"")</f>
        <v/>
      </c>
      <c r="L143" s="136" t="str">
        <f>IFERROR(__xludf.DUMMYFUNCTION("""COMPUTED_VALUE"""),"")</f>
        <v/>
      </c>
      <c r="M143" s="106" t="str">
        <f>IFERROR(__xludf.DUMMYFUNCTION("""COMPUTED_VALUE"""),"")</f>
        <v/>
      </c>
      <c r="O143" s="136" t="str">
        <f>IFERROR(__xludf.DUMMYFUNCTION("""COMPUTED_VALUE"""),"")</f>
        <v/>
      </c>
      <c r="P143" s="106" t="str">
        <f>IFERROR(__xludf.DUMMYFUNCTION("""COMPUTED_VALUE"""),"")</f>
        <v/>
      </c>
      <c r="R143" s="136" t="str">
        <f>IFERROR(__xludf.DUMMYFUNCTION("""COMPUTED_VALUE"""),"")</f>
        <v/>
      </c>
      <c r="S143" s="106" t="str">
        <f>IFERROR(__xludf.DUMMYFUNCTION("""COMPUTED_VALUE"""),"")</f>
        <v/>
      </c>
    </row>
    <row r="144">
      <c r="A144" s="136" t="s">
        <v>18</v>
      </c>
      <c r="B144" s="146">
        <v>46058.0</v>
      </c>
      <c r="C144" s="136" t="s">
        <v>49</v>
      </c>
      <c r="D144" s="136" t="s">
        <v>148</v>
      </c>
      <c r="E144" s="106">
        <v>0.07291666666424135</v>
      </c>
      <c r="F144" s="136" t="str">
        <f>IFERROR(__xludf.DUMMYFUNCTION("""COMPUTED_VALUE"""),"")</f>
        <v/>
      </c>
      <c r="G144" s="106" t="str">
        <f>IFERROR(__xludf.DUMMYFUNCTION("""COMPUTED_VALUE"""),"")</f>
        <v/>
      </c>
      <c r="I144" s="136" t="str">
        <f>IFERROR(__xludf.DUMMYFUNCTION("""COMPUTED_VALUE"""),"")</f>
        <v/>
      </c>
      <c r="J144" s="106" t="str">
        <f>IFERROR(__xludf.DUMMYFUNCTION("""COMPUTED_VALUE"""),"")</f>
        <v/>
      </c>
      <c r="L144" s="136" t="str">
        <f>IFERROR(__xludf.DUMMYFUNCTION("""COMPUTED_VALUE"""),"")</f>
        <v/>
      </c>
      <c r="M144" s="106" t="str">
        <f>IFERROR(__xludf.DUMMYFUNCTION("""COMPUTED_VALUE"""),"")</f>
        <v/>
      </c>
      <c r="O144" s="136" t="str">
        <f>IFERROR(__xludf.DUMMYFUNCTION("""COMPUTED_VALUE"""),"")</f>
        <v/>
      </c>
      <c r="P144" s="106" t="str">
        <f>IFERROR(__xludf.DUMMYFUNCTION("""COMPUTED_VALUE"""),"")</f>
        <v/>
      </c>
      <c r="R144" s="136" t="str">
        <f>IFERROR(__xludf.DUMMYFUNCTION("""COMPUTED_VALUE"""),"")</f>
        <v/>
      </c>
      <c r="S144" s="106" t="str">
        <f>IFERROR(__xludf.DUMMYFUNCTION("""COMPUTED_VALUE"""),"")</f>
        <v/>
      </c>
    </row>
    <row r="145">
      <c r="A145" s="136" t="s">
        <v>18</v>
      </c>
      <c r="B145" s="146">
        <v>46058.0</v>
      </c>
      <c r="C145" s="136" t="s">
        <v>49</v>
      </c>
      <c r="D145" s="136" t="s">
        <v>149</v>
      </c>
      <c r="E145" s="106">
        <v>0.04166666666424135</v>
      </c>
      <c r="F145" s="136" t="str">
        <f>IFERROR(__xludf.DUMMYFUNCTION("""COMPUTED_VALUE"""),"")</f>
        <v/>
      </c>
      <c r="G145" s="106" t="str">
        <f>IFERROR(__xludf.DUMMYFUNCTION("""COMPUTED_VALUE"""),"")</f>
        <v/>
      </c>
      <c r="I145" s="136" t="str">
        <f>IFERROR(__xludf.DUMMYFUNCTION("""COMPUTED_VALUE"""),"")</f>
        <v/>
      </c>
      <c r="J145" s="106" t="str">
        <f>IFERROR(__xludf.DUMMYFUNCTION("""COMPUTED_VALUE"""),"")</f>
        <v/>
      </c>
      <c r="L145" s="136" t="str">
        <f>IFERROR(__xludf.DUMMYFUNCTION("""COMPUTED_VALUE"""),"")</f>
        <v/>
      </c>
      <c r="M145" s="106" t="str">
        <f>IFERROR(__xludf.DUMMYFUNCTION("""COMPUTED_VALUE"""),"")</f>
        <v/>
      </c>
      <c r="O145" s="136" t="str">
        <f>IFERROR(__xludf.DUMMYFUNCTION("""COMPUTED_VALUE"""),"")</f>
        <v/>
      </c>
      <c r="P145" s="106" t="str">
        <f>IFERROR(__xludf.DUMMYFUNCTION("""COMPUTED_VALUE"""),"")</f>
        <v/>
      </c>
      <c r="R145" s="136" t="str">
        <f>IFERROR(__xludf.DUMMYFUNCTION("""COMPUTED_VALUE"""),"")</f>
        <v/>
      </c>
      <c r="S145" s="106" t="str">
        <f>IFERROR(__xludf.DUMMYFUNCTION("""COMPUTED_VALUE"""),"")</f>
        <v/>
      </c>
    </row>
    <row r="146">
      <c r="A146" s="136" t="s">
        <v>18</v>
      </c>
      <c r="B146" s="146">
        <v>46058.0</v>
      </c>
      <c r="C146" s="136" t="s">
        <v>49</v>
      </c>
      <c r="D146" s="136" t="s">
        <v>149</v>
      </c>
      <c r="E146" s="106">
        <v>0.038194444445252884</v>
      </c>
      <c r="F146" s="136" t="str">
        <f>IFERROR(__xludf.DUMMYFUNCTION("""COMPUTED_VALUE"""),"")</f>
        <v/>
      </c>
      <c r="G146" s="106" t="str">
        <f>IFERROR(__xludf.DUMMYFUNCTION("""COMPUTED_VALUE"""),"")</f>
        <v/>
      </c>
      <c r="I146" s="136" t="str">
        <f>IFERROR(__xludf.DUMMYFUNCTION("""COMPUTED_VALUE"""),"")</f>
        <v/>
      </c>
      <c r="J146" s="106" t="str">
        <f>IFERROR(__xludf.DUMMYFUNCTION("""COMPUTED_VALUE"""),"")</f>
        <v/>
      </c>
      <c r="L146" s="136" t="str">
        <f>IFERROR(__xludf.DUMMYFUNCTION("""COMPUTED_VALUE"""),"")</f>
        <v/>
      </c>
      <c r="M146" s="106" t="str">
        <f>IFERROR(__xludf.DUMMYFUNCTION("""COMPUTED_VALUE"""),"")</f>
        <v/>
      </c>
      <c r="O146" s="136" t="str">
        <f>IFERROR(__xludf.DUMMYFUNCTION("""COMPUTED_VALUE"""),"")</f>
        <v/>
      </c>
      <c r="P146" s="106" t="str">
        <f>IFERROR(__xludf.DUMMYFUNCTION("""COMPUTED_VALUE"""),"")</f>
        <v/>
      </c>
      <c r="R146" s="136" t="str">
        <f>IFERROR(__xludf.DUMMYFUNCTION("""COMPUTED_VALUE"""),"")</f>
        <v/>
      </c>
      <c r="S146" s="106" t="str">
        <f>IFERROR(__xludf.DUMMYFUNCTION("""COMPUTED_VALUE"""),"")</f>
        <v/>
      </c>
    </row>
    <row r="147">
      <c r="A147" s="136" t="s">
        <v>18</v>
      </c>
      <c r="B147" s="146">
        <v>46058.0</v>
      </c>
      <c r="C147" s="136" t="s">
        <v>49</v>
      </c>
      <c r="D147" s="136" t="s">
        <v>149</v>
      </c>
      <c r="E147" s="106">
        <v>0.02777777777373558</v>
      </c>
      <c r="F147" s="136" t="str">
        <f>IFERROR(__xludf.DUMMYFUNCTION("""COMPUTED_VALUE"""),"")</f>
        <v/>
      </c>
      <c r="G147" s="106" t="str">
        <f>IFERROR(__xludf.DUMMYFUNCTION("""COMPUTED_VALUE"""),"")</f>
        <v/>
      </c>
      <c r="I147" s="136" t="str">
        <f>IFERROR(__xludf.DUMMYFUNCTION("""COMPUTED_VALUE"""),"")</f>
        <v/>
      </c>
      <c r="J147" s="106" t="str">
        <f>IFERROR(__xludf.DUMMYFUNCTION("""COMPUTED_VALUE"""),"")</f>
        <v/>
      </c>
      <c r="L147" s="136" t="str">
        <f>IFERROR(__xludf.DUMMYFUNCTION("""COMPUTED_VALUE"""),"")</f>
        <v/>
      </c>
      <c r="M147" s="106" t="str">
        <f>IFERROR(__xludf.DUMMYFUNCTION("""COMPUTED_VALUE"""),"")</f>
        <v/>
      </c>
      <c r="O147" s="136" t="str">
        <f>IFERROR(__xludf.DUMMYFUNCTION("""COMPUTED_VALUE"""),"")</f>
        <v/>
      </c>
      <c r="P147" s="106" t="str">
        <f>IFERROR(__xludf.DUMMYFUNCTION("""COMPUTED_VALUE"""),"")</f>
        <v/>
      </c>
      <c r="R147" s="136" t="str">
        <f>IFERROR(__xludf.DUMMYFUNCTION("""COMPUTED_VALUE"""),"")</f>
        <v/>
      </c>
      <c r="S147" s="106" t="str">
        <f>IFERROR(__xludf.DUMMYFUNCTION("""COMPUTED_VALUE"""),"")</f>
        <v/>
      </c>
    </row>
    <row r="148">
      <c r="A148" s="136" t="s">
        <v>18</v>
      </c>
      <c r="B148" s="146">
        <v>46058.0</v>
      </c>
      <c r="C148" s="136" t="s">
        <v>49</v>
      </c>
      <c r="D148" s="136" t="s">
        <v>149</v>
      </c>
      <c r="E148" s="106">
        <v>0.0625</v>
      </c>
      <c r="F148" s="136">
        <f>IFERROR(__xludf.DUMMYFUNCTION("""COMPUTED_VALUE"""),50.0)</f>
        <v>50</v>
      </c>
      <c r="G148" s="106">
        <f>IFERROR(__xludf.DUMMYFUNCTION("""COMPUTED_VALUE"""),0.11250000000291038)</f>
        <v>0.1125</v>
      </c>
      <c r="I148" s="136">
        <f>IFERROR(__xludf.DUMMYFUNCTION("""COMPUTED_VALUE"""),64.0)</f>
        <v>64</v>
      </c>
      <c r="J148" s="106">
        <f>IFERROR(__xludf.DUMMYFUNCTION("""COMPUTED_VALUE"""),0.059722222220443655)</f>
        <v>0.05972222222</v>
      </c>
      <c r="L148" s="136">
        <f>IFERROR(__xludf.DUMMYFUNCTION("""COMPUTED_VALUE"""),50.0)</f>
        <v>50</v>
      </c>
      <c r="M148" s="106">
        <f>IFERROR(__xludf.DUMMYFUNCTION("""COMPUTED_VALUE"""),0.05208333333575865)</f>
        <v>0.05208333334</v>
      </c>
      <c r="O148" s="136">
        <f>IFERROR(__xludf.DUMMYFUNCTION("""COMPUTED_VALUE"""),0.0)</f>
        <v>0</v>
      </c>
      <c r="P148" s="106">
        <f>IFERROR(__xludf.DUMMYFUNCTION("""COMPUTED_VALUE"""),0.0)</f>
        <v>0</v>
      </c>
      <c r="R148" s="136">
        <f>IFERROR(__xludf.DUMMYFUNCTION("""COMPUTED_VALUE"""),652.0)</f>
        <v>652</v>
      </c>
      <c r="S148" s="106">
        <f>IFERROR(__xludf.DUMMYFUNCTION("""COMPUTED_VALUE"""),0.3263888888832298)</f>
        <v>0.3263888889</v>
      </c>
    </row>
    <row r="149">
      <c r="A149" s="136" t="s">
        <v>18</v>
      </c>
      <c r="B149" s="146">
        <v>46058.0</v>
      </c>
      <c r="C149" s="136" t="s">
        <v>49</v>
      </c>
      <c r="D149" s="136" t="s">
        <v>148</v>
      </c>
      <c r="E149" s="106">
        <v>0.08333333333575865</v>
      </c>
      <c r="F149" s="136" t="str">
        <f>IFERROR(__xludf.DUMMYFUNCTION("""COMPUTED_VALUE"""),"")</f>
        <v/>
      </c>
      <c r="G149" s="106" t="str">
        <f>IFERROR(__xludf.DUMMYFUNCTION("""COMPUTED_VALUE"""),"")</f>
        <v/>
      </c>
      <c r="I149" s="136" t="str">
        <f>IFERROR(__xludf.DUMMYFUNCTION("""COMPUTED_VALUE"""),"")</f>
        <v/>
      </c>
      <c r="J149" s="106" t="str">
        <f>IFERROR(__xludf.DUMMYFUNCTION("""COMPUTED_VALUE"""),"")</f>
        <v/>
      </c>
      <c r="L149" s="136" t="str">
        <f>IFERROR(__xludf.DUMMYFUNCTION("""COMPUTED_VALUE"""),"")</f>
        <v/>
      </c>
      <c r="M149" s="106" t="str">
        <f>IFERROR(__xludf.DUMMYFUNCTION("""COMPUTED_VALUE"""),"")</f>
        <v/>
      </c>
      <c r="O149" s="136" t="str">
        <f>IFERROR(__xludf.DUMMYFUNCTION("""COMPUTED_VALUE"""),"")</f>
        <v/>
      </c>
      <c r="P149" s="106" t="str">
        <f>IFERROR(__xludf.DUMMYFUNCTION("""COMPUTED_VALUE"""),"")</f>
        <v/>
      </c>
      <c r="R149" s="136" t="str">
        <f>IFERROR(__xludf.DUMMYFUNCTION("""COMPUTED_VALUE"""),"")</f>
        <v/>
      </c>
      <c r="S149" s="106" t="str">
        <f>IFERROR(__xludf.DUMMYFUNCTION("""COMPUTED_VALUE"""),"")</f>
        <v/>
      </c>
    </row>
    <row r="150">
      <c r="A150" s="136" t="s">
        <v>15</v>
      </c>
      <c r="B150" s="146">
        <v>46059.0</v>
      </c>
      <c r="C150" s="136" t="s">
        <v>53</v>
      </c>
      <c r="D150" s="136" t="s">
        <v>149</v>
      </c>
      <c r="E150" s="106">
        <v>0.0625</v>
      </c>
      <c r="F150" s="136" t="str">
        <f>IFERROR(__xludf.DUMMYFUNCTION("""COMPUTED_VALUE"""),"")</f>
        <v/>
      </c>
      <c r="G150" s="106" t="str">
        <f>IFERROR(__xludf.DUMMYFUNCTION("""COMPUTED_VALUE"""),"")</f>
        <v/>
      </c>
      <c r="I150" s="136" t="str">
        <f>IFERROR(__xludf.DUMMYFUNCTION("""COMPUTED_VALUE"""),"")</f>
        <v/>
      </c>
      <c r="J150" s="106" t="str">
        <f>IFERROR(__xludf.DUMMYFUNCTION("""COMPUTED_VALUE"""),"")</f>
        <v/>
      </c>
      <c r="L150" s="136" t="str">
        <f>IFERROR(__xludf.DUMMYFUNCTION("""COMPUTED_VALUE"""),"")</f>
        <v/>
      </c>
      <c r="M150" s="106" t="str">
        <f>IFERROR(__xludf.DUMMYFUNCTION("""COMPUTED_VALUE"""),"")</f>
        <v/>
      </c>
      <c r="O150" s="136" t="str">
        <f>IFERROR(__xludf.DUMMYFUNCTION("""COMPUTED_VALUE"""),"")</f>
        <v/>
      </c>
      <c r="P150" s="106" t="str">
        <f>IFERROR(__xludf.DUMMYFUNCTION("""COMPUTED_VALUE"""),"")</f>
        <v/>
      </c>
      <c r="R150" s="136" t="str">
        <f>IFERROR(__xludf.DUMMYFUNCTION("""COMPUTED_VALUE"""),"")</f>
        <v/>
      </c>
      <c r="S150" s="106" t="str">
        <f>IFERROR(__xludf.DUMMYFUNCTION("""COMPUTED_VALUE"""),"")</f>
        <v/>
      </c>
    </row>
    <row r="151">
      <c r="A151" s="136" t="s">
        <v>15</v>
      </c>
      <c r="B151" s="146">
        <v>46059.0</v>
      </c>
      <c r="C151" s="136" t="s">
        <v>53</v>
      </c>
      <c r="D151" s="136" t="s">
        <v>148</v>
      </c>
      <c r="E151" s="106">
        <v>0.14375000000291038</v>
      </c>
      <c r="F151" s="136" t="str">
        <f>IFERROR(__xludf.DUMMYFUNCTION("""COMPUTED_VALUE"""),"")</f>
        <v/>
      </c>
      <c r="G151" s="106" t="str">
        <f>IFERROR(__xludf.DUMMYFUNCTION("""COMPUTED_VALUE"""),"")</f>
        <v/>
      </c>
      <c r="I151" s="136" t="str">
        <f>IFERROR(__xludf.DUMMYFUNCTION("""COMPUTED_VALUE"""),"")</f>
        <v/>
      </c>
      <c r="J151" s="106" t="str">
        <f>IFERROR(__xludf.DUMMYFUNCTION("""COMPUTED_VALUE"""),"")</f>
        <v/>
      </c>
      <c r="L151" s="136" t="str">
        <f>IFERROR(__xludf.DUMMYFUNCTION("""COMPUTED_VALUE"""),"")</f>
        <v/>
      </c>
      <c r="M151" s="106" t="str">
        <f>IFERROR(__xludf.DUMMYFUNCTION("""COMPUTED_VALUE"""),"")</f>
        <v/>
      </c>
      <c r="O151" s="136" t="str">
        <f>IFERROR(__xludf.DUMMYFUNCTION("""COMPUTED_VALUE"""),"")</f>
        <v/>
      </c>
      <c r="P151" s="106" t="str">
        <f>IFERROR(__xludf.DUMMYFUNCTION("""COMPUTED_VALUE"""),"")</f>
        <v/>
      </c>
      <c r="R151" s="136" t="str">
        <f>IFERROR(__xludf.DUMMYFUNCTION("""COMPUTED_VALUE"""),"")</f>
        <v/>
      </c>
      <c r="S151" s="106" t="str">
        <f>IFERROR(__xludf.DUMMYFUNCTION("""COMPUTED_VALUE"""),"")</f>
        <v/>
      </c>
    </row>
    <row r="152">
      <c r="A152" s="136" t="s">
        <v>18</v>
      </c>
      <c r="B152" s="146">
        <v>46059.0</v>
      </c>
      <c r="C152" s="136" t="s">
        <v>53</v>
      </c>
      <c r="D152" s="136" t="s">
        <v>148</v>
      </c>
      <c r="E152" s="106">
        <v>0.08333333333575865</v>
      </c>
      <c r="F152" s="136" t="str">
        <f>IFERROR(__xludf.DUMMYFUNCTION("""COMPUTED_VALUE"""),"")</f>
        <v/>
      </c>
      <c r="G152" s="106" t="str">
        <f>IFERROR(__xludf.DUMMYFUNCTION("""COMPUTED_VALUE"""),"")</f>
        <v/>
      </c>
      <c r="I152" s="136" t="str">
        <f>IFERROR(__xludf.DUMMYFUNCTION("""COMPUTED_VALUE"""),"")</f>
        <v/>
      </c>
      <c r="J152" s="106" t="str">
        <f>IFERROR(__xludf.DUMMYFUNCTION("""COMPUTED_VALUE"""),"")</f>
        <v/>
      </c>
      <c r="L152" s="136" t="str">
        <f>IFERROR(__xludf.DUMMYFUNCTION("""COMPUTED_VALUE"""),"")</f>
        <v/>
      </c>
      <c r="M152" s="106" t="str">
        <f>IFERROR(__xludf.DUMMYFUNCTION("""COMPUTED_VALUE"""),"")</f>
        <v/>
      </c>
      <c r="O152" s="136" t="str">
        <f>IFERROR(__xludf.DUMMYFUNCTION("""COMPUTED_VALUE"""),"")</f>
        <v/>
      </c>
      <c r="P152" s="106" t="str">
        <f>IFERROR(__xludf.DUMMYFUNCTION("""COMPUTED_VALUE"""),"")</f>
        <v/>
      </c>
      <c r="R152" s="136" t="str">
        <f>IFERROR(__xludf.DUMMYFUNCTION("""COMPUTED_VALUE"""),"")</f>
        <v/>
      </c>
      <c r="S152" s="106" t="str">
        <f>IFERROR(__xludf.DUMMYFUNCTION("""COMPUTED_VALUE"""),"")</f>
        <v/>
      </c>
    </row>
    <row r="153">
      <c r="A153" s="136" t="s">
        <v>18</v>
      </c>
      <c r="B153" s="146">
        <v>46059.0</v>
      </c>
      <c r="C153" s="136" t="s">
        <v>53</v>
      </c>
      <c r="D153" s="136" t="s">
        <v>148</v>
      </c>
      <c r="E153" s="106">
        <v>0.04652777778392192</v>
      </c>
      <c r="F153" s="136">
        <f>IFERROR(__xludf.DUMMYFUNCTION("""COMPUTED_VALUE"""),0.0)</f>
        <v>0</v>
      </c>
      <c r="G153" s="106">
        <f>IFERROR(__xludf.DUMMYFUNCTION("""COMPUTED_VALUE"""),0.0)</f>
        <v>0</v>
      </c>
      <c r="I153" s="136">
        <f>IFERROR(__xludf.DUMMYFUNCTION("""COMPUTED_VALUE"""),0.0)</f>
        <v>0</v>
      </c>
      <c r="J153" s="106">
        <f>IFERROR(__xludf.DUMMYFUNCTION("""COMPUTED_VALUE"""),0.0)</f>
        <v>0</v>
      </c>
      <c r="L153" s="136">
        <f>IFERROR(__xludf.DUMMYFUNCTION("""COMPUTED_VALUE"""),241.0)</f>
        <v>241</v>
      </c>
      <c r="M153" s="106">
        <f>IFERROR(__xludf.DUMMYFUNCTION("""COMPUTED_VALUE"""),0.20625000000291038)</f>
        <v>0.20625</v>
      </c>
      <c r="O153" s="136">
        <f>IFERROR(__xludf.DUMMYFUNCTION("""COMPUTED_VALUE"""),0.0)</f>
        <v>0</v>
      </c>
      <c r="P153" s="106">
        <f>IFERROR(__xludf.DUMMYFUNCTION("""COMPUTED_VALUE"""),0.0)</f>
        <v>0</v>
      </c>
      <c r="R153" s="136">
        <f>IFERROR(__xludf.DUMMYFUNCTION("""COMPUTED_VALUE"""),375.0)</f>
        <v>375</v>
      </c>
      <c r="S153" s="106">
        <f>IFERROR(__xludf.DUMMYFUNCTION("""COMPUTED_VALUE"""),0.16388888889923692)</f>
        <v>0.1638888889</v>
      </c>
    </row>
    <row r="154">
      <c r="A154" s="136" t="s">
        <v>18</v>
      </c>
      <c r="B154" s="146">
        <v>46059.0</v>
      </c>
      <c r="C154" s="136" t="s">
        <v>53</v>
      </c>
      <c r="D154" s="136" t="s">
        <v>148</v>
      </c>
      <c r="E154" s="106">
        <v>0.034027777779556345</v>
      </c>
      <c r="F154" s="136" t="str">
        <f>IFERROR(__xludf.DUMMYFUNCTION("""COMPUTED_VALUE"""),"")</f>
        <v/>
      </c>
      <c r="G154" s="106" t="str">
        <f>IFERROR(__xludf.DUMMYFUNCTION("""COMPUTED_VALUE"""),"")</f>
        <v/>
      </c>
      <c r="I154" s="136" t="str">
        <f>IFERROR(__xludf.DUMMYFUNCTION("""COMPUTED_VALUE"""),"")</f>
        <v/>
      </c>
      <c r="J154" s="106" t="str">
        <f>IFERROR(__xludf.DUMMYFUNCTION("""COMPUTED_VALUE"""),"")</f>
        <v/>
      </c>
      <c r="L154" s="136" t="str">
        <f>IFERROR(__xludf.DUMMYFUNCTION("""COMPUTED_VALUE"""),"")</f>
        <v/>
      </c>
      <c r="M154" s="106" t="str">
        <f>IFERROR(__xludf.DUMMYFUNCTION("""COMPUTED_VALUE"""),"")</f>
        <v/>
      </c>
      <c r="O154" s="136" t="str">
        <f>IFERROR(__xludf.DUMMYFUNCTION("""COMPUTED_VALUE"""),"")</f>
        <v/>
      </c>
      <c r="P154" s="106" t="str">
        <f>IFERROR(__xludf.DUMMYFUNCTION("""COMPUTED_VALUE"""),"")</f>
        <v/>
      </c>
      <c r="R154" s="136" t="str">
        <f>IFERROR(__xludf.DUMMYFUNCTION("""COMPUTED_VALUE"""),"")</f>
        <v/>
      </c>
      <c r="S154" s="106" t="str">
        <f>IFERROR(__xludf.DUMMYFUNCTION("""COMPUTED_VALUE"""),"")</f>
        <v/>
      </c>
    </row>
    <row r="155">
      <c r="A155" s="136" t="s">
        <v>12</v>
      </c>
      <c r="B155" s="146">
        <v>46062.0</v>
      </c>
      <c r="C155" s="136" t="s">
        <v>37</v>
      </c>
      <c r="D155" s="136" t="s">
        <v>149</v>
      </c>
      <c r="E155" s="106">
        <v>0.06527777777955635</v>
      </c>
      <c r="F155" s="136" t="str">
        <f>IFERROR(__xludf.DUMMYFUNCTION("""COMPUTED_VALUE"""),"")</f>
        <v/>
      </c>
      <c r="G155" s="106" t="str">
        <f>IFERROR(__xludf.DUMMYFUNCTION("""COMPUTED_VALUE"""),"")</f>
        <v/>
      </c>
      <c r="I155" s="136" t="str">
        <f>IFERROR(__xludf.DUMMYFUNCTION("""COMPUTED_VALUE"""),"")</f>
        <v/>
      </c>
      <c r="J155" s="106" t="str">
        <f>IFERROR(__xludf.DUMMYFUNCTION("""COMPUTED_VALUE"""),"")</f>
        <v/>
      </c>
      <c r="L155" s="136" t="str">
        <f>IFERROR(__xludf.DUMMYFUNCTION("""COMPUTED_VALUE"""),"")</f>
        <v/>
      </c>
      <c r="M155" s="106" t="str">
        <f>IFERROR(__xludf.DUMMYFUNCTION("""COMPUTED_VALUE"""),"")</f>
        <v/>
      </c>
      <c r="O155" s="136" t="str">
        <f>IFERROR(__xludf.DUMMYFUNCTION("""COMPUTED_VALUE"""),"")</f>
        <v/>
      </c>
      <c r="P155" s="106" t="str">
        <f>IFERROR(__xludf.DUMMYFUNCTION("""COMPUTED_VALUE"""),"")</f>
        <v/>
      </c>
      <c r="R155" s="136" t="str">
        <f>IFERROR(__xludf.DUMMYFUNCTION("""COMPUTED_VALUE"""),"")</f>
        <v/>
      </c>
      <c r="S155" s="106" t="str">
        <f>IFERROR(__xludf.DUMMYFUNCTION("""COMPUTED_VALUE"""),"")</f>
        <v/>
      </c>
    </row>
    <row r="156">
      <c r="A156" s="136" t="s">
        <v>15</v>
      </c>
      <c r="B156" s="146">
        <v>46062.0</v>
      </c>
      <c r="C156" s="136" t="s">
        <v>37</v>
      </c>
      <c r="D156" s="136" t="s">
        <v>149</v>
      </c>
      <c r="E156" s="106">
        <v>0.125</v>
      </c>
      <c r="F156" s="136" t="str">
        <f>IFERROR(__xludf.DUMMYFUNCTION("""COMPUTED_VALUE"""),"")</f>
        <v/>
      </c>
      <c r="G156" s="106" t="str">
        <f>IFERROR(__xludf.DUMMYFUNCTION("""COMPUTED_VALUE"""),"")</f>
        <v/>
      </c>
      <c r="I156" s="136" t="str">
        <f>IFERROR(__xludf.DUMMYFUNCTION("""COMPUTED_VALUE"""),"")</f>
        <v/>
      </c>
      <c r="J156" s="106" t="str">
        <f>IFERROR(__xludf.DUMMYFUNCTION("""COMPUTED_VALUE"""),"")</f>
        <v/>
      </c>
      <c r="L156" s="136" t="str">
        <f>IFERROR(__xludf.DUMMYFUNCTION("""COMPUTED_VALUE"""),"")</f>
        <v/>
      </c>
      <c r="M156" s="106" t="str">
        <f>IFERROR(__xludf.DUMMYFUNCTION("""COMPUTED_VALUE"""),"")</f>
        <v/>
      </c>
      <c r="O156" s="136" t="str">
        <f>IFERROR(__xludf.DUMMYFUNCTION("""COMPUTED_VALUE"""),"")</f>
        <v/>
      </c>
      <c r="P156" s="106" t="str">
        <f>IFERROR(__xludf.DUMMYFUNCTION("""COMPUTED_VALUE"""),"")</f>
        <v/>
      </c>
      <c r="R156" s="136" t="str">
        <f>IFERROR(__xludf.DUMMYFUNCTION("""COMPUTED_VALUE"""),"")</f>
        <v/>
      </c>
      <c r="S156" s="106" t="str">
        <f>IFERROR(__xludf.DUMMYFUNCTION("""COMPUTED_VALUE"""),"")</f>
        <v/>
      </c>
    </row>
    <row r="157">
      <c r="A157" s="136" t="s">
        <v>18</v>
      </c>
      <c r="B157" s="146">
        <v>46062.0</v>
      </c>
      <c r="C157" s="136" t="s">
        <v>37</v>
      </c>
      <c r="D157" s="136" t="s">
        <v>148</v>
      </c>
      <c r="E157" s="106">
        <v>0.08125000000291038</v>
      </c>
      <c r="F157" s="136" t="str">
        <f>IFERROR(__xludf.DUMMYFUNCTION("""COMPUTED_VALUE"""),"")</f>
        <v/>
      </c>
      <c r="G157" s="106" t="str">
        <f>IFERROR(__xludf.DUMMYFUNCTION("""COMPUTED_VALUE"""),"")</f>
        <v/>
      </c>
      <c r="I157" s="136" t="str">
        <f>IFERROR(__xludf.DUMMYFUNCTION("""COMPUTED_VALUE"""),"")</f>
        <v/>
      </c>
      <c r="J157" s="106" t="str">
        <f>IFERROR(__xludf.DUMMYFUNCTION("""COMPUTED_VALUE"""),"")</f>
        <v/>
      </c>
      <c r="L157" s="136" t="str">
        <f>IFERROR(__xludf.DUMMYFUNCTION("""COMPUTED_VALUE"""),"")</f>
        <v/>
      </c>
      <c r="M157" s="106" t="str">
        <f>IFERROR(__xludf.DUMMYFUNCTION("""COMPUTED_VALUE"""),"")</f>
        <v/>
      </c>
      <c r="O157" s="136" t="str">
        <f>IFERROR(__xludf.DUMMYFUNCTION("""COMPUTED_VALUE"""),"")</f>
        <v/>
      </c>
      <c r="P157" s="106" t="str">
        <f>IFERROR(__xludf.DUMMYFUNCTION("""COMPUTED_VALUE"""),"")</f>
        <v/>
      </c>
      <c r="R157" s="136" t="str">
        <f>IFERROR(__xludf.DUMMYFUNCTION("""COMPUTED_VALUE"""),"")</f>
        <v/>
      </c>
      <c r="S157" s="106" t="str">
        <f>IFERROR(__xludf.DUMMYFUNCTION("""COMPUTED_VALUE"""),"")</f>
        <v/>
      </c>
    </row>
    <row r="158">
      <c r="A158" s="136" t="s">
        <v>18</v>
      </c>
      <c r="B158" s="146">
        <v>46062.0</v>
      </c>
      <c r="C158" s="136" t="s">
        <v>37</v>
      </c>
      <c r="D158" s="136" t="s">
        <v>149</v>
      </c>
      <c r="E158" s="106">
        <v>0.16666666666424135</v>
      </c>
      <c r="F158" s="136" t="str">
        <f>IFERROR(__xludf.DUMMYFUNCTION("""COMPUTED_VALUE"""),"")</f>
        <v/>
      </c>
      <c r="G158" s="106" t="str">
        <f>IFERROR(__xludf.DUMMYFUNCTION("""COMPUTED_VALUE"""),"")</f>
        <v/>
      </c>
      <c r="I158" s="136" t="str">
        <f>IFERROR(__xludf.DUMMYFUNCTION("""COMPUTED_VALUE"""),"")</f>
        <v/>
      </c>
      <c r="J158" s="106" t="str">
        <f>IFERROR(__xludf.DUMMYFUNCTION("""COMPUTED_VALUE"""),"")</f>
        <v/>
      </c>
      <c r="L158" s="136" t="str">
        <f>IFERROR(__xludf.DUMMYFUNCTION("""COMPUTED_VALUE"""),"")</f>
        <v/>
      </c>
      <c r="M158" s="106" t="str">
        <f>IFERROR(__xludf.DUMMYFUNCTION("""COMPUTED_VALUE"""),"")</f>
        <v/>
      </c>
      <c r="O158" s="136" t="str">
        <f>IFERROR(__xludf.DUMMYFUNCTION("""COMPUTED_VALUE"""),"")</f>
        <v/>
      </c>
      <c r="P158" s="106" t="str">
        <f>IFERROR(__xludf.DUMMYFUNCTION("""COMPUTED_VALUE"""),"")</f>
        <v/>
      </c>
      <c r="R158" s="136" t="str">
        <f>IFERROR(__xludf.DUMMYFUNCTION("""COMPUTED_VALUE"""),"")</f>
        <v/>
      </c>
      <c r="S158" s="106" t="str">
        <f>IFERROR(__xludf.DUMMYFUNCTION("""COMPUTED_VALUE"""),"")</f>
        <v/>
      </c>
    </row>
    <row r="159">
      <c r="A159" s="136" t="s">
        <v>18</v>
      </c>
      <c r="B159" s="146">
        <v>46062.0</v>
      </c>
      <c r="C159" s="136" t="s">
        <v>37</v>
      </c>
      <c r="D159" s="136" t="s">
        <v>148</v>
      </c>
      <c r="E159" s="106">
        <v>0.125</v>
      </c>
      <c r="F159" s="136" t="str">
        <f>IFERROR(__xludf.DUMMYFUNCTION("""COMPUTED_VALUE"""),"")</f>
        <v/>
      </c>
      <c r="G159" s="106" t="str">
        <f>IFERROR(__xludf.DUMMYFUNCTION("""COMPUTED_VALUE"""),"")</f>
        <v/>
      </c>
      <c r="I159" s="136" t="str">
        <f>IFERROR(__xludf.DUMMYFUNCTION("""COMPUTED_VALUE"""),"")</f>
        <v/>
      </c>
      <c r="J159" s="106" t="str">
        <f>IFERROR(__xludf.DUMMYFUNCTION("""COMPUTED_VALUE"""),"")</f>
        <v/>
      </c>
      <c r="L159" s="136" t="str">
        <f>IFERROR(__xludf.DUMMYFUNCTION("""COMPUTED_VALUE"""),"")</f>
        <v/>
      </c>
      <c r="M159" s="106" t="str">
        <f>IFERROR(__xludf.DUMMYFUNCTION("""COMPUTED_VALUE"""),"")</f>
        <v/>
      </c>
      <c r="O159" s="136" t="str">
        <f>IFERROR(__xludf.DUMMYFUNCTION("""COMPUTED_VALUE"""),"")</f>
        <v/>
      </c>
      <c r="P159" s="106" t="str">
        <f>IFERROR(__xludf.DUMMYFUNCTION("""COMPUTED_VALUE"""),"")</f>
        <v/>
      </c>
      <c r="R159" s="136" t="str">
        <f>IFERROR(__xludf.DUMMYFUNCTION("""COMPUTED_VALUE"""),"")</f>
        <v/>
      </c>
      <c r="S159" s="106" t="str">
        <f>IFERROR(__xludf.DUMMYFUNCTION("""COMPUTED_VALUE"""),"")</f>
        <v/>
      </c>
    </row>
    <row r="160">
      <c r="A160" s="136" t="s">
        <v>134</v>
      </c>
      <c r="B160" s="146">
        <v>46062.0</v>
      </c>
      <c r="C160" s="136" t="s">
        <v>37</v>
      </c>
      <c r="D160" s="136" t="s">
        <v>149</v>
      </c>
      <c r="E160" s="106">
        <v>0.04236111111094942</v>
      </c>
      <c r="F160" s="136">
        <f>IFERROR(__xludf.DUMMYFUNCTION("""COMPUTED_VALUE"""),51.0)</f>
        <v>51</v>
      </c>
      <c r="G160" s="106">
        <f>IFERROR(__xludf.DUMMYFUNCTION("""COMPUTED_VALUE"""),0.06527777777955635)</f>
        <v>0.06527777778</v>
      </c>
      <c r="I160" s="136">
        <f>IFERROR(__xludf.DUMMYFUNCTION("""COMPUTED_VALUE"""),53.0)</f>
        <v>53</v>
      </c>
      <c r="J160" s="106">
        <f>IFERROR(__xludf.DUMMYFUNCTION("""COMPUTED_VALUE"""),0.04236111111094942)</f>
        <v>0.04236111111</v>
      </c>
      <c r="L160" s="136">
        <f>IFERROR(__xludf.DUMMYFUNCTION("""COMPUTED_VALUE"""),186.0)</f>
        <v>186</v>
      </c>
      <c r="M160" s="106">
        <f>IFERROR(__xludf.DUMMYFUNCTION("""COMPUTED_VALUE"""),0.1993055555576575)</f>
        <v>0.1993055556</v>
      </c>
      <c r="O160" s="136">
        <f>IFERROR(__xludf.DUMMYFUNCTION("""COMPUTED_VALUE"""),0.0)</f>
        <v>0</v>
      </c>
      <c r="P160" s="106">
        <f>IFERROR(__xludf.DUMMYFUNCTION("""COMPUTED_VALUE"""),0.0)</f>
        <v>0</v>
      </c>
      <c r="R160" s="136">
        <f>IFERROR(__xludf.DUMMYFUNCTION("""COMPUTED_VALUE"""),338.0)</f>
        <v>338</v>
      </c>
      <c r="S160" s="106">
        <f>IFERROR(__xludf.DUMMYFUNCTION("""COMPUTED_VALUE"""),0.37291666666715173)</f>
        <v>0.3729166667</v>
      </c>
    </row>
    <row r="161">
      <c r="A161" s="136" t="s">
        <v>15</v>
      </c>
      <c r="B161" s="146">
        <v>46062.0</v>
      </c>
      <c r="C161" s="136" t="s">
        <v>37</v>
      </c>
      <c r="D161" s="136" t="s">
        <v>148</v>
      </c>
      <c r="E161" s="106">
        <v>0.0743055555576575</v>
      </c>
      <c r="F161" s="136" t="str">
        <f>IFERROR(__xludf.DUMMYFUNCTION("""COMPUTED_VALUE"""),"")</f>
        <v/>
      </c>
      <c r="G161" s="106" t="str">
        <f>IFERROR(__xludf.DUMMYFUNCTION("""COMPUTED_VALUE"""),"")</f>
        <v/>
      </c>
      <c r="I161" s="136" t="str">
        <f>IFERROR(__xludf.DUMMYFUNCTION("""COMPUTED_VALUE"""),"")</f>
        <v/>
      </c>
      <c r="J161" s="106" t="str">
        <f>IFERROR(__xludf.DUMMYFUNCTION("""COMPUTED_VALUE"""),"")</f>
        <v/>
      </c>
      <c r="L161" s="136" t="str">
        <f>IFERROR(__xludf.DUMMYFUNCTION("""COMPUTED_VALUE"""),"")</f>
        <v/>
      </c>
      <c r="M161" s="106" t="str">
        <f>IFERROR(__xludf.DUMMYFUNCTION("""COMPUTED_VALUE"""),"")</f>
        <v/>
      </c>
      <c r="O161" s="136" t="str">
        <f>IFERROR(__xludf.DUMMYFUNCTION("""COMPUTED_VALUE"""),"")</f>
        <v/>
      </c>
      <c r="P161" s="106" t="str">
        <f>IFERROR(__xludf.DUMMYFUNCTION("""COMPUTED_VALUE"""),"")</f>
        <v/>
      </c>
      <c r="R161" s="136" t="str">
        <f>IFERROR(__xludf.DUMMYFUNCTION("""COMPUTED_VALUE"""),"")</f>
        <v/>
      </c>
      <c r="S161" s="106" t="str">
        <f>IFERROR(__xludf.DUMMYFUNCTION("""COMPUTED_VALUE"""),"")</f>
        <v/>
      </c>
    </row>
    <row r="162">
      <c r="A162" s="136" t="s">
        <v>134</v>
      </c>
      <c r="B162" s="146">
        <v>46063.0</v>
      </c>
      <c r="C162" s="136" t="s">
        <v>41</v>
      </c>
      <c r="D162" s="136" t="s">
        <v>149</v>
      </c>
      <c r="E162" s="106">
        <v>0.07361111110900914</v>
      </c>
      <c r="F162" s="136" t="str">
        <f>IFERROR(__xludf.DUMMYFUNCTION("""COMPUTED_VALUE"""),"")</f>
        <v/>
      </c>
      <c r="G162" s="106" t="str">
        <f>IFERROR(__xludf.DUMMYFUNCTION("""COMPUTED_VALUE"""),"")</f>
        <v/>
      </c>
      <c r="I162" s="136" t="str">
        <f>IFERROR(__xludf.DUMMYFUNCTION("""COMPUTED_VALUE"""),"")</f>
        <v/>
      </c>
      <c r="J162" s="106" t="str">
        <f>IFERROR(__xludf.DUMMYFUNCTION("""COMPUTED_VALUE"""),"")</f>
        <v/>
      </c>
      <c r="L162" s="136" t="str">
        <f>IFERROR(__xludf.DUMMYFUNCTION("""COMPUTED_VALUE"""),"")</f>
        <v/>
      </c>
      <c r="M162" s="106" t="str">
        <f>IFERROR(__xludf.DUMMYFUNCTION("""COMPUTED_VALUE"""),"")</f>
        <v/>
      </c>
      <c r="O162" s="136" t="str">
        <f>IFERROR(__xludf.DUMMYFUNCTION("""COMPUTED_VALUE"""),"")</f>
        <v/>
      </c>
      <c r="P162" s="106" t="str">
        <f>IFERROR(__xludf.DUMMYFUNCTION("""COMPUTED_VALUE"""),"")</f>
        <v/>
      </c>
      <c r="R162" s="136" t="str">
        <f>IFERROR(__xludf.DUMMYFUNCTION("""COMPUTED_VALUE"""),"")</f>
        <v/>
      </c>
      <c r="S162" s="106" t="str">
        <f>IFERROR(__xludf.DUMMYFUNCTION("""COMPUTED_VALUE"""),"")</f>
        <v/>
      </c>
    </row>
    <row r="163">
      <c r="A163" s="136" t="s">
        <v>15</v>
      </c>
      <c r="B163" s="146">
        <v>46063.0</v>
      </c>
      <c r="C163" s="136" t="s">
        <v>41</v>
      </c>
      <c r="D163" s="136" t="s">
        <v>148</v>
      </c>
      <c r="E163" s="106">
        <v>0.08402777778246673</v>
      </c>
      <c r="F163" s="136" t="str">
        <f>IFERROR(__xludf.DUMMYFUNCTION("""COMPUTED_VALUE"""),"")</f>
        <v/>
      </c>
      <c r="G163" s="106" t="str">
        <f>IFERROR(__xludf.DUMMYFUNCTION("""COMPUTED_VALUE"""),"")</f>
        <v/>
      </c>
      <c r="I163" s="136" t="str">
        <f>IFERROR(__xludf.DUMMYFUNCTION("""COMPUTED_VALUE"""),"")</f>
        <v/>
      </c>
      <c r="J163" s="106" t="str">
        <f>IFERROR(__xludf.DUMMYFUNCTION("""COMPUTED_VALUE"""),"")</f>
        <v/>
      </c>
      <c r="L163" s="136" t="str">
        <f>IFERROR(__xludf.DUMMYFUNCTION("""COMPUTED_VALUE"""),"")</f>
        <v/>
      </c>
      <c r="M163" s="106" t="str">
        <f>IFERROR(__xludf.DUMMYFUNCTION("""COMPUTED_VALUE"""),"")</f>
        <v/>
      </c>
      <c r="O163" s="136" t="str">
        <f>IFERROR(__xludf.DUMMYFUNCTION("""COMPUTED_VALUE"""),"")</f>
        <v/>
      </c>
      <c r="P163" s="106" t="str">
        <f>IFERROR(__xludf.DUMMYFUNCTION("""COMPUTED_VALUE"""),"")</f>
        <v/>
      </c>
      <c r="R163" s="136" t="str">
        <f>IFERROR(__xludf.DUMMYFUNCTION("""COMPUTED_VALUE"""),"")</f>
        <v/>
      </c>
      <c r="S163" s="106" t="str">
        <f>IFERROR(__xludf.DUMMYFUNCTION("""COMPUTED_VALUE"""),"")</f>
        <v/>
      </c>
    </row>
    <row r="164">
      <c r="A164" s="136" t="s">
        <v>15</v>
      </c>
      <c r="B164" s="146">
        <v>46063.0</v>
      </c>
      <c r="C164" s="136" t="s">
        <v>41</v>
      </c>
      <c r="D164" s="136" t="s">
        <v>148</v>
      </c>
      <c r="E164" s="106">
        <v>0.04305555555199847</v>
      </c>
      <c r="F164" s="136" t="str">
        <f>IFERROR(__xludf.DUMMYFUNCTION("""COMPUTED_VALUE"""),"")</f>
        <v/>
      </c>
      <c r="G164" s="106" t="str">
        <f>IFERROR(__xludf.DUMMYFUNCTION("""COMPUTED_VALUE"""),"")</f>
        <v/>
      </c>
      <c r="I164" s="136" t="str">
        <f>IFERROR(__xludf.DUMMYFUNCTION("""COMPUTED_VALUE"""),"")</f>
        <v/>
      </c>
      <c r="J164" s="106" t="str">
        <f>IFERROR(__xludf.DUMMYFUNCTION("""COMPUTED_VALUE"""),"")</f>
        <v/>
      </c>
      <c r="L164" s="136" t="str">
        <f>IFERROR(__xludf.DUMMYFUNCTION("""COMPUTED_VALUE"""),"")</f>
        <v/>
      </c>
      <c r="M164" s="106" t="str">
        <f>IFERROR(__xludf.DUMMYFUNCTION("""COMPUTED_VALUE"""),"")</f>
        <v/>
      </c>
      <c r="O164" s="136" t="str">
        <f>IFERROR(__xludf.DUMMYFUNCTION("""COMPUTED_VALUE"""),"")</f>
        <v/>
      </c>
      <c r="P164" s="106" t="str">
        <f>IFERROR(__xludf.DUMMYFUNCTION("""COMPUTED_VALUE"""),"")</f>
        <v/>
      </c>
      <c r="R164" s="136" t="str">
        <f>IFERROR(__xludf.DUMMYFUNCTION("""COMPUTED_VALUE"""),"")</f>
        <v/>
      </c>
      <c r="S164" s="106" t="str">
        <f>IFERROR(__xludf.DUMMYFUNCTION("""COMPUTED_VALUE"""),"")</f>
        <v/>
      </c>
    </row>
    <row r="165">
      <c r="A165" s="136" t="s">
        <v>15</v>
      </c>
      <c r="B165" s="146">
        <v>46063.0</v>
      </c>
      <c r="C165" s="136" t="s">
        <v>41</v>
      </c>
      <c r="D165" s="136" t="s">
        <v>149</v>
      </c>
      <c r="E165" s="106">
        <v>0.13194444444525288</v>
      </c>
      <c r="F165" s="136" t="str">
        <f>IFERROR(__xludf.DUMMYFUNCTION("""COMPUTED_VALUE"""),"")</f>
        <v/>
      </c>
      <c r="G165" s="106" t="str">
        <f>IFERROR(__xludf.DUMMYFUNCTION("""COMPUTED_VALUE"""),"")</f>
        <v/>
      </c>
      <c r="I165" s="136" t="str">
        <f>IFERROR(__xludf.DUMMYFUNCTION("""COMPUTED_VALUE"""),"")</f>
        <v/>
      </c>
      <c r="J165" s="106" t="str">
        <f>IFERROR(__xludf.DUMMYFUNCTION("""COMPUTED_VALUE"""),"")</f>
        <v/>
      </c>
      <c r="L165" s="136" t="str">
        <f>IFERROR(__xludf.DUMMYFUNCTION("""COMPUTED_VALUE"""),"")</f>
        <v/>
      </c>
      <c r="M165" s="106" t="str">
        <f>IFERROR(__xludf.DUMMYFUNCTION("""COMPUTED_VALUE"""),"")</f>
        <v/>
      </c>
      <c r="O165" s="136" t="str">
        <f>IFERROR(__xludf.DUMMYFUNCTION("""COMPUTED_VALUE"""),"")</f>
        <v/>
      </c>
      <c r="P165" s="106" t="str">
        <f>IFERROR(__xludf.DUMMYFUNCTION("""COMPUTED_VALUE"""),"")</f>
        <v/>
      </c>
      <c r="R165" s="136" t="str">
        <f>IFERROR(__xludf.DUMMYFUNCTION("""COMPUTED_VALUE"""),"")</f>
        <v/>
      </c>
      <c r="S165" s="106" t="str">
        <f>IFERROR(__xludf.DUMMYFUNCTION("""COMPUTED_VALUE"""),"")</f>
        <v/>
      </c>
    </row>
    <row r="166">
      <c r="A166" s="136" t="s">
        <v>18</v>
      </c>
      <c r="B166" s="146">
        <v>46063.0</v>
      </c>
      <c r="C166" s="136" t="s">
        <v>41</v>
      </c>
      <c r="D166" s="136" t="s">
        <v>148</v>
      </c>
      <c r="E166" s="106">
        <v>0.11180555555620231</v>
      </c>
      <c r="F166" s="136">
        <f>IFERROR(__xludf.DUMMYFUNCTION("""COMPUTED_VALUE"""),0.0)</f>
        <v>0</v>
      </c>
      <c r="G166" s="106">
        <f>IFERROR(__xludf.DUMMYFUNCTION("""COMPUTED_VALUE"""),0.0)</f>
        <v>0</v>
      </c>
      <c r="I166" s="136">
        <f>IFERROR(__xludf.DUMMYFUNCTION("""COMPUTED_VALUE"""),101.0)</f>
        <v>101</v>
      </c>
      <c r="J166" s="106">
        <f>IFERROR(__xludf.DUMMYFUNCTION("""COMPUTED_VALUE"""),0.07361111110900914)</f>
        <v>0.07361111111</v>
      </c>
      <c r="L166" s="136">
        <f>IFERROR(__xludf.DUMMYFUNCTION("""COMPUTED_VALUE"""),222.0)</f>
        <v>222</v>
      </c>
      <c r="M166" s="106">
        <f>IFERROR(__xludf.DUMMYFUNCTION("""COMPUTED_VALUE"""),0.2590277777797181)</f>
        <v>0.2590277778</v>
      </c>
      <c r="O166" s="136">
        <f>IFERROR(__xludf.DUMMYFUNCTION("""COMPUTED_VALUE"""),0.0)</f>
        <v>0</v>
      </c>
      <c r="P166" s="106">
        <f>IFERROR(__xludf.DUMMYFUNCTION("""COMPUTED_VALUE"""),0.0)</f>
        <v>0</v>
      </c>
      <c r="R166" s="136">
        <f>IFERROR(__xludf.DUMMYFUNCTION("""COMPUTED_VALUE"""),240.0)</f>
        <v>240</v>
      </c>
      <c r="S166" s="106">
        <f>IFERROR(__xludf.DUMMYFUNCTION("""COMPUTED_VALUE"""),0.21597222222044365)</f>
        <v>0.2159722222</v>
      </c>
    </row>
    <row r="167">
      <c r="A167" s="136" t="s">
        <v>18</v>
      </c>
      <c r="B167" s="146">
        <v>46063.0</v>
      </c>
      <c r="C167" s="136" t="s">
        <v>41</v>
      </c>
      <c r="D167" s="136" t="s">
        <v>149</v>
      </c>
      <c r="E167" s="106">
        <v>0.10416666666424135</v>
      </c>
      <c r="F167" s="136" t="str">
        <f>IFERROR(__xludf.DUMMYFUNCTION("""COMPUTED_VALUE"""),"")</f>
        <v/>
      </c>
      <c r="G167" s="106" t="str">
        <f>IFERROR(__xludf.DUMMYFUNCTION("""COMPUTED_VALUE"""),"")</f>
        <v/>
      </c>
      <c r="I167" s="136" t="str">
        <f>IFERROR(__xludf.DUMMYFUNCTION("""COMPUTED_VALUE"""),"")</f>
        <v/>
      </c>
      <c r="J167" s="106" t="str">
        <f>IFERROR(__xludf.DUMMYFUNCTION("""COMPUTED_VALUE"""),"")</f>
        <v/>
      </c>
      <c r="L167" s="136" t="str">
        <f>IFERROR(__xludf.DUMMYFUNCTION("""COMPUTED_VALUE"""),"")</f>
        <v/>
      </c>
      <c r="M167" s="106" t="str">
        <f>IFERROR(__xludf.DUMMYFUNCTION("""COMPUTED_VALUE"""),"")</f>
        <v/>
      </c>
      <c r="O167" s="136" t="str">
        <f>IFERROR(__xludf.DUMMYFUNCTION("""COMPUTED_VALUE"""),"")</f>
        <v/>
      </c>
      <c r="P167" s="106" t="str">
        <f>IFERROR(__xludf.DUMMYFUNCTION("""COMPUTED_VALUE"""),"")</f>
        <v/>
      </c>
      <c r="R167" s="136" t="str">
        <f>IFERROR(__xludf.DUMMYFUNCTION("""COMPUTED_VALUE"""),"")</f>
        <v/>
      </c>
      <c r="S167" s="106" t="str">
        <f>IFERROR(__xludf.DUMMYFUNCTION("""COMPUTED_VALUE"""),"")</f>
        <v/>
      </c>
    </row>
    <row r="168">
      <c r="A168" s="136" t="s">
        <v>15</v>
      </c>
      <c r="B168" s="146">
        <v>46064.0</v>
      </c>
      <c r="C168" s="136" t="s">
        <v>45</v>
      </c>
      <c r="D168" s="136" t="s">
        <v>148</v>
      </c>
      <c r="E168" s="106">
        <v>0.08333333333575865</v>
      </c>
      <c r="F168" s="136" t="str">
        <f>IFERROR(__xludf.DUMMYFUNCTION("""COMPUTED_VALUE"""),"")</f>
        <v/>
      </c>
      <c r="G168" s="106" t="str">
        <f>IFERROR(__xludf.DUMMYFUNCTION("""COMPUTED_VALUE"""),"")</f>
        <v/>
      </c>
      <c r="I168" s="136" t="str">
        <f>IFERROR(__xludf.DUMMYFUNCTION("""COMPUTED_VALUE"""),"")</f>
        <v/>
      </c>
      <c r="J168" s="106" t="str">
        <f>IFERROR(__xludf.DUMMYFUNCTION("""COMPUTED_VALUE"""),"")</f>
        <v/>
      </c>
      <c r="L168" s="136" t="str">
        <f>IFERROR(__xludf.DUMMYFUNCTION("""COMPUTED_VALUE"""),"")</f>
        <v/>
      </c>
      <c r="M168" s="106" t="str">
        <f>IFERROR(__xludf.DUMMYFUNCTION("""COMPUTED_VALUE"""),"")</f>
        <v/>
      </c>
      <c r="O168" s="136" t="str">
        <f>IFERROR(__xludf.DUMMYFUNCTION("""COMPUTED_VALUE"""),"")</f>
        <v/>
      </c>
      <c r="P168" s="106" t="str">
        <f>IFERROR(__xludf.DUMMYFUNCTION("""COMPUTED_VALUE"""),"")</f>
        <v/>
      </c>
      <c r="R168" s="136" t="str">
        <f>IFERROR(__xludf.DUMMYFUNCTION("""COMPUTED_VALUE"""),"")</f>
        <v/>
      </c>
      <c r="S168" s="106" t="str">
        <f>IFERROR(__xludf.DUMMYFUNCTION("""COMPUTED_VALUE"""),"")</f>
        <v/>
      </c>
    </row>
    <row r="169">
      <c r="A169" s="136" t="s">
        <v>18</v>
      </c>
      <c r="B169" s="146">
        <v>46064.0</v>
      </c>
      <c r="C169" s="136" t="s">
        <v>45</v>
      </c>
      <c r="D169" s="136" t="s">
        <v>148</v>
      </c>
      <c r="E169" s="106">
        <v>0.06597222222626442</v>
      </c>
      <c r="F169" s="136" t="str">
        <f>IFERROR(__xludf.DUMMYFUNCTION("""COMPUTED_VALUE"""),"")</f>
        <v/>
      </c>
      <c r="G169" s="106" t="str">
        <f>IFERROR(__xludf.DUMMYFUNCTION("""COMPUTED_VALUE"""),"")</f>
        <v/>
      </c>
      <c r="I169" s="136" t="str">
        <f>IFERROR(__xludf.DUMMYFUNCTION("""COMPUTED_VALUE"""),"")</f>
        <v/>
      </c>
      <c r="J169" s="106" t="str">
        <f>IFERROR(__xludf.DUMMYFUNCTION("""COMPUTED_VALUE"""),"")</f>
        <v/>
      </c>
      <c r="L169" s="136" t="str">
        <f>IFERROR(__xludf.DUMMYFUNCTION("""COMPUTED_VALUE"""),"")</f>
        <v/>
      </c>
      <c r="M169" s="106" t="str">
        <f>IFERROR(__xludf.DUMMYFUNCTION("""COMPUTED_VALUE"""),"")</f>
        <v/>
      </c>
      <c r="O169" s="136" t="str">
        <f>IFERROR(__xludf.DUMMYFUNCTION("""COMPUTED_VALUE"""),"")</f>
        <v/>
      </c>
      <c r="P169" s="106" t="str">
        <f>IFERROR(__xludf.DUMMYFUNCTION("""COMPUTED_VALUE"""),"")</f>
        <v/>
      </c>
      <c r="R169" s="136" t="str">
        <f>IFERROR(__xludf.DUMMYFUNCTION("""COMPUTED_VALUE"""),"")</f>
        <v/>
      </c>
      <c r="S169" s="106" t="str">
        <f>IFERROR(__xludf.DUMMYFUNCTION("""COMPUTED_VALUE"""),"")</f>
        <v/>
      </c>
    </row>
    <row r="170">
      <c r="A170" s="136" t="s">
        <v>18</v>
      </c>
      <c r="B170" s="146">
        <v>46064.0</v>
      </c>
      <c r="C170" s="136" t="s">
        <v>45</v>
      </c>
      <c r="D170" s="136" t="s">
        <v>148</v>
      </c>
      <c r="E170" s="106">
        <v>0.04166666666424135</v>
      </c>
      <c r="F170" s="136" t="str">
        <f>IFERROR(__xludf.DUMMYFUNCTION("""COMPUTED_VALUE"""),"")</f>
        <v/>
      </c>
      <c r="G170" s="106" t="str">
        <f>IFERROR(__xludf.DUMMYFUNCTION("""COMPUTED_VALUE"""),"")</f>
        <v/>
      </c>
      <c r="I170" s="136" t="str">
        <f>IFERROR(__xludf.DUMMYFUNCTION("""COMPUTED_VALUE"""),"")</f>
        <v/>
      </c>
      <c r="J170" s="106" t="str">
        <f>IFERROR(__xludf.DUMMYFUNCTION("""COMPUTED_VALUE"""),"")</f>
        <v/>
      </c>
      <c r="L170" s="136" t="str">
        <f>IFERROR(__xludf.DUMMYFUNCTION("""COMPUTED_VALUE"""),"")</f>
        <v/>
      </c>
      <c r="M170" s="106" t="str">
        <f>IFERROR(__xludf.DUMMYFUNCTION("""COMPUTED_VALUE"""),"")</f>
        <v/>
      </c>
      <c r="O170" s="136" t="str">
        <f>IFERROR(__xludf.DUMMYFUNCTION("""COMPUTED_VALUE"""),"")</f>
        <v/>
      </c>
      <c r="P170" s="106" t="str">
        <f>IFERROR(__xludf.DUMMYFUNCTION("""COMPUTED_VALUE"""),"")</f>
        <v/>
      </c>
      <c r="R170" s="136" t="str">
        <f>IFERROR(__xludf.DUMMYFUNCTION("""COMPUTED_VALUE"""),"")</f>
        <v/>
      </c>
      <c r="S170" s="106" t="str">
        <f>IFERROR(__xludf.DUMMYFUNCTION("""COMPUTED_VALUE"""),"")</f>
        <v/>
      </c>
    </row>
    <row r="171">
      <c r="A171" s="136" t="s">
        <v>18</v>
      </c>
      <c r="B171" s="146">
        <v>46064.0</v>
      </c>
      <c r="C171" s="136" t="s">
        <v>45</v>
      </c>
      <c r="D171" s="136" t="s">
        <v>149</v>
      </c>
      <c r="E171" s="106">
        <v>0.16666666666424135</v>
      </c>
      <c r="F171" s="136" t="str">
        <f>IFERROR(__xludf.DUMMYFUNCTION("""COMPUTED_VALUE"""),"")</f>
        <v/>
      </c>
      <c r="G171" s="106" t="str">
        <f>IFERROR(__xludf.DUMMYFUNCTION("""COMPUTED_VALUE"""),"")</f>
        <v/>
      </c>
      <c r="I171" s="136" t="str">
        <f>IFERROR(__xludf.DUMMYFUNCTION("""COMPUTED_VALUE"""),"")</f>
        <v/>
      </c>
      <c r="J171" s="106" t="str">
        <f>IFERROR(__xludf.DUMMYFUNCTION("""COMPUTED_VALUE"""),"")</f>
        <v/>
      </c>
      <c r="L171" s="136" t="str">
        <f>IFERROR(__xludf.DUMMYFUNCTION("""COMPUTED_VALUE"""),"")</f>
        <v/>
      </c>
      <c r="M171" s="106" t="str">
        <f>IFERROR(__xludf.DUMMYFUNCTION("""COMPUTED_VALUE"""),"")</f>
        <v/>
      </c>
      <c r="O171" s="136" t="str">
        <f>IFERROR(__xludf.DUMMYFUNCTION("""COMPUTED_VALUE"""),"")</f>
        <v/>
      </c>
      <c r="P171" s="106" t="str">
        <f>IFERROR(__xludf.DUMMYFUNCTION("""COMPUTED_VALUE"""),"")</f>
        <v/>
      </c>
      <c r="R171" s="136" t="str">
        <f>IFERROR(__xludf.DUMMYFUNCTION("""COMPUTED_VALUE"""),"")</f>
        <v/>
      </c>
      <c r="S171" s="106" t="str">
        <f>IFERROR(__xludf.DUMMYFUNCTION("""COMPUTED_VALUE"""),"")</f>
        <v/>
      </c>
    </row>
    <row r="172">
      <c r="A172" s="136" t="s">
        <v>18</v>
      </c>
      <c r="B172" s="146">
        <v>46064.0</v>
      </c>
      <c r="C172" s="136" t="s">
        <v>45</v>
      </c>
      <c r="D172" s="136" t="s">
        <v>148</v>
      </c>
      <c r="E172" s="106">
        <v>0.061111111113859806</v>
      </c>
      <c r="F172" s="136">
        <f>IFERROR(__xludf.DUMMYFUNCTION("""COMPUTED_VALUE"""),0.0)</f>
        <v>0</v>
      </c>
      <c r="G172" s="106">
        <f>IFERROR(__xludf.DUMMYFUNCTION("""COMPUTED_VALUE"""),0.0)</f>
        <v>0</v>
      </c>
      <c r="I172" s="136">
        <f>IFERROR(__xludf.DUMMYFUNCTION("""COMPUTED_VALUE"""),0.0)</f>
        <v>0</v>
      </c>
      <c r="J172" s="106">
        <f>IFERROR(__xludf.DUMMYFUNCTION("""COMPUTED_VALUE"""),0.0)</f>
        <v>0</v>
      </c>
      <c r="L172" s="136">
        <f>IFERROR(__xludf.DUMMYFUNCTION("""COMPUTED_VALUE"""),128.0)</f>
        <v>128</v>
      </c>
      <c r="M172" s="106">
        <f>IFERROR(__xludf.DUMMYFUNCTION("""COMPUTED_VALUE"""),0.08333333333575865)</f>
        <v>0.08333333334</v>
      </c>
      <c r="O172" s="136">
        <f>IFERROR(__xludf.DUMMYFUNCTION("""COMPUTED_VALUE"""),0.0)</f>
        <v>0</v>
      </c>
      <c r="P172" s="106">
        <f>IFERROR(__xludf.DUMMYFUNCTION("""COMPUTED_VALUE"""),0.0)</f>
        <v>0</v>
      </c>
      <c r="R172" s="136">
        <f>IFERROR(__xludf.DUMMYFUNCTION("""COMPUTED_VALUE"""),516.0)</f>
        <v>516</v>
      </c>
      <c r="S172" s="106">
        <f>IFERROR(__xludf.DUMMYFUNCTION("""COMPUTED_VALUE"""),0.3562500000043656)</f>
        <v>0.35625</v>
      </c>
    </row>
    <row r="173">
      <c r="A173" s="136" t="s">
        <v>18</v>
      </c>
      <c r="B173" s="146">
        <v>46064.0</v>
      </c>
      <c r="C173" s="136" t="s">
        <v>45</v>
      </c>
      <c r="D173" s="136" t="s">
        <v>148</v>
      </c>
      <c r="E173" s="106">
        <v>0.020833333335758653</v>
      </c>
      <c r="F173" s="136" t="str">
        <f>IFERROR(__xludf.DUMMYFUNCTION("""COMPUTED_VALUE"""),"")</f>
        <v/>
      </c>
      <c r="G173" s="106" t="str">
        <f>IFERROR(__xludf.DUMMYFUNCTION("""COMPUTED_VALUE"""),"")</f>
        <v/>
      </c>
      <c r="I173" s="136" t="str">
        <f>IFERROR(__xludf.DUMMYFUNCTION("""COMPUTED_VALUE"""),"")</f>
        <v/>
      </c>
      <c r="J173" s="106" t="str">
        <f>IFERROR(__xludf.DUMMYFUNCTION("""COMPUTED_VALUE"""),"")</f>
        <v/>
      </c>
      <c r="L173" s="136" t="str">
        <f>IFERROR(__xludf.DUMMYFUNCTION("""COMPUTED_VALUE"""),"")</f>
        <v/>
      </c>
      <c r="M173" s="106" t="str">
        <f>IFERROR(__xludf.DUMMYFUNCTION("""COMPUTED_VALUE"""),"")</f>
        <v/>
      </c>
      <c r="O173" s="136" t="str">
        <f>IFERROR(__xludf.DUMMYFUNCTION("""COMPUTED_VALUE"""),"")</f>
        <v/>
      </c>
      <c r="P173" s="106" t="str">
        <f>IFERROR(__xludf.DUMMYFUNCTION("""COMPUTED_VALUE"""),"")</f>
        <v/>
      </c>
      <c r="R173" s="136" t="str">
        <f>IFERROR(__xludf.DUMMYFUNCTION("""COMPUTED_VALUE"""),"")</f>
        <v/>
      </c>
      <c r="S173" s="106" t="str">
        <f>IFERROR(__xludf.DUMMYFUNCTION("""COMPUTED_VALUE"""),"")</f>
        <v/>
      </c>
    </row>
    <row r="174">
      <c r="A174" s="136" t="s">
        <v>12</v>
      </c>
      <c r="B174" s="146">
        <v>46065.0</v>
      </c>
      <c r="C174" s="136" t="s">
        <v>49</v>
      </c>
      <c r="D174" s="136" t="s">
        <v>149</v>
      </c>
      <c r="E174" s="106">
        <v>0.06944444444525288</v>
      </c>
      <c r="F174" s="136" t="str">
        <f>IFERROR(__xludf.DUMMYFUNCTION("""COMPUTED_VALUE"""),"")</f>
        <v/>
      </c>
      <c r="G174" s="106" t="str">
        <f>IFERROR(__xludf.DUMMYFUNCTION("""COMPUTED_VALUE"""),"")</f>
        <v/>
      </c>
      <c r="I174" s="136" t="str">
        <f>IFERROR(__xludf.DUMMYFUNCTION("""COMPUTED_VALUE"""),"")</f>
        <v/>
      </c>
      <c r="J174" s="106" t="str">
        <f>IFERROR(__xludf.DUMMYFUNCTION("""COMPUTED_VALUE"""),"")</f>
        <v/>
      </c>
      <c r="L174" s="136" t="str">
        <f>IFERROR(__xludf.DUMMYFUNCTION("""COMPUTED_VALUE"""),"")</f>
        <v/>
      </c>
      <c r="M174" s="106" t="str">
        <f>IFERROR(__xludf.DUMMYFUNCTION("""COMPUTED_VALUE"""),"")</f>
        <v/>
      </c>
      <c r="O174" s="136" t="str">
        <f>IFERROR(__xludf.DUMMYFUNCTION("""COMPUTED_VALUE"""),"")</f>
        <v/>
      </c>
      <c r="P174" s="106" t="str">
        <f>IFERROR(__xludf.DUMMYFUNCTION("""COMPUTED_VALUE"""),"")</f>
        <v/>
      </c>
      <c r="R174" s="136" t="str">
        <f>IFERROR(__xludf.DUMMYFUNCTION("""COMPUTED_VALUE"""),"")</f>
        <v/>
      </c>
      <c r="S174" s="106" t="str">
        <f>IFERROR(__xludf.DUMMYFUNCTION("""COMPUTED_VALUE"""),"")</f>
        <v/>
      </c>
    </row>
    <row r="175">
      <c r="A175" s="136" t="s">
        <v>12</v>
      </c>
      <c r="B175" s="146">
        <v>46065.0</v>
      </c>
      <c r="C175" s="136" t="s">
        <v>49</v>
      </c>
      <c r="D175" s="136" t="s">
        <v>149</v>
      </c>
      <c r="E175" s="106">
        <v>0.08125000000291038</v>
      </c>
      <c r="F175" s="136" t="str">
        <f>IFERROR(__xludf.DUMMYFUNCTION("""COMPUTED_VALUE"""),"")</f>
        <v/>
      </c>
      <c r="G175" s="106" t="str">
        <f>IFERROR(__xludf.DUMMYFUNCTION("""COMPUTED_VALUE"""),"")</f>
        <v/>
      </c>
      <c r="I175" s="136" t="str">
        <f>IFERROR(__xludf.DUMMYFUNCTION("""COMPUTED_VALUE"""),"")</f>
        <v/>
      </c>
      <c r="J175" s="106" t="str">
        <f>IFERROR(__xludf.DUMMYFUNCTION("""COMPUTED_VALUE"""),"")</f>
        <v/>
      </c>
      <c r="L175" s="136" t="str">
        <f>IFERROR(__xludf.DUMMYFUNCTION("""COMPUTED_VALUE"""),"")</f>
        <v/>
      </c>
      <c r="M175" s="106" t="str">
        <f>IFERROR(__xludf.DUMMYFUNCTION("""COMPUTED_VALUE"""),"")</f>
        <v/>
      </c>
      <c r="O175" s="136" t="str">
        <f>IFERROR(__xludf.DUMMYFUNCTION("""COMPUTED_VALUE"""),"")</f>
        <v/>
      </c>
      <c r="P175" s="106" t="str">
        <f>IFERROR(__xludf.DUMMYFUNCTION("""COMPUTED_VALUE"""),"")</f>
        <v/>
      </c>
      <c r="R175" s="136" t="str">
        <f>IFERROR(__xludf.DUMMYFUNCTION("""COMPUTED_VALUE"""),"")</f>
        <v/>
      </c>
      <c r="S175" s="106" t="str">
        <f>IFERROR(__xludf.DUMMYFUNCTION("""COMPUTED_VALUE"""),"")</f>
        <v/>
      </c>
    </row>
    <row r="176">
      <c r="A176" s="136" t="s">
        <v>134</v>
      </c>
      <c r="B176" s="146">
        <v>46065.0</v>
      </c>
      <c r="C176" s="136" t="s">
        <v>49</v>
      </c>
      <c r="D176" s="136" t="s">
        <v>149</v>
      </c>
      <c r="E176" s="106">
        <v>0.027083333327027503</v>
      </c>
      <c r="F176" s="136" t="str">
        <f>IFERROR(__xludf.DUMMYFUNCTION("""COMPUTED_VALUE"""),"")</f>
        <v/>
      </c>
      <c r="G176" s="106" t="str">
        <f>IFERROR(__xludf.DUMMYFUNCTION("""COMPUTED_VALUE"""),"")</f>
        <v/>
      </c>
      <c r="I176" s="136" t="str">
        <f>IFERROR(__xludf.DUMMYFUNCTION("""COMPUTED_VALUE"""),"")</f>
        <v/>
      </c>
      <c r="J176" s="106" t="str">
        <f>IFERROR(__xludf.DUMMYFUNCTION("""COMPUTED_VALUE"""),"")</f>
        <v/>
      </c>
      <c r="L176" s="136" t="str">
        <f>IFERROR(__xludf.DUMMYFUNCTION("""COMPUTED_VALUE"""),"")</f>
        <v/>
      </c>
      <c r="M176" s="106" t="str">
        <f>IFERROR(__xludf.DUMMYFUNCTION("""COMPUTED_VALUE"""),"")</f>
        <v/>
      </c>
      <c r="O176" s="136" t="str">
        <f>IFERROR(__xludf.DUMMYFUNCTION("""COMPUTED_VALUE"""),"")</f>
        <v/>
      </c>
      <c r="P176" s="106" t="str">
        <f>IFERROR(__xludf.DUMMYFUNCTION("""COMPUTED_VALUE"""),"")</f>
        <v/>
      </c>
      <c r="R176" s="136" t="str">
        <f>IFERROR(__xludf.DUMMYFUNCTION("""COMPUTED_VALUE"""),"")</f>
        <v/>
      </c>
      <c r="S176" s="106" t="str">
        <f>IFERROR(__xludf.DUMMYFUNCTION("""COMPUTED_VALUE"""),"")</f>
        <v/>
      </c>
    </row>
    <row r="177">
      <c r="A177" s="136" t="s">
        <v>15</v>
      </c>
      <c r="B177" s="146">
        <v>46065.0</v>
      </c>
      <c r="C177" s="136" t="s">
        <v>49</v>
      </c>
      <c r="D177" s="136" t="s">
        <v>148</v>
      </c>
      <c r="E177" s="106">
        <v>0.05208333333575865</v>
      </c>
      <c r="F177" s="136" t="str">
        <f>IFERROR(__xludf.DUMMYFUNCTION("""COMPUTED_VALUE"""),"")</f>
        <v/>
      </c>
      <c r="G177" s="106" t="str">
        <f>IFERROR(__xludf.DUMMYFUNCTION("""COMPUTED_VALUE"""),"")</f>
        <v/>
      </c>
      <c r="I177" s="136" t="str">
        <f>IFERROR(__xludf.DUMMYFUNCTION("""COMPUTED_VALUE"""),"")</f>
        <v/>
      </c>
      <c r="J177" s="106" t="str">
        <f>IFERROR(__xludf.DUMMYFUNCTION("""COMPUTED_VALUE"""),"")</f>
        <v/>
      </c>
      <c r="L177" s="136" t="str">
        <f>IFERROR(__xludf.DUMMYFUNCTION("""COMPUTED_VALUE"""),"")</f>
        <v/>
      </c>
      <c r="M177" s="106" t="str">
        <f>IFERROR(__xludf.DUMMYFUNCTION("""COMPUTED_VALUE"""),"")</f>
        <v/>
      </c>
      <c r="O177" s="136" t="str">
        <f>IFERROR(__xludf.DUMMYFUNCTION("""COMPUTED_VALUE"""),"")</f>
        <v/>
      </c>
      <c r="P177" s="106" t="str">
        <f>IFERROR(__xludf.DUMMYFUNCTION("""COMPUTED_VALUE"""),"")</f>
        <v/>
      </c>
      <c r="R177" s="136" t="str">
        <f>IFERROR(__xludf.DUMMYFUNCTION("""COMPUTED_VALUE"""),"")</f>
        <v/>
      </c>
      <c r="S177" s="106" t="str">
        <f>IFERROR(__xludf.DUMMYFUNCTION("""COMPUTED_VALUE"""),"")</f>
        <v/>
      </c>
    </row>
    <row r="178">
      <c r="A178" s="136" t="s">
        <v>15</v>
      </c>
      <c r="B178" s="146">
        <v>46065.0</v>
      </c>
      <c r="C178" s="136" t="s">
        <v>49</v>
      </c>
      <c r="D178" s="136" t="s">
        <v>149</v>
      </c>
      <c r="E178" s="106">
        <v>0.07986111110949423</v>
      </c>
      <c r="F178" s="136" t="str">
        <f>IFERROR(__xludf.DUMMYFUNCTION("""COMPUTED_VALUE"""),"")</f>
        <v/>
      </c>
      <c r="G178" s="106" t="str">
        <f>IFERROR(__xludf.DUMMYFUNCTION("""COMPUTED_VALUE"""),"")</f>
        <v/>
      </c>
      <c r="I178" s="136" t="str">
        <f>IFERROR(__xludf.DUMMYFUNCTION("""COMPUTED_VALUE"""),"")</f>
        <v/>
      </c>
      <c r="J178" s="106" t="str">
        <f>IFERROR(__xludf.DUMMYFUNCTION("""COMPUTED_VALUE"""),"")</f>
        <v/>
      </c>
      <c r="L178" s="136" t="str">
        <f>IFERROR(__xludf.DUMMYFUNCTION("""COMPUTED_VALUE"""),"")</f>
        <v/>
      </c>
      <c r="M178" s="106" t="str">
        <f>IFERROR(__xludf.DUMMYFUNCTION("""COMPUTED_VALUE"""),"")</f>
        <v/>
      </c>
      <c r="O178" s="136" t="str">
        <f>IFERROR(__xludf.DUMMYFUNCTION("""COMPUTED_VALUE"""),"")</f>
        <v/>
      </c>
      <c r="P178" s="106" t="str">
        <f>IFERROR(__xludf.DUMMYFUNCTION("""COMPUTED_VALUE"""),"")</f>
        <v/>
      </c>
      <c r="R178" s="136" t="str">
        <f>IFERROR(__xludf.DUMMYFUNCTION("""COMPUTED_VALUE"""),"")</f>
        <v/>
      </c>
      <c r="S178" s="106" t="str">
        <f>IFERROR(__xludf.DUMMYFUNCTION("""COMPUTED_VALUE"""),"")</f>
        <v/>
      </c>
    </row>
    <row r="179">
      <c r="A179" s="136" t="s">
        <v>15</v>
      </c>
      <c r="B179" s="146">
        <v>46065.0</v>
      </c>
      <c r="C179" s="136" t="s">
        <v>49</v>
      </c>
      <c r="D179" s="136" t="s">
        <v>149</v>
      </c>
      <c r="E179" s="106">
        <v>0.057638888887595385</v>
      </c>
      <c r="F179" s="136" t="str">
        <f>IFERROR(__xludf.DUMMYFUNCTION("""COMPUTED_VALUE"""),"")</f>
        <v/>
      </c>
      <c r="G179" s="106" t="str">
        <f>IFERROR(__xludf.DUMMYFUNCTION("""COMPUTED_VALUE"""),"")</f>
        <v/>
      </c>
      <c r="I179" s="136" t="str">
        <f>IFERROR(__xludf.DUMMYFUNCTION("""COMPUTED_VALUE"""),"")</f>
        <v/>
      </c>
      <c r="J179" s="106" t="str">
        <f>IFERROR(__xludf.DUMMYFUNCTION("""COMPUTED_VALUE"""),"")</f>
        <v/>
      </c>
      <c r="L179" s="136" t="str">
        <f>IFERROR(__xludf.DUMMYFUNCTION("""COMPUTED_VALUE"""),"")</f>
        <v/>
      </c>
      <c r="M179" s="106" t="str">
        <f>IFERROR(__xludf.DUMMYFUNCTION("""COMPUTED_VALUE"""),"")</f>
        <v/>
      </c>
      <c r="O179" s="136" t="str">
        <f>IFERROR(__xludf.DUMMYFUNCTION("""COMPUTED_VALUE"""),"")</f>
        <v/>
      </c>
      <c r="P179" s="106" t="str">
        <f>IFERROR(__xludf.DUMMYFUNCTION("""COMPUTED_VALUE"""),"")</f>
        <v/>
      </c>
      <c r="R179" s="136" t="str">
        <f>IFERROR(__xludf.DUMMYFUNCTION("""COMPUTED_VALUE"""),"")</f>
        <v/>
      </c>
      <c r="S179" s="106" t="str">
        <f>IFERROR(__xludf.DUMMYFUNCTION("""COMPUTED_VALUE"""),"")</f>
        <v/>
      </c>
    </row>
    <row r="180">
      <c r="A180" s="136" t="s">
        <v>18</v>
      </c>
      <c r="B180" s="146">
        <v>46065.0</v>
      </c>
      <c r="C180" s="136" t="s">
        <v>49</v>
      </c>
      <c r="D180" s="136" t="s">
        <v>148</v>
      </c>
      <c r="E180" s="106">
        <v>0.07291666666424135</v>
      </c>
      <c r="F180" s="136" t="str">
        <f>IFERROR(__xludf.DUMMYFUNCTION("""COMPUTED_VALUE"""),"")</f>
        <v/>
      </c>
      <c r="G180" s="106" t="str">
        <f>IFERROR(__xludf.DUMMYFUNCTION("""COMPUTED_VALUE"""),"")</f>
        <v/>
      </c>
      <c r="I180" s="136" t="str">
        <f>IFERROR(__xludf.DUMMYFUNCTION("""COMPUTED_VALUE"""),"")</f>
        <v/>
      </c>
      <c r="J180" s="106" t="str">
        <f>IFERROR(__xludf.DUMMYFUNCTION("""COMPUTED_VALUE"""),"")</f>
        <v/>
      </c>
      <c r="L180" s="136" t="str">
        <f>IFERROR(__xludf.DUMMYFUNCTION("""COMPUTED_VALUE"""),"")</f>
        <v/>
      </c>
      <c r="M180" s="106" t="str">
        <f>IFERROR(__xludf.DUMMYFUNCTION("""COMPUTED_VALUE"""),"")</f>
        <v/>
      </c>
      <c r="O180" s="136" t="str">
        <f>IFERROR(__xludf.DUMMYFUNCTION("""COMPUTED_VALUE"""),"")</f>
        <v/>
      </c>
      <c r="P180" s="106" t="str">
        <f>IFERROR(__xludf.DUMMYFUNCTION("""COMPUTED_VALUE"""),"")</f>
        <v/>
      </c>
      <c r="R180" s="136" t="str">
        <f>IFERROR(__xludf.DUMMYFUNCTION("""COMPUTED_VALUE"""),"")</f>
        <v/>
      </c>
      <c r="S180" s="106" t="str">
        <f>IFERROR(__xludf.DUMMYFUNCTION("""COMPUTED_VALUE"""),"")</f>
        <v/>
      </c>
    </row>
    <row r="181">
      <c r="A181" s="136" t="s">
        <v>18</v>
      </c>
      <c r="B181" s="146">
        <v>46065.0</v>
      </c>
      <c r="C181" s="136" t="s">
        <v>49</v>
      </c>
      <c r="D181" s="136" t="s">
        <v>149</v>
      </c>
      <c r="E181" s="106">
        <v>0.08333333333575865</v>
      </c>
      <c r="F181" s="136">
        <f>IFERROR(__xludf.DUMMYFUNCTION("""COMPUTED_VALUE"""),104.0)</f>
        <v>104</v>
      </c>
      <c r="G181" s="106">
        <f>IFERROR(__xludf.DUMMYFUNCTION("""COMPUTED_VALUE"""),0.15069444444816327)</f>
        <v>0.1506944444</v>
      </c>
      <c r="I181" s="136">
        <f>IFERROR(__xludf.DUMMYFUNCTION("""COMPUTED_VALUE"""),24.0)</f>
        <v>24</v>
      </c>
      <c r="J181" s="106">
        <f>IFERROR(__xludf.DUMMYFUNCTION("""COMPUTED_VALUE"""),0.027083333327027503)</f>
        <v>0.02708333333</v>
      </c>
      <c r="L181" s="136">
        <f>IFERROR(__xludf.DUMMYFUNCTION("""COMPUTED_VALUE"""),234.0)</f>
        <v>234</v>
      </c>
      <c r="M181" s="106">
        <f>IFERROR(__xludf.DUMMYFUNCTION("""COMPUTED_VALUE"""),0.18958333333284827)</f>
        <v>0.1895833333</v>
      </c>
      <c r="O181" s="136">
        <f>IFERROR(__xludf.DUMMYFUNCTION("""COMPUTED_VALUE"""),0.0)</f>
        <v>0</v>
      </c>
      <c r="P181" s="106">
        <f>IFERROR(__xludf.DUMMYFUNCTION("""COMPUTED_VALUE"""),0.0)</f>
        <v>0</v>
      </c>
      <c r="R181" s="136">
        <f>IFERROR(__xludf.DUMMYFUNCTION("""COMPUTED_VALUE"""),285.0)</f>
        <v>285</v>
      </c>
      <c r="S181" s="106">
        <f>IFERROR(__xludf.DUMMYFUNCTION("""COMPUTED_VALUE"""),0.2326388888832298)</f>
        <v>0.2326388889</v>
      </c>
    </row>
    <row r="182">
      <c r="A182" s="136" t="s">
        <v>18</v>
      </c>
      <c r="B182" s="146">
        <v>46065.0</v>
      </c>
      <c r="C182" s="136" t="s">
        <v>49</v>
      </c>
      <c r="D182" s="136" t="s">
        <v>149</v>
      </c>
      <c r="E182" s="106">
        <v>0.07638888888322981</v>
      </c>
      <c r="F182" s="136" t="str">
        <f>IFERROR(__xludf.DUMMYFUNCTION("""COMPUTED_VALUE"""),"")</f>
        <v/>
      </c>
      <c r="G182" s="106" t="str">
        <f>IFERROR(__xludf.DUMMYFUNCTION("""COMPUTED_VALUE"""),"")</f>
        <v/>
      </c>
      <c r="I182" s="136" t="str">
        <f>IFERROR(__xludf.DUMMYFUNCTION("""COMPUTED_VALUE"""),"")</f>
        <v/>
      </c>
      <c r="J182" s="106" t="str">
        <f>IFERROR(__xludf.DUMMYFUNCTION("""COMPUTED_VALUE"""),"")</f>
        <v/>
      </c>
      <c r="L182" s="136" t="str">
        <f>IFERROR(__xludf.DUMMYFUNCTION("""COMPUTED_VALUE"""),"")</f>
        <v/>
      </c>
      <c r="M182" s="106" t="str">
        <f>IFERROR(__xludf.DUMMYFUNCTION("""COMPUTED_VALUE"""),"")</f>
        <v/>
      </c>
      <c r="O182" s="136" t="str">
        <f>IFERROR(__xludf.DUMMYFUNCTION("""COMPUTED_VALUE"""),"")</f>
        <v/>
      </c>
      <c r="P182" s="106" t="str">
        <f>IFERROR(__xludf.DUMMYFUNCTION("""COMPUTED_VALUE"""),"")</f>
        <v/>
      </c>
      <c r="R182" s="136" t="str">
        <f>IFERROR(__xludf.DUMMYFUNCTION("""COMPUTED_VALUE"""),"")</f>
        <v/>
      </c>
      <c r="S182" s="106" t="str">
        <f>IFERROR(__xludf.DUMMYFUNCTION("""COMPUTED_VALUE"""),"")</f>
        <v/>
      </c>
    </row>
    <row r="183">
      <c r="A183" s="136" t="s">
        <v>15</v>
      </c>
      <c r="B183" s="146">
        <v>46066.0</v>
      </c>
      <c r="C183" s="136" t="s">
        <v>53</v>
      </c>
      <c r="D183" s="136" t="s">
        <v>149</v>
      </c>
      <c r="E183" s="106">
        <v>0.0625</v>
      </c>
      <c r="F183" s="136">
        <f>IFERROR(__xludf.DUMMYFUNCTION("""COMPUTED_VALUE"""),0.0)</f>
        <v>0</v>
      </c>
      <c r="G183" s="106">
        <f>IFERROR(__xludf.DUMMYFUNCTION("""COMPUTED_VALUE"""),0.0)</f>
        <v>0</v>
      </c>
      <c r="I183" s="136">
        <f>IFERROR(__xludf.DUMMYFUNCTION("""COMPUTED_VALUE"""),0.0)</f>
        <v>0</v>
      </c>
      <c r="J183" s="106">
        <f>IFERROR(__xludf.DUMMYFUNCTION("""COMPUTED_VALUE"""),0.0)</f>
        <v>0</v>
      </c>
      <c r="L183" s="136">
        <f>IFERROR(__xludf.DUMMYFUNCTION("""COMPUTED_VALUE"""),30.0)</f>
        <v>30</v>
      </c>
      <c r="M183" s="106">
        <f>IFERROR(__xludf.DUMMYFUNCTION("""COMPUTED_VALUE"""),0.0625)</f>
        <v>0.0625</v>
      </c>
      <c r="O183" s="136">
        <f>IFERROR(__xludf.DUMMYFUNCTION("""COMPUTED_VALUE"""),0.0)</f>
        <v>0</v>
      </c>
      <c r="P183" s="106">
        <f>IFERROR(__xludf.DUMMYFUNCTION("""COMPUTED_VALUE"""),0.0)</f>
        <v>0</v>
      </c>
      <c r="R183" s="136">
        <f>IFERROR(__xludf.DUMMYFUNCTION("""COMPUTED_VALUE"""),89.0)</f>
        <v>89</v>
      </c>
      <c r="S183" s="106">
        <f>IFERROR(__xludf.DUMMYFUNCTION("""COMPUTED_VALUE"""),0.08333333333575865)</f>
        <v>0.08333333334</v>
      </c>
    </row>
    <row r="184">
      <c r="A184" s="136" t="s">
        <v>18</v>
      </c>
      <c r="B184" s="146">
        <v>46066.0</v>
      </c>
      <c r="C184" s="136" t="s">
        <v>53</v>
      </c>
      <c r="D184" s="136" t="s">
        <v>148</v>
      </c>
      <c r="E184" s="106">
        <v>0.08333333333575865</v>
      </c>
      <c r="F184" s="136" t="str">
        <f>IFERROR(__xludf.DUMMYFUNCTION("""COMPUTED_VALUE"""),"")</f>
        <v/>
      </c>
      <c r="G184" s="106" t="str">
        <f>IFERROR(__xludf.DUMMYFUNCTION("""COMPUTED_VALUE"""),"")</f>
        <v/>
      </c>
      <c r="I184" s="136" t="str">
        <f>IFERROR(__xludf.DUMMYFUNCTION("""COMPUTED_VALUE"""),"")</f>
        <v/>
      </c>
      <c r="J184" s="106" t="str">
        <f>IFERROR(__xludf.DUMMYFUNCTION("""COMPUTED_VALUE"""),"")</f>
        <v/>
      </c>
      <c r="L184" s="136" t="str">
        <f>IFERROR(__xludf.DUMMYFUNCTION("""COMPUTED_VALUE"""),"")</f>
        <v/>
      </c>
      <c r="M184" s="106" t="str">
        <f>IFERROR(__xludf.DUMMYFUNCTION("""COMPUTED_VALUE"""),"")</f>
        <v/>
      </c>
      <c r="O184" s="136" t="str">
        <f>IFERROR(__xludf.DUMMYFUNCTION("""COMPUTED_VALUE"""),"")</f>
        <v/>
      </c>
      <c r="P184" s="106" t="str">
        <f>IFERROR(__xludf.DUMMYFUNCTION("""COMPUTED_VALUE"""),"")</f>
        <v/>
      </c>
      <c r="R184" s="136" t="str">
        <f>IFERROR(__xludf.DUMMYFUNCTION("""COMPUTED_VALUE"""),"")</f>
        <v/>
      </c>
      <c r="S184" s="106" t="str">
        <f>IFERROR(__xludf.DUMMYFUNCTION("""COMPUTED_VALUE"""),"")</f>
        <v/>
      </c>
    </row>
    <row r="185">
      <c r="A185" s="136" t="s">
        <v>134</v>
      </c>
      <c r="B185" s="146">
        <v>46070.0</v>
      </c>
      <c r="C185" s="136" t="s">
        <v>41</v>
      </c>
      <c r="D185" s="136" t="s">
        <v>149</v>
      </c>
      <c r="E185" s="106">
        <v>0.07222222221753327</v>
      </c>
      <c r="F185" s="136" t="str">
        <f>IFERROR(__xludf.DUMMYFUNCTION("""COMPUTED_VALUE"""),"")</f>
        <v/>
      </c>
      <c r="G185" s="106" t="str">
        <f>IFERROR(__xludf.DUMMYFUNCTION("""COMPUTED_VALUE"""),"")</f>
        <v/>
      </c>
      <c r="I185" s="136" t="str">
        <f>IFERROR(__xludf.DUMMYFUNCTION("""COMPUTED_VALUE"""),"")</f>
        <v/>
      </c>
      <c r="J185" s="106" t="str">
        <f>IFERROR(__xludf.DUMMYFUNCTION("""COMPUTED_VALUE"""),"")</f>
        <v/>
      </c>
      <c r="L185" s="136" t="str">
        <f>IFERROR(__xludf.DUMMYFUNCTION("""COMPUTED_VALUE"""),"")</f>
        <v/>
      </c>
      <c r="M185" s="106" t="str">
        <f>IFERROR(__xludf.DUMMYFUNCTION("""COMPUTED_VALUE"""),"")</f>
        <v/>
      </c>
      <c r="O185" s="136" t="str">
        <f>IFERROR(__xludf.DUMMYFUNCTION("""COMPUTED_VALUE"""),"")</f>
        <v/>
      </c>
      <c r="P185" s="106" t="str">
        <f>IFERROR(__xludf.DUMMYFUNCTION("""COMPUTED_VALUE"""),"")</f>
        <v/>
      </c>
      <c r="R185" s="136" t="str">
        <f>IFERROR(__xludf.DUMMYFUNCTION("""COMPUTED_VALUE"""),"")</f>
        <v/>
      </c>
      <c r="S185" s="106" t="str">
        <f>IFERROR(__xludf.DUMMYFUNCTION("""COMPUTED_VALUE"""),"")</f>
        <v/>
      </c>
    </row>
    <row r="186">
      <c r="A186" s="136" t="s">
        <v>15</v>
      </c>
      <c r="B186" s="146">
        <v>46070.0</v>
      </c>
      <c r="C186" s="136" t="s">
        <v>41</v>
      </c>
      <c r="D186" s="136" t="s">
        <v>148</v>
      </c>
      <c r="E186" s="106">
        <v>0.06944444443797693</v>
      </c>
      <c r="F186" s="136" t="str">
        <f>IFERROR(__xludf.DUMMYFUNCTION("""COMPUTED_VALUE"""),"")</f>
        <v/>
      </c>
      <c r="G186" s="106" t="str">
        <f>IFERROR(__xludf.DUMMYFUNCTION("""COMPUTED_VALUE"""),"")</f>
        <v/>
      </c>
      <c r="I186" s="136" t="str">
        <f>IFERROR(__xludf.DUMMYFUNCTION("""COMPUTED_VALUE"""),"")</f>
        <v/>
      </c>
      <c r="J186" s="106" t="str">
        <f>IFERROR(__xludf.DUMMYFUNCTION("""COMPUTED_VALUE"""),"")</f>
        <v/>
      </c>
      <c r="L186" s="136" t="str">
        <f>IFERROR(__xludf.DUMMYFUNCTION("""COMPUTED_VALUE"""),"")</f>
        <v/>
      </c>
      <c r="M186" s="106" t="str">
        <f>IFERROR(__xludf.DUMMYFUNCTION("""COMPUTED_VALUE"""),"")</f>
        <v/>
      </c>
      <c r="O186" s="136" t="str">
        <f>IFERROR(__xludf.DUMMYFUNCTION("""COMPUTED_VALUE"""),"")</f>
        <v/>
      </c>
      <c r="P186" s="106" t="str">
        <f>IFERROR(__xludf.DUMMYFUNCTION("""COMPUTED_VALUE"""),"")</f>
        <v/>
      </c>
      <c r="R186" s="136" t="str">
        <f>IFERROR(__xludf.DUMMYFUNCTION("""COMPUTED_VALUE"""),"")</f>
        <v/>
      </c>
      <c r="S186" s="106" t="str">
        <f>IFERROR(__xludf.DUMMYFUNCTION("""COMPUTED_VALUE"""),"")</f>
        <v/>
      </c>
    </row>
    <row r="187">
      <c r="A187" s="136" t="s">
        <v>15</v>
      </c>
      <c r="B187" s="146">
        <v>46070.0</v>
      </c>
      <c r="C187" s="136" t="s">
        <v>41</v>
      </c>
      <c r="D187" s="136" t="s">
        <v>148</v>
      </c>
      <c r="E187" s="106">
        <v>0.03402777777228039</v>
      </c>
      <c r="F187" s="136" t="str">
        <f>IFERROR(__xludf.DUMMYFUNCTION("""COMPUTED_VALUE"""),"")</f>
        <v/>
      </c>
      <c r="G187" s="106" t="str">
        <f>IFERROR(__xludf.DUMMYFUNCTION("""COMPUTED_VALUE"""),"")</f>
        <v/>
      </c>
      <c r="I187" s="136" t="str">
        <f>IFERROR(__xludf.DUMMYFUNCTION("""COMPUTED_VALUE"""),"")</f>
        <v/>
      </c>
      <c r="J187" s="106" t="str">
        <f>IFERROR(__xludf.DUMMYFUNCTION("""COMPUTED_VALUE"""),"")</f>
        <v/>
      </c>
      <c r="L187" s="136" t="str">
        <f>IFERROR(__xludf.DUMMYFUNCTION("""COMPUTED_VALUE"""),"")</f>
        <v/>
      </c>
      <c r="M187" s="106" t="str">
        <f>IFERROR(__xludf.DUMMYFUNCTION("""COMPUTED_VALUE"""),"")</f>
        <v/>
      </c>
      <c r="O187" s="136" t="str">
        <f>IFERROR(__xludf.DUMMYFUNCTION("""COMPUTED_VALUE"""),"")</f>
        <v/>
      </c>
      <c r="P187" s="106" t="str">
        <f>IFERROR(__xludf.DUMMYFUNCTION("""COMPUTED_VALUE"""),"")</f>
        <v/>
      </c>
      <c r="R187" s="136" t="str">
        <f>IFERROR(__xludf.DUMMYFUNCTION("""COMPUTED_VALUE"""),"")</f>
        <v/>
      </c>
      <c r="S187" s="106" t="str">
        <f>IFERROR(__xludf.DUMMYFUNCTION("""COMPUTED_VALUE"""),"")</f>
        <v/>
      </c>
    </row>
    <row r="188">
      <c r="A188" s="136" t="s">
        <v>18</v>
      </c>
      <c r="B188" s="146">
        <v>46070.0</v>
      </c>
      <c r="C188" s="136" t="s">
        <v>41</v>
      </c>
      <c r="D188" s="136" t="s">
        <v>149</v>
      </c>
      <c r="E188" s="106">
        <v>0.07291666666424135</v>
      </c>
      <c r="F188" s="136" t="str">
        <f>IFERROR(__xludf.DUMMYFUNCTION("""COMPUTED_VALUE"""),"")</f>
        <v/>
      </c>
      <c r="G188" s="106" t="str">
        <f>IFERROR(__xludf.DUMMYFUNCTION("""COMPUTED_VALUE"""),"")</f>
        <v/>
      </c>
      <c r="I188" s="136" t="str">
        <f>IFERROR(__xludf.DUMMYFUNCTION("""COMPUTED_VALUE"""),"")</f>
        <v/>
      </c>
      <c r="J188" s="106" t="str">
        <f>IFERROR(__xludf.DUMMYFUNCTION("""COMPUTED_VALUE"""),"")</f>
        <v/>
      </c>
      <c r="L188" s="136" t="str">
        <f>IFERROR(__xludf.DUMMYFUNCTION("""COMPUTED_VALUE"""),"")</f>
        <v/>
      </c>
      <c r="M188" s="106" t="str">
        <f>IFERROR(__xludf.DUMMYFUNCTION("""COMPUTED_VALUE"""),"")</f>
        <v/>
      </c>
      <c r="O188" s="136" t="str">
        <f>IFERROR(__xludf.DUMMYFUNCTION("""COMPUTED_VALUE"""),"")</f>
        <v/>
      </c>
      <c r="P188" s="106" t="str">
        <f>IFERROR(__xludf.DUMMYFUNCTION("""COMPUTED_VALUE"""),"")</f>
        <v/>
      </c>
      <c r="R188" s="136" t="str">
        <f>IFERROR(__xludf.DUMMYFUNCTION("""COMPUTED_VALUE"""),"")</f>
        <v/>
      </c>
      <c r="S188" s="106" t="str">
        <f>IFERROR(__xludf.DUMMYFUNCTION("""COMPUTED_VALUE"""),"")</f>
        <v/>
      </c>
    </row>
    <row r="189">
      <c r="A189" s="136" t="s">
        <v>18</v>
      </c>
      <c r="B189" s="146">
        <v>46070.0</v>
      </c>
      <c r="C189" s="136" t="s">
        <v>41</v>
      </c>
      <c r="D189" s="136" t="s">
        <v>149</v>
      </c>
      <c r="E189" s="106">
        <v>0.0833333333284827</v>
      </c>
      <c r="F189" s="136">
        <f>IFERROR(__xludf.DUMMYFUNCTION("""COMPUTED_VALUE"""),0.0)</f>
        <v>0</v>
      </c>
      <c r="G189" s="106">
        <f>IFERROR(__xludf.DUMMYFUNCTION("""COMPUTED_VALUE"""),0.0)</f>
        <v>0</v>
      </c>
      <c r="I189" s="136">
        <f>IFERROR(__xludf.DUMMYFUNCTION("""COMPUTED_VALUE"""),146.0)</f>
        <v>146</v>
      </c>
      <c r="J189" s="106">
        <f>IFERROR(__xludf.DUMMYFUNCTION("""COMPUTED_VALUE"""),0.07222222221753327)</f>
        <v>0.07222222222</v>
      </c>
      <c r="L189" s="136">
        <f>IFERROR(__xludf.DUMMYFUNCTION("""COMPUTED_VALUE"""),210.0)</f>
        <v>210</v>
      </c>
      <c r="M189" s="106">
        <f>IFERROR(__xludf.DUMMYFUNCTION("""COMPUTED_VALUE"""),0.10347222221025731)</f>
        <v>0.1034722222</v>
      </c>
      <c r="O189" s="136">
        <f>IFERROR(__xludf.DUMMYFUNCTION("""COMPUTED_VALUE"""),0.0)</f>
        <v>0</v>
      </c>
      <c r="P189" s="106">
        <f>IFERROR(__xludf.DUMMYFUNCTION("""COMPUTED_VALUE"""),0.0)</f>
        <v>0</v>
      </c>
      <c r="R189" s="136">
        <f>IFERROR(__xludf.DUMMYFUNCTION("""COMPUTED_VALUE"""),432.0)</f>
        <v>432</v>
      </c>
      <c r="S189" s="106">
        <f>IFERROR(__xludf.DUMMYFUNCTION("""COMPUTED_VALUE"""),0.26944444443506654)</f>
        <v>0.2694444444</v>
      </c>
    </row>
    <row r="190">
      <c r="A190" s="136" t="s">
        <v>18</v>
      </c>
      <c r="B190" s="146">
        <v>46070.0</v>
      </c>
      <c r="C190" s="136" t="s">
        <v>41</v>
      </c>
      <c r="D190" s="136" t="s">
        <v>148</v>
      </c>
      <c r="E190" s="106">
        <v>0.1131944444423425</v>
      </c>
      <c r="F190" s="136" t="str">
        <f>IFERROR(__xludf.DUMMYFUNCTION("""COMPUTED_VALUE"""),"")</f>
        <v/>
      </c>
      <c r="G190" s="106" t="str">
        <f>IFERROR(__xludf.DUMMYFUNCTION("""COMPUTED_VALUE"""),"")</f>
        <v/>
      </c>
      <c r="I190" s="136" t="str">
        <f>IFERROR(__xludf.DUMMYFUNCTION("""COMPUTED_VALUE"""),"")</f>
        <v/>
      </c>
      <c r="J190" s="106" t="str">
        <f>IFERROR(__xludf.DUMMYFUNCTION("""COMPUTED_VALUE"""),"")</f>
        <v/>
      </c>
      <c r="L190" s="136" t="str">
        <f>IFERROR(__xludf.DUMMYFUNCTION("""COMPUTED_VALUE"""),"")</f>
        <v/>
      </c>
      <c r="M190" s="106" t="str">
        <f>IFERROR(__xludf.DUMMYFUNCTION("""COMPUTED_VALUE"""),"")</f>
        <v/>
      </c>
      <c r="O190" s="136" t="str">
        <f>IFERROR(__xludf.DUMMYFUNCTION("""COMPUTED_VALUE"""),"")</f>
        <v/>
      </c>
      <c r="P190" s="106" t="str">
        <f>IFERROR(__xludf.DUMMYFUNCTION("""COMPUTED_VALUE"""),"")</f>
        <v/>
      </c>
      <c r="R190" s="136" t="str">
        <f>IFERROR(__xludf.DUMMYFUNCTION("""COMPUTED_VALUE"""),"")</f>
        <v/>
      </c>
      <c r="S190" s="106" t="str">
        <f>IFERROR(__xludf.DUMMYFUNCTION("""COMPUTED_VALUE"""),"")</f>
        <v/>
      </c>
    </row>
    <row r="191">
      <c r="A191" s="136" t="s">
        <v>12</v>
      </c>
      <c r="B191" s="146">
        <v>46071.0</v>
      </c>
      <c r="C191" s="136" t="s">
        <v>45</v>
      </c>
      <c r="D191" s="136" t="s">
        <v>149</v>
      </c>
      <c r="E191" s="106">
        <v>0.09027777778101154</v>
      </c>
      <c r="F191" s="136" t="str">
        <f>IFERROR(__xludf.DUMMYFUNCTION("""COMPUTED_VALUE"""),"")</f>
        <v/>
      </c>
      <c r="G191" s="106" t="str">
        <f>IFERROR(__xludf.DUMMYFUNCTION("""COMPUTED_VALUE"""),"")</f>
        <v/>
      </c>
      <c r="I191" s="136" t="str">
        <f>IFERROR(__xludf.DUMMYFUNCTION("""COMPUTED_VALUE"""),"")</f>
        <v/>
      </c>
      <c r="J191" s="106" t="str">
        <f>IFERROR(__xludf.DUMMYFUNCTION("""COMPUTED_VALUE"""),"")</f>
        <v/>
      </c>
      <c r="L191" s="136" t="str">
        <f>IFERROR(__xludf.DUMMYFUNCTION("""COMPUTED_VALUE"""),"")</f>
        <v/>
      </c>
      <c r="M191" s="106" t="str">
        <f>IFERROR(__xludf.DUMMYFUNCTION("""COMPUTED_VALUE"""),"")</f>
        <v/>
      </c>
      <c r="O191" s="136" t="str">
        <f>IFERROR(__xludf.DUMMYFUNCTION("""COMPUTED_VALUE"""),"")</f>
        <v/>
      </c>
      <c r="P191" s="106" t="str">
        <f>IFERROR(__xludf.DUMMYFUNCTION("""COMPUTED_VALUE"""),"")</f>
        <v/>
      </c>
      <c r="R191" s="136" t="str">
        <f>IFERROR(__xludf.DUMMYFUNCTION("""COMPUTED_VALUE"""),"")</f>
        <v/>
      </c>
      <c r="S191" s="106" t="str">
        <f>IFERROR(__xludf.DUMMYFUNCTION("""COMPUTED_VALUE"""),"")</f>
        <v/>
      </c>
    </row>
    <row r="192">
      <c r="A192" s="136" t="s">
        <v>15</v>
      </c>
      <c r="B192" s="146">
        <v>46071.0</v>
      </c>
      <c r="C192" s="136" t="s">
        <v>45</v>
      </c>
      <c r="D192" s="136" t="s">
        <v>149</v>
      </c>
      <c r="E192" s="106">
        <v>0.07638888889050577</v>
      </c>
      <c r="F192" s="136" t="str">
        <f>IFERROR(__xludf.DUMMYFUNCTION("""COMPUTED_VALUE"""),"")</f>
        <v/>
      </c>
      <c r="G192" s="106" t="str">
        <f>IFERROR(__xludf.DUMMYFUNCTION("""COMPUTED_VALUE"""),"")</f>
        <v/>
      </c>
      <c r="I192" s="136" t="str">
        <f>IFERROR(__xludf.DUMMYFUNCTION("""COMPUTED_VALUE"""),"")</f>
        <v/>
      </c>
      <c r="J192" s="106" t="str">
        <f>IFERROR(__xludf.DUMMYFUNCTION("""COMPUTED_VALUE"""),"")</f>
        <v/>
      </c>
      <c r="L192" s="136" t="str">
        <f>IFERROR(__xludf.DUMMYFUNCTION("""COMPUTED_VALUE"""),"")</f>
        <v/>
      </c>
      <c r="M192" s="106" t="str">
        <f>IFERROR(__xludf.DUMMYFUNCTION("""COMPUTED_VALUE"""),"")</f>
        <v/>
      </c>
      <c r="O192" s="136" t="str">
        <f>IFERROR(__xludf.DUMMYFUNCTION("""COMPUTED_VALUE"""),"")</f>
        <v/>
      </c>
      <c r="P192" s="106" t="str">
        <f>IFERROR(__xludf.DUMMYFUNCTION("""COMPUTED_VALUE"""),"")</f>
        <v/>
      </c>
      <c r="R192" s="136" t="str">
        <f>IFERROR(__xludf.DUMMYFUNCTION("""COMPUTED_VALUE"""),"")</f>
        <v/>
      </c>
      <c r="S192" s="106" t="str">
        <f>IFERROR(__xludf.DUMMYFUNCTION("""COMPUTED_VALUE"""),"")</f>
        <v/>
      </c>
    </row>
    <row r="193">
      <c r="A193" s="136" t="s">
        <v>15</v>
      </c>
      <c r="B193" s="146">
        <v>46071.0</v>
      </c>
      <c r="C193" s="136" t="s">
        <v>45</v>
      </c>
      <c r="D193" s="136" t="s">
        <v>148</v>
      </c>
      <c r="E193" s="106">
        <v>0.07638888889050577</v>
      </c>
      <c r="F193" s="136" t="str">
        <f>IFERROR(__xludf.DUMMYFUNCTION("""COMPUTED_VALUE"""),"")</f>
        <v/>
      </c>
      <c r="G193" s="106" t="str">
        <f>IFERROR(__xludf.DUMMYFUNCTION("""COMPUTED_VALUE"""),"")</f>
        <v/>
      </c>
      <c r="I193" s="136" t="str">
        <f>IFERROR(__xludf.DUMMYFUNCTION("""COMPUTED_VALUE"""),"")</f>
        <v/>
      </c>
      <c r="J193" s="106" t="str">
        <f>IFERROR(__xludf.DUMMYFUNCTION("""COMPUTED_VALUE"""),"")</f>
        <v/>
      </c>
      <c r="L193" s="136" t="str">
        <f>IFERROR(__xludf.DUMMYFUNCTION("""COMPUTED_VALUE"""),"")</f>
        <v/>
      </c>
      <c r="M193" s="106" t="str">
        <f>IFERROR(__xludf.DUMMYFUNCTION("""COMPUTED_VALUE"""),"")</f>
        <v/>
      </c>
      <c r="O193" s="136" t="str">
        <f>IFERROR(__xludf.DUMMYFUNCTION("""COMPUTED_VALUE"""),"")</f>
        <v/>
      </c>
      <c r="P193" s="106" t="str">
        <f>IFERROR(__xludf.DUMMYFUNCTION("""COMPUTED_VALUE"""),"")</f>
        <v/>
      </c>
      <c r="R193" s="136" t="str">
        <f>IFERROR(__xludf.DUMMYFUNCTION("""COMPUTED_VALUE"""),"")</f>
        <v/>
      </c>
      <c r="S193" s="106" t="str">
        <f>IFERROR(__xludf.DUMMYFUNCTION("""COMPUTED_VALUE"""),"")</f>
        <v/>
      </c>
    </row>
    <row r="194">
      <c r="A194" s="136" t="s">
        <v>18</v>
      </c>
      <c r="B194" s="146">
        <v>46071.0</v>
      </c>
      <c r="C194" s="136" t="s">
        <v>45</v>
      </c>
      <c r="D194" s="136" t="s">
        <v>148</v>
      </c>
      <c r="E194" s="106">
        <v>0.027777777781011537</v>
      </c>
      <c r="F194" s="136" t="str">
        <f>IFERROR(__xludf.DUMMYFUNCTION("""COMPUTED_VALUE"""),"")</f>
        <v/>
      </c>
      <c r="G194" s="106" t="str">
        <f>IFERROR(__xludf.DUMMYFUNCTION("""COMPUTED_VALUE"""),"")</f>
        <v/>
      </c>
      <c r="I194" s="136" t="str">
        <f>IFERROR(__xludf.DUMMYFUNCTION("""COMPUTED_VALUE"""),"")</f>
        <v/>
      </c>
      <c r="J194" s="106" t="str">
        <f>IFERROR(__xludf.DUMMYFUNCTION("""COMPUTED_VALUE"""),"")</f>
        <v/>
      </c>
      <c r="L194" s="136" t="str">
        <f>IFERROR(__xludf.DUMMYFUNCTION("""COMPUTED_VALUE"""),"")</f>
        <v/>
      </c>
      <c r="M194" s="106" t="str">
        <f>IFERROR(__xludf.DUMMYFUNCTION("""COMPUTED_VALUE"""),"")</f>
        <v/>
      </c>
      <c r="O194" s="136" t="str">
        <f>IFERROR(__xludf.DUMMYFUNCTION("""COMPUTED_VALUE"""),"")</f>
        <v/>
      </c>
      <c r="P194" s="106" t="str">
        <f>IFERROR(__xludf.DUMMYFUNCTION("""COMPUTED_VALUE"""),"")</f>
        <v/>
      </c>
      <c r="R194" s="136" t="str">
        <f>IFERROR(__xludf.DUMMYFUNCTION("""COMPUTED_VALUE"""),"")</f>
        <v/>
      </c>
      <c r="S194" s="106" t="str">
        <f>IFERROR(__xludf.DUMMYFUNCTION("""COMPUTED_VALUE"""),"")</f>
        <v/>
      </c>
    </row>
    <row r="195">
      <c r="A195" s="136" t="s">
        <v>18</v>
      </c>
      <c r="B195" s="146">
        <v>46071.0</v>
      </c>
      <c r="C195" s="136" t="s">
        <v>45</v>
      </c>
      <c r="D195" s="136" t="s">
        <v>149</v>
      </c>
      <c r="E195" s="106">
        <v>0.16666666666424135</v>
      </c>
      <c r="F195" s="136">
        <f>IFERROR(__xludf.DUMMYFUNCTION("""COMPUTED_VALUE"""),47.0)</f>
        <v>47</v>
      </c>
      <c r="G195" s="106">
        <f>IFERROR(__xludf.DUMMYFUNCTION("""COMPUTED_VALUE"""),0.09027777778101154)</f>
        <v>0.09027777778</v>
      </c>
      <c r="I195" s="136">
        <f>IFERROR(__xludf.DUMMYFUNCTION("""COMPUTED_VALUE"""),0.0)</f>
        <v>0</v>
      </c>
      <c r="J195" s="106">
        <f>IFERROR(__xludf.DUMMYFUNCTION("""COMPUTED_VALUE"""),0.0)</f>
        <v>0</v>
      </c>
      <c r="L195" s="136">
        <f>IFERROR(__xludf.DUMMYFUNCTION("""COMPUTED_VALUE"""),193.0)</f>
        <v>193</v>
      </c>
      <c r="M195" s="106">
        <f>IFERROR(__xludf.DUMMYFUNCTION("""COMPUTED_VALUE"""),0.15277777778101154)</f>
        <v>0.1527777778</v>
      </c>
      <c r="O195" s="136">
        <f>IFERROR(__xludf.DUMMYFUNCTION("""COMPUTED_VALUE"""),0.0)</f>
        <v>0</v>
      </c>
      <c r="P195" s="106">
        <f>IFERROR(__xludf.DUMMYFUNCTION("""COMPUTED_VALUE"""),0.0)</f>
        <v>0</v>
      </c>
      <c r="R195" s="136">
        <f>IFERROR(__xludf.DUMMYFUNCTION("""COMPUTED_VALUE"""),353.0)</f>
        <v>353</v>
      </c>
      <c r="S195" s="106">
        <f>IFERROR(__xludf.DUMMYFUNCTION("""COMPUTED_VALUE"""),0.3194444444452529)</f>
        <v>0.3194444444</v>
      </c>
    </row>
    <row r="196">
      <c r="A196" s="136" t="s">
        <v>18</v>
      </c>
      <c r="B196" s="146">
        <v>46071.0</v>
      </c>
      <c r="C196" s="136" t="s">
        <v>45</v>
      </c>
      <c r="D196" s="136" t="s">
        <v>148</v>
      </c>
      <c r="E196" s="106">
        <v>0.125</v>
      </c>
      <c r="F196" s="136" t="str">
        <f>IFERROR(__xludf.DUMMYFUNCTION("""COMPUTED_VALUE"""),"")</f>
        <v/>
      </c>
      <c r="G196" s="106" t="str">
        <f>IFERROR(__xludf.DUMMYFUNCTION("""COMPUTED_VALUE"""),"")</f>
        <v/>
      </c>
      <c r="I196" s="136" t="str">
        <f>IFERROR(__xludf.DUMMYFUNCTION("""COMPUTED_VALUE"""),"")</f>
        <v/>
      </c>
      <c r="J196" s="106" t="str">
        <f>IFERROR(__xludf.DUMMYFUNCTION("""COMPUTED_VALUE"""),"")</f>
        <v/>
      </c>
      <c r="L196" s="136" t="str">
        <f>IFERROR(__xludf.DUMMYFUNCTION("""COMPUTED_VALUE"""),"")</f>
        <v/>
      </c>
      <c r="M196" s="106" t="str">
        <f>IFERROR(__xludf.DUMMYFUNCTION("""COMPUTED_VALUE"""),"")</f>
        <v/>
      </c>
      <c r="O196" s="136" t="str">
        <f>IFERROR(__xludf.DUMMYFUNCTION("""COMPUTED_VALUE"""),"")</f>
        <v/>
      </c>
      <c r="P196" s="106" t="str">
        <f>IFERROR(__xludf.DUMMYFUNCTION("""COMPUTED_VALUE"""),"")</f>
        <v/>
      </c>
      <c r="R196" s="136" t="str">
        <f>IFERROR(__xludf.DUMMYFUNCTION("""COMPUTED_VALUE"""),"")</f>
        <v/>
      </c>
      <c r="S196" s="106" t="str">
        <f>IFERROR(__xludf.DUMMYFUNCTION("""COMPUTED_VALUE"""),"")</f>
        <v/>
      </c>
    </row>
    <row r="197">
      <c r="A197" s="136" t="s">
        <v>12</v>
      </c>
      <c r="B197" s="146">
        <v>46072.0</v>
      </c>
      <c r="C197" s="136" t="s">
        <v>49</v>
      </c>
      <c r="D197" s="136" t="s">
        <v>149</v>
      </c>
      <c r="E197" s="106">
        <v>0.0729166666715173</v>
      </c>
      <c r="F197" s="136" t="str">
        <f>IFERROR(__xludf.DUMMYFUNCTION("""COMPUTED_VALUE"""),"")</f>
        <v/>
      </c>
      <c r="G197" s="106" t="str">
        <f>IFERROR(__xludf.DUMMYFUNCTION("""COMPUTED_VALUE"""),"")</f>
        <v/>
      </c>
      <c r="I197" s="136" t="str">
        <f>IFERROR(__xludf.DUMMYFUNCTION("""COMPUTED_VALUE"""),"")</f>
        <v/>
      </c>
      <c r="J197" s="106" t="str">
        <f>IFERROR(__xludf.DUMMYFUNCTION("""COMPUTED_VALUE"""),"")</f>
        <v/>
      </c>
      <c r="L197" s="136" t="str">
        <f>IFERROR(__xludf.DUMMYFUNCTION("""COMPUTED_VALUE"""),"")</f>
        <v/>
      </c>
      <c r="M197" s="106" t="str">
        <f>IFERROR(__xludf.DUMMYFUNCTION("""COMPUTED_VALUE"""),"")</f>
        <v/>
      </c>
      <c r="O197" s="136" t="str">
        <f>IFERROR(__xludf.DUMMYFUNCTION("""COMPUTED_VALUE"""),"")</f>
        <v/>
      </c>
      <c r="P197" s="106" t="str">
        <f>IFERROR(__xludf.DUMMYFUNCTION("""COMPUTED_VALUE"""),"")</f>
        <v/>
      </c>
      <c r="R197" s="136" t="str">
        <f>IFERROR(__xludf.DUMMYFUNCTION("""COMPUTED_VALUE"""),"")</f>
        <v/>
      </c>
      <c r="S197" s="106" t="str">
        <f>IFERROR(__xludf.DUMMYFUNCTION("""COMPUTED_VALUE"""),"")</f>
        <v/>
      </c>
    </row>
    <row r="198">
      <c r="A198" s="136" t="s">
        <v>12</v>
      </c>
      <c r="B198" s="146">
        <v>46072.0</v>
      </c>
      <c r="C198" s="136" t="s">
        <v>49</v>
      </c>
      <c r="D198" s="136" t="s">
        <v>149</v>
      </c>
      <c r="E198" s="106">
        <v>0.05277777777519077</v>
      </c>
      <c r="F198" s="136" t="str">
        <f>IFERROR(__xludf.DUMMYFUNCTION("""COMPUTED_VALUE"""),"")</f>
        <v/>
      </c>
      <c r="G198" s="106" t="str">
        <f>IFERROR(__xludf.DUMMYFUNCTION("""COMPUTED_VALUE"""),"")</f>
        <v/>
      </c>
      <c r="I198" s="136" t="str">
        <f>IFERROR(__xludf.DUMMYFUNCTION("""COMPUTED_VALUE"""),"")</f>
        <v/>
      </c>
      <c r="J198" s="106" t="str">
        <f>IFERROR(__xludf.DUMMYFUNCTION("""COMPUTED_VALUE"""),"")</f>
        <v/>
      </c>
      <c r="L198" s="136" t="str">
        <f>IFERROR(__xludf.DUMMYFUNCTION("""COMPUTED_VALUE"""),"")</f>
        <v/>
      </c>
      <c r="M198" s="106" t="str">
        <f>IFERROR(__xludf.DUMMYFUNCTION("""COMPUTED_VALUE"""),"")</f>
        <v/>
      </c>
      <c r="O198" s="136" t="str">
        <f>IFERROR(__xludf.DUMMYFUNCTION("""COMPUTED_VALUE"""),"")</f>
        <v/>
      </c>
      <c r="P198" s="106" t="str">
        <f>IFERROR(__xludf.DUMMYFUNCTION("""COMPUTED_VALUE"""),"")</f>
        <v/>
      </c>
      <c r="R198" s="136" t="str">
        <f>IFERROR(__xludf.DUMMYFUNCTION("""COMPUTED_VALUE"""),"")</f>
        <v/>
      </c>
      <c r="S198" s="106" t="str">
        <f>IFERROR(__xludf.DUMMYFUNCTION("""COMPUTED_VALUE"""),"")</f>
        <v/>
      </c>
    </row>
    <row r="199">
      <c r="A199" s="136" t="s">
        <v>134</v>
      </c>
      <c r="B199" s="146">
        <v>46072.0</v>
      </c>
      <c r="C199" s="136" t="s">
        <v>49</v>
      </c>
      <c r="D199" s="136" t="s">
        <v>149</v>
      </c>
      <c r="E199" s="106">
        <v>0.05486111110803904</v>
      </c>
      <c r="F199" s="136" t="str">
        <f>IFERROR(__xludf.DUMMYFUNCTION("""COMPUTED_VALUE"""),"")</f>
        <v/>
      </c>
      <c r="G199" s="106" t="str">
        <f>IFERROR(__xludf.DUMMYFUNCTION("""COMPUTED_VALUE"""),"")</f>
        <v/>
      </c>
      <c r="I199" s="136" t="str">
        <f>IFERROR(__xludf.DUMMYFUNCTION("""COMPUTED_VALUE"""),"")</f>
        <v/>
      </c>
      <c r="J199" s="106" t="str">
        <f>IFERROR(__xludf.DUMMYFUNCTION("""COMPUTED_VALUE"""),"")</f>
        <v/>
      </c>
      <c r="L199" s="136" t="str">
        <f>IFERROR(__xludf.DUMMYFUNCTION("""COMPUTED_VALUE"""),"")</f>
        <v/>
      </c>
      <c r="M199" s="106" t="str">
        <f>IFERROR(__xludf.DUMMYFUNCTION("""COMPUTED_VALUE"""),"")</f>
        <v/>
      </c>
      <c r="O199" s="136" t="str">
        <f>IFERROR(__xludf.DUMMYFUNCTION("""COMPUTED_VALUE"""),"")</f>
        <v/>
      </c>
      <c r="P199" s="106" t="str">
        <f>IFERROR(__xludf.DUMMYFUNCTION("""COMPUTED_VALUE"""),"")</f>
        <v/>
      </c>
      <c r="R199" s="136" t="str">
        <f>IFERROR(__xludf.DUMMYFUNCTION("""COMPUTED_VALUE"""),"")</f>
        <v/>
      </c>
      <c r="S199" s="106" t="str">
        <f>IFERROR(__xludf.DUMMYFUNCTION("""COMPUTED_VALUE"""),"")</f>
        <v/>
      </c>
    </row>
    <row r="200">
      <c r="A200" s="136" t="s">
        <v>15</v>
      </c>
      <c r="B200" s="146">
        <v>46072.0</v>
      </c>
      <c r="C200" s="136" t="s">
        <v>49</v>
      </c>
      <c r="D200" s="136" t="s">
        <v>148</v>
      </c>
      <c r="E200" s="106">
        <v>0.05208333333575865</v>
      </c>
      <c r="F200" s="136" t="str">
        <f>IFERROR(__xludf.DUMMYFUNCTION("""COMPUTED_VALUE"""),"")</f>
        <v/>
      </c>
      <c r="G200" s="106" t="str">
        <f>IFERROR(__xludf.DUMMYFUNCTION("""COMPUTED_VALUE"""),"")</f>
        <v/>
      </c>
      <c r="I200" s="136" t="str">
        <f>IFERROR(__xludf.DUMMYFUNCTION("""COMPUTED_VALUE"""),"")</f>
        <v/>
      </c>
      <c r="J200" s="106" t="str">
        <f>IFERROR(__xludf.DUMMYFUNCTION("""COMPUTED_VALUE"""),"")</f>
        <v/>
      </c>
      <c r="L200" s="136" t="str">
        <f>IFERROR(__xludf.DUMMYFUNCTION("""COMPUTED_VALUE"""),"")</f>
        <v/>
      </c>
      <c r="M200" s="106" t="str">
        <f>IFERROR(__xludf.DUMMYFUNCTION("""COMPUTED_VALUE"""),"")</f>
        <v/>
      </c>
      <c r="O200" s="136" t="str">
        <f>IFERROR(__xludf.DUMMYFUNCTION("""COMPUTED_VALUE"""),"")</f>
        <v/>
      </c>
      <c r="P200" s="106" t="str">
        <f>IFERROR(__xludf.DUMMYFUNCTION("""COMPUTED_VALUE"""),"")</f>
        <v/>
      </c>
      <c r="R200" s="136" t="str">
        <f>IFERROR(__xludf.DUMMYFUNCTION("""COMPUTED_VALUE"""),"")</f>
        <v/>
      </c>
      <c r="S200" s="106" t="str">
        <f>IFERROR(__xludf.DUMMYFUNCTION("""COMPUTED_VALUE"""),"")</f>
        <v/>
      </c>
    </row>
    <row r="201">
      <c r="A201" s="136" t="s">
        <v>15</v>
      </c>
      <c r="B201" s="146">
        <v>46072.0</v>
      </c>
      <c r="C201" s="136" t="s">
        <v>49</v>
      </c>
      <c r="D201" s="136" t="s">
        <v>149</v>
      </c>
      <c r="E201" s="106">
        <v>0.03333333334012423</v>
      </c>
      <c r="F201" s="136" t="str">
        <f>IFERROR(__xludf.DUMMYFUNCTION("""COMPUTED_VALUE"""),"")</f>
        <v/>
      </c>
      <c r="G201" s="106" t="str">
        <f>IFERROR(__xludf.DUMMYFUNCTION("""COMPUTED_VALUE"""),"")</f>
        <v/>
      </c>
      <c r="I201" s="136" t="str">
        <f>IFERROR(__xludf.DUMMYFUNCTION("""COMPUTED_VALUE"""),"")</f>
        <v/>
      </c>
      <c r="J201" s="106" t="str">
        <f>IFERROR(__xludf.DUMMYFUNCTION("""COMPUTED_VALUE"""),"")</f>
        <v/>
      </c>
      <c r="L201" s="136" t="str">
        <f>IFERROR(__xludf.DUMMYFUNCTION("""COMPUTED_VALUE"""),"")</f>
        <v/>
      </c>
      <c r="M201" s="106" t="str">
        <f>IFERROR(__xludf.DUMMYFUNCTION("""COMPUTED_VALUE"""),"")</f>
        <v/>
      </c>
      <c r="O201" s="136" t="str">
        <f>IFERROR(__xludf.DUMMYFUNCTION("""COMPUTED_VALUE"""),"")</f>
        <v/>
      </c>
      <c r="P201" s="106" t="str">
        <f>IFERROR(__xludf.DUMMYFUNCTION("""COMPUTED_VALUE"""),"")</f>
        <v/>
      </c>
      <c r="R201" s="136" t="str">
        <f>IFERROR(__xludf.DUMMYFUNCTION("""COMPUTED_VALUE"""),"")</f>
        <v/>
      </c>
      <c r="S201" s="106" t="str">
        <f>IFERROR(__xludf.DUMMYFUNCTION("""COMPUTED_VALUE"""),"")</f>
        <v/>
      </c>
    </row>
    <row r="202">
      <c r="A202" s="136" t="s">
        <v>15</v>
      </c>
      <c r="B202" s="146">
        <v>46072.0</v>
      </c>
      <c r="C202" s="136" t="s">
        <v>49</v>
      </c>
      <c r="D202" s="136" t="s">
        <v>149</v>
      </c>
      <c r="E202" s="106">
        <v>0.030555555560567882</v>
      </c>
      <c r="F202" s="136" t="str">
        <f>IFERROR(__xludf.DUMMYFUNCTION("""COMPUTED_VALUE"""),"")</f>
        <v/>
      </c>
      <c r="G202" s="106" t="str">
        <f>IFERROR(__xludf.DUMMYFUNCTION("""COMPUTED_VALUE"""),"")</f>
        <v/>
      </c>
      <c r="I202" s="136" t="str">
        <f>IFERROR(__xludf.DUMMYFUNCTION("""COMPUTED_VALUE"""),"")</f>
        <v/>
      </c>
      <c r="J202" s="106" t="str">
        <f>IFERROR(__xludf.DUMMYFUNCTION("""COMPUTED_VALUE"""),"")</f>
        <v/>
      </c>
      <c r="L202" s="136" t="str">
        <f>IFERROR(__xludf.DUMMYFUNCTION("""COMPUTED_VALUE"""),"")</f>
        <v/>
      </c>
      <c r="M202" s="106" t="str">
        <f>IFERROR(__xludf.DUMMYFUNCTION("""COMPUTED_VALUE"""),"")</f>
        <v/>
      </c>
      <c r="O202" s="136" t="str">
        <f>IFERROR(__xludf.DUMMYFUNCTION("""COMPUTED_VALUE"""),"")</f>
        <v/>
      </c>
      <c r="P202" s="106" t="str">
        <f>IFERROR(__xludf.DUMMYFUNCTION("""COMPUTED_VALUE"""),"")</f>
        <v/>
      </c>
      <c r="R202" s="136" t="str">
        <f>IFERROR(__xludf.DUMMYFUNCTION("""COMPUTED_VALUE"""),"")</f>
        <v/>
      </c>
      <c r="S202" s="106" t="str">
        <f>IFERROR(__xludf.DUMMYFUNCTION("""COMPUTED_VALUE"""),"")</f>
        <v/>
      </c>
    </row>
    <row r="203">
      <c r="A203" s="136" t="s">
        <v>15</v>
      </c>
      <c r="B203" s="146">
        <v>46072.0</v>
      </c>
      <c r="C203" s="136" t="s">
        <v>49</v>
      </c>
      <c r="D203" s="136" t="s">
        <v>149</v>
      </c>
      <c r="E203" s="106">
        <v>0.0625</v>
      </c>
      <c r="F203" s="136" t="str">
        <f>IFERROR(__xludf.DUMMYFUNCTION("""COMPUTED_VALUE"""),"")</f>
        <v/>
      </c>
      <c r="G203" s="106" t="str">
        <f>IFERROR(__xludf.DUMMYFUNCTION("""COMPUTED_VALUE"""),"")</f>
        <v/>
      </c>
      <c r="I203" s="136" t="str">
        <f>IFERROR(__xludf.DUMMYFUNCTION("""COMPUTED_VALUE"""),"")</f>
        <v/>
      </c>
      <c r="J203" s="106" t="str">
        <f>IFERROR(__xludf.DUMMYFUNCTION("""COMPUTED_VALUE"""),"")</f>
        <v/>
      </c>
      <c r="L203" s="136" t="str">
        <f>IFERROR(__xludf.DUMMYFUNCTION("""COMPUTED_VALUE"""),"")</f>
        <v/>
      </c>
      <c r="M203" s="106" t="str">
        <f>IFERROR(__xludf.DUMMYFUNCTION("""COMPUTED_VALUE"""),"")</f>
        <v/>
      </c>
      <c r="O203" s="136" t="str">
        <f>IFERROR(__xludf.DUMMYFUNCTION("""COMPUTED_VALUE"""),"")</f>
        <v/>
      </c>
      <c r="P203" s="106" t="str">
        <f>IFERROR(__xludf.DUMMYFUNCTION("""COMPUTED_VALUE"""),"")</f>
        <v/>
      </c>
      <c r="R203" s="136" t="str">
        <f>IFERROR(__xludf.DUMMYFUNCTION("""COMPUTED_VALUE"""),"")</f>
        <v/>
      </c>
      <c r="S203" s="106" t="str">
        <f>IFERROR(__xludf.DUMMYFUNCTION("""COMPUTED_VALUE"""),"")</f>
        <v/>
      </c>
    </row>
    <row r="204">
      <c r="A204" s="136" t="s">
        <v>18</v>
      </c>
      <c r="B204" s="146">
        <v>46072.0</v>
      </c>
      <c r="C204" s="136" t="s">
        <v>49</v>
      </c>
      <c r="D204" s="136" t="s">
        <v>148</v>
      </c>
      <c r="E204" s="106">
        <v>0.0625</v>
      </c>
      <c r="F204" s="136">
        <f>IFERROR(__xludf.DUMMYFUNCTION("""COMPUTED_VALUE"""),80.0)</f>
        <v>80</v>
      </c>
      <c r="G204" s="106">
        <f>IFERROR(__xludf.DUMMYFUNCTION("""COMPUTED_VALUE"""),0.12569444444670808)</f>
        <v>0.1256944444</v>
      </c>
      <c r="I204" s="136">
        <f>IFERROR(__xludf.DUMMYFUNCTION("""COMPUTED_VALUE"""),53.0)</f>
        <v>53</v>
      </c>
      <c r="J204" s="106">
        <f>IFERROR(__xludf.DUMMYFUNCTION("""COMPUTED_VALUE"""),0.05486111110803904)</f>
        <v>0.05486111111</v>
      </c>
      <c r="L204" s="136">
        <f>IFERROR(__xludf.DUMMYFUNCTION("""COMPUTED_VALUE"""),161.0)</f>
        <v>161</v>
      </c>
      <c r="M204" s="106">
        <f>IFERROR(__xludf.DUMMYFUNCTION("""COMPUTED_VALUE"""),0.17847222223645076)</f>
        <v>0.1784722222</v>
      </c>
      <c r="O204" s="136">
        <f>IFERROR(__xludf.DUMMYFUNCTION("""COMPUTED_VALUE"""),0.0)</f>
        <v>0</v>
      </c>
      <c r="P204" s="106">
        <f>IFERROR(__xludf.DUMMYFUNCTION("""COMPUTED_VALUE"""),0.0)</f>
        <v>0</v>
      </c>
      <c r="R204" s="136">
        <f>IFERROR(__xludf.DUMMYFUNCTION("""COMPUTED_VALUE"""),386.0)</f>
        <v>386</v>
      </c>
      <c r="S204" s="106">
        <f>IFERROR(__xludf.DUMMYFUNCTION("""COMPUTED_VALUE"""),0.09027777778101154)</f>
        <v>0.09027777778</v>
      </c>
    </row>
    <row r="205">
      <c r="A205" s="136" t="s">
        <v>18</v>
      </c>
      <c r="B205" s="146">
        <v>46072.0</v>
      </c>
      <c r="C205" s="136" t="s">
        <v>49</v>
      </c>
      <c r="D205" s="136" t="s">
        <v>148</v>
      </c>
      <c r="E205" s="106">
        <v>0.027777777781011537</v>
      </c>
      <c r="F205" s="136" t="str">
        <f>IFERROR(__xludf.DUMMYFUNCTION("""COMPUTED_VALUE"""),"")</f>
        <v/>
      </c>
      <c r="G205" s="106" t="str">
        <f>IFERROR(__xludf.DUMMYFUNCTION("""COMPUTED_VALUE"""),"")</f>
        <v/>
      </c>
      <c r="I205" s="136" t="str">
        <f>IFERROR(__xludf.DUMMYFUNCTION("""COMPUTED_VALUE"""),"")</f>
        <v/>
      </c>
      <c r="J205" s="106" t="str">
        <f>IFERROR(__xludf.DUMMYFUNCTION("""COMPUTED_VALUE"""),"")</f>
        <v/>
      </c>
      <c r="L205" s="136" t="str">
        <f>IFERROR(__xludf.DUMMYFUNCTION("""COMPUTED_VALUE"""),"")</f>
        <v/>
      </c>
      <c r="M205" s="106" t="str">
        <f>IFERROR(__xludf.DUMMYFUNCTION("""COMPUTED_VALUE"""),"")</f>
        <v/>
      </c>
      <c r="O205" s="136" t="str">
        <f>IFERROR(__xludf.DUMMYFUNCTION("""COMPUTED_VALUE"""),"")</f>
        <v/>
      </c>
      <c r="P205" s="106" t="str">
        <f>IFERROR(__xludf.DUMMYFUNCTION("""COMPUTED_VALUE"""),"")</f>
        <v/>
      </c>
      <c r="R205" s="136" t="str">
        <f>IFERROR(__xludf.DUMMYFUNCTION("""COMPUTED_VALUE"""),"")</f>
        <v/>
      </c>
      <c r="S205" s="106" t="str">
        <f>IFERROR(__xludf.DUMMYFUNCTION("""COMPUTED_VALUE"""),"")</f>
        <v/>
      </c>
    </row>
    <row r="206">
      <c r="A206" s="136" t="s">
        <v>15</v>
      </c>
      <c r="B206" s="146">
        <v>46073.0</v>
      </c>
      <c r="C206" s="136" t="s">
        <v>53</v>
      </c>
      <c r="D206" s="136" t="s">
        <v>149</v>
      </c>
      <c r="E206" s="106">
        <v>0.12152777778020307</v>
      </c>
      <c r="F206" s="136" t="str">
        <f>IFERROR(__xludf.DUMMYFUNCTION("""COMPUTED_VALUE"""),"")</f>
        <v/>
      </c>
      <c r="G206" s="106" t="str">
        <f>IFERROR(__xludf.DUMMYFUNCTION("""COMPUTED_VALUE"""),"")</f>
        <v/>
      </c>
      <c r="I206" s="136" t="str">
        <f>IFERROR(__xludf.DUMMYFUNCTION("""COMPUTED_VALUE"""),"")</f>
        <v/>
      </c>
      <c r="J206" s="106" t="str">
        <f>IFERROR(__xludf.DUMMYFUNCTION("""COMPUTED_VALUE"""),"")</f>
        <v/>
      </c>
      <c r="L206" s="136" t="str">
        <f>IFERROR(__xludf.DUMMYFUNCTION("""COMPUTED_VALUE"""),"")</f>
        <v/>
      </c>
      <c r="M206" s="106" t="str">
        <f>IFERROR(__xludf.DUMMYFUNCTION("""COMPUTED_VALUE"""),"")</f>
        <v/>
      </c>
      <c r="O206" s="136" t="str">
        <f>IFERROR(__xludf.DUMMYFUNCTION("""COMPUTED_VALUE"""),"")</f>
        <v/>
      </c>
      <c r="P206" s="106" t="str">
        <f>IFERROR(__xludf.DUMMYFUNCTION("""COMPUTED_VALUE"""),"")</f>
        <v/>
      </c>
      <c r="R206" s="136" t="str">
        <f>IFERROR(__xludf.DUMMYFUNCTION("""COMPUTED_VALUE"""),"")</f>
        <v/>
      </c>
      <c r="S206" s="106" t="str">
        <f>IFERROR(__xludf.DUMMYFUNCTION("""COMPUTED_VALUE"""),"")</f>
        <v/>
      </c>
    </row>
    <row r="207">
      <c r="A207" s="136" t="s">
        <v>15</v>
      </c>
      <c r="B207" s="146">
        <v>46073.0</v>
      </c>
      <c r="C207" s="136" t="s">
        <v>53</v>
      </c>
      <c r="D207" s="136" t="s">
        <v>148</v>
      </c>
      <c r="E207" s="106">
        <v>0.14236111110949423</v>
      </c>
      <c r="F207" s="136" t="str">
        <f>IFERROR(__xludf.DUMMYFUNCTION("""COMPUTED_VALUE"""),"")</f>
        <v/>
      </c>
      <c r="G207" s="106" t="str">
        <f>IFERROR(__xludf.DUMMYFUNCTION("""COMPUTED_VALUE"""),"")</f>
        <v/>
      </c>
      <c r="I207" s="136" t="str">
        <f>IFERROR(__xludf.DUMMYFUNCTION("""COMPUTED_VALUE"""),"")</f>
        <v/>
      </c>
      <c r="J207" s="106" t="str">
        <f>IFERROR(__xludf.DUMMYFUNCTION("""COMPUTED_VALUE"""),"")</f>
        <v/>
      </c>
      <c r="L207" s="136" t="str">
        <f>IFERROR(__xludf.DUMMYFUNCTION("""COMPUTED_VALUE"""),"")</f>
        <v/>
      </c>
      <c r="M207" s="106" t="str">
        <f>IFERROR(__xludf.DUMMYFUNCTION("""COMPUTED_VALUE"""),"")</f>
        <v/>
      </c>
      <c r="O207" s="136" t="str">
        <f>IFERROR(__xludf.DUMMYFUNCTION("""COMPUTED_VALUE"""),"")</f>
        <v/>
      </c>
      <c r="P207" s="106" t="str">
        <f>IFERROR(__xludf.DUMMYFUNCTION("""COMPUTED_VALUE"""),"")</f>
        <v/>
      </c>
      <c r="R207" s="136" t="str">
        <f>IFERROR(__xludf.DUMMYFUNCTION("""COMPUTED_VALUE"""),"")</f>
        <v/>
      </c>
      <c r="S207" s="106" t="str">
        <f>IFERROR(__xludf.DUMMYFUNCTION("""COMPUTED_VALUE"""),"")</f>
        <v/>
      </c>
    </row>
    <row r="208">
      <c r="A208" s="136" t="s">
        <v>18</v>
      </c>
      <c r="B208" s="146">
        <v>46073.0</v>
      </c>
      <c r="C208" s="136" t="s">
        <v>53</v>
      </c>
      <c r="D208" s="136" t="s">
        <v>148</v>
      </c>
      <c r="E208" s="106">
        <v>0.08333333333575865</v>
      </c>
      <c r="F208" s="136" t="str">
        <f>IFERROR(__xludf.DUMMYFUNCTION("""COMPUTED_VALUE"""),"")</f>
        <v/>
      </c>
      <c r="G208" s="106" t="str">
        <f>IFERROR(__xludf.DUMMYFUNCTION("""COMPUTED_VALUE"""),"")</f>
        <v/>
      </c>
      <c r="I208" s="136" t="str">
        <f>IFERROR(__xludf.DUMMYFUNCTION("""COMPUTED_VALUE"""),"")</f>
        <v/>
      </c>
      <c r="J208" s="106" t="str">
        <f>IFERROR(__xludf.DUMMYFUNCTION("""COMPUTED_VALUE"""),"")</f>
        <v/>
      </c>
      <c r="L208" s="136" t="str">
        <f>IFERROR(__xludf.DUMMYFUNCTION("""COMPUTED_VALUE"""),"")</f>
        <v/>
      </c>
      <c r="M208" s="106" t="str">
        <f>IFERROR(__xludf.DUMMYFUNCTION("""COMPUTED_VALUE"""),"")</f>
        <v/>
      </c>
      <c r="O208" s="136" t="str">
        <f>IFERROR(__xludf.DUMMYFUNCTION("""COMPUTED_VALUE"""),"")</f>
        <v/>
      </c>
      <c r="P208" s="106" t="str">
        <f>IFERROR(__xludf.DUMMYFUNCTION("""COMPUTED_VALUE"""),"")</f>
        <v/>
      </c>
      <c r="R208" s="136" t="str">
        <f>IFERROR(__xludf.DUMMYFUNCTION("""COMPUTED_VALUE"""),"")</f>
        <v/>
      </c>
      <c r="S208" s="106" t="str">
        <f>IFERROR(__xludf.DUMMYFUNCTION("""COMPUTED_VALUE"""),"")</f>
        <v/>
      </c>
    </row>
    <row r="209">
      <c r="A209" s="136" t="s">
        <v>18</v>
      </c>
      <c r="B209" s="146">
        <v>46073.0</v>
      </c>
      <c r="C209" s="136" t="s">
        <v>53</v>
      </c>
      <c r="D209" s="136" t="s">
        <v>148</v>
      </c>
      <c r="E209" s="106">
        <v>0.04513888889050577</v>
      </c>
      <c r="F209" s="136">
        <f>IFERROR(__xludf.DUMMYFUNCTION("""COMPUTED_VALUE"""),0.0)</f>
        <v>0</v>
      </c>
      <c r="G209" s="106">
        <f>IFERROR(__xludf.DUMMYFUNCTION("""COMPUTED_VALUE"""),0.0)</f>
        <v>0</v>
      </c>
      <c r="I209" s="136">
        <f>IFERROR(__xludf.DUMMYFUNCTION("""COMPUTED_VALUE"""),0.0)</f>
        <v>0</v>
      </c>
      <c r="J209" s="106">
        <f>IFERROR(__xludf.DUMMYFUNCTION("""COMPUTED_VALUE"""),0.0)</f>
        <v>0</v>
      </c>
      <c r="L209" s="136">
        <f>IFERROR(__xludf.DUMMYFUNCTION("""COMPUTED_VALUE"""),255.0)</f>
        <v>255</v>
      </c>
      <c r="M209" s="106">
        <f>IFERROR(__xludf.DUMMYFUNCTION("""COMPUTED_VALUE"""),0.2638888888896973)</f>
        <v>0.2638888889</v>
      </c>
      <c r="O209" s="136">
        <f>IFERROR(__xludf.DUMMYFUNCTION("""COMPUTED_VALUE"""),0.0)</f>
        <v>0</v>
      </c>
      <c r="P209" s="106">
        <f>IFERROR(__xludf.DUMMYFUNCTION("""COMPUTED_VALUE"""),0.0)</f>
        <v>0</v>
      </c>
      <c r="R209" s="136">
        <f>IFERROR(__xludf.DUMMYFUNCTION("""COMPUTED_VALUE"""),356.0)</f>
        <v>356</v>
      </c>
      <c r="S209" s="106">
        <f>IFERROR(__xludf.DUMMYFUNCTION("""COMPUTED_VALUE"""),0.14791666667588288)</f>
        <v>0.1479166667</v>
      </c>
    </row>
    <row r="210">
      <c r="A210" s="136" t="s">
        <v>18</v>
      </c>
      <c r="B210" s="146">
        <v>46073.0</v>
      </c>
      <c r="C210" s="136" t="s">
        <v>53</v>
      </c>
      <c r="D210" s="136" t="s">
        <v>148</v>
      </c>
      <c r="E210" s="106">
        <v>0.01944444444961846</v>
      </c>
      <c r="F210" s="136" t="str">
        <f>IFERROR(__xludf.DUMMYFUNCTION("""COMPUTED_VALUE"""),"")</f>
        <v/>
      </c>
      <c r="G210" s="106" t="str">
        <f>IFERROR(__xludf.DUMMYFUNCTION("""COMPUTED_VALUE"""),"")</f>
        <v/>
      </c>
      <c r="I210" s="136" t="str">
        <f>IFERROR(__xludf.DUMMYFUNCTION("""COMPUTED_VALUE"""),"")</f>
        <v/>
      </c>
      <c r="J210" s="106" t="str">
        <f>IFERROR(__xludf.DUMMYFUNCTION("""COMPUTED_VALUE"""),"")</f>
        <v/>
      </c>
      <c r="L210" s="136" t="str">
        <f>IFERROR(__xludf.DUMMYFUNCTION("""COMPUTED_VALUE"""),"")</f>
        <v/>
      </c>
      <c r="M210" s="106" t="str">
        <f>IFERROR(__xludf.DUMMYFUNCTION("""COMPUTED_VALUE"""),"")</f>
        <v/>
      </c>
      <c r="O210" s="136" t="str">
        <f>IFERROR(__xludf.DUMMYFUNCTION("""COMPUTED_VALUE"""),"")</f>
        <v/>
      </c>
      <c r="P210" s="106" t="str">
        <f>IFERROR(__xludf.DUMMYFUNCTION("""COMPUTED_VALUE"""),"")</f>
        <v/>
      </c>
      <c r="R210" s="136" t="str">
        <f>IFERROR(__xludf.DUMMYFUNCTION("""COMPUTED_VALUE"""),"")</f>
        <v/>
      </c>
      <c r="S210" s="106" t="str">
        <f>IFERROR(__xludf.DUMMYFUNCTION("""COMPUTED_VALUE"""),"")</f>
        <v/>
      </c>
    </row>
    <row r="211">
      <c r="A211" s="136" t="s">
        <v>15</v>
      </c>
      <c r="B211" s="146">
        <v>46079.0</v>
      </c>
      <c r="C211" s="136" t="s">
        <v>49</v>
      </c>
      <c r="D211" s="136" t="s">
        <v>148</v>
      </c>
      <c r="E211" s="106">
        <v>0.052083333333333315</v>
      </c>
      <c r="F211" s="136" t="str">
        <f>IFERROR(__xludf.DUMMYFUNCTION("""COMPUTED_VALUE"""),"")</f>
        <v/>
      </c>
      <c r="G211" s="106" t="str">
        <f>IFERROR(__xludf.DUMMYFUNCTION("""COMPUTED_VALUE"""),"")</f>
        <v/>
      </c>
      <c r="I211" s="136" t="str">
        <f>IFERROR(__xludf.DUMMYFUNCTION("""COMPUTED_VALUE"""),"")</f>
        <v/>
      </c>
      <c r="J211" s="106" t="str">
        <f>IFERROR(__xludf.DUMMYFUNCTION("""COMPUTED_VALUE"""),"")</f>
        <v/>
      </c>
      <c r="L211" s="136" t="str">
        <f>IFERROR(__xludf.DUMMYFUNCTION("""COMPUTED_VALUE"""),"")</f>
        <v/>
      </c>
      <c r="M211" s="106" t="str">
        <f>IFERROR(__xludf.DUMMYFUNCTION("""COMPUTED_VALUE"""),"")</f>
        <v/>
      </c>
      <c r="O211" s="136" t="str">
        <f>IFERROR(__xludf.DUMMYFUNCTION("""COMPUTED_VALUE"""),"")</f>
        <v/>
      </c>
      <c r="P211" s="106" t="str">
        <f>IFERROR(__xludf.DUMMYFUNCTION("""COMPUTED_VALUE"""),"")</f>
        <v/>
      </c>
      <c r="R211" s="136" t="str">
        <f>IFERROR(__xludf.DUMMYFUNCTION("""COMPUTED_VALUE"""),"")</f>
        <v/>
      </c>
      <c r="S211" s="106" t="str">
        <f>IFERROR(__xludf.DUMMYFUNCTION("""COMPUTED_VALUE"""),"")</f>
        <v/>
      </c>
    </row>
    <row r="212">
      <c r="A212" s="136" t="s">
        <v>18</v>
      </c>
      <c r="B212" s="146">
        <v>46079.0</v>
      </c>
      <c r="C212" s="136" t="s">
        <v>49</v>
      </c>
      <c r="D212" s="136" t="s">
        <v>148</v>
      </c>
      <c r="E212" s="106">
        <v>0.0833333333284827</v>
      </c>
      <c r="F212" s="136">
        <f>IFERROR(__xludf.DUMMYFUNCTION("""COMPUTED_VALUE"""),0.0)</f>
        <v>0</v>
      </c>
      <c r="G212" s="106">
        <f>IFERROR(__xludf.DUMMYFUNCTION("""COMPUTED_VALUE"""),0.0)</f>
        <v>0</v>
      </c>
      <c r="I212" s="136">
        <f>IFERROR(__xludf.DUMMYFUNCTION("""COMPUTED_VALUE"""),0.0)</f>
        <v>0</v>
      </c>
      <c r="J212" s="106">
        <f>IFERROR(__xludf.DUMMYFUNCTION("""COMPUTED_VALUE"""),0.0)</f>
        <v>0</v>
      </c>
      <c r="L212" s="136">
        <f>IFERROR(__xludf.DUMMYFUNCTION("""COMPUTED_VALUE"""),29.0)</f>
        <v>29</v>
      </c>
      <c r="M212" s="106">
        <f>IFERROR(__xludf.DUMMYFUNCTION("""COMPUTED_VALUE"""),0.052083333333333315)</f>
        <v>0.05208333333</v>
      </c>
      <c r="O212" s="136">
        <f>IFERROR(__xludf.DUMMYFUNCTION("""COMPUTED_VALUE"""),0.0)</f>
        <v>0</v>
      </c>
      <c r="P212" s="106">
        <f>IFERROR(__xludf.DUMMYFUNCTION("""COMPUTED_VALUE"""),0.0)</f>
        <v>0</v>
      </c>
      <c r="R212" s="136">
        <f>IFERROR(__xludf.DUMMYFUNCTION("""COMPUTED_VALUE"""),115.0)</f>
        <v>115</v>
      </c>
      <c r="S212" s="106">
        <f>IFERROR(__xludf.DUMMYFUNCTION("""COMPUTED_VALUE"""),0.16666666666424135)</f>
        <v>0.1666666667</v>
      </c>
    </row>
    <row r="213">
      <c r="A213" s="136" t="s">
        <v>18</v>
      </c>
      <c r="B213" s="146">
        <v>46079.0</v>
      </c>
      <c r="C213" s="136" t="s">
        <v>49</v>
      </c>
      <c r="D213" s="136" t="s">
        <v>148</v>
      </c>
      <c r="E213" s="106">
        <v>0.08333333333575865</v>
      </c>
      <c r="F213" s="136" t="str">
        <f>IFERROR(__xludf.DUMMYFUNCTION("""COMPUTED_VALUE"""),"")</f>
        <v/>
      </c>
      <c r="G213" s="106" t="str">
        <f>IFERROR(__xludf.DUMMYFUNCTION("""COMPUTED_VALUE"""),"")</f>
        <v/>
      </c>
      <c r="I213" s="136" t="str">
        <f>IFERROR(__xludf.DUMMYFUNCTION("""COMPUTED_VALUE"""),"")</f>
        <v/>
      </c>
      <c r="J213" s="106" t="str">
        <f>IFERROR(__xludf.DUMMYFUNCTION("""COMPUTED_VALUE"""),"")</f>
        <v/>
      </c>
      <c r="L213" s="136" t="str">
        <f>IFERROR(__xludf.DUMMYFUNCTION("""COMPUTED_VALUE"""),"")</f>
        <v/>
      </c>
      <c r="M213" s="106" t="str">
        <f>IFERROR(__xludf.DUMMYFUNCTION("""COMPUTED_VALUE"""),"")</f>
        <v/>
      </c>
      <c r="O213" s="136" t="str">
        <f>IFERROR(__xludf.DUMMYFUNCTION("""COMPUTED_VALUE"""),"")</f>
        <v/>
      </c>
      <c r="P213" s="106" t="str">
        <f>IFERROR(__xludf.DUMMYFUNCTION("""COMPUTED_VALUE"""),"")</f>
        <v/>
      </c>
      <c r="R213" s="136" t="str">
        <f>IFERROR(__xludf.DUMMYFUNCTION("""COMPUTED_VALUE"""),"")</f>
        <v/>
      </c>
      <c r="S213" s="106" t="str">
        <f>IFERROR(__xludf.DUMMYFUNCTION("""COMPUTED_VALUE"""),"")</f>
        <v/>
      </c>
    </row>
    <row r="214">
      <c r="A214" s="136" t="s">
        <v>12</v>
      </c>
      <c r="B214" s="146">
        <v>46080.0</v>
      </c>
      <c r="C214" s="136" t="s">
        <v>53</v>
      </c>
      <c r="D214" s="136" t="s">
        <v>149</v>
      </c>
      <c r="E214" s="106">
        <v>0.06041666666715173</v>
      </c>
      <c r="F214" s="136" t="str">
        <f>IFERROR(__xludf.DUMMYFUNCTION("""COMPUTED_VALUE"""),"")</f>
        <v/>
      </c>
      <c r="G214" s="106" t="str">
        <f>IFERROR(__xludf.DUMMYFUNCTION("""COMPUTED_VALUE"""),"")</f>
        <v/>
      </c>
      <c r="I214" s="136" t="str">
        <f>IFERROR(__xludf.DUMMYFUNCTION("""COMPUTED_VALUE"""),"")</f>
        <v/>
      </c>
      <c r="J214" s="106" t="str">
        <f>IFERROR(__xludf.DUMMYFUNCTION("""COMPUTED_VALUE"""),"")</f>
        <v/>
      </c>
      <c r="L214" s="136" t="str">
        <f>IFERROR(__xludf.DUMMYFUNCTION("""COMPUTED_VALUE"""),"")</f>
        <v/>
      </c>
      <c r="M214" s="106" t="str">
        <f>IFERROR(__xludf.DUMMYFUNCTION("""COMPUTED_VALUE"""),"")</f>
        <v/>
      </c>
      <c r="O214" s="136" t="str">
        <f>IFERROR(__xludf.DUMMYFUNCTION("""COMPUTED_VALUE"""),"")</f>
        <v/>
      </c>
      <c r="P214" s="106" t="str">
        <f>IFERROR(__xludf.DUMMYFUNCTION("""COMPUTED_VALUE"""),"")</f>
        <v/>
      </c>
      <c r="R214" s="136" t="str">
        <f>IFERROR(__xludf.DUMMYFUNCTION("""COMPUTED_VALUE"""),"")</f>
        <v/>
      </c>
      <c r="S214" s="106" t="str">
        <f>IFERROR(__xludf.DUMMYFUNCTION("""COMPUTED_VALUE"""),"")</f>
        <v/>
      </c>
    </row>
    <row r="215">
      <c r="A215" s="136" t="s">
        <v>15</v>
      </c>
      <c r="B215" s="146">
        <v>46080.0</v>
      </c>
      <c r="C215" s="136" t="s">
        <v>53</v>
      </c>
      <c r="D215" s="136" t="s">
        <v>149</v>
      </c>
      <c r="E215" s="106">
        <v>0.125</v>
      </c>
      <c r="F215" s="136" t="str">
        <f>IFERROR(__xludf.DUMMYFUNCTION("""COMPUTED_VALUE"""),"")</f>
        <v/>
      </c>
      <c r="G215" s="106" t="str">
        <f>IFERROR(__xludf.DUMMYFUNCTION("""COMPUTED_VALUE"""),"")</f>
        <v/>
      </c>
      <c r="I215" s="136" t="str">
        <f>IFERROR(__xludf.DUMMYFUNCTION("""COMPUTED_VALUE"""),"")</f>
        <v/>
      </c>
      <c r="J215" s="106" t="str">
        <f>IFERROR(__xludf.DUMMYFUNCTION("""COMPUTED_VALUE"""),"")</f>
        <v/>
      </c>
      <c r="L215" s="136" t="str">
        <f>IFERROR(__xludf.DUMMYFUNCTION("""COMPUTED_VALUE"""),"")</f>
        <v/>
      </c>
      <c r="M215" s="106" t="str">
        <f>IFERROR(__xludf.DUMMYFUNCTION("""COMPUTED_VALUE"""),"")</f>
        <v/>
      </c>
      <c r="O215" s="136" t="str">
        <f>IFERROR(__xludf.DUMMYFUNCTION("""COMPUTED_VALUE"""),"")</f>
        <v/>
      </c>
      <c r="P215" s="106" t="str">
        <f>IFERROR(__xludf.DUMMYFUNCTION("""COMPUTED_VALUE"""),"")</f>
        <v/>
      </c>
      <c r="R215" s="136" t="str">
        <f>IFERROR(__xludf.DUMMYFUNCTION("""COMPUTED_VALUE"""),"")</f>
        <v/>
      </c>
      <c r="S215" s="106" t="str">
        <f>IFERROR(__xludf.DUMMYFUNCTION("""COMPUTED_VALUE"""),"")</f>
        <v/>
      </c>
    </row>
    <row r="216">
      <c r="A216" s="136" t="s">
        <v>15</v>
      </c>
      <c r="B216" s="146">
        <v>46080.0</v>
      </c>
      <c r="C216" s="136" t="s">
        <v>53</v>
      </c>
      <c r="D216" s="136" t="s">
        <v>148</v>
      </c>
      <c r="E216" s="106">
        <v>0.14861111110803904</v>
      </c>
      <c r="F216" s="136">
        <f>IFERROR(__xludf.DUMMYFUNCTION("""COMPUTED_VALUE"""),110.0)</f>
        <v>110</v>
      </c>
      <c r="G216" s="106">
        <f>IFERROR(__xludf.DUMMYFUNCTION("""COMPUTED_VALUE"""),0.06041666666715173)</f>
        <v>0.06041666667</v>
      </c>
      <c r="I216" s="136">
        <f>IFERROR(__xludf.DUMMYFUNCTION("""COMPUTED_VALUE"""),0.0)</f>
        <v>0</v>
      </c>
      <c r="J216" s="106">
        <f>IFERROR(__xludf.DUMMYFUNCTION("""COMPUTED_VALUE"""),0.0)</f>
        <v>0</v>
      </c>
      <c r="L216" s="136">
        <f>IFERROR(__xludf.DUMMYFUNCTION("""COMPUTED_VALUE"""),241.0)</f>
        <v>241</v>
      </c>
      <c r="M216" s="106">
        <f>IFERROR(__xludf.DUMMYFUNCTION("""COMPUTED_VALUE"""),0.27361111110803904)</f>
        <v>0.2736111111</v>
      </c>
      <c r="O216" s="136">
        <f>IFERROR(__xludf.DUMMYFUNCTION("""COMPUTED_VALUE"""),0.0)</f>
        <v>0</v>
      </c>
      <c r="P216" s="106">
        <f>IFERROR(__xludf.DUMMYFUNCTION("""COMPUTED_VALUE"""),0.0)</f>
        <v>0</v>
      </c>
      <c r="R216" s="136">
        <f>IFERROR(__xludf.DUMMYFUNCTION("""COMPUTED_VALUE"""),121.0)</f>
        <v>121</v>
      </c>
      <c r="S216" s="106">
        <f>IFERROR(__xludf.DUMMYFUNCTION("""COMPUTED_VALUE"""),0.07638888889050577)</f>
        <v>0.07638888889</v>
      </c>
    </row>
    <row r="217">
      <c r="A217" s="136" t="s">
        <v>18</v>
      </c>
      <c r="B217" s="146">
        <v>46080.0</v>
      </c>
      <c r="C217" s="136" t="s">
        <v>53</v>
      </c>
      <c r="D217" s="136" t="s">
        <v>148</v>
      </c>
      <c r="E217" s="106">
        <v>0.07638888889050577</v>
      </c>
      <c r="F217" s="136" t="str">
        <f>IFERROR(__xludf.DUMMYFUNCTION("""COMPUTED_VALUE"""),"")</f>
        <v/>
      </c>
      <c r="G217" s="106" t="str">
        <f>IFERROR(__xludf.DUMMYFUNCTION("""COMPUTED_VALUE"""),"")</f>
        <v/>
      </c>
      <c r="I217" s="136" t="str">
        <f>IFERROR(__xludf.DUMMYFUNCTION("""COMPUTED_VALUE"""),"")</f>
        <v/>
      </c>
      <c r="J217" s="106" t="str">
        <f>IFERROR(__xludf.DUMMYFUNCTION("""COMPUTED_VALUE"""),"")</f>
        <v/>
      </c>
      <c r="L217" s="136" t="str">
        <f>IFERROR(__xludf.DUMMYFUNCTION("""COMPUTED_VALUE"""),"")</f>
        <v/>
      </c>
      <c r="M217" s="106" t="str">
        <f>IFERROR(__xludf.DUMMYFUNCTION("""COMPUTED_VALUE"""),"")</f>
        <v/>
      </c>
      <c r="O217" s="136" t="str">
        <f>IFERROR(__xludf.DUMMYFUNCTION("""COMPUTED_VALUE"""),"")</f>
        <v/>
      </c>
      <c r="P217" s="106" t="str">
        <f>IFERROR(__xludf.DUMMYFUNCTION("""COMPUTED_VALUE"""),"")</f>
        <v/>
      </c>
      <c r="R217" s="136" t="str">
        <f>IFERROR(__xludf.DUMMYFUNCTION("""COMPUTED_VALUE"""),"")</f>
        <v/>
      </c>
      <c r="S217" s="106" t="str">
        <f>IFERROR(__xludf.DUMMYFUNCTION("""COMPUTED_VALUE"""),"")</f>
        <v/>
      </c>
    </row>
    <row r="218">
      <c r="A218" s="136" t="s">
        <v>12</v>
      </c>
      <c r="B218" s="146">
        <v>46083.0</v>
      </c>
      <c r="C218" s="136" t="s">
        <v>37</v>
      </c>
      <c r="D218" s="136" t="s">
        <v>149</v>
      </c>
      <c r="E218" s="106">
        <v>0.0625</v>
      </c>
      <c r="F218" s="136" t="str">
        <f>IFERROR(__xludf.DUMMYFUNCTION("""COMPUTED_VALUE"""),"")</f>
        <v/>
      </c>
      <c r="G218" s="106" t="str">
        <f>IFERROR(__xludf.DUMMYFUNCTION("""COMPUTED_VALUE"""),"")</f>
        <v/>
      </c>
      <c r="I218" s="136" t="str">
        <f>IFERROR(__xludf.DUMMYFUNCTION("""COMPUTED_VALUE"""),"")</f>
        <v/>
      </c>
      <c r="J218" s="106" t="str">
        <f>IFERROR(__xludf.DUMMYFUNCTION("""COMPUTED_VALUE"""),"")</f>
        <v/>
      </c>
      <c r="L218" s="136" t="str">
        <f>IFERROR(__xludf.DUMMYFUNCTION("""COMPUTED_VALUE"""),"")</f>
        <v/>
      </c>
      <c r="M218" s="106" t="str">
        <f>IFERROR(__xludf.DUMMYFUNCTION("""COMPUTED_VALUE"""),"")</f>
        <v/>
      </c>
      <c r="O218" s="136" t="str">
        <f>IFERROR(__xludf.DUMMYFUNCTION("""COMPUTED_VALUE"""),"")</f>
        <v/>
      </c>
      <c r="P218" s="106" t="str">
        <f>IFERROR(__xludf.DUMMYFUNCTION("""COMPUTED_VALUE"""),"")</f>
        <v/>
      </c>
      <c r="R218" s="136" t="str">
        <f>IFERROR(__xludf.DUMMYFUNCTION("""COMPUTED_VALUE"""),"")</f>
        <v/>
      </c>
      <c r="S218" s="106" t="str">
        <f>IFERROR(__xludf.DUMMYFUNCTION("""COMPUTED_VALUE"""),"")</f>
        <v/>
      </c>
    </row>
    <row r="219">
      <c r="A219" s="136" t="s">
        <v>15</v>
      </c>
      <c r="B219" s="146">
        <v>46083.0</v>
      </c>
      <c r="C219" s="136" t="s">
        <v>37</v>
      </c>
      <c r="D219" s="136" t="s">
        <v>149</v>
      </c>
      <c r="E219" s="106">
        <v>0.125</v>
      </c>
      <c r="F219" s="136" t="str">
        <f>IFERROR(__xludf.DUMMYFUNCTION("""COMPUTED_VALUE"""),"")</f>
        <v/>
      </c>
      <c r="G219" s="106" t="str">
        <f>IFERROR(__xludf.DUMMYFUNCTION("""COMPUTED_VALUE"""),"")</f>
        <v/>
      </c>
      <c r="I219" s="136" t="str">
        <f>IFERROR(__xludf.DUMMYFUNCTION("""COMPUTED_VALUE"""),"")</f>
        <v/>
      </c>
      <c r="J219" s="106" t="str">
        <f>IFERROR(__xludf.DUMMYFUNCTION("""COMPUTED_VALUE"""),"")</f>
        <v/>
      </c>
      <c r="L219" s="136" t="str">
        <f>IFERROR(__xludf.DUMMYFUNCTION("""COMPUTED_VALUE"""),"")</f>
        <v/>
      </c>
      <c r="M219" s="106" t="str">
        <f>IFERROR(__xludf.DUMMYFUNCTION("""COMPUTED_VALUE"""),"")</f>
        <v/>
      </c>
      <c r="O219" s="136" t="str">
        <f>IFERROR(__xludf.DUMMYFUNCTION("""COMPUTED_VALUE"""),"")</f>
        <v/>
      </c>
      <c r="P219" s="106" t="str">
        <f>IFERROR(__xludf.DUMMYFUNCTION("""COMPUTED_VALUE"""),"")</f>
        <v/>
      </c>
      <c r="R219" s="136" t="str">
        <f>IFERROR(__xludf.DUMMYFUNCTION("""COMPUTED_VALUE"""),"")</f>
        <v/>
      </c>
      <c r="S219" s="106" t="str">
        <f>IFERROR(__xludf.DUMMYFUNCTION("""COMPUTED_VALUE"""),"")</f>
        <v/>
      </c>
    </row>
    <row r="220">
      <c r="A220" s="136" t="s">
        <v>18</v>
      </c>
      <c r="B220" s="146">
        <v>46083.0</v>
      </c>
      <c r="C220" s="136" t="s">
        <v>37</v>
      </c>
      <c r="D220" s="136" t="s">
        <v>148</v>
      </c>
      <c r="E220" s="106">
        <v>0.07569444444379769</v>
      </c>
      <c r="F220" s="136" t="str">
        <f>IFERROR(__xludf.DUMMYFUNCTION("""COMPUTED_VALUE"""),"")</f>
        <v/>
      </c>
      <c r="G220" s="106" t="str">
        <f>IFERROR(__xludf.DUMMYFUNCTION("""COMPUTED_VALUE"""),"")</f>
        <v/>
      </c>
      <c r="I220" s="136" t="str">
        <f>IFERROR(__xludf.DUMMYFUNCTION("""COMPUTED_VALUE"""),"")</f>
        <v/>
      </c>
      <c r="J220" s="106" t="str">
        <f>IFERROR(__xludf.DUMMYFUNCTION("""COMPUTED_VALUE"""),"")</f>
        <v/>
      </c>
      <c r="L220" s="136" t="str">
        <f>IFERROR(__xludf.DUMMYFUNCTION("""COMPUTED_VALUE"""),"")</f>
        <v/>
      </c>
      <c r="M220" s="106" t="str">
        <f>IFERROR(__xludf.DUMMYFUNCTION("""COMPUTED_VALUE"""),"")</f>
        <v/>
      </c>
      <c r="O220" s="136" t="str">
        <f>IFERROR(__xludf.DUMMYFUNCTION("""COMPUTED_VALUE"""),"")</f>
        <v/>
      </c>
      <c r="P220" s="106" t="str">
        <f>IFERROR(__xludf.DUMMYFUNCTION("""COMPUTED_VALUE"""),"")</f>
        <v/>
      </c>
      <c r="R220" s="136" t="str">
        <f>IFERROR(__xludf.DUMMYFUNCTION("""COMPUTED_VALUE"""),"")</f>
        <v/>
      </c>
      <c r="S220" s="106" t="str">
        <f>IFERROR(__xludf.DUMMYFUNCTION("""COMPUTED_VALUE"""),"")</f>
        <v/>
      </c>
    </row>
    <row r="221">
      <c r="A221" s="136" t="s">
        <v>18</v>
      </c>
      <c r="B221" s="146">
        <v>46083.0</v>
      </c>
      <c r="C221" s="136" t="s">
        <v>37</v>
      </c>
      <c r="D221" s="136" t="s">
        <v>148</v>
      </c>
      <c r="E221" s="106">
        <v>0.09027777778101154</v>
      </c>
      <c r="F221" s="136" t="str">
        <f>IFERROR(__xludf.DUMMYFUNCTION("""COMPUTED_VALUE"""),"")</f>
        <v/>
      </c>
      <c r="G221" s="106" t="str">
        <f>IFERROR(__xludf.DUMMYFUNCTION("""COMPUTED_VALUE"""),"")</f>
        <v/>
      </c>
      <c r="I221" s="136" t="str">
        <f>IFERROR(__xludf.DUMMYFUNCTION("""COMPUTED_VALUE"""),"")</f>
        <v/>
      </c>
      <c r="J221" s="106" t="str">
        <f>IFERROR(__xludf.DUMMYFUNCTION("""COMPUTED_VALUE"""),"")</f>
        <v/>
      </c>
      <c r="L221" s="136" t="str">
        <f>IFERROR(__xludf.DUMMYFUNCTION("""COMPUTED_VALUE"""),"")</f>
        <v/>
      </c>
      <c r="M221" s="106" t="str">
        <f>IFERROR(__xludf.DUMMYFUNCTION("""COMPUTED_VALUE"""),"")</f>
        <v/>
      </c>
      <c r="O221" s="136" t="str">
        <f>IFERROR(__xludf.DUMMYFUNCTION("""COMPUTED_VALUE"""),"")</f>
        <v/>
      </c>
      <c r="P221" s="106" t="str">
        <f>IFERROR(__xludf.DUMMYFUNCTION("""COMPUTED_VALUE"""),"")</f>
        <v/>
      </c>
      <c r="R221" s="136" t="str">
        <f>IFERROR(__xludf.DUMMYFUNCTION("""COMPUTED_VALUE"""),"")</f>
        <v/>
      </c>
      <c r="S221" s="106" t="str">
        <f>IFERROR(__xludf.DUMMYFUNCTION("""COMPUTED_VALUE"""),"")</f>
        <v/>
      </c>
    </row>
    <row r="222">
      <c r="A222" s="136" t="s">
        <v>134</v>
      </c>
      <c r="B222" s="146">
        <v>46083.0</v>
      </c>
      <c r="C222" s="136" t="s">
        <v>37</v>
      </c>
      <c r="D222" s="136" t="s">
        <v>149</v>
      </c>
      <c r="E222" s="106">
        <v>0.045833333337213844</v>
      </c>
      <c r="F222" s="136">
        <f>IFERROR(__xludf.DUMMYFUNCTION("""COMPUTED_VALUE"""),39.0)</f>
        <v>39</v>
      </c>
      <c r="G222" s="106">
        <f>IFERROR(__xludf.DUMMYFUNCTION("""COMPUTED_VALUE"""),0.0625)</f>
        <v>0.0625</v>
      </c>
      <c r="I222" s="136">
        <f>IFERROR(__xludf.DUMMYFUNCTION("""COMPUTED_VALUE"""),61.0)</f>
        <v>61</v>
      </c>
      <c r="J222" s="106">
        <f>IFERROR(__xludf.DUMMYFUNCTION("""COMPUTED_VALUE"""),0.045833333337213844)</f>
        <v>0.04583333334</v>
      </c>
      <c r="L222" s="136">
        <f>IFERROR(__xludf.DUMMYFUNCTION("""COMPUTED_VALUE"""),193.0)</f>
        <v>193</v>
      </c>
      <c r="M222" s="106">
        <f>IFERROR(__xludf.DUMMYFUNCTION("""COMPUTED_VALUE"""),0.20138888889050577)</f>
        <v>0.2013888889</v>
      </c>
      <c r="O222" s="136">
        <f>IFERROR(__xludf.DUMMYFUNCTION("""COMPUTED_VALUE"""),0.0)</f>
        <v>0</v>
      </c>
      <c r="P222" s="106">
        <f>IFERROR(__xludf.DUMMYFUNCTION("""COMPUTED_VALUE"""),0.0)</f>
        <v>0</v>
      </c>
      <c r="R222" s="136">
        <f>IFERROR(__xludf.DUMMYFUNCTION("""COMPUTED_VALUE"""),235.0)</f>
        <v>235</v>
      </c>
      <c r="S222" s="106">
        <f>IFERROR(__xludf.DUMMYFUNCTION("""COMPUTED_VALUE"""),0.16597222222480923)</f>
        <v>0.1659722222</v>
      </c>
    </row>
    <row r="223">
      <c r="A223" s="136" t="s">
        <v>15</v>
      </c>
      <c r="B223" s="146">
        <v>46083.0</v>
      </c>
      <c r="C223" s="136" t="s">
        <v>37</v>
      </c>
      <c r="D223" s="136" t="s">
        <v>148</v>
      </c>
      <c r="E223" s="106">
        <v>0.07638888889050577</v>
      </c>
      <c r="F223" s="136" t="str">
        <f>IFERROR(__xludf.DUMMYFUNCTION("""COMPUTED_VALUE"""),"")</f>
        <v/>
      </c>
      <c r="G223" s="106" t="str">
        <f>IFERROR(__xludf.DUMMYFUNCTION("""COMPUTED_VALUE"""),"")</f>
        <v/>
      </c>
      <c r="I223" s="136" t="str">
        <f>IFERROR(__xludf.DUMMYFUNCTION("""COMPUTED_VALUE"""),"")</f>
        <v/>
      </c>
      <c r="J223" s="106" t="str">
        <f>IFERROR(__xludf.DUMMYFUNCTION("""COMPUTED_VALUE"""),"")</f>
        <v/>
      </c>
      <c r="L223" s="136" t="str">
        <f>IFERROR(__xludf.DUMMYFUNCTION("""COMPUTED_VALUE"""),"")</f>
        <v/>
      </c>
      <c r="M223" s="106" t="str">
        <f>IFERROR(__xludf.DUMMYFUNCTION("""COMPUTED_VALUE"""),"")</f>
        <v/>
      </c>
      <c r="O223" s="136" t="str">
        <f>IFERROR(__xludf.DUMMYFUNCTION("""COMPUTED_VALUE"""),"")</f>
        <v/>
      </c>
      <c r="P223" s="106" t="str">
        <f>IFERROR(__xludf.DUMMYFUNCTION("""COMPUTED_VALUE"""),"")</f>
        <v/>
      </c>
      <c r="R223" s="136" t="str">
        <f>IFERROR(__xludf.DUMMYFUNCTION("""COMPUTED_VALUE"""),"")</f>
        <v/>
      </c>
      <c r="S223" s="106" t="str">
        <f>IFERROR(__xludf.DUMMYFUNCTION("""COMPUTED_VALUE"""),"")</f>
        <v/>
      </c>
    </row>
    <row r="224">
      <c r="A224" s="136" t="s">
        <v>134</v>
      </c>
      <c r="B224" s="146">
        <v>46084.0</v>
      </c>
      <c r="C224" s="136" t="s">
        <v>41</v>
      </c>
      <c r="D224" s="136" t="s">
        <v>149</v>
      </c>
      <c r="E224" s="106">
        <v>0.07291666666424135</v>
      </c>
      <c r="F224" s="136" t="str">
        <f>IFERROR(__xludf.DUMMYFUNCTION("""COMPUTED_VALUE"""),"")</f>
        <v/>
      </c>
      <c r="G224" s="106" t="str">
        <f>IFERROR(__xludf.DUMMYFUNCTION("""COMPUTED_VALUE"""),"")</f>
        <v/>
      </c>
      <c r="I224" s="136" t="str">
        <f>IFERROR(__xludf.DUMMYFUNCTION("""COMPUTED_VALUE"""),"")</f>
        <v/>
      </c>
      <c r="J224" s="106" t="str">
        <f>IFERROR(__xludf.DUMMYFUNCTION("""COMPUTED_VALUE"""),"")</f>
        <v/>
      </c>
      <c r="L224" s="136" t="str">
        <f>IFERROR(__xludf.DUMMYFUNCTION("""COMPUTED_VALUE"""),"")</f>
        <v/>
      </c>
      <c r="M224" s="106" t="str">
        <f>IFERROR(__xludf.DUMMYFUNCTION("""COMPUTED_VALUE"""),"")</f>
        <v/>
      </c>
      <c r="O224" s="136" t="str">
        <f>IFERROR(__xludf.DUMMYFUNCTION("""COMPUTED_VALUE"""),"")</f>
        <v/>
      </c>
      <c r="P224" s="106" t="str">
        <f>IFERROR(__xludf.DUMMYFUNCTION("""COMPUTED_VALUE"""),"")</f>
        <v/>
      </c>
      <c r="R224" s="136" t="str">
        <f>IFERROR(__xludf.DUMMYFUNCTION("""COMPUTED_VALUE"""),"")</f>
        <v/>
      </c>
      <c r="S224" s="106" t="str">
        <f>IFERROR(__xludf.DUMMYFUNCTION("""COMPUTED_VALUE"""),"")</f>
        <v/>
      </c>
    </row>
    <row r="225">
      <c r="A225" s="136" t="s">
        <v>15</v>
      </c>
      <c r="B225" s="146">
        <v>46084.0</v>
      </c>
      <c r="C225" s="136" t="s">
        <v>41</v>
      </c>
      <c r="D225" s="136" t="s">
        <v>148</v>
      </c>
      <c r="E225" s="106">
        <v>0.05972222222771961</v>
      </c>
      <c r="F225" s="136" t="str">
        <f>IFERROR(__xludf.DUMMYFUNCTION("""COMPUTED_VALUE"""),"")</f>
        <v/>
      </c>
      <c r="G225" s="106" t="str">
        <f>IFERROR(__xludf.DUMMYFUNCTION("""COMPUTED_VALUE"""),"")</f>
        <v/>
      </c>
      <c r="I225" s="136" t="str">
        <f>IFERROR(__xludf.DUMMYFUNCTION("""COMPUTED_VALUE"""),"")</f>
        <v/>
      </c>
      <c r="J225" s="106" t="str">
        <f>IFERROR(__xludf.DUMMYFUNCTION("""COMPUTED_VALUE"""),"")</f>
        <v/>
      </c>
      <c r="L225" s="136" t="str">
        <f>IFERROR(__xludf.DUMMYFUNCTION("""COMPUTED_VALUE"""),"")</f>
        <v/>
      </c>
      <c r="M225" s="106" t="str">
        <f>IFERROR(__xludf.DUMMYFUNCTION("""COMPUTED_VALUE"""),"")</f>
        <v/>
      </c>
      <c r="O225" s="136" t="str">
        <f>IFERROR(__xludf.DUMMYFUNCTION("""COMPUTED_VALUE"""),"")</f>
        <v/>
      </c>
      <c r="P225" s="106" t="str">
        <f>IFERROR(__xludf.DUMMYFUNCTION("""COMPUTED_VALUE"""),"")</f>
        <v/>
      </c>
      <c r="R225" s="136" t="str">
        <f>IFERROR(__xludf.DUMMYFUNCTION("""COMPUTED_VALUE"""),"")</f>
        <v/>
      </c>
      <c r="S225" s="106" t="str">
        <f>IFERROR(__xludf.DUMMYFUNCTION("""COMPUTED_VALUE"""),"")</f>
        <v/>
      </c>
    </row>
    <row r="226">
      <c r="A226" s="136" t="s">
        <v>15</v>
      </c>
      <c r="B226" s="146">
        <v>46084.0</v>
      </c>
      <c r="C226" s="136" t="s">
        <v>41</v>
      </c>
      <c r="D226" s="136" t="s">
        <v>148</v>
      </c>
      <c r="E226" s="106">
        <v>0.07291666666424135</v>
      </c>
      <c r="F226" s="136">
        <f>IFERROR(__xludf.DUMMYFUNCTION("""COMPUTED_VALUE"""),0.0)</f>
        <v>0</v>
      </c>
      <c r="G226" s="106">
        <f>IFERROR(__xludf.DUMMYFUNCTION("""COMPUTED_VALUE"""),0.0)</f>
        <v>0</v>
      </c>
      <c r="I226" s="136">
        <f>IFERROR(__xludf.DUMMYFUNCTION("""COMPUTED_VALUE"""),60.0)</f>
        <v>60</v>
      </c>
      <c r="J226" s="106">
        <f>IFERROR(__xludf.DUMMYFUNCTION("""COMPUTED_VALUE"""),0.07291666666424135)</f>
        <v>0.07291666666</v>
      </c>
      <c r="L226" s="136">
        <f>IFERROR(__xludf.DUMMYFUNCTION("""COMPUTED_VALUE"""),247.0)</f>
        <v>247</v>
      </c>
      <c r="M226" s="106">
        <f>IFERROR(__xludf.DUMMYFUNCTION("""COMPUTED_VALUE"""),0.13263888889196096)</f>
        <v>0.1326388889</v>
      </c>
      <c r="O226" s="136">
        <f>IFERROR(__xludf.DUMMYFUNCTION("""COMPUTED_VALUE"""),0.0)</f>
        <v>0</v>
      </c>
      <c r="P226" s="106">
        <f>IFERROR(__xludf.DUMMYFUNCTION("""COMPUTED_VALUE"""),0.0)</f>
        <v>0</v>
      </c>
      <c r="R226" s="136">
        <f>IFERROR(__xludf.DUMMYFUNCTION("""COMPUTED_VALUE"""),124.0)</f>
        <v>124</v>
      </c>
      <c r="S226" s="106">
        <f>IFERROR(__xludf.DUMMYFUNCTION("""COMPUTED_VALUE"""),0.11944444444088731)</f>
        <v>0.1194444444</v>
      </c>
    </row>
    <row r="227">
      <c r="A227" s="136" t="s">
        <v>18</v>
      </c>
      <c r="B227" s="146">
        <v>46084.0</v>
      </c>
      <c r="C227" s="136" t="s">
        <v>41</v>
      </c>
      <c r="D227" s="136" t="s">
        <v>148</v>
      </c>
      <c r="E227" s="106">
        <v>0.11944444444088731</v>
      </c>
      <c r="F227" s="136" t="str">
        <f>IFERROR(__xludf.DUMMYFUNCTION("""COMPUTED_VALUE"""),"")</f>
        <v/>
      </c>
      <c r="G227" s="106" t="str">
        <f>IFERROR(__xludf.DUMMYFUNCTION("""COMPUTED_VALUE"""),"")</f>
        <v/>
      </c>
      <c r="I227" s="136" t="str">
        <f>IFERROR(__xludf.DUMMYFUNCTION("""COMPUTED_VALUE"""),"")</f>
        <v/>
      </c>
      <c r="J227" s="106" t="str">
        <f>IFERROR(__xludf.DUMMYFUNCTION("""COMPUTED_VALUE"""),"")</f>
        <v/>
      </c>
      <c r="L227" s="136" t="str">
        <f>IFERROR(__xludf.DUMMYFUNCTION("""COMPUTED_VALUE"""),"")</f>
        <v/>
      </c>
      <c r="M227" s="106" t="str">
        <f>IFERROR(__xludf.DUMMYFUNCTION("""COMPUTED_VALUE"""),"")</f>
        <v/>
      </c>
      <c r="O227" s="136" t="str">
        <f>IFERROR(__xludf.DUMMYFUNCTION("""COMPUTED_VALUE"""),"")</f>
        <v/>
      </c>
      <c r="P227" s="106" t="str">
        <f>IFERROR(__xludf.DUMMYFUNCTION("""COMPUTED_VALUE"""),"")</f>
        <v/>
      </c>
      <c r="R227" s="136" t="str">
        <f>IFERROR(__xludf.DUMMYFUNCTION("""COMPUTED_VALUE"""),"")</f>
        <v/>
      </c>
      <c r="S227" s="106" t="str">
        <f>IFERROR(__xludf.DUMMYFUNCTION("""COMPUTED_VALUE"""),"")</f>
        <v/>
      </c>
    </row>
    <row r="228">
      <c r="A228" s="136" t="s">
        <v>12</v>
      </c>
      <c r="B228" s="146">
        <v>46085.0</v>
      </c>
      <c r="C228" s="136" t="s">
        <v>45</v>
      </c>
      <c r="D228" s="136" t="s">
        <v>149</v>
      </c>
      <c r="E228" s="106">
        <v>0.09791666666569654</v>
      </c>
      <c r="F228" s="136" t="str">
        <f>IFERROR(__xludf.DUMMYFUNCTION("""COMPUTED_VALUE"""),"")</f>
        <v/>
      </c>
      <c r="G228" s="106" t="str">
        <f>IFERROR(__xludf.DUMMYFUNCTION("""COMPUTED_VALUE"""),"")</f>
        <v/>
      </c>
      <c r="I228" s="136" t="str">
        <f>IFERROR(__xludf.DUMMYFUNCTION("""COMPUTED_VALUE"""),"")</f>
        <v/>
      </c>
      <c r="J228" s="106" t="str">
        <f>IFERROR(__xludf.DUMMYFUNCTION("""COMPUTED_VALUE"""),"")</f>
        <v/>
      </c>
      <c r="L228" s="136" t="str">
        <f>IFERROR(__xludf.DUMMYFUNCTION("""COMPUTED_VALUE"""),"")</f>
        <v/>
      </c>
      <c r="M228" s="106" t="str">
        <f>IFERROR(__xludf.DUMMYFUNCTION("""COMPUTED_VALUE"""),"")</f>
        <v/>
      </c>
      <c r="O228" s="136" t="str">
        <f>IFERROR(__xludf.DUMMYFUNCTION("""COMPUTED_VALUE"""),"")</f>
        <v/>
      </c>
      <c r="P228" s="106" t="str">
        <f>IFERROR(__xludf.DUMMYFUNCTION("""COMPUTED_VALUE"""),"")</f>
        <v/>
      </c>
      <c r="R228" s="136" t="str">
        <f>IFERROR(__xludf.DUMMYFUNCTION("""COMPUTED_VALUE"""),"")</f>
        <v/>
      </c>
      <c r="S228" s="106" t="str">
        <f>IFERROR(__xludf.DUMMYFUNCTION("""COMPUTED_VALUE"""),"")</f>
        <v/>
      </c>
    </row>
    <row r="229">
      <c r="A229" s="136" t="s">
        <v>134</v>
      </c>
      <c r="B229" s="146">
        <v>46085.0</v>
      </c>
      <c r="C229" s="136" t="s">
        <v>45</v>
      </c>
      <c r="D229" s="136" t="s">
        <v>149</v>
      </c>
      <c r="E229" s="106">
        <v>0.052083333328482695</v>
      </c>
      <c r="F229" s="136" t="str">
        <f>IFERROR(__xludf.DUMMYFUNCTION("""COMPUTED_VALUE"""),"")</f>
        <v/>
      </c>
      <c r="G229" s="106" t="str">
        <f>IFERROR(__xludf.DUMMYFUNCTION("""COMPUTED_VALUE"""),"")</f>
        <v/>
      </c>
      <c r="I229" s="136" t="str">
        <f>IFERROR(__xludf.DUMMYFUNCTION("""COMPUTED_VALUE"""),"")</f>
        <v/>
      </c>
      <c r="J229" s="106" t="str">
        <f>IFERROR(__xludf.DUMMYFUNCTION("""COMPUTED_VALUE"""),"")</f>
        <v/>
      </c>
      <c r="L229" s="136" t="str">
        <f>IFERROR(__xludf.DUMMYFUNCTION("""COMPUTED_VALUE"""),"")</f>
        <v/>
      </c>
      <c r="M229" s="106" t="str">
        <f>IFERROR(__xludf.DUMMYFUNCTION("""COMPUTED_VALUE"""),"")</f>
        <v/>
      </c>
      <c r="O229" s="136" t="str">
        <f>IFERROR(__xludf.DUMMYFUNCTION("""COMPUTED_VALUE"""),"")</f>
        <v/>
      </c>
      <c r="P229" s="106" t="str">
        <f>IFERROR(__xludf.DUMMYFUNCTION("""COMPUTED_VALUE"""),"")</f>
        <v/>
      </c>
      <c r="R229" s="136" t="str">
        <f>IFERROR(__xludf.DUMMYFUNCTION("""COMPUTED_VALUE"""),"")</f>
        <v/>
      </c>
      <c r="S229" s="106" t="str">
        <f>IFERROR(__xludf.DUMMYFUNCTION("""COMPUTED_VALUE"""),"")</f>
        <v/>
      </c>
    </row>
    <row r="230">
      <c r="A230" s="136" t="s">
        <v>15</v>
      </c>
      <c r="B230" s="146">
        <v>46085.0</v>
      </c>
      <c r="C230" s="136" t="s">
        <v>45</v>
      </c>
      <c r="D230" s="136" t="s">
        <v>148</v>
      </c>
      <c r="E230" s="106">
        <v>0.024305555554747116</v>
      </c>
      <c r="F230" s="136" t="str">
        <f>IFERROR(__xludf.DUMMYFUNCTION("""COMPUTED_VALUE"""),"")</f>
        <v/>
      </c>
      <c r="G230" s="106" t="str">
        <f>IFERROR(__xludf.DUMMYFUNCTION("""COMPUTED_VALUE"""),"")</f>
        <v/>
      </c>
      <c r="I230" s="136" t="str">
        <f>IFERROR(__xludf.DUMMYFUNCTION("""COMPUTED_VALUE"""),"")</f>
        <v/>
      </c>
      <c r="J230" s="106" t="str">
        <f>IFERROR(__xludf.DUMMYFUNCTION("""COMPUTED_VALUE"""),"")</f>
        <v/>
      </c>
      <c r="L230" s="136" t="str">
        <f>IFERROR(__xludf.DUMMYFUNCTION("""COMPUTED_VALUE"""),"")</f>
        <v/>
      </c>
      <c r="M230" s="106" t="str">
        <f>IFERROR(__xludf.DUMMYFUNCTION("""COMPUTED_VALUE"""),"")</f>
        <v/>
      </c>
      <c r="O230" s="136" t="str">
        <f>IFERROR(__xludf.DUMMYFUNCTION("""COMPUTED_VALUE"""),"")</f>
        <v/>
      </c>
      <c r="P230" s="106" t="str">
        <f>IFERROR(__xludf.DUMMYFUNCTION("""COMPUTED_VALUE"""),"")</f>
        <v/>
      </c>
      <c r="R230" s="136" t="str">
        <f>IFERROR(__xludf.DUMMYFUNCTION("""COMPUTED_VALUE"""),"")</f>
        <v/>
      </c>
      <c r="S230" s="106" t="str">
        <f>IFERROR(__xludf.DUMMYFUNCTION("""COMPUTED_VALUE"""),"")</f>
        <v/>
      </c>
    </row>
    <row r="231">
      <c r="A231" s="136" t="s">
        <v>15</v>
      </c>
      <c r="B231" s="146">
        <v>46085.0</v>
      </c>
      <c r="C231" s="136" t="s">
        <v>45</v>
      </c>
      <c r="D231" s="136" t="s">
        <v>148</v>
      </c>
      <c r="E231" s="106">
        <v>0.07847222222335404</v>
      </c>
      <c r="F231" s="136" t="str">
        <f>IFERROR(__xludf.DUMMYFUNCTION("""COMPUTED_VALUE"""),"")</f>
        <v/>
      </c>
      <c r="G231" s="106" t="str">
        <f>IFERROR(__xludf.DUMMYFUNCTION("""COMPUTED_VALUE"""),"")</f>
        <v/>
      </c>
      <c r="I231" s="136" t="str">
        <f>IFERROR(__xludf.DUMMYFUNCTION("""COMPUTED_VALUE"""),"")</f>
        <v/>
      </c>
      <c r="J231" s="106" t="str">
        <f>IFERROR(__xludf.DUMMYFUNCTION("""COMPUTED_VALUE"""),"")</f>
        <v/>
      </c>
      <c r="L231" s="136" t="str">
        <f>IFERROR(__xludf.DUMMYFUNCTION("""COMPUTED_VALUE"""),"")</f>
        <v/>
      </c>
      <c r="M231" s="106" t="str">
        <f>IFERROR(__xludf.DUMMYFUNCTION("""COMPUTED_VALUE"""),"")</f>
        <v/>
      </c>
      <c r="O231" s="136" t="str">
        <f>IFERROR(__xludf.DUMMYFUNCTION("""COMPUTED_VALUE"""),"")</f>
        <v/>
      </c>
      <c r="P231" s="106" t="str">
        <f>IFERROR(__xludf.DUMMYFUNCTION("""COMPUTED_VALUE"""),"")</f>
        <v/>
      </c>
      <c r="R231" s="136" t="str">
        <f>IFERROR(__xludf.DUMMYFUNCTION("""COMPUTED_VALUE"""),"")</f>
        <v/>
      </c>
      <c r="S231" s="106" t="str">
        <f>IFERROR(__xludf.DUMMYFUNCTION("""COMPUTED_VALUE"""),"")</f>
        <v/>
      </c>
    </row>
    <row r="232">
      <c r="A232" s="136" t="s">
        <v>18</v>
      </c>
      <c r="B232" s="146">
        <v>46085.0</v>
      </c>
      <c r="C232" s="136" t="s">
        <v>45</v>
      </c>
      <c r="D232" s="136" t="s">
        <v>148</v>
      </c>
      <c r="E232" s="106">
        <v>0.0666666666729725</v>
      </c>
      <c r="F232" s="136" t="str">
        <f>IFERROR(__xludf.DUMMYFUNCTION("""COMPUTED_VALUE"""),"")</f>
        <v/>
      </c>
      <c r="G232" s="106" t="str">
        <f>IFERROR(__xludf.DUMMYFUNCTION("""COMPUTED_VALUE"""),"")</f>
        <v/>
      </c>
      <c r="I232" s="136" t="str">
        <f>IFERROR(__xludf.DUMMYFUNCTION("""COMPUTED_VALUE"""),"")</f>
        <v/>
      </c>
      <c r="J232" s="106" t="str">
        <f>IFERROR(__xludf.DUMMYFUNCTION("""COMPUTED_VALUE"""),"")</f>
        <v/>
      </c>
      <c r="L232" s="136" t="str">
        <f>IFERROR(__xludf.DUMMYFUNCTION("""COMPUTED_VALUE"""),"")</f>
        <v/>
      </c>
      <c r="M232" s="106" t="str">
        <f>IFERROR(__xludf.DUMMYFUNCTION("""COMPUTED_VALUE"""),"")</f>
        <v/>
      </c>
      <c r="O232" s="136" t="str">
        <f>IFERROR(__xludf.DUMMYFUNCTION("""COMPUTED_VALUE"""),"")</f>
        <v/>
      </c>
      <c r="P232" s="106" t="str">
        <f>IFERROR(__xludf.DUMMYFUNCTION("""COMPUTED_VALUE"""),"")</f>
        <v/>
      </c>
      <c r="R232" s="136" t="str">
        <f>IFERROR(__xludf.DUMMYFUNCTION("""COMPUTED_VALUE"""),"")</f>
        <v/>
      </c>
      <c r="S232" s="106" t="str">
        <f>IFERROR(__xludf.DUMMYFUNCTION("""COMPUTED_VALUE"""),"")</f>
        <v/>
      </c>
    </row>
    <row r="233">
      <c r="A233" s="136" t="s">
        <v>18</v>
      </c>
      <c r="B233" s="146">
        <v>46085.0</v>
      </c>
      <c r="C233" s="136" t="s">
        <v>45</v>
      </c>
      <c r="D233" s="136" t="s">
        <v>149</v>
      </c>
      <c r="E233" s="106">
        <v>0.16666666666424135</v>
      </c>
      <c r="F233" s="136">
        <f>IFERROR(__xludf.DUMMYFUNCTION("""COMPUTED_VALUE"""),71.0)</f>
        <v>71</v>
      </c>
      <c r="G233" s="106">
        <f>IFERROR(__xludf.DUMMYFUNCTION("""COMPUTED_VALUE"""),0.09791666666569654)</f>
        <v>0.09791666667</v>
      </c>
      <c r="I233" s="136">
        <f>IFERROR(__xludf.DUMMYFUNCTION("""COMPUTED_VALUE"""),46.0)</f>
        <v>46</v>
      </c>
      <c r="J233" s="106">
        <f>IFERROR(__xludf.DUMMYFUNCTION("""COMPUTED_VALUE"""),0.052083333328482695)</f>
        <v>0.05208333333</v>
      </c>
      <c r="L233" s="136">
        <f>IFERROR(__xludf.DUMMYFUNCTION("""COMPUTED_VALUE"""),163.0)</f>
        <v>163</v>
      </c>
      <c r="M233" s="106">
        <f>IFERROR(__xludf.DUMMYFUNCTION("""COMPUTED_VALUE"""),0.10277777777810115)</f>
        <v>0.1027777778</v>
      </c>
      <c r="O233" s="136">
        <f>IFERROR(__xludf.DUMMYFUNCTION("""COMPUTED_VALUE"""),0.0)</f>
        <v>0</v>
      </c>
      <c r="P233" s="106">
        <f>IFERROR(__xludf.DUMMYFUNCTION("""COMPUTED_VALUE"""),0.0)</f>
        <v>0</v>
      </c>
      <c r="R233" s="136">
        <f>IFERROR(__xludf.DUMMYFUNCTION("""COMPUTED_VALUE"""),418.0)</f>
        <v>418</v>
      </c>
      <c r="S233" s="106">
        <f>IFERROR(__xludf.DUMMYFUNCTION("""COMPUTED_VALUE"""),0.35833333333721384)</f>
        <v>0.3583333333</v>
      </c>
    </row>
    <row r="234">
      <c r="A234" s="136" t="s">
        <v>18</v>
      </c>
      <c r="B234" s="146">
        <v>46085.0</v>
      </c>
      <c r="C234" s="136" t="s">
        <v>45</v>
      </c>
      <c r="D234" s="136" t="s">
        <v>148</v>
      </c>
      <c r="E234" s="106">
        <v>0.125</v>
      </c>
      <c r="F234" s="136" t="str">
        <f>IFERROR(__xludf.DUMMYFUNCTION("""COMPUTED_VALUE"""),"")</f>
        <v/>
      </c>
      <c r="G234" s="106" t="str">
        <f>IFERROR(__xludf.DUMMYFUNCTION("""COMPUTED_VALUE"""),"")</f>
        <v/>
      </c>
      <c r="I234" s="136" t="str">
        <f>IFERROR(__xludf.DUMMYFUNCTION("""COMPUTED_VALUE"""),"")</f>
        <v/>
      </c>
      <c r="J234" s="106" t="str">
        <f>IFERROR(__xludf.DUMMYFUNCTION("""COMPUTED_VALUE"""),"")</f>
        <v/>
      </c>
      <c r="L234" s="136" t="str">
        <f>IFERROR(__xludf.DUMMYFUNCTION("""COMPUTED_VALUE"""),"")</f>
        <v/>
      </c>
      <c r="M234" s="106" t="str">
        <f>IFERROR(__xludf.DUMMYFUNCTION("""COMPUTED_VALUE"""),"")</f>
        <v/>
      </c>
      <c r="O234" s="136" t="str">
        <f>IFERROR(__xludf.DUMMYFUNCTION("""COMPUTED_VALUE"""),"")</f>
        <v/>
      </c>
      <c r="P234" s="106" t="str">
        <f>IFERROR(__xludf.DUMMYFUNCTION("""COMPUTED_VALUE"""),"")</f>
        <v/>
      </c>
      <c r="R234" s="136" t="str">
        <f>IFERROR(__xludf.DUMMYFUNCTION("""COMPUTED_VALUE"""),"")</f>
        <v/>
      </c>
      <c r="S234" s="106" t="str">
        <f>IFERROR(__xludf.DUMMYFUNCTION("""COMPUTED_VALUE"""),"")</f>
        <v/>
      </c>
    </row>
    <row r="235">
      <c r="A235" s="136" t="s">
        <v>12</v>
      </c>
      <c r="B235" s="146">
        <v>46086.0</v>
      </c>
      <c r="C235" s="136" t="s">
        <v>49</v>
      </c>
      <c r="D235" s="136" t="s">
        <v>148</v>
      </c>
      <c r="E235" s="106">
        <v>0.07013888889196096</v>
      </c>
      <c r="F235" s="136" t="str">
        <f>IFERROR(__xludf.DUMMYFUNCTION("""COMPUTED_VALUE"""),"")</f>
        <v/>
      </c>
      <c r="G235" s="106" t="str">
        <f>IFERROR(__xludf.DUMMYFUNCTION("""COMPUTED_VALUE"""),"")</f>
        <v/>
      </c>
      <c r="I235" s="136" t="str">
        <f>IFERROR(__xludf.DUMMYFUNCTION("""COMPUTED_VALUE"""),"")</f>
        <v/>
      </c>
      <c r="J235" s="106" t="str">
        <f>IFERROR(__xludf.DUMMYFUNCTION("""COMPUTED_VALUE"""),"")</f>
        <v/>
      </c>
      <c r="L235" s="136" t="str">
        <f>IFERROR(__xludf.DUMMYFUNCTION("""COMPUTED_VALUE"""),"")</f>
        <v/>
      </c>
      <c r="M235" s="106" t="str">
        <f>IFERROR(__xludf.DUMMYFUNCTION("""COMPUTED_VALUE"""),"")</f>
        <v/>
      </c>
      <c r="O235" s="136" t="str">
        <f>IFERROR(__xludf.DUMMYFUNCTION("""COMPUTED_VALUE"""),"")</f>
        <v/>
      </c>
      <c r="P235" s="106" t="str">
        <f>IFERROR(__xludf.DUMMYFUNCTION("""COMPUTED_VALUE"""),"")</f>
        <v/>
      </c>
      <c r="R235" s="136" t="str">
        <f>IFERROR(__xludf.DUMMYFUNCTION("""COMPUTED_VALUE"""),"")</f>
        <v/>
      </c>
      <c r="S235" s="106" t="str">
        <f>IFERROR(__xludf.DUMMYFUNCTION("""COMPUTED_VALUE"""),"")</f>
        <v/>
      </c>
    </row>
    <row r="236">
      <c r="A236" s="136" t="s">
        <v>134</v>
      </c>
      <c r="B236" s="146">
        <v>46086.0</v>
      </c>
      <c r="C236" s="136" t="s">
        <v>49</v>
      </c>
      <c r="D236" s="136" t="s">
        <v>149</v>
      </c>
      <c r="E236" s="106">
        <v>0.10763888888322981</v>
      </c>
      <c r="F236" s="136" t="str">
        <f>IFERROR(__xludf.DUMMYFUNCTION("""COMPUTED_VALUE"""),"")</f>
        <v/>
      </c>
      <c r="G236" s="106" t="str">
        <f>IFERROR(__xludf.DUMMYFUNCTION("""COMPUTED_VALUE"""),"")</f>
        <v/>
      </c>
      <c r="I236" s="136" t="str">
        <f>IFERROR(__xludf.DUMMYFUNCTION("""COMPUTED_VALUE"""),"")</f>
        <v/>
      </c>
      <c r="J236" s="106" t="str">
        <f>IFERROR(__xludf.DUMMYFUNCTION("""COMPUTED_VALUE"""),"")</f>
        <v/>
      </c>
      <c r="L236" s="136" t="str">
        <f>IFERROR(__xludf.DUMMYFUNCTION("""COMPUTED_VALUE"""),"")</f>
        <v/>
      </c>
      <c r="M236" s="106" t="str">
        <f>IFERROR(__xludf.DUMMYFUNCTION("""COMPUTED_VALUE"""),"")</f>
        <v/>
      </c>
      <c r="O236" s="136" t="str">
        <f>IFERROR(__xludf.DUMMYFUNCTION("""COMPUTED_VALUE"""),"")</f>
        <v/>
      </c>
      <c r="P236" s="106" t="str">
        <f>IFERROR(__xludf.DUMMYFUNCTION("""COMPUTED_VALUE"""),"")</f>
        <v/>
      </c>
      <c r="R236" s="136" t="str">
        <f>IFERROR(__xludf.DUMMYFUNCTION("""COMPUTED_VALUE"""),"")</f>
        <v/>
      </c>
      <c r="S236" s="106" t="str">
        <f>IFERROR(__xludf.DUMMYFUNCTION("""COMPUTED_VALUE"""),"")</f>
        <v/>
      </c>
    </row>
    <row r="237">
      <c r="A237" s="136" t="s">
        <v>15</v>
      </c>
      <c r="B237" s="146">
        <v>46086.0</v>
      </c>
      <c r="C237" s="136" t="s">
        <v>49</v>
      </c>
      <c r="D237" s="136" t="s">
        <v>148</v>
      </c>
      <c r="E237" s="106">
        <v>0.05208333333575865</v>
      </c>
      <c r="F237" s="136" t="str">
        <f>IFERROR(__xludf.DUMMYFUNCTION("""COMPUTED_VALUE"""),"")</f>
        <v/>
      </c>
      <c r="G237" s="106" t="str">
        <f>IFERROR(__xludf.DUMMYFUNCTION("""COMPUTED_VALUE"""),"")</f>
        <v/>
      </c>
      <c r="I237" s="136" t="str">
        <f>IFERROR(__xludf.DUMMYFUNCTION("""COMPUTED_VALUE"""),"")</f>
        <v/>
      </c>
      <c r="J237" s="106" t="str">
        <f>IFERROR(__xludf.DUMMYFUNCTION("""COMPUTED_VALUE"""),"")</f>
        <v/>
      </c>
      <c r="L237" s="136" t="str">
        <f>IFERROR(__xludf.DUMMYFUNCTION("""COMPUTED_VALUE"""),"")</f>
        <v/>
      </c>
      <c r="M237" s="106" t="str">
        <f>IFERROR(__xludf.DUMMYFUNCTION("""COMPUTED_VALUE"""),"")</f>
        <v/>
      </c>
      <c r="O237" s="136" t="str">
        <f>IFERROR(__xludf.DUMMYFUNCTION("""COMPUTED_VALUE"""),"")</f>
        <v/>
      </c>
      <c r="P237" s="106" t="str">
        <f>IFERROR(__xludf.DUMMYFUNCTION("""COMPUTED_VALUE"""),"")</f>
        <v/>
      </c>
      <c r="R237" s="136" t="str">
        <f>IFERROR(__xludf.DUMMYFUNCTION("""COMPUTED_VALUE"""),"")</f>
        <v/>
      </c>
      <c r="S237" s="106" t="str">
        <f>IFERROR(__xludf.DUMMYFUNCTION("""COMPUTED_VALUE"""),"")</f>
        <v/>
      </c>
    </row>
    <row r="238">
      <c r="A238" s="136" t="s">
        <v>15</v>
      </c>
      <c r="B238" s="146">
        <v>46086.0</v>
      </c>
      <c r="C238" s="136" t="s">
        <v>49</v>
      </c>
      <c r="D238" s="136" t="s">
        <v>149</v>
      </c>
      <c r="E238" s="106">
        <v>0.1430555555562023</v>
      </c>
      <c r="F238" s="136" t="str">
        <f>IFERROR(__xludf.DUMMYFUNCTION("""COMPUTED_VALUE"""),"")</f>
        <v/>
      </c>
      <c r="G238" s="106" t="str">
        <f>IFERROR(__xludf.DUMMYFUNCTION("""COMPUTED_VALUE"""),"")</f>
        <v/>
      </c>
      <c r="I238" s="136" t="str">
        <f>IFERROR(__xludf.DUMMYFUNCTION("""COMPUTED_VALUE"""),"")</f>
        <v/>
      </c>
      <c r="J238" s="106" t="str">
        <f>IFERROR(__xludf.DUMMYFUNCTION("""COMPUTED_VALUE"""),"")</f>
        <v/>
      </c>
      <c r="L238" s="136" t="str">
        <f>IFERROR(__xludf.DUMMYFUNCTION("""COMPUTED_VALUE"""),"")</f>
        <v/>
      </c>
      <c r="M238" s="106" t="str">
        <f>IFERROR(__xludf.DUMMYFUNCTION("""COMPUTED_VALUE"""),"")</f>
        <v/>
      </c>
      <c r="O238" s="136" t="str">
        <f>IFERROR(__xludf.DUMMYFUNCTION("""COMPUTED_VALUE"""),"")</f>
        <v/>
      </c>
      <c r="P238" s="106" t="str">
        <f>IFERROR(__xludf.DUMMYFUNCTION("""COMPUTED_VALUE"""),"")</f>
        <v/>
      </c>
      <c r="R238" s="136" t="str">
        <f>IFERROR(__xludf.DUMMYFUNCTION("""COMPUTED_VALUE"""),"")</f>
        <v/>
      </c>
      <c r="S238" s="106" t="str">
        <f>IFERROR(__xludf.DUMMYFUNCTION("""COMPUTED_VALUE"""),"")</f>
        <v/>
      </c>
    </row>
    <row r="239">
      <c r="A239" s="136" t="s">
        <v>18</v>
      </c>
      <c r="B239" s="146">
        <v>46086.0</v>
      </c>
      <c r="C239" s="136" t="s">
        <v>49</v>
      </c>
      <c r="D239" s="136" t="s">
        <v>148</v>
      </c>
      <c r="E239" s="106">
        <v>0.07291666666424135</v>
      </c>
      <c r="F239" s="136" t="str">
        <f>IFERROR(__xludf.DUMMYFUNCTION("""COMPUTED_VALUE"""),"")</f>
        <v/>
      </c>
      <c r="G239" s="106" t="str">
        <f>IFERROR(__xludf.DUMMYFUNCTION("""COMPUTED_VALUE"""),"")</f>
        <v/>
      </c>
      <c r="I239" s="136" t="str">
        <f>IFERROR(__xludf.DUMMYFUNCTION("""COMPUTED_VALUE"""),"")</f>
        <v/>
      </c>
      <c r="J239" s="106" t="str">
        <f>IFERROR(__xludf.DUMMYFUNCTION("""COMPUTED_VALUE"""),"")</f>
        <v/>
      </c>
      <c r="L239" s="136" t="str">
        <f>IFERROR(__xludf.DUMMYFUNCTION("""COMPUTED_VALUE"""),"")</f>
        <v/>
      </c>
      <c r="M239" s="106" t="str">
        <f>IFERROR(__xludf.DUMMYFUNCTION("""COMPUTED_VALUE"""),"")</f>
        <v/>
      </c>
      <c r="O239" s="136" t="str">
        <f>IFERROR(__xludf.DUMMYFUNCTION("""COMPUTED_VALUE"""),"")</f>
        <v/>
      </c>
      <c r="P239" s="106" t="str">
        <f>IFERROR(__xludf.DUMMYFUNCTION("""COMPUTED_VALUE"""),"")</f>
        <v/>
      </c>
      <c r="R239" s="136" t="str">
        <f>IFERROR(__xludf.DUMMYFUNCTION("""COMPUTED_VALUE"""),"")</f>
        <v/>
      </c>
      <c r="S239" s="106" t="str">
        <f>IFERROR(__xludf.DUMMYFUNCTION("""COMPUTED_VALUE"""),"")</f>
        <v/>
      </c>
    </row>
    <row r="240">
      <c r="A240" s="136" t="s">
        <v>18</v>
      </c>
      <c r="B240" s="146">
        <v>46086.0</v>
      </c>
      <c r="C240" s="136" t="s">
        <v>49</v>
      </c>
      <c r="D240" s="136" t="s">
        <v>149</v>
      </c>
      <c r="E240" s="106">
        <v>0.07638888889050577</v>
      </c>
      <c r="F240" s="136">
        <f>IFERROR(__xludf.DUMMYFUNCTION("""COMPUTED_VALUE"""),18.0)</f>
        <v>18</v>
      </c>
      <c r="G240" s="106">
        <f>IFERROR(__xludf.DUMMYFUNCTION("""COMPUTED_VALUE"""),0.07013888889196096)</f>
        <v>0.07013888889</v>
      </c>
      <c r="I240" s="136">
        <f>IFERROR(__xludf.DUMMYFUNCTION("""COMPUTED_VALUE"""),92.0)</f>
        <v>92</v>
      </c>
      <c r="J240" s="106">
        <f>IFERROR(__xludf.DUMMYFUNCTION("""COMPUTED_VALUE"""),0.10763888888322981)</f>
        <v>0.1076388889</v>
      </c>
      <c r="L240" s="136">
        <f>IFERROR(__xludf.DUMMYFUNCTION("""COMPUTED_VALUE"""),218.0)</f>
        <v>218</v>
      </c>
      <c r="M240" s="106">
        <f>IFERROR(__xludf.DUMMYFUNCTION("""COMPUTED_VALUE"""),0.19513888889196096)</f>
        <v>0.1951388889</v>
      </c>
      <c r="O240" s="136">
        <f>IFERROR(__xludf.DUMMYFUNCTION("""COMPUTED_VALUE"""),0.0)</f>
        <v>0</v>
      </c>
      <c r="P240" s="106">
        <f>IFERROR(__xludf.DUMMYFUNCTION("""COMPUTED_VALUE"""),0.0)</f>
        <v>0</v>
      </c>
      <c r="R240" s="136">
        <f>IFERROR(__xludf.DUMMYFUNCTION("""COMPUTED_VALUE"""),265.0)</f>
        <v>265</v>
      </c>
      <c r="S240" s="106">
        <f>IFERROR(__xludf.DUMMYFUNCTION("""COMPUTED_VALUE"""),0.23263888889050577)</f>
        <v>0.2326388889</v>
      </c>
    </row>
    <row r="241">
      <c r="A241" s="136" t="s">
        <v>18</v>
      </c>
      <c r="B241" s="146">
        <v>46086.0</v>
      </c>
      <c r="C241" s="136" t="s">
        <v>49</v>
      </c>
      <c r="D241" s="136" t="s">
        <v>148</v>
      </c>
      <c r="E241" s="106">
        <v>0.08333333333575865</v>
      </c>
      <c r="F241" s="136" t="str">
        <f>IFERROR(__xludf.DUMMYFUNCTION("""COMPUTED_VALUE"""),"")</f>
        <v/>
      </c>
      <c r="G241" s="106" t="str">
        <f>IFERROR(__xludf.DUMMYFUNCTION("""COMPUTED_VALUE"""),"")</f>
        <v/>
      </c>
      <c r="I241" s="136" t="str">
        <f>IFERROR(__xludf.DUMMYFUNCTION("""COMPUTED_VALUE"""),"")</f>
        <v/>
      </c>
      <c r="J241" s="106" t="str">
        <f>IFERROR(__xludf.DUMMYFUNCTION("""COMPUTED_VALUE"""),"")</f>
        <v/>
      </c>
      <c r="L241" s="136" t="str">
        <f>IFERROR(__xludf.DUMMYFUNCTION("""COMPUTED_VALUE"""),"")</f>
        <v/>
      </c>
      <c r="M241" s="106" t="str">
        <f>IFERROR(__xludf.DUMMYFUNCTION("""COMPUTED_VALUE"""),"")</f>
        <v/>
      </c>
      <c r="O241" s="136" t="str">
        <f>IFERROR(__xludf.DUMMYFUNCTION("""COMPUTED_VALUE"""),"")</f>
        <v/>
      </c>
      <c r="P241" s="106" t="str">
        <f>IFERROR(__xludf.DUMMYFUNCTION("""COMPUTED_VALUE"""),"")</f>
        <v/>
      </c>
      <c r="R241" s="136" t="str">
        <f>IFERROR(__xludf.DUMMYFUNCTION("""COMPUTED_VALUE"""),"")</f>
        <v/>
      </c>
      <c r="S241" s="106" t="str">
        <f>IFERROR(__xludf.DUMMYFUNCTION("""COMPUTED_VALUE"""),"")</f>
        <v/>
      </c>
    </row>
    <row r="242">
      <c r="A242" s="136" t="s">
        <v>12</v>
      </c>
      <c r="B242" s="146">
        <v>46087.0</v>
      </c>
      <c r="C242" s="136" t="s">
        <v>53</v>
      </c>
      <c r="D242" s="136" t="s">
        <v>149</v>
      </c>
      <c r="E242" s="106">
        <v>0.06388888889341615</v>
      </c>
      <c r="F242" s="136" t="str">
        <f>IFERROR(__xludf.DUMMYFUNCTION("""COMPUTED_VALUE"""),"")</f>
        <v/>
      </c>
      <c r="G242" s="106" t="str">
        <f>IFERROR(__xludf.DUMMYFUNCTION("""COMPUTED_VALUE"""),"")</f>
        <v/>
      </c>
      <c r="I242" s="136" t="str">
        <f>IFERROR(__xludf.DUMMYFUNCTION("""COMPUTED_VALUE"""),"")</f>
        <v/>
      </c>
      <c r="J242" s="106" t="str">
        <f>IFERROR(__xludf.DUMMYFUNCTION("""COMPUTED_VALUE"""),"")</f>
        <v/>
      </c>
      <c r="L242" s="136" t="str">
        <f>IFERROR(__xludf.DUMMYFUNCTION("""COMPUTED_VALUE"""),"")</f>
        <v/>
      </c>
      <c r="M242" s="106" t="str">
        <f>IFERROR(__xludf.DUMMYFUNCTION("""COMPUTED_VALUE"""),"")</f>
        <v/>
      </c>
      <c r="O242" s="136" t="str">
        <f>IFERROR(__xludf.DUMMYFUNCTION("""COMPUTED_VALUE"""),"")</f>
        <v/>
      </c>
      <c r="P242" s="106" t="str">
        <f>IFERROR(__xludf.DUMMYFUNCTION("""COMPUTED_VALUE"""),"")</f>
        <v/>
      </c>
      <c r="R242" s="136" t="str">
        <f>IFERROR(__xludf.DUMMYFUNCTION("""COMPUTED_VALUE"""),"")</f>
        <v/>
      </c>
      <c r="S242" s="106" t="str">
        <f>IFERROR(__xludf.DUMMYFUNCTION("""COMPUTED_VALUE"""),"")</f>
        <v/>
      </c>
    </row>
    <row r="243">
      <c r="A243" s="136" t="s">
        <v>15</v>
      </c>
      <c r="B243" s="146">
        <v>46087.0</v>
      </c>
      <c r="C243" s="136" t="s">
        <v>53</v>
      </c>
      <c r="D243" s="136" t="s">
        <v>149</v>
      </c>
      <c r="E243" s="106">
        <v>0.12500000000242534</v>
      </c>
      <c r="F243" s="136">
        <f>IFERROR(__xludf.DUMMYFUNCTION("""COMPUTED_VALUE"""),52.0)</f>
        <v>52</v>
      </c>
      <c r="G243" s="106">
        <f>IFERROR(__xludf.DUMMYFUNCTION("""COMPUTED_VALUE"""),0.06388888889341615)</f>
        <v>0.06388888889</v>
      </c>
      <c r="I243" s="136">
        <f>IFERROR(__xludf.DUMMYFUNCTION("""COMPUTED_VALUE"""),0.0)</f>
        <v>0</v>
      </c>
      <c r="J243" s="106">
        <f>IFERROR(__xludf.DUMMYFUNCTION("""COMPUTED_VALUE"""),0.0)</f>
        <v>0</v>
      </c>
      <c r="L243" s="136">
        <f>IFERROR(__xludf.DUMMYFUNCTION("""COMPUTED_VALUE"""),325.0)</f>
        <v>325</v>
      </c>
      <c r="M243" s="106">
        <f>IFERROR(__xludf.DUMMYFUNCTION("""COMPUTED_VALUE"""),0.26736111111191957)</f>
        <v>0.2673611111</v>
      </c>
      <c r="O243" s="136">
        <f>IFERROR(__xludf.DUMMYFUNCTION("""COMPUTED_VALUE"""),0.0)</f>
        <v>0</v>
      </c>
      <c r="P243" s="106">
        <f>IFERROR(__xludf.DUMMYFUNCTION("""COMPUTED_VALUE"""),0.0)</f>
        <v>0</v>
      </c>
      <c r="R243" s="136">
        <f>IFERROR(__xludf.DUMMYFUNCTION("""COMPUTED_VALUE"""),0.0)</f>
        <v>0</v>
      </c>
      <c r="S243" s="106">
        <f>IFERROR(__xludf.DUMMYFUNCTION("""COMPUTED_VALUE"""),0.0)</f>
        <v>0</v>
      </c>
    </row>
    <row r="244">
      <c r="A244" s="136" t="s">
        <v>15</v>
      </c>
      <c r="B244" s="146">
        <v>46087.0</v>
      </c>
      <c r="C244" s="136" t="s">
        <v>53</v>
      </c>
      <c r="D244" s="136" t="s">
        <v>148</v>
      </c>
      <c r="E244" s="106">
        <v>0.14236111110949423</v>
      </c>
      <c r="F244" s="136" t="str">
        <f>IFERROR(__xludf.DUMMYFUNCTION("""COMPUTED_VALUE"""),"")</f>
        <v/>
      </c>
      <c r="G244" s="106" t="str">
        <f>IFERROR(__xludf.DUMMYFUNCTION("""COMPUTED_VALUE"""),"")</f>
        <v/>
      </c>
      <c r="I244" s="136" t="str">
        <f>IFERROR(__xludf.DUMMYFUNCTION("""COMPUTED_VALUE"""),"")</f>
        <v/>
      </c>
      <c r="J244" s="106" t="str">
        <f>IFERROR(__xludf.DUMMYFUNCTION("""COMPUTED_VALUE"""),"")</f>
        <v/>
      </c>
      <c r="L244" s="136" t="str">
        <f>IFERROR(__xludf.DUMMYFUNCTION("""COMPUTED_VALUE"""),"")</f>
        <v/>
      </c>
      <c r="M244" s="106" t="str">
        <f>IFERROR(__xludf.DUMMYFUNCTION("""COMPUTED_VALUE"""),"")</f>
        <v/>
      </c>
      <c r="O244" s="136" t="str">
        <f>IFERROR(__xludf.DUMMYFUNCTION("""COMPUTED_VALUE"""),"")</f>
        <v/>
      </c>
      <c r="P244" s="106" t="str">
        <f>IFERROR(__xludf.DUMMYFUNCTION("""COMPUTED_VALUE"""),"")</f>
        <v/>
      </c>
      <c r="R244" s="136" t="str">
        <f>IFERROR(__xludf.DUMMYFUNCTION("""COMPUTED_VALUE"""),"")</f>
        <v/>
      </c>
      <c r="S244" s="106" t="str">
        <f>IFERROR(__xludf.DUMMYFUNCTION("""COMPUTED_VALUE"""),"")</f>
        <v/>
      </c>
    </row>
    <row r="245">
      <c r="A245" s="136" t="s">
        <v>15</v>
      </c>
      <c r="B245" s="146">
        <v>46090.0</v>
      </c>
      <c r="C245" s="136" t="s">
        <v>37</v>
      </c>
      <c r="D245" s="136" t="s">
        <v>148</v>
      </c>
      <c r="E245" s="106">
        <v>0.07500000000436557</v>
      </c>
      <c r="F245" s="136" t="str">
        <f>IFERROR(__xludf.DUMMYFUNCTION("""COMPUTED_VALUE"""),"")</f>
        <v/>
      </c>
      <c r="G245" s="106" t="str">
        <f>IFERROR(__xludf.DUMMYFUNCTION("""COMPUTED_VALUE"""),"")</f>
        <v/>
      </c>
      <c r="I245" s="136" t="str">
        <f>IFERROR(__xludf.DUMMYFUNCTION("""COMPUTED_VALUE"""),"")</f>
        <v/>
      </c>
      <c r="J245" s="106" t="str">
        <f>IFERROR(__xludf.DUMMYFUNCTION("""COMPUTED_VALUE"""),"")</f>
        <v/>
      </c>
      <c r="L245" s="136" t="str">
        <f>IFERROR(__xludf.DUMMYFUNCTION("""COMPUTED_VALUE"""),"")</f>
        <v/>
      </c>
      <c r="M245" s="106" t="str">
        <f>IFERROR(__xludf.DUMMYFUNCTION("""COMPUTED_VALUE"""),"")</f>
        <v/>
      </c>
      <c r="O245" s="136" t="str">
        <f>IFERROR(__xludf.DUMMYFUNCTION("""COMPUTED_VALUE"""),"")</f>
        <v/>
      </c>
      <c r="P245" s="106" t="str">
        <f>IFERROR(__xludf.DUMMYFUNCTION("""COMPUTED_VALUE"""),"")</f>
        <v/>
      </c>
      <c r="R245" s="136" t="str">
        <f>IFERROR(__xludf.DUMMYFUNCTION("""COMPUTED_VALUE"""),"")</f>
        <v/>
      </c>
      <c r="S245" s="106" t="str">
        <f>IFERROR(__xludf.DUMMYFUNCTION("""COMPUTED_VALUE"""),"")</f>
        <v/>
      </c>
    </row>
    <row r="246">
      <c r="A246" s="136" t="s">
        <v>15</v>
      </c>
      <c r="B246" s="146">
        <v>46090.0</v>
      </c>
      <c r="C246" s="136" t="s">
        <v>37</v>
      </c>
      <c r="D246" s="136" t="s">
        <v>149</v>
      </c>
      <c r="E246" s="106">
        <v>0.125</v>
      </c>
      <c r="F246" s="136" t="str">
        <f>IFERROR(__xludf.DUMMYFUNCTION("""COMPUTED_VALUE"""),"")</f>
        <v/>
      </c>
      <c r="G246" s="106" t="str">
        <f>IFERROR(__xludf.DUMMYFUNCTION("""COMPUTED_VALUE"""),"")</f>
        <v/>
      </c>
      <c r="I246" s="136" t="str">
        <f>IFERROR(__xludf.DUMMYFUNCTION("""COMPUTED_VALUE"""),"")</f>
        <v/>
      </c>
      <c r="J246" s="106" t="str">
        <f>IFERROR(__xludf.DUMMYFUNCTION("""COMPUTED_VALUE"""),"")</f>
        <v/>
      </c>
      <c r="L246" s="136" t="str">
        <f>IFERROR(__xludf.DUMMYFUNCTION("""COMPUTED_VALUE"""),"")</f>
        <v/>
      </c>
      <c r="M246" s="106" t="str">
        <f>IFERROR(__xludf.DUMMYFUNCTION("""COMPUTED_VALUE"""),"")</f>
        <v/>
      </c>
      <c r="O246" s="136" t="str">
        <f>IFERROR(__xludf.DUMMYFUNCTION("""COMPUTED_VALUE"""),"")</f>
        <v/>
      </c>
      <c r="P246" s="106" t="str">
        <f>IFERROR(__xludf.DUMMYFUNCTION("""COMPUTED_VALUE"""),"")</f>
        <v/>
      </c>
      <c r="R246" s="136" t="str">
        <f>IFERROR(__xludf.DUMMYFUNCTION("""COMPUTED_VALUE"""),"")</f>
        <v/>
      </c>
      <c r="S246" s="106" t="str">
        <f>IFERROR(__xludf.DUMMYFUNCTION("""COMPUTED_VALUE"""),"")</f>
        <v/>
      </c>
    </row>
    <row r="247">
      <c r="A247" s="136" t="s">
        <v>18</v>
      </c>
      <c r="B247" s="146">
        <v>46090.0</v>
      </c>
      <c r="C247" s="136" t="s">
        <v>37</v>
      </c>
      <c r="D247" s="136" t="s">
        <v>148</v>
      </c>
      <c r="E247" s="106">
        <v>0.07499999999708962</v>
      </c>
      <c r="F247" s="136">
        <f>IFERROR(__xludf.DUMMYFUNCTION("""COMPUTED_VALUE"""),0.0)</f>
        <v>0</v>
      </c>
      <c r="G247" s="106">
        <f>IFERROR(__xludf.DUMMYFUNCTION("""COMPUTED_VALUE"""),0.0)</f>
        <v>0</v>
      </c>
      <c r="I247" s="136">
        <f>IFERROR(__xludf.DUMMYFUNCTION("""COMPUTED_VALUE"""),0.0)</f>
        <v>0</v>
      </c>
      <c r="J247" s="106">
        <f>IFERROR(__xludf.DUMMYFUNCTION("""COMPUTED_VALUE"""),0.0)</f>
        <v>0</v>
      </c>
      <c r="L247" s="136">
        <f>IFERROR(__xludf.DUMMYFUNCTION("""COMPUTED_VALUE"""),240.0)</f>
        <v>240</v>
      </c>
      <c r="M247" s="106">
        <f>IFERROR(__xludf.DUMMYFUNCTION("""COMPUTED_VALUE"""),0.20000000000436557)</f>
        <v>0.2</v>
      </c>
      <c r="O247" s="136">
        <f>IFERROR(__xludf.DUMMYFUNCTION("""COMPUTED_VALUE"""),0.0)</f>
        <v>0</v>
      </c>
      <c r="P247" s="106">
        <f>IFERROR(__xludf.DUMMYFUNCTION("""COMPUTED_VALUE"""),0.0)</f>
        <v>0</v>
      </c>
      <c r="R247" s="136">
        <f>IFERROR(__xludf.DUMMYFUNCTION("""COMPUTED_VALUE"""),215.0)</f>
        <v>215</v>
      </c>
      <c r="S247" s="106">
        <f>IFERROR(__xludf.DUMMYFUNCTION("""COMPUTED_VALUE"""),0.24166666666133096)</f>
        <v>0.2416666667</v>
      </c>
    </row>
    <row r="248">
      <c r="A248" s="136" t="s">
        <v>18</v>
      </c>
      <c r="B248" s="146">
        <v>46090.0</v>
      </c>
      <c r="C248" s="136" t="s">
        <v>37</v>
      </c>
      <c r="D248" s="136" t="s">
        <v>149</v>
      </c>
      <c r="E248" s="106">
        <v>0.16666666666424135</v>
      </c>
      <c r="F248" s="136" t="str">
        <f>IFERROR(__xludf.DUMMYFUNCTION("""COMPUTED_VALUE"""),"")</f>
        <v/>
      </c>
      <c r="G248" s="106" t="str">
        <f>IFERROR(__xludf.DUMMYFUNCTION("""COMPUTED_VALUE"""),"")</f>
        <v/>
      </c>
      <c r="I248" s="136" t="str">
        <f>IFERROR(__xludf.DUMMYFUNCTION("""COMPUTED_VALUE"""),"")</f>
        <v/>
      </c>
      <c r="J248" s="106" t="str">
        <f>IFERROR(__xludf.DUMMYFUNCTION("""COMPUTED_VALUE"""),"")</f>
        <v/>
      </c>
      <c r="L248" s="136" t="str">
        <f>IFERROR(__xludf.DUMMYFUNCTION("""COMPUTED_VALUE"""),"")</f>
        <v/>
      </c>
      <c r="M248" s="106" t="str">
        <f>IFERROR(__xludf.DUMMYFUNCTION("""COMPUTED_VALUE"""),"")</f>
        <v/>
      </c>
      <c r="O248" s="136" t="str">
        <f>IFERROR(__xludf.DUMMYFUNCTION("""COMPUTED_VALUE"""),"")</f>
        <v/>
      </c>
      <c r="P248" s="106" t="str">
        <f>IFERROR(__xludf.DUMMYFUNCTION("""COMPUTED_VALUE"""),"")</f>
        <v/>
      </c>
      <c r="R248" s="136" t="str">
        <f>IFERROR(__xludf.DUMMYFUNCTION("""COMPUTED_VALUE"""),"")</f>
        <v/>
      </c>
      <c r="S248" s="106" t="str">
        <f>IFERROR(__xludf.DUMMYFUNCTION("""COMPUTED_VALUE"""),"")</f>
        <v/>
      </c>
    </row>
    <row r="249">
      <c r="A249" s="136" t="s">
        <v>134</v>
      </c>
      <c r="B249" s="146">
        <v>46091.0</v>
      </c>
      <c r="C249" s="136" t="s">
        <v>41</v>
      </c>
      <c r="D249" s="136" t="s">
        <v>149</v>
      </c>
      <c r="E249" s="106">
        <v>0.04374999999708962</v>
      </c>
      <c r="F249" s="136" t="str">
        <f>IFERROR(__xludf.DUMMYFUNCTION("""COMPUTED_VALUE"""),"")</f>
        <v/>
      </c>
      <c r="G249" s="106" t="str">
        <f>IFERROR(__xludf.DUMMYFUNCTION("""COMPUTED_VALUE"""),"")</f>
        <v/>
      </c>
      <c r="I249" s="136" t="str">
        <f>IFERROR(__xludf.DUMMYFUNCTION("""COMPUTED_VALUE"""),"")</f>
        <v/>
      </c>
      <c r="J249" s="106" t="str">
        <f>IFERROR(__xludf.DUMMYFUNCTION("""COMPUTED_VALUE"""),"")</f>
        <v/>
      </c>
      <c r="L249" s="136" t="str">
        <f>IFERROR(__xludf.DUMMYFUNCTION("""COMPUTED_VALUE"""),"")</f>
        <v/>
      </c>
      <c r="M249" s="106" t="str">
        <f>IFERROR(__xludf.DUMMYFUNCTION("""COMPUTED_VALUE"""),"")</f>
        <v/>
      </c>
      <c r="O249" s="136" t="str">
        <f>IFERROR(__xludf.DUMMYFUNCTION("""COMPUTED_VALUE"""),"")</f>
        <v/>
      </c>
      <c r="P249" s="106" t="str">
        <f>IFERROR(__xludf.DUMMYFUNCTION("""COMPUTED_VALUE"""),"")</f>
        <v/>
      </c>
      <c r="R249" s="136" t="str">
        <f>IFERROR(__xludf.DUMMYFUNCTION("""COMPUTED_VALUE"""),"")</f>
        <v/>
      </c>
      <c r="S249" s="106" t="str">
        <f>IFERROR(__xludf.DUMMYFUNCTION("""COMPUTED_VALUE"""),"")</f>
        <v/>
      </c>
    </row>
    <row r="250">
      <c r="A250" s="136" t="s">
        <v>12</v>
      </c>
      <c r="B250" s="146">
        <v>46091.0</v>
      </c>
      <c r="C250" s="136" t="s">
        <v>41</v>
      </c>
      <c r="D250" s="136" t="s">
        <v>149</v>
      </c>
      <c r="E250" s="106">
        <v>0.14583333333575865</v>
      </c>
      <c r="F250" s="136" t="str">
        <f>IFERROR(__xludf.DUMMYFUNCTION("""COMPUTED_VALUE"""),"")</f>
        <v/>
      </c>
      <c r="G250" s="106" t="str">
        <f>IFERROR(__xludf.DUMMYFUNCTION("""COMPUTED_VALUE"""),"")</f>
        <v/>
      </c>
      <c r="I250" s="136" t="str">
        <f>IFERROR(__xludf.DUMMYFUNCTION("""COMPUTED_VALUE"""),"")</f>
        <v/>
      </c>
      <c r="J250" s="106" t="str">
        <f>IFERROR(__xludf.DUMMYFUNCTION("""COMPUTED_VALUE"""),"")</f>
        <v/>
      </c>
      <c r="L250" s="136" t="str">
        <f>IFERROR(__xludf.DUMMYFUNCTION("""COMPUTED_VALUE"""),"")</f>
        <v/>
      </c>
      <c r="M250" s="106" t="str">
        <f>IFERROR(__xludf.DUMMYFUNCTION("""COMPUTED_VALUE"""),"")</f>
        <v/>
      </c>
      <c r="O250" s="136" t="str">
        <f>IFERROR(__xludf.DUMMYFUNCTION("""COMPUTED_VALUE"""),"")</f>
        <v/>
      </c>
      <c r="P250" s="106" t="str">
        <f>IFERROR(__xludf.DUMMYFUNCTION("""COMPUTED_VALUE"""),"")</f>
        <v/>
      </c>
      <c r="R250" s="136" t="str">
        <f>IFERROR(__xludf.DUMMYFUNCTION("""COMPUTED_VALUE"""),"")</f>
        <v/>
      </c>
      <c r="S250" s="106" t="str">
        <f>IFERROR(__xludf.DUMMYFUNCTION("""COMPUTED_VALUE"""),"")</f>
        <v/>
      </c>
    </row>
    <row r="251">
      <c r="A251" s="136" t="s">
        <v>15</v>
      </c>
      <c r="B251" s="146">
        <v>46091.0</v>
      </c>
      <c r="C251" s="136" t="s">
        <v>41</v>
      </c>
      <c r="D251" s="136" t="s">
        <v>149</v>
      </c>
      <c r="E251" s="106">
        <v>0.02708333333430346</v>
      </c>
      <c r="F251" s="136" t="str">
        <f>IFERROR(__xludf.DUMMYFUNCTION("""COMPUTED_VALUE"""),"")</f>
        <v/>
      </c>
      <c r="G251" s="106" t="str">
        <f>IFERROR(__xludf.DUMMYFUNCTION("""COMPUTED_VALUE"""),"")</f>
        <v/>
      </c>
      <c r="I251" s="136" t="str">
        <f>IFERROR(__xludf.DUMMYFUNCTION("""COMPUTED_VALUE"""),"")</f>
        <v/>
      </c>
      <c r="J251" s="106" t="str">
        <f>IFERROR(__xludf.DUMMYFUNCTION("""COMPUTED_VALUE"""),"")</f>
        <v/>
      </c>
      <c r="L251" s="136" t="str">
        <f>IFERROR(__xludf.DUMMYFUNCTION("""COMPUTED_VALUE"""),"")</f>
        <v/>
      </c>
      <c r="M251" s="106" t="str">
        <f>IFERROR(__xludf.DUMMYFUNCTION("""COMPUTED_VALUE"""),"")</f>
        <v/>
      </c>
      <c r="O251" s="136" t="str">
        <f>IFERROR(__xludf.DUMMYFUNCTION("""COMPUTED_VALUE"""),"")</f>
        <v/>
      </c>
      <c r="P251" s="106" t="str">
        <f>IFERROR(__xludf.DUMMYFUNCTION("""COMPUTED_VALUE"""),"")</f>
        <v/>
      </c>
      <c r="R251" s="136" t="str">
        <f>IFERROR(__xludf.DUMMYFUNCTION("""COMPUTED_VALUE"""),"")</f>
        <v/>
      </c>
      <c r="S251" s="106" t="str">
        <f>IFERROR(__xludf.DUMMYFUNCTION("""COMPUTED_VALUE"""),"")</f>
        <v/>
      </c>
    </row>
    <row r="252">
      <c r="A252" s="136" t="s">
        <v>15</v>
      </c>
      <c r="B252" s="146">
        <v>46091.0</v>
      </c>
      <c r="C252" s="136" t="s">
        <v>41</v>
      </c>
      <c r="D252" s="136" t="s">
        <v>148</v>
      </c>
      <c r="E252" s="106">
        <v>0.04236111111094942</v>
      </c>
      <c r="F252" s="136" t="str">
        <f>IFERROR(__xludf.DUMMYFUNCTION("""COMPUTED_VALUE"""),"")</f>
        <v/>
      </c>
      <c r="G252" s="106" t="str">
        <f>IFERROR(__xludf.DUMMYFUNCTION("""COMPUTED_VALUE"""),"")</f>
        <v/>
      </c>
      <c r="I252" s="136" t="str">
        <f>IFERROR(__xludf.DUMMYFUNCTION("""COMPUTED_VALUE"""),"")</f>
        <v/>
      </c>
      <c r="J252" s="106" t="str">
        <f>IFERROR(__xludf.DUMMYFUNCTION("""COMPUTED_VALUE"""),"")</f>
        <v/>
      </c>
      <c r="L252" s="136" t="str">
        <f>IFERROR(__xludf.DUMMYFUNCTION("""COMPUTED_VALUE"""),"")</f>
        <v/>
      </c>
      <c r="M252" s="106" t="str">
        <f>IFERROR(__xludf.DUMMYFUNCTION("""COMPUTED_VALUE"""),"")</f>
        <v/>
      </c>
      <c r="O252" s="136" t="str">
        <f>IFERROR(__xludf.DUMMYFUNCTION("""COMPUTED_VALUE"""),"")</f>
        <v/>
      </c>
      <c r="P252" s="106" t="str">
        <f>IFERROR(__xludf.DUMMYFUNCTION("""COMPUTED_VALUE"""),"")</f>
        <v/>
      </c>
      <c r="R252" s="136" t="str">
        <f>IFERROR(__xludf.DUMMYFUNCTION("""COMPUTED_VALUE"""),"")</f>
        <v/>
      </c>
      <c r="S252" s="106" t="str">
        <f>IFERROR(__xludf.DUMMYFUNCTION("""COMPUTED_VALUE"""),"")</f>
        <v/>
      </c>
    </row>
    <row r="253">
      <c r="A253" s="136" t="s">
        <v>15</v>
      </c>
      <c r="B253" s="146">
        <v>46091.0</v>
      </c>
      <c r="C253" s="136" t="s">
        <v>41</v>
      </c>
      <c r="D253" s="136" t="s">
        <v>148</v>
      </c>
      <c r="E253" s="106">
        <v>0.08541666666860692</v>
      </c>
      <c r="F253" s="136" t="str">
        <f>IFERROR(__xludf.DUMMYFUNCTION("""COMPUTED_VALUE"""),"")</f>
        <v/>
      </c>
      <c r="G253" s="106" t="str">
        <f>IFERROR(__xludf.DUMMYFUNCTION("""COMPUTED_VALUE"""),"")</f>
        <v/>
      </c>
      <c r="I253" s="136" t="str">
        <f>IFERROR(__xludf.DUMMYFUNCTION("""COMPUTED_VALUE"""),"")</f>
        <v/>
      </c>
      <c r="J253" s="106" t="str">
        <f>IFERROR(__xludf.DUMMYFUNCTION("""COMPUTED_VALUE"""),"")</f>
        <v/>
      </c>
      <c r="L253" s="136" t="str">
        <f>IFERROR(__xludf.DUMMYFUNCTION("""COMPUTED_VALUE"""),"")</f>
        <v/>
      </c>
      <c r="M253" s="106" t="str">
        <f>IFERROR(__xludf.DUMMYFUNCTION("""COMPUTED_VALUE"""),"")</f>
        <v/>
      </c>
      <c r="O253" s="136" t="str">
        <f>IFERROR(__xludf.DUMMYFUNCTION("""COMPUTED_VALUE"""),"")</f>
        <v/>
      </c>
      <c r="P253" s="106" t="str">
        <f>IFERROR(__xludf.DUMMYFUNCTION("""COMPUTED_VALUE"""),"")</f>
        <v/>
      </c>
      <c r="R253" s="136" t="str">
        <f>IFERROR(__xludf.DUMMYFUNCTION("""COMPUTED_VALUE"""),"")</f>
        <v/>
      </c>
      <c r="S253" s="106" t="str">
        <f>IFERROR(__xludf.DUMMYFUNCTION("""COMPUTED_VALUE"""),"")</f>
        <v/>
      </c>
    </row>
    <row r="254">
      <c r="A254" s="136" t="s">
        <v>15</v>
      </c>
      <c r="B254" s="146">
        <v>46091.0</v>
      </c>
      <c r="C254" s="136" t="s">
        <v>41</v>
      </c>
      <c r="D254" s="136" t="s">
        <v>149</v>
      </c>
      <c r="E254" s="106">
        <v>0.125</v>
      </c>
      <c r="F254" s="136" t="str">
        <f>IFERROR(__xludf.DUMMYFUNCTION("""COMPUTED_VALUE"""),"")</f>
        <v/>
      </c>
      <c r="G254" s="106" t="str">
        <f>IFERROR(__xludf.DUMMYFUNCTION("""COMPUTED_VALUE"""),"")</f>
        <v/>
      </c>
      <c r="I254" s="136" t="str">
        <f>IFERROR(__xludf.DUMMYFUNCTION("""COMPUTED_VALUE"""),"")</f>
        <v/>
      </c>
      <c r="J254" s="106" t="str">
        <f>IFERROR(__xludf.DUMMYFUNCTION("""COMPUTED_VALUE"""),"")</f>
        <v/>
      </c>
      <c r="L254" s="136" t="str">
        <f>IFERROR(__xludf.DUMMYFUNCTION("""COMPUTED_VALUE"""),"")</f>
        <v/>
      </c>
      <c r="M254" s="106" t="str">
        <f>IFERROR(__xludf.DUMMYFUNCTION("""COMPUTED_VALUE"""),"")</f>
        <v/>
      </c>
      <c r="O254" s="136" t="str">
        <f>IFERROR(__xludf.DUMMYFUNCTION("""COMPUTED_VALUE"""),"")</f>
        <v/>
      </c>
      <c r="P254" s="106" t="str">
        <f>IFERROR(__xludf.DUMMYFUNCTION("""COMPUTED_VALUE"""),"")</f>
        <v/>
      </c>
      <c r="R254" s="136" t="str">
        <f>IFERROR(__xludf.DUMMYFUNCTION("""COMPUTED_VALUE"""),"")</f>
        <v/>
      </c>
      <c r="S254" s="106" t="str">
        <f>IFERROR(__xludf.DUMMYFUNCTION("""COMPUTED_VALUE"""),"")</f>
        <v/>
      </c>
    </row>
    <row r="255">
      <c r="A255" s="136" t="s">
        <v>18</v>
      </c>
      <c r="B255" s="146">
        <v>46091.0</v>
      </c>
      <c r="C255" s="136" t="s">
        <v>41</v>
      </c>
      <c r="D255" s="136" t="s">
        <v>148</v>
      </c>
      <c r="E255" s="106">
        <v>0.07986111110949423</v>
      </c>
      <c r="F255" s="136" t="str">
        <f>IFERROR(__xludf.DUMMYFUNCTION("""COMPUTED_VALUE"""),"")</f>
        <v/>
      </c>
      <c r="G255" s="106" t="str">
        <f>IFERROR(__xludf.DUMMYFUNCTION("""COMPUTED_VALUE"""),"")</f>
        <v/>
      </c>
      <c r="I255" s="136" t="str">
        <f>IFERROR(__xludf.DUMMYFUNCTION("""COMPUTED_VALUE"""),"")</f>
        <v/>
      </c>
      <c r="J255" s="106" t="str">
        <f>IFERROR(__xludf.DUMMYFUNCTION("""COMPUTED_VALUE"""),"")</f>
        <v/>
      </c>
      <c r="L255" s="136" t="str">
        <f>IFERROR(__xludf.DUMMYFUNCTION("""COMPUTED_VALUE"""),"")</f>
        <v/>
      </c>
      <c r="M255" s="106" t="str">
        <f>IFERROR(__xludf.DUMMYFUNCTION("""COMPUTED_VALUE"""),"")</f>
        <v/>
      </c>
      <c r="O255" s="136" t="str">
        <f>IFERROR(__xludf.DUMMYFUNCTION("""COMPUTED_VALUE"""),"")</f>
        <v/>
      </c>
      <c r="P255" s="106" t="str">
        <f>IFERROR(__xludf.DUMMYFUNCTION("""COMPUTED_VALUE"""),"")</f>
        <v/>
      </c>
      <c r="R255" s="136" t="str">
        <f>IFERROR(__xludf.DUMMYFUNCTION("""COMPUTED_VALUE"""),"")</f>
        <v/>
      </c>
      <c r="S255" s="106" t="str">
        <f>IFERROR(__xludf.DUMMYFUNCTION("""COMPUTED_VALUE"""),"")</f>
        <v/>
      </c>
    </row>
    <row r="256">
      <c r="A256" s="136" t="s">
        <v>18</v>
      </c>
      <c r="B256" s="146">
        <v>46091.0</v>
      </c>
      <c r="C256" s="136" t="s">
        <v>41</v>
      </c>
      <c r="D256" s="136" t="s">
        <v>149</v>
      </c>
      <c r="E256" s="106">
        <v>0.10416666666424135</v>
      </c>
      <c r="F256" s="136">
        <f>IFERROR(__xludf.DUMMYFUNCTION("""COMPUTED_VALUE"""),149.0)</f>
        <v>149</v>
      </c>
      <c r="G256" s="106">
        <f>IFERROR(__xludf.DUMMYFUNCTION("""COMPUTED_VALUE"""),0.14583333333575865)</f>
        <v>0.1458333333</v>
      </c>
      <c r="I256" s="136">
        <f>IFERROR(__xludf.DUMMYFUNCTION("""COMPUTED_VALUE"""),86.0)</f>
        <v>86</v>
      </c>
      <c r="J256" s="106">
        <f>IFERROR(__xludf.DUMMYFUNCTION("""COMPUTED_VALUE"""),0.04374999999708962)</f>
        <v>0.04375</v>
      </c>
      <c r="L256" s="136">
        <f>IFERROR(__xludf.DUMMYFUNCTION("""COMPUTED_VALUE"""),362.0)</f>
        <v>362</v>
      </c>
      <c r="M256" s="106">
        <f>IFERROR(__xludf.DUMMYFUNCTION("""COMPUTED_VALUE"""),0.2798611111138598)</f>
        <v>0.2798611111</v>
      </c>
      <c r="O256" s="136">
        <f>IFERROR(__xludf.DUMMYFUNCTION("""COMPUTED_VALUE"""),0.0)</f>
        <v>0</v>
      </c>
      <c r="P256" s="106">
        <f>IFERROR(__xludf.DUMMYFUNCTION("""COMPUTED_VALUE"""),0.0)</f>
        <v>0</v>
      </c>
      <c r="R256" s="136">
        <f>IFERROR(__xludf.DUMMYFUNCTION("""COMPUTED_VALUE"""),288.0)</f>
        <v>288</v>
      </c>
      <c r="S256" s="106">
        <f>IFERROR(__xludf.DUMMYFUNCTION("""COMPUTED_VALUE"""),0.2395833333284827)</f>
        <v>0.2395833333</v>
      </c>
    </row>
    <row r="257">
      <c r="A257" s="136" t="s">
        <v>18</v>
      </c>
      <c r="B257" s="146">
        <v>46091.0</v>
      </c>
      <c r="C257" s="136" t="s">
        <v>41</v>
      </c>
      <c r="D257" s="136" t="s">
        <v>149</v>
      </c>
      <c r="E257" s="106">
        <v>0.055555555554747116</v>
      </c>
      <c r="F257" s="136" t="str">
        <f>IFERROR(__xludf.DUMMYFUNCTION("""COMPUTED_VALUE"""),"")</f>
        <v/>
      </c>
      <c r="G257" s="106" t="str">
        <f>IFERROR(__xludf.DUMMYFUNCTION("""COMPUTED_VALUE"""),"")</f>
        <v/>
      </c>
      <c r="I257" s="136" t="str">
        <f>IFERROR(__xludf.DUMMYFUNCTION("""COMPUTED_VALUE"""),"")</f>
        <v/>
      </c>
      <c r="J257" s="106" t="str">
        <f>IFERROR(__xludf.DUMMYFUNCTION("""COMPUTED_VALUE"""),"")</f>
        <v/>
      </c>
      <c r="L257" s="136" t="str">
        <f>IFERROR(__xludf.DUMMYFUNCTION("""COMPUTED_VALUE"""),"")</f>
        <v/>
      </c>
      <c r="M257" s="106" t="str">
        <f>IFERROR(__xludf.DUMMYFUNCTION("""COMPUTED_VALUE"""),"")</f>
        <v/>
      </c>
      <c r="O257" s="136" t="str">
        <f>IFERROR(__xludf.DUMMYFUNCTION("""COMPUTED_VALUE"""),"")</f>
        <v/>
      </c>
      <c r="P257" s="106" t="str">
        <f>IFERROR(__xludf.DUMMYFUNCTION("""COMPUTED_VALUE"""),"")</f>
        <v/>
      </c>
      <c r="R257" s="136" t="str">
        <f>IFERROR(__xludf.DUMMYFUNCTION("""COMPUTED_VALUE"""),"")</f>
        <v/>
      </c>
      <c r="S257" s="106" t="str">
        <f>IFERROR(__xludf.DUMMYFUNCTION("""COMPUTED_VALUE"""),"")</f>
        <v/>
      </c>
    </row>
    <row r="258">
      <c r="A258" s="136" t="s">
        <v>12</v>
      </c>
      <c r="B258" s="146">
        <v>46092.0</v>
      </c>
      <c r="C258" s="136" t="s">
        <v>45</v>
      </c>
      <c r="D258" s="136" t="s">
        <v>149</v>
      </c>
      <c r="E258" s="106">
        <v>0.09305555555329192</v>
      </c>
      <c r="F258" s="136" t="str">
        <f>IFERROR(__xludf.DUMMYFUNCTION("""COMPUTED_VALUE"""),"")</f>
        <v/>
      </c>
      <c r="G258" s="106" t="str">
        <f>IFERROR(__xludf.DUMMYFUNCTION("""COMPUTED_VALUE"""),"")</f>
        <v/>
      </c>
      <c r="I258" s="136" t="str">
        <f>IFERROR(__xludf.DUMMYFUNCTION("""COMPUTED_VALUE"""),"")</f>
        <v/>
      </c>
      <c r="J258" s="106" t="str">
        <f>IFERROR(__xludf.DUMMYFUNCTION("""COMPUTED_VALUE"""),"")</f>
        <v/>
      </c>
      <c r="L258" s="136" t="str">
        <f>IFERROR(__xludf.DUMMYFUNCTION("""COMPUTED_VALUE"""),"")</f>
        <v/>
      </c>
      <c r="M258" s="106" t="str">
        <f>IFERROR(__xludf.DUMMYFUNCTION("""COMPUTED_VALUE"""),"")</f>
        <v/>
      </c>
      <c r="O258" s="136" t="str">
        <f>IFERROR(__xludf.DUMMYFUNCTION("""COMPUTED_VALUE"""),"")</f>
        <v/>
      </c>
      <c r="P258" s="106" t="str">
        <f>IFERROR(__xludf.DUMMYFUNCTION("""COMPUTED_VALUE"""),"")</f>
        <v/>
      </c>
      <c r="R258" s="136" t="str">
        <f>IFERROR(__xludf.DUMMYFUNCTION("""COMPUTED_VALUE"""),"")</f>
        <v/>
      </c>
      <c r="S258" s="106" t="str">
        <f>IFERROR(__xludf.DUMMYFUNCTION("""COMPUTED_VALUE"""),"")</f>
        <v/>
      </c>
    </row>
    <row r="259">
      <c r="A259" s="136" t="s">
        <v>12</v>
      </c>
      <c r="B259" s="146">
        <v>46092.0</v>
      </c>
      <c r="C259" s="136" t="s">
        <v>45</v>
      </c>
      <c r="D259" s="136" t="s">
        <v>149</v>
      </c>
      <c r="E259" s="106">
        <v>0.020833333335758653</v>
      </c>
      <c r="F259" s="136" t="str">
        <f>IFERROR(__xludf.DUMMYFUNCTION("""COMPUTED_VALUE"""),"")</f>
        <v/>
      </c>
      <c r="G259" s="106" t="str">
        <f>IFERROR(__xludf.DUMMYFUNCTION("""COMPUTED_VALUE"""),"")</f>
        <v/>
      </c>
      <c r="I259" s="136" t="str">
        <f>IFERROR(__xludf.DUMMYFUNCTION("""COMPUTED_VALUE"""),"")</f>
        <v/>
      </c>
      <c r="J259" s="106" t="str">
        <f>IFERROR(__xludf.DUMMYFUNCTION("""COMPUTED_VALUE"""),"")</f>
        <v/>
      </c>
      <c r="L259" s="136" t="str">
        <f>IFERROR(__xludf.DUMMYFUNCTION("""COMPUTED_VALUE"""),"")</f>
        <v/>
      </c>
      <c r="M259" s="106" t="str">
        <f>IFERROR(__xludf.DUMMYFUNCTION("""COMPUTED_VALUE"""),"")</f>
        <v/>
      </c>
      <c r="O259" s="136" t="str">
        <f>IFERROR(__xludf.DUMMYFUNCTION("""COMPUTED_VALUE"""),"")</f>
        <v/>
      </c>
      <c r="P259" s="106" t="str">
        <f>IFERROR(__xludf.DUMMYFUNCTION("""COMPUTED_VALUE"""),"")</f>
        <v/>
      </c>
      <c r="R259" s="136" t="str">
        <f>IFERROR(__xludf.DUMMYFUNCTION("""COMPUTED_VALUE"""),"")</f>
        <v/>
      </c>
      <c r="S259" s="106" t="str">
        <f>IFERROR(__xludf.DUMMYFUNCTION("""COMPUTED_VALUE"""),"")</f>
        <v/>
      </c>
    </row>
    <row r="260">
      <c r="A260" s="136" t="s">
        <v>18</v>
      </c>
      <c r="B260" s="146">
        <v>46092.0</v>
      </c>
      <c r="C260" s="136" t="s">
        <v>45</v>
      </c>
      <c r="D260" s="136" t="s">
        <v>149</v>
      </c>
      <c r="E260" s="106">
        <v>0.16666666666424135</v>
      </c>
      <c r="F260" s="136">
        <f>IFERROR(__xludf.DUMMYFUNCTION("""COMPUTED_VALUE"""),120.0)</f>
        <v>120</v>
      </c>
      <c r="G260" s="106">
        <f>IFERROR(__xludf.DUMMYFUNCTION("""COMPUTED_VALUE"""),0.11388888888905058)</f>
        <v>0.1138888889</v>
      </c>
      <c r="I260" s="136">
        <f>IFERROR(__xludf.DUMMYFUNCTION("""COMPUTED_VALUE"""),0.0)</f>
        <v>0</v>
      </c>
      <c r="J260" s="106">
        <f>IFERROR(__xludf.DUMMYFUNCTION("""COMPUTED_VALUE"""),0.0)</f>
        <v>0</v>
      </c>
      <c r="L260" s="136">
        <f>IFERROR(__xludf.DUMMYFUNCTION("""COMPUTED_VALUE"""),0.0)</f>
        <v>0</v>
      </c>
      <c r="M260" s="106">
        <f>IFERROR(__xludf.DUMMYFUNCTION("""COMPUTED_VALUE"""),0.0)</f>
        <v>0</v>
      </c>
      <c r="O260" s="136">
        <f>IFERROR(__xludf.DUMMYFUNCTION("""COMPUTED_VALUE"""),0.0)</f>
        <v>0</v>
      </c>
      <c r="P260" s="106">
        <f>IFERROR(__xludf.DUMMYFUNCTION("""COMPUTED_VALUE"""),0.0)</f>
        <v>0</v>
      </c>
      <c r="R260" s="136">
        <f>IFERROR(__xludf.DUMMYFUNCTION("""COMPUTED_VALUE"""),271.0)</f>
        <v>271</v>
      </c>
      <c r="S260" s="106">
        <f>IFERROR(__xludf.DUMMYFUNCTION("""COMPUTED_VALUE"""),0.29166666666424135)</f>
        <v>0.2916666667</v>
      </c>
    </row>
    <row r="261">
      <c r="A261" s="136" t="s">
        <v>18</v>
      </c>
      <c r="B261" s="146">
        <v>46092.0</v>
      </c>
      <c r="C261" s="136" t="s">
        <v>45</v>
      </c>
      <c r="D261" s="136" t="s">
        <v>148</v>
      </c>
      <c r="E261" s="106">
        <v>0.125</v>
      </c>
      <c r="F261" s="136" t="str">
        <f>IFERROR(__xludf.DUMMYFUNCTION("""COMPUTED_VALUE"""),"")</f>
        <v/>
      </c>
      <c r="G261" s="106" t="str">
        <f>IFERROR(__xludf.DUMMYFUNCTION("""COMPUTED_VALUE"""),"")</f>
        <v/>
      </c>
      <c r="I261" s="136" t="str">
        <f>IFERROR(__xludf.DUMMYFUNCTION("""COMPUTED_VALUE"""),"")</f>
        <v/>
      </c>
      <c r="J261" s="106" t="str">
        <f>IFERROR(__xludf.DUMMYFUNCTION("""COMPUTED_VALUE"""),"")</f>
        <v/>
      </c>
      <c r="L261" s="136" t="str">
        <f>IFERROR(__xludf.DUMMYFUNCTION("""COMPUTED_VALUE"""),"")</f>
        <v/>
      </c>
      <c r="M261" s="106" t="str">
        <f>IFERROR(__xludf.DUMMYFUNCTION("""COMPUTED_VALUE"""),"")</f>
        <v/>
      </c>
      <c r="O261" s="136" t="str">
        <f>IFERROR(__xludf.DUMMYFUNCTION("""COMPUTED_VALUE"""),"")</f>
        <v/>
      </c>
      <c r="P261" s="106" t="str">
        <f>IFERROR(__xludf.DUMMYFUNCTION("""COMPUTED_VALUE"""),"")</f>
        <v/>
      </c>
      <c r="R261" s="136" t="str">
        <f>IFERROR(__xludf.DUMMYFUNCTION("""COMPUTED_VALUE"""),"")</f>
        <v/>
      </c>
      <c r="S261" s="106" t="str">
        <f>IFERROR(__xludf.DUMMYFUNCTION("""COMPUTED_VALUE"""),"")</f>
        <v/>
      </c>
    </row>
    <row r="262">
      <c r="A262" s="136" t="s">
        <v>12</v>
      </c>
      <c r="B262" s="146">
        <v>46093.0</v>
      </c>
      <c r="C262" s="136" t="s">
        <v>49</v>
      </c>
      <c r="D262" s="136" t="s">
        <v>149</v>
      </c>
      <c r="E262" s="106">
        <v>0.06944444444525288</v>
      </c>
      <c r="F262" s="136" t="str">
        <f>IFERROR(__xludf.DUMMYFUNCTION("""COMPUTED_VALUE"""),"")</f>
        <v/>
      </c>
      <c r="G262" s="106" t="str">
        <f>IFERROR(__xludf.DUMMYFUNCTION("""COMPUTED_VALUE"""),"")</f>
        <v/>
      </c>
      <c r="I262" s="136" t="str">
        <f>IFERROR(__xludf.DUMMYFUNCTION("""COMPUTED_VALUE"""),"")</f>
        <v/>
      </c>
      <c r="J262" s="106" t="str">
        <f>IFERROR(__xludf.DUMMYFUNCTION("""COMPUTED_VALUE"""),"")</f>
        <v/>
      </c>
      <c r="L262" s="136" t="str">
        <f>IFERROR(__xludf.DUMMYFUNCTION("""COMPUTED_VALUE"""),"")</f>
        <v/>
      </c>
      <c r="M262" s="106" t="str">
        <f>IFERROR(__xludf.DUMMYFUNCTION("""COMPUTED_VALUE"""),"")</f>
        <v/>
      </c>
      <c r="O262" s="136" t="str">
        <f>IFERROR(__xludf.DUMMYFUNCTION("""COMPUTED_VALUE"""),"")</f>
        <v/>
      </c>
      <c r="P262" s="106" t="str">
        <f>IFERROR(__xludf.DUMMYFUNCTION("""COMPUTED_VALUE"""),"")</f>
        <v/>
      </c>
      <c r="R262" s="136" t="str">
        <f>IFERROR(__xludf.DUMMYFUNCTION("""COMPUTED_VALUE"""),"")</f>
        <v/>
      </c>
      <c r="S262" s="106" t="str">
        <f>IFERROR(__xludf.DUMMYFUNCTION("""COMPUTED_VALUE"""),"")</f>
        <v/>
      </c>
    </row>
    <row r="263">
      <c r="A263" s="136" t="s">
        <v>12</v>
      </c>
      <c r="B263" s="146">
        <v>46093.0</v>
      </c>
      <c r="C263" s="136" t="s">
        <v>49</v>
      </c>
      <c r="D263" s="136" t="s">
        <v>149</v>
      </c>
      <c r="E263" s="106">
        <v>0.08402777778246673</v>
      </c>
      <c r="F263" s="136" t="str">
        <f>IFERROR(__xludf.DUMMYFUNCTION("""COMPUTED_VALUE"""),"")</f>
        <v/>
      </c>
      <c r="G263" s="106" t="str">
        <f>IFERROR(__xludf.DUMMYFUNCTION("""COMPUTED_VALUE"""),"")</f>
        <v/>
      </c>
      <c r="I263" s="136" t="str">
        <f>IFERROR(__xludf.DUMMYFUNCTION("""COMPUTED_VALUE"""),"")</f>
        <v/>
      </c>
      <c r="J263" s="106" t="str">
        <f>IFERROR(__xludf.DUMMYFUNCTION("""COMPUTED_VALUE"""),"")</f>
        <v/>
      </c>
      <c r="L263" s="136" t="str">
        <f>IFERROR(__xludf.DUMMYFUNCTION("""COMPUTED_VALUE"""),"")</f>
        <v/>
      </c>
      <c r="M263" s="106" t="str">
        <f>IFERROR(__xludf.DUMMYFUNCTION("""COMPUTED_VALUE"""),"")</f>
        <v/>
      </c>
      <c r="O263" s="136" t="str">
        <f>IFERROR(__xludf.DUMMYFUNCTION("""COMPUTED_VALUE"""),"")</f>
        <v/>
      </c>
      <c r="P263" s="106" t="str">
        <f>IFERROR(__xludf.DUMMYFUNCTION("""COMPUTED_VALUE"""),"")</f>
        <v/>
      </c>
      <c r="R263" s="136" t="str">
        <f>IFERROR(__xludf.DUMMYFUNCTION("""COMPUTED_VALUE"""),"")</f>
        <v/>
      </c>
      <c r="S263" s="106" t="str">
        <f>IFERROR(__xludf.DUMMYFUNCTION("""COMPUTED_VALUE"""),"")</f>
        <v/>
      </c>
    </row>
    <row r="264">
      <c r="A264" s="136" t="s">
        <v>134</v>
      </c>
      <c r="B264" s="146">
        <v>46093.0</v>
      </c>
      <c r="C264" s="136" t="s">
        <v>49</v>
      </c>
      <c r="D264" s="136" t="s">
        <v>149</v>
      </c>
      <c r="E264" s="106">
        <v>0.0194444444423425</v>
      </c>
      <c r="F264" s="136" t="str">
        <f>IFERROR(__xludf.DUMMYFUNCTION("""COMPUTED_VALUE"""),"")</f>
        <v/>
      </c>
      <c r="G264" s="106" t="str">
        <f>IFERROR(__xludf.DUMMYFUNCTION("""COMPUTED_VALUE"""),"")</f>
        <v/>
      </c>
      <c r="I264" s="136" t="str">
        <f>IFERROR(__xludf.DUMMYFUNCTION("""COMPUTED_VALUE"""),"")</f>
        <v/>
      </c>
      <c r="J264" s="106" t="str">
        <f>IFERROR(__xludf.DUMMYFUNCTION("""COMPUTED_VALUE"""),"")</f>
        <v/>
      </c>
      <c r="L264" s="136" t="str">
        <f>IFERROR(__xludf.DUMMYFUNCTION("""COMPUTED_VALUE"""),"")</f>
        <v/>
      </c>
      <c r="M264" s="106" t="str">
        <f>IFERROR(__xludf.DUMMYFUNCTION("""COMPUTED_VALUE"""),"")</f>
        <v/>
      </c>
      <c r="O264" s="136" t="str">
        <f>IFERROR(__xludf.DUMMYFUNCTION("""COMPUTED_VALUE"""),"")</f>
        <v/>
      </c>
      <c r="P264" s="106" t="str">
        <f>IFERROR(__xludf.DUMMYFUNCTION("""COMPUTED_VALUE"""),"")</f>
        <v/>
      </c>
      <c r="R264" s="136" t="str">
        <f>IFERROR(__xludf.DUMMYFUNCTION("""COMPUTED_VALUE"""),"")</f>
        <v/>
      </c>
      <c r="S264" s="106" t="str">
        <f>IFERROR(__xludf.DUMMYFUNCTION("""COMPUTED_VALUE"""),"")</f>
        <v/>
      </c>
    </row>
    <row r="265">
      <c r="A265" s="136" t="s">
        <v>15</v>
      </c>
      <c r="B265" s="146">
        <v>46093.0</v>
      </c>
      <c r="C265" s="136" t="s">
        <v>49</v>
      </c>
      <c r="D265" s="136" t="s">
        <v>148</v>
      </c>
      <c r="E265" s="106">
        <v>0.05208333333575865</v>
      </c>
      <c r="F265" s="136" t="str">
        <f>IFERROR(__xludf.DUMMYFUNCTION("""COMPUTED_VALUE"""),"")</f>
        <v/>
      </c>
      <c r="G265" s="106" t="str">
        <f>IFERROR(__xludf.DUMMYFUNCTION("""COMPUTED_VALUE"""),"")</f>
        <v/>
      </c>
      <c r="I265" s="136" t="str">
        <f>IFERROR(__xludf.DUMMYFUNCTION("""COMPUTED_VALUE"""),"")</f>
        <v/>
      </c>
      <c r="J265" s="106" t="str">
        <f>IFERROR(__xludf.DUMMYFUNCTION("""COMPUTED_VALUE"""),"")</f>
        <v/>
      </c>
      <c r="L265" s="136" t="str">
        <f>IFERROR(__xludf.DUMMYFUNCTION("""COMPUTED_VALUE"""),"")</f>
        <v/>
      </c>
      <c r="M265" s="106" t="str">
        <f>IFERROR(__xludf.DUMMYFUNCTION("""COMPUTED_VALUE"""),"")</f>
        <v/>
      </c>
      <c r="O265" s="136" t="str">
        <f>IFERROR(__xludf.DUMMYFUNCTION("""COMPUTED_VALUE"""),"")</f>
        <v/>
      </c>
      <c r="P265" s="106" t="str">
        <f>IFERROR(__xludf.DUMMYFUNCTION("""COMPUTED_VALUE"""),"")</f>
        <v/>
      </c>
      <c r="R265" s="136" t="str">
        <f>IFERROR(__xludf.DUMMYFUNCTION("""COMPUTED_VALUE"""),"")</f>
        <v/>
      </c>
      <c r="S265" s="106" t="str">
        <f>IFERROR(__xludf.DUMMYFUNCTION("""COMPUTED_VALUE"""),"")</f>
        <v/>
      </c>
    </row>
    <row r="266">
      <c r="A266" s="136" t="s">
        <v>15</v>
      </c>
      <c r="B266" s="146">
        <v>46093.0</v>
      </c>
      <c r="C266" s="136" t="s">
        <v>49</v>
      </c>
      <c r="D266" s="136" t="s">
        <v>149</v>
      </c>
      <c r="E266" s="106">
        <v>0.07708333332993789</v>
      </c>
      <c r="F266" s="136" t="str">
        <f>IFERROR(__xludf.DUMMYFUNCTION("""COMPUTED_VALUE"""),"")</f>
        <v/>
      </c>
      <c r="G266" s="106" t="str">
        <f>IFERROR(__xludf.DUMMYFUNCTION("""COMPUTED_VALUE"""),"")</f>
        <v/>
      </c>
      <c r="I266" s="136" t="str">
        <f>IFERROR(__xludf.DUMMYFUNCTION("""COMPUTED_VALUE"""),"")</f>
        <v/>
      </c>
      <c r="J266" s="106" t="str">
        <f>IFERROR(__xludf.DUMMYFUNCTION("""COMPUTED_VALUE"""),"")</f>
        <v/>
      </c>
      <c r="L266" s="136" t="str">
        <f>IFERROR(__xludf.DUMMYFUNCTION("""COMPUTED_VALUE"""),"")</f>
        <v/>
      </c>
      <c r="M266" s="106" t="str">
        <f>IFERROR(__xludf.DUMMYFUNCTION("""COMPUTED_VALUE"""),"")</f>
        <v/>
      </c>
      <c r="O266" s="136" t="str">
        <f>IFERROR(__xludf.DUMMYFUNCTION("""COMPUTED_VALUE"""),"")</f>
        <v/>
      </c>
      <c r="P266" s="106" t="str">
        <f>IFERROR(__xludf.DUMMYFUNCTION("""COMPUTED_VALUE"""),"")</f>
        <v/>
      </c>
      <c r="R266" s="136" t="str">
        <f>IFERROR(__xludf.DUMMYFUNCTION("""COMPUTED_VALUE"""),"")</f>
        <v/>
      </c>
      <c r="S266" s="106" t="str">
        <f>IFERROR(__xludf.DUMMYFUNCTION("""COMPUTED_VALUE"""),"")</f>
        <v/>
      </c>
    </row>
    <row r="267">
      <c r="A267" s="136" t="s">
        <v>15</v>
      </c>
      <c r="B267" s="146">
        <v>46093.0</v>
      </c>
      <c r="C267" s="136" t="s">
        <v>49</v>
      </c>
      <c r="D267" s="136" t="s">
        <v>149</v>
      </c>
      <c r="E267" s="106">
        <v>0.061805555553291924</v>
      </c>
      <c r="F267" s="136" t="str">
        <f>IFERROR(__xludf.DUMMYFUNCTION("""COMPUTED_VALUE"""),"")</f>
        <v/>
      </c>
      <c r="G267" s="106" t="str">
        <f>IFERROR(__xludf.DUMMYFUNCTION("""COMPUTED_VALUE"""),"")</f>
        <v/>
      </c>
      <c r="I267" s="136" t="str">
        <f>IFERROR(__xludf.DUMMYFUNCTION("""COMPUTED_VALUE"""),"")</f>
        <v/>
      </c>
      <c r="J267" s="106" t="str">
        <f>IFERROR(__xludf.DUMMYFUNCTION("""COMPUTED_VALUE"""),"")</f>
        <v/>
      </c>
      <c r="L267" s="136" t="str">
        <f>IFERROR(__xludf.DUMMYFUNCTION("""COMPUTED_VALUE"""),"")</f>
        <v/>
      </c>
      <c r="M267" s="106" t="str">
        <f>IFERROR(__xludf.DUMMYFUNCTION("""COMPUTED_VALUE"""),"")</f>
        <v/>
      </c>
      <c r="O267" s="136" t="str">
        <f>IFERROR(__xludf.DUMMYFUNCTION("""COMPUTED_VALUE"""),"")</f>
        <v/>
      </c>
      <c r="P267" s="106" t="str">
        <f>IFERROR(__xludf.DUMMYFUNCTION("""COMPUTED_VALUE"""),"")</f>
        <v/>
      </c>
      <c r="R267" s="136" t="str">
        <f>IFERROR(__xludf.DUMMYFUNCTION("""COMPUTED_VALUE"""),"")</f>
        <v/>
      </c>
      <c r="S267" s="106" t="str">
        <f>IFERROR(__xludf.DUMMYFUNCTION("""COMPUTED_VALUE"""),"")</f>
        <v/>
      </c>
    </row>
    <row r="268">
      <c r="A268" s="136" t="s">
        <v>18</v>
      </c>
      <c r="B268" s="146">
        <v>46093.0</v>
      </c>
      <c r="C268" s="136" t="s">
        <v>49</v>
      </c>
      <c r="D268" s="136" t="s">
        <v>148</v>
      </c>
      <c r="E268" s="106">
        <v>0.07291666666424135</v>
      </c>
      <c r="F268" s="136" t="str">
        <f>IFERROR(__xludf.DUMMYFUNCTION("""COMPUTED_VALUE"""),"")</f>
        <v/>
      </c>
      <c r="G268" s="106" t="str">
        <f>IFERROR(__xludf.DUMMYFUNCTION("""COMPUTED_VALUE"""),"")</f>
        <v/>
      </c>
      <c r="I268" s="136" t="str">
        <f>IFERROR(__xludf.DUMMYFUNCTION("""COMPUTED_VALUE"""),"")</f>
        <v/>
      </c>
      <c r="J268" s="106" t="str">
        <f>IFERROR(__xludf.DUMMYFUNCTION("""COMPUTED_VALUE"""),"")</f>
        <v/>
      </c>
      <c r="L268" s="136" t="str">
        <f>IFERROR(__xludf.DUMMYFUNCTION("""COMPUTED_VALUE"""),"")</f>
        <v/>
      </c>
      <c r="M268" s="106" t="str">
        <f>IFERROR(__xludf.DUMMYFUNCTION("""COMPUTED_VALUE"""),"")</f>
        <v/>
      </c>
      <c r="O268" s="136" t="str">
        <f>IFERROR(__xludf.DUMMYFUNCTION("""COMPUTED_VALUE"""),"")</f>
        <v/>
      </c>
      <c r="P268" s="106" t="str">
        <f>IFERROR(__xludf.DUMMYFUNCTION("""COMPUTED_VALUE"""),"")</f>
        <v/>
      </c>
      <c r="R268" s="136" t="str">
        <f>IFERROR(__xludf.DUMMYFUNCTION("""COMPUTED_VALUE"""),"")</f>
        <v/>
      </c>
      <c r="S268" s="106" t="str">
        <f>IFERROR(__xludf.DUMMYFUNCTION("""COMPUTED_VALUE"""),"")</f>
        <v/>
      </c>
    </row>
    <row r="269">
      <c r="A269" s="136" t="s">
        <v>18</v>
      </c>
      <c r="B269" s="146">
        <v>46093.0</v>
      </c>
      <c r="C269" s="136" t="s">
        <v>49</v>
      </c>
      <c r="D269" s="136" t="s">
        <v>149</v>
      </c>
      <c r="E269" s="106">
        <v>0.09722222221898846</v>
      </c>
      <c r="F269" s="136">
        <f>IFERROR(__xludf.DUMMYFUNCTION("""COMPUTED_VALUE"""),98.0)</f>
        <v>98</v>
      </c>
      <c r="G269" s="106">
        <f>IFERROR(__xludf.DUMMYFUNCTION("""COMPUTED_VALUE"""),0.1534722222277196)</f>
        <v>0.1534722222</v>
      </c>
      <c r="I269" s="136">
        <f>IFERROR(__xludf.DUMMYFUNCTION("""COMPUTED_VALUE"""),17.0)</f>
        <v>17</v>
      </c>
      <c r="J269" s="106">
        <f>IFERROR(__xludf.DUMMYFUNCTION("""COMPUTED_VALUE"""),0.0194444444423425)</f>
        <v>0.01944444444</v>
      </c>
      <c r="L269" s="136">
        <f>IFERROR(__xludf.DUMMYFUNCTION("""COMPUTED_VALUE"""),255.0)</f>
        <v>255</v>
      </c>
      <c r="M269" s="106">
        <f>IFERROR(__xludf.DUMMYFUNCTION("""COMPUTED_VALUE"""),0.19097222221898846)</f>
        <v>0.1909722222</v>
      </c>
      <c r="O269" s="136">
        <f>IFERROR(__xludf.DUMMYFUNCTION("""COMPUTED_VALUE"""),0.0)</f>
        <v>0</v>
      </c>
      <c r="P269" s="106">
        <f>IFERROR(__xludf.DUMMYFUNCTION("""COMPUTED_VALUE"""),0.0)</f>
        <v>0</v>
      </c>
      <c r="R269" s="136">
        <f>IFERROR(__xludf.DUMMYFUNCTION("""COMPUTED_VALUE"""),494.0)</f>
        <v>494</v>
      </c>
      <c r="S269" s="106">
        <f>IFERROR(__xludf.DUMMYFUNCTION("""COMPUTED_VALUE"""),0.2326388888832298)</f>
        <v>0.2326388889</v>
      </c>
    </row>
    <row r="270">
      <c r="A270" s="136" t="s">
        <v>18</v>
      </c>
      <c r="B270" s="146">
        <v>46093.0</v>
      </c>
      <c r="C270" s="136" t="s">
        <v>49</v>
      </c>
      <c r="D270" s="136" t="s">
        <v>149</v>
      </c>
      <c r="E270" s="106">
        <v>0.0625</v>
      </c>
      <c r="F270" s="136" t="str">
        <f>IFERROR(__xludf.DUMMYFUNCTION("""COMPUTED_VALUE"""),"")</f>
        <v/>
      </c>
      <c r="G270" s="106" t="str">
        <f>IFERROR(__xludf.DUMMYFUNCTION("""COMPUTED_VALUE"""),"")</f>
        <v/>
      </c>
      <c r="I270" s="136" t="str">
        <f>IFERROR(__xludf.DUMMYFUNCTION("""COMPUTED_VALUE"""),"")</f>
        <v/>
      </c>
      <c r="J270" s="106" t="str">
        <f>IFERROR(__xludf.DUMMYFUNCTION("""COMPUTED_VALUE"""),"")</f>
        <v/>
      </c>
      <c r="L270" s="136" t="str">
        <f>IFERROR(__xludf.DUMMYFUNCTION("""COMPUTED_VALUE"""),"")</f>
        <v/>
      </c>
      <c r="M270" s="106" t="str">
        <f>IFERROR(__xludf.DUMMYFUNCTION("""COMPUTED_VALUE"""),"")</f>
        <v/>
      </c>
      <c r="O270" s="136" t="str">
        <f>IFERROR(__xludf.DUMMYFUNCTION("""COMPUTED_VALUE"""),"")</f>
        <v/>
      </c>
      <c r="P270" s="106" t="str">
        <f>IFERROR(__xludf.DUMMYFUNCTION("""COMPUTED_VALUE"""),"")</f>
        <v/>
      </c>
      <c r="R270" s="136" t="str">
        <f>IFERROR(__xludf.DUMMYFUNCTION("""COMPUTED_VALUE"""),"")</f>
        <v/>
      </c>
      <c r="S270" s="106" t="str">
        <f>IFERROR(__xludf.DUMMYFUNCTION("""COMPUTED_VALUE"""),"")</f>
        <v/>
      </c>
    </row>
    <row r="271">
      <c r="A271" s="136" t="s">
        <v>12</v>
      </c>
      <c r="B271" s="146">
        <v>46094.0</v>
      </c>
      <c r="C271" s="136" t="s">
        <v>53</v>
      </c>
      <c r="D271" s="136" t="s">
        <v>149</v>
      </c>
      <c r="E271" s="106">
        <v>0.03680555555183673</v>
      </c>
      <c r="F271" s="136" t="str">
        <f>IFERROR(__xludf.DUMMYFUNCTION("""COMPUTED_VALUE"""),"")</f>
        <v/>
      </c>
      <c r="G271" s="106" t="str">
        <f>IFERROR(__xludf.DUMMYFUNCTION("""COMPUTED_VALUE"""),"")</f>
        <v/>
      </c>
      <c r="I271" s="136" t="str">
        <f>IFERROR(__xludf.DUMMYFUNCTION("""COMPUTED_VALUE"""),"")</f>
        <v/>
      </c>
      <c r="J271" s="106" t="str">
        <f>IFERROR(__xludf.DUMMYFUNCTION("""COMPUTED_VALUE"""),"")</f>
        <v/>
      </c>
      <c r="L271" s="136" t="str">
        <f>IFERROR(__xludf.DUMMYFUNCTION("""COMPUTED_VALUE"""),"")</f>
        <v/>
      </c>
      <c r="M271" s="106" t="str">
        <f>IFERROR(__xludf.DUMMYFUNCTION("""COMPUTED_VALUE"""),"")</f>
        <v/>
      </c>
      <c r="O271" s="136" t="str">
        <f>IFERROR(__xludf.DUMMYFUNCTION("""COMPUTED_VALUE"""),"")</f>
        <v/>
      </c>
      <c r="P271" s="106" t="str">
        <f>IFERROR(__xludf.DUMMYFUNCTION("""COMPUTED_VALUE"""),"")</f>
        <v/>
      </c>
      <c r="R271" s="136" t="str">
        <f>IFERROR(__xludf.DUMMYFUNCTION("""COMPUTED_VALUE"""),"")</f>
        <v/>
      </c>
      <c r="S271" s="106" t="str">
        <f>IFERROR(__xludf.DUMMYFUNCTION("""COMPUTED_VALUE"""),"")</f>
        <v/>
      </c>
    </row>
    <row r="272">
      <c r="A272" s="136" t="s">
        <v>12</v>
      </c>
      <c r="B272" s="146">
        <v>46094.0</v>
      </c>
      <c r="C272" s="136" t="s">
        <v>53</v>
      </c>
      <c r="D272" s="136" t="s">
        <v>149</v>
      </c>
      <c r="E272" s="106">
        <v>0.0625</v>
      </c>
      <c r="F272" s="136">
        <f>IFERROR(__xludf.DUMMYFUNCTION("""COMPUTED_VALUE"""),72.0)</f>
        <v>72</v>
      </c>
      <c r="G272" s="106">
        <f>IFERROR(__xludf.DUMMYFUNCTION("""COMPUTED_VALUE"""),0.09930555555183673)</f>
        <v>0.09930555555</v>
      </c>
      <c r="I272" s="136">
        <f>IFERROR(__xludf.DUMMYFUNCTION("""COMPUTED_VALUE"""),0.0)</f>
        <v>0</v>
      </c>
      <c r="J272" s="106">
        <f>IFERROR(__xludf.DUMMYFUNCTION("""COMPUTED_VALUE"""),0.0)</f>
        <v>0</v>
      </c>
      <c r="L272" s="136">
        <f>IFERROR(__xludf.DUMMYFUNCTION("""COMPUTED_VALUE"""),0.0)</f>
        <v>0</v>
      </c>
      <c r="M272" s="106">
        <f>IFERROR(__xludf.DUMMYFUNCTION("""COMPUTED_VALUE"""),0.0)</f>
        <v>0</v>
      </c>
      <c r="O272" s="136">
        <f>IFERROR(__xludf.DUMMYFUNCTION("""COMPUTED_VALUE"""),0.0)</f>
        <v>0</v>
      </c>
      <c r="P272" s="106">
        <f>IFERROR(__xludf.DUMMYFUNCTION("""COMPUTED_VALUE"""),0.0)</f>
        <v>0</v>
      </c>
      <c r="R272" s="136">
        <f>IFERROR(__xludf.DUMMYFUNCTION("""COMPUTED_VALUE"""),63.0)</f>
        <v>63</v>
      </c>
      <c r="S272" s="106">
        <f>IFERROR(__xludf.DUMMYFUNCTION("""COMPUTED_VALUE"""),0.08333333333575865)</f>
        <v>0.08333333334</v>
      </c>
    </row>
    <row r="273">
      <c r="A273" s="136" t="s">
        <v>18</v>
      </c>
      <c r="B273" s="146">
        <v>46094.0</v>
      </c>
      <c r="C273" s="136" t="s">
        <v>53</v>
      </c>
      <c r="D273" s="136" t="s">
        <v>148</v>
      </c>
      <c r="E273" s="106">
        <v>0.08333333333575865</v>
      </c>
      <c r="F273" s="136" t="str">
        <f>IFERROR(__xludf.DUMMYFUNCTION("""COMPUTED_VALUE"""),"")</f>
        <v/>
      </c>
      <c r="G273" s="106" t="str">
        <f>IFERROR(__xludf.DUMMYFUNCTION("""COMPUTED_VALUE"""),"")</f>
        <v/>
      </c>
      <c r="I273" s="136" t="str">
        <f>IFERROR(__xludf.DUMMYFUNCTION("""COMPUTED_VALUE"""),"")</f>
        <v/>
      </c>
      <c r="J273" s="106" t="str">
        <f>IFERROR(__xludf.DUMMYFUNCTION("""COMPUTED_VALUE"""),"")</f>
        <v/>
      </c>
      <c r="L273" s="136" t="str">
        <f>IFERROR(__xludf.DUMMYFUNCTION("""COMPUTED_VALUE"""),"")</f>
        <v/>
      </c>
      <c r="M273" s="106" t="str">
        <f>IFERROR(__xludf.DUMMYFUNCTION("""COMPUTED_VALUE"""),"")</f>
        <v/>
      </c>
      <c r="O273" s="136" t="str">
        <f>IFERROR(__xludf.DUMMYFUNCTION("""COMPUTED_VALUE"""),"")</f>
        <v/>
      </c>
      <c r="P273" s="106" t="str">
        <f>IFERROR(__xludf.DUMMYFUNCTION("""COMPUTED_VALUE"""),"")</f>
        <v/>
      </c>
      <c r="R273" s="136" t="str">
        <f>IFERROR(__xludf.DUMMYFUNCTION("""COMPUTED_VALUE"""),"")</f>
        <v/>
      </c>
      <c r="S273" s="106" t="str">
        <f>IFERROR(__xludf.DUMMYFUNCTION("""COMPUTED_VALUE"""),"")</f>
        <v/>
      </c>
    </row>
    <row r="274">
      <c r="A274" s="136" t="s">
        <v>12</v>
      </c>
      <c r="B274" s="146">
        <v>46104.0</v>
      </c>
      <c r="C274" s="136" t="s">
        <v>37</v>
      </c>
      <c r="D274" s="136" t="s">
        <v>149</v>
      </c>
      <c r="E274" s="106">
        <v>0.06458333333284827</v>
      </c>
      <c r="F274" s="136" t="str">
        <f>IFERROR(__xludf.DUMMYFUNCTION("""COMPUTED_VALUE"""),"")</f>
        <v/>
      </c>
      <c r="G274" s="106" t="str">
        <f>IFERROR(__xludf.DUMMYFUNCTION("""COMPUTED_VALUE"""),"")</f>
        <v/>
      </c>
      <c r="I274" s="136" t="str">
        <f>IFERROR(__xludf.DUMMYFUNCTION("""COMPUTED_VALUE"""),"")</f>
        <v/>
      </c>
      <c r="J274" s="106" t="str">
        <f>IFERROR(__xludf.DUMMYFUNCTION("""COMPUTED_VALUE"""),"")</f>
        <v/>
      </c>
      <c r="L274" s="136" t="str">
        <f>IFERROR(__xludf.DUMMYFUNCTION("""COMPUTED_VALUE"""),"")</f>
        <v/>
      </c>
      <c r="M274" s="106" t="str">
        <f>IFERROR(__xludf.DUMMYFUNCTION("""COMPUTED_VALUE"""),"")</f>
        <v/>
      </c>
      <c r="O274" s="136" t="str">
        <f>IFERROR(__xludf.DUMMYFUNCTION("""COMPUTED_VALUE"""),"")</f>
        <v/>
      </c>
      <c r="P274" s="106" t="str">
        <f>IFERROR(__xludf.DUMMYFUNCTION("""COMPUTED_VALUE"""),"")</f>
        <v/>
      </c>
      <c r="R274" s="136" t="str">
        <f>IFERROR(__xludf.DUMMYFUNCTION("""COMPUTED_VALUE"""),"")</f>
        <v/>
      </c>
      <c r="S274" s="106" t="str">
        <f>IFERROR(__xludf.DUMMYFUNCTION("""COMPUTED_VALUE"""),"")</f>
        <v/>
      </c>
    </row>
    <row r="275">
      <c r="A275" s="136" t="s">
        <v>15</v>
      </c>
      <c r="B275" s="146">
        <v>46104.0</v>
      </c>
      <c r="C275" s="136" t="s">
        <v>37</v>
      </c>
      <c r="D275" s="136" t="s">
        <v>149</v>
      </c>
      <c r="E275" s="106">
        <v>0.125</v>
      </c>
      <c r="F275" s="136" t="str">
        <f>IFERROR(__xludf.DUMMYFUNCTION("""COMPUTED_VALUE"""),"")</f>
        <v/>
      </c>
      <c r="G275" s="106" t="str">
        <f>IFERROR(__xludf.DUMMYFUNCTION("""COMPUTED_VALUE"""),"")</f>
        <v/>
      </c>
      <c r="I275" s="136" t="str">
        <f>IFERROR(__xludf.DUMMYFUNCTION("""COMPUTED_VALUE"""),"")</f>
        <v/>
      </c>
      <c r="J275" s="106" t="str">
        <f>IFERROR(__xludf.DUMMYFUNCTION("""COMPUTED_VALUE"""),"")</f>
        <v/>
      </c>
      <c r="L275" s="136" t="str">
        <f>IFERROR(__xludf.DUMMYFUNCTION("""COMPUTED_VALUE"""),"")</f>
        <v/>
      </c>
      <c r="M275" s="106" t="str">
        <f>IFERROR(__xludf.DUMMYFUNCTION("""COMPUTED_VALUE"""),"")</f>
        <v/>
      </c>
      <c r="O275" s="136" t="str">
        <f>IFERROR(__xludf.DUMMYFUNCTION("""COMPUTED_VALUE"""),"")</f>
        <v/>
      </c>
      <c r="P275" s="106" t="str">
        <f>IFERROR(__xludf.DUMMYFUNCTION("""COMPUTED_VALUE"""),"")</f>
        <v/>
      </c>
      <c r="R275" s="136" t="str">
        <f>IFERROR(__xludf.DUMMYFUNCTION("""COMPUTED_VALUE"""),"")</f>
        <v/>
      </c>
      <c r="S275" s="106" t="str">
        <f>IFERROR(__xludf.DUMMYFUNCTION("""COMPUTED_VALUE"""),"")</f>
        <v/>
      </c>
    </row>
    <row r="276">
      <c r="A276" s="136" t="s">
        <v>18</v>
      </c>
      <c r="B276" s="146">
        <v>46104.0</v>
      </c>
      <c r="C276" s="136" t="s">
        <v>37</v>
      </c>
      <c r="D276" s="136" t="s">
        <v>148</v>
      </c>
      <c r="E276" s="106">
        <v>0.07777777778392192</v>
      </c>
      <c r="F276" s="136">
        <f>IFERROR(__xludf.DUMMYFUNCTION("""COMPUTED_VALUE"""),43.0)</f>
        <v>43</v>
      </c>
      <c r="G276" s="106">
        <f>IFERROR(__xludf.DUMMYFUNCTION("""COMPUTED_VALUE"""),0.06458333333284827)</f>
        <v>0.06458333333</v>
      </c>
      <c r="I276" s="136">
        <f>IFERROR(__xludf.DUMMYFUNCTION("""COMPUTED_VALUE"""),0.0)</f>
        <v>0</v>
      </c>
      <c r="J276" s="106">
        <f>IFERROR(__xludf.DUMMYFUNCTION("""COMPUTED_VALUE"""),0.0)</f>
        <v>0</v>
      </c>
      <c r="L276" s="136">
        <f>IFERROR(__xludf.DUMMYFUNCTION("""COMPUTED_VALUE"""),135.0)</f>
        <v>135</v>
      </c>
      <c r="M276" s="106">
        <f>IFERROR(__xludf.DUMMYFUNCTION("""COMPUTED_VALUE"""),0.125)</f>
        <v>0.125</v>
      </c>
      <c r="O276" s="136">
        <f>IFERROR(__xludf.DUMMYFUNCTION("""COMPUTED_VALUE"""),0.0)</f>
        <v>0</v>
      </c>
      <c r="P276" s="106">
        <f>IFERROR(__xludf.DUMMYFUNCTION("""COMPUTED_VALUE"""),0.0)</f>
        <v>0</v>
      </c>
      <c r="R276" s="136">
        <f>IFERROR(__xludf.DUMMYFUNCTION("""COMPUTED_VALUE"""),299.0)</f>
        <v>299</v>
      </c>
      <c r="S276" s="106">
        <f>IFERROR(__xludf.DUMMYFUNCTION("""COMPUTED_VALUE"""),0.20277777778392192)</f>
        <v>0.2027777778</v>
      </c>
    </row>
    <row r="277">
      <c r="A277" s="136" t="s">
        <v>18</v>
      </c>
      <c r="B277" s="146">
        <v>46104.0</v>
      </c>
      <c r="C277" s="136" t="s">
        <v>37</v>
      </c>
      <c r="D277" s="136" t="s">
        <v>148</v>
      </c>
      <c r="E277" s="106">
        <v>0.125</v>
      </c>
      <c r="F277" s="136" t="str">
        <f>IFERROR(__xludf.DUMMYFUNCTION("""COMPUTED_VALUE"""),"")</f>
        <v/>
      </c>
      <c r="G277" s="106" t="str">
        <f>IFERROR(__xludf.DUMMYFUNCTION("""COMPUTED_VALUE"""),"")</f>
        <v/>
      </c>
      <c r="I277" s="136" t="str">
        <f>IFERROR(__xludf.DUMMYFUNCTION("""COMPUTED_VALUE"""),"")</f>
        <v/>
      </c>
      <c r="J277" s="106" t="str">
        <f>IFERROR(__xludf.DUMMYFUNCTION("""COMPUTED_VALUE"""),"")</f>
        <v/>
      </c>
      <c r="L277" s="136" t="str">
        <f>IFERROR(__xludf.DUMMYFUNCTION("""COMPUTED_VALUE"""),"")</f>
        <v/>
      </c>
      <c r="M277" s="106" t="str">
        <f>IFERROR(__xludf.DUMMYFUNCTION("""COMPUTED_VALUE"""),"")</f>
        <v/>
      </c>
      <c r="O277" s="136" t="str">
        <f>IFERROR(__xludf.DUMMYFUNCTION("""COMPUTED_VALUE"""),"")</f>
        <v/>
      </c>
      <c r="P277" s="106" t="str">
        <f>IFERROR(__xludf.DUMMYFUNCTION("""COMPUTED_VALUE"""),"")</f>
        <v/>
      </c>
      <c r="R277" s="136" t="str">
        <f>IFERROR(__xludf.DUMMYFUNCTION("""COMPUTED_VALUE"""),"")</f>
        <v/>
      </c>
      <c r="S277" s="106" t="str">
        <f>IFERROR(__xludf.DUMMYFUNCTION("""COMPUTED_VALUE"""),"")</f>
        <v/>
      </c>
    </row>
    <row r="278">
      <c r="A278" s="136" t="s">
        <v>15</v>
      </c>
      <c r="B278" s="146">
        <v>46105.0</v>
      </c>
      <c r="C278" s="136" t="s">
        <v>41</v>
      </c>
      <c r="D278" s="136" t="s">
        <v>148</v>
      </c>
      <c r="E278" s="106">
        <v>0.070138888884685</v>
      </c>
      <c r="F278" s="136" t="str">
        <f>IFERROR(__xludf.DUMMYFUNCTION("""COMPUTED_VALUE"""),"")</f>
        <v/>
      </c>
      <c r="G278" s="106" t="str">
        <f>IFERROR(__xludf.DUMMYFUNCTION("""COMPUTED_VALUE"""),"")</f>
        <v/>
      </c>
      <c r="I278" s="136" t="str">
        <f>IFERROR(__xludf.DUMMYFUNCTION("""COMPUTED_VALUE"""),"")</f>
        <v/>
      </c>
      <c r="J278" s="106" t="str">
        <f>IFERROR(__xludf.DUMMYFUNCTION("""COMPUTED_VALUE"""),"")</f>
        <v/>
      </c>
      <c r="L278" s="136" t="str">
        <f>IFERROR(__xludf.DUMMYFUNCTION("""COMPUTED_VALUE"""),"")</f>
        <v/>
      </c>
      <c r="M278" s="106" t="str">
        <f>IFERROR(__xludf.DUMMYFUNCTION("""COMPUTED_VALUE"""),"")</f>
        <v/>
      </c>
      <c r="O278" s="136" t="str">
        <f>IFERROR(__xludf.DUMMYFUNCTION("""COMPUTED_VALUE"""),"")</f>
        <v/>
      </c>
      <c r="P278" s="106" t="str">
        <f>IFERROR(__xludf.DUMMYFUNCTION("""COMPUTED_VALUE"""),"")</f>
        <v/>
      </c>
      <c r="R278" s="136" t="str">
        <f>IFERROR(__xludf.DUMMYFUNCTION("""COMPUTED_VALUE"""),"")</f>
        <v/>
      </c>
      <c r="S278" s="106" t="str">
        <f>IFERROR(__xludf.DUMMYFUNCTION("""COMPUTED_VALUE"""),"")</f>
        <v/>
      </c>
    </row>
    <row r="279">
      <c r="A279" s="136" t="s">
        <v>134</v>
      </c>
      <c r="B279" s="146">
        <v>46105.0</v>
      </c>
      <c r="C279" s="136" t="s">
        <v>41</v>
      </c>
      <c r="D279" s="136" t="s">
        <v>149</v>
      </c>
      <c r="E279" s="106">
        <v>0.07152777777810115</v>
      </c>
      <c r="F279" s="136" t="str">
        <f>IFERROR(__xludf.DUMMYFUNCTION("""COMPUTED_VALUE"""),"")</f>
        <v/>
      </c>
      <c r="G279" s="106" t="str">
        <f>IFERROR(__xludf.DUMMYFUNCTION("""COMPUTED_VALUE"""),"")</f>
        <v/>
      </c>
      <c r="I279" s="136" t="str">
        <f>IFERROR(__xludf.DUMMYFUNCTION("""COMPUTED_VALUE"""),"")</f>
        <v/>
      </c>
      <c r="J279" s="106" t="str">
        <f>IFERROR(__xludf.DUMMYFUNCTION("""COMPUTED_VALUE"""),"")</f>
        <v/>
      </c>
      <c r="L279" s="136" t="str">
        <f>IFERROR(__xludf.DUMMYFUNCTION("""COMPUTED_VALUE"""),"")</f>
        <v/>
      </c>
      <c r="M279" s="106" t="str">
        <f>IFERROR(__xludf.DUMMYFUNCTION("""COMPUTED_VALUE"""),"")</f>
        <v/>
      </c>
      <c r="O279" s="136" t="str">
        <f>IFERROR(__xludf.DUMMYFUNCTION("""COMPUTED_VALUE"""),"")</f>
        <v/>
      </c>
      <c r="P279" s="106" t="str">
        <f>IFERROR(__xludf.DUMMYFUNCTION("""COMPUTED_VALUE"""),"")</f>
        <v/>
      </c>
      <c r="R279" s="136" t="str">
        <f>IFERROR(__xludf.DUMMYFUNCTION("""COMPUTED_VALUE"""),"")</f>
        <v/>
      </c>
      <c r="S279" s="106" t="str">
        <f>IFERROR(__xludf.DUMMYFUNCTION("""COMPUTED_VALUE"""),"")</f>
        <v/>
      </c>
    </row>
    <row r="280">
      <c r="A280" s="136" t="s">
        <v>15</v>
      </c>
      <c r="B280" s="146">
        <v>46105.0</v>
      </c>
      <c r="C280" s="136" t="s">
        <v>41</v>
      </c>
      <c r="D280" s="136" t="s">
        <v>148</v>
      </c>
      <c r="E280" s="106">
        <v>0.04513888889050577</v>
      </c>
      <c r="F280" s="136" t="str">
        <f>IFERROR(__xludf.DUMMYFUNCTION("""COMPUTED_VALUE"""),"")</f>
        <v/>
      </c>
      <c r="G280" s="106" t="str">
        <f>IFERROR(__xludf.DUMMYFUNCTION("""COMPUTED_VALUE"""),"")</f>
        <v/>
      </c>
      <c r="I280" s="136" t="str">
        <f>IFERROR(__xludf.DUMMYFUNCTION("""COMPUTED_VALUE"""),"")</f>
        <v/>
      </c>
      <c r="J280" s="106" t="str">
        <f>IFERROR(__xludf.DUMMYFUNCTION("""COMPUTED_VALUE"""),"")</f>
        <v/>
      </c>
      <c r="L280" s="136" t="str">
        <f>IFERROR(__xludf.DUMMYFUNCTION("""COMPUTED_VALUE"""),"")</f>
        <v/>
      </c>
      <c r="M280" s="106" t="str">
        <f>IFERROR(__xludf.DUMMYFUNCTION("""COMPUTED_VALUE"""),"")</f>
        <v/>
      </c>
      <c r="O280" s="136" t="str">
        <f>IFERROR(__xludf.DUMMYFUNCTION("""COMPUTED_VALUE"""),"")</f>
        <v/>
      </c>
      <c r="P280" s="106" t="str">
        <f>IFERROR(__xludf.DUMMYFUNCTION("""COMPUTED_VALUE"""),"")</f>
        <v/>
      </c>
      <c r="R280" s="136" t="str">
        <f>IFERROR(__xludf.DUMMYFUNCTION("""COMPUTED_VALUE"""),"")</f>
        <v/>
      </c>
      <c r="S280" s="106" t="str">
        <f>IFERROR(__xludf.DUMMYFUNCTION("""COMPUTED_VALUE"""),"")</f>
        <v/>
      </c>
    </row>
    <row r="281">
      <c r="A281" s="136" t="s">
        <v>15</v>
      </c>
      <c r="B281" s="146">
        <v>46105.0</v>
      </c>
      <c r="C281" s="136" t="s">
        <v>41</v>
      </c>
      <c r="D281" s="136" t="s">
        <v>148</v>
      </c>
      <c r="E281" s="106">
        <v>0.004166666665696539</v>
      </c>
      <c r="F281" s="136">
        <f>IFERROR(__xludf.DUMMYFUNCTION("""COMPUTED_VALUE"""),0.0)</f>
        <v>0</v>
      </c>
      <c r="G281" s="106">
        <f>IFERROR(__xludf.DUMMYFUNCTION("""COMPUTED_VALUE"""),0.0)</f>
        <v>0</v>
      </c>
      <c r="I281" s="136">
        <f>IFERROR(__xludf.DUMMYFUNCTION("""COMPUTED_VALUE"""),110.0)</f>
        <v>110</v>
      </c>
      <c r="J281" s="106">
        <f>IFERROR(__xludf.DUMMYFUNCTION("""COMPUTED_VALUE"""),0.07152777777810115)</f>
        <v>0.07152777778</v>
      </c>
      <c r="L281" s="136">
        <f>IFERROR(__xludf.DUMMYFUNCTION("""COMPUTED_VALUE"""),328.0)</f>
        <v>328</v>
      </c>
      <c r="M281" s="106">
        <f>IFERROR(__xludf.DUMMYFUNCTION("""COMPUTED_VALUE"""),0.11944444444088731)</f>
        <v>0.1194444444</v>
      </c>
      <c r="O281" s="136">
        <f>IFERROR(__xludf.DUMMYFUNCTION("""COMPUTED_VALUE"""),0.0)</f>
        <v>0</v>
      </c>
      <c r="P281" s="106">
        <f>IFERROR(__xludf.DUMMYFUNCTION("""COMPUTED_VALUE"""),0.0)</f>
        <v>0</v>
      </c>
      <c r="R281" s="136">
        <f>IFERROR(__xludf.DUMMYFUNCTION("""COMPUTED_VALUE"""),57.0)</f>
        <v>57</v>
      </c>
      <c r="S281" s="106">
        <f>IFERROR(__xludf.DUMMYFUNCTION("""COMPUTED_VALUE"""),0.05833333333430346)</f>
        <v>0.05833333333</v>
      </c>
    </row>
    <row r="282">
      <c r="A282" s="136" t="s">
        <v>18</v>
      </c>
      <c r="B282" s="146">
        <v>46105.0</v>
      </c>
      <c r="C282" s="136" t="s">
        <v>41</v>
      </c>
      <c r="D282" s="136" t="s">
        <v>149</v>
      </c>
      <c r="E282" s="106">
        <v>0.05833333333430346</v>
      </c>
      <c r="F282" s="136" t="str">
        <f>IFERROR(__xludf.DUMMYFUNCTION("""COMPUTED_VALUE"""),"")</f>
        <v/>
      </c>
      <c r="G282" s="106" t="str">
        <f>IFERROR(__xludf.DUMMYFUNCTION("""COMPUTED_VALUE"""),"")</f>
        <v/>
      </c>
      <c r="I282" s="136" t="str">
        <f>IFERROR(__xludf.DUMMYFUNCTION("""COMPUTED_VALUE"""),"")</f>
        <v/>
      </c>
      <c r="J282" s="106" t="str">
        <f>IFERROR(__xludf.DUMMYFUNCTION("""COMPUTED_VALUE"""),"")</f>
        <v/>
      </c>
      <c r="L282" s="136" t="str">
        <f>IFERROR(__xludf.DUMMYFUNCTION("""COMPUTED_VALUE"""),"")</f>
        <v/>
      </c>
      <c r="M282" s="106" t="str">
        <f>IFERROR(__xludf.DUMMYFUNCTION("""COMPUTED_VALUE"""),"")</f>
        <v/>
      </c>
      <c r="O282" s="136" t="str">
        <f>IFERROR(__xludf.DUMMYFUNCTION("""COMPUTED_VALUE"""),"")</f>
        <v/>
      </c>
      <c r="P282" s="106" t="str">
        <f>IFERROR(__xludf.DUMMYFUNCTION("""COMPUTED_VALUE"""),"")</f>
        <v/>
      </c>
      <c r="R282" s="136" t="str">
        <f>IFERROR(__xludf.DUMMYFUNCTION("""COMPUTED_VALUE"""),"")</f>
        <v/>
      </c>
      <c r="S282" s="106" t="str">
        <f>IFERROR(__xludf.DUMMYFUNCTION("""COMPUTED_VALUE"""),"")</f>
        <v/>
      </c>
    </row>
    <row r="283">
      <c r="A283" s="136" t="s">
        <v>12</v>
      </c>
      <c r="B283" s="146">
        <v>46106.0</v>
      </c>
      <c r="C283" s="136" t="s">
        <v>45</v>
      </c>
      <c r="D283" s="136" t="s">
        <v>149</v>
      </c>
      <c r="E283" s="106">
        <v>0.11666666666860692</v>
      </c>
      <c r="F283" s="136" t="str">
        <f>IFERROR(__xludf.DUMMYFUNCTION("""COMPUTED_VALUE"""),"")</f>
        <v/>
      </c>
      <c r="G283" s="106" t="str">
        <f>IFERROR(__xludf.DUMMYFUNCTION("""COMPUTED_VALUE"""),"")</f>
        <v/>
      </c>
      <c r="I283" s="136" t="str">
        <f>IFERROR(__xludf.DUMMYFUNCTION("""COMPUTED_VALUE"""),"")</f>
        <v/>
      </c>
      <c r="J283" s="106" t="str">
        <f>IFERROR(__xludf.DUMMYFUNCTION("""COMPUTED_VALUE"""),"")</f>
        <v/>
      </c>
      <c r="L283" s="136" t="str">
        <f>IFERROR(__xludf.DUMMYFUNCTION("""COMPUTED_VALUE"""),"")</f>
        <v/>
      </c>
      <c r="M283" s="106" t="str">
        <f>IFERROR(__xludf.DUMMYFUNCTION("""COMPUTED_VALUE"""),"")</f>
        <v/>
      </c>
      <c r="O283" s="136" t="str">
        <f>IFERROR(__xludf.DUMMYFUNCTION("""COMPUTED_VALUE"""),"")</f>
        <v/>
      </c>
      <c r="P283" s="106" t="str">
        <f>IFERROR(__xludf.DUMMYFUNCTION("""COMPUTED_VALUE"""),"")</f>
        <v/>
      </c>
      <c r="R283" s="136" t="str">
        <f>IFERROR(__xludf.DUMMYFUNCTION("""COMPUTED_VALUE"""),"")</f>
        <v/>
      </c>
      <c r="S283" s="106" t="str">
        <f>IFERROR(__xludf.DUMMYFUNCTION("""COMPUTED_VALUE"""),"")</f>
        <v/>
      </c>
    </row>
    <row r="284">
      <c r="A284" s="136" t="s">
        <v>134</v>
      </c>
      <c r="B284" s="146">
        <v>46106.0</v>
      </c>
      <c r="C284" s="136" t="s">
        <v>45</v>
      </c>
      <c r="D284" s="136" t="s">
        <v>149</v>
      </c>
      <c r="E284" s="106">
        <v>0.05555555555636399</v>
      </c>
      <c r="F284" s="136" t="str">
        <f>IFERROR(__xludf.DUMMYFUNCTION("""COMPUTED_VALUE"""),"")</f>
        <v/>
      </c>
      <c r="G284" s="106" t="str">
        <f>IFERROR(__xludf.DUMMYFUNCTION("""COMPUTED_VALUE"""),"")</f>
        <v/>
      </c>
      <c r="I284" s="136" t="str">
        <f>IFERROR(__xludf.DUMMYFUNCTION("""COMPUTED_VALUE"""),"")</f>
        <v/>
      </c>
      <c r="J284" s="106" t="str">
        <f>IFERROR(__xludf.DUMMYFUNCTION("""COMPUTED_VALUE"""),"")</f>
        <v/>
      </c>
      <c r="L284" s="136" t="str">
        <f>IFERROR(__xludf.DUMMYFUNCTION("""COMPUTED_VALUE"""),"")</f>
        <v/>
      </c>
      <c r="M284" s="106" t="str">
        <f>IFERROR(__xludf.DUMMYFUNCTION("""COMPUTED_VALUE"""),"")</f>
        <v/>
      </c>
      <c r="O284" s="136" t="str">
        <f>IFERROR(__xludf.DUMMYFUNCTION("""COMPUTED_VALUE"""),"")</f>
        <v/>
      </c>
      <c r="P284" s="106" t="str">
        <f>IFERROR(__xludf.DUMMYFUNCTION("""COMPUTED_VALUE"""),"")</f>
        <v/>
      </c>
      <c r="R284" s="136" t="str">
        <f>IFERROR(__xludf.DUMMYFUNCTION("""COMPUTED_VALUE"""),"")</f>
        <v/>
      </c>
      <c r="S284" s="106" t="str">
        <f>IFERROR(__xludf.DUMMYFUNCTION("""COMPUTED_VALUE"""),"")</f>
        <v/>
      </c>
    </row>
    <row r="285">
      <c r="A285" s="136" t="s">
        <v>18</v>
      </c>
      <c r="B285" s="146">
        <v>46106.0</v>
      </c>
      <c r="C285" s="136" t="s">
        <v>45</v>
      </c>
      <c r="D285" s="136" t="s">
        <v>149</v>
      </c>
      <c r="E285" s="106">
        <v>0.16666666666424135</v>
      </c>
      <c r="F285" s="136">
        <f>IFERROR(__xludf.DUMMYFUNCTION("""COMPUTED_VALUE"""),128.0)</f>
        <v>128</v>
      </c>
      <c r="G285" s="106">
        <f>IFERROR(__xludf.DUMMYFUNCTION("""COMPUTED_VALUE"""),0.11666666666860692)</f>
        <v>0.1166666667</v>
      </c>
      <c r="I285" s="136">
        <f>IFERROR(__xludf.DUMMYFUNCTION("""COMPUTED_VALUE"""),65.0)</f>
        <v>65</v>
      </c>
      <c r="J285" s="106">
        <f>IFERROR(__xludf.DUMMYFUNCTION("""COMPUTED_VALUE"""),0.05555555555636399)</f>
        <v>0.05555555556</v>
      </c>
      <c r="L285" s="136">
        <f>IFERROR(__xludf.DUMMYFUNCTION("""COMPUTED_VALUE"""),0.0)</f>
        <v>0</v>
      </c>
      <c r="M285" s="106">
        <f>IFERROR(__xludf.DUMMYFUNCTION("""COMPUTED_VALUE"""),0.0)</f>
        <v>0</v>
      </c>
      <c r="O285" s="136">
        <f>IFERROR(__xludf.DUMMYFUNCTION("""COMPUTED_VALUE"""),0.0)</f>
        <v>0</v>
      </c>
      <c r="P285" s="106">
        <f>IFERROR(__xludf.DUMMYFUNCTION("""COMPUTED_VALUE"""),0.0)</f>
        <v>0</v>
      </c>
      <c r="R285" s="136">
        <f>IFERROR(__xludf.DUMMYFUNCTION("""COMPUTED_VALUE"""),359.0)</f>
        <v>359</v>
      </c>
      <c r="S285" s="106">
        <f>IFERROR(__xludf.DUMMYFUNCTION("""COMPUTED_VALUE"""),0.29166666666424135)</f>
        <v>0.2916666667</v>
      </c>
    </row>
    <row r="286">
      <c r="A286" s="136" t="s">
        <v>18</v>
      </c>
      <c r="B286" s="146">
        <v>46106.0</v>
      </c>
      <c r="C286" s="136" t="s">
        <v>45</v>
      </c>
      <c r="D286" s="136" t="s">
        <v>148</v>
      </c>
      <c r="E286" s="106">
        <v>0.125</v>
      </c>
      <c r="F286" s="136" t="str">
        <f>IFERROR(__xludf.DUMMYFUNCTION("""COMPUTED_VALUE"""),"")</f>
        <v/>
      </c>
      <c r="G286" s="106" t="str">
        <f>IFERROR(__xludf.DUMMYFUNCTION("""COMPUTED_VALUE"""),"")</f>
        <v/>
      </c>
      <c r="I286" s="136" t="str">
        <f>IFERROR(__xludf.DUMMYFUNCTION("""COMPUTED_VALUE"""),"")</f>
        <v/>
      </c>
      <c r="J286" s="106" t="str">
        <f>IFERROR(__xludf.DUMMYFUNCTION("""COMPUTED_VALUE"""),"")</f>
        <v/>
      </c>
      <c r="L286" s="136" t="str">
        <f>IFERROR(__xludf.DUMMYFUNCTION("""COMPUTED_VALUE"""),"")</f>
        <v/>
      </c>
      <c r="M286" s="106" t="str">
        <f>IFERROR(__xludf.DUMMYFUNCTION("""COMPUTED_VALUE"""),"")</f>
        <v/>
      </c>
      <c r="O286" s="136" t="str">
        <f>IFERROR(__xludf.DUMMYFUNCTION("""COMPUTED_VALUE"""),"")</f>
        <v/>
      </c>
      <c r="P286" s="106" t="str">
        <f>IFERROR(__xludf.DUMMYFUNCTION("""COMPUTED_VALUE"""),"")</f>
        <v/>
      </c>
      <c r="R286" s="136" t="str">
        <f>IFERROR(__xludf.DUMMYFUNCTION("""COMPUTED_VALUE"""),"")</f>
        <v/>
      </c>
      <c r="S286" s="106" t="str">
        <f>IFERROR(__xludf.DUMMYFUNCTION("""COMPUTED_VALUE"""),"")</f>
        <v/>
      </c>
    </row>
    <row r="287">
      <c r="A287" s="136" t="s">
        <v>12</v>
      </c>
      <c r="B287" s="146">
        <v>46107.0</v>
      </c>
      <c r="C287" s="136" t="s">
        <v>49</v>
      </c>
      <c r="D287" s="136" t="s">
        <v>149</v>
      </c>
      <c r="E287" s="106">
        <v>0.07013888889196096</v>
      </c>
      <c r="F287" s="136" t="str">
        <f>IFERROR(__xludf.DUMMYFUNCTION("""COMPUTED_VALUE"""),"")</f>
        <v/>
      </c>
      <c r="G287" s="106" t="str">
        <f>IFERROR(__xludf.DUMMYFUNCTION("""COMPUTED_VALUE"""),"")</f>
        <v/>
      </c>
      <c r="I287" s="136" t="str">
        <f>IFERROR(__xludf.DUMMYFUNCTION("""COMPUTED_VALUE"""),"")</f>
        <v/>
      </c>
      <c r="J287" s="106" t="str">
        <f>IFERROR(__xludf.DUMMYFUNCTION("""COMPUTED_VALUE"""),"")</f>
        <v/>
      </c>
      <c r="L287" s="136" t="str">
        <f>IFERROR(__xludf.DUMMYFUNCTION("""COMPUTED_VALUE"""),"")</f>
        <v/>
      </c>
      <c r="M287" s="106" t="str">
        <f>IFERROR(__xludf.DUMMYFUNCTION("""COMPUTED_VALUE"""),"")</f>
        <v/>
      </c>
      <c r="O287" s="136" t="str">
        <f>IFERROR(__xludf.DUMMYFUNCTION("""COMPUTED_VALUE"""),"")</f>
        <v/>
      </c>
      <c r="P287" s="106" t="str">
        <f>IFERROR(__xludf.DUMMYFUNCTION("""COMPUTED_VALUE"""),"")</f>
        <v/>
      </c>
      <c r="R287" s="136" t="str">
        <f>IFERROR(__xludf.DUMMYFUNCTION("""COMPUTED_VALUE"""),"")</f>
        <v/>
      </c>
      <c r="S287" s="106" t="str">
        <f>IFERROR(__xludf.DUMMYFUNCTION("""COMPUTED_VALUE"""),"")</f>
        <v/>
      </c>
    </row>
    <row r="288">
      <c r="A288" s="136" t="s">
        <v>134</v>
      </c>
      <c r="B288" s="146">
        <v>46107.0</v>
      </c>
      <c r="C288" s="136" t="s">
        <v>49</v>
      </c>
      <c r="D288" s="136" t="s">
        <v>149</v>
      </c>
      <c r="E288" s="106">
        <v>0.10694444444379769</v>
      </c>
      <c r="F288" s="136" t="str">
        <f>IFERROR(__xludf.DUMMYFUNCTION("""COMPUTED_VALUE"""),"")</f>
        <v/>
      </c>
      <c r="G288" s="106" t="str">
        <f>IFERROR(__xludf.DUMMYFUNCTION("""COMPUTED_VALUE"""),"")</f>
        <v/>
      </c>
      <c r="I288" s="136" t="str">
        <f>IFERROR(__xludf.DUMMYFUNCTION("""COMPUTED_VALUE"""),"")</f>
        <v/>
      </c>
      <c r="J288" s="106" t="str">
        <f>IFERROR(__xludf.DUMMYFUNCTION("""COMPUTED_VALUE"""),"")</f>
        <v/>
      </c>
      <c r="L288" s="136" t="str">
        <f>IFERROR(__xludf.DUMMYFUNCTION("""COMPUTED_VALUE"""),"")</f>
        <v/>
      </c>
      <c r="M288" s="106" t="str">
        <f>IFERROR(__xludf.DUMMYFUNCTION("""COMPUTED_VALUE"""),"")</f>
        <v/>
      </c>
      <c r="O288" s="136" t="str">
        <f>IFERROR(__xludf.DUMMYFUNCTION("""COMPUTED_VALUE"""),"")</f>
        <v/>
      </c>
      <c r="P288" s="106" t="str">
        <f>IFERROR(__xludf.DUMMYFUNCTION("""COMPUTED_VALUE"""),"")</f>
        <v/>
      </c>
      <c r="R288" s="136" t="str">
        <f>IFERROR(__xludf.DUMMYFUNCTION("""COMPUTED_VALUE"""),"")</f>
        <v/>
      </c>
      <c r="S288" s="106" t="str">
        <f>IFERROR(__xludf.DUMMYFUNCTION("""COMPUTED_VALUE"""),"")</f>
        <v/>
      </c>
    </row>
    <row r="289">
      <c r="A289" s="136" t="s">
        <v>15</v>
      </c>
      <c r="B289" s="146">
        <v>46107.0</v>
      </c>
      <c r="C289" s="136" t="s">
        <v>49</v>
      </c>
      <c r="D289" s="136" t="s">
        <v>148</v>
      </c>
      <c r="E289" s="106">
        <v>0.05208333333575865</v>
      </c>
      <c r="F289" s="136" t="str">
        <f>IFERROR(__xludf.DUMMYFUNCTION("""COMPUTED_VALUE"""),"")</f>
        <v/>
      </c>
      <c r="G289" s="106" t="str">
        <f>IFERROR(__xludf.DUMMYFUNCTION("""COMPUTED_VALUE"""),"")</f>
        <v/>
      </c>
      <c r="I289" s="136" t="str">
        <f>IFERROR(__xludf.DUMMYFUNCTION("""COMPUTED_VALUE"""),"")</f>
        <v/>
      </c>
      <c r="J289" s="106" t="str">
        <f>IFERROR(__xludf.DUMMYFUNCTION("""COMPUTED_VALUE"""),"")</f>
        <v/>
      </c>
      <c r="L289" s="136" t="str">
        <f>IFERROR(__xludf.DUMMYFUNCTION("""COMPUTED_VALUE"""),"")</f>
        <v/>
      </c>
      <c r="M289" s="106" t="str">
        <f>IFERROR(__xludf.DUMMYFUNCTION("""COMPUTED_VALUE"""),"")</f>
        <v/>
      </c>
      <c r="O289" s="136" t="str">
        <f>IFERROR(__xludf.DUMMYFUNCTION("""COMPUTED_VALUE"""),"")</f>
        <v/>
      </c>
      <c r="P289" s="106" t="str">
        <f>IFERROR(__xludf.DUMMYFUNCTION("""COMPUTED_VALUE"""),"")</f>
        <v/>
      </c>
      <c r="R289" s="136" t="str">
        <f>IFERROR(__xludf.DUMMYFUNCTION("""COMPUTED_VALUE"""),"")</f>
        <v/>
      </c>
      <c r="S289" s="106" t="str">
        <f>IFERROR(__xludf.DUMMYFUNCTION("""COMPUTED_VALUE"""),"")</f>
        <v/>
      </c>
    </row>
    <row r="290">
      <c r="A290" s="136" t="s">
        <v>15</v>
      </c>
      <c r="B290" s="146">
        <v>46107.0</v>
      </c>
      <c r="C290" s="136" t="s">
        <v>49</v>
      </c>
      <c r="D290" s="136" t="s">
        <v>149</v>
      </c>
      <c r="E290" s="106">
        <v>0.07569444444379769</v>
      </c>
      <c r="F290" s="136">
        <f>IFERROR(__xludf.DUMMYFUNCTION("""COMPUTED_VALUE"""),10.0)</f>
        <v>10</v>
      </c>
      <c r="G290" s="106">
        <f>IFERROR(__xludf.DUMMYFUNCTION("""COMPUTED_VALUE"""),0.07013888889196096)</f>
        <v>0.07013888889</v>
      </c>
      <c r="I290" s="136">
        <f>IFERROR(__xludf.DUMMYFUNCTION("""COMPUTED_VALUE"""),86.0)</f>
        <v>86</v>
      </c>
      <c r="J290" s="106">
        <f>IFERROR(__xludf.DUMMYFUNCTION("""COMPUTED_VALUE"""),0.10694444444379769)</f>
        <v>0.1069444444</v>
      </c>
      <c r="L290" s="136">
        <f>IFERROR(__xludf.DUMMYFUNCTION("""COMPUTED_VALUE"""),171.0)</f>
        <v>171</v>
      </c>
      <c r="M290" s="106">
        <f>IFERROR(__xludf.DUMMYFUNCTION("""COMPUTED_VALUE"""),0.12777777777955635)</f>
        <v>0.1277777778</v>
      </c>
      <c r="O290" s="136">
        <f>IFERROR(__xludf.DUMMYFUNCTION("""COMPUTED_VALUE"""),0.0)</f>
        <v>0</v>
      </c>
      <c r="P290" s="106">
        <f>IFERROR(__xludf.DUMMYFUNCTION("""COMPUTED_VALUE"""),0.0)</f>
        <v>0</v>
      </c>
      <c r="R290" s="136">
        <f>IFERROR(__xludf.DUMMYFUNCTION("""COMPUTED_VALUE"""),146.0)</f>
        <v>146</v>
      </c>
      <c r="S290" s="106">
        <f>IFERROR(__xludf.DUMMYFUNCTION("""COMPUTED_VALUE"""),0.15972222221898846)</f>
        <v>0.1597222222</v>
      </c>
    </row>
    <row r="291">
      <c r="A291" s="136" t="s">
        <v>18</v>
      </c>
      <c r="B291" s="146">
        <v>46107.0</v>
      </c>
      <c r="C291" s="136" t="s">
        <v>49</v>
      </c>
      <c r="D291" s="136" t="s">
        <v>149</v>
      </c>
      <c r="E291" s="106">
        <v>0.15972222221898846</v>
      </c>
      <c r="F291" s="136" t="str">
        <f>IFERROR(__xludf.DUMMYFUNCTION("""COMPUTED_VALUE"""),"")</f>
        <v/>
      </c>
      <c r="G291" s="106" t="str">
        <f>IFERROR(__xludf.DUMMYFUNCTION("""COMPUTED_VALUE"""),"")</f>
        <v/>
      </c>
      <c r="I291" s="136" t="str">
        <f>IFERROR(__xludf.DUMMYFUNCTION("""COMPUTED_VALUE"""),"")</f>
        <v/>
      </c>
      <c r="J291" s="106" t="str">
        <f>IFERROR(__xludf.DUMMYFUNCTION("""COMPUTED_VALUE"""),"")</f>
        <v/>
      </c>
      <c r="L291" s="136" t="str">
        <f>IFERROR(__xludf.DUMMYFUNCTION("""COMPUTED_VALUE"""),"")</f>
        <v/>
      </c>
      <c r="M291" s="106" t="str">
        <f>IFERROR(__xludf.DUMMYFUNCTION("""COMPUTED_VALUE"""),"")</f>
        <v/>
      </c>
      <c r="O291" s="136" t="str">
        <f>IFERROR(__xludf.DUMMYFUNCTION("""COMPUTED_VALUE"""),"")</f>
        <v/>
      </c>
      <c r="P291" s="106" t="str">
        <f>IFERROR(__xludf.DUMMYFUNCTION("""COMPUTED_VALUE"""),"")</f>
        <v/>
      </c>
      <c r="R291" s="136" t="str">
        <f>IFERROR(__xludf.DUMMYFUNCTION("""COMPUTED_VALUE"""),"")</f>
        <v/>
      </c>
      <c r="S291" s="106" t="str">
        <f>IFERROR(__xludf.DUMMYFUNCTION("""COMPUTED_VALUE"""),"")</f>
        <v/>
      </c>
    </row>
    <row r="292">
      <c r="A292" s="136" t="s">
        <v>15</v>
      </c>
      <c r="B292" s="146">
        <v>46108.0</v>
      </c>
      <c r="C292" s="136" t="s">
        <v>53</v>
      </c>
      <c r="D292" s="136" t="s">
        <v>149</v>
      </c>
      <c r="E292" s="106">
        <v>0.061805555553291924</v>
      </c>
      <c r="F292" s="136" t="str">
        <f>IFERROR(__xludf.DUMMYFUNCTION("""COMPUTED_VALUE"""),"")</f>
        <v/>
      </c>
      <c r="G292" s="106" t="str">
        <f>IFERROR(__xludf.DUMMYFUNCTION("""COMPUTED_VALUE"""),"")</f>
        <v/>
      </c>
      <c r="I292" s="136" t="str">
        <f>IFERROR(__xludf.DUMMYFUNCTION("""COMPUTED_VALUE"""),"")</f>
        <v/>
      </c>
      <c r="J292" s="106" t="str">
        <f>IFERROR(__xludf.DUMMYFUNCTION("""COMPUTED_VALUE"""),"")</f>
        <v/>
      </c>
      <c r="L292" s="136" t="str">
        <f>IFERROR(__xludf.DUMMYFUNCTION("""COMPUTED_VALUE"""),"")</f>
        <v/>
      </c>
      <c r="M292" s="106" t="str">
        <f>IFERROR(__xludf.DUMMYFUNCTION("""COMPUTED_VALUE"""),"")</f>
        <v/>
      </c>
      <c r="O292" s="136" t="str">
        <f>IFERROR(__xludf.DUMMYFUNCTION("""COMPUTED_VALUE"""),"")</f>
        <v/>
      </c>
      <c r="P292" s="106" t="str">
        <f>IFERROR(__xludf.DUMMYFUNCTION("""COMPUTED_VALUE"""),"")</f>
        <v/>
      </c>
      <c r="R292" s="136" t="str">
        <f>IFERROR(__xludf.DUMMYFUNCTION("""COMPUTED_VALUE"""),"")</f>
        <v/>
      </c>
      <c r="S292" s="106" t="str">
        <f>IFERROR(__xludf.DUMMYFUNCTION("""COMPUTED_VALUE"""),"")</f>
        <v/>
      </c>
    </row>
    <row r="293">
      <c r="A293" s="136" t="s">
        <v>12</v>
      </c>
      <c r="B293" s="146">
        <v>46108.0</v>
      </c>
      <c r="C293" s="136" t="s">
        <v>53</v>
      </c>
      <c r="D293" s="136" t="s">
        <v>149</v>
      </c>
      <c r="E293" s="106">
        <v>0.0625</v>
      </c>
      <c r="F293" s="136" t="str">
        <f>IFERROR(__xludf.DUMMYFUNCTION("""COMPUTED_VALUE"""),"")</f>
        <v/>
      </c>
      <c r="G293" s="106" t="str">
        <f>IFERROR(__xludf.DUMMYFUNCTION("""COMPUTED_VALUE"""),"")</f>
        <v/>
      </c>
      <c r="I293" s="136" t="str">
        <f>IFERROR(__xludf.DUMMYFUNCTION("""COMPUTED_VALUE"""),"")</f>
        <v/>
      </c>
      <c r="J293" s="106" t="str">
        <f>IFERROR(__xludf.DUMMYFUNCTION("""COMPUTED_VALUE"""),"")</f>
        <v/>
      </c>
      <c r="L293" s="136" t="str">
        <f>IFERROR(__xludf.DUMMYFUNCTION("""COMPUTED_VALUE"""),"")</f>
        <v/>
      </c>
      <c r="M293" s="106" t="str">
        <f>IFERROR(__xludf.DUMMYFUNCTION("""COMPUTED_VALUE"""),"")</f>
        <v/>
      </c>
      <c r="O293" s="136" t="str">
        <f>IFERROR(__xludf.DUMMYFUNCTION("""COMPUTED_VALUE"""),"")</f>
        <v/>
      </c>
      <c r="P293" s="106" t="str">
        <f>IFERROR(__xludf.DUMMYFUNCTION("""COMPUTED_VALUE"""),"")</f>
        <v/>
      </c>
      <c r="R293" s="136" t="str">
        <f>IFERROR(__xludf.DUMMYFUNCTION("""COMPUTED_VALUE"""),"")</f>
        <v/>
      </c>
      <c r="S293" s="106" t="str">
        <f>IFERROR(__xludf.DUMMYFUNCTION("""COMPUTED_VALUE"""),"")</f>
        <v/>
      </c>
    </row>
    <row r="294">
      <c r="A294" s="136" t="s">
        <v>15</v>
      </c>
      <c r="B294" s="146">
        <v>46108.0</v>
      </c>
      <c r="C294" s="136" t="s">
        <v>53</v>
      </c>
      <c r="D294" s="136" t="s">
        <v>148</v>
      </c>
      <c r="E294" s="106">
        <v>0.052083333328482695</v>
      </c>
      <c r="F294" s="136" t="str">
        <f>IFERROR(__xludf.DUMMYFUNCTION("""COMPUTED_VALUE"""),"")</f>
        <v/>
      </c>
      <c r="G294" s="106" t="str">
        <f>IFERROR(__xludf.DUMMYFUNCTION("""COMPUTED_VALUE"""),"")</f>
        <v/>
      </c>
      <c r="I294" s="136" t="str">
        <f>IFERROR(__xludf.DUMMYFUNCTION("""COMPUTED_VALUE"""),"")</f>
        <v/>
      </c>
      <c r="J294" s="106" t="str">
        <f>IFERROR(__xludf.DUMMYFUNCTION("""COMPUTED_VALUE"""),"")</f>
        <v/>
      </c>
      <c r="L294" s="136" t="str">
        <f>IFERROR(__xludf.DUMMYFUNCTION("""COMPUTED_VALUE"""),"")</f>
        <v/>
      </c>
      <c r="M294" s="106" t="str">
        <f>IFERROR(__xludf.DUMMYFUNCTION("""COMPUTED_VALUE"""),"")</f>
        <v/>
      </c>
      <c r="O294" s="136" t="str">
        <f>IFERROR(__xludf.DUMMYFUNCTION("""COMPUTED_VALUE"""),"")</f>
        <v/>
      </c>
      <c r="P294" s="106" t="str">
        <f>IFERROR(__xludf.DUMMYFUNCTION("""COMPUTED_VALUE"""),"")</f>
        <v/>
      </c>
      <c r="R294" s="136" t="str">
        <f>IFERROR(__xludf.DUMMYFUNCTION("""COMPUTED_VALUE"""),"")</f>
        <v/>
      </c>
      <c r="S294" s="106" t="str">
        <f>IFERROR(__xludf.DUMMYFUNCTION("""COMPUTED_VALUE"""),"")</f>
        <v/>
      </c>
    </row>
    <row r="295">
      <c r="A295" s="136" t="s">
        <v>15</v>
      </c>
      <c r="B295" s="146">
        <v>46108.0</v>
      </c>
      <c r="C295" s="136" t="s">
        <v>53</v>
      </c>
      <c r="D295" s="136" t="s">
        <v>149</v>
      </c>
      <c r="E295" s="106">
        <v>0.125</v>
      </c>
      <c r="F295" s="136" t="str">
        <f>IFERROR(__xludf.DUMMYFUNCTION("""COMPUTED_VALUE"""),"")</f>
        <v/>
      </c>
      <c r="G295" s="106" t="str">
        <f>IFERROR(__xludf.DUMMYFUNCTION("""COMPUTED_VALUE"""),"")</f>
        <v/>
      </c>
      <c r="I295" s="136" t="str">
        <f>IFERROR(__xludf.DUMMYFUNCTION("""COMPUTED_VALUE"""),"")</f>
        <v/>
      </c>
      <c r="J295" s="106" t="str">
        <f>IFERROR(__xludf.DUMMYFUNCTION("""COMPUTED_VALUE"""),"")</f>
        <v/>
      </c>
      <c r="L295" s="136" t="str">
        <f>IFERROR(__xludf.DUMMYFUNCTION("""COMPUTED_VALUE"""),"")</f>
        <v/>
      </c>
      <c r="M295" s="106" t="str">
        <f>IFERROR(__xludf.DUMMYFUNCTION("""COMPUTED_VALUE"""),"")</f>
        <v/>
      </c>
      <c r="O295" s="136" t="str">
        <f>IFERROR(__xludf.DUMMYFUNCTION("""COMPUTED_VALUE"""),"")</f>
        <v/>
      </c>
      <c r="P295" s="106" t="str">
        <f>IFERROR(__xludf.DUMMYFUNCTION("""COMPUTED_VALUE"""),"")</f>
        <v/>
      </c>
      <c r="R295" s="136" t="str">
        <f>IFERROR(__xludf.DUMMYFUNCTION("""COMPUTED_VALUE"""),"")</f>
        <v/>
      </c>
      <c r="S295" s="106" t="str">
        <f>IFERROR(__xludf.DUMMYFUNCTION("""COMPUTED_VALUE"""),"")</f>
        <v/>
      </c>
    </row>
    <row r="296">
      <c r="A296" s="136" t="s">
        <v>18</v>
      </c>
      <c r="B296" s="146">
        <v>46108.0</v>
      </c>
      <c r="C296" s="136" t="s">
        <v>53</v>
      </c>
      <c r="D296" s="136" t="s">
        <v>148</v>
      </c>
      <c r="E296" s="106">
        <v>0.04305555555652574</v>
      </c>
      <c r="F296" s="136">
        <f>IFERROR(__xludf.DUMMYFUNCTION("""COMPUTED_VALUE"""),56.0)</f>
        <v>56</v>
      </c>
      <c r="G296" s="106">
        <f>IFERROR(__xludf.DUMMYFUNCTION("""COMPUTED_VALUE"""),0.0625)</f>
        <v>0.0625</v>
      </c>
      <c r="I296" s="136">
        <f>IFERROR(__xludf.DUMMYFUNCTION("""COMPUTED_VALUE"""),0.0)</f>
        <v>0</v>
      </c>
      <c r="J296" s="106">
        <f>IFERROR(__xludf.DUMMYFUNCTION("""COMPUTED_VALUE"""),0.0)</f>
        <v>0</v>
      </c>
      <c r="L296" s="136">
        <f>IFERROR(__xludf.DUMMYFUNCTION("""COMPUTED_VALUE"""),225.0)</f>
        <v>225</v>
      </c>
      <c r="M296" s="106">
        <f>IFERROR(__xludf.DUMMYFUNCTION("""COMPUTED_VALUE"""),0.23888888888177462)</f>
        <v>0.2388888889</v>
      </c>
      <c r="O296" s="136">
        <f>IFERROR(__xludf.DUMMYFUNCTION("""COMPUTED_VALUE"""),0.0)</f>
        <v>0</v>
      </c>
      <c r="P296" s="106">
        <f>IFERROR(__xludf.DUMMYFUNCTION("""COMPUTED_VALUE"""),0.0)</f>
        <v>0</v>
      </c>
      <c r="R296" s="136">
        <f>IFERROR(__xludf.DUMMYFUNCTION("""COMPUTED_VALUE"""),238.0)</f>
        <v>238</v>
      </c>
      <c r="S296" s="106">
        <f>IFERROR(__xludf.DUMMYFUNCTION("""COMPUTED_VALUE"""),0.06805555555798093)</f>
        <v>0.06805555556</v>
      </c>
    </row>
    <row r="297">
      <c r="A297" s="136" t="s">
        <v>18</v>
      </c>
      <c r="B297" s="146">
        <v>46108.0</v>
      </c>
      <c r="C297" s="136" t="s">
        <v>53</v>
      </c>
      <c r="D297" s="136" t="s">
        <v>148</v>
      </c>
      <c r="E297" s="106">
        <v>0.02500000000145519</v>
      </c>
      <c r="F297" s="136" t="str">
        <f>IFERROR(__xludf.DUMMYFUNCTION("""COMPUTED_VALUE"""),"")</f>
        <v/>
      </c>
      <c r="G297" s="106" t="str">
        <f>IFERROR(__xludf.DUMMYFUNCTION("""COMPUTED_VALUE"""),"")</f>
        <v/>
      </c>
      <c r="I297" s="136" t="str">
        <f>IFERROR(__xludf.DUMMYFUNCTION("""COMPUTED_VALUE"""),"")</f>
        <v/>
      </c>
      <c r="J297" s="106" t="str">
        <f>IFERROR(__xludf.DUMMYFUNCTION("""COMPUTED_VALUE"""),"")</f>
        <v/>
      </c>
      <c r="L297" s="136" t="str">
        <f>IFERROR(__xludf.DUMMYFUNCTION("""COMPUTED_VALUE"""),"")</f>
        <v/>
      </c>
      <c r="M297" s="106" t="str">
        <f>IFERROR(__xludf.DUMMYFUNCTION("""COMPUTED_VALUE"""),"")</f>
        <v/>
      </c>
      <c r="O297" s="136" t="str">
        <f>IFERROR(__xludf.DUMMYFUNCTION("""COMPUTED_VALUE"""),"")</f>
        <v/>
      </c>
      <c r="P297" s="106" t="str">
        <f>IFERROR(__xludf.DUMMYFUNCTION("""COMPUTED_VALUE"""),"")</f>
        <v/>
      </c>
      <c r="R297" s="136" t="str">
        <f>IFERROR(__xludf.DUMMYFUNCTION("""COMPUTED_VALUE"""),"")</f>
        <v/>
      </c>
      <c r="S297" s="106" t="str">
        <f>IFERROR(__xludf.DUMMYFUNCTION("""COMPUTED_VALUE"""),"")</f>
        <v/>
      </c>
    </row>
    <row r="298">
      <c r="A298" s="136" t="s">
        <v>15</v>
      </c>
      <c r="B298" s="146">
        <v>46111.0</v>
      </c>
      <c r="C298" s="136" t="s">
        <v>37</v>
      </c>
      <c r="D298" s="136" t="s">
        <v>149</v>
      </c>
      <c r="E298" s="106">
        <v>0.125</v>
      </c>
      <c r="F298" s="136" t="str">
        <f>IFERROR(__xludf.DUMMYFUNCTION("""COMPUTED_VALUE"""),"")</f>
        <v/>
      </c>
      <c r="G298" s="106" t="str">
        <f>IFERROR(__xludf.DUMMYFUNCTION("""COMPUTED_VALUE"""),"")</f>
        <v/>
      </c>
      <c r="I298" s="136" t="str">
        <f>IFERROR(__xludf.DUMMYFUNCTION("""COMPUTED_VALUE"""),"")</f>
        <v/>
      </c>
      <c r="J298" s="106" t="str">
        <f>IFERROR(__xludf.DUMMYFUNCTION("""COMPUTED_VALUE"""),"")</f>
        <v/>
      </c>
      <c r="L298" s="136" t="str">
        <f>IFERROR(__xludf.DUMMYFUNCTION("""COMPUTED_VALUE"""),"")</f>
        <v/>
      </c>
      <c r="M298" s="106" t="str">
        <f>IFERROR(__xludf.DUMMYFUNCTION("""COMPUTED_VALUE"""),"")</f>
        <v/>
      </c>
      <c r="O298" s="136" t="str">
        <f>IFERROR(__xludf.DUMMYFUNCTION("""COMPUTED_VALUE"""),"")</f>
        <v/>
      </c>
      <c r="P298" s="106" t="str">
        <f>IFERROR(__xludf.DUMMYFUNCTION("""COMPUTED_VALUE"""),"")</f>
        <v/>
      </c>
      <c r="R298" s="136" t="str">
        <f>IFERROR(__xludf.DUMMYFUNCTION("""COMPUTED_VALUE"""),"")</f>
        <v/>
      </c>
      <c r="S298" s="106" t="str">
        <f>IFERROR(__xludf.DUMMYFUNCTION("""COMPUTED_VALUE"""),"")</f>
        <v/>
      </c>
    </row>
    <row r="299">
      <c r="A299" s="136" t="s">
        <v>18</v>
      </c>
      <c r="B299" s="146">
        <v>46111.0</v>
      </c>
      <c r="C299" s="136" t="s">
        <v>37</v>
      </c>
      <c r="D299" s="136" t="s">
        <v>148</v>
      </c>
      <c r="E299" s="106">
        <v>0.07569444444379769</v>
      </c>
      <c r="F299" s="136">
        <f>IFERROR(__xludf.DUMMYFUNCTION("""COMPUTED_VALUE"""),0.0)</f>
        <v>0</v>
      </c>
      <c r="G299" s="106">
        <f>IFERROR(__xludf.DUMMYFUNCTION("""COMPUTED_VALUE"""),0.0)</f>
        <v>0</v>
      </c>
      <c r="I299" s="136">
        <f>IFERROR(__xludf.DUMMYFUNCTION("""COMPUTED_VALUE"""),86.0)</f>
        <v>86</v>
      </c>
      <c r="J299" s="106">
        <f>IFERROR(__xludf.DUMMYFUNCTION("""COMPUTED_VALUE"""),0.04513888889050577)</f>
        <v>0.04513888889</v>
      </c>
      <c r="L299" s="136">
        <f>IFERROR(__xludf.DUMMYFUNCTION("""COMPUTED_VALUE"""),270.0)</f>
        <v>270</v>
      </c>
      <c r="M299" s="106">
        <f>IFERROR(__xludf.DUMMYFUNCTION("""COMPUTED_VALUE"""),0.1993055555576575)</f>
        <v>0.1993055556</v>
      </c>
      <c r="O299" s="136">
        <f>IFERROR(__xludf.DUMMYFUNCTION("""COMPUTED_VALUE"""),0.0)</f>
        <v>0</v>
      </c>
      <c r="P299" s="106">
        <f>IFERROR(__xludf.DUMMYFUNCTION("""COMPUTED_VALUE"""),0.0)</f>
        <v>0</v>
      </c>
      <c r="R299" s="136">
        <f>IFERROR(__xludf.DUMMYFUNCTION("""COMPUTED_VALUE"""),317.0)</f>
        <v>317</v>
      </c>
      <c r="S299" s="106">
        <f>IFERROR(__xludf.DUMMYFUNCTION("""COMPUTED_VALUE"""),0.2006944444437977)</f>
        <v>0.2006944444</v>
      </c>
    </row>
    <row r="300">
      <c r="A300" s="136" t="s">
        <v>18</v>
      </c>
      <c r="B300" s="146">
        <v>46111.0</v>
      </c>
      <c r="C300" s="136" t="s">
        <v>37</v>
      </c>
      <c r="D300" s="136" t="s">
        <v>148</v>
      </c>
      <c r="E300" s="106">
        <v>0.125</v>
      </c>
      <c r="F300" s="136" t="str">
        <f>IFERROR(__xludf.DUMMYFUNCTION("""COMPUTED_VALUE"""),"")</f>
        <v/>
      </c>
      <c r="G300" s="106" t="str">
        <f>IFERROR(__xludf.DUMMYFUNCTION("""COMPUTED_VALUE"""),"")</f>
        <v/>
      </c>
      <c r="I300" s="136" t="str">
        <f>IFERROR(__xludf.DUMMYFUNCTION("""COMPUTED_VALUE"""),"")</f>
        <v/>
      </c>
      <c r="J300" s="106" t="str">
        <f>IFERROR(__xludf.DUMMYFUNCTION("""COMPUTED_VALUE"""),"")</f>
        <v/>
      </c>
      <c r="L300" s="136" t="str">
        <f>IFERROR(__xludf.DUMMYFUNCTION("""COMPUTED_VALUE"""),"")</f>
        <v/>
      </c>
      <c r="M300" s="106" t="str">
        <f>IFERROR(__xludf.DUMMYFUNCTION("""COMPUTED_VALUE"""),"")</f>
        <v/>
      </c>
      <c r="O300" s="136" t="str">
        <f>IFERROR(__xludf.DUMMYFUNCTION("""COMPUTED_VALUE"""),"")</f>
        <v/>
      </c>
      <c r="P300" s="106" t="str">
        <f>IFERROR(__xludf.DUMMYFUNCTION("""COMPUTED_VALUE"""),"")</f>
        <v/>
      </c>
      <c r="R300" s="136" t="str">
        <f>IFERROR(__xludf.DUMMYFUNCTION("""COMPUTED_VALUE"""),"")</f>
        <v/>
      </c>
      <c r="S300" s="106" t="str">
        <f>IFERROR(__xludf.DUMMYFUNCTION("""COMPUTED_VALUE"""),"")</f>
        <v/>
      </c>
    </row>
    <row r="301">
      <c r="A301" s="136" t="s">
        <v>134</v>
      </c>
      <c r="B301" s="146">
        <v>46112.0</v>
      </c>
      <c r="C301" s="136" t="s">
        <v>41</v>
      </c>
      <c r="D301" s="136" t="s">
        <v>149</v>
      </c>
      <c r="E301" s="106">
        <v>0.05555555556202307</v>
      </c>
      <c r="F301" s="136" t="str">
        <f>IFERROR(__xludf.DUMMYFUNCTION("""COMPUTED_VALUE"""),"")</f>
        <v/>
      </c>
      <c r="G301" s="106" t="str">
        <f>IFERROR(__xludf.DUMMYFUNCTION("""COMPUTED_VALUE"""),"")</f>
        <v/>
      </c>
      <c r="I301" s="136" t="str">
        <f>IFERROR(__xludf.DUMMYFUNCTION("""COMPUTED_VALUE"""),"")</f>
        <v/>
      </c>
      <c r="J301" s="106" t="str">
        <f>IFERROR(__xludf.DUMMYFUNCTION("""COMPUTED_VALUE"""),"")</f>
        <v/>
      </c>
      <c r="L301" s="136" t="str">
        <f>IFERROR(__xludf.DUMMYFUNCTION("""COMPUTED_VALUE"""),"")</f>
        <v/>
      </c>
      <c r="M301" s="106" t="str">
        <f>IFERROR(__xludf.DUMMYFUNCTION("""COMPUTED_VALUE"""),"")</f>
        <v/>
      </c>
      <c r="O301" s="136" t="str">
        <f>IFERROR(__xludf.DUMMYFUNCTION("""COMPUTED_VALUE"""),"")</f>
        <v/>
      </c>
      <c r="P301" s="106" t="str">
        <f>IFERROR(__xludf.DUMMYFUNCTION("""COMPUTED_VALUE"""),"")</f>
        <v/>
      </c>
      <c r="R301" s="136" t="str">
        <f>IFERROR(__xludf.DUMMYFUNCTION("""COMPUTED_VALUE"""),"")</f>
        <v/>
      </c>
      <c r="S301" s="106" t="str">
        <f>IFERROR(__xludf.DUMMYFUNCTION("""COMPUTED_VALUE"""),"")</f>
        <v/>
      </c>
    </row>
    <row r="302">
      <c r="A302" s="136" t="s">
        <v>15</v>
      </c>
      <c r="B302" s="146">
        <v>46112.0</v>
      </c>
      <c r="C302" s="136" t="s">
        <v>41</v>
      </c>
      <c r="D302" s="136" t="s">
        <v>149</v>
      </c>
      <c r="E302" s="106">
        <v>0.018749999995634425</v>
      </c>
      <c r="F302" s="136" t="str">
        <f>IFERROR(__xludf.DUMMYFUNCTION("""COMPUTED_VALUE"""),"")</f>
        <v/>
      </c>
      <c r="G302" s="106" t="str">
        <f>IFERROR(__xludf.DUMMYFUNCTION("""COMPUTED_VALUE"""),"")</f>
        <v/>
      </c>
      <c r="I302" s="136" t="str">
        <f>IFERROR(__xludf.DUMMYFUNCTION("""COMPUTED_VALUE"""),"")</f>
        <v/>
      </c>
      <c r="J302" s="106" t="str">
        <f>IFERROR(__xludf.DUMMYFUNCTION("""COMPUTED_VALUE"""),"")</f>
        <v/>
      </c>
      <c r="L302" s="136" t="str">
        <f>IFERROR(__xludf.DUMMYFUNCTION("""COMPUTED_VALUE"""),"")</f>
        <v/>
      </c>
      <c r="M302" s="106" t="str">
        <f>IFERROR(__xludf.DUMMYFUNCTION("""COMPUTED_VALUE"""),"")</f>
        <v/>
      </c>
      <c r="O302" s="136" t="str">
        <f>IFERROR(__xludf.DUMMYFUNCTION("""COMPUTED_VALUE"""),"")</f>
        <v/>
      </c>
      <c r="P302" s="106" t="str">
        <f>IFERROR(__xludf.DUMMYFUNCTION("""COMPUTED_VALUE"""),"")</f>
        <v/>
      </c>
      <c r="R302" s="136" t="str">
        <f>IFERROR(__xludf.DUMMYFUNCTION("""COMPUTED_VALUE"""),"")</f>
        <v/>
      </c>
      <c r="S302" s="106" t="str">
        <f>IFERROR(__xludf.DUMMYFUNCTION("""COMPUTED_VALUE"""),"")</f>
        <v/>
      </c>
    </row>
    <row r="303">
      <c r="A303" s="136" t="s">
        <v>15</v>
      </c>
      <c r="B303" s="146">
        <v>46112.0</v>
      </c>
      <c r="C303" s="136" t="s">
        <v>41</v>
      </c>
      <c r="D303" s="136" t="s">
        <v>148</v>
      </c>
      <c r="E303" s="106">
        <v>0.08611111110803904</v>
      </c>
      <c r="F303" s="136" t="str">
        <f>IFERROR(__xludf.DUMMYFUNCTION("""COMPUTED_VALUE"""),"")</f>
        <v/>
      </c>
      <c r="G303" s="106" t="str">
        <f>IFERROR(__xludf.DUMMYFUNCTION("""COMPUTED_VALUE"""),"")</f>
        <v/>
      </c>
      <c r="I303" s="136" t="str">
        <f>IFERROR(__xludf.DUMMYFUNCTION("""COMPUTED_VALUE"""),"")</f>
        <v/>
      </c>
      <c r="J303" s="106" t="str">
        <f>IFERROR(__xludf.DUMMYFUNCTION("""COMPUTED_VALUE"""),"")</f>
        <v/>
      </c>
      <c r="L303" s="136" t="str">
        <f>IFERROR(__xludf.DUMMYFUNCTION("""COMPUTED_VALUE"""),"")</f>
        <v/>
      </c>
      <c r="M303" s="106" t="str">
        <f>IFERROR(__xludf.DUMMYFUNCTION("""COMPUTED_VALUE"""),"")</f>
        <v/>
      </c>
      <c r="O303" s="136" t="str">
        <f>IFERROR(__xludf.DUMMYFUNCTION("""COMPUTED_VALUE"""),"")</f>
        <v/>
      </c>
      <c r="P303" s="106" t="str">
        <f>IFERROR(__xludf.DUMMYFUNCTION("""COMPUTED_VALUE"""),"")</f>
        <v/>
      </c>
      <c r="R303" s="136" t="str">
        <f>IFERROR(__xludf.DUMMYFUNCTION("""COMPUTED_VALUE"""),"")</f>
        <v/>
      </c>
      <c r="S303" s="106" t="str">
        <f>IFERROR(__xludf.DUMMYFUNCTION("""COMPUTED_VALUE"""),"")</f>
        <v/>
      </c>
    </row>
    <row r="304">
      <c r="A304" s="136" t="s">
        <v>15</v>
      </c>
      <c r="B304" s="146">
        <v>46112.0</v>
      </c>
      <c r="C304" s="136" t="s">
        <v>41</v>
      </c>
      <c r="D304" s="136" t="s">
        <v>148</v>
      </c>
      <c r="E304" s="106">
        <v>0.04444444444379769</v>
      </c>
      <c r="F304" s="136" t="str">
        <f>IFERROR(__xludf.DUMMYFUNCTION("""COMPUTED_VALUE"""),"")</f>
        <v/>
      </c>
      <c r="G304" s="106" t="str">
        <f>IFERROR(__xludf.DUMMYFUNCTION("""COMPUTED_VALUE"""),"")</f>
        <v/>
      </c>
      <c r="I304" s="136" t="str">
        <f>IFERROR(__xludf.DUMMYFUNCTION("""COMPUTED_VALUE"""),"")</f>
        <v/>
      </c>
      <c r="J304" s="106" t="str">
        <f>IFERROR(__xludf.DUMMYFUNCTION("""COMPUTED_VALUE"""),"")</f>
        <v/>
      </c>
      <c r="L304" s="136" t="str">
        <f>IFERROR(__xludf.DUMMYFUNCTION("""COMPUTED_VALUE"""),"")</f>
        <v/>
      </c>
      <c r="M304" s="106" t="str">
        <f>IFERROR(__xludf.DUMMYFUNCTION("""COMPUTED_VALUE"""),"")</f>
        <v/>
      </c>
      <c r="O304" s="136" t="str">
        <f>IFERROR(__xludf.DUMMYFUNCTION("""COMPUTED_VALUE"""),"")</f>
        <v/>
      </c>
      <c r="P304" s="106" t="str">
        <f>IFERROR(__xludf.DUMMYFUNCTION("""COMPUTED_VALUE"""),"")</f>
        <v/>
      </c>
      <c r="R304" s="136" t="str">
        <f>IFERROR(__xludf.DUMMYFUNCTION("""COMPUTED_VALUE"""),"")</f>
        <v/>
      </c>
      <c r="S304" s="106" t="str">
        <f>IFERROR(__xludf.DUMMYFUNCTION("""COMPUTED_VALUE"""),"")</f>
        <v/>
      </c>
    </row>
    <row r="305">
      <c r="A305" s="136" t="s">
        <v>15</v>
      </c>
      <c r="B305" s="146">
        <v>46112.0</v>
      </c>
      <c r="C305" s="136" t="s">
        <v>41</v>
      </c>
      <c r="D305" s="136" t="s">
        <v>149</v>
      </c>
      <c r="E305" s="106">
        <v>0.04166666666424135</v>
      </c>
      <c r="F305" s="136">
        <f>IFERROR(__xludf.DUMMYFUNCTION("""COMPUTED_VALUE"""),157.0)</f>
        <v>157</v>
      </c>
      <c r="G305" s="106">
        <f>IFERROR(__xludf.DUMMYFUNCTION("""COMPUTED_VALUE"""),0.14583333333575865)</f>
        <v>0.1458333333</v>
      </c>
      <c r="I305" s="136">
        <f>IFERROR(__xludf.DUMMYFUNCTION("""COMPUTED_VALUE"""),107.0)</f>
        <v>107</v>
      </c>
      <c r="J305" s="106">
        <f>IFERROR(__xludf.DUMMYFUNCTION("""COMPUTED_VALUE"""),0.05555555556202307)</f>
        <v>0.05555555556</v>
      </c>
      <c r="L305" s="136">
        <f>IFERROR(__xludf.DUMMYFUNCTION("""COMPUTED_VALUE"""),352.0)</f>
        <v>352</v>
      </c>
      <c r="M305" s="106">
        <f>IFERROR(__xludf.DUMMYFUNCTION("""COMPUTED_VALUE"""),0.1909722222117125)</f>
        <v>0.1909722222</v>
      </c>
      <c r="O305" s="136">
        <f>IFERROR(__xludf.DUMMYFUNCTION("""COMPUTED_VALUE"""),0.0)</f>
        <v>0</v>
      </c>
      <c r="P305" s="106">
        <f>IFERROR(__xludf.DUMMYFUNCTION("""COMPUTED_VALUE"""),0.0)</f>
        <v>0</v>
      </c>
      <c r="R305" s="136">
        <f>IFERROR(__xludf.DUMMYFUNCTION("""COMPUTED_VALUE"""),123.0)</f>
        <v>123</v>
      </c>
      <c r="S305" s="106">
        <f>IFERROR(__xludf.DUMMYFUNCTION("""COMPUTED_VALUE"""),0.11944444444088731)</f>
        <v>0.1194444444</v>
      </c>
    </row>
    <row r="306">
      <c r="A306" s="136" t="s">
        <v>18</v>
      </c>
      <c r="B306" s="146">
        <v>46112.0</v>
      </c>
      <c r="C306" s="136" t="s">
        <v>41</v>
      </c>
      <c r="D306" s="136" t="s">
        <v>148</v>
      </c>
      <c r="E306" s="106">
        <v>0.11944444444088731</v>
      </c>
      <c r="F306" s="136" t="str">
        <f>IFERROR(__xludf.DUMMYFUNCTION("""COMPUTED_VALUE"""),"")</f>
        <v/>
      </c>
      <c r="G306" s="106" t="str">
        <f>IFERROR(__xludf.DUMMYFUNCTION("""COMPUTED_VALUE"""),"")</f>
        <v/>
      </c>
      <c r="I306" s="136" t="str">
        <f>IFERROR(__xludf.DUMMYFUNCTION("""COMPUTED_VALUE"""),"")</f>
        <v/>
      </c>
      <c r="J306" s="106" t="str">
        <f>IFERROR(__xludf.DUMMYFUNCTION("""COMPUTED_VALUE"""),"")</f>
        <v/>
      </c>
      <c r="L306" s="136" t="str">
        <f>IFERROR(__xludf.DUMMYFUNCTION("""COMPUTED_VALUE"""),"")</f>
        <v/>
      </c>
      <c r="M306" s="106" t="str">
        <f>IFERROR(__xludf.DUMMYFUNCTION("""COMPUTED_VALUE"""),"")</f>
        <v/>
      </c>
      <c r="O306" s="136" t="str">
        <f>IFERROR(__xludf.DUMMYFUNCTION("""COMPUTED_VALUE"""),"")</f>
        <v/>
      </c>
      <c r="P306" s="106" t="str">
        <f>IFERROR(__xludf.DUMMYFUNCTION("""COMPUTED_VALUE"""),"")</f>
        <v/>
      </c>
      <c r="R306" s="136" t="str">
        <f>IFERROR(__xludf.DUMMYFUNCTION("""COMPUTED_VALUE"""),"")</f>
        <v/>
      </c>
      <c r="S306" s="106" t="str">
        <f>IFERROR(__xludf.DUMMYFUNCTION("""COMPUTED_VALUE"""),"")</f>
        <v/>
      </c>
    </row>
    <row r="307">
      <c r="A307" s="136" t="s">
        <v>12</v>
      </c>
      <c r="B307" s="146">
        <v>46113.0</v>
      </c>
      <c r="C307" s="136" t="s">
        <v>45</v>
      </c>
      <c r="D307" s="136" t="s">
        <v>149</v>
      </c>
      <c r="E307" s="106">
        <v>0.041666666671517305</v>
      </c>
      <c r="F307" s="136" t="str">
        <f>IFERROR(__xludf.DUMMYFUNCTION("""COMPUTED_VALUE"""),"")</f>
        <v/>
      </c>
      <c r="G307" s="106" t="str">
        <f>IFERROR(__xludf.DUMMYFUNCTION("""COMPUTED_VALUE"""),"")</f>
        <v/>
      </c>
      <c r="I307" s="136" t="str">
        <f>IFERROR(__xludf.DUMMYFUNCTION("""COMPUTED_VALUE"""),"")</f>
        <v/>
      </c>
      <c r="J307" s="106" t="str">
        <f>IFERROR(__xludf.DUMMYFUNCTION("""COMPUTED_VALUE"""),"")</f>
        <v/>
      </c>
      <c r="L307" s="136" t="str">
        <f>IFERROR(__xludf.DUMMYFUNCTION("""COMPUTED_VALUE"""),"")</f>
        <v/>
      </c>
      <c r="M307" s="106" t="str">
        <f>IFERROR(__xludf.DUMMYFUNCTION("""COMPUTED_VALUE"""),"")</f>
        <v/>
      </c>
      <c r="O307" s="136" t="str">
        <f>IFERROR(__xludf.DUMMYFUNCTION("""COMPUTED_VALUE"""),"")</f>
        <v/>
      </c>
      <c r="P307" s="106" t="str">
        <f>IFERROR(__xludf.DUMMYFUNCTION("""COMPUTED_VALUE"""),"")</f>
        <v/>
      </c>
      <c r="R307" s="136" t="str">
        <f>IFERROR(__xludf.DUMMYFUNCTION("""COMPUTED_VALUE"""),"")</f>
        <v/>
      </c>
      <c r="S307" s="106" t="str">
        <f>IFERROR(__xludf.DUMMYFUNCTION("""COMPUTED_VALUE"""),"")</f>
        <v/>
      </c>
    </row>
    <row r="308">
      <c r="A308" s="136" t="s">
        <v>12</v>
      </c>
      <c r="B308" s="146">
        <v>46113.0</v>
      </c>
      <c r="C308" s="136" t="s">
        <v>45</v>
      </c>
      <c r="D308" s="136" t="s">
        <v>149</v>
      </c>
      <c r="E308" s="106">
        <v>0.028472222220443655</v>
      </c>
      <c r="F308" s="136" t="str">
        <f>IFERROR(__xludf.DUMMYFUNCTION("""COMPUTED_VALUE"""),"")</f>
        <v/>
      </c>
      <c r="G308" s="106" t="str">
        <f>IFERROR(__xludf.DUMMYFUNCTION("""COMPUTED_VALUE"""),"")</f>
        <v/>
      </c>
      <c r="I308" s="136" t="str">
        <f>IFERROR(__xludf.DUMMYFUNCTION("""COMPUTED_VALUE"""),"")</f>
        <v/>
      </c>
      <c r="J308" s="106" t="str">
        <f>IFERROR(__xludf.DUMMYFUNCTION("""COMPUTED_VALUE"""),"")</f>
        <v/>
      </c>
      <c r="L308" s="136" t="str">
        <f>IFERROR(__xludf.DUMMYFUNCTION("""COMPUTED_VALUE"""),"")</f>
        <v/>
      </c>
      <c r="M308" s="106" t="str">
        <f>IFERROR(__xludf.DUMMYFUNCTION("""COMPUTED_VALUE"""),"")</f>
        <v/>
      </c>
      <c r="O308" s="136" t="str">
        <f>IFERROR(__xludf.DUMMYFUNCTION("""COMPUTED_VALUE"""),"")</f>
        <v/>
      </c>
      <c r="P308" s="106" t="str">
        <f>IFERROR(__xludf.DUMMYFUNCTION("""COMPUTED_VALUE"""),"")</f>
        <v/>
      </c>
      <c r="R308" s="136" t="str">
        <f>IFERROR(__xludf.DUMMYFUNCTION("""COMPUTED_VALUE"""),"")</f>
        <v/>
      </c>
      <c r="S308" s="106" t="str">
        <f>IFERROR(__xludf.DUMMYFUNCTION("""COMPUTED_VALUE"""),"")</f>
        <v/>
      </c>
    </row>
    <row r="309">
      <c r="A309" s="136" t="s">
        <v>134</v>
      </c>
      <c r="B309" s="146">
        <v>46113.0</v>
      </c>
      <c r="C309" s="136" t="s">
        <v>45</v>
      </c>
      <c r="D309" s="136" t="s">
        <v>149</v>
      </c>
      <c r="E309" s="106">
        <v>0.04861111110949423</v>
      </c>
      <c r="F309" s="136" t="str">
        <f>IFERROR(__xludf.DUMMYFUNCTION("""COMPUTED_VALUE"""),"")</f>
        <v/>
      </c>
      <c r="G309" s="106" t="str">
        <f>IFERROR(__xludf.DUMMYFUNCTION("""COMPUTED_VALUE"""),"")</f>
        <v/>
      </c>
      <c r="I309" s="136" t="str">
        <f>IFERROR(__xludf.DUMMYFUNCTION("""COMPUTED_VALUE"""),"")</f>
        <v/>
      </c>
      <c r="J309" s="106" t="str">
        <f>IFERROR(__xludf.DUMMYFUNCTION("""COMPUTED_VALUE"""),"")</f>
        <v/>
      </c>
      <c r="L309" s="136" t="str">
        <f>IFERROR(__xludf.DUMMYFUNCTION("""COMPUTED_VALUE"""),"")</f>
        <v/>
      </c>
      <c r="M309" s="106" t="str">
        <f>IFERROR(__xludf.DUMMYFUNCTION("""COMPUTED_VALUE"""),"")</f>
        <v/>
      </c>
      <c r="O309" s="136" t="str">
        <f>IFERROR(__xludf.DUMMYFUNCTION("""COMPUTED_VALUE"""),"")</f>
        <v/>
      </c>
      <c r="P309" s="106" t="str">
        <f>IFERROR(__xludf.DUMMYFUNCTION("""COMPUTED_VALUE"""),"")</f>
        <v/>
      </c>
      <c r="R309" s="136" t="str">
        <f>IFERROR(__xludf.DUMMYFUNCTION("""COMPUTED_VALUE"""),"")</f>
        <v/>
      </c>
      <c r="S309" s="106" t="str">
        <f>IFERROR(__xludf.DUMMYFUNCTION("""COMPUTED_VALUE"""),"")</f>
        <v/>
      </c>
    </row>
    <row r="310">
      <c r="A310" s="136" t="s">
        <v>15</v>
      </c>
      <c r="B310" s="146">
        <v>46113.0</v>
      </c>
      <c r="C310" s="136" t="s">
        <v>45</v>
      </c>
      <c r="D310" s="136" t="s">
        <v>148</v>
      </c>
      <c r="E310" s="106">
        <v>0.020833333335758653</v>
      </c>
      <c r="F310" s="136" t="str">
        <f>IFERROR(__xludf.DUMMYFUNCTION("""COMPUTED_VALUE"""),"")</f>
        <v/>
      </c>
      <c r="G310" s="106" t="str">
        <f>IFERROR(__xludf.DUMMYFUNCTION("""COMPUTED_VALUE"""),"")</f>
        <v/>
      </c>
      <c r="I310" s="136" t="str">
        <f>IFERROR(__xludf.DUMMYFUNCTION("""COMPUTED_VALUE"""),"")</f>
        <v/>
      </c>
      <c r="J310" s="106" t="str">
        <f>IFERROR(__xludf.DUMMYFUNCTION("""COMPUTED_VALUE"""),"")</f>
        <v/>
      </c>
      <c r="L310" s="136" t="str">
        <f>IFERROR(__xludf.DUMMYFUNCTION("""COMPUTED_VALUE"""),"")</f>
        <v/>
      </c>
      <c r="M310" s="106" t="str">
        <f>IFERROR(__xludf.DUMMYFUNCTION("""COMPUTED_VALUE"""),"")</f>
        <v/>
      </c>
      <c r="O310" s="136" t="str">
        <f>IFERROR(__xludf.DUMMYFUNCTION("""COMPUTED_VALUE"""),"")</f>
        <v/>
      </c>
      <c r="P310" s="106" t="str">
        <f>IFERROR(__xludf.DUMMYFUNCTION("""COMPUTED_VALUE"""),"")</f>
        <v/>
      </c>
      <c r="R310" s="136" t="str">
        <f>IFERROR(__xludf.DUMMYFUNCTION("""COMPUTED_VALUE"""),"")</f>
        <v/>
      </c>
      <c r="S310" s="106" t="str">
        <f>IFERROR(__xludf.DUMMYFUNCTION("""COMPUTED_VALUE"""),"")</f>
        <v/>
      </c>
    </row>
    <row r="311">
      <c r="A311" s="136" t="s">
        <v>15</v>
      </c>
      <c r="B311" s="146">
        <v>46113.0</v>
      </c>
      <c r="C311" s="136" t="s">
        <v>45</v>
      </c>
      <c r="D311" s="136" t="s">
        <v>148</v>
      </c>
      <c r="E311" s="106">
        <v>0.07986111111677019</v>
      </c>
      <c r="F311" s="136" t="str">
        <f>IFERROR(__xludf.DUMMYFUNCTION("""COMPUTED_VALUE"""),"")</f>
        <v/>
      </c>
      <c r="G311" s="106" t="str">
        <f>IFERROR(__xludf.DUMMYFUNCTION("""COMPUTED_VALUE"""),"")</f>
        <v/>
      </c>
      <c r="I311" s="136" t="str">
        <f>IFERROR(__xludf.DUMMYFUNCTION("""COMPUTED_VALUE"""),"")</f>
        <v/>
      </c>
      <c r="J311" s="106" t="str">
        <f>IFERROR(__xludf.DUMMYFUNCTION("""COMPUTED_VALUE"""),"")</f>
        <v/>
      </c>
      <c r="L311" s="136" t="str">
        <f>IFERROR(__xludf.DUMMYFUNCTION("""COMPUTED_VALUE"""),"")</f>
        <v/>
      </c>
      <c r="M311" s="106" t="str">
        <f>IFERROR(__xludf.DUMMYFUNCTION("""COMPUTED_VALUE"""),"")</f>
        <v/>
      </c>
      <c r="O311" s="136" t="str">
        <f>IFERROR(__xludf.DUMMYFUNCTION("""COMPUTED_VALUE"""),"")</f>
        <v/>
      </c>
      <c r="P311" s="106" t="str">
        <f>IFERROR(__xludf.DUMMYFUNCTION("""COMPUTED_VALUE"""),"")</f>
        <v/>
      </c>
      <c r="R311" s="136" t="str">
        <f>IFERROR(__xludf.DUMMYFUNCTION("""COMPUTED_VALUE"""),"")</f>
        <v/>
      </c>
      <c r="S311" s="106" t="str">
        <f>IFERROR(__xludf.DUMMYFUNCTION("""COMPUTED_VALUE"""),"")</f>
        <v/>
      </c>
    </row>
    <row r="312">
      <c r="A312" s="136" t="s">
        <v>18</v>
      </c>
      <c r="B312" s="146">
        <v>46113.0</v>
      </c>
      <c r="C312" s="136" t="s">
        <v>45</v>
      </c>
      <c r="D312" s="136" t="s">
        <v>148</v>
      </c>
      <c r="E312" s="106">
        <v>0.06944444444525288</v>
      </c>
      <c r="F312" s="136" t="str">
        <f>IFERROR(__xludf.DUMMYFUNCTION("""COMPUTED_VALUE"""),"")</f>
        <v/>
      </c>
      <c r="G312" s="106" t="str">
        <f>IFERROR(__xludf.DUMMYFUNCTION("""COMPUTED_VALUE"""),"")</f>
        <v/>
      </c>
      <c r="I312" s="136" t="str">
        <f>IFERROR(__xludf.DUMMYFUNCTION("""COMPUTED_VALUE"""),"")</f>
        <v/>
      </c>
      <c r="J312" s="106" t="str">
        <f>IFERROR(__xludf.DUMMYFUNCTION("""COMPUTED_VALUE"""),"")</f>
        <v/>
      </c>
      <c r="L312" s="136" t="str">
        <f>IFERROR(__xludf.DUMMYFUNCTION("""COMPUTED_VALUE"""),"")</f>
        <v/>
      </c>
      <c r="M312" s="106" t="str">
        <f>IFERROR(__xludf.DUMMYFUNCTION("""COMPUTED_VALUE"""),"")</f>
        <v/>
      </c>
      <c r="O312" s="136" t="str">
        <f>IFERROR(__xludf.DUMMYFUNCTION("""COMPUTED_VALUE"""),"")</f>
        <v/>
      </c>
      <c r="P312" s="106" t="str">
        <f>IFERROR(__xludf.DUMMYFUNCTION("""COMPUTED_VALUE"""),"")</f>
        <v/>
      </c>
      <c r="R312" s="136" t="str">
        <f>IFERROR(__xludf.DUMMYFUNCTION("""COMPUTED_VALUE"""),"")</f>
        <v/>
      </c>
      <c r="S312" s="106" t="str">
        <f>IFERROR(__xludf.DUMMYFUNCTION("""COMPUTED_VALUE"""),"")</f>
        <v/>
      </c>
    </row>
    <row r="313">
      <c r="A313" s="136" t="s">
        <v>18</v>
      </c>
      <c r="B313" s="146">
        <v>46113.0</v>
      </c>
      <c r="C313" s="136" t="s">
        <v>45</v>
      </c>
      <c r="D313" s="136" t="s">
        <v>149</v>
      </c>
      <c r="E313" s="106">
        <v>0.16666666666424135</v>
      </c>
      <c r="F313" s="136">
        <f>IFERROR(__xludf.DUMMYFUNCTION("""COMPUTED_VALUE"""),89.0)</f>
        <v>89</v>
      </c>
      <c r="G313" s="106">
        <f>IFERROR(__xludf.DUMMYFUNCTION("""COMPUTED_VALUE"""),0.07013888889196096)</f>
        <v>0.07013888889</v>
      </c>
      <c r="I313" s="136">
        <f>IFERROR(__xludf.DUMMYFUNCTION("""COMPUTED_VALUE"""),39.0)</f>
        <v>39</v>
      </c>
      <c r="J313" s="106">
        <f>IFERROR(__xludf.DUMMYFUNCTION("""COMPUTED_VALUE"""),0.04861111110949423)</f>
        <v>0.04861111111</v>
      </c>
      <c r="L313" s="136">
        <f>IFERROR(__xludf.DUMMYFUNCTION("""COMPUTED_VALUE"""),95.0)</f>
        <v>95</v>
      </c>
      <c r="M313" s="106">
        <f>IFERROR(__xludf.DUMMYFUNCTION("""COMPUTED_VALUE"""),0.10069444445252884)</f>
        <v>0.1006944445</v>
      </c>
      <c r="O313" s="136">
        <f>IFERROR(__xludf.DUMMYFUNCTION("""COMPUTED_VALUE"""),0.0)</f>
        <v>0</v>
      </c>
      <c r="P313" s="106">
        <f>IFERROR(__xludf.DUMMYFUNCTION("""COMPUTED_VALUE"""),0.0)</f>
        <v>0</v>
      </c>
      <c r="R313" s="136">
        <f>IFERROR(__xludf.DUMMYFUNCTION("""COMPUTED_VALUE"""),324.0)</f>
        <v>324</v>
      </c>
      <c r="S313" s="106">
        <f>IFERROR(__xludf.DUMMYFUNCTION("""COMPUTED_VALUE"""),0.36111111110949423)</f>
        <v>0.3611111111</v>
      </c>
    </row>
    <row r="314">
      <c r="A314" s="136" t="s">
        <v>18</v>
      </c>
      <c r="B314" s="146">
        <v>46113.0</v>
      </c>
      <c r="C314" s="136" t="s">
        <v>45</v>
      </c>
      <c r="D314" s="136" t="s">
        <v>148</v>
      </c>
      <c r="E314" s="106">
        <v>0.125</v>
      </c>
      <c r="F314" s="136" t="str">
        <f>IFERROR(__xludf.DUMMYFUNCTION("""COMPUTED_VALUE"""),"")</f>
        <v/>
      </c>
      <c r="G314" s="106" t="str">
        <f>IFERROR(__xludf.DUMMYFUNCTION("""COMPUTED_VALUE"""),"")</f>
        <v/>
      </c>
      <c r="I314" s="136" t="str">
        <f>IFERROR(__xludf.DUMMYFUNCTION("""COMPUTED_VALUE"""),"")</f>
        <v/>
      </c>
      <c r="J314" s="106" t="str">
        <f>IFERROR(__xludf.DUMMYFUNCTION("""COMPUTED_VALUE"""),"")</f>
        <v/>
      </c>
      <c r="L314" s="136" t="str">
        <f>IFERROR(__xludf.DUMMYFUNCTION("""COMPUTED_VALUE"""),"")</f>
        <v/>
      </c>
      <c r="M314" s="106" t="str">
        <f>IFERROR(__xludf.DUMMYFUNCTION("""COMPUTED_VALUE"""),"")</f>
        <v/>
      </c>
      <c r="O314" s="136" t="str">
        <f>IFERROR(__xludf.DUMMYFUNCTION("""COMPUTED_VALUE"""),"")</f>
        <v/>
      </c>
      <c r="P314" s="106" t="str">
        <f>IFERROR(__xludf.DUMMYFUNCTION("""COMPUTED_VALUE"""),"")</f>
        <v/>
      </c>
      <c r="R314" s="136" t="str">
        <f>IFERROR(__xludf.DUMMYFUNCTION("""COMPUTED_VALUE"""),"")</f>
        <v/>
      </c>
      <c r="S314" s="106" t="str">
        <f>IFERROR(__xludf.DUMMYFUNCTION("""COMPUTED_VALUE"""),"")</f>
        <v/>
      </c>
    </row>
    <row r="315">
      <c r="A315" s="136" t="s">
        <v>12</v>
      </c>
      <c r="B315" s="146">
        <v>46114.0</v>
      </c>
      <c r="C315" s="136" t="s">
        <v>49</v>
      </c>
      <c r="D315" s="136" t="s">
        <v>149</v>
      </c>
      <c r="E315" s="106">
        <v>0.07013888889196096</v>
      </c>
      <c r="F315" s="136" t="str">
        <f>IFERROR(__xludf.DUMMYFUNCTION("""COMPUTED_VALUE"""),"")</f>
        <v/>
      </c>
      <c r="G315" s="106" t="str">
        <f>IFERROR(__xludf.DUMMYFUNCTION("""COMPUTED_VALUE"""),"")</f>
        <v/>
      </c>
      <c r="I315" s="136" t="str">
        <f>IFERROR(__xludf.DUMMYFUNCTION("""COMPUTED_VALUE"""),"")</f>
        <v/>
      </c>
      <c r="J315" s="106" t="str">
        <f>IFERROR(__xludf.DUMMYFUNCTION("""COMPUTED_VALUE"""),"")</f>
        <v/>
      </c>
      <c r="L315" s="136" t="str">
        <f>IFERROR(__xludf.DUMMYFUNCTION("""COMPUTED_VALUE"""),"")</f>
        <v/>
      </c>
      <c r="M315" s="106" t="str">
        <f>IFERROR(__xludf.DUMMYFUNCTION("""COMPUTED_VALUE"""),"")</f>
        <v/>
      </c>
      <c r="O315" s="136" t="str">
        <f>IFERROR(__xludf.DUMMYFUNCTION("""COMPUTED_VALUE"""),"")</f>
        <v/>
      </c>
      <c r="P315" s="106" t="str">
        <f>IFERROR(__xludf.DUMMYFUNCTION("""COMPUTED_VALUE"""),"")</f>
        <v/>
      </c>
      <c r="R315" s="136" t="str">
        <f>IFERROR(__xludf.DUMMYFUNCTION("""COMPUTED_VALUE"""),"")</f>
        <v/>
      </c>
      <c r="S315" s="106" t="str">
        <f>IFERROR(__xludf.DUMMYFUNCTION("""COMPUTED_VALUE"""),"")</f>
        <v/>
      </c>
    </row>
    <row r="316">
      <c r="A316" s="136" t="s">
        <v>12</v>
      </c>
      <c r="B316" s="146">
        <v>46114.0</v>
      </c>
      <c r="C316" s="136" t="s">
        <v>49</v>
      </c>
      <c r="D316" s="136" t="s">
        <v>149</v>
      </c>
      <c r="E316" s="106">
        <v>0.047916666662786156</v>
      </c>
      <c r="F316" s="136" t="str">
        <f>IFERROR(__xludf.DUMMYFUNCTION("""COMPUTED_VALUE"""),"")</f>
        <v/>
      </c>
      <c r="G316" s="106" t="str">
        <f>IFERROR(__xludf.DUMMYFUNCTION("""COMPUTED_VALUE"""),"")</f>
        <v/>
      </c>
      <c r="I316" s="136" t="str">
        <f>IFERROR(__xludf.DUMMYFUNCTION("""COMPUTED_VALUE"""),"")</f>
        <v/>
      </c>
      <c r="J316" s="106" t="str">
        <f>IFERROR(__xludf.DUMMYFUNCTION("""COMPUTED_VALUE"""),"")</f>
        <v/>
      </c>
      <c r="L316" s="136" t="str">
        <f>IFERROR(__xludf.DUMMYFUNCTION("""COMPUTED_VALUE"""),"")</f>
        <v/>
      </c>
      <c r="M316" s="106" t="str">
        <f>IFERROR(__xludf.DUMMYFUNCTION("""COMPUTED_VALUE"""),"")</f>
        <v/>
      </c>
      <c r="O316" s="136" t="str">
        <f>IFERROR(__xludf.DUMMYFUNCTION("""COMPUTED_VALUE"""),"")</f>
        <v/>
      </c>
      <c r="P316" s="106" t="str">
        <f>IFERROR(__xludf.DUMMYFUNCTION("""COMPUTED_VALUE"""),"")</f>
        <v/>
      </c>
      <c r="R316" s="136" t="str">
        <f>IFERROR(__xludf.DUMMYFUNCTION("""COMPUTED_VALUE"""),"")</f>
        <v/>
      </c>
      <c r="S316" s="106" t="str">
        <f>IFERROR(__xludf.DUMMYFUNCTION("""COMPUTED_VALUE"""),"")</f>
        <v/>
      </c>
    </row>
    <row r="317">
      <c r="A317" s="136" t="s">
        <v>134</v>
      </c>
      <c r="B317" s="146">
        <v>46114.0</v>
      </c>
      <c r="C317" s="136" t="s">
        <v>49</v>
      </c>
      <c r="D317" s="136" t="s">
        <v>149</v>
      </c>
      <c r="E317" s="106">
        <v>0.06041666666715173</v>
      </c>
      <c r="F317" s="136" t="str">
        <f>IFERROR(__xludf.DUMMYFUNCTION("""COMPUTED_VALUE"""),"")</f>
        <v/>
      </c>
      <c r="G317" s="106" t="str">
        <f>IFERROR(__xludf.DUMMYFUNCTION("""COMPUTED_VALUE"""),"")</f>
        <v/>
      </c>
      <c r="I317" s="136" t="str">
        <f>IFERROR(__xludf.DUMMYFUNCTION("""COMPUTED_VALUE"""),"")</f>
        <v/>
      </c>
      <c r="J317" s="106" t="str">
        <f>IFERROR(__xludf.DUMMYFUNCTION("""COMPUTED_VALUE"""),"")</f>
        <v/>
      </c>
      <c r="L317" s="136" t="str">
        <f>IFERROR(__xludf.DUMMYFUNCTION("""COMPUTED_VALUE"""),"")</f>
        <v/>
      </c>
      <c r="M317" s="106" t="str">
        <f>IFERROR(__xludf.DUMMYFUNCTION("""COMPUTED_VALUE"""),"")</f>
        <v/>
      </c>
      <c r="O317" s="136" t="str">
        <f>IFERROR(__xludf.DUMMYFUNCTION("""COMPUTED_VALUE"""),"")</f>
        <v/>
      </c>
      <c r="P317" s="106" t="str">
        <f>IFERROR(__xludf.DUMMYFUNCTION("""COMPUTED_VALUE"""),"")</f>
        <v/>
      </c>
      <c r="R317" s="136" t="str">
        <f>IFERROR(__xludf.DUMMYFUNCTION("""COMPUTED_VALUE"""),"")</f>
        <v/>
      </c>
      <c r="S317" s="106" t="str">
        <f>IFERROR(__xludf.DUMMYFUNCTION("""COMPUTED_VALUE"""),"")</f>
        <v/>
      </c>
    </row>
    <row r="318">
      <c r="A318" s="136" t="s">
        <v>15</v>
      </c>
      <c r="B318" s="146">
        <v>46114.0</v>
      </c>
      <c r="C318" s="136" t="s">
        <v>49</v>
      </c>
      <c r="D318" s="136" t="s">
        <v>148</v>
      </c>
      <c r="E318" s="106">
        <v>0.05208333333575865</v>
      </c>
      <c r="F318" s="136" t="str">
        <f>IFERROR(__xludf.DUMMYFUNCTION("""COMPUTED_VALUE"""),"")</f>
        <v/>
      </c>
      <c r="G318" s="106" t="str">
        <f>IFERROR(__xludf.DUMMYFUNCTION("""COMPUTED_VALUE"""),"")</f>
        <v/>
      </c>
      <c r="I318" s="136" t="str">
        <f>IFERROR(__xludf.DUMMYFUNCTION("""COMPUTED_VALUE"""),"")</f>
        <v/>
      </c>
      <c r="J318" s="106" t="str">
        <f>IFERROR(__xludf.DUMMYFUNCTION("""COMPUTED_VALUE"""),"")</f>
        <v/>
      </c>
      <c r="L318" s="136" t="str">
        <f>IFERROR(__xludf.DUMMYFUNCTION("""COMPUTED_VALUE"""),"")</f>
        <v/>
      </c>
      <c r="M318" s="106" t="str">
        <f>IFERROR(__xludf.DUMMYFUNCTION("""COMPUTED_VALUE"""),"")</f>
        <v/>
      </c>
      <c r="O318" s="136" t="str">
        <f>IFERROR(__xludf.DUMMYFUNCTION("""COMPUTED_VALUE"""),"")</f>
        <v/>
      </c>
      <c r="P318" s="106" t="str">
        <f>IFERROR(__xludf.DUMMYFUNCTION("""COMPUTED_VALUE"""),"")</f>
        <v/>
      </c>
      <c r="R318" s="136" t="str">
        <f>IFERROR(__xludf.DUMMYFUNCTION("""COMPUTED_VALUE"""),"")</f>
        <v/>
      </c>
      <c r="S318" s="106" t="str">
        <f>IFERROR(__xludf.DUMMYFUNCTION("""COMPUTED_VALUE"""),"")</f>
        <v/>
      </c>
    </row>
    <row r="319">
      <c r="A319" s="136" t="s">
        <v>15</v>
      </c>
      <c r="B319" s="146">
        <v>46114.0</v>
      </c>
      <c r="C319" s="136" t="s">
        <v>49</v>
      </c>
      <c r="D319" s="136" t="s">
        <v>149</v>
      </c>
      <c r="E319" s="106">
        <v>0.045833333329937886</v>
      </c>
      <c r="F319" s="136" t="str">
        <f>IFERROR(__xludf.DUMMYFUNCTION("""COMPUTED_VALUE"""),"")</f>
        <v/>
      </c>
      <c r="G319" s="106" t="str">
        <f>IFERROR(__xludf.DUMMYFUNCTION("""COMPUTED_VALUE"""),"")</f>
        <v/>
      </c>
      <c r="I319" s="136" t="str">
        <f>IFERROR(__xludf.DUMMYFUNCTION("""COMPUTED_VALUE"""),"")</f>
        <v/>
      </c>
      <c r="J319" s="106" t="str">
        <f>IFERROR(__xludf.DUMMYFUNCTION("""COMPUTED_VALUE"""),"")</f>
        <v/>
      </c>
      <c r="L319" s="136" t="str">
        <f>IFERROR(__xludf.DUMMYFUNCTION("""COMPUTED_VALUE"""),"")</f>
        <v/>
      </c>
      <c r="M319" s="106" t="str">
        <f>IFERROR(__xludf.DUMMYFUNCTION("""COMPUTED_VALUE"""),"")</f>
        <v/>
      </c>
      <c r="O319" s="136" t="str">
        <f>IFERROR(__xludf.DUMMYFUNCTION("""COMPUTED_VALUE"""),"")</f>
        <v/>
      </c>
      <c r="P319" s="106" t="str">
        <f>IFERROR(__xludf.DUMMYFUNCTION("""COMPUTED_VALUE"""),"")</f>
        <v/>
      </c>
      <c r="R319" s="136" t="str">
        <f>IFERROR(__xludf.DUMMYFUNCTION("""COMPUTED_VALUE"""),"")</f>
        <v/>
      </c>
      <c r="S319" s="106" t="str">
        <f>IFERROR(__xludf.DUMMYFUNCTION("""COMPUTED_VALUE"""),"")</f>
        <v/>
      </c>
    </row>
    <row r="320">
      <c r="A320" s="136" t="s">
        <v>15</v>
      </c>
      <c r="B320" s="146">
        <v>46114.0</v>
      </c>
      <c r="C320" s="136" t="s">
        <v>49</v>
      </c>
      <c r="D320" s="136" t="s">
        <v>149</v>
      </c>
      <c r="E320" s="106">
        <v>0.09166666666715173</v>
      </c>
      <c r="F320" s="136">
        <f>IFERROR(__xludf.DUMMYFUNCTION("""COMPUTED_VALUE"""),64.0)</f>
        <v>64</v>
      </c>
      <c r="G320" s="106">
        <f>IFERROR(__xludf.DUMMYFUNCTION("""COMPUTED_VALUE"""),0.11805555555474712)</f>
        <v>0.1180555556</v>
      </c>
      <c r="I320" s="136">
        <f>IFERROR(__xludf.DUMMYFUNCTION("""COMPUTED_VALUE"""),43.0)</f>
        <v>43</v>
      </c>
      <c r="J320" s="106">
        <f>IFERROR(__xludf.DUMMYFUNCTION("""COMPUTED_VALUE"""),0.06041666666715173)</f>
        <v>0.06041666667</v>
      </c>
      <c r="L320" s="136">
        <f>IFERROR(__xludf.DUMMYFUNCTION("""COMPUTED_VALUE"""),260.0)</f>
        <v>260</v>
      </c>
      <c r="M320" s="106">
        <f>IFERROR(__xludf.DUMMYFUNCTION("""COMPUTED_VALUE"""),0.18958333333284827)</f>
        <v>0.1895833333</v>
      </c>
      <c r="O320" s="136">
        <f>IFERROR(__xludf.DUMMYFUNCTION("""COMPUTED_VALUE"""),0.0)</f>
        <v>0</v>
      </c>
      <c r="P320" s="106">
        <f>IFERROR(__xludf.DUMMYFUNCTION("""COMPUTED_VALUE"""),0.0)</f>
        <v>0</v>
      </c>
      <c r="R320" s="136">
        <f>IFERROR(__xludf.DUMMYFUNCTION("""COMPUTED_VALUE"""),160.0)</f>
        <v>160</v>
      </c>
      <c r="S320" s="106">
        <f>IFERROR(__xludf.DUMMYFUNCTION("""COMPUTED_VALUE"""),0.16666666666424135)</f>
        <v>0.1666666667</v>
      </c>
    </row>
    <row r="321">
      <c r="A321" s="136" t="s">
        <v>18</v>
      </c>
      <c r="B321" s="146">
        <v>46114.0</v>
      </c>
      <c r="C321" s="136" t="s">
        <v>49</v>
      </c>
      <c r="D321" s="136" t="s">
        <v>149</v>
      </c>
      <c r="E321" s="106">
        <v>0.16666666666424135</v>
      </c>
      <c r="F321" s="136" t="str">
        <f>IFERROR(__xludf.DUMMYFUNCTION("""COMPUTED_VALUE"""),"")</f>
        <v/>
      </c>
      <c r="G321" s="106" t="str">
        <f>IFERROR(__xludf.DUMMYFUNCTION("""COMPUTED_VALUE"""),"")</f>
        <v/>
      </c>
      <c r="I321" s="136" t="str">
        <f>IFERROR(__xludf.DUMMYFUNCTION("""COMPUTED_VALUE"""),"")</f>
        <v/>
      </c>
      <c r="J321" s="106" t="str">
        <f>IFERROR(__xludf.DUMMYFUNCTION("""COMPUTED_VALUE"""),"")</f>
        <v/>
      </c>
      <c r="L321" s="136" t="str">
        <f>IFERROR(__xludf.DUMMYFUNCTION("""COMPUTED_VALUE"""),"")</f>
        <v/>
      </c>
      <c r="M321" s="106" t="str">
        <f>IFERROR(__xludf.DUMMYFUNCTION("""COMPUTED_VALUE"""),"")</f>
        <v/>
      </c>
      <c r="O321" s="136" t="str">
        <f>IFERROR(__xludf.DUMMYFUNCTION("""COMPUTED_VALUE"""),"")</f>
        <v/>
      </c>
      <c r="P321" s="106" t="str">
        <f>IFERROR(__xludf.DUMMYFUNCTION("""COMPUTED_VALUE"""),"")</f>
        <v/>
      </c>
      <c r="R321" s="136" t="str">
        <f>IFERROR(__xludf.DUMMYFUNCTION("""COMPUTED_VALUE"""),"")</f>
        <v/>
      </c>
      <c r="S321" s="106" t="str">
        <f>IFERROR(__xludf.DUMMYFUNCTION("""COMPUTED_VALUE"""),"")</f>
        <v/>
      </c>
    </row>
    <row r="322">
      <c r="A322" s="136" t="s">
        <v>12</v>
      </c>
      <c r="B322" s="146">
        <v>46115.0</v>
      </c>
      <c r="C322" s="136" t="s">
        <v>53</v>
      </c>
      <c r="D322" s="136" t="s">
        <v>149</v>
      </c>
      <c r="E322" s="106">
        <v>0.0625</v>
      </c>
      <c r="F322" s="136" t="str">
        <f>IFERROR(__xludf.DUMMYFUNCTION("""COMPUTED_VALUE"""),"")</f>
        <v/>
      </c>
      <c r="G322" s="106" t="str">
        <f>IFERROR(__xludf.DUMMYFUNCTION("""COMPUTED_VALUE"""),"")</f>
        <v/>
      </c>
      <c r="I322" s="136" t="str">
        <f>IFERROR(__xludf.DUMMYFUNCTION("""COMPUTED_VALUE"""),"")</f>
        <v/>
      </c>
      <c r="J322" s="106" t="str">
        <f>IFERROR(__xludf.DUMMYFUNCTION("""COMPUTED_VALUE"""),"")</f>
        <v/>
      </c>
      <c r="L322" s="136" t="str">
        <f>IFERROR(__xludf.DUMMYFUNCTION("""COMPUTED_VALUE"""),"")</f>
        <v/>
      </c>
      <c r="M322" s="106" t="str">
        <f>IFERROR(__xludf.DUMMYFUNCTION("""COMPUTED_VALUE"""),"")</f>
        <v/>
      </c>
      <c r="O322" s="136" t="str">
        <f>IFERROR(__xludf.DUMMYFUNCTION("""COMPUTED_VALUE"""),"")</f>
        <v/>
      </c>
      <c r="P322" s="106" t="str">
        <f>IFERROR(__xludf.DUMMYFUNCTION("""COMPUTED_VALUE"""),"")</f>
        <v/>
      </c>
      <c r="R322" s="136" t="str">
        <f>IFERROR(__xludf.DUMMYFUNCTION("""COMPUTED_VALUE"""),"")</f>
        <v/>
      </c>
      <c r="S322" s="106" t="str">
        <f>IFERROR(__xludf.DUMMYFUNCTION("""COMPUTED_VALUE"""),"")</f>
        <v/>
      </c>
    </row>
    <row r="323">
      <c r="A323" s="136" t="s">
        <v>15</v>
      </c>
      <c r="B323" s="146">
        <v>46115.0</v>
      </c>
      <c r="C323" s="136" t="s">
        <v>53</v>
      </c>
      <c r="D323" s="136" t="s">
        <v>149</v>
      </c>
      <c r="E323" s="106">
        <v>0.125</v>
      </c>
      <c r="F323" s="136">
        <f>IFERROR(__xludf.DUMMYFUNCTION("""COMPUTED_VALUE"""),53.0)</f>
        <v>53</v>
      </c>
      <c r="G323" s="106">
        <f>IFERROR(__xludf.DUMMYFUNCTION("""COMPUTED_VALUE"""),0.0625)</f>
        <v>0.0625</v>
      </c>
      <c r="I323" s="136">
        <f>IFERROR(__xludf.DUMMYFUNCTION("""COMPUTED_VALUE"""),0.0)</f>
        <v>0</v>
      </c>
      <c r="J323" s="106">
        <f>IFERROR(__xludf.DUMMYFUNCTION("""COMPUTED_VALUE"""),0.0)</f>
        <v>0</v>
      </c>
      <c r="L323" s="136">
        <f>IFERROR(__xludf.DUMMYFUNCTION("""COMPUTED_VALUE"""),171.0)</f>
        <v>171</v>
      </c>
      <c r="M323" s="106">
        <f>IFERROR(__xludf.DUMMYFUNCTION("""COMPUTED_VALUE"""),0.26388888889050577)</f>
        <v>0.2638888889</v>
      </c>
      <c r="O323" s="136">
        <f>IFERROR(__xludf.DUMMYFUNCTION("""COMPUTED_VALUE"""),0.0)</f>
        <v>0</v>
      </c>
      <c r="P323" s="106">
        <f>IFERROR(__xludf.DUMMYFUNCTION("""COMPUTED_VALUE"""),0.0)</f>
        <v>0</v>
      </c>
      <c r="R323" s="136">
        <f>IFERROR(__xludf.DUMMYFUNCTION("""COMPUTED_VALUE"""),156.0)</f>
        <v>156</v>
      </c>
      <c r="S323" s="106">
        <f>IFERROR(__xludf.DUMMYFUNCTION("""COMPUTED_VALUE"""),0.14791666666133096)</f>
        <v>0.1479166667</v>
      </c>
    </row>
    <row r="324">
      <c r="A324" s="136" t="s">
        <v>15</v>
      </c>
      <c r="B324" s="146">
        <v>46115.0</v>
      </c>
      <c r="C324" s="136" t="s">
        <v>53</v>
      </c>
      <c r="D324" s="136" t="s">
        <v>148</v>
      </c>
      <c r="E324" s="106">
        <v>0.13888888889050577</v>
      </c>
      <c r="F324" s="136" t="str">
        <f>IFERROR(__xludf.DUMMYFUNCTION("""COMPUTED_VALUE"""),"")</f>
        <v/>
      </c>
      <c r="G324" s="106" t="str">
        <f>IFERROR(__xludf.DUMMYFUNCTION("""COMPUTED_VALUE"""),"")</f>
        <v/>
      </c>
      <c r="I324" s="136" t="str">
        <f>IFERROR(__xludf.DUMMYFUNCTION("""COMPUTED_VALUE"""),"")</f>
        <v/>
      </c>
      <c r="J324" s="106" t="str">
        <f>IFERROR(__xludf.DUMMYFUNCTION("""COMPUTED_VALUE"""),"")</f>
        <v/>
      </c>
      <c r="L324" s="136" t="str">
        <f>IFERROR(__xludf.DUMMYFUNCTION("""COMPUTED_VALUE"""),"")</f>
        <v/>
      </c>
      <c r="M324" s="106" t="str">
        <f>IFERROR(__xludf.DUMMYFUNCTION("""COMPUTED_VALUE"""),"")</f>
        <v/>
      </c>
      <c r="O324" s="136" t="str">
        <f>IFERROR(__xludf.DUMMYFUNCTION("""COMPUTED_VALUE"""),"")</f>
        <v/>
      </c>
      <c r="P324" s="106" t="str">
        <f>IFERROR(__xludf.DUMMYFUNCTION("""COMPUTED_VALUE"""),"")</f>
        <v/>
      </c>
      <c r="R324" s="136" t="str">
        <f>IFERROR(__xludf.DUMMYFUNCTION("""COMPUTED_VALUE"""),"")</f>
        <v/>
      </c>
      <c r="S324" s="106" t="str">
        <f>IFERROR(__xludf.DUMMYFUNCTION("""COMPUTED_VALUE"""),"")</f>
        <v/>
      </c>
    </row>
    <row r="325">
      <c r="A325" s="136" t="s">
        <v>134</v>
      </c>
      <c r="B325" s="146">
        <v>46111.0</v>
      </c>
      <c r="C325" s="136" t="s">
        <v>37</v>
      </c>
      <c r="D325" s="136" t="s">
        <v>149</v>
      </c>
      <c r="E325" s="106">
        <v>0.04513888889050577</v>
      </c>
      <c r="F325" s="136">
        <f>IFERROR(__xludf.DUMMYFUNCTION("""COMPUTED_VALUE"""),0.0)</f>
        <v>0</v>
      </c>
      <c r="G325" s="106">
        <f>IFERROR(__xludf.DUMMYFUNCTION("""COMPUTED_VALUE"""),0.0)</f>
        <v>0</v>
      </c>
      <c r="I325" s="136">
        <f>IFERROR(__xludf.DUMMYFUNCTION("""COMPUTED_VALUE"""),86.0)</f>
        <v>86</v>
      </c>
      <c r="J325" s="106">
        <f>IFERROR(__xludf.DUMMYFUNCTION("""COMPUTED_VALUE"""),0.04513888889050577)</f>
        <v>0.04513888889</v>
      </c>
      <c r="L325" s="136">
        <f>IFERROR(__xludf.DUMMYFUNCTION("""COMPUTED_VALUE"""),270.0)</f>
        <v>270</v>
      </c>
      <c r="M325" s="106">
        <f>IFERROR(__xludf.DUMMYFUNCTION("""COMPUTED_VALUE"""),0.1993055555576575)</f>
        <v>0.1993055556</v>
      </c>
      <c r="O325" s="136">
        <f>IFERROR(__xludf.DUMMYFUNCTION("""COMPUTED_VALUE"""),0.0)</f>
        <v>0</v>
      </c>
      <c r="P325" s="106">
        <f>IFERROR(__xludf.DUMMYFUNCTION("""COMPUTED_VALUE"""),0.0)</f>
        <v>0</v>
      </c>
      <c r="R325" s="136">
        <f>IFERROR(__xludf.DUMMYFUNCTION("""COMPUTED_VALUE"""),317.0)</f>
        <v>317</v>
      </c>
      <c r="S325" s="106">
        <f>IFERROR(__xludf.DUMMYFUNCTION("""COMPUTED_VALUE"""),0.2006944444437977)</f>
        <v>0.2006944444</v>
      </c>
    </row>
    <row r="326">
      <c r="A326" s="136" t="s">
        <v>15</v>
      </c>
      <c r="B326" s="146">
        <v>46111.0</v>
      </c>
      <c r="C326" s="136" t="s">
        <v>37</v>
      </c>
      <c r="D326" s="136" t="s">
        <v>148</v>
      </c>
      <c r="E326" s="106">
        <v>0.0743055555576575</v>
      </c>
      <c r="F326" s="136">
        <f>IFERROR(__xludf.DUMMYFUNCTION("""COMPUTED_VALUE"""),157.0)</f>
        <v>157</v>
      </c>
      <c r="G326" s="106">
        <f>IFERROR(__xludf.DUMMYFUNCTION("""COMPUTED_VALUE"""),0.14583333333575865)</f>
        <v>0.1458333333</v>
      </c>
      <c r="I326" s="136">
        <f>IFERROR(__xludf.DUMMYFUNCTION("""COMPUTED_VALUE"""),107.0)</f>
        <v>107</v>
      </c>
      <c r="J326" s="106">
        <f>IFERROR(__xludf.DUMMYFUNCTION("""COMPUTED_VALUE"""),0.05555555556202307)</f>
        <v>0.05555555556</v>
      </c>
      <c r="L326" s="136">
        <f>IFERROR(__xludf.DUMMYFUNCTION("""COMPUTED_VALUE"""),352.0)</f>
        <v>352</v>
      </c>
      <c r="M326" s="106">
        <f>IFERROR(__xludf.DUMMYFUNCTION("""COMPUTED_VALUE"""),0.1909722222117125)</f>
        <v>0.1909722222</v>
      </c>
      <c r="O326" s="136">
        <f>IFERROR(__xludf.DUMMYFUNCTION("""COMPUTED_VALUE"""),0.0)</f>
        <v>0</v>
      </c>
      <c r="P326" s="106">
        <f>IFERROR(__xludf.DUMMYFUNCTION("""COMPUTED_VALUE"""),0.0)</f>
        <v>0</v>
      </c>
      <c r="R326" s="136">
        <f>IFERROR(__xludf.DUMMYFUNCTION("""COMPUTED_VALUE"""),123.0)</f>
        <v>123</v>
      </c>
      <c r="S326" s="106">
        <f>IFERROR(__xludf.DUMMYFUNCTION("""COMPUTED_VALUE"""),0.11944444444088731)</f>
        <v>0.1194444444</v>
      </c>
    </row>
    <row r="327">
      <c r="A327" s="136" t="s">
        <v>12</v>
      </c>
      <c r="B327" s="146">
        <v>46112.0</v>
      </c>
      <c r="C327" s="136" t="s">
        <v>41</v>
      </c>
      <c r="D327" s="136" t="s">
        <v>149</v>
      </c>
      <c r="E327" s="106">
        <v>0.14583333333575865</v>
      </c>
      <c r="F327" s="136" t="str">
        <f>IFERROR(__xludf.DUMMYFUNCTION("""COMPUTED_VALUE"""),"")</f>
        <v/>
      </c>
      <c r="G327" s="106" t="str">
        <f>IFERROR(__xludf.DUMMYFUNCTION("""COMPUTED_VALUE"""),"")</f>
        <v/>
      </c>
      <c r="I327" s="136" t="str">
        <f>IFERROR(__xludf.DUMMYFUNCTION("""COMPUTED_VALUE"""),"")</f>
        <v/>
      </c>
      <c r="J327" s="106" t="str">
        <f>IFERROR(__xludf.DUMMYFUNCTION("""COMPUTED_VALUE"""),"")</f>
        <v/>
      </c>
      <c r="L327" s="136" t="str">
        <f>IFERROR(__xludf.DUMMYFUNCTION("""COMPUTED_VALUE"""),"")</f>
        <v/>
      </c>
      <c r="M327" s="106" t="str">
        <f>IFERROR(__xludf.DUMMYFUNCTION("""COMPUTED_VALUE"""),"")</f>
        <v/>
      </c>
      <c r="O327" s="136" t="str">
        <f>IFERROR(__xludf.DUMMYFUNCTION("""COMPUTED_VALUE"""),"")</f>
        <v/>
      </c>
      <c r="P327" s="106" t="str">
        <f>IFERROR(__xludf.DUMMYFUNCTION("""COMPUTED_VALUE"""),"")</f>
        <v/>
      </c>
      <c r="R327" s="136" t="str">
        <f>IFERROR(__xludf.DUMMYFUNCTION("""COMPUTED_VALUE"""),"")</f>
        <v/>
      </c>
      <c r="S327" s="106" t="str">
        <f>IFERROR(__xludf.DUMMYFUNCTION("""COMPUTED_VALUE"""),"")</f>
        <v/>
      </c>
    </row>
    <row r="328">
      <c r="A328" s="136" t="s">
        <v>18</v>
      </c>
      <c r="B328" s="146">
        <v>46115.0</v>
      </c>
      <c r="C328" s="136" t="s">
        <v>53</v>
      </c>
      <c r="D328" s="136" t="s">
        <v>148</v>
      </c>
      <c r="E328" s="106">
        <v>0.07291666666424135</v>
      </c>
      <c r="F328" s="136">
        <f>IFERROR(__xludf.DUMMYFUNCTION("""COMPUTED_VALUE"""),53.0)</f>
        <v>53</v>
      </c>
      <c r="G328" s="106">
        <f>IFERROR(__xludf.DUMMYFUNCTION("""COMPUTED_VALUE"""),0.0625)</f>
        <v>0.0625</v>
      </c>
      <c r="I328" s="136">
        <f>IFERROR(__xludf.DUMMYFUNCTION("""COMPUTED_VALUE"""),0.0)</f>
        <v>0</v>
      </c>
      <c r="J328" s="106">
        <f>IFERROR(__xludf.DUMMYFUNCTION("""COMPUTED_VALUE"""),0.0)</f>
        <v>0</v>
      </c>
      <c r="L328" s="136">
        <f>IFERROR(__xludf.DUMMYFUNCTION("""COMPUTED_VALUE"""),171.0)</f>
        <v>171</v>
      </c>
      <c r="M328" s="106">
        <f>IFERROR(__xludf.DUMMYFUNCTION("""COMPUTED_VALUE"""),0.26388888889050577)</f>
        <v>0.2638888889</v>
      </c>
      <c r="O328" s="136">
        <f>IFERROR(__xludf.DUMMYFUNCTION("""COMPUTED_VALUE"""),0.0)</f>
        <v>0</v>
      </c>
      <c r="P328" s="106">
        <f>IFERROR(__xludf.DUMMYFUNCTION("""COMPUTED_VALUE"""),0.0)</f>
        <v>0</v>
      </c>
      <c r="R328" s="136">
        <f>IFERROR(__xludf.DUMMYFUNCTION("""COMPUTED_VALUE"""),156.0)</f>
        <v>156</v>
      </c>
      <c r="S328" s="106">
        <f>IFERROR(__xludf.DUMMYFUNCTION("""COMPUTED_VALUE"""),0.14791666666133096)</f>
        <v>0.1479166667</v>
      </c>
    </row>
    <row r="329">
      <c r="A329" s="136" t="s">
        <v>18</v>
      </c>
      <c r="B329" s="146">
        <v>46115.0</v>
      </c>
      <c r="C329" s="136" t="s">
        <v>53</v>
      </c>
      <c r="D329" s="136" t="s">
        <v>148</v>
      </c>
      <c r="E329" s="106">
        <v>0.07499999999708962</v>
      </c>
      <c r="F329" s="136" t="str">
        <f>IFERROR(__xludf.DUMMYFUNCTION("""COMPUTED_VALUE"""),"")</f>
        <v/>
      </c>
      <c r="G329" s="106" t="str">
        <f>IFERROR(__xludf.DUMMYFUNCTION("""COMPUTED_VALUE"""),"")</f>
        <v/>
      </c>
      <c r="I329" s="136" t="str">
        <f>IFERROR(__xludf.DUMMYFUNCTION("""COMPUTED_VALUE"""),"")</f>
        <v/>
      </c>
      <c r="J329" s="106" t="str">
        <f>IFERROR(__xludf.DUMMYFUNCTION("""COMPUTED_VALUE"""),"")</f>
        <v/>
      </c>
      <c r="L329" s="136" t="str">
        <f>IFERROR(__xludf.DUMMYFUNCTION("""COMPUTED_VALUE"""),"")</f>
        <v/>
      </c>
      <c r="M329" s="106" t="str">
        <f>IFERROR(__xludf.DUMMYFUNCTION("""COMPUTED_VALUE"""),"")</f>
        <v/>
      </c>
      <c r="O329" s="136" t="str">
        <f>IFERROR(__xludf.DUMMYFUNCTION("""COMPUTED_VALUE"""),"")</f>
        <v/>
      </c>
      <c r="P329" s="106" t="str">
        <f>IFERROR(__xludf.DUMMYFUNCTION("""COMPUTED_VALUE"""),"")</f>
        <v/>
      </c>
      <c r="R329" s="136" t="str">
        <f>IFERROR(__xludf.DUMMYFUNCTION("""COMPUTED_VALUE"""),"")</f>
        <v/>
      </c>
      <c r="S329" s="106" t="str">
        <f>IFERROR(__xludf.DUMMYFUNCTION("""COMPUTED_VALUE"""),"")</f>
        <v/>
      </c>
    </row>
    <row r="330">
      <c r="A330" s="136" t="s">
        <v>12</v>
      </c>
      <c r="B330" s="146">
        <v>46118.0</v>
      </c>
      <c r="C330" s="136" t="s">
        <v>37</v>
      </c>
      <c r="D330" s="136" t="s">
        <v>149</v>
      </c>
      <c r="E330" s="106">
        <v>0.06458333333284827</v>
      </c>
      <c r="F330" s="136" t="str">
        <f>IFERROR(__xludf.DUMMYFUNCTION("""COMPUTED_VALUE"""),"")</f>
        <v/>
      </c>
      <c r="G330" s="106" t="str">
        <f>IFERROR(__xludf.DUMMYFUNCTION("""COMPUTED_VALUE"""),"")</f>
        <v/>
      </c>
      <c r="I330" s="136" t="str">
        <f>IFERROR(__xludf.DUMMYFUNCTION("""COMPUTED_VALUE"""),"")</f>
        <v/>
      </c>
      <c r="J330" s="106" t="str">
        <f>IFERROR(__xludf.DUMMYFUNCTION("""COMPUTED_VALUE"""),"")</f>
        <v/>
      </c>
      <c r="L330" s="136" t="str">
        <f>IFERROR(__xludf.DUMMYFUNCTION("""COMPUTED_VALUE"""),"")</f>
        <v/>
      </c>
      <c r="M330" s="106" t="str">
        <f>IFERROR(__xludf.DUMMYFUNCTION("""COMPUTED_VALUE"""),"")</f>
        <v/>
      </c>
      <c r="O330" s="136" t="str">
        <f>IFERROR(__xludf.DUMMYFUNCTION("""COMPUTED_VALUE"""),"")</f>
        <v/>
      </c>
      <c r="P330" s="106" t="str">
        <f>IFERROR(__xludf.DUMMYFUNCTION("""COMPUTED_VALUE"""),"")</f>
        <v/>
      </c>
      <c r="R330" s="136" t="str">
        <f>IFERROR(__xludf.DUMMYFUNCTION("""COMPUTED_VALUE"""),"")</f>
        <v/>
      </c>
      <c r="S330" s="106" t="str">
        <f>IFERROR(__xludf.DUMMYFUNCTION("""COMPUTED_VALUE"""),"")</f>
        <v/>
      </c>
    </row>
    <row r="331">
      <c r="A331" s="136" t="s">
        <v>15</v>
      </c>
      <c r="B331" s="146">
        <v>46118.0</v>
      </c>
      <c r="C331" s="136" t="s">
        <v>37</v>
      </c>
      <c r="D331" s="136" t="s">
        <v>149</v>
      </c>
      <c r="E331" s="106">
        <v>0.125</v>
      </c>
      <c r="F331" s="136" t="str">
        <f>IFERROR(__xludf.DUMMYFUNCTION("""COMPUTED_VALUE"""),"")</f>
        <v/>
      </c>
      <c r="G331" s="106" t="str">
        <f>IFERROR(__xludf.DUMMYFUNCTION("""COMPUTED_VALUE"""),"")</f>
        <v/>
      </c>
      <c r="I331" s="136" t="str">
        <f>IFERROR(__xludf.DUMMYFUNCTION("""COMPUTED_VALUE"""),"")</f>
        <v/>
      </c>
      <c r="J331" s="106" t="str">
        <f>IFERROR(__xludf.DUMMYFUNCTION("""COMPUTED_VALUE"""),"")</f>
        <v/>
      </c>
      <c r="L331" s="136" t="str">
        <f>IFERROR(__xludf.DUMMYFUNCTION("""COMPUTED_VALUE"""),"")</f>
        <v/>
      </c>
      <c r="M331" s="106" t="str">
        <f>IFERROR(__xludf.DUMMYFUNCTION("""COMPUTED_VALUE"""),"")</f>
        <v/>
      </c>
      <c r="O331" s="136" t="str">
        <f>IFERROR(__xludf.DUMMYFUNCTION("""COMPUTED_VALUE"""),"")</f>
        <v/>
      </c>
      <c r="P331" s="106" t="str">
        <f>IFERROR(__xludf.DUMMYFUNCTION("""COMPUTED_VALUE"""),"")</f>
        <v/>
      </c>
      <c r="R331" s="136" t="str">
        <f>IFERROR(__xludf.DUMMYFUNCTION("""COMPUTED_VALUE"""),"")</f>
        <v/>
      </c>
      <c r="S331" s="106" t="str">
        <f>IFERROR(__xludf.DUMMYFUNCTION("""COMPUTED_VALUE"""),"")</f>
        <v/>
      </c>
    </row>
    <row r="332">
      <c r="A332" s="136" t="s">
        <v>18</v>
      </c>
      <c r="B332" s="146">
        <v>46118.0</v>
      </c>
      <c r="C332" s="136" t="s">
        <v>37</v>
      </c>
      <c r="D332" s="136" t="s">
        <v>148</v>
      </c>
      <c r="E332" s="106">
        <v>0.07638888889050577</v>
      </c>
      <c r="F332" s="136">
        <f>IFERROR(__xludf.DUMMYFUNCTION("""COMPUTED_VALUE"""),48.0)</f>
        <v>48</v>
      </c>
      <c r="G332" s="106">
        <f>IFERROR(__xludf.DUMMYFUNCTION("""COMPUTED_VALUE"""),0.06458333333284827)</f>
        <v>0.06458333333</v>
      </c>
      <c r="I332" s="136">
        <f>IFERROR(__xludf.DUMMYFUNCTION("""COMPUTED_VALUE"""),76.0)</f>
        <v>76</v>
      </c>
      <c r="J332" s="106">
        <f>IFERROR(__xludf.DUMMYFUNCTION("""COMPUTED_VALUE"""),0.04513888889050577)</f>
        <v>0.04513888889</v>
      </c>
      <c r="L332" s="136">
        <f>IFERROR(__xludf.DUMMYFUNCTION("""COMPUTED_VALUE"""),216.0)</f>
        <v>216</v>
      </c>
      <c r="M332" s="106">
        <f>IFERROR(__xludf.DUMMYFUNCTION("""COMPUTED_VALUE"""),0.19444444444525288)</f>
        <v>0.1944444444</v>
      </c>
      <c r="O332" s="136">
        <f>IFERROR(__xludf.DUMMYFUNCTION("""COMPUTED_VALUE"""),0.0)</f>
        <v>0</v>
      </c>
      <c r="P332" s="106">
        <f>IFERROR(__xludf.DUMMYFUNCTION("""COMPUTED_VALUE"""),0.0)</f>
        <v>0</v>
      </c>
      <c r="R332" s="136">
        <f>IFERROR(__xludf.DUMMYFUNCTION("""COMPUTED_VALUE"""),223.0)</f>
        <v>223</v>
      </c>
      <c r="S332" s="106">
        <f>IFERROR(__xludf.DUMMYFUNCTION("""COMPUTED_VALUE"""),0.20138888889050577)</f>
        <v>0.2013888889</v>
      </c>
    </row>
    <row r="333">
      <c r="A333" s="136" t="s">
        <v>18</v>
      </c>
      <c r="B333" s="146">
        <v>46118.0</v>
      </c>
      <c r="C333" s="136" t="s">
        <v>37</v>
      </c>
      <c r="D333" s="136" t="s">
        <v>148</v>
      </c>
      <c r="E333" s="106">
        <v>0.125</v>
      </c>
      <c r="F333" s="136" t="str">
        <f>IFERROR(__xludf.DUMMYFUNCTION("""COMPUTED_VALUE"""),"")</f>
        <v/>
      </c>
      <c r="G333" s="106" t="str">
        <f>IFERROR(__xludf.DUMMYFUNCTION("""COMPUTED_VALUE"""),"")</f>
        <v/>
      </c>
      <c r="I333" s="136" t="str">
        <f>IFERROR(__xludf.DUMMYFUNCTION("""COMPUTED_VALUE"""),"")</f>
        <v/>
      </c>
      <c r="J333" s="106" t="str">
        <f>IFERROR(__xludf.DUMMYFUNCTION("""COMPUTED_VALUE"""),"")</f>
        <v/>
      </c>
      <c r="L333" s="136" t="str">
        <f>IFERROR(__xludf.DUMMYFUNCTION("""COMPUTED_VALUE"""),"")</f>
        <v/>
      </c>
      <c r="M333" s="106" t="str">
        <f>IFERROR(__xludf.DUMMYFUNCTION("""COMPUTED_VALUE"""),"")</f>
        <v/>
      </c>
      <c r="O333" s="136" t="str">
        <f>IFERROR(__xludf.DUMMYFUNCTION("""COMPUTED_VALUE"""),"")</f>
        <v/>
      </c>
      <c r="P333" s="106" t="str">
        <f>IFERROR(__xludf.DUMMYFUNCTION("""COMPUTED_VALUE"""),"")</f>
        <v/>
      </c>
      <c r="R333" s="136" t="str">
        <f>IFERROR(__xludf.DUMMYFUNCTION("""COMPUTED_VALUE"""),"")</f>
        <v/>
      </c>
      <c r="S333" s="106" t="str">
        <f>IFERROR(__xludf.DUMMYFUNCTION("""COMPUTED_VALUE"""),"")</f>
        <v/>
      </c>
    </row>
    <row r="334">
      <c r="A334" s="136" t="s">
        <v>134</v>
      </c>
      <c r="B334" s="146">
        <v>46119.0</v>
      </c>
      <c r="C334" s="136" t="s">
        <v>41</v>
      </c>
      <c r="D334" s="136" t="s">
        <v>149</v>
      </c>
      <c r="E334" s="106">
        <v>0.049999999995634425</v>
      </c>
      <c r="F334" s="136" t="str">
        <f>IFERROR(__xludf.DUMMYFUNCTION("""COMPUTED_VALUE"""),"")</f>
        <v/>
      </c>
      <c r="G334" s="106" t="str">
        <f>IFERROR(__xludf.DUMMYFUNCTION("""COMPUTED_VALUE"""),"")</f>
        <v/>
      </c>
      <c r="I334" s="136" t="str">
        <f>IFERROR(__xludf.DUMMYFUNCTION("""COMPUTED_VALUE"""),"")</f>
        <v/>
      </c>
      <c r="J334" s="106" t="str">
        <f>IFERROR(__xludf.DUMMYFUNCTION("""COMPUTED_VALUE"""),"")</f>
        <v/>
      </c>
      <c r="L334" s="136" t="str">
        <f>IFERROR(__xludf.DUMMYFUNCTION("""COMPUTED_VALUE"""),"")</f>
        <v/>
      </c>
      <c r="M334" s="106" t="str">
        <f>IFERROR(__xludf.DUMMYFUNCTION("""COMPUTED_VALUE"""),"")</f>
        <v/>
      </c>
      <c r="O334" s="136" t="str">
        <f>IFERROR(__xludf.DUMMYFUNCTION("""COMPUTED_VALUE"""),"")</f>
        <v/>
      </c>
      <c r="P334" s="106" t="str">
        <f>IFERROR(__xludf.DUMMYFUNCTION("""COMPUTED_VALUE"""),"")</f>
        <v/>
      </c>
      <c r="R334" s="136" t="str">
        <f>IFERROR(__xludf.DUMMYFUNCTION("""COMPUTED_VALUE"""),"")</f>
        <v/>
      </c>
      <c r="S334" s="106" t="str">
        <f>IFERROR(__xludf.DUMMYFUNCTION("""COMPUTED_VALUE"""),"")</f>
        <v/>
      </c>
    </row>
    <row r="335">
      <c r="A335" s="136" t="s">
        <v>15</v>
      </c>
      <c r="B335" s="146">
        <v>46119.0</v>
      </c>
      <c r="C335" s="136" t="s">
        <v>41</v>
      </c>
      <c r="D335" s="136" t="s">
        <v>148</v>
      </c>
      <c r="E335" s="106">
        <v>0.0583333333270275</v>
      </c>
      <c r="F335" s="136" t="str">
        <f>IFERROR(__xludf.DUMMYFUNCTION("""COMPUTED_VALUE"""),"")</f>
        <v/>
      </c>
      <c r="G335" s="106" t="str">
        <f>IFERROR(__xludf.DUMMYFUNCTION("""COMPUTED_VALUE"""),"")</f>
        <v/>
      </c>
      <c r="I335" s="136" t="str">
        <f>IFERROR(__xludf.DUMMYFUNCTION("""COMPUTED_VALUE"""),"")</f>
        <v/>
      </c>
      <c r="J335" s="106" t="str">
        <f>IFERROR(__xludf.DUMMYFUNCTION("""COMPUTED_VALUE"""),"")</f>
        <v/>
      </c>
      <c r="L335" s="136" t="str">
        <f>IFERROR(__xludf.DUMMYFUNCTION("""COMPUTED_VALUE"""),"")</f>
        <v/>
      </c>
      <c r="M335" s="106" t="str">
        <f>IFERROR(__xludf.DUMMYFUNCTION("""COMPUTED_VALUE"""),"")</f>
        <v/>
      </c>
      <c r="O335" s="136" t="str">
        <f>IFERROR(__xludf.DUMMYFUNCTION("""COMPUTED_VALUE"""),"")</f>
        <v/>
      </c>
      <c r="P335" s="106" t="str">
        <f>IFERROR(__xludf.DUMMYFUNCTION("""COMPUTED_VALUE"""),"")</f>
        <v/>
      </c>
      <c r="R335" s="136" t="str">
        <f>IFERROR(__xludf.DUMMYFUNCTION("""COMPUTED_VALUE"""),"")</f>
        <v/>
      </c>
      <c r="S335" s="106" t="str">
        <f>IFERROR(__xludf.DUMMYFUNCTION("""COMPUTED_VALUE"""),"")</f>
        <v/>
      </c>
    </row>
    <row r="336">
      <c r="A336" s="136" t="s">
        <v>15</v>
      </c>
      <c r="B336" s="146">
        <v>46119.0</v>
      </c>
      <c r="C336" s="136" t="s">
        <v>41</v>
      </c>
      <c r="D336" s="136" t="s">
        <v>148</v>
      </c>
      <c r="E336" s="106">
        <v>0.0729166666715173</v>
      </c>
      <c r="F336" s="136" t="str">
        <f>IFERROR(__xludf.DUMMYFUNCTION("""COMPUTED_VALUE"""),"")</f>
        <v/>
      </c>
      <c r="G336" s="106" t="str">
        <f>IFERROR(__xludf.DUMMYFUNCTION("""COMPUTED_VALUE"""),"")</f>
        <v/>
      </c>
      <c r="I336" s="136" t="str">
        <f>IFERROR(__xludf.DUMMYFUNCTION("""COMPUTED_VALUE"""),"")</f>
        <v/>
      </c>
      <c r="J336" s="106" t="str">
        <f>IFERROR(__xludf.DUMMYFUNCTION("""COMPUTED_VALUE"""),"")</f>
        <v/>
      </c>
      <c r="L336" s="136" t="str">
        <f>IFERROR(__xludf.DUMMYFUNCTION("""COMPUTED_VALUE"""),"")</f>
        <v/>
      </c>
      <c r="M336" s="106" t="str">
        <f>IFERROR(__xludf.DUMMYFUNCTION("""COMPUTED_VALUE"""),"")</f>
        <v/>
      </c>
      <c r="O336" s="136" t="str">
        <f>IFERROR(__xludf.DUMMYFUNCTION("""COMPUTED_VALUE"""),"")</f>
        <v/>
      </c>
      <c r="P336" s="106" t="str">
        <f>IFERROR(__xludf.DUMMYFUNCTION("""COMPUTED_VALUE"""),"")</f>
        <v/>
      </c>
      <c r="R336" s="136" t="str">
        <f>IFERROR(__xludf.DUMMYFUNCTION("""COMPUTED_VALUE"""),"")</f>
        <v/>
      </c>
      <c r="S336" s="106" t="str">
        <f>IFERROR(__xludf.DUMMYFUNCTION("""COMPUTED_VALUE"""),"")</f>
        <v/>
      </c>
    </row>
    <row r="337">
      <c r="A337" s="136" t="s">
        <v>18</v>
      </c>
      <c r="B337" s="146">
        <v>46119.0</v>
      </c>
      <c r="C337" s="136" t="s">
        <v>41</v>
      </c>
      <c r="D337" s="136" t="s">
        <v>149</v>
      </c>
      <c r="E337" s="106">
        <v>0.16111111111240461</v>
      </c>
      <c r="F337" s="136">
        <f>IFERROR(__xludf.DUMMYFUNCTION("""COMPUTED_VALUE"""),0.0)</f>
        <v>0</v>
      </c>
      <c r="G337" s="106">
        <f>IFERROR(__xludf.DUMMYFUNCTION("""COMPUTED_VALUE"""),0.0)</f>
        <v>0</v>
      </c>
      <c r="I337" s="136">
        <f>IFERROR(__xludf.DUMMYFUNCTION("""COMPUTED_VALUE"""),142.0)</f>
        <v>142</v>
      </c>
      <c r="J337" s="106">
        <f>IFERROR(__xludf.DUMMYFUNCTION("""COMPUTED_VALUE"""),0.049999999995634425)</f>
        <v>0.05</v>
      </c>
      <c r="L337" s="136">
        <f>IFERROR(__xludf.DUMMYFUNCTION("""COMPUTED_VALUE"""),347.0)</f>
        <v>347</v>
      </c>
      <c r="M337" s="106">
        <f>IFERROR(__xludf.DUMMYFUNCTION("""COMPUTED_VALUE"""),0.1312499999985448)</f>
        <v>0.13125</v>
      </c>
      <c r="O337" s="136">
        <f>IFERROR(__xludf.DUMMYFUNCTION("""COMPUTED_VALUE"""),0.0)</f>
        <v>0</v>
      </c>
      <c r="P337" s="106">
        <f>IFERROR(__xludf.DUMMYFUNCTION("""COMPUTED_VALUE"""),0.0)</f>
        <v>0</v>
      </c>
      <c r="R337" s="136">
        <f>IFERROR(__xludf.DUMMYFUNCTION("""COMPUTED_VALUE"""),322.0)</f>
        <v>322</v>
      </c>
      <c r="S337" s="106">
        <f>IFERROR(__xludf.DUMMYFUNCTION("""COMPUTED_VALUE"""),0.28125)</f>
        <v>0.28125</v>
      </c>
    </row>
    <row r="338">
      <c r="A338" s="136" t="s">
        <v>18</v>
      </c>
      <c r="B338" s="146">
        <v>46119.0</v>
      </c>
      <c r="C338" s="136" t="s">
        <v>41</v>
      </c>
      <c r="D338" s="136" t="s">
        <v>148</v>
      </c>
      <c r="E338" s="106">
        <v>0.12013888888759539</v>
      </c>
      <c r="F338" s="136" t="str">
        <f>IFERROR(__xludf.DUMMYFUNCTION("""COMPUTED_VALUE"""),"")</f>
        <v/>
      </c>
      <c r="G338" s="106" t="str">
        <f>IFERROR(__xludf.DUMMYFUNCTION("""COMPUTED_VALUE"""),"")</f>
        <v/>
      </c>
      <c r="I338" s="136" t="str">
        <f>IFERROR(__xludf.DUMMYFUNCTION("""COMPUTED_VALUE"""),"")</f>
        <v/>
      </c>
      <c r="J338" s="106" t="str">
        <f>IFERROR(__xludf.DUMMYFUNCTION("""COMPUTED_VALUE"""),"")</f>
        <v/>
      </c>
      <c r="L338" s="136" t="str">
        <f>IFERROR(__xludf.DUMMYFUNCTION("""COMPUTED_VALUE"""),"")</f>
        <v/>
      </c>
      <c r="M338" s="106" t="str">
        <f>IFERROR(__xludf.DUMMYFUNCTION("""COMPUTED_VALUE"""),"")</f>
        <v/>
      </c>
      <c r="O338" s="136" t="str">
        <f>IFERROR(__xludf.DUMMYFUNCTION("""COMPUTED_VALUE"""),"")</f>
        <v/>
      </c>
      <c r="P338" s="106" t="str">
        <f>IFERROR(__xludf.DUMMYFUNCTION("""COMPUTED_VALUE"""),"")</f>
        <v/>
      </c>
      <c r="R338" s="136" t="str">
        <f>IFERROR(__xludf.DUMMYFUNCTION("""COMPUTED_VALUE"""),"")</f>
        <v/>
      </c>
      <c r="S338" s="106" t="str">
        <f>IFERROR(__xludf.DUMMYFUNCTION("""COMPUTED_VALUE"""),"")</f>
        <v/>
      </c>
    </row>
    <row r="339">
      <c r="A339" s="136" t="s">
        <v>12</v>
      </c>
      <c r="B339" s="146">
        <v>46120.0</v>
      </c>
      <c r="C339" s="136" t="s">
        <v>45</v>
      </c>
      <c r="D339" s="136" t="s">
        <v>149</v>
      </c>
      <c r="E339" s="106">
        <v>0.07986111111677019</v>
      </c>
      <c r="F339" s="136" t="str">
        <f>IFERROR(__xludf.DUMMYFUNCTION("""COMPUTED_VALUE"""),"")</f>
        <v/>
      </c>
      <c r="G339" s="106" t="str">
        <f>IFERROR(__xludf.DUMMYFUNCTION("""COMPUTED_VALUE"""),"")</f>
        <v/>
      </c>
      <c r="I339" s="136" t="str">
        <f>IFERROR(__xludf.DUMMYFUNCTION("""COMPUTED_VALUE"""),"")</f>
        <v/>
      </c>
      <c r="J339" s="106" t="str">
        <f>IFERROR(__xludf.DUMMYFUNCTION("""COMPUTED_VALUE"""),"")</f>
        <v/>
      </c>
      <c r="L339" s="136" t="str">
        <f>IFERROR(__xludf.DUMMYFUNCTION("""COMPUTED_VALUE"""),"")</f>
        <v/>
      </c>
      <c r="M339" s="106" t="str">
        <f>IFERROR(__xludf.DUMMYFUNCTION("""COMPUTED_VALUE"""),"")</f>
        <v/>
      </c>
      <c r="O339" s="136" t="str">
        <f>IFERROR(__xludf.DUMMYFUNCTION("""COMPUTED_VALUE"""),"")</f>
        <v/>
      </c>
      <c r="P339" s="106" t="str">
        <f>IFERROR(__xludf.DUMMYFUNCTION("""COMPUTED_VALUE"""),"")</f>
        <v/>
      </c>
      <c r="R339" s="136" t="str">
        <f>IFERROR(__xludf.DUMMYFUNCTION("""COMPUTED_VALUE"""),"")</f>
        <v/>
      </c>
      <c r="S339" s="106" t="str">
        <f>IFERROR(__xludf.DUMMYFUNCTION("""COMPUTED_VALUE"""),"")</f>
        <v/>
      </c>
    </row>
    <row r="340">
      <c r="A340" s="136" t="s">
        <v>12</v>
      </c>
      <c r="B340" s="146">
        <v>46120.0</v>
      </c>
      <c r="C340" s="136" t="s">
        <v>45</v>
      </c>
      <c r="D340" s="136" t="s">
        <v>149</v>
      </c>
      <c r="E340" s="106">
        <v>0.03125</v>
      </c>
      <c r="F340" s="136" t="str">
        <f>IFERROR(__xludf.DUMMYFUNCTION("""COMPUTED_VALUE"""),"")</f>
        <v/>
      </c>
      <c r="G340" s="106" t="str">
        <f>IFERROR(__xludf.DUMMYFUNCTION("""COMPUTED_VALUE"""),"")</f>
        <v/>
      </c>
      <c r="I340" s="136" t="str">
        <f>IFERROR(__xludf.DUMMYFUNCTION("""COMPUTED_VALUE"""),"")</f>
        <v/>
      </c>
      <c r="J340" s="106" t="str">
        <f>IFERROR(__xludf.DUMMYFUNCTION("""COMPUTED_VALUE"""),"")</f>
        <v/>
      </c>
      <c r="L340" s="136" t="str">
        <f>IFERROR(__xludf.DUMMYFUNCTION("""COMPUTED_VALUE"""),"")</f>
        <v/>
      </c>
      <c r="M340" s="106" t="str">
        <f>IFERROR(__xludf.DUMMYFUNCTION("""COMPUTED_VALUE"""),"")</f>
        <v/>
      </c>
      <c r="O340" s="136" t="str">
        <f>IFERROR(__xludf.DUMMYFUNCTION("""COMPUTED_VALUE"""),"")</f>
        <v/>
      </c>
      <c r="P340" s="106" t="str">
        <f>IFERROR(__xludf.DUMMYFUNCTION("""COMPUTED_VALUE"""),"")</f>
        <v/>
      </c>
      <c r="R340" s="136" t="str">
        <f>IFERROR(__xludf.DUMMYFUNCTION("""COMPUTED_VALUE"""),"")</f>
        <v/>
      </c>
      <c r="S340" s="106" t="str">
        <f>IFERROR(__xludf.DUMMYFUNCTION("""COMPUTED_VALUE"""),"")</f>
        <v/>
      </c>
    </row>
    <row r="341">
      <c r="A341" s="136" t="s">
        <v>134</v>
      </c>
      <c r="B341" s="146">
        <v>46120.0</v>
      </c>
      <c r="C341" s="136" t="s">
        <v>45</v>
      </c>
      <c r="D341" s="136" t="s">
        <v>149</v>
      </c>
      <c r="E341" s="106">
        <v>0.04861111110949423</v>
      </c>
      <c r="F341" s="136" t="str">
        <f>IFERROR(__xludf.DUMMYFUNCTION("""COMPUTED_VALUE"""),"")</f>
        <v/>
      </c>
      <c r="G341" s="106" t="str">
        <f>IFERROR(__xludf.DUMMYFUNCTION("""COMPUTED_VALUE"""),"")</f>
        <v/>
      </c>
      <c r="I341" s="136" t="str">
        <f>IFERROR(__xludf.DUMMYFUNCTION("""COMPUTED_VALUE"""),"")</f>
        <v/>
      </c>
      <c r="J341" s="106" t="str">
        <f>IFERROR(__xludf.DUMMYFUNCTION("""COMPUTED_VALUE"""),"")</f>
        <v/>
      </c>
      <c r="L341" s="136" t="str">
        <f>IFERROR(__xludf.DUMMYFUNCTION("""COMPUTED_VALUE"""),"")</f>
        <v/>
      </c>
      <c r="M341" s="106" t="str">
        <f>IFERROR(__xludf.DUMMYFUNCTION("""COMPUTED_VALUE"""),"")</f>
        <v/>
      </c>
      <c r="O341" s="136" t="str">
        <f>IFERROR(__xludf.DUMMYFUNCTION("""COMPUTED_VALUE"""),"")</f>
        <v/>
      </c>
      <c r="P341" s="106" t="str">
        <f>IFERROR(__xludf.DUMMYFUNCTION("""COMPUTED_VALUE"""),"")</f>
        <v/>
      </c>
      <c r="R341" s="136" t="str">
        <f>IFERROR(__xludf.DUMMYFUNCTION("""COMPUTED_VALUE"""),"")</f>
        <v/>
      </c>
      <c r="S341" s="106" t="str">
        <f>IFERROR(__xludf.DUMMYFUNCTION("""COMPUTED_VALUE"""),"")</f>
        <v/>
      </c>
    </row>
    <row r="342">
      <c r="A342" s="136" t="s">
        <v>15</v>
      </c>
      <c r="B342" s="146">
        <v>46120.0</v>
      </c>
      <c r="C342" s="136" t="s">
        <v>45</v>
      </c>
      <c r="D342" s="136" t="s">
        <v>148</v>
      </c>
      <c r="E342" s="106">
        <v>0.026388888887595385</v>
      </c>
      <c r="F342" s="136" t="str">
        <f>IFERROR(__xludf.DUMMYFUNCTION("""COMPUTED_VALUE"""),"")</f>
        <v/>
      </c>
      <c r="G342" s="106" t="str">
        <f>IFERROR(__xludf.DUMMYFUNCTION("""COMPUTED_VALUE"""),"")</f>
        <v/>
      </c>
      <c r="I342" s="136" t="str">
        <f>IFERROR(__xludf.DUMMYFUNCTION("""COMPUTED_VALUE"""),"")</f>
        <v/>
      </c>
      <c r="J342" s="106" t="str">
        <f>IFERROR(__xludf.DUMMYFUNCTION("""COMPUTED_VALUE"""),"")</f>
        <v/>
      </c>
      <c r="L342" s="136" t="str">
        <f>IFERROR(__xludf.DUMMYFUNCTION("""COMPUTED_VALUE"""),"")</f>
        <v/>
      </c>
      <c r="M342" s="106" t="str">
        <f>IFERROR(__xludf.DUMMYFUNCTION("""COMPUTED_VALUE"""),"")</f>
        <v/>
      </c>
      <c r="O342" s="136" t="str">
        <f>IFERROR(__xludf.DUMMYFUNCTION("""COMPUTED_VALUE"""),"")</f>
        <v/>
      </c>
      <c r="P342" s="106" t="str">
        <f>IFERROR(__xludf.DUMMYFUNCTION("""COMPUTED_VALUE"""),"")</f>
        <v/>
      </c>
      <c r="R342" s="136" t="str">
        <f>IFERROR(__xludf.DUMMYFUNCTION("""COMPUTED_VALUE"""),"")</f>
        <v/>
      </c>
      <c r="S342" s="106" t="str">
        <f>IFERROR(__xludf.DUMMYFUNCTION("""COMPUTED_VALUE"""),"")</f>
        <v/>
      </c>
    </row>
    <row r="343">
      <c r="A343" s="136" t="s">
        <v>15</v>
      </c>
      <c r="B343" s="146">
        <v>46120.0</v>
      </c>
      <c r="C343" s="136" t="s">
        <v>45</v>
      </c>
      <c r="D343" s="136" t="s">
        <v>148</v>
      </c>
      <c r="E343" s="106">
        <v>0.08333333333575865</v>
      </c>
      <c r="F343" s="136" t="str">
        <f>IFERROR(__xludf.DUMMYFUNCTION("""COMPUTED_VALUE"""),"")</f>
        <v/>
      </c>
      <c r="G343" s="106" t="str">
        <f>IFERROR(__xludf.DUMMYFUNCTION("""COMPUTED_VALUE"""),"")</f>
        <v/>
      </c>
      <c r="I343" s="136" t="str">
        <f>IFERROR(__xludf.DUMMYFUNCTION("""COMPUTED_VALUE"""),"")</f>
        <v/>
      </c>
      <c r="J343" s="106" t="str">
        <f>IFERROR(__xludf.DUMMYFUNCTION("""COMPUTED_VALUE"""),"")</f>
        <v/>
      </c>
      <c r="L343" s="136" t="str">
        <f>IFERROR(__xludf.DUMMYFUNCTION("""COMPUTED_VALUE"""),"")</f>
        <v/>
      </c>
      <c r="M343" s="106" t="str">
        <f>IFERROR(__xludf.DUMMYFUNCTION("""COMPUTED_VALUE"""),"")</f>
        <v/>
      </c>
      <c r="O343" s="136" t="str">
        <f>IFERROR(__xludf.DUMMYFUNCTION("""COMPUTED_VALUE"""),"")</f>
        <v/>
      </c>
      <c r="P343" s="106" t="str">
        <f>IFERROR(__xludf.DUMMYFUNCTION("""COMPUTED_VALUE"""),"")</f>
        <v/>
      </c>
      <c r="R343" s="136" t="str">
        <f>IFERROR(__xludf.DUMMYFUNCTION("""COMPUTED_VALUE"""),"")</f>
        <v/>
      </c>
      <c r="S343" s="106" t="str">
        <f>IFERROR(__xludf.DUMMYFUNCTION("""COMPUTED_VALUE"""),"")</f>
        <v/>
      </c>
    </row>
    <row r="344">
      <c r="A344" s="136" t="s">
        <v>18</v>
      </c>
      <c r="B344" s="146">
        <v>46120.0</v>
      </c>
      <c r="C344" s="136" t="s">
        <v>45</v>
      </c>
      <c r="D344" s="136" t="s">
        <v>148</v>
      </c>
      <c r="E344" s="106">
        <v>0.06944444444525288</v>
      </c>
      <c r="F344" s="136">
        <f>IFERROR(__xludf.DUMMYFUNCTION("""COMPUTED_VALUE"""),198.0)</f>
        <v>198</v>
      </c>
      <c r="G344" s="106">
        <f>IFERROR(__xludf.DUMMYFUNCTION("""COMPUTED_VALUE"""),0.11111111111677019)</f>
        <v>0.1111111111</v>
      </c>
      <c r="I344" s="136">
        <f>IFERROR(__xludf.DUMMYFUNCTION("""COMPUTED_VALUE"""),84.0)</f>
        <v>84</v>
      </c>
      <c r="J344" s="106">
        <f>IFERROR(__xludf.DUMMYFUNCTION("""COMPUTED_VALUE"""),0.04861111110949423)</f>
        <v>0.04861111111</v>
      </c>
      <c r="L344" s="136">
        <f>IFERROR(__xludf.DUMMYFUNCTION("""COMPUTED_VALUE"""),97.0)</f>
        <v>97</v>
      </c>
      <c r="M344" s="106">
        <f>IFERROR(__xludf.DUMMYFUNCTION("""COMPUTED_VALUE"""),0.10972222222335404)</f>
        <v>0.1097222222</v>
      </c>
      <c r="O344" s="136">
        <f>IFERROR(__xludf.DUMMYFUNCTION("""COMPUTED_VALUE"""),0.0)</f>
        <v>0</v>
      </c>
      <c r="P344" s="106">
        <f>IFERROR(__xludf.DUMMYFUNCTION("""COMPUTED_VALUE"""),0.0)</f>
        <v>0</v>
      </c>
      <c r="R344" s="136">
        <f>IFERROR(__xludf.DUMMYFUNCTION("""COMPUTED_VALUE"""),250.0)</f>
        <v>250</v>
      </c>
      <c r="S344" s="106">
        <f>IFERROR(__xludf.DUMMYFUNCTION("""COMPUTED_VALUE"""),0.23611111110949423)</f>
        <v>0.2361111111</v>
      </c>
    </row>
    <row r="345">
      <c r="A345" s="136" t="s">
        <v>18</v>
      </c>
      <c r="B345" s="146">
        <v>46120.0</v>
      </c>
      <c r="C345" s="136" t="s">
        <v>45</v>
      </c>
      <c r="D345" s="136" t="s">
        <v>149</v>
      </c>
      <c r="E345" s="106">
        <v>0.16666666666424135</v>
      </c>
      <c r="F345" s="136" t="str">
        <f>IFERROR(__xludf.DUMMYFUNCTION("""COMPUTED_VALUE"""),"")</f>
        <v/>
      </c>
      <c r="G345" s="106" t="str">
        <f>IFERROR(__xludf.DUMMYFUNCTION("""COMPUTED_VALUE"""),"")</f>
        <v/>
      </c>
      <c r="I345" s="136" t="str">
        <f>IFERROR(__xludf.DUMMYFUNCTION("""COMPUTED_VALUE"""),"")</f>
        <v/>
      </c>
      <c r="J345" s="106" t="str">
        <f>IFERROR(__xludf.DUMMYFUNCTION("""COMPUTED_VALUE"""),"")</f>
        <v/>
      </c>
      <c r="L345" s="136" t="str">
        <f>IFERROR(__xludf.DUMMYFUNCTION("""COMPUTED_VALUE"""),"")</f>
        <v/>
      </c>
      <c r="M345" s="106" t="str">
        <f>IFERROR(__xludf.DUMMYFUNCTION("""COMPUTED_VALUE"""),"")</f>
        <v/>
      </c>
      <c r="O345" s="136" t="str">
        <f>IFERROR(__xludf.DUMMYFUNCTION("""COMPUTED_VALUE"""),"")</f>
        <v/>
      </c>
      <c r="P345" s="106" t="str">
        <f>IFERROR(__xludf.DUMMYFUNCTION("""COMPUTED_VALUE"""),"")</f>
        <v/>
      </c>
      <c r="R345" s="136" t="str">
        <f>IFERROR(__xludf.DUMMYFUNCTION("""COMPUTED_VALUE"""),"")</f>
        <v/>
      </c>
      <c r="S345" s="106" t="str">
        <f>IFERROR(__xludf.DUMMYFUNCTION("""COMPUTED_VALUE"""),"")</f>
        <v/>
      </c>
    </row>
    <row r="346">
      <c r="A346" s="136" t="s">
        <v>12</v>
      </c>
      <c r="B346" s="146">
        <v>46121.0</v>
      </c>
      <c r="C346" s="136" t="s">
        <v>49</v>
      </c>
      <c r="D346" s="136" t="s">
        <v>149</v>
      </c>
      <c r="E346" s="106">
        <v>0.0729166666715173</v>
      </c>
      <c r="F346" s="136" t="str">
        <f>IFERROR(__xludf.DUMMYFUNCTION("""COMPUTED_VALUE"""),"")</f>
        <v/>
      </c>
      <c r="G346" s="106" t="str">
        <f>IFERROR(__xludf.DUMMYFUNCTION("""COMPUTED_VALUE"""),"")</f>
        <v/>
      </c>
      <c r="I346" s="136" t="str">
        <f>IFERROR(__xludf.DUMMYFUNCTION("""COMPUTED_VALUE"""),"")</f>
        <v/>
      </c>
      <c r="J346" s="106" t="str">
        <f>IFERROR(__xludf.DUMMYFUNCTION("""COMPUTED_VALUE"""),"")</f>
        <v/>
      </c>
      <c r="L346" s="136" t="str">
        <f>IFERROR(__xludf.DUMMYFUNCTION("""COMPUTED_VALUE"""),"")</f>
        <v/>
      </c>
      <c r="M346" s="106" t="str">
        <f>IFERROR(__xludf.DUMMYFUNCTION("""COMPUTED_VALUE"""),"")</f>
        <v/>
      </c>
      <c r="O346" s="136" t="str">
        <f>IFERROR(__xludf.DUMMYFUNCTION("""COMPUTED_VALUE"""),"")</f>
        <v/>
      </c>
      <c r="P346" s="106" t="str">
        <f>IFERROR(__xludf.DUMMYFUNCTION("""COMPUTED_VALUE"""),"")</f>
        <v/>
      </c>
      <c r="R346" s="136" t="str">
        <f>IFERROR(__xludf.DUMMYFUNCTION("""COMPUTED_VALUE"""),"")</f>
        <v/>
      </c>
      <c r="S346" s="106" t="str">
        <f>IFERROR(__xludf.DUMMYFUNCTION("""COMPUTED_VALUE"""),"")</f>
        <v/>
      </c>
    </row>
    <row r="347">
      <c r="A347" s="136" t="s">
        <v>12</v>
      </c>
      <c r="B347" s="146">
        <v>46121.0</v>
      </c>
      <c r="C347" s="136" t="s">
        <v>49</v>
      </c>
      <c r="D347" s="136" t="s">
        <v>149</v>
      </c>
      <c r="E347" s="106">
        <v>0.08958333333430346</v>
      </c>
      <c r="F347" s="136" t="str">
        <f>IFERROR(__xludf.DUMMYFUNCTION("""COMPUTED_VALUE"""),"")</f>
        <v/>
      </c>
      <c r="G347" s="106" t="str">
        <f>IFERROR(__xludf.DUMMYFUNCTION("""COMPUTED_VALUE"""),"")</f>
        <v/>
      </c>
      <c r="I347" s="136" t="str">
        <f>IFERROR(__xludf.DUMMYFUNCTION("""COMPUTED_VALUE"""),"")</f>
        <v/>
      </c>
      <c r="J347" s="106" t="str">
        <f>IFERROR(__xludf.DUMMYFUNCTION("""COMPUTED_VALUE"""),"")</f>
        <v/>
      </c>
      <c r="L347" s="136" t="str">
        <f>IFERROR(__xludf.DUMMYFUNCTION("""COMPUTED_VALUE"""),"")</f>
        <v/>
      </c>
      <c r="M347" s="106" t="str">
        <f>IFERROR(__xludf.DUMMYFUNCTION("""COMPUTED_VALUE"""),"")</f>
        <v/>
      </c>
      <c r="O347" s="136" t="str">
        <f>IFERROR(__xludf.DUMMYFUNCTION("""COMPUTED_VALUE"""),"")</f>
        <v/>
      </c>
      <c r="P347" s="106" t="str">
        <f>IFERROR(__xludf.DUMMYFUNCTION("""COMPUTED_VALUE"""),"")</f>
        <v/>
      </c>
      <c r="R347" s="136" t="str">
        <f>IFERROR(__xludf.DUMMYFUNCTION("""COMPUTED_VALUE"""),"")</f>
        <v/>
      </c>
      <c r="S347" s="106" t="str">
        <f>IFERROR(__xludf.DUMMYFUNCTION("""COMPUTED_VALUE"""),"")</f>
        <v/>
      </c>
    </row>
    <row r="348">
      <c r="A348" s="136" t="s">
        <v>134</v>
      </c>
      <c r="B348" s="146">
        <v>46121.0</v>
      </c>
      <c r="C348" s="136" t="s">
        <v>49</v>
      </c>
      <c r="D348" s="136" t="s">
        <v>149</v>
      </c>
      <c r="E348" s="106">
        <v>0.02361111110803904</v>
      </c>
      <c r="F348" s="136" t="str">
        <f>IFERROR(__xludf.DUMMYFUNCTION("""COMPUTED_VALUE"""),"")</f>
        <v/>
      </c>
      <c r="G348" s="106" t="str">
        <f>IFERROR(__xludf.DUMMYFUNCTION("""COMPUTED_VALUE"""),"")</f>
        <v/>
      </c>
      <c r="I348" s="136" t="str">
        <f>IFERROR(__xludf.DUMMYFUNCTION("""COMPUTED_VALUE"""),"")</f>
        <v/>
      </c>
      <c r="J348" s="106" t="str">
        <f>IFERROR(__xludf.DUMMYFUNCTION("""COMPUTED_VALUE"""),"")</f>
        <v/>
      </c>
      <c r="L348" s="136" t="str">
        <f>IFERROR(__xludf.DUMMYFUNCTION("""COMPUTED_VALUE"""),"")</f>
        <v/>
      </c>
      <c r="M348" s="106" t="str">
        <f>IFERROR(__xludf.DUMMYFUNCTION("""COMPUTED_VALUE"""),"")</f>
        <v/>
      </c>
      <c r="O348" s="136" t="str">
        <f>IFERROR(__xludf.DUMMYFUNCTION("""COMPUTED_VALUE"""),"")</f>
        <v/>
      </c>
      <c r="P348" s="106" t="str">
        <f>IFERROR(__xludf.DUMMYFUNCTION("""COMPUTED_VALUE"""),"")</f>
        <v/>
      </c>
      <c r="R348" s="136" t="str">
        <f>IFERROR(__xludf.DUMMYFUNCTION("""COMPUTED_VALUE"""),"")</f>
        <v/>
      </c>
      <c r="S348" s="106" t="str">
        <f>IFERROR(__xludf.DUMMYFUNCTION("""COMPUTED_VALUE"""),"")</f>
        <v/>
      </c>
    </row>
    <row r="349">
      <c r="A349" s="136" t="s">
        <v>15</v>
      </c>
      <c r="B349" s="146">
        <v>46121.0</v>
      </c>
      <c r="C349" s="136" t="s">
        <v>49</v>
      </c>
      <c r="D349" s="136" t="s">
        <v>148</v>
      </c>
      <c r="E349" s="106">
        <v>0.05208333333575865</v>
      </c>
      <c r="F349" s="136" t="str">
        <f>IFERROR(__xludf.DUMMYFUNCTION("""COMPUTED_VALUE"""),"")</f>
        <v/>
      </c>
      <c r="G349" s="106" t="str">
        <f>IFERROR(__xludf.DUMMYFUNCTION("""COMPUTED_VALUE"""),"")</f>
        <v/>
      </c>
      <c r="I349" s="136" t="str">
        <f>IFERROR(__xludf.DUMMYFUNCTION("""COMPUTED_VALUE"""),"")</f>
        <v/>
      </c>
      <c r="J349" s="106" t="str">
        <f>IFERROR(__xludf.DUMMYFUNCTION("""COMPUTED_VALUE"""),"")</f>
        <v/>
      </c>
      <c r="L349" s="136" t="str">
        <f>IFERROR(__xludf.DUMMYFUNCTION("""COMPUTED_VALUE"""),"")</f>
        <v/>
      </c>
      <c r="M349" s="106" t="str">
        <f>IFERROR(__xludf.DUMMYFUNCTION("""COMPUTED_VALUE"""),"")</f>
        <v/>
      </c>
      <c r="O349" s="136" t="str">
        <f>IFERROR(__xludf.DUMMYFUNCTION("""COMPUTED_VALUE"""),"")</f>
        <v/>
      </c>
      <c r="P349" s="106" t="str">
        <f>IFERROR(__xludf.DUMMYFUNCTION("""COMPUTED_VALUE"""),"")</f>
        <v/>
      </c>
      <c r="R349" s="136" t="str">
        <f>IFERROR(__xludf.DUMMYFUNCTION("""COMPUTED_VALUE"""),"")</f>
        <v/>
      </c>
      <c r="S349" s="106" t="str">
        <f>IFERROR(__xludf.DUMMYFUNCTION("""COMPUTED_VALUE"""),"")</f>
        <v/>
      </c>
    </row>
    <row r="350">
      <c r="A350" s="136" t="s">
        <v>15</v>
      </c>
      <c r="B350" s="146">
        <v>46121.0</v>
      </c>
      <c r="C350" s="136" t="s">
        <v>49</v>
      </c>
      <c r="D350" s="136" t="s">
        <v>149</v>
      </c>
      <c r="E350" s="106">
        <v>0.06180555556056788</v>
      </c>
      <c r="F350" s="136" t="str">
        <f>IFERROR(__xludf.DUMMYFUNCTION("""COMPUTED_VALUE"""),"")</f>
        <v/>
      </c>
      <c r="G350" s="106" t="str">
        <f>IFERROR(__xludf.DUMMYFUNCTION("""COMPUTED_VALUE"""),"")</f>
        <v/>
      </c>
      <c r="I350" s="136" t="str">
        <f>IFERROR(__xludf.DUMMYFUNCTION("""COMPUTED_VALUE"""),"")</f>
        <v/>
      </c>
      <c r="J350" s="106" t="str">
        <f>IFERROR(__xludf.DUMMYFUNCTION("""COMPUTED_VALUE"""),"")</f>
        <v/>
      </c>
      <c r="L350" s="136" t="str">
        <f>IFERROR(__xludf.DUMMYFUNCTION("""COMPUTED_VALUE"""),"")</f>
        <v/>
      </c>
      <c r="M350" s="106" t="str">
        <f>IFERROR(__xludf.DUMMYFUNCTION("""COMPUTED_VALUE"""),"")</f>
        <v/>
      </c>
      <c r="O350" s="136" t="str">
        <f>IFERROR(__xludf.DUMMYFUNCTION("""COMPUTED_VALUE"""),"")</f>
        <v/>
      </c>
      <c r="P350" s="106" t="str">
        <f>IFERROR(__xludf.DUMMYFUNCTION("""COMPUTED_VALUE"""),"")</f>
        <v/>
      </c>
      <c r="R350" s="136" t="str">
        <f>IFERROR(__xludf.DUMMYFUNCTION("""COMPUTED_VALUE"""),"")</f>
        <v/>
      </c>
      <c r="S350" s="106" t="str">
        <f>IFERROR(__xludf.DUMMYFUNCTION("""COMPUTED_VALUE"""),"")</f>
        <v/>
      </c>
    </row>
    <row r="351">
      <c r="A351" s="136" t="s">
        <v>15</v>
      </c>
      <c r="B351" s="146">
        <v>46121.0</v>
      </c>
      <c r="C351" s="136" t="s">
        <v>49</v>
      </c>
      <c r="D351" s="136" t="s">
        <v>149</v>
      </c>
      <c r="E351" s="106">
        <v>0.07569444444379769</v>
      </c>
      <c r="F351" s="136" t="str">
        <f>IFERROR(__xludf.DUMMYFUNCTION("""COMPUTED_VALUE"""),"")</f>
        <v/>
      </c>
      <c r="G351" s="106" t="str">
        <f>IFERROR(__xludf.DUMMYFUNCTION("""COMPUTED_VALUE"""),"")</f>
        <v/>
      </c>
      <c r="I351" s="136" t="str">
        <f>IFERROR(__xludf.DUMMYFUNCTION("""COMPUTED_VALUE"""),"")</f>
        <v/>
      </c>
      <c r="J351" s="106" t="str">
        <f>IFERROR(__xludf.DUMMYFUNCTION("""COMPUTED_VALUE"""),"")</f>
        <v/>
      </c>
      <c r="L351" s="136" t="str">
        <f>IFERROR(__xludf.DUMMYFUNCTION("""COMPUTED_VALUE"""),"")</f>
        <v/>
      </c>
      <c r="M351" s="106" t="str">
        <f>IFERROR(__xludf.DUMMYFUNCTION("""COMPUTED_VALUE"""),"")</f>
        <v/>
      </c>
      <c r="O351" s="136" t="str">
        <f>IFERROR(__xludf.DUMMYFUNCTION("""COMPUTED_VALUE"""),"")</f>
        <v/>
      </c>
      <c r="P351" s="106" t="str">
        <f>IFERROR(__xludf.DUMMYFUNCTION("""COMPUTED_VALUE"""),"")</f>
        <v/>
      </c>
      <c r="R351" s="136" t="str">
        <f>IFERROR(__xludf.DUMMYFUNCTION("""COMPUTED_VALUE"""),"")</f>
        <v/>
      </c>
      <c r="S351" s="106" t="str">
        <f>IFERROR(__xludf.DUMMYFUNCTION("""COMPUTED_VALUE"""),"")</f>
        <v/>
      </c>
    </row>
    <row r="352">
      <c r="A352" s="136" t="s">
        <v>18</v>
      </c>
      <c r="B352" s="146">
        <v>46121.0</v>
      </c>
      <c r="C352" s="136" t="s">
        <v>49</v>
      </c>
      <c r="D352" s="136" t="s">
        <v>148</v>
      </c>
      <c r="E352" s="106">
        <v>0.07291666666424135</v>
      </c>
      <c r="F352" s="136" t="str">
        <f>IFERROR(__xludf.DUMMYFUNCTION("""COMPUTED_VALUE"""),"")</f>
        <v/>
      </c>
      <c r="G352" s="106" t="str">
        <f>IFERROR(__xludf.DUMMYFUNCTION("""COMPUTED_VALUE"""),"")</f>
        <v/>
      </c>
      <c r="I352" s="136" t="str">
        <f>IFERROR(__xludf.DUMMYFUNCTION("""COMPUTED_VALUE"""),"")</f>
        <v/>
      </c>
      <c r="J352" s="106" t="str">
        <f>IFERROR(__xludf.DUMMYFUNCTION("""COMPUTED_VALUE"""),"")</f>
        <v/>
      </c>
      <c r="L352" s="136" t="str">
        <f>IFERROR(__xludf.DUMMYFUNCTION("""COMPUTED_VALUE"""),"")</f>
        <v/>
      </c>
      <c r="M352" s="106" t="str">
        <f>IFERROR(__xludf.DUMMYFUNCTION("""COMPUTED_VALUE"""),"")</f>
        <v/>
      </c>
      <c r="O352" s="136" t="str">
        <f>IFERROR(__xludf.DUMMYFUNCTION("""COMPUTED_VALUE"""),"")</f>
        <v/>
      </c>
      <c r="P352" s="106" t="str">
        <f>IFERROR(__xludf.DUMMYFUNCTION("""COMPUTED_VALUE"""),"")</f>
        <v/>
      </c>
      <c r="R352" s="136" t="str">
        <f>IFERROR(__xludf.DUMMYFUNCTION("""COMPUTED_VALUE"""),"")</f>
        <v/>
      </c>
      <c r="S352" s="106" t="str">
        <f>IFERROR(__xludf.DUMMYFUNCTION("""COMPUTED_VALUE"""),"")</f>
        <v/>
      </c>
    </row>
    <row r="353">
      <c r="A353" s="136" t="s">
        <v>18</v>
      </c>
      <c r="B353" s="146">
        <v>46121.0</v>
      </c>
      <c r="C353" s="136" t="s">
        <v>49</v>
      </c>
      <c r="D353" s="136" t="s">
        <v>149</v>
      </c>
      <c r="E353" s="106">
        <v>0.13541666666424135</v>
      </c>
      <c r="F353" s="136">
        <f>IFERROR(__xludf.DUMMYFUNCTION("""COMPUTED_VALUE"""),69.0)</f>
        <v>69</v>
      </c>
      <c r="G353" s="106">
        <f>IFERROR(__xludf.DUMMYFUNCTION("""COMPUTED_VALUE"""),0.16250000000582077)</f>
        <v>0.1625</v>
      </c>
      <c r="I353" s="136">
        <f>IFERROR(__xludf.DUMMYFUNCTION("""COMPUTED_VALUE"""),18.0)</f>
        <v>18</v>
      </c>
      <c r="J353" s="106">
        <f>IFERROR(__xludf.DUMMYFUNCTION("""COMPUTED_VALUE"""),0.02361111110803904)</f>
        <v>0.02361111111</v>
      </c>
      <c r="L353" s="136">
        <f>IFERROR(__xludf.DUMMYFUNCTION("""COMPUTED_VALUE"""),213.0)</f>
        <v>213</v>
      </c>
      <c r="M353" s="106">
        <f>IFERROR(__xludf.DUMMYFUNCTION("""COMPUTED_VALUE"""),0.18958333334012423)</f>
        <v>0.1895833333</v>
      </c>
      <c r="O353" s="136">
        <f>IFERROR(__xludf.DUMMYFUNCTION("""COMPUTED_VALUE"""),0.0)</f>
        <v>0</v>
      </c>
      <c r="P353" s="106">
        <f>IFERROR(__xludf.DUMMYFUNCTION("""COMPUTED_VALUE"""),0.0)</f>
        <v>0</v>
      </c>
      <c r="R353" s="136">
        <f>IFERROR(__xludf.DUMMYFUNCTION("""COMPUTED_VALUE"""),271.0)</f>
        <v>271</v>
      </c>
      <c r="S353" s="106">
        <f>IFERROR(__xludf.DUMMYFUNCTION("""COMPUTED_VALUE"""),0.2326388888832298)</f>
        <v>0.2326388889</v>
      </c>
    </row>
    <row r="354">
      <c r="A354" s="136" t="s">
        <v>18</v>
      </c>
      <c r="B354" s="146">
        <v>46121.0</v>
      </c>
      <c r="C354" s="136" t="s">
        <v>49</v>
      </c>
      <c r="D354" s="136" t="s">
        <v>149</v>
      </c>
      <c r="E354" s="106">
        <v>0.024305555554747116</v>
      </c>
      <c r="F354" s="136" t="str">
        <f>IFERROR(__xludf.DUMMYFUNCTION("""COMPUTED_VALUE"""),"")</f>
        <v/>
      </c>
      <c r="G354" s="106" t="str">
        <f>IFERROR(__xludf.DUMMYFUNCTION("""COMPUTED_VALUE"""),"")</f>
        <v/>
      </c>
      <c r="I354" s="136" t="str">
        <f>IFERROR(__xludf.DUMMYFUNCTION("""COMPUTED_VALUE"""),"")</f>
        <v/>
      </c>
      <c r="J354" s="106" t="str">
        <f>IFERROR(__xludf.DUMMYFUNCTION("""COMPUTED_VALUE"""),"")</f>
        <v/>
      </c>
      <c r="L354" s="136" t="str">
        <f>IFERROR(__xludf.DUMMYFUNCTION("""COMPUTED_VALUE"""),"")</f>
        <v/>
      </c>
      <c r="M354" s="106" t="str">
        <f>IFERROR(__xludf.DUMMYFUNCTION("""COMPUTED_VALUE"""),"")</f>
        <v/>
      </c>
      <c r="O354" s="136" t="str">
        <f>IFERROR(__xludf.DUMMYFUNCTION("""COMPUTED_VALUE"""),"")</f>
        <v/>
      </c>
      <c r="P354" s="106" t="str">
        <f>IFERROR(__xludf.DUMMYFUNCTION("""COMPUTED_VALUE"""),"")</f>
        <v/>
      </c>
      <c r="R354" s="136" t="str">
        <f>IFERROR(__xludf.DUMMYFUNCTION("""COMPUTED_VALUE"""),"")</f>
        <v/>
      </c>
      <c r="S354" s="106" t="str">
        <f>IFERROR(__xludf.DUMMYFUNCTION("""COMPUTED_VALUE"""),"")</f>
        <v/>
      </c>
    </row>
    <row r="355">
      <c r="A355" s="136" t="s">
        <v>134</v>
      </c>
      <c r="B355" s="146">
        <v>46118.0</v>
      </c>
      <c r="C355" s="136" t="s">
        <v>37</v>
      </c>
      <c r="D355" s="136" t="s">
        <v>149</v>
      </c>
      <c r="E355" s="106">
        <v>0.04513888889050577</v>
      </c>
      <c r="F355" s="136">
        <f>IFERROR(__xludf.DUMMYFUNCTION("""COMPUTED_VALUE"""),48.0)</f>
        <v>48</v>
      </c>
      <c r="G355" s="106">
        <f>IFERROR(__xludf.DUMMYFUNCTION("""COMPUTED_VALUE"""),0.06458333333284827)</f>
        <v>0.06458333333</v>
      </c>
      <c r="I355" s="136">
        <f>IFERROR(__xludf.DUMMYFUNCTION("""COMPUTED_VALUE"""),76.0)</f>
        <v>76</v>
      </c>
      <c r="J355" s="106">
        <f>IFERROR(__xludf.DUMMYFUNCTION("""COMPUTED_VALUE"""),0.04513888889050577)</f>
        <v>0.04513888889</v>
      </c>
      <c r="L355" s="136">
        <f>IFERROR(__xludf.DUMMYFUNCTION("""COMPUTED_VALUE"""),216.0)</f>
        <v>216</v>
      </c>
      <c r="M355" s="106">
        <f>IFERROR(__xludf.DUMMYFUNCTION("""COMPUTED_VALUE"""),0.19444444444525288)</f>
        <v>0.1944444444</v>
      </c>
      <c r="O355" s="136">
        <f>IFERROR(__xludf.DUMMYFUNCTION("""COMPUTED_VALUE"""),0.0)</f>
        <v>0</v>
      </c>
      <c r="P355" s="106">
        <f>IFERROR(__xludf.DUMMYFUNCTION("""COMPUTED_VALUE"""),0.0)</f>
        <v>0</v>
      </c>
      <c r="R355" s="136">
        <f>IFERROR(__xludf.DUMMYFUNCTION("""COMPUTED_VALUE"""),223.0)</f>
        <v>223</v>
      </c>
      <c r="S355" s="106">
        <f>IFERROR(__xludf.DUMMYFUNCTION("""COMPUTED_VALUE"""),0.20138888889050577)</f>
        <v>0.2013888889</v>
      </c>
    </row>
    <row r="356">
      <c r="A356" s="136" t="s">
        <v>15</v>
      </c>
      <c r="B356" s="146">
        <v>46118.0</v>
      </c>
      <c r="C356" s="136" t="s">
        <v>37</v>
      </c>
      <c r="D356" s="136" t="s">
        <v>148</v>
      </c>
      <c r="E356" s="106">
        <v>0.06944444444525288</v>
      </c>
      <c r="F356" s="136" t="str">
        <f>IFERROR(__xludf.DUMMYFUNCTION("""COMPUTED_VALUE"""),"")</f>
        <v/>
      </c>
      <c r="G356" s="106" t="str">
        <f>IFERROR(__xludf.DUMMYFUNCTION("""COMPUTED_VALUE"""),"")</f>
        <v/>
      </c>
      <c r="I356" s="136" t="str">
        <f>IFERROR(__xludf.DUMMYFUNCTION("""COMPUTED_VALUE"""),"")</f>
        <v/>
      </c>
      <c r="J356" s="106" t="str">
        <f>IFERROR(__xludf.DUMMYFUNCTION("""COMPUTED_VALUE"""),"")</f>
        <v/>
      </c>
      <c r="L356" s="136" t="str">
        <f>IFERROR(__xludf.DUMMYFUNCTION("""COMPUTED_VALUE"""),"")</f>
        <v/>
      </c>
      <c r="M356" s="106" t="str">
        <f>IFERROR(__xludf.DUMMYFUNCTION("""COMPUTED_VALUE"""),"")</f>
        <v/>
      </c>
      <c r="O356" s="136" t="str">
        <f>IFERROR(__xludf.DUMMYFUNCTION("""COMPUTED_VALUE"""),"")</f>
        <v/>
      </c>
      <c r="P356" s="106" t="str">
        <f>IFERROR(__xludf.DUMMYFUNCTION("""COMPUTED_VALUE"""),"")</f>
        <v/>
      </c>
      <c r="R356" s="136" t="str">
        <f>IFERROR(__xludf.DUMMYFUNCTION("""COMPUTED_VALUE"""),"")</f>
        <v/>
      </c>
      <c r="S356" s="106" t="str">
        <f>IFERROR(__xludf.DUMMYFUNCTION("""COMPUTED_VALUE"""),"")</f>
        <v/>
      </c>
    </row>
    <row r="357">
      <c r="A357" s="136" t="s">
        <v>12</v>
      </c>
      <c r="B357" s="146">
        <v>46122.0</v>
      </c>
      <c r="C357" s="136" t="s">
        <v>53</v>
      </c>
      <c r="D357" s="136" t="s">
        <v>149</v>
      </c>
      <c r="E357" s="106">
        <v>0.0625</v>
      </c>
      <c r="F357" s="136" t="str">
        <f>IFERROR(__xludf.DUMMYFUNCTION("""COMPUTED_VALUE"""),"")</f>
        <v/>
      </c>
      <c r="G357" s="106" t="str">
        <f>IFERROR(__xludf.DUMMYFUNCTION("""COMPUTED_VALUE"""),"")</f>
        <v/>
      </c>
      <c r="I357" s="136" t="str">
        <f>IFERROR(__xludf.DUMMYFUNCTION("""COMPUTED_VALUE"""),"")</f>
        <v/>
      </c>
      <c r="J357" s="106" t="str">
        <f>IFERROR(__xludf.DUMMYFUNCTION("""COMPUTED_VALUE"""),"")</f>
        <v/>
      </c>
      <c r="L357" s="136" t="str">
        <f>IFERROR(__xludf.DUMMYFUNCTION("""COMPUTED_VALUE"""),"")</f>
        <v/>
      </c>
      <c r="M357" s="106" t="str">
        <f>IFERROR(__xludf.DUMMYFUNCTION("""COMPUTED_VALUE"""),"")</f>
        <v/>
      </c>
      <c r="O357" s="136" t="str">
        <f>IFERROR(__xludf.DUMMYFUNCTION("""COMPUTED_VALUE"""),"")</f>
        <v/>
      </c>
      <c r="P357" s="106" t="str">
        <f>IFERROR(__xludf.DUMMYFUNCTION("""COMPUTED_VALUE"""),"")</f>
        <v/>
      </c>
      <c r="R357" s="136" t="str">
        <f>IFERROR(__xludf.DUMMYFUNCTION("""COMPUTED_VALUE"""),"")</f>
        <v/>
      </c>
      <c r="S357" s="106" t="str">
        <f>IFERROR(__xludf.DUMMYFUNCTION("""COMPUTED_VALUE"""),"")</f>
        <v/>
      </c>
    </row>
    <row r="358">
      <c r="A358" s="136" t="s">
        <v>15</v>
      </c>
      <c r="B358" s="146">
        <v>46122.0</v>
      </c>
      <c r="C358" s="136" t="s">
        <v>53</v>
      </c>
      <c r="D358" s="136" t="s">
        <v>149</v>
      </c>
      <c r="E358" s="106">
        <v>0.125</v>
      </c>
      <c r="F358" s="136" t="str">
        <f>IFERROR(__xludf.DUMMYFUNCTION("""COMPUTED_VALUE"""),"")</f>
        <v/>
      </c>
      <c r="G358" s="106" t="str">
        <f>IFERROR(__xludf.DUMMYFUNCTION("""COMPUTED_VALUE"""),"")</f>
        <v/>
      </c>
      <c r="I358" s="136" t="str">
        <f>IFERROR(__xludf.DUMMYFUNCTION("""COMPUTED_VALUE"""),"")</f>
        <v/>
      </c>
      <c r="J358" s="106" t="str">
        <f>IFERROR(__xludf.DUMMYFUNCTION("""COMPUTED_VALUE"""),"")</f>
        <v/>
      </c>
      <c r="L358" s="136" t="str">
        <f>IFERROR(__xludf.DUMMYFUNCTION("""COMPUTED_VALUE"""),"")</f>
        <v/>
      </c>
      <c r="M358" s="106" t="str">
        <f>IFERROR(__xludf.DUMMYFUNCTION("""COMPUTED_VALUE"""),"")</f>
        <v/>
      </c>
      <c r="O358" s="136" t="str">
        <f>IFERROR(__xludf.DUMMYFUNCTION("""COMPUTED_VALUE"""),"")</f>
        <v/>
      </c>
      <c r="P358" s="106" t="str">
        <f>IFERROR(__xludf.DUMMYFUNCTION("""COMPUTED_VALUE"""),"")</f>
        <v/>
      </c>
      <c r="R358" s="136" t="str">
        <f>IFERROR(__xludf.DUMMYFUNCTION("""COMPUTED_VALUE"""),"")</f>
        <v/>
      </c>
      <c r="S358" s="106" t="str">
        <f>IFERROR(__xludf.DUMMYFUNCTION("""COMPUTED_VALUE"""),"")</f>
        <v/>
      </c>
    </row>
    <row r="359">
      <c r="A359" s="136" t="s">
        <v>15</v>
      </c>
      <c r="B359" s="146">
        <v>46122.0</v>
      </c>
      <c r="C359" s="136" t="s">
        <v>53</v>
      </c>
      <c r="D359" s="136" t="s">
        <v>148</v>
      </c>
      <c r="E359" s="106">
        <v>0.13888888889050577</v>
      </c>
      <c r="F359" s="136" t="str">
        <f>IFERROR(__xludf.DUMMYFUNCTION("""COMPUTED_VALUE"""),"")</f>
        <v/>
      </c>
      <c r="G359" s="106" t="str">
        <f>IFERROR(__xludf.DUMMYFUNCTION("""COMPUTED_VALUE"""),"")</f>
        <v/>
      </c>
      <c r="I359" s="136" t="str">
        <f>IFERROR(__xludf.DUMMYFUNCTION("""COMPUTED_VALUE"""),"")</f>
        <v/>
      </c>
      <c r="J359" s="106" t="str">
        <f>IFERROR(__xludf.DUMMYFUNCTION("""COMPUTED_VALUE"""),"")</f>
        <v/>
      </c>
      <c r="L359" s="136" t="str">
        <f>IFERROR(__xludf.DUMMYFUNCTION("""COMPUTED_VALUE"""),"")</f>
        <v/>
      </c>
      <c r="M359" s="106" t="str">
        <f>IFERROR(__xludf.DUMMYFUNCTION("""COMPUTED_VALUE"""),"")</f>
        <v/>
      </c>
      <c r="O359" s="136" t="str">
        <f>IFERROR(__xludf.DUMMYFUNCTION("""COMPUTED_VALUE"""),"")</f>
        <v/>
      </c>
      <c r="P359" s="106" t="str">
        <f>IFERROR(__xludf.DUMMYFUNCTION("""COMPUTED_VALUE"""),"")</f>
        <v/>
      </c>
      <c r="R359" s="136" t="str">
        <f>IFERROR(__xludf.DUMMYFUNCTION("""COMPUTED_VALUE"""),"")</f>
        <v/>
      </c>
      <c r="S359" s="106" t="str">
        <f>IFERROR(__xludf.DUMMYFUNCTION("""COMPUTED_VALUE"""),"")</f>
        <v/>
      </c>
    </row>
    <row r="360">
      <c r="A360" s="136" t="s">
        <v>18</v>
      </c>
      <c r="B360" s="146">
        <v>46122.0</v>
      </c>
      <c r="C360" s="136" t="s">
        <v>53</v>
      </c>
      <c r="D360" s="136" t="s">
        <v>148</v>
      </c>
      <c r="E360" s="106">
        <v>0.07986111111677019</v>
      </c>
      <c r="F360" s="136" t="str">
        <f>IFERROR(__xludf.DUMMYFUNCTION("""COMPUTED_VALUE"""),"")</f>
        <v/>
      </c>
      <c r="G360" s="106" t="str">
        <f>IFERROR(__xludf.DUMMYFUNCTION("""COMPUTED_VALUE"""),"")</f>
        <v/>
      </c>
      <c r="I360" s="136" t="str">
        <f>IFERROR(__xludf.DUMMYFUNCTION("""COMPUTED_VALUE"""),"")</f>
        <v/>
      </c>
      <c r="J360" s="106" t="str">
        <f>IFERROR(__xludf.DUMMYFUNCTION("""COMPUTED_VALUE"""),"")</f>
        <v/>
      </c>
      <c r="L360" s="136" t="str">
        <f>IFERROR(__xludf.DUMMYFUNCTION("""COMPUTED_VALUE"""),"")</f>
        <v/>
      </c>
      <c r="M360" s="106" t="str">
        <f>IFERROR(__xludf.DUMMYFUNCTION("""COMPUTED_VALUE"""),"")</f>
        <v/>
      </c>
      <c r="O360" s="136" t="str">
        <f>IFERROR(__xludf.DUMMYFUNCTION("""COMPUTED_VALUE"""),"")</f>
        <v/>
      </c>
      <c r="P360" s="106" t="str">
        <f>IFERROR(__xludf.DUMMYFUNCTION("""COMPUTED_VALUE"""),"")</f>
        <v/>
      </c>
      <c r="R360" s="136" t="str">
        <f>IFERROR(__xludf.DUMMYFUNCTION("""COMPUTED_VALUE"""),"")</f>
        <v/>
      </c>
      <c r="S360" s="106" t="str">
        <f>IFERROR(__xludf.DUMMYFUNCTION("""COMPUTED_VALUE"""),"")</f>
        <v/>
      </c>
    </row>
    <row r="361">
      <c r="A361" s="136" t="s">
        <v>18</v>
      </c>
      <c r="B361" s="146">
        <v>46122.0</v>
      </c>
      <c r="C361" s="136" t="s">
        <v>53</v>
      </c>
      <c r="D361" s="136" t="s">
        <v>148</v>
      </c>
      <c r="E361" s="106">
        <v>0.03402777777228039</v>
      </c>
      <c r="F361" s="136">
        <f>IFERROR(__xludf.DUMMYFUNCTION("""COMPUTED_VALUE"""),69.0)</f>
        <v>69</v>
      </c>
      <c r="G361" s="106">
        <f>IFERROR(__xludf.DUMMYFUNCTION("""COMPUTED_VALUE"""),0.0625)</f>
        <v>0.0625</v>
      </c>
      <c r="I361" s="136">
        <f>IFERROR(__xludf.DUMMYFUNCTION("""COMPUTED_VALUE"""),0.0)</f>
        <v>0</v>
      </c>
      <c r="J361" s="106">
        <f>IFERROR(__xludf.DUMMYFUNCTION("""COMPUTED_VALUE"""),0.0)</f>
        <v>0</v>
      </c>
      <c r="L361" s="136">
        <f>IFERROR(__xludf.DUMMYFUNCTION("""COMPUTED_VALUE"""),258.0)</f>
        <v>258</v>
      </c>
      <c r="M361" s="106">
        <f>IFERROR(__xludf.DUMMYFUNCTION("""COMPUTED_VALUE"""),0.26388888889050577)</f>
        <v>0.2638888889</v>
      </c>
      <c r="O361" s="136">
        <f>IFERROR(__xludf.DUMMYFUNCTION("""COMPUTED_VALUE"""),0.0)</f>
        <v>0</v>
      </c>
      <c r="P361" s="106">
        <f>IFERROR(__xludf.DUMMYFUNCTION("""COMPUTED_VALUE"""),0.0)</f>
        <v>0</v>
      </c>
      <c r="R361" s="136">
        <f>IFERROR(__xludf.DUMMYFUNCTION("""COMPUTED_VALUE"""),225.0)</f>
        <v>225</v>
      </c>
      <c r="S361" s="106">
        <f>IFERROR(__xludf.DUMMYFUNCTION("""COMPUTED_VALUE"""),0.1500000000014552)</f>
        <v>0.15</v>
      </c>
    </row>
    <row r="362">
      <c r="A362" s="136" t="s">
        <v>18</v>
      </c>
      <c r="B362" s="146">
        <v>46122.0</v>
      </c>
      <c r="C362" s="136" t="s">
        <v>53</v>
      </c>
      <c r="D362" s="136" t="s">
        <v>148</v>
      </c>
      <c r="E362" s="106">
        <v>0.036111111112404615</v>
      </c>
      <c r="F362" s="136" t="str">
        <f>IFERROR(__xludf.DUMMYFUNCTION("""COMPUTED_VALUE"""),"")</f>
        <v/>
      </c>
      <c r="G362" s="106" t="str">
        <f>IFERROR(__xludf.DUMMYFUNCTION("""COMPUTED_VALUE"""),"")</f>
        <v/>
      </c>
      <c r="I362" s="136" t="str">
        <f>IFERROR(__xludf.DUMMYFUNCTION("""COMPUTED_VALUE"""),"")</f>
        <v/>
      </c>
      <c r="J362" s="106" t="str">
        <f>IFERROR(__xludf.DUMMYFUNCTION("""COMPUTED_VALUE"""),"")</f>
        <v/>
      </c>
      <c r="L362" s="136" t="str">
        <f>IFERROR(__xludf.DUMMYFUNCTION("""COMPUTED_VALUE"""),"")</f>
        <v/>
      </c>
      <c r="M362" s="106" t="str">
        <f>IFERROR(__xludf.DUMMYFUNCTION("""COMPUTED_VALUE"""),"")</f>
        <v/>
      </c>
      <c r="O362" s="136" t="str">
        <f>IFERROR(__xludf.DUMMYFUNCTION("""COMPUTED_VALUE"""),"")</f>
        <v/>
      </c>
      <c r="P362" s="106" t="str">
        <f>IFERROR(__xludf.DUMMYFUNCTION("""COMPUTED_VALUE"""),"")</f>
        <v/>
      </c>
      <c r="R362" s="136" t="str">
        <f>IFERROR(__xludf.DUMMYFUNCTION("""COMPUTED_VALUE"""),"")</f>
        <v/>
      </c>
      <c r="S362" s="106" t="str">
        <f>IFERROR(__xludf.DUMMYFUNCTION("""COMPUTED_VALUE"""),"")</f>
        <v/>
      </c>
    </row>
    <row r="363">
      <c r="A363" s="136" t="s">
        <v>12</v>
      </c>
      <c r="B363" s="146">
        <v>46125.0</v>
      </c>
      <c r="C363" s="136" t="s">
        <v>37</v>
      </c>
      <c r="D363" s="136" t="s">
        <v>149</v>
      </c>
      <c r="E363" s="106">
        <v>0.06597222221898846</v>
      </c>
      <c r="F363" s="136" t="str">
        <f>IFERROR(__xludf.DUMMYFUNCTION("""COMPUTED_VALUE"""),"")</f>
        <v/>
      </c>
      <c r="G363" s="106" t="str">
        <f>IFERROR(__xludf.DUMMYFUNCTION("""COMPUTED_VALUE"""),"")</f>
        <v/>
      </c>
      <c r="I363" s="136" t="str">
        <f>IFERROR(__xludf.DUMMYFUNCTION("""COMPUTED_VALUE"""),"")</f>
        <v/>
      </c>
      <c r="J363" s="106" t="str">
        <f>IFERROR(__xludf.DUMMYFUNCTION("""COMPUTED_VALUE"""),"")</f>
        <v/>
      </c>
      <c r="L363" s="136" t="str">
        <f>IFERROR(__xludf.DUMMYFUNCTION("""COMPUTED_VALUE"""),"")</f>
        <v/>
      </c>
      <c r="M363" s="106" t="str">
        <f>IFERROR(__xludf.DUMMYFUNCTION("""COMPUTED_VALUE"""),"")</f>
        <v/>
      </c>
      <c r="O363" s="136" t="str">
        <f>IFERROR(__xludf.DUMMYFUNCTION("""COMPUTED_VALUE"""),"")</f>
        <v/>
      </c>
      <c r="P363" s="106" t="str">
        <f>IFERROR(__xludf.DUMMYFUNCTION("""COMPUTED_VALUE"""),"")</f>
        <v/>
      </c>
      <c r="R363" s="136" t="str">
        <f>IFERROR(__xludf.DUMMYFUNCTION("""COMPUTED_VALUE"""),"")</f>
        <v/>
      </c>
      <c r="S363" s="106" t="str">
        <f>IFERROR(__xludf.DUMMYFUNCTION("""COMPUTED_VALUE"""),"")</f>
        <v/>
      </c>
    </row>
    <row r="364">
      <c r="A364" s="136" t="s">
        <v>15</v>
      </c>
      <c r="B364" s="146">
        <v>46125.0</v>
      </c>
      <c r="C364" s="136" t="s">
        <v>37</v>
      </c>
      <c r="D364" s="136" t="s">
        <v>149</v>
      </c>
      <c r="E364" s="106">
        <v>0.125</v>
      </c>
      <c r="F364" s="136" t="str">
        <f>IFERROR(__xludf.DUMMYFUNCTION("""COMPUTED_VALUE"""),"")</f>
        <v/>
      </c>
      <c r="G364" s="106" t="str">
        <f>IFERROR(__xludf.DUMMYFUNCTION("""COMPUTED_VALUE"""),"")</f>
        <v/>
      </c>
      <c r="I364" s="136" t="str">
        <f>IFERROR(__xludf.DUMMYFUNCTION("""COMPUTED_VALUE"""),"")</f>
        <v/>
      </c>
      <c r="J364" s="106" t="str">
        <f>IFERROR(__xludf.DUMMYFUNCTION("""COMPUTED_VALUE"""),"")</f>
        <v/>
      </c>
      <c r="L364" s="136" t="str">
        <f>IFERROR(__xludf.DUMMYFUNCTION("""COMPUTED_VALUE"""),"")</f>
        <v/>
      </c>
      <c r="M364" s="106" t="str">
        <f>IFERROR(__xludf.DUMMYFUNCTION("""COMPUTED_VALUE"""),"")</f>
        <v/>
      </c>
      <c r="O364" s="136" t="str">
        <f>IFERROR(__xludf.DUMMYFUNCTION("""COMPUTED_VALUE"""),"")</f>
        <v/>
      </c>
      <c r="P364" s="106" t="str">
        <f>IFERROR(__xludf.DUMMYFUNCTION("""COMPUTED_VALUE"""),"")</f>
        <v/>
      </c>
      <c r="R364" s="136" t="str">
        <f>IFERROR(__xludf.DUMMYFUNCTION("""COMPUTED_VALUE"""),"")</f>
        <v/>
      </c>
      <c r="S364" s="106" t="str">
        <f>IFERROR(__xludf.DUMMYFUNCTION("""COMPUTED_VALUE"""),"")</f>
        <v/>
      </c>
    </row>
    <row r="365">
      <c r="A365" s="136" t="s">
        <v>18</v>
      </c>
      <c r="B365" s="146">
        <v>46125.0</v>
      </c>
      <c r="C365" s="136" t="s">
        <v>37</v>
      </c>
      <c r="D365" s="136" t="s">
        <v>148</v>
      </c>
      <c r="E365" s="106">
        <v>0.07638888889050577</v>
      </c>
      <c r="F365" s="136">
        <f>IFERROR(__xludf.DUMMYFUNCTION("""COMPUTED_VALUE"""),49.0)</f>
        <v>49</v>
      </c>
      <c r="G365" s="106">
        <f>IFERROR(__xludf.DUMMYFUNCTION("""COMPUTED_VALUE"""),0.06597222221898846)</f>
        <v>0.06597222222</v>
      </c>
      <c r="I365" s="136">
        <f>IFERROR(__xludf.DUMMYFUNCTION("""COMPUTED_VALUE"""),0.0)</f>
        <v>0</v>
      </c>
      <c r="J365" s="106">
        <f>IFERROR(__xludf.DUMMYFUNCTION("""COMPUTED_VALUE"""),0.0)</f>
        <v>0</v>
      </c>
      <c r="L365" s="136">
        <f>IFERROR(__xludf.DUMMYFUNCTION("""COMPUTED_VALUE"""),144.0)</f>
        <v>144</v>
      </c>
      <c r="M365" s="106">
        <f>IFERROR(__xludf.DUMMYFUNCTION("""COMPUTED_VALUE"""),0.125)</f>
        <v>0.125</v>
      </c>
      <c r="O365" s="136">
        <f>IFERROR(__xludf.DUMMYFUNCTION("""COMPUTED_VALUE"""),0.0)</f>
        <v>0</v>
      </c>
      <c r="P365" s="106">
        <f>IFERROR(__xludf.DUMMYFUNCTION("""COMPUTED_VALUE"""),0.0)</f>
        <v>0</v>
      </c>
      <c r="R365" s="136">
        <f>IFERROR(__xludf.DUMMYFUNCTION("""COMPUTED_VALUE"""),274.0)</f>
        <v>274</v>
      </c>
      <c r="S365" s="106">
        <f>IFERROR(__xludf.DUMMYFUNCTION("""COMPUTED_VALUE"""),0.20138888889050577)</f>
        <v>0.2013888889</v>
      </c>
    </row>
    <row r="366">
      <c r="A366" s="136" t="s">
        <v>18</v>
      </c>
      <c r="B366" s="146">
        <v>46125.0</v>
      </c>
      <c r="C366" s="136" t="s">
        <v>37</v>
      </c>
      <c r="D366" s="136" t="s">
        <v>148</v>
      </c>
      <c r="E366" s="106">
        <v>0.125</v>
      </c>
      <c r="F366" s="136" t="str">
        <f>IFERROR(__xludf.DUMMYFUNCTION("""COMPUTED_VALUE"""),"")</f>
        <v/>
      </c>
      <c r="G366" s="106" t="str">
        <f>IFERROR(__xludf.DUMMYFUNCTION("""COMPUTED_VALUE"""),"")</f>
        <v/>
      </c>
      <c r="I366" s="136" t="str">
        <f>IFERROR(__xludf.DUMMYFUNCTION("""COMPUTED_VALUE"""),"")</f>
        <v/>
      </c>
      <c r="J366" s="106" t="str">
        <f>IFERROR(__xludf.DUMMYFUNCTION("""COMPUTED_VALUE"""),"")</f>
        <v/>
      </c>
      <c r="L366" s="136" t="str">
        <f>IFERROR(__xludf.DUMMYFUNCTION("""COMPUTED_VALUE"""),"")</f>
        <v/>
      </c>
      <c r="M366" s="106" t="str">
        <f>IFERROR(__xludf.DUMMYFUNCTION("""COMPUTED_VALUE"""),"")</f>
        <v/>
      </c>
      <c r="O366" s="136" t="str">
        <f>IFERROR(__xludf.DUMMYFUNCTION("""COMPUTED_VALUE"""),"")</f>
        <v/>
      </c>
      <c r="P366" s="106" t="str">
        <f>IFERROR(__xludf.DUMMYFUNCTION("""COMPUTED_VALUE"""),"")</f>
        <v/>
      </c>
      <c r="R366" s="136" t="str">
        <f>IFERROR(__xludf.DUMMYFUNCTION("""COMPUTED_VALUE"""),"")</f>
        <v/>
      </c>
      <c r="S366" s="106" t="str">
        <f>IFERROR(__xludf.DUMMYFUNCTION("""COMPUTED_VALUE"""),"")</f>
        <v/>
      </c>
    </row>
    <row r="367">
      <c r="A367" s="136" t="s">
        <v>134</v>
      </c>
      <c r="B367" s="146">
        <v>46126.0</v>
      </c>
      <c r="C367" s="136" t="s">
        <v>41</v>
      </c>
      <c r="D367" s="136" t="s">
        <v>149</v>
      </c>
      <c r="E367" s="106">
        <v>0.05625000000145519</v>
      </c>
      <c r="F367" s="136" t="str">
        <f>IFERROR(__xludf.DUMMYFUNCTION("""COMPUTED_VALUE"""),"")</f>
        <v/>
      </c>
      <c r="G367" s="106" t="str">
        <f>IFERROR(__xludf.DUMMYFUNCTION("""COMPUTED_VALUE"""),"")</f>
        <v/>
      </c>
      <c r="I367" s="136" t="str">
        <f>IFERROR(__xludf.DUMMYFUNCTION("""COMPUTED_VALUE"""),"")</f>
        <v/>
      </c>
      <c r="J367" s="106" t="str">
        <f>IFERROR(__xludf.DUMMYFUNCTION("""COMPUTED_VALUE"""),"")</f>
        <v/>
      </c>
      <c r="L367" s="136" t="str">
        <f>IFERROR(__xludf.DUMMYFUNCTION("""COMPUTED_VALUE"""),"")</f>
        <v/>
      </c>
      <c r="M367" s="106" t="str">
        <f>IFERROR(__xludf.DUMMYFUNCTION("""COMPUTED_VALUE"""),"")</f>
        <v/>
      </c>
      <c r="O367" s="136" t="str">
        <f>IFERROR(__xludf.DUMMYFUNCTION("""COMPUTED_VALUE"""),"")</f>
        <v/>
      </c>
      <c r="P367" s="106" t="str">
        <f>IFERROR(__xludf.DUMMYFUNCTION("""COMPUTED_VALUE"""),"")</f>
        <v/>
      </c>
      <c r="R367" s="136" t="str">
        <f>IFERROR(__xludf.DUMMYFUNCTION("""COMPUTED_VALUE"""),"")</f>
        <v/>
      </c>
      <c r="S367" s="106" t="str">
        <f>IFERROR(__xludf.DUMMYFUNCTION("""COMPUTED_VALUE"""),"")</f>
        <v/>
      </c>
    </row>
    <row r="368">
      <c r="A368" s="136" t="s">
        <v>15</v>
      </c>
      <c r="B368" s="146">
        <v>46126.0</v>
      </c>
      <c r="C368" s="136" t="s">
        <v>41</v>
      </c>
      <c r="D368" s="136" t="s">
        <v>149</v>
      </c>
      <c r="E368" s="106">
        <v>0.0194444444423425</v>
      </c>
      <c r="F368" s="136" t="str">
        <f>IFERROR(__xludf.DUMMYFUNCTION("""COMPUTED_VALUE"""),"")</f>
        <v/>
      </c>
      <c r="G368" s="106" t="str">
        <f>IFERROR(__xludf.DUMMYFUNCTION("""COMPUTED_VALUE"""),"")</f>
        <v/>
      </c>
      <c r="I368" s="136" t="str">
        <f>IFERROR(__xludf.DUMMYFUNCTION("""COMPUTED_VALUE"""),"")</f>
        <v/>
      </c>
      <c r="J368" s="106" t="str">
        <f>IFERROR(__xludf.DUMMYFUNCTION("""COMPUTED_VALUE"""),"")</f>
        <v/>
      </c>
      <c r="L368" s="136" t="str">
        <f>IFERROR(__xludf.DUMMYFUNCTION("""COMPUTED_VALUE"""),"")</f>
        <v/>
      </c>
      <c r="M368" s="106" t="str">
        <f>IFERROR(__xludf.DUMMYFUNCTION("""COMPUTED_VALUE"""),"")</f>
        <v/>
      </c>
      <c r="O368" s="136" t="str">
        <f>IFERROR(__xludf.DUMMYFUNCTION("""COMPUTED_VALUE"""),"")</f>
        <v/>
      </c>
      <c r="P368" s="106" t="str">
        <f>IFERROR(__xludf.DUMMYFUNCTION("""COMPUTED_VALUE"""),"")</f>
        <v/>
      </c>
      <c r="R368" s="136" t="str">
        <f>IFERROR(__xludf.DUMMYFUNCTION("""COMPUTED_VALUE"""),"")</f>
        <v/>
      </c>
      <c r="S368" s="106" t="str">
        <f>IFERROR(__xludf.DUMMYFUNCTION("""COMPUTED_VALUE"""),"")</f>
        <v/>
      </c>
    </row>
    <row r="369">
      <c r="A369" s="136" t="s">
        <v>18</v>
      </c>
      <c r="B369" s="146">
        <v>46126.0</v>
      </c>
      <c r="C369" s="136" t="s">
        <v>41</v>
      </c>
      <c r="D369" s="136" t="s">
        <v>149</v>
      </c>
      <c r="E369" s="106">
        <v>0.15972222221898846</v>
      </c>
      <c r="F369" s="136">
        <f>IFERROR(__xludf.DUMMYFUNCTION("""COMPUTED_VALUE"""),0.0)</f>
        <v>0</v>
      </c>
      <c r="G369" s="106">
        <f>IFERROR(__xludf.DUMMYFUNCTION("""COMPUTED_VALUE"""),0.0)</f>
        <v>0</v>
      </c>
      <c r="I369" s="136">
        <f>IFERROR(__xludf.DUMMYFUNCTION("""COMPUTED_VALUE"""),133.0)</f>
        <v>133</v>
      </c>
      <c r="J369" s="106">
        <f>IFERROR(__xludf.DUMMYFUNCTION("""COMPUTED_VALUE"""),0.05625000000145519)</f>
        <v>0.05625</v>
      </c>
      <c r="L369" s="136">
        <f>IFERROR(__xludf.DUMMYFUNCTION("""COMPUTED_VALUE"""),25.0)</f>
        <v>25</v>
      </c>
      <c r="M369" s="106">
        <f>IFERROR(__xludf.DUMMYFUNCTION("""COMPUTED_VALUE"""),0.0194444444423425)</f>
        <v>0.01944444444</v>
      </c>
      <c r="O369" s="136">
        <f>IFERROR(__xludf.DUMMYFUNCTION("""COMPUTED_VALUE"""),0.0)</f>
        <v>0</v>
      </c>
      <c r="P369" s="106">
        <f>IFERROR(__xludf.DUMMYFUNCTION("""COMPUTED_VALUE"""),0.0)</f>
        <v>0</v>
      </c>
      <c r="R369" s="136">
        <f>IFERROR(__xludf.DUMMYFUNCTION("""COMPUTED_VALUE"""),244.0)</f>
        <v>244</v>
      </c>
      <c r="S369" s="106">
        <f>IFERROR(__xludf.DUMMYFUNCTION("""COMPUTED_VALUE"""),0.27499999999417923)</f>
        <v>0.275</v>
      </c>
    </row>
    <row r="370">
      <c r="A370" s="136" t="s">
        <v>18</v>
      </c>
      <c r="B370" s="146">
        <v>46126.0</v>
      </c>
      <c r="C370" s="136" t="s">
        <v>41</v>
      </c>
      <c r="D370" s="136" t="s">
        <v>148</v>
      </c>
      <c r="E370" s="106">
        <v>0.11527777777519077</v>
      </c>
      <c r="F370" s="136" t="str">
        <f>IFERROR(__xludf.DUMMYFUNCTION("""COMPUTED_VALUE"""),"")</f>
        <v/>
      </c>
      <c r="G370" s="106" t="str">
        <f>IFERROR(__xludf.DUMMYFUNCTION("""COMPUTED_VALUE"""),"")</f>
        <v/>
      </c>
      <c r="I370" s="136" t="str">
        <f>IFERROR(__xludf.DUMMYFUNCTION("""COMPUTED_VALUE"""),"")</f>
        <v/>
      </c>
      <c r="J370" s="106" t="str">
        <f>IFERROR(__xludf.DUMMYFUNCTION("""COMPUTED_VALUE"""),"")</f>
        <v/>
      </c>
      <c r="L370" s="136" t="str">
        <f>IFERROR(__xludf.DUMMYFUNCTION("""COMPUTED_VALUE"""),"")</f>
        <v/>
      </c>
      <c r="M370" s="106" t="str">
        <f>IFERROR(__xludf.DUMMYFUNCTION("""COMPUTED_VALUE"""),"")</f>
        <v/>
      </c>
      <c r="O370" s="136" t="str">
        <f>IFERROR(__xludf.DUMMYFUNCTION("""COMPUTED_VALUE"""),"")</f>
        <v/>
      </c>
      <c r="P370" s="106" t="str">
        <f>IFERROR(__xludf.DUMMYFUNCTION("""COMPUTED_VALUE"""),"")</f>
        <v/>
      </c>
      <c r="R370" s="136" t="str">
        <f>IFERROR(__xludf.DUMMYFUNCTION("""COMPUTED_VALUE"""),"")</f>
        <v/>
      </c>
      <c r="S370" s="106" t="str">
        <f>IFERROR(__xludf.DUMMYFUNCTION("""COMPUTED_VALUE"""),"")</f>
        <v/>
      </c>
    </row>
    <row r="371">
      <c r="A371" s="136" t="s">
        <v>12</v>
      </c>
      <c r="B371" s="146">
        <v>46127.0</v>
      </c>
      <c r="C371" s="136" t="s">
        <v>45</v>
      </c>
      <c r="D371" s="136" t="s">
        <v>149</v>
      </c>
      <c r="E371" s="106">
        <v>0.0819444444423425</v>
      </c>
      <c r="F371" s="136" t="str">
        <f>IFERROR(__xludf.DUMMYFUNCTION("""COMPUTED_VALUE"""),"")</f>
        <v/>
      </c>
      <c r="G371" s="106" t="str">
        <f>IFERROR(__xludf.DUMMYFUNCTION("""COMPUTED_VALUE"""),"")</f>
        <v/>
      </c>
      <c r="I371" s="136" t="str">
        <f>IFERROR(__xludf.DUMMYFUNCTION("""COMPUTED_VALUE"""),"")</f>
        <v/>
      </c>
      <c r="J371" s="106" t="str">
        <f>IFERROR(__xludf.DUMMYFUNCTION("""COMPUTED_VALUE"""),"")</f>
        <v/>
      </c>
      <c r="L371" s="136" t="str">
        <f>IFERROR(__xludf.DUMMYFUNCTION("""COMPUTED_VALUE"""),"")</f>
        <v/>
      </c>
      <c r="M371" s="106" t="str">
        <f>IFERROR(__xludf.DUMMYFUNCTION("""COMPUTED_VALUE"""),"")</f>
        <v/>
      </c>
      <c r="O371" s="136" t="str">
        <f>IFERROR(__xludf.DUMMYFUNCTION("""COMPUTED_VALUE"""),"")</f>
        <v/>
      </c>
      <c r="P371" s="106" t="str">
        <f>IFERROR(__xludf.DUMMYFUNCTION("""COMPUTED_VALUE"""),"")</f>
        <v/>
      </c>
      <c r="R371" s="136" t="str">
        <f>IFERROR(__xludf.DUMMYFUNCTION("""COMPUTED_VALUE"""),"")</f>
        <v/>
      </c>
      <c r="S371" s="106" t="str">
        <f>IFERROR(__xludf.DUMMYFUNCTION("""COMPUTED_VALUE"""),"")</f>
        <v/>
      </c>
    </row>
    <row r="372">
      <c r="A372" s="136" t="s">
        <v>134</v>
      </c>
      <c r="B372" s="146">
        <v>46127.0</v>
      </c>
      <c r="C372" s="136" t="s">
        <v>45</v>
      </c>
      <c r="D372" s="136" t="s">
        <v>149</v>
      </c>
      <c r="E372" s="106">
        <v>0.04513888888322981</v>
      </c>
      <c r="F372" s="136" t="str">
        <f>IFERROR(__xludf.DUMMYFUNCTION("""COMPUTED_VALUE"""),"")</f>
        <v/>
      </c>
      <c r="G372" s="106" t="str">
        <f>IFERROR(__xludf.DUMMYFUNCTION("""COMPUTED_VALUE"""),"")</f>
        <v/>
      </c>
      <c r="I372" s="136" t="str">
        <f>IFERROR(__xludf.DUMMYFUNCTION("""COMPUTED_VALUE"""),"")</f>
        <v/>
      </c>
      <c r="J372" s="106" t="str">
        <f>IFERROR(__xludf.DUMMYFUNCTION("""COMPUTED_VALUE"""),"")</f>
        <v/>
      </c>
      <c r="L372" s="136" t="str">
        <f>IFERROR(__xludf.DUMMYFUNCTION("""COMPUTED_VALUE"""),"")</f>
        <v/>
      </c>
      <c r="M372" s="106" t="str">
        <f>IFERROR(__xludf.DUMMYFUNCTION("""COMPUTED_VALUE"""),"")</f>
        <v/>
      </c>
      <c r="O372" s="136" t="str">
        <f>IFERROR(__xludf.DUMMYFUNCTION("""COMPUTED_VALUE"""),"")</f>
        <v/>
      </c>
      <c r="P372" s="106" t="str">
        <f>IFERROR(__xludf.DUMMYFUNCTION("""COMPUTED_VALUE"""),"")</f>
        <v/>
      </c>
      <c r="R372" s="136" t="str">
        <f>IFERROR(__xludf.DUMMYFUNCTION("""COMPUTED_VALUE"""),"")</f>
        <v/>
      </c>
      <c r="S372" s="106" t="str">
        <f>IFERROR(__xludf.DUMMYFUNCTION("""COMPUTED_VALUE"""),"")</f>
        <v/>
      </c>
    </row>
    <row r="373">
      <c r="A373" s="136" t="s">
        <v>15</v>
      </c>
      <c r="B373" s="146">
        <v>46127.0</v>
      </c>
      <c r="C373" s="136" t="s">
        <v>45</v>
      </c>
      <c r="D373" s="136" t="s">
        <v>148</v>
      </c>
      <c r="E373" s="106">
        <v>0.024305555554747116</v>
      </c>
      <c r="F373" s="136" t="str">
        <f>IFERROR(__xludf.DUMMYFUNCTION("""COMPUTED_VALUE"""),"")</f>
        <v/>
      </c>
      <c r="G373" s="106" t="str">
        <f>IFERROR(__xludf.DUMMYFUNCTION("""COMPUTED_VALUE"""),"")</f>
        <v/>
      </c>
      <c r="I373" s="136" t="str">
        <f>IFERROR(__xludf.DUMMYFUNCTION("""COMPUTED_VALUE"""),"")</f>
        <v/>
      </c>
      <c r="J373" s="106" t="str">
        <f>IFERROR(__xludf.DUMMYFUNCTION("""COMPUTED_VALUE"""),"")</f>
        <v/>
      </c>
      <c r="L373" s="136" t="str">
        <f>IFERROR(__xludf.DUMMYFUNCTION("""COMPUTED_VALUE"""),"")</f>
        <v/>
      </c>
      <c r="M373" s="106" t="str">
        <f>IFERROR(__xludf.DUMMYFUNCTION("""COMPUTED_VALUE"""),"")</f>
        <v/>
      </c>
      <c r="O373" s="136" t="str">
        <f>IFERROR(__xludf.DUMMYFUNCTION("""COMPUTED_VALUE"""),"")</f>
        <v/>
      </c>
      <c r="P373" s="106" t="str">
        <f>IFERROR(__xludf.DUMMYFUNCTION("""COMPUTED_VALUE"""),"")</f>
        <v/>
      </c>
      <c r="R373" s="136" t="str">
        <f>IFERROR(__xludf.DUMMYFUNCTION("""COMPUTED_VALUE"""),"")</f>
        <v/>
      </c>
      <c r="S373" s="106" t="str">
        <f>IFERROR(__xludf.DUMMYFUNCTION("""COMPUTED_VALUE"""),"")</f>
        <v/>
      </c>
    </row>
    <row r="374">
      <c r="A374" s="136" t="s">
        <v>15</v>
      </c>
      <c r="B374" s="146">
        <v>46127.0</v>
      </c>
      <c r="C374" s="136" t="s">
        <v>45</v>
      </c>
      <c r="D374" s="136" t="s">
        <v>148</v>
      </c>
      <c r="E374" s="106">
        <v>0.08333333333575865</v>
      </c>
      <c r="F374" s="136" t="str">
        <f>IFERROR(__xludf.DUMMYFUNCTION("""COMPUTED_VALUE"""),"")</f>
        <v/>
      </c>
      <c r="G374" s="106" t="str">
        <f>IFERROR(__xludf.DUMMYFUNCTION("""COMPUTED_VALUE"""),"")</f>
        <v/>
      </c>
      <c r="I374" s="136" t="str">
        <f>IFERROR(__xludf.DUMMYFUNCTION("""COMPUTED_VALUE"""),"")</f>
        <v/>
      </c>
      <c r="J374" s="106" t="str">
        <f>IFERROR(__xludf.DUMMYFUNCTION("""COMPUTED_VALUE"""),"")</f>
        <v/>
      </c>
      <c r="L374" s="136" t="str">
        <f>IFERROR(__xludf.DUMMYFUNCTION("""COMPUTED_VALUE"""),"")</f>
        <v/>
      </c>
      <c r="M374" s="106" t="str">
        <f>IFERROR(__xludf.DUMMYFUNCTION("""COMPUTED_VALUE"""),"")</f>
        <v/>
      </c>
      <c r="O374" s="136" t="str">
        <f>IFERROR(__xludf.DUMMYFUNCTION("""COMPUTED_VALUE"""),"")</f>
        <v/>
      </c>
      <c r="P374" s="106" t="str">
        <f>IFERROR(__xludf.DUMMYFUNCTION("""COMPUTED_VALUE"""),"")</f>
        <v/>
      </c>
      <c r="R374" s="136" t="str">
        <f>IFERROR(__xludf.DUMMYFUNCTION("""COMPUTED_VALUE"""),"")</f>
        <v/>
      </c>
      <c r="S374" s="106" t="str">
        <f>IFERROR(__xludf.DUMMYFUNCTION("""COMPUTED_VALUE"""),"")</f>
        <v/>
      </c>
    </row>
    <row r="375">
      <c r="A375" s="136" t="s">
        <v>18</v>
      </c>
      <c r="B375" s="146">
        <v>46127.0</v>
      </c>
      <c r="C375" s="136" t="s">
        <v>45</v>
      </c>
      <c r="D375" s="136" t="s">
        <v>149</v>
      </c>
      <c r="E375" s="106">
        <v>0.16666666666424135</v>
      </c>
      <c r="F375" s="136">
        <f>IFERROR(__xludf.DUMMYFUNCTION("""COMPUTED_VALUE"""),69.0)</f>
        <v>69</v>
      </c>
      <c r="G375" s="106">
        <f>IFERROR(__xludf.DUMMYFUNCTION("""COMPUTED_VALUE"""),0.0819444444423425)</f>
        <v>0.08194444444</v>
      </c>
      <c r="I375" s="136">
        <f>IFERROR(__xludf.DUMMYFUNCTION("""COMPUTED_VALUE"""),59.0)</f>
        <v>59</v>
      </c>
      <c r="J375" s="106">
        <f>IFERROR(__xludf.DUMMYFUNCTION("""COMPUTED_VALUE"""),0.04513888888322981)</f>
        <v>0.04513888888</v>
      </c>
      <c r="L375" s="136">
        <f>IFERROR(__xludf.DUMMYFUNCTION("""COMPUTED_VALUE"""),111.0)</f>
        <v>111</v>
      </c>
      <c r="M375" s="106">
        <f>IFERROR(__xludf.DUMMYFUNCTION("""COMPUTED_VALUE"""),0.10763888889050577)</f>
        <v>0.1076388889</v>
      </c>
      <c r="O375" s="136">
        <f>IFERROR(__xludf.DUMMYFUNCTION("""COMPUTED_VALUE"""),0.0)</f>
        <v>0</v>
      </c>
      <c r="P375" s="106">
        <f>IFERROR(__xludf.DUMMYFUNCTION("""COMPUTED_VALUE"""),0.0)</f>
        <v>0</v>
      </c>
      <c r="R375" s="136">
        <f>IFERROR(__xludf.DUMMYFUNCTION("""COMPUTED_VALUE"""),256.0)</f>
        <v>256</v>
      </c>
      <c r="S375" s="106">
        <f>IFERROR(__xludf.DUMMYFUNCTION("""COMPUTED_VALUE"""),0.29166666666424135)</f>
        <v>0.2916666667</v>
      </c>
    </row>
    <row r="376">
      <c r="A376" s="136" t="s">
        <v>18</v>
      </c>
      <c r="B376" s="146">
        <v>46127.0</v>
      </c>
      <c r="C376" s="136" t="s">
        <v>45</v>
      </c>
      <c r="D376" s="136" t="s">
        <v>148</v>
      </c>
      <c r="E376" s="106">
        <v>0.125</v>
      </c>
      <c r="F376" s="136" t="str">
        <f>IFERROR(__xludf.DUMMYFUNCTION("""COMPUTED_VALUE"""),"")</f>
        <v/>
      </c>
      <c r="G376" s="106" t="str">
        <f>IFERROR(__xludf.DUMMYFUNCTION("""COMPUTED_VALUE"""),"")</f>
        <v/>
      </c>
      <c r="I376" s="136" t="str">
        <f>IFERROR(__xludf.DUMMYFUNCTION("""COMPUTED_VALUE"""),"")</f>
        <v/>
      </c>
      <c r="J376" s="106" t="str">
        <f>IFERROR(__xludf.DUMMYFUNCTION("""COMPUTED_VALUE"""),"")</f>
        <v/>
      </c>
      <c r="L376" s="136" t="str">
        <f>IFERROR(__xludf.DUMMYFUNCTION("""COMPUTED_VALUE"""),"")</f>
        <v/>
      </c>
      <c r="M376" s="106" t="str">
        <f>IFERROR(__xludf.DUMMYFUNCTION("""COMPUTED_VALUE"""),"")</f>
        <v/>
      </c>
      <c r="O376" s="136" t="str">
        <f>IFERROR(__xludf.DUMMYFUNCTION("""COMPUTED_VALUE"""),"")</f>
        <v/>
      </c>
      <c r="P376" s="106" t="str">
        <f>IFERROR(__xludf.DUMMYFUNCTION("""COMPUTED_VALUE"""),"")</f>
        <v/>
      </c>
      <c r="R376" s="136" t="str">
        <f>IFERROR(__xludf.DUMMYFUNCTION("""COMPUTED_VALUE"""),"")</f>
        <v/>
      </c>
      <c r="S376" s="106" t="str">
        <f>IFERROR(__xludf.DUMMYFUNCTION("""COMPUTED_VALUE"""),"")</f>
        <v/>
      </c>
    </row>
    <row r="377">
      <c r="A377" s="136" t="s">
        <v>12</v>
      </c>
      <c r="B377" s="146">
        <v>46128.0</v>
      </c>
      <c r="C377" s="136" t="s">
        <v>49</v>
      </c>
      <c r="D377" s="136" t="s">
        <v>149</v>
      </c>
      <c r="E377" s="106">
        <v>0.07083333333866904</v>
      </c>
      <c r="F377" s="136" t="str">
        <f>IFERROR(__xludf.DUMMYFUNCTION("""COMPUTED_VALUE"""),"")</f>
        <v/>
      </c>
      <c r="G377" s="106" t="str">
        <f>IFERROR(__xludf.DUMMYFUNCTION("""COMPUTED_VALUE"""),"")</f>
        <v/>
      </c>
      <c r="I377" s="136" t="str">
        <f>IFERROR(__xludf.DUMMYFUNCTION("""COMPUTED_VALUE"""),"")</f>
        <v/>
      </c>
      <c r="J377" s="106" t="str">
        <f>IFERROR(__xludf.DUMMYFUNCTION("""COMPUTED_VALUE"""),"")</f>
        <v/>
      </c>
      <c r="L377" s="136" t="str">
        <f>IFERROR(__xludf.DUMMYFUNCTION("""COMPUTED_VALUE"""),"")</f>
        <v/>
      </c>
      <c r="M377" s="106" t="str">
        <f>IFERROR(__xludf.DUMMYFUNCTION("""COMPUTED_VALUE"""),"")</f>
        <v/>
      </c>
      <c r="O377" s="136" t="str">
        <f>IFERROR(__xludf.DUMMYFUNCTION("""COMPUTED_VALUE"""),"")</f>
        <v/>
      </c>
      <c r="P377" s="106" t="str">
        <f>IFERROR(__xludf.DUMMYFUNCTION("""COMPUTED_VALUE"""),"")</f>
        <v/>
      </c>
      <c r="R377" s="136" t="str">
        <f>IFERROR(__xludf.DUMMYFUNCTION("""COMPUTED_VALUE"""),"")</f>
        <v/>
      </c>
      <c r="S377" s="106" t="str">
        <f>IFERROR(__xludf.DUMMYFUNCTION("""COMPUTED_VALUE"""),"")</f>
        <v/>
      </c>
    </row>
    <row r="378">
      <c r="A378" s="136" t="s">
        <v>12</v>
      </c>
      <c r="B378" s="146">
        <v>46128.0</v>
      </c>
      <c r="C378" s="136" t="s">
        <v>49</v>
      </c>
      <c r="D378" s="136" t="s">
        <v>149</v>
      </c>
      <c r="E378" s="106">
        <v>0.03749999999854481</v>
      </c>
      <c r="F378" s="136" t="str">
        <f>IFERROR(__xludf.DUMMYFUNCTION("""COMPUTED_VALUE"""),"")</f>
        <v/>
      </c>
      <c r="G378" s="106" t="str">
        <f>IFERROR(__xludf.DUMMYFUNCTION("""COMPUTED_VALUE"""),"")</f>
        <v/>
      </c>
      <c r="I378" s="136" t="str">
        <f>IFERROR(__xludf.DUMMYFUNCTION("""COMPUTED_VALUE"""),"")</f>
        <v/>
      </c>
      <c r="J378" s="106" t="str">
        <f>IFERROR(__xludf.DUMMYFUNCTION("""COMPUTED_VALUE"""),"")</f>
        <v/>
      </c>
      <c r="L378" s="136" t="str">
        <f>IFERROR(__xludf.DUMMYFUNCTION("""COMPUTED_VALUE"""),"")</f>
        <v/>
      </c>
      <c r="M378" s="106" t="str">
        <f>IFERROR(__xludf.DUMMYFUNCTION("""COMPUTED_VALUE"""),"")</f>
        <v/>
      </c>
      <c r="O378" s="136" t="str">
        <f>IFERROR(__xludf.DUMMYFUNCTION("""COMPUTED_VALUE"""),"")</f>
        <v/>
      </c>
      <c r="P378" s="106" t="str">
        <f>IFERROR(__xludf.DUMMYFUNCTION("""COMPUTED_VALUE"""),"")</f>
        <v/>
      </c>
      <c r="R378" s="136" t="str">
        <f>IFERROR(__xludf.DUMMYFUNCTION("""COMPUTED_VALUE"""),"")</f>
        <v/>
      </c>
      <c r="S378" s="106" t="str">
        <f>IFERROR(__xludf.DUMMYFUNCTION("""COMPUTED_VALUE"""),"")</f>
        <v/>
      </c>
    </row>
    <row r="379">
      <c r="A379" s="136" t="s">
        <v>15</v>
      </c>
      <c r="B379" s="146">
        <v>46128.0</v>
      </c>
      <c r="C379" s="136" t="s">
        <v>49</v>
      </c>
      <c r="D379" s="136" t="s">
        <v>148</v>
      </c>
      <c r="E379" s="106">
        <v>0.05208333333575865</v>
      </c>
      <c r="F379" s="136" t="str">
        <f>IFERROR(__xludf.DUMMYFUNCTION("""COMPUTED_VALUE"""),"")</f>
        <v/>
      </c>
      <c r="G379" s="106" t="str">
        <f>IFERROR(__xludf.DUMMYFUNCTION("""COMPUTED_VALUE"""),"")</f>
        <v/>
      </c>
      <c r="I379" s="136" t="str">
        <f>IFERROR(__xludf.DUMMYFUNCTION("""COMPUTED_VALUE"""),"")</f>
        <v/>
      </c>
      <c r="J379" s="106" t="str">
        <f>IFERROR(__xludf.DUMMYFUNCTION("""COMPUTED_VALUE"""),"")</f>
        <v/>
      </c>
      <c r="L379" s="136" t="str">
        <f>IFERROR(__xludf.DUMMYFUNCTION("""COMPUTED_VALUE"""),"")</f>
        <v/>
      </c>
      <c r="M379" s="106" t="str">
        <f>IFERROR(__xludf.DUMMYFUNCTION("""COMPUTED_VALUE"""),"")</f>
        <v/>
      </c>
      <c r="O379" s="136" t="str">
        <f>IFERROR(__xludf.DUMMYFUNCTION("""COMPUTED_VALUE"""),"")</f>
        <v/>
      </c>
      <c r="P379" s="106" t="str">
        <f>IFERROR(__xludf.DUMMYFUNCTION("""COMPUTED_VALUE"""),"")</f>
        <v/>
      </c>
      <c r="R379" s="136" t="str">
        <f>IFERROR(__xludf.DUMMYFUNCTION("""COMPUTED_VALUE"""),"")</f>
        <v/>
      </c>
      <c r="S379" s="106" t="str">
        <f>IFERROR(__xludf.DUMMYFUNCTION("""COMPUTED_VALUE"""),"")</f>
        <v/>
      </c>
    </row>
    <row r="380">
      <c r="A380" s="136" t="s">
        <v>15</v>
      </c>
      <c r="B380" s="146">
        <v>46128.0</v>
      </c>
      <c r="C380" s="136" t="s">
        <v>49</v>
      </c>
      <c r="D380" s="136" t="s">
        <v>149</v>
      </c>
      <c r="E380" s="106">
        <v>0.06527777777228039</v>
      </c>
      <c r="F380" s="136" t="str">
        <f>IFERROR(__xludf.DUMMYFUNCTION("""COMPUTED_VALUE"""),"")</f>
        <v/>
      </c>
      <c r="G380" s="106" t="str">
        <f>IFERROR(__xludf.DUMMYFUNCTION("""COMPUTED_VALUE"""),"")</f>
        <v/>
      </c>
      <c r="I380" s="136" t="str">
        <f>IFERROR(__xludf.DUMMYFUNCTION("""COMPUTED_VALUE"""),"")</f>
        <v/>
      </c>
      <c r="J380" s="106" t="str">
        <f>IFERROR(__xludf.DUMMYFUNCTION("""COMPUTED_VALUE"""),"")</f>
        <v/>
      </c>
      <c r="L380" s="136" t="str">
        <f>IFERROR(__xludf.DUMMYFUNCTION("""COMPUTED_VALUE"""),"")</f>
        <v/>
      </c>
      <c r="M380" s="106" t="str">
        <f>IFERROR(__xludf.DUMMYFUNCTION("""COMPUTED_VALUE"""),"")</f>
        <v/>
      </c>
      <c r="O380" s="136" t="str">
        <f>IFERROR(__xludf.DUMMYFUNCTION("""COMPUTED_VALUE"""),"")</f>
        <v/>
      </c>
      <c r="P380" s="106" t="str">
        <f>IFERROR(__xludf.DUMMYFUNCTION("""COMPUTED_VALUE"""),"")</f>
        <v/>
      </c>
      <c r="R380" s="136" t="str">
        <f>IFERROR(__xludf.DUMMYFUNCTION("""COMPUTED_VALUE"""),"")</f>
        <v/>
      </c>
      <c r="S380" s="106" t="str">
        <f>IFERROR(__xludf.DUMMYFUNCTION("""COMPUTED_VALUE"""),"")</f>
        <v/>
      </c>
    </row>
    <row r="381">
      <c r="A381" s="136" t="s">
        <v>15</v>
      </c>
      <c r="B381" s="146">
        <v>46128.0</v>
      </c>
      <c r="C381" s="136" t="s">
        <v>49</v>
      </c>
      <c r="D381" s="136" t="s">
        <v>149</v>
      </c>
      <c r="E381" s="106">
        <v>0.07291666666424135</v>
      </c>
      <c r="F381" s="136">
        <f>IFERROR(__xludf.DUMMYFUNCTION("""COMPUTED_VALUE"""),50.0)</f>
        <v>50</v>
      </c>
      <c r="G381" s="106">
        <f>IFERROR(__xludf.DUMMYFUNCTION("""COMPUTED_VALUE"""),0.10833333333721384)</f>
        <v>0.1083333333</v>
      </c>
      <c r="I381" s="136">
        <f>IFERROR(__xludf.DUMMYFUNCTION("""COMPUTED_VALUE"""),0.0)</f>
        <v>0</v>
      </c>
      <c r="J381" s="106">
        <f>IFERROR(__xludf.DUMMYFUNCTION("""COMPUTED_VALUE"""),0.0)</f>
        <v>0</v>
      </c>
      <c r="L381" s="136">
        <f>IFERROR(__xludf.DUMMYFUNCTION("""COMPUTED_VALUE"""),306.0)</f>
        <v>306</v>
      </c>
      <c r="M381" s="106">
        <f>IFERROR(__xludf.DUMMYFUNCTION("""COMPUTED_VALUE"""),0.1902777777722804)</f>
        <v>0.1902777778</v>
      </c>
      <c r="O381" s="136">
        <f>IFERROR(__xludf.DUMMYFUNCTION("""COMPUTED_VALUE"""),0.0)</f>
        <v>0</v>
      </c>
      <c r="P381" s="106">
        <f>IFERROR(__xludf.DUMMYFUNCTION("""COMPUTED_VALUE"""),0.0)</f>
        <v>0</v>
      </c>
      <c r="R381" s="136">
        <f>IFERROR(__xludf.DUMMYFUNCTION("""COMPUTED_VALUE"""),102.0)</f>
        <v>102</v>
      </c>
      <c r="S381" s="106">
        <f>IFERROR(__xludf.DUMMYFUNCTION("""COMPUTED_VALUE"""),0.07291666666424135)</f>
        <v>0.07291666666</v>
      </c>
    </row>
    <row r="382">
      <c r="A382" s="136" t="s">
        <v>18</v>
      </c>
      <c r="B382" s="146">
        <v>46128.0</v>
      </c>
      <c r="C382" s="136" t="s">
        <v>49</v>
      </c>
      <c r="D382" s="136" t="s">
        <v>148</v>
      </c>
      <c r="E382" s="106">
        <v>0.07291666666424135</v>
      </c>
      <c r="F382" s="136" t="str">
        <f>IFERROR(__xludf.DUMMYFUNCTION("""COMPUTED_VALUE"""),"")</f>
        <v/>
      </c>
      <c r="G382" s="106" t="str">
        <f>IFERROR(__xludf.DUMMYFUNCTION("""COMPUTED_VALUE"""),"")</f>
        <v/>
      </c>
      <c r="I382" s="136" t="str">
        <f>IFERROR(__xludf.DUMMYFUNCTION("""COMPUTED_VALUE"""),"")</f>
        <v/>
      </c>
      <c r="J382" s="106" t="str">
        <f>IFERROR(__xludf.DUMMYFUNCTION("""COMPUTED_VALUE"""),"")</f>
        <v/>
      </c>
      <c r="L382" s="136" t="str">
        <f>IFERROR(__xludf.DUMMYFUNCTION("""COMPUTED_VALUE"""),"")</f>
        <v/>
      </c>
      <c r="M382" s="106" t="str">
        <f>IFERROR(__xludf.DUMMYFUNCTION("""COMPUTED_VALUE"""),"")</f>
        <v/>
      </c>
      <c r="O382" s="136" t="str">
        <f>IFERROR(__xludf.DUMMYFUNCTION("""COMPUTED_VALUE"""),"")</f>
        <v/>
      </c>
      <c r="P382" s="106" t="str">
        <f>IFERROR(__xludf.DUMMYFUNCTION("""COMPUTED_VALUE"""),"")</f>
        <v/>
      </c>
      <c r="R382" s="136" t="str">
        <f>IFERROR(__xludf.DUMMYFUNCTION("""COMPUTED_VALUE"""),"")</f>
        <v/>
      </c>
      <c r="S382" s="106" t="str">
        <f>IFERROR(__xludf.DUMMYFUNCTION("""COMPUTED_VALUE"""),"")</f>
        <v/>
      </c>
    </row>
    <row r="383">
      <c r="A383" s="136" t="s">
        <v>12</v>
      </c>
      <c r="B383" s="146">
        <v>46129.0</v>
      </c>
      <c r="C383" s="136" t="s">
        <v>53</v>
      </c>
      <c r="D383" s="136" t="s">
        <v>149</v>
      </c>
      <c r="E383" s="106">
        <v>0.06597222222626442</v>
      </c>
      <c r="F383" s="136" t="str">
        <f>IFERROR(__xludf.DUMMYFUNCTION("""COMPUTED_VALUE"""),"")</f>
        <v/>
      </c>
      <c r="G383" s="106" t="str">
        <f>IFERROR(__xludf.DUMMYFUNCTION("""COMPUTED_VALUE"""),"")</f>
        <v/>
      </c>
      <c r="I383" s="136" t="str">
        <f>IFERROR(__xludf.DUMMYFUNCTION("""COMPUTED_VALUE"""),"")</f>
        <v/>
      </c>
      <c r="J383" s="106" t="str">
        <f>IFERROR(__xludf.DUMMYFUNCTION("""COMPUTED_VALUE"""),"")</f>
        <v/>
      </c>
      <c r="L383" s="136" t="str">
        <f>IFERROR(__xludf.DUMMYFUNCTION("""COMPUTED_VALUE"""),"")</f>
        <v/>
      </c>
      <c r="M383" s="106" t="str">
        <f>IFERROR(__xludf.DUMMYFUNCTION("""COMPUTED_VALUE"""),"")</f>
        <v/>
      </c>
      <c r="O383" s="136" t="str">
        <f>IFERROR(__xludf.DUMMYFUNCTION("""COMPUTED_VALUE"""),"")</f>
        <v/>
      </c>
      <c r="P383" s="106" t="str">
        <f>IFERROR(__xludf.DUMMYFUNCTION("""COMPUTED_VALUE"""),"")</f>
        <v/>
      </c>
      <c r="R383" s="136" t="str">
        <f>IFERROR(__xludf.DUMMYFUNCTION("""COMPUTED_VALUE"""),"")</f>
        <v/>
      </c>
      <c r="S383" s="106" t="str">
        <f>IFERROR(__xludf.DUMMYFUNCTION("""COMPUTED_VALUE"""),"")</f>
        <v/>
      </c>
    </row>
    <row r="384">
      <c r="A384" s="136" t="s">
        <v>15</v>
      </c>
      <c r="B384" s="146">
        <v>46129.0</v>
      </c>
      <c r="C384" s="136" t="s">
        <v>53</v>
      </c>
      <c r="D384" s="136" t="s">
        <v>149</v>
      </c>
      <c r="E384" s="106">
        <v>0.125</v>
      </c>
      <c r="F384" s="136" t="str">
        <f>IFERROR(__xludf.DUMMYFUNCTION("""COMPUTED_VALUE"""),"")</f>
        <v/>
      </c>
      <c r="G384" s="106" t="str">
        <f>IFERROR(__xludf.DUMMYFUNCTION("""COMPUTED_VALUE"""),"")</f>
        <v/>
      </c>
      <c r="I384" s="136" t="str">
        <f>IFERROR(__xludf.DUMMYFUNCTION("""COMPUTED_VALUE"""),"")</f>
        <v/>
      </c>
      <c r="J384" s="106" t="str">
        <f>IFERROR(__xludf.DUMMYFUNCTION("""COMPUTED_VALUE"""),"")</f>
        <v/>
      </c>
      <c r="L384" s="136" t="str">
        <f>IFERROR(__xludf.DUMMYFUNCTION("""COMPUTED_VALUE"""),"")</f>
        <v/>
      </c>
      <c r="M384" s="106" t="str">
        <f>IFERROR(__xludf.DUMMYFUNCTION("""COMPUTED_VALUE"""),"")</f>
        <v/>
      </c>
      <c r="O384" s="136" t="str">
        <f>IFERROR(__xludf.DUMMYFUNCTION("""COMPUTED_VALUE"""),"")</f>
        <v/>
      </c>
      <c r="P384" s="106" t="str">
        <f>IFERROR(__xludf.DUMMYFUNCTION("""COMPUTED_VALUE"""),"")</f>
        <v/>
      </c>
      <c r="R384" s="136" t="str">
        <f>IFERROR(__xludf.DUMMYFUNCTION("""COMPUTED_VALUE"""),"")</f>
        <v/>
      </c>
      <c r="S384" s="106" t="str">
        <f>IFERROR(__xludf.DUMMYFUNCTION("""COMPUTED_VALUE"""),"")</f>
        <v/>
      </c>
    </row>
    <row r="385">
      <c r="A385" s="136" t="s">
        <v>15</v>
      </c>
      <c r="B385" s="146">
        <v>46129.0</v>
      </c>
      <c r="C385" s="136" t="s">
        <v>53</v>
      </c>
      <c r="D385" s="136" t="s">
        <v>148</v>
      </c>
      <c r="E385" s="106">
        <v>0.14097222222335404</v>
      </c>
      <c r="F385" s="136" t="str">
        <f>IFERROR(__xludf.DUMMYFUNCTION("""COMPUTED_VALUE"""),"")</f>
        <v/>
      </c>
      <c r="G385" s="106" t="str">
        <f>IFERROR(__xludf.DUMMYFUNCTION("""COMPUTED_VALUE"""),"")</f>
        <v/>
      </c>
      <c r="I385" s="136" t="str">
        <f>IFERROR(__xludf.DUMMYFUNCTION("""COMPUTED_VALUE"""),"")</f>
        <v/>
      </c>
      <c r="J385" s="106" t="str">
        <f>IFERROR(__xludf.DUMMYFUNCTION("""COMPUTED_VALUE"""),"")</f>
        <v/>
      </c>
      <c r="L385" s="136" t="str">
        <f>IFERROR(__xludf.DUMMYFUNCTION("""COMPUTED_VALUE"""),"")</f>
        <v/>
      </c>
      <c r="M385" s="106" t="str">
        <f>IFERROR(__xludf.DUMMYFUNCTION("""COMPUTED_VALUE"""),"")</f>
        <v/>
      </c>
      <c r="O385" s="136" t="str">
        <f>IFERROR(__xludf.DUMMYFUNCTION("""COMPUTED_VALUE"""),"")</f>
        <v/>
      </c>
      <c r="P385" s="106" t="str">
        <f>IFERROR(__xludf.DUMMYFUNCTION("""COMPUTED_VALUE"""),"")</f>
        <v/>
      </c>
      <c r="R385" s="136" t="str">
        <f>IFERROR(__xludf.DUMMYFUNCTION("""COMPUTED_VALUE"""),"")</f>
        <v/>
      </c>
      <c r="S385" s="106" t="str">
        <f>IFERROR(__xludf.DUMMYFUNCTION("""COMPUTED_VALUE"""),"")</f>
        <v/>
      </c>
    </row>
    <row r="386">
      <c r="A386" s="136" t="s">
        <v>18</v>
      </c>
      <c r="B386" s="146">
        <v>46129.0</v>
      </c>
      <c r="C386" s="136" t="s">
        <v>53</v>
      </c>
      <c r="D386" s="136" t="s">
        <v>148</v>
      </c>
      <c r="E386" s="106">
        <v>0.07986111111677019</v>
      </c>
      <c r="F386" s="136" t="str">
        <f>IFERROR(__xludf.DUMMYFUNCTION("""COMPUTED_VALUE"""),"")</f>
        <v/>
      </c>
      <c r="G386" s="106" t="str">
        <f>IFERROR(__xludf.DUMMYFUNCTION("""COMPUTED_VALUE"""),"")</f>
        <v/>
      </c>
      <c r="I386" s="136" t="str">
        <f>IFERROR(__xludf.DUMMYFUNCTION("""COMPUTED_VALUE"""),"")</f>
        <v/>
      </c>
      <c r="J386" s="106" t="str">
        <f>IFERROR(__xludf.DUMMYFUNCTION("""COMPUTED_VALUE"""),"")</f>
        <v/>
      </c>
      <c r="L386" s="136" t="str">
        <f>IFERROR(__xludf.DUMMYFUNCTION("""COMPUTED_VALUE"""),"")</f>
        <v/>
      </c>
      <c r="M386" s="106" t="str">
        <f>IFERROR(__xludf.DUMMYFUNCTION("""COMPUTED_VALUE"""),"")</f>
        <v/>
      </c>
      <c r="O386" s="136" t="str">
        <f>IFERROR(__xludf.DUMMYFUNCTION("""COMPUTED_VALUE"""),"")</f>
        <v/>
      </c>
      <c r="P386" s="106" t="str">
        <f>IFERROR(__xludf.DUMMYFUNCTION("""COMPUTED_VALUE"""),"")</f>
        <v/>
      </c>
      <c r="R386" s="136" t="str">
        <f>IFERROR(__xludf.DUMMYFUNCTION("""COMPUTED_VALUE"""),"")</f>
        <v/>
      </c>
      <c r="S386" s="106" t="str">
        <f>IFERROR(__xludf.DUMMYFUNCTION("""COMPUTED_VALUE"""),"")</f>
        <v/>
      </c>
    </row>
    <row r="387">
      <c r="A387" s="136" t="s">
        <v>18</v>
      </c>
      <c r="B387" s="146">
        <v>46129.0</v>
      </c>
      <c r="C387" s="136" t="s">
        <v>53</v>
      </c>
      <c r="D387" s="136" t="s">
        <v>148</v>
      </c>
      <c r="E387" s="106">
        <v>0.018750000002910383</v>
      </c>
      <c r="F387" s="136">
        <f>IFERROR(__xludf.DUMMYFUNCTION("""COMPUTED_VALUE"""),78.0)</f>
        <v>78</v>
      </c>
      <c r="G387" s="106">
        <f>IFERROR(__xludf.DUMMYFUNCTION("""COMPUTED_VALUE"""),0.06597222222626442)</f>
        <v>0.06597222223</v>
      </c>
      <c r="I387" s="136">
        <f>IFERROR(__xludf.DUMMYFUNCTION("""COMPUTED_VALUE"""),0.0)</f>
        <v>0</v>
      </c>
      <c r="J387" s="106">
        <f>IFERROR(__xludf.DUMMYFUNCTION("""COMPUTED_VALUE"""),0.0)</f>
        <v>0</v>
      </c>
      <c r="L387" s="136">
        <f>IFERROR(__xludf.DUMMYFUNCTION("""COMPUTED_VALUE"""),262.0)</f>
        <v>262</v>
      </c>
      <c r="M387" s="106">
        <f>IFERROR(__xludf.DUMMYFUNCTION("""COMPUTED_VALUE"""),0.26597222222335404)</f>
        <v>0.2659722222</v>
      </c>
      <c r="O387" s="136">
        <f>IFERROR(__xludf.DUMMYFUNCTION("""COMPUTED_VALUE"""),0.0)</f>
        <v>0</v>
      </c>
      <c r="P387" s="106">
        <f>IFERROR(__xludf.DUMMYFUNCTION("""COMPUTED_VALUE"""),0.0)</f>
        <v>0</v>
      </c>
      <c r="R387" s="136">
        <f>IFERROR(__xludf.DUMMYFUNCTION("""COMPUTED_VALUE"""),281.0)</f>
        <v>281</v>
      </c>
      <c r="S387" s="106">
        <f>IFERROR(__xludf.DUMMYFUNCTION("""COMPUTED_VALUE"""),0.17222222223790595)</f>
        <v>0.1722222222</v>
      </c>
    </row>
    <row r="388">
      <c r="A388" s="136" t="s">
        <v>18</v>
      </c>
      <c r="B388" s="146">
        <v>46129.0</v>
      </c>
      <c r="C388" s="136" t="s">
        <v>53</v>
      </c>
      <c r="D388" s="136" t="s">
        <v>148</v>
      </c>
      <c r="E388" s="106">
        <v>0.07361111111822538</v>
      </c>
      <c r="F388" s="136" t="str">
        <f>IFERROR(__xludf.DUMMYFUNCTION("""COMPUTED_VALUE"""),"")</f>
        <v/>
      </c>
      <c r="G388" s="106" t="str">
        <f>IFERROR(__xludf.DUMMYFUNCTION("""COMPUTED_VALUE"""),"")</f>
        <v/>
      </c>
      <c r="I388" s="136" t="str">
        <f>IFERROR(__xludf.DUMMYFUNCTION("""COMPUTED_VALUE"""),"")</f>
        <v/>
      </c>
      <c r="J388" s="106" t="str">
        <f>IFERROR(__xludf.DUMMYFUNCTION("""COMPUTED_VALUE"""),"")</f>
        <v/>
      </c>
      <c r="L388" s="136" t="str">
        <f>IFERROR(__xludf.DUMMYFUNCTION("""COMPUTED_VALUE"""),"")</f>
        <v/>
      </c>
      <c r="M388" s="106" t="str">
        <f>IFERROR(__xludf.DUMMYFUNCTION("""COMPUTED_VALUE"""),"")</f>
        <v/>
      </c>
      <c r="O388" s="136" t="str">
        <f>IFERROR(__xludf.DUMMYFUNCTION("""COMPUTED_VALUE"""),"")</f>
        <v/>
      </c>
      <c r="P388" s="106" t="str">
        <f>IFERROR(__xludf.DUMMYFUNCTION("""COMPUTED_VALUE"""),"")</f>
        <v/>
      </c>
      <c r="R388" s="136" t="str">
        <f>IFERROR(__xludf.DUMMYFUNCTION("""COMPUTED_VALUE"""),"")</f>
        <v/>
      </c>
      <c r="S388" s="106" t="str">
        <f>IFERROR(__xludf.DUMMYFUNCTION("""COMPUTED_VALUE"""),"")</f>
        <v/>
      </c>
    </row>
    <row r="389">
      <c r="A389" s="136" t="s">
        <v>15</v>
      </c>
      <c r="B389" s="146">
        <v>46132.0</v>
      </c>
      <c r="C389" s="136" t="s">
        <v>37</v>
      </c>
      <c r="D389" s="136" t="s">
        <v>149</v>
      </c>
      <c r="E389" s="106">
        <v>0.125</v>
      </c>
      <c r="F389" s="136" t="str">
        <f>IFERROR(__xludf.DUMMYFUNCTION("""COMPUTED_VALUE"""),"")</f>
        <v/>
      </c>
      <c r="G389" s="106" t="str">
        <f>IFERROR(__xludf.DUMMYFUNCTION("""COMPUTED_VALUE"""),"")</f>
        <v/>
      </c>
      <c r="I389" s="136" t="str">
        <f>IFERROR(__xludf.DUMMYFUNCTION("""COMPUTED_VALUE"""),"")</f>
        <v/>
      </c>
      <c r="J389" s="106" t="str">
        <f>IFERROR(__xludf.DUMMYFUNCTION("""COMPUTED_VALUE"""),"")</f>
        <v/>
      </c>
      <c r="L389" s="136" t="str">
        <f>IFERROR(__xludf.DUMMYFUNCTION("""COMPUTED_VALUE"""),"")</f>
        <v/>
      </c>
      <c r="M389" s="106" t="str">
        <f>IFERROR(__xludf.DUMMYFUNCTION("""COMPUTED_VALUE"""),"")</f>
        <v/>
      </c>
      <c r="O389" s="136" t="str">
        <f>IFERROR(__xludf.DUMMYFUNCTION("""COMPUTED_VALUE"""),"")</f>
        <v/>
      </c>
      <c r="P389" s="106" t="str">
        <f>IFERROR(__xludf.DUMMYFUNCTION("""COMPUTED_VALUE"""),"")</f>
        <v/>
      </c>
      <c r="R389" s="136" t="str">
        <f>IFERROR(__xludf.DUMMYFUNCTION("""COMPUTED_VALUE"""),"")</f>
        <v/>
      </c>
      <c r="S389" s="106" t="str">
        <f>IFERROR(__xludf.DUMMYFUNCTION("""COMPUTED_VALUE"""),"")</f>
        <v/>
      </c>
    </row>
    <row r="390">
      <c r="A390" s="136" t="s">
        <v>18</v>
      </c>
      <c r="B390" s="146">
        <v>46132.0</v>
      </c>
      <c r="C390" s="136" t="s">
        <v>37</v>
      </c>
      <c r="D390" s="136" t="s">
        <v>148</v>
      </c>
      <c r="E390" s="106">
        <v>0.07152777777810115</v>
      </c>
      <c r="F390" s="136">
        <f>IFERROR(__xludf.DUMMYFUNCTION("""COMPUTED_VALUE"""),0.0)</f>
        <v>0</v>
      </c>
      <c r="G390" s="106">
        <f>IFERROR(__xludf.DUMMYFUNCTION("""COMPUTED_VALUE"""),0.0)</f>
        <v>0</v>
      </c>
      <c r="I390" s="136">
        <f>IFERROR(__xludf.DUMMYFUNCTION("""COMPUTED_VALUE"""),0.0)</f>
        <v>0</v>
      </c>
      <c r="J390" s="106">
        <f>IFERROR(__xludf.DUMMYFUNCTION("""COMPUTED_VALUE"""),0.0)</f>
        <v>0</v>
      </c>
      <c r="L390" s="136">
        <f>IFERROR(__xludf.DUMMYFUNCTION("""COMPUTED_VALUE"""),76.0)</f>
        <v>76</v>
      </c>
      <c r="M390" s="106">
        <f>IFERROR(__xludf.DUMMYFUNCTION("""COMPUTED_VALUE"""),0.125)</f>
        <v>0.125</v>
      </c>
      <c r="O390" s="136">
        <f>IFERROR(__xludf.DUMMYFUNCTION("""COMPUTED_VALUE"""),0.0)</f>
        <v>0</v>
      </c>
      <c r="P390" s="106">
        <f>IFERROR(__xludf.DUMMYFUNCTION("""COMPUTED_VALUE"""),0.0)</f>
        <v>0</v>
      </c>
      <c r="R390" s="136">
        <f>IFERROR(__xludf.DUMMYFUNCTION("""COMPUTED_VALUE"""),246.0)</f>
        <v>246</v>
      </c>
      <c r="S390" s="106">
        <f>IFERROR(__xludf.DUMMYFUNCTION("""COMPUTED_VALUE"""),0.19652777777810115)</f>
        <v>0.1965277778</v>
      </c>
    </row>
    <row r="391">
      <c r="A391" s="136" t="s">
        <v>18</v>
      </c>
      <c r="B391" s="146">
        <v>46132.0</v>
      </c>
      <c r="C391" s="136" t="s">
        <v>37</v>
      </c>
      <c r="D391" s="136" t="s">
        <v>148</v>
      </c>
      <c r="E391" s="106">
        <v>0.125</v>
      </c>
      <c r="F391" s="136" t="str">
        <f>IFERROR(__xludf.DUMMYFUNCTION("""COMPUTED_VALUE"""),"")</f>
        <v/>
      </c>
      <c r="G391" s="106" t="str">
        <f>IFERROR(__xludf.DUMMYFUNCTION("""COMPUTED_VALUE"""),"")</f>
        <v/>
      </c>
      <c r="I391" s="136" t="str">
        <f>IFERROR(__xludf.DUMMYFUNCTION("""COMPUTED_VALUE"""),"")</f>
        <v/>
      </c>
      <c r="J391" s="106" t="str">
        <f>IFERROR(__xludf.DUMMYFUNCTION("""COMPUTED_VALUE"""),"")</f>
        <v/>
      </c>
      <c r="L391" s="136" t="str">
        <f>IFERROR(__xludf.DUMMYFUNCTION("""COMPUTED_VALUE"""),"")</f>
        <v/>
      </c>
      <c r="M391" s="106" t="str">
        <f>IFERROR(__xludf.DUMMYFUNCTION("""COMPUTED_VALUE"""),"")</f>
        <v/>
      </c>
      <c r="O391" s="136" t="str">
        <f>IFERROR(__xludf.DUMMYFUNCTION("""COMPUTED_VALUE"""),"")</f>
        <v/>
      </c>
      <c r="P391" s="106" t="str">
        <f>IFERROR(__xludf.DUMMYFUNCTION("""COMPUTED_VALUE"""),"")</f>
        <v/>
      </c>
      <c r="R391" s="136" t="str">
        <f>IFERROR(__xludf.DUMMYFUNCTION("""COMPUTED_VALUE"""),"")</f>
        <v/>
      </c>
      <c r="S391" s="106" t="str">
        <f>IFERROR(__xludf.DUMMYFUNCTION("""COMPUTED_VALUE"""),"")</f>
        <v/>
      </c>
    </row>
    <row r="392">
      <c r="A392" s="136" t="s">
        <v>15</v>
      </c>
      <c r="B392" s="146">
        <v>46133.0</v>
      </c>
      <c r="C392" s="136" t="s">
        <v>41</v>
      </c>
      <c r="D392" s="136" t="s">
        <v>148</v>
      </c>
      <c r="E392" s="106">
        <v>0.07499999999708962</v>
      </c>
      <c r="F392" s="136">
        <f>IFERROR(__xludf.DUMMYFUNCTION("""COMPUTED_VALUE"""),0.0)</f>
        <v>0</v>
      </c>
      <c r="G392" s="106">
        <f>IFERROR(__xludf.DUMMYFUNCTION("""COMPUTED_VALUE"""),0.0)</f>
        <v>0</v>
      </c>
      <c r="I392" s="136">
        <f>IFERROR(__xludf.DUMMYFUNCTION("""COMPUTED_VALUE"""),0.0)</f>
        <v>0</v>
      </c>
      <c r="J392" s="106">
        <f>IFERROR(__xludf.DUMMYFUNCTION("""COMPUTED_VALUE"""),0.0)</f>
        <v>0</v>
      </c>
      <c r="L392" s="136">
        <f>IFERROR(__xludf.DUMMYFUNCTION("""COMPUTED_VALUE"""),296.0)</f>
        <v>296</v>
      </c>
      <c r="M392" s="106">
        <f>IFERROR(__xludf.DUMMYFUNCTION("""COMPUTED_VALUE"""),0.13194444443797693)</f>
        <v>0.1319444444</v>
      </c>
      <c r="O392" s="136">
        <f>IFERROR(__xludf.DUMMYFUNCTION("""COMPUTED_VALUE"""),0.0)</f>
        <v>0</v>
      </c>
      <c r="P392" s="106">
        <f>IFERROR(__xludf.DUMMYFUNCTION("""COMPUTED_VALUE"""),0.0)</f>
        <v>0</v>
      </c>
      <c r="R392" s="136">
        <f>IFERROR(__xludf.DUMMYFUNCTION("""COMPUTED_VALUE"""),86.0)</f>
        <v>86</v>
      </c>
      <c r="S392" s="106">
        <f>IFERROR(__xludf.DUMMYFUNCTION("""COMPUTED_VALUE"""),0.09027777778101154)</f>
        <v>0.09027777778</v>
      </c>
    </row>
    <row r="393">
      <c r="A393" s="136" t="s">
        <v>15</v>
      </c>
      <c r="B393" s="146">
        <v>46133.0</v>
      </c>
      <c r="C393" s="136" t="s">
        <v>41</v>
      </c>
      <c r="D393" s="136" t="s">
        <v>148</v>
      </c>
      <c r="E393" s="106">
        <v>0.05694444444088731</v>
      </c>
      <c r="F393" s="136" t="str">
        <f>IFERROR(__xludf.DUMMYFUNCTION("""COMPUTED_VALUE"""),"")</f>
        <v/>
      </c>
      <c r="G393" s="106" t="str">
        <f>IFERROR(__xludf.DUMMYFUNCTION("""COMPUTED_VALUE"""),"")</f>
        <v/>
      </c>
      <c r="I393" s="136" t="str">
        <f>IFERROR(__xludf.DUMMYFUNCTION("""COMPUTED_VALUE"""),"")</f>
        <v/>
      </c>
      <c r="J393" s="106" t="str">
        <f>IFERROR(__xludf.DUMMYFUNCTION("""COMPUTED_VALUE"""),"")</f>
        <v/>
      </c>
      <c r="L393" s="136" t="str">
        <f>IFERROR(__xludf.DUMMYFUNCTION("""COMPUTED_VALUE"""),"")</f>
        <v/>
      </c>
      <c r="M393" s="106" t="str">
        <f>IFERROR(__xludf.DUMMYFUNCTION("""COMPUTED_VALUE"""),"")</f>
        <v/>
      </c>
      <c r="O393" s="136" t="str">
        <f>IFERROR(__xludf.DUMMYFUNCTION("""COMPUTED_VALUE"""),"")</f>
        <v/>
      </c>
      <c r="P393" s="106" t="str">
        <f>IFERROR(__xludf.DUMMYFUNCTION("""COMPUTED_VALUE"""),"")</f>
        <v/>
      </c>
      <c r="R393" s="136" t="str">
        <f>IFERROR(__xludf.DUMMYFUNCTION("""COMPUTED_VALUE"""),"")</f>
        <v/>
      </c>
      <c r="S393" s="106" t="str">
        <f>IFERROR(__xludf.DUMMYFUNCTION("""COMPUTED_VALUE"""),"")</f>
        <v/>
      </c>
    </row>
    <row r="394">
      <c r="A394" s="136" t="s">
        <v>15</v>
      </c>
      <c r="B394" s="146">
        <v>46134.0</v>
      </c>
      <c r="C394" s="136" t="s">
        <v>45</v>
      </c>
      <c r="D394" s="136" t="s">
        <v>148</v>
      </c>
      <c r="E394" s="106">
        <v>0.07986111111677019</v>
      </c>
      <c r="F394" s="136" t="str">
        <f>IFERROR(__xludf.DUMMYFUNCTION("""COMPUTED_VALUE"""),"")</f>
        <v/>
      </c>
      <c r="G394" s="106" t="str">
        <f>IFERROR(__xludf.DUMMYFUNCTION("""COMPUTED_VALUE"""),"")</f>
        <v/>
      </c>
      <c r="I394" s="136" t="str">
        <f>IFERROR(__xludf.DUMMYFUNCTION("""COMPUTED_VALUE"""),"")</f>
        <v/>
      </c>
      <c r="J394" s="106" t="str">
        <f>IFERROR(__xludf.DUMMYFUNCTION("""COMPUTED_VALUE"""),"")</f>
        <v/>
      </c>
      <c r="L394" s="136" t="str">
        <f>IFERROR(__xludf.DUMMYFUNCTION("""COMPUTED_VALUE"""),"")</f>
        <v/>
      </c>
      <c r="M394" s="106" t="str">
        <f>IFERROR(__xludf.DUMMYFUNCTION("""COMPUTED_VALUE"""),"")</f>
        <v/>
      </c>
      <c r="O394" s="136" t="str">
        <f>IFERROR(__xludf.DUMMYFUNCTION("""COMPUTED_VALUE"""),"")</f>
        <v/>
      </c>
      <c r="P394" s="106" t="str">
        <f>IFERROR(__xludf.DUMMYFUNCTION("""COMPUTED_VALUE"""),"")</f>
        <v/>
      </c>
      <c r="R394" s="136" t="str">
        <f>IFERROR(__xludf.DUMMYFUNCTION("""COMPUTED_VALUE"""),"")</f>
        <v/>
      </c>
      <c r="S394" s="106" t="str">
        <f>IFERROR(__xludf.DUMMYFUNCTION("""COMPUTED_VALUE"""),"")</f>
        <v/>
      </c>
    </row>
    <row r="395">
      <c r="A395" s="136" t="s">
        <v>18</v>
      </c>
      <c r="B395" s="146">
        <v>46134.0</v>
      </c>
      <c r="C395" s="136" t="s">
        <v>45</v>
      </c>
      <c r="D395" s="136" t="s">
        <v>148</v>
      </c>
      <c r="E395" s="106">
        <v>0.06805555555911269</v>
      </c>
      <c r="F395" s="136" t="str">
        <f>IFERROR(__xludf.DUMMYFUNCTION("""COMPUTED_VALUE"""),"")</f>
        <v/>
      </c>
      <c r="G395" s="106" t="str">
        <f>IFERROR(__xludf.DUMMYFUNCTION("""COMPUTED_VALUE"""),"")</f>
        <v/>
      </c>
      <c r="I395" s="136" t="str">
        <f>IFERROR(__xludf.DUMMYFUNCTION("""COMPUTED_VALUE"""),"")</f>
        <v/>
      </c>
      <c r="J395" s="106" t="str">
        <f>IFERROR(__xludf.DUMMYFUNCTION("""COMPUTED_VALUE"""),"")</f>
        <v/>
      </c>
      <c r="L395" s="136" t="str">
        <f>IFERROR(__xludf.DUMMYFUNCTION("""COMPUTED_VALUE"""),"")</f>
        <v/>
      </c>
      <c r="M395" s="106" t="str">
        <f>IFERROR(__xludf.DUMMYFUNCTION("""COMPUTED_VALUE"""),"")</f>
        <v/>
      </c>
      <c r="O395" s="136" t="str">
        <f>IFERROR(__xludf.DUMMYFUNCTION("""COMPUTED_VALUE"""),"")</f>
        <v/>
      </c>
      <c r="P395" s="106" t="str">
        <f>IFERROR(__xludf.DUMMYFUNCTION("""COMPUTED_VALUE"""),"")</f>
        <v/>
      </c>
      <c r="R395" s="136" t="str">
        <f>IFERROR(__xludf.DUMMYFUNCTION("""COMPUTED_VALUE"""),"")</f>
        <v/>
      </c>
      <c r="S395" s="106" t="str">
        <f>IFERROR(__xludf.DUMMYFUNCTION("""COMPUTED_VALUE"""),"")</f>
        <v/>
      </c>
    </row>
    <row r="396">
      <c r="A396" s="136" t="s">
        <v>18</v>
      </c>
      <c r="B396" s="146">
        <v>46134.0</v>
      </c>
      <c r="C396" s="136" t="s">
        <v>45</v>
      </c>
      <c r="D396" s="136" t="s">
        <v>149</v>
      </c>
      <c r="E396" s="106">
        <v>0.16666666666424135</v>
      </c>
      <c r="F396" s="136">
        <f>IFERROR(__xludf.DUMMYFUNCTION("""COMPUTED_VALUE"""),0.0)</f>
        <v>0</v>
      </c>
      <c r="G396" s="106">
        <f>IFERROR(__xludf.DUMMYFUNCTION("""COMPUTED_VALUE"""),0.0)</f>
        <v>0</v>
      </c>
      <c r="I396" s="136">
        <f>IFERROR(__xludf.DUMMYFUNCTION("""COMPUTED_VALUE"""),0.0)</f>
        <v>0</v>
      </c>
      <c r="J396" s="106">
        <f>IFERROR(__xludf.DUMMYFUNCTION("""COMPUTED_VALUE"""),0.0)</f>
        <v>0</v>
      </c>
      <c r="L396" s="136">
        <f>IFERROR(__xludf.DUMMYFUNCTION("""COMPUTED_VALUE"""),91.0)</f>
        <v>91</v>
      </c>
      <c r="M396" s="106">
        <f>IFERROR(__xludf.DUMMYFUNCTION("""COMPUTED_VALUE"""),0.07986111111677019)</f>
        <v>0.07986111112</v>
      </c>
      <c r="O396" s="136">
        <f>IFERROR(__xludf.DUMMYFUNCTION("""COMPUTED_VALUE"""),0.0)</f>
        <v>0</v>
      </c>
      <c r="P396" s="106">
        <f>IFERROR(__xludf.DUMMYFUNCTION("""COMPUTED_VALUE"""),0.0)</f>
        <v>0</v>
      </c>
      <c r="R396" s="136">
        <f>IFERROR(__xludf.DUMMYFUNCTION("""COMPUTED_VALUE"""),349.0)</f>
        <v>349</v>
      </c>
      <c r="S396" s="106">
        <f>IFERROR(__xludf.DUMMYFUNCTION("""COMPUTED_VALUE"""),0.35972222222335404)</f>
        <v>0.3597222222</v>
      </c>
    </row>
    <row r="397">
      <c r="A397" s="136" t="s">
        <v>18</v>
      </c>
      <c r="B397" s="146">
        <v>46134.0</v>
      </c>
      <c r="C397" s="136" t="s">
        <v>45</v>
      </c>
      <c r="D397" s="136" t="s">
        <v>148</v>
      </c>
      <c r="E397" s="106">
        <v>0.125</v>
      </c>
      <c r="F397" s="136" t="str">
        <f>IFERROR(__xludf.DUMMYFUNCTION("""COMPUTED_VALUE"""),"")</f>
        <v/>
      </c>
      <c r="G397" s="106" t="str">
        <f>IFERROR(__xludf.DUMMYFUNCTION("""COMPUTED_VALUE"""),"")</f>
        <v/>
      </c>
      <c r="I397" s="136" t="str">
        <f>IFERROR(__xludf.DUMMYFUNCTION("""COMPUTED_VALUE"""),"")</f>
        <v/>
      </c>
      <c r="J397" s="106" t="str">
        <f>IFERROR(__xludf.DUMMYFUNCTION("""COMPUTED_VALUE"""),"")</f>
        <v/>
      </c>
      <c r="L397" s="136" t="str">
        <f>IFERROR(__xludf.DUMMYFUNCTION("""COMPUTED_VALUE"""),"")</f>
        <v/>
      </c>
      <c r="M397" s="106" t="str">
        <f>IFERROR(__xludf.DUMMYFUNCTION("""COMPUTED_VALUE"""),"")</f>
        <v/>
      </c>
      <c r="O397" s="136" t="str">
        <f>IFERROR(__xludf.DUMMYFUNCTION("""COMPUTED_VALUE"""),"")</f>
        <v/>
      </c>
      <c r="P397" s="106" t="str">
        <f>IFERROR(__xludf.DUMMYFUNCTION("""COMPUTED_VALUE"""),"")</f>
        <v/>
      </c>
      <c r="R397" s="136" t="str">
        <f>IFERROR(__xludf.DUMMYFUNCTION("""COMPUTED_VALUE"""),"")</f>
        <v/>
      </c>
      <c r="S397" s="106" t="str">
        <f>IFERROR(__xludf.DUMMYFUNCTION("""COMPUTED_VALUE"""),"")</f>
        <v/>
      </c>
    </row>
    <row r="398">
      <c r="A398" s="136" t="s">
        <v>134</v>
      </c>
      <c r="B398" s="146">
        <v>46135.0</v>
      </c>
      <c r="C398" s="136" t="s">
        <v>49</v>
      </c>
      <c r="D398" s="136" t="s">
        <v>149</v>
      </c>
      <c r="E398" s="106">
        <v>0.10138888889196096</v>
      </c>
      <c r="F398" s="136" t="str">
        <f>IFERROR(__xludf.DUMMYFUNCTION("""COMPUTED_VALUE"""),"")</f>
        <v/>
      </c>
      <c r="G398" s="106" t="str">
        <f>IFERROR(__xludf.DUMMYFUNCTION("""COMPUTED_VALUE"""),"")</f>
        <v/>
      </c>
      <c r="I398" s="136" t="str">
        <f>IFERROR(__xludf.DUMMYFUNCTION("""COMPUTED_VALUE"""),"")</f>
        <v/>
      </c>
      <c r="J398" s="106" t="str">
        <f>IFERROR(__xludf.DUMMYFUNCTION("""COMPUTED_VALUE"""),"")</f>
        <v/>
      </c>
      <c r="L398" s="136" t="str">
        <f>IFERROR(__xludf.DUMMYFUNCTION("""COMPUTED_VALUE"""),"")</f>
        <v/>
      </c>
      <c r="M398" s="106" t="str">
        <f>IFERROR(__xludf.DUMMYFUNCTION("""COMPUTED_VALUE"""),"")</f>
        <v/>
      </c>
      <c r="O398" s="136" t="str">
        <f>IFERROR(__xludf.DUMMYFUNCTION("""COMPUTED_VALUE"""),"")</f>
        <v/>
      </c>
      <c r="P398" s="106" t="str">
        <f>IFERROR(__xludf.DUMMYFUNCTION("""COMPUTED_VALUE"""),"")</f>
        <v/>
      </c>
      <c r="R398" s="136" t="str">
        <f>IFERROR(__xludf.DUMMYFUNCTION("""COMPUTED_VALUE"""),"")</f>
        <v/>
      </c>
      <c r="S398" s="106" t="str">
        <f>IFERROR(__xludf.DUMMYFUNCTION("""COMPUTED_VALUE"""),"")</f>
        <v/>
      </c>
    </row>
    <row r="399">
      <c r="A399" s="136" t="s">
        <v>15</v>
      </c>
      <c r="B399" s="146">
        <v>46135.0</v>
      </c>
      <c r="C399" s="136" t="s">
        <v>49</v>
      </c>
      <c r="D399" s="136" t="s">
        <v>148</v>
      </c>
      <c r="E399" s="106">
        <v>0.05208333333575865</v>
      </c>
      <c r="F399" s="136" t="str">
        <f>IFERROR(__xludf.DUMMYFUNCTION("""COMPUTED_VALUE"""),"")</f>
        <v/>
      </c>
      <c r="G399" s="106" t="str">
        <f>IFERROR(__xludf.DUMMYFUNCTION("""COMPUTED_VALUE"""),"")</f>
        <v/>
      </c>
      <c r="I399" s="136" t="str">
        <f>IFERROR(__xludf.DUMMYFUNCTION("""COMPUTED_VALUE"""),"")</f>
        <v/>
      </c>
      <c r="J399" s="106" t="str">
        <f>IFERROR(__xludf.DUMMYFUNCTION("""COMPUTED_VALUE"""),"")</f>
        <v/>
      </c>
      <c r="L399" s="136" t="str">
        <f>IFERROR(__xludf.DUMMYFUNCTION("""COMPUTED_VALUE"""),"")</f>
        <v/>
      </c>
      <c r="M399" s="106" t="str">
        <f>IFERROR(__xludf.DUMMYFUNCTION("""COMPUTED_VALUE"""),"")</f>
        <v/>
      </c>
      <c r="O399" s="136" t="str">
        <f>IFERROR(__xludf.DUMMYFUNCTION("""COMPUTED_VALUE"""),"")</f>
        <v/>
      </c>
      <c r="P399" s="106" t="str">
        <f>IFERROR(__xludf.DUMMYFUNCTION("""COMPUTED_VALUE"""),"")</f>
        <v/>
      </c>
      <c r="R399" s="136" t="str">
        <f>IFERROR(__xludf.DUMMYFUNCTION("""COMPUTED_VALUE"""),"")</f>
        <v/>
      </c>
      <c r="S399" s="106" t="str">
        <f>IFERROR(__xludf.DUMMYFUNCTION("""COMPUTED_VALUE"""),"")</f>
        <v/>
      </c>
    </row>
    <row r="400">
      <c r="A400" s="136" t="s">
        <v>15</v>
      </c>
      <c r="B400" s="146">
        <v>46135.0</v>
      </c>
      <c r="C400" s="136" t="s">
        <v>49</v>
      </c>
      <c r="D400" s="136" t="s">
        <v>149</v>
      </c>
      <c r="E400" s="106">
        <v>0.07986111110949423</v>
      </c>
      <c r="F400" s="136" t="str">
        <f>IFERROR(__xludf.DUMMYFUNCTION("""COMPUTED_VALUE"""),"")</f>
        <v/>
      </c>
      <c r="G400" s="106" t="str">
        <f>IFERROR(__xludf.DUMMYFUNCTION("""COMPUTED_VALUE"""),"")</f>
        <v/>
      </c>
      <c r="I400" s="136" t="str">
        <f>IFERROR(__xludf.DUMMYFUNCTION("""COMPUTED_VALUE"""),"")</f>
        <v/>
      </c>
      <c r="J400" s="106" t="str">
        <f>IFERROR(__xludf.DUMMYFUNCTION("""COMPUTED_VALUE"""),"")</f>
        <v/>
      </c>
      <c r="L400" s="136" t="str">
        <f>IFERROR(__xludf.DUMMYFUNCTION("""COMPUTED_VALUE"""),"")</f>
        <v/>
      </c>
      <c r="M400" s="106" t="str">
        <f>IFERROR(__xludf.DUMMYFUNCTION("""COMPUTED_VALUE"""),"")</f>
        <v/>
      </c>
      <c r="O400" s="136" t="str">
        <f>IFERROR(__xludf.DUMMYFUNCTION("""COMPUTED_VALUE"""),"")</f>
        <v/>
      </c>
      <c r="P400" s="106" t="str">
        <f>IFERROR(__xludf.DUMMYFUNCTION("""COMPUTED_VALUE"""),"")</f>
        <v/>
      </c>
      <c r="R400" s="136" t="str">
        <f>IFERROR(__xludf.DUMMYFUNCTION("""COMPUTED_VALUE"""),"")</f>
        <v/>
      </c>
      <c r="S400" s="106" t="str">
        <f>IFERROR(__xludf.DUMMYFUNCTION("""COMPUTED_VALUE"""),"")</f>
        <v/>
      </c>
    </row>
    <row r="401">
      <c r="A401" s="136" t="s">
        <v>15</v>
      </c>
      <c r="B401" s="146">
        <v>46135.0</v>
      </c>
      <c r="C401" s="136" t="s">
        <v>49</v>
      </c>
      <c r="D401" s="136" t="s">
        <v>149</v>
      </c>
      <c r="E401" s="106">
        <v>0.05902777777373558</v>
      </c>
      <c r="F401" s="136">
        <f>IFERROR(__xludf.DUMMYFUNCTION("""COMPUTED_VALUE"""),0.0)</f>
        <v>0</v>
      </c>
      <c r="G401" s="106">
        <f>IFERROR(__xludf.DUMMYFUNCTION("""COMPUTED_VALUE"""),0.0)</f>
        <v>0</v>
      </c>
      <c r="I401" s="136">
        <f>IFERROR(__xludf.DUMMYFUNCTION("""COMPUTED_VALUE"""),77.0)</f>
        <v>77</v>
      </c>
      <c r="J401" s="106">
        <f>IFERROR(__xludf.DUMMYFUNCTION("""COMPUTED_VALUE"""),0.10138888889196096)</f>
        <v>0.1013888889</v>
      </c>
      <c r="L401" s="136">
        <f>IFERROR(__xludf.DUMMYFUNCTION("""COMPUTED_VALUE"""),264.0)</f>
        <v>264</v>
      </c>
      <c r="M401" s="106">
        <f>IFERROR(__xludf.DUMMYFUNCTION("""COMPUTED_VALUE"""),0.19097222221898846)</f>
        <v>0.1909722222</v>
      </c>
      <c r="O401" s="136">
        <f>IFERROR(__xludf.DUMMYFUNCTION("""COMPUTED_VALUE"""),0.0)</f>
        <v>0</v>
      </c>
      <c r="P401" s="106">
        <f>IFERROR(__xludf.DUMMYFUNCTION("""COMPUTED_VALUE"""),0.0)</f>
        <v>0</v>
      </c>
      <c r="R401" s="136">
        <f>IFERROR(__xludf.DUMMYFUNCTION("""COMPUTED_VALUE"""),252.0)</f>
        <v>252</v>
      </c>
      <c r="S401" s="106">
        <f>IFERROR(__xludf.DUMMYFUNCTION("""COMPUTED_VALUE"""),0.2326388888832298)</f>
        <v>0.2326388889</v>
      </c>
    </row>
    <row r="402">
      <c r="A402" s="136" t="s">
        <v>18</v>
      </c>
      <c r="B402" s="146">
        <v>46135.0</v>
      </c>
      <c r="C402" s="136" t="s">
        <v>49</v>
      </c>
      <c r="D402" s="136" t="s">
        <v>148</v>
      </c>
      <c r="E402" s="106">
        <v>0.07291666666424135</v>
      </c>
      <c r="F402" s="136">
        <f>IFERROR(__xludf.DUMMYFUNCTION("""COMPUTED_VALUE"""),0.0)</f>
        <v>0</v>
      </c>
      <c r="G402" s="106">
        <f>IFERROR(__xludf.DUMMYFUNCTION("""COMPUTED_VALUE"""),0.0)</f>
        <v>0</v>
      </c>
      <c r="I402" s="136">
        <f>IFERROR(__xludf.DUMMYFUNCTION("""COMPUTED_VALUE"""),0.0)</f>
        <v>0</v>
      </c>
      <c r="J402" s="106">
        <f>IFERROR(__xludf.DUMMYFUNCTION("""COMPUTED_VALUE"""),0.0)</f>
        <v>0</v>
      </c>
      <c r="L402" s="136">
        <f>IFERROR(__xludf.DUMMYFUNCTION("""COMPUTED_VALUE"""),296.0)</f>
        <v>296</v>
      </c>
      <c r="M402" s="106">
        <f>IFERROR(__xludf.DUMMYFUNCTION("""COMPUTED_VALUE"""),0.13194444443797693)</f>
        <v>0.1319444444</v>
      </c>
      <c r="O402" s="136">
        <f>IFERROR(__xludf.DUMMYFUNCTION("""COMPUTED_VALUE"""),0.0)</f>
        <v>0</v>
      </c>
      <c r="P402" s="106">
        <f>IFERROR(__xludf.DUMMYFUNCTION("""COMPUTED_VALUE"""),0.0)</f>
        <v>0</v>
      </c>
      <c r="R402" s="136">
        <f>IFERROR(__xludf.DUMMYFUNCTION("""COMPUTED_VALUE"""),86.0)</f>
        <v>86</v>
      </c>
      <c r="S402" s="106">
        <f>IFERROR(__xludf.DUMMYFUNCTION("""COMPUTED_VALUE"""),0.09027777778101154)</f>
        <v>0.09027777778</v>
      </c>
    </row>
    <row r="403">
      <c r="A403" s="136" t="s">
        <v>18</v>
      </c>
      <c r="B403" s="146">
        <v>46133.0</v>
      </c>
      <c r="C403" s="136" t="s">
        <v>41</v>
      </c>
      <c r="D403" s="136" t="s">
        <v>149</v>
      </c>
      <c r="E403" s="106">
        <v>0.09027777778101154</v>
      </c>
      <c r="F403" s="136">
        <f>IFERROR(__xludf.DUMMYFUNCTION("""COMPUTED_VALUE"""),0.0)</f>
        <v>0</v>
      </c>
      <c r="G403" s="106">
        <f>IFERROR(__xludf.DUMMYFUNCTION("""COMPUTED_VALUE"""),0.0)</f>
        <v>0</v>
      </c>
      <c r="I403" s="136">
        <f>IFERROR(__xludf.DUMMYFUNCTION("""COMPUTED_VALUE"""),77.0)</f>
        <v>77</v>
      </c>
      <c r="J403" s="106">
        <f>IFERROR(__xludf.DUMMYFUNCTION("""COMPUTED_VALUE"""),0.10138888889196096)</f>
        <v>0.1013888889</v>
      </c>
      <c r="L403" s="136">
        <f>IFERROR(__xludf.DUMMYFUNCTION("""COMPUTED_VALUE"""),264.0)</f>
        <v>264</v>
      </c>
      <c r="M403" s="106">
        <f>IFERROR(__xludf.DUMMYFUNCTION("""COMPUTED_VALUE"""),0.19097222221898846)</f>
        <v>0.1909722222</v>
      </c>
      <c r="O403" s="136">
        <f>IFERROR(__xludf.DUMMYFUNCTION("""COMPUTED_VALUE"""),0.0)</f>
        <v>0</v>
      </c>
      <c r="P403" s="106">
        <f>IFERROR(__xludf.DUMMYFUNCTION("""COMPUTED_VALUE"""),0.0)</f>
        <v>0</v>
      </c>
      <c r="R403" s="136">
        <f>IFERROR(__xludf.DUMMYFUNCTION("""COMPUTED_VALUE"""),252.0)</f>
        <v>252</v>
      </c>
      <c r="S403" s="106">
        <f>IFERROR(__xludf.DUMMYFUNCTION("""COMPUTED_VALUE"""),0.2326388888832298)</f>
        <v>0.2326388889</v>
      </c>
    </row>
    <row r="404">
      <c r="A404" s="136" t="s">
        <v>18</v>
      </c>
      <c r="B404" s="146">
        <v>46135.0</v>
      </c>
      <c r="C404" s="136" t="s">
        <v>49</v>
      </c>
      <c r="D404" s="136" t="s">
        <v>149</v>
      </c>
      <c r="E404" s="106">
        <v>0.15972222221898846</v>
      </c>
      <c r="F404" s="136" t="str">
        <f>IFERROR(__xludf.DUMMYFUNCTION("""COMPUTED_VALUE"""),"")</f>
        <v/>
      </c>
      <c r="G404" s="106" t="str">
        <f>IFERROR(__xludf.DUMMYFUNCTION("""COMPUTED_VALUE"""),"")</f>
        <v/>
      </c>
      <c r="I404" s="136" t="str">
        <f>IFERROR(__xludf.DUMMYFUNCTION("""COMPUTED_VALUE"""),"")</f>
        <v/>
      </c>
      <c r="J404" s="106" t="str">
        <f>IFERROR(__xludf.DUMMYFUNCTION("""COMPUTED_VALUE"""),"")</f>
        <v/>
      </c>
      <c r="L404" s="136" t="str">
        <f>IFERROR(__xludf.DUMMYFUNCTION("""COMPUTED_VALUE"""),"")</f>
        <v/>
      </c>
      <c r="M404" s="106" t="str">
        <f>IFERROR(__xludf.DUMMYFUNCTION("""COMPUTED_VALUE"""),"")</f>
        <v/>
      </c>
      <c r="O404" s="136" t="str">
        <f>IFERROR(__xludf.DUMMYFUNCTION("""COMPUTED_VALUE"""),"")</f>
        <v/>
      </c>
      <c r="P404" s="106" t="str">
        <f>IFERROR(__xludf.DUMMYFUNCTION("""COMPUTED_VALUE"""),"")</f>
        <v/>
      </c>
      <c r="R404" s="136" t="str">
        <f>IFERROR(__xludf.DUMMYFUNCTION("""COMPUTED_VALUE"""),"")</f>
        <v/>
      </c>
      <c r="S404" s="106" t="str">
        <f>IFERROR(__xludf.DUMMYFUNCTION("""COMPUTED_VALUE"""),"")</f>
        <v/>
      </c>
    </row>
    <row r="405">
      <c r="A405" s="136" t="s">
        <v>12</v>
      </c>
      <c r="B405" s="146">
        <v>46136.0</v>
      </c>
      <c r="C405" s="136" t="s">
        <v>53</v>
      </c>
      <c r="D405" s="136" t="s">
        <v>149</v>
      </c>
      <c r="E405" s="106">
        <v>0.0625</v>
      </c>
      <c r="F405" s="136" t="str">
        <f>IFERROR(__xludf.DUMMYFUNCTION("""COMPUTED_VALUE"""),"")</f>
        <v/>
      </c>
      <c r="G405" s="106" t="str">
        <f>IFERROR(__xludf.DUMMYFUNCTION("""COMPUTED_VALUE"""),"")</f>
        <v/>
      </c>
      <c r="I405" s="136" t="str">
        <f>IFERROR(__xludf.DUMMYFUNCTION("""COMPUTED_VALUE"""),"")</f>
        <v/>
      </c>
      <c r="J405" s="106" t="str">
        <f>IFERROR(__xludf.DUMMYFUNCTION("""COMPUTED_VALUE"""),"")</f>
        <v/>
      </c>
      <c r="L405" s="136" t="str">
        <f>IFERROR(__xludf.DUMMYFUNCTION("""COMPUTED_VALUE"""),"")</f>
        <v/>
      </c>
      <c r="M405" s="106" t="str">
        <f>IFERROR(__xludf.DUMMYFUNCTION("""COMPUTED_VALUE"""),"")</f>
        <v/>
      </c>
      <c r="O405" s="136" t="str">
        <f>IFERROR(__xludf.DUMMYFUNCTION("""COMPUTED_VALUE"""),"")</f>
        <v/>
      </c>
      <c r="P405" s="106" t="str">
        <f>IFERROR(__xludf.DUMMYFUNCTION("""COMPUTED_VALUE"""),"")</f>
        <v/>
      </c>
      <c r="R405" s="136" t="str">
        <f>IFERROR(__xludf.DUMMYFUNCTION("""COMPUTED_VALUE"""),"")</f>
        <v/>
      </c>
      <c r="S405" s="106" t="str">
        <f>IFERROR(__xludf.DUMMYFUNCTION("""COMPUTED_VALUE"""),"")</f>
        <v/>
      </c>
    </row>
    <row r="406">
      <c r="A406" s="136" t="s">
        <v>15</v>
      </c>
      <c r="B406" s="146">
        <v>46136.0</v>
      </c>
      <c r="C406" s="136" t="s">
        <v>53</v>
      </c>
      <c r="D406" s="136" t="s">
        <v>149</v>
      </c>
      <c r="E406" s="106">
        <v>0.0625</v>
      </c>
      <c r="F406" s="136" t="str">
        <f>IFERROR(__xludf.DUMMYFUNCTION("""COMPUTED_VALUE"""),"")</f>
        <v/>
      </c>
      <c r="G406" s="106" t="str">
        <f>IFERROR(__xludf.DUMMYFUNCTION("""COMPUTED_VALUE"""),"")</f>
        <v/>
      </c>
      <c r="I406" s="136" t="str">
        <f>IFERROR(__xludf.DUMMYFUNCTION("""COMPUTED_VALUE"""),"")</f>
        <v/>
      </c>
      <c r="J406" s="106" t="str">
        <f>IFERROR(__xludf.DUMMYFUNCTION("""COMPUTED_VALUE"""),"")</f>
        <v/>
      </c>
      <c r="L406" s="136" t="str">
        <f>IFERROR(__xludf.DUMMYFUNCTION("""COMPUTED_VALUE"""),"")</f>
        <v/>
      </c>
      <c r="M406" s="106" t="str">
        <f>IFERROR(__xludf.DUMMYFUNCTION("""COMPUTED_VALUE"""),"")</f>
        <v/>
      </c>
      <c r="O406" s="136" t="str">
        <f>IFERROR(__xludf.DUMMYFUNCTION("""COMPUTED_VALUE"""),"")</f>
        <v/>
      </c>
      <c r="P406" s="106" t="str">
        <f>IFERROR(__xludf.DUMMYFUNCTION("""COMPUTED_VALUE"""),"")</f>
        <v/>
      </c>
      <c r="R406" s="136" t="str">
        <f>IFERROR(__xludf.DUMMYFUNCTION("""COMPUTED_VALUE"""),"")</f>
        <v/>
      </c>
      <c r="S406" s="106" t="str">
        <f>IFERROR(__xludf.DUMMYFUNCTION("""COMPUTED_VALUE"""),"")</f>
        <v/>
      </c>
    </row>
    <row r="407">
      <c r="A407" s="136" t="s">
        <v>18</v>
      </c>
      <c r="B407" s="146">
        <v>46136.0</v>
      </c>
      <c r="C407" s="136" t="s">
        <v>53</v>
      </c>
      <c r="D407" s="136" t="s">
        <v>148</v>
      </c>
      <c r="E407" s="106">
        <v>0.08333333333575865</v>
      </c>
      <c r="F407" s="136">
        <f>IFERROR(__xludf.DUMMYFUNCTION("""COMPUTED_VALUE"""),63.0)</f>
        <v>63</v>
      </c>
      <c r="G407" s="106">
        <f>IFERROR(__xludf.DUMMYFUNCTION("""COMPUTED_VALUE"""),0.0625)</f>
        <v>0.0625</v>
      </c>
      <c r="I407" s="136">
        <f>IFERROR(__xludf.DUMMYFUNCTION("""COMPUTED_VALUE"""),0.0)</f>
        <v>0</v>
      </c>
      <c r="J407" s="106">
        <f>IFERROR(__xludf.DUMMYFUNCTION("""COMPUTED_VALUE"""),0.0)</f>
        <v>0</v>
      </c>
      <c r="L407" s="136">
        <f>IFERROR(__xludf.DUMMYFUNCTION("""COMPUTED_VALUE"""),260.0)</f>
        <v>260</v>
      </c>
      <c r="M407" s="106">
        <f>IFERROR(__xludf.DUMMYFUNCTION("""COMPUTED_VALUE"""),0.20347222222335404)</f>
        <v>0.2034722222</v>
      </c>
      <c r="O407" s="136">
        <f>IFERROR(__xludf.DUMMYFUNCTION("""COMPUTED_VALUE"""),0.0)</f>
        <v>0</v>
      </c>
      <c r="P407" s="106">
        <f>IFERROR(__xludf.DUMMYFUNCTION("""COMPUTED_VALUE"""),0.0)</f>
        <v>0</v>
      </c>
      <c r="R407" s="136">
        <f>IFERROR(__xludf.DUMMYFUNCTION("""COMPUTED_VALUE"""),91.0)</f>
        <v>91</v>
      </c>
      <c r="S407" s="106">
        <f>IFERROR(__xludf.DUMMYFUNCTION("""COMPUTED_VALUE"""),0.08333333333575865)</f>
        <v>0.08333333334</v>
      </c>
    </row>
    <row r="408">
      <c r="A408" s="136" t="s">
        <v>15</v>
      </c>
      <c r="B408" s="146">
        <v>46136.0</v>
      </c>
      <c r="C408" s="136" t="s">
        <v>53</v>
      </c>
      <c r="D408" s="136" t="s">
        <v>148</v>
      </c>
      <c r="E408" s="106">
        <v>0.14097222222335404</v>
      </c>
      <c r="F408" s="136" t="str">
        <f>IFERROR(__xludf.DUMMYFUNCTION("""COMPUTED_VALUE"""),"")</f>
        <v/>
      </c>
      <c r="G408" s="106" t="str">
        <f>IFERROR(__xludf.DUMMYFUNCTION("""COMPUTED_VALUE"""),"")</f>
        <v/>
      </c>
      <c r="I408" s="136" t="str">
        <f>IFERROR(__xludf.DUMMYFUNCTION("""COMPUTED_VALUE"""),"")</f>
        <v/>
      </c>
      <c r="J408" s="106" t="str">
        <f>IFERROR(__xludf.DUMMYFUNCTION("""COMPUTED_VALUE"""),"")</f>
        <v/>
      </c>
      <c r="L408" s="136" t="str">
        <f>IFERROR(__xludf.DUMMYFUNCTION("""COMPUTED_VALUE"""),"")</f>
        <v/>
      </c>
      <c r="M408" s="106" t="str">
        <f>IFERROR(__xludf.DUMMYFUNCTION("""COMPUTED_VALUE"""),"")</f>
        <v/>
      </c>
      <c r="O408" s="136" t="str">
        <f>IFERROR(__xludf.DUMMYFUNCTION("""COMPUTED_VALUE"""),"")</f>
        <v/>
      </c>
      <c r="P408" s="106" t="str">
        <f>IFERROR(__xludf.DUMMYFUNCTION("""COMPUTED_VALUE"""),"")</f>
        <v/>
      </c>
      <c r="R408" s="136" t="str">
        <f>IFERROR(__xludf.DUMMYFUNCTION("""COMPUTED_VALUE"""),"")</f>
        <v/>
      </c>
      <c r="S408" s="106" t="str">
        <f>IFERROR(__xludf.DUMMYFUNCTION("""COMPUTED_VALUE"""),"")</f>
        <v/>
      </c>
    </row>
    <row r="409">
      <c r="A409" s="136" t="s">
        <v>12</v>
      </c>
      <c r="B409" s="146">
        <v>46139.0</v>
      </c>
      <c r="C409" s="136" t="s">
        <v>37</v>
      </c>
      <c r="D409" s="136" t="s">
        <v>149</v>
      </c>
      <c r="E409" s="106">
        <v>0.061805555553291924</v>
      </c>
      <c r="F409" s="136" t="str">
        <f>IFERROR(__xludf.DUMMYFUNCTION("""COMPUTED_VALUE"""),"")</f>
        <v/>
      </c>
      <c r="G409" s="106" t="str">
        <f>IFERROR(__xludf.DUMMYFUNCTION("""COMPUTED_VALUE"""),"")</f>
        <v/>
      </c>
      <c r="I409" s="136" t="str">
        <f>IFERROR(__xludf.DUMMYFUNCTION("""COMPUTED_VALUE"""),"")</f>
        <v/>
      </c>
      <c r="J409" s="106" t="str">
        <f>IFERROR(__xludf.DUMMYFUNCTION("""COMPUTED_VALUE"""),"")</f>
        <v/>
      </c>
      <c r="L409" s="136" t="str">
        <f>IFERROR(__xludf.DUMMYFUNCTION("""COMPUTED_VALUE"""),"")</f>
        <v/>
      </c>
      <c r="M409" s="106" t="str">
        <f>IFERROR(__xludf.DUMMYFUNCTION("""COMPUTED_VALUE"""),"")</f>
        <v/>
      </c>
      <c r="O409" s="136" t="str">
        <f>IFERROR(__xludf.DUMMYFUNCTION("""COMPUTED_VALUE"""),"")</f>
        <v/>
      </c>
      <c r="P409" s="106" t="str">
        <f>IFERROR(__xludf.DUMMYFUNCTION("""COMPUTED_VALUE"""),"")</f>
        <v/>
      </c>
      <c r="R409" s="136" t="str">
        <f>IFERROR(__xludf.DUMMYFUNCTION("""COMPUTED_VALUE"""),"")</f>
        <v/>
      </c>
      <c r="S409" s="106" t="str">
        <f>IFERROR(__xludf.DUMMYFUNCTION("""COMPUTED_VALUE"""),"")</f>
        <v/>
      </c>
    </row>
    <row r="410">
      <c r="A410" s="136" t="s">
        <v>15</v>
      </c>
      <c r="B410" s="146">
        <v>46139.0</v>
      </c>
      <c r="C410" s="136" t="s">
        <v>37</v>
      </c>
      <c r="D410" s="136" t="s">
        <v>149</v>
      </c>
      <c r="E410" s="106">
        <v>0.09305555555329192</v>
      </c>
      <c r="F410" s="136" t="str">
        <f>IFERROR(__xludf.DUMMYFUNCTION("""COMPUTED_VALUE"""),"")</f>
        <v/>
      </c>
      <c r="G410" s="106" t="str">
        <f>IFERROR(__xludf.DUMMYFUNCTION("""COMPUTED_VALUE"""),"")</f>
        <v/>
      </c>
      <c r="I410" s="136" t="str">
        <f>IFERROR(__xludf.DUMMYFUNCTION("""COMPUTED_VALUE"""),"")</f>
        <v/>
      </c>
      <c r="J410" s="106" t="str">
        <f>IFERROR(__xludf.DUMMYFUNCTION("""COMPUTED_VALUE"""),"")</f>
        <v/>
      </c>
      <c r="L410" s="136" t="str">
        <f>IFERROR(__xludf.DUMMYFUNCTION("""COMPUTED_VALUE"""),"")</f>
        <v/>
      </c>
      <c r="M410" s="106" t="str">
        <f>IFERROR(__xludf.DUMMYFUNCTION("""COMPUTED_VALUE"""),"")</f>
        <v/>
      </c>
      <c r="O410" s="136" t="str">
        <f>IFERROR(__xludf.DUMMYFUNCTION("""COMPUTED_VALUE"""),"")</f>
        <v/>
      </c>
      <c r="P410" s="106" t="str">
        <f>IFERROR(__xludf.DUMMYFUNCTION("""COMPUTED_VALUE"""),"")</f>
        <v/>
      </c>
      <c r="R410" s="136" t="str">
        <f>IFERROR(__xludf.DUMMYFUNCTION("""COMPUTED_VALUE"""),"")</f>
        <v/>
      </c>
      <c r="S410" s="106" t="str">
        <f>IFERROR(__xludf.DUMMYFUNCTION("""COMPUTED_VALUE"""),"")</f>
        <v/>
      </c>
    </row>
    <row r="411">
      <c r="A411" s="136" t="s">
        <v>15</v>
      </c>
      <c r="B411" s="146">
        <v>46139.0</v>
      </c>
      <c r="C411" s="136" t="s">
        <v>37</v>
      </c>
      <c r="D411" s="136" t="s">
        <v>149</v>
      </c>
      <c r="E411" s="106">
        <v>0.03125</v>
      </c>
      <c r="F411" s="136">
        <f>IFERROR(__xludf.DUMMYFUNCTION("""COMPUTED_VALUE"""),49.0)</f>
        <v>49</v>
      </c>
      <c r="G411" s="106">
        <f>IFERROR(__xludf.DUMMYFUNCTION("""COMPUTED_VALUE"""),0.061805555553291924)</f>
        <v>0.06180555555</v>
      </c>
      <c r="I411" s="136">
        <f>IFERROR(__xludf.DUMMYFUNCTION("""COMPUTED_VALUE"""),0.0)</f>
        <v>0</v>
      </c>
      <c r="J411" s="106">
        <f>IFERROR(__xludf.DUMMYFUNCTION("""COMPUTED_VALUE"""),0.0)</f>
        <v>0</v>
      </c>
      <c r="L411" s="136">
        <f>IFERROR(__xludf.DUMMYFUNCTION("""COMPUTED_VALUE"""),160.0)</f>
        <v>160</v>
      </c>
      <c r="M411" s="106">
        <f>IFERROR(__xludf.DUMMYFUNCTION("""COMPUTED_VALUE"""),0.12430555555329192)</f>
        <v>0.1243055556</v>
      </c>
      <c r="O411" s="136">
        <f>IFERROR(__xludf.DUMMYFUNCTION("""COMPUTED_VALUE"""),0.0)</f>
        <v>0</v>
      </c>
      <c r="P411" s="106">
        <f>IFERROR(__xludf.DUMMYFUNCTION("""COMPUTED_VALUE"""),0.0)</f>
        <v>0</v>
      </c>
      <c r="R411" s="136">
        <f>IFERROR(__xludf.DUMMYFUNCTION("""COMPUTED_VALUE"""),138.0)</f>
        <v>138</v>
      </c>
      <c r="S411" s="106">
        <f>IFERROR(__xludf.DUMMYFUNCTION("""COMPUTED_VALUE"""),0.07569444444379769)</f>
        <v>0.07569444444</v>
      </c>
    </row>
    <row r="412">
      <c r="A412" s="136" t="s">
        <v>18</v>
      </c>
      <c r="B412" s="146">
        <v>46139.0</v>
      </c>
      <c r="C412" s="136" t="s">
        <v>37</v>
      </c>
      <c r="D412" s="136" t="s">
        <v>148</v>
      </c>
      <c r="E412" s="106">
        <v>0.07569444444379769</v>
      </c>
      <c r="F412" s="136" t="str">
        <f>IFERROR(__xludf.DUMMYFUNCTION("""COMPUTED_VALUE"""),"")</f>
        <v/>
      </c>
      <c r="G412" s="106" t="str">
        <f>IFERROR(__xludf.DUMMYFUNCTION("""COMPUTED_VALUE"""),"")</f>
        <v/>
      </c>
      <c r="I412" s="136" t="str">
        <f>IFERROR(__xludf.DUMMYFUNCTION("""COMPUTED_VALUE"""),"")</f>
        <v/>
      </c>
      <c r="J412" s="106" t="str">
        <f>IFERROR(__xludf.DUMMYFUNCTION("""COMPUTED_VALUE"""),"")</f>
        <v/>
      </c>
      <c r="L412" s="136" t="str">
        <f>IFERROR(__xludf.DUMMYFUNCTION("""COMPUTED_VALUE"""),"")</f>
        <v/>
      </c>
      <c r="M412" s="106" t="str">
        <f>IFERROR(__xludf.DUMMYFUNCTION("""COMPUTED_VALUE"""),"")</f>
        <v/>
      </c>
      <c r="O412" s="136" t="str">
        <f>IFERROR(__xludf.DUMMYFUNCTION("""COMPUTED_VALUE"""),"")</f>
        <v/>
      </c>
      <c r="P412" s="106" t="str">
        <f>IFERROR(__xludf.DUMMYFUNCTION("""COMPUTED_VALUE"""),"")</f>
        <v/>
      </c>
      <c r="R412" s="136" t="str">
        <f>IFERROR(__xludf.DUMMYFUNCTION("""COMPUTED_VALUE"""),"")</f>
        <v/>
      </c>
      <c r="S412" s="106" t="str">
        <f>IFERROR(__xludf.DUMMYFUNCTION("""COMPUTED_VALUE"""),"")</f>
        <v/>
      </c>
    </row>
    <row r="413">
      <c r="A413" s="136" t="s">
        <v>15</v>
      </c>
      <c r="B413" s="146">
        <v>46140.0</v>
      </c>
      <c r="C413" s="136" t="s">
        <v>41</v>
      </c>
      <c r="D413" s="136" t="s">
        <v>148</v>
      </c>
      <c r="E413" s="106">
        <v>0.06944444443797693</v>
      </c>
      <c r="F413" s="136" t="str">
        <f>IFERROR(__xludf.DUMMYFUNCTION("""COMPUTED_VALUE"""),"")</f>
        <v/>
      </c>
      <c r="G413" s="106" t="str">
        <f>IFERROR(__xludf.DUMMYFUNCTION("""COMPUTED_VALUE"""),"")</f>
        <v/>
      </c>
      <c r="I413" s="136" t="str">
        <f>IFERROR(__xludf.DUMMYFUNCTION("""COMPUTED_VALUE"""),"")</f>
        <v/>
      </c>
      <c r="J413" s="106" t="str">
        <f>IFERROR(__xludf.DUMMYFUNCTION("""COMPUTED_VALUE"""),"")</f>
        <v/>
      </c>
      <c r="L413" s="136" t="str">
        <f>IFERROR(__xludf.DUMMYFUNCTION("""COMPUTED_VALUE"""),"")</f>
        <v/>
      </c>
      <c r="M413" s="106" t="str">
        <f>IFERROR(__xludf.DUMMYFUNCTION("""COMPUTED_VALUE"""),"")</f>
        <v/>
      </c>
      <c r="O413" s="136" t="str">
        <f>IFERROR(__xludf.DUMMYFUNCTION("""COMPUTED_VALUE"""),"")</f>
        <v/>
      </c>
      <c r="P413" s="106" t="str">
        <f>IFERROR(__xludf.DUMMYFUNCTION("""COMPUTED_VALUE"""),"")</f>
        <v/>
      </c>
      <c r="R413" s="136" t="str">
        <f>IFERROR(__xludf.DUMMYFUNCTION("""COMPUTED_VALUE"""),"")</f>
        <v/>
      </c>
      <c r="S413" s="106" t="str">
        <f>IFERROR(__xludf.DUMMYFUNCTION("""COMPUTED_VALUE"""),"")</f>
        <v/>
      </c>
    </row>
    <row r="414">
      <c r="A414" s="136" t="s">
        <v>18</v>
      </c>
      <c r="B414" s="146">
        <v>46140.0</v>
      </c>
      <c r="C414" s="136" t="s">
        <v>41</v>
      </c>
      <c r="D414" s="136" t="s">
        <v>149</v>
      </c>
      <c r="E414" s="106">
        <v>0.15972222221898846</v>
      </c>
      <c r="F414" s="136">
        <f>IFERROR(__xludf.DUMMYFUNCTION("""COMPUTED_VALUE"""),0.0)</f>
        <v>0</v>
      </c>
      <c r="G414" s="106">
        <f>IFERROR(__xludf.DUMMYFUNCTION("""COMPUTED_VALUE"""),0.0)</f>
        <v>0</v>
      </c>
      <c r="I414" s="136">
        <f>IFERROR(__xludf.DUMMYFUNCTION("""COMPUTED_VALUE"""),108.0)</f>
        <v>108</v>
      </c>
      <c r="J414" s="106">
        <f>IFERROR(__xludf.DUMMYFUNCTION("""COMPUTED_VALUE"""),0.07291666666424135)</f>
        <v>0.07291666666</v>
      </c>
      <c r="L414" s="136">
        <f>IFERROR(__xludf.DUMMYFUNCTION("""COMPUTED_VALUE"""),209.0)</f>
        <v>209</v>
      </c>
      <c r="M414" s="106">
        <f>IFERROR(__xludf.DUMMYFUNCTION("""COMPUTED_VALUE"""),0.06944444443797693)</f>
        <v>0.06944444444</v>
      </c>
      <c r="O414" s="136">
        <f>IFERROR(__xludf.DUMMYFUNCTION("""COMPUTED_VALUE"""),0.0)</f>
        <v>0</v>
      </c>
      <c r="P414" s="106">
        <f>IFERROR(__xludf.DUMMYFUNCTION("""COMPUTED_VALUE"""),0.0)</f>
        <v>0</v>
      </c>
      <c r="R414" s="136">
        <f>IFERROR(__xludf.DUMMYFUNCTION("""COMPUTED_VALUE"""),131.0)</f>
        <v>131</v>
      </c>
      <c r="S414" s="106">
        <f>IFERROR(__xludf.DUMMYFUNCTION("""COMPUTED_VALUE"""),0.15972222221898846)</f>
        <v>0.1597222222</v>
      </c>
    </row>
    <row r="415">
      <c r="A415" s="136" t="s">
        <v>134</v>
      </c>
      <c r="B415" s="146">
        <v>46140.0</v>
      </c>
      <c r="C415" s="136" t="s">
        <v>41</v>
      </c>
      <c r="D415" s="136" t="s">
        <v>149</v>
      </c>
      <c r="E415" s="106">
        <v>0.07291666666424135</v>
      </c>
      <c r="F415" s="136" t="str">
        <f>IFERROR(__xludf.DUMMYFUNCTION("""COMPUTED_VALUE"""),"")</f>
        <v/>
      </c>
      <c r="G415" s="106" t="str">
        <f>IFERROR(__xludf.DUMMYFUNCTION("""COMPUTED_VALUE"""),"")</f>
        <v/>
      </c>
      <c r="I415" s="136" t="str">
        <f>IFERROR(__xludf.DUMMYFUNCTION("""COMPUTED_VALUE"""),"")</f>
        <v/>
      </c>
      <c r="J415" s="106" t="str">
        <f>IFERROR(__xludf.DUMMYFUNCTION("""COMPUTED_VALUE"""),"")</f>
        <v/>
      </c>
      <c r="L415" s="136" t="str">
        <f>IFERROR(__xludf.DUMMYFUNCTION("""COMPUTED_VALUE"""),"")</f>
        <v/>
      </c>
      <c r="M415" s="106" t="str">
        <f>IFERROR(__xludf.DUMMYFUNCTION("""COMPUTED_VALUE"""),"")</f>
        <v/>
      </c>
      <c r="O415" s="136" t="str">
        <f>IFERROR(__xludf.DUMMYFUNCTION("""COMPUTED_VALUE"""),"")</f>
        <v/>
      </c>
      <c r="P415" s="106" t="str">
        <f>IFERROR(__xludf.DUMMYFUNCTION("""COMPUTED_VALUE"""),"")</f>
        <v/>
      </c>
      <c r="R415" s="136" t="str">
        <f>IFERROR(__xludf.DUMMYFUNCTION("""COMPUTED_VALUE"""),"")</f>
        <v/>
      </c>
      <c r="S415" s="106" t="str">
        <f>IFERROR(__xludf.DUMMYFUNCTION("""COMPUTED_VALUE"""),"")</f>
        <v/>
      </c>
    </row>
    <row r="416">
      <c r="A416" s="136" t="s">
        <v>12</v>
      </c>
      <c r="B416" s="146">
        <v>46141.0</v>
      </c>
      <c r="C416" s="136" t="s">
        <v>45</v>
      </c>
      <c r="D416" s="136" t="s">
        <v>149</v>
      </c>
      <c r="E416" s="106">
        <v>0.06805555555911269</v>
      </c>
      <c r="F416" s="136" t="str">
        <f>IFERROR(__xludf.DUMMYFUNCTION("""COMPUTED_VALUE"""),"")</f>
        <v/>
      </c>
      <c r="G416" s="106" t="str">
        <f>IFERROR(__xludf.DUMMYFUNCTION("""COMPUTED_VALUE"""),"")</f>
        <v/>
      </c>
      <c r="I416" s="136" t="str">
        <f>IFERROR(__xludf.DUMMYFUNCTION("""COMPUTED_VALUE"""),"")</f>
        <v/>
      </c>
      <c r="J416" s="106" t="str">
        <f>IFERROR(__xludf.DUMMYFUNCTION("""COMPUTED_VALUE"""),"")</f>
        <v/>
      </c>
      <c r="L416" s="136" t="str">
        <f>IFERROR(__xludf.DUMMYFUNCTION("""COMPUTED_VALUE"""),"")</f>
        <v/>
      </c>
      <c r="M416" s="106" t="str">
        <f>IFERROR(__xludf.DUMMYFUNCTION("""COMPUTED_VALUE"""),"")</f>
        <v/>
      </c>
      <c r="O416" s="136" t="str">
        <f>IFERROR(__xludf.DUMMYFUNCTION("""COMPUTED_VALUE"""),"")</f>
        <v/>
      </c>
      <c r="P416" s="106" t="str">
        <f>IFERROR(__xludf.DUMMYFUNCTION("""COMPUTED_VALUE"""),"")</f>
        <v/>
      </c>
      <c r="R416" s="136" t="str">
        <f>IFERROR(__xludf.DUMMYFUNCTION("""COMPUTED_VALUE"""),"")</f>
        <v/>
      </c>
      <c r="S416" s="106" t="str">
        <f>IFERROR(__xludf.DUMMYFUNCTION("""COMPUTED_VALUE"""),"")</f>
        <v/>
      </c>
    </row>
    <row r="417">
      <c r="A417" s="136" t="s">
        <v>12</v>
      </c>
      <c r="B417" s="146">
        <v>46141.0</v>
      </c>
      <c r="C417" s="136" t="s">
        <v>45</v>
      </c>
      <c r="D417" s="136" t="s">
        <v>149</v>
      </c>
      <c r="E417" s="106">
        <v>0.04236111111094942</v>
      </c>
      <c r="F417" s="136" t="str">
        <f>IFERROR(__xludf.DUMMYFUNCTION("""COMPUTED_VALUE"""),"")</f>
        <v/>
      </c>
      <c r="G417" s="106" t="str">
        <f>IFERROR(__xludf.DUMMYFUNCTION("""COMPUTED_VALUE"""),"")</f>
        <v/>
      </c>
      <c r="I417" s="136" t="str">
        <f>IFERROR(__xludf.DUMMYFUNCTION("""COMPUTED_VALUE"""),"")</f>
        <v/>
      </c>
      <c r="J417" s="106" t="str">
        <f>IFERROR(__xludf.DUMMYFUNCTION("""COMPUTED_VALUE"""),"")</f>
        <v/>
      </c>
      <c r="L417" s="136" t="str">
        <f>IFERROR(__xludf.DUMMYFUNCTION("""COMPUTED_VALUE"""),"")</f>
        <v/>
      </c>
      <c r="M417" s="106" t="str">
        <f>IFERROR(__xludf.DUMMYFUNCTION("""COMPUTED_VALUE"""),"")</f>
        <v/>
      </c>
      <c r="O417" s="136" t="str">
        <f>IFERROR(__xludf.DUMMYFUNCTION("""COMPUTED_VALUE"""),"")</f>
        <v/>
      </c>
      <c r="P417" s="106" t="str">
        <f>IFERROR(__xludf.DUMMYFUNCTION("""COMPUTED_VALUE"""),"")</f>
        <v/>
      </c>
      <c r="R417" s="136" t="str">
        <f>IFERROR(__xludf.DUMMYFUNCTION("""COMPUTED_VALUE"""),"")</f>
        <v/>
      </c>
      <c r="S417" s="106" t="str">
        <f>IFERROR(__xludf.DUMMYFUNCTION("""COMPUTED_VALUE"""),"")</f>
        <v/>
      </c>
    </row>
    <row r="418">
      <c r="A418" s="136" t="s">
        <v>134</v>
      </c>
      <c r="B418" s="146">
        <v>46141.0</v>
      </c>
      <c r="C418" s="136" t="s">
        <v>45</v>
      </c>
      <c r="D418" s="136" t="s">
        <v>149</v>
      </c>
      <c r="E418" s="106">
        <v>0.05902777778101154</v>
      </c>
      <c r="F418" s="136" t="str">
        <f>IFERROR(__xludf.DUMMYFUNCTION("""COMPUTED_VALUE"""),"")</f>
        <v/>
      </c>
      <c r="G418" s="106" t="str">
        <f>IFERROR(__xludf.DUMMYFUNCTION("""COMPUTED_VALUE"""),"")</f>
        <v/>
      </c>
      <c r="I418" s="136" t="str">
        <f>IFERROR(__xludf.DUMMYFUNCTION("""COMPUTED_VALUE"""),"")</f>
        <v/>
      </c>
      <c r="J418" s="106" t="str">
        <f>IFERROR(__xludf.DUMMYFUNCTION("""COMPUTED_VALUE"""),"")</f>
        <v/>
      </c>
      <c r="L418" s="136" t="str">
        <f>IFERROR(__xludf.DUMMYFUNCTION("""COMPUTED_VALUE"""),"")</f>
        <v/>
      </c>
      <c r="M418" s="106" t="str">
        <f>IFERROR(__xludf.DUMMYFUNCTION("""COMPUTED_VALUE"""),"")</f>
        <v/>
      </c>
      <c r="O418" s="136" t="str">
        <f>IFERROR(__xludf.DUMMYFUNCTION("""COMPUTED_VALUE"""),"")</f>
        <v/>
      </c>
      <c r="P418" s="106" t="str">
        <f>IFERROR(__xludf.DUMMYFUNCTION("""COMPUTED_VALUE"""),"")</f>
        <v/>
      </c>
      <c r="R418" s="136" t="str">
        <f>IFERROR(__xludf.DUMMYFUNCTION("""COMPUTED_VALUE"""),"")</f>
        <v/>
      </c>
      <c r="S418" s="106" t="str">
        <f>IFERROR(__xludf.DUMMYFUNCTION("""COMPUTED_VALUE"""),"")</f>
        <v/>
      </c>
    </row>
    <row r="419">
      <c r="A419" s="136" t="s">
        <v>15</v>
      </c>
      <c r="B419" s="146">
        <v>46141.0</v>
      </c>
      <c r="C419" s="136" t="s">
        <v>45</v>
      </c>
      <c r="D419" s="136" t="s">
        <v>148</v>
      </c>
      <c r="E419" s="106">
        <v>0.07638888889050577</v>
      </c>
      <c r="F419" s="136">
        <f>IFERROR(__xludf.DUMMYFUNCTION("""COMPUTED_VALUE"""),139.0)</f>
        <v>139</v>
      </c>
      <c r="G419" s="106">
        <f>IFERROR(__xludf.DUMMYFUNCTION("""COMPUTED_VALUE"""),-0.32569444443652174)</f>
        <v>-0.3256944444</v>
      </c>
      <c r="I419" s="136">
        <f>IFERROR(__xludf.DUMMYFUNCTION("""COMPUTED_VALUE"""),68.0)</f>
        <v>68</v>
      </c>
      <c r="J419" s="106">
        <f>IFERROR(__xludf.DUMMYFUNCTION("""COMPUTED_VALUE"""),0.05902777778101154)</f>
        <v>0.05902777778</v>
      </c>
      <c r="L419" s="136">
        <f>IFERROR(__xludf.DUMMYFUNCTION("""COMPUTED_VALUE"""),101.0)</f>
        <v>101</v>
      </c>
      <c r="M419" s="106">
        <f>IFERROR(__xludf.DUMMYFUNCTION("""COMPUTED_VALUE"""),0.07638888889050577)</f>
        <v>0.07638888889</v>
      </c>
      <c r="O419" s="136">
        <f>IFERROR(__xludf.DUMMYFUNCTION("""COMPUTED_VALUE"""),0.0)</f>
        <v>0</v>
      </c>
      <c r="P419" s="106">
        <f>IFERROR(__xludf.DUMMYFUNCTION("""COMPUTED_VALUE"""),0.0)</f>
        <v>0</v>
      </c>
      <c r="R419" s="136">
        <f>IFERROR(__xludf.DUMMYFUNCTION("""COMPUTED_VALUE"""),0.0)</f>
        <v>0</v>
      </c>
      <c r="S419" s="106">
        <f>IFERROR(__xludf.DUMMYFUNCTION("""COMPUTED_VALUE"""),0.0)</f>
        <v>0</v>
      </c>
    </row>
    <row r="420">
      <c r="A420" s="136" t="s">
        <v>12</v>
      </c>
      <c r="B420" s="146">
        <v>46141.0</v>
      </c>
      <c r="C420" s="136" t="s">
        <v>45</v>
      </c>
      <c r="D420" s="136" t="s">
        <v>148</v>
      </c>
      <c r="E420" s="106">
        <v>-0.43611111110658385</v>
      </c>
      <c r="F420" s="136" t="str">
        <f>IFERROR(__xludf.DUMMYFUNCTION("""COMPUTED_VALUE"""),"")</f>
        <v/>
      </c>
      <c r="G420" s="106" t="str">
        <f>IFERROR(__xludf.DUMMYFUNCTION("""COMPUTED_VALUE"""),"")</f>
        <v/>
      </c>
      <c r="I420" s="136" t="str">
        <f>IFERROR(__xludf.DUMMYFUNCTION("""COMPUTED_VALUE"""),"")</f>
        <v/>
      </c>
      <c r="J420" s="106" t="str">
        <f>IFERROR(__xludf.DUMMYFUNCTION("""COMPUTED_VALUE"""),"")</f>
        <v/>
      </c>
      <c r="L420" s="136" t="str">
        <f>IFERROR(__xludf.DUMMYFUNCTION("""COMPUTED_VALUE"""),"")</f>
        <v/>
      </c>
      <c r="M420" s="106" t="str">
        <f>IFERROR(__xludf.DUMMYFUNCTION("""COMPUTED_VALUE"""),"")</f>
        <v/>
      </c>
      <c r="O420" s="136" t="str">
        <f>IFERROR(__xludf.DUMMYFUNCTION("""COMPUTED_VALUE"""),"")</f>
        <v/>
      </c>
      <c r="P420" s="106" t="str">
        <f>IFERROR(__xludf.DUMMYFUNCTION("""COMPUTED_VALUE"""),"")</f>
        <v/>
      </c>
      <c r="R420" s="136" t="str">
        <f>IFERROR(__xludf.DUMMYFUNCTION("""COMPUTED_VALUE"""),"")</f>
        <v/>
      </c>
      <c r="S420" s="106" t="str">
        <f>IFERROR(__xludf.DUMMYFUNCTION("""COMPUTED_VALUE"""),"")</f>
        <v/>
      </c>
    </row>
    <row r="421">
      <c r="A421" s="136" t="s">
        <v>133</v>
      </c>
      <c r="B421" s="136"/>
      <c r="C421" s="136" t="s">
        <v>133</v>
      </c>
      <c r="D421" s="136" t="s">
        <v>133</v>
      </c>
      <c r="E421" s="106">
        <v>0.0</v>
      </c>
      <c r="F421" s="136" t="str">
        <f>IFERROR(__xludf.DUMMYFUNCTION("""COMPUTED_VALUE"""),"")</f>
        <v/>
      </c>
      <c r="G421" s="106" t="str">
        <f>IFERROR(__xludf.DUMMYFUNCTION("""COMPUTED_VALUE"""),"")</f>
        <v/>
      </c>
      <c r="I421" s="136" t="str">
        <f>IFERROR(__xludf.DUMMYFUNCTION("""COMPUTED_VALUE"""),"")</f>
        <v/>
      </c>
      <c r="J421" s="106" t="str">
        <f>IFERROR(__xludf.DUMMYFUNCTION("""COMPUTED_VALUE"""),"")</f>
        <v/>
      </c>
      <c r="L421" s="136" t="str">
        <f>IFERROR(__xludf.DUMMYFUNCTION("""COMPUTED_VALUE"""),"")</f>
        <v/>
      </c>
      <c r="M421" s="106" t="str">
        <f>IFERROR(__xludf.DUMMYFUNCTION("""COMPUTED_VALUE"""),"")</f>
        <v/>
      </c>
      <c r="O421" s="136" t="str">
        <f>IFERROR(__xludf.DUMMYFUNCTION("""COMPUTED_VALUE"""),"")</f>
        <v/>
      </c>
      <c r="P421" s="106" t="str">
        <f>IFERROR(__xludf.DUMMYFUNCTION("""COMPUTED_VALUE"""),"")</f>
        <v/>
      </c>
      <c r="R421" s="136" t="str">
        <f>IFERROR(__xludf.DUMMYFUNCTION("""COMPUTED_VALUE"""),"")</f>
        <v/>
      </c>
      <c r="S421" s="106" t="str">
        <f>IFERROR(__xludf.DUMMYFUNCTION("""COMPUTED_VALUE"""),"")</f>
        <v/>
      </c>
    </row>
    <row r="422">
      <c r="A422" s="136" t="s">
        <v>133</v>
      </c>
      <c r="B422" s="136"/>
      <c r="C422" s="136" t="s">
        <v>133</v>
      </c>
      <c r="D422" s="136" t="s">
        <v>133</v>
      </c>
      <c r="E422" s="106">
        <v>0.0</v>
      </c>
      <c r="F422" s="136" t="str">
        <f>IFERROR(__xludf.DUMMYFUNCTION("""COMPUTED_VALUE"""),"")</f>
        <v/>
      </c>
      <c r="G422" s="106" t="str">
        <f>IFERROR(__xludf.DUMMYFUNCTION("""COMPUTED_VALUE"""),"")</f>
        <v/>
      </c>
      <c r="I422" s="136" t="str">
        <f>IFERROR(__xludf.DUMMYFUNCTION("""COMPUTED_VALUE"""),"")</f>
        <v/>
      </c>
      <c r="J422" s="106" t="str">
        <f>IFERROR(__xludf.DUMMYFUNCTION("""COMPUTED_VALUE"""),"")</f>
        <v/>
      </c>
      <c r="L422" s="136" t="str">
        <f>IFERROR(__xludf.DUMMYFUNCTION("""COMPUTED_VALUE"""),"")</f>
        <v/>
      </c>
      <c r="M422" s="106" t="str">
        <f>IFERROR(__xludf.DUMMYFUNCTION("""COMPUTED_VALUE"""),"")</f>
        <v/>
      </c>
      <c r="O422" s="136" t="str">
        <f>IFERROR(__xludf.DUMMYFUNCTION("""COMPUTED_VALUE"""),"")</f>
        <v/>
      </c>
      <c r="P422" s="106" t="str">
        <f>IFERROR(__xludf.DUMMYFUNCTION("""COMPUTED_VALUE"""),"")</f>
        <v/>
      </c>
      <c r="R422" s="136" t="str">
        <f>IFERROR(__xludf.DUMMYFUNCTION("""COMPUTED_VALUE"""),"")</f>
        <v/>
      </c>
      <c r="S422" s="106" t="str">
        <f>IFERROR(__xludf.DUMMYFUNCTION("""COMPUTED_VALUE"""),"")</f>
        <v/>
      </c>
    </row>
    <row r="423">
      <c r="A423" s="136" t="s">
        <v>133</v>
      </c>
      <c r="B423" s="136"/>
      <c r="C423" s="136" t="s">
        <v>133</v>
      </c>
      <c r="D423" s="136" t="s">
        <v>133</v>
      </c>
      <c r="E423" s="106">
        <v>0.0</v>
      </c>
      <c r="F423" s="136" t="str">
        <f>IFERROR(__xludf.DUMMYFUNCTION("""COMPUTED_VALUE"""),"")</f>
        <v/>
      </c>
      <c r="G423" s="106" t="str">
        <f>IFERROR(__xludf.DUMMYFUNCTION("""COMPUTED_VALUE"""),"")</f>
        <v/>
      </c>
      <c r="I423" s="136" t="str">
        <f>IFERROR(__xludf.DUMMYFUNCTION("""COMPUTED_VALUE"""),"")</f>
        <v/>
      </c>
      <c r="J423" s="106" t="str">
        <f>IFERROR(__xludf.DUMMYFUNCTION("""COMPUTED_VALUE"""),"")</f>
        <v/>
      </c>
      <c r="L423" s="136" t="str">
        <f>IFERROR(__xludf.DUMMYFUNCTION("""COMPUTED_VALUE"""),"")</f>
        <v/>
      </c>
      <c r="M423" s="106" t="str">
        <f>IFERROR(__xludf.DUMMYFUNCTION("""COMPUTED_VALUE"""),"")</f>
        <v/>
      </c>
      <c r="O423" s="136" t="str">
        <f>IFERROR(__xludf.DUMMYFUNCTION("""COMPUTED_VALUE"""),"")</f>
        <v/>
      </c>
      <c r="P423" s="106" t="str">
        <f>IFERROR(__xludf.DUMMYFUNCTION("""COMPUTED_VALUE"""),"")</f>
        <v/>
      </c>
      <c r="R423" s="136" t="str">
        <f>IFERROR(__xludf.DUMMYFUNCTION("""COMPUTED_VALUE"""),"")</f>
        <v/>
      </c>
      <c r="S423" s="106" t="str">
        <f>IFERROR(__xludf.DUMMYFUNCTION("""COMPUTED_VALUE"""),"")</f>
        <v/>
      </c>
    </row>
    <row r="424">
      <c r="A424" s="136" t="s">
        <v>133</v>
      </c>
      <c r="B424" s="136"/>
      <c r="C424" s="136" t="s">
        <v>133</v>
      </c>
      <c r="D424" s="136" t="s">
        <v>133</v>
      </c>
      <c r="E424" s="106">
        <v>0.0</v>
      </c>
      <c r="F424" s="136" t="str">
        <f>IFERROR(__xludf.DUMMYFUNCTION("""COMPUTED_VALUE"""),"")</f>
        <v/>
      </c>
      <c r="G424" s="106" t="str">
        <f>IFERROR(__xludf.DUMMYFUNCTION("""COMPUTED_VALUE"""),"")</f>
        <v/>
      </c>
      <c r="I424" s="136" t="str">
        <f>IFERROR(__xludf.DUMMYFUNCTION("""COMPUTED_VALUE"""),"")</f>
        <v/>
      </c>
      <c r="J424" s="106" t="str">
        <f>IFERROR(__xludf.DUMMYFUNCTION("""COMPUTED_VALUE"""),"")</f>
        <v/>
      </c>
      <c r="L424" s="136" t="str">
        <f>IFERROR(__xludf.DUMMYFUNCTION("""COMPUTED_VALUE"""),"")</f>
        <v/>
      </c>
      <c r="M424" s="106" t="str">
        <f>IFERROR(__xludf.DUMMYFUNCTION("""COMPUTED_VALUE"""),"")</f>
        <v/>
      </c>
      <c r="O424" s="136" t="str">
        <f>IFERROR(__xludf.DUMMYFUNCTION("""COMPUTED_VALUE"""),"")</f>
        <v/>
      </c>
      <c r="P424" s="106" t="str">
        <f>IFERROR(__xludf.DUMMYFUNCTION("""COMPUTED_VALUE"""),"")</f>
        <v/>
      </c>
      <c r="R424" s="136" t="str">
        <f>IFERROR(__xludf.DUMMYFUNCTION("""COMPUTED_VALUE"""),"")</f>
        <v/>
      </c>
      <c r="S424" s="106" t="str">
        <f>IFERROR(__xludf.DUMMYFUNCTION("""COMPUTED_VALUE"""),"")</f>
        <v/>
      </c>
    </row>
    <row r="425">
      <c r="A425" s="136" t="s">
        <v>133</v>
      </c>
      <c r="B425" s="136"/>
      <c r="C425" s="136" t="s">
        <v>133</v>
      </c>
      <c r="D425" s="136" t="s">
        <v>133</v>
      </c>
      <c r="E425" s="106">
        <v>0.0</v>
      </c>
      <c r="F425" s="136" t="str">
        <f>IFERROR(__xludf.DUMMYFUNCTION("""COMPUTED_VALUE"""),"")</f>
        <v/>
      </c>
      <c r="G425" s="106" t="str">
        <f>IFERROR(__xludf.DUMMYFUNCTION("""COMPUTED_VALUE"""),"")</f>
        <v/>
      </c>
      <c r="I425" s="136" t="str">
        <f>IFERROR(__xludf.DUMMYFUNCTION("""COMPUTED_VALUE"""),"")</f>
        <v/>
      </c>
      <c r="J425" s="106" t="str">
        <f>IFERROR(__xludf.DUMMYFUNCTION("""COMPUTED_VALUE"""),"")</f>
        <v/>
      </c>
      <c r="L425" s="136" t="str">
        <f>IFERROR(__xludf.DUMMYFUNCTION("""COMPUTED_VALUE"""),"")</f>
        <v/>
      </c>
      <c r="M425" s="106" t="str">
        <f>IFERROR(__xludf.DUMMYFUNCTION("""COMPUTED_VALUE"""),"")</f>
        <v/>
      </c>
      <c r="O425" s="136" t="str">
        <f>IFERROR(__xludf.DUMMYFUNCTION("""COMPUTED_VALUE"""),"")</f>
        <v/>
      </c>
      <c r="P425" s="106" t="str">
        <f>IFERROR(__xludf.DUMMYFUNCTION("""COMPUTED_VALUE"""),"")</f>
        <v/>
      </c>
      <c r="R425" s="136" t="str">
        <f>IFERROR(__xludf.DUMMYFUNCTION("""COMPUTED_VALUE"""),"")</f>
        <v/>
      </c>
      <c r="S425" s="106" t="str">
        <f>IFERROR(__xludf.DUMMYFUNCTION("""COMPUTED_VALUE"""),"")</f>
        <v/>
      </c>
    </row>
    <row r="426">
      <c r="A426" s="136" t="s">
        <v>133</v>
      </c>
      <c r="B426" s="136"/>
      <c r="C426" s="136" t="s">
        <v>133</v>
      </c>
      <c r="D426" s="136" t="s">
        <v>133</v>
      </c>
      <c r="E426" s="106">
        <v>0.0</v>
      </c>
      <c r="F426" s="136" t="str">
        <f>IFERROR(__xludf.DUMMYFUNCTION("""COMPUTED_VALUE"""),"")</f>
        <v/>
      </c>
      <c r="G426" s="106" t="str">
        <f>IFERROR(__xludf.DUMMYFUNCTION("""COMPUTED_VALUE"""),"")</f>
        <v/>
      </c>
      <c r="I426" s="136" t="str">
        <f>IFERROR(__xludf.DUMMYFUNCTION("""COMPUTED_VALUE"""),"")</f>
        <v/>
      </c>
      <c r="J426" s="106" t="str">
        <f>IFERROR(__xludf.DUMMYFUNCTION("""COMPUTED_VALUE"""),"")</f>
        <v/>
      </c>
      <c r="L426" s="136" t="str">
        <f>IFERROR(__xludf.DUMMYFUNCTION("""COMPUTED_VALUE"""),"")</f>
        <v/>
      </c>
      <c r="M426" s="106" t="str">
        <f>IFERROR(__xludf.DUMMYFUNCTION("""COMPUTED_VALUE"""),"")</f>
        <v/>
      </c>
      <c r="O426" s="136" t="str">
        <f>IFERROR(__xludf.DUMMYFUNCTION("""COMPUTED_VALUE"""),"")</f>
        <v/>
      </c>
      <c r="P426" s="106" t="str">
        <f>IFERROR(__xludf.DUMMYFUNCTION("""COMPUTED_VALUE"""),"")</f>
        <v/>
      </c>
      <c r="R426" s="136" t="str">
        <f>IFERROR(__xludf.DUMMYFUNCTION("""COMPUTED_VALUE"""),"")</f>
        <v/>
      </c>
      <c r="S426" s="106" t="str">
        <f>IFERROR(__xludf.DUMMYFUNCTION("""COMPUTED_VALUE"""),"")</f>
        <v/>
      </c>
    </row>
    <row r="427">
      <c r="A427" s="136" t="s">
        <v>133</v>
      </c>
      <c r="B427" s="136"/>
      <c r="C427" s="136" t="s">
        <v>133</v>
      </c>
      <c r="D427" s="136" t="s">
        <v>133</v>
      </c>
      <c r="E427" s="106">
        <v>0.0</v>
      </c>
      <c r="F427" s="136" t="str">
        <f>IFERROR(__xludf.DUMMYFUNCTION("""COMPUTED_VALUE"""),"")</f>
        <v/>
      </c>
      <c r="G427" s="106" t="str">
        <f>IFERROR(__xludf.DUMMYFUNCTION("""COMPUTED_VALUE"""),"")</f>
        <v/>
      </c>
      <c r="I427" s="136" t="str">
        <f>IFERROR(__xludf.DUMMYFUNCTION("""COMPUTED_VALUE"""),"")</f>
        <v/>
      </c>
      <c r="J427" s="106" t="str">
        <f>IFERROR(__xludf.DUMMYFUNCTION("""COMPUTED_VALUE"""),"")</f>
        <v/>
      </c>
      <c r="L427" s="136" t="str">
        <f>IFERROR(__xludf.DUMMYFUNCTION("""COMPUTED_VALUE"""),"")</f>
        <v/>
      </c>
      <c r="M427" s="106" t="str">
        <f>IFERROR(__xludf.DUMMYFUNCTION("""COMPUTED_VALUE"""),"")</f>
        <v/>
      </c>
      <c r="O427" s="136" t="str">
        <f>IFERROR(__xludf.DUMMYFUNCTION("""COMPUTED_VALUE"""),"")</f>
        <v/>
      </c>
      <c r="P427" s="106" t="str">
        <f>IFERROR(__xludf.DUMMYFUNCTION("""COMPUTED_VALUE"""),"")</f>
        <v/>
      </c>
      <c r="R427" s="136" t="str">
        <f>IFERROR(__xludf.DUMMYFUNCTION("""COMPUTED_VALUE"""),"")</f>
        <v/>
      </c>
      <c r="S427" s="106" t="str">
        <f>IFERROR(__xludf.DUMMYFUNCTION("""COMPUTED_VALUE"""),"")</f>
        <v/>
      </c>
    </row>
    <row r="428">
      <c r="A428" s="136" t="s">
        <v>133</v>
      </c>
      <c r="B428" s="136"/>
      <c r="C428" s="136" t="s">
        <v>133</v>
      </c>
      <c r="D428" s="136" t="s">
        <v>133</v>
      </c>
      <c r="E428" s="106">
        <v>0.0</v>
      </c>
      <c r="F428" s="136" t="str">
        <f>IFERROR(__xludf.DUMMYFUNCTION("""COMPUTED_VALUE"""),"")</f>
        <v/>
      </c>
      <c r="G428" s="106" t="str">
        <f>IFERROR(__xludf.DUMMYFUNCTION("""COMPUTED_VALUE"""),"")</f>
        <v/>
      </c>
      <c r="I428" s="136" t="str">
        <f>IFERROR(__xludf.DUMMYFUNCTION("""COMPUTED_VALUE"""),"")</f>
        <v/>
      </c>
      <c r="J428" s="106" t="str">
        <f>IFERROR(__xludf.DUMMYFUNCTION("""COMPUTED_VALUE"""),"")</f>
        <v/>
      </c>
      <c r="L428" s="136" t="str">
        <f>IFERROR(__xludf.DUMMYFUNCTION("""COMPUTED_VALUE"""),"")</f>
        <v/>
      </c>
      <c r="M428" s="106" t="str">
        <f>IFERROR(__xludf.DUMMYFUNCTION("""COMPUTED_VALUE"""),"")</f>
        <v/>
      </c>
      <c r="O428" s="136" t="str">
        <f>IFERROR(__xludf.DUMMYFUNCTION("""COMPUTED_VALUE"""),"")</f>
        <v/>
      </c>
      <c r="P428" s="106" t="str">
        <f>IFERROR(__xludf.DUMMYFUNCTION("""COMPUTED_VALUE"""),"")</f>
        <v/>
      </c>
      <c r="R428" s="136" t="str">
        <f>IFERROR(__xludf.DUMMYFUNCTION("""COMPUTED_VALUE"""),"")</f>
        <v/>
      </c>
      <c r="S428" s="106" t="str">
        <f>IFERROR(__xludf.DUMMYFUNCTION("""COMPUTED_VALUE"""),"")</f>
        <v/>
      </c>
    </row>
    <row r="429">
      <c r="A429" s="136" t="s">
        <v>133</v>
      </c>
      <c r="B429" s="136"/>
      <c r="C429" s="136" t="s">
        <v>133</v>
      </c>
      <c r="D429" s="136" t="s">
        <v>133</v>
      </c>
      <c r="E429" s="106">
        <v>0.0</v>
      </c>
      <c r="F429" s="136" t="str">
        <f>IFERROR(__xludf.DUMMYFUNCTION("""COMPUTED_VALUE"""),"")</f>
        <v/>
      </c>
      <c r="G429" s="106" t="str">
        <f>IFERROR(__xludf.DUMMYFUNCTION("""COMPUTED_VALUE"""),"")</f>
        <v/>
      </c>
      <c r="I429" s="136" t="str">
        <f>IFERROR(__xludf.DUMMYFUNCTION("""COMPUTED_VALUE"""),"")</f>
        <v/>
      </c>
      <c r="J429" s="106" t="str">
        <f>IFERROR(__xludf.DUMMYFUNCTION("""COMPUTED_VALUE"""),"")</f>
        <v/>
      </c>
      <c r="L429" s="136" t="str">
        <f>IFERROR(__xludf.DUMMYFUNCTION("""COMPUTED_VALUE"""),"")</f>
        <v/>
      </c>
      <c r="M429" s="106" t="str">
        <f>IFERROR(__xludf.DUMMYFUNCTION("""COMPUTED_VALUE"""),"")</f>
        <v/>
      </c>
      <c r="O429" s="136" t="str">
        <f>IFERROR(__xludf.DUMMYFUNCTION("""COMPUTED_VALUE"""),"")</f>
        <v/>
      </c>
      <c r="P429" s="106" t="str">
        <f>IFERROR(__xludf.DUMMYFUNCTION("""COMPUTED_VALUE"""),"")</f>
        <v/>
      </c>
      <c r="R429" s="136" t="str">
        <f>IFERROR(__xludf.DUMMYFUNCTION("""COMPUTED_VALUE"""),"")</f>
        <v/>
      </c>
      <c r="S429" s="106" t="str">
        <f>IFERROR(__xludf.DUMMYFUNCTION("""COMPUTED_VALUE"""),"")</f>
        <v/>
      </c>
    </row>
    <row r="430">
      <c r="A430" s="136" t="s">
        <v>133</v>
      </c>
      <c r="B430" s="136"/>
      <c r="C430" s="136" t="s">
        <v>133</v>
      </c>
      <c r="D430" s="136" t="s">
        <v>133</v>
      </c>
      <c r="E430" s="106">
        <v>0.0</v>
      </c>
      <c r="F430" s="136" t="str">
        <f>IFERROR(__xludf.DUMMYFUNCTION("""COMPUTED_VALUE"""),"")</f>
        <v/>
      </c>
      <c r="G430" s="106" t="str">
        <f>IFERROR(__xludf.DUMMYFUNCTION("""COMPUTED_VALUE"""),"")</f>
        <v/>
      </c>
      <c r="I430" s="136" t="str">
        <f>IFERROR(__xludf.DUMMYFUNCTION("""COMPUTED_VALUE"""),"")</f>
        <v/>
      </c>
      <c r="J430" s="106" t="str">
        <f>IFERROR(__xludf.DUMMYFUNCTION("""COMPUTED_VALUE"""),"")</f>
        <v/>
      </c>
      <c r="L430" s="136" t="str">
        <f>IFERROR(__xludf.DUMMYFUNCTION("""COMPUTED_VALUE"""),"")</f>
        <v/>
      </c>
      <c r="M430" s="106" t="str">
        <f>IFERROR(__xludf.DUMMYFUNCTION("""COMPUTED_VALUE"""),"")</f>
        <v/>
      </c>
      <c r="O430" s="136" t="str">
        <f>IFERROR(__xludf.DUMMYFUNCTION("""COMPUTED_VALUE"""),"")</f>
        <v/>
      </c>
      <c r="P430" s="106" t="str">
        <f>IFERROR(__xludf.DUMMYFUNCTION("""COMPUTED_VALUE"""),"")</f>
        <v/>
      </c>
      <c r="R430" s="136" t="str">
        <f>IFERROR(__xludf.DUMMYFUNCTION("""COMPUTED_VALUE"""),"")</f>
        <v/>
      </c>
      <c r="S430" s="106" t="str">
        <f>IFERROR(__xludf.DUMMYFUNCTION("""COMPUTED_VALUE"""),"")</f>
        <v/>
      </c>
    </row>
    <row r="431">
      <c r="A431" s="136" t="s">
        <v>133</v>
      </c>
      <c r="B431" s="136"/>
      <c r="C431" s="136" t="s">
        <v>133</v>
      </c>
      <c r="D431" s="136" t="s">
        <v>133</v>
      </c>
      <c r="E431" s="106">
        <v>0.0</v>
      </c>
      <c r="F431" s="136" t="str">
        <f>IFERROR(__xludf.DUMMYFUNCTION("""COMPUTED_VALUE"""),"")</f>
        <v/>
      </c>
      <c r="G431" s="106" t="str">
        <f>IFERROR(__xludf.DUMMYFUNCTION("""COMPUTED_VALUE"""),"")</f>
        <v/>
      </c>
      <c r="I431" s="136" t="str">
        <f>IFERROR(__xludf.DUMMYFUNCTION("""COMPUTED_VALUE"""),"")</f>
        <v/>
      </c>
      <c r="J431" s="106" t="str">
        <f>IFERROR(__xludf.DUMMYFUNCTION("""COMPUTED_VALUE"""),"")</f>
        <v/>
      </c>
      <c r="L431" s="136" t="str">
        <f>IFERROR(__xludf.DUMMYFUNCTION("""COMPUTED_VALUE"""),"")</f>
        <v/>
      </c>
      <c r="M431" s="106" t="str">
        <f>IFERROR(__xludf.DUMMYFUNCTION("""COMPUTED_VALUE"""),"")</f>
        <v/>
      </c>
      <c r="O431" s="136" t="str">
        <f>IFERROR(__xludf.DUMMYFUNCTION("""COMPUTED_VALUE"""),"")</f>
        <v/>
      </c>
      <c r="P431" s="106" t="str">
        <f>IFERROR(__xludf.DUMMYFUNCTION("""COMPUTED_VALUE"""),"")</f>
        <v/>
      </c>
      <c r="R431" s="136" t="str">
        <f>IFERROR(__xludf.DUMMYFUNCTION("""COMPUTED_VALUE"""),"")</f>
        <v/>
      </c>
      <c r="S431" s="106" t="str">
        <f>IFERROR(__xludf.DUMMYFUNCTION("""COMPUTED_VALUE"""),"")</f>
        <v/>
      </c>
    </row>
    <row r="432">
      <c r="A432" s="136" t="s">
        <v>133</v>
      </c>
      <c r="B432" s="136"/>
      <c r="C432" s="136" t="s">
        <v>133</v>
      </c>
      <c r="D432" s="136" t="s">
        <v>133</v>
      </c>
      <c r="E432" s="106">
        <v>0.0</v>
      </c>
      <c r="F432" s="136" t="str">
        <f>IFERROR(__xludf.DUMMYFUNCTION("""COMPUTED_VALUE"""),"")</f>
        <v/>
      </c>
      <c r="G432" s="106" t="str">
        <f>IFERROR(__xludf.DUMMYFUNCTION("""COMPUTED_VALUE"""),"")</f>
        <v/>
      </c>
      <c r="I432" s="136" t="str">
        <f>IFERROR(__xludf.DUMMYFUNCTION("""COMPUTED_VALUE"""),"")</f>
        <v/>
      </c>
      <c r="J432" s="106" t="str">
        <f>IFERROR(__xludf.DUMMYFUNCTION("""COMPUTED_VALUE"""),"")</f>
        <v/>
      </c>
      <c r="L432" s="136" t="str">
        <f>IFERROR(__xludf.DUMMYFUNCTION("""COMPUTED_VALUE"""),"")</f>
        <v/>
      </c>
      <c r="M432" s="106" t="str">
        <f>IFERROR(__xludf.DUMMYFUNCTION("""COMPUTED_VALUE"""),"")</f>
        <v/>
      </c>
      <c r="O432" s="136" t="str">
        <f>IFERROR(__xludf.DUMMYFUNCTION("""COMPUTED_VALUE"""),"")</f>
        <v/>
      </c>
      <c r="P432" s="106" t="str">
        <f>IFERROR(__xludf.DUMMYFUNCTION("""COMPUTED_VALUE"""),"")</f>
        <v/>
      </c>
      <c r="R432" s="136" t="str">
        <f>IFERROR(__xludf.DUMMYFUNCTION("""COMPUTED_VALUE"""),"")</f>
        <v/>
      </c>
      <c r="S432" s="106" t="str">
        <f>IFERROR(__xludf.DUMMYFUNCTION("""COMPUTED_VALUE"""),"")</f>
        <v/>
      </c>
    </row>
    <row r="433">
      <c r="A433" s="136" t="s">
        <v>133</v>
      </c>
      <c r="B433" s="136"/>
      <c r="C433" s="136" t="s">
        <v>133</v>
      </c>
      <c r="D433" s="136" t="s">
        <v>133</v>
      </c>
      <c r="E433" s="106">
        <v>0.0</v>
      </c>
      <c r="F433" s="136" t="str">
        <f>IFERROR(__xludf.DUMMYFUNCTION("""COMPUTED_VALUE"""),"")</f>
        <v/>
      </c>
      <c r="G433" s="106" t="str">
        <f>IFERROR(__xludf.DUMMYFUNCTION("""COMPUTED_VALUE"""),"")</f>
        <v/>
      </c>
      <c r="I433" s="136" t="str">
        <f>IFERROR(__xludf.DUMMYFUNCTION("""COMPUTED_VALUE"""),"")</f>
        <v/>
      </c>
      <c r="J433" s="106" t="str">
        <f>IFERROR(__xludf.DUMMYFUNCTION("""COMPUTED_VALUE"""),"")</f>
        <v/>
      </c>
      <c r="L433" s="136" t="str">
        <f>IFERROR(__xludf.DUMMYFUNCTION("""COMPUTED_VALUE"""),"")</f>
        <v/>
      </c>
      <c r="M433" s="106" t="str">
        <f>IFERROR(__xludf.DUMMYFUNCTION("""COMPUTED_VALUE"""),"")</f>
        <v/>
      </c>
      <c r="O433" s="136" t="str">
        <f>IFERROR(__xludf.DUMMYFUNCTION("""COMPUTED_VALUE"""),"")</f>
        <v/>
      </c>
      <c r="P433" s="106" t="str">
        <f>IFERROR(__xludf.DUMMYFUNCTION("""COMPUTED_VALUE"""),"")</f>
        <v/>
      </c>
      <c r="R433" s="136" t="str">
        <f>IFERROR(__xludf.DUMMYFUNCTION("""COMPUTED_VALUE"""),"")</f>
        <v/>
      </c>
      <c r="S433" s="106" t="str">
        <f>IFERROR(__xludf.DUMMYFUNCTION("""COMPUTED_VALUE"""),"")</f>
        <v/>
      </c>
    </row>
    <row r="434">
      <c r="A434" s="136" t="s">
        <v>133</v>
      </c>
      <c r="B434" s="136"/>
      <c r="C434" s="136" t="s">
        <v>133</v>
      </c>
      <c r="D434" s="136" t="s">
        <v>133</v>
      </c>
      <c r="E434" s="106">
        <v>0.0</v>
      </c>
      <c r="F434" s="136" t="str">
        <f>IFERROR(__xludf.DUMMYFUNCTION("""COMPUTED_VALUE"""),"")</f>
        <v/>
      </c>
      <c r="G434" s="106" t="str">
        <f>IFERROR(__xludf.DUMMYFUNCTION("""COMPUTED_VALUE"""),"")</f>
        <v/>
      </c>
      <c r="I434" s="136" t="str">
        <f>IFERROR(__xludf.DUMMYFUNCTION("""COMPUTED_VALUE"""),"")</f>
        <v/>
      </c>
      <c r="J434" s="106" t="str">
        <f>IFERROR(__xludf.DUMMYFUNCTION("""COMPUTED_VALUE"""),"")</f>
        <v/>
      </c>
      <c r="L434" s="136" t="str">
        <f>IFERROR(__xludf.DUMMYFUNCTION("""COMPUTED_VALUE"""),"")</f>
        <v/>
      </c>
      <c r="M434" s="106" t="str">
        <f>IFERROR(__xludf.DUMMYFUNCTION("""COMPUTED_VALUE"""),"")</f>
        <v/>
      </c>
      <c r="O434" s="136" t="str">
        <f>IFERROR(__xludf.DUMMYFUNCTION("""COMPUTED_VALUE"""),"")</f>
        <v/>
      </c>
      <c r="P434" s="106" t="str">
        <f>IFERROR(__xludf.DUMMYFUNCTION("""COMPUTED_VALUE"""),"")</f>
        <v/>
      </c>
      <c r="R434" s="136" t="str">
        <f>IFERROR(__xludf.DUMMYFUNCTION("""COMPUTED_VALUE"""),"")</f>
        <v/>
      </c>
      <c r="S434" s="106" t="str">
        <f>IFERROR(__xludf.DUMMYFUNCTION("""COMPUTED_VALUE"""),"")</f>
        <v/>
      </c>
    </row>
    <row r="435">
      <c r="A435" s="136" t="s">
        <v>133</v>
      </c>
      <c r="B435" s="136"/>
      <c r="C435" s="136" t="s">
        <v>133</v>
      </c>
      <c r="D435" s="136" t="s">
        <v>133</v>
      </c>
      <c r="E435" s="106">
        <v>0.0</v>
      </c>
      <c r="F435" s="136" t="str">
        <f>IFERROR(__xludf.DUMMYFUNCTION("""COMPUTED_VALUE"""),"")</f>
        <v/>
      </c>
      <c r="G435" s="106" t="str">
        <f>IFERROR(__xludf.DUMMYFUNCTION("""COMPUTED_VALUE"""),"")</f>
        <v/>
      </c>
      <c r="I435" s="136" t="str">
        <f>IFERROR(__xludf.DUMMYFUNCTION("""COMPUTED_VALUE"""),"")</f>
        <v/>
      </c>
      <c r="J435" s="106" t="str">
        <f>IFERROR(__xludf.DUMMYFUNCTION("""COMPUTED_VALUE"""),"")</f>
        <v/>
      </c>
      <c r="L435" s="136" t="str">
        <f>IFERROR(__xludf.DUMMYFUNCTION("""COMPUTED_VALUE"""),"")</f>
        <v/>
      </c>
      <c r="M435" s="106" t="str">
        <f>IFERROR(__xludf.DUMMYFUNCTION("""COMPUTED_VALUE"""),"")</f>
        <v/>
      </c>
      <c r="O435" s="136" t="str">
        <f>IFERROR(__xludf.DUMMYFUNCTION("""COMPUTED_VALUE"""),"")</f>
        <v/>
      </c>
      <c r="P435" s="106" t="str">
        <f>IFERROR(__xludf.DUMMYFUNCTION("""COMPUTED_VALUE"""),"")</f>
        <v/>
      </c>
      <c r="R435" s="136" t="str">
        <f>IFERROR(__xludf.DUMMYFUNCTION("""COMPUTED_VALUE"""),"")</f>
        <v/>
      </c>
      <c r="S435" s="106" t="str">
        <f>IFERROR(__xludf.DUMMYFUNCTION("""COMPUTED_VALUE"""),"")</f>
        <v/>
      </c>
    </row>
    <row r="436">
      <c r="A436" s="136" t="s">
        <v>133</v>
      </c>
      <c r="B436" s="136"/>
      <c r="C436" s="136" t="s">
        <v>133</v>
      </c>
      <c r="D436" s="136" t="s">
        <v>133</v>
      </c>
      <c r="E436" s="106">
        <v>0.0</v>
      </c>
      <c r="F436" s="136" t="str">
        <f>IFERROR(__xludf.DUMMYFUNCTION("""COMPUTED_VALUE"""),"")</f>
        <v/>
      </c>
      <c r="G436" s="106" t="str">
        <f>IFERROR(__xludf.DUMMYFUNCTION("""COMPUTED_VALUE"""),"")</f>
        <v/>
      </c>
      <c r="I436" s="136" t="str">
        <f>IFERROR(__xludf.DUMMYFUNCTION("""COMPUTED_VALUE"""),"")</f>
        <v/>
      </c>
      <c r="J436" s="106" t="str">
        <f>IFERROR(__xludf.DUMMYFUNCTION("""COMPUTED_VALUE"""),"")</f>
        <v/>
      </c>
      <c r="L436" s="136" t="str">
        <f>IFERROR(__xludf.DUMMYFUNCTION("""COMPUTED_VALUE"""),"")</f>
        <v/>
      </c>
      <c r="M436" s="106" t="str">
        <f>IFERROR(__xludf.DUMMYFUNCTION("""COMPUTED_VALUE"""),"")</f>
        <v/>
      </c>
      <c r="O436" s="136" t="str">
        <f>IFERROR(__xludf.DUMMYFUNCTION("""COMPUTED_VALUE"""),"")</f>
        <v/>
      </c>
      <c r="P436" s="106" t="str">
        <f>IFERROR(__xludf.DUMMYFUNCTION("""COMPUTED_VALUE"""),"")</f>
        <v/>
      </c>
      <c r="R436" s="136" t="str">
        <f>IFERROR(__xludf.DUMMYFUNCTION("""COMPUTED_VALUE"""),"")</f>
        <v/>
      </c>
      <c r="S436" s="106" t="str">
        <f>IFERROR(__xludf.DUMMYFUNCTION("""COMPUTED_VALUE"""),"")</f>
        <v/>
      </c>
    </row>
    <row r="437">
      <c r="A437" s="136" t="s">
        <v>133</v>
      </c>
      <c r="B437" s="136"/>
      <c r="C437" s="136" t="s">
        <v>133</v>
      </c>
      <c r="D437" s="136" t="s">
        <v>133</v>
      </c>
      <c r="E437" s="106">
        <v>0.0</v>
      </c>
      <c r="F437" s="136" t="str">
        <f>IFERROR(__xludf.DUMMYFUNCTION("""COMPUTED_VALUE"""),"")</f>
        <v/>
      </c>
      <c r="G437" s="106" t="str">
        <f>IFERROR(__xludf.DUMMYFUNCTION("""COMPUTED_VALUE"""),"")</f>
        <v/>
      </c>
      <c r="I437" s="136" t="str">
        <f>IFERROR(__xludf.DUMMYFUNCTION("""COMPUTED_VALUE"""),"")</f>
        <v/>
      </c>
      <c r="J437" s="106" t="str">
        <f>IFERROR(__xludf.DUMMYFUNCTION("""COMPUTED_VALUE"""),"")</f>
        <v/>
      </c>
      <c r="L437" s="136" t="str">
        <f>IFERROR(__xludf.DUMMYFUNCTION("""COMPUTED_VALUE"""),"")</f>
        <v/>
      </c>
      <c r="M437" s="106" t="str">
        <f>IFERROR(__xludf.DUMMYFUNCTION("""COMPUTED_VALUE"""),"")</f>
        <v/>
      </c>
      <c r="O437" s="136" t="str">
        <f>IFERROR(__xludf.DUMMYFUNCTION("""COMPUTED_VALUE"""),"")</f>
        <v/>
      </c>
      <c r="P437" s="106" t="str">
        <f>IFERROR(__xludf.DUMMYFUNCTION("""COMPUTED_VALUE"""),"")</f>
        <v/>
      </c>
      <c r="R437" s="136" t="str">
        <f>IFERROR(__xludf.DUMMYFUNCTION("""COMPUTED_VALUE"""),"")</f>
        <v/>
      </c>
      <c r="S437" s="106" t="str">
        <f>IFERROR(__xludf.DUMMYFUNCTION("""COMPUTED_VALUE"""),"")</f>
        <v/>
      </c>
    </row>
    <row r="438">
      <c r="A438" s="136" t="s">
        <v>133</v>
      </c>
      <c r="B438" s="136"/>
      <c r="C438" s="136" t="s">
        <v>133</v>
      </c>
      <c r="D438" s="136" t="s">
        <v>133</v>
      </c>
      <c r="E438" s="106">
        <v>0.0</v>
      </c>
      <c r="F438" s="136" t="str">
        <f>IFERROR(__xludf.DUMMYFUNCTION("""COMPUTED_VALUE"""),"")</f>
        <v/>
      </c>
      <c r="G438" s="106" t="str">
        <f>IFERROR(__xludf.DUMMYFUNCTION("""COMPUTED_VALUE"""),"")</f>
        <v/>
      </c>
      <c r="I438" s="136" t="str">
        <f>IFERROR(__xludf.DUMMYFUNCTION("""COMPUTED_VALUE"""),"")</f>
        <v/>
      </c>
      <c r="J438" s="106" t="str">
        <f>IFERROR(__xludf.DUMMYFUNCTION("""COMPUTED_VALUE"""),"")</f>
        <v/>
      </c>
      <c r="L438" s="136" t="str">
        <f>IFERROR(__xludf.DUMMYFUNCTION("""COMPUTED_VALUE"""),"")</f>
        <v/>
      </c>
      <c r="M438" s="106" t="str">
        <f>IFERROR(__xludf.DUMMYFUNCTION("""COMPUTED_VALUE"""),"")</f>
        <v/>
      </c>
      <c r="O438" s="136" t="str">
        <f>IFERROR(__xludf.DUMMYFUNCTION("""COMPUTED_VALUE"""),"")</f>
        <v/>
      </c>
      <c r="P438" s="106" t="str">
        <f>IFERROR(__xludf.DUMMYFUNCTION("""COMPUTED_VALUE"""),"")</f>
        <v/>
      </c>
      <c r="R438" s="136" t="str">
        <f>IFERROR(__xludf.DUMMYFUNCTION("""COMPUTED_VALUE"""),"")</f>
        <v/>
      </c>
      <c r="S438" s="106" t="str">
        <f>IFERROR(__xludf.DUMMYFUNCTION("""COMPUTED_VALUE"""),"")</f>
        <v/>
      </c>
    </row>
    <row r="439">
      <c r="A439" s="136" t="s">
        <v>133</v>
      </c>
      <c r="B439" s="136"/>
      <c r="C439" s="136" t="s">
        <v>133</v>
      </c>
      <c r="D439" s="136" t="s">
        <v>133</v>
      </c>
      <c r="E439" s="106">
        <v>0.0</v>
      </c>
      <c r="F439" s="136" t="str">
        <f>IFERROR(__xludf.DUMMYFUNCTION("""COMPUTED_VALUE"""),"")</f>
        <v/>
      </c>
      <c r="G439" s="106" t="str">
        <f>IFERROR(__xludf.DUMMYFUNCTION("""COMPUTED_VALUE"""),"")</f>
        <v/>
      </c>
      <c r="I439" s="136" t="str">
        <f>IFERROR(__xludf.DUMMYFUNCTION("""COMPUTED_VALUE"""),"")</f>
        <v/>
      </c>
      <c r="J439" s="106" t="str">
        <f>IFERROR(__xludf.DUMMYFUNCTION("""COMPUTED_VALUE"""),"")</f>
        <v/>
      </c>
      <c r="L439" s="136" t="str">
        <f>IFERROR(__xludf.DUMMYFUNCTION("""COMPUTED_VALUE"""),"")</f>
        <v/>
      </c>
      <c r="M439" s="106" t="str">
        <f>IFERROR(__xludf.DUMMYFUNCTION("""COMPUTED_VALUE"""),"")</f>
        <v/>
      </c>
      <c r="O439" s="136" t="str">
        <f>IFERROR(__xludf.DUMMYFUNCTION("""COMPUTED_VALUE"""),"")</f>
        <v/>
      </c>
      <c r="P439" s="106" t="str">
        <f>IFERROR(__xludf.DUMMYFUNCTION("""COMPUTED_VALUE"""),"")</f>
        <v/>
      </c>
      <c r="R439" s="136" t="str">
        <f>IFERROR(__xludf.DUMMYFUNCTION("""COMPUTED_VALUE"""),"")</f>
        <v/>
      </c>
      <c r="S439" s="106" t="str">
        <f>IFERROR(__xludf.DUMMYFUNCTION("""COMPUTED_VALUE"""),"")</f>
        <v/>
      </c>
    </row>
    <row r="440">
      <c r="A440" s="136" t="s">
        <v>133</v>
      </c>
      <c r="B440" s="136"/>
      <c r="C440" s="136" t="s">
        <v>133</v>
      </c>
      <c r="D440" s="136" t="s">
        <v>133</v>
      </c>
      <c r="E440" s="106">
        <v>0.0</v>
      </c>
      <c r="F440" s="136" t="str">
        <f>IFERROR(__xludf.DUMMYFUNCTION("""COMPUTED_VALUE"""),"")</f>
        <v/>
      </c>
      <c r="G440" s="106" t="str">
        <f>IFERROR(__xludf.DUMMYFUNCTION("""COMPUTED_VALUE"""),"")</f>
        <v/>
      </c>
      <c r="I440" s="136" t="str">
        <f>IFERROR(__xludf.DUMMYFUNCTION("""COMPUTED_VALUE"""),"")</f>
        <v/>
      </c>
      <c r="J440" s="106" t="str">
        <f>IFERROR(__xludf.DUMMYFUNCTION("""COMPUTED_VALUE"""),"")</f>
        <v/>
      </c>
      <c r="L440" s="136" t="str">
        <f>IFERROR(__xludf.DUMMYFUNCTION("""COMPUTED_VALUE"""),"")</f>
        <v/>
      </c>
      <c r="M440" s="106" t="str">
        <f>IFERROR(__xludf.DUMMYFUNCTION("""COMPUTED_VALUE"""),"")</f>
        <v/>
      </c>
      <c r="O440" s="136" t="str">
        <f>IFERROR(__xludf.DUMMYFUNCTION("""COMPUTED_VALUE"""),"")</f>
        <v/>
      </c>
      <c r="P440" s="106" t="str">
        <f>IFERROR(__xludf.DUMMYFUNCTION("""COMPUTED_VALUE"""),"")</f>
        <v/>
      </c>
      <c r="R440" s="136" t="str">
        <f>IFERROR(__xludf.DUMMYFUNCTION("""COMPUTED_VALUE"""),"")</f>
        <v/>
      </c>
      <c r="S440" s="106" t="str">
        <f>IFERROR(__xludf.DUMMYFUNCTION("""COMPUTED_VALUE"""),"")</f>
        <v/>
      </c>
    </row>
    <row r="441">
      <c r="A441" s="136" t="s">
        <v>133</v>
      </c>
      <c r="B441" s="136"/>
      <c r="C441" s="136" t="s">
        <v>133</v>
      </c>
      <c r="D441" s="136" t="s">
        <v>133</v>
      </c>
      <c r="E441" s="106">
        <v>0.0</v>
      </c>
      <c r="F441" s="136" t="str">
        <f>IFERROR(__xludf.DUMMYFUNCTION("""COMPUTED_VALUE"""),"")</f>
        <v/>
      </c>
      <c r="G441" s="106" t="str">
        <f>IFERROR(__xludf.DUMMYFUNCTION("""COMPUTED_VALUE"""),"")</f>
        <v/>
      </c>
      <c r="I441" s="136" t="str">
        <f>IFERROR(__xludf.DUMMYFUNCTION("""COMPUTED_VALUE"""),"")</f>
        <v/>
      </c>
      <c r="J441" s="106" t="str">
        <f>IFERROR(__xludf.DUMMYFUNCTION("""COMPUTED_VALUE"""),"")</f>
        <v/>
      </c>
      <c r="L441" s="136" t="str">
        <f>IFERROR(__xludf.DUMMYFUNCTION("""COMPUTED_VALUE"""),"")</f>
        <v/>
      </c>
      <c r="M441" s="106" t="str">
        <f>IFERROR(__xludf.DUMMYFUNCTION("""COMPUTED_VALUE"""),"")</f>
        <v/>
      </c>
      <c r="O441" s="136" t="str">
        <f>IFERROR(__xludf.DUMMYFUNCTION("""COMPUTED_VALUE"""),"")</f>
        <v/>
      </c>
      <c r="P441" s="106" t="str">
        <f>IFERROR(__xludf.DUMMYFUNCTION("""COMPUTED_VALUE"""),"")</f>
        <v/>
      </c>
      <c r="R441" s="136" t="str">
        <f>IFERROR(__xludf.DUMMYFUNCTION("""COMPUTED_VALUE"""),"")</f>
        <v/>
      </c>
      <c r="S441" s="106" t="str">
        <f>IFERROR(__xludf.DUMMYFUNCTION("""COMPUTED_VALUE"""),"")</f>
        <v/>
      </c>
    </row>
    <row r="442">
      <c r="A442" s="136" t="s">
        <v>133</v>
      </c>
      <c r="B442" s="136"/>
      <c r="C442" s="136" t="s">
        <v>133</v>
      </c>
      <c r="D442" s="136" t="s">
        <v>133</v>
      </c>
      <c r="E442" s="106">
        <v>0.0</v>
      </c>
      <c r="F442" s="136" t="str">
        <f>IFERROR(__xludf.DUMMYFUNCTION("""COMPUTED_VALUE"""),"")</f>
        <v/>
      </c>
      <c r="G442" s="106" t="str">
        <f>IFERROR(__xludf.DUMMYFUNCTION("""COMPUTED_VALUE"""),"")</f>
        <v/>
      </c>
      <c r="I442" s="136" t="str">
        <f>IFERROR(__xludf.DUMMYFUNCTION("""COMPUTED_VALUE"""),"")</f>
        <v/>
      </c>
      <c r="J442" s="106" t="str">
        <f>IFERROR(__xludf.DUMMYFUNCTION("""COMPUTED_VALUE"""),"")</f>
        <v/>
      </c>
      <c r="L442" s="136" t="str">
        <f>IFERROR(__xludf.DUMMYFUNCTION("""COMPUTED_VALUE"""),"")</f>
        <v/>
      </c>
      <c r="M442" s="106" t="str">
        <f>IFERROR(__xludf.DUMMYFUNCTION("""COMPUTED_VALUE"""),"")</f>
        <v/>
      </c>
      <c r="O442" s="136" t="str">
        <f>IFERROR(__xludf.DUMMYFUNCTION("""COMPUTED_VALUE"""),"")</f>
        <v/>
      </c>
      <c r="P442" s="106" t="str">
        <f>IFERROR(__xludf.DUMMYFUNCTION("""COMPUTED_VALUE"""),"")</f>
        <v/>
      </c>
      <c r="R442" s="136" t="str">
        <f>IFERROR(__xludf.DUMMYFUNCTION("""COMPUTED_VALUE"""),"")</f>
        <v/>
      </c>
      <c r="S442" s="106" t="str">
        <f>IFERROR(__xludf.DUMMYFUNCTION("""COMPUTED_VALUE"""),"")</f>
        <v/>
      </c>
    </row>
    <row r="443">
      <c r="A443" s="136" t="s">
        <v>133</v>
      </c>
      <c r="B443" s="136"/>
      <c r="C443" s="136" t="s">
        <v>133</v>
      </c>
      <c r="D443" s="136" t="s">
        <v>133</v>
      </c>
      <c r="E443" s="106">
        <v>0.0</v>
      </c>
      <c r="F443" s="136" t="str">
        <f>IFERROR(__xludf.DUMMYFUNCTION("""COMPUTED_VALUE"""),"")</f>
        <v/>
      </c>
      <c r="G443" s="106" t="str">
        <f>IFERROR(__xludf.DUMMYFUNCTION("""COMPUTED_VALUE"""),"")</f>
        <v/>
      </c>
      <c r="I443" s="136" t="str">
        <f>IFERROR(__xludf.DUMMYFUNCTION("""COMPUTED_VALUE"""),"")</f>
        <v/>
      </c>
      <c r="J443" s="106" t="str">
        <f>IFERROR(__xludf.DUMMYFUNCTION("""COMPUTED_VALUE"""),"")</f>
        <v/>
      </c>
      <c r="L443" s="136" t="str">
        <f>IFERROR(__xludf.DUMMYFUNCTION("""COMPUTED_VALUE"""),"")</f>
        <v/>
      </c>
      <c r="M443" s="106" t="str">
        <f>IFERROR(__xludf.DUMMYFUNCTION("""COMPUTED_VALUE"""),"")</f>
        <v/>
      </c>
      <c r="O443" s="136" t="str">
        <f>IFERROR(__xludf.DUMMYFUNCTION("""COMPUTED_VALUE"""),"")</f>
        <v/>
      </c>
      <c r="P443" s="106" t="str">
        <f>IFERROR(__xludf.DUMMYFUNCTION("""COMPUTED_VALUE"""),"")</f>
        <v/>
      </c>
      <c r="R443" s="136" t="str">
        <f>IFERROR(__xludf.DUMMYFUNCTION("""COMPUTED_VALUE"""),"")</f>
        <v/>
      </c>
      <c r="S443" s="106" t="str">
        <f>IFERROR(__xludf.DUMMYFUNCTION("""COMPUTED_VALUE"""),"")</f>
        <v/>
      </c>
    </row>
    <row r="444">
      <c r="A444" s="136" t="s">
        <v>133</v>
      </c>
      <c r="B444" s="136"/>
      <c r="C444" s="136" t="s">
        <v>133</v>
      </c>
      <c r="D444" s="136" t="s">
        <v>133</v>
      </c>
      <c r="E444" s="106">
        <v>0.0</v>
      </c>
      <c r="F444" s="136" t="str">
        <f>IFERROR(__xludf.DUMMYFUNCTION("""COMPUTED_VALUE"""),"")</f>
        <v/>
      </c>
      <c r="G444" s="106" t="str">
        <f>IFERROR(__xludf.DUMMYFUNCTION("""COMPUTED_VALUE"""),"")</f>
        <v/>
      </c>
      <c r="I444" s="136" t="str">
        <f>IFERROR(__xludf.DUMMYFUNCTION("""COMPUTED_VALUE"""),"")</f>
        <v/>
      </c>
      <c r="J444" s="106" t="str">
        <f>IFERROR(__xludf.DUMMYFUNCTION("""COMPUTED_VALUE"""),"")</f>
        <v/>
      </c>
      <c r="L444" s="136" t="str">
        <f>IFERROR(__xludf.DUMMYFUNCTION("""COMPUTED_VALUE"""),"")</f>
        <v/>
      </c>
      <c r="M444" s="106" t="str">
        <f>IFERROR(__xludf.DUMMYFUNCTION("""COMPUTED_VALUE"""),"")</f>
        <v/>
      </c>
      <c r="O444" s="136" t="str">
        <f>IFERROR(__xludf.DUMMYFUNCTION("""COMPUTED_VALUE"""),"")</f>
        <v/>
      </c>
      <c r="P444" s="106" t="str">
        <f>IFERROR(__xludf.DUMMYFUNCTION("""COMPUTED_VALUE"""),"")</f>
        <v/>
      </c>
      <c r="R444" s="136" t="str">
        <f>IFERROR(__xludf.DUMMYFUNCTION("""COMPUTED_VALUE"""),"")</f>
        <v/>
      </c>
      <c r="S444" s="106" t="str">
        <f>IFERROR(__xludf.DUMMYFUNCTION("""COMPUTED_VALUE"""),"")</f>
        <v/>
      </c>
    </row>
    <row r="445">
      <c r="A445" s="136" t="s">
        <v>133</v>
      </c>
      <c r="B445" s="136"/>
      <c r="C445" s="136" t="s">
        <v>133</v>
      </c>
      <c r="D445" s="136" t="s">
        <v>133</v>
      </c>
      <c r="E445" s="106">
        <v>0.0</v>
      </c>
      <c r="F445" s="136" t="str">
        <f>IFERROR(__xludf.DUMMYFUNCTION("""COMPUTED_VALUE"""),"")</f>
        <v/>
      </c>
      <c r="G445" s="106" t="str">
        <f>IFERROR(__xludf.DUMMYFUNCTION("""COMPUTED_VALUE"""),"")</f>
        <v/>
      </c>
      <c r="I445" s="136" t="str">
        <f>IFERROR(__xludf.DUMMYFUNCTION("""COMPUTED_VALUE"""),"")</f>
        <v/>
      </c>
      <c r="J445" s="106" t="str">
        <f>IFERROR(__xludf.DUMMYFUNCTION("""COMPUTED_VALUE"""),"")</f>
        <v/>
      </c>
      <c r="L445" s="136" t="str">
        <f>IFERROR(__xludf.DUMMYFUNCTION("""COMPUTED_VALUE"""),"")</f>
        <v/>
      </c>
      <c r="M445" s="106" t="str">
        <f>IFERROR(__xludf.DUMMYFUNCTION("""COMPUTED_VALUE"""),"")</f>
        <v/>
      </c>
      <c r="O445" s="136" t="str">
        <f>IFERROR(__xludf.DUMMYFUNCTION("""COMPUTED_VALUE"""),"")</f>
        <v/>
      </c>
      <c r="P445" s="106" t="str">
        <f>IFERROR(__xludf.DUMMYFUNCTION("""COMPUTED_VALUE"""),"")</f>
        <v/>
      </c>
      <c r="R445" s="136" t="str">
        <f>IFERROR(__xludf.DUMMYFUNCTION("""COMPUTED_VALUE"""),"")</f>
        <v/>
      </c>
      <c r="S445" s="106" t="str">
        <f>IFERROR(__xludf.DUMMYFUNCTION("""COMPUTED_VALUE"""),"")</f>
        <v/>
      </c>
    </row>
    <row r="446">
      <c r="A446" s="136" t="s">
        <v>133</v>
      </c>
      <c r="B446" s="136"/>
      <c r="C446" s="136" t="s">
        <v>133</v>
      </c>
      <c r="D446" s="136" t="s">
        <v>133</v>
      </c>
      <c r="E446" s="106">
        <v>0.0</v>
      </c>
      <c r="F446" s="136" t="str">
        <f>IFERROR(__xludf.DUMMYFUNCTION("""COMPUTED_VALUE"""),"")</f>
        <v/>
      </c>
      <c r="G446" s="106" t="str">
        <f>IFERROR(__xludf.DUMMYFUNCTION("""COMPUTED_VALUE"""),"")</f>
        <v/>
      </c>
      <c r="I446" s="136" t="str">
        <f>IFERROR(__xludf.DUMMYFUNCTION("""COMPUTED_VALUE"""),"")</f>
        <v/>
      </c>
      <c r="J446" s="106" t="str">
        <f>IFERROR(__xludf.DUMMYFUNCTION("""COMPUTED_VALUE"""),"")</f>
        <v/>
      </c>
      <c r="L446" s="136" t="str">
        <f>IFERROR(__xludf.DUMMYFUNCTION("""COMPUTED_VALUE"""),"")</f>
        <v/>
      </c>
      <c r="M446" s="106" t="str">
        <f>IFERROR(__xludf.DUMMYFUNCTION("""COMPUTED_VALUE"""),"")</f>
        <v/>
      </c>
      <c r="O446" s="136" t="str">
        <f>IFERROR(__xludf.DUMMYFUNCTION("""COMPUTED_VALUE"""),"")</f>
        <v/>
      </c>
      <c r="P446" s="106" t="str">
        <f>IFERROR(__xludf.DUMMYFUNCTION("""COMPUTED_VALUE"""),"")</f>
        <v/>
      </c>
      <c r="R446" s="136" t="str">
        <f>IFERROR(__xludf.DUMMYFUNCTION("""COMPUTED_VALUE"""),"")</f>
        <v/>
      </c>
      <c r="S446" s="106" t="str">
        <f>IFERROR(__xludf.DUMMYFUNCTION("""COMPUTED_VALUE"""),"")</f>
        <v/>
      </c>
    </row>
    <row r="447">
      <c r="A447" s="136" t="s">
        <v>133</v>
      </c>
      <c r="B447" s="136"/>
      <c r="C447" s="136" t="s">
        <v>133</v>
      </c>
      <c r="D447" s="136" t="s">
        <v>133</v>
      </c>
      <c r="E447" s="106">
        <v>0.0</v>
      </c>
      <c r="F447" s="136" t="str">
        <f>IFERROR(__xludf.DUMMYFUNCTION("""COMPUTED_VALUE"""),"")</f>
        <v/>
      </c>
      <c r="G447" s="106" t="str">
        <f>IFERROR(__xludf.DUMMYFUNCTION("""COMPUTED_VALUE"""),"")</f>
        <v/>
      </c>
      <c r="I447" s="136" t="str">
        <f>IFERROR(__xludf.DUMMYFUNCTION("""COMPUTED_VALUE"""),"")</f>
        <v/>
      </c>
      <c r="J447" s="106" t="str">
        <f>IFERROR(__xludf.DUMMYFUNCTION("""COMPUTED_VALUE"""),"")</f>
        <v/>
      </c>
      <c r="L447" s="136" t="str">
        <f>IFERROR(__xludf.DUMMYFUNCTION("""COMPUTED_VALUE"""),"")</f>
        <v/>
      </c>
      <c r="M447" s="106" t="str">
        <f>IFERROR(__xludf.DUMMYFUNCTION("""COMPUTED_VALUE"""),"")</f>
        <v/>
      </c>
      <c r="O447" s="136" t="str">
        <f>IFERROR(__xludf.DUMMYFUNCTION("""COMPUTED_VALUE"""),"")</f>
        <v/>
      </c>
      <c r="P447" s="106" t="str">
        <f>IFERROR(__xludf.DUMMYFUNCTION("""COMPUTED_VALUE"""),"")</f>
        <v/>
      </c>
      <c r="R447" s="136" t="str">
        <f>IFERROR(__xludf.DUMMYFUNCTION("""COMPUTED_VALUE"""),"")</f>
        <v/>
      </c>
      <c r="S447" s="106" t="str">
        <f>IFERROR(__xludf.DUMMYFUNCTION("""COMPUTED_VALUE"""),"")</f>
        <v/>
      </c>
    </row>
    <row r="448">
      <c r="A448" s="136" t="s">
        <v>133</v>
      </c>
      <c r="B448" s="136"/>
      <c r="C448" s="136" t="s">
        <v>133</v>
      </c>
      <c r="D448" s="136" t="s">
        <v>133</v>
      </c>
      <c r="E448" s="106">
        <v>0.0</v>
      </c>
      <c r="F448" s="136" t="str">
        <f>IFERROR(__xludf.DUMMYFUNCTION("""COMPUTED_VALUE"""),"")</f>
        <v/>
      </c>
      <c r="G448" s="106" t="str">
        <f>IFERROR(__xludf.DUMMYFUNCTION("""COMPUTED_VALUE"""),"")</f>
        <v/>
      </c>
      <c r="I448" s="136" t="str">
        <f>IFERROR(__xludf.DUMMYFUNCTION("""COMPUTED_VALUE"""),"")</f>
        <v/>
      </c>
      <c r="J448" s="106" t="str">
        <f>IFERROR(__xludf.DUMMYFUNCTION("""COMPUTED_VALUE"""),"")</f>
        <v/>
      </c>
      <c r="L448" s="136" t="str">
        <f>IFERROR(__xludf.DUMMYFUNCTION("""COMPUTED_VALUE"""),"")</f>
        <v/>
      </c>
      <c r="M448" s="106" t="str">
        <f>IFERROR(__xludf.DUMMYFUNCTION("""COMPUTED_VALUE"""),"")</f>
        <v/>
      </c>
      <c r="O448" s="136" t="str">
        <f>IFERROR(__xludf.DUMMYFUNCTION("""COMPUTED_VALUE"""),"")</f>
        <v/>
      </c>
      <c r="P448" s="106" t="str">
        <f>IFERROR(__xludf.DUMMYFUNCTION("""COMPUTED_VALUE"""),"")</f>
        <v/>
      </c>
      <c r="R448" s="136" t="str">
        <f>IFERROR(__xludf.DUMMYFUNCTION("""COMPUTED_VALUE"""),"")</f>
        <v/>
      </c>
      <c r="S448" s="106" t="str">
        <f>IFERROR(__xludf.DUMMYFUNCTION("""COMPUTED_VALUE"""),"")</f>
        <v/>
      </c>
    </row>
    <row r="449">
      <c r="A449" s="136" t="s">
        <v>133</v>
      </c>
      <c r="B449" s="136"/>
      <c r="C449" s="136" t="s">
        <v>133</v>
      </c>
      <c r="D449" s="136" t="s">
        <v>133</v>
      </c>
      <c r="E449" s="106">
        <v>0.0</v>
      </c>
      <c r="F449" s="136" t="str">
        <f>IFERROR(__xludf.DUMMYFUNCTION("""COMPUTED_VALUE"""),"")</f>
        <v/>
      </c>
      <c r="G449" s="106" t="str">
        <f>IFERROR(__xludf.DUMMYFUNCTION("""COMPUTED_VALUE"""),"")</f>
        <v/>
      </c>
      <c r="I449" s="136" t="str">
        <f>IFERROR(__xludf.DUMMYFUNCTION("""COMPUTED_VALUE"""),"")</f>
        <v/>
      </c>
      <c r="J449" s="106" t="str">
        <f>IFERROR(__xludf.DUMMYFUNCTION("""COMPUTED_VALUE"""),"")</f>
        <v/>
      </c>
      <c r="L449" s="136" t="str">
        <f>IFERROR(__xludf.DUMMYFUNCTION("""COMPUTED_VALUE"""),"")</f>
        <v/>
      </c>
      <c r="M449" s="106" t="str">
        <f>IFERROR(__xludf.DUMMYFUNCTION("""COMPUTED_VALUE"""),"")</f>
        <v/>
      </c>
      <c r="O449" s="136" t="str">
        <f>IFERROR(__xludf.DUMMYFUNCTION("""COMPUTED_VALUE"""),"")</f>
        <v/>
      </c>
      <c r="P449" s="106" t="str">
        <f>IFERROR(__xludf.DUMMYFUNCTION("""COMPUTED_VALUE"""),"")</f>
        <v/>
      </c>
      <c r="R449" s="136" t="str">
        <f>IFERROR(__xludf.DUMMYFUNCTION("""COMPUTED_VALUE"""),"")</f>
        <v/>
      </c>
      <c r="S449" s="106" t="str">
        <f>IFERROR(__xludf.DUMMYFUNCTION("""COMPUTED_VALUE"""),"")</f>
        <v/>
      </c>
    </row>
    <row r="450">
      <c r="A450" s="136" t="s">
        <v>133</v>
      </c>
      <c r="B450" s="136"/>
      <c r="C450" s="136" t="s">
        <v>133</v>
      </c>
      <c r="D450" s="136" t="s">
        <v>133</v>
      </c>
      <c r="E450" s="106">
        <v>0.0</v>
      </c>
      <c r="F450" s="136" t="str">
        <f>IFERROR(__xludf.DUMMYFUNCTION("""COMPUTED_VALUE"""),"")</f>
        <v/>
      </c>
      <c r="G450" s="106" t="str">
        <f>IFERROR(__xludf.DUMMYFUNCTION("""COMPUTED_VALUE"""),"")</f>
        <v/>
      </c>
      <c r="I450" s="136" t="str">
        <f>IFERROR(__xludf.DUMMYFUNCTION("""COMPUTED_VALUE"""),"")</f>
        <v/>
      </c>
      <c r="J450" s="106" t="str">
        <f>IFERROR(__xludf.DUMMYFUNCTION("""COMPUTED_VALUE"""),"")</f>
        <v/>
      </c>
      <c r="L450" s="136" t="str">
        <f>IFERROR(__xludf.DUMMYFUNCTION("""COMPUTED_VALUE"""),"")</f>
        <v/>
      </c>
      <c r="M450" s="106" t="str">
        <f>IFERROR(__xludf.DUMMYFUNCTION("""COMPUTED_VALUE"""),"")</f>
        <v/>
      </c>
      <c r="O450" s="136" t="str">
        <f>IFERROR(__xludf.DUMMYFUNCTION("""COMPUTED_VALUE"""),"")</f>
        <v/>
      </c>
      <c r="P450" s="106" t="str">
        <f>IFERROR(__xludf.DUMMYFUNCTION("""COMPUTED_VALUE"""),"")</f>
        <v/>
      </c>
      <c r="R450" s="136" t="str">
        <f>IFERROR(__xludf.DUMMYFUNCTION("""COMPUTED_VALUE"""),"")</f>
        <v/>
      </c>
      <c r="S450" s="106" t="str">
        <f>IFERROR(__xludf.DUMMYFUNCTION("""COMPUTED_VALUE"""),"")</f>
        <v/>
      </c>
    </row>
    <row r="451">
      <c r="A451" s="136" t="s">
        <v>133</v>
      </c>
      <c r="B451" s="136"/>
      <c r="C451" s="136" t="s">
        <v>133</v>
      </c>
      <c r="D451" s="136" t="s">
        <v>133</v>
      </c>
      <c r="E451" s="106">
        <v>0.0</v>
      </c>
      <c r="F451" s="136" t="str">
        <f>IFERROR(__xludf.DUMMYFUNCTION("""COMPUTED_VALUE"""),"")</f>
        <v/>
      </c>
      <c r="G451" s="106" t="str">
        <f>IFERROR(__xludf.DUMMYFUNCTION("""COMPUTED_VALUE"""),"")</f>
        <v/>
      </c>
      <c r="I451" s="136" t="str">
        <f>IFERROR(__xludf.DUMMYFUNCTION("""COMPUTED_VALUE"""),"")</f>
        <v/>
      </c>
      <c r="J451" s="106" t="str">
        <f>IFERROR(__xludf.DUMMYFUNCTION("""COMPUTED_VALUE"""),"")</f>
        <v/>
      </c>
      <c r="L451" s="136" t="str">
        <f>IFERROR(__xludf.DUMMYFUNCTION("""COMPUTED_VALUE"""),"")</f>
        <v/>
      </c>
      <c r="M451" s="106" t="str">
        <f>IFERROR(__xludf.DUMMYFUNCTION("""COMPUTED_VALUE"""),"")</f>
        <v/>
      </c>
      <c r="O451" s="136" t="str">
        <f>IFERROR(__xludf.DUMMYFUNCTION("""COMPUTED_VALUE"""),"")</f>
        <v/>
      </c>
      <c r="P451" s="106" t="str">
        <f>IFERROR(__xludf.DUMMYFUNCTION("""COMPUTED_VALUE"""),"")</f>
        <v/>
      </c>
      <c r="R451" s="136" t="str">
        <f>IFERROR(__xludf.DUMMYFUNCTION("""COMPUTED_VALUE"""),"")</f>
        <v/>
      </c>
      <c r="S451" s="106" t="str">
        <f>IFERROR(__xludf.DUMMYFUNCTION("""COMPUTED_VALUE"""),"")</f>
        <v/>
      </c>
    </row>
    <row r="452">
      <c r="A452" s="136" t="s">
        <v>133</v>
      </c>
      <c r="B452" s="136"/>
      <c r="C452" s="136" t="s">
        <v>133</v>
      </c>
      <c r="D452" s="136" t="s">
        <v>133</v>
      </c>
      <c r="E452" s="106">
        <v>0.0</v>
      </c>
      <c r="F452" s="136" t="str">
        <f>IFERROR(__xludf.DUMMYFUNCTION("""COMPUTED_VALUE"""),"")</f>
        <v/>
      </c>
      <c r="G452" s="106" t="str">
        <f>IFERROR(__xludf.DUMMYFUNCTION("""COMPUTED_VALUE"""),"")</f>
        <v/>
      </c>
      <c r="I452" s="136" t="str">
        <f>IFERROR(__xludf.DUMMYFUNCTION("""COMPUTED_VALUE"""),"")</f>
        <v/>
      </c>
      <c r="J452" s="106" t="str">
        <f>IFERROR(__xludf.DUMMYFUNCTION("""COMPUTED_VALUE"""),"")</f>
        <v/>
      </c>
      <c r="L452" s="136" t="str">
        <f>IFERROR(__xludf.DUMMYFUNCTION("""COMPUTED_VALUE"""),"")</f>
        <v/>
      </c>
      <c r="M452" s="106" t="str">
        <f>IFERROR(__xludf.DUMMYFUNCTION("""COMPUTED_VALUE"""),"")</f>
        <v/>
      </c>
      <c r="O452" s="136" t="str">
        <f>IFERROR(__xludf.DUMMYFUNCTION("""COMPUTED_VALUE"""),"")</f>
        <v/>
      </c>
      <c r="P452" s="106" t="str">
        <f>IFERROR(__xludf.DUMMYFUNCTION("""COMPUTED_VALUE"""),"")</f>
        <v/>
      </c>
      <c r="R452" s="136" t="str">
        <f>IFERROR(__xludf.DUMMYFUNCTION("""COMPUTED_VALUE"""),"")</f>
        <v/>
      </c>
      <c r="S452" s="106" t="str">
        <f>IFERROR(__xludf.DUMMYFUNCTION("""COMPUTED_VALUE"""),"")</f>
        <v/>
      </c>
    </row>
    <row r="453">
      <c r="A453" s="136" t="s">
        <v>133</v>
      </c>
      <c r="B453" s="136"/>
      <c r="C453" s="136" t="s">
        <v>133</v>
      </c>
      <c r="D453" s="136" t="s">
        <v>133</v>
      </c>
      <c r="E453" s="106">
        <v>0.0</v>
      </c>
      <c r="F453" s="136" t="str">
        <f>IFERROR(__xludf.DUMMYFUNCTION("""COMPUTED_VALUE"""),"")</f>
        <v/>
      </c>
      <c r="G453" s="106" t="str">
        <f>IFERROR(__xludf.DUMMYFUNCTION("""COMPUTED_VALUE"""),"")</f>
        <v/>
      </c>
      <c r="I453" s="136" t="str">
        <f>IFERROR(__xludf.DUMMYFUNCTION("""COMPUTED_VALUE"""),"")</f>
        <v/>
      </c>
      <c r="J453" s="106" t="str">
        <f>IFERROR(__xludf.DUMMYFUNCTION("""COMPUTED_VALUE"""),"")</f>
        <v/>
      </c>
      <c r="L453" s="136" t="str">
        <f>IFERROR(__xludf.DUMMYFUNCTION("""COMPUTED_VALUE"""),"")</f>
        <v/>
      </c>
      <c r="M453" s="106" t="str">
        <f>IFERROR(__xludf.DUMMYFUNCTION("""COMPUTED_VALUE"""),"")</f>
        <v/>
      </c>
      <c r="O453" s="136" t="str">
        <f>IFERROR(__xludf.DUMMYFUNCTION("""COMPUTED_VALUE"""),"")</f>
        <v/>
      </c>
      <c r="P453" s="106" t="str">
        <f>IFERROR(__xludf.DUMMYFUNCTION("""COMPUTED_VALUE"""),"")</f>
        <v/>
      </c>
      <c r="R453" s="136" t="str">
        <f>IFERROR(__xludf.DUMMYFUNCTION("""COMPUTED_VALUE"""),"")</f>
        <v/>
      </c>
      <c r="S453" s="106" t="str">
        <f>IFERROR(__xludf.DUMMYFUNCTION("""COMPUTED_VALUE"""),"")</f>
        <v/>
      </c>
    </row>
    <row r="454">
      <c r="A454" s="136" t="s">
        <v>133</v>
      </c>
      <c r="B454" s="136"/>
      <c r="C454" s="136" t="s">
        <v>133</v>
      </c>
      <c r="D454" s="136" t="s">
        <v>133</v>
      </c>
      <c r="E454" s="106">
        <v>0.0</v>
      </c>
      <c r="F454" s="136" t="str">
        <f>IFERROR(__xludf.DUMMYFUNCTION("""COMPUTED_VALUE"""),"")</f>
        <v/>
      </c>
      <c r="G454" s="106" t="str">
        <f>IFERROR(__xludf.DUMMYFUNCTION("""COMPUTED_VALUE"""),"")</f>
        <v/>
      </c>
      <c r="I454" s="136" t="str">
        <f>IFERROR(__xludf.DUMMYFUNCTION("""COMPUTED_VALUE"""),"")</f>
        <v/>
      </c>
      <c r="J454" s="106" t="str">
        <f>IFERROR(__xludf.DUMMYFUNCTION("""COMPUTED_VALUE"""),"")</f>
        <v/>
      </c>
      <c r="L454" s="136" t="str">
        <f>IFERROR(__xludf.DUMMYFUNCTION("""COMPUTED_VALUE"""),"")</f>
        <v/>
      </c>
      <c r="M454" s="106" t="str">
        <f>IFERROR(__xludf.DUMMYFUNCTION("""COMPUTED_VALUE"""),"")</f>
        <v/>
      </c>
      <c r="O454" s="136" t="str">
        <f>IFERROR(__xludf.DUMMYFUNCTION("""COMPUTED_VALUE"""),"")</f>
        <v/>
      </c>
      <c r="P454" s="106" t="str">
        <f>IFERROR(__xludf.DUMMYFUNCTION("""COMPUTED_VALUE"""),"")</f>
        <v/>
      </c>
      <c r="R454" s="136" t="str">
        <f>IFERROR(__xludf.DUMMYFUNCTION("""COMPUTED_VALUE"""),"")</f>
        <v/>
      </c>
      <c r="S454" s="106" t="str">
        <f>IFERROR(__xludf.DUMMYFUNCTION("""COMPUTED_VALUE"""),"")</f>
        <v/>
      </c>
    </row>
    <row r="455">
      <c r="A455" s="136" t="s">
        <v>133</v>
      </c>
      <c r="B455" s="136"/>
      <c r="C455" s="136" t="s">
        <v>133</v>
      </c>
      <c r="D455" s="136" t="s">
        <v>133</v>
      </c>
      <c r="E455" s="106">
        <v>0.0</v>
      </c>
      <c r="F455" s="136" t="str">
        <f>IFERROR(__xludf.DUMMYFUNCTION("""COMPUTED_VALUE"""),"")</f>
        <v/>
      </c>
      <c r="G455" s="106" t="str">
        <f>IFERROR(__xludf.DUMMYFUNCTION("""COMPUTED_VALUE"""),"")</f>
        <v/>
      </c>
      <c r="I455" s="136" t="str">
        <f>IFERROR(__xludf.DUMMYFUNCTION("""COMPUTED_VALUE"""),"")</f>
        <v/>
      </c>
      <c r="J455" s="106" t="str">
        <f>IFERROR(__xludf.DUMMYFUNCTION("""COMPUTED_VALUE"""),"")</f>
        <v/>
      </c>
      <c r="L455" s="136" t="str">
        <f>IFERROR(__xludf.DUMMYFUNCTION("""COMPUTED_VALUE"""),"")</f>
        <v/>
      </c>
      <c r="M455" s="106" t="str">
        <f>IFERROR(__xludf.DUMMYFUNCTION("""COMPUTED_VALUE"""),"")</f>
        <v/>
      </c>
      <c r="O455" s="136" t="str">
        <f>IFERROR(__xludf.DUMMYFUNCTION("""COMPUTED_VALUE"""),"")</f>
        <v/>
      </c>
      <c r="P455" s="106" t="str">
        <f>IFERROR(__xludf.DUMMYFUNCTION("""COMPUTED_VALUE"""),"")</f>
        <v/>
      </c>
      <c r="R455" s="136" t="str">
        <f>IFERROR(__xludf.DUMMYFUNCTION("""COMPUTED_VALUE"""),"")</f>
        <v/>
      </c>
      <c r="S455" s="106" t="str">
        <f>IFERROR(__xludf.DUMMYFUNCTION("""COMPUTED_VALUE"""),"")</f>
        <v/>
      </c>
    </row>
    <row r="456">
      <c r="A456" s="136" t="s">
        <v>133</v>
      </c>
      <c r="B456" s="136"/>
      <c r="C456" s="136" t="s">
        <v>133</v>
      </c>
      <c r="D456" s="136" t="s">
        <v>133</v>
      </c>
      <c r="E456" s="106">
        <v>0.0</v>
      </c>
      <c r="F456" s="136" t="str">
        <f>IFERROR(__xludf.DUMMYFUNCTION("""COMPUTED_VALUE"""),"")</f>
        <v/>
      </c>
      <c r="G456" s="106" t="str">
        <f>IFERROR(__xludf.DUMMYFUNCTION("""COMPUTED_VALUE"""),"")</f>
        <v/>
      </c>
      <c r="I456" s="136" t="str">
        <f>IFERROR(__xludf.DUMMYFUNCTION("""COMPUTED_VALUE"""),"")</f>
        <v/>
      </c>
      <c r="J456" s="106" t="str">
        <f>IFERROR(__xludf.DUMMYFUNCTION("""COMPUTED_VALUE"""),"")</f>
        <v/>
      </c>
      <c r="L456" s="136" t="str">
        <f>IFERROR(__xludf.DUMMYFUNCTION("""COMPUTED_VALUE"""),"")</f>
        <v/>
      </c>
      <c r="M456" s="106" t="str">
        <f>IFERROR(__xludf.DUMMYFUNCTION("""COMPUTED_VALUE"""),"")</f>
        <v/>
      </c>
      <c r="O456" s="136" t="str">
        <f>IFERROR(__xludf.DUMMYFUNCTION("""COMPUTED_VALUE"""),"")</f>
        <v/>
      </c>
      <c r="P456" s="106" t="str">
        <f>IFERROR(__xludf.DUMMYFUNCTION("""COMPUTED_VALUE"""),"")</f>
        <v/>
      </c>
      <c r="R456" s="136" t="str">
        <f>IFERROR(__xludf.DUMMYFUNCTION("""COMPUTED_VALUE"""),"")</f>
        <v/>
      </c>
      <c r="S456" s="106" t="str">
        <f>IFERROR(__xludf.DUMMYFUNCTION("""COMPUTED_VALUE"""),"")</f>
        <v/>
      </c>
    </row>
    <row r="457">
      <c r="A457" s="136" t="s">
        <v>133</v>
      </c>
      <c r="B457" s="136"/>
      <c r="C457" s="136" t="s">
        <v>133</v>
      </c>
      <c r="D457" s="136" t="s">
        <v>133</v>
      </c>
      <c r="E457" s="106">
        <v>0.0</v>
      </c>
      <c r="F457" s="136" t="str">
        <f>IFERROR(__xludf.DUMMYFUNCTION("""COMPUTED_VALUE"""),"")</f>
        <v/>
      </c>
      <c r="G457" s="106" t="str">
        <f>IFERROR(__xludf.DUMMYFUNCTION("""COMPUTED_VALUE"""),"")</f>
        <v/>
      </c>
      <c r="I457" s="136" t="str">
        <f>IFERROR(__xludf.DUMMYFUNCTION("""COMPUTED_VALUE"""),"")</f>
        <v/>
      </c>
      <c r="J457" s="106" t="str">
        <f>IFERROR(__xludf.DUMMYFUNCTION("""COMPUTED_VALUE"""),"")</f>
        <v/>
      </c>
      <c r="L457" s="136" t="str">
        <f>IFERROR(__xludf.DUMMYFUNCTION("""COMPUTED_VALUE"""),"")</f>
        <v/>
      </c>
      <c r="M457" s="106" t="str">
        <f>IFERROR(__xludf.DUMMYFUNCTION("""COMPUTED_VALUE"""),"")</f>
        <v/>
      </c>
      <c r="O457" s="136" t="str">
        <f>IFERROR(__xludf.DUMMYFUNCTION("""COMPUTED_VALUE"""),"")</f>
        <v/>
      </c>
      <c r="P457" s="106" t="str">
        <f>IFERROR(__xludf.DUMMYFUNCTION("""COMPUTED_VALUE"""),"")</f>
        <v/>
      </c>
      <c r="R457" s="136" t="str">
        <f>IFERROR(__xludf.DUMMYFUNCTION("""COMPUTED_VALUE"""),"")</f>
        <v/>
      </c>
      <c r="S457" s="106" t="str">
        <f>IFERROR(__xludf.DUMMYFUNCTION("""COMPUTED_VALUE"""),"")</f>
        <v/>
      </c>
    </row>
    <row r="458">
      <c r="A458" s="136" t="s">
        <v>133</v>
      </c>
      <c r="B458" s="136"/>
      <c r="C458" s="136" t="s">
        <v>133</v>
      </c>
      <c r="D458" s="136" t="s">
        <v>133</v>
      </c>
      <c r="E458" s="106">
        <v>0.0</v>
      </c>
      <c r="F458" s="136" t="str">
        <f>IFERROR(__xludf.DUMMYFUNCTION("""COMPUTED_VALUE"""),"")</f>
        <v/>
      </c>
      <c r="G458" s="106" t="str">
        <f>IFERROR(__xludf.DUMMYFUNCTION("""COMPUTED_VALUE"""),"")</f>
        <v/>
      </c>
      <c r="I458" s="136" t="str">
        <f>IFERROR(__xludf.DUMMYFUNCTION("""COMPUTED_VALUE"""),"")</f>
        <v/>
      </c>
      <c r="J458" s="106" t="str">
        <f>IFERROR(__xludf.DUMMYFUNCTION("""COMPUTED_VALUE"""),"")</f>
        <v/>
      </c>
      <c r="L458" s="136" t="str">
        <f>IFERROR(__xludf.DUMMYFUNCTION("""COMPUTED_VALUE"""),"")</f>
        <v/>
      </c>
      <c r="M458" s="106" t="str">
        <f>IFERROR(__xludf.DUMMYFUNCTION("""COMPUTED_VALUE"""),"")</f>
        <v/>
      </c>
      <c r="O458" s="136" t="str">
        <f>IFERROR(__xludf.DUMMYFUNCTION("""COMPUTED_VALUE"""),"")</f>
        <v/>
      </c>
      <c r="P458" s="106" t="str">
        <f>IFERROR(__xludf.DUMMYFUNCTION("""COMPUTED_VALUE"""),"")</f>
        <v/>
      </c>
      <c r="R458" s="136" t="str">
        <f>IFERROR(__xludf.DUMMYFUNCTION("""COMPUTED_VALUE"""),"")</f>
        <v/>
      </c>
      <c r="S458" s="106" t="str">
        <f>IFERROR(__xludf.DUMMYFUNCTION("""COMPUTED_VALUE"""),"")</f>
        <v/>
      </c>
    </row>
    <row r="459">
      <c r="A459" s="136" t="s">
        <v>133</v>
      </c>
      <c r="B459" s="136"/>
      <c r="C459" s="136" t="s">
        <v>133</v>
      </c>
      <c r="D459" s="136" t="s">
        <v>133</v>
      </c>
      <c r="E459" s="106">
        <v>0.0</v>
      </c>
      <c r="F459" s="136" t="str">
        <f>IFERROR(__xludf.DUMMYFUNCTION("""COMPUTED_VALUE"""),"")</f>
        <v/>
      </c>
      <c r="G459" s="106" t="str">
        <f>IFERROR(__xludf.DUMMYFUNCTION("""COMPUTED_VALUE"""),"")</f>
        <v/>
      </c>
      <c r="I459" s="136" t="str">
        <f>IFERROR(__xludf.DUMMYFUNCTION("""COMPUTED_VALUE"""),"")</f>
        <v/>
      </c>
      <c r="J459" s="106" t="str">
        <f>IFERROR(__xludf.DUMMYFUNCTION("""COMPUTED_VALUE"""),"")</f>
        <v/>
      </c>
      <c r="L459" s="136" t="str">
        <f>IFERROR(__xludf.DUMMYFUNCTION("""COMPUTED_VALUE"""),"")</f>
        <v/>
      </c>
      <c r="M459" s="106" t="str">
        <f>IFERROR(__xludf.DUMMYFUNCTION("""COMPUTED_VALUE"""),"")</f>
        <v/>
      </c>
      <c r="O459" s="136" t="str">
        <f>IFERROR(__xludf.DUMMYFUNCTION("""COMPUTED_VALUE"""),"")</f>
        <v/>
      </c>
      <c r="P459" s="106" t="str">
        <f>IFERROR(__xludf.DUMMYFUNCTION("""COMPUTED_VALUE"""),"")</f>
        <v/>
      </c>
      <c r="R459" s="136" t="str">
        <f>IFERROR(__xludf.DUMMYFUNCTION("""COMPUTED_VALUE"""),"")</f>
        <v/>
      </c>
      <c r="S459" s="106" t="str">
        <f>IFERROR(__xludf.DUMMYFUNCTION("""COMPUTED_VALUE"""),"")</f>
        <v/>
      </c>
    </row>
    <row r="460">
      <c r="A460" s="136" t="s">
        <v>133</v>
      </c>
      <c r="B460" s="136"/>
      <c r="C460" s="136" t="s">
        <v>133</v>
      </c>
      <c r="D460" s="136" t="s">
        <v>133</v>
      </c>
      <c r="E460" s="106">
        <v>0.0</v>
      </c>
      <c r="F460" s="136" t="str">
        <f>IFERROR(__xludf.DUMMYFUNCTION("""COMPUTED_VALUE"""),"")</f>
        <v/>
      </c>
      <c r="G460" s="106" t="str">
        <f>IFERROR(__xludf.DUMMYFUNCTION("""COMPUTED_VALUE"""),"")</f>
        <v/>
      </c>
      <c r="I460" s="136" t="str">
        <f>IFERROR(__xludf.DUMMYFUNCTION("""COMPUTED_VALUE"""),"")</f>
        <v/>
      </c>
      <c r="J460" s="106" t="str">
        <f>IFERROR(__xludf.DUMMYFUNCTION("""COMPUTED_VALUE"""),"")</f>
        <v/>
      </c>
      <c r="L460" s="136" t="str">
        <f>IFERROR(__xludf.DUMMYFUNCTION("""COMPUTED_VALUE"""),"")</f>
        <v/>
      </c>
      <c r="M460" s="106" t="str">
        <f>IFERROR(__xludf.DUMMYFUNCTION("""COMPUTED_VALUE"""),"")</f>
        <v/>
      </c>
      <c r="O460" s="136" t="str">
        <f>IFERROR(__xludf.DUMMYFUNCTION("""COMPUTED_VALUE"""),"")</f>
        <v/>
      </c>
      <c r="P460" s="106" t="str">
        <f>IFERROR(__xludf.DUMMYFUNCTION("""COMPUTED_VALUE"""),"")</f>
        <v/>
      </c>
      <c r="R460" s="136" t="str">
        <f>IFERROR(__xludf.DUMMYFUNCTION("""COMPUTED_VALUE"""),"")</f>
        <v/>
      </c>
      <c r="S460" s="106" t="str">
        <f>IFERROR(__xludf.DUMMYFUNCTION("""COMPUTED_VALUE"""),"")</f>
        <v/>
      </c>
    </row>
    <row r="461">
      <c r="A461" s="136" t="s">
        <v>133</v>
      </c>
      <c r="B461" s="136"/>
      <c r="C461" s="136" t="s">
        <v>133</v>
      </c>
      <c r="D461" s="136" t="s">
        <v>133</v>
      </c>
      <c r="E461" s="106">
        <v>0.0</v>
      </c>
      <c r="F461" s="136" t="str">
        <f>IFERROR(__xludf.DUMMYFUNCTION("""COMPUTED_VALUE"""),"")</f>
        <v/>
      </c>
      <c r="G461" s="106" t="str">
        <f>IFERROR(__xludf.DUMMYFUNCTION("""COMPUTED_VALUE"""),"")</f>
        <v/>
      </c>
      <c r="I461" s="136" t="str">
        <f>IFERROR(__xludf.DUMMYFUNCTION("""COMPUTED_VALUE"""),"")</f>
        <v/>
      </c>
      <c r="J461" s="106" t="str">
        <f>IFERROR(__xludf.DUMMYFUNCTION("""COMPUTED_VALUE"""),"")</f>
        <v/>
      </c>
      <c r="L461" s="136" t="str">
        <f>IFERROR(__xludf.DUMMYFUNCTION("""COMPUTED_VALUE"""),"")</f>
        <v/>
      </c>
      <c r="M461" s="106" t="str">
        <f>IFERROR(__xludf.DUMMYFUNCTION("""COMPUTED_VALUE"""),"")</f>
        <v/>
      </c>
      <c r="O461" s="136" t="str">
        <f>IFERROR(__xludf.DUMMYFUNCTION("""COMPUTED_VALUE"""),"")</f>
        <v/>
      </c>
      <c r="P461" s="106" t="str">
        <f>IFERROR(__xludf.DUMMYFUNCTION("""COMPUTED_VALUE"""),"")</f>
        <v/>
      </c>
      <c r="R461" s="136" t="str">
        <f>IFERROR(__xludf.DUMMYFUNCTION("""COMPUTED_VALUE"""),"")</f>
        <v/>
      </c>
      <c r="S461" s="106" t="str">
        <f>IFERROR(__xludf.DUMMYFUNCTION("""COMPUTED_VALUE"""),"")</f>
        <v/>
      </c>
    </row>
    <row r="462">
      <c r="A462" s="136" t="s">
        <v>133</v>
      </c>
      <c r="B462" s="136"/>
      <c r="C462" s="136" t="s">
        <v>133</v>
      </c>
      <c r="D462" s="136" t="s">
        <v>133</v>
      </c>
      <c r="E462" s="106">
        <v>0.0</v>
      </c>
      <c r="F462" s="136" t="str">
        <f>IFERROR(__xludf.DUMMYFUNCTION("""COMPUTED_VALUE"""),"")</f>
        <v/>
      </c>
      <c r="G462" s="106" t="str">
        <f>IFERROR(__xludf.DUMMYFUNCTION("""COMPUTED_VALUE"""),"")</f>
        <v/>
      </c>
      <c r="I462" s="136" t="str">
        <f>IFERROR(__xludf.DUMMYFUNCTION("""COMPUTED_VALUE"""),"")</f>
        <v/>
      </c>
      <c r="J462" s="106" t="str">
        <f>IFERROR(__xludf.DUMMYFUNCTION("""COMPUTED_VALUE"""),"")</f>
        <v/>
      </c>
      <c r="L462" s="136" t="str">
        <f>IFERROR(__xludf.DUMMYFUNCTION("""COMPUTED_VALUE"""),"")</f>
        <v/>
      </c>
      <c r="M462" s="106" t="str">
        <f>IFERROR(__xludf.DUMMYFUNCTION("""COMPUTED_VALUE"""),"")</f>
        <v/>
      </c>
      <c r="O462" s="136" t="str">
        <f>IFERROR(__xludf.DUMMYFUNCTION("""COMPUTED_VALUE"""),"")</f>
        <v/>
      </c>
      <c r="P462" s="106" t="str">
        <f>IFERROR(__xludf.DUMMYFUNCTION("""COMPUTED_VALUE"""),"")</f>
        <v/>
      </c>
      <c r="R462" s="136" t="str">
        <f>IFERROR(__xludf.DUMMYFUNCTION("""COMPUTED_VALUE"""),"")</f>
        <v/>
      </c>
      <c r="S462" s="106" t="str">
        <f>IFERROR(__xludf.DUMMYFUNCTION("""COMPUTED_VALUE"""),"")</f>
        <v/>
      </c>
    </row>
    <row r="463">
      <c r="A463" s="136" t="s">
        <v>133</v>
      </c>
      <c r="B463" s="136"/>
      <c r="C463" s="136" t="s">
        <v>133</v>
      </c>
      <c r="D463" s="136" t="s">
        <v>133</v>
      </c>
      <c r="E463" s="106">
        <v>0.0</v>
      </c>
      <c r="F463" s="136" t="str">
        <f>IFERROR(__xludf.DUMMYFUNCTION("""COMPUTED_VALUE"""),"")</f>
        <v/>
      </c>
      <c r="G463" s="106" t="str">
        <f>IFERROR(__xludf.DUMMYFUNCTION("""COMPUTED_VALUE"""),"")</f>
        <v/>
      </c>
      <c r="I463" s="136" t="str">
        <f>IFERROR(__xludf.DUMMYFUNCTION("""COMPUTED_VALUE"""),"")</f>
        <v/>
      </c>
      <c r="J463" s="106" t="str">
        <f>IFERROR(__xludf.DUMMYFUNCTION("""COMPUTED_VALUE"""),"")</f>
        <v/>
      </c>
      <c r="L463" s="136" t="str">
        <f>IFERROR(__xludf.DUMMYFUNCTION("""COMPUTED_VALUE"""),"")</f>
        <v/>
      </c>
      <c r="M463" s="106" t="str">
        <f>IFERROR(__xludf.DUMMYFUNCTION("""COMPUTED_VALUE"""),"")</f>
        <v/>
      </c>
      <c r="O463" s="136" t="str">
        <f>IFERROR(__xludf.DUMMYFUNCTION("""COMPUTED_VALUE"""),"")</f>
        <v/>
      </c>
      <c r="P463" s="106" t="str">
        <f>IFERROR(__xludf.DUMMYFUNCTION("""COMPUTED_VALUE"""),"")</f>
        <v/>
      </c>
      <c r="R463" s="136" t="str">
        <f>IFERROR(__xludf.DUMMYFUNCTION("""COMPUTED_VALUE"""),"")</f>
        <v/>
      </c>
      <c r="S463" s="106" t="str">
        <f>IFERROR(__xludf.DUMMYFUNCTION("""COMPUTED_VALUE"""),"")</f>
        <v/>
      </c>
    </row>
    <row r="464">
      <c r="A464" s="136" t="s">
        <v>133</v>
      </c>
      <c r="B464" s="136"/>
      <c r="C464" s="136" t="s">
        <v>133</v>
      </c>
      <c r="D464" s="136" t="s">
        <v>133</v>
      </c>
      <c r="E464" s="106">
        <v>0.0</v>
      </c>
      <c r="F464" s="136" t="str">
        <f>IFERROR(__xludf.DUMMYFUNCTION("""COMPUTED_VALUE"""),"")</f>
        <v/>
      </c>
      <c r="G464" s="106" t="str">
        <f>IFERROR(__xludf.DUMMYFUNCTION("""COMPUTED_VALUE"""),"")</f>
        <v/>
      </c>
      <c r="I464" s="136" t="str">
        <f>IFERROR(__xludf.DUMMYFUNCTION("""COMPUTED_VALUE"""),"")</f>
        <v/>
      </c>
      <c r="J464" s="106" t="str">
        <f>IFERROR(__xludf.DUMMYFUNCTION("""COMPUTED_VALUE"""),"")</f>
        <v/>
      </c>
      <c r="L464" s="136" t="str">
        <f>IFERROR(__xludf.DUMMYFUNCTION("""COMPUTED_VALUE"""),"")</f>
        <v/>
      </c>
      <c r="M464" s="106" t="str">
        <f>IFERROR(__xludf.DUMMYFUNCTION("""COMPUTED_VALUE"""),"")</f>
        <v/>
      </c>
      <c r="O464" s="136" t="str">
        <f>IFERROR(__xludf.DUMMYFUNCTION("""COMPUTED_VALUE"""),"")</f>
        <v/>
      </c>
      <c r="P464" s="106" t="str">
        <f>IFERROR(__xludf.DUMMYFUNCTION("""COMPUTED_VALUE"""),"")</f>
        <v/>
      </c>
      <c r="R464" s="136" t="str">
        <f>IFERROR(__xludf.DUMMYFUNCTION("""COMPUTED_VALUE"""),"")</f>
        <v/>
      </c>
      <c r="S464" s="106" t="str">
        <f>IFERROR(__xludf.DUMMYFUNCTION("""COMPUTED_VALUE"""),"")</f>
        <v/>
      </c>
    </row>
    <row r="465">
      <c r="A465" s="136" t="s">
        <v>133</v>
      </c>
      <c r="B465" s="136"/>
      <c r="C465" s="136" t="s">
        <v>133</v>
      </c>
      <c r="D465" s="136" t="s">
        <v>133</v>
      </c>
      <c r="E465" s="106">
        <v>0.0</v>
      </c>
      <c r="F465" s="136" t="str">
        <f>IFERROR(__xludf.DUMMYFUNCTION("""COMPUTED_VALUE"""),"")</f>
        <v/>
      </c>
      <c r="G465" s="106" t="str">
        <f>IFERROR(__xludf.DUMMYFUNCTION("""COMPUTED_VALUE"""),"")</f>
        <v/>
      </c>
      <c r="I465" s="136" t="str">
        <f>IFERROR(__xludf.DUMMYFUNCTION("""COMPUTED_VALUE"""),"")</f>
        <v/>
      </c>
      <c r="J465" s="106" t="str">
        <f>IFERROR(__xludf.DUMMYFUNCTION("""COMPUTED_VALUE"""),"")</f>
        <v/>
      </c>
      <c r="L465" s="136" t="str">
        <f>IFERROR(__xludf.DUMMYFUNCTION("""COMPUTED_VALUE"""),"")</f>
        <v/>
      </c>
      <c r="M465" s="106" t="str">
        <f>IFERROR(__xludf.DUMMYFUNCTION("""COMPUTED_VALUE"""),"")</f>
        <v/>
      </c>
      <c r="O465" s="136" t="str">
        <f>IFERROR(__xludf.DUMMYFUNCTION("""COMPUTED_VALUE"""),"")</f>
        <v/>
      </c>
      <c r="P465" s="106" t="str">
        <f>IFERROR(__xludf.DUMMYFUNCTION("""COMPUTED_VALUE"""),"")</f>
        <v/>
      </c>
      <c r="R465" s="136" t="str">
        <f>IFERROR(__xludf.DUMMYFUNCTION("""COMPUTED_VALUE"""),"")</f>
        <v/>
      </c>
      <c r="S465" s="106" t="str">
        <f>IFERROR(__xludf.DUMMYFUNCTION("""COMPUTED_VALUE"""),"")</f>
        <v/>
      </c>
    </row>
    <row r="466">
      <c r="A466" s="136" t="s">
        <v>133</v>
      </c>
      <c r="B466" s="136"/>
      <c r="C466" s="136" t="s">
        <v>133</v>
      </c>
      <c r="D466" s="136" t="s">
        <v>133</v>
      </c>
      <c r="E466" s="106">
        <v>0.0</v>
      </c>
      <c r="F466" s="136" t="str">
        <f>IFERROR(__xludf.DUMMYFUNCTION("""COMPUTED_VALUE"""),"")</f>
        <v/>
      </c>
      <c r="G466" s="106" t="str">
        <f>IFERROR(__xludf.DUMMYFUNCTION("""COMPUTED_VALUE"""),"")</f>
        <v/>
      </c>
      <c r="I466" s="136" t="str">
        <f>IFERROR(__xludf.DUMMYFUNCTION("""COMPUTED_VALUE"""),"")</f>
        <v/>
      </c>
      <c r="J466" s="106" t="str">
        <f>IFERROR(__xludf.DUMMYFUNCTION("""COMPUTED_VALUE"""),"")</f>
        <v/>
      </c>
      <c r="L466" s="136" t="str">
        <f>IFERROR(__xludf.DUMMYFUNCTION("""COMPUTED_VALUE"""),"")</f>
        <v/>
      </c>
      <c r="M466" s="106" t="str">
        <f>IFERROR(__xludf.DUMMYFUNCTION("""COMPUTED_VALUE"""),"")</f>
        <v/>
      </c>
      <c r="O466" s="136" t="str">
        <f>IFERROR(__xludf.DUMMYFUNCTION("""COMPUTED_VALUE"""),"")</f>
        <v/>
      </c>
      <c r="P466" s="106" t="str">
        <f>IFERROR(__xludf.DUMMYFUNCTION("""COMPUTED_VALUE"""),"")</f>
        <v/>
      </c>
      <c r="R466" s="136" t="str">
        <f>IFERROR(__xludf.DUMMYFUNCTION("""COMPUTED_VALUE"""),"")</f>
        <v/>
      </c>
      <c r="S466" s="106" t="str">
        <f>IFERROR(__xludf.DUMMYFUNCTION("""COMPUTED_VALUE"""),"")</f>
        <v/>
      </c>
    </row>
    <row r="467">
      <c r="A467" s="136" t="s">
        <v>133</v>
      </c>
      <c r="B467" s="136"/>
      <c r="C467" s="136" t="s">
        <v>133</v>
      </c>
      <c r="D467" s="136" t="s">
        <v>133</v>
      </c>
      <c r="E467" s="106">
        <v>0.0</v>
      </c>
      <c r="F467" s="136" t="str">
        <f>IFERROR(__xludf.DUMMYFUNCTION("""COMPUTED_VALUE"""),"")</f>
        <v/>
      </c>
      <c r="G467" s="106" t="str">
        <f>IFERROR(__xludf.DUMMYFUNCTION("""COMPUTED_VALUE"""),"")</f>
        <v/>
      </c>
      <c r="I467" s="136" t="str">
        <f>IFERROR(__xludf.DUMMYFUNCTION("""COMPUTED_VALUE"""),"")</f>
        <v/>
      </c>
      <c r="J467" s="106" t="str">
        <f>IFERROR(__xludf.DUMMYFUNCTION("""COMPUTED_VALUE"""),"")</f>
        <v/>
      </c>
      <c r="L467" s="136" t="str">
        <f>IFERROR(__xludf.DUMMYFUNCTION("""COMPUTED_VALUE"""),"")</f>
        <v/>
      </c>
      <c r="M467" s="106" t="str">
        <f>IFERROR(__xludf.DUMMYFUNCTION("""COMPUTED_VALUE"""),"")</f>
        <v/>
      </c>
      <c r="O467" s="136" t="str">
        <f>IFERROR(__xludf.DUMMYFUNCTION("""COMPUTED_VALUE"""),"")</f>
        <v/>
      </c>
      <c r="P467" s="106" t="str">
        <f>IFERROR(__xludf.DUMMYFUNCTION("""COMPUTED_VALUE"""),"")</f>
        <v/>
      </c>
      <c r="R467" s="136" t="str">
        <f>IFERROR(__xludf.DUMMYFUNCTION("""COMPUTED_VALUE"""),"")</f>
        <v/>
      </c>
      <c r="S467" s="106" t="str">
        <f>IFERROR(__xludf.DUMMYFUNCTION("""COMPUTED_VALUE"""),"")</f>
        <v/>
      </c>
    </row>
    <row r="468">
      <c r="A468" s="136" t="s">
        <v>133</v>
      </c>
      <c r="B468" s="136"/>
      <c r="C468" s="136" t="s">
        <v>133</v>
      </c>
      <c r="D468" s="136" t="s">
        <v>133</v>
      </c>
      <c r="E468" s="106">
        <v>0.0</v>
      </c>
      <c r="F468" s="136" t="str">
        <f>IFERROR(__xludf.DUMMYFUNCTION("""COMPUTED_VALUE"""),"")</f>
        <v/>
      </c>
      <c r="G468" s="106" t="str">
        <f>IFERROR(__xludf.DUMMYFUNCTION("""COMPUTED_VALUE"""),"")</f>
        <v/>
      </c>
      <c r="I468" s="136" t="str">
        <f>IFERROR(__xludf.DUMMYFUNCTION("""COMPUTED_VALUE"""),"")</f>
        <v/>
      </c>
      <c r="J468" s="106" t="str">
        <f>IFERROR(__xludf.DUMMYFUNCTION("""COMPUTED_VALUE"""),"")</f>
        <v/>
      </c>
      <c r="L468" s="136" t="str">
        <f>IFERROR(__xludf.DUMMYFUNCTION("""COMPUTED_VALUE"""),"")</f>
        <v/>
      </c>
      <c r="M468" s="106" t="str">
        <f>IFERROR(__xludf.DUMMYFUNCTION("""COMPUTED_VALUE"""),"")</f>
        <v/>
      </c>
      <c r="O468" s="136" t="str">
        <f>IFERROR(__xludf.DUMMYFUNCTION("""COMPUTED_VALUE"""),"")</f>
        <v/>
      </c>
      <c r="P468" s="106" t="str">
        <f>IFERROR(__xludf.DUMMYFUNCTION("""COMPUTED_VALUE"""),"")</f>
        <v/>
      </c>
      <c r="R468" s="136" t="str">
        <f>IFERROR(__xludf.DUMMYFUNCTION("""COMPUTED_VALUE"""),"")</f>
        <v/>
      </c>
      <c r="S468" s="106" t="str">
        <f>IFERROR(__xludf.DUMMYFUNCTION("""COMPUTED_VALUE"""),"")</f>
        <v/>
      </c>
    </row>
    <row r="469">
      <c r="A469" s="136" t="s">
        <v>133</v>
      </c>
      <c r="B469" s="136"/>
      <c r="C469" s="136" t="s">
        <v>133</v>
      </c>
      <c r="D469" s="136" t="s">
        <v>133</v>
      </c>
      <c r="E469" s="106">
        <v>0.0</v>
      </c>
      <c r="F469" s="136" t="str">
        <f>IFERROR(__xludf.DUMMYFUNCTION("""COMPUTED_VALUE"""),"")</f>
        <v/>
      </c>
      <c r="G469" s="106" t="str">
        <f>IFERROR(__xludf.DUMMYFUNCTION("""COMPUTED_VALUE"""),"")</f>
        <v/>
      </c>
      <c r="I469" s="136" t="str">
        <f>IFERROR(__xludf.DUMMYFUNCTION("""COMPUTED_VALUE"""),"")</f>
        <v/>
      </c>
      <c r="J469" s="106" t="str">
        <f>IFERROR(__xludf.DUMMYFUNCTION("""COMPUTED_VALUE"""),"")</f>
        <v/>
      </c>
      <c r="L469" s="136" t="str">
        <f>IFERROR(__xludf.DUMMYFUNCTION("""COMPUTED_VALUE"""),"")</f>
        <v/>
      </c>
      <c r="M469" s="106" t="str">
        <f>IFERROR(__xludf.DUMMYFUNCTION("""COMPUTED_VALUE"""),"")</f>
        <v/>
      </c>
      <c r="O469" s="136" t="str">
        <f>IFERROR(__xludf.DUMMYFUNCTION("""COMPUTED_VALUE"""),"")</f>
        <v/>
      </c>
      <c r="P469" s="106" t="str">
        <f>IFERROR(__xludf.DUMMYFUNCTION("""COMPUTED_VALUE"""),"")</f>
        <v/>
      </c>
      <c r="R469" s="136" t="str">
        <f>IFERROR(__xludf.DUMMYFUNCTION("""COMPUTED_VALUE"""),"")</f>
        <v/>
      </c>
      <c r="S469" s="106" t="str">
        <f>IFERROR(__xludf.DUMMYFUNCTION("""COMPUTED_VALUE"""),"")</f>
        <v/>
      </c>
    </row>
    <row r="470">
      <c r="A470" s="136" t="s">
        <v>133</v>
      </c>
      <c r="B470" s="136"/>
      <c r="C470" s="136" t="s">
        <v>133</v>
      </c>
      <c r="D470" s="136" t="s">
        <v>133</v>
      </c>
      <c r="E470" s="106">
        <v>0.0</v>
      </c>
      <c r="F470" s="136" t="str">
        <f>IFERROR(__xludf.DUMMYFUNCTION("""COMPUTED_VALUE"""),"")</f>
        <v/>
      </c>
      <c r="G470" s="106" t="str">
        <f>IFERROR(__xludf.DUMMYFUNCTION("""COMPUTED_VALUE"""),"")</f>
        <v/>
      </c>
      <c r="I470" s="136" t="str">
        <f>IFERROR(__xludf.DUMMYFUNCTION("""COMPUTED_VALUE"""),"")</f>
        <v/>
      </c>
      <c r="J470" s="106" t="str">
        <f>IFERROR(__xludf.DUMMYFUNCTION("""COMPUTED_VALUE"""),"")</f>
        <v/>
      </c>
      <c r="L470" s="136" t="str">
        <f>IFERROR(__xludf.DUMMYFUNCTION("""COMPUTED_VALUE"""),"")</f>
        <v/>
      </c>
      <c r="M470" s="106" t="str">
        <f>IFERROR(__xludf.DUMMYFUNCTION("""COMPUTED_VALUE"""),"")</f>
        <v/>
      </c>
      <c r="O470" s="136" t="str">
        <f>IFERROR(__xludf.DUMMYFUNCTION("""COMPUTED_VALUE"""),"")</f>
        <v/>
      </c>
      <c r="P470" s="106" t="str">
        <f>IFERROR(__xludf.DUMMYFUNCTION("""COMPUTED_VALUE"""),"")</f>
        <v/>
      </c>
      <c r="R470" s="136" t="str">
        <f>IFERROR(__xludf.DUMMYFUNCTION("""COMPUTED_VALUE"""),"")</f>
        <v/>
      </c>
      <c r="S470" s="106" t="str">
        <f>IFERROR(__xludf.DUMMYFUNCTION("""COMPUTED_VALUE"""),"")</f>
        <v/>
      </c>
    </row>
    <row r="471">
      <c r="A471" s="136" t="s">
        <v>133</v>
      </c>
      <c r="B471" s="136"/>
      <c r="C471" s="136" t="s">
        <v>133</v>
      </c>
      <c r="D471" s="136" t="s">
        <v>133</v>
      </c>
      <c r="E471" s="106">
        <v>0.0</v>
      </c>
      <c r="F471" s="136" t="str">
        <f>IFERROR(__xludf.DUMMYFUNCTION("""COMPUTED_VALUE"""),"")</f>
        <v/>
      </c>
      <c r="G471" s="106" t="str">
        <f>IFERROR(__xludf.DUMMYFUNCTION("""COMPUTED_VALUE"""),"")</f>
        <v/>
      </c>
      <c r="I471" s="136" t="str">
        <f>IFERROR(__xludf.DUMMYFUNCTION("""COMPUTED_VALUE"""),"")</f>
        <v/>
      </c>
      <c r="J471" s="106" t="str">
        <f>IFERROR(__xludf.DUMMYFUNCTION("""COMPUTED_VALUE"""),"")</f>
        <v/>
      </c>
      <c r="L471" s="136" t="str">
        <f>IFERROR(__xludf.DUMMYFUNCTION("""COMPUTED_VALUE"""),"")</f>
        <v/>
      </c>
      <c r="M471" s="106" t="str">
        <f>IFERROR(__xludf.DUMMYFUNCTION("""COMPUTED_VALUE"""),"")</f>
        <v/>
      </c>
      <c r="O471" s="136" t="str">
        <f>IFERROR(__xludf.DUMMYFUNCTION("""COMPUTED_VALUE"""),"")</f>
        <v/>
      </c>
      <c r="P471" s="106" t="str">
        <f>IFERROR(__xludf.DUMMYFUNCTION("""COMPUTED_VALUE"""),"")</f>
        <v/>
      </c>
      <c r="R471" s="136" t="str">
        <f>IFERROR(__xludf.DUMMYFUNCTION("""COMPUTED_VALUE"""),"")</f>
        <v/>
      </c>
      <c r="S471" s="106" t="str">
        <f>IFERROR(__xludf.DUMMYFUNCTION("""COMPUTED_VALUE"""),"")</f>
        <v/>
      </c>
    </row>
    <row r="472">
      <c r="A472" s="136" t="s">
        <v>133</v>
      </c>
      <c r="B472" s="136"/>
      <c r="C472" s="136" t="s">
        <v>133</v>
      </c>
      <c r="D472" s="136" t="s">
        <v>133</v>
      </c>
      <c r="E472" s="106">
        <v>0.0</v>
      </c>
      <c r="F472" s="136" t="str">
        <f>IFERROR(__xludf.DUMMYFUNCTION("""COMPUTED_VALUE"""),"")</f>
        <v/>
      </c>
      <c r="G472" s="106" t="str">
        <f>IFERROR(__xludf.DUMMYFUNCTION("""COMPUTED_VALUE"""),"")</f>
        <v/>
      </c>
      <c r="I472" s="136" t="str">
        <f>IFERROR(__xludf.DUMMYFUNCTION("""COMPUTED_VALUE"""),"")</f>
        <v/>
      </c>
      <c r="J472" s="106" t="str">
        <f>IFERROR(__xludf.DUMMYFUNCTION("""COMPUTED_VALUE"""),"")</f>
        <v/>
      </c>
      <c r="L472" s="136" t="str">
        <f>IFERROR(__xludf.DUMMYFUNCTION("""COMPUTED_VALUE"""),"")</f>
        <v/>
      </c>
      <c r="M472" s="106" t="str">
        <f>IFERROR(__xludf.DUMMYFUNCTION("""COMPUTED_VALUE"""),"")</f>
        <v/>
      </c>
      <c r="O472" s="136" t="str">
        <f>IFERROR(__xludf.DUMMYFUNCTION("""COMPUTED_VALUE"""),"")</f>
        <v/>
      </c>
      <c r="P472" s="106" t="str">
        <f>IFERROR(__xludf.DUMMYFUNCTION("""COMPUTED_VALUE"""),"")</f>
        <v/>
      </c>
      <c r="R472" s="136" t="str">
        <f>IFERROR(__xludf.DUMMYFUNCTION("""COMPUTED_VALUE"""),"")</f>
        <v/>
      </c>
      <c r="S472" s="106" t="str">
        <f>IFERROR(__xludf.DUMMYFUNCTION("""COMPUTED_VALUE"""),"")</f>
        <v/>
      </c>
    </row>
    <row r="473">
      <c r="A473" s="136" t="s">
        <v>133</v>
      </c>
      <c r="B473" s="136"/>
      <c r="C473" s="136" t="s">
        <v>133</v>
      </c>
      <c r="D473" s="136" t="s">
        <v>133</v>
      </c>
      <c r="E473" s="106">
        <v>0.0</v>
      </c>
      <c r="F473" s="136" t="str">
        <f>IFERROR(__xludf.DUMMYFUNCTION("""COMPUTED_VALUE"""),"")</f>
        <v/>
      </c>
      <c r="G473" s="106" t="str">
        <f>IFERROR(__xludf.DUMMYFUNCTION("""COMPUTED_VALUE"""),"")</f>
        <v/>
      </c>
      <c r="I473" s="136" t="str">
        <f>IFERROR(__xludf.DUMMYFUNCTION("""COMPUTED_VALUE"""),"")</f>
        <v/>
      </c>
      <c r="J473" s="106" t="str">
        <f>IFERROR(__xludf.DUMMYFUNCTION("""COMPUTED_VALUE"""),"")</f>
        <v/>
      </c>
      <c r="L473" s="136" t="str">
        <f>IFERROR(__xludf.DUMMYFUNCTION("""COMPUTED_VALUE"""),"")</f>
        <v/>
      </c>
      <c r="M473" s="106" t="str">
        <f>IFERROR(__xludf.DUMMYFUNCTION("""COMPUTED_VALUE"""),"")</f>
        <v/>
      </c>
      <c r="O473" s="136" t="str">
        <f>IFERROR(__xludf.DUMMYFUNCTION("""COMPUTED_VALUE"""),"")</f>
        <v/>
      </c>
      <c r="P473" s="106" t="str">
        <f>IFERROR(__xludf.DUMMYFUNCTION("""COMPUTED_VALUE"""),"")</f>
        <v/>
      </c>
      <c r="R473" s="136" t="str">
        <f>IFERROR(__xludf.DUMMYFUNCTION("""COMPUTED_VALUE"""),"")</f>
        <v/>
      </c>
      <c r="S473" s="106" t="str">
        <f>IFERROR(__xludf.DUMMYFUNCTION("""COMPUTED_VALUE"""),"")</f>
        <v/>
      </c>
    </row>
    <row r="474">
      <c r="A474" s="136" t="s">
        <v>133</v>
      </c>
      <c r="B474" s="136"/>
      <c r="C474" s="136" t="s">
        <v>133</v>
      </c>
      <c r="D474" s="136" t="s">
        <v>133</v>
      </c>
      <c r="E474" s="106">
        <v>0.0</v>
      </c>
      <c r="F474" s="136" t="str">
        <f>IFERROR(__xludf.DUMMYFUNCTION("""COMPUTED_VALUE"""),"")</f>
        <v/>
      </c>
      <c r="G474" s="106" t="str">
        <f>IFERROR(__xludf.DUMMYFUNCTION("""COMPUTED_VALUE"""),"")</f>
        <v/>
      </c>
      <c r="I474" s="136" t="str">
        <f>IFERROR(__xludf.DUMMYFUNCTION("""COMPUTED_VALUE"""),"")</f>
        <v/>
      </c>
      <c r="J474" s="106" t="str">
        <f>IFERROR(__xludf.DUMMYFUNCTION("""COMPUTED_VALUE"""),"")</f>
        <v/>
      </c>
      <c r="L474" s="136" t="str">
        <f>IFERROR(__xludf.DUMMYFUNCTION("""COMPUTED_VALUE"""),"")</f>
        <v/>
      </c>
      <c r="M474" s="106" t="str">
        <f>IFERROR(__xludf.DUMMYFUNCTION("""COMPUTED_VALUE"""),"")</f>
        <v/>
      </c>
      <c r="O474" s="136" t="str">
        <f>IFERROR(__xludf.DUMMYFUNCTION("""COMPUTED_VALUE"""),"")</f>
        <v/>
      </c>
      <c r="P474" s="106" t="str">
        <f>IFERROR(__xludf.DUMMYFUNCTION("""COMPUTED_VALUE"""),"")</f>
        <v/>
      </c>
      <c r="R474" s="136" t="str">
        <f>IFERROR(__xludf.DUMMYFUNCTION("""COMPUTED_VALUE"""),"")</f>
        <v/>
      </c>
      <c r="S474" s="106" t="str">
        <f>IFERROR(__xludf.DUMMYFUNCTION("""COMPUTED_VALUE"""),"")</f>
        <v/>
      </c>
    </row>
    <row r="475">
      <c r="A475" s="136" t="s">
        <v>133</v>
      </c>
      <c r="B475" s="136"/>
      <c r="C475" s="136" t="s">
        <v>133</v>
      </c>
      <c r="D475" s="136" t="s">
        <v>133</v>
      </c>
      <c r="E475" s="106">
        <v>0.0</v>
      </c>
      <c r="F475" s="136" t="str">
        <f>IFERROR(__xludf.DUMMYFUNCTION("""COMPUTED_VALUE"""),"")</f>
        <v/>
      </c>
      <c r="G475" s="106" t="str">
        <f>IFERROR(__xludf.DUMMYFUNCTION("""COMPUTED_VALUE"""),"")</f>
        <v/>
      </c>
      <c r="I475" s="136" t="str">
        <f>IFERROR(__xludf.DUMMYFUNCTION("""COMPUTED_VALUE"""),"")</f>
        <v/>
      </c>
      <c r="J475" s="106" t="str">
        <f>IFERROR(__xludf.DUMMYFUNCTION("""COMPUTED_VALUE"""),"")</f>
        <v/>
      </c>
      <c r="L475" s="136" t="str">
        <f>IFERROR(__xludf.DUMMYFUNCTION("""COMPUTED_VALUE"""),"")</f>
        <v/>
      </c>
      <c r="M475" s="106" t="str">
        <f>IFERROR(__xludf.DUMMYFUNCTION("""COMPUTED_VALUE"""),"")</f>
        <v/>
      </c>
      <c r="O475" s="136" t="str">
        <f>IFERROR(__xludf.DUMMYFUNCTION("""COMPUTED_VALUE"""),"")</f>
        <v/>
      </c>
      <c r="P475" s="106" t="str">
        <f>IFERROR(__xludf.DUMMYFUNCTION("""COMPUTED_VALUE"""),"")</f>
        <v/>
      </c>
      <c r="R475" s="136" t="str">
        <f>IFERROR(__xludf.DUMMYFUNCTION("""COMPUTED_VALUE"""),"")</f>
        <v/>
      </c>
      <c r="S475" s="106" t="str">
        <f>IFERROR(__xludf.DUMMYFUNCTION("""COMPUTED_VALUE"""),"")</f>
        <v/>
      </c>
    </row>
    <row r="476">
      <c r="A476" s="136" t="s">
        <v>133</v>
      </c>
      <c r="B476" s="136"/>
      <c r="C476" s="136" t="s">
        <v>133</v>
      </c>
      <c r="D476" s="136" t="s">
        <v>133</v>
      </c>
      <c r="E476" s="106">
        <v>0.0</v>
      </c>
      <c r="F476" s="136" t="str">
        <f>IFERROR(__xludf.DUMMYFUNCTION("""COMPUTED_VALUE"""),"")</f>
        <v/>
      </c>
      <c r="G476" s="106" t="str">
        <f>IFERROR(__xludf.DUMMYFUNCTION("""COMPUTED_VALUE"""),"")</f>
        <v/>
      </c>
      <c r="I476" s="136" t="str">
        <f>IFERROR(__xludf.DUMMYFUNCTION("""COMPUTED_VALUE"""),"")</f>
        <v/>
      </c>
      <c r="J476" s="106" t="str">
        <f>IFERROR(__xludf.DUMMYFUNCTION("""COMPUTED_VALUE"""),"")</f>
        <v/>
      </c>
      <c r="L476" s="136" t="str">
        <f>IFERROR(__xludf.DUMMYFUNCTION("""COMPUTED_VALUE"""),"")</f>
        <v/>
      </c>
      <c r="M476" s="106" t="str">
        <f>IFERROR(__xludf.DUMMYFUNCTION("""COMPUTED_VALUE"""),"")</f>
        <v/>
      </c>
      <c r="O476" s="136" t="str">
        <f>IFERROR(__xludf.DUMMYFUNCTION("""COMPUTED_VALUE"""),"")</f>
        <v/>
      </c>
      <c r="P476" s="106" t="str">
        <f>IFERROR(__xludf.DUMMYFUNCTION("""COMPUTED_VALUE"""),"")</f>
        <v/>
      </c>
      <c r="R476" s="136" t="str">
        <f>IFERROR(__xludf.DUMMYFUNCTION("""COMPUTED_VALUE"""),"")</f>
        <v/>
      </c>
      <c r="S476" s="106" t="str">
        <f>IFERROR(__xludf.DUMMYFUNCTION("""COMPUTED_VALUE"""),"")</f>
        <v/>
      </c>
    </row>
    <row r="477">
      <c r="A477" s="136" t="s">
        <v>133</v>
      </c>
      <c r="B477" s="136"/>
      <c r="C477" s="136" t="s">
        <v>133</v>
      </c>
      <c r="D477" s="136" t="s">
        <v>133</v>
      </c>
      <c r="E477" s="106">
        <v>0.0</v>
      </c>
      <c r="F477" s="136" t="str">
        <f>IFERROR(__xludf.DUMMYFUNCTION("""COMPUTED_VALUE"""),"")</f>
        <v/>
      </c>
      <c r="G477" s="106" t="str">
        <f>IFERROR(__xludf.DUMMYFUNCTION("""COMPUTED_VALUE"""),"")</f>
        <v/>
      </c>
      <c r="I477" s="136" t="str">
        <f>IFERROR(__xludf.DUMMYFUNCTION("""COMPUTED_VALUE"""),"")</f>
        <v/>
      </c>
      <c r="J477" s="106" t="str">
        <f>IFERROR(__xludf.DUMMYFUNCTION("""COMPUTED_VALUE"""),"")</f>
        <v/>
      </c>
      <c r="L477" s="136" t="str">
        <f>IFERROR(__xludf.DUMMYFUNCTION("""COMPUTED_VALUE"""),"")</f>
        <v/>
      </c>
      <c r="M477" s="106" t="str">
        <f>IFERROR(__xludf.DUMMYFUNCTION("""COMPUTED_VALUE"""),"")</f>
        <v/>
      </c>
      <c r="O477" s="136" t="str">
        <f>IFERROR(__xludf.DUMMYFUNCTION("""COMPUTED_VALUE"""),"")</f>
        <v/>
      </c>
      <c r="P477" s="106" t="str">
        <f>IFERROR(__xludf.DUMMYFUNCTION("""COMPUTED_VALUE"""),"")</f>
        <v/>
      </c>
      <c r="R477" s="136" t="str">
        <f>IFERROR(__xludf.DUMMYFUNCTION("""COMPUTED_VALUE"""),"")</f>
        <v/>
      </c>
      <c r="S477" s="106" t="str">
        <f>IFERROR(__xludf.DUMMYFUNCTION("""COMPUTED_VALUE"""),"")</f>
        <v/>
      </c>
    </row>
    <row r="478">
      <c r="A478" s="136" t="s">
        <v>133</v>
      </c>
      <c r="B478" s="136"/>
      <c r="C478" s="136" t="s">
        <v>133</v>
      </c>
      <c r="D478" s="136" t="s">
        <v>133</v>
      </c>
      <c r="E478" s="106">
        <v>0.0</v>
      </c>
      <c r="F478" s="136" t="str">
        <f>IFERROR(__xludf.DUMMYFUNCTION("""COMPUTED_VALUE"""),"")</f>
        <v/>
      </c>
      <c r="G478" s="106" t="str">
        <f>IFERROR(__xludf.DUMMYFUNCTION("""COMPUTED_VALUE"""),"")</f>
        <v/>
      </c>
      <c r="I478" s="136" t="str">
        <f>IFERROR(__xludf.DUMMYFUNCTION("""COMPUTED_VALUE"""),"")</f>
        <v/>
      </c>
      <c r="J478" s="106" t="str">
        <f>IFERROR(__xludf.DUMMYFUNCTION("""COMPUTED_VALUE"""),"")</f>
        <v/>
      </c>
      <c r="L478" s="136" t="str">
        <f>IFERROR(__xludf.DUMMYFUNCTION("""COMPUTED_VALUE"""),"")</f>
        <v/>
      </c>
      <c r="M478" s="106" t="str">
        <f>IFERROR(__xludf.DUMMYFUNCTION("""COMPUTED_VALUE"""),"")</f>
        <v/>
      </c>
      <c r="O478" s="136" t="str">
        <f>IFERROR(__xludf.DUMMYFUNCTION("""COMPUTED_VALUE"""),"")</f>
        <v/>
      </c>
      <c r="P478" s="106" t="str">
        <f>IFERROR(__xludf.DUMMYFUNCTION("""COMPUTED_VALUE"""),"")</f>
        <v/>
      </c>
      <c r="R478" s="136" t="str">
        <f>IFERROR(__xludf.DUMMYFUNCTION("""COMPUTED_VALUE"""),"")</f>
        <v/>
      </c>
      <c r="S478" s="106" t="str">
        <f>IFERROR(__xludf.DUMMYFUNCTION("""COMPUTED_VALUE"""),"")</f>
        <v/>
      </c>
    </row>
    <row r="479">
      <c r="A479" s="136" t="s">
        <v>133</v>
      </c>
      <c r="B479" s="136"/>
      <c r="C479" s="136" t="s">
        <v>133</v>
      </c>
      <c r="D479" s="136" t="s">
        <v>133</v>
      </c>
      <c r="E479" s="106">
        <v>0.0</v>
      </c>
      <c r="F479" s="136" t="str">
        <f>IFERROR(__xludf.DUMMYFUNCTION("""COMPUTED_VALUE"""),"")</f>
        <v/>
      </c>
      <c r="G479" s="106" t="str">
        <f>IFERROR(__xludf.DUMMYFUNCTION("""COMPUTED_VALUE"""),"")</f>
        <v/>
      </c>
      <c r="I479" s="136" t="str">
        <f>IFERROR(__xludf.DUMMYFUNCTION("""COMPUTED_VALUE"""),"")</f>
        <v/>
      </c>
      <c r="J479" s="106" t="str">
        <f>IFERROR(__xludf.DUMMYFUNCTION("""COMPUTED_VALUE"""),"")</f>
        <v/>
      </c>
      <c r="L479" s="136" t="str">
        <f>IFERROR(__xludf.DUMMYFUNCTION("""COMPUTED_VALUE"""),"")</f>
        <v/>
      </c>
      <c r="M479" s="106" t="str">
        <f>IFERROR(__xludf.DUMMYFUNCTION("""COMPUTED_VALUE"""),"")</f>
        <v/>
      </c>
      <c r="O479" s="136" t="str">
        <f>IFERROR(__xludf.DUMMYFUNCTION("""COMPUTED_VALUE"""),"")</f>
        <v/>
      </c>
      <c r="P479" s="106" t="str">
        <f>IFERROR(__xludf.DUMMYFUNCTION("""COMPUTED_VALUE"""),"")</f>
        <v/>
      </c>
      <c r="R479" s="136" t="str">
        <f>IFERROR(__xludf.DUMMYFUNCTION("""COMPUTED_VALUE"""),"")</f>
        <v/>
      </c>
      <c r="S479" s="106" t="str">
        <f>IFERROR(__xludf.DUMMYFUNCTION("""COMPUTED_VALUE"""),"")</f>
        <v/>
      </c>
    </row>
    <row r="480">
      <c r="A480" s="136" t="s">
        <v>133</v>
      </c>
      <c r="B480" s="136"/>
      <c r="C480" s="136" t="s">
        <v>133</v>
      </c>
      <c r="D480" s="136" t="s">
        <v>133</v>
      </c>
      <c r="E480" s="106">
        <v>0.0</v>
      </c>
      <c r="F480" s="136" t="str">
        <f>IFERROR(__xludf.DUMMYFUNCTION("""COMPUTED_VALUE"""),"")</f>
        <v/>
      </c>
      <c r="G480" s="106" t="str">
        <f>IFERROR(__xludf.DUMMYFUNCTION("""COMPUTED_VALUE"""),"")</f>
        <v/>
      </c>
      <c r="I480" s="136" t="str">
        <f>IFERROR(__xludf.DUMMYFUNCTION("""COMPUTED_VALUE"""),"")</f>
        <v/>
      </c>
      <c r="J480" s="106" t="str">
        <f>IFERROR(__xludf.DUMMYFUNCTION("""COMPUTED_VALUE"""),"")</f>
        <v/>
      </c>
      <c r="L480" s="136" t="str">
        <f>IFERROR(__xludf.DUMMYFUNCTION("""COMPUTED_VALUE"""),"")</f>
        <v/>
      </c>
      <c r="M480" s="106" t="str">
        <f>IFERROR(__xludf.DUMMYFUNCTION("""COMPUTED_VALUE"""),"")</f>
        <v/>
      </c>
      <c r="O480" s="136" t="str">
        <f>IFERROR(__xludf.DUMMYFUNCTION("""COMPUTED_VALUE"""),"")</f>
        <v/>
      </c>
      <c r="P480" s="106" t="str">
        <f>IFERROR(__xludf.DUMMYFUNCTION("""COMPUTED_VALUE"""),"")</f>
        <v/>
      </c>
      <c r="R480" s="136" t="str">
        <f>IFERROR(__xludf.DUMMYFUNCTION("""COMPUTED_VALUE"""),"")</f>
        <v/>
      </c>
      <c r="S480" s="106" t="str">
        <f>IFERROR(__xludf.DUMMYFUNCTION("""COMPUTED_VALUE"""),"")</f>
        <v/>
      </c>
    </row>
    <row r="481">
      <c r="A481" s="136" t="s">
        <v>133</v>
      </c>
      <c r="B481" s="136"/>
      <c r="C481" s="136" t="s">
        <v>133</v>
      </c>
      <c r="D481" s="136" t="s">
        <v>133</v>
      </c>
      <c r="E481" s="106">
        <v>0.0</v>
      </c>
      <c r="F481" s="136" t="str">
        <f>IFERROR(__xludf.DUMMYFUNCTION("""COMPUTED_VALUE"""),"")</f>
        <v/>
      </c>
      <c r="G481" s="106" t="str">
        <f>IFERROR(__xludf.DUMMYFUNCTION("""COMPUTED_VALUE"""),"")</f>
        <v/>
      </c>
      <c r="I481" s="136" t="str">
        <f>IFERROR(__xludf.DUMMYFUNCTION("""COMPUTED_VALUE"""),"")</f>
        <v/>
      </c>
      <c r="J481" s="106" t="str">
        <f>IFERROR(__xludf.DUMMYFUNCTION("""COMPUTED_VALUE"""),"")</f>
        <v/>
      </c>
      <c r="L481" s="136" t="str">
        <f>IFERROR(__xludf.DUMMYFUNCTION("""COMPUTED_VALUE"""),"")</f>
        <v/>
      </c>
      <c r="M481" s="106" t="str">
        <f>IFERROR(__xludf.DUMMYFUNCTION("""COMPUTED_VALUE"""),"")</f>
        <v/>
      </c>
      <c r="O481" s="136" t="str">
        <f>IFERROR(__xludf.DUMMYFUNCTION("""COMPUTED_VALUE"""),"")</f>
        <v/>
      </c>
      <c r="P481" s="106" t="str">
        <f>IFERROR(__xludf.DUMMYFUNCTION("""COMPUTED_VALUE"""),"")</f>
        <v/>
      </c>
      <c r="R481" s="136" t="str">
        <f>IFERROR(__xludf.DUMMYFUNCTION("""COMPUTED_VALUE"""),"")</f>
        <v/>
      </c>
      <c r="S481" s="106" t="str">
        <f>IFERROR(__xludf.DUMMYFUNCTION("""COMPUTED_VALUE"""),"")</f>
        <v/>
      </c>
    </row>
    <row r="482">
      <c r="A482" s="136" t="s">
        <v>133</v>
      </c>
      <c r="B482" s="136"/>
      <c r="C482" s="136" t="s">
        <v>133</v>
      </c>
      <c r="D482" s="136" t="s">
        <v>133</v>
      </c>
      <c r="E482" s="106">
        <v>0.0</v>
      </c>
      <c r="F482" s="136" t="str">
        <f>IFERROR(__xludf.DUMMYFUNCTION("""COMPUTED_VALUE"""),"")</f>
        <v/>
      </c>
      <c r="G482" s="106" t="str">
        <f>IFERROR(__xludf.DUMMYFUNCTION("""COMPUTED_VALUE"""),"")</f>
        <v/>
      </c>
      <c r="I482" s="136" t="str">
        <f>IFERROR(__xludf.DUMMYFUNCTION("""COMPUTED_VALUE"""),"")</f>
        <v/>
      </c>
      <c r="J482" s="106" t="str">
        <f>IFERROR(__xludf.DUMMYFUNCTION("""COMPUTED_VALUE"""),"")</f>
        <v/>
      </c>
      <c r="L482" s="136" t="str">
        <f>IFERROR(__xludf.DUMMYFUNCTION("""COMPUTED_VALUE"""),"")</f>
        <v/>
      </c>
      <c r="M482" s="106" t="str">
        <f>IFERROR(__xludf.DUMMYFUNCTION("""COMPUTED_VALUE"""),"")</f>
        <v/>
      </c>
      <c r="O482" s="136" t="str">
        <f>IFERROR(__xludf.DUMMYFUNCTION("""COMPUTED_VALUE"""),"")</f>
        <v/>
      </c>
      <c r="P482" s="106" t="str">
        <f>IFERROR(__xludf.DUMMYFUNCTION("""COMPUTED_VALUE"""),"")</f>
        <v/>
      </c>
      <c r="R482" s="136" t="str">
        <f>IFERROR(__xludf.DUMMYFUNCTION("""COMPUTED_VALUE"""),"")</f>
        <v/>
      </c>
      <c r="S482" s="106" t="str">
        <f>IFERROR(__xludf.DUMMYFUNCTION("""COMPUTED_VALUE"""),"")</f>
        <v/>
      </c>
    </row>
    <row r="483">
      <c r="A483" s="136" t="s">
        <v>133</v>
      </c>
      <c r="B483" s="136"/>
      <c r="C483" s="136" t="s">
        <v>133</v>
      </c>
      <c r="D483" s="136" t="s">
        <v>133</v>
      </c>
      <c r="E483" s="106">
        <v>0.0</v>
      </c>
      <c r="F483" s="136" t="str">
        <f>IFERROR(__xludf.DUMMYFUNCTION("""COMPUTED_VALUE"""),"")</f>
        <v/>
      </c>
      <c r="G483" s="106" t="str">
        <f>IFERROR(__xludf.DUMMYFUNCTION("""COMPUTED_VALUE"""),"")</f>
        <v/>
      </c>
      <c r="I483" s="136" t="str">
        <f>IFERROR(__xludf.DUMMYFUNCTION("""COMPUTED_VALUE"""),"")</f>
        <v/>
      </c>
      <c r="J483" s="106" t="str">
        <f>IFERROR(__xludf.DUMMYFUNCTION("""COMPUTED_VALUE"""),"")</f>
        <v/>
      </c>
      <c r="L483" s="136" t="str">
        <f>IFERROR(__xludf.DUMMYFUNCTION("""COMPUTED_VALUE"""),"")</f>
        <v/>
      </c>
      <c r="M483" s="106" t="str">
        <f>IFERROR(__xludf.DUMMYFUNCTION("""COMPUTED_VALUE"""),"")</f>
        <v/>
      </c>
      <c r="O483" s="136" t="str">
        <f>IFERROR(__xludf.DUMMYFUNCTION("""COMPUTED_VALUE"""),"")</f>
        <v/>
      </c>
      <c r="P483" s="106" t="str">
        <f>IFERROR(__xludf.DUMMYFUNCTION("""COMPUTED_VALUE"""),"")</f>
        <v/>
      </c>
      <c r="R483" s="136" t="str">
        <f>IFERROR(__xludf.DUMMYFUNCTION("""COMPUTED_VALUE"""),"")</f>
        <v/>
      </c>
      <c r="S483" s="106" t="str">
        <f>IFERROR(__xludf.DUMMYFUNCTION("""COMPUTED_VALUE"""),"")</f>
        <v/>
      </c>
    </row>
    <row r="484">
      <c r="A484" s="136" t="s">
        <v>133</v>
      </c>
      <c r="B484" s="136"/>
      <c r="C484" s="136" t="s">
        <v>133</v>
      </c>
      <c r="D484" s="136" t="s">
        <v>133</v>
      </c>
      <c r="E484" s="106">
        <v>0.0</v>
      </c>
      <c r="F484" s="136" t="str">
        <f>IFERROR(__xludf.DUMMYFUNCTION("""COMPUTED_VALUE"""),"")</f>
        <v/>
      </c>
      <c r="G484" s="106" t="str">
        <f>IFERROR(__xludf.DUMMYFUNCTION("""COMPUTED_VALUE"""),"")</f>
        <v/>
      </c>
      <c r="I484" s="136" t="str">
        <f>IFERROR(__xludf.DUMMYFUNCTION("""COMPUTED_VALUE"""),"")</f>
        <v/>
      </c>
      <c r="J484" s="106" t="str">
        <f>IFERROR(__xludf.DUMMYFUNCTION("""COMPUTED_VALUE"""),"")</f>
        <v/>
      </c>
      <c r="L484" s="136" t="str">
        <f>IFERROR(__xludf.DUMMYFUNCTION("""COMPUTED_VALUE"""),"")</f>
        <v/>
      </c>
      <c r="M484" s="106" t="str">
        <f>IFERROR(__xludf.DUMMYFUNCTION("""COMPUTED_VALUE"""),"")</f>
        <v/>
      </c>
      <c r="O484" s="136" t="str">
        <f>IFERROR(__xludf.DUMMYFUNCTION("""COMPUTED_VALUE"""),"")</f>
        <v/>
      </c>
      <c r="P484" s="106" t="str">
        <f>IFERROR(__xludf.DUMMYFUNCTION("""COMPUTED_VALUE"""),"")</f>
        <v/>
      </c>
      <c r="R484" s="136" t="str">
        <f>IFERROR(__xludf.DUMMYFUNCTION("""COMPUTED_VALUE"""),"")</f>
        <v/>
      </c>
      <c r="S484" s="106" t="str">
        <f>IFERROR(__xludf.DUMMYFUNCTION("""COMPUTED_VALUE"""),"")</f>
        <v/>
      </c>
    </row>
    <row r="485">
      <c r="A485" s="136" t="s">
        <v>133</v>
      </c>
      <c r="B485" s="136"/>
      <c r="C485" s="136" t="s">
        <v>133</v>
      </c>
      <c r="D485" s="136" t="s">
        <v>133</v>
      </c>
      <c r="E485" s="106">
        <v>0.0</v>
      </c>
      <c r="F485" s="136" t="str">
        <f>IFERROR(__xludf.DUMMYFUNCTION("""COMPUTED_VALUE"""),"")</f>
        <v/>
      </c>
      <c r="G485" s="106" t="str">
        <f>IFERROR(__xludf.DUMMYFUNCTION("""COMPUTED_VALUE"""),"")</f>
        <v/>
      </c>
      <c r="I485" s="136" t="str">
        <f>IFERROR(__xludf.DUMMYFUNCTION("""COMPUTED_VALUE"""),"")</f>
        <v/>
      </c>
      <c r="J485" s="106" t="str">
        <f>IFERROR(__xludf.DUMMYFUNCTION("""COMPUTED_VALUE"""),"")</f>
        <v/>
      </c>
      <c r="L485" s="136" t="str">
        <f>IFERROR(__xludf.DUMMYFUNCTION("""COMPUTED_VALUE"""),"")</f>
        <v/>
      </c>
      <c r="M485" s="106" t="str">
        <f>IFERROR(__xludf.DUMMYFUNCTION("""COMPUTED_VALUE"""),"")</f>
        <v/>
      </c>
      <c r="O485" s="136" t="str">
        <f>IFERROR(__xludf.DUMMYFUNCTION("""COMPUTED_VALUE"""),"")</f>
        <v/>
      </c>
      <c r="P485" s="106" t="str">
        <f>IFERROR(__xludf.DUMMYFUNCTION("""COMPUTED_VALUE"""),"")</f>
        <v/>
      </c>
      <c r="R485" s="136" t="str">
        <f>IFERROR(__xludf.DUMMYFUNCTION("""COMPUTED_VALUE"""),"")</f>
        <v/>
      </c>
      <c r="S485" s="106" t="str">
        <f>IFERROR(__xludf.DUMMYFUNCTION("""COMPUTED_VALUE"""),"")</f>
        <v/>
      </c>
    </row>
    <row r="486">
      <c r="A486" s="136" t="s">
        <v>133</v>
      </c>
      <c r="B486" s="136"/>
      <c r="C486" s="136" t="s">
        <v>133</v>
      </c>
      <c r="D486" s="136" t="s">
        <v>133</v>
      </c>
      <c r="E486" s="106">
        <v>0.0</v>
      </c>
      <c r="F486" s="136" t="str">
        <f>IFERROR(__xludf.DUMMYFUNCTION("""COMPUTED_VALUE"""),"")</f>
        <v/>
      </c>
      <c r="G486" s="106" t="str">
        <f>IFERROR(__xludf.DUMMYFUNCTION("""COMPUTED_VALUE"""),"")</f>
        <v/>
      </c>
      <c r="I486" s="136" t="str">
        <f>IFERROR(__xludf.DUMMYFUNCTION("""COMPUTED_VALUE"""),"")</f>
        <v/>
      </c>
      <c r="J486" s="106" t="str">
        <f>IFERROR(__xludf.DUMMYFUNCTION("""COMPUTED_VALUE"""),"")</f>
        <v/>
      </c>
      <c r="L486" s="136" t="str">
        <f>IFERROR(__xludf.DUMMYFUNCTION("""COMPUTED_VALUE"""),"")</f>
        <v/>
      </c>
      <c r="M486" s="106" t="str">
        <f>IFERROR(__xludf.DUMMYFUNCTION("""COMPUTED_VALUE"""),"")</f>
        <v/>
      </c>
      <c r="O486" s="136" t="str">
        <f>IFERROR(__xludf.DUMMYFUNCTION("""COMPUTED_VALUE"""),"")</f>
        <v/>
      </c>
      <c r="P486" s="106" t="str">
        <f>IFERROR(__xludf.DUMMYFUNCTION("""COMPUTED_VALUE"""),"")</f>
        <v/>
      </c>
      <c r="R486" s="136" t="str">
        <f>IFERROR(__xludf.DUMMYFUNCTION("""COMPUTED_VALUE"""),"")</f>
        <v/>
      </c>
      <c r="S486" s="106" t="str">
        <f>IFERROR(__xludf.DUMMYFUNCTION("""COMPUTED_VALUE"""),"")</f>
        <v/>
      </c>
    </row>
    <row r="487">
      <c r="A487" s="136" t="s">
        <v>133</v>
      </c>
      <c r="B487" s="136"/>
      <c r="C487" s="136" t="s">
        <v>133</v>
      </c>
      <c r="D487" s="136" t="s">
        <v>133</v>
      </c>
      <c r="E487" s="106">
        <v>0.0</v>
      </c>
      <c r="F487" s="136" t="str">
        <f>IFERROR(__xludf.DUMMYFUNCTION("""COMPUTED_VALUE"""),"")</f>
        <v/>
      </c>
      <c r="G487" s="106" t="str">
        <f>IFERROR(__xludf.DUMMYFUNCTION("""COMPUTED_VALUE"""),"")</f>
        <v/>
      </c>
      <c r="I487" s="136" t="str">
        <f>IFERROR(__xludf.DUMMYFUNCTION("""COMPUTED_VALUE"""),"")</f>
        <v/>
      </c>
      <c r="J487" s="106" t="str">
        <f>IFERROR(__xludf.DUMMYFUNCTION("""COMPUTED_VALUE"""),"")</f>
        <v/>
      </c>
      <c r="L487" s="136" t="str">
        <f>IFERROR(__xludf.DUMMYFUNCTION("""COMPUTED_VALUE"""),"")</f>
        <v/>
      </c>
      <c r="M487" s="106" t="str">
        <f>IFERROR(__xludf.DUMMYFUNCTION("""COMPUTED_VALUE"""),"")</f>
        <v/>
      </c>
      <c r="O487" s="136" t="str">
        <f>IFERROR(__xludf.DUMMYFUNCTION("""COMPUTED_VALUE"""),"")</f>
        <v/>
      </c>
      <c r="P487" s="106" t="str">
        <f>IFERROR(__xludf.DUMMYFUNCTION("""COMPUTED_VALUE"""),"")</f>
        <v/>
      </c>
      <c r="R487" s="136" t="str">
        <f>IFERROR(__xludf.DUMMYFUNCTION("""COMPUTED_VALUE"""),"")</f>
        <v/>
      </c>
      <c r="S487" s="106" t="str">
        <f>IFERROR(__xludf.DUMMYFUNCTION("""COMPUTED_VALUE"""),"")</f>
        <v/>
      </c>
    </row>
    <row r="488">
      <c r="A488" s="136" t="s">
        <v>133</v>
      </c>
      <c r="B488" s="136"/>
      <c r="C488" s="136" t="s">
        <v>133</v>
      </c>
      <c r="D488" s="136" t="s">
        <v>133</v>
      </c>
      <c r="E488" s="106">
        <v>0.0</v>
      </c>
      <c r="F488" s="136" t="str">
        <f>IFERROR(__xludf.DUMMYFUNCTION("""COMPUTED_VALUE"""),"")</f>
        <v/>
      </c>
      <c r="G488" s="106" t="str">
        <f>IFERROR(__xludf.DUMMYFUNCTION("""COMPUTED_VALUE"""),"")</f>
        <v/>
      </c>
      <c r="I488" s="136" t="str">
        <f>IFERROR(__xludf.DUMMYFUNCTION("""COMPUTED_VALUE"""),"")</f>
        <v/>
      </c>
      <c r="J488" s="106" t="str">
        <f>IFERROR(__xludf.DUMMYFUNCTION("""COMPUTED_VALUE"""),"")</f>
        <v/>
      </c>
      <c r="L488" s="136" t="str">
        <f>IFERROR(__xludf.DUMMYFUNCTION("""COMPUTED_VALUE"""),"")</f>
        <v/>
      </c>
      <c r="M488" s="106" t="str">
        <f>IFERROR(__xludf.DUMMYFUNCTION("""COMPUTED_VALUE"""),"")</f>
        <v/>
      </c>
      <c r="O488" s="136" t="str">
        <f>IFERROR(__xludf.DUMMYFUNCTION("""COMPUTED_VALUE"""),"")</f>
        <v/>
      </c>
      <c r="P488" s="106" t="str">
        <f>IFERROR(__xludf.DUMMYFUNCTION("""COMPUTED_VALUE"""),"")</f>
        <v/>
      </c>
      <c r="R488" s="136" t="str">
        <f>IFERROR(__xludf.DUMMYFUNCTION("""COMPUTED_VALUE"""),"")</f>
        <v/>
      </c>
      <c r="S488" s="106" t="str">
        <f>IFERROR(__xludf.DUMMYFUNCTION("""COMPUTED_VALUE"""),"")</f>
        <v/>
      </c>
    </row>
    <row r="489">
      <c r="A489" s="136" t="s">
        <v>133</v>
      </c>
      <c r="B489" s="136"/>
      <c r="C489" s="136" t="s">
        <v>133</v>
      </c>
      <c r="D489" s="136" t="s">
        <v>133</v>
      </c>
      <c r="E489" s="106">
        <v>0.0</v>
      </c>
      <c r="F489" s="136" t="str">
        <f>IFERROR(__xludf.DUMMYFUNCTION("""COMPUTED_VALUE"""),"")</f>
        <v/>
      </c>
      <c r="G489" s="106" t="str">
        <f>IFERROR(__xludf.DUMMYFUNCTION("""COMPUTED_VALUE"""),"")</f>
        <v/>
      </c>
      <c r="I489" s="136" t="str">
        <f>IFERROR(__xludf.DUMMYFUNCTION("""COMPUTED_VALUE"""),"")</f>
        <v/>
      </c>
      <c r="J489" s="106" t="str">
        <f>IFERROR(__xludf.DUMMYFUNCTION("""COMPUTED_VALUE"""),"")</f>
        <v/>
      </c>
      <c r="L489" s="136" t="str">
        <f>IFERROR(__xludf.DUMMYFUNCTION("""COMPUTED_VALUE"""),"")</f>
        <v/>
      </c>
      <c r="M489" s="106" t="str">
        <f>IFERROR(__xludf.DUMMYFUNCTION("""COMPUTED_VALUE"""),"")</f>
        <v/>
      </c>
      <c r="O489" s="136" t="str">
        <f>IFERROR(__xludf.DUMMYFUNCTION("""COMPUTED_VALUE"""),"")</f>
        <v/>
      </c>
      <c r="P489" s="106" t="str">
        <f>IFERROR(__xludf.DUMMYFUNCTION("""COMPUTED_VALUE"""),"")</f>
        <v/>
      </c>
      <c r="R489" s="136" t="str">
        <f>IFERROR(__xludf.DUMMYFUNCTION("""COMPUTED_VALUE"""),"")</f>
        <v/>
      </c>
      <c r="S489" s="106" t="str">
        <f>IFERROR(__xludf.DUMMYFUNCTION("""COMPUTED_VALUE"""),"")</f>
        <v/>
      </c>
    </row>
    <row r="490">
      <c r="A490" s="136" t="s">
        <v>133</v>
      </c>
      <c r="B490" s="136"/>
      <c r="C490" s="136" t="s">
        <v>133</v>
      </c>
      <c r="D490" s="136" t="s">
        <v>133</v>
      </c>
      <c r="E490" s="106">
        <v>0.0</v>
      </c>
      <c r="F490" s="136" t="str">
        <f>IFERROR(__xludf.DUMMYFUNCTION("""COMPUTED_VALUE"""),"")</f>
        <v/>
      </c>
      <c r="G490" s="106" t="str">
        <f>IFERROR(__xludf.DUMMYFUNCTION("""COMPUTED_VALUE"""),"")</f>
        <v/>
      </c>
      <c r="I490" s="136" t="str">
        <f>IFERROR(__xludf.DUMMYFUNCTION("""COMPUTED_VALUE"""),"")</f>
        <v/>
      </c>
      <c r="J490" s="106" t="str">
        <f>IFERROR(__xludf.DUMMYFUNCTION("""COMPUTED_VALUE"""),"")</f>
        <v/>
      </c>
      <c r="L490" s="136" t="str">
        <f>IFERROR(__xludf.DUMMYFUNCTION("""COMPUTED_VALUE"""),"")</f>
        <v/>
      </c>
      <c r="M490" s="106" t="str">
        <f>IFERROR(__xludf.DUMMYFUNCTION("""COMPUTED_VALUE"""),"")</f>
        <v/>
      </c>
      <c r="O490" s="136" t="str">
        <f>IFERROR(__xludf.DUMMYFUNCTION("""COMPUTED_VALUE"""),"")</f>
        <v/>
      </c>
      <c r="P490" s="106" t="str">
        <f>IFERROR(__xludf.DUMMYFUNCTION("""COMPUTED_VALUE"""),"")</f>
        <v/>
      </c>
      <c r="R490" s="136" t="str">
        <f>IFERROR(__xludf.DUMMYFUNCTION("""COMPUTED_VALUE"""),"")</f>
        <v/>
      </c>
      <c r="S490" s="106" t="str">
        <f>IFERROR(__xludf.DUMMYFUNCTION("""COMPUTED_VALUE"""),"")</f>
        <v/>
      </c>
    </row>
    <row r="491">
      <c r="A491" s="136" t="s">
        <v>133</v>
      </c>
      <c r="B491" s="136"/>
      <c r="C491" s="136" t="s">
        <v>133</v>
      </c>
      <c r="D491" s="136" t="s">
        <v>133</v>
      </c>
      <c r="E491" s="106">
        <v>0.0</v>
      </c>
      <c r="F491" s="136" t="str">
        <f>IFERROR(__xludf.DUMMYFUNCTION("""COMPUTED_VALUE"""),"")</f>
        <v/>
      </c>
      <c r="G491" s="106" t="str">
        <f>IFERROR(__xludf.DUMMYFUNCTION("""COMPUTED_VALUE"""),"")</f>
        <v/>
      </c>
      <c r="I491" s="136" t="str">
        <f>IFERROR(__xludf.DUMMYFUNCTION("""COMPUTED_VALUE"""),"")</f>
        <v/>
      </c>
      <c r="J491" s="106" t="str">
        <f>IFERROR(__xludf.DUMMYFUNCTION("""COMPUTED_VALUE"""),"")</f>
        <v/>
      </c>
      <c r="L491" s="136" t="str">
        <f>IFERROR(__xludf.DUMMYFUNCTION("""COMPUTED_VALUE"""),"")</f>
        <v/>
      </c>
      <c r="M491" s="106" t="str">
        <f>IFERROR(__xludf.DUMMYFUNCTION("""COMPUTED_VALUE"""),"")</f>
        <v/>
      </c>
      <c r="O491" s="136" t="str">
        <f>IFERROR(__xludf.DUMMYFUNCTION("""COMPUTED_VALUE"""),"")</f>
        <v/>
      </c>
      <c r="P491" s="106" t="str">
        <f>IFERROR(__xludf.DUMMYFUNCTION("""COMPUTED_VALUE"""),"")</f>
        <v/>
      </c>
      <c r="R491" s="136" t="str">
        <f>IFERROR(__xludf.DUMMYFUNCTION("""COMPUTED_VALUE"""),"")</f>
        <v/>
      </c>
      <c r="S491" s="106" t="str">
        <f>IFERROR(__xludf.DUMMYFUNCTION("""COMPUTED_VALUE"""),"")</f>
        <v/>
      </c>
    </row>
    <row r="492">
      <c r="A492" s="136" t="s">
        <v>133</v>
      </c>
      <c r="B492" s="136"/>
      <c r="C492" s="136" t="s">
        <v>133</v>
      </c>
      <c r="D492" s="136" t="s">
        <v>133</v>
      </c>
      <c r="E492" s="106">
        <v>0.0</v>
      </c>
      <c r="F492" s="136" t="str">
        <f>IFERROR(__xludf.DUMMYFUNCTION("""COMPUTED_VALUE"""),"")</f>
        <v/>
      </c>
      <c r="G492" s="106" t="str">
        <f>IFERROR(__xludf.DUMMYFUNCTION("""COMPUTED_VALUE"""),"")</f>
        <v/>
      </c>
      <c r="I492" s="136" t="str">
        <f>IFERROR(__xludf.DUMMYFUNCTION("""COMPUTED_VALUE"""),"")</f>
        <v/>
      </c>
      <c r="J492" s="106" t="str">
        <f>IFERROR(__xludf.DUMMYFUNCTION("""COMPUTED_VALUE"""),"")</f>
        <v/>
      </c>
      <c r="L492" s="136" t="str">
        <f>IFERROR(__xludf.DUMMYFUNCTION("""COMPUTED_VALUE"""),"")</f>
        <v/>
      </c>
      <c r="M492" s="106" t="str">
        <f>IFERROR(__xludf.DUMMYFUNCTION("""COMPUTED_VALUE"""),"")</f>
        <v/>
      </c>
      <c r="O492" s="136" t="str">
        <f>IFERROR(__xludf.DUMMYFUNCTION("""COMPUTED_VALUE"""),"")</f>
        <v/>
      </c>
      <c r="P492" s="106" t="str">
        <f>IFERROR(__xludf.DUMMYFUNCTION("""COMPUTED_VALUE"""),"")</f>
        <v/>
      </c>
      <c r="R492" s="136" t="str">
        <f>IFERROR(__xludf.DUMMYFUNCTION("""COMPUTED_VALUE"""),"")</f>
        <v/>
      </c>
      <c r="S492" s="106" t="str">
        <f>IFERROR(__xludf.DUMMYFUNCTION("""COMPUTED_VALUE"""),"")</f>
        <v/>
      </c>
    </row>
    <row r="493">
      <c r="A493" s="136" t="s">
        <v>133</v>
      </c>
      <c r="B493" s="136"/>
      <c r="C493" s="136" t="s">
        <v>133</v>
      </c>
      <c r="D493" s="136" t="s">
        <v>133</v>
      </c>
      <c r="E493" s="106">
        <v>0.0</v>
      </c>
      <c r="F493" s="136" t="str">
        <f>IFERROR(__xludf.DUMMYFUNCTION("""COMPUTED_VALUE"""),"")</f>
        <v/>
      </c>
      <c r="G493" s="106" t="str">
        <f>IFERROR(__xludf.DUMMYFUNCTION("""COMPUTED_VALUE"""),"")</f>
        <v/>
      </c>
      <c r="I493" s="136" t="str">
        <f>IFERROR(__xludf.DUMMYFUNCTION("""COMPUTED_VALUE"""),"")</f>
        <v/>
      </c>
      <c r="J493" s="106" t="str">
        <f>IFERROR(__xludf.DUMMYFUNCTION("""COMPUTED_VALUE"""),"")</f>
        <v/>
      </c>
      <c r="L493" s="136" t="str">
        <f>IFERROR(__xludf.DUMMYFUNCTION("""COMPUTED_VALUE"""),"")</f>
        <v/>
      </c>
      <c r="M493" s="106" t="str">
        <f>IFERROR(__xludf.DUMMYFUNCTION("""COMPUTED_VALUE"""),"")</f>
        <v/>
      </c>
      <c r="O493" s="136" t="str">
        <f>IFERROR(__xludf.DUMMYFUNCTION("""COMPUTED_VALUE"""),"")</f>
        <v/>
      </c>
      <c r="P493" s="106" t="str">
        <f>IFERROR(__xludf.DUMMYFUNCTION("""COMPUTED_VALUE"""),"")</f>
        <v/>
      </c>
      <c r="R493" s="136" t="str">
        <f>IFERROR(__xludf.DUMMYFUNCTION("""COMPUTED_VALUE"""),"")</f>
        <v/>
      </c>
      <c r="S493" s="106" t="str">
        <f>IFERROR(__xludf.DUMMYFUNCTION("""COMPUTED_VALUE"""),"")</f>
        <v/>
      </c>
    </row>
    <row r="494">
      <c r="A494" s="136" t="s">
        <v>133</v>
      </c>
      <c r="B494" s="136"/>
      <c r="C494" s="136" t="s">
        <v>133</v>
      </c>
      <c r="D494" s="136" t="s">
        <v>133</v>
      </c>
      <c r="E494" s="106">
        <v>0.0</v>
      </c>
      <c r="F494" s="136" t="str">
        <f>IFERROR(__xludf.DUMMYFUNCTION("""COMPUTED_VALUE"""),"")</f>
        <v/>
      </c>
      <c r="G494" s="106" t="str">
        <f>IFERROR(__xludf.DUMMYFUNCTION("""COMPUTED_VALUE"""),"")</f>
        <v/>
      </c>
      <c r="I494" s="136" t="str">
        <f>IFERROR(__xludf.DUMMYFUNCTION("""COMPUTED_VALUE"""),"")</f>
        <v/>
      </c>
      <c r="J494" s="106" t="str">
        <f>IFERROR(__xludf.DUMMYFUNCTION("""COMPUTED_VALUE"""),"")</f>
        <v/>
      </c>
      <c r="L494" s="136" t="str">
        <f>IFERROR(__xludf.DUMMYFUNCTION("""COMPUTED_VALUE"""),"")</f>
        <v/>
      </c>
      <c r="M494" s="106" t="str">
        <f>IFERROR(__xludf.DUMMYFUNCTION("""COMPUTED_VALUE"""),"")</f>
        <v/>
      </c>
      <c r="O494" s="136" t="str">
        <f>IFERROR(__xludf.DUMMYFUNCTION("""COMPUTED_VALUE"""),"")</f>
        <v/>
      </c>
      <c r="P494" s="106" t="str">
        <f>IFERROR(__xludf.DUMMYFUNCTION("""COMPUTED_VALUE"""),"")</f>
        <v/>
      </c>
      <c r="R494" s="136" t="str">
        <f>IFERROR(__xludf.DUMMYFUNCTION("""COMPUTED_VALUE"""),"")</f>
        <v/>
      </c>
      <c r="S494" s="106" t="str">
        <f>IFERROR(__xludf.DUMMYFUNCTION("""COMPUTED_VALUE"""),"")</f>
        <v/>
      </c>
    </row>
    <row r="495">
      <c r="A495" s="136" t="s">
        <v>133</v>
      </c>
      <c r="B495" s="136"/>
      <c r="C495" s="136" t="s">
        <v>133</v>
      </c>
      <c r="D495" s="136" t="s">
        <v>133</v>
      </c>
      <c r="E495" s="106">
        <v>0.0</v>
      </c>
      <c r="F495" s="136" t="str">
        <f>IFERROR(__xludf.DUMMYFUNCTION("""COMPUTED_VALUE"""),"")</f>
        <v/>
      </c>
      <c r="G495" s="106" t="str">
        <f>IFERROR(__xludf.DUMMYFUNCTION("""COMPUTED_VALUE"""),"")</f>
        <v/>
      </c>
      <c r="I495" s="136" t="str">
        <f>IFERROR(__xludf.DUMMYFUNCTION("""COMPUTED_VALUE"""),"")</f>
        <v/>
      </c>
      <c r="J495" s="106" t="str">
        <f>IFERROR(__xludf.DUMMYFUNCTION("""COMPUTED_VALUE"""),"")</f>
        <v/>
      </c>
      <c r="L495" s="136" t="str">
        <f>IFERROR(__xludf.DUMMYFUNCTION("""COMPUTED_VALUE"""),"")</f>
        <v/>
      </c>
      <c r="M495" s="106" t="str">
        <f>IFERROR(__xludf.DUMMYFUNCTION("""COMPUTED_VALUE"""),"")</f>
        <v/>
      </c>
      <c r="O495" s="136" t="str">
        <f>IFERROR(__xludf.DUMMYFUNCTION("""COMPUTED_VALUE"""),"")</f>
        <v/>
      </c>
      <c r="P495" s="106" t="str">
        <f>IFERROR(__xludf.DUMMYFUNCTION("""COMPUTED_VALUE"""),"")</f>
        <v/>
      </c>
      <c r="R495" s="136" t="str">
        <f>IFERROR(__xludf.DUMMYFUNCTION("""COMPUTED_VALUE"""),"")</f>
        <v/>
      </c>
      <c r="S495" s="106" t="str">
        <f>IFERROR(__xludf.DUMMYFUNCTION("""COMPUTED_VALUE"""),"")</f>
        <v/>
      </c>
    </row>
    <row r="496">
      <c r="A496" s="136" t="s">
        <v>133</v>
      </c>
      <c r="B496" s="136"/>
      <c r="C496" s="136" t="s">
        <v>133</v>
      </c>
      <c r="D496" s="136" t="s">
        <v>133</v>
      </c>
      <c r="E496" s="106">
        <v>0.0</v>
      </c>
      <c r="F496" s="136" t="str">
        <f>IFERROR(__xludf.DUMMYFUNCTION("""COMPUTED_VALUE"""),"")</f>
        <v/>
      </c>
      <c r="G496" s="106" t="str">
        <f>IFERROR(__xludf.DUMMYFUNCTION("""COMPUTED_VALUE"""),"")</f>
        <v/>
      </c>
      <c r="I496" s="136" t="str">
        <f>IFERROR(__xludf.DUMMYFUNCTION("""COMPUTED_VALUE"""),"")</f>
        <v/>
      </c>
      <c r="J496" s="106" t="str">
        <f>IFERROR(__xludf.DUMMYFUNCTION("""COMPUTED_VALUE"""),"")</f>
        <v/>
      </c>
      <c r="L496" s="136" t="str">
        <f>IFERROR(__xludf.DUMMYFUNCTION("""COMPUTED_VALUE"""),"")</f>
        <v/>
      </c>
      <c r="M496" s="106" t="str">
        <f>IFERROR(__xludf.DUMMYFUNCTION("""COMPUTED_VALUE"""),"")</f>
        <v/>
      </c>
      <c r="O496" s="136" t="str">
        <f>IFERROR(__xludf.DUMMYFUNCTION("""COMPUTED_VALUE"""),"")</f>
        <v/>
      </c>
      <c r="P496" s="106" t="str">
        <f>IFERROR(__xludf.DUMMYFUNCTION("""COMPUTED_VALUE"""),"")</f>
        <v/>
      </c>
      <c r="R496" s="136" t="str">
        <f>IFERROR(__xludf.DUMMYFUNCTION("""COMPUTED_VALUE"""),"")</f>
        <v/>
      </c>
      <c r="S496" s="106" t="str">
        <f>IFERROR(__xludf.DUMMYFUNCTION("""COMPUTED_VALUE"""),"")</f>
        <v/>
      </c>
    </row>
    <row r="497">
      <c r="A497" s="136" t="s">
        <v>133</v>
      </c>
      <c r="B497" s="136"/>
      <c r="C497" s="136" t="s">
        <v>133</v>
      </c>
      <c r="D497" s="136" t="s">
        <v>133</v>
      </c>
      <c r="E497" s="106">
        <v>0.0</v>
      </c>
      <c r="F497" s="136" t="str">
        <f>IFERROR(__xludf.DUMMYFUNCTION("""COMPUTED_VALUE"""),"")</f>
        <v/>
      </c>
      <c r="G497" s="106" t="str">
        <f>IFERROR(__xludf.DUMMYFUNCTION("""COMPUTED_VALUE"""),"")</f>
        <v/>
      </c>
      <c r="I497" s="136" t="str">
        <f>IFERROR(__xludf.DUMMYFUNCTION("""COMPUTED_VALUE"""),"")</f>
        <v/>
      </c>
      <c r="J497" s="106" t="str">
        <f>IFERROR(__xludf.DUMMYFUNCTION("""COMPUTED_VALUE"""),"")</f>
        <v/>
      </c>
      <c r="L497" s="136" t="str">
        <f>IFERROR(__xludf.DUMMYFUNCTION("""COMPUTED_VALUE"""),"")</f>
        <v/>
      </c>
      <c r="M497" s="106" t="str">
        <f>IFERROR(__xludf.DUMMYFUNCTION("""COMPUTED_VALUE"""),"")</f>
        <v/>
      </c>
      <c r="O497" s="136" t="str">
        <f>IFERROR(__xludf.DUMMYFUNCTION("""COMPUTED_VALUE"""),"")</f>
        <v/>
      </c>
      <c r="P497" s="106" t="str">
        <f>IFERROR(__xludf.DUMMYFUNCTION("""COMPUTED_VALUE"""),"")</f>
        <v/>
      </c>
      <c r="R497" s="136" t="str">
        <f>IFERROR(__xludf.DUMMYFUNCTION("""COMPUTED_VALUE"""),"")</f>
        <v/>
      </c>
      <c r="S497" s="106" t="str">
        <f>IFERROR(__xludf.DUMMYFUNCTION("""COMPUTED_VALUE"""),"")</f>
        <v/>
      </c>
    </row>
    <row r="498">
      <c r="A498" s="136" t="s">
        <v>133</v>
      </c>
      <c r="B498" s="136"/>
      <c r="C498" s="136" t="s">
        <v>133</v>
      </c>
      <c r="D498" s="136" t="s">
        <v>133</v>
      </c>
      <c r="E498" s="106">
        <v>0.0</v>
      </c>
      <c r="F498" s="136" t="str">
        <f>IFERROR(__xludf.DUMMYFUNCTION("""COMPUTED_VALUE"""),"")</f>
        <v/>
      </c>
      <c r="G498" s="106" t="str">
        <f>IFERROR(__xludf.DUMMYFUNCTION("""COMPUTED_VALUE"""),"")</f>
        <v/>
      </c>
      <c r="I498" s="136" t="str">
        <f>IFERROR(__xludf.DUMMYFUNCTION("""COMPUTED_VALUE"""),"")</f>
        <v/>
      </c>
      <c r="J498" s="106" t="str">
        <f>IFERROR(__xludf.DUMMYFUNCTION("""COMPUTED_VALUE"""),"")</f>
        <v/>
      </c>
      <c r="L498" s="136" t="str">
        <f>IFERROR(__xludf.DUMMYFUNCTION("""COMPUTED_VALUE"""),"")</f>
        <v/>
      </c>
      <c r="M498" s="106" t="str">
        <f>IFERROR(__xludf.DUMMYFUNCTION("""COMPUTED_VALUE"""),"")</f>
        <v/>
      </c>
      <c r="O498" s="136" t="str">
        <f>IFERROR(__xludf.DUMMYFUNCTION("""COMPUTED_VALUE"""),"")</f>
        <v/>
      </c>
      <c r="P498" s="106" t="str">
        <f>IFERROR(__xludf.DUMMYFUNCTION("""COMPUTED_VALUE"""),"")</f>
        <v/>
      </c>
      <c r="R498" s="136" t="str">
        <f>IFERROR(__xludf.DUMMYFUNCTION("""COMPUTED_VALUE"""),"")</f>
        <v/>
      </c>
      <c r="S498" s="106" t="str">
        <f>IFERROR(__xludf.DUMMYFUNCTION("""COMPUTED_VALUE"""),"")</f>
        <v/>
      </c>
    </row>
    <row r="499">
      <c r="A499" s="136" t="s">
        <v>133</v>
      </c>
      <c r="B499" s="136"/>
      <c r="C499" s="136" t="s">
        <v>133</v>
      </c>
      <c r="D499" s="136" t="s">
        <v>133</v>
      </c>
      <c r="E499" s="106">
        <v>0.0</v>
      </c>
      <c r="F499" s="136" t="str">
        <f>IFERROR(__xludf.DUMMYFUNCTION("""COMPUTED_VALUE"""),"")</f>
        <v/>
      </c>
      <c r="G499" s="106" t="str">
        <f>IFERROR(__xludf.DUMMYFUNCTION("""COMPUTED_VALUE"""),"")</f>
        <v/>
      </c>
      <c r="I499" s="136" t="str">
        <f>IFERROR(__xludf.DUMMYFUNCTION("""COMPUTED_VALUE"""),"")</f>
        <v/>
      </c>
      <c r="J499" s="106" t="str">
        <f>IFERROR(__xludf.DUMMYFUNCTION("""COMPUTED_VALUE"""),"")</f>
        <v/>
      </c>
      <c r="L499" s="136" t="str">
        <f>IFERROR(__xludf.DUMMYFUNCTION("""COMPUTED_VALUE"""),"")</f>
        <v/>
      </c>
      <c r="M499" s="106" t="str">
        <f>IFERROR(__xludf.DUMMYFUNCTION("""COMPUTED_VALUE"""),"")</f>
        <v/>
      </c>
      <c r="O499" s="136" t="str">
        <f>IFERROR(__xludf.DUMMYFUNCTION("""COMPUTED_VALUE"""),"")</f>
        <v/>
      </c>
      <c r="P499" s="106" t="str">
        <f>IFERROR(__xludf.DUMMYFUNCTION("""COMPUTED_VALUE"""),"")</f>
        <v/>
      </c>
      <c r="R499" s="136" t="str">
        <f>IFERROR(__xludf.DUMMYFUNCTION("""COMPUTED_VALUE"""),"")</f>
        <v/>
      </c>
      <c r="S499" s="106" t="str">
        <f>IFERROR(__xludf.DUMMYFUNCTION("""COMPUTED_VALUE"""),"")</f>
        <v/>
      </c>
    </row>
    <row r="500">
      <c r="A500" s="136" t="s">
        <v>133</v>
      </c>
      <c r="B500" s="136"/>
      <c r="C500" s="136" t="s">
        <v>133</v>
      </c>
      <c r="D500" s="136" t="s">
        <v>133</v>
      </c>
      <c r="E500" s="106">
        <v>0.0</v>
      </c>
      <c r="F500" s="136" t="str">
        <f>IFERROR(__xludf.DUMMYFUNCTION("""COMPUTED_VALUE"""),"")</f>
        <v/>
      </c>
      <c r="G500" s="106" t="str">
        <f>IFERROR(__xludf.DUMMYFUNCTION("""COMPUTED_VALUE"""),"")</f>
        <v/>
      </c>
      <c r="I500" s="136" t="str">
        <f>IFERROR(__xludf.DUMMYFUNCTION("""COMPUTED_VALUE"""),"")</f>
        <v/>
      </c>
      <c r="J500" s="106" t="str">
        <f>IFERROR(__xludf.DUMMYFUNCTION("""COMPUTED_VALUE"""),"")</f>
        <v/>
      </c>
      <c r="L500" s="136" t="str">
        <f>IFERROR(__xludf.DUMMYFUNCTION("""COMPUTED_VALUE"""),"")</f>
        <v/>
      </c>
      <c r="M500" s="106" t="str">
        <f>IFERROR(__xludf.DUMMYFUNCTION("""COMPUTED_VALUE"""),"")</f>
        <v/>
      </c>
      <c r="O500" s="136" t="str">
        <f>IFERROR(__xludf.DUMMYFUNCTION("""COMPUTED_VALUE"""),"")</f>
        <v/>
      </c>
      <c r="P500" s="106" t="str">
        <f>IFERROR(__xludf.DUMMYFUNCTION("""COMPUTED_VALUE"""),"")</f>
        <v/>
      </c>
      <c r="R500" s="136" t="str">
        <f>IFERROR(__xludf.DUMMYFUNCTION("""COMPUTED_VALUE"""),"")</f>
        <v/>
      </c>
      <c r="S500" s="106" t="str">
        <f>IFERROR(__xludf.DUMMYFUNCTION("""COMPUTED_VALUE"""),"")</f>
        <v/>
      </c>
    </row>
    <row r="501">
      <c r="A501" s="136" t="s">
        <v>133</v>
      </c>
      <c r="B501" s="136"/>
      <c r="C501" s="136" t="s">
        <v>133</v>
      </c>
      <c r="D501" s="136" t="s">
        <v>133</v>
      </c>
      <c r="E501" s="106">
        <v>0.0</v>
      </c>
      <c r="F501" s="136" t="str">
        <f>IFERROR(__xludf.DUMMYFUNCTION("""COMPUTED_VALUE"""),"")</f>
        <v/>
      </c>
      <c r="G501" s="106" t="str">
        <f>IFERROR(__xludf.DUMMYFUNCTION("""COMPUTED_VALUE"""),"")</f>
        <v/>
      </c>
      <c r="I501" s="136" t="str">
        <f>IFERROR(__xludf.DUMMYFUNCTION("""COMPUTED_VALUE"""),"")</f>
        <v/>
      </c>
      <c r="J501" s="106" t="str">
        <f>IFERROR(__xludf.DUMMYFUNCTION("""COMPUTED_VALUE"""),"")</f>
        <v/>
      </c>
      <c r="L501" s="136" t="str">
        <f>IFERROR(__xludf.DUMMYFUNCTION("""COMPUTED_VALUE"""),"")</f>
        <v/>
      </c>
      <c r="M501" s="106" t="str">
        <f>IFERROR(__xludf.DUMMYFUNCTION("""COMPUTED_VALUE"""),"")</f>
        <v/>
      </c>
      <c r="O501" s="136" t="str">
        <f>IFERROR(__xludf.DUMMYFUNCTION("""COMPUTED_VALUE"""),"")</f>
        <v/>
      </c>
      <c r="P501" s="106" t="str">
        <f>IFERROR(__xludf.DUMMYFUNCTION("""COMPUTED_VALUE"""),"")</f>
        <v/>
      </c>
      <c r="R501" s="136" t="str">
        <f>IFERROR(__xludf.DUMMYFUNCTION("""COMPUTED_VALUE"""),"")</f>
        <v/>
      </c>
      <c r="S501" s="106" t="str">
        <f>IFERROR(__xludf.DUMMYFUNCTION("""COMPUTED_VALUE"""),"")</f>
        <v/>
      </c>
    </row>
    <row r="502">
      <c r="A502" s="136" t="s">
        <v>133</v>
      </c>
      <c r="B502" s="136"/>
      <c r="C502" s="136" t="s">
        <v>133</v>
      </c>
      <c r="D502" s="136" t="s">
        <v>133</v>
      </c>
      <c r="E502" s="106">
        <v>0.0</v>
      </c>
      <c r="F502" s="136" t="str">
        <f>IFERROR(__xludf.DUMMYFUNCTION("""COMPUTED_VALUE"""),"")</f>
        <v/>
      </c>
      <c r="G502" s="106" t="str">
        <f>IFERROR(__xludf.DUMMYFUNCTION("""COMPUTED_VALUE"""),"")</f>
        <v/>
      </c>
      <c r="I502" s="136" t="str">
        <f>IFERROR(__xludf.DUMMYFUNCTION("""COMPUTED_VALUE"""),"")</f>
        <v/>
      </c>
      <c r="J502" s="106" t="str">
        <f>IFERROR(__xludf.DUMMYFUNCTION("""COMPUTED_VALUE"""),"")</f>
        <v/>
      </c>
      <c r="L502" s="136" t="str">
        <f>IFERROR(__xludf.DUMMYFUNCTION("""COMPUTED_VALUE"""),"")</f>
        <v/>
      </c>
      <c r="M502" s="106" t="str">
        <f>IFERROR(__xludf.DUMMYFUNCTION("""COMPUTED_VALUE"""),"")</f>
        <v/>
      </c>
      <c r="O502" s="136" t="str">
        <f>IFERROR(__xludf.DUMMYFUNCTION("""COMPUTED_VALUE"""),"")</f>
        <v/>
      </c>
      <c r="P502" s="106" t="str">
        <f>IFERROR(__xludf.DUMMYFUNCTION("""COMPUTED_VALUE"""),"")</f>
        <v/>
      </c>
      <c r="R502" s="136" t="str">
        <f>IFERROR(__xludf.DUMMYFUNCTION("""COMPUTED_VALUE"""),"")</f>
        <v/>
      </c>
      <c r="S502" s="106" t="str">
        <f>IFERROR(__xludf.DUMMYFUNCTION("""COMPUTED_VALUE"""),"")</f>
        <v/>
      </c>
    </row>
    <row r="503">
      <c r="A503" s="136" t="s">
        <v>133</v>
      </c>
      <c r="B503" s="136"/>
      <c r="C503" s="136" t="s">
        <v>133</v>
      </c>
      <c r="D503" s="136" t="s">
        <v>133</v>
      </c>
      <c r="E503" s="106">
        <v>0.0</v>
      </c>
      <c r="F503" s="136" t="str">
        <f>IFERROR(__xludf.DUMMYFUNCTION("""COMPUTED_VALUE"""),"")</f>
        <v/>
      </c>
      <c r="G503" s="106" t="str">
        <f>IFERROR(__xludf.DUMMYFUNCTION("""COMPUTED_VALUE"""),"")</f>
        <v/>
      </c>
      <c r="I503" s="136" t="str">
        <f>IFERROR(__xludf.DUMMYFUNCTION("""COMPUTED_VALUE"""),"")</f>
        <v/>
      </c>
      <c r="J503" s="106" t="str">
        <f>IFERROR(__xludf.DUMMYFUNCTION("""COMPUTED_VALUE"""),"")</f>
        <v/>
      </c>
      <c r="L503" s="136" t="str">
        <f>IFERROR(__xludf.DUMMYFUNCTION("""COMPUTED_VALUE"""),"")</f>
        <v/>
      </c>
      <c r="M503" s="106" t="str">
        <f>IFERROR(__xludf.DUMMYFUNCTION("""COMPUTED_VALUE"""),"")</f>
        <v/>
      </c>
      <c r="O503" s="136" t="str">
        <f>IFERROR(__xludf.DUMMYFUNCTION("""COMPUTED_VALUE"""),"")</f>
        <v/>
      </c>
      <c r="P503" s="106" t="str">
        <f>IFERROR(__xludf.DUMMYFUNCTION("""COMPUTED_VALUE"""),"")</f>
        <v/>
      </c>
      <c r="R503" s="136" t="str">
        <f>IFERROR(__xludf.DUMMYFUNCTION("""COMPUTED_VALUE"""),"")</f>
        <v/>
      </c>
      <c r="S503" s="106" t="str">
        <f>IFERROR(__xludf.DUMMYFUNCTION("""COMPUTED_VALUE"""),"")</f>
        <v/>
      </c>
    </row>
    <row r="504">
      <c r="A504" s="136" t="s">
        <v>133</v>
      </c>
      <c r="B504" s="136"/>
      <c r="C504" s="136" t="s">
        <v>133</v>
      </c>
      <c r="D504" s="136" t="s">
        <v>133</v>
      </c>
      <c r="E504" s="106">
        <v>0.0</v>
      </c>
      <c r="F504" s="136" t="str">
        <f>IFERROR(__xludf.DUMMYFUNCTION("""COMPUTED_VALUE"""),"")</f>
        <v/>
      </c>
      <c r="G504" s="106" t="str">
        <f>IFERROR(__xludf.DUMMYFUNCTION("""COMPUTED_VALUE"""),"")</f>
        <v/>
      </c>
      <c r="I504" s="136" t="str">
        <f>IFERROR(__xludf.DUMMYFUNCTION("""COMPUTED_VALUE"""),"")</f>
        <v/>
      </c>
      <c r="J504" s="106" t="str">
        <f>IFERROR(__xludf.DUMMYFUNCTION("""COMPUTED_VALUE"""),"")</f>
        <v/>
      </c>
      <c r="L504" s="136" t="str">
        <f>IFERROR(__xludf.DUMMYFUNCTION("""COMPUTED_VALUE"""),"")</f>
        <v/>
      </c>
      <c r="M504" s="106" t="str">
        <f>IFERROR(__xludf.DUMMYFUNCTION("""COMPUTED_VALUE"""),"")</f>
        <v/>
      </c>
      <c r="O504" s="136" t="str">
        <f>IFERROR(__xludf.DUMMYFUNCTION("""COMPUTED_VALUE"""),"")</f>
        <v/>
      </c>
      <c r="P504" s="106" t="str">
        <f>IFERROR(__xludf.DUMMYFUNCTION("""COMPUTED_VALUE"""),"")</f>
        <v/>
      </c>
      <c r="R504" s="136" t="str">
        <f>IFERROR(__xludf.DUMMYFUNCTION("""COMPUTED_VALUE"""),"")</f>
        <v/>
      </c>
      <c r="S504" s="106" t="str">
        <f>IFERROR(__xludf.DUMMYFUNCTION("""COMPUTED_VALUE"""),"")</f>
        <v/>
      </c>
    </row>
    <row r="505">
      <c r="A505" s="136" t="s">
        <v>133</v>
      </c>
      <c r="B505" s="136"/>
      <c r="C505" s="136" t="s">
        <v>133</v>
      </c>
      <c r="D505" s="136" t="s">
        <v>133</v>
      </c>
      <c r="E505" s="106">
        <v>0.0</v>
      </c>
      <c r="F505" s="136" t="str">
        <f>IFERROR(__xludf.DUMMYFUNCTION("""COMPUTED_VALUE"""),"")</f>
        <v/>
      </c>
      <c r="G505" s="106" t="str">
        <f>IFERROR(__xludf.DUMMYFUNCTION("""COMPUTED_VALUE"""),"")</f>
        <v/>
      </c>
      <c r="I505" s="136" t="str">
        <f>IFERROR(__xludf.DUMMYFUNCTION("""COMPUTED_VALUE"""),"")</f>
        <v/>
      </c>
      <c r="J505" s="106" t="str">
        <f>IFERROR(__xludf.DUMMYFUNCTION("""COMPUTED_VALUE"""),"")</f>
        <v/>
      </c>
      <c r="L505" s="136" t="str">
        <f>IFERROR(__xludf.DUMMYFUNCTION("""COMPUTED_VALUE"""),"")</f>
        <v/>
      </c>
      <c r="M505" s="106" t="str">
        <f>IFERROR(__xludf.DUMMYFUNCTION("""COMPUTED_VALUE"""),"")</f>
        <v/>
      </c>
      <c r="O505" s="136" t="str">
        <f>IFERROR(__xludf.DUMMYFUNCTION("""COMPUTED_VALUE"""),"")</f>
        <v/>
      </c>
      <c r="P505" s="106" t="str">
        <f>IFERROR(__xludf.DUMMYFUNCTION("""COMPUTED_VALUE"""),"")</f>
        <v/>
      </c>
      <c r="R505" s="136" t="str">
        <f>IFERROR(__xludf.DUMMYFUNCTION("""COMPUTED_VALUE"""),"")</f>
        <v/>
      </c>
      <c r="S505" s="106" t="str">
        <f>IFERROR(__xludf.DUMMYFUNCTION("""COMPUTED_VALUE"""),"")</f>
        <v/>
      </c>
    </row>
    <row r="506">
      <c r="A506" s="136" t="s">
        <v>133</v>
      </c>
      <c r="B506" s="136"/>
      <c r="C506" s="136" t="s">
        <v>133</v>
      </c>
      <c r="D506" s="136" t="s">
        <v>133</v>
      </c>
      <c r="E506" s="106">
        <v>0.0</v>
      </c>
      <c r="F506" s="136" t="str">
        <f>IFERROR(__xludf.DUMMYFUNCTION("""COMPUTED_VALUE"""),"")</f>
        <v/>
      </c>
      <c r="G506" s="106" t="str">
        <f>IFERROR(__xludf.DUMMYFUNCTION("""COMPUTED_VALUE"""),"")</f>
        <v/>
      </c>
      <c r="I506" s="136" t="str">
        <f>IFERROR(__xludf.DUMMYFUNCTION("""COMPUTED_VALUE"""),"")</f>
        <v/>
      </c>
      <c r="J506" s="106" t="str">
        <f>IFERROR(__xludf.DUMMYFUNCTION("""COMPUTED_VALUE"""),"")</f>
        <v/>
      </c>
      <c r="L506" s="136" t="str">
        <f>IFERROR(__xludf.DUMMYFUNCTION("""COMPUTED_VALUE"""),"")</f>
        <v/>
      </c>
      <c r="M506" s="106" t="str">
        <f>IFERROR(__xludf.DUMMYFUNCTION("""COMPUTED_VALUE"""),"")</f>
        <v/>
      </c>
      <c r="O506" s="136" t="str">
        <f>IFERROR(__xludf.DUMMYFUNCTION("""COMPUTED_VALUE"""),"")</f>
        <v/>
      </c>
      <c r="P506" s="106" t="str">
        <f>IFERROR(__xludf.DUMMYFUNCTION("""COMPUTED_VALUE"""),"")</f>
        <v/>
      </c>
      <c r="R506" s="136" t="str">
        <f>IFERROR(__xludf.DUMMYFUNCTION("""COMPUTED_VALUE"""),"")</f>
        <v/>
      </c>
      <c r="S506" s="106" t="str">
        <f>IFERROR(__xludf.DUMMYFUNCTION("""COMPUTED_VALUE"""),"")</f>
        <v/>
      </c>
    </row>
    <row r="507">
      <c r="A507" s="136" t="s">
        <v>133</v>
      </c>
      <c r="B507" s="136"/>
      <c r="C507" s="136" t="s">
        <v>133</v>
      </c>
      <c r="D507" s="136" t="s">
        <v>133</v>
      </c>
      <c r="E507" s="106">
        <v>0.0</v>
      </c>
      <c r="F507" s="136" t="str">
        <f>IFERROR(__xludf.DUMMYFUNCTION("""COMPUTED_VALUE"""),"")</f>
        <v/>
      </c>
      <c r="G507" s="106" t="str">
        <f>IFERROR(__xludf.DUMMYFUNCTION("""COMPUTED_VALUE"""),"")</f>
        <v/>
      </c>
      <c r="I507" s="136" t="str">
        <f>IFERROR(__xludf.DUMMYFUNCTION("""COMPUTED_VALUE"""),"")</f>
        <v/>
      </c>
      <c r="J507" s="106" t="str">
        <f>IFERROR(__xludf.DUMMYFUNCTION("""COMPUTED_VALUE"""),"")</f>
        <v/>
      </c>
      <c r="L507" s="136" t="str">
        <f>IFERROR(__xludf.DUMMYFUNCTION("""COMPUTED_VALUE"""),"")</f>
        <v/>
      </c>
      <c r="M507" s="106" t="str">
        <f>IFERROR(__xludf.DUMMYFUNCTION("""COMPUTED_VALUE"""),"")</f>
        <v/>
      </c>
      <c r="O507" s="136" t="str">
        <f>IFERROR(__xludf.DUMMYFUNCTION("""COMPUTED_VALUE"""),"")</f>
        <v/>
      </c>
      <c r="P507" s="106" t="str">
        <f>IFERROR(__xludf.DUMMYFUNCTION("""COMPUTED_VALUE"""),"")</f>
        <v/>
      </c>
      <c r="R507" s="136" t="str">
        <f>IFERROR(__xludf.DUMMYFUNCTION("""COMPUTED_VALUE"""),"")</f>
        <v/>
      </c>
      <c r="S507" s="106" t="str">
        <f>IFERROR(__xludf.DUMMYFUNCTION("""COMPUTED_VALUE"""),"")</f>
        <v/>
      </c>
    </row>
    <row r="508">
      <c r="A508" s="136" t="s">
        <v>133</v>
      </c>
      <c r="B508" s="136"/>
      <c r="C508" s="136" t="s">
        <v>133</v>
      </c>
      <c r="D508" s="136" t="s">
        <v>133</v>
      </c>
      <c r="E508" s="106">
        <v>0.0</v>
      </c>
      <c r="F508" s="136" t="str">
        <f>IFERROR(__xludf.DUMMYFUNCTION("""COMPUTED_VALUE"""),"")</f>
        <v/>
      </c>
      <c r="G508" s="106" t="str">
        <f>IFERROR(__xludf.DUMMYFUNCTION("""COMPUTED_VALUE"""),"")</f>
        <v/>
      </c>
      <c r="I508" s="136" t="str">
        <f>IFERROR(__xludf.DUMMYFUNCTION("""COMPUTED_VALUE"""),"")</f>
        <v/>
      </c>
      <c r="J508" s="106" t="str">
        <f>IFERROR(__xludf.DUMMYFUNCTION("""COMPUTED_VALUE"""),"")</f>
        <v/>
      </c>
      <c r="L508" s="136" t="str">
        <f>IFERROR(__xludf.DUMMYFUNCTION("""COMPUTED_VALUE"""),"")</f>
        <v/>
      </c>
      <c r="M508" s="106" t="str">
        <f>IFERROR(__xludf.DUMMYFUNCTION("""COMPUTED_VALUE"""),"")</f>
        <v/>
      </c>
      <c r="O508" s="136" t="str">
        <f>IFERROR(__xludf.DUMMYFUNCTION("""COMPUTED_VALUE"""),"")</f>
        <v/>
      </c>
      <c r="P508" s="106" t="str">
        <f>IFERROR(__xludf.DUMMYFUNCTION("""COMPUTED_VALUE"""),"")</f>
        <v/>
      </c>
      <c r="R508" s="136" t="str">
        <f>IFERROR(__xludf.DUMMYFUNCTION("""COMPUTED_VALUE"""),"")</f>
        <v/>
      </c>
      <c r="S508" s="106" t="str">
        <f>IFERROR(__xludf.DUMMYFUNCTION("""COMPUTED_VALUE"""),"")</f>
        <v/>
      </c>
    </row>
    <row r="509">
      <c r="A509" s="136" t="s">
        <v>133</v>
      </c>
      <c r="B509" s="136"/>
      <c r="C509" s="136" t="s">
        <v>133</v>
      </c>
      <c r="D509" s="136" t="s">
        <v>133</v>
      </c>
      <c r="E509" s="106">
        <v>0.0</v>
      </c>
      <c r="F509" s="136" t="str">
        <f>IFERROR(__xludf.DUMMYFUNCTION("""COMPUTED_VALUE"""),"")</f>
        <v/>
      </c>
      <c r="G509" s="106" t="str">
        <f>IFERROR(__xludf.DUMMYFUNCTION("""COMPUTED_VALUE"""),"")</f>
        <v/>
      </c>
      <c r="I509" s="136" t="str">
        <f>IFERROR(__xludf.DUMMYFUNCTION("""COMPUTED_VALUE"""),"")</f>
        <v/>
      </c>
      <c r="J509" s="106" t="str">
        <f>IFERROR(__xludf.DUMMYFUNCTION("""COMPUTED_VALUE"""),"")</f>
        <v/>
      </c>
      <c r="L509" s="136" t="str">
        <f>IFERROR(__xludf.DUMMYFUNCTION("""COMPUTED_VALUE"""),"")</f>
        <v/>
      </c>
      <c r="M509" s="106" t="str">
        <f>IFERROR(__xludf.DUMMYFUNCTION("""COMPUTED_VALUE"""),"")</f>
        <v/>
      </c>
      <c r="O509" s="136" t="str">
        <f>IFERROR(__xludf.DUMMYFUNCTION("""COMPUTED_VALUE"""),"")</f>
        <v/>
      </c>
      <c r="P509" s="106" t="str">
        <f>IFERROR(__xludf.DUMMYFUNCTION("""COMPUTED_VALUE"""),"")</f>
        <v/>
      </c>
      <c r="R509" s="136" t="str">
        <f>IFERROR(__xludf.DUMMYFUNCTION("""COMPUTED_VALUE"""),"")</f>
        <v/>
      </c>
      <c r="S509" s="106" t="str">
        <f>IFERROR(__xludf.DUMMYFUNCTION("""COMPUTED_VALUE"""),"")</f>
        <v/>
      </c>
    </row>
    <row r="510">
      <c r="A510" s="136" t="s">
        <v>133</v>
      </c>
      <c r="B510" s="136"/>
      <c r="C510" s="136" t="s">
        <v>133</v>
      </c>
      <c r="D510" s="136" t="s">
        <v>133</v>
      </c>
      <c r="E510" s="106">
        <v>0.0</v>
      </c>
      <c r="F510" s="136" t="str">
        <f>IFERROR(__xludf.DUMMYFUNCTION("""COMPUTED_VALUE"""),"")</f>
        <v/>
      </c>
      <c r="G510" s="106" t="str">
        <f>IFERROR(__xludf.DUMMYFUNCTION("""COMPUTED_VALUE"""),"")</f>
        <v/>
      </c>
      <c r="I510" s="136" t="str">
        <f>IFERROR(__xludf.DUMMYFUNCTION("""COMPUTED_VALUE"""),"")</f>
        <v/>
      </c>
      <c r="J510" s="106" t="str">
        <f>IFERROR(__xludf.DUMMYFUNCTION("""COMPUTED_VALUE"""),"")</f>
        <v/>
      </c>
      <c r="L510" s="136" t="str">
        <f>IFERROR(__xludf.DUMMYFUNCTION("""COMPUTED_VALUE"""),"")</f>
        <v/>
      </c>
      <c r="M510" s="106" t="str">
        <f>IFERROR(__xludf.DUMMYFUNCTION("""COMPUTED_VALUE"""),"")</f>
        <v/>
      </c>
      <c r="O510" s="136" t="str">
        <f>IFERROR(__xludf.DUMMYFUNCTION("""COMPUTED_VALUE"""),"")</f>
        <v/>
      </c>
      <c r="P510" s="106" t="str">
        <f>IFERROR(__xludf.DUMMYFUNCTION("""COMPUTED_VALUE"""),"")</f>
        <v/>
      </c>
      <c r="R510" s="136" t="str">
        <f>IFERROR(__xludf.DUMMYFUNCTION("""COMPUTED_VALUE"""),"")</f>
        <v/>
      </c>
      <c r="S510" s="106" t="str">
        <f>IFERROR(__xludf.DUMMYFUNCTION("""COMPUTED_VALUE"""),"")</f>
        <v/>
      </c>
    </row>
    <row r="511">
      <c r="A511" s="136" t="s">
        <v>133</v>
      </c>
      <c r="B511" s="136"/>
      <c r="C511" s="136" t="s">
        <v>133</v>
      </c>
      <c r="D511" s="136" t="s">
        <v>133</v>
      </c>
      <c r="E511" s="106">
        <v>0.0</v>
      </c>
      <c r="F511" s="136" t="str">
        <f>IFERROR(__xludf.DUMMYFUNCTION("""COMPUTED_VALUE"""),"")</f>
        <v/>
      </c>
      <c r="G511" s="106" t="str">
        <f>IFERROR(__xludf.DUMMYFUNCTION("""COMPUTED_VALUE"""),"")</f>
        <v/>
      </c>
      <c r="I511" s="136" t="str">
        <f>IFERROR(__xludf.DUMMYFUNCTION("""COMPUTED_VALUE"""),"")</f>
        <v/>
      </c>
      <c r="J511" s="106" t="str">
        <f>IFERROR(__xludf.DUMMYFUNCTION("""COMPUTED_VALUE"""),"")</f>
        <v/>
      </c>
      <c r="L511" s="136" t="str">
        <f>IFERROR(__xludf.DUMMYFUNCTION("""COMPUTED_VALUE"""),"")</f>
        <v/>
      </c>
      <c r="M511" s="106" t="str">
        <f>IFERROR(__xludf.DUMMYFUNCTION("""COMPUTED_VALUE"""),"")</f>
        <v/>
      </c>
      <c r="O511" s="136" t="str">
        <f>IFERROR(__xludf.DUMMYFUNCTION("""COMPUTED_VALUE"""),"")</f>
        <v/>
      </c>
      <c r="P511" s="106" t="str">
        <f>IFERROR(__xludf.DUMMYFUNCTION("""COMPUTED_VALUE"""),"")</f>
        <v/>
      </c>
      <c r="R511" s="136" t="str">
        <f>IFERROR(__xludf.DUMMYFUNCTION("""COMPUTED_VALUE"""),"")</f>
        <v/>
      </c>
      <c r="S511" s="106" t="str">
        <f>IFERROR(__xludf.DUMMYFUNCTION("""COMPUTED_VALUE"""),"")</f>
        <v/>
      </c>
    </row>
    <row r="512">
      <c r="A512" s="136" t="s">
        <v>133</v>
      </c>
      <c r="B512" s="136"/>
      <c r="C512" s="136" t="s">
        <v>133</v>
      </c>
      <c r="D512" s="136" t="s">
        <v>133</v>
      </c>
      <c r="E512" s="106">
        <v>0.0</v>
      </c>
      <c r="F512" s="136" t="str">
        <f>IFERROR(__xludf.DUMMYFUNCTION("""COMPUTED_VALUE"""),"")</f>
        <v/>
      </c>
      <c r="G512" s="106" t="str">
        <f>IFERROR(__xludf.DUMMYFUNCTION("""COMPUTED_VALUE"""),"")</f>
        <v/>
      </c>
      <c r="I512" s="136" t="str">
        <f>IFERROR(__xludf.DUMMYFUNCTION("""COMPUTED_VALUE"""),"")</f>
        <v/>
      </c>
      <c r="J512" s="106" t="str">
        <f>IFERROR(__xludf.DUMMYFUNCTION("""COMPUTED_VALUE"""),"")</f>
        <v/>
      </c>
      <c r="L512" s="136" t="str">
        <f>IFERROR(__xludf.DUMMYFUNCTION("""COMPUTED_VALUE"""),"")</f>
        <v/>
      </c>
      <c r="M512" s="106" t="str">
        <f>IFERROR(__xludf.DUMMYFUNCTION("""COMPUTED_VALUE"""),"")</f>
        <v/>
      </c>
      <c r="O512" s="136" t="str">
        <f>IFERROR(__xludf.DUMMYFUNCTION("""COMPUTED_VALUE"""),"")</f>
        <v/>
      </c>
      <c r="P512" s="106" t="str">
        <f>IFERROR(__xludf.DUMMYFUNCTION("""COMPUTED_VALUE"""),"")</f>
        <v/>
      </c>
      <c r="R512" s="136" t="str">
        <f>IFERROR(__xludf.DUMMYFUNCTION("""COMPUTED_VALUE"""),"")</f>
        <v/>
      </c>
      <c r="S512" s="106" t="str">
        <f>IFERROR(__xludf.DUMMYFUNCTION("""COMPUTED_VALUE"""),"")</f>
        <v/>
      </c>
    </row>
    <row r="513">
      <c r="A513" s="136" t="s">
        <v>133</v>
      </c>
      <c r="B513" s="136"/>
      <c r="C513" s="136" t="s">
        <v>133</v>
      </c>
      <c r="D513" s="136" t="s">
        <v>133</v>
      </c>
      <c r="E513" s="106">
        <v>0.0</v>
      </c>
      <c r="F513" s="136" t="str">
        <f>IFERROR(__xludf.DUMMYFUNCTION("""COMPUTED_VALUE"""),"")</f>
        <v/>
      </c>
      <c r="G513" s="106" t="str">
        <f>IFERROR(__xludf.DUMMYFUNCTION("""COMPUTED_VALUE"""),"")</f>
        <v/>
      </c>
      <c r="I513" s="136" t="str">
        <f>IFERROR(__xludf.DUMMYFUNCTION("""COMPUTED_VALUE"""),"")</f>
        <v/>
      </c>
      <c r="J513" s="106" t="str">
        <f>IFERROR(__xludf.DUMMYFUNCTION("""COMPUTED_VALUE"""),"")</f>
        <v/>
      </c>
      <c r="L513" s="136" t="str">
        <f>IFERROR(__xludf.DUMMYFUNCTION("""COMPUTED_VALUE"""),"")</f>
        <v/>
      </c>
      <c r="M513" s="106" t="str">
        <f>IFERROR(__xludf.DUMMYFUNCTION("""COMPUTED_VALUE"""),"")</f>
        <v/>
      </c>
      <c r="O513" s="136" t="str">
        <f>IFERROR(__xludf.DUMMYFUNCTION("""COMPUTED_VALUE"""),"")</f>
        <v/>
      </c>
      <c r="P513" s="106" t="str">
        <f>IFERROR(__xludf.DUMMYFUNCTION("""COMPUTED_VALUE"""),"")</f>
        <v/>
      </c>
      <c r="R513" s="136" t="str">
        <f>IFERROR(__xludf.DUMMYFUNCTION("""COMPUTED_VALUE"""),"")</f>
        <v/>
      </c>
      <c r="S513" s="106" t="str">
        <f>IFERROR(__xludf.DUMMYFUNCTION("""COMPUTED_VALUE"""),"")</f>
        <v/>
      </c>
    </row>
    <row r="514">
      <c r="A514" s="136" t="s">
        <v>133</v>
      </c>
      <c r="B514" s="136"/>
      <c r="C514" s="136" t="s">
        <v>133</v>
      </c>
      <c r="D514" s="136" t="s">
        <v>133</v>
      </c>
      <c r="E514" s="106">
        <v>0.0</v>
      </c>
      <c r="F514" s="136" t="str">
        <f>IFERROR(__xludf.DUMMYFUNCTION("""COMPUTED_VALUE"""),"")</f>
        <v/>
      </c>
      <c r="G514" s="106" t="str">
        <f>IFERROR(__xludf.DUMMYFUNCTION("""COMPUTED_VALUE"""),"")</f>
        <v/>
      </c>
      <c r="I514" s="136" t="str">
        <f>IFERROR(__xludf.DUMMYFUNCTION("""COMPUTED_VALUE"""),"")</f>
        <v/>
      </c>
      <c r="J514" s="106" t="str">
        <f>IFERROR(__xludf.DUMMYFUNCTION("""COMPUTED_VALUE"""),"")</f>
        <v/>
      </c>
      <c r="L514" s="136" t="str">
        <f>IFERROR(__xludf.DUMMYFUNCTION("""COMPUTED_VALUE"""),"")</f>
        <v/>
      </c>
      <c r="M514" s="106" t="str">
        <f>IFERROR(__xludf.DUMMYFUNCTION("""COMPUTED_VALUE"""),"")</f>
        <v/>
      </c>
      <c r="O514" s="136" t="str">
        <f>IFERROR(__xludf.DUMMYFUNCTION("""COMPUTED_VALUE"""),"")</f>
        <v/>
      </c>
      <c r="P514" s="106" t="str">
        <f>IFERROR(__xludf.DUMMYFUNCTION("""COMPUTED_VALUE"""),"")</f>
        <v/>
      </c>
      <c r="R514" s="136" t="str">
        <f>IFERROR(__xludf.DUMMYFUNCTION("""COMPUTED_VALUE"""),"")</f>
        <v/>
      </c>
      <c r="S514" s="106" t="str">
        <f>IFERROR(__xludf.DUMMYFUNCTION("""COMPUTED_VALUE"""),"")</f>
        <v/>
      </c>
    </row>
    <row r="515">
      <c r="A515" s="136" t="s">
        <v>133</v>
      </c>
      <c r="B515" s="136"/>
      <c r="C515" s="136" t="s">
        <v>133</v>
      </c>
      <c r="D515" s="136" t="s">
        <v>133</v>
      </c>
      <c r="E515" s="106">
        <v>0.0</v>
      </c>
      <c r="F515" s="136" t="str">
        <f>IFERROR(__xludf.DUMMYFUNCTION("""COMPUTED_VALUE"""),"")</f>
        <v/>
      </c>
      <c r="G515" s="106" t="str">
        <f>IFERROR(__xludf.DUMMYFUNCTION("""COMPUTED_VALUE"""),"")</f>
        <v/>
      </c>
      <c r="I515" s="136" t="str">
        <f>IFERROR(__xludf.DUMMYFUNCTION("""COMPUTED_VALUE"""),"")</f>
        <v/>
      </c>
      <c r="J515" s="106" t="str">
        <f>IFERROR(__xludf.DUMMYFUNCTION("""COMPUTED_VALUE"""),"")</f>
        <v/>
      </c>
      <c r="L515" s="136" t="str">
        <f>IFERROR(__xludf.DUMMYFUNCTION("""COMPUTED_VALUE"""),"")</f>
        <v/>
      </c>
      <c r="M515" s="106" t="str">
        <f>IFERROR(__xludf.DUMMYFUNCTION("""COMPUTED_VALUE"""),"")</f>
        <v/>
      </c>
      <c r="O515" s="136" t="str">
        <f>IFERROR(__xludf.DUMMYFUNCTION("""COMPUTED_VALUE"""),"")</f>
        <v/>
      </c>
      <c r="P515" s="106" t="str">
        <f>IFERROR(__xludf.DUMMYFUNCTION("""COMPUTED_VALUE"""),"")</f>
        <v/>
      </c>
      <c r="R515" s="136" t="str">
        <f>IFERROR(__xludf.DUMMYFUNCTION("""COMPUTED_VALUE"""),"")</f>
        <v/>
      </c>
      <c r="S515" s="106" t="str">
        <f>IFERROR(__xludf.DUMMYFUNCTION("""COMPUTED_VALUE"""),"")</f>
        <v/>
      </c>
    </row>
    <row r="516">
      <c r="A516" s="136" t="s">
        <v>133</v>
      </c>
      <c r="B516" s="136"/>
      <c r="C516" s="136" t="s">
        <v>133</v>
      </c>
      <c r="D516" s="136" t="s">
        <v>133</v>
      </c>
      <c r="E516" s="106">
        <v>0.0</v>
      </c>
      <c r="F516" s="136" t="str">
        <f>IFERROR(__xludf.DUMMYFUNCTION("""COMPUTED_VALUE"""),"")</f>
        <v/>
      </c>
      <c r="G516" s="106" t="str">
        <f>IFERROR(__xludf.DUMMYFUNCTION("""COMPUTED_VALUE"""),"")</f>
        <v/>
      </c>
      <c r="I516" s="136" t="str">
        <f>IFERROR(__xludf.DUMMYFUNCTION("""COMPUTED_VALUE"""),"")</f>
        <v/>
      </c>
      <c r="J516" s="106" t="str">
        <f>IFERROR(__xludf.DUMMYFUNCTION("""COMPUTED_VALUE"""),"")</f>
        <v/>
      </c>
      <c r="L516" s="136" t="str">
        <f>IFERROR(__xludf.DUMMYFUNCTION("""COMPUTED_VALUE"""),"")</f>
        <v/>
      </c>
      <c r="M516" s="106" t="str">
        <f>IFERROR(__xludf.DUMMYFUNCTION("""COMPUTED_VALUE"""),"")</f>
        <v/>
      </c>
      <c r="O516" s="136" t="str">
        <f>IFERROR(__xludf.DUMMYFUNCTION("""COMPUTED_VALUE"""),"")</f>
        <v/>
      </c>
      <c r="P516" s="106" t="str">
        <f>IFERROR(__xludf.DUMMYFUNCTION("""COMPUTED_VALUE"""),"")</f>
        <v/>
      </c>
      <c r="R516" s="136" t="str">
        <f>IFERROR(__xludf.DUMMYFUNCTION("""COMPUTED_VALUE"""),"")</f>
        <v/>
      </c>
      <c r="S516" s="106" t="str">
        <f>IFERROR(__xludf.DUMMYFUNCTION("""COMPUTED_VALUE"""),"")</f>
        <v/>
      </c>
    </row>
    <row r="517">
      <c r="A517" s="136" t="s">
        <v>133</v>
      </c>
      <c r="B517" s="136"/>
      <c r="C517" s="136" t="s">
        <v>133</v>
      </c>
      <c r="D517" s="136" t="s">
        <v>133</v>
      </c>
      <c r="E517" s="106">
        <v>0.0</v>
      </c>
      <c r="F517" s="136" t="str">
        <f>IFERROR(__xludf.DUMMYFUNCTION("""COMPUTED_VALUE"""),"")</f>
        <v/>
      </c>
      <c r="G517" s="106" t="str">
        <f>IFERROR(__xludf.DUMMYFUNCTION("""COMPUTED_VALUE"""),"")</f>
        <v/>
      </c>
      <c r="I517" s="136" t="str">
        <f>IFERROR(__xludf.DUMMYFUNCTION("""COMPUTED_VALUE"""),"")</f>
        <v/>
      </c>
      <c r="J517" s="106" t="str">
        <f>IFERROR(__xludf.DUMMYFUNCTION("""COMPUTED_VALUE"""),"")</f>
        <v/>
      </c>
      <c r="L517" s="136" t="str">
        <f>IFERROR(__xludf.DUMMYFUNCTION("""COMPUTED_VALUE"""),"")</f>
        <v/>
      </c>
      <c r="M517" s="106" t="str">
        <f>IFERROR(__xludf.DUMMYFUNCTION("""COMPUTED_VALUE"""),"")</f>
        <v/>
      </c>
      <c r="O517" s="136" t="str">
        <f>IFERROR(__xludf.DUMMYFUNCTION("""COMPUTED_VALUE"""),"")</f>
        <v/>
      </c>
      <c r="P517" s="106" t="str">
        <f>IFERROR(__xludf.DUMMYFUNCTION("""COMPUTED_VALUE"""),"")</f>
        <v/>
      </c>
      <c r="R517" s="136" t="str">
        <f>IFERROR(__xludf.DUMMYFUNCTION("""COMPUTED_VALUE"""),"")</f>
        <v/>
      </c>
      <c r="S517" s="106" t="str">
        <f>IFERROR(__xludf.DUMMYFUNCTION("""COMPUTED_VALUE"""),"")</f>
        <v/>
      </c>
    </row>
    <row r="518">
      <c r="A518" s="136" t="s">
        <v>133</v>
      </c>
      <c r="B518" s="136"/>
      <c r="C518" s="136" t="s">
        <v>133</v>
      </c>
      <c r="D518" s="136" t="s">
        <v>133</v>
      </c>
      <c r="E518" s="106">
        <v>0.0</v>
      </c>
      <c r="F518" s="136" t="str">
        <f>IFERROR(__xludf.DUMMYFUNCTION("""COMPUTED_VALUE"""),"")</f>
        <v/>
      </c>
      <c r="G518" s="106" t="str">
        <f>IFERROR(__xludf.DUMMYFUNCTION("""COMPUTED_VALUE"""),"")</f>
        <v/>
      </c>
      <c r="I518" s="136" t="str">
        <f>IFERROR(__xludf.DUMMYFUNCTION("""COMPUTED_VALUE"""),"")</f>
        <v/>
      </c>
      <c r="J518" s="106" t="str">
        <f>IFERROR(__xludf.DUMMYFUNCTION("""COMPUTED_VALUE"""),"")</f>
        <v/>
      </c>
      <c r="L518" s="136" t="str">
        <f>IFERROR(__xludf.DUMMYFUNCTION("""COMPUTED_VALUE"""),"")</f>
        <v/>
      </c>
      <c r="M518" s="106" t="str">
        <f>IFERROR(__xludf.DUMMYFUNCTION("""COMPUTED_VALUE"""),"")</f>
        <v/>
      </c>
      <c r="O518" s="136" t="str">
        <f>IFERROR(__xludf.DUMMYFUNCTION("""COMPUTED_VALUE"""),"")</f>
        <v/>
      </c>
      <c r="P518" s="106" t="str">
        <f>IFERROR(__xludf.DUMMYFUNCTION("""COMPUTED_VALUE"""),"")</f>
        <v/>
      </c>
      <c r="R518" s="136" t="str">
        <f>IFERROR(__xludf.DUMMYFUNCTION("""COMPUTED_VALUE"""),"")</f>
        <v/>
      </c>
      <c r="S518" s="106" t="str">
        <f>IFERROR(__xludf.DUMMYFUNCTION("""COMPUTED_VALUE"""),"")</f>
        <v/>
      </c>
    </row>
    <row r="519">
      <c r="A519" s="136" t="s">
        <v>133</v>
      </c>
      <c r="B519" s="136"/>
      <c r="C519" s="136" t="s">
        <v>133</v>
      </c>
      <c r="D519" s="136" t="s">
        <v>133</v>
      </c>
      <c r="E519" s="106">
        <v>0.0</v>
      </c>
      <c r="F519" s="136" t="str">
        <f>IFERROR(__xludf.DUMMYFUNCTION("""COMPUTED_VALUE"""),"")</f>
        <v/>
      </c>
      <c r="G519" s="106" t="str">
        <f>IFERROR(__xludf.DUMMYFUNCTION("""COMPUTED_VALUE"""),"")</f>
        <v/>
      </c>
      <c r="I519" s="136" t="str">
        <f>IFERROR(__xludf.DUMMYFUNCTION("""COMPUTED_VALUE"""),"")</f>
        <v/>
      </c>
      <c r="J519" s="106" t="str">
        <f>IFERROR(__xludf.DUMMYFUNCTION("""COMPUTED_VALUE"""),"")</f>
        <v/>
      </c>
      <c r="L519" s="136" t="str">
        <f>IFERROR(__xludf.DUMMYFUNCTION("""COMPUTED_VALUE"""),"")</f>
        <v/>
      </c>
      <c r="M519" s="106" t="str">
        <f>IFERROR(__xludf.DUMMYFUNCTION("""COMPUTED_VALUE"""),"")</f>
        <v/>
      </c>
      <c r="O519" s="136" t="str">
        <f>IFERROR(__xludf.DUMMYFUNCTION("""COMPUTED_VALUE"""),"")</f>
        <v/>
      </c>
      <c r="P519" s="106" t="str">
        <f>IFERROR(__xludf.DUMMYFUNCTION("""COMPUTED_VALUE"""),"")</f>
        <v/>
      </c>
      <c r="R519" s="136" t="str">
        <f>IFERROR(__xludf.DUMMYFUNCTION("""COMPUTED_VALUE"""),"")</f>
        <v/>
      </c>
      <c r="S519" s="106" t="str">
        <f>IFERROR(__xludf.DUMMYFUNCTION("""COMPUTED_VALUE"""),"")</f>
        <v/>
      </c>
    </row>
    <row r="520">
      <c r="A520" s="136" t="s">
        <v>133</v>
      </c>
      <c r="B520" s="136"/>
      <c r="C520" s="136" t="s">
        <v>133</v>
      </c>
      <c r="D520" s="136" t="s">
        <v>133</v>
      </c>
      <c r="E520" s="106">
        <v>0.0</v>
      </c>
      <c r="F520" s="136" t="str">
        <f>IFERROR(__xludf.DUMMYFUNCTION("""COMPUTED_VALUE"""),"")</f>
        <v/>
      </c>
      <c r="G520" s="106" t="str">
        <f>IFERROR(__xludf.DUMMYFUNCTION("""COMPUTED_VALUE"""),"")</f>
        <v/>
      </c>
      <c r="I520" s="136" t="str">
        <f>IFERROR(__xludf.DUMMYFUNCTION("""COMPUTED_VALUE"""),"")</f>
        <v/>
      </c>
      <c r="J520" s="106" t="str">
        <f>IFERROR(__xludf.DUMMYFUNCTION("""COMPUTED_VALUE"""),"")</f>
        <v/>
      </c>
      <c r="L520" s="136" t="str">
        <f>IFERROR(__xludf.DUMMYFUNCTION("""COMPUTED_VALUE"""),"")</f>
        <v/>
      </c>
      <c r="M520" s="106" t="str">
        <f>IFERROR(__xludf.DUMMYFUNCTION("""COMPUTED_VALUE"""),"")</f>
        <v/>
      </c>
      <c r="O520" s="136" t="str">
        <f>IFERROR(__xludf.DUMMYFUNCTION("""COMPUTED_VALUE"""),"")</f>
        <v/>
      </c>
      <c r="P520" s="106" t="str">
        <f>IFERROR(__xludf.DUMMYFUNCTION("""COMPUTED_VALUE"""),"")</f>
        <v/>
      </c>
      <c r="R520" s="136" t="str">
        <f>IFERROR(__xludf.DUMMYFUNCTION("""COMPUTED_VALUE"""),"")</f>
        <v/>
      </c>
      <c r="S520" s="106" t="str">
        <f>IFERROR(__xludf.DUMMYFUNCTION("""COMPUTED_VALUE"""),"")</f>
        <v/>
      </c>
    </row>
    <row r="521">
      <c r="A521" s="136" t="s">
        <v>133</v>
      </c>
      <c r="B521" s="136"/>
      <c r="C521" s="136" t="s">
        <v>133</v>
      </c>
      <c r="D521" s="136"/>
      <c r="E521" s="106"/>
      <c r="F521" s="136" t="str">
        <f>IFERROR(__xludf.DUMMYFUNCTION("""COMPUTED_VALUE"""),"")</f>
        <v/>
      </c>
      <c r="G521" s="106" t="str">
        <f>IFERROR(__xludf.DUMMYFUNCTION("""COMPUTED_VALUE"""),"")</f>
        <v/>
      </c>
      <c r="I521" s="136" t="str">
        <f>IFERROR(__xludf.DUMMYFUNCTION("""COMPUTED_VALUE"""),"")</f>
        <v/>
      </c>
      <c r="J521" s="106" t="str">
        <f>IFERROR(__xludf.DUMMYFUNCTION("""COMPUTED_VALUE"""),"")</f>
        <v/>
      </c>
      <c r="L521" s="136" t="str">
        <f>IFERROR(__xludf.DUMMYFUNCTION("""COMPUTED_VALUE"""),"")</f>
        <v/>
      </c>
      <c r="M521" s="106" t="str">
        <f>IFERROR(__xludf.DUMMYFUNCTION("""COMPUTED_VALUE"""),"")</f>
        <v/>
      </c>
      <c r="O521" s="136" t="str">
        <f>IFERROR(__xludf.DUMMYFUNCTION("""COMPUTED_VALUE"""),"")</f>
        <v/>
      </c>
      <c r="P521" s="106" t="str">
        <f>IFERROR(__xludf.DUMMYFUNCTION("""COMPUTED_VALUE"""),"")</f>
        <v/>
      </c>
      <c r="R521" s="136" t="str">
        <f>IFERROR(__xludf.DUMMYFUNCTION("""COMPUTED_VALUE"""),"")</f>
        <v/>
      </c>
      <c r="S521" s="106" t="str">
        <f>IFERROR(__xludf.DUMMYFUNCTION("""COMPUTED_VALUE"""),"")</f>
        <v/>
      </c>
    </row>
    <row r="522">
      <c r="A522" s="136" t="s">
        <v>133</v>
      </c>
      <c r="B522" s="136"/>
      <c r="C522" s="136" t="s">
        <v>133</v>
      </c>
      <c r="D522" s="136"/>
      <c r="E522" s="106"/>
      <c r="F522" s="136" t="str">
        <f>IFERROR(__xludf.DUMMYFUNCTION("""COMPUTED_VALUE"""),"")</f>
        <v/>
      </c>
      <c r="G522" s="106" t="str">
        <f>IFERROR(__xludf.DUMMYFUNCTION("""COMPUTED_VALUE"""),"")</f>
        <v/>
      </c>
      <c r="I522" s="136" t="str">
        <f>IFERROR(__xludf.DUMMYFUNCTION("""COMPUTED_VALUE"""),"")</f>
        <v/>
      </c>
      <c r="J522" s="106" t="str">
        <f>IFERROR(__xludf.DUMMYFUNCTION("""COMPUTED_VALUE"""),"")</f>
        <v/>
      </c>
      <c r="L522" s="136" t="str">
        <f>IFERROR(__xludf.DUMMYFUNCTION("""COMPUTED_VALUE"""),"")</f>
        <v/>
      </c>
      <c r="M522" s="106" t="str">
        <f>IFERROR(__xludf.DUMMYFUNCTION("""COMPUTED_VALUE"""),"")</f>
        <v/>
      </c>
      <c r="O522" s="136" t="str">
        <f>IFERROR(__xludf.DUMMYFUNCTION("""COMPUTED_VALUE"""),"")</f>
        <v/>
      </c>
      <c r="P522" s="106" t="str">
        <f>IFERROR(__xludf.DUMMYFUNCTION("""COMPUTED_VALUE"""),"")</f>
        <v/>
      </c>
      <c r="R522" s="136" t="str">
        <f>IFERROR(__xludf.DUMMYFUNCTION("""COMPUTED_VALUE"""),"")</f>
        <v/>
      </c>
      <c r="S522" s="106" t="str">
        <f>IFERROR(__xludf.DUMMYFUNCTION("""COMPUTED_VALUE"""),"")</f>
        <v/>
      </c>
    </row>
    <row r="523">
      <c r="A523" s="136" t="s">
        <v>133</v>
      </c>
      <c r="B523" s="136"/>
      <c r="C523" s="136" t="s">
        <v>133</v>
      </c>
      <c r="D523" s="136"/>
      <c r="E523" s="106"/>
      <c r="F523" s="136" t="str">
        <f>IFERROR(__xludf.DUMMYFUNCTION("""COMPUTED_VALUE"""),"")</f>
        <v/>
      </c>
      <c r="G523" s="106" t="str">
        <f>IFERROR(__xludf.DUMMYFUNCTION("""COMPUTED_VALUE"""),"")</f>
        <v/>
      </c>
      <c r="I523" s="136" t="str">
        <f>IFERROR(__xludf.DUMMYFUNCTION("""COMPUTED_VALUE"""),"")</f>
        <v/>
      </c>
      <c r="J523" s="106" t="str">
        <f>IFERROR(__xludf.DUMMYFUNCTION("""COMPUTED_VALUE"""),"")</f>
        <v/>
      </c>
      <c r="L523" s="136" t="str">
        <f>IFERROR(__xludf.DUMMYFUNCTION("""COMPUTED_VALUE"""),"")</f>
        <v/>
      </c>
      <c r="M523" s="106" t="str">
        <f>IFERROR(__xludf.DUMMYFUNCTION("""COMPUTED_VALUE"""),"")</f>
        <v/>
      </c>
      <c r="O523" s="136" t="str">
        <f>IFERROR(__xludf.DUMMYFUNCTION("""COMPUTED_VALUE"""),"")</f>
        <v/>
      </c>
      <c r="P523" s="106" t="str">
        <f>IFERROR(__xludf.DUMMYFUNCTION("""COMPUTED_VALUE"""),"")</f>
        <v/>
      </c>
      <c r="R523" s="136" t="str">
        <f>IFERROR(__xludf.DUMMYFUNCTION("""COMPUTED_VALUE"""),"")</f>
        <v/>
      </c>
      <c r="S523" s="106" t="str">
        <f>IFERROR(__xludf.DUMMYFUNCTION("""COMPUTED_VALUE"""),"")</f>
        <v/>
      </c>
    </row>
    <row r="524">
      <c r="A524" s="136" t="s">
        <v>133</v>
      </c>
      <c r="B524" s="136"/>
      <c r="C524" s="136" t="s">
        <v>133</v>
      </c>
      <c r="D524" s="136"/>
      <c r="E524" s="106"/>
      <c r="F524" s="136" t="str">
        <f>IFERROR(__xludf.DUMMYFUNCTION("""COMPUTED_VALUE"""),"")</f>
        <v/>
      </c>
      <c r="G524" s="106" t="str">
        <f>IFERROR(__xludf.DUMMYFUNCTION("""COMPUTED_VALUE"""),"")</f>
        <v/>
      </c>
      <c r="I524" s="136" t="str">
        <f>IFERROR(__xludf.DUMMYFUNCTION("""COMPUTED_VALUE"""),"")</f>
        <v/>
      </c>
      <c r="J524" s="106" t="str">
        <f>IFERROR(__xludf.DUMMYFUNCTION("""COMPUTED_VALUE"""),"")</f>
        <v/>
      </c>
      <c r="L524" s="136" t="str">
        <f>IFERROR(__xludf.DUMMYFUNCTION("""COMPUTED_VALUE"""),"")</f>
        <v/>
      </c>
      <c r="M524" s="106" t="str">
        <f>IFERROR(__xludf.DUMMYFUNCTION("""COMPUTED_VALUE"""),"")</f>
        <v/>
      </c>
      <c r="O524" s="136" t="str">
        <f>IFERROR(__xludf.DUMMYFUNCTION("""COMPUTED_VALUE"""),"")</f>
        <v/>
      </c>
      <c r="P524" s="106" t="str">
        <f>IFERROR(__xludf.DUMMYFUNCTION("""COMPUTED_VALUE"""),"")</f>
        <v/>
      </c>
      <c r="R524" s="136" t="str">
        <f>IFERROR(__xludf.DUMMYFUNCTION("""COMPUTED_VALUE"""),"")</f>
        <v/>
      </c>
      <c r="S524" s="106" t="str">
        <f>IFERROR(__xludf.DUMMYFUNCTION("""COMPUTED_VALUE"""),"")</f>
        <v/>
      </c>
    </row>
    <row r="525">
      <c r="A525" s="136" t="s">
        <v>133</v>
      </c>
      <c r="B525" s="136"/>
      <c r="C525" s="136" t="s">
        <v>133</v>
      </c>
      <c r="D525" s="136"/>
      <c r="E525" s="106"/>
      <c r="F525" s="136" t="str">
        <f>IFERROR(__xludf.DUMMYFUNCTION("""COMPUTED_VALUE"""),"")</f>
        <v/>
      </c>
      <c r="G525" s="106" t="str">
        <f>IFERROR(__xludf.DUMMYFUNCTION("""COMPUTED_VALUE"""),"")</f>
        <v/>
      </c>
      <c r="I525" s="136" t="str">
        <f>IFERROR(__xludf.DUMMYFUNCTION("""COMPUTED_VALUE"""),"")</f>
        <v/>
      </c>
      <c r="J525" s="106" t="str">
        <f>IFERROR(__xludf.DUMMYFUNCTION("""COMPUTED_VALUE"""),"")</f>
        <v/>
      </c>
      <c r="L525" s="136" t="str">
        <f>IFERROR(__xludf.DUMMYFUNCTION("""COMPUTED_VALUE"""),"")</f>
        <v/>
      </c>
      <c r="M525" s="106" t="str">
        <f>IFERROR(__xludf.DUMMYFUNCTION("""COMPUTED_VALUE"""),"")</f>
        <v/>
      </c>
      <c r="O525" s="136" t="str">
        <f>IFERROR(__xludf.DUMMYFUNCTION("""COMPUTED_VALUE"""),"")</f>
        <v/>
      </c>
      <c r="P525" s="106" t="str">
        <f>IFERROR(__xludf.DUMMYFUNCTION("""COMPUTED_VALUE"""),"")</f>
        <v/>
      </c>
      <c r="R525" s="136" t="str">
        <f>IFERROR(__xludf.DUMMYFUNCTION("""COMPUTED_VALUE"""),"")</f>
        <v/>
      </c>
      <c r="S525" s="106" t="str">
        <f>IFERROR(__xludf.DUMMYFUNCTION("""COMPUTED_VALUE"""),"")</f>
        <v/>
      </c>
    </row>
    <row r="526">
      <c r="A526" s="136" t="s">
        <v>133</v>
      </c>
      <c r="B526" s="136"/>
      <c r="C526" s="136" t="s">
        <v>133</v>
      </c>
      <c r="D526" s="136"/>
      <c r="E526" s="106"/>
      <c r="F526" s="136" t="str">
        <f>IFERROR(__xludf.DUMMYFUNCTION("""COMPUTED_VALUE"""),"")</f>
        <v/>
      </c>
      <c r="G526" s="106" t="str">
        <f>IFERROR(__xludf.DUMMYFUNCTION("""COMPUTED_VALUE"""),"")</f>
        <v/>
      </c>
      <c r="I526" s="136" t="str">
        <f>IFERROR(__xludf.DUMMYFUNCTION("""COMPUTED_VALUE"""),"")</f>
        <v/>
      </c>
      <c r="J526" s="106" t="str">
        <f>IFERROR(__xludf.DUMMYFUNCTION("""COMPUTED_VALUE"""),"")</f>
        <v/>
      </c>
      <c r="L526" s="136" t="str">
        <f>IFERROR(__xludf.DUMMYFUNCTION("""COMPUTED_VALUE"""),"")</f>
        <v/>
      </c>
      <c r="M526" s="106" t="str">
        <f>IFERROR(__xludf.DUMMYFUNCTION("""COMPUTED_VALUE"""),"")</f>
        <v/>
      </c>
      <c r="O526" s="136" t="str">
        <f>IFERROR(__xludf.DUMMYFUNCTION("""COMPUTED_VALUE"""),"")</f>
        <v/>
      </c>
      <c r="P526" s="106" t="str">
        <f>IFERROR(__xludf.DUMMYFUNCTION("""COMPUTED_VALUE"""),"")</f>
        <v/>
      </c>
      <c r="R526" s="136" t="str">
        <f>IFERROR(__xludf.DUMMYFUNCTION("""COMPUTED_VALUE"""),"")</f>
        <v/>
      </c>
      <c r="S526" s="106" t="str">
        <f>IFERROR(__xludf.DUMMYFUNCTION("""COMPUTED_VALUE"""),"")</f>
        <v/>
      </c>
    </row>
    <row r="527">
      <c r="A527" s="136" t="s">
        <v>133</v>
      </c>
      <c r="B527" s="136"/>
      <c r="C527" s="136" t="s">
        <v>133</v>
      </c>
      <c r="D527" s="136"/>
      <c r="E527" s="106"/>
      <c r="F527" s="136" t="str">
        <f>IFERROR(__xludf.DUMMYFUNCTION("""COMPUTED_VALUE"""),"")</f>
        <v/>
      </c>
      <c r="G527" s="106" t="str">
        <f>IFERROR(__xludf.DUMMYFUNCTION("""COMPUTED_VALUE"""),"")</f>
        <v/>
      </c>
      <c r="I527" s="136" t="str">
        <f>IFERROR(__xludf.DUMMYFUNCTION("""COMPUTED_VALUE"""),"")</f>
        <v/>
      </c>
      <c r="J527" s="106" t="str">
        <f>IFERROR(__xludf.DUMMYFUNCTION("""COMPUTED_VALUE"""),"")</f>
        <v/>
      </c>
      <c r="L527" s="136" t="str">
        <f>IFERROR(__xludf.DUMMYFUNCTION("""COMPUTED_VALUE"""),"")</f>
        <v/>
      </c>
      <c r="M527" s="106" t="str">
        <f>IFERROR(__xludf.DUMMYFUNCTION("""COMPUTED_VALUE"""),"")</f>
        <v/>
      </c>
      <c r="O527" s="136" t="str">
        <f>IFERROR(__xludf.DUMMYFUNCTION("""COMPUTED_VALUE"""),"")</f>
        <v/>
      </c>
      <c r="P527" s="106" t="str">
        <f>IFERROR(__xludf.DUMMYFUNCTION("""COMPUTED_VALUE"""),"")</f>
        <v/>
      </c>
      <c r="R527" s="136" t="str">
        <f>IFERROR(__xludf.DUMMYFUNCTION("""COMPUTED_VALUE"""),"")</f>
        <v/>
      </c>
      <c r="S527" s="106" t="str">
        <f>IFERROR(__xludf.DUMMYFUNCTION("""COMPUTED_VALUE"""),"")</f>
        <v/>
      </c>
    </row>
    <row r="528">
      <c r="A528" s="136" t="s">
        <v>133</v>
      </c>
      <c r="B528" s="136"/>
      <c r="C528" s="136" t="s">
        <v>133</v>
      </c>
      <c r="D528" s="136"/>
      <c r="E528" s="106"/>
      <c r="F528" s="136" t="str">
        <f>IFERROR(__xludf.DUMMYFUNCTION("""COMPUTED_VALUE"""),"")</f>
        <v/>
      </c>
      <c r="G528" s="106" t="str">
        <f>IFERROR(__xludf.DUMMYFUNCTION("""COMPUTED_VALUE"""),"")</f>
        <v/>
      </c>
      <c r="I528" s="136" t="str">
        <f>IFERROR(__xludf.DUMMYFUNCTION("""COMPUTED_VALUE"""),"")</f>
        <v/>
      </c>
      <c r="J528" s="106" t="str">
        <f>IFERROR(__xludf.DUMMYFUNCTION("""COMPUTED_VALUE"""),"")</f>
        <v/>
      </c>
      <c r="L528" s="136" t="str">
        <f>IFERROR(__xludf.DUMMYFUNCTION("""COMPUTED_VALUE"""),"")</f>
        <v/>
      </c>
      <c r="M528" s="106" t="str">
        <f>IFERROR(__xludf.DUMMYFUNCTION("""COMPUTED_VALUE"""),"")</f>
        <v/>
      </c>
      <c r="O528" s="136" t="str">
        <f>IFERROR(__xludf.DUMMYFUNCTION("""COMPUTED_VALUE"""),"")</f>
        <v/>
      </c>
      <c r="P528" s="106" t="str">
        <f>IFERROR(__xludf.DUMMYFUNCTION("""COMPUTED_VALUE"""),"")</f>
        <v/>
      </c>
      <c r="R528" s="136" t="str">
        <f>IFERROR(__xludf.DUMMYFUNCTION("""COMPUTED_VALUE"""),"")</f>
        <v/>
      </c>
      <c r="S528" s="106" t="str">
        <f>IFERROR(__xludf.DUMMYFUNCTION("""COMPUTED_VALUE"""),"")</f>
        <v/>
      </c>
    </row>
    <row r="529">
      <c r="A529" s="136" t="s">
        <v>133</v>
      </c>
      <c r="B529" s="136"/>
      <c r="C529" s="136" t="s">
        <v>133</v>
      </c>
      <c r="D529" s="136"/>
      <c r="E529" s="106"/>
      <c r="F529" s="136" t="str">
        <f>IFERROR(__xludf.DUMMYFUNCTION("""COMPUTED_VALUE"""),"")</f>
        <v/>
      </c>
      <c r="G529" s="106" t="str">
        <f>IFERROR(__xludf.DUMMYFUNCTION("""COMPUTED_VALUE"""),"")</f>
        <v/>
      </c>
      <c r="I529" s="136" t="str">
        <f>IFERROR(__xludf.DUMMYFUNCTION("""COMPUTED_VALUE"""),"")</f>
        <v/>
      </c>
      <c r="J529" s="106" t="str">
        <f>IFERROR(__xludf.DUMMYFUNCTION("""COMPUTED_VALUE"""),"")</f>
        <v/>
      </c>
      <c r="L529" s="136" t="str">
        <f>IFERROR(__xludf.DUMMYFUNCTION("""COMPUTED_VALUE"""),"")</f>
        <v/>
      </c>
      <c r="M529" s="106" t="str">
        <f>IFERROR(__xludf.DUMMYFUNCTION("""COMPUTED_VALUE"""),"")</f>
        <v/>
      </c>
      <c r="O529" s="136" t="str">
        <f>IFERROR(__xludf.DUMMYFUNCTION("""COMPUTED_VALUE"""),"")</f>
        <v/>
      </c>
      <c r="P529" s="106" t="str">
        <f>IFERROR(__xludf.DUMMYFUNCTION("""COMPUTED_VALUE"""),"")</f>
        <v/>
      </c>
      <c r="R529" s="136" t="str">
        <f>IFERROR(__xludf.DUMMYFUNCTION("""COMPUTED_VALUE"""),"")</f>
        <v/>
      </c>
      <c r="S529" s="106" t="str">
        <f>IFERROR(__xludf.DUMMYFUNCTION("""COMPUTED_VALUE"""),"")</f>
        <v/>
      </c>
    </row>
    <row r="530">
      <c r="A530" s="136" t="s">
        <v>133</v>
      </c>
      <c r="B530" s="136"/>
      <c r="C530" s="136" t="s">
        <v>133</v>
      </c>
      <c r="D530" s="136"/>
      <c r="E530" s="106"/>
      <c r="F530" s="136" t="str">
        <f>IFERROR(__xludf.DUMMYFUNCTION("""COMPUTED_VALUE"""),"")</f>
        <v/>
      </c>
      <c r="G530" s="106" t="str">
        <f>IFERROR(__xludf.DUMMYFUNCTION("""COMPUTED_VALUE"""),"")</f>
        <v/>
      </c>
      <c r="I530" s="136" t="str">
        <f>IFERROR(__xludf.DUMMYFUNCTION("""COMPUTED_VALUE"""),"")</f>
        <v/>
      </c>
      <c r="J530" s="106" t="str">
        <f>IFERROR(__xludf.DUMMYFUNCTION("""COMPUTED_VALUE"""),"")</f>
        <v/>
      </c>
      <c r="L530" s="136" t="str">
        <f>IFERROR(__xludf.DUMMYFUNCTION("""COMPUTED_VALUE"""),"")</f>
        <v/>
      </c>
      <c r="M530" s="106" t="str">
        <f>IFERROR(__xludf.DUMMYFUNCTION("""COMPUTED_VALUE"""),"")</f>
        <v/>
      </c>
      <c r="O530" s="136" t="str">
        <f>IFERROR(__xludf.DUMMYFUNCTION("""COMPUTED_VALUE"""),"")</f>
        <v/>
      </c>
      <c r="P530" s="106" t="str">
        <f>IFERROR(__xludf.DUMMYFUNCTION("""COMPUTED_VALUE"""),"")</f>
        <v/>
      </c>
      <c r="R530" s="136" t="str">
        <f>IFERROR(__xludf.DUMMYFUNCTION("""COMPUTED_VALUE"""),"")</f>
        <v/>
      </c>
      <c r="S530" s="106" t="str">
        <f>IFERROR(__xludf.DUMMYFUNCTION("""COMPUTED_VALUE"""),"")</f>
        <v/>
      </c>
    </row>
    <row r="531">
      <c r="A531" s="136" t="s">
        <v>133</v>
      </c>
      <c r="B531" s="136"/>
      <c r="C531" s="136" t="s">
        <v>133</v>
      </c>
      <c r="D531" s="136"/>
      <c r="E531" s="106"/>
      <c r="F531" s="136" t="str">
        <f>IFERROR(__xludf.DUMMYFUNCTION("""COMPUTED_VALUE"""),"")</f>
        <v/>
      </c>
      <c r="G531" s="106" t="str">
        <f>IFERROR(__xludf.DUMMYFUNCTION("""COMPUTED_VALUE"""),"")</f>
        <v/>
      </c>
      <c r="I531" s="136" t="str">
        <f>IFERROR(__xludf.DUMMYFUNCTION("""COMPUTED_VALUE"""),"")</f>
        <v/>
      </c>
      <c r="J531" s="106" t="str">
        <f>IFERROR(__xludf.DUMMYFUNCTION("""COMPUTED_VALUE"""),"")</f>
        <v/>
      </c>
      <c r="L531" s="136" t="str">
        <f>IFERROR(__xludf.DUMMYFUNCTION("""COMPUTED_VALUE"""),"")</f>
        <v/>
      </c>
      <c r="M531" s="106" t="str">
        <f>IFERROR(__xludf.DUMMYFUNCTION("""COMPUTED_VALUE"""),"")</f>
        <v/>
      </c>
      <c r="O531" s="136" t="str">
        <f>IFERROR(__xludf.DUMMYFUNCTION("""COMPUTED_VALUE"""),"")</f>
        <v/>
      </c>
      <c r="P531" s="106" t="str">
        <f>IFERROR(__xludf.DUMMYFUNCTION("""COMPUTED_VALUE"""),"")</f>
        <v/>
      </c>
      <c r="R531" s="136" t="str">
        <f>IFERROR(__xludf.DUMMYFUNCTION("""COMPUTED_VALUE"""),"")</f>
        <v/>
      </c>
      <c r="S531" s="106" t="str">
        <f>IFERROR(__xludf.DUMMYFUNCTION("""COMPUTED_VALUE"""),"")</f>
        <v/>
      </c>
    </row>
    <row r="532">
      <c r="A532" s="136" t="s">
        <v>133</v>
      </c>
      <c r="B532" s="136"/>
      <c r="C532" s="136" t="s">
        <v>133</v>
      </c>
      <c r="D532" s="136"/>
      <c r="E532" s="106"/>
      <c r="F532" s="136" t="str">
        <f>IFERROR(__xludf.DUMMYFUNCTION("""COMPUTED_VALUE"""),"")</f>
        <v/>
      </c>
      <c r="G532" s="106" t="str">
        <f>IFERROR(__xludf.DUMMYFUNCTION("""COMPUTED_VALUE"""),"")</f>
        <v/>
      </c>
      <c r="I532" s="136" t="str">
        <f>IFERROR(__xludf.DUMMYFUNCTION("""COMPUTED_VALUE"""),"")</f>
        <v/>
      </c>
      <c r="J532" s="106" t="str">
        <f>IFERROR(__xludf.DUMMYFUNCTION("""COMPUTED_VALUE"""),"")</f>
        <v/>
      </c>
      <c r="L532" s="136" t="str">
        <f>IFERROR(__xludf.DUMMYFUNCTION("""COMPUTED_VALUE"""),"")</f>
        <v/>
      </c>
      <c r="M532" s="106" t="str">
        <f>IFERROR(__xludf.DUMMYFUNCTION("""COMPUTED_VALUE"""),"")</f>
        <v/>
      </c>
      <c r="O532" s="136" t="str">
        <f>IFERROR(__xludf.DUMMYFUNCTION("""COMPUTED_VALUE"""),"")</f>
        <v/>
      </c>
      <c r="P532" s="106" t="str">
        <f>IFERROR(__xludf.DUMMYFUNCTION("""COMPUTED_VALUE"""),"")</f>
        <v/>
      </c>
      <c r="R532" s="136" t="str">
        <f>IFERROR(__xludf.DUMMYFUNCTION("""COMPUTED_VALUE"""),"")</f>
        <v/>
      </c>
      <c r="S532" s="106" t="str">
        <f>IFERROR(__xludf.DUMMYFUNCTION("""COMPUTED_VALUE"""),"")</f>
        <v/>
      </c>
    </row>
    <row r="533">
      <c r="A533" s="136" t="s">
        <v>133</v>
      </c>
      <c r="B533" s="136"/>
      <c r="C533" s="136" t="s">
        <v>133</v>
      </c>
      <c r="D533" s="136"/>
      <c r="E533" s="106"/>
      <c r="F533" s="136" t="str">
        <f>IFERROR(__xludf.DUMMYFUNCTION("""COMPUTED_VALUE"""),"")</f>
        <v/>
      </c>
      <c r="G533" s="106" t="str">
        <f>IFERROR(__xludf.DUMMYFUNCTION("""COMPUTED_VALUE"""),"")</f>
        <v/>
      </c>
      <c r="I533" s="136" t="str">
        <f>IFERROR(__xludf.DUMMYFUNCTION("""COMPUTED_VALUE"""),"")</f>
        <v/>
      </c>
      <c r="J533" s="106" t="str">
        <f>IFERROR(__xludf.DUMMYFUNCTION("""COMPUTED_VALUE"""),"")</f>
        <v/>
      </c>
      <c r="L533" s="136" t="str">
        <f>IFERROR(__xludf.DUMMYFUNCTION("""COMPUTED_VALUE"""),"")</f>
        <v/>
      </c>
      <c r="M533" s="106" t="str">
        <f>IFERROR(__xludf.DUMMYFUNCTION("""COMPUTED_VALUE"""),"")</f>
        <v/>
      </c>
      <c r="O533" s="136" t="str">
        <f>IFERROR(__xludf.DUMMYFUNCTION("""COMPUTED_VALUE"""),"")</f>
        <v/>
      </c>
      <c r="P533" s="106" t="str">
        <f>IFERROR(__xludf.DUMMYFUNCTION("""COMPUTED_VALUE"""),"")</f>
        <v/>
      </c>
      <c r="R533" s="136" t="str">
        <f>IFERROR(__xludf.DUMMYFUNCTION("""COMPUTED_VALUE"""),"")</f>
        <v/>
      </c>
      <c r="S533" s="106" t="str">
        <f>IFERROR(__xludf.DUMMYFUNCTION("""COMPUTED_VALUE"""),"")</f>
        <v/>
      </c>
    </row>
    <row r="534">
      <c r="A534" s="136" t="s">
        <v>133</v>
      </c>
      <c r="B534" s="136"/>
      <c r="C534" s="136" t="s">
        <v>133</v>
      </c>
      <c r="D534" s="136"/>
      <c r="E534" s="106"/>
      <c r="F534" s="136" t="str">
        <f>IFERROR(__xludf.DUMMYFUNCTION("""COMPUTED_VALUE"""),"")</f>
        <v/>
      </c>
      <c r="G534" s="106" t="str">
        <f>IFERROR(__xludf.DUMMYFUNCTION("""COMPUTED_VALUE"""),"")</f>
        <v/>
      </c>
      <c r="I534" s="136" t="str">
        <f>IFERROR(__xludf.DUMMYFUNCTION("""COMPUTED_VALUE"""),"")</f>
        <v/>
      </c>
      <c r="J534" s="106" t="str">
        <f>IFERROR(__xludf.DUMMYFUNCTION("""COMPUTED_VALUE"""),"")</f>
        <v/>
      </c>
      <c r="L534" s="136" t="str">
        <f>IFERROR(__xludf.DUMMYFUNCTION("""COMPUTED_VALUE"""),"")</f>
        <v/>
      </c>
      <c r="M534" s="106" t="str">
        <f>IFERROR(__xludf.DUMMYFUNCTION("""COMPUTED_VALUE"""),"")</f>
        <v/>
      </c>
      <c r="O534" s="136" t="str">
        <f>IFERROR(__xludf.DUMMYFUNCTION("""COMPUTED_VALUE"""),"")</f>
        <v/>
      </c>
      <c r="P534" s="106" t="str">
        <f>IFERROR(__xludf.DUMMYFUNCTION("""COMPUTED_VALUE"""),"")</f>
        <v/>
      </c>
      <c r="R534" s="136" t="str">
        <f>IFERROR(__xludf.DUMMYFUNCTION("""COMPUTED_VALUE"""),"")</f>
        <v/>
      </c>
      <c r="S534" s="106" t="str">
        <f>IFERROR(__xludf.DUMMYFUNCTION("""COMPUTED_VALUE"""),"")</f>
        <v/>
      </c>
    </row>
    <row r="535">
      <c r="A535" s="136" t="s">
        <v>133</v>
      </c>
      <c r="B535" s="136"/>
      <c r="C535" s="136" t="s">
        <v>133</v>
      </c>
      <c r="D535" s="136"/>
      <c r="E535" s="106"/>
      <c r="F535" s="136" t="str">
        <f>IFERROR(__xludf.DUMMYFUNCTION("""COMPUTED_VALUE"""),"")</f>
        <v/>
      </c>
      <c r="G535" s="106" t="str">
        <f>IFERROR(__xludf.DUMMYFUNCTION("""COMPUTED_VALUE"""),"")</f>
        <v/>
      </c>
      <c r="I535" s="136" t="str">
        <f>IFERROR(__xludf.DUMMYFUNCTION("""COMPUTED_VALUE"""),"")</f>
        <v/>
      </c>
      <c r="J535" s="106" t="str">
        <f>IFERROR(__xludf.DUMMYFUNCTION("""COMPUTED_VALUE"""),"")</f>
        <v/>
      </c>
      <c r="L535" s="136" t="str">
        <f>IFERROR(__xludf.DUMMYFUNCTION("""COMPUTED_VALUE"""),"")</f>
        <v/>
      </c>
      <c r="M535" s="106" t="str">
        <f>IFERROR(__xludf.DUMMYFUNCTION("""COMPUTED_VALUE"""),"")</f>
        <v/>
      </c>
      <c r="O535" s="136" t="str">
        <f>IFERROR(__xludf.DUMMYFUNCTION("""COMPUTED_VALUE"""),"")</f>
        <v/>
      </c>
      <c r="P535" s="106" t="str">
        <f>IFERROR(__xludf.DUMMYFUNCTION("""COMPUTED_VALUE"""),"")</f>
        <v/>
      </c>
      <c r="R535" s="136" t="str">
        <f>IFERROR(__xludf.DUMMYFUNCTION("""COMPUTED_VALUE"""),"")</f>
        <v/>
      </c>
      <c r="S535" s="106" t="str">
        <f>IFERROR(__xludf.DUMMYFUNCTION("""COMPUTED_VALUE"""),"")</f>
        <v/>
      </c>
    </row>
    <row r="536">
      <c r="A536" s="136" t="s">
        <v>133</v>
      </c>
      <c r="B536" s="136"/>
      <c r="C536" s="136" t="s">
        <v>133</v>
      </c>
      <c r="D536" s="136"/>
      <c r="E536" s="106"/>
      <c r="F536" s="136" t="str">
        <f>IFERROR(__xludf.DUMMYFUNCTION("""COMPUTED_VALUE"""),"")</f>
        <v/>
      </c>
      <c r="G536" s="106" t="str">
        <f>IFERROR(__xludf.DUMMYFUNCTION("""COMPUTED_VALUE"""),"")</f>
        <v/>
      </c>
      <c r="I536" s="136" t="str">
        <f>IFERROR(__xludf.DUMMYFUNCTION("""COMPUTED_VALUE"""),"")</f>
        <v/>
      </c>
      <c r="J536" s="106" t="str">
        <f>IFERROR(__xludf.DUMMYFUNCTION("""COMPUTED_VALUE"""),"")</f>
        <v/>
      </c>
      <c r="L536" s="136" t="str">
        <f>IFERROR(__xludf.DUMMYFUNCTION("""COMPUTED_VALUE"""),"")</f>
        <v/>
      </c>
      <c r="M536" s="106" t="str">
        <f>IFERROR(__xludf.DUMMYFUNCTION("""COMPUTED_VALUE"""),"")</f>
        <v/>
      </c>
      <c r="O536" s="136" t="str">
        <f>IFERROR(__xludf.DUMMYFUNCTION("""COMPUTED_VALUE"""),"")</f>
        <v/>
      </c>
      <c r="P536" s="106" t="str">
        <f>IFERROR(__xludf.DUMMYFUNCTION("""COMPUTED_VALUE"""),"")</f>
        <v/>
      </c>
      <c r="R536" s="136" t="str">
        <f>IFERROR(__xludf.DUMMYFUNCTION("""COMPUTED_VALUE"""),"")</f>
        <v/>
      </c>
      <c r="S536" s="106" t="str">
        <f>IFERROR(__xludf.DUMMYFUNCTION("""COMPUTED_VALUE"""),"")</f>
        <v/>
      </c>
    </row>
    <row r="537">
      <c r="A537" s="136" t="s">
        <v>133</v>
      </c>
      <c r="B537" s="136"/>
      <c r="C537" s="136" t="s">
        <v>133</v>
      </c>
      <c r="D537" s="136"/>
      <c r="E537" s="106"/>
      <c r="F537" s="136" t="str">
        <f>IFERROR(__xludf.DUMMYFUNCTION("""COMPUTED_VALUE"""),"")</f>
        <v/>
      </c>
      <c r="G537" s="106" t="str">
        <f>IFERROR(__xludf.DUMMYFUNCTION("""COMPUTED_VALUE"""),"")</f>
        <v/>
      </c>
      <c r="I537" s="136" t="str">
        <f>IFERROR(__xludf.DUMMYFUNCTION("""COMPUTED_VALUE"""),"")</f>
        <v/>
      </c>
      <c r="J537" s="106" t="str">
        <f>IFERROR(__xludf.DUMMYFUNCTION("""COMPUTED_VALUE"""),"")</f>
        <v/>
      </c>
      <c r="L537" s="136" t="str">
        <f>IFERROR(__xludf.DUMMYFUNCTION("""COMPUTED_VALUE"""),"")</f>
        <v/>
      </c>
      <c r="M537" s="106" t="str">
        <f>IFERROR(__xludf.DUMMYFUNCTION("""COMPUTED_VALUE"""),"")</f>
        <v/>
      </c>
      <c r="O537" s="136" t="str">
        <f>IFERROR(__xludf.DUMMYFUNCTION("""COMPUTED_VALUE"""),"")</f>
        <v/>
      </c>
      <c r="P537" s="106" t="str">
        <f>IFERROR(__xludf.DUMMYFUNCTION("""COMPUTED_VALUE"""),"")</f>
        <v/>
      </c>
      <c r="R537" s="136" t="str">
        <f>IFERROR(__xludf.DUMMYFUNCTION("""COMPUTED_VALUE"""),"")</f>
        <v/>
      </c>
      <c r="S537" s="106" t="str">
        <f>IFERROR(__xludf.DUMMYFUNCTION("""COMPUTED_VALUE"""),"")</f>
        <v/>
      </c>
    </row>
    <row r="538">
      <c r="A538" s="136" t="s">
        <v>133</v>
      </c>
      <c r="B538" s="136"/>
      <c r="C538" s="136" t="s">
        <v>133</v>
      </c>
      <c r="D538" s="136"/>
      <c r="E538" s="106"/>
      <c r="F538" s="136" t="str">
        <f>IFERROR(__xludf.DUMMYFUNCTION("""COMPUTED_VALUE"""),"")</f>
        <v/>
      </c>
      <c r="G538" s="106" t="str">
        <f>IFERROR(__xludf.DUMMYFUNCTION("""COMPUTED_VALUE"""),"")</f>
        <v/>
      </c>
      <c r="I538" s="136" t="str">
        <f>IFERROR(__xludf.DUMMYFUNCTION("""COMPUTED_VALUE"""),"")</f>
        <v/>
      </c>
      <c r="J538" s="106" t="str">
        <f>IFERROR(__xludf.DUMMYFUNCTION("""COMPUTED_VALUE"""),"")</f>
        <v/>
      </c>
      <c r="L538" s="136" t="str">
        <f>IFERROR(__xludf.DUMMYFUNCTION("""COMPUTED_VALUE"""),"")</f>
        <v/>
      </c>
      <c r="M538" s="106" t="str">
        <f>IFERROR(__xludf.DUMMYFUNCTION("""COMPUTED_VALUE"""),"")</f>
        <v/>
      </c>
      <c r="O538" s="136" t="str">
        <f>IFERROR(__xludf.DUMMYFUNCTION("""COMPUTED_VALUE"""),"")</f>
        <v/>
      </c>
      <c r="P538" s="106" t="str">
        <f>IFERROR(__xludf.DUMMYFUNCTION("""COMPUTED_VALUE"""),"")</f>
        <v/>
      </c>
      <c r="R538" s="136" t="str">
        <f>IFERROR(__xludf.DUMMYFUNCTION("""COMPUTED_VALUE"""),"")</f>
        <v/>
      </c>
      <c r="S538" s="106" t="str">
        <f>IFERROR(__xludf.DUMMYFUNCTION("""COMPUTED_VALUE"""),"")</f>
        <v/>
      </c>
    </row>
    <row r="539">
      <c r="A539" s="136" t="s">
        <v>133</v>
      </c>
      <c r="B539" s="136"/>
      <c r="C539" s="136" t="s">
        <v>133</v>
      </c>
      <c r="D539" s="136"/>
      <c r="E539" s="106"/>
      <c r="F539" s="136" t="str">
        <f>IFERROR(__xludf.DUMMYFUNCTION("""COMPUTED_VALUE"""),"")</f>
        <v/>
      </c>
      <c r="G539" s="106" t="str">
        <f>IFERROR(__xludf.DUMMYFUNCTION("""COMPUTED_VALUE"""),"")</f>
        <v/>
      </c>
      <c r="I539" s="136" t="str">
        <f>IFERROR(__xludf.DUMMYFUNCTION("""COMPUTED_VALUE"""),"")</f>
        <v/>
      </c>
      <c r="J539" s="106" t="str">
        <f>IFERROR(__xludf.DUMMYFUNCTION("""COMPUTED_VALUE"""),"")</f>
        <v/>
      </c>
      <c r="L539" s="136" t="str">
        <f>IFERROR(__xludf.DUMMYFUNCTION("""COMPUTED_VALUE"""),"")</f>
        <v/>
      </c>
      <c r="M539" s="106" t="str">
        <f>IFERROR(__xludf.DUMMYFUNCTION("""COMPUTED_VALUE"""),"")</f>
        <v/>
      </c>
      <c r="O539" s="136" t="str">
        <f>IFERROR(__xludf.DUMMYFUNCTION("""COMPUTED_VALUE"""),"")</f>
        <v/>
      </c>
      <c r="P539" s="106" t="str">
        <f>IFERROR(__xludf.DUMMYFUNCTION("""COMPUTED_VALUE"""),"")</f>
        <v/>
      </c>
      <c r="R539" s="136" t="str">
        <f>IFERROR(__xludf.DUMMYFUNCTION("""COMPUTED_VALUE"""),"")</f>
        <v/>
      </c>
      <c r="S539" s="106" t="str">
        <f>IFERROR(__xludf.DUMMYFUNCTION("""COMPUTED_VALUE"""),"")</f>
        <v/>
      </c>
    </row>
    <row r="540">
      <c r="A540" s="136" t="s">
        <v>133</v>
      </c>
      <c r="B540" s="136"/>
      <c r="C540" s="136" t="s">
        <v>133</v>
      </c>
      <c r="D540" s="136"/>
      <c r="E540" s="106"/>
      <c r="F540" s="136" t="str">
        <f>IFERROR(__xludf.DUMMYFUNCTION("""COMPUTED_VALUE"""),"")</f>
        <v/>
      </c>
      <c r="G540" s="106" t="str">
        <f>IFERROR(__xludf.DUMMYFUNCTION("""COMPUTED_VALUE"""),"")</f>
        <v/>
      </c>
      <c r="I540" s="136" t="str">
        <f>IFERROR(__xludf.DUMMYFUNCTION("""COMPUTED_VALUE"""),"")</f>
        <v/>
      </c>
      <c r="J540" s="106" t="str">
        <f>IFERROR(__xludf.DUMMYFUNCTION("""COMPUTED_VALUE"""),"")</f>
        <v/>
      </c>
      <c r="L540" s="136" t="str">
        <f>IFERROR(__xludf.DUMMYFUNCTION("""COMPUTED_VALUE"""),"")</f>
        <v/>
      </c>
      <c r="M540" s="106" t="str">
        <f>IFERROR(__xludf.DUMMYFUNCTION("""COMPUTED_VALUE"""),"")</f>
        <v/>
      </c>
      <c r="O540" s="136" t="str">
        <f>IFERROR(__xludf.DUMMYFUNCTION("""COMPUTED_VALUE"""),"")</f>
        <v/>
      </c>
      <c r="P540" s="106" t="str">
        <f>IFERROR(__xludf.DUMMYFUNCTION("""COMPUTED_VALUE"""),"")</f>
        <v/>
      </c>
      <c r="R540" s="136" t="str">
        <f>IFERROR(__xludf.DUMMYFUNCTION("""COMPUTED_VALUE"""),"")</f>
        <v/>
      </c>
      <c r="S540" s="106" t="str">
        <f>IFERROR(__xludf.DUMMYFUNCTION("""COMPUTED_VALUE"""),"")</f>
        <v/>
      </c>
    </row>
    <row r="541">
      <c r="A541" s="136" t="s">
        <v>133</v>
      </c>
      <c r="B541" s="136"/>
      <c r="C541" s="136" t="s">
        <v>133</v>
      </c>
      <c r="D541" s="136"/>
      <c r="E541" s="106"/>
      <c r="F541" s="136" t="str">
        <f>IFERROR(__xludf.DUMMYFUNCTION("""COMPUTED_VALUE"""),"")</f>
        <v/>
      </c>
      <c r="G541" s="106" t="str">
        <f>IFERROR(__xludf.DUMMYFUNCTION("""COMPUTED_VALUE"""),"")</f>
        <v/>
      </c>
      <c r="I541" s="136" t="str">
        <f>IFERROR(__xludf.DUMMYFUNCTION("""COMPUTED_VALUE"""),"")</f>
        <v/>
      </c>
      <c r="J541" s="106" t="str">
        <f>IFERROR(__xludf.DUMMYFUNCTION("""COMPUTED_VALUE"""),"")</f>
        <v/>
      </c>
      <c r="L541" s="136" t="str">
        <f>IFERROR(__xludf.DUMMYFUNCTION("""COMPUTED_VALUE"""),"")</f>
        <v/>
      </c>
      <c r="M541" s="106" t="str">
        <f>IFERROR(__xludf.DUMMYFUNCTION("""COMPUTED_VALUE"""),"")</f>
        <v/>
      </c>
      <c r="O541" s="136" t="str">
        <f>IFERROR(__xludf.DUMMYFUNCTION("""COMPUTED_VALUE"""),"")</f>
        <v/>
      </c>
      <c r="P541" s="106" t="str">
        <f>IFERROR(__xludf.DUMMYFUNCTION("""COMPUTED_VALUE"""),"")</f>
        <v/>
      </c>
      <c r="R541" s="136" t="str">
        <f>IFERROR(__xludf.DUMMYFUNCTION("""COMPUTED_VALUE"""),"")</f>
        <v/>
      </c>
      <c r="S541" s="106" t="str">
        <f>IFERROR(__xludf.DUMMYFUNCTION("""COMPUTED_VALUE"""),"")</f>
        <v/>
      </c>
    </row>
    <row r="542">
      <c r="A542" s="136" t="s">
        <v>133</v>
      </c>
      <c r="B542" s="136"/>
      <c r="C542" s="136" t="s">
        <v>133</v>
      </c>
      <c r="D542" s="136"/>
      <c r="E542" s="106"/>
      <c r="F542" s="136" t="str">
        <f>IFERROR(__xludf.DUMMYFUNCTION("""COMPUTED_VALUE"""),"")</f>
        <v/>
      </c>
      <c r="G542" s="106" t="str">
        <f>IFERROR(__xludf.DUMMYFUNCTION("""COMPUTED_VALUE"""),"")</f>
        <v/>
      </c>
      <c r="I542" s="136" t="str">
        <f>IFERROR(__xludf.DUMMYFUNCTION("""COMPUTED_VALUE"""),"")</f>
        <v/>
      </c>
      <c r="J542" s="106" t="str">
        <f>IFERROR(__xludf.DUMMYFUNCTION("""COMPUTED_VALUE"""),"")</f>
        <v/>
      </c>
      <c r="L542" s="136" t="str">
        <f>IFERROR(__xludf.DUMMYFUNCTION("""COMPUTED_VALUE"""),"")</f>
        <v/>
      </c>
      <c r="M542" s="106" t="str">
        <f>IFERROR(__xludf.DUMMYFUNCTION("""COMPUTED_VALUE"""),"")</f>
        <v/>
      </c>
      <c r="O542" s="136" t="str">
        <f>IFERROR(__xludf.DUMMYFUNCTION("""COMPUTED_VALUE"""),"")</f>
        <v/>
      </c>
      <c r="P542" s="106" t="str">
        <f>IFERROR(__xludf.DUMMYFUNCTION("""COMPUTED_VALUE"""),"")</f>
        <v/>
      </c>
      <c r="R542" s="136" t="str">
        <f>IFERROR(__xludf.DUMMYFUNCTION("""COMPUTED_VALUE"""),"")</f>
        <v/>
      </c>
      <c r="S542" s="106" t="str">
        <f>IFERROR(__xludf.DUMMYFUNCTION("""COMPUTED_VALUE"""),"")</f>
        <v/>
      </c>
    </row>
    <row r="543">
      <c r="A543" s="136" t="s">
        <v>133</v>
      </c>
      <c r="B543" s="136"/>
      <c r="C543" s="136" t="s">
        <v>133</v>
      </c>
      <c r="D543" s="136"/>
      <c r="E543" s="106"/>
      <c r="F543" s="136" t="str">
        <f>IFERROR(__xludf.DUMMYFUNCTION("""COMPUTED_VALUE"""),"")</f>
        <v/>
      </c>
      <c r="G543" s="106" t="str">
        <f>IFERROR(__xludf.DUMMYFUNCTION("""COMPUTED_VALUE"""),"")</f>
        <v/>
      </c>
      <c r="I543" s="136" t="str">
        <f>IFERROR(__xludf.DUMMYFUNCTION("""COMPUTED_VALUE"""),"")</f>
        <v/>
      </c>
      <c r="J543" s="106" t="str">
        <f>IFERROR(__xludf.DUMMYFUNCTION("""COMPUTED_VALUE"""),"")</f>
        <v/>
      </c>
      <c r="L543" s="136" t="str">
        <f>IFERROR(__xludf.DUMMYFUNCTION("""COMPUTED_VALUE"""),"")</f>
        <v/>
      </c>
      <c r="M543" s="106" t="str">
        <f>IFERROR(__xludf.DUMMYFUNCTION("""COMPUTED_VALUE"""),"")</f>
        <v/>
      </c>
      <c r="O543" s="136" t="str">
        <f>IFERROR(__xludf.DUMMYFUNCTION("""COMPUTED_VALUE"""),"")</f>
        <v/>
      </c>
      <c r="P543" s="106" t="str">
        <f>IFERROR(__xludf.DUMMYFUNCTION("""COMPUTED_VALUE"""),"")</f>
        <v/>
      </c>
      <c r="R543" s="136" t="str">
        <f>IFERROR(__xludf.DUMMYFUNCTION("""COMPUTED_VALUE"""),"")</f>
        <v/>
      </c>
      <c r="S543" s="106" t="str">
        <f>IFERROR(__xludf.DUMMYFUNCTION("""COMPUTED_VALUE"""),"")</f>
        <v/>
      </c>
    </row>
    <row r="544">
      <c r="A544" s="136" t="s">
        <v>133</v>
      </c>
      <c r="B544" s="136"/>
      <c r="C544" s="136" t="s">
        <v>133</v>
      </c>
      <c r="D544" s="136"/>
      <c r="E544" s="106"/>
      <c r="F544" s="136" t="str">
        <f>IFERROR(__xludf.DUMMYFUNCTION("""COMPUTED_VALUE"""),"")</f>
        <v/>
      </c>
      <c r="G544" s="106" t="str">
        <f>IFERROR(__xludf.DUMMYFUNCTION("""COMPUTED_VALUE"""),"")</f>
        <v/>
      </c>
      <c r="I544" s="136" t="str">
        <f>IFERROR(__xludf.DUMMYFUNCTION("""COMPUTED_VALUE"""),"")</f>
        <v/>
      </c>
      <c r="J544" s="106" t="str">
        <f>IFERROR(__xludf.DUMMYFUNCTION("""COMPUTED_VALUE"""),"")</f>
        <v/>
      </c>
      <c r="L544" s="136" t="str">
        <f>IFERROR(__xludf.DUMMYFUNCTION("""COMPUTED_VALUE"""),"")</f>
        <v/>
      </c>
      <c r="M544" s="106" t="str">
        <f>IFERROR(__xludf.DUMMYFUNCTION("""COMPUTED_VALUE"""),"")</f>
        <v/>
      </c>
      <c r="O544" s="136" t="str">
        <f>IFERROR(__xludf.DUMMYFUNCTION("""COMPUTED_VALUE"""),"")</f>
        <v/>
      </c>
      <c r="P544" s="106" t="str">
        <f>IFERROR(__xludf.DUMMYFUNCTION("""COMPUTED_VALUE"""),"")</f>
        <v/>
      </c>
      <c r="R544" s="136" t="str">
        <f>IFERROR(__xludf.DUMMYFUNCTION("""COMPUTED_VALUE"""),"")</f>
        <v/>
      </c>
      <c r="S544" s="106" t="str">
        <f>IFERROR(__xludf.DUMMYFUNCTION("""COMPUTED_VALUE"""),"")</f>
        <v/>
      </c>
    </row>
    <row r="545">
      <c r="A545" s="136" t="s">
        <v>133</v>
      </c>
      <c r="B545" s="136"/>
      <c r="C545" s="136" t="s">
        <v>133</v>
      </c>
      <c r="D545" s="136"/>
      <c r="E545" s="106"/>
      <c r="F545" s="136" t="str">
        <f>IFERROR(__xludf.DUMMYFUNCTION("""COMPUTED_VALUE"""),"")</f>
        <v/>
      </c>
      <c r="G545" s="106" t="str">
        <f>IFERROR(__xludf.DUMMYFUNCTION("""COMPUTED_VALUE"""),"")</f>
        <v/>
      </c>
      <c r="I545" s="136" t="str">
        <f>IFERROR(__xludf.DUMMYFUNCTION("""COMPUTED_VALUE"""),"")</f>
        <v/>
      </c>
      <c r="J545" s="106" t="str">
        <f>IFERROR(__xludf.DUMMYFUNCTION("""COMPUTED_VALUE"""),"")</f>
        <v/>
      </c>
      <c r="L545" s="136" t="str">
        <f>IFERROR(__xludf.DUMMYFUNCTION("""COMPUTED_VALUE"""),"")</f>
        <v/>
      </c>
      <c r="M545" s="106" t="str">
        <f>IFERROR(__xludf.DUMMYFUNCTION("""COMPUTED_VALUE"""),"")</f>
        <v/>
      </c>
      <c r="O545" s="136" t="str">
        <f>IFERROR(__xludf.DUMMYFUNCTION("""COMPUTED_VALUE"""),"")</f>
        <v/>
      </c>
      <c r="P545" s="106" t="str">
        <f>IFERROR(__xludf.DUMMYFUNCTION("""COMPUTED_VALUE"""),"")</f>
        <v/>
      </c>
      <c r="R545" s="136" t="str">
        <f>IFERROR(__xludf.DUMMYFUNCTION("""COMPUTED_VALUE"""),"")</f>
        <v/>
      </c>
      <c r="S545" s="106" t="str">
        <f>IFERROR(__xludf.DUMMYFUNCTION("""COMPUTED_VALUE"""),"")</f>
        <v/>
      </c>
    </row>
    <row r="546">
      <c r="A546" s="136" t="s">
        <v>133</v>
      </c>
      <c r="B546" s="136"/>
      <c r="C546" s="136" t="s">
        <v>133</v>
      </c>
      <c r="D546" s="136"/>
      <c r="E546" s="106"/>
      <c r="F546" s="136" t="str">
        <f>IFERROR(__xludf.DUMMYFUNCTION("""COMPUTED_VALUE"""),"")</f>
        <v/>
      </c>
      <c r="G546" s="106" t="str">
        <f>IFERROR(__xludf.DUMMYFUNCTION("""COMPUTED_VALUE"""),"")</f>
        <v/>
      </c>
      <c r="I546" s="136" t="str">
        <f>IFERROR(__xludf.DUMMYFUNCTION("""COMPUTED_VALUE"""),"")</f>
        <v/>
      </c>
      <c r="J546" s="106" t="str">
        <f>IFERROR(__xludf.DUMMYFUNCTION("""COMPUTED_VALUE"""),"")</f>
        <v/>
      </c>
      <c r="L546" s="136" t="str">
        <f>IFERROR(__xludf.DUMMYFUNCTION("""COMPUTED_VALUE"""),"")</f>
        <v/>
      </c>
      <c r="M546" s="106" t="str">
        <f>IFERROR(__xludf.DUMMYFUNCTION("""COMPUTED_VALUE"""),"")</f>
        <v/>
      </c>
      <c r="O546" s="136" t="str">
        <f>IFERROR(__xludf.DUMMYFUNCTION("""COMPUTED_VALUE"""),"")</f>
        <v/>
      </c>
      <c r="P546" s="106" t="str">
        <f>IFERROR(__xludf.DUMMYFUNCTION("""COMPUTED_VALUE"""),"")</f>
        <v/>
      </c>
      <c r="R546" s="136" t="str">
        <f>IFERROR(__xludf.DUMMYFUNCTION("""COMPUTED_VALUE"""),"")</f>
        <v/>
      </c>
      <c r="S546" s="106" t="str">
        <f>IFERROR(__xludf.DUMMYFUNCTION("""COMPUTED_VALUE"""),"")</f>
        <v/>
      </c>
    </row>
    <row r="547">
      <c r="A547" s="136" t="s">
        <v>133</v>
      </c>
      <c r="B547" s="136"/>
      <c r="C547" s="136" t="s">
        <v>133</v>
      </c>
      <c r="D547" s="136"/>
      <c r="E547" s="106"/>
      <c r="F547" s="136" t="str">
        <f>IFERROR(__xludf.DUMMYFUNCTION("""COMPUTED_VALUE"""),"")</f>
        <v/>
      </c>
      <c r="G547" s="106" t="str">
        <f>IFERROR(__xludf.DUMMYFUNCTION("""COMPUTED_VALUE"""),"")</f>
        <v/>
      </c>
      <c r="I547" s="136" t="str">
        <f>IFERROR(__xludf.DUMMYFUNCTION("""COMPUTED_VALUE"""),"")</f>
        <v/>
      </c>
      <c r="J547" s="106" t="str">
        <f>IFERROR(__xludf.DUMMYFUNCTION("""COMPUTED_VALUE"""),"")</f>
        <v/>
      </c>
      <c r="L547" s="136" t="str">
        <f>IFERROR(__xludf.DUMMYFUNCTION("""COMPUTED_VALUE"""),"")</f>
        <v/>
      </c>
      <c r="M547" s="106" t="str">
        <f>IFERROR(__xludf.DUMMYFUNCTION("""COMPUTED_VALUE"""),"")</f>
        <v/>
      </c>
      <c r="O547" s="136" t="str">
        <f>IFERROR(__xludf.DUMMYFUNCTION("""COMPUTED_VALUE"""),"")</f>
        <v/>
      </c>
      <c r="P547" s="106" t="str">
        <f>IFERROR(__xludf.DUMMYFUNCTION("""COMPUTED_VALUE"""),"")</f>
        <v/>
      </c>
      <c r="R547" s="136" t="str">
        <f>IFERROR(__xludf.DUMMYFUNCTION("""COMPUTED_VALUE"""),"")</f>
        <v/>
      </c>
      <c r="S547" s="106" t="str">
        <f>IFERROR(__xludf.DUMMYFUNCTION("""COMPUTED_VALUE"""),"")</f>
        <v/>
      </c>
    </row>
    <row r="548">
      <c r="A548" s="136" t="s">
        <v>133</v>
      </c>
      <c r="B548" s="136"/>
      <c r="C548" s="136" t="s">
        <v>133</v>
      </c>
      <c r="D548" s="136"/>
      <c r="E548" s="106"/>
      <c r="F548" s="136" t="str">
        <f>IFERROR(__xludf.DUMMYFUNCTION("""COMPUTED_VALUE"""),"")</f>
        <v/>
      </c>
      <c r="G548" s="106" t="str">
        <f>IFERROR(__xludf.DUMMYFUNCTION("""COMPUTED_VALUE"""),"")</f>
        <v/>
      </c>
      <c r="I548" s="136" t="str">
        <f>IFERROR(__xludf.DUMMYFUNCTION("""COMPUTED_VALUE"""),"")</f>
        <v/>
      </c>
      <c r="J548" s="106" t="str">
        <f>IFERROR(__xludf.DUMMYFUNCTION("""COMPUTED_VALUE"""),"")</f>
        <v/>
      </c>
      <c r="L548" s="136" t="str">
        <f>IFERROR(__xludf.DUMMYFUNCTION("""COMPUTED_VALUE"""),"")</f>
        <v/>
      </c>
      <c r="M548" s="106" t="str">
        <f>IFERROR(__xludf.DUMMYFUNCTION("""COMPUTED_VALUE"""),"")</f>
        <v/>
      </c>
      <c r="O548" s="136" t="str">
        <f>IFERROR(__xludf.DUMMYFUNCTION("""COMPUTED_VALUE"""),"")</f>
        <v/>
      </c>
      <c r="P548" s="106" t="str">
        <f>IFERROR(__xludf.DUMMYFUNCTION("""COMPUTED_VALUE"""),"")</f>
        <v/>
      </c>
      <c r="R548" s="136" t="str">
        <f>IFERROR(__xludf.DUMMYFUNCTION("""COMPUTED_VALUE"""),"")</f>
        <v/>
      </c>
      <c r="S548" s="106" t="str">
        <f>IFERROR(__xludf.DUMMYFUNCTION("""COMPUTED_VALUE"""),"")</f>
        <v/>
      </c>
    </row>
    <row r="549">
      <c r="A549" s="136" t="s">
        <v>133</v>
      </c>
      <c r="B549" s="136"/>
      <c r="C549" s="136" t="s">
        <v>133</v>
      </c>
      <c r="D549" s="136"/>
      <c r="E549" s="106"/>
      <c r="F549" s="136" t="str">
        <f>IFERROR(__xludf.DUMMYFUNCTION("""COMPUTED_VALUE"""),"")</f>
        <v/>
      </c>
      <c r="G549" s="106" t="str">
        <f>IFERROR(__xludf.DUMMYFUNCTION("""COMPUTED_VALUE"""),"")</f>
        <v/>
      </c>
      <c r="I549" s="136" t="str">
        <f>IFERROR(__xludf.DUMMYFUNCTION("""COMPUTED_VALUE"""),"")</f>
        <v/>
      </c>
      <c r="J549" s="106" t="str">
        <f>IFERROR(__xludf.DUMMYFUNCTION("""COMPUTED_VALUE"""),"")</f>
        <v/>
      </c>
      <c r="L549" s="136" t="str">
        <f>IFERROR(__xludf.DUMMYFUNCTION("""COMPUTED_VALUE"""),"")</f>
        <v/>
      </c>
      <c r="M549" s="106" t="str">
        <f>IFERROR(__xludf.DUMMYFUNCTION("""COMPUTED_VALUE"""),"")</f>
        <v/>
      </c>
      <c r="O549" s="136" t="str">
        <f>IFERROR(__xludf.DUMMYFUNCTION("""COMPUTED_VALUE"""),"")</f>
        <v/>
      </c>
      <c r="P549" s="106" t="str">
        <f>IFERROR(__xludf.DUMMYFUNCTION("""COMPUTED_VALUE"""),"")</f>
        <v/>
      </c>
      <c r="R549" s="136" t="str">
        <f>IFERROR(__xludf.DUMMYFUNCTION("""COMPUTED_VALUE"""),"")</f>
        <v/>
      </c>
      <c r="S549" s="106" t="str">
        <f>IFERROR(__xludf.DUMMYFUNCTION("""COMPUTED_VALUE"""),"")</f>
        <v/>
      </c>
    </row>
    <row r="550">
      <c r="A550" s="136" t="s">
        <v>133</v>
      </c>
      <c r="B550" s="136"/>
      <c r="C550" s="136" t="s">
        <v>133</v>
      </c>
      <c r="D550" s="136"/>
      <c r="E550" s="106"/>
      <c r="F550" s="136" t="str">
        <f>IFERROR(__xludf.DUMMYFUNCTION("""COMPUTED_VALUE"""),"")</f>
        <v/>
      </c>
      <c r="G550" s="106" t="str">
        <f>IFERROR(__xludf.DUMMYFUNCTION("""COMPUTED_VALUE"""),"")</f>
        <v/>
      </c>
      <c r="I550" s="136" t="str">
        <f>IFERROR(__xludf.DUMMYFUNCTION("""COMPUTED_VALUE"""),"")</f>
        <v/>
      </c>
      <c r="J550" s="106" t="str">
        <f>IFERROR(__xludf.DUMMYFUNCTION("""COMPUTED_VALUE"""),"")</f>
        <v/>
      </c>
      <c r="L550" s="136" t="str">
        <f>IFERROR(__xludf.DUMMYFUNCTION("""COMPUTED_VALUE"""),"")</f>
        <v/>
      </c>
      <c r="M550" s="106" t="str">
        <f>IFERROR(__xludf.DUMMYFUNCTION("""COMPUTED_VALUE"""),"")</f>
        <v/>
      </c>
      <c r="O550" s="136" t="str">
        <f>IFERROR(__xludf.DUMMYFUNCTION("""COMPUTED_VALUE"""),"")</f>
        <v/>
      </c>
      <c r="P550" s="106" t="str">
        <f>IFERROR(__xludf.DUMMYFUNCTION("""COMPUTED_VALUE"""),"")</f>
        <v/>
      </c>
      <c r="R550" s="136" t="str">
        <f>IFERROR(__xludf.DUMMYFUNCTION("""COMPUTED_VALUE"""),"")</f>
        <v/>
      </c>
      <c r="S550" s="106" t="str">
        <f>IFERROR(__xludf.DUMMYFUNCTION("""COMPUTED_VALUE"""),"")</f>
        <v/>
      </c>
    </row>
    <row r="551">
      <c r="A551" s="136" t="s">
        <v>133</v>
      </c>
      <c r="B551" s="136"/>
      <c r="C551" s="136" t="s">
        <v>133</v>
      </c>
      <c r="D551" s="136"/>
      <c r="E551" s="106"/>
      <c r="F551" s="136" t="str">
        <f>IFERROR(__xludf.DUMMYFUNCTION("""COMPUTED_VALUE"""),"")</f>
        <v/>
      </c>
      <c r="G551" s="106" t="str">
        <f>IFERROR(__xludf.DUMMYFUNCTION("""COMPUTED_VALUE"""),"")</f>
        <v/>
      </c>
      <c r="I551" s="136" t="str">
        <f>IFERROR(__xludf.DUMMYFUNCTION("""COMPUTED_VALUE"""),"")</f>
        <v/>
      </c>
      <c r="J551" s="106" t="str">
        <f>IFERROR(__xludf.DUMMYFUNCTION("""COMPUTED_VALUE"""),"")</f>
        <v/>
      </c>
      <c r="L551" s="136" t="str">
        <f>IFERROR(__xludf.DUMMYFUNCTION("""COMPUTED_VALUE"""),"")</f>
        <v/>
      </c>
      <c r="M551" s="106" t="str">
        <f>IFERROR(__xludf.DUMMYFUNCTION("""COMPUTED_VALUE"""),"")</f>
        <v/>
      </c>
      <c r="O551" s="136" t="str">
        <f>IFERROR(__xludf.DUMMYFUNCTION("""COMPUTED_VALUE"""),"")</f>
        <v/>
      </c>
      <c r="P551" s="106" t="str">
        <f>IFERROR(__xludf.DUMMYFUNCTION("""COMPUTED_VALUE"""),"")</f>
        <v/>
      </c>
      <c r="R551" s="136" t="str">
        <f>IFERROR(__xludf.DUMMYFUNCTION("""COMPUTED_VALUE"""),"")</f>
        <v/>
      </c>
      <c r="S551" s="106" t="str">
        <f>IFERROR(__xludf.DUMMYFUNCTION("""COMPUTED_VALUE"""),"")</f>
        <v/>
      </c>
    </row>
    <row r="552">
      <c r="A552" s="136" t="s">
        <v>133</v>
      </c>
      <c r="B552" s="136"/>
      <c r="C552" s="136" t="s">
        <v>133</v>
      </c>
      <c r="D552" s="136"/>
      <c r="E552" s="106"/>
      <c r="F552" s="136" t="str">
        <f>IFERROR(__xludf.DUMMYFUNCTION("""COMPUTED_VALUE"""),"")</f>
        <v/>
      </c>
      <c r="G552" s="106" t="str">
        <f>IFERROR(__xludf.DUMMYFUNCTION("""COMPUTED_VALUE"""),"")</f>
        <v/>
      </c>
      <c r="I552" s="136" t="str">
        <f>IFERROR(__xludf.DUMMYFUNCTION("""COMPUTED_VALUE"""),"")</f>
        <v/>
      </c>
      <c r="J552" s="106" t="str">
        <f>IFERROR(__xludf.DUMMYFUNCTION("""COMPUTED_VALUE"""),"")</f>
        <v/>
      </c>
      <c r="L552" s="136" t="str">
        <f>IFERROR(__xludf.DUMMYFUNCTION("""COMPUTED_VALUE"""),"")</f>
        <v/>
      </c>
      <c r="M552" s="106" t="str">
        <f>IFERROR(__xludf.DUMMYFUNCTION("""COMPUTED_VALUE"""),"")</f>
        <v/>
      </c>
      <c r="O552" s="136" t="str">
        <f>IFERROR(__xludf.DUMMYFUNCTION("""COMPUTED_VALUE"""),"")</f>
        <v/>
      </c>
      <c r="P552" s="106" t="str">
        <f>IFERROR(__xludf.DUMMYFUNCTION("""COMPUTED_VALUE"""),"")</f>
        <v/>
      </c>
      <c r="R552" s="136" t="str">
        <f>IFERROR(__xludf.DUMMYFUNCTION("""COMPUTED_VALUE"""),"")</f>
        <v/>
      </c>
      <c r="S552" s="106" t="str">
        <f>IFERROR(__xludf.DUMMYFUNCTION("""COMPUTED_VALUE"""),"")</f>
        <v/>
      </c>
    </row>
    <row r="553">
      <c r="A553" s="136" t="s">
        <v>133</v>
      </c>
      <c r="B553" s="136"/>
      <c r="C553" s="136" t="s">
        <v>133</v>
      </c>
      <c r="D553" s="136"/>
      <c r="E553" s="106"/>
      <c r="F553" s="136" t="str">
        <f>IFERROR(__xludf.DUMMYFUNCTION("""COMPUTED_VALUE"""),"")</f>
        <v/>
      </c>
      <c r="G553" s="106" t="str">
        <f>IFERROR(__xludf.DUMMYFUNCTION("""COMPUTED_VALUE"""),"")</f>
        <v/>
      </c>
      <c r="I553" s="136" t="str">
        <f>IFERROR(__xludf.DUMMYFUNCTION("""COMPUTED_VALUE"""),"")</f>
        <v/>
      </c>
      <c r="J553" s="106" t="str">
        <f>IFERROR(__xludf.DUMMYFUNCTION("""COMPUTED_VALUE"""),"")</f>
        <v/>
      </c>
      <c r="L553" s="136" t="str">
        <f>IFERROR(__xludf.DUMMYFUNCTION("""COMPUTED_VALUE"""),"")</f>
        <v/>
      </c>
      <c r="M553" s="106" t="str">
        <f>IFERROR(__xludf.DUMMYFUNCTION("""COMPUTED_VALUE"""),"")</f>
        <v/>
      </c>
      <c r="O553" s="136" t="str">
        <f>IFERROR(__xludf.DUMMYFUNCTION("""COMPUTED_VALUE"""),"")</f>
        <v/>
      </c>
      <c r="P553" s="106" t="str">
        <f>IFERROR(__xludf.DUMMYFUNCTION("""COMPUTED_VALUE"""),"")</f>
        <v/>
      </c>
      <c r="R553" s="136" t="str">
        <f>IFERROR(__xludf.DUMMYFUNCTION("""COMPUTED_VALUE"""),"")</f>
        <v/>
      </c>
      <c r="S553" s="106" t="str">
        <f>IFERROR(__xludf.DUMMYFUNCTION("""COMPUTED_VALUE"""),"")</f>
        <v/>
      </c>
    </row>
    <row r="554">
      <c r="A554" s="136" t="s">
        <v>133</v>
      </c>
      <c r="B554" s="136"/>
      <c r="C554" s="136" t="s">
        <v>133</v>
      </c>
      <c r="D554" s="136"/>
      <c r="E554" s="106"/>
      <c r="F554" s="136" t="str">
        <f>IFERROR(__xludf.DUMMYFUNCTION("""COMPUTED_VALUE"""),"")</f>
        <v/>
      </c>
      <c r="G554" s="106" t="str">
        <f>IFERROR(__xludf.DUMMYFUNCTION("""COMPUTED_VALUE"""),"")</f>
        <v/>
      </c>
      <c r="I554" s="136" t="str">
        <f>IFERROR(__xludf.DUMMYFUNCTION("""COMPUTED_VALUE"""),"")</f>
        <v/>
      </c>
      <c r="J554" s="106" t="str">
        <f>IFERROR(__xludf.DUMMYFUNCTION("""COMPUTED_VALUE"""),"")</f>
        <v/>
      </c>
      <c r="L554" s="136" t="str">
        <f>IFERROR(__xludf.DUMMYFUNCTION("""COMPUTED_VALUE"""),"")</f>
        <v/>
      </c>
      <c r="M554" s="106" t="str">
        <f>IFERROR(__xludf.DUMMYFUNCTION("""COMPUTED_VALUE"""),"")</f>
        <v/>
      </c>
      <c r="O554" s="136" t="str">
        <f>IFERROR(__xludf.DUMMYFUNCTION("""COMPUTED_VALUE"""),"")</f>
        <v/>
      </c>
      <c r="P554" s="106" t="str">
        <f>IFERROR(__xludf.DUMMYFUNCTION("""COMPUTED_VALUE"""),"")</f>
        <v/>
      </c>
      <c r="R554" s="136" t="str">
        <f>IFERROR(__xludf.DUMMYFUNCTION("""COMPUTED_VALUE"""),"")</f>
        <v/>
      </c>
      <c r="S554" s="106" t="str">
        <f>IFERROR(__xludf.DUMMYFUNCTION("""COMPUTED_VALUE"""),"")</f>
        <v/>
      </c>
    </row>
    <row r="555">
      <c r="A555" s="136" t="s">
        <v>133</v>
      </c>
      <c r="B555" s="136"/>
      <c r="C555" s="136" t="s">
        <v>133</v>
      </c>
      <c r="D555" s="136"/>
      <c r="E555" s="106"/>
      <c r="F555" s="136" t="str">
        <f>IFERROR(__xludf.DUMMYFUNCTION("""COMPUTED_VALUE"""),"")</f>
        <v/>
      </c>
      <c r="G555" s="106" t="str">
        <f>IFERROR(__xludf.DUMMYFUNCTION("""COMPUTED_VALUE"""),"")</f>
        <v/>
      </c>
      <c r="I555" s="136" t="str">
        <f>IFERROR(__xludf.DUMMYFUNCTION("""COMPUTED_VALUE"""),"")</f>
        <v/>
      </c>
      <c r="J555" s="106" t="str">
        <f>IFERROR(__xludf.DUMMYFUNCTION("""COMPUTED_VALUE"""),"")</f>
        <v/>
      </c>
      <c r="L555" s="136" t="str">
        <f>IFERROR(__xludf.DUMMYFUNCTION("""COMPUTED_VALUE"""),"")</f>
        <v/>
      </c>
      <c r="M555" s="106" t="str">
        <f>IFERROR(__xludf.DUMMYFUNCTION("""COMPUTED_VALUE"""),"")</f>
        <v/>
      </c>
      <c r="O555" s="136" t="str">
        <f>IFERROR(__xludf.DUMMYFUNCTION("""COMPUTED_VALUE"""),"")</f>
        <v/>
      </c>
      <c r="P555" s="106" t="str">
        <f>IFERROR(__xludf.DUMMYFUNCTION("""COMPUTED_VALUE"""),"")</f>
        <v/>
      </c>
      <c r="R555" s="136" t="str">
        <f>IFERROR(__xludf.DUMMYFUNCTION("""COMPUTED_VALUE"""),"")</f>
        <v/>
      </c>
      <c r="S555" s="106" t="str">
        <f>IFERROR(__xludf.DUMMYFUNCTION("""COMPUTED_VALUE"""),"")</f>
        <v/>
      </c>
    </row>
    <row r="556">
      <c r="A556" s="136" t="s">
        <v>133</v>
      </c>
      <c r="B556" s="136"/>
      <c r="C556" s="136" t="s">
        <v>133</v>
      </c>
      <c r="D556" s="136"/>
      <c r="E556" s="106"/>
      <c r="F556" s="136" t="str">
        <f>IFERROR(__xludf.DUMMYFUNCTION("""COMPUTED_VALUE"""),"")</f>
        <v/>
      </c>
      <c r="G556" s="106" t="str">
        <f>IFERROR(__xludf.DUMMYFUNCTION("""COMPUTED_VALUE"""),"")</f>
        <v/>
      </c>
      <c r="I556" s="136" t="str">
        <f>IFERROR(__xludf.DUMMYFUNCTION("""COMPUTED_VALUE"""),"")</f>
        <v/>
      </c>
      <c r="J556" s="106" t="str">
        <f>IFERROR(__xludf.DUMMYFUNCTION("""COMPUTED_VALUE"""),"")</f>
        <v/>
      </c>
      <c r="L556" s="136" t="str">
        <f>IFERROR(__xludf.DUMMYFUNCTION("""COMPUTED_VALUE"""),"")</f>
        <v/>
      </c>
      <c r="M556" s="106" t="str">
        <f>IFERROR(__xludf.DUMMYFUNCTION("""COMPUTED_VALUE"""),"")</f>
        <v/>
      </c>
      <c r="O556" s="136" t="str">
        <f>IFERROR(__xludf.DUMMYFUNCTION("""COMPUTED_VALUE"""),"")</f>
        <v/>
      </c>
      <c r="P556" s="106" t="str">
        <f>IFERROR(__xludf.DUMMYFUNCTION("""COMPUTED_VALUE"""),"")</f>
        <v/>
      </c>
      <c r="R556" s="136" t="str">
        <f>IFERROR(__xludf.DUMMYFUNCTION("""COMPUTED_VALUE"""),"")</f>
        <v/>
      </c>
      <c r="S556" s="106" t="str">
        <f>IFERROR(__xludf.DUMMYFUNCTION("""COMPUTED_VALUE"""),"")</f>
        <v/>
      </c>
    </row>
    <row r="557">
      <c r="A557" s="136" t="s">
        <v>133</v>
      </c>
      <c r="B557" s="136"/>
      <c r="C557" s="136" t="s">
        <v>133</v>
      </c>
      <c r="D557" s="136"/>
      <c r="E557" s="106"/>
      <c r="F557" s="136" t="str">
        <f>IFERROR(__xludf.DUMMYFUNCTION("""COMPUTED_VALUE"""),"")</f>
        <v/>
      </c>
      <c r="G557" s="106" t="str">
        <f>IFERROR(__xludf.DUMMYFUNCTION("""COMPUTED_VALUE"""),"")</f>
        <v/>
      </c>
      <c r="I557" s="136" t="str">
        <f>IFERROR(__xludf.DUMMYFUNCTION("""COMPUTED_VALUE"""),"")</f>
        <v/>
      </c>
      <c r="J557" s="106" t="str">
        <f>IFERROR(__xludf.DUMMYFUNCTION("""COMPUTED_VALUE"""),"")</f>
        <v/>
      </c>
      <c r="L557" s="136" t="str">
        <f>IFERROR(__xludf.DUMMYFUNCTION("""COMPUTED_VALUE"""),"")</f>
        <v/>
      </c>
      <c r="M557" s="106" t="str">
        <f>IFERROR(__xludf.DUMMYFUNCTION("""COMPUTED_VALUE"""),"")</f>
        <v/>
      </c>
      <c r="O557" s="136" t="str">
        <f>IFERROR(__xludf.DUMMYFUNCTION("""COMPUTED_VALUE"""),"")</f>
        <v/>
      </c>
      <c r="P557" s="106" t="str">
        <f>IFERROR(__xludf.DUMMYFUNCTION("""COMPUTED_VALUE"""),"")</f>
        <v/>
      </c>
      <c r="R557" s="136" t="str">
        <f>IFERROR(__xludf.DUMMYFUNCTION("""COMPUTED_VALUE"""),"")</f>
        <v/>
      </c>
      <c r="S557" s="106" t="str">
        <f>IFERROR(__xludf.DUMMYFUNCTION("""COMPUTED_VALUE"""),"")</f>
        <v/>
      </c>
    </row>
    <row r="558">
      <c r="A558" s="136" t="s">
        <v>133</v>
      </c>
      <c r="B558" s="136"/>
      <c r="C558" s="136" t="s">
        <v>133</v>
      </c>
      <c r="D558" s="136"/>
      <c r="E558" s="106"/>
      <c r="F558" s="136" t="str">
        <f>IFERROR(__xludf.DUMMYFUNCTION("""COMPUTED_VALUE"""),"")</f>
        <v/>
      </c>
      <c r="G558" s="106" t="str">
        <f>IFERROR(__xludf.DUMMYFUNCTION("""COMPUTED_VALUE"""),"")</f>
        <v/>
      </c>
      <c r="I558" s="136" t="str">
        <f>IFERROR(__xludf.DUMMYFUNCTION("""COMPUTED_VALUE"""),"")</f>
        <v/>
      </c>
      <c r="J558" s="106" t="str">
        <f>IFERROR(__xludf.DUMMYFUNCTION("""COMPUTED_VALUE"""),"")</f>
        <v/>
      </c>
      <c r="L558" s="136" t="str">
        <f>IFERROR(__xludf.DUMMYFUNCTION("""COMPUTED_VALUE"""),"")</f>
        <v/>
      </c>
      <c r="M558" s="106" t="str">
        <f>IFERROR(__xludf.DUMMYFUNCTION("""COMPUTED_VALUE"""),"")</f>
        <v/>
      </c>
      <c r="O558" s="136" t="str">
        <f>IFERROR(__xludf.DUMMYFUNCTION("""COMPUTED_VALUE"""),"")</f>
        <v/>
      </c>
      <c r="P558" s="106" t="str">
        <f>IFERROR(__xludf.DUMMYFUNCTION("""COMPUTED_VALUE"""),"")</f>
        <v/>
      </c>
      <c r="R558" s="136" t="str">
        <f>IFERROR(__xludf.DUMMYFUNCTION("""COMPUTED_VALUE"""),"")</f>
        <v/>
      </c>
      <c r="S558" s="106" t="str">
        <f>IFERROR(__xludf.DUMMYFUNCTION("""COMPUTED_VALUE"""),"")</f>
        <v/>
      </c>
    </row>
    <row r="559">
      <c r="A559" s="136" t="s">
        <v>133</v>
      </c>
      <c r="B559" s="136"/>
      <c r="C559" s="136" t="s">
        <v>133</v>
      </c>
      <c r="D559" s="136"/>
      <c r="E559" s="106"/>
      <c r="F559" s="136" t="str">
        <f>IFERROR(__xludf.DUMMYFUNCTION("""COMPUTED_VALUE"""),"")</f>
        <v/>
      </c>
      <c r="G559" s="106" t="str">
        <f>IFERROR(__xludf.DUMMYFUNCTION("""COMPUTED_VALUE"""),"")</f>
        <v/>
      </c>
      <c r="I559" s="136" t="str">
        <f>IFERROR(__xludf.DUMMYFUNCTION("""COMPUTED_VALUE"""),"")</f>
        <v/>
      </c>
      <c r="J559" s="106" t="str">
        <f>IFERROR(__xludf.DUMMYFUNCTION("""COMPUTED_VALUE"""),"")</f>
        <v/>
      </c>
      <c r="L559" s="136" t="str">
        <f>IFERROR(__xludf.DUMMYFUNCTION("""COMPUTED_VALUE"""),"")</f>
        <v/>
      </c>
      <c r="M559" s="106" t="str">
        <f>IFERROR(__xludf.DUMMYFUNCTION("""COMPUTED_VALUE"""),"")</f>
        <v/>
      </c>
      <c r="O559" s="136" t="str">
        <f>IFERROR(__xludf.DUMMYFUNCTION("""COMPUTED_VALUE"""),"")</f>
        <v/>
      </c>
      <c r="P559" s="106" t="str">
        <f>IFERROR(__xludf.DUMMYFUNCTION("""COMPUTED_VALUE"""),"")</f>
        <v/>
      </c>
      <c r="R559" s="136" t="str">
        <f>IFERROR(__xludf.DUMMYFUNCTION("""COMPUTED_VALUE"""),"")</f>
        <v/>
      </c>
      <c r="S559" s="106" t="str">
        <f>IFERROR(__xludf.DUMMYFUNCTION("""COMPUTED_VALUE"""),"")</f>
        <v/>
      </c>
    </row>
    <row r="560">
      <c r="A560" s="136" t="s">
        <v>133</v>
      </c>
      <c r="B560" s="136"/>
      <c r="C560" s="136" t="s">
        <v>133</v>
      </c>
      <c r="D560" s="136"/>
      <c r="E560" s="106"/>
      <c r="F560" s="136" t="str">
        <f>IFERROR(__xludf.DUMMYFUNCTION("""COMPUTED_VALUE"""),"")</f>
        <v/>
      </c>
      <c r="G560" s="106" t="str">
        <f>IFERROR(__xludf.DUMMYFUNCTION("""COMPUTED_VALUE"""),"")</f>
        <v/>
      </c>
      <c r="I560" s="136" t="str">
        <f>IFERROR(__xludf.DUMMYFUNCTION("""COMPUTED_VALUE"""),"")</f>
        <v/>
      </c>
      <c r="J560" s="106" t="str">
        <f>IFERROR(__xludf.DUMMYFUNCTION("""COMPUTED_VALUE"""),"")</f>
        <v/>
      </c>
      <c r="L560" s="136" t="str">
        <f>IFERROR(__xludf.DUMMYFUNCTION("""COMPUTED_VALUE"""),"")</f>
        <v/>
      </c>
      <c r="M560" s="106" t="str">
        <f>IFERROR(__xludf.DUMMYFUNCTION("""COMPUTED_VALUE"""),"")</f>
        <v/>
      </c>
      <c r="O560" s="136" t="str">
        <f>IFERROR(__xludf.DUMMYFUNCTION("""COMPUTED_VALUE"""),"")</f>
        <v/>
      </c>
      <c r="P560" s="106" t="str">
        <f>IFERROR(__xludf.DUMMYFUNCTION("""COMPUTED_VALUE"""),"")</f>
        <v/>
      </c>
      <c r="R560" s="136" t="str">
        <f>IFERROR(__xludf.DUMMYFUNCTION("""COMPUTED_VALUE"""),"")</f>
        <v/>
      </c>
      <c r="S560" s="106" t="str">
        <f>IFERROR(__xludf.DUMMYFUNCTION("""COMPUTED_VALUE"""),"")</f>
        <v/>
      </c>
    </row>
    <row r="561">
      <c r="A561" s="136" t="s">
        <v>133</v>
      </c>
      <c r="B561" s="136"/>
      <c r="C561" s="136" t="s">
        <v>133</v>
      </c>
      <c r="D561" s="136"/>
      <c r="E561" s="106"/>
      <c r="F561" s="136" t="str">
        <f>IFERROR(__xludf.DUMMYFUNCTION("""COMPUTED_VALUE"""),"")</f>
        <v/>
      </c>
      <c r="G561" s="106" t="str">
        <f>IFERROR(__xludf.DUMMYFUNCTION("""COMPUTED_VALUE"""),"")</f>
        <v/>
      </c>
      <c r="I561" s="136" t="str">
        <f>IFERROR(__xludf.DUMMYFUNCTION("""COMPUTED_VALUE"""),"")</f>
        <v/>
      </c>
      <c r="J561" s="106" t="str">
        <f>IFERROR(__xludf.DUMMYFUNCTION("""COMPUTED_VALUE"""),"")</f>
        <v/>
      </c>
      <c r="L561" s="136" t="str">
        <f>IFERROR(__xludf.DUMMYFUNCTION("""COMPUTED_VALUE"""),"")</f>
        <v/>
      </c>
      <c r="M561" s="106" t="str">
        <f>IFERROR(__xludf.DUMMYFUNCTION("""COMPUTED_VALUE"""),"")</f>
        <v/>
      </c>
      <c r="O561" s="136" t="str">
        <f>IFERROR(__xludf.DUMMYFUNCTION("""COMPUTED_VALUE"""),"")</f>
        <v/>
      </c>
      <c r="P561" s="106" t="str">
        <f>IFERROR(__xludf.DUMMYFUNCTION("""COMPUTED_VALUE"""),"")</f>
        <v/>
      </c>
      <c r="R561" s="136" t="str">
        <f>IFERROR(__xludf.DUMMYFUNCTION("""COMPUTED_VALUE"""),"")</f>
        <v/>
      </c>
      <c r="S561" s="106" t="str">
        <f>IFERROR(__xludf.DUMMYFUNCTION("""COMPUTED_VALUE"""),"")</f>
        <v/>
      </c>
    </row>
    <row r="562">
      <c r="A562" s="136" t="s">
        <v>133</v>
      </c>
      <c r="B562" s="136"/>
      <c r="C562" s="136" t="s">
        <v>133</v>
      </c>
      <c r="D562" s="136"/>
      <c r="E562" s="106"/>
      <c r="F562" s="136" t="str">
        <f>IFERROR(__xludf.DUMMYFUNCTION("""COMPUTED_VALUE"""),"")</f>
        <v/>
      </c>
      <c r="G562" s="106" t="str">
        <f>IFERROR(__xludf.DUMMYFUNCTION("""COMPUTED_VALUE"""),"")</f>
        <v/>
      </c>
      <c r="I562" s="136" t="str">
        <f>IFERROR(__xludf.DUMMYFUNCTION("""COMPUTED_VALUE"""),"")</f>
        <v/>
      </c>
      <c r="J562" s="106" t="str">
        <f>IFERROR(__xludf.DUMMYFUNCTION("""COMPUTED_VALUE"""),"")</f>
        <v/>
      </c>
      <c r="L562" s="136" t="str">
        <f>IFERROR(__xludf.DUMMYFUNCTION("""COMPUTED_VALUE"""),"")</f>
        <v/>
      </c>
      <c r="M562" s="106" t="str">
        <f>IFERROR(__xludf.DUMMYFUNCTION("""COMPUTED_VALUE"""),"")</f>
        <v/>
      </c>
      <c r="O562" s="136" t="str">
        <f>IFERROR(__xludf.DUMMYFUNCTION("""COMPUTED_VALUE"""),"")</f>
        <v/>
      </c>
      <c r="P562" s="106" t="str">
        <f>IFERROR(__xludf.DUMMYFUNCTION("""COMPUTED_VALUE"""),"")</f>
        <v/>
      </c>
      <c r="R562" s="136" t="str">
        <f>IFERROR(__xludf.DUMMYFUNCTION("""COMPUTED_VALUE"""),"")</f>
        <v/>
      </c>
      <c r="S562" s="106" t="str">
        <f>IFERROR(__xludf.DUMMYFUNCTION("""COMPUTED_VALUE"""),"")</f>
        <v/>
      </c>
    </row>
    <row r="563">
      <c r="A563" s="136" t="s">
        <v>133</v>
      </c>
      <c r="B563" s="136"/>
      <c r="C563" s="136" t="s">
        <v>133</v>
      </c>
      <c r="D563" s="136"/>
      <c r="E563" s="106"/>
      <c r="F563" s="136" t="str">
        <f>IFERROR(__xludf.DUMMYFUNCTION("""COMPUTED_VALUE"""),"")</f>
        <v/>
      </c>
      <c r="G563" s="106" t="str">
        <f>IFERROR(__xludf.DUMMYFUNCTION("""COMPUTED_VALUE"""),"")</f>
        <v/>
      </c>
      <c r="I563" s="136" t="str">
        <f>IFERROR(__xludf.DUMMYFUNCTION("""COMPUTED_VALUE"""),"")</f>
        <v/>
      </c>
      <c r="J563" s="106" t="str">
        <f>IFERROR(__xludf.DUMMYFUNCTION("""COMPUTED_VALUE"""),"")</f>
        <v/>
      </c>
      <c r="L563" s="136" t="str">
        <f>IFERROR(__xludf.DUMMYFUNCTION("""COMPUTED_VALUE"""),"")</f>
        <v/>
      </c>
      <c r="M563" s="106" t="str">
        <f>IFERROR(__xludf.DUMMYFUNCTION("""COMPUTED_VALUE"""),"")</f>
        <v/>
      </c>
      <c r="O563" s="136" t="str">
        <f>IFERROR(__xludf.DUMMYFUNCTION("""COMPUTED_VALUE"""),"")</f>
        <v/>
      </c>
      <c r="P563" s="106" t="str">
        <f>IFERROR(__xludf.DUMMYFUNCTION("""COMPUTED_VALUE"""),"")</f>
        <v/>
      </c>
      <c r="R563" s="136" t="str">
        <f>IFERROR(__xludf.DUMMYFUNCTION("""COMPUTED_VALUE"""),"")</f>
        <v/>
      </c>
      <c r="S563" s="106" t="str">
        <f>IFERROR(__xludf.DUMMYFUNCTION("""COMPUTED_VALUE"""),"")</f>
        <v/>
      </c>
    </row>
    <row r="564">
      <c r="A564" s="136" t="s">
        <v>133</v>
      </c>
      <c r="B564" s="136"/>
      <c r="C564" s="136" t="s">
        <v>133</v>
      </c>
      <c r="D564" s="136"/>
      <c r="E564" s="106"/>
      <c r="F564" s="136" t="str">
        <f>IFERROR(__xludf.DUMMYFUNCTION("""COMPUTED_VALUE"""),"")</f>
        <v/>
      </c>
      <c r="G564" s="106" t="str">
        <f>IFERROR(__xludf.DUMMYFUNCTION("""COMPUTED_VALUE"""),"")</f>
        <v/>
      </c>
      <c r="I564" s="136" t="str">
        <f>IFERROR(__xludf.DUMMYFUNCTION("""COMPUTED_VALUE"""),"")</f>
        <v/>
      </c>
      <c r="J564" s="106" t="str">
        <f>IFERROR(__xludf.DUMMYFUNCTION("""COMPUTED_VALUE"""),"")</f>
        <v/>
      </c>
      <c r="L564" s="136" t="str">
        <f>IFERROR(__xludf.DUMMYFUNCTION("""COMPUTED_VALUE"""),"")</f>
        <v/>
      </c>
      <c r="M564" s="106" t="str">
        <f>IFERROR(__xludf.DUMMYFUNCTION("""COMPUTED_VALUE"""),"")</f>
        <v/>
      </c>
      <c r="O564" s="136" t="str">
        <f>IFERROR(__xludf.DUMMYFUNCTION("""COMPUTED_VALUE"""),"")</f>
        <v/>
      </c>
      <c r="P564" s="106" t="str">
        <f>IFERROR(__xludf.DUMMYFUNCTION("""COMPUTED_VALUE"""),"")</f>
        <v/>
      </c>
      <c r="R564" s="136" t="str">
        <f>IFERROR(__xludf.DUMMYFUNCTION("""COMPUTED_VALUE"""),"")</f>
        <v/>
      </c>
      <c r="S564" s="106" t="str">
        <f>IFERROR(__xludf.DUMMYFUNCTION("""COMPUTED_VALUE"""),"")</f>
        <v/>
      </c>
    </row>
    <row r="565">
      <c r="A565" s="136" t="s">
        <v>133</v>
      </c>
      <c r="B565" s="136"/>
      <c r="C565" s="136" t="s">
        <v>133</v>
      </c>
      <c r="D565" s="136"/>
      <c r="E565" s="106"/>
      <c r="F565" s="136" t="str">
        <f>IFERROR(__xludf.DUMMYFUNCTION("""COMPUTED_VALUE"""),"")</f>
        <v/>
      </c>
      <c r="G565" s="106" t="str">
        <f>IFERROR(__xludf.DUMMYFUNCTION("""COMPUTED_VALUE"""),"")</f>
        <v/>
      </c>
      <c r="I565" s="136" t="str">
        <f>IFERROR(__xludf.DUMMYFUNCTION("""COMPUTED_VALUE"""),"")</f>
        <v/>
      </c>
      <c r="J565" s="106" t="str">
        <f>IFERROR(__xludf.DUMMYFUNCTION("""COMPUTED_VALUE"""),"")</f>
        <v/>
      </c>
      <c r="L565" s="136" t="str">
        <f>IFERROR(__xludf.DUMMYFUNCTION("""COMPUTED_VALUE"""),"")</f>
        <v/>
      </c>
      <c r="M565" s="106" t="str">
        <f>IFERROR(__xludf.DUMMYFUNCTION("""COMPUTED_VALUE"""),"")</f>
        <v/>
      </c>
      <c r="O565" s="136" t="str">
        <f>IFERROR(__xludf.DUMMYFUNCTION("""COMPUTED_VALUE"""),"")</f>
        <v/>
      </c>
      <c r="P565" s="106" t="str">
        <f>IFERROR(__xludf.DUMMYFUNCTION("""COMPUTED_VALUE"""),"")</f>
        <v/>
      </c>
      <c r="R565" s="136" t="str">
        <f>IFERROR(__xludf.DUMMYFUNCTION("""COMPUTED_VALUE"""),"")</f>
        <v/>
      </c>
      <c r="S565" s="106" t="str">
        <f>IFERROR(__xludf.DUMMYFUNCTION("""COMPUTED_VALUE"""),"")</f>
        <v/>
      </c>
    </row>
    <row r="566">
      <c r="A566" s="136" t="s">
        <v>133</v>
      </c>
      <c r="B566" s="136"/>
      <c r="C566" s="136" t="s">
        <v>133</v>
      </c>
      <c r="D566" s="136"/>
      <c r="E566" s="106"/>
      <c r="F566" s="136" t="str">
        <f>IFERROR(__xludf.DUMMYFUNCTION("""COMPUTED_VALUE"""),"")</f>
        <v/>
      </c>
      <c r="G566" s="106" t="str">
        <f>IFERROR(__xludf.DUMMYFUNCTION("""COMPUTED_VALUE"""),"")</f>
        <v/>
      </c>
      <c r="I566" s="136" t="str">
        <f>IFERROR(__xludf.DUMMYFUNCTION("""COMPUTED_VALUE"""),"")</f>
        <v/>
      </c>
      <c r="J566" s="106" t="str">
        <f>IFERROR(__xludf.DUMMYFUNCTION("""COMPUTED_VALUE"""),"")</f>
        <v/>
      </c>
      <c r="L566" s="136" t="str">
        <f>IFERROR(__xludf.DUMMYFUNCTION("""COMPUTED_VALUE"""),"")</f>
        <v/>
      </c>
      <c r="M566" s="106" t="str">
        <f>IFERROR(__xludf.DUMMYFUNCTION("""COMPUTED_VALUE"""),"")</f>
        <v/>
      </c>
      <c r="O566" s="136" t="str">
        <f>IFERROR(__xludf.DUMMYFUNCTION("""COMPUTED_VALUE"""),"")</f>
        <v/>
      </c>
      <c r="P566" s="106" t="str">
        <f>IFERROR(__xludf.DUMMYFUNCTION("""COMPUTED_VALUE"""),"")</f>
        <v/>
      </c>
      <c r="R566" s="136" t="str">
        <f>IFERROR(__xludf.DUMMYFUNCTION("""COMPUTED_VALUE"""),"")</f>
        <v/>
      </c>
      <c r="S566" s="106" t="str">
        <f>IFERROR(__xludf.DUMMYFUNCTION("""COMPUTED_VALUE"""),"")</f>
        <v/>
      </c>
    </row>
    <row r="567">
      <c r="A567" s="136" t="s">
        <v>133</v>
      </c>
      <c r="B567" s="136"/>
      <c r="C567" s="136" t="s">
        <v>133</v>
      </c>
      <c r="D567" s="136"/>
      <c r="E567" s="106"/>
      <c r="F567" s="136" t="str">
        <f>IFERROR(__xludf.DUMMYFUNCTION("""COMPUTED_VALUE"""),"")</f>
        <v/>
      </c>
      <c r="G567" s="106" t="str">
        <f>IFERROR(__xludf.DUMMYFUNCTION("""COMPUTED_VALUE"""),"")</f>
        <v/>
      </c>
      <c r="I567" s="136" t="str">
        <f>IFERROR(__xludf.DUMMYFUNCTION("""COMPUTED_VALUE"""),"")</f>
        <v/>
      </c>
      <c r="J567" s="106" t="str">
        <f>IFERROR(__xludf.DUMMYFUNCTION("""COMPUTED_VALUE"""),"")</f>
        <v/>
      </c>
      <c r="L567" s="136" t="str">
        <f>IFERROR(__xludf.DUMMYFUNCTION("""COMPUTED_VALUE"""),"")</f>
        <v/>
      </c>
      <c r="M567" s="106" t="str">
        <f>IFERROR(__xludf.DUMMYFUNCTION("""COMPUTED_VALUE"""),"")</f>
        <v/>
      </c>
      <c r="O567" s="136" t="str">
        <f>IFERROR(__xludf.DUMMYFUNCTION("""COMPUTED_VALUE"""),"")</f>
        <v/>
      </c>
      <c r="P567" s="106" t="str">
        <f>IFERROR(__xludf.DUMMYFUNCTION("""COMPUTED_VALUE"""),"")</f>
        <v/>
      </c>
      <c r="R567" s="136" t="str">
        <f>IFERROR(__xludf.DUMMYFUNCTION("""COMPUTED_VALUE"""),"")</f>
        <v/>
      </c>
      <c r="S567" s="106" t="str">
        <f>IFERROR(__xludf.DUMMYFUNCTION("""COMPUTED_VALUE"""),"")</f>
        <v/>
      </c>
    </row>
    <row r="568">
      <c r="A568" s="136" t="s">
        <v>133</v>
      </c>
      <c r="B568" s="136"/>
      <c r="C568" s="136" t="s">
        <v>133</v>
      </c>
      <c r="D568" s="136"/>
      <c r="E568" s="106"/>
      <c r="F568" s="136" t="str">
        <f>IFERROR(__xludf.DUMMYFUNCTION("""COMPUTED_VALUE"""),"")</f>
        <v/>
      </c>
      <c r="G568" s="106" t="str">
        <f>IFERROR(__xludf.DUMMYFUNCTION("""COMPUTED_VALUE"""),"")</f>
        <v/>
      </c>
      <c r="I568" s="136" t="str">
        <f>IFERROR(__xludf.DUMMYFUNCTION("""COMPUTED_VALUE"""),"")</f>
        <v/>
      </c>
      <c r="J568" s="106" t="str">
        <f>IFERROR(__xludf.DUMMYFUNCTION("""COMPUTED_VALUE"""),"")</f>
        <v/>
      </c>
      <c r="L568" s="136" t="str">
        <f>IFERROR(__xludf.DUMMYFUNCTION("""COMPUTED_VALUE"""),"")</f>
        <v/>
      </c>
      <c r="M568" s="106" t="str">
        <f>IFERROR(__xludf.DUMMYFUNCTION("""COMPUTED_VALUE"""),"")</f>
        <v/>
      </c>
      <c r="O568" s="136" t="str">
        <f>IFERROR(__xludf.DUMMYFUNCTION("""COMPUTED_VALUE"""),"")</f>
        <v/>
      </c>
      <c r="P568" s="106" t="str">
        <f>IFERROR(__xludf.DUMMYFUNCTION("""COMPUTED_VALUE"""),"")</f>
        <v/>
      </c>
      <c r="R568" s="136" t="str">
        <f>IFERROR(__xludf.DUMMYFUNCTION("""COMPUTED_VALUE"""),"")</f>
        <v/>
      </c>
      <c r="S568" s="106" t="str">
        <f>IFERROR(__xludf.DUMMYFUNCTION("""COMPUTED_VALUE"""),"")</f>
        <v/>
      </c>
    </row>
    <row r="569">
      <c r="A569" s="136" t="s">
        <v>133</v>
      </c>
      <c r="B569" s="136"/>
      <c r="C569" s="136" t="s">
        <v>133</v>
      </c>
      <c r="D569" s="136"/>
      <c r="E569" s="106"/>
      <c r="F569" s="136" t="str">
        <f>IFERROR(__xludf.DUMMYFUNCTION("""COMPUTED_VALUE"""),"")</f>
        <v/>
      </c>
      <c r="G569" s="106" t="str">
        <f>IFERROR(__xludf.DUMMYFUNCTION("""COMPUTED_VALUE"""),"")</f>
        <v/>
      </c>
      <c r="I569" s="136" t="str">
        <f>IFERROR(__xludf.DUMMYFUNCTION("""COMPUTED_VALUE"""),"")</f>
        <v/>
      </c>
      <c r="J569" s="106" t="str">
        <f>IFERROR(__xludf.DUMMYFUNCTION("""COMPUTED_VALUE"""),"")</f>
        <v/>
      </c>
      <c r="L569" s="136" t="str">
        <f>IFERROR(__xludf.DUMMYFUNCTION("""COMPUTED_VALUE"""),"")</f>
        <v/>
      </c>
      <c r="M569" s="106" t="str">
        <f>IFERROR(__xludf.DUMMYFUNCTION("""COMPUTED_VALUE"""),"")</f>
        <v/>
      </c>
      <c r="O569" s="136" t="str">
        <f>IFERROR(__xludf.DUMMYFUNCTION("""COMPUTED_VALUE"""),"")</f>
        <v/>
      </c>
      <c r="P569" s="106" t="str">
        <f>IFERROR(__xludf.DUMMYFUNCTION("""COMPUTED_VALUE"""),"")</f>
        <v/>
      </c>
      <c r="R569" s="136" t="str">
        <f>IFERROR(__xludf.DUMMYFUNCTION("""COMPUTED_VALUE"""),"")</f>
        <v/>
      </c>
      <c r="S569" s="106" t="str">
        <f>IFERROR(__xludf.DUMMYFUNCTION("""COMPUTED_VALUE"""),"")</f>
        <v/>
      </c>
    </row>
    <row r="570">
      <c r="A570" s="136" t="s">
        <v>133</v>
      </c>
      <c r="B570" s="136"/>
      <c r="C570" s="136" t="s">
        <v>133</v>
      </c>
      <c r="D570" s="136"/>
      <c r="E570" s="106"/>
      <c r="F570" s="136" t="str">
        <f>IFERROR(__xludf.DUMMYFUNCTION("""COMPUTED_VALUE"""),"")</f>
        <v/>
      </c>
      <c r="G570" s="106" t="str">
        <f>IFERROR(__xludf.DUMMYFUNCTION("""COMPUTED_VALUE"""),"")</f>
        <v/>
      </c>
      <c r="I570" s="136" t="str">
        <f>IFERROR(__xludf.DUMMYFUNCTION("""COMPUTED_VALUE"""),"")</f>
        <v/>
      </c>
      <c r="J570" s="106" t="str">
        <f>IFERROR(__xludf.DUMMYFUNCTION("""COMPUTED_VALUE"""),"")</f>
        <v/>
      </c>
      <c r="L570" s="136" t="str">
        <f>IFERROR(__xludf.DUMMYFUNCTION("""COMPUTED_VALUE"""),"")</f>
        <v/>
      </c>
      <c r="M570" s="106" t="str">
        <f>IFERROR(__xludf.DUMMYFUNCTION("""COMPUTED_VALUE"""),"")</f>
        <v/>
      </c>
      <c r="O570" s="136" t="str">
        <f>IFERROR(__xludf.DUMMYFUNCTION("""COMPUTED_VALUE"""),"")</f>
        <v/>
      </c>
      <c r="P570" s="106" t="str">
        <f>IFERROR(__xludf.DUMMYFUNCTION("""COMPUTED_VALUE"""),"")</f>
        <v/>
      </c>
      <c r="R570" s="136" t="str">
        <f>IFERROR(__xludf.DUMMYFUNCTION("""COMPUTED_VALUE"""),"")</f>
        <v/>
      </c>
      <c r="S570" s="106" t="str">
        <f>IFERROR(__xludf.DUMMYFUNCTION("""COMPUTED_VALUE"""),"")</f>
        <v/>
      </c>
    </row>
    <row r="571">
      <c r="A571" s="136" t="s">
        <v>133</v>
      </c>
      <c r="B571" s="136"/>
      <c r="C571" s="136" t="s">
        <v>133</v>
      </c>
      <c r="D571" s="136"/>
      <c r="E571" s="106"/>
      <c r="F571" s="136" t="str">
        <f>IFERROR(__xludf.DUMMYFUNCTION("""COMPUTED_VALUE"""),"")</f>
        <v/>
      </c>
      <c r="G571" s="106" t="str">
        <f>IFERROR(__xludf.DUMMYFUNCTION("""COMPUTED_VALUE"""),"")</f>
        <v/>
      </c>
      <c r="I571" s="136" t="str">
        <f>IFERROR(__xludf.DUMMYFUNCTION("""COMPUTED_VALUE"""),"")</f>
        <v/>
      </c>
      <c r="J571" s="106" t="str">
        <f>IFERROR(__xludf.DUMMYFUNCTION("""COMPUTED_VALUE"""),"")</f>
        <v/>
      </c>
      <c r="L571" s="136" t="str">
        <f>IFERROR(__xludf.DUMMYFUNCTION("""COMPUTED_VALUE"""),"")</f>
        <v/>
      </c>
      <c r="M571" s="106" t="str">
        <f>IFERROR(__xludf.DUMMYFUNCTION("""COMPUTED_VALUE"""),"")</f>
        <v/>
      </c>
      <c r="O571" s="136" t="str">
        <f>IFERROR(__xludf.DUMMYFUNCTION("""COMPUTED_VALUE"""),"")</f>
        <v/>
      </c>
      <c r="P571" s="106" t="str">
        <f>IFERROR(__xludf.DUMMYFUNCTION("""COMPUTED_VALUE"""),"")</f>
        <v/>
      </c>
      <c r="R571" s="136" t="str">
        <f>IFERROR(__xludf.DUMMYFUNCTION("""COMPUTED_VALUE"""),"")</f>
        <v/>
      </c>
      <c r="S571" s="106" t="str">
        <f>IFERROR(__xludf.DUMMYFUNCTION("""COMPUTED_VALUE"""),"")</f>
        <v/>
      </c>
    </row>
    <row r="572">
      <c r="A572" s="136" t="s">
        <v>133</v>
      </c>
      <c r="B572" s="136"/>
      <c r="C572" s="136" t="s">
        <v>133</v>
      </c>
      <c r="D572" s="136"/>
      <c r="E572" s="106"/>
      <c r="F572" s="136" t="str">
        <f>IFERROR(__xludf.DUMMYFUNCTION("""COMPUTED_VALUE"""),"")</f>
        <v/>
      </c>
      <c r="G572" s="106" t="str">
        <f>IFERROR(__xludf.DUMMYFUNCTION("""COMPUTED_VALUE"""),"")</f>
        <v/>
      </c>
      <c r="I572" s="136" t="str">
        <f>IFERROR(__xludf.DUMMYFUNCTION("""COMPUTED_VALUE"""),"")</f>
        <v/>
      </c>
      <c r="J572" s="106" t="str">
        <f>IFERROR(__xludf.DUMMYFUNCTION("""COMPUTED_VALUE"""),"")</f>
        <v/>
      </c>
      <c r="L572" s="136" t="str">
        <f>IFERROR(__xludf.DUMMYFUNCTION("""COMPUTED_VALUE"""),"")</f>
        <v/>
      </c>
      <c r="M572" s="106" t="str">
        <f>IFERROR(__xludf.DUMMYFUNCTION("""COMPUTED_VALUE"""),"")</f>
        <v/>
      </c>
      <c r="O572" s="136" t="str">
        <f>IFERROR(__xludf.DUMMYFUNCTION("""COMPUTED_VALUE"""),"")</f>
        <v/>
      </c>
      <c r="P572" s="106" t="str">
        <f>IFERROR(__xludf.DUMMYFUNCTION("""COMPUTED_VALUE"""),"")</f>
        <v/>
      </c>
      <c r="R572" s="136" t="str">
        <f>IFERROR(__xludf.DUMMYFUNCTION("""COMPUTED_VALUE"""),"")</f>
        <v/>
      </c>
      <c r="S572" s="106" t="str">
        <f>IFERROR(__xludf.DUMMYFUNCTION("""COMPUTED_VALUE"""),"")</f>
        <v/>
      </c>
    </row>
    <row r="573">
      <c r="A573" s="136" t="s">
        <v>133</v>
      </c>
      <c r="B573" s="136"/>
      <c r="C573" s="136" t="s">
        <v>133</v>
      </c>
      <c r="D573" s="136"/>
      <c r="E573" s="106"/>
      <c r="F573" s="136" t="str">
        <f>IFERROR(__xludf.DUMMYFUNCTION("""COMPUTED_VALUE"""),"")</f>
        <v/>
      </c>
      <c r="G573" s="106" t="str">
        <f>IFERROR(__xludf.DUMMYFUNCTION("""COMPUTED_VALUE"""),"")</f>
        <v/>
      </c>
      <c r="I573" s="136" t="str">
        <f>IFERROR(__xludf.DUMMYFUNCTION("""COMPUTED_VALUE"""),"")</f>
        <v/>
      </c>
      <c r="J573" s="106" t="str">
        <f>IFERROR(__xludf.DUMMYFUNCTION("""COMPUTED_VALUE"""),"")</f>
        <v/>
      </c>
      <c r="L573" s="136" t="str">
        <f>IFERROR(__xludf.DUMMYFUNCTION("""COMPUTED_VALUE"""),"")</f>
        <v/>
      </c>
      <c r="M573" s="106" t="str">
        <f>IFERROR(__xludf.DUMMYFUNCTION("""COMPUTED_VALUE"""),"")</f>
        <v/>
      </c>
      <c r="O573" s="136" t="str">
        <f>IFERROR(__xludf.DUMMYFUNCTION("""COMPUTED_VALUE"""),"")</f>
        <v/>
      </c>
      <c r="P573" s="106" t="str">
        <f>IFERROR(__xludf.DUMMYFUNCTION("""COMPUTED_VALUE"""),"")</f>
        <v/>
      </c>
      <c r="R573" s="136" t="str">
        <f>IFERROR(__xludf.DUMMYFUNCTION("""COMPUTED_VALUE"""),"")</f>
        <v/>
      </c>
      <c r="S573" s="106" t="str">
        <f>IFERROR(__xludf.DUMMYFUNCTION("""COMPUTED_VALUE"""),"")</f>
        <v/>
      </c>
    </row>
    <row r="574">
      <c r="A574" s="136" t="s">
        <v>133</v>
      </c>
      <c r="B574" s="136"/>
      <c r="C574" s="136" t="s">
        <v>133</v>
      </c>
      <c r="D574" s="136"/>
      <c r="E574" s="106"/>
      <c r="F574" s="136" t="str">
        <f>IFERROR(__xludf.DUMMYFUNCTION("""COMPUTED_VALUE"""),"")</f>
        <v/>
      </c>
      <c r="G574" s="106" t="str">
        <f>IFERROR(__xludf.DUMMYFUNCTION("""COMPUTED_VALUE"""),"")</f>
        <v/>
      </c>
      <c r="I574" s="136" t="str">
        <f>IFERROR(__xludf.DUMMYFUNCTION("""COMPUTED_VALUE"""),"")</f>
        <v/>
      </c>
      <c r="J574" s="106" t="str">
        <f>IFERROR(__xludf.DUMMYFUNCTION("""COMPUTED_VALUE"""),"")</f>
        <v/>
      </c>
      <c r="L574" s="136" t="str">
        <f>IFERROR(__xludf.DUMMYFUNCTION("""COMPUTED_VALUE"""),"")</f>
        <v/>
      </c>
      <c r="M574" s="106" t="str">
        <f>IFERROR(__xludf.DUMMYFUNCTION("""COMPUTED_VALUE"""),"")</f>
        <v/>
      </c>
      <c r="O574" s="136" t="str">
        <f>IFERROR(__xludf.DUMMYFUNCTION("""COMPUTED_VALUE"""),"")</f>
        <v/>
      </c>
      <c r="P574" s="106" t="str">
        <f>IFERROR(__xludf.DUMMYFUNCTION("""COMPUTED_VALUE"""),"")</f>
        <v/>
      </c>
      <c r="R574" s="136" t="str">
        <f>IFERROR(__xludf.DUMMYFUNCTION("""COMPUTED_VALUE"""),"")</f>
        <v/>
      </c>
      <c r="S574" s="106" t="str">
        <f>IFERROR(__xludf.DUMMYFUNCTION("""COMPUTED_VALUE"""),"")</f>
        <v/>
      </c>
    </row>
    <row r="575">
      <c r="A575" s="136" t="s">
        <v>133</v>
      </c>
      <c r="B575" s="136"/>
      <c r="C575" s="136" t="s">
        <v>133</v>
      </c>
      <c r="D575" s="136"/>
      <c r="E575" s="106"/>
      <c r="F575" s="136" t="str">
        <f>IFERROR(__xludf.DUMMYFUNCTION("""COMPUTED_VALUE"""),"")</f>
        <v/>
      </c>
      <c r="G575" s="106" t="str">
        <f>IFERROR(__xludf.DUMMYFUNCTION("""COMPUTED_VALUE"""),"")</f>
        <v/>
      </c>
      <c r="I575" s="136" t="str">
        <f>IFERROR(__xludf.DUMMYFUNCTION("""COMPUTED_VALUE"""),"")</f>
        <v/>
      </c>
      <c r="J575" s="106" t="str">
        <f>IFERROR(__xludf.DUMMYFUNCTION("""COMPUTED_VALUE"""),"")</f>
        <v/>
      </c>
      <c r="L575" s="136" t="str">
        <f>IFERROR(__xludf.DUMMYFUNCTION("""COMPUTED_VALUE"""),"")</f>
        <v/>
      </c>
      <c r="M575" s="106" t="str">
        <f>IFERROR(__xludf.DUMMYFUNCTION("""COMPUTED_VALUE"""),"")</f>
        <v/>
      </c>
      <c r="O575" s="136" t="str">
        <f>IFERROR(__xludf.DUMMYFUNCTION("""COMPUTED_VALUE"""),"")</f>
        <v/>
      </c>
      <c r="P575" s="106" t="str">
        <f>IFERROR(__xludf.DUMMYFUNCTION("""COMPUTED_VALUE"""),"")</f>
        <v/>
      </c>
      <c r="R575" s="136" t="str">
        <f>IFERROR(__xludf.DUMMYFUNCTION("""COMPUTED_VALUE"""),"")</f>
        <v/>
      </c>
      <c r="S575" s="106" t="str">
        <f>IFERROR(__xludf.DUMMYFUNCTION("""COMPUTED_VALUE"""),"")</f>
        <v/>
      </c>
    </row>
    <row r="576">
      <c r="A576" s="136" t="s">
        <v>133</v>
      </c>
      <c r="B576" s="136"/>
      <c r="C576" s="136" t="s">
        <v>133</v>
      </c>
      <c r="D576" s="136"/>
      <c r="E576" s="106"/>
      <c r="F576" s="136" t="str">
        <f>IFERROR(__xludf.DUMMYFUNCTION("""COMPUTED_VALUE"""),"")</f>
        <v/>
      </c>
      <c r="G576" s="106" t="str">
        <f>IFERROR(__xludf.DUMMYFUNCTION("""COMPUTED_VALUE"""),"")</f>
        <v/>
      </c>
      <c r="I576" s="136" t="str">
        <f>IFERROR(__xludf.DUMMYFUNCTION("""COMPUTED_VALUE"""),"")</f>
        <v/>
      </c>
      <c r="J576" s="106" t="str">
        <f>IFERROR(__xludf.DUMMYFUNCTION("""COMPUTED_VALUE"""),"")</f>
        <v/>
      </c>
      <c r="L576" s="136" t="str">
        <f>IFERROR(__xludf.DUMMYFUNCTION("""COMPUTED_VALUE"""),"")</f>
        <v/>
      </c>
      <c r="M576" s="106" t="str">
        <f>IFERROR(__xludf.DUMMYFUNCTION("""COMPUTED_VALUE"""),"")</f>
        <v/>
      </c>
      <c r="O576" s="136" t="str">
        <f>IFERROR(__xludf.DUMMYFUNCTION("""COMPUTED_VALUE"""),"")</f>
        <v/>
      </c>
      <c r="P576" s="106" t="str">
        <f>IFERROR(__xludf.DUMMYFUNCTION("""COMPUTED_VALUE"""),"")</f>
        <v/>
      </c>
      <c r="R576" s="136" t="str">
        <f>IFERROR(__xludf.DUMMYFUNCTION("""COMPUTED_VALUE"""),"")</f>
        <v/>
      </c>
      <c r="S576" s="106" t="str">
        <f>IFERROR(__xludf.DUMMYFUNCTION("""COMPUTED_VALUE"""),"")</f>
        <v/>
      </c>
    </row>
    <row r="577">
      <c r="A577" s="136" t="s">
        <v>133</v>
      </c>
      <c r="B577" s="136"/>
      <c r="C577" s="136" t="s">
        <v>133</v>
      </c>
      <c r="D577" s="136"/>
      <c r="E577" s="106"/>
      <c r="F577" s="136" t="str">
        <f>IFERROR(__xludf.DUMMYFUNCTION("""COMPUTED_VALUE"""),"")</f>
        <v/>
      </c>
      <c r="G577" s="106" t="str">
        <f>IFERROR(__xludf.DUMMYFUNCTION("""COMPUTED_VALUE"""),"")</f>
        <v/>
      </c>
      <c r="I577" s="136" t="str">
        <f>IFERROR(__xludf.DUMMYFUNCTION("""COMPUTED_VALUE"""),"")</f>
        <v/>
      </c>
      <c r="J577" s="106" t="str">
        <f>IFERROR(__xludf.DUMMYFUNCTION("""COMPUTED_VALUE"""),"")</f>
        <v/>
      </c>
      <c r="L577" s="136" t="str">
        <f>IFERROR(__xludf.DUMMYFUNCTION("""COMPUTED_VALUE"""),"")</f>
        <v/>
      </c>
      <c r="M577" s="106" t="str">
        <f>IFERROR(__xludf.DUMMYFUNCTION("""COMPUTED_VALUE"""),"")</f>
        <v/>
      </c>
      <c r="O577" s="136" t="str">
        <f>IFERROR(__xludf.DUMMYFUNCTION("""COMPUTED_VALUE"""),"")</f>
        <v/>
      </c>
      <c r="P577" s="106" t="str">
        <f>IFERROR(__xludf.DUMMYFUNCTION("""COMPUTED_VALUE"""),"")</f>
        <v/>
      </c>
      <c r="R577" s="136" t="str">
        <f>IFERROR(__xludf.DUMMYFUNCTION("""COMPUTED_VALUE"""),"")</f>
        <v/>
      </c>
      <c r="S577" s="106" t="str">
        <f>IFERROR(__xludf.DUMMYFUNCTION("""COMPUTED_VALUE"""),"")</f>
        <v/>
      </c>
    </row>
    <row r="578">
      <c r="A578" s="136" t="s">
        <v>133</v>
      </c>
      <c r="B578" s="136"/>
      <c r="C578" s="136" t="s">
        <v>133</v>
      </c>
      <c r="D578" s="136"/>
      <c r="E578" s="106"/>
      <c r="F578" s="136" t="str">
        <f>IFERROR(__xludf.DUMMYFUNCTION("""COMPUTED_VALUE"""),"")</f>
        <v/>
      </c>
      <c r="G578" s="106" t="str">
        <f>IFERROR(__xludf.DUMMYFUNCTION("""COMPUTED_VALUE"""),"")</f>
        <v/>
      </c>
      <c r="I578" s="136" t="str">
        <f>IFERROR(__xludf.DUMMYFUNCTION("""COMPUTED_VALUE"""),"")</f>
        <v/>
      </c>
      <c r="J578" s="106" t="str">
        <f>IFERROR(__xludf.DUMMYFUNCTION("""COMPUTED_VALUE"""),"")</f>
        <v/>
      </c>
      <c r="L578" s="136" t="str">
        <f>IFERROR(__xludf.DUMMYFUNCTION("""COMPUTED_VALUE"""),"")</f>
        <v/>
      </c>
      <c r="M578" s="106" t="str">
        <f>IFERROR(__xludf.DUMMYFUNCTION("""COMPUTED_VALUE"""),"")</f>
        <v/>
      </c>
      <c r="O578" s="136" t="str">
        <f>IFERROR(__xludf.DUMMYFUNCTION("""COMPUTED_VALUE"""),"")</f>
        <v/>
      </c>
      <c r="P578" s="106" t="str">
        <f>IFERROR(__xludf.DUMMYFUNCTION("""COMPUTED_VALUE"""),"")</f>
        <v/>
      </c>
      <c r="R578" s="136" t="str">
        <f>IFERROR(__xludf.DUMMYFUNCTION("""COMPUTED_VALUE"""),"")</f>
        <v/>
      </c>
      <c r="S578" s="106" t="str">
        <f>IFERROR(__xludf.DUMMYFUNCTION("""COMPUTED_VALUE"""),"")</f>
        <v/>
      </c>
    </row>
    <row r="579">
      <c r="A579" s="136" t="s">
        <v>133</v>
      </c>
      <c r="B579" s="136"/>
      <c r="C579" s="136" t="s">
        <v>133</v>
      </c>
      <c r="D579" s="136"/>
      <c r="E579" s="106"/>
      <c r="F579" s="136" t="str">
        <f>IFERROR(__xludf.DUMMYFUNCTION("""COMPUTED_VALUE"""),"")</f>
        <v/>
      </c>
      <c r="G579" s="106" t="str">
        <f>IFERROR(__xludf.DUMMYFUNCTION("""COMPUTED_VALUE"""),"")</f>
        <v/>
      </c>
      <c r="I579" s="136" t="str">
        <f>IFERROR(__xludf.DUMMYFUNCTION("""COMPUTED_VALUE"""),"")</f>
        <v/>
      </c>
      <c r="J579" s="106" t="str">
        <f>IFERROR(__xludf.DUMMYFUNCTION("""COMPUTED_VALUE"""),"")</f>
        <v/>
      </c>
      <c r="L579" s="136" t="str">
        <f>IFERROR(__xludf.DUMMYFUNCTION("""COMPUTED_VALUE"""),"")</f>
        <v/>
      </c>
      <c r="M579" s="106" t="str">
        <f>IFERROR(__xludf.DUMMYFUNCTION("""COMPUTED_VALUE"""),"")</f>
        <v/>
      </c>
      <c r="O579" s="136" t="str">
        <f>IFERROR(__xludf.DUMMYFUNCTION("""COMPUTED_VALUE"""),"")</f>
        <v/>
      </c>
      <c r="P579" s="106" t="str">
        <f>IFERROR(__xludf.DUMMYFUNCTION("""COMPUTED_VALUE"""),"")</f>
        <v/>
      </c>
      <c r="R579" s="136" t="str">
        <f>IFERROR(__xludf.DUMMYFUNCTION("""COMPUTED_VALUE"""),"")</f>
        <v/>
      </c>
      <c r="S579" s="106" t="str">
        <f>IFERROR(__xludf.DUMMYFUNCTION("""COMPUTED_VALUE"""),"")</f>
        <v/>
      </c>
    </row>
    <row r="580">
      <c r="A580" s="136" t="s">
        <v>133</v>
      </c>
      <c r="B580" s="136"/>
      <c r="C580" s="136" t="s">
        <v>133</v>
      </c>
      <c r="D580" s="136"/>
      <c r="E580" s="106"/>
      <c r="F580" s="136" t="str">
        <f>IFERROR(__xludf.DUMMYFUNCTION("""COMPUTED_VALUE"""),"")</f>
        <v/>
      </c>
      <c r="G580" s="106" t="str">
        <f>IFERROR(__xludf.DUMMYFUNCTION("""COMPUTED_VALUE"""),"")</f>
        <v/>
      </c>
      <c r="I580" s="136" t="str">
        <f>IFERROR(__xludf.DUMMYFUNCTION("""COMPUTED_VALUE"""),"")</f>
        <v/>
      </c>
      <c r="J580" s="106" t="str">
        <f>IFERROR(__xludf.DUMMYFUNCTION("""COMPUTED_VALUE"""),"")</f>
        <v/>
      </c>
      <c r="L580" s="136" t="str">
        <f>IFERROR(__xludf.DUMMYFUNCTION("""COMPUTED_VALUE"""),"")</f>
        <v/>
      </c>
      <c r="M580" s="106" t="str">
        <f>IFERROR(__xludf.DUMMYFUNCTION("""COMPUTED_VALUE"""),"")</f>
        <v/>
      </c>
      <c r="O580" s="136" t="str">
        <f>IFERROR(__xludf.DUMMYFUNCTION("""COMPUTED_VALUE"""),"")</f>
        <v/>
      </c>
      <c r="P580" s="106" t="str">
        <f>IFERROR(__xludf.DUMMYFUNCTION("""COMPUTED_VALUE"""),"")</f>
        <v/>
      </c>
      <c r="R580" s="136" t="str">
        <f>IFERROR(__xludf.DUMMYFUNCTION("""COMPUTED_VALUE"""),"")</f>
        <v/>
      </c>
      <c r="S580" s="106" t="str">
        <f>IFERROR(__xludf.DUMMYFUNCTION("""COMPUTED_VALUE"""),"")</f>
        <v/>
      </c>
    </row>
    <row r="581">
      <c r="A581" s="136" t="s">
        <v>133</v>
      </c>
      <c r="B581" s="136"/>
      <c r="C581" s="136" t="s">
        <v>133</v>
      </c>
      <c r="D581" s="136"/>
      <c r="E581" s="106"/>
      <c r="F581" s="136" t="str">
        <f>IFERROR(__xludf.DUMMYFUNCTION("""COMPUTED_VALUE"""),"")</f>
        <v/>
      </c>
      <c r="G581" s="106" t="str">
        <f>IFERROR(__xludf.DUMMYFUNCTION("""COMPUTED_VALUE"""),"")</f>
        <v/>
      </c>
      <c r="I581" s="136" t="str">
        <f>IFERROR(__xludf.DUMMYFUNCTION("""COMPUTED_VALUE"""),"")</f>
        <v/>
      </c>
      <c r="J581" s="106" t="str">
        <f>IFERROR(__xludf.DUMMYFUNCTION("""COMPUTED_VALUE"""),"")</f>
        <v/>
      </c>
      <c r="L581" s="136" t="str">
        <f>IFERROR(__xludf.DUMMYFUNCTION("""COMPUTED_VALUE"""),"")</f>
        <v/>
      </c>
      <c r="M581" s="106" t="str">
        <f>IFERROR(__xludf.DUMMYFUNCTION("""COMPUTED_VALUE"""),"")</f>
        <v/>
      </c>
      <c r="O581" s="136" t="str">
        <f>IFERROR(__xludf.DUMMYFUNCTION("""COMPUTED_VALUE"""),"")</f>
        <v/>
      </c>
      <c r="P581" s="106" t="str">
        <f>IFERROR(__xludf.DUMMYFUNCTION("""COMPUTED_VALUE"""),"")</f>
        <v/>
      </c>
      <c r="R581" s="136" t="str">
        <f>IFERROR(__xludf.DUMMYFUNCTION("""COMPUTED_VALUE"""),"")</f>
        <v/>
      </c>
      <c r="S581" s="106" t="str">
        <f>IFERROR(__xludf.DUMMYFUNCTION("""COMPUTED_VALUE"""),"")</f>
        <v/>
      </c>
    </row>
    <row r="582">
      <c r="A582" s="136" t="s">
        <v>133</v>
      </c>
      <c r="B582" s="136"/>
      <c r="C582" s="136" t="s">
        <v>133</v>
      </c>
      <c r="D582" s="136"/>
      <c r="E582" s="106"/>
      <c r="F582" s="136" t="str">
        <f>IFERROR(__xludf.DUMMYFUNCTION("""COMPUTED_VALUE"""),"")</f>
        <v/>
      </c>
      <c r="G582" s="106" t="str">
        <f>IFERROR(__xludf.DUMMYFUNCTION("""COMPUTED_VALUE"""),"")</f>
        <v/>
      </c>
      <c r="I582" s="136" t="str">
        <f>IFERROR(__xludf.DUMMYFUNCTION("""COMPUTED_VALUE"""),"")</f>
        <v/>
      </c>
      <c r="J582" s="106" t="str">
        <f>IFERROR(__xludf.DUMMYFUNCTION("""COMPUTED_VALUE"""),"")</f>
        <v/>
      </c>
      <c r="L582" s="136" t="str">
        <f>IFERROR(__xludf.DUMMYFUNCTION("""COMPUTED_VALUE"""),"")</f>
        <v/>
      </c>
      <c r="M582" s="106" t="str">
        <f>IFERROR(__xludf.DUMMYFUNCTION("""COMPUTED_VALUE"""),"")</f>
        <v/>
      </c>
      <c r="O582" s="136" t="str">
        <f>IFERROR(__xludf.DUMMYFUNCTION("""COMPUTED_VALUE"""),"")</f>
        <v/>
      </c>
      <c r="P582" s="106" t="str">
        <f>IFERROR(__xludf.DUMMYFUNCTION("""COMPUTED_VALUE"""),"")</f>
        <v/>
      </c>
      <c r="R582" s="136" t="str">
        <f>IFERROR(__xludf.DUMMYFUNCTION("""COMPUTED_VALUE"""),"")</f>
        <v/>
      </c>
      <c r="S582" s="106" t="str">
        <f>IFERROR(__xludf.DUMMYFUNCTION("""COMPUTED_VALUE"""),"")</f>
        <v/>
      </c>
    </row>
    <row r="583">
      <c r="A583" s="136" t="s">
        <v>133</v>
      </c>
      <c r="B583" s="136"/>
      <c r="C583" s="136" t="s">
        <v>133</v>
      </c>
      <c r="D583" s="136"/>
      <c r="E583" s="106"/>
      <c r="F583" s="136" t="str">
        <f>IFERROR(__xludf.DUMMYFUNCTION("""COMPUTED_VALUE"""),"")</f>
        <v/>
      </c>
      <c r="G583" s="106" t="str">
        <f>IFERROR(__xludf.DUMMYFUNCTION("""COMPUTED_VALUE"""),"")</f>
        <v/>
      </c>
      <c r="I583" s="136" t="str">
        <f>IFERROR(__xludf.DUMMYFUNCTION("""COMPUTED_VALUE"""),"")</f>
        <v/>
      </c>
      <c r="J583" s="106" t="str">
        <f>IFERROR(__xludf.DUMMYFUNCTION("""COMPUTED_VALUE"""),"")</f>
        <v/>
      </c>
      <c r="L583" s="136" t="str">
        <f>IFERROR(__xludf.DUMMYFUNCTION("""COMPUTED_VALUE"""),"")</f>
        <v/>
      </c>
      <c r="M583" s="106" t="str">
        <f>IFERROR(__xludf.DUMMYFUNCTION("""COMPUTED_VALUE"""),"")</f>
        <v/>
      </c>
      <c r="O583" s="136" t="str">
        <f>IFERROR(__xludf.DUMMYFUNCTION("""COMPUTED_VALUE"""),"")</f>
        <v/>
      </c>
      <c r="P583" s="106" t="str">
        <f>IFERROR(__xludf.DUMMYFUNCTION("""COMPUTED_VALUE"""),"")</f>
        <v/>
      </c>
      <c r="R583" s="136" t="str">
        <f>IFERROR(__xludf.DUMMYFUNCTION("""COMPUTED_VALUE"""),"")</f>
        <v/>
      </c>
      <c r="S583" s="106" t="str">
        <f>IFERROR(__xludf.DUMMYFUNCTION("""COMPUTED_VALUE"""),"")</f>
        <v/>
      </c>
    </row>
    <row r="584">
      <c r="A584" s="136" t="s">
        <v>133</v>
      </c>
      <c r="B584" s="136"/>
      <c r="C584" s="136" t="s">
        <v>133</v>
      </c>
      <c r="D584" s="136"/>
      <c r="E584" s="106"/>
      <c r="F584" s="136" t="str">
        <f>IFERROR(__xludf.DUMMYFUNCTION("""COMPUTED_VALUE"""),"")</f>
        <v/>
      </c>
      <c r="G584" s="106" t="str">
        <f>IFERROR(__xludf.DUMMYFUNCTION("""COMPUTED_VALUE"""),"")</f>
        <v/>
      </c>
      <c r="I584" s="136" t="str">
        <f>IFERROR(__xludf.DUMMYFUNCTION("""COMPUTED_VALUE"""),"")</f>
        <v/>
      </c>
      <c r="J584" s="106" t="str">
        <f>IFERROR(__xludf.DUMMYFUNCTION("""COMPUTED_VALUE"""),"")</f>
        <v/>
      </c>
      <c r="L584" s="136" t="str">
        <f>IFERROR(__xludf.DUMMYFUNCTION("""COMPUTED_VALUE"""),"")</f>
        <v/>
      </c>
      <c r="M584" s="106" t="str">
        <f>IFERROR(__xludf.DUMMYFUNCTION("""COMPUTED_VALUE"""),"")</f>
        <v/>
      </c>
      <c r="O584" s="136" t="str">
        <f>IFERROR(__xludf.DUMMYFUNCTION("""COMPUTED_VALUE"""),"")</f>
        <v/>
      </c>
      <c r="P584" s="106" t="str">
        <f>IFERROR(__xludf.DUMMYFUNCTION("""COMPUTED_VALUE"""),"")</f>
        <v/>
      </c>
      <c r="R584" s="136" t="str">
        <f>IFERROR(__xludf.DUMMYFUNCTION("""COMPUTED_VALUE"""),"")</f>
        <v/>
      </c>
      <c r="S584" s="106" t="str">
        <f>IFERROR(__xludf.DUMMYFUNCTION("""COMPUTED_VALUE"""),"")</f>
        <v/>
      </c>
    </row>
    <row r="585">
      <c r="A585" s="136" t="s">
        <v>133</v>
      </c>
      <c r="B585" s="136"/>
      <c r="C585" s="136" t="s">
        <v>133</v>
      </c>
      <c r="D585" s="136"/>
      <c r="E585" s="106"/>
      <c r="F585" s="136" t="str">
        <f>IFERROR(__xludf.DUMMYFUNCTION("""COMPUTED_VALUE"""),"")</f>
        <v/>
      </c>
      <c r="G585" s="106" t="str">
        <f>IFERROR(__xludf.DUMMYFUNCTION("""COMPUTED_VALUE"""),"")</f>
        <v/>
      </c>
      <c r="I585" s="136" t="str">
        <f>IFERROR(__xludf.DUMMYFUNCTION("""COMPUTED_VALUE"""),"")</f>
        <v/>
      </c>
      <c r="J585" s="106" t="str">
        <f>IFERROR(__xludf.DUMMYFUNCTION("""COMPUTED_VALUE"""),"")</f>
        <v/>
      </c>
      <c r="L585" s="136" t="str">
        <f>IFERROR(__xludf.DUMMYFUNCTION("""COMPUTED_VALUE"""),"")</f>
        <v/>
      </c>
      <c r="M585" s="106" t="str">
        <f>IFERROR(__xludf.DUMMYFUNCTION("""COMPUTED_VALUE"""),"")</f>
        <v/>
      </c>
      <c r="O585" s="136" t="str">
        <f>IFERROR(__xludf.DUMMYFUNCTION("""COMPUTED_VALUE"""),"")</f>
        <v/>
      </c>
      <c r="P585" s="106" t="str">
        <f>IFERROR(__xludf.DUMMYFUNCTION("""COMPUTED_VALUE"""),"")</f>
        <v/>
      </c>
      <c r="R585" s="136" t="str">
        <f>IFERROR(__xludf.DUMMYFUNCTION("""COMPUTED_VALUE"""),"")</f>
        <v/>
      </c>
      <c r="S585" s="106" t="str">
        <f>IFERROR(__xludf.DUMMYFUNCTION("""COMPUTED_VALUE"""),"")</f>
        <v/>
      </c>
    </row>
    <row r="586">
      <c r="A586" s="136" t="s">
        <v>133</v>
      </c>
      <c r="B586" s="136"/>
      <c r="C586" s="136" t="s">
        <v>133</v>
      </c>
      <c r="D586" s="136"/>
      <c r="E586" s="106"/>
      <c r="F586" s="136" t="str">
        <f>IFERROR(__xludf.DUMMYFUNCTION("""COMPUTED_VALUE"""),"")</f>
        <v/>
      </c>
      <c r="G586" s="106" t="str">
        <f>IFERROR(__xludf.DUMMYFUNCTION("""COMPUTED_VALUE"""),"")</f>
        <v/>
      </c>
      <c r="I586" s="136" t="str">
        <f>IFERROR(__xludf.DUMMYFUNCTION("""COMPUTED_VALUE"""),"")</f>
        <v/>
      </c>
      <c r="J586" s="106" t="str">
        <f>IFERROR(__xludf.DUMMYFUNCTION("""COMPUTED_VALUE"""),"")</f>
        <v/>
      </c>
      <c r="L586" s="136" t="str">
        <f>IFERROR(__xludf.DUMMYFUNCTION("""COMPUTED_VALUE"""),"")</f>
        <v/>
      </c>
      <c r="M586" s="106" t="str">
        <f>IFERROR(__xludf.DUMMYFUNCTION("""COMPUTED_VALUE"""),"")</f>
        <v/>
      </c>
      <c r="O586" s="136" t="str">
        <f>IFERROR(__xludf.DUMMYFUNCTION("""COMPUTED_VALUE"""),"")</f>
        <v/>
      </c>
      <c r="P586" s="106" t="str">
        <f>IFERROR(__xludf.DUMMYFUNCTION("""COMPUTED_VALUE"""),"")</f>
        <v/>
      </c>
      <c r="R586" s="136" t="str">
        <f>IFERROR(__xludf.DUMMYFUNCTION("""COMPUTED_VALUE"""),"")</f>
        <v/>
      </c>
      <c r="S586" s="106" t="str">
        <f>IFERROR(__xludf.DUMMYFUNCTION("""COMPUTED_VALUE"""),"")</f>
        <v/>
      </c>
    </row>
    <row r="587">
      <c r="A587" s="136" t="s">
        <v>133</v>
      </c>
      <c r="B587" s="136"/>
      <c r="C587" s="136" t="s">
        <v>133</v>
      </c>
      <c r="D587" s="136"/>
      <c r="E587" s="106"/>
      <c r="F587" s="136" t="str">
        <f>IFERROR(__xludf.DUMMYFUNCTION("""COMPUTED_VALUE"""),"")</f>
        <v/>
      </c>
      <c r="G587" s="106" t="str">
        <f>IFERROR(__xludf.DUMMYFUNCTION("""COMPUTED_VALUE"""),"")</f>
        <v/>
      </c>
      <c r="I587" s="136" t="str">
        <f>IFERROR(__xludf.DUMMYFUNCTION("""COMPUTED_VALUE"""),"")</f>
        <v/>
      </c>
      <c r="J587" s="106" t="str">
        <f>IFERROR(__xludf.DUMMYFUNCTION("""COMPUTED_VALUE"""),"")</f>
        <v/>
      </c>
      <c r="L587" s="136" t="str">
        <f>IFERROR(__xludf.DUMMYFUNCTION("""COMPUTED_VALUE"""),"")</f>
        <v/>
      </c>
      <c r="M587" s="106" t="str">
        <f>IFERROR(__xludf.DUMMYFUNCTION("""COMPUTED_VALUE"""),"")</f>
        <v/>
      </c>
      <c r="O587" s="136" t="str">
        <f>IFERROR(__xludf.DUMMYFUNCTION("""COMPUTED_VALUE"""),"")</f>
        <v/>
      </c>
      <c r="P587" s="106" t="str">
        <f>IFERROR(__xludf.DUMMYFUNCTION("""COMPUTED_VALUE"""),"")</f>
        <v/>
      </c>
      <c r="R587" s="136" t="str">
        <f>IFERROR(__xludf.DUMMYFUNCTION("""COMPUTED_VALUE"""),"")</f>
        <v/>
      </c>
      <c r="S587" s="106" t="str">
        <f>IFERROR(__xludf.DUMMYFUNCTION("""COMPUTED_VALUE"""),"")</f>
        <v/>
      </c>
    </row>
    <row r="588">
      <c r="A588" s="136" t="s">
        <v>133</v>
      </c>
      <c r="B588" s="136"/>
      <c r="C588" s="136" t="s">
        <v>133</v>
      </c>
      <c r="D588" s="136"/>
      <c r="E588" s="106"/>
      <c r="F588" s="136" t="str">
        <f>IFERROR(__xludf.DUMMYFUNCTION("""COMPUTED_VALUE"""),"")</f>
        <v/>
      </c>
      <c r="G588" s="106" t="str">
        <f>IFERROR(__xludf.DUMMYFUNCTION("""COMPUTED_VALUE"""),"")</f>
        <v/>
      </c>
      <c r="I588" s="136" t="str">
        <f>IFERROR(__xludf.DUMMYFUNCTION("""COMPUTED_VALUE"""),"")</f>
        <v/>
      </c>
      <c r="J588" s="106" t="str">
        <f>IFERROR(__xludf.DUMMYFUNCTION("""COMPUTED_VALUE"""),"")</f>
        <v/>
      </c>
      <c r="L588" s="136" t="str">
        <f>IFERROR(__xludf.DUMMYFUNCTION("""COMPUTED_VALUE"""),"")</f>
        <v/>
      </c>
      <c r="M588" s="106" t="str">
        <f>IFERROR(__xludf.DUMMYFUNCTION("""COMPUTED_VALUE"""),"")</f>
        <v/>
      </c>
      <c r="O588" s="136" t="str">
        <f>IFERROR(__xludf.DUMMYFUNCTION("""COMPUTED_VALUE"""),"")</f>
        <v/>
      </c>
      <c r="P588" s="106" t="str">
        <f>IFERROR(__xludf.DUMMYFUNCTION("""COMPUTED_VALUE"""),"")</f>
        <v/>
      </c>
      <c r="R588" s="136" t="str">
        <f>IFERROR(__xludf.DUMMYFUNCTION("""COMPUTED_VALUE"""),"")</f>
        <v/>
      </c>
      <c r="S588" s="106" t="str">
        <f>IFERROR(__xludf.DUMMYFUNCTION("""COMPUTED_VALUE"""),"")</f>
        <v/>
      </c>
    </row>
    <row r="589">
      <c r="A589" s="136" t="s">
        <v>133</v>
      </c>
      <c r="B589" s="136"/>
      <c r="C589" s="136" t="s">
        <v>133</v>
      </c>
      <c r="D589" s="136"/>
      <c r="E589" s="106"/>
      <c r="F589" s="136" t="str">
        <f>IFERROR(__xludf.DUMMYFUNCTION("""COMPUTED_VALUE"""),"")</f>
        <v/>
      </c>
      <c r="G589" s="106" t="str">
        <f>IFERROR(__xludf.DUMMYFUNCTION("""COMPUTED_VALUE"""),"")</f>
        <v/>
      </c>
      <c r="I589" s="136" t="str">
        <f>IFERROR(__xludf.DUMMYFUNCTION("""COMPUTED_VALUE"""),"")</f>
        <v/>
      </c>
      <c r="J589" s="106" t="str">
        <f>IFERROR(__xludf.DUMMYFUNCTION("""COMPUTED_VALUE"""),"")</f>
        <v/>
      </c>
      <c r="L589" s="136" t="str">
        <f>IFERROR(__xludf.DUMMYFUNCTION("""COMPUTED_VALUE"""),"")</f>
        <v/>
      </c>
      <c r="M589" s="106" t="str">
        <f>IFERROR(__xludf.DUMMYFUNCTION("""COMPUTED_VALUE"""),"")</f>
        <v/>
      </c>
      <c r="O589" s="136" t="str">
        <f>IFERROR(__xludf.DUMMYFUNCTION("""COMPUTED_VALUE"""),"")</f>
        <v/>
      </c>
      <c r="P589" s="106" t="str">
        <f>IFERROR(__xludf.DUMMYFUNCTION("""COMPUTED_VALUE"""),"")</f>
        <v/>
      </c>
      <c r="R589" s="136" t="str">
        <f>IFERROR(__xludf.DUMMYFUNCTION("""COMPUTED_VALUE"""),"")</f>
        <v/>
      </c>
      <c r="S589" s="106" t="str">
        <f>IFERROR(__xludf.DUMMYFUNCTION("""COMPUTED_VALUE"""),"")</f>
        <v/>
      </c>
    </row>
    <row r="590">
      <c r="A590" s="136" t="s">
        <v>133</v>
      </c>
      <c r="B590" s="136"/>
      <c r="C590" s="136" t="s">
        <v>133</v>
      </c>
      <c r="D590" s="136"/>
      <c r="E590" s="106"/>
      <c r="F590" s="136" t="str">
        <f>IFERROR(__xludf.DUMMYFUNCTION("""COMPUTED_VALUE"""),"")</f>
        <v/>
      </c>
      <c r="G590" s="106" t="str">
        <f>IFERROR(__xludf.DUMMYFUNCTION("""COMPUTED_VALUE"""),"")</f>
        <v/>
      </c>
      <c r="I590" s="136" t="str">
        <f>IFERROR(__xludf.DUMMYFUNCTION("""COMPUTED_VALUE"""),"")</f>
        <v/>
      </c>
      <c r="J590" s="106" t="str">
        <f>IFERROR(__xludf.DUMMYFUNCTION("""COMPUTED_VALUE"""),"")</f>
        <v/>
      </c>
      <c r="L590" s="136" t="str">
        <f>IFERROR(__xludf.DUMMYFUNCTION("""COMPUTED_VALUE"""),"")</f>
        <v/>
      </c>
      <c r="M590" s="106" t="str">
        <f>IFERROR(__xludf.DUMMYFUNCTION("""COMPUTED_VALUE"""),"")</f>
        <v/>
      </c>
      <c r="O590" s="136" t="str">
        <f>IFERROR(__xludf.DUMMYFUNCTION("""COMPUTED_VALUE"""),"")</f>
        <v/>
      </c>
      <c r="P590" s="106" t="str">
        <f>IFERROR(__xludf.DUMMYFUNCTION("""COMPUTED_VALUE"""),"")</f>
        <v/>
      </c>
      <c r="R590" s="136" t="str">
        <f>IFERROR(__xludf.DUMMYFUNCTION("""COMPUTED_VALUE"""),"")</f>
        <v/>
      </c>
      <c r="S590" s="106" t="str">
        <f>IFERROR(__xludf.DUMMYFUNCTION("""COMPUTED_VALUE"""),"")</f>
        <v/>
      </c>
    </row>
    <row r="591">
      <c r="A591" s="136" t="s">
        <v>133</v>
      </c>
      <c r="B591" s="136"/>
      <c r="C591" s="136" t="s">
        <v>133</v>
      </c>
      <c r="D591" s="136"/>
      <c r="E591" s="106"/>
      <c r="F591" s="136" t="str">
        <f>IFERROR(__xludf.DUMMYFUNCTION("""COMPUTED_VALUE"""),"")</f>
        <v/>
      </c>
      <c r="G591" s="106" t="str">
        <f>IFERROR(__xludf.DUMMYFUNCTION("""COMPUTED_VALUE"""),"")</f>
        <v/>
      </c>
      <c r="I591" s="136" t="str">
        <f>IFERROR(__xludf.DUMMYFUNCTION("""COMPUTED_VALUE"""),"")</f>
        <v/>
      </c>
      <c r="J591" s="106" t="str">
        <f>IFERROR(__xludf.DUMMYFUNCTION("""COMPUTED_VALUE"""),"")</f>
        <v/>
      </c>
      <c r="L591" s="136" t="str">
        <f>IFERROR(__xludf.DUMMYFUNCTION("""COMPUTED_VALUE"""),"")</f>
        <v/>
      </c>
      <c r="M591" s="106" t="str">
        <f>IFERROR(__xludf.DUMMYFUNCTION("""COMPUTED_VALUE"""),"")</f>
        <v/>
      </c>
      <c r="O591" s="136" t="str">
        <f>IFERROR(__xludf.DUMMYFUNCTION("""COMPUTED_VALUE"""),"")</f>
        <v/>
      </c>
      <c r="P591" s="106" t="str">
        <f>IFERROR(__xludf.DUMMYFUNCTION("""COMPUTED_VALUE"""),"")</f>
        <v/>
      </c>
      <c r="R591" s="136" t="str">
        <f>IFERROR(__xludf.DUMMYFUNCTION("""COMPUTED_VALUE"""),"")</f>
        <v/>
      </c>
      <c r="S591" s="106" t="str">
        <f>IFERROR(__xludf.DUMMYFUNCTION("""COMPUTED_VALUE"""),"")</f>
        <v/>
      </c>
    </row>
    <row r="592">
      <c r="A592" s="136" t="s">
        <v>133</v>
      </c>
      <c r="B592" s="136"/>
      <c r="C592" s="136" t="s">
        <v>133</v>
      </c>
      <c r="D592" s="136"/>
      <c r="E592" s="106"/>
      <c r="F592" s="136" t="str">
        <f>IFERROR(__xludf.DUMMYFUNCTION("""COMPUTED_VALUE"""),"")</f>
        <v/>
      </c>
      <c r="G592" s="106" t="str">
        <f>IFERROR(__xludf.DUMMYFUNCTION("""COMPUTED_VALUE"""),"")</f>
        <v/>
      </c>
      <c r="I592" s="136" t="str">
        <f>IFERROR(__xludf.DUMMYFUNCTION("""COMPUTED_VALUE"""),"")</f>
        <v/>
      </c>
      <c r="J592" s="106" t="str">
        <f>IFERROR(__xludf.DUMMYFUNCTION("""COMPUTED_VALUE"""),"")</f>
        <v/>
      </c>
      <c r="L592" s="136" t="str">
        <f>IFERROR(__xludf.DUMMYFUNCTION("""COMPUTED_VALUE"""),"")</f>
        <v/>
      </c>
      <c r="M592" s="106" t="str">
        <f>IFERROR(__xludf.DUMMYFUNCTION("""COMPUTED_VALUE"""),"")</f>
        <v/>
      </c>
      <c r="O592" s="136" t="str">
        <f>IFERROR(__xludf.DUMMYFUNCTION("""COMPUTED_VALUE"""),"")</f>
        <v/>
      </c>
      <c r="P592" s="106" t="str">
        <f>IFERROR(__xludf.DUMMYFUNCTION("""COMPUTED_VALUE"""),"")</f>
        <v/>
      </c>
      <c r="R592" s="136" t="str">
        <f>IFERROR(__xludf.DUMMYFUNCTION("""COMPUTED_VALUE"""),"")</f>
        <v/>
      </c>
      <c r="S592" s="106" t="str">
        <f>IFERROR(__xludf.DUMMYFUNCTION("""COMPUTED_VALUE"""),"")</f>
        <v/>
      </c>
    </row>
    <row r="593">
      <c r="A593" s="136" t="s">
        <v>133</v>
      </c>
      <c r="B593" s="136"/>
      <c r="C593" s="136" t="s">
        <v>133</v>
      </c>
      <c r="D593" s="136"/>
      <c r="E593" s="106"/>
      <c r="F593" s="136" t="str">
        <f>IFERROR(__xludf.DUMMYFUNCTION("""COMPUTED_VALUE"""),"")</f>
        <v/>
      </c>
      <c r="G593" s="106" t="str">
        <f>IFERROR(__xludf.DUMMYFUNCTION("""COMPUTED_VALUE"""),"")</f>
        <v/>
      </c>
      <c r="I593" s="136" t="str">
        <f>IFERROR(__xludf.DUMMYFUNCTION("""COMPUTED_VALUE"""),"")</f>
        <v/>
      </c>
      <c r="J593" s="106" t="str">
        <f>IFERROR(__xludf.DUMMYFUNCTION("""COMPUTED_VALUE"""),"")</f>
        <v/>
      </c>
      <c r="L593" s="136" t="str">
        <f>IFERROR(__xludf.DUMMYFUNCTION("""COMPUTED_VALUE"""),"")</f>
        <v/>
      </c>
      <c r="M593" s="106" t="str">
        <f>IFERROR(__xludf.DUMMYFUNCTION("""COMPUTED_VALUE"""),"")</f>
        <v/>
      </c>
      <c r="O593" s="136" t="str">
        <f>IFERROR(__xludf.DUMMYFUNCTION("""COMPUTED_VALUE"""),"")</f>
        <v/>
      </c>
      <c r="P593" s="106" t="str">
        <f>IFERROR(__xludf.DUMMYFUNCTION("""COMPUTED_VALUE"""),"")</f>
        <v/>
      </c>
      <c r="R593" s="136" t="str">
        <f>IFERROR(__xludf.DUMMYFUNCTION("""COMPUTED_VALUE"""),"")</f>
        <v/>
      </c>
      <c r="S593" s="106" t="str">
        <f>IFERROR(__xludf.DUMMYFUNCTION("""COMPUTED_VALUE"""),"")</f>
        <v/>
      </c>
    </row>
    <row r="594">
      <c r="A594" s="136" t="s">
        <v>133</v>
      </c>
      <c r="B594" s="136"/>
      <c r="C594" s="136" t="s">
        <v>133</v>
      </c>
      <c r="D594" s="136"/>
      <c r="E594" s="106"/>
      <c r="F594" s="136" t="str">
        <f>IFERROR(__xludf.DUMMYFUNCTION("""COMPUTED_VALUE"""),"")</f>
        <v/>
      </c>
      <c r="G594" s="106" t="str">
        <f>IFERROR(__xludf.DUMMYFUNCTION("""COMPUTED_VALUE"""),"")</f>
        <v/>
      </c>
      <c r="I594" s="136" t="str">
        <f>IFERROR(__xludf.DUMMYFUNCTION("""COMPUTED_VALUE"""),"")</f>
        <v/>
      </c>
      <c r="J594" s="106" t="str">
        <f>IFERROR(__xludf.DUMMYFUNCTION("""COMPUTED_VALUE"""),"")</f>
        <v/>
      </c>
      <c r="L594" s="136" t="str">
        <f>IFERROR(__xludf.DUMMYFUNCTION("""COMPUTED_VALUE"""),"")</f>
        <v/>
      </c>
      <c r="M594" s="106" t="str">
        <f>IFERROR(__xludf.DUMMYFUNCTION("""COMPUTED_VALUE"""),"")</f>
        <v/>
      </c>
      <c r="O594" s="136" t="str">
        <f>IFERROR(__xludf.DUMMYFUNCTION("""COMPUTED_VALUE"""),"")</f>
        <v/>
      </c>
      <c r="P594" s="106" t="str">
        <f>IFERROR(__xludf.DUMMYFUNCTION("""COMPUTED_VALUE"""),"")</f>
        <v/>
      </c>
      <c r="R594" s="136" t="str">
        <f>IFERROR(__xludf.DUMMYFUNCTION("""COMPUTED_VALUE"""),"")</f>
        <v/>
      </c>
      <c r="S594" s="106" t="str">
        <f>IFERROR(__xludf.DUMMYFUNCTION("""COMPUTED_VALUE"""),"")</f>
        <v/>
      </c>
    </row>
    <row r="595">
      <c r="A595" s="136" t="s">
        <v>133</v>
      </c>
      <c r="B595" s="136"/>
      <c r="C595" s="136" t="s">
        <v>133</v>
      </c>
      <c r="D595" s="136"/>
      <c r="E595" s="106"/>
      <c r="F595" s="136" t="str">
        <f>IFERROR(__xludf.DUMMYFUNCTION("""COMPUTED_VALUE"""),"")</f>
        <v/>
      </c>
      <c r="G595" s="106" t="str">
        <f>IFERROR(__xludf.DUMMYFUNCTION("""COMPUTED_VALUE"""),"")</f>
        <v/>
      </c>
      <c r="I595" s="136" t="str">
        <f>IFERROR(__xludf.DUMMYFUNCTION("""COMPUTED_VALUE"""),"")</f>
        <v/>
      </c>
      <c r="J595" s="106" t="str">
        <f>IFERROR(__xludf.DUMMYFUNCTION("""COMPUTED_VALUE"""),"")</f>
        <v/>
      </c>
      <c r="L595" s="136" t="str">
        <f>IFERROR(__xludf.DUMMYFUNCTION("""COMPUTED_VALUE"""),"")</f>
        <v/>
      </c>
      <c r="M595" s="106" t="str">
        <f>IFERROR(__xludf.DUMMYFUNCTION("""COMPUTED_VALUE"""),"")</f>
        <v/>
      </c>
      <c r="O595" s="136" t="str">
        <f>IFERROR(__xludf.DUMMYFUNCTION("""COMPUTED_VALUE"""),"")</f>
        <v/>
      </c>
      <c r="P595" s="106" t="str">
        <f>IFERROR(__xludf.DUMMYFUNCTION("""COMPUTED_VALUE"""),"")</f>
        <v/>
      </c>
      <c r="R595" s="136" t="str">
        <f>IFERROR(__xludf.DUMMYFUNCTION("""COMPUTED_VALUE"""),"")</f>
        <v/>
      </c>
      <c r="S595" s="106" t="str">
        <f>IFERROR(__xludf.DUMMYFUNCTION("""COMPUTED_VALUE"""),"")</f>
        <v/>
      </c>
    </row>
    <row r="596">
      <c r="A596" s="136" t="s">
        <v>133</v>
      </c>
      <c r="B596" s="136"/>
      <c r="C596" s="136" t="s">
        <v>133</v>
      </c>
      <c r="D596" s="136"/>
      <c r="E596" s="106"/>
      <c r="F596" s="136" t="str">
        <f>IFERROR(__xludf.DUMMYFUNCTION("""COMPUTED_VALUE"""),"")</f>
        <v/>
      </c>
      <c r="G596" s="106" t="str">
        <f>IFERROR(__xludf.DUMMYFUNCTION("""COMPUTED_VALUE"""),"")</f>
        <v/>
      </c>
      <c r="I596" s="136" t="str">
        <f>IFERROR(__xludf.DUMMYFUNCTION("""COMPUTED_VALUE"""),"")</f>
        <v/>
      </c>
      <c r="J596" s="106" t="str">
        <f>IFERROR(__xludf.DUMMYFUNCTION("""COMPUTED_VALUE"""),"")</f>
        <v/>
      </c>
      <c r="L596" s="136" t="str">
        <f>IFERROR(__xludf.DUMMYFUNCTION("""COMPUTED_VALUE"""),"")</f>
        <v/>
      </c>
      <c r="M596" s="106" t="str">
        <f>IFERROR(__xludf.DUMMYFUNCTION("""COMPUTED_VALUE"""),"")</f>
        <v/>
      </c>
      <c r="O596" s="136" t="str">
        <f>IFERROR(__xludf.DUMMYFUNCTION("""COMPUTED_VALUE"""),"")</f>
        <v/>
      </c>
      <c r="P596" s="106" t="str">
        <f>IFERROR(__xludf.DUMMYFUNCTION("""COMPUTED_VALUE"""),"")</f>
        <v/>
      </c>
      <c r="R596" s="136" t="str">
        <f>IFERROR(__xludf.DUMMYFUNCTION("""COMPUTED_VALUE"""),"")</f>
        <v/>
      </c>
      <c r="S596" s="106" t="str">
        <f>IFERROR(__xludf.DUMMYFUNCTION("""COMPUTED_VALUE"""),"")</f>
        <v/>
      </c>
    </row>
    <row r="597">
      <c r="A597" s="136" t="s">
        <v>133</v>
      </c>
      <c r="B597" s="136"/>
      <c r="C597" s="136" t="s">
        <v>133</v>
      </c>
      <c r="D597" s="136"/>
      <c r="E597" s="106"/>
      <c r="F597" s="136" t="str">
        <f>IFERROR(__xludf.DUMMYFUNCTION("""COMPUTED_VALUE"""),"")</f>
        <v/>
      </c>
      <c r="G597" s="106" t="str">
        <f>IFERROR(__xludf.DUMMYFUNCTION("""COMPUTED_VALUE"""),"")</f>
        <v/>
      </c>
      <c r="I597" s="136" t="str">
        <f>IFERROR(__xludf.DUMMYFUNCTION("""COMPUTED_VALUE"""),"")</f>
        <v/>
      </c>
      <c r="J597" s="106" t="str">
        <f>IFERROR(__xludf.DUMMYFUNCTION("""COMPUTED_VALUE"""),"")</f>
        <v/>
      </c>
      <c r="L597" s="136" t="str">
        <f>IFERROR(__xludf.DUMMYFUNCTION("""COMPUTED_VALUE"""),"")</f>
        <v/>
      </c>
      <c r="M597" s="106" t="str">
        <f>IFERROR(__xludf.DUMMYFUNCTION("""COMPUTED_VALUE"""),"")</f>
        <v/>
      </c>
      <c r="O597" s="136" t="str">
        <f>IFERROR(__xludf.DUMMYFUNCTION("""COMPUTED_VALUE"""),"")</f>
        <v/>
      </c>
      <c r="P597" s="106" t="str">
        <f>IFERROR(__xludf.DUMMYFUNCTION("""COMPUTED_VALUE"""),"")</f>
        <v/>
      </c>
      <c r="R597" s="136" t="str">
        <f>IFERROR(__xludf.DUMMYFUNCTION("""COMPUTED_VALUE"""),"")</f>
        <v/>
      </c>
      <c r="S597" s="106" t="str">
        <f>IFERROR(__xludf.DUMMYFUNCTION("""COMPUTED_VALUE"""),"")</f>
        <v/>
      </c>
    </row>
    <row r="598">
      <c r="A598" s="136" t="s">
        <v>133</v>
      </c>
      <c r="B598" s="136"/>
      <c r="C598" s="136" t="s">
        <v>133</v>
      </c>
      <c r="D598" s="136"/>
      <c r="E598" s="106"/>
      <c r="F598" s="136" t="str">
        <f>IFERROR(__xludf.DUMMYFUNCTION("""COMPUTED_VALUE"""),"")</f>
        <v/>
      </c>
      <c r="G598" s="106" t="str">
        <f>IFERROR(__xludf.DUMMYFUNCTION("""COMPUTED_VALUE"""),"")</f>
        <v/>
      </c>
      <c r="I598" s="136" t="str">
        <f>IFERROR(__xludf.DUMMYFUNCTION("""COMPUTED_VALUE"""),"")</f>
        <v/>
      </c>
      <c r="J598" s="106" t="str">
        <f>IFERROR(__xludf.DUMMYFUNCTION("""COMPUTED_VALUE"""),"")</f>
        <v/>
      </c>
      <c r="L598" s="136" t="str">
        <f>IFERROR(__xludf.DUMMYFUNCTION("""COMPUTED_VALUE"""),"")</f>
        <v/>
      </c>
      <c r="M598" s="106" t="str">
        <f>IFERROR(__xludf.DUMMYFUNCTION("""COMPUTED_VALUE"""),"")</f>
        <v/>
      </c>
      <c r="O598" s="136" t="str">
        <f>IFERROR(__xludf.DUMMYFUNCTION("""COMPUTED_VALUE"""),"")</f>
        <v/>
      </c>
      <c r="P598" s="106" t="str">
        <f>IFERROR(__xludf.DUMMYFUNCTION("""COMPUTED_VALUE"""),"")</f>
        <v/>
      </c>
      <c r="R598" s="136" t="str">
        <f>IFERROR(__xludf.DUMMYFUNCTION("""COMPUTED_VALUE"""),"")</f>
        <v/>
      </c>
      <c r="S598" s="106" t="str">
        <f>IFERROR(__xludf.DUMMYFUNCTION("""COMPUTED_VALUE"""),"")</f>
        <v/>
      </c>
    </row>
    <row r="599">
      <c r="A599" s="136" t="s">
        <v>133</v>
      </c>
      <c r="B599" s="136"/>
      <c r="C599" s="136" t="s">
        <v>133</v>
      </c>
      <c r="D599" s="136"/>
      <c r="E599" s="106"/>
      <c r="F599" s="136" t="str">
        <f>IFERROR(__xludf.DUMMYFUNCTION("""COMPUTED_VALUE"""),"")</f>
        <v/>
      </c>
      <c r="G599" s="106" t="str">
        <f>IFERROR(__xludf.DUMMYFUNCTION("""COMPUTED_VALUE"""),"")</f>
        <v/>
      </c>
      <c r="I599" s="136" t="str">
        <f>IFERROR(__xludf.DUMMYFUNCTION("""COMPUTED_VALUE"""),"")</f>
        <v/>
      </c>
      <c r="J599" s="106" t="str">
        <f>IFERROR(__xludf.DUMMYFUNCTION("""COMPUTED_VALUE"""),"")</f>
        <v/>
      </c>
      <c r="L599" s="136" t="str">
        <f>IFERROR(__xludf.DUMMYFUNCTION("""COMPUTED_VALUE"""),"")</f>
        <v/>
      </c>
      <c r="M599" s="106" t="str">
        <f>IFERROR(__xludf.DUMMYFUNCTION("""COMPUTED_VALUE"""),"")</f>
        <v/>
      </c>
      <c r="O599" s="136" t="str">
        <f>IFERROR(__xludf.DUMMYFUNCTION("""COMPUTED_VALUE"""),"")</f>
        <v/>
      </c>
      <c r="P599" s="106" t="str">
        <f>IFERROR(__xludf.DUMMYFUNCTION("""COMPUTED_VALUE"""),"")</f>
        <v/>
      </c>
      <c r="R599" s="136" t="str">
        <f>IFERROR(__xludf.DUMMYFUNCTION("""COMPUTED_VALUE"""),"")</f>
        <v/>
      </c>
      <c r="S599" s="106" t="str">
        <f>IFERROR(__xludf.DUMMYFUNCTION("""COMPUTED_VALUE"""),"")</f>
        <v/>
      </c>
    </row>
    <row r="600">
      <c r="A600" s="136" t="s">
        <v>133</v>
      </c>
      <c r="B600" s="136"/>
      <c r="C600" s="136" t="s">
        <v>133</v>
      </c>
      <c r="D600" s="136"/>
      <c r="E600" s="106"/>
      <c r="F600" s="136" t="str">
        <f>IFERROR(__xludf.DUMMYFUNCTION("""COMPUTED_VALUE"""),"")</f>
        <v/>
      </c>
      <c r="G600" s="106" t="str">
        <f>IFERROR(__xludf.DUMMYFUNCTION("""COMPUTED_VALUE"""),"")</f>
        <v/>
      </c>
      <c r="I600" s="136" t="str">
        <f>IFERROR(__xludf.DUMMYFUNCTION("""COMPUTED_VALUE"""),"")</f>
        <v/>
      </c>
      <c r="J600" s="106" t="str">
        <f>IFERROR(__xludf.DUMMYFUNCTION("""COMPUTED_VALUE"""),"")</f>
        <v/>
      </c>
      <c r="L600" s="136" t="str">
        <f>IFERROR(__xludf.DUMMYFUNCTION("""COMPUTED_VALUE"""),"")</f>
        <v/>
      </c>
      <c r="M600" s="106" t="str">
        <f>IFERROR(__xludf.DUMMYFUNCTION("""COMPUTED_VALUE"""),"")</f>
        <v/>
      </c>
      <c r="O600" s="136" t="str">
        <f>IFERROR(__xludf.DUMMYFUNCTION("""COMPUTED_VALUE"""),"")</f>
        <v/>
      </c>
      <c r="P600" s="106" t="str">
        <f>IFERROR(__xludf.DUMMYFUNCTION("""COMPUTED_VALUE"""),"")</f>
        <v/>
      </c>
      <c r="R600" s="136" t="str">
        <f>IFERROR(__xludf.DUMMYFUNCTION("""COMPUTED_VALUE"""),"")</f>
        <v/>
      </c>
      <c r="S600" s="106" t="str">
        <f>IFERROR(__xludf.DUMMYFUNCTION("""COMPUTED_VALUE"""),"")</f>
        <v/>
      </c>
    </row>
    <row r="601">
      <c r="A601" s="136" t="s">
        <v>133</v>
      </c>
      <c r="B601" s="136"/>
      <c r="C601" s="136" t="s">
        <v>133</v>
      </c>
      <c r="D601" s="136"/>
      <c r="E601" s="106"/>
      <c r="F601" s="136" t="str">
        <f>IFERROR(__xludf.DUMMYFUNCTION("""COMPUTED_VALUE"""),"")</f>
        <v/>
      </c>
      <c r="G601" s="106" t="str">
        <f>IFERROR(__xludf.DUMMYFUNCTION("""COMPUTED_VALUE"""),"")</f>
        <v/>
      </c>
      <c r="I601" s="136" t="str">
        <f>IFERROR(__xludf.DUMMYFUNCTION("""COMPUTED_VALUE"""),"")</f>
        <v/>
      </c>
      <c r="J601" s="106" t="str">
        <f>IFERROR(__xludf.DUMMYFUNCTION("""COMPUTED_VALUE"""),"")</f>
        <v/>
      </c>
      <c r="L601" s="136" t="str">
        <f>IFERROR(__xludf.DUMMYFUNCTION("""COMPUTED_VALUE"""),"")</f>
        <v/>
      </c>
      <c r="M601" s="106" t="str">
        <f>IFERROR(__xludf.DUMMYFUNCTION("""COMPUTED_VALUE"""),"")</f>
        <v/>
      </c>
      <c r="O601" s="136" t="str">
        <f>IFERROR(__xludf.DUMMYFUNCTION("""COMPUTED_VALUE"""),"")</f>
        <v/>
      </c>
      <c r="P601" s="106" t="str">
        <f>IFERROR(__xludf.DUMMYFUNCTION("""COMPUTED_VALUE"""),"")</f>
        <v/>
      </c>
      <c r="R601" s="136" t="str">
        <f>IFERROR(__xludf.DUMMYFUNCTION("""COMPUTED_VALUE"""),"")</f>
        <v/>
      </c>
      <c r="S601" s="106" t="str">
        <f>IFERROR(__xludf.DUMMYFUNCTION("""COMPUTED_VALUE"""),"")</f>
        <v/>
      </c>
    </row>
    <row r="602">
      <c r="A602" s="136" t="s">
        <v>133</v>
      </c>
      <c r="B602" s="136"/>
      <c r="C602" s="136" t="s">
        <v>133</v>
      </c>
      <c r="D602" s="136"/>
      <c r="E602" s="106"/>
      <c r="F602" s="136" t="str">
        <f>IFERROR(__xludf.DUMMYFUNCTION("""COMPUTED_VALUE"""),"")</f>
        <v/>
      </c>
      <c r="G602" s="106" t="str">
        <f>IFERROR(__xludf.DUMMYFUNCTION("""COMPUTED_VALUE"""),"")</f>
        <v/>
      </c>
      <c r="I602" s="136" t="str">
        <f>IFERROR(__xludf.DUMMYFUNCTION("""COMPUTED_VALUE"""),"")</f>
        <v/>
      </c>
      <c r="J602" s="106" t="str">
        <f>IFERROR(__xludf.DUMMYFUNCTION("""COMPUTED_VALUE"""),"")</f>
        <v/>
      </c>
      <c r="L602" s="136" t="str">
        <f>IFERROR(__xludf.DUMMYFUNCTION("""COMPUTED_VALUE"""),"")</f>
        <v/>
      </c>
      <c r="M602" s="106" t="str">
        <f>IFERROR(__xludf.DUMMYFUNCTION("""COMPUTED_VALUE"""),"")</f>
        <v/>
      </c>
      <c r="O602" s="136" t="str">
        <f>IFERROR(__xludf.DUMMYFUNCTION("""COMPUTED_VALUE"""),"")</f>
        <v/>
      </c>
      <c r="P602" s="106" t="str">
        <f>IFERROR(__xludf.DUMMYFUNCTION("""COMPUTED_VALUE"""),"")</f>
        <v/>
      </c>
      <c r="R602" s="136" t="str">
        <f>IFERROR(__xludf.DUMMYFUNCTION("""COMPUTED_VALUE"""),"")</f>
        <v/>
      </c>
      <c r="S602" s="106" t="str">
        <f>IFERROR(__xludf.DUMMYFUNCTION("""COMPUTED_VALUE"""),"")</f>
        <v/>
      </c>
    </row>
    <row r="603">
      <c r="A603" s="136" t="s">
        <v>133</v>
      </c>
      <c r="B603" s="136"/>
      <c r="C603" s="136" t="s">
        <v>133</v>
      </c>
      <c r="D603" s="136"/>
      <c r="E603" s="106"/>
      <c r="F603" s="136" t="str">
        <f>IFERROR(__xludf.DUMMYFUNCTION("""COMPUTED_VALUE"""),"")</f>
        <v/>
      </c>
      <c r="G603" s="106" t="str">
        <f>IFERROR(__xludf.DUMMYFUNCTION("""COMPUTED_VALUE"""),"")</f>
        <v/>
      </c>
      <c r="I603" s="136" t="str">
        <f>IFERROR(__xludf.DUMMYFUNCTION("""COMPUTED_VALUE"""),"")</f>
        <v/>
      </c>
      <c r="J603" s="106" t="str">
        <f>IFERROR(__xludf.DUMMYFUNCTION("""COMPUTED_VALUE"""),"")</f>
        <v/>
      </c>
      <c r="L603" s="136" t="str">
        <f>IFERROR(__xludf.DUMMYFUNCTION("""COMPUTED_VALUE"""),"")</f>
        <v/>
      </c>
      <c r="M603" s="106" t="str">
        <f>IFERROR(__xludf.DUMMYFUNCTION("""COMPUTED_VALUE"""),"")</f>
        <v/>
      </c>
      <c r="O603" s="136" t="str">
        <f>IFERROR(__xludf.DUMMYFUNCTION("""COMPUTED_VALUE"""),"")</f>
        <v/>
      </c>
      <c r="P603" s="106" t="str">
        <f>IFERROR(__xludf.DUMMYFUNCTION("""COMPUTED_VALUE"""),"")</f>
        <v/>
      </c>
      <c r="R603" s="136" t="str">
        <f>IFERROR(__xludf.DUMMYFUNCTION("""COMPUTED_VALUE"""),"")</f>
        <v/>
      </c>
      <c r="S603" s="106" t="str">
        <f>IFERROR(__xludf.DUMMYFUNCTION("""COMPUTED_VALUE"""),"")</f>
        <v/>
      </c>
    </row>
    <row r="604">
      <c r="A604" s="136" t="s">
        <v>133</v>
      </c>
      <c r="B604" s="136"/>
      <c r="C604" s="136" t="s">
        <v>133</v>
      </c>
      <c r="D604" s="136"/>
      <c r="E604" s="106"/>
      <c r="F604" s="136" t="str">
        <f>IFERROR(__xludf.DUMMYFUNCTION("""COMPUTED_VALUE"""),"")</f>
        <v/>
      </c>
      <c r="G604" s="106" t="str">
        <f>IFERROR(__xludf.DUMMYFUNCTION("""COMPUTED_VALUE"""),"")</f>
        <v/>
      </c>
      <c r="I604" s="136" t="str">
        <f>IFERROR(__xludf.DUMMYFUNCTION("""COMPUTED_VALUE"""),"")</f>
        <v/>
      </c>
      <c r="J604" s="106" t="str">
        <f>IFERROR(__xludf.DUMMYFUNCTION("""COMPUTED_VALUE"""),"")</f>
        <v/>
      </c>
      <c r="L604" s="136" t="str">
        <f>IFERROR(__xludf.DUMMYFUNCTION("""COMPUTED_VALUE"""),"")</f>
        <v/>
      </c>
      <c r="M604" s="106" t="str">
        <f>IFERROR(__xludf.DUMMYFUNCTION("""COMPUTED_VALUE"""),"")</f>
        <v/>
      </c>
      <c r="O604" s="136" t="str">
        <f>IFERROR(__xludf.DUMMYFUNCTION("""COMPUTED_VALUE"""),"")</f>
        <v/>
      </c>
      <c r="P604" s="106" t="str">
        <f>IFERROR(__xludf.DUMMYFUNCTION("""COMPUTED_VALUE"""),"")</f>
        <v/>
      </c>
      <c r="R604" s="136" t="str">
        <f>IFERROR(__xludf.DUMMYFUNCTION("""COMPUTED_VALUE"""),"")</f>
        <v/>
      </c>
      <c r="S604" s="106" t="str">
        <f>IFERROR(__xludf.DUMMYFUNCTION("""COMPUTED_VALUE"""),"")</f>
        <v/>
      </c>
    </row>
    <row r="605">
      <c r="A605" s="136" t="s">
        <v>133</v>
      </c>
      <c r="B605" s="136"/>
      <c r="C605" s="136" t="s">
        <v>133</v>
      </c>
      <c r="D605" s="136"/>
      <c r="E605" s="106"/>
      <c r="F605" s="136" t="str">
        <f>IFERROR(__xludf.DUMMYFUNCTION("""COMPUTED_VALUE"""),"")</f>
        <v/>
      </c>
      <c r="G605" s="106" t="str">
        <f>IFERROR(__xludf.DUMMYFUNCTION("""COMPUTED_VALUE"""),"")</f>
        <v/>
      </c>
      <c r="I605" s="136" t="str">
        <f>IFERROR(__xludf.DUMMYFUNCTION("""COMPUTED_VALUE"""),"")</f>
        <v/>
      </c>
      <c r="J605" s="106" t="str">
        <f>IFERROR(__xludf.DUMMYFUNCTION("""COMPUTED_VALUE"""),"")</f>
        <v/>
      </c>
      <c r="L605" s="136" t="str">
        <f>IFERROR(__xludf.DUMMYFUNCTION("""COMPUTED_VALUE"""),"")</f>
        <v/>
      </c>
      <c r="M605" s="106" t="str">
        <f>IFERROR(__xludf.DUMMYFUNCTION("""COMPUTED_VALUE"""),"")</f>
        <v/>
      </c>
      <c r="O605" s="136" t="str">
        <f>IFERROR(__xludf.DUMMYFUNCTION("""COMPUTED_VALUE"""),"")</f>
        <v/>
      </c>
      <c r="P605" s="106" t="str">
        <f>IFERROR(__xludf.DUMMYFUNCTION("""COMPUTED_VALUE"""),"")</f>
        <v/>
      </c>
      <c r="R605" s="136" t="str">
        <f>IFERROR(__xludf.DUMMYFUNCTION("""COMPUTED_VALUE"""),"")</f>
        <v/>
      </c>
      <c r="S605" s="106" t="str">
        <f>IFERROR(__xludf.DUMMYFUNCTION("""COMPUTED_VALUE"""),"")</f>
        <v/>
      </c>
    </row>
    <row r="606">
      <c r="A606" s="136" t="s">
        <v>133</v>
      </c>
      <c r="B606" s="136"/>
      <c r="C606" s="136" t="s">
        <v>133</v>
      </c>
      <c r="D606" s="136"/>
      <c r="E606" s="106"/>
      <c r="F606" s="136" t="str">
        <f>IFERROR(__xludf.DUMMYFUNCTION("""COMPUTED_VALUE"""),"")</f>
        <v/>
      </c>
      <c r="G606" s="106" t="str">
        <f>IFERROR(__xludf.DUMMYFUNCTION("""COMPUTED_VALUE"""),"")</f>
        <v/>
      </c>
      <c r="I606" s="136" t="str">
        <f>IFERROR(__xludf.DUMMYFUNCTION("""COMPUTED_VALUE"""),"")</f>
        <v/>
      </c>
      <c r="J606" s="106" t="str">
        <f>IFERROR(__xludf.DUMMYFUNCTION("""COMPUTED_VALUE"""),"")</f>
        <v/>
      </c>
      <c r="L606" s="136" t="str">
        <f>IFERROR(__xludf.DUMMYFUNCTION("""COMPUTED_VALUE"""),"")</f>
        <v/>
      </c>
      <c r="M606" s="106" t="str">
        <f>IFERROR(__xludf.DUMMYFUNCTION("""COMPUTED_VALUE"""),"")</f>
        <v/>
      </c>
      <c r="O606" s="136" t="str">
        <f>IFERROR(__xludf.DUMMYFUNCTION("""COMPUTED_VALUE"""),"")</f>
        <v/>
      </c>
      <c r="P606" s="106" t="str">
        <f>IFERROR(__xludf.DUMMYFUNCTION("""COMPUTED_VALUE"""),"")</f>
        <v/>
      </c>
      <c r="R606" s="136" t="str">
        <f>IFERROR(__xludf.DUMMYFUNCTION("""COMPUTED_VALUE"""),"")</f>
        <v/>
      </c>
      <c r="S606" s="106" t="str">
        <f>IFERROR(__xludf.DUMMYFUNCTION("""COMPUTED_VALUE"""),"")</f>
        <v/>
      </c>
    </row>
    <row r="607">
      <c r="A607" s="136" t="s">
        <v>133</v>
      </c>
      <c r="B607" s="136"/>
      <c r="C607" s="136" t="s">
        <v>133</v>
      </c>
      <c r="D607" s="136"/>
      <c r="E607" s="106"/>
      <c r="F607" s="136" t="str">
        <f>IFERROR(__xludf.DUMMYFUNCTION("""COMPUTED_VALUE"""),"")</f>
        <v/>
      </c>
      <c r="G607" s="106" t="str">
        <f>IFERROR(__xludf.DUMMYFUNCTION("""COMPUTED_VALUE"""),"")</f>
        <v/>
      </c>
      <c r="I607" s="136" t="str">
        <f>IFERROR(__xludf.DUMMYFUNCTION("""COMPUTED_VALUE"""),"")</f>
        <v/>
      </c>
      <c r="J607" s="106" t="str">
        <f>IFERROR(__xludf.DUMMYFUNCTION("""COMPUTED_VALUE"""),"")</f>
        <v/>
      </c>
      <c r="L607" s="136" t="str">
        <f>IFERROR(__xludf.DUMMYFUNCTION("""COMPUTED_VALUE"""),"")</f>
        <v/>
      </c>
      <c r="M607" s="106" t="str">
        <f>IFERROR(__xludf.DUMMYFUNCTION("""COMPUTED_VALUE"""),"")</f>
        <v/>
      </c>
      <c r="O607" s="136" t="str">
        <f>IFERROR(__xludf.DUMMYFUNCTION("""COMPUTED_VALUE"""),"")</f>
        <v/>
      </c>
      <c r="P607" s="106" t="str">
        <f>IFERROR(__xludf.DUMMYFUNCTION("""COMPUTED_VALUE"""),"")</f>
        <v/>
      </c>
      <c r="R607" s="136" t="str">
        <f>IFERROR(__xludf.DUMMYFUNCTION("""COMPUTED_VALUE"""),"")</f>
        <v/>
      </c>
      <c r="S607" s="106" t="str">
        <f>IFERROR(__xludf.DUMMYFUNCTION("""COMPUTED_VALUE"""),"")</f>
        <v/>
      </c>
    </row>
    <row r="608">
      <c r="A608" s="136" t="s">
        <v>133</v>
      </c>
      <c r="B608" s="136"/>
      <c r="C608" s="136" t="s">
        <v>133</v>
      </c>
      <c r="D608" s="136"/>
      <c r="E608" s="106"/>
      <c r="F608" s="136" t="str">
        <f>IFERROR(__xludf.DUMMYFUNCTION("""COMPUTED_VALUE"""),"")</f>
        <v/>
      </c>
      <c r="G608" s="106" t="str">
        <f>IFERROR(__xludf.DUMMYFUNCTION("""COMPUTED_VALUE"""),"")</f>
        <v/>
      </c>
      <c r="I608" s="136" t="str">
        <f>IFERROR(__xludf.DUMMYFUNCTION("""COMPUTED_VALUE"""),"")</f>
        <v/>
      </c>
      <c r="J608" s="106" t="str">
        <f>IFERROR(__xludf.DUMMYFUNCTION("""COMPUTED_VALUE"""),"")</f>
        <v/>
      </c>
      <c r="L608" s="136" t="str">
        <f>IFERROR(__xludf.DUMMYFUNCTION("""COMPUTED_VALUE"""),"")</f>
        <v/>
      </c>
      <c r="M608" s="106" t="str">
        <f>IFERROR(__xludf.DUMMYFUNCTION("""COMPUTED_VALUE"""),"")</f>
        <v/>
      </c>
      <c r="O608" s="136" t="str">
        <f>IFERROR(__xludf.DUMMYFUNCTION("""COMPUTED_VALUE"""),"")</f>
        <v/>
      </c>
      <c r="P608" s="106" t="str">
        <f>IFERROR(__xludf.DUMMYFUNCTION("""COMPUTED_VALUE"""),"")</f>
        <v/>
      </c>
      <c r="R608" s="136" t="str">
        <f>IFERROR(__xludf.DUMMYFUNCTION("""COMPUTED_VALUE"""),"")</f>
        <v/>
      </c>
      <c r="S608" s="106" t="str">
        <f>IFERROR(__xludf.DUMMYFUNCTION("""COMPUTED_VALUE"""),"")</f>
        <v/>
      </c>
    </row>
    <row r="609">
      <c r="A609" s="136" t="s">
        <v>133</v>
      </c>
      <c r="B609" s="136"/>
      <c r="C609" s="136" t="s">
        <v>133</v>
      </c>
      <c r="D609" s="136"/>
      <c r="E609" s="106"/>
      <c r="F609" s="136" t="str">
        <f>IFERROR(__xludf.DUMMYFUNCTION("""COMPUTED_VALUE"""),"")</f>
        <v/>
      </c>
      <c r="G609" s="106" t="str">
        <f>IFERROR(__xludf.DUMMYFUNCTION("""COMPUTED_VALUE"""),"")</f>
        <v/>
      </c>
      <c r="I609" s="136" t="str">
        <f>IFERROR(__xludf.DUMMYFUNCTION("""COMPUTED_VALUE"""),"")</f>
        <v/>
      </c>
      <c r="J609" s="106" t="str">
        <f>IFERROR(__xludf.DUMMYFUNCTION("""COMPUTED_VALUE"""),"")</f>
        <v/>
      </c>
      <c r="L609" s="136" t="str">
        <f>IFERROR(__xludf.DUMMYFUNCTION("""COMPUTED_VALUE"""),"")</f>
        <v/>
      </c>
      <c r="M609" s="106" t="str">
        <f>IFERROR(__xludf.DUMMYFUNCTION("""COMPUTED_VALUE"""),"")</f>
        <v/>
      </c>
      <c r="O609" s="136" t="str">
        <f>IFERROR(__xludf.DUMMYFUNCTION("""COMPUTED_VALUE"""),"")</f>
        <v/>
      </c>
      <c r="P609" s="106" t="str">
        <f>IFERROR(__xludf.DUMMYFUNCTION("""COMPUTED_VALUE"""),"")</f>
        <v/>
      </c>
      <c r="R609" s="136" t="str">
        <f>IFERROR(__xludf.DUMMYFUNCTION("""COMPUTED_VALUE"""),"")</f>
        <v/>
      </c>
      <c r="S609" s="106" t="str">
        <f>IFERROR(__xludf.DUMMYFUNCTION("""COMPUTED_VALUE"""),"")</f>
        <v/>
      </c>
    </row>
    <row r="610">
      <c r="A610" s="136" t="s">
        <v>133</v>
      </c>
      <c r="B610" s="136"/>
      <c r="C610" s="136" t="s">
        <v>133</v>
      </c>
      <c r="D610" s="136"/>
      <c r="E610" s="106"/>
      <c r="F610" s="136" t="str">
        <f>IFERROR(__xludf.DUMMYFUNCTION("""COMPUTED_VALUE"""),"")</f>
        <v/>
      </c>
      <c r="G610" s="106" t="str">
        <f>IFERROR(__xludf.DUMMYFUNCTION("""COMPUTED_VALUE"""),"")</f>
        <v/>
      </c>
      <c r="I610" s="136" t="str">
        <f>IFERROR(__xludf.DUMMYFUNCTION("""COMPUTED_VALUE"""),"")</f>
        <v/>
      </c>
      <c r="J610" s="106" t="str">
        <f>IFERROR(__xludf.DUMMYFUNCTION("""COMPUTED_VALUE"""),"")</f>
        <v/>
      </c>
      <c r="L610" s="136" t="str">
        <f>IFERROR(__xludf.DUMMYFUNCTION("""COMPUTED_VALUE"""),"")</f>
        <v/>
      </c>
      <c r="M610" s="106" t="str">
        <f>IFERROR(__xludf.DUMMYFUNCTION("""COMPUTED_VALUE"""),"")</f>
        <v/>
      </c>
      <c r="O610" s="136" t="str">
        <f>IFERROR(__xludf.DUMMYFUNCTION("""COMPUTED_VALUE"""),"")</f>
        <v/>
      </c>
      <c r="P610" s="106" t="str">
        <f>IFERROR(__xludf.DUMMYFUNCTION("""COMPUTED_VALUE"""),"")</f>
        <v/>
      </c>
      <c r="R610" s="136" t="str">
        <f>IFERROR(__xludf.DUMMYFUNCTION("""COMPUTED_VALUE"""),"")</f>
        <v/>
      </c>
      <c r="S610" s="106" t="str">
        <f>IFERROR(__xludf.DUMMYFUNCTION("""COMPUTED_VALUE"""),"")</f>
        <v/>
      </c>
    </row>
    <row r="611">
      <c r="A611" s="136" t="s">
        <v>133</v>
      </c>
      <c r="B611" s="136"/>
      <c r="C611" s="136" t="s">
        <v>133</v>
      </c>
      <c r="D611" s="136"/>
      <c r="E611" s="106"/>
      <c r="F611" s="136" t="str">
        <f>IFERROR(__xludf.DUMMYFUNCTION("""COMPUTED_VALUE"""),"")</f>
        <v/>
      </c>
      <c r="G611" s="106" t="str">
        <f>IFERROR(__xludf.DUMMYFUNCTION("""COMPUTED_VALUE"""),"")</f>
        <v/>
      </c>
      <c r="I611" s="136" t="str">
        <f>IFERROR(__xludf.DUMMYFUNCTION("""COMPUTED_VALUE"""),"")</f>
        <v/>
      </c>
      <c r="J611" s="106" t="str">
        <f>IFERROR(__xludf.DUMMYFUNCTION("""COMPUTED_VALUE"""),"")</f>
        <v/>
      </c>
      <c r="L611" s="136" t="str">
        <f>IFERROR(__xludf.DUMMYFUNCTION("""COMPUTED_VALUE"""),"")</f>
        <v/>
      </c>
      <c r="M611" s="106" t="str">
        <f>IFERROR(__xludf.DUMMYFUNCTION("""COMPUTED_VALUE"""),"")</f>
        <v/>
      </c>
      <c r="O611" s="136" t="str">
        <f>IFERROR(__xludf.DUMMYFUNCTION("""COMPUTED_VALUE"""),"")</f>
        <v/>
      </c>
      <c r="P611" s="106" t="str">
        <f>IFERROR(__xludf.DUMMYFUNCTION("""COMPUTED_VALUE"""),"")</f>
        <v/>
      </c>
      <c r="R611" s="136" t="str">
        <f>IFERROR(__xludf.DUMMYFUNCTION("""COMPUTED_VALUE"""),"")</f>
        <v/>
      </c>
      <c r="S611" s="106" t="str">
        <f>IFERROR(__xludf.DUMMYFUNCTION("""COMPUTED_VALUE"""),"")</f>
        <v/>
      </c>
    </row>
    <row r="612">
      <c r="A612" s="136" t="s">
        <v>133</v>
      </c>
      <c r="B612" s="136"/>
      <c r="C612" s="136" t="s">
        <v>133</v>
      </c>
      <c r="D612" s="136"/>
      <c r="E612" s="106"/>
      <c r="F612" s="136" t="str">
        <f>IFERROR(__xludf.DUMMYFUNCTION("""COMPUTED_VALUE"""),"")</f>
        <v/>
      </c>
      <c r="G612" s="106" t="str">
        <f>IFERROR(__xludf.DUMMYFUNCTION("""COMPUTED_VALUE"""),"")</f>
        <v/>
      </c>
      <c r="I612" s="136" t="str">
        <f>IFERROR(__xludf.DUMMYFUNCTION("""COMPUTED_VALUE"""),"")</f>
        <v/>
      </c>
      <c r="J612" s="106" t="str">
        <f>IFERROR(__xludf.DUMMYFUNCTION("""COMPUTED_VALUE"""),"")</f>
        <v/>
      </c>
      <c r="L612" s="136" t="str">
        <f>IFERROR(__xludf.DUMMYFUNCTION("""COMPUTED_VALUE"""),"")</f>
        <v/>
      </c>
      <c r="M612" s="106" t="str">
        <f>IFERROR(__xludf.DUMMYFUNCTION("""COMPUTED_VALUE"""),"")</f>
        <v/>
      </c>
      <c r="O612" s="136" t="str">
        <f>IFERROR(__xludf.DUMMYFUNCTION("""COMPUTED_VALUE"""),"")</f>
        <v/>
      </c>
      <c r="P612" s="106" t="str">
        <f>IFERROR(__xludf.DUMMYFUNCTION("""COMPUTED_VALUE"""),"")</f>
        <v/>
      </c>
      <c r="R612" s="136" t="str">
        <f>IFERROR(__xludf.DUMMYFUNCTION("""COMPUTED_VALUE"""),"")</f>
        <v/>
      </c>
      <c r="S612" s="106" t="str">
        <f>IFERROR(__xludf.DUMMYFUNCTION("""COMPUTED_VALUE"""),"")</f>
        <v/>
      </c>
    </row>
    <row r="613">
      <c r="A613" s="136" t="s">
        <v>133</v>
      </c>
      <c r="B613" s="136"/>
      <c r="C613" s="136" t="s">
        <v>133</v>
      </c>
      <c r="D613" s="136"/>
      <c r="E613" s="106"/>
      <c r="F613" s="136" t="str">
        <f>IFERROR(__xludf.DUMMYFUNCTION("""COMPUTED_VALUE"""),"")</f>
        <v/>
      </c>
      <c r="G613" s="106" t="str">
        <f>IFERROR(__xludf.DUMMYFUNCTION("""COMPUTED_VALUE"""),"")</f>
        <v/>
      </c>
      <c r="I613" s="136" t="str">
        <f>IFERROR(__xludf.DUMMYFUNCTION("""COMPUTED_VALUE"""),"")</f>
        <v/>
      </c>
      <c r="J613" s="106" t="str">
        <f>IFERROR(__xludf.DUMMYFUNCTION("""COMPUTED_VALUE"""),"")</f>
        <v/>
      </c>
      <c r="L613" s="136" t="str">
        <f>IFERROR(__xludf.DUMMYFUNCTION("""COMPUTED_VALUE"""),"")</f>
        <v/>
      </c>
      <c r="M613" s="106" t="str">
        <f>IFERROR(__xludf.DUMMYFUNCTION("""COMPUTED_VALUE"""),"")</f>
        <v/>
      </c>
      <c r="O613" s="136" t="str">
        <f>IFERROR(__xludf.DUMMYFUNCTION("""COMPUTED_VALUE"""),"")</f>
        <v/>
      </c>
      <c r="P613" s="106" t="str">
        <f>IFERROR(__xludf.DUMMYFUNCTION("""COMPUTED_VALUE"""),"")</f>
        <v/>
      </c>
      <c r="R613" s="136" t="str">
        <f>IFERROR(__xludf.DUMMYFUNCTION("""COMPUTED_VALUE"""),"")</f>
        <v/>
      </c>
      <c r="S613" s="106" t="str">
        <f>IFERROR(__xludf.DUMMYFUNCTION("""COMPUTED_VALUE"""),"")</f>
        <v/>
      </c>
    </row>
    <row r="614">
      <c r="A614" s="136" t="s">
        <v>133</v>
      </c>
      <c r="B614" s="136"/>
      <c r="C614" s="136" t="s">
        <v>133</v>
      </c>
      <c r="D614" s="136"/>
      <c r="E614" s="106"/>
      <c r="F614" s="136" t="str">
        <f>IFERROR(__xludf.DUMMYFUNCTION("""COMPUTED_VALUE"""),"")</f>
        <v/>
      </c>
      <c r="G614" s="106" t="str">
        <f>IFERROR(__xludf.DUMMYFUNCTION("""COMPUTED_VALUE"""),"")</f>
        <v/>
      </c>
      <c r="I614" s="136" t="str">
        <f>IFERROR(__xludf.DUMMYFUNCTION("""COMPUTED_VALUE"""),"")</f>
        <v/>
      </c>
      <c r="J614" s="106" t="str">
        <f>IFERROR(__xludf.DUMMYFUNCTION("""COMPUTED_VALUE"""),"")</f>
        <v/>
      </c>
      <c r="L614" s="136" t="str">
        <f>IFERROR(__xludf.DUMMYFUNCTION("""COMPUTED_VALUE"""),"")</f>
        <v/>
      </c>
      <c r="M614" s="106" t="str">
        <f>IFERROR(__xludf.DUMMYFUNCTION("""COMPUTED_VALUE"""),"")</f>
        <v/>
      </c>
      <c r="O614" s="136" t="str">
        <f>IFERROR(__xludf.DUMMYFUNCTION("""COMPUTED_VALUE"""),"")</f>
        <v/>
      </c>
      <c r="P614" s="106" t="str">
        <f>IFERROR(__xludf.DUMMYFUNCTION("""COMPUTED_VALUE"""),"")</f>
        <v/>
      </c>
      <c r="R614" s="136" t="str">
        <f>IFERROR(__xludf.DUMMYFUNCTION("""COMPUTED_VALUE"""),"")</f>
        <v/>
      </c>
      <c r="S614" s="106" t="str">
        <f>IFERROR(__xludf.DUMMYFUNCTION("""COMPUTED_VALUE"""),"")</f>
        <v/>
      </c>
    </row>
    <row r="615">
      <c r="A615" s="136" t="s">
        <v>133</v>
      </c>
      <c r="B615" s="136"/>
      <c r="C615" s="136" t="s">
        <v>133</v>
      </c>
      <c r="D615" s="136"/>
      <c r="E615" s="106"/>
      <c r="F615" s="136" t="str">
        <f>IFERROR(__xludf.DUMMYFUNCTION("""COMPUTED_VALUE"""),"")</f>
        <v/>
      </c>
      <c r="G615" s="106" t="str">
        <f>IFERROR(__xludf.DUMMYFUNCTION("""COMPUTED_VALUE"""),"")</f>
        <v/>
      </c>
      <c r="I615" s="136" t="str">
        <f>IFERROR(__xludf.DUMMYFUNCTION("""COMPUTED_VALUE"""),"")</f>
        <v/>
      </c>
      <c r="J615" s="106" t="str">
        <f>IFERROR(__xludf.DUMMYFUNCTION("""COMPUTED_VALUE"""),"")</f>
        <v/>
      </c>
      <c r="L615" s="136" t="str">
        <f>IFERROR(__xludf.DUMMYFUNCTION("""COMPUTED_VALUE"""),"")</f>
        <v/>
      </c>
      <c r="M615" s="106" t="str">
        <f>IFERROR(__xludf.DUMMYFUNCTION("""COMPUTED_VALUE"""),"")</f>
        <v/>
      </c>
      <c r="O615" s="136" t="str">
        <f>IFERROR(__xludf.DUMMYFUNCTION("""COMPUTED_VALUE"""),"")</f>
        <v/>
      </c>
      <c r="P615" s="106" t="str">
        <f>IFERROR(__xludf.DUMMYFUNCTION("""COMPUTED_VALUE"""),"")</f>
        <v/>
      </c>
      <c r="R615" s="136" t="str">
        <f>IFERROR(__xludf.DUMMYFUNCTION("""COMPUTED_VALUE"""),"")</f>
        <v/>
      </c>
      <c r="S615" s="106" t="str">
        <f>IFERROR(__xludf.DUMMYFUNCTION("""COMPUTED_VALUE"""),"")</f>
        <v/>
      </c>
    </row>
    <row r="616">
      <c r="A616" s="136" t="s">
        <v>133</v>
      </c>
      <c r="B616" s="136"/>
      <c r="C616" s="136" t="s">
        <v>133</v>
      </c>
      <c r="D616" s="136"/>
      <c r="E616" s="106"/>
      <c r="F616" s="136" t="str">
        <f>IFERROR(__xludf.DUMMYFUNCTION("""COMPUTED_VALUE"""),"")</f>
        <v/>
      </c>
      <c r="G616" s="106" t="str">
        <f>IFERROR(__xludf.DUMMYFUNCTION("""COMPUTED_VALUE"""),"")</f>
        <v/>
      </c>
      <c r="I616" s="136" t="str">
        <f>IFERROR(__xludf.DUMMYFUNCTION("""COMPUTED_VALUE"""),"")</f>
        <v/>
      </c>
      <c r="J616" s="106" t="str">
        <f>IFERROR(__xludf.DUMMYFUNCTION("""COMPUTED_VALUE"""),"")</f>
        <v/>
      </c>
      <c r="L616" s="136" t="str">
        <f>IFERROR(__xludf.DUMMYFUNCTION("""COMPUTED_VALUE"""),"")</f>
        <v/>
      </c>
      <c r="M616" s="106" t="str">
        <f>IFERROR(__xludf.DUMMYFUNCTION("""COMPUTED_VALUE"""),"")</f>
        <v/>
      </c>
      <c r="O616" s="136" t="str">
        <f>IFERROR(__xludf.DUMMYFUNCTION("""COMPUTED_VALUE"""),"")</f>
        <v/>
      </c>
      <c r="P616" s="106" t="str">
        <f>IFERROR(__xludf.DUMMYFUNCTION("""COMPUTED_VALUE"""),"")</f>
        <v/>
      </c>
      <c r="R616" s="136" t="str">
        <f>IFERROR(__xludf.DUMMYFUNCTION("""COMPUTED_VALUE"""),"")</f>
        <v/>
      </c>
      <c r="S616" s="106" t="str">
        <f>IFERROR(__xludf.DUMMYFUNCTION("""COMPUTED_VALUE"""),"")</f>
        <v/>
      </c>
    </row>
    <row r="617">
      <c r="A617" s="136" t="s">
        <v>133</v>
      </c>
      <c r="B617" s="136"/>
      <c r="C617" s="136" t="s">
        <v>133</v>
      </c>
      <c r="D617" s="136"/>
      <c r="E617" s="106"/>
      <c r="F617" s="136" t="str">
        <f>IFERROR(__xludf.DUMMYFUNCTION("""COMPUTED_VALUE"""),"")</f>
        <v/>
      </c>
      <c r="G617" s="106" t="str">
        <f>IFERROR(__xludf.DUMMYFUNCTION("""COMPUTED_VALUE"""),"")</f>
        <v/>
      </c>
      <c r="I617" s="136" t="str">
        <f>IFERROR(__xludf.DUMMYFUNCTION("""COMPUTED_VALUE"""),"")</f>
        <v/>
      </c>
      <c r="J617" s="106" t="str">
        <f>IFERROR(__xludf.DUMMYFUNCTION("""COMPUTED_VALUE"""),"")</f>
        <v/>
      </c>
      <c r="L617" s="136" t="str">
        <f>IFERROR(__xludf.DUMMYFUNCTION("""COMPUTED_VALUE"""),"")</f>
        <v/>
      </c>
      <c r="M617" s="106" t="str">
        <f>IFERROR(__xludf.DUMMYFUNCTION("""COMPUTED_VALUE"""),"")</f>
        <v/>
      </c>
      <c r="O617" s="136" t="str">
        <f>IFERROR(__xludf.DUMMYFUNCTION("""COMPUTED_VALUE"""),"")</f>
        <v/>
      </c>
      <c r="P617" s="106" t="str">
        <f>IFERROR(__xludf.DUMMYFUNCTION("""COMPUTED_VALUE"""),"")</f>
        <v/>
      </c>
      <c r="R617" s="136" t="str">
        <f>IFERROR(__xludf.DUMMYFUNCTION("""COMPUTED_VALUE"""),"")</f>
        <v/>
      </c>
      <c r="S617" s="106" t="str">
        <f>IFERROR(__xludf.DUMMYFUNCTION("""COMPUTED_VALUE"""),"")</f>
        <v/>
      </c>
    </row>
    <row r="618">
      <c r="A618" s="136" t="s">
        <v>133</v>
      </c>
      <c r="B618" s="136"/>
      <c r="C618" s="136" t="s">
        <v>133</v>
      </c>
      <c r="D618" s="136"/>
      <c r="E618" s="106"/>
      <c r="F618" s="136" t="str">
        <f>IFERROR(__xludf.DUMMYFUNCTION("""COMPUTED_VALUE"""),"")</f>
        <v/>
      </c>
      <c r="G618" s="106" t="str">
        <f>IFERROR(__xludf.DUMMYFUNCTION("""COMPUTED_VALUE"""),"")</f>
        <v/>
      </c>
      <c r="I618" s="136" t="str">
        <f>IFERROR(__xludf.DUMMYFUNCTION("""COMPUTED_VALUE"""),"")</f>
        <v/>
      </c>
      <c r="J618" s="106" t="str">
        <f>IFERROR(__xludf.DUMMYFUNCTION("""COMPUTED_VALUE"""),"")</f>
        <v/>
      </c>
      <c r="L618" s="136" t="str">
        <f>IFERROR(__xludf.DUMMYFUNCTION("""COMPUTED_VALUE"""),"")</f>
        <v/>
      </c>
      <c r="M618" s="106" t="str">
        <f>IFERROR(__xludf.DUMMYFUNCTION("""COMPUTED_VALUE"""),"")</f>
        <v/>
      </c>
      <c r="O618" s="136" t="str">
        <f>IFERROR(__xludf.DUMMYFUNCTION("""COMPUTED_VALUE"""),"")</f>
        <v/>
      </c>
      <c r="P618" s="106" t="str">
        <f>IFERROR(__xludf.DUMMYFUNCTION("""COMPUTED_VALUE"""),"")</f>
        <v/>
      </c>
      <c r="R618" s="136" t="str">
        <f>IFERROR(__xludf.DUMMYFUNCTION("""COMPUTED_VALUE"""),"")</f>
        <v/>
      </c>
      <c r="S618" s="106" t="str">
        <f>IFERROR(__xludf.DUMMYFUNCTION("""COMPUTED_VALUE"""),"")</f>
        <v/>
      </c>
    </row>
    <row r="619">
      <c r="A619" s="136" t="s">
        <v>133</v>
      </c>
      <c r="B619" s="136"/>
      <c r="C619" s="136" t="s">
        <v>133</v>
      </c>
      <c r="D619" s="136"/>
      <c r="E619" s="106"/>
      <c r="F619" s="136" t="str">
        <f>IFERROR(__xludf.DUMMYFUNCTION("""COMPUTED_VALUE"""),"")</f>
        <v/>
      </c>
      <c r="G619" s="106" t="str">
        <f>IFERROR(__xludf.DUMMYFUNCTION("""COMPUTED_VALUE"""),"")</f>
        <v/>
      </c>
      <c r="I619" s="136" t="str">
        <f>IFERROR(__xludf.DUMMYFUNCTION("""COMPUTED_VALUE"""),"")</f>
        <v/>
      </c>
      <c r="J619" s="106" t="str">
        <f>IFERROR(__xludf.DUMMYFUNCTION("""COMPUTED_VALUE"""),"")</f>
        <v/>
      </c>
      <c r="L619" s="136" t="str">
        <f>IFERROR(__xludf.DUMMYFUNCTION("""COMPUTED_VALUE"""),"")</f>
        <v/>
      </c>
      <c r="M619" s="106" t="str">
        <f>IFERROR(__xludf.DUMMYFUNCTION("""COMPUTED_VALUE"""),"")</f>
        <v/>
      </c>
      <c r="O619" s="136" t="str">
        <f>IFERROR(__xludf.DUMMYFUNCTION("""COMPUTED_VALUE"""),"")</f>
        <v/>
      </c>
      <c r="P619" s="106" t="str">
        <f>IFERROR(__xludf.DUMMYFUNCTION("""COMPUTED_VALUE"""),"")</f>
        <v/>
      </c>
      <c r="R619" s="136" t="str">
        <f>IFERROR(__xludf.DUMMYFUNCTION("""COMPUTED_VALUE"""),"")</f>
        <v/>
      </c>
      <c r="S619" s="106" t="str">
        <f>IFERROR(__xludf.DUMMYFUNCTION("""COMPUTED_VALUE"""),"")</f>
        <v/>
      </c>
    </row>
    <row r="620">
      <c r="A620" s="136" t="s">
        <v>133</v>
      </c>
      <c r="B620" s="136"/>
      <c r="C620" s="136" t="s">
        <v>133</v>
      </c>
      <c r="D620" s="136"/>
      <c r="E620" s="106"/>
      <c r="F620" s="136" t="str">
        <f>IFERROR(__xludf.DUMMYFUNCTION("""COMPUTED_VALUE"""),"")</f>
        <v/>
      </c>
      <c r="G620" s="106" t="str">
        <f>IFERROR(__xludf.DUMMYFUNCTION("""COMPUTED_VALUE"""),"")</f>
        <v/>
      </c>
      <c r="I620" s="136" t="str">
        <f>IFERROR(__xludf.DUMMYFUNCTION("""COMPUTED_VALUE"""),"")</f>
        <v/>
      </c>
      <c r="J620" s="106" t="str">
        <f>IFERROR(__xludf.DUMMYFUNCTION("""COMPUTED_VALUE"""),"")</f>
        <v/>
      </c>
      <c r="L620" s="136" t="str">
        <f>IFERROR(__xludf.DUMMYFUNCTION("""COMPUTED_VALUE"""),"")</f>
        <v/>
      </c>
      <c r="M620" s="106" t="str">
        <f>IFERROR(__xludf.DUMMYFUNCTION("""COMPUTED_VALUE"""),"")</f>
        <v/>
      </c>
      <c r="O620" s="136" t="str">
        <f>IFERROR(__xludf.DUMMYFUNCTION("""COMPUTED_VALUE"""),"")</f>
        <v/>
      </c>
      <c r="P620" s="106" t="str">
        <f>IFERROR(__xludf.DUMMYFUNCTION("""COMPUTED_VALUE"""),"")</f>
        <v/>
      </c>
      <c r="R620" s="136" t="str">
        <f>IFERROR(__xludf.DUMMYFUNCTION("""COMPUTED_VALUE"""),"")</f>
        <v/>
      </c>
      <c r="S620" s="106" t="str">
        <f>IFERROR(__xludf.DUMMYFUNCTION("""COMPUTED_VALUE"""),"")</f>
        <v/>
      </c>
    </row>
    <row r="621">
      <c r="A621" s="136" t="s">
        <v>133</v>
      </c>
      <c r="B621" s="136"/>
      <c r="C621" s="136" t="s">
        <v>133</v>
      </c>
      <c r="D621" s="136"/>
      <c r="E621" s="106"/>
      <c r="F621" s="136" t="str">
        <f>IFERROR(__xludf.DUMMYFUNCTION("""COMPUTED_VALUE"""),"")</f>
        <v/>
      </c>
      <c r="G621" s="106" t="str">
        <f>IFERROR(__xludf.DUMMYFUNCTION("""COMPUTED_VALUE"""),"")</f>
        <v/>
      </c>
      <c r="I621" s="136" t="str">
        <f>IFERROR(__xludf.DUMMYFUNCTION("""COMPUTED_VALUE"""),"")</f>
        <v/>
      </c>
      <c r="J621" s="106" t="str">
        <f>IFERROR(__xludf.DUMMYFUNCTION("""COMPUTED_VALUE"""),"")</f>
        <v/>
      </c>
      <c r="L621" s="136" t="str">
        <f>IFERROR(__xludf.DUMMYFUNCTION("""COMPUTED_VALUE"""),"")</f>
        <v/>
      </c>
      <c r="M621" s="106" t="str">
        <f>IFERROR(__xludf.DUMMYFUNCTION("""COMPUTED_VALUE"""),"")</f>
        <v/>
      </c>
      <c r="O621" s="136" t="str">
        <f>IFERROR(__xludf.DUMMYFUNCTION("""COMPUTED_VALUE"""),"")</f>
        <v/>
      </c>
      <c r="P621" s="106" t="str">
        <f>IFERROR(__xludf.DUMMYFUNCTION("""COMPUTED_VALUE"""),"")</f>
        <v/>
      </c>
      <c r="R621" s="136" t="str">
        <f>IFERROR(__xludf.DUMMYFUNCTION("""COMPUTED_VALUE"""),"")</f>
        <v/>
      </c>
      <c r="S621" s="106" t="str">
        <f>IFERROR(__xludf.DUMMYFUNCTION("""COMPUTED_VALUE"""),"")</f>
        <v/>
      </c>
    </row>
    <row r="622">
      <c r="A622" s="136" t="s">
        <v>133</v>
      </c>
      <c r="B622" s="136"/>
      <c r="C622" s="136" t="s">
        <v>133</v>
      </c>
      <c r="D622" s="136"/>
      <c r="E622" s="106"/>
      <c r="F622" s="136" t="str">
        <f>IFERROR(__xludf.DUMMYFUNCTION("""COMPUTED_VALUE"""),"")</f>
        <v/>
      </c>
      <c r="G622" s="106" t="str">
        <f>IFERROR(__xludf.DUMMYFUNCTION("""COMPUTED_VALUE"""),"")</f>
        <v/>
      </c>
      <c r="I622" s="136" t="str">
        <f>IFERROR(__xludf.DUMMYFUNCTION("""COMPUTED_VALUE"""),"")</f>
        <v/>
      </c>
      <c r="J622" s="106" t="str">
        <f>IFERROR(__xludf.DUMMYFUNCTION("""COMPUTED_VALUE"""),"")</f>
        <v/>
      </c>
      <c r="L622" s="136" t="str">
        <f>IFERROR(__xludf.DUMMYFUNCTION("""COMPUTED_VALUE"""),"")</f>
        <v/>
      </c>
      <c r="M622" s="106" t="str">
        <f>IFERROR(__xludf.DUMMYFUNCTION("""COMPUTED_VALUE"""),"")</f>
        <v/>
      </c>
      <c r="O622" s="136" t="str">
        <f>IFERROR(__xludf.DUMMYFUNCTION("""COMPUTED_VALUE"""),"")</f>
        <v/>
      </c>
      <c r="P622" s="106" t="str">
        <f>IFERROR(__xludf.DUMMYFUNCTION("""COMPUTED_VALUE"""),"")</f>
        <v/>
      </c>
      <c r="R622" s="136" t="str">
        <f>IFERROR(__xludf.DUMMYFUNCTION("""COMPUTED_VALUE"""),"")</f>
        <v/>
      </c>
      <c r="S622" s="106" t="str">
        <f>IFERROR(__xludf.DUMMYFUNCTION("""COMPUTED_VALUE"""),"")</f>
        <v/>
      </c>
    </row>
    <row r="623">
      <c r="A623" s="136" t="s">
        <v>133</v>
      </c>
      <c r="B623" s="136"/>
      <c r="C623" s="136" t="s">
        <v>133</v>
      </c>
      <c r="D623" s="136"/>
      <c r="E623" s="106"/>
      <c r="F623" s="136" t="str">
        <f>IFERROR(__xludf.DUMMYFUNCTION("""COMPUTED_VALUE"""),"")</f>
        <v/>
      </c>
      <c r="G623" s="106" t="str">
        <f>IFERROR(__xludf.DUMMYFUNCTION("""COMPUTED_VALUE"""),"")</f>
        <v/>
      </c>
      <c r="I623" s="136" t="str">
        <f>IFERROR(__xludf.DUMMYFUNCTION("""COMPUTED_VALUE"""),"")</f>
        <v/>
      </c>
      <c r="J623" s="106" t="str">
        <f>IFERROR(__xludf.DUMMYFUNCTION("""COMPUTED_VALUE"""),"")</f>
        <v/>
      </c>
      <c r="L623" s="136" t="str">
        <f>IFERROR(__xludf.DUMMYFUNCTION("""COMPUTED_VALUE"""),"")</f>
        <v/>
      </c>
      <c r="M623" s="106" t="str">
        <f>IFERROR(__xludf.DUMMYFUNCTION("""COMPUTED_VALUE"""),"")</f>
        <v/>
      </c>
      <c r="O623" s="136" t="str">
        <f>IFERROR(__xludf.DUMMYFUNCTION("""COMPUTED_VALUE"""),"")</f>
        <v/>
      </c>
      <c r="P623" s="106" t="str">
        <f>IFERROR(__xludf.DUMMYFUNCTION("""COMPUTED_VALUE"""),"")</f>
        <v/>
      </c>
      <c r="R623" s="136" t="str">
        <f>IFERROR(__xludf.DUMMYFUNCTION("""COMPUTED_VALUE"""),"")</f>
        <v/>
      </c>
      <c r="S623" s="106" t="str">
        <f>IFERROR(__xludf.DUMMYFUNCTION("""COMPUTED_VALUE"""),"")</f>
        <v/>
      </c>
    </row>
    <row r="624">
      <c r="A624" s="136" t="s">
        <v>133</v>
      </c>
      <c r="B624" s="136"/>
      <c r="C624" s="136" t="s">
        <v>133</v>
      </c>
      <c r="D624" s="136"/>
      <c r="E624" s="106"/>
      <c r="F624" s="136" t="str">
        <f>IFERROR(__xludf.DUMMYFUNCTION("""COMPUTED_VALUE"""),"")</f>
        <v/>
      </c>
      <c r="G624" s="106" t="str">
        <f>IFERROR(__xludf.DUMMYFUNCTION("""COMPUTED_VALUE"""),"")</f>
        <v/>
      </c>
      <c r="I624" s="136" t="str">
        <f>IFERROR(__xludf.DUMMYFUNCTION("""COMPUTED_VALUE"""),"")</f>
        <v/>
      </c>
      <c r="J624" s="106" t="str">
        <f>IFERROR(__xludf.DUMMYFUNCTION("""COMPUTED_VALUE"""),"")</f>
        <v/>
      </c>
      <c r="L624" s="136" t="str">
        <f>IFERROR(__xludf.DUMMYFUNCTION("""COMPUTED_VALUE"""),"")</f>
        <v/>
      </c>
      <c r="M624" s="106" t="str">
        <f>IFERROR(__xludf.DUMMYFUNCTION("""COMPUTED_VALUE"""),"")</f>
        <v/>
      </c>
      <c r="O624" s="136" t="str">
        <f>IFERROR(__xludf.DUMMYFUNCTION("""COMPUTED_VALUE"""),"")</f>
        <v/>
      </c>
      <c r="P624" s="106" t="str">
        <f>IFERROR(__xludf.DUMMYFUNCTION("""COMPUTED_VALUE"""),"")</f>
        <v/>
      </c>
      <c r="R624" s="136" t="str">
        <f>IFERROR(__xludf.DUMMYFUNCTION("""COMPUTED_VALUE"""),"")</f>
        <v/>
      </c>
      <c r="S624" s="106" t="str">
        <f>IFERROR(__xludf.DUMMYFUNCTION("""COMPUTED_VALUE"""),"")</f>
        <v/>
      </c>
    </row>
    <row r="625">
      <c r="A625" s="136" t="s">
        <v>133</v>
      </c>
      <c r="B625" s="136"/>
      <c r="C625" s="136" t="s">
        <v>133</v>
      </c>
      <c r="D625" s="136"/>
      <c r="E625" s="106"/>
      <c r="F625" s="136" t="str">
        <f>IFERROR(__xludf.DUMMYFUNCTION("""COMPUTED_VALUE"""),"")</f>
        <v/>
      </c>
      <c r="G625" s="106" t="str">
        <f>IFERROR(__xludf.DUMMYFUNCTION("""COMPUTED_VALUE"""),"")</f>
        <v/>
      </c>
      <c r="I625" s="136" t="str">
        <f>IFERROR(__xludf.DUMMYFUNCTION("""COMPUTED_VALUE"""),"")</f>
        <v/>
      </c>
      <c r="J625" s="106" t="str">
        <f>IFERROR(__xludf.DUMMYFUNCTION("""COMPUTED_VALUE"""),"")</f>
        <v/>
      </c>
      <c r="L625" s="136" t="str">
        <f>IFERROR(__xludf.DUMMYFUNCTION("""COMPUTED_VALUE"""),"")</f>
        <v/>
      </c>
      <c r="M625" s="106" t="str">
        <f>IFERROR(__xludf.DUMMYFUNCTION("""COMPUTED_VALUE"""),"")</f>
        <v/>
      </c>
      <c r="O625" s="136" t="str">
        <f>IFERROR(__xludf.DUMMYFUNCTION("""COMPUTED_VALUE"""),"")</f>
        <v/>
      </c>
      <c r="P625" s="106" t="str">
        <f>IFERROR(__xludf.DUMMYFUNCTION("""COMPUTED_VALUE"""),"")</f>
        <v/>
      </c>
      <c r="R625" s="136" t="str">
        <f>IFERROR(__xludf.DUMMYFUNCTION("""COMPUTED_VALUE"""),"")</f>
        <v/>
      </c>
      <c r="S625" s="106" t="str">
        <f>IFERROR(__xludf.DUMMYFUNCTION("""COMPUTED_VALUE"""),"")</f>
        <v/>
      </c>
    </row>
    <row r="626">
      <c r="A626" s="136" t="s">
        <v>133</v>
      </c>
      <c r="B626" s="136"/>
      <c r="C626" s="136" t="s">
        <v>133</v>
      </c>
      <c r="D626" s="136"/>
      <c r="E626" s="106"/>
      <c r="F626" s="136" t="str">
        <f>IFERROR(__xludf.DUMMYFUNCTION("""COMPUTED_VALUE"""),"")</f>
        <v/>
      </c>
      <c r="G626" s="106" t="str">
        <f>IFERROR(__xludf.DUMMYFUNCTION("""COMPUTED_VALUE"""),"")</f>
        <v/>
      </c>
      <c r="I626" s="136" t="str">
        <f>IFERROR(__xludf.DUMMYFUNCTION("""COMPUTED_VALUE"""),"")</f>
        <v/>
      </c>
      <c r="J626" s="106" t="str">
        <f>IFERROR(__xludf.DUMMYFUNCTION("""COMPUTED_VALUE"""),"")</f>
        <v/>
      </c>
      <c r="L626" s="136" t="str">
        <f>IFERROR(__xludf.DUMMYFUNCTION("""COMPUTED_VALUE"""),"")</f>
        <v/>
      </c>
      <c r="M626" s="106" t="str">
        <f>IFERROR(__xludf.DUMMYFUNCTION("""COMPUTED_VALUE"""),"")</f>
        <v/>
      </c>
      <c r="O626" s="136" t="str">
        <f>IFERROR(__xludf.DUMMYFUNCTION("""COMPUTED_VALUE"""),"")</f>
        <v/>
      </c>
      <c r="P626" s="106" t="str">
        <f>IFERROR(__xludf.DUMMYFUNCTION("""COMPUTED_VALUE"""),"")</f>
        <v/>
      </c>
      <c r="R626" s="136" t="str">
        <f>IFERROR(__xludf.DUMMYFUNCTION("""COMPUTED_VALUE"""),"")</f>
        <v/>
      </c>
      <c r="S626" s="106" t="str">
        <f>IFERROR(__xludf.DUMMYFUNCTION("""COMPUTED_VALUE"""),"")</f>
        <v/>
      </c>
    </row>
    <row r="627">
      <c r="A627" s="136" t="s">
        <v>133</v>
      </c>
      <c r="B627" s="136"/>
      <c r="C627" s="136" t="s">
        <v>133</v>
      </c>
      <c r="D627" s="136"/>
      <c r="E627" s="106"/>
      <c r="F627" s="136" t="str">
        <f>IFERROR(__xludf.DUMMYFUNCTION("""COMPUTED_VALUE"""),"")</f>
        <v/>
      </c>
      <c r="G627" s="106" t="str">
        <f>IFERROR(__xludf.DUMMYFUNCTION("""COMPUTED_VALUE"""),"")</f>
        <v/>
      </c>
      <c r="I627" s="136" t="str">
        <f>IFERROR(__xludf.DUMMYFUNCTION("""COMPUTED_VALUE"""),"")</f>
        <v/>
      </c>
      <c r="J627" s="106" t="str">
        <f>IFERROR(__xludf.DUMMYFUNCTION("""COMPUTED_VALUE"""),"")</f>
        <v/>
      </c>
      <c r="L627" s="136" t="str">
        <f>IFERROR(__xludf.DUMMYFUNCTION("""COMPUTED_VALUE"""),"")</f>
        <v/>
      </c>
      <c r="M627" s="106" t="str">
        <f>IFERROR(__xludf.DUMMYFUNCTION("""COMPUTED_VALUE"""),"")</f>
        <v/>
      </c>
      <c r="O627" s="136" t="str">
        <f>IFERROR(__xludf.DUMMYFUNCTION("""COMPUTED_VALUE"""),"")</f>
        <v/>
      </c>
      <c r="P627" s="106" t="str">
        <f>IFERROR(__xludf.DUMMYFUNCTION("""COMPUTED_VALUE"""),"")</f>
        <v/>
      </c>
      <c r="R627" s="136" t="str">
        <f>IFERROR(__xludf.DUMMYFUNCTION("""COMPUTED_VALUE"""),"")</f>
        <v/>
      </c>
      <c r="S627" s="106" t="str">
        <f>IFERROR(__xludf.DUMMYFUNCTION("""COMPUTED_VALUE"""),"")</f>
        <v/>
      </c>
    </row>
    <row r="628">
      <c r="A628" s="136" t="s">
        <v>133</v>
      </c>
      <c r="B628" s="136"/>
      <c r="C628" s="136" t="s">
        <v>133</v>
      </c>
      <c r="D628" s="136"/>
      <c r="E628" s="106"/>
      <c r="F628" s="136" t="str">
        <f>IFERROR(__xludf.DUMMYFUNCTION("""COMPUTED_VALUE"""),"")</f>
        <v/>
      </c>
      <c r="G628" s="106" t="str">
        <f>IFERROR(__xludf.DUMMYFUNCTION("""COMPUTED_VALUE"""),"")</f>
        <v/>
      </c>
      <c r="I628" s="136" t="str">
        <f>IFERROR(__xludf.DUMMYFUNCTION("""COMPUTED_VALUE"""),"")</f>
        <v/>
      </c>
      <c r="J628" s="106" t="str">
        <f>IFERROR(__xludf.DUMMYFUNCTION("""COMPUTED_VALUE"""),"")</f>
        <v/>
      </c>
      <c r="L628" s="136" t="str">
        <f>IFERROR(__xludf.DUMMYFUNCTION("""COMPUTED_VALUE"""),"")</f>
        <v/>
      </c>
      <c r="M628" s="106" t="str">
        <f>IFERROR(__xludf.DUMMYFUNCTION("""COMPUTED_VALUE"""),"")</f>
        <v/>
      </c>
      <c r="O628" s="136" t="str">
        <f>IFERROR(__xludf.DUMMYFUNCTION("""COMPUTED_VALUE"""),"")</f>
        <v/>
      </c>
      <c r="P628" s="106" t="str">
        <f>IFERROR(__xludf.DUMMYFUNCTION("""COMPUTED_VALUE"""),"")</f>
        <v/>
      </c>
      <c r="R628" s="136" t="str">
        <f>IFERROR(__xludf.DUMMYFUNCTION("""COMPUTED_VALUE"""),"")</f>
        <v/>
      </c>
      <c r="S628" s="106" t="str">
        <f>IFERROR(__xludf.DUMMYFUNCTION("""COMPUTED_VALUE"""),"")</f>
        <v/>
      </c>
    </row>
    <row r="629">
      <c r="A629" s="136" t="s">
        <v>133</v>
      </c>
      <c r="B629" s="136"/>
      <c r="C629" s="136" t="s">
        <v>133</v>
      </c>
      <c r="D629" s="136"/>
      <c r="E629" s="106"/>
      <c r="F629" s="136" t="str">
        <f>IFERROR(__xludf.DUMMYFUNCTION("""COMPUTED_VALUE"""),"")</f>
        <v/>
      </c>
      <c r="G629" s="106" t="str">
        <f>IFERROR(__xludf.DUMMYFUNCTION("""COMPUTED_VALUE"""),"")</f>
        <v/>
      </c>
      <c r="I629" s="136" t="str">
        <f>IFERROR(__xludf.DUMMYFUNCTION("""COMPUTED_VALUE"""),"")</f>
        <v/>
      </c>
      <c r="J629" s="106" t="str">
        <f>IFERROR(__xludf.DUMMYFUNCTION("""COMPUTED_VALUE"""),"")</f>
        <v/>
      </c>
      <c r="L629" s="136" t="str">
        <f>IFERROR(__xludf.DUMMYFUNCTION("""COMPUTED_VALUE"""),"")</f>
        <v/>
      </c>
      <c r="M629" s="106" t="str">
        <f>IFERROR(__xludf.DUMMYFUNCTION("""COMPUTED_VALUE"""),"")</f>
        <v/>
      </c>
      <c r="O629" s="136" t="str">
        <f>IFERROR(__xludf.DUMMYFUNCTION("""COMPUTED_VALUE"""),"")</f>
        <v/>
      </c>
      <c r="P629" s="106" t="str">
        <f>IFERROR(__xludf.DUMMYFUNCTION("""COMPUTED_VALUE"""),"")</f>
        <v/>
      </c>
      <c r="R629" s="136" t="str">
        <f>IFERROR(__xludf.DUMMYFUNCTION("""COMPUTED_VALUE"""),"")</f>
        <v/>
      </c>
      <c r="S629" s="106" t="str">
        <f>IFERROR(__xludf.DUMMYFUNCTION("""COMPUTED_VALUE"""),"")</f>
        <v/>
      </c>
    </row>
    <row r="630">
      <c r="A630" s="136" t="s">
        <v>133</v>
      </c>
      <c r="B630" s="136"/>
      <c r="C630" s="136" t="s">
        <v>133</v>
      </c>
      <c r="D630" s="136"/>
      <c r="E630" s="106"/>
      <c r="F630" s="136" t="str">
        <f>IFERROR(__xludf.DUMMYFUNCTION("""COMPUTED_VALUE"""),"")</f>
        <v/>
      </c>
      <c r="G630" s="106" t="str">
        <f>IFERROR(__xludf.DUMMYFUNCTION("""COMPUTED_VALUE"""),"")</f>
        <v/>
      </c>
      <c r="I630" s="136" t="str">
        <f>IFERROR(__xludf.DUMMYFUNCTION("""COMPUTED_VALUE"""),"")</f>
        <v/>
      </c>
      <c r="J630" s="106" t="str">
        <f>IFERROR(__xludf.DUMMYFUNCTION("""COMPUTED_VALUE"""),"")</f>
        <v/>
      </c>
      <c r="L630" s="136" t="str">
        <f>IFERROR(__xludf.DUMMYFUNCTION("""COMPUTED_VALUE"""),"")</f>
        <v/>
      </c>
      <c r="M630" s="106" t="str">
        <f>IFERROR(__xludf.DUMMYFUNCTION("""COMPUTED_VALUE"""),"")</f>
        <v/>
      </c>
      <c r="O630" s="136" t="str">
        <f>IFERROR(__xludf.DUMMYFUNCTION("""COMPUTED_VALUE"""),"")</f>
        <v/>
      </c>
      <c r="P630" s="106" t="str">
        <f>IFERROR(__xludf.DUMMYFUNCTION("""COMPUTED_VALUE"""),"")</f>
        <v/>
      </c>
      <c r="R630" s="136" t="str">
        <f>IFERROR(__xludf.DUMMYFUNCTION("""COMPUTED_VALUE"""),"")</f>
        <v/>
      </c>
      <c r="S630" s="106" t="str">
        <f>IFERROR(__xludf.DUMMYFUNCTION("""COMPUTED_VALUE"""),"")</f>
        <v/>
      </c>
    </row>
    <row r="631">
      <c r="A631" s="136" t="s">
        <v>133</v>
      </c>
      <c r="B631" s="136"/>
      <c r="C631" s="136" t="s">
        <v>133</v>
      </c>
      <c r="D631" s="136"/>
      <c r="E631" s="106"/>
      <c r="F631" s="136" t="str">
        <f>IFERROR(__xludf.DUMMYFUNCTION("""COMPUTED_VALUE"""),"")</f>
        <v/>
      </c>
      <c r="G631" s="106" t="str">
        <f>IFERROR(__xludf.DUMMYFUNCTION("""COMPUTED_VALUE"""),"")</f>
        <v/>
      </c>
      <c r="I631" s="136" t="str">
        <f>IFERROR(__xludf.DUMMYFUNCTION("""COMPUTED_VALUE"""),"")</f>
        <v/>
      </c>
      <c r="J631" s="106" t="str">
        <f>IFERROR(__xludf.DUMMYFUNCTION("""COMPUTED_VALUE"""),"")</f>
        <v/>
      </c>
      <c r="L631" s="136" t="str">
        <f>IFERROR(__xludf.DUMMYFUNCTION("""COMPUTED_VALUE"""),"")</f>
        <v/>
      </c>
      <c r="M631" s="106" t="str">
        <f>IFERROR(__xludf.DUMMYFUNCTION("""COMPUTED_VALUE"""),"")</f>
        <v/>
      </c>
      <c r="O631" s="136" t="str">
        <f>IFERROR(__xludf.DUMMYFUNCTION("""COMPUTED_VALUE"""),"")</f>
        <v/>
      </c>
      <c r="P631" s="106" t="str">
        <f>IFERROR(__xludf.DUMMYFUNCTION("""COMPUTED_VALUE"""),"")</f>
        <v/>
      </c>
      <c r="R631" s="136" t="str">
        <f>IFERROR(__xludf.DUMMYFUNCTION("""COMPUTED_VALUE"""),"")</f>
        <v/>
      </c>
      <c r="S631" s="106" t="str">
        <f>IFERROR(__xludf.DUMMYFUNCTION("""COMPUTED_VALUE"""),"")</f>
        <v/>
      </c>
    </row>
    <row r="632">
      <c r="A632" s="136" t="s">
        <v>133</v>
      </c>
      <c r="B632" s="136"/>
      <c r="C632" s="136" t="s">
        <v>133</v>
      </c>
      <c r="D632" s="136"/>
      <c r="E632" s="106"/>
      <c r="F632" s="136" t="str">
        <f>IFERROR(__xludf.DUMMYFUNCTION("""COMPUTED_VALUE"""),"")</f>
        <v/>
      </c>
      <c r="G632" s="106" t="str">
        <f>IFERROR(__xludf.DUMMYFUNCTION("""COMPUTED_VALUE"""),"")</f>
        <v/>
      </c>
      <c r="I632" s="136" t="str">
        <f>IFERROR(__xludf.DUMMYFUNCTION("""COMPUTED_VALUE"""),"")</f>
        <v/>
      </c>
      <c r="J632" s="106" t="str">
        <f>IFERROR(__xludf.DUMMYFUNCTION("""COMPUTED_VALUE"""),"")</f>
        <v/>
      </c>
      <c r="L632" s="136" t="str">
        <f>IFERROR(__xludf.DUMMYFUNCTION("""COMPUTED_VALUE"""),"")</f>
        <v/>
      </c>
      <c r="M632" s="106" t="str">
        <f>IFERROR(__xludf.DUMMYFUNCTION("""COMPUTED_VALUE"""),"")</f>
        <v/>
      </c>
      <c r="O632" s="136" t="str">
        <f>IFERROR(__xludf.DUMMYFUNCTION("""COMPUTED_VALUE"""),"")</f>
        <v/>
      </c>
      <c r="P632" s="106" t="str">
        <f>IFERROR(__xludf.DUMMYFUNCTION("""COMPUTED_VALUE"""),"")</f>
        <v/>
      </c>
      <c r="R632" s="136" t="str">
        <f>IFERROR(__xludf.DUMMYFUNCTION("""COMPUTED_VALUE"""),"")</f>
        <v/>
      </c>
      <c r="S632" s="106" t="str">
        <f>IFERROR(__xludf.DUMMYFUNCTION("""COMPUTED_VALUE"""),"")</f>
        <v/>
      </c>
    </row>
    <row r="633">
      <c r="A633" s="136" t="s">
        <v>133</v>
      </c>
      <c r="B633" s="136"/>
      <c r="C633" s="136" t="s">
        <v>133</v>
      </c>
      <c r="D633" s="136"/>
      <c r="E633" s="106"/>
      <c r="F633" s="136" t="str">
        <f>IFERROR(__xludf.DUMMYFUNCTION("""COMPUTED_VALUE"""),"")</f>
        <v/>
      </c>
      <c r="G633" s="106" t="str">
        <f>IFERROR(__xludf.DUMMYFUNCTION("""COMPUTED_VALUE"""),"")</f>
        <v/>
      </c>
      <c r="I633" s="136" t="str">
        <f>IFERROR(__xludf.DUMMYFUNCTION("""COMPUTED_VALUE"""),"")</f>
        <v/>
      </c>
      <c r="J633" s="106" t="str">
        <f>IFERROR(__xludf.DUMMYFUNCTION("""COMPUTED_VALUE"""),"")</f>
        <v/>
      </c>
      <c r="L633" s="136" t="str">
        <f>IFERROR(__xludf.DUMMYFUNCTION("""COMPUTED_VALUE"""),"")</f>
        <v/>
      </c>
      <c r="M633" s="106" t="str">
        <f>IFERROR(__xludf.DUMMYFUNCTION("""COMPUTED_VALUE"""),"")</f>
        <v/>
      </c>
      <c r="O633" s="136" t="str">
        <f>IFERROR(__xludf.DUMMYFUNCTION("""COMPUTED_VALUE"""),"")</f>
        <v/>
      </c>
      <c r="P633" s="106" t="str">
        <f>IFERROR(__xludf.DUMMYFUNCTION("""COMPUTED_VALUE"""),"")</f>
        <v/>
      </c>
      <c r="R633" s="136" t="str">
        <f>IFERROR(__xludf.DUMMYFUNCTION("""COMPUTED_VALUE"""),"")</f>
        <v/>
      </c>
      <c r="S633" s="106" t="str">
        <f>IFERROR(__xludf.DUMMYFUNCTION("""COMPUTED_VALUE"""),"")</f>
        <v/>
      </c>
    </row>
    <row r="634">
      <c r="A634" s="136" t="s">
        <v>133</v>
      </c>
      <c r="B634" s="136"/>
      <c r="C634" s="136" t="s">
        <v>133</v>
      </c>
      <c r="D634" s="136"/>
      <c r="E634" s="106"/>
      <c r="F634" s="136" t="str">
        <f>IFERROR(__xludf.DUMMYFUNCTION("""COMPUTED_VALUE"""),"")</f>
        <v/>
      </c>
      <c r="G634" s="106" t="str">
        <f>IFERROR(__xludf.DUMMYFUNCTION("""COMPUTED_VALUE"""),"")</f>
        <v/>
      </c>
      <c r="I634" s="136" t="str">
        <f>IFERROR(__xludf.DUMMYFUNCTION("""COMPUTED_VALUE"""),"")</f>
        <v/>
      </c>
      <c r="J634" s="106" t="str">
        <f>IFERROR(__xludf.DUMMYFUNCTION("""COMPUTED_VALUE"""),"")</f>
        <v/>
      </c>
      <c r="L634" s="136" t="str">
        <f>IFERROR(__xludf.DUMMYFUNCTION("""COMPUTED_VALUE"""),"")</f>
        <v/>
      </c>
      <c r="M634" s="106" t="str">
        <f>IFERROR(__xludf.DUMMYFUNCTION("""COMPUTED_VALUE"""),"")</f>
        <v/>
      </c>
      <c r="O634" s="136" t="str">
        <f>IFERROR(__xludf.DUMMYFUNCTION("""COMPUTED_VALUE"""),"")</f>
        <v/>
      </c>
      <c r="P634" s="106" t="str">
        <f>IFERROR(__xludf.DUMMYFUNCTION("""COMPUTED_VALUE"""),"")</f>
        <v/>
      </c>
      <c r="R634" s="136" t="str">
        <f>IFERROR(__xludf.DUMMYFUNCTION("""COMPUTED_VALUE"""),"")</f>
        <v/>
      </c>
      <c r="S634" s="106" t="str">
        <f>IFERROR(__xludf.DUMMYFUNCTION("""COMPUTED_VALUE"""),"")</f>
        <v/>
      </c>
    </row>
    <row r="635">
      <c r="A635" s="136" t="s">
        <v>133</v>
      </c>
      <c r="B635" s="136"/>
      <c r="C635" s="136" t="s">
        <v>133</v>
      </c>
      <c r="D635" s="136"/>
      <c r="E635" s="106"/>
      <c r="F635" s="136" t="str">
        <f>IFERROR(__xludf.DUMMYFUNCTION("""COMPUTED_VALUE"""),"")</f>
        <v/>
      </c>
      <c r="G635" s="106" t="str">
        <f>IFERROR(__xludf.DUMMYFUNCTION("""COMPUTED_VALUE"""),"")</f>
        <v/>
      </c>
      <c r="I635" s="136" t="str">
        <f>IFERROR(__xludf.DUMMYFUNCTION("""COMPUTED_VALUE"""),"")</f>
        <v/>
      </c>
      <c r="J635" s="106" t="str">
        <f>IFERROR(__xludf.DUMMYFUNCTION("""COMPUTED_VALUE"""),"")</f>
        <v/>
      </c>
      <c r="L635" s="136" t="str">
        <f>IFERROR(__xludf.DUMMYFUNCTION("""COMPUTED_VALUE"""),"")</f>
        <v/>
      </c>
      <c r="M635" s="106" t="str">
        <f>IFERROR(__xludf.DUMMYFUNCTION("""COMPUTED_VALUE"""),"")</f>
        <v/>
      </c>
      <c r="O635" s="136" t="str">
        <f>IFERROR(__xludf.DUMMYFUNCTION("""COMPUTED_VALUE"""),"")</f>
        <v/>
      </c>
      <c r="P635" s="106" t="str">
        <f>IFERROR(__xludf.DUMMYFUNCTION("""COMPUTED_VALUE"""),"")</f>
        <v/>
      </c>
      <c r="R635" s="136" t="str">
        <f>IFERROR(__xludf.DUMMYFUNCTION("""COMPUTED_VALUE"""),"")</f>
        <v/>
      </c>
      <c r="S635" s="106" t="str">
        <f>IFERROR(__xludf.DUMMYFUNCTION("""COMPUTED_VALUE"""),"")</f>
        <v/>
      </c>
    </row>
    <row r="636">
      <c r="A636" s="136" t="s">
        <v>133</v>
      </c>
      <c r="B636" s="136"/>
      <c r="C636" s="136" t="s">
        <v>133</v>
      </c>
      <c r="D636" s="136"/>
      <c r="E636" s="106"/>
      <c r="F636" s="136" t="str">
        <f>IFERROR(__xludf.DUMMYFUNCTION("""COMPUTED_VALUE"""),"")</f>
        <v/>
      </c>
      <c r="G636" s="106" t="str">
        <f>IFERROR(__xludf.DUMMYFUNCTION("""COMPUTED_VALUE"""),"")</f>
        <v/>
      </c>
      <c r="I636" s="136" t="str">
        <f>IFERROR(__xludf.DUMMYFUNCTION("""COMPUTED_VALUE"""),"")</f>
        <v/>
      </c>
      <c r="J636" s="106" t="str">
        <f>IFERROR(__xludf.DUMMYFUNCTION("""COMPUTED_VALUE"""),"")</f>
        <v/>
      </c>
      <c r="L636" s="136" t="str">
        <f>IFERROR(__xludf.DUMMYFUNCTION("""COMPUTED_VALUE"""),"")</f>
        <v/>
      </c>
      <c r="M636" s="106" t="str">
        <f>IFERROR(__xludf.DUMMYFUNCTION("""COMPUTED_VALUE"""),"")</f>
        <v/>
      </c>
      <c r="O636" s="136" t="str">
        <f>IFERROR(__xludf.DUMMYFUNCTION("""COMPUTED_VALUE"""),"")</f>
        <v/>
      </c>
      <c r="P636" s="106" t="str">
        <f>IFERROR(__xludf.DUMMYFUNCTION("""COMPUTED_VALUE"""),"")</f>
        <v/>
      </c>
      <c r="R636" s="136" t="str">
        <f>IFERROR(__xludf.DUMMYFUNCTION("""COMPUTED_VALUE"""),"")</f>
        <v/>
      </c>
      <c r="S636" s="106" t="str">
        <f>IFERROR(__xludf.DUMMYFUNCTION("""COMPUTED_VALUE"""),"")</f>
        <v/>
      </c>
    </row>
    <row r="637">
      <c r="A637" s="136" t="s">
        <v>133</v>
      </c>
      <c r="B637" s="136"/>
      <c r="C637" s="136" t="s">
        <v>133</v>
      </c>
      <c r="D637" s="136"/>
      <c r="E637" s="106"/>
      <c r="F637" s="136" t="str">
        <f>IFERROR(__xludf.DUMMYFUNCTION("""COMPUTED_VALUE"""),"")</f>
        <v/>
      </c>
      <c r="G637" s="106" t="str">
        <f>IFERROR(__xludf.DUMMYFUNCTION("""COMPUTED_VALUE"""),"")</f>
        <v/>
      </c>
      <c r="I637" s="136" t="str">
        <f>IFERROR(__xludf.DUMMYFUNCTION("""COMPUTED_VALUE"""),"")</f>
        <v/>
      </c>
      <c r="J637" s="106" t="str">
        <f>IFERROR(__xludf.DUMMYFUNCTION("""COMPUTED_VALUE"""),"")</f>
        <v/>
      </c>
      <c r="L637" s="136" t="str">
        <f>IFERROR(__xludf.DUMMYFUNCTION("""COMPUTED_VALUE"""),"")</f>
        <v/>
      </c>
      <c r="M637" s="106" t="str">
        <f>IFERROR(__xludf.DUMMYFUNCTION("""COMPUTED_VALUE"""),"")</f>
        <v/>
      </c>
      <c r="O637" s="136" t="str">
        <f>IFERROR(__xludf.DUMMYFUNCTION("""COMPUTED_VALUE"""),"")</f>
        <v/>
      </c>
      <c r="P637" s="106" t="str">
        <f>IFERROR(__xludf.DUMMYFUNCTION("""COMPUTED_VALUE"""),"")</f>
        <v/>
      </c>
      <c r="R637" s="136" t="str">
        <f>IFERROR(__xludf.DUMMYFUNCTION("""COMPUTED_VALUE"""),"")</f>
        <v/>
      </c>
      <c r="S637" s="106" t="str">
        <f>IFERROR(__xludf.DUMMYFUNCTION("""COMPUTED_VALUE"""),"")</f>
        <v/>
      </c>
    </row>
    <row r="638">
      <c r="A638" s="136" t="s">
        <v>133</v>
      </c>
      <c r="B638" s="136"/>
      <c r="C638" s="136" t="s">
        <v>133</v>
      </c>
      <c r="D638" s="136"/>
      <c r="E638" s="106"/>
      <c r="F638" s="136" t="str">
        <f>IFERROR(__xludf.DUMMYFUNCTION("""COMPUTED_VALUE"""),"")</f>
        <v/>
      </c>
      <c r="G638" s="106" t="str">
        <f>IFERROR(__xludf.DUMMYFUNCTION("""COMPUTED_VALUE"""),"")</f>
        <v/>
      </c>
      <c r="I638" s="136" t="str">
        <f>IFERROR(__xludf.DUMMYFUNCTION("""COMPUTED_VALUE"""),"")</f>
        <v/>
      </c>
      <c r="J638" s="106" t="str">
        <f>IFERROR(__xludf.DUMMYFUNCTION("""COMPUTED_VALUE"""),"")</f>
        <v/>
      </c>
      <c r="L638" s="136" t="str">
        <f>IFERROR(__xludf.DUMMYFUNCTION("""COMPUTED_VALUE"""),"")</f>
        <v/>
      </c>
      <c r="M638" s="106" t="str">
        <f>IFERROR(__xludf.DUMMYFUNCTION("""COMPUTED_VALUE"""),"")</f>
        <v/>
      </c>
      <c r="O638" s="136" t="str">
        <f>IFERROR(__xludf.DUMMYFUNCTION("""COMPUTED_VALUE"""),"")</f>
        <v/>
      </c>
      <c r="P638" s="106" t="str">
        <f>IFERROR(__xludf.DUMMYFUNCTION("""COMPUTED_VALUE"""),"")</f>
        <v/>
      </c>
      <c r="R638" s="136" t="str">
        <f>IFERROR(__xludf.DUMMYFUNCTION("""COMPUTED_VALUE"""),"")</f>
        <v/>
      </c>
      <c r="S638" s="106" t="str">
        <f>IFERROR(__xludf.DUMMYFUNCTION("""COMPUTED_VALUE"""),"")</f>
        <v/>
      </c>
    </row>
    <row r="639">
      <c r="A639" s="136" t="s">
        <v>133</v>
      </c>
      <c r="B639" s="136"/>
      <c r="C639" s="136" t="s">
        <v>133</v>
      </c>
      <c r="D639" s="136"/>
      <c r="E639" s="106"/>
      <c r="F639" s="136" t="str">
        <f>IFERROR(__xludf.DUMMYFUNCTION("""COMPUTED_VALUE"""),"")</f>
        <v/>
      </c>
      <c r="G639" s="106" t="str">
        <f>IFERROR(__xludf.DUMMYFUNCTION("""COMPUTED_VALUE"""),"")</f>
        <v/>
      </c>
      <c r="I639" s="136" t="str">
        <f>IFERROR(__xludf.DUMMYFUNCTION("""COMPUTED_VALUE"""),"")</f>
        <v/>
      </c>
      <c r="J639" s="106" t="str">
        <f>IFERROR(__xludf.DUMMYFUNCTION("""COMPUTED_VALUE"""),"")</f>
        <v/>
      </c>
      <c r="L639" s="136" t="str">
        <f>IFERROR(__xludf.DUMMYFUNCTION("""COMPUTED_VALUE"""),"")</f>
        <v/>
      </c>
      <c r="M639" s="106" t="str">
        <f>IFERROR(__xludf.DUMMYFUNCTION("""COMPUTED_VALUE"""),"")</f>
        <v/>
      </c>
      <c r="O639" s="136" t="str">
        <f>IFERROR(__xludf.DUMMYFUNCTION("""COMPUTED_VALUE"""),"")</f>
        <v/>
      </c>
      <c r="P639" s="106" t="str">
        <f>IFERROR(__xludf.DUMMYFUNCTION("""COMPUTED_VALUE"""),"")</f>
        <v/>
      </c>
      <c r="R639" s="136" t="str">
        <f>IFERROR(__xludf.DUMMYFUNCTION("""COMPUTED_VALUE"""),"")</f>
        <v/>
      </c>
      <c r="S639" s="106" t="str">
        <f>IFERROR(__xludf.DUMMYFUNCTION("""COMPUTED_VALUE"""),"")</f>
        <v/>
      </c>
    </row>
    <row r="640">
      <c r="A640" s="136" t="s">
        <v>133</v>
      </c>
      <c r="B640" s="136"/>
      <c r="C640" s="136" t="s">
        <v>133</v>
      </c>
      <c r="D640" s="136"/>
      <c r="E640" s="106"/>
      <c r="F640" s="136" t="str">
        <f>IFERROR(__xludf.DUMMYFUNCTION("""COMPUTED_VALUE"""),"")</f>
        <v/>
      </c>
      <c r="G640" s="106" t="str">
        <f>IFERROR(__xludf.DUMMYFUNCTION("""COMPUTED_VALUE"""),"")</f>
        <v/>
      </c>
      <c r="I640" s="136" t="str">
        <f>IFERROR(__xludf.DUMMYFUNCTION("""COMPUTED_VALUE"""),"")</f>
        <v/>
      </c>
      <c r="J640" s="106" t="str">
        <f>IFERROR(__xludf.DUMMYFUNCTION("""COMPUTED_VALUE"""),"")</f>
        <v/>
      </c>
      <c r="L640" s="136" t="str">
        <f>IFERROR(__xludf.DUMMYFUNCTION("""COMPUTED_VALUE"""),"")</f>
        <v/>
      </c>
      <c r="M640" s="106" t="str">
        <f>IFERROR(__xludf.DUMMYFUNCTION("""COMPUTED_VALUE"""),"")</f>
        <v/>
      </c>
      <c r="O640" s="136" t="str">
        <f>IFERROR(__xludf.DUMMYFUNCTION("""COMPUTED_VALUE"""),"")</f>
        <v/>
      </c>
      <c r="P640" s="106" t="str">
        <f>IFERROR(__xludf.DUMMYFUNCTION("""COMPUTED_VALUE"""),"")</f>
        <v/>
      </c>
      <c r="R640" s="136" t="str">
        <f>IFERROR(__xludf.DUMMYFUNCTION("""COMPUTED_VALUE"""),"")</f>
        <v/>
      </c>
      <c r="S640" s="106" t="str">
        <f>IFERROR(__xludf.DUMMYFUNCTION("""COMPUTED_VALUE"""),"")</f>
        <v/>
      </c>
    </row>
    <row r="641">
      <c r="A641" s="136" t="s">
        <v>133</v>
      </c>
      <c r="B641" s="136"/>
      <c r="C641" s="136" t="s">
        <v>133</v>
      </c>
      <c r="D641" s="136"/>
      <c r="E641" s="106"/>
      <c r="F641" s="136" t="str">
        <f>IFERROR(__xludf.DUMMYFUNCTION("""COMPUTED_VALUE"""),"")</f>
        <v/>
      </c>
      <c r="G641" s="106" t="str">
        <f>IFERROR(__xludf.DUMMYFUNCTION("""COMPUTED_VALUE"""),"")</f>
        <v/>
      </c>
      <c r="I641" s="136" t="str">
        <f>IFERROR(__xludf.DUMMYFUNCTION("""COMPUTED_VALUE"""),"")</f>
        <v/>
      </c>
      <c r="J641" s="106" t="str">
        <f>IFERROR(__xludf.DUMMYFUNCTION("""COMPUTED_VALUE"""),"")</f>
        <v/>
      </c>
      <c r="L641" s="136" t="str">
        <f>IFERROR(__xludf.DUMMYFUNCTION("""COMPUTED_VALUE"""),"")</f>
        <v/>
      </c>
      <c r="M641" s="106" t="str">
        <f>IFERROR(__xludf.DUMMYFUNCTION("""COMPUTED_VALUE"""),"")</f>
        <v/>
      </c>
      <c r="O641" s="136" t="str">
        <f>IFERROR(__xludf.DUMMYFUNCTION("""COMPUTED_VALUE"""),"")</f>
        <v/>
      </c>
      <c r="P641" s="106" t="str">
        <f>IFERROR(__xludf.DUMMYFUNCTION("""COMPUTED_VALUE"""),"")</f>
        <v/>
      </c>
      <c r="R641" s="136" t="str">
        <f>IFERROR(__xludf.DUMMYFUNCTION("""COMPUTED_VALUE"""),"")</f>
        <v/>
      </c>
      <c r="S641" s="106" t="str">
        <f>IFERROR(__xludf.DUMMYFUNCTION("""COMPUTED_VALUE"""),"")</f>
        <v/>
      </c>
    </row>
    <row r="642">
      <c r="A642" s="136" t="s">
        <v>133</v>
      </c>
      <c r="B642" s="136"/>
      <c r="C642" s="136" t="s">
        <v>133</v>
      </c>
      <c r="D642" s="136"/>
      <c r="E642" s="106"/>
      <c r="F642" s="136" t="str">
        <f>IFERROR(__xludf.DUMMYFUNCTION("""COMPUTED_VALUE"""),"")</f>
        <v/>
      </c>
      <c r="G642" s="106" t="str">
        <f>IFERROR(__xludf.DUMMYFUNCTION("""COMPUTED_VALUE"""),"")</f>
        <v/>
      </c>
      <c r="I642" s="136" t="str">
        <f>IFERROR(__xludf.DUMMYFUNCTION("""COMPUTED_VALUE"""),"")</f>
        <v/>
      </c>
      <c r="J642" s="106" t="str">
        <f>IFERROR(__xludf.DUMMYFUNCTION("""COMPUTED_VALUE"""),"")</f>
        <v/>
      </c>
      <c r="L642" s="136" t="str">
        <f>IFERROR(__xludf.DUMMYFUNCTION("""COMPUTED_VALUE"""),"")</f>
        <v/>
      </c>
      <c r="M642" s="106" t="str">
        <f>IFERROR(__xludf.DUMMYFUNCTION("""COMPUTED_VALUE"""),"")</f>
        <v/>
      </c>
      <c r="O642" s="136" t="str">
        <f>IFERROR(__xludf.DUMMYFUNCTION("""COMPUTED_VALUE"""),"")</f>
        <v/>
      </c>
      <c r="P642" s="106" t="str">
        <f>IFERROR(__xludf.DUMMYFUNCTION("""COMPUTED_VALUE"""),"")</f>
        <v/>
      </c>
      <c r="R642" s="136" t="str">
        <f>IFERROR(__xludf.DUMMYFUNCTION("""COMPUTED_VALUE"""),"")</f>
        <v/>
      </c>
      <c r="S642" s="106" t="str">
        <f>IFERROR(__xludf.DUMMYFUNCTION("""COMPUTED_VALUE"""),"")</f>
        <v/>
      </c>
    </row>
    <row r="643">
      <c r="A643" s="136" t="s">
        <v>133</v>
      </c>
      <c r="B643" s="136"/>
      <c r="C643" s="136" t="s">
        <v>133</v>
      </c>
      <c r="D643" s="136"/>
      <c r="E643" s="106"/>
      <c r="F643" s="136" t="str">
        <f>IFERROR(__xludf.DUMMYFUNCTION("""COMPUTED_VALUE"""),"")</f>
        <v/>
      </c>
      <c r="G643" s="106" t="str">
        <f>IFERROR(__xludf.DUMMYFUNCTION("""COMPUTED_VALUE"""),"")</f>
        <v/>
      </c>
      <c r="I643" s="136" t="str">
        <f>IFERROR(__xludf.DUMMYFUNCTION("""COMPUTED_VALUE"""),"")</f>
        <v/>
      </c>
      <c r="J643" s="106" t="str">
        <f>IFERROR(__xludf.DUMMYFUNCTION("""COMPUTED_VALUE"""),"")</f>
        <v/>
      </c>
      <c r="L643" s="136" t="str">
        <f>IFERROR(__xludf.DUMMYFUNCTION("""COMPUTED_VALUE"""),"")</f>
        <v/>
      </c>
      <c r="M643" s="106" t="str">
        <f>IFERROR(__xludf.DUMMYFUNCTION("""COMPUTED_VALUE"""),"")</f>
        <v/>
      </c>
      <c r="O643" s="136" t="str">
        <f>IFERROR(__xludf.DUMMYFUNCTION("""COMPUTED_VALUE"""),"")</f>
        <v/>
      </c>
      <c r="P643" s="106" t="str">
        <f>IFERROR(__xludf.DUMMYFUNCTION("""COMPUTED_VALUE"""),"")</f>
        <v/>
      </c>
      <c r="R643" s="136" t="str">
        <f>IFERROR(__xludf.DUMMYFUNCTION("""COMPUTED_VALUE"""),"")</f>
        <v/>
      </c>
      <c r="S643" s="106" t="str">
        <f>IFERROR(__xludf.DUMMYFUNCTION("""COMPUTED_VALUE"""),"")</f>
        <v/>
      </c>
    </row>
    <row r="644">
      <c r="A644" s="136" t="s">
        <v>133</v>
      </c>
      <c r="B644" s="136"/>
      <c r="C644" s="136" t="s">
        <v>133</v>
      </c>
      <c r="D644" s="136"/>
      <c r="E644" s="106"/>
      <c r="F644" s="136" t="str">
        <f>IFERROR(__xludf.DUMMYFUNCTION("""COMPUTED_VALUE"""),"")</f>
        <v/>
      </c>
      <c r="G644" s="106" t="str">
        <f>IFERROR(__xludf.DUMMYFUNCTION("""COMPUTED_VALUE"""),"")</f>
        <v/>
      </c>
      <c r="I644" s="136" t="str">
        <f>IFERROR(__xludf.DUMMYFUNCTION("""COMPUTED_VALUE"""),"")</f>
        <v/>
      </c>
      <c r="J644" s="106" t="str">
        <f>IFERROR(__xludf.DUMMYFUNCTION("""COMPUTED_VALUE"""),"")</f>
        <v/>
      </c>
      <c r="L644" s="136" t="str">
        <f>IFERROR(__xludf.DUMMYFUNCTION("""COMPUTED_VALUE"""),"")</f>
        <v/>
      </c>
      <c r="M644" s="106" t="str">
        <f>IFERROR(__xludf.DUMMYFUNCTION("""COMPUTED_VALUE"""),"")</f>
        <v/>
      </c>
      <c r="O644" s="136" t="str">
        <f>IFERROR(__xludf.DUMMYFUNCTION("""COMPUTED_VALUE"""),"")</f>
        <v/>
      </c>
      <c r="P644" s="106" t="str">
        <f>IFERROR(__xludf.DUMMYFUNCTION("""COMPUTED_VALUE"""),"")</f>
        <v/>
      </c>
      <c r="R644" s="136" t="str">
        <f>IFERROR(__xludf.DUMMYFUNCTION("""COMPUTED_VALUE"""),"")</f>
        <v/>
      </c>
      <c r="S644" s="106" t="str">
        <f>IFERROR(__xludf.DUMMYFUNCTION("""COMPUTED_VALUE"""),"")</f>
        <v/>
      </c>
    </row>
    <row r="645">
      <c r="A645" s="136" t="s">
        <v>133</v>
      </c>
      <c r="B645" s="136"/>
      <c r="C645" s="136" t="s">
        <v>133</v>
      </c>
      <c r="D645" s="136"/>
      <c r="E645" s="106"/>
      <c r="F645" s="136" t="str">
        <f>IFERROR(__xludf.DUMMYFUNCTION("""COMPUTED_VALUE"""),"")</f>
        <v/>
      </c>
      <c r="G645" s="106" t="str">
        <f>IFERROR(__xludf.DUMMYFUNCTION("""COMPUTED_VALUE"""),"")</f>
        <v/>
      </c>
      <c r="I645" s="136" t="str">
        <f>IFERROR(__xludf.DUMMYFUNCTION("""COMPUTED_VALUE"""),"")</f>
        <v/>
      </c>
      <c r="J645" s="106" t="str">
        <f>IFERROR(__xludf.DUMMYFUNCTION("""COMPUTED_VALUE"""),"")</f>
        <v/>
      </c>
      <c r="L645" s="136" t="str">
        <f>IFERROR(__xludf.DUMMYFUNCTION("""COMPUTED_VALUE"""),"")</f>
        <v/>
      </c>
      <c r="M645" s="106" t="str">
        <f>IFERROR(__xludf.DUMMYFUNCTION("""COMPUTED_VALUE"""),"")</f>
        <v/>
      </c>
      <c r="O645" s="136" t="str">
        <f>IFERROR(__xludf.DUMMYFUNCTION("""COMPUTED_VALUE"""),"")</f>
        <v/>
      </c>
      <c r="P645" s="106" t="str">
        <f>IFERROR(__xludf.DUMMYFUNCTION("""COMPUTED_VALUE"""),"")</f>
        <v/>
      </c>
      <c r="R645" s="136" t="str">
        <f>IFERROR(__xludf.DUMMYFUNCTION("""COMPUTED_VALUE"""),"")</f>
        <v/>
      </c>
      <c r="S645" s="106" t="str">
        <f>IFERROR(__xludf.DUMMYFUNCTION("""COMPUTED_VALUE"""),"")</f>
        <v/>
      </c>
    </row>
    <row r="646">
      <c r="A646" s="136" t="s">
        <v>133</v>
      </c>
      <c r="B646" s="136"/>
      <c r="C646" s="136" t="s">
        <v>133</v>
      </c>
      <c r="D646" s="136"/>
      <c r="E646" s="106"/>
      <c r="F646" s="136" t="str">
        <f>IFERROR(__xludf.DUMMYFUNCTION("""COMPUTED_VALUE"""),"")</f>
        <v/>
      </c>
      <c r="G646" s="106" t="str">
        <f>IFERROR(__xludf.DUMMYFUNCTION("""COMPUTED_VALUE"""),"")</f>
        <v/>
      </c>
      <c r="I646" s="136" t="str">
        <f>IFERROR(__xludf.DUMMYFUNCTION("""COMPUTED_VALUE"""),"")</f>
        <v/>
      </c>
      <c r="J646" s="106" t="str">
        <f>IFERROR(__xludf.DUMMYFUNCTION("""COMPUTED_VALUE"""),"")</f>
        <v/>
      </c>
      <c r="L646" s="136" t="str">
        <f>IFERROR(__xludf.DUMMYFUNCTION("""COMPUTED_VALUE"""),"")</f>
        <v/>
      </c>
      <c r="M646" s="106" t="str">
        <f>IFERROR(__xludf.DUMMYFUNCTION("""COMPUTED_VALUE"""),"")</f>
        <v/>
      </c>
      <c r="O646" s="136" t="str">
        <f>IFERROR(__xludf.DUMMYFUNCTION("""COMPUTED_VALUE"""),"")</f>
        <v/>
      </c>
      <c r="P646" s="106" t="str">
        <f>IFERROR(__xludf.DUMMYFUNCTION("""COMPUTED_VALUE"""),"")</f>
        <v/>
      </c>
      <c r="R646" s="136" t="str">
        <f>IFERROR(__xludf.DUMMYFUNCTION("""COMPUTED_VALUE"""),"")</f>
        <v/>
      </c>
      <c r="S646" s="106" t="str">
        <f>IFERROR(__xludf.DUMMYFUNCTION("""COMPUTED_VALUE"""),"")</f>
        <v/>
      </c>
    </row>
    <row r="647">
      <c r="A647" s="136" t="s">
        <v>133</v>
      </c>
      <c r="B647" s="136"/>
      <c r="C647" s="136" t="s">
        <v>133</v>
      </c>
      <c r="D647" s="136"/>
      <c r="E647" s="106"/>
      <c r="F647" s="136" t="str">
        <f>IFERROR(__xludf.DUMMYFUNCTION("""COMPUTED_VALUE"""),"")</f>
        <v/>
      </c>
      <c r="G647" s="106" t="str">
        <f>IFERROR(__xludf.DUMMYFUNCTION("""COMPUTED_VALUE"""),"")</f>
        <v/>
      </c>
      <c r="I647" s="136" t="str">
        <f>IFERROR(__xludf.DUMMYFUNCTION("""COMPUTED_VALUE"""),"")</f>
        <v/>
      </c>
      <c r="J647" s="106" t="str">
        <f>IFERROR(__xludf.DUMMYFUNCTION("""COMPUTED_VALUE"""),"")</f>
        <v/>
      </c>
      <c r="L647" s="136" t="str">
        <f>IFERROR(__xludf.DUMMYFUNCTION("""COMPUTED_VALUE"""),"")</f>
        <v/>
      </c>
      <c r="M647" s="106" t="str">
        <f>IFERROR(__xludf.DUMMYFUNCTION("""COMPUTED_VALUE"""),"")</f>
        <v/>
      </c>
      <c r="O647" s="136" t="str">
        <f>IFERROR(__xludf.DUMMYFUNCTION("""COMPUTED_VALUE"""),"")</f>
        <v/>
      </c>
      <c r="P647" s="106" t="str">
        <f>IFERROR(__xludf.DUMMYFUNCTION("""COMPUTED_VALUE"""),"")</f>
        <v/>
      </c>
      <c r="R647" s="136" t="str">
        <f>IFERROR(__xludf.DUMMYFUNCTION("""COMPUTED_VALUE"""),"")</f>
        <v/>
      </c>
      <c r="S647" s="106" t="str">
        <f>IFERROR(__xludf.DUMMYFUNCTION("""COMPUTED_VALUE"""),"")</f>
        <v/>
      </c>
    </row>
    <row r="648">
      <c r="A648" s="136" t="s">
        <v>133</v>
      </c>
      <c r="B648" s="136"/>
      <c r="C648" s="136" t="s">
        <v>133</v>
      </c>
      <c r="D648" s="136"/>
      <c r="E648" s="106"/>
      <c r="F648" s="136" t="str">
        <f>IFERROR(__xludf.DUMMYFUNCTION("""COMPUTED_VALUE"""),"")</f>
        <v/>
      </c>
      <c r="G648" s="106" t="str">
        <f>IFERROR(__xludf.DUMMYFUNCTION("""COMPUTED_VALUE"""),"")</f>
        <v/>
      </c>
      <c r="I648" s="136" t="str">
        <f>IFERROR(__xludf.DUMMYFUNCTION("""COMPUTED_VALUE"""),"")</f>
        <v/>
      </c>
      <c r="J648" s="106" t="str">
        <f>IFERROR(__xludf.DUMMYFUNCTION("""COMPUTED_VALUE"""),"")</f>
        <v/>
      </c>
      <c r="L648" s="136" t="str">
        <f>IFERROR(__xludf.DUMMYFUNCTION("""COMPUTED_VALUE"""),"")</f>
        <v/>
      </c>
      <c r="M648" s="106" t="str">
        <f>IFERROR(__xludf.DUMMYFUNCTION("""COMPUTED_VALUE"""),"")</f>
        <v/>
      </c>
      <c r="O648" s="136" t="str">
        <f>IFERROR(__xludf.DUMMYFUNCTION("""COMPUTED_VALUE"""),"")</f>
        <v/>
      </c>
      <c r="P648" s="106" t="str">
        <f>IFERROR(__xludf.DUMMYFUNCTION("""COMPUTED_VALUE"""),"")</f>
        <v/>
      </c>
      <c r="R648" s="136" t="str">
        <f>IFERROR(__xludf.DUMMYFUNCTION("""COMPUTED_VALUE"""),"")</f>
        <v/>
      </c>
      <c r="S648" s="106" t="str">
        <f>IFERROR(__xludf.DUMMYFUNCTION("""COMPUTED_VALUE"""),"")</f>
        <v/>
      </c>
    </row>
    <row r="649">
      <c r="A649" s="136" t="s">
        <v>133</v>
      </c>
      <c r="B649" s="136"/>
      <c r="C649" s="136" t="s">
        <v>133</v>
      </c>
      <c r="D649" s="136"/>
      <c r="E649" s="106"/>
      <c r="F649" s="136" t="str">
        <f>IFERROR(__xludf.DUMMYFUNCTION("""COMPUTED_VALUE"""),"")</f>
        <v/>
      </c>
      <c r="G649" s="106" t="str">
        <f>IFERROR(__xludf.DUMMYFUNCTION("""COMPUTED_VALUE"""),"")</f>
        <v/>
      </c>
      <c r="I649" s="136" t="str">
        <f>IFERROR(__xludf.DUMMYFUNCTION("""COMPUTED_VALUE"""),"")</f>
        <v/>
      </c>
      <c r="J649" s="106" t="str">
        <f>IFERROR(__xludf.DUMMYFUNCTION("""COMPUTED_VALUE"""),"")</f>
        <v/>
      </c>
      <c r="L649" s="136" t="str">
        <f>IFERROR(__xludf.DUMMYFUNCTION("""COMPUTED_VALUE"""),"")</f>
        <v/>
      </c>
      <c r="M649" s="106" t="str">
        <f>IFERROR(__xludf.DUMMYFUNCTION("""COMPUTED_VALUE"""),"")</f>
        <v/>
      </c>
      <c r="O649" s="136" t="str">
        <f>IFERROR(__xludf.DUMMYFUNCTION("""COMPUTED_VALUE"""),"")</f>
        <v/>
      </c>
      <c r="P649" s="106" t="str">
        <f>IFERROR(__xludf.DUMMYFUNCTION("""COMPUTED_VALUE"""),"")</f>
        <v/>
      </c>
      <c r="R649" s="136" t="str">
        <f>IFERROR(__xludf.DUMMYFUNCTION("""COMPUTED_VALUE"""),"")</f>
        <v/>
      </c>
      <c r="S649" s="106" t="str">
        <f>IFERROR(__xludf.DUMMYFUNCTION("""COMPUTED_VALUE"""),"")</f>
        <v/>
      </c>
    </row>
    <row r="650">
      <c r="A650" s="136" t="s">
        <v>133</v>
      </c>
      <c r="B650" s="136"/>
      <c r="C650" s="136" t="s">
        <v>133</v>
      </c>
      <c r="D650" s="136"/>
      <c r="E650" s="106"/>
      <c r="F650" s="136" t="str">
        <f>IFERROR(__xludf.DUMMYFUNCTION("""COMPUTED_VALUE"""),"")</f>
        <v/>
      </c>
      <c r="G650" s="106" t="str">
        <f>IFERROR(__xludf.DUMMYFUNCTION("""COMPUTED_VALUE"""),"")</f>
        <v/>
      </c>
      <c r="I650" s="136" t="str">
        <f>IFERROR(__xludf.DUMMYFUNCTION("""COMPUTED_VALUE"""),"")</f>
        <v/>
      </c>
      <c r="J650" s="106" t="str">
        <f>IFERROR(__xludf.DUMMYFUNCTION("""COMPUTED_VALUE"""),"")</f>
        <v/>
      </c>
      <c r="L650" s="136" t="str">
        <f>IFERROR(__xludf.DUMMYFUNCTION("""COMPUTED_VALUE"""),"")</f>
        <v/>
      </c>
      <c r="M650" s="106" t="str">
        <f>IFERROR(__xludf.DUMMYFUNCTION("""COMPUTED_VALUE"""),"")</f>
        <v/>
      </c>
      <c r="O650" s="136" t="str">
        <f>IFERROR(__xludf.DUMMYFUNCTION("""COMPUTED_VALUE"""),"")</f>
        <v/>
      </c>
      <c r="P650" s="106" t="str">
        <f>IFERROR(__xludf.DUMMYFUNCTION("""COMPUTED_VALUE"""),"")</f>
        <v/>
      </c>
      <c r="R650" s="136" t="str">
        <f>IFERROR(__xludf.DUMMYFUNCTION("""COMPUTED_VALUE"""),"")</f>
        <v/>
      </c>
      <c r="S650" s="106" t="str">
        <f>IFERROR(__xludf.DUMMYFUNCTION("""COMPUTED_VALUE"""),"")</f>
        <v/>
      </c>
    </row>
    <row r="651">
      <c r="A651" s="136" t="s">
        <v>133</v>
      </c>
      <c r="B651" s="136"/>
      <c r="C651" s="136" t="s">
        <v>133</v>
      </c>
      <c r="D651" s="136"/>
      <c r="E651" s="106"/>
      <c r="F651" s="136" t="str">
        <f>IFERROR(__xludf.DUMMYFUNCTION("""COMPUTED_VALUE"""),"")</f>
        <v/>
      </c>
      <c r="G651" s="106" t="str">
        <f>IFERROR(__xludf.DUMMYFUNCTION("""COMPUTED_VALUE"""),"")</f>
        <v/>
      </c>
      <c r="I651" s="136" t="str">
        <f>IFERROR(__xludf.DUMMYFUNCTION("""COMPUTED_VALUE"""),"")</f>
        <v/>
      </c>
      <c r="J651" s="106" t="str">
        <f>IFERROR(__xludf.DUMMYFUNCTION("""COMPUTED_VALUE"""),"")</f>
        <v/>
      </c>
      <c r="L651" s="136" t="str">
        <f>IFERROR(__xludf.DUMMYFUNCTION("""COMPUTED_VALUE"""),"")</f>
        <v/>
      </c>
      <c r="M651" s="106" t="str">
        <f>IFERROR(__xludf.DUMMYFUNCTION("""COMPUTED_VALUE"""),"")</f>
        <v/>
      </c>
      <c r="O651" s="136" t="str">
        <f>IFERROR(__xludf.DUMMYFUNCTION("""COMPUTED_VALUE"""),"")</f>
        <v/>
      </c>
      <c r="P651" s="106" t="str">
        <f>IFERROR(__xludf.DUMMYFUNCTION("""COMPUTED_VALUE"""),"")</f>
        <v/>
      </c>
      <c r="R651" s="136" t="str">
        <f>IFERROR(__xludf.DUMMYFUNCTION("""COMPUTED_VALUE"""),"")</f>
        <v/>
      </c>
      <c r="S651" s="106" t="str">
        <f>IFERROR(__xludf.DUMMYFUNCTION("""COMPUTED_VALUE"""),"")</f>
        <v/>
      </c>
    </row>
    <row r="652">
      <c r="A652" s="136" t="s">
        <v>133</v>
      </c>
      <c r="B652" s="136"/>
      <c r="C652" s="136" t="s">
        <v>133</v>
      </c>
      <c r="D652" s="136"/>
      <c r="E652" s="106"/>
      <c r="F652" s="136" t="str">
        <f>IFERROR(__xludf.DUMMYFUNCTION("""COMPUTED_VALUE"""),"")</f>
        <v/>
      </c>
      <c r="G652" s="106" t="str">
        <f>IFERROR(__xludf.DUMMYFUNCTION("""COMPUTED_VALUE"""),"")</f>
        <v/>
      </c>
      <c r="I652" s="136" t="str">
        <f>IFERROR(__xludf.DUMMYFUNCTION("""COMPUTED_VALUE"""),"")</f>
        <v/>
      </c>
      <c r="J652" s="106" t="str">
        <f>IFERROR(__xludf.DUMMYFUNCTION("""COMPUTED_VALUE"""),"")</f>
        <v/>
      </c>
      <c r="L652" s="136" t="str">
        <f>IFERROR(__xludf.DUMMYFUNCTION("""COMPUTED_VALUE"""),"")</f>
        <v/>
      </c>
      <c r="M652" s="106" t="str">
        <f>IFERROR(__xludf.DUMMYFUNCTION("""COMPUTED_VALUE"""),"")</f>
        <v/>
      </c>
      <c r="O652" s="136" t="str">
        <f>IFERROR(__xludf.DUMMYFUNCTION("""COMPUTED_VALUE"""),"")</f>
        <v/>
      </c>
      <c r="P652" s="106" t="str">
        <f>IFERROR(__xludf.DUMMYFUNCTION("""COMPUTED_VALUE"""),"")</f>
        <v/>
      </c>
      <c r="R652" s="136" t="str">
        <f>IFERROR(__xludf.DUMMYFUNCTION("""COMPUTED_VALUE"""),"")</f>
        <v/>
      </c>
      <c r="S652" s="106" t="str">
        <f>IFERROR(__xludf.DUMMYFUNCTION("""COMPUTED_VALUE"""),"")</f>
        <v/>
      </c>
    </row>
    <row r="653">
      <c r="A653" s="136" t="s">
        <v>133</v>
      </c>
      <c r="B653" s="136"/>
      <c r="C653" s="136" t="s">
        <v>133</v>
      </c>
      <c r="D653" s="136"/>
      <c r="E653" s="106"/>
      <c r="F653" s="136" t="str">
        <f>IFERROR(__xludf.DUMMYFUNCTION("""COMPUTED_VALUE"""),"")</f>
        <v/>
      </c>
      <c r="G653" s="106" t="str">
        <f>IFERROR(__xludf.DUMMYFUNCTION("""COMPUTED_VALUE"""),"")</f>
        <v/>
      </c>
      <c r="I653" s="136" t="str">
        <f>IFERROR(__xludf.DUMMYFUNCTION("""COMPUTED_VALUE"""),"")</f>
        <v/>
      </c>
      <c r="J653" s="106" t="str">
        <f>IFERROR(__xludf.DUMMYFUNCTION("""COMPUTED_VALUE"""),"")</f>
        <v/>
      </c>
      <c r="L653" s="136" t="str">
        <f>IFERROR(__xludf.DUMMYFUNCTION("""COMPUTED_VALUE"""),"")</f>
        <v/>
      </c>
      <c r="M653" s="106" t="str">
        <f>IFERROR(__xludf.DUMMYFUNCTION("""COMPUTED_VALUE"""),"")</f>
        <v/>
      </c>
      <c r="O653" s="136" t="str">
        <f>IFERROR(__xludf.DUMMYFUNCTION("""COMPUTED_VALUE"""),"")</f>
        <v/>
      </c>
      <c r="P653" s="106" t="str">
        <f>IFERROR(__xludf.DUMMYFUNCTION("""COMPUTED_VALUE"""),"")</f>
        <v/>
      </c>
      <c r="R653" s="136" t="str">
        <f>IFERROR(__xludf.DUMMYFUNCTION("""COMPUTED_VALUE"""),"")</f>
        <v/>
      </c>
      <c r="S653" s="106" t="str">
        <f>IFERROR(__xludf.DUMMYFUNCTION("""COMPUTED_VALUE"""),"")</f>
        <v/>
      </c>
    </row>
    <row r="654">
      <c r="A654" s="136" t="s">
        <v>133</v>
      </c>
      <c r="B654" s="136"/>
      <c r="C654" s="136" t="s">
        <v>133</v>
      </c>
      <c r="D654" s="136"/>
      <c r="E654" s="106"/>
      <c r="F654" s="136" t="str">
        <f>IFERROR(__xludf.DUMMYFUNCTION("""COMPUTED_VALUE"""),"")</f>
        <v/>
      </c>
      <c r="G654" s="106" t="str">
        <f>IFERROR(__xludf.DUMMYFUNCTION("""COMPUTED_VALUE"""),"")</f>
        <v/>
      </c>
      <c r="I654" s="136" t="str">
        <f>IFERROR(__xludf.DUMMYFUNCTION("""COMPUTED_VALUE"""),"")</f>
        <v/>
      </c>
      <c r="J654" s="106" t="str">
        <f>IFERROR(__xludf.DUMMYFUNCTION("""COMPUTED_VALUE"""),"")</f>
        <v/>
      </c>
      <c r="L654" s="136" t="str">
        <f>IFERROR(__xludf.DUMMYFUNCTION("""COMPUTED_VALUE"""),"")</f>
        <v/>
      </c>
      <c r="M654" s="106" t="str">
        <f>IFERROR(__xludf.DUMMYFUNCTION("""COMPUTED_VALUE"""),"")</f>
        <v/>
      </c>
      <c r="O654" s="136" t="str">
        <f>IFERROR(__xludf.DUMMYFUNCTION("""COMPUTED_VALUE"""),"")</f>
        <v/>
      </c>
      <c r="P654" s="106" t="str">
        <f>IFERROR(__xludf.DUMMYFUNCTION("""COMPUTED_VALUE"""),"")</f>
        <v/>
      </c>
      <c r="R654" s="136" t="str">
        <f>IFERROR(__xludf.DUMMYFUNCTION("""COMPUTED_VALUE"""),"")</f>
        <v/>
      </c>
      <c r="S654" s="106" t="str">
        <f>IFERROR(__xludf.DUMMYFUNCTION("""COMPUTED_VALUE"""),"")</f>
        <v/>
      </c>
    </row>
    <row r="655">
      <c r="A655" s="136" t="s">
        <v>133</v>
      </c>
      <c r="B655" s="136"/>
      <c r="C655" s="136" t="s">
        <v>133</v>
      </c>
      <c r="D655" s="136"/>
      <c r="E655" s="106"/>
      <c r="F655" s="136" t="str">
        <f>IFERROR(__xludf.DUMMYFUNCTION("""COMPUTED_VALUE"""),"")</f>
        <v/>
      </c>
      <c r="G655" s="106" t="str">
        <f>IFERROR(__xludf.DUMMYFUNCTION("""COMPUTED_VALUE"""),"")</f>
        <v/>
      </c>
      <c r="I655" s="136" t="str">
        <f>IFERROR(__xludf.DUMMYFUNCTION("""COMPUTED_VALUE"""),"")</f>
        <v/>
      </c>
      <c r="J655" s="106" t="str">
        <f>IFERROR(__xludf.DUMMYFUNCTION("""COMPUTED_VALUE"""),"")</f>
        <v/>
      </c>
      <c r="L655" s="136" t="str">
        <f>IFERROR(__xludf.DUMMYFUNCTION("""COMPUTED_VALUE"""),"")</f>
        <v/>
      </c>
      <c r="M655" s="106" t="str">
        <f>IFERROR(__xludf.DUMMYFUNCTION("""COMPUTED_VALUE"""),"")</f>
        <v/>
      </c>
      <c r="O655" s="136" t="str">
        <f>IFERROR(__xludf.DUMMYFUNCTION("""COMPUTED_VALUE"""),"")</f>
        <v/>
      </c>
      <c r="P655" s="106" t="str">
        <f>IFERROR(__xludf.DUMMYFUNCTION("""COMPUTED_VALUE"""),"")</f>
        <v/>
      </c>
      <c r="R655" s="136" t="str">
        <f>IFERROR(__xludf.DUMMYFUNCTION("""COMPUTED_VALUE"""),"")</f>
        <v/>
      </c>
      <c r="S655" s="106" t="str">
        <f>IFERROR(__xludf.DUMMYFUNCTION("""COMPUTED_VALUE"""),"")</f>
        <v/>
      </c>
    </row>
    <row r="656">
      <c r="A656" s="136" t="s">
        <v>133</v>
      </c>
      <c r="B656" s="136"/>
      <c r="C656" s="136" t="s">
        <v>133</v>
      </c>
      <c r="D656" s="136"/>
      <c r="E656" s="106"/>
      <c r="F656" s="136" t="str">
        <f>IFERROR(__xludf.DUMMYFUNCTION("""COMPUTED_VALUE"""),"")</f>
        <v/>
      </c>
      <c r="G656" s="106" t="str">
        <f>IFERROR(__xludf.DUMMYFUNCTION("""COMPUTED_VALUE"""),"")</f>
        <v/>
      </c>
      <c r="I656" s="136" t="str">
        <f>IFERROR(__xludf.DUMMYFUNCTION("""COMPUTED_VALUE"""),"")</f>
        <v/>
      </c>
      <c r="J656" s="106" t="str">
        <f>IFERROR(__xludf.DUMMYFUNCTION("""COMPUTED_VALUE"""),"")</f>
        <v/>
      </c>
      <c r="L656" s="136" t="str">
        <f>IFERROR(__xludf.DUMMYFUNCTION("""COMPUTED_VALUE"""),"")</f>
        <v/>
      </c>
      <c r="M656" s="106" t="str">
        <f>IFERROR(__xludf.DUMMYFUNCTION("""COMPUTED_VALUE"""),"")</f>
        <v/>
      </c>
      <c r="O656" s="136" t="str">
        <f>IFERROR(__xludf.DUMMYFUNCTION("""COMPUTED_VALUE"""),"")</f>
        <v/>
      </c>
      <c r="P656" s="106" t="str">
        <f>IFERROR(__xludf.DUMMYFUNCTION("""COMPUTED_VALUE"""),"")</f>
        <v/>
      </c>
      <c r="R656" s="136" t="str">
        <f>IFERROR(__xludf.DUMMYFUNCTION("""COMPUTED_VALUE"""),"")</f>
        <v/>
      </c>
      <c r="S656" s="106" t="str">
        <f>IFERROR(__xludf.DUMMYFUNCTION("""COMPUTED_VALUE"""),"")</f>
        <v/>
      </c>
    </row>
    <row r="657">
      <c r="A657" s="136" t="s">
        <v>133</v>
      </c>
      <c r="B657" s="136"/>
      <c r="C657" s="136" t="s">
        <v>133</v>
      </c>
      <c r="D657" s="136"/>
      <c r="E657" s="106"/>
      <c r="F657" s="136" t="str">
        <f>IFERROR(__xludf.DUMMYFUNCTION("""COMPUTED_VALUE"""),"")</f>
        <v/>
      </c>
      <c r="G657" s="106" t="str">
        <f>IFERROR(__xludf.DUMMYFUNCTION("""COMPUTED_VALUE"""),"")</f>
        <v/>
      </c>
      <c r="I657" s="136" t="str">
        <f>IFERROR(__xludf.DUMMYFUNCTION("""COMPUTED_VALUE"""),"")</f>
        <v/>
      </c>
      <c r="J657" s="106" t="str">
        <f>IFERROR(__xludf.DUMMYFUNCTION("""COMPUTED_VALUE"""),"")</f>
        <v/>
      </c>
      <c r="L657" s="136" t="str">
        <f>IFERROR(__xludf.DUMMYFUNCTION("""COMPUTED_VALUE"""),"")</f>
        <v/>
      </c>
      <c r="M657" s="106" t="str">
        <f>IFERROR(__xludf.DUMMYFUNCTION("""COMPUTED_VALUE"""),"")</f>
        <v/>
      </c>
      <c r="O657" s="136" t="str">
        <f>IFERROR(__xludf.DUMMYFUNCTION("""COMPUTED_VALUE"""),"")</f>
        <v/>
      </c>
      <c r="P657" s="106" t="str">
        <f>IFERROR(__xludf.DUMMYFUNCTION("""COMPUTED_VALUE"""),"")</f>
        <v/>
      </c>
      <c r="R657" s="136" t="str">
        <f>IFERROR(__xludf.DUMMYFUNCTION("""COMPUTED_VALUE"""),"")</f>
        <v/>
      </c>
      <c r="S657" s="106" t="str">
        <f>IFERROR(__xludf.DUMMYFUNCTION("""COMPUTED_VALUE"""),"")</f>
        <v/>
      </c>
    </row>
    <row r="658">
      <c r="A658" s="136" t="s">
        <v>133</v>
      </c>
      <c r="B658" s="136"/>
      <c r="C658" s="136" t="s">
        <v>133</v>
      </c>
      <c r="D658" s="136"/>
      <c r="E658" s="106"/>
      <c r="F658" s="136" t="str">
        <f>IFERROR(__xludf.DUMMYFUNCTION("""COMPUTED_VALUE"""),"")</f>
        <v/>
      </c>
      <c r="G658" s="106" t="str">
        <f>IFERROR(__xludf.DUMMYFUNCTION("""COMPUTED_VALUE"""),"")</f>
        <v/>
      </c>
      <c r="I658" s="136" t="str">
        <f>IFERROR(__xludf.DUMMYFUNCTION("""COMPUTED_VALUE"""),"")</f>
        <v/>
      </c>
      <c r="J658" s="106" t="str">
        <f>IFERROR(__xludf.DUMMYFUNCTION("""COMPUTED_VALUE"""),"")</f>
        <v/>
      </c>
      <c r="L658" s="136" t="str">
        <f>IFERROR(__xludf.DUMMYFUNCTION("""COMPUTED_VALUE"""),"")</f>
        <v/>
      </c>
      <c r="M658" s="106" t="str">
        <f>IFERROR(__xludf.DUMMYFUNCTION("""COMPUTED_VALUE"""),"")</f>
        <v/>
      </c>
      <c r="O658" s="136" t="str">
        <f>IFERROR(__xludf.DUMMYFUNCTION("""COMPUTED_VALUE"""),"")</f>
        <v/>
      </c>
      <c r="P658" s="106" t="str">
        <f>IFERROR(__xludf.DUMMYFUNCTION("""COMPUTED_VALUE"""),"")</f>
        <v/>
      </c>
      <c r="R658" s="136" t="str">
        <f>IFERROR(__xludf.DUMMYFUNCTION("""COMPUTED_VALUE"""),"")</f>
        <v/>
      </c>
      <c r="S658" s="106" t="str">
        <f>IFERROR(__xludf.DUMMYFUNCTION("""COMPUTED_VALUE"""),"")</f>
        <v/>
      </c>
    </row>
    <row r="659">
      <c r="A659" s="136" t="s">
        <v>133</v>
      </c>
      <c r="B659" s="136"/>
      <c r="C659" s="136" t="s">
        <v>133</v>
      </c>
      <c r="D659" s="136"/>
      <c r="E659" s="106"/>
      <c r="F659" s="136" t="str">
        <f>IFERROR(__xludf.DUMMYFUNCTION("""COMPUTED_VALUE"""),"")</f>
        <v/>
      </c>
      <c r="G659" s="106" t="str">
        <f>IFERROR(__xludf.DUMMYFUNCTION("""COMPUTED_VALUE"""),"")</f>
        <v/>
      </c>
      <c r="I659" s="136" t="str">
        <f>IFERROR(__xludf.DUMMYFUNCTION("""COMPUTED_VALUE"""),"")</f>
        <v/>
      </c>
      <c r="J659" s="106" t="str">
        <f>IFERROR(__xludf.DUMMYFUNCTION("""COMPUTED_VALUE"""),"")</f>
        <v/>
      </c>
      <c r="L659" s="136" t="str">
        <f>IFERROR(__xludf.DUMMYFUNCTION("""COMPUTED_VALUE"""),"")</f>
        <v/>
      </c>
      <c r="M659" s="106" t="str">
        <f>IFERROR(__xludf.DUMMYFUNCTION("""COMPUTED_VALUE"""),"")</f>
        <v/>
      </c>
      <c r="O659" s="136" t="str">
        <f>IFERROR(__xludf.DUMMYFUNCTION("""COMPUTED_VALUE"""),"")</f>
        <v/>
      </c>
      <c r="P659" s="106" t="str">
        <f>IFERROR(__xludf.DUMMYFUNCTION("""COMPUTED_VALUE"""),"")</f>
        <v/>
      </c>
      <c r="R659" s="136" t="str">
        <f>IFERROR(__xludf.DUMMYFUNCTION("""COMPUTED_VALUE"""),"")</f>
        <v/>
      </c>
      <c r="S659" s="106" t="str">
        <f>IFERROR(__xludf.DUMMYFUNCTION("""COMPUTED_VALUE"""),"")</f>
        <v/>
      </c>
    </row>
    <row r="660">
      <c r="A660" s="136" t="s">
        <v>133</v>
      </c>
      <c r="B660" s="136"/>
      <c r="C660" s="136" t="s">
        <v>133</v>
      </c>
      <c r="D660" s="136"/>
      <c r="E660" s="106"/>
      <c r="F660" s="136" t="str">
        <f>IFERROR(__xludf.DUMMYFUNCTION("""COMPUTED_VALUE"""),"")</f>
        <v/>
      </c>
      <c r="G660" s="106" t="str">
        <f>IFERROR(__xludf.DUMMYFUNCTION("""COMPUTED_VALUE"""),"")</f>
        <v/>
      </c>
      <c r="I660" s="136" t="str">
        <f>IFERROR(__xludf.DUMMYFUNCTION("""COMPUTED_VALUE"""),"")</f>
        <v/>
      </c>
      <c r="J660" s="106" t="str">
        <f>IFERROR(__xludf.DUMMYFUNCTION("""COMPUTED_VALUE"""),"")</f>
        <v/>
      </c>
      <c r="L660" s="136" t="str">
        <f>IFERROR(__xludf.DUMMYFUNCTION("""COMPUTED_VALUE"""),"")</f>
        <v/>
      </c>
      <c r="M660" s="106" t="str">
        <f>IFERROR(__xludf.DUMMYFUNCTION("""COMPUTED_VALUE"""),"")</f>
        <v/>
      </c>
      <c r="O660" s="136" t="str">
        <f>IFERROR(__xludf.DUMMYFUNCTION("""COMPUTED_VALUE"""),"")</f>
        <v/>
      </c>
      <c r="P660" s="106" t="str">
        <f>IFERROR(__xludf.DUMMYFUNCTION("""COMPUTED_VALUE"""),"")</f>
        <v/>
      </c>
      <c r="R660" s="136" t="str">
        <f>IFERROR(__xludf.DUMMYFUNCTION("""COMPUTED_VALUE"""),"")</f>
        <v/>
      </c>
      <c r="S660" s="106" t="str">
        <f>IFERROR(__xludf.DUMMYFUNCTION("""COMPUTED_VALUE"""),"")</f>
        <v/>
      </c>
    </row>
    <row r="661">
      <c r="A661" s="136" t="s">
        <v>133</v>
      </c>
      <c r="B661" s="136"/>
      <c r="C661" s="136" t="s">
        <v>133</v>
      </c>
      <c r="D661" s="136"/>
      <c r="E661" s="106"/>
      <c r="F661" s="136" t="str">
        <f>IFERROR(__xludf.DUMMYFUNCTION("""COMPUTED_VALUE"""),"")</f>
        <v/>
      </c>
      <c r="G661" s="106" t="str">
        <f>IFERROR(__xludf.DUMMYFUNCTION("""COMPUTED_VALUE"""),"")</f>
        <v/>
      </c>
      <c r="I661" s="136" t="str">
        <f>IFERROR(__xludf.DUMMYFUNCTION("""COMPUTED_VALUE"""),"")</f>
        <v/>
      </c>
      <c r="J661" s="106" t="str">
        <f>IFERROR(__xludf.DUMMYFUNCTION("""COMPUTED_VALUE"""),"")</f>
        <v/>
      </c>
      <c r="L661" s="136" t="str">
        <f>IFERROR(__xludf.DUMMYFUNCTION("""COMPUTED_VALUE"""),"")</f>
        <v/>
      </c>
      <c r="M661" s="106" t="str">
        <f>IFERROR(__xludf.DUMMYFUNCTION("""COMPUTED_VALUE"""),"")</f>
        <v/>
      </c>
      <c r="O661" s="136" t="str">
        <f>IFERROR(__xludf.DUMMYFUNCTION("""COMPUTED_VALUE"""),"")</f>
        <v/>
      </c>
      <c r="P661" s="106" t="str">
        <f>IFERROR(__xludf.DUMMYFUNCTION("""COMPUTED_VALUE"""),"")</f>
        <v/>
      </c>
      <c r="R661" s="136" t="str">
        <f>IFERROR(__xludf.DUMMYFUNCTION("""COMPUTED_VALUE"""),"")</f>
        <v/>
      </c>
      <c r="S661" s="106" t="str">
        <f>IFERROR(__xludf.DUMMYFUNCTION("""COMPUTED_VALUE"""),"")</f>
        <v/>
      </c>
    </row>
    <row r="662">
      <c r="A662" s="136" t="s">
        <v>133</v>
      </c>
      <c r="B662" s="136"/>
      <c r="C662" s="136" t="s">
        <v>133</v>
      </c>
      <c r="D662" s="136"/>
      <c r="E662" s="106"/>
      <c r="F662" s="136" t="str">
        <f>IFERROR(__xludf.DUMMYFUNCTION("""COMPUTED_VALUE"""),"")</f>
        <v/>
      </c>
      <c r="G662" s="106" t="str">
        <f>IFERROR(__xludf.DUMMYFUNCTION("""COMPUTED_VALUE"""),"")</f>
        <v/>
      </c>
      <c r="I662" s="136" t="str">
        <f>IFERROR(__xludf.DUMMYFUNCTION("""COMPUTED_VALUE"""),"")</f>
        <v/>
      </c>
      <c r="J662" s="106" t="str">
        <f>IFERROR(__xludf.DUMMYFUNCTION("""COMPUTED_VALUE"""),"")</f>
        <v/>
      </c>
      <c r="L662" s="136" t="str">
        <f>IFERROR(__xludf.DUMMYFUNCTION("""COMPUTED_VALUE"""),"")</f>
        <v/>
      </c>
      <c r="M662" s="106" t="str">
        <f>IFERROR(__xludf.DUMMYFUNCTION("""COMPUTED_VALUE"""),"")</f>
        <v/>
      </c>
      <c r="O662" s="136" t="str">
        <f>IFERROR(__xludf.DUMMYFUNCTION("""COMPUTED_VALUE"""),"")</f>
        <v/>
      </c>
      <c r="P662" s="106" t="str">
        <f>IFERROR(__xludf.DUMMYFUNCTION("""COMPUTED_VALUE"""),"")</f>
        <v/>
      </c>
      <c r="R662" s="136" t="str">
        <f>IFERROR(__xludf.DUMMYFUNCTION("""COMPUTED_VALUE"""),"")</f>
        <v/>
      </c>
      <c r="S662" s="106" t="str">
        <f>IFERROR(__xludf.DUMMYFUNCTION("""COMPUTED_VALUE"""),"")</f>
        <v/>
      </c>
    </row>
    <row r="663">
      <c r="A663" s="136" t="s">
        <v>133</v>
      </c>
      <c r="B663" s="136"/>
      <c r="C663" s="136" t="s">
        <v>133</v>
      </c>
      <c r="D663" s="136"/>
      <c r="E663" s="106"/>
      <c r="F663" s="136" t="str">
        <f>IFERROR(__xludf.DUMMYFUNCTION("""COMPUTED_VALUE"""),"")</f>
        <v/>
      </c>
      <c r="G663" s="106" t="str">
        <f>IFERROR(__xludf.DUMMYFUNCTION("""COMPUTED_VALUE"""),"")</f>
        <v/>
      </c>
      <c r="I663" s="136" t="str">
        <f>IFERROR(__xludf.DUMMYFUNCTION("""COMPUTED_VALUE"""),"")</f>
        <v/>
      </c>
      <c r="J663" s="106" t="str">
        <f>IFERROR(__xludf.DUMMYFUNCTION("""COMPUTED_VALUE"""),"")</f>
        <v/>
      </c>
      <c r="L663" s="136" t="str">
        <f>IFERROR(__xludf.DUMMYFUNCTION("""COMPUTED_VALUE"""),"")</f>
        <v/>
      </c>
      <c r="M663" s="106" t="str">
        <f>IFERROR(__xludf.DUMMYFUNCTION("""COMPUTED_VALUE"""),"")</f>
        <v/>
      </c>
      <c r="O663" s="136" t="str">
        <f>IFERROR(__xludf.DUMMYFUNCTION("""COMPUTED_VALUE"""),"")</f>
        <v/>
      </c>
      <c r="P663" s="106" t="str">
        <f>IFERROR(__xludf.DUMMYFUNCTION("""COMPUTED_VALUE"""),"")</f>
        <v/>
      </c>
      <c r="R663" s="136" t="str">
        <f>IFERROR(__xludf.DUMMYFUNCTION("""COMPUTED_VALUE"""),"")</f>
        <v/>
      </c>
      <c r="S663" s="106" t="str">
        <f>IFERROR(__xludf.DUMMYFUNCTION("""COMPUTED_VALUE"""),"")</f>
        <v/>
      </c>
    </row>
    <row r="664">
      <c r="A664" s="136" t="s">
        <v>133</v>
      </c>
      <c r="B664" s="136"/>
      <c r="C664" s="136" t="s">
        <v>133</v>
      </c>
      <c r="D664" s="136"/>
      <c r="E664" s="106"/>
      <c r="F664" s="136" t="str">
        <f>IFERROR(__xludf.DUMMYFUNCTION("""COMPUTED_VALUE"""),"")</f>
        <v/>
      </c>
      <c r="G664" s="106" t="str">
        <f>IFERROR(__xludf.DUMMYFUNCTION("""COMPUTED_VALUE"""),"")</f>
        <v/>
      </c>
      <c r="I664" s="136" t="str">
        <f>IFERROR(__xludf.DUMMYFUNCTION("""COMPUTED_VALUE"""),"")</f>
        <v/>
      </c>
      <c r="J664" s="106" t="str">
        <f>IFERROR(__xludf.DUMMYFUNCTION("""COMPUTED_VALUE"""),"")</f>
        <v/>
      </c>
      <c r="L664" s="136" t="str">
        <f>IFERROR(__xludf.DUMMYFUNCTION("""COMPUTED_VALUE"""),"")</f>
        <v/>
      </c>
      <c r="M664" s="106" t="str">
        <f>IFERROR(__xludf.DUMMYFUNCTION("""COMPUTED_VALUE"""),"")</f>
        <v/>
      </c>
      <c r="O664" s="136" t="str">
        <f>IFERROR(__xludf.DUMMYFUNCTION("""COMPUTED_VALUE"""),"")</f>
        <v/>
      </c>
      <c r="P664" s="106" t="str">
        <f>IFERROR(__xludf.DUMMYFUNCTION("""COMPUTED_VALUE"""),"")</f>
        <v/>
      </c>
      <c r="R664" s="136" t="str">
        <f>IFERROR(__xludf.DUMMYFUNCTION("""COMPUTED_VALUE"""),"")</f>
        <v/>
      </c>
      <c r="S664" s="106" t="str">
        <f>IFERROR(__xludf.DUMMYFUNCTION("""COMPUTED_VALUE"""),"")</f>
        <v/>
      </c>
    </row>
    <row r="665">
      <c r="A665" s="136" t="s">
        <v>133</v>
      </c>
      <c r="B665" s="136"/>
      <c r="C665" s="136" t="s">
        <v>133</v>
      </c>
      <c r="D665" s="136"/>
      <c r="E665" s="106"/>
      <c r="F665" s="136" t="str">
        <f>IFERROR(__xludf.DUMMYFUNCTION("""COMPUTED_VALUE"""),"")</f>
        <v/>
      </c>
      <c r="G665" s="106" t="str">
        <f>IFERROR(__xludf.DUMMYFUNCTION("""COMPUTED_VALUE"""),"")</f>
        <v/>
      </c>
      <c r="I665" s="136" t="str">
        <f>IFERROR(__xludf.DUMMYFUNCTION("""COMPUTED_VALUE"""),"")</f>
        <v/>
      </c>
      <c r="J665" s="106" t="str">
        <f>IFERROR(__xludf.DUMMYFUNCTION("""COMPUTED_VALUE"""),"")</f>
        <v/>
      </c>
      <c r="L665" s="136" t="str">
        <f>IFERROR(__xludf.DUMMYFUNCTION("""COMPUTED_VALUE"""),"")</f>
        <v/>
      </c>
      <c r="M665" s="106" t="str">
        <f>IFERROR(__xludf.DUMMYFUNCTION("""COMPUTED_VALUE"""),"")</f>
        <v/>
      </c>
      <c r="O665" s="136" t="str">
        <f>IFERROR(__xludf.DUMMYFUNCTION("""COMPUTED_VALUE"""),"")</f>
        <v/>
      </c>
      <c r="P665" s="106" t="str">
        <f>IFERROR(__xludf.DUMMYFUNCTION("""COMPUTED_VALUE"""),"")</f>
        <v/>
      </c>
      <c r="R665" s="136" t="str">
        <f>IFERROR(__xludf.DUMMYFUNCTION("""COMPUTED_VALUE"""),"")</f>
        <v/>
      </c>
      <c r="S665" s="106" t="str">
        <f>IFERROR(__xludf.DUMMYFUNCTION("""COMPUTED_VALUE"""),"")</f>
        <v/>
      </c>
    </row>
    <row r="666">
      <c r="A666" s="136" t="s">
        <v>133</v>
      </c>
      <c r="B666" s="136"/>
      <c r="C666" s="136" t="s">
        <v>133</v>
      </c>
      <c r="D666" s="136"/>
      <c r="E666" s="106"/>
      <c r="F666" s="136" t="str">
        <f>IFERROR(__xludf.DUMMYFUNCTION("""COMPUTED_VALUE"""),"")</f>
        <v/>
      </c>
      <c r="G666" s="106" t="str">
        <f>IFERROR(__xludf.DUMMYFUNCTION("""COMPUTED_VALUE"""),"")</f>
        <v/>
      </c>
      <c r="I666" s="136" t="str">
        <f>IFERROR(__xludf.DUMMYFUNCTION("""COMPUTED_VALUE"""),"")</f>
        <v/>
      </c>
      <c r="J666" s="106" t="str">
        <f>IFERROR(__xludf.DUMMYFUNCTION("""COMPUTED_VALUE"""),"")</f>
        <v/>
      </c>
      <c r="L666" s="136" t="str">
        <f>IFERROR(__xludf.DUMMYFUNCTION("""COMPUTED_VALUE"""),"")</f>
        <v/>
      </c>
      <c r="M666" s="106" t="str">
        <f>IFERROR(__xludf.DUMMYFUNCTION("""COMPUTED_VALUE"""),"")</f>
        <v/>
      </c>
      <c r="O666" s="136" t="str">
        <f>IFERROR(__xludf.DUMMYFUNCTION("""COMPUTED_VALUE"""),"")</f>
        <v/>
      </c>
      <c r="P666" s="106" t="str">
        <f>IFERROR(__xludf.DUMMYFUNCTION("""COMPUTED_VALUE"""),"")</f>
        <v/>
      </c>
      <c r="R666" s="136" t="str">
        <f>IFERROR(__xludf.DUMMYFUNCTION("""COMPUTED_VALUE"""),"")</f>
        <v/>
      </c>
      <c r="S666" s="106" t="str">
        <f>IFERROR(__xludf.DUMMYFUNCTION("""COMPUTED_VALUE"""),"")</f>
        <v/>
      </c>
    </row>
    <row r="667">
      <c r="A667" s="136" t="s">
        <v>133</v>
      </c>
      <c r="B667" s="136"/>
      <c r="C667" s="136" t="s">
        <v>133</v>
      </c>
      <c r="D667" s="136"/>
      <c r="E667" s="106"/>
      <c r="F667" s="136" t="str">
        <f>IFERROR(__xludf.DUMMYFUNCTION("""COMPUTED_VALUE"""),"")</f>
        <v/>
      </c>
      <c r="G667" s="106" t="str">
        <f>IFERROR(__xludf.DUMMYFUNCTION("""COMPUTED_VALUE"""),"")</f>
        <v/>
      </c>
      <c r="I667" s="136" t="str">
        <f>IFERROR(__xludf.DUMMYFUNCTION("""COMPUTED_VALUE"""),"")</f>
        <v/>
      </c>
      <c r="J667" s="106" t="str">
        <f>IFERROR(__xludf.DUMMYFUNCTION("""COMPUTED_VALUE"""),"")</f>
        <v/>
      </c>
      <c r="L667" s="136" t="str">
        <f>IFERROR(__xludf.DUMMYFUNCTION("""COMPUTED_VALUE"""),"")</f>
        <v/>
      </c>
      <c r="M667" s="106" t="str">
        <f>IFERROR(__xludf.DUMMYFUNCTION("""COMPUTED_VALUE"""),"")</f>
        <v/>
      </c>
      <c r="O667" s="136" t="str">
        <f>IFERROR(__xludf.DUMMYFUNCTION("""COMPUTED_VALUE"""),"")</f>
        <v/>
      </c>
      <c r="P667" s="106" t="str">
        <f>IFERROR(__xludf.DUMMYFUNCTION("""COMPUTED_VALUE"""),"")</f>
        <v/>
      </c>
      <c r="R667" s="136" t="str">
        <f>IFERROR(__xludf.DUMMYFUNCTION("""COMPUTED_VALUE"""),"")</f>
        <v/>
      </c>
      <c r="S667" s="106" t="str">
        <f>IFERROR(__xludf.DUMMYFUNCTION("""COMPUTED_VALUE"""),"")</f>
        <v/>
      </c>
    </row>
    <row r="668">
      <c r="A668" s="136" t="s">
        <v>133</v>
      </c>
      <c r="B668" s="136"/>
      <c r="C668" s="136" t="s">
        <v>133</v>
      </c>
      <c r="D668" s="136"/>
      <c r="E668" s="106"/>
      <c r="F668" s="136" t="str">
        <f>IFERROR(__xludf.DUMMYFUNCTION("""COMPUTED_VALUE"""),"")</f>
        <v/>
      </c>
      <c r="G668" s="106" t="str">
        <f>IFERROR(__xludf.DUMMYFUNCTION("""COMPUTED_VALUE"""),"")</f>
        <v/>
      </c>
      <c r="I668" s="136" t="str">
        <f>IFERROR(__xludf.DUMMYFUNCTION("""COMPUTED_VALUE"""),"")</f>
        <v/>
      </c>
      <c r="J668" s="106" t="str">
        <f>IFERROR(__xludf.DUMMYFUNCTION("""COMPUTED_VALUE"""),"")</f>
        <v/>
      </c>
      <c r="L668" s="136" t="str">
        <f>IFERROR(__xludf.DUMMYFUNCTION("""COMPUTED_VALUE"""),"")</f>
        <v/>
      </c>
      <c r="M668" s="106" t="str">
        <f>IFERROR(__xludf.DUMMYFUNCTION("""COMPUTED_VALUE"""),"")</f>
        <v/>
      </c>
      <c r="O668" s="136" t="str">
        <f>IFERROR(__xludf.DUMMYFUNCTION("""COMPUTED_VALUE"""),"")</f>
        <v/>
      </c>
      <c r="P668" s="106" t="str">
        <f>IFERROR(__xludf.DUMMYFUNCTION("""COMPUTED_VALUE"""),"")</f>
        <v/>
      </c>
      <c r="R668" s="136" t="str">
        <f>IFERROR(__xludf.DUMMYFUNCTION("""COMPUTED_VALUE"""),"")</f>
        <v/>
      </c>
      <c r="S668" s="106" t="str">
        <f>IFERROR(__xludf.DUMMYFUNCTION("""COMPUTED_VALUE"""),"")</f>
        <v/>
      </c>
    </row>
    <row r="669">
      <c r="A669" s="136" t="s">
        <v>133</v>
      </c>
      <c r="B669" s="136"/>
      <c r="C669" s="136" t="s">
        <v>133</v>
      </c>
      <c r="D669" s="136"/>
      <c r="E669" s="106"/>
      <c r="F669" s="136" t="str">
        <f>IFERROR(__xludf.DUMMYFUNCTION("""COMPUTED_VALUE"""),"")</f>
        <v/>
      </c>
      <c r="G669" s="106" t="str">
        <f>IFERROR(__xludf.DUMMYFUNCTION("""COMPUTED_VALUE"""),"")</f>
        <v/>
      </c>
      <c r="I669" s="136" t="str">
        <f>IFERROR(__xludf.DUMMYFUNCTION("""COMPUTED_VALUE"""),"")</f>
        <v/>
      </c>
      <c r="J669" s="106" t="str">
        <f>IFERROR(__xludf.DUMMYFUNCTION("""COMPUTED_VALUE"""),"")</f>
        <v/>
      </c>
      <c r="L669" s="136" t="str">
        <f>IFERROR(__xludf.DUMMYFUNCTION("""COMPUTED_VALUE"""),"")</f>
        <v/>
      </c>
      <c r="M669" s="106" t="str">
        <f>IFERROR(__xludf.DUMMYFUNCTION("""COMPUTED_VALUE"""),"")</f>
        <v/>
      </c>
      <c r="O669" s="136" t="str">
        <f>IFERROR(__xludf.DUMMYFUNCTION("""COMPUTED_VALUE"""),"")</f>
        <v/>
      </c>
      <c r="P669" s="106" t="str">
        <f>IFERROR(__xludf.DUMMYFUNCTION("""COMPUTED_VALUE"""),"")</f>
        <v/>
      </c>
      <c r="R669" s="136" t="str">
        <f>IFERROR(__xludf.DUMMYFUNCTION("""COMPUTED_VALUE"""),"")</f>
        <v/>
      </c>
      <c r="S669" s="106" t="str">
        <f>IFERROR(__xludf.DUMMYFUNCTION("""COMPUTED_VALUE"""),"")</f>
        <v/>
      </c>
    </row>
    <row r="670">
      <c r="A670" s="136" t="s">
        <v>133</v>
      </c>
      <c r="B670" s="136"/>
      <c r="C670" s="136" t="s">
        <v>133</v>
      </c>
      <c r="D670" s="136"/>
      <c r="E670" s="106"/>
      <c r="F670" s="136" t="str">
        <f>IFERROR(__xludf.DUMMYFUNCTION("""COMPUTED_VALUE"""),"")</f>
        <v/>
      </c>
      <c r="G670" s="106" t="str">
        <f>IFERROR(__xludf.DUMMYFUNCTION("""COMPUTED_VALUE"""),"")</f>
        <v/>
      </c>
      <c r="I670" s="136" t="str">
        <f>IFERROR(__xludf.DUMMYFUNCTION("""COMPUTED_VALUE"""),"")</f>
        <v/>
      </c>
      <c r="J670" s="106" t="str">
        <f>IFERROR(__xludf.DUMMYFUNCTION("""COMPUTED_VALUE"""),"")</f>
        <v/>
      </c>
      <c r="L670" s="136" t="str">
        <f>IFERROR(__xludf.DUMMYFUNCTION("""COMPUTED_VALUE"""),"")</f>
        <v/>
      </c>
      <c r="M670" s="106" t="str">
        <f>IFERROR(__xludf.DUMMYFUNCTION("""COMPUTED_VALUE"""),"")</f>
        <v/>
      </c>
      <c r="O670" s="136" t="str">
        <f>IFERROR(__xludf.DUMMYFUNCTION("""COMPUTED_VALUE"""),"")</f>
        <v/>
      </c>
      <c r="P670" s="106" t="str">
        <f>IFERROR(__xludf.DUMMYFUNCTION("""COMPUTED_VALUE"""),"")</f>
        <v/>
      </c>
      <c r="R670" s="136" t="str">
        <f>IFERROR(__xludf.DUMMYFUNCTION("""COMPUTED_VALUE"""),"")</f>
        <v/>
      </c>
      <c r="S670" s="106" t="str">
        <f>IFERROR(__xludf.DUMMYFUNCTION("""COMPUTED_VALUE"""),"")</f>
        <v/>
      </c>
    </row>
    <row r="671">
      <c r="A671" s="136" t="s">
        <v>133</v>
      </c>
      <c r="B671" s="136"/>
      <c r="C671" s="136" t="s">
        <v>133</v>
      </c>
      <c r="D671" s="136"/>
      <c r="E671" s="106"/>
      <c r="F671" s="136" t="str">
        <f>IFERROR(__xludf.DUMMYFUNCTION("""COMPUTED_VALUE"""),"")</f>
        <v/>
      </c>
      <c r="G671" s="106" t="str">
        <f>IFERROR(__xludf.DUMMYFUNCTION("""COMPUTED_VALUE"""),"")</f>
        <v/>
      </c>
      <c r="I671" s="136" t="str">
        <f>IFERROR(__xludf.DUMMYFUNCTION("""COMPUTED_VALUE"""),"")</f>
        <v/>
      </c>
      <c r="J671" s="106" t="str">
        <f>IFERROR(__xludf.DUMMYFUNCTION("""COMPUTED_VALUE"""),"")</f>
        <v/>
      </c>
      <c r="L671" s="136" t="str">
        <f>IFERROR(__xludf.DUMMYFUNCTION("""COMPUTED_VALUE"""),"")</f>
        <v/>
      </c>
      <c r="M671" s="106" t="str">
        <f>IFERROR(__xludf.DUMMYFUNCTION("""COMPUTED_VALUE"""),"")</f>
        <v/>
      </c>
      <c r="O671" s="136" t="str">
        <f>IFERROR(__xludf.DUMMYFUNCTION("""COMPUTED_VALUE"""),"")</f>
        <v/>
      </c>
      <c r="P671" s="106" t="str">
        <f>IFERROR(__xludf.DUMMYFUNCTION("""COMPUTED_VALUE"""),"")</f>
        <v/>
      </c>
      <c r="R671" s="136" t="str">
        <f>IFERROR(__xludf.DUMMYFUNCTION("""COMPUTED_VALUE"""),"")</f>
        <v/>
      </c>
      <c r="S671" s="106" t="str">
        <f>IFERROR(__xludf.DUMMYFUNCTION("""COMPUTED_VALUE"""),"")</f>
        <v/>
      </c>
    </row>
    <row r="672">
      <c r="A672" s="136" t="s">
        <v>133</v>
      </c>
      <c r="B672" s="136"/>
      <c r="C672" s="136" t="s">
        <v>133</v>
      </c>
      <c r="D672" s="136"/>
      <c r="E672" s="106"/>
      <c r="F672" s="136" t="str">
        <f>IFERROR(__xludf.DUMMYFUNCTION("""COMPUTED_VALUE"""),"")</f>
        <v/>
      </c>
      <c r="G672" s="106" t="str">
        <f>IFERROR(__xludf.DUMMYFUNCTION("""COMPUTED_VALUE"""),"")</f>
        <v/>
      </c>
      <c r="I672" s="136" t="str">
        <f>IFERROR(__xludf.DUMMYFUNCTION("""COMPUTED_VALUE"""),"")</f>
        <v/>
      </c>
      <c r="J672" s="106" t="str">
        <f>IFERROR(__xludf.DUMMYFUNCTION("""COMPUTED_VALUE"""),"")</f>
        <v/>
      </c>
      <c r="L672" s="136" t="str">
        <f>IFERROR(__xludf.DUMMYFUNCTION("""COMPUTED_VALUE"""),"")</f>
        <v/>
      </c>
      <c r="M672" s="106" t="str">
        <f>IFERROR(__xludf.DUMMYFUNCTION("""COMPUTED_VALUE"""),"")</f>
        <v/>
      </c>
      <c r="O672" s="136" t="str">
        <f>IFERROR(__xludf.DUMMYFUNCTION("""COMPUTED_VALUE"""),"")</f>
        <v/>
      </c>
      <c r="P672" s="106" t="str">
        <f>IFERROR(__xludf.DUMMYFUNCTION("""COMPUTED_VALUE"""),"")</f>
        <v/>
      </c>
      <c r="R672" s="136" t="str">
        <f>IFERROR(__xludf.DUMMYFUNCTION("""COMPUTED_VALUE"""),"")</f>
        <v/>
      </c>
      <c r="S672" s="106" t="str">
        <f>IFERROR(__xludf.DUMMYFUNCTION("""COMPUTED_VALUE"""),"")</f>
        <v/>
      </c>
    </row>
    <row r="673">
      <c r="A673" s="136" t="s">
        <v>133</v>
      </c>
      <c r="B673" s="136"/>
      <c r="C673" s="136" t="s">
        <v>133</v>
      </c>
      <c r="D673" s="136"/>
      <c r="E673" s="106"/>
      <c r="F673" s="136" t="str">
        <f>IFERROR(__xludf.DUMMYFUNCTION("""COMPUTED_VALUE"""),"")</f>
        <v/>
      </c>
      <c r="G673" s="106" t="str">
        <f>IFERROR(__xludf.DUMMYFUNCTION("""COMPUTED_VALUE"""),"")</f>
        <v/>
      </c>
      <c r="I673" s="136" t="str">
        <f>IFERROR(__xludf.DUMMYFUNCTION("""COMPUTED_VALUE"""),"")</f>
        <v/>
      </c>
      <c r="J673" s="106" t="str">
        <f>IFERROR(__xludf.DUMMYFUNCTION("""COMPUTED_VALUE"""),"")</f>
        <v/>
      </c>
      <c r="L673" s="136" t="str">
        <f>IFERROR(__xludf.DUMMYFUNCTION("""COMPUTED_VALUE"""),"")</f>
        <v/>
      </c>
      <c r="M673" s="106" t="str">
        <f>IFERROR(__xludf.DUMMYFUNCTION("""COMPUTED_VALUE"""),"")</f>
        <v/>
      </c>
      <c r="O673" s="136" t="str">
        <f>IFERROR(__xludf.DUMMYFUNCTION("""COMPUTED_VALUE"""),"")</f>
        <v/>
      </c>
      <c r="P673" s="106" t="str">
        <f>IFERROR(__xludf.DUMMYFUNCTION("""COMPUTED_VALUE"""),"")</f>
        <v/>
      </c>
      <c r="R673" s="136" t="str">
        <f>IFERROR(__xludf.DUMMYFUNCTION("""COMPUTED_VALUE"""),"")</f>
        <v/>
      </c>
      <c r="S673" s="106" t="str">
        <f>IFERROR(__xludf.DUMMYFUNCTION("""COMPUTED_VALUE"""),"")</f>
        <v/>
      </c>
    </row>
    <row r="674">
      <c r="A674" s="136" t="s">
        <v>133</v>
      </c>
      <c r="B674" s="136"/>
      <c r="C674" s="136" t="s">
        <v>133</v>
      </c>
      <c r="D674" s="136"/>
      <c r="E674" s="106"/>
      <c r="F674" s="136" t="str">
        <f>IFERROR(__xludf.DUMMYFUNCTION("""COMPUTED_VALUE"""),"")</f>
        <v/>
      </c>
      <c r="G674" s="106" t="str">
        <f>IFERROR(__xludf.DUMMYFUNCTION("""COMPUTED_VALUE"""),"")</f>
        <v/>
      </c>
      <c r="I674" s="136" t="str">
        <f>IFERROR(__xludf.DUMMYFUNCTION("""COMPUTED_VALUE"""),"")</f>
        <v/>
      </c>
      <c r="J674" s="106" t="str">
        <f>IFERROR(__xludf.DUMMYFUNCTION("""COMPUTED_VALUE"""),"")</f>
        <v/>
      </c>
      <c r="L674" s="136" t="str">
        <f>IFERROR(__xludf.DUMMYFUNCTION("""COMPUTED_VALUE"""),"")</f>
        <v/>
      </c>
      <c r="M674" s="106" t="str">
        <f>IFERROR(__xludf.DUMMYFUNCTION("""COMPUTED_VALUE"""),"")</f>
        <v/>
      </c>
      <c r="O674" s="136" t="str">
        <f>IFERROR(__xludf.DUMMYFUNCTION("""COMPUTED_VALUE"""),"")</f>
        <v/>
      </c>
      <c r="P674" s="106" t="str">
        <f>IFERROR(__xludf.DUMMYFUNCTION("""COMPUTED_VALUE"""),"")</f>
        <v/>
      </c>
      <c r="R674" s="136" t="str">
        <f>IFERROR(__xludf.DUMMYFUNCTION("""COMPUTED_VALUE"""),"")</f>
        <v/>
      </c>
      <c r="S674" s="106" t="str">
        <f>IFERROR(__xludf.DUMMYFUNCTION("""COMPUTED_VALUE"""),"")</f>
        <v/>
      </c>
    </row>
    <row r="675">
      <c r="A675" s="136" t="s">
        <v>133</v>
      </c>
      <c r="B675" s="136"/>
      <c r="C675" s="136" t="s">
        <v>133</v>
      </c>
      <c r="D675" s="136"/>
      <c r="E675" s="106"/>
      <c r="F675" s="136" t="str">
        <f>IFERROR(__xludf.DUMMYFUNCTION("""COMPUTED_VALUE"""),"")</f>
        <v/>
      </c>
      <c r="G675" s="106" t="str">
        <f>IFERROR(__xludf.DUMMYFUNCTION("""COMPUTED_VALUE"""),"")</f>
        <v/>
      </c>
      <c r="I675" s="136" t="str">
        <f>IFERROR(__xludf.DUMMYFUNCTION("""COMPUTED_VALUE"""),"")</f>
        <v/>
      </c>
      <c r="J675" s="106" t="str">
        <f>IFERROR(__xludf.DUMMYFUNCTION("""COMPUTED_VALUE"""),"")</f>
        <v/>
      </c>
      <c r="L675" s="136" t="str">
        <f>IFERROR(__xludf.DUMMYFUNCTION("""COMPUTED_VALUE"""),"")</f>
        <v/>
      </c>
      <c r="M675" s="106" t="str">
        <f>IFERROR(__xludf.DUMMYFUNCTION("""COMPUTED_VALUE"""),"")</f>
        <v/>
      </c>
      <c r="O675" s="136" t="str">
        <f>IFERROR(__xludf.DUMMYFUNCTION("""COMPUTED_VALUE"""),"")</f>
        <v/>
      </c>
      <c r="P675" s="106" t="str">
        <f>IFERROR(__xludf.DUMMYFUNCTION("""COMPUTED_VALUE"""),"")</f>
        <v/>
      </c>
      <c r="R675" s="136" t="str">
        <f>IFERROR(__xludf.DUMMYFUNCTION("""COMPUTED_VALUE"""),"")</f>
        <v/>
      </c>
      <c r="S675" s="106" t="str">
        <f>IFERROR(__xludf.DUMMYFUNCTION("""COMPUTED_VALUE"""),"")</f>
        <v/>
      </c>
    </row>
    <row r="676">
      <c r="A676" s="136" t="s">
        <v>133</v>
      </c>
      <c r="B676" s="136"/>
      <c r="C676" s="136" t="s">
        <v>133</v>
      </c>
      <c r="D676" s="136"/>
      <c r="E676" s="106"/>
      <c r="F676" s="136" t="str">
        <f>IFERROR(__xludf.DUMMYFUNCTION("""COMPUTED_VALUE"""),"")</f>
        <v/>
      </c>
      <c r="G676" s="106" t="str">
        <f>IFERROR(__xludf.DUMMYFUNCTION("""COMPUTED_VALUE"""),"")</f>
        <v/>
      </c>
      <c r="I676" s="136" t="str">
        <f>IFERROR(__xludf.DUMMYFUNCTION("""COMPUTED_VALUE"""),"")</f>
        <v/>
      </c>
      <c r="J676" s="106" t="str">
        <f>IFERROR(__xludf.DUMMYFUNCTION("""COMPUTED_VALUE"""),"")</f>
        <v/>
      </c>
      <c r="L676" s="136" t="str">
        <f>IFERROR(__xludf.DUMMYFUNCTION("""COMPUTED_VALUE"""),"")</f>
        <v/>
      </c>
      <c r="M676" s="106" t="str">
        <f>IFERROR(__xludf.DUMMYFUNCTION("""COMPUTED_VALUE"""),"")</f>
        <v/>
      </c>
      <c r="O676" s="136" t="str">
        <f>IFERROR(__xludf.DUMMYFUNCTION("""COMPUTED_VALUE"""),"")</f>
        <v/>
      </c>
      <c r="P676" s="106" t="str">
        <f>IFERROR(__xludf.DUMMYFUNCTION("""COMPUTED_VALUE"""),"")</f>
        <v/>
      </c>
      <c r="R676" s="136" t="str">
        <f>IFERROR(__xludf.DUMMYFUNCTION("""COMPUTED_VALUE"""),"")</f>
        <v/>
      </c>
      <c r="S676" s="106" t="str">
        <f>IFERROR(__xludf.DUMMYFUNCTION("""COMPUTED_VALUE"""),"")</f>
        <v/>
      </c>
    </row>
    <row r="677">
      <c r="A677" s="136" t="s">
        <v>133</v>
      </c>
      <c r="B677" s="136"/>
      <c r="C677" s="136" t="s">
        <v>133</v>
      </c>
      <c r="D677" s="136"/>
      <c r="E677" s="106"/>
      <c r="F677" s="136" t="str">
        <f>IFERROR(__xludf.DUMMYFUNCTION("""COMPUTED_VALUE"""),"")</f>
        <v/>
      </c>
      <c r="G677" s="106" t="str">
        <f>IFERROR(__xludf.DUMMYFUNCTION("""COMPUTED_VALUE"""),"")</f>
        <v/>
      </c>
      <c r="I677" s="136" t="str">
        <f>IFERROR(__xludf.DUMMYFUNCTION("""COMPUTED_VALUE"""),"")</f>
        <v/>
      </c>
      <c r="J677" s="106" t="str">
        <f>IFERROR(__xludf.DUMMYFUNCTION("""COMPUTED_VALUE"""),"")</f>
        <v/>
      </c>
      <c r="L677" s="136" t="str">
        <f>IFERROR(__xludf.DUMMYFUNCTION("""COMPUTED_VALUE"""),"")</f>
        <v/>
      </c>
      <c r="M677" s="106" t="str">
        <f>IFERROR(__xludf.DUMMYFUNCTION("""COMPUTED_VALUE"""),"")</f>
        <v/>
      </c>
      <c r="O677" s="136" t="str">
        <f>IFERROR(__xludf.DUMMYFUNCTION("""COMPUTED_VALUE"""),"")</f>
        <v/>
      </c>
      <c r="P677" s="106" t="str">
        <f>IFERROR(__xludf.DUMMYFUNCTION("""COMPUTED_VALUE"""),"")</f>
        <v/>
      </c>
      <c r="R677" s="136" t="str">
        <f>IFERROR(__xludf.DUMMYFUNCTION("""COMPUTED_VALUE"""),"")</f>
        <v/>
      </c>
      <c r="S677" s="106" t="str">
        <f>IFERROR(__xludf.DUMMYFUNCTION("""COMPUTED_VALUE"""),"")</f>
        <v/>
      </c>
    </row>
    <row r="678">
      <c r="A678" s="136" t="s">
        <v>133</v>
      </c>
      <c r="B678" s="136"/>
      <c r="C678" s="136" t="s">
        <v>133</v>
      </c>
      <c r="D678" s="136"/>
      <c r="E678" s="106"/>
      <c r="F678" s="136" t="str">
        <f>IFERROR(__xludf.DUMMYFUNCTION("""COMPUTED_VALUE"""),"")</f>
        <v/>
      </c>
      <c r="G678" s="106" t="str">
        <f>IFERROR(__xludf.DUMMYFUNCTION("""COMPUTED_VALUE"""),"")</f>
        <v/>
      </c>
      <c r="I678" s="136" t="str">
        <f>IFERROR(__xludf.DUMMYFUNCTION("""COMPUTED_VALUE"""),"")</f>
        <v/>
      </c>
      <c r="J678" s="106" t="str">
        <f>IFERROR(__xludf.DUMMYFUNCTION("""COMPUTED_VALUE"""),"")</f>
        <v/>
      </c>
      <c r="L678" s="136" t="str">
        <f>IFERROR(__xludf.DUMMYFUNCTION("""COMPUTED_VALUE"""),"")</f>
        <v/>
      </c>
      <c r="M678" s="106" t="str">
        <f>IFERROR(__xludf.DUMMYFUNCTION("""COMPUTED_VALUE"""),"")</f>
        <v/>
      </c>
      <c r="O678" s="136" t="str">
        <f>IFERROR(__xludf.DUMMYFUNCTION("""COMPUTED_VALUE"""),"")</f>
        <v/>
      </c>
      <c r="P678" s="106" t="str">
        <f>IFERROR(__xludf.DUMMYFUNCTION("""COMPUTED_VALUE"""),"")</f>
        <v/>
      </c>
      <c r="R678" s="136" t="str">
        <f>IFERROR(__xludf.DUMMYFUNCTION("""COMPUTED_VALUE"""),"")</f>
        <v/>
      </c>
      <c r="S678" s="106" t="str">
        <f>IFERROR(__xludf.DUMMYFUNCTION("""COMPUTED_VALUE"""),"")</f>
        <v/>
      </c>
    </row>
    <row r="679">
      <c r="A679" s="136" t="s">
        <v>133</v>
      </c>
      <c r="B679" s="136"/>
      <c r="C679" s="136" t="s">
        <v>133</v>
      </c>
      <c r="D679" s="136"/>
      <c r="E679" s="106"/>
      <c r="F679" s="136" t="str">
        <f>IFERROR(__xludf.DUMMYFUNCTION("""COMPUTED_VALUE"""),"")</f>
        <v/>
      </c>
      <c r="G679" s="106" t="str">
        <f>IFERROR(__xludf.DUMMYFUNCTION("""COMPUTED_VALUE"""),"")</f>
        <v/>
      </c>
      <c r="I679" s="136" t="str">
        <f>IFERROR(__xludf.DUMMYFUNCTION("""COMPUTED_VALUE"""),"")</f>
        <v/>
      </c>
      <c r="J679" s="106" t="str">
        <f>IFERROR(__xludf.DUMMYFUNCTION("""COMPUTED_VALUE"""),"")</f>
        <v/>
      </c>
      <c r="L679" s="136" t="str">
        <f>IFERROR(__xludf.DUMMYFUNCTION("""COMPUTED_VALUE"""),"")</f>
        <v/>
      </c>
      <c r="M679" s="106" t="str">
        <f>IFERROR(__xludf.DUMMYFUNCTION("""COMPUTED_VALUE"""),"")</f>
        <v/>
      </c>
      <c r="O679" s="136" t="str">
        <f>IFERROR(__xludf.DUMMYFUNCTION("""COMPUTED_VALUE"""),"")</f>
        <v/>
      </c>
      <c r="P679" s="106" t="str">
        <f>IFERROR(__xludf.DUMMYFUNCTION("""COMPUTED_VALUE"""),"")</f>
        <v/>
      </c>
      <c r="R679" s="136" t="str">
        <f>IFERROR(__xludf.DUMMYFUNCTION("""COMPUTED_VALUE"""),"")</f>
        <v/>
      </c>
      <c r="S679" s="106" t="str">
        <f>IFERROR(__xludf.DUMMYFUNCTION("""COMPUTED_VALUE"""),"")</f>
        <v/>
      </c>
    </row>
    <row r="680">
      <c r="A680" s="136" t="s">
        <v>133</v>
      </c>
      <c r="B680" s="136"/>
      <c r="C680" s="136" t="s">
        <v>133</v>
      </c>
      <c r="D680" s="136"/>
      <c r="E680" s="106"/>
      <c r="F680" s="136" t="str">
        <f>IFERROR(__xludf.DUMMYFUNCTION("""COMPUTED_VALUE"""),"")</f>
        <v/>
      </c>
      <c r="G680" s="106" t="str">
        <f>IFERROR(__xludf.DUMMYFUNCTION("""COMPUTED_VALUE"""),"")</f>
        <v/>
      </c>
      <c r="I680" s="136" t="str">
        <f>IFERROR(__xludf.DUMMYFUNCTION("""COMPUTED_VALUE"""),"")</f>
        <v/>
      </c>
      <c r="J680" s="106" t="str">
        <f>IFERROR(__xludf.DUMMYFUNCTION("""COMPUTED_VALUE"""),"")</f>
        <v/>
      </c>
      <c r="L680" s="136" t="str">
        <f>IFERROR(__xludf.DUMMYFUNCTION("""COMPUTED_VALUE"""),"")</f>
        <v/>
      </c>
      <c r="M680" s="106" t="str">
        <f>IFERROR(__xludf.DUMMYFUNCTION("""COMPUTED_VALUE"""),"")</f>
        <v/>
      </c>
      <c r="O680" s="136" t="str">
        <f>IFERROR(__xludf.DUMMYFUNCTION("""COMPUTED_VALUE"""),"")</f>
        <v/>
      </c>
      <c r="P680" s="106" t="str">
        <f>IFERROR(__xludf.DUMMYFUNCTION("""COMPUTED_VALUE"""),"")</f>
        <v/>
      </c>
      <c r="R680" s="136" t="str">
        <f>IFERROR(__xludf.DUMMYFUNCTION("""COMPUTED_VALUE"""),"")</f>
        <v/>
      </c>
      <c r="S680" s="106" t="str">
        <f>IFERROR(__xludf.DUMMYFUNCTION("""COMPUTED_VALUE"""),"")</f>
        <v/>
      </c>
    </row>
    <row r="681">
      <c r="A681" s="136" t="s">
        <v>133</v>
      </c>
      <c r="B681" s="136"/>
      <c r="C681" s="136" t="s">
        <v>133</v>
      </c>
      <c r="D681" s="136"/>
      <c r="E681" s="106"/>
      <c r="F681" s="136" t="str">
        <f>IFERROR(__xludf.DUMMYFUNCTION("""COMPUTED_VALUE"""),"")</f>
        <v/>
      </c>
      <c r="G681" s="106" t="str">
        <f>IFERROR(__xludf.DUMMYFUNCTION("""COMPUTED_VALUE"""),"")</f>
        <v/>
      </c>
      <c r="I681" s="136" t="str">
        <f>IFERROR(__xludf.DUMMYFUNCTION("""COMPUTED_VALUE"""),"")</f>
        <v/>
      </c>
      <c r="J681" s="106" t="str">
        <f>IFERROR(__xludf.DUMMYFUNCTION("""COMPUTED_VALUE"""),"")</f>
        <v/>
      </c>
      <c r="L681" s="136" t="str">
        <f>IFERROR(__xludf.DUMMYFUNCTION("""COMPUTED_VALUE"""),"")</f>
        <v/>
      </c>
      <c r="M681" s="106" t="str">
        <f>IFERROR(__xludf.DUMMYFUNCTION("""COMPUTED_VALUE"""),"")</f>
        <v/>
      </c>
      <c r="O681" s="136" t="str">
        <f>IFERROR(__xludf.DUMMYFUNCTION("""COMPUTED_VALUE"""),"")</f>
        <v/>
      </c>
      <c r="P681" s="106" t="str">
        <f>IFERROR(__xludf.DUMMYFUNCTION("""COMPUTED_VALUE"""),"")</f>
        <v/>
      </c>
      <c r="R681" s="136" t="str">
        <f>IFERROR(__xludf.DUMMYFUNCTION("""COMPUTED_VALUE"""),"")</f>
        <v/>
      </c>
      <c r="S681" s="106" t="str">
        <f>IFERROR(__xludf.DUMMYFUNCTION("""COMPUTED_VALUE"""),"")</f>
        <v/>
      </c>
    </row>
    <row r="682">
      <c r="A682" s="136" t="s">
        <v>133</v>
      </c>
      <c r="B682" s="136"/>
      <c r="C682" s="136" t="s">
        <v>133</v>
      </c>
      <c r="D682" s="136"/>
      <c r="E682" s="106"/>
      <c r="F682" s="136" t="str">
        <f>IFERROR(__xludf.DUMMYFUNCTION("""COMPUTED_VALUE"""),"")</f>
        <v/>
      </c>
      <c r="G682" s="106" t="str">
        <f>IFERROR(__xludf.DUMMYFUNCTION("""COMPUTED_VALUE"""),"")</f>
        <v/>
      </c>
      <c r="I682" s="136" t="str">
        <f>IFERROR(__xludf.DUMMYFUNCTION("""COMPUTED_VALUE"""),"")</f>
        <v/>
      </c>
      <c r="J682" s="106" t="str">
        <f>IFERROR(__xludf.DUMMYFUNCTION("""COMPUTED_VALUE"""),"")</f>
        <v/>
      </c>
      <c r="L682" s="136" t="str">
        <f>IFERROR(__xludf.DUMMYFUNCTION("""COMPUTED_VALUE"""),"")</f>
        <v/>
      </c>
      <c r="M682" s="106" t="str">
        <f>IFERROR(__xludf.DUMMYFUNCTION("""COMPUTED_VALUE"""),"")</f>
        <v/>
      </c>
      <c r="O682" s="136" t="str">
        <f>IFERROR(__xludf.DUMMYFUNCTION("""COMPUTED_VALUE"""),"")</f>
        <v/>
      </c>
      <c r="P682" s="106" t="str">
        <f>IFERROR(__xludf.DUMMYFUNCTION("""COMPUTED_VALUE"""),"")</f>
        <v/>
      </c>
      <c r="R682" s="136" t="str">
        <f>IFERROR(__xludf.DUMMYFUNCTION("""COMPUTED_VALUE"""),"")</f>
        <v/>
      </c>
      <c r="S682" s="106" t="str">
        <f>IFERROR(__xludf.DUMMYFUNCTION("""COMPUTED_VALUE"""),"")</f>
        <v/>
      </c>
    </row>
    <row r="683">
      <c r="A683" s="136" t="s">
        <v>133</v>
      </c>
      <c r="B683" s="136"/>
      <c r="C683" s="136" t="s">
        <v>133</v>
      </c>
      <c r="D683" s="136"/>
      <c r="E683" s="106"/>
      <c r="F683" s="136" t="str">
        <f>IFERROR(__xludf.DUMMYFUNCTION("""COMPUTED_VALUE"""),"")</f>
        <v/>
      </c>
      <c r="G683" s="106" t="str">
        <f>IFERROR(__xludf.DUMMYFUNCTION("""COMPUTED_VALUE"""),"")</f>
        <v/>
      </c>
      <c r="I683" s="136" t="str">
        <f>IFERROR(__xludf.DUMMYFUNCTION("""COMPUTED_VALUE"""),"")</f>
        <v/>
      </c>
      <c r="J683" s="106" t="str">
        <f>IFERROR(__xludf.DUMMYFUNCTION("""COMPUTED_VALUE"""),"")</f>
        <v/>
      </c>
      <c r="L683" s="136" t="str">
        <f>IFERROR(__xludf.DUMMYFUNCTION("""COMPUTED_VALUE"""),"")</f>
        <v/>
      </c>
      <c r="M683" s="106" t="str">
        <f>IFERROR(__xludf.DUMMYFUNCTION("""COMPUTED_VALUE"""),"")</f>
        <v/>
      </c>
      <c r="O683" s="136" t="str">
        <f>IFERROR(__xludf.DUMMYFUNCTION("""COMPUTED_VALUE"""),"")</f>
        <v/>
      </c>
      <c r="P683" s="106" t="str">
        <f>IFERROR(__xludf.DUMMYFUNCTION("""COMPUTED_VALUE"""),"")</f>
        <v/>
      </c>
      <c r="R683" s="136" t="str">
        <f>IFERROR(__xludf.DUMMYFUNCTION("""COMPUTED_VALUE"""),"")</f>
        <v/>
      </c>
      <c r="S683" s="106" t="str">
        <f>IFERROR(__xludf.DUMMYFUNCTION("""COMPUTED_VALUE"""),"")</f>
        <v/>
      </c>
    </row>
    <row r="684">
      <c r="A684" s="136" t="s">
        <v>133</v>
      </c>
      <c r="B684" s="136"/>
      <c r="C684" s="136" t="s">
        <v>133</v>
      </c>
      <c r="D684" s="136"/>
      <c r="E684" s="106"/>
      <c r="F684" s="136" t="str">
        <f>IFERROR(__xludf.DUMMYFUNCTION("""COMPUTED_VALUE"""),"")</f>
        <v/>
      </c>
      <c r="G684" s="106" t="str">
        <f>IFERROR(__xludf.DUMMYFUNCTION("""COMPUTED_VALUE"""),"")</f>
        <v/>
      </c>
      <c r="I684" s="136" t="str">
        <f>IFERROR(__xludf.DUMMYFUNCTION("""COMPUTED_VALUE"""),"")</f>
        <v/>
      </c>
      <c r="J684" s="106" t="str">
        <f>IFERROR(__xludf.DUMMYFUNCTION("""COMPUTED_VALUE"""),"")</f>
        <v/>
      </c>
      <c r="L684" s="136" t="str">
        <f>IFERROR(__xludf.DUMMYFUNCTION("""COMPUTED_VALUE"""),"")</f>
        <v/>
      </c>
      <c r="M684" s="106" t="str">
        <f>IFERROR(__xludf.DUMMYFUNCTION("""COMPUTED_VALUE"""),"")</f>
        <v/>
      </c>
      <c r="O684" s="136" t="str">
        <f>IFERROR(__xludf.DUMMYFUNCTION("""COMPUTED_VALUE"""),"")</f>
        <v/>
      </c>
      <c r="P684" s="106" t="str">
        <f>IFERROR(__xludf.DUMMYFUNCTION("""COMPUTED_VALUE"""),"")</f>
        <v/>
      </c>
      <c r="R684" s="136" t="str">
        <f>IFERROR(__xludf.DUMMYFUNCTION("""COMPUTED_VALUE"""),"")</f>
        <v/>
      </c>
      <c r="S684" s="106" t="str">
        <f>IFERROR(__xludf.DUMMYFUNCTION("""COMPUTED_VALUE"""),"")</f>
        <v/>
      </c>
    </row>
    <row r="685">
      <c r="A685" s="136" t="s">
        <v>133</v>
      </c>
      <c r="B685" s="136"/>
      <c r="C685" s="136" t="s">
        <v>133</v>
      </c>
      <c r="D685" s="136"/>
      <c r="E685" s="106"/>
      <c r="F685" s="136" t="str">
        <f>IFERROR(__xludf.DUMMYFUNCTION("""COMPUTED_VALUE"""),"")</f>
        <v/>
      </c>
      <c r="G685" s="106" t="str">
        <f>IFERROR(__xludf.DUMMYFUNCTION("""COMPUTED_VALUE"""),"")</f>
        <v/>
      </c>
      <c r="I685" s="136" t="str">
        <f>IFERROR(__xludf.DUMMYFUNCTION("""COMPUTED_VALUE"""),"")</f>
        <v/>
      </c>
      <c r="J685" s="106" t="str">
        <f>IFERROR(__xludf.DUMMYFUNCTION("""COMPUTED_VALUE"""),"")</f>
        <v/>
      </c>
      <c r="L685" s="136" t="str">
        <f>IFERROR(__xludf.DUMMYFUNCTION("""COMPUTED_VALUE"""),"")</f>
        <v/>
      </c>
      <c r="M685" s="106" t="str">
        <f>IFERROR(__xludf.DUMMYFUNCTION("""COMPUTED_VALUE"""),"")</f>
        <v/>
      </c>
      <c r="O685" s="136" t="str">
        <f>IFERROR(__xludf.DUMMYFUNCTION("""COMPUTED_VALUE"""),"")</f>
        <v/>
      </c>
      <c r="P685" s="106" t="str">
        <f>IFERROR(__xludf.DUMMYFUNCTION("""COMPUTED_VALUE"""),"")</f>
        <v/>
      </c>
      <c r="R685" s="136" t="str">
        <f>IFERROR(__xludf.DUMMYFUNCTION("""COMPUTED_VALUE"""),"")</f>
        <v/>
      </c>
      <c r="S685" s="106" t="str">
        <f>IFERROR(__xludf.DUMMYFUNCTION("""COMPUTED_VALUE"""),"")</f>
        <v/>
      </c>
    </row>
    <row r="686">
      <c r="A686" s="136" t="s">
        <v>133</v>
      </c>
      <c r="B686" s="136"/>
      <c r="C686" s="136" t="s">
        <v>133</v>
      </c>
      <c r="D686" s="136"/>
      <c r="E686" s="106"/>
      <c r="F686" s="136" t="str">
        <f>IFERROR(__xludf.DUMMYFUNCTION("""COMPUTED_VALUE"""),"")</f>
        <v/>
      </c>
      <c r="G686" s="106" t="str">
        <f>IFERROR(__xludf.DUMMYFUNCTION("""COMPUTED_VALUE"""),"")</f>
        <v/>
      </c>
      <c r="I686" s="136" t="str">
        <f>IFERROR(__xludf.DUMMYFUNCTION("""COMPUTED_VALUE"""),"")</f>
        <v/>
      </c>
      <c r="J686" s="106" t="str">
        <f>IFERROR(__xludf.DUMMYFUNCTION("""COMPUTED_VALUE"""),"")</f>
        <v/>
      </c>
      <c r="L686" s="136" t="str">
        <f>IFERROR(__xludf.DUMMYFUNCTION("""COMPUTED_VALUE"""),"")</f>
        <v/>
      </c>
      <c r="M686" s="106" t="str">
        <f>IFERROR(__xludf.DUMMYFUNCTION("""COMPUTED_VALUE"""),"")</f>
        <v/>
      </c>
      <c r="O686" s="136" t="str">
        <f>IFERROR(__xludf.DUMMYFUNCTION("""COMPUTED_VALUE"""),"")</f>
        <v/>
      </c>
      <c r="P686" s="106" t="str">
        <f>IFERROR(__xludf.DUMMYFUNCTION("""COMPUTED_VALUE"""),"")</f>
        <v/>
      </c>
      <c r="R686" s="136" t="str">
        <f>IFERROR(__xludf.DUMMYFUNCTION("""COMPUTED_VALUE"""),"")</f>
        <v/>
      </c>
      <c r="S686" s="106" t="str">
        <f>IFERROR(__xludf.DUMMYFUNCTION("""COMPUTED_VALUE"""),"")</f>
        <v/>
      </c>
    </row>
    <row r="687">
      <c r="A687" s="136" t="s">
        <v>133</v>
      </c>
      <c r="B687" s="136"/>
      <c r="C687" s="136" t="s">
        <v>133</v>
      </c>
      <c r="D687" s="136"/>
      <c r="E687" s="106"/>
      <c r="F687" s="136" t="str">
        <f>IFERROR(__xludf.DUMMYFUNCTION("""COMPUTED_VALUE"""),"")</f>
        <v/>
      </c>
      <c r="G687" s="106" t="str">
        <f>IFERROR(__xludf.DUMMYFUNCTION("""COMPUTED_VALUE"""),"")</f>
        <v/>
      </c>
      <c r="I687" s="136" t="str">
        <f>IFERROR(__xludf.DUMMYFUNCTION("""COMPUTED_VALUE"""),"")</f>
        <v/>
      </c>
      <c r="J687" s="106" t="str">
        <f>IFERROR(__xludf.DUMMYFUNCTION("""COMPUTED_VALUE"""),"")</f>
        <v/>
      </c>
      <c r="L687" s="136" t="str">
        <f>IFERROR(__xludf.DUMMYFUNCTION("""COMPUTED_VALUE"""),"")</f>
        <v/>
      </c>
      <c r="M687" s="106" t="str">
        <f>IFERROR(__xludf.DUMMYFUNCTION("""COMPUTED_VALUE"""),"")</f>
        <v/>
      </c>
      <c r="O687" s="136" t="str">
        <f>IFERROR(__xludf.DUMMYFUNCTION("""COMPUTED_VALUE"""),"")</f>
        <v/>
      </c>
      <c r="P687" s="106" t="str">
        <f>IFERROR(__xludf.DUMMYFUNCTION("""COMPUTED_VALUE"""),"")</f>
        <v/>
      </c>
      <c r="R687" s="136" t="str">
        <f>IFERROR(__xludf.DUMMYFUNCTION("""COMPUTED_VALUE"""),"")</f>
        <v/>
      </c>
      <c r="S687" s="106" t="str">
        <f>IFERROR(__xludf.DUMMYFUNCTION("""COMPUTED_VALUE"""),"")</f>
        <v/>
      </c>
    </row>
    <row r="688">
      <c r="A688" s="136" t="s">
        <v>133</v>
      </c>
      <c r="B688" s="136"/>
      <c r="C688" s="136" t="s">
        <v>133</v>
      </c>
      <c r="D688" s="136"/>
      <c r="E688" s="106"/>
      <c r="F688" s="136" t="str">
        <f>IFERROR(__xludf.DUMMYFUNCTION("""COMPUTED_VALUE"""),"")</f>
        <v/>
      </c>
      <c r="G688" s="106" t="str">
        <f>IFERROR(__xludf.DUMMYFUNCTION("""COMPUTED_VALUE"""),"")</f>
        <v/>
      </c>
      <c r="I688" s="136" t="str">
        <f>IFERROR(__xludf.DUMMYFUNCTION("""COMPUTED_VALUE"""),"")</f>
        <v/>
      </c>
      <c r="J688" s="106" t="str">
        <f>IFERROR(__xludf.DUMMYFUNCTION("""COMPUTED_VALUE"""),"")</f>
        <v/>
      </c>
      <c r="L688" s="136" t="str">
        <f>IFERROR(__xludf.DUMMYFUNCTION("""COMPUTED_VALUE"""),"")</f>
        <v/>
      </c>
      <c r="M688" s="106" t="str">
        <f>IFERROR(__xludf.DUMMYFUNCTION("""COMPUTED_VALUE"""),"")</f>
        <v/>
      </c>
      <c r="O688" s="136" t="str">
        <f>IFERROR(__xludf.DUMMYFUNCTION("""COMPUTED_VALUE"""),"")</f>
        <v/>
      </c>
      <c r="P688" s="106" t="str">
        <f>IFERROR(__xludf.DUMMYFUNCTION("""COMPUTED_VALUE"""),"")</f>
        <v/>
      </c>
      <c r="R688" s="136" t="str">
        <f>IFERROR(__xludf.DUMMYFUNCTION("""COMPUTED_VALUE"""),"")</f>
        <v/>
      </c>
      <c r="S688" s="106" t="str">
        <f>IFERROR(__xludf.DUMMYFUNCTION("""COMPUTED_VALUE"""),"")</f>
        <v/>
      </c>
    </row>
    <row r="689">
      <c r="A689" s="136" t="s">
        <v>133</v>
      </c>
      <c r="B689" s="136"/>
      <c r="C689" s="136" t="s">
        <v>133</v>
      </c>
      <c r="D689" s="136"/>
      <c r="E689" s="106"/>
      <c r="F689" s="136" t="str">
        <f>IFERROR(__xludf.DUMMYFUNCTION("""COMPUTED_VALUE"""),"")</f>
        <v/>
      </c>
      <c r="G689" s="106" t="str">
        <f>IFERROR(__xludf.DUMMYFUNCTION("""COMPUTED_VALUE"""),"")</f>
        <v/>
      </c>
      <c r="I689" s="136" t="str">
        <f>IFERROR(__xludf.DUMMYFUNCTION("""COMPUTED_VALUE"""),"")</f>
        <v/>
      </c>
      <c r="J689" s="106" t="str">
        <f>IFERROR(__xludf.DUMMYFUNCTION("""COMPUTED_VALUE"""),"")</f>
        <v/>
      </c>
      <c r="L689" s="136" t="str">
        <f>IFERROR(__xludf.DUMMYFUNCTION("""COMPUTED_VALUE"""),"")</f>
        <v/>
      </c>
      <c r="M689" s="106" t="str">
        <f>IFERROR(__xludf.DUMMYFUNCTION("""COMPUTED_VALUE"""),"")</f>
        <v/>
      </c>
      <c r="O689" s="136" t="str">
        <f>IFERROR(__xludf.DUMMYFUNCTION("""COMPUTED_VALUE"""),"")</f>
        <v/>
      </c>
      <c r="P689" s="106" t="str">
        <f>IFERROR(__xludf.DUMMYFUNCTION("""COMPUTED_VALUE"""),"")</f>
        <v/>
      </c>
      <c r="R689" s="136" t="str">
        <f>IFERROR(__xludf.DUMMYFUNCTION("""COMPUTED_VALUE"""),"")</f>
        <v/>
      </c>
      <c r="S689" s="106" t="str">
        <f>IFERROR(__xludf.DUMMYFUNCTION("""COMPUTED_VALUE"""),"")</f>
        <v/>
      </c>
    </row>
    <row r="690">
      <c r="A690" s="136" t="s">
        <v>133</v>
      </c>
      <c r="B690" s="136"/>
      <c r="C690" s="136" t="s">
        <v>133</v>
      </c>
      <c r="D690" s="136"/>
      <c r="E690" s="106"/>
      <c r="F690" s="136" t="str">
        <f>IFERROR(__xludf.DUMMYFUNCTION("""COMPUTED_VALUE"""),"")</f>
        <v/>
      </c>
      <c r="G690" s="106" t="str">
        <f>IFERROR(__xludf.DUMMYFUNCTION("""COMPUTED_VALUE"""),"")</f>
        <v/>
      </c>
      <c r="I690" s="136" t="str">
        <f>IFERROR(__xludf.DUMMYFUNCTION("""COMPUTED_VALUE"""),"")</f>
        <v/>
      </c>
      <c r="J690" s="106" t="str">
        <f>IFERROR(__xludf.DUMMYFUNCTION("""COMPUTED_VALUE"""),"")</f>
        <v/>
      </c>
      <c r="L690" s="136" t="str">
        <f>IFERROR(__xludf.DUMMYFUNCTION("""COMPUTED_VALUE"""),"")</f>
        <v/>
      </c>
      <c r="M690" s="106" t="str">
        <f>IFERROR(__xludf.DUMMYFUNCTION("""COMPUTED_VALUE"""),"")</f>
        <v/>
      </c>
      <c r="O690" s="136" t="str">
        <f>IFERROR(__xludf.DUMMYFUNCTION("""COMPUTED_VALUE"""),"")</f>
        <v/>
      </c>
      <c r="P690" s="106" t="str">
        <f>IFERROR(__xludf.DUMMYFUNCTION("""COMPUTED_VALUE"""),"")</f>
        <v/>
      </c>
      <c r="R690" s="136" t="str">
        <f>IFERROR(__xludf.DUMMYFUNCTION("""COMPUTED_VALUE"""),"")</f>
        <v/>
      </c>
      <c r="S690" s="106" t="str">
        <f>IFERROR(__xludf.DUMMYFUNCTION("""COMPUTED_VALUE"""),"")</f>
        <v/>
      </c>
    </row>
    <row r="691">
      <c r="A691" s="136" t="s">
        <v>133</v>
      </c>
      <c r="B691" s="136"/>
      <c r="C691" s="136" t="s">
        <v>133</v>
      </c>
      <c r="D691" s="136"/>
      <c r="E691" s="106"/>
      <c r="F691" s="136" t="str">
        <f>IFERROR(__xludf.DUMMYFUNCTION("""COMPUTED_VALUE"""),"")</f>
        <v/>
      </c>
      <c r="G691" s="106" t="str">
        <f>IFERROR(__xludf.DUMMYFUNCTION("""COMPUTED_VALUE"""),"")</f>
        <v/>
      </c>
      <c r="I691" s="136" t="str">
        <f>IFERROR(__xludf.DUMMYFUNCTION("""COMPUTED_VALUE"""),"")</f>
        <v/>
      </c>
      <c r="J691" s="106" t="str">
        <f>IFERROR(__xludf.DUMMYFUNCTION("""COMPUTED_VALUE"""),"")</f>
        <v/>
      </c>
      <c r="L691" s="136" t="str">
        <f>IFERROR(__xludf.DUMMYFUNCTION("""COMPUTED_VALUE"""),"")</f>
        <v/>
      </c>
      <c r="M691" s="106" t="str">
        <f>IFERROR(__xludf.DUMMYFUNCTION("""COMPUTED_VALUE"""),"")</f>
        <v/>
      </c>
      <c r="O691" s="136" t="str">
        <f>IFERROR(__xludf.DUMMYFUNCTION("""COMPUTED_VALUE"""),"")</f>
        <v/>
      </c>
      <c r="P691" s="106" t="str">
        <f>IFERROR(__xludf.DUMMYFUNCTION("""COMPUTED_VALUE"""),"")</f>
        <v/>
      </c>
      <c r="R691" s="136" t="str">
        <f>IFERROR(__xludf.DUMMYFUNCTION("""COMPUTED_VALUE"""),"")</f>
        <v/>
      </c>
      <c r="S691" s="106" t="str">
        <f>IFERROR(__xludf.DUMMYFUNCTION("""COMPUTED_VALUE"""),"")</f>
        <v/>
      </c>
    </row>
    <row r="692">
      <c r="A692" s="136" t="s">
        <v>133</v>
      </c>
      <c r="B692" s="136"/>
      <c r="C692" s="136" t="s">
        <v>133</v>
      </c>
      <c r="D692" s="136"/>
      <c r="E692" s="106"/>
      <c r="F692" s="136" t="str">
        <f>IFERROR(__xludf.DUMMYFUNCTION("""COMPUTED_VALUE"""),"")</f>
        <v/>
      </c>
      <c r="G692" s="106" t="str">
        <f>IFERROR(__xludf.DUMMYFUNCTION("""COMPUTED_VALUE"""),"")</f>
        <v/>
      </c>
      <c r="I692" s="136" t="str">
        <f>IFERROR(__xludf.DUMMYFUNCTION("""COMPUTED_VALUE"""),"")</f>
        <v/>
      </c>
      <c r="J692" s="106" t="str">
        <f>IFERROR(__xludf.DUMMYFUNCTION("""COMPUTED_VALUE"""),"")</f>
        <v/>
      </c>
      <c r="L692" s="136" t="str">
        <f>IFERROR(__xludf.DUMMYFUNCTION("""COMPUTED_VALUE"""),"")</f>
        <v/>
      </c>
      <c r="M692" s="106" t="str">
        <f>IFERROR(__xludf.DUMMYFUNCTION("""COMPUTED_VALUE"""),"")</f>
        <v/>
      </c>
      <c r="O692" s="136" t="str">
        <f>IFERROR(__xludf.DUMMYFUNCTION("""COMPUTED_VALUE"""),"")</f>
        <v/>
      </c>
      <c r="P692" s="106" t="str">
        <f>IFERROR(__xludf.DUMMYFUNCTION("""COMPUTED_VALUE"""),"")</f>
        <v/>
      </c>
      <c r="R692" s="136" t="str">
        <f>IFERROR(__xludf.DUMMYFUNCTION("""COMPUTED_VALUE"""),"")</f>
        <v/>
      </c>
      <c r="S692" s="106" t="str">
        <f>IFERROR(__xludf.DUMMYFUNCTION("""COMPUTED_VALUE"""),"")</f>
        <v/>
      </c>
    </row>
    <row r="693">
      <c r="A693" s="136" t="s">
        <v>133</v>
      </c>
      <c r="B693" s="136"/>
      <c r="C693" s="136" t="s">
        <v>133</v>
      </c>
      <c r="D693" s="136"/>
      <c r="E693" s="106"/>
      <c r="F693" s="136" t="str">
        <f>IFERROR(__xludf.DUMMYFUNCTION("""COMPUTED_VALUE"""),"")</f>
        <v/>
      </c>
      <c r="G693" s="106" t="str">
        <f>IFERROR(__xludf.DUMMYFUNCTION("""COMPUTED_VALUE"""),"")</f>
        <v/>
      </c>
      <c r="I693" s="136" t="str">
        <f>IFERROR(__xludf.DUMMYFUNCTION("""COMPUTED_VALUE"""),"")</f>
        <v/>
      </c>
      <c r="J693" s="106" t="str">
        <f>IFERROR(__xludf.DUMMYFUNCTION("""COMPUTED_VALUE"""),"")</f>
        <v/>
      </c>
      <c r="L693" s="136" t="str">
        <f>IFERROR(__xludf.DUMMYFUNCTION("""COMPUTED_VALUE"""),"")</f>
        <v/>
      </c>
      <c r="M693" s="106" t="str">
        <f>IFERROR(__xludf.DUMMYFUNCTION("""COMPUTED_VALUE"""),"")</f>
        <v/>
      </c>
      <c r="O693" s="136" t="str">
        <f>IFERROR(__xludf.DUMMYFUNCTION("""COMPUTED_VALUE"""),"")</f>
        <v/>
      </c>
      <c r="P693" s="106" t="str">
        <f>IFERROR(__xludf.DUMMYFUNCTION("""COMPUTED_VALUE"""),"")</f>
        <v/>
      </c>
      <c r="R693" s="136" t="str">
        <f>IFERROR(__xludf.DUMMYFUNCTION("""COMPUTED_VALUE"""),"")</f>
        <v/>
      </c>
      <c r="S693" s="106" t="str">
        <f>IFERROR(__xludf.DUMMYFUNCTION("""COMPUTED_VALUE"""),"")</f>
        <v/>
      </c>
    </row>
    <row r="694">
      <c r="A694" s="136" t="s">
        <v>133</v>
      </c>
      <c r="B694" s="136"/>
      <c r="C694" s="136" t="s">
        <v>133</v>
      </c>
      <c r="D694" s="136"/>
      <c r="E694" s="106"/>
      <c r="F694" s="136" t="str">
        <f>IFERROR(__xludf.DUMMYFUNCTION("""COMPUTED_VALUE"""),"")</f>
        <v/>
      </c>
      <c r="G694" s="106" t="str">
        <f>IFERROR(__xludf.DUMMYFUNCTION("""COMPUTED_VALUE"""),"")</f>
        <v/>
      </c>
      <c r="I694" s="136" t="str">
        <f>IFERROR(__xludf.DUMMYFUNCTION("""COMPUTED_VALUE"""),"")</f>
        <v/>
      </c>
      <c r="J694" s="106" t="str">
        <f>IFERROR(__xludf.DUMMYFUNCTION("""COMPUTED_VALUE"""),"")</f>
        <v/>
      </c>
      <c r="L694" s="136" t="str">
        <f>IFERROR(__xludf.DUMMYFUNCTION("""COMPUTED_VALUE"""),"")</f>
        <v/>
      </c>
      <c r="M694" s="106" t="str">
        <f>IFERROR(__xludf.DUMMYFUNCTION("""COMPUTED_VALUE"""),"")</f>
        <v/>
      </c>
      <c r="O694" s="136" t="str">
        <f>IFERROR(__xludf.DUMMYFUNCTION("""COMPUTED_VALUE"""),"")</f>
        <v/>
      </c>
      <c r="P694" s="106" t="str">
        <f>IFERROR(__xludf.DUMMYFUNCTION("""COMPUTED_VALUE"""),"")</f>
        <v/>
      </c>
      <c r="R694" s="136" t="str">
        <f>IFERROR(__xludf.DUMMYFUNCTION("""COMPUTED_VALUE"""),"")</f>
        <v/>
      </c>
      <c r="S694" s="106" t="str">
        <f>IFERROR(__xludf.DUMMYFUNCTION("""COMPUTED_VALUE"""),"")</f>
        <v/>
      </c>
    </row>
    <row r="695">
      <c r="A695" s="136" t="s">
        <v>133</v>
      </c>
      <c r="B695" s="136"/>
      <c r="C695" s="136" t="s">
        <v>133</v>
      </c>
      <c r="D695" s="136"/>
      <c r="E695" s="106"/>
      <c r="F695" s="136" t="str">
        <f>IFERROR(__xludf.DUMMYFUNCTION("""COMPUTED_VALUE"""),"")</f>
        <v/>
      </c>
      <c r="G695" s="106" t="str">
        <f>IFERROR(__xludf.DUMMYFUNCTION("""COMPUTED_VALUE"""),"")</f>
        <v/>
      </c>
      <c r="I695" s="136" t="str">
        <f>IFERROR(__xludf.DUMMYFUNCTION("""COMPUTED_VALUE"""),"")</f>
        <v/>
      </c>
      <c r="J695" s="106" t="str">
        <f>IFERROR(__xludf.DUMMYFUNCTION("""COMPUTED_VALUE"""),"")</f>
        <v/>
      </c>
      <c r="L695" s="136" t="str">
        <f>IFERROR(__xludf.DUMMYFUNCTION("""COMPUTED_VALUE"""),"")</f>
        <v/>
      </c>
      <c r="M695" s="106" t="str">
        <f>IFERROR(__xludf.DUMMYFUNCTION("""COMPUTED_VALUE"""),"")</f>
        <v/>
      </c>
      <c r="O695" s="136" t="str">
        <f>IFERROR(__xludf.DUMMYFUNCTION("""COMPUTED_VALUE"""),"")</f>
        <v/>
      </c>
      <c r="P695" s="106" t="str">
        <f>IFERROR(__xludf.DUMMYFUNCTION("""COMPUTED_VALUE"""),"")</f>
        <v/>
      </c>
      <c r="R695" s="136" t="str">
        <f>IFERROR(__xludf.DUMMYFUNCTION("""COMPUTED_VALUE"""),"")</f>
        <v/>
      </c>
      <c r="S695" s="106" t="str">
        <f>IFERROR(__xludf.DUMMYFUNCTION("""COMPUTED_VALUE"""),"")</f>
        <v/>
      </c>
    </row>
    <row r="696">
      <c r="A696" s="136" t="s">
        <v>133</v>
      </c>
      <c r="B696" s="136"/>
      <c r="C696" s="136" t="s">
        <v>133</v>
      </c>
      <c r="D696" s="136"/>
      <c r="E696" s="106"/>
      <c r="F696" s="136" t="str">
        <f>IFERROR(__xludf.DUMMYFUNCTION("""COMPUTED_VALUE"""),"")</f>
        <v/>
      </c>
      <c r="G696" s="106" t="str">
        <f>IFERROR(__xludf.DUMMYFUNCTION("""COMPUTED_VALUE"""),"")</f>
        <v/>
      </c>
      <c r="I696" s="136" t="str">
        <f>IFERROR(__xludf.DUMMYFUNCTION("""COMPUTED_VALUE"""),"")</f>
        <v/>
      </c>
      <c r="J696" s="106" t="str">
        <f>IFERROR(__xludf.DUMMYFUNCTION("""COMPUTED_VALUE"""),"")</f>
        <v/>
      </c>
      <c r="L696" s="136" t="str">
        <f>IFERROR(__xludf.DUMMYFUNCTION("""COMPUTED_VALUE"""),"")</f>
        <v/>
      </c>
      <c r="M696" s="106" t="str">
        <f>IFERROR(__xludf.DUMMYFUNCTION("""COMPUTED_VALUE"""),"")</f>
        <v/>
      </c>
      <c r="O696" s="136" t="str">
        <f>IFERROR(__xludf.DUMMYFUNCTION("""COMPUTED_VALUE"""),"")</f>
        <v/>
      </c>
      <c r="P696" s="106" t="str">
        <f>IFERROR(__xludf.DUMMYFUNCTION("""COMPUTED_VALUE"""),"")</f>
        <v/>
      </c>
      <c r="R696" s="136" t="str">
        <f>IFERROR(__xludf.DUMMYFUNCTION("""COMPUTED_VALUE"""),"")</f>
        <v/>
      </c>
      <c r="S696" s="106" t="str">
        <f>IFERROR(__xludf.DUMMYFUNCTION("""COMPUTED_VALUE"""),"")</f>
        <v/>
      </c>
    </row>
    <row r="697">
      <c r="A697" s="136" t="s">
        <v>133</v>
      </c>
      <c r="B697" s="136"/>
      <c r="C697" s="136" t="s">
        <v>133</v>
      </c>
      <c r="D697" s="136"/>
      <c r="E697" s="106"/>
      <c r="F697" s="136" t="str">
        <f>IFERROR(__xludf.DUMMYFUNCTION("""COMPUTED_VALUE"""),"")</f>
        <v/>
      </c>
      <c r="G697" s="106" t="str">
        <f>IFERROR(__xludf.DUMMYFUNCTION("""COMPUTED_VALUE"""),"")</f>
        <v/>
      </c>
      <c r="I697" s="136" t="str">
        <f>IFERROR(__xludf.DUMMYFUNCTION("""COMPUTED_VALUE"""),"")</f>
        <v/>
      </c>
      <c r="J697" s="106" t="str">
        <f>IFERROR(__xludf.DUMMYFUNCTION("""COMPUTED_VALUE"""),"")</f>
        <v/>
      </c>
      <c r="L697" s="136" t="str">
        <f>IFERROR(__xludf.DUMMYFUNCTION("""COMPUTED_VALUE"""),"")</f>
        <v/>
      </c>
      <c r="M697" s="106" t="str">
        <f>IFERROR(__xludf.DUMMYFUNCTION("""COMPUTED_VALUE"""),"")</f>
        <v/>
      </c>
      <c r="O697" s="136" t="str">
        <f>IFERROR(__xludf.DUMMYFUNCTION("""COMPUTED_VALUE"""),"")</f>
        <v/>
      </c>
      <c r="P697" s="106" t="str">
        <f>IFERROR(__xludf.DUMMYFUNCTION("""COMPUTED_VALUE"""),"")</f>
        <v/>
      </c>
      <c r="R697" s="136" t="str">
        <f>IFERROR(__xludf.DUMMYFUNCTION("""COMPUTED_VALUE"""),"")</f>
        <v/>
      </c>
      <c r="S697" s="106" t="str">
        <f>IFERROR(__xludf.DUMMYFUNCTION("""COMPUTED_VALUE"""),"")</f>
        <v/>
      </c>
    </row>
    <row r="698">
      <c r="A698" s="136" t="s">
        <v>133</v>
      </c>
      <c r="B698" s="136"/>
      <c r="C698" s="136" t="s">
        <v>133</v>
      </c>
      <c r="D698" s="136"/>
      <c r="E698" s="106"/>
      <c r="F698" s="136" t="str">
        <f>IFERROR(__xludf.DUMMYFUNCTION("""COMPUTED_VALUE"""),"")</f>
        <v/>
      </c>
      <c r="G698" s="106" t="str">
        <f>IFERROR(__xludf.DUMMYFUNCTION("""COMPUTED_VALUE"""),"")</f>
        <v/>
      </c>
      <c r="I698" s="136" t="str">
        <f>IFERROR(__xludf.DUMMYFUNCTION("""COMPUTED_VALUE"""),"")</f>
        <v/>
      </c>
      <c r="J698" s="106" t="str">
        <f>IFERROR(__xludf.DUMMYFUNCTION("""COMPUTED_VALUE"""),"")</f>
        <v/>
      </c>
      <c r="L698" s="136" t="str">
        <f>IFERROR(__xludf.DUMMYFUNCTION("""COMPUTED_VALUE"""),"")</f>
        <v/>
      </c>
      <c r="M698" s="106" t="str">
        <f>IFERROR(__xludf.DUMMYFUNCTION("""COMPUTED_VALUE"""),"")</f>
        <v/>
      </c>
      <c r="O698" s="136" t="str">
        <f>IFERROR(__xludf.DUMMYFUNCTION("""COMPUTED_VALUE"""),"")</f>
        <v/>
      </c>
      <c r="P698" s="106" t="str">
        <f>IFERROR(__xludf.DUMMYFUNCTION("""COMPUTED_VALUE"""),"")</f>
        <v/>
      </c>
      <c r="R698" s="136" t="str">
        <f>IFERROR(__xludf.DUMMYFUNCTION("""COMPUTED_VALUE"""),"")</f>
        <v/>
      </c>
      <c r="S698" s="106" t="str">
        <f>IFERROR(__xludf.DUMMYFUNCTION("""COMPUTED_VALUE"""),"")</f>
        <v/>
      </c>
    </row>
    <row r="699">
      <c r="A699" s="136" t="s">
        <v>133</v>
      </c>
      <c r="B699" s="136"/>
      <c r="C699" s="136" t="s">
        <v>133</v>
      </c>
      <c r="D699" s="136"/>
      <c r="E699" s="106"/>
      <c r="F699" s="136" t="str">
        <f>IFERROR(__xludf.DUMMYFUNCTION("""COMPUTED_VALUE"""),"")</f>
        <v/>
      </c>
      <c r="G699" s="106" t="str">
        <f>IFERROR(__xludf.DUMMYFUNCTION("""COMPUTED_VALUE"""),"")</f>
        <v/>
      </c>
      <c r="I699" s="136" t="str">
        <f>IFERROR(__xludf.DUMMYFUNCTION("""COMPUTED_VALUE"""),"")</f>
        <v/>
      </c>
      <c r="J699" s="106" t="str">
        <f>IFERROR(__xludf.DUMMYFUNCTION("""COMPUTED_VALUE"""),"")</f>
        <v/>
      </c>
      <c r="L699" s="136" t="str">
        <f>IFERROR(__xludf.DUMMYFUNCTION("""COMPUTED_VALUE"""),"")</f>
        <v/>
      </c>
      <c r="M699" s="106" t="str">
        <f>IFERROR(__xludf.DUMMYFUNCTION("""COMPUTED_VALUE"""),"")</f>
        <v/>
      </c>
      <c r="O699" s="136" t="str">
        <f>IFERROR(__xludf.DUMMYFUNCTION("""COMPUTED_VALUE"""),"")</f>
        <v/>
      </c>
      <c r="P699" s="106" t="str">
        <f>IFERROR(__xludf.DUMMYFUNCTION("""COMPUTED_VALUE"""),"")</f>
        <v/>
      </c>
      <c r="R699" s="136" t="str">
        <f>IFERROR(__xludf.DUMMYFUNCTION("""COMPUTED_VALUE"""),"")</f>
        <v/>
      </c>
      <c r="S699" s="106" t="str">
        <f>IFERROR(__xludf.DUMMYFUNCTION("""COMPUTED_VALUE"""),"")</f>
        <v/>
      </c>
    </row>
    <row r="700">
      <c r="A700" s="136" t="s">
        <v>133</v>
      </c>
      <c r="B700" s="136"/>
      <c r="C700" s="136" t="s">
        <v>133</v>
      </c>
      <c r="D700" s="136"/>
      <c r="E700" s="106"/>
      <c r="F700" s="136" t="str">
        <f>IFERROR(__xludf.DUMMYFUNCTION("""COMPUTED_VALUE"""),"")</f>
        <v/>
      </c>
      <c r="G700" s="106" t="str">
        <f>IFERROR(__xludf.DUMMYFUNCTION("""COMPUTED_VALUE"""),"")</f>
        <v/>
      </c>
      <c r="I700" s="136" t="str">
        <f>IFERROR(__xludf.DUMMYFUNCTION("""COMPUTED_VALUE"""),"")</f>
        <v/>
      </c>
      <c r="J700" s="106" t="str">
        <f>IFERROR(__xludf.DUMMYFUNCTION("""COMPUTED_VALUE"""),"")</f>
        <v/>
      </c>
      <c r="L700" s="136" t="str">
        <f>IFERROR(__xludf.DUMMYFUNCTION("""COMPUTED_VALUE"""),"")</f>
        <v/>
      </c>
      <c r="M700" s="106" t="str">
        <f>IFERROR(__xludf.DUMMYFUNCTION("""COMPUTED_VALUE"""),"")</f>
        <v/>
      </c>
      <c r="O700" s="136" t="str">
        <f>IFERROR(__xludf.DUMMYFUNCTION("""COMPUTED_VALUE"""),"")</f>
        <v/>
      </c>
      <c r="P700" s="106" t="str">
        <f>IFERROR(__xludf.DUMMYFUNCTION("""COMPUTED_VALUE"""),"")</f>
        <v/>
      </c>
      <c r="R700" s="136" t="str">
        <f>IFERROR(__xludf.DUMMYFUNCTION("""COMPUTED_VALUE"""),"")</f>
        <v/>
      </c>
      <c r="S700" s="106" t="str">
        <f>IFERROR(__xludf.DUMMYFUNCTION("""COMPUTED_VALUE"""),"")</f>
        <v/>
      </c>
    </row>
    <row r="701">
      <c r="A701" s="136" t="s">
        <v>133</v>
      </c>
      <c r="B701" s="136"/>
      <c r="C701" s="136" t="s">
        <v>133</v>
      </c>
      <c r="D701" s="136"/>
      <c r="E701" s="106"/>
      <c r="F701" s="136" t="str">
        <f>IFERROR(__xludf.DUMMYFUNCTION("""COMPUTED_VALUE"""),"")</f>
        <v/>
      </c>
      <c r="G701" s="106" t="str">
        <f>IFERROR(__xludf.DUMMYFUNCTION("""COMPUTED_VALUE"""),"")</f>
        <v/>
      </c>
      <c r="I701" s="136" t="str">
        <f>IFERROR(__xludf.DUMMYFUNCTION("""COMPUTED_VALUE"""),"")</f>
        <v/>
      </c>
      <c r="J701" s="106" t="str">
        <f>IFERROR(__xludf.DUMMYFUNCTION("""COMPUTED_VALUE"""),"")</f>
        <v/>
      </c>
      <c r="L701" s="136" t="str">
        <f>IFERROR(__xludf.DUMMYFUNCTION("""COMPUTED_VALUE"""),"")</f>
        <v/>
      </c>
      <c r="M701" s="106" t="str">
        <f>IFERROR(__xludf.DUMMYFUNCTION("""COMPUTED_VALUE"""),"")</f>
        <v/>
      </c>
      <c r="O701" s="136" t="str">
        <f>IFERROR(__xludf.DUMMYFUNCTION("""COMPUTED_VALUE"""),"")</f>
        <v/>
      </c>
      <c r="P701" s="106" t="str">
        <f>IFERROR(__xludf.DUMMYFUNCTION("""COMPUTED_VALUE"""),"")</f>
        <v/>
      </c>
      <c r="R701" s="136" t="str">
        <f>IFERROR(__xludf.DUMMYFUNCTION("""COMPUTED_VALUE"""),"")</f>
        <v/>
      </c>
      <c r="S701" s="106" t="str">
        <f>IFERROR(__xludf.DUMMYFUNCTION("""COMPUTED_VALUE"""),"")</f>
        <v/>
      </c>
    </row>
    <row r="702">
      <c r="A702" s="136" t="s">
        <v>133</v>
      </c>
      <c r="B702" s="136"/>
      <c r="C702" s="136" t="s">
        <v>133</v>
      </c>
      <c r="D702" s="136"/>
      <c r="E702" s="106"/>
      <c r="F702" s="136" t="str">
        <f>IFERROR(__xludf.DUMMYFUNCTION("""COMPUTED_VALUE"""),"")</f>
        <v/>
      </c>
      <c r="G702" s="106" t="str">
        <f>IFERROR(__xludf.DUMMYFUNCTION("""COMPUTED_VALUE"""),"")</f>
        <v/>
      </c>
      <c r="I702" s="136" t="str">
        <f>IFERROR(__xludf.DUMMYFUNCTION("""COMPUTED_VALUE"""),"")</f>
        <v/>
      </c>
      <c r="J702" s="106" t="str">
        <f>IFERROR(__xludf.DUMMYFUNCTION("""COMPUTED_VALUE"""),"")</f>
        <v/>
      </c>
      <c r="L702" s="136" t="str">
        <f>IFERROR(__xludf.DUMMYFUNCTION("""COMPUTED_VALUE"""),"")</f>
        <v/>
      </c>
      <c r="M702" s="106" t="str">
        <f>IFERROR(__xludf.DUMMYFUNCTION("""COMPUTED_VALUE"""),"")</f>
        <v/>
      </c>
      <c r="O702" s="136" t="str">
        <f>IFERROR(__xludf.DUMMYFUNCTION("""COMPUTED_VALUE"""),"")</f>
        <v/>
      </c>
      <c r="P702" s="106" t="str">
        <f>IFERROR(__xludf.DUMMYFUNCTION("""COMPUTED_VALUE"""),"")</f>
        <v/>
      </c>
      <c r="R702" s="136" t="str">
        <f>IFERROR(__xludf.DUMMYFUNCTION("""COMPUTED_VALUE"""),"")</f>
        <v/>
      </c>
      <c r="S702" s="106" t="str">
        <f>IFERROR(__xludf.DUMMYFUNCTION("""COMPUTED_VALUE"""),"")</f>
        <v/>
      </c>
    </row>
    <row r="703">
      <c r="A703" s="136" t="s">
        <v>133</v>
      </c>
      <c r="B703" s="136"/>
      <c r="C703" s="136" t="s">
        <v>133</v>
      </c>
      <c r="D703" s="136"/>
      <c r="E703" s="106"/>
      <c r="F703" s="136" t="str">
        <f>IFERROR(__xludf.DUMMYFUNCTION("""COMPUTED_VALUE"""),"")</f>
        <v/>
      </c>
      <c r="G703" s="106" t="str">
        <f>IFERROR(__xludf.DUMMYFUNCTION("""COMPUTED_VALUE"""),"")</f>
        <v/>
      </c>
      <c r="I703" s="136" t="str">
        <f>IFERROR(__xludf.DUMMYFUNCTION("""COMPUTED_VALUE"""),"")</f>
        <v/>
      </c>
      <c r="J703" s="106" t="str">
        <f>IFERROR(__xludf.DUMMYFUNCTION("""COMPUTED_VALUE"""),"")</f>
        <v/>
      </c>
      <c r="L703" s="136" t="str">
        <f>IFERROR(__xludf.DUMMYFUNCTION("""COMPUTED_VALUE"""),"")</f>
        <v/>
      </c>
      <c r="M703" s="106" t="str">
        <f>IFERROR(__xludf.DUMMYFUNCTION("""COMPUTED_VALUE"""),"")</f>
        <v/>
      </c>
      <c r="O703" s="136" t="str">
        <f>IFERROR(__xludf.DUMMYFUNCTION("""COMPUTED_VALUE"""),"")</f>
        <v/>
      </c>
      <c r="P703" s="106" t="str">
        <f>IFERROR(__xludf.DUMMYFUNCTION("""COMPUTED_VALUE"""),"")</f>
        <v/>
      </c>
      <c r="R703" s="136" t="str">
        <f>IFERROR(__xludf.DUMMYFUNCTION("""COMPUTED_VALUE"""),"")</f>
        <v/>
      </c>
      <c r="S703" s="106" t="str">
        <f>IFERROR(__xludf.DUMMYFUNCTION("""COMPUTED_VALUE"""),"")</f>
        <v/>
      </c>
    </row>
    <row r="704">
      <c r="A704" s="136" t="s">
        <v>133</v>
      </c>
      <c r="B704" s="136"/>
      <c r="C704" s="136" t="s">
        <v>133</v>
      </c>
      <c r="D704" s="136"/>
      <c r="E704" s="106"/>
      <c r="F704" s="136" t="str">
        <f>IFERROR(__xludf.DUMMYFUNCTION("""COMPUTED_VALUE"""),"")</f>
        <v/>
      </c>
      <c r="G704" s="106" t="str">
        <f>IFERROR(__xludf.DUMMYFUNCTION("""COMPUTED_VALUE"""),"")</f>
        <v/>
      </c>
      <c r="I704" s="136" t="str">
        <f>IFERROR(__xludf.DUMMYFUNCTION("""COMPUTED_VALUE"""),"")</f>
        <v/>
      </c>
      <c r="J704" s="106" t="str">
        <f>IFERROR(__xludf.DUMMYFUNCTION("""COMPUTED_VALUE"""),"")</f>
        <v/>
      </c>
      <c r="L704" s="136" t="str">
        <f>IFERROR(__xludf.DUMMYFUNCTION("""COMPUTED_VALUE"""),"")</f>
        <v/>
      </c>
      <c r="M704" s="106" t="str">
        <f>IFERROR(__xludf.DUMMYFUNCTION("""COMPUTED_VALUE"""),"")</f>
        <v/>
      </c>
      <c r="O704" s="136" t="str">
        <f>IFERROR(__xludf.DUMMYFUNCTION("""COMPUTED_VALUE"""),"")</f>
        <v/>
      </c>
      <c r="P704" s="106" t="str">
        <f>IFERROR(__xludf.DUMMYFUNCTION("""COMPUTED_VALUE"""),"")</f>
        <v/>
      </c>
      <c r="R704" s="136" t="str">
        <f>IFERROR(__xludf.DUMMYFUNCTION("""COMPUTED_VALUE"""),"")</f>
        <v/>
      </c>
      <c r="S704" s="106" t="str">
        <f>IFERROR(__xludf.DUMMYFUNCTION("""COMPUTED_VALUE"""),"")</f>
        <v/>
      </c>
    </row>
    <row r="705">
      <c r="A705" s="136" t="s">
        <v>133</v>
      </c>
      <c r="B705" s="136"/>
      <c r="C705" s="136" t="s">
        <v>133</v>
      </c>
      <c r="D705" s="136"/>
      <c r="E705" s="106"/>
      <c r="F705" s="136" t="str">
        <f>IFERROR(__xludf.DUMMYFUNCTION("""COMPUTED_VALUE"""),"")</f>
        <v/>
      </c>
      <c r="G705" s="106" t="str">
        <f>IFERROR(__xludf.DUMMYFUNCTION("""COMPUTED_VALUE"""),"")</f>
        <v/>
      </c>
      <c r="I705" s="136" t="str">
        <f>IFERROR(__xludf.DUMMYFUNCTION("""COMPUTED_VALUE"""),"")</f>
        <v/>
      </c>
      <c r="J705" s="106" t="str">
        <f>IFERROR(__xludf.DUMMYFUNCTION("""COMPUTED_VALUE"""),"")</f>
        <v/>
      </c>
      <c r="L705" s="136" t="str">
        <f>IFERROR(__xludf.DUMMYFUNCTION("""COMPUTED_VALUE"""),"")</f>
        <v/>
      </c>
      <c r="M705" s="106" t="str">
        <f>IFERROR(__xludf.DUMMYFUNCTION("""COMPUTED_VALUE"""),"")</f>
        <v/>
      </c>
      <c r="O705" s="136" t="str">
        <f>IFERROR(__xludf.DUMMYFUNCTION("""COMPUTED_VALUE"""),"")</f>
        <v/>
      </c>
      <c r="P705" s="106" t="str">
        <f>IFERROR(__xludf.DUMMYFUNCTION("""COMPUTED_VALUE"""),"")</f>
        <v/>
      </c>
      <c r="R705" s="136" t="str">
        <f>IFERROR(__xludf.DUMMYFUNCTION("""COMPUTED_VALUE"""),"")</f>
        <v/>
      </c>
      <c r="S705" s="106" t="str">
        <f>IFERROR(__xludf.DUMMYFUNCTION("""COMPUTED_VALUE"""),"")</f>
        <v/>
      </c>
    </row>
    <row r="706">
      <c r="A706" s="136" t="s">
        <v>133</v>
      </c>
      <c r="B706" s="136"/>
      <c r="C706" s="136" t="s">
        <v>133</v>
      </c>
      <c r="D706" s="136"/>
      <c r="E706" s="106"/>
      <c r="F706" s="136" t="str">
        <f>IFERROR(__xludf.DUMMYFUNCTION("""COMPUTED_VALUE"""),"")</f>
        <v/>
      </c>
      <c r="G706" s="106" t="str">
        <f>IFERROR(__xludf.DUMMYFUNCTION("""COMPUTED_VALUE"""),"")</f>
        <v/>
      </c>
      <c r="I706" s="136" t="str">
        <f>IFERROR(__xludf.DUMMYFUNCTION("""COMPUTED_VALUE"""),"")</f>
        <v/>
      </c>
      <c r="J706" s="106" t="str">
        <f>IFERROR(__xludf.DUMMYFUNCTION("""COMPUTED_VALUE"""),"")</f>
        <v/>
      </c>
      <c r="L706" s="136" t="str">
        <f>IFERROR(__xludf.DUMMYFUNCTION("""COMPUTED_VALUE"""),"")</f>
        <v/>
      </c>
      <c r="M706" s="106" t="str">
        <f>IFERROR(__xludf.DUMMYFUNCTION("""COMPUTED_VALUE"""),"")</f>
        <v/>
      </c>
      <c r="O706" s="136" t="str">
        <f>IFERROR(__xludf.DUMMYFUNCTION("""COMPUTED_VALUE"""),"")</f>
        <v/>
      </c>
      <c r="P706" s="106" t="str">
        <f>IFERROR(__xludf.DUMMYFUNCTION("""COMPUTED_VALUE"""),"")</f>
        <v/>
      </c>
      <c r="R706" s="136" t="str">
        <f>IFERROR(__xludf.DUMMYFUNCTION("""COMPUTED_VALUE"""),"")</f>
        <v/>
      </c>
      <c r="S706" s="106" t="str">
        <f>IFERROR(__xludf.DUMMYFUNCTION("""COMPUTED_VALUE"""),"")</f>
        <v/>
      </c>
    </row>
    <row r="707">
      <c r="A707" s="136" t="s">
        <v>133</v>
      </c>
      <c r="B707" s="136"/>
      <c r="C707" s="136" t="s">
        <v>133</v>
      </c>
      <c r="D707" s="136"/>
      <c r="E707" s="106"/>
      <c r="F707" s="136" t="str">
        <f>IFERROR(__xludf.DUMMYFUNCTION("""COMPUTED_VALUE"""),"")</f>
        <v/>
      </c>
      <c r="G707" s="106" t="str">
        <f>IFERROR(__xludf.DUMMYFUNCTION("""COMPUTED_VALUE"""),"")</f>
        <v/>
      </c>
      <c r="I707" s="136" t="str">
        <f>IFERROR(__xludf.DUMMYFUNCTION("""COMPUTED_VALUE"""),"")</f>
        <v/>
      </c>
      <c r="J707" s="106" t="str">
        <f>IFERROR(__xludf.DUMMYFUNCTION("""COMPUTED_VALUE"""),"")</f>
        <v/>
      </c>
      <c r="L707" s="136" t="str">
        <f>IFERROR(__xludf.DUMMYFUNCTION("""COMPUTED_VALUE"""),"")</f>
        <v/>
      </c>
      <c r="M707" s="106" t="str">
        <f>IFERROR(__xludf.DUMMYFUNCTION("""COMPUTED_VALUE"""),"")</f>
        <v/>
      </c>
      <c r="O707" s="136" t="str">
        <f>IFERROR(__xludf.DUMMYFUNCTION("""COMPUTED_VALUE"""),"")</f>
        <v/>
      </c>
      <c r="P707" s="106" t="str">
        <f>IFERROR(__xludf.DUMMYFUNCTION("""COMPUTED_VALUE"""),"")</f>
        <v/>
      </c>
      <c r="R707" s="136" t="str">
        <f>IFERROR(__xludf.DUMMYFUNCTION("""COMPUTED_VALUE"""),"")</f>
        <v/>
      </c>
      <c r="S707" s="106" t="str">
        <f>IFERROR(__xludf.DUMMYFUNCTION("""COMPUTED_VALUE"""),"")</f>
        <v/>
      </c>
    </row>
    <row r="708">
      <c r="A708" s="136" t="s">
        <v>133</v>
      </c>
      <c r="B708" s="136"/>
      <c r="C708" s="136" t="s">
        <v>133</v>
      </c>
      <c r="D708" s="136"/>
      <c r="E708" s="106"/>
      <c r="F708" s="136" t="str">
        <f>IFERROR(__xludf.DUMMYFUNCTION("""COMPUTED_VALUE"""),"")</f>
        <v/>
      </c>
      <c r="G708" s="106" t="str">
        <f>IFERROR(__xludf.DUMMYFUNCTION("""COMPUTED_VALUE"""),"")</f>
        <v/>
      </c>
      <c r="I708" s="136" t="str">
        <f>IFERROR(__xludf.DUMMYFUNCTION("""COMPUTED_VALUE"""),"")</f>
        <v/>
      </c>
      <c r="J708" s="106" t="str">
        <f>IFERROR(__xludf.DUMMYFUNCTION("""COMPUTED_VALUE"""),"")</f>
        <v/>
      </c>
      <c r="L708" s="136" t="str">
        <f>IFERROR(__xludf.DUMMYFUNCTION("""COMPUTED_VALUE"""),"")</f>
        <v/>
      </c>
      <c r="M708" s="106" t="str">
        <f>IFERROR(__xludf.DUMMYFUNCTION("""COMPUTED_VALUE"""),"")</f>
        <v/>
      </c>
      <c r="O708" s="136" t="str">
        <f>IFERROR(__xludf.DUMMYFUNCTION("""COMPUTED_VALUE"""),"")</f>
        <v/>
      </c>
      <c r="P708" s="106" t="str">
        <f>IFERROR(__xludf.DUMMYFUNCTION("""COMPUTED_VALUE"""),"")</f>
        <v/>
      </c>
      <c r="R708" s="136" t="str">
        <f>IFERROR(__xludf.DUMMYFUNCTION("""COMPUTED_VALUE"""),"")</f>
        <v/>
      </c>
      <c r="S708" s="106" t="str">
        <f>IFERROR(__xludf.DUMMYFUNCTION("""COMPUTED_VALUE"""),"")</f>
        <v/>
      </c>
    </row>
    <row r="709">
      <c r="A709" s="136" t="s">
        <v>133</v>
      </c>
      <c r="B709" s="136"/>
      <c r="C709" s="136" t="s">
        <v>133</v>
      </c>
      <c r="D709" s="136"/>
      <c r="E709" s="106"/>
      <c r="F709" s="136" t="str">
        <f>IFERROR(__xludf.DUMMYFUNCTION("""COMPUTED_VALUE"""),"")</f>
        <v/>
      </c>
      <c r="G709" s="106" t="str">
        <f>IFERROR(__xludf.DUMMYFUNCTION("""COMPUTED_VALUE"""),"")</f>
        <v/>
      </c>
      <c r="I709" s="136" t="str">
        <f>IFERROR(__xludf.DUMMYFUNCTION("""COMPUTED_VALUE"""),"")</f>
        <v/>
      </c>
      <c r="J709" s="106" t="str">
        <f>IFERROR(__xludf.DUMMYFUNCTION("""COMPUTED_VALUE"""),"")</f>
        <v/>
      </c>
      <c r="L709" s="136" t="str">
        <f>IFERROR(__xludf.DUMMYFUNCTION("""COMPUTED_VALUE"""),"")</f>
        <v/>
      </c>
      <c r="M709" s="106" t="str">
        <f>IFERROR(__xludf.DUMMYFUNCTION("""COMPUTED_VALUE"""),"")</f>
        <v/>
      </c>
      <c r="O709" s="136" t="str">
        <f>IFERROR(__xludf.DUMMYFUNCTION("""COMPUTED_VALUE"""),"")</f>
        <v/>
      </c>
      <c r="P709" s="106" t="str">
        <f>IFERROR(__xludf.DUMMYFUNCTION("""COMPUTED_VALUE"""),"")</f>
        <v/>
      </c>
      <c r="R709" s="136" t="str">
        <f>IFERROR(__xludf.DUMMYFUNCTION("""COMPUTED_VALUE"""),"")</f>
        <v/>
      </c>
      <c r="S709" s="106" t="str">
        <f>IFERROR(__xludf.DUMMYFUNCTION("""COMPUTED_VALUE"""),"")</f>
        <v/>
      </c>
    </row>
    <row r="710">
      <c r="A710" s="136" t="s">
        <v>133</v>
      </c>
      <c r="B710" s="136"/>
      <c r="C710" s="136" t="s">
        <v>133</v>
      </c>
      <c r="D710" s="136"/>
      <c r="E710" s="106"/>
      <c r="F710" s="136" t="str">
        <f>IFERROR(__xludf.DUMMYFUNCTION("""COMPUTED_VALUE"""),"")</f>
        <v/>
      </c>
      <c r="G710" s="106" t="str">
        <f>IFERROR(__xludf.DUMMYFUNCTION("""COMPUTED_VALUE"""),"")</f>
        <v/>
      </c>
      <c r="I710" s="136" t="str">
        <f>IFERROR(__xludf.DUMMYFUNCTION("""COMPUTED_VALUE"""),"")</f>
        <v/>
      </c>
      <c r="J710" s="106" t="str">
        <f>IFERROR(__xludf.DUMMYFUNCTION("""COMPUTED_VALUE"""),"")</f>
        <v/>
      </c>
      <c r="L710" s="136" t="str">
        <f>IFERROR(__xludf.DUMMYFUNCTION("""COMPUTED_VALUE"""),"")</f>
        <v/>
      </c>
      <c r="M710" s="106" t="str">
        <f>IFERROR(__xludf.DUMMYFUNCTION("""COMPUTED_VALUE"""),"")</f>
        <v/>
      </c>
      <c r="O710" s="136" t="str">
        <f>IFERROR(__xludf.DUMMYFUNCTION("""COMPUTED_VALUE"""),"")</f>
        <v/>
      </c>
      <c r="P710" s="106" t="str">
        <f>IFERROR(__xludf.DUMMYFUNCTION("""COMPUTED_VALUE"""),"")</f>
        <v/>
      </c>
      <c r="R710" s="136" t="str">
        <f>IFERROR(__xludf.DUMMYFUNCTION("""COMPUTED_VALUE"""),"")</f>
        <v/>
      </c>
      <c r="S710" s="106" t="str">
        <f>IFERROR(__xludf.DUMMYFUNCTION("""COMPUTED_VALUE"""),"")</f>
        <v/>
      </c>
    </row>
    <row r="711">
      <c r="A711" s="136" t="s">
        <v>133</v>
      </c>
      <c r="B711" s="136"/>
      <c r="C711" s="136" t="s">
        <v>133</v>
      </c>
      <c r="D711" s="136"/>
      <c r="E711" s="106"/>
      <c r="F711" s="136" t="str">
        <f>IFERROR(__xludf.DUMMYFUNCTION("""COMPUTED_VALUE"""),"")</f>
        <v/>
      </c>
      <c r="G711" s="106" t="str">
        <f>IFERROR(__xludf.DUMMYFUNCTION("""COMPUTED_VALUE"""),"")</f>
        <v/>
      </c>
      <c r="I711" s="136" t="str">
        <f>IFERROR(__xludf.DUMMYFUNCTION("""COMPUTED_VALUE"""),"")</f>
        <v/>
      </c>
      <c r="J711" s="106" t="str">
        <f>IFERROR(__xludf.DUMMYFUNCTION("""COMPUTED_VALUE"""),"")</f>
        <v/>
      </c>
      <c r="L711" s="136" t="str">
        <f>IFERROR(__xludf.DUMMYFUNCTION("""COMPUTED_VALUE"""),"")</f>
        <v/>
      </c>
      <c r="M711" s="106" t="str">
        <f>IFERROR(__xludf.DUMMYFUNCTION("""COMPUTED_VALUE"""),"")</f>
        <v/>
      </c>
      <c r="O711" s="136" t="str">
        <f>IFERROR(__xludf.DUMMYFUNCTION("""COMPUTED_VALUE"""),"")</f>
        <v/>
      </c>
      <c r="P711" s="106" t="str">
        <f>IFERROR(__xludf.DUMMYFUNCTION("""COMPUTED_VALUE"""),"")</f>
        <v/>
      </c>
      <c r="R711" s="136" t="str">
        <f>IFERROR(__xludf.DUMMYFUNCTION("""COMPUTED_VALUE"""),"")</f>
        <v/>
      </c>
      <c r="S711" s="106" t="str">
        <f>IFERROR(__xludf.DUMMYFUNCTION("""COMPUTED_VALUE"""),"")</f>
        <v/>
      </c>
    </row>
    <row r="712">
      <c r="A712" s="136" t="s">
        <v>133</v>
      </c>
      <c r="B712" s="136"/>
      <c r="C712" s="136" t="s">
        <v>133</v>
      </c>
      <c r="D712" s="136"/>
      <c r="E712" s="106"/>
      <c r="F712" s="136" t="str">
        <f>IFERROR(__xludf.DUMMYFUNCTION("""COMPUTED_VALUE"""),"")</f>
        <v/>
      </c>
      <c r="G712" s="106" t="str">
        <f>IFERROR(__xludf.DUMMYFUNCTION("""COMPUTED_VALUE"""),"")</f>
        <v/>
      </c>
      <c r="I712" s="136" t="str">
        <f>IFERROR(__xludf.DUMMYFUNCTION("""COMPUTED_VALUE"""),"")</f>
        <v/>
      </c>
      <c r="J712" s="106" t="str">
        <f>IFERROR(__xludf.DUMMYFUNCTION("""COMPUTED_VALUE"""),"")</f>
        <v/>
      </c>
      <c r="L712" s="136" t="str">
        <f>IFERROR(__xludf.DUMMYFUNCTION("""COMPUTED_VALUE"""),"")</f>
        <v/>
      </c>
      <c r="M712" s="106" t="str">
        <f>IFERROR(__xludf.DUMMYFUNCTION("""COMPUTED_VALUE"""),"")</f>
        <v/>
      </c>
      <c r="O712" s="136" t="str">
        <f>IFERROR(__xludf.DUMMYFUNCTION("""COMPUTED_VALUE"""),"")</f>
        <v/>
      </c>
      <c r="P712" s="106" t="str">
        <f>IFERROR(__xludf.DUMMYFUNCTION("""COMPUTED_VALUE"""),"")</f>
        <v/>
      </c>
      <c r="R712" s="136" t="str">
        <f>IFERROR(__xludf.DUMMYFUNCTION("""COMPUTED_VALUE"""),"")</f>
        <v/>
      </c>
      <c r="S712" s="106" t="str">
        <f>IFERROR(__xludf.DUMMYFUNCTION("""COMPUTED_VALUE"""),"")</f>
        <v/>
      </c>
    </row>
    <row r="713">
      <c r="A713" s="136" t="s">
        <v>133</v>
      </c>
      <c r="B713" s="136"/>
      <c r="C713" s="136" t="s">
        <v>133</v>
      </c>
      <c r="D713" s="136"/>
      <c r="E713" s="106"/>
      <c r="F713" s="136" t="str">
        <f>IFERROR(__xludf.DUMMYFUNCTION("""COMPUTED_VALUE"""),"")</f>
        <v/>
      </c>
      <c r="G713" s="106" t="str">
        <f>IFERROR(__xludf.DUMMYFUNCTION("""COMPUTED_VALUE"""),"")</f>
        <v/>
      </c>
      <c r="I713" s="136" t="str">
        <f>IFERROR(__xludf.DUMMYFUNCTION("""COMPUTED_VALUE"""),"")</f>
        <v/>
      </c>
      <c r="J713" s="106" t="str">
        <f>IFERROR(__xludf.DUMMYFUNCTION("""COMPUTED_VALUE"""),"")</f>
        <v/>
      </c>
      <c r="L713" s="136" t="str">
        <f>IFERROR(__xludf.DUMMYFUNCTION("""COMPUTED_VALUE"""),"")</f>
        <v/>
      </c>
      <c r="M713" s="106" t="str">
        <f>IFERROR(__xludf.DUMMYFUNCTION("""COMPUTED_VALUE"""),"")</f>
        <v/>
      </c>
      <c r="O713" s="136" t="str">
        <f>IFERROR(__xludf.DUMMYFUNCTION("""COMPUTED_VALUE"""),"")</f>
        <v/>
      </c>
      <c r="P713" s="106" t="str">
        <f>IFERROR(__xludf.DUMMYFUNCTION("""COMPUTED_VALUE"""),"")</f>
        <v/>
      </c>
      <c r="R713" s="136" t="str">
        <f>IFERROR(__xludf.DUMMYFUNCTION("""COMPUTED_VALUE"""),"")</f>
        <v/>
      </c>
      <c r="S713" s="106" t="str">
        <f>IFERROR(__xludf.DUMMYFUNCTION("""COMPUTED_VALUE"""),"")</f>
        <v/>
      </c>
    </row>
    <row r="714">
      <c r="A714" s="136" t="s">
        <v>133</v>
      </c>
      <c r="B714" s="136"/>
      <c r="C714" s="136" t="s">
        <v>133</v>
      </c>
      <c r="D714" s="136"/>
      <c r="E714" s="106"/>
      <c r="F714" s="136" t="str">
        <f>IFERROR(__xludf.DUMMYFUNCTION("""COMPUTED_VALUE"""),"")</f>
        <v/>
      </c>
      <c r="G714" s="106" t="str">
        <f>IFERROR(__xludf.DUMMYFUNCTION("""COMPUTED_VALUE"""),"")</f>
        <v/>
      </c>
      <c r="I714" s="136" t="str">
        <f>IFERROR(__xludf.DUMMYFUNCTION("""COMPUTED_VALUE"""),"")</f>
        <v/>
      </c>
      <c r="J714" s="106" t="str">
        <f>IFERROR(__xludf.DUMMYFUNCTION("""COMPUTED_VALUE"""),"")</f>
        <v/>
      </c>
      <c r="L714" s="136" t="str">
        <f>IFERROR(__xludf.DUMMYFUNCTION("""COMPUTED_VALUE"""),"")</f>
        <v/>
      </c>
      <c r="M714" s="106" t="str">
        <f>IFERROR(__xludf.DUMMYFUNCTION("""COMPUTED_VALUE"""),"")</f>
        <v/>
      </c>
      <c r="O714" s="136" t="str">
        <f>IFERROR(__xludf.DUMMYFUNCTION("""COMPUTED_VALUE"""),"")</f>
        <v/>
      </c>
      <c r="P714" s="106" t="str">
        <f>IFERROR(__xludf.DUMMYFUNCTION("""COMPUTED_VALUE"""),"")</f>
        <v/>
      </c>
      <c r="R714" s="136" t="str">
        <f>IFERROR(__xludf.DUMMYFUNCTION("""COMPUTED_VALUE"""),"")</f>
        <v/>
      </c>
      <c r="S714" s="106" t="str">
        <f>IFERROR(__xludf.DUMMYFUNCTION("""COMPUTED_VALUE"""),"")</f>
        <v/>
      </c>
    </row>
    <row r="715">
      <c r="A715" s="136" t="s">
        <v>133</v>
      </c>
      <c r="B715" s="136"/>
      <c r="C715" s="136" t="s">
        <v>133</v>
      </c>
      <c r="D715" s="136"/>
      <c r="E715" s="106"/>
      <c r="F715" s="136" t="str">
        <f>IFERROR(__xludf.DUMMYFUNCTION("""COMPUTED_VALUE"""),"")</f>
        <v/>
      </c>
      <c r="G715" s="106" t="str">
        <f>IFERROR(__xludf.DUMMYFUNCTION("""COMPUTED_VALUE"""),"")</f>
        <v/>
      </c>
      <c r="I715" s="136" t="str">
        <f>IFERROR(__xludf.DUMMYFUNCTION("""COMPUTED_VALUE"""),"")</f>
        <v/>
      </c>
      <c r="J715" s="106" t="str">
        <f>IFERROR(__xludf.DUMMYFUNCTION("""COMPUTED_VALUE"""),"")</f>
        <v/>
      </c>
      <c r="L715" s="136" t="str">
        <f>IFERROR(__xludf.DUMMYFUNCTION("""COMPUTED_VALUE"""),"")</f>
        <v/>
      </c>
      <c r="M715" s="106" t="str">
        <f>IFERROR(__xludf.DUMMYFUNCTION("""COMPUTED_VALUE"""),"")</f>
        <v/>
      </c>
      <c r="O715" s="136" t="str">
        <f>IFERROR(__xludf.DUMMYFUNCTION("""COMPUTED_VALUE"""),"")</f>
        <v/>
      </c>
      <c r="P715" s="106" t="str">
        <f>IFERROR(__xludf.DUMMYFUNCTION("""COMPUTED_VALUE"""),"")</f>
        <v/>
      </c>
      <c r="R715" s="136" t="str">
        <f>IFERROR(__xludf.DUMMYFUNCTION("""COMPUTED_VALUE"""),"")</f>
        <v/>
      </c>
      <c r="S715" s="106" t="str">
        <f>IFERROR(__xludf.DUMMYFUNCTION("""COMPUTED_VALUE"""),"")</f>
        <v/>
      </c>
    </row>
    <row r="716">
      <c r="A716" s="136" t="s">
        <v>133</v>
      </c>
      <c r="B716" s="136"/>
      <c r="C716" s="136" t="s">
        <v>133</v>
      </c>
      <c r="D716" s="136"/>
      <c r="E716" s="106"/>
      <c r="F716" s="136" t="str">
        <f>IFERROR(__xludf.DUMMYFUNCTION("""COMPUTED_VALUE"""),"")</f>
        <v/>
      </c>
      <c r="G716" s="106" t="str">
        <f>IFERROR(__xludf.DUMMYFUNCTION("""COMPUTED_VALUE"""),"")</f>
        <v/>
      </c>
      <c r="I716" s="136" t="str">
        <f>IFERROR(__xludf.DUMMYFUNCTION("""COMPUTED_VALUE"""),"")</f>
        <v/>
      </c>
      <c r="J716" s="106" t="str">
        <f>IFERROR(__xludf.DUMMYFUNCTION("""COMPUTED_VALUE"""),"")</f>
        <v/>
      </c>
      <c r="L716" s="136" t="str">
        <f>IFERROR(__xludf.DUMMYFUNCTION("""COMPUTED_VALUE"""),"")</f>
        <v/>
      </c>
      <c r="M716" s="106" t="str">
        <f>IFERROR(__xludf.DUMMYFUNCTION("""COMPUTED_VALUE"""),"")</f>
        <v/>
      </c>
      <c r="O716" s="136" t="str">
        <f>IFERROR(__xludf.DUMMYFUNCTION("""COMPUTED_VALUE"""),"")</f>
        <v/>
      </c>
      <c r="P716" s="106" t="str">
        <f>IFERROR(__xludf.DUMMYFUNCTION("""COMPUTED_VALUE"""),"")</f>
        <v/>
      </c>
      <c r="R716" s="136" t="str">
        <f>IFERROR(__xludf.DUMMYFUNCTION("""COMPUTED_VALUE"""),"")</f>
        <v/>
      </c>
      <c r="S716" s="106" t="str">
        <f>IFERROR(__xludf.DUMMYFUNCTION("""COMPUTED_VALUE"""),"")</f>
        <v/>
      </c>
    </row>
    <row r="717">
      <c r="A717" s="136" t="s">
        <v>133</v>
      </c>
      <c r="B717" s="136"/>
      <c r="C717" s="136" t="s">
        <v>133</v>
      </c>
      <c r="D717" s="136"/>
      <c r="E717" s="106"/>
      <c r="F717" s="136" t="str">
        <f>IFERROR(__xludf.DUMMYFUNCTION("""COMPUTED_VALUE"""),"")</f>
        <v/>
      </c>
      <c r="G717" s="106" t="str">
        <f>IFERROR(__xludf.DUMMYFUNCTION("""COMPUTED_VALUE"""),"")</f>
        <v/>
      </c>
      <c r="I717" s="136" t="str">
        <f>IFERROR(__xludf.DUMMYFUNCTION("""COMPUTED_VALUE"""),"")</f>
        <v/>
      </c>
      <c r="J717" s="106" t="str">
        <f>IFERROR(__xludf.DUMMYFUNCTION("""COMPUTED_VALUE"""),"")</f>
        <v/>
      </c>
      <c r="L717" s="136" t="str">
        <f>IFERROR(__xludf.DUMMYFUNCTION("""COMPUTED_VALUE"""),"")</f>
        <v/>
      </c>
      <c r="M717" s="106" t="str">
        <f>IFERROR(__xludf.DUMMYFUNCTION("""COMPUTED_VALUE"""),"")</f>
        <v/>
      </c>
      <c r="O717" s="136" t="str">
        <f>IFERROR(__xludf.DUMMYFUNCTION("""COMPUTED_VALUE"""),"")</f>
        <v/>
      </c>
      <c r="P717" s="106" t="str">
        <f>IFERROR(__xludf.DUMMYFUNCTION("""COMPUTED_VALUE"""),"")</f>
        <v/>
      </c>
      <c r="R717" s="136" t="str">
        <f>IFERROR(__xludf.DUMMYFUNCTION("""COMPUTED_VALUE"""),"")</f>
        <v/>
      </c>
      <c r="S717" s="106" t="str">
        <f>IFERROR(__xludf.DUMMYFUNCTION("""COMPUTED_VALUE"""),"")</f>
        <v/>
      </c>
    </row>
    <row r="718">
      <c r="A718" s="136" t="s">
        <v>133</v>
      </c>
      <c r="B718" s="136"/>
      <c r="C718" s="136" t="s">
        <v>133</v>
      </c>
      <c r="D718" s="136"/>
      <c r="E718" s="106"/>
      <c r="F718" s="136" t="str">
        <f>IFERROR(__xludf.DUMMYFUNCTION("""COMPUTED_VALUE"""),"")</f>
        <v/>
      </c>
      <c r="G718" s="106" t="str">
        <f>IFERROR(__xludf.DUMMYFUNCTION("""COMPUTED_VALUE"""),"")</f>
        <v/>
      </c>
      <c r="I718" s="136" t="str">
        <f>IFERROR(__xludf.DUMMYFUNCTION("""COMPUTED_VALUE"""),"")</f>
        <v/>
      </c>
      <c r="J718" s="106" t="str">
        <f>IFERROR(__xludf.DUMMYFUNCTION("""COMPUTED_VALUE"""),"")</f>
        <v/>
      </c>
      <c r="L718" s="136" t="str">
        <f>IFERROR(__xludf.DUMMYFUNCTION("""COMPUTED_VALUE"""),"")</f>
        <v/>
      </c>
      <c r="M718" s="106" t="str">
        <f>IFERROR(__xludf.DUMMYFUNCTION("""COMPUTED_VALUE"""),"")</f>
        <v/>
      </c>
      <c r="O718" s="136" t="str">
        <f>IFERROR(__xludf.DUMMYFUNCTION("""COMPUTED_VALUE"""),"")</f>
        <v/>
      </c>
      <c r="P718" s="106" t="str">
        <f>IFERROR(__xludf.DUMMYFUNCTION("""COMPUTED_VALUE"""),"")</f>
        <v/>
      </c>
      <c r="R718" s="136" t="str">
        <f>IFERROR(__xludf.DUMMYFUNCTION("""COMPUTED_VALUE"""),"")</f>
        <v/>
      </c>
      <c r="S718" s="106" t="str">
        <f>IFERROR(__xludf.DUMMYFUNCTION("""COMPUTED_VALUE"""),"")</f>
        <v/>
      </c>
    </row>
    <row r="719">
      <c r="A719" s="136" t="s">
        <v>133</v>
      </c>
      <c r="B719" s="136"/>
      <c r="C719" s="136" t="s">
        <v>133</v>
      </c>
      <c r="D719" s="136"/>
      <c r="E719" s="106"/>
      <c r="F719" s="136" t="str">
        <f>IFERROR(__xludf.DUMMYFUNCTION("""COMPUTED_VALUE"""),"")</f>
        <v/>
      </c>
      <c r="G719" s="106" t="str">
        <f>IFERROR(__xludf.DUMMYFUNCTION("""COMPUTED_VALUE"""),"")</f>
        <v/>
      </c>
      <c r="I719" s="136" t="str">
        <f>IFERROR(__xludf.DUMMYFUNCTION("""COMPUTED_VALUE"""),"")</f>
        <v/>
      </c>
      <c r="J719" s="106" t="str">
        <f>IFERROR(__xludf.DUMMYFUNCTION("""COMPUTED_VALUE"""),"")</f>
        <v/>
      </c>
      <c r="L719" s="136" t="str">
        <f>IFERROR(__xludf.DUMMYFUNCTION("""COMPUTED_VALUE"""),"")</f>
        <v/>
      </c>
      <c r="M719" s="106" t="str">
        <f>IFERROR(__xludf.DUMMYFUNCTION("""COMPUTED_VALUE"""),"")</f>
        <v/>
      </c>
      <c r="O719" s="136" t="str">
        <f>IFERROR(__xludf.DUMMYFUNCTION("""COMPUTED_VALUE"""),"")</f>
        <v/>
      </c>
      <c r="P719" s="106" t="str">
        <f>IFERROR(__xludf.DUMMYFUNCTION("""COMPUTED_VALUE"""),"")</f>
        <v/>
      </c>
      <c r="R719" s="136" t="str">
        <f>IFERROR(__xludf.DUMMYFUNCTION("""COMPUTED_VALUE"""),"")</f>
        <v/>
      </c>
      <c r="S719" s="106" t="str">
        <f>IFERROR(__xludf.DUMMYFUNCTION("""COMPUTED_VALUE"""),"")</f>
        <v/>
      </c>
    </row>
    <row r="720">
      <c r="A720" s="136" t="s">
        <v>133</v>
      </c>
      <c r="B720" s="136"/>
      <c r="C720" s="136" t="s">
        <v>133</v>
      </c>
      <c r="D720" s="136"/>
      <c r="E720" s="106"/>
      <c r="F720" s="136" t="str">
        <f>IFERROR(__xludf.DUMMYFUNCTION("""COMPUTED_VALUE"""),"")</f>
        <v/>
      </c>
      <c r="G720" s="106" t="str">
        <f>IFERROR(__xludf.DUMMYFUNCTION("""COMPUTED_VALUE"""),"")</f>
        <v/>
      </c>
      <c r="I720" s="136" t="str">
        <f>IFERROR(__xludf.DUMMYFUNCTION("""COMPUTED_VALUE"""),"")</f>
        <v/>
      </c>
      <c r="J720" s="106" t="str">
        <f>IFERROR(__xludf.DUMMYFUNCTION("""COMPUTED_VALUE"""),"")</f>
        <v/>
      </c>
      <c r="L720" s="136" t="str">
        <f>IFERROR(__xludf.DUMMYFUNCTION("""COMPUTED_VALUE"""),"")</f>
        <v/>
      </c>
      <c r="M720" s="106" t="str">
        <f>IFERROR(__xludf.DUMMYFUNCTION("""COMPUTED_VALUE"""),"")</f>
        <v/>
      </c>
      <c r="O720" s="136" t="str">
        <f>IFERROR(__xludf.DUMMYFUNCTION("""COMPUTED_VALUE"""),"")</f>
        <v/>
      </c>
      <c r="P720" s="106" t="str">
        <f>IFERROR(__xludf.DUMMYFUNCTION("""COMPUTED_VALUE"""),"")</f>
        <v/>
      </c>
      <c r="R720" s="136" t="str">
        <f>IFERROR(__xludf.DUMMYFUNCTION("""COMPUTED_VALUE"""),"")</f>
        <v/>
      </c>
      <c r="S720" s="106" t="str">
        <f>IFERROR(__xludf.DUMMYFUNCTION("""COMPUTED_VALUE"""),"")</f>
        <v/>
      </c>
    </row>
    <row r="721">
      <c r="A721" s="136" t="s">
        <v>133</v>
      </c>
      <c r="B721" s="136"/>
      <c r="C721" s="136" t="s">
        <v>133</v>
      </c>
      <c r="D721" s="136"/>
      <c r="E721" s="106"/>
      <c r="F721" s="136" t="str">
        <f>IFERROR(__xludf.DUMMYFUNCTION("""COMPUTED_VALUE"""),"")</f>
        <v/>
      </c>
      <c r="G721" s="106" t="str">
        <f>IFERROR(__xludf.DUMMYFUNCTION("""COMPUTED_VALUE"""),"")</f>
        <v/>
      </c>
      <c r="I721" s="136" t="str">
        <f>IFERROR(__xludf.DUMMYFUNCTION("""COMPUTED_VALUE"""),"")</f>
        <v/>
      </c>
      <c r="J721" s="106" t="str">
        <f>IFERROR(__xludf.DUMMYFUNCTION("""COMPUTED_VALUE"""),"")</f>
        <v/>
      </c>
      <c r="L721" s="136" t="str">
        <f>IFERROR(__xludf.DUMMYFUNCTION("""COMPUTED_VALUE"""),"")</f>
        <v/>
      </c>
      <c r="M721" s="106" t="str">
        <f>IFERROR(__xludf.DUMMYFUNCTION("""COMPUTED_VALUE"""),"")</f>
        <v/>
      </c>
      <c r="O721" s="136" t="str">
        <f>IFERROR(__xludf.DUMMYFUNCTION("""COMPUTED_VALUE"""),"")</f>
        <v/>
      </c>
      <c r="P721" s="106" t="str">
        <f>IFERROR(__xludf.DUMMYFUNCTION("""COMPUTED_VALUE"""),"")</f>
        <v/>
      </c>
      <c r="R721" s="136" t="str">
        <f>IFERROR(__xludf.DUMMYFUNCTION("""COMPUTED_VALUE"""),"")</f>
        <v/>
      </c>
      <c r="S721" s="106" t="str">
        <f>IFERROR(__xludf.DUMMYFUNCTION("""COMPUTED_VALUE"""),"")</f>
        <v/>
      </c>
    </row>
    <row r="722">
      <c r="A722" s="136" t="s">
        <v>133</v>
      </c>
      <c r="B722" s="136"/>
      <c r="C722" s="136" t="s">
        <v>133</v>
      </c>
      <c r="D722" s="136"/>
      <c r="E722" s="106"/>
      <c r="F722" s="136" t="str">
        <f>IFERROR(__xludf.DUMMYFUNCTION("""COMPUTED_VALUE"""),"")</f>
        <v/>
      </c>
      <c r="G722" s="106" t="str">
        <f>IFERROR(__xludf.DUMMYFUNCTION("""COMPUTED_VALUE"""),"")</f>
        <v/>
      </c>
      <c r="I722" s="136" t="str">
        <f>IFERROR(__xludf.DUMMYFUNCTION("""COMPUTED_VALUE"""),"")</f>
        <v/>
      </c>
      <c r="J722" s="106" t="str">
        <f>IFERROR(__xludf.DUMMYFUNCTION("""COMPUTED_VALUE"""),"")</f>
        <v/>
      </c>
      <c r="L722" s="136" t="str">
        <f>IFERROR(__xludf.DUMMYFUNCTION("""COMPUTED_VALUE"""),"")</f>
        <v/>
      </c>
      <c r="M722" s="106" t="str">
        <f>IFERROR(__xludf.DUMMYFUNCTION("""COMPUTED_VALUE"""),"")</f>
        <v/>
      </c>
      <c r="O722" s="136" t="str">
        <f>IFERROR(__xludf.DUMMYFUNCTION("""COMPUTED_VALUE"""),"")</f>
        <v/>
      </c>
      <c r="P722" s="106" t="str">
        <f>IFERROR(__xludf.DUMMYFUNCTION("""COMPUTED_VALUE"""),"")</f>
        <v/>
      </c>
      <c r="R722" s="136" t="str">
        <f>IFERROR(__xludf.DUMMYFUNCTION("""COMPUTED_VALUE"""),"")</f>
        <v/>
      </c>
      <c r="S722" s="106" t="str">
        <f>IFERROR(__xludf.DUMMYFUNCTION("""COMPUTED_VALUE"""),"")</f>
        <v/>
      </c>
    </row>
    <row r="723">
      <c r="A723" s="136" t="s">
        <v>133</v>
      </c>
      <c r="B723" s="136"/>
      <c r="C723" s="136" t="s">
        <v>133</v>
      </c>
      <c r="D723" s="136"/>
      <c r="E723" s="106"/>
      <c r="F723" s="136" t="str">
        <f>IFERROR(__xludf.DUMMYFUNCTION("""COMPUTED_VALUE"""),"")</f>
        <v/>
      </c>
      <c r="G723" s="106" t="str">
        <f>IFERROR(__xludf.DUMMYFUNCTION("""COMPUTED_VALUE"""),"")</f>
        <v/>
      </c>
      <c r="I723" s="136" t="str">
        <f>IFERROR(__xludf.DUMMYFUNCTION("""COMPUTED_VALUE"""),"")</f>
        <v/>
      </c>
      <c r="J723" s="106" t="str">
        <f>IFERROR(__xludf.DUMMYFUNCTION("""COMPUTED_VALUE"""),"")</f>
        <v/>
      </c>
      <c r="L723" s="136" t="str">
        <f>IFERROR(__xludf.DUMMYFUNCTION("""COMPUTED_VALUE"""),"")</f>
        <v/>
      </c>
      <c r="M723" s="106" t="str">
        <f>IFERROR(__xludf.DUMMYFUNCTION("""COMPUTED_VALUE"""),"")</f>
        <v/>
      </c>
      <c r="O723" s="136" t="str">
        <f>IFERROR(__xludf.DUMMYFUNCTION("""COMPUTED_VALUE"""),"")</f>
        <v/>
      </c>
      <c r="P723" s="106" t="str">
        <f>IFERROR(__xludf.DUMMYFUNCTION("""COMPUTED_VALUE"""),"")</f>
        <v/>
      </c>
      <c r="R723" s="136" t="str">
        <f>IFERROR(__xludf.DUMMYFUNCTION("""COMPUTED_VALUE"""),"")</f>
        <v/>
      </c>
      <c r="S723" s="106" t="str">
        <f>IFERROR(__xludf.DUMMYFUNCTION("""COMPUTED_VALUE"""),"")</f>
        <v/>
      </c>
    </row>
    <row r="724">
      <c r="A724" s="136" t="s">
        <v>133</v>
      </c>
      <c r="B724" s="136"/>
      <c r="C724" s="136" t="s">
        <v>133</v>
      </c>
      <c r="D724" s="136"/>
      <c r="E724" s="106"/>
      <c r="F724" s="136" t="str">
        <f>IFERROR(__xludf.DUMMYFUNCTION("""COMPUTED_VALUE"""),"")</f>
        <v/>
      </c>
      <c r="G724" s="106" t="str">
        <f>IFERROR(__xludf.DUMMYFUNCTION("""COMPUTED_VALUE"""),"")</f>
        <v/>
      </c>
      <c r="I724" s="136" t="str">
        <f>IFERROR(__xludf.DUMMYFUNCTION("""COMPUTED_VALUE"""),"")</f>
        <v/>
      </c>
      <c r="J724" s="106" t="str">
        <f>IFERROR(__xludf.DUMMYFUNCTION("""COMPUTED_VALUE"""),"")</f>
        <v/>
      </c>
      <c r="L724" s="136" t="str">
        <f>IFERROR(__xludf.DUMMYFUNCTION("""COMPUTED_VALUE"""),"")</f>
        <v/>
      </c>
      <c r="M724" s="106" t="str">
        <f>IFERROR(__xludf.DUMMYFUNCTION("""COMPUTED_VALUE"""),"")</f>
        <v/>
      </c>
      <c r="O724" s="136" t="str">
        <f>IFERROR(__xludf.DUMMYFUNCTION("""COMPUTED_VALUE"""),"")</f>
        <v/>
      </c>
      <c r="P724" s="106" t="str">
        <f>IFERROR(__xludf.DUMMYFUNCTION("""COMPUTED_VALUE"""),"")</f>
        <v/>
      </c>
      <c r="R724" s="136" t="str">
        <f>IFERROR(__xludf.DUMMYFUNCTION("""COMPUTED_VALUE"""),"")</f>
        <v/>
      </c>
      <c r="S724" s="106" t="str">
        <f>IFERROR(__xludf.DUMMYFUNCTION("""COMPUTED_VALUE"""),"")</f>
        <v/>
      </c>
    </row>
    <row r="725">
      <c r="A725" s="136" t="s">
        <v>133</v>
      </c>
      <c r="B725" s="136"/>
      <c r="C725" s="136" t="s">
        <v>133</v>
      </c>
      <c r="D725" s="136"/>
      <c r="E725" s="106"/>
      <c r="F725" s="136" t="str">
        <f>IFERROR(__xludf.DUMMYFUNCTION("""COMPUTED_VALUE"""),"")</f>
        <v/>
      </c>
      <c r="G725" s="106" t="str">
        <f>IFERROR(__xludf.DUMMYFUNCTION("""COMPUTED_VALUE"""),"")</f>
        <v/>
      </c>
      <c r="I725" s="136" t="str">
        <f>IFERROR(__xludf.DUMMYFUNCTION("""COMPUTED_VALUE"""),"")</f>
        <v/>
      </c>
      <c r="J725" s="106" t="str">
        <f>IFERROR(__xludf.DUMMYFUNCTION("""COMPUTED_VALUE"""),"")</f>
        <v/>
      </c>
      <c r="L725" s="136" t="str">
        <f>IFERROR(__xludf.DUMMYFUNCTION("""COMPUTED_VALUE"""),"")</f>
        <v/>
      </c>
      <c r="M725" s="106" t="str">
        <f>IFERROR(__xludf.DUMMYFUNCTION("""COMPUTED_VALUE"""),"")</f>
        <v/>
      </c>
      <c r="O725" s="136" t="str">
        <f>IFERROR(__xludf.DUMMYFUNCTION("""COMPUTED_VALUE"""),"")</f>
        <v/>
      </c>
      <c r="P725" s="106" t="str">
        <f>IFERROR(__xludf.DUMMYFUNCTION("""COMPUTED_VALUE"""),"")</f>
        <v/>
      </c>
      <c r="R725" s="136" t="str">
        <f>IFERROR(__xludf.DUMMYFUNCTION("""COMPUTED_VALUE"""),"")</f>
        <v/>
      </c>
      <c r="S725" s="106" t="str">
        <f>IFERROR(__xludf.DUMMYFUNCTION("""COMPUTED_VALUE"""),"")</f>
        <v/>
      </c>
    </row>
    <row r="726">
      <c r="A726" s="136" t="s">
        <v>133</v>
      </c>
      <c r="B726" s="136"/>
      <c r="C726" s="136" t="s">
        <v>133</v>
      </c>
      <c r="D726" s="136"/>
      <c r="E726" s="106"/>
      <c r="F726" s="136" t="str">
        <f>IFERROR(__xludf.DUMMYFUNCTION("""COMPUTED_VALUE"""),"")</f>
        <v/>
      </c>
      <c r="G726" s="106" t="str">
        <f>IFERROR(__xludf.DUMMYFUNCTION("""COMPUTED_VALUE"""),"")</f>
        <v/>
      </c>
      <c r="I726" s="136" t="str">
        <f>IFERROR(__xludf.DUMMYFUNCTION("""COMPUTED_VALUE"""),"")</f>
        <v/>
      </c>
      <c r="J726" s="106" t="str">
        <f>IFERROR(__xludf.DUMMYFUNCTION("""COMPUTED_VALUE"""),"")</f>
        <v/>
      </c>
      <c r="L726" s="136" t="str">
        <f>IFERROR(__xludf.DUMMYFUNCTION("""COMPUTED_VALUE"""),"")</f>
        <v/>
      </c>
      <c r="M726" s="106" t="str">
        <f>IFERROR(__xludf.DUMMYFUNCTION("""COMPUTED_VALUE"""),"")</f>
        <v/>
      </c>
      <c r="O726" s="136" t="str">
        <f>IFERROR(__xludf.DUMMYFUNCTION("""COMPUTED_VALUE"""),"")</f>
        <v/>
      </c>
      <c r="P726" s="106" t="str">
        <f>IFERROR(__xludf.DUMMYFUNCTION("""COMPUTED_VALUE"""),"")</f>
        <v/>
      </c>
      <c r="R726" s="136" t="str">
        <f>IFERROR(__xludf.DUMMYFUNCTION("""COMPUTED_VALUE"""),"")</f>
        <v/>
      </c>
      <c r="S726" s="106" t="str">
        <f>IFERROR(__xludf.DUMMYFUNCTION("""COMPUTED_VALUE"""),"")</f>
        <v/>
      </c>
    </row>
    <row r="727">
      <c r="A727" s="136" t="s">
        <v>133</v>
      </c>
      <c r="B727" s="136"/>
      <c r="C727" s="136" t="s">
        <v>133</v>
      </c>
      <c r="D727" s="136"/>
      <c r="E727" s="106"/>
      <c r="F727" s="136" t="str">
        <f>IFERROR(__xludf.DUMMYFUNCTION("""COMPUTED_VALUE"""),"")</f>
        <v/>
      </c>
      <c r="G727" s="106" t="str">
        <f>IFERROR(__xludf.DUMMYFUNCTION("""COMPUTED_VALUE"""),"")</f>
        <v/>
      </c>
      <c r="I727" s="136" t="str">
        <f>IFERROR(__xludf.DUMMYFUNCTION("""COMPUTED_VALUE"""),"")</f>
        <v/>
      </c>
      <c r="J727" s="106" t="str">
        <f>IFERROR(__xludf.DUMMYFUNCTION("""COMPUTED_VALUE"""),"")</f>
        <v/>
      </c>
      <c r="L727" s="136" t="str">
        <f>IFERROR(__xludf.DUMMYFUNCTION("""COMPUTED_VALUE"""),"")</f>
        <v/>
      </c>
      <c r="M727" s="106" t="str">
        <f>IFERROR(__xludf.DUMMYFUNCTION("""COMPUTED_VALUE"""),"")</f>
        <v/>
      </c>
      <c r="O727" s="136" t="str">
        <f>IFERROR(__xludf.DUMMYFUNCTION("""COMPUTED_VALUE"""),"")</f>
        <v/>
      </c>
      <c r="P727" s="106" t="str">
        <f>IFERROR(__xludf.DUMMYFUNCTION("""COMPUTED_VALUE"""),"")</f>
        <v/>
      </c>
      <c r="R727" s="136" t="str">
        <f>IFERROR(__xludf.DUMMYFUNCTION("""COMPUTED_VALUE"""),"")</f>
        <v/>
      </c>
      <c r="S727" s="106" t="str">
        <f>IFERROR(__xludf.DUMMYFUNCTION("""COMPUTED_VALUE"""),"")</f>
        <v/>
      </c>
    </row>
    <row r="728">
      <c r="A728" s="136" t="s">
        <v>133</v>
      </c>
      <c r="B728" s="136"/>
      <c r="C728" s="136" t="s">
        <v>133</v>
      </c>
      <c r="D728" s="136"/>
      <c r="E728" s="106"/>
      <c r="F728" s="136" t="str">
        <f>IFERROR(__xludf.DUMMYFUNCTION("""COMPUTED_VALUE"""),"")</f>
        <v/>
      </c>
      <c r="G728" s="106" t="str">
        <f>IFERROR(__xludf.DUMMYFUNCTION("""COMPUTED_VALUE"""),"")</f>
        <v/>
      </c>
      <c r="I728" s="136" t="str">
        <f>IFERROR(__xludf.DUMMYFUNCTION("""COMPUTED_VALUE"""),"")</f>
        <v/>
      </c>
      <c r="J728" s="106" t="str">
        <f>IFERROR(__xludf.DUMMYFUNCTION("""COMPUTED_VALUE"""),"")</f>
        <v/>
      </c>
      <c r="L728" s="136" t="str">
        <f>IFERROR(__xludf.DUMMYFUNCTION("""COMPUTED_VALUE"""),"")</f>
        <v/>
      </c>
      <c r="M728" s="106" t="str">
        <f>IFERROR(__xludf.DUMMYFUNCTION("""COMPUTED_VALUE"""),"")</f>
        <v/>
      </c>
      <c r="O728" s="136" t="str">
        <f>IFERROR(__xludf.DUMMYFUNCTION("""COMPUTED_VALUE"""),"")</f>
        <v/>
      </c>
      <c r="P728" s="106" t="str">
        <f>IFERROR(__xludf.DUMMYFUNCTION("""COMPUTED_VALUE"""),"")</f>
        <v/>
      </c>
      <c r="R728" s="136" t="str">
        <f>IFERROR(__xludf.DUMMYFUNCTION("""COMPUTED_VALUE"""),"")</f>
        <v/>
      </c>
      <c r="S728" s="106" t="str">
        <f>IFERROR(__xludf.DUMMYFUNCTION("""COMPUTED_VALUE"""),"")</f>
        <v/>
      </c>
    </row>
    <row r="729">
      <c r="A729" s="136" t="s">
        <v>133</v>
      </c>
      <c r="B729" s="136"/>
      <c r="C729" s="136" t="s">
        <v>133</v>
      </c>
      <c r="D729" s="136"/>
      <c r="E729" s="106"/>
      <c r="F729" s="136" t="str">
        <f>IFERROR(__xludf.DUMMYFUNCTION("""COMPUTED_VALUE"""),"")</f>
        <v/>
      </c>
      <c r="G729" s="106" t="str">
        <f>IFERROR(__xludf.DUMMYFUNCTION("""COMPUTED_VALUE"""),"")</f>
        <v/>
      </c>
      <c r="I729" s="136" t="str">
        <f>IFERROR(__xludf.DUMMYFUNCTION("""COMPUTED_VALUE"""),"")</f>
        <v/>
      </c>
      <c r="J729" s="106" t="str">
        <f>IFERROR(__xludf.DUMMYFUNCTION("""COMPUTED_VALUE"""),"")</f>
        <v/>
      </c>
      <c r="L729" s="136" t="str">
        <f>IFERROR(__xludf.DUMMYFUNCTION("""COMPUTED_VALUE"""),"")</f>
        <v/>
      </c>
      <c r="M729" s="106" t="str">
        <f>IFERROR(__xludf.DUMMYFUNCTION("""COMPUTED_VALUE"""),"")</f>
        <v/>
      </c>
      <c r="O729" s="136" t="str">
        <f>IFERROR(__xludf.DUMMYFUNCTION("""COMPUTED_VALUE"""),"")</f>
        <v/>
      </c>
      <c r="P729" s="106" t="str">
        <f>IFERROR(__xludf.DUMMYFUNCTION("""COMPUTED_VALUE"""),"")</f>
        <v/>
      </c>
      <c r="R729" s="136" t="str">
        <f>IFERROR(__xludf.DUMMYFUNCTION("""COMPUTED_VALUE"""),"")</f>
        <v/>
      </c>
      <c r="S729" s="106" t="str">
        <f>IFERROR(__xludf.DUMMYFUNCTION("""COMPUTED_VALUE"""),"")</f>
        <v/>
      </c>
    </row>
    <row r="730">
      <c r="A730" s="136" t="s">
        <v>133</v>
      </c>
      <c r="B730" s="136"/>
      <c r="C730" s="136" t="s">
        <v>133</v>
      </c>
      <c r="D730" s="136"/>
      <c r="E730" s="106"/>
      <c r="F730" s="136" t="str">
        <f>IFERROR(__xludf.DUMMYFUNCTION("""COMPUTED_VALUE"""),"")</f>
        <v/>
      </c>
      <c r="G730" s="106" t="str">
        <f>IFERROR(__xludf.DUMMYFUNCTION("""COMPUTED_VALUE"""),"")</f>
        <v/>
      </c>
      <c r="I730" s="136" t="str">
        <f>IFERROR(__xludf.DUMMYFUNCTION("""COMPUTED_VALUE"""),"")</f>
        <v/>
      </c>
      <c r="J730" s="106" t="str">
        <f>IFERROR(__xludf.DUMMYFUNCTION("""COMPUTED_VALUE"""),"")</f>
        <v/>
      </c>
      <c r="L730" s="136" t="str">
        <f>IFERROR(__xludf.DUMMYFUNCTION("""COMPUTED_VALUE"""),"")</f>
        <v/>
      </c>
      <c r="M730" s="106" t="str">
        <f>IFERROR(__xludf.DUMMYFUNCTION("""COMPUTED_VALUE"""),"")</f>
        <v/>
      </c>
      <c r="O730" s="136" t="str">
        <f>IFERROR(__xludf.DUMMYFUNCTION("""COMPUTED_VALUE"""),"")</f>
        <v/>
      </c>
      <c r="P730" s="106" t="str">
        <f>IFERROR(__xludf.DUMMYFUNCTION("""COMPUTED_VALUE"""),"")</f>
        <v/>
      </c>
      <c r="R730" s="136" t="str">
        <f>IFERROR(__xludf.DUMMYFUNCTION("""COMPUTED_VALUE"""),"")</f>
        <v/>
      </c>
      <c r="S730" s="106" t="str">
        <f>IFERROR(__xludf.DUMMYFUNCTION("""COMPUTED_VALUE"""),"")</f>
        <v/>
      </c>
    </row>
    <row r="731">
      <c r="A731" s="136" t="s">
        <v>133</v>
      </c>
      <c r="B731" s="136"/>
      <c r="C731" s="136" t="s">
        <v>133</v>
      </c>
      <c r="D731" s="136"/>
      <c r="E731" s="106"/>
      <c r="F731" s="136" t="str">
        <f>IFERROR(__xludf.DUMMYFUNCTION("""COMPUTED_VALUE"""),"")</f>
        <v/>
      </c>
      <c r="G731" s="106" t="str">
        <f>IFERROR(__xludf.DUMMYFUNCTION("""COMPUTED_VALUE"""),"")</f>
        <v/>
      </c>
      <c r="I731" s="136" t="str">
        <f>IFERROR(__xludf.DUMMYFUNCTION("""COMPUTED_VALUE"""),"")</f>
        <v/>
      </c>
      <c r="J731" s="106" t="str">
        <f>IFERROR(__xludf.DUMMYFUNCTION("""COMPUTED_VALUE"""),"")</f>
        <v/>
      </c>
      <c r="L731" s="136" t="str">
        <f>IFERROR(__xludf.DUMMYFUNCTION("""COMPUTED_VALUE"""),"")</f>
        <v/>
      </c>
      <c r="M731" s="106" t="str">
        <f>IFERROR(__xludf.DUMMYFUNCTION("""COMPUTED_VALUE"""),"")</f>
        <v/>
      </c>
      <c r="O731" s="136" t="str">
        <f>IFERROR(__xludf.DUMMYFUNCTION("""COMPUTED_VALUE"""),"")</f>
        <v/>
      </c>
      <c r="P731" s="106" t="str">
        <f>IFERROR(__xludf.DUMMYFUNCTION("""COMPUTED_VALUE"""),"")</f>
        <v/>
      </c>
      <c r="R731" s="136" t="str">
        <f>IFERROR(__xludf.DUMMYFUNCTION("""COMPUTED_VALUE"""),"")</f>
        <v/>
      </c>
      <c r="S731" s="106" t="str">
        <f>IFERROR(__xludf.DUMMYFUNCTION("""COMPUTED_VALUE"""),"")</f>
        <v/>
      </c>
    </row>
    <row r="732">
      <c r="A732" s="136" t="s">
        <v>133</v>
      </c>
      <c r="B732" s="136"/>
      <c r="C732" s="136" t="s">
        <v>133</v>
      </c>
      <c r="D732" s="136"/>
      <c r="E732" s="106"/>
      <c r="F732" s="136" t="str">
        <f>IFERROR(__xludf.DUMMYFUNCTION("""COMPUTED_VALUE"""),"")</f>
        <v/>
      </c>
      <c r="G732" s="106" t="str">
        <f>IFERROR(__xludf.DUMMYFUNCTION("""COMPUTED_VALUE"""),"")</f>
        <v/>
      </c>
      <c r="I732" s="136" t="str">
        <f>IFERROR(__xludf.DUMMYFUNCTION("""COMPUTED_VALUE"""),"")</f>
        <v/>
      </c>
      <c r="J732" s="106" t="str">
        <f>IFERROR(__xludf.DUMMYFUNCTION("""COMPUTED_VALUE"""),"")</f>
        <v/>
      </c>
      <c r="L732" s="136" t="str">
        <f>IFERROR(__xludf.DUMMYFUNCTION("""COMPUTED_VALUE"""),"")</f>
        <v/>
      </c>
      <c r="M732" s="106" t="str">
        <f>IFERROR(__xludf.DUMMYFUNCTION("""COMPUTED_VALUE"""),"")</f>
        <v/>
      </c>
      <c r="O732" s="136" t="str">
        <f>IFERROR(__xludf.DUMMYFUNCTION("""COMPUTED_VALUE"""),"")</f>
        <v/>
      </c>
      <c r="P732" s="106" t="str">
        <f>IFERROR(__xludf.DUMMYFUNCTION("""COMPUTED_VALUE"""),"")</f>
        <v/>
      </c>
      <c r="R732" s="136" t="str">
        <f>IFERROR(__xludf.DUMMYFUNCTION("""COMPUTED_VALUE"""),"")</f>
        <v/>
      </c>
      <c r="S732" s="106" t="str">
        <f>IFERROR(__xludf.DUMMYFUNCTION("""COMPUTED_VALUE"""),"")</f>
        <v/>
      </c>
    </row>
    <row r="733">
      <c r="A733" s="136" t="s">
        <v>133</v>
      </c>
      <c r="B733" s="136"/>
      <c r="C733" s="136" t="s">
        <v>133</v>
      </c>
      <c r="D733" s="136"/>
      <c r="E733" s="106"/>
      <c r="F733" s="136" t="str">
        <f>IFERROR(__xludf.DUMMYFUNCTION("""COMPUTED_VALUE"""),"")</f>
        <v/>
      </c>
      <c r="G733" s="106" t="str">
        <f>IFERROR(__xludf.DUMMYFUNCTION("""COMPUTED_VALUE"""),"")</f>
        <v/>
      </c>
      <c r="I733" s="136" t="str">
        <f>IFERROR(__xludf.DUMMYFUNCTION("""COMPUTED_VALUE"""),"")</f>
        <v/>
      </c>
      <c r="J733" s="106" t="str">
        <f>IFERROR(__xludf.DUMMYFUNCTION("""COMPUTED_VALUE"""),"")</f>
        <v/>
      </c>
      <c r="L733" s="136" t="str">
        <f>IFERROR(__xludf.DUMMYFUNCTION("""COMPUTED_VALUE"""),"")</f>
        <v/>
      </c>
      <c r="M733" s="106" t="str">
        <f>IFERROR(__xludf.DUMMYFUNCTION("""COMPUTED_VALUE"""),"")</f>
        <v/>
      </c>
      <c r="O733" s="136" t="str">
        <f>IFERROR(__xludf.DUMMYFUNCTION("""COMPUTED_VALUE"""),"")</f>
        <v/>
      </c>
      <c r="P733" s="106" t="str">
        <f>IFERROR(__xludf.DUMMYFUNCTION("""COMPUTED_VALUE"""),"")</f>
        <v/>
      </c>
      <c r="R733" s="136" t="str">
        <f>IFERROR(__xludf.DUMMYFUNCTION("""COMPUTED_VALUE"""),"")</f>
        <v/>
      </c>
      <c r="S733" s="106" t="str">
        <f>IFERROR(__xludf.DUMMYFUNCTION("""COMPUTED_VALUE"""),"")</f>
        <v/>
      </c>
    </row>
    <row r="734">
      <c r="A734" s="136" t="s">
        <v>133</v>
      </c>
      <c r="B734" s="136"/>
      <c r="C734" s="136" t="s">
        <v>133</v>
      </c>
      <c r="D734" s="136"/>
      <c r="E734" s="106"/>
      <c r="F734" s="136" t="str">
        <f>IFERROR(__xludf.DUMMYFUNCTION("""COMPUTED_VALUE"""),"")</f>
        <v/>
      </c>
      <c r="G734" s="106" t="str">
        <f>IFERROR(__xludf.DUMMYFUNCTION("""COMPUTED_VALUE"""),"")</f>
        <v/>
      </c>
      <c r="I734" s="136" t="str">
        <f>IFERROR(__xludf.DUMMYFUNCTION("""COMPUTED_VALUE"""),"")</f>
        <v/>
      </c>
      <c r="J734" s="106" t="str">
        <f>IFERROR(__xludf.DUMMYFUNCTION("""COMPUTED_VALUE"""),"")</f>
        <v/>
      </c>
      <c r="L734" s="136" t="str">
        <f>IFERROR(__xludf.DUMMYFUNCTION("""COMPUTED_VALUE"""),"")</f>
        <v/>
      </c>
      <c r="M734" s="106" t="str">
        <f>IFERROR(__xludf.DUMMYFUNCTION("""COMPUTED_VALUE"""),"")</f>
        <v/>
      </c>
      <c r="O734" s="136" t="str">
        <f>IFERROR(__xludf.DUMMYFUNCTION("""COMPUTED_VALUE"""),"")</f>
        <v/>
      </c>
      <c r="P734" s="106" t="str">
        <f>IFERROR(__xludf.DUMMYFUNCTION("""COMPUTED_VALUE"""),"")</f>
        <v/>
      </c>
      <c r="R734" s="136" t="str">
        <f>IFERROR(__xludf.DUMMYFUNCTION("""COMPUTED_VALUE"""),"")</f>
        <v/>
      </c>
      <c r="S734" s="106" t="str">
        <f>IFERROR(__xludf.DUMMYFUNCTION("""COMPUTED_VALUE"""),"")</f>
        <v/>
      </c>
    </row>
    <row r="735">
      <c r="A735" s="136" t="s">
        <v>133</v>
      </c>
      <c r="B735" s="136"/>
      <c r="C735" s="136" t="s">
        <v>133</v>
      </c>
      <c r="D735" s="136"/>
      <c r="E735" s="106"/>
      <c r="F735" s="136" t="str">
        <f>IFERROR(__xludf.DUMMYFUNCTION("""COMPUTED_VALUE"""),"")</f>
        <v/>
      </c>
      <c r="G735" s="106" t="str">
        <f>IFERROR(__xludf.DUMMYFUNCTION("""COMPUTED_VALUE"""),"")</f>
        <v/>
      </c>
      <c r="I735" s="136" t="str">
        <f>IFERROR(__xludf.DUMMYFUNCTION("""COMPUTED_VALUE"""),"")</f>
        <v/>
      </c>
      <c r="J735" s="106" t="str">
        <f>IFERROR(__xludf.DUMMYFUNCTION("""COMPUTED_VALUE"""),"")</f>
        <v/>
      </c>
      <c r="L735" s="136" t="str">
        <f>IFERROR(__xludf.DUMMYFUNCTION("""COMPUTED_VALUE"""),"")</f>
        <v/>
      </c>
      <c r="M735" s="106" t="str">
        <f>IFERROR(__xludf.DUMMYFUNCTION("""COMPUTED_VALUE"""),"")</f>
        <v/>
      </c>
      <c r="O735" s="136" t="str">
        <f>IFERROR(__xludf.DUMMYFUNCTION("""COMPUTED_VALUE"""),"")</f>
        <v/>
      </c>
      <c r="P735" s="106" t="str">
        <f>IFERROR(__xludf.DUMMYFUNCTION("""COMPUTED_VALUE"""),"")</f>
        <v/>
      </c>
      <c r="R735" s="136" t="str">
        <f>IFERROR(__xludf.DUMMYFUNCTION("""COMPUTED_VALUE"""),"")</f>
        <v/>
      </c>
      <c r="S735" s="106" t="str">
        <f>IFERROR(__xludf.DUMMYFUNCTION("""COMPUTED_VALUE"""),"")</f>
        <v/>
      </c>
    </row>
    <row r="736">
      <c r="A736" s="136" t="s">
        <v>133</v>
      </c>
      <c r="B736" s="136"/>
      <c r="C736" s="136" t="s">
        <v>133</v>
      </c>
      <c r="D736" s="136"/>
      <c r="E736" s="106"/>
      <c r="F736" s="136" t="str">
        <f>IFERROR(__xludf.DUMMYFUNCTION("""COMPUTED_VALUE"""),"")</f>
        <v/>
      </c>
      <c r="G736" s="106" t="str">
        <f>IFERROR(__xludf.DUMMYFUNCTION("""COMPUTED_VALUE"""),"")</f>
        <v/>
      </c>
      <c r="I736" s="136" t="str">
        <f>IFERROR(__xludf.DUMMYFUNCTION("""COMPUTED_VALUE"""),"")</f>
        <v/>
      </c>
      <c r="J736" s="106" t="str">
        <f>IFERROR(__xludf.DUMMYFUNCTION("""COMPUTED_VALUE"""),"")</f>
        <v/>
      </c>
      <c r="L736" s="136" t="str">
        <f>IFERROR(__xludf.DUMMYFUNCTION("""COMPUTED_VALUE"""),"")</f>
        <v/>
      </c>
      <c r="M736" s="106" t="str">
        <f>IFERROR(__xludf.DUMMYFUNCTION("""COMPUTED_VALUE"""),"")</f>
        <v/>
      </c>
      <c r="O736" s="136" t="str">
        <f>IFERROR(__xludf.DUMMYFUNCTION("""COMPUTED_VALUE"""),"")</f>
        <v/>
      </c>
      <c r="P736" s="106" t="str">
        <f>IFERROR(__xludf.DUMMYFUNCTION("""COMPUTED_VALUE"""),"")</f>
        <v/>
      </c>
      <c r="R736" s="136" t="str">
        <f>IFERROR(__xludf.DUMMYFUNCTION("""COMPUTED_VALUE"""),"")</f>
        <v/>
      </c>
      <c r="S736" s="106" t="str">
        <f>IFERROR(__xludf.DUMMYFUNCTION("""COMPUTED_VALUE"""),"")</f>
        <v/>
      </c>
    </row>
    <row r="737">
      <c r="A737" s="136" t="s">
        <v>133</v>
      </c>
      <c r="B737" s="136"/>
      <c r="C737" s="136" t="s">
        <v>133</v>
      </c>
      <c r="D737" s="136"/>
      <c r="E737" s="106"/>
      <c r="F737" s="136" t="str">
        <f>IFERROR(__xludf.DUMMYFUNCTION("""COMPUTED_VALUE"""),"")</f>
        <v/>
      </c>
      <c r="G737" s="106" t="str">
        <f>IFERROR(__xludf.DUMMYFUNCTION("""COMPUTED_VALUE"""),"")</f>
        <v/>
      </c>
      <c r="I737" s="136" t="str">
        <f>IFERROR(__xludf.DUMMYFUNCTION("""COMPUTED_VALUE"""),"")</f>
        <v/>
      </c>
      <c r="J737" s="106" t="str">
        <f>IFERROR(__xludf.DUMMYFUNCTION("""COMPUTED_VALUE"""),"")</f>
        <v/>
      </c>
      <c r="L737" s="136" t="str">
        <f>IFERROR(__xludf.DUMMYFUNCTION("""COMPUTED_VALUE"""),"")</f>
        <v/>
      </c>
      <c r="M737" s="106" t="str">
        <f>IFERROR(__xludf.DUMMYFUNCTION("""COMPUTED_VALUE"""),"")</f>
        <v/>
      </c>
      <c r="O737" s="136" t="str">
        <f>IFERROR(__xludf.DUMMYFUNCTION("""COMPUTED_VALUE"""),"")</f>
        <v/>
      </c>
      <c r="P737" s="106" t="str">
        <f>IFERROR(__xludf.DUMMYFUNCTION("""COMPUTED_VALUE"""),"")</f>
        <v/>
      </c>
      <c r="R737" s="136" t="str">
        <f>IFERROR(__xludf.DUMMYFUNCTION("""COMPUTED_VALUE"""),"")</f>
        <v/>
      </c>
      <c r="S737" s="106" t="str">
        <f>IFERROR(__xludf.DUMMYFUNCTION("""COMPUTED_VALUE"""),"")</f>
        <v/>
      </c>
    </row>
    <row r="738">
      <c r="A738" s="136" t="s">
        <v>133</v>
      </c>
      <c r="B738" s="136"/>
      <c r="C738" s="136" t="s">
        <v>133</v>
      </c>
      <c r="D738" s="136"/>
      <c r="E738" s="106"/>
      <c r="F738" s="136" t="str">
        <f>IFERROR(__xludf.DUMMYFUNCTION("""COMPUTED_VALUE"""),"")</f>
        <v/>
      </c>
      <c r="G738" s="106" t="str">
        <f>IFERROR(__xludf.DUMMYFUNCTION("""COMPUTED_VALUE"""),"")</f>
        <v/>
      </c>
      <c r="I738" s="136" t="str">
        <f>IFERROR(__xludf.DUMMYFUNCTION("""COMPUTED_VALUE"""),"")</f>
        <v/>
      </c>
      <c r="J738" s="106" t="str">
        <f>IFERROR(__xludf.DUMMYFUNCTION("""COMPUTED_VALUE"""),"")</f>
        <v/>
      </c>
      <c r="L738" s="136" t="str">
        <f>IFERROR(__xludf.DUMMYFUNCTION("""COMPUTED_VALUE"""),"")</f>
        <v/>
      </c>
      <c r="M738" s="106" t="str">
        <f>IFERROR(__xludf.DUMMYFUNCTION("""COMPUTED_VALUE"""),"")</f>
        <v/>
      </c>
      <c r="O738" s="136" t="str">
        <f>IFERROR(__xludf.DUMMYFUNCTION("""COMPUTED_VALUE"""),"")</f>
        <v/>
      </c>
      <c r="P738" s="106" t="str">
        <f>IFERROR(__xludf.DUMMYFUNCTION("""COMPUTED_VALUE"""),"")</f>
        <v/>
      </c>
      <c r="R738" s="136" t="str">
        <f>IFERROR(__xludf.DUMMYFUNCTION("""COMPUTED_VALUE"""),"")</f>
        <v/>
      </c>
      <c r="S738" s="106" t="str">
        <f>IFERROR(__xludf.DUMMYFUNCTION("""COMPUTED_VALUE"""),"")</f>
        <v/>
      </c>
    </row>
    <row r="739">
      <c r="A739" s="136" t="s">
        <v>133</v>
      </c>
      <c r="B739" s="136"/>
      <c r="C739" s="136" t="s">
        <v>133</v>
      </c>
      <c r="D739" s="136"/>
      <c r="E739" s="106"/>
      <c r="F739" s="136" t="str">
        <f>IFERROR(__xludf.DUMMYFUNCTION("""COMPUTED_VALUE"""),"")</f>
        <v/>
      </c>
      <c r="G739" s="106" t="str">
        <f>IFERROR(__xludf.DUMMYFUNCTION("""COMPUTED_VALUE"""),"")</f>
        <v/>
      </c>
      <c r="I739" s="136" t="str">
        <f>IFERROR(__xludf.DUMMYFUNCTION("""COMPUTED_VALUE"""),"")</f>
        <v/>
      </c>
      <c r="J739" s="106" t="str">
        <f>IFERROR(__xludf.DUMMYFUNCTION("""COMPUTED_VALUE"""),"")</f>
        <v/>
      </c>
      <c r="L739" s="136" t="str">
        <f>IFERROR(__xludf.DUMMYFUNCTION("""COMPUTED_VALUE"""),"")</f>
        <v/>
      </c>
      <c r="M739" s="106" t="str">
        <f>IFERROR(__xludf.DUMMYFUNCTION("""COMPUTED_VALUE"""),"")</f>
        <v/>
      </c>
      <c r="O739" s="136" t="str">
        <f>IFERROR(__xludf.DUMMYFUNCTION("""COMPUTED_VALUE"""),"")</f>
        <v/>
      </c>
      <c r="P739" s="106" t="str">
        <f>IFERROR(__xludf.DUMMYFUNCTION("""COMPUTED_VALUE"""),"")</f>
        <v/>
      </c>
      <c r="R739" s="136" t="str">
        <f>IFERROR(__xludf.DUMMYFUNCTION("""COMPUTED_VALUE"""),"")</f>
        <v/>
      </c>
      <c r="S739" s="106" t="str">
        <f>IFERROR(__xludf.DUMMYFUNCTION("""COMPUTED_VALUE"""),"")</f>
        <v/>
      </c>
    </row>
    <row r="740">
      <c r="A740" s="136" t="s">
        <v>133</v>
      </c>
      <c r="B740" s="136"/>
      <c r="C740" s="136" t="s">
        <v>133</v>
      </c>
      <c r="D740" s="136"/>
      <c r="E740" s="106"/>
      <c r="F740" s="136" t="str">
        <f>IFERROR(__xludf.DUMMYFUNCTION("""COMPUTED_VALUE"""),"")</f>
        <v/>
      </c>
      <c r="G740" s="106" t="str">
        <f>IFERROR(__xludf.DUMMYFUNCTION("""COMPUTED_VALUE"""),"")</f>
        <v/>
      </c>
      <c r="I740" s="136" t="str">
        <f>IFERROR(__xludf.DUMMYFUNCTION("""COMPUTED_VALUE"""),"")</f>
        <v/>
      </c>
      <c r="J740" s="106" t="str">
        <f>IFERROR(__xludf.DUMMYFUNCTION("""COMPUTED_VALUE"""),"")</f>
        <v/>
      </c>
      <c r="L740" s="136" t="str">
        <f>IFERROR(__xludf.DUMMYFUNCTION("""COMPUTED_VALUE"""),"")</f>
        <v/>
      </c>
      <c r="M740" s="106" t="str">
        <f>IFERROR(__xludf.DUMMYFUNCTION("""COMPUTED_VALUE"""),"")</f>
        <v/>
      </c>
      <c r="O740" s="136" t="str">
        <f>IFERROR(__xludf.DUMMYFUNCTION("""COMPUTED_VALUE"""),"")</f>
        <v/>
      </c>
      <c r="P740" s="106" t="str">
        <f>IFERROR(__xludf.DUMMYFUNCTION("""COMPUTED_VALUE"""),"")</f>
        <v/>
      </c>
      <c r="R740" s="136" t="str">
        <f>IFERROR(__xludf.DUMMYFUNCTION("""COMPUTED_VALUE"""),"")</f>
        <v/>
      </c>
      <c r="S740" s="106" t="str">
        <f>IFERROR(__xludf.DUMMYFUNCTION("""COMPUTED_VALUE"""),"")</f>
        <v/>
      </c>
    </row>
    <row r="741">
      <c r="A741" s="136" t="s">
        <v>133</v>
      </c>
      <c r="B741" s="136"/>
      <c r="C741" s="136" t="s">
        <v>133</v>
      </c>
      <c r="D741" s="136"/>
      <c r="E741" s="106"/>
      <c r="F741" s="136" t="str">
        <f>IFERROR(__xludf.DUMMYFUNCTION("""COMPUTED_VALUE"""),"")</f>
        <v/>
      </c>
      <c r="G741" s="106" t="str">
        <f>IFERROR(__xludf.DUMMYFUNCTION("""COMPUTED_VALUE"""),"")</f>
        <v/>
      </c>
      <c r="I741" s="136" t="str">
        <f>IFERROR(__xludf.DUMMYFUNCTION("""COMPUTED_VALUE"""),"")</f>
        <v/>
      </c>
      <c r="J741" s="106" t="str">
        <f>IFERROR(__xludf.DUMMYFUNCTION("""COMPUTED_VALUE"""),"")</f>
        <v/>
      </c>
      <c r="L741" s="136" t="str">
        <f>IFERROR(__xludf.DUMMYFUNCTION("""COMPUTED_VALUE"""),"")</f>
        <v/>
      </c>
      <c r="M741" s="106" t="str">
        <f>IFERROR(__xludf.DUMMYFUNCTION("""COMPUTED_VALUE"""),"")</f>
        <v/>
      </c>
      <c r="O741" s="136" t="str">
        <f>IFERROR(__xludf.DUMMYFUNCTION("""COMPUTED_VALUE"""),"")</f>
        <v/>
      </c>
      <c r="P741" s="106" t="str">
        <f>IFERROR(__xludf.DUMMYFUNCTION("""COMPUTED_VALUE"""),"")</f>
        <v/>
      </c>
      <c r="R741" s="136" t="str">
        <f>IFERROR(__xludf.DUMMYFUNCTION("""COMPUTED_VALUE"""),"")</f>
        <v/>
      </c>
      <c r="S741" s="106" t="str">
        <f>IFERROR(__xludf.DUMMYFUNCTION("""COMPUTED_VALUE"""),"")</f>
        <v/>
      </c>
    </row>
    <row r="742">
      <c r="A742" s="136" t="s">
        <v>133</v>
      </c>
      <c r="B742" s="136"/>
      <c r="C742" s="136" t="s">
        <v>133</v>
      </c>
      <c r="D742" s="136"/>
      <c r="E742" s="106"/>
      <c r="F742" s="136" t="str">
        <f>IFERROR(__xludf.DUMMYFUNCTION("""COMPUTED_VALUE"""),"")</f>
        <v/>
      </c>
      <c r="G742" s="106" t="str">
        <f>IFERROR(__xludf.DUMMYFUNCTION("""COMPUTED_VALUE"""),"")</f>
        <v/>
      </c>
      <c r="I742" s="136" t="str">
        <f>IFERROR(__xludf.DUMMYFUNCTION("""COMPUTED_VALUE"""),"")</f>
        <v/>
      </c>
      <c r="J742" s="106" t="str">
        <f>IFERROR(__xludf.DUMMYFUNCTION("""COMPUTED_VALUE"""),"")</f>
        <v/>
      </c>
      <c r="L742" s="136" t="str">
        <f>IFERROR(__xludf.DUMMYFUNCTION("""COMPUTED_VALUE"""),"")</f>
        <v/>
      </c>
      <c r="M742" s="106" t="str">
        <f>IFERROR(__xludf.DUMMYFUNCTION("""COMPUTED_VALUE"""),"")</f>
        <v/>
      </c>
      <c r="O742" s="136" t="str">
        <f>IFERROR(__xludf.DUMMYFUNCTION("""COMPUTED_VALUE"""),"")</f>
        <v/>
      </c>
      <c r="P742" s="106" t="str">
        <f>IFERROR(__xludf.DUMMYFUNCTION("""COMPUTED_VALUE"""),"")</f>
        <v/>
      </c>
      <c r="R742" s="136" t="str">
        <f>IFERROR(__xludf.DUMMYFUNCTION("""COMPUTED_VALUE"""),"")</f>
        <v/>
      </c>
      <c r="S742" s="106" t="str">
        <f>IFERROR(__xludf.DUMMYFUNCTION("""COMPUTED_VALUE"""),"")</f>
        <v/>
      </c>
    </row>
    <row r="743">
      <c r="A743" s="136" t="s">
        <v>133</v>
      </c>
      <c r="B743" s="136"/>
      <c r="C743" s="136" t="s">
        <v>133</v>
      </c>
      <c r="D743" s="136"/>
      <c r="E743" s="106"/>
      <c r="F743" s="136" t="str">
        <f>IFERROR(__xludf.DUMMYFUNCTION("""COMPUTED_VALUE"""),"")</f>
        <v/>
      </c>
      <c r="G743" s="106" t="str">
        <f>IFERROR(__xludf.DUMMYFUNCTION("""COMPUTED_VALUE"""),"")</f>
        <v/>
      </c>
      <c r="I743" s="136" t="str">
        <f>IFERROR(__xludf.DUMMYFUNCTION("""COMPUTED_VALUE"""),"")</f>
        <v/>
      </c>
      <c r="J743" s="106" t="str">
        <f>IFERROR(__xludf.DUMMYFUNCTION("""COMPUTED_VALUE"""),"")</f>
        <v/>
      </c>
      <c r="L743" s="136" t="str">
        <f>IFERROR(__xludf.DUMMYFUNCTION("""COMPUTED_VALUE"""),"")</f>
        <v/>
      </c>
      <c r="M743" s="106" t="str">
        <f>IFERROR(__xludf.DUMMYFUNCTION("""COMPUTED_VALUE"""),"")</f>
        <v/>
      </c>
      <c r="O743" s="136" t="str">
        <f>IFERROR(__xludf.DUMMYFUNCTION("""COMPUTED_VALUE"""),"")</f>
        <v/>
      </c>
      <c r="P743" s="106" t="str">
        <f>IFERROR(__xludf.DUMMYFUNCTION("""COMPUTED_VALUE"""),"")</f>
        <v/>
      </c>
      <c r="R743" s="136" t="str">
        <f>IFERROR(__xludf.DUMMYFUNCTION("""COMPUTED_VALUE"""),"")</f>
        <v/>
      </c>
      <c r="S743" s="106" t="str">
        <f>IFERROR(__xludf.DUMMYFUNCTION("""COMPUTED_VALUE"""),"")</f>
        <v/>
      </c>
    </row>
    <row r="744">
      <c r="A744" s="136" t="s">
        <v>133</v>
      </c>
      <c r="B744" s="136"/>
      <c r="C744" s="136" t="s">
        <v>133</v>
      </c>
      <c r="D744" s="136"/>
      <c r="E744" s="106"/>
      <c r="F744" s="136" t="str">
        <f>IFERROR(__xludf.DUMMYFUNCTION("""COMPUTED_VALUE"""),"")</f>
        <v/>
      </c>
      <c r="G744" s="106" t="str">
        <f>IFERROR(__xludf.DUMMYFUNCTION("""COMPUTED_VALUE"""),"")</f>
        <v/>
      </c>
      <c r="I744" s="136" t="str">
        <f>IFERROR(__xludf.DUMMYFUNCTION("""COMPUTED_VALUE"""),"")</f>
        <v/>
      </c>
      <c r="J744" s="106" t="str">
        <f>IFERROR(__xludf.DUMMYFUNCTION("""COMPUTED_VALUE"""),"")</f>
        <v/>
      </c>
      <c r="L744" s="136" t="str">
        <f>IFERROR(__xludf.DUMMYFUNCTION("""COMPUTED_VALUE"""),"")</f>
        <v/>
      </c>
      <c r="M744" s="106" t="str">
        <f>IFERROR(__xludf.DUMMYFUNCTION("""COMPUTED_VALUE"""),"")</f>
        <v/>
      </c>
      <c r="O744" s="136" t="str">
        <f>IFERROR(__xludf.DUMMYFUNCTION("""COMPUTED_VALUE"""),"")</f>
        <v/>
      </c>
      <c r="P744" s="106" t="str">
        <f>IFERROR(__xludf.DUMMYFUNCTION("""COMPUTED_VALUE"""),"")</f>
        <v/>
      </c>
      <c r="R744" s="136" t="str">
        <f>IFERROR(__xludf.DUMMYFUNCTION("""COMPUTED_VALUE"""),"")</f>
        <v/>
      </c>
      <c r="S744" s="106" t="str">
        <f>IFERROR(__xludf.DUMMYFUNCTION("""COMPUTED_VALUE"""),"")</f>
        <v/>
      </c>
    </row>
    <row r="745">
      <c r="A745" s="136" t="s">
        <v>133</v>
      </c>
      <c r="B745" s="136"/>
      <c r="C745" s="136" t="s">
        <v>133</v>
      </c>
      <c r="D745" s="136"/>
      <c r="E745" s="106"/>
      <c r="F745" s="136" t="str">
        <f>IFERROR(__xludf.DUMMYFUNCTION("""COMPUTED_VALUE"""),"")</f>
        <v/>
      </c>
      <c r="G745" s="106" t="str">
        <f>IFERROR(__xludf.DUMMYFUNCTION("""COMPUTED_VALUE"""),"")</f>
        <v/>
      </c>
      <c r="I745" s="136" t="str">
        <f>IFERROR(__xludf.DUMMYFUNCTION("""COMPUTED_VALUE"""),"")</f>
        <v/>
      </c>
      <c r="J745" s="106" t="str">
        <f>IFERROR(__xludf.DUMMYFUNCTION("""COMPUTED_VALUE"""),"")</f>
        <v/>
      </c>
      <c r="L745" s="136" t="str">
        <f>IFERROR(__xludf.DUMMYFUNCTION("""COMPUTED_VALUE"""),"")</f>
        <v/>
      </c>
      <c r="M745" s="106" t="str">
        <f>IFERROR(__xludf.DUMMYFUNCTION("""COMPUTED_VALUE"""),"")</f>
        <v/>
      </c>
      <c r="O745" s="136" t="str">
        <f>IFERROR(__xludf.DUMMYFUNCTION("""COMPUTED_VALUE"""),"")</f>
        <v/>
      </c>
      <c r="P745" s="106" t="str">
        <f>IFERROR(__xludf.DUMMYFUNCTION("""COMPUTED_VALUE"""),"")</f>
        <v/>
      </c>
      <c r="R745" s="136" t="str">
        <f>IFERROR(__xludf.DUMMYFUNCTION("""COMPUTED_VALUE"""),"")</f>
        <v/>
      </c>
      <c r="S745" s="106" t="str">
        <f>IFERROR(__xludf.DUMMYFUNCTION("""COMPUTED_VALUE"""),"")</f>
        <v/>
      </c>
    </row>
    <row r="746">
      <c r="A746" s="136" t="s">
        <v>133</v>
      </c>
      <c r="B746" s="136"/>
      <c r="C746" s="136" t="s">
        <v>133</v>
      </c>
      <c r="D746" s="136"/>
      <c r="E746" s="106"/>
      <c r="F746" s="136" t="str">
        <f>IFERROR(__xludf.DUMMYFUNCTION("""COMPUTED_VALUE"""),"")</f>
        <v/>
      </c>
      <c r="G746" s="106" t="str">
        <f>IFERROR(__xludf.DUMMYFUNCTION("""COMPUTED_VALUE"""),"")</f>
        <v/>
      </c>
      <c r="I746" s="136" t="str">
        <f>IFERROR(__xludf.DUMMYFUNCTION("""COMPUTED_VALUE"""),"")</f>
        <v/>
      </c>
      <c r="J746" s="106" t="str">
        <f>IFERROR(__xludf.DUMMYFUNCTION("""COMPUTED_VALUE"""),"")</f>
        <v/>
      </c>
      <c r="L746" s="136" t="str">
        <f>IFERROR(__xludf.DUMMYFUNCTION("""COMPUTED_VALUE"""),"")</f>
        <v/>
      </c>
      <c r="M746" s="106" t="str">
        <f>IFERROR(__xludf.DUMMYFUNCTION("""COMPUTED_VALUE"""),"")</f>
        <v/>
      </c>
      <c r="O746" s="136" t="str">
        <f>IFERROR(__xludf.DUMMYFUNCTION("""COMPUTED_VALUE"""),"")</f>
        <v/>
      </c>
      <c r="P746" s="106" t="str">
        <f>IFERROR(__xludf.DUMMYFUNCTION("""COMPUTED_VALUE"""),"")</f>
        <v/>
      </c>
      <c r="R746" s="136" t="str">
        <f>IFERROR(__xludf.DUMMYFUNCTION("""COMPUTED_VALUE"""),"")</f>
        <v/>
      </c>
      <c r="S746" s="106" t="str">
        <f>IFERROR(__xludf.DUMMYFUNCTION("""COMPUTED_VALUE"""),"")</f>
        <v/>
      </c>
    </row>
    <row r="747">
      <c r="A747" s="136" t="s">
        <v>133</v>
      </c>
      <c r="B747" s="136"/>
      <c r="C747" s="136" t="s">
        <v>133</v>
      </c>
      <c r="D747" s="136"/>
      <c r="E747" s="106"/>
      <c r="F747" s="136" t="str">
        <f>IFERROR(__xludf.DUMMYFUNCTION("""COMPUTED_VALUE"""),"")</f>
        <v/>
      </c>
      <c r="G747" s="106" t="str">
        <f>IFERROR(__xludf.DUMMYFUNCTION("""COMPUTED_VALUE"""),"")</f>
        <v/>
      </c>
      <c r="I747" s="136" t="str">
        <f>IFERROR(__xludf.DUMMYFUNCTION("""COMPUTED_VALUE"""),"")</f>
        <v/>
      </c>
      <c r="J747" s="106" t="str">
        <f>IFERROR(__xludf.DUMMYFUNCTION("""COMPUTED_VALUE"""),"")</f>
        <v/>
      </c>
      <c r="L747" s="136" t="str">
        <f>IFERROR(__xludf.DUMMYFUNCTION("""COMPUTED_VALUE"""),"")</f>
        <v/>
      </c>
      <c r="M747" s="106" t="str">
        <f>IFERROR(__xludf.DUMMYFUNCTION("""COMPUTED_VALUE"""),"")</f>
        <v/>
      </c>
      <c r="O747" s="136" t="str">
        <f>IFERROR(__xludf.DUMMYFUNCTION("""COMPUTED_VALUE"""),"")</f>
        <v/>
      </c>
      <c r="P747" s="106" t="str">
        <f>IFERROR(__xludf.DUMMYFUNCTION("""COMPUTED_VALUE"""),"")</f>
        <v/>
      </c>
      <c r="R747" s="136" t="str">
        <f>IFERROR(__xludf.DUMMYFUNCTION("""COMPUTED_VALUE"""),"")</f>
        <v/>
      </c>
      <c r="S747" s="106" t="str">
        <f>IFERROR(__xludf.DUMMYFUNCTION("""COMPUTED_VALUE"""),"")</f>
        <v/>
      </c>
    </row>
    <row r="748">
      <c r="A748" s="136" t="s">
        <v>133</v>
      </c>
      <c r="B748" s="136"/>
      <c r="C748" s="136" t="s">
        <v>133</v>
      </c>
      <c r="D748" s="136"/>
      <c r="E748" s="106"/>
      <c r="F748" s="136" t="str">
        <f>IFERROR(__xludf.DUMMYFUNCTION("""COMPUTED_VALUE"""),"")</f>
        <v/>
      </c>
      <c r="G748" s="106" t="str">
        <f>IFERROR(__xludf.DUMMYFUNCTION("""COMPUTED_VALUE"""),"")</f>
        <v/>
      </c>
      <c r="I748" s="136" t="str">
        <f>IFERROR(__xludf.DUMMYFUNCTION("""COMPUTED_VALUE"""),"")</f>
        <v/>
      </c>
      <c r="J748" s="106" t="str">
        <f>IFERROR(__xludf.DUMMYFUNCTION("""COMPUTED_VALUE"""),"")</f>
        <v/>
      </c>
      <c r="L748" s="136" t="str">
        <f>IFERROR(__xludf.DUMMYFUNCTION("""COMPUTED_VALUE"""),"")</f>
        <v/>
      </c>
      <c r="M748" s="106" t="str">
        <f>IFERROR(__xludf.DUMMYFUNCTION("""COMPUTED_VALUE"""),"")</f>
        <v/>
      </c>
      <c r="O748" s="136" t="str">
        <f>IFERROR(__xludf.DUMMYFUNCTION("""COMPUTED_VALUE"""),"")</f>
        <v/>
      </c>
      <c r="P748" s="106" t="str">
        <f>IFERROR(__xludf.DUMMYFUNCTION("""COMPUTED_VALUE"""),"")</f>
        <v/>
      </c>
      <c r="R748" s="136" t="str">
        <f>IFERROR(__xludf.DUMMYFUNCTION("""COMPUTED_VALUE"""),"")</f>
        <v/>
      </c>
      <c r="S748" s="106" t="str">
        <f>IFERROR(__xludf.DUMMYFUNCTION("""COMPUTED_VALUE"""),"")</f>
        <v/>
      </c>
    </row>
    <row r="749">
      <c r="A749" s="136" t="s">
        <v>133</v>
      </c>
      <c r="B749" s="136"/>
      <c r="C749" s="136" t="s">
        <v>133</v>
      </c>
      <c r="D749" s="136"/>
      <c r="E749" s="106"/>
      <c r="F749" s="136" t="str">
        <f>IFERROR(__xludf.DUMMYFUNCTION("""COMPUTED_VALUE"""),"")</f>
        <v/>
      </c>
      <c r="G749" s="106" t="str">
        <f>IFERROR(__xludf.DUMMYFUNCTION("""COMPUTED_VALUE"""),"")</f>
        <v/>
      </c>
      <c r="I749" s="136" t="str">
        <f>IFERROR(__xludf.DUMMYFUNCTION("""COMPUTED_VALUE"""),"")</f>
        <v/>
      </c>
      <c r="J749" s="106" t="str">
        <f>IFERROR(__xludf.DUMMYFUNCTION("""COMPUTED_VALUE"""),"")</f>
        <v/>
      </c>
      <c r="L749" s="136" t="str">
        <f>IFERROR(__xludf.DUMMYFUNCTION("""COMPUTED_VALUE"""),"")</f>
        <v/>
      </c>
      <c r="M749" s="106" t="str">
        <f>IFERROR(__xludf.DUMMYFUNCTION("""COMPUTED_VALUE"""),"")</f>
        <v/>
      </c>
      <c r="O749" s="136" t="str">
        <f>IFERROR(__xludf.DUMMYFUNCTION("""COMPUTED_VALUE"""),"")</f>
        <v/>
      </c>
      <c r="P749" s="106" t="str">
        <f>IFERROR(__xludf.DUMMYFUNCTION("""COMPUTED_VALUE"""),"")</f>
        <v/>
      </c>
      <c r="R749" s="136" t="str">
        <f>IFERROR(__xludf.DUMMYFUNCTION("""COMPUTED_VALUE"""),"")</f>
        <v/>
      </c>
      <c r="S749" s="106" t="str">
        <f>IFERROR(__xludf.DUMMYFUNCTION("""COMPUTED_VALUE"""),"")</f>
        <v/>
      </c>
    </row>
    <row r="750">
      <c r="A750" s="136" t="s">
        <v>133</v>
      </c>
      <c r="B750" s="136"/>
      <c r="C750" s="136" t="s">
        <v>133</v>
      </c>
      <c r="D750" s="136"/>
      <c r="E750" s="106"/>
      <c r="F750" s="136" t="str">
        <f>IFERROR(__xludf.DUMMYFUNCTION("""COMPUTED_VALUE"""),"")</f>
        <v/>
      </c>
      <c r="G750" s="106" t="str">
        <f>IFERROR(__xludf.DUMMYFUNCTION("""COMPUTED_VALUE"""),"")</f>
        <v/>
      </c>
      <c r="I750" s="136" t="str">
        <f>IFERROR(__xludf.DUMMYFUNCTION("""COMPUTED_VALUE"""),"")</f>
        <v/>
      </c>
      <c r="J750" s="106" t="str">
        <f>IFERROR(__xludf.DUMMYFUNCTION("""COMPUTED_VALUE"""),"")</f>
        <v/>
      </c>
      <c r="L750" s="136" t="str">
        <f>IFERROR(__xludf.DUMMYFUNCTION("""COMPUTED_VALUE"""),"")</f>
        <v/>
      </c>
      <c r="M750" s="106" t="str">
        <f>IFERROR(__xludf.DUMMYFUNCTION("""COMPUTED_VALUE"""),"")</f>
        <v/>
      </c>
      <c r="O750" s="136" t="str">
        <f>IFERROR(__xludf.DUMMYFUNCTION("""COMPUTED_VALUE"""),"")</f>
        <v/>
      </c>
      <c r="P750" s="106" t="str">
        <f>IFERROR(__xludf.DUMMYFUNCTION("""COMPUTED_VALUE"""),"")</f>
        <v/>
      </c>
      <c r="R750" s="136" t="str">
        <f>IFERROR(__xludf.DUMMYFUNCTION("""COMPUTED_VALUE"""),"")</f>
        <v/>
      </c>
      <c r="S750" s="106" t="str">
        <f>IFERROR(__xludf.DUMMYFUNCTION("""COMPUTED_VALUE"""),"")</f>
        <v/>
      </c>
    </row>
    <row r="751">
      <c r="A751" s="136" t="s">
        <v>133</v>
      </c>
      <c r="B751" s="136"/>
      <c r="C751" s="136" t="s">
        <v>133</v>
      </c>
      <c r="D751" s="136"/>
      <c r="E751" s="106"/>
      <c r="F751" s="136" t="str">
        <f>IFERROR(__xludf.DUMMYFUNCTION("""COMPUTED_VALUE"""),"")</f>
        <v/>
      </c>
      <c r="G751" s="106" t="str">
        <f>IFERROR(__xludf.DUMMYFUNCTION("""COMPUTED_VALUE"""),"")</f>
        <v/>
      </c>
      <c r="I751" s="136" t="str">
        <f>IFERROR(__xludf.DUMMYFUNCTION("""COMPUTED_VALUE"""),"")</f>
        <v/>
      </c>
      <c r="J751" s="106" t="str">
        <f>IFERROR(__xludf.DUMMYFUNCTION("""COMPUTED_VALUE"""),"")</f>
        <v/>
      </c>
      <c r="L751" s="136" t="str">
        <f>IFERROR(__xludf.DUMMYFUNCTION("""COMPUTED_VALUE"""),"")</f>
        <v/>
      </c>
      <c r="M751" s="106" t="str">
        <f>IFERROR(__xludf.DUMMYFUNCTION("""COMPUTED_VALUE"""),"")</f>
        <v/>
      </c>
      <c r="O751" s="136" t="str">
        <f>IFERROR(__xludf.DUMMYFUNCTION("""COMPUTED_VALUE"""),"")</f>
        <v/>
      </c>
      <c r="P751" s="106" t="str">
        <f>IFERROR(__xludf.DUMMYFUNCTION("""COMPUTED_VALUE"""),"")</f>
        <v/>
      </c>
      <c r="R751" s="136" t="str">
        <f>IFERROR(__xludf.DUMMYFUNCTION("""COMPUTED_VALUE"""),"")</f>
        <v/>
      </c>
      <c r="S751" s="106" t="str">
        <f>IFERROR(__xludf.DUMMYFUNCTION("""COMPUTED_VALUE"""),"")</f>
        <v/>
      </c>
    </row>
    <row r="752">
      <c r="A752" s="136" t="s">
        <v>133</v>
      </c>
      <c r="B752" s="136"/>
      <c r="C752" s="136" t="s">
        <v>133</v>
      </c>
      <c r="D752" s="136"/>
      <c r="E752" s="106"/>
      <c r="F752" s="136" t="str">
        <f>IFERROR(__xludf.DUMMYFUNCTION("""COMPUTED_VALUE"""),"")</f>
        <v/>
      </c>
      <c r="G752" s="106" t="str">
        <f>IFERROR(__xludf.DUMMYFUNCTION("""COMPUTED_VALUE"""),"")</f>
        <v/>
      </c>
      <c r="I752" s="136" t="str">
        <f>IFERROR(__xludf.DUMMYFUNCTION("""COMPUTED_VALUE"""),"")</f>
        <v/>
      </c>
      <c r="J752" s="106" t="str">
        <f>IFERROR(__xludf.DUMMYFUNCTION("""COMPUTED_VALUE"""),"")</f>
        <v/>
      </c>
      <c r="L752" s="136" t="str">
        <f>IFERROR(__xludf.DUMMYFUNCTION("""COMPUTED_VALUE"""),"")</f>
        <v/>
      </c>
      <c r="M752" s="106" t="str">
        <f>IFERROR(__xludf.DUMMYFUNCTION("""COMPUTED_VALUE"""),"")</f>
        <v/>
      </c>
      <c r="O752" s="136" t="str">
        <f>IFERROR(__xludf.DUMMYFUNCTION("""COMPUTED_VALUE"""),"")</f>
        <v/>
      </c>
      <c r="P752" s="106" t="str">
        <f>IFERROR(__xludf.DUMMYFUNCTION("""COMPUTED_VALUE"""),"")</f>
        <v/>
      </c>
      <c r="R752" s="136" t="str">
        <f>IFERROR(__xludf.DUMMYFUNCTION("""COMPUTED_VALUE"""),"")</f>
        <v/>
      </c>
      <c r="S752" s="106" t="str">
        <f>IFERROR(__xludf.DUMMYFUNCTION("""COMPUTED_VALUE"""),"")</f>
        <v/>
      </c>
    </row>
    <row r="753">
      <c r="A753" s="136" t="s">
        <v>133</v>
      </c>
      <c r="B753" s="136"/>
      <c r="C753" s="136" t="s">
        <v>133</v>
      </c>
      <c r="D753" s="136"/>
      <c r="E753" s="106"/>
      <c r="F753" s="136" t="str">
        <f>IFERROR(__xludf.DUMMYFUNCTION("""COMPUTED_VALUE"""),"")</f>
        <v/>
      </c>
      <c r="G753" s="106" t="str">
        <f>IFERROR(__xludf.DUMMYFUNCTION("""COMPUTED_VALUE"""),"")</f>
        <v/>
      </c>
      <c r="I753" s="136" t="str">
        <f>IFERROR(__xludf.DUMMYFUNCTION("""COMPUTED_VALUE"""),"")</f>
        <v/>
      </c>
      <c r="J753" s="106" t="str">
        <f>IFERROR(__xludf.DUMMYFUNCTION("""COMPUTED_VALUE"""),"")</f>
        <v/>
      </c>
      <c r="L753" s="136" t="str">
        <f>IFERROR(__xludf.DUMMYFUNCTION("""COMPUTED_VALUE"""),"")</f>
        <v/>
      </c>
      <c r="M753" s="106" t="str">
        <f>IFERROR(__xludf.DUMMYFUNCTION("""COMPUTED_VALUE"""),"")</f>
        <v/>
      </c>
      <c r="O753" s="136" t="str">
        <f>IFERROR(__xludf.DUMMYFUNCTION("""COMPUTED_VALUE"""),"")</f>
        <v/>
      </c>
      <c r="P753" s="106" t="str">
        <f>IFERROR(__xludf.DUMMYFUNCTION("""COMPUTED_VALUE"""),"")</f>
        <v/>
      </c>
      <c r="R753" s="136" t="str">
        <f>IFERROR(__xludf.DUMMYFUNCTION("""COMPUTED_VALUE"""),"")</f>
        <v/>
      </c>
      <c r="S753" s="106" t="str">
        <f>IFERROR(__xludf.DUMMYFUNCTION("""COMPUTED_VALUE"""),"")</f>
        <v/>
      </c>
    </row>
    <row r="754">
      <c r="A754" s="136" t="s">
        <v>133</v>
      </c>
      <c r="B754" s="136"/>
      <c r="C754" s="136" t="s">
        <v>133</v>
      </c>
      <c r="D754" s="136"/>
      <c r="E754" s="106"/>
      <c r="F754" s="136" t="str">
        <f>IFERROR(__xludf.DUMMYFUNCTION("""COMPUTED_VALUE"""),"")</f>
        <v/>
      </c>
      <c r="G754" s="106" t="str">
        <f>IFERROR(__xludf.DUMMYFUNCTION("""COMPUTED_VALUE"""),"")</f>
        <v/>
      </c>
      <c r="I754" s="136" t="str">
        <f>IFERROR(__xludf.DUMMYFUNCTION("""COMPUTED_VALUE"""),"")</f>
        <v/>
      </c>
      <c r="J754" s="106" t="str">
        <f>IFERROR(__xludf.DUMMYFUNCTION("""COMPUTED_VALUE"""),"")</f>
        <v/>
      </c>
      <c r="L754" s="136" t="str">
        <f>IFERROR(__xludf.DUMMYFUNCTION("""COMPUTED_VALUE"""),"")</f>
        <v/>
      </c>
      <c r="M754" s="106" t="str">
        <f>IFERROR(__xludf.DUMMYFUNCTION("""COMPUTED_VALUE"""),"")</f>
        <v/>
      </c>
      <c r="O754" s="136" t="str">
        <f>IFERROR(__xludf.DUMMYFUNCTION("""COMPUTED_VALUE"""),"")</f>
        <v/>
      </c>
      <c r="P754" s="106" t="str">
        <f>IFERROR(__xludf.DUMMYFUNCTION("""COMPUTED_VALUE"""),"")</f>
        <v/>
      </c>
      <c r="R754" s="136" t="str">
        <f>IFERROR(__xludf.DUMMYFUNCTION("""COMPUTED_VALUE"""),"")</f>
        <v/>
      </c>
      <c r="S754" s="106" t="str">
        <f>IFERROR(__xludf.DUMMYFUNCTION("""COMPUTED_VALUE"""),"")</f>
        <v/>
      </c>
    </row>
    <row r="755">
      <c r="A755" s="136" t="s">
        <v>133</v>
      </c>
      <c r="B755" s="136"/>
      <c r="C755" s="136" t="s">
        <v>133</v>
      </c>
      <c r="D755" s="136"/>
      <c r="E755" s="106"/>
      <c r="F755" s="136" t="str">
        <f>IFERROR(__xludf.DUMMYFUNCTION("""COMPUTED_VALUE"""),"")</f>
        <v/>
      </c>
      <c r="G755" s="106" t="str">
        <f>IFERROR(__xludf.DUMMYFUNCTION("""COMPUTED_VALUE"""),"")</f>
        <v/>
      </c>
      <c r="I755" s="136" t="str">
        <f>IFERROR(__xludf.DUMMYFUNCTION("""COMPUTED_VALUE"""),"")</f>
        <v/>
      </c>
      <c r="J755" s="106" t="str">
        <f>IFERROR(__xludf.DUMMYFUNCTION("""COMPUTED_VALUE"""),"")</f>
        <v/>
      </c>
      <c r="L755" s="136" t="str">
        <f>IFERROR(__xludf.DUMMYFUNCTION("""COMPUTED_VALUE"""),"")</f>
        <v/>
      </c>
      <c r="M755" s="106" t="str">
        <f>IFERROR(__xludf.DUMMYFUNCTION("""COMPUTED_VALUE"""),"")</f>
        <v/>
      </c>
      <c r="O755" s="136" t="str">
        <f>IFERROR(__xludf.DUMMYFUNCTION("""COMPUTED_VALUE"""),"")</f>
        <v/>
      </c>
      <c r="P755" s="106" t="str">
        <f>IFERROR(__xludf.DUMMYFUNCTION("""COMPUTED_VALUE"""),"")</f>
        <v/>
      </c>
      <c r="R755" s="136" t="str">
        <f>IFERROR(__xludf.DUMMYFUNCTION("""COMPUTED_VALUE"""),"")</f>
        <v/>
      </c>
      <c r="S755" s="106" t="str">
        <f>IFERROR(__xludf.DUMMYFUNCTION("""COMPUTED_VALUE"""),"")</f>
        <v/>
      </c>
    </row>
    <row r="756">
      <c r="A756" s="136" t="s">
        <v>133</v>
      </c>
      <c r="B756" s="136"/>
      <c r="C756" s="136" t="s">
        <v>133</v>
      </c>
      <c r="D756" s="136"/>
      <c r="E756" s="106"/>
      <c r="F756" s="136" t="str">
        <f>IFERROR(__xludf.DUMMYFUNCTION("""COMPUTED_VALUE"""),"")</f>
        <v/>
      </c>
      <c r="G756" s="106" t="str">
        <f>IFERROR(__xludf.DUMMYFUNCTION("""COMPUTED_VALUE"""),"")</f>
        <v/>
      </c>
      <c r="I756" s="136" t="str">
        <f>IFERROR(__xludf.DUMMYFUNCTION("""COMPUTED_VALUE"""),"")</f>
        <v/>
      </c>
      <c r="J756" s="106" t="str">
        <f>IFERROR(__xludf.DUMMYFUNCTION("""COMPUTED_VALUE"""),"")</f>
        <v/>
      </c>
      <c r="L756" s="136" t="str">
        <f>IFERROR(__xludf.DUMMYFUNCTION("""COMPUTED_VALUE"""),"")</f>
        <v/>
      </c>
      <c r="M756" s="106" t="str">
        <f>IFERROR(__xludf.DUMMYFUNCTION("""COMPUTED_VALUE"""),"")</f>
        <v/>
      </c>
      <c r="O756" s="136" t="str">
        <f>IFERROR(__xludf.DUMMYFUNCTION("""COMPUTED_VALUE"""),"")</f>
        <v/>
      </c>
      <c r="P756" s="106" t="str">
        <f>IFERROR(__xludf.DUMMYFUNCTION("""COMPUTED_VALUE"""),"")</f>
        <v/>
      </c>
      <c r="R756" s="136" t="str">
        <f>IFERROR(__xludf.DUMMYFUNCTION("""COMPUTED_VALUE"""),"")</f>
        <v/>
      </c>
      <c r="S756" s="106" t="str">
        <f>IFERROR(__xludf.DUMMYFUNCTION("""COMPUTED_VALUE"""),"")</f>
        <v/>
      </c>
    </row>
    <row r="757">
      <c r="A757" s="136" t="s">
        <v>133</v>
      </c>
      <c r="B757" s="136"/>
      <c r="C757" s="136" t="s">
        <v>133</v>
      </c>
      <c r="D757" s="136"/>
      <c r="E757" s="106"/>
      <c r="F757" s="136" t="str">
        <f>IFERROR(__xludf.DUMMYFUNCTION("""COMPUTED_VALUE"""),"")</f>
        <v/>
      </c>
      <c r="G757" s="106" t="str">
        <f>IFERROR(__xludf.DUMMYFUNCTION("""COMPUTED_VALUE"""),"")</f>
        <v/>
      </c>
      <c r="I757" s="136" t="str">
        <f>IFERROR(__xludf.DUMMYFUNCTION("""COMPUTED_VALUE"""),"")</f>
        <v/>
      </c>
      <c r="J757" s="106" t="str">
        <f>IFERROR(__xludf.DUMMYFUNCTION("""COMPUTED_VALUE"""),"")</f>
        <v/>
      </c>
      <c r="L757" s="136" t="str">
        <f>IFERROR(__xludf.DUMMYFUNCTION("""COMPUTED_VALUE"""),"")</f>
        <v/>
      </c>
      <c r="M757" s="106" t="str">
        <f>IFERROR(__xludf.DUMMYFUNCTION("""COMPUTED_VALUE"""),"")</f>
        <v/>
      </c>
      <c r="O757" s="136" t="str">
        <f>IFERROR(__xludf.DUMMYFUNCTION("""COMPUTED_VALUE"""),"")</f>
        <v/>
      </c>
      <c r="P757" s="106" t="str">
        <f>IFERROR(__xludf.DUMMYFUNCTION("""COMPUTED_VALUE"""),"")</f>
        <v/>
      </c>
      <c r="R757" s="136" t="str">
        <f>IFERROR(__xludf.DUMMYFUNCTION("""COMPUTED_VALUE"""),"")</f>
        <v/>
      </c>
      <c r="S757" s="106" t="str">
        <f>IFERROR(__xludf.DUMMYFUNCTION("""COMPUTED_VALUE"""),"")</f>
        <v/>
      </c>
    </row>
    <row r="758">
      <c r="A758" s="136" t="s">
        <v>133</v>
      </c>
      <c r="B758" s="136"/>
      <c r="C758" s="136" t="s">
        <v>133</v>
      </c>
      <c r="D758" s="136"/>
      <c r="E758" s="106"/>
      <c r="F758" s="136" t="str">
        <f>IFERROR(__xludf.DUMMYFUNCTION("""COMPUTED_VALUE"""),"")</f>
        <v/>
      </c>
      <c r="G758" s="106" t="str">
        <f>IFERROR(__xludf.DUMMYFUNCTION("""COMPUTED_VALUE"""),"")</f>
        <v/>
      </c>
      <c r="I758" s="136" t="str">
        <f>IFERROR(__xludf.DUMMYFUNCTION("""COMPUTED_VALUE"""),"")</f>
        <v/>
      </c>
      <c r="J758" s="106" t="str">
        <f>IFERROR(__xludf.DUMMYFUNCTION("""COMPUTED_VALUE"""),"")</f>
        <v/>
      </c>
      <c r="L758" s="136" t="str">
        <f>IFERROR(__xludf.DUMMYFUNCTION("""COMPUTED_VALUE"""),"")</f>
        <v/>
      </c>
      <c r="M758" s="106" t="str">
        <f>IFERROR(__xludf.DUMMYFUNCTION("""COMPUTED_VALUE"""),"")</f>
        <v/>
      </c>
      <c r="O758" s="136" t="str">
        <f>IFERROR(__xludf.DUMMYFUNCTION("""COMPUTED_VALUE"""),"")</f>
        <v/>
      </c>
      <c r="P758" s="106" t="str">
        <f>IFERROR(__xludf.DUMMYFUNCTION("""COMPUTED_VALUE"""),"")</f>
        <v/>
      </c>
      <c r="R758" s="136" t="str">
        <f>IFERROR(__xludf.DUMMYFUNCTION("""COMPUTED_VALUE"""),"")</f>
        <v/>
      </c>
      <c r="S758" s="106" t="str">
        <f>IFERROR(__xludf.DUMMYFUNCTION("""COMPUTED_VALUE"""),"")</f>
        <v/>
      </c>
    </row>
    <row r="759">
      <c r="A759" s="136" t="s">
        <v>133</v>
      </c>
      <c r="B759" s="136"/>
      <c r="C759" s="136" t="s">
        <v>133</v>
      </c>
      <c r="D759" s="136"/>
      <c r="E759" s="106"/>
      <c r="F759" s="136" t="str">
        <f>IFERROR(__xludf.DUMMYFUNCTION("""COMPUTED_VALUE"""),"")</f>
        <v/>
      </c>
      <c r="G759" s="106" t="str">
        <f>IFERROR(__xludf.DUMMYFUNCTION("""COMPUTED_VALUE"""),"")</f>
        <v/>
      </c>
      <c r="I759" s="136" t="str">
        <f>IFERROR(__xludf.DUMMYFUNCTION("""COMPUTED_VALUE"""),"")</f>
        <v/>
      </c>
      <c r="J759" s="106" t="str">
        <f>IFERROR(__xludf.DUMMYFUNCTION("""COMPUTED_VALUE"""),"")</f>
        <v/>
      </c>
      <c r="L759" s="136" t="str">
        <f>IFERROR(__xludf.DUMMYFUNCTION("""COMPUTED_VALUE"""),"")</f>
        <v/>
      </c>
      <c r="M759" s="106" t="str">
        <f>IFERROR(__xludf.DUMMYFUNCTION("""COMPUTED_VALUE"""),"")</f>
        <v/>
      </c>
      <c r="O759" s="136" t="str">
        <f>IFERROR(__xludf.DUMMYFUNCTION("""COMPUTED_VALUE"""),"")</f>
        <v/>
      </c>
      <c r="P759" s="106" t="str">
        <f>IFERROR(__xludf.DUMMYFUNCTION("""COMPUTED_VALUE"""),"")</f>
        <v/>
      </c>
      <c r="R759" s="136" t="str">
        <f>IFERROR(__xludf.DUMMYFUNCTION("""COMPUTED_VALUE"""),"")</f>
        <v/>
      </c>
      <c r="S759" s="106" t="str">
        <f>IFERROR(__xludf.DUMMYFUNCTION("""COMPUTED_VALUE"""),"")</f>
        <v/>
      </c>
    </row>
    <row r="760">
      <c r="A760" s="136" t="s">
        <v>133</v>
      </c>
      <c r="B760" s="136"/>
      <c r="C760" s="136" t="s">
        <v>133</v>
      </c>
      <c r="D760" s="136"/>
      <c r="E760" s="106"/>
      <c r="F760" s="136" t="str">
        <f>IFERROR(__xludf.DUMMYFUNCTION("""COMPUTED_VALUE"""),"")</f>
        <v/>
      </c>
      <c r="G760" s="106" t="str">
        <f>IFERROR(__xludf.DUMMYFUNCTION("""COMPUTED_VALUE"""),"")</f>
        <v/>
      </c>
      <c r="I760" s="136" t="str">
        <f>IFERROR(__xludf.DUMMYFUNCTION("""COMPUTED_VALUE"""),"")</f>
        <v/>
      </c>
      <c r="J760" s="106" t="str">
        <f>IFERROR(__xludf.DUMMYFUNCTION("""COMPUTED_VALUE"""),"")</f>
        <v/>
      </c>
      <c r="L760" s="136" t="str">
        <f>IFERROR(__xludf.DUMMYFUNCTION("""COMPUTED_VALUE"""),"")</f>
        <v/>
      </c>
      <c r="M760" s="106" t="str">
        <f>IFERROR(__xludf.DUMMYFUNCTION("""COMPUTED_VALUE"""),"")</f>
        <v/>
      </c>
      <c r="O760" s="136" t="str">
        <f>IFERROR(__xludf.DUMMYFUNCTION("""COMPUTED_VALUE"""),"")</f>
        <v/>
      </c>
      <c r="P760" s="106" t="str">
        <f>IFERROR(__xludf.DUMMYFUNCTION("""COMPUTED_VALUE"""),"")</f>
        <v/>
      </c>
      <c r="R760" s="136" t="str">
        <f>IFERROR(__xludf.DUMMYFUNCTION("""COMPUTED_VALUE"""),"")</f>
        <v/>
      </c>
      <c r="S760" s="106" t="str">
        <f>IFERROR(__xludf.DUMMYFUNCTION("""COMPUTED_VALUE"""),"")</f>
        <v/>
      </c>
    </row>
    <row r="761">
      <c r="A761" s="136" t="s">
        <v>133</v>
      </c>
      <c r="B761" s="136"/>
      <c r="C761" s="136" t="s">
        <v>133</v>
      </c>
      <c r="D761" s="136"/>
      <c r="E761" s="106"/>
      <c r="F761" s="136" t="str">
        <f>IFERROR(__xludf.DUMMYFUNCTION("""COMPUTED_VALUE"""),"")</f>
        <v/>
      </c>
      <c r="G761" s="106" t="str">
        <f>IFERROR(__xludf.DUMMYFUNCTION("""COMPUTED_VALUE"""),"")</f>
        <v/>
      </c>
      <c r="I761" s="136" t="str">
        <f>IFERROR(__xludf.DUMMYFUNCTION("""COMPUTED_VALUE"""),"")</f>
        <v/>
      </c>
      <c r="J761" s="106" t="str">
        <f>IFERROR(__xludf.DUMMYFUNCTION("""COMPUTED_VALUE"""),"")</f>
        <v/>
      </c>
      <c r="L761" s="136" t="str">
        <f>IFERROR(__xludf.DUMMYFUNCTION("""COMPUTED_VALUE"""),"")</f>
        <v/>
      </c>
      <c r="M761" s="106" t="str">
        <f>IFERROR(__xludf.DUMMYFUNCTION("""COMPUTED_VALUE"""),"")</f>
        <v/>
      </c>
      <c r="O761" s="136" t="str">
        <f>IFERROR(__xludf.DUMMYFUNCTION("""COMPUTED_VALUE"""),"")</f>
        <v/>
      </c>
      <c r="P761" s="106" t="str">
        <f>IFERROR(__xludf.DUMMYFUNCTION("""COMPUTED_VALUE"""),"")</f>
        <v/>
      </c>
      <c r="R761" s="136" t="str">
        <f>IFERROR(__xludf.DUMMYFUNCTION("""COMPUTED_VALUE"""),"")</f>
        <v/>
      </c>
      <c r="S761" s="106" t="str">
        <f>IFERROR(__xludf.DUMMYFUNCTION("""COMPUTED_VALUE"""),"")</f>
        <v/>
      </c>
    </row>
    <row r="762">
      <c r="A762" s="136" t="s">
        <v>133</v>
      </c>
      <c r="B762" s="136"/>
      <c r="C762" s="136" t="s">
        <v>133</v>
      </c>
      <c r="D762" s="136"/>
      <c r="E762" s="106"/>
      <c r="F762" s="136" t="str">
        <f>IFERROR(__xludf.DUMMYFUNCTION("""COMPUTED_VALUE"""),"")</f>
        <v/>
      </c>
      <c r="G762" s="106" t="str">
        <f>IFERROR(__xludf.DUMMYFUNCTION("""COMPUTED_VALUE"""),"")</f>
        <v/>
      </c>
      <c r="I762" s="136" t="str">
        <f>IFERROR(__xludf.DUMMYFUNCTION("""COMPUTED_VALUE"""),"")</f>
        <v/>
      </c>
      <c r="J762" s="106" t="str">
        <f>IFERROR(__xludf.DUMMYFUNCTION("""COMPUTED_VALUE"""),"")</f>
        <v/>
      </c>
      <c r="L762" s="136" t="str">
        <f>IFERROR(__xludf.DUMMYFUNCTION("""COMPUTED_VALUE"""),"")</f>
        <v/>
      </c>
      <c r="M762" s="106" t="str">
        <f>IFERROR(__xludf.DUMMYFUNCTION("""COMPUTED_VALUE"""),"")</f>
        <v/>
      </c>
      <c r="O762" s="136" t="str">
        <f>IFERROR(__xludf.DUMMYFUNCTION("""COMPUTED_VALUE"""),"")</f>
        <v/>
      </c>
      <c r="P762" s="106" t="str">
        <f>IFERROR(__xludf.DUMMYFUNCTION("""COMPUTED_VALUE"""),"")</f>
        <v/>
      </c>
      <c r="R762" s="136" t="str">
        <f>IFERROR(__xludf.DUMMYFUNCTION("""COMPUTED_VALUE"""),"")</f>
        <v/>
      </c>
      <c r="S762" s="106" t="str">
        <f>IFERROR(__xludf.DUMMYFUNCTION("""COMPUTED_VALUE"""),"")</f>
        <v/>
      </c>
    </row>
    <row r="763">
      <c r="A763" s="136" t="s">
        <v>133</v>
      </c>
      <c r="B763" s="136"/>
      <c r="C763" s="136" t="s">
        <v>133</v>
      </c>
      <c r="D763" s="136"/>
      <c r="E763" s="106"/>
      <c r="F763" s="136" t="str">
        <f>IFERROR(__xludf.DUMMYFUNCTION("""COMPUTED_VALUE"""),"")</f>
        <v/>
      </c>
      <c r="G763" s="106" t="str">
        <f>IFERROR(__xludf.DUMMYFUNCTION("""COMPUTED_VALUE"""),"")</f>
        <v/>
      </c>
      <c r="I763" s="136" t="str">
        <f>IFERROR(__xludf.DUMMYFUNCTION("""COMPUTED_VALUE"""),"")</f>
        <v/>
      </c>
      <c r="J763" s="106" t="str">
        <f>IFERROR(__xludf.DUMMYFUNCTION("""COMPUTED_VALUE"""),"")</f>
        <v/>
      </c>
      <c r="L763" s="136" t="str">
        <f>IFERROR(__xludf.DUMMYFUNCTION("""COMPUTED_VALUE"""),"")</f>
        <v/>
      </c>
      <c r="M763" s="106" t="str">
        <f>IFERROR(__xludf.DUMMYFUNCTION("""COMPUTED_VALUE"""),"")</f>
        <v/>
      </c>
      <c r="O763" s="136" t="str">
        <f>IFERROR(__xludf.DUMMYFUNCTION("""COMPUTED_VALUE"""),"")</f>
        <v/>
      </c>
      <c r="P763" s="106" t="str">
        <f>IFERROR(__xludf.DUMMYFUNCTION("""COMPUTED_VALUE"""),"")</f>
        <v/>
      </c>
      <c r="R763" s="136" t="str">
        <f>IFERROR(__xludf.DUMMYFUNCTION("""COMPUTED_VALUE"""),"")</f>
        <v/>
      </c>
      <c r="S763" s="106" t="str">
        <f>IFERROR(__xludf.DUMMYFUNCTION("""COMPUTED_VALUE"""),"")</f>
        <v/>
      </c>
    </row>
    <row r="764">
      <c r="A764" s="136" t="s">
        <v>133</v>
      </c>
      <c r="B764" s="136"/>
      <c r="C764" s="136" t="s">
        <v>133</v>
      </c>
      <c r="D764" s="136"/>
      <c r="E764" s="106"/>
      <c r="F764" s="136" t="str">
        <f>IFERROR(__xludf.DUMMYFUNCTION("""COMPUTED_VALUE"""),"")</f>
        <v/>
      </c>
      <c r="G764" s="106" t="str">
        <f>IFERROR(__xludf.DUMMYFUNCTION("""COMPUTED_VALUE"""),"")</f>
        <v/>
      </c>
      <c r="I764" s="136" t="str">
        <f>IFERROR(__xludf.DUMMYFUNCTION("""COMPUTED_VALUE"""),"")</f>
        <v/>
      </c>
      <c r="J764" s="106" t="str">
        <f>IFERROR(__xludf.DUMMYFUNCTION("""COMPUTED_VALUE"""),"")</f>
        <v/>
      </c>
      <c r="L764" s="136" t="str">
        <f>IFERROR(__xludf.DUMMYFUNCTION("""COMPUTED_VALUE"""),"")</f>
        <v/>
      </c>
      <c r="M764" s="106" t="str">
        <f>IFERROR(__xludf.DUMMYFUNCTION("""COMPUTED_VALUE"""),"")</f>
        <v/>
      </c>
      <c r="O764" s="136" t="str">
        <f>IFERROR(__xludf.DUMMYFUNCTION("""COMPUTED_VALUE"""),"")</f>
        <v/>
      </c>
      <c r="P764" s="106" t="str">
        <f>IFERROR(__xludf.DUMMYFUNCTION("""COMPUTED_VALUE"""),"")</f>
        <v/>
      </c>
      <c r="R764" s="136" t="str">
        <f>IFERROR(__xludf.DUMMYFUNCTION("""COMPUTED_VALUE"""),"")</f>
        <v/>
      </c>
      <c r="S764" s="106" t="str">
        <f>IFERROR(__xludf.DUMMYFUNCTION("""COMPUTED_VALUE"""),"")</f>
        <v/>
      </c>
    </row>
    <row r="765">
      <c r="A765" s="136" t="s">
        <v>133</v>
      </c>
      <c r="B765" s="136"/>
      <c r="C765" s="136" t="s">
        <v>133</v>
      </c>
      <c r="D765" s="136"/>
      <c r="E765" s="106"/>
      <c r="F765" s="136" t="str">
        <f>IFERROR(__xludf.DUMMYFUNCTION("""COMPUTED_VALUE"""),"")</f>
        <v/>
      </c>
      <c r="G765" s="106" t="str">
        <f>IFERROR(__xludf.DUMMYFUNCTION("""COMPUTED_VALUE"""),"")</f>
        <v/>
      </c>
      <c r="I765" s="136" t="str">
        <f>IFERROR(__xludf.DUMMYFUNCTION("""COMPUTED_VALUE"""),"")</f>
        <v/>
      </c>
      <c r="J765" s="106" t="str">
        <f>IFERROR(__xludf.DUMMYFUNCTION("""COMPUTED_VALUE"""),"")</f>
        <v/>
      </c>
      <c r="L765" s="136" t="str">
        <f>IFERROR(__xludf.DUMMYFUNCTION("""COMPUTED_VALUE"""),"")</f>
        <v/>
      </c>
      <c r="M765" s="106" t="str">
        <f>IFERROR(__xludf.DUMMYFUNCTION("""COMPUTED_VALUE"""),"")</f>
        <v/>
      </c>
      <c r="O765" s="136" t="str">
        <f>IFERROR(__xludf.DUMMYFUNCTION("""COMPUTED_VALUE"""),"")</f>
        <v/>
      </c>
      <c r="P765" s="106" t="str">
        <f>IFERROR(__xludf.DUMMYFUNCTION("""COMPUTED_VALUE"""),"")</f>
        <v/>
      </c>
      <c r="R765" s="136" t="str">
        <f>IFERROR(__xludf.DUMMYFUNCTION("""COMPUTED_VALUE"""),"")</f>
        <v/>
      </c>
      <c r="S765" s="106" t="str">
        <f>IFERROR(__xludf.DUMMYFUNCTION("""COMPUTED_VALUE"""),"")</f>
        <v/>
      </c>
    </row>
    <row r="766">
      <c r="A766" s="136" t="s">
        <v>133</v>
      </c>
      <c r="B766" s="136"/>
      <c r="C766" s="136" t="s">
        <v>133</v>
      </c>
      <c r="D766" s="136"/>
      <c r="E766" s="106"/>
      <c r="F766" s="136" t="str">
        <f>IFERROR(__xludf.DUMMYFUNCTION("""COMPUTED_VALUE"""),"")</f>
        <v/>
      </c>
      <c r="G766" s="106" t="str">
        <f>IFERROR(__xludf.DUMMYFUNCTION("""COMPUTED_VALUE"""),"")</f>
        <v/>
      </c>
      <c r="I766" s="136" t="str">
        <f>IFERROR(__xludf.DUMMYFUNCTION("""COMPUTED_VALUE"""),"")</f>
        <v/>
      </c>
      <c r="J766" s="106" t="str">
        <f>IFERROR(__xludf.DUMMYFUNCTION("""COMPUTED_VALUE"""),"")</f>
        <v/>
      </c>
      <c r="L766" s="136" t="str">
        <f>IFERROR(__xludf.DUMMYFUNCTION("""COMPUTED_VALUE"""),"")</f>
        <v/>
      </c>
      <c r="M766" s="106" t="str">
        <f>IFERROR(__xludf.DUMMYFUNCTION("""COMPUTED_VALUE"""),"")</f>
        <v/>
      </c>
      <c r="O766" s="136" t="str">
        <f>IFERROR(__xludf.DUMMYFUNCTION("""COMPUTED_VALUE"""),"")</f>
        <v/>
      </c>
      <c r="P766" s="106" t="str">
        <f>IFERROR(__xludf.DUMMYFUNCTION("""COMPUTED_VALUE"""),"")</f>
        <v/>
      </c>
      <c r="R766" s="136" t="str">
        <f>IFERROR(__xludf.DUMMYFUNCTION("""COMPUTED_VALUE"""),"")</f>
        <v/>
      </c>
      <c r="S766" s="106" t="str">
        <f>IFERROR(__xludf.DUMMYFUNCTION("""COMPUTED_VALUE"""),"")</f>
        <v/>
      </c>
    </row>
    <row r="767">
      <c r="A767" s="136" t="s">
        <v>133</v>
      </c>
      <c r="B767" s="136"/>
      <c r="C767" s="136" t="s">
        <v>133</v>
      </c>
      <c r="D767" s="136"/>
      <c r="E767" s="106"/>
      <c r="F767" s="136" t="str">
        <f>IFERROR(__xludf.DUMMYFUNCTION("""COMPUTED_VALUE"""),"")</f>
        <v/>
      </c>
      <c r="G767" s="106" t="str">
        <f>IFERROR(__xludf.DUMMYFUNCTION("""COMPUTED_VALUE"""),"")</f>
        <v/>
      </c>
      <c r="I767" s="136" t="str">
        <f>IFERROR(__xludf.DUMMYFUNCTION("""COMPUTED_VALUE"""),"")</f>
        <v/>
      </c>
      <c r="J767" s="106" t="str">
        <f>IFERROR(__xludf.DUMMYFUNCTION("""COMPUTED_VALUE"""),"")</f>
        <v/>
      </c>
      <c r="L767" s="136" t="str">
        <f>IFERROR(__xludf.DUMMYFUNCTION("""COMPUTED_VALUE"""),"")</f>
        <v/>
      </c>
      <c r="M767" s="106" t="str">
        <f>IFERROR(__xludf.DUMMYFUNCTION("""COMPUTED_VALUE"""),"")</f>
        <v/>
      </c>
      <c r="O767" s="136" t="str">
        <f>IFERROR(__xludf.DUMMYFUNCTION("""COMPUTED_VALUE"""),"")</f>
        <v/>
      </c>
      <c r="P767" s="106" t="str">
        <f>IFERROR(__xludf.DUMMYFUNCTION("""COMPUTED_VALUE"""),"")</f>
        <v/>
      </c>
      <c r="R767" s="136" t="str">
        <f>IFERROR(__xludf.DUMMYFUNCTION("""COMPUTED_VALUE"""),"")</f>
        <v/>
      </c>
      <c r="S767" s="106" t="str">
        <f>IFERROR(__xludf.DUMMYFUNCTION("""COMPUTED_VALUE"""),"")</f>
        <v/>
      </c>
    </row>
    <row r="768">
      <c r="A768" s="136" t="s">
        <v>133</v>
      </c>
      <c r="B768" s="136"/>
      <c r="C768" s="136" t="s">
        <v>133</v>
      </c>
      <c r="D768" s="136"/>
      <c r="E768" s="106"/>
      <c r="F768" s="136" t="str">
        <f>IFERROR(__xludf.DUMMYFUNCTION("""COMPUTED_VALUE"""),"")</f>
        <v/>
      </c>
      <c r="G768" s="106" t="str">
        <f>IFERROR(__xludf.DUMMYFUNCTION("""COMPUTED_VALUE"""),"")</f>
        <v/>
      </c>
      <c r="I768" s="136" t="str">
        <f>IFERROR(__xludf.DUMMYFUNCTION("""COMPUTED_VALUE"""),"")</f>
        <v/>
      </c>
      <c r="J768" s="106" t="str">
        <f>IFERROR(__xludf.DUMMYFUNCTION("""COMPUTED_VALUE"""),"")</f>
        <v/>
      </c>
      <c r="L768" s="136" t="str">
        <f>IFERROR(__xludf.DUMMYFUNCTION("""COMPUTED_VALUE"""),"")</f>
        <v/>
      </c>
      <c r="M768" s="106" t="str">
        <f>IFERROR(__xludf.DUMMYFUNCTION("""COMPUTED_VALUE"""),"")</f>
        <v/>
      </c>
      <c r="O768" s="136" t="str">
        <f>IFERROR(__xludf.DUMMYFUNCTION("""COMPUTED_VALUE"""),"")</f>
        <v/>
      </c>
      <c r="P768" s="106" t="str">
        <f>IFERROR(__xludf.DUMMYFUNCTION("""COMPUTED_VALUE"""),"")</f>
        <v/>
      </c>
      <c r="R768" s="136" t="str">
        <f>IFERROR(__xludf.DUMMYFUNCTION("""COMPUTED_VALUE"""),"")</f>
        <v/>
      </c>
      <c r="S768" s="106" t="str">
        <f>IFERROR(__xludf.DUMMYFUNCTION("""COMPUTED_VALUE"""),"")</f>
        <v/>
      </c>
    </row>
    <row r="769">
      <c r="A769" s="136" t="s">
        <v>133</v>
      </c>
      <c r="B769" s="136"/>
      <c r="C769" s="136" t="s">
        <v>133</v>
      </c>
      <c r="D769" s="136"/>
      <c r="E769" s="106"/>
      <c r="F769" s="136" t="str">
        <f>IFERROR(__xludf.DUMMYFUNCTION("""COMPUTED_VALUE"""),"")</f>
        <v/>
      </c>
      <c r="G769" s="106" t="str">
        <f>IFERROR(__xludf.DUMMYFUNCTION("""COMPUTED_VALUE"""),"")</f>
        <v/>
      </c>
      <c r="I769" s="136" t="str">
        <f>IFERROR(__xludf.DUMMYFUNCTION("""COMPUTED_VALUE"""),"")</f>
        <v/>
      </c>
      <c r="J769" s="106" t="str">
        <f>IFERROR(__xludf.DUMMYFUNCTION("""COMPUTED_VALUE"""),"")</f>
        <v/>
      </c>
      <c r="L769" s="136" t="str">
        <f>IFERROR(__xludf.DUMMYFUNCTION("""COMPUTED_VALUE"""),"")</f>
        <v/>
      </c>
      <c r="M769" s="106" t="str">
        <f>IFERROR(__xludf.DUMMYFUNCTION("""COMPUTED_VALUE"""),"")</f>
        <v/>
      </c>
      <c r="O769" s="136" t="str">
        <f>IFERROR(__xludf.DUMMYFUNCTION("""COMPUTED_VALUE"""),"")</f>
        <v/>
      </c>
      <c r="P769" s="106" t="str">
        <f>IFERROR(__xludf.DUMMYFUNCTION("""COMPUTED_VALUE"""),"")</f>
        <v/>
      </c>
      <c r="R769" s="136" t="str">
        <f>IFERROR(__xludf.DUMMYFUNCTION("""COMPUTED_VALUE"""),"")</f>
        <v/>
      </c>
      <c r="S769" s="106" t="str">
        <f>IFERROR(__xludf.DUMMYFUNCTION("""COMPUTED_VALUE"""),"")</f>
        <v/>
      </c>
    </row>
    <row r="770">
      <c r="A770" s="136" t="s">
        <v>133</v>
      </c>
      <c r="B770" s="136"/>
      <c r="C770" s="136" t="s">
        <v>133</v>
      </c>
      <c r="D770" s="136"/>
      <c r="E770" s="106"/>
      <c r="F770" s="136" t="str">
        <f>IFERROR(__xludf.DUMMYFUNCTION("""COMPUTED_VALUE"""),"")</f>
        <v/>
      </c>
      <c r="G770" s="106" t="str">
        <f>IFERROR(__xludf.DUMMYFUNCTION("""COMPUTED_VALUE"""),"")</f>
        <v/>
      </c>
      <c r="I770" s="136" t="str">
        <f>IFERROR(__xludf.DUMMYFUNCTION("""COMPUTED_VALUE"""),"")</f>
        <v/>
      </c>
      <c r="J770" s="106" t="str">
        <f>IFERROR(__xludf.DUMMYFUNCTION("""COMPUTED_VALUE"""),"")</f>
        <v/>
      </c>
      <c r="L770" s="136" t="str">
        <f>IFERROR(__xludf.DUMMYFUNCTION("""COMPUTED_VALUE"""),"")</f>
        <v/>
      </c>
      <c r="M770" s="106" t="str">
        <f>IFERROR(__xludf.DUMMYFUNCTION("""COMPUTED_VALUE"""),"")</f>
        <v/>
      </c>
      <c r="O770" s="136" t="str">
        <f>IFERROR(__xludf.DUMMYFUNCTION("""COMPUTED_VALUE"""),"")</f>
        <v/>
      </c>
      <c r="P770" s="106" t="str">
        <f>IFERROR(__xludf.DUMMYFUNCTION("""COMPUTED_VALUE"""),"")</f>
        <v/>
      </c>
      <c r="R770" s="136" t="str">
        <f>IFERROR(__xludf.DUMMYFUNCTION("""COMPUTED_VALUE"""),"")</f>
        <v/>
      </c>
      <c r="S770" s="106" t="str">
        <f>IFERROR(__xludf.DUMMYFUNCTION("""COMPUTED_VALUE"""),"")</f>
        <v/>
      </c>
    </row>
    <row r="771">
      <c r="A771" s="136" t="s">
        <v>133</v>
      </c>
      <c r="B771" s="136"/>
      <c r="C771" s="136" t="s">
        <v>133</v>
      </c>
      <c r="D771" s="136"/>
      <c r="E771" s="106"/>
      <c r="F771" s="136" t="str">
        <f>IFERROR(__xludf.DUMMYFUNCTION("""COMPUTED_VALUE"""),"")</f>
        <v/>
      </c>
      <c r="G771" s="106" t="str">
        <f>IFERROR(__xludf.DUMMYFUNCTION("""COMPUTED_VALUE"""),"")</f>
        <v/>
      </c>
      <c r="I771" s="136" t="str">
        <f>IFERROR(__xludf.DUMMYFUNCTION("""COMPUTED_VALUE"""),"")</f>
        <v/>
      </c>
      <c r="J771" s="106" t="str">
        <f>IFERROR(__xludf.DUMMYFUNCTION("""COMPUTED_VALUE"""),"")</f>
        <v/>
      </c>
      <c r="L771" s="136" t="str">
        <f>IFERROR(__xludf.DUMMYFUNCTION("""COMPUTED_VALUE"""),"")</f>
        <v/>
      </c>
      <c r="M771" s="106" t="str">
        <f>IFERROR(__xludf.DUMMYFUNCTION("""COMPUTED_VALUE"""),"")</f>
        <v/>
      </c>
      <c r="O771" s="136" t="str">
        <f>IFERROR(__xludf.DUMMYFUNCTION("""COMPUTED_VALUE"""),"")</f>
        <v/>
      </c>
      <c r="P771" s="106" t="str">
        <f>IFERROR(__xludf.DUMMYFUNCTION("""COMPUTED_VALUE"""),"")</f>
        <v/>
      </c>
      <c r="R771" s="136" t="str">
        <f>IFERROR(__xludf.DUMMYFUNCTION("""COMPUTED_VALUE"""),"")</f>
        <v/>
      </c>
      <c r="S771" s="106" t="str">
        <f>IFERROR(__xludf.DUMMYFUNCTION("""COMPUTED_VALUE"""),"")</f>
        <v/>
      </c>
    </row>
    <row r="772">
      <c r="A772" s="136" t="s">
        <v>133</v>
      </c>
      <c r="B772" s="136"/>
      <c r="C772" s="136" t="s">
        <v>133</v>
      </c>
      <c r="D772" s="136"/>
      <c r="E772" s="106"/>
      <c r="F772" s="136" t="str">
        <f>IFERROR(__xludf.DUMMYFUNCTION("""COMPUTED_VALUE"""),"")</f>
        <v/>
      </c>
      <c r="G772" s="106" t="str">
        <f>IFERROR(__xludf.DUMMYFUNCTION("""COMPUTED_VALUE"""),"")</f>
        <v/>
      </c>
      <c r="I772" s="136" t="str">
        <f>IFERROR(__xludf.DUMMYFUNCTION("""COMPUTED_VALUE"""),"")</f>
        <v/>
      </c>
      <c r="J772" s="106" t="str">
        <f>IFERROR(__xludf.DUMMYFUNCTION("""COMPUTED_VALUE"""),"")</f>
        <v/>
      </c>
      <c r="L772" s="136" t="str">
        <f>IFERROR(__xludf.DUMMYFUNCTION("""COMPUTED_VALUE"""),"")</f>
        <v/>
      </c>
      <c r="M772" s="106" t="str">
        <f>IFERROR(__xludf.DUMMYFUNCTION("""COMPUTED_VALUE"""),"")</f>
        <v/>
      </c>
      <c r="O772" s="136" t="str">
        <f>IFERROR(__xludf.DUMMYFUNCTION("""COMPUTED_VALUE"""),"")</f>
        <v/>
      </c>
      <c r="P772" s="106" t="str">
        <f>IFERROR(__xludf.DUMMYFUNCTION("""COMPUTED_VALUE"""),"")</f>
        <v/>
      </c>
      <c r="R772" s="136" t="str">
        <f>IFERROR(__xludf.DUMMYFUNCTION("""COMPUTED_VALUE"""),"")</f>
        <v/>
      </c>
      <c r="S772" s="106" t="str">
        <f>IFERROR(__xludf.DUMMYFUNCTION("""COMPUTED_VALUE"""),"")</f>
        <v/>
      </c>
    </row>
    <row r="773">
      <c r="A773" s="136" t="s">
        <v>133</v>
      </c>
      <c r="B773" s="136"/>
      <c r="C773" s="136" t="s">
        <v>133</v>
      </c>
      <c r="D773" s="136"/>
      <c r="E773" s="106"/>
      <c r="F773" s="136" t="str">
        <f>IFERROR(__xludf.DUMMYFUNCTION("""COMPUTED_VALUE"""),"")</f>
        <v/>
      </c>
      <c r="G773" s="106" t="str">
        <f>IFERROR(__xludf.DUMMYFUNCTION("""COMPUTED_VALUE"""),"")</f>
        <v/>
      </c>
      <c r="I773" s="136" t="str">
        <f>IFERROR(__xludf.DUMMYFUNCTION("""COMPUTED_VALUE"""),"")</f>
        <v/>
      </c>
      <c r="J773" s="106" t="str">
        <f>IFERROR(__xludf.DUMMYFUNCTION("""COMPUTED_VALUE"""),"")</f>
        <v/>
      </c>
      <c r="L773" s="136" t="str">
        <f>IFERROR(__xludf.DUMMYFUNCTION("""COMPUTED_VALUE"""),"")</f>
        <v/>
      </c>
      <c r="M773" s="106" t="str">
        <f>IFERROR(__xludf.DUMMYFUNCTION("""COMPUTED_VALUE"""),"")</f>
        <v/>
      </c>
      <c r="O773" s="136" t="str">
        <f>IFERROR(__xludf.DUMMYFUNCTION("""COMPUTED_VALUE"""),"")</f>
        <v/>
      </c>
      <c r="P773" s="106" t="str">
        <f>IFERROR(__xludf.DUMMYFUNCTION("""COMPUTED_VALUE"""),"")</f>
        <v/>
      </c>
      <c r="R773" s="136" t="str">
        <f>IFERROR(__xludf.DUMMYFUNCTION("""COMPUTED_VALUE"""),"")</f>
        <v/>
      </c>
      <c r="S773" s="106" t="str">
        <f>IFERROR(__xludf.DUMMYFUNCTION("""COMPUTED_VALUE"""),"")</f>
        <v/>
      </c>
    </row>
    <row r="774">
      <c r="A774" s="136" t="s">
        <v>133</v>
      </c>
      <c r="B774" s="136"/>
      <c r="C774" s="136" t="s">
        <v>133</v>
      </c>
      <c r="D774" s="136"/>
      <c r="E774" s="106"/>
      <c r="F774" s="136" t="str">
        <f>IFERROR(__xludf.DUMMYFUNCTION("""COMPUTED_VALUE"""),"")</f>
        <v/>
      </c>
      <c r="G774" s="106" t="str">
        <f>IFERROR(__xludf.DUMMYFUNCTION("""COMPUTED_VALUE"""),"")</f>
        <v/>
      </c>
      <c r="I774" s="136" t="str">
        <f>IFERROR(__xludf.DUMMYFUNCTION("""COMPUTED_VALUE"""),"")</f>
        <v/>
      </c>
      <c r="J774" s="106" t="str">
        <f>IFERROR(__xludf.DUMMYFUNCTION("""COMPUTED_VALUE"""),"")</f>
        <v/>
      </c>
      <c r="L774" s="136" t="str">
        <f>IFERROR(__xludf.DUMMYFUNCTION("""COMPUTED_VALUE"""),"")</f>
        <v/>
      </c>
      <c r="M774" s="106" t="str">
        <f>IFERROR(__xludf.DUMMYFUNCTION("""COMPUTED_VALUE"""),"")</f>
        <v/>
      </c>
      <c r="O774" s="136" t="str">
        <f>IFERROR(__xludf.DUMMYFUNCTION("""COMPUTED_VALUE"""),"")</f>
        <v/>
      </c>
      <c r="P774" s="106" t="str">
        <f>IFERROR(__xludf.DUMMYFUNCTION("""COMPUTED_VALUE"""),"")</f>
        <v/>
      </c>
      <c r="R774" s="136" t="str">
        <f>IFERROR(__xludf.DUMMYFUNCTION("""COMPUTED_VALUE"""),"")</f>
        <v/>
      </c>
      <c r="S774" s="106" t="str">
        <f>IFERROR(__xludf.DUMMYFUNCTION("""COMPUTED_VALUE"""),"")</f>
        <v/>
      </c>
    </row>
    <row r="775">
      <c r="A775" s="136" t="s">
        <v>133</v>
      </c>
      <c r="B775" s="136"/>
      <c r="C775" s="136" t="s">
        <v>133</v>
      </c>
      <c r="D775" s="136"/>
      <c r="E775" s="106"/>
      <c r="F775" s="136" t="str">
        <f>IFERROR(__xludf.DUMMYFUNCTION("""COMPUTED_VALUE"""),"")</f>
        <v/>
      </c>
      <c r="G775" s="106" t="str">
        <f>IFERROR(__xludf.DUMMYFUNCTION("""COMPUTED_VALUE"""),"")</f>
        <v/>
      </c>
      <c r="I775" s="136" t="str">
        <f>IFERROR(__xludf.DUMMYFUNCTION("""COMPUTED_VALUE"""),"")</f>
        <v/>
      </c>
      <c r="J775" s="106" t="str">
        <f>IFERROR(__xludf.DUMMYFUNCTION("""COMPUTED_VALUE"""),"")</f>
        <v/>
      </c>
      <c r="L775" s="136" t="str">
        <f>IFERROR(__xludf.DUMMYFUNCTION("""COMPUTED_VALUE"""),"")</f>
        <v/>
      </c>
      <c r="M775" s="106" t="str">
        <f>IFERROR(__xludf.DUMMYFUNCTION("""COMPUTED_VALUE"""),"")</f>
        <v/>
      </c>
      <c r="O775" s="136" t="str">
        <f>IFERROR(__xludf.DUMMYFUNCTION("""COMPUTED_VALUE"""),"")</f>
        <v/>
      </c>
      <c r="P775" s="106" t="str">
        <f>IFERROR(__xludf.DUMMYFUNCTION("""COMPUTED_VALUE"""),"")</f>
        <v/>
      </c>
      <c r="R775" s="136" t="str">
        <f>IFERROR(__xludf.DUMMYFUNCTION("""COMPUTED_VALUE"""),"")</f>
        <v/>
      </c>
      <c r="S775" s="106" t="str">
        <f>IFERROR(__xludf.DUMMYFUNCTION("""COMPUTED_VALUE"""),"")</f>
        <v/>
      </c>
    </row>
    <row r="776">
      <c r="A776" s="136" t="s">
        <v>133</v>
      </c>
      <c r="B776" s="136"/>
      <c r="C776" s="136" t="s">
        <v>133</v>
      </c>
      <c r="D776" s="136"/>
      <c r="E776" s="106"/>
      <c r="F776" s="136" t="str">
        <f>IFERROR(__xludf.DUMMYFUNCTION("""COMPUTED_VALUE"""),"")</f>
        <v/>
      </c>
      <c r="G776" s="106" t="str">
        <f>IFERROR(__xludf.DUMMYFUNCTION("""COMPUTED_VALUE"""),"")</f>
        <v/>
      </c>
      <c r="I776" s="136" t="str">
        <f>IFERROR(__xludf.DUMMYFUNCTION("""COMPUTED_VALUE"""),"")</f>
        <v/>
      </c>
      <c r="J776" s="106" t="str">
        <f>IFERROR(__xludf.DUMMYFUNCTION("""COMPUTED_VALUE"""),"")</f>
        <v/>
      </c>
      <c r="L776" s="136" t="str">
        <f>IFERROR(__xludf.DUMMYFUNCTION("""COMPUTED_VALUE"""),"")</f>
        <v/>
      </c>
      <c r="M776" s="106" t="str">
        <f>IFERROR(__xludf.DUMMYFUNCTION("""COMPUTED_VALUE"""),"")</f>
        <v/>
      </c>
      <c r="O776" s="136" t="str">
        <f>IFERROR(__xludf.DUMMYFUNCTION("""COMPUTED_VALUE"""),"")</f>
        <v/>
      </c>
      <c r="P776" s="106" t="str">
        <f>IFERROR(__xludf.DUMMYFUNCTION("""COMPUTED_VALUE"""),"")</f>
        <v/>
      </c>
      <c r="R776" s="136" t="str">
        <f>IFERROR(__xludf.DUMMYFUNCTION("""COMPUTED_VALUE"""),"")</f>
        <v/>
      </c>
      <c r="S776" s="106" t="str">
        <f>IFERROR(__xludf.DUMMYFUNCTION("""COMPUTED_VALUE"""),"")</f>
        <v/>
      </c>
    </row>
    <row r="777">
      <c r="A777" s="136" t="s">
        <v>133</v>
      </c>
      <c r="B777" s="136"/>
      <c r="C777" s="136" t="s">
        <v>133</v>
      </c>
      <c r="D777" s="136"/>
      <c r="E777" s="106"/>
      <c r="F777" s="136" t="str">
        <f>IFERROR(__xludf.DUMMYFUNCTION("""COMPUTED_VALUE"""),"")</f>
        <v/>
      </c>
      <c r="G777" s="106" t="str">
        <f>IFERROR(__xludf.DUMMYFUNCTION("""COMPUTED_VALUE"""),"")</f>
        <v/>
      </c>
      <c r="I777" s="136" t="str">
        <f>IFERROR(__xludf.DUMMYFUNCTION("""COMPUTED_VALUE"""),"")</f>
        <v/>
      </c>
      <c r="J777" s="106" t="str">
        <f>IFERROR(__xludf.DUMMYFUNCTION("""COMPUTED_VALUE"""),"")</f>
        <v/>
      </c>
      <c r="L777" s="136" t="str">
        <f>IFERROR(__xludf.DUMMYFUNCTION("""COMPUTED_VALUE"""),"")</f>
        <v/>
      </c>
      <c r="M777" s="106" t="str">
        <f>IFERROR(__xludf.DUMMYFUNCTION("""COMPUTED_VALUE"""),"")</f>
        <v/>
      </c>
      <c r="O777" s="136" t="str">
        <f>IFERROR(__xludf.DUMMYFUNCTION("""COMPUTED_VALUE"""),"")</f>
        <v/>
      </c>
      <c r="P777" s="106" t="str">
        <f>IFERROR(__xludf.DUMMYFUNCTION("""COMPUTED_VALUE"""),"")</f>
        <v/>
      </c>
      <c r="R777" s="136" t="str">
        <f>IFERROR(__xludf.DUMMYFUNCTION("""COMPUTED_VALUE"""),"")</f>
        <v/>
      </c>
      <c r="S777" s="106" t="str">
        <f>IFERROR(__xludf.DUMMYFUNCTION("""COMPUTED_VALUE"""),"")</f>
        <v/>
      </c>
    </row>
    <row r="778">
      <c r="A778" s="136" t="s">
        <v>133</v>
      </c>
      <c r="B778" s="136"/>
      <c r="C778" s="136" t="s">
        <v>133</v>
      </c>
      <c r="D778" s="136"/>
      <c r="E778" s="106"/>
      <c r="F778" s="136" t="str">
        <f>IFERROR(__xludf.DUMMYFUNCTION("""COMPUTED_VALUE"""),"")</f>
        <v/>
      </c>
      <c r="G778" s="106" t="str">
        <f>IFERROR(__xludf.DUMMYFUNCTION("""COMPUTED_VALUE"""),"")</f>
        <v/>
      </c>
      <c r="I778" s="136" t="str">
        <f>IFERROR(__xludf.DUMMYFUNCTION("""COMPUTED_VALUE"""),"")</f>
        <v/>
      </c>
      <c r="J778" s="106" t="str">
        <f>IFERROR(__xludf.DUMMYFUNCTION("""COMPUTED_VALUE"""),"")</f>
        <v/>
      </c>
      <c r="L778" s="136" t="str">
        <f>IFERROR(__xludf.DUMMYFUNCTION("""COMPUTED_VALUE"""),"")</f>
        <v/>
      </c>
      <c r="M778" s="106" t="str">
        <f>IFERROR(__xludf.DUMMYFUNCTION("""COMPUTED_VALUE"""),"")</f>
        <v/>
      </c>
      <c r="O778" s="136" t="str">
        <f>IFERROR(__xludf.DUMMYFUNCTION("""COMPUTED_VALUE"""),"")</f>
        <v/>
      </c>
      <c r="P778" s="106" t="str">
        <f>IFERROR(__xludf.DUMMYFUNCTION("""COMPUTED_VALUE"""),"")</f>
        <v/>
      </c>
      <c r="R778" s="136" t="str">
        <f>IFERROR(__xludf.DUMMYFUNCTION("""COMPUTED_VALUE"""),"")</f>
        <v/>
      </c>
      <c r="S778" s="106" t="str">
        <f>IFERROR(__xludf.DUMMYFUNCTION("""COMPUTED_VALUE"""),"")</f>
        <v/>
      </c>
    </row>
    <row r="779">
      <c r="A779" s="136" t="s">
        <v>133</v>
      </c>
      <c r="B779" s="136"/>
      <c r="C779" s="136" t="s">
        <v>133</v>
      </c>
      <c r="D779" s="136"/>
      <c r="E779" s="106"/>
      <c r="F779" s="136" t="str">
        <f>IFERROR(__xludf.DUMMYFUNCTION("""COMPUTED_VALUE"""),"")</f>
        <v/>
      </c>
      <c r="G779" s="106" t="str">
        <f>IFERROR(__xludf.DUMMYFUNCTION("""COMPUTED_VALUE"""),"")</f>
        <v/>
      </c>
      <c r="I779" s="136" t="str">
        <f>IFERROR(__xludf.DUMMYFUNCTION("""COMPUTED_VALUE"""),"")</f>
        <v/>
      </c>
      <c r="J779" s="106" t="str">
        <f>IFERROR(__xludf.DUMMYFUNCTION("""COMPUTED_VALUE"""),"")</f>
        <v/>
      </c>
      <c r="L779" s="136" t="str">
        <f>IFERROR(__xludf.DUMMYFUNCTION("""COMPUTED_VALUE"""),"")</f>
        <v/>
      </c>
      <c r="M779" s="106" t="str">
        <f>IFERROR(__xludf.DUMMYFUNCTION("""COMPUTED_VALUE"""),"")</f>
        <v/>
      </c>
      <c r="O779" s="136" t="str">
        <f>IFERROR(__xludf.DUMMYFUNCTION("""COMPUTED_VALUE"""),"")</f>
        <v/>
      </c>
      <c r="P779" s="106" t="str">
        <f>IFERROR(__xludf.DUMMYFUNCTION("""COMPUTED_VALUE"""),"")</f>
        <v/>
      </c>
      <c r="R779" s="136" t="str">
        <f>IFERROR(__xludf.DUMMYFUNCTION("""COMPUTED_VALUE"""),"")</f>
        <v/>
      </c>
      <c r="S779" s="106" t="str">
        <f>IFERROR(__xludf.DUMMYFUNCTION("""COMPUTED_VALUE"""),"")</f>
        <v/>
      </c>
    </row>
    <row r="780">
      <c r="A780" s="136" t="s">
        <v>133</v>
      </c>
      <c r="B780" s="136"/>
      <c r="C780" s="136" t="s">
        <v>133</v>
      </c>
      <c r="D780" s="136"/>
      <c r="E780" s="106"/>
      <c r="F780" s="136" t="str">
        <f>IFERROR(__xludf.DUMMYFUNCTION("""COMPUTED_VALUE"""),"")</f>
        <v/>
      </c>
      <c r="G780" s="106" t="str">
        <f>IFERROR(__xludf.DUMMYFUNCTION("""COMPUTED_VALUE"""),"")</f>
        <v/>
      </c>
      <c r="I780" s="136" t="str">
        <f>IFERROR(__xludf.DUMMYFUNCTION("""COMPUTED_VALUE"""),"")</f>
        <v/>
      </c>
      <c r="J780" s="106" t="str">
        <f>IFERROR(__xludf.DUMMYFUNCTION("""COMPUTED_VALUE"""),"")</f>
        <v/>
      </c>
      <c r="L780" s="136" t="str">
        <f>IFERROR(__xludf.DUMMYFUNCTION("""COMPUTED_VALUE"""),"")</f>
        <v/>
      </c>
      <c r="M780" s="106" t="str">
        <f>IFERROR(__xludf.DUMMYFUNCTION("""COMPUTED_VALUE"""),"")</f>
        <v/>
      </c>
      <c r="O780" s="136" t="str">
        <f>IFERROR(__xludf.DUMMYFUNCTION("""COMPUTED_VALUE"""),"")</f>
        <v/>
      </c>
      <c r="P780" s="106" t="str">
        <f>IFERROR(__xludf.DUMMYFUNCTION("""COMPUTED_VALUE"""),"")</f>
        <v/>
      </c>
      <c r="R780" s="136" t="str">
        <f>IFERROR(__xludf.DUMMYFUNCTION("""COMPUTED_VALUE"""),"")</f>
        <v/>
      </c>
      <c r="S780" s="106" t="str">
        <f>IFERROR(__xludf.DUMMYFUNCTION("""COMPUTED_VALUE"""),"")</f>
        <v/>
      </c>
    </row>
    <row r="781">
      <c r="A781" s="136" t="s">
        <v>133</v>
      </c>
      <c r="B781" s="136"/>
      <c r="C781" s="136" t="s">
        <v>133</v>
      </c>
      <c r="D781" s="136"/>
      <c r="E781" s="106"/>
      <c r="F781" s="136" t="str">
        <f>IFERROR(__xludf.DUMMYFUNCTION("""COMPUTED_VALUE"""),"")</f>
        <v/>
      </c>
      <c r="G781" s="106" t="str">
        <f>IFERROR(__xludf.DUMMYFUNCTION("""COMPUTED_VALUE"""),"")</f>
        <v/>
      </c>
      <c r="I781" s="136" t="str">
        <f>IFERROR(__xludf.DUMMYFUNCTION("""COMPUTED_VALUE"""),"")</f>
        <v/>
      </c>
      <c r="J781" s="106" t="str">
        <f>IFERROR(__xludf.DUMMYFUNCTION("""COMPUTED_VALUE"""),"")</f>
        <v/>
      </c>
      <c r="L781" s="136" t="str">
        <f>IFERROR(__xludf.DUMMYFUNCTION("""COMPUTED_VALUE"""),"")</f>
        <v/>
      </c>
      <c r="M781" s="106" t="str">
        <f>IFERROR(__xludf.DUMMYFUNCTION("""COMPUTED_VALUE"""),"")</f>
        <v/>
      </c>
      <c r="O781" s="136" t="str">
        <f>IFERROR(__xludf.DUMMYFUNCTION("""COMPUTED_VALUE"""),"")</f>
        <v/>
      </c>
      <c r="P781" s="106" t="str">
        <f>IFERROR(__xludf.DUMMYFUNCTION("""COMPUTED_VALUE"""),"")</f>
        <v/>
      </c>
      <c r="R781" s="136" t="str">
        <f>IFERROR(__xludf.DUMMYFUNCTION("""COMPUTED_VALUE"""),"")</f>
        <v/>
      </c>
      <c r="S781" s="106" t="str">
        <f>IFERROR(__xludf.DUMMYFUNCTION("""COMPUTED_VALUE"""),"")</f>
        <v/>
      </c>
    </row>
    <row r="782">
      <c r="A782" s="136" t="s">
        <v>133</v>
      </c>
      <c r="B782" s="136"/>
      <c r="C782" s="136" t="s">
        <v>133</v>
      </c>
      <c r="D782" s="136"/>
      <c r="E782" s="106"/>
      <c r="F782" s="136" t="str">
        <f>IFERROR(__xludf.DUMMYFUNCTION("""COMPUTED_VALUE"""),"")</f>
        <v/>
      </c>
      <c r="G782" s="106" t="str">
        <f>IFERROR(__xludf.DUMMYFUNCTION("""COMPUTED_VALUE"""),"")</f>
        <v/>
      </c>
      <c r="I782" s="136" t="str">
        <f>IFERROR(__xludf.DUMMYFUNCTION("""COMPUTED_VALUE"""),"")</f>
        <v/>
      </c>
      <c r="J782" s="106" t="str">
        <f>IFERROR(__xludf.DUMMYFUNCTION("""COMPUTED_VALUE"""),"")</f>
        <v/>
      </c>
      <c r="L782" s="136" t="str">
        <f>IFERROR(__xludf.DUMMYFUNCTION("""COMPUTED_VALUE"""),"")</f>
        <v/>
      </c>
      <c r="M782" s="106" t="str">
        <f>IFERROR(__xludf.DUMMYFUNCTION("""COMPUTED_VALUE"""),"")</f>
        <v/>
      </c>
      <c r="O782" s="136" t="str">
        <f>IFERROR(__xludf.DUMMYFUNCTION("""COMPUTED_VALUE"""),"")</f>
        <v/>
      </c>
      <c r="P782" s="106" t="str">
        <f>IFERROR(__xludf.DUMMYFUNCTION("""COMPUTED_VALUE"""),"")</f>
        <v/>
      </c>
      <c r="R782" s="136" t="str">
        <f>IFERROR(__xludf.DUMMYFUNCTION("""COMPUTED_VALUE"""),"")</f>
        <v/>
      </c>
      <c r="S782" s="106" t="str">
        <f>IFERROR(__xludf.DUMMYFUNCTION("""COMPUTED_VALUE"""),"")</f>
        <v/>
      </c>
    </row>
    <row r="783">
      <c r="A783" s="136" t="s">
        <v>133</v>
      </c>
      <c r="B783" s="136"/>
      <c r="C783" s="136" t="s">
        <v>133</v>
      </c>
      <c r="D783" s="136"/>
      <c r="E783" s="106"/>
      <c r="F783" s="136" t="str">
        <f>IFERROR(__xludf.DUMMYFUNCTION("""COMPUTED_VALUE"""),"")</f>
        <v/>
      </c>
      <c r="G783" s="106" t="str">
        <f>IFERROR(__xludf.DUMMYFUNCTION("""COMPUTED_VALUE"""),"")</f>
        <v/>
      </c>
      <c r="I783" s="136" t="str">
        <f>IFERROR(__xludf.DUMMYFUNCTION("""COMPUTED_VALUE"""),"")</f>
        <v/>
      </c>
      <c r="J783" s="106" t="str">
        <f>IFERROR(__xludf.DUMMYFUNCTION("""COMPUTED_VALUE"""),"")</f>
        <v/>
      </c>
      <c r="L783" s="136" t="str">
        <f>IFERROR(__xludf.DUMMYFUNCTION("""COMPUTED_VALUE"""),"")</f>
        <v/>
      </c>
      <c r="M783" s="106" t="str">
        <f>IFERROR(__xludf.DUMMYFUNCTION("""COMPUTED_VALUE"""),"")</f>
        <v/>
      </c>
      <c r="O783" s="136" t="str">
        <f>IFERROR(__xludf.DUMMYFUNCTION("""COMPUTED_VALUE"""),"")</f>
        <v/>
      </c>
      <c r="P783" s="106" t="str">
        <f>IFERROR(__xludf.DUMMYFUNCTION("""COMPUTED_VALUE"""),"")</f>
        <v/>
      </c>
      <c r="R783" s="136" t="str">
        <f>IFERROR(__xludf.DUMMYFUNCTION("""COMPUTED_VALUE"""),"")</f>
        <v/>
      </c>
      <c r="S783" s="106" t="str">
        <f>IFERROR(__xludf.DUMMYFUNCTION("""COMPUTED_VALUE"""),"")</f>
        <v/>
      </c>
    </row>
    <row r="784">
      <c r="A784" s="136" t="s">
        <v>133</v>
      </c>
      <c r="B784" s="136"/>
      <c r="C784" s="136" t="s">
        <v>133</v>
      </c>
      <c r="D784" s="136"/>
      <c r="E784" s="106"/>
      <c r="F784" s="136" t="str">
        <f>IFERROR(__xludf.DUMMYFUNCTION("""COMPUTED_VALUE"""),"")</f>
        <v/>
      </c>
      <c r="G784" s="106" t="str">
        <f>IFERROR(__xludf.DUMMYFUNCTION("""COMPUTED_VALUE"""),"")</f>
        <v/>
      </c>
      <c r="I784" s="136" t="str">
        <f>IFERROR(__xludf.DUMMYFUNCTION("""COMPUTED_VALUE"""),"")</f>
        <v/>
      </c>
      <c r="J784" s="106" t="str">
        <f>IFERROR(__xludf.DUMMYFUNCTION("""COMPUTED_VALUE"""),"")</f>
        <v/>
      </c>
      <c r="L784" s="136" t="str">
        <f>IFERROR(__xludf.DUMMYFUNCTION("""COMPUTED_VALUE"""),"")</f>
        <v/>
      </c>
      <c r="M784" s="106" t="str">
        <f>IFERROR(__xludf.DUMMYFUNCTION("""COMPUTED_VALUE"""),"")</f>
        <v/>
      </c>
      <c r="O784" s="136" t="str">
        <f>IFERROR(__xludf.DUMMYFUNCTION("""COMPUTED_VALUE"""),"")</f>
        <v/>
      </c>
      <c r="P784" s="106" t="str">
        <f>IFERROR(__xludf.DUMMYFUNCTION("""COMPUTED_VALUE"""),"")</f>
        <v/>
      </c>
      <c r="R784" s="136" t="str">
        <f>IFERROR(__xludf.DUMMYFUNCTION("""COMPUTED_VALUE"""),"")</f>
        <v/>
      </c>
      <c r="S784" s="106" t="str">
        <f>IFERROR(__xludf.DUMMYFUNCTION("""COMPUTED_VALUE"""),"")</f>
        <v/>
      </c>
    </row>
    <row r="785">
      <c r="A785" s="136" t="s">
        <v>133</v>
      </c>
      <c r="B785" s="136"/>
      <c r="C785" s="136" t="s">
        <v>133</v>
      </c>
      <c r="D785" s="136"/>
      <c r="E785" s="106"/>
      <c r="F785" s="136" t="str">
        <f>IFERROR(__xludf.DUMMYFUNCTION("""COMPUTED_VALUE"""),"")</f>
        <v/>
      </c>
      <c r="G785" s="106" t="str">
        <f>IFERROR(__xludf.DUMMYFUNCTION("""COMPUTED_VALUE"""),"")</f>
        <v/>
      </c>
      <c r="I785" s="136" t="str">
        <f>IFERROR(__xludf.DUMMYFUNCTION("""COMPUTED_VALUE"""),"")</f>
        <v/>
      </c>
      <c r="J785" s="106" t="str">
        <f>IFERROR(__xludf.DUMMYFUNCTION("""COMPUTED_VALUE"""),"")</f>
        <v/>
      </c>
      <c r="L785" s="136" t="str">
        <f>IFERROR(__xludf.DUMMYFUNCTION("""COMPUTED_VALUE"""),"")</f>
        <v/>
      </c>
      <c r="M785" s="106" t="str">
        <f>IFERROR(__xludf.DUMMYFUNCTION("""COMPUTED_VALUE"""),"")</f>
        <v/>
      </c>
      <c r="O785" s="136" t="str">
        <f>IFERROR(__xludf.DUMMYFUNCTION("""COMPUTED_VALUE"""),"")</f>
        <v/>
      </c>
      <c r="P785" s="106" t="str">
        <f>IFERROR(__xludf.DUMMYFUNCTION("""COMPUTED_VALUE"""),"")</f>
        <v/>
      </c>
      <c r="R785" s="136" t="str">
        <f>IFERROR(__xludf.DUMMYFUNCTION("""COMPUTED_VALUE"""),"")</f>
        <v/>
      </c>
      <c r="S785" s="106" t="str">
        <f>IFERROR(__xludf.DUMMYFUNCTION("""COMPUTED_VALUE"""),"")</f>
        <v/>
      </c>
    </row>
    <row r="786">
      <c r="A786" s="136" t="s">
        <v>133</v>
      </c>
      <c r="B786" s="136"/>
      <c r="C786" s="136" t="s">
        <v>133</v>
      </c>
      <c r="D786" s="136"/>
      <c r="E786" s="106"/>
      <c r="F786" s="136" t="str">
        <f>IFERROR(__xludf.DUMMYFUNCTION("""COMPUTED_VALUE"""),"")</f>
        <v/>
      </c>
      <c r="G786" s="106" t="str">
        <f>IFERROR(__xludf.DUMMYFUNCTION("""COMPUTED_VALUE"""),"")</f>
        <v/>
      </c>
      <c r="I786" s="136" t="str">
        <f>IFERROR(__xludf.DUMMYFUNCTION("""COMPUTED_VALUE"""),"")</f>
        <v/>
      </c>
      <c r="J786" s="106" t="str">
        <f>IFERROR(__xludf.DUMMYFUNCTION("""COMPUTED_VALUE"""),"")</f>
        <v/>
      </c>
      <c r="L786" s="136" t="str">
        <f>IFERROR(__xludf.DUMMYFUNCTION("""COMPUTED_VALUE"""),"")</f>
        <v/>
      </c>
      <c r="M786" s="106" t="str">
        <f>IFERROR(__xludf.DUMMYFUNCTION("""COMPUTED_VALUE"""),"")</f>
        <v/>
      </c>
      <c r="O786" s="136" t="str">
        <f>IFERROR(__xludf.DUMMYFUNCTION("""COMPUTED_VALUE"""),"")</f>
        <v/>
      </c>
      <c r="P786" s="106" t="str">
        <f>IFERROR(__xludf.DUMMYFUNCTION("""COMPUTED_VALUE"""),"")</f>
        <v/>
      </c>
      <c r="R786" s="136" t="str">
        <f>IFERROR(__xludf.DUMMYFUNCTION("""COMPUTED_VALUE"""),"")</f>
        <v/>
      </c>
      <c r="S786" s="106" t="str">
        <f>IFERROR(__xludf.DUMMYFUNCTION("""COMPUTED_VALUE"""),"")</f>
        <v/>
      </c>
    </row>
    <row r="787">
      <c r="A787" s="136" t="s">
        <v>133</v>
      </c>
      <c r="B787" s="136"/>
      <c r="C787" s="136" t="s">
        <v>133</v>
      </c>
      <c r="D787" s="136"/>
      <c r="E787" s="106"/>
      <c r="F787" s="136" t="str">
        <f>IFERROR(__xludf.DUMMYFUNCTION("""COMPUTED_VALUE"""),"")</f>
        <v/>
      </c>
      <c r="G787" s="106" t="str">
        <f>IFERROR(__xludf.DUMMYFUNCTION("""COMPUTED_VALUE"""),"")</f>
        <v/>
      </c>
      <c r="I787" s="136" t="str">
        <f>IFERROR(__xludf.DUMMYFUNCTION("""COMPUTED_VALUE"""),"")</f>
        <v/>
      </c>
      <c r="J787" s="106" t="str">
        <f>IFERROR(__xludf.DUMMYFUNCTION("""COMPUTED_VALUE"""),"")</f>
        <v/>
      </c>
      <c r="L787" s="136" t="str">
        <f>IFERROR(__xludf.DUMMYFUNCTION("""COMPUTED_VALUE"""),"")</f>
        <v/>
      </c>
      <c r="M787" s="106" t="str">
        <f>IFERROR(__xludf.DUMMYFUNCTION("""COMPUTED_VALUE"""),"")</f>
        <v/>
      </c>
      <c r="O787" s="136" t="str">
        <f>IFERROR(__xludf.DUMMYFUNCTION("""COMPUTED_VALUE"""),"")</f>
        <v/>
      </c>
      <c r="P787" s="106" t="str">
        <f>IFERROR(__xludf.DUMMYFUNCTION("""COMPUTED_VALUE"""),"")</f>
        <v/>
      </c>
      <c r="R787" s="136" t="str">
        <f>IFERROR(__xludf.DUMMYFUNCTION("""COMPUTED_VALUE"""),"")</f>
        <v/>
      </c>
      <c r="S787" s="106" t="str">
        <f>IFERROR(__xludf.DUMMYFUNCTION("""COMPUTED_VALUE"""),"")</f>
        <v/>
      </c>
    </row>
    <row r="788">
      <c r="A788" s="136" t="s">
        <v>133</v>
      </c>
      <c r="B788" s="136"/>
      <c r="C788" s="136" t="s">
        <v>133</v>
      </c>
      <c r="D788" s="136"/>
      <c r="E788" s="106"/>
      <c r="F788" s="136" t="str">
        <f>IFERROR(__xludf.DUMMYFUNCTION("""COMPUTED_VALUE"""),"")</f>
        <v/>
      </c>
      <c r="G788" s="106" t="str">
        <f>IFERROR(__xludf.DUMMYFUNCTION("""COMPUTED_VALUE"""),"")</f>
        <v/>
      </c>
      <c r="I788" s="136" t="str">
        <f>IFERROR(__xludf.DUMMYFUNCTION("""COMPUTED_VALUE"""),"")</f>
        <v/>
      </c>
      <c r="J788" s="106" t="str">
        <f>IFERROR(__xludf.DUMMYFUNCTION("""COMPUTED_VALUE"""),"")</f>
        <v/>
      </c>
      <c r="L788" s="136" t="str">
        <f>IFERROR(__xludf.DUMMYFUNCTION("""COMPUTED_VALUE"""),"")</f>
        <v/>
      </c>
      <c r="M788" s="106" t="str">
        <f>IFERROR(__xludf.DUMMYFUNCTION("""COMPUTED_VALUE"""),"")</f>
        <v/>
      </c>
      <c r="O788" s="136" t="str">
        <f>IFERROR(__xludf.DUMMYFUNCTION("""COMPUTED_VALUE"""),"")</f>
        <v/>
      </c>
      <c r="P788" s="106" t="str">
        <f>IFERROR(__xludf.DUMMYFUNCTION("""COMPUTED_VALUE"""),"")</f>
        <v/>
      </c>
      <c r="R788" s="136" t="str">
        <f>IFERROR(__xludf.DUMMYFUNCTION("""COMPUTED_VALUE"""),"")</f>
        <v/>
      </c>
      <c r="S788" s="106" t="str">
        <f>IFERROR(__xludf.DUMMYFUNCTION("""COMPUTED_VALUE"""),"")</f>
        <v/>
      </c>
    </row>
    <row r="789">
      <c r="A789" s="136" t="s">
        <v>133</v>
      </c>
      <c r="B789" s="136"/>
      <c r="C789" s="136" t="s">
        <v>133</v>
      </c>
      <c r="D789" s="136"/>
      <c r="E789" s="106"/>
      <c r="F789" s="136" t="str">
        <f>IFERROR(__xludf.DUMMYFUNCTION("""COMPUTED_VALUE"""),"")</f>
        <v/>
      </c>
      <c r="G789" s="106" t="str">
        <f>IFERROR(__xludf.DUMMYFUNCTION("""COMPUTED_VALUE"""),"")</f>
        <v/>
      </c>
      <c r="I789" s="136" t="str">
        <f>IFERROR(__xludf.DUMMYFUNCTION("""COMPUTED_VALUE"""),"")</f>
        <v/>
      </c>
      <c r="J789" s="106" t="str">
        <f>IFERROR(__xludf.DUMMYFUNCTION("""COMPUTED_VALUE"""),"")</f>
        <v/>
      </c>
      <c r="L789" s="136" t="str">
        <f>IFERROR(__xludf.DUMMYFUNCTION("""COMPUTED_VALUE"""),"")</f>
        <v/>
      </c>
      <c r="M789" s="106" t="str">
        <f>IFERROR(__xludf.DUMMYFUNCTION("""COMPUTED_VALUE"""),"")</f>
        <v/>
      </c>
      <c r="O789" s="136" t="str">
        <f>IFERROR(__xludf.DUMMYFUNCTION("""COMPUTED_VALUE"""),"")</f>
        <v/>
      </c>
      <c r="P789" s="106" t="str">
        <f>IFERROR(__xludf.DUMMYFUNCTION("""COMPUTED_VALUE"""),"")</f>
        <v/>
      </c>
      <c r="R789" s="136" t="str">
        <f>IFERROR(__xludf.DUMMYFUNCTION("""COMPUTED_VALUE"""),"")</f>
        <v/>
      </c>
      <c r="S789" s="106" t="str">
        <f>IFERROR(__xludf.DUMMYFUNCTION("""COMPUTED_VALUE"""),"")</f>
        <v/>
      </c>
    </row>
    <row r="790">
      <c r="A790" s="136" t="s">
        <v>133</v>
      </c>
      <c r="B790" s="136"/>
      <c r="C790" s="136" t="s">
        <v>133</v>
      </c>
      <c r="D790" s="136"/>
      <c r="E790" s="106"/>
      <c r="F790" s="136" t="str">
        <f>IFERROR(__xludf.DUMMYFUNCTION("""COMPUTED_VALUE"""),"")</f>
        <v/>
      </c>
      <c r="G790" s="106" t="str">
        <f>IFERROR(__xludf.DUMMYFUNCTION("""COMPUTED_VALUE"""),"")</f>
        <v/>
      </c>
      <c r="I790" s="136" t="str">
        <f>IFERROR(__xludf.DUMMYFUNCTION("""COMPUTED_VALUE"""),"")</f>
        <v/>
      </c>
      <c r="J790" s="106" t="str">
        <f>IFERROR(__xludf.DUMMYFUNCTION("""COMPUTED_VALUE"""),"")</f>
        <v/>
      </c>
      <c r="L790" s="136" t="str">
        <f>IFERROR(__xludf.DUMMYFUNCTION("""COMPUTED_VALUE"""),"")</f>
        <v/>
      </c>
      <c r="M790" s="106" t="str">
        <f>IFERROR(__xludf.DUMMYFUNCTION("""COMPUTED_VALUE"""),"")</f>
        <v/>
      </c>
      <c r="O790" s="136" t="str">
        <f>IFERROR(__xludf.DUMMYFUNCTION("""COMPUTED_VALUE"""),"")</f>
        <v/>
      </c>
      <c r="P790" s="106" t="str">
        <f>IFERROR(__xludf.DUMMYFUNCTION("""COMPUTED_VALUE"""),"")</f>
        <v/>
      </c>
      <c r="R790" s="136" t="str">
        <f>IFERROR(__xludf.DUMMYFUNCTION("""COMPUTED_VALUE"""),"")</f>
        <v/>
      </c>
      <c r="S790" s="106" t="str">
        <f>IFERROR(__xludf.DUMMYFUNCTION("""COMPUTED_VALUE"""),"")</f>
        <v/>
      </c>
    </row>
    <row r="791">
      <c r="A791" s="136" t="s">
        <v>133</v>
      </c>
      <c r="B791" s="136"/>
      <c r="C791" s="136" t="s">
        <v>133</v>
      </c>
      <c r="D791" s="136"/>
      <c r="E791" s="106"/>
      <c r="F791" s="136" t="str">
        <f>IFERROR(__xludf.DUMMYFUNCTION("""COMPUTED_VALUE"""),"")</f>
        <v/>
      </c>
      <c r="G791" s="106" t="str">
        <f>IFERROR(__xludf.DUMMYFUNCTION("""COMPUTED_VALUE"""),"")</f>
        <v/>
      </c>
      <c r="I791" s="136" t="str">
        <f>IFERROR(__xludf.DUMMYFUNCTION("""COMPUTED_VALUE"""),"")</f>
        <v/>
      </c>
      <c r="J791" s="106" t="str">
        <f>IFERROR(__xludf.DUMMYFUNCTION("""COMPUTED_VALUE"""),"")</f>
        <v/>
      </c>
      <c r="L791" s="136" t="str">
        <f>IFERROR(__xludf.DUMMYFUNCTION("""COMPUTED_VALUE"""),"")</f>
        <v/>
      </c>
      <c r="M791" s="106" t="str">
        <f>IFERROR(__xludf.DUMMYFUNCTION("""COMPUTED_VALUE"""),"")</f>
        <v/>
      </c>
      <c r="O791" s="136" t="str">
        <f>IFERROR(__xludf.DUMMYFUNCTION("""COMPUTED_VALUE"""),"")</f>
        <v/>
      </c>
      <c r="P791" s="106" t="str">
        <f>IFERROR(__xludf.DUMMYFUNCTION("""COMPUTED_VALUE"""),"")</f>
        <v/>
      </c>
      <c r="R791" s="136" t="str">
        <f>IFERROR(__xludf.DUMMYFUNCTION("""COMPUTED_VALUE"""),"")</f>
        <v/>
      </c>
      <c r="S791" s="106" t="str">
        <f>IFERROR(__xludf.DUMMYFUNCTION("""COMPUTED_VALUE"""),"")</f>
        <v/>
      </c>
    </row>
    <row r="792">
      <c r="A792" s="136" t="s">
        <v>133</v>
      </c>
      <c r="B792" s="136"/>
      <c r="C792" s="136" t="s">
        <v>133</v>
      </c>
      <c r="D792" s="136"/>
      <c r="E792" s="106"/>
      <c r="F792" s="136" t="str">
        <f>IFERROR(__xludf.DUMMYFUNCTION("""COMPUTED_VALUE"""),"")</f>
        <v/>
      </c>
      <c r="G792" s="106" t="str">
        <f>IFERROR(__xludf.DUMMYFUNCTION("""COMPUTED_VALUE"""),"")</f>
        <v/>
      </c>
      <c r="I792" s="136" t="str">
        <f>IFERROR(__xludf.DUMMYFUNCTION("""COMPUTED_VALUE"""),"")</f>
        <v/>
      </c>
      <c r="J792" s="106" t="str">
        <f>IFERROR(__xludf.DUMMYFUNCTION("""COMPUTED_VALUE"""),"")</f>
        <v/>
      </c>
      <c r="L792" s="136" t="str">
        <f>IFERROR(__xludf.DUMMYFUNCTION("""COMPUTED_VALUE"""),"")</f>
        <v/>
      </c>
      <c r="M792" s="106" t="str">
        <f>IFERROR(__xludf.DUMMYFUNCTION("""COMPUTED_VALUE"""),"")</f>
        <v/>
      </c>
      <c r="O792" s="136" t="str">
        <f>IFERROR(__xludf.DUMMYFUNCTION("""COMPUTED_VALUE"""),"")</f>
        <v/>
      </c>
      <c r="P792" s="106" t="str">
        <f>IFERROR(__xludf.DUMMYFUNCTION("""COMPUTED_VALUE"""),"")</f>
        <v/>
      </c>
      <c r="R792" s="136" t="str">
        <f>IFERROR(__xludf.DUMMYFUNCTION("""COMPUTED_VALUE"""),"")</f>
        <v/>
      </c>
      <c r="S792" s="106" t="str">
        <f>IFERROR(__xludf.DUMMYFUNCTION("""COMPUTED_VALUE"""),"")</f>
        <v/>
      </c>
    </row>
    <row r="793">
      <c r="A793" s="136" t="s">
        <v>133</v>
      </c>
      <c r="B793" s="136"/>
      <c r="C793" s="136" t="s">
        <v>133</v>
      </c>
      <c r="D793" s="136"/>
      <c r="E793" s="106"/>
      <c r="F793" s="136" t="str">
        <f>IFERROR(__xludf.DUMMYFUNCTION("""COMPUTED_VALUE"""),"")</f>
        <v/>
      </c>
      <c r="G793" s="106" t="str">
        <f>IFERROR(__xludf.DUMMYFUNCTION("""COMPUTED_VALUE"""),"")</f>
        <v/>
      </c>
      <c r="I793" s="136" t="str">
        <f>IFERROR(__xludf.DUMMYFUNCTION("""COMPUTED_VALUE"""),"")</f>
        <v/>
      </c>
      <c r="J793" s="106" t="str">
        <f>IFERROR(__xludf.DUMMYFUNCTION("""COMPUTED_VALUE"""),"")</f>
        <v/>
      </c>
      <c r="L793" s="136" t="str">
        <f>IFERROR(__xludf.DUMMYFUNCTION("""COMPUTED_VALUE"""),"")</f>
        <v/>
      </c>
      <c r="M793" s="106" t="str">
        <f>IFERROR(__xludf.DUMMYFUNCTION("""COMPUTED_VALUE"""),"")</f>
        <v/>
      </c>
      <c r="O793" s="136" t="str">
        <f>IFERROR(__xludf.DUMMYFUNCTION("""COMPUTED_VALUE"""),"")</f>
        <v/>
      </c>
      <c r="P793" s="106" t="str">
        <f>IFERROR(__xludf.DUMMYFUNCTION("""COMPUTED_VALUE"""),"")</f>
        <v/>
      </c>
      <c r="R793" s="136" t="str">
        <f>IFERROR(__xludf.DUMMYFUNCTION("""COMPUTED_VALUE"""),"")</f>
        <v/>
      </c>
      <c r="S793" s="106" t="str">
        <f>IFERROR(__xludf.DUMMYFUNCTION("""COMPUTED_VALUE"""),"")</f>
        <v/>
      </c>
    </row>
    <row r="794">
      <c r="A794" s="136" t="s">
        <v>133</v>
      </c>
      <c r="B794" s="136"/>
      <c r="C794" s="136" t="s">
        <v>133</v>
      </c>
      <c r="D794" s="136"/>
      <c r="E794" s="106"/>
      <c r="F794" s="136" t="str">
        <f>IFERROR(__xludf.DUMMYFUNCTION("""COMPUTED_VALUE"""),"")</f>
        <v/>
      </c>
      <c r="G794" s="106" t="str">
        <f>IFERROR(__xludf.DUMMYFUNCTION("""COMPUTED_VALUE"""),"")</f>
        <v/>
      </c>
      <c r="I794" s="136" t="str">
        <f>IFERROR(__xludf.DUMMYFUNCTION("""COMPUTED_VALUE"""),"")</f>
        <v/>
      </c>
      <c r="J794" s="106" t="str">
        <f>IFERROR(__xludf.DUMMYFUNCTION("""COMPUTED_VALUE"""),"")</f>
        <v/>
      </c>
      <c r="L794" s="136" t="str">
        <f>IFERROR(__xludf.DUMMYFUNCTION("""COMPUTED_VALUE"""),"")</f>
        <v/>
      </c>
      <c r="M794" s="106" t="str">
        <f>IFERROR(__xludf.DUMMYFUNCTION("""COMPUTED_VALUE"""),"")</f>
        <v/>
      </c>
      <c r="O794" s="136" t="str">
        <f>IFERROR(__xludf.DUMMYFUNCTION("""COMPUTED_VALUE"""),"")</f>
        <v/>
      </c>
      <c r="P794" s="106" t="str">
        <f>IFERROR(__xludf.DUMMYFUNCTION("""COMPUTED_VALUE"""),"")</f>
        <v/>
      </c>
      <c r="R794" s="136" t="str">
        <f>IFERROR(__xludf.DUMMYFUNCTION("""COMPUTED_VALUE"""),"")</f>
        <v/>
      </c>
      <c r="S794" s="106" t="str">
        <f>IFERROR(__xludf.DUMMYFUNCTION("""COMPUTED_VALUE"""),"")</f>
        <v/>
      </c>
    </row>
    <row r="795">
      <c r="A795" s="136" t="s">
        <v>133</v>
      </c>
      <c r="B795" s="136"/>
      <c r="C795" s="136" t="s">
        <v>133</v>
      </c>
      <c r="D795" s="136"/>
      <c r="E795" s="106"/>
      <c r="F795" s="136" t="str">
        <f>IFERROR(__xludf.DUMMYFUNCTION("""COMPUTED_VALUE"""),"")</f>
        <v/>
      </c>
      <c r="G795" s="106" t="str">
        <f>IFERROR(__xludf.DUMMYFUNCTION("""COMPUTED_VALUE"""),"")</f>
        <v/>
      </c>
      <c r="I795" s="136" t="str">
        <f>IFERROR(__xludf.DUMMYFUNCTION("""COMPUTED_VALUE"""),"")</f>
        <v/>
      </c>
      <c r="J795" s="106" t="str">
        <f>IFERROR(__xludf.DUMMYFUNCTION("""COMPUTED_VALUE"""),"")</f>
        <v/>
      </c>
      <c r="L795" s="136" t="str">
        <f>IFERROR(__xludf.DUMMYFUNCTION("""COMPUTED_VALUE"""),"")</f>
        <v/>
      </c>
      <c r="M795" s="106" t="str">
        <f>IFERROR(__xludf.DUMMYFUNCTION("""COMPUTED_VALUE"""),"")</f>
        <v/>
      </c>
      <c r="O795" s="136" t="str">
        <f>IFERROR(__xludf.DUMMYFUNCTION("""COMPUTED_VALUE"""),"")</f>
        <v/>
      </c>
      <c r="P795" s="106" t="str">
        <f>IFERROR(__xludf.DUMMYFUNCTION("""COMPUTED_VALUE"""),"")</f>
        <v/>
      </c>
      <c r="R795" s="136" t="str">
        <f>IFERROR(__xludf.DUMMYFUNCTION("""COMPUTED_VALUE"""),"")</f>
        <v/>
      </c>
      <c r="S795" s="106" t="str">
        <f>IFERROR(__xludf.DUMMYFUNCTION("""COMPUTED_VALUE"""),"")</f>
        <v/>
      </c>
    </row>
    <row r="796">
      <c r="A796" s="136" t="s">
        <v>133</v>
      </c>
      <c r="B796" s="136"/>
      <c r="C796" s="136" t="s">
        <v>133</v>
      </c>
      <c r="D796" s="136"/>
      <c r="E796" s="106"/>
      <c r="F796" s="136" t="str">
        <f>IFERROR(__xludf.DUMMYFUNCTION("""COMPUTED_VALUE"""),"")</f>
        <v/>
      </c>
      <c r="G796" s="106" t="str">
        <f>IFERROR(__xludf.DUMMYFUNCTION("""COMPUTED_VALUE"""),"")</f>
        <v/>
      </c>
      <c r="I796" s="136" t="str">
        <f>IFERROR(__xludf.DUMMYFUNCTION("""COMPUTED_VALUE"""),"")</f>
        <v/>
      </c>
      <c r="J796" s="106" t="str">
        <f>IFERROR(__xludf.DUMMYFUNCTION("""COMPUTED_VALUE"""),"")</f>
        <v/>
      </c>
      <c r="L796" s="136" t="str">
        <f>IFERROR(__xludf.DUMMYFUNCTION("""COMPUTED_VALUE"""),"")</f>
        <v/>
      </c>
      <c r="M796" s="106" t="str">
        <f>IFERROR(__xludf.DUMMYFUNCTION("""COMPUTED_VALUE"""),"")</f>
        <v/>
      </c>
      <c r="O796" s="136" t="str">
        <f>IFERROR(__xludf.DUMMYFUNCTION("""COMPUTED_VALUE"""),"")</f>
        <v/>
      </c>
      <c r="P796" s="106" t="str">
        <f>IFERROR(__xludf.DUMMYFUNCTION("""COMPUTED_VALUE"""),"")</f>
        <v/>
      </c>
      <c r="R796" s="136" t="str">
        <f>IFERROR(__xludf.DUMMYFUNCTION("""COMPUTED_VALUE"""),"")</f>
        <v/>
      </c>
      <c r="S796" s="106" t="str">
        <f>IFERROR(__xludf.DUMMYFUNCTION("""COMPUTED_VALUE"""),"")</f>
        <v/>
      </c>
    </row>
    <row r="797">
      <c r="A797" s="136" t="s">
        <v>133</v>
      </c>
      <c r="B797" s="136"/>
      <c r="C797" s="136" t="s">
        <v>133</v>
      </c>
      <c r="D797" s="136"/>
      <c r="E797" s="106"/>
      <c r="F797" s="136" t="str">
        <f>IFERROR(__xludf.DUMMYFUNCTION("""COMPUTED_VALUE"""),"")</f>
        <v/>
      </c>
      <c r="G797" s="106" t="str">
        <f>IFERROR(__xludf.DUMMYFUNCTION("""COMPUTED_VALUE"""),"")</f>
        <v/>
      </c>
      <c r="I797" s="136" t="str">
        <f>IFERROR(__xludf.DUMMYFUNCTION("""COMPUTED_VALUE"""),"")</f>
        <v/>
      </c>
      <c r="J797" s="106" t="str">
        <f>IFERROR(__xludf.DUMMYFUNCTION("""COMPUTED_VALUE"""),"")</f>
        <v/>
      </c>
      <c r="L797" s="136" t="str">
        <f>IFERROR(__xludf.DUMMYFUNCTION("""COMPUTED_VALUE"""),"")</f>
        <v/>
      </c>
      <c r="M797" s="106" t="str">
        <f>IFERROR(__xludf.DUMMYFUNCTION("""COMPUTED_VALUE"""),"")</f>
        <v/>
      </c>
      <c r="O797" s="136" t="str">
        <f>IFERROR(__xludf.DUMMYFUNCTION("""COMPUTED_VALUE"""),"")</f>
        <v/>
      </c>
      <c r="P797" s="106" t="str">
        <f>IFERROR(__xludf.DUMMYFUNCTION("""COMPUTED_VALUE"""),"")</f>
        <v/>
      </c>
      <c r="R797" s="136" t="str">
        <f>IFERROR(__xludf.DUMMYFUNCTION("""COMPUTED_VALUE"""),"")</f>
        <v/>
      </c>
      <c r="S797" s="106" t="str">
        <f>IFERROR(__xludf.DUMMYFUNCTION("""COMPUTED_VALUE"""),"")</f>
        <v/>
      </c>
    </row>
    <row r="798">
      <c r="A798" s="136" t="s">
        <v>133</v>
      </c>
      <c r="B798" s="136"/>
      <c r="C798" s="136" t="s">
        <v>133</v>
      </c>
      <c r="D798" s="136"/>
      <c r="E798" s="106"/>
      <c r="F798" s="136" t="str">
        <f>IFERROR(__xludf.DUMMYFUNCTION("""COMPUTED_VALUE"""),"")</f>
        <v/>
      </c>
      <c r="G798" s="106" t="str">
        <f>IFERROR(__xludf.DUMMYFUNCTION("""COMPUTED_VALUE"""),"")</f>
        <v/>
      </c>
      <c r="I798" s="136" t="str">
        <f>IFERROR(__xludf.DUMMYFUNCTION("""COMPUTED_VALUE"""),"")</f>
        <v/>
      </c>
      <c r="J798" s="106" t="str">
        <f>IFERROR(__xludf.DUMMYFUNCTION("""COMPUTED_VALUE"""),"")</f>
        <v/>
      </c>
      <c r="L798" s="136" t="str">
        <f>IFERROR(__xludf.DUMMYFUNCTION("""COMPUTED_VALUE"""),"")</f>
        <v/>
      </c>
      <c r="M798" s="106" t="str">
        <f>IFERROR(__xludf.DUMMYFUNCTION("""COMPUTED_VALUE"""),"")</f>
        <v/>
      </c>
      <c r="O798" s="136" t="str">
        <f>IFERROR(__xludf.DUMMYFUNCTION("""COMPUTED_VALUE"""),"")</f>
        <v/>
      </c>
      <c r="P798" s="106" t="str">
        <f>IFERROR(__xludf.DUMMYFUNCTION("""COMPUTED_VALUE"""),"")</f>
        <v/>
      </c>
      <c r="R798" s="136" t="str">
        <f>IFERROR(__xludf.DUMMYFUNCTION("""COMPUTED_VALUE"""),"")</f>
        <v/>
      </c>
      <c r="S798" s="106" t="str">
        <f>IFERROR(__xludf.DUMMYFUNCTION("""COMPUTED_VALUE"""),"")</f>
        <v/>
      </c>
    </row>
    <row r="799">
      <c r="A799" s="136" t="s">
        <v>133</v>
      </c>
      <c r="B799" s="136"/>
      <c r="C799" s="136" t="s">
        <v>133</v>
      </c>
      <c r="D799" s="136"/>
      <c r="E799" s="106"/>
      <c r="F799" s="136" t="str">
        <f>IFERROR(__xludf.DUMMYFUNCTION("""COMPUTED_VALUE"""),"")</f>
        <v/>
      </c>
      <c r="G799" s="106" t="str">
        <f>IFERROR(__xludf.DUMMYFUNCTION("""COMPUTED_VALUE"""),"")</f>
        <v/>
      </c>
      <c r="I799" s="136" t="str">
        <f>IFERROR(__xludf.DUMMYFUNCTION("""COMPUTED_VALUE"""),"")</f>
        <v/>
      </c>
      <c r="J799" s="106" t="str">
        <f>IFERROR(__xludf.DUMMYFUNCTION("""COMPUTED_VALUE"""),"")</f>
        <v/>
      </c>
      <c r="L799" s="136" t="str">
        <f>IFERROR(__xludf.DUMMYFUNCTION("""COMPUTED_VALUE"""),"")</f>
        <v/>
      </c>
      <c r="M799" s="106" t="str">
        <f>IFERROR(__xludf.DUMMYFUNCTION("""COMPUTED_VALUE"""),"")</f>
        <v/>
      </c>
      <c r="O799" s="136" t="str">
        <f>IFERROR(__xludf.DUMMYFUNCTION("""COMPUTED_VALUE"""),"")</f>
        <v/>
      </c>
      <c r="P799" s="106" t="str">
        <f>IFERROR(__xludf.DUMMYFUNCTION("""COMPUTED_VALUE"""),"")</f>
        <v/>
      </c>
      <c r="R799" s="136" t="str">
        <f>IFERROR(__xludf.DUMMYFUNCTION("""COMPUTED_VALUE"""),"")</f>
        <v/>
      </c>
      <c r="S799" s="106" t="str">
        <f>IFERROR(__xludf.DUMMYFUNCTION("""COMPUTED_VALUE"""),"")</f>
        <v/>
      </c>
    </row>
    <row r="800">
      <c r="A800" s="136" t="s">
        <v>133</v>
      </c>
      <c r="B800" s="136"/>
      <c r="C800" s="136" t="s">
        <v>133</v>
      </c>
      <c r="D800" s="136"/>
      <c r="E800" s="106"/>
      <c r="F800" s="136" t="str">
        <f>IFERROR(__xludf.DUMMYFUNCTION("""COMPUTED_VALUE"""),"")</f>
        <v/>
      </c>
      <c r="G800" s="106" t="str">
        <f>IFERROR(__xludf.DUMMYFUNCTION("""COMPUTED_VALUE"""),"")</f>
        <v/>
      </c>
      <c r="I800" s="136" t="str">
        <f>IFERROR(__xludf.DUMMYFUNCTION("""COMPUTED_VALUE"""),"")</f>
        <v/>
      </c>
      <c r="J800" s="106" t="str">
        <f>IFERROR(__xludf.DUMMYFUNCTION("""COMPUTED_VALUE"""),"")</f>
        <v/>
      </c>
      <c r="L800" s="136" t="str">
        <f>IFERROR(__xludf.DUMMYFUNCTION("""COMPUTED_VALUE"""),"")</f>
        <v/>
      </c>
      <c r="M800" s="106" t="str">
        <f>IFERROR(__xludf.DUMMYFUNCTION("""COMPUTED_VALUE"""),"")</f>
        <v/>
      </c>
      <c r="O800" s="136" t="str">
        <f>IFERROR(__xludf.DUMMYFUNCTION("""COMPUTED_VALUE"""),"")</f>
        <v/>
      </c>
      <c r="P800" s="106" t="str">
        <f>IFERROR(__xludf.DUMMYFUNCTION("""COMPUTED_VALUE"""),"")</f>
        <v/>
      </c>
      <c r="R800" s="136" t="str">
        <f>IFERROR(__xludf.DUMMYFUNCTION("""COMPUTED_VALUE"""),"")</f>
        <v/>
      </c>
      <c r="S800" s="106" t="str">
        <f>IFERROR(__xludf.DUMMYFUNCTION("""COMPUTED_VALUE"""),"")</f>
        <v/>
      </c>
    </row>
    <row r="801">
      <c r="A801" s="136" t="s">
        <v>133</v>
      </c>
      <c r="B801" s="136"/>
      <c r="C801" s="136" t="s">
        <v>133</v>
      </c>
      <c r="D801" s="136"/>
      <c r="E801" s="106"/>
      <c r="F801" s="136" t="str">
        <f>IFERROR(__xludf.DUMMYFUNCTION("""COMPUTED_VALUE"""),"")</f>
        <v/>
      </c>
      <c r="G801" s="106" t="str">
        <f>IFERROR(__xludf.DUMMYFUNCTION("""COMPUTED_VALUE"""),"")</f>
        <v/>
      </c>
      <c r="I801" s="136" t="str">
        <f>IFERROR(__xludf.DUMMYFUNCTION("""COMPUTED_VALUE"""),"")</f>
        <v/>
      </c>
      <c r="J801" s="106" t="str">
        <f>IFERROR(__xludf.DUMMYFUNCTION("""COMPUTED_VALUE"""),"")</f>
        <v/>
      </c>
      <c r="L801" s="136" t="str">
        <f>IFERROR(__xludf.DUMMYFUNCTION("""COMPUTED_VALUE"""),"")</f>
        <v/>
      </c>
      <c r="M801" s="106" t="str">
        <f>IFERROR(__xludf.DUMMYFUNCTION("""COMPUTED_VALUE"""),"")</f>
        <v/>
      </c>
      <c r="O801" s="136" t="str">
        <f>IFERROR(__xludf.DUMMYFUNCTION("""COMPUTED_VALUE"""),"")</f>
        <v/>
      </c>
      <c r="P801" s="106" t="str">
        <f>IFERROR(__xludf.DUMMYFUNCTION("""COMPUTED_VALUE"""),"")</f>
        <v/>
      </c>
      <c r="R801" s="136" t="str">
        <f>IFERROR(__xludf.DUMMYFUNCTION("""COMPUTED_VALUE"""),"")</f>
        <v/>
      </c>
      <c r="S801" s="106" t="str">
        <f>IFERROR(__xludf.DUMMYFUNCTION("""COMPUTED_VALUE"""),"")</f>
        <v/>
      </c>
    </row>
    <row r="802">
      <c r="A802" s="136" t="s">
        <v>133</v>
      </c>
      <c r="B802" s="136"/>
      <c r="C802" s="136" t="s">
        <v>133</v>
      </c>
      <c r="D802" s="136"/>
      <c r="E802" s="106"/>
      <c r="F802" s="136" t="str">
        <f>IFERROR(__xludf.DUMMYFUNCTION("""COMPUTED_VALUE"""),"")</f>
        <v/>
      </c>
      <c r="G802" s="106" t="str">
        <f>IFERROR(__xludf.DUMMYFUNCTION("""COMPUTED_VALUE"""),"")</f>
        <v/>
      </c>
      <c r="I802" s="136" t="str">
        <f>IFERROR(__xludf.DUMMYFUNCTION("""COMPUTED_VALUE"""),"")</f>
        <v/>
      </c>
      <c r="J802" s="106" t="str">
        <f>IFERROR(__xludf.DUMMYFUNCTION("""COMPUTED_VALUE"""),"")</f>
        <v/>
      </c>
      <c r="L802" s="136" t="str">
        <f>IFERROR(__xludf.DUMMYFUNCTION("""COMPUTED_VALUE"""),"")</f>
        <v/>
      </c>
      <c r="M802" s="106" t="str">
        <f>IFERROR(__xludf.DUMMYFUNCTION("""COMPUTED_VALUE"""),"")</f>
        <v/>
      </c>
      <c r="O802" s="136" t="str">
        <f>IFERROR(__xludf.DUMMYFUNCTION("""COMPUTED_VALUE"""),"")</f>
        <v/>
      </c>
      <c r="P802" s="106" t="str">
        <f>IFERROR(__xludf.DUMMYFUNCTION("""COMPUTED_VALUE"""),"")</f>
        <v/>
      </c>
      <c r="R802" s="136" t="str">
        <f>IFERROR(__xludf.DUMMYFUNCTION("""COMPUTED_VALUE"""),"")</f>
        <v/>
      </c>
      <c r="S802" s="106" t="str">
        <f>IFERROR(__xludf.DUMMYFUNCTION("""COMPUTED_VALUE"""),"")</f>
        <v/>
      </c>
    </row>
    <row r="803">
      <c r="A803" s="136" t="s">
        <v>133</v>
      </c>
      <c r="B803" s="136"/>
      <c r="C803" s="136" t="s">
        <v>133</v>
      </c>
      <c r="D803" s="136"/>
      <c r="E803" s="106"/>
      <c r="F803" s="136" t="str">
        <f>IFERROR(__xludf.DUMMYFUNCTION("""COMPUTED_VALUE"""),"")</f>
        <v/>
      </c>
      <c r="G803" s="106" t="str">
        <f>IFERROR(__xludf.DUMMYFUNCTION("""COMPUTED_VALUE"""),"")</f>
        <v/>
      </c>
      <c r="I803" s="136" t="str">
        <f>IFERROR(__xludf.DUMMYFUNCTION("""COMPUTED_VALUE"""),"")</f>
        <v/>
      </c>
      <c r="J803" s="106" t="str">
        <f>IFERROR(__xludf.DUMMYFUNCTION("""COMPUTED_VALUE"""),"")</f>
        <v/>
      </c>
      <c r="L803" s="136" t="str">
        <f>IFERROR(__xludf.DUMMYFUNCTION("""COMPUTED_VALUE"""),"")</f>
        <v/>
      </c>
      <c r="M803" s="106" t="str">
        <f>IFERROR(__xludf.DUMMYFUNCTION("""COMPUTED_VALUE"""),"")</f>
        <v/>
      </c>
      <c r="O803" s="136" t="str">
        <f>IFERROR(__xludf.DUMMYFUNCTION("""COMPUTED_VALUE"""),"")</f>
        <v/>
      </c>
      <c r="P803" s="106" t="str">
        <f>IFERROR(__xludf.DUMMYFUNCTION("""COMPUTED_VALUE"""),"")</f>
        <v/>
      </c>
      <c r="R803" s="136" t="str">
        <f>IFERROR(__xludf.DUMMYFUNCTION("""COMPUTED_VALUE"""),"")</f>
        <v/>
      </c>
      <c r="S803" s="106" t="str">
        <f>IFERROR(__xludf.DUMMYFUNCTION("""COMPUTED_VALUE"""),"")</f>
        <v/>
      </c>
    </row>
    <row r="804">
      <c r="A804" s="136" t="s">
        <v>133</v>
      </c>
      <c r="B804" s="136"/>
      <c r="C804" s="136" t="s">
        <v>133</v>
      </c>
      <c r="D804" s="136"/>
      <c r="E804" s="106"/>
      <c r="F804" s="136" t="str">
        <f>IFERROR(__xludf.DUMMYFUNCTION("""COMPUTED_VALUE"""),"")</f>
        <v/>
      </c>
      <c r="G804" s="106" t="str">
        <f>IFERROR(__xludf.DUMMYFUNCTION("""COMPUTED_VALUE"""),"")</f>
        <v/>
      </c>
      <c r="I804" s="136" t="str">
        <f>IFERROR(__xludf.DUMMYFUNCTION("""COMPUTED_VALUE"""),"")</f>
        <v/>
      </c>
      <c r="J804" s="106" t="str">
        <f>IFERROR(__xludf.DUMMYFUNCTION("""COMPUTED_VALUE"""),"")</f>
        <v/>
      </c>
      <c r="L804" s="136" t="str">
        <f>IFERROR(__xludf.DUMMYFUNCTION("""COMPUTED_VALUE"""),"")</f>
        <v/>
      </c>
      <c r="M804" s="106" t="str">
        <f>IFERROR(__xludf.DUMMYFUNCTION("""COMPUTED_VALUE"""),"")</f>
        <v/>
      </c>
      <c r="O804" s="136" t="str">
        <f>IFERROR(__xludf.DUMMYFUNCTION("""COMPUTED_VALUE"""),"")</f>
        <v/>
      </c>
      <c r="P804" s="106" t="str">
        <f>IFERROR(__xludf.DUMMYFUNCTION("""COMPUTED_VALUE"""),"")</f>
        <v/>
      </c>
      <c r="R804" s="136" t="str">
        <f>IFERROR(__xludf.DUMMYFUNCTION("""COMPUTED_VALUE"""),"")</f>
        <v/>
      </c>
      <c r="S804" s="106" t="str">
        <f>IFERROR(__xludf.DUMMYFUNCTION("""COMPUTED_VALUE"""),"")</f>
        <v/>
      </c>
    </row>
    <row r="805">
      <c r="A805" s="136" t="s">
        <v>133</v>
      </c>
      <c r="B805" s="136"/>
      <c r="C805" s="136" t="s">
        <v>133</v>
      </c>
      <c r="D805" s="136"/>
      <c r="E805" s="106"/>
      <c r="F805" s="136" t="str">
        <f>IFERROR(__xludf.DUMMYFUNCTION("""COMPUTED_VALUE"""),"")</f>
        <v/>
      </c>
      <c r="G805" s="106" t="str">
        <f>IFERROR(__xludf.DUMMYFUNCTION("""COMPUTED_VALUE"""),"")</f>
        <v/>
      </c>
      <c r="I805" s="136" t="str">
        <f>IFERROR(__xludf.DUMMYFUNCTION("""COMPUTED_VALUE"""),"")</f>
        <v/>
      </c>
      <c r="J805" s="106" t="str">
        <f>IFERROR(__xludf.DUMMYFUNCTION("""COMPUTED_VALUE"""),"")</f>
        <v/>
      </c>
      <c r="L805" s="136" t="str">
        <f>IFERROR(__xludf.DUMMYFUNCTION("""COMPUTED_VALUE"""),"")</f>
        <v/>
      </c>
      <c r="M805" s="106" t="str">
        <f>IFERROR(__xludf.DUMMYFUNCTION("""COMPUTED_VALUE"""),"")</f>
        <v/>
      </c>
      <c r="O805" s="136" t="str">
        <f>IFERROR(__xludf.DUMMYFUNCTION("""COMPUTED_VALUE"""),"")</f>
        <v/>
      </c>
      <c r="P805" s="106" t="str">
        <f>IFERROR(__xludf.DUMMYFUNCTION("""COMPUTED_VALUE"""),"")</f>
        <v/>
      </c>
      <c r="R805" s="136" t="str">
        <f>IFERROR(__xludf.DUMMYFUNCTION("""COMPUTED_VALUE"""),"")</f>
        <v/>
      </c>
      <c r="S805" s="106" t="str">
        <f>IFERROR(__xludf.DUMMYFUNCTION("""COMPUTED_VALUE"""),"")</f>
        <v/>
      </c>
    </row>
    <row r="806">
      <c r="A806" s="136" t="s">
        <v>133</v>
      </c>
      <c r="B806" s="136"/>
      <c r="C806" s="136" t="s">
        <v>133</v>
      </c>
      <c r="D806" s="136"/>
      <c r="E806" s="106"/>
      <c r="F806" s="136" t="str">
        <f>IFERROR(__xludf.DUMMYFUNCTION("""COMPUTED_VALUE"""),"")</f>
        <v/>
      </c>
      <c r="G806" s="106" t="str">
        <f>IFERROR(__xludf.DUMMYFUNCTION("""COMPUTED_VALUE"""),"")</f>
        <v/>
      </c>
      <c r="I806" s="136" t="str">
        <f>IFERROR(__xludf.DUMMYFUNCTION("""COMPUTED_VALUE"""),"")</f>
        <v/>
      </c>
      <c r="J806" s="106" t="str">
        <f>IFERROR(__xludf.DUMMYFUNCTION("""COMPUTED_VALUE"""),"")</f>
        <v/>
      </c>
      <c r="L806" s="136" t="str">
        <f>IFERROR(__xludf.DUMMYFUNCTION("""COMPUTED_VALUE"""),"")</f>
        <v/>
      </c>
      <c r="M806" s="106" t="str">
        <f>IFERROR(__xludf.DUMMYFUNCTION("""COMPUTED_VALUE"""),"")</f>
        <v/>
      </c>
      <c r="O806" s="136" t="str">
        <f>IFERROR(__xludf.DUMMYFUNCTION("""COMPUTED_VALUE"""),"")</f>
        <v/>
      </c>
      <c r="P806" s="106" t="str">
        <f>IFERROR(__xludf.DUMMYFUNCTION("""COMPUTED_VALUE"""),"")</f>
        <v/>
      </c>
      <c r="R806" s="136" t="str">
        <f>IFERROR(__xludf.DUMMYFUNCTION("""COMPUTED_VALUE"""),"")</f>
        <v/>
      </c>
      <c r="S806" s="106" t="str">
        <f>IFERROR(__xludf.DUMMYFUNCTION("""COMPUTED_VALUE"""),"")</f>
        <v/>
      </c>
    </row>
    <row r="807">
      <c r="A807" s="136" t="s">
        <v>133</v>
      </c>
      <c r="B807" s="136"/>
      <c r="C807" s="136" t="s">
        <v>133</v>
      </c>
      <c r="D807" s="136"/>
      <c r="E807" s="106"/>
      <c r="F807" s="136" t="str">
        <f>IFERROR(__xludf.DUMMYFUNCTION("""COMPUTED_VALUE"""),"")</f>
        <v/>
      </c>
      <c r="G807" s="106" t="str">
        <f>IFERROR(__xludf.DUMMYFUNCTION("""COMPUTED_VALUE"""),"")</f>
        <v/>
      </c>
      <c r="I807" s="136" t="str">
        <f>IFERROR(__xludf.DUMMYFUNCTION("""COMPUTED_VALUE"""),"")</f>
        <v/>
      </c>
      <c r="J807" s="106" t="str">
        <f>IFERROR(__xludf.DUMMYFUNCTION("""COMPUTED_VALUE"""),"")</f>
        <v/>
      </c>
      <c r="L807" s="136" t="str">
        <f>IFERROR(__xludf.DUMMYFUNCTION("""COMPUTED_VALUE"""),"")</f>
        <v/>
      </c>
      <c r="M807" s="106" t="str">
        <f>IFERROR(__xludf.DUMMYFUNCTION("""COMPUTED_VALUE"""),"")</f>
        <v/>
      </c>
      <c r="O807" s="136" t="str">
        <f>IFERROR(__xludf.DUMMYFUNCTION("""COMPUTED_VALUE"""),"")</f>
        <v/>
      </c>
      <c r="P807" s="106" t="str">
        <f>IFERROR(__xludf.DUMMYFUNCTION("""COMPUTED_VALUE"""),"")</f>
        <v/>
      </c>
      <c r="R807" s="136" t="str">
        <f>IFERROR(__xludf.DUMMYFUNCTION("""COMPUTED_VALUE"""),"")</f>
        <v/>
      </c>
      <c r="S807" s="106" t="str">
        <f>IFERROR(__xludf.DUMMYFUNCTION("""COMPUTED_VALUE"""),"")</f>
        <v/>
      </c>
    </row>
    <row r="808">
      <c r="A808" s="136" t="s">
        <v>133</v>
      </c>
      <c r="B808" s="136"/>
      <c r="C808" s="136" t="s">
        <v>133</v>
      </c>
      <c r="D808" s="136"/>
      <c r="E808" s="106"/>
      <c r="F808" s="136" t="str">
        <f>IFERROR(__xludf.DUMMYFUNCTION("""COMPUTED_VALUE"""),"")</f>
        <v/>
      </c>
      <c r="G808" s="106" t="str">
        <f>IFERROR(__xludf.DUMMYFUNCTION("""COMPUTED_VALUE"""),"")</f>
        <v/>
      </c>
      <c r="I808" s="136" t="str">
        <f>IFERROR(__xludf.DUMMYFUNCTION("""COMPUTED_VALUE"""),"")</f>
        <v/>
      </c>
      <c r="J808" s="106" t="str">
        <f>IFERROR(__xludf.DUMMYFUNCTION("""COMPUTED_VALUE"""),"")</f>
        <v/>
      </c>
      <c r="L808" s="136" t="str">
        <f>IFERROR(__xludf.DUMMYFUNCTION("""COMPUTED_VALUE"""),"")</f>
        <v/>
      </c>
      <c r="M808" s="106" t="str">
        <f>IFERROR(__xludf.DUMMYFUNCTION("""COMPUTED_VALUE"""),"")</f>
        <v/>
      </c>
      <c r="O808" s="136" t="str">
        <f>IFERROR(__xludf.DUMMYFUNCTION("""COMPUTED_VALUE"""),"")</f>
        <v/>
      </c>
      <c r="P808" s="106" t="str">
        <f>IFERROR(__xludf.DUMMYFUNCTION("""COMPUTED_VALUE"""),"")</f>
        <v/>
      </c>
      <c r="R808" s="136" t="str">
        <f>IFERROR(__xludf.DUMMYFUNCTION("""COMPUTED_VALUE"""),"")</f>
        <v/>
      </c>
      <c r="S808" s="106" t="str">
        <f>IFERROR(__xludf.DUMMYFUNCTION("""COMPUTED_VALUE"""),"")</f>
        <v/>
      </c>
    </row>
    <row r="809">
      <c r="A809" s="136" t="s">
        <v>133</v>
      </c>
      <c r="B809" s="136"/>
      <c r="C809" s="136" t="s">
        <v>133</v>
      </c>
      <c r="D809" s="136"/>
      <c r="E809" s="106"/>
      <c r="F809" s="136" t="str">
        <f>IFERROR(__xludf.DUMMYFUNCTION("""COMPUTED_VALUE"""),"")</f>
        <v/>
      </c>
      <c r="G809" s="106" t="str">
        <f>IFERROR(__xludf.DUMMYFUNCTION("""COMPUTED_VALUE"""),"")</f>
        <v/>
      </c>
      <c r="I809" s="136" t="str">
        <f>IFERROR(__xludf.DUMMYFUNCTION("""COMPUTED_VALUE"""),"")</f>
        <v/>
      </c>
      <c r="J809" s="106" t="str">
        <f>IFERROR(__xludf.DUMMYFUNCTION("""COMPUTED_VALUE"""),"")</f>
        <v/>
      </c>
      <c r="L809" s="136" t="str">
        <f>IFERROR(__xludf.DUMMYFUNCTION("""COMPUTED_VALUE"""),"")</f>
        <v/>
      </c>
      <c r="M809" s="106" t="str">
        <f>IFERROR(__xludf.DUMMYFUNCTION("""COMPUTED_VALUE"""),"")</f>
        <v/>
      </c>
      <c r="O809" s="136" t="str">
        <f>IFERROR(__xludf.DUMMYFUNCTION("""COMPUTED_VALUE"""),"")</f>
        <v/>
      </c>
      <c r="P809" s="106" t="str">
        <f>IFERROR(__xludf.DUMMYFUNCTION("""COMPUTED_VALUE"""),"")</f>
        <v/>
      </c>
      <c r="R809" s="136" t="str">
        <f>IFERROR(__xludf.DUMMYFUNCTION("""COMPUTED_VALUE"""),"")</f>
        <v/>
      </c>
      <c r="S809" s="106" t="str">
        <f>IFERROR(__xludf.DUMMYFUNCTION("""COMPUTED_VALUE"""),"")</f>
        <v/>
      </c>
    </row>
    <row r="810">
      <c r="A810" s="136" t="s">
        <v>133</v>
      </c>
      <c r="B810" s="136"/>
      <c r="C810" s="136" t="s">
        <v>133</v>
      </c>
      <c r="D810" s="136"/>
      <c r="E810" s="106"/>
      <c r="F810" s="136" t="str">
        <f>IFERROR(__xludf.DUMMYFUNCTION("""COMPUTED_VALUE"""),"")</f>
        <v/>
      </c>
      <c r="G810" s="106" t="str">
        <f>IFERROR(__xludf.DUMMYFUNCTION("""COMPUTED_VALUE"""),"")</f>
        <v/>
      </c>
      <c r="I810" s="136" t="str">
        <f>IFERROR(__xludf.DUMMYFUNCTION("""COMPUTED_VALUE"""),"")</f>
        <v/>
      </c>
      <c r="J810" s="106" t="str">
        <f>IFERROR(__xludf.DUMMYFUNCTION("""COMPUTED_VALUE"""),"")</f>
        <v/>
      </c>
      <c r="L810" s="136" t="str">
        <f>IFERROR(__xludf.DUMMYFUNCTION("""COMPUTED_VALUE"""),"")</f>
        <v/>
      </c>
      <c r="M810" s="106" t="str">
        <f>IFERROR(__xludf.DUMMYFUNCTION("""COMPUTED_VALUE"""),"")</f>
        <v/>
      </c>
      <c r="O810" s="136" t="str">
        <f>IFERROR(__xludf.DUMMYFUNCTION("""COMPUTED_VALUE"""),"")</f>
        <v/>
      </c>
      <c r="P810" s="106" t="str">
        <f>IFERROR(__xludf.DUMMYFUNCTION("""COMPUTED_VALUE"""),"")</f>
        <v/>
      </c>
      <c r="R810" s="136" t="str">
        <f>IFERROR(__xludf.DUMMYFUNCTION("""COMPUTED_VALUE"""),"")</f>
        <v/>
      </c>
      <c r="S810" s="106" t="str">
        <f>IFERROR(__xludf.DUMMYFUNCTION("""COMPUTED_VALUE"""),"")</f>
        <v/>
      </c>
    </row>
    <row r="811">
      <c r="A811" s="136" t="s">
        <v>133</v>
      </c>
      <c r="B811" s="136"/>
      <c r="C811" s="136" t="s">
        <v>133</v>
      </c>
      <c r="D811" s="136"/>
      <c r="E811" s="106"/>
      <c r="F811" s="136" t="str">
        <f>IFERROR(__xludf.DUMMYFUNCTION("""COMPUTED_VALUE"""),"")</f>
        <v/>
      </c>
      <c r="G811" s="106" t="str">
        <f>IFERROR(__xludf.DUMMYFUNCTION("""COMPUTED_VALUE"""),"")</f>
        <v/>
      </c>
      <c r="I811" s="136" t="str">
        <f>IFERROR(__xludf.DUMMYFUNCTION("""COMPUTED_VALUE"""),"")</f>
        <v/>
      </c>
      <c r="J811" s="106" t="str">
        <f>IFERROR(__xludf.DUMMYFUNCTION("""COMPUTED_VALUE"""),"")</f>
        <v/>
      </c>
      <c r="L811" s="136" t="str">
        <f>IFERROR(__xludf.DUMMYFUNCTION("""COMPUTED_VALUE"""),"")</f>
        <v/>
      </c>
      <c r="M811" s="106" t="str">
        <f>IFERROR(__xludf.DUMMYFUNCTION("""COMPUTED_VALUE"""),"")</f>
        <v/>
      </c>
      <c r="O811" s="136" t="str">
        <f>IFERROR(__xludf.DUMMYFUNCTION("""COMPUTED_VALUE"""),"")</f>
        <v/>
      </c>
      <c r="P811" s="106" t="str">
        <f>IFERROR(__xludf.DUMMYFUNCTION("""COMPUTED_VALUE"""),"")</f>
        <v/>
      </c>
      <c r="R811" s="136" t="str">
        <f>IFERROR(__xludf.DUMMYFUNCTION("""COMPUTED_VALUE"""),"")</f>
        <v/>
      </c>
      <c r="S811" s="106" t="str">
        <f>IFERROR(__xludf.DUMMYFUNCTION("""COMPUTED_VALUE"""),"")</f>
        <v/>
      </c>
    </row>
    <row r="812">
      <c r="A812" s="136" t="s">
        <v>133</v>
      </c>
      <c r="B812" s="136"/>
      <c r="C812" s="136" t="s">
        <v>133</v>
      </c>
      <c r="D812" s="136"/>
      <c r="E812" s="106"/>
      <c r="F812" s="136" t="str">
        <f>IFERROR(__xludf.DUMMYFUNCTION("""COMPUTED_VALUE"""),"")</f>
        <v/>
      </c>
      <c r="G812" s="106" t="str">
        <f>IFERROR(__xludf.DUMMYFUNCTION("""COMPUTED_VALUE"""),"")</f>
        <v/>
      </c>
      <c r="I812" s="136" t="str">
        <f>IFERROR(__xludf.DUMMYFUNCTION("""COMPUTED_VALUE"""),"")</f>
        <v/>
      </c>
      <c r="J812" s="106" t="str">
        <f>IFERROR(__xludf.DUMMYFUNCTION("""COMPUTED_VALUE"""),"")</f>
        <v/>
      </c>
      <c r="L812" s="136" t="str">
        <f>IFERROR(__xludf.DUMMYFUNCTION("""COMPUTED_VALUE"""),"")</f>
        <v/>
      </c>
      <c r="M812" s="106" t="str">
        <f>IFERROR(__xludf.DUMMYFUNCTION("""COMPUTED_VALUE"""),"")</f>
        <v/>
      </c>
      <c r="O812" s="136" t="str">
        <f>IFERROR(__xludf.DUMMYFUNCTION("""COMPUTED_VALUE"""),"")</f>
        <v/>
      </c>
      <c r="P812" s="106" t="str">
        <f>IFERROR(__xludf.DUMMYFUNCTION("""COMPUTED_VALUE"""),"")</f>
        <v/>
      </c>
      <c r="R812" s="136" t="str">
        <f>IFERROR(__xludf.DUMMYFUNCTION("""COMPUTED_VALUE"""),"")</f>
        <v/>
      </c>
      <c r="S812" s="106" t="str">
        <f>IFERROR(__xludf.DUMMYFUNCTION("""COMPUTED_VALUE"""),"")</f>
        <v/>
      </c>
    </row>
    <row r="813">
      <c r="A813" s="136" t="s">
        <v>133</v>
      </c>
      <c r="B813" s="136"/>
      <c r="C813" s="136" t="s">
        <v>133</v>
      </c>
      <c r="D813" s="136"/>
      <c r="E813" s="106"/>
      <c r="F813" s="136" t="str">
        <f>IFERROR(__xludf.DUMMYFUNCTION("""COMPUTED_VALUE"""),"")</f>
        <v/>
      </c>
      <c r="G813" s="106" t="str">
        <f>IFERROR(__xludf.DUMMYFUNCTION("""COMPUTED_VALUE"""),"")</f>
        <v/>
      </c>
      <c r="I813" s="136" t="str">
        <f>IFERROR(__xludf.DUMMYFUNCTION("""COMPUTED_VALUE"""),"")</f>
        <v/>
      </c>
      <c r="J813" s="106" t="str">
        <f>IFERROR(__xludf.DUMMYFUNCTION("""COMPUTED_VALUE"""),"")</f>
        <v/>
      </c>
      <c r="L813" s="136" t="str">
        <f>IFERROR(__xludf.DUMMYFUNCTION("""COMPUTED_VALUE"""),"")</f>
        <v/>
      </c>
      <c r="M813" s="106" t="str">
        <f>IFERROR(__xludf.DUMMYFUNCTION("""COMPUTED_VALUE"""),"")</f>
        <v/>
      </c>
      <c r="O813" s="136" t="str">
        <f>IFERROR(__xludf.DUMMYFUNCTION("""COMPUTED_VALUE"""),"")</f>
        <v/>
      </c>
      <c r="P813" s="106" t="str">
        <f>IFERROR(__xludf.DUMMYFUNCTION("""COMPUTED_VALUE"""),"")</f>
        <v/>
      </c>
      <c r="R813" s="136" t="str">
        <f>IFERROR(__xludf.DUMMYFUNCTION("""COMPUTED_VALUE"""),"")</f>
        <v/>
      </c>
      <c r="S813" s="106" t="str">
        <f>IFERROR(__xludf.DUMMYFUNCTION("""COMPUTED_VALUE"""),"")</f>
        <v/>
      </c>
    </row>
    <row r="814">
      <c r="A814" s="136" t="s">
        <v>133</v>
      </c>
      <c r="B814" s="136"/>
      <c r="C814" s="136" t="s">
        <v>133</v>
      </c>
      <c r="D814" s="136"/>
      <c r="E814" s="106"/>
      <c r="F814" s="136" t="str">
        <f>IFERROR(__xludf.DUMMYFUNCTION("""COMPUTED_VALUE"""),"")</f>
        <v/>
      </c>
      <c r="G814" s="106" t="str">
        <f>IFERROR(__xludf.DUMMYFUNCTION("""COMPUTED_VALUE"""),"")</f>
        <v/>
      </c>
      <c r="I814" s="136" t="str">
        <f>IFERROR(__xludf.DUMMYFUNCTION("""COMPUTED_VALUE"""),"")</f>
        <v/>
      </c>
      <c r="J814" s="106" t="str">
        <f>IFERROR(__xludf.DUMMYFUNCTION("""COMPUTED_VALUE"""),"")</f>
        <v/>
      </c>
      <c r="L814" s="136" t="str">
        <f>IFERROR(__xludf.DUMMYFUNCTION("""COMPUTED_VALUE"""),"")</f>
        <v/>
      </c>
      <c r="M814" s="106" t="str">
        <f>IFERROR(__xludf.DUMMYFUNCTION("""COMPUTED_VALUE"""),"")</f>
        <v/>
      </c>
      <c r="O814" s="136" t="str">
        <f>IFERROR(__xludf.DUMMYFUNCTION("""COMPUTED_VALUE"""),"")</f>
        <v/>
      </c>
      <c r="P814" s="106" t="str">
        <f>IFERROR(__xludf.DUMMYFUNCTION("""COMPUTED_VALUE"""),"")</f>
        <v/>
      </c>
      <c r="R814" s="136" t="str">
        <f>IFERROR(__xludf.DUMMYFUNCTION("""COMPUTED_VALUE"""),"")</f>
        <v/>
      </c>
      <c r="S814" s="106" t="str">
        <f>IFERROR(__xludf.DUMMYFUNCTION("""COMPUTED_VALUE"""),"")</f>
        <v/>
      </c>
    </row>
    <row r="815">
      <c r="A815" s="136" t="s">
        <v>133</v>
      </c>
      <c r="B815" s="136"/>
      <c r="C815" s="136" t="s">
        <v>133</v>
      </c>
      <c r="D815" s="136"/>
      <c r="E815" s="106"/>
      <c r="F815" s="136" t="str">
        <f>IFERROR(__xludf.DUMMYFUNCTION("""COMPUTED_VALUE"""),"")</f>
        <v/>
      </c>
      <c r="G815" s="106" t="str">
        <f>IFERROR(__xludf.DUMMYFUNCTION("""COMPUTED_VALUE"""),"")</f>
        <v/>
      </c>
      <c r="I815" s="136" t="str">
        <f>IFERROR(__xludf.DUMMYFUNCTION("""COMPUTED_VALUE"""),"")</f>
        <v/>
      </c>
      <c r="J815" s="106" t="str">
        <f>IFERROR(__xludf.DUMMYFUNCTION("""COMPUTED_VALUE"""),"")</f>
        <v/>
      </c>
      <c r="L815" s="136" t="str">
        <f>IFERROR(__xludf.DUMMYFUNCTION("""COMPUTED_VALUE"""),"")</f>
        <v/>
      </c>
      <c r="M815" s="106" t="str">
        <f>IFERROR(__xludf.DUMMYFUNCTION("""COMPUTED_VALUE"""),"")</f>
        <v/>
      </c>
      <c r="O815" s="136" t="str">
        <f>IFERROR(__xludf.DUMMYFUNCTION("""COMPUTED_VALUE"""),"")</f>
        <v/>
      </c>
      <c r="P815" s="106" t="str">
        <f>IFERROR(__xludf.DUMMYFUNCTION("""COMPUTED_VALUE"""),"")</f>
        <v/>
      </c>
      <c r="R815" s="136" t="str">
        <f>IFERROR(__xludf.DUMMYFUNCTION("""COMPUTED_VALUE"""),"")</f>
        <v/>
      </c>
      <c r="S815" s="106" t="str">
        <f>IFERROR(__xludf.DUMMYFUNCTION("""COMPUTED_VALUE"""),"")</f>
        <v/>
      </c>
    </row>
    <row r="816">
      <c r="A816" s="136" t="s">
        <v>133</v>
      </c>
      <c r="B816" s="136"/>
      <c r="C816" s="136" t="s">
        <v>133</v>
      </c>
      <c r="D816" s="136"/>
      <c r="E816" s="106"/>
      <c r="F816" s="136" t="str">
        <f>IFERROR(__xludf.DUMMYFUNCTION("""COMPUTED_VALUE"""),"")</f>
        <v/>
      </c>
      <c r="G816" s="106" t="str">
        <f>IFERROR(__xludf.DUMMYFUNCTION("""COMPUTED_VALUE"""),"")</f>
        <v/>
      </c>
      <c r="I816" s="136" t="str">
        <f>IFERROR(__xludf.DUMMYFUNCTION("""COMPUTED_VALUE"""),"")</f>
        <v/>
      </c>
      <c r="J816" s="106" t="str">
        <f>IFERROR(__xludf.DUMMYFUNCTION("""COMPUTED_VALUE"""),"")</f>
        <v/>
      </c>
      <c r="L816" s="136" t="str">
        <f>IFERROR(__xludf.DUMMYFUNCTION("""COMPUTED_VALUE"""),"")</f>
        <v/>
      </c>
      <c r="M816" s="106" t="str">
        <f>IFERROR(__xludf.DUMMYFUNCTION("""COMPUTED_VALUE"""),"")</f>
        <v/>
      </c>
      <c r="O816" s="136" t="str">
        <f>IFERROR(__xludf.DUMMYFUNCTION("""COMPUTED_VALUE"""),"")</f>
        <v/>
      </c>
      <c r="P816" s="106" t="str">
        <f>IFERROR(__xludf.DUMMYFUNCTION("""COMPUTED_VALUE"""),"")</f>
        <v/>
      </c>
      <c r="R816" s="136" t="str">
        <f>IFERROR(__xludf.DUMMYFUNCTION("""COMPUTED_VALUE"""),"")</f>
        <v/>
      </c>
      <c r="S816" s="106" t="str">
        <f>IFERROR(__xludf.DUMMYFUNCTION("""COMPUTED_VALUE"""),"")</f>
        <v/>
      </c>
    </row>
    <row r="817">
      <c r="A817" s="136" t="s">
        <v>133</v>
      </c>
      <c r="B817" s="136"/>
      <c r="C817" s="136" t="s">
        <v>133</v>
      </c>
      <c r="D817" s="136"/>
      <c r="E817" s="106"/>
      <c r="F817" s="136" t="str">
        <f>IFERROR(__xludf.DUMMYFUNCTION("""COMPUTED_VALUE"""),"")</f>
        <v/>
      </c>
      <c r="G817" s="106" t="str">
        <f>IFERROR(__xludf.DUMMYFUNCTION("""COMPUTED_VALUE"""),"")</f>
        <v/>
      </c>
      <c r="I817" s="136" t="str">
        <f>IFERROR(__xludf.DUMMYFUNCTION("""COMPUTED_VALUE"""),"")</f>
        <v/>
      </c>
      <c r="J817" s="106" t="str">
        <f>IFERROR(__xludf.DUMMYFUNCTION("""COMPUTED_VALUE"""),"")</f>
        <v/>
      </c>
      <c r="L817" s="136" t="str">
        <f>IFERROR(__xludf.DUMMYFUNCTION("""COMPUTED_VALUE"""),"")</f>
        <v/>
      </c>
      <c r="M817" s="106" t="str">
        <f>IFERROR(__xludf.DUMMYFUNCTION("""COMPUTED_VALUE"""),"")</f>
        <v/>
      </c>
      <c r="O817" s="136" t="str">
        <f>IFERROR(__xludf.DUMMYFUNCTION("""COMPUTED_VALUE"""),"")</f>
        <v/>
      </c>
      <c r="P817" s="106" t="str">
        <f>IFERROR(__xludf.DUMMYFUNCTION("""COMPUTED_VALUE"""),"")</f>
        <v/>
      </c>
      <c r="R817" s="136" t="str">
        <f>IFERROR(__xludf.DUMMYFUNCTION("""COMPUTED_VALUE"""),"")</f>
        <v/>
      </c>
      <c r="S817" s="106" t="str">
        <f>IFERROR(__xludf.DUMMYFUNCTION("""COMPUTED_VALUE"""),"")</f>
        <v/>
      </c>
    </row>
    <row r="818">
      <c r="A818" s="136" t="s">
        <v>133</v>
      </c>
      <c r="B818" s="136"/>
      <c r="C818" s="136" t="s">
        <v>133</v>
      </c>
      <c r="D818" s="136"/>
      <c r="E818" s="106"/>
      <c r="F818" s="136" t="str">
        <f>IFERROR(__xludf.DUMMYFUNCTION("""COMPUTED_VALUE"""),"")</f>
        <v/>
      </c>
      <c r="G818" s="106" t="str">
        <f>IFERROR(__xludf.DUMMYFUNCTION("""COMPUTED_VALUE"""),"")</f>
        <v/>
      </c>
      <c r="I818" s="136" t="str">
        <f>IFERROR(__xludf.DUMMYFUNCTION("""COMPUTED_VALUE"""),"")</f>
        <v/>
      </c>
      <c r="J818" s="106" t="str">
        <f>IFERROR(__xludf.DUMMYFUNCTION("""COMPUTED_VALUE"""),"")</f>
        <v/>
      </c>
      <c r="L818" s="136" t="str">
        <f>IFERROR(__xludf.DUMMYFUNCTION("""COMPUTED_VALUE"""),"")</f>
        <v/>
      </c>
      <c r="M818" s="106" t="str">
        <f>IFERROR(__xludf.DUMMYFUNCTION("""COMPUTED_VALUE"""),"")</f>
        <v/>
      </c>
      <c r="O818" s="136" t="str">
        <f>IFERROR(__xludf.DUMMYFUNCTION("""COMPUTED_VALUE"""),"")</f>
        <v/>
      </c>
      <c r="P818" s="106" t="str">
        <f>IFERROR(__xludf.DUMMYFUNCTION("""COMPUTED_VALUE"""),"")</f>
        <v/>
      </c>
      <c r="R818" s="136" t="str">
        <f>IFERROR(__xludf.DUMMYFUNCTION("""COMPUTED_VALUE"""),"")</f>
        <v/>
      </c>
      <c r="S818" s="106" t="str">
        <f>IFERROR(__xludf.DUMMYFUNCTION("""COMPUTED_VALUE"""),"")</f>
        <v/>
      </c>
    </row>
    <row r="819">
      <c r="A819" s="136" t="s">
        <v>133</v>
      </c>
      <c r="B819" s="136"/>
      <c r="C819" s="136" t="s">
        <v>133</v>
      </c>
      <c r="D819" s="136"/>
      <c r="E819" s="106"/>
      <c r="F819" s="136" t="str">
        <f>IFERROR(__xludf.DUMMYFUNCTION("""COMPUTED_VALUE"""),"")</f>
        <v/>
      </c>
      <c r="G819" s="106" t="str">
        <f>IFERROR(__xludf.DUMMYFUNCTION("""COMPUTED_VALUE"""),"")</f>
        <v/>
      </c>
      <c r="I819" s="136" t="str">
        <f>IFERROR(__xludf.DUMMYFUNCTION("""COMPUTED_VALUE"""),"")</f>
        <v/>
      </c>
      <c r="J819" s="106" t="str">
        <f>IFERROR(__xludf.DUMMYFUNCTION("""COMPUTED_VALUE"""),"")</f>
        <v/>
      </c>
      <c r="L819" s="136" t="str">
        <f>IFERROR(__xludf.DUMMYFUNCTION("""COMPUTED_VALUE"""),"")</f>
        <v/>
      </c>
      <c r="M819" s="106" t="str">
        <f>IFERROR(__xludf.DUMMYFUNCTION("""COMPUTED_VALUE"""),"")</f>
        <v/>
      </c>
      <c r="O819" s="136" t="str">
        <f>IFERROR(__xludf.DUMMYFUNCTION("""COMPUTED_VALUE"""),"")</f>
        <v/>
      </c>
      <c r="P819" s="106" t="str">
        <f>IFERROR(__xludf.DUMMYFUNCTION("""COMPUTED_VALUE"""),"")</f>
        <v/>
      </c>
      <c r="R819" s="136" t="str">
        <f>IFERROR(__xludf.DUMMYFUNCTION("""COMPUTED_VALUE"""),"")</f>
        <v/>
      </c>
      <c r="S819" s="106" t="str">
        <f>IFERROR(__xludf.DUMMYFUNCTION("""COMPUTED_VALUE"""),"")</f>
        <v/>
      </c>
    </row>
    <row r="820">
      <c r="A820" s="136" t="s">
        <v>133</v>
      </c>
      <c r="B820" s="136"/>
      <c r="C820" s="136" t="s">
        <v>133</v>
      </c>
      <c r="D820" s="136"/>
      <c r="E820" s="106"/>
      <c r="F820" s="136" t="str">
        <f>IFERROR(__xludf.DUMMYFUNCTION("""COMPUTED_VALUE"""),"")</f>
        <v/>
      </c>
      <c r="G820" s="106" t="str">
        <f>IFERROR(__xludf.DUMMYFUNCTION("""COMPUTED_VALUE"""),"")</f>
        <v/>
      </c>
      <c r="I820" s="136" t="str">
        <f>IFERROR(__xludf.DUMMYFUNCTION("""COMPUTED_VALUE"""),"")</f>
        <v/>
      </c>
      <c r="J820" s="106" t="str">
        <f>IFERROR(__xludf.DUMMYFUNCTION("""COMPUTED_VALUE"""),"")</f>
        <v/>
      </c>
      <c r="L820" s="136" t="str">
        <f>IFERROR(__xludf.DUMMYFUNCTION("""COMPUTED_VALUE"""),"")</f>
        <v/>
      </c>
      <c r="M820" s="106" t="str">
        <f>IFERROR(__xludf.DUMMYFUNCTION("""COMPUTED_VALUE"""),"")</f>
        <v/>
      </c>
      <c r="O820" s="136" t="str">
        <f>IFERROR(__xludf.DUMMYFUNCTION("""COMPUTED_VALUE"""),"")</f>
        <v/>
      </c>
      <c r="P820" s="106" t="str">
        <f>IFERROR(__xludf.DUMMYFUNCTION("""COMPUTED_VALUE"""),"")</f>
        <v/>
      </c>
      <c r="R820" s="136" t="str">
        <f>IFERROR(__xludf.DUMMYFUNCTION("""COMPUTED_VALUE"""),"")</f>
        <v/>
      </c>
      <c r="S820" s="106" t="str">
        <f>IFERROR(__xludf.DUMMYFUNCTION("""COMPUTED_VALUE"""),"")</f>
        <v/>
      </c>
    </row>
    <row r="821">
      <c r="A821" s="136" t="s">
        <v>133</v>
      </c>
      <c r="B821" s="136"/>
      <c r="C821" s="136" t="s">
        <v>133</v>
      </c>
      <c r="D821" s="136"/>
      <c r="E821" s="106"/>
      <c r="F821" s="136" t="str">
        <f>IFERROR(__xludf.DUMMYFUNCTION("""COMPUTED_VALUE"""),"")</f>
        <v/>
      </c>
      <c r="G821" s="106" t="str">
        <f>IFERROR(__xludf.DUMMYFUNCTION("""COMPUTED_VALUE"""),"")</f>
        <v/>
      </c>
      <c r="I821" s="136" t="str">
        <f>IFERROR(__xludf.DUMMYFUNCTION("""COMPUTED_VALUE"""),"")</f>
        <v/>
      </c>
      <c r="J821" s="106" t="str">
        <f>IFERROR(__xludf.DUMMYFUNCTION("""COMPUTED_VALUE"""),"")</f>
        <v/>
      </c>
      <c r="L821" s="136" t="str">
        <f>IFERROR(__xludf.DUMMYFUNCTION("""COMPUTED_VALUE"""),"")</f>
        <v/>
      </c>
      <c r="M821" s="106" t="str">
        <f>IFERROR(__xludf.DUMMYFUNCTION("""COMPUTED_VALUE"""),"")</f>
        <v/>
      </c>
      <c r="O821" s="136" t="str">
        <f>IFERROR(__xludf.DUMMYFUNCTION("""COMPUTED_VALUE"""),"")</f>
        <v/>
      </c>
      <c r="P821" s="106" t="str">
        <f>IFERROR(__xludf.DUMMYFUNCTION("""COMPUTED_VALUE"""),"")</f>
        <v/>
      </c>
      <c r="R821" s="136" t="str">
        <f>IFERROR(__xludf.DUMMYFUNCTION("""COMPUTED_VALUE"""),"")</f>
        <v/>
      </c>
      <c r="S821" s="106" t="str">
        <f>IFERROR(__xludf.DUMMYFUNCTION("""COMPUTED_VALUE"""),"")</f>
        <v/>
      </c>
    </row>
    <row r="822">
      <c r="A822" s="136" t="s">
        <v>133</v>
      </c>
      <c r="B822" s="136"/>
      <c r="C822" s="136" t="s">
        <v>133</v>
      </c>
      <c r="D822" s="136"/>
      <c r="E822" s="106"/>
      <c r="F822" s="136" t="str">
        <f>IFERROR(__xludf.DUMMYFUNCTION("""COMPUTED_VALUE"""),"")</f>
        <v/>
      </c>
      <c r="G822" s="106" t="str">
        <f>IFERROR(__xludf.DUMMYFUNCTION("""COMPUTED_VALUE"""),"")</f>
        <v/>
      </c>
      <c r="I822" s="136" t="str">
        <f>IFERROR(__xludf.DUMMYFUNCTION("""COMPUTED_VALUE"""),"")</f>
        <v/>
      </c>
      <c r="J822" s="106" t="str">
        <f>IFERROR(__xludf.DUMMYFUNCTION("""COMPUTED_VALUE"""),"")</f>
        <v/>
      </c>
      <c r="L822" s="136" t="str">
        <f>IFERROR(__xludf.DUMMYFUNCTION("""COMPUTED_VALUE"""),"")</f>
        <v/>
      </c>
      <c r="M822" s="106" t="str">
        <f>IFERROR(__xludf.DUMMYFUNCTION("""COMPUTED_VALUE"""),"")</f>
        <v/>
      </c>
      <c r="O822" s="136" t="str">
        <f>IFERROR(__xludf.DUMMYFUNCTION("""COMPUTED_VALUE"""),"")</f>
        <v/>
      </c>
      <c r="P822" s="106" t="str">
        <f>IFERROR(__xludf.DUMMYFUNCTION("""COMPUTED_VALUE"""),"")</f>
        <v/>
      </c>
      <c r="R822" s="136" t="str">
        <f>IFERROR(__xludf.DUMMYFUNCTION("""COMPUTED_VALUE"""),"")</f>
        <v/>
      </c>
      <c r="S822" s="106" t="str">
        <f>IFERROR(__xludf.DUMMYFUNCTION("""COMPUTED_VALUE"""),"")</f>
        <v/>
      </c>
    </row>
    <row r="823">
      <c r="A823" s="136" t="s">
        <v>133</v>
      </c>
      <c r="B823" s="136"/>
      <c r="C823" s="136" t="s">
        <v>133</v>
      </c>
      <c r="D823" s="136"/>
      <c r="E823" s="106"/>
      <c r="F823" s="136" t="str">
        <f>IFERROR(__xludf.DUMMYFUNCTION("""COMPUTED_VALUE"""),"")</f>
        <v/>
      </c>
      <c r="G823" s="106" t="str">
        <f>IFERROR(__xludf.DUMMYFUNCTION("""COMPUTED_VALUE"""),"")</f>
        <v/>
      </c>
      <c r="I823" s="136" t="str">
        <f>IFERROR(__xludf.DUMMYFUNCTION("""COMPUTED_VALUE"""),"")</f>
        <v/>
      </c>
      <c r="J823" s="106" t="str">
        <f>IFERROR(__xludf.DUMMYFUNCTION("""COMPUTED_VALUE"""),"")</f>
        <v/>
      </c>
      <c r="L823" s="136" t="str">
        <f>IFERROR(__xludf.DUMMYFUNCTION("""COMPUTED_VALUE"""),"")</f>
        <v/>
      </c>
      <c r="M823" s="106" t="str">
        <f>IFERROR(__xludf.DUMMYFUNCTION("""COMPUTED_VALUE"""),"")</f>
        <v/>
      </c>
      <c r="O823" s="136" t="str">
        <f>IFERROR(__xludf.DUMMYFUNCTION("""COMPUTED_VALUE"""),"")</f>
        <v/>
      </c>
      <c r="P823" s="106" t="str">
        <f>IFERROR(__xludf.DUMMYFUNCTION("""COMPUTED_VALUE"""),"")</f>
        <v/>
      </c>
      <c r="R823" s="136" t="str">
        <f>IFERROR(__xludf.DUMMYFUNCTION("""COMPUTED_VALUE"""),"")</f>
        <v/>
      </c>
      <c r="S823" s="106" t="str">
        <f>IFERROR(__xludf.DUMMYFUNCTION("""COMPUTED_VALUE"""),"")</f>
        <v/>
      </c>
    </row>
    <row r="824">
      <c r="A824" s="136" t="s">
        <v>133</v>
      </c>
      <c r="B824" s="136"/>
      <c r="C824" s="136" t="s">
        <v>133</v>
      </c>
      <c r="D824" s="136"/>
      <c r="E824" s="106"/>
      <c r="F824" s="136" t="str">
        <f>IFERROR(__xludf.DUMMYFUNCTION("""COMPUTED_VALUE"""),"")</f>
        <v/>
      </c>
      <c r="G824" s="106" t="str">
        <f>IFERROR(__xludf.DUMMYFUNCTION("""COMPUTED_VALUE"""),"")</f>
        <v/>
      </c>
      <c r="I824" s="136" t="str">
        <f>IFERROR(__xludf.DUMMYFUNCTION("""COMPUTED_VALUE"""),"")</f>
        <v/>
      </c>
      <c r="J824" s="106" t="str">
        <f>IFERROR(__xludf.DUMMYFUNCTION("""COMPUTED_VALUE"""),"")</f>
        <v/>
      </c>
      <c r="L824" s="136" t="str">
        <f>IFERROR(__xludf.DUMMYFUNCTION("""COMPUTED_VALUE"""),"")</f>
        <v/>
      </c>
      <c r="M824" s="106" t="str">
        <f>IFERROR(__xludf.DUMMYFUNCTION("""COMPUTED_VALUE"""),"")</f>
        <v/>
      </c>
      <c r="O824" s="136" t="str">
        <f>IFERROR(__xludf.DUMMYFUNCTION("""COMPUTED_VALUE"""),"")</f>
        <v/>
      </c>
      <c r="P824" s="106" t="str">
        <f>IFERROR(__xludf.DUMMYFUNCTION("""COMPUTED_VALUE"""),"")</f>
        <v/>
      </c>
      <c r="R824" s="136" t="str">
        <f>IFERROR(__xludf.DUMMYFUNCTION("""COMPUTED_VALUE"""),"")</f>
        <v/>
      </c>
      <c r="S824" s="106" t="str">
        <f>IFERROR(__xludf.DUMMYFUNCTION("""COMPUTED_VALUE"""),"")</f>
        <v/>
      </c>
    </row>
    <row r="825">
      <c r="A825" s="136" t="s">
        <v>133</v>
      </c>
      <c r="B825" s="136"/>
      <c r="C825" s="136" t="s">
        <v>133</v>
      </c>
      <c r="D825" s="136"/>
      <c r="E825" s="106"/>
      <c r="F825" s="136" t="str">
        <f>IFERROR(__xludf.DUMMYFUNCTION("""COMPUTED_VALUE"""),"")</f>
        <v/>
      </c>
      <c r="G825" s="106" t="str">
        <f>IFERROR(__xludf.DUMMYFUNCTION("""COMPUTED_VALUE"""),"")</f>
        <v/>
      </c>
      <c r="I825" s="136" t="str">
        <f>IFERROR(__xludf.DUMMYFUNCTION("""COMPUTED_VALUE"""),"")</f>
        <v/>
      </c>
      <c r="J825" s="106" t="str">
        <f>IFERROR(__xludf.DUMMYFUNCTION("""COMPUTED_VALUE"""),"")</f>
        <v/>
      </c>
      <c r="L825" s="136" t="str">
        <f>IFERROR(__xludf.DUMMYFUNCTION("""COMPUTED_VALUE"""),"")</f>
        <v/>
      </c>
      <c r="M825" s="106" t="str">
        <f>IFERROR(__xludf.DUMMYFUNCTION("""COMPUTED_VALUE"""),"")</f>
        <v/>
      </c>
      <c r="O825" s="136" t="str">
        <f>IFERROR(__xludf.DUMMYFUNCTION("""COMPUTED_VALUE"""),"")</f>
        <v/>
      </c>
      <c r="P825" s="106" t="str">
        <f>IFERROR(__xludf.DUMMYFUNCTION("""COMPUTED_VALUE"""),"")</f>
        <v/>
      </c>
      <c r="R825" s="136" t="str">
        <f>IFERROR(__xludf.DUMMYFUNCTION("""COMPUTED_VALUE"""),"")</f>
        <v/>
      </c>
      <c r="S825" s="106" t="str">
        <f>IFERROR(__xludf.DUMMYFUNCTION("""COMPUTED_VALUE"""),"")</f>
        <v/>
      </c>
    </row>
    <row r="826">
      <c r="A826" s="136" t="s">
        <v>133</v>
      </c>
      <c r="B826" s="136"/>
      <c r="C826" s="136" t="s">
        <v>133</v>
      </c>
      <c r="D826" s="136"/>
      <c r="E826" s="106"/>
      <c r="F826" s="136" t="str">
        <f>IFERROR(__xludf.DUMMYFUNCTION("""COMPUTED_VALUE"""),"")</f>
        <v/>
      </c>
      <c r="G826" s="106" t="str">
        <f>IFERROR(__xludf.DUMMYFUNCTION("""COMPUTED_VALUE"""),"")</f>
        <v/>
      </c>
      <c r="I826" s="136" t="str">
        <f>IFERROR(__xludf.DUMMYFUNCTION("""COMPUTED_VALUE"""),"")</f>
        <v/>
      </c>
      <c r="J826" s="106" t="str">
        <f>IFERROR(__xludf.DUMMYFUNCTION("""COMPUTED_VALUE"""),"")</f>
        <v/>
      </c>
      <c r="L826" s="136" t="str">
        <f>IFERROR(__xludf.DUMMYFUNCTION("""COMPUTED_VALUE"""),"")</f>
        <v/>
      </c>
      <c r="M826" s="106" t="str">
        <f>IFERROR(__xludf.DUMMYFUNCTION("""COMPUTED_VALUE"""),"")</f>
        <v/>
      </c>
      <c r="O826" s="136" t="str">
        <f>IFERROR(__xludf.DUMMYFUNCTION("""COMPUTED_VALUE"""),"")</f>
        <v/>
      </c>
      <c r="P826" s="106" t="str">
        <f>IFERROR(__xludf.DUMMYFUNCTION("""COMPUTED_VALUE"""),"")</f>
        <v/>
      </c>
      <c r="R826" s="136" t="str">
        <f>IFERROR(__xludf.DUMMYFUNCTION("""COMPUTED_VALUE"""),"")</f>
        <v/>
      </c>
      <c r="S826" s="106" t="str">
        <f>IFERROR(__xludf.DUMMYFUNCTION("""COMPUTED_VALUE"""),"")</f>
        <v/>
      </c>
    </row>
    <row r="827">
      <c r="A827" s="136" t="s">
        <v>133</v>
      </c>
      <c r="B827" s="136"/>
      <c r="C827" s="136" t="s">
        <v>133</v>
      </c>
      <c r="D827" s="136"/>
      <c r="E827" s="106"/>
      <c r="F827" s="136" t="str">
        <f>IFERROR(__xludf.DUMMYFUNCTION("""COMPUTED_VALUE"""),"")</f>
        <v/>
      </c>
      <c r="G827" s="106" t="str">
        <f>IFERROR(__xludf.DUMMYFUNCTION("""COMPUTED_VALUE"""),"")</f>
        <v/>
      </c>
      <c r="I827" s="136" t="str">
        <f>IFERROR(__xludf.DUMMYFUNCTION("""COMPUTED_VALUE"""),"")</f>
        <v/>
      </c>
      <c r="J827" s="106" t="str">
        <f>IFERROR(__xludf.DUMMYFUNCTION("""COMPUTED_VALUE"""),"")</f>
        <v/>
      </c>
      <c r="L827" s="136" t="str">
        <f>IFERROR(__xludf.DUMMYFUNCTION("""COMPUTED_VALUE"""),"")</f>
        <v/>
      </c>
      <c r="M827" s="106" t="str">
        <f>IFERROR(__xludf.DUMMYFUNCTION("""COMPUTED_VALUE"""),"")</f>
        <v/>
      </c>
      <c r="O827" s="136" t="str">
        <f>IFERROR(__xludf.DUMMYFUNCTION("""COMPUTED_VALUE"""),"")</f>
        <v/>
      </c>
      <c r="P827" s="106" t="str">
        <f>IFERROR(__xludf.DUMMYFUNCTION("""COMPUTED_VALUE"""),"")</f>
        <v/>
      </c>
      <c r="R827" s="136" t="str">
        <f>IFERROR(__xludf.DUMMYFUNCTION("""COMPUTED_VALUE"""),"")</f>
        <v/>
      </c>
      <c r="S827" s="106" t="str">
        <f>IFERROR(__xludf.DUMMYFUNCTION("""COMPUTED_VALUE"""),"")</f>
        <v/>
      </c>
    </row>
    <row r="828">
      <c r="A828" s="136" t="s">
        <v>133</v>
      </c>
      <c r="B828" s="136"/>
      <c r="C828" s="136" t="s">
        <v>133</v>
      </c>
      <c r="D828" s="136"/>
      <c r="E828" s="106"/>
      <c r="F828" s="136" t="str">
        <f>IFERROR(__xludf.DUMMYFUNCTION("""COMPUTED_VALUE"""),"")</f>
        <v/>
      </c>
      <c r="G828" s="106" t="str">
        <f>IFERROR(__xludf.DUMMYFUNCTION("""COMPUTED_VALUE"""),"")</f>
        <v/>
      </c>
      <c r="I828" s="136" t="str">
        <f>IFERROR(__xludf.DUMMYFUNCTION("""COMPUTED_VALUE"""),"")</f>
        <v/>
      </c>
      <c r="J828" s="106" t="str">
        <f>IFERROR(__xludf.DUMMYFUNCTION("""COMPUTED_VALUE"""),"")</f>
        <v/>
      </c>
      <c r="L828" s="136" t="str">
        <f>IFERROR(__xludf.DUMMYFUNCTION("""COMPUTED_VALUE"""),"")</f>
        <v/>
      </c>
      <c r="M828" s="106" t="str">
        <f>IFERROR(__xludf.DUMMYFUNCTION("""COMPUTED_VALUE"""),"")</f>
        <v/>
      </c>
      <c r="O828" s="136" t="str">
        <f>IFERROR(__xludf.DUMMYFUNCTION("""COMPUTED_VALUE"""),"")</f>
        <v/>
      </c>
      <c r="P828" s="106" t="str">
        <f>IFERROR(__xludf.DUMMYFUNCTION("""COMPUTED_VALUE"""),"")</f>
        <v/>
      </c>
      <c r="R828" s="136" t="str">
        <f>IFERROR(__xludf.DUMMYFUNCTION("""COMPUTED_VALUE"""),"")</f>
        <v/>
      </c>
      <c r="S828" s="106" t="str">
        <f>IFERROR(__xludf.DUMMYFUNCTION("""COMPUTED_VALUE"""),"")</f>
        <v/>
      </c>
    </row>
    <row r="829">
      <c r="A829" s="136" t="s">
        <v>133</v>
      </c>
      <c r="B829" s="136"/>
      <c r="C829" s="136" t="s">
        <v>133</v>
      </c>
      <c r="D829" s="136"/>
      <c r="E829" s="106"/>
      <c r="F829" s="136" t="str">
        <f>IFERROR(__xludf.DUMMYFUNCTION("""COMPUTED_VALUE"""),"")</f>
        <v/>
      </c>
      <c r="G829" s="106" t="str">
        <f>IFERROR(__xludf.DUMMYFUNCTION("""COMPUTED_VALUE"""),"")</f>
        <v/>
      </c>
      <c r="I829" s="136" t="str">
        <f>IFERROR(__xludf.DUMMYFUNCTION("""COMPUTED_VALUE"""),"")</f>
        <v/>
      </c>
      <c r="J829" s="106" t="str">
        <f>IFERROR(__xludf.DUMMYFUNCTION("""COMPUTED_VALUE"""),"")</f>
        <v/>
      </c>
      <c r="L829" s="136" t="str">
        <f>IFERROR(__xludf.DUMMYFUNCTION("""COMPUTED_VALUE"""),"")</f>
        <v/>
      </c>
      <c r="M829" s="106" t="str">
        <f>IFERROR(__xludf.DUMMYFUNCTION("""COMPUTED_VALUE"""),"")</f>
        <v/>
      </c>
      <c r="O829" s="136" t="str">
        <f>IFERROR(__xludf.DUMMYFUNCTION("""COMPUTED_VALUE"""),"")</f>
        <v/>
      </c>
      <c r="P829" s="106" t="str">
        <f>IFERROR(__xludf.DUMMYFUNCTION("""COMPUTED_VALUE"""),"")</f>
        <v/>
      </c>
      <c r="R829" s="136" t="str">
        <f>IFERROR(__xludf.DUMMYFUNCTION("""COMPUTED_VALUE"""),"")</f>
        <v/>
      </c>
      <c r="S829" s="106" t="str">
        <f>IFERROR(__xludf.DUMMYFUNCTION("""COMPUTED_VALUE"""),"")</f>
        <v/>
      </c>
    </row>
    <row r="830">
      <c r="A830" s="136" t="s">
        <v>133</v>
      </c>
      <c r="B830" s="136"/>
      <c r="C830" s="136" t="s">
        <v>133</v>
      </c>
      <c r="D830" s="136"/>
      <c r="E830" s="106"/>
      <c r="F830" s="136" t="str">
        <f>IFERROR(__xludf.DUMMYFUNCTION("""COMPUTED_VALUE"""),"")</f>
        <v/>
      </c>
      <c r="G830" s="106" t="str">
        <f>IFERROR(__xludf.DUMMYFUNCTION("""COMPUTED_VALUE"""),"")</f>
        <v/>
      </c>
      <c r="I830" s="136" t="str">
        <f>IFERROR(__xludf.DUMMYFUNCTION("""COMPUTED_VALUE"""),"")</f>
        <v/>
      </c>
      <c r="J830" s="106" t="str">
        <f>IFERROR(__xludf.DUMMYFUNCTION("""COMPUTED_VALUE"""),"")</f>
        <v/>
      </c>
      <c r="L830" s="136" t="str">
        <f>IFERROR(__xludf.DUMMYFUNCTION("""COMPUTED_VALUE"""),"")</f>
        <v/>
      </c>
      <c r="M830" s="106" t="str">
        <f>IFERROR(__xludf.DUMMYFUNCTION("""COMPUTED_VALUE"""),"")</f>
        <v/>
      </c>
      <c r="O830" s="136" t="str">
        <f>IFERROR(__xludf.DUMMYFUNCTION("""COMPUTED_VALUE"""),"")</f>
        <v/>
      </c>
      <c r="P830" s="106" t="str">
        <f>IFERROR(__xludf.DUMMYFUNCTION("""COMPUTED_VALUE"""),"")</f>
        <v/>
      </c>
      <c r="R830" s="136" t="str">
        <f>IFERROR(__xludf.DUMMYFUNCTION("""COMPUTED_VALUE"""),"")</f>
        <v/>
      </c>
      <c r="S830" s="106" t="str">
        <f>IFERROR(__xludf.DUMMYFUNCTION("""COMPUTED_VALUE"""),"")</f>
        <v/>
      </c>
    </row>
    <row r="831">
      <c r="A831" s="136" t="s">
        <v>133</v>
      </c>
      <c r="B831" s="136"/>
      <c r="C831" s="136" t="s">
        <v>133</v>
      </c>
      <c r="D831" s="136"/>
      <c r="E831" s="106"/>
      <c r="F831" s="136" t="str">
        <f>IFERROR(__xludf.DUMMYFUNCTION("""COMPUTED_VALUE"""),"")</f>
        <v/>
      </c>
      <c r="G831" s="106" t="str">
        <f>IFERROR(__xludf.DUMMYFUNCTION("""COMPUTED_VALUE"""),"")</f>
        <v/>
      </c>
      <c r="I831" s="136" t="str">
        <f>IFERROR(__xludf.DUMMYFUNCTION("""COMPUTED_VALUE"""),"")</f>
        <v/>
      </c>
      <c r="J831" s="106" t="str">
        <f>IFERROR(__xludf.DUMMYFUNCTION("""COMPUTED_VALUE"""),"")</f>
        <v/>
      </c>
      <c r="L831" s="136" t="str">
        <f>IFERROR(__xludf.DUMMYFUNCTION("""COMPUTED_VALUE"""),"")</f>
        <v/>
      </c>
      <c r="M831" s="106" t="str">
        <f>IFERROR(__xludf.DUMMYFUNCTION("""COMPUTED_VALUE"""),"")</f>
        <v/>
      </c>
      <c r="O831" s="136" t="str">
        <f>IFERROR(__xludf.DUMMYFUNCTION("""COMPUTED_VALUE"""),"")</f>
        <v/>
      </c>
      <c r="P831" s="106" t="str">
        <f>IFERROR(__xludf.DUMMYFUNCTION("""COMPUTED_VALUE"""),"")</f>
        <v/>
      </c>
      <c r="R831" s="136" t="str">
        <f>IFERROR(__xludf.DUMMYFUNCTION("""COMPUTED_VALUE"""),"")</f>
        <v/>
      </c>
      <c r="S831" s="106" t="str">
        <f>IFERROR(__xludf.DUMMYFUNCTION("""COMPUTED_VALUE"""),"")</f>
        <v/>
      </c>
    </row>
    <row r="832">
      <c r="A832" s="136" t="s">
        <v>133</v>
      </c>
      <c r="B832" s="136"/>
      <c r="C832" s="136" t="s">
        <v>133</v>
      </c>
      <c r="D832" s="136"/>
      <c r="E832" s="106"/>
      <c r="F832" s="136" t="str">
        <f>IFERROR(__xludf.DUMMYFUNCTION("""COMPUTED_VALUE"""),"")</f>
        <v/>
      </c>
      <c r="G832" s="106" t="str">
        <f>IFERROR(__xludf.DUMMYFUNCTION("""COMPUTED_VALUE"""),"")</f>
        <v/>
      </c>
      <c r="I832" s="136" t="str">
        <f>IFERROR(__xludf.DUMMYFUNCTION("""COMPUTED_VALUE"""),"")</f>
        <v/>
      </c>
      <c r="J832" s="106" t="str">
        <f>IFERROR(__xludf.DUMMYFUNCTION("""COMPUTED_VALUE"""),"")</f>
        <v/>
      </c>
      <c r="L832" s="136" t="str">
        <f>IFERROR(__xludf.DUMMYFUNCTION("""COMPUTED_VALUE"""),"")</f>
        <v/>
      </c>
      <c r="M832" s="106" t="str">
        <f>IFERROR(__xludf.DUMMYFUNCTION("""COMPUTED_VALUE"""),"")</f>
        <v/>
      </c>
      <c r="O832" s="136" t="str">
        <f>IFERROR(__xludf.DUMMYFUNCTION("""COMPUTED_VALUE"""),"")</f>
        <v/>
      </c>
      <c r="P832" s="106" t="str">
        <f>IFERROR(__xludf.DUMMYFUNCTION("""COMPUTED_VALUE"""),"")</f>
        <v/>
      </c>
      <c r="R832" s="136" t="str">
        <f>IFERROR(__xludf.DUMMYFUNCTION("""COMPUTED_VALUE"""),"")</f>
        <v/>
      </c>
      <c r="S832" s="106" t="str">
        <f>IFERROR(__xludf.DUMMYFUNCTION("""COMPUTED_VALUE"""),"")</f>
        <v/>
      </c>
    </row>
    <row r="833">
      <c r="A833" s="136" t="s">
        <v>133</v>
      </c>
      <c r="B833" s="136"/>
      <c r="C833" s="136" t="s">
        <v>133</v>
      </c>
      <c r="D833" s="136"/>
      <c r="E833" s="106"/>
      <c r="F833" s="136" t="str">
        <f>IFERROR(__xludf.DUMMYFUNCTION("""COMPUTED_VALUE"""),"")</f>
        <v/>
      </c>
      <c r="G833" s="106" t="str">
        <f>IFERROR(__xludf.DUMMYFUNCTION("""COMPUTED_VALUE"""),"")</f>
        <v/>
      </c>
      <c r="I833" s="136" t="str">
        <f>IFERROR(__xludf.DUMMYFUNCTION("""COMPUTED_VALUE"""),"")</f>
        <v/>
      </c>
      <c r="J833" s="106" t="str">
        <f>IFERROR(__xludf.DUMMYFUNCTION("""COMPUTED_VALUE"""),"")</f>
        <v/>
      </c>
      <c r="L833" s="136" t="str">
        <f>IFERROR(__xludf.DUMMYFUNCTION("""COMPUTED_VALUE"""),"")</f>
        <v/>
      </c>
      <c r="M833" s="106" t="str">
        <f>IFERROR(__xludf.DUMMYFUNCTION("""COMPUTED_VALUE"""),"")</f>
        <v/>
      </c>
      <c r="O833" s="136" t="str">
        <f>IFERROR(__xludf.DUMMYFUNCTION("""COMPUTED_VALUE"""),"")</f>
        <v/>
      </c>
      <c r="P833" s="106" t="str">
        <f>IFERROR(__xludf.DUMMYFUNCTION("""COMPUTED_VALUE"""),"")</f>
        <v/>
      </c>
      <c r="R833" s="136" t="str">
        <f>IFERROR(__xludf.DUMMYFUNCTION("""COMPUTED_VALUE"""),"")</f>
        <v/>
      </c>
      <c r="S833" s="106" t="str">
        <f>IFERROR(__xludf.DUMMYFUNCTION("""COMPUTED_VALUE"""),"")</f>
        <v/>
      </c>
    </row>
    <row r="834">
      <c r="A834" s="136" t="s">
        <v>133</v>
      </c>
      <c r="B834" s="136"/>
      <c r="C834" s="136" t="s">
        <v>133</v>
      </c>
      <c r="D834" s="136"/>
      <c r="E834" s="106"/>
      <c r="F834" s="136" t="str">
        <f>IFERROR(__xludf.DUMMYFUNCTION("""COMPUTED_VALUE"""),"")</f>
        <v/>
      </c>
      <c r="G834" s="106" t="str">
        <f>IFERROR(__xludf.DUMMYFUNCTION("""COMPUTED_VALUE"""),"")</f>
        <v/>
      </c>
      <c r="I834" s="136" t="str">
        <f>IFERROR(__xludf.DUMMYFUNCTION("""COMPUTED_VALUE"""),"")</f>
        <v/>
      </c>
      <c r="J834" s="106" t="str">
        <f>IFERROR(__xludf.DUMMYFUNCTION("""COMPUTED_VALUE"""),"")</f>
        <v/>
      </c>
      <c r="L834" s="136" t="str">
        <f>IFERROR(__xludf.DUMMYFUNCTION("""COMPUTED_VALUE"""),"")</f>
        <v/>
      </c>
      <c r="M834" s="106" t="str">
        <f>IFERROR(__xludf.DUMMYFUNCTION("""COMPUTED_VALUE"""),"")</f>
        <v/>
      </c>
      <c r="O834" s="136" t="str">
        <f>IFERROR(__xludf.DUMMYFUNCTION("""COMPUTED_VALUE"""),"")</f>
        <v/>
      </c>
      <c r="P834" s="106" t="str">
        <f>IFERROR(__xludf.DUMMYFUNCTION("""COMPUTED_VALUE"""),"")</f>
        <v/>
      </c>
      <c r="R834" s="136" t="str">
        <f>IFERROR(__xludf.DUMMYFUNCTION("""COMPUTED_VALUE"""),"")</f>
        <v/>
      </c>
      <c r="S834" s="106" t="str">
        <f>IFERROR(__xludf.DUMMYFUNCTION("""COMPUTED_VALUE"""),"")</f>
        <v/>
      </c>
    </row>
    <row r="835">
      <c r="A835" s="136" t="s">
        <v>133</v>
      </c>
      <c r="B835" s="136"/>
      <c r="C835" s="136" t="s">
        <v>133</v>
      </c>
      <c r="D835" s="136"/>
      <c r="E835" s="106"/>
      <c r="F835" s="136" t="str">
        <f>IFERROR(__xludf.DUMMYFUNCTION("""COMPUTED_VALUE"""),"")</f>
        <v/>
      </c>
      <c r="G835" s="106" t="str">
        <f>IFERROR(__xludf.DUMMYFUNCTION("""COMPUTED_VALUE"""),"")</f>
        <v/>
      </c>
      <c r="I835" s="136" t="str">
        <f>IFERROR(__xludf.DUMMYFUNCTION("""COMPUTED_VALUE"""),"")</f>
        <v/>
      </c>
      <c r="J835" s="106" t="str">
        <f>IFERROR(__xludf.DUMMYFUNCTION("""COMPUTED_VALUE"""),"")</f>
        <v/>
      </c>
      <c r="L835" s="136" t="str">
        <f>IFERROR(__xludf.DUMMYFUNCTION("""COMPUTED_VALUE"""),"")</f>
        <v/>
      </c>
      <c r="M835" s="106" t="str">
        <f>IFERROR(__xludf.DUMMYFUNCTION("""COMPUTED_VALUE"""),"")</f>
        <v/>
      </c>
      <c r="O835" s="136" t="str">
        <f>IFERROR(__xludf.DUMMYFUNCTION("""COMPUTED_VALUE"""),"")</f>
        <v/>
      </c>
      <c r="P835" s="106" t="str">
        <f>IFERROR(__xludf.DUMMYFUNCTION("""COMPUTED_VALUE"""),"")</f>
        <v/>
      </c>
      <c r="R835" s="136" t="str">
        <f>IFERROR(__xludf.DUMMYFUNCTION("""COMPUTED_VALUE"""),"")</f>
        <v/>
      </c>
      <c r="S835" s="106" t="str">
        <f>IFERROR(__xludf.DUMMYFUNCTION("""COMPUTED_VALUE"""),"")</f>
        <v/>
      </c>
    </row>
    <row r="836">
      <c r="A836" s="136" t="s">
        <v>133</v>
      </c>
      <c r="B836" s="136"/>
      <c r="C836" s="136" t="s">
        <v>133</v>
      </c>
      <c r="D836" s="136"/>
      <c r="E836" s="106"/>
      <c r="F836" s="136" t="str">
        <f>IFERROR(__xludf.DUMMYFUNCTION("""COMPUTED_VALUE"""),"")</f>
        <v/>
      </c>
      <c r="G836" s="106" t="str">
        <f>IFERROR(__xludf.DUMMYFUNCTION("""COMPUTED_VALUE"""),"")</f>
        <v/>
      </c>
      <c r="I836" s="136" t="str">
        <f>IFERROR(__xludf.DUMMYFUNCTION("""COMPUTED_VALUE"""),"")</f>
        <v/>
      </c>
      <c r="J836" s="106" t="str">
        <f>IFERROR(__xludf.DUMMYFUNCTION("""COMPUTED_VALUE"""),"")</f>
        <v/>
      </c>
      <c r="L836" s="136" t="str">
        <f>IFERROR(__xludf.DUMMYFUNCTION("""COMPUTED_VALUE"""),"")</f>
        <v/>
      </c>
      <c r="M836" s="106" t="str">
        <f>IFERROR(__xludf.DUMMYFUNCTION("""COMPUTED_VALUE"""),"")</f>
        <v/>
      </c>
      <c r="O836" s="136" t="str">
        <f>IFERROR(__xludf.DUMMYFUNCTION("""COMPUTED_VALUE"""),"")</f>
        <v/>
      </c>
      <c r="P836" s="106" t="str">
        <f>IFERROR(__xludf.DUMMYFUNCTION("""COMPUTED_VALUE"""),"")</f>
        <v/>
      </c>
      <c r="R836" s="136" t="str">
        <f>IFERROR(__xludf.DUMMYFUNCTION("""COMPUTED_VALUE"""),"")</f>
        <v/>
      </c>
      <c r="S836" s="106" t="str">
        <f>IFERROR(__xludf.DUMMYFUNCTION("""COMPUTED_VALUE"""),"")</f>
        <v/>
      </c>
    </row>
    <row r="837">
      <c r="A837" s="136" t="s">
        <v>133</v>
      </c>
      <c r="B837" s="136"/>
      <c r="C837" s="136" t="s">
        <v>133</v>
      </c>
      <c r="D837" s="136"/>
      <c r="E837" s="106"/>
      <c r="F837" s="136" t="str">
        <f>IFERROR(__xludf.DUMMYFUNCTION("""COMPUTED_VALUE"""),"")</f>
        <v/>
      </c>
      <c r="G837" s="106" t="str">
        <f>IFERROR(__xludf.DUMMYFUNCTION("""COMPUTED_VALUE"""),"")</f>
        <v/>
      </c>
      <c r="I837" s="136" t="str">
        <f>IFERROR(__xludf.DUMMYFUNCTION("""COMPUTED_VALUE"""),"")</f>
        <v/>
      </c>
      <c r="J837" s="106" t="str">
        <f>IFERROR(__xludf.DUMMYFUNCTION("""COMPUTED_VALUE"""),"")</f>
        <v/>
      </c>
      <c r="L837" s="136" t="str">
        <f>IFERROR(__xludf.DUMMYFUNCTION("""COMPUTED_VALUE"""),"")</f>
        <v/>
      </c>
      <c r="M837" s="106" t="str">
        <f>IFERROR(__xludf.DUMMYFUNCTION("""COMPUTED_VALUE"""),"")</f>
        <v/>
      </c>
      <c r="O837" s="136" t="str">
        <f>IFERROR(__xludf.DUMMYFUNCTION("""COMPUTED_VALUE"""),"")</f>
        <v/>
      </c>
      <c r="P837" s="106" t="str">
        <f>IFERROR(__xludf.DUMMYFUNCTION("""COMPUTED_VALUE"""),"")</f>
        <v/>
      </c>
      <c r="R837" s="136" t="str">
        <f>IFERROR(__xludf.DUMMYFUNCTION("""COMPUTED_VALUE"""),"")</f>
        <v/>
      </c>
      <c r="S837" s="106" t="str">
        <f>IFERROR(__xludf.DUMMYFUNCTION("""COMPUTED_VALUE"""),"")</f>
        <v/>
      </c>
    </row>
    <row r="838">
      <c r="A838" s="136" t="s">
        <v>133</v>
      </c>
      <c r="B838" s="136"/>
      <c r="C838" s="136" t="s">
        <v>133</v>
      </c>
      <c r="D838" s="136"/>
      <c r="E838" s="106"/>
      <c r="F838" s="136" t="str">
        <f>IFERROR(__xludf.DUMMYFUNCTION("""COMPUTED_VALUE"""),"")</f>
        <v/>
      </c>
      <c r="G838" s="106" t="str">
        <f>IFERROR(__xludf.DUMMYFUNCTION("""COMPUTED_VALUE"""),"")</f>
        <v/>
      </c>
      <c r="I838" s="136" t="str">
        <f>IFERROR(__xludf.DUMMYFUNCTION("""COMPUTED_VALUE"""),"")</f>
        <v/>
      </c>
      <c r="J838" s="106" t="str">
        <f>IFERROR(__xludf.DUMMYFUNCTION("""COMPUTED_VALUE"""),"")</f>
        <v/>
      </c>
      <c r="L838" s="136" t="str">
        <f>IFERROR(__xludf.DUMMYFUNCTION("""COMPUTED_VALUE"""),"")</f>
        <v/>
      </c>
      <c r="M838" s="106" t="str">
        <f>IFERROR(__xludf.DUMMYFUNCTION("""COMPUTED_VALUE"""),"")</f>
        <v/>
      </c>
      <c r="O838" s="136" t="str">
        <f>IFERROR(__xludf.DUMMYFUNCTION("""COMPUTED_VALUE"""),"")</f>
        <v/>
      </c>
      <c r="P838" s="106" t="str">
        <f>IFERROR(__xludf.DUMMYFUNCTION("""COMPUTED_VALUE"""),"")</f>
        <v/>
      </c>
      <c r="R838" s="136" t="str">
        <f>IFERROR(__xludf.DUMMYFUNCTION("""COMPUTED_VALUE"""),"")</f>
        <v/>
      </c>
      <c r="S838" s="106" t="str">
        <f>IFERROR(__xludf.DUMMYFUNCTION("""COMPUTED_VALUE"""),"")</f>
        <v/>
      </c>
    </row>
    <row r="839">
      <c r="A839" s="136" t="s">
        <v>133</v>
      </c>
      <c r="B839" s="136"/>
      <c r="C839" s="136" t="s">
        <v>133</v>
      </c>
      <c r="D839" s="136"/>
      <c r="E839" s="106"/>
      <c r="F839" s="136" t="str">
        <f>IFERROR(__xludf.DUMMYFUNCTION("""COMPUTED_VALUE"""),"")</f>
        <v/>
      </c>
      <c r="G839" s="106" t="str">
        <f>IFERROR(__xludf.DUMMYFUNCTION("""COMPUTED_VALUE"""),"")</f>
        <v/>
      </c>
      <c r="I839" s="136" t="str">
        <f>IFERROR(__xludf.DUMMYFUNCTION("""COMPUTED_VALUE"""),"")</f>
        <v/>
      </c>
      <c r="J839" s="106" t="str">
        <f>IFERROR(__xludf.DUMMYFUNCTION("""COMPUTED_VALUE"""),"")</f>
        <v/>
      </c>
      <c r="L839" s="136" t="str">
        <f>IFERROR(__xludf.DUMMYFUNCTION("""COMPUTED_VALUE"""),"")</f>
        <v/>
      </c>
      <c r="M839" s="106" t="str">
        <f>IFERROR(__xludf.DUMMYFUNCTION("""COMPUTED_VALUE"""),"")</f>
        <v/>
      </c>
      <c r="O839" s="136" t="str">
        <f>IFERROR(__xludf.DUMMYFUNCTION("""COMPUTED_VALUE"""),"")</f>
        <v/>
      </c>
      <c r="P839" s="106" t="str">
        <f>IFERROR(__xludf.DUMMYFUNCTION("""COMPUTED_VALUE"""),"")</f>
        <v/>
      </c>
      <c r="R839" s="136" t="str">
        <f>IFERROR(__xludf.DUMMYFUNCTION("""COMPUTED_VALUE"""),"")</f>
        <v/>
      </c>
      <c r="S839" s="106" t="str">
        <f>IFERROR(__xludf.DUMMYFUNCTION("""COMPUTED_VALUE"""),"")</f>
        <v/>
      </c>
    </row>
    <row r="840">
      <c r="A840" s="136" t="s">
        <v>133</v>
      </c>
      <c r="B840" s="136"/>
      <c r="C840" s="136" t="s">
        <v>133</v>
      </c>
      <c r="D840" s="136"/>
      <c r="E840" s="106"/>
      <c r="F840" s="136" t="str">
        <f>IFERROR(__xludf.DUMMYFUNCTION("""COMPUTED_VALUE"""),"")</f>
        <v/>
      </c>
      <c r="G840" s="106" t="str">
        <f>IFERROR(__xludf.DUMMYFUNCTION("""COMPUTED_VALUE"""),"")</f>
        <v/>
      </c>
      <c r="I840" s="136" t="str">
        <f>IFERROR(__xludf.DUMMYFUNCTION("""COMPUTED_VALUE"""),"")</f>
        <v/>
      </c>
      <c r="J840" s="106" t="str">
        <f>IFERROR(__xludf.DUMMYFUNCTION("""COMPUTED_VALUE"""),"")</f>
        <v/>
      </c>
      <c r="L840" s="136" t="str">
        <f>IFERROR(__xludf.DUMMYFUNCTION("""COMPUTED_VALUE"""),"")</f>
        <v/>
      </c>
      <c r="M840" s="106" t="str">
        <f>IFERROR(__xludf.DUMMYFUNCTION("""COMPUTED_VALUE"""),"")</f>
        <v/>
      </c>
      <c r="O840" s="136" t="str">
        <f>IFERROR(__xludf.DUMMYFUNCTION("""COMPUTED_VALUE"""),"")</f>
        <v/>
      </c>
      <c r="P840" s="106" t="str">
        <f>IFERROR(__xludf.DUMMYFUNCTION("""COMPUTED_VALUE"""),"")</f>
        <v/>
      </c>
      <c r="R840" s="136" t="str">
        <f>IFERROR(__xludf.DUMMYFUNCTION("""COMPUTED_VALUE"""),"")</f>
        <v/>
      </c>
      <c r="S840" s="106" t="str">
        <f>IFERROR(__xludf.DUMMYFUNCTION("""COMPUTED_VALUE"""),"")</f>
        <v/>
      </c>
    </row>
    <row r="841">
      <c r="A841" s="136" t="s">
        <v>133</v>
      </c>
      <c r="B841" s="136"/>
      <c r="C841" s="136" t="s">
        <v>133</v>
      </c>
      <c r="D841" s="136"/>
      <c r="E841" s="106"/>
      <c r="F841" s="136" t="str">
        <f>IFERROR(__xludf.DUMMYFUNCTION("""COMPUTED_VALUE"""),"")</f>
        <v/>
      </c>
      <c r="G841" s="106" t="str">
        <f>IFERROR(__xludf.DUMMYFUNCTION("""COMPUTED_VALUE"""),"")</f>
        <v/>
      </c>
      <c r="I841" s="136" t="str">
        <f>IFERROR(__xludf.DUMMYFUNCTION("""COMPUTED_VALUE"""),"")</f>
        <v/>
      </c>
      <c r="J841" s="106" t="str">
        <f>IFERROR(__xludf.DUMMYFUNCTION("""COMPUTED_VALUE"""),"")</f>
        <v/>
      </c>
      <c r="L841" s="136" t="str">
        <f>IFERROR(__xludf.DUMMYFUNCTION("""COMPUTED_VALUE"""),"")</f>
        <v/>
      </c>
      <c r="M841" s="106" t="str">
        <f>IFERROR(__xludf.DUMMYFUNCTION("""COMPUTED_VALUE"""),"")</f>
        <v/>
      </c>
      <c r="O841" s="136" t="str">
        <f>IFERROR(__xludf.DUMMYFUNCTION("""COMPUTED_VALUE"""),"")</f>
        <v/>
      </c>
      <c r="P841" s="106" t="str">
        <f>IFERROR(__xludf.DUMMYFUNCTION("""COMPUTED_VALUE"""),"")</f>
        <v/>
      </c>
      <c r="R841" s="136" t="str">
        <f>IFERROR(__xludf.DUMMYFUNCTION("""COMPUTED_VALUE"""),"")</f>
        <v/>
      </c>
      <c r="S841" s="106" t="str">
        <f>IFERROR(__xludf.DUMMYFUNCTION("""COMPUTED_VALUE"""),"")</f>
        <v/>
      </c>
    </row>
    <row r="842">
      <c r="A842" s="136" t="s">
        <v>133</v>
      </c>
      <c r="B842" s="136"/>
      <c r="C842" s="136" t="s">
        <v>133</v>
      </c>
      <c r="D842" s="136"/>
      <c r="E842" s="106"/>
      <c r="F842" s="136" t="str">
        <f>IFERROR(__xludf.DUMMYFUNCTION("""COMPUTED_VALUE"""),"")</f>
        <v/>
      </c>
      <c r="G842" s="106" t="str">
        <f>IFERROR(__xludf.DUMMYFUNCTION("""COMPUTED_VALUE"""),"")</f>
        <v/>
      </c>
      <c r="I842" s="136" t="str">
        <f>IFERROR(__xludf.DUMMYFUNCTION("""COMPUTED_VALUE"""),"")</f>
        <v/>
      </c>
      <c r="J842" s="106" t="str">
        <f>IFERROR(__xludf.DUMMYFUNCTION("""COMPUTED_VALUE"""),"")</f>
        <v/>
      </c>
      <c r="L842" s="136" t="str">
        <f>IFERROR(__xludf.DUMMYFUNCTION("""COMPUTED_VALUE"""),"")</f>
        <v/>
      </c>
      <c r="M842" s="106" t="str">
        <f>IFERROR(__xludf.DUMMYFUNCTION("""COMPUTED_VALUE"""),"")</f>
        <v/>
      </c>
      <c r="O842" s="136" t="str">
        <f>IFERROR(__xludf.DUMMYFUNCTION("""COMPUTED_VALUE"""),"")</f>
        <v/>
      </c>
      <c r="P842" s="106" t="str">
        <f>IFERROR(__xludf.DUMMYFUNCTION("""COMPUTED_VALUE"""),"")</f>
        <v/>
      </c>
      <c r="R842" s="136" t="str">
        <f>IFERROR(__xludf.DUMMYFUNCTION("""COMPUTED_VALUE"""),"")</f>
        <v/>
      </c>
      <c r="S842" s="106" t="str">
        <f>IFERROR(__xludf.DUMMYFUNCTION("""COMPUTED_VALUE"""),"")</f>
        <v/>
      </c>
    </row>
    <row r="843">
      <c r="A843" s="136" t="s">
        <v>133</v>
      </c>
      <c r="B843" s="136"/>
      <c r="C843" s="136" t="s">
        <v>133</v>
      </c>
      <c r="D843" s="136"/>
      <c r="E843" s="106"/>
      <c r="F843" s="136" t="str">
        <f>IFERROR(__xludf.DUMMYFUNCTION("""COMPUTED_VALUE"""),"")</f>
        <v/>
      </c>
      <c r="G843" s="106" t="str">
        <f>IFERROR(__xludf.DUMMYFUNCTION("""COMPUTED_VALUE"""),"")</f>
        <v/>
      </c>
      <c r="I843" s="136" t="str">
        <f>IFERROR(__xludf.DUMMYFUNCTION("""COMPUTED_VALUE"""),"")</f>
        <v/>
      </c>
      <c r="J843" s="106" t="str">
        <f>IFERROR(__xludf.DUMMYFUNCTION("""COMPUTED_VALUE"""),"")</f>
        <v/>
      </c>
      <c r="L843" s="136" t="str">
        <f>IFERROR(__xludf.DUMMYFUNCTION("""COMPUTED_VALUE"""),"")</f>
        <v/>
      </c>
      <c r="M843" s="106" t="str">
        <f>IFERROR(__xludf.DUMMYFUNCTION("""COMPUTED_VALUE"""),"")</f>
        <v/>
      </c>
      <c r="O843" s="136" t="str">
        <f>IFERROR(__xludf.DUMMYFUNCTION("""COMPUTED_VALUE"""),"")</f>
        <v/>
      </c>
      <c r="P843" s="106" t="str">
        <f>IFERROR(__xludf.DUMMYFUNCTION("""COMPUTED_VALUE"""),"")</f>
        <v/>
      </c>
      <c r="R843" s="136" t="str">
        <f>IFERROR(__xludf.DUMMYFUNCTION("""COMPUTED_VALUE"""),"")</f>
        <v/>
      </c>
      <c r="S843" s="106" t="str">
        <f>IFERROR(__xludf.DUMMYFUNCTION("""COMPUTED_VALUE"""),"")</f>
        <v/>
      </c>
    </row>
    <row r="844">
      <c r="A844" s="136" t="s">
        <v>133</v>
      </c>
      <c r="B844" s="136"/>
      <c r="C844" s="136" t="s">
        <v>133</v>
      </c>
      <c r="D844" s="136"/>
      <c r="E844" s="106"/>
      <c r="F844" s="136" t="str">
        <f>IFERROR(__xludf.DUMMYFUNCTION("""COMPUTED_VALUE"""),"")</f>
        <v/>
      </c>
      <c r="G844" s="106" t="str">
        <f>IFERROR(__xludf.DUMMYFUNCTION("""COMPUTED_VALUE"""),"")</f>
        <v/>
      </c>
      <c r="I844" s="136" t="str">
        <f>IFERROR(__xludf.DUMMYFUNCTION("""COMPUTED_VALUE"""),"")</f>
        <v/>
      </c>
      <c r="J844" s="106" t="str">
        <f>IFERROR(__xludf.DUMMYFUNCTION("""COMPUTED_VALUE"""),"")</f>
        <v/>
      </c>
      <c r="L844" s="136" t="str">
        <f>IFERROR(__xludf.DUMMYFUNCTION("""COMPUTED_VALUE"""),"")</f>
        <v/>
      </c>
      <c r="M844" s="106" t="str">
        <f>IFERROR(__xludf.DUMMYFUNCTION("""COMPUTED_VALUE"""),"")</f>
        <v/>
      </c>
      <c r="O844" s="136" t="str">
        <f>IFERROR(__xludf.DUMMYFUNCTION("""COMPUTED_VALUE"""),"")</f>
        <v/>
      </c>
      <c r="P844" s="106" t="str">
        <f>IFERROR(__xludf.DUMMYFUNCTION("""COMPUTED_VALUE"""),"")</f>
        <v/>
      </c>
      <c r="R844" s="136" t="str">
        <f>IFERROR(__xludf.DUMMYFUNCTION("""COMPUTED_VALUE"""),"")</f>
        <v/>
      </c>
      <c r="S844" s="106" t="str">
        <f>IFERROR(__xludf.DUMMYFUNCTION("""COMPUTED_VALUE"""),"")</f>
        <v/>
      </c>
    </row>
    <row r="845">
      <c r="A845" s="136" t="s">
        <v>133</v>
      </c>
      <c r="B845" s="136"/>
      <c r="C845" s="136" t="s">
        <v>133</v>
      </c>
      <c r="D845" s="136"/>
      <c r="E845" s="106"/>
      <c r="F845" s="136" t="str">
        <f>IFERROR(__xludf.DUMMYFUNCTION("""COMPUTED_VALUE"""),"")</f>
        <v/>
      </c>
      <c r="G845" s="106" t="str">
        <f>IFERROR(__xludf.DUMMYFUNCTION("""COMPUTED_VALUE"""),"")</f>
        <v/>
      </c>
      <c r="I845" s="136" t="str">
        <f>IFERROR(__xludf.DUMMYFUNCTION("""COMPUTED_VALUE"""),"")</f>
        <v/>
      </c>
      <c r="J845" s="106" t="str">
        <f>IFERROR(__xludf.DUMMYFUNCTION("""COMPUTED_VALUE"""),"")</f>
        <v/>
      </c>
      <c r="L845" s="136" t="str">
        <f>IFERROR(__xludf.DUMMYFUNCTION("""COMPUTED_VALUE"""),"")</f>
        <v/>
      </c>
      <c r="M845" s="106" t="str">
        <f>IFERROR(__xludf.DUMMYFUNCTION("""COMPUTED_VALUE"""),"")</f>
        <v/>
      </c>
      <c r="O845" s="136" t="str">
        <f>IFERROR(__xludf.DUMMYFUNCTION("""COMPUTED_VALUE"""),"")</f>
        <v/>
      </c>
      <c r="P845" s="106" t="str">
        <f>IFERROR(__xludf.DUMMYFUNCTION("""COMPUTED_VALUE"""),"")</f>
        <v/>
      </c>
      <c r="R845" s="136" t="str">
        <f>IFERROR(__xludf.DUMMYFUNCTION("""COMPUTED_VALUE"""),"")</f>
        <v/>
      </c>
      <c r="S845" s="106" t="str">
        <f>IFERROR(__xludf.DUMMYFUNCTION("""COMPUTED_VALUE"""),"")</f>
        <v/>
      </c>
    </row>
    <row r="846">
      <c r="A846" s="136" t="s">
        <v>133</v>
      </c>
      <c r="B846" s="136"/>
      <c r="C846" s="136" t="s">
        <v>133</v>
      </c>
      <c r="D846" s="136"/>
      <c r="E846" s="106"/>
      <c r="F846" s="136" t="str">
        <f>IFERROR(__xludf.DUMMYFUNCTION("""COMPUTED_VALUE"""),"")</f>
        <v/>
      </c>
      <c r="G846" s="106" t="str">
        <f>IFERROR(__xludf.DUMMYFUNCTION("""COMPUTED_VALUE"""),"")</f>
        <v/>
      </c>
      <c r="I846" s="136" t="str">
        <f>IFERROR(__xludf.DUMMYFUNCTION("""COMPUTED_VALUE"""),"")</f>
        <v/>
      </c>
      <c r="J846" s="106" t="str">
        <f>IFERROR(__xludf.DUMMYFUNCTION("""COMPUTED_VALUE"""),"")</f>
        <v/>
      </c>
      <c r="L846" s="136" t="str">
        <f>IFERROR(__xludf.DUMMYFUNCTION("""COMPUTED_VALUE"""),"")</f>
        <v/>
      </c>
      <c r="M846" s="106" t="str">
        <f>IFERROR(__xludf.DUMMYFUNCTION("""COMPUTED_VALUE"""),"")</f>
        <v/>
      </c>
      <c r="O846" s="136" t="str">
        <f>IFERROR(__xludf.DUMMYFUNCTION("""COMPUTED_VALUE"""),"")</f>
        <v/>
      </c>
      <c r="P846" s="106" t="str">
        <f>IFERROR(__xludf.DUMMYFUNCTION("""COMPUTED_VALUE"""),"")</f>
        <v/>
      </c>
      <c r="R846" s="136" t="str">
        <f>IFERROR(__xludf.DUMMYFUNCTION("""COMPUTED_VALUE"""),"")</f>
        <v/>
      </c>
      <c r="S846" s="106" t="str">
        <f>IFERROR(__xludf.DUMMYFUNCTION("""COMPUTED_VALUE"""),"")</f>
        <v/>
      </c>
    </row>
    <row r="847">
      <c r="A847" s="136" t="s">
        <v>133</v>
      </c>
      <c r="B847" s="136"/>
      <c r="C847" s="136" t="s">
        <v>133</v>
      </c>
      <c r="D847" s="136"/>
      <c r="E847" s="106"/>
      <c r="F847" s="136" t="str">
        <f>IFERROR(__xludf.DUMMYFUNCTION("""COMPUTED_VALUE"""),"")</f>
        <v/>
      </c>
      <c r="G847" s="106" t="str">
        <f>IFERROR(__xludf.DUMMYFUNCTION("""COMPUTED_VALUE"""),"")</f>
        <v/>
      </c>
      <c r="I847" s="136" t="str">
        <f>IFERROR(__xludf.DUMMYFUNCTION("""COMPUTED_VALUE"""),"")</f>
        <v/>
      </c>
      <c r="J847" s="106" t="str">
        <f>IFERROR(__xludf.DUMMYFUNCTION("""COMPUTED_VALUE"""),"")</f>
        <v/>
      </c>
      <c r="L847" s="136" t="str">
        <f>IFERROR(__xludf.DUMMYFUNCTION("""COMPUTED_VALUE"""),"")</f>
        <v/>
      </c>
      <c r="M847" s="106" t="str">
        <f>IFERROR(__xludf.DUMMYFUNCTION("""COMPUTED_VALUE"""),"")</f>
        <v/>
      </c>
      <c r="O847" s="136" t="str">
        <f>IFERROR(__xludf.DUMMYFUNCTION("""COMPUTED_VALUE"""),"")</f>
        <v/>
      </c>
      <c r="P847" s="106" t="str">
        <f>IFERROR(__xludf.DUMMYFUNCTION("""COMPUTED_VALUE"""),"")</f>
        <v/>
      </c>
      <c r="R847" s="136" t="str">
        <f>IFERROR(__xludf.DUMMYFUNCTION("""COMPUTED_VALUE"""),"")</f>
        <v/>
      </c>
      <c r="S847" s="106" t="str">
        <f>IFERROR(__xludf.DUMMYFUNCTION("""COMPUTED_VALUE"""),"")</f>
        <v/>
      </c>
    </row>
    <row r="848">
      <c r="A848" s="136" t="s">
        <v>133</v>
      </c>
      <c r="B848" s="136"/>
      <c r="C848" s="136" t="s">
        <v>133</v>
      </c>
      <c r="D848" s="136"/>
      <c r="E848" s="106"/>
      <c r="F848" s="136" t="str">
        <f>IFERROR(__xludf.DUMMYFUNCTION("""COMPUTED_VALUE"""),"")</f>
        <v/>
      </c>
      <c r="G848" s="106" t="str">
        <f>IFERROR(__xludf.DUMMYFUNCTION("""COMPUTED_VALUE"""),"")</f>
        <v/>
      </c>
      <c r="I848" s="136" t="str">
        <f>IFERROR(__xludf.DUMMYFUNCTION("""COMPUTED_VALUE"""),"")</f>
        <v/>
      </c>
      <c r="J848" s="106" t="str">
        <f>IFERROR(__xludf.DUMMYFUNCTION("""COMPUTED_VALUE"""),"")</f>
        <v/>
      </c>
      <c r="L848" s="136" t="str">
        <f>IFERROR(__xludf.DUMMYFUNCTION("""COMPUTED_VALUE"""),"")</f>
        <v/>
      </c>
      <c r="M848" s="106" t="str">
        <f>IFERROR(__xludf.DUMMYFUNCTION("""COMPUTED_VALUE"""),"")</f>
        <v/>
      </c>
      <c r="O848" s="136" t="str">
        <f>IFERROR(__xludf.DUMMYFUNCTION("""COMPUTED_VALUE"""),"")</f>
        <v/>
      </c>
      <c r="P848" s="106" t="str">
        <f>IFERROR(__xludf.DUMMYFUNCTION("""COMPUTED_VALUE"""),"")</f>
        <v/>
      </c>
      <c r="R848" s="136" t="str">
        <f>IFERROR(__xludf.DUMMYFUNCTION("""COMPUTED_VALUE"""),"")</f>
        <v/>
      </c>
      <c r="S848" s="106" t="str">
        <f>IFERROR(__xludf.DUMMYFUNCTION("""COMPUTED_VALUE"""),"")</f>
        <v/>
      </c>
    </row>
    <row r="849">
      <c r="A849" s="136" t="s">
        <v>133</v>
      </c>
      <c r="B849" s="136"/>
      <c r="C849" s="136" t="s">
        <v>133</v>
      </c>
      <c r="D849" s="136"/>
      <c r="E849" s="106"/>
      <c r="F849" s="136" t="str">
        <f>IFERROR(__xludf.DUMMYFUNCTION("""COMPUTED_VALUE"""),"")</f>
        <v/>
      </c>
      <c r="G849" s="106" t="str">
        <f>IFERROR(__xludf.DUMMYFUNCTION("""COMPUTED_VALUE"""),"")</f>
        <v/>
      </c>
      <c r="I849" s="136" t="str">
        <f>IFERROR(__xludf.DUMMYFUNCTION("""COMPUTED_VALUE"""),"")</f>
        <v/>
      </c>
      <c r="J849" s="106" t="str">
        <f>IFERROR(__xludf.DUMMYFUNCTION("""COMPUTED_VALUE"""),"")</f>
        <v/>
      </c>
      <c r="L849" s="136" t="str">
        <f>IFERROR(__xludf.DUMMYFUNCTION("""COMPUTED_VALUE"""),"")</f>
        <v/>
      </c>
      <c r="M849" s="106" t="str">
        <f>IFERROR(__xludf.DUMMYFUNCTION("""COMPUTED_VALUE"""),"")</f>
        <v/>
      </c>
      <c r="O849" s="136" t="str">
        <f>IFERROR(__xludf.DUMMYFUNCTION("""COMPUTED_VALUE"""),"")</f>
        <v/>
      </c>
      <c r="P849" s="106" t="str">
        <f>IFERROR(__xludf.DUMMYFUNCTION("""COMPUTED_VALUE"""),"")</f>
        <v/>
      </c>
      <c r="R849" s="136" t="str">
        <f>IFERROR(__xludf.DUMMYFUNCTION("""COMPUTED_VALUE"""),"")</f>
        <v/>
      </c>
      <c r="S849" s="106" t="str">
        <f>IFERROR(__xludf.DUMMYFUNCTION("""COMPUTED_VALUE"""),"")</f>
        <v/>
      </c>
    </row>
    <row r="850">
      <c r="A850" s="136" t="s">
        <v>133</v>
      </c>
      <c r="B850" s="136"/>
      <c r="C850" s="136" t="s">
        <v>133</v>
      </c>
      <c r="D850" s="136"/>
      <c r="E850" s="106"/>
      <c r="F850" s="136" t="str">
        <f>IFERROR(__xludf.DUMMYFUNCTION("""COMPUTED_VALUE"""),"")</f>
        <v/>
      </c>
      <c r="G850" s="106" t="str">
        <f>IFERROR(__xludf.DUMMYFUNCTION("""COMPUTED_VALUE"""),"")</f>
        <v/>
      </c>
      <c r="I850" s="136" t="str">
        <f>IFERROR(__xludf.DUMMYFUNCTION("""COMPUTED_VALUE"""),"")</f>
        <v/>
      </c>
      <c r="J850" s="106" t="str">
        <f>IFERROR(__xludf.DUMMYFUNCTION("""COMPUTED_VALUE"""),"")</f>
        <v/>
      </c>
      <c r="L850" s="136" t="str">
        <f>IFERROR(__xludf.DUMMYFUNCTION("""COMPUTED_VALUE"""),"")</f>
        <v/>
      </c>
      <c r="M850" s="106" t="str">
        <f>IFERROR(__xludf.DUMMYFUNCTION("""COMPUTED_VALUE"""),"")</f>
        <v/>
      </c>
      <c r="O850" s="136" t="str">
        <f>IFERROR(__xludf.DUMMYFUNCTION("""COMPUTED_VALUE"""),"")</f>
        <v/>
      </c>
      <c r="P850" s="106" t="str">
        <f>IFERROR(__xludf.DUMMYFUNCTION("""COMPUTED_VALUE"""),"")</f>
        <v/>
      </c>
      <c r="R850" s="136" t="str">
        <f>IFERROR(__xludf.DUMMYFUNCTION("""COMPUTED_VALUE"""),"")</f>
        <v/>
      </c>
      <c r="S850" s="106" t="str">
        <f>IFERROR(__xludf.DUMMYFUNCTION("""COMPUTED_VALUE"""),"")</f>
        <v/>
      </c>
    </row>
    <row r="851">
      <c r="A851" s="136" t="s">
        <v>133</v>
      </c>
      <c r="B851" s="136"/>
      <c r="C851" s="136" t="s">
        <v>133</v>
      </c>
      <c r="D851" s="136"/>
      <c r="E851" s="106"/>
      <c r="F851" s="136" t="str">
        <f>IFERROR(__xludf.DUMMYFUNCTION("""COMPUTED_VALUE"""),"")</f>
        <v/>
      </c>
      <c r="G851" s="106" t="str">
        <f>IFERROR(__xludf.DUMMYFUNCTION("""COMPUTED_VALUE"""),"")</f>
        <v/>
      </c>
      <c r="I851" s="136" t="str">
        <f>IFERROR(__xludf.DUMMYFUNCTION("""COMPUTED_VALUE"""),"")</f>
        <v/>
      </c>
      <c r="J851" s="106" t="str">
        <f>IFERROR(__xludf.DUMMYFUNCTION("""COMPUTED_VALUE"""),"")</f>
        <v/>
      </c>
      <c r="L851" s="136" t="str">
        <f>IFERROR(__xludf.DUMMYFUNCTION("""COMPUTED_VALUE"""),"")</f>
        <v/>
      </c>
      <c r="M851" s="106" t="str">
        <f>IFERROR(__xludf.DUMMYFUNCTION("""COMPUTED_VALUE"""),"")</f>
        <v/>
      </c>
      <c r="O851" s="136" t="str">
        <f>IFERROR(__xludf.DUMMYFUNCTION("""COMPUTED_VALUE"""),"")</f>
        <v/>
      </c>
      <c r="P851" s="106" t="str">
        <f>IFERROR(__xludf.DUMMYFUNCTION("""COMPUTED_VALUE"""),"")</f>
        <v/>
      </c>
      <c r="R851" s="136" t="str">
        <f>IFERROR(__xludf.DUMMYFUNCTION("""COMPUTED_VALUE"""),"")</f>
        <v/>
      </c>
      <c r="S851" s="106" t="str">
        <f>IFERROR(__xludf.DUMMYFUNCTION("""COMPUTED_VALUE"""),"")</f>
        <v/>
      </c>
    </row>
    <row r="852">
      <c r="A852" s="136" t="s">
        <v>133</v>
      </c>
      <c r="B852" s="136"/>
      <c r="C852" s="136" t="s">
        <v>133</v>
      </c>
      <c r="D852" s="136"/>
      <c r="E852" s="106"/>
      <c r="F852" s="136" t="str">
        <f>IFERROR(__xludf.DUMMYFUNCTION("""COMPUTED_VALUE"""),"")</f>
        <v/>
      </c>
      <c r="G852" s="106" t="str">
        <f>IFERROR(__xludf.DUMMYFUNCTION("""COMPUTED_VALUE"""),"")</f>
        <v/>
      </c>
      <c r="I852" s="136" t="str">
        <f>IFERROR(__xludf.DUMMYFUNCTION("""COMPUTED_VALUE"""),"")</f>
        <v/>
      </c>
      <c r="J852" s="106" t="str">
        <f>IFERROR(__xludf.DUMMYFUNCTION("""COMPUTED_VALUE"""),"")</f>
        <v/>
      </c>
      <c r="L852" s="136" t="str">
        <f>IFERROR(__xludf.DUMMYFUNCTION("""COMPUTED_VALUE"""),"")</f>
        <v/>
      </c>
      <c r="M852" s="106" t="str">
        <f>IFERROR(__xludf.DUMMYFUNCTION("""COMPUTED_VALUE"""),"")</f>
        <v/>
      </c>
      <c r="O852" s="136" t="str">
        <f>IFERROR(__xludf.DUMMYFUNCTION("""COMPUTED_VALUE"""),"")</f>
        <v/>
      </c>
      <c r="P852" s="106" t="str">
        <f>IFERROR(__xludf.DUMMYFUNCTION("""COMPUTED_VALUE"""),"")</f>
        <v/>
      </c>
      <c r="R852" s="136" t="str">
        <f>IFERROR(__xludf.DUMMYFUNCTION("""COMPUTED_VALUE"""),"")</f>
        <v/>
      </c>
      <c r="S852" s="106" t="str">
        <f>IFERROR(__xludf.DUMMYFUNCTION("""COMPUTED_VALUE"""),"")</f>
        <v/>
      </c>
    </row>
    <row r="853">
      <c r="A853" s="136" t="s">
        <v>133</v>
      </c>
      <c r="B853" s="136"/>
      <c r="C853" s="136" t="s">
        <v>133</v>
      </c>
      <c r="D853" s="136"/>
      <c r="E853" s="106"/>
      <c r="F853" s="136" t="str">
        <f>IFERROR(__xludf.DUMMYFUNCTION("""COMPUTED_VALUE"""),"")</f>
        <v/>
      </c>
      <c r="G853" s="106" t="str">
        <f>IFERROR(__xludf.DUMMYFUNCTION("""COMPUTED_VALUE"""),"")</f>
        <v/>
      </c>
      <c r="I853" s="136" t="str">
        <f>IFERROR(__xludf.DUMMYFUNCTION("""COMPUTED_VALUE"""),"")</f>
        <v/>
      </c>
      <c r="J853" s="106" t="str">
        <f>IFERROR(__xludf.DUMMYFUNCTION("""COMPUTED_VALUE"""),"")</f>
        <v/>
      </c>
      <c r="L853" s="136" t="str">
        <f>IFERROR(__xludf.DUMMYFUNCTION("""COMPUTED_VALUE"""),"")</f>
        <v/>
      </c>
      <c r="M853" s="106" t="str">
        <f>IFERROR(__xludf.DUMMYFUNCTION("""COMPUTED_VALUE"""),"")</f>
        <v/>
      </c>
      <c r="O853" s="136" t="str">
        <f>IFERROR(__xludf.DUMMYFUNCTION("""COMPUTED_VALUE"""),"")</f>
        <v/>
      </c>
      <c r="P853" s="106" t="str">
        <f>IFERROR(__xludf.DUMMYFUNCTION("""COMPUTED_VALUE"""),"")</f>
        <v/>
      </c>
      <c r="R853" s="136" t="str">
        <f>IFERROR(__xludf.DUMMYFUNCTION("""COMPUTED_VALUE"""),"")</f>
        <v/>
      </c>
      <c r="S853" s="106" t="str">
        <f>IFERROR(__xludf.DUMMYFUNCTION("""COMPUTED_VALUE"""),"")</f>
        <v/>
      </c>
    </row>
    <row r="854">
      <c r="A854" s="136" t="s">
        <v>133</v>
      </c>
      <c r="B854" s="136"/>
      <c r="C854" s="136" t="s">
        <v>133</v>
      </c>
      <c r="D854" s="136"/>
      <c r="E854" s="106"/>
      <c r="F854" s="136" t="str">
        <f>IFERROR(__xludf.DUMMYFUNCTION("""COMPUTED_VALUE"""),"")</f>
        <v/>
      </c>
      <c r="G854" s="106" t="str">
        <f>IFERROR(__xludf.DUMMYFUNCTION("""COMPUTED_VALUE"""),"")</f>
        <v/>
      </c>
      <c r="I854" s="136" t="str">
        <f>IFERROR(__xludf.DUMMYFUNCTION("""COMPUTED_VALUE"""),"")</f>
        <v/>
      </c>
      <c r="J854" s="106" t="str">
        <f>IFERROR(__xludf.DUMMYFUNCTION("""COMPUTED_VALUE"""),"")</f>
        <v/>
      </c>
      <c r="L854" s="136" t="str">
        <f>IFERROR(__xludf.DUMMYFUNCTION("""COMPUTED_VALUE"""),"")</f>
        <v/>
      </c>
      <c r="M854" s="106" t="str">
        <f>IFERROR(__xludf.DUMMYFUNCTION("""COMPUTED_VALUE"""),"")</f>
        <v/>
      </c>
      <c r="O854" s="136" t="str">
        <f>IFERROR(__xludf.DUMMYFUNCTION("""COMPUTED_VALUE"""),"")</f>
        <v/>
      </c>
      <c r="P854" s="106" t="str">
        <f>IFERROR(__xludf.DUMMYFUNCTION("""COMPUTED_VALUE"""),"")</f>
        <v/>
      </c>
      <c r="R854" s="136" t="str">
        <f>IFERROR(__xludf.DUMMYFUNCTION("""COMPUTED_VALUE"""),"")</f>
        <v/>
      </c>
      <c r="S854" s="106" t="str">
        <f>IFERROR(__xludf.DUMMYFUNCTION("""COMPUTED_VALUE"""),"")</f>
        <v/>
      </c>
    </row>
    <row r="855">
      <c r="A855" s="136" t="s">
        <v>133</v>
      </c>
      <c r="B855" s="136"/>
      <c r="C855" s="136" t="s">
        <v>133</v>
      </c>
      <c r="D855" s="136"/>
      <c r="E855" s="106"/>
      <c r="F855" s="136" t="str">
        <f>IFERROR(__xludf.DUMMYFUNCTION("""COMPUTED_VALUE"""),"")</f>
        <v/>
      </c>
      <c r="G855" s="106" t="str">
        <f>IFERROR(__xludf.DUMMYFUNCTION("""COMPUTED_VALUE"""),"")</f>
        <v/>
      </c>
      <c r="I855" s="136" t="str">
        <f>IFERROR(__xludf.DUMMYFUNCTION("""COMPUTED_VALUE"""),"")</f>
        <v/>
      </c>
      <c r="J855" s="106" t="str">
        <f>IFERROR(__xludf.DUMMYFUNCTION("""COMPUTED_VALUE"""),"")</f>
        <v/>
      </c>
      <c r="L855" s="136" t="str">
        <f>IFERROR(__xludf.DUMMYFUNCTION("""COMPUTED_VALUE"""),"")</f>
        <v/>
      </c>
      <c r="M855" s="106" t="str">
        <f>IFERROR(__xludf.DUMMYFUNCTION("""COMPUTED_VALUE"""),"")</f>
        <v/>
      </c>
      <c r="O855" s="136" t="str">
        <f>IFERROR(__xludf.DUMMYFUNCTION("""COMPUTED_VALUE"""),"")</f>
        <v/>
      </c>
      <c r="P855" s="106" t="str">
        <f>IFERROR(__xludf.DUMMYFUNCTION("""COMPUTED_VALUE"""),"")</f>
        <v/>
      </c>
      <c r="R855" s="136" t="str">
        <f>IFERROR(__xludf.DUMMYFUNCTION("""COMPUTED_VALUE"""),"")</f>
        <v/>
      </c>
      <c r="S855" s="106" t="str">
        <f>IFERROR(__xludf.DUMMYFUNCTION("""COMPUTED_VALUE"""),"")</f>
        <v/>
      </c>
    </row>
    <row r="856">
      <c r="A856" s="136" t="s">
        <v>133</v>
      </c>
      <c r="B856" s="136"/>
      <c r="C856" s="136" t="s">
        <v>133</v>
      </c>
      <c r="D856" s="136"/>
      <c r="E856" s="106"/>
      <c r="F856" s="136" t="str">
        <f>IFERROR(__xludf.DUMMYFUNCTION("""COMPUTED_VALUE"""),"")</f>
        <v/>
      </c>
      <c r="G856" s="106" t="str">
        <f>IFERROR(__xludf.DUMMYFUNCTION("""COMPUTED_VALUE"""),"")</f>
        <v/>
      </c>
      <c r="I856" s="136" t="str">
        <f>IFERROR(__xludf.DUMMYFUNCTION("""COMPUTED_VALUE"""),"")</f>
        <v/>
      </c>
      <c r="J856" s="106" t="str">
        <f>IFERROR(__xludf.DUMMYFUNCTION("""COMPUTED_VALUE"""),"")</f>
        <v/>
      </c>
      <c r="L856" s="136" t="str">
        <f>IFERROR(__xludf.DUMMYFUNCTION("""COMPUTED_VALUE"""),"")</f>
        <v/>
      </c>
      <c r="M856" s="106" t="str">
        <f>IFERROR(__xludf.DUMMYFUNCTION("""COMPUTED_VALUE"""),"")</f>
        <v/>
      </c>
      <c r="O856" s="136" t="str">
        <f>IFERROR(__xludf.DUMMYFUNCTION("""COMPUTED_VALUE"""),"")</f>
        <v/>
      </c>
      <c r="P856" s="106" t="str">
        <f>IFERROR(__xludf.DUMMYFUNCTION("""COMPUTED_VALUE"""),"")</f>
        <v/>
      </c>
      <c r="R856" s="136" t="str">
        <f>IFERROR(__xludf.DUMMYFUNCTION("""COMPUTED_VALUE"""),"")</f>
        <v/>
      </c>
      <c r="S856" s="106" t="str">
        <f>IFERROR(__xludf.DUMMYFUNCTION("""COMPUTED_VALUE"""),"")</f>
        <v/>
      </c>
    </row>
    <row r="857">
      <c r="A857" s="136" t="s">
        <v>133</v>
      </c>
      <c r="B857" s="136"/>
      <c r="C857" s="136" t="s">
        <v>133</v>
      </c>
      <c r="D857" s="136"/>
      <c r="E857" s="106"/>
      <c r="F857" s="136" t="str">
        <f>IFERROR(__xludf.DUMMYFUNCTION("""COMPUTED_VALUE"""),"")</f>
        <v/>
      </c>
      <c r="G857" s="106" t="str">
        <f>IFERROR(__xludf.DUMMYFUNCTION("""COMPUTED_VALUE"""),"")</f>
        <v/>
      </c>
      <c r="I857" s="136" t="str">
        <f>IFERROR(__xludf.DUMMYFUNCTION("""COMPUTED_VALUE"""),"")</f>
        <v/>
      </c>
      <c r="J857" s="106" t="str">
        <f>IFERROR(__xludf.DUMMYFUNCTION("""COMPUTED_VALUE"""),"")</f>
        <v/>
      </c>
      <c r="L857" s="136" t="str">
        <f>IFERROR(__xludf.DUMMYFUNCTION("""COMPUTED_VALUE"""),"")</f>
        <v/>
      </c>
      <c r="M857" s="106" t="str">
        <f>IFERROR(__xludf.DUMMYFUNCTION("""COMPUTED_VALUE"""),"")</f>
        <v/>
      </c>
      <c r="O857" s="136" t="str">
        <f>IFERROR(__xludf.DUMMYFUNCTION("""COMPUTED_VALUE"""),"")</f>
        <v/>
      </c>
      <c r="P857" s="106" t="str">
        <f>IFERROR(__xludf.DUMMYFUNCTION("""COMPUTED_VALUE"""),"")</f>
        <v/>
      </c>
      <c r="R857" s="136" t="str">
        <f>IFERROR(__xludf.DUMMYFUNCTION("""COMPUTED_VALUE"""),"")</f>
        <v/>
      </c>
      <c r="S857" s="106" t="str">
        <f>IFERROR(__xludf.DUMMYFUNCTION("""COMPUTED_VALUE"""),"")</f>
        <v/>
      </c>
    </row>
    <row r="858">
      <c r="A858" s="136" t="s">
        <v>133</v>
      </c>
      <c r="B858" s="136"/>
      <c r="C858" s="136" t="s">
        <v>133</v>
      </c>
      <c r="D858" s="136"/>
      <c r="E858" s="106"/>
      <c r="F858" s="136" t="str">
        <f>IFERROR(__xludf.DUMMYFUNCTION("""COMPUTED_VALUE"""),"")</f>
        <v/>
      </c>
      <c r="G858" s="106" t="str">
        <f>IFERROR(__xludf.DUMMYFUNCTION("""COMPUTED_VALUE"""),"")</f>
        <v/>
      </c>
      <c r="I858" s="136" t="str">
        <f>IFERROR(__xludf.DUMMYFUNCTION("""COMPUTED_VALUE"""),"")</f>
        <v/>
      </c>
      <c r="J858" s="106" t="str">
        <f>IFERROR(__xludf.DUMMYFUNCTION("""COMPUTED_VALUE"""),"")</f>
        <v/>
      </c>
      <c r="L858" s="136" t="str">
        <f>IFERROR(__xludf.DUMMYFUNCTION("""COMPUTED_VALUE"""),"")</f>
        <v/>
      </c>
      <c r="M858" s="106" t="str">
        <f>IFERROR(__xludf.DUMMYFUNCTION("""COMPUTED_VALUE"""),"")</f>
        <v/>
      </c>
      <c r="O858" s="136" t="str">
        <f>IFERROR(__xludf.DUMMYFUNCTION("""COMPUTED_VALUE"""),"")</f>
        <v/>
      </c>
      <c r="P858" s="106" t="str">
        <f>IFERROR(__xludf.DUMMYFUNCTION("""COMPUTED_VALUE"""),"")</f>
        <v/>
      </c>
      <c r="R858" s="136" t="str">
        <f>IFERROR(__xludf.DUMMYFUNCTION("""COMPUTED_VALUE"""),"")</f>
        <v/>
      </c>
      <c r="S858" s="106" t="str">
        <f>IFERROR(__xludf.DUMMYFUNCTION("""COMPUTED_VALUE"""),"")</f>
        <v/>
      </c>
    </row>
    <row r="859">
      <c r="A859" s="136" t="s">
        <v>133</v>
      </c>
      <c r="B859" s="136"/>
      <c r="C859" s="136" t="s">
        <v>133</v>
      </c>
      <c r="D859" s="136"/>
      <c r="E859" s="106"/>
      <c r="F859" s="136" t="str">
        <f>IFERROR(__xludf.DUMMYFUNCTION("""COMPUTED_VALUE"""),"")</f>
        <v/>
      </c>
      <c r="G859" s="106" t="str">
        <f>IFERROR(__xludf.DUMMYFUNCTION("""COMPUTED_VALUE"""),"")</f>
        <v/>
      </c>
      <c r="I859" s="136" t="str">
        <f>IFERROR(__xludf.DUMMYFUNCTION("""COMPUTED_VALUE"""),"")</f>
        <v/>
      </c>
      <c r="J859" s="106" t="str">
        <f>IFERROR(__xludf.DUMMYFUNCTION("""COMPUTED_VALUE"""),"")</f>
        <v/>
      </c>
      <c r="L859" s="136" t="str">
        <f>IFERROR(__xludf.DUMMYFUNCTION("""COMPUTED_VALUE"""),"")</f>
        <v/>
      </c>
      <c r="M859" s="106" t="str">
        <f>IFERROR(__xludf.DUMMYFUNCTION("""COMPUTED_VALUE"""),"")</f>
        <v/>
      </c>
      <c r="O859" s="136" t="str">
        <f>IFERROR(__xludf.DUMMYFUNCTION("""COMPUTED_VALUE"""),"")</f>
        <v/>
      </c>
      <c r="P859" s="106" t="str">
        <f>IFERROR(__xludf.DUMMYFUNCTION("""COMPUTED_VALUE"""),"")</f>
        <v/>
      </c>
      <c r="R859" s="136" t="str">
        <f>IFERROR(__xludf.DUMMYFUNCTION("""COMPUTED_VALUE"""),"")</f>
        <v/>
      </c>
      <c r="S859" s="106" t="str">
        <f>IFERROR(__xludf.DUMMYFUNCTION("""COMPUTED_VALUE"""),"")</f>
        <v/>
      </c>
    </row>
    <row r="860">
      <c r="A860" s="136" t="s">
        <v>133</v>
      </c>
      <c r="B860" s="136"/>
      <c r="C860" s="136" t="s">
        <v>133</v>
      </c>
      <c r="D860" s="136"/>
      <c r="E860" s="106"/>
      <c r="F860" s="136" t="str">
        <f>IFERROR(__xludf.DUMMYFUNCTION("""COMPUTED_VALUE"""),"")</f>
        <v/>
      </c>
      <c r="G860" s="106" t="str">
        <f>IFERROR(__xludf.DUMMYFUNCTION("""COMPUTED_VALUE"""),"")</f>
        <v/>
      </c>
      <c r="I860" s="136" t="str">
        <f>IFERROR(__xludf.DUMMYFUNCTION("""COMPUTED_VALUE"""),"")</f>
        <v/>
      </c>
      <c r="J860" s="106" t="str">
        <f>IFERROR(__xludf.DUMMYFUNCTION("""COMPUTED_VALUE"""),"")</f>
        <v/>
      </c>
      <c r="L860" s="136" t="str">
        <f>IFERROR(__xludf.DUMMYFUNCTION("""COMPUTED_VALUE"""),"")</f>
        <v/>
      </c>
      <c r="M860" s="106" t="str">
        <f>IFERROR(__xludf.DUMMYFUNCTION("""COMPUTED_VALUE"""),"")</f>
        <v/>
      </c>
      <c r="O860" s="136" t="str">
        <f>IFERROR(__xludf.DUMMYFUNCTION("""COMPUTED_VALUE"""),"")</f>
        <v/>
      </c>
      <c r="P860" s="106" t="str">
        <f>IFERROR(__xludf.DUMMYFUNCTION("""COMPUTED_VALUE"""),"")</f>
        <v/>
      </c>
      <c r="R860" s="136" t="str">
        <f>IFERROR(__xludf.DUMMYFUNCTION("""COMPUTED_VALUE"""),"")</f>
        <v/>
      </c>
      <c r="S860" s="106" t="str">
        <f>IFERROR(__xludf.DUMMYFUNCTION("""COMPUTED_VALUE"""),"")</f>
        <v/>
      </c>
    </row>
    <row r="861">
      <c r="A861" s="136" t="s">
        <v>133</v>
      </c>
      <c r="B861" s="136"/>
      <c r="C861" s="136" t="s">
        <v>133</v>
      </c>
      <c r="D861" s="136"/>
      <c r="E861" s="106"/>
      <c r="F861" s="136" t="str">
        <f>IFERROR(__xludf.DUMMYFUNCTION("""COMPUTED_VALUE"""),"")</f>
        <v/>
      </c>
      <c r="G861" s="106" t="str">
        <f>IFERROR(__xludf.DUMMYFUNCTION("""COMPUTED_VALUE"""),"")</f>
        <v/>
      </c>
      <c r="I861" s="136" t="str">
        <f>IFERROR(__xludf.DUMMYFUNCTION("""COMPUTED_VALUE"""),"")</f>
        <v/>
      </c>
      <c r="J861" s="106" t="str">
        <f>IFERROR(__xludf.DUMMYFUNCTION("""COMPUTED_VALUE"""),"")</f>
        <v/>
      </c>
      <c r="L861" s="136" t="str">
        <f>IFERROR(__xludf.DUMMYFUNCTION("""COMPUTED_VALUE"""),"")</f>
        <v/>
      </c>
      <c r="M861" s="106" t="str">
        <f>IFERROR(__xludf.DUMMYFUNCTION("""COMPUTED_VALUE"""),"")</f>
        <v/>
      </c>
      <c r="O861" s="136" t="str">
        <f>IFERROR(__xludf.DUMMYFUNCTION("""COMPUTED_VALUE"""),"")</f>
        <v/>
      </c>
      <c r="P861" s="106" t="str">
        <f>IFERROR(__xludf.DUMMYFUNCTION("""COMPUTED_VALUE"""),"")</f>
        <v/>
      </c>
      <c r="R861" s="136" t="str">
        <f>IFERROR(__xludf.DUMMYFUNCTION("""COMPUTED_VALUE"""),"")</f>
        <v/>
      </c>
      <c r="S861" s="106" t="str">
        <f>IFERROR(__xludf.DUMMYFUNCTION("""COMPUTED_VALUE"""),"")</f>
        <v/>
      </c>
    </row>
    <row r="862">
      <c r="A862" s="136" t="s">
        <v>133</v>
      </c>
      <c r="B862" s="136"/>
      <c r="C862" s="136" t="s">
        <v>133</v>
      </c>
      <c r="D862" s="136"/>
      <c r="E862" s="106"/>
      <c r="F862" s="136" t="str">
        <f>IFERROR(__xludf.DUMMYFUNCTION("""COMPUTED_VALUE"""),"")</f>
        <v/>
      </c>
      <c r="G862" s="106" t="str">
        <f>IFERROR(__xludf.DUMMYFUNCTION("""COMPUTED_VALUE"""),"")</f>
        <v/>
      </c>
      <c r="I862" s="136" t="str">
        <f>IFERROR(__xludf.DUMMYFUNCTION("""COMPUTED_VALUE"""),"")</f>
        <v/>
      </c>
      <c r="J862" s="106" t="str">
        <f>IFERROR(__xludf.DUMMYFUNCTION("""COMPUTED_VALUE"""),"")</f>
        <v/>
      </c>
      <c r="L862" s="136" t="str">
        <f>IFERROR(__xludf.DUMMYFUNCTION("""COMPUTED_VALUE"""),"")</f>
        <v/>
      </c>
      <c r="M862" s="106" t="str">
        <f>IFERROR(__xludf.DUMMYFUNCTION("""COMPUTED_VALUE"""),"")</f>
        <v/>
      </c>
      <c r="O862" s="136" t="str">
        <f>IFERROR(__xludf.DUMMYFUNCTION("""COMPUTED_VALUE"""),"")</f>
        <v/>
      </c>
      <c r="P862" s="106" t="str">
        <f>IFERROR(__xludf.DUMMYFUNCTION("""COMPUTED_VALUE"""),"")</f>
        <v/>
      </c>
      <c r="R862" s="136" t="str">
        <f>IFERROR(__xludf.DUMMYFUNCTION("""COMPUTED_VALUE"""),"")</f>
        <v/>
      </c>
      <c r="S862" s="106" t="str">
        <f>IFERROR(__xludf.DUMMYFUNCTION("""COMPUTED_VALUE"""),"")</f>
        <v/>
      </c>
    </row>
    <row r="863">
      <c r="A863" s="136" t="s">
        <v>133</v>
      </c>
      <c r="B863" s="136"/>
      <c r="C863" s="136" t="s">
        <v>133</v>
      </c>
      <c r="D863" s="136"/>
      <c r="E863" s="106"/>
      <c r="F863" s="136" t="str">
        <f>IFERROR(__xludf.DUMMYFUNCTION("""COMPUTED_VALUE"""),"")</f>
        <v/>
      </c>
      <c r="G863" s="106" t="str">
        <f>IFERROR(__xludf.DUMMYFUNCTION("""COMPUTED_VALUE"""),"")</f>
        <v/>
      </c>
      <c r="I863" s="136" t="str">
        <f>IFERROR(__xludf.DUMMYFUNCTION("""COMPUTED_VALUE"""),"")</f>
        <v/>
      </c>
      <c r="J863" s="106" t="str">
        <f>IFERROR(__xludf.DUMMYFUNCTION("""COMPUTED_VALUE"""),"")</f>
        <v/>
      </c>
      <c r="L863" s="136" t="str">
        <f>IFERROR(__xludf.DUMMYFUNCTION("""COMPUTED_VALUE"""),"")</f>
        <v/>
      </c>
      <c r="M863" s="106" t="str">
        <f>IFERROR(__xludf.DUMMYFUNCTION("""COMPUTED_VALUE"""),"")</f>
        <v/>
      </c>
      <c r="O863" s="136" t="str">
        <f>IFERROR(__xludf.DUMMYFUNCTION("""COMPUTED_VALUE"""),"")</f>
        <v/>
      </c>
      <c r="P863" s="106" t="str">
        <f>IFERROR(__xludf.DUMMYFUNCTION("""COMPUTED_VALUE"""),"")</f>
        <v/>
      </c>
      <c r="R863" s="136" t="str">
        <f>IFERROR(__xludf.DUMMYFUNCTION("""COMPUTED_VALUE"""),"")</f>
        <v/>
      </c>
      <c r="S863" s="106" t="str">
        <f>IFERROR(__xludf.DUMMYFUNCTION("""COMPUTED_VALUE"""),"")</f>
        <v/>
      </c>
    </row>
    <row r="864">
      <c r="A864" s="136" t="s">
        <v>133</v>
      </c>
      <c r="B864" s="136"/>
      <c r="C864" s="136" t="s">
        <v>133</v>
      </c>
      <c r="D864" s="136"/>
      <c r="E864" s="106"/>
      <c r="F864" s="136" t="str">
        <f>IFERROR(__xludf.DUMMYFUNCTION("""COMPUTED_VALUE"""),"")</f>
        <v/>
      </c>
      <c r="G864" s="106" t="str">
        <f>IFERROR(__xludf.DUMMYFUNCTION("""COMPUTED_VALUE"""),"")</f>
        <v/>
      </c>
      <c r="I864" s="136" t="str">
        <f>IFERROR(__xludf.DUMMYFUNCTION("""COMPUTED_VALUE"""),"")</f>
        <v/>
      </c>
      <c r="J864" s="106" t="str">
        <f>IFERROR(__xludf.DUMMYFUNCTION("""COMPUTED_VALUE"""),"")</f>
        <v/>
      </c>
      <c r="L864" s="136" t="str">
        <f>IFERROR(__xludf.DUMMYFUNCTION("""COMPUTED_VALUE"""),"")</f>
        <v/>
      </c>
      <c r="M864" s="106" t="str">
        <f>IFERROR(__xludf.DUMMYFUNCTION("""COMPUTED_VALUE"""),"")</f>
        <v/>
      </c>
      <c r="O864" s="136" t="str">
        <f>IFERROR(__xludf.DUMMYFUNCTION("""COMPUTED_VALUE"""),"")</f>
        <v/>
      </c>
      <c r="P864" s="106" t="str">
        <f>IFERROR(__xludf.DUMMYFUNCTION("""COMPUTED_VALUE"""),"")</f>
        <v/>
      </c>
      <c r="R864" s="136" t="str">
        <f>IFERROR(__xludf.DUMMYFUNCTION("""COMPUTED_VALUE"""),"")</f>
        <v/>
      </c>
      <c r="S864" s="106" t="str">
        <f>IFERROR(__xludf.DUMMYFUNCTION("""COMPUTED_VALUE"""),"")</f>
        <v/>
      </c>
    </row>
    <row r="865">
      <c r="A865" s="136" t="s">
        <v>133</v>
      </c>
      <c r="B865" s="136"/>
      <c r="C865" s="136" t="s">
        <v>133</v>
      </c>
      <c r="D865" s="136"/>
      <c r="E865" s="106"/>
      <c r="F865" s="136" t="str">
        <f>IFERROR(__xludf.DUMMYFUNCTION("""COMPUTED_VALUE"""),"")</f>
        <v/>
      </c>
      <c r="G865" s="106" t="str">
        <f>IFERROR(__xludf.DUMMYFUNCTION("""COMPUTED_VALUE"""),"")</f>
        <v/>
      </c>
      <c r="I865" s="136" t="str">
        <f>IFERROR(__xludf.DUMMYFUNCTION("""COMPUTED_VALUE"""),"")</f>
        <v/>
      </c>
      <c r="J865" s="106" t="str">
        <f>IFERROR(__xludf.DUMMYFUNCTION("""COMPUTED_VALUE"""),"")</f>
        <v/>
      </c>
      <c r="L865" s="136" t="str">
        <f>IFERROR(__xludf.DUMMYFUNCTION("""COMPUTED_VALUE"""),"")</f>
        <v/>
      </c>
      <c r="M865" s="106" t="str">
        <f>IFERROR(__xludf.DUMMYFUNCTION("""COMPUTED_VALUE"""),"")</f>
        <v/>
      </c>
      <c r="O865" s="136" t="str">
        <f>IFERROR(__xludf.DUMMYFUNCTION("""COMPUTED_VALUE"""),"")</f>
        <v/>
      </c>
      <c r="P865" s="106" t="str">
        <f>IFERROR(__xludf.DUMMYFUNCTION("""COMPUTED_VALUE"""),"")</f>
        <v/>
      </c>
      <c r="R865" s="136" t="str">
        <f>IFERROR(__xludf.DUMMYFUNCTION("""COMPUTED_VALUE"""),"")</f>
        <v/>
      </c>
      <c r="S865" s="106" t="str">
        <f>IFERROR(__xludf.DUMMYFUNCTION("""COMPUTED_VALUE"""),"")</f>
        <v/>
      </c>
    </row>
    <row r="866">
      <c r="A866" s="136" t="s">
        <v>133</v>
      </c>
      <c r="B866" s="136"/>
      <c r="C866" s="136" t="s">
        <v>133</v>
      </c>
      <c r="D866" s="136"/>
      <c r="E866" s="106"/>
      <c r="F866" s="136" t="str">
        <f>IFERROR(__xludf.DUMMYFUNCTION("""COMPUTED_VALUE"""),"")</f>
        <v/>
      </c>
      <c r="G866" s="106" t="str">
        <f>IFERROR(__xludf.DUMMYFUNCTION("""COMPUTED_VALUE"""),"")</f>
        <v/>
      </c>
      <c r="I866" s="136" t="str">
        <f>IFERROR(__xludf.DUMMYFUNCTION("""COMPUTED_VALUE"""),"")</f>
        <v/>
      </c>
      <c r="J866" s="106" t="str">
        <f>IFERROR(__xludf.DUMMYFUNCTION("""COMPUTED_VALUE"""),"")</f>
        <v/>
      </c>
      <c r="L866" s="136" t="str">
        <f>IFERROR(__xludf.DUMMYFUNCTION("""COMPUTED_VALUE"""),"")</f>
        <v/>
      </c>
      <c r="M866" s="106" t="str">
        <f>IFERROR(__xludf.DUMMYFUNCTION("""COMPUTED_VALUE"""),"")</f>
        <v/>
      </c>
      <c r="O866" s="136" t="str">
        <f>IFERROR(__xludf.DUMMYFUNCTION("""COMPUTED_VALUE"""),"")</f>
        <v/>
      </c>
      <c r="P866" s="106" t="str">
        <f>IFERROR(__xludf.DUMMYFUNCTION("""COMPUTED_VALUE"""),"")</f>
        <v/>
      </c>
      <c r="R866" s="136" t="str">
        <f>IFERROR(__xludf.DUMMYFUNCTION("""COMPUTED_VALUE"""),"")</f>
        <v/>
      </c>
      <c r="S866" s="106" t="str">
        <f>IFERROR(__xludf.DUMMYFUNCTION("""COMPUTED_VALUE"""),"")</f>
        <v/>
      </c>
    </row>
    <row r="867">
      <c r="A867" s="136" t="s">
        <v>133</v>
      </c>
      <c r="B867" s="136"/>
      <c r="C867" s="136" t="s">
        <v>133</v>
      </c>
      <c r="D867" s="136"/>
      <c r="E867" s="106"/>
      <c r="F867" s="136" t="str">
        <f>IFERROR(__xludf.DUMMYFUNCTION("""COMPUTED_VALUE"""),"")</f>
        <v/>
      </c>
      <c r="G867" s="106" t="str">
        <f>IFERROR(__xludf.DUMMYFUNCTION("""COMPUTED_VALUE"""),"")</f>
        <v/>
      </c>
      <c r="I867" s="136" t="str">
        <f>IFERROR(__xludf.DUMMYFUNCTION("""COMPUTED_VALUE"""),"")</f>
        <v/>
      </c>
      <c r="J867" s="106" t="str">
        <f>IFERROR(__xludf.DUMMYFUNCTION("""COMPUTED_VALUE"""),"")</f>
        <v/>
      </c>
      <c r="L867" s="136" t="str">
        <f>IFERROR(__xludf.DUMMYFUNCTION("""COMPUTED_VALUE"""),"")</f>
        <v/>
      </c>
      <c r="M867" s="106" t="str">
        <f>IFERROR(__xludf.DUMMYFUNCTION("""COMPUTED_VALUE"""),"")</f>
        <v/>
      </c>
      <c r="O867" s="136" t="str">
        <f>IFERROR(__xludf.DUMMYFUNCTION("""COMPUTED_VALUE"""),"")</f>
        <v/>
      </c>
      <c r="P867" s="106" t="str">
        <f>IFERROR(__xludf.DUMMYFUNCTION("""COMPUTED_VALUE"""),"")</f>
        <v/>
      </c>
      <c r="R867" s="136" t="str">
        <f>IFERROR(__xludf.DUMMYFUNCTION("""COMPUTED_VALUE"""),"")</f>
        <v/>
      </c>
      <c r="S867" s="106" t="str">
        <f>IFERROR(__xludf.DUMMYFUNCTION("""COMPUTED_VALUE"""),"")</f>
        <v/>
      </c>
    </row>
    <row r="868">
      <c r="A868" s="136" t="s">
        <v>133</v>
      </c>
      <c r="B868" s="136"/>
      <c r="C868" s="136" t="s">
        <v>133</v>
      </c>
      <c r="D868" s="136"/>
      <c r="E868" s="106"/>
      <c r="F868" s="136" t="str">
        <f>IFERROR(__xludf.DUMMYFUNCTION("""COMPUTED_VALUE"""),"")</f>
        <v/>
      </c>
      <c r="G868" s="106" t="str">
        <f>IFERROR(__xludf.DUMMYFUNCTION("""COMPUTED_VALUE"""),"")</f>
        <v/>
      </c>
      <c r="I868" s="136" t="str">
        <f>IFERROR(__xludf.DUMMYFUNCTION("""COMPUTED_VALUE"""),"")</f>
        <v/>
      </c>
      <c r="J868" s="106" t="str">
        <f>IFERROR(__xludf.DUMMYFUNCTION("""COMPUTED_VALUE"""),"")</f>
        <v/>
      </c>
      <c r="L868" s="136" t="str">
        <f>IFERROR(__xludf.DUMMYFUNCTION("""COMPUTED_VALUE"""),"")</f>
        <v/>
      </c>
      <c r="M868" s="106" t="str">
        <f>IFERROR(__xludf.DUMMYFUNCTION("""COMPUTED_VALUE"""),"")</f>
        <v/>
      </c>
      <c r="O868" s="136" t="str">
        <f>IFERROR(__xludf.DUMMYFUNCTION("""COMPUTED_VALUE"""),"")</f>
        <v/>
      </c>
      <c r="P868" s="106" t="str">
        <f>IFERROR(__xludf.DUMMYFUNCTION("""COMPUTED_VALUE"""),"")</f>
        <v/>
      </c>
      <c r="R868" s="136" t="str">
        <f>IFERROR(__xludf.DUMMYFUNCTION("""COMPUTED_VALUE"""),"")</f>
        <v/>
      </c>
      <c r="S868" s="106" t="str">
        <f>IFERROR(__xludf.DUMMYFUNCTION("""COMPUTED_VALUE"""),"")</f>
        <v/>
      </c>
    </row>
    <row r="869">
      <c r="A869" s="136" t="s">
        <v>133</v>
      </c>
      <c r="B869" s="136"/>
      <c r="C869" s="136" t="s">
        <v>133</v>
      </c>
      <c r="D869" s="136"/>
      <c r="E869" s="106"/>
      <c r="F869" s="136" t="str">
        <f>IFERROR(__xludf.DUMMYFUNCTION("""COMPUTED_VALUE"""),"")</f>
        <v/>
      </c>
      <c r="G869" s="106" t="str">
        <f>IFERROR(__xludf.DUMMYFUNCTION("""COMPUTED_VALUE"""),"")</f>
        <v/>
      </c>
      <c r="I869" s="136" t="str">
        <f>IFERROR(__xludf.DUMMYFUNCTION("""COMPUTED_VALUE"""),"")</f>
        <v/>
      </c>
      <c r="J869" s="106" t="str">
        <f>IFERROR(__xludf.DUMMYFUNCTION("""COMPUTED_VALUE"""),"")</f>
        <v/>
      </c>
      <c r="L869" s="136" t="str">
        <f>IFERROR(__xludf.DUMMYFUNCTION("""COMPUTED_VALUE"""),"")</f>
        <v/>
      </c>
      <c r="M869" s="106" t="str">
        <f>IFERROR(__xludf.DUMMYFUNCTION("""COMPUTED_VALUE"""),"")</f>
        <v/>
      </c>
      <c r="O869" s="136" t="str">
        <f>IFERROR(__xludf.DUMMYFUNCTION("""COMPUTED_VALUE"""),"")</f>
        <v/>
      </c>
      <c r="P869" s="106" t="str">
        <f>IFERROR(__xludf.DUMMYFUNCTION("""COMPUTED_VALUE"""),"")</f>
        <v/>
      </c>
      <c r="R869" s="136" t="str">
        <f>IFERROR(__xludf.DUMMYFUNCTION("""COMPUTED_VALUE"""),"")</f>
        <v/>
      </c>
      <c r="S869" s="106" t="str">
        <f>IFERROR(__xludf.DUMMYFUNCTION("""COMPUTED_VALUE"""),"")</f>
        <v/>
      </c>
    </row>
    <row r="870">
      <c r="A870" s="136" t="s">
        <v>133</v>
      </c>
      <c r="B870" s="136"/>
      <c r="C870" s="136" t="s">
        <v>133</v>
      </c>
      <c r="D870" s="136"/>
      <c r="E870" s="106"/>
      <c r="F870" s="136" t="str">
        <f>IFERROR(__xludf.DUMMYFUNCTION("""COMPUTED_VALUE"""),"")</f>
        <v/>
      </c>
      <c r="G870" s="106" t="str">
        <f>IFERROR(__xludf.DUMMYFUNCTION("""COMPUTED_VALUE"""),"")</f>
        <v/>
      </c>
      <c r="I870" s="136" t="str">
        <f>IFERROR(__xludf.DUMMYFUNCTION("""COMPUTED_VALUE"""),"")</f>
        <v/>
      </c>
      <c r="J870" s="106" t="str">
        <f>IFERROR(__xludf.DUMMYFUNCTION("""COMPUTED_VALUE"""),"")</f>
        <v/>
      </c>
      <c r="L870" s="136" t="str">
        <f>IFERROR(__xludf.DUMMYFUNCTION("""COMPUTED_VALUE"""),"")</f>
        <v/>
      </c>
      <c r="M870" s="106" t="str">
        <f>IFERROR(__xludf.DUMMYFUNCTION("""COMPUTED_VALUE"""),"")</f>
        <v/>
      </c>
      <c r="O870" s="136" t="str">
        <f>IFERROR(__xludf.DUMMYFUNCTION("""COMPUTED_VALUE"""),"")</f>
        <v/>
      </c>
      <c r="P870" s="106" t="str">
        <f>IFERROR(__xludf.DUMMYFUNCTION("""COMPUTED_VALUE"""),"")</f>
        <v/>
      </c>
      <c r="R870" s="136" t="str">
        <f>IFERROR(__xludf.DUMMYFUNCTION("""COMPUTED_VALUE"""),"")</f>
        <v/>
      </c>
      <c r="S870" s="106" t="str">
        <f>IFERROR(__xludf.DUMMYFUNCTION("""COMPUTED_VALUE"""),"")</f>
        <v/>
      </c>
    </row>
    <row r="871">
      <c r="A871" s="136" t="s">
        <v>133</v>
      </c>
      <c r="B871" s="136"/>
      <c r="C871" s="136" t="s">
        <v>133</v>
      </c>
      <c r="D871" s="136"/>
      <c r="E871" s="106"/>
      <c r="F871" s="136" t="str">
        <f>IFERROR(__xludf.DUMMYFUNCTION("""COMPUTED_VALUE"""),"")</f>
        <v/>
      </c>
      <c r="G871" s="106" t="str">
        <f>IFERROR(__xludf.DUMMYFUNCTION("""COMPUTED_VALUE"""),"")</f>
        <v/>
      </c>
      <c r="I871" s="136" t="str">
        <f>IFERROR(__xludf.DUMMYFUNCTION("""COMPUTED_VALUE"""),"")</f>
        <v/>
      </c>
      <c r="J871" s="106" t="str">
        <f>IFERROR(__xludf.DUMMYFUNCTION("""COMPUTED_VALUE"""),"")</f>
        <v/>
      </c>
      <c r="L871" s="136" t="str">
        <f>IFERROR(__xludf.DUMMYFUNCTION("""COMPUTED_VALUE"""),"")</f>
        <v/>
      </c>
      <c r="M871" s="106" t="str">
        <f>IFERROR(__xludf.DUMMYFUNCTION("""COMPUTED_VALUE"""),"")</f>
        <v/>
      </c>
      <c r="O871" s="136" t="str">
        <f>IFERROR(__xludf.DUMMYFUNCTION("""COMPUTED_VALUE"""),"")</f>
        <v/>
      </c>
      <c r="P871" s="106" t="str">
        <f>IFERROR(__xludf.DUMMYFUNCTION("""COMPUTED_VALUE"""),"")</f>
        <v/>
      </c>
      <c r="R871" s="136" t="str">
        <f>IFERROR(__xludf.DUMMYFUNCTION("""COMPUTED_VALUE"""),"")</f>
        <v/>
      </c>
      <c r="S871" s="106" t="str">
        <f>IFERROR(__xludf.DUMMYFUNCTION("""COMPUTED_VALUE"""),"")</f>
        <v/>
      </c>
    </row>
    <row r="872">
      <c r="A872" s="136" t="s">
        <v>133</v>
      </c>
      <c r="B872" s="136"/>
      <c r="C872" s="136" t="s">
        <v>133</v>
      </c>
      <c r="D872" s="136"/>
      <c r="E872" s="106"/>
      <c r="F872" s="136" t="str">
        <f>IFERROR(__xludf.DUMMYFUNCTION("""COMPUTED_VALUE"""),"")</f>
        <v/>
      </c>
      <c r="G872" s="106" t="str">
        <f>IFERROR(__xludf.DUMMYFUNCTION("""COMPUTED_VALUE"""),"")</f>
        <v/>
      </c>
      <c r="I872" s="136" t="str">
        <f>IFERROR(__xludf.DUMMYFUNCTION("""COMPUTED_VALUE"""),"")</f>
        <v/>
      </c>
      <c r="J872" s="106" t="str">
        <f>IFERROR(__xludf.DUMMYFUNCTION("""COMPUTED_VALUE"""),"")</f>
        <v/>
      </c>
      <c r="L872" s="136" t="str">
        <f>IFERROR(__xludf.DUMMYFUNCTION("""COMPUTED_VALUE"""),"")</f>
        <v/>
      </c>
      <c r="M872" s="106" t="str">
        <f>IFERROR(__xludf.DUMMYFUNCTION("""COMPUTED_VALUE"""),"")</f>
        <v/>
      </c>
      <c r="O872" s="136" t="str">
        <f>IFERROR(__xludf.DUMMYFUNCTION("""COMPUTED_VALUE"""),"")</f>
        <v/>
      </c>
      <c r="P872" s="106" t="str">
        <f>IFERROR(__xludf.DUMMYFUNCTION("""COMPUTED_VALUE"""),"")</f>
        <v/>
      </c>
      <c r="R872" s="136" t="str">
        <f>IFERROR(__xludf.DUMMYFUNCTION("""COMPUTED_VALUE"""),"")</f>
        <v/>
      </c>
      <c r="S872" s="106" t="str">
        <f>IFERROR(__xludf.DUMMYFUNCTION("""COMPUTED_VALUE"""),"")</f>
        <v/>
      </c>
    </row>
    <row r="873">
      <c r="A873" s="136" t="s">
        <v>133</v>
      </c>
      <c r="B873" s="136"/>
      <c r="C873" s="136" t="s">
        <v>133</v>
      </c>
      <c r="D873" s="136"/>
      <c r="E873" s="106"/>
      <c r="F873" s="136" t="str">
        <f>IFERROR(__xludf.DUMMYFUNCTION("""COMPUTED_VALUE"""),"")</f>
        <v/>
      </c>
      <c r="G873" s="106" t="str">
        <f>IFERROR(__xludf.DUMMYFUNCTION("""COMPUTED_VALUE"""),"")</f>
        <v/>
      </c>
      <c r="I873" s="136" t="str">
        <f>IFERROR(__xludf.DUMMYFUNCTION("""COMPUTED_VALUE"""),"")</f>
        <v/>
      </c>
      <c r="J873" s="106" t="str">
        <f>IFERROR(__xludf.DUMMYFUNCTION("""COMPUTED_VALUE"""),"")</f>
        <v/>
      </c>
      <c r="L873" s="136" t="str">
        <f>IFERROR(__xludf.DUMMYFUNCTION("""COMPUTED_VALUE"""),"")</f>
        <v/>
      </c>
      <c r="M873" s="106" t="str">
        <f>IFERROR(__xludf.DUMMYFUNCTION("""COMPUTED_VALUE"""),"")</f>
        <v/>
      </c>
      <c r="O873" s="136" t="str">
        <f>IFERROR(__xludf.DUMMYFUNCTION("""COMPUTED_VALUE"""),"")</f>
        <v/>
      </c>
      <c r="P873" s="106" t="str">
        <f>IFERROR(__xludf.DUMMYFUNCTION("""COMPUTED_VALUE"""),"")</f>
        <v/>
      </c>
      <c r="R873" s="136" t="str">
        <f>IFERROR(__xludf.DUMMYFUNCTION("""COMPUTED_VALUE"""),"")</f>
        <v/>
      </c>
      <c r="S873" s="106" t="str">
        <f>IFERROR(__xludf.DUMMYFUNCTION("""COMPUTED_VALUE"""),"")</f>
        <v/>
      </c>
    </row>
    <row r="874">
      <c r="A874" s="136" t="s">
        <v>133</v>
      </c>
      <c r="B874" s="136"/>
      <c r="C874" s="136" t="s">
        <v>133</v>
      </c>
      <c r="D874" s="136"/>
      <c r="E874" s="106"/>
      <c r="F874" s="136" t="str">
        <f>IFERROR(__xludf.DUMMYFUNCTION("""COMPUTED_VALUE"""),"")</f>
        <v/>
      </c>
      <c r="G874" s="106" t="str">
        <f>IFERROR(__xludf.DUMMYFUNCTION("""COMPUTED_VALUE"""),"")</f>
        <v/>
      </c>
      <c r="I874" s="136" t="str">
        <f>IFERROR(__xludf.DUMMYFUNCTION("""COMPUTED_VALUE"""),"")</f>
        <v/>
      </c>
      <c r="J874" s="106" t="str">
        <f>IFERROR(__xludf.DUMMYFUNCTION("""COMPUTED_VALUE"""),"")</f>
        <v/>
      </c>
      <c r="L874" s="136" t="str">
        <f>IFERROR(__xludf.DUMMYFUNCTION("""COMPUTED_VALUE"""),"")</f>
        <v/>
      </c>
      <c r="M874" s="106" t="str">
        <f>IFERROR(__xludf.DUMMYFUNCTION("""COMPUTED_VALUE"""),"")</f>
        <v/>
      </c>
      <c r="O874" s="136" t="str">
        <f>IFERROR(__xludf.DUMMYFUNCTION("""COMPUTED_VALUE"""),"")</f>
        <v/>
      </c>
      <c r="P874" s="106" t="str">
        <f>IFERROR(__xludf.DUMMYFUNCTION("""COMPUTED_VALUE"""),"")</f>
        <v/>
      </c>
      <c r="R874" s="136" t="str">
        <f>IFERROR(__xludf.DUMMYFUNCTION("""COMPUTED_VALUE"""),"")</f>
        <v/>
      </c>
      <c r="S874" s="106" t="str">
        <f>IFERROR(__xludf.DUMMYFUNCTION("""COMPUTED_VALUE"""),"")</f>
        <v/>
      </c>
    </row>
    <row r="875">
      <c r="A875" s="136" t="s">
        <v>133</v>
      </c>
      <c r="B875" s="136"/>
      <c r="C875" s="136" t="s">
        <v>133</v>
      </c>
      <c r="D875" s="136"/>
      <c r="E875" s="106"/>
      <c r="F875" s="136" t="str">
        <f>IFERROR(__xludf.DUMMYFUNCTION("""COMPUTED_VALUE"""),"")</f>
        <v/>
      </c>
      <c r="G875" s="106" t="str">
        <f>IFERROR(__xludf.DUMMYFUNCTION("""COMPUTED_VALUE"""),"")</f>
        <v/>
      </c>
      <c r="I875" s="136" t="str">
        <f>IFERROR(__xludf.DUMMYFUNCTION("""COMPUTED_VALUE"""),"")</f>
        <v/>
      </c>
      <c r="J875" s="106" t="str">
        <f>IFERROR(__xludf.DUMMYFUNCTION("""COMPUTED_VALUE"""),"")</f>
        <v/>
      </c>
      <c r="L875" s="136" t="str">
        <f>IFERROR(__xludf.DUMMYFUNCTION("""COMPUTED_VALUE"""),"")</f>
        <v/>
      </c>
      <c r="M875" s="106" t="str">
        <f>IFERROR(__xludf.DUMMYFUNCTION("""COMPUTED_VALUE"""),"")</f>
        <v/>
      </c>
      <c r="O875" s="136" t="str">
        <f>IFERROR(__xludf.DUMMYFUNCTION("""COMPUTED_VALUE"""),"")</f>
        <v/>
      </c>
      <c r="P875" s="106" t="str">
        <f>IFERROR(__xludf.DUMMYFUNCTION("""COMPUTED_VALUE"""),"")</f>
        <v/>
      </c>
      <c r="R875" s="136" t="str">
        <f>IFERROR(__xludf.DUMMYFUNCTION("""COMPUTED_VALUE"""),"")</f>
        <v/>
      </c>
      <c r="S875" s="106" t="str">
        <f>IFERROR(__xludf.DUMMYFUNCTION("""COMPUTED_VALUE"""),"")</f>
        <v/>
      </c>
    </row>
    <row r="876">
      <c r="A876" s="136" t="s">
        <v>133</v>
      </c>
      <c r="B876" s="136"/>
      <c r="C876" s="136" t="s">
        <v>133</v>
      </c>
      <c r="D876" s="136"/>
      <c r="E876" s="106"/>
      <c r="F876" s="136" t="str">
        <f>IFERROR(__xludf.DUMMYFUNCTION("""COMPUTED_VALUE"""),"")</f>
        <v/>
      </c>
      <c r="G876" s="106" t="str">
        <f>IFERROR(__xludf.DUMMYFUNCTION("""COMPUTED_VALUE"""),"")</f>
        <v/>
      </c>
      <c r="I876" s="136" t="str">
        <f>IFERROR(__xludf.DUMMYFUNCTION("""COMPUTED_VALUE"""),"")</f>
        <v/>
      </c>
      <c r="J876" s="106" t="str">
        <f>IFERROR(__xludf.DUMMYFUNCTION("""COMPUTED_VALUE"""),"")</f>
        <v/>
      </c>
      <c r="L876" s="136" t="str">
        <f>IFERROR(__xludf.DUMMYFUNCTION("""COMPUTED_VALUE"""),"")</f>
        <v/>
      </c>
      <c r="M876" s="106" t="str">
        <f>IFERROR(__xludf.DUMMYFUNCTION("""COMPUTED_VALUE"""),"")</f>
        <v/>
      </c>
      <c r="O876" s="136" t="str">
        <f>IFERROR(__xludf.DUMMYFUNCTION("""COMPUTED_VALUE"""),"")</f>
        <v/>
      </c>
      <c r="P876" s="106" t="str">
        <f>IFERROR(__xludf.DUMMYFUNCTION("""COMPUTED_VALUE"""),"")</f>
        <v/>
      </c>
      <c r="R876" s="136" t="str">
        <f>IFERROR(__xludf.DUMMYFUNCTION("""COMPUTED_VALUE"""),"")</f>
        <v/>
      </c>
      <c r="S876" s="106" t="str">
        <f>IFERROR(__xludf.DUMMYFUNCTION("""COMPUTED_VALUE"""),"")</f>
        <v/>
      </c>
    </row>
    <row r="877">
      <c r="A877" s="136" t="s">
        <v>133</v>
      </c>
      <c r="B877" s="136"/>
      <c r="C877" s="136" t="s">
        <v>133</v>
      </c>
      <c r="D877" s="136"/>
      <c r="E877" s="106"/>
      <c r="F877" s="136" t="str">
        <f>IFERROR(__xludf.DUMMYFUNCTION("""COMPUTED_VALUE"""),"")</f>
        <v/>
      </c>
      <c r="G877" s="106" t="str">
        <f>IFERROR(__xludf.DUMMYFUNCTION("""COMPUTED_VALUE"""),"")</f>
        <v/>
      </c>
      <c r="I877" s="136" t="str">
        <f>IFERROR(__xludf.DUMMYFUNCTION("""COMPUTED_VALUE"""),"")</f>
        <v/>
      </c>
      <c r="J877" s="106" t="str">
        <f>IFERROR(__xludf.DUMMYFUNCTION("""COMPUTED_VALUE"""),"")</f>
        <v/>
      </c>
      <c r="L877" s="136" t="str">
        <f>IFERROR(__xludf.DUMMYFUNCTION("""COMPUTED_VALUE"""),"")</f>
        <v/>
      </c>
      <c r="M877" s="106" t="str">
        <f>IFERROR(__xludf.DUMMYFUNCTION("""COMPUTED_VALUE"""),"")</f>
        <v/>
      </c>
      <c r="O877" s="136" t="str">
        <f>IFERROR(__xludf.DUMMYFUNCTION("""COMPUTED_VALUE"""),"")</f>
        <v/>
      </c>
      <c r="P877" s="106" t="str">
        <f>IFERROR(__xludf.DUMMYFUNCTION("""COMPUTED_VALUE"""),"")</f>
        <v/>
      </c>
      <c r="R877" s="136" t="str">
        <f>IFERROR(__xludf.DUMMYFUNCTION("""COMPUTED_VALUE"""),"")</f>
        <v/>
      </c>
      <c r="S877" s="106" t="str">
        <f>IFERROR(__xludf.DUMMYFUNCTION("""COMPUTED_VALUE"""),"")</f>
        <v/>
      </c>
    </row>
    <row r="878">
      <c r="A878" s="136" t="s">
        <v>133</v>
      </c>
      <c r="B878" s="136"/>
      <c r="C878" s="136" t="s">
        <v>133</v>
      </c>
      <c r="D878" s="136"/>
      <c r="E878" s="106"/>
      <c r="F878" s="136" t="str">
        <f>IFERROR(__xludf.DUMMYFUNCTION("""COMPUTED_VALUE"""),"")</f>
        <v/>
      </c>
      <c r="G878" s="106" t="str">
        <f>IFERROR(__xludf.DUMMYFUNCTION("""COMPUTED_VALUE"""),"")</f>
        <v/>
      </c>
      <c r="I878" s="136" t="str">
        <f>IFERROR(__xludf.DUMMYFUNCTION("""COMPUTED_VALUE"""),"")</f>
        <v/>
      </c>
      <c r="J878" s="106" t="str">
        <f>IFERROR(__xludf.DUMMYFUNCTION("""COMPUTED_VALUE"""),"")</f>
        <v/>
      </c>
      <c r="L878" s="136" t="str">
        <f>IFERROR(__xludf.DUMMYFUNCTION("""COMPUTED_VALUE"""),"")</f>
        <v/>
      </c>
      <c r="M878" s="106" t="str">
        <f>IFERROR(__xludf.DUMMYFUNCTION("""COMPUTED_VALUE"""),"")</f>
        <v/>
      </c>
      <c r="O878" s="136" t="str">
        <f>IFERROR(__xludf.DUMMYFUNCTION("""COMPUTED_VALUE"""),"")</f>
        <v/>
      </c>
      <c r="P878" s="106" t="str">
        <f>IFERROR(__xludf.DUMMYFUNCTION("""COMPUTED_VALUE"""),"")</f>
        <v/>
      </c>
      <c r="R878" s="136" t="str">
        <f>IFERROR(__xludf.DUMMYFUNCTION("""COMPUTED_VALUE"""),"")</f>
        <v/>
      </c>
      <c r="S878" s="106" t="str">
        <f>IFERROR(__xludf.DUMMYFUNCTION("""COMPUTED_VALUE"""),"")</f>
        <v/>
      </c>
    </row>
    <row r="879">
      <c r="A879" s="136" t="s">
        <v>133</v>
      </c>
      <c r="B879" s="136"/>
      <c r="C879" s="136" t="s">
        <v>133</v>
      </c>
      <c r="D879" s="136"/>
      <c r="E879" s="106"/>
      <c r="F879" s="136" t="str">
        <f>IFERROR(__xludf.DUMMYFUNCTION("""COMPUTED_VALUE"""),"")</f>
        <v/>
      </c>
      <c r="G879" s="106" t="str">
        <f>IFERROR(__xludf.DUMMYFUNCTION("""COMPUTED_VALUE"""),"")</f>
        <v/>
      </c>
      <c r="I879" s="136" t="str">
        <f>IFERROR(__xludf.DUMMYFUNCTION("""COMPUTED_VALUE"""),"")</f>
        <v/>
      </c>
      <c r="J879" s="106" t="str">
        <f>IFERROR(__xludf.DUMMYFUNCTION("""COMPUTED_VALUE"""),"")</f>
        <v/>
      </c>
      <c r="L879" s="136" t="str">
        <f>IFERROR(__xludf.DUMMYFUNCTION("""COMPUTED_VALUE"""),"")</f>
        <v/>
      </c>
      <c r="M879" s="106" t="str">
        <f>IFERROR(__xludf.DUMMYFUNCTION("""COMPUTED_VALUE"""),"")</f>
        <v/>
      </c>
      <c r="O879" s="136" t="str">
        <f>IFERROR(__xludf.DUMMYFUNCTION("""COMPUTED_VALUE"""),"")</f>
        <v/>
      </c>
      <c r="P879" s="106" t="str">
        <f>IFERROR(__xludf.DUMMYFUNCTION("""COMPUTED_VALUE"""),"")</f>
        <v/>
      </c>
      <c r="R879" s="136" t="str">
        <f>IFERROR(__xludf.DUMMYFUNCTION("""COMPUTED_VALUE"""),"")</f>
        <v/>
      </c>
      <c r="S879" s="106" t="str">
        <f>IFERROR(__xludf.DUMMYFUNCTION("""COMPUTED_VALUE"""),"")</f>
        <v/>
      </c>
    </row>
    <row r="880">
      <c r="A880" s="136" t="s">
        <v>133</v>
      </c>
      <c r="B880" s="136"/>
      <c r="C880" s="136" t="s">
        <v>133</v>
      </c>
      <c r="D880" s="136"/>
      <c r="E880" s="106"/>
      <c r="F880" s="136" t="str">
        <f>IFERROR(__xludf.DUMMYFUNCTION("""COMPUTED_VALUE"""),"")</f>
        <v/>
      </c>
      <c r="G880" s="106" t="str">
        <f>IFERROR(__xludf.DUMMYFUNCTION("""COMPUTED_VALUE"""),"")</f>
        <v/>
      </c>
      <c r="I880" s="136" t="str">
        <f>IFERROR(__xludf.DUMMYFUNCTION("""COMPUTED_VALUE"""),"")</f>
        <v/>
      </c>
      <c r="J880" s="106" t="str">
        <f>IFERROR(__xludf.DUMMYFUNCTION("""COMPUTED_VALUE"""),"")</f>
        <v/>
      </c>
      <c r="L880" s="136" t="str">
        <f>IFERROR(__xludf.DUMMYFUNCTION("""COMPUTED_VALUE"""),"")</f>
        <v/>
      </c>
      <c r="M880" s="106" t="str">
        <f>IFERROR(__xludf.DUMMYFUNCTION("""COMPUTED_VALUE"""),"")</f>
        <v/>
      </c>
      <c r="O880" s="136" t="str">
        <f>IFERROR(__xludf.DUMMYFUNCTION("""COMPUTED_VALUE"""),"")</f>
        <v/>
      </c>
      <c r="P880" s="106" t="str">
        <f>IFERROR(__xludf.DUMMYFUNCTION("""COMPUTED_VALUE"""),"")</f>
        <v/>
      </c>
      <c r="R880" s="136" t="str">
        <f>IFERROR(__xludf.DUMMYFUNCTION("""COMPUTED_VALUE"""),"")</f>
        <v/>
      </c>
      <c r="S880" s="106" t="str">
        <f>IFERROR(__xludf.DUMMYFUNCTION("""COMPUTED_VALUE"""),"")</f>
        <v/>
      </c>
    </row>
    <row r="881">
      <c r="A881" s="136" t="s">
        <v>133</v>
      </c>
      <c r="B881" s="136"/>
      <c r="C881" s="136" t="s">
        <v>133</v>
      </c>
      <c r="D881" s="136"/>
      <c r="E881" s="106"/>
      <c r="F881" s="136" t="str">
        <f>IFERROR(__xludf.DUMMYFUNCTION("""COMPUTED_VALUE"""),"")</f>
        <v/>
      </c>
      <c r="G881" s="106" t="str">
        <f>IFERROR(__xludf.DUMMYFUNCTION("""COMPUTED_VALUE"""),"")</f>
        <v/>
      </c>
      <c r="I881" s="136" t="str">
        <f>IFERROR(__xludf.DUMMYFUNCTION("""COMPUTED_VALUE"""),"")</f>
        <v/>
      </c>
      <c r="J881" s="106" t="str">
        <f>IFERROR(__xludf.DUMMYFUNCTION("""COMPUTED_VALUE"""),"")</f>
        <v/>
      </c>
      <c r="L881" s="136" t="str">
        <f>IFERROR(__xludf.DUMMYFUNCTION("""COMPUTED_VALUE"""),"")</f>
        <v/>
      </c>
      <c r="M881" s="106" t="str">
        <f>IFERROR(__xludf.DUMMYFUNCTION("""COMPUTED_VALUE"""),"")</f>
        <v/>
      </c>
      <c r="O881" s="136" t="str">
        <f>IFERROR(__xludf.DUMMYFUNCTION("""COMPUTED_VALUE"""),"")</f>
        <v/>
      </c>
      <c r="P881" s="106" t="str">
        <f>IFERROR(__xludf.DUMMYFUNCTION("""COMPUTED_VALUE"""),"")</f>
        <v/>
      </c>
      <c r="R881" s="136" t="str">
        <f>IFERROR(__xludf.DUMMYFUNCTION("""COMPUTED_VALUE"""),"")</f>
        <v/>
      </c>
      <c r="S881" s="106" t="str">
        <f>IFERROR(__xludf.DUMMYFUNCTION("""COMPUTED_VALUE"""),"")</f>
        <v/>
      </c>
    </row>
    <row r="882">
      <c r="A882" s="136" t="s">
        <v>133</v>
      </c>
      <c r="B882" s="136"/>
      <c r="C882" s="136" t="s">
        <v>133</v>
      </c>
      <c r="D882" s="136"/>
      <c r="E882" s="106"/>
      <c r="F882" s="136" t="str">
        <f>IFERROR(__xludf.DUMMYFUNCTION("""COMPUTED_VALUE"""),"")</f>
        <v/>
      </c>
      <c r="G882" s="106" t="str">
        <f>IFERROR(__xludf.DUMMYFUNCTION("""COMPUTED_VALUE"""),"")</f>
        <v/>
      </c>
      <c r="I882" s="136" t="str">
        <f>IFERROR(__xludf.DUMMYFUNCTION("""COMPUTED_VALUE"""),"")</f>
        <v/>
      </c>
      <c r="J882" s="106" t="str">
        <f>IFERROR(__xludf.DUMMYFUNCTION("""COMPUTED_VALUE"""),"")</f>
        <v/>
      </c>
      <c r="L882" s="136" t="str">
        <f>IFERROR(__xludf.DUMMYFUNCTION("""COMPUTED_VALUE"""),"")</f>
        <v/>
      </c>
      <c r="M882" s="106" t="str">
        <f>IFERROR(__xludf.DUMMYFUNCTION("""COMPUTED_VALUE"""),"")</f>
        <v/>
      </c>
      <c r="O882" s="136" t="str">
        <f>IFERROR(__xludf.DUMMYFUNCTION("""COMPUTED_VALUE"""),"")</f>
        <v/>
      </c>
      <c r="P882" s="106" t="str">
        <f>IFERROR(__xludf.DUMMYFUNCTION("""COMPUTED_VALUE"""),"")</f>
        <v/>
      </c>
      <c r="R882" s="136" t="str">
        <f>IFERROR(__xludf.DUMMYFUNCTION("""COMPUTED_VALUE"""),"")</f>
        <v/>
      </c>
      <c r="S882" s="106" t="str">
        <f>IFERROR(__xludf.DUMMYFUNCTION("""COMPUTED_VALUE"""),"")</f>
        <v/>
      </c>
    </row>
    <row r="883">
      <c r="A883" s="136" t="s">
        <v>133</v>
      </c>
      <c r="B883" s="136"/>
      <c r="C883" s="136" t="s">
        <v>133</v>
      </c>
      <c r="D883" s="136"/>
      <c r="E883" s="106"/>
      <c r="F883" s="136" t="str">
        <f>IFERROR(__xludf.DUMMYFUNCTION("""COMPUTED_VALUE"""),"")</f>
        <v/>
      </c>
      <c r="G883" s="106" t="str">
        <f>IFERROR(__xludf.DUMMYFUNCTION("""COMPUTED_VALUE"""),"")</f>
        <v/>
      </c>
      <c r="I883" s="136" t="str">
        <f>IFERROR(__xludf.DUMMYFUNCTION("""COMPUTED_VALUE"""),"")</f>
        <v/>
      </c>
      <c r="J883" s="106" t="str">
        <f>IFERROR(__xludf.DUMMYFUNCTION("""COMPUTED_VALUE"""),"")</f>
        <v/>
      </c>
      <c r="L883" s="136" t="str">
        <f>IFERROR(__xludf.DUMMYFUNCTION("""COMPUTED_VALUE"""),"")</f>
        <v/>
      </c>
      <c r="M883" s="106" t="str">
        <f>IFERROR(__xludf.DUMMYFUNCTION("""COMPUTED_VALUE"""),"")</f>
        <v/>
      </c>
      <c r="O883" s="136" t="str">
        <f>IFERROR(__xludf.DUMMYFUNCTION("""COMPUTED_VALUE"""),"")</f>
        <v/>
      </c>
      <c r="P883" s="106" t="str">
        <f>IFERROR(__xludf.DUMMYFUNCTION("""COMPUTED_VALUE"""),"")</f>
        <v/>
      </c>
      <c r="R883" s="136" t="str">
        <f>IFERROR(__xludf.DUMMYFUNCTION("""COMPUTED_VALUE"""),"")</f>
        <v/>
      </c>
      <c r="S883" s="106" t="str">
        <f>IFERROR(__xludf.DUMMYFUNCTION("""COMPUTED_VALUE"""),"")</f>
        <v/>
      </c>
    </row>
    <row r="884">
      <c r="A884" s="136" t="s">
        <v>133</v>
      </c>
      <c r="B884" s="136"/>
      <c r="C884" s="136" t="s">
        <v>133</v>
      </c>
      <c r="D884" s="136"/>
      <c r="E884" s="106"/>
      <c r="F884" s="136" t="str">
        <f>IFERROR(__xludf.DUMMYFUNCTION("""COMPUTED_VALUE"""),"")</f>
        <v/>
      </c>
      <c r="G884" s="106" t="str">
        <f>IFERROR(__xludf.DUMMYFUNCTION("""COMPUTED_VALUE"""),"")</f>
        <v/>
      </c>
      <c r="I884" s="136" t="str">
        <f>IFERROR(__xludf.DUMMYFUNCTION("""COMPUTED_VALUE"""),"")</f>
        <v/>
      </c>
      <c r="J884" s="106" t="str">
        <f>IFERROR(__xludf.DUMMYFUNCTION("""COMPUTED_VALUE"""),"")</f>
        <v/>
      </c>
      <c r="L884" s="136" t="str">
        <f>IFERROR(__xludf.DUMMYFUNCTION("""COMPUTED_VALUE"""),"")</f>
        <v/>
      </c>
      <c r="M884" s="106" t="str">
        <f>IFERROR(__xludf.DUMMYFUNCTION("""COMPUTED_VALUE"""),"")</f>
        <v/>
      </c>
      <c r="O884" s="136" t="str">
        <f>IFERROR(__xludf.DUMMYFUNCTION("""COMPUTED_VALUE"""),"")</f>
        <v/>
      </c>
      <c r="P884" s="106" t="str">
        <f>IFERROR(__xludf.DUMMYFUNCTION("""COMPUTED_VALUE"""),"")</f>
        <v/>
      </c>
      <c r="R884" s="136" t="str">
        <f>IFERROR(__xludf.DUMMYFUNCTION("""COMPUTED_VALUE"""),"")</f>
        <v/>
      </c>
      <c r="S884" s="106" t="str">
        <f>IFERROR(__xludf.DUMMYFUNCTION("""COMPUTED_VALUE"""),"")</f>
        <v/>
      </c>
    </row>
    <row r="885">
      <c r="A885" s="136" t="s">
        <v>133</v>
      </c>
      <c r="B885" s="136"/>
      <c r="C885" s="136" t="s">
        <v>133</v>
      </c>
      <c r="D885" s="136"/>
      <c r="E885" s="106"/>
      <c r="F885" s="136" t="str">
        <f>IFERROR(__xludf.DUMMYFUNCTION("""COMPUTED_VALUE"""),"")</f>
        <v/>
      </c>
      <c r="G885" s="106" t="str">
        <f>IFERROR(__xludf.DUMMYFUNCTION("""COMPUTED_VALUE"""),"")</f>
        <v/>
      </c>
      <c r="I885" s="136" t="str">
        <f>IFERROR(__xludf.DUMMYFUNCTION("""COMPUTED_VALUE"""),"")</f>
        <v/>
      </c>
      <c r="J885" s="106" t="str">
        <f>IFERROR(__xludf.DUMMYFUNCTION("""COMPUTED_VALUE"""),"")</f>
        <v/>
      </c>
      <c r="L885" s="136" t="str">
        <f>IFERROR(__xludf.DUMMYFUNCTION("""COMPUTED_VALUE"""),"")</f>
        <v/>
      </c>
      <c r="M885" s="106" t="str">
        <f>IFERROR(__xludf.DUMMYFUNCTION("""COMPUTED_VALUE"""),"")</f>
        <v/>
      </c>
      <c r="O885" s="136" t="str">
        <f>IFERROR(__xludf.DUMMYFUNCTION("""COMPUTED_VALUE"""),"")</f>
        <v/>
      </c>
      <c r="P885" s="106" t="str">
        <f>IFERROR(__xludf.DUMMYFUNCTION("""COMPUTED_VALUE"""),"")</f>
        <v/>
      </c>
      <c r="R885" s="136" t="str">
        <f>IFERROR(__xludf.DUMMYFUNCTION("""COMPUTED_VALUE"""),"")</f>
        <v/>
      </c>
      <c r="S885" s="106" t="str">
        <f>IFERROR(__xludf.DUMMYFUNCTION("""COMPUTED_VALUE"""),"")</f>
        <v/>
      </c>
    </row>
    <row r="886">
      <c r="A886" s="136" t="s">
        <v>133</v>
      </c>
      <c r="B886" s="136"/>
      <c r="C886" s="136" t="s">
        <v>133</v>
      </c>
      <c r="D886" s="136"/>
      <c r="E886" s="106"/>
      <c r="F886" s="136" t="str">
        <f>IFERROR(__xludf.DUMMYFUNCTION("""COMPUTED_VALUE"""),"")</f>
        <v/>
      </c>
      <c r="G886" s="106" t="str">
        <f>IFERROR(__xludf.DUMMYFUNCTION("""COMPUTED_VALUE"""),"")</f>
        <v/>
      </c>
      <c r="I886" s="136" t="str">
        <f>IFERROR(__xludf.DUMMYFUNCTION("""COMPUTED_VALUE"""),"")</f>
        <v/>
      </c>
      <c r="J886" s="106" t="str">
        <f>IFERROR(__xludf.DUMMYFUNCTION("""COMPUTED_VALUE"""),"")</f>
        <v/>
      </c>
      <c r="L886" s="136" t="str">
        <f>IFERROR(__xludf.DUMMYFUNCTION("""COMPUTED_VALUE"""),"")</f>
        <v/>
      </c>
      <c r="M886" s="106" t="str">
        <f>IFERROR(__xludf.DUMMYFUNCTION("""COMPUTED_VALUE"""),"")</f>
        <v/>
      </c>
      <c r="O886" s="136" t="str">
        <f>IFERROR(__xludf.DUMMYFUNCTION("""COMPUTED_VALUE"""),"")</f>
        <v/>
      </c>
      <c r="P886" s="106" t="str">
        <f>IFERROR(__xludf.DUMMYFUNCTION("""COMPUTED_VALUE"""),"")</f>
        <v/>
      </c>
      <c r="R886" s="136" t="str">
        <f>IFERROR(__xludf.DUMMYFUNCTION("""COMPUTED_VALUE"""),"")</f>
        <v/>
      </c>
      <c r="S886" s="106" t="str">
        <f>IFERROR(__xludf.DUMMYFUNCTION("""COMPUTED_VALUE"""),"")</f>
        <v/>
      </c>
    </row>
    <row r="887">
      <c r="A887" s="136" t="s">
        <v>133</v>
      </c>
      <c r="B887" s="136"/>
      <c r="C887" s="136" t="s">
        <v>133</v>
      </c>
      <c r="D887" s="136"/>
      <c r="E887" s="106"/>
      <c r="F887" s="136" t="str">
        <f>IFERROR(__xludf.DUMMYFUNCTION("""COMPUTED_VALUE"""),"")</f>
        <v/>
      </c>
      <c r="G887" s="106" t="str">
        <f>IFERROR(__xludf.DUMMYFUNCTION("""COMPUTED_VALUE"""),"")</f>
        <v/>
      </c>
      <c r="I887" s="136" t="str">
        <f>IFERROR(__xludf.DUMMYFUNCTION("""COMPUTED_VALUE"""),"")</f>
        <v/>
      </c>
      <c r="J887" s="106" t="str">
        <f>IFERROR(__xludf.DUMMYFUNCTION("""COMPUTED_VALUE"""),"")</f>
        <v/>
      </c>
      <c r="L887" s="136" t="str">
        <f>IFERROR(__xludf.DUMMYFUNCTION("""COMPUTED_VALUE"""),"")</f>
        <v/>
      </c>
      <c r="M887" s="106" t="str">
        <f>IFERROR(__xludf.DUMMYFUNCTION("""COMPUTED_VALUE"""),"")</f>
        <v/>
      </c>
      <c r="O887" s="136" t="str">
        <f>IFERROR(__xludf.DUMMYFUNCTION("""COMPUTED_VALUE"""),"")</f>
        <v/>
      </c>
      <c r="P887" s="106" t="str">
        <f>IFERROR(__xludf.DUMMYFUNCTION("""COMPUTED_VALUE"""),"")</f>
        <v/>
      </c>
      <c r="R887" s="136" t="str">
        <f>IFERROR(__xludf.DUMMYFUNCTION("""COMPUTED_VALUE"""),"")</f>
        <v/>
      </c>
      <c r="S887" s="106" t="str">
        <f>IFERROR(__xludf.DUMMYFUNCTION("""COMPUTED_VALUE"""),"")</f>
        <v/>
      </c>
    </row>
    <row r="888">
      <c r="A888" s="136" t="s">
        <v>133</v>
      </c>
      <c r="B888" s="136"/>
      <c r="C888" s="136" t="s">
        <v>133</v>
      </c>
      <c r="D888" s="136"/>
      <c r="E888" s="106"/>
      <c r="F888" s="136" t="str">
        <f>IFERROR(__xludf.DUMMYFUNCTION("""COMPUTED_VALUE"""),"")</f>
        <v/>
      </c>
      <c r="G888" s="106" t="str">
        <f>IFERROR(__xludf.DUMMYFUNCTION("""COMPUTED_VALUE"""),"")</f>
        <v/>
      </c>
      <c r="I888" s="136" t="str">
        <f>IFERROR(__xludf.DUMMYFUNCTION("""COMPUTED_VALUE"""),"")</f>
        <v/>
      </c>
      <c r="J888" s="106" t="str">
        <f>IFERROR(__xludf.DUMMYFUNCTION("""COMPUTED_VALUE"""),"")</f>
        <v/>
      </c>
      <c r="L888" s="136" t="str">
        <f>IFERROR(__xludf.DUMMYFUNCTION("""COMPUTED_VALUE"""),"")</f>
        <v/>
      </c>
      <c r="M888" s="106" t="str">
        <f>IFERROR(__xludf.DUMMYFUNCTION("""COMPUTED_VALUE"""),"")</f>
        <v/>
      </c>
      <c r="O888" s="136" t="str">
        <f>IFERROR(__xludf.DUMMYFUNCTION("""COMPUTED_VALUE"""),"")</f>
        <v/>
      </c>
      <c r="P888" s="106" t="str">
        <f>IFERROR(__xludf.DUMMYFUNCTION("""COMPUTED_VALUE"""),"")</f>
        <v/>
      </c>
      <c r="R888" s="136" t="str">
        <f>IFERROR(__xludf.DUMMYFUNCTION("""COMPUTED_VALUE"""),"")</f>
        <v/>
      </c>
      <c r="S888" s="106" t="str">
        <f>IFERROR(__xludf.DUMMYFUNCTION("""COMPUTED_VALUE"""),"")</f>
        <v/>
      </c>
    </row>
    <row r="889">
      <c r="A889" s="136" t="s">
        <v>133</v>
      </c>
      <c r="B889" s="136"/>
      <c r="C889" s="136" t="s">
        <v>133</v>
      </c>
      <c r="D889" s="136"/>
      <c r="E889" s="106"/>
      <c r="F889" s="136" t="str">
        <f>IFERROR(__xludf.DUMMYFUNCTION("""COMPUTED_VALUE"""),"")</f>
        <v/>
      </c>
      <c r="G889" s="106" t="str">
        <f>IFERROR(__xludf.DUMMYFUNCTION("""COMPUTED_VALUE"""),"")</f>
        <v/>
      </c>
      <c r="I889" s="136" t="str">
        <f>IFERROR(__xludf.DUMMYFUNCTION("""COMPUTED_VALUE"""),"")</f>
        <v/>
      </c>
      <c r="J889" s="106" t="str">
        <f>IFERROR(__xludf.DUMMYFUNCTION("""COMPUTED_VALUE"""),"")</f>
        <v/>
      </c>
      <c r="L889" s="136" t="str">
        <f>IFERROR(__xludf.DUMMYFUNCTION("""COMPUTED_VALUE"""),"")</f>
        <v/>
      </c>
      <c r="M889" s="106" t="str">
        <f>IFERROR(__xludf.DUMMYFUNCTION("""COMPUTED_VALUE"""),"")</f>
        <v/>
      </c>
      <c r="O889" s="136" t="str">
        <f>IFERROR(__xludf.DUMMYFUNCTION("""COMPUTED_VALUE"""),"")</f>
        <v/>
      </c>
      <c r="P889" s="106" t="str">
        <f>IFERROR(__xludf.DUMMYFUNCTION("""COMPUTED_VALUE"""),"")</f>
        <v/>
      </c>
      <c r="R889" s="136" t="str">
        <f>IFERROR(__xludf.DUMMYFUNCTION("""COMPUTED_VALUE"""),"")</f>
        <v/>
      </c>
      <c r="S889" s="106" t="str">
        <f>IFERROR(__xludf.DUMMYFUNCTION("""COMPUTED_VALUE"""),"")</f>
        <v/>
      </c>
    </row>
    <row r="890">
      <c r="A890" s="136" t="s">
        <v>133</v>
      </c>
      <c r="B890" s="136"/>
      <c r="C890" s="136" t="s">
        <v>133</v>
      </c>
      <c r="D890" s="136"/>
      <c r="E890" s="106"/>
      <c r="F890" s="136" t="str">
        <f>IFERROR(__xludf.DUMMYFUNCTION("""COMPUTED_VALUE"""),"")</f>
        <v/>
      </c>
      <c r="G890" s="106" t="str">
        <f>IFERROR(__xludf.DUMMYFUNCTION("""COMPUTED_VALUE"""),"")</f>
        <v/>
      </c>
      <c r="I890" s="136" t="str">
        <f>IFERROR(__xludf.DUMMYFUNCTION("""COMPUTED_VALUE"""),"")</f>
        <v/>
      </c>
      <c r="J890" s="106" t="str">
        <f>IFERROR(__xludf.DUMMYFUNCTION("""COMPUTED_VALUE"""),"")</f>
        <v/>
      </c>
      <c r="L890" s="136" t="str">
        <f>IFERROR(__xludf.DUMMYFUNCTION("""COMPUTED_VALUE"""),"")</f>
        <v/>
      </c>
      <c r="M890" s="106" t="str">
        <f>IFERROR(__xludf.DUMMYFUNCTION("""COMPUTED_VALUE"""),"")</f>
        <v/>
      </c>
      <c r="O890" s="136" t="str">
        <f>IFERROR(__xludf.DUMMYFUNCTION("""COMPUTED_VALUE"""),"")</f>
        <v/>
      </c>
      <c r="P890" s="106" t="str">
        <f>IFERROR(__xludf.DUMMYFUNCTION("""COMPUTED_VALUE"""),"")</f>
        <v/>
      </c>
      <c r="R890" s="136" t="str">
        <f>IFERROR(__xludf.DUMMYFUNCTION("""COMPUTED_VALUE"""),"")</f>
        <v/>
      </c>
      <c r="S890" s="106" t="str">
        <f>IFERROR(__xludf.DUMMYFUNCTION("""COMPUTED_VALUE"""),"")</f>
        <v/>
      </c>
    </row>
    <row r="891">
      <c r="A891" s="136" t="s">
        <v>133</v>
      </c>
      <c r="B891" s="136"/>
      <c r="C891" s="136" t="s">
        <v>133</v>
      </c>
      <c r="D891" s="136"/>
      <c r="E891" s="106"/>
      <c r="F891" s="136" t="str">
        <f>IFERROR(__xludf.DUMMYFUNCTION("""COMPUTED_VALUE"""),"")</f>
        <v/>
      </c>
      <c r="G891" s="106" t="str">
        <f>IFERROR(__xludf.DUMMYFUNCTION("""COMPUTED_VALUE"""),"")</f>
        <v/>
      </c>
      <c r="I891" s="136" t="str">
        <f>IFERROR(__xludf.DUMMYFUNCTION("""COMPUTED_VALUE"""),"")</f>
        <v/>
      </c>
      <c r="J891" s="106" t="str">
        <f>IFERROR(__xludf.DUMMYFUNCTION("""COMPUTED_VALUE"""),"")</f>
        <v/>
      </c>
      <c r="L891" s="136" t="str">
        <f>IFERROR(__xludf.DUMMYFUNCTION("""COMPUTED_VALUE"""),"")</f>
        <v/>
      </c>
      <c r="M891" s="106" t="str">
        <f>IFERROR(__xludf.DUMMYFUNCTION("""COMPUTED_VALUE"""),"")</f>
        <v/>
      </c>
      <c r="O891" s="136" t="str">
        <f>IFERROR(__xludf.DUMMYFUNCTION("""COMPUTED_VALUE"""),"")</f>
        <v/>
      </c>
      <c r="P891" s="106" t="str">
        <f>IFERROR(__xludf.DUMMYFUNCTION("""COMPUTED_VALUE"""),"")</f>
        <v/>
      </c>
      <c r="R891" s="136" t="str">
        <f>IFERROR(__xludf.DUMMYFUNCTION("""COMPUTED_VALUE"""),"")</f>
        <v/>
      </c>
      <c r="S891" s="106" t="str">
        <f>IFERROR(__xludf.DUMMYFUNCTION("""COMPUTED_VALUE"""),"")</f>
        <v/>
      </c>
    </row>
    <row r="892">
      <c r="A892" s="136" t="s">
        <v>133</v>
      </c>
      <c r="B892" s="136"/>
      <c r="C892" s="136" t="s">
        <v>133</v>
      </c>
      <c r="D892" s="136"/>
      <c r="E892" s="106"/>
      <c r="F892" s="136" t="str">
        <f>IFERROR(__xludf.DUMMYFUNCTION("""COMPUTED_VALUE"""),"")</f>
        <v/>
      </c>
      <c r="G892" s="106" t="str">
        <f>IFERROR(__xludf.DUMMYFUNCTION("""COMPUTED_VALUE"""),"")</f>
        <v/>
      </c>
      <c r="I892" s="136" t="str">
        <f>IFERROR(__xludf.DUMMYFUNCTION("""COMPUTED_VALUE"""),"")</f>
        <v/>
      </c>
      <c r="J892" s="106" t="str">
        <f>IFERROR(__xludf.DUMMYFUNCTION("""COMPUTED_VALUE"""),"")</f>
        <v/>
      </c>
      <c r="L892" s="136" t="str">
        <f>IFERROR(__xludf.DUMMYFUNCTION("""COMPUTED_VALUE"""),"")</f>
        <v/>
      </c>
      <c r="M892" s="106" t="str">
        <f>IFERROR(__xludf.DUMMYFUNCTION("""COMPUTED_VALUE"""),"")</f>
        <v/>
      </c>
      <c r="O892" s="136" t="str">
        <f>IFERROR(__xludf.DUMMYFUNCTION("""COMPUTED_VALUE"""),"")</f>
        <v/>
      </c>
      <c r="P892" s="106" t="str">
        <f>IFERROR(__xludf.DUMMYFUNCTION("""COMPUTED_VALUE"""),"")</f>
        <v/>
      </c>
      <c r="R892" s="136" t="str">
        <f>IFERROR(__xludf.DUMMYFUNCTION("""COMPUTED_VALUE"""),"")</f>
        <v/>
      </c>
      <c r="S892" s="106" t="str">
        <f>IFERROR(__xludf.DUMMYFUNCTION("""COMPUTED_VALUE"""),"")</f>
        <v/>
      </c>
    </row>
    <row r="893">
      <c r="A893" s="136" t="s">
        <v>133</v>
      </c>
      <c r="B893" s="136"/>
      <c r="C893" s="136" t="s">
        <v>133</v>
      </c>
      <c r="D893" s="136"/>
      <c r="E893" s="106"/>
      <c r="F893" s="136" t="str">
        <f>IFERROR(__xludf.DUMMYFUNCTION("""COMPUTED_VALUE"""),"")</f>
        <v/>
      </c>
      <c r="G893" s="106" t="str">
        <f>IFERROR(__xludf.DUMMYFUNCTION("""COMPUTED_VALUE"""),"")</f>
        <v/>
      </c>
      <c r="I893" s="136" t="str">
        <f>IFERROR(__xludf.DUMMYFUNCTION("""COMPUTED_VALUE"""),"")</f>
        <v/>
      </c>
      <c r="J893" s="106" t="str">
        <f>IFERROR(__xludf.DUMMYFUNCTION("""COMPUTED_VALUE"""),"")</f>
        <v/>
      </c>
      <c r="L893" s="136" t="str">
        <f>IFERROR(__xludf.DUMMYFUNCTION("""COMPUTED_VALUE"""),"")</f>
        <v/>
      </c>
      <c r="M893" s="106" t="str">
        <f>IFERROR(__xludf.DUMMYFUNCTION("""COMPUTED_VALUE"""),"")</f>
        <v/>
      </c>
      <c r="O893" s="136" t="str">
        <f>IFERROR(__xludf.DUMMYFUNCTION("""COMPUTED_VALUE"""),"")</f>
        <v/>
      </c>
      <c r="P893" s="106" t="str">
        <f>IFERROR(__xludf.DUMMYFUNCTION("""COMPUTED_VALUE"""),"")</f>
        <v/>
      </c>
      <c r="R893" s="136" t="str">
        <f>IFERROR(__xludf.DUMMYFUNCTION("""COMPUTED_VALUE"""),"")</f>
        <v/>
      </c>
      <c r="S893" s="106" t="str">
        <f>IFERROR(__xludf.DUMMYFUNCTION("""COMPUTED_VALUE"""),"")</f>
        <v/>
      </c>
    </row>
    <row r="894">
      <c r="A894" s="136" t="s">
        <v>133</v>
      </c>
      <c r="B894" s="136"/>
      <c r="C894" s="136" t="s">
        <v>133</v>
      </c>
      <c r="D894" s="136"/>
      <c r="E894" s="106"/>
      <c r="F894" s="136" t="str">
        <f>IFERROR(__xludf.DUMMYFUNCTION("""COMPUTED_VALUE"""),"")</f>
        <v/>
      </c>
      <c r="G894" s="106" t="str">
        <f>IFERROR(__xludf.DUMMYFUNCTION("""COMPUTED_VALUE"""),"")</f>
        <v/>
      </c>
      <c r="I894" s="136" t="str">
        <f>IFERROR(__xludf.DUMMYFUNCTION("""COMPUTED_VALUE"""),"")</f>
        <v/>
      </c>
      <c r="J894" s="106" t="str">
        <f>IFERROR(__xludf.DUMMYFUNCTION("""COMPUTED_VALUE"""),"")</f>
        <v/>
      </c>
      <c r="L894" s="136" t="str">
        <f>IFERROR(__xludf.DUMMYFUNCTION("""COMPUTED_VALUE"""),"")</f>
        <v/>
      </c>
      <c r="M894" s="106" t="str">
        <f>IFERROR(__xludf.DUMMYFUNCTION("""COMPUTED_VALUE"""),"")</f>
        <v/>
      </c>
      <c r="O894" s="136" t="str">
        <f>IFERROR(__xludf.DUMMYFUNCTION("""COMPUTED_VALUE"""),"")</f>
        <v/>
      </c>
      <c r="P894" s="106" t="str">
        <f>IFERROR(__xludf.DUMMYFUNCTION("""COMPUTED_VALUE"""),"")</f>
        <v/>
      </c>
      <c r="R894" s="136" t="str">
        <f>IFERROR(__xludf.DUMMYFUNCTION("""COMPUTED_VALUE"""),"")</f>
        <v/>
      </c>
      <c r="S894" s="106" t="str">
        <f>IFERROR(__xludf.DUMMYFUNCTION("""COMPUTED_VALUE"""),"")</f>
        <v/>
      </c>
    </row>
    <row r="895">
      <c r="A895" s="136" t="s">
        <v>133</v>
      </c>
      <c r="B895" s="136"/>
      <c r="C895" s="136" t="s">
        <v>133</v>
      </c>
      <c r="D895" s="136"/>
      <c r="E895" s="106"/>
      <c r="F895" s="136" t="str">
        <f>IFERROR(__xludf.DUMMYFUNCTION("""COMPUTED_VALUE"""),"")</f>
        <v/>
      </c>
      <c r="G895" s="106" t="str">
        <f>IFERROR(__xludf.DUMMYFUNCTION("""COMPUTED_VALUE"""),"")</f>
        <v/>
      </c>
      <c r="I895" s="136" t="str">
        <f>IFERROR(__xludf.DUMMYFUNCTION("""COMPUTED_VALUE"""),"")</f>
        <v/>
      </c>
      <c r="J895" s="106" t="str">
        <f>IFERROR(__xludf.DUMMYFUNCTION("""COMPUTED_VALUE"""),"")</f>
        <v/>
      </c>
      <c r="L895" s="136" t="str">
        <f>IFERROR(__xludf.DUMMYFUNCTION("""COMPUTED_VALUE"""),"")</f>
        <v/>
      </c>
      <c r="M895" s="106" t="str">
        <f>IFERROR(__xludf.DUMMYFUNCTION("""COMPUTED_VALUE"""),"")</f>
        <v/>
      </c>
      <c r="O895" s="136" t="str">
        <f>IFERROR(__xludf.DUMMYFUNCTION("""COMPUTED_VALUE"""),"")</f>
        <v/>
      </c>
      <c r="P895" s="106" t="str">
        <f>IFERROR(__xludf.DUMMYFUNCTION("""COMPUTED_VALUE"""),"")</f>
        <v/>
      </c>
      <c r="R895" s="136" t="str">
        <f>IFERROR(__xludf.DUMMYFUNCTION("""COMPUTED_VALUE"""),"")</f>
        <v/>
      </c>
      <c r="S895" s="106" t="str">
        <f>IFERROR(__xludf.DUMMYFUNCTION("""COMPUTED_VALUE"""),"")</f>
        <v/>
      </c>
    </row>
    <row r="896">
      <c r="A896" s="136" t="s">
        <v>133</v>
      </c>
      <c r="B896" s="136"/>
      <c r="C896" s="136" t="s">
        <v>133</v>
      </c>
      <c r="D896" s="136"/>
      <c r="E896" s="106"/>
      <c r="F896" s="136" t="str">
        <f>IFERROR(__xludf.DUMMYFUNCTION("""COMPUTED_VALUE"""),"")</f>
        <v/>
      </c>
      <c r="G896" s="106" t="str">
        <f>IFERROR(__xludf.DUMMYFUNCTION("""COMPUTED_VALUE"""),"")</f>
        <v/>
      </c>
      <c r="I896" s="136" t="str">
        <f>IFERROR(__xludf.DUMMYFUNCTION("""COMPUTED_VALUE"""),"")</f>
        <v/>
      </c>
      <c r="J896" s="106" t="str">
        <f>IFERROR(__xludf.DUMMYFUNCTION("""COMPUTED_VALUE"""),"")</f>
        <v/>
      </c>
      <c r="L896" s="136" t="str">
        <f>IFERROR(__xludf.DUMMYFUNCTION("""COMPUTED_VALUE"""),"")</f>
        <v/>
      </c>
      <c r="M896" s="106" t="str">
        <f>IFERROR(__xludf.DUMMYFUNCTION("""COMPUTED_VALUE"""),"")</f>
        <v/>
      </c>
      <c r="O896" s="136" t="str">
        <f>IFERROR(__xludf.DUMMYFUNCTION("""COMPUTED_VALUE"""),"")</f>
        <v/>
      </c>
      <c r="P896" s="106" t="str">
        <f>IFERROR(__xludf.DUMMYFUNCTION("""COMPUTED_VALUE"""),"")</f>
        <v/>
      </c>
      <c r="R896" s="136" t="str">
        <f>IFERROR(__xludf.DUMMYFUNCTION("""COMPUTED_VALUE"""),"")</f>
        <v/>
      </c>
      <c r="S896" s="106" t="str">
        <f>IFERROR(__xludf.DUMMYFUNCTION("""COMPUTED_VALUE"""),"")</f>
        <v/>
      </c>
    </row>
    <row r="897">
      <c r="A897" s="136" t="s">
        <v>133</v>
      </c>
      <c r="B897" s="136"/>
      <c r="C897" s="136" t="s">
        <v>133</v>
      </c>
      <c r="D897" s="136"/>
      <c r="E897" s="106"/>
      <c r="F897" s="136" t="str">
        <f>IFERROR(__xludf.DUMMYFUNCTION("""COMPUTED_VALUE"""),"")</f>
        <v/>
      </c>
      <c r="G897" s="106" t="str">
        <f>IFERROR(__xludf.DUMMYFUNCTION("""COMPUTED_VALUE"""),"")</f>
        <v/>
      </c>
      <c r="I897" s="136" t="str">
        <f>IFERROR(__xludf.DUMMYFUNCTION("""COMPUTED_VALUE"""),"")</f>
        <v/>
      </c>
      <c r="J897" s="106" t="str">
        <f>IFERROR(__xludf.DUMMYFUNCTION("""COMPUTED_VALUE"""),"")</f>
        <v/>
      </c>
      <c r="L897" s="136" t="str">
        <f>IFERROR(__xludf.DUMMYFUNCTION("""COMPUTED_VALUE"""),"")</f>
        <v/>
      </c>
      <c r="M897" s="106" t="str">
        <f>IFERROR(__xludf.DUMMYFUNCTION("""COMPUTED_VALUE"""),"")</f>
        <v/>
      </c>
      <c r="O897" s="136" t="str">
        <f>IFERROR(__xludf.DUMMYFUNCTION("""COMPUTED_VALUE"""),"")</f>
        <v/>
      </c>
      <c r="P897" s="106" t="str">
        <f>IFERROR(__xludf.DUMMYFUNCTION("""COMPUTED_VALUE"""),"")</f>
        <v/>
      </c>
      <c r="R897" s="136" t="str">
        <f>IFERROR(__xludf.DUMMYFUNCTION("""COMPUTED_VALUE"""),"")</f>
        <v/>
      </c>
      <c r="S897" s="106" t="str">
        <f>IFERROR(__xludf.DUMMYFUNCTION("""COMPUTED_VALUE"""),"")</f>
        <v/>
      </c>
    </row>
    <row r="898">
      <c r="A898" s="136" t="s">
        <v>133</v>
      </c>
      <c r="B898" s="136"/>
      <c r="C898" s="136" t="s">
        <v>133</v>
      </c>
      <c r="D898" s="136"/>
      <c r="E898" s="106"/>
      <c r="F898" s="136" t="str">
        <f>IFERROR(__xludf.DUMMYFUNCTION("""COMPUTED_VALUE"""),"")</f>
        <v/>
      </c>
      <c r="G898" s="106" t="str">
        <f>IFERROR(__xludf.DUMMYFUNCTION("""COMPUTED_VALUE"""),"")</f>
        <v/>
      </c>
      <c r="I898" s="136" t="str">
        <f>IFERROR(__xludf.DUMMYFUNCTION("""COMPUTED_VALUE"""),"")</f>
        <v/>
      </c>
      <c r="J898" s="106" t="str">
        <f>IFERROR(__xludf.DUMMYFUNCTION("""COMPUTED_VALUE"""),"")</f>
        <v/>
      </c>
      <c r="L898" s="136" t="str">
        <f>IFERROR(__xludf.DUMMYFUNCTION("""COMPUTED_VALUE"""),"")</f>
        <v/>
      </c>
      <c r="M898" s="106" t="str">
        <f>IFERROR(__xludf.DUMMYFUNCTION("""COMPUTED_VALUE"""),"")</f>
        <v/>
      </c>
      <c r="O898" s="136" t="str">
        <f>IFERROR(__xludf.DUMMYFUNCTION("""COMPUTED_VALUE"""),"")</f>
        <v/>
      </c>
      <c r="P898" s="106" t="str">
        <f>IFERROR(__xludf.DUMMYFUNCTION("""COMPUTED_VALUE"""),"")</f>
        <v/>
      </c>
      <c r="R898" s="136" t="str">
        <f>IFERROR(__xludf.DUMMYFUNCTION("""COMPUTED_VALUE"""),"")</f>
        <v/>
      </c>
      <c r="S898" s="106" t="str">
        <f>IFERROR(__xludf.DUMMYFUNCTION("""COMPUTED_VALUE"""),"")</f>
        <v/>
      </c>
    </row>
    <row r="899">
      <c r="A899" s="136" t="s">
        <v>133</v>
      </c>
      <c r="B899" s="136"/>
      <c r="C899" s="136" t="s">
        <v>133</v>
      </c>
      <c r="D899" s="136"/>
      <c r="E899" s="106"/>
      <c r="F899" s="136" t="str">
        <f>IFERROR(__xludf.DUMMYFUNCTION("""COMPUTED_VALUE"""),"")</f>
        <v/>
      </c>
      <c r="G899" s="106" t="str">
        <f>IFERROR(__xludf.DUMMYFUNCTION("""COMPUTED_VALUE"""),"")</f>
        <v/>
      </c>
      <c r="I899" s="136" t="str">
        <f>IFERROR(__xludf.DUMMYFUNCTION("""COMPUTED_VALUE"""),"")</f>
        <v/>
      </c>
      <c r="J899" s="106" t="str">
        <f>IFERROR(__xludf.DUMMYFUNCTION("""COMPUTED_VALUE"""),"")</f>
        <v/>
      </c>
      <c r="L899" s="136" t="str">
        <f>IFERROR(__xludf.DUMMYFUNCTION("""COMPUTED_VALUE"""),"")</f>
        <v/>
      </c>
      <c r="M899" s="106" t="str">
        <f>IFERROR(__xludf.DUMMYFUNCTION("""COMPUTED_VALUE"""),"")</f>
        <v/>
      </c>
      <c r="O899" s="136" t="str">
        <f>IFERROR(__xludf.DUMMYFUNCTION("""COMPUTED_VALUE"""),"")</f>
        <v/>
      </c>
      <c r="P899" s="106" t="str">
        <f>IFERROR(__xludf.DUMMYFUNCTION("""COMPUTED_VALUE"""),"")</f>
        <v/>
      </c>
      <c r="R899" s="136" t="str">
        <f>IFERROR(__xludf.DUMMYFUNCTION("""COMPUTED_VALUE"""),"")</f>
        <v/>
      </c>
      <c r="S899" s="106" t="str">
        <f>IFERROR(__xludf.DUMMYFUNCTION("""COMPUTED_VALUE"""),"")</f>
        <v/>
      </c>
    </row>
    <row r="900">
      <c r="A900" s="136" t="s">
        <v>133</v>
      </c>
      <c r="B900" s="136"/>
      <c r="C900" s="136" t="s">
        <v>133</v>
      </c>
      <c r="D900" s="136"/>
      <c r="E900" s="106"/>
      <c r="F900" s="136" t="str">
        <f>IFERROR(__xludf.DUMMYFUNCTION("""COMPUTED_VALUE"""),"")</f>
        <v/>
      </c>
      <c r="G900" s="106" t="str">
        <f>IFERROR(__xludf.DUMMYFUNCTION("""COMPUTED_VALUE"""),"")</f>
        <v/>
      </c>
      <c r="I900" s="136" t="str">
        <f>IFERROR(__xludf.DUMMYFUNCTION("""COMPUTED_VALUE"""),"")</f>
        <v/>
      </c>
      <c r="J900" s="106" t="str">
        <f>IFERROR(__xludf.DUMMYFUNCTION("""COMPUTED_VALUE"""),"")</f>
        <v/>
      </c>
      <c r="L900" s="136" t="str">
        <f>IFERROR(__xludf.DUMMYFUNCTION("""COMPUTED_VALUE"""),"")</f>
        <v/>
      </c>
      <c r="M900" s="106" t="str">
        <f>IFERROR(__xludf.DUMMYFUNCTION("""COMPUTED_VALUE"""),"")</f>
        <v/>
      </c>
      <c r="O900" s="136" t="str">
        <f>IFERROR(__xludf.DUMMYFUNCTION("""COMPUTED_VALUE"""),"")</f>
        <v/>
      </c>
      <c r="P900" s="106" t="str">
        <f>IFERROR(__xludf.DUMMYFUNCTION("""COMPUTED_VALUE"""),"")</f>
        <v/>
      </c>
      <c r="R900" s="136" t="str">
        <f>IFERROR(__xludf.DUMMYFUNCTION("""COMPUTED_VALUE"""),"")</f>
        <v/>
      </c>
      <c r="S900" s="106" t="str">
        <f>IFERROR(__xludf.DUMMYFUNCTION("""COMPUTED_VALUE"""),"")</f>
        <v/>
      </c>
    </row>
    <row r="901">
      <c r="A901" s="136" t="s">
        <v>133</v>
      </c>
      <c r="B901" s="136"/>
      <c r="C901" s="136" t="s">
        <v>133</v>
      </c>
      <c r="D901" s="136"/>
      <c r="E901" s="106"/>
      <c r="F901" s="136" t="str">
        <f>IFERROR(__xludf.DUMMYFUNCTION("""COMPUTED_VALUE"""),"")</f>
        <v/>
      </c>
      <c r="G901" s="106" t="str">
        <f>IFERROR(__xludf.DUMMYFUNCTION("""COMPUTED_VALUE"""),"")</f>
        <v/>
      </c>
      <c r="I901" s="136" t="str">
        <f>IFERROR(__xludf.DUMMYFUNCTION("""COMPUTED_VALUE"""),"")</f>
        <v/>
      </c>
      <c r="J901" s="106" t="str">
        <f>IFERROR(__xludf.DUMMYFUNCTION("""COMPUTED_VALUE"""),"")</f>
        <v/>
      </c>
      <c r="L901" s="136" t="str">
        <f>IFERROR(__xludf.DUMMYFUNCTION("""COMPUTED_VALUE"""),"")</f>
        <v/>
      </c>
      <c r="M901" s="106" t="str">
        <f>IFERROR(__xludf.DUMMYFUNCTION("""COMPUTED_VALUE"""),"")</f>
        <v/>
      </c>
      <c r="O901" s="136" t="str">
        <f>IFERROR(__xludf.DUMMYFUNCTION("""COMPUTED_VALUE"""),"")</f>
        <v/>
      </c>
      <c r="P901" s="106" t="str">
        <f>IFERROR(__xludf.DUMMYFUNCTION("""COMPUTED_VALUE"""),"")</f>
        <v/>
      </c>
      <c r="R901" s="136" t="str">
        <f>IFERROR(__xludf.DUMMYFUNCTION("""COMPUTED_VALUE"""),"")</f>
        <v/>
      </c>
      <c r="S901" s="106" t="str">
        <f>IFERROR(__xludf.DUMMYFUNCTION("""COMPUTED_VALUE"""),"")</f>
        <v/>
      </c>
    </row>
    <row r="902">
      <c r="A902" s="136" t="s">
        <v>133</v>
      </c>
      <c r="B902" s="136"/>
      <c r="C902" s="136" t="s">
        <v>133</v>
      </c>
      <c r="D902" s="136"/>
      <c r="E902" s="106"/>
      <c r="F902" s="136" t="str">
        <f>IFERROR(__xludf.DUMMYFUNCTION("""COMPUTED_VALUE"""),"")</f>
        <v/>
      </c>
      <c r="G902" s="106" t="str">
        <f>IFERROR(__xludf.DUMMYFUNCTION("""COMPUTED_VALUE"""),"")</f>
        <v/>
      </c>
      <c r="I902" s="136" t="str">
        <f>IFERROR(__xludf.DUMMYFUNCTION("""COMPUTED_VALUE"""),"")</f>
        <v/>
      </c>
      <c r="J902" s="106" t="str">
        <f>IFERROR(__xludf.DUMMYFUNCTION("""COMPUTED_VALUE"""),"")</f>
        <v/>
      </c>
      <c r="L902" s="136" t="str">
        <f>IFERROR(__xludf.DUMMYFUNCTION("""COMPUTED_VALUE"""),"")</f>
        <v/>
      </c>
      <c r="M902" s="106" t="str">
        <f>IFERROR(__xludf.DUMMYFUNCTION("""COMPUTED_VALUE"""),"")</f>
        <v/>
      </c>
      <c r="O902" s="136" t="str">
        <f>IFERROR(__xludf.DUMMYFUNCTION("""COMPUTED_VALUE"""),"")</f>
        <v/>
      </c>
      <c r="P902" s="106" t="str">
        <f>IFERROR(__xludf.DUMMYFUNCTION("""COMPUTED_VALUE"""),"")</f>
        <v/>
      </c>
      <c r="R902" s="136" t="str">
        <f>IFERROR(__xludf.DUMMYFUNCTION("""COMPUTED_VALUE"""),"")</f>
        <v/>
      </c>
      <c r="S902" s="106" t="str">
        <f>IFERROR(__xludf.DUMMYFUNCTION("""COMPUTED_VALUE"""),"")</f>
        <v/>
      </c>
    </row>
    <row r="903">
      <c r="A903" s="136" t="s">
        <v>133</v>
      </c>
      <c r="B903" s="136"/>
      <c r="C903" s="136" t="s">
        <v>133</v>
      </c>
      <c r="D903" s="136"/>
      <c r="E903" s="106"/>
      <c r="F903" s="136" t="str">
        <f>IFERROR(__xludf.DUMMYFUNCTION("""COMPUTED_VALUE"""),"")</f>
        <v/>
      </c>
      <c r="G903" s="106" t="str">
        <f>IFERROR(__xludf.DUMMYFUNCTION("""COMPUTED_VALUE"""),"")</f>
        <v/>
      </c>
      <c r="I903" s="136" t="str">
        <f>IFERROR(__xludf.DUMMYFUNCTION("""COMPUTED_VALUE"""),"")</f>
        <v/>
      </c>
      <c r="J903" s="106" t="str">
        <f>IFERROR(__xludf.DUMMYFUNCTION("""COMPUTED_VALUE"""),"")</f>
        <v/>
      </c>
      <c r="L903" s="136" t="str">
        <f>IFERROR(__xludf.DUMMYFUNCTION("""COMPUTED_VALUE"""),"")</f>
        <v/>
      </c>
      <c r="M903" s="106" t="str">
        <f>IFERROR(__xludf.DUMMYFUNCTION("""COMPUTED_VALUE"""),"")</f>
        <v/>
      </c>
      <c r="O903" s="136" t="str">
        <f>IFERROR(__xludf.DUMMYFUNCTION("""COMPUTED_VALUE"""),"")</f>
        <v/>
      </c>
      <c r="P903" s="106" t="str">
        <f>IFERROR(__xludf.DUMMYFUNCTION("""COMPUTED_VALUE"""),"")</f>
        <v/>
      </c>
      <c r="R903" s="136" t="str">
        <f>IFERROR(__xludf.DUMMYFUNCTION("""COMPUTED_VALUE"""),"")</f>
        <v/>
      </c>
      <c r="S903" s="106" t="str">
        <f>IFERROR(__xludf.DUMMYFUNCTION("""COMPUTED_VALUE"""),"")</f>
        <v/>
      </c>
    </row>
    <row r="904">
      <c r="A904" s="136" t="s">
        <v>133</v>
      </c>
      <c r="B904" s="136"/>
      <c r="C904" s="136" t="s">
        <v>133</v>
      </c>
      <c r="D904" s="136"/>
      <c r="E904" s="106"/>
      <c r="F904" s="136" t="str">
        <f>IFERROR(__xludf.DUMMYFUNCTION("""COMPUTED_VALUE"""),"")</f>
        <v/>
      </c>
      <c r="G904" s="106" t="str">
        <f>IFERROR(__xludf.DUMMYFUNCTION("""COMPUTED_VALUE"""),"")</f>
        <v/>
      </c>
      <c r="I904" s="136" t="str">
        <f>IFERROR(__xludf.DUMMYFUNCTION("""COMPUTED_VALUE"""),"")</f>
        <v/>
      </c>
      <c r="J904" s="106" t="str">
        <f>IFERROR(__xludf.DUMMYFUNCTION("""COMPUTED_VALUE"""),"")</f>
        <v/>
      </c>
      <c r="L904" s="136" t="str">
        <f>IFERROR(__xludf.DUMMYFUNCTION("""COMPUTED_VALUE"""),"")</f>
        <v/>
      </c>
      <c r="M904" s="106" t="str">
        <f>IFERROR(__xludf.DUMMYFUNCTION("""COMPUTED_VALUE"""),"")</f>
        <v/>
      </c>
      <c r="O904" s="136" t="str">
        <f>IFERROR(__xludf.DUMMYFUNCTION("""COMPUTED_VALUE"""),"")</f>
        <v/>
      </c>
      <c r="P904" s="106" t="str">
        <f>IFERROR(__xludf.DUMMYFUNCTION("""COMPUTED_VALUE"""),"")</f>
        <v/>
      </c>
      <c r="R904" s="136" t="str">
        <f>IFERROR(__xludf.DUMMYFUNCTION("""COMPUTED_VALUE"""),"")</f>
        <v/>
      </c>
      <c r="S904" s="106" t="str">
        <f>IFERROR(__xludf.DUMMYFUNCTION("""COMPUTED_VALUE"""),"")</f>
        <v/>
      </c>
    </row>
    <row r="905">
      <c r="A905" s="136" t="s">
        <v>133</v>
      </c>
      <c r="B905" s="136"/>
      <c r="C905" s="136" t="s">
        <v>133</v>
      </c>
      <c r="D905" s="136"/>
      <c r="E905" s="106"/>
      <c r="F905" s="136" t="str">
        <f>IFERROR(__xludf.DUMMYFUNCTION("""COMPUTED_VALUE"""),"")</f>
        <v/>
      </c>
      <c r="G905" s="106" t="str">
        <f>IFERROR(__xludf.DUMMYFUNCTION("""COMPUTED_VALUE"""),"")</f>
        <v/>
      </c>
      <c r="I905" s="136" t="str">
        <f>IFERROR(__xludf.DUMMYFUNCTION("""COMPUTED_VALUE"""),"")</f>
        <v/>
      </c>
      <c r="J905" s="106" t="str">
        <f>IFERROR(__xludf.DUMMYFUNCTION("""COMPUTED_VALUE"""),"")</f>
        <v/>
      </c>
      <c r="L905" s="136" t="str">
        <f>IFERROR(__xludf.DUMMYFUNCTION("""COMPUTED_VALUE"""),"")</f>
        <v/>
      </c>
      <c r="M905" s="106" t="str">
        <f>IFERROR(__xludf.DUMMYFUNCTION("""COMPUTED_VALUE"""),"")</f>
        <v/>
      </c>
      <c r="O905" s="136" t="str">
        <f>IFERROR(__xludf.DUMMYFUNCTION("""COMPUTED_VALUE"""),"")</f>
        <v/>
      </c>
      <c r="P905" s="106" t="str">
        <f>IFERROR(__xludf.DUMMYFUNCTION("""COMPUTED_VALUE"""),"")</f>
        <v/>
      </c>
      <c r="R905" s="136" t="str">
        <f>IFERROR(__xludf.DUMMYFUNCTION("""COMPUTED_VALUE"""),"")</f>
        <v/>
      </c>
      <c r="S905" s="106" t="str">
        <f>IFERROR(__xludf.DUMMYFUNCTION("""COMPUTED_VALUE"""),"")</f>
        <v/>
      </c>
    </row>
    <row r="906">
      <c r="A906" s="136" t="s">
        <v>133</v>
      </c>
      <c r="B906" s="136"/>
      <c r="C906" s="136" t="s">
        <v>133</v>
      </c>
      <c r="D906" s="136"/>
      <c r="E906" s="106"/>
      <c r="F906" s="136" t="str">
        <f>IFERROR(__xludf.DUMMYFUNCTION("""COMPUTED_VALUE"""),"")</f>
        <v/>
      </c>
      <c r="G906" s="106" t="str">
        <f>IFERROR(__xludf.DUMMYFUNCTION("""COMPUTED_VALUE"""),"")</f>
        <v/>
      </c>
      <c r="I906" s="136" t="str">
        <f>IFERROR(__xludf.DUMMYFUNCTION("""COMPUTED_VALUE"""),"")</f>
        <v/>
      </c>
      <c r="J906" s="106" t="str">
        <f>IFERROR(__xludf.DUMMYFUNCTION("""COMPUTED_VALUE"""),"")</f>
        <v/>
      </c>
      <c r="L906" s="136" t="str">
        <f>IFERROR(__xludf.DUMMYFUNCTION("""COMPUTED_VALUE"""),"")</f>
        <v/>
      </c>
      <c r="M906" s="106" t="str">
        <f>IFERROR(__xludf.DUMMYFUNCTION("""COMPUTED_VALUE"""),"")</f>
        <v/>
      </c>
      <c r="O906" s="136" t="str">
        <f>IFERROR(__xludf.DUMMYFUNCTION("""COMPUTED_VALUE"""),"")</f>
        <v/>
      </c>
      <c r="P906" s="106" t="str">
        <f>IFERROR(__xludf.DUMMYFUNCTION("""COMPUTED_VALUE"""),"")</f>
        <v/>
      </c>
      <c r="R906" s="136" t="str">
        <f>IFERROR(__xludf.DUMMYFUNCTION("""COMPUTED_VALUE"""),"")</f>
        <v/>
      </c>
      <c r="S906" s="106" t="str">
        <f>IFERROR(__xludf.DUMMYFUNCTION("""COMPUTED_VALUE"""),"")</f>
        <v/>
      </c>
    </row>
    <row r="907">
      <c r="A907" s="136" t="s">
        <v>133</v>
      </c>
      <c r="B907" s="136"/>
      <c r="C907" s="136" t="s">
        <v>133</v>
      </c>
      <c r="D907" s="136"/>
      <c r="E907" s="106"/>
      <c r="F907" s="136" t="str">
        <f>IFERROR(__xludf.DUMMYFUNCTION("""COMPUTED_VALUE"""),"")</f>
        <v/>
      </c>
      <c r="G907" s="106" t="str">
        <f>IFERROR(__xludf.DUMMYFUNCTION("""COMPUTED_VALUE"""),"")</f>
        <v/>
      </c>
      <c r="I907" s="136" t="str">
        <f>IFERROR(__xludf.DUMMYFUNCTION("""COMPUTED_VALUE"""),"")</f>
        <v/>
      </c>
      <c r="J907" s="106" t="str">
        <f>IFERROR(__xludf.DUMMYFUNCTION("""COMPUTED_VALUE"""),"")</f>
        <v/>
      </c>
      <c r="L907" s="136" t="str">
        <f>IFERROR(__xludf.DUMMYFUNCTION("""COMPUTED_VALUE"""),"")</f>
        <v/>
      </c>
      <c r="M907" s="106" t="str">
        <f>IFERROR(__xludf.DUMMYFUNCTION("""COMPUTED_VALUE"""),"")</f>
        <v/>
      </c>
      <c r="O907" s="136" t="str">
        <f>IFERROR(__xludf.DUMMYFUNCTION("""COMPUTED_VALUE"""),"")</f>
        <v/>
      </c>
      <c r="P907" s="106" t="str">
        <f>IFERROR(__xludf.DUMMYFUNCTION("""COMPUTED_VALUE"""),"")</f>
        <v/>
      </c>
      <c r="R907" s="136" t="str">
        <f>IFERROR(__xludf.DUMMYFUNCTION("""COMPUTED_VALUE"""),"")</f>
        <v/>
      </c>
      <c r="S907" s="106" t="str">
        <f>IFERROR(__xludf.DUMMYFUNCTION("""COMPUTED_VALUE"""),"")</f>
        <v/>
      </c>
    </row>
    <row r="908">
      <c r="A908" s="136" t="s">
        <v>133</v>
      </c>
      <c r="B908" s="136"/>
      <c r="C908" s="136" t="s">
        <v>133</v>
      </c>
      <c r="D908" s="136"/>
      <c r="E908" s="106"/>
      <c r="F908" s="136" t="str">
        <f>IFERROR(__xludf.DUMMYFUNCTION("""COMPUTED_VALUE"""),"")</f>
        <v/>
      </c>
      <c r="G908" s="106" t="str">
        <f>IFERROR(__xludf.DUMMYFUNCTION("""COMPUTED_VALUE"""),"")</f>
        <v/>
      </c>
      <c r="I908" s="136" t="str">
        <f>IFERROR(__xludf.DUMMYFUNCTION("""COMPUTED_VALUE"""),"")</f>
        <v/>
      </c>
      <c r="J908" s="106" t="str">
        <f>IFERROR(__xludf.DUMMYFUNCTION("""COMPUTED_VALUE"""),"")</f>
        <v/>
      </c>
      <c r="L908" s="136" t="str">
        <f>IFERROR(__xludf.DUMMYFUNCTION("""COMPUTED_VALUE"""),"")</f>
        <v/>
      </c>
      <c r="M908" s="106" t="str">
        <f>IFERROR(__xludf.DUMMYFUNCTION("""COMPUTED_VALUE"""),"")</f>
        <v/>
      </c>
      <c r="O908" s="136" t="str">
        <f>IFERROR(__xludf.DUMMYFUNCTION("""COMPUTED_VALUE"""),"")</f>
        <v/>
      </c>
      <c r="P908" s="106" t="str">
        <f>IFERROR(__xludf.DUMMYFUNCTION("""COMPUTED_VALUE"""),"")</f>
        <v/>
      </c>
      <c r="R908" s="136" t="str">
        <f>IFERROR(__xludf.DUMMYFUNCTION("""COMPUTED_VALUE"""),"")</f>
        <v/>
      </c>
      <c r="S908" s="106" t="str">
        <f>IFERROR(__xludf.DUMMYFUNCTION("""COMPUTED_VALUE"""),"")</f>
        <v/>
      </c>
    </row>
    <row r="909">
      <c r="A909" s="136" t="s">
        <v>133</v>
      </c>
      <c r="B909" s="136"/>
      <c r="C909" s="136" t="s">
        <v>133</v>
      </c>
      <c r="D909" s="136"/>
      <c r="E909" s="106"/>
      <c r="F909" s="136" t="str">
        <f>IFERROR(__xludf.DUMMYFUNCTION("""COMPUTED_VALUE"""),"")</f>
        <v/>
      </c>
      <c r="G909" s="106" t="str">
        <f>IFERROR(__xludf.DUMMYFUNCTION("""COMPUTED_VALUE"""),"")</f>
        <v/>
      </c>
      <c r="I909" s="136" t="str">
        <f>IFERROR(__xludf.DUMMYFUNCTION("""COMPUTED_VALUE"""),"")</f>
        <v/>
      </c>
      <c r="J909" s="106" t="str">
        <f>IFERROR(__xludf.DUMMYFUNCTION("""COMPUTED_VALUE"""),"")</f>
        <v/>
      </c>
      <c r="L909" s="136" t="str">
        <f>IFERROR(__xludf.DUMMYFUNCTION("""COMPUTED_VALUE"""),"")</f>
        <v/>
      </c>
      <c r="M909" s="106" t="str">
        <f>IFERROR(__xludf.DUMMYFUNCTION("""COMPUTED_VALUE"""),"")</f>
        <v/>
      </c>
      <c r="O909" s="136" t="str">
        <f>IFERROR(__xludf.DUMMYFUNCTION("""COMPUTED_VALUE"""),"")</f>
        <v/>
      </c>
      <c r="P909" s="106" t="str">
        <f>IFERROR(__xludf.DUMMYFUNCTION("""COMPUTED_VALUE"""),"")</f>
        <v/>
      </c>
      <c r="R909" s="136" t="str">
        <f>IFERROR(__xludf.DUMMYFUNCTION("""COMPUTED_VALUE"""),"")</f>
        <v/>
      </c>
      <c r="S909" s="106" t="str">
        <f>IFERROR(__xludf.DUMMYFUNCTION("""COMPUTED_VALUE"""),"")</f>
        <v/>
      </c>
    </row>
    <row r="910">
      <c r="A910" s="136" t="s">
        <v>133</v>
      </c>
      <c r="B910" s="136"/>
      <c r="C910" s="136" t="s">
        <v>133</v>
      </c>
      <c r="D910" s="136"/>
      <c r="E910" s="106"/>
      <c r="F910" s="136" t="str">
        <f>IFERROR(__xludf.DUMMYFUNCTION("""COMPUTED_VALUE"""),"")</f>
        <v/>
      </c>
      <c r="G910" s="106" t="str">
        <f>IFERROR(__xludf.DUMMYFUNCTION("""COMPUTED_VALUE"""),"")</f>
        <v/>
      </c>
      <c r="I910" s="136" t="str">
        <f>IFERROR(__xludf.DUMMYFUNCTION("""COMPUTED_VALUE"""),"")</f>
        <v/>
      </c>
      <c r="J910" s="106" t="str">
        <f>IFERROR(__xludf.DUMMYFUNCTION("""COMPUTED_VALUE"""),"")</f>
        <v/>
      </c>
      <c r="L910" s="136" t="str">
        <f>IFERROR(__xludf.DUMMYFUNCTION("""COMPUTED_VALUE"""),"")</f>
        <v/>
      </c>
      <c r="M910" s="106" t="str">
        <f>IFERROR(__xludf.DUMMYFUNCTION("""COMPUTED_VALUE"""),"")</f>
        <v/>
      </c>
      <c r="O910" s="136" t="str">
        <f>IFERROR(__xludf.DUMMYFUNCTION("""COMPUTED_VALUE"""),"")</f>
        <v/>
      </c>
      <c r="P910" s="106" t="str">
        <f>IFERROR(__xludf.DUMMYFUNCTION("""COMPUTED_VALUE"""),"")</f>
        <v/>
      </c>
      <c r="R910" s="136" t="str">
        <f>IFERROR(__xludf.DUMMYFUNCTION("""COMPUTED_VALUE"""),"")</f>
        <v/>
      </c>
      <c r="S910" s="106" t="str">
        <f>IFERROR(__xludf.DUMMYFUNCTION("""COMPUTED_VALUE"""),"")</f>
        <v/>
      </c>
    </row>
    <row r="911">
      <c r="A911" s="136" t="s">
        <v>133</v>
      </c>
      <c r="B911" s="136"/>
      <c r="C911" s="136" t="s">
        <v>133</v>
      </c>
      <c r="D911" s="136"/>
      <c r="E911" s="106"/>
      <c r="F911" s="136" t="str">
        <f>IFERROR(__xludf.DUMMYFUNCTION("""COMPUTED_VALUE"""),"")</f>
        <v/>
      </c>
      <c r="G911" s="106" t="str">
        <f>IFERROR(__xludf.DUMMYFUNCTION("""COMPUTED_VALUE"""),"")</f>
        <v/>
      </c>
      <c r="I911" s="136" t="str">
        <f>IFERROR(__xludf.DUMMYFUNCTION("""COMPUTED_VALUE"""),"")</f>
        <v/>
      </c>
      <c r="J911" s="106" t="str">
        <f>IFERROR(__xludf.DUMMYFUNCTION("""COMPUTED_VALUE"""),"")</f>
        <v/>
      </c>
      <c r="L911" s="136" t="str">
        <f>IFERROR(__xludf.DUMMYFUNCTION("""COMPUTED_VALUE"""),"")</f>
        <v/>
      </c>
      <c r="M911" s="106" t="str">
        <f>IFERROR(__xludf.DUMMYFUNCTION("""COMPUTED_VALUE"""),"")</f>
        <v/>
      </c>
      <c r="O911" s="136" t="str">
        <f>IFERROR(__xludf.DUMMYFUNCTION("""COMPUTED_VALUE"""),"")</f>
        <v/>
      </c>
      <c r="P911" s="106" t="str">
        <f>IFERROR(__xludf.DUMMYFUNCTION("""COMPUTED_VALUE"""),"")</f>
        <v/>
      </c>
      <c r="R911" s="136" t="str">
        <f>IFERROR(__xludf.DUMMYFUNCTION("""COMPUTED_VALUE"""),"")</f>
        <v/>
      </c>
      <c r="S911" s="106" t="str">
        <f>IFERROR(__xludf.DUMMYFUNCTION("""COMPUTED_VALUE"""),"")</f>
        <v/>
      </c>
    </row>
    <row r="912">
      <c r="A912" s="136" t="s">
        <v>133</v>
      </c>
      <c r="B912" s="136"/>
      <c r="C912" s="136" t="s">
        <v>133</v>
      </c>
      <c r="D912" s="136"/>
      <c r="E912" s="106"/>
      <c r="F912" s="136" t="str">
        <f>IFERROR(__xludf.DUMMYFUNCTION("""COMPUTED_VALUE"""),"")</f>
        <v/>
      </c>
      <c r="G912" s="106" t="str">
        <f>IFERROR(__xludf.DUMMYFUNCTION("""COMPUTED_VALUE"""),"")</f>
        <v/>
      </c>
      <c r="I912" s="136" t="str">
        <f>IFERROR(__xludf.DUMMYFUNCTION("""COMPUTED_VALUE"""),"")</f>
        <v/>
      </c>
      <c r="J912" s="106" t="str">
        <f>IFERROR(__xludf.DUMMYFUNCTION("""COMPUTED_VALUE"""),"")</f>
        <v/>
      </c>
      <c r="L912" s="136" t="str">
        <f>IFERROR(__xludf.DUMMYFUNCTION("""COMPUTED_VALUE"""),"")</f>
        <v/>
      </c>
      <c r="M912" s="106" t="str">
        <f>IFERROR(__xludf.DUMMYFUNCTION("""COMPUTED_VALUE"""),"")</f>
        <v/>
      </c>
      <c r="O912" s="136" t="str">
        <f>IFERROR(__xludf.DUMMYFUNCTION("""COMPUTED_VALUE"""),"")</f>
        <v/>
      </c>
      <c r="P912" s="106" t="str">
        <f>IFERROR(__xludf.DUMMYFUNCTION("""COMPUTED_VALUE"""),"")</f>
        <v/>
      </c>
      <c r="R912" s="136" t="str">
        <f>IFERROR(__xludf.DUMMYFUNCTION("""COMPUTED_VALUE"""),"")</f>
        <v/>
      </c>
      <c r="S912" s="106" t="str">
        <f>IFERROR(__xludf.DUMMYFUNCTION("""COMPUTED_VALUE"""),"")</f>
        <v/>
      </c>
    </row>
    <row r="913">
      <c r="A913" s="136" t="s">
        <v>133</v>
      </c>
      <c r="B913" s="136"/>
      <c r="C913" s="136" t="s">
        <v>133</v>
      </c>
      <c r="D913" s="136"/>
      <c r="E913" s="106"/>
      <c r="F913" s="136" t="str">
        <f>IFERROR(__xludf.DUMMYFUNCTION("""COMPUTED_VALUE"""),"")</f>
        <v/>
      </c>
      <c r="G913" s="106" t="str">
        <f>IFERROR(__xludf.DUMMYFUNCTION("""COMPUTED_VALUE"""),"")</f>
        <v/>
      </c>
      <c r="I913" s="136" t="str">
        <f>IFERROR(__xludf.DUMMYFUNCTION("""COMPUTED_VALUE"""),"")</f>
        <v/>
      </c>
      <c r="J913" s="106" t="str">
        <f>IFERROR(__xludf.DUMMYFUNCTION("""COMPUTED_VALUE"""),"")</f>
        <v/>
      </c>
      <c r="L913" s="136" t="str">
        <f>IFERROR(__xludf.DUMMYFUNCTION("""COMPUTED_VALUE"""),"")</f>
        <v/>
      </c>
      <c r="M913" s="106" t="str">
        <f>IFERROR(__xludf.DUMMYFUNCTION("""COMPUTED_VALUE"""),"")</f>
        <v/>
      </c>
      <c r="O913" s="136" t="str">
        <f>IFERROR(__xludf.DUMMYFUNCTION("""COMPUTED_VALUE"""),"")</f>
        <v/>
      </c>
      <c r="P913" s="106" t="str">
        <f>IFERROR(__xludf.DUMMYFUNCTION("""COMPUTED_VALUE"""),"")</f>
        <v/>
      </c>
      <c r="R913" s="136" t="str">
        <f>IFERROR(__xludf.DUMMYFUNCTION("""COMPUTED_VALUE"""),"")</f>
        <v/>
      </c>
      <c r="S913" s="106" t="str">
        <f>IFERROR(__xludf.DUMMYFUNCTION("""COMPUTED_VALUE"""),"")</f>
        <v/>
      </c>
    </row>
    <row r="914">
      <c r="A914" s="136" t="s">
        <v>133</v>
      </c>
      <c r="B914" s="136"/>
      <c r="C914" s="136" t="s">
        <v>133</v>
      </c>
      <c r="D914" s="136"/>
      <c r="E914" s="106"/>
      <c r="F914" s="136" t="str">
        <f>IFERROR(__xludf.DUMMYFUNCTION("""COMPUTED_VALUE"""),"")</f>
        <v/>
      </c>
      <c r="G914" s="106" t="str">
        <f>IFERROR(__xludf.DUMMYFUNCTION("""COMPUTED_VALUE"""),"")</f>
        <v/>
      </c>
      <c r="I914" s="136" t="str">
        <f>IFERROR(__xludf.DUMMYFUNCTION("""COMPUTED_VALUE"""),"")</f>
        <v/>
      </c>
      <c r="J914" s="106" t="str">
        <f>IFERROR(__xludf.DUMMYFUNCTION("""COMPUTED_VALUE"""),"")</f>
        <v/>
      </c>
      <c r="L914" s="136" t="str">
        <f>IFERROR(__xludf.DUMMYFUNCTION("""COMPUTED_VALUE"""),"")</f>
        <v/>
      </c>
      <c r="M914" s="106" t="str">
        <f>IFERROR(__xludf.DUMMYFUNCTION("""COMPUTED_VALUE"""),"")</f>
        <v/>
      </c>
      <c r="O914" s="136" t="str">
        <f>IFERROR(__xludf.DUMMYFUNCTION("""COMPUTED_VALUE"""),"")</f>
        <v/>
      </c>
      <c r="P914" s="106" t="str">
        <f>IFERROR(__xludf.DUMMYFUNCTION("""COMPUTED_VALUE"""),"")</f>
        <v/>
      </c>
      <c r="R914" s="136" t="str">
        <f>IFERROR(__xludf.DUMMYFUNCTION("""COMPUTED_VALUE"""),"")</f>
        <v/>
      </c>
      <c r="S914" s="106" t="str">
        <f>IFERROR(__xludf.DUMMYFUNCTION("""COMPUTED_VALUE"""),"")</f>
        <v/>
      </c>
    </row>
    <row r="915">
      <c r="A915" s="136" t="s">
        <v>133</v>
      </c>
      <c r="B915" s="136"/>
      <c r="C915" s="136" t="s">
        <v>133</v>
      </c>
      <c r="D915" s="136"/>
      <c r="E915" s="106"/>
      <c r="F915" s="136" t="str">
        <f>IFERROR(__xludf.DUMMYFUNCTION("""COMPUTED_VALUE"""),"")</f>
        <v/>
      </c>
      <c r="G915" s="106" t="str">
        <f>IFERROR(__xludf.DUMMYFUNCTION("""COMPUTED_VALUE"""),"")</f>
        <v/>
      </c>
      <c r="I915" s="136" t="str">
        <f>IFERROR(__xludf.DUMMYFUNCTION("""COMPUTED_VALUE"""),"")</f>
        <v/>
      </c>
      <c r="J915" s="106" t="str">
        <f>IFERROR(__xludf.DUMMYFUNCTION("""COMPUTED_VALUE"""),"")</f>
        <v/>
      </c>
      <c r="L915" s="136" t="str">
        <f>IFERROR(__xludf.DUMMYFUNCTION("""COMPUTED_VALUE"""),"")</f>
        <v/>
      </c>
      <c r="M915" s="106" t="str">
        <f>IFERROR(__xludf.DUMMYFUNCTION("""COMPUTED_VALUE"""),"")</f>
        <v/>
      </c>
      <c r="O915" s="136" t="str">
        <f>IFERROR(__xludf.DUMMYFUNCTION("""COMPUTED_VALUE"""),"")</f>
        <v/>
      </c>
      <c r="P915" s="106" t="str">
        <f>IFERROR(__xludf.DUMMYFUNCTION("""COMPUTED_VALUE"""),"")</f>
        <v/>
      </c>
      <c r="R915" s="136" t="str">
        <f>IFERROR(__xludf.DUMMYFUNCTION("""COMPUTED_VALUE"""),"")</f>
        <v/>
      </c>
      <c r="S915" s="106" t="str">
        <f>IFERROR(__xludf.DUMMYFUNCTION("""COMPUTED_VALUE"""),"")</f>
        <v/>
      </c>
    </row>
    <row r="916">
      <c r="A916" s="136" t="s">
        <v>133</v>
      </c>
      <c r="B916" s="136"/>
      <c r="C916" s="136" t="s">
        <v>133</v>
      </c>
      <c r="D916" s="136"/>
      <c r="E916" s="106"/>
      <c r="F916" s="136" t="str">
        <f>IFERROR(__xludf.DUMMYFUNCTION("""COMPUTED_VALUE"""),"")</f>
        <v/>
      </c>
      <c r="G916" s="106" t="str">
        <f>IFERROR(__xludf.DUMMYFUNCTION("""COMPUTED_VALUE"""),"")</f>
        <v/>
      </c>
      <c r="I916" s="136" t="str">
        <f>IFERROR(__xludf.DUMMYFUNCTION("""COMPUTED_VALUE"""),"")</f>
        <v/>
      </c>
      <c r="J916" s="106" t="str">
        <f>IFERROR(__xludf.DUMMYFUNCTION("""COMPUTED_VALUE"""),"")</f>
        <v/>
      </c>
      <c r="L916" s="136" t="str">
        <f>IFERROR(__xludf.DUMMYFUNCTION("""COMPUTED_VALUE"""),"")</f>
        <v/>
      </c>
      <c r="M916" s="106" t="str">
        <f>IFERROR(__xludf.DUMMYFUNCTION("""COMPUTED_VALUE"""),"")</f>
        <v/>
      </c>
      <c r="O916" s="136" t="str">
        <f>IFERROR(__xludf.DUMMYFUNCTION("""COMPUTED_VALUE"""),"")</f>
        <v/>
      </c>
      <c r="P916" s="106" t="str">
        <f>IFERROR(__xludf.DUMMYFUNCTION("""COMPUTED_VALUE"""),"")</f>
        <v/>
      </c>
      <c r="R916" s="136" t="str">
        <f>IFERROR(__xludf.DUMMYFUNCTION("""COMPUTED_VALUE"""),"")</f>
        <v/>
      </c>
      <c r="S916" s="106" t="str">
        <f>IFERROR(__xludf.DUMMYFUNCTION("""COMPUTED_VALUE"""),"")</f>
        <v/>
      </c>
    </row>
    <row r="917">
      <c r="A917" s="136" t="s">
        <v>133</v>
      </c>
      <c r="B917" s="136"/>
      <c r="C917" s="136" t="s">
        <v>133</v>
      </c>
      <c r="D917" s="136"/>
      <c r="E917" s="106"/>
      <c r="F917" s="136" t="str">
        <f>IFERROR(__xludf.DUMMYFUNCTION("""COMPUTED_VALUE"""),"")</f>
        <v/>
      </c>
      <c r="G917" s="106" t="str">
        <f>IFERROR(__xludf.DUMMYFUNCTION("""COMPUTED_VALUE"""),"")</f>
        <v/>
      </c>
      <c r="I917" s="136" t="str">
        <f>IFERROR(__xludf.DUMMYFUNCTION("""COMPUTED_VALUE"""),"")</f>
        <v/>
      </c>
      <c r="J917" s="106" t="str">
        <f>IFERROR(__xludf.DUMMYFUNCTION("""COMPUTED_VALUE"""),"")</f>
        <v/>
      </c>
      <c r="L917" s="136" t="str">
        <f>IFERROR(__xludf.DUMMYFUNCTION("""COMPUTED_VALUE"""),"")</f>
        <v/>
      </c>
      <c r="M917" s="106" t="str">
        <f>IFERROR(__xludf.DUMMYFUNCTION("""COMPUTED_VALUE"""),"")</f>
        <v/>
      </c>
      <c r="O917" s="136" t="str">
        <f>IFERROR(__xludf.DUMMYFUNCTION("""COMPUTED_VALUE"""),"")</f>
        <v/>
      </c>
      <c r="P917" s="106" t="str">
        <f>IFERROR(__xludf.DUMMYFUNCTION("""COMPUTED_VALUE"""),"")</f>
        <v/>
      </c>
      <c r="R917" s="136" t="str">
        <f>IFERROR(__xludf.DUMMYFUNCTION("""COMPUTED_VALUE"""),"")</f>
        <v/>
      </c>
      <c r="S917" s="106" t="str">
        <f>IFERROR(__xludf.DUMMYFUNCTION("""COMPUTED_VALUE"""),"")</f>
        <v/>
      </c>
    </row>
    <row r="918">
      <c r="A918" s="136" t="s">
        <v>133</v>
      </c>
      <c r="B918" s="136"/>
      <c r="C918" s="136" t="s">
        <v>133</v>
      </c>
      <c r="D918" s="136"/>
      <c r="E918" s="106"/>
      <c r="F918" s="136" t="str">
        <f>IFERROR(__xludf.DUMMYFUNCTION("""COMPUTED_VALUE"""),"")</f>
        <v/>
      </c>
      <c r="G918" s="106" t="str">
        <f>IFERROR(__xludf.DUMMYFUNCTION("""COMPUTED_VALUE"""),"")</f>
        <v/>
      </c>
      <c r="I918" s="136" t="str">
        <f>IFERROR(__xludf.DUMMYFUNCTION("""COMPUTED_VALUE"""),"")</f>
        <v/>
      </c>
      <c r="J918" s="106" t="str">
        <f>IFERROR(__xludf.DUMMYFUNCTION("""COMPUTED_VALUE"""),"")</f>
        <v/>
      </c>
      <c r="L918" s="136" t="str">
        <f>IFERROR(__xludf.DUMMYFUNCTION("""COMPUTED_VALUE"""),"")</f>
        <v/>
      </c>
      <c r="M918" s="106" t="str">
        <f>IFERROR(__xludf.DUMMYFUNCTION("""COMPUTED_VALUE"""),"")</f>
        <v/>
      </c>
      <c r="O918" s="136" t="str">
        <f>IFERROR(__xludf.DUMMYFUNCTION("""COMPUTED_VALUE"""),"")</f>
        <v/>
      </c>
      <c r="P918" s="106" t="str">
        <f>IFERROR(__xludf.DUMMYFUNCTION("""COMPUTED_VALUE"""),"")</f>
        <v/>
      </c>
      <c r="R918" s="136" t="str">
        <f>IFERROR(__xludf.DUMMYFUNCTION("""COMPUTED_VALUE"""),"")</f>
        <v/>
      </c>
      <c r="S918" s="106" t="str">
        <f>IFERROR(__xludf.DUMMYFUNCTION("""COMPUTED_VALUE"""),"")</f>
        <v/>
      </c>
    </row>
    <row r="919">
      <c r="A919" s="136" t="s">
        <v>133</v>
      </c>
      <c r="B919" s="136"/>
      <c r="C919" s="136" t="s">
        <v>133</v>
      </c>
      <c r="D919" s="136"/>
      <c r="E919" s="106"/>
      <c r="F919" s="136" t="str">
        <f>IFERROR(__xludf.DUMMYFUNCTION("""COMPUTED_VALUE"""),"")</f>
        <v/>
      </c>
      <c r="G919" s="106" t="str">
        <f>IFERROR(__xludf.DUMMYFUNCTION("""COMPUTED_VALUE"""),"")</f>
        <v/>
      </c>
      <c r="I919" s="136" t="str">
        <f>IFERROR(__xludf.DUMMYFUNCTION("""COMPUTED_VALUE"""),"")</f>
        <v/>
      </c>
      <c r="J919" s="106" t="str">
        <f>IFERROR(__xludf.DUMMYFUNCTION("""COMPUTED_VALUE"""),"")</f>
        <v/>
      </c>
      <c r="L919" s="136" t="str">
        <f>IFERROR(__xludf.DUMMYFUNCTION("""COMPUTED_VALUE"""),"")</f>
        <v/>
      </c>
      <c r="M919" s="106" t="str">
        <f>IFERROR(__xludf.DUMMYFUNCTION("""COMPUTED_VALUE"""),"")</f>
        <v/>
      </c>
      <c r="O919" s="136" t="str">
        <f>IFERROR(__xludf.DUMMYFUNCTION("""COMPUTED_VALUE"""),"")</f>
        <v/>
      </c>
      <c r="P919" s="106" t="str">
        <f>IFERROR(__xludf.DUMMYFUNCTION("""COMPUTED_VALUE"""),"")</f>
        <v/>
      </c>
      <c r="R919" s="136" t="str">
        <f>IFERROR(__xludf.DUMMYFUNCTION("""COMPUTED_VALUE"""),"")</f>
        <v/>
      </c>
      <c r="S919" s="106" t="str">
        <f>IFERROR(__xludf.DUMMYFUNCTION("""COMPUTED_VALUE"""),"")</f>
        <v/>
      </c>
    </row>
    <row r="920">
      <c r="A920" s="136" t="s">
        <v>133</v>
      </c>
      <c r="B920" s="136"/>
      <c r="C920" s="136" t="s">
        <v>133</v>
      </c>
      <c r="D920" s="136"/>
      <c r="E920" s="106"/>
      <c r="F920" s="136" t="str">
        <f>IFERROR(__xludf.DUMMYFUNCTION("""COMPUTED_VALUE"""),"")</f>
        <v/>
      </c>
      <c r="G920" s="106" t="str">
        <f>IFERROR(__xludf.DUMMYFUNCTION("""COMPUTED_VALUE"""),"")</f>
        <v/>
      </c>
      <c r="I920" s="136" t="str">
        <f>IFERROR(__xludf.DUMMYFUNCTION("""COMPUTED_VALUE"""),"")</f>
        <v/>
      </c>
      <c r="J920" s="106" t="str">
        <f>IFERROR(__xludf.DUMMYFUNCTION("""COMPUTED_VALUE"""),"")</f>
        <v/>
      </c>
      <c r="L920" s="136" t="str">
        <f>IFERROR(__xludf.DUMMYFUNCTION("""COMPUTED_VALUE"""),"")</f>
        <v/>
      </c>
      <c r="M920" s="106" t="str">
        <f>IFERROR(__xludf.DUMMYFUNCTION("""COMPUTED_VALUE"""),"")</f>
        <v/>
      </c>
      <c r="O920" s="136" t="str">
        <f>IFERROR(__xludf.DUMMYFUNCTION("""COMPUTED_VALUE"""),"")</f>
        <v/>
      </c>
      <c r="P920" s="106" t="str">
        <f>IFERROR(__xludf.DUMMYFUNCTION("""COMPUTED_VALUE"""),"")</f>
        <v/>
      </c>
      <c r="R920" s="136" t="str">
        <f>IFERROR(__xludf.DUMMYFUNCTION("""COMPUTED_VALUE"""),"")</f>
        <v/>
      </c>
      <c r="S920" s="106" t="str">
        <f>IFERROR(__xludf.DUMMYFUNCTION("""COMPUTED_VALUE"""),"")</f>
        <v/>
      </c>
    </row>
    <row r="921">
      <c r="A921" s="136" t="s">
        <v>133</v>
      </c>
      <c r="B921" s="136"/>
      <c r="C921" s="136" t="s">
        <v>133</v>
      </c>
      <c r="D921" s="136"/>
      <c r="E921" s="106"/>
      <c r="F921" s="136" t="str">
        <f>IFERROR(__xludf.DUMMYFUNCTION("""COMPUTED_VALUE"""),"")</f>
        <v/>
      </c>
      <c r="G921" s="106" t="str">
        <f>IFERROR(__xludf.DUMMYFUNCTION("""COMPUTED_VALUE"""),"")</f>
        <v/>
      </c>
      <c r="I921" s="136" t="str">
        <f>IFERROR(__xludf.DUMMYFUNCTION("""COMPUTED_VALUE"""),"")</f>
        <v/>
      </c>
      <c r="J921" s="106" t="str">
        <f>IFERROR(__xludf.DUMMYFUNCTION("""COMPUTED_VALUE"""),"")</f>
        <v/>
      </c>
      <c r="L921" s="136" t="str">
        <f>IFERROR(__xludf.DUMMYFUNCTION("""COMPUTED_VALUE"""),"")</f>
        <v/>
      </c>
      <c r="M921" s="106" t="str">
        <f>IFERROR(__xludf.DUMMYFUNCTION("""COMPUTED_VALUE"""),"")</f>
        <v/>
      </c>
      <c r="O921" s="136" t="str">
        <f>IFERROR(__xludf.DUMMYFUNCTION("""COMPUTED_VALUE"""),"")</f>
        <v/>
      </c>
      <c r="P921" s="106" t="str">
        <f>IFERROR(__xludf.DUMMYFUNCTION("""COMPUTED_VALUE"""),"")</f>
        <v/>
      </c>
      <c r="R921" s="136" t="str">
        <f>IFERROR(__xludf.DUMMYFUNCTION("""COMPUTED_VALUE"""),"")</f>
        <v/>
      </c>
      <c r="S921" s="106" t="str">
        <f>IFERROR(__xludf.DUMMYFUNCTION("""COMPUTED_VALUE"""),"")</f>
        <v/>
      </c>
    </row>
    <row r="922">
      <c r="A922" s="136" t="s">
        <v>133</v>
      </c>
      <c r="B922" s="136"/>
      <c r="C922" s="136" t="s">
        <v>133</v>
      </c>
      <c r="D922" s="136"/>
      <c r="E922" s="106"/>
      <c r="F922" s="136" t="str">
        <f>IFERROR(__xludf.DUMMYFUNCTION("""COMPUTED_VALUE"""),"")</f>
        <v/>
      </c>
      <c r="G922" s="106" t="str">
        <f>IFERROR(__xludf.DUMMYFUNCTION("""COMPUTED_VALUE"""),"")</f>
        <v/>
      </c>
      <c r="I922" s="136" t="str">
        <f>IFERROR(__xludf.DUMMYFUNCTION("""COMPUTED_VALUE"""),"")</f>
        <v/>
      </c>
      <c r="J922" s="106" t="str">
        <f>IFERROR(__xludf.DUMMYFUNCTION("""COMPUTED_VALUE"""),"")</f>
        <v/>
      </c>
      <c r="L922" s="136" t="str">
        <f>IFERROR(__xludf.DUMMYFUNCTION("""COMPUTED_VALUE"""),"")</f>
        <v/>
      </c>
      <c r="M922" s="106" t="str">
        <f>IFERROR(__xludf.DUMMYFUNCTION("""COMPUTED_VALUE"""),"")</f>
        <v/>
      </c>
      <c r="O922" s="136" t="str">
        <f>IFERROR(__xludf.DUMMYFUNCTION("""COMPUTED_VALUE"""),"")</f>
        <v/>
      </c>
      <c r="P922" s="106" t="str">
        <f>IFERROR(__xludf.DUMMYFUNCTION("""COMPUTED_VALUE"""),"")</f>
        <v/>
      </c>
      <c r="R922" s="136" t="str">
        <f>IFERROR(__xludf.DUMMYFUNCTION("""COMPUTED_VALUE"""),"")</f>
        <v/>
      </c>
      <c r="S922" s="106" t="str">
        <f>IFERROR(__xludf.DUMMYFUNCTION("""COMPUTED_VALUE"""),"")</f>
        <v/>
      </c>
    </row>
    <row r="923">
      <c r="A923" s="136" t="s">
        <v>133</v>
      </c>
      <c r="B923" s="136"/>
      <c r="C923" s="136" t="s">
        <v>133</v>
      </c>
      <c r="D923" s="136"/>
      <c r="E923" s="106"/>
      <c r="F923" s="136" t="str">
        <f>IFERROR(__xludf.DUMMYFUNCTION("""COMPUTED_VALUE"""),"")</f>
        <v/>
      </c>
      <c r="G923" s="106" t="str">
        <f>IFERROR(__xludf.DUMMYFUNCTION("""COMPUTED_VALUE"""),"")</f>
        <v/>
      </c>
      <c r="I923" s="136" t="str">
        <f>IFERROR(__xludf.DUMMYFUNCTION("""COMPUTED_VALUE"""),"")</f>
        <v/>
      </c>
      <c r="J923" s="106" t="str">
        <f>IFERROR(__xludf.DUMMYFUNCTION("""COMPUTED_VALUE"""),"")</f>
        <v/>
      </c>
      <c r="L923" s="136" t="str">
        <f>IFERROR(__xludf.DUMMYFUNCTION("""COMPUTED_VALUE"""),"")</f>
        <v/>
      </c>
      <c r="M923" s="106" t="str">
        <f>IFERROR(__xludf.DUMMYFUNCTION("""COMPUTED_VALUE"""),"")</f>
        <v/>
      </c>
      <c r="O923" s="136" t="str">
        <f>IFERROR(__xludf.DUMMYFUNCTION("""COMPUTED_VALUE"""),"")</f>
        <v/>
      </c>
      <c r="P923" s="106" t="str">
        <f>IFERROR(__xludf.DUMMYFUNCTION("""COMPUTED_VALUE"""),"")</f>
        <v/>
      </c>
      <c r="R923" s="136" t="str">
        <f>IFERROR(__xludf.DUMMYFUNCTION("""COMPUTED_VALUE"""),"")</f>
        <v/>
      </c>
      <c r="S923" s="106" t="str">
        <f>IFERROR(__xludf.DUMMYFUNCTION("""COMPUTED_VALUE"""),"")</f>
        <v/>
      </c>
    </row>
    <row r="924">
      <c r="A924" s="136" t="s">
        <v>133</v>
      </c>
      <c r="B924" s="136"/>
      <c r="C924" s="136" t="s">
        <v>133</v>
      </c>
      <c r="D924" s="136"/>
      <c r="E924" s="106"/>
      <c r="F924" s="136" t="str">
        <f>IFERROR(__xludf.DUMMYFUNCTION("""COMPUTED_VALUE"""),"")</f>
        <v/>
      </c>
      <c r="G924" s="106" t="str">
        <f>IFERROR(__xludf.DUMMYFUNCTION("""COMPUTED_VALUE"""),"")</f>
        <v/>
      </c>
      <c r="I924" s="136" t="str">
        <f>IFERROR(__xludf.DUMMYFUNCTION("""COMPUTED_VALUE"""),"")</f>
        <v/>
      </c>
      <c r="J924" s="106" t="str">
        <f>IFERROR(__xludf.DUMMYFUNCTION("""COMPUTED_VALUE"""),"")</f>
        <v/>
      </c>
      <c r="L924" s="136" t="str">
        <f>IFERROR(__xludf.DUMMYFUNCTION("""COMPUTED_VALUE"""),"")</f>
        <v/>
      </c>
      <c r="M924" s="106" t="str">
        <f>IFERROR(__xludf.DUMMYFUNCTION("""COMPUTED_VALUE"""),"")</f>
        <v/>
      </c>
      <c r="O924" s="136" t="str">
        <f>IFERROR(__xludf.DUMMYFUNCTION("""COMPUTED_VALUE"""),"")</f>
        <v/>
      </c>
      <c r="P924" s="106" t="str">
        <f>IFERROR(__xludf.DUMMYFUNCTION("""COMPUTED_VALUE"""),"")</f>
        <v/>
      </c>
      <c r="R924" s="136" t="str">
        <f>IFERROR(__xludf.DUMMYFUNCTION("""COMPUTED_VALUE"""),"")</f>
        <v/>
      </c>
      <c r="S924" s="106" t="str">
        <f>IFERROR(__xludf.DUMMYFUNCTION("""COMPUTED_VALUE"""),"")</f>
        <v/>
      </c>
    </row>
    <row r="925">
      <c r="A925" s="136" t="s">
        <v>133</v>
      </c>
      <c r="B925" s="136"/>
      <c r="C925" s="136" t="s">
        <v>133</v>
      </c>
      <c r="D925" s="136"/>
      <c r="E925" s="106"/>
      <c r="F925" s="136" t="str">
        <f>IFERROR(__xludf.DUMMYFUNCTION("""COMPUTED_VALUE"""),"")</f>
        <v/>
      </c>
      <c r="G925" s="106" t="str">
        <f>IFERROR(__xludf.DUMMYFUNCTION("""COMPUTED_VALUE"""),"")</f>
        <v/>
      </c>
      <c r="I925" s="136" t="str">
        <f>IFERROR(__xludf.DUMMYFUNCTION("""COMPUTED_VALUE"""),"")</f>
        <v/>
      </c>
      <c r="J925" s="106" t="str">
        <f>IFERROR(__xludf.DUMMYFUNCTION("""COMPUTED_VALUE"""),"")</f>
        <v/>
      </c>
      <c r="L925" s="136" t="str">
        <f>IFERROR(__xludf.DUMMYFUNCTION("""COMPUTED_VALUE"""),"")</f>
        <v/>
      </c>
      <c r="M925" s="106" t="str">
        <f>IFERROR(__xludf.DUMMYFUNCTION("""COMPUTED_VALUE"""),"")</f>
        <v/>
      </c>
      <c r="O925" s="136" t="str">
        <f>IFERROR(__xludf.DUMMYFUNCTION("""COMPUTED_VALUE"""),"")</f>
        <v/>
      </c>
      <c r="P925" s="106" t="str">
        <f>IFERROR(__xludf.DUMMYFUNCTION("""COMPUTED_VALUE"""),"")</f>
        <v/>
      </c>
      <c r="R925" s="136" t="str">
        <f>IFERROR(__xludf.DUMMYFUNCTION("""COMPUTED_VALUE"""),"")</f>
        <v/>
      </c>
      <c r="S925" s="106" t="str">
        <f>IFERROR(__xludf.DUMMYFUNCTION("""COMPUTED_VALUE"""),"")</f>
        <v/>
      </c>
    </row>
    <row r="926">
      <c r="A926" s="136" t="s">
        <v>133</v>
      </c>
      <c r="B926" s="136"/>
      <c r="C926" s="136" t="s">
        <v>133</v>
      </c>
      <c r="D926" s="136"/>
      <c r="E926" s="106"/>
      <c r="F926" s="136" t="str">
        <f>IFERROR(__xludf.DUMMYFUNCTION("""COMPUTED_VALUE"""),"")</f>
        <v/>
      </c>
      <c r="G926" s="106" t="str">
        <f>IFERROR(__xludf.DUMMYFUNCTION("""COMPUTED_VALUE"""),"")</f>
        <v/>
      </c>
      <c r="I926" s="136" t="str">
        <f>IFERROR(__xludf.DUMMYFUNCTION("""COMPUTED_VALUE"""),"")</f>
        <v/>
      </c>
      <c r="J926" s="106" t="str">
        <f>IFERROR(__xludf.DUMMYFUNCTION("""COMPUTED_VALUE"""),"")</f>
        <v/>
      </c>
      <c r="L926" s="136" t="str">
        <f>IFERROR(__xludf.DUMMYFUNCTION("""COMPUTED_VALUE"""),"")</f>
        <v/>
      </c>
      <c r="M926" s="106" t="str">
        <f>IFERROR(__xludf.DUMMYFUNCTION("""COMPUTED_VALUE"""),"")</f>
        <v/>
      </c>
      <c r="O926" s="136" t="str">
        <f>IFERROR(__xludf.DUMMYFUNCTION("""COMPUTED_VALUE"""),"")</f>
        <v/>
      </c>
      <c r="P926" s="106" t="str">
        <f>IFERROR(__xludf.DUMMYFUNCTION("""COMPUTED_VALUE"""),"")</f>
        <v/>
      </c>
      <c r="R926" s="136" t="str">
        <f>IFERROR(__xludf.DUMMYFUNCTION("""COMPUTED_VALUE"""),"")</f>
        <v/>
      </c>
      <c r="S926" s="106" t="str">
        <f>IFERROR(__xludf.DUMMYFUNCTION("""COMPUTED_VALUE"""),"")</f>
        <v/>
      </c>
    </row>
    <row r="927">
      <c r="A927" s="136" t="s">
        <v>133</v>
      </c>
      <c r="B927" s="136"/>
      <c r="C927" s="136" t="s">
        <v>133</v>
      </c>
      <c r="D927" s="136"/>
      <c r="E927" s="106"/>
      <c r="F927" s="136" t="str">
        <f>IFERROR(__xludf.DUMMYFUNCTION("""COMPUTED_VALUE"""),"")</f>
        <v/>
      </c>
      <c r="G927" s="106" t="str">
        <f>IFERROR(__xludf.DUMMYFUNCTION("""COMPUTED_VALUE"""),"")</f>
        <v/>
      </c>
      <c r="I927" s="136" t="str">
        <f>IFERROR(__xludf.DUMMYFUNCTION("""COMPUTED_VALUE"""),"")</f>
        <v/>
      </c>
      <c r="J927" s="106" t="str">
        <f>IFERROR(__xludf.DUMMYFUNCTION("""COMPUTED_VALUE"""),"")</f>
        <v/>
      </c>
      <c r="L927" s="136" t="str">
        <f>IFERROR(__xludf.DUMMYFUNCTION("""COMPUTED_VALUE"""),"")</f>
        <v/>
      </c>
      <c r="M927" s="106" t="str">
        <f>IFERROR(__xludf.DUMMYFUNCTION("""COMPUTED_VALUE"""),"")</f>
        <v/>
      </c>
      <c r="O927" s="136" t="str">
        <f>IFERROR(__xludf.DUMMYFUNCTION("""COMPUTED_VALUE"""),"")</f>
        <v/>
      </c>
      <c r="P927" s="106" t="str">
        <f>IFERROR(__xludf.DUMMYFUNCTION("""COMPUTED_VALUE"""),"")</f>
        <v/>
      </c>
      <c r="R927" s="136" t="str">
        <f>IFERROR(__xludf.DUMMYFUNCTION("""COMPUTED_VALUE"""),"")</f>
        <v/>
      </c>
      <c r="S927" s="106" t="str">
        <f>IFERROR(__xludf.DUMMYFUNCTION("""COMPUTED_VALUE"""),"")</f>
        <v/>
      </c>
    </row>
    <row r="928">
      <c r="A928" s="136" t="s">
        <v>133</v>
      </c>
      <c r="B928" s="136"/>
      <c r="C928" s="136" t="s">
        <v>133</v>
      </c>
      <c r="D928" s="136"/>
      <c r="E928" s="106"/>
      <c r="F928" s="136" t="str">
        <f>IFERROR(__xludf.DUMMYFUNCTION("""COMPUTED_VALUE"""),"")</f>
        <v/>
      </c>
      <c r="G928" s="106" t="str">
        <f>IFERROR(__xludf.DUMMYFUNCTION("""COMPUTED_VALUE"""),"")</f>
        <v/>
      </c>
      <c r="I928" s="136" t="str">
        <f>IFERROR(__xludf.DUMMYFUNCTION("""COMPUTED_VALUE"""),"")</f>
        <v/>
      </c>
      <c r="J928" s="106" t="str">
        <f>IFERROR(__xludf.DUMMYFUNCTION("""COMPUTED_VALUE"""),"")</f>
        <v/>
      </c>
      <c r="L928" s="136" t="str">
        <f>IFERROR(__xludf.DUMMYFUNCTION("""COMPUTED_VALUE"""),"")</f>
        <v/>
      </c>
      <c r="M928" s="106" t="str">
        <f>IFERROR(__xludf.DUMMYFUNCTION("""COMPUTED_VALUE"""),"")</f>
        <v/>
      </c>
      <c r="O928" s="136" t="str">
        <f>IFERROR(__xludf.DUMMYFUNCTION("""COMPUTED_VALUE"""),"")</f>
        <v/>
      </c>
      <c r="P928" s="106" t="str">
        <f>IFERROR(__xludf.DUMMYFUNCTION("""COMPUTED_VALUE"""),"")</f>
        <v/>
      </c>
      <c r="R928" s="136" t="str">
        <f>IFERROR(__xludf.DUMMYFUNCTION("""COMPUTED_VALUE"""),"")</f>
        <v/>
      </c>
      <c r="S928" s="106" t="str">
        <f>IFERROR(__xludf.DUMMYFUNCTION("""COMPUTED_VALUE"""),"")</f>
        <v/>
      </c>
    </row>
    <row r="929">
      <c r="A929" s="136" t="s">
        <v>133</v>
      </c>
      <c r="B929" s="136"/>
      <c r="C929" s="136" t="s">
        <v>133</v>
      </c>
      <c r="D929" s="136"/>
      <c r="E929" s="106"/>
      <c r="F929" s="136" t="str">
        <f>IFERROR(__xludf.DUMMYFUNCTION("""COMPUTED_VALUE"""),"")</f>
        <v/>
      </c>
      <c r="G929" s="106" t="str">
        <f>IFERROR(__xludf.DUMMYFUNCTION("""COMPUTED_VALUE"""),"")</f>
        <v/>
      </c>
      <c r="I929" s="136" t="str">
        <f>IFERROR(__xludf.DUMMYFUNCTION("""COMPUTED_VALUE"""),"")</f>
        <v/>
      </c>
      <c r="J929" s="106" t="str">
        <f>IFERROR(__xludf.DUMMYFUNCTION("""COMPUTED_VALUE"""),"")</f>
        <v/>
      </c>
      <c r="L929" s="136" t="str">
        <f>IFERROR(__xludf.DUMMYFUNCTION("""COMPUTED_VALUE"""),"")</f>
        <v/>
      </c>
      <c r="M929" s="106" t="str">
        <f>IFERROR(__xludf.DUMMYFUNCTION("""COMPUTED_VALUE"""),"")</f>
        <v/>
      </c>
      <c r="O929" s="136" t="str">
        <f>IFERROR(__xludf.DUMMYFUNCTION("""COMPUTED_VALUE"""),"")</f>
        <v/>
      </c>
      <c r="P929" s="106" t="str">
        <f>IFERROR(__xludf.DUMMYFUNCTION("""COMPUTED_VALUE"""),"")</f>
        <v/>
      </c>
      <c r="R929" s="136" t="str">
        <f>IFERROR(__xludf.DUMMYFUNCTION("""COMPUTED_VALUE"""),"")</f>
        <v/>
      </c>
      <c r="S929" s="106" t="str">
        <f>IFERROR(__xludf.DUMMYFUNCTION("""COMPUTED_VALUE"""),"")</f>
        <v/>
      </c>
    </row>
    <row r="930">
      <c r="A930" s="136" t="s">
        <v>133</v>
      </c>
      <c r="B930" s="136"/>
      <c r="C930" s="136" t="s">
        <v>133</v>
      </c>
      <c r="D930" s="136"/>
      <c r="E930" s="106"/>
      <c r="F930" s="136" t="str">
        <f>IFERROR(__xludf.DUMMYFUNCTION("""COMPUTED_VALUE"""),"")</f>
        <v/>
      </c>
      <c r="G930" s="106" t="str">
        <f>IFERROR(__xludf.DUMMYFUNCTION("""COMPUTED_VALUE"""),"")</f>
        <v/>
      </c>
      <c r="I930" s="136" t="str">
        <f>IFERROR(__xludf.DUMMYFUNCTION("""COMPUTED_VALUE"""),"")</f>
        <v/>
      </c>
      <c r="J930" s="106" t="str">
        <f>IFERROR(__xludf.DUMMYFUNCTION("""COMPUTED_VALUE"""),"")</f>
        <v/>
      </c>
      <c r="L930" s="136" t="str">
        <f>IFERROR(__xludf.DUMMYFUNCTION("""COMPUTED_VALUE"""),"")</f>
        <v/>
      </c>
      <c r="M930" s="106" t="str">
        <f>IFERROR(__xludf.DUMMYFUNCTION("""COMPUTED_VALUE"""),"")</f>
        <v/>
      </c>
      <c r="O930" s="136" t="str">
        <f>IFERROR(__xludf.DUMMYFUNCTION("""COMPUTED_VALUE"""),"")</f>
        <v/>
      </c>
      <c r="P930" s="106" t="str">
        <f>IFERROR(__xludf.DUMMYFUNCTION("""COMPUTED_VALUE"""),"")</f>
        <v/>
      </c>
      <c r="R930" s="136" t="str">
        <f>IFERROR(__xludf.DUMMYFUNCTION("""COMPUTED_VALUE"""),"")</f>
        <v/>
      </c>
      <c r="S930" s="106" t="str">
        <f>IFERROR(__xludf.DUMMYFUNCTION("""COMPUTED_VALUE"""),"")</f>
        <v/>
      </c>
    </row>
    <row r="931">
      <c r="A931" s="136" t="s">
        <v>133</v>
      </c>
      <c r="B931" s="136"/>
      <c r="C931" s="136" t="s">
        <v>133</v>
      </c>
      <c r="D931" s="136"/>
      <c r="E931" s="106"/>
      <c r="F931" s="136" t="str">
        <f>IFERROR(__xludf.DUMMYFUNCTION("""COMPUTED_VALUE"""),"")</f>
        <v/>
      </c>
      <c r="G931" s="106" t="str">
        <f>IFERROR(__xludf.DUMMYFUNCTION("""COMPUTED_VALUE"""),"")</f>
        <v/>
      </c>
      <c r="I931" s="136" t="str">
        <f>IFERROR(__xludf.DUMMYFUNCTION("""COMPUTED_VALUE"""),"")</f>
        <v/>
      </c>
      <c r="J931" s="106" t="str">
        <f>IFERROR(__xludf.DUMMYFUNCTION("""COMPUTED_VALUE"""),"")</f>
        <v/>
      </c>
      <c r="L931" s="136" t="str">
        <f>IFERROR(__xludf.DUMMYFUNCTION("""COMPUTED_VALUE"""),"")</f>
        <v/>
      </c>
      <c r="M931" s="106" t="str">
        <f>IFERROR(__xludf.DUMMYFUNCTION("""COMPUTED_VALUE"""),"")</f>
        <v/>
      </c>
      <c r="O931" s="136" t="str">
        <f>IFERROR(__xludf.DUMMYFUNCTION("""COMPUTED_VALUE"""),"")</f>
        <v/>
      </c>
      <c r="P931" s="106" t="str">
        <f>IFERROR(__xludf.DUMMYFUNCTION("""COMPUTED_VALUE"""),"")</f>
        <v/>
      </c>
      <c r="R931" s="136" t="str">
        <f>IFERROR(__xludf.DUMMYFUNCTION("""COMPUTED_VALUE"""),"")</f>
        <v/>
      </c>
      <c r="S931" s="106" t="str">
        <f>IFERROR(__xludf.DUMMYFUNCTION("""COMPUTED_VALUE"""),"")</f>
        <v/>
      </c>
    </row>
    <row r="932">
      <c r="A932" s="136" t="s">
        <v>133</v>
      </c>
      <c r="B932" s="136"/>
      <c r="C932" s="136" t="s">
        <v>133</v>
      </c>
      <c r="D932" s="136"/>
      <c r="E932" s="106"/>
      <c r="F932" s="136" t="str">
        <f>IFERROR(__xludf.DUMMYFUNCTION("""COMPUTED_VALUE"""),"")</f>
        <v/>
      </c>
      <c r="G932" s="106" t="str">
        <f>IFERROR(__xludf.DUMMYFUNCTION("""COMPUTED_VALUE"""),"")</f>
        <v/>
      </c>
      <c r="I932" s="136" t="str">
        <f>IFERROR(__xludf.DUMMYFUNCTION("""COMPUTED_VALUE"""),"")</f>
        <v/>
      </c>
      <c r="J932" s="106" t="str">
        <f>IFERROR(__xludf.DUMMYFUNCTION("""COMPUTED_VALUE"""),"")</f>
        <v/>
      </c>
      <c r="L932" s="136" t="str">
        <f>IFERROR(__xludf.DUMMYFUNCTION("""COMPUTED_VALUE"""),"")</f>
        <v/>
      </c>
      <c r="M932" s="106" t="str">
        <f>IFERROR(__xludf.DUMMYFUNCTION("""COMPUTED_VALUE"""),"")</f>
        <v/>
      </c>
      <c r="O932" s="136" t="str">
        <f>IFERROR(__xludf.DUMMYFUNCTION("""COMPUTED_VALUE"""),"")</f>
        <v/>
      </c>
      <c r="P932" s="106" t="str">
        <f>IFERROR(__xludf.DUMMYFUNCTION("""COMPUTED_VALUE"""),"")</f>
        <v/>
      </c>
      <c r="R932" s="136" t="str">
        <f>IFERROR(__xludf.DUMMYFUNCTION("""COMPUTED_VALUE"""),"")</f>
        <v/>
      </c>
      <c r="S932" s="106" t="str">
        <f>IFERROR(__xludf.DUMMYFUNCTION("""COMPUTED_VALUE"""),"")</f>
        <v/>
      </c>
    </row>
    <row r="933">
      <c r="A933" s="136" t="s">
        <v>133</v>
      </c>
      <c r="B933" s="136"/>
      <c r="C933" s="136" t="s">
        <v>133</v>
      </c>
      <c r="D933" s="136"/>
      <c r="E933" s="106"/>
      <c r="F933" s="136" t="str">
        <f>IFERROR(__xludf.DUMMYFUNCTION("""COMPUTED_VALUE"""),"")</f>
        <v/>
      </c>
      <c r="G933" s="106" t="str">
        <f>IFERROR(__xludf.DUMMYFUNCTION("""COMPUTED_VALUE"""),"")</f>
        <v/>
      </c>
      <c r="I933" s="136" t="str">
        <f>IFERROR(__xludf.DUMMYFUNCTION("""COMPUTED_VALUE"""),"")</f>
        <v/>
      </c>
      <c r="J933" s="106" t="str">
        <f>IFERROR(__xludf.DUMMYFUNCTION("""COMPUTED_VALUE"""),"")</f>
        <v/>
      </c>
      <c r="L933" s="136" t="str">
        <f>IFERROR(__xludf.DUMMYFUNCTION("""COMPUTED_VALUE"""),"")</f>
        <v/>
      </c>
      <c r="M933" s="106" t="str">
        <f>IFERROR(__xludf.DUMMYFUNCTION("""COMPUTED_VALUE"""),"")</f>
        <v/>
      </c>
      <c r="O933" s="136" t="str">
        <f>IFERROR(__xludf.DUMMYFUNCTION("""COMPUTED_VALUE"""),"")</f>
        <v/>
      </c>
      <c r="P933" s="106" t="str">
        <f>IFERROR(__xludf.DUMMYFUNCTION("""COMPUTED_VALUE"""),"")</f>
        <v/>
      </c>
      <c r="R933" s="136" t="str">
        <f>IFERROR(__xludf.DUMMYFUNCTION("""COMPUTED_VALUE"""),"")</f>
        <v/>
      </c>
      <c r="S933" s="106" t="str">
        <f>IFERROR(__xludf.DUMMYFUNCTION("""COMPUTED_VALUE"""),"")</f>
        <v/>
      </c>
    </row>
    <row r="934">
      <c r="A934" s="136" t="s">
        <v>133</v>
      </c>
      <c r="B934" s="136"/>
      <c r="C934" s="136" t="s">
        <v>133</v>
      </c>
      <c r="D934" s="136"/>
      <c r="E934" s="106"/>
      <c r="F934" s="136" t="str">
        <f>IFERROR(__xludf.DUMMYFUNCTION("""COMPUTED_VALUE"""),"")</f>
        <v/>
      </c>
      <c r="G934" s="106" t="str">
        <f>IFERROR(__xludf.DUMMYFUNCTION("""COMPUTED_VALUE"""),"")</f>
        <v/>
      </c>
      <c r="I934" s="136" t="str">
        <f>IFERROR(__xludf.DUMMYFUNCTION("""COMPUTED_VALUE"""),"")</f>
        <v/>
      </c>
      <c r="J934" s="106" t="str">
        <f>IFERROR(__xludf.DUMMYFUNCTION("""COMPUTED_VALUE"""),"")</f>
        <v/>
      </c>
      <c r="L934" s="136" t="str">
        <f>IFERROR(__xludf.DUMMYFUNCTION("""COMPUTED_VALUE"""),"")</f>
        <v/>
      </c>
      <c r="M934" s="106" t="str">
        <f>IFERROR(__xludf.DUMMYFUNCTION("""COMPUTED_VALUE"""),"")</f>
        <v/>
      </c>
      <c r="O934" s="136" t="str">
        <f>IFERROR(__xludf.DUMMYFUNCTION("""COMPUTED_VALUE"""),"")</f>
        <v/>
      </c>
      <c r="P934" s="106" t="str">
        <f>IFERROR(__xludf.DUMMYFUNCTION("""COMPUTED_VALUE"""),"")</f>
        <v/>
      </c>
      <c r="R934" s="136" t="str">
        <f>IFERROR(__xludf.DUMMYFUNCTION("""COMPUTED_VALUE"""),"")</f>
        <v/>
      </c>
      <c r="S934" s="106" t="str">
        <f>IFERROR(__xludf.DUMMYFUNCTION("""COMPUTED_VALUE"""),"")</f>
        <v/>
      </c>
    </row>
    <row r="935">
      <c r="A935" s="136" t="s">
        <v>133</v>
      </c>
      <c r="B935" s="136"/>
      <c r="C935" s="136" t="s">
        <v>133</v>
      </c>
      <c r="D935" s="136"/>
      <c r="E935" s="106"/>
      <c r="F935" s="136" t="str">
        <f>IFERROR(__xludf.DUMMYFUNCTION("""COMPUTED_VALUE"""),"")</f>
        <v/>
      </c>
      <c r="G935" s="106" t="str">
        <f>IFERROR(__xludf.DUMMYFUNCTION("""COMPUTED_VALUE"""),"")</f>
        <v/>
      </c>
      <c r="I935" s="136" t="str">
        <f>IFERROR(__xludf.DUMMYFUNCTION("""COMPUTED_VALUE"""),"")</f>
        <v/>
      </c>
      <c r="J935" s="106" t="str">
        <f>IFERROR(__xludf.DUMMYFUNCTION("""COMPUTED_VALUE"""),"")</f>
        <v/>
      </c>
      <c r="L935" s="136" t="str">
        <f>IFERROR(__xludf.DUMMYFUNCTION("""COMPUTED_VALUE"""),"")</f>
        <v/>
      </c>
      <c r="M935" s="106" t="str">
        <f>IFERROR(__xludf.DUMMYFUNCTION("""COMPUTED_VALUE"""),"")</f>
        <v/>
      </c>
      <c r="O935" s="136" t="str">
        <f>IFERROR(__xludf.DUMMYFUNCTION("""COMPUTED_VALUE"""),"")</f>
        <v/>
      </c>
      <c r="P935" s="106" t="str">
        <f>IFERROR(__xludf.DUMMYFUNCTION("""COMPUTED_VALUE"""),"")</f>
        <v/>
      </c>
      <c r="R935" s="136" t="str">
        <f>IFERROR(__xludf.DUMMYFUNCTION("""COMPUTED_VALUE"""),"")</f>
        <v/>
      </c>
      <c r="S935" s="106" t="str">
        <f>IFERROR(__xludf.DUMMYFUNCTION("""COMPUTED_VALUE"""),"")</f>
        <v/>
      </c>
    </row>
    <row r="936">
      <c r="A936" s="136" t="s">
        <v>133</v>
      </c>
      <c r="B936" s="136"/>
      <c r="C936" s="136" t="s">
        <v>133</v>
      </c>
      <c r="D936" s="136"/>
      <c r="E936" s="106"/>
      <c r="F936" s="136" t="str">
        <f>IFERROR(__xludf.DUMMYFUNCTION("""COMPUTED_VALUE"""),"")</f>
        <v/>
      </c>
      <c r="G936" s="106" t="str">
        <f>IFERROR(__xludf.DUMMYFUNCTION("""COMPUTED_VALUE"""),"")</f>
        <v/>
      </c>
      <c r="I936" s="136" t="str">
        <f>IFERROR(__xludf.DUMMYFUNCTION("""COMPUTED_VALUE"""),"")</f>
        <v/>
      </c>
      <c r="J936" s="106" t="str">
        <f>IFERROR(__xludf.DUMMYFUNCTION("""COMPUTED_VALUE"""),"")</f>
        <v/>
      </c>
      <c r="L936" s="136" t="str">
        <f>IFERROR(__xludf.DUMMYFUNCTION("""COMPUTED_VALUE"""),"")</f>
        <v/>
      </c>
      <c r="M936" s="106" t="str">
        <f>IFERROR(__xludf.DUMMYFUNCTION("""COMPUTED_VALUE"""),"")</f>
        <v/>
      </c>
      <c r="O936" s="136" t="str">
        <f>IFERROR(__xludf.DUMMYFUNCTION("""COMPUTED_VALUE"""),"")</f>
        <v/>
      </c>
      <c r="P936" s="106" t="str">
        <f>IFERROR(__xludf.DUMMYFUNCTION("""COMPUTED_VALUE"""),"")</f>
        <v/>
      </c>
      <c r="R936" s="136" t="str">
        <f>IFERROR(__xludf.DUMMYFUNCTION("""COMPUTED_VALUE"""),"")</f>
        <v/>
      </c>
      <c r="S936" s="106" t="str">
        <f>IFERROR(__xludf.DUMMYFUNCTION("""COMPUTED_VALUE"""),"")</f>
        <v/>
      </c>
    </row>
    <row r="937">
      <c r="A937" s="136" t="s">
        <v>133</v>
      </c>
      <c r="B937" s="136"/>
      <c r="C937" s="136" t="s">
        <v>133</v>
      </c>
      <c r="D937" s="136"/>
      <c r="E937" s="106"/>
      <c r="F937" s="136" t="str">
        <f>IFERROR(__xludf.DUMMYFUNCTION("""COMPUTED_VALUE"""),"")</f>
        <v/>
      </c>
      <c r="G937" s="106" t="str">
        <f>IFERROR(__xludf.DUMMYFUNCTION("""COMPUTED_VALUE"""),"")</f>
        <v/>
      </c>
      <c r="I937" s="136" t="str">
        <f>IFERROR(__xludf.DUMMYFUNCTION("""COMPUTED_VALUE"""),"")</f>
        <v/>
      </c>
      <c r="J937" s="106" t="str">
        <f>IFERROR(__xludf.DUMMYFUNCTION("""COMPUTED_VALUE"""),"")</f>
        <v/>
      </c>
      <c r="L937" s="136" t="str">
        <f>IFERROR(__xludf.DUMMYFUNCTION("""COMPUTED_VALUE"""),"")</f>
        <v/>
      </c>
      <c r="M937" s="106" t="str">
        <f>IFERROR(__xludf.DUMMYFUNCTION("""COMPUTED_VALUE"""),"")</f>
        <v/>
      </c>
      <c r="O937" s="136" t="str">
        <f>IFERROR(__xludf.DUMMYFUNCTION("""COMPUTED_VALUE"""),"")</f>
        <v/>
      </c>
      <c r="P937" s="106" t="str">
        <f>IFERROR(__xludf.DUMMYFUNCTION("""COMPUTED_VALUE"""),"")</f>
        <v/>
      </c>
      <c r="R937" s="136" t="str">
        <f>IFERROR(__xludf.DUMMYFUNCTION("""COMPUTED_VALUE"""),"")</f>
        <v/>
      </c>
      <c r="S937" s="106" t="str">
        <f>IFERROR(__xludf.DUMMYFUNCTION("""COMPUTED_VALUE"""),"")</f>
        <v/>
      </c>
    </row>
    <row r="938">
      <c r="A938" s="136" t="s">
        <v>133</v>
      </c>
      <c r="B938" s="136"/>
      <c r="C938" s="136" t="s">
        <v>133</v>
      </c>
      <c r="D938" s="136"/>
      <c r="E938" s="106"/>
      <c r="F938" s="136" t="str">
        <f>IFERROR(__xludf.DUMMYFUNCTION("""COMPUTED_VALUE"""),"")</f>
        <v/>
      </c>
      <c r="G938" s="106" t="str">
        <f>IFERROR(__xludf.DUMMYFUNCTION("""COMPUTED_VALUE"""),"")</f>
        <v/>
      </c>
      <c r="I938" s="136" t="str">
        <f>IFERROR(__xludf.DUMMYFUNCTION("""COMPUTED_VALUE"""),"")</f>
        <v/>
      </c>
      <c r="J938" s="106" t="str">
        <f>IFERROR(__xludf.DUMMYFUNCTION("""COMPUTED_VALUE"""),"")</f>
        <v/>
      </c>
      <c r="L938" s="136" t="str">
        <f>IFERROR(__xludf.DUMMYFUNCTION("""COMPUTED_VALUE"""),"")</f>
        <v/>
      </c>
      <c r="M938" s="106" t="str">
        <f>IFERROR(__xludf.DUMMYFUNCTION("""COMPUTED_VALUE"""),"")</f>
        <v/>
      </c>
      <c r="O938" s="136" t="str">
        <f>IFERROR(__xludf.DUMMYFUNCTION("""COMPUTED_VALUE"""),"")</f>
        <v/>
      </c>
      <c r="P938" s="106" t="str">
        <f>IFERROR(__xludf.DUMMYFUNCTION("""COMPUTED_VALUE"""),"")</f>
        <v/>
      </c>
      <c r="R938" s="136" t="str">
        <f>IFERROR(__xludf.DUMMYFUNCTION("""COMPUTED_VALUE"""),"")</f>
        <v/>
      </c>
      <c r="S938" s="106" t="str">
        <f>IFERROR(__xludf.DUMMYFUNCTION("""COMPUTED_VALUE"""),"")</f>
        <v/>
      </c>
    </row>
    <row r="939">
      <c r="A939" s="136" t="s">
        <v>133</v>
      </c>
      <c r="B939" s="136"/>
      <c r="C939" s="136" t="s">
        <v>133</v>
      </c>
      <c r="D939" s="136"/>
      <c r="E939" s="106"/>
      <c r="F939" s="136" t="str">
        <f>IFERROR(__xludf.DUMMYFUNCTION("""COMPUTED_VALUE"""),"")</f>
        <v/>
      </c>
      <c r="G939" s="106" t="str">
        <f>IFERROR(__xludf.DUMMYFUNCTION("""COMPUTED_VALUE"""),"")</f>
        <v/>
      </c>
      <c r="I939" s="136" t="str">
        <f>IFERROR(__xludf.DUMMYFUNCTION("""COMPUTED_VALUE"""),"")</f>
        <v/>
      </c>
      <c r="J939" s="106" t="str">
        <f>IFERROR(__xludf.DUMMYFUNCTION("""COMPUTED_VALUE"""),"")</f>
        <v/>
      </c>
      <c r="L939" s="136" t="str">
        <f>IFERROR(__xludf.DUMMYFUNCTION("""COMPUTED_VALUE"""),"")</f>
        <v/>
      </c>
      <c r="M939" s="106" t="str">
        <f>IFERROR(__xludf.DUMMYFUNCTION("""COMPUTED_VALUE"""),"")</f>
        <v/>
      </c>
      <c r="O939" s="136" t="str">
        <f>IFERROR(__xludf.DUMMYFUNCTION("""COMPUTED_VALUE"""),"")</f>
        <v/>
      </c>
      <c r="P939" s="106" t="str">
        <f>IFERROR(__xludf.DUMMYFUNCTION("""COMPUTED_VALUE"""),"")</f>
        <v/>
      </c>
      <c r="R939" s="136" t="str">
        <f>IFERROR(__xludf.DUMMYFUNCTION("""COMPUTED_VALUE"""),"")</f>
        <v/>
      </c>
      <c r="S939" s="106" t="str">
        <f>IFERROR(__xludf.DUMMYFUNCTION("""COMPUTED_VALUE"""),"")</f>
        <v/>
      </c>
    </row>
    <row r="940">
      <c r="A940" s="136" t="s">
        <v>133</v>
      </c>
      <c r="B940" s="136"/>
      <c r="C940" s="136" t="s">
        <v>133</v>
      </c>
      <c r="D940" s="136"/>
      <c r="E940" s="106"/>
      <c r="F940" s="136" t="str">
        <f>IFERROR(__xludf.DUMMYFUNCTION("""COMPUTED_VALUE"""),"")</f>
        <v/>
      </c>
      <c r="G940" s="106" t="str">
        <f>IFERROR(__xludf.DUMMYFUNCTION("""COMPUTED_VALUE"""),"")</f>
        <v/>
      </c>
      <c r="I940" s="136" t="str">
        <f>IFERROR(__xludf.DUMMYFUNCTION("""COMPUTED_VALUE"""),"")</f>
        <v/>
      </c>
      <c r="J940" s="106" t="str">
        <f>IFERROR(__xludf.DUMMYFUNCTION("""COMPUTED_VALUE"""),"")</f>
        <v/>
      </c>
      <c r="L940" s="136" t="str">
        <f>IFERROR(__xludf.DUMMYFUNCTION("""COMPUTED_VALUE"""),"")</f>
        <v/>
      </c>
      <c r="M940" s="106" t="str">
        <f>IFERROR(__xludf.DUMMYFUNCTION("""COMPUTED_VALUE"""),"")</f>
        <v/>
      </c>
      <c r="O940" s="136" t="str">
        <f>IFERROR(__xludf.DUMMYFUNCTION("""COMPUTED_VALUE"""),"")</f>
        <v/>
      </c>
      <c r="P940" s="106" t="str">
        <f>IFERROR(__xludf.DUMMYFUNCTION("""COMPUTED_VALUE"""),"")</f>
        <v/>
      </c>
      <c r="R940" s="136" t="str">
        <f>IFERROR(__xludf.DUMMYFUNCTION("""COMPUTED_VALUE"""),"")</f>
        <v/>
      </c>
      <c r="S940" s="106" t="str">
        <f>IFERROR(__xludf.DUMMYFUNCTION("""COMPUTED_VALUE"""),"")</f>
        <v/>
      </c>
    </row>
    <row r="941">
      <c r="A941" s="136" t="s">
        <v>133</v>
      </c>
      <c r="B941" s="136"/>
      <c r="C941" s="136" t="s">
        <v>133</v>
      </c>
      <c r="D941" s="136"/>
      <c r="E941" s="106"/>
      <c r="F941" s="136" t="str">
        <f>IFERROR(__xludf.DUMMYFUNCTION("""COMPUTED_VALUE"""),"")</f>
        <v/>
      </c>
      <c r="G941" s="106" t="str">
        <f>IFERROR(__xludf.DUMMYFUNCTION("""COMPUTED_VALUE"""),"")</f>
        <v/>
      </c>
      <c r="I941" s="136" t="str">
        <f>IFERROR(__xludf.DUMMYFUNCTION("""COMPUTED_VALUE"""),"")</f>
        <v/>
      </c>
      <c r="J941" s="106" t="str">
        <f>IFERROR(__xludf.DUMMYFUNCTION("""COMPUTED_VALUE"""),"")</f>
        <v/>
      </c>
      <c r="L941" s="136" t="str">
        <f>IFERROR(__xludf.DUMMYFUNCTION("""COMPUTED_VALUE"""),"")</f>
        <v/>
      </c>
      <c r="M941" s="106" t="str">
        <f>IFERROR(__xludf.DUMMYFUNCTION("""COMPUTED_VALUE"""),"")</f>
        <v/>
      </c>
      <c r="O941" s="136" t="str">
        <f>IFERROR(__xludf.DUMMYFUNCTION("""COMPUTED_VALUE"""),"")</f>
        <v/>
      </c>
      <c r="P941" s="106" t="str">
        <f>IFERROR(__xludf.DUMMYFUNCTION("""COMPUTED_VALUE"""),"")</f>
        <v/>
      </c>
      <c r="R941" s="136" t="str">
        <f>IFERROR(__xludf.DUMMYFUNCTION("""COMPUTED_VALUE"""),"")</f>
        <v/>
      </c>
      <c r="S941" s="106" t="str">
        <f>IFERROR(__xludf.DUMMYFUNCTION("""COMPUTED_VALUE"""),"")</f>
        <v/>
      </c>
    </row>
    <row r="942">
      <c r="A942" s="136" t="s">
        <v>133</v>
      </c>
      <c r="B942" s="136"/>
      <c r="C942" s="136" t="s">
        <v>133</v>
      </c>
      <c r="D942" s="136"/>
      <c r="E942" s="106"/>
      <c r="F942" s="136" t="str">
        <f>IFERROR(__xludf.DUMMYFUNCTION("""COMPUTED_VALUE"""),"")</f>
        <v/>
      </c>
      <c r="G942" s="106" t="str">
        <f>IFERROR(__xludf.DUMMYFUNCTION("""COMPUTED_VALUE"""),"")</f>
        <v/>
      </c>
      <c r="I942" s="136" t="str">
        <f>IFERROR(__xludf.DUMMYFUNCTION("""COMPUTED_VALUE"""),"")</f>
        <v/>
      </c>
      <c r="J942" s="106" t="str">
        <f>IFERROR(__xludf.DUMMYFUNCTION("""COMPUTED_VALUE"""),"")</f>
        <v/>
      </c>
      <c r="L942" s="136" t="str">
        <f>IFERROR(__xludf.DUMMYFUNCTION("""COMPUTED_VALUE"""),"")</f>
        <v/>
      </c>
      <c r="M942" s="106" t="str">
        <f>IFERROR(__xludf.DUMMYFUNCTION("""COMPUTED_VALUE"""),"")</f>
        <v/>
      </c>
      <c r="O942" s="136" t="str">
        <f>IFERROR(__xludf.DUMMYFUNCTION("""COMPUTED_VALUE"""),"")</f>
        <v/>
      </c>
      <c r="P942" s="106" t="str">
        <f>IFERROR(__xludf.DUMMYFUNCTION("""COMPUTED_VALUE"""),"")</f>
        <v/>
      </c>
      <c r="R942" s="136" t="str">
        <f>IFERROR(__xludf.DUMMYFUNCTION("""COMPUTED_VALUE"""),"")</f>
        <v/>
      </c>
      <c r="S942" s="106" t="str">
        <f>IFERROR(__xludf.DUMMYFUNCTION("""COMPUTED_VALUE"""),"")</f>
        <v/>
      </c>
    </row>
    <row r="943">
      <c r="A943" s="136" t="s">
        <v>133</v>
      </c>
      <c r="B943" s="136"/>
      <c r="C943" s="136" t="s">
        <v>133</v>
      </c>
      <c r="D943" s="136"/>
      <c r="E943" s="106"/>
      <c r="F943" s="136" t="str">
        <f>IFERROR(__xludf.DUMMYFUNCTION("""COMPUTED_VALUE"""),"")</f>
        <v/>
      </c>
      <c r="G943" s="106" t="str">
        <f>IFERROR(__xludf.DUMMYFUNCTION("""COMPUTED_VALUE"""),"")</f>
        <v/>
      </c>
      <c r="I943" s="136" t="str">
        <f>IFERROR(__xludf.DUMMYFUNCTION("""COMPUTED_VALUE"""),"")</f>
        <v/>
      </c>
      <c r="J943" s="106" t="str">
        <f>IFERROR(__xludf.DUMMYFUNCTION("""COMPUTED_VALUE"""),"")</f>
        <v/>
      </c>
      <c r="L943" s="136" t="str">
        <f>IFERROR(__xludf.DUMMYFUNCTION("""COMPUTED_VALUE"""),"")</f>
        <v/>
      </c>
      <c r="M943" s="106" t="str">
        <f>IFERROR(__xludf.DUMMYFUNCTION("""COMPUTED_VALUE"""),"")</f>
        <v/>
      </c>
      <c r="O943" s="136" t="str">
        <f>IFERROR(__xludf.DUMMYFUNCTION("""COMPUTED_VALUE"""),"")</f>
        <v/>
      </c>
      <c r="P943" s="106" t="str">
        <f>IFERROR(__xludf.DUMMYFUNCTION("""COMPUTED_VALUE"""),"")</f>
        <v/>
      </c>
      <c r="R943" s="136" t="str">
        <f>IFERROR(__xludf.DUMMYFUNCTION("""COMPUTED_VALUE"""),"")</f>
        <v/>
      </c>
      <c r="S943" s="106" t="str">
        <f>IFERROR(__xludf.DUMMYFUNCTION("""COMPUTED_VALUE"""),"")</f>
        <v/>
      </c>
    </row>
    <row r="944">
      <c r="A944" s="136" t="s">
        <v>133</v>
      </c>
      <c r="B944" s="136"/>
      <c r="C944" s="136" t="s">
        <v>133</v>
      </c>
      <c r="D944" s="136"/>
      <c r="E944" s="106"/>
      <c r="F944" s="136" t="str">
        <f>IFERROR(__xludf.DUMMYFUNCTION("""COMPUTED_VALUE"""),"")</f>
        <v/>
      </c>
      <c r="G944" s="106" t="str">
        <f>IFERROR(__xludf.DUMMYFUNCTION("""COMPUTED_VALUE"""),"")</f>
        <v/>
      </c>
      <c r="I944" s="136" t="str">
        <f>IFERROR(__xludf.DUMMYFUNCTION("""COMPUTED_VALUE"""),"")</f>
        <v/>
      </c>
      <c r="J944" s="106" t="str">
        <f>IFERROR(__xludf.DUMMYFUNCTION("""COMPUTED_VALUE"""),"")</f>
        <v/>
      </c>
      <c r="L944" s="136" t="str">
        <f>IFERROR(__xludf.DUMMYFUNCTION("""COMPUTED_VALUE"""),"")</f>
        <v/>
      </c>
      <c r="M944" s="106" t="str">
        <f>IFERROR(__xludf.DUMMYFUNCTION("""COMPUTED_VALUE"""),"")</f>
        <v/>
      </c>
      <c r="O944" s="136" t="str">
        <f>IFERROR(__xludf.DUMMYFUNCTION("""COMPUTED_VALUE"""),"")</f>
        <v/>
      </c>
      <c r="P944" s="106" t="str">
        <f>IFERROR(__xludf.DUMMYFUNCTION("""COMPUTED_VALUE"""),"")</f>
        <v/>
      </c>
      <c r="R944" s="136" t="str">
        <f>IFERROR(__xludf.DUMMYFUNCTION("""COMPUTED_VALUE"""),"")</f>
        <v/>
      </c>
      <c r="S944" s="106" t="str">
        <f>IFERROR(__xludf.DUMMYFUNCTION("""COMPUTED_VALUE"""),"")</f>
        <v/>
      </c>
    </row>
    <row r="945">
      <c r="A945" s="136" t="s">
        <v>133</v>
      </c>
      <c r="B945" s="136"/>
      <c r="C945" s="136" t="s">
        <v>133</v>
      </c>
      <c r="D945" s="136"/>
      <c r="E945" s="106"/>
      <c r="F945" s="136" t="str">
        <f>IFERROR(__xludf.DUMMYFUNCTION("""COMPUTED_VALUE"""),"")</f>
        <v/>
      </c>
      <c r="G945" s="106" t="str">
        <f>IFERROR(__xludf.DUMMYFUNCTION("""COMPUTED_VALUE"""),"")</f>
        <v/>
      </c>
      <c r="I945" s="136" t="str">
        <f>IFERROR(__xludf.DUMMYFUNCTION("""COMPUTED_VALUE"""),"")</f>
        <v/>
      </c>
      <c r="J945" s="106" t="str">
        <f>IFERROR(__xludf.DUMMYFUNCTION("""COMPUTED_VALUE"""),"")</f>
        <v/>
      </c>
      <c r="L945" s="136" t="str">
        <f>IFERROR(__xludf.DUMMYFUNCTION("""COMPUTED_VALUE"""),"")</f>
        <v/>
      </c>
      <c r="M945" s="106" t="str">
        <f>IFERROR(__xludf.DUMMYFUNCTION("""COMPUTED_VALUE"""),"")</f>
        <v/>
      </c>
      <c r="O945" s="136" t="str">
        <f>IFERROR(__xludf.DUMMYFUNCTION("""COMPUTED_VALUE"""),"")</f>
        <v/>
      </c>
      <c r="P945" s="106" t="str">
        <f>IFERROR(__xludf.DUMMYFUNCTION("""COMPUTED_VALUE"""),"")</f>
        <v/>
      </c>
      <c r="R945" s="136" t="str">
        <f>IFERROR(__xludf.DUMMYFUNCTION("""COMPUTED_VALUE"""),"")</f>
        <v/>
      </c>
      <c r="S945" s="106" t="str">
        <f>IFERROR(__xludf.DUMMYFUNCTION("""COMPUTED_VALUE"""),"")</f>
        <v/>
      </c>
    </row>
    <row r="946">
      <c r="A946" s="136" t="s">
        <v>133</v>
      </c>
      <c r="B946" s="136"/>
      <c r="C946" s="136" t="s">
        <v>133</v>
      </c>
      <c r="D946" s="136"/>
      <c r="E946" s="106"/>
      <c r="F946" s="136" t="str">
        <f>IFERROR(__xludf.DUMMYFUNCTION("""COMPUTED_VALUE"""),"")</f>
        <v/>
      </c>
      <c r="G946" s="106" t="str">
        <f>IFERROR(__xludf.DUMMYFUNCTION("""COMPUTED_VALUE"""),"")</f>
        <v/>
      </c>
      <c r="I946" s="136" t="str">
        <f>IFERROR(__xludf.DUMMYFUNCTION("""COMPUTED_VALUE"""),"")</f>
        <v/>
      </c>
      <c r="J946" s="106" t="str">
        <f>IFERROR(__xludf.DUMMYFUNCTION("""COMPUTED_VALUE"""),"")</f>
        <v/>
      </c>
      <c r="L946" s="136" t="str">
        <f>IFERROR(__xludf.DUMMYFUNCTION("""COMPUTED_VALUE"""),"")</f>
        <v/>
      </c>
      <c r="M946" s="106" t="str">
        <f>IFERROR(__xludf.DUMMYFUNCTION("""COMPUTED_VALUE"""),"")</f>
        <v/>
      </c>
      <c r="O946" s="136" t="str">
        <f>IFERROR(__xludf.DUMMYFUNCTION("""COMPUTED_VALUE"""),"")</f>
        <v/>
      </c>
      <c r="P946" s="106" t="str">
        <f>IFERROR(__xludf.DUMMYFUNCTION("""COMPUTED_VALUE"""),"")</f>
        <v/>
      </c>
      <c r="R946" s="136" t="str">
        <f>IFERROR(__xludf.DUMMYFUNCTION("""COMPUTED_VALUE"""),"")</f>
        <v/>
      </c>
      <c r="S946" s="106" t="str">
        <f>IFERROR(__xludf.DUMMYFUNCTION("""COMPUTED_VALUE"""),"")</f>
        <v/>
      </c>
    </row>
    <row r="947">
      <c r="A947" s="136" t="s">
        <v>133</v>
      </c>
      <c r="B947" s="136"/>
      <c r="C947" s="136" t="s">
        <v>133</v>
      </c>
      <c r="D947" s="136"/>
      <c r="E947" s="106"/>
      <c r="F947" s="136" t="str">
        <f>IFERROR(__xludf.DUMMYFUNCTION("""COMPUTED_VALUE"""),"")</f>
        <v/>
      </c>
      <c r="G947" s="106" t="str">
        <f>IFERROR(__xludf.DUMMYFUNCTION("""COMPUTED_VALUE"""),"")</f>
        <v/>
      </c>
      <c r="I947" s="136" t="str">
        <f>IFERROR(__xludf.DUMMYFUNCTION("""COMPUTED_VALUE"""),"")</f>
        <v/>
      </c>
      <c r="J947" s="106" t="str">
        <f>IFERROR(__xludf.DUMMYFUNCTION("""COMPUTED_VALUE"""),"")</f>
        <v/>
      </c>
      <c r="L947" s="136" t="str">
        <f>IFERROR(__xludf.DUMMYFUNCTION("""COMPUTED_VALUE"""),"")</f>
        <v/>
      </c>
      <c r="M947" s="106" t="str">
        <f>IFERROR(__xludf.DUMMYFUNCTION("""COMPUTED_VALUE"""),"")</f>
        <v/>
      </c>
      <c r="O947" s="136" t="str">
        <f>IFERROR(__xludf.DUMMYFUNCTION("""COMPUTED_VALUE"""),"")</f>
        <v/>
      </c>
      <c r="P947" s="106" t="str">
        <f>IFERROR(__xludf.DUMMYFUNCTION("""COMPUTED_VALUE"""),"")</f>
        <v/>
      </c>
      <c r="R947" s="136" t="str">
        <f>IFERROR(__xludf.DUMMYFUNCTION("""COMPUTED_VALUE"""),"")</f>
        <v/>
      </c>
      <c r="S947" s="106" t="str">
        <f>IFERROR(__xludf.DUMMYFUNCTION("""COMPUTED_VALUE"""),"")</f>
        <v/>
      </c>
    </row>
    <row r="948">
      <c r="A948" s="136" t="s">
        <v>133</v>
      </c>
      <c r="B948" s="136"/>
      <c r="C948" s="136" t="s">
        <v>133</v>
      </c>
      <c r="D948" s="136"/>
      <c r="E948" s="106"/>
      <c r="F948" s="136" t="str">
        <f>IFERROR(__xludf.DUMMYFUNCTION("""COMPUTED_VALUE"""),"")</f>
        <v/>
      </c>
      <c r="G948" s="106" t="str">
        <f>IFERROR(__xludf.DUMMYFUNCTION("""COMPUTED_VALUE"""),"")</f>
        <v/>
      </c>
      <c r="I948" s="136" t="str">
        <f>IFERROR(__xludf.DUMMYFUNCTION("""COMPUTED_VALUE"""),"")</f>
        <v/>
      </c>
      <c r="J948" s="106" t="str">
        <f>IFERROR(__xludf.DUMMYFUNCTION("""COMPUTED_VALUE"""),"")</f>
        <v/>
      </c>
      <c r="L948" s="136" t="str">
        <f>IFERROR(__xludf.DUMMYFUNCTION("""COMPUTED_VALUE"""),"")</f>
        <v/>
      </c>
      <c r="M948" s="106" t="str">
        <f>IFERROR(__xludf.DUMMYFUNCTION("""COMPUTED_VALUE"""),"")</f>
        <v/>
      </c>
      <c r="O948" s="136" t="str">
        <f>IFERROR(__xludf.DUMMYFUNCTION("""COMPUTED_VALUE"""),"")</f>
        <v/>
      </c>
      <c r="P948" s="106" t="str">
        <f>IFERROR(__xludf.DUMMYFUNCTION("""COMPUTED_VALUE"""),"")</f>
        <v/>
      </c>
      <c r="R948" s="136" t="str">
        <f>IFERROR(__xludf.DUMMYFUNCTION("""COMPUTED_VALUE"""),"")</f>
        <v/>
      </c>
      <c r="S948" s="106" t="str">
        <f>IFERROR(__xludf.DUMMYFUNCTION("""COMPUTED_VALUE"""),"")</f>
        <v/>
      </c>
    </row>
    <row r="949">
      <c r="A949" s="136" t="s">
        <v>133</v>
      </c>
      <c r="B949" s="136"/>
      <c r="C949" s="136" t="s">
        <v>133</v>
      </c>
      <c r="D949" s="136"/>
      <c r="E949" s="106"/>
      <c r="F949" s="136" t="str">
        <f>IFERROR(__xludf.DUMMYFUNCTION("""COMPUTED_VALUE"""),"")</f>
        <v/>
      </c>
      <c r="G949" s="106" t="str">
        <f>IFERROR(__xludf.DUMMYFUNCTION("""COMPUTED_VALUE"""),"")</f>
        <v/>
      </c>
      <c r="I949" s="136" t="str">
        <f>IFERROR(__xludf.DUMMYFUNCTION("""COMPUTED_VALUE"""),"")</f>
        <v/>
      </c>
      <c r="J949" s="106" t="str">
        <f>IFERROR(__xludf.DUMMYFUNCTION("""COMPUTED_VALUE"""),"")</f>
        <v/>
      </c>
      <c r="L949" s="136" t="str">
        <f>IFERROR(__xludf.DUMMYFUNCTION("""COMPUTED_VALUE"""),"")</f>
        <v/>
      </c>
      <c r="M949" s="106" t="str">
        <f>IFERROR(__xludf.DUMMYFUNCTION("""COMPUTED_VALUE"""),"")</f>
        <v/>
      </c>
      <c r="O949" s="136" t="str">
        <f>IFERROR(__xludf.DUMMYFUNCTION("""COMPUTED_VALUE"""),"")</f>
        <v/>
      </c>
      <c r="P949" s="106" t="str">
        <f>IFERROR(__xludf.DUMMYFUNCTION("""COMPUTED_VALUE"""),"")</f>
        <v/>
      </c>
      <c r="R949" s="136" t="str">
        <f>IFERROR(__xludf.DUMMYFUNCTION("""COMPUTED_VALUE"""),"")</f>
        <v/>
      </c>
      <c r="S949" s="106" t="str">
        <f>IFERROR(__xludf.DUMMYFUNCTION("""COMPUTED_VALUE"""),"")</f>
        <v/>
      </c>
    </row>
    <row r="950">
      <c r="A950" s="136" t="s">
        <v>133</v>
      </c>
      <c r="B950" s="136"/>
      <c r="C950" s="136" t="s">
        <v>133</v>
      </c>
      <c r="D950" s="136"/>
      <c r="E950" s="106"/>
      <c r="F950" s="136" t="str">
        <f>IFERROR(__xludf.DUMMYFUNCTION("""COMPUTED_VALUE"""),"")</f>
        <v/>
      </c>
      <c r="G950" s="106" t="str">
        <f>IFERROR(__xludf.DUMMYFUNCTION("""COMPUTED_VALUE"""),"")</f>
        <v/>
      </c>
      <c r="I950" s="136" t="str">
        <f>IFERROR(__xludf.DUMMYFUNCTION("""COMPUTED_VALUE"""),"")</f>
        <v/>
      </c>
      <c r="J950" s="106" t="str">
        <f>IFERROR(__xludf.DUMMYFUNCTION("""COMPUTED_VALUE"""),"")</f>
        <v/>
      </c>
      <c r="L950" s="136" t="str">
        <f>IFERROR(__xludf.DUMMYFUNCTION("""COMPUTED_VALUE"""),"")</f>
        <v/>
      </c>
      <c r="M950" s="106" t="str">
        <f>IFERROR(__xludf.DUMMYFUNCTION("""COMPUTED_VALUE"""),"")</f>
        <v/>
      </c>
      <c r="O950" s="136" t="str">
        <f>IFERROR(__xludf.DUMMYFUNCTION("""COMPUTED_VALUE"""),"")</f>
        <v/>
      </c>
      <c r="P950" s="106" t="str">
        <f>IFERROR(__xludf.DUMMYFUNCTION("""COMPUTED_VALUE"""),"")</f>
        <v/>
      </c>
      <c r="R950" s="136" t="str">
        <f>IFERROR(__xludf.DUMMYFUNCTION("""COMPUTED_VALUE"""),"")</f>
        <v/>
      </c>
      <c r="S950" s="106" t="str">
        <f>IFERROR(__xludf.DUMMYFUNCTION("""COMPUTED_VALUE"""),"")</f>
        <v/>
      </c>
    </row>
    <row r="951">
      <c r="A951" s="136" t="s">
        <v>133</v>
      </c>
      <c r="B951" s="136"/>
      <c r="C951" s="136" t="s">
        <v>133</v>
      </c>
      <c r="D951" s="136"/>
      <c r="E951" s="106"/>
      <c r="F951" s="136" t="str">
        <f>IFERROR(__xludf.DUMMYFUNCTION("""COMPUTED_VALUE"""),"")</f>
        <v/>
      </c>
      <c r="G951" s="106" t="str">
        <f>IFERROR(__xludf.DUMMYFUNCTION("""COMPUTED_VALUE"""),"")</f>
        <v/>
      </c>
      <c r="I951" s="136" t="str">
        <f>IFERROR(__xludf.DUMMYFUNCTION("""COMPUTED_VALUE"""),"")</f>
        <v/>
      </c>
      <c r="J951" s="106" t="str">
        <f>IFERROR(__xludf.DUMMYFUNCTION("""COMPUTED_VALUE"""),"")</f>
        <v/>
      </c>
      <c r="L951" s="136" t="str">
        <f>IFERROR(__xludf.DUMMYFUNCTION("""COMPUTED_VALUE"""),"")</f>
        <v/>
      </c>
      <c r="M951" s="106" t="str">
        <f>IFERROR(__xludf.DUMMYFUNCTION("""COMPUTED_VALUE"""),"")</f>
        <v/>
      </c>
      <c r="O951" s="136" t="str">
        <f>IFERROR(__xludf.DUMMYFUNCTION("""COMPUTED_VALUE"""),"")</f>
        <v/>
      </c>
      <c r="P951" s="106" t="str">
        <f>IFERROR(__xludf.DUMMYFUNCTION("""COMPUTED_VALUE"""),"")</f>
        <v/>
      </c>
      <c r="R951" s="136" t="str">
        <f>IFERROR(__xludf.DUMMYFUNCTION("""COMPUTED_VALUE"""),"")</f>
        <v/>
      </c>
      <c r="S951" s="106" t="str">
        <f>IFERROR(__xludf.DUMMYFUNCTION("""COMPUTED_VALUE"""),"")</f>
        <v/>
      </c>
    </row>
    <row r="952">
      <c r="A952" s="136" t="s">
        <v>133</v>
      </c>
      <c r="B952" s="136"/>
      <c r="C952" s="136" t="s">
        <v>133</v>
      </c>
      <c r="D952" s="136"/>
      <c r="E952" s="106"/>
      <c r="F952" s="136" t="str">
        <f>IFERROR(__xludf.DUMMYFUNCTION("""COMPUTED_VALUE"""),"")</f>
        <v/>
      </c>
      <c r="G952" s="106" t="str">
        <f>IFERROR(__xludf.DUMMYFUNCTION("""COMPUTED_VALUE"""),"")</f>
        <v/>
      </c>
      <c r="I952" s="136" t="str">
        <f>IFERROR(__xludf.DUMMYFUNCTION("""COMPUTED_VALUE"""),"")</f>
        <v/>
      </c>
      <c r="J952" s="106" t="str">
        <f>IFERROR(__xludf.DUMMYFUNCTION("""COMPUTED_VALUE"""),"")</f>
        <v/>
      </c>
      <c r="L952" s="136" t="str">
        <f>IFERROR(__xludf.DUMMYFUNCTION("""COMPUTED_VALUE"""),"")</f>
        <v/>
      </c>
      <c r="M952" s="106" t="str">
        <f>IFERROR(__xludf.DUMMYFUNCTION("""COMPUTED_VALUE"""),"")</f>
        <v/>
      </c>
      <c r="O952" s="136" t="str">
        <f>IFERROR(__xludf.DUMMYFUNCTION("""COMPUTED_VALUE"""),"")</f>
        <v/>
      </c>
      <c r="P952" s="106" t="str">
        <f>IFERROR(__xludf.DUMMYFUNCTION("""COMPUTED_VALUE"""),"")</f>
        <v/>
      </c>
      <c r="R952" s="136" t="str">
        <f>IFERROR(__xludf.DUMMYFUNCTION("""COMPUTED_VALUE"""),"")</f>
        <v/>
      </c>
      <c r="S952" s="106" t="str">
        <f>IFERROR(__xludf.DUMMYFUNCTION("""COMPUTED_VALUE"""),"")</f>
        <v/>
      </c>
    </row>
    <row r="953">
      <c r="A953" s="136" t="s">
        <v>133</v>
      </c>
      <c r="B953" s="136"/>
      <c r="C953" s="136" t="s">
        <v>133</v>
      </c>
      <c r="D953" s="136"/>
      <c r="E953" s="106"/>
      <c r="F953" s="136" t="str">
        <f>IFERROR(__xludf.DUMMYFUNCTION("""COMPUTED_VALUE"""),"")</f>
        <v/>
      </c>
      <c r="G953" s="106" t="str">
        <f>IFERROR(__xludf.DUMMYFUNCTION("""COMPUTED_VALUE"""),"")</f>
        <v/>
      </c>
      <c r="I953" s="136" t="str">
        <f>IFERROR(__xludf.DUMMYFUNCTION("""COMPUTED_VALUE"""),"")</f>
        <v/>
      </c>
      <c r="J953" s="106" t="str">
        <f>IFERROR(__xludf.DUMMYFUNCTION("""COMPUTED_VALUE"""),"")</f>
        <v/>
      </c>
      <c r="L953" s="136" t="str">
        <f>IFERROR(__xludf.DUMMYFUNCTION("""COMPUTED_VALUE"""),"")</f>
        <v/>
      </c>
      <c r="M953" s="106" t="str">
        <f>IFERROR(__xludf.DUMMYFUNCTION("""COMPUTED_VALUE"""),"")</f>
        <v/>
      </c>
      <c r="O953" s="136" t="str">
        <f>IFERROR(__xludf.DUMMYFUNCTION("""COMPUTED_VALUE"""),"")</f>
        <v/>
      </c>
      <c r="P953" s="106" t="str">
        <f>IFERROR(__xludf.DUMMYFUNCTION("""COMPUTED_VALUE"""),"")</f>
        <v/>
      </c>
      <c r="R953" s="136" t="str">
        <f>IFERROR(__xludf.DUMMYFUNCTION("""COMPUTED_VALUE"""),"")</f>
        <v/>
      </c>
      <c r="S953" s="106" t="str">
        <f>IFERROR(__xludf.DUMMYFUNCTION("""COMPUTED_VALUE"""),"")</f>
        <v/>
      </c>
    </row>
    <row r="954">
      <c r="A954" s="136" t="s">
        <v>133</v>
      </c>
      <c r="B954" s="136"/>
      <c r="C954" s="136" t="s">
        <v>133</v>
      </c>
      <c r="D954" s="136"/>
      <c r="E954" s="106"/>
      <c r="F954" s="136" t="str">
        <f>IFERROR(__xludf.DUMMYFUNCTION("""COMPUTED_VALUE"""),"")</f>
        <v/>
      </c>
      <c r="G954" s="106" t="str">
        <f>IFERROR(__xludf.DUMMYFUNCTION("""COMPUTED_VALUE"""),"")</f>
        <v/>
      </c>
      <c r="I954" s="136" t="str">
        <f>IFERROR(__xludf.DUMMYFUNCTION("""COMPUTED_VALUE"""),"")</f>
        <v/>
      </c>
      <c r="J954" s="106" t="str">
        <f>IFERROR(__xludf.DUMMYFUNCTION("""COMPUTED_VALUE"""),"")</f>
        <v/>
      </c>
      <c r="L954" s="136" t="str">
        <f>IFERROR(__xludf.DUMMYFUNCTION("""COMPUTED_VALUE"""),"")</f>
        <v/>
      </c>
      <c r="M954" s="106" t="str">
        <f>IFERROR(__xludf.DUMMYFUNCTION("""COMPUTED_VALUE"""),"")</f>
        <v/>
      </c>
      <c r="O954" s="136" t="str">
        <f>IFERROR(__xludf.DUMMYFUNCTION("""COMPUTED_VALUE"""),"")</f>
        <v/>
      </c>
      <c r="P954" s="106" t="str">
        <f>IFERROR(__xludf.DUMMYFUNCTION("""COMPUTED_VALUE"""),"")</f>
        <v/>
      </c>
      <c r="R954" s="136" t="str">
        <f>IFERROR(__xludf.DUMMYFUNCTION("""COMPUTED_VALUE"""),"")</f>
        <v/>
      </c>
      <c r="S954" s="106" t="str">
        <f>IFERROR(__xludf.DUMMYFUNCTION("""COMPUTED_VALUE"""),"")</f>
        <v/>
      </c>
    </row>
    <row r="955">
      <c r="A955" s="136" t="s">
        <v>133</v>
      </c>
      <c r="B955" s="136"/>
      <c r="C955" s="136" t="s">
        <v>133</v>
      </c>
      <c r="D955" s="136"/>
      <c r="E955" s="106"/>
      <c r="F955" s="136" t="str">
        <f>IFERROR(__xludf.DUMMYFUNCTION("""COMPUTED_VALUE"""),"")</f>
        <v/>
      </c>
      <c r="G955" s="106" t="str">
        <f>IFERROR(__xludf.DUMMYFUNCTION("""COMPUTED_VALUE"""),"")</f>
        <v/>
      </c>
      <c r="I955" s="136" t="str">
        <f>IFERROR(__xludf.DUMMYFUNCTION("""COMPUTED_VALUE"""),"")</f>
        <v/>
      </c>
      <c r="J955" s="106" t="str">
        <f>IFERROR(__xludf.DUMMYFUNCTION("""COMPUTED_VALUE"""),"")</f>
        <v/>
      </c>
      <c r="L955" s="136" t="str">
        <f>IFERROR(__xludf.DUMMYFUNCTION("""COMPUTED_VALUE"""),"")</f>
        <v/>
      </c>
      <c r="M955" s="106" t="str">
        <f>IFERROR(__xludf.DUMMYFUNCTION("""COMPUTED_VALUE"""),"")</f>
        <v/>
      </c>
      <c r="O955" s="136" t="str">
        <f>IFERROR(__xludf.DUMMYFUNCTION("""COMPUTED_VALUE"""),"")</f>
        <v/>
      </c>
      <c r="P955" s="106" t="str">
        <f>IFERROR(__xludf.DUMMYFUNCTION("""COMPUTED_VALUE"""),"")</f>
        <v/>
      </c>
      <c r="R955" s="136" t="str">
        <f>IFERROR(__xludf.DUMMYFUNCTION("""COMPUTED_VALUE"""),"")</f>
        <v/>
      </c>
      <c r="S955" s="106" t="str">
        <f>IFERROR(__xludf.DUMMYFUNCTION("""COMPUTED_VALUE"""),"")</f>
        <v/>
      </c>
    </row>
    <row r="956">
      <c r="A956" s="136" t="s">
        <v>133</v>
      </c>
      <c r="B956" s="136"/>
      <c r="C956" s="136" t="s">
        <v>133</v>
      </c>
      <c r="D956" s="136"/>
      <c r="E956" s="106"/>
      <c r="F956" s="136" t="str">
        <f>IFERROR(__xludf.DUMMYFUNCTION("""COMPUTED_VALUE"""),"")</f>
        <v/>
      </c>
      <c r="G956" s="106" t="str">
        <f>IFERROR(__xludf.DUMMYFUNCTION("""COMPUTED_VALUE"""),"")</f>
        <v/>
      </c>
      <c r="I956" s="136" t="str">
        <f>IFERROR(__xludf.DUMMYFUNCTION("""COMPUTED_VALUE"""),"")</f>
        <v/>
      </c>
      <c r="J956" s="106" t="str">
        <f>IFERROR(__xludf.DUMMYFUNCTION("""COMPUTED_VALUE"""),"")</f>
        <v/>
      </c>
      <c r="L956" s="136" t="str">
        <f>IFERROR(__xludf.DUMMYFUNCTION("""COMPUTED_VALUE"""),"")</f>
        <v/>
      </c>
      <c r="M956" s="106" t="str">
        <f>IFERROR(__xludf.DUMMYFUNCTION("""COMPUTED_VALUE"""),"")</f>
        <v/>
      </c>
      <c r="O956" s="136" t="str">
        <f>IFERROR(__xludf.DUMMYFUNCTION("""COMPUTED_VALUE"""),"")</f>
        <v/>
      </c>
      <c r="P956" s="106" t="str">
        <f>IFERROR(__xludf.DUMMYFUNCTION("""COMPUTED_VALUE"""),"")</f>
        <v/>
      </c>
      <c r="R956" s="136" t="str">
        <f>IFERROR(__xludf.DUMMYFUNCTION("""COMPUTED_VALUE"""),"")</f>
        <v/>
      </c>
      <c r="S956" s="106" t="str">
        <f>IFERROR(__xludf.DUMMYFUNCTION("""COMPUTED_VALUE"""),"")</f>
        <v/>
      </c>
    </row>
    <row r="957">
      <c r="A957" s="136" t="s">
        <v>133</v>
      </c>
      <c r="B957" s="136"/>
      <c r="C957" s="136" t="s">
        <v>133</v>
      </c>
      <c r="D957" s="136"/>
      <c r="E957" s="106"/>
      <c r="F957" s="136" t="str">
        <f>IFERROR(__xludf.DUMMYFUNCTION("""COMPUTED_VALUE"""),"")</f>
        <v/>
      </c>
      <c r="G957" s="106" t="str">
        <f>IFERROR(__xludf.DUMMYFUNCTION("""COMPUTED_VALUE"""),"")</f>
        <v/>
      </c>
      <c r="I957" s="136" t="str">
        <f>IFERROR(__xludf.DUMMYFUNCTION("""COMPUTED_VALUE"""),"")</f>
        <v/>
      </c>
      <c r="J957" s="106" t="str">
        <f>IFERROR(__xludf.DUMMYFUNCTION("""COMPUTED_VALUE"""),"")</f>
        <v/>
      </c>
      <c r="L957" s="136" t="str">
        <f>IFERROR(__xludf.DUMMYFUNCTION("""COMPUTED_VALUE"""),"")</f>
        <v/>
      </c>
      <c r="M957" s="106" t="str">
        <f>IFERROR(__xludf.DUMMYFUNCTION("""COMPUTED_VALUE"""),"")</f>
        <v/>
      </c>
      <c r="O957" s="136" t="str">
        <f>IFERROR(__xludf.DUMMYFUNCTION("""COMPUTED_VALUE"""),"")</f>
        <v/>
      </c>
      <c r="P957" s="106" t="str">
        <f>IFERROR(__xludf.DUMMYFUNCTION("""COMPUTED_VALUE"""),"")</f>
        <v/>
      </c>
      <c r="R957" s="136" t="str">
        <f>IFERROR(__xludf.DUMMYFUNCTION("""COMPUTED_VALUE"""),"")</f>
        <v/>
      </c>
      <c r="S957" s="106" t="str">
        <f>IFERROR(__xludf.DUMMYFUNCTION("""COMPUTED_VALUE"""),"")</f>
        <v/>
      </c>
    </row>
    <row r="958">
      <c r="A958" s="136" t="s">
        <v>133</v>
      </c>
      <c r="B958" s="136"/>
      <c r="C958" s="136" t="s">
        <v>133</v>
      </c>
      <c r="D958" s="136"/>
      <c r="E958" s="106"/>
      <c r="F958" s="136" t="str">
        <f>IFERROR(__xludf.DUMMYFUNCTION("""COMPUTED_VALUE"""),"")</f>
        <v/>
      </c>
      <c r="G958" s="106" t="str">
        <f>IFERROR(__xludf.DUMMYFUNCTION("""COMPUTED_VALUE"""),"")</f>
        <v/>
      </c>
      <c r="I958" s="136" t="str">
        <f>IFERROR(__xludf.DUMMYFUNCTION("""COMPUTED_VALUE"""),"")</f>
        <v/>
      </c>
      <c r="J958" s="106" t="str">
        <f>IFERROR(__xludf.DUMMYFUNCTION("""COMPUTED_VALUE"""),"")</f>
        <v/>
      </c>
      <c r="L958" s="136" t="str">
        <f>IFERROR(__xludf.DUMMYFUNCTION("""COMPUTED_VALUE"""),"")</f>
        <v/>
      </c>
      <c r="M958" s="106" t="str">
        <f>IFERROR(__xludf.DUMMYFUNCTION("""COMPUTED_VALUE"""),"")</f>
        <v/>
      </c>
      <c r="O958" s="136" t="str">
        <f>IFERROR(__xludf.DUMMYFUNCTION("""COMPUTED_VALUE"""),"")</f>
        <v/>
      </c>
      <c r="P958" s="106" t="str">
        <f>IFERROR(__xludf.DUMMYFUNCTION("""COMPUTED_VALUE"""),"")</f>
        <v/>
      </c>
      <c r="R958" s="136" t="str">
        <f>IFERROR(__xludf.DUMMYFUNCTION("""COMPUTED_VALUE"""),"")</f>
        <v/>
      </c>
      <c r="S958" s="106" t="str">
        <f>IFERROR(__xludf.DUMMYFUNCTION("""COMPUTED_VALUE"""),"")</f>
        <v/>
      </c>
    </row>
    <row r="959">
      <c r="A959" s="136" t="s">
        <v>133</v>
      </c>
      <c r="B959" s="136"/>
      <c r="C959" s="136" t="s">
        <v>133</v>
      </c>
      <c r="D959" s="136"/>
      <c r="E959" s="106"/>
      <c r="F959" s="136" t="str">
        <f>IFERROR(__xludf.DUMMYFUNCTION("""COMPUTED_VALUE"""),"")</f>
        <v/>
      </c>
      <c r="G959" s="106" t="str">
        <f>IFERROR(__xludf.DUMMYFUNCTION("""COMPUTED_VALUE"""),"")</f>
        <v/>
      </c>
      <c r="I959" s="136" t="str">
        <f>IFERROR(__xludf.DUMMYFUNCTION("""COMPUTED_VALUE"""),"")</f>
        <v/>
      </c>
      <c r="J959" s="106" t="str">
        <f>IFERROR(__xludf.DUMMYFUNCTION("""COMPUTED_VALUE"""),"")</f>
        <v/>
      </c>
      <c r="L959" s="136" t="str">
        <f>IFERROR(__xludf.DUMMYFUNCTION("""COMPUTED_VALUE"""),"")</f>
        <v/>
      </c>
      <c r="M959" s="106" t="str">
        <f>IFERROR(__xludf.DUMMYFUNCTION("""COMPUTED_VALUE"""),"")</f>
        <v/>
      </c>
      <c r="O959" s="136" t="str">
        <f>IFERROR(__xludf.DUMMYFUNCTION("""COMPUTED_VALUE"""),"")</f>
        <v/>
      </c>
      <c r="P959" s="106" t="str">
        <f>IFERROR(__xludf.DUMMYFUNCTION("""COMPUTED_VALUE"""),"")</f>
        <v/>
      </c>
      <c r="R959" s="136" t="str">
        <f>IFERROR(__xludf.DUMMYFUNCTION("""COMPUTED_VALUE"""),"")</f>
        <v/>
      </c>
      <c r="S959" s="106" t="str">
        <f>IFERROR(__xludf.DUMMYFUNCTION("""COMPUTED_VALUE"""),"")</f>
        <v/>
      </c>
    </row>
    <row r="960">
      <c r="A960" s="136" t="s">
        <v>133</v>
      </c>
      <c r="B960" s="136"/>
      <c r="C960" s="136" t="s">
        <v>133</v>
      </c>
      <c r="D960" s="136"/>
      <c r="E960" s="106"/>
      <c r="F960" s="136" t="str">
        <f>IFERROR(__xludf.DUMMYFUNCTION("""COMPUTED_VALUE"""),"")</f>
        <v/>
      </c>
      <c r="G960" s="106" t="str">
        <f>IFERROR(__xludf.DUMMYFUNCTION("""COMPUTED_VALUE"""),"")</f>
        <v/>
      </c>
      <c r="I960" s="136" t="str">
        <f>IFERROR(__xludf.DUMMYFUNCTION("""COMPUTED_VALUE"""),"")</f>
        <v/>
      </c>
      <c r="J960" s="106" t="str">
        <f>IFERROR(__xludf.DUMMYFUNCTION("""COMPUTED_VALUE"""),"")</f>
        <v/>
      </c>
      <c r="L960" s="136" t="str">
        <f>IFERROR(__xludf.DUMMYFUNCTION("""COMPUTED_VALUE"""),"")</f>
        <v/>
      </c>
      <c r="M960" s="106" t="str">
        <f>IFERROR(__xludf.DUMMYFUNCTION("""COMPUTED_VALUE"""),"")</f>
        <v/>
      </c>
      <c r="O960" s="136" t="str">
        <f>IFERROR(__xludf.DUMMYFUNCTION("""COMPUTED_VALUE"""),"")</f>
        <v/>
      </c>
      <c r="P960" s="106" t="str">
        <f>IFERROR(__xludf.DUMMYFUNCTION("""COMPUTED_VALUE"""),"")</f>
        <v/>
      </c>
      <c r="R960" s="136" t="str">
        <f>IFERROR(__xludf.DUMMYFUNCTION("""COMPUTED_VALUE"""),"")</f>
        <v/>
      </c>
      <c r="S960" s="106" t="str">
        <f>IFERROR(__xludf.DUMMYFUNCTION("""COMPUTED_VALUE"""),"")</f>
        <v/>
      </c>
    </row>
    <row r="961">
      <c r="A961" s="136" t="s">
        <v>133</v>
      </c>
      <c r="B961" s="136"/>
      <c r="C961" s="136" t="s">
        <v>133</v>
      </c>
      <c r="D961" s="136"/>
      <c r="E961" s="106"/>
      <c r="F961" s="136" t="str">
        <f>IFERROR(__xludf.DUMMYFUNCTION("""COMPUTED_VALUE"""),"")</f>
        <v/>
      </c>
      <c r="G961" s="106" t="str">
        <f>IFERROR(__xludf.DUMMYFUNCTION("""COMPUTED_VALUE"""),"")</f>
        <v/>
      </c>
      <c r="I961" s="136" t="str">
        <f>IFERROR(__xludf.DUMMYFUNCTION("""COMPUTED_VALUE"""),"")</f>
        <v/>
      </c>
      <c r="J961" s="106" t="str">
        <f>IFERROR(__xludf.DUMMYFUNCTION("""COMPUTED_VALUE"""),"")</f>
        <v/>
      </c>
      <c r="L961" s="136" t="str">
        <f>IFERROR(__xludf.DUMMYFUNCTION("""COMPUTED_VALUE"""),"")</f>
        <v/>
      </c>
      <c r="M961" s="106" t="str">
        <f>IFERROR(__xludf.DUMMYFUNCTION("""COMPUTED_VALUE"""),"")</f>
        <v/>
      </c>
      <c r="O961" s="136" t="str">
        <f>IFERROR(__xludf.DUMMYFUNCTION("""COMPUTED_VALUE"""),"")</f>
        <v/>
      </c>
      <c r="P961" s="106" t="str">
        <f>IFERROR(__xludf.DUMMYFUNCTION("""COMPUTED_VALUE"""),"")</f>
        <v/>
      </c>
      <c r="R961" s="136" t="str">
        <f>IFERROR(__xludf.DUMMYFUNCTION("""COMPUTED_VALUE"""),"")</f>
        <v/>
      </c>
      <c r="S961" s="106" t="str">
        <f>IFERROR(__xludf.DUMMYFUNCTION("""COMPUTED_VALUE"""),"")</f>
        <v/>
      </c>
    </row>
    <row r="962">
      <c r="A962" s="136" t="s">
        <v>133</v>
      </c>
      <c r="B962" s="136"/>
      <c r="C962" s="136" t="s">
        <v>133</v>
      </c>
      <c r="D962" s="136"/>
      <c r="E962" s="106"/>
      <c r="F962" s="136" t="str">
        <f>IFERROR(__xludf.DUMMYFUNCTION("""COMPUTED_VALUE"""),"")</f>
        <v/>
      </c>
      <c r="G962" s="106" t="str">
        <f>IFERROR(__xludf.DUMMYFUNCTION("""COMPUTED_VALUE"""),"")</f>
        <v/>
      </c>
      <c r="I962" s="136" t="str">
        <f>IFERROR(__xludf.DUMMYFUNCTION("""COMPUTED_VALUE"""),"")</f>
        <v/>
      </c>
      <c r="J962" s="106" t="str">
        <f>IFERROR(__xludf.DUMMYFUNCTION("""COMPUTED_VALUE"""),"")</f>
        <v/>
      </c>
      <c r="L962" s="136" t="str">
        <f>IFERROR(__xludf.DUMMYFUNCTION("""COMPUTED_VALUE"""),"")</f>
        <v/>
      </c>
      <c r="M962" s="106" t="str">
        <f>IFERROR(__xludf.DUMMYFUNCTION("""COMPUTED_VALUE"""),"")</f>
        <v/>
      </c>
      <c r="O962" s="136" t="str">
        <f>IFERROR(__xludf.DUMMYFUNCTION("""COMPUTED_VALUE"""),"")</f>
        <v/>
      </c>
      <c r="P962" s="106" t="str">
        <f>IFERROR(__xludf.DUMMYFUNCTION("""COMPUTED_VALUE"""),"")</f>
        <v/>
      </c>
      <c r="R962" s="136" t="str">
        <f>IFERROR(__xludf.DUMMYFUNCTION("""COMPUTED_VALUE"""),"")</f>
        <v/>
      </c>
      <c r="S962" s="106" t="str">
        <f>IFERROR(__xludf.DUMMYFUNCTION("""COMPUTED_VALUE"""),"")</f>
        <v/>
      </c>
    </row>
    <row r="963">
      <c r="A963" s="136" t="s">
        <v>133</v>
      </c>
      <c r="B963" s="136"/>
      <c r="C963" s="136" t="s">
        <v>133</v>
      </c>
      <c r="D963" s="136"/>
      <c r="E963" s="106"/>
      <c r="F963" s="136" t="str">
        <f>IFERROR(__xludf.DUMMYFUNCTION("""COMPUTED_VALUE"""),"")</f>
        <v/>
      </c>
      <c r="G963" s="106" t="str">
        <f>IFERROR(__xludf.DUMMYFUNCTION("""COMPUTED_VALUE"""),"")</f>
        <v/>
      </c>
      <c r="I963" s="136" t="str">
        <f>IFERROR(__xludf.DUMMYFUNCTION("""COMPUTED_VALUE"""),"")</f>
        <v/>
      </c>
      <c r="J963" s="106" t="str">
        <f>IFERROR(__xludf.DUMMYFUNCTION("""COMPUTED_VALUE"""),"")</f>
        <v/>
      </c>
      <c r="L963" s="136" t="str">
        <f>IFERROR(__xludf.DUMMYFUNCTION("""COMPUTED_VALUE"""),"")</f>
        <v/>
      </c>
      <c r="M963" s="106" t="str">
        <f>IFERROR(__xludf.DUMMYFUNCTION("""COMPUTED_VALUE"""),"")</f>
        <v/>
      </c>
      <c r="O963" s="136" t="str">
        <f>IFERROR(__xludf.DUMMYFUNCTION("""COMPUTED_VALUE"""),"")</f>
        <v/>
      </c>
      <c r="P963" s="106" t="str">
        <f>IFERROR(__xludf.DUMMYFUNCTION("""COMPUTED_VALUE"""),"")</f>
        <v/>
      </c>
      <c r="R963" s="136" t="str">
        <f>IFERROR(__xludf.DUMMYFUNCTION("""COMPUTED_VALUE"""),"")</f>
        <v/>
      </c>
      <c r="S963" s="106" t="str">
        <f>IFERROR(__xludf.DUMMYFUNCTION("""COMPUTED_VALUE"""),"")</f>
        <v/>
      </c>
    </row>
    <row r="964">
      <c r="A964" s="136" t="s">
        <v>133</v>
      </c>
      <c r="B964" s="136"/>
      <c r="C964" s="136" t="s">
        <v>133</v>
      </c>
      <c r="D964" s="136"/>
      <c r="E964" s="106"/>
      <c r="F964" s="136" t="str">
        <f>IFERROR(__xludf.DUMMYFUNCTION("""COMPUTED_VALUE"""),"")</f>
        <v/>
      </c>
      <c r="G964" s="106" t="str">
        <f>IFERROR(__xludf.DUMMYFUNCTION("""COMPUTED_VALUE"""),"")</f>
        <v/>
      </c>
      <c r="I964" s="136" t="str">
        <f>IFERROR(__xludf.DUMMYFUNCTION("""COMPUTED_VALUE"""),"")</f>
        <v/>
      </c>
      <c r="J964" s="106" t="str">
        <f>IFERROR(__xludf.DUMMYFUNCTION("""COMPUTED_VALUE"""),"")</f>
        <v/>
      </c>
      <c r="L964" s="136" t="str">
        <f>IFERROR(__xludf.DUMMYFUNCTION("""COMPUTED_VALUE"""),"")</f>
        <v/>
      </c>
      <c r="M964" s="106" t="str">
        <f>IFERROR(__xludf.DUMMYFUNCTION("""COMPUTED_VALUE"""),"")</f>
        <v/>
      </c>
      <c r="O964" s="136" t="str">
        <f>IFERROR(__xludf.DUMMYFUNCTION("""COMPUTED_VALUE"""),"")</f>
        <v/>
      </c>
      <c r="P964" s="106" t="str">
        <f>IFERROR(__xludf.DUMMYFUNCTION("""COMPUTED_VALUE"""),"")</f>
        <v/>
      </c>
      <c r="R964" s="136" t="str">
        <f>IFERROR(__xludf.DUMMYFUNCTION("""COMPUTED_VALUE"""),"")</f>
        <v/>
      </c>
      <c r="S964" s="106" t="str">
        <f>IFERROR(__xludf.DUMMYFUNCTION("""COMPUTED_VALUE"""),"")</f>
        <v/>
      </c>
    </row>
    <row r="965">
      <c r="A965" s="136" t="s">
        <v>133</v>
      </c>
      <c r="B965" s="136"/>
      <c r="C965" s="136" t="s">
        <v>133</v>
      </c>
      <c r="D965" s="136"/>
      <c r="E965" s="106"/>
      <c r="F965" s="136" t="str">
        <f>IFERROR(__xludf.DUMMYFUNCTION("""COMPUTED_VALUE"""),"")</f>
        <v/>
      </c>
      <c r="G965" s="106" t="str">
        <f>IFERROR(__xludf.DUMMYFUNCTION("""COMPUTED_VALUE"""),"")</f>
        <v/>
      </c>
      <c r="I965" s="136" t="str">
        <f>IFERROR(__xludf.DUMMYFUNCTION("""COMPUTED_VALUE"""),"")</f>
        <v/>
      </c>
      <c r="J965" s="106" t="str">
        <f>IFERROR(__xludf.DUMMYFUNCTION("""COMPUTED_VALUE"""),"")</f>
        <v/>
      </c>
      <c r="L965" s="136" t="str">
        <f>IFERROR(__xludf.DUMMYFUNCTION("""COMPUTED_VALUE"""),"")</f>
        <v/>
      </c>
      <c r="M965" s="106" t="str">
        <f>IFERROR(__xludf.DUMMYFUNCTION("""COMPUTED_VALUE"""),"")</f>
        <v/>
      </c>
      <c r="O965" s="136" t="str">
        <f>IFERROR(__xludf.DUMMYFUNCTION("""COMPUTED_VALUE"""),"")</f>
        <v/>
      </c>
      <c r="P965" s="106" t="str">
        <f>IFERROR(__xludf.DUMMYFUNCTION("""COMPUTED_VALUE"""),"")</f>
        <v/>
      </c>
      <c r="R965" s="136" t="str">
        <f>IFERROR(__xludf.DUMMYFUNCTION("""COMPUTED_VALUE"""),"")</f>
        <v/>
      </c>
      <c r="S965" s="106" t="str">
        <f>IFERROR(__xludf.DUMMYFUNCTION("""COMPUTED_VALUE"""),"")</f>
        <v/>
      </c>
    </row>
    <row r="966">
      <c r="A966" s="136" t="s">
        <v>133</v>
      </c>
      <c r="B966" s="136"/>
      <c r="C966" s="136" t="s">
        <v>133</v>
      </c>
      <c r="D966" s="136"/>
      <c r="E966" s="106"/>
      <c r="F966" s="136" t="str">
        <f>IFERROR(__xludf.DUMMYFUNCTION("""COMPUTED_VALUE"""),"")</f>
        <v/>
      </c>
      <c r="G966" s="106" t="str">
        <f>IFERROR(__xludf.DUMMYFUNCTION("""COMPUTED_VALUE"""),"")</f>
        <v/>
      </c>
      <c r="I966" s="136" t="str">
        <f>IFERROR(__xludf.DUMMYFUNCTION("""COMPUTED_VALUE"""),"")</f>
        <v/>
      </c>
      <c r="J966" s="106" t="str">
        <f>IFERROR(__xludf.DUMMYFUNCTION("""COMPUTED_VALUE"""),"")</f>
        <v/>
      </c>
      <c r="L966" s="136" t="str">
        <f>IFERROR(__xludf.DUMMYFUNCTION("""COMPUTED_VALUE"""),"")</f>
        <v/>
      </c>
      <c r="M966" s="106" t="str">
        <f>IFERROR(__xludf.DUMMYFUNCTION("""COMPUTED_VALUE"""),"")</f>
        <v/>
      </c>
      <c r="O966" s="136" t="str">
        <f>IFERROR(__xludf.DUMMYFUNCTION("""COMPUTED_VALUE"""),"")</f>
        <v/>
      </c>
      <c r="P966" s="106" t="str">
        <f>IFERROR(__xludf.DUMMYFUNCTION("""COMPUTED_VALUE"""),"")</f>
        <v/>
      </c>
      <c r="R966" s="136" t="str">
        <f>IFERROR(__xludf.DUMMYFUNCTION("""COMPUTED_VALUE"""),"")</f>
        <v/>
      </c>
      <c r="S966" s="106" t="str">
        <f>IFERROR(__xludf.DUMMYFUNCTION("""COMPUTED_VALUE"""),"")</f>
        <v/>
      </c>
    </row>
    <row r="967">
      <c r="A967" s="136" t="s">
        <v>133</v>
      </c>
      <c r="B967" s="136"/>
      <c r="C967" s="136" t="s">
        <v>133</v>
      </c>
      <c r="D967" s="136"/>
      <c r="E967" s="106"/>
      <c r="F967" s="136" t="str">
        <f>IFERROR(__xludf.DUMMYFUNCTION("""COMPUTED_VALUE"""),"")</f>
        <v/>
      </c>
      <c r="G967" s="106" t="str">
        <f>IFERROR(__xludf.DUMMYFUNCTION("""COMPUTED_VALUE"""),"")</f>
        <v/>
      </c>
      <c r="I967" s="136" t="str">
        <f>IFERROR(__xludf.DUMMYFUNCTION("""COMPUTED_VALUE"""),"")</f>
        <v/>
      </c>
      <c r="J967" s="106" t="str">
        <f>IFERROR(__xludf.DUMMYFUNCTION("""COMPUTED_VALUE"""),"")</f>
        <v/>
      </c>
      <c r="L967" s="136" t="str">
        <f>IFERROR(__xludf.DUMMYFUNCTION("""COMPUTED_VALUE"""),"")</f>
        <v/>
      </c>
      <c r="M967" s="106" t="str">
        <f>IFERROR(__xludf.DUMMYFUNCTION("""COMPUTED_VALUE"""),"")</f>
        <v/>
      </c>
      <c r="O967" s="136" t="str">
        <f>IFERROR(__xludf.DUMMYFUNCTION("""COMPUTED_VALUE"""),"")</f>
        <v/>
      </c>
      <c r="P967" s="106" t="str">
        <f>IFERROR(__xludf.DUMMYFUNCTION("""COMPUTED_VALUE"""),"")</f>
        <v/>
      </c>
      <c r="R967" s="136" t="str">
        <f>IFERROR(__xludf.DUMMYFUNCTION("""COMPUTED_VALUE"""),"")</f>
        <v/>
      </c>
      <c r="S967" s="106" t="str">
        <f>IFERROR(__xludf.DUMMYFUNCTION("""COMPUTED_VALUE"""),"")</f>
        <v/>
      </c>
    </row>
    <row r="968">
      <c r="A968" s="136" t="s">
        <v>133</v>
      </c>
      <c r="B968" s="136"/>
      <c r="C968" s="136" t="s">
        <v>133</v>
      </c>
      <c r="D968" s="136"/>
      <c r="E968" s="106"/>
      <c r="F968" s="136" t="str">
        <f>IFERROR(__xludf.DUMMYFUNCTION("""COMPUTED_VALUE"""),"")</f>
        <v/>
      </c>
      <c r="G968" s="106" t="str">
        <f>IFERROR(__xludf.DUMMYFUNCTION("""COMPUTED_VALUE"""),"")</f>
        <v/>
      </c>
      <c r="I968" s="136" t="str">
        <f>IFERROR(__xludf.DUMMYFUNCTION("""COMPUTED_VALUE"""),"")</f>
        <v/>
      </c>
      <c r="J968" s="106" t="str">
        <f>IFERROR(__xludf.DUMMYFUNCTION("""COMPUTED_VALUE"""),"")</f>
        <v/>
      </c>
      <c r="L968" s="136" t="str">
        <f>IFERROR(__xludf.DUMMYFUNCTION("""COMPUTED_VALUE"""),"")</f>
        <v/>
      </c>
      <c r="M968" s="106" t="str">
        <f>IFERROR(__xludf.DUMMYFUNCTION("""COMPUTED_VALUE"""),"")</f>
        <v/>
      </c>
      <c r="O968" s="136" t="str">
        <f>IFERROR(__xludf.DUMMYFUNCTION("""COMPUTED_VALUE"""),"")</f>
        <v/>
      </c>
      <c r="P968" s="106" t="str">
        <f>IFERROR(__xludf.DUMMYFUNCTION("""COMPUTED_VALUE"""),"")</f>
        <v/>
      </c>
      <c r="R968" s="136" t="str">
        <f>IFERROR(__xludf.DUMMYFUNCTION("""COMPUTED_VALUE"""),"")</f>
        <v/>
      </c>
      <c r="S968" s="106" t="str">
        <f>IFERROR(__xludf.DUMMYFUNCTION("""COMPUTED_VALUE"""),"")</f>
        <v/>
      </c>
    </row>
    <row r="969">
      <c r="A969" s="136" t="s">
        <v>133</v>
      </c>
      <c r="B969" s="136"/>
      <c r="C969" s="136" t="s">
        <v>133</v>
      </c>
      <c r="D969" s="136"/>
      <c r="E969" s="106"/>
      <c r="F969" s="136" t="str">
        <f>IFERROR(__xludf.DUMMYFUNCTION("""COMPUTED_VALUE"""),"")</f>
        <v/>
      </c>
      <c r="G969" s="106" t="str">
        <f>IFERROR(__xludf.DUMMYFUNCTION("""COMPUTED_VALUE"""),"")</f>
        <v/>
      </c>
      <c r="I969" s="136" t="str">
        <f>IFERROR(__xludf.DUMMYFUNCTION("""COMPUTED_VALUE"""),"")</f>
        <v/>
      </c>
      <c r="J969" s="106" t="str">
        <f>IFERROR(__xludf.DUMMYFUNCTION("""COMPUTED_VALUE"""),"")</f>
        <v/>
      </c>
      <c r="L969" s="136" t="str">
        <f>IFERROR(__xludf.DUMMYFUNCTION("""COMPUTED_VALUE"""),"")</f>
        <v/>
      </c>
      <c r="M969" s="106" t="str">
        <f>IFERROR(__xludf.DUMMYFUNCTION("""COMPUTED_VALUE"""),"")</f>
        <v/>
      </c>
      <c r="O969" s="136" t="str">
        <f>IFERROR(__xludf.DUMMYFUNCTION("""COMPUTED_VALUE"""),"")</f>
        <v/>
      </c>
      <c r="P969" s="106" t="str">
        <f>IFERROR(__xludf.DUMMYFUNCTION("""COMPUTED_VALUE"""),"")</f>
        <v/>
      </c>
      <c r="R969" s="136" t="str">
        <f>IFERROR(__xludf.DUMMYFUNCTION("""COMPUTED_VALUE"""),"")</f>
        <v/>
      </c>
      <c r="S969" s="106" t="str">
        <f>IFERROR(__xludf.DUMMYFUNCTION("""COMPUTED_VALUE"""),"")</f>
        <v/>
      </c>
    </row>
    <row r="970">
      <c r="A970" s="136" t="s">
        <v>133</v>
      </c>
      <c r="B970" s="136"/>
      <c r="C970" s="136" t="s">
        <v>133</v>
      </c>
      <c r="D970" s="136"/>
      <c r="E970" s="106"/>
      <c r="F970" s="136" t="str">
        <f>IFERROR(__xludf.DUMMYFUNCTION("""COMPUTED_VALUE"""),"")</f>
        <v/>
      </c>
      <c r="G970" s="106" t="str">
        <f>IFERROR(__xludf.DUMMYFUNCTION("""COMPUTED_VALUE"""),"")</f>
        <v/>
      </c>
      <c r="I970" s="136" t="str">
        <f>IFERROR(__xludf.DUMMYFUNCTION("""COMPUTED_VALUE"""),"")</f>
        <v/>
      </c>
      <c r="J970" s="106" t="str">
        <f>IFERROR(__xludf.DUMMYFUNCTION("""COMPUTED_VALUE"""),"")</f>
        <v/>
      </c>
      <c r="L970" s="136" t="str">
        <f>IFERROR(__xludf.DUMMYFUNCTION("""COMPUTED_VALUE"""),"")</f>
        <v/>
      </c>
      <c r="M970" s="106" t="str">
        <f>IFERROR(__xludf.DUMMYFUNCTION("""COMPUTED_VALUE"""),"")</f>
        <v/>
      </c>
      <c r="O970" s="136" t="str">
        <f>IFERROR(__xludf.DUMMYFUNCTION("""COMPUTED_VALUE"""),"")</f>
        <v/>
      </c>
      <c r="P970" s="106" t="str">
        <f>IFERROR(__xludf.DUMMYFUNCTION("""COMPUTED_VALUE"""),"")</f>
        <v/>
      </c>
      <c r="R970" s="136" t="str">
        <f>IFERROR(__xludf.DUMMYFUNCTION("""COMPUTED_VALUE"""),"")</f>
        <v/>
      </c>
      <c r="S970" s="106" t="str">
        <f>IFERROR(__xludf.DUMMYFUNCTION("""COMPUTED_VALUE"""),"")</f>
        <v/>
      </c>
    </row>
    <row r="971">
      <c r="A971" s="136" t="s">
        <v>133</v>
      </c>
      <c r="B971" s="136"/>
      <c r="C971" s="136" t="s">
        <v>133</v>
      </c>
      <c r="D971" s="136"/>
      <c r="E971" s="106"/>
      <c r="F971" s="136" t="str">
        <f>IFERROR(__xludf.DUMMYFUNCTION("""COMPUTED_VALUE"""),"")</f>
        <v/>
      </c>
      <c r="G971" s="106" t="str">
        <f>IFERROR(__xludf.DUMMYFUNCTION("""COMPUTED_VALUE"""),"")</f>
        <v/>
      </c>
      <c r="I971" s="136" t="str">
        <f>IFERROR(__xludf.DUMMYFUNCTION("""COMPUTED_VALUE"""),"")</f>
        <v/>
      </c>
      <c r="J971" s="106" t="str">
        <f>IFERROR(__xludf.DUMMYFUNCTION("""COMPUTED_VALUE"""),"")</f>
        <v/>
      </c>
      <c r="L971" s="136" t="str">
        <f>IFERROR(__xludf.DUMMYFUNCTION("""COMPUTED_VALUE"""),"")</f>
        <v/>
      </c>
      <c r="M971" s="106" t="str">
        <f>IFERROR(__xludf.DUMMYFUNCTION("""COMPUTED_VALUE"""),"")</f>
        <v/>
      </c>
      <c r="O971" s="136" t="str">
        <f>IFERROR(__xludf.DUMMYFUNCTION("""COMPUTED_VALUE"""),"")</f>
        <v/>
      </c>
      <c r="P971" s="106" t="str">
        <f>IFERROR(__xludf.DUMMYFUNCTION("""COMPUTED_VALUE"""),"")</f>
        <v/>
      </c>
      <c r="R971" s="136" t="str">
        <f>IFERROR(__xludf.DUMMYFUNCTION("""COMPUTED_VALUE"""),"")</f>
        <v/>
      </c>
      <c r="S971" s="106" t="str">
        <f>IFERROR(__xludf.DUMMYFUNCTION("""COMPUTED_VALUE"""),"")</f>
        <v/>
      </c>
    </row>
    <row r="972">
      <c r="A972" s="136" t="s">
        <v>133</v>
      </c>
      <c r="B972" s="136"/>
      <c r="C972" s="136" t="s">
        <v>133</v>
      </c>
      <c r="D972" s="136"/>
      <c r="E972" s="106"/>
      <c r="F972" s="136" t="str">
        <f>IFERROR(__xludf.DUMMYFUNCTION("""COMPUTED_VALUE"""),"")</f>
        <v/>
      </c>
      <c r="G972" s="106" t="str">
        <f>IFERROR(__xludf.DUMMYFUNCTION("""COMPUTED_VALUE"""),"")</f>
        <v/>
      </c>
      <c r="I972" s="136" t="str">
        <f>IFERROR(__xludf.DUMMYFUNCTION("""COMPUTED_VALUE"""),"")</f>
        <v/>
      </c>
      <c r="J972" s="106" t="str">
        <f>IFERROR(__xludf.DUMMYFUNCTION("""COMPUTED_VALUE"""),"")</f>
        <v/>
      </c>
      <c r="L972" s="136" t="str">
        <f>IFERROR(__xludf.DUMMYFUNCTION("""COMPUTED_VALUE"""),"")</f>
        <v/>
      </c>
      <c r="M972" s="106" t="str">
        <f>IFERROR(__xludf.DUMMYFUNCTION("""COMPUTED_VALUE"""),"")</f>
        <v/>
      </c>
      <c r="O972" s="136" t="str">
        <f>IFERROR(__xludf.DUMMYFUNCTION("""COMPUTED_VALUE"""),"")</f>
        <v/>
      </c>
      <c r="P972" s="106" t="str">
        <f>IFERROR(__xludf.DUMMYFUNCTION("""COMPUTED_VALUE"""),"")</f>
        <v/>
      </c>
      <c r="R972" s="136" t="str">
        <f>IFERROR(__xludf.DUMMYFUNCTION("""COMPUTED_VALUE"""),"")</f>
        <v/>
      </c>
      <c r="S972" s="106" t="str">
        <f>IFERROR(__xludf.DUMMYFUNCTION("""COMPUTED_VALUE"""),"")</f>
        <v/>
      </c>
    </row>
    <row r="973">
      <c r="A973" s="136" t="s">
        <v>133</v>
      </c>
      <c r="B973" s="136"/>
      <c r="C973" s="136" t="s">
        <v>133</v>
      </c>
      <c r="D973" s="136"/>
      <c r="E973" s="106"/>
      <c r="F973" s="136" t="str">
        <f>IFERROR(__xludf.DUMMYFUNCTION("""COMPUTED_VALUE"""),"")</f>
        <v/>
      </c>
      <c r="G973" s="106" t="str">
        <f>IFERROR(__xludf.DUMMYFUNCTION("""COMPUTED_VALUE"""),"")</f>
        <v/>
      </c>
      <c r="I973" s="136" t="str">
        <f>IFERROR(__xludf.DUMMYFUNCTION("""COMPUTED_VALUE"""),"")</f>
        <v/>
      </c>
      <c r="J973" s="106" t="str">
        <f>IFERROR(__xludf.DUMMYFUNCTION("""COMPUTED_VALUE"""),"")</f>
        <v/>
      </c>
      <c r="L973" s="136" t="str">
        <f>IFERROR(__xludf.DUMMYFUNCTION("""COMPUTED_VALUE"""),"")</f>
        <v/>
      </c>
      <c r="M973" s="106" t="str">
        <f>IFERROR(__xludf.DUMMYFUNCTION("""COMPUTED_VALUE"""),"")</f>
        <v/>
      </c>
      <c r="O973" s="136" t="str">
        <f>IFERROR(__xludf.DUMMYFUNCTION("""COMPUTED_VALUE"""),"")</f>
        <v/>
      </c>
      <c r="P973" s="106" t="str">
        <f>IFERROR(__xludf.DUMMYFUNCTION("""COMPUTED_VALUE"""),"")</f>
        <v/>
      </c>
      <c r="R973" s="136" t="str">
        <f>IFERROR(__xludf.DUMMYFUNCTION("""COMPUTED_VALUE"""),"")</f>
        <v/>
      </c>
      <c r="S973" s="106" t="str">
        <f>IFERROR(__xludf.DUMMYFUNCTION("""COMPUTED_VALUE"""),"")</f>
        <v/>
      </c>
    </row>
    <row r="974">
      <c r="A974" s="136" t="s">
        <v>133</v>
      </c>
      <c r="B974" s="136"/>
      <c r="C974" s="136" t="s">
        <v>133</v>
      </c>
      <c r="D974" s="136"/>
      <c r="E974" s="106"/>
      <c r="F974" s="136" t="str">
        <f>IFERROR(__xludf.DUMMYFUNCTION("""COMPUTED_VALUE"""),"")</f>
        <v/>
      </c>
      <c r="G974" s="106" t="str">
        <f>IFERROR(__xludf.DUMMYFUNCTION("""COMPUTED_VALUE"""),"")</f>
        <v/>
      </c>
      <c r="I974" s="136" t="str">
        <f>IFERROR(__xludf.DUMMYFUNCTION("""COMPUTED_VALUE"""),"")</f>
        <v/>
      </c>
      <c r="J974" s="106" t="str">
        <f>IFERROR(__xludf.DUMMYFUNCTION("""COMPUTED_VALUE"""),"")</f>
        <v/>
      </c>
      <c r="L974" s="136" t="str">
        <f>IFERROR(__xludf.DUMMYFUNCTION("""COMPUTED_VALUE"""),"")</f>
        <v/>
      </c>
      <c r="M974" s="106" t="str">
        <f>IFERROR(__xludf.DUMMYFUNCTION("""COMPUTED_VALUE"""),"")</f>
        <v/>
      </c>
      <c r="O974" s="136" t="str">
        <f>IFERROR(__xludf.DUMMYFUNCTION("""COMPUTED_VALUE"""),"")</f>
        <v/>
      </c>
      <c r="P974" s="106" t="str">
        <f>IFERROR(__xludf.DUMMYFUNCTION("""COMPUTED_VALUE"""),"")</f>
        <v/>
      </c>
      <c r="R974" s="136" t="str">
        <f>IFERROR(__xludf.DUMMYFUNCTION("""COMPUTED_VALUE"""),"")</f>
        <v/>
      </c>
      <c r="S974" s="106" t="str">
        <f>IFERROR(__xludf.DUMMYFUNCTION("""COMPUTED_VALUE"""),"")</f>
        <v/>
      </c>
    </row>
    <row r="975">
      <c r="A975" s="136" t="s">
        <v>133</v>
      </c>
      <c r="B975" s="136"/>
      <c r="C975" s="136" t="s">
        <v>133</v>
      </c>
      <c r="D975" s="136"/>
      <c r="E975" s="106"/>
      <c r="F975" s="136" t="str">
        <f>IFERROR(__xludf.DUMMYFUNCTION("""COMPUTED_VALUE"""),"")</f>
        <v/>
      </c>
      <c r="G975" s="106" t="str">
        <f>IFERROR(__xludf.DUMMYFUNCTION("""COMPUTED_VALUE"""),"")</f>
        <v/>
      </c>
      <c r="I975" s="136" t="str">
        <f>IFERROR(__xludf.DUMMYFUNCTION("""COMPUTED_VALUE"""),"")</f>
        <v/>
      </c>
      <c r="J975" s="106" t="str">
        <f>IFERROR(__xludf.DUMMYFUNCTION("""COMPUTED_VALUE"""),"")</f>
        <v/>
      </c>
      <c r="L975" s="136" t="str">
        <f>IFERROR(__xludf.DUMMYFUNCTION("""COMPUTED_VALUE"""),"")</f>
        <v/>
      </c>
      <c r="M975" s="106" t="str">
        <f>IFERROR(__xludf.DUMMYFUNCTION("""COMPUTED_VALUE"""),"")</f>
        <v/>
      </c>
      <c r="O975" s="136" t="str">
        <f>IFERROR(__xludf.DUMMYFUNCTION("""COMPUTED_VALUE"""),"")</f>
        <v/>
      </c>
      <c r="P975" s="106" t="str">
        <f>IFERROR(__xludf.DUMMYFUNCTION("""COMPUTED_VALUE"""),"")</f>
        <v/>
      </c>
      <c r="R975" s="136" t="str">
        <f>IFERROR(__xludf.DUMMYFUNCTION("""COMPUTED_VALUE"""),"")</f>
        <v/>
      </c>
      <c r="S975" s="106" t="str">
        <f>IFERROR(__xludf.DUMMYFUNCTION("""COMPUTED_VALUE"""),"")</f>
        <v/>
      </c>
    </row>
    <row r="976">
      <c r="A976" s="136" t="s">
        <v>133</v>
      </c>
      <c r="B976" s="136"/>
      <c r="C976" s="136" t="s">
        <v>133</v>
      </c>
      <c r="D976" s="136"/>
      <c r="E976" s="106"/>
      <c r="F976" s="136" t="str">
        <f>IFERROR(__xludf.DUMMYFUNCTION("""COMPUTED_VALUE"""),"")</f>
        <v/>
      </c>
      <c r="G976" s="106" t="str">
        <f>IFERROR(__xludf.DUMMYFUNCTION("""COMPUTED_VALUE"""),"")</f>
        <v/>
      </c>
      <c r="I976" s="136" t="str">
        <f>IFERROR(__xludf.DUMMYFUNCTION("""COMPUTED_VALUE"""),"")</f>
        <v/>
      </c>
      <c r="J976" s="106" t="str">
        <f>IFERROR(__xludf.DUMMYFUNCTION("""COMPUTED_VALUE"""),"")</f>
        <v/>
      </c>
      <c r="L976" s="136" t="str">
        <f>IFERROR(__xludf.DUMMYFUNCTION("""COMPUTED_VALUE"""),"")</f>
        <v/>
      </c>
      <c r="M976" s="106" t="str">
        <f>IFERROR(__xludf.DUMMYFUNCTION("""COMPUTED_VALUE"""),"")</f>
        <v/>
      </c>
      <c r="O976" s="136" t="str">
        <f>IFERROR(__xludf.DUMMYFUNCTION("""COMPUTED_VALUE"""),"")</f>
        <v/>
      </c>
      <c r="P976" s="106" t="str">
        <f>IFERROR(__xludf.DUMMYFUNCTION("""COMPUTED_VALUE"""),"")</f>
        <v/>
      </c>
      <c r="R976" s="136" t="str">
        <f>IFERROR(__xludf.DUMMYFUNCTION("""COMPUTED_VALUE"""),"")</f>
        <v/>
      </c>
      <c r="S976" s="106" t="str">
        <f>IFERROR(__xludf.DUMMYFUNCTION("""COMPUTED_VALUE"""),"")</f>
        <v/>
      </c>
    </row>
    <row r="977">
      <c r="A977" s="136" t="s">
        <v>133</v>
      </c>
      <c r="B977" s="136"/>
      <c r="C977" s="136" t="s">
        <v>133</v>
      </c>
      <c r="D977" s="136"/>
      <c r="E977" s="106"/>
      <c r="F977" s="136" t="str">
        <f>IFERROR(__xludf.DUMMYFUNCTION("""COMPUTED_VALUE"""),"")</f>
        <v/>
      </c>
      <c r="G977" s="106" t="str">
        <f>IFERROR(__xludf.DUMMYFUNCTION("""COMPUTED_VALUE"""),"")</f>
        <v/>
      </c>
      <c r="I977" s="136" t="str">
        <f>IFERROR(__xludf.DUMMYFUNCTION("""COMPUTED_VALUE"""),"")</f>
        <v/>
      </c>
      <c r="J977" s="106" t="str">
        <f>IFERROR(__xludf.DUMMYFUNCTION("""COMPUTED_VALUE"""),"")</f>
        <v/>
      </c>
      <c r="L977" s="136" t="str">
        <f>IFERROR(__xludf.DUMMYFUNCTION("""COMPUTED_VALUE"""),"")</f>
        <v/>
      </c>
      <c r="M977" s="106" t="str">
        <f>IFERROR(__xludf.DUMMYFUNCTION("""COMPUTED_VALUE"""),"")</f>
        <v/>
      </c>
      <c r="O977" s="136" t="str">
        <f>IFERROR(__xludf.DUMMYFUNCTION("""COMPUTED_VALUE"""),"")</f>
        <v/>
      </c>
      <c r="P977" s="106" t="str">
        <f>IFERROR(__xludf.DUMMYFUNCTION("""COMPUTED_VALUE"""),"")</f>
        <v/>
      </c>
      <c r="R977" s="136" t="str">
        <f>IFERROR(__xludf.DUMMYFUNCTION("""COMPUTED_VALUE"""),"")</f>
        <v/>
      </c>
      <c r="S977" s="106" t="str">
        <f>IFERROR(__xludf.DUMMYFUNCTION("""COMPUTED_VALUE"""),"")</f>
        <v/>
      </c>
    </row>
    <row r="978">
      <c r="A978" s="136" t="s">
        <v>133</v>
      </c>
      <c r="B978" s="136"/>
      <c r="C978" s="136" t="s">
        <v>133</v>
      </c>
      <c r="D978" s="136"/>
      <c r="E978" s="106"/>
      <c r="F978" s="136" t="str">
        <f>IFERROR(__xludf.DUMMYFUNCTION("""COMPUTED_VALUE"""),"")</f>
        <v/>
      </c>
      <c r="G978" s="106" t="str">
        <f>IFERROR(__xludf.DUMMYFUNCTION("""COMPUTED_VALUE"""),"")</f>
        <v/>
      </c>
      <c r="I978" s="136" t="str">
        <f>IFERROR(__xludf.DUMMYFUNCTION("""COMPUTED_VALUE"""),"")</f>
        <v/>
      </c>
      <c r="J978" s="106" t="str">
        <f>IFERROR(__xludf.DUMMYFUNCTION("""COMPUTED_VALUE"""),"")</f>
        <v/>
      </c>
      <c r="L978" s="136" t="str">
        <f>IFERROR(__xludf.DUMMYFUNCTION("""COMPUTED_VALUE"""),"")</f>
        <v/>
      </c>
      <c r="M978" s="106" t="str">
        <f>IFERROR(__xludf.DUMMYFUNCTION("""COMPUTED_VALUE"""),"")</f>
        <v/>
      </c>
      <c r="O978" s="136" t="str">
        <f>IFERROR(__xludf.DUMMYFUNCTION("""COMPUTED_VALUE"""),"")</f>
        <v/>
      </c>
      <c r="P978" s="106" t="str">
        <f>IFERROR(__xludf.DUMMYFUNCTION("""COMPUTED_VALUE"""),"")</f>
        <v/>
      </c>
      <c r="R978" s="136" t="str">
        <f>IFERROR(__xludf.DUMMYFUNCTION("""COMPUTED_VALUE"""),"")</f>
        <v/>
      </c>
      <c r="S978" s="106" t="str">
        <f>IFERROR(__xludf.DUMMYFUNCTION("""COMPUTED_VALUE"""),"")</f>
        <v/>
      </c>
    </row>
    <row r="979">
      <c r="A979" s="136" t="s">
        <v>133</v>
      </c>
      <c r="B979" s="136"/>
      <c r="C979" s="136" t="s">
        <v>133</v>
      </c>
      <c r="D979" s="136"/>
      <c r="E979" s="106"/>
      <c r="F979" s="136" t="str">
        <f>IFERROR(__xludf.DUMMYFUNCTION("""COMPUTED_VALUE"""),"")</f>
        <v/>
      </c>
      <c r="G979" s="106" t="str">
        <f>IFERROR(__xludf.DUMMYFUNCTION("""COMPUTED_VALUE"""),"")</f>
        <v/>
      </c>
      <c r="I979" s="136" t="str">
        <f>IFERROR(__xludf.DUMMYFUNCTION("""COMPUTED_VALUE"""),"")</f>
        <v/>
      </c>
      <c r="J979" s="106" t="str">
        <f>IFERROR(__xludf.DUMMYFUNCTION("""COMPUTED_VALUE"""),"")</f>
        <v/>
      </c>
      <c r="L979" s="136" t="str">
        <f>IFERROR(__xludf.DUMMYFUNCTION("""COMPUTED_VALUE"""),"")</f>
        <v/>
      </c>
      <c r="M979" s="106" t="str">
        <f>IFERROR(__xludf.DUMMYFUNCTION("""COMPUTED_VALUE"""),"")</f>
        <v/>
      </c>
      <c r="O979" s="136" t="str">
        <f>IFERROR(__xludf.DUMMYFUNCTION("""COMPUTED_VALUE"""),"")</f>
        <v/>
      </c>
      <c r="P979" s="106" t="str">
        <f>IFERROR(__xludf.DUMMYFUNCTION("""COMPUTED_VALUE"""),"")</f>
        <v/>
      </c>
      <c r="R979" s="136" t="str">
        <f>IFERROR(__xludf.DUMMYFUNCTION("""COMPUTED_VALUE"""),"")</f>
        <v/>
      </c>
      <c r="S979" s="106" t="str">
        <f>IFERROR(__xludf.DUMMYFUNCTION("""COMPUTED_VALUE"""),"")</f>
        <v/>
      </c>
    </row>
    <row r="980">
      <c r="A980" s="136" t="s">
        <v>133</v>
      </c>
      <c r="B980" s="136"/>
      <c r="C980" s="136" t="s">
        <v>133</v>
      </c>
      <c r="D980" s="136"/>
      <c r="E980" s="106"/>
      <c r="F980" s="136" t="str">
        <f>IFERROR(__xludf.DUMMYFUNCTION("""COMPUTED_VALUE"""),"")</f>
        <v/>
      </c>
      <c r="G980" s="106" t="str">
        <f>IFERROR(__xludf.DUMMYFUNCTION("""COMPUTED_VALUE"""),"")</f>
        <v/>
      </c>
      <c r="I980" s="136" t="str">
        <f>IFERROR(__xludf.DUMMYFUNCTION("""COMPUTED_VALUE"""),"")</f>
        <v/>
      </c>
      <c r="J980" s="106" t="str">
        <f>IFERROR(__xludf.DUMMYFUNCTION("""COMPUTED_VALUE"""),"")</f>
        <v/>
      </c>
      <c r="L980" s="136" t="str">
        <f>IFERROR(__xludf.DUMMYFUNCTION("""COMPUTED_VALUE"""),"")</f>
        <v/>
      </c>
      <c r="M980" s="106" t="str">
        <f>IFERROR(__xludf.DUMMYFUNCTION("""COMPUTED_VALUE"""),"")</f>
        <v/>
      </c>
      <c r="O980" s="136" t="str">
        <f>IFERROR(__xludf.DUMMYFUNCTION("""COMPUTED_VALUE"""),"")</f>
        <v/>
      </c>
      <c r="P980" s="106" t="str">
        <f>IFERROR(__xludf.DUMMYFUNCTION("""COMPUTED_VALUE"""),"")</f>
        <v/>
      </c>
      <c r="R980" s="136" t="str">
        <f>IFERROR(__xludf.DUMMYFUNCTION("""COMPUTED_VALUE"""),"")</f>
        <v/>
      </c>
      <c r="S980" s="106" t="str">
        <f>IFERROR(__xludf.DUMMYFUNCTION("""COMPUTED_VALUE"""),"")</f>
        <v/>
      </c>
    </row>
    <row r="981">
      <c r="A981" s="136" t="s">
        <v>133</v>
      </c>
      <c r="B981" s="136"/>
      <c r="C981" s="136" t="s">
        <v>133</v>
      </c>
      <c r="D981" s="136"/>
      <c r="E981" s="106"/>
      <c r="F981" s="136" t="str">
        <f>IFERROR(__xludf.DUMMYFUNCTION("""COMPUTED_VALUE"""),"")</f>
        <v/>
      </c>
      <c r="G981" s="106" t="str">
        <f>IFERROR(__xludf.DUMMYFUNCTION("""COMPUTED_VALUE"""),"")</f>
        <v/>
      </c>
      <c r="I981" s="136" t="str">
        <f>IFERROR(__xludf.DUMMYFUNCTION("""COMPUTED_VALUE"""),"")</f>
        <v/>
      </c>
      <c r="J981" s="106" t="str">
        <f>IFERROR(__xludf.DUMMYFUNCTION("""COMPUTED_VALUE"""),"")</f>
        <v/>
      </c>
      <c r="L981" s="136" t="str">
        <f>IFERROR(__xludf.DUMMYFUNCTION("""COMPUTED_VALUE"""),"")</f>
        <v/>
      </c>
      <c r="M981" s="106" t="str">
        <f>IFERROR(__xludf.DUMMYFUNCTION("""COMPUTED_VALUE"""),"")</f>
        <v/>
      </c>
      <c r="O981" s="136" t="str">
        <f>IFERROR(__xludf.DUMMYFUNCTION("""COMPUTED_VALUE"""),"")</f>
        <v/>
      </c>
      <c r="P981" s="106" t="str">
        <f>IFERROR(__xludf.DUMMYFUNCTION("""COMPUTED_VALUE"""),"")</f>
        <v/>
      </c>
      <c r="R981" s="136" t="str">
        <f>IFERROR(__xludf.DUMMYFUNCTION("""COMPUTED_VALUE"""),"")</f>
        <v/>
      </c>
      <c r="S981" s="106" t="str">
        <f>IFERROR(__xludf.DUMMYFUNCTION("""COMPUTED_VALUE"""),"")</f>
        <v/>
      </c>
    </row>
    <row r="982">
      <c r="A982" s="136" t="s">
        <v>133</v>
      </c>
      <c r="B982" s="136"/>
      <c r="C982" s="136" t="s">
        <v>133</v>
      </c>
      <c r="D982" s="136"/>
      <c r="E982" s="106"/>
      <c r="F982" s="136" t="str">
        <f>IFERROR(__xludf.DUMMYFUNCTION("""COMPUTED_VALUE"""),"")</f>
        <v/>
      </c>
      <c r="G982" s="106" t="str">
        <f>IFERROR(__xludf.DUMMYFUNCTION("""COMPUTED_VALUE"""),"")</f>
        <v/>
      </c>
      <c r="I982" s="136" t="str">
        <f>IFERROR(__xludf.DUMMYFUNCTION("""COMPUTED_VALUE"""),"")</f>
        <v/>
      </c>
      <c r="J982" s="106" t="str">
        <f>IFERROR(__xludf.DUMMYFUNCTION("""COMPUTED_VALUE"""),"")</f>
        <v/>
      </c>
      <c r="L982" s="136" t="str">
        <f>IFERROR(__xludf.DUMMYFUNCTION("""COMPUTED_VALUE"""),"")</f>
        <v/>
      </c>
      <c r="M982" s="106" t="str">
        <f>IFERROR(__xludf.DUMMYFUNCTION("""COMPUTED_VALUE"""),"")</f>
        <v/>
      </c>
      <c r="O982" s="136" t="str">
        <f>IFERROR(__xludf.DUMMYFUNCTION("""COMPUTED_VALUE"""),"")</f>
        <v/>
      </c>
      <c r="P982" s="106" t="str">
        <f>IFERROR(__xludf.DUMMYFUNCTION("""COMPUTED_VALUE"""),"")</f>
        <v/>
      </c>
      <c r="R982" s="136" t="str">
        <f>IFERROR(__xludf.DUMMYFUNCTION("""COMPUTED_VALUE"""),"")</f>
        <v/>
      </c>
      <c r="S982" s="106" t="str">
        <f>IFERROR(__xludf.DUMMYFUNCTION("""COMPUTED_VALUE"""),"")</f>
        <v/>
      </c>
    </row>
    <row r="983">
      <c r="A983" s="136" t="s">
        <v>133</v>
      </c>
      <c r="B983" s="136"/>
      <c r="C983" s="136" t="s">
        <v>133</v>
      </c>
      <c r="D983" s="136"/>
      <c r="E983" s="106"/>
      <c r="F983" s="136" t="str">
        <f>IFERROR(__xludf.DUMMYFUNCTION("""COMPUTED_VALUE"""),"")</f>
        <v/>
      </c>
      <c r="G983" s="106" t="str">
        <f>IFERROR(__xludf.DUMMYFUNCTION("""COMPUTED_VALUE"""),"")</f>
        <v/>
      </c>
      <c r="I983" s="136" t="str">
        <f>IFERROR(__xludf.DUMMYFUNCTION("""COMPUTED_VALUE"""),"")</f>
        <v/>
      </c>
      <c r="J983" s="106" t="str">
        <f>IFERROR(__xludf.DUMMYFUNCTION("""COMPUTED_VALUE"""),"")</f>
        <v/>
      </c>
      <c r="L983" s="136" t="str">
        <f>IFERROR(__xludf.DUMMYFUNCTION("""COMPUTED_VALUE"""),"")</f>
        <v/>
      </c>
      <c r="M983" s="106" t="str">
        <f>IFERROR(__xludf.DUMMYFUNCTION("""COMPUTED_VALUE"""),"")</f>
        <v/>
      </c>
      <c r="O983" s="136" t="str">
        <f>IFERROR(__xludf.DUMMYFUNCTION("""COMPUTED_VALUE"""),"")</f>
        <v/>
      </c>
      <c r="P983" s="106" t="str">
        <f>IFERROR(__xludf.DUMMYFUNCTION("""COMPUTED_VALUE"""),"")</f>
        <v/>
      </c>
      <c r="R983" s="136" t="str">
        <f>IFERROR(__xludf.DUMMYFUNCTION("""COMPUTED_VALUE"""),"")</f>
        <v/>
      </c>
      <c r="S983" s="106" t="str">
        <f>IFERROR(__xludf.DUMMYFUNCTION("""COMPUTED_VALUE"""),"")</f>
        <v/>
      </c>
    </row>
    <row r="984">
      <c r="A984" s="136" t="s">
        <v>133</v>
      </c>
      <c r="B984" s="136"/>
      <c r="C984" s="136" t="s">
        <v>133</v>
      </c>
      <c r="D984" s="136"/>
      <c r="E984" s="106"/>
      <c r="F984" s="136" t="str">
        <f>IFERROR(__xludf.DUMMYFUNCTION("""COMPUTED_VALUE"""),"")</f>
        <v/>
      </c>
      <c r="G984" s="106" t="str">
        <f>IFERROR(__xludf.DUMMYFUNCTION("""COMPUTED_VALUE"""),"")</f>
        <v/>
      </c>
      <c r="I984" s="136" t="str">
        <f>IFERROR(__xludf.DUMMYFUNCTION("""COMPUTED_VALUE"""),"")</f>
        <v/>
      </c>
      <c r="J984" s="106" t="str">
        <f>IFERROR(__xludf.DUMMYFUNCTION("""COMPUTED_VALUE"""),"")</f>
        <v/>
      </c>
      <c r="L984" s="136" t="str">
        <f>IFERROR(__xludf.DUMMYFUNCTION("""COMPUTED_VALUE"""),"")</f>
        <v/>
      </c>
      <c r="M984" s="106" t="str">
        <f>IFERROR(__xludf.DUMMYFUNCTION("""COMPUTED_VALUE"""),"")</f>
        <v/>
      </c>
      <c r="O984" s="136" t="str">
        <f>IFERROR(__xludf.DUMMYFUNCTION("""COMPUTED_VALUE"""),"")</f>
        <v/>
      </c>
      <c r="P984" s="106" t="str">
        <f>IFERROR(__xludf.DUMMYFUNCTION("""COMPUTED_VALUE"""),"")</f>
        <v/>
      </c>
      <c r="R984" s="136" t="str">
        <f>IFERROR(__xludf.DUMMYFUNCTION("""COMPUTED_VALUE"""),"")</f>
        <v/>
      </c>
      <c r="S984" s="106" t="str">
        <f>IFERROR(__xludf.DUMMYFUNCTION("""COMPUTED_VALUE"""),"")</f>
        <v/>
      </c>
    </row>
    <row r="985">
      <c r="A985" s="136" t="s">
        <v>133</v>
      </c>
      <c r="B985" s="136"/>
      <c r="C985" s="136" t="s">
        <v>133</v>
      </c>
      <c r="D985" s="136"/>
      <c r="E985" s="106"/>
      <c r="F985" s="136" t="str">
        <f>IFERROR(__xludf.DUMMYFUNCTION("""COMPUTED_VALUE"""),"")</f>
        <v/>
      </c>
      <c r="G985" s="106" t="str">
        <f>IFERROR(__xludf.DUMMYFUNCTION("""COMPUTED_VALUE"""),"")</f>
        <v/>
      </c>
      <c r="I985" s="136" t="str">
        <f>IFERROR(__xludf.DUMMYFUNCTION("""COMPUTED_VALUE"""),"")</f>
        <v/>
      </c>
      <c r="J985" s="106" t="str">
        <f>IFERROR(__xludf.DUMMYFUNCTION("""COMPUTED_VALUE"""),"")</f>
        <v/>
      </c>
      <c r="L985" s="136" t="str">
        <f>IFERROR(__xludf.DUMMYFUNCTION("""COMPUTED_VALUE"""),"")</f>
        <v/>
      </c>
      <c r="M985" s="106" t="str">
        <f>IFERROR(__xludf.DUMMYFUNCTION("""COMPUTED_VALUE"""),"")</f>
        <v/>
      </c>
      <c r="O985" s="136" t="str">
        <f>IFERROR(__xludf.DUMMYFUNCTION("""COMPUTED_VALUE"""),"")</f>
        <v/>
      </c>
      <c r="P985" s="106" t="str">
        <f>IFERROR(__xludf.DUMMYFUNCTION("""COMPUTED_VALUE"""),"")</f>
        <v/>
      </c>
      <c r="R985" s="136" t="str">
        <f>IFERROR(__xludf.DUMMYFUNCTION("""COMPUTED_VALUE"""),"")</f>
        <v/>
      </c>
      <c r="S985" s="106" t="str">
        <f>IFERROR(__xludf.DUMMYFUNCTION("""COMPUTED_VALUE"""),"")</f>
        <v/>
      </c>
    </row>
    <row r="986">
      <c r="A986" s="136" t="s">
        <v>133</v>
      </c>
      <c r="B986" s="136"/>
      <c r="C986" s="136" t="s">
        <v>133</v>
      </c>
      <c r="D986" s="136"/>
      <c r="E986" s="106"/>
      <c r="F986" s="136" t="str">
        <f>IFERROR(__xludf.DUMMYFUNCTION("""COMPUTED_VALUE"""),"")</f>
        <v/>
      </c>
      <c r="G986" s="106" t="str">
        <f>IFERROR(__xludf.DUMMYFUNCTION("""COMPUTED_VALUE"""),"")</f>
        <v/>
      </c>
      <c r="I986" s="136" t="str">
        <f>IFERROR(__xludf.DUMMYFUNCTION("""COMPUTED_VALUE"""),"")</f>
        <v/>
      </c>
      <c r="J986" s="106" t="str">
        <f>IFERROR(__xludf.DUMMYFUNCTION("""COMPUTED_VALUE"""),"")</f>
        <v/>
      </c>
      <c r="L986" s="136" t="str">
        <f>IFERROR(__xludf.DUMMYFUNCTION("""COMPUTED_VALUE"""),"")</f>
        <v/>
      </c>
      <c r="M986" s="106" t="str">
        <f>IFERROR(__xludf.DUMMYFUNCTION("""COMPUTED_VALUE"""),"")</f>
        <v/>
      </c>
      <c r="O986" s="136" t="str">
        <f>IFERROR(__xludf.DUMMYFUNCTION("""COMPUTED_VALUE"""),"")</f>
        <v/>
      </c>
      <c r="P986" s="106" t="str">
        <f>IFERROR(__xludf.DUMMYFUNCTION("""COMPUTED_VALUE"""),"")</f>
        <v/>
      </c>
      <c r="R986" s="136" t="str">
        <f>IFERROR(__xludf.DUMMYFUNCTION("""COMPUTED_VALUE"""),"")</f>
        <v/>
      </c>
      <c r="S986" s="106" t="str">
        <f>IFERROR(__xludf.DUMMYFUNCTION("""COMPUTED_VALUE"""),"")</f>
        <v/>
      </c>
    </row>
    <row r="987">
      <c r="A987" s="136" t="s">
        <v>133</v>
      </c>
      <c r="B987" s="136"/>
      <c r="C987" s="136" t="s">
        <v>133</v>
      </c>
      <c r="D987" s="136"/>
      <c r="E987" s="106"/>
      <c r="F987" s="136" t="str">
        <f>IFERROR(__xludf.DUMMYFUNCTION("""COMPUTED_VALUE"""),"")</f>
        <v/>
      </c>
      <c r="G987" s="106" t="str">
        <f>IFERROR(__xludf.DUMMYFUNCTION("""COMPUTED_VALUE"""),"")</f>
        <v/>
      </c>
      <c r="I987" s="136" t="str">
        <f>IFERROR(__xludf.DUMMYFUNCTION("""COMPUTED_VALUE"""),"")</f>
        <v/>
      </c>
      <c r="J987" s="106" t="str">
        <f>IFERROR(__xludf.DUMMYFUNCTION("""COMPUTED_VALUE"""),"")</f>
        <v/>
      </c>
      <c r="L987" s="136" t="str">
        <f>IFERROR(__xludf.DUMMYFUNCTION("""COMPUTED_VALUE"""),"")</f>
        <v/>
      </c>
      <c r="M987" s="106" t="str">
        <f>IFERROR(__xludf.DUMMYFUNCTION("""COMPUTED_VALUE"""),"")</f>
        <v/>
      </c>
      <c r="O987" s="136" t="str">
        <f>IFERROR(__xludf.DUMMYFUNCTION("""COMPUTED_VALUE"""),"")</f>
        <v/>
      </c>
      <c r="P987" s="106" t="str">
        <f>IFERROR(__xludf.DUMMYFUNCTION("""COMPUTED_VALUE"""),"")</f>
        <v/>
      </c>
      <c r="R987" s="136" t="str">
        <f>IFERROR(__xludf.DUMMYFUNCTION("""COMPUTED_VALUE"""),"")</f>
        <v/>
      </c>
      <c r="S987" s="106" t="str">
        <f>IFERROR(__xludf.DUMMYFUNCTION("""COMPUTED_VALUE"""),"")</f>
        <v/>
      </c>
    </row>
    <row r="988">
      <c r="A988" s="136" t="s">
        <v>133</v>
      </c>
      <c r="B988" s="136"/>
      <c r="C988" s="136" t="s">
        <v>133</v>
      </c>
      <c r="D988" s="136"/>
      <c r="E988" s="106"/>
      <c r="F988" s="136" t="str">
        <f>IFERROR(__xludf.DUMMYFUNCTION("""COMPUTED_VALUE"""),"")</f>
        <v/>
      </c>
      <c r="G988" s="106" t="str">
        <f>IFERROR(__xludf.DUMMYFUNCTION("""COMPUTED_VALUE"""),"")</f>
        <v/>
      </c>
      <c r="I988" s="136" t="str">
        <f>IFERROR(__xludf.DUMMYFUNCTION("""COMPUTED_VALUE"""),"")</f>
        <v/>
      </c>
      <c r="J988" s="106" t="str">
        <f>IFERROR(__xludf.DUMMYFUNCTION("""COMPUTED_VALUE"""),"")</f>
        <v/>
      </c>
      <c r="L988" s="136" t="str">
        <f>IFERROR(__xludf.DUMMYFUNCTION("""COMPUTED_VALUE"""),"")</f>
        <v/>
      </c>
      <c r="M988" s="106" t="str">
        <f>IFERROR(__xludf.DUMMYFUNCTION("""COMPUTED_VALUE"""),"")</f>
        <v/>
      </c>
      <c r="O988" s="136" t="str">
        <f>IFERROR(__xludf.DUMMYFUNCTION("""COMPUTED_VALUE"""),"")</f>
        <v/>
      </c>
      <c r="P988" s="106" t="str">
        <f>IFERROR(__xludf.DUMMYFUNCTION("""COMPUTED_VALUE"""),"")</f>
        <v/>
      </c>
      <c r="R988" s="136" t="str">
        <f>IFERROR(__xludf.DUMMYFUNCTION("""COMPUTED_VALUE"""),"")</f>
        <v/>
      </c>
      <c r="S988" s="106" t="str">
        <f>IFERROR(__xludf.DUMMYFUNCTION("""COMPUTED_VALUE"""),"")</f>
        <v/>
      </c>
    </row>
    <row r="989">
      <c r="A989" s="136" t="s">
        <v>133</v>
      </c>
      <c r="B989" s="136"/>
      <c r="C989" s="136" t="s">
        <v>133</v>
      </c>
      <c r="D989" s="136"/>
      <c r="E989" s="106"/>
      <c r="F989" s="136" t="str">
        <f>IFERROR(__xludf.DUMMYFUNCTION("""COMPUTED_VALUE"""),"")</f>
        <v/>
      </c>
      <c r="G989" s="106" t="str">
        <f>IFERROR(__xludf.DUMMYFUNCTION("""COMPUTED_VALUE"""),"")</f>
        <v/>
      </c>
      <c r="I989" s="136" t="str">
        <f>IFERROR(__xludf.DUMMYFUNCTION("""COMPUTED_VALUE"""),"")</f>
        <v/>
      </c>
      <c r="J989" s="106" t="str">
        <f>IFERROR(__xludf.DUMMYFUNCTION("""COMPUTED_VALUE"""),"")</f>
        <v/>
      </c>
      <c r="L989" s="136" t="str">
        <f>IFERROR(__xludf.DUMMYFUNCTION("""COMPUTED_VALUE"""),"")</f>
        <v/>
      </c>
      <c r="M989" s="106" t="str">
        <f>IFERROR(__xludf.DUMMYFUNCTION("""COMPUTED_VALUE"""),"")</f>
        <v/>
      </c>
      <c r="O989" s="136" t="str">
        <f>IFERROR(__xludf.DUMMYFUNCTION("""COMPUTED_VALUE"""),"")</f>
        <v/>
      </c>
      <c r="P989" s="106" t="str">
        <f>IFERROR(__xludf.DUMMYFUNCTION("""COMPUTED_VALUE"""),"")</f>
        <v/>
      </c>
      <c r="R989" s="136" t="str">
        <f>IFERROR(__xludf.DUMMYFUNCTION("""COMPUTED_VALUE"""),"")</f>
        <v/>
      </c>
      <c r="S989" s="106" t="str">
        <f>IFERROR(__xludf.DUMMYFUNCTION("""COMPUTED_VALUE"""),"")</f>
        <v/>
      </c>
    </row>
    <row r="990">
      <c r="A990" s="136" t="s">
        <v>133</v>
      </c>
      <c r="B990" s="136"/>
      <c r="C990" s="136" t="s">
        <v>133</v>
      </c>
      <c r="D990" s="136"/>
      <c r="E990" s="106"/>
      <c r="F990" s="136" t="str">
        <f>IFERROR(__xludf.DUMMYFUNCTION("""COMPUTED_VALUE"""),"")</f>
        <v/>
      </c>
      <c r="G990" s="106" t="str">
        <f>IFERROR(__xludf.DUMMYFUNCTION("""COMPUTED_VALUE"""),"")</f>
        <v/>
      </c>
      <c r="I990" s="136" t="str">
        <f>IFERROR(__xludf.DUMMYFUNCTION("""COMPUTED_VALUE"""),"")</f>
        <v/>
      </c>
      <c r="J990" s="106" t="str">
        <f>IFERROR(__xludf.DUMMYFUNCTION("""COMPUTED_VALUE"""),"")</f>
        <v/>
      </c>
      <c r="L990" s="136" t="str">
        <f>IFERROR(__xludf.DUMMYFUNCTION("""COMPUTED_VALUE"""),"")</f>
        <v/>
      </c>
      <c r="M990" s="106" t="str">
        <f>IFERROR(__xludf.DUMMYFUNCTION("""COMPUTED_VALUE"""),"")</f>
        <v/>
      </c>
      <c r="O990" s="136" t="str">
        <f>IFERROR(__xludf.DUMMYFUNCTION("""COMPUTED_VALUE"""),"")</f>
        <v/>
      </c>
      <c r="P990" s="106" t="str">
        <f>IFERROR(__xludf.DUMMYFUNCTION("""COMPUTED_VALUE"""),"")</f>
        <v/>
      </c>
      <c r="R990" s="136" t="str">
        <f>IFERROR(__xludf.DUMMYFUNCTION("""COMPUTED_VALUE"""),"")</f>
        <v/>
      </c>
      <c r="S990" s="106" t="str">
        <f>IFERROR(__xludf.DUMMYFUNCTION("""COMPUTED_VALUE"""),"")</f>
        <v/>
      </c>
    </row>
    <row r="991">
      <c r="A991" s="136" t="s">
        <v>133</v>
      </c>
      <c r="B991" s="136"/>
      <c r="C991" s="136" t="s">
        <v>133</v>
      </c>
      <c r="D991" s="136"/>
      <c r="E991" s="106"/>
      <c r="F991" s="136" t="str">
        <f>IFERROR(__xludf.DUMMYFUNCTION("""COMPUTED_VALUE"""),"")</f>
        <v/>
      </c>
      <c r="G991" s="106" t="str">
        <f>IFERROR(__xludf.DUMMYFUNCTION("""COMPUTED_VALUE"""),"")</f>
        <v/>
      </c>
      <c r="I991" s="136" t="str">
        <f>IFERROR(__xludf.DUMMYFUNCTION("""COMPUTED_VALUE"""),"")</f>
        <v/>
      </c>
      <c r="J991" s="106" t="str">
        <f>IFERROR(__xludf.DUMMYFUNCTION("""COMPUTED_VALUE"""),"")</f>
        <v/>
      </c>
      <c r="L991" s="136" t="str">
        <f>IFERROR(__xludf.DUMMYFUNCTION("""COMPUTED_VALUE"""),"")</f>
        <v/>
      </c>
      <c r="M991" s="106" t="str">
        <f>IFERROR(__xludf.DUMMYFUNCTION("""COMPUTED_VALUE"""),"")</f>
        <v/>
      </c>
      <c r="O991" s="136" t="str">
        <f>IFERROR(__xludf.DUMMYFUNCTION("""COMPUTED_VALUE"""),"")</f>
        <v/>
      </c>
      <c r="P991" s="106" t="str">
        <f>IFERROR(__xludf.DUMMYFUNCTION("""COMPUTED_VALUE"""),"")</f>
        <v/>
      </c>
      <c r="R991" s="136" t="str">
        <f>IFERROR(__xludf.DUMMYFUNCTION("""COMPUTED_VALUE"""),"")</f>
        <v/>
      </c>
      <c r="S991" s="106" t="str">
        <f>IFERROR(__xludf.DUMMYFUNCTION("""COMPUTED_VALUE"""),"")</f>
        <v/>
      </c>
    </row>
    <row r="992">
      <c r="A992" s="136" t="s">
        <v>133</v>
      </c>
      <c r="B992" s="136"/>
      <c r="C992" s="136" t="s">
        <v>133</v>
      </c>
      <c r="D992" s="136"/>
      <c r="E992" s="106"/>
      <c r="F992" s="136" t="str">
        <f>IFERROR(__xludf.DUMMYFUNCTION("""COMPUTED_VALUE"""),"")</f>
        <v/>
      </c>
      <c r="G992" s="106" t="str">
        <f>IFERROR(__xludf.DUMMYFUNCTION("""COMPUTED_VALUE"""),"")</f>
        <v/>
      </c>
      <c r="I992" s="136" t="str">
        <f>IFERROR(__xludf.DUMMYFUNCTION("""COMPUTED_VALUE"""),"")</f>
        <v/>
      </c>
      <c r="J992" s="106" t="str">
        <f>IFERROR(__xludf.DUMMYFUNCTION("""COMPUTED_VALUE"""),"")</f>
        <v/>
      </c>
      <c r="L992" s="136" t="str">
        <f>IFERROR(__xludf.DUMMYFUNCTION("""COMPUTED_VALUE"""),"")</f>
        <v/>
      </c>
      <c r="M992" s="106" t="str">
        <f>IFERROR(__xludf.DUMMYFUNCTION("""COMPUTED_VALUE"""),"")</f>
        <v/>
      </c>
      <c r="O992" s="136" t="str">
        <f>IFERROR(__xludf.DUMMYFUNCTION("""COMPUTED_VALUE"""),"")</f>
        <v/>
      </c>
      <c r="P992" s="106" t="str">
        <f>IFERROR(__xludf.DUMMYFUNCTION("""COMPUTED_VALUE"""),"")</f>
        <v/>
      </c>
      <c r="R992" s="136" t="str">
        <f>IFERROR(__xludf.DUMMYFUNCTION("""COMPUTED_VALUE"""),"")</f>
        <v/>
      </c>
      <c r="S992" s="106" t="str">
        <f>IFERROR(__xludf.DUMMYFUNCTION("""COMPUTED_VALUE"""),"")</f>
        <v/>
      </c>
    </row>
    <row r="993">
      <c r="A993" s="136" t="s">
        <v>133</v>
      </c>
      <c r="B993" s="136"/>
      <c r="C993" s="136" t="s">
        <v>133</v>
      </c>
      <c r="D993" s="136"/>
      <c r="E993" s="106"/>
      <c r="F993" s="136" t="str">
        <f>IFERROR(__xludf.DUMMYFUNCTION("""COMPUTED_VALUE"""),"")</f>
        <v/>
      </c>
      <c r="G993" s="106" t="str">
        <f>IFERROR(__xludf.DUMMYFUNCTION("""COMPUTED_VALUE"""),"")</f>
        <v/>
      </c>
      <c r="I993" s="136" t="str">
        <f>IFERROR(__xludf.DUMMYFUNCTION("""COMPUTED_VALUE"""),"")</f>
        <v/>
      </c>
      <c r="J993" s="106" t="str">
        <f>IFERROR(__xludf.DUMMYFUNCTION("""COMPUTED_VALUE"""),"")</f>
        <v/>
      </c>
      <c r="L993" s="136" t="str">
        <f>IFERROR(__xludf.DUMMYFUNCTION("""COMPUTED_VALUE"""),"")</f>
        <v/>
      </c>
      <c r="M993" s="106" t="str">
        <f>IFERROR(__xludf.DUMMYFUNCTION("""COMPUTED_VALUE"""),"")</f>
        <v/>
      </c>
      <c r="O993" s="136" t="str">
        <f>IFERROR(__xludf.DUMMYFUNCTION("""COMPUTED_VALUE"""),"")</f>
        <v/>
      </c>
      <c r="P993" s="106" t="str">
        <f>IFERROR(__xludf.DUMMYFUNCTION("""COMPUTED_VALUE"""),"")</f>
        <v/>
      </c>
      <c r="R993" s="136" t="str">
        <f>IFERROR(__xludf.DUMMYFUNCTION("""COMPUTED_VALUE"""),"")</f>
        <v/>
      </c>
      <c r="S993" s="106" t="str">
        <f>IFERROR(__xludf.DUMMYFUNCTION("""COMPUTED_VALUE"""),"")</f>
        <v/>
      </c>
    </row>
    <row r="994">
      <c r="A994" s="136" t="s">
        <v>133</v>
      </c>
      <c r="B994" s="136"/>
      <c r="C994" s="136" t="s">
        <v>133</v>
      </c>
      <c r="D994" s="136"/>
      <c r="E994" s="106"/>
      <c r="F994" s="136" t="str">
        <f>IFERROR(__xludf.DUMMYFUNCTION("""COMPUTED_VALUE"""),"")</f>
        <v/>
      </c>
      <c r="G994" s="106" t="str">
        <f>IFERROR(__xludf.DUMMYFUNCTION("""COMPUTED_VALUE"""),"")</f>
        <v/>
      </c>
      <c r="I994" s="136" t="str">
        <f>IFERROR(__xludf.DUMMYFUNCTION("""COMPUTED_VALUE"""),"")</f>
        <v/>
      </c>
      <c r="J994" s="106" t="str">
        <f>IFERROR(__xludf.DUMMYFUNCTION("""COMPUTED_VALUE"""),"")</f>
        <v/>
      </c>
      <c r="L994" s="136" t="str">
        <f>IFERROR(__xludf.DUMMYFUNCTION("""COMPUTED_VALUE"""),"")</f>
        <v/>
      </c>
      <c r="M994" s="106" t="str">
        <f>IFERROR(__xludf.DUMMYFUNCTION("""COMPUTED_VALUE"""),"")</f>
        <v/>
      </c>
      <c r="O994" s="136" t="str">
        <f>IFERROR(__xludf.DUMMYFUNCTION("""COMPUTED_VALUE"""),"")</f>
        <v/>
      </c>
      <c r="P994" s="106" t="str">
        <f>IFERROR(__xludf.DUMMYFUNCTION("""COMPUTED_VALUE"""),"")</f>
        <v/>
      </c>
      <c r="R994" s="136" t="str">
        <f>IFERROR(__xludf.DUMMYFUNCTION("""COMPUTED_VALUE"""),"")</f>
        <v/>
      </c>
      <c r="S994" s="106" t="str">
        <f>IFERROR(__xludf.DUMMYFUNCTION("""COMPUTED_VALUE"""),"")</f>
        <v/>
      </c>
    </row>
    <row r="995">
      <c r="A995" s="136" t="s">
        <v>133</v>
      </c>
      <c r="B995" s="136"/>
      <c r="C995" s="136" t="s">
        <v>133</v>
      </c>
      <c r="D995" s="136"/>
      <c r="E995" s="106"/>
      <c r="F995" s="136" t="str">
        <f>IFERROR(__xludf.DUMMYFUNCTION("""COMPUTED_VALUE"""),"")</f>
        <v/>
      </c>
      <c r="G995" s="106" t="str">
        <f>IFERROR(__xludf.DUMMYFUNCTION("""COMPUTED_VALUE"""),"")</f>
        <v/>
      </c>
      <c r="I995" s="136" t="str">
        <f>IFERROR(__xludf.DUMMYFUNCTION("""COMPUTED_VALUE"""),"")</f>
        <v/>
      </c>
      <c r="J995" s="106" t="str">
        <f>IFERROR(__xludf.DUMMYFUNCTION("""COMPUTED_VALUE"""),"")</f>
        <v/>
      </c>
      <c r="L995" s="136" t="str">
        <f>IFERROR(__xludf.DUMMYFUNCTION("""COMPUTED_VALUE"""),"")</f>
        <v/>
      </c>
      <c r="M995" s="106" t="str">
        <f>IFERROR(__xludf.DUMMYFUNCTION("""COMPUTED_VALUE"""),"")</f>
        <v/>
      </c>
      <c r="O995" s="136" t="str">
        <f>IFERROR(__xludf.DUMMYFUNCTION("""COMPUTED_VALUE"""),"")</f>
        <v/>
      </c>
      <c r="P995" s="106" t="str">
        <f>IFERROR(__xludf.DUMMYFUNCTION("""COMPUTED_VALUE"""),"")</f>
        <v/>
      </c>
      <c r="R995" s="136" t="str">
        <f>IFERROR(__xludf.DUMMYFUNCTION("""COMPUTED_VALUE"""),"")</f>
        <v/>
      </c>
      <c r="S995" s="106" t="str">
        <f>IFERROR(__xludf.DUMMYFUNCTION("""COMPUTED_VALUE"""),"")</f>
        <v/>
      </c>
    </row>
    <row r="996">
      <c r="A996" s="136" t="s">
        <v>133</v>
      </c>
      <c r="B996" s="136"/>
      <c r="C996" s="136" t="s">
        <v>133</v>
      </c>
      <c r="D996" s="136"/>
      <c r="E996" s="106"/>
      <c r="F996" s="136" t="str">
        <f>IFERROR(__xludf.DUMMYFUNCTION("""COMPUTED_VALUE"""),"")</f>
        <v/>
      </c>
      <c r="G996" s="106" t="str">
        <f>IFERROR(__xludf.DUMMYFUNCTION("""COMPUTED_VALUE"""),"")</f>
        <v/>
      </c>
      <c r="I996" s="136" t="str">
        <f>IFERROR(__xludf.DUMMYFUNCTION("""COMPUTED_VALUE"""),"")</f>
        <v/>
      </c>
      <c r="J996" s="106" t="str">
        <f>IFERROR(__xludf.DUMMYFUNCTION("""COMPUTED_VALUE"""),"")</f>
        <v/>
      </c>
      <c r="L996" s="136" t="str">
        <f>IFERROR(__xludf.DUMMYFUNCTION("""COMPUTED_VALUE"""),"")</f>
        <v/>
      </c>
      <c r="M996" s="106" t="str">
        <f>IFERROR(__xludf.DUMMYFUNCTION("""COMPUTED_VALUE"""),"")</f>
        <v/>
      </c>
      <c r="O996" s="136" t="str">
        <f>IFERROR(__xludf.DUMMYFUNCTION("""COMPUTED_VALUE"""),"")</f>
        <v/>
      </c>
      <c r="P996" s="106" t="str">
        <f>IFERROR(__xludf.DUMMYFUNCTION("""COMPUTED_VALUE"""),"")</f>
        <v/>
      </c>
      <c r="R996" s="136" t="str">
        <f>IFERROR(__xludf.DUMMYFUNCTION("""COMPUTED_VALUE"""),"")</f>
        <v/>
      </c>
      <c r="S996" s="106" t="str">
        <f>IFERROR(__xludf.DUMMYFUNCTION("""COMPUTED_VALUE"""),"")</f>
        <v/>
      </c>
    </row>
    <row r="997">
      <c r="A997" s="136" t="s">
        <v>133</v>
      </c>
      <c r="B997" s="136"/>
      <c r="C997" s="136" t="s">
        <v>133</v>
      </c>
      <c r="D997" s="136"/>
      <c r="E997" s="106"/>
      <c r="F997" s="136" t="str">
        <f>IFERROR(__xludf.DUMMYFUNCTION("""COMPUTED_VALUE"""),"")</f>
        <v/>
      </c>
      <c r="G997" s="106" t="str">
        <f>IFERROR(__xludf.DUMMYFUNCTION("""COMPUTED_VALUE"""),"")</f>
        <v/>
      </c>
      <c r="I997" s="136" t="str">
        <f>IFERROR(__xludf.DUMMYFUNCTION("""COMPUTED_VALUE"""),"")</f>
        <v/>
      </c>
      <c r="J997" s="106" t="str">
        <f>IFERROR(__xludf.DUMMYFUNCTION("""COMPUTED_VALUE"""),"")</f>
        <v/>
      </c>
      <c r="L997" s="136" t="str">
        <f>IFERROR(__xludf.DUMMYFUNCTION("""COMPUTED_VALUE"""),"")</f>
        <v/>
      </c>
      <c r="M997" s="106" t="str">
        <f>IFERROR(__xludf.DUMMYFUNCTION("""COMPUTED_VALUE"""),"")</f>
        <v/>
      </c>
      <c r="O997" s="136" t="str">
        <f>IFERROR(__xludf.DUMMYFUNCTION("""COMPUTED_VALUE"""),"")</f>
        <v/>
      </c>
      <c r="P997" s="106" t="str">
        <f>IFERROR(__xludf.DUMMYFUNCTION("""COMPUTED_VALUE"""),"")</f>
        <v/>
      </c>
      <c r="R997" s="136" t="str">
        <f>IFERROR(__xludf.DUMMYFUNCTION("""COMPUTED_VALUE"""),"")</f>
        <v/>
      </c>
      <c r="S997" s="106" t="str">
        <f>IFERROR(__xludf.DUMMYFUNCTION("""COMPUTED_VALUE"""),"")</f>
        <v/>
      </c>
    </row>
    <row r="998">
      <c r="A998" s="136" t="s">
        <v>133</v>
      </c>
      <c r="B998" s="136"/>
      <c r="C998" s="136" t="s">
        <v>133</v>
      </c>
      <c r="D998" s="136"/>
      <c r="E998" s="106"/>
      <c r="F998" s="136" t="str">
        <f>IFERROR(__xludf.DUMMYFUNCTION("""COMPUTED_VALUE"""),"")</f>
        <v/>
      </c>
      <c r="G998" s="106" t="str">
        <f>IFERROR(__xludf.DUMMYFUNCTION("""COMPUTED_VALUE"""),"")</f>
        <v/>
      </c>
      <c r="I998" s="136" t="str">
        <f>IFERROR(__xludf.DUMMYFUNCTION("""COMPUTED_VALUE"""),"")</f>
        <v/>
      </c>
      <c r="J998" s="106" t="str">
        <f>IFERROR(__xludf.DUMMYFUNCTION("""COMPUTED_VALUE"""),"")</f>
        <v/>
      </c>
      <c r="L998" s="136" t="str">
        <f>IFERROR(__xludf.DUMMYFUNCTION("""COMPUTED_VALUE"""),"")</f>
        <v/>
      </c>
      <c r="M998" s="106" t="str">
        <f>IFERROR(__xludf.DUMMYFUNCTION("""COMPUTED_VALUE"""),"")</f>
        <v/>
      </c>
      <c r="O998" s="136" t="str">
        <f>IFERROR(__xludf.DUMMYFUNCTION("""COMPUTED_VALUE"""),"")</f>
        <v/>
      </c>
      <c r="P998" s="106" t="str">
        <f>IFERROR(__xludf.DUMMYFUNCTION("""COMPUTED_VALUE"""),"")</f>
        <v/>
      </c>
      <c r="R998" s="136" t="str">
        <f>IFERROR(__xludf.DUMMYFUNCTION("""COMPUTED_VALUE"""),"")</f>
        <v/>
      </c>
      <c r="S998" s="106" t="str">
        <f>IFERROR(__xludf.DUMMYFUNCTION("""COMPUTED_VALUE"""),"")</f>
        <v/>
      </c>
    </row>
    <row r="999">
      <c r="A999" s="136" t="s">
        <v>133</v>
      </c>
      <c r="B999" s="136"/>
      <c r="C999" s="136" t="s">
        <v>133</v>
      </c>
      <c r="D999" s="136"/>
      <c r="E999" s="106"/>
      <c r="F999" s="136" t="str">
        <f>IFERROR(__xludf.DUMMYFUNCTION("""COMPUTED_VALUE"""),"")</f>
        <v/>
      </c>
      <c r="G999" s="106" t="str">
        <f>IFERROR(__xludf.DUMMYFUNCTION("""COMPUTED_VALUE"""),"")</f>
        <v/>
      </c>
      <c r="I999" s="136" t="str">
        <f>IFERROR(__xludf.DUMMYFUNCTION("""COMPUTED_VALUE"""),"")</f>
        <v/>
      </c>
      <c r="J999" s="106" t="str">
        <f>IFERROR(__xludf.DUMMYFUNCTION("""COMPUTED_VALUE"""),"")</f>
        <v/>
      </c>
      <c r="L999" s="136" t="str">
        <f>IFERROR(__xludf.DUMMYFUNCTION("""COMPUTED_VALUE"""),"")</f>
        <v/>
      </c>
      <c r="M999" s="106" t="str">
        <f>IFERROR(__xludf.DUMMYFUNCTION("""COMPUTED_VALUE"""),"")</f>
        <v/>
      </c>
      <c r="O999" s="136" t="str">
        <f>IFERROR(__xludf.DUMMYFUNCTION("""COMPUTED_VALUE"""),"")</f>
        <v/>
      </c>
      <c r="P999" s="106" t="str">
        <f>IFERROR(__xludf.DUMMYFUNCTION("""COMPUTED_VALUE"""),"")</f>
        <v/>
      </c>
      <c r="R999" s="136" t="str">
        <f>IFERROR(__xludf.DUMMYFUNCTION("""COMPUTED_VALUE"""),"")</f>
        <v/>
      </c>
      <c r="S999" s="106" t="str">
        <f>IFERROR(__xludf.DUMMYFUNCTION("""COMPUTED_VALUE"""),"")</f>
        <v/>
      </c>
    </row>
    <row r="1000">
      <c r="A1000" s="136" t="s">
        <v>133</v>
      </c>
      <c r="B1000" s="136"/>
      <c r="C1000" s="136" t="s">
        <v>133</v>
      </c>
      <c r="D1000" s="136"/>
      <c r="E1000" s="106"/>
      <c r="F1000" s="136" t="str">
        <f>IFERROR(__xludf.DUMMYFUNCTION("""COMPUTED_VALUE"""),"")</f>
        <v/>
      </c>
      <c r="G1000" s="106" t="str">
        <f>IFERROR(__xludf.DUMMYFUNCTION("""COMPUTED_VALUE"""),"")</f>
        <v/>
      </c>
      <c r="I1000" s="136" t="str">
        <f>IFERROR(__xludf.DUMMYFUNCTION("""COMPUTED_VALUE"""),"")</f>
        <v/>
      </c>
      <c r="J1000" s="106" t="str">
        <f>IFERROR(__xludf.DUMMYFUNCTION("""COMPUTED_VALUE"""),"")</f>
        <v/>
      </c>
      <c r="L1000" s="136" t="str">
        <f>IFERROR(__xludf.DUMMYFUNCTION("""COMPUTED_VALUE"""),"")</f>
        <v/>
      </c>
      <c r="M1000" s="106" t="str">
        <f>IFERROR(__xludf.DUMMYFUNCTION("""COMPUTED_VALUE"""),"")</f>
        <v/>
      </c>
      <c r="O1000" s="136" t="str">
        <f>IFERROR(__xludf.DUMMYFUNCTION("""COMPUTED_VALUE"""),"")</f>
        <v/>
      </c>
      <c r="P1000" s="106" t="str">
        <f>IFERROR(__xludf.DUMMYFUNCTION("""COMPUTED_VALUE"""),"")</f>
        <v/>
      </c>
      <c r="R1000" s="136" t="str">
        <f>IFERROR(__xludf.DUMMYFUNCTION("""COMPUTED_VALUE"""),"")</f>
        <v/>
      </c>
      <c r="S1000" s="106" t="str">
        <f>IFERROR(__xludf.DUMMYFUNCTION("""COMPUTED_VALUE"""),"")</f>
        <v/>
      </c>
    </row>
    <row r="1001">
      <c r="A1001" s="136" t="s">
        <v>133</v>
      </c>
      <c r="B1001" s="136"/>
      <c r="C1001" s="136" t="s">
        <v>133</v>
      </c>
      <c r="D1001" s="136"/>
      <c r="E1001" s="106"/>
      <c r="F1001" s="136" t="str">
        <f>IFERROR(__xludf.DUMMYFUNCTION("""COMPUTED_VALUE"""),"")</f>
        <v/>
      </c>
      <c r="G1001" s="106" t="str">
        <f>IFERROR(__xludf.DUMMYFUNCTION("""COMPUTED_VALUE"""),"")</f>
        <v/>
      </c>
      <c r="I1001" s="136" t="str">
        <f>IFERROR(__xludf.DUMMYFUNCTION("""COMPUTED_VALUE"""),"")</f>
        <v/>
      </c>
      <c r="J1001" s="106" t="str">
        <f>IFERROR(__xludf.DUMMYFUNCTION("""COMPUTED_VALUE"""),"")</f>
        <v/>
      </c>
      <c r="L1001" s="136" t="str">
        <f>IFERROR(__xludf.DUMMYFUNCTION("""COMPUTED_VALUE"""),"")</f>
        <v/>
      </c>
      <c r="M1001" s="106" t="str">
        <f>IFERROR(__xludf.DUMMYFUNCTION("""COMPUTED_VALUE"""),"")</f>
        <v/>
      </c>
      <c r="O1001" s="136" t="str">
        <f>IFERROR(__xludf.DUMMYFUNCTION("""COMPUTED_VALUE"""),"")</f>
        <v/>
      </c>
      <c r="P1001" s="106" t="str">
        <f>IFERROR(__xludf.DUMMYFUNCTION("""COMPUTED_VALUE"""),"")</f>
        <v/>
      </c>
      <c r="R1001" s="136" t="str">
        <f>IFERROR(__xludf.DUMMYFUNCTION("""COMPUTED_VALUE"""),"")</f>
        <v/>
      </c>
      <c r="S1001" s="106" t="str">
        <f>IFERROR(__xludf.DUMMYFUNCTION("""COMPUTED_VALUE"""),"")</f>
        <v/>
      </c>
    </row>
    <row r="1002">
      <c r="A1002" s="136" t="s">
        <v>133</v>
      </c>
      <c r="B1002" s="136"/>
      <c r="C1002" s="136" t="s">
        <v>133</v>
      </c>
      <c r="D1002" s="136"/>
      <c r="E1002" s="106"/>
      <c r="F1002" s="136" t="str">
        <f>IFERROR(__xludf.DUMMYFUNCTION("""COMPUTED_VALUE"""),"")</f>
        <v/>
      </c>
      <c r="G1002" s="106" t="str">
        <f>IFERROR(__xludf.DUMMYFUNCTION("""COMPUTED_VALUE"""),"")</f>
        <v/>
      </c>
      <c r="I1002" s="136" t="str">
        <f>IFERROR(__xludf.DUMMYFUNCTION("""COMPUTED_VALUE"""),"")</f>
        <v/>
      </c>
      <c r="J1002" s="106" t="str">
        <f>IFERROR(__xludf.DUMMYFUNCTION("""COMPUTED_VALUE"""),"")</f>
        <v/>
      </c>
      <c r="L1002" s="136" t="str">
        <f>IFERROR(__xludf.DUMMYFUNCTION("""COMPUTED_VALUE"""),"")</f>
        <v/>
      </c>
      <c r="M1002" s="106" t="str">
        <f>IFERROR(__xludf.DUMMYFUNCTION("""COMPUTED_VALUE"""),"")</f>
        <v/>
      </c>
      <c r="O1002" s="136" t="str">
        <f>IFERROR(__xludf.DUMMYFUNCTION("""COMPUTED_VALUE"""),"")</f>
        <v/>
      </c>
      <c r="P1002" s="106" t="str">
        <f>IFERROR(__xludf.DUMMYFUNCTION("""COMPUTED_VALUE"""),"")</f>
        <v/>
      </c>
      <c r="R1002" s="136" t="str">
        <f>IFERROR(__xludf.DUMMYFUNCTION("""COMPUTED_VALUE"""),"")</f>
        <v/>
      </c>
      <c r="S1002" s="106" t="str">
        <f>IFERROR(__xludf.DUMMYFUNCTION("""COMPUTED_VALUE"""),"")</f>
        <v/>
      </c>
    </row>
    <row r="1003">
      <c r="A1003" s="136" t="s">
        <v>133</v>
      </c>
      <c r="B1003" s="136"/>
      <c r="C1003" s="136" t="s">
        <v>133</v>
      </c>
      <c r="D1003" s="136"/>
      <c r="E1003" s="106"/>
      <c r="F1003" s="136" t="str">
        <f>IFERROR(__xludf.DUMMYFUNCTION("""COMPUTED_VALUE"""),"")</f>
        <v/>
      </c>
      <c r="G1003" s="106" t="str">
        <f>IFERROR(__xludf.DUMMYFUNCTION("""COMPUTED_VALUE"""),"")</f>
        <v/>
      </c>
      <c r="I1003" s="136" t="str">
        <f>IFERROR(__xludf.DUMMYFUNCTION("""COMPUTED_VALUE"""),"")</f>
        <v/>
      </c>
      <c r="J1003" s="106" t="str">
        <f>IFERROR(__xludf.DUMMYFUNCTION("""COMPUTED_VALUE"""),"")</f>
        <v/>
      </c>
      <c r="L1003" s="136" t="str">
        <f>IFERROR(__xludf.DUMMYFUNCTION("""COMPUTED_VALUE"""),"")</f>
        <v/>
      </c>
      <c r="M1003" s="106" t="str">
        <f>IFERROR(__xludf.DUMMYFUNCTION("""COMPUTED_VALUE"""),"")</f>
        <v/>
      </c>
      <c r="O1003" s="136" t="str">
        <f>IFERROR(__xludf.DUMMYFUNCTION("""COMPUTED_VALUE"""),"")</f>
        <v/>
      </c>
      <c r="P1003" s="106" t="str">
        <f>IFERROR(__xludf.DUMMYFUNCTION("""COMPUTED_VALUE"""),"")</f>
        <v/>
      </c>
      <c r="R1003" s="136" t="str">
        <f>IFERROR(__xludf.DUMMYFUNCTION("""COMPUTED_VALUE"""),"")</f>
        <v/>
      </c>
      <c r="S1003" s="106" t="str">
        <f>IFERROR(__xludf.DUMMYFUNCTION("""COMPUTED_VALUE"""),"")</f>
        <v/>
      </c>
    </row>
    <row r="1004">
      <c r="A1004" s="136" t="s">
        <v>133</v>
      </c>
      <c r="B1004" s="136"/>
      <c r="C1004" s="136" t="s">
        <v>133</v>
      </c>
      <c r="D1004" s="136"/>
      <c r="E1004" s="106"/>
      <c r="F1004" s="136" t="str">
        <f>IFERROR(__xludf.DUMMYFUNCTION("""COMPUTED_VALUE"""),"")</f>
        <v/>
      </c>
      <c r="G1004" s="106" t="str">
        <f>IFERROR(__xludf.DUMMYFUNCTION("""COMPUTED_VALUE"""),"")</f>
        <v/>
      </c>
      <c r="I1004" s="136" t="str">
        <f>IFERROR(__xludf.DUMMYFUNCTION("""COMPUTED_VALUE"""),"")</f>
        <v/>
      </c>
      <c r="J1004" s="106" t="str">
        <f>IFERROR(__xludf.DUMMYFUNCTION("""COMPUTED_VALUE"""),"")</f>
        <v/>
      </c>
      <c r="L1004" s="136" t="str">
        <f>IFERROR(__xludf.DUMMYFUNCTION("""COMPUTED_VALUE"""),"")</f>
        <v/>
      </c>
      <c r="M1004" s="106" t="str">
        <f>IFERROR(__xludf.DUMMYFUNCTION("""COMPUTED_VALUE"""),"")</f>
        <v/>
      </c>
      <c r="O1004" s="136" t="str">
        <f>IFERROR(__xludf.DUMMYFUNCTION("""COMPUTED_VALUE"""),"")</f>
        <v/>
      </c>
      <c r="P1004" s="106" t="str">
        <f>IFERROR(__xludf.DUMMYFUNCTION("""COMPUTED_VALUE"""),"")</f>
        <v/>
      </c>
      <c r="R1004" s="136" t="str">
        <f>IFERROR(__xludf.DUMMYFUNCTION("""COMPUTED_VALUE"""),"")</f>
        <v/>
      </c>
      <c r="S1004" s="106" t="str">
        <f>IFERROR(__xludf.DUMMYFUNCTION("""COMPUTED_VALUE"""),"")</f>
        <v/>
      </c>
    </row>
    <row r="1005">
      <c r="A1005" s="136" t="s">
        <v>133</v>
      </c>
      <c r="B1005" s="136"/>
      <c r="C1005" s="136" t="s">
        <v>133</v>
      </c>
      <c r="D1005" s="136"/>
      <c r="E1005" s="106"/>
      <c r="F1005" s="136" t="str">
        <f>IFERROR(__xludf.DUMMYFUNCTION("""COMPUTED_VALUE"""),"")</f>
        <v/>
      </c>
      <c r="G1005" s="106" t="str">
        <f>IFERROR(__xludf.DUMMYFUNCTION("""COMPUTED_VALUE"""),"")</f>
        <v/>
      </c>
      <c r="I1005" s="136" t="str">
        <f>IFERROR(__xludf.DUMMYFUNCTION("""COMPUTED_VALUE"""),"")</f>
        <v/>
      </c>
      <c r="J1005" s="106" t="str">
        <f>IFERROR(__xludf.DUMMYFUNCTION("""COMPUTED_VALUE"""),"")</f>
        <v/>
      </c>
      <c r="L1005" s="136" t="str">
        <f>IFERROR(__xludf.DUMMYFUNCTION("""COMPUTED_VALUE"""),"")</f>
        <v/>
      </c>
      <c r="M1005" s="106" t="str">
        <f>IFERROR(__xludf.DUMMYFUNCTION("""COMPUTED_VALUE"""),"")</f>
        <v/>
      </c>
      <c r="O1005" s="136" t="str">
        <f>IFERROR(__xludf.DUMMYFUNCTION("""COMPUTED_VALUE"""),"")</f>
        <v/>
      </c>
      <c r="P1005" s="106" t="str">
        <f>IFERROR(__xludf.DUMMYFUNCTION("""COMPUTED_VALUE"""),"")</f>
        <v/>
      </c>
      <c r="R1005" s="136" t="str">
        <f>IFERROR(__xludf.DUMMYFUNCTION("""COMPUTED_VALUE"""),"")</f>
        <v/>
      </c>
      <c r="S1005" s="106" t="str">
        <f>IFERROR(__xludf.DUMMYFUNCTION("""COMPUTED_VALUE"""),"")</f>
        <v/>
      </c>
    </row>
    <row r="1006">
      <c r="A1006" s="136" t="s">
        <v>133</v>
      </c>
      <c r="B1006" s="136"/>
      <c r="C1006" s="136" t="s">
        <v>133</v>
      </c>
      <c r="D1006" s="136"/>
      <c r="E1006" s="106"/>
      <c r="F1006" s="136" t="str">
        <f>IFERROR(__xludf.DUMMYFUNCTION("""COMPUTED_VALUE"""),"")</f>
        <v/>
      </c>
      <c r="G1006" s="106" t="str">
        <f>IFERROR(__xludf.DUMMYFUNCTION("""COMPUTED_VALUE"""),"")</f>
        <v/>
      </c>
      <c r="I1006" s="136" t="str">
        <f>IFERROR(__xludf.DUMMYFUNCTION("""COMPUTED_VALUE"""),"")</f>
        <v/>
      </c>
      <c r="J1006" s="106" t="str">
        <f>IFERROR(__xludf.DUMMYFUNCTION("""COMPUTED_VALUE"""),"")</f>
        <v/>
      </c>
      <c r="L1006" s="136" t="str">
        <f>IFERROR(__xludf.DUMMYFUNCTION("""COMPUTED_VALUE"""),"")</f>
        <v/>
      </c>
      <c r="M1006" s="106" t="str">
        <f>IFERROR(__xludf.DUMMYFUNCTION("""COMPUTED_VALUE"""),"")</f>
        <v/>
      </c>
      <c r="O1006" s="136" t="str">
        <f>IFERROR(__xludf.DUMMYFUNCTION("""COMPUTED_VALUE"""),"")</f>
        <v/>
      </c>
      <c r="P1006" s="106" t="str">
        <f>IFERROR(__xludf.DUMMYFUNCTION("""COMPUTED_VALUE"""),"")</f>
        <v/>
      </c>
      <c r="R1006" s="136" t="str">
        <f>IFERROR(__xludf.DUMMYFUNCTION("""COMPUTED_VALUE"""),"")</f>
        <v/>
      </c>
      <c r="S1006" s="106" t="str">
        <f>IFERROR(__xludf.DUMMYFUNCTION("""COMPUTED_VALUE"""),"")</f>
        <v/>
      </c>
    </row>
    <row r="1007">
      <c r="A1007" s="136" t="s">
        <v>133</v>
      </c>
      <c r="B1007" s="136"/>
      <c r="C1007" s="136" t="s">
        <v>133</v>
      </c>
      <c r="D1007" s="136"/>
      <c r="E1007" s="106"/>
      <c r="F1007" s="136" t="str">
        <f>IFERROR(__xludf.DUMMYFUNCTION("""COMPUTED_VALUE"""),"")</f>
        <v/>
      </c>
      <c r="G1007" s="106" t="str">
        <f>IFERROR(__xludf.DUMMYFUNCTION("""COMPUTED_VALUE"""),"")</f>
        <v/>
      </c>
      <c r="I1007" s="136" t="str">
        <f>IFERROR(__xludf.DUMMYFUNCTION("""COMPUTED_VALUE"""),"")</f>
        <v/>
      </c>
      <c r="J1007" s="106" t="str">
        <f>IFERROR(__xludf.DUMMYFUNCTION("""COMPUTED_VALUE"""),"")</f>
        <v/>
      </c>
      <c r="L1007" s="136" t="str">
        <f>IFERROR(__xludf.DUMMYFUNCTION("""COMPUTED_VALUE"""),"")</f>
        <v/>
      </c>
      <c r="M1007" s="106" t="str">
        <f>IFERROR(__xludf.DUMMYFUNCTION("""COMPUTED_VALUE"""),"")</f>
        <v/>
      </c>
      <c r="O1007" s="136" t="str">
        <f>IFERROR(__xludf.DUMMYFUNCTION("""COMPUTED_VALUE"""),"")</f>
        <v/>
      </c>
      <c r="P1007" s="106" t="str">
        <f>IFERROR(__xludf.DUMMYFUNCTION("""COMPUTED_VALUE"""),"")</f>
        <v/>
      </c>
      <c r="R1007" s="136" t="str">
        <f>IFERROR(__xludf.DUMMYFUNCTION("""COMPUTED_VALUE"""),"")</f>
        <v/>
      </c>
      <c r="S1007" s="106" t="str">
        <f>IFERROR(__xludf.DUMMYFUNCTION("""COMPUTED_VALUE"""),"")</f>
        <v/>
      </c>
    </row>
    <row r="1008">
      <c r="A1008" s="136" t="s">
        <v>133</v>
      </c>
      <c r="B1008" s="136"/>
      <c r="C1008" s="136" t="s">
        <v>133</v>
      </c>
      <c r="D1008" s="136"/>
      <c r="E1008" s="106"/>
      <c r="F1008" s="136" t="str">
        <f>IFERROR(__xludf.DUMMYFUNCTION("""COMPUTED_VALUE"""),"")</f>
        <v/>
      </c>
      <c r="G1008" s="106" t="str">
        <f>IFERROR(__xludf.DUMMYFUNCTION("""COMPUTED_VALUE"""),"")</f>
        <v/>
      </c>
      <c r="I1008" s="136" t="str">
        <f>IFERROR(__xludf.DUMMYFUNCTION("""COMPUTED_VALUE"""),"")</f>
        <v/>
      </c>
      <c r="J1008" s="106" t="str">
        <f>IFERROR(__xludf.DUMMYFUNCTION("""COMPUTED_VALUE"""),"")</f>
        <v/>
      </c>
      <c r="L1008" s="136" t="str">
        <f>IFERROR(__xludf.DUMMYFUNCTION("""COMPUTED_VALUE"""),"")</f>
        <v/>
      </c>
      <c r="M1008" s="106" t="str">
        <f>IFERROR(__xludf.DUMMYFUNCTION("""COMPUTED_VALUE"""),"")</f>
        <v/>
      </c>
      <c r="O1008" s="136" t="str">
        <f>IFERROR(__xludf.DUMMYFUNCTION("""COMPUTED_VALUE"""),"")</f>
        <v/>
      </c>
      <c r="P1008" s="106" t="str">
        <f>IFERROR(__xludf.DUMMYFUNCTION("""COMPUTED_VALUE"""),"")</f>
        <v/>
      </c>
      <c r="R1008" s="136" t="str">
        <f>IFERROR(__xludf.DUMMYFUNCTION("""COMPUTED_VALUE"""),"")</f>
        <v/>
      </c>
      <c r="S1008" s="106" t="str">
        <f>IFERROR(__xludf.DUMMYFUNCTION("""COMPUTED_VALUE"""),"")</f>
        <v/>
      </c>
    </row>
    <row r="1009">
      <c r="A1009" s="136" t="s">
        <v>133</v>
      </c>
      <c r="B1009" s="136"/>
      <c r="C1009" s="136" t="s">
        <v>133</v>
      </c>
      <c r="D1009" s="136"/>
      <c r="E1009" s="106"/>
      <c r="F1009" s="136" t="str">
        <f>IFERROR(__xludf.DUMMYFUNCTION("""COMPUTED_VALUE"""),"")</f>
        <v/>
      </c>
      <c r="G1009" s="106" t="str">
        <f>IFERROR(__xludf.DUMMYFUNCTION("""COMPUTED_VALUE"""),"")</f>
        <v/>
      </c>
      <c r="I1009" s="136" t="str">
        <f>IFERROR(__xludf.DUMMYFUNCTION("""COMPUTED_VALUE"""),"")</f>
        <v/>
      </c>
      <c r="J1009" s="106" t="str">
        <f>IFERROR(__xludf.DUMMYFUNCTION("""COMPUTED_VALUE"""),"")</f>
        <v/>
      </c>
      <c r="L1009" s="136" t="str">
        <f>IFERROR(__xludf.DUMMYFUNCTION("""COMPUTED_VALUE"""),"")</f>
        <v/>
      </c>
      <c r="M1009" s="106" t="str">
        <f>IFERROR(__xludf.DUMMYFUNCTION("""COMPUTED_VALUE"""),"")</f>
        <v/>
      </c>
      <c r="O1009" s="136" t="str">
        <f>IFERROR(__xludf.DUMMYFUNCTION("""COMPUTED_VALUE"""),"")</f>
        <v/>
      </c>
      <c r="P1009" s="106" t="str">
        <f>IFERROR(__xludf.DUMMYFUNCTION("""COMPUTED_VALUE"""),"")</f>
        <v/>
      </c>
      <c r="R1009" s="136" t="str">
        <f>IFERROR(__xludf.DUMMYFUNCTION("""COMPUTED_VALUE"""),"")</f>
        <v/>
      </c>
      <c r="S1009" s="106" t="str">
        <f>IFERROR(__xludf.DUMMYFUNCTION("""COMPUTED_VALUE"""),"")</f>
        <v/>
      </c>
    </row>
    <row r="1010">
      <c r="A1010" s="136" t="s">
        <v>133</v>
      </c>
      <c r="B1010" s="136"/>
      <c r="C1010" s="136" t="s">
        <v>133</v>
      </c>
      <c r="D1010" s="136"/>
      <c r="E1010" s="106"/>
      <c r="F1010" s="136" t="str">
        <f>IFERROR(__xludf.DUMMYFUNCTION("""COMPUTED_VALUE"""),"")</f>
        <v/>
      </c>
      <c r="G1010" s="106" t="str">
        <f>IFERROR(__xludf.DUMMYFUNCTION("""COMPUTED_VALUE"""),"")</f>
        <v/>
      </c>
      <c r="I1010" s="136" t="str">
        <f>IFERROR(__xludf.DUMMYFUNCTION("""COMPUTED_VALUE"""),"")</f>
        <v/>
      </c>
      <c r="J1010" s="106" t="str">
        <f>IFERROR(__xludf.DUMMYFUNCTION("""COMPUTED_VALUE"""),"")</f>
        <v/>
      </c>
      <c r="L1010" s="136" t="str">
        <f>IFERROR(__xludf.DUMMYFUNCTION("""COMPUTED_VALUE"""),"")</f>
        <v/>
      </c>
      <c r="M1010" s="106" t="str">
        <f>IFERROR(__xludf.DUMMYFUNCTION("""COMPUTED_VALUE"""),"")</f>
        <v/>
      </c>
      <c r="O1010" s="136" t="str">
        <f>IFERROR(__xludf.DUMMYFUNCTION("""COMPUTED_VALUE"""),"")</f>
        <v/>
      </c>
      <c r="P1010" s="106" t="str">
        <f>IFERROR(__xludf.DUMMYFUNCTION("""COMPUTED_VALUE"""),"")</f>
        <v/>
      </c>
      <c r="R1010" s="136" t="str">
        <f>IFERROR(__xludf.DUMMYFUNCTION("""COMPUTED_VALUE"""),"")</f>
        <v/>
      </c>
      <c r="S1010" s="106" t="str">
        <f>IFERROR(__xludf.DUMMYFUNCTION("""COMPUTED_VALUE"""),"")</f>
        <v/>
      </c>
    </row>
    <row r="1011">
      <c r="A1011" s="136" t="s">
        <v>133</v>
      </c>
      <c r="B1011" s="136"/>
      <c r="C1011" s="136" t="s">
        <v>133</v>
      </c>
      <c r="D1011" s="136"/>
      <c r="E1011" s="106"/>
      <c r="F1011" s="136" t="str">
        <f>IFERROR(__xludf.DUMMYFUNCTION("""COMPUTED_VALUE"""),"")</f>
        <v/>
      </c>
      <c r="G1011" s="106" t="str">
        <f>IFERROR(__xludf.DUMMYFUNCTION("""COMPUTED_VALUE"""),"")</f>
        <v/>
      </c>
      <c r="I1011" s="136" t="str">
        <f>IFERROR(__xludf.DUMMYFUNCTION("""COMPUTED_VALUE"""),"")</f>
        <v/>
      </c>
      <c r="J1011" s="106" t="str">
        <f>IFERROR(__xludf.DUMMYFUNCTION("""COMPUTED_VALUE"""),"")</f>
        <v/>
      </c>
      <c r="L1011" s="136" t="str">
        <f>IFERROR(__xludf.DUMMYFUNCTION("""COMPUTED_VALUE"""),"")</f>
        <v/>
      </c>
      <c r="M1011" s="106" t="str">
        <f>IFERROR(__xludf.DUMMYFUNCTION("""COMPUTED_VALUE"""),"")</f>
        <v/>
      </c>
      <c r="O1011" s="136" t="str">
        <f>IFERROR(__xludf.DUMMYFUNCTION("""COMPUTED_VALUE"""),"")</f>
        <v/>
      </c>
      <c r="P1011" s="106" t="str">
        <f>IFERROR(__xludf.DUMMYFUNCTION("""COMPUTED_VALUE"""),"")</f>
        <v/>
      </c>
      <c r="R1011" s="136" t="str">
        <f>IFERROR(__xludf.DUMMYFUNCTION("""COMPUTED_VALUE"""),"")</f>
        <v/>
      </c>
      <c r="S1011" s="106" t="str">
        <f>IFERROR(__xludf.DUMMYFUNCTION("""COMPUTED_VALUE"""),"")</f>
        <v/>
      </c>
    </row>
    <row r="1012">
      <c r="A1012" s="136" t="s">
        <v>133</v>
      </c>
      <c r="B1012" s="136"/>
      <c r="C1012" s="136" t="s">
        <v>133</v>
      </c>
      <c r="D1012" s="136"/>
      <c r="E1012" s="106"/>
      <c r="F1012" s="136" t="str">
        <f>IFERROR(__xludf.DUMMYFUNCTION("""COMPUTED_VALUE"""),"")</f>
        <v/>
      </c>
      <c r="G1012" s="106" t="str">
        <f>IFERROR(__xludf.DUMMYFUNCTION("""COMPUTED_VALUE"""),"")</f>
        <v/>
      </c>
      <c r="I1012" s="136" t="str">
        <f>IFERROR(__xludf.DUMMYFUNCTION("""COMPUTED_VALUE"""),"")</f>
        <v/>
      </c>
      <c r="J1012" s="106" t="str">
        <f>IFERROR(__xludf.DUMMYFUNCTION("""COMPUTED_VALUE"""),"")</f>
        <v/>
      </c>
      <c r="L1012" s="136" t="str">
        <f>IFERROR(__xludf.DUMMYFUNCTION("""COMPUTED_VALUE"""),"")</f>
        <v/>
      </c>
      <c r="M1012" s="106" t="str">
        <f>IFERROR(__xludf.DUMMYFUNCTION("""COMPUTED_VALUE"""),"")</f>
        <v/>
      </c>
      <c r="O1012" s="136" t="str">
        <f>IFERROR(__xludf.DUMMYFUNCTION("""COMPUTED_VALUE"""),"")</f>
        <v/>
      </c>
      <c r="P1012" s="106" t="str">
        <f>IFERROR(__xludf.DUMMYFUNCTION("""COMPUTED_VALUE"""),"")</f>
        <v/>
      </c>
      <c r="R1012" s="136" t="str">
        <f>IFERROR(__xludf.DUMMYFUNCTION("""COMPUTED_VALUE"""),"")</f>
        <v/>
      </c>
      <c r="S1012" s="106" t="str">
        <f>IFERROR(__xludf.DUMMYFUNCTION("""COMPUTED_VALUE"""),"")</f>
        <v/>
      </c>
    </row>
    <row r="1013">
      <c r="A1013" s="136" t="s">
        <v>133</v>
      </c>
      <c r="B1013" s="136"/>
      <c r="C1013" s="136" t="s">
        <v>133</v>
      </c>
      <c r="D1013" s="136"/>
      <c r="E1013" s="106"/>
      <c r="F1013" s="136" t="str">
        <f>IFERROR(__xludf.DUMMYFUNCTION("""COMPUTED_VALUE"""),"")</f>
        <v/>
      </c>
      <c r="G1013" s="106" t="str">
        <f>IFERROR(__xludf.DUMMYFUNCTION("""COMPUTED_VALUE"""),"")</f>
        <v/>
      </c>
      <c r="I1013" s="136" t="str">
        <f>IFERROR(__xludf.DUMMYFUNCTION("""COMPUTED_VALUE"""),"")</f>
        <v/>
      </c>
      <c r="J1013" s="106" t="str">
        <f>IFERROR(__xludf.DUMMYFUNCTION("""COMPUTED_VALUE"""),"")</f>
        <v/>
      </c>
      <c r="L1013" s="136" t="str">
        <f>IFERROR(__xludf.DUMMYFUNCTION("""COMPUTED_VALUE"""),"")</f>
        <v/>
      </c>
      <c r="M1013" s="106" t="str">
        <f>IFERROR(__xludf.DUMMYFUNCTION("""COMPUTED_VALUE"""),"")</f>
        <v/>
      </c>
      <c r="O1013" s="136" t="str">
        <f>IFERROR(__xludf.DUMMYFUNCTION("""COMPUTED_VALUE"""),"")</f>
        <v/>
      </c>
      <c r="P1013" s="106" t="str">
        <f>IFERROR(__xludf.DUMMYFUNCTION("""COMPUTED_VALUE"""),"")</f>
        <v/>
      </c>
      <c r="R1013" s="136" t="str">
        <f>IFERROR(__xludf.DUMMYFUNCTION("""COMPUTED_VALUE"""),"")</f>
        <v/>
      </c>
      <c r="S1013" s="106" t="str">
        <f>IFERROR(__xludf.DUMMYFUNCTION("""COMPUTED_VALUE"""),"")</f>
        <v/>
      </c>
    </row>
    <row r="1014">
      <c r="A1014" s="136" t="s">
        <v>133</v>
      </c>
      <c r="B1014" s="136"/>
      <c r="C1014" s="136" t="s">
        <v>133</v>
      </c>
      <c r="D1014" s="136"/>
      <c r="E1014" s="106"/>
      <c r="F1014" s="136" t="str">
        <f>IFERROR(__xludf.DUMMYFUNCTION("""COMPUTED_VALUE"""),"")</f>
        <v/>
      </c>
      <c r="G1014" s="106" t="str">
        <f>IFERROR(__xludf.DUMMYFUNCTION("""COMPUTED_VALUE"""),"")</f>
        <v/>
      </c>
      <c r="I1014" s="136" t="str">
        <f>IFERROR(__xludf.DUMMYFUNCTION("""COMPUTED_VALUE"""),"")</f>
        <v/>
      </c>
      <c r="J1014" s="106" t="str">
        <f>IFERROR(__xludf.DUMMYFUNCTION("""COMPUTED_VALUE"""),"")</f>
        <v/>
      </c>
      <c r="L1014" s="136" t="str">
        <f>IFERROR(__xludf.DUMMYFUNCTION("""COMPUTED_VALUE"""),"")</f>
        <v/>
      </c>
      <c r="M1014" s="106" t="str">
        <f>IFERROR(__xludf.DUMMYFUNCTION("""COMPUTED_VALUE"""),"")</f>
        <v/>
      </c>
      <c r="O1014" s="136" t="str">
        <f>IFERROR(__xludf.DUMMYFUNCTION("""COMPUTED_VALUE"""),"")</f>
        <v/>
      </c>
      <c r="P1014" s="106" t="str">
        <f>IFERROR(__xludf.DUMMYFUNCTION("""COMPUTED_VALUE"""),"")</f>
        <v/>
      </c>
      <c r="R1014" s="136" t="str">
        <f>IFERROR(__xludf.DUMMYFUNCTION("""COMPUTED_VALUE"""),"")</f>
        <v/>
      </c>
      <c r="S1014" s="106" t="str">
        <f>IFERROR(__xludf.DUMMYFUNCTION("""COMPUTED_VALUE"""),"")</f>
        <v/>
      </c>
    </row>
    <row r="1015">
      <c r="A1015" s="136" t="s">
        <v>133</v>
      </c>
      <c r="B1015" s="136"/>
      <c r="C1015" s="136" t="s">
        <v>133</v>
      </c>
      <c r="D1015" s="136"/>
      <c r="E1015" s="106"/>
      <c r="F1015" s="136" t="str">
        <f>IFERROR(__xludf.DUMMYFUNCTION("""COMPUTED_VALUE"""),"")</f>
        <v/>
      </c>
      <c r="G1015" s="106" t="str">
        <f>IFERROR(__xludf.DUMMYFUNCTION("""COMPUTED_VALUE"""),"")</f>
        <v/>
      </c>
      <c r="I1015" s="136" t="str">
        <f>IFERROR(__xludf.DUMMYFUNCTION("""COMPUTED_VALUE"""),"")</f>
        <v/>
      </c>
      <c r="J1015" s="106" t="str">
        <f>IFERROR(__xludf.DUMMYFUNCTION("""COMPUTED_VALUE"""),"")</f>
        <v/>
      </c>
      <c r="L1015" s="136" t="str">
        <f>IFERROR(__xludf.DUMMYFUNCTION("""COMPUTED_VALUE"""),"")</f>
        <v/>
      </c>
      <c r="M1015" s="106" t="str">
        <f>IFERROR(__xludf.DUMMYFUNCTION("""COMPUTED_VALUE"""),"")</f>
        <v/>
      </c>
      <c r="O1015" s="136" t="str">
        <f>IFERROR(__xludf.DUMMYFUNCTION("""COMPUTED_VALUE"""),"")</f>
        <v/>
      </c>
      <c r="P1015" s="106" t="str">
        <f>IFERROR(__xludf.DUMMYFUNCTION("""COMPUTED_VALUE"""),"")</f>
        <v/>
      </c>
      <c r="R1015" s="136" t="str">
        <f>IFERROR(__xludf.DUMMYFUNCTION("""COMPUTED_VALUE"""),"")</f>
        <v/>
      </c>
      <c r="S1015" s="106" t="str">
        <f>IFERROR(__xludf.DUMMYFUNCTION("""COMPUTED_VALUE"""),"")</f>
        <v/>
      </c>
    </row>
    <row r="1016">
      <c r="A1016" s="136" t="s">
        <v>133</v>
      </c>
      <c r="B1016" s="136"/>
      <c r="C1016" s="136" t="s">
        <v>133</v>
      </c>
      <c r="D1016" s="136"/>
      <c r="E1016" s="106"/>
      <c r="F1016" s="136" t="str">
        <f>IFERROR(__xludf.DUMMYFUNCTION("""COMPUTED_VALUE"""),"")</f>
        <v/>
      </c>
      <c r="G1016" s="106" t="str">
        <f>IFERROR(__xludf.DUMMYFUNCTION("""COMPUTED_VALUE"""),"")</f>
        <v/>
      </c>
      <c r="I1016" s="136" t="str">
        <f>IFERROR(__xludf.DUMMYFUNCTION("""COMPUTED_VALUE"""),"")</f>
        <v/>
      </c>
      <c r="J1016" s="106" t="str">
        <f>IFERROR(__xludf.DUMMYFUNCTION("""COMPUTED_VALUE"""),"")</f>
        <v/>
      </c>
      <c r="L1016" s="136" t="str">
        <f>IFERROR(__xludf.DUMMYFUNCTION("""COMPUTED_VALUE"""),"")</f>
        <v/>
      </c>
      <c r="M1016" s="106" t="str">
        <f>IFERROR(__xludf.DUMMYFUNCTION("""COMPUTED_VALUE"""),"")</f>
        <v/>
      </c>
      <c r="O1016" s="136" t="str">
        <f>IFERROR(__xludf.DUMMYFUNCTION("""COMPUTED_VALUE"""),"")</f>
        <v/>
      </c>
      <c r="P1016" s="106" t="str">
        <f>IFERROR(__xludf.DUMMYFUNCTION("""COMPUTED_VALUE"""),"")</f>
        <v/>
      </c>
      <c r="R1016" s="136" t="str">
        <f>IFERROR(__xludf.DUMMYFUNCTION("""COMPUTED_VALUE"""),"")</f>
        <v/>
      </c>
      <c r="S1016" s="106" t="str">
        <f>IFERROR(__xludf.DUMMYFUNCTION("""COMPUTED_VALUE"""),"")</f>
        <v/>
      </c>
    </row>
    <row r="1017">
      <c r="A1017" s="136" t="s">
        <v>133</v>
      </c>
      <c r="B1017" s="136"/>
      <c r="C1017" s="136" t="s">
        <v>133</v>
      </c>
      <c r="D1017" s="136"/>
      <c r="E1017" s="106"/>
      <c r="F1017" s="136" t="str">
        <f>IFERROR(__xludf.DUMMYFUNCTION("""COMPUTED_VALUE"""),"")</f>
        <v/>
      </c>
      <c r="G1017" s="106" t="str">
        <f>IFERROR(__xludf.DUMMYFUNCTION("""COMPUTED_VALUE"""),"")</f>
        <v/>
      </c>
      <c r="I1017" s="136" t="str">
        <f>IFERROR(__xludf.DUMMYFUNCTION("""COMPUTED_VALUE"""),"")</f>
        <v/>
      </c>
      <c r="J1017" s="106" t="str">
        <f>IFERROR(__xludf.DUMMYFUNCTION("""COMPUTED_VALUE"""),"")</f>
        <v/>
      </c>
      <c r="L1017" s="136" t="str">
        <f>IFERROR(__xludf.DUMMYFUNCTION("""COMPUTED_VALUE"""),"")</f>
        <v/>
      </c>
      <c r="M1017" s="106" t="str">
        <f>IFERROR(__xludf.DUMMYFUNCTION("""COMPUTED_VALUE"""),"")</f>
        <v/>
      </c>
      <c r="O1017" s="136" t="str">
        <f>IFERROR(__xludf.DUMMYFUNCTION("""COMPUTED_VALUE"""),"")</f>
        <v/>
      </c>
      <c r="P1017" s="106" t="str">
        <f>IFERROR(__xludf.DUMMYFUNCTION("""COMPUTED_VALUE"""),"")</f>
        <v/>
      </c>
      <c r="R1017" s="136" t="str">
        <f>IFERROR(__xludf.DUMMYFUNCTION("""COMPUTED_VALUE"""),"")</f>
        <v/>
      </c>
      <c r="S1017" s="106" t="str">
        <f>IFERROR(__xludf.DUMMYFUNCTION("""COMPUTED_VALUE"""),"")</f>
        <v/>
      </c>
    </row>
    <row r="1018">
      <c r="A1018" s="136" t="s">
        <v>133</v>
      </c>
      <c r="B1018" s="136"/>
      <c r="C1018" s="136" t="s">
        <v>133</v>
      </c>
      <c r="D1018" s="136"/>
      <c r="E1018" s="106"/>
      <c r="F1018" s="136" t="str">
        <f>IFERROR(__xludf.DUMMYFUNCTION("""COMPUTED_VALUE"""),"")</f>
        <v/>
      </c>
      <c r="G1018" s="106" t="str">
        <f>IFERROR(__xludf.DUMMYFUNCTION("""COMPUTED_VALUE"""),"")</f>
        <v/>
      </c>
      <c r="I1018" s="136" t="str">
        <f>IFERROR(__xludf.DUMMYFUNCTION("""COMPUTED_VALUE"""),"")</f>
        <v/>
      </c>
      <c r="J1018" s="106" t="str">
        <f>IFERROR(__xludf.DUMMYFUNCTION("""COMPUTED_VALUE"""),"")</f>
        <v/>
      </c>
      <c r="L1018" s="136" t="str">
        <f>IFERROR(__xludf.DUMMYFUNCTION("""COMPUTED_VALUE"""),"")</f>
        <v/>
      </c>
      <c r="M1018" s="106" t="str">
        <f>IFERROR(__xludf.DUMMYFUNCTION("""COMPUTED_VALUE"""),"")</f>
        <v/>
      </c>
      <c r="O1018" s="136" t="str">
        <f>IFERROR(__xludf.DUMMYFUNCTION("""COMPUTED_VALUE"""),"")</f>
        <v/>
      </c>
      <c r="P1018" s="106" t="str">
        <f>IFERROR(__xludf.DUMMYFUNCTION("""COMPUTED_VALUE"""),"")</f>
        <v/>
      </c>
      <c r="R1018" s="136" t="str">
        <f>IFERROR(__xludf.DUMMYFUNCTION("""COMPUTED_VALUE"""),"")</f>
        <v/>
      </c>
      <c r="S1018" s="106" t="str">
        <f>IFERROR(__xludf.DUMMYFUNCTION("""COMPUTED_VALUE"""),"")</f>
        <v/>
      </c>
    </row>
    <row r="1019">
      <c r="A1019" s="136" t="s">
        <v>133</v>
      </c>
      <c r="B1019" s="136"/>
      <c r="C1019" s="136" t="s">
        <v>133</v>
      </c>
      <c r="D1019" s="136"/>
      <c r="E1019" s="106"/>
      <c r="F1019" s="136" t="str">
        <f>IFERROR(__xludf.DUMMYFUNCTION("""COMPUTED_VALUE"""),"")</f>
        <v/>
      </c>
      <c r="G1019" s="106" t="str">
        <f>IFERROR(__xludf.DUMMYFUNCTION("""COMPUTED_VALUE"""),"")</f>
        <v/>
      </c>
      <c r="I1019" s="136" t="str">
        <f>IFERROR(__xludf.DUMMYFUNCTION("""COMPUTED_VALUE"""),"")</f>
        <v/>
      </c>
      <c r="J1019" s="106" t="str">
        <f>IFERROR(__xludf.DUMMYFUNCTION("""COMPUTED_VALUE"""),"")</f>
        <v/>
      </c>
      <c r="L1019" s="136" t="str">
        <f>IFERROR(__xludf.DUMMYFUNCTION("""COMPUTED_VALUE"""),"")</f>
        <v/>
      </c>
      <c r="M1019" s="106" t="str">
        <f>IFERROR(__xludf.DUMMYFUNCTION("""COMPUTED_VALUE"""),"")</f>
        <v/>
      </c>
      <c r="O1019" s="136" t="str">
        <f>IFERROR(__xludf.DUMMYFUNCTION("""COMPUTED_VALUE"""),"")</f>
        <v/>
      </c>
      <c r="P1019" s="106" t="str">
        <f>IFERROR(__xludf.DUMMYFUNCTION("""COMPUTED_VALUE"""),"")</f>
        <v/>
      </c>
      <c r="R1019" s="136" t="str">
        <f>IFERROR(__xludf.DUMMYFUNCTION("""COMPUTED_VALUE"""),"")</f>
        <v/>
      </c>
      <c r="S1019" s="106" t="str">
        <f>IFERROR(__xludf.DUMMYFUNCTION("""COMPUTED_VALUE"""),"")</f>
        <v/>
      </c>
    </row>
    <row r="1020">
      <c r="A1020" s="136" t="s">
        <v>133</v>
      </c>
      <c r="B1020" s="136"/>
      <c r="C1020" s="136" t="s">
        <v>133</v>
      </c>
      <c r="D1020" s="136"/>
      <c r="E1020" s="106"/>
      <c r="F1020" s="136" t="str">
        <f>IFERROR(__xludf.DUMMYFUNCTION("""COMPUTED_VALUE"""),"")</f>
        <v/>
      </c>
      <c r="G1020" s="106" t="str">
        <f>IFERROR(__xludf.DUMMYFUNCTION("""COMPUTED_VALUE"""),"")</f>
        <v/>
      </c>
      <c r="I1020" s="136" t="str">
        <f>IFERROR(__xludf.DUMMYFUNCTION("""COMPUTED_VALUE"""),"")</f>
        <v/>
      </c>
      <c r="J1020" s="106" t="str">
        <f>IFERROR(__xludf.DUMMYFUNCTION("""COMPUTED_VALUE"""),"")</f>
        <v/>
      </c>
      <c r="L1020" s="136" t="str">
        <f>IFERROR(__xludf.DUMMYFUNCTION("""COMPUTED_VALUE"""),"")</f>
        <v/>
      </c>
      <c r="M1020" s="106" t="str">
        <f>IFERROR(__xludf.DUMMYFUNCTION("""COMPUTED_VALUE"""),"")</f>
        <v/>
      </c>
      <c r="O1020" s="136" t="str">
        <f>IFERROR(__xludf.DUMMYFUNCTION("""COMPUTED_VALUE"""),"")</f>
        <v/>
      </c>
      <c r="P1020" s="106" t="str">
        <f>IFERROR(__xludf.DUMMYFUNCTION("""COMPUTED_VALUE"""),"")</f>
        <v/>
      </c>
      <c r="R1020" s="136" t="str">
        <f>IFERROR(__xludf.DUMMYFUNCTION("""COMPUTED_VALUE"""),"")</f>
        <v/>
      </c>
      <c r="S1020" s="106" t="str">
        <f>IFERROR(__xludf.DUMMYFUNCTION("""COMPUTED_VALUE"""),"")</f>
        <v/>
      </c>
    </row>
    <row r="1021">
      <c r="A1021" s="136" t="s">
        <v>133</v>
      </c>
      <c r="B1021" s="136"/>
      <c r="C1021" s="136" t="s">
        <v>133</v>
      </c>
      <c r="D1021" s="136"/>
      <c r="E1021" s="106"/>
      <c r="F1021" s="136" t="str">
        <f>IFERROR(__xludf.DUMMYFUNCTION("""COMPUTED_VALUE"""),"")</f>
        <v/>
      </c>
      <c r="G1021" s="106" t="str">
        <f>IFERROR(__xludf.DUMMYFUNCTION("""COMPUTED_VALUE"""),"")</f>
        <v/>
      </c>
      <c r="I1021" s="136" t="str">
        <f>IFERROR(__xludf.DUMMYFUNCTION("""COMPUTED_VALUE"""),"")</f>
        <v/>
      </c>
      <c r="J1021" s="106" t="str">
        <f>IFERROR(__xludf.DUMMYFUNCTION("""COMPUTED_VALUE"""),"")</f>
        <v/>
      </c>
      <c r="L1021" s="136" t="str">
        <f>IFERROR(__xludf.DUMMYFUNCTION("""COMPUTED_VALUE"""),"")</f>
        <v/>
      </c>
      <c r="M1021" s="106" t="str">
        <f>IFERROR(__xludf.DUMMYFUNCTION("""COMPUTED_VALUE"""),"")</f>
        <v/>
      </c>
      <c r="O1021" s="136" t="str">
        <f>IFERROR(__xludf.DUMMYFUNCTION("""COMPUTED_VALUE"""),"")</f>
        <v/>
      </c>
      <c r="P1021" s="106" t="str">
        <f>IFERROR(__xludf.DUMMYFUNCTION("""COMPUTED_VALUE"""),"")</f>
        <v/>
      </c>
      <c r="R1021" s="136" t="str">
        <f>IFERROR(__xludf.DUMMYFUNCTION("""COMPUTED_VALUE"""),"")</f>
        <v/>
      </c>
      <c r="S1021" s="106" t="str">
        <f>IFERROR(__xludf.DUMMYFUNCTION("""COMPUTED_VALUE"""),"")</f>
        <v/>
      </c>
    </row>
    <row r="1022">
      <c r="A1022" s="136" t="s">
        <v>133</v>
      </c>
      <c r="B1022" s="136"/>
      <c r="C1022" s="136" t="s">
        <v>133</v>
      </c>
      <c r="D1022" s="136"/>
      <c r="E1022" s="106"/>
      <c r="F1022" s="136" t="str">
        <f>IFERROR(__xludf.DUMMYFUNCTION("""COMPUTED_VALUE"""),"")</f>
        <v/>
      </c>
      <c r="G1022" s="106" t="str">
        <f>IFERROR(__xludf.DUMMYFUNCTION("""COMPUTED_VALUE"""),"")</f>
        <v/>
      </c>
      <c r="I1022" s="136" t="str">
        <f>IFERROR(__xludf.DUMMYFUNCTION("""COMPUTED_VALUE"""),"")</f>
        <v/>
      </c>
      <c r="J1022" s="106" t="str">
        <f>IFERROR(__xludf.DUMMYFUNCTION("""COMPUTED_VALUE"""),"")</f>
        <v/>
      </c>
      <c r="L1022" s="136" t="str">
        <f>IFERROR(__xludf.DUMMYFUNCTION("""COMPUTED_VALUE"""),"")</f>
        <v/>
      </c>
      <c r="M1022" s="106" t="str">
        <f>IFERROR(__xludf.DUMMYFUNCTION("""COMPUTED_VALUE"""),"")</f>
        <v/>
      </c>
      <c r="O1022" s="136" t="str">
        <f>IFERROR(__xludf.DUMMYFUNCTION("""COMPUTED_VALUE"""),"")</f>
        <v/>
      </c>
      <c r="P1022" s="106" t="str">
        <f>IFERROR(__xludf.DUMMYFUNCTION("""COMPUTED_VALUE"""),"")</f>
        <v/>
      </c>
      <c r="R1022" s="136" t="str">
        <f>IFERROR(__xludf.DUMMYFUNCTION("""COMPUTED_VALUE"""),"")</f>
        <v/>
      </c>
      <c r="S1022" s="106" t="str">
        <f>IFERROR(__xludf.DUMMYFUNCTION("""COMPUTED_VALUE"""),"")</f>
        <v/>
      </c>
    </row>
    <row r="1023">
      <c r="A1023" s="136" t="s">
        <v>133</v>
      </c>
      <c r="B1023" s="136"/>
      <c r="C1023" s="136" t="s">
        <v>133</v>
      </c>
      <c r="D1023" s="136"/>
      <c r="E1023" s="106"/>
      <c r="F1023" s="136" t="str">
        <f>IFERROR(__xludf.DUMMYFUNCTION("""COMPUTED_VALUE"""),"")</f>
        <v/>
      </c>
      <c r="G1023" s="106" t="str">
        <f>IFERROR(__xludf.DUMMYFUNCTION("""COMPUTED_VALUE"""),"")</f>
        <v/>
      </c>
      <c r="I1023" s="136" t="str">
        <f>IFERROR(__xludf.DUMMYFUNCTION("""COMPUTED_VALUE"""),"")</f>
        <v/>
      </c>
      <c r="J1023" s="106" t="str">
        <f>IFERROR(__xludf.DUMMYFUNCTION("""COMPUTED_VALUE"""),"")</f>
        <v/>
      </c>
      <c r="L1023" s="136" t="str">
        <f>IFERROR(__xludf.DUMMYFUNCTION("""COMPUTED_VALUE"""),"")</f>
        <v/>
      </c>
      <c r="M1023" s="106" t="str">
        <f>IFERROR(__xludf.DUMMYFUNCTION("""COMPUTED_VALUE"""),"")</f>
        <v/>
      </c>
      <c r="O1023" s="136" t="str">
        <f>IFERROR(__xludf.DUMMYFUNCTION("""COMPUTED_VALUE"""),"")</f>
        <v/>
      </c>
      <c r="P1023" s="106" t="str">
        <f>IFERROR(__xludf.DUMMYFUNCTION("""COMPUTED_VALUE"""),"")</f>
        <v/>
      </c>
      <c r="R1023" s="136" t="str">
        <f>IFERROR(__xludf.DUMMYFUNCTION("""COMPUTED_VALUE"""),"")</f>
        <v/>
      </c>
      <c r="S1023" s="106" t="str">
        <f>IFERROR(__xludf.DUMMYFUNCTION("""COMPUTED_VALUE"""),"")</f>
        <v/>
      </c>
    </row>
    <row r="1024">
      <c r="A1024" s="136" t="s">
        <v>133</v>
      </c>
      <c r="B1024" s="136"/>
      <c r="C1024" s="136" t="s">
        <v>133</v>
      </c>
      <c r="D1024" s="136"/>
      <c r="E1024" s="106"/>
      <c r="F1024" s="136" t="str">
        <f>IFERROR(__xludf.DUMMYFUNCTION("""COMPUTED_VALUE"""),"")</f>
        <v/>
      </c>
      <c r="G1024" s="106" t="str">
        <f>IFERROR(__xludf.DUMMYFUNCTION("""COMPUTED_VALUE"""),"")</f>
        <v/>
      </c>
      <c r="I1024" s="136" t="str">
        <f>IFERROR(__xludf.DUMMYFUNCTION("""COMPUTED_VALUE"""),"")</f>
        <v/>
      </c>
      <c r="J1024" s="106" t="str">
        <f>IFERROR(__xludf.DUMMYFUNCTION("""COMPUTED_VALUE"""),"")</f>
        <v/>
      </c>
      <c r="L1024" s="136" t="str">
        <f>IFERROR(__xludf.DUMMYFUNCTION("""COMPUTED_VALUE"""),"")</f>
        <v/>
      </c>
      <c r="M1024" s="106" t="str">
        <f>IFERROR(__xludf.DUMMYFUNCTION("""COMPUTED_VALUE"""),"")</f>
        <v/>
      </c>
      <c r="O1024" s="136" t="str">
        <f>IFERROR(__xludf.DUMMYFUNCTION("""COMPUTED_VALUE"""),"")</f>
        <v/>
      </c>
      <c r="P1024" s="106" t="str">
        <f>IFERROR(__xludf.DUMMYFUNCTION("""COMPUTED_VALUE"""),"")</f>
        <v/>
      </c>
      <c r="R1024" s="136" t="str">
        <f>IFERROR(__xludf.DUMMYFUNCTION("""COMPUTED_VALUE"""),"")</f>
        <v/>
      </c>
      <c r="S1024" s="106" t="str">
        <f>IFERROR(__xludf.DUMMYFUNCTION("""COMPUTED_VALUE"""),"")</f>
        <v/>
      </c>
    </row>
    <row r="1025">
      <c r="A1025" s="136" t="s">
        <v>133</v>
      </c>
      <c r="B1025" s="136"/>
      <c r="C1025" s="136" t="s">
        <v>133</v>
      </c>
      <c r="D1025" s="136"/>
      <c r="E1025" s="106"/>
      <c r="F1025" s="136" t="str">
        <f>IFERROR(__xludf.DUMMYFUNCTION("""COMPUTED_VALUE"""),"")</f>
        <v/>
      </c>
      <c r="G1025" s="106" t="str">
        <f>IFERROR(__xludf.DUMMYFUNCTION("""COMPUTED_VALUE"""),"")</f>
        <v/>
      </c>
      <c r="I1025" s="136" t="str">
        <f>IFERROR(__xludf.DUMMYFUNCTION("""COMPUTED_VALUE"""),"")</f>
        <v/>
      </c>
      <c r="J1025" s="106" t="str">
        <f>IFERROR(__xludf.DUMMYFUNCTION("""COMPUTED_VALUE"""),"")</f>
        <v/>
      </c>
      <c r="L1025" s="136" t="str">
        <f>IFERROR(__xludf.DUMMYFUNCTION("""COMPUTED_VALUE"""),"")</f>
        <v/>
      </c>
      <c r="M1025" s="106" t="str">
        <f>IFERROR(__xludf.DUMMYFUNCTION("""COMPUTED_VALUE"""),"")</f>
        <v/>
      </c>
      <c r="O1025" s="136" t="str">
        <f>IFERROR(__xludf.DUMMYFUNCTION("""COMPUTED_VALUE"""),"")</f>
        <v/>
      </c>
      <c r="P1025" s="106" t="str">
        <f>IFERROR(__xludf.DUMMYFUNCTION("""COMPUTED_VALUE"""),"")</f>
        <v/>
      </c>
      <c r="R1025" s="136" t="str">
        <f>IFERROR(__xludf.DUMMYFUNCTION("""COMPUTED_VALUE"""),"")</f>
        <v/>
      </c>
      <c r="S1025" s="106" t="str">
        <f>IFERROR(__xludf.DUMMYFUNCTION("""COMPUTED_VALUE"""),"")</f>
        <v/>
      </c>
    </row>
    <row r="1026">
      <c r="A1026" s="136" t="s">
        <v>133</v>
      </c>
      <c r="B1026" s="136"/>
      <c r="C1026" s="136" t="s">
        <v>133</v>
      </c>
      <c r="D1026" s="136"/>
      <c r="E1026" s="106"/>
      <c r="F1026" s="136" t="str">
        <f>IFERROR(__xludf.DUMMYFUNCTION("""COMPUTED_VALUE"""),"")</f>
        <v/>
      </c>
      <c r="G1026" s="106" t="str">
        <f>IFERROR(__xludf.DUMMYFUNCTION("""COMPUTED_VALUE"""),"")</f>
        <v/>
      </c>
      <c r="I1026" s="136" t="str">
        <f>IFERROR(__xludf.DUMMYFUNCTION("""COMPUTED_VALUE"""),"")</f>
        <v/>
      </c>
      <c r="J1026" s="106" t="str">
        <f>IFERROR(__xludf.DUMMYFUNCTION("""COMPUTED_VALUE"""),"")</f>
        <v/>
      </c>
      <c r="L1026" s="136" t="str">
        <f>IFERROR(__xludf.DUMMYFUNCTION("""COMPUTED_VALUE"""),"")</f>
        <v/>
      </c>
      <c r="M1026" s="106" t="str">
        <f>IFERROR(__xludf.DUMMYFUNCTION("""COMPUTED_VALUE"""),"")</f>
        <v/>
      </c>
      <c r="O1026" s="136" t="str">
        <f>IFERROR(__xludf.DUMMYFUNCTION("""COMPUTED_VALUE"""),"")</f>
        <v/>
      </c>
      <c r="P1026" s="106" t="str">
        <f>IFERROR(__xludf.DUMMYFUNCTION("""COMPUTED_VALUE"""),"")</f>
        <v/>
      </c>
      <c r="R1026" s="136" t="str">
        <f>IFERROR(__xludf.DUMMYFUNCTION("""COMPUTED_VALUE"""),"")</f>
        <v/>
      </c>
      <c r="S1026" s="106" t="str">
        <f>IFERROR(__xludf.DUMMYFUNCTION("""COMPUTED_VALUE"""),"")</f>
        <v/>
      </c>
    </row>
    <row r="1027">
      <c r="A1027" s="136" t="s">
        <v>133</v>
      </c>
      <c r="B1027" s="136"/>
      <c r="C1027" s="136" t="s">
        <v>133</v>
      </c>
      <c r="D1027" s="136"/>
      <c r="E1027" s="106"/>
      <c r="F1027" s="136" t="str">
        <f>IFERROR(__xludf.DUMMYFUNCTION("""COMPUTED_VALUE"""),"")</f>
        <v/>
      </c>
      <c r="G1027" s="106" t="str">
        <f>IFERROR(__xludf.DUMMYFUNCTION("""COMPUTED_VALUE"""),"")</f>
        <v/>
      </c>
      <c r="I1027" s="136" t="str">
        <f>IFERROR(__xludf.DUMMYFUNCTION("""COMPUTED_VALUE"""),"")</f>
        <v/>
      </c>
      <c r="J1027" s="106" t="str">
        <f>IFERROR(__xludf.DUMMYFUNCTION("""COMPUTED_VALUE"""),"")</f>
        <v/>
      </c>
      <c r="L1027" s="136" t="str">
        <f>IFERROR(__xludf.DUMMYFUNCTION("""COMPUTED_VALUE"""),"")</f>
        <v/>
      </c>
      <c r="M1027" s="106" t="str">
        <f>IFERROR(__xludf.DUMMYFUNCTION("""COMPUTED_VALUE"""),"")</f>
        <v/>
      </c>
      <c r="O1027" s="136" t="str">
        <f>IFERROR(__xludf.DUMMYFUNCTION("""COMPUTED_VALUE"""),"")</f>
        <v/>
      </c>
      <c r="P1027" s="106" t="str">
        <f>IFERROR(__xludf.DUMMYFUNCTION("""COMPUTED_VALUE"""),"")</f>
        <v/>
      </c>
      <c r="R1027" s="136" t="str">
        <f>IFERROR(__xludf.DUMMYFUNCTION("""COMPUTED_VALUE"""),"")</f>
        <v/>
      </c>
      <c r="S1027" s="106" t="str">
        <f>IFERROR(__xludf.DUMMYFUNCTION("""COMPUTED_VALUE"""),"")</f>
        <v/>
      </c>
    </row>
    <row r="1028">
      <c r="A1028" s="136" t="s">
        <v>133</v>
      </c>
      <c r="B1028" s="136"/>
      <c r="C1028" s="136" t="s">
        <v>133</v>
      </c>
      <c r="D1028" s="136"/>
      <c r="E1028" s="106"/>
      <c r="F1028" s="136" t="str">
        <f>IFERROR(__xludf.DUMMYFUNCTION("""COMPUTED_VALUE"""),"")</f>
        <v/>
      </c>
      <c r="G1028" s="106" t="str">
        <f>IFERROR(__xludf.DUMMYFUNCTION("""COMPUTED_VALUE"""),"")</f>
        <v/>
      </c>
      <c r="I1028" s="136" t="str">
        <f>IFERROR(__xludf.DUMMYFUNCTION("""COMPUTED_VALUE"""),"")</f>
        <v/>
      </c>
      <c r="J1028" s="106" t="str">
        <f>IFERROR(__xludf.DUMMYFUNCTION("""COMPUTED_VALUE"""),"")</f>
        <v/>
      </c>
      <c r="L1028" s="136" t="str">
        <f>IFERROR(__xludf.DUMMYFUNCTION("""COMPUTED_VALUE"""),"")</f>
        <v/>
      </c>
      <c r="M1028" s="106" t="str">
        <f>IFERROR(__xludf.DUMMYFUNCTION("""COMPUTED_VALUE"""),"")</f>
        <v/>
      </c>
      <c r="O1028" s="136" t="str">
        <f>IFERROR(__xludf.DUMMYFUNCTION("""COMPUTED_VALUE"""),"")</f>
        <v/>
      </c>
      <c r="P1028" s="106" t="str">
        <f>IFERROR(__xludf.DUMMYFUNCTION("""COMPUTED_VALUE"""),"")</f>
        <v/>
      </c>
      <c r="R1028" s="136" t="str">
        <f>IFERROR(__xludf.DUMMYFUNCTION("""COMPUTED_VALUE"""),"")</f>
        <v/>
      </c>
      <c r="S1028" s="106" t="str">
        <f>IFERROR(__xludf.DUMMYFUNCTION("""COMPUTED_VALUE"""),"")</f>
        <v/>
      </c>
    </row>
    <row r="1029">
      <c r="A1029" s="136" t="s">
        <v>133</v>
      </c>
      <c r="B1029" s="136"/>
      <c r="C1029" s="136" t="s">
        <v>133</v>
      </c>
      <c r="D1029" s="136"/>
      <c r="E1029" s="106"/>
      <c r="F1029" s="136" t="str">
        <f>IFERROR(__xludf.DUMMYFUNCTION("""COMPUTED_VALUE"""),"")</f>
        <v/>
      </c>
      <c r="G1029" s="106" t="str">
        <f>IFERROR(__xludf.DUMMYFUNCTION("""COMPUTED_VALUE"""),"")</f>
        <v/>
      </c>
      <c r="I1029" s="136" t="str">
        <f>IFERROR(__xludf.DUMMYFUNCTION("""COMPUTED_VALUE"""),"")</f>
        <v/>
      </c>
      <c r="J1029" s="106" t="str">
        <f>IFERROR(__xludf.DUMMYFUNCTION("""COMPUTED_VALUE"""),"")</f>
        <v/>
      </c>
      <c r="L1029" s="136" t="str">
        <f>IFERROR(__xludf.DUMMYFUNCTION("""COMPUTED_VALUE"""),"")</f>
        <v/>
      </c>
      <c r="M1029" s="106" t="str">
        <f>IFERROR(__xludf.DUMMYFUNCTION("""COMPUTED_VALUE"""),"")</f>
        <v/>
      </c>
      <c r="O1029" s="136" t="str">
        <f>IFERROR(__xludf.DUMMYFUNCTION("""COMPUTED_VALUE"""),"")</f>
        <v/>
      </c>
      <c r="P1029" s="106" t="str">
        <f>IFERROR(__xludf.DUMMYFUNCTION("""COMPUTED_VALUE"""),"")</f>
        <v/>
      </c>
      <c r="R1029" s="136" t="str">
        <f>IFERROR(__xludf.DUMMYFUNCTION("""COMPUTED_VALUE"""),"")</f>
        <v/>
      </c>
      <c r="S1029" s="106" t="str">
        <f>IFERROR(__xludf.DUMMYFUNCTION("""COMPUTED_VALUE"""),"")</f>
        <v/>
      </c>
    </row>
    <row r="1030">
      <c r="A1030" s="136" t="s">
        <v>133</v>
      </c>
      <c r="B1030" s="136"/>
      <c r="C1030" s="136" t="s">
        <v>133</v>
      </c>
      <c r="D1030" s="136"/>
      <c r="E1030" s="106"/>
      <c r="F1030" s="136" t="str">
        <f>IFERROR(__xludf.DUMMYFUNCTION("""COMPUTED_VALUE"""),"")</f>
        <v/>
      </c>
      <c r="G1030" s="106" t="str">
        <f>IFERROR(__xludf.DUMMYFUNCTION("""COMPUTED_VALUE"""),"")</f>
        <v/>
      </c>
      <c r="I1030" s="136" t="str">
        <f>IFERROR(__xludf.DUMMYFUNCTION("""COMPUTED_VALUE"""),"")</f>
        <v/>
      </c>
      <c r="J1030" s="106" t="str">
        <f>IFERROR(__xludf.DUMMYFUNCTION("""COMPUTED_VALUE"""),"")</f>
        <v/>
      </c>
      <c r="L1030" s="136" t="str">
        <f>IFERROR(__xludf.DUMMYFUNCTION("""COMPUTED_VALUE"""),"")</f>
        <v/>
      </c>
      <c r="M1030" s="106" t="str">
        <f>IFERROR(__xludf.DUMMYFUNCTION("""COMPUTED_VALUE"""),"")</f>
        <v/>
      </c>
      <c r="O1030" s="136" t="str">
        <f>IFERROR(__xludf.DUMMYFUNCTION("""COMPUTED_VALUE"""),"")</f>
        <v/>
      </c>
      <c r="P1030" s="106" t="str">
        <f>IFERROR(__xludf.DUMMYFUNCTION("""COMPUTED_VALUE"""),"")</f>
        <v/>
      </c>
      <c r="R1030" s="136" t="str">
        <f>IFERROR(__xludf.DUMMYFUNCTION("""COMPUTED_VALUE"""),"")</f>
        <v/>
      </c>
      <c r="S1030" s="106" t="str">
        <f>IFERROR(__xludf.DUMMYFUNCTION("""COMPUTED_VALUE"""),"")</f>
        <v/>
      </c>
    </row>
    <row r="1031">
      <c r="A1031" s="136" t="s">
        <v>133</v>
      </c>
      <c r="B1031" s="136"/>
      <c r="C1031" s="136" t="s">
        <v>133</v>
      </c>
      <c r="D1031" s="136"/>
      <c r="E1031" s="106"/>
      <c r="F1031" s="136" t="str">
        <f>IFERROR(__xludf.DUMMYFUNCTION("""COMPUTED_VALUE"""),"")</f>
        <v/>
      </c>
      <c r="G1031" s="106" t="str">
        <f>IFERROR(__xludf.DUMMYFUNCTION("""COMPUTED_VALUE"""),"")</f>
        <v/>
      </c>
      <c r="I1031" s="136" t="str">
        <f>IFERROR(__xludf.DUMMYFUNCTION("""COMPUTED_VALUE"""),"")</f>
        <v/>
      </c>
      <c r="J1031" s="106" t="str">
        <f>IFERROR(__xludf.DUMMYFUNCTION("""COMPUTED_VALUE"""),"")</f>
        <v/>
      </c>
      <c r="L1031" s="136" t="str">
        <f>IFERROR(__xludf.DUMMYFUNCTION("""COMPUTED_VALUE"""),"")</f>
        <v/>
      </c>
      <c r="M1031" s="106" t="str">
        <f>IFERROR(__xludf.DUMMYFUNCTION("""COMPUTED_VALUE"""),"")</f>
        <v/>
      </c>
      <c r="O1031" s="136" t="str">
        <f>IFERROR(__xludf.DUMMYFUNCTION("""COMPUTED_VALUE"""),"")</f>
        <v/>
      </c>
      <c r="P1031" s="106" t="str">
        <f>IFERROR(__xludf.DUMMYFUNCTION("""COMPUTED_VALUE"""),"")</f>
        <v/>
      </c>
      <c r="R1031" s="136" t="str">
        <f>IFERROR(__xludf.DUMMYFUNCTION("""COMPUTED_VALUE"""),"")</f>
        <v/>
      </c>
      <c r="S1031" s="106" t="str">
        <f>IFERROR(__xludf.DUMMYFUNCTION("""COMPUTED_VALUE"""),"")</f>
        <v/>
      </c>
    </row>
    <row r="1032">
      <c r="A1032" s="136" t="s">
        <v>133</v>
      </c>
      <c r="B1032" s="136"/>
      <c r="C1032" s="136" t="s">
        <v>133</v>
      </c>
      <c r="D1032" s="136"/>
      <c r="E1032" s="106"/>
      <c r="F1032" s="136" t="str">
        <f>IFERROR(__xludf.DUMMYFUNCTION("""COMPUTED_VALUE"""),"")</f>
        <v/>
      </c>
      <c r="G1032" s="106" t="str">
        <f>IFERROR(__xludf.DUMMYFUNCTION("""COMPUTED_VALUE"""),"")</f>
        <v/>
      </c>
      <c r="I1032" s="136" t="str">
        <f>IFERROR(__xludf.DUMMYFUNCTION("""COMPUTED_VALUE"""),"")</f>
        <v/>
      </c>
      <c r="J1032" s="106" t="str">
        <f>IFERROR(__xludf.DUMMYFUNCTION("""COMPUTED_VALUE"""),"")</f>
        <v/>
      </c>
      <c r="L1032" s="136" t="str">
        <f>IFERROR(__xludf.DUMMYFUNCTION("""COMPUTED_VALUE"""),"")</f>
        <v/>
      </c>
      <c r="M1032" s="106" t="str">
        <f>IFERROR(__xludf.DUMMYFUNCTION("""COMPUTED_VALUE"""),"")</f>
        <v/>
      </c>
      <c r="O1032" s="136" t="str">
        <f>IFERROR(__xludf.DUMMYFUNCTION("""COMPUTED_VALUE"""),"")</f>
        <v/>
      </c>
      <c r="P1032" s="106" t="str">
        <f>IFERROR(__xludf.DUMMYFUNCTION("""COMPUTED_VALUE"""),"")</f>
        <v/>
      </c>
      <c r="R1032" s="136" t="str">
        <f>IFERROR(__xludf.DUMMYFUNCTION("""COMPUTED_VALUE"""),"")</f>
        <v/>
      </c>
      <c r="S1032" s="106" t="str">
        <f>IFERROR(__xludf.DUMMYFUNCTION("""COMPUTED_VALUE"""),"")</f>
        <v/>
      </c>
    </row>
    <row r="1033">
      <c r="A1033" s="136" t="s">
        <v>133</v>
      </c>
      <c r="B1033" s="136"/>
      <c r="C1033" s="136" t="s">
        <v>133</v>
      </c>
      <c r="D1033" s="136"/>
      <c r="E1033" s="106"/>
      <c r="F1033" s="136" t="str">
        <f>IFERROR(__xludf.DUMMYFUNCTION("""COMPUTED_VALUE"""),"")</f>
        <v/>
      </c>
      <c r="G1033" s="106" t="str">
        <f>IFERROR(__xludf.DUMMYFUNCTION("""COMPUTED_VALUE"""),"")</f>
        <v/>
      </c>
      <c r="I1033" s="136" t="str">
        <f>IFERROR(__xludf.DUMMYFUNCTION("""COMPUTED_VALUE"""),"")</f>
        <v/>
      </c>
      <c r="J1033" s="106" t="str">
        <f>IFERROR(__xludf.DUMMYFUNCTION("""COMPUTED_VALUE"""),"")</f>
        <v/>
      </c>
      <c r="L1033" s="136" t="str">
        <f>IFERROR(__xludf.DUMMYFUNCTION("""COMPUTED_VALUE"""),"")</f>
        <v/>
      </c>
      <c r="M1033" s="106" t="str">
        <f>IFERROR(__xludf.DUMMYFUNCTION("""COMPUTED_VALUE"""),"")</f>
        <v/>
      </c>
      <c r="O1033" s="136" t="str">
        <f>IFERROR(__xludf.DUMMYFUNCTION("""COMPUTED_VALUE"""),"")</f>
        <v/>
      </c>
      <c r="P1033" s="106" t="str">
        <f>IFERROR(__xludf.DUMMYFUNCTION("""COMPUTED_VALUE"""),"")</f>
        <v/>
      </c>
      <c r="R1033" s="136" t="str">
        <f>IFERROR(__xludf.DUMMYFUNCTION("""COMPUTED_VALUE"""),"")</f>
        <v/>
      </c>
      <c r="S1033" s="106" t="str">
        <f>IFERROR(__xludf.DUMMYFUNCTION("""COMPUTED_VALUE"""),"")</f>
        <v/>
      </c>
    </row>
    <row r="1034">
      <c r="A1034" s="136" t="s">
        <v>133</v>
      </c>
      <c r="B1034" s="136"/>
      <c r="C1034" s="136" t="s">
        <v>133</v>
      </c>
      <c r="D1034" s="136"/>
      <c r="E1034" s="106"/>
      <c r="F1034" s="136" t="str">
        <f>IFERROR(__xludf.DUMMYFUNCTION("""COMPUTED_VALUE"""),"")</f>
        <v/>
      </c>
      <c r="G1034" s="106" t="str">
        <f>IFERROR(__xludf.DUMMYFUNCTION("""COMPUTED_VALUE"""),"")</f>
        <v/>
      </c>
      <c r="I1034" s="136" t="str">
        <f>IFERROR(__xludf.DUMMYFUNCTION("""COMPUTED_VALUE"""),"")</f>
        <v/>
      </c>
      <c r="J1034" s="106" t="str">
        <f>IFERROR(__xludf.DUMMYFUNCTION("""COMPUTED_VALUE"""),"")</f>
        <v/>
      </c>
      <c r="L1034" s="136" t="str">
        <f>IFERROR(__xludf.DUMMYFUNCTION("""COMPUTED_VALUE"""),"")</f>
        <v/>
      </c>
      <c r="M1034" s="106" t="str">
        <f>IFERROR(__xludf.DUMMYFUNCTION("""COMPUTED_VALUE"""),"")</f>
        <v/>
      </c>
      <c r="O1034" s="136" t="str">
        <f>IFERROR(__xludf.DUMMYFUNCTION("""COMPUTED_VALUE"""),"")</f>
        <v/>
      </c>
      <c r="P1034" s="106" t="str">
        <f>IFERROR(__xludf.DUMMYFUNCTION("""COMPUTED_VALUE"""),"")</f>
        <v/>
      </c>
      <c r="R1034" s="136" t="str">
        <f>IFERROR(__xludf.DUMMYFUNCTION("""COMPUTED_VALUE"""),"")</f>
        <v/>
      </c>
      <c r="S1034" s="106" t="str">
        <f>IFERROR(__xludf.DUMMYFUNCTION("""COMPUTED_VALUE"""),"")</f>
        <v/>
      </c>
    </row>
    <row r="1035">
      <c r="A1035" s="136" t="s">
        <v>133</v>
      </c>
      <c r="B1035" s="136"/>
      <c r="C1035" s="136" t="s">
        <v>133</v>
      </c>
      <c r="D1035" s="136"/>
      <c r="E1035" s="106"/>
      <c r="F1035" s="136" t="str">
        <f>IFERROR(__xludf.DUMMYFUNCTION("""COMPUTED_VALUE"""),"")</f>
        <v/>
      </c>
      <c r="G1035" s="106" t="str">
        <f>IFERROR(__xludf.DUMMYFUNCTION("""COMPUTED_VALUE"""),"")</f>
        <v/>
      </c>
      <c r="I1035" s="136" t="str">
        <f>IFERROR(__xludf.DUMMYFUNCTION("""COMPUTED_VALUE"""),"")</f>
        <v/>
      </c>
      <c r="J1035" s="106" t="str">
        <f>IFERROR(__xludf.DUMMYFUNCTION("""COMPUTED_VALUE"""),"")</f>
        <v/>
      </c>
      <c r="L1035" s="136" t="str">
        <f>IFERROR(__xludf.DUMMYFUNCTION("""COMPUTED_VALUE"""),"")</f>
        <v/>
      </c>
      <c r="M1035" s="106" t="str">
        <f>IFERROR(__xludf.DUMMYFUNCTION("""COMPUTED_VALUE"""),"")</f>
        <v/>
      </c>
      <c r="O1035" s="136" t="str">
        <f>IFERROR(__xludf.DUMMYFUNCTION("""COMPUTED_VALUE"""),"")</f>
        <v/>
      </c>
      <c r="P1035" s="106" t="str">
        <f>IFERROR(__xludf.DUMMYFUNCTION("""COMPUTED_VALUE"""),"")</f>
        <v/>
      </c>
      <c r="R1035" s="136" t="str">
        <f>IFERROR(__xludf.DUMMYFUNCTION("""COMPUTED_VALUE"""),"")</f>
        <v/>
      </c>
      <c r="S1035" s="106" t="str">
        <f>IFERROR(__xludf.DUMMYFUNCTION("""COMPUTED_VALUE"""),"")</f>
        <v/>
      </c>
    </row>
    <row r="1036">
      <c r="A1036" s="136" t="s">
        <v>133</v>
      </c>
      <c r="B1036" s="136"/>
      <c r="C1036" s="136" t="s">
        <v>133</v>
      </c>
      <c r="D1036" s="136"/>
      <c r="E1036" s="106"/>
      <c r="F1036" s="136" t="str">
        <f>IFERROR(__xludf.DUMMYFUNCTION("""COMPUTED_VALUE"""),"")</f>
        <v/>
      </c>
      <c r="G1036" s="106" t="str">
        <f>IFERROR(__xludf.DUMMYFUNCTION("""COMPUTED_VALUE"""),"")</f>
        <v/>
      </c>
      <c r="I1036" s="136" t="str">
        <f>IFERROR(__xludf.DUMMYFUNCTION("""COMPUTED_VALUE"""),"")</f>
        <v/>
      </c>
      <c r="J1036" s="106" t="str">
        <f>IFERROR(__xludf.DUMMYFUNCTION("""COMPUTED_VALUE"""),"")</f>
        <v/>
      </c>
      <c r="L1036" s="136" t="str">
        <f>IFERROR(__xludf.DUMMYFUNCTION("""COMPUTED_VALUE"""),"")</f>
        <v/>
      </c>
      <c r="M1036" s="106" t="str">
        <f>IFERROR(__xludf.DUMMYFUNCTION("""COMPUTED_VALUE"""),"")</f>
        <v/>
      </c>
      <c r="O1036" s="136" t="str">
        <f>IFERROR(__xludf.DUMMYFUNCTION("""COMPUTED_VALUE"""),"")</f>
        <v/>
      </c>
      <c r="P1036" s="106" t="str">
        <f>IFERROR(__xludf.DUMMYFUNCTION("""COMPUTED_VALUE"""),"")</f>
        <v/>
      </c>
      <c r="R1036" s="136" t="str">
        <f>IFERROR(__xludf.DUMMYFUNCTION("""COMPUTED_VALUE"""),"")</f>
        <v/>
      </c>
      <c r="S1036" s="106" t="str">
        <f>IFERROR(__xludf.DUMMYFUNCTION("""COMPUTED_VALUE"""),"")</f>
        <v/>
      </c>
    </row>
    <row r="1037">
      <c r="A1037" s="136" t="s">
        <v>133</v>
      </c>
      <c r="B1037" s="136"/>
      <c r="C1037" s="136" t="s">
        <v>133</v>
      </c>
      <c r="D1037" s="136"/>
      <c r="E1037" s="106"/>
      <c r="F1037" s="136" t="str">
        <f>IFERROR(__xludf.DUMMYFUNCTION("""COMPUTED_VALUE"""),"")</f>
        <v/>
      </c>
      <c r="G1037" s="106" t="str">
        <f>IFERROR(__xludf.DUMMYFUNCTION("""COMPUTED_VALUE"""),"")</f>
        <v/>
      </c>
      <c r="I1037" s="136" t="str">
        <f>IFERROR(__xludf.DUMMYFUNCTION("""COMPUTED_VALUE"""),"")</f>
        <v/>
      </c>
      <c r="J1037" s="106" t="str">
        <f>IFERROR(__xludf.DUMMYFUNCTION("""COMPUTED_VALUE"""),"")</f>
        <v/>
      </c>
      <c r="L1037" s="136" t="str">
        <f>IFERROR(__xludf.DUMMYFUNCTION("""COMPUTED_VALUE"""),"")</f>
        <v/>
      </c>
      <c r="M1037" s="106" t="str">
        <f>IFERROR(__xludf.DUMMYFUNCTION("""COMPUTED_VALUE"""),"")</f>
        <v/>
      </c>
      <c r="O1037" s="136" t="str">
        <f>IFERROR(__xludf.DUMMYFUNCTION("""COMPUTED_VALUE"""),"")</f>
        <v/>
      </c>
      <c r="P1037" s="106" t="str">
        <f>IFERROR(__xludf.DUMMYFUNCTION("""COMPUTED_VALUE"""),"")</f>
        <v/>
      </c>
      <c r="R1037" s="136" t="str">
        <f>IFERROR(__xludf.DUMMYFUNCTION("""COMPUTED_VALUE"""),"")</f>
        <v/>
      </c>
      <c r="S1037" s="106" t="str">
        <f>IFERROR(__xludf.DUMMYFUNCTION("""COMPUTED_VALUE"""),"")</f>
        <v/>
      </c>
    </row>
    <row r="1038">
      <c r="A1038" s="136" t="s">
        <v>133</v>
      </c>
      <c r="B1038" s="136"/>
      <c r="C1038" s="136" t="s">
        <v>133</v>
      </c>
      <c r="D1038" s="136"/>
      <c r="E1038" s="106"/>
      <c r="F1038" s="136" t="str">
        <f>IFERROR(__xludf.DUMMYFUNCTION("""COMPUTED_VALUE"""),"")</f>
        <v/>
      </c>
      <c r="G1038" s="106" t="str">
        <f>IFERROR(__xludf.DUMMYFUNCTION("""COMPUTED_VALUE"""),"")</f>
        <v/>
      </c>
      <c r="I1038" s="136" t="str">
        <f>IFERROR(__xludf.DUMMYFUNCTION("""COMPUTED_VALUE"""),"")</f>
        <v/>
      </c>
      <c r="J1038" s="106" t="str">
        <f>IFERROR(__xludf.DUMMYFUNCTION("""COMPUTED_VALUE"""),"")</f>
        <v/>
      </c>
      <c r="L1038" s="136" t="str">
        <f>IFERROR(__xludf.DUMMYFUNCTION("""COMPUTED_VALUE"""),"")</f>
        <v/>
      </c>
      <c r="M1038" s="106" t="str">
        <f>IFERROR(__xludf.DUMMYFUNCTION("""COMPUTED_VALUE"""),"")</f>
        <v/>
      </c>
      <c r="O1038" s="136" t="str">
        <f>IFERROR(__xludf.DUMMYFUNCTION("""COMPUTED_VALUE"""),"")</f>
        <v/>
      </c>
      <c r="P1038" s="106" t="str">
        <f>IFERROR(__xludf.DUMMYFUNCTION("""COMPUTED_VALUE"""),"")</f>
        <v/>
      </c>
      <c r="R1038" s="136" t="str">
        <f>IFERROR(__xludf.DUMMYFUNCTION("""COMPUTED_VALUE"""),"")</f>
        <v/>
      </c>
      <c r="S1038" s="106" t="str">
        <f>IFERROR(__xludf.DUMMYFUNCTION("""COMPUTED_VALUE"""),"")</f>
        <v/>
      </c>
    </row>
    <row r="1039">
      <c r="A1039" s="136" t="s">
        <v>133</v>
      </c>
      <c r="B1039" s="136"/>
      <c r="C1039" s="136" t="s">
        <v>133</v>
      </c>
      <c r="D1039" s="136"/>
      <c r="E1039" s="106"/>
      <c r="F1039" s="136" t="str">
        <f>IFERROR(__xludf.DUMMYFUNCTION("""COMPUTED_VALUE"""),"")</f>
        <v/>
      </c>
      <c r="G1039" s="106" t="str">
        <f>IFERROR(__xludf.DUMMYFUNCTION("""COMPUTED_VALUE"""),"")</f>
        <v/>
      </c>
      <c r="I1039" s="136" t="str">
        <f>IFERROR(__xludf.DUMMYFUNCTION("""COMPUTED_VALUE"""),"")</f>
        <v/>
      </c>
      <c r="J1039" s="106" t="str">
        <f>IFERROR(__xludf.DUMMYFUNCTION("""COMPUTED_VALUE"""),"")</f>
        <v/>
      </c>
      <c r="L1039" s="136" t="str">
        <f>IFERROR(__xludf.DUMMYFUNCTION("""COMPUTED_VALUE"""),"")</f>
        <v/>
      </c>
      <c r="M1039" s="106" t="str">
        <f>IFERROR(__xludf.DUMMYFUNCTION("""COMPUTED_VALUE"""),"")</f>
        <v/>
      </c>
      <c r="O1039" s="136" t="str">
        <f>IFERROR(__xludf.DUMMYFUNCTION("""COMPUTED_VALUE"""),"")</f>
        <v/>
      </c>
      <c r="P1039" s="106" t="str">
        <f>IFERROR(__xludf.DUMMYFUNCTION("""COMPUTED_VALUE"""),"")</f>
        <v/>
      </c>
      <c r="R1039" s="136" t="str">
        <f>IFERROR(__xludf.DUMMYFUNCTION("""COMPUTED_VALUE"""),"")</f>
        <v/>
      </c>
      <c r="S1039" s="106" t="str">
        <f>IFERROR(__xludf.DUMMYFUNCTION("""COMPUTED_VALUE"""),"")</f>
        <v/>
      </c>
    </row>
    <row r="1040">
      <c r="A1040" s="136" t="s">
        <v>133</v>
      </c>
      <c r="B1040" s="136"/>
      <c r="C1040" s="136" t="s">
        <v>133</v>
      </c>
      <c r="D1040" s="136"/>
      <c r="E1040" s="106"/>
      <c r="F1040" s="136" t="str">
        <f>IFERROR(__xludf.DUMMYFUNCTION("""COMPUTED_VALUE"""),"")</f>
        <v/>
      </c>
      <c r="G1040" s="106" t="str">
        <f>IFERROR(__xludf.DUMMYFUNCTION("""COMPUTED_VALUE"""),"")</f>
        <v/>
      </c>
      <c r="I1040" s="136" t="str">
        <f>IFERROR(__xludf.DUMMYFUNCTION("""COMPUTED_VALUE"""),"")</f>
        <v/>
      </c>
      <c r="J1040" s="106" t="str">
        <f>IFERROR(__xludf.DUMMYFUNCTION("""COMPUTED_VALUE"""),"")</f>
        <v/>
      </c>
      <c r="L1040" s="136" t="str">
        <f>IFERROR(__xludf.DUMMYFUNCTION("""COMPUTED_VALUE"""),"")</f>
        <v/>
      </c>
      <c r="M1040" s="106" t="str">
        <f>IFERROR(__xludf.DUMMYFUNCTION("""COMPUTED_VALUE"""),"")</f>
        <v/>
      </c>
      <c r="O1040" s="136" t="str">
        <f>IFERROR(__xludf.DUMMYFUNCTION("""COMPUTED_VALUE"""),"")</f>
        <v/>
      </c>
      <c r="P1040" s="106" t="str">
        <f>IFERROR(__xludf.DUMMYFUNCTION("""COMPUTED_VALUE"""),"")</f>
        <v/>
      </c>
      <c r="R1040" s="136" t="str">
        <f>IFERROR(__xludf.DUMMYFUNCTION("""COMPUTED_VALUE"""),"")</f>
        <v/>
      </c>
      <c r="S1040" s="106" t="str">
        <f>IFERROR(__xludf.DUMMYFUNCTION("""COMPUTED_VALUE"""),"")</f>
        <v/>
      </c>
    </row>
    <row r="1041">
      <c r="A1041" s="136" t="s">
        <v>133</v>
      </c>
      <c r="B1041" s="136"/>
      <c r="C1041" s="136" t="s">
        <v>133</v>
      </c>
      <c r="D1041" s="136"/>
      <c r="E1041" s="106"/>
      <c r="F1041" s="136" t="str">
        <f>IFERROR(__xludf.DUMMYFUNCTION("""COMPUTED_VALUE"""),"")</f>
        <v/>
      </c>
      <c r="G1041" s="106" t="str">
        <f>IFERROR(__xludf.DUMMYFUNCTION("""COMPUTED_VALUE"""),"")</f>
        <v/>
      </c>
      <c r="I1041" s="136" t="str">
        <f>IFERROR(__xludf.DUMMYFUNCTION("""COMPUTED_VALUE"""),"")</f>
        <v/>
      </c>
      <c r="J1041" s="106" t="str">
        <f>IFERROR(__xludf.DUMMYFUNCTION("""COMPUTED_VALUE"""),"")</f>
        <v/>
      </c>
      <c r="L1041" s="136" t="str">
        <f>IFERROR(__xludf.DUMMYFUNCTION("""COMPUTED_VALUE"""),"")</f>
        <v/>
      </c>
      <c r="M1041" s="106" t="str">
        <f>IFERROR(__xludf.DUMMYFUNCTION("""COMPUTED_VALUE"""),"")</f>
        <v/>
      </c>
      <c r="O1041" s="136" t="str">
        <f>IFERROR(__xludf.DUMMYFUNCTION("""COMPUTED_VALUE"""),"")</f>
        <v/>
      </c>
      <c r="P1041" s="106" t="str">
        <f>IFERROR(__xludf.DUMMYFUNCTION("""COMPUTED_VALUE"""),"")</f>
        <v/>
      </c>
      <c r="R1041" s="136" t="str">
        <f>IFERROR(__xludf.DUMMYFUNCTION("""COMPUTED_VALUE"""),"")</f>
        <v/>
      </c>
      <c r="S1041" s="106" t="str">
        <f>IFERROR(__xludf.DUMMYFUNCTION("""COMPUTED_VALUE"""),"")</f>
        <v/>
      </c>
    </row>
    <row r="1042">
      <c r="A1042" s="136" t="s">
        <v>133</v>
      </c>
      <c r="B1042" s="136"/>
      <c r="C1042" s="136" t="s">
        <v>133</v>
      </c>
      <c r="D1042" s="136"/>
      <c r="E1042" s="106"/>
      <c r="F1042" s="136" t="str">
        <f>IFERROR(__xludf.DUMMYFUNCTION("""COMPUTED_VALUE"""),"")</f>
        <v/>
      </c>
      <c r="G1042" s="106" t="str">
        <f>IFERROR(__xludf.DUMMYFUNCTION("""COMPUTED_VALUE"""),"")</f>
        <v/>
      </c>
      <c r="I1042" s="136" t="str">
        <f>IFERROR(__xludf.DUMMYFUNCTION("""COMPUTED_VALUE"""),"")</f>
        <v/>
      </c>
      <c r="J1042" s="106" t="str">
        <f>IFERROR(__xludf.DUMMYFUNCTION("""COMPUTED_VALUE"""),"")</f>
        <v/>
      </c>
      <c r="L1042" s="136" t="str">
        <f>IFERROR(__xludf.DUMMYFUNCTION("""COMPUTED_VALUE"""),"")</f>
        <v/>
      </c>
      <c r="M1042" s="106" t="str">
        <f>IFERROR(__xludf.DUMMYFUNCTION("""COMPUTED_VALUE"""),"")</f>
        <v/>
      </c>
      <c r="O1042" s="136" t="str">
        <f>IFERROR(__xludf.DUMMYFUNCTION("""COMPUTED_VALUE"""),"")</f>
        <v/>
      </c>
      <c r="P1042" s="106" t="str">
        <f>IFERROR(__xludf.DUMMYFUNCTION("""COMPUTED_VALUE"""),"")</f>
        <v/>
      </c>
      <c r="R1042" s="136" t="str">
        <f>IFERROR(__xludf.DUMMYFUNCTION("""COMPUTED_VALUE"""),"")</f>
        <v/>
      </c>
      <c r="S1042" s="106" t="str">
        <f>IFERROR(__xludf.DUMMYFUNCTION("""COMPUTED_VALUE"""),"")</f>
        <v/>
      </c>
    </row>
    <row r="1043">
      <c r="A1043" s="136" t="s">
        <v>133</v>
      </c>
      <c r="B1043" s="136"/>
      <c r="C1043" s="136" t="s">
        <v>133</v>
      </c>
      <c r="D1043" s="136"/>
      <c r="E1043" s="106"/>
      <c r="F1043" s="136" t="str">
        <f>IFERROR(__xludf.DUMMYFUNCTION("""COMPUTED_VALUE"""),"")</f>
        <v/>
      </c>
      <c r="G1043" s="106" t="str">
        <f>IFERROR(__xludf.DUMMYFUNCTION("""COMPUTED_VALUE"""),"")</f>
        <v/>
      </c>
      <c r="I1043" s="136" t="str">
        <f>IFERROR(__xludf.DUMMYFUNCTION("""COMPUTED_VALUE"""),"")</f>
        <v/>
      </c>
      <c r="J1043" s="106" t="str">
        <f>IFERROR(__xludf.DUMMYFUNCTION("""COMPUTED_VALUE"""),"")</f>
        <v/>
      </c>
      <c r="L1043" s="136" t="str">
        <f>IFERROR(__xludf.DUMMYFUNCTION("""COMPUTED_VALUE"""),"")</f>
        <v/>
      </c>
      <c r="M1043" s="106" t="str">
        <f>IFERROR(__xludf.DUMMYFUNCTION("""COMPUTED_VALUE"""),"")</f>
        <v/>
      </c>
      <c r="O1043" s="136" t="str">
        <f>IFERROR(__xludf.DUMMYFUNCTION("""COMPUTED_VALUE"""),"")</f>
        <v/>
      </c>
      <c r="P1043" s="106" t="str">
        <f>IFERROR(__xludf.DUMMYFUNCTION("""COMPUTED_VALUE"""),"")</f>
        <v/>
      </c>
      <c r="R1043" s="136" t="str">
        <f>IFERROR(__xludf.DUMMYFUNCTION("""COMPUTED_VALUE"""),"")</f>
        <v/>
      </c>
      <c r="S1043" s="106" t="str">
        <f>IFERROR(__xludf.DUMMYFUNCTION("""COMPUTED_VALUE"""),"")</f>
        <v/>
      </c>
    </row>
    <row r="1044">
      <c r="A1044" s="136" t="s">
        <v>133</v>
      </c>
      <c r="B1044" s="136"/>
      <c r="C1044" s="136" t="s">
        <v>133</v>
      </c>
      <c r="D1044" s="136"/>
      <c r="E1044" s="106"/>
      <c r="F1044" s="136" t="str">
        <f>IFERROR(__xludf.DUMMYFUNCTION("""COMPUTED_VALUE"""),"")</f>
        <v/>
      </c>
      <c r="G1044" s="106" t="str">
        <f>IFERROR(__xludf.DUMMYFUNCTION("""COMPUTED_VALUE"""),"")</f>
        <v/>
      </c>
      <c r="I1044" s="136" t="str">
        <f>IFERROR(__xludf.DUMMYFUNCTION("""COMPUTED_VALUE"""),"")</f>
        <v/>
      </c>
      <c r="J1044" s="106" t="str">
        <f>IFERROR(__xludf.DUMMYFUNCTION("""COMPUTED_VALUE"""),"")</f>
        <v/>
      </c>
      <c r="L1044" s="136" t="str">
        <f>IFERROR(__xludf.DUMMYFUNCTION("""COMPUTED_VALUE"""),"")</f>
        <v/>
      </c>
      <c r="M1044" s="106" t="str">
        <f>IFERROR(__xludf.DUMMYFUNCTION("""COMPUTED_VALUE"""),"")</f>
        <v/>
      </c>
      <c r="O1044" s="136" t="str">
        <f>IFERROR(__xludf.DUMMYFUNCTION("""COMPUTED_VALUE"""),"")</f>
        <v/>
      </c>
      <c r="P1044" s="106" t="str">
        <f>IFERROR(__xludf.DUMMYFUNCTION("""COMPUTED_VALUE"""),"")</f>
        <v/>
      </c>
      <c r="R1044" s="136" t="str">
        <f>IFERROR(__xludf.DUMMYFUNCTION("""COMPUTED_VALUE"""),"")</f>
        <v/>
      </c>
      <c r="S1044" s="106" t="str">
        <f>IFERROR(__xludf.DUMMYFUNCTION("""COMPUTED_VALUE"""),"")</f>
        <v/>
      </c>
    </row>
    <row r="1045">
      <c r="A1045" s="136" t="s">
        <v>133</v>
      </c>
      <c r="B1045" s="136"/>
      <c r="C1045" s="136" t="s">
        <v>133</v>
      </c>
      <c r="D1045" s="136"/>
      <c r="E1045" s="106"/>
      <c r="F1045" s="136" t="str">
        <f>IFERROR(__xludf.DUMMYFUNCTION("""COMPUTED_VALUE"""),"")</f>
        <v/>
      </c>
      <c r="G1045" s="106" t="str">
        <f>IFERROR(__xludf.DUMMYFUNCTION("""COMPUTED_VALUE"""),"")</f>
        <v/>
      </c>
      <c r="I1045" s="136" t="str">
        <f>IFERROR(__xludf.DUMMYFUNCTION("""COMPUTED_VALUE"""),"")</f>
        <v/>
      </c>
      <c r="J1045" s="106" t="str">
        <f>IFERROR(__xludf.DUMMYFUNCTION("""COMPUTED_VALUE"""),"")</f>
        <v/>
      </c>
      <c r="L1045" s="136" t="str">
        <f>IFERROR(__xludf.DUMMYFUNCTION("""COMPUTED_VALUE"""),"")</f>
        <v/>
      </c>
      <c r="M1045" s="106" t="str">
        <f>IFERROR(__xludf.DUMMYFUNCTION("""COMPUTED_VALUE"""),"")</f>
        <v/>
      </c>
      <c r="O1045" s="136" t="str">
        <f>IFERROR(__xludf.DUMMYFUNCTION("""COMPUTED_VALUE"""),"")</f>
        <v/>
      </c>
      <c r="P1045" s="106" t="str">
        <f>IFERROR(__xludf.DUMMYFUNCTION("""COMPUTED_VALUE"""),"")</f>
        <v/>
      </c>
      <c r="R1045" s="136" t="str">
        <f>IFERROR(__xludf.DUMMYFUNCTION("""COMPUTED_VALUE"""),"")</f>
        <v/>
      </c>
      <c r="S1045" s="106" t="str">
        <f>IFERROR(__xludf.DUMMYFUNCTION("""COMPUTED_VALUE"""),"")</f>
        <v/>
      </c>
    </row>
    <row r="1046">
      <c r="A1046" s="136" t="s">
        <v>133</v>
      </c>
      <c r="B1046" s="136"/>
      <c r="C1046" s="136" t="s">
        <v>133</v>
      </c>
      <c r="D1046" s="136"/>
      <c r="E1046" s="106"/>
      <c r="F1046" s="136" t="str">
        <f>IFERROR(__xludf.DUMMYFUNCTION("""COMPUTED_VALUE"""),"")</f>
        <v/>
      </c>
      <c r="G1046" s="106" t="str">
        <f>IFERROR(__xludf.DUMMYFUNCTION("""COMPUTED_VALUE"""),"")</f>
        <v/>
      </c>
      <c r="I1046" s="136" t="str">
        <f>IFERROR(__xludf.DUMMYFUNCTION("""COMPUTED_VALUE"""),"")</f>
        <v/>
      </c>
      <c r="J1046" s="106" t="str">
        <f>IFERROR(__xludf.DUMMYFUNCTION("""COMPUTED_VALUE"""),"")</f>
        <v/>
      </c>
      <c r="L1046" s="136" t="str">
        <f>IFERROR(__xludf.DUMMYFUNCTION("""COMPUTED_VALUE"""),"")</f>
        <v/>
      </c>
      <c r="M1046" s="106" t="str">
        <f>IFERROR(__xludf.DUMMYFUNCTION("""COMPUTED_VALUE"""),"")</f>
        <v/>
      </c>
      <c r="O1046" s="136" t="str">
        <f>IFERROR(__xludf.DUMMYFUNCTION("""COMPUTED_VALUE"""),"")</f>
        <v/>
      </c>
      <c r="P1046" s="106" t="str">
        <f>IFERROR(__xludf.DUMMYFUNCTION("""COMPUTED_VALUE"""),"")</f>
        <v/>
      </c>
      <c r="R1046" s="136" t="str">
        <f>IFERROR(__xludf.DUMMYFUNCTION("""COMPUTED_VALUE"""),"")</f>
        <v/>
      </c>
      <c r="S1046" s="106" t="str">
        <f>IFERROR(__xludf.DUMMYFUNCTION("""COMPUTED_VALUE"""),"")</f>
        <v/>
      </c>
    </row>
    <row r="1047">
      <c r="A1047" s="136" t="s">
        <v>133</v>
      </c>
      <c r="B1047" s="136"/>
      <c r="C1047" s="136" t="s">
        <v>133</v>
      </c>
      <c r="D1047" s="136"/>
      <c r="E1047" s="106"/>
      <c r="F1047" s="136" t="str">
        <f>IFERROR(__xludf.DUMMYFUNCTION("""COMPUTED_VALUE"""),"")</f>
        <v/>
      </c>
      <c r="G1047" s="106" t="str">
        <f>IFERROR(__xludf.DUMMYFUNCTION("""COMPUTED_VALUE"""),"")</f>
        <v/>
      </c>
      <c r="I1047" s="136" t="str">
        <f>IFERROR(__xludf.DUMMYFUNCTION("""COMPUTED_VALUE"""),"")</f>
        <v/>
      </c>
      <c r="J1047" s="106" t="str">
        <f>IFERROR(__xludf.DUMMYFUNCTION("""COMPUTED_VALUE"""),"")</f>
        <v/>
      </c>
      <c r="L1047" s="136" t="str">
        <f>IFERROR(__xludf.DUMMYFUNCTION("""COMPUTED_VALUE"""),"")</f>
        <v/>
      </c>
      <c r="M1047" s="106" t="str">
        <f>IFERROR(__xludf.DUMMYFUNCTION("""COMPUTED_VALUE"""),"")</f>
        <v/>
      </c>
      <c r="O1047" s="136" t="str">
        <f>IFERROR(__xludf.DUMMYFUNCTION("""COMPUTED_VALUE"""),"")</f>
        <v/>
      </c>
      <c r="P1047" s="106" t="str">
        <f>IFERROR(__xludf.DUMMYFUNCTION("""COMPUTED_VALUE"""),"")</f>
        <v/>
      </c>
      <c r="R1047" s="136" t="str">
        <f>IFERROR(__xludf.DUMMYFUNCTION("""COMPUTED_VALUE"""),"")</f>
        <v/>
      </c>
      <c r="S1047" s="106" t="str">
        <f>IFERROR(__xludf.DUMMYFUNCTION("""COMPUTED_VALUE"""),"")</f>
        <v/>
      </c>
    </row>
    <row r="1048">
      <c r="A1048" s="136" t="s">
        <v>133</v>
      </c>
      <c r="B1048" s="136"/>
      <c r="C1048" s="136" t="s">
        <v>133</v>
      </c>
      <c r="D1048" s="136"/>
      <c r="E1048" s="106"/>
      <c r="F1048" s="136" t="str">
        <f>IFERROR(__xludf.DUMMYFUNCTION("""COMPUTED_VALUE"""),"")</f>
        <v/>
      </c>
      <c r="G1048" s="106" t="str">
        <f>IFERROR(__xludf.DUMMYFUNCTION("""COMPUTED_VALUE"""),"")</f>
        <v/>
      </c>
      <c r="I1048" s="136" t="str">
        <f>IFERROR(__xludf.DUMMYFUNCTION("""COMPUTED_VALUE"""),"")</f>
        <v/>
      </c>
      <c r="J1048" s="106" t="str">
        <f>IFERROR(__xludf.DUMMYFUNCTION("""COMPUTED_VALUE"""),"")</f>
        <v/>
      </c>
      <c r="L1048" s="136" t="str">
        <f>IFERROR(__xludf.DUMMYFUNCTION("""COMPUTED_VALUE"""),"")</f>
        <v/>
      </c>
      <c r="M1048" s="106" t="str">
        <f>IFERROR(__xludf.DUMMYFUNCTION("""COMPUTED_VALUE"""),"")</f>
        <v/>
      </c>
      <c r="O1048" s="136" t="str">
        <f>IFERROR(__xludf.DUMMYFUNCTION("""COMPUTED_VALUE"""),"")</f>
        <v/>
      </c>
      <c r="P1048" s="106" t="str">
        <f>IFERROR(__xludf.DUMMYFUNCTION("""COMPUTED_VALUE"""),"")</f>
        <v/>
      </c>
      <c r="R1048" s="136" t="str">
        <f>IFERROR(__xludf.DUMMYFUNCTION("""COMPUTED_VALUE"""),"")</f>
        <v/>
      </c>
      <c r="S1048" s="106" t="str">
        <f>IFERROR(__xludf.DUMMYFUNCTION("""COMPUTED_VALUE"""),"")</f>
        <v/>
      </c>
    </row>
    <row r="1049">
      <c r="A1049" s="136" t="s">
        <v>133</v>
      </c>
      <c r="B1049" s="136"/>
      <c r="C1049" s="136" t="s">
        <v>133</v>
      </c>
      <c r="D1049" s="136"/>
      <c r="E1049" s="106"/>
      <c r="F1049" s="136" t="str">
        <f>IFERROR(__xludf.DUMMYFUNCTION("""COMPUTED_VALUE"""),"")</f>
        <v/>
      </c>
      <c r="G1049" s="106" t="str">
        <f>IFERROR(__xludf.DUMMYFUNCTION("""COMPUTED_VALUE"""),"")</f>
        <v/>
      </c>
      <c r="I1049" s="136" t="str">
        <f>IFERROR(__xludf.DUMMYFUNCTION("""COMPUTED_VALUE"""),"")</f>
        <v/>
      </c>
      <c r="J1049" s="106" t="str">
        <f>IFERROR(__xludf.DUMMYFUNCTION("""COMPUTED_VALUE"""),"")</f>
        <v/>
      </c>
      <c r="L1049" s="136" t="str">
        <f>IFERROR(__xludf.DUMMYFUNCTION("""COMPUTED_VALUE"""),"")</f>
        <v/>
      </c>
      <c r="M1049" s="106" t="str">
        <f>IFERROR(__xludf.DUMMYFUNCTION("""COMPUTED_VALUE"""),"")</f>
        <v/>
      </c>
      <c r="O1049" s="136" t="str">
        <f>IFERROR(__xludf.DUMMYFUNCTION("""COMPUTED_VALUE"""),"")</f>
        <v/>
      </c>
      <c r="P1049" s="106" t="str">
        <f>IFERROR(__xludf.DUMMYFUNCTION("""COMPUTED_VALUE"""),"")</f>
        <v/>
      </c>
      <c r="R1049" s="136" t="str">
        <f>IFERROR(__xludf.DUMMYFUNCTION("""COMPUTED_VALUE"""),"")</f>
        <v/>
      </c>
      <c r="S1049" s="106" t="str">
        <f>IFERROR(__xludf.DUMMYFUNCTION("""COMPUTED_VALUE"""),"")</f>
        <v/>
      </c>
    </row>
    <row r="1050">
      <c r="A1050" s="136" t="s">
        <v>133</v>
      </c>
      <c r="B1050" s="136"/>
      <c r="C1050" s="136" t="s">
        <v>133</v>
      </c>
      <c r="D1050" s="136"/>
      <c r="E1050" s="106"/>
      <c r="F1050" s="136" t="str">
        <f>IFERROR(__xludf.DUMMYFUNCTION("""COMPUTED_VALUE"""),"")</f>
        <v/>
      </c>
      <c r="G1050" s="106" t="str">
        <f>IFERROR(__xludf.DUMMYFUNCTION("""COMPUTED_VALUE"""),"")</f>
        <v/>
      </c>
      <c r="I1050" s="136" t="str">
        <f>IFERROR(__xludf.DUMMYFUNCTION("""COMPUTED_VALUE"""),"")</f>
        <v/>
      </c>
      <c r="J1050" s="106" t="str">
        <f>IFERROR(__xludf.DUMMYFUNCTION("""COMPUTED_VALUE"""),"")</f>
        <v/>
      </c>
      <c r="L1050" s="136" t="str">
        <f>IFERROR(__xludf.DUMMYFUNCTION("""COMPUTED_VALUE"""),"")</f>
        <v/>
      </c>
      <c r="M1050" s="106" t="str">
        <f>IFERROR(__xludf.DUMMYFUNCTION("""COMPUTED_VALUE"""),"")</f>
        <v/>
      </c>
      <c r="O1050" s="136" t="str">
        <f>IFERROR(__xludf.DUMMYFUNCTION("""COMPUTED_VALUE"""),"")</f>
        <v/>
      </c>
      <c r="P1050" s="106" t="str">
        <f>IFERROR(__xludf.DUMMYFUNCTION("""COMPUTED_VALUE"""),"")</f>
        <v/>
      </c>
      <c r="R1050" s="136" t="str">
        <f>IFERROR(__xludf.DUMMYFUNCTION("""COMPUTED_VALUE"""),"")</f>
        <v/>
      </c>
      <c r="S1050" s="106" t="str">
        <f>IFERROR(__xludf.DUMMYFUNCTION("""COMPUTED_VALUE"""),"")</f>
        <v/>
      </c>
    </row>
    <row r="1051">
      <c r="A1051" s="136" t="s">
        <v>133</v>
      </c>
      <c r="B1051" s="136"/>
      <c r="C1051" s="136" t="s">
        <v>133</v>
      </c>
      <c r="D1051" s="136"/>
      <c r="E1051" s="106"/>
      <c r="F1051" s="136" t="str">
        <f>IFERROR(__xludf.DUMMYFUNCTION("""COMPUTED_VALUE"""),"")</f>
        <v/>
      </c>
      <c r="G1051" s="106" t="str">
        <f>IFERROR(__xludf.DUMMYFUNCTION("""COMPUTED_VALUE"""),"")</f>
        <v/>
      </c>
      <c r="I1051" s="136" t="str">
        <f>IFERROR(__xludf.DUMMYFUNCTION("""COMPUTED_VALUE"""),"")</f>
        <v/>
      </c>
      <c r="J1051" s="106" t="str">
        <f>IFERROR(__xludf.DUMMYFUNCTION("""COMPUTED_VALUE"""),"")</f>
        <v/>
      </c>
      <c r="L1051" s="136" t="str">
        <f>IFERROR(__xludf.DUMMYFUNCTION("""COMPUTED_VALUE"""),"")</f>
        <v/>
      </c>
      <c r="M1051" s="106" t="str">
        <f>IFERROR(__xludf.DUMMYFUNCTION("""COMPUTED_VALUE"""),"")</f>
        <v/>
      </c>
      <c r="O1051" s="136" t="str">
        <f>IFERROR(__xludf.DUMMYFUNCTION("""COMPUTED_VALUE"""),"")</f>
        <v/>
      </c>
      <c r="P1051" s="106" t="str">
        <f>IFERROR(__xludf.DUMMYFUNCTION("""COMPUTED_VALUE"""),"")</f>
        <v/>
      </c>
      <c r="R1051" s="136" t="str">
        <f>IFERROR(__xludf.DUMMYFUNCTION("""COMPUTED_VALUE"""),"")</f>
        <v/>
      </c>
      <c r="S1051" s="106" t="str">
        <f>IFERROR(__xludf.DUMMYFUNCTION("""COMPUTED_VALUE"""),"")</f>
        <v/>
      </c>
    </row>
    <row r="1052">
      <c r="A1052" s="136" t="s">
        <v>133</v>
      </c>
      <c r="B1052" s="136"/>
      <c r="C1052" s="136" t="s">
        <v>133</v>
      </c>
      <c r="D1052" s="136"/>
      <c r="E1052" s="106"/>
      <c r="F1052" s="136" t="str">
        <f>IFERROR(__xludf.DUMMYFUNCTION("""COMPUTED_VALUE"""),"")</f>
        <v/>
      </c>
      <c r="G1052" s="106" t="str">
        <f>IFERROR(__xludf.DUMMYFUNCTION("""COMPUTED_VALUE"""),"")</f>
        <v/>
      </c>
      <c r="I1052" s="136" t="str">
        <f>IFERROR(__xludf.DUMMYFUNCTION("""COMPUTED_VALUE"""),"")</f>
        <v/>
      </c>
      <c r="J1052" s="106" t="str">
        <f>IFERROR(__xludf.DUMMYFUNCTION("""COMPUTED_VALUE"""),"")</f>
        <v/>
      </c>
      <c r="L1052" s="136" t="str">
        <f>IFERROR(__xludf.DUMMYFUNCTION("""COMPUTED_VALUE"""),"")</f>
        <v/>
      </c>
      <c r="M1052" s="106" t="str">
        <f>IFERROR(__xludf.DUMMYFUNCTION("""COMPUTED_VALUE"""),"")</f>
        <v/>
      </c>
      <c r="O1052" s="136" t="str">
        <f>IFERROR(__xludf.DUMMYFUNCTION("""COMPUTED_VALUE"""),"")</f>
        <v/>
      </c>
      <c r="P1052" s="106" t="str">
        <f>IFERROR(__xludf.DUMMYFUNCTION("""COMPUTED_VALUE"""),"")</f>
        <v/>
      </c>
      <c r="R1052" s="136" t="str">
        <f>IFERROR(__xludf.DUMMYFUNCTION("""COMPUTED_VALUE"""),"")</f>
        <v/>
      </c>
      <c r="S1052" s="106" t="str">
        <f>IFERROR(__xludf.DUMMYFUNCTION("""COMPUTED_VALUE"""),"")</f>
        <v/>
      </c>
    </row>
    <row r="1053">
      <c r="A1053" s="136" t="s">
        <v>133</v>
      </c>
      <c r="B1053" s="136"/>
      <c r="C1053" s="136" t="s">
        <v>133</v>
      </c>
      <c r="D1053" s="136"/>
      <c r="E1053" s="106"/>
      <c r="F1053" s="136" t="str">
        <f>IFERROR(__xludf.DUMMYFUNCTION("""COMPUTED_VALUE"""),"")</f>
        <v/>
      </c>
      <c r="G1053" s="106" t="str">
        <f>IFERROR(__xludf.DUMMYFUNCTION("""COMPUTED_VALUE"""),"")</f>
        <v/>
      </c>
      <c r="I1053" s="136" t="str">
        <f>IFERROR(__xludf.DUMMYFUNCTION("""COMPUTED_VALUE"""),"")</f>
        <v/>
      </c>
      <c r="J1053" s="106" t="str">
        <f>IFERROR(__xludf.DUMMYFUNCTION("""COMPUTED_VALUE"""),"")</f>
        <v/>
      </c>
      <c r="L1053" s="136" t="str">
        <f>IFERROR(__xludf.DUMMYFUNCTION("""COMPUTED_VALUE"""),"")</f>
        <v/>
      </c>
      <c r="M1053" s="106" t="str">
        <f>IFERROR(__xludf.DUMMYFUNCTION("""COMPUTED_VALUE"""),"")</f>
        <v/>
      </c>
      <c r="O1053" s="136" t="str">
        <f>IFERROR(__xludf.DUMMYFUNCTION("""COMPUTED_VALUE"""),"")</f>
        <v/>
      </c>
      <c r="P1053" s="106" t="str">
        <f>IFERROR(__xludf.DUMMYFUNCTION("""COMPUTED_VALUE"""),"")</f>
        <v/>
      </c>
      <c r="R1053" s="136" t="str">
        <f>IFERROR(__xludf.DUMMYFUNCTION("""COMPUTED_VALUE"""),"")</f>
        <v/>
      </c>
      <c r="S1053" s="106" t="str">
        <f>IFERROR(__xludf.DUMMYFUNCTION("""COMPUTED_VALUE"""),"")</f>
        <v/>
      </c>
    </row>
    <row r="1054">
      <c r="A1054" s="136" t="s">
        <v>133</v>
      </c>
      <c r="B1054" s="136"/>
      <c r="C1054" s="136" t="s">
        <v>133</v>
      </c>
      <c r="D1054" s="136"/>
      <c r="E1054" s="106"/>
      <c r="F1054" s="136" t="str">
        <f>IFERROR(__xludf.DUMMYFUNCTION("""COMPUTED_VALUE"""),"")</f>
        <v/>
      </c>
      <c r="G1054" s="106" t="str">
        <f>IFERROR(__xludf.DUMMYFUNCTION("""COMPUTED_VALUE"""),"")</f>
        <v/>
      </c>
      <c r="I1054" s="136" t="str">
        <f>IFERROR(__xludf.DUMMYFUNCTION("""COMPUTED_VALUE"""),"")</f>
        <v/>
      </c>
      <c r="J1054" s="106" t="str">
        <f>IFERROR(__xludf.DUMMYFUNCTION("""COMPUTED_VALUE"""),"")</f>
        <v/>
      </c>
      <c r="L1054" s="136" t="str">
        <f>IFERROR(__xludf.DUMMYFUNCTION("""COMPUTED_VALUE"""),"")</f>
        <v/>
      </c>
      <c r="M1054" s="106" t="str">
        <f>IFERROR(__xludf.DUMMYFUNCTION("""COMPUTED_VALUE"""),"")</f>
        <v/>
      </c>
      <c r="O1054" s="136" t="str">
        <f>IFERROR(__xludf.DUMMYFUNCTION("""COMPUTED_VALUE"""),"")</f>
        <v/>
      </c>
      <c r="P1054" s="106" t="str">
        <f>IFERROR(__xludf.DUMMYFUNCTION("""COMPUTED_VALUE"""),"")</f>
        <v/>
      </c>
      <c r="R1054" s="136" t="str">
        <f>IFERROR(__xludf.DUMMYFUNCTION("""COMPUTED_VALUE"""),"")</f>
        <v/>
      </c>
      <c r="S1054" s="106" t="str">
        <f>IFERROR(__xludf.DUMMYFUNCTION("""COMPUTED_VALUE"""),"")</f>
        <v/>
      </c>
    </row>
    <row r="1055">
      <c r="A1055" s="136" t="s">
        <v>133</v>
      </c>
      <c r="B1055" s="136"/>
      <c r="C1055" s="136" t="s">
        <v>133</v>
      </c>
      <c r="D1055" s="136"/>
      <c r="E1055" s="106"/>
      <c r="F1055" s="136" t="str">
        <f>IFERROR(__xludf.DUMMYFUNCTION("""COMPUTED_VALUE"""),"")</f>
        <v/>
      </c>
      <c r="G1055" s="106" t="str">
        <f>IFERROR(__xludf.DUMMYFUNCTION("""COMPUTED_VALUE"""),"")</f>
        <v/>
      </c>
      <c r="I1055" s="136" t="str">
        <f>IFERROR(__xludf.DUMMYFUNCTION("""COMPUTED_VALUE"""),"")</f>
        <v/>
      </c>
      <c r="J1055" s="106" t="str">
        <f>IFERROR(__xludf.DUMMYFUNCTION("""COMPUTED_VALUE"""),"")</f>
        <v/>
      </c>
      <c r="L1055" s="136" t="str">
        <f>IFERROR(__xludf.DUMMYFUNCTION("""COMPUTED_VALUE"""),"")</f>
        <v/>
      </c>
      <c r="M1055" s="106" t="str">
        <f>IFERROR(__xludf.DUMMYFUNCTION("""COMPUTED_VALUE"""),"")</f>
        <v/>
      </c>
      <c r="O1055" s="136" t="str">
        <f>IFERROR(__xludf.DUMMYFUNCTION("""COMPUTED_VALUE"""),"")</f>
        <v/>
      </c>
      <c r="P1055" s="106" t="str">
        <f>IFERROR(__xludf.DUMMYFUNCTION("""COMPUTED_VALUE"""),"")</f>
        <v/>
      </c>
      <c r="R1055" s="136" t="str">
        <f>IFERROR(__xludf.DUMMYFUNCTION("""COMPUTED_VALUE"""),"")</f>
        <v/>
      </c>
      <c r="S1055" s="106" t="str">
        <f>IFERROR(__xludf.DUMMYFUNCTION("""COMPUTED_VALUE"""),"")</f>
        <v/>
      </c>
    </row>
    <row r="1056">
      <c r="A1056" s="136" t="s">
        <v>133</v>
      </c>
      <c r="B1056" s="136"/>
      <c r="C1056" s="136" t="s">
        <v>133</v>
      </c>
      <c r="D1056" s="136"/>
      <c r="E1056" s="106"/>
      <c r="F1056" s="136" t="str">
        <f>IFERROR(__xludf.DUMMYFUNCTION("""COMPUTED_VALUE"""),"")</f>
        <v/>
      </c>
      <c r="G1056" s="106" t="str">
        <f>IFERROR(__xludf.DUMMYFUNCTION("""COMPUTED_VALUE"""),"")</f>
        <v/>
      </c>
      <c r="I1056" s="136" t="str">
        <f>IFERROR(__xludf.DUMMYFUNCTION("""COMPUTED_VALUE"""),"")</f>
        <v/>
      </c>
      <c r="J1056" s="106" t="str">
        <f>IFERROR(__xludf.DUMMYFUNCTION("""COMPUTED_VALUE"""),"")</f>
        <v/>
      </c>
      <c r="L1056" s="136" t="str">
        <f>IFERROR(__xludf.DUMMYFUNCTION("""COMPUTED_VALUE"""),"")</f>
        <v/>
      </c>
      <c r="M1056" s="106" t="str">
        <f>IFERROR(__xludf.DUMMYFUNCTION("""COMPUTED_VALUE"""),"")</f>
        <v/>
      </c>
      <c r="O1056" s="136" t="str">
        <f>IFERROR(__xludf.DUMMYFUNCTION("""COMPUTED_VALUE"""),"")</f>
        <v/>
      </c>
      <c r="P1056" s="106" t="str">
        <f>IFERROR(__xludf.DUMMYFUNCTION("""COMPUTED_VALUE"""),"")</f>
        <v/>
      </c>
      <c r="R1056" s="136" t="str">
        <f>IFERROR(__xludf.DUMMYFUNCTION("""COMPUTED_VALUE"""),"")</f>
        <v/>
      </c>
      <c r="S1056" s="106" t="str">
        <f>IFERROR(__xludf.DUMMYFUNCTION("""COMPUTED_VALUE"""),"")</f>
        <v/>
      </c>
    </row>
    <row r="1057">
      <c r="A1057" s="136" t="s">
        <v>133</v>
      </c>
      <c r="B1057" s="136"/>
      <c r="C1057" s="136" t="s">
        <v>133</v>
      </c>
      <c r="D1057" s="136"/>
      <c r="E1057" s="106"/>
      <c r="F1057" s="136" t="str">
        <f>IFERROR(__xludf.DUMMYFUNCTION("""COMPUTED_VALUE"""),"")</f>
        <v/>
      </c>
      <c r="G1057" s="106" t="str">
        <f>IFERROR(__xludf.DUMMYFUNCTION("""COMPUTED_VALUE"""),"")</f>
        <v/>
      </c>
      <c r="I1057" s="136" t="str">
        <f>IFERROR(__xludf.DUMMYFUNCTION("""COMPUTED_VALUE"""),"")</f>
        <v/>
      </c>
      <c r="J1057" s="106" t="str">
        <f>IFERROR(__xludf.DUMMYFUNCTION("""COMPUTED_VALUE"""),"")</f>
        <v/>
      </c>
      <c r="L1057" s="136" t="str">
        <f>IFERROR(__xludf.DUMMYFUNCTION("""COMPUTED_VALUE"""),"")</f>
        <v/>
      </c>
      <c r="M1057" s="106" t="str">
        <f>IFERROR(__xludf.DUMMYFUNCTION("""COMPUTED_VALUE"""),"")</f>
        <v/>
      </c>
      <c r="O1057" s="136" t="str">
        <f>IFERROR(__xludf.DUMMYFUNCTION("""COMPUTED_VALUE"""),"")</f>
        <v/>
      </c>
      <c r="P1057" s="106" t="str">
        <f>IFERROR(__xludf.DUMMYFUNCTION("""COMPUTED_VALUE"""),"")</f>
        <v/>
      </c>
      <c r="R1057" s="136" t="str">
        <f>IFERROR(__xludf.DUMMYFUNCTION("""COMPUTED_VALUE"""),"")</f>
        <v/>
      </c>
      <c r="S1057" s="106" t="str">
        <f>IFERROR(__xludf.DUMMYFUNCTION("""COMPUTED_VALUE"""),"")</f>
        <v/>
      </c>
    </row>
    <row r="1058">
      <c r="A1058" s="136" t="s">
        <v>133</v>
      </c>
      <c r="B1058" s="136"/>
      <c r="C1058" s="136" t="s">
        <v>133</v>
      </c>
      <c r="D1058" s="136"/>
      <c r="E1058" s="106"/>
      <c r="F1058" s="136" t="str">
        <f>IFERROR(__xludf.DUMMYFUNCTION("""COMPUTED_VALUE"""),"")</f>
        <v/>
      </c>
      <c r="G1058" s="106" t="str">
        <f>IFERROR(__xludf.DUMMYFUNCTION("""COMPUTED_VALUE"""),"")</f>
        <v/>
      </c>
      <c r="I1058" s="136" t="str">
        <f>IFERROR(__xludf.DUMMYFUNCTION("""COMPUTED_VALUE"""),"")</f>
        <v/>
      </c>
      <c r="J1058" s="106" t="str">
        <f>IFERROR(__xludf.DUMMYFUNCTION("""COMPUTED_VALUE"""),"")</f>
        <v/>
      </c>
      <c r="L1058" s="136" t="str">
        <f>IFERROR(__xludf.DUMMYFUNCTION("""COMPUTED_VALUE"""),"")</f>
        <v/>
      </c>
      <c r="M1058" s="106" t="str">
        <f>IFERROR(__xludf.DUMMYFUNCTION("""COMPUTED_VALUE"""),"")</f>
        <v/>
      </c>
      <c r="O1058" s="136" t="str">
        <f>IFERROR(__xludf.DUMMYFUNCTION("""COMPUTED_VALUE"""),"")</f>
        <v/>
      </c>
      <c r="P1058" s="106" t="str">
        <f>IFERROR(__xludf.DUMMYFUNCTION("""COMPUTED_VALUE"""),"")</f>
        <v/>
      </c>
      <c r="R1058" s="136" t="str">
        <f>IFERROR(__xludf.DUMMYFUNCTION("""COMPUTED_VALUE"""),"")</f>
        <v/>
      </c>
      <c r="S1058" s="106" t="str">
        <f>IFERROR(__xludf.DUMMYFUNCTION("""COMPUTED_VALUE"""),"")</f>
        <v/>
      </c>
    </row>
    <row r="1059">
      <c r="A1059" s="136" t="s">
        <v>133</v>
      </c>
      <c r="B1059" s="136"/>
      <c r="C1059" s="136" t="s">
        <v>133</v>
      </c>
      <c r="D1059" s="136"/>
      <c r="E1059" s="106"/>
      <c r="F1059" s="136" t="str">
        <f>IFERROR(__xludf.DUMMYFUNCTION("""COMPUTED_VALUE"""),"")</f>
        <v/>
      </c>
      <c r="G1059" s="106" t="str">
        <f>IFERROR(__xludf.DUMMYFUNCTION("""COMPUTED_VALUE"""),"")</f>
        <v/>
      </c>
      <c r="I1059" s="136" t="str">
        <f>IFERROR(__xludf.DUMMYFUNCTION("""COMPUTED_VALUE"""),"")</f>
        <v/>
      </c>
      <c r="J1059" s="106" t="str">
        <f>IFERROR(__xludf.DUMMYFUNCTION("""COMPUTED_VALUE"""),"")</f>
        <v/>
      </c>
      <c r="L1059" s="136" t="str">
        <f>IFERROR(__xludf.DUMMYFUNCTION("""COMPUTED_VALUE"""),"")</f>
        <v/>
      </c>
      <c r="M1059" s="106" t="str">
        <f>IFERROR(__xludf.DUMMYFUNCTION("""COMPUTED_VALUE"""),"")</f>
        <v/>
      </c>
      <c r="O1059" s="136" t="str">
        <f>IFERROR(__xludf.DUMMYFUNCTION("""COMPUTED_VALUE"""),"")</f>
        <v/>
      </c>
      <c r="P1059" s="106" t="str">
        <f>IFERROR(__xludf.DUMMYFUNCTION("""COMPUTED_VALUE"""),"")</f>
        <v/>
      </c>
      <c r="R1059" s="136" t="str">
        <f>IFERROR(__xludf.DUMMYFUNCTION("""COMPUTED_VALUE"""),"")</f>
        <v/>
      </c>
      <c r="S1059" s="106" t="str">
        <f>IFERROR(__xludf.DUMMYFUNCTION("""COMPUTED_VALUE"""),"")</f>
        <v/>
      </c>
    </row>
    <row r="1060">
      <c r="A1060" s="136" t="s">
        <v>133</v>
      </c>
      <c r="B1060" s="136"/>
      <c r="C1060" s="136" t="s">
        <v>133</v>
      </c>
      <c r="D1060" s="136"/>
      <c r="E1060" s="106"/>
      <c r="F1060" s="136" t="str">
        <f>IFERROR(__xludf.DUMMYFUNCTION("""COMPUTED_VALUE"""),"")</f>
        <v/>
      </c>
      <c r="G1060" s="106" t="str">
        <f>IFERROR(__xludf.DUMMYFUNCTION("""COMPUTED_VALUE"""),"")</f>
        <v/>
      </c>
      <c r="I1060" s="136" t="str">
        <f>IFERROR(__xludf.DUMMYFUNCTION("""COMPUTED_VALUE"""),"")</f>
        <v/>
      </c>
      <c r="J1060" s="106" t="str">
        <f>IFERROR(__xludf.DUMMYFUNCTION("""COMPUTED_VALUE"""),"")</f>
        <v/>
      </c>
      <c r="L1060" s="136" t="str">
        <f>IFERROR(__xludf.DUMMYFUNCTION("""COMPUTED_VALUE"""),"")</f>
        <v/>
      </c>
      <c r="M1060" s="106" t="str">
        <f>IFERROR(__xludf.DUMMYFUNCTION("""COMPUTED_VALUE"""),"")</f>
        <v/>
      </c>
      <c r="O1060" s="136" t="str">
        <f>IFERROR(__xludf.DUMMYFUNCTION("""COMPUTED_VALUE"""),"")</f>
        <v/>
      </c>
      <c r="P1060" s="106" t="str">
        <f>IFERROR(__xludf.DUMMYFUNCTION("""COMPUTED_VALUE"""),"")</f>
        <v/>
      </c>
      <c r="R1060" s="136" t="str">
        <f>IFERROR(__xludf.DUMMYFUNCTION("""COMPUTED_VALUE"""),"")</f>
        <v/>
      </c>
      <c r="S1060" s="106" t="str">
        <f>IFERROR(__xludf.DUMMYFUNCTION("""COMPUTED_VALUE"""),"")</f>
        <v/>
      </c>
    </row>
    <row r="1061">
      <c r="A1061" s="136" t="s">
        <v>133</v>
      </c>
      <c r="B1061" s="136"/>
      <c r="C1061" s="136" t="s">
        <v>133</v>
      </c>
      <c r="D1061" s="136"/>
      <c r="E1061" s="106"/>
      <c r="F1061" s="136" t="str">
        <f>IFERROR(__xludf.DUMMYFUNCTION("""COMPUTED_VALUE"""),"")</f>
        <v/>
      </c>
      <c r="G1061" s="106" t="str">
        <f>IFERROR(__xludf.DUMMYFUNCTION("""COMPUTED_VALUE"""),"")</f>
        <v/>
      </c>
      <c r="I1061" s="136" t="str">
        <f>IFERROR(__xludf.DUMMYFUNCTION("""COMPUTED_VALUE"""),"")</f>
        <v/>
      </c>
      <c r="J1061" s="106" t="str">
        <f>IFERROR(__xludf.DUMMYFUNCTION("""COMPUTED_VALUE"""),"")</f>
        <v/>
      </c>
      <c r="L1061" s="136" t="str">
        <f>IFERROR(__xludf.DUMMYFUNCTION("""COMPUTED_VALUE"""),"")</f>
        <v/>
      </c>
      <c r="M1061" s="106" t="str">
        <f>IFERROR(__xludf.DUMMYFUNCTION("""COMPUTED_VALUE"""),"")</f>
        <v/>
      </c>
      <c r="O1061" s="136" t="str">
        <f>IFERROR(__xludf.DUMMYFUNCTION("""COMPUTED_VALUE"""),"")</f>
        <v/>
      </c>
      <c r="P1061" s="106" t="str">
        <f>IFERROR(__xludf.DUMMYFUNCTION("""COMPUTED_VALUE"""),"")</f>
        <v/>
      </c>
      <c r="R1061" s="136" t="str">
        <f>IFERROR(__xludf.DUMMYFUNCTION("""COMPUTED_VALUE"""),"")</f>
        <v/>
      </c>
      <c r="S1061" s="106" t="str">
        <f>IFERROR(__xludf.DUMMYFUNCTION("""COMPUTED_VALUE"""),"")</f>
        <v/>
      </c>
    </row>
    <row r="1062">
      <c r="A1062" s="136" t="s">
        <v>133</v>
      </c>
      <c r="B1062" s="136"/>
      <c r="C1062" s="136" t="s">
        <v>133</v>
      </c>
      <c r="D1062" s="136"/>
      <c r="E1062" s="106"/>
      <c r="F1062" s="136" t="str">
        <f>IFERROR(__xludf.DUMMYFUNCTION("""COMPUTED_VALUE"""),"")</f>
        <v/>
      </c>
      <c r="G1062" s="106" t="str">
        <f>IFERROR(__xludf.DUMMYFUNCTION("""COMPUTED_VALUE"""),"")</f>
        <v/>
      </c>
      <c r="I1062" s="136" t="str">
        <f>IFERROR(__xludf.DUMMYFUNCTION("""COMPUTED_VALUE"""),"")</f>
        <v/>
      </c>
      <c r="J1062" s="106" t="str">
        <f>IFERROR(__xludf.DUMMYFUNCTION("""COMPUTED_VALUE"""),"")</f>
        <v/>
      </c>
      <c r="L1062" s="136" t="str">
        <f>IFERROR(__xludf.DUMMYFUNCTION("""COMPUTED_VALUE"""),"")</f>
        <v/>
      </c>
      <c r="M1062" s="106" t="str">
        <f>IFERROR(__xludf.DUMMYFUNCTION("""COMPUTED_VALUE"""),"")</f>
        <v/>
      </c>
      <c r="O1062" s="136" t="str">
        <f>IFERROR(__xludf.DUMMYFUNCTION("""COMPUTED_VALUE"""),"")</f>
        <v/>
      </c>
      <c r="P1062" s="106" t="str">
        <f>IFERROR(__xludf.DUMMYFUNCTION("""COMPUTED_VALUE"""),"")</f>
        <v/>
      </c>
      <c r="R1062" s="136" t="str">
        <f>IFERROR(__xludf.DUMMYFUNCTION("""COMPUTED_VALUE"""),"")</f>
        <v/>
      </c>
      <c r="S1062" s="106" t="str">
        <f>IFERROR(__xludf.DUMMYFUNCTION("""COMPUTED_VALUE"""),"")</f>
        <v/>
      </c>
    </row>
    <row r="1063">
      <c r="A1063" s="136" t="s">
        <v>133</v>
      </c>
      <c r="B1063" s="136"/>
      <c r="C1063" s="136" t="s">
        <v>133</v>
      </c>
      <c r="D1063" s="136"/>
      <c r="E1063" s="106"/>
      <c r="F1063" s="136" t="str">
        <f>IFERROR(__xludf.DUMMYFUNCTION("""COMPUTED_VALUE"""),"")</f>
        <v/>
      </c>
      <c r="G1063" s="106" t="str">
        <f>IFERROR(__xludf.DUMMYFUNCTION("""COMPUTED_VALUE"""),"")</f>
        <v/>
      </c>
      <c r="I1063" s="136" t="str">
        <f>IFERROR(__xludf.DUMMYFUNCTION("""COMPUTED_VALUE"""),"")</f>
        <v/>
      </c>
      <c r="J1063" s="106" t="str">
        <f>IFERROR(__xludf.DUMMYFUNCTION("""COMPUTED_VALUE"""),"")</f>
        <v/>
      </c>
      <c r="L1063" s="136" t="str">
        <f>IFERROR(__xludf.DUMMYFUNCTION("""COMPUTED_VALUE"""),"")</f>
        <v/>
      </c>
      <c r="M1063" s="106" t="str">
        <f>IFERROR(__xludf.DUMMYFUNCTION("""COMPUTED_VALUE"""),"")</f>
        <v/>
      </c>
      <c r="O1063" s="136" t="str">
        <f>IFERROR(__xludf.DUMMYFUNCTION("""COMPUTED_VALUE"""),"")</f>
        <v/>
      </c>
      <c r="P1063" s="106" t="str">
        <f>IFERROR(__xludf.DUMMYFUNCTION("""COMPUTED_VALUE"""),"")</f>
        <v/>
      </c>
      <c r="R1063" s="136" t="str">
        <f>IFERROR(__xludf.DUMMYFUNCTION("""COMPUTED_VALUE"""),"")</f>
        <v/>
      </c>
      <c r="S1063" s="106" t="str">
        <f>IFERROR(__xludf.DUMMYFUNCTION("""COMPUTED_VALUE"""),"")</f>
        <v/>
      </c>
    </row>
    <row r="1064">
      <c r="A1064" s="136" t="s">
        <v>133</v>
      </c>
      <c r="B1064" s="136"/>
      <c r="C1064" s="136" t="s">
        <v>133</v>
      </c>
      <c r="D1064" s="136"/>
      <c r="E1064" s="106"/>
      <c r="F1064" s="136" t="str">
        <f>IFERROR(__xludf.DUMMYFUNCTION("""COMPUTED_VALUE"""),"")</f>
        <v/>
      </c>
      <c r="G1064" s="106" t="str">
        <f>IFERROR(__xludf.DUMMYFUNCTION("""COMPUTED_VALUE"""),"")</f>
        <v/>
      </c>
      <c r="I1064" s="136" t="str">
        <f>IFERROR(__xludf.DUMMYFUNCTION("""COMPUTED_VALUE"""),"")</f>
        <v/>
      </c>
      <c r="J1064" s="106" t="str">
        <f>IFERROR(__xludf.DUMMYFUNCTION("""COMPUTED_VALUE"""),"")</f>
        <v/>
      </c>
      <c r="L1064" s="136" t="str">
        <f>IFERROR(__xludf.DUMMYFUNCTION("""COMPUTED_VALUE"""),"")</f>
        <v/>
      </c>
      <c r="M1064" s="106" t="str">
        <f>IFERROR(__xludf.DUMMYFUNCTION("""COMPUTED_VALUE"""),"")</f>
        <v/>
      </c>
      <c r="O1064" s="136" t="str">
        <f>IFERROR(__xludf.DUMMYFUNCTION("""COMPUTED_VALUE"""),"")</f>
        <v/>
      </c>
      <c r="P1064" s="106" t="str">
        <f>IFERROR(__xludf.DUMMYFUNCTION("""COMPUTED_VALUE"""),"")</f>
        <v/>
      </c>
      <c r="R1064" s="136" t="str">
        <f>IFERROR(__xludf.DUMMYFUNCTION("""COMPUTED_VALUE"""),"")</f>
        <v/>
      </c>
      <c r="S1064" s="106" t="str">
        <f>IFERROR(__xludf.DUMMYFUNCTION("""COMPUTED_VALUE"""),"")</f>
        <v/>
      </c>
    </row>
    <row r="1065">
      <c r="A1065" s="136" t="s">
        <v>133</v>
      </c>
      <c r="B1065" s="136"/>
      <c r="C1065" s="136" t="s">
        <v>133</v>
      </c>
      <c r="D1065" s="136"/>
      <c r="E1065" s="106"/>
      <c r="F1065" s="136" t="str">
        <f>IFERROR(__xludf.DUMMYFUNCTION("""COMPUTED_VALUE"""),"")</f>
        <v/>
      </c>
      <c r="G1065" s="106" t="str">
        <f>IFERROR(__xludf.DUMMYFUNCTION("""COMPUTED_VALUE"""),"")</f>
        <v/>
      </c>
      <c r="I1065" s="136" t="str">
        <f>IFERROR(__xludf.DUMMYFUNCTION("""COMPUTED_VALUE"""),"")</f>
        <v/>
      </c>
      <c r="J1065" s="106" t="str">
        <f>IFERROR(__xludf.DUMMYFUNCTION("""COMPUTED_VALUE"""),"")</f>
        <v/>
      </c>
      <c r="L1065" s="136" t="str">
        <f>IFERROR(__xludf.DUMMYFUNCTION("""COMPUTED_VALUE"""),"")</f>
        <v/>
      </c>
      <c r="M1065" s="106" t="str">
        <f>IFERROR(__xludf.DUMMYFUNCTION("""COMPUTED_VALUE"""),"")</f>
        <v/>
      </c>
      <c r="O1065" s="136" t="str">
        <f>IFERROR(__xludf.DUMMYFUNCTION("""COMPUTED_VALUE"""),"")</f>
        <v/>
      </c>
      <c r="P1065" s="106" t="str">
        <f>IFERROR(__xludf.DUMMYFUNCTION("""COMPUTED_VALUE"""),"")</f>
        <v/>
      </c>
      <c r="R1065" s="136" t="str">
        <f>IFERROR(__xludf.DUMMYFUNCTION("""COMPUTED_VALUE"""),"")</f>
        <v/>
      </c>
      <c r="S1065" s="106" t="str">
        <f>IFERROR(__xludf.DUMMYFUNCTION("""COMPUTED_VALUE"""),"")</f>
        <v/>
      </c>
    </row>
    <row r="1066">
      <c r="A1066" s="136" t="s">
        <v>133</v>
      </c>
      <c r="B1066" s="136"/>
      <c r="C1066" s="136" t="s">
        <v>133</v>
      </c>
      <c r="D1066" s="136"/>
      <c r="E1066" s="106"/>
      <c r="F1066" s="136" t="str">
        <f>IFERROR(__xludf.DUMMYFUNCTION("""COMPUTED_VALUE"""),"")</f>
        <v/>
      </c>
      <c r="G1066" s="106" t="str">
        <f>IFERROR(__xludf.DUMMYFUNCTION("""COMPUTED_VALUE"""),"")</f>
        <v/>
      </c>
      <c r="I1066" s="136" t="str">
        <f>IFERROR(__xludf.DUMMYFUNCTION("""COMPUTED_VALUE"""),"")</f>
        <v/>
      </c>
      <c r="J1066" s="106" t="str">
        <f>IFERROR(__xludf.DUMMYFUNCTION("""COMPUTED_VALUE"""),"")</f>
        <v/>
      </c>
      <c r="L1066" s="136" t="str">
        <f>IFERROR(__xludf.DUMMYFUNCTION("""COMPUTED_VALUE"""),"")</f>
        <v/>
      </c>
      <c r="M1066" s="106" t="str">
        <f>IFERROR(__xludf.DUMMYFUNCTION("""COMPUTED_VALUE"""),"")</f>
        <v/>
      </c>
      <c r="O1066" s="136" t="str">
        <f>IFERROR(__xludf.DUMMYFUNCTION("""COMPUTED_VALUE"""),"")</f>
        <v/>
      </c>
      <c r="P1066" s="106" t="str">
        <f>IFERROR(__xludf.DUMMYFUNCTION("""COMPUTED_VALUE"""),"")</f>
        <v/>
      </c>
      <c r="R1066" s="136" t="str">
        <f>IFERROR(__xludf.DUMMYFUNCTION("""COMPUTED_VALUE"""),"")</f>
        <v/>
      </c>
      <c r="S1066" s="106" t="str">
        <f>IFERROR(__xludf.DUMMYFUNCTION("""COMPUTED_VALUE"""),"")</f>
        <v/>
      </c>
    </row>
    <row r="1067">
      <c r="A1067" s="136" t="s">
        <v>133</v>
      </c>
      <c r="B1067" s="136"/>
      <c r="C1067" s="136" t="s">
        <v>133</v>
      </c>
      <c r="D1067" s="136"/>
      <c r="E1067" s="106"/>
      <c r="F1067" s="136" t="str">
        <f>IFERROR(__xludf.DUMMYFUNCTION("""COMPUTED_VALUE"""),"")</f>
        <v/>
      </c>
      <c r="G1067" s="106" t="str">
        <f>IFERROR(__xludf.DUMMYFUNCTION("""COMPUTED_VALUE"""),"")</f>
        <v/>
      </c>
      <c r="I1067" s="136" t="str">
        <f>IFERROR(__xludf.DUMMYFUNCTION("""COMPUTED_VALUE"""),"")</f>
        <v/>
      </c>
      <c r="J1067" s="106" t="str">
        <f>IFERROR(__xludf.DUMMYFUNCTION("""COMPUTED_VALUE"""),"")</f>
        <v/>
      </c>
      <c r="L1067" s="136" t="str">
        <f>IFERROR(__xludf.DUMMYFUNCTION("""COMPUTED_VALUE"""),"")</f>
        <v/>
      </c>
      <c r="M1067" s="106" t="str">
        <f>IFERROR(__xludf.DUMMYFUNCTION("""COMPUTED_VALUE"""),"")</f>
        <v/>
      </c>
      <c r="O1067" s="136" t="str">
        <f>IFERROR(__xludf.DUMMYFUNCTION("""COMPUTED_VALUE"""),"")</f>
        <v/>
      </c>
      <c r="P1067" s="106" t="str">
        <f>IFERROR(__xludf.DUMMYFUNCTION("""COMPUTED_VALUE"""),"")</f>
        <v/>
      </c>
      <c r="R1067" s="136" t="str">
        <f>IFERROR(__xludf.DUMMYFUNCTION("""COMPUTED_VALUE"""),"")</f>
        <v/>
      </c>
      <c r="S1067" s="106" t="str">
        <f>IFERROR(__xludf.DUMMYFUNCTION("""COMPUTED_VALUE"""),"")</f>
        <v/>
      </c>
    </row>
    <row r="1068">
      <c r="A1068" s="136" t="s">
        <v>133</v>
      </c>
      <c r="B1068" s="136"/>
      <c r="C1068" s="136" t="s">
        <v>133</v>
      </c>
      <c r="D1068" s="136"/>
      <c r="E1068" s="106"/>
      <c r="F1068" s="136" t="str">
        <f>IFERROR(__xludf.DUMMYFUNCTION("""COMPUTED_VALUE"""),"")</f>
        <v/>
      </c>
      <c r="G1068" s="106" t="str">
        <f>IFERROR(__xludf.DUMMYFUNCTION("""COMPUTED_VALUE"""),"")</f>
        <v/>
      </c>
      <c r="I1068" s="136" t="str">
        <f>IFERROR(__xludf.DUMMYFUNCTION("""COMPUTED_VALUE"""),"")</f>
        <v/>
      </c>
      <c r="J1068" s="106" t="str">
        <f>IFERROR(__xludf.DUMMYFUNCTION("""COMPUTED_VALUE"""),"")</f>
        <v/>
      </c>
      <c r="L1068" s="136" t="str">
        <f>IFERROR(__xludf.DUMMYFUNCTION("""COMPUTED_VALUE"""),"")</f>
        <v/>
      </c>
      <c r="M1068" s="106" t="str">
        <f>IFERROR(__xludf.DUMMYFUNCTION("""COMPUTED_VALUE"""),"")</f>
        <v/>
      </c>
      <c r="O1068" s="136" t="str">
        <f>IFERROR(__xludf.DUMMYFUNCTION("""COMPUTED_VALUE"""),"")</f>
        <v/>
      </c>
      <c r="P1068" s="106" t="str">
        <f>IFERROR(__xludf.DUMMYFUNCTION("""COMPUTED_VALUE"""),"")</f>
        <v/>
      </c>
      <c r="R1068" s="136" t="str">
        <f>IFERROR(__xludf.DUMMYFUNCTION("""COMPUTED_VALUE"""),"")</f>
        <v/>
      </c>
      <c r="S1068" s="106" t="str">
        <f>IFERROR(__xludf.DUMMYFUNCTION("""COMPUTED_VALUE"""),"")</f>
        <v/>
      </c>
    </row>
    <row r="1069">
      <c r="A1069" s="136" t="s">
        <v>133</v>
      </c>
      <c r="B1069" s="136"/>
      <c r="C1069" s="136" t="s">
        <v>133</v>
      </c>
      <c r="D1069" s="136"/>
      <c r="E1069" s="106"/>
      <c r="F1069" s="136" t="str">
        <f>IFERROR(__xludf.DUMMYFUNCTION("""COMPUTED_VALUE"""),"")</f>
        <v/>
      </c>
      <c r="G1069" s="106" t="str">
        <f>IFERROR(__xludf.DUMMYFUNCTION("""COMPUTED_VALUE"""),"")</f>
        <v/>
      </c>
      <c r="I1069" s="136" t="str">
        <f>IFERROR(__xludf.DUMMYFUNCTION("""COMPUTED_VALUE"""),"")</f>
        <v/>
      </c>
      <c r="J1069" s="106" t="str">
        <f>IFERROR(__xludf.DUMMYFUNCTION("""COMPUTED_VALUE"""),"")</f>
        <v/>
      </c>
      <c r="L1069" s="136" t="str">
        <f>IFERROR(__xludf.DUMMYFUNCTION("""COMPUTED_VALUE"""),"")</f>
        <v/>
      </c>
      <c r="M1069" s="106" t="str">
        <f>IFERROR(__xludf.DUMMYFUNCTION("""COMPUTED_VALUE"""),"")</f>
        <v/>
      </c>
      <c r="O1069" s="136" t="str">
        <f>IFERROR(__xludf.DUMMYFUNCTION("""COMPUTED_VALUE"""),"")</f>
        <v/>
      </c>
      <c r="P1069" s="106" t="str">
        <f>IFERROR(__xludf.DUMMYFUNCTION("""COMPUTED_VALUE"""),"")</f>
        <v/>
      </c>
      <c r="R1069" s="136" t="str">
        <f>IFERROR(__xludf.DUMMYFUNCTION("""COMPUTED_VALUE"""),"")</f>
        <v/>
      </c>
      <c r="S1069" s="106" t="str">
        <f>IFERROR(__xludf.DUMMYFUNCTION("""COMPUTED_VALUE"""),"")</f>
        <v/>
      </c>
    </row>
    <row r="1070">
      <c r="A1070" s="136" t="s">
        <v>133</v>
      </c>
      <c r="B1070" s="136"/>
      <c r="C1070" s="136" t="s">
        <v>133</v>
      </c>
      <c r="D1070" s="136"/>
      <c r="E1070" s="106"/>
      <c r="F1070" s="136" t="str">
        <f>IFERROR(__xludf.DUMMYFUNCTION("""COMPUTED_VALUE"""),"")</f>
        <v/>
      </c>
      <c r="G1070" s="106" t="str">
        <f>IFERROR(__xludf.DUMMYFUNCTION("""COMPUTED_VALUE"""),"")</f>
        <v/>
      </c>
      <c r="I1070" s="136" t="str">
        <f>IFERROR(__xludf.DUMMYFUNCTION("""COMPUTED_VALUE"""),"")</f>
        <v/>
      </c>
      <c r="J1070" s="106" t="str">
        <f>IFERROR(__xludf.DUMMYFUNCTION("""COMPUTED_VALUE"""),"")</f>
        <v/>
      </c>
      <c r="L1070" s="136" t="str">
        <f>IFERROR(__xludf.DUMMYFUNCTION("""COMPUTED_VALUE"""),"")</f>
        <v/>
      </c>
      <c r="M1070" s="106" t="str">
        <f>IFERROR(__xludf.DUMMYFUNCTION("""COMPUTED_VALUE"""),"")</f>
        <v/>
      </c>
      <c r="O1070" s="136" t="str">
        <f>IFERROR(__xludf.DUMMYFUNCTION("""COMPUTED_VALUE"""),"")</f>
        <v/>
      </c>
      <c r="P1070" s="106" t="str">
        <f>IFERROR(__xludf.DUMMYFUNCTION("""COMPUTED_VALUE"""),"")</f>
        <v/>
      </c>
      <c r="R1070" s="136" t="str">
        <f>IFERROR(__xludf.DUMMYFUNCTION("""COMPUTED_VALUE"""),"")</f>
        <v/>
      </c>
      <c r="S1070" s="106" t="str">
        <f>IFERROR(__xludf.DUMMYFUNCTION("""COMPUTED_VALUE"""),"")</f>
        <v/>
      </c>
    </row>
    <row r="1071">
      <c r="A1071" s="136" t="s">
        <v>133</v>
      </c>
      <c r="B1071" s="136"/>
      <c r="C1071" s="136" t="s">
        <v>133</v>
      </c>
      <c r="D1071" s="136"/>
      <c r="E1071" s="106"/>
      <c r="F1071" s="136" t="str">
        <f>IFERROR(__xludf.DUMMYFUNCTION("""COMPUTED_VALUE"""),"")</f>
        <v/>
      </c>
      <c r="G1071" s="106" t="str">
        <f>IFERROR(__xludf.DUMMYFUNCTION("""COMPUTED_VALUE"""),"")</f>
        <v/>
      </c>
      <c r="I1071" s="136" t="str">
        <f>IFERROR(__xludf.DUMMYFUNCTION("""COMPUTED_VALUE"""),"")</f>
        <v/>
      </c>
      <c r="J1071" s="106" t="str">
        <f>IFERROR(__xludf.DUMMYFUNCTION("""COMPUTED_VALUE"""),"")</f>
        <v/>
      </c>
      <c r="L1071" s="136" t="str">
        <f>IFERROR(__xludf.DUMMYFUNCTION("""COMPUTED_VALUE"""),"")</f>
        <v/>
      </c>
      <c r="M1071" s="106" t="str">
        <f>IFERROR(__xludf.DUMMYFUNCTION("""COMPUTED_VALUE"""),"")</f>
        <v/>
      </c>
      <c r="O1071" s="136" t="str">
        <f>IFERROR(__xludf.DUMMYFUNCTION("""COMPUTED_VALUE"""),"")</f>
        <v/>
      </c>
      <c r="P1071" s="106" t="str">
        <f>IFERROR(__xludf.DUMMYFUNCTION("""COMPUTED_VALUE"""),"")</f>
        <v/>
      </c>
      <c r="R1071" s="136" t="str">
        <f>IFERROR(__xludf.DUMMYFUNCTION("""COMPUTED_VALUE"""),"")</f>
        <v/>
      </c>
      <c r="S1071" s="106" t="str">
        <f>IFERROR(__xludf.DUMMYFUNCTION("""COMPUTED_VALUE"""),"")</f>
        <v/>
      </c>
    </row>
    <row r="1072">
      <c r="A1072" s="136" t="s">
        <v>133</v>
      </c>
      <c r="B1072" s="136"/>
      <c r="C1072" s="136" t="s">
        <v>133</v>
      </c>
      <c r="D1072" s="136"/>
      <c r="E1072" s="106"/>
      <c r="F1072" s="136" t="str">
        <f>IFERROR(__xludf.DUMMYFUNCTION("""COMPUTED_VALUE"""),"")</f>
        <v/>
      </c>
      <c r="G1072" s="106" t="str">
        <f>IFERROR(__xludf.DUMMYFUNCTION("""COMPUTED_VALUE"""),"")</f>
        <v/>
      </c>
      <c r="I1072" s="136" t="str">
        <f>IFERROR(__xludf.DUMMYFUNCTION("""COMPUTED_VALUE"""),"")</f>
        <v/>
      </c>
      <c r="J1072" s="106" t="str">
        <f>IFERROR(__xludf.DUMMYFUNCTION("""COMPUTED_VALUE"""),"")</f>
        <v/>
      </c>
      <c r="L1072" s="136" t="str">
        <f>IFERROR(__xludf.DUMMYFUNCTION("""COMPUTED_VALUE"""),"")</f>
        <v/>
      </c>
      <c r="M1072" s="106" t="str">
        <f>IFERROR(__xludf.DUMMYFUNCTION("""COMPUTED_VALUE"""),"")</f>
        <v/>
      </c>
      <c r="O1072" s="136" t="str">
        <f>IFERROR(__xludf.DUMMYFUNCTION("""COMPUTED_VALUE"""),"")</f>
        <v/>
      </c>
      <c r="P1072" s="106" t="str">
        <f>IFERROR(__xludf.DUMMYFUNCTION("""COMPUTED_VALUE"""),"")</f>
        <v/>
      </c>
      <c r="R1072" s="136" t="str">
        <f>IFERROR(__xludf.DUMMYFUNCTION("""COMPUTED_VALUE"""),"")</f>
        <v/>
      </c>
      <c r="S1072" s="106" t="str">
        <f>IFERROR(__xludf.DUMMYFUNCTION("""COMPUTED_VALUE"""),"")</f>
        <v/>
      </c>
    </row>
    <row r="1073">
      <c r="A1073" s="136" t="s">
        <v>133</v>
      </c>
      <c r="B1073" s="136"/>
      <c r="C1073" s="136" t="s">
        <v>133</v>
      </c>
      <c r="D1073" s="136"/>
      <c r="E1073" s="106"/>
      <c r="F1073" s="136" t="str">
        <f>IFERROR(__xludf.DUMMYFUNCTION("""COMPUTED_VALUE"""),"")</f>
        <v/>
      </c>
      <c r="G1073" s="106" t="str">
        <f>IFERROR(__xludf.DUMMYFUNCTION("""COMPUTED_VALUE"""),"")</f>
        <v/>
      </c>
      <c r="I1073" s="136" t="str">
        <f>IFERROR(__xludf.DUMMYFUNCTION("""COMPUTED_VALUE"""),"")</f>
        <v/>
      </c>
      <c r="J1073" s="106" t="str">
        <f>IFERROR(__xludf.DUMMYFUNCTION("""COMPUTED_VALUE"""),"")</f>
        <v/>
      </c>
      <c r="L1073" s="136" t="str">
        <f>IFERROR(__xludf.DUMMYFUNCTION("""COMPUTED_VALUE"""),"")</f>
        <v/>
      </c>
      <c r="M1073" s="106" t="str">
        <f>IFERROR(__xludf.DUMMYFUNCTION("""COMPUTED_VALUE"""),"")</f>
        <v/>
      </c>
      <c r="O1073" s="136" t="str">
        <f>IFERROR(__xludf.DUMMYFUNCTION("""COMPUTED_VALUE"""),"")</f>
        <v/>
      </c>
      <c r="P1073" s="106" t="str">
        <f>IFERROR(__xludf.DUMMYFUNCTION("""COMPUTED_VALUE"""),"")</f>
        <v/>
      </c>
      <c r="R1073" s="136" t="str">
        <f>IFERROR(__xludf.DUMMYFUNCTION("""COMPUTED_VALUE"""),"")</f>
        <v/>
      </c>
      <c r="S1073" s="106" t="str">
        <f>IFERROR(__xludf.DUMMYFUNCTION("""COMPUTED_VALUE"""),"")</f>
        <v/>
      </c>
    </row>
    <row r="1074">
      <c r="A1074" s="136" t="s">
        <v>133</v>
      </c>
      <c r="B1074" s="136"/>
      <c r="C1074" s="136" t="s">
        <v>133</v>
      </c>
      <c r="D1074" s="136"/>
      <c r="E1074" s="106"/>
      <c r="F1074" s="136" t="str">
        <f>IFERROR(__xludf.DUMMYFUNCTION("""COMPUTED_VALUE"""),"")</f>
        <v/>
      </c>
      <c r="G1074" s="106" t="str">
        <f>IFERROR(__xludf.DUMMYFUNCTION("""COMPUTED_VALUE"""),"")</f>
        <v/>
      </c>
      <c r="I1074" s="136" t="str">
        <f>IFERROR(__xludf.DUMMYFUNCTION("""COMPUTED_VALUE"""),"")</f>
        <v/>
      </c>
      <c r="J1074" s="106" t="str">
        <f>IFERROR(__xludf.DUMMYFUNCTION("""COMPUTED_VALUE"""),"")</f>
        <v/>
      </c>
      <c r="L1074" s="136" t="str">
        <f>IFERROR(__xludf.DUMMYFUNCTION("""COMPUTED_VALUE"""),"")</f>
        <v/>
      </c>
      <c r="M1074" s="106" t="str">
        <f>IFERROR(__xludf.DUMMYFUNCTION("""COMPUTED_VALUE"""),"")</f>
        <v/>
      </c>
      <c r="O1074" s="136" t="str">
        <f>IFERROR(__xludf.DUMMYFUNCTION("""COMPUTED_VALUE"""),"")</f>
        <v/>
      </c>
      <c r="P1074" s="106" t="str">
        <f>IFERROR(__xludf.DUMMYFUNCTION("""COMPUTED_VALUE"""),"")</f>
        <v/>
      </c>
      <c r="R1074" s="136" t="str">
        <f>IFERROR(__xludf.DUMMYFUNCTION("""COMPUTED_VALUE"""),"")</f>
        <v/>
      </c>
      <c r="S1074" s="106" t="str">
        <f>IFERROR(__xludf.DUMMYFUNCTION("""COMPUTED_VALUE"""),"")</f>
        <v/>
      </c>
    </row>
    <row r="1075">
      <c r="A1075" s="136" t="s">
        <v>133</v>
      </c>
      <c r="B1075" s="136"/>
      <c r="C1075" s="136" t="s">
        <v>133</v>
      </c>
      <c r="D1075" s="136"/>
      <c r="E1075" s="106"/>
      <c r="F1075" s="136" t="str">
        <f>IFERROR(__xludf.DUMMYFUNCTION("""COMPUTED_VALUE"""),"")</f>
        <v/>
      </c>
      <c r="G1075" s="106" t="str">
        <f>IFERROR(__xludf.DUMMYFUNCTION("""COMPUTED_VALUE"""),"")</f>
        <v/>
      </c>
      <c r="I1075" s="136" t="str">
        <f>IFERROR(__xludf.DUMMYFUNCTION("""COMPUTED_VALUE"""),"")</f>
        <v/>
      </c>
      <c r="J1075" s="106" t="str">
        <f>IFERROR(__xludf.DUMMYFUNCTION("""COMPUTED_VALUE"""),"")</f>
        <v/>
      </c>
      <c r="L1075" s="136" t="str">
        <f>IFERROR(__xludf.DUMMYFUNCTION("""COMPUTED_VALUE"""),"")</f>
        <v/>
      </c>
      <c r="M1075" s="106" t="str">
        <f>IFERROR(__xludf.DUMMYFUNCTION("""COMPUTED_VALUE"""),"")</f>
        <v/>
      </c>
      <c r="O1075" s="136" t="str">
        <f>IFERROR(__xludf.DUMMYFUNCTION("""COMPUTED_VALUE"""),"")</f>
        <v/>
      </c>
      <c r="P1075" s="106" t="str">
        <f>IFERROR(__xludf.DUMMYFUNCTION("""COMPUTED_VALUE"""),"")</f>
        <v/>
      </c>
      <c r="R1075" s="136" t="str">
        <f>IFERROR(__xludf.DUMMYFUNCTION("""COMPUTED_VALUE"""),"")</f>
        <v/>
      </c>
      <c r="S1075" s="106" t="str">
        <f>IFERROR(__xludf.DUMMYFUNCTION("""COMPUTED_VALUE"""),"")</f>
        <v/>
      </c>
    </row>
    <row r="1076">
      <c r="A1076" s="136" t="s">
        <v>133</v>
      </c>
      <c r="B1076" s="136"/>
      <c r="C1076" s="136" t="s">
        <v>133</v>
      </c>
      <c r="D1076" s="136"/>
      <c r="E1076" s="106"/>
      <c r="F1076" s="136" t="str">
        <f>IFERROR(__xludf.DUMMYFUNCTION("""COMPUTED_VALUE"""),"")</f>
        <v/>
      </c>
      <c r="G1076" s="106" t="str">
        <f>IFERROR(__xludf.DUMMYFUNCTION("""COMPUTED_VALUE"""),"")</f>
        <v/>
      </c>
      <c r="I1076" s="136" t="str">
        <f>IFERROR(__xludf.DUMMYFUNCTION("""COMPUTED_VALUE"""),"")</f>
        <v/>
      </c>
      <c r="J1076" s="106" t="str">
        <f>IFERROR(__xludf.DUMMYFUNCTION("""COMPUTED_VALUE"""),"")</f>
        <v/>
      </c>
      <c r="L1076" s="136" t="str">
        <f>IFERROR(__xludf.DUMMYFUNCTION("""COMPUTED_VALUE"""),"")</f>
        <v/>
      </c>
      <c r="M1076" s="106" t="str">
        <f>IFERROR(__xludf.DUMMYFUNCTION("""COMPUTED_VALUE"""),"")</f>
        <v/>
      </c>
      <c r="O1076" s="136" t="str">
        <f>IFERROR(__xludf.DUMMYFUNCTION("""COMPUTED_VALUE"""),"")</f>
        <v/>
      </c>
      <c r="P1076" s="106" t="str">
        <f>IFERROR(__xludf.DUMMYFUNCTION("""COMPUTED_VALUE"""),"")</f>
        <v/>
      </c>
      <c r="R1076" s="136" t="str">
        <f>IFERROR(__xludf.DUMMYFUNCTION("""COMPUTED_VALUE"""),"")</f>
        <v/>
      </c>
      <c r="S1076" s="106" t="str">
        <f>IFERROR(__xludf.DUMMYFUNCTION("""COMPUTED_VALUE"""),"")</f>
        <v/>
      </c>
    </row>
    <row r="1077">
      <c r="A1077" s="136" t="s">
        <v>133</v>
      </c>
      <c r="B1077" s="136"/>
      <c r="C1077" s="136" t="s">
        <v>133</v>
      </c>
      <c r="D1077" s="136"/>
      <c r="E1077" s="106"/>
      <c r="F1077" s="136" t="str">
        <f>IFERROR(__xludf.DUMMYFUNCTION("""COMPUTED_VALUE"""),"")</f>
        <v/>
      </c>
      <c r="G1077" s="106" t="str">
        <f>IFERROR(__xludf.DUMMYFUNCTION("""COMPUTED_VALUE"""),"")</f>
        <v/>
      </c>
      <c r="I1077" s="136" t="str">
        <f>IFERROR(__xludf.DUMMYFUNCTION("""COMPUTED_VALUE"""),"")</f>
        <v/>
      </c>
      <c r="J1077" s="106" t="str">
        <f>IFERROR(__xludf.DUMMYFUNCTION("""COMPUTED_VALUE"""),"")</f>
        <v/>
      </c>
      <c r="L1077" s="136" t="str">
        <f>IFERROR(__xludf.DUMMYFUNCTION("""COMPUTED_VALUE"""),"")</f>
        <v/>
      </c>
      <c r="M1077" s="106" t="str">
        <f>IFERROR(__xludf.DUMMYFUNCTION("""COMPUTED_VALUE"""),"")</f>
        <v/>
      </c>
      <c r="O1077" s="136" t="str">
        <f>IFERROR(__xludf.DUMMYFUNCTION("""COMPUTED_VALUE"""),"")</f>
        <v/>
      </c>
      <c r="P1077" s="106" t="str">
        <f>IFERROR(__xludf.DUMMYFUNCTION("""COMPUTED_VALUE"""),"")</f>
        <v/>
      </c>
      <c r="R1077" s="136" t="str">
        <f>IFERROR(__xludf.DUMMYFUNCTION("""COMPUTED_VALUE"""),"")</f>
        <v/>
      </c>
      <c r="S1077" s="106" t="str">
        <f>IFERROR(__xludf.DUMMYFUNCTION("""COMPUTED_VALUE"""),"")</f>
        <v/>
      </c>
    </row>
    <row r="1078">
      <c r="A1078" s="136" t="s">
        <v>133</v>
      </c>
      <c r="B1078" s="136"/>
      <c r="C1078" s="136" t="s">
        <v>133</v>
      </c>
      <c r="D1078" s="136"/>
      <c r="E1078" s="106"/>
      <c r="F1078" s="136" t="str">
        <f>IFERROR(__xludf.DUMMYFUNCTION("""COMPUTED_VALUE"""),"")</f>
        <v/>
      </c>
      <c r="G1078" s="106" t="str">
        <f>IFERROR(__xludf.DUMMYFUNCTION("""COMPUTED_VALUE"""),"")</f>
        <v/>
      </c>
      <c r="I1078" s="136" t="str">
        <f>IFERROR(__xludf.DUMMYFUNCTION("""COMPUTED_VALUE"""),"")</f>
        <v/>
      </c>
      <c r="J1078" s="106" t="str">
        <f>IFERROR(__xludf.DUMMYFUNCTION("""COMPUTED_VALUE"""),"")</f>
        <v/>
      </c>
      <c r="L1078" s="136" t="str">
        <f>IFERROR(__xludf.DUMMYFUNCTION("""COMPUTED_VALUE"""),"")</f>
        <v/>
      </c>
      <c r="M1078" s="106" t="str">
        <f>IFERROR(__xludf.DUMMYFUNCTION("""COMPUTED_VALUE"""),"")</f>
        <v/>
      </c>
      <c r="O1078" s="136" t="str">
        <f>IFERROR(__xludf.DUMMYFUNCTION("""COMPUTED_VALUE"""),"")</f>
        <v/>
      </c>
      <c r="P1078" s="106" t="str">
        <f>IFERROR(__xludf.DUMMYFUNCTION("""COMPUTED_VALUE"""),"")</f>
        <v/>
      </c>
      <c r="R1078" s="136" t="str">
        <f>IFERROR(__xludf.DUMMYFUNCTION("""COMPUTED_VALUE"""),"")</f>
        <v/>
      </c>
      <c r="S1078" s="106" t="str">
        <f>IFERROR(__xludf.DUMMYFUNCTION("""COMPUTED_VALUE"""),"")</f>
        <v/>
      </c>
    </row>
    <row r="1079">
      <c r="A1079" s="136" t="s">
        <v>133</v>
      </c>
      <c r="B1079" s="136"/>
      <c r="C1079" s="136" t="s">
        <v>133</v>
      </c>
      <c r="D1079" s="136"/>
      <c r="E1079" s="106"/>
      <c r="F1079" s="136" t="str">
        <f>IFERROR(__xludf.DUMMYFUNCTION("""COMPUTED_VALUE"""),"")</f>
        <v/>
      </c>
      <c r="G1079" s="106" t="str">
        <f>IFERROR(__xludf.DUMMYFUNCTION("""COMPUTED_VALUE"""),"")</f>
        <v/>
      </c>
      <c r="I1079" s="136" t="str">
        <f>IFERROR(__xludf.DUMMYFUNCTION("""COMPUTED_VALUE"""),"")</f>
        <v/>
      </c>
      <c r="J1079" s="106" t="str">
        <f>IFERROR(__xludf.DUMMYFUNCTION("""COMPUTED_VALUE"""),"")</f>
        <v/>
      </c>
      <c r="L1079" s="136" t="str">
        <f>IFERROR(__xludf.DUMMYFUNCTION("""COMPUTED_VALUE"""),"")</f>
        <v/>
      </c>
      <c r="M1079" s="106" t="str">
        <f>IFERROR(__xludf.DUMMYFUNCTION("""COMPUTED_VALUE"""),"")</f>
        <v/>
      </c>
      <c r="O1079" s="136" t="str">
        <f>IFERROR(__xludf.DUMMYFUNCTION("""COMPUTED_VALUE"""),"")</f>
        <v/>
      </c>
      <c r="P1079" s="106" t="str">
        <f>IFERROR(__xludf.DUMMYFUNCTION("""COMPUTED_VALUE"""),"")</f>
        <v/>
      </c>
      <c r="R1079" s="136" t="str">
        <f>IFERROR(__xludf.DUMMYFUNCTION("""COMPUTED_VALUE"""),"")</f>
        <v/>
      </c>
      <c r="S1079" s="106" t="str">
        <f>IFERROR(__xludf.DUMMYFUNCTION("""COMPUTED_VALUE"""),"")</f>
        <v/>
      </c>
    </row>
    <row r="1080">
      <c r="A1080" s="136" t="s">
        <v>133</v>
      </c>
      <c r="B1080" s="136"/>
      <c r="C1080" s="136" t="s">
        <v>133</v>
      </c>
      <c r="D1080" s="136"/>
      <c r="E1080" s="106"/>
      <c r="F1080" s="136" t="str">
        <f>IFERROR(__xludf.DUMMYFUNCTION("""COMPUTED_VALUE"""),"")</f>
        <v/>
      </c>
      <c r="G1080" s="106" t="str">
        <f>IFERROR(__xludf.DUMMYFUNCTION("""COMPUTED_VALUE"""),"")</f>
        <v/>
      </c>
      <c r="I1080" s="136" t="str">
        <f>IFERROR(__xludf.DUMMYFUNCTION("""COMPUTED_VALUE"""),"")</f>
        <v/>
      </c>
      <c r="J1080" s="106" t="str">
        <f>IFERROR(__xludf.DUMMYFUNCTION("""COMPUTED_VALUE"""),"")</f>
        <v/>
      </c>
      <c r="L1080" s="136" t="str">
        <f>IFERROR(__xludf.DUMMYFUNCTION("""COMPUTED_VALUE"""),"")</f>
        <v/>
      </c>
      <c r="M1080" s="106" t="str">
        <f>IFERROR(__xludf.DUMMYFUNCTION("""COMPUTED_VALUE"""),"")</f>
        <v/>
      </c>
      <c r="O1080" s="136" t="str">
        <f>IFERROR(__xludf.DUMMYFUNCTION("""COMPUTED_VALUE"""),"")</f>
        <v/>
      </c>
      <c r="P1080" s="106" t="str">
        <f>IFERROR(__xludf.DUMMYFUNCTION("""COMPUTED_VALUE"""),"")</f>
        <v/>
      </c>
      <c r="R1080" s="136" t="str">
        <f>IFERROR(__xludf.DUMMYFUNCTION("""COMPUTED_VALUE"""),"")</f>
        <v/>
      </c>
      <c r="S1080" s="106" t="str">
        <f>IFERROR(__xludf.DUMMYFUNCTION("""COMPUTED_VALUE"""),"")</f>
        <v/>
      </c>
    </row>
    <row r="1081">
      <c r="A1081" s="136" t="s">
        <v>133</v>
      </c>
      <c r="B1081" s="136"/>
      <c r="C1081" s="136" t="s">
        <v>133</v>
      </c>
      <c r="D1081" s="136"/>
      <c r="E1081" s="106"/>
      <c r="F1081" s="136" t="str">
        <f>IFERROR(__xludf.DUMMYFUNCTION("""COMPUTED_VALUE"""),"")</f>
        <v/>
      </c>
      <c r="G1081" s="106" t="str">
        <f>IFERROR(__xludf.DUMMYFUNCTION("""COMPUTED_VALUE"""),"")</f>
        <v/>
      </c>
      <c r="I1081" s="136" t="str">
        <f>IFERROR(__xludf.DUMMYFUNCTION("""COMPUTED_VALUE"""),"")</f>
        <v/>
      </c>
      <c r="J1081" s="106" t="str">
        <f>IFERROR(__xludf.DUMMYFUNCTION("""COMPUTED_VALUE"""),"")</f>
        <v/>
      </c>
      <c r="L1081" s="136" t="str">
        <f>IFERROR(__xludf.DUMMYFUNCTION("""COMPUTED_VALUE"""),"")</f>
        <v/>
      </c>
      <c r="M1081" s="106" t="str">
        <f>IFERROR(__xludf.DUMMYFUNCTION("""COMPUTED_VALUE"""),"")</f>
        <v/>
      </c>
      <c r="O1081" s="136" t="str">
        <f>IFERROR(__xludf.DUMMYFUNCTION("""COMPUTED_VALUE"""),"")</f>
        <v/>
      </c>
      <c r="P1081" s="106" t="str">
        <f>IFERROR(__xludf.DUMMYFUNCTION("""COMPUTED_VALUE"""),"")</f>
        <v/>
      </c>
      <c r="R1081" s="136" t="str">
        <f>IFERROR(__xludf.DUMMYFUNCTION("""COMPUTED_VALUE"""),"")</f>
        <v/>
      </c>
      <c r="S1081" s="106" t="str">
        <f>IFERROR(__xludf.DUMMYFUNCTION("""COMPUTED_VALUE"""),"")</f>
        <v/>
      </c>
    </row>
    <row r="1082">
      <c r="A1082" s="136" t="s">
        <v>133</v>
      </c>
      <c r="B1082" s="136"/>
      <c r="C1082" s="136" t="s">
        <v>133</v>
      </c>
      <c r="D1082" s="136"/>
      <c r="E1082" s="106"/>
      <c r="F1082" s="136" t="str">
        <f>IFERROR(__xludf.DUMMYFUNCTION("""COMPUTED_VALUE"""),"")</f>
        <v/>
      </c>
      <c r="G1082" s="106" t="str">
        <f>IFERROR(__xludf.DUMMYFUNCTION("""COMPUTED_VALUE"""),"")</f>
        <v/>
      </c>
      <c r="I1082" s="136" t="str">
        <f>IFERROR(__xludf.DUMMYFUNCTION("""COMPUTED_VALUE"""),"")</f>
        <v/>
      </c>
      <c r="J1082" s="106" t="str">
        <f>IFERROR(__xludf.DUMMYFUNCTION("""COMPUTED_VALUE"""),"")</f>
        <v/>
      </c>
      <c r="L1082" s="136" t="str">
        <f>IFERROR(__xludf.DUMMYFUNCTION("""COMPUTED_VALUE"""),"")</f>
        <v/>
      </c>
      <c r="M1082" s="106" t="str">
        <f>IFERROR(__xludf.DUMMYFUNCTION("""COMPUTED_VALUE"""),"")</f>
        <v/>
      </c>
      <c r="O1082" s="136" t="str">
        <f>IFERROR(__xludf.DUMMYFUNCTION("""COMPUTED_VALUE"""),"")</f>
        <v/>
      </c>
      <c r="P1082" s="106" t="str">
        <f>IFERROR(__xludf.DUMMYFUNCTION("""COMPUTED_VALUE"""),"")</f>
        <v/>
      </c>
      <c r="R1082" s="136" t="str">
        <f>IFERROR(__xludf.DUMMYFUNCTION("""COMPUTED_VALUE"""),"")</f>
        <v/>
      </c>
      <c r="S1082" s="106" t="str">
        <f>IFERROR(__xludf.DUMMYFUNCTION("""COMPUTED_VALUE"""),"")</f>
        <v/>
      </c>
    </row>
    <row r="1083">
      <c r="A1083" s="136" t="s">
        <v>133</v>
      </c>
      <c r="B1083" s="136"/>
      <c r="C1083" s="136" t="s">
        <v>133</v>
      </c>
      <c r="D1083" s="136"/>
      <c r="E1083" s="106"/>
      <c r="F1083" s="136" t="str">
        <f>IFERROR(__xludf.DUMMYFUNCTION("""COMPUTED_VALUE"""),"")</f>
        <v/>
      </c>
      <c r="G1083" s="106" t="str">
        <f>IFERROR(__xludf.DUMMYFUNCTION("""COMPUTED_VALUE"""),"")</f>
        <v/>
      </c>
      <c r="I1083" s="136" t="str">
        <f>IFERROR(__xludf.DUMMYFUNCTION("""COMPUTED_VALUE"""),"")</f>
        <v/>
      </c>
      <c r="J1083" s="106" t="str">
        <f>IFERROR(__xludf.DUMMYFUNCTION("""COMPUTED_VALUE"""),"")</f>
        <v/>
      </c>
      <c r="L1083" s="136" t="str">
        <f>IFERROR(__xludf.DUMMYFUNCTION("""COMPUTED_VALUE"""),"")</f>
        <v/>
      </c>
      <c r="M1083" s="106" t="str">
        <f>IFERROR(__xludf.DUMMYFUNCTION("""COMPUTED_VALUE"""),"")</f>
        <v/>
      </c>
      <c r="O1083" s="136" t="str">
        <f>IFERROR(__xludf.DUMMYFUNCTION("""COMPUTED_VALUE"""),"")</f>
        <v/>
      </c>
      <c r="P1083" s="106" t="str">
        <f>IFERROR(__xludf.DUMMYFUNCTION("""COMPUTED_VALUE"""),"")</f>
        <v/>
      </c>
      <c r="R1083" s="136" t="str">
        <f>IFERROR(__xludf.DUMMYFUNCTION("""COMPUTED_VALUE"""),"")</f>
        <v/>
      </c>
      <c r="S1083" s="106" t="str">
        <f>IFERROR(__xludf.DUMMYFUNCTION("""COMPUTED_VALUE"""),"")</f>
        <v/>
      </c>
    </row>
    <row r="1084">
      <c r="A1084" s="136" t="s">
        <v>133</v>
      </c>
      <c r="B1084" s="136"/>
      <c r="C1084" s="136" t="s">
        <v>133</v>
      </c>
      <c r="D1084" s="136"/>
      <c r="E1084" s="106"/>
      <c r="F1084" s="136" t="str">
        <f>IFERROR(__xludf.DUMMYFUNCTION("""COMPUTED_VALUE"""),"")</f>
        <v/>
      </c>
      <c r="G1084" s="106" t="str">
        <f>IFERROR(__xludf.DUMMYFUNCTION("""COMPUTED_VALUE"""),"")</f>
        <v/>
      </c>
      <c r="I1084" s="136" t="str">
        <f>IFERROR(__xludf.DUMMYFUNCTION("""COMPUTED_VALUE"""),"")</f>
        <v/>
      </c>
      <c r="J1084" s="106" t="str">
        <f>IFERROR(__xludf.DUMMYFUNCTION("""COMPUTED_VALUE"""),"")</f>
        <v/>
      </c>
      <c r="L1084" s="136" t="str">
        <f>IFERROR(__xludf.DUMMYFUNCTION("""COMPUTED_VALUE"""),"")</f>
        <v/>
      </c>
      <c r="M1084" s="106" t="str">
        <f>IFERROR(__xludf.DUMMYFUNCTION("""COMPUTED_VALUE"""),"")</f>
        <v/>
      </c>
      <c r="O1084" s="136" t="str">
        <f>IFERROR(__xludf.DUMMYFUNCTION("""COMPUTED_VALUE"""),"")</f>
        <v/>
      </c>
      <c r="P1084" s="106" t="str">
        <f>IFERROR(__xludf.DUMMYFUNCTION("""COMPUTED_VALUE"""),"")</f>
        <v/>
      </c>
      <c r="R1084" s="136" t="str">
        <f>IFERROR(__xludf.DUMMYFUNCTION("""COMPUTED_VALUE"""),"")</f>
        <v/>
      </c>
      <c r="S1084" s="106" t="str">
        <f>IFERROR(__xludf.DUMMYFUNCTION("""COMPUTED_VALUE"""),"")</f>
        <v/>
      </c>
    </row>
    <row r="1085">
      <c r="A1085" s="136" t="s">
        <v>133</v>
      </c>
      <c r="B1085" s="136"/>
      <c r="C1085" s="136" t="s">
        <v>133</v>
      </c>
      <c r="D1085" s="136"/>
      <c r="E1085" s="106"/>
      <c r="F1085" s="136" t="str">
        <f>IFERROR(__xludf.DUMMYFUNCTION("""COMPUTED_VALUE"""),"")</f>
        <v/>
      </c>
      <c r="G1085" s="106" t="str">
        <f>IFERROR(__xludf.DUMMYFUNCTION("""COMPUTED_VALUE"""),"")</f>
        <v/>
      </c>
      <c r="I1085" s="136" t="str">
        <f>IFERROR(__xludf.DUMMYFUNCTION("""COMPUTED_VALUE"""),"")</f>
        <v/>
      </c>
      <c r="J1085" s="106" t="str">
        <f>IFERROR(__xludf.DUMMYFUNCTION("""COMPUTED_VALUE"""),"")</f>
        <v/>
      </c>
      <c r="L1085" s="136" t="str">
        <f>IFERROR(__xludf.DUMMYFUNCTION("""COMPUTED_VALUE"""),"")</f>
        <v/>
      </c>
      <c r="M1085" s="106" t="str">
        <f>IFERROR(__xludf.DUMMYFUNCTION("""COMPUTED_VALUE"""),"")</f>
        <v/>
      </c>
      <c r="O1085" s="136" t="str">
        <f>IFERROR(__xludf.DUMMYFUNCTION("""COMPUTED_VALUE"""),"")</f>
        <v/>
      </c>
      <c r="P1085" s="106" t="str">
        <f>IFERROR(__xludf.DUMMYFUNCTION("""COMPUTED_VALUE"""),"")</f>
        <v/>
      </c>
      <c r="R1085" s="136" t="str">
        <f>IFERROR(__xludf.DUMMYFUNCTION("""COMPUTED_VALUE"""),"")</f>
        <v/>
      </c>
      <c r="S1085" s="106" t="str">
        <f>IFERROR(__xludf.DUMMYFUNCTION("""COMPUTED_VALUE"""),"")</f>
        <v/>
      </c>
    </row>
    <row r="1086">
      <c r="A1086" s="136" t="s">
        <v>133</v>
      </c>
      <c r="B1086" s="136"/>
      <c r="C1086" s="136" t="s">
        <v>133</v>
      </c>
      <c r="D1086" s="136"/>
      <c r="E1086" s="106"/>
      <c r="F1086" s="136" t="str">
        <f>IFERROR(__xludf.DUMMYFUNCTION("""COMPUTED_VALUE"""),"")</f>
        <v/>
      </c>
      <c r="G1086" s="106"/>
      <c r="J1086" s="106"/>
      <c r="M1086" s="106"/>
      <c r="P1086" s="106"/>
      <c r="S1086" s="106"/>
    </row>
    <row r="1087">
      <c r="A1087" s="136" t="s">
        <v>133</v>
      </c>
      <c r="B1087" s="136"/>
      <c r="C1087" s="136" t="s">
        <v>133</v>
      </c>
      <c r="D1087" s="136"/>
      <c r="E1087" s="106"/>
      <c r="F1087" s="136" t="str">
        <f>IFERROR(__xludf.DUMMYFUNCTION("""COMPUTED_VALUE"""),"")</f>
        <v/>
      </c>
      <c r="G1087" s="106"/>
      <c r="J1087" s="106"/>
      <c r="M1087" s="106"/>
      <c r="P1087" s="106"/>
      <c r="S1087" s="106"/>
    </row>
    <row r="1088">
      <c r="A1088" s="136" t="s">
        <v>133</v>
      </c>
      <c r="B1088" s="136"/>
      <c r="C1088" s="136" t="s">
        <v>133</v>
      </c>
      <c r="D1088" s="136"/>
      <c r="E1088" s="106"/>
      <c r="F1088" s="136" t="str">
        <f>IFERROR(__xludf.DUMMYFUNCTION("""COMPUTED_VALUE"""),"")</f>
        <v/>
      </c>
      <c r="G1088" s="106"/>
      <c r="J1088" s="106"/>
      <c r="M1088" s="106"/>
      <c r="P1088" s="106"/>
      <c r="S1088" s="106"/>
    </row>
    <row r="1089">
      <c r="A1089" s="136" t="s">
        <v>133</v>
      </c>
      <c r="B1089" s="136"/>
      <c r="C1089" s="136" t="s">
        <v>133</v>
      </c>
      <c r="D1089" s="136"/>
      <c r="E1089" s="106"/>
      <c r="F1089" s="136" t="str">
        <f>IFERROR(__xludf.DUMMYFUNCTION("""COMPUTED_VALUE"""),"")</f>
        <v/>
      </c>
      <c r="G1089" s="106"/>
      <c r="J1089" s="106"/>
      <c r="M1089" s="106"/>
      <c r="P1089" s="106"/>
      <c r="S1089" s="106"/>
    </row>
    <row r="1090">
      <c r="A1090" s="136" t="s">
        <v>133</v>
      </c>
      <c r="B1090" s="136"/>
      <c r="C1090" s="136" t="s">
        <v>133</v>
      </c>
      <c r="D1090" s="136"/>
      <c r="E1090" s="106"/>
      <c r="G1090" s="106"/>
      <c r="J1090" s="106"/>
      <c r="M1090" s="106"/>
      <c r="P1090" s="106"/>
      <c r="S1090" s="106"/>
    </row>
    <row r="1091">
      <c r="A1091" s="136" t="s">
        <v>133</v>
      </c>
      <c r="B1091" s="136"/>
      <c r="C1091" s="136" t="s">
        <v>133</v>
      </c>
      <c r="D1091" s="136"/>
      <c r="E1091" s="106"/>
      <c r="G1091" s="106"/>
      <c r="J1091" s="106"/>
      <c r="M1091" s="106"/>
      <c r="P1091" s="106"/>
      <c r="S1091" s="106"/>
    </row>
    <row r="1092">
      <c r="A1092" s="136" t="s">
        <v>133</v>
      </c>
      <c r="B1092" s="136"/>
      <c r="C1092" s="136" t="s">
        <v>133</v>
      </c>
      <c r="D1092" s="136"/>
      <c r="E1092" s="106"/>
      <c r="G1092" s="106"/>
      <c r="J1092" s="106"/>
      <c r="M1092" s="106"/>
      <c r="P1092" s="106"/>
      <c r="S1092" s="106"/>
    </row>
    <row r="1093">
      <c r="A1093" s="136" t="s">
        <v>133</v>
      </c>
      <c r="B1093" s="136"/>
      <c r="C1093" s="136" t="s">
        <v>133</v>
      </c>
      <c r="D1093" s="136"/>
      <c r="E1093" s="106"/>
      <c r="G1093" s="106"/>
      <c r="J1093" s="106"/>
      <c r="M1093" s="106"/>
      <c r="P1093" s="106"/>
      <c r="S1093" s="106"/>
    </row>
    <row r="1094">
      <c r="A1094" s="136" t="s">
        <v>133</v>
      </c>
      <c r="B1094" s="136"/>
      <c r="C1094" s="136" t="s">
        <v>133</v>
      </c>
      <c r="D1094" s="136"/>
      <c r="E1094" s="106"/>
      <c r="G1094" s="106"/>
      <c r="J1094" s="106"/>
      <c r="M1094" s="106"/>
      <c r="P1094" s="106"/>
      <c r="S1094" s="106"/>
    </row>
    <row r="1095">
      <c r="A1095" s="136" t="s">
        <v>133</v>
      </c>
      <c r="B1095" s="136"/>
      <c r="C1095" s="136" t="s">
        <v>133</v>
      </c>
      <c r="D1095" s="136"/>
      <c r="E1095" s="106"/>
      <c r="G1095" s="106"/>
      <c r="J1095" s="106"/>
      <c r="M1095" s="106"/>
      <c r="P1095" s="106"/>
      <c r="S1095" s="106"/>
    </row>
    <row r="1096">
      <c r="A1096" s="136" t="s">
        <v>133</v>
      </c>
      <c r="B1096" s="136"/>
      <c r="C1096" s="136" t="s">
        <v>133</v>
      </c>
      <c r="D1096" s="136"/>
      <c r="E1096" s="106"/>
      <c r="G1096" s="106"/>
      <c r="J1096" s="106"/>
      <c r="M1096" s="106"/>
      <c r="P1096" s="106"/>
      <c r="S1096" s="106"/>
    </row>
    <row r="1097">
      <c r="A1097" s="136" t="s">
        <v>133</v>
      </c>
      <c r="B1097" s="136"/>
      <c r="C1097" s="136" t="s">
        <v>133</v>
      </c>
      <c r="D1097" s="136"/>
      <c r="E1097" s="106"/>
      <c r="G1097" s="106"/>
      <c r="J1097" s="106"/>
      <c r="M1097" s="106"/>
      <c r="P1097" s="106"/>
      <c r="S1097" s="106"/>
    </row>
    <row r="1098">
      <c r="A1098" s="136" t="s">
        <v>133</v>
      </c>
      <c r="B1098" s="136"/>
      <c r="C1098" s="136" t="s">
        <v>133</v>
      </c>
      <c r="D1098" s="136"/>
      <c r="E1098" s="106"/>
      <c r="G1098" s="106"/>
      <c r="J1098" s="106"/>
      <c r="M1098" s="106"/>
      <c r="P1098" s="106"/>
      <c r="S1098" s="106"/>
    </row>
    <row r="1099">
      <c r="A1099" s="136" t="s">
        <v>133</v>
      </c>
      <c r="B1099" s="136"/>
      <c r="C1099" s="136" t="s">
        <v>133</v>
      </c>
      <c r="D1099" s="136"/>
      <c r="E1099" s="106"/>
      <c r="G1099" s="106"/>
      <c r="J1099" s="106"/>
      <c r="M1099" s="106"/>
      <c r="P1099" s="106"/>
      <c r="S1099" s="106"/>
    </row>
    <row r="1100">
      <c r="G1100" s="106"/>
      <c r="J1100" s="106"/>
      <c r="M1100" s="106"/>
      <c r="P1100" s="106"/>
      <c r="S1100" s="106"/>
    </row>
    <row r="1101">
      <c r="G1101" s="106"/>
      <c r="J1101" s="106"/>
      <c r="M1101" s="106"/>
      <c r="P1101" s="106"/>
      <c r="S1101" s="106"/>
    </row>
    <row r="1102">
      <c r="G1102" s="106"/>
      <c r="J1102" s="106"/>
      <c r="M1102" s="106"/>
      <c r="P1102" s="106"/>
      <c r="S1102" s="106"/>
    </row>
    <row r="1103">
      <c r="G1103" s="106"/>
      <c r="J1103" s="106"/>
      <c r="M1103" s="106"/>
      <c r="P1103" s="106"/>
      <c r="S1103" s="106"/>
    </row>
    <row r="1104">
      <c r="G1104" s="106"/>
      <c r="J1104" s="106"/>
      <c r="M1104" s="106"/>
      <c r="P1104" s="106"/>
      <c r="S1104" s="106"/>
    </row>
    <row r="1105">
      <c r="G1105" s="106"/>
      <c r="J1105" s="106"/>
      <c r="M1105" s="106"/>
      <c r="P1105" s="106"/>
      <c r="S1105" s="106"/>
    </row>
    <row r="1106">
      <c r="G1106" s="106"/>
      <c r="J1106" s="106"/>
      <c r="M1106" s="106"/>
      <c r="P1106" s="106"/>
      <c r="S1106" s="106"/>
    </row>
    <row r="1107">
      <c r="G1107" s="106"/>
      <c r="J1107" s="106"/>
      <c r="M1107" s="106"/>
      <c r="P1107" s="106"/>
      <c r="S1107" s="106"/>
    </row>
    <row r="1108">
      <c r="G1108" s="106"/>
      <c r="J1108" s="106"/>
      <c r="M1108" s="106"/>
      <c r="P1108" s="106"/>
      <c r="S1108" s="106"/>
    </row>
    <row r="1109">
      <c r="G1109" s="106"/>
      <c r="J1109" s="106"/>
      <c r="M1109" s="106"/>
      <c r="P1109" s="106"/>
      <c r="S1109" s="106"/>
    </row>
    <row r="1110">
      <c r="G1110" s="106"/>
      <c r="J1110" s="106"/>
      <c r="M1110" s="106"/>
      <c r="P1110" s="106"/>
      <c r="S1110" s="106"/>
    </row>
    <row r="1111">
      <c r="G1111" s="106"/>
      <c r="J1111" s="106"/>
      <c r="M1111" s="106"/>
      <c r="P1111" s="106"/>
      <c r="S1111" s="106"/>
    </row>
    <row r="1112">
      <c r="G1112" s="106"/>
      <c r="J1112" s="106"/>
      <c r="M1112" s="106"/>
      <c r="P1112" s="106"/>
      <c r="S1112" s="106"/>
    </row>
    <row r="1113">
      <c r="G1113" s="106"/>
      <c r="J1113" s="106"/>
      <c r="M1113" s="106"/>
      <c r="P1113" s="106"/>
      <c r="S1113" s="106"/>
    </row>
    <row r="1114">
      <c r="G1114" s="106"/>
      <c r="J1114" s="106"/>
      <c r="M1114" s="106"/>
      <c r="P1114" s="106"/>
      <c r="S1114" s="106"/>
    </row>
    <row r="1115">
      <c r="G1115" s="106"/>
      <c r="J1115" s="106"/>
      <c r="M1115" s="106"/>
      <c r="P1115" s="106"/>
      <c r="S1115" s="106"/>
    </row>
    <row r="1116">
      <c r="G1116" s="106"/>
      <c r="J1116" s="106"/>
      <c r="M1116" s="106"/>
      <c r="P1116" s="106"/>
      <c r="S1116" s="106"/>
    </row>
    <row r="1117">
      <c r="G1117" s="106"/>
      <c r="J1117" s="106"/>
      <c r="M1117" s="106"/>
      <c r="P1117" s="106"/>
      <c r="S1117" s="106"/>
    </row>
    <row r="1118">
      <c r="G1118" s="106"/>
      <c r="J1118" s="106"/>
      <c r="M1118" s="106"/>
      <c r="P1118" s="106"/>
      <c r="S1118" s="106"/>
    </row>
    <row r="1119">
      <c r="G1119" s="106"/>
      <c r="J1119" s="106"/>
      <c r="M1119" s="106"/>
      <c r="P1119" s="106"/>
      <c r="S1119" s="106"/>
    </row>
    <row r="1120">
      <c r="G1120" s="106"/>
      <c r="J1120" s="106"/>
      <c r="M1120" s="106"/>
      <c r="P1120" s="106"/>
      <c r="S1120" s="106"/>
    </row>
    <row r="1121">
      <c r="G1121" s="106"/>
      <c r="J1121" s="106"/>
      <c r="M1121" s="106"/>
      <c r="P1121" s="106"/>
      <c r="S1121" s="106"/>
    </row>
    <row r="1122">
      <c r="G1122" s="106"/>
      <c r="J1122" s="106"/>
      <c r="M1122" s="106"/>
      <c r="P1122" s="106"/>
      <c r="S1122" s="106"/>
    </row>
    <row r="1123">
      <c r="G1123" s="106"/>
      <c r="J1123" s="106"/>
      <c r="M1123" s="106"/>
      <c r="P1123" s="106"/>
      <c r="S1123" s="106"/>
    </row>
    <row r="1124">
      <c r="G1124" s="106"/>
      <c r="J1124" s="106"/>
      <c r="M1124" s="106"/>
      <c r="P1124" s="106"/>
      <c r="S1124" s="106"/>
    </row>
    <row r="1125">
      <c r="G1125" s="106"/>
      <c r="J1125" s="106"/>
      <c r="M1125" s="106"/>
      <c r="P1125" s="106"/>
      <c r="S1125" s="106"/>
    </row>
    <row r="1126">
      <c r="G1126" s="106"/>
      <c r="J1126" s="106"/>
      <c r="M1126" s="106"/>
      <c r="P1126" s="106"/>
      <c r="S1126" s="106"/>
    </row>
    <row r="1127">
      <c r="G1127" s="106"/>
      <c r="J1127" s="106"/>
      <c r="M1127" s="106"/>
      <c r="P1127" s="106"/>
      <c r="S1127" s="106"/>
    </row>
    <row r="1128">
      <c r="G1128" s="106"/>
      <c r="J1128" s="106"/>
      <c r="M1128" s="106"/>
      <c r="P1128" s="106"/>
      <c r="S1128" s="106"/>
    </row>
    <row r="1129">
      <c r="G1129" s="106"/>
      <c r="J1129" s="106"/>
      <c r="M1129" s="106"/>
      <c r="P1129" s="106"/>
      <c r="S1129" s="106"/>
    </row>
    <row r="1130">
      <c r="G1130" s="106"/>
      <c r="J1130" s="106"/>
      <c r="M1130" s="106"/>
      <c r="P1130" s="106"/>
      <c r="S1130" s="106"/>
    </row>
    <row r="1131">
      <c r="G1131" s="106"/>
      <c r="J1131" s="106"/>
      <c r="M1131" s="106"/>
      <c r="P1131" s="106"/>
      <c r="S1131" s="106"/>
    </row>
    <row r="1132">
      <c r="G1132" s="106"/>
      <c r="J1132" s="106"/>
      <c r="M1132" s="106"/>
      <c r="P1132" s="106"/>
      <c r="S1132" s="106"/>
    </row>
    <row r="1133">
      <c r="G1133" s="106"/>
      <c r="J1133" s="106"/>
      <c r="M1133" s="106"/>
      <c r="P1133" s="106"/>
      <c r="S1133" s="106"/>
    </row>
    <row r="1134">
      <c r="G1134" s="106"/>
      <c r="J1134" s="106"/>
      <c r="M1134" s="106"/>
      <c r="P1134" s="106"/>
      <c r="S1134" s="106"/>
    </row>
    <row r="1135">
      <c r="G1135" s="106"/>
      <c r="J1135" s="106"/>
      <c r="M1135" s="106"/>
      <c r="P1135" s="106"/>
      <c r="S1135" s="106"/>
    </row>
    <row r="1136">
      <c r="G1136" s="106"/>
      <c r="J1136" s="106"/>
      <c r="M1136" s="106"/>
      <c r="P1136" s="106"/>
      <c r="S1136" s="106"/>
    </row>
    <row r="1137">
      <c r="G1137" s="106"/>
      <c r="J1137" s="106"/>
      <c r="M1137" s="106"/>
      <c r="P1137" s="106"/>
      <c r="S1137" s="106"/>
    </row>
    <row r="1138">
      <c r="G1138" s="106"/>
      <c r="J1138" s="106"/>
      <c r="M1138" s="106"/>
      <c r="P1138" s="106"/>
      <c r="S1138" s="106"/>
    </row>
    <row r="1139">
      <c r="G1139" s="106"/>
      <c r="J1139" s="106"/>
      <c r="M1139" s="106"/>
      <c r="P1139" s="106"/>
      <c r="S1139" s="106"/>
    </row>
    <row r="1140">
      <c r="G1140" s="106"/>
      <c r="J1140" s="106"/>
      <c r="M1140" s="106"/>
      <c r="P1140" s="106"/>
      <c r="S1140" s="106"/>
    </row>
    <row r="1141">
      <c r="G1141" s="106"/>
      <c r="J1141" s="106"/>
      <c r="M1141" s="106"/>
      <c r="P1141" s="106"/>
      <c r="S1141" s="106"/>
    </row>
    <row r="1142">
      <c r="G1142" s="106"/>
      <c r="J1142" s="106"/>
      <c r="M1142" s="106"/>
      <c r="P1142" s="106"/>
      <c r="S1142" s="106"/>
    </row>
    <row r="1143">
      <c r="G1143" s="106"/>
      <c r="J1143" s="106"/>
      <c r="M1143" s="106"/>
      <c r="P1143" s="106"/>
      <c r="S1143" s="106"/>
    </row>
    <row r="1144">
      <c r="G1144" s="106"/>
      <c r="J1144" s="106"/>
      <c r="M1144" s="106"/>
      <c r="P1144" s="106"/>
      <c r="S1144" s="106"/>
    </row>
    <row r="1145">
      <c r="G1145" s="106"/>
      <c r="J1145" s="106"/>
      <c r="M1145" s="106"/>
      <c r="P1145" s="106"/>
      <c r="S1145" s="106"/>
    </row>
    <row r="1146">
      <c r="G1146" s="106"/>
      <c r="J1146" s="106"/>
      <c r="M1146" s="106"/>
      <c r="P1146" s="106"/>
      <c r="S1146" s="106"/>
    </row>
    <row r="1147">
      <c r="G1147" s="106"/>
      <c r="J1147" s="106"/>
      <c r="M1147" s="106"/>
      <c r="P1147" s="106"/>
      <c r="S1147" s="106"/>
    </row>
    <row r="1148">
      <c r="G1148" s="106"/>
      <c r="J1148" s="106"/>
      <c r="M1148" s="106"/>
      <c r="P1148" s="106"/>
      <c r="S1148" s="106"/>
    </row>
    <row r="1149">
      <c r="G1149" s="106"/>
      <c r="J1149" s="106"/>
      <c r="M1149" s="106"/>
      <c r="P1149" s="106"/>
      <c r="S1149" s="106"/>
    </row>
    <row r="1150">
      <c r="G1150" s="106"/>
      <c r="J1150" s="106"/>
      <c r="M1150" s="106"/>
      <c r="P1150" s="106"/>
      <c r="S1150" s="106"/>
    </row>
    <row r="1151">
      <c r="G1151" s="106"/>
      <c r="J1151" s="106"/>
      <c r="M1151" s="106"/>
      <c r="P1151" s="106"/>
      <c r="S1151" s="106"/>
    </row>
    <row r="1152">
      <c r="G1152" s="106"/>
      <c r="J1152" s="106"/>
      <c r="M1152" s="106"/>
      <c r="P1152" s="106"/>
      <c r="S1152" s="106"/>
    </row>
    <row r="1153">
      <c r="G1153" s="106"/>
      <c r="J1153" s="106"/>
      <c r="M1153" s="106"/>
      <c r="P1153" s="106"/>
      <c r="S1153" s="106"/>
    </row>
    <row r="1154">
      <c r="G1154" s="106"/>
      <c r="J1154" s="106"/>
      <c r="M1154" s="106"/>
      <c r="P1154" s="106"/>
      <c r="S1154" s="106"/>
    </row>
    <row r="1155">
      <c r="G1155" s="106"/>
      <c r="J1155" s="106"/>
      <c r="M1155" s="106"/>
      <c r="P1155" s="106"/>
      <c r="S1155" s="106"/>
    </row>
    <row r="1156">
      <c r="G1156" s="106"/>
      <c r="J1156" s="106"/>
      <c r="M1156" s="106"/>
      <c r="P1156" s="106"/>
      <c r="S1156" s="106"/>
    </row>
    <row r="1157">
      <c r="G1157" s="106"/>
      <c r="J1157" s="106"/>
      <c r="M1157" s="106"/>
      <c r="P1157" s="106"/>
      <c r="S1157" s="106"/>
    </row>
    <row r="1158">
      <c r="G1158" s="106"/>
      <c r="J1158" s="106"/>
      <c r="M1158" s="106"/>
      <c r="P1158" s="106"/>
      <c r="S1158" s="106"/>
    </row>
    <row r="1159">
      <c r="G1159" s="106"/>
      <c r="J1159" s="106"/>
      <c r="M1159" s="106"/>
      <c r="P1159" s="106"/>
      <c r="S1159" s="106"/>
    </row>
    <row r="1160">
      <c r="G1160" s="106"/>
      <c r="J1160" s="106"/>
      <c r="M1160" s="106"/>
      <c r="P1160" s="106"/>
      <c r="S1160" s="106"/>
    </row>
    <row r="1161">
      <c r="G1161" s="106"/>
      <c r="J1161" s="106"/>
      <c r="M1161" s="106"/>
      <c r="P1161" s="106"/>
      <c r="S1161" s="106"/>
    </row>
    <row r="1162">
      <c r="G1162" s="106"/>
      <c r="J1162" s="106"/>
      <c r="M1162" s="106"/>
      <c r="P1162" s="106"/>
      <c r="S1162" s="106"/>
    </row>
    <row r="1163">
      <c r="G1163" s="106"/>
      <c r="J1163" s="106"/>
      <c r="M1163" s="106"/>
      <c r="P1163" s="106"/>
      <c r="S1163" s="106"/>
    </row>
    <row r="1164">
      <c r="G1164" s="106"/>
      <c r="J1164" s="106"/>
      <c r="M1164" s="106"/>
      <c r="P1164" s="106"/>
      <c r="S1164" s="106"/>
    </row>
    <row r="1165">
      <c r="G1165" s="106"/>
      <c r="J1165" s="106"/>
      <c r="M1165" s="106"/>
      <c r="P1165" s="106"/>
      <c r="S1165" s="106"/>
    </row>
    <row r="1166">
      <c r="G1166" s="106"/>
      <c r="J1166" s="106"/>
      <c r="M1166" s="106"/>
      <c r="P1166" s="106"/>
      <c r="S1166" s="106"/>
    </row>
    <row r="1167">
      <c r="G1167" s="106"/>
      <c r="J1167" s="106"/>
      <c r="M1167" s="106"/>
      <c r="P1167" s="106"/>
      <c r="S1167" s="106"/>
    </row>
    <row r="1168">
      <c r="G1168" s="106"/>
      <c r="J1168" s="106"/>
      <c r="M1168" s="106"/>
      <c r="P1168" s="106"/>
      <c r="S1168" s="106"/>
    </row>
    <row r="1169">
      <c r="G1169" s="106"/>
      <c r="J1169" s="106"/>
      <c r="M1169" s="106"/>
      <c r="P1169" s="106"/>
      <c r="S1169" s="106"/>
    </row>
    <row r="1170">
      <c r="G1170" s="106"/>
      <c r="J1170" s="106"/>
      <c r="M1170" s="106"/>
      <c r="P1170" s="106"/>
      <c r="S1170" s="106"/>
    </row>
    <row r="1171">
      <c r="G1171" s="106"/>
      <c r="J1171" s="106"/>
      <c r="M1171" s="106"/>
      <c r="P1171" s="106"/>
      <c r="S1171" s="106"/>
    </row>
    <row r="1172">
      <c r="G1172" s="106"/>
      <c r="J1172" s="106"/>
      <c r="M1172" s="106"/>
      <c r="P1172" s="106"/>
      <c r="S1172" s="106"/>
    </row>
    <row r="1173">
      <c r="G1173" s="106"/>
      <c r="J1173" s="106"/>
      <c r="M1173" s="106"/>
      <c r="P1173" s="106"/>
      <c r="S1173" s="106"/>
    </row>
    <row r="1174">
      <c r="G1174" s="106"/>
      <c r="J1174" s="106"/>
      <c r="M1174" s="106"/>
      <c r="P1174" s="106"/>
      <c r="S1174" s="106"/>
    </row>
    <row r="1175">
      <c r="G1175" s="106"/>
      <c r="J1175" s="106"/>
      <c r="M1175" s="106"/>
      <c r="P1175" s="106"/>
      <c r="S1175" s="106"/>
    </row>
    <row r="1176">
      <c r="G1176" s="106"/>
      <c r="J1176" s="106"/>
      <c r="M1176" s="106"/>
      <c r="P1176" s="106"/>
      <c r="S1176" s="106"/>
    </row>
    <row r="1177">
      <c r="G1177" s="106"/>
      <c r="J1177" s="106"/>
      <c r="M1177" s="106"/>
      <c r="P1177" s="106"/>
      <c r="S1177" s="106"/>
    </row>
    <row r="1178">
      <c r="G1178" s="106"/>
      <c r="J1178" s="106"/>
      <c r="M1178" s="106"/>
      <c r="P1178" s="106"/>
      <c r="S1178" s="106"/>
    </row>
    <row r="1179">
      <c r="G1179" s="106"/>
      <c r="J1179" s="106"/>
      <c r="M1179" s="106"/>
      <c r="P1179" s="106"/>
      <c r="S1179" s="106"/>
    </row>
    <row r="1180">
      <c r="G1180" s="106"/>
      <c r="J1180" s="106"/>
      <c r="M1180" s="106"/>
      <c r="P1180" s="106"/>
      <c r="S1180" s="106"/>
    </row>
    <row r="1181">
      <c r="G1181" s="106"/>
      <c r="J1181" s="106"/>
      <c r="M1181" s="106"/>
      <c r="P1181" s="106"/>
      <c r="S1181" s="106"/>
    </row>
    <row r="1182">
      <c r="G1182" s="106"/>
      <c r="J1182" s="106"/>
      <c r="M1182" s="106"/>
      <c r="P1182" s="106"/>
      <c r="S1182" s="106"/>
    </row>
    <row r="1183">
      <c r="G1183" s="106"/>
      <c r="J1183" s="106"/>
      <c r="M1183" s="106"/>
      <c r="P1183" s="106"/>
      <c r="S1183" s="106"/>
    </row>
    <row r="1184">
      <c r="G1184" s="106"/>
      <c r="J1184" s="106"/>
      <c r="M1184" s="106"/>
      <c r="P1184" s="106"/>
      <c r="S1184" s="106"/>
    </row>
    <row r="1185">
      <c r="G1185" s="106"/>
      <c r="J1185" s="106"/>
      <c r="M1185" s="106"/>
      <c r="P1185" s="106"/>
      <c r="S1185" s="106"/>
    </row>
    <row r="1186">
      <c r="G1186" s="106"/>
      <c r="J1186" s="106"/>
      <c r="M1186" s="106"/>
      <c r="P1186" s="106"/>
      <c r="S1186" s="106"/>
    </row>
    <row r="1187">
      <c r="G1187" s="106"/>
      <c r="J1187" s="106"/>
      <c r="M1187" s="106"/>
      <c r="P1187" s="106"/>
      <c r="S1187" s="106"/>
    </row>
    <row r="1188">
      <c r="G1188" s="106"/>
      <c r="J1188" s="106"/>
      <c r="M1188" s="106"/>
      <c r="P1188" s="106"/>
      <c r="S1188" s="106"/>
    </row>
    <row r="1189">
      <c r="G1189" s="106"/>
      <c r="J1189" s="106"/>
      <c r="M1189" s="106"/>
      <c r="P1189" s="106"/>
      <c r="S1189" s="106"/>
    </row>
    <row r="1190">
      <c r="G1190" s="106"/>
      <c r="J1190" s="106"/>
      <c r="M1190" s="106"/>
      <c r="P1190" s="106"/>
      <c r="S1190" s="106"/>
    </row>
    <row r="1191">
      <c r="G1191" s="106"/>
      <c r="J1191" s="106"/>
      <c r="M1191" s="106"/>
      <c r="P1191" s="106"/>
      <c r="S1191" s="106"/>
    </row>
    <row r="1192">
      <c r="G1192" s="106"/>
      <c r="J1192" s="106"/>
      <c r="M1192" s="106"/>
      <c r="P1192" s="106"/>
      <c r="S1192" s="106"/>
    </row>
    <row r="1193">
      <c r="G1193" s="106"/>
      <c r="J1193" s="106"/>
      <c r="M1193" s="106"/>
      <c r="P1193" s="106"/>
      <c r="S1193" s="106"/>
    </row>
    <row r="1194">
      <c r="G1194" s="106"/>
      <c r="J1194" s="106"/>
      <c r="M1194" s="106"/>
      <c r="P1194" s="106"/>
      <c r="S1194" s="106"/>
    </row>
    <row r="1195">
      <c r="G1195" s="106"/>
      <c r="J1195" s="106"/>
      <c r="M1195" s="106"/>
      <c r="P1195" s="106"/>
      <c r="S1195" s="106"/>
    </row>
    <row r="1196">
      <c r="G1196" s="106"/>
      <c r="J1196" s="106"/>
      <c r="M1196" s="106"/>
      <c r="P1196" s="106"/>
      <c r="S1196" s="106"/>
    </row>
    <row r="1197">
      <c r="G1197" s="106"/>
      <c r="J1197" s="106"/>
      <c r="M1197" s="106"/>
      <c r="P1197" s="106"/>
      <c r="S1197" s="106"/>
    </row>
    <row r="1198">
      <c r="G1198" s="106"/>
      <c r="J1198" s="106"/>
      <c r="M1198" s="106"/>
      <c r="P1198" s="106"/>
      <c r="S1198" s="106"/>
    </row>
    <row r="1199">
      <c r="G1199" s="106"/>
      <c r="J1199" s="106"/>
      <c r="M1199" s="106"/>
      <c r="P1199" s="106"/>
      <c r="S1199" s="106"/>
    </row>
    <row r="1200">
      <c r="G1200" s="106"/>
      <c r="J1200" s="106"/>
      <c r="M1200" s="106"/>
      <c r="P1200" s="106"/>
      <c r="S1200" s="106"/>
    </row>
    <row r="1201">
      <c r="G1201" s="106"/>
      <c r="J1201" s="106"/>
      <c r="M1201" s="106"/>
      <c r="P1201" s="106"/>
      <c r="S1201" s="106"/>
    </row>
    <row r="1202">
      <c r="G1202" s="106"/>
      <c r="J1202" s="106"/>
      <c r="M1202" s="106"/>
      <c r="P1202" s="106"/>
      <c r="S1202" s="106"/>
    </row>
    <row r="1203">
      <c r="G1203" s="106"/>
      <c r="J1203" s="106"/>
      <c r="M1203" s="106"/>
      <c r="P1203" s="106"/>
      <c r="S1203" s="106"/>
    </row>
    <row r="1204">
      <c r="G1204" s="106"/>
      <c r="J1204" s="106"/>
      <c r="M1204" s="106"/>
      <c r="P1204" s="106"/>
      <c r="S1204" s="106"/>
    </row>
    <row r="1205">
      <c r="G1205" s="106"/>
      <c r="J1205" s="106"/>
      <c r="M1205" s="106"/>
      <c r="P1205" s="106"/>
      <c r="S1205" s="106"/>
    </row>
    <row r="1206">
      <c r="G1206" s="106"/>
      <c r="J1206" s="106"/>
      <c r="M1206" s="106"/>
      <c r="P1206" s="106"/>
      <c r="S1206" s="106"/>
    </row>
    <row r="1207">
      <c r="G1207" s="106"/>
      <c r="J1207" s="106"/>
      <c r="M1207" s="106"/>
      <c r="P1207" s="106"/>
      <c r="S1207" s="106"/>
    </row>
    <row r="1208">
      <c r="G1208" s="106"/>
      <c r="J1208" s="106"/>
      <c r="M1208" s="106"/>
      <c r="P1208" s="106"/>
      <c r="S1208" s="106"/>
    </row>
    <row r="1209">
      <c r="G1209" s="106"/>
      <c r="J1209" s="106"/>
      <c r="M1209" s="106"/>
      <c r="P1209" s="106"/>
      <c r="S1209" s="106"/>
    </row>
    <row r="1210">
      <c r="G1210" s="106"/>
      <c r="J1210" s="106"/>
      <c r="M1210" s="106"/>
      <c r="P1210" s="106"/>
      <c r="S1210" s="106"/>
    </row>
    <row r="1211">
      <c r="G1211" s="106"/>
      <c r="J1211" s="106"/>
      <c r="M1211" s="106"/>
      <c r="P1211" s="106"/>
      <c r="S1211" s="106"/>
    </row>
    <row r="1212">
      <c r="G1212" s="106"/>
      <c r="J1212" s="106"/>
      <c r="M1212" s="106"/>
      <c r="P1212" s="106"/>
      <c r="S1212" s="106"/>
    </row>
    <row r="1213">
      <c r="G1213" s="106"/>
      <c r="J1213" s="106"/>
      <c r="M1213" s="106"/>
      <c r="P1213" s="106"/>
      <c r="S1213" s="106"/>
    </row>
    <row r="1214">
      <c r="G1214" s="106"/>
      <c r="J1214" s="106"/>
      <c r="M1214" s="106"/>
      <c r="P1214" s="106"/>
      <c r="S1214" s="106"/>
    </row>
    <row r="1215">
      <c r="G1215" s="106"/>
      <c r="J1215" s="106"/>
      <c r="M1215" s="106"/>
      <c r="P1215" s="106"/>
      <c r="S1215" s="106"/>
    </row>
    <row r="1216">
      <c r="G1216" s="106"/>
      <c r="J1216" s="106"/>
      <c r="M1216" s="106"/>
      <c r="P1216" s="106"/>
      <c r="S1216" s="106"/>
    </row>
    <row r="1217">
      <c r="G1217" s="106"/>
      <c r="J1217" s="106"/>
      <c r="M1217" s="106"/>
      <c r="P1217" s="106"/>
      <c r="S1217" s="106"/>
    </row>
    <row r="1218">
      <c r="G1218" s="106"/>
      <c r="J1218" s="106"/>
      <c r="M1218" s="106"/>
      <c r="P1218" s="106"/>
      <c r="S1218" s="106"/>
    </row>
    <row r="1219">
      <c r="G1219" s="106"/>
      <c r="J1219" s="106"/>
      <c r="M1219" s="106"/>
      <c r="P1219" s="106"/>
      <c r="S1219" s="106"/>
    </row>
    <row r="1220">
      <c r="G1220" s="106"/>
      <c r="J1220" s="106"/>
      <c r="M1220" s="106"/>
      <c r="P1220" s="106"/>
      <c r="S1220" s="106"/>
    </row>
    <row r="1221">
      <c r="G1221" s="106"/>
      <c r="J1221" s="106"/>
      <c r="M1221" s="106"/>
      <c r="P1221" s="106"/>
      <c r="S1221" s="106"/>
    </row>
    <row r="1222">
      <c r="G1222" s="106"/>
      <c r="J1222" s="106"/>
      <c r="M1222" s="106"/>
      <c r="P1222" s="106"/>
      <c r="S1222" s="106"/>
    </row>
    <row r="1223">
      <c r="G1223" s="106"/>
      <c r="J1223" s="106"/>
      <c r="M1223" s="106"/>
      <c r="P1223" s="106"/>
      <c r="S1223" s="106"/>
    </row>
    <row r="1224">
      <c r="G1224" s="106"/>
      <c r="J1224" s="106"/>
      <c r="M1224" s="106"/>
      <c r="P1224" s="106"/>
      <c r="S1224" s="106"/>
    </row>
    <row r="1225">
      <c r="G1225" s="106"/>
      <c r="J1225" s="106"/>
      <c r="M1225" s="106"/>
      <c r="P1225" s="106"/>
      <c r="S1225" s="106"/>
    </row>
    <row r="1226">
      <c r="G1226" s="106"/>
      <c r="J1226" s="106"/>
      <c r="M1226" s="106"/>
      <c r="P1226" s="106"/>
      <c r="S1226" s="106"/>
    </row>
    <row r="1227">
      <c r="G1227" s="106"/>
      <c r="J1227" s="106"/>
      <c r="M1227" s="106"/>
      <c r="P1227" s="106"/>
      <c r="S1227" s="106"/>
    </row>
    <row r="1228">
      <c r="G1228" s="106"/>
      <c r="J1228" s="106"/>
      <c r="M1228" s="106"/>
      <c r="P1228" s="106"/>
      <c r="S1228" s="106"/>
    </row>
    <row r="1229">
      <c r="G1229" s="106"/>
      <c r="J1229" s="106"/>
      <c r="M1229" s="106"/>
      <c r="P1229" s="106"/>
      <c r="S1229" s="106"/>
    </row>
    <row r="1230">
      <c r="G1230" s="106"/>
      <c r="J1230" s="106"/>
      <c r="M1230" s="106"/>
      <c r="P1230" s="106"/>
      <c r="S1230" s="106"/>
    </row>
    <row r="1231">
      <c r="G1231" s="106"/>
      <c r="J1231" s="106"/>
      <c r="M1231" s="106"/>
      <c r="P1231" s="106"/>
      <c r="S1231" s="106"/>
    </row>
    <row r="1232">
      <c r="G1232" s="106"/>
      <c r="J1232" s="106"/>
      <c r="M1232" s="106"/>
      <c r="P1232" s="106"/>
      <c r="S1232" s="106"/>
    </row>
    <row r="1233">
      <c r="G1233" s="106"/>
      <c r="J1233" s="106"/>
      <c r="M1233" s="106"/>
      <c r="P1233" s="106"/>
      <c r="S1233" s="106"/>
    </row>
    <row r="1234">
      <c r="G1234" s="106"/>
      <c r="J1234" s="106"/>
      <c r="M1234" s="106"/>
      <c r="P1234" s="106"/>
      <c r="S1234" s="106"/>
    </row>
    <row r="1235">
      <c r="G1235" s="106"/>
      <c r="J1235" s="106"/>
      <c r="M1235" s="106"/>
      <c r="P1235" s="106"/>
      <c r="S1235" s="106"/>
    </row>
    <row r="1236">
      <c r="G1236" s="106"/>
      <c r="J1236" s="106"/>
      <c r="M1236" s="106"/>
      <c r="P1236" s="106"/>
      <c r="S1236" s="106"/>
    </row>
    <row r="1237">
      <c r="G1237" s="106"/>
      <c r="J1237" s="106"/>
      <c r="M1237" s="106"/>
      <c r="P1237" s="106"/>
      <c r="S1237" s="106"/>
    </row>
    <row r="1238">
      <c r="G1238" s="106"/>
      <c r="J1238" s="106"/>
      <c r="M1238" s="106"/>
      <c r="P1238" s="106"/>
      <c r="S1238" s="106"/>
    </row>
    <row r="1239">
      <c r="G1239" s="106"/>
      <c r="J1239" s="106"/>
      <c r="M1239" s="106"/>
      <c r="P1239" s="106"/>
      <c r="S1239" s="106"/>
    </row>
    <row r="1240">
      <c r="G1240" s="106"/>
      <c r="J1240" s="106"/>
      <c r="M1240" s="106"/>
      <c r="P1240" s="106"/>
      <c r="S1240" s="106"/>
    </row>
    <row r="1241">
      <c r="G1241" s="106"/>
      <c r="J1241" s="106"/>
      <c r="M1241" s="106"/>
      <c r="P1241" s="106"/>
      <c r="S1241" s="106"/>
    </row>
    <row r="1242">
      <c r="G1242" s="106"/>
      <c r="J1242" s="106"/>
      <c r="M1242" s="106"/>
      <c r="P1242" s="106"/>
      <c r="S1242" s="106"/>
    </row>
    <row r="1243">
      <c r="G1243" s="106"/>
      <c r="J1243" s="106"/>
      <c r="M1243" s="106"/>
      <c r="P1243" s="106"/>
      <c r="S1243" s="106"/>
    </row>
    <row r="1244">
      <c r="G1244" s="106"/>
      <c r="J1244" s="106"/>
      <c r="M1244" s="106"/>
      <c r="P1244" s="106"/>
      <c r="S1244" s="106"/>
    </row>
    <row r="1245">
      <c r="G1245" s="106"/>
      <c r="J1245" s="106"/>
      <c r="M1245" s="106"/>
      <c r="P1245" s="106"/>
      <c r="S1245" s="106"/>
    </row>
    <row r="1246">
      <c r="G1246" s="106"/>
      <c r="J1246" s="106"/>
      <c r="M1246" s="106"/>
      <c r="P1246" s="106"/>
      <c r="S1246" s="106"/>
    </row>
    <row r="1247">
      <c r="G1247" s="106"/>
      <c r="J1247" s="106"/>
      <c r="M1247" s="106"/>
      <c r="P1247" s="106"/>
      <c r="S1247" s="106"/>
    </row>
    <row r="1248">
      <c r="G1248" s="106"/>
      <c r="J1248" s="106"/>
      <c r="M1248" s="106"/>
      <c r="P1248" s="106"/>
      <c r="S1248" s="106"/>
    </row>
    <row r="1249">
      <c r="G1249" s="106"/>
      <c r="J1249" s="106"/>
      <c r="M1249" s="106"/>
      <c r="P1249" s="106"/>
      <c r="S1249" s="106"/>
    </row>
    <row r="1250">
      <c r="G1250" s="106"/>
      <c r="J1250" s="106"/>
      <c r="M1250" s="106"/>
      <c r="P1250" s="106"/>
      <c r="S1250" s="106"/>
    </row>
    <row r="1251">
      <c r="G1251" s="106"/>
      <c r="J1251" s="106"/>
      <c r="M1251" s="106"/>
      <c r="P1251" s="106"/>
      <c r="S1251" s="106"/>
    </row>
    <row r="1252">
      <c r="G1252" s="106"/>
      <c r="J1252" s="106"/>
      <c r="M1252" s="106"/>
      <c r="P1252" s="106"/>
      <c r="S1252" s="106"/>
    </row>
    <row r="1253">
      <c r="G1253" s="106"/>
      <c r="J1253" s="106"/>
      <c r="M1253" s="106"/>
      <c r="P1253" s="106"/>
      <c r="S1253" s="106"/>
    </row>
    <row r="1254">
      <c r="G1254" s="106"/>
      <c r="J1254" s="106"/>
      <c r="M1254" s="106"/>
      <c r="P1254" s="106"/>
      <c r="S1254" s="106"/>
    </row>
    <row r="1255">
      <c r="G1255" s="106"/>
      <c r="J1255" s="106"/>
      <c r="M1255" s="106"/>
      <c r="P1255" s="106"/>
      <c r="S1255" s="106"/>
    </row>
    <row r="1256">
      <c r="G1256" s="106"/>
      <c r="J1256" s="106"/>
      <c r="M1256" s="106"/>
      <c r="P1256" s="106"/>
      <c r="S1256" s="106"/>
    </row>
    <row r="1257">
      <c r="G1257" s="106"/>
      <c r="J1257" s="106"/>
      <c r="M1257" s="106"/>
      <c r="P1257" s="106"/>
      <c r="S1257" s="106"/>
    </row>
    <row r="1258">
      <c r="G1258" s="106"/>
      <c r="J1258" s="106"/>
      <c r="M1258" s="106"/>
      <c r="P1258" s="106"/>
      <c r="S1258" s="106"/>
    </row>
    <row r="1259">
      <c r="G1259" s="106"/>
      <c r="J1259" s="106"/>
      <c r="M1259" s="106"/>
      <c r="P1259" s="106"/>
      <c r="S1259" s="106"/>
    </row>
    <row r="1260">
      <c r="G1260" s="106"/>
      <c r="J1260" s="106"/>
      <c r="M1260" s="106"/>
      <c r="P1260" s="106"/>
      <c r="S1260" s="106"/>
    </row>
    <row r="1261">
      <c r="G1261" s="106"/>
      <c r="J1261" s="106"/>
      <c r="M1261" s="106"/>
      <c r="P1261" s="106"/>
      <c r="S1261" s="106"/>
    </row>
    <row r="1262">
      <c r="G1262" s="106"/>
      <c r="J1262" s="106"/>
      <c r="M1262" s="106"/>
      <c r="P1262" s="106"/>
      <c r="S1262" s="106"/>
    </row>
    <row r="1263">
      <c r="G1263" s="106"/>
      <c r="J1263" s="106"/>
      <c r="M1263" s="106"/>
      <c r="P1263" s="106"/>
      <c r="S1263" s="106"/>
    </row>
    <row r="1264">
      <c r="G1264" s="106"/>
      <c r="J1264" s="106"/>
      <c r="M1264" s="106"/>
      <c r="P1264" s="106"/>
      <c r="S1264" s="106"/>
    </row>
    <row r="1265">
      <c r="G1265" s="106"/>
      <c r="J1265" s="106"/>
      <c r="M1265" s="106"/>
      <c r="P1265" s="106"/>
      <c r="S1265" s="106"/>
    </row>
    <row r="1266">
      <c r="G1266" s="106"/>
      <c r="J1266" s="106"/>
      <c r="M1266" s="106"/>
      <c r="P1266" s="106"/>
      <c r="S1266" s="106"/>
    </row>
    <row r="1267">
      <c r="G1267" s="106"/>
      <c r="J1267" s="106"/>
      <c r="M1267" s="106"/>
      <c r="P1267" s="106"/>
      <c r="S1267" s="106"/>
    </row>
    <row r="1268">
      <c r="G1268" s="106"/>
      <c r="J1268" s="106"/>
      <c r="M1268" s="106"/>
      <c r="P1268" s="106"/>
      <c r="S1268" s="106"/>
    </row>
    <row r="1269">
      <c r="G1269" s="106"/>
      <c r="J1269" s="106"/>
      <c r="M1269" s="106"/>
      <c r="P1269" s="106"/>
      <c r="S1269" s="106"/>
    </row>
    <row r="1270">
      <c r="G1270" s="106"/>
      <c r="J1270" s="106"/>
      <c r="M1270" s="106"/>
      <c r="P1270" s="106"/>
      <c r="S1270" s="106"/>
    </row>
    <row r="1271">
      <c r="G1271" s="106"/>
      <c r="J1271" s="106"/>
      <c r="M1271" s="106"/>
      <c r="P1271" s="106"/>
      <c r="S1271" s="106"/>
    </row>
    <row r="1272">
      <c r="G1272" s="106"/>
      <c r="J1272" s="106"/>
      <c r="M1272" s="106"/>
      <c r="P1272" s="106"/>
      <c r="S1272" s="106"/>
    </row>
    <row r="1273">
      <c r="G1273" s="106"/>
      <c r="J1273" s="106"/>
      <c r="M1273" s="106"/>
      <c r="P1273" s="106"/>
      <c r="S1273" s="106"/>
    </row>
    <row r="1274">
      <c r="G1274" s="106"/>
      <c r="J1274" s="106"/>
      <c r="M1274" s="106"/>
      <c r="P1274" s="106"/>
      <c r="S1274" s="106"/>
    </row>
    <row r="1275">
      <c r="G1275" s="106"/>
      <c r="J1275" s="106"/>
      <c r="M1275" s="106"/>
      <c r="P1275" s="106"/>
      <c r="S1275" s="106"/>
    </row>
    <row r="1276">
      <c r="G1276" s="106"/>
      <c r="J1276" s="106"/>
      <c r="M1276" s="106"/>
      <c r="P1276" s="106"/>
      <c r="S1276" s="106"/>
    </row>
    <row r="1277">
      <c r="G1277" s="106"/>
      <c r="J1277" s="106"/>
      <c r="M1277" s="106"/>
      <c r="P1277" s="106"/>
      <c r="S1277" s="106"/>
    </row>
    <row r="1278">
      <c r="G1278" s="106"/>
      <c r="J1278" s="106"/>
      <c r="M1278" s="106"/>
      <c r="P1278" s="106"/>
      <c r="S1278" s="106"/>
    </row>
    <row r="1279">
      <c r="G1279" s="106"/>
      <c r="J1279" s="106"/>
      <c r="M1279" s="106"/>
      <c r="P1279" s="106"/>
      <c r="S1279" s="106"/>
    </row>
    <row r="1280">
      <c r="G1280" s="106"/>
      <c r="J1280" s="106"/>
      <c r="M1280" s="106"/>
      <c r="P1280" s="106"/>
      <c r="S1280" s="106"/>
    </row>
    <row r="1281">
      <c r="G1281" s="106"/>
      <c r="J1281" s="106"/>
      <c r="M1281" s="106"/>
      <c r="P1281" s="106"/>
      <c r="S1281" s="106"/>
    </row>
    <row r="1282">
      <c r="G1282" s="106"/>
      <c r="J1282" s="106"/>
      <c r="M1282" s="106"/>
      <c r="P1282" s="106"/>
      <c r="S1282" s="106"/>
    </row>
    <row r="1283">
      <c r="G1283" s="106"/>
      <c r="J1283" s="106"/>
      <c r="M1283" s="106"/>
      <c r="P1283" s="106"/>
      <c r="S1283" s="106"/>
    </row>
    <row r="1284">
      <c r="G1284" s="106"/>
      <c r="J1284" s="106"/>
      <c r="M1284" s="106"/>
      <c r="P1284" s="106"/>
      <c r="S1284" s="106"/>
    </row>
    <row r="1285">
      <c r="G1285" s="106"/>
      <c r="J1285" s="106"/>
      <c r="M1285" s="106"/>
      <c r="P1285" s="106"/>
      <c r="S1285" s="106"/>
    </row>
    <row r="1286">
      <c r="G1286" s="106"/>
      <c r="J1286" s="106"/>
      <c r="M1286" s="106"/>
      <c r="P1286" s="106"/>
      <c r="S1286" s="106"/>
    </row>
    <row r="1287">
      <c r="G1287" s="106"/>
      <c r="J1287" s="106"/>
      <c r="M1287" s="106"/>
      <c r="P1287" s="106"/>
      <c r="S1287" s="106"/>
    </row>
    <row r="1288">
      <c r="G1288" s="106"/>
      <c r="J1288" s="106"/>
      <c r="M1288" s="106"/>
      <c r="P1288" s="106"/>
      <c r="S1288" s="106"/>
    </row>
    <row r="1289">
      <c r="G1289" s="106"/>
      <c r="J1289" s="106"/>
      <c r="M1289" s="106"/>
      <c r="P1289" s="106"/>
      <c r="S1289" s="106"/>
    </row>
    <row r="1290">
      <c r="G1290" s="106"/>
      <c r="J1290" s="106"/>
      <c r="M1290" s="106"/>
      <c r="P1290" s="106"/>
      <c r="S1290" s="106"/>
    </row>
    <row r="1291">
      <c r="G1291" s="106"/>
      <c r="J1291" s="106"/>
      <c r="M1291" s="106"/>
      <c r="P1291" s="106"/>
      <c r="S1291" s="106"/>
    </row>
    <row r="1292">
      <c r="G1292" s="106"/>
      <c r="J1292" s="106"/>
      <c r="M1292" s="106"/>
      <c r="P1292" s="106"/>
      <c r="S1292" s="106"/>
    </row>
    <row r="1293">
      <c r="G1293" s="106"/>
      <c r="J1293" s="106"/>
      <c r="M1293" s="106"/>
      <c r="P1293" s="106"/>
      <c r="S1293" s="106"/>
    </row>
    <row r="1294">
      <c r="G1294" s="106"/>
      <c r="J1294" s="106"/>
      <c r="M1294" s="106"/>
      <c r="P1294" s="106"/>
      <c r="S1294" s="106"/>
    </row>
    <row r="1295">
      <c r="G1295" s="106"/>
      <c r="J1295" s="106"/>
      <c r="M1295" s="106"/>
      <c r="P1295" s="106"/>
      <c r="S1295" s="106"/>
    </row>
    <row r="1296">
      <c r="G1296" s="106"/>
      <c r="J1296" s="106"/>
      <c r="M1296" s="106"/>
      <c r="P1296" s="106"/>
      <c r="S1296" s="106"/>
    </row>
    <row r="1297">
      <c r="G1297" s="106"/>
      <c r="J1297" s="106"/>
      <c r="M1297" s="106"/>
      <c r="P1297" s="106"/>
      <c r="S1297" s="106"/>
    </row>
    <row r="1298">
      <c r="G1298" s="106"/>
      <c r="J1298" s="106"/>
      <c r="M1298" s="106"/>
      <c r="P1298" s="106"/>
      <c r="S1298" s="106"/>
    </row>
    <row r="1299">
      <c r="G1299" s="106"/>
      <c r="J1299" s="106"/>
      <c r="M1299" s="106"/>
      <c r="P1299" s="106"/>
      <c r="S1299" s="106"/>
    </row>
    <row r="1300">
      <c r="G1300" s="106"/>
      <c r="J1300" s="106"/>
      <c r="M1300" s="106"/>
      <c r="P1300" s="106"/>
      <c r="S1300" s="106"/>
    </row>
    <row r="1301">
      <c r="G1301" s="106"/>
      <c r="J1301" s="106"/>
      <c r="M1301" s="106"/>
      <c r="P1301" s="106"/>
      <c r="S1301" s="106"/>
    </row>
    <row r="1302">
      <c r="G1302" s="106"/>
      <c r="J1302" s="106"/>
      <c r="M1302" s="106"/>
      <c r="P1302" s="106"/>
      <c r="S1302" s="106"/>
    </row>
    <row r="1303">
      <c r="G1303" s="106"/>
      <c r="J1303" s="106"/>
      <c r="M1303" s="106"/>
      <c r="P1303" s="106"/>
      <c r="S1303" s="106"/>
    </row>
    <row r="1304">
      <c r="G1304" s="106"/>
      <c r="J1304" s="106"/>
      <c r="M1304" s="106"/>
      <c r="P1304" s="106"/>
      <c r="S1304" s="106"/>
    </row>
    <row r="1305">
      <c r="G1305" s="106"/>
      <c r="J1305" s="106"/>
      <c r="M1305" s="106"/>
      <c r="P1305" s="106"/>
      <c r="S1305" s="106"/>
    </row>
    <row r="1306">
      <c r="G1306" s="106"/>
      <c r="J1306" s="106"/>
      <c r="M1306" s="106"/>
      <c r="P1306" s="106"/>
      <c r="S1306" s="106"/>
    </row>
    <row r="1307">
      <c r="G1307" s="106"/>
      <c r="J1307" s="106"/>
      <c r="M1307" s="106"/>
      <c r="P1307" s="106"/>
      <c r="S1307" s="106"/>
    </row>
    <row r="1308">
      <c r="G1308" s="106"/>
      <c r="J1308" s="106"/>
      <c r="M1308" s="106"/>
      <c r="P1308" s="106"/>
      <c r="S1308" s="106"/>
    </row>
    <row r="1309">
      <c r="G1309" s="106"/>
      <c r="J1309" s="106"/>
      <c r="M1309" s="106"/>
      <c r="P1309" s="106"/>
      <c r="S1309" s="106"/>
    </row>
    <row r="1310">
      <c r="G1310" s="106"/>
      <c r="J1310" s="106"/>
      <c r="M1310" s="106"/>
      <c r="P1310" s="106"/>
      <c r="S1310" s="106"/>
    </row>
    <row r="1311">
      <c r="G1311" s="106"/>
      <c r="J1311" s="106"/>
      <c r="M1311" s="106"/>
      <c r="P1311" s="106"/>
      <c r="S1311" s="106"/>
    </row>
    <row r="1312">
      <c r="G1312" s="106"/>
      <c r="J1312" s="106"/>
      <c r="M1312" s="106"/>
      <c r="P1312" s="106"/>
      <c r="S1312" s="106"/>
    </row>
    <row r="1313">
      <c r="G1313" s="106"/>
      <c r="J1313" s="106"/>
      <c r="M1313" s="106"/>
      <c r="P1313" s="106"/>
      <c r="S1313" s="106"/>
    </row>
    <row r="1314">
      <c r="G1314" s="106"/>
      <c r="J1314" s="106"/>
      <c r="M1314" s="106"/>
      <c r="P1314" s="106"/>
      <c r="S1314" s="106"/>
    </row>
    <row r="1315">
      <c r="G1315" s="106"/>
      <c r="J1315" s="106"/>
      <c r="M1315" s="106"/>
      <c r="P1315" s="106"/>
      <c r="S1315" s="106"/>
    </row>
    <row r="1316">
      <c r="G1316" s="106"/>
      <c r="J1316" s="106"/>
      <c r="M1316" s="106"/>
      <c r="P1316" s="106"/>
      <c r="S1316" s="106"/>
    </row>
    <row r="1317">
      <c r="G1317" s="106"/>
      <c r="J1317" s="106"/>
      <c r="M1317" s="106"/>
      <c r="P1317" s="106"/>
      <c r="S1317" s="106"/>
    </row>
    <row r="1318">
      <c r="G1318" s="106"/>
      <c r="J1318" s="106"/>
      <c r="M1318" s="106"/>
      <c r="P1318" s="106"/>
      <c r="S1318" s="106"/>
    </row>
    <row r="1319">
      <c r="G1319" s="106"/>
      <c r="J1319" s="106"/>
      <c r="M1319" s="106"/>
      <c r="P1319" s="106"/>
      <c r="S1319" s="106"/>
    </row>
    <row r="1320">
      <c r="G1320" s="106"/>
      <c r="J1320" s="106"/>
      <c r="M1320" s="106"/>
      <c r="P1320" s="106"/>
      <c r="S1320" s="106"/>
    </row>
    <row r="1321">
      <c r="G1321" s="106"/>
      <c r="J1321" s="106"/>
      <c r="M1321" s="106"/>
      <c r="P1321" s="106"/>
      <c r="S1321" s="106"/>
    </row>
    <row r="1322">
      <c r="G1322" s="106"/>
      <c r="J1322" s="106"/>
      <c r="M1322" s="106"/>
      <c r="P1322" s="106"/>
      <c r="S1322" s="106"/>
    </row>
    <row r="1323">
      <c r="G1323" s="106"/>
      <c r="J1323" s="106"/>
      <c r="M1323" s="106"/>
      <c r="P1323" s="106"/>
      <c r="S1323" s="106"/>
    </row>
    <row r="1324">
      <c r="G1324" s="106"/>
      <c r="J1324" s="106"/>
      <c r="M1324" s="106"/>
      <c r="P1324" s="106"/>
      <c r="S1324" s="106"/>
    </row>
    <row r="1325">
      <c r="G1325" s="106"/>
      <c r="J1325" s="106"/>
      <c r="M1325" s="106"/>
      <c r="P1325" s="106"/>
      <c r="S1325" s="106"/>
    </row>
    <row r="1326">
      <c r="G1326" s="106"/>
      <c r="J1326" s="106"/>
      <c r="M1326" s="106"/>
      <c r="P1326" s="106"/>
      <c r="S1326" s="106"/>
    </row>
    <row r="1327">
      <c r="G1327" s="106"/>
      <c r="J1327" s="106"/>
      <c r="M1327" s="106"/>
      <c r="P1327" s="106"/>
      <c r="S1327" s="106"/>
    </row>
    <row r="1328">
      <c r="G1328" s="106"/>
      <c r="J1328" s="106"/>
      <c r="M1328" s="106"/>
      <c r="P1328" s="106"/>
      <c r="S1328" s="106"/>
    </row>
    <row r="1329">
      <c r="G1329" s="106"/>
      <c r="J1329" s="106"/>
      <c r="M1329" s="106"/>
      <c r="P1329" s="106"/>
      <c r="S1329" s="106"/>
    </row>
    <row r="1330">
      <c r="G1330" s="106"/>
      <c r="J1330" s="106"/>
      <c r="M1330" s="106"/>
      <c r="P1330" s="106"/>
      <c r="S1330" s="106"/>
    </row>
    <row r="1331">
      <c r="G1331" s="106"/>
      <c r="J1331" s="106"/>
      <c r="M1331" s="106"/>
      <c r="P1331" s="106"/>
      <c r="S1331" s="106"/>
    </row>
    <row r="1332">
      <c r="G1332" s="106"/>
      <c r="J1332" s="106"/>
      <c r="M1332" s="106"/>
      <c r="P1332" s="106"/>
      <c r="S1332" s="106"/>
    </row>
    <row r="1333">
      <c r="G1333" s="106"/>
      <c r="J1333" s="106"/>
      <c r="M1333" s="106"/>
      <c r="P1333" s="106"/>
      <c r="S1333" s="106"/>
    </row>
    <row r="1334">
      <c r="G1334" s="106"/>
      <c r="J1334" s="106"/>
      <c r="M1334" s="106"/>
      <c r="P1334" s="106"/>
      <c r="S1334" s="106"/>
    </row>
    <row r="1335">
      <c r="G1335" s="106"/>
      <c r="J1335" s="106"/>
      <c r="M1335" s="106"/>
      <c r="P1335" s="106"/>
      <c r="S1335" s="106"/>
    </row>
    <row r="1336">
      <c r="G1336" s="106"/>
      <c r="J1336" s="106"/>
      <c r="M1336" s="106"/>
      <c r="P1336" s="106"/>
      <c r="S1336" s="106"/>
    </row>
    <row r="1337">
      <c r="G1337" s="106"/>
      <c r="J1337" s="106"/>
      <c r="M1337" s="106"/>
      <c r="P1337" s="106"/>
      <c r="S1337" s="106"/>
    </row>
    <row r="1338">
      <c r="G1338" s="106"/>
      <c r="J1338" s="106"/>
      <c r="M1338" s="106"/>
      <c r="P1338" s="106"/>
      <c r="S1338" s="106"/>
    </row>
    <row r="1339">
      <c r="G1339" s="106"/>
      <c r="J1339" s="106"/>
      <c r="M1339" s="106"/>
      <c r="P1339" s="106"/>
      <c r="S1339" s="106"/>
    </row>
    <row r="1340">
      <c r="G1340" s="106"/>
      <c r="J1340" s="106"/>
      <c r="M1340" s="106"/>
      <c r="P1340" s="106"/>
      <c r="S1340" s="106"/>
    </row>
    <row r="1341">
      <c r="G1341" s="106"/>
      <c r="J1341" s="106"/>
      <c r="M1341" s="106"/>
      <c r="P1341" s="106"/>
      <c r="S1341" s="106"/>
    </row>
    <row r="1342">
      <c r="G1342" s="106"/>
      <c r="J1342" s="106"/>
      <c r="M1342" s="106"/>
      <c r="P1342" s="106"/>
      <c r="S1342" s="106"/>
    </row>
    <row r="1343">
      <c r="G1343" s="106"/>
      <c r="J1343" s="106"/>
      <c r="M1343" s="106"/>
      <c r="P1343" s="106"/>
      <c r="S1343" s="106"/>
    </row>
    <row r="1344">
      <c r="G1344" s="106"/>
      <c r="J1344" s="106"/>
      <c r="M1344" s="106"/>
      <c r="P1344" s="106"/>
      <c r="S1344" s="106"/>
    </row>
    <row r="1345">
      <c r="G1345" s="106"/>
      <c r="J1345" s="106"/>
      <c r="M1345" s="106"/>
      <c r="P1345" s="106"/>
      <c r="S1345" s="106"/>
    </row>
    <row r="1346">
      <c r="G1346" s="106"/>
      <c r="J1346" s="106"/>
      <c r="M1346" s="106"/>
      <c r="P1346" s="106"/>
      <c r="S1346" s="106"/>
    </row>
    <row r="1347">
      <c r="G1347" s="106"/>
      <c r="J1347" s="106"/>
      <c r="M1347" s="106"/>
      <c r="P1347" s="106"/>
      <c r="S1347" s="106"/>
    </row>
    <row r="1348">
      <c r="G1348" s="106"/>
      <c r="J1348" s="106"/>
      <c r="M1348" s="106"/>
      <c r="P1348" s="106"/>
      <c r="S1348" s="106"/>
    </row>
    <row r="1349">
      <c r="G1349" s="106"/>
      <c r="J1349" s="106"/>
      <c r="M1349" s="106"/>
      <c r="P1349" s="106"/>
      <c r="S1349" s="106"/>
    </row>
    <row r="1350">
      <c r="G1350" s="106"/>
      <c r="J1350" s="106"/>
      <c r="M1350" s="106"/>
      <c r="P1350" s="106"/>
      <c r="S1350" s="106"/>
    </row>
    <row r="1351">
      <c r="G1351" s="106"/>
      <c r="J1351" s="106"/>
      <c r="M1351" s="106"/>
      <c r="P1351" s="106"/>
      <c r="S1351" s="106"/>
    </row>
    <row r="1352">
      <c r="G1352" s="106"/>
      <c r="J1352" s="106"/>
      <c r="M1352" s="106"/>
      <c r="P1352" s="106"/>
      <c r="S1352" s="106"/>
    </row>
    <row r="1353">
      <c r="G1353" s="106"/>
      <c r="J1353" s="106"/>
      <c r="M1353" s="106"/>
      <c r="P1353" s="106"/>
      <c r="S1353" s="106"/>
    </row>
    <row r="1354">
      <c r="G1354" s="106"/>
      <c r="J1354" s="106"/>
      <c r="M1354" s="106"/>
      <c r="P1354" s="106"/>
      <c r="S1354" s="106"/>
    </row>
    <row r="1355">
      <c r="G1355" s="106"/>
      <c r="J1355" s="106"/>
      <c r="M1355" s="106"/>
      <c r="P1355" s="106"/>
      <c r="S1355" s="106"/>
    </row>
    <row r="1356">
      <c r="G1356" s="106"/>
      <c r="J1356" s="106"/>
      <c r="M1356" s="106"/>
      <c r="P1356" s="106"/>
      <c r="S1356" s="106"/>
    </row>
    <row r="1357">
      <c r="G1357" s="106"/>
      <c r="J1357" s="106"/>
      <c r="M1357" s="106"/>
      <c r="P1357" s="106"/>
      <c r="S1357" s="106"/>
    </row>
    <row r="1358">
      <c r="G1358" s="106"/>
      <c r="J1358" s="106"/>
      <c r="M1358" s="106"/>
      <c r="P1358" s="106"/>
      <c r="S1358" s="106"/>
    </row>
    <row r="1359">
      <c r="G1359" s="106"/>
      <c r="J1359" s="106"/>
      <c r="M1359" s="106"/>
      <c r="P1359" s="106"/>
      <c r="S1359" s="106"/>
    </row>
    <row r="1360">
      <c r="G1360" s="106"/>
      <c r="J1360" s="106"/>
      <c r="M1360" s="106"/>
      <c r="P1360" s="106"/>
      <c r="S1360" s="106"/>
    </row>
    <row r="1361">
      <c r="G1361" s="106"/>
      <c r="J1361" s="106"/>
      <c r="M1361" s="106"/>
      <c r="P1361" s="106"/>
      <c r="S1361" s="106"/>
    </row>
    <row r="1362">
      <c r="G1362" s="106"/>
      <c r="J1362" s="106"/>
      <c r="M1362" s="106"/>
      <c r="P1362" s="106"/>
      <c r="S1362" s="106"/>
    </row>
    <row r="1363">
      <c r="G1363" s="106"/>
      <c r="J1363" s="106"/>
      <c r="M1363" s="106"/>
      <c r="P1363" s="106"/>
      <c r="S1363" s="106"/>
    </row>
    <row r="1364">
      <c r="G1364" s="106"/>
      <c r="J1364" s="106"/>
      <c r="M1364" s="106"/>
      <c r="P1364" s="106"/>
      <c r="S1364" s="106"/>
    </row>
    <row r="1365">
      <c r="G1365" s="106"/>
      <c r="J1365" s="106"/>
      <c r="M1365" s="106"/>
      <c r="P1365" s="106"/>
      <c r="S1365" s="106"/>
    </row>
    <row r="1366">
      <c r="G1366" s="106"/>
      <c r="J1366" s="106"/>
      <c r="M1366" s="106"/>
      <c r="P1366" s="106"/>
      <c r="S1366" s="106"/>
    </row>
    <row r="1367">
      <c r="G1367" s="106"/>
      <c r="J1367" s="106"/>
      <c r="M1367" s="106"/>
      <c r="P1367" s="106"/>
      <c r="S1367" s="106"/>
    </row>
    <row r="1368">
      <c r="G1368" s="106"/>
      <c r="J1368" s="106"/>
      <c r="M1368" s="106"/>
      <c r="P1368" s="106"/>
      <c r="S1368" s="106"/>
    </row>
    <row r="1369">
      <c r="G1369" s="106"/>
      <c r="J1369" s="106"/>
      <c r="M1369" s="106"/>
      <c r="P1369" s="106"/>
      <c r="S1369" s="106"/>
    </row>
    <row r="1370">
      <c r="G1370" s="106"/>
      <c r="J1370" s="106"/>
      <c r="M1370" s="106"/>
      <c r="P1370" s="106"/>
      <c r="S1370" s="106"/>
    </row>
    <row r="1371">
      <c r="G1371" s="106"/>
      <c r="J1371" s="106"/>
      <c r="M1371" s="106"/>
      <c r="P1371" s="106"/>
      <c r="S1371" s="106"/>
    </row>
    <row r="1372">
      <c r="G1372" s="106"/>
      <c r="J1372" s="106"/>
      <c r="M1372" s="106"/>
      <c r="P1372" s="106"/>
      <c r="S1372" s="106"/>
    </row>
    <row r="1373">
      <c r="G1373" s="106"/>
      <c r="J1373" s="106"/>
      <c r="M1373" s="106"/>
      <c r="P1373" s="106"/>
      <c r="S1373" s="106"/>
    </row>
    <row r="1374">
      <c r="G1374" s="106"/>
      <c r="J1374" s="106"/>
      <c r="M1374" s="106"/>
      <c r="P1374" s="106"/>
      <c r="S1374" s="106"/>
    </row>
    <row r="1375">
      <c r="G1375" s="106"/>
      <c r="J1375" s="106"/>
      <c r="M1375" s="106"/>
      <c r="P1375" s="106"/>
      <c r="S1375" s="106"/>
    </row>
    <row r="1376">
      <c r="G1376" s="106"/>
      <c r="J1376" s="106"/>
      <c r="M1376" s="106"/>
      <c r="P1376" s="106"/>
      <c r="S1376" s="106"/>
    </row>
    <row r="1377">
      <c r="G1377" s="106"/>
      <c r="J1377" s="106"/>
      <c r="M1377" s="106"/>
      <c r="P1377" s="106"/>
      <c r="S1377" s="106"/>
    </row>
    <row r="1378">
      <c r="G1378" s="106"/>
      <c r="J1378" s="106"/>
      <c r="M1378" s="106"/>
      <c r="P1378" s="106"/>
      <c r="S1378" s="106"/>
    </row>
    <row r="1379">
      <c r="G1379" s="106"/>
      <c r="J1379" s="106"/>
      <c r="M1379" s="106"/>
      <c r="P1379" s="106"/>
      <c r="S1379" s="106"/>
    </row>
    <row r="1380">
      <c r="G1380" s="106"/>
      <c r="J1380" s="106"/>
      <c r="M1380" s="106"/>
      <c r="P1380" s="106"/>
      <c r="S1380" s="106"/>
    </row>
    <row r="1381">
      <c r="G1381" s="106"/>
      <c r="J1381" s="106"/>
      <c r="M1381" s="106"/>
      <c r="P1381" s="106"/>
      <c r="S1381" s="106"/>
    </row>
    <row r="1382">
      <c r="G1382" s="106"/>
      <c r="J1382" s="106"/>
      <c r="M1382" s="106"/>
      <c r="P1382" s="106"/>
      <c r="S1382" s="106"/>
    </row>
    <row r="1383">
      <c r="G1383" s="106"/>
      <c r="J1383" s="106"/>
      <c r="M1383" s="106"/>
      <c r="P1383" s="106"/>
      <c r="S1383" s="106"/>
    </row>
    <row r="1384">
      <c r="G1384" s="106"/>
      <c r="J1384" s="106"/>
      <c r="M1384" s="106"/>
      <c r="P1384" s="106"/>
      <c r="S1384" s="106"/>
    </row>
    <row r="1385">
      <c r="G1385" s="106"/>
      <c r="J1385" s="106"/>
      <c r="M1385" s="106"/>
      <c r="P1385" s="106"/>
      <c r="S1385" s="106"/>
    </row>
    <row r="1386">
      <c r="G1386" s="106"/>
      <c r="J1386" s="106"/>
      <c r="M1386" s="106"/>
      <c r="P1386" s="106"/>
      <c r="S1386" s="106"/>
    </row>
    <row r="1387">
      <c r="G1387" s="106"/>
      <c r="J1387" s="106"/>
      <c r="M1387" s="106"/>
      <c r="P1387" s="106"/>
      <c r="S1387" s="106"/>
    </row>
    <row r="1388">
      <c r="G1388" s="106"/>
      <c r="J1388" s="106"/>
      <c r="M1388" s="106"/>
      <c r="P1388" s="106"/>
      <c r="S1388" s="106"/>
    </row>
    <row r="1389">
      <c r="G1389" s="106"/>
      <c r="J1389" s="106"/>
      <c r="M1389" s="106"/>
      <c r="P1389" s="106"/>
      <c r="S1389" s="106"/>
    </row>
    <row r="1390">
      <c r="G1390" s="106"/>
      <c r="J1390" s="106"/>
      <c r="M1390" s="106"/>
      <c r="P1390" s="106"/>
      <c r="S1390" s="106"/>
    </row>
    <row r="1391">
      <c r="G1391" s="106"/>
      <c r="J1391" s="106"/>
      <c r="M1391" s="106"/>
      <c r="P1391" s="106"/>
      <c r="S1391" s="106"/>
    </row>
    <row r="1392">
      <c r="G1392" s="106"/>
      <c r="J1392" s="106"/>
      <c r="M1392" s="106"/>
      <c r="P1392" s="106"/>
      <c r="S1392" s="106"/>
    </row>
    <row r="1393">
      <c r="G1393" s="106"/>
      <c r="J1393" s="106"/>
      <c r="M1393" s="106"/>
      <c r="P1393" s="106"/>
      <c r="S1393" s="106"/>
    </row>
    <row r="1394">
      <c r="G1394" s="106"/>
      <c r="J1394" s="106"/>
      <c r="M1394" s="106"/>
      <c r="P1394" s="106"/>
      <c r="S1394" s="106"/>
    </row>
    <row r="1395">
      <c r="G1395" s="106"/>
      <c r="J1395" s="106"/>
      <c r="M1395" s="106"/>
      <c r="P1395" s="106"/>
      <c r="S1395" s="106"/>
    </row>
    <row r="1396">
      <c r="G1396" s="106"/>
      <c r="J1396" s="106"/>
      <c r="M1396" s="106"/>
      <c r="P1396" s="106"/>
      <c r="S1396" s="106"/>
    </row>
    <row r="1397">
      <c r="G1397" s="106"/>
      <c r="J1397" s="106"/>
      <c r="M1397" s="106"/>
      <c r="P1397" s="106"/>
      <c r="S1397" s="106"/>
    </row>
    <row r="1398">
      <c r="G1398" s="106"/>
      <c r="J1398" s="106"/>
      <c r="M1398" s="106"/>
      <c r="P1398" s="106"/>
      <c r="S1398" s="106"/>
    </row>
    <row r="1399">
      <c r="G1399" s="106"/>
      <c r="J1399" s="106"/>
      <c r="M1399" s="106"/>
      <c r="P1399" s="106"/>
      <c r="S1399" s="106"/>
    </row>
    <row r="1400">
      <c r="G1400" s="106"/>
      <c r="J1400" s="106"/>
      <c r="M1400" s="106"/>
      <c r="P1400" s="106"/>
      <c r="S1400" s="106"/>
    </row>
    <row r="1401">
      <c r="G1401" s="106"/>
      <c r="J1401" s="106"/>
      <c r="M1401" s="106"/>
      <c r="P1401" s="106"/>
      <c r="S1401" s="106"/>
    </row>
    <row r="1402">
      <c r="G1402" s="106"/>
      <c r="J1402" s="106"/>
      <c r="M1402" s="106"/>
      <c r="P1402" s="106"/>
      <c r="S1402" s="106"/>
    </row>
    <row r="1403">
      <c r="G1403" s="106"/>
      <c r="J1403" s="106"/>
      <c r="M1403" s="106"/>
      <c r="P1403" s="106"/>
      <c r="S1403" s="106"/>
    </row>
    <row r="1404">
      <c r="G1404" s="106"/>
      <c r="J1404" s="106"/>
      <c r="M1404" s="106"/>
      <c r="P1404" s="106"/>
      <c r="S1404" s="106"/>
    </row>
    <row r="1405">
      <c r="G1405" s="106"/>
      <c r="J1405" s="106"/>
      <c r="M1405" s="106"/>
      <c r="P1405" s="106"/>
      <c r="S1405" s="106"/>
    </row>
    <row r="1406">
      <c r="G1406" s="106"/>
      <c r="J1406" s="106"/>
      <c r="M1406" s="106"/>
      <c r="P1406" s="106"/>
      <c r="S1406" s="106"/>
    </row>
    <row r="1407">
      <c r="G1407" s="106"/>
      <c r="J1407" s="106"/>
      <c r="M1407" s="106"/>
      <c r="P1407" s="106"/>
      <c r="S1407" s="106"/>
    </row>
    <row r="1408">
      <c r="G1408" s="106"/>
      <c r="J1408" s="106"/>
      <c r="M1408" s="106"/>
      <c r="P1408" s="106"/>
      <c r="S1408" s="106"/>
    </row>
    <row r="1409">
      <c r="G1409" s="106"/>
      <c r="J1409" s="106"/>
      <c r="M1409" s="106"/>
      <c r="P1409" s="106"/>
      <c r="S1409" s="106"/>
    </row>
    <row r="1410">
      <c r="G1410" s="106"/>
      <c r="J1410" s="106"/>
      <c r="M1410" s="106"/>
      <c r="P1410" s="106"/>
      <c r="S1410" s="106"/>
    </row>
    <row r="1411">
      <c r="G1411" s="106"/>
      <c r="J1411" s="106"/>
      <c r="M1411" s="106"/>
      <c r="P1411" s="106"/>
      <c r="S1411" s="106"/>
    </row>
    <row r="1412">
      <c r="G1412" s="106"/>
      <c r="J1412" s="106"/>
      <c r="M1412" s="106"/>
      <c r="P1412" s="106"/>
      <c r="S1412" s="106"/>
    </row>
    <row r="1413">
      <c r="G1413" s="106"/>
      <c r="J1413" s="106"/>
      <c r="M1413" s="106"/>
      <c r="P1413" s="106"/>
      <c r="S1413" s="106"/>
    </row>
    <row r="1414">
      <c r="G1414" s="106"/>
      <c r="J1414" s="106"/>
      <c r="M1414" s="106"/>
      <c r="P1414" s="106"/>
      <c r="S1414" s="106"/>
    </row>
    <row r="1415">
      <c r="G1415" s="106"/>
      <c r="J1415" s="106"/>
      <c r="M1415" s="106"/>
      <c r="P1415" s="106"/>
      <c r="S1415" s="106"/>
    </row>
    <row r="1416">
      <c r="G1416" s="106"/>
      <c r="J1416" s="106"/>
      <c r="M1416" s="106"/>
      <c r="P1416" s="106"/>
      <c r="S1416" s="106"/>
    </row>
    <row r="1417">
      <c r="G1417" s="106"/>
      <c r="J1417" s="106"/>
      <c r="M1417" s="106"/>
      <c r="P1417" s="106"/>
      <c r="S1417" s="106"/>
    </row>
    <row r="1418">
      <c r="G1418" s="106"/>
      <c r="J1418" s="106"/>
      <c r="M1418" s="106"/>
      <c r="P1418" s="106"/>
      <c r="S1418" s="106"/>
    </row>
    <row r="1419">
      <c r="G1419" s="106"/>
      <c r="J1419" s="106"/>
      <c r="M1419" s="106"/>
      <c r="P1419" s="106"/>
      <c r="S1419" s="106"/>
    </row>
    <row r="1420">
      <c r="G1420" s="106"/>
      <c r="J1420" s="106"/>
      <c r="M1420" s="106"/>
      <c r="P1420" s="106"/>
      <c r="S1420" s="106"/>
    </row>
    <row r="1421">
      <c r="G1421" s="106"/>
      <c r="J1421" s="106"/>
      <c r="M1421" s="106"/>
      <c r="P1421" s="106"/>
      <c r="S1421" s="106"/>
    </row>
    <row r="1422">
      <c r="G1422" s="106"/>
      <c r="J1422" s="106"/>
      <c r="M1422" s="106"/>
      <c r="P1422" s="106"/>
      <c r="S1422" s="106"/>
    </row>
    <row r="1423">
      <c r="G1423" s="106"/>
      <c r="J1423" s="106"/>
      <c r="M1423" s="106"/>
      <c r="P1423" s="106"/>
      <c r="S1423" s="106"/>
    </row>
    <row r="1424">
      <c r="G1424" s="106"/>
      <c r="J1424" s="106"/>
      <c r="M1424" s="106"/>
      <c r="P1424" s="106"/>
      <c r="S1424" s="106"/>
    </row>
    <row r="1425">
      <c r="G1425" s="106"/>
      <c r="J1425" s="106"/>
      <c r="M1425" s="106"/>
      <c r="P1425" s="106"/>
      <c r="S1425" s="106"/>
    </row>
    <row r="1426">
      <c r="G1426" s="106"/>
      <c r="J1426" s="106"/>
      <c r="M1426" s="106"/>
      <c r="P1426" s="106"/>
      <c r="S1426" s="106"/>
    </row>
    <row r="1427">
      <c r="G1427" s="106"/>
      <c r="J1427" s="106"/>
      <c r="M1427" s="106"/>
      <c r="P1427" s="106"/>
      <c r="S1427" s="106"/>
    </row>
    <row r="1428">
      <c r="G1428" s="106"/>
      <c r="J1428" s="106"/>
      <c r="M1428" s="106"/>
      <c r="P1428" s="106"/>
      <c r="S1428" s="106"/>
    </row>
    <row r="1429">
      <c r="G1429" s="106"/>
      <c r="J1429" s="106"/>
      <c r="M1429" s="106"/>
      <c r="P1429" s="106"/>
      <c r="S1429" s="106"/>
    </row>
    <row r="1430">
      <c r="G1430" s="106"/>
      <c r="J1430" s="106"/>
      <c r="M1430" s="106"/>
      <c r="P1430" s="106"/>
      <c r="S1430" s="106"/>
    </row>
    <row r="1431">
      <c r="G1431" s="106"/>
      <c r="J1431" s="106"/>
      <c r="M1431" s="106"/>
      <c r="P1431" s="106"/>
      <c r="S1431" s="106"/>
    </row>
    <row r="1432">
      <c r="G1432" s="106"/>
      <c r="J1432" s="106"/>
      <c r="M1432" s="106"/>
      <c r="P1432" s="106"/>
      <c r="S1432" s="106"/>
    </row>
    <row r="1433">
      <c r="G1433" s="106"/>
      <c r="J1433" s="106"/>
      <c r="M1433" s="106"/>
      <c r="P1433" s="106"/>
      <c r="S1433" s="106"/>
    </row>
    <row r="1434">
      <c r="G1434" s="106"/>
      <c r="J1434" s="106"/>
      <c r="M1434" s="106"/>
      <c r="P1434" s="106"/>
      <c r="S1434" s="106"/>
    </row>
    <row r="1435">
      <c r="G1435" s="106"/>
      <c r="J1435" s="106"/>
      <c r="M1435" s="106"/>
      <c r="P1435" s="106"/>
      <c r="S1435" s="106"/>
    </row>
    <row r="1436">
      <c r="G1436" s="106"/>
      <c r="J1436" s="106"/>
      <c r="M1436" s="106"/>
      <c r="P1436" s="106"/>
      <c r="S1436" s="106"/>
    </row>
    <row r="1437">
      <c r="G1437" s="106"/>
      <c r="J1437" s="106"/>
      <c r="M1437" s="106"/>
      <c r="P1437" s="106"/>
      <c r="S1437" s="106"/>
    </row>
    <row r="1438">
      <c r="G1438" s="106"/>
      <c r="J1438" s="106"/>
      <c r="M1438" s="106"/>
      <c r="P1438" s="106"/>
      <c r="S1438" s="106"/>
    </row>
    <row r="1439">
      <c r="G1439" s="106"/>
      <c r="J1439" s="106"/>
      <c r="M1439" s="106"/>
      <c r="P1439" s="106"/>
      <c r="S1439" s="106"/>
    </row>
    <row r="1440">
      <c r="G1440" s="106"/>
      <c r="J1440" s="106"/>
      <c r="M1440" s="106"/>
      <c r="P1440" s="106"/>
      <c r="S1440" s="106"/>
    </row>
    <row r="1441">
      <c r="G1441" s="106"/>
      <c r="J1441" s="106"/>
      <c r="M1441" s="106"/>
      <c r="P1441" s="106"/>
      <c r="S1441" s="106"/>
    </row>
    <row r="1442">
      <c r="G1442" s="106"/>
      <c r="J1442" s="106"/>
      <c r="M1442" s="106"/>
      <c r="P1442" s="106"/>
      <c r="S1442" s="106"/>
    </row>
    <row r="1443">
      <c r="G1443" s="106"/>
      <c r="J1443" s="106"/>
      <c r="M1443" s="106"/>
      <c r="P1443" s="106"/>
      <c r="S1443" s="106"/>
    </row>
    <row r="1444">
      <c r="G1444" s="106"/>
      <c r="J1444" s="106"/>
      <c r="M1444" s="106"/>
      <c r="P1444" s="106"/>
      <c r="S1444" s="106"/>
    </row>
    <row r="1445">
      <c r="G1445" s="106"/>
      <c r="J1445" s="106"/>
      <c r="M1445" s="106"/>
      <c r="P1445" s="106"/>
      <c r="S1445" s="106"/>
    </row>
    <row r="1446">
      <c r="G1446" s="106"/>
      <c r="J1446" s="106"/>
      <c r="M1446" s="106"/>
      <c r="P1446" s="106"/>
      <c r="S1446" s="106"/>
    </row>
    <row r="1447">
      <c r="G1447" s="106"/>
      <c r="J1447" s="106"/>
      <c r="M1447" s="106"/>
      <c r="P1447" s="106"/>
      <c r="S1447" s="106"/>
    </row>
    <row r="1448">
      <c r="G1448" s="106"/>
      <c r="J1448" s="106"/>
      <c r="M1448" s="106"/>
      <c r="P1448" s="106"/>
      <c r="S1448" s="106"/>
    </row>
    <row r="1449">
      <c r="G1449" s="106"/>
      <c r="J1449" s="106"/>
      <c r="M1449" s="106"/>
      <c r="P1449" s="106"/>
      <c r="S1449" s="106"/>
    </row>
    <row r="1450">
      <c r="G1450" s="106"/>
      <c r="J1450" s="106"/>
      <c r="M1450" s="106"/>
      <c r="P1450" s="106"/>
      <c r="S1450" s="106"/>
    </row>
    <row r="1451">
      <c r="G1451" s="106"/>
      <c r="J1451" s="106"/>
      <c r="M1451" s="106"/>
      <c r="P1451" s="106"/>
      <c r="S1451" s="106"/>
    </row>
    <row r="1452">
      <c r="G1452" s="106"/>
      <c r="J1452" s="106"/>
      <c r="M1452" s="106"/>
      <c r="P1452" s="106"/>
      <c r="S1452" s="106"/>
    </row>
    <row r="1453">
      <c r="G1453" s="106"/>
      <c r="J1453" s="106"/>
      <c r="M1453" s="106"/>
      <c r="P1453" s="106"/>
      <c r="S1453" s="106"/>
    </row>
    <row r="1454">
      <c r="G1454" s="106"/>
      <c r="J1454" s="106"/>
      <c r="M1454" s="106"/>
      <c r="P1454" s="106"/>
      <c r="S1454" s="106"/>
    </row>
    <row r="1455">
      <c r="G1455" s="106"/>
      <c r="J1455" s="106"/>
      <c r="M1455" s="106"/>
      <c r="P1455" s="106"/>
      <c r="S1455" s="106"/>
    </row>
    <row r="1456">
      <c r="G1456" s="106"/>
      <c r="J1456" s="106"/>
      <c r="M1456" s="106"/>
      <c r="P1456" s="106"/>
      <c r="S1456" s="106"/>
    </row>
    <row r="1457">
      <c r="G1457" s="106"/>
      <c r="J1457" s="106"/>
      <c r="M1457" s="106"/>
      <c r="P1457" s="106"/>
      <c r="S1457" s="106"/>
    </row>
    <row r="1458">
      <c r="G1458" s="106"/>
      <c r="J1458" s="106"/>
      <c r="M1458" s="106"/>
      <c r="P1458" s="106"/>
      <c r="S1458" s="106"/>
    </row>
    <row r="1459">
      <c r="G1459" s="106"/>
      <c r="J1459" s="106"/>
      <c r="M1459" s="106"/>
      <c r="P1459" s="106"/>
      <c r="S1459" s="106"/>
    </row>
    <row r="1460">
      <c r="G1460" s="106"/>
      <c r="J1460" s="106"/>
      <c r="M1460" s="106"/>
      <c r="P1460" s="106"/>
      <c r="S1460" s="106"/>
    </row>
    <row r="1461">
      <c r="G1461" s="106"/>
      <c r="J1461" s="106"/>
      <c r="M1461" s="106"/>
      <c r="P1461" s="106"/>
      <c r="S1461" s="106"/>
    </row>
    <row r="1462">
      <c r="G1462" s="106"/>
      <c r="J1462" s="106"/>
      <c r="M1462" s="106"/>
      <c r="P1462" s="106"/>
      <c r="S1462" s="106"/>
    </row>
    <row r="1463">
      <c r="G1463" s="106"/>
      <c r="J1463" s="106"/>
      <c r="M1463" s="106"/>
      <c r="P1463" s="106"/>
      <c r="S1463" s="106"/>
    </row>
    <row r="1464">
      <c r="G1464" s="106"/>
      <c r="J1464" s="106"/>
      <c r="M1464" s="106"/>
      <c r="P1464" s="106"/>
      <c r="S1464" s="106"/>
    </row>
    <row r="1465">
      <c r="G1465" s="106"/>
      <c r="J1465" s="106"/>
      <c r="M1465" s="106"/>
      <c r="P1465" s="106"/>
      <c r="S1465" s="106"/>
    </row>
    <row r="1466">
      <c r="G1466" s="106"/>
      <c r="J1466" s="106"/>
      <c r="M1466" s="106"/>
      <c r="P1466" s="106"/>
      <c r="S1466" s="106"/>
    </row>
    <row r="1467">
      <c r="G1467" s="106"/>
      <c r="J1467" s="106"/>
      <c r="M1467" s="106"/>
      <c r="P1467" s="106"/>
      <c r="S1467" s="106"/>
    </row>
    <row r="1468">
      <c r="G1468" s="106"/>
      <c r="J1468" s="106"/>
      <c r="M1468" s="106"/>
      <c r="P1468" s="106"/>
      <c r="S1468" s="106"/>
    </row>
    <row r="1469">
      <c r="G1469" s="106"/>
      <c r="J1469" s="106"/>
      <c r="M1469" s="106"/>
      <c r="P1469" s="106"/>
      <c r="S1469" s="106"/>
    </row>
    <row r="1470">
      <c r="G1470" s="106"/>
      <c r="J1470" s="106"/>
      <c r="M1470" s="106"/>
      <c r="P1470" s="106"/>
      <c r="S1470" s="106"/>
    </row>
    <row r="1471">
      <c r="G1471" s="106"/>
      <c r="J1471" s="106"/>
      <c r="M1471" s="106"/>
      <c r="P1471" s="106"/>
      <c r="S1471" s="106"/>
    </row>
    <row r="1472">
      <c r="G1472" s="106"/>
      <c r="J1472" s="106"/>
      <c r="M1472" s="106"/>
      <c r="P1472" s="106"/>
      <c r="S1472" s="106"/>
    </row>
    <row r="1473">
      <c r="G1473" s="106"/>
      <c r="J1473" s="106"/>
      <c r="M1473" s="106"/>
      <c r="P1473" s="106"/>
      <c r="S1473" s="106"/>
    </row>
    <row r="1474">
      <c r="G1474" s="106"/>
      <c r="J1474" s="106"/>
      <c r="M1474" s="106"/>
      <c r="P1474" s="106"/>
      <c r="S1474" s="106"/>
    </row>
    <row r="1475">
      <c r="G1475" s="106"/>
      <c r="J1475" s="106"/>
      <c r="M1475" s="106"/>
      <c r="P1475" s="106"/>
      <c r="S1475" s="106"/>
    </row>
    <row r="1476">
      <c r="G1476" s="106"/>
      <c r="J1476" s="106"/>
      <c r="M1476" s="106"/>
      <c r="P1476" s="106"/>
      <c r="S1476" s="106"/>
    </row>
    <row r="1477">
      <c r="G1477" s="106"/>
      <c r="J1477" s="106"/>
      <c r="M1477" s="106"/>
      <c r="P1477" s="106"/>
      <c r="S1477" s="106"/>
    </row>
    <row r="1478">
      <c r="G1478" s="106"/>
      <c r="J1478" s="106"/>
      <c r="M1478" s="106"/>
      <c r="P1478" s="106"/>
      <c r="S1478" s="106"/>
    </row>
    <row r="1479">
      <c r="G1479" s="106"/>
      <c r="J1479" s="106"/>
      <c r="M1479" s="106"/>
      <c r="P1479" s="106"/>
      <c r="S1479" s="106"/>
    </row>
    <row r="1480">
      <c r="G1480" s="106"/>
      <c r="J1480" s="106"/>
      <c r="M1480" s="106"/>
      <c r="P1480" s="106"/>
      <c r="S1480" s="106"/>
    </row>
    <row r="1481">
      <c r="G1481" s="106"/>
      <c r="J1481" s="106"/>
      <c r="M1481" s="106"/>
      <c r="P1481" s="106"/>
      <c r="S1481" s="106"/>
    </row>
    <row r="1482">
      <c r="G1482" s="106"/>
      <c r="J1482" s="106"/>
      <c r="M1482" s="106"/>
      <c r="P1482" s="106"/>
      <c r="S1482" s="106"/>
    </row>
    <row r="1483">
      <c r="G1483" s="106"/>
      <c r="J1483" s="106"/>
      <c r="M1483" s="106"/>
      <c r="P1483" s="106"/>
      <c r="S1483" s="106"/>
    </row>
    <row r="1484">
      <c r="G1484" s="106"/>
      <c r="J1484" s="106"/>
      <c r="M1484" s="106"/>
      <c r="P1484" s="106"/>
      <c r="S1484" s="106"/>
    </row>
    <row r="1485">
      <c r="G1485" s="106"/>
      <c r="J1485" s="106"/>
      <c r="M1485" s="106"/>
      <c r="P1485" s="106"/>
      <c r="S1485" s="106"/>
    </row>
    <row r="1486">
      <c r="G1486" s="106"/>
      <c r="J1486" s="106"/>
      <c r="M1486" s="106"/>
      <c r="P1486" s="106"/>
      <c r="S1486" s="106"/>
    </row>
    <row r="1487">
      <c r="G1487" s="106"/>
      <c r="J1487" s="106"/>
      <c r="M1487" s="106"/>
      <c r="P1487" s="106"/>
      <c r="S1487" s="106"/>
    </row>
    <row r="1488">
      <c r="G1488" s="106"/>
      <c r="J1488" s="106"/>
      <c r="M1488" s="106"/>
      <c r="P1488" s="106"/>
      <c r="S1488" s="106"/>
    </row>
    <row r="1489">
      <c r="G1489" s="106"/>
      <c r="J1489" s="106"/>
      <c r="M1489" s="106"/>
      <c r="P1489" s="106"/>
      <c r="S1489" s="106"/>
    </row>
    <row r="1490">
      <c r="G1490" s="106"/>
      <c r="J1490" s="106"/>
      <c r="M1490" s="106"/>
      <c r="P1490" s="106"/>
      <c r="S1490" s="106"/>
    </row>
    <row r="1491">
      <c r="G1491" s="106"/>
      <c r="J1491" s="106"/>
      <c r="M1491" s="106"/>
      <c r="P1491" s="106"/>
      <c r="S1491" s="106"/>
    </row>
    <row r="1492">
      <c r="G1492" s="106"/>
      <c r="J1492" s="106"/>
      <c r="M1492" s="106"/>
      <c r="P1492" s="106"/>
      <c r="S1492" s="106"/>
    </row>
    <row r="1493">
      <c r="G1493" s="106"/>
      <c r="J1493" s="106"/>
      <c r="M1493" s="106"/>
      <c r="P1493" s="106"/>
      <c r="S1493" s="106"/>
    </row>
    <row r="1494">
      <c r="G1494" s="106"/>
      <c r="J1494" s="106"/>
      <c r="M1494" s="106"/>
      <c r="P1494" s="106"/>
      <c r="S1494" s="106"/>
    </row>
    <row r="1495">
      <c r="G1495" s="106"/>
      <c r="J1495" s="106"/>
      <c r="M1495" s="106"/>
      <c r="P1495" s="106"/>
      <c r="S1495" s="106"/>
    </row>
    <row r="1496">
      <c r="G1496" s="106"/>
      <c r="J1496" s="106"/>
      <c r="M1496" s="106"/>
      <c r="P1496" s="106"/>
      <c r="S1496" s="106"/>
    </row>
    <row r="1497">
      <c r="G1497" s="106"/>
      <c r="J1497" s="106"/>
      <c r="M1497" s="106"/>
      <c r="P1497" s="106"/>
      <c r="S1497" s="106"/>
    </row>
    <row r="1498">
      <c r="G1498" s="106"/>
      <c r="J1498" s="106"/>
      <c r="M1498" s="106"/>
      <c r="P1498" s="106"/>
      <c r="S1498" s="106"/>
    </row>
    <row r="1499">
      <c r="G1499" s="106"/>
      <c r="J1499" s="106"/>
      <c r="M1499" s="106"/>
      <c r="P1499" s="106"/>
      <c r="S1499" s="106"/>
    </row>
    <row r="1500">
      <c r="G1500" s="106"/>
      <c r="J1500" s="106"/>
      <c r="M1500" s="106"/>
      <c r="P1500" s="106"/>
      <c r="S1500" s="106"/>
    </row>
    <row r="1501">
      <c r="G1501" s="106"/>
      <c r="J1501" s="106"/>
      <c r="M1501" s="106"/>
      <c r="P1501" s="106"/>
      <c r="S1501" s="106"/>
    </row>
    <row r="1502">
      <c r="G1502" s="106"/>
      <c r="J1502" s="106"/>
      <c r="M1502" s="106"/>
      <c r="P1502" s="106"/>
      <c r="S1502" s="106"/>
    </row>
    <row r="1503">
      <c r="G1503" s="106"/>
      <c r="J1503" s="106"/>
      <c r="M1503" s="106"/>
      <c r="P1503" s="106"/>
      <c r="S1503" s="106"/>
    </row>
    <row r="1504">
      <c r="G1504" s="106"/>
      <c r="J1504" s="106"/>
      <c r="M1504" s="106"/>
      <c r="P1504" s="106"/>
      <c r="S1504" s="106"/>
    </row>
    <row r="1505">
      <c r="G1505" s="106"/>
      <c r="J1505" s="106"/>
      <c r="M1505" s="106"/>
      <c r="P1505" s="106"/>
      <c r="S1505" s="106"/>
    </row>
    <row r="1506">
      <c r="G1506" s="106"/>
      <c r="J1506" s="106"/>
      <c r="M1506" s="106"/>
      <c r="P1506" s="106"/>
      <c r="S1506" s="106"/>
    </row>
    <row r="1507">
      <c r="G1507" s="106"/>
      <c r="J1507" s="106"/>
      <c r="M1507" s="106"/>
      <c r="P1507" s="106"/>
      <c r="S1507" s="106"/>
    </row>
    <row r="1508">
      <c r="G1508" s="106"/>
      <c r="J1508" s="106"/>
      <c r="M1508" s="106"/>
      <c r="P1508" s="106"/>
      <c r="S1508" s="106"/>
    </row>
    <row r="1509">
      <c r="G1509" s="106"/>
      <c r="J1509" s="106"/>
      <c r="M1509" s="106"/>
      <c r="P1509" s="106"/>
      <c r="S1509" s="106"/>
    </row>
    <row r="1510">
      <c r="G1510" s="106"/>
      <c r="J1510" s="106"/>
      <c r="M1510" s="106"/>
      <c r="P1510" s="106"/>
      <c r="S1510" s="106"/>
    </row>
    <row r="1511">
      <c r="G1511" s="106"/>
      <c r="J1511" s="106"/>
      <c r="M1511" s="106"/>
      <c r="P1511" s="106"/>
      <c r="S1511" s="106"/>
    </row>
    <row r="1512">
      <c r="G1512" s="106"/>
      <c r="J1512" s="106"/>
      <c r="M1512" s="106"/>
      <c r="P1512" s="106"/>
      <c r="S1512" s="106"/>
    </row>
    <row r="1513">
      <c r="G1513" s="106"/>
      <c r="J1513" s="106"/>
      <c r="M1513" s="106"/>
      <c r="P1513" s="106"/>
      <c r="S1513" s="106"/>
    </row>
    <row r="1514">
      <c r="G1514" s="106"/>
      <c r="J1514" s="106"/>
      <c r="M1514" s="106"/>
      <c r="P1514" s="106"/>
      <c r="S1514" s="106"/>
    </row>
    <row r="1515">
      <c r="G1515" s="106"/>
      <c r="J1515" s="106"/>
      <c r="M1515" s="106"/>
      <c r="P1515" s="106"/>
      <c r="S1515" s="106"/>
    </row>
    <row r="1516">
      <c r="G1516" s="106"/>
      <c r="J1516" s="106"/>
      <c r="M1516" s="106"/>
      <c r="P1516" s="106"/>
      <c r="S1516" s="106"/>
    </row>
    <row r="1517">
      <c r="G1517" s="106"/>
      <c r="J1517" s="106"/>
      <c r="M1517" s="106"/>
      <c r="P1517" s="106"/>
      <c r="S1517" s="106"/>
    </row>
    <row r="1518">
      <c r="G1518" s="106"/>
      <c r="J1518" s="106"/>
      <c r="M1518" s="106"/>
      <c r="P1518" s="106"/>
      <c r="S1518" s="106"/>
    </row>
    <row r="1519">
      <c r="G1519" s="106"/>
      <c r="J1519" s="106"/>
      <c r="M1519" s="106"/>
      <c r="P1519" s="106"/>
      <c r="S1519" s="106"/>
    </row>
    <row r="1520">
      <c r="G1520" s="106"/>
      <c r="J1520" s="106"/>
      <c r="M1520" s="106"/>
      <c r="P1520" s="106"/>
      <c r="S1520" s="106"/>
    </row>
    <row r="1521">
      <c r="G1521" s="106"/>
      <c r="J1521" s="106"/>
      <c r="M1521" s="106"/>
      <c r="P1521" s="106"/>
      <c r="S1521" s="106"/>
    </row>
    <row r="1522">
      <c r="G1522" s="106"/>
      <c r="J1522" s="106"/>
      <c r="M1522" s="106"/>
      <c r="P1522" s="106"/>
      <c r="S1522" s="106"/>
    </row>
    <row r="1523">
      <c r="G1523" s="106"/>
      <c r="J1523" s="106"/>
      <c r="M1523" s="106"/>
      <c r="P1523" s="106"/>
      <c r="S1523" s="106"/>
    </row>
    <row r="1524">
      <c r="G1524" s="106"/>
      <c r="J1524" s="106"/>
      <c r="M1524" s="106"/>
      <c r="P1524" s="106"/>
      <c r="S1524" s="106"/>
    </row>
    <row r="1525">
      <c r="G1525" s="106"/>
      <c r="J1525" s="106"/>
      <c r="M1525" s="106"/>
      <c r="P1525" s="106"/>
      <c r="S1525" s="106"/>
    </row>
    <row r="1526">
      <c r="G1526" s="106"/>
      <c r="J1526" s="106"/>
      <c r="M1526" s="106"/>
      <c r="P1526" s="106"/>
      <c r="S1526" s="106"/>
    </row>
    <row r="1527">
      <c r="G1527" s="106"/>
      <c r="J1527" s="106"/>
      <c r="M1527" s="106"/>
      <c r="P1527" s="106"/>
      <c r="S1527" s="106"/>
    </row>
    <row r="1528">
      <c r="G1528" s="106"/>
      <c r="J1528" s="106"/>
      <c r="M1528" s="106"/>
      <c r="P1528" s="106"/>
      <c r="S1528" s="106"/>
    </row>
    <row r="1529">
      <c r="G1529" s="106"/>
      <c r="J1529" s="106"/>
      <c r="M1529" s="106"/>
      <c r="P1529" s="106"/>
      <c r="S1529" s="106"/>
    </row>
    <row r="1530">
      <c r="G1530" s="106"/>
      <c r="J1530" s="106"/>
      <c r="M1530" s="106"/>
      <c r="P1530" s="106"/>
      <c r="S1530" s="106"/>
    </row>
    <row r="1531">
      <c r="G1531" s="106"/>
      <c r="J1531" s="106"/>
      <c r="M1531" s="106"/>
      <c r="P1531" s="106"/>
      <c r="S1531" s="106"/>
    </row>
    <row r="1532">
      <c r="G1532" s="106"/>
      <c r="J1532" s="106"/>
      <c r="M1532" s="106"/>
      <c r="P1532" s="106"/>
      <c r="S1532" s="106"/>
    </row>
    <row r="1533">
      <c r="G1533" s="106"/>
      <c r="J1533" s="106"/>
      <c r="M1533" s="106"/>
      <c r="P1533" s="106"/>
      <c r="S1533" s="106"/>
    </row>
    <row r="1534">
      <c r="G1534" s="106"/>
      <c r="J1534" s="106"/>
      <c r="M1534" s="106"/>
      <c r="P1534" s="106"/>
      <c r="S1534" s="106"/>
    </row>
    <row r="1535">
      <c r="G1535" s="106"/>
      <c r="J1535" s="106"/>
      <c r="M1535" s="106"/>
      <c r="P1535" s="106"/>
      <c r="S1535" s="106"/>
    </row>
    <row r="1536">
      <c r="G1536" s="106"/>
      <c r="J1536" s="106"/>
      <c r="M1536" s="106"/>
      <c r="P1536" s="106"/>
      <c r="S1536" s="106"/>
    </row>
    <row r="1537">
      <c r="G1537" s="106"/>
      <c r="J1537" s="106"/>
      <c r="M1537" s="106"/>
      <c r="P1537" s="106"/>
      <c r="S1537" s="106"/>
    </row>
    <row r="1538">
      <c r="G1538" s="106"/>
      <c r="J1538" s="106"/>
      <c r="M1538" s="106"/>
      <c r="P1538" s="106"/>
      <c r="S1538" s="106"/>
    </row>
    <row r="1539">
      <c r="G1539" s="106"/>
      <c r="J1539" s="106"/>
      <c r="M1539" s="106"/>
      <c r="P1539" s="106"/>
      <c r="S1539" s="106"/>
    </row>
    <row r="1540">
      <c r="G1540" s="106"/>
      <c r="J1540" s="106"/>
      <c r="M1540" s="106"/>
      <c r="P1540" s="106"/>
      <c r="S1540" s="106"/>
    </row>
    <row r="1541">
      <c r="G1541" s="106"/>
      <c r="J1541" s="106"/>
      <c r="M1541" s="106"/>
      <c r="P1541" s="106"/>
      <c r="S1541" s="106"/>
    </row>
    <row r="1542">
      <c r="G1542" s="106"/>
      <c r="J1542" s="106"/>
      <c r="M1542" s="106"/>
      <c r="P1542" s="106"/>
      <c r="S1542" s="106"/>
    </row>
    <row r="1543">
      <c r="G1543" s="106"/>
      <c r="J1543" s="106"/>
      <c r="M1543" s="106"/>
      <c r="P1543" s="106"/>
      <c r="S1543" s="106"/>
    </row>
    <row r="1544">
      <c r="G1544" s="106"/>
      <c r="J1544" s="106"/>
      <c r="M1544" s="106"/>
      <c r="P1544" s="106"/>
      <c r="S1544" s="106"/>
    </row>
    <row r="1545">
      <c r="G1545" s="106"/>
      <c r="J1545" s="106"/>
      <c r="M1545" s="106"/>
      <c r="P1545" s="106"/>
      <c r="S1545" s="106"/>
    </row>
    <row r="1546">
      <c r="G1546" s="106"/>
      <c r="J1546" s="106"/>
      <c r="M1546" s="106"/>
      <c r="P1546" s="106"/>
      <c r="S1546" s="106"/>
    </row>
    <row r="1547">
      <c r="G1547" s="106"/>
      <c r="J1547" s="106"/>
      <c r="M1547" s="106"/>
      <c r="P1547" s="106"/>
      <c r="S1547" s="106"/>
    </row>
    <row r="1548">
      <c r="G1548" s="106"/>
      <c r="J1548" s="106"/>
      <c r="M1548" s="106"/>
      <c r="P1548" s="106"/>
      <c r="S1548" s="106"/>
    </row>
    <row r="1549">
      <c r="G1549" s="106"/>
      <c r="J1549" s="106"/>
      <c r="M1549" s="106"/>
      <c r="P1549" s="106"/>
      <c r="S1549" s="106"/>
    </row>
    <row r="1550">
      <c r="G1550" s="106"/>
      <c r="J1550" s="106"/>
      <c r="M1550" s="106"/>
      <c r="P1550" s="106"/>
      <c r="S1550" s="106"/>
    </row>
    <row r="1551">
      <c r="G1551" s="106"/>
      <c r="J1551" s="106"/>
      <c r="M1551" s="106"/>
      <c r="P1551" s="106"/>
      <c r="S1551" s="106"/>
    </row>
    <row r="1552">
      <c r="G1552" s="106"/>
      <c r="J1552" s="106"/>
      <c r="M1552" s="106"/>
      <c r="P1552" s="106"/>
      <c r="S1552" s="106"/>
    </row>
    <row r="1553">
      <c r="G1553" s="106"/>
      <c r="J1553" s="106"/>
      <c r="M1553" s="106"/>
      <c r="P1553" s="106"/>
      <c r="S1553" s="106"/>
    </row>
    <row r="1554">
      <c r="G1554" s="106"/>
      <c r="J1554" s="106"/>
      <c r="M1554" s="106"/>
      <c r="P1554" s="106"/>
      <c r="S1554" s="106"/>
    </row>
    <row r="1555">
      <c r="G1555" s="106"/>
      <c r="J1555" s="106"/>
      <c r="M1555" s="106"/>
      <c r="P1555" s="106"/>
      <c r="S1555" s="106"/>
    </row>
    <row r="1556">
      <c r="G1556" s="106"/>
      <c r="J1556" s="106"/>
      <c r="M1556" s="106"/>
      <c r="P1556" s="106"/>
      <c r="S1556" s="106"/>
    </row>
    <row r="1557">
      <c r="G1557" s="106"/>
      <c r="J1557" s="106"/>
      <c r="M1557" s="106"/>
      <c r="P1557" s="106"/>
      <c r="S1557" s="106"/>
    </row>
    <row r="1558">
      <c r="G1558" s="106"/>
      <c r="J1558" s="106"/>
      <c r="M1558" s="106"/>
      <c r="P1558" s="106"/>
      <c r="S1558" s="106"/>
    </row>
    <row r="1559">
      <c r="G1559" s="106"/>
      <c r="J1559" s="106"/>
      <c r="M1559" s="106"/>
      <c r="P1559" s="106"/>
      <c r="S1559" s="106"/>
    </row>
    <row r="1560">
      <c r="G1560" s="106"/>
      <c r="J1560" s="106"/>
      <c r="M1560" s="106"/>
      <c r="P1560" s="106"/>
      <c r="S1560" s="106"/>
    </row>
    <row r="1561">
      <c r="G1561" s="106"/>
      <c r="J1561" s="106"/>
      <c r="M1561" s="106"/>
      <c r="P1561" s="106"/>
      <c r="S1561" s="106"/>
    </row>
    <row r="1562">
      <c r="G1562" s="106"/>
      <c r="J1562" s="106"/>
      <c r="M1562" s="106"/>
      <c r="P1562" s="106"/>
      <c r="S1562" s="106"/>
    </row>
    <row r="1563">
      <c r="G1563" s="106"/>
      <c r="J1563" s="106"/>
      <c r="M1563" s="106"/>
      <c r="P1563" s="106"/>
      <c r="S1563" s="106"/>
    </row>
    <row r="1564">
      <c r="G1564" s="106"/>
      <c r="J1564" s="106"/>
      <c r="M1564" s="106"/>
      <c r="P1564" s="106"/>
      <c r="S1564" s="106"/>
    </row>
    <row r="1565">
      <c r="G1565" s="106"/>
      <c r="J1565" s="106"/>
      <c r="M1565" s="106"/>
      <c r="P1565" s="106"/>
      <c r="S1565" s="106"/>
    </row>
    <row r="1566">
      <c r="G1566" s="106"/>
      <c r="J1566" s="106"/>
      <c r="M1566" s="106"/>
      <c r="P1566" s="106"/>
      <c r="S1566" s="106"/>
    </row>
    <row r="1567">
      <c r="G1567" s="106"/>
      <c r="J1567" s="106"/>
      <c r="M1567" s="106"/>
      <c r="P1567" s="106"/>
      <c r="S1567" s="106"/>
    </row>
    <row r="1568">
      <c r="G1568" s="106"/>
      <c r="J1568" s="106"/>
      <c r="M1568" s="106"/>
      <c r="P1568" s="106"/>
      <c r="S1568" s="106"/>
    </row>
    <row r="1569">
      <c r="G1569" s="106"/>
      <c r="J1569" s="106"/>
      <c r="M1569" s="106"/>
      <c r="P1569" s="106"/>
      <c r="S1569" s="106"/>
    </row>
    <row r="1570">
      <c r="G1570" s="106"/>
      <c r="J1570" s="106"/>
      <c r="M1570" s="106"/>
      <c r="P1570" s="106"/>
      <c r="S1570" s="106"/>
    </row>
    <row r="1571">
      <c r="G1571" s="106"/>
      <c r="J1571" s="106"/>
      <c r="M1571" s="106"/>
      <c r="P1571" s="106"/>
      <c r="S1571" s="106"/>
    </row>
    <row r="1572">
      <c r="G1572" s="106"/>
      <c r="J1572" s="106"/>
      <c r="M1572" s="106"/>
      <c r="P1572" s="106"/>
      <c r="S1572" s="106"/>
    </row>
    <row r="1573">
      <c r="G1573" s="106"/>
      <c r="J1573" s="106"/>
      <c r="M1573" s="106"/>
      <c r="P1573" s="106"/>
      <c r="S1573" s="106"/>
    </row>
    <row r="1574">
      <c r="G1574" s="106"/>
      <c r="J1574" s="106"/>
      <c r="M1574" s="106"/>
      <c r="P1574" s="106"/>
      <c r="S1574" s="106"/>
    </row>
    <row r="1575">
      <c r="G1575" s="106"/>
      <c r="J1575" s="106"/>
      <c r="M1575" s="106"/>
      <c r="P1575" s="106"/>
      <c r="S1575" s="106"/>
    </row>
    <row r="1576">
      <c r="G1576" s="106"/>
      <c r="J1576" s="106"/>
      <c r="M1576" s="106"/>
      <c r="P1576" s="106"/>
      <c r="S1576" s="106"/>
    </row>
    <row r="1577">
      <c r="G1577" s="106"/>
      <c r="J1577" s="106"/>
      <c r="M1577" s="106"/>
      <c r="P1577" s="106"/>
      <c r="S1577" s="106"/>
    </row>
    <row r="1578">
      <c r="G1578" s="106"/>
      <c r="J1578" s="106"/>
      <c r="M1578" s="106"/>
      <c r="P1578" s="106"/>
      <c r="S1578" s="106"/>
    </row>
    <row r="1579">
      <c r="G1579" s="106"/>
      <c r="J1579" s="106"/>
      <c r="M1579" s="106"/>
      <c r="P1579" s="106"/>
      <c r="S1579" s="106"/>
    </row>
    <row r="1580">
      <c r="G1580" s="106"/>
      <c r="J1580" s="106"/>
      <c r="M1580" s="106"/>
      <c r="P1580" s="106"/>
      <c r="S1580" s="106"/>
    </row>
    <row r="1581">
      <c r="G1581" s="106"/>
      <c r="J1581" s="106"/>
      <c r="M1581" s="106"/>
      <c r="P1581" s="106"/>
      <c r="S1581" s="106"/>
    </row>
    <row r="1582">
      <c r="G1582" s="106"/>
      <c r="J1582" s="106"/>
      <c r="M1582" s="106"/>
      <c r="P1582" s="106"/>
      <c r="S1582" s="106"/>
    </row>
    <row r="1583">
      <c r="G1583" s="106"/>
      <c r="J1583" s="106"/>
      <c r="M1583" s="106"/>
      <c r="P1583" s="106"/>
      <c r="S1583" s="106"/>
    </row>
    <row r="1584">
      <c r="G1584" s="106"/>
      <c r="J1584" s="106"/>
      <c r="M1584" s="106"/>
      <c r="P1584" s="106"/>
      <c r="S1584" s="106"/>
    </row>
    <row r="1585">
      <c r="G1585" s="106"/>
      <c r="J1585" s="106"/>
      <c r="M1585" s="106"/>
      <c r="P1585" s="106"/>
      <c r="S1585" s="106"/>
    </row>
  </sheetData>
  <conditionalFormatting sqref="B101:B1000">
    <cfRule type="expression" dxfId="19" priority="1">
      <formula>AND(B101&lt;&gt;"", ISEVEN(SUMPRODUCT((B$101:B101&lt;&gt;OFFSET(B$101:B101,-1,0))*(B$101:B101&lt;&gt;""))))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hidden="1" min="27" max="27" width="12.63"/>
    <col hidden="1" min="36" max="36" width="12.63"/>
    <col hidden="1" min="42" max="42" width="12.63"/>
  </cols>
  <sheetData>
    <row r="1">
      <c r="E1" s="234"/>
      <c r="F1" s="106"/>
      <c r="G1" s="159"/>
      <c r="H1" s="234"/>
      <c r="I1" s="106"/>
      <c r="J1" s="159"/>
      <c r="K1" s="159"/>
      <c r="L1" s="106"/>
      <c r="M1" s="159"/>
      <c r="N1" s="159"/>
      <c r="O1" s="106"/>
      <c r="P1" s="159"/>
      <c r="Q1" s="159"/>
      <c r="R1" s="106"/>
      <c r="S1" s="159"/>
      <c r="T1" s="159"/>
      <c r="U1" s="106"/>
      <c r="V1" s="159"/>
      <c r="W1" s="159"/>
      <c r="X1" s="106"/>
      <c r="Y1" s="159"/>
    </row>
    <row r="2">
      <c r="E2" s="235" t="s">
        <v>195</v>
      </c>
      <c r="K2" s="236" t="s">
        <v>196</v>
      </c>
      <c r="T2" s="237" t="s">
        <v>197</v>
      </c>
    </row>
    <row r="3">
      <c r="A3" s="2" t="str">
        <f t="array" ref="A3:D986">'Bulk Data'!J2:M985</f>
        <v>Period</v>
      </c>
      <c r="B3" s="2" t="s">
        <v>114</v>
      </c>
      <c r="C3" s="2" t="s">
        <v>115</v>
      </c>
      <c r="D3" s="2" t="s">
        <v>116</v>
      </c>
      <c r="E3" s="238" t="s">
        <v>198</v>
      </c>
      <c r="F3" s="238" t="s">
        <v>199</v>
      </c>
      <c r="G3" s="239" t="s">
        <v>200</v>
      </c>
      <c r="H3" s="240" t="s">
        <v>201</v>
      </c>
      <c r="I3" s="240" t="s">
        <v>202</v>
      </c>
      <c r="J3" s="239" t="s">
        <v>203</v>
      </c>
      <c r="K3" s="241" t="s">
        <v>204</v>
      </c>
      <c r="L3" s="241" t="s">
        <v>205</v>
      </c>
      <c r="M3" s="120" t="s">
        <v>206</v>
      </c>
      <c r="N3" s="238" t="s">
        <v>207</v>
      </c>
      <c r="O3" s="238" t="s">
        <v>208</v>
      </c>
      <c r="P3" s="239" t="s">
        <v>209</v>
      </c>
      <c r="Q3" s="240" t="s">
        <v>210</v>
      </c>
      <c r="R3" s="240" t="s">
        <v>211</v>
      </c>
      <c r="S3" s="239" t="s">
        <v>212</v>
      </c>
      <c r="T3" s="238" t="s">
        <v>213</v>
      </c>
      <c r="U3" s="242" t="s">
        <v>214</v>
      </c>
      <c r="V3" s="239" t="s">
        <v>215</v>
      </c>
      <c r="W3" s="240" t="s">
        <v>216</v>
      </c>
      <c r="X3" s="243" t="s">
        <v>217</v>
      </c>
      <c r="Y3" s="239" t="s">
        <v>218</v>
      </c>
    </row>
    <row r="4">
      <c r="A4" s="136"/>
      <c r="B4" s="244">
        <v>46041.0</v>
      </c>
      <c r="C4" s="2" t="s">
        <v>37</v>
      </c>
      <c r="D4" s="2"/>
      <c r="E4" s="245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""Lunch"",
                'Bulk Data'!M4:M985 = ""MF""
              )
            ),
            0
          ),
  "&amp;"        """"
        )
      )
    )
  )
)"),129.0)</f>
        <v>129</v>
      </c>
      <c r="F4" s="246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""Lunch"",
                'Bulk Data'!M4:M985 = ""MF""
              )
            ),
            0
          ),
  "&amp;"        """"
        )
      )
    )
  )
)"),0.10416666666424135)</f>
        <v>0.1041666667</v>
      </c>
      <c r="G4" s="247">
        <f t="shared" ref="G4:G1000" si="1">if(ISNUMBER(E4),IFERROR(E4/(F4*24),""),"")</f>
        <v>51.6</v>
      </c>
      <c r="H4" s="248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""Dinner"",
                'Bulk Data'!M4:M985 = ""MF""
              )
            ),
            0
          ),
 "&amp;"         """"
        )
      )
    )
  )
)"),0.0)</f>
        <v>0</v>
      </c>
      <c r="I4" s="249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""Dinner"",
                'Bulk Data'!M4:M985 = ""MF""
              )
            ),
            0
          ),
 "&amp;"         """"
        )
      )
    )
  )
)"),0.0)</f>
        <v>0</v>
      </c>
      <c r="J4" s="250" t="str">
        <f t="shared" ref="J4:J1000" si="2">if(ISNUMBER(H4),IFERROR(H4/(I4*24),""),"")</f>
        <v/>
      </c>
      <c r="K4" s="251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""Breakfast"",
                'Bulk Data'!M4:M985 = ""BF""
              )
            ),
            0
          )"&amp;",
          """"
        )
      )
    )
  )
)"),0.0)</f>
        <v>0</v>
      </c>
      <c r="L4" s="252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""Breakfast"",
                'Bulk Data'!M4:M985 = ""BF""
              )
            ),
            0
          )"&amp;",
          """"
        )
      )
    )
  )
)"),0.0)</f>
        <v>0</v>
      </c>
      <c r="M4" s="253" t="str">
        <f t="shared" ref="M4:M1000" si="3">if(ISNUMBER(K4),IFERROR(K4/(L4*24),""),"")</f>
        <v/>
      </c>
      <c r="N4" s="254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""Lunch"",
                'Bulk Data'!M4:M985 = ""BF""
              )
            ),
            0
          ),
  "&amp;"        """"
        )
      )
    )
  )
)"),0.0)</f>
        <v>0</v>
      </c>
      <c r="O4" s="246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""Lunch"",
                'Bulk Data'!M4:M985 = ""BF""
              )
            ),
            0
          ),
  "&amp;"        """"
        )
      )
    )
  )
)"),0.0)</f>
        <v>0</v>
      </c>
      <c r="P4" s="247" t="str">
        <f t="shared" ref="P4:P1000" si="4">if(ISNUMBER(N4),IFERROR(N4/(O4*24),""),"")</f>
        <v/>
      </c>
      <c r="Q4" s="255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""Dinner"",
                'Bulk Data'!M4:M985 = ""BF""
              )
            ),
            0
          ),
 "&amp;"         """"
        )
      )
    )
  )
)"),0.0)</f>
        <v>0</v>
      </c>
      <c r="R4" s="249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""Dinner"",
                'Bulk Data'!M4:M985 = ""BF""
              )
            ),
            0
          ),
 "&amp;"         """"
        )
      )
    )
  )
)"),0.0)</f>
        <v>0</v>
      </c>
      <c r="S4" s="250" t="str">
        <f t="shared" ref="S4:S1000" si="5">if(ISNUMBER(Q4),IFERROR(Q4/(R4*24),""),"")</f>
        <v/>
      </c>
      <c r="T4" s="254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""Lunch""
              )
            ),
            0
          ),
          """"
        )
      )
    )
  )
)"),129.0)</f>
        <v>129</v>
      </c>
      <c r="U4" s="246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""Lunch""
              )
            ),
            0
          ),
          """"
        )
      )
    )
  )
)"),0.10416666666424135)</f>
        <v>0.1041666667</v>
      </c>
      <c r="V4" s="247">
        <f t="shared" ref="V4:V1000" si="6">if(ISNUMBER(T4),IFERROR(T4/(U4*24),""),"")</f>
        <v>51.6</v>
      </c>
      <c r="W4" s="255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Data'!H4:H985,
                'Bulk Data'!K4:K985 = r,
                'Bulk Data'!J4:J985 = ""Dinner""
              )
            ),
            0
          ),
          """"
        )
      )
    )
  )
)"),0.0)</f>
        <v>0</v>
      </c>
      <c r="X4" s="249">
        <f>IFERROR(__xludf.DUMMYFUNCTION("BYROW('Bulk Data'!K4:K985,
  LAMBDA(r,
    IF(r="""","""",
      LET(
        rowIdx, ROW(r)-ROW('Bulk Data'!K4)+1,
        nextVal, IFERROR(INDEX('Bulk Data'!K4:K985, rowIdx+1), """"),
        IF(
          r&lt;&gt;nextVal,
          IFERROR(
            SUM("&amp;"
              FILTER(
                'Bulk Data'!E4:E985,
                'Bulk Data'!K4:K985 = r,
                'Bulk Data'!J4:J985 = ""Dinner""
              )
            ),
            0
          ),
          """"
        )
      )
    )
  )
)"),0.0)</f>
        <v>0</v>
      </c>
      <c r="Y4" s="250" t="str">
        <f t="shared" ref="Y4:Y1000" si="7">if(ISNUMBER(W4),IFERROR(W4/(X4*24),""),"")</f>
        <v/>
      </c>
    </row>
    <row r="5">
      <c r="A5" s="136" t="s">
        <v>15</v>
      </c>
      <c r="B5" s="146">
        <v>46043.0</v>
      </c>
      <c r="C5" s="136" t="s">
        <v>45</v>
      </c>
      <c r="D5" s="136" t="s">
        <v>148</v>
      </c>
      <c r="E5" s="256" t="str">
        <f>IFERROR(__xludf.DUMMYFUNCTION("""COMPUTED_VALUE"""),"")</f>
        <v/>
      </c>
      <c r="F5" s="257" t="str">
        <f>IFERROR(__xludf.DUMMYFUNCTION("""COMPUTED_VALUE"""),"")</f>
        <v/>
      </c>
      <c r="G5" s="247" t="str">
        <f t="shared" si="1"/>
        <v/>
      </c>
      <c r="H5" s="258" t="str">
        <f>IFERROR(__xludf.DUMMYFUNCTION("""COMPUTED_VALUE"""),"")</f>
        <v/>
      </c>
      <c r="I5" s="259" t="str">
        <f>IFERROR(__xludf.DUMMYFUNCTION("""COMPUTED_VALUE"""),"")</f>
        <v/>
      </c>
      <c r="J5" s="250" t="str">
        <f t="shared" si="2"/>
        <v/>
      </c>
      <c r="K5" s="251" t="str">
        <f>IFERROR(__xludf.DUMMYFUNCTION("""COMPUTED_VALUE"""),"")</f>
        <v/>
      </c>
      <c r="L5" s="252" t="str">
        <f>IFERROR(__xludf.DUMMYFUNCTION("""COMPUTED_VALUE"""),"")</f>
        <v/>
      </c>
      <c r="M5" s="253" t="str">
        <f t="shared" si="3"/>
        <v/>
      </c>
      <c r="N5" s="254" t="str">
        <f>IFERROR(__xludf.DUMMYFUNCTION("""COMPUTED_VALUE"""),"")</f>
        <v/>
      </c>
      <c r="O5" s="246" t="str">
        <f>IFERROR(__xludf.DUMMYFUNCTION("""COMPUTED_VALUE"""),"")</f>
        <v/>
      </c>
      <c r="P5" s="247" t="str">
        <f t="shared" si="4"/>
        <v/>
      </c>
      <c r="Q5" s="255" t="str">
        <f>IFERROR(__xludf.DUMMYFUNCTION("""COMPUTED_VALUE"""),"")</f>
        <v/>
      </c>
      <c r="R5" s="249" t="str">
        <f>IFERROR(__xludf.DUMMYFUNCTION("""COMPUTED_VALUE"""),"")</f>
        <v/>
      </c>
      <c r="S5" s="250" t="str">
        <f t="shared" si="5"/>
        <v/>
      </c>
      <c r="T5" s="254" t="str">
        <f>IFERROR(__xludf.DUMMYFUNCTION("""COMPUTED_VALUE"""),"")</f>
        <v/>
      </c>
      <c r="U5" s="246" t="str">
        <f>IFERROR(__xludf.DUMMYFUNCTION("""COMPUTED_VALUE"""),"")</f>
        <v/>
      </c>
      <c r="V5" s="247" t="str">
        <f t="shared" si="6"/>
        <v/>
      </c>
      <c r="W5" s="255" t="str">
        <f>IFERROR(__xludf.DUMMYFUNCTION("""COMPUTED_VALUE"""),"")</f>
        <v/>
      </c>
      <c r="X5" s="249" t="str">
        <f>IFERROR(__xludf.DUMMYFUNCTION("""COMPUTED_VALUE"""),"")</f>
        <v/>
      </c>
      <c r="Y5" s="250" t="str">
        <f t="shared" si="7"/>
        <v/>
      </c>
    </row>
    <row r="6">
      <c r="A6" s="136" t="s">
        <v>18</v>
      </c>
      <c r="B6" s="146">
        <v>46044.0</v>
      </c>
      <c r="C6" s="136" t="s">
        <v>49</v>
      </c>
      <c r="D6" s="136" t="s">
        <v>149</v>
      </c>
      <c r="E6" s="256">
        <f>IFERROR(__xludf.DUMMYFUNCTION("""COMPUTED_VALUE"""),0.0)</f>
        <v>0</v>
      </c>
      <c r="F6" s="257">
        <f>IFERROR(__xludf.DUMMYFUNCTION("""COMPUTED_VALUE"""),0.0)</f>
        <v>0</v>
      </c>
      <c r="G6" s="247" t="str">
        <f t="shared" si="1"/>
        <v/>
      </c>
      <c r="H6" s="258">
        <f>IFERROR(__xludf.DUMMYFUNCTION("""COMPUTED_VALUE"""),104.0)</f>
        <v>104</v>
      </c>
      <c r="I6" s="259">
        <f>IFERROR(__xludf.DUMMYFUNCTION("""COMPUTED_VALUE"""),0.07708333332993789)</f>
        <v>0.07708333333</v>
      </c>
      <c r="J6" s="250">
        <f t="shared" si="2"/>
        <v>56.21621622</v>
      </c>
      <c r="K6" s="251">
        <f>IFERROR(__xludf.DUMMYFUNCTION("""COMPUTED_VALUE"""),0.0)</f>
        <v>0</v>
      </c>
      <c r="L6" s="252">
        <f>IFERROR(__xludf.DUMMYFUNCTION("""COMPUTED_VALUE"""),0.0)</f>
        <v>0</v>
      </c>
      <c r="M6" s="253" t="str">
        <f t="shared" si="3"/>
        <v/>
      </c>
      <c r="N6" s="254">
        <f>IFERROR(__xludf.DUMMYFUNCTION("""COMPUTED_VALUE"""),0.0)</f>
        <v>0</v>
      </c>
      <c r="O6" s="246">
        <f>IFERROR(__xludf.DUMMYFUNCTION("""COMPUTED_VALUE"""),0.0)</f>
        <v>0</v>
      </c>
      <c r="P6" s="247" t="str">
        <f t="shared" si="4"/>
        <v/>
      </c>
      <c r="Q6" s="255">
        <f>IFERROR(__xludf.DUMMYFUNCTION("""COMPUTED_VALUE"""),114.0)</f>
        <v>114</v>
      </c>
      <c r="R6" s="249">
        <f>IFERROR(__xludf.DUMMYFUNCTION("""COMPUTED_VALUE"""),0.07291666666424135)</f>
        <v>0.07291666666</v>
      </c>
      <c r="S6" s="250">
        <f t="shared" si="5"/>
        <v>65.14285715</v>
      </c>
      <c r="T6" s="254">
        <f>IFERROR(__xludf.DUMMYFUNCTION("""COMPUTED_VALUE"""),0.0)</f>
        <v>0</v>
      </c>
      <c r="U6" s="246">
        <f>IFERROR(__xludf.DUMMYFUNCTION("""COMPUTED_VALUE"""),0.0)</f>
        <v>0</v>
      </c>
      <c r="V6" s="247" t="str">
        <f t="shared" si="6"/>
        <v/>
      </c>
      <c r="W6" s="255">
        <f>IFERROR(__xludf.DUMMYFUNCTION("""COMPUTED_VALUE"""),218.0)</f>
        <v>218</v>
      </c>
      <c r="X6" s="249">
        <f>IFERROR(__xludf.DUMMYFUNCTION("""COMPUTED_VALUE"""),0.14999999999417923)</f>
        <v>0.15</v>
      </c>
      <c r="Y6" s="250">
        <f t="shared" si="7"/>
        <v>60.55555556</v>
      </c>
      <c r="AU6" s="260"/>
    </row>
    <row r="7">
      <c r="A7" s="136" t="s">
        <v>18</v>
      </c>
      <c r="B7" s="146">
        <v>46044.0</v>
      </c>
      <c r="C7" s="136" t="s">
        <v>49</v>
      </c>
      <c r="D7" s="136" t="s">
        <v>148</v>
      </c>
      <c r="E7" s="256">
        <f>IFERROR(__xludf.DUMMYFUNCTION("""COMPUTED_VALUE"""),143.0)</f>
        <v>143</v>
      </c>
      <c r="F7" s="257">
        <f>IFERROR(__xludf.DUMMYFUNCTION("""COMPUTED_VALUE"""),0.12013888888759539)</f>
        <v>0.1201388889</v>
      </c>
      <c r="G7" s="247">
        <f t="shared" si="1"/>
        <v>49.59537572</v>
      </c>
      <c r="H7" s="258">
        <f>IFERROR(__xludf.DUMMYFUNCTION("""COMPUTED_VALUE"""),0.0)</f>
        <v>0</v>
      </c>
      <c r="I7" s="259">
        <f>IFERROR(__xludf.DUMMYFUNCTION("""COMPUTED_VALUE"""),0.0)</f>
        <v>0</v>
      </c>
      <c r="J7" s="250" t="str">
        <f t="shared" si="2"/>
        <v/>
      </c>
      <c r="K7" s="251">
        <f>IFERROR(__xludf.DUMMYFUNCTION("""COMPUTED_VALUE"""),0.0)</f>
        <v>0</v>
      </c>
      <c r="L7" s="252">
        <f>IFERROR(__xludf.DUMMYFUNCTION("""COMPUTED_VALUE"""),0.0)</f>
        <v>0</v>
      </c>
      <c r="M7" s="253" t="str">
        <f t="shared" si="3"/>
        <v/>
      </c>
      <c r="N7" s="254">
        <f>IFERROR(__xludf.DUMMYFUNCTION("""COMPUTED_VALUE"""),0.0)</f>
        <v>0</v>
      </c>
      <c r="O7" s="246">
        <f>IFERROR(__xludf.DUMMYFUNCTION("""COMPUTED_VALUE"""),0.0)</f>
        <v>0</v>
      </c>
      <c r="P7" s="247" t="str">
        <f t="shared" si="4"/>
        <v/>
      </c>
      <c r="Q7" s="255">
        <f>IFERROR(__xludf.DUMMYFUNCTION("""COMPUTED_VALUE"""),0.0)</f>
        <v>0</v>
      </c>
      <c r="R7" s="249">
        <f>IFERROR(__xludf.DUMMYFUNCTION("""COMPUTED_VALUE"""),0.0)</f>
        <v>0</v>
      </c>
      <c r="S7" s="250" t="str">
        <f t="shared" si="5"/>
        <v/>
      </c>
      <c r="T7" s="254">
        <f>IFERROR(__xludf.DUMMYFUNCTION("""COMPUTED_VALUE"""),143.0)</f>
        <v>143</v>
      </c>
      <c r="U7" s="246">
        <f>IFERROR(__xludf.DUMMYFUNCTION("""COMPUTED_VALUE"""),0.12013888888759539)</f>
        <v>0.1201388889</v>
      </c>
      <c r="V7" s="247">
        <f t="shared" si="6"/>
        <v>49.59537572</v>
      </c>
      <c r="W7" s="255">
        <f>IFERROR(__xludf.DUMMYFUNCTION("""COMPUTED_VALUE"""),0.0)</f>
        <v>0</v>
      </c>
      <c r="X7" s="249">
        <f>IFERROR(__xludf.DUMMYFUNCTION("""COMPUTED_VALUE"""),0.0)</f>
        <v>0</v>
      </c>
      <c r="Y7" s="250" t="str">
        <f t="shared" si="7"/>
        <v/>
      </c>
      <c r="AU7" s="261"/>
      <c r="AV7" s="36"/>
    </row>
    <row r="8">
      <c r="A8" s="136" t="s">
        <v>15</v>
      </c>
      <c r="B8" s="146">
        <v>46045.0</v>
      </c>
      <c r="C8" s="136" t="s">
        <v>53</v>
      </c>
      <c r="D8" s="136" t="s">
        <v>148</v>
      </c>
      <c r="E8" s="256">
        <f>IFERROR(__xludf.DUMMYFUNCTION("""COMPUTED_VALUE"""),0.0)</f>
        <v>0</v>
      </c>
      <c r="F8" s="257">
        <f>IFERROR(__xludf.DUMMYFUNCTION("""COMPUTED_VALUE"""),0.0)</f>
        <v>0</v>
      </c>
      <c r="G8" s="247" t="str">
        <f t="shared" si="1"/>
        <v/>
      </c>
      <c r="H8" s="258">
        <f>IFERROR(__xludf.DUMMYFUNCTION("""COMPUTED_VALUE"""),134.0)</f>
        <v>134</v>
      </c>
      <c r="I8" s="259">
        <f>IFERROR(__xludf.DUMMYFUNCTION("""COMPUTED_VALUE"""),0.11458333333575865)</f>
        <v>0.1145833333</v>
      </c>
      <c r="J8" s="250">
        <f t="shared" si="2"/>
        <v>48.72727273</v>
      </c>
      <c r="K8" s="251">
        <f>IFERROR(__xludf.DUMMYFUNCTION("""COMPUTED_VALUE"""),0.0)</f>
        <v>0</v>
      </c>
      <c r="L8" s="252">
        <f>IFERROR(__xludf.DUMMYFUNCTION("""COMPUTED_VALUE"""),0.0)</f>
        <v>0</v>
      </c>
      <c r="M8" s="253" t="str">
        <f t="shared" si="3"/>
        <v/>
      </c>
      <c r="N8" s="254">
        <f>IFERROR(__xludf.DUMMYFUNCTION("""COMPUTED_VALUE"""),0.0)</f>
        <v>0</v>
      </c>
      <c r="O8" s="246">
        <f>IFERROR(__xludf.DUMMYFUNCTION("""COMPUTED_VALUE"""),0.0)</f>
        <v>0</v>
      </c>
      <c r="P8" s="247" t="str">
        <f t="shared" si="4"/>
        <v/>
      </c>
      <c r="Q8" s="255">
        <f>IFERROR(__xludf.DUMMYFUNCTION("""COMPUTED_VALUE"""),0.0)</f>
        <v>0</v>
      </c>
      <c r="R8" s="249">
        <f>IFERROR(__xludf.DUMMYFUNCTION("""COMPUTED_VALUE"""),0.0)</f>
        <v>0</v>
      </c>
      <c r="S8" s="250" t="str">
        <f t="shared" si="5"/>
        <v/>
      </c>
      <c r="T8" s="254">
        <f>IFERROR(__xludf.DUMMYFUNCTION("""COMPUTED_VALUE"""),0.0)</f>
        <v>0</v>
      </c>
      <c r="U8" s="246">
        <f>IFERROR(__xludf.DUMMYFUNCTION("""COMPUTED_VALUE"""),0.0)</f>
        <v>0</v>
      </c>
      <c r="V8" s="247" t="str">
        <f t="shared" si="6"/>
        <v/>
      </c>
      <c r="W8" s="255">
        <f>IFERROR(__xludf.DUMMYFUNCTION("""COMPUTED_VALUE"""),134.0)</f>
        <v>134</v>
      </c>
      <c r="X8" s="249">
        <f>IFERROR(__xludf.DUMMYFUNCTION("""COMPUTED_VALUE"""),0.11458333333575865)</f>
        <v>0.1145833333</v>
      </c>
      <c r="Y8" s="250">
        <f t="shared" si="7"/>
        <v>48.72727273</v>
      </c>
      <c r="AU8" s="261"/>
      <c r="AV8" s="262"/>
    </row>
    <row r="9">
      <c r="A9" s="136" t="s">
        <v>18</v>
      </c>
      <c r="B9" s="146">
        <v>46049.0</v>
      </c>
      <c r="C9" s="136" t="s">
        <v>41</v>
      </c>
      <c r="D9" s="136" t="s">
        <v>148</v>
      </c>
      <c r="E9" s="256" t="str">
        <f>IFERROR(__xludf.DUMMYFUNCTION("""COMPUTED_VALUE"""),"")</f>
        <v/>
      </c>
      <c r="F9" s="257" t="str">
        <f>IFERROR(__xludf.DUMMYFUNCTION("""COMPUTED_VALUE"""),"")</f>
        <v/>
      </c>
      <c r="G9" s="247" t="str">
        <f t="shared" si="1"/>
        <v/>
      </c>
      <c r="H9" s="258" t="str">
        <f>IFERROR(__xludf.DUMMYFUNCTION("""COMPUTED_VALUE"""),"")</f>
        <v/>
      </c>
      <c r="I9" s="259" t="str">
        <f>IFERROR(__xludf.DUMMYFUNCTION("""COMPUTED_VALUE"""),"")</f>
        <v/>
      </c>
      <c r="J9" s="250" t="str">
        <f t="shared" si="2"/>
        <v/>
      </c>
      <c r="K9" s="251" t="str">
        <f>IFERROR(__xludf.DUMMYFUNCTION("""COMPUTED_VALUE"""),"")</f>
        <v/>
      </c>
      <c r="L9" s="252" t="str">
        <f>IFERROR(__xludf.DUMMYFUNCTION("""COMPUTED_VALUE"""),"")</f>
        <v/>
      </c>
      <c r="M9" s="253" t="str">
        <f t="shared" si="3"/>
        <v/>
      </c>
      <c r="N9" s="254" t="str">
        <f>IFERROR(__xludf.DUMMYFUNCTION("""COMPUTED_VALUE"""),"")</f>
        <v/>
      </c>
      <c r="O9" s="246" t="str">
        <f>IFERROR(__xludf.DUMMYFUNCTION("""COMPUTED_VALUE"""),"")</f>
        <v/>
      </c>
      <c r="P9" s="247" t="str">
        <f t="shared" si="4"/>
        <v/>
      </c>
      <c r="Q9" s="255" t="str">
        <f>IFERROR(__xludf.DUMMYFUNCTION("""COMPUTED_VALUE"""),"")</f>
        <v/>
      </c>
      <c r="R9" s="249" t="str">
        <f>IFERROR(__xludf.DUMMYFUNCTION("""COMPUTED_VALUE"""),"")</f>
        <v/>
      </c>
      <c r="S9" s="250" t="str">
        <f t="shared" si="5"/>
        <v/>
      </c>
      <c r="T9" s="254" t="str">
        <f>IFERROR(__xludf.DUMMYFUNCTION("""COMPUTED_VALUE"""),"")</f>
        <v/>
      </c>
      <c r="U9" s="246" t="str">
        <f>IFERROR(__xludf.DUMMYFUNCTION("""COMPUTED_VALUE"""),"")</f>
        <v/>
      </c>
      <c r="V9" s="247" t="str">
        <f t="shared" si="6"/>
        <v/>
      </c>
      <c r="W9" s="255" t="str">
        <f>IFERROR(__xludf.DUMMYFUNCTION("""COMPUTED_VALUE"""),"")</f>
        <v/>
      </c>
      <c r="X9" s="249" t="str">
        <f>IFERROR(__xludf.DUMMYFUNCTION("""COMPUTED_VALUE"""),"")</f>
        <v/>
      </c>
      <c r="Y9" s="250" t="str">
        <f t="shared" si="7"/>
        <v/>
      </c>
      <c r="AU9" s="36"/>
      <c r="AV9" s="262"/>
    </row>
    <row r="10">
      <c r="A10" s="136" t="s">
        <v>12</v>
      </c>
      <c r="B10" s="146">
        <v>46050.0</v>
      </c>
      <c r="C10" s="136" t="s">
        <v>45</v>
      </c>
      <c r="D10" s="136" t="s">
        <v>149</v>
      </c>
      <c r="E10" s="256" t="str">
        <f>IFERROR(__xludf.DUMMYFUNCTION("""COMPUTED_VALUE"""),"")</f>
        <v/>
      </c>
      <c r="F10" s="257" t="str">
        <f>IFERROR(__xludf.DUMMYFUNCTION("""COMPUTED_VALUE"""),"")</f>
        <v/>
      </c>
      <c r="G10" s="247" t="str">
        <f t="shared" si="1"/>
        <v/>
      </c>
      <c r="H10" s="258" t="str">
        <f>IFERROR(__xludf.DUMMYFUNCTION("""COMPUTED_VALUE"""),"")</f>
        <v/>
      </c>
      <c r="I10" s="259" t="str">
        <f>IFERROR(__xludf.DUMMYFUNCTION("""COMPUTED_VALUE"""),"")</f>
        <v/>
      </c>
      <c r="J10" s="250" t="str">
        <f t="shared" si="2"/>
        <v/>
      </c>
      <c r="K10" s="251" t="str">
        <f>IFERROR(__xludf.DUMMYFUNCTION("""COMPUTED_VALUE"""),"")</f>
        <v/>
      </c>
      <c r="L10" s="252" t="str">
        <f>IFERROR(__xludf.DUMMYFUNCTION("""COMPUTED_VALUE"""),"")</f>
        <v/>
      </c>
      <c r="M10" s="253" t="str">
        <f t="shared" si="3"/>
        <v/>
      </c>
      <c r="N10" s="254" t="str">
        <f>IFERROR(__xludf.DUMMYFUNCTION("""COMPUTED_VALUE"""),"")</f>
        <v/>
      </c>
      <c r="O10" s="246" t="str">
        <f>IFERROR(__xludf.DUMMYFUNCTION("""COMPUTED_VALUE"""),"")</f>
        <v/>
      </c>
      <c r="P10" s="247" t="str">
        <f t="shared" si="4"/>
        <v/>
      </c>
      <c r="Q10" s="255" t="str">
        <f>IFERROR(__xludf.DUMMYFUNCTION("""COMPUTED_VALUE"""),"")</f>
        <v/>
      </c>
      <c r="R10" s="249" t="str">
        <f>IFERROR(__xludf.DUMMYFUNCTION("""COMPUTED_VALUE"""),"")</f>
        <v/>
      </c>
      <c r="S10" s="250" t="str">
        <f t="shared" si="5"/>
        <v/>
      </c>
      <c r="T10" s="254" t="str">
        <f>IFERROR(__xludf.DUMMYFUNCTION("""COMPUTED_VALUE"""),"")</f>
        <v/>
      </c>
      <c r="U10" s="246" t="str">
        <f>IFERROR(__xludf.DUMMYFUNCTION("""COMPUTED_VALUE"""),"")</f>
        <v/>
      </c>
      <c r="V10" s="247" t="str">
        <f t="shared" si="6"/>
        <v/>
      </c>
      <c r="W10" s="255" t="str">
        <f>IFERROR(__xludf.DUMMYFUNCTION("""COMPUTED_VALUE"""),"")</f>
        <v/>
      </c>
      <c r="X10" s="249" t="str">
        <f>IFERROR(__xludf.DUMMYFUNCTION("""COMPUTED_VALUE"""),"")</f>
        <v/>
      </c>
      <c r="Y10" s="250" t="str">
        <f t="shared" si="7"/>
        <v/>
      </c>
      <c r="AU10" s="36"/>
      <c r="AV10" s="262"/>
    </row>
    <row r="11">
      <c r="A11" s="136" t="s">
        <v>134</v>
      </c>
      <c r="B11" s="146">
        <v>46050.0</v>
      </c>
      <c r="C11" s="136" t="s">
        <v>45</v>
      </c>
      <c r="D11" s="136" t="s">
        <v>149</v>
      </c>
      <c r="E11" s="256" t="str">
        <f>IFERROR(__xludf.DUMMYFUNCTION("""COMPUTED_VALUE"""),"")</f>
        <v/>
      </c>
      <c r="F11" s="257" t="str">
        <f>IFERROR(__xludf.DUMMYFUNCTION("""COMPUTED_VALUE"""),"")</f>
        <v/>
      </c>
      <c r="G11" s="247" t="str">
        <f t="shared" si="1"/>
        <v/>
      </c>
      <c r="H11" s="258" t="str">
        <f>IFERROR(__xludf.DUMMYFUNCTION("""COMPUTED_VALUE"""),"")</f>
        <v/>
      </c>
      <c r="I11" s="259" t="str">
        <f>IFERROR(__xludf.DUMMYFUNCTION("""COMPUTED_VALUE"""),"")</f>
        <v/>
      </c>
      <c r="J11" s="250" t="str">
        <f t="shared" si="2"/>
        <v/>
      </c>
      <c r="K11" s="251" t="str">
        <f>IFERROR(__xludf.DUMMYFUNCTION("""COMPUTED_VALUE"""),"")</f>
        <v/>
      </c>
      <c r="L11" s="252" t="str">
        <f>IFERROR(__xludf.DUMMYFUNCTION("""COMPUTED_VALUE"""),"")</f>
        <v/>
      </c>
      <c r="M11" s="253" t="str">
        <f t="shared" si="3"/>
        <v/>
      </c>
      <c r="N11" s="254" t="str">
        <f>IFERROR(__xludf.DUMMYFUNCTION("""COMPUTED_VALUE"""),"")</f>
        <v/>
      </c>
      <c r="O11" s="246" t="str">
        <f>IFERROR(__xludf.DUMMYFUNCTION("""COMPUTED_VALUE"""),"")</f>
        <v/>
      </c>
      <c r="P11" s="247" t="str">
        <f t="shared" si="4"/>
        <v/>
      </c>
      <c r="Q11" s="255" t="str">
        <f>IFERROR(__xludf.DUMMYFUNCTION("""COMPUTED_VALUE"""),"")</f>
        <v/>
      </c>
      <c r="R11" s="249" t="str">
        <f>IFERROR(__xludf.DUMMYFUNCTION("""COMPUTED_VALUE"""),"")</f>
        <v/>
      </c>
      <c r="S11" s="250" t="str">
        <f t="shared" si="5"/>
        <v/>
      </c>
      <c r="T11" s="254" t="str">
        <f>IFERROR(__xludf.DUMMYFUNCTION("""COMPUTED_VALUE"""),"")</f>
        <v/>
      </c>
      <c r="U11" s="246" t="str">
        <f>IFERROR(__xludf.DUMMYFUNCTION("""COMPUTED_VALUE"""),"")</f>
        <v/>
      </c>
      <c r="V11" s="247" t="str">
        <f t="shared" si="6"/>
        <v/>
      </c>
      <c r="W11" s="255" t="str">
        <f>IFERROR(__xludf.DUMMYFUNCTION("""COMPUTED_VALUE"""),"")</f>
        <v/>
      </c>
      <c r="X11" s="249" t="str">
        <f>IFERROR(__xludf.DUMMYFUNCTION("""COMPUTED_VALUE"""),"")</f>
        <v/>
      </c>
      <c r="Y11" s="250" t="str">
        <f t="shared" si="7"/>
        <v/>
      </c>
      <c r="AU11" s="36"/>
      <c r="AV11" s="262"/>
    </row>
    <row r="12">
      <c r="A12" s="136" t="s">
        <v>18</v>
      </c>
      <c r="B12" s="146">
        <v>46050.0</v>
      </c>
      <c r="C12" s="136" t="s">
        <v>45</v>
      </c>
      <c r="D12" s="136" t="s">
        <v>149</v>
      </c>
      <c r="E12" s="256">
        <f>IFERROR(__xludf.DUMMYFUNCTION("""COMPUTED_VALUE"""),0.0)</f>
        <v>0</v>
      </c>
      <c r="F12" s="257">
        <f>IFERROR(__xludf.DUMMYFUNCTION("""COMPUTED_VALUE"""),0.0)</f>
        <v>0</v>
      </c>
      <c r="G12" s="247" t="str">
        <f t="shared" si="1"/>
        <v/>
      </c>
      <c r="H12" s="258">
        <f>IFERROR(__xludf.DUMMYFUNCTION("""COMPUTED_VALUE"""),130.0)</f>
        <v>130</v>
      </c>
      <c r="I12" s="259">
        <f>IFERROR(__xludf.DUMMYFUNCTION("""COMPUTED_VALUE"""),0.125)</f>
        <v>0.125</v>
      </c>
      <c r="J12" s="250">
        <f t="shared" si="2"/>
        <v>43.33333333</v>
      </c>
      <c r="K12" s="251">
        <f>IFERROR(__xludf.DUMMYFUNCTION("""COMPUTED_VALUE"""),115.0)</f>
        <v>115</v>
      </c>
      <c r="L12" s="252">
        <f>IFERROR(__xludf.DUMMYFUNCTION("""COMPUTED_VALUE"""),0.11597222222189885)</f>
        <v>0.1159722222</v>
      </c>
      <c r="M12" s="253">
        <f t="shared" si="3"/>
        <v>41.31736527</v>
      </c>
      <c r="N12" s="254">
        <f>IFERROR(__xludf.DUMMYFUNCTION("""COMPUTED_VALUE"""),0.0)</f>
        <v>0</v>
      </c>
      <c r="O12" s="246">
        <f>IFERROR(__xludf.DUMMYFUNCTION("""COMPUTED_VALUE"""),0.0)</f>
        <v>0</v>
      </c>
      <c r="P12" s="247" t="str">
        <f t="shared" si="4"/>
        <v/>
      </c>
      <c r="Q12" s="255">
        <f>IFERROR(__xludf.DUMMYFUNCTION("""COMPUTED_VALUE"""),258.0)</f>
        <v>258</v>
      </c>
      <c r="R12" s="249">
        <f>IFERROR(__xludf.DUMMYFUNCTION("""COMPUTED_VALUE"""),0.16666666666424135)</f>
        <v>0.1666666667</v>
      </c>
      <c r="S12" s="250">
        <f t="shared" si="5"/>
        <v>64.5</v>
      </c>
      <c r="T12" s="254">
        <f>IFERROR(__xludf.DUMMYFUNCTION("""COMPUTED_VALUE"""),0.0)</f>
        <v>0</v>
      </c>
      <c r="U12" s="246">
        <f>IFERROR(__xludf.DUMMYFUNCTION("""COMPUTED_VALUE"""),0.0)</f>
        <v>0</v>
      </c>
      <c r="V12" s="247" t="str">
        <f t="shared" si="6"/>
        <v/>
      </c>
      <c r="W12" s="255">
        <f>IFERROR(__xludf.DUMMYFUNCTION("""COMPUTED_VALUE"""),388.0)</f>
        <v>388</v>
      </c>
      <c r="X12" s="249">
        <f>IFERROR(__xludf.DUMMYFUNCTION("""COMPUTED_VALUE"""),0.29166666666424135)</f>
        <v>0.2916666667</v>
      </c>
      <c r="Y12" s="250">
        <f t="shared" si="7"/>
        <v>55.42857143</v>
      </c>
      <c r="AU12" s="36"/>
      <c r="AV12" s="262"/>
    </row>
    <row r="13">
      <c r="A13" s="136" t="s">
        <v>18</v>
      </c>
      <c r="B13" s="146">
        <v>46050.0</v>
      </c>
      <c r="C13" s="136" t="s">
        <v>45</v>
      </c>
      <c r="D13" s="136" t="s">
        <v>148</v>
      </c>
      <c r="E13" s="256" t="str">
        <f>IFERROR(__xludf.DUMMYFUNCTION("""COMPUTED_VALUE"""),"")</f>
        <v/>
      </c>
      <c r="F13" s="257" t="str">
        <f>IFERROR(__xludf.DUMMYFUNCTION("""COMPUTED_VALUE"""),"")</f>
        <v/>
      </c>
      <c r="G13" s="247" t="str">
        <f t="shared" si="1"/>
        <v/>
      </c>
      <c r="H13" s="258" t="str">
        <f>IFERROR(__xludf.DUMMYFUNCTION("""COMPUTED_VALUE"""),"")</f>
        <v/>
      </c>
      <c r="I13" s="259" t="str">
        <f>IFERROR(__xludf.DUMMYFUNCTION("""COMPUTED_VALUE"""),"")</f>
        <v/>
      </c>
      <c r="J13" s="250" t="str">
        <f t="shared" si="2"/>
        <v/>
      </c>
      <c r="K13" s="251" t="str">
        <f>IFERROR(__xludf.DUMMYFUNCTION("""COMPUTED_VALUE"""),"")</f>
        <v/>
      </c>
      <c r="L13" s="252" t="str">
        <f>IFERROR(__xludf.DUMMYFUNCTION("""COMPUTED_VALUE"""),"")</f>
        <v/>
      </c>
      <c r="M13" s="253" t="str">
        <f t="shared" si="3"/>
        <v/>
      </c>
      <c r="N13" s="254" t="str">
        <f>IFERROR(__xludf.DUMMYFUNCTION("""COMPUTED_VALUE"""),"")</f>
        <v/>
      </c>
      <c r="O13" s="246" t="str">
        <f>IFERROR(__xludf.DUMMYFUNCTION("""COMPUTED_VALUE"""),"")</f>
        <v/>
      </c>
      <c r="P13" s="247" t="str">
        <f t="shared" si="4"/>
        <v/>
      </c>
      <c r="Q13" s="255" t="str">
        <f>IFERROR(__xludf.DUMMYFUNCTION("""COMPUTED_VALUE"""),"")</f>
        <v/>
      </c>
      <c r="R13" s="249" t="str">
        <f>IFERROR(__xludf.DUMMYFUNCTION("""COMPUTED_VALUE"""),"")</f>
        <v/>
      </c>
      <c r="S13" s="250" t="str">
        <f t="shared" si="5"/>
        <v/>
      </c>
      <c r="T13" s="254" t="str">
        <f>IFERROR(__xludf.DUMMYFUNCTION("""COMPUTED_VALUE"""),"")</f>
        <v/>
      </c>
      <c r="U13" s="246" t="str">
        <f>IFERROR(__xludf.DUMMYFUNCTION("""COMPUTED_VALUE"""),"")</f>
        <v/>
      </c>
      <c r="V13" s="247" t="str">
        <f t="shared" si="6"/>
        <v/>
      </c>
      <c r="W13" s="255" t="str">
        <f>IFERROR(__xludf.DUMMYFUNCTION("""COMPUTED_VALUE"""),"")</f>
        <v/>
      </c>
      <c r="X13" s="249" t="str">
        <f>IFERROR(__xludf.DUMMYFUNCTION("""COMPUTED_VALUE"""),"")</f>
        <v/>
      </c>
      <c r="Y13" s="250" t="str">
        <f t="shared" si="7"/>
        <v/>
      </c>
      <c r="AU13" s="36"/>
      <c r="AV13" s="262"/>
    </row>
    <row r="14">
      <c r="A14" s="136" t="s">
        <v>15</v>
      </c>
      <c r="B14" s="146">
        <v>46051.0</v>
      </c>
      <c r="C14" s="136" t="s">
        <v>49</v>
      </c>
      <c r="D14" s="136" t="s">
        <v>149</v>
      </c>
      <c r="E14" s="256" t="str">
        <f>IFERROR(__xludf.DUMMYFUNCTION("""COMPUTED_VALUE"""),"")</f>
        <v/>
      </c>
      <c r="F14" s="257" t="str">
        <f>IFERROR(__xludf.DUMMYFUNCTION("""COMPUTED_VALUE"""),"")</f>
        <v/>
      </c>
      <c r="G14" s="247" t="str">
        <f t="shared" si="1"/>
        <v/>
      </c>
      <c r="H14" s="258" t="str">
        <f>IFERROR(__xludf.DUMMYFUNCTION("""COMPUTED_VALUE"""),"")</f>
        <v/>
      </c>
      <c r="I14" s="259" t="str">
        <f>IFERROR(__xludf.DUMMYFUNCTION("""COMPUTED_VALUE"""),"")</f>
        <v/>
      </c>
      <c r="J14" s="250" t="str">
        <f t="shared" si="2"/>
        <v/>
      </c>
      <c r="K14" s="251" t="str">
        <f>IFERROR(__xludf.DUMMYFUNCTION("""COMPUTED_VALUE"""),"")</f>
        <v/>
      </c>
      <c r="L14" s="252" t="str">
        <f>IFERROR(__xludf.DUMMYFUNCTION("""COMPUTED_VALUE"""),"")</f>
        <v/>
      </c>
      <c r="M14" s="253" t="str">
        <f t="shared" si="3"/>
        <v/>
      </c>
      <c r="N14" s="254" t="str">
        <f>IFERROR(__xludf.DUMMYFUNCTION("""COMPUTED_VALUE"""),"")</f>
        <v/>
      </c>
      <c r="O14" s="246" t="str">
        <f>IFERROR(__xludf.DUMMYFUNCTION("""COMPUTED_VALUE"""),"")</f>
        <v/>
      </c>
      <c r="P14" s="247" t="str">
        <f t="shared" si="4"/>
        <v/>
      </c>
      <c r="Q14" s="255" t="str">
        <f>IFERROR(__xludf.DUMMYFUNCTION("""COMPUTED_VALUE"""),"")</f>
        <v/>
      </c>
      <c r="R14" s="249" t="str">
        <f>IFERROR(__xludf.DUMMYFUNCTION("""COMPUTED_VALUE"""),"")</f>
        <v/>
      </c>
      <c r="S14" s="250" t="str">
        <f t="shared" si="5"/>
        <v/>
      </c>
      <c r="T14" s="254" t="str">
        <f>IFERROR(__xludf.DUMMYFUNCTION("""COMPUTED_VALUE"""),"")</f>
        <v/>
      </c>
      <c r="U14" s="246" t="str">
        <f>IFERROR(__xludf.DUMMYFUNCTION("""COMPUTED_VALUE"""),"")</f>
        <v/>
      </c>
      <c r="V14" s="247" t="str">
        <f t="shared" si="6"/>
        <v/>
      </c>
      <c r="W14" s="255" t="str">
        <f>IFERROR(__xludf.DUMMYFUNCTION("""COMPUTED_VALUE"""),"")</f>
        <v/>
      </c>
      <c r="X14" s="249" t="str">
        <f>IFERROR(__xludf.DUMMYFUNCTION("""COMPUTED_VALUE"""),"")</f>
        <v/>
      </c>
      <c r="Y14" s="250" t="str">
        <f t="shared" si="7"/>
        <v/>
      </c>
      <c r="AU14" s="36"/>
      <c r="AV14" s="36"/>
    </row>
    <row r="15">
      <c r="A15" s="136" t="s">
        <v>15</v>
      </c>
      <c r="B15" s="146">
        <v>46051.0</v>
      </c>
      <c r="C15" s="136" t="s">
        <v>49</v>
      </c>
      <c r="D15" s="136" t="s">
        <v>149</v>
      </c>
      <c r="E15" s="256" t="str">
        <f>IFERROR(__xludf.DUMMYFUNCTION("""COMPUTED_VALUE"""),"")</f>
        <v/>
      </c>
      <c r="F15" s="257" t="str">
        <f>IFERROR(__xludf.DUMMYFUNCTION("""COMPUTED_VALUE"""),"")</f>
        <v/>
      </c>
      <c r="G15" s="247" t="str">
        <f t="shared" si="1"/>
        <v/>
      </c>
      <c r="H15" s="258" t="str">
        <f>IFERROR(__xludf.DUMMYFUNCTION("""COMPUTED_VALUE"""),"")</f>
        <v/>
      </c>
      <c r="I15" s="259" t="str">
        <f>IFERROR(__xludf.DUMMYFUNCTION("""COMPUTED_VALUE"""),"")</f>
        <v/>
      </c>
      <c r="J15" s="250" t="str">
        <f t="shared" si="2"/>
        <v/>
      </c>
      <c r="K15" s="251" t="str">
        <f>IFERROR(__xludf.DUMMYFUNCTION("""COMPUTED_VALUE"""),"")</f>
        <v/>
      </c>
      <c r="L15" s="252" t="str">
        <f>IFERROR(__xludf.DUMMYFUNCTION("""COMPUTED_VALUE"""),"")</f>
        <v/>
      </c>
      <c r="M15" s="253" t="str">
        <f t="shared" si="3"/>
        <v/>
      </c>
      <c r="N15" s="254" t="str">
        <f>IFERROR(__xludf.DUMMYFUNCTION("""COMPUTED_VALUE"""),"")</f>
        <v/>
      </c>
      <c r="O15" s="246" t="str">
        <f>IFERROR(__xludf.DUMMYFUNCTION("""COMPUTED_VALUE"""),"")</f>
        <v/>
      </c>
      <c r="P15" s="247" t="str">
        <f t="shared" si="4"/>
        <v/>
      </c>
      <c r="Q15" s="255" t="str">
        <f>IFERROR(__xludf.DUMMYFUNCTION("""COMPUTED_VALUE"""),"")</f>
        <v/>
      </c>
      <c r="R15" s="249" t="str">
        <f>IFERROR(__xludf.DUMMYFUNCTION("""COMPUTED_VALUE"""),"")</f>
        <v/>
      </c>
      <c r="S15" s="250" t="str">
        <f t="shared" si="5"/>
        <v/>
      </c>
      <c r="T15" s="254" t="str">
        <f>IFERROR(__xludf.DUMMYFUNCTION("""COMPUTED_VALUE"""),"")</f>
        <v/>
      </c>
      <c r="U15" s="246" t="str">
        <f>IFERROR(__xludf.DUMMYFUNCTION("""COMPUTED_VALUE"""),"")</f>
        <v/>
      </c>
      <c r="V15" s="247" t="str">
        <f t="shared" si="6"/>
        <v/>
      </c>
      <c r="W15" s="255" t="str">
        <f>IFERROR(__xludf.DUMMYFUNCTION("""COMPUTED_VALUE"""),"")</f>
        <v/>
      </c>
      <c r="X15" s="249" t="str">
        <f>IFERROR(__xludf.DUMMYFUNCTION("""COMPUTED_VALUE"""),"")</f>
        <v/>
      </c>
      <c r="Y15" s="250" t="str">
        <f t="shared" si="7"/>
        <v/>
      </c>
      <c r="AU15" s="36"/>
      <c r="AV15" s="36"/>
    </row>
    <row r="16">
      <c r="A16" s="136" t="s">
        <v>15</v>
      </c>
      <c r="B16" s="146">
        <v>46051.0</v>
      </c>
      <c r="C16" s="136" t="s">
        <v>49</v>
      </c>
      <c r="D16" s="136" t="s">
        <v>149</v>
      </c>
      <c r="E16" s="256">
        <f>IFERROR(__xludf.DUMMYFUNCTION("""COMPUTED_VALUE"""),0.0)</f>
        <v>0</v>
      </c>
      <c r="F16" s="257">
        <f>IFERROR(__xludf.DUMMYFUNCTION("""COMPUTED_VALUE"""),0.0)</f>
        <v>0</v>
      </c>
      <c r="G16" s="247" t="str">
        <f t="shared" si="1"/>
        <v/>
      </c>
      <c r="H16" s="258">
        <f>IFERROR(__xludf.DUMMYFUNCTION("""COMPUTED_VALUE"""),93.0)</f>
        <v>93</v>
      </c>
      <c r="I16" s="259">
        <f>IFERROR(__xludf.DUMMYFUNCTION("""COMPUTED_VALUE"""),0.07291666666424135)</f>
        <v>0.07291666666</v>
      </c>
      <c r="J16" s="250">
        <f t="shared" si="2"/>
        <v>53.14285714</v>
      </c>
      <c r="K16" s="251">
        <f>IFERROR(__xludf.DUMMYFUNCTION("""COMPUTED_VALUE"""),0.0)</f>
        <v>0</v>
      </c>
      <c r="L16" s="252">
        <f>IFERROR(__xludf.DUMMYFUNCTION("""COMPUTED_VALUE"""),0.0)</f>
        <v>0</v>
      </c>
      <c r="M16" s="253" t="str">
        <f t="shared" si="3"/>
        <v/>
      </c>
      <c r="N16" s="254">
        <f>IFERROR(__xludf.DUMMYFUNCTION("""COMPUTED_VALUE"""),141.0)</f>
        <v>141</v>
      </c>
      <c r="O16" s="246">
        <f>IFERROR(__xludf.DUMMYFUNCTION("""COMPUTED_VALUE"""),0.19097222222626442)</f>
        <v>0.1909722222</v>
      </c>
      <c r="P16" s="247">
        <f t="shared" si="4"/>
        <v>30.76363636</v>
      </c>
      <c r="Q16" s="255">
        <f>IFERROR(__xludf.DUMMYFUNCTION("""COMPUTED_VALUE"""),0.0)</f>
        <v>0</v>
      </c>
      <c r="R16" s="249">
        <f>IFERROR(__xludf.DUMMYFUNCTION("""COMPUTED_VALUE"""),0.0)</f>
        <v>0</v>
      </c>
      <c r="S16" s="250" t="str">
        <f t="shared" si="5"/>
        <v/>
      </c>
      <c r="T16" s="254">
        <f>IFERROR(__xludf.DUMMYFUNCTION("""COMPUTED_VALUE"""),141.0)</f>
        <v>141</v>
      </c>
      <c r="U16" s="246">
        <f>IFERROR(__xludf.DUMMYFUNCTION("""COMPUTED_VALUE"""),0.19097222222626442)</f>
        <v>0.1909722222</v>
      </c>
      <c r="V16" s="247">
        <f t="shared" si="6"/>
        <v>30.76363636</v>
      </c>
      <c r="W16" s="255">
        <f>IFERROR(__xludf.DUMMYFUNCTION("""COMPUTED_VALUE"""),93.0)</f>
        <v>93</v>
      </c>
      <c r="X16" s="249">
        <f>IFERROR(__xludf.DUMMYFUNCTION("""COMPUTED_VALUE"""),0.07291666666424135)</f>
        <v>0.07291666666</v>
      </c>
      <c r="Y16" s="250">
        <f t="shared" si="7"/>
        <v>53.14285714</v>
      </c>
    </row>
    <row r="17">
      <c r="A17" s="136" t="s">
        <v>18</v>
      </c>
      <c r="B17" s="146">
        <v>46051.0</v>
      </c>
      <c r="C17" s="136" t="s">
        <v>49</v>
      </c>
      <c r="D17" s="136" t="s">
        <v>148</v>
      </c>
      <c r="E17" s="256" t="str">
        <f>IFERROR(__xludf.DUMMYFUNCTION("""COMPUTED_VALUE"""),"")</f>
        <v/>
      </c>
      <c r="F17" s="257" t="str">
        <f>IFERROR(__xludf.DUMMYFUNCTION("""COMPUTED_VALUE"""),"")</f>
        <v/>
      </c>
      <c r="G17" s="247" t="str">
        <f t="shared" si="1"/>
        <v/>
      </c>
      <c r="H17" s="258" t="str">
        <f>IFERROR(__xludf.DUMMYFUNCTION("""COMPUTED_VALUE"""),"")</f>
        <v/>
      </c>
      <c r="I17" s="259" t="str">
        <f>IFERROR(__xludf.DUMMYFUNCTION("""COMPUTED_VALUE"""),"")</f>
        <v/>
      </c>
      <c r="J17" s="250" t="str">
        <f t="shared" si="2"/>
        <v/>
      </c>
      <c r="K17" s="251" t="str">
        <f>IFERROR(__xludf.DUMMYFUNCTION("""COMPUTED_VALUE"""),"")</f>
        <v/>
      </c>
      <c r="L17" s="252" t="str">
        <f>IFERROR(__xludf.DUMMYFUNCTION("""COMPUTED_VALUE"""),"")</f>
        <v/>
      </c>
      <c r="M17" s="253" t="str">
        <f t="shared" si="3"/>
        <v/>
      </c>
      <c r="N17" s="254" t="str">
        <f>IFERROR(__xludf.DUMMYFUNCTION("""COMPUTED_VALUE"""),"")</f>
        <v/>
      </c>
      <c r="O17" s="246" t="str">
        <f>IFERROR(__xludf.DUMMYFUNCTION("""COMPUTED_VALUE"""),"")</f>
        <v/>
      </c>
      <c r="P17" s="247" t="str">
        <f t="shared" si="4"/>
        <v/>
      </c>
      <c r="Q17" s="255" t="str">
        <f>IFERROR(__xludf.DUMMYFUNCTION("""COMPUTED_VALUE"""),"")</f>
        <v/>
      </c>
      <c r="R17" s="249" t="str">
        <f>IFERROR(__xludf.DUMMYFUNCTION("""COMPUTED_VALUE"""),"")</f>
        <v/>
      </c>
      <c r="S17" s="250" t="str">
        <f t="shared" si="5"/>
        <v/>
      </c>
      <c r="T17" s="254" t="str">
        <f>IFERROR(__xludf.DUMMYFUNCTION("""COMPUTED_VALUE"""),"")</f>
        <v/>
      </c>
      <c r="U17" s="246" t="str">
        <f>IFERROR(__xludf.DUMMYFUNCTION("""COMPUTED_VALUE"""),"")</f>
        <v/>
      </c>
      <c r="V17" s="247" t="str">
        <f t="shared" si="6"/>
        <v/>
      </c>
      <c r="W17" s="255" t="str">
        <f>IFERROR(__xludf.DUMMYFUNCTION("""COMPUTED_VALUE"""),"")</f>
        <v/>
      </c>
      <c r="X17" s="249" t="str">
        <f>IFERROR(__xludf.DUMMYFUNCTION("""COMPUTED_VALUE"""),"")</f>
        <v/>
      </c>
      <c r="Y17" s="250" t="str">
        <f t="shared" si="7"/>
        <v/>
      </c>
    </row>
    <row r="18">
      <c r="A18" s="136" t="s">
        <v>15</v>
      </c>
      <c r="B18" s="146">
        <v>46052.0</v>
      </c>
      <c r="C18" s="136" t="s">
        <v>53</v>
      </c>
      <c r="D18" s="136" t="s">
        <v>149</v>
      </c>
      <c r="E18" s="256" t="str">
        <f>IFERROR(__xludf.DUMMYFUNCTION("""COMPUTED_VALUE"""),"")</f>
        <v/>
      </c>
      <c r="F18" s="257" t="str">
        <f>IFERROR(__xludf.DUMMYFUNCTION("""COMPUTED_VALUE"""),"")</f>
        <v/>
      </c>
      <c r="G18" s="247" t="str">
        <f t="shared" si="1"/>
        <v/>
      </c>
      <c r="H18" s="258" t="str">
        <f>IFERROR(__xludf.DUMMYFUNCTION("""COMPUTED_VALUE"""),"")</f>
        <v/>
      </c>
      <c r="I18" s="259" t="str">
        <f>IFERROR(__xludf.DUMMYFUNCTION("""COMPUTED_VALUE"""),"")</f>
        <v/>
      </c>
      <c r="J18" s="250" t="str">
        <f t="shared" si="2"/>
        <v/>
      </c>
      <c r="K18" s="251" t="str">
        <f>IFERROR(__xludf.DUMMYFUNCTION("""COMPUTED_VALUE"""),"")</f>
        <v/>
      </c>
      <c r="L18" s="252" t="str">
        <f>IFERROR(__xludf.DUMMYFUNCTION("""COMPUTED_VALUE"""),"")</f>
        <v/>
      </c>
      <c r="M18" s="253" t="str">
        <f t="shared" si="3"/>
        <v/>
      </c>
      <c r="N18" s="254" t="str">
        <f>IFERROR(__xludf.DUMMYFUNCTION("""COMPUTED_VALUE"""),"")</f>
        <v/>
      </c>
      <c r="O18" s="246" t="str">
        <f>IFERROR(__xludf.DUMMYFUNCTION("""COMPUTED_VALUE"""),"")</f>
        <v/>
      </c>
      <c r="P18" s="247" t="str">
        <f t="shared" si="4"/>
        <v/>
      </c>
      <c r="Q18" s="255" t="str">
        <f>IFERROR(__xludf.DUMMYFUNCTION("""COMPUTED_VALUE"""),"")</f>
        <v/>
      </c>
      <c r="R18" s="249" t="str">
        <f>IFERROR(__xludf.DUMMYFUNCTION("""COMPUTED_VALUE"""),"")</f>
        <v/>
      </c>
      <c r="S18" s="250" t="str">
        <f t="shared" si="5"/>
        <v/>
      </c>
      <c r="T18" s="254" t="str">
        <f>IFERROR(__xludf.DUMMYFUNCTION("""COMPUTED_VALUE"""),"")</f>
        <v/>
      </c>
      <c r="U18" s="246" t="str">
        <f>IFERROR(__xludf.DUMMYFUNCTION("""COMPUTED_VALUE"""),"")</f>
        <v/>
      </c>
      <c r="V18" s="247" t="str">
        <f t="shared" si="6"/>
        <v/>
      </c>
      <c r="W18" s="255" t="str">
        <f>IFERROR(__xludf.DUMMYFUNCTION("""COMPUTED_VALUE"""),"")</f>
        <v/>
      </c>
      <c r="X18" s="249" t="str">
        <f>IFERROR(__xludf.DUMMYFUNCTION("""COMPUTED_VALUE"""),"")</f>
        <v/>
      </c>
      <c r="Y18" s="250" t="str">
        <f t="shared" si="7"/>
        <v/>
      </c>
    </row>
    <row r="19">
      <c r="A19" s="136" t="s">
        <v>15</v>
      </c>
      <c r="B19" s="146">
        <v>46052.0</v>
      </c>
      <c r="C19" s="136" t="s">
        <v>53</v>
      </c>
      <c r="D19" s="136" t="s">
        <v>148</v>
      </c>
      <c r="E19" s="256" t="str">
        <f>IFERROR(__xludf.DUMMYFUNCTION("""COMPUTED_VALUE"""),"")</f>
        <v/>
      </c>
      <c r="F19" s="257" t="str">
        <f>IFERROR(__xludf.DUMMYFUNCTION("""COMPUTED_VALUE"""),"")</f>
        <v/>
      </c>
      <c r="G19" s="247" t="str">
        <f t="shared" si="1"/>
        <v/>
      </c>
      <c r="H19" s="258" t="str">
        <f>IFERROR(__xludf.DUMMYFUNCTION("""COMPUTED_VALUE"""),"")</f>
        <v/>
      </c>
      <c r="I19" s="259" t="str">
        <f>IFERROR(__xludf.DUMMYFUNCTION("""COMPUTED_VALUE"""),"")</f>
        <v/>
      </c>
      <c r="J19" s="250" t="str">
        <f t="shared" si="2"/>
        <v/>
      </c>
      <c r="K19" s="251" t="str">
        <f>IFERROR(__xludf.DUMMYFUNCTION("""COMPUTED_VALUE"""),"")</f>
        <v/>
      </c>
      <c r="L19" s="252" t="str">
        <f>IFERROR(__xludf.DUMMYFUNCTION("""COMPUTED_VALUE"""),"")</f>
        <v/>
      </c>
      <c r="M19" s="253" t="str">
        <f t="shared" si="3"/>
        <v/>
      </c>
      <c r="N19" s="254" t="str">
        <f>IFERROR(__xludf.DUMMYFUNCTION("""COMPUTED_VALUE"""),"")</f>
        <v/>
      </c>
      <c r="O19" s="246" t="str">
        <f>IFERROR(__xludf.DUMMYFUNCTION("""COMPUTED_VALUE"""),"")</f>
        <v/>
      </c>
      <c r="P19" s="247" t="str">
        <f t="shared" si="4"/>
        <v/>
      </c>
      <c r="Q19" s="255" t="str">
        <f>IFERROR(__xludf.DUMMYFUNCTION("""COMPUTED_VALUE"""),"")</f>
        <v/>
      </c>
      <c r="R19" s="249" t="str">
        <f>IFERROR(__xludf.DUMMYFUNCTION("""COMPUTED_VALUE"""),"")</f>
        <v/>
      </c>
      <c r="S19" s="250" t="str">
        <f t="shared" si="5"/>
        <v/>
      </c>
      <c r="T19" s="254" t="str">
        <f>IFERROR(__xludf.DUMMYFUNCTION("""COMPUTED_VALUE"""),"")</f>
        <v/>
      </c>
      <c r="U19" s="246" t="str">
        <f>IFERROR(__xludf.DUMMYFUNCTION("""COMPUTED_VALUE"""),"")</f>
        <v/>
      </c>
      <c r="V19" s="247" t="str">
        <f t="shared" si="6"/>
        <v/>
      </c>
      <c r="W19" s="255" t="str">
        <f>IFERROR(__xludf.DUMMYFUNCTION("""COMPUTED_VALUE"""),"")</f>
        <v/>
      </c>
      <c r="X19" s="249" t="str">
        <f>IFERROR(__xludf.DUMMYFUNCTION("""COMPUTED_VALUE"""),"")</f>
        <v/>
      </c>
      <c r="Y19" s="250" t="str">
        <f t="shared" si="7"/>
        <v/>
      </c>
      <c r="AF19" s="263" t="s">
        <v>219</v>
      </c>
      <c r="AG19" s="83"/>
      <c r="AH19" s="264" t="s">
        <v>220</v>
      </c>
      <c r="AI19" s="7"/>
    </row>
    <row r="20">
      <c r="A20" s="136" t="s">
        <v>18</v>
      </c>
      <c r="B20" s="146">
        <v>46052.0</v>
      </c>
      <c r="C20" s="136" t="s">
        <v>53</v>
      </c>
      <c r="D20" s="136" t="s">
        <v>148</v>
      </c>
      <c r="E20" s="256">
        <f>IFERROR(__xludf.DUMMYFUNCTION("""COMPUTED_VALUE"""),144.0)</f>
        <v>144</v>
      </c>
      <c r="F20" s="257">
        <f>IFERROR(__xludf.DUMMYFUNCTION("""COMPUTED_VALUE"""),0.14236111110949423)</f>
        <v>0.1423611111</v>
      </c>
      <c r="G20" s="247">
        <f t="shared" si="1"/>
        <v>42.14634146</v>
      </c>
      <c r="H20" s="258">
        <f>IFERROR(__xludf.DUMMYFUNCTION("""COMPUTED_VALUE"""),191.0)</f>
        <v>191</v>
      </c>
      <c r="I20" s="259">
        <f>IFERROR(__xludf.DUMMYFUNCTION("""COMPUTED_VALUE"""),0.0743055555576575)</f>
        <v>0.07430555556</v>
      </c>
      <c r="J20" s="250">
        <f t="shared" si="2"/>
        <v>107.1028037</v>
      </c>
      <c r="K20" s="251">
        <f>IFERROR(__xludf.DUMMYFUNCTION("""COMPUTED_VALUE"""),0.0)</f>
        <v>0</v>
      </c>
      <c r="L20" s="252">
        <f>IFERROR(__xludf.DUMMYFUNCTION("""COMPUTED_VALUE"""),0.0)</f>
        <v>0</v>
      </c>
      <c r="M20" s="253" t="str">
        <f t="shared" si="3"/>
        <v/>
      </c>
      <c r="N20" s="254">
        <f>IFERROR(__xludf.DUMMYFUNCTION("""COMPUTED_VALUE"""),76.0)</f>
        <v>76</v>
      </c>
      <c r="O20" s="246">
        <f>IFERROR(__xludf.DUMMYFUNCTION("""COMPUTED_VALUE"""),0.0625)</f>
        <v>0.0625</v>
      </c>
      <c r="P20" s="247">
        <f t="shared" si="4"/>
        <v>50.66666667</v>
      </c>
      <c r="Q20" s="255">
        <f>IFERROR(__xludf.DUMMYFUNCTION("""COMPUTED_VALUE"""),0.0)</f>
        <v>0</v>
      </c>
      <c r="R20" s="249">
        <f>IFERROR(__xludf.DUMMYFUNCTION("""COMPUTED_VALUE"""),0.0)</f>
        <v>0</v>
      </c>
      <c r="S20" s="250" t="str">
        <f t="shared" si="5"/>
        <v/>
      </c>
      <c r="T20" s="254">
        <f>IFERROR(__xludf.DUMMYFUNCTION("""COMPUTED_VALUE"""),220.0)</f>
        <v>220</v>
      </c>
      <c r="U20" s="246">
        <f>IFERROR(__xludf.DUMMYFUNCTION("""COMPUTED_VALUE"""),0.20486111110949423)</f>
        <v>0.2048611111</v>
      </c>
      <c r="V20" s="247">
        <f t="shared" si="6"/>
        <v>44.74576271</v>
      </c>
      <c r="W20" s="255">
        <f>IFERROR(__xludf.DUMMYFUNCTION("""COMPUTED_VALUE"""),191.0)</f>
        <v>191</v>
      </c>
      <c r="X20" s="249">
        <f>IFERROR(__xludf.DUMMYFUNCTION("""COMPUTED_VALUE"""),0.0743055555576575)</f>
        <v>0.07430555556</v>
      </c>
      <c r="Y20" s="250">
        <f t="shared" si="7"/>
        <v>107.1028037</v>
      </c>
      <c r="AF20" s="265" t="s">
        <v>221</v>
      </c>
      <c r="AG20" s="266" t="s">
        <v>222</v>
      </c>
      <c r="AH20" s="266" t="s">
        <v>221</v>
      </c>
      <c r="AI20" s="266" t="s">
        <v>223</v>
      </c>
      <c r="AJ20" s="266" t="s">
        <v>224</v>
      </c>
    </row>
    <row r="21">
      <c r="A21" s="136" t="s">
        <v>18</v>
      </c>
      <c r="B21" s="146">
        <v>46052.0</v>
      </c>
      <c r="C21" s="136" t="s">
        <v>53</v>
      </c>
      <c r="D21" s="136" t="s">
        <v>148</v>
      </c>
      <c r="E21" s="256" t="str">
        <f>IFERROR(__xludf.DUMMYFUNCTION("""COMPUTED_VALUE"""),"")</f>
        <v/>
      </c>
      <c r="F21" s="257" t="str">
        <f>IFERROR(__xludf.DUMMYFUNCTION("""COMPUTED_VALUE"""),"")</f>
        <v/>
      </c>
      <c r="G21" s="247" t="str">
        <f t="shared" si="1"/>
        <v/>
      </c>
      <c r="H21" s="258" t="str">
        <f>IFERROR(__xludf.DUMMYFUNCTION("""COMPUTED_VALUE"""),"")</f>
        <v/>
      </c>
      <c r="I21" s="259" t="str">
        <f>IFERROR(__xludf.DUMMYFUNCTION("""COMPUTED_VALUE"""),"")</f>
        <v/>
      </c>
      <c r="J21" s="250" t="str">
        <f t="shared" si="2"/>
        <v/>
      </c>
      <c r="K21" s="251" t="str">
        <f>IFERROR(__xludf.DUMMYFUNCTION("""COMPUTED_VALUE"""),"")</f>
        <v/>
      </c>
      <c r="L21" s="252" t="str">
        <f>IFERROR(__xludf.DUMMYFUNCTION("""COMPUTED_VALUE"""),"")</f>
        <v/>
      </c>
      <c r="M21" s="253" t="str">
        <f t="shared" si="3"/>
        <v/>
      </c>
      <c r="N21" s="254" t="str">
        <f>IFERROR(__xludf.DUMMYFUNCTION("""COMPUTED_VALUE"""),"")</f>
        <v/>
      </c>
      <c r="O21" s="246" t="str">
        <f>IFERROR(__xludf.DUMMYFUNCTION("""COMPUTED_VALUE"""),"")</f>
        <v/>
      </c>
      <c r="P21" s="247" t="str">
        <f t="shared" si="4"/>
        <v/>
      </c>
      <c r="Q21" s="255" t="str">
        <f>IFERROR(__xludf.DUMMYFUNCTION("""COMPUTED_VALUE"""),"")</f>
        <v/>
      </c>
      <c r="R21" s="249" t="str">
        <f>IFERROR(__xludf.DUMMYFUNCTION("""COMPUTED_VALUE"""),"")</f>
        <v/>
      </c>
      <c r="S21" s="250" t="str">
        <f t="shared" si="5"/>
        <v/>
      </c>
      <c r="T21" s="254" t="str">
        <f>IFERROR(__xludf.DUMMYFUNCTION("""COMPUTED_VALUE"""),"")</f>
        <v/>
      </c>
      <c r="U21" s="246" t="str">
        <f>IFERROR(__xludf.DUMMYFUNCTION("""COMPUTED_VALUE"""),"")</f>
        <v/>
      </c>
      <c r="V21" s="247" t="str">
        <f t="shared" si="6"/>
        <v/>
      </c>
      <c r="W21" s="255" t="str">
        <f>IFERROR(__xludf.DUMMYFUNCTION("""COMPUTED_VALUE"""),"")</f>
        <v/>
      </c>
      <c r="X21" s="249" t="str">
        <f>IFERROR(__xludf.DUMMYFUNCTION("""COMPUTED_VALUE"""),"")</f>
        <v/>
      </c>
      <c r="Y21" s="250" t="str">
        <f t="shared" si="7"/>
        <v/>
      </c>
      <c r="AD21" s="143"/>
      <c r="AE21" s="143"/>
      <c r="AF21" s="267" t="s">
        <v>225</v>
      </c>
      <c r="AG21" s="222">
        <f>AVERAGE(M:M)</f>
        <v>36.38291334</v>
      </c>
      <c r="AH21" s="268" t="s">
        <v>225</v>
      </c>
      <c r="AI21" s="26">
        <f>STDEV(M:M)</f>
        <v>14.56882607</v>
      </c>
      <c r="AJ21" s="143">
        <f t="shared" ref="AJ21:AJ26" si="8">AG21-AI21</f>
        <v>21.81408728</v>
      </c>
    </row>
    <row r="22">
      <c r="A22" s="136" t="s">
        <v>15</v>
      </c>
      <c r="B22" s="146">
        <v>46055.0</v>
      </c>
      <c r="C22" s="136" t="s">
        <v>37</v>
      </c>
      <c r="D22" s="136" t="s">
        <v>149</v>
      </c>
      <c r="E22" s="256" t="str">
        <f>IFERROR(__xludf.DUMMYFUNCTION("""COMPUTED_VALUE"""),"")</f>
        <v/>
      </c>
      <c r="F22" s="257" t="str">
        <f>IFERROR(__xludf.DUMMYFUNCTION("""COMPUTED_VALUE"""),"")</f>
        <v/>
      </c>
      <c r="G22" s="247" t="str">
        <f t="shared" si="1"/>
        <v/>
      </c>
      <c r="H22" s="258" t="str">
        <f>IFERROR(__xludf.DUMMYFUNCTION("""COMPUTED_VALUE"""),"")</f>
        <v/>
      </c>
      <c r="I22" s="259" t="str">
        <f>IFERROR(__xludf.DUMMYFUNCTION("""COMPUTED_VALUE"""),"")</f>
        <v/>
      </c>
      <c r="J22" s="250" t="str">
        <f t="shared" si="2"/>
        <v/>
      </c>
      <c r="K22" s="251" t="str">
        <f>IFERROR(__xludf.DUMMYFUNCTION("""COMPUTED_VALUE"""),"")</f>
        <v/>
      </c>
      <c r="L22" s="252" t="str">
        <f>IFERROR(__xludf.DUMMYFUNCTION("""COMPUTED_VALUE"""),"")</f>
        <v/>
      </c>
      <c r="M22" s="253" t="str">
        <f t="shared" si="3"/>
        <v/>
      </c>
      <c r="N22" s="254" t="str">
        <f>IFERROR(__xludf.DUMMYFUNCTION("""COMPUTED_VALUE"""),"")</f>
        <v/>
      </c>
      <c r="O22" s="246" t="str">
        <f>IFERROR(__xludf.DUMMYFUNCTION("""COMPUTED_VALUE"""),"")</f>
        <v/>
      </c>
      <c r="P22" s="247" t="str">
        <f t="shared" si="4"/>
        <v/>
      </c>
      <c r="Q22" s="255" t="str">
        <f>IFERROR(__xludf.DUMMYFUNCTION("""COMPUTED_VALUE"""),"")</f>
        <v/>
      </c>
      <c r="R22" s="249" t="str">
        <f>IFERROR(__xludf.DUMMYFUNCTION("""COMPUTED_VALUE"""),"")</f>
        <v/>
      </c>
      <c r="S22" s="250" t="str">
        <f t="shared" si="5"/>
        <v/>
      </c>
      <c r="T22" s="254" t="str">
        <f>IFERROR(__xludf.DUMMYFUNCTION("""COMPUTED_VALUE"""),"")</f>
        <v/>
      </c>
      <c r="U22" s="246" t="str">
        <f>IFERROR(__xludf.DUMMYFUNCTION("""COMPUTED_VALUE"""),"")</f>
        <v/>
      </c>
      <c r="V22" s="247" t="str">
        <f t="shared" si="6"/>
        <v/>
      </c>
      <c r="W22" s="255" t="str">
        <f>IFERROR(__xludf.DUMMYFUNCTION("""COMPUTED_VALUE"""),"")</f>
        <v/>
      </c>
      <c r="X22" s="249" t="str">
        <f>IFERROR(__xludf.DUMMYFUNCTION("""COMPUTED_VALUE"""),"")</f>
        <v/>
      </c>
      <c r="Y22" s="250" t="str">
        <f t="shared" si="7"/>
        <v/>
      </c>
      <c r="AD22" s="143"/>
      <c r="AE22" s="143"/>
      <c r="AF22" s="269" t="s">
        <v>37</v>
      </c>
      <c r="AG22" s="222">
        <f t="shared" ref="AG22:AG28" si="9">IFERROR(AVERAGEIF(C:C,INDIRECT("RC[-1]",False), M:M),"0.00")</f>
        <v>32.13360375</v>
      </c>
      <c r="AH22" s="270" t="s">
        <v>37</v>
      </c>
      <c r="AI22" s="26">
        <f>IFERROR(__xludf.DUMMYFUNCTION("iferror(STDEV(FILTER(M:M, C:C = INDIRECT(""RC[-1]"", FALSE))),""0.00"")"),5.655694419843866)</f>
        <v>5.65569442</v>
      </c>
      <c r="AJ22" s="143">
        <f t="shared" si="8"/>
        <v>26.47790933</v>
      </c>
    </row>
    <row r="23">
      <c r="A23" s="136" t="s">
        <v>18</v>
      </c>
      <c r="B23" s="146">
        <v>46055.0</v>
      </c>
      <c r="C23" s="136" t="s">
        <v>37</v>
      </c>
      <c r="D23" s="136" t="s">
        <v>148</v>
      </c>
      <c r="E23" s="256" t="str">
        <f>IFERROR(__xludf.DUMMYFUNCTION("""COMPUTED_VALUE"""),"")</f>
        <v/>
      </c>
      <c r="F23" s="257" t="str">
        <f>IFERROR(__xludf.DUMMYFUNCTION("""COMPUTED_VALUE"""),"")</f>
        <v/>
      </c>
      <c r="G23" s="247" t="str">
        <f t="shared" si="1"/>
        <v/>
      </c>
      <c r="H23" s="258" t="str">
        <f>IFERROR(__xludf.DUMMYFUNCTION("""COMPUTED_VALUE"""),"")</f>
        <v/>
      </c>
      <c r="I23" s="259" t="str">
        <f>IFERROR(__xludf.DUMMYFUNCTION("""COMPUTED_VALUE"""),"")</f>
        <v/>
      </c>
      <c r="J23" s="250" t="str">
        <f t="shared" si="2"/>
        <v/>
      </c>
      <c r="K23" s="251" t="str">
        <f>IFERROR(__xludf.DUMMYFUNCTION("""COMPUTED_VALUE"""),"")</f>
        <v/>
      </c>
      <c r="L23" s="252" t="str">
        <f>IFERROR(__xludf.DUMMYFUNCTION("""COMPUTED_VALUE"""),"")</f>
        <v/>
      </c>
      <c r="M23" s="253" t="str">
        <f t="shared" si="3"/>
        <v/>
      </c>
      <c r="N23" s="254" t="str">
        <f>IFERROR(__xludf.DUMMYFUNCTION("""COMPUTED_VALUE"""),"")</f>
        <v/>
      </c>
      <c r="O23" s="246" t="str">
        <f>IFERROR(__xludf.DUMMYFUNCTION("""COMPUTED_VALUE"""),"")</f>
        <v/>
      </c>
      <c r="P23" s="247" t="str">
        <f t="shared" si="4"/>
        <v/>
      </c>
      <c r="Q23" s="255" t="str">
        <f>IFERROR(__xludf.DUMMYFUNCTION("""COMPUTED_VALUE"""),"")</f>
        <v/>
      </c>
      <c r="R23" s="249" t="str">
        <f>IFERROR(__xludf.DUMMYFUNCTION("""COMPUTED_VALUE"""),"")</f>
        <v/>
      </c>
      <c r="S23" s="250" t="str">
        <f t="shared" si="5"/>
        <v/>
      </c>
      <c r="T23" s="254" t="str">
        <f>IFERROR(__xludf.DUMMYFUNCTION("""COMPUTED_VALUE"""),"")</f>
        <v/>
      </c>
      <c r="U23" s="246" t="str">
        <f>IFERROR(__xludf.DUMMYFUNCTION("""COMPUTED_VALUE"""),"")</f>
        <v/>
      </c>
      <c r="V23" s="247" t="str">
        <f t="shared" si="6"/>
        <v/>
      </c>
      <c r="W23" s="255" t="str">
        <f>IFERROR(__xludf.DUMMYFUNCTION("""COMPUTED_VALUE"""),"")</f>
        <v/>
      </c>
      <c r="X23" s="249" t="str">
        <f>IFERROR(__xludf.DUMMYFUNCTION("""COMPUTED_VALUE"""),"")</f>
        <v/>
      </c>
      <c r="Y23" s="250" t="str">
        <f t="shared" si="7"/>
        <v/>
      </c>
      <c r="AD23" s="143"/>
      <c r="AE23" s="143"/>
      <c r="AF23" s="269" t="s">
        <v>41</v>
      </c>
      <c r="AG23" s="222">
        <f t="shared" si="9"/>
        <v>42.15721121</v>
      </c>
      <c r="AH23" s="270" t="s">
        <v>41</v>
      </c>
      <c r="AI23" s="26">
        <f>IFERROR(__xludf.DUMMYFUNCTION("iferror(STDEV(FILTER(M:M, C:C = INDIRECT(""RC[-1]"", FALSE))),""0.00"")"),2.929089531572251)</f>
        <v>2.929089532</v>
      </c>
      <c r="AJ23" s="143">
        <f t="shared" si="8"/>
        <v>39.22812168</v>
      </c>
    </row>
    <row r="24">
      <c r="A24" s="136" t="s">
        <v>18</v>
      </c>
      <c r="B24" s="146">
        <v>46055.0</v>
      </c>
      <c r="C24" s="136" t="s">
        <v>37</v>
      </c>
      <c r="D24" s="136" t="s">
        <v>149</v>
      </c>
      <c r="E24" s="256">
        <f>IFERROR(__xludf.DUMMYFUNCTION("""COMPUTED_VALUE"""),0.0)</f>
        <v>0</v>
      </c>
      <c r="F24" s="257">
        <f>IFERROR(__xludf.DUMMYFUNCTION("""COMPUTED_VALUE"""),0.0)</f>
        <v>0</v>
      </c>
      <c r="G24" s="247" t="str">
        <f t="shared" si="1"/>
        <v/>
      </c>
      <c r="H24" s="258">
        <f>IFERROR(__xludf.DUMMYFUNCTION("""COMPUTED_VALUE"""),243.0)</f>
        <v>243</v>
      </c>
      <c r="I24" s="259">
        <f>IFERROR(__xludf.DUMMYFUNCTION("""COMPUTED_VALUE"""),0.20138888889050577)</f>
        <v>0.2013888889</v>
      </c>
      <c r="J24" s="250">
        <f t="shared" si="2"/>
        <v>50.27586207</v>
      </c>
      <c r="K24" s="251">
        <f>IFERROR(__xludf.DUMMYFUNCTION("""COMPUTED_VALUE"""),0.0)</f>
        <v>0</v>
      </c>
      <c r="L24" s="252">
        <f>IFERROR(__xludf.DUMMYFUNCTION("""COMPUTED_VALUE"""),0.0)</f>
        <v>0</v>
      </c>
      <c r="M24" s="253" t="str">
        <f t="shared" si="3"/>
        <v/>
      </c>
      <c r="N24" s="254">
        <f>IFERROR(__xludf.DUMMYFUNCTION("""COMPUTED_VALUE"""),106.0)</f>
        <v>106</v>
      </c>
      <c r="O24" s="246">
        <f>IFERROR(__xludf.DUMMYFUNCTION("""COMPUTED_VALUE"""),0.125)</f>
        <v>0.125</v>
      </c>
      <c r="P24" s="247">
        <f t="shared" si="4"/>
        <v>35.33333333</v>
      </c>
      <c r="Q24" s="255">
        <f>IFERROR(__xludf.DUMMYFUNCTION("""COMPUTED_VALUE"""),171.0)</f>
        <v>171</v>
      </c>
      <c r="R24" s="249">
        <f>IFERROR(__xludf.DUMMYFUNCTION("""COMPUTED_VALUE"""),0.17013888889050577)</f>
        <v>0.1701388889</v>
      </c>
      <c r="S24" s="250">
        <f t="shared" si="5"/>
        <v>41.87755102</v>
      </c>
      <c r="T24" s="254">
        <f>IFERROR(__xludf.DUMMYFUNCTION("""COMPUTED_VALUE"""),106.0)</f>
        <v>106</v>
      </c>
      <c r="U24" s="246">
        <f>IFERROR(__xludf.DUMMYFUNCTION("""COMPUTED_VALUE"""),0.125)</f>
        <v>0.125</v>
      </c>
      <c r="V24" s="247">
        <f t="shared" si="6"/>
        <v>35.33333333</v>
      </c>
      <c r="W24" s="255">
        <f>IFERROR(__xludf.DUMMYFUNCTION("""COMPUTED_VALUE"""),414.0)</f>
        <v>414</v>
      </c>
      <c r="X24" s="249">
        <f>IFERROR(__xludf.DUMMYFUNCTION("""COMPUTED_VALUE"""),0.37152777778101154)</f>
        <v>0.3715277778</v>
      </c>
      <c r="Y24" s="250">
        <f t="shared" si="7"/>
        <v>46.42990654</v>
      </c>
      <c r="AD24" s="143"/>
      <c r="AE24" s="143"/>
      <c r="AF24" s="269" t="s">
        <v>45</v>
      </c>
      <c r="AG24" s="222">
        <f t="shared" si="9"/>
        <v>44.79103258</v>
      </c>
      <c r="AH24" s="270" t="s">
        <v>45</v>
      </c>
      <c r="AI24" s="26">
        <f>IFERROR(__xludf.DUMMYFUNCTION("iferror(STDEV(FILTER(M:M, C:C = INDIRECT(""RC[-1]"", FALSE))),""0.00"")"),16.445735507104548)</f>
        <v>16.44573551</v>
      </c>
      <c r="AJ24" s="143">
        <f t="shared" si="8"/>
        <v>28.34529707</v>
      </c>
    </row>
    <row r="25">
      <c r="A25" s="136" t="s">
        <v>18</v>
      </c>
      <c r="B25" s="146">
        <v>46055.0</v>
      </c>
      <c r="C25" s="136" t="s">
        <v>37</v>
      </c>
      <c r="D25" s="136" t="s">
        <v>148</v>
      </c>
      <c r="E25" s="256" t="str">
        <f>IFERROR(__xludf.DUMMYFUNCTION("""COMPUTED_VALUE"""),"")</f>
        <v/>
      </c>
      <c r="F25" s="257" t="str">
        <f>IFERROR(__xludf.DUMMYFUNCTION("""COMPUTED_VALUE"""),"")</f>
        <v/>
      </c>
      <c r="G25" s="247" t="str">
        <f t="shared" si="1"/>
        <v/>
      </c>
      <c r="H25" s="258" t="str">
        <f>IFERROR(__xludf.DUMMYFUNCTION("""COMPUTED_VALUE"""),"")</f>
        <v/>
      </c>
      <c r="I25" s="259" t="str">
        <f>IFERROR(__xludf.DUMMYFUNCTION("""COMPUTED_VALUE"""),"")</f>
        <v/>
      </c>
      <c r="J25" s="250" t="str">
        <f t="shared" si="2"/>
        <v/>
      </c>
      <c r="K25" s="251" t="str">
        <f>IFERROR(__xludf.DUMMYFUNCTION("""COMPUTED_VALUE"""),"")</f>
        <v/>
      </c>
      <c r="L25" s="252" t="str">
        <f>IFERROR(__xludf.DUMMYFUNCTION("""COMPUTED_VALUE"""),"")</f>
        <v/>
      </c>
      <c r="M25" s="253" t="str">
        <f t="shared" si="3"/>
        <v/>
      </c>
      <c r="N25" s="254" t="str">
        <f>IFERROR(__xludf.DUMMYFUNCTION("""COMPUTED_VALUE"""),"")</f>
        <v/>
      </c>
      <c r="O25" s="246" t="str">
        <f>IFERROR(__xludf.DUMMYFUNCTION("""COMPUTED_VALUE"""),"")</f>
        <v/>
      </c>
      <c r="P25" s="247" t="str">
        <f t="shared" si="4"/>
        <v/>
      </c>
      <c r="Q25" s="255" t="str">
        <f>IFERROR(__xludf.DUMMYFUNCTION("""COMPUTED_VALUE"""),"")</f>
        <v/>
      </c>
      <c r="R25" s="249" t="str">
        <f>IFERROR(__xludf.DUMMYFUNCTION("""COMPUTED_VALUE"""),"")</f>
        <v/>
      </c>
      <c r="S25" s="250" t="str">
        <f t="shared" si="5"/>
        <v/>
      </c>
      <c r="T25" s="254" t="str">
        <f>IFERROR(__xludf.DUMMYFUNCTION("""COMPUTED_VALUE"""),"")</f>
        <v/>
      </c>
      <c r="U25" s="246" t="str">
        <f>IFERROR(__xludf.DUMMYFUNCTION("""COMPUTED_VALUE"""),"")</f>
        <v/>
      </c>
      <c r="V25" s="247" t="str">
        <f t="shared" si="6"/>
        <v/>
      </c>
      <c r="W25" s="255" t="str">
        <f>IFERROR(__xludf.DUMMYFUNCTION("""COMPUTED_VALUE"""),"")</f>
        <v/>
      </c>
      <c r="X25" s="249" t="str">
        <f>IFERROR(__xludf.DUMMYFUNCTION("""COMPUTED_VALUE"""),"")</f>
        <v/>
      </c>
      <c r="Y25" s="250" t="str">
        <f t="shared" si="7"/>
        <v/>
      </c>
      <c r="AD25" s="143"/>
      <c r="AE25" s="143"/>
      <c r="AF25" s="269" t="s">
        <v>49</v>
      </c>
      <c r="AG25" s="222">
        <f t="shared" si="9"/>
        <v>20.73148213</v>
      </c>
      <c r="AH25" s="270" t="s">
        <v>49</v>
      </c>
      <c r="AI25" s="26">
        <f>IFERROR(__xludf.DUMMYFUNCTION("iferror(STDEV(FILTER(M:M, C:C = INDIRECT(""RC[-1]"", FALSE))),""0.00"")"),7.280169056659034)</f>
        <v>7.280169057</v>
      </c>
      <c r="AJ25" s="143">
        <f t="shared" si="8"/>
        <v>13.45131307</v>
      </c>
    </row>
    <row r="26">
      <c r="A26" s="136" t="s">
        <v>12</v>
      </c>
      <c r="B26" s="146">
        <v>46056.0</v>
      </c>
      <c r="C26" s="136" t="s">
        <v>41</v>
      </c>
      <c r="D26" s="136" t="s">
        <v>149</v>
      </c>
      <c r="E26" s="256" t="str">
        <f>IFERROR(__xludf.DUMMYFUNCTION("""COMPUTED_VALUE"""),"")</f>
        <v/>
      </c>
      <c r="F26" s="257" t="str">
        <f>IFERROR(__xludf.DUMMYFUNCTION("""COMPUTED_VALUE"""),"")</f>
        <v/>
      </c>
      <c r="G26" s="247" t="str">
        <f t="shared" si="1"/>
        <v/>
      </c>
      <c r="H26" s="258" t="str">
        <f>IFERROR(__xludf.DUMMYFUNCTION("""COMPUTED_VALUE"""),"")</f>
        <v/>
      </c>
      <c r="I26" s="259" t="str">
        <f>IFERROR(__xludf.DUMMYFUNCTION("""COMPUTED_VALUE"""),"")</f>
        <v/>
      </c>
      <c r="J26" s="250" t="str">
        <f t="shared" si="2"/>
        <v/>
      </c>
      <c r="K26" s="251" t="str">
        <f>IFERROR(__xludf.DUMMYFUNCTION("""COMPUTED_VALUE"""),"")</f>
        <v/>
      </c>
      <c r="L26" s="252" t="str">
        <f>IFERROR(__xludf.DUMMYFUNCTION("""COMPUTED_VALUE"""),"")</f>
        <v/>
      </c>
      <c r="M26" s="253" t="str">
        <f t="shared" si="3"/>
        <v/>
      </c>
      <c r="N26" s="254" t="str">
        <f>IFERROR(__xludf.DUMMYFUNCTION("""COMPUTED_VALUE"""),"")</f>
        <v/>
      </c>
      <c r="O26" s="246" t="str">
        <f>IFERROR(__xludf.DUMMYFUNCTION("""COMPUTED_VALUE"""),"")</f>
        <v/>
      </c>
      <c r="P26" s="247" t="str">
        <f t="shared" si="4"/>
        <v/>
      </c>
      <c r="Q26" s="255" t="str">
        <f>IFERROR(__xludf.DUMMYFUNCTION("""COMPUTED_VALUE"""),"")</f>
        <v/>
      </c>
      <c r="R26" s="249" t="str">
        <f>IFERROR(__xludf.DUMMYFUNCTION("""COMPUTED_VALUE"""),"")</f>
        <v/>
      </c>
      <c r="S26" s="250" t="str">
        <f t="shared" si="5"/>
        <v/>
      </c>
      <c r="T26" s="254" t="str">
        <f>IFERROR(__xludf.DUMMYFUNCTION("""COMPUTED_VALUE"""),"")</f>
        <v/>
      </c>
      <c r="U26" s="246" t="str">
        <f>IFERROR(__xludf.DUMMYFUNCTION("""COMPUTED_VALUE"""),"")</f>
        <v/>
      </c>
      <c r="V26" s="247" t="str">
        <f t="shared" si="6"/>
        <v/>
      </c>
      <c r="W26" s="255" t="str">
        <f>IFERROR(__xludf.DUMMYFUNCTION("""COMPUTED_VALUE"""),"")</f>
        <v/>
      </c>
      <c r="X26" s="249" t="str">
        <f>IFERROR(__xludf.DUMMYFUNCTION("""COMPUTED_VALUE"""),"")</f>
        <v/>
      </c>
      <c r="Y26" s="250" t="str">
        <f t="shared" si="7"/>
        <v/>
      </c>
      <c r="AF26" s="271" t="s">
        <v>53</v>
      </c>
      <c r="AG26" s="272">
        <f t="shared" si="9"/>
        <v>42.80534006</v>
      </c>
      <c r="AH26" s="273" t="s">
        <v>53</v>
      </c>
      <c r="AI26" s="274">
        <f>IFERROR(__xludf.DUMMYFUNCTION("iferror(STDEV(FILTER(M:M, C:C = INDIRECT(""RC[-1]"", FALSE))),""0.00"")"),13.805028988511273)</f>
        <v>13.80502899</v>
      </c>
      <c r="AJ26" s="143">
        <f t="shared" si="8"/>
        <v>29.00031107</v>
      </c>
    </row>
    <row r="27">
      <c r="A27" s="136" t="s">
        <v>12</v>
      </c>
      <c r="B27" s="146">
        <v>46056.0</v>
      </c>
      <c r="C27" s="136" t="s">
        <v>41</v>
      </c>
      <c r="D27" s="136" t="s">
        <v>149</v>
      </c>
      <c r="E27" s="256" t="str">
        <f>IFERROR(__xludf.DUMMYFUNCTION("""COMPUTED_VALUE"""),"")</f>
        <v/>
      </c>
      <c r="F27" s="257" t="str">
        <f>IFERROR(__xludf.DUMMYFUNCTION("""COMPUTED_VALUE"""),"")</f>
        <v/>
      </c>
      <c r="G27" s="247" t="str">
        <f t="shared" si="1"/>
        <v/>
      </c>
      <c r="H27" s="258" t="str">
        <f>IFERROR(__xludf.DUMMYFUNCTION("""COMPUTED_VALUE"""),"")</f>
        <v/>
      </c>
      <c r="I27" s="259" t="str">
        <f>IFERROR(__xludf.DUMMYFUNCTION("""COMPUTED_VALUE"""),"")</f>
        <v/>
      </c>
      <c r="J27" s="250" t="str">
        <f t="shared" si="2"/>
        <v/>
      </c>
      <c r="K27" s="251" t="str">
        <f>IFERROR(__xludf.DUMMYFUNCTION("""COMPUTED_VALUE"""),"")</f>
        <v/>
      </c>
      <c r="L27" s="252" t="str">
        <f>IFERROR(__xludf.DUMMYFUNCTION("""COMPUTED_VALUE"""),"")</f>
        <v/>
      </c>
      <c r="M27" s="253" t="str">
        <f t="shared" si="3"/>
        <v/>
      </c>
      <c r="N27" s="254" t="str">
        <f>IFERROR(__xludf.DUMMYFUNCTION("""COMPUTED_VALUE"""),"")</f>
        <v/>
      </c>
      <c r="O27" s="246" t="str">
        <f>IFERROR(__xludf.DUMMYFUNCTION("""COMPUTED_VALUE"""),"")</f>
        <v/>
      </c>
      <c r="P27" s="247" t="str">
        <f t="shared" si="4"/>
        <v/>
      </c>
      <c r="Q27" s="255" t="str">
        <f>IFERROR(__xludf.DUMMYFUNCTION("""COMPUTED_VALUE"""),"")</f>
        <v/>
      </c>
      <c r="R27" s="249" t="str">
        <f>IFERROR(__xludf.DUMMYFUNCTION("""COMPUTED_VALUE"""),"")</f>
        <v/>
      </c>
      <c r="S27" s="250" t="str">
        <f t="shared" si="5"/>
        <v/>
      </c>
      <c r="T27" s="254" t="str">
        <f>IFERROR(__xludf.DUMMYFUNCTION("""COMPUTED_VALUE"""),"")</f>
        <v/>
      </c>
      <c r="U27" s="246" t="str">
        <f>IFERROR(__xludf.DUMMYFUNCTION("""COMPUTED_VALUE"""),"")</f>
        <v/>
      </c>
      <c r="V27" s="247" t="str">
        <f t="shared" si="6"/>
        <v/>
      </c>
      <c r="W27" s="255" t="str">
        <f>IFERROR(__xludf.DUMMYFUNCTION("""COMPUTED_VALUE"""),"")</f>
        <v/>
      </c>
      <c r="X27" s="249" t="str">
        <f>IFERROR(__xludf.DUMMYFUNCTION("""COMPUTED_VALUE"""),"")</f>
        <v/>
      </c>
      <c r="Y27" s="250" t="str">
        <f t="shared" si="7"/>
        <v/>
      </c>
      <c r="AF27" s="275" t="s">
        <v>55</v>
      </c>
      <c r="AG27" s="276" t="str">
        <f t="shared" si="9"/>
        <v>0.00</v>
      </c>
      <c r="AH27" s="277" t="s">
        <v>55</v>
      </c>
      <c r="AI27" s="278" t="str">
        <f>IFERROR(__xludf.DUMMYFUNCTION("iferror(STDEV(FILTER(M:M, C:C = INDIRECT(""RC[-1]"", FALSE))),""0.00"")"),"0.00")</f>
        <v>0.00</v>
      </c>
    </row>
    <row r="28">
      <c r="A28" s="136" t="s">
        <v>134</v>
      </c>
      <c r="B28" s="146">
        <v>46056.0</v>
      </c>
      <c r="C28" s="136" t="s">
        <v>41</v>
      </c>
      <c r="D28" s="136" t="s">
        <v>149</v>
      </c>
      <c r="E28" s="256" t="str">
        <f>IFERROR(__xludf.DUMMYFUNCTION("""COMPUTED_VALUE"""),"")</f>
        <v/>
      </c>
      <c r="F28" s="257" t="str">
        <f>IFERROR(__xludf.DUMMYFUNCTION("""COMPUTED_VALUE"""),"")</f>
        <v/>
      </c>
      <c r="G28" s="247" t="str">
        <f t="shared" si="1"/>
        <v/>
      </c>
      <c r="H28" s="258" t="str">
        <f>IFERROR(__xludf.DUMMYFUNCTION("""COMPUTED_VALUE"""),"")</f>
        <v/>
      </c>
      <c r="I28" s="259" t="str">
        <f>IFERROR(__xludf.DUMMYFUNCTION("""COMPUTED_VALUE"""),"")</f>
        <v/>
      </c>
      <c r="J28" s="250" t="str">
        <f t="shared" si="2"/>
        <v/>
      </c>
      <c r="K28" s="251" t="str">
        <f>IFERROR(__xludf.DUMMYFUNCTION("""COMPUTED_VALUE"""),"")</f>
        <v/>
      </c>
      <c r="L28" s="252" t="str">
        <f>IFERROR(__xludf.DUMMYFUNCTION("""COMPUTED_VALUE"""),"")</f>
        <v/>
      </c>
      <c r="M28" s="253" t="str">
        <f t="shared" si="3"/>
        <v/>
      </c>
      <c r="N28" s="254" t="str">
        <f>IFERROR(__xludf.DUMMYFUNCTION("""COMPUTED_VALUE"""),"")</f>
        <v/>
      </c>
      <c r="O28" s="246" t="str">
        <f>IFERROR(__xludf.DUMMYFUNCTION("""COMPUTED_VALUE"""),"")</f>
        <v/>
      </c>
      <c r="P28" s="247" t="str">
        <f t="shared" si="4"/>
        <v/>
      </c>
      <c r="Q28" s="255" t="str">
        <f>IFERROR(__xludf.DUMMYFUNCTION("""COMPUTED_VALUE"""),"")</f>
        <v/>
      </c>
      <c r="R28" s="249" t="str">
        <f>IFERROR(__xludf.DUMMYFUNCTION("""COMPUTED_VALUE"""),"")</f>
        <v/>
      </c>
      <c r="S28" s="250" t="str">
        <f t="shared" si="5"/>
        <v/>
      </c>
      <c r="T28" s="254" t="str">
        <f>IFERROR(__xludf.DUMMYFUNCTION("""COMPUTED_VALUE"""),"")</f>
        <v/>
      </c>
      <c r="U28" s="246" t="str">
        <f>IFERROR(__xludf.DUMMYFUNCTION("""COMPUTED_VALUE"""),"")</f>
        <v/>
      </c>
      <c r="V28" s="247" t="str">
        <f t="shared" si="6"/>
        <v/>
      </c>
      <c r="W28" s="255" t="str">
        <f>IFERROR(__xludf.DUMMYFUNCTION("""COMPUTED_VALUE"""),"")</f>
        <v/>
      </c>
      <c r="X28" s="249" t="str">
        <f>IFERROR(__xludf.DUMMYFUNCTION("""COMPUTED_VALUE"""),"")</f>
        <v/>
      </c>
      <c r="Y28" s="250" t="str">
        <f t="shared" si="7"/>
        <v/>
      </c>
      <c r="AF28" s="279" t="s">
        <v>226</v>
      </c>
      <c r="AG28" s="280" t="str">
        <f t="shared" si="9"/>
        <v>0.00</v>
      </c>
      <c r="AH28" s="281" t="s">
        <v>226</v>
      </c>
      <c r="AI28" s="282" t="str">
        <f>IFERROR(__xludf.DUMMYFUNCTION("iferror(STDEV(FILTER(M:M, C:C = INDIRECT(""RC[-1]"", FALSE))),""0.00"")"),"0.00")</f>
        <v>0.00</v>
      </c>
      <c r="AM28" s="143">
        <f>AM31</f>
        <v>52.62629543</v>
      </c>
      <c r="AN28" s="143">
        <f>AM28</f>
        <v>52.62629543</v>
      </c>
    </row>
    <row r="29">
      <c r="A29" s="136" t="s">
        <v>15</v>
      </c>
      <c r="B29" s="146">
        <v>46056.0</v>
      </c>
      <c r="C29" s="136" t="s">
        <v>41</v>
      </c>
      <c r="D29" s="136" t="s">
        <v>148</v>
      </c>
      <c r="E29" s="256" t="str">
        <f>IFERROR(__xludf.DUMMYFUNCTION("""COMPUTED_VALUE"""),"")</f>
        <v/>
      </c>
      <c r="F29" s="257" t="str">
        <f>IFERROR(__xludf.DUMMYFUNCTION("""COMPUTED_VALUE"""),"")</f>
        <v/>
      </c>
      <c r="G29" s="247" t="str">
        <f t="shared" si="1"/>
        <v/>
      </c>
      <c r="H29" s="258" t="str">
        <f>IFERROR(__xludf.DUMMYFUNCTION("""COMPUTED_VALUE"""),"")</f>
        <v/>
      </c>
      <c r="I29" s="259" t="str">
        <f>IFERROR(__xludf.DUMMYFUNCTION("""COMPUTED_VALUE"""),"")</f>
        <v/>
      </c>
      <c r="J29" s="250" t="str">
        <f t="shared" si="2"/>
        <v/>
      </c>
      <c r="K29" s="251" t="str">
        <f>IFERROR(__xludf.DUMMYFUNCTION("""COMPUTED_VALUE"""),"")</f>
        <v/>
      </c>
      <c r="L29" s="252" t="str">
        <f>IFERROR(__xludf.DUMMYFUNCTION("""COMPUTED_VALUE"""),"")</f>
        <v/>
      </c>
      <c r="M29" s="253" t="str">
        <f t="shared" si="3"/>
        <v/>
      </c>
      <c r="N29" s="254" t="str">
        <f>IFERROR(__xludf.DUMMYFUNCTION("""COMPUTED_VALUE"""),"")</f>
        <v/>
      </c>
      <c r="O29" s="246" t="str">
        <f>IFERROR(__xludf.DUMMYFUNCTION("""COMPUTED_VALUE"""),"")</f>
        <v/>
      </c>
      <c r="P29" s="247" t="str">
        <f t="shared" si="4"/>
        <v/>
      </c>
      <c r="Q29" s="255" t="str">
        <f>IFERROR(__xludf.DUMMYFUNCTION("""COMPUTED_VALUE"""),"")</f>
        <v/>
      </c>
      <c r="R29" s="249" t="str">
        <f>IFERROR(__xludf.DUMMYFUNCTION("""COMPUTED_VALUE"""),"")</f>
        <v/>
      </c>
      <c r="S29" s="250" t="str">
        <f t="shared" si="5"/>
        <v/>
      </c>
      <c r="T29" s="254" t="str">
        <f>IFERROR(__xludf.DUMMYFUNCTION("""COMPUTED_VALUE"""),"")</f>
        <v/>
      </c>
      <c r="U29" s="246" t="str">
        <f>IFERROR(__xludf.DUMMYFUNCTION("""COMPUTED_VALUE"""),"")</f>
        <v/>
      </c>
      <c r="V29" s="247" t="str">
        <f t="shared" si="6"/>
        <v/>
      </c>
      <c r="W29" s="255" t="str">
        <f>IFERROR(__xludf.DUMMYFUNCTION("""COMPUTED_VALUE"""),"")</f>
        <v/>
      </c>
      <c r="X29" s="249" t="str">
        <f>IFERROR(__xludf.DUMMYFUNCTION("""COMPUTED_VALUE"""),"")</f>
        <v/>
      </c>
      <c r="Y29" s="250" t="str">
        <f t="shared" si="7"/>
        <v/>
      </c>
      <c r="AB29" s="263" t="s">
        <v>227</v>
      </c>
      <c r="AC29" s="83"/>
      <c r="AD29" s="264" t="s">
        <v>228</v>
      </c>
      <c r="AE29" s="7"/>
      <c r="AF29" s="263" t="s">
        <v>229</v>
      </c>
      <c r="AG29" s="83"/>
      <c r="AH29" s="264" t="s">
        <v>230</v>
      </c>
      <c r="AI29" s="7"/>
      <c r="AL29" s="263" t="s">
        <v>231</v>
      </c>
      <c r="AM29" s="83"/>
      <c r="AN29" s="264" t="s">
        <v>232</v>
      </c>
      <c r="AO29" s="7"/>
    </row>
    <row r="30">
      <c r="A30" s="136" t="s">
        <v>15</v>
      </c>
      <c r="B30" s="146">
        <v>46056.0</v>
      </c>
      <c r="C30" s="136" t="s">
        <v>41</v>
      </c>
      <c r="D30" s="136" t="s">
        <v>148</v>
      </c>
      <c r="E30" s="256" t="str">
        <f>IFERROR(__xludf.DUMMYFUNCTION("""COMPUTED_VALUE"""),"")</f>
        <v/>
      </c>
      <c r="F30" s="257" t="str">
        <f>IFERROR(__xludf.DUMMYFUNCTION("""COMPUTED_VALUE"""),"")</f>
        <v/>
      </c>
      <c r="G30" s="247" t="str">
        <f t="shared" si="1"/>
        <v/>
      </c>
      <c r="H30" s="258" t="str">
        <f>IFERROR(__xludf.DUMMYFUNCTION("""COMPUTED_VALUE"""),"")</f>
        <v/>
      </c>
      <c r="I30" s="259" t="str">
        <f>IFERROR(__xludf.DUMMYFUNCTION("""COMPUTED_VALUE"""),"")</f>
        <v/>
      </c>
      <c r="J30" s="250" t="str">
        <f t="shared" si="2"/>
        <v/>
      </c>
      <c r="K30" s="251" t="str">
        <f>IFERROR(__xludf.DUMMYFUNCTION("""COMPUTED_VALUE"""),"")</f>
        <v/>
      </c>
      <c r="L30" s="252" t="str">
        <f>IFERROR(__xludf.DUMMYFUNCTION("""COMPUTED_VALUE"""),"")</f>
        <v/>
      </c>
      <c r="M30" s="253" t="str">
        <f t="shared" si="3"/>
        <v/>
      </c>
      <c r="N30" s="254" t="str">
        <f>IFERROR(__xludf.DUMMYFUNCTION("""COMPUTED_VALUE"""),"")</f>
        <v/>
      </c>
      <c r="O30" s="246" t="str">
        <f>IFERROR(__xludf.DUMMYFUNCTION("""COMPUTED_VALUE"""),"")</f>
        <v/>
      </c>
      <c r="P30" s="247" t="str">
        <f t="shared" si="4"/>
        <v/>
      </c>
      <c r="Q30" s="255" t="str">
        <f>IFERROR(__xludf.DUMMYFUNCTION("""COMPUTED_VALUE"""),"")</f>
        <v/>
      </c>
      <c r="R30" s="249" t="str">
        <f>IFERROR(__xludf.DUMMYFUNCTION("""COMPUTED_VALUE"""),"")</f>
        <v/>
      </c>
      <c r="S30" s="250" t="str">
        <f t="shared" si="5"/>
        <v/>
      </c>
      <c r="T30" s="254" t="str">
        <f>IFERROR(__xludf.DUMMYFUNCTION("""COMPUTED_VALUE"""),"")</f>
        <v/>
      </c>
      <c r="U30" s="246" t="str">
        <f>IFERROR(__xludf.DUMMYFUNCTION("""COMPUTED_VALUE"""),"")</f>
        <v/>
      </c>
      <c r="V30" s="247" t="str">
        <f t="shared" si="6"/>
        <v/>
      </c>
      <c r="W30" s="255" t="str">
        <f>IFERROR(__xludf.DUMMYFUNCTION("""COMPUTED_VALUE"""),"")</f>
        <v/>
      </c>
      <c r="X30" s="249" t="str">
        <f>IFERROR(__xludf.DUMMYFUNCTION("""COMPUTED_VALUE"""),"")</f>
        <v/>
      </c>
      <c r="Y30" s="250" t="str">
        <f t="shared" si="7"/>
        <v/>
      </c>
      <c r="AA30" s="283" t="s">
        <v>224</v>
      </c>
      <c r="AB30" s="284" t="s">
        <v>233</v>
      </c>
      <c r="AC30" s="284" t="s">
        <v>222</v>
      </c>
      <c r="AD30" s="284" t="s">
        <v>233</v>
      </c>
      <c r="AE30" s="285" t="s">
        <v>223</v>
      </c>
      <c r="AF30" s="286" t="s">
        <v>221</v>
      </c>
      <c r="AG30" s="284" t="s">
        <v>222</v>
      </c>
      <c r="AH30" s="284" t="s">
        <v>221</v>
      </c>
      <c r="AI30" s="284" t="s">
        <v>223</v>
      </c>
      <c r="AJ30" s="284" t="s">
        <v>224</v>
      </c>
      <c r="AL30" s="284" t="s">
        <v>234</v>
      </c>
      <c r="AM30" s="284" t="s">
        <v>222</v>
      </c>
      <c r="AN30" s="284" t="s">
        <v>235</v>
      </c>
      <c r="AO30" s="284" t="s">
        <v>223</v>
      </c>
      <c r="AP30" s="284" t="s">
        <v>224</v>
      </c>
    </row>
    <row r="31">
      <c r="A31" s="136" t="s">
        <v>18</v>
      </c>
      <c r="B31" s="146">
        <v>46056.0</v>
      </c>
      <c r="C31" s="136" t="s">
        <v>41</v>
      </c>
      <c r="D31" s="136" t="s">
        <v>149</v>
      </c>
      <c r="E31" s="256" t="str">
        <f>IFERROR(__xludf.DUMMYFUNCTION("""COMPUTED_VALUE"""),"")</f>
        <v/>
      </c>
      <c r="F31" s="257" t="str">
        <f>IFERROR(__xludf.DUMMYFUNCTION("""COMPUTED_VALUE"""),"")</f>
        <v/>
      </c>
      <c r="G31" s="247" t="str">
        <f t="shared" si="1"/>
        <v/>
      </c>
      <c r="H31" s="258" t="str">
        <f>IFERROR(__xludf.DUMMYFUNCTION("""COMPUTED_VALUE"""),"")</f>
        <v/>
      </c>
      <c r="I31" s="259" t="str">
        <f>IFERROR(__xludf.DUMMYFUNCTION("""COMPUTED_VALUE"""),"")</f>
        <v/>
      </c>
      <c r="J31" s="250" t="str">
        <f t="shared" si="2"/>
        <v/>
      </c>
      <c r="K31" s="251" t="str">
        <f>IFERROR(__xludf.DUMMYFUNCTION("""COMPUTED_VALUE"""),"")</f>
        <v/>
      </c>
      <c r="L31" s="252" t="str">
        <f>IFERROR(__xludf.DUMMYFUNCTION("""COMPUTED_VALUE"""),"")</f>
        <v/>
      </c>
      <c r="M31" s="253" t="str">
        <f t="shared" si="3"/>
        <v/>
      </c>
      <c r="N31" s="254" t="str">
        <f>IFERROR(__xludf.DUMMYFUNCTION("""COMPUTED_VALUE"""),"")</f>
        <v/>
      </c>
      <c r="O31" s="246" t="str">
        <f>IFERROR(__xludf.DUMMYFUNCTION("""COMPUTED_VALUE"""),"")</f>
        <v/>
      </c>
      <c r="P31" s="247" t="str">
        <f t="shared" si="4"/>
        <v/>
      </c>
      <c r="Q31" s="255" t="str">
        <f>IFERROR(__xludf.DUMMYFUNCTION("""COMPUTED_VALUE"""),"")</f>
        <v/>
      </c>
      <c r="R31" s="249" t="str">
        <f>IFERROR(__xludf.DUMMYFUNCTION("""COMPUTED_VALUE"""),"")</f>
        <v/>
      </c>
      <c r="S31" s="250" t="str">
        <f t="shared" si="5"/>
        <v/>
      </c>
      <c r="T31" s="254" t="str">
        <f>IFERROR(__xludf.DUMMYFUNCTION("""COMPUTED_VALUE"""),"")</f>
        <v/>
      </c>
      <c r="U31" s="246" t="str">
        <f>IFERROR(__xludf.DUMMYFUNCTION("""COMPUTED_VALUE"""),"")</f>
        <v/>
      </c>
      <c r="V31" s="247" t="str">
        <f t="shared" si="6"/>
        <v/>
      </c>
      <c r="W31" s="255" t="str">
        <f>IFERROR(__xludf.DUMMYFUNCTION("""COMPUTED_VALUE"""),"")</f>
        <v/>
      </c>
      <c r="X31" s="249" t="str">
        <f>IFERROR(__xludf.DUMMYFUNCTION("""COMPUTED_VALUE"""),"")</f>
        <v/>
      </c>
      <c r="Y31" s="250" t="str">
        <f t="shared" si="7"/>
        <v/>
      </c>
      <c r="AA31" s="143">
        <f t="shared" ref="AA31:AA36" si="10">AC31-AE31</f>
        <v>40.05925751</v>
      </c>
      <c r="AB31" s="267" t="s">
        <v>225</v>
      </c>
      <c r="AC31" s="223">
        <f>AVERAGE(G:G)</f>
        <v>62.62236256</v>
      </c>
      <c r="AD31" s="268" t="s">
        <v>225</v>
      </c>
      <c r="AE31" s="24">
        <f>STDEV(G:G)</f>
        <v>22.56310505</v>
      </c>
      <c r="AF31" s="267" t="s">
        <v>225</v>
      </c>
      <c r="AG31" s="222">
        <f>AVERAGE(P:P)</f>
        <v>37.35198105</v>
      </c>
      <c r="AH31" s="268" t="s">
        <v>225</v>
      </c>
      <c r="AI31" s="26">
        <f>STDEV(P:P)</f>
        <v>14.06903886</v>
      </c>
      <c r="AJ31" s="143">
        <f t="shared" ref="AJ31:AJ36" si="11">AG31-AI31</f>
        <v>23.28294218</v>
      </c>
      <c r="AL31" s="267" t="s">
        <v>225</v>
      </c>
      <c r="AM31" s="287">
        <f>AVERAGE(V:V)</f>
        <v>52.62629543</v>
      </c>
      <c r="AN31" s="268" t="s">
        <v>225</v>
      </c>
      <c r="AO31" s="287">
        <f>STDEV(V:V)</f>
        <v>21.42160405</v>
      </c>
      <c r="AP31" s="288">
        <f t="shared" ref="AP31:AP36" si="12">AM31-AO31</f>
        <v>31.20469139</v>
      </c>
    </row>
    <row r="32">
      <c r="A32" s="136" t="s">
        <v>18</v>
      </c>
      <c r="B32" s="146">
        <v>46056.0</v>
      </c>
      <c r="C32" s="136" t="s">
        <v>41</v>
      </c>
      <c r="D32" s="136" t="s">
        <v>149</v>
      </c>
      <c r="E32" s="256" t="str">
        <f>IFERROR(__xludf.DUMMYFUNCTION("""COMPUTED_VALUE"""),"")</f>
        <v/>
      </c>
      <c r="F32" s="257" t="str">
        <f>IFERROR(__xludf.DUMMYFUNCTION("""COMPUTED_VALUE"""),"")</f>
        <v/>
      </c>
      <c r="G32" s="247" t="str">
        <f t="shared" si="1"/>
        <v/>
      </c>
      <c r="H32" s="258" t="str">
        <f>IFERROR(__xludf.DUMMYFUNCTION("""COMPUTED_VALUE"""),"")</f>
        <v/>
      </c>
      <c r="I32" s="259" t="str">
        <f>IFERROR(__xludf.DUMMYFUNCTION("""COMPUTED_VALUE"""),"")</f>
        <v/>
      </c>
      <c r="J32" s="250" t="str">
        <f t="shared" si="2"/>
        <v/>
      </c>
      <c r="K32" s="251" t="str">
        <f>IFERROR(__xludf.DUMMYFUNCTION("""COMPUTED_VALUE"""),"")</f>
        <v/>
      </c>
      <c r="L32" s="252" t="str">
        <f>IFERROR(__xludf.DUMMYFUNCTION("""COMPUTED_VALUE"""),"")</f>
        <v/>
      </c>
      <c r="M32" s="253" t="str">
        <f t="shared" si="3"/>
        <v/>
      </c>
      <c r="N32" s="254" t="str">
        <f>IFERROR(__xludf.DUMMYFUNCTION("""COMPUTED_VALUE"""),"")</f>
        <v/>
      </c>
      <c r="O32" s="246" t="str">
        <f>IFERROR(__xludf.DUMMYFUNCTION("""COMPUTED_VALUE"""),"")</f>
        <v/>
      </c>
      <c r="P32" s="247" t="str">
        <f t="shared" si="4"/>
        <v/>
      </c>
      <c r="Q32" s="255" t="str">
        <f>IFERROR(__xludf.DUMMYFUNCTION("""COMPUTED_VALUE"""),"")</f>
        <v/>
      </c>
      <c r="R32" s="249" t="str">
        <f>IFERROR(__xludf.DUMMYFUNCTION("""COMPUTED_VALUE"""),"")</f>
        <v/>
      </c>
      <c r="S32" s="250" t="str">
        <f t="shared" si="5"/>
        <v/>
      </c>
      <c r="T32" s="254" t="str">
        <f>IFERROR(__xludf.DUMMYFUNCTION("""COMPUTED_VALUE"""),"")</f>
        <v/>
      </c>
      <c r="U32" s="246" t="str">
        <f>IFERROR(__xludf.DUMMYFUNCTION("""COMPUTED_VALUE"""),"")</f>
        <v/>
      </c>
      <c r="V32" s="247" t="str">
        <f t="shared" si="6"/>
        <v/>
      </c>
      <c r="W32" s="255" t="str">
        <f>IFERROR(__xludf.DUMMYFUNCTION("""COMPUTED_VALUE"""),"")</f>
        <v/>
      </c>
      <c r="X32" s="249" t="str">
        <f>IFERROR(__xludf.DUMMYFUNCTION("""COMPUTED_VALUE"""),"")</f>
        <v/>
      </c>
      <c r="Y32" s="250" t="str">
        <f t="shared" si="7"/>
        <v/>
      </c>
      <c r="AA32" s="143">
        <f t="shared" si="10"/>
        <v>54.86354514</v>
      </c>
      <c r="AB32" s="269" t="s">
        <v>37</v>
      </c>
      <c r="AC32" s="223">
        <f t="shared" ref="AC32:AC38" si="13">iferror(AVERAGEIF(C:C,INDIRECT("RC[-1]",False), G:G),"0.00")</f>
        <v>73.48020708</v>
      </c>
      <c r="AD32" s="270" t="s">
        <v>37</v>
      </c>
      <c r="AE32" s="24">
        <f>IFERROR(__xludf.DUMMYFUNCTION("iferror(STDEV(FILTER(G:G, C:C = INDIRECT(""RC[-1]"", FALSE))),""0.00"")"),18.616661933490143)</f>
        <v>18.61666193</v>
      </c>
      <c r="AF32" s="269" t="s">
        <v>37</v>
      </c>
      <c r="AG32" s="222">
        <f t="shared" ref="AG32:AG38" si="14">IFERROR(AVERAGEIF(C:C,INDIRECT("RC[-1]",False), P:P),"0.00")</f>
        <v>36.61796798</v>
      </c>
      <c r="AH32" s="270" t="s">
        <v>37</v>
      </c>
      <c r="AI32" s="26">
        <f>IFERROR(__xludf.DUMMYFUNCTION("iferror(STDEV(FILTER(P:P, C:C = INDIRECT(""RC[-1]"", FALSE))),""0.00"")"),8.8587529821332)</f>
        <v>8.858752982</v>
      </c>
      <c r="AJ32" s="143">
        <f t="shared" si="11"/>
        <v>27.759215</v>
      </c>
      <c r="AL32" s="269" t="s">
        <v>37</v>
      </c>
      <c r="AM32" s="287">
        <f t="shared" ref="AM32:AM38" si="15">IFERROR(AVERAGEIF(C:C,INDIRECT("RC[-1]",False), V:V),"0.00")</f>
        <v>47.85552987</v>
      </c>
      <c r="AN32" s="270" t="s">
        <v>37</v>
      </c>
      <c r="AO32" s="287">
        <f>IFERROR(__xludf.DUMMYFUNCTION("iferror(STDEV(FILTER(V:V, C:C = INDIRECT(""RC[-1]"", FALSE))),""0.00"")"),11.954335065388662)</f>
        <v>11.95433507</v>
      </c>
      <c r="AP32" s="288">
        <f t="shared" si="12"/>
        <v>35.9011948</v>
      </c>
    </row>
    <row r="33">
      <c r="A33" s="136" t="s">
        <v>18</v>
      </c>
      <c r="B33" s="146">
        <v>46056.0</v>
      </c>
      <c r="C33" s="136" t="s">
        <v>41</v>
      </c>
      <c r="D33" s="136" t="s">
        <v>148</v>
      </c>
      <c r="E33" s="256" t="str">
        <f>IFERROR(__xludf.DUMMYFUNCTION("""COMPUTED_VALUE"""),"")</f>
        <v/>
      </c>
      <c r="F33" s="257" t="str">
        <f>IFERROR(__xludf.DUMMYFUNCTION("""COMPUTED_VALUE"""),"")</f>
        <v/>
      </c>
      <c r="G33" s="247" t="str">
        <f t="shared" si="1"/>
        <v/>
      </c>
      <c r="H33" s="258" t="str">
        <f>IFERROR(__xludf.DUMMYFUNCTION("""COMPUTED_VALUE"""),"")</f>
        <v/>
      </c>
      <c r="I33" s="259" t="str">
        <f>IFERROR(__xludf.DUMMYFUNCTION("""COMPUTED_VALUE"""),"")</f>
        <v/>
      </c>
      <c r="J33" s="250" t="str">
        <f t="shared" si="2"/>
        <v/>
      </c>
      <c r="K33" s="251" t="str">
        <f>IFERROR(__xludf.DUMMYFUNCTION("""COMPUTED_VALUE"""),"")</f>
        <v/>
      </c>
      <c r="L33" s="252" t="str">
        <f>IFERROR(__xludf.DUMMYFUNCTION("""COMPUTED_VALUE"""),"")</f>
        <v/>
      </c>
      <c r="M33" s="253" t="str">
        <f t="shared" si="3"/>
        <v/>
      </c>
      <c r="N33" s="254" t="str">
        <f>IFERROR(__xludf.DUMMYFUNCTION("""COMPUTED_VALUE"""),"")</f>
        <v/>
      </c>
      <c r="O33" s="246" t="str">
        <f>IFERROR(__xludf.DUMMYFUNCTION("""COMPUTED_VALUE"""),"")</f>
        <v/>
      </c>
      <c r="P33" s="247" t="str">
        <f t="shared" si="4"/>
        <v/>
      </c>
      <c r="Q33" s="255" t="str">
        <f>IFERROR(__xludf.DUMMYFUNCTION("""COMPUTED_VALUE"""),"")</f>
        <v/>
      </c>
      <c r="R33" s="249" t="str">
        <f>IFERROR(__xludf.DUMMYFUNCTION("""COMPUTED_VALUE"""),"")</f>
        <v/>
      </c>
      <c r="S33" s="250" t="str">
        <f t="shared" si="5"/>
        <v/>
      </c>
      <c r="T33" s="254" t="str">
        <f>IFERROR(__xludf.DUMMYFUNCTION("""COMPUTED_VALUE"""),"")</f>
        <v/>
      </c>
      <c r="U33" s="246" t="str">
        <f>IFERROR(__xludf.DUMMYFUNCTION("""COMPUTED_VALUE"""),"")</f>
        <v/>
      </c>
      <c r="V33" s="247" t="str">
        <f t="shared" si="6"/>
        <v/>
      </c>
      <c r="W33" s="255" t="str">
        <f>IFERROR(__xludf.DUMMYFUNCTION("""COMPUTED_VALUE"""),"")</f>
        <v/>
      </c>
      <c r="X33" s="249" t="str">
        <f>IFERROR(__xludf.DUMMYFUNCTION("""COMPUTED_VALUE"""),"")</f>
        <v/>
      </c>
      <c r="Y33" s="250" t="str">
        <f t="shared" si="7"/>
        <v/>
      </c>
      <c r="AA33" s="143">
        <f t="shared" si="10"/>
        <v>64.94822334</v>
      </c>
      <c r="AB33" s="269" t="s">
        <v>41</v>
      </c>
      <c r="AC33" s="223">
        <f t="shared" si="13"/>
        <v>87.65640546</v>
      </c>
      <c r="AD33" s="270" t="s">
        <v>41</v>
      </c>
      <c r="AE33" s="24">
        <f>IFERROR(__xludf.DUMMYFUNCTION("iferror(STDEV(FILTER(G:G, C:C = INDIRECT(""RC[-1]"", FALSE))),""0.00"")"),22.708182116184307)</f>
        <v>22.70818212</v>
      </c>
      <c r="AF33" s="269" t="s">
        <v>41</v>
      </c>
      <c r="AG33" s="222">
        <f t="shared" si="14"/>
        <v>36.65312401</v>
      </c>
      <c r="AH33" s="270" t="s">
        <v>41</v>
      </c>
      <c r="AI33" s="26">
        <f>IFERROR(__xludf.DUMMYFUNCTION("iferror(STDEV(FILTER(P:P, C:C = INDIRECT(""RC[-1]"", FALSE))),""0.00"")"),17.316666416365386)</f>
        <v>17.31666642</v>
      </c>
      <c r="AJ33" s="143">
        <f t="shared" si="11"/>
        <v>19.3364576</v>
      </c>
      <c r="AL33" s="269" t="s">
        <v>41</v>
      </c>
      <c r="AM33" s="287">
        <f t="shared" si="15"/>
        <v>77.36916401</v>
      </c>
      <c r="AN33" s="270" t="s">
        <v>41</v>
      </c>
      <c r="AO33" s="287">
        <f>IFERROR(__xludf.DUMMYFUNCTION("iferror(STDEV(FILTER(V:V, C:C = INDIRECT(""RC[-1]"", FALSE))),""0.00"")"),29.141929801365432)</f>
        <v>29.1419298</v>
      </c>
      <c r="AP33" s="288">
        <f t="shared" si="12"/>
        <v>48.22723421</v>
      </c>
    </row>
    <row r="34">
      <c r="A34" s="136" t="s">
        <v>18</v>
      </c>
      <c r="B34" s="146">
        <v>46056.0</v>
      </c>
      <c r="C34" s="136" t="s">
        <v>41</v>
      </c>
      <c r="D34" s="136" t="s">
        <v>148</v>
      </c>
      <c r="E34" s="256">
        <f>IFERROR(__xludf.DUMMYFUNCTION("""COMPUTED_VALUE"""),195.0)</f>
        <v>195</v>
      </c>
      <c r="F34" s="257">
        <f>IFERROR(__xludf.DUMMYFUNCTION("""COMPUTED_VALUE"""),0.13263888889196096)</f>
        <v>0.1326388889</v>
      </c>
      <c r="G34" s="247">
        <f t="shared" si="1"/>
        <v>61.2565445</v>
      </c>
      <c r="H34" s="258">
        <f>IFERROR(__xludf.DUMMYFUNCTION("""COMPUTED_VALUE"""),188.0)</f>
        <v>188</v>
      </c>
      <c r="I34" s="259">
        <f>IFERROR(__xludf.DUMMYFUNCTION("""COMPUTED_VALUE"""),0.16805555556493346)</f>
        <v>0.1680555556</v>
      </c>
      <c r="J34" s="250">
        <f t="shared" si="2"/>
        <v>46.61157025</v>
      </c>
      <c r="K34" s="251">
        <f>IFERROR(__xludf.DUMMYFUNCTION("""COMPUTED_VALUE"""),136.0)</f>
        <v>136</v>
      </c>
      <c r="L34" s="252">
        <f>IFERROR(__xludf.DUMMYFUNCTION("""COMPUTED_VALUE"""),0.14513888888905058)</f>
        <v>0.1451388889</v>
      </c>
      <c r="M34" s="253">
        <f t="shared" si="3"/>
        <v>39.0430622</v>
      </c>
      <c r="N34" s="254">
        <f>IFERROR(__xludf.DUMMYFUNCTION("""COMPUTED_VALUE"""),81.0)</f>
        <v>81</v>
      </c>
      <c r="O34" s="246">
        <f>IFERROR(__xludf.DUMMYFUNCTION("""COMPUTED_VALUE"""),0.12152777777858625)</f>
        <v>0.1215277778</v>
      </c>
      <c r="P34" s="247">
        <f t="shared" si="4"/>
        <v>27.77142857</v>
      </c>
      <c r="Q34" s="255">
        <f>IFERROR(__xludf.DUMMYFUNCTION("""COMPUTED_VALUE"""),217.0)</f>
        <v>217</v>
      </c>
      <c r="R34" s="249">
        <f>IFERROR(__xludf.DUMMYFUNCTION("""COMPUTED_VALUE"""),0.14930555556202307)</f>
        <v>0.1493055556</v>
      </c>
      <c r="S34" s="250">
        <f t="shared" si="5"/>
        <v>60.55813953</v>
      </c>
      <c r="T34" s="254">
        <f>IFERROR(__xludf.DUMMYFUNCTION("""COMPUTED_VALUE"""),276.0)</f>
        <v>276</v>
      </c>
      <c r="U34" s="246">
        <f>IFERROR(__xludf.DUMMYFUNCTION("""COMPUTED_VALUE"""),0.2541666666705472)</f>
        <v>0.2541666667</v>
      </c>
      <c r="V34" s="247">
        <f t="shared" si="6"/>
        <v>45.24590164</v>
      </c>
      <c r="W34" s="255">
        <f>IFERROR(__xludf.DUMMYFUNCTION("""COMPUTED_VALUE"""),405.0)</f>
        <v>405</v>
      </c>
      <c r="X34" s="249">
        <f>IFERROR(__xludf.DUMMYFUNCTION("""COMPUTED_VALUE"""),0.31736111112695653)</f>
        <v>0.3173611111</v>
      </c>
      <c r="Y34" s="250">
        <f t="shared" si="7"/>
        <v>53.17286652</v>
      </c>
      <c r="AA34" s="143">
        <f t="shared" si="10"/>
        <v>39.97045472</v>
      </c>
      <c r="AB34" s="269" t="s">
        <v>45</v>
      </c>
      <c r="AC34" s="223">
        <f t="shared" si="13"/>
        <v>50.27749435</v>
      </c>
      <c r="AD34" s="270" t="s">
        <v>45</v>
      </c>
      <c r="AE34" s="24">
        <f>IFERROR(__xludf.DUMMYFUNCTION("iferror(STDEV(FILTER(G:G, C:C = INDIRECT(""RC[-1]"", FALSE))),""0.00"")"),10.30703963347502)</f>
        <v>10.30703963</v>
      </c>
      <c r="AF34" s="269" t="s">
        <v>45</v>
      </c>
      <c r="AG34" s="222">
        <f t="shared" si="14"/>
        <v>28.35064935</v>
      </c>
      <c r="AH34" s="270" t="s">
        <v>45</v>
      </c>
      <c r="AI34" s="26">
        <f>IFERROR(__xludf.DUMMYFUNCTION("iferror(STDEV(FILTER(P:P, C:C = INDIRECT(""RC[-1]"", FALSE))),""0.00"")"),32.41671347447193)</f>
        <v>32.41671347</v>
      </c>
      <c r="AJ34" s="143">
        <f t="shared" si="11"/>
        <v>-4.066064124</v>
      </c>
      <c r="AL34" s="269" t="s">
        <v>45</v>
      </c>
      <c r="AM34" s="287">
        <f t="shared" si="15"/>
        <v>47.7695352</v>
      </c>
      <c r="AN34" s="270" t="s">
        <v>45</v>
      </c>
      <c r="AO34" s="287">
        <f>IFERROR(__xludf.DUMMYFUNCTION("iferror(STDEV(FILTER(V:V, C:C = INDIRECT(""RC[-1]"", FALSE))),""0.00"")"),13.158044121613544)</f>
        <v>13.15804412</v>
      </c>
      <c r="AP34" s="288">
        <f t="shared" si="12"/>
        <v>34.61149108</v>
      </c>
    </row>
    <row r="35">
      <c r="A35" s="136" t="s">
        <v>15</v>
      </c>
      <c r="B35" s="146">
        <v>46056.0</v>
      </c>
      <c r="C35" s="136" t="s">
        <v>41</v>
      </c>
      <c r="D35" s="136" t="s">
        <v>149</v>
      </c>
      <c r="E35" s="256" t="str">
        <f>IFERROR(__xludf.DUMMYFUNCTION("""COMPUTED_VALUE"""),"")</f>
        <v/>
      </c>
      <c r="F35" s="257" t="str">
        <f>IFERROR(__xludf.DUMMYFUNCTION("""COMPUTED_VALUE"""),"")</f>
        <v/>
      </c>
      <c r="G35" s="247" t="str">
        <f t="shared" si="1"/>
        <v/>
      </c>
      <c r="H35" s="258" t="str">
        <f>IFERROR(__xludf.DUMMYFUNCTION("""COMPUTED_VALUE"""),"")</f>
        <v/>
      </c>
      <c r="I35" s="259" t="str">
        <f>IFERROR(__xludf.DUMMYFUNCTION("""COMPUTED_VALUE"""),"")</f>
        <v/>
      </c>
      <c r="J35" s="250" t="str">
        <f t="shared" si="2"/>
        <v/>
      </c>
      <c r="K35" s="251" t="str">
        <f>IFERROR(__xludf.DUMMYFUNCTION("""COMPUTED_VALUE"""),"")</f>
        <v/>
      </c>
      <c r="L35" s="252" t="str">
        <f>IFERROR(__xludf.DUMMYFUNCTION("""COMPUTED_VALUE"""),"")</f>
        <v/>
      </c>
      <c r="M35" s="253" t="str">
        <f t="shared" si="3"/>
        <v/>
      </c>
      <c r="N35" s="254" t="str">
        <f>IFERROR(__xludf.DUMMYFUNCTION("""COMPUTED_VALUE"""),"")</f>
        <v/>
      </c>
      <c r="O35" s="246" t="str">
        <f>IFERROR(__xludf.DUMMYFUNCTION("""COMPUTED_VALUE"""),"")</f>
        <v/>
      </c>
      <c r="P35" s="247" t="str">
        <f t="shared" si="4"/>
        <v/>
      </c>
      <c r="Q35" s="255" t="str">
        <f>IFERROR(__xludf.DUMMYFUNCTION("""COMPUTED_VALUE"""),"")</f>
        <v/>
      </c>
      <c r="R35" s="249" t="str">
        <f>IFERROR(__xludf.DUMMYFUNCTION("""COMPUTED_VALUE"""),"")</f>
        <v/>
      </c>
      <c r="S35" s="250" t="str">
        <f t="shared" si="5"/>
        <v/>
      </c>
      <c r="T35" s="254" t="str">
        <f>IFERROR(__xludf.DUMMYFUNCTION("""COMPUTED_VALUE"""),"")</f>
        <v/>
      </c>
      <c r="U35" s="246" t="str">
        <f>IFERROR(__xludf.DUMMYFUNCTION("""COMPUTED_VALUE"""),"")</f>
        <v/>
      </c>
      <c r="V35" s="247" t="str">
        <f t="shared" si="6"/>
        <v/>
      </c>
      <c r="W35" s="255" t="str">
        <f>IFERROR(__xludf.DUMMYFUNCTION("""COMPUTED_VALUE"""),"")</f>
        <v/>
      </c>
      <c r="X35" s="249" t="str">
        <f>IFERROR(__xludf.DUMMYFUNCTION("""COMPUTED_VALUE"""),"")</f>
        <v/>
      </c>
      <c r="Y35" s="250" t="str">
        <f t="shared" si="7"/>
        <v/>
      </c>
      <c r="AA35" s="143">
        <f t="shared" si="10"/>
        <v>34.14387516</v>
      </c>
      <c r="AB35" s="269" t="s">
        <v>49</v>
      </c>
      <c r="AC35" s="223">
        <f t="shared" si="13"/>
        <v>53.65146615</v>
      </c>
      <c r="AD35" s="270" t="s">
        <v>49</v>
      </c>
      <c r="AE35" s="24">
        <f>IFERROR(__xludf.DUMMYFUNCTION("iferror(STDEV(FILTER(G:G, C:C = INDIRECT(""RC[-1]"", FALSE))),""0.00"")"),19.507590989116252)</f>
        <v>19.50759099</v>
      </c>
      <c r="AF35" s="269" t="s">
        <v>49</v>
      </c>
      <c r="AG35" s="222">
        <f t="shared" si="14"/>
        <v>50.32309654</v>
      </c>
      <c r="AH35" s="270" t="s">
        <v>49</v>
      </c>
      <c r="AI35" s="26">
        <f>IFERROR(__xludf.DUMMYFUNCTION("iferror(STDEV(FILTER(P:P, C:C = INDIRECT(""RC[-1]"", FALSE))),""0.00"")"),9.962096259079072)</f>
        <v>9.962096259</v>
      </c>
      <c r="AJ35" s="143">
        <f t="shared" si="11"/>
        <v>40.36100028</v>
      </c>
      <c r="AL35" s="269" t="s">
        <v>49</v>
      </c>
      <c r="AM35" s="287">
        <f t="shared" si="15"/>
        <v>50.89695968</v>
      </c>
      <c r="AN35" s="270" t="s">
        <v>49</v>
      </c>
      <c r="AO35" s="287">
        <f>IFERROR(__xludf.DUMMYFUNCTION("iferror(STDEV(FILTER(V:V, C:C = INDIRECT(""RC[-1]"", FALSE))),""0.00"")"),16.889472176779794)</f>
        <v>16.88947218</v>
      </c>
      <c r="AP35" s="288">
        <f t="shared" si="12"/>
        <v>34.0074875</v>
      </c>
    </row>
    <row r="36">
      <c r="A36" s="136" t="s">
        <v>12</v>
      </c>
      <c r="B36" s="146">
        <v>46057.0</v>
      </c>
      <c r="C36" s="136" t="s">
        <v>45</v>
      </c>
      <c r="D36" s="136" t="s">
        <v>149</v>
      </c>
      <c r="E36" s="256" t="str">
        <f>IFERROR(__xludf.DUMMYFUNCTION("""COMPUTED_VALUE"""),"")</f>
        <v/>
      </c>
      <c r="F36" s="257" t="str">
        <f>IFERROR(__xludf.DUMMYFUNCTION("""COMPUTED_VALUE"""),"")</f>
        <v/>
      </c>
      <c r="G36" s="247" t="str">
        <f t="shared" si="1"/>
        <v/>
      </c>
      <c r="H36" s="258" t="str">
        <f>IFERROR(__xludf.DUMMYFUNCTION("""COMPUTED_VALUE"""),"")</f>
        <v/>
      </c>
      <c r="I36" s="259" t="str">
        <f>IFERROR(__xludf.DUMMYFUNCTION("""COMPUTED_VALUE"""),"")</f>
        <v/>
      </c>
      <c r="J36" s="250" t="str">
        <f t="shared" si="2"/>
        <v/>
      </c>
      <c r="K36" s="251" t="str">
        <f>IFERROR(__xludf.DUMMYFUNCTION("""COMPUTED_VALUE"""),"")</f>
        <v/>
      </c>
      <c r="L36" s="252" t="str">
        <f>IFERROR(__xludf.DUMMYFUNCTION("""COMPUTED_VALUE"""),"")</f>
        <v/>
      </c>
      <c r="M36" s="253" t="str">
        <f t="shared" si="3"/>
        <v/>
      </c>
      <c r="N36" s="254" t="str">
        <f>IFERROR(__xludf.DUMMYFUNCTION("""COMPUTED_VALUE"""),"")</f>
        <v/>
      </c>
      <c r="O36" s="246" t="str">
        <f>IFERROR(__xludf.DUMMYFUNCTION("""COMPUTED_VALUE"""),"")</f>
        <v/>
      </c>
      <c r="P36" s="247" t="str">
        <f t="shared" si="4"/>
        <v/>
      </c>
      <c r="Q36" s="255" t="str">
        <f>IFERROR(__xludf.DUMMYFUNCTION("""COMPUTED_VALUE"""),"")</f>
        <v/>
      </c>
      <c r="R36" s="249" t="str">
        <f>IFERROR(__xludf.DUMMYFUNCTION("""COMPUTED_VALUE"""),"")</f>
        <v/>
      </c>
      <c r="S36" s="250" t="str">
        <f t="shared" si="5"/>
        <v/>
      </c>
      <c r="T36" s="254" t="str">
        <f>IFERROR(__xludf.DUMMYFUNCTION("""COMPUTED_VALUE"""),"")</f>
        <v/>
      </c>
      <c r="U36" s="246" t="str">
        <f>IFERROR(__xludf.DUMMYFUNCTION("""COMPUTED_VALUE"""),"")</f>
        <v/>
      </c>
      <c r="V36" s="247" t="str">
        <f t="shared" si="6"/>
        <v/>
      </c>
      <c r="W36" s="255" t="str">
        <f>IFERROR(__xludf.DUMMYFUNCTION("""COMPUTED_VALUE"""),"")</f>
        <v/>
      </c>
      <c r="X36" s="249" t="str">
        <f>IFERROR(__xludf.DUMMYFUNCTION("""COMPUTED_VALUE"""),"")</f>
        <v/>
      </c>
      <c r="Y36" s="250" t="str">
        <f t="shared" si="7"/>
        <v/>
      </c>
      <c r="AA36" s="143">
        <f t="shared" si="10"/>
        <v>40.27716521</v>
      </c>
      <c r="AB36" s="269" t="s">
        <v>53</v>
      </c>
      <c r="AC36" s="223">
        <f t="shared" si="13"/>
        <v>49.40694388</v>
      </c>
      <c r="AD36" s="270" t="s">
        <v>53</v>
      </c>
      <c r="AE36" s="24">
        <f>IFERROR(__xludf.DUMMYFUNCTION("iferror(STDEV(FILTER(G:G, C:C = INDIRECT(""RC[-1]"", FALSE))),""0.00"")"),9.129778674559809)</f>
        <v>9.129778675</v>
      </c>
      <c r="AF36" s="269" t="s">
        <v>53</v>
      </c>
      <c r="AG36" s="222">
        <f t="shared" si="14"/>
        <v>29.18754942</v>
      </c>
      <c r="AH36" s="270" t="s">
        <v>53</v>
      </c>
      <c r="AI36" s="26">
        <f>IFERROR(__xludf.DUMMYFUNCTION("iferror(STDEV(FILTER(P:P, C:C = INDIRECT(""RC[-1]"", FALSE))),""0.00"")"),10.761528541025994)</f>
        <v>10.76152854</v>
      </c>
      <c r="AJ36" s="143">
        <f t="shared" si="11"/>
        <v>18.42602088</v>
      </c>
      <c r="AL36" s="269" t="s">
        <v>53</v>
      </c>
      <c r="AM36" s="287">
        <f t="shared" si="15"/>
        <v>39.10944858</v>
      </c>
      <c r="AN36" s="270" t="s">
        <v>53</v>
      </c>
      <c r="AO36" s="287">
        <f>IFERROR(__xludf.DUMMYFUNCTION("iferror(STDEV(FILTER(V:V, C:C = INDIRECT(""RC[-1]"", FALSE))),""0.00"")"),10.128248234602239)</f>
        <v>10.12824823</v>
      </c>
      <c r="AP36" s="288">
        <f t="shared" si="12"/>
        <v>28.98120034</v>
      </c>
    </row>
    <row r="37">
      <c r="A37" s="136" t="s">
        <v>15</v>
      </c>
      <c r="B37" s="146">
        <v>46057.0</v>
      </c>
      <c r="C37" s="136" t="s">
        <v>45</v>
      </c>
      <c r="D37" s="136" t="s">
        <v>148</v>
      </c>
      <c r="E37" s="256" t="str">
        <f>IFERROR(__xludf.DUMMYFUNCTION("""COMPUTED_VALUE"""),"")</f>
        <v/>
      </c>
      <c r="F37" s="257" t="str">
        <f>IFERROR(__xludf.DUMMYFUNCTION("""COMPUTED_VALUE"""),"")</f>
        <v/>
      </c>
      <c r="G37" s="247" t="str">
        <f t="shared" si="1"/>
        <v/>
      </c>
      <c r="H37" s="258" t="str">
        <f>IFERROR(__xludf.DUMMYFUNCTION("""COMPUTED_VALUE"""),"")</f>
        <v/>
      </c>
      <c r="I37" s="259" t="str">
        <f>IFERROR(__xludf.DUMMYFUNCTION("""COMPUTED_VALUE"""),"")</f>
        <v/>
      </c>
      <c r="J37" s="250" t="str">
        <f t="shared" si="2"/>
        <v/>
      </c>
      <c r="K37" s="251" t="str">
        <f>IFERROR(__xludf.DUMMYFUNCTION("""COMPUTED_VALUE"""),"")</f>
        <v/>
      </c>
      <c r="L37" s="252" t="str">
        <f>IFERROR(__xludf.DUMMYFUNCTION("""COMPUTED_VALUE"""),"")</f>
        <v/>
      </c>
      <c r="M37" s="253" t="str">
        <f t="shared" si="3"/>
        <v/>
      </c>
      <c r="N37" s="254" t="str">
        <f>IFERROR(__xludf.DUMMYFUNCTION("""COMPUTED_VALUE"""),"")</f>
        <v/>
      </c>
      <c r="O37" s="246" t="str">
        <f>IFERROR(__xludf.DUMMYFUNCTION("""COMPUTED_VALUE"""),"")</f>
        <v/>
      </c>
      <c r="P37" s="247" t="str">
        <f t="shared" si="4"/>
        <v/>
      </c>
      <c r="Q37" s="255" t="str">
        <f>IFERROR(__xludf.DUMMYFUNCTION("""COMPUTED_VALUE"""),"")</f>
        <v/>
      </c>
      <c r="R37" s="249" t="str">
        <f>IFERROR(__xludf.DUMMYFUNCTION("""COMPUTED_VALUE"""),"")</f>
        <v/>
      </c>
      <c r="S37" s="250" t="str">
        <f t="shared" si="5"/>
        <v/>
      </c>
      <c r="T37" s="254" t="str">
        <f>IFERROR(__xludf.DUMMYFUNCTION("""COMPUTED_VALUE"""),"")</f>
        <v/>
      </c>
      <c r="U37" s="246" t="str">
        <f>IFERROR(__xludf.DUMMYFUNCTION("""COMPUTED_VALUE"""),"")</f>
        <v/>
      </c>
      <c r="V37" s="247" t="str">
        <f t="shared" si="6"/>
        <v/>
      </c>
      <c r="W37" s="255" t="str">
        <f>IFERROR(__xludf.DUMMYFUNCTION("""COMPUTED_VALUE"""),"")</f>
        <v/>
      </c>
      <c r="X37" s="249" t="str">
        <f>IFERROR(__xludf.DUMMYFUNCTION("""COMPUTED_VALUE"""),"")</f>
        <v/>
      </c>
      <c r="Y37" s="250" t="str">
        <f t="shared" si="7"/>
        <v/>
      </c>
      <c r="AB37" s="275" t="s">
        <v>55</v>
      </c>
      <c r="AC37" s="289" t="str">
        <f t="shared" si="13"/>
        <v>0.00</v>
      </c>
      <c r="AD37" s="277" t="s">
        <v>55</v>
      </c>
      <c r="AE37" s="290" t="str">
        <f>IFERROR(__xludf.DUMMYFUNCTION("iferror(STDEV(FILTER(G:G, C:C = INDIRECT(""RC[-1]"", FALSE))),""0.00"")"),"0.00")</f>
        <v>0.00</v>
      </c>
      <c r="AF37" s="275" t="s">
        <v>55</v>
      </c>
      <c r="AG37" s="276" t="str">
        <f t="shared" si="14"/>
        <v>0.00</v>
      </c>
      <c r="AH37" s="277" t="s">
        <v>55</v>
      </c>
      <c r="AI37" s="278" t="str">
        <f>IFERROR(__xludf.DUMMYFUNCTION("iferror(STDEV(FILTER(P:P, C:C = INDIRECT(""RC[-1]"", FALSE))),""0.00"")"),"0.00")</f>
        <v>0.00</v>
      </c>
      <c r="AL37" s="275" t="s">
        <v>55</v>
      </c>
      <c r="AM37" s="291" t="str">
        <f t="shared" si="15"/>
        <v>0.00</v>
      </c>
      <c r="AN37" s="277" t="s">
        <v>55</v>
      </c>
      <c r="AO37" s="292" t="str">
        <f>IFERROR(__xludf.DUMMYFUNCTION("iferror(STDEV(FILTER(V:V, C:C = INDIRECT(""RC[-1]"", FALSE))),""0.00"")"),"0.00")</f>
        <v>0.00</v>
      </c>
    </row>
    <row r="38">
      <c r="A38" s="136" t="s">
        <v>15</v>
      </c>
      <c r="B38" s="146">
        <v>46057.0</v>
      </c>
      <c r="C38" s="136" t="s">
        <v>45</v>
      </c>
      <c r="D38" s="136" t="s">
        <v>148</v>
      </c>
      <c r="E38" s="256" t="str">
        <f>IFERROR(__xludf.DUMMYFUNCTION("""COMPUTED_VALUE"""),"")</f>
        <v/>
      </c>
      <c r="F38" s="257" t="str">
        <f>IFERROR(__xludf.DUMMYFUNCTION("""COMPUTED_VALUE"""),"")</f>
        <v/>
      </c>
      <c r="G38" s="247" t="str">
        <f t="shared" si="1"/>
        <v/>
      </c>
      <c r="H38" s="258" t="str">
        <f>IFERROR(__xludf.DUMMYFUNCTION("""COMPUTED_VALUE"""),"")</f>
        <v/>
      </c>
      <c r="I38" s="259" t="str">
        <f>IFERROR(__xludf.DUMMYFUNCTION("""COMPUTED_VALUE"""),"")</f>
        <v/>
      </c>
      <c r="J38" s="250" t="str">
        <f t="shared" si="2"/>
        <v/>
      </c>
      <c r="K38" s="251" t="str">
        <f>IFERROR(__xludf.DUMMYFUNCTION("""COMPUTED_VALUE"""),"")</f>
        <v/>
      </c>
      <c r="L38" s="252" t="str">
        <f>IFERROR(__xludf.DUMMYFUNCTION("""COMPUTED_VALUE"""),"")</f>
        <v/>
      </c>
      <c r="M38" s="253" t="str">
        <f t="shared" si="3"/>
        <v/>
      </c>
      <c r="N38" s="254" t="str">
        <f>IFERROR(__xludf.DUMMYFUNCTION("""COMPUTED_VALUE"""),"")</f>
        <v/>
      </c>
      <c r="O38" s="246" t="str">
        <f>IFERROR(__xludf.DUMMYFUNCTION("""COMPUTED_VALUE"""),"")</f>
        <v/>
      </c>
      <c r="P38" s="247" t="str">
        <f t="shared" si="4"/>
        <v/>
      </c>
      <c r="Q38" s="255" t="str">
        <f>IFERROR(__xludf.DUMMYFUNCTION("""COMPUTED_VALUE"""),"")</f>
        <v/>
      </c>
      <c r="R38" s="249" t="str">
        <f>IFERROR(__xludf.DUMMYFUNCTION("""COMPUTED_VALUE"""),"")</f>
        <v/>
      </c>
      <c r="S38" s="250" t="str">
        <f t="shared" si="5"/>
        <v/>
      </c>
      <c r="T38" s="254" t="str">
        <f>IFERROR(__xludf.DUMMYFUNCTION("""COMPUTED_VALUE"""),"")</f>
        <v/>
      </c>
      <c r="U38" s="246" t="str">
        <f>IFERROR(__xludf.DUMMYFUNCTION("""COMPUTED_VALUE"""),"")</f>
        <v/>
      </c>
      <c r="V38" s="247" t="str">
        <f t="shared" si="6"/>
        <v/>
      </c>
      <c r="W38" s="255" t="str">
        <f>IFERROR(__xludf.DUMMYFUNCTION("""COMPUTED_VALUE"""),"")</f>
        <v/>
      </c>
      <c r="X38" s="249" t="str">
        <f>IFERROR(__xludf.DUMMYFUNCTION("""COMPUTED_VALUE"""),"")</f>
        <v/>
      </c>
      <c r="Y38" s="250" t="str">
        <f t="shared" si="7"/>
        <v/>
      </c>
      <c r="AB38" s="279" t="s">
        <v>226</v>
      </c>
      <c r="AC38" s="293" t="str">
        <f t="shared" si="13"/>
        <v>0.00</v>
      </c>
      <c r="AD38" s="281" t="s">
        <v>226</v>
      </c>
      <c r="AE38" s="294" t="str">
        <f>IFERROR(__xludf.DUMMYFUNCTION("iferror(STDEV(FILTER(G:G, C:C = INDIRECT(""RC[-1]"", FALSE))),""0.00"")"),"0.00")</f>
        <v>0.00</v>
      </c>
      <c r="AF38" s="279" t="s">
        <v>226</v>
      </c>
      <c r="AG38" s="280" t="str">
        <f t="shared" si="14"/>
        <v>0.00</v>
      </c>
      <c r="AH38" s="281" t="s">
        <v>226</v>
      </c>
      <c r="AI38" s="282" t="str">
        <f>IFERROR(__xludf.DUMMYFUNCTION("iferror(STDEV(FILTER(P:P, C:C = INDIRECT(""RC[-1]"", FALSE))),""0.00"")"),"0.00")</f>
        <v>0.00</v>
      </c>
      <c r="AL38" s="275" t="s">
        <v>226</v>
      </c>
      <c r="AM38" s="291" t="str">
        <f t="shared" si="15"/>
        <v>0.00</v>
      </c>
      <c r="AN38" s="277" t="s">
        <v>226</v>
      </c>
      <c r="AO38" s="292" t="str">
        <f>IFERROR(__xludf.DUMMYFUNCTION("iferror(STDEV(FILTER(V:V, C:C = INDIRECT(""RC[-1]"", FALSE))),""0.00"")"),"0.00")</f>
        <v>0.00</v>
      </c>
    </row>
    <row r="39">
      <c r="A39" s="136" t="s">
        <v>15</v>
      </c>
      <c r="B39" s="146">
        <v>46057.0</v>
      </c>
      <c r="C39" s="136" t="s">
        <v>45</v>
      </c>
      <c r="D39" s="136" t="s">
        <v>149</v>
      </c>
      <c r="E39" s="256" t="str">
        <f>IFERROR(__xludf.DUMMYFUNCTION("""COMPUTED_VALUE"""),"")</f>
        <v/>
      </c>
      <c r="F39" s="257" t="str">
        <f>IFERROR(__xludf.DUMMYFUNCTION("""COMPUTED_VALUE"""),"")</f>
        <v/>
      </c>
      <c r="G39" s="247" t="str">
        <f t="shared" si="1"/>
        <v/>
      </c>
      <c r="H39" s="258" t="str">
        <f>IFERROR(__xludf.DUMMYFUNCTION("""COMPUTED_VALUE"""),"")</f>
        <v/>
      </c>
      <c r="I39" s="259" t="str">
        <f>IFERROR(__xludf.DUMMYFUNCTION("""COMPUTED_VALUE"""),"")</f>
        <v/>
      </c>
      <c r="J39" s="250" t="str">
        <f t="shared" si="2"/>
        <v/>
      </c>
      <c r="K39" s="251" t="str">
        <f>IFERROR(__xludf.DUMMYFUNCTION("""COMPUTED_VALUE"""),"")</f>
        <v/>
      </c>
      <c r="L39" s="252" t="str">
        <f>IFERROR(__xludf.DUMMYFUNCTION("""COMPUTED_VALUE"""),"")</f>
        <v/>
      </c>
      <c r="M39" s="253" t="str">
        <f t="shared" si="3"/>
        <v/>
      </c>
      <c r="N39" s="254" t="str">
        <f>IFERROR(__xludf.DUMMYFUNCTION("""COMPUTED_VALUE"""),"")</f>
        <v/>
      </c>
      <c r="O39" s="246" t="str">
        <f>IFERROR(__xludf.DUMMYFUNCTION("""COMPUTED_VALUE"""),"")</f>
        <v/>
      </c>
      <c r="P39" s="247" t="str">
        <f t="shared" si="4"/>
        <v/>
      </c>
      <c r="Q39" s="255" t="str">
        <f>IFERROR(__xludf.DUMMYFUNCTION("""COMPUTED_VALUE"""),"")</f>
        <v/>
      </c>
      <c r="R39" s="249" t="str">
        <f>IFERROR(__xludf.DUMMYFUNCTION("""COMPUTED_VALUE"""),"")</f>
        <v/>
      </c>
      <c r="S39" s="250" t="str">
        <f t="shared" si="5"/>
        <v/>
      </c>
      <c r="T39" s="254" t="str">
        <f>IFERROR(__xludf.DUMMYFUNCTION("""COMPUTED_VALUE"""),"")</f>
        <v/>
      </c>
      <c r="U39" s="246" t="str">
        <f>IFERROR(__xludf.DUMMYFUNCTION("""COMPUTED_VALUE"""),"")</f>
        <v/>
      </c>
      <c r="V39" s="247" t="str">
        <f t="shared" si="6"/>
        <v/>
      </c>
      <c r="W39" s="255" t="str">
        <f>IFERROR(__xludf.DUMMYFUNCTION("""COMPUTED_VALUE"""),"")</f>
        <v/>
      </c>
      <c r="X39" s="249" t="str">
        <f>IFERROR(__xludf.DUMMYFUNCTION("""COMPUTED_VALUE"""),"")</f>
        <v/>
      </c>
      <c r="Y39" s="250" t="str">
        <f t="shared" si="7"/>
        <v/>
      </c>
      <c r="AB39" s="263" t="s">
        <v>236</v>
      </c>
      <c r="AC39" s="83"/>
      <c r="AD39" s="264" t="s">
        <v>237</v>
      </c>
      <c r="AE39" s="7"/>
      <c r="AF39" s="263" t="s">
        <v>238</v>
      </c>
      <c r="AG39" s="83"/>
      <c r="AH39" s="264" t="s">
        <v>239</v>
      </c>
      <c r="AI39" s="7"/>
      <c r="AL39" s="295" t="s">
        <v>240</v>
      </c>
      <c r="AN39" s="296" t="s">
        <v>241</v>
      </c>
      <c r="AO39" s="50"/>
    </row>
    <row r="40">
      <c r="A40" s="136" t="s">
        <v>18</v>
      </c>
      <c r="B40" s="146">
        <v>46057.0</v>
      </c>
      <c r="C40" s="136" t="s">
        <v>45</v>
      </c>
      <c r="D40" s="136" t="s">
        <v>148</v>
      </c>
      <c r="E40" s="256" t="str">
        <f>IFERROR(__xludf.DUMMYFUNCTION("""COMPUTED_VALUE"""),"")</f>
        <v/>
      </c>
      <c r="F40" s="257" t="str">
        <f>IFERROR(__xludf.DUMMYFUNCTION("""COMPUTED_VALUE"""),"")</f>
        <v/>
      </c>
      <c r="G40" s="247" t="str">
        <f t="shared" si="1"/>
        <v/>
      </c>
      <c r="H40" s="258" t="str">
        <f>IFERROR(__xludf.DUMMYFUNCTION("""COMPUTED_VALUE"""),"")</f>
        <v/>
      </c>
      <c r="I40" s="259" t="str">
        <f>IFERROR(__xludf.DUMMYFUNCTION("""COMPUTED_VALUE"""),"")</f>
        <v/>
      </c>
      <c r="J40" s="250" t="str">
        <f t="shared" si="2"/>
        <v/>
      </c>
      <c r="K40" s="251" t="str">
        <f>IFERROR(__xludf.DUMMYFUNCTION("""COMPUTED_VALUE"""),"")</f>
        <v/>
      </c>
      <c r="L40" s="252" t="str">
        <f>IFERROR(__xludf.DUMMYFUNCTION("""COMPUTED_VALUE"""),"")</f>
        <v/>
      </c>
      <c r="M40" s="253" t="str">
        <f t="shared" si="3"/>
        <v/>
      </c>
      <c r="N40" s="254" t="str">
        <f>IFERROR(__xludf.DUMMYFUNCTION("""COMPUTED_VALUE"""),"")</f>
        <v/>
      </c>
      <c r="O40" s="246" t="str">
        <f>IFERROR(__xludf.DUMMYFUNCTION("""COMPUTED_VALUE"""),"")</f>
        <v/>
      </c>
      <c r="P40" s="247" t="str">
        <f t="shared" si="4"/>
        <v/>
      </c>
      <c r="Q40" s="255" t="str">
        <f>IFERROR(__xludf.DUMMYFUNCTION("""COMPUTED_VALUE"""),"")</f>
        <v/>
      </c>
      <c r="R40" s="249" t="str">
        <f>IFERROR(__xludf.DUMMYFUNCTION("""COMPUTED_VALUE"""),"")</f>
        <v/>
      </c>
      <c r="S40" s="250" t="str">
        <f t="shared" si="5"/>
        <v/>
      </c>
      <c r="T40" s="254" t="str">
        <f>IFERROR(__xludf.DUMMYFUNCTION("""COMPUTED_VALUE"""),"")</f>
        <v/>
      </c>
      <c r="U40" s="246" t="str">
        <f>IFERROR(__xludf.DUMMYFUNCTION("""COMPUTED_VALUE"""),"")</f>
        <v/>
      </c>
      <c r="V40" s="247" t="str">
        <f t="shared" si="6"/>
        <v/>
      </c>
      <c r="W40" s="255" t="str">
        <f>IFERROR(__xludf.DUMMYFUNCTION("""COMPUTED_VALUE"""),"")</f>
        <v/>
      </c>
      <c r="X40" s="249" t="str">
        <f>IFERROR(__xludf.DUMMYFUNCTION("""COMPUTED_VALUE"""),"")</f>
        <v/>
      </c>
      <c r="Y40" s="250" t="str">
        <f t="shared" si="7"/>
        <v/>
      </c>
      <c r="AA40" s="297" t="s">
        <v>224</v>
      </c>
      <c r="AB40" s="298" t="s">
        <v>233</v>
      </c>
      <c r="AC40" s="297" t="s">
        <v>222</v>
      </c>
      <c r="AD40" s="298" t="s">
        <v>233</v>
      </c>
      <c r="AE40" s="299" t="s">
        <v>223</v>
      </c>
      <c r="AF40" s="300" t="s">
        <v>221</v>
      </c>
      <c r="AG40" s="297" t="s">
        <v>222</v>
      </c>
      <c r="AH40" s="298" t="s">
        <v>221</v>
      </c>
      <c r="AI40" s="297" t="s">
        <v>223</v>
      </c>
      <c r="AJ40" s="297" t="s">
        <v>224</v>
      </c>
      <c r="AL40" s="298" t="s">
        <v>234</v>
      </c>
      <c r="AM40" s="298" t="s">
        <v>222</v>
      </c>
      <c r="AN40" s="298" t="s">
        <v>235</v>
      </c>
      <c r="AO40" s="297" t="s">
        <v>223</v>
      </c>
      <c r="AP40" s="297" t="s">
        <v>224</v>
      </c>
    </row>
    <row r="41">
      <c r="A41" s="136" t="s">
        <v>18</v>
      </c>
      <c r="B41" s="146">
        <v>46057.0</v>
      </c>
      <c r="C41" s="136" t="s">
        <v>45</v>
      </c>
      <c r="D41" s="136" t="s">
        <v>149</v>
      </c>
      <c r="E41" s="256">
        <f>IFERROR(__xludf.DUMMYFUNCTION("""COMPUTED_VALUE"""),155.0)</f>
        <v>155</v>
      </c>
      <c r="F41" s="257">
        <f>IFERROR(__xludf.DUMMYFUNCTION("""COMPUTED_VALUE"""),0.13819444445107365)</f>
        <v>0.1381944445</v>
      </c>
      <c r="G41" s="247">
        <f t="shared" si="1"/>
        <v>46.73366834</v>
      </c>
      <c r="H41" s="258">
        <f>IFERROR(__xludf.DUMMYFUNCTION("""COMPUTED_VALUE"""),58.0)</f>
        <v>58</v>
      </c>
      <c r="I41" s="259">
        <f>IFERROR(__xludf.DUMMYFUNCTION("""COMPUTED_VALUE"""),0.0729166666715173)</f>
        <v>0.07291666667</v>
      </c>
      <c r="J41" s="250">
        <f t="shared" si="2"/>
        <v>33.14285714</v>
      </c>
      <c r="K41" s="251">
        <f>IFERROR(__xludf.DUMMYFUNCTION("""COMPUTED_VALUE"""),92.0)</f>
        <v>92</v>
      </c>
      <c r="L41" s="252">
        <f>IFERROR(__xludf.DUMMYFUNCTION("""COMPUTED_VALUE"""),0.05625000000145519)</f>
        <v>0.05625</v>
      </c>
      <c r="M41" s="253">
        <f t="shared" si="3"/>
        <v>68.14814815</v>
      </c>
      <c r="N41" s="254">
        <f>IFERROR(__xludf.DUMMYFUNCTION("""COMPUTED_VALUE"""),19.0)</f>
        <v>19</v>
      </c>
      <c r="O41" s="246">
        <f>IFERROR(__xludf.DUMMYFUNCTION("""COMPUTED_VALUE"""),0.14583333333575865)</f>
        <v>0.1458333333</v>
      </c>
      <c r="P41" s="247">
        <f t="shared" si="4"/>
        <v>5.428571428</v>
      </c>
      <c r="Q41" s="255">
        <f>IFERROR(__xludf.DUMMYFUNCTION("""COMPUTED_VALUE"""),210.0)</f>
        <v>210</v>
      </c>
      <c r="R41" s="249">
        <f>IFERROR(__xludf.DUMMYFUNCTION("""COMPUTED_VALUE"""),0.16666666666424135)</f>
        <v>0.1666666667</v>
      </c>
      <c r="S41" s="250">
        <f t="shared" si="5"/>
        <v>52.5</v>
      </c>
      <c r="T41" s="254">
        <f>IFERROR(__xludf.DUMMYFUNCTION("""COMPUTED_VALUE"""),174.0)</f>
        <v>174</v>
      </c>
      <c r="U41" s="246">
        <f>IFERROR(__xludf.DUMMYFUNCTION("""COMPUTED_VALUE"""),0.2840277777868323)</f>
        <v>0.2840277778</v>
      </c>
      <c r="V41" s="247">
        <f t="shared" si="6"/>
        <v>25.52567237</v>
      </c>
      <c r="W41" s="255">
        <f>IFERROR(__xludf.DUMMYFUNCTION("""COMPUTED_VALUE"""),268.0)</f>
        <v>268</v>
      </c>
      <c r="X41" s="249">
        <f>IFERROR(__xludf.DUMMYFUNCTION("""COMPUTED_VALUE"""),0.23958333333575865)</f>
        <v>0.2395833333</v>
      </c>
      <c r="Y41" s="250">
        <f t="shared" si="7"/>
        <v>46.60869565</v>
      </c>
      <c r="AA41" s="143">
        <f t="shared" ref="AA41:AA46" si="16">AC41-AE41</f>
        <v>31.76033866</v>
      </c>
      <c r="AB41" s="267" t="s">
        <v>225</v>
      </c>
      <c r="AC41" s="223">
        <f>AVERAGE(J:J)</f>
        <v>57.60300464</v>
      </c>
      <c r="AD41" s="268" t="s">
        <v>225</v>
      </c>
      <c r="AE41" s="24">
        <f>STDEV(J:J)</f>
        <v>25.84266598</v>
      </c>
      <c r="AF41" s="267" t="s">
        <v>225</v>
      </c>
      <c r="AG41" s="222">
        <f>AVERAGE(S:S)</f>
        <v>48.14937571</v>
      </c>
      <c r="AH41" s="268" t="s">
        <v>225</v>
      </c>
      <c r="AI41" s="26">
        <f>STDEV(S:S)</f>
        <v>18.86056784</v>
      </c>
      <c r="AJ41" s="143">
        <f t="shared" ref="AJ41:AJ46" si="17">AG41-AI41</f>
        <v>29.28880787</v>
      </c>
      <c r="AL41" s="267" t="s">
        <v>225</v>
      </c>
      <c r="AM41" s="287">
        <f>AVERAGE(Y:Y)</f>
        <v>55.70416038</v>
      </c>
      <c r="AN41" s="268" t="s">
        <v>225</v>
      </c>
      <c r="AO41" s="287">
        <f>STDEV(Y:Y)</f>
        <v>25.34919583</v>
      </c>
      <c r="AP41" s="288">
        <f t="shared" ref="AP41:AP46" si="18">AM41-AO41</f>
        <v>30.35496456</v>
      </c>
    </row>
    <row r="42">
      <c r="A42" s="136" t="s">
        <v>134</v>
      </c>
      <c r="B42" s="146">
        <v>46057.0</v>
      </c>
      <c r="C42" s="136" t="s">
        <v>45</v>
      </c>
      <c r="D42" s="136" t="s">
        <v>149</v>
      </c>
      <c r="E42" s="256" t="str">
        <f>IFERROR(__xludf.DUMMYFUNCTION("""COMPUTED_VALUE"""),"")</f>
        <v/>
      </c>
      <c r="F42" s="257" t="str">
        <f>IFERROR(__xludf.DUMMYFUNCTION("""COMPUTED_VALUE"""),"")</f>
        <v/>
      </c>
      <c r="G42" s="247" t="str">
        <f t="shared" si="1"/>
        <v/>
      </c>
      <c r="H42" s="258" t="str">
        <f>IFERROR(__xludf.DUMMYFUNCTION("""COMPUTED_VALUE"""),"")</f>
        <v/>
      </c>
      <c r="I42" s="259" t="str">
        <f>IFERROR(__xludf.DUMMYFUNCTION("""COMPUTED_VALUE"""),"")</f>
        <v/>
      </c>
      <c r="J42" s="250" t="str">
        <f t="shared" si="2"/>
        <v/>
      </c>
      <c r="K42" s="251" t="str">
        <f>IFERROR(__xludf.DUMMYFUNCTION("""COMPUTED_VALUE"""),"")</f>
        <v/>
      </c>
      <c r="L42" s="252" t="str">
        <f>IFERROR(__xludf.DUMMYFUNCTION("""COMPUTED_VALUE"""),"")</f>
        <v/>
      </c>
      <c r="M42" s="253" t="str">
        <f t="shared" si="3"/>
        <v/>
      </c>
      <c r="N42" s="254" t="str">
        <f>IFERROR(__xludf.DUMMYFUNCTION("""COMPUTED_VALUE"""),"")</f>
        <v/>
      </c>
      <c r="O42" s="246" t="str">
        <f>IFERROR(__xludf.DUMMYFUNCTION("""COMPUTED_VALUE"""),"")</f>
        <v/>
      </c>
      <c r="P42" s="247" t="str">
        <f t="shared" si="4"/>
        <v/>
      </c>
      <c r="Q42" s="255" t="str">
        <f>IFERROR(__xludf.DUMMYFUNCTION("""COMPUTED_VALUE"""),"")</f>
        <v/>
      </c>
      <c r="R42" s="249" t="str">
        <f>IFERROR(__xludf.DUMMYFUNCTION("""COMPUTED_VALUE"""),"")</f>
        <v/>
      </c>
      <c r="S42" s="250" t="str">
        <f t="shared" si="5"/>
        <v/>
      </c>
      <c r="T42" s="254" t="str">
        <f>IFERROR(__xludf.DUMMYFUNCTION("""COMPUTED_VALUE"""),"")</f>
        <v/>
      </c>
      <c r="U42" s="246" t="str">
        <f>IFERROR(__xludf.DUMMYFUNCTION("""COMPUTED_VALUE"""),"")</f>
        <v/>
      </c>
      <c r="V42" s="247" t="str">
        <f t="shared" si="6"/>
        <v/>
      </c>
      <c r="W42" s="255" t="str">
        <f>IFERROR(__xludf.DUMMYFUNCTION("""COMPUTED_VALUE"""),"")</f>
        <v/>
      </c>
      <c r="X42" s="249" t="str">
        <f>IFERROR(__xludf.DUMMYFUNCTION("""COMPUTED_VALUE"""),"")</f>
        <v/>
      </c>
      <c r="Y42" s="250" t="str">
        <f t="shared" si="7"/>
        <v/>
      </c>
      <c r="AA42" s="143">
        <f t="shared" si="16"/>
        <v>45.58477507</v>
      </c>
      <c r="AB42" s="301" t="s">
        <v>37</v>
      </c>
      <c r="AC42" s="223">
        <f t="shared" ref="AC42:AC48" si="19">iferror(AVERAGEIF(C:C,INDIRECT("RC[-1]",False), J:J),"0.00")</f>
        <v>55.93273733</v>
      </c>
      <c r="AD42" s="302" t="s">
        <v>37</v>
      </c>
      <c r="AE42" s="24">
        <f>IFERROR(__xludf.DUMMYFUNCTION("iferror(STDEV(FILTER(J:J, C:C = INDIRECT(""RC[-1]"", FALSE))),""0.00"")"),10.347962263971109)</f>
        <v>10.34796226</v>
      </c>
      <c r="AF42" s="301" t="s">
        <v>37</v>
      </c>
      <c r="AG42" s="222">
        <f t="shared" ref="AG42:AG48" si="20">IFERROR(AVERAGEIF(C:C,INDIRECT("RC[-1]",False), S:S),"0.00")</f>
        <v>33.29251701</v>
      </c>
      <c r="AH42" s="302" t="s">
        <v>37</v>
      </c>
      <c r="AI42" s="26">
        <f>IFERROR(__xludf.DUMMYFUNCTION("iferror(STDEV(FILTER(S:S, C:C = INDIRECT(""RC[-1]"", FALSE))),""0.00"")"),8.217487861529747)</f>
        <v>8.217487862</v>
      </c>
      <c r="AJ42" s="143">
        <f t="shared" si="17"/>
        <v>25.07502915</v>
      </c>
      <c r="AL42" s="301" t="s">
        <v>37</v>
      </c>
      <c r="AM42" s="287">
        <f t="shared" ref="AM42:AM48" si="21">IFERROR(AVERAGEIF(C:C,INDIRECT("RC[-1]",False), Y:Y),"0.00")</f>
        <v>53.33199835</v>
      </c>
      <c r="AN42" s="302" t="s">
        <v>37</v>
      </c>
      <c r="AO42" s="287">
        <f>IFERROR(__xludf.DUMMYFUNCTION("iferror(STDEV(FILTER(Y:Y, C:C = INDIRECT(""RC[-1]"", FALSE))),""0.00"")"),11.905249627768752)</f>
        <v>11.90524963</v>
      </c>
      <c r="AP42" s="288">
        <f t="shared" si="18"/>
        <v>41.42674873</v>
      </c>
    </row>
    <row r="43">
      <c r="A43" s="136" t="s">
        <v>12</v>
      </c>
      <c r="B43" s="146">
        <v>46058.0</v>
      </c>
      <c r="C43" s="136" t="s">
        <v>49</v>
      </c>
      <c r="D43" s="136" t="s">
        <v>149</v>
      </c>
      <c r="E43" s="256" t="str">
        <f>IFERROR(__xludf.DUMMYFUNCTION("""COMPUTED_VALUE"""),"")</f>
        <v/>
      </c>
      <c r="F43" s="257" t="str">
        <f>IFERROR(__xludf.DUMMYFUNCTION("""COMPUTED_VALUE"""),"")</f>
        <v/>
      </c>
      <c r="G43" s="247" t="str">
        <f t="shared" si="1"/>
        <v/>
      </c>
      <c r="H43" s="258" t="str">
        <f>IFERROR(__xludf.DUMMYFUNCTION("""COMPUTED_VALUE"""),"")</f>
        <v/>
      </c>
      <c r="I43" s="259" t="str">
        <f>IFERROR(__xludf.DUMMYFUNCTION("""COMPUTED_VALUE"""),"")</f>
        <v/>
      </c>
      <c r="J43" s="250" t="str">
        <f t="shared" si="2"/>
        <v/>
      </c>
      <c r="K43" s="251" t="str">
        <f>IFERROR(__xludf.DUMMYFUNCTION("""COMPUTED_VALUE"""),"")</f>
        <v/>
      </c>
      <c r="L43" s="252" t="str">
        <f>IFERROR(__xludf.DUMMYFUNCTION("""COMPUTED_VALUE"""),"")</f>
        <v/>
      </c>
      <c r="M43" s="253" t="str">
        <f t="shared" si="3"/>
        <v/>
      </c>
      <c r="N43" s="254" t="str">
        <f>IFERROR(__xludf.DUMMYFUNCTION("""COMPUTED_VALUE"""),"")</f>
        <v/>
      </c>
      <c r="O43" s="246" t="str">
        <f>IFERROR(__xludf.DUMMYFUNCTION("""COMPUTED_VALUE"""),"")</f>
        <v/>
      </c>
      <c r="P43" s="247" t="str">
        <f t="shared" si="4"/>
        <v/>
      </c>
      <c r="Q43" s="255" t="str">
        <f>IFERROR(__xludf.DUMMYFUNCTION("""COMPUTED_VALUE"""),"")</f>
        <v/>
      </c>
      <c r="R43" s="249" t="str">
        <f>IFERROR(__xludf.DUMMYFUNCTION("""COMPUTED_VALUE"""),"")</f>
        <v/>
      </c>
      <c r="S43" s="250" t="str">
        <f t="shared" si="5"/>
        <v/>
      </c>
      <c r="T43" s="254" t="str">
        <f>IFERROR(__xludf.DUMMYFUNCTION("""COMPUTED_VALUE"""),"")</f>
        <v/>
      </c>
      <c r="U43" s="246" t="str">
        <f>IFERROR(__xludf.DUMMYFUNCTION("""COMPUTED_VALUE"""),"")</f>
        <v/>
      </c>
      <c r="V43" s="247" t="str">
        <f t="shared" si="6"/>
        <v/>
      </c>
      <c r="W43" s="255" t="str">
        <f>IFERROR(__xludf.DUMMYFUNCTION("""COMPUTED_VALUE"""),"")</f>
        <v/>
      </c>
      <c r="X43" s="249" t="str">
        <f>IFERROR(__xludf.DUMMYFUNCTION("""COMPUTED_VALUE"""),"")</f>
        <v/>
      </c>
      <c r="Y43" s="250" t="str">
        <f t="shared" si="7"/>
        <v/>
      </c>
      <c r="AA43" s="143">
        <f t="shared" si="16"/>
        <v>40.03122262</v>
      </c>
      <c r="AB43" s="301" t="s">
        <v>41</v>
      </c>
      <c r="AC43" s="223">
        <f t="shared" si="19"/>
        <v>46.52642028</v>
      </c>
      <c r="AD43" s="302" t="s">
        <v>41</v>
      </c>
      <c r="AE43" s="24">
        <f>IFERROR(__xludf.DUMMYFUNCTION("iferror(STDEV(FILTER(J:J, C:C = INDIRECT(""RC[-1]"", FALSE))),""0.00"")"),6.495197658410415)</f>
        <v>6.495197658</v>
      </c>
      <c r="AF43" s="301" t="s">
        <v>41</v>
      </c>
      <c r="AG43" s="222">
        <f t="shared" si="20"/>
        <v>47.58974166</v>
      </c>
      <c r="AH43" s="302" t="s">
        <v>41</v>
      </c>
      <c r="AI43" s="26">
        <f>IFERROR(__xludf.DUMMYFUNCTION("iferror(STDEV(FILTER(S:S, C:C = INDIRECT(""RC[-1]"", FALSE))),""0.00"")"),15.41586335800603)</f>
        <v>15.41586336</v>
      </c>
      <c r="AJ43" s="143">
        <f t="shared" si="17"/>
        <v>32.1738783</v>
      </c>
      <c r="AL43" s="301" t="s">
        <v>41</v>
      </c>
      <c r="AM43" s="287">
        <f t="shared" si="21"/>
        <v>45.57643531</v>
      </c>
      <c r="AN43" s="302" t="s">
        <v>41</v>
      </c>
      <c r="AO43" s="287">
        <f>IFERROR(__xludf.DUMMYFUNCTION("iferror(STDEV(FILTER(Y:Y, C:C = INDIRECT(""RC[-1]"", FALSE))),""0.00"")"),8.574704177699346)</f>
        <v>8.574704178</v>
      </c>
      <c r="AP43" s="288">
        <f t="shared" si="18"/>
        <v>37.00173113</v>
      </c>
    </row>
    <row r="44">
      <c r="A44" s="136" t="s">
        <v>12</v>
      </c>
      <c r="B44" s="146">
        <v>46058.0</v>
      </c>
      <c r="C44" s="136" t="s">
        <v>49</v>
      </c>
      <c r="D44" s="136" t="s">
        <v>149</v>
      </c>
      <c r="E44" s="256" t="str">
        <f>IFERROR(__xludf.DUMMYFUNCTION("""COMPUTED_VALUE"""),"")</f>
        <v/>
      </c>
      <c r="F44" s="257" t="str">
        <f>IFERROR(__xludf.DUMMYFUNCTION("""COMPUTED_VALUE"""),"")</f>
        <v/>
      </c>
      <c r="G44" s="247" t="str">
        <f t="shared" si="1"/>
        <v/>
      </c>
      <c r="H44" s="258" t="str">
        <f>IFERROR(__xludf.DUMMYFUNCTION("""COMPUTED_VALUE"""),"")</f>
        <v/>
      </c>
      <c r="I44" s="259" t="str">
        <f>IFERROR(__xludf.DUMMYFUNCTION("""COMPUTED_VALUE"""),"")</f>
        <v/>
      </c>
      <c r="J44" s="250" t="str">
        <f t="shared" si="2"/>
        <v/>
      </c>
      <c r="K44" s="251" t="str">
        <f>IFERROR(__xludf.DUMMYFUNCTION("""COMPUTED_VALUE"""),"")</f>
        <v/>
      </c>
      <c r="L44" s="252" t="str">
        <f>IFERROR(__xludf.DUMMYFUNCTION("""COMPUTED_VALUE"""),"")</f>
        <v/>
      </c>
      <c r="M44" s="253" t="str">
        <f t="shared" si="3"/>
        <v/>
      </c>
      <c r="N44" s="254" t="str">
        <f>IFERROR(__xludf.DUMMYFUNCTION("""COMPUTED_VALUE"""),"")</f>
        <v/>
      </c>
      <c r="O44" s="246" t="str">
        <f>IFERROR(__xludf.DUMMYFUNCTION("""COMPUTED_VALUE"""),"")</f>
        <v/>
      </c>
      <c r="P44" s="247" t="str">
        <f t="shared" si="4"/>
        <v/>
      </c>
      <c r="Q44" s="255" t="str">
        <f>IFERROR(__xludf.DUMMYFUNCTION("""COMPUTED_VALUE"""),"")</f>
        <v/>
      </c>
      <c r="R44" s="249" t="str">
        <f>IFERROR(__xludf.DUMMYFUNCTION("""COMPUTED_VALUE"""),"")</f>
        <v/>
      </c>
      <c r="S44" s="250" t="str">
        <f t="shared" si="5"/>
        <v/>
      </c>
      <c r="T44" s="254" t="str">
        <f>IFERROR(__xludf.DUMMYFUNCTION("""COMPUTED_VALUE"""),"")</f>
        <v/>
      </c>
      <c r="U44" s="246" t="str">
        <f>IFERROR(__xludf.DUMMYFUNCTION("""COMPUTED_VALUE"""),"")</f>
        <v/>
      </c>
      <c r="V44" s="247" t="str">
        <f t="shared" si="6"/>
        <v/>
      </c>
      <c r="W44" s="255" t="str">
        <f>IFERROR(__xludf.DUMMYFUNCTION("""COMPUTED_VALUE"""),"")</f>
        <v/>
      </c>
      <c r="X44" s="249" t="str">
        <f>IFERROR(__xludf.DUMMYFUNCTION("""COMPUTED_VALUE"""),"")</f>
        <v/>
      </c>
      <c r="Y44" s="250" t="str">
        <f t="shared" si="7"/>
        <v/>
      </c>
      <c r="AA44" s="143">
        <f t="shared" si="16"/>
        <v>31.35025191</v>
      </c>
      <c r="AB44" s="301" t="s">
        <v>45</v>
      </c>
      <c r="AC44" s="223">
        <f t="shared" si="19"/>
        <v>47.80945317</v>
      </c>
      <c r="AD44" s="302" t="s">
        <v>45</v>
      </c>
      <c r="AE44" s="24">
        <f>IFERROR(__xludf.DUMMYFUNCTION("iferror(STDEV(FILTER(J:J, C:C = INDIRECT(""RC[-1]"", FALSE))),""0.00"")"),16.459201265767298)</f>
        <v>16.45920127</v>
      </c>
      <c r="AF44" s="301" t="s">
        <v>45</v>
      </c>
      <c r="AG44" s="222">
        <f t="shared" si="20"/>
        <v>44.43181818</v>
      </c>
      <c r="AH44" s="302" t="s">
        <v>45</v>
      </c>
      <c r="AI44" s="26">
        <f>IFERROR(__xludf.DUMMYFUNCTION("iferror(STDEV(FILTER(S:S, C:C = INDIRECT(""RC[-1]"", FALSE))),""0.00"")"),13.006772711497653)</f>
        <v>13.00677271</v>
      </c>
      <c r="AJ44" s="143">
        <f t="shared" si="17"/>
        <v>31.42504547</v>
      </c>
      <c r="AL44" s="301" t="s">
        <v>45</v>
      </c>
      <c r="AM44" s="287">
        <f t="shared" si="21"/>
        <v>45.95769774</v>
      </c>
      <c r="AN44" s="302" t="s">
        <v>45</v>
      </c>
      <c r="AO44" s="287">
        <f>IFERROR(__xludf.DUMMYFUNCTION("iferror(STDEV(FILTER(Y:Y, C:C = INDIRECT(""RC[-1]"", FALSE))),""0.00"")"),7.620714437448042)</f>
        <v>7.620714437</v>
      </c>
      <c r="AP44" s="288">
        <f t="shared" si="18"/>
        <v>38.3369833</v>
      </c>
    </row>
    <row r="45">
      <c r="A45" s="136" t="s">
        <v>134</v>
      </c>
      <c r="B45" s="146">
        <v>46058.0</v>
      </c>
      <c r="C45" s="136" t="s">
        <v>49</v>
      </c>
      <c r="D45" s="136" t="s">
        <v>149</v>
      </c>
      <c r="E45" s="256" t="str">
        <f>IFERROR(__xludf.DUMMYFUNCTION("""COMPUTED_VALUE"""),"")</f>
        <v/>
      </c>
      <c r="F45" s="257" t="str">
        <f>IFERROR(__xludf.DUMMYFUNCTION("""COMPUTED_VALUE"""),"")</f>
        <v/>
      </c>
      <c r="G45" s="247" t="str">
        <f t="shared" si="1"/>
        <v/>
      </c>
      <c r="H45" s="258" t="str">
        <f>IFERROR(__xludf.DUMMYFUNCTION("""COMPUTED_VALUE"""),"")</f>
        <v/>
      </c>
      <c r="I45" s="259" t="str">
        <f>IFERROR(__xludf.DUMMYFUNCTION("""COMPUTED_VALUE"""),"")</f>
        <v/>
      </c>
      <c r="J45" s="250" t="str">
        <f t="shared" si="2"/>
        <v/>
      </c>
      <c r="K45" s="251" t="str">
        <f>IFERROR(__xludf.DUMMYFUNCTION("""COMPUTED_VALUE"""),"")</f>
        <v/>
      </c>
      <c r="L45" s="252" t="str">
        <f>IFERROR(__xludf.DUMMYFUNCTION("""COMPUTED_VALUE"""),"")</f>
        <v/>
      </c>
      <c r="M45" s="253" t="str">
        <f t="shared" si="3"/>
        <v/>
      </c>
      <c r="N45" s="254" t="str">
        <f>IFERROR(__xludf.DUMMYFUNCTION("""COMPUTED_VALUE"""),"")</f>
        <v/>
      </c>
      <c r="O45" s="246" t="str">
        <f>IFERROR(__xludf.DUMMYFUNCTION("""COMPUTED_VALUE"""),"")</f>
        <v/>
      </c>
      <c r="P45" s="247" t="str">
        <f t="shared" si="4"/>
        <v/>
      </c>
      <c r="Q45" s="255" t="str">
        <f>IFERROR(__xludf.DUMMYFUNCTION("""COMPUTED_VALUE"""),"")</f>
        <v/>
      </c>
      <c r="R45" s="249" t="str">
        <f>IFERROR(__xludf.DUMMYFUNCTION("""COMPUTED_VALUE"""),"")</f>
        <v/>
      </c>
      <c r="S45" s="250" t="str">
        <f t="shared" si="5"/>
        <v/>
      </c>
      <c r="T45" s="254" t="str">
        <f>IFERROR(__xludf.DUMMYFUNCTION("""COMPUTED_VALUE"""),"")</f>
        <v/>
      </c>
      <c r="U45" s="246" t="str">
        <f>IFERROR(__xludf.DUMMYFUNCTION("""COMPUTED_VALUE"""),"")</f>
        <v/>
      </c>
      <c r="V45" s="247" t="str">
        <f t="shared" si="6"/>
        <v/>
      </c>
      <c r="W45" s="255" t="str">
        <f>IFERROR(__xludf.DUMMYFUNCTION("""COMPUTED_VALUE"""),"")</f>
        <v/>
      </c>
      <c r="X45" s="249" t="str">
        <f>IFERROR(__xludf.DUMMYFUNCTION("""COMPUTED_VALUE"""),"")</f>
        <v/>
      </c>
      <c r="Y45" s="250" t="str">
        <f t="shared" si="7"/>
        <v/>
      </c>
      <c r="AA45" s="143">
        <f t="shared" si="16"/>
        <v>25.36568756</v>
      </c>
      <c r="AB45" s="301" t="s">
        <v>49</v>
      </c>
      <c r="AC45" s="223">
        <f t="shared" si="19"/>
        <v>64.41524377</v>
      </c>
      <c r="AD45" s="302" t="s">
        <v>49</v>
      </c>
      <c r="AE45" s="24">
        <f>IFERROR(__xludf.DUMMYFUNCTION("iferror(STDEV(FILTER(J:J, C:C = INDIRECT(""RC[-1]"", FALSE))),""0.00"")"),39.04955620150184)</f>
        <v>39.0495562</v>
      </c>
      <c r="AF45" s="301" t="s">
        <v>49</v>
      </c>
      <c r="AG45" s="222">
        <f t="shared" si="20"/>
        <v>57.25538065</v>
      </c>
      <c r="AH45" s="302" t="s">
        <v>49</v>
      </c>
      <c r="AI45" s="26">
        <f>IFERROR(__xludf.DUMMYFUNCTION("iferror(STDEV(FILTER(S:S, C:C = INDIRECT(""RC[-1]"", FALSE))),""0.00"")"),26.090892370117057)</f>
        <v>26.09089237</v>
      </c>
      <c r="AJ45" s="143">
        <f t="shared" si="17"/>
        <v>31.16448828</v>
      </c>
      <c r="AL45" s="301" t="s">
        <v>49</v>
      </c>
      <c r="AM45" s="287">
        <f t="shared" si="21"/>
        <v>61.46842831</v>
      </c>
      <c r="AN45" s="302" t="s">
        <v>49</v>
      </c>
      <c r="AO45" s="287">
        <f>IFERROR(__xludf.DUMMYFUNCTION("iferror(STDEV(FILTER(Y:Y, C:C = INDIRECT(""RC[-1]"", FALSE))),""0.00"")"),37.40641073959418)</f>
        <v>37.40641074</v>
      </c>
      <c r="AP45" s="288">
        <f t="shared" si="18"/>
        <v>24.06201757</v>
      </c>
    </row>
    <row r="46">
      <c r="A46" s="136" t="s">
        <v>15</v>
      </c>
      <c r="B46" s="146">
        <v>46058.0</v>
      </c>
      <c r="C46" s="136" t="s">
        <v>49</v>
      </c>
      <c r="D46" s="136" t="s">
        <v>148</v>
      </c>
      <c r="E46" s="256" t="str">
        <f>IFERROR(__xludf.DUMMYFUNCTION("""COMPUTED_VALUE"""),"")</f>
        <v/>
      </c>
      <c r="F46" s="257" t="str">
        <f>IFERROR(__xludf.DUMMYFUNCTION("""COMPUTED_VALUE"""),"")</f>
        <v/>
      </c>
      <c r="G46" s="247" t="str">
        <f t="shared" si="1"/>
        <v/>
      </c>
      <c r="H46" s="258" t="str">
        <f>IFERROR(__xludf.DUMMYFUNCTION("""COMPUTED_VALUE"""),"")</f>
        <v/>
      </c>
      <c r="I46" s="259" t="str">
        <f>IFERROR(__xludf.DUMMYFUNCTION("""COMPUTED_VALUE"""),"")</f>
        <v/>
      </c>
      <c r="J46" s="250" t="str">
        <f t="shared" si="2"/>
        <v/>
      </c>
      <c r="K46" s="251" t="str">
        <f>IFERROR(__xludf.DUMMYFUNCTION("""COMPUTED_VALUE"""),"")</f>
        <v/>
      </c>
      <c r="L46" s="252" t="str">
        <f>IFERROR(__xludf.DUMMYFUNCTION("""COMPUTED_VALUE"""),"")</f>
        <v/>
      </c>
      <c r="M46" s="253" t="str">
        <f t="shared" si="3"/>
        <v/>
      </c>
      <c r="N46" s="254" t="str">
        <f>IFERROR(__xludf.DUMMYFUNCTION("""COMPUTED_VALUE"""),"")</f>
        <v/>
      </c>
      <c r="O46" s="246" t="str">
        <f>IFERROR(__xludf.DUMMYFUNCTION("""COMPUTED_VALUE"""),"")</f>
        <v/>
      </c>
      <c r="P46" s="247" t="str">
        <f t="shared" si="4"/>
        <v/>
      </c>
      <c r="Q46" s="255" t="str">
        <f>IFERROR(__xludf.DUMMYFUNCTION("""COMPUTED_VALUE"""),"")</f>
        <v/>
      </c>
      <c r="R46" s="249" t="str">
        <f>IFERROR(__xludf.DUMMYFUNCTION("""COMPUTED_VALUE"""),"")</f>
        <v/>
      </c>
      <c r="S46" s="250" t="str">
        <f t="shared" si="5"/>
        <v/>
      </c>
      <c r="T46" s="254" t="str">
        <f>IFERROR(__xludf.DUMMYFUNCTION("""COMPUTED_VALUE"""),"")</f>
        <v/>
      </c>
      <c r="U46" s="246" t="str">
        <f>IFERROR(__xludf.DUMMYFUNCTION("""COMPUTED_VALUE"""),"")</f>
        <v/>
      </c>
      <c r="V46" s="247" t="str">
        <f t="shared" si="6"/>
        <v/>
      </c>
      <c r="W46" s="255" t="str">
        <f>IFERROR(__xludf.DUMMYFUNCTION("""COMPUTED_VALUE"""),"")</f>
        <v/>
      </c>
      <c r="X46" s="249" t="str">
        <f>IFERROR(__xludf.DUMMYFUNCTION("""COMPUTED_VALUE"""),"")</f>
        <v/>
      </c>
      <c r="Y46" s="250" t="str">
        <f t="shared" si="7"/>
        <v/>
      </c>
      <c r="AA46" s="143">
        <f t="shared" si="16"/>
        <v>36.19265976</v>
      </c>
      <c r="AB46" s="301" t="s">
        <v>53</v>
      </c>
      <c r="AC46" s="223">
        <f t="shared" si="19"/>
        <v>69.4643254</v>
      </c>
      <c r="AD46" s="302" t="s">
        <v>53</v>
      </c>
      <c r="AE46" s="24">
        <f>IFERROR(__xludf.DUMMYFUNCTION("iferror(STDEV(FILTER(J:J, C:C = INDIRECT(""RC[-1]"", FALSE))),""0.00"")"),33.27166564180673)</f>
        <v>33.27166564</v>
      </c>
      <c r="AF46" s="303" t="s">
        <v>53</v>
      </c>
      <c r="AG46" s="304" t="str">
        <f t="shared" si="20"/>
        <v>0.00</v>
      </c>
      <c r="AH46" s="305" t="s">
        <v>53</v>
      </c>
      <c r="AI46" s="306" t="str">
        <f>IFERROR(__xludf.DUMMYFUNCTION("iferror(STDEV(FILTER(S:S, C:C = INDIRECT(""RC[-1]"", FALSE))),""0.00"")"),"0.00")</f>
        <v>0.00</v>
      </c>
      <c r="AJ46" s="143">
        <f t="shared" si="17"/>
        <v>0</v>
      </c>
      <c r="AL46" s="307" t="s">
        <v>53</v>
      </c>
      <c r="AM46" s="308">
        <f t="shared" si="21"/>
        <v>69.4643254</v>
      </c>
      <c r="AN46" s="309" t="s">
        <v>53</v>
      </c>
      <c r="AO46" s="308">
        <f>IFERROR(__xludf.DUMMYFUNCTION("iferror(STDEV(FILTER(Y:Y, C:C = INDIRECT(""RC[-1]"", FALSE))),""0.00"")"),33.27166564180673)</f>
        <v>33.27166564</v>
      </c>
      <c r="AP46" s="310">
        <f t="shared" si="18"/>
        <v>36.19265976</v>
      </c>
    </row>
    <row r="47">
      <c r="A47" s="136" t="s">
        <v>18</v>
      </c>
      <c r="B47" s="146">
        <v>46058.0</v>
      </c>
      <c r="C47" s="136" t="s">
        <v>49</v>
      </c>
      <c r="D47" s="136" t="s">
        <v>148</v>
      </c>
      <c r="E47" s="256" t="str">
        <f>IFERROR(__xludf.DUMMYFUNCTION("""COMPUTED_VALUE"""),"")</f>
        <v/>
      </c>
      <c r="F47" s="257" t="str">
        <f>IFERROR(__xludf.DUMMYFUNCTION("""COMPUTED_VALUE"""),"")</f>
        <v/>
      </c>
      <c r="G47" s="247" t="str">
        <f t="shared" si="1"/>
        <v/>
      </c>
      <c r="H47" s="258" t="str">
        <f>IFERROR(__xludf.DUMMYFUNCTION("""COMPUTED_VALUE"""),"")</f>
        <v/>
      </c>
      <c r="I47" s="259" t="str">
        <f>IFERROR(__xludf.DUMMYFUNCTION("""COMPUTED_VALUE"""),"")</f>
        <v/>
      </c>
      <c r="J47" s="250" t="str">
        <f t="shared" si="2"/>
        <v/>
      </c>
      <c r="K47" s="251" t="str">
        <f>IFERROR(__xludf.DUMMYFUNCTION("""COMPUTED_VALUE"""),"")</f>
        <v/>
      </c>
      <c r="L47" s="252" t="str">
        <f>IFERROR(__xludf.DUMMYFUNCTION("""COMPUTED_VALUE"""),"")</f>
        <v/>
      </c>
      <c r="M47" s="253" t="str">
        <f t="shared" si="3"/>
        <v/>
      </c>
      <c r="N47" s="254" t="str">
        <f>IFERROR(__xludf.DUMMYFUNCTION("""COMPUTED_VALUE"""),"")</f>
        <v/>
      </c>
      <c r="O47" s="246" t="str">
        <f>IFERROR(__xludf.DUMMYFUNCTION("""COMPUTED_VALUE"""),"")</f>
        <v/>
      </c>
      <c r="P47" s="247" t="str">
        <f t="shared" si="4"/>
        <v/>
      </c>
      <c r="Q47" s="255" t="str">
        <f>IFERROR(__xludf.DUMMYFUNCTION("""COMPUTED_VALUE"""),"")</f>
        <v/>
      </c>
      <c r="R47" s="249" t="str">
        <f>IFERROR(__xludf.DUMMYFUNCTION("""COMPUTED_VALUE"""),"")</f>
        <v/>
      </c>
      <c r="S47" s="250" t="str">
        <f t="shared" si="5"/>
        <v/>
      </c>
      <c r="T47" s="254" t="str">
        <f>IFERROR(__xludf.DUMMYFUNCTION("""COMPUTED_VALUE"""),"")</f>
        <v/>
      </c>
      <c r="U47" s="246" t="str">
        <f>IFERROR(__xludf.DUMMYFUNCTION("""COMPUTED_VALUE"""),"")</f>
        <v/>
      </c>
      <c r="V47" s="247" t="str">
        <f t="shared" si="6"/>
        <v/>
      </c>
      <c r="W47" s="255" t="str">
        <f>IFERROR(__xludf.DUMMYFUNCTION("""COMPUTED_VALUE"""),"")</f>
        <v/>
      </c>
      <c r="X47" s="249" t="str">
        <f>IFERROR(__xludf.DUMMYFUNCTION("""COMPUTED_VALUE"""),"")</f>
        <v/>
      </c>
      <c r="Y47" s="250" t="str">
        <f t="shared" si="7"/>
        <v/>
      </c>
      <c r="AB47" s="303" t="s">
        <v>55</v>
      </c>
      <c r="AC47" s="289" t="str">
        <f t="shared" si="19"/>
        <v>0.00</v>
      </c>
      <c r="AD47" s="305" t="s">
        <v>55</v>
      </c>
      <c r="AE47" s="290" t="str">
        <f>IFERROR(__xludf.DUMMYFUNCTION("iferror(STDEV(FILTER(J:J, C:C = INDIRECT(""RC[-1]"", FALSE))),""0.00"")"),"0.00")</f>
        <v>0.00</v>
      </c>
      <c r="AF47" s="303" t="s">
        <v>55</v>
      </c>
      <c r="AG47" s="276" t="str">
        <f t="shared" si="20"/>
        <v>0.00</v>
      </c>
      <c r="AH47" s="305" t="s">
        <v>55</v>
      </c>
      <c r="AI47" s="278" t="str">
        <f>IFERROR(__xludf.DUMMYFUNCTION("iferror(STDEV(FILTER(S:S, C:C = INDIRECT(""RC[-1]"", FALSE))),""0.00"")"),"0.00")</f>
        <v>0.00</v>
      </c>
      <c r="AL47" s="303" t="s">
        <v>55</v>
      </c>
      <c r="AM47" s="291" t="str">
        <f t="shared" si="21"/>
        <v>0.00</v>
      </c>
      <c r="AN47" s="305" t="s">
        <v>55</v>
      </c>
      <c r="AO47" s="292" t="str">
        <f>IFERROR(__xludf.DUMMYFUNCTION("iferror(STDEV(FILTER(Y:Y, C:C = INDIRECT(""RC[-1]"", FALSE))),""0.00"")"),"0.00")</f>
        <v>0.00</v>
      </c>
    </row>
    <row r="48">
      <c r="A48" s="136" t="s">
        <v>18</v>
      </c>
      <c r="B48" s="146">
        <v>46058.0</v>
      </c>
      <c r="C48" s="136" t="s">
        <v>49</v>
      </c>
      <c r="D48" s="136" t="s">
        <v>149</v>
      </c>
      <c r="E48" s="256" t="str">
        <f>IFERROR(__xludf.DUMMYFUNCTION("""COMPUTED_VALUE"""),"")</f>
        <v/>
      </c>
      <c r="F48" s="257" t="str">
        <f>IFERROR(__xludf.DUMMYFUNCTION("""COMPUTED_VALUE"""),"")</f>
        <v/>
      </c>
      <c r="G48" s="247" t="str">
        <f t="shared" si="1"/>
        <v/>
      </c>
      <c r="H48" s="258" t="str">
        <f>IFERROR(__xludf.DUMMYFUNCTION("""COMPUTED_VALUE"""),"")</f>
        <v/>
      </c>
      <c r="I48" s="259" t="str">
        <f>IFERROR(__xludf.DUMMYFUNCTION("""COMPUTED_VALUE"""),"")</f>
        <v/>
      </c>
      <c r="J48" s="250" t="str">
        <f t="shared" si="2"/>
        <v/>
      </c>
      <c r="K48" s="251" t="str">
        <f>IFERROR(__xludf.DUMMYFUNCTION("""COMPUTED_VALUE"""),"")</f>
        <v/>
      </c>
      <c r="L48" s="252" t="str">
        <f>IFERROR(__xludf.DUMMYFUNCTION("""COMPUTED_VALUE"""),"")</f>
        <v/>
      </c>
      <c r="M48" s="253" t="str">
        <f t="shared" si="3"/>
        <v/>
      </c>
      <c r="N48" s="254" t="str">
        <f>IFERROR(__xludf.DUMMYFUNCTION("""COMPUTED_VALUE"""),"")</f>
        <v/>
      </c>
      <c r="O48" s="246" t="str">
        <f>IFERROR(__xludf.DUMMYFUNCTION("""COMPUTED_VALUE"""),"")</f>
        <v/>
      </c>
      <c r="P48" s="247" t="str">
        <f t="shared" si="4"/>
        <v/>
      </c>
      <c r="Q48" s="255" t="str">
        <f>IFERROR(__xludf.DUMMYFUNCTION("""COMPUTED_VALUE"""),"")</f>
        <v/>
      </c>
      <c r="R48" s="249" t="str">
        <f>IFERROR(__xludf.DUMMYFUNCTION("""COMPUTED_VALUE"""),"")</f>
        <v/>
      </c>
      <c r="S48" s="250" t="str">
        <f t="shared" si="5"/>
        <v/>
      </c>
      <c r="T48" s="254" t="str">
        <f>IFERROR(__xludf.DUMMYFUNCTION("""COMPUTED_VALUE"""),"")</f>
        <v/>
      </c>
      <c r="U48" s="246" t="str">
        <f>IFERROR(__xludf.DUMMYFUNCTION("""COMPUTED_VALUE"""),"")</f>
        <v/>
      </c>
      <c r="V48" s="247" t="str">
        <f t="shared" si="6"/>
        <v/>
      </c>
      <c r="W48" s="255" t="str">
        <f>IFERROR(__xludf.DUMMYFUNCTION("""COMPUTED_VALUE"""),"")</f>
        <v/>
      </c>
      <c r="X48" s="249" t="str">
        <f>IFERROR(__xludf.DUMMYFUNCTION("""COMPUTED_VALUE"""),"")</f>
        <v/>
      </c>
      <c r="Y48" s="250" t="str">
        <f t="shared" si="7"/>
        <v/>
      </c>
      <c r="AB48" s="311" t="s">
        <v>226</v>
      </c>
      <c r="AC48" s="293" t="str">
        <f t="shared" si="19"/>
        <v>0.00</v>
      </c>
      <c r="AD48" s="312" t="s">
        <v>226</v>
      </c>
      <c r="AE48" s="294" t="str">
        <f>IFERROR(__xludf.DUMMYFUNCTION("iferror(STDEV(FILTER(J:J, C:C = INDIRECT(""RC[-1]"", FALSE))),""0.00"")"),"0.00")</f>
        <v>0.00</v>
      </c>
      <c r="AF48" s="311" t="s">
        <v>226</v>
      </c>
      <c r="AG48" s="280" t="str">
        <f t="shared" si="20"/>
        <v>0.00</v>
      </c>
      <c r="AH48" s="312" t="s">
        <v>226</v>
      </c>
      <c r="AI48" s="282" t="str">
        <f>IFERROR(__xludf.DUMMYFUNCTION("iferror(STDEV(FILTER(S:S, C:C = INDIRECT(""RC[-1]"", FALSE))),""0.00"")"),"0.00")</f>
        <v>0.00</v>
      </c>
      <c r="AL48" s="311" t="s">
        <v>226</v>
      </c>
      <c r="AM48" s="313" t="str">
        <f t="shared" si="21"/>
        <v>0.00</v>
      </c>
      <c r="AN48" s="312" t="s">
        <v>226</v>
      </c>
      <c r="AO48" s="314" t="str">
        <f>IFERROR(__xludf.DUMMYFUNCTION("iferror(STDEV(FILTER(Y:Y, C:C = INDIRECT(""RC[-1]"", FALSE))),""0.00"")"),"0.00")</f>
        <v>0.00</v>
      </c>
    </row>
    <row r="49">
      <c r="A49" s="136" t="s">
        <v>18</v>
      </c>
      <c r="B49" s="146">
        <v>46058.0</v>
      </c>
      <c r="C49" s="136" t="s">
        <v>49</v>
      </c>
      <c r="D49" s="136" t="s">
        <v>149</v>
      </c>
      <c r="E49" s="256" t="str">
        <f>IFERROR(__xludf.DUMMYFUNCTION("""COMPUTED_VALUE"""),"")</f>
        <v/>
      </c>
      <c r="F49" s="257" t="str">
        <f>IFERROR(__xludf.DUMMYFUNCTION("""COMPUTED_VALUE"""),"")</f>
        <v/>
      </c>
      <c r="G49" s="247" t="str">
        <f t="shared" si="1"/>
        <v/>
      </c>
      <c r="H49" s="258" t="str">
        <f>IFERROR(__xludf.DUMMYFUNCTION("""COMPUTED_VALUE"""),"")</f>
        <v/>
      </c>
      <c r="I49" s="259" t="str">
        <f>IFERROR(__xludf.DUMMYFUNCTION("""COMPUTED_VALUE"""),"")</f>
        <v/>
      </c>
      <c r="J49" s="250" t="str">
        <f t="shared" si="2"/>
        <v/>
      </c>
      <c r="K49" s="251" t="str">
        <f>IFERROR(__xludf.DUMMYFUNCTION("""COMPUTED_VALUE"""),"")</f>
        <v/>
      </c>
      <c r="L49" s="252" t="str">
        <f>IFERROR(__xludf.DUMMYFUNCTION("""COMPUTED_VALUE"""),"")</f>
        <v/>
      </c>
      <c r="M49" s="253" t="str">
        <f t="shared" si="3"/>
        <v/>
      </c>
      <c r="N49" s="254" t="str">
        <f>IFERROR(__xludf.DUMMYFUNCTION("""COMPUTED_VALUE"""),"")</f>
        <v/>
      </c>
      <c r="O49" s="246" t="str">
        <f>IFERROR(__xludf.DUMMYFUNCTION("""COMPUTED_VALUE"""),"")</f>
        <v/>
      </c>
      <c r="P49" s="247" t="str">
        <f t="shared" si="4"/>
        <v/>
      </c>
      <c r="Q49" s="255" t="str">
        <f>IFERROR(__xludf.DUMMYFUNCTION("""COMPUTED_VALUE"""),"")</f>
        <v/>
      </c>
      <c r="R49" s="249" t="str">
        <f>IFERROR(__xludf.DUMMYFUNCTION("""COMPUTED_VALUE"""),"")</f>
        <v/>
      </c>
      <c r="S49" s="250" t="str">
        <f t="shared" si="5"/>
        <v/>
      </c>
      <c r="T49" s="254" t="str">
        <f>IFERROR(__xludf.DUMMYFUNCTION("""COMPUTED_VALUE"""),"")</f>
        <v/>
      </c>
      <c r="U49" s="246" t="str">
        <f>IFERROR(__xludf.DUMMYFUNCTION("""COMPUTED_VALUE"""),"")</f>
        <v/>
      </c>
      <c r="V49" s="247" t="str">
        <f t="shared" si="6"/>
        <v/>
      </c>
      <c r="W49" s="255" t="str">
        <f>IFERROR(__xludf.DUMMYFUNCTION("""COMPUTED_VALUE"""),"")</f>
        <v/>
      </c>
      <c r="X49" s="249" t="str">
        <f>IFERROR(__xludf.DUMMYFUNCTION("""COMPUTED_VALUE"""),"")</f>
        <v/>
      </c>
      <c r="Y49" s="250" t="str">
        <f t="shared" si="7"/>
        <v/>
      </c>
    </row>
    <row r="50">
      <c r="A50" s="136" t="s">
        <v>18</v>
      </c>
      <c r="B50" s="146">
        <v>46058.0</v>
      </c>
      <c r="C50" s="136" t="s">
        <v>49</v>
      </c>
      <c r="D50" s="136" t="s">
        <v>149</v>
      </c>
      <c r="E50" s="256" t="str">
        <f>IFERROR(__xludf.DUMMYFUNCTION("""COMPUTED_VALUE"""),"")</f>
        <v/>
      </c>
      <c r="F50" s="257" t="str">
        <f>IFERROR(__xludf.DUMMYFUNCTION("""COMPUTED_VALUE"""),"")</f>
        <v/>
      </c>
      <c r="G50" s="247" t="str">
        <f t="shared" si="1"/>
        <v/>
      </c>
      <c r="H50" s="258" t="str">
        <f>IFERROR(__xludf.DUMMYFUNCTION("""COMPUTED_VALUE"""),"")</f>
        <v/>
      </c>
      <c r="I50" s="259" t="str">
        <f>IFERROR(__xludf.DUMMYFUNCTION("""COMPUTED_VALUE"""),"")</f>
        <v/>
      </c>
      <c r="J50" s="250" t="str">
        <f t="shared" si="2"/>
        <v/>
      </c>
      <c r="K50" s="251" t="str">
        <f>IFERROR(__xludf.DUMMYFUNCTION("""COMPUTED_VALUE"""),"")</f>
        <v/>
      </c>
      <c r="L50" s="252" t="str">
        <f>IFERROR(__xludf.DUMMYFUNCTION("""COMPUTED_VALUE"""),"")</f>
        <v/>
      </c>
      <c r="M50" s="253" t="str">
        <f t="shared" si="3"/>
        <v/>
      </c>
      <c r="N50" s="254" t="str">
        <f>IFERROR(__xludf.DUMMYFUNCTION("""COMPUTED_VALUE"""),"")</f>
        <v/>
      </c>
      <c r="O50" s="246" t="str">
        <f>IFERROR(__xludf.DUMMYFUNCTION("""COMPUTED_VALUE"""),"")</f>
        <v/>
      </c>
      <c r="P50" s="247" t="str">
        <f t="shared" si="4"/>
        <v/>
      </c>
      <c r="Q50" s="255" t="str">
        <f>IFERROR(__xludf.DUMMYFUNCTION("""COMPUTED_VALUE"""),"")</f>
        <v/>
      </c>
      <c r="R50" s="249" t="str">
        <f>IFERROR(__xludf.DUMMYFUNCTION("""COMPUTED_VALUE"""),"")</f>
        <v/>
      </c>
      <c r="S50" s="250" t="str">
        <f t="shared" si="5"/>
        <v/>
      </c>
      <c r="T50" s="254" t="str">
        <f>IFERROR(__xludf.DUMMYFUNCTION("""COMPUTED_VALUE"""),"")</f>
        <v/>
      </c>
      <c r="U50" s="246" t="str">
        <f>IFERROR(__xludf.DUMMYFUNCTION("""COMPUTED_VALUE"""),"")</f>
        <v/>
      </c>
      <c r="V50" s="247" t="str">
        <f t="shared" si="6"/>
        <v/>
      </c>
      <c r="W50" s="255" t="str">
        <f>IFERROR(__xludf.DUMMYFUNCTION("""COMPUTED_VALUE"""),"")</f>
        <v/>
      </c>
      <c r="X50" s="249" t="str">
        <f>IFERROR(__xludf.DUMMYFUNCTION("""COMPUTED_VALUE"""),"")</f>
        <v/>
      </c>
      <c r="Y50" s="250" t="str">
        <f t="shared" si="7"/>
        <v/>
      </c>
    </row>
    <row r="51">
      <c r="A51" s="136" t="s">
        <v>18</v>
      </c>
      <c r="B51" s="146">
        <v>46058.0</v>
      </c>
      <c r="C51" s="136" t="s">
        <v>49</v>
      </c>
      <c r="D51" s="136" t="s">
        <v>149</v>
      </c>
      <c r="E51" s="256">
        <f>IFERROR(__xludf.DUMMYFUNCTION("""COMPUTED_VALUE"""),50.0)</f>
        <v>50</v>
      </c>
      <c r="F51" s="257">
        <f>IFERROR(__xludf.DUMMYFUNCTION("""COMPUTED_VALUE"""),0.05208333333575865)</f>
        <v>0.05208333334</v>
      </c>
      <c r="G51" s="247">
        <f t="shared" si="1"/>
        <v>40</v>
      </c>
      <c r="H51" s="258">
        <f>IFERROR(__xludf.DUMMYFUNCTION("""COMPUTED_VALUE"""),231.0)</f>
        <v>231</v>
      </c>
      <c r="I51" s="259">
        <f>IFERROR(__xludf.DUMMYFUNCTION("""COMPUTED_VALUE"""),0.15625)</f>
        <v>0.15625</v>
      </c>
      <c r="J51" s="250">
        <f t="shared" si="2"/>
        <v>61.6</v>
      </c>
      <c r="K51" s="251">
        <f>IFERROR(__xludf.DUMMYFUNCTION("""COMPUTED_VALUE"""),50.0)</f>
        <v>50</v>
      </c>
      <c r="L51" s="252">
        <f>IFERROR(__xludf.DUMMYFUNCTION("""COMPUTED_VALUE"""),0.11250000000291038)</f>
        <v>0.1125</v>
      </c>
      <c r="M51" s="253">
        <f t="shared" si="3"/>
        <v>18.51851852</v>
      </c>
      <c r="N51" s="254">
        <f>IFERROR(__xludf.DUMMYFUNCTION("""COMPUTED_VALUE"""),0.0)</f>
        <v>0</v>
      </c>
      <c r="O51" s="246">
        <f>IFERROR(__xludf.DUMMYFUNCTION("""COMPUTED_VALUE"""),0.0)</f>
        <v>0</v>
      </c>
      <c r="P51" s="247" t="str">
        <f t="shared" si="4"/>
        <v/>
      </c>
      <c r="Q51" s="255">
        <f>IFERROR(__xludf.DUMMYFUNCTION("""COMPUTED_VALUE"""),421.0)</f>
        <v>421</v>
      </c>
      <c r="R51" s="249">
        <f>IFERROR(__xludf.DUMMYFUNCTION("""COMPUTED_VALUE"""),0.1701388888832298)</f>
        <v>0.1701388889</v>
      </c>
      <c r="S51" s="250">
        <f t="shared" si="5"/>
        <v>103.1020408</v>
      </c>
      <c r="T51" s="254">
        <f>IFERROR(__xludf.DUMMYFUNCTION("""COMPUTED_VALUE"""),50.0)</f>
        <v>50</v>
      </c>
      <c r="U51" s="246">
        <f>IFERROR(__xludf.DUMMYFUNCTION("""COMPUTED_VALUE"""),0.05208333333575865)</f>
        <v>0.05208333334</v>
      </c>
      <c r="V51" s="247">
        <f t="shared" si="6"/>
        <v>40</v>
      </c>
      <c r="W51" s="255">
        <f>IFERROR(__xludf.DUMMYFUNCTION("""COMPUTED_VALUE"""),652.0)</f>
        <v>652</v>
      </c>
      <c r="X51" s="249">
        <f>IFERROR(__xludf.DUMMYFUNCTION("""COMPUTED_VALUE"""),0.3263888888832298)</f>
        <v>0.3263888889</v>
      </c>
      <c r="Y51" s="250">
        <f t="shared" si="7"/>
        <v>83.23404255</v>
      </c>
    </row>
    <row r="52">
      <c r="A52" s="136" t="s">
        <v>18</v>
      </c>
      <c r="B52" s="146">
        <v>46058.0</v>
      </c>
      <c r="C52" s="136" t="s">
        <v>49</v>
      </c>
      <c r="D52" s="136" t="s">
        <v>148</v>
      </c>
      <c r="E52" s="256" t="str">
        <f>IFERROR(__xludf.DUMMYFUNCTION("""COMPUTED_VALUE"""),"")</f>
        <v/>
      </c>
      <c r="F52" s="257" t="str">
        <f>IFERROR(__xludf.DUMMYFUNCTION("""COMPUTED_VALUE"""),"")</f>
        <v/>
      </c>
      <c r="G52" s="247" t="str">
        <f t="shared" si="1"/>
        <v/>
      </c>
      <c r="H52" s="258" t="str">
        <f>IFERROR(__xludf.DUMMYFUNCTION("""COMPUTED_VALUE"""),"")</f>
        <v/>
      </c>
      <c r="I52" s="259" t="str">
        <f>IFERROR(__xludf.DUMMYFUNCTION("""COMPUTED_VALUE"""),"")</f>
        <v/>
      </c>
      <c r="J52" s="250" t="str">
        <f t="shared" si="2"/>
        <v/>
      </c>
      <c r="K52" s="251" t="str">
        <f>IFERROR(__xludf.DUMMYFUNCTION("""COMPUTED_VALUE"""),"")</f>
        <v/>
      </c>
      <c r="L52" s="252" t="str">
        <f>IFERROR(__xludf.DUMMYFUNCTION("""COMPUTED_VALUE"""),"")</f>
        <v/>
      </c>
      <c r="M52" s="253" t="str">
        <f t="shared" si="3"/>
        <v/>
      </c>
      <c r="N52" s="254" t="str">
        <f>IFERROR(__xludf.DUMMYFUNCTION("""COMPUTED_VALUE"""),"")</f>
        <v/>
      </c>
      <c r="O52" s="246" t="str">
        <f>IFERROR(__xludf.DUMMYFUNCTION("""COMPUTED_VALUE"""),"")</f>
        <v/>
      </c>
      <c r="P52" s="247" t="str">
        <f t="shared" si="4"/>
        <v/>
      </c>
      <c r="Q52" s="255" t="str">
        <f>IFERROR(__xludf.DUMMYFUNCTION("""COMPUTED_VALUE"""),"")</f>
        <v/>
      </c>
      <c r="R52" s="249" t="str">
        <f>IFERROR(__xludf.DUMMYFUNCTION("""COMPUTED_VALUE"""),"")</f>
        <v/>
      </c>
      <c r="S52" s="250" t="str">
        <f t="shared" si="5"/>
        <v/>
      </c>
      <c r="T52" s="254" t="str">
        <f>IFERROR(__xludf.DUMMYFUNCTION("""COMPUTED_VALUE"""),"")</f>
        <v/>
      </c>
      <c r="U52" s="246" t="str">
        <f>IFERROR(__xludf.DUMMYFUNCTION("""COMPUTED_VALUE"""),"")</f>
        <v/>
      </c>
      <c r="V52" s="247" t="str">
        <f t="shared" si="6"/>
        <v/>
      </c>
      <c r="W52" s="255" t="str">
        <f>IFERROR(__xludf.DUMMYFUNCTION("""COMPUTED_VALUE"""),"")</f>
        <v/>
      </c>
      <c r="X52" s="249" t="str">
        <f>IFERROR(__xludf.DUMMYFUNCTION("""COMPUTED_VALUE"""),"")</f>
        <v/>
      </c>
      <c r="Y52" s="250" t="str">
        <f t="shared" si="7"/>
        <v/>
      </c>
    </row>
    <row r="53">
      <c r="A53" s="136" t="s">
        <v>15</v>
      </c>
      <c r="B53" s="146">
        <v>46059.0</v>
      </c>
      <c r="C53" s="136" t="s">
        <v>53</v>
      </c>
      <c r="D53" s="136" t="s">
        <v>149</v>
      </c>
      <c r="E53" s="256" t="str">
        <f>IFERROR(__xludf.DUMMYFUNCTION("""COMPUTED_VALUE"""),"")</f>
        <v/>
      </c>
      <c r="F53" s="257" t="str">
        <f>IFERROR(__xludf.DUMMYFUNCTION("""COMPUTED_VALUE"""),"")</f>
        <v/>
      </c>
      <c r="G53" s="247" t="str">
        <f t="shared" si="1"/>
        <v/>
      </c>
      <c r="H53" s="258" t="str">
        <f>IFERROR(__xludf.DUMMYFUNCTION("""COMPUTED_VALUE"""),"")</f>
        <v/>
      </c>
      <c r="I53" s="259" t="str">
        <f>IFERROR(__xludf.DUMMYFUNCTION("""COMPUTED_VALUE"""),"")</f>
        <v/>
      </c>
      <c r="J53" s="250" t="str">
        <f t="shared" si="2"/>
        <v/>
      </c>
      <c r="K53" s="251" t="str">
        <f>IFERROR(__xludf.DUMMYFUNCTION("""COMPUTED_VALUE"""),"")</f>
        <v/>
      </c>
      <c r="L53" s="252" t="str">
        <f>IFERROR(__xludf.DUMMYFUNCTION("""COMPUTED_VALUE"""),"")</f>
        <v/>
      </c>
      <c r="M53" s="253" t="str">
        <f t="shared" si="3"/>
        <v/>
      </c>
      <c r="N53" s="254" t="str">
        <f>IFERROR(__xludf.DUMMYFUNCTION("""COMPUTED_VALUE"""),"")</f>
        <v/>
      </c>
      <c r="O53" s="246" t="str">
        <f>IFERROR(__xludf.DUMMYFUNCTION("""COMPUTED_VALUE"""),"")</f>
        <v/>
      </c>
      <c r="P53" s="247" t="str">
        <f t="shared" si="4"/>
        <v/>
      </c>
      <c r="Q53" s="255" t="str">
        <f>IFERROR(__xludf.DUMMYFUNCTION("""COMPUTED_VALUE"""),"")</f>
        <v/>
      </c>
      <c r="R53" s="249" t="str">
        <f>IFERROR(__xludf.DUMMYFUNCTION("""COMPUTED_VALUE"""),"")</f>
        <v/>
      </c>
      <c r="S53" s="250" t="str">
        <f t="shared" si="5"/>
        <v/>
      </c>
      <c r="T53" s="254" t="str">
        <f>IFERROR(__xludf.DUMMYFUNCTION("""COMPUTED_VALUE"""),"")</f>
        <v/>
      </c>
      <c r="U53" s="246" t="str">
        <f>IFERROR(__xludf.DUMMYFUNCTION("""COMPUTED_VALUE"""),"")</f>
        <v/>
      </c>
      <c r="V53" s="247" t="str">
        <f t="shared" si="6"/>
        <v/>
      </c>
      <c r="W53" s="255" t="str">
        <f>IFERROR(__xludf.DUMMYFUNCTION("""COMPUTED_VALUE"""),"")</f>
        <v/>
      </c>
      <c r="X53" s="249" t="str">
        <f>IFERROR(__xludf.DUMMYFUNCTION("""COMPUTED_VALUE"""),"")</f>
        <v/>
      </c>
      <c r="Y53" s="250" t="str">
        <f t="shared" si="7"/>
        <v/>
      </c>
      <c r="AB53" s="36"/>
      <c r="AC53" s="36"/>
      <c r="AD53" s="4"/>
      <c r="AE53" s="36"/>
      <c r="AF53" s="36"/>
      <c r="AG53" s="2"/>
      <c r="AH53" s="36"/>
      <c r="AI53" s="36"/>
    </row>
    <row r="54">
      <c r="A54" s="136" t="s">
        <v>15</v>
      </c>
      <c r="B54" s="146">
        <v>46059.0</v>
      </c>
      <c r="C54" s="136" t="s">
        <v>53</v>
      </c>
      <c r="D54" s="136" t="s">
        <v>148</v>
      </c>
      <c r="E54" s="256" t="str">
        <f>IFERROR(__xludf.DUMMYFUNCTION("""COMPUTED_VALUE"""),"")</f>
        <v/>
      </c>
      <c r="F54" s="257" t="str">
        <f>IFERROR(__xludf.DUMMYFUNCTION("""COMPUTED_VALUE"""),"")</f>
        <v/>
      </c>
      <c r="G54" s="247" t="str">
        <f t="shared" si="1"/>
        <v/>
      </c>
      <c r="H54" s="258" t="str">
        <f>IFERROR(__xludf.DUMMYFUNCTION("""COMPUTED_VALUE"""),"")</f>
        <v/>
      </c>
      <c r="I54" s="259" t="str">
        <f>IFERROR(__xludf.DUMMYFUNCTION("""COMPUTED_VALUE"""),"")</f>
        <v/>
      </c>
      <c r="J54" s="250" t="str">
        <f t="shared" si="2"/>
        <v/>
      </c>
      <c r="K54" s="251" t="str">
        <f>IFERROR(__xludf.DUMMYFUNCTION("""COMPUTED_VALUE"""),"")</f>
        <v/>
      </c>
      <c r="L54" s="252" t="str">
        <f>IFERROR(__xludf.DUMMYFUNCTION("""COMPUTED_VALUE"""),"")</f>
        <v/>
      </c>
      <c r="M54" s="253" t="str">
        <f t="shared" si="3"/>
        <v/>
      </c>
      <c r="N54" s="254" t="str">
        <f>IFERROR(__xludf.DUMMYFUNCTION("""COMPUTED_VALUE"""),"")</f>
        <v/>
      </c>
      <c r="O54" s="246" t="str">
        <f>IFERROR(__xludf.DUMMYFUNCTION("""COMPUTED_VALUE"""),"")</f>
        <v/>
      </c>
      <c r="P54" s="247" t="str">
        <f t="shared" si="4"/>
        <v/>
      </c>
      <c r="Q54" s="255" t="str">
        <f>IFERROR(__xludf.DUMMYFUNCTION("""COMPUTED_VALUE"""),"")</f>
        <v/>
      </c>
      <c r="R54" s="249" t="str">
        <f>IFERROR(__xludf.DUMMYFUNCTION("""COMPUTED_VALUE"""),"")</f>
        <v/>
      </c>
      <c r="S54" s="250" t="str">
        <f t="shared" si="5"/>
        <v/>
      </c>
      <c r="T54" s="254" t="str">
        <f>IFERROR(__xludf.DUMMYFUNCTION("""COMPUTED_VALUE"""),"")</f>
        <v/>
      </c>
      <c r="U54" s="246" t="str">
        <f>IFERROR(__xludf.DUMMYFUNCTION("""COMPUTED_VALUE"""),"")</f>
        <v/>
      </c>
      <c r="V54" s="247" t="str">
        <f t="shared" si="6"/>
        <v/>
      </c>
      <c r="W54" s="255" t="str">
        <f>IFERROR(__xludf.DUMMYFUNCTION("""COMPUTED_VALUE"""),"")</f>
        <v/>
      </c>
      <c r="X54" s="249" t="str">
        <f>IFERROR(__xludf.DUMMYFUNCTION("""COMPUTED_VALUE"""),"")</f>
        <v/>
      </c>
      <c r="Y54" s="250" t="str">
        <f t="shared" si="7"/>
        <v/>
      </c>
      <c r="AB54" s="36"/>
      <c r="AC54" s="262"/>
      <c r="AD54" s="2"/>
      <c r="AE54" s="36"/>
      <c r="AF54" s="262"/>
      <c r="AG54" s="36"/>
      <c r="AH54" s="36"/>
      <c r="AI54" s="262"/>
    </row>
    <row r="55">
      <c r="A55" s="136" t="s">
        <v>18</v>
      </c>
      <c r="B55" s="146">
        <v>46059.0</v>
      </c>
      <c r="C55" s="136" t="s">
        <v>53</v>
      </c>
      <c r="D55" s="136" t="s">
        <v>148</v>
      </c>
      <c r="E55" s="256" t="str">
        <f>IFERROR(__xludf.DUMMYFUNCTION("""COMPUTED_VALUE"""),"")</f>
        <v/>
      </c>
      <c r="F55" s="257" t="str">
        <f>IFERROR(__xludf.DUMMYFUNCTION("""COMPUTED_VALUE"""),"")</f>
        <v/>
      </c>
      <c r="G55" s="247" t="str">
        <f t="shared" si="1"/>
        <v/>
      </c>
      <c r="H55" s="258" t="str">
        <f>IFERROR(__xludf.DUMMYFUNCTION("""COMPUTED_VALUE"""),"")</f>
        <v/>
      </c>
      <c r="I55" s="259" t="str">
        <f>IFERROR(__xludf.DUMMYFUNCTION("""COMPUTED_VALUE"""),"")</f>
        <v/>
      </c>
      <c r="J55" s="250" t="str">
        <f t="shared" si="2"/>
        <v/>
      </c>
      <c r="K55" s="251" t="str">
        <f>IFERROR(__xludf.DUMMYFUNCTION("""COMPUTED_VALUE"""),"")</f>
        <v/>
      </c>
      <c r="L55" s="252" t="str">
        <f>IFERROR(__xludf.DUMMYFUNCTION("""COMPUTED_VALUE"""),"")</f>
        <v/>
      </c>
      <c r="M55" s="253" t="str">
        <f t="shared" si="3"/>
        <v/>
      </c>
      <c r="N55" s="254" t="str">
        <f>IFERROR(__xludf.DUMMYFUNCTION("""COMPUTED_VALUE"""),"")</f>
        <v/>
      </c>
      <c r="O55" s="246" t="str">
        <f>IFERROR(__xludf.DUMMYFUNCTION("""COMPUTED_VALUE"""),"")</f>
        <v/>
      </c>
      <c r="P55" s="247" t="str">
        <f t="shared" si="4"/>
        <v/>
      </c>
      <c r="Q55" s="255" t="str">
        <f>IFERROR(__xludf.DUMMYFUNCTION("""COMPUTED_VALUE"""),"")</f>
        <v/>
      </c>
      <c r="R55" s="249" t="str">
        <f>IFERROR(__xludf.DUMMYFUNCTION("""COMPUTED_VALUE"""),"")</f>
        <v/>
      </c>
      <c r="S55" s="250" t="str">
        <f t="shared" si="5"/>
        <v/>
      </c>
      <c r="T55" s="254" t="str">
        <f>IFERROR(__xludf.DUMMYFUNCTION("""COMPUTED_VALUE"""),"")</f>
        <v/>
      </c>
      <c r="U55" s="246" t="str">
        <f>IFERROR(__xludf.DUMMYFUNCTION("""COMPUTED_VALUE"""),"")</f>
        <v/>
      </c>
      <c r="V55" s="247" t="str">
        <f t="shared" si="6"/>
        <v/>
      </c>
      <c r="W55" s="255" t="str">
        <f>IFERROR(__xludf.DUMMYFUNCTION("""COMPUTED_VALUE"""),"")</f>
        <v/>
      </c>
      <c r="X55" s="249" t="str">
        <f>IFERROR(__xludf.DUMMYFUNCTION("""COMPUTED_VALUE"""),"")</f>
        <v/>
      </c>
      <c r="Y55" s="250" t="str">
        <f t="shared" si="7"/>
        <v/>
      </c>
      <c r="AB55" s="36"/>
      <c r="AC55" s="262"/>
      <c r="AD55" s="4"/>
      <c r="AE55" s="36"/>
      <c r="AF55" s="262"/>
      <c r="AG55" s="36"/>
      <c r="AH55" s="36"/>
      <c r="AI55" s="262"/>
    </row>
    <row r="56">
      <c r="A56" s="136" t="s">
        <v>18</v>
      </c>
      <c r="B56" s="146">
        <v>46059.0</v>
      </c>
      <c r="C56" s="136" t="s">
        <v>53</v>
      </c>
      <c r="D56" s="136" t="s">
        <v>148</v>
      </c>
      <c r="E56" s="256">
        <f>IFERROR(__xludf.DUMMYFUNCTION("""COMPUTED_VALUE"""),191.0)</f>
        <v>191</v>
      </c>
      <c r="F56" s="257">
        <f>IFERROR(__xludf.DUMMYFUNCTION("""COMPUTED_VALUE"""),0.14375000000291038)</f>
        <v>0.14375</v>
      </c>
      <c r="G56" s="247">
        <f t="shared" si="1"/>
        <v>55.36231884</v>
      </c>
      <c r="H56" s="258">
        <f>IFERROR(__xludf.DUMMYFUNCTION("""COMPUTED_VALUE"""),375.0)</f>
        <v>375</v>
      </c>
      <c r="I56" s="259">
        <f>IFERROR(__xludf.DUMMYFUNCTION("""COMPUTED_VALUE"""),0.16388888889923692)</f>
        <v>0.1638888889</v>
      </c>
      <c r="J56" s="250">
        <f t="shared" si="2"/>
        <v>95.33898304</v>
      </c>
      <c r="K56" s="251">
        <f>IFERROR(__xludf.DUMMYFUNCTION("""COMPUTED_VALUE"""),0.0)</f>
        <v>0</v>
      </c>
      <c r="L56" s="252">
        <f>IFERROR(__xludf.DUMMYFUNCTION("""COMPUTED_VALUE"""),0.0)</f>
        <v>0</v>
      </c>
      <c r="M56" s="253" t="str">
        <f t="shared" si="3"/>
        <v/>
      </c>
      <c r="N56" s="254">
        <f>IFERROR(__xludf.DUMMYFUNCTION("""COMPUTED_VALUE"""),50.0)</f>
        <v>50</v>
      </c>
      <c r="O56" s="246">
        <f>IFERROR(__xludf.DUMMYFUNCTION("""COMPUTED_VALUE"""),0.0625)</f>
        <v>0.0625</v>
      </c>
      <c r="P56" s="247">
        <f t="shared" si="4"/>
        <v>33.33333333</v>
      </c>
      <c r="Q56" s="255">
        <f>IFERROR(__xludf.DUMMYFUNCTION("""COMPUTED_VALUE"""),0.0)</f>
        <v>0</v>
      </c>
      <c r="R56" s="249">
        <f>IFERROR(__xludf.DUMMYFUNCTION("""COMPUTED_VALUE"""),0.0)</f>
        <v>0</v>
      </c>
      <c r="S56" s="250" t="str">
        <f t="shared" si="5"/>
        <v/>
      </c>
      <c r="T56" s="254">
        <f>IFERROR(__xludf.DUMMYFUNCTION("""COMPUTED_VALUE"""),241.0)</f>
        <v>241</v>
      </c>
      <c r="U56" s="246">
        <f>IFERROR(__xludf.DUMMYFUNCTION("""COMPUTED_VALUE"""),0.20625000000291038)</f>
        <v>0.20625</v>
      </c>
      <c r="V56" s="247">
        <f t="shared" si="6"/>
        <v>48.68686869</v>
      </c>
      <c r="W56" s="255">
        <f>IFERROR(__xludf.DUMMYFUNCTION("""COMPUTED_VALUE"""),375.0)</f>
        <v>375</v>
      </c>
      <c r="X56" s="249">
        <f>IFERROR(__xludf.DUMMYFUNCTION("""COMPUTED_VALUE"""),0.16388888889923692)</f>
        <v>0.1638888889</v>
      </c>
      <c r="Y56" s="250">
        <f t="shared" si="7"/>
        <v>95.33898304</v>
      </c>
      <c r="AB56" s="36"/>
      <c r="AC56" s="262"/>
      <c r="AD56" s="4"/>
      <c r="AE56" s="36"/>
      <c r="AF56" s="262"/>
      <c r="AG56" s="36"/>
      <c r="AH56" s="36"/>
      <c r="AI56" s="262"/>
    </row>
    <row r="57">
      <c r="A57" s="136" t="s">
        <v>18</v>
      </c>
      <c r="B57" s="146">
        <v>46059.0</v>
      </c>
      <c r="C57" s="136" t="s">
        <v>53</v>
      </c>
      <c r="D57" s="136" t="s">
        <v>148</v>
      </c>
      <c r="E57" s="256" t="str">
        <f>IFERROR(__xludf.DUMMYFUNCTION("""COMPUTED_VALUE"""),"")</f>
        <v/>
      </c>
      <c r="F57" s="257" t="str">
        <f>IFERROR(__xludf.DUMMYFUNCTION("""COMPUTED_VALUE"""),"")</f>
        <v/>
      </c>
      <c r="G57" s="247" t="str">
        <f t="shared" si="1"/>
        <v/>
      </c>
      <c r="H57" s="258" t="str">
        <f>IFERROR(__xludf.DUMMYFUNCTION("""COMPUTED_VALUE"""),"")</f>
        <v/>
      </c>
      <c r="I57" s="259" t="str">
        <f>IFERROR(__xludf.DUMMYFUNCTION("""COMPUTED_VALUE"""),"")</f>
        <v/>
      </c>
      <c r="J57" s="250" t="str">
        <f t="shared" si="2"/>
        <v/>
      </c>
      <c r="K57" s="251" t="str">
        <f>IFERROR(__xludf.DUMMYFUNCTION("""COMPUTED_VALUE"""),"")</f>
        <v/>
      </c>
      <c r="L57" s="252" t="str">
        <f>IFERROR(__xludf.DUMMYFUNCTION("""COMPUTED_VALUE"""),"")</f>
        <v/>
      </c>
      <c r="M57" s="253" t="str">
        <f t="shared" si="3"/>
        <v/>
      </c>
      <c r="N57" s="254" t="str">
        <f>IFERROR(__xludf.DUMMYFUNCTION("""COMPUTED_VALUE"""),"")</f>
        <v/>
      </c>
      <c r="O57" s="246" t="str">
        <f>IFERROR(__xludf.DUMMYFUNCTION("""COMPUTED_VALUE"""),"")</f>
        <v/>
      </c>
      <c r="P57" s="247" t="str">
        <f t="shared" si="4"/>
        <v/>
      </c>
      <c r="Q57" s="255" t="str">
        <f>IFERROR(__xludf.DUMMYFUNCTION("""COMPUTED_VALUE"""),"")</f>
        <v/>
      </c>
      <c r="R57" s="249" t="str">
        <f>IFERROR(__xludf.DUMMYFUNCTION("""COMPUTED_VALUE"""),"")</f>
        <v/>
      </c>
      <c r="S57" s="250" t="str">
        <f t="shared" si="5"/>
        <v/>
      </c>
      <c r="T57" s="254" t="str">
        <f>IFERROR(__xludf.DUMMYFUNCTION("""COMPUTED_VALUE"""),"")</f>
        <v/>
      </c>
      <c r="U57" s="246" t="str">
        <f>IFERROR(__xludf.DUMMYFUNCTION("""COMPUTED_VALUE"""),"")</f>
        <v/>
      </c>
      <c r="V57" s="247" t="str">
        <f t="shared" si="6"/>
        <v/>
      </c>
      <c r="W57" s="255" t="str">
        <f>IFERROR(__xludf.DUMMYFUNCTION("""COMPUTED_VALUE"""),"")</f>
        <v/>
      </c>
      <c r="X57" s="249" t="str">
        <f>IFERROR(__xludf.DUMMYFUNCTION("""COMPUTED_VALUE"""),"")</f>
        <v/>
      </c>
      <c r="Y57" s="250" t="str">
        <f t="shared" si="7"/>
        <v/>
      </c>
      <c r="AB57" s="36"/>
      <c r="AC57" s="262"/>
      <c r="AD57" s="4"/>
      <c r="AE57" s="36"/>
      <c r="AF57" s="262"/>
      <c r="AG57" s="36"/>
      <c r="AH57" s="36"/>
      <c r="AI57" s="262"/>
    </row>
    <row r="58">
      <c r="A58" s="136" t="s">
        <v>12</v>
      </c>
      <c r="B58" s="146">
        <v>46062.0</v>
      </c>
      <c r="C58" s="136" t="s">
        <v>37</v>
      </c>
      <c r="D58" s="136" t="s">
        <v>149</v>
      </c>
      <c r="E58" s="256" t="str">
        <f>IFERROR(__xludf.DUMMYFUNCTION("""COMPUTED_VALUE"""),"")</f>
        <v/>
      </c>
      <c r="F58" s="257" t="str">
        <f>IFERROR(__xludf.DUMMYFUNCTION("""COMPUTED_VALUE"""),"")</f>
        <v/>
      </c>
      <c r="G58" s="247" t="str">
        <f t="shared" si="1"/>
        <v/>
      </c>
      <c r="H58" s="258" t="str">
        <f>IFERROR(__xludf.DUMMYFUNCTION("""COMPUTED_VALUE"""),"")</f>
        <v/>
      </c>
      <c r="I58" s="259" t="str">
        <f>IFERROR(__xludf.DUMMYFUNCTION("""COMPUTED_VALUE"""),"")</f>
        <v/>
      </c>
      <c r="J58" s="250" t="str">
        <f t="shared" si="2"/>
        <v/>
      </c>
      <c r="K58" s="251" t="str">
        <f>IFERROR(__xludf.DUMMYFUNCTION("""COMPUTED_VALUE"""),"")</f>
        <v/>
      </c>
      <c r="L58" s="252" t="str">
        <f>IFERROR(__xludf.DUMMYFUNCTION("""COMPUTED_VALUE"""),"")</f>
        <v/>
      </c>
      <c r="M58" s="253" t="str">
        <f t="shared" si="3"/>
        <v/>
      </c>
      <c r="N58" s="254" t="str">
        <f>IFERROR(__xludf.DUMMYFUNCTION("""COMPUTED_VALUE"""),"")</f>
        <v/>
      </c>
      <c r="O58" s="246" t="str">
        <f>IFERROR(__xludf.DUMMYFUNCTION("""COMPUTED_VALUE"""),"")</f>
        <v/>
      </c>
      <c r="P58" s="247" t="str">
        <f t="shared" si="4"/>
        <v/>
      </c>
      <c r="Q58" s="255" t="str">
        <f>IFERROR(__xludf.DUMMYFUNCTION("""COMPUTED_VALUE"""),"")</f>
        <v/>
      </c>
      <c r="R58" s="249" t="str">
        <f>IFERROR(__xludf.DUMMYFUNCTION("""COMPUTED_VALUE"""),"")</f>
        <v/>
      </c>
      <c r="S58" s="250" t="str">
        <f t="shared" si="5"/>
        <v/>
      </c>
      <c r="T58" s="254" t="str">
        <f>IFERROR(__xludf.DUMMYFUNCTION("""COMPUTED_VALUE"""),"")</f>
        <v/>
      </c>
      <c r="U58" s="246" t="str">
        <f>IFERROR(__xludf.DUMMYFUNCTION("""COMPUTED_VALUE"""),"")</f>
        <v/>
      </c>
      <c r="V58" s="247" t="str">
        <f t="shared" si="6"/>
        <v/>
      </c>
      <c r="W58" s="255" t="str">
        <f>IFERROR(__xludf.DUMMYFUNCTION("""COMPUTED_VALUE"""),"")</f>
        <v/>
      </c>
      <c r="X58" s="249" t="str">
        <f>IFERROR(__xludf.DUMMYFUNCTION("""COMPUTED_VALUE"""),"")</f>
        <v/>
      </c>
      <c r="Y58" s="250" t="str">
        <f t="shared" si="7"/>
        <v/>
      </c>
      <c r="AB58" s="36"/>
      <c r="AC58" s="262"/>
      <c r="AD58" s="315" t="s">
        <v>242</v>
      </c>
      <c r="AE58" s="143">
        <v>36.30504584160513</v>
      </c>
      <c r="AF58" s="262"/>
      <c r="AG58" s="36"/>
      <c r="AH58" s="36"/>
      <c r="AI58" s="262"/>
    </row>
    <row r="59">
      <c r="A59" s="136" t="s">
        <v>15</v>
      </c>
      <c r="B59" s="146">
        <v>46062.0</v>
      </c>
      <c r="C59" s="136" t="s">
        <v>37</v>
      </c>
      <c r="D59" s="136" t="s">
        <v>149</v>
      </c>
      <c r="E59" s="256" t="str">
        <f>IFERROR(__xludf.DUMMYFUNCTION("""COMPUTED_VALUE"""),"")</f>
        <v/>
      </c>
      <c r="F59" s="257" t="str">
        <f>IFERROR(__xludf.DUMMYFUNCTION("""COMPUTED_VALUE"""),"")</f>
        <v/>
      </c>
      <c r="G59" s="247" t="str">
        <f t="shared" si="1"/>
        <v/>
      </c>
      <c r="H59" s="258" t="str">
        <f>IFERROR(__xludf.DUMMYFUNCTION("""COMPUTED_VALUE"""),"")</f>
        <v/>
      </c>
      <c r="I59" s="259" t="str">
        <f>IFERROR(__xludf.DUMMYFUNCTION("""COMPUTED_VALUE"""),"")</f>
        <v/>
      </c>
      <c r="J59" s="250" t="str">
        <f t="shared" si="2"/>
        <v/>
      </c>
      <c r="K59" s="251" t="str">
        <f>IFERROR(__xludf.DUMMYFUNCTION("""COMPUTED_VALUE"""),"")</f>
        <v/>
      </c>
      <c r="L59" s="252" t="str">
        <f>IFERROR(__xludf.DUMMYFUNCTION("""COMPUTED_VALUE"""),"")</f>
        <v/>
      </c>
      <c r="M59" s="253" t="str">
        <f t="shared" si="3"/>
        <v/>
      </c>
      <c r="N59" s="254" t="str">
        <f>IFERROR(__xludf.DUMMYFUNCTION("""COMPUTED_VALUE"""),"")</f>
        <v/>
      </c>
      <c r="O59" s="246" t="str">
        <f>IFERROR(__xludf.DUMMYFUNCTION("""COMPUTED_VALUE"""),"")</f>
        <v/>
      </c>
      <c r="P59" s="247" t="str">
        <f t="shared" si="4"/>
        <v/>
      </c>
      <c r="Q59" s="255" t="str">
        <f>IFERROR(__xludf.DUMMYFUNCTION("""COMPUTED_VALUE"""),"")</f>
        <v/>
      </c>
      <c r="R59" s="249" t="str">
        <f>IFERROR(__xludf.DUMMYFUNCTION("""COMPUTED_VALUE"""),"")</f>
        <v/>
      </c>
      <c r="S59" s="250" t="str">
        <f t="shared" si="5"/>
        <v/>
      </c>
      <c r="T59" s="254" t="str">
        <f>IFERROR(__xludf.DUMMYFUNCTION("""COMPUTED_VALUE"""),"")</f>
        <v/>
      </c>
      <c r="U59" s="246" t="str">
        <f>IFERROR(__xludf.DUMMYFUNCTION("""COMPUTED_VALUE"""),"")</f>
        <v/>
      </c>
      <c r="V59" s="247" t="str">
        <f t="shared" si="6"/>
        <v/>
      </c>
      <c r="W59" s="255" t="str">
        <f>IFERROR(__xludf.DUMMYFUNCTION("""COMPUTED_VALUE"""),"")</f>
        <v/>
      </c>
      <c r="X59" s="249" t="str">
        <f>IFERROR(__xludf.DUMMYFUNCTION("""COMPUTED_VALUE"""),"")</f>
        <v/>
      </c>
      <c r="Y59" s="250" t="str">
        <f t="shared" si="7"/>
        <v/>
      </c>
      <c r="AD59" s="316">
        <v>51.08572625774314</v>
      </c>
      <c r="AE59" s="143">
        <v>31.360849753106994</v>
      </c>
      <c r="AJ59" s="143"/>
      <c r="AK59" s="143"/>
      <c r="AL59" s="143"/>
      <c r="AM59" s="143"/>
    </row>
    <row r="60">
      <c r="A60" s="136" t="s">
        <v>18</v>
      </c>
      <c r="B60" s="146">
        <v>46062.0</v>
      </c>
      <c r="C60" s="136" t="s">
        <v>37</v>
      </c>
      <c r="D60" s="136" t="s">
        <v>148</v>
      </c>
      <c r="E60" s="256" t="str">
        <f>IFERROR(__xludf.DUMMYFUNCTION("""COMPUTED_VALUE"""),"")</f>
        <v/>
      </c>
      <c r="F60" s="257" t="str">
        <f>IFERROR(__xludf.DUMMYFUNCTION("""COMPUTED_VALUE"""),"")</f>
        <v/>
      </c>
      <c r="G60" s="247" t="str">
        <f t="shared" si="1"/>
        <v/>
      </c>
      <c r="H60" s="258" t="str">
        <f>IFERROR(__xludf.DUMMYFUNCTION("""COMPUTED_VALUE"""),"")</f>
        <v/>
      </c>
      <c r="I60" s="259" t="str">
        <f>IFERROR(__xludf.DUMMYFUNCTION("""COMPUTED_VALUE"""),"")</f>
        <v/>
      </c>
      <c r="J60" s="250" t="str">
        <f t="shared" si="2"/>
        <v/>
      </c>
      <c r="K60" s="251" t="str">
        <f>IFERROR(__xludf.DUMMYFUNCTION("""COMPUTED_VALUE"""),"")</f>
        <v/>
      </c>
      <c r="L60" s="252" t="str">
        <f>IFERROR(__xludf.DUMMYFUNCTION("""COMPUTED_VALUE"""),"")</f>
        <v/>
      </c>
      <c r="M60" s="253" t="str">
        <f t="shared" si="3"/>
        <v/>
      </c>
      <c r="N60" s="254" t="str">
        <f>IFERROR(__xludf.DUMMYFUNCTION("""COMPUTED_VALUE"""),"")</f>
        <v/>
      </c>
      <c r="O60" s="246" t="str">
        <f>IFERROR(__xludf.DUMMYFUNCTION("""COMPUTED_VALUE"""),"")</f>
        <v/>
      </c>
      <c r="P60" s="247" t="str">
        <f t="shared" si="4"/>
        <v/>
      </c>
      <c r="Q60" s="255" t="str">
        <f>IFERROR(__xludf.DUMMYFUNCTION("""COMPUTED_VALUE"""),"")</f>
        <v/>
      </c>
      <c r="R60" s="249" t="str">
        <f>IFERROR(__xludf.DUMMYFUNCTION("""COMPUTED_VALUE"""),"")</f>
        <v/>
      </c>
      <c r="S60" s="250" t="str">
        <f t="shared" si="5"/>
        <v/>
      </c>
      <c r="T60" s="254" t="str">
        <f>IFERROR(__xludf.DUMMYFUNCTION("""COMPUTED_VALUE"""),"")</f>
        <v/>
      </c>
      <c r="U60" s="246" t="str">
        <f>IFERROR(__xludf.DUMMYFUNCTION("""COMPUTED_VALUE"""),"")</f>
        <v/>
      </c>
      <c r="V60" s="247" t="str">
        <f t="shared" si="6"/>
        <v/>
      </c>
      <c r="W60" s="255" t="str">
        <f>IFERROR(__xludf.DUMMYFUNCTION("""COMPUTED_VALUE"""),"")</f>
        <v/>
      </c>
      <c r="X60" s="249" t="str">
        <f>IFERROR(__xludf.DUMMYFUNCTION("""COMPUTED_VALUE"""),"")</f>
        <v/>
      </c>
      <c r="Y60" s="250" t="str">
        <f t="shared" si="7"/>
        <v/>
      </c>
      <c r="AD60" s="316">
        <v>70.34968269203681</v>
      </c>
      <c r="AE60" s="143">
        <v>54.985701217751675</v>
      </c>
    </row>
    <row r="61">
      <c r="A61" s="136" t="s">
        <v>18</v>
      </c>
      <c r="B61" s="146">
        <v>46062.0</v>
      </c>
      <c r="C61" s="136" t="s">
        <v>37</v>
      </c>
      <c r="D61" s="136" t="s">
        <v>149</v>
      </c>
      <c r="E61" s="256" t="str">
        <f>IFERROR(__xludf.DUMMYFUNCTION("""COMPUTED_VALUE"""),"")</f>
        <v/>
      </c>
      <c r="F61" s="257" t="str">
        <f>IFERROR(__xludf.DUMMYFUNCTION("""COMPUTED_VALUE"""),"")</f>
        <v/>
      </c>
      <c r="G61" s="247" t="str">
        <f t="shared" si="1"/>
        <v/>
      </c>
      <c r="H61" s="258" t="str">
        <f>IFERROR(__xludf.DUMMYFUNCTION("""COMPUTED_VALUE"""),"")</f>
        <v/>
      </c>
      <c r="I61" s="259" t="str">
        <f>IFERROR(__xludf.DUMMYFUNCTION("""COMPUTED_VALUE"""),"")</f>
        <v/>
      </c>
      <c r="J61" s="250" t="str">
        <f t="shared" si="2"/>
        <v/>
      </c>
      <c r="K61" s="251" t="str">
        <f>IFERROR(__xludf.DUMMYFUNCTION("""COMPUTED_VALUE"""),"")</f>
        <v/>
      </c>
      <c r="L61" s="252" t="str">
        <f>IFERROR(__xludf.DUMMYFUNCTION("""COMPUTED_VALUE"""),"")</f>
        <v/>
      </c>
      <c r="M61" s="253" t="str">
        <f t="shared" si="3"/>
        <v/>
      </c>
      <c r="N61" s="254" t="str">
        <f>IFERROR(__xludf.DUMMYFUNCTION("""COMPUTED_VALUE"""),"")</f>
        <v/>
      </c>
      <c r="O61" s="246" t="str">
        <f>IFERROR(__xludf.DUMMYFUNCTION("""COMPUTED_VALUE"""),"")</f>
        <v/>
      </c>
      <c r="P61" s="247" t="str">
        <f t="shared" si="4"/>
        <v/>
      </c>
      <c r="Q61" s="255" t="str">
        <f>IFERROR(__xludf.DUMMYFUNCTION("""COMPUTED_VALUE"""),"")</f>
        <v/>
      </c>
      <c r="R61" s="249" t="str">
        <f>IFERROR(__xludf.DUMMYFUNCTION("""COMPUTED_VALUE"""),"")</f>
        <v/>
      </c>
      <c r="S61" s="250" t="str">
        <f t="shared" si="5"/>
        <v/>
      </c>
      <c r="T61" s="254" t="str">
        <f>IFERROR(__xludf.DUMMYFUNCTION("""COMPUTED_VALUE"""),"")</f>
        <v/>
      </c>
      <c r="U61" s="246" t="str">
        <f>IFERROR(__xludf.DUMMYFUNCTION("""COMPUTED_VALUE"""),"")</f>
        <v/>
      </c>
      <c r="V61" s="247" t="str">
        <f t="shared" si="6"/>
        <v/>
      </c>
      <c r="W61" s="255" t="str">
        <f>IFERROR(__xludf.DUMMYFUNCTION("""COMPUTED_VALUE"""),"")</f>
        <v/>
      </c>
      <c r="X61" s="249" t="str">
        <f>IFERROR(__xludf.DUMMYFUNCTION("""COMPUTED_VALUE"""),"")</f>
        <v/>
      </c>
      <c r="Y61" s="250" t="str">
        <f t="shared" si="7"/>
        <v/>
      </c>
    </row>
    <row r="62">
      <c r="A62" s="136" t="s">
        <v>18</v>
      </c>
      <c r="B62" s="146">
        <v>46062.0</v>
      </c>
      <c r="C62" s="136" t="s">
        <v>37</v>
      </c>
      <c r="D62" s="136" t="s">
        <v>148</v>
      </c>
      <c r="E62" s="256" t="str">
        <f>IFERROR(__xludf.DUMMYFUNCTION("""COMPUTED_VALUE"""),"")</f>
        <v/>
      </c>
      <c r="F62" s="257" t="str">
        <f>IFERROR(__xludf.DUMMYFUNCTION("""COMPUTED_VALUE"""),"")</f>
        <v/>
      </c>
      <c r="G62" s="247" t="str">
        <f t="shared" si="1"/>
        <v/>
      </c>
      <c r="H62" s="258" t="str">
        <f>IFERROR(__xludf.DUMMYFUNCTION("""COMPUTED_VALUE"""),"")</f>
        <v/>
      </c>
      <c r="I62" s="259" t="str">
        <f>IFERROR(__xludf.DUMMYFUNCTION("""COMPUTED_VALUE"""),"")</f>
        <v/>
      </c>
      <c r="J62" s="250" t="str">
        <f t="shared" si="2"/>
        <v/>
      </c>
      <c r="K62" s="251" t="str">
        <f>IFERROR(__xludf.DUMMYFUNCTION("""COMPUTED_VALUE"""),"")</f>
        <v/>
      </c>
      <c r="L62" s="252" t="str">
        <f>IFERROR(__xludf.DUMMYFUNCTION("""COMPUTED_VALUE"""),"")</f>
        <v/>
      </c>
      <c r="M62" s="253" t="str">
        <f t="shared" si="3"/>
        <v/>
      </c>
      <c r="N62" s="254" t="str">
        <f>IFERROR(__xludf.DUMMYFUNCTION("""COMPUTED_VALUE"""),"")</f>
        <v/>
      </c>
      <c r="O62" s="246" t="str">
        <f>IFERROR(__xludf.DUMMYFUNCTION("""COMPUTED_VALUE"""),"")</f>
        <v/>
      </c>
      <c r="P62" s="247" t="str">
        <f t="shared" si="4"/>
        <v/>
      </c>
      <c r="Q62" s="255" t="str">
        <f>IFERROR(__xludf.DUMMYFUNCTION("""COMPUTED_VALUE"""),"")</f>
        <v/>
      </c>
      <c r="R62" s="249" t="str">
        <f>IFERROR(__xludf.DUMMYFUNCTION("""COMPUTED_VALUE"""),"")</f>
        <v/>
      </c>
      <c r="S62" s="250" t="str">
        <f t="shared" si="5"/>
        <v/>
      </c>
      <c r="T62" s="254" t="str">
        <f>IFERROR(__xludf.DUMMYFUNCTION("""COMPUTED_VALUE"""),"")</f>
        <v/>
      </c>
      <c r="U62" s="246" t="str">
        <f>IFERROR(__xludf.DUMMYFUNCTION("""COMPUTED_VALUE"""),"")</f>
        <v/>
      </c>
      <c r="V62" s="247" t="str">
        <f t="shared" si="6"/>
        <v/>
      </c>
      <c r="W62" s="255" t="str">
        <f>IFERROR(__xludf.DUMMYFUNCTION("""COMPUTED_VALUE"""),"")</f>
        <v/>
      </c>
      <c r="X62" s="249" t="str">
        <f>IFERROR(__xludf.DUMMYFUNCTION("""COMPUTED_VALUE"""),"")</f>
        <v/>
      </c>
      <c r="Y62" s="250" t="str">
        <f t="shared" si="7"/>
        <v/>
      </c>
    </row>
    <row r="63">
      <c r="A63" s="136" t="s">
        <v>134</v>
      </c>
      <c r="B63" s="146">
        <v>46062.0</v>
      </c>
      <c r="C63" s="136" t="s">
        <v>37</v>
      </c>
      <c r="D63" s="136" t="s">
        <v>149</v>
      </c>
      <c r="E63" s="256">
        <f>IFERROR(__xludf.DUMMYFUNCTION("""COMPUTED_VALUE"""),117.0)</f>
        <v>117</v>
      </c>
      <c r="F63" s="257">
        <f>IFERROR(__xludf.DUMMYFUNCTION("""COMPUTED_VALUE"""),0.0743055555576575)</f>
        <v>0.07430555556</v>
      </c>
      <c r="G63" s="247">
        <f t="shared" si="1"/>
        <v>65.60747663</v>
      </c>
      <c r="H63" s="258">
        <f>IFERROR(__xludf.DUMMYFUNCTION("""COMPUTED_VALUE"""),208.0)</f>
        <v>208</v>
      </c>
      <c r="I63" s="259">
        <f>IFERROR(__xludf.DUMMYFUNCTION("""COMPUTED_VALUE"""),0.20625000000291038)</f>
        <v>0.20625</v>
      </c>
      <c r="J63" s="250">
        <f t="shared" si="2"/>
        <v>42.02020202</v>
      </c>
      <c r="K63" s="251">
        <f>IFERROR(__xludf.DUMMYFUNCTION("""COMPUTED_VALUE"""),51.0)</f>
        <v>51</v>
      </c>
      <c r="L63" s="252">
        <f>IFERROR(__xludf.DUMMYFUNCTION("""COMPUTED_VALUE"""),0.06527777777955635)</f>
        <v>0.06527777778</v>
      </c>
      <c r="M63" s="253">
        <f t="shared" si="3"/>
        <v>32.55319149</v>
      </c>
      <c r="N63" s="254">
        <f>IFERROR(__xludf.DUMMYFUNCTION("""COMPUTED_VALUE"""),69.0)</f>
        <v>69</v>
      </c>
      <c r="O63" s="246">
        <f>IFERROR(__xludf.DUMMYFUNCTION("""COMPUTED_VALUE"""),0.125)</f>
        <v>0.125</v>
      </c>
      <c r="P63" s="247">
        <f t="shared" si="4"/>
        <v>23</v>
      </c>
      <c r="Q63" s="255">
        <f>IFERROR(__xludf.DUMMYFUNCTION("""COMPUTED_VALUE"""),130.0)</f>
        <v>130</v>
      </c>
      <c r="R63" s="249">
        <f>IFERROR(__xludf.DUMMYFUNCTION("""COMPUTED_VALUE"""),0.16666666666424135)</f>
        <v>0.1666666667</v>
      </c>
      <c r="S63" s="250">
        <f t="shared" si="5"/>
        <v>32.5</v>
      </c>
      <c r="T63" s="254">
        <f>IFERROR(__xludf.DUMMYFUNCTION("""COMPUTED_VALUE"""),186.0)</f>
        <v>186</v>
      </c>
      <c r="U63" s="246">
        <f>IFERROR(__xludf.DUMMYFUNCTION("""COMPUTED_VALUE"""),0.1993055555576575)</f>
        <v>0.1993055556</v>
      </c>
      <c r="V63" s="247">
        <f t="shared" si="6"/>
        <v>38.88501742</v>
      </c>
      <c r="W63" s="255">
        <f>IFERROR(__xludf.DUMMYFUNCTION("""COMPUTED_VALUE"""),338.0)</f>
        <v>338</v>
      </c>
      <c r="X63" s="249">
        <f>IFERROR(__xludf.DUMMYFUNCTION("""COMPUTED_VALUE"""),0.37291666666715173)</f>
        <v>0.3729166667</v>
      </c>
      <c r="Y63" s="250">
        <f t="shared" si="7"/>
        <v>37.76536313</v>
      </c>
    </row>
    <row r="64">
      <c r="A64" s="136" t="s">
        <v>15</v>
      </c>
      <c r="B64" s="146">
        <v>46062.0</v>
      </c>
      <c r="C64" s="136" t="s">
        <v>37</v>
      </c>
      <c r="D64" s="136" t="s">
        <v>148</v>
      </c>
      <c r="E64" s="256" t="str">
        <f>IFERROR(__xludf.DUMMYFUNCTION("""COMPUTED_VALUE"""),"")</f>
        <v/>
      </c>
      <c r="F64" s="257" t="str">
        <f>IFERROR(__xludf.DUMMYFUNCTION("""COMPUTED_VALUE"""),"")</f>
        <v/>
      </c>
      <c r="G64" s="247" t="str">
        <f t="shared" si="1"/>
        <v/>
      </c>
      <c r="H64" s="258" t="str">
        <f>IFERROR(__xludf.DUMMYFUNCTION("""COMPUTED_VALUE"""),"")</f>
        <v/>
      </c>
      <c r="I64" s="259" t="str">
        <f>IFERROR(__xludf.DUMMYFUNCTION("""COMPUTED_VALUE"""),"")</f>
        <v/>
      </c>
      <c r="J64" s="250" t="str">
        <f t="shared" si="2"/>
        <v/>
      </c>
      <c r="K64" s="251" t="str">
        <f>IFERROR(__xludf.DUMMYFUNCTION("""COMPUTED_VALUE"""),"")</f>
        <v/>
      </c>
      <c r="L64" s="252" t="str">
        <f>IFERROR(__xludf.DUMMYFUNCTION("""COMPUTED_VALUE"""),"")</f>
        <v/>
      </c>
      <c r="M64" s="253" t="str">
        <f t="shared" si="3"/>
        <v/>
      </c>
      <c r="N64" s="254" t="str">
        <f>IFERROR(__xludf.DUMMYFUNCTION("""COMPUTED_VALUE"""),"")</f>
        <v/>
      </c>
      <c r="O64" s="246" t="str">
        <f>IFERROR(__xludf.DUMMYFUNCTION("""COMPUTED_VALUE"""),"")</f>
        <v/>
      </c>
      <c r="P64" s="247" t="str">
        <f t="shared" si="4"/>
        <v/>
      </c>
      <c r="Q64" s="255" t="str">
        <f>IFERROR(__xludf.DUMMYFUNCTION("""COMPUTED_VALUE"""),"")</f>
        <v/>
      </c>
      <c r="R64" s="249" t="str">
        <f>IFERROR(__xludf.DUMMYFUNCTION("""COMPUTED_VALUE"""),"")</f>
        <v/>
      </c>
      <c r="S64" s="250" t="str">
        <f t="shared" si="5"/>
        <v/>
      </c>
      <c r="T64" s="254" t="str">
        <f>IFERROR(__xludf.DUMMYFUNCTION("""COMPUTED_VALUE"""),"")</f>
        <v/>
      </c>
      <c r="U64" s="246" t="str">
        <f>IFERROR(__xludf.DUMMYFUNCTION("""COMPUTED_VALUE"""),"")</f>
        <v/>
      </c>
      <c r="V64" s="247" t="str">
        <f t="shared" si="6"/>
        <v/>
      </c>
      <c r="W64" s="255" t="str">
        <f>IFERROR(__xludf.DUMMYFUNCTION("""COMPUTED_VALUE"""),"")</f>
        <v/>
      </c>
      <c r="X64" s="249" t="str">
        <f>IFERROR(__xludf.DUMMYFUNCTION("""COMPUTED_VALUE"""),"")</f>
        <v/>
      </c>
      <c r="Y64" s="250" t="str">
        <f t="shared" si="7"/>
        <v/>
      </c>
    </row>
    <row r="65">
      <c r="A65" s="136" t="s">
        <v>134</v>
      </c>
      <c r="B65" s="146">
        <v>46063.0</v>
      </c>
      <c r="C65" s="136" t="s">
        <v>41</v>
      </c>
      <c r="D65" s="136" t="s">
        <v>149</v>
      </c>
      <c r="E65" s="256" t="str">
        <f>IFERROR(__xludf.DUMMYFUNCTION("""COMPUTED_VALUE"""),"")</f>
        <v/>
      </c>
      <c r="F65" s="257" t="str">
        <f>IFERROR(__xludf.DUMMYFUNCTION("""COMPUTED_VALUE"""),"")</f>
        <v/>
      </c>
      <c r="G65" s="247" t="str">
        <f t="shared" si="1"/>
        <v/>
      </c>
      <c r="H65" s="258" t="str">
        <f>IFERROR(__xludf.DUMMYFUNCTION("""COMPUTED_VALUE"""),"")</f>
        <v/>
      </c>
      <c r="I65" s="259" t="str">
        <f>IFERROR(__xludf.DUMMYFUNCTION("""COMPUTED_VALUE"""),"")</f>
        <v/>
      </c>
      <c r="J65" s="250" t="str">
        <f t="shared" si="2"/>
        <v/>
      </c>
      <c r="K65" s="251" t="str">
        <f>IFERROR(__xludf.DUMMYFUNCTION("""COMPUTED_VALUE"""),"")</f>
        <v/>
      </c>
      <c r="L65" s="252" t="str">
        <f>IFERROR(__xludf.DUMMYFUNCTION("""COMPUTED_VALUE"""),"")</f>
        <v/>
      </c>
      <c r="M65" s="253" t="str">
        <f t="shared" si="3"/>
        <v/>
      </c>
      <c r="N65" s="254" t="str">
        <f>IFERROR(__xludf.DUMMYFUNCTION("""COMPUTED_VALUE"""),"")</f>
        <v/>
      </c>
      <c r="O65" s="246" t="str">
        <f>IFERROR(__xludf.DUMMYFUNCTION("""COMPUTED_VALUE"""),"")</f>
        <v/>
      </c>
      <c r="P65" s="247" t="str">
        <f t="shared" si="4"/>
        <v/>
      </c>
      <c r="Q65" s="255" t="str">
        <f>IFERROR(__xludf.DUMMYFUNCTION("""COMPUTED_VALUE"""),"")</f>
        <v/>
      </c>
      <c r="R65" s="249" t="str">
        <f>IFERROR(__xludf.DUMMYFUNCTION("""COMPUTED_VALUE"""),"")</f>
        <v/>
      </c>
      <c r="S65" s="250" t="str">
        <f t="shared" si="5"/>
        <v/>
      </c>
      <c r="T65" s="254" t="str">
        <f>IFERROR(__xludf.DUMMYFUNCTION("""COMPUTED_VALUE"""),"")</f>
        <v/>
      </c>
      <c r="U65" s="246" t="str">
        <f>IFERROR(__xludf.DUMMYFUNCTION("""COMPUTED_VALUE"""),"")</f>
        <v/>
      </c>
      <c r="V65" s="247" t="str">
        <f t="shared" si="6"/>
        <v/>
      </c>
      <c r="W65" s="255" t="str">
        <f>IFERROR(__xludf.DUMMYFUNCTION("""COMPUTED_VALUE"""),"")</f>
        <v/>
      </c>
      <c r="X65" s="249" t="str">
        <f>IFERROR(__xludf.DUMMYFUNCTION("""COMPUTED_VALUE"""),"")</f>
        <v/>
      </c>
      <c r="Y65" s="250" t="str">
        <f t="shared" si="7"/>
        <v/>
      </c>
    </row>
    <row r="66">
      <c r="A66" s="136" t="s">
        <v>15</v>
      </c>
      <c r="B66" s="146">
        <v>46063.0</v>
      </c>
      <c r="C66" s="136" t="s">
        <v>41</v>
      </c>
      <c r="D66" s="136" t="s">
        <v>148</v>
      </c>
      <c r="E66" s="256" t="str">
        <f>IFERROR(__xludf.DUMMYFUNCTION("""COMPUTED_VALUE"""),"")</f>
        <v/>
      </c>
      <c r="F66" s="257" t="str">
        <f>IFERROR(__xludf.DUMMYFUNCTION("""COMPUTED_VALUE"""),"")</f>
        <v/>
      </c>
      <c r="G66" s="247" t="str">
        <f t="shared" si="1"/>
        <v/>
      </c>
      <c r="H66" s="258" t="str">
        <f>IFERROR(__xludf.DUMMYFUNCTION("""COMPUTED_VALUE"""),"")</f>
        <v/>
      </c>
      <c r="I66" s="259" t="str">
        <f>IFERROR(__xludf.DUMMYFUNCTION("""COMPUTED_VALUE"""),"")</f>
        <v/>
      </c>
      <c r="J66" s="250" t="str">
        <f t="shared" si="2"/>
        <v/>
      </c>
      <c r="K66" s="251" t="str">
        <f>IFERROR(__xludf.DUMMYFUNCTION("""COMPUTED_VALUE"""),"")</f>
        <v/>
      </c>
      <c r="L66" s="252" t="str">
        <f>IFERROR(__xludf.DUMMYFUNCTION("""COMPUTED_VALUE"""),"")</f>
        <v/>
      </c>
      <c r="M66" s="253" t="str">
        <f t="shared" si="3"/>
        <v/>
      </c>
      <c r="N66" s="254" t="str">
        <f>IFERROR(__xludf.DUMMYFUNCTION("""COMPUTED_VALUE"""),"")</f>
        <v/>
      </c>
      <c r="O66" s="246" t="str">
        <f>IFERROR(__xludf.DUMMYFUNCTION("""COMPUTED_VALUE"""),"")</f>
        <v/>
      </c>
      <c r="P66" s="247" t="str">
        <f t="shared" si="4"/>
        <v/>
      </c>
      <c r="Q66" s="255" t="str">
        <f>IFERROR(__xludf.DUMMYFUNCTION("""COMPUTED_VALUE"""),"")</f>
        <v/>
      </c>
      <c r="R66" s="249" t="str">
        <f>IFERROR(__xludf.DUMMYFUNCTION("""COMPUTED_VALUE"""),"")</f>
        <v/>
      </c>
      <c r="S66" s="250" t="str">
        <f t="shared" si="5"/>
        <v/>
      </c>
      <c r="T66" s="254" t="str">
        <f>IFERROR(__xludf.DUMMYFUNCTION("""COMPUTED_VALUE"""),"")</f>
        <v/>
      </c>
      <c r="U66" s="246" t="str">
        <f>IFERROR(__xludf.DUMMYFUNCTION("""COMPUTED_VALUE"""),"")</f>
        <v/>
      </c>
      <c r="V66" s="247" t="str">
        <f t="shared" si="6"/>
        <v/>
      </c>
      <c r="W66" s="255" t="str">
        <f>IFERROR(__xludf.DUMMYFUNCTION("""COMPUTED_VALUE"""),"")</f>
        <v/>
      </c>
      <c r="X66" s="249" t="str">
        <f>IFERROR(__xludf.DUMMYFUNCTION("""COMPUTED_VALUE"""),"")</f>
        <v/>
      </c>
      <c r="Y66" s="250" t="str">
        <f t="shared" si="7"/>
        <v/>
      </c>
    </row>
    <row r="67">
      <c r="A67" s="136" t="s">
        <v>15</v>
      </c>
      <c r="B67" s="146">
        <v>46063.0</v>
      </c>
      <c r="C67" s="136" t="s">
        <v>41</v>
      </c>
      <c r="D67" s="136" t="s">
        <v>148</v>
      </c>
      <c r="E67" s="256" t="str">
        <f>IFERROR(__xludf.DUMMYFUNCTION("""COMPUTED_VALUE"""),"")</f>
        <v/>
      </c>
      <c r="F67" s="257" t="str">
        <f>IFERROR(__xludf.DUMMYFUNCTION("""COMPUTED_VALUE"""),"")</f>
        <v/>
      </c>
      <c r="G67" s="247" t="str">
        <f t="shared" si="1"/>
        <v/>
      </c>
      <c r="H67" s="258" t="str">
        <f>IFERROR(__xludf.DUMMYFUNCTION("""COMPUTED_VALUE"""),"")</f>
        <v/>
      </c>
      <c r="I67" s="259" t="str">
        <f>IFERROR(__xludf.DUMMYFUNCTION("""COMPUTED_VALUE"""),"")</f>
        <v/>
      </c>
      <c r="J67" s="250" t="str">
        <f t="shared" si="2"/>
        <v/>
      </c>
      <c r="K67" s="251" t="str">
        <f>IFERROR(__xludf.DUMMYFUNCTION("""COMPUTED_VALUE"""),"")</f>
        <v/>
      </c>
      <c r="L67" s="252" t="str">
        <f>IFERROR(__xludf.DUMMYFUNCTION("""COMPUTED_VALUE"""),"")</f>
        <v/>
      </c>
      <c r="M67" s="253" t="str">
        <f t="shared" si="3"/>
        <v/>
      </c>
      <c r="N67" s="254" t="str">
        <f>IFERROR(__xludf.DUMMYFUNCTION("""COMPUTED_VALUE"""),"")</f>
        <v/>
      </c>
      <c r="O67" s="246" t="str">
        <f>IFERROR(__xludf.DUMMYFUNCTION("""COMPUTED_VALUE"""),"")</f>
        <v/>
      </c>
      <c r="P67" s="247" t="str">
        <f t="shared" si="4"/>
        <v/>
      </c>
      <c r="Q67" s="255" t="str">
        <f>IFERROR(__xludf.DUMMYFUNCTION("""COMPUTED_VALUE"""),"")</f>
        <v/>
      </c>
      <c r="R67" s="249" t="str">
        <f>IFERROR(__xludf.DUMMYFUNCTION("""COMPUTED_VALUE"""),"")</f>
        <v/>
      </c>
      <c r="S67" s="250" t="str">
        <f t="shared" si="5"/>
        <v/>
      </c>
      <c r="T67" s="254" t="str">
        <f>IFERROR(__xludf.DUMMYFUNCTION("""COMPUTED_VALUE"""),"")</f>
        <v/>
      </c>
      <c r="U67" s="246" t="str">
        <f>IFERROR(__xludf.DUMMYFUNCTION("""COMPUTED_VALUE"""),"")</f>
        <v/>
      </c>
      <c r="V67" s="247" t="str">
        <f t="shared" si="6"/>
        <v/>
      </c>
      <c r="W67" s="255" t="str">
        <f>IFERROR(__xludf.DUMMYFUNCTION("""COMPUTED_VALUE"""),"")</f>
        <v/>
      </c>
      <c r="X67" s="249" t="str">
        <f>IFERROR(__xludf.DUMMYFUNCTION("""COMPUTED_VALUE"""),"")</f>
        <v/>
      </c>
      <c r="Y67" s="250" t="str">
        <f t="shared" si="7"/>
        <v/>
      </c>
    </row>
    <row r="68">
      <c r="A68" s="136" t="s">
        <v>15</v>
      </c>
      <c r="B68" s="146">
        <v>46063.0</v>
      </c>
      <c r="C68" s="136" t="s">
        <v>41</v>
      </c>
      <c r="D68" s="136" t="s">
        <v>149</v>
      </c>
      <c r="E68" s="256" t="str">
        <f>IFERROR(__xludf.DUMMYFUNCTION("""COMPUTED_VALUE"""),"")</f>
        <v/>
      </c>
      <c r="F68" s="257" t="str">
        <f>IFERROR(__xludf.DUMMYFUNCTION("""COMPUTED_VALUE"""),"")</f>
        <v/>
      </c>
      <c r="G68" s="247" t="str">
        <f t="shared" si="1"/>
        <v/>
      </c>
      <c r="H68" s="258" t="str">
        <f>IFERROR(__xludf.DUMMYFUNCTION("""COMPUTED_VALUE"""),"")</f>
        <v/>
      </c>
      <c r="I68" s="259" t="str">
        <f>IFERROR(__xludf.DUMMYFUNCTION("""COMPUTED_VALUE"""),"")</f>
        <v/>
      </c>
      <c r="J68" s="250" t="str">
        <f t="shared" si="2"/>
        <v/>
      </c>
      <c r="K68" s="251" t="str">
        <f>IFERROR(__xludf.DUMMYFUNCTION("""COMPUTED_VALUE"""),"")</f>
        <v/>
      </c>
      <c r="L68" s="252" t="str">
        <f>IFERROR(__xludf.DUMMYFUNCTION("""COMPUTED_VALUE"""),"")</f>
        <v/>
      </c>
      <c r="M68" s="253" t="str">
        <f t="shared" si="3"/>
        <v/>
      </c>
      <c r="N68" s="254" t="str">
        <f>IFERROR(__xludf.DUMMYFUNCTION("""COMPUTED_VALUE"""),"")</f>
        <v/>
      </c>
      <c r="O68" s="246" t="str">
        <f>IFERROR(__xludf.DUMMYFUNCTION("""COMPUTED_VALUE"""),"")</f>
        <v/>
      </c>
      <c r="P68" s="247" t="str">
        <f t="shared" si="4"/>
        <v/>
      </c>
      <c r="Q68" s="255" t="str">
        <f>IFERROR(__xludf.DUMMYFUNCTION("""COMPUTED_VALUE"""),"")</f>
        <v/>
      </c>
      <c r="R68" s="249" t="str">
        <f>IFERROR(__xludf.DUMMYFUNCTION("""COMPUTED_VALUE"""),"")</f>
        <v/>
      </c>
      <c r="S68" s="250" t="str">
        <f t="shared" si="5"/>
        <v/>
      </c>
      <c r="T68" s="254" t="str">
        <f>IFERROR(__xludf.DUMMYFUNCTION("""COMPUTED_VALUE"""),"")</f>
        <v/>
      </c>
      <c r="U68" s="246" t="str">
        <f>IFERROR(__xludf.DUMMYFUNCTION("""COMPUTED_VALUE"""),"")</f>
        <v/>
      </c>
      <c r="V68" s="247" t="str">
        <f t="shared" si="6"/>
        <v/>
      </c>
      <c r="W68" s="255" t="str">
        <f>IFERROR(__xludf.DUMMYFUNCTION("""COMPUTED_VALUE"""),"")</f>
        <v/>
      </c>
      <c r="X68" s="249" t="str">
        <f>IFERROR(__xludf.DUMMYFUNCTION("""COMPUTED_VALUE"""),"")</f>
        <v/>
      </c>
      <c r="Y68" s="250" t="str">
        <f t="shared" si="7"/>
        <v/>
      </c>
    </row>
    <row r="69">
      <c r="A69" s="136" t="s">
        <v>18</v>
      </c>
      <c r="B69" s="146">
        <v>46063.0</v>
      </c>
      <c r="C69" s="136" t="s">
        <v>41</v>
      </c>
      <c r="D69" s="136" t="s">
        <v>148</v>
      </c>
      <c r="E69" s="256">
        <f>IFERROR(__xludf.DUMMYFUNCTION("""COMPUTED_VALUE"""),182.0)</f>
        <v>182</v>
      </c>
      <c r="F69" s="257">
        <f>IFERROR(__xludf.DUMMYFUNCTION("""COMPUTED_VALUE"""),0.1270833333344652)</f>
        <v>0.1270833333</v>
      </c>
      <c r="G69" s="247">
        <f t="shared" si="1"/>
        <v>59.67213115</v>
      </c>
      <c r="H69" s="258">
        <f>IFERROR(__xludf.DUMMYFUNCTION("""COMPUTED_VALUE"""),123.0)</f>
        <v>123</v>
      </c>
      <c r="I69" s="259">
        <f>IFERROR(__xludf.DUMMYFUNCTION("""COMPUTED_VALUE"""),0.11180555555620231)</f>
        <v>0.1118055556</v>
      </c>
      <c r="J69" s="250">
        <f t="shared" si="2"/>
        <v>45.83850932</v>
      </c>
      <c r="K69" s="251">
        <f>IFERROR(__xludf.DUMMYFUNCTION("""COMPUTED_VALUE"""),0.0)</f>
        <v>0</v>
      </c>
      <c r="L69" s="252">
        <f>IFERROR(__xludf.DUMMYFUNCTION("""COMPUTED_VALUE"""),0.0)</f>
        <v>0</v>
      </c>
      <c r="M69" s="253" t="str">
        <f t="shared" si="3"/>
        <v/>
      </c>
      <c r="N69" s="254">
        <f>IFERROR(__xludf.DUMMYFUNCTION("""COMPUTED_VALUE"""),40.0)</f>
        <v>40</v>
      </c>
      <c r="O69" s="246">
        <f>IFERROR(__xludf.DUMMYFUNCTION("""COMPUTED_VALUE"""),0.13194444444525288)</f>
        <v>0.1319444444</v>
      </c>
      <c r="P69" s="247">
        <f t="shared" si="4"/>
        <v>12.63157895</v>
      </c>
      <c r="Q69" s="255">
        <f>IFERROR(__xludf.DUMMYFUNCTION("""COMPUTED_VALUE"""),117.0)</f>
        <v>117</v>
      </c>
      <c r="R69" s="249">
        <f>IFERROR(__xludf.DUMMYFUNCTION("""COMPUTED_VALUE"""),0.10416666666424135)</f>
        <v>0.1041666667</v>
      </c>
      <c r="S69" s="250">
        <f t="shared" si="5"/>
        <v>46.8</v>
      </c>
      <c r="T69" s="254">
        <f>IFERROR(__xludf.DUMMYFUNCTION("""COMPUTED_VALUE"""),222.0)</f>
        <v>222</v>
      </c>
      <c r="U69" s="246">
        <f>IFERROR(__xludf.DUMMYFUNCTION("""COMPUTED_VALUE"""),0.2590277777797181)</f>
        <v>0.2590277778</v>
      </c>
      <c r="V69" s="247">
        <f t="shared" si="6"/>
        <v>35.71045576</v>
      </c>
      <c r="W69" s="255">
        <f>IFERROR(__xludf.DUMMYFUNCTION("""COMPUTED_VALUE"""),240.0)</f>
        <v>240</v>
      </c>
      <c r="X69" s="249">
        <f>IFERROR(__xludf.DUMMYFUNCTION("""COMPUTED_VALUE"""),0.21597222222044365)</f>
        <v>0.2159722222</v>
      </c>
      <c r="Y69" s="250">
        <f t="shared" si="7"/>
        <v>46.3022508</v>
      </c>
    </row>
    <row r="70">
      <c r="A70" s="136" t="s">
        <v>18</v>
      </c>
      <c r="B70" s="146">
        <v>46063.0</v>
      </c>
      <c r="C70" s="136" t="s">
        <v>41</v>
      </c>
      <c r="D70" s="136" t="s">
        <v>149</v>
      </c>
      <c r="E70" s="256" t="str">
        <f>IFERROR(__xludf.DUMMYFUNCTION("""COMPUTED_VALUE"""),"")</f>
        <v/>
      </c>
      <c r="F70" s="257" t="str">
        <f>IFERROR(__xludf.DUMMYFUNCTION("""COMPUTED_VALUE"""),"")</f>
        <v/>
      </c>
      <c r="G70" s="247" t="str">
        <f t="shared" si="1"/>
        <v/>
      </c>
      <c r="H70" s="258" t="str">
        <f>IFERROR(__xludf.DUMMYFUNCTION("""COMPUTED_VALUE"""),"")</f>
        <v/>
      </c>
      <c r="I70" s="259" t="str">
        <f>IFERROR(__xludf.DUMMYFUNCTION("""COMPUTED_VALUE"""),"")</f>
        <v/>
      </c>
      <c r="J70" s="250" t="str">
        <f t="shared" si="2"/>
        <v/>
      </c>
      <c r="K70" s="251" t="str">
        <f>IFERROR(__xludf.DUMMYFUNCTION("""COMPUTED_VALUE"""),"")</f>
        <v/>
      </c>
      <c r="L70" s="252" t="str">
        <f>IFERROR(__xludf.DUMMYFUNCTION("""COMPUTED_VALUE"""),"")</f>
        <v/>
      </c>
      <c r="M70" s="253" t="str">
        <f t="shared" si="3"/>
        <v/>
      </c>
      <c r="N70" s="254" t="str">
        <f>IFERROR(__xludf.DUMMYFUNCTION("""COMPUTED_VALUE"""),"")</f>
        <v/>
      </c>
      <c r="O70" s="246" t="str">
        <f>IFERROR(__xludf.DUMMYFUNCTION("""COMPUTED_VALUE"""),"")</f>
        <v/>
      </c>
      <c r="P70" s="247" t="str">
        <f t="shared" si="4"/>
        <v/>
      </c>
      <c r="Q70" s="255" t="str">
        <f>IFERROR(__xludf.DUMMYFUNCTION("""COMPUTED_VALUE"""),"")</f>
        <v/>
      </c>
      <c r="R70" s="249" t="str">
        <f>IFERROR(__xludf.DUMMYFUNCTION("""COMPUTED_VALUE"""),"")</f>
        <v/>
      </c>
      <c r="S70" s="250" t="str">
        <f t="shared" si="5"/>
        <v/>
      </c>
      <c r="T70" s="254" t="str">
        <f>IFERROR(__xludf.DUMMYFUNCTION("""COMPUTED_VALUE"""),"")</f>
        <v/>
      </c>
      <c r="U70" s="246" t="str">
        <f>IFERROR(__xludf.DUMMYFUNCTION("""COMPUTED_VALUE"""),"")</f>
        <v/>
      </c>
      <c r="V70" s="247" t="str">
        <f t="shared" si="6"/>
        <v/>
      </c>
      <c r="W70" s="255" t="str">
        <f>IFERROR(__xludf.DUMMYFUNCTION("""COMPUTED_VALUE"""),"")</f>
        <v/>
      </c>
      <c r="X70" s="249" t="str">
        <f>IFERROR(__xludf.DUMMYFUNCTION("""COMPUTED_VALUE"""),"")</f>
        <v/>
      </c>
      <c r="Y70" s="250" t="str">
        <f t="shared" si="7"/>
        <v/>
      </c>
    </row>
    <row r="71">
      <c r="A71" s="136" t="s">
        <v>15</v>
      </c>
      <c r="B71" s="146">
        <v>46064.0</v>
      </c>
      <c r="C71" s="136" t="s">
        <v>45</v>
      </c>
      <c r="D71" s="136" t="s">
        <v>148</v>
      </c>
      <c r="E71" s="256" t="str">
        <f>IFERROR(__xludf.DUMMYFUNCTION("""COMPUTED_VALUE"""),"")</f>
        <v/>
      </c>
      <c r="F71" s="257" t="str">
        <f>IFERROR(__xludf.DUMMYFUNCTION("""COMPUTED_VALUE"""),"")</f>
        <v/>
      </c>
      <c r="G71" s="247" t="str">
        <f t="shared" si="1"/>
        <v/>
      </c>
      <c r="H71" s="258" t="str">
        <f>IFERROR(__xludf.DUMMYFUNCTION("""COMPUTED_VALUE"""),"")</f>
        <v/>
      </c>
      <c r="I71" s="259" t="str">
        <f>IFERROR(__xludf.DUMMYFUNCTION("""COMPUTED_VALUE"""),"")</f>
        <v/>
      </c>
      <c r="J71" s="250" t="str">
        <f t="shared" si="2"/>
        <v/>
      </c>
      <c r="K71" s="251" t="str">
        <f>IFERROR(__xludf.DUMMYFUNCTION("""COMPUTED_VALUE"""),"")</f>
        <v/>
      </c>
      <c r="L71" s="252" t="str">
        <f>IFERROR(__xludf.DUMMYFUNCTION("""COMPUTED_VALUE"""),"")</f>
        <v/>
      </c>
      <c r="M71" s="253" t="str">
        <f t="shared" si="3"/>
        <v/>
      </c>
      <c r="N71" s="254" t="str">
        <f>IFERROR(__xludf.DUMMYFUNCTION("""COMPUTED_VALUE"""),"")</f>
        <v/>
      </c>
      <c r="O71" s="246" t="str">
        <f>IFERROR(__xludf.DUMMYFUNCTION("""COMPUTED_VALUE"""),"")</f>
        <v/>
      </c>
      <c r="P71" s="247" t="str">
        <f t="shared" si="4"/>
        <v/>
      </c>
      <c r="Q71" s="255" t="str">
        <f>IFERROR(__xludf.DUMMYFUNCTION("""COMPUTED_VALUE"""),"")</f>
        <v/>
      </c>
      <c r="R71" s="249" t="str">
        <f>IFERROR(__xludf.DUMMYFUNCTION("""COMPUTED_VALUE"""),"")</f>
        <v/>
      </c>
      <c r="S71" s="250" t="str">
        <f t="shared" si="5"/>
        <v/>
      </c>
      <c r="T71" s="254" t="str">
        <f>IFERROR(__xludf.DUMMYFUNCTION("""COMPUTED_VALUE"""),"")</f>
        <v/>
      </c>
      <c r="U71" s="246" t="str">
        <f>IFERROR(__xludf.DUMMYFUNCTION("""COMPUTED_VALUE"""),"")</f>
        <v/>
      </c>
      <c r="V71" s="247" t="str">
        <f t="shared" si="6"/>
        <v/>
      </c>
      <c r="W71" s="255" t="str">
        <f>IFERROR(__xludf.DUMMYFUNCTION("""COMPUTED_VALUE"""),"")</f>
        <v/>
      </c>
      <c r="X71" s="249" t="str">
        <f>IFERROR(__xludf.DUMMYFUNCTION("""COMPUTED_VALUE"""),"")</f>
        <v/>
      </c>
      <c r="Y71" s="250" t="str">
        <f t="shared" si="7"/>
        <v/>
      </c>
    </row>
    <row r="72">
      <c r="A72" s="136" t="s">
        <v>18</v>
      </c>
      <c r="B72" s="146">
        <v>46064.0</v>
      </c>
      <c r="C72" s="136" t="s">
        <v>45</v>
      </c>
      <c r="D72" s="136" t="s">
        <v>148</v>
      </c>
      <c r="E72" s="256" t="str">
        <f>IFERROR(__xludf.DUMMYFUNCTION("""COMPUTED_VALUE"""),"")</f>
        <v/>
      </c>
      <c r="F72" s="257" t="str">
        <f>IFERROR(__xludf.DUMMYFUNCTION("""COMPUTED_VALUE"""),"")</f>
        <v/>
      </c>
      <c r="G72" s="247" t="str">
        <f t="shared" si="1"/>
        <v/>
      </c>
      <c r="H72" s="258" t="str">
        <f>IFERROR(__xludf.DUMMYFUNCTION("""COMPUTED_VALUE"""),"")</f>
        <v/>
      </c>
      <c r="I72" s="259" t="str">
        <f>IFERROR(__xludf.DUMMYFUNCTION("""COMPUTED_VALUE"""),"")</f>
        <v/>
      </c>
      <c r="J72" s="250" t="str">
        <f t="shared" si="2"/>
        <v/>
      </c>
      <c r="K72" s="251" t="str">
        <f>IFERROR(__xludf.DUMMYFUNCTION("""COMPUTED_VALUE"""),"")</f>
        <v/>
      </c>
      <c r="L72" s="252" t="str">
        <f>IFERROR(__xludf.DUMMYFUNCTION("""COMPUTED_VALUE"""),"")</f>
        <v/>
      </c>
      <c r="M72" s="253" t="str">
        <f t="shared" si="3"/>
        <v/>
      </c>
      <c r="N72" s="254" t="str">
        <f>IFERROR(__xludf.DUMMYFUNCTION("""COMPUTED_VALUE"""),"")</f>
        <v/>
      </c>
      <c r="O72" s="246" t="str">
        <f>IFERROR(__xludf.DUMMYFUNCTION("""COMPUTED_VALUE"""),"")</f>
        <v/>
      </c>
      <c r="P72" s="247" t="str">
        <f t="shared" si="4"/>
        <v/>
      </c>
      <c r="Q72" s="255" t="str">
        <f>IFERROR(__xludf.DUMMYFUNCTION("""COMPUTED_VALUE"""),"")</f>
        <v/>
      </c>
      <c r="R72" s="249" t="str">
        <f>IFERROR(__xludf.DUMMYFUNCTION("""COMPUTED_VALUE"""),"")</f>
        <v/>
      </c>
      <c r="S72" s="250" t="str">
        <f t="shared" si="5"/>
        <v/>
      </c>
      <c r="T72" s="254" t="str">
        <f>IFERROR(__xludf.DUMMYFUNCTION("""COMPUTED_VALUE"""),"")</f>
        <v/>
      </c>
      <c r="U72" s="246" t="str">
        <f>IFERROR(__xludf.DUMMYFUNCTION("""COMPUTED_VALUE"""),"")</f>
        <v/>
      </c>
      <c r="V72" s="247" t="str">
        <f t="shared" si="6"/>
        <v/>
      </c>
      <c r="W72" s="255" t="str">
        <f>IFERROR(__xludf.DUMMYFUNCTION("""COMPUTED_VALUE"""),"")</f>
        <v/>
      </c>
      <c r="X72" s="249" t="str">
        <f>IFERROR(__xludf.DUMMYFUNCTION("""COMPUTED_VALUE"""),"")</f>
        <v/>
      </c>
      <c r="Y72" s="250" t="str">
        <f t="shared" si="7"/>
        <v/>
      </c>
    </row>
    <row r="73">
      <c r="A73" s="136" t="s">
        <v>18</v>
      </c>
      <c r="B73" s="146">
        <v>46064.0</v>
      </c>
      <c r="C73" s="136" t="s">
        <v>45</v>
      </c>
      <c r="D73" s="136" t="s">
        <v>148</v>
      </c>
      <c r="E73" s="256" t="str">
        <f>IFERROR(__xludf.DUMMYFUNCTION("""COMPUTED_VALUE"""),"")</f>
        <v/>
      </c>
      <c r="F73" s="257" t="str">
        <f>IFERROR(__xludf.DUMMYFUNCTION("""COMPUTED_VALUE"""),"")</f>
        <v/>
      </c>
      <c r="G73" s="247" t="str">
        <f t="shared" si="1"/>
        <v/>
      </c>
      <c r="H73" s="258" t="str">
        <f>IFERROR(__xludf.DUMMYFUNCTION("""COMPUTED_VALUE"""),"")</f>
        <v/>
      </c>
      <c r="I73" s="259" t="str">
        <f>IFERROR(__xludf.DUMMYFUNCTION("""COMPUTED_VALUE"""),"")</f>
        <v/>
      </c>
      <c r="J73" s="250" t="str">
        <f t="shared" si="2"/>
        <v/>
      </c>
      <c r="K73" s="251" t="str">
        <f>IFERROR(__xludf.DUMMYFUNCTION("""COMPUTED_VALUE"""),"")</f>
        <v/>
      </c>
      <c r="L73" s="252" t="str">
        <f>IFERROR(__xludf.DUMMYFUNCTION("""COMPUTED_VALUE"""),"")</f>
        <v/>
      </c>
      <c r="M73" s="253" t="str">
        <f t="shared" si="3"/>
        <v/>
      </c>
      <c r="N73" s="254" t="str">
        <f>IFERROR(__xludf.DUMMYFUNCTION("""COMPUTED_VALUE"""),"")</f>
        <v/>
      </c>
      <c r="O73" s="246" t="str">
        <f>IFERROR(__xludf.DUMMYFUNCTION("""COMPUTED_VALUE"""),"")</f>
        <v/>
      </c>
      <c r="P73" s="247" t="str">
        <f t="shared" si="4"/>
        <v/>
      </c>
      <c r="Q73" s="255" t="str">
        <f>IFERROR(__xludf.DUMMYFUNCTION("""COMPUTED_VALUE"""),"")</f>
        <v/>
      </c>
      <c r="R73" s="249" t="str">
        <f>IFERROR(__xludf.DUMMYFUNCTION("""COMPUTED_VALUE"""),"")</f>
        <v/>
      </c>
      <c r="S73" s="250" t="str">
        <f t="shared" si="5"/>
        <v/>
      </c>
      <c r="T73" s="254" t="str">
        <f>IFERROR(__xludf.DUMMYFUNCTION("""COMPUTED_VALUE"""),"")</f>
        <v/>
      </c>
      <c r="U73" s="246" t="str">
        <f>IFERROR(__xludf.DUMMYFUNCTION("""COMPUTED_VALUE"""),"")</f>
        <v/>
      </c>
      <c r="V73" s="247" t="str">
        <f t="shared" si="6"/>
        <v/>
      </c>
      <c r="W73" s="255" t="str">
        <f>IFERROR(__xludf.DUMMYFUNCTION("""COMPUTED_VALUE"""),"")</f>
        <v/>
      </c>
      <c r="X73" s="249" t="str">
        <f>IFERROR(__xludf.DUMMYFUNCTION("""COMPUTED_VALUE"""),"")</f>
        <v/>
      </c>
      <c r="Y73" s="250" t="str">
        <f t="shared" si="7"/>
        <v/>
      </c>
    </row>
    <row r="74">
      <c r="A74" s="136" t="s">
        <v>18</v>
      </c>
      <c r="B74" s="146">
        <v>46064.0</v>
      </c>
      <c r="C74" s="136" t="s">
        <v>45</v>
      </c>
      <c r="D74" s="136" t="s">
        <v>149</v>
      </c>
      <c r="E74" s="256" t="str">
        <f>IFERROR(__xludf.DUMMYFUNCTION("""COMPUTED_VALUE"""),"")</f>
        <v/>
      </c>
      <c r="F74" s="257" t="str">
        <f>IFERROR(__xludf.DUMMYFUNCTION("""COMPUTED_VALUE"""),"")</f>
        <v/>
      </c>
      <c r="G74" s="247" t="str">
        <f t="shared" si="1"/>
        <v/>
      </c>
      <c r="H74" s="258" t="str">
        <f>IFERROR(__xludf.DUMMYFUNCTION("""COMPUTED_VALUE"""),"")</f>
        <v/>
      </c>
      <c r="I74" s="259" t="str">
        <f>IFERROR(__xludf.DUMMYFUNCTION("""COMPUTED_VALUE"""),"")</f>
        <v/>
      </c>
      <c r="J74" s="250" t="str">
        <f t="shared" si="2"/>
        <v/>
      </c>
      <c r="K74" s="251" t="str">
        <f>IFERROR(__xludf.DUMMYFUNCTION("""COMPUTED_VALUE"""),"")</f>
        <v/>
      </c>
      <c r="L74" s="252" t="str">
        <f>IFERROR(__xludf.DUMMYFUNCTION("""COMPUTED_VALUE"""),"")</f>
        <v/>
      </c>
      <c r="M74" s="253" t="str">
        <f t="shared" si="3"/>
        <v/>
      </c>
      <c r="N74" s="254" t="str">
        <f>IFERROR(__xludf.DUMMYFUNCTION("""COMPUTED_VALUE"""),"")</f>
        <v/>
      </c>
      <c r="O74" s="246" t="str">
        <f>IFERROR(__xludf.DUMMYFUNCTION("""COMPUTED_VALUE"""),"")</f>
        <v/>
      </c>
      <c r="P74" s="247" t="str">
        <f t="shared" si="4"/>
        <v/>
      </c>
      <c r="Q74" s="255" t="str">
        <f>IFERROR(__xludf.DUMMYFUNCTION("""COMPUTED_VALUE"""),"")</f>
        <v/>
      </c>
      <c r="R74" s="249" t="str">
        <f>IFERROR(__xludf.DUMMYFUNCTION("""COMPUTED_VALUE"""),"")</f>
        <v/>
      </c>
      <c r="S74" s="250" t="str">
        <f t="shared" si="5"/>
        <v/>
      </c>
      <c r="T74" s="254" t="str">
        <f>IFERROR(__xludf.DUMMYFUNCTION("""COMPUTED_VALUE"""),"")</f>
        <v/>
      </c>
      <c r="U74" s="246" t="str">
        <f>IFERROR(__xludf.DUMMYFUNCTION("""COMPUTED_VALUE"""),"")</f>
        <v/>
      </c>
      <c r="V74" s="247" t="str">
        <f t="shared" si="6"/>
        <v/>
      </c>
      <c r="W74" s="255" t="str">
        <f>IFERROR(__xludf.DUMMYFUNCTION("""COMPUTED_VALUE"""),"")</f>
        <v/>
      </c>
      <c r="X74" s="249" t="str">
        <f>IFERROR(__xludf.DUMMYFUNCTION("""COMPUTED_VALUE"""),"")</f>
        <v/>
      </c>
      <c r="Y74" s="250" t="str">
        <f t="shared" si="7"/>
        <v/>
      </c>
    </row>
    <row r="75">
      <c r="A75" s="136" t="s">
        <v>18</v>
      </c>
      <c r="B75" s="146">
        <v>46064.0</v>
      </c>
      <c r="C75" s="136" t="s">
        <v>45</v>
      </c>
      <c r="D75" s="136" t="s">
        <v>148</v>
      </c>
      <c r="E75" s="256">
        <f>IFERROR(__xludf.DUMMYFUNCTION("""COMPUTED_VALUE"""),128.0)</f>
        <v>128</v>
      </c>
      <c r="F75" s="257">
        <f>IFERROR(__xludf.DUMMYFUNCTION("""COMPUTED_VALUE"""),0.08333333333575865)</f>
        <v>0.08333333334</v>
      </c>
      <c r="G75" s="247">
        <f t="shared" si="1"/>
        <v>64</v>
      </c>
      <c r="H75" s="258">
        <f>IFERROR(__xludf.DUMMYFUNCTION("""COMPUTED_VALUE"""),367.0)</f>
        <v>367</v>
      </c>
      <c r="I75" s="259">
        <f>IFERROR(__xludf.DUMMYFUNCTION("""COMPUTED_VALUE"""),0.18958333334012423)</f>
        <v>0.1895833333</v>
      </c>
      <c r="J75" s="250">
        <f t="shared" si="2"/>
        <v>80.65934066</v>
      </c>
      <c r="K75" s="251">
        <f>IFERROR(__xludf.DUMMYFUNCTION("""COMPUTED_VALUE"""),0.0)</f>
        <v>0</v>
      </c>
      <c r="L75" s="252">
        <f>IFERROR(__xludf.DUMMYFUNCTION("""COMPUTED_VALUE"""),0.0)</f>
        <v>0</v>
      </c>
      <c r="M75" s="253" t="str">
        <f t="shared" si="3"/>
        <v/>
      </c>
      <c r="N75" s="254">
        <f>IFERROR(__xludf.DUMMYFUNCTION("""COMPUTED_VALUE"""),0.0)</f>
        <v>0</v>
      </c>
      <c r="O75" s="246">
        <f>IFERROR(__xludf.DUMMYFUNCTION("""COMPUTED_VALUE"""),0.0)</f>
        <v>0</v>
      </c>
      <c r="P75" s="247" t="str">
        <f t="shared" si="4"/>
        <v/>
      </c>
      <c r="Q75" s="255">
        <f>IFERROR(__xludf.DUMMYFUNCTION("""COMPUTED_VALUE"""),149.0)</f>
        <v>149</v>
      </c>
      <c r="R75" s="249">
        <f>IFERROR(__xludf.DUMMYFUNCTION("""COMPUTED_VALUE"""),0.16666666666424135)</f>
        <v>0.1666666667</v>
      </c>
      <c r="S75" s="250">
        <f t="shared" si="5"/>
        <v>37.25</v>
      </c>
      <c r="T75" s="254">
        <f>IFERROR(__xludf.DUMMYFUNCTION("""COMPUTED_VALUE"""),128.0)</f>
        <v>128</v>
      </c>
      <c r="U75" s="246">
        <f>IFERROR(__xludf.DUMMYFUNCTION("""COMPUTED_VALUE"""),0.08333333333575865)</f>
        <v>0.08333333334</v>
      </c>
      <c r="V75" s="247">
        <f t="shared" si="6"/>
        <v>64</v>
      </c>
      <c r="W75" s="255">
        <f>IFERROR(__xludf.DUMMYFUNCTION("""COMPUTED_VALUE"""),516.0)</f>
        <v>516</v>
      </c>
      <c r="X75" s="249">
        <f>IFERROR(__xludf.DUMMYFUNCTION("""COMPUTED_VALUE"""),0.3562500000043656)</f>
        <v>0.35625</v>
      </c>
      <c r="Y75" s="250">
        <f t="shared" si="7"/>
        <v>60.35087719</v>
      </c>
    </row>
    <row r="76">
      <c r="A76" s="136" t="s">
        <v>18</v>
      </c>
      <c r="B76" s="146">
        <v>46064.0</v>
      </c>
      <c r="C76" s="136" t="s">
        <v>45</v>
      </c>
      <c r="D76" s="136" t="s">
        <v>148</v>
      </c>
      <c r="E76" s="256" t="str">
        <f>IFERROR(__xludf.DUMMYFUNCTION("""COMPUTED_VALUE"""),"")</f>
        <v/>
      </c>
      <c r="F76" s="257" t="str">
        <f>IFERROR(__xludf.DUMMYFUNCTION("""COMPUTED_VALUE"""),"")</f>
        <v/>
      </c>
      <c r="G76" s="247" t="str">
        <f t="shared" si="1"/>
        <v/>
      </c>
      <c r="H76" s="258" t="str">
        <f>IFERROR(__xludf.DUMMYFUNCTION("""COMPUTED_VALUE"""),"")</f>
        <v/>
      </c>
      <c r="I76" s="259" t="str">
        <f>IFERROR(__xludf.DUMMYFUNCTION("""COMPUTED_VALUE"""),"")</f>
        <v/>
      </c>
      <c r="J76" s="250" t="str">
        <f t="shared" si="2"/>
        <v/>
      </c>
      <c r="K76" s="251" t="str">
        <f>IFERROR(__xludf.DUMMYFUNCTION("""COMPUTED_VALUE"""),"")</f>
        <v/>
      </c>
      <c r="L76" s="252" t="str">
        <f>IFERROR(__xludf.DUMMYFUNCTION("""COMPUTED_VALUE"""),"")</f>
        <v/>
      </c>
      <c r="M76" s="253" t="str">
        <f t="shared" si="3"/>
        <v/>
      </c>
      <c r="N76" s="254" t="str">
        <f>IFERROR(__xludf.DUMMYFUNCTION("""COMPUTED_VALUE"""),"")</f>
        <v/>
      </c>
      <c r="O76" s="246" t="str">
        <f>IFERROR(__xludf.DUMMYFUNCTION("""COMPUTED_VALUE"""),"")</f>
        <v/>
      </c>
      <c r="P76" s="247" t="str">
        <f t="shared" si="4"/>
        <v/>
      </c>
      <c r="Q76" s="255" t="str">
        <f>IFERROR(__xludf.DUMMYFUNCTION("""COMPUTED_VALUE"""),"")</f>
        <v/>
      </c>
      <c r="R76" s="249" t="str">
        <f>IFERROR(__xludf.DUMMYFUNCTION("""COMPUTED_VALUE"""),"")</f>
        <v/>
      </c>
      <c r="S76" s="250" t="str">
        <f t="shared" si="5"/>
        <v/>
      </c>
      <c r="T76" s="254" t="str">
        <f>IFERROR(__xludf.DUMMYFUNCTION("""COMPUTED_VALUE"""),"")</f>
        <v/>
      </c>
      <c r="U76" s="246" t="str">
        <f>IFERROR(__xludf.DUMMYFUNCTION("""COMPUTED_VALUE"""),"")</f>
        <v/>
      </c>
      <c r="V76" s="247" t="str">
        <f t="shared" si="6"/>
        <v/>
      </c>
      <c r="W76" s="255" t="str">
        <f>IFERROR(__xludf.DUMMYFUNCTION("""COMPUTED_VALUE"""),"")</f>
        <v/>
      </c>
      <c r="X76" s="249" t="str">
        <f>IFERROR(__xludf.DUMMYFUNCTION("""COMPUTED_VALUE"""),"")</f>
        <v/>
      </c>
      <c r="Y76" s="250" t="str">
        <f t="shared" si="7"/>
        <v/>
      </c>
    </row>
    <row r="77">
      <c r="A77" s="136" t="s">
        <v>12</v>
      </c>
      <c r="B77" s="146">
        <v>46065.0</v>
      </c>
      <c r="C77" s="136" t="s">
        <v>49</v>
      </c>
      <c r="D77" s="136" t="s">
        <v>149</v>
      </c>
      <c r="E77" s="256" t="str">
        <f>IFERROR(__xludf.DUMMYFUNCTION("""COMPUTED_VALUE"""),"")</f>
        <v/>
      </c>
      <c r="F77" s="257" t="str">
        <f>IFERROR(__xludf.DUMMYFUNCTION("""COMPUTED_VALUE"""),"")</f>
        <v/>
      </c>
      <c r="G77" s="247" t="str">
        <f t="shared" si="1"/>
        <v/>
      </c>
      <c r="H77" s="258" t="str">
        <f>IFERROR(__xludf.DUMMYFUNCTION("""COMPUTED_VALUE"""),"")</f>
        <v/>
      </c>
      <c r="I77" s="259" t="str">
        <f>IFERROR(__xludf.DUMMYFUNCTION("""COMPUTED_VALUE"""),"")</f>
        <v/>
      </c>
      <c r="J77" s="250" t="str">
        <f t="shared" si="2"/>
        <v/>
      </c>
      <c r="K77" s="251" t="str">
        <f>IFERROR(__xludf.DUMMYFUNCTION("""COMPUTED_VALUE"""),"")</f>
        <v/>
      </c>
      <c r="L77" s="252" t="str">
        <f>IFERROR(__xludf.DUMMYFUNCTION("""COMPUTED_VALUE"""),"")</f>
        <v/>
      </c>
      <c r="M77" s="253" t="str">
        <f t="shared" si="3"/>
        <v/>
      </c>
      <c r="N77" s="254" t="str">
        <f>IFERROR(__xludf.DUMMYFUNCTION("""COMPUTED_VALUE"""),"")</f>
        <v/>
      </c>
      <c r="O77" s="246" t="str">
        <f>IFERROR(__xludf.DUMMYFUNCTION("""COMPUTED_VALUE"""),"")</f>
        <v/>
      </c>
      <c r="P77" s="247" t="str">
        <f t="shared" si="4"/>
        <v/>
      </c>
      <c r="Q77" s="255" t="str">
        <f>IFERROR(__xludf.DUMMYFUNCTION("""COMPUTED_VALUE"""),"")</f>
        <v/>
      </c>
      <c r="R77" s="249" t="str">
        <f>IFERROR(__xludf.DUMMYFUNCTION("""COMPUTED_VALUE"""),"")</f>
        <v/>
      </c>
      <c r="S77" s="250" t="str">
        <f t="shared" si="5"/>
        <v/>
      </c>
      <c r="T77" s="254" t="str">
        <f>IFERROR(__xludf.DUMMYFUNCTION("""COMPUTED_VALUE"""),"")</f>
        <v/>
      </c>
      <c r="U77" s="246" t="str">
        <f>IFERROR(__xludf.DUMMYFUNCTION("""COMPUTED_VALUE"""),"")</f>
        <v/>
      </c>
      <c r="V77" s="247" t="str">
        <f t="shared" si="6"/>
        <v/>
      </c>
      <c r="W77" s="255" t="str">
        <f>IFERROR(__xludf.DUMMYFUNCTION("""COMPUTED_VALUE"""),"")</f>
        <v/>
      </c>
      <c r="X77" s="249" t="str">
        <f>IFERROR(__xludf.DUMMYFUNCTION("""COMPUTED_VALUE"""),"")</f>
        <v/>
      </c>
      <c r="Y77" s="250" t="str">
        <f t="shared" si="7"/>
        <v/>
      </c>
    </row>
    <row r="78">
      <c r="A78" s="136" t="s">
        <v>12</v>
      </c>
      <c r="B78" s="146">
        <v>46065.0</v>
      </c>
      <c r="C78" s="136" t="s">
        <v>49</v>
      </c>
      <c r="D78" s="136" t="s">
        <v>149</v>
      </c>
      <c r="E78" s="256" t="str">
        <f>IFERROR(__xludf.DUMMYFUNCTION("""COMPUTED_VALUE"""),"")</f>
        <v/>
      </c>
      <c r="F78" s="257" t="str">
        <f>IFERROR(__xludf.DUMMYFUNCTION("""COMPUTED_VALUE"""),"")</f>
        <v/>
      </c>
      <c r="G78" s="247" t="str">
        <f t="shared" si="1"/>
        <v/>
      </c>
      <c r="H78" s="258" t="str">
        <f>IFERROR(__xludf.DUMMYFUNCTION("""COMPUTED_VALUE"""),"")</f>
        <v/>
      </c>
      <c r="I78" s="259" t="str">
        <f>IFERROR(__xludf.DUMMYFUNCTION("""COMPUTED_VALUE"""),"")</f>
        <v/>
      </c>
      <c r="J78" s="250" t="str">
        <f t="shared" si="2"/>
        <v/>
      </c>
      <c r="K78" s="251" t="str">
        <f>IFERROR(__xludf.DUMMYFUNCTION("""COMPUTED_VALUE"""),"")</f>
        <v/>
      </c>
      <c r="L78" s="252" t="str">
        <f>IFERROR(__xludf.DUMMYFUNCTION("""COMPUTED_VALUE"""),"")</f>
        <v/>
      </c>
      <c r="M78" s="253" t="str">
        <f t="shared" si="3"/>
        <v/>
      </c>
      <c r="N78" s="254" t="str">
        <f>IFERROR(__xludf.DUMMYFUNCTION("""COMPUTED_VALUE"""),"")</f>
        <v/>
      </c>
      <c r="O78" s="246" t="str">
        <f>IFERROR(__xludf.DUMMYFUNCTION("""COMPUTED_VALUE"""),"")</f>
        <v/>
      </c>
      <c r="P78" s="247" t="str">
        <f t="shared" si="4"/>
        <v/>
      </c>
      <c r="Q78" s="255" t="str">
        <f>IFERROR(__xludf.DUMMYFUNCTION("""COMPUTED_VALUE"""),"")</f>
        <v/>
      </c>
      <c r="R78" s="249" t="str">
        <f>IFERROR(__xludf.DUMMYFUNCTION("""COMPUTED_VALUE"""),"")</f>
        <v/>
      </c>
      <c r="S78" s="250" t="str">
        <f t="shared" si="5"/>
        <v/>
      </c>
      <c r="T78" s="254" t="str">
        <f>IFERROR(__xludf.DUMMYFUNCTION("""COMPUTED_VALUE"""),"")</f>
        <v/>
      </c>
      <c r="U78" s="246" t="str">
        <f>IFERROR(__xludf.DUMMYFUNCTION("""COMPUTED_VALUE"""),"")</f>
        <v/>
      </c>
      <c r="V78" s="247" t="str">
        <f t="shared" si="6"/>
        <v/>
      </c>
      <c r="W78" s="255" t="str">
        <f>IFERROR(__xludf.DUMMYFUNCTION("""COMPUTED_VALUE"""),"")</f>
        <v/>
      </c>
      <c r="X78" s="249" t="str">
        <f>IFERROR(__xludf.DUMMYFUNCTION("""COMPUTED_VALUE"""),"")</f>
        <v/>
      </c>
      <c r="Y78" s="250" t="str">
        <f t="shared" si="7"/>
        <v/>
      </c>
    </row>
    <row r="79">
      <c r="A79" s="136" t="s">
        <v>134</v>
      </c>
      <c r="B79" s="146">
        <v>46065.0</v>
      </c>
      <c r="C79" s="136" t="s">
        <v>49</v>
      </c>
      <c r="D79" s="136" t="s">
        <v>149</v>
      </c>
      <c r="E79" s="256" t="str">
        <f>IFERROR(__xludf.DUMMYFUNCTION("""COMPUTED_VALUE"""),"")</f>
        <v/>
      </c>
      <c r="F79" s="257" t="str">
        <f>IFERROR(__xludf.DUMMYFUNCTION("""COMPUTED_VALUE"""),"")</f>
        <v/>
      </c>
      <c r="G79" s="247" t="str">
        <f t="shared" si="1"/>
        <v/>
      </c>
      <c r="H79" s="258" t="str">
        <f>IFERROR(__xludf.DUMMYFUNCTION("""COMPUTED_VALUE"""),"")</f>
        <v/>
      </c>
      <c r="I79" s="259" t="str">
        <f>IFERROR(__xludf.DUMMYFUNCTION("""COMPUTED_VALUE"""),"")</f>
        <v/>
      </c>
      <c r="J79" s="250" t="str">
        <f t="shared" si="2"/>
        <v/>
      </c>
      <c r="K79" s="251" t="str">
        <f>IFERROR(__xludf.DUMMYFUNCTION("""COMPUTED_VALUE"""),"")</f>
        <v/>
      </c>
      <c r="L79" s="252" t="str">
        <f>IFERROR(__xludf.DUMMYFUNCTION("""COMPUTED_VALUE"""),"")</f>
        <v/>
      </c>
      <c r="M79" s="253" t="str">
        <f t="shared" si="3"/>
        <v/>
      </c>
      <c r="N79" s="254" t="str">
        <f>IFERROR(__xludf.DUMMYFUNCTION("""COMPUTED_VALUE"""),"")</f>
        <v/>
      </c>
      <c r="O79" s="246" t="str">
        <f>IFERROR(__xludf.DUMMYFUNCTION("""COMPUTED_VALUE"""),"")</f>
        <v/>
      </c>
      <c r="P79" s="247" t="str">
        <f t="shared" si="4"/>
        <v/>
      </c>
      <c r="Q79" s="255" t="str">
        <f>IFERROR(__xludf.DUMMYFUNCTION("""COMPUTED_VALUE"""),"")</f>
        <v/>
      </c>
      <c r="R79" s="249" t="str">
        <f>IFERROR(__xludf.DUMMYFUNCTION("""COMPUTED_VALUE"""),"")</f>
        <v/>
      </c>
      <c r="S79" s="250" t="str">
        <f t="shared" si="5"/>
        <v/>
      </c>
      <c r="T79" s="254" t="str">
        <f>IFERROR(__xludf.DUMMYFUNCTION("""COMPUTED_VALUE"""),"")</f>
        <v/>
      </c>
      <c r="U79" s="246" t="str">
        <f>IFERROR(__xludf.DUMMYFUNCTION("""COMPUTED_VALUE"""),"")</f>
        <v/>
      </c>
      <c r="V79" s="247" t="str">
        <f t="shared" si="6"/>
        <v/>
      </c>
      <c r="W79" s="255" t="str">
        <f>IFERROR(__xludf.DUMMYFUNCTION("""COMPUTED_VALUE"""),"")</f>
        <v/>
      </c>
      <c r="X79" s="249" t="str">
        <f>IFERROR(__xludf.DUMMYFUNCTION("""COMPUTED_VALUE"""),"")</f>
        <v/>
      </c>
      <c r="Y79" s="250" t="str">
        <f t="shared" si="7"/>
        <v/>
      </c>
    </row>
    <row r="80">
      <c r="A80" s="136" t="s">
        <v>15</v>
      </c>
      <c r="B80" s="146">
        <v>46065.0</v>
      </c>
      <c r="C80" s="136" t="s">
        <v>49</v>
      </c>
      <c r="D80" s="136" t="s">
        <v>148</v>
      </c>
      <c r="E80" s="256" t="str">
        <f>IFERROR(__xludf.DUMMYFUNCTION("""COMPUTED_VALUE"""),"")</f>
        <v/>
      </c>
      <c r="F80" s="257" t="str">
        <f>IFERROR(__xludf.DUMMYFUNCTION("""COMPUTED_VALUE"""),"")</f>
        <v/>
      </c>
      <c r="G80" s="247" t="str">
        <f t="shared" si="1"/>
        <v/>
      </c>
      <c r="H80" s="258" t="str">
        <f>IFERROR(__xludf.DUMMYFUNCTION("""COMPUTED_VALUE"""),"")</f>
        <v/>
      </c>
      <c r="I80" s="259" t="str">
        <f>IFERROR(__xludf.DUMMYFUNCTION("""COMPUTED_VALUE"""),"")</f>
        <v/>
      </c>
      <c r="J80" s="250" t="str">
        <f t="shared" si="2"/>
        <v/>
      </c>
      <c r="K80" s="251" t="str">
        <f>IFERROR(__xludf.DUMMYFUNCTION("""COMPUTED_VALUE"""),"")</f>
        <v/>
      </c>
      <c r="L80" s="252" t="str">
        <f>IFERROR(__xludf.DUMMYFUNCTION("""COMPUTED_VALUE"""),"")</f>
        <v/>
      </c>
      <c r="M80" s="253" t="str">
        <f t="shared" si="3"/>
        <v/>
      </c>
      <c r="N80" s="254" t="str">
        <f>IFERROR(__xludf.DUMMYFUNCTION("""COMPUTED_VALUE"""),"")</f>
        <v/>
      </c>
      <c r="O80" s="246" t="str">
        <f>IFERROR(__xludf.DUMMYFUNCTION("""COMPUTED_VALUE"""),"")</f>
        <v/>
      </c>
      <c r="P80" s="247" t="str">
        <f t="shared" si="4"/>
        <v/>
      </c>
      <c r="Q80" s="255" t="str">
        <f>IFERROR(__xludf.DUMMYFUNCTION("""COMPUTED_VALUE"""),"")</f>
        <v/>
      </c>
      <c r="R80" s="249" t="str">
        <f>IFERROR(__xludf.DUMMYFUNCTION("""COMPUTED_VALUE"""),"")</f>
        <v/>
      </c>
      <c r="S80" s="250" t="str">
        <f t="shared" si="5"/>
        <v/>
      </c>
      <c r="T80" s="254" t="str">
        <f>IFERROR(__xludf.DUMMYFUNCTION("""COMPUTED_VALUE"""),"")</f>
        <v/>
      </c>
      <c r="U80" s="246" t="str">
        <f>IFERROR(__xludf.DUMMYFUNCTION("""COMPUTED_VALUE"""),"")</f>
        <v/>
      </c>
      <c r="V80" s="247" t="str">
        <f t="shared" si="6"/>
        <v/>
      </c>
      <c r="W80" s="255" t="str">
        <f>IFERROR(__xludf.DUMMYFUNCTION("""COMPUTED_VALUE"""),"")</f>
        <v/>
      </c>
      <c r="X80" s="249" t="str">
        <f>IFERROR(__xludf.DUMMYFUNCTION("""COMPUTED_VALUE"""),"")</f>
        <v/>
      </c>
      <c r="Y80" s="250" t="str">
        <f t="shared" si="7"/>
        <v/>
      </c>
    </row>
    <row r="81">
      <c r="A81" s="136" t="s">
        <v>15</v>
      </c>
      <c r="B81" s="146">
        <v>46065.0</v>
      </c>
      <c r="C81" s="136" t="s">
        <v>49</v>
      </c>
      <c r="D81" s="136" t="s">
        <v>149</v>
      </c>
      <c r="E81" s="256" t="str">
        <f>IFERROR(__xludf.DUMMYFUNCTION("""COMPUTED_VALUE"""),"")</f>
        <v/>
      </c>
      <c r="F81" s="257" t="str">
        <f>IFERROR(__xludf.DUMMYFUNCTION("""COMPUTED_VALUE"""),"")</f>
        <v/>
      </c>
      <c r="G81" s="247" t="str">
        <f t="shared" si="1"/>
        <v/>
      </c>
      <c r="H81" s="258" t="str">
        <f>IFERROR(__xludf.DUMMYFUNCTION("""COMPUTED_VALUE"""),"")</f>
        <v/>
      </c>
      <c r="I81" s="259" t="str">
        <f>IFERROR(__xludf.DUMMYFUNCTION("""COMPUTED_VALUE"""),"")</f>
        <v/>
      </c>
      <c r="J81" s="250" t="str">
        <f t="shared" si="2"/>
        <v/>
      </c>
      <c r="K81" s="251" t="str">
        <f>IFERROR(__xludf.DUMMYFUNCTION("""COMPUTED_VALUE"""),"")</f>
        <v/>
      </c>
      <c r="L81" s="252" t="str">
        <f>IFERROR(__xludf.DUMMYFUNCTION("""COMPUTED_VALUE"""),"")</f>
        <v/>
      </c>
      <c r="M81" s="253" t="str">
        <f t="shared" si="3"/>
        <v/>
      </c>
      <c r="N81" s="254" t="str">
        <f>IFERROR(__xludf.DUMMYFUNCTION("""COMPUTED_VALUE"""),"")</f>
        <v/>
      </c>
      <c r="O81" s="246" t="str">
        <f>IFERROR(__xludf.DUMMYFUNCTION("""COMPUTED_VALUE"""),"")</f>
        <v/>
      </c>
      <c r="P81" s="247" t="str">
        <f t="shared" si="4"/>
        <v/>
      </c>
      <c r="Q81" s="255" t="str">
        <f>IFERROR(__xludf.DUMMYFUNCTION("""COMPUTED_VALUE"""),"")</f>
        <v/>
      </c>
      <c r="R81" s="249" t="str">
        <f>IFERROR(__xludf.DUMMYFUNCTION("""COMPUTED_VALUE"""),"")</f>
        <v/>
      </c>
      <c r="S81" s="250" t="str">
        <f t="shared" si="5"/>
        <v/>
      </c>
      <c r="T81" s="254" t="str">
        <f>IFERROR(__xludf.DUMMYFUNCTION("""COMPUTED_VALUE"""),"")</f>
        <v/>
      </c>
      <c r="U81" s="246" t="str">
        <f>IFERROR(__xludf.DUMMYFUNCTION("""COMPUTED_VALUE"""),"")</f>
        <v/>
      </c>
      <c r="V81" s="247" t="str">
        <f t="shared" si="6"/>
        <v/>
      </c>
      <c r="W81" s="255" t="str">
        <f>IFERROR(__xludf.DUMMYFUNCTION("""COMPUTED_VALUE"""),"")</f>
        <v/>
      </c>
      <c r="X81" s="249" t="str">
        <f>IFERROR(__xludf.DUMMYFUNCTION("""COMPUTED_VALUE"""),"")</f>
        <v/>
      </c>
      <c r="Y81" s="250" t="str">
        <f t="shared" si="7"/>
        <v/>
      </c>
    </row>
    <row r="82">
      <c r="A82" s="136" t="s">
        <v>15</v>
      </c>
      <c r="B82" s="146">
        <v>46065.0</v>
      </c>
      <c r="C82" s="136" t="s">
        <v>49</v>
      </c>
      <c r="D82" s="136" t="s">
        <v>149</v>
      </c>
      <c r="E82" s="256" t="str">
        <f>IFERROR(__xludf.DUMMYFUNCTION("""COMPUTED_VALUE"""),"")</f>
        <v/>
      </c>
      <c r="F82" s="257" t="str">
        <f>IFERROR(__xludf.DUMMYFUNCTION("""COMPUTED_VALUE"""),"")</f>
        <v/>
      </c>
      <c r="G82" s="247" t="str">
        <f t="shared" si="1"/>
        <v/>
      </c>
      <c r="H82" s="258" t="str">
        <f>IFERROR(__xludf.DUMMYFUNCTION("""COMPUTED_VALUE"""),"")</f>
        <v/>
      </c>
      <c r="I82" s="259" t="str">
        <f>IFERROR(__xludf.DUMMYFUNCTION("""COMPUTED_VALUE"""),"")</f>
        <v/>
      </c>
      <c r="J82" s="250" t="str">
        <f t="shared" si="2"/>
        <v/>
      </c>
      <c r="K82" s="251" t="str">
        <f>IFERROR(__xludf.DUMMYFUNCTION("""COMPUTED_VALUE"""),"")</f>
        <v/>
      </c>
      <c r="L82" s="252" t="str">
        <f>IFERROR(__xludf.DUMMYFUNCTION("""COMPUTED_VALUE"""),"")</f>
        <v/>
      </c>
      <c r="M82" s="253" t="str">
        <f t="shared" si="3"/>
        <v/>
      </c>
      <c r="N82" s="254" t="str">
        <f>IFERROR(__xludf.DUMMYFUNCTION("""COMPUTED_VALUE"""),"")</f>
        <v/>
      </c>
      <c r="O82" s="246" t="str">
        <f>IFERROR(__xludf.DUMMYFUNCTION("""COMPUTED_VALUE"""),"")</f>
        <v/>
      </c>
      <c r="P82" s="247" t="str">
        <f t="shared" si="4"/>
        <v/>
      </c>
      <c r="Q82" s="255" t="str">
        <f>IFERROR(__xludf.DUMMYFUNCTION("""COMPUTED_VALUE"""),"")</f>
        <v/>
      </c>
      <c r="R82" s="249" t="str">
        <f>IFERROR(__xludf.DUMMYFUNCTION("""COMPUTED_VALUE"""),"")</f>
        <v/>
      </c>
      <c r="S82" s="250" t="str">
        <f t="shared" si="5"/>
        <v/>
      </c>
      <c r="T82" s="254" t="str">
        <f>IFERROR(__xludf.DUMMYFUNCTION("""COMPUTED_VALUE"""),"")</f>
        <v/>
      </c>
      <c r="U82" s="246" t="str">
        <f>IFERROR(__xludf.DUMMYFUNCTION("""COMPUTED_VALUE"""),"")</f>
        <v/>
      </c>
      <c r="V82" s="247" t="str">
        <f t="shared" si="6"/>
        <v/>
      </c>
      <c r="W82" s="255" t="str">
        <f>IFERROR(__xludf.DUMMYFUNCTION("""COMPUTED_VALUE"""),"")</f>
        <v/>
      </c>
      <c r="X82" s="249" t="str">
        <f>IFERROR(__xludf.DUMMYFUNCTION("""COMPUTED_VALUE"""),"")</f>
        <v/>
      </c>
      <c r="Y82" s="250" t="str">
        <f t="shared" si="7"/>
        <v/>
      </c>
    </row>
    <row r="83">
      <c r="A83" s="136" t="s">
        <v>18</v>
      </c>
      <c r="B83" s="146">
        <v>46065.0</v>
      </c>
      <c r="C83" s="136" t="s">
        <v>49</v>
      </c>
      <c r="D83" s="136" t="s">
        <v>148</v>
      </c>
      <c r="E83" s="256" t="str">
        <f>IFERROR(__xludf.DUMMYFUNCTION("""COMPUTED_VALUE"""),"")</f>
        <v/>
      </c>
      <c r="F83" s="257" t="str">
        <f>IFERROR(__xludf.DUMMYFUNCTION("""COMPUTED_VALUE"""),"")</f>
        <v/>
      </c>
      <c r="G83" s="247" t="str">
        <f t="shared" si="1"/>
        <v/>
      </c>
      <c r="H83" s="258" t="str">
        <f>IFERROR(__xludf.DUMMYFUNCTION("""COMPUTED_VALUE"""),"")</f>
        <v/>
      </c>
      <c r="I83" s="259" t="str">
        <f>IFERROR(__xludf.DUMMYFUNCTION("""COMPUTED_VALUE"""),"")</f>
        <v/>
      </c>
      <c r="J83" s="250" t="str">
        <f t="shared" si="2"/>
        <v/>
      </c>
      <c r="K83" s="251" t="str">
        <f>IFERROR(__xludf.DUMMYFUNCTION("""COMPUTED_VALUE"""),"")</f>
        <v/>
      </c>
      <c r="L83" s="252" t="str">
        <f>IFERROR(__xludf.DUMMYFUNCTION("""COMPUTED_VALUE"""),"")</f>
        <v/>
      </c>
      <c r="M83" s="253" t="str">
        <f t="shared" si="3"/>
        <v/>
      </c>
      <c r="N83" s="254" t="str">
        <f>IFERROR(__xludf.DUMMYFUNCTION("""COMPUTED_VALUE"""),"")</f>
        <v/>
      </c>
      <c r="O83" s="246" t="str">
        <f>IFERROR(__xludf.DUMMYFUNCTION("""COMPUTED_VALUE"""),"")</f>
        <v/>
      </c>
      <c r="P83" s="247" t="str">
        <f t="shared" si="4"/>
        <v/>
      </c>
      <c r="Q83" s="255" t="str">
        <f>IFERROR(__xludf.DUMMYFUNCTION("""COMPUTED_VALUE"""),"")</f>
        <v/>
      </c>
      <c r="R83" s="249" t="str">
        <f>IFERROR(__xludf.DUMMYFUNCTION("""COMPUTED_VALUE"""),"")</f>
        <v/>
      </c>
      <c r="S83" s="250" t="str">
        <f t="shared" si="5"/>
        <v/>
      </c>
      <c r="T83" s="254" t="str">
        <f>IFERROR(__xludf.DUMMYFUNCTION("""COMPUTED_VALUE"""),"")</f>
        <v/>
      </c>
      <c r="U83" s="246" t="str">
        <f>IFERROR(__xludf.DUMMYFUNCTION("""COMPUTED_VALUE"""),"")</f>
        <v/>
      </c>
      <c r="V83" s="247" t="str">
        <f t="shared" si="6"/>
        <v/>
      </c>
      <c r="W83" s="255" t="str">
        <f>IFERROR(__xludf.DUMMYFUNCTION("""COMPUTED_VALUE"""),"")</f>
        <v/>
      </c>
      <c r="X83" s="249" t="str">
        <f>IFERROR(__xludf.DUMMYFUNCTION("""COMPUTED_VALUE"""),"")</f>
        <v/>
      </c>
      <c r="Y83" s="250" t="str">
        <f t="shared" si="7"/>
        <v/>
      </c>
    </row>
    <row r="84">
      <c r="A84" s="136" t="s">
        <v>18</v>
      </c>
      <c r="B84" s="146">
        <v>46065.0</v>
      </c>
      <c r="C84" s="136" t="s">
        <v>49</v>
      </c>
      <c r="D84" s="136" t="s">
        <v>149</v>
      </c>
      <c r="E84" s="256">
        <f>IFERROR(__xludf.DUMMYFUNCTION("""COMPUTED_VALUE"""),69.0)</f>
        <v>69</v>
      </c>
      <c r="F84" s="257">
        <f>IFERROR(__xludf.DUMMYFUNCTION("""COMPUTED_VALUE"""),0.05208333333575865)</f>
        <v>0.05208333334</v>
      </c>
      <c r="G84" s="247">
        <f t="shared" si="1"/>
        <v>55.2</v>
      </c>
      <c r="H84" s="258">
        <f>IFERROR(__xludf.DUMMYFUNCTION("""COMPUTED_VALUE"""),115.0)</f>
        <v>115</v>
      </c>
      <c r="I84" s="259">
        <f>IFERROR(__xludf.DUMMYFUNCTION("""COMPUTED_VALUE"""),0.07291666666424135)</f>
        <v>0.07291666666</v>
      </c>
      <c r="J84" s="250">
        <f t="shared" si="2"/>
        <v>65.71428572</v>
      </c>
      <c r="K84" s="251">
        <f>IFERROR(__xludf.DUMMYFUNCTION("""COMPUTED_VALUE"""),104.0)</f>
        <v>104</v>
      </c>
      <c r="L84" s="252">
        <f>IFERROR(__xludf.DUMMYFUNCTION("""COMPUTED_VALUE"""),0.15069444444816327)</f>
        <v>0.1506944444</v>
      </c>
      <c r="M84" s="253">
        <f t="shared" si="3"/>
        <v>28.75576037</v>
      </c>
      <c r="N84" s="254">
        <f>IFERROR(__xludf.DUMMYFUNCTION("""COMPUTED_VALUE"""),165.0)</f>
        <v>165</v>
      </c>
      <c r="O84" s="246">
        <f>IFERROR(__xludf.DUMMYFUNCTION("""COMPUTED_VALUE"""),0.13749999999708962)</f>
        <v>0.1375</v>
      </c>
      <c r="P84" s="247">
        <f t="shared" si="4"/>
        <v>50</v>
      </c>
      <c r="Q84" s="255">
        <f>IFERROR(__xludf.DUMMYFUNCTION("""COMPUTED_VALUE"""),170.0)</f>
        <v>170</v>
      </c>
      <c r="R84" s="249">
        <f>IFERROR(__xludf.DUMMYFUNCTION("""COMPUTED_VALUE"""),0.15972222221898846)</f>
        <v>0.1597222222</v>
      </c>
      <c r="S84" s="250">
        <f t="shared" si="5"/>
        <v>44.34782609</v>
      </c>
      <c r="T84" s="254">
        <f>IFERROR(__xludf.DUMMYFUNCTION("""COMPUTED_VALUE"""),234.0)</f>
        <v>234</v>
      </c>
      <c r="U84" s="246">
        <f>IFERROR(__xludf.DUMMYFUNCTION("""COMPUTED_VALUE"""),0.18958333333284827)</f>
        <v>0.1895833333</v>
      </c>
      <c r="V84" s="247">
        <f t="shared" si="6"/>
        <v>51.42857143</v>
      </c>
      <c r="W84" s="255">
        <f>IFERROR(__xludf.DUMMYFUNCTION("""COMPUTED_VALUE"""),285.0)</f>
        <v>285</v>
      </c>
      <c r="X84" s="249">
        <f>IFERROR(__xludf.DUMMYFUNCTION("""COMPUTED_VALUE"""),0.2326388888832298)</f>
        <v>0.2326388889</v>
      </c>
      <c r="Y84" s="250">
        <f t="shared" si="7"/>
        <v>51.04477612</v>
      </c>
    </row>
    <row r="85">
      <c r="A85" s="136" t="s">
        <v>18</v>
      </c>
      <c r="B85" s="146">
        <v>46065.0</v>
      </c>
      <c r="C85" s="136" t="s">
        <v>49</v>
      </c>
      <c r="D85" s="136" t="s">
        <v>149</v>
      </c>
      <c r="E85" s="256" t="str">
        <f>IFERROR(__xludf.DUMMYFUNCTION("""COMPUTED_VALUE"""),"")</f>
        <v/>
      </c>
      <c r="F85" s="257" t="str">
        <f>IFERROR(__xludf.DUMMYFUNCTION("""COMPUTED_VALUE"""),"")</f>
        <v/>
      </c>
      <c r="G85" s="247" t="str">
        <f t="shared" si="1"/>
        <v/>
      </c>
      <c r="H85" s="258" t="str">
        <f>IFERROR(__xludf.DUMMYFUNCTION("""COMPUTED_VALUE"""),"")</f>
        <v/>
      </c>
      <c r="I85" s="259" t="str">
        <f>IFERROR(__xludf.DUMMYFUNCTION("""COMPUTED_VALUE"""),"")</f>
        <v/>
      </c>
      <c r="J85" s="250" t="str">
        <f t="shared" si="2"/>
        <v/>
      </c>
      <c r="K85" s="251" t="str">
        <f>IFERROR(__xludf.DUMMYFUNCTION("""COMPUTED_VALUE"""),"")</f>
        <v/>
      </c>
      <c r="L85" s="252" t="str">
        <f>IFERROR(__xludf.DUMMYFUNCTION("""COMPUTED_VALUE"""),"")</f>
        <v/>
      </c>
      <c r="M85" s="253" t="str">
        <f t="shared" si="3"/>
        <v/>
      </c>
      <c r="N85" s="254" t="str">
        <f>IFERROR(__xludf.DUMMYFUNCTION("""COMPUTED_VALUE"""),"")</f>
        <v/>
      </c>
      <c r="O85" s="246" t="str">
        <f>IFERROR(__xludf.DUMMYFUNCTION("""COMPUTED_VALUE"""),"")</f>
        <v/>
      </c>
      <c r="P85" s="247" t="str">
        <f t="shared" si="4"/>
        <v/>
      </c>
      <c r="Q85" s="255" t="str">
        <f>IFERROR(__xludf.DUMMYFUNCTION("""COMPUTED_VALUE"""),"")</f>
        <v/>
      </c>
      <c r="R85" s="249" t="str">
        <f>IFERROR(__xludf.DUMMYFUNCTION("""COMPUTED_VALUE"""),"")</f>
        <v/>
      </c>
      <c r="S85" s="250" t="str">
        <f t="shared" si="5"/>
        <v/>
      </c>
      <c r="T85" s="254" t="str">
        <f>IFERROR(__xludf.DUMMYFUNCTION("""COMPUTED_VALUE"""),"")</f>
        <v/>
      </c>
      <c r="U85" s="246" t="str">
        <f>IFERROR(__xludf.DUMMYFUNCTION("""COMPUTED_VALUE"""),"")</f>
        <v/>
      </c>
      <c r="V85" s="247" t="str">
        <f t="shared" si="6"/>
        <v/>
      </c>
      <c r="W85" s="255" t="str">
        <f>IFERROR(__xludf.DUMMYFUNCTION("""COMPUTED_VALUE"""),"")</f>
        <v/>
      </c>
      <c r="X85" s="249" t="str">
        <f>IFERROR(__xludf.DUMMYFUNCTION("""COMPUTED_VALUE"""),"")</f>
        <v/>
      </c>
      <c r="Y85" s="250" t="str">
        <f t="shared" si="7"/>
        <v/>
      </c>
    </row>
    <row r="86">
      <c r="A86" s="136" t="s">
        <v>15</v>
      </c>
      <c r="B86" s="146">
        <v>46066.0</v>
      </c>
      <c r="C86" s="136" t="s">
        <v>53</v>
      </c>
      <c r="D86" s="136" t="s">
        <v>149</v>
      </c>
      <c r="E86" s="256">
        <f>IFERROR(__xludf.DUMMYFUNCTION("""COMPUTED_VALUE"""),0.0)</f>
        <v>0</v>
      </c>
      <c r="F86" s="257">
        <f>IFERROR(__xludf.DUMMYFUNCTION("""COMPUTED_VALUE"""),0.0)</f>
        <v>0</v>
      </c>
      <c r="G86" s="247" t="str">
        <f t="shared" si="1"/>
        <v/>
      </c>
      <c r="H86" s="258">
        <f>IFERROR(__xludf.DUMMYFUNCTION("""COMPUTED_VALUE"""),89.0)</f>
        <v>89</v>
      </c>
      <c r="I86" s="259">
        <f>IFERROR(__xludf.DUMMYFUNCTION("""COMPUTED_VALUE"""),0.08333333333575865)</f>
        <v>0.08333333334</v>
      </c>
      <c r="J86" s="250">
        <f t="shared" si="2"/>
        <v>44.5</v>
      </c>
      <c r="K86" s="251">
        <f>IFERROR(__xludf.DUMMYFUNCTION("""COMPUTED_VALUE"""),0.0)</f>
        <v>0</v>
      </c>
      <c r="L86" s="252">
        <f>IFERROR(__xludf.DUMMYFUNCTION("""COMPUTED_VALUE"""),0.0)</f>
        <v>0</v>
      </c>
      <c r="M86" s="253" t="str">
        <f t="shared" si="3"/>
        <v/>
      </c>
      <c r="N86" s="254">
        <f>IFERROR(__xludf.DUMMYFUNCTION("""COMPUTED_VALUE"""),30.0)</f>
        <v>30</v>
      </c>
      <c r="O86" s="246">
        <f>IFERROR(__xludf.DUMMYFUNCTION("""COMPUTED_VALUE"""),0.0625)</f>
        <v>0.0625</v>
      </c>
      <c r="P86" s="247">
        <f t="shared" si="4"/>
        <v>20</v>
      </c>
      <c r="Q86" s="255">
        <f>IFERROR(__xludf.DUMMYFUNCTION("""COMPUTED_VALUE"""),0.0)</f>
        <v>0</v>
      </c>
      <c r="R86" s="249">
        <f>IFERROR(__xludf.DUMMYFUNCTION("""COMPUTED_VALUE"""),0.0)</f>
        <v>0</v>
      </c>
      <c r="S86" s="250" t="str">
        <f t="shared" si="5"/>
        <v/>
      </c>
      <c r="T86" s="254">
        <f>IFERROR(__xludf.DUMMYFUNCTION("""COMPUTED_VALUE"""),30.0)</f>
        <v>30</v>
      </c>
      <c r="U86" s="246">
        <f>IFERROR(__xludf.DUMMYFUNCTION("""COMPUTED_VALUE"""),0.0625)</f>
        <v>0.0625</v>
      </c>
      <c r="V86" s="247">
        <f t="shared" si="6"/>
        <v>20</v>
      </c>
      <c r="W86" s="255">
        <f>IFERROR(__xludf.DUMMYFUNCTION("""COMPUTED_VALUE"""),89.0)</f>
        <v>89</v>
      </c>
      <c r="X86" s="249">
        <f>IFERROR(__xludf.DUMMYFUNCTION("""COMPUTED_VALUE"""),0.08333333333575865)</f>
        <v>0.08333333334</v>
      </c>
      <c r="Y86" s="250">
        <f t="shared" si="7"/>
        <v>44.5</v>
      </c>
    </row>
    <row r="87">
      <c r="A87" s="136" t="s">
        <v>18</v>
      </c>
      <c r="B87" s="146">
        <v>46066.0</v>
      </c>
      <c r="C87" s="136" t="s">
        <v>53</v>
      </c>
      <c r="D87" s="136" t="s">
        <v>148</v>
      </c>
      <c r="E87" s="256" t="str">
        <f>IFERROR(__xludf.DUMMYFUNCTION("""COMPUTED_VALUE"""),"")</f>
        <v/>
      </c>
      <c r="F87" s="257" t="str">
        <f>IFERROR(__xludf.DUMMYFUNCTION("""COMPUTED_VALUE"""),"")</f>
        <v/>
      </c>
      <c r="G87" s="247" t="str">
        <f t="shared" si="1"/>
        <v/>
      </c>
      <c r="H87" s="258" t="str">
        <f>IFERROR(__xludf.DUMMYFUNCTION("""COMPUTED_VALUE"""),"")</f>
        <v/>
      </c>
      <c r="I87" s="259" t="str">
        <f>IFERROR(__xludf.DUMMYFUNCTION("""COMPUTED_VALUE"""),"")</f>
        <v/>
      </c>
      <c r="J87" s="250" t="str">
        <f t="shared" si="2"/>
        <v/>
      </c>
      <c r="K87" s="251" t="str">
        <f>IFERROR(__xludf.DUMMYFUNCTION("""COMPUTED_VALUE"""),"")</f>
        <v/>
      </c>
      <c r="L87" s="252" t="str">
        <f>IFERROR(__xludf.DUMMYFUNCTION("""COMPUTED_VALUE"""),"")</f>
        <v/>
      </c>
      <c r="M87" s="253" t="str">
        <f t="shared" si="3"/>
        <v/>
      </c>
      <c r="N87" s="254" t="str">
        <f>IFERROR(__xludf.DUMMYFUNCTION("""COMPUTED_VALUE"""),"")</f>
        <v/>
      </c>
      <c r="O87" s="246" t="str">
        <f>IFERROR(__xludf.DUMMYFUNCTION("""COMPUTED_VALUE"""),"")</f>
        <v/>
      </c>
      <c r="P87" s="247" t="str">
        <f t="shared" si="4"/>
        <v/>
      </c>
      <c r="Q87" s="255" t="str">
        <f>IFERROR(__xludf.DUMMYFUNCTION("""COMPUTED_VALUE"""),"")</f>
        <v/>
      </c>
      <c r="R87" s="249" t="str">
        <f>IFERROR(__xludf.DUMMYFUNCTION("""COMPUTED_VALUE"""),"")</f>
        <v/>
      </c>
      <c r="S87" s="250" t="str">
        <f t="shared" si="5"/>
        <v/>
      </c>
      <c r="T87" s="254" t="str">
        <f>IFERROR(__xludf.DUMMYFUNCTION("""COMPUTED_VALUE"""),"")</f>
        <v/>
      </c>
      <c r="U87" s="246" t="str">
        <f>IFERROR(__xludf.DUMMYFUNCTION("""COMPUTED_VALUE"""),"")</f>
        <v/>
      </c>
      <c r="V87" s="247" t="str">
        <f t="shared" si="6"/>
        <v/>
      </c>
      <c r="W87" s="255" t="str">
        <f>IFERROR(__xludf.DUMMYFUNCTION("""COMPUTED_VALUE"""),"")</f>
        <v/>
      </c>
      <c r="X87" s="249" t="str">
        <f>IFERROR(__xludf.DUMMYFUNCTION("""COMPUTED_VALUE"""),"")</f>
        <v/>
      </c>
      <c r="Y87" s="250" t="str">
        <f t="shared" si="7"/>
        <v/>
      </c>
    </row>
    <row r="88">
      <c r="A88" s="136" t="s">
        <v>134</v>
      </c>
      <c r="B88" s="146">
        <v>46070.0</v>
      </c>
      <c r="C88" s="136" t="s">
        <v>41</v>
      </c>
      <c r="D88" s="136" t="s">
        <v>149</v>
      </c>
      <c r="E88" s="256" t="str">
        <f>IFERROR(__xludf.DUMMYFUNCTION("""COMPUTED_VALUE"""),"")</f>
        <v/>
      </c>
      <c r="F88" s="257" t="str">
        <f>IFERROR(__xludf.DUMMYFUNCTION("""COMPUTED_VALUE"""),"")</f>
        <v/>
      </c>
      <c r="G88" s="247" t="str">
        <f t="shared" si="1"/>
        <v/>
      </c>
      <c r="H88" s="258" t="str">
        <f>IFERROR(__xludf.DUMMYFUNCTION("""COMPUTED_VALUE"""),"")</f>
        <v/>
      </c>
      <c r="I88" s="259" t="str">
        <f>IFERROR(__xludf.DUMMYFUNCTION("""COMPUTED_VALUE"""),"")</f>
        <v/>
      </c>
      <c r="J88" s="250" t="str">
        <f t="shared" si="2"/>
        <v/>
      </c>
      <c r="K88" s="251" t="str">
        <f>IFERROR(__xludf.DUMMYFUNCTION("""COMPUTED_VALUE"""),"")</f>
        <v/>
      </c>
      <c r="L88" s="252" t="str">
        <f>IFERROR(__xludf.DUMMYFUNCTION("""COMPUTED_VALUE"""),"")</f>
        <v/>
      </c>
      <c r="M88" s="253" t="str">
        <f t="shared" si="3"/>
        <v/>
      </c>
      <c r="N88" s="254" t="str">
        <f>IFERROR(__xludf.DUMMYFUNCTION("""COMPUTED_VALUE"""),"")</f>
        <v/>
      </c>
      <c r="O88" s="246" t="str">
        <f>IFERROR(__xludf.DUMMYFUNCTION("""COMPUTED_VALUE"""),"")</f>
        <v/>
      </c>
      <c r="P88" s="247" t="str">
        <f t="shared" si="4"/>
        <v/>
      </c>
      <c r="Q88" s="255" t="str">
        <f>IFERROR(__xludf.DUMMYFUNCTION("""COMPUTED_VALUE"""),"")</f>
        <v/>
      </c>
      <c r="R88" s="249" t="str">
        <f>IFERROR(__xludf.DUMMYFUNCTION("""COMPUTED_VALUE"""),"")</f>
        <v/>
      </c>
      <c r="S88" s="250" t="str">
        <f t="shared" si="5"/>
        <v/>
      </c>
      <c r="T88" s="254" t="str">
        <f>IFERROR(__xludf.DUMMYFUNCTION("""COMPUTED_VALUE"""),"")</f>
        <v/>
      </c>
      <c r="U88" s="246" t="str">
        <f>IFERROR(__xludf.DUMMYFUNCTION("""COMPUTED_VALUE"""),"")</f>
        <v/>
      </c>
      <c r="V88" s="247" t="str">
        <f t="shared" si="6"/>
        <v/>
      </c>
      <c r="W88" s="255" t="str">
        <f>IFERROR(__xludf.DUMMYFUNCTION("""COMPUTED_VALUE"""),"")</f>
        <v/>
      </c>
      <c r="X88" s="249" t="str">
        <f>IFERROR(__xludf.DUMMYFUNCTION("""COMPUTED_VALUE"""),"")</f>
        <v/>
      </c>
      <c r="Y88" s="250" t="str">
        <f t="shared" si="7"/>
        <v/>
      </c>
    </row>
    <row r="89">
      <c r="A89" s="136" t="s">
        <v>15</v>
      </c>
      <c r="B89" s="146">
        <v>46070.0</v>
      </c>
      <c r="C89" s="136" t="s">
        <v>41</v>
      </c>
      <c r="D89" s="136" t="s">
        <v>148</v>
      </c>
      <c r="E89" s="256" t="str">
        <f>IFERROR(__xludf.DUMMYFUNCTION("""COMPUTED_VALUE"""),"")</f>
        <v/>
      </c>
      <c r="F89" s="257" t="str">
        <f>IFERROR(__xludf.DUMMYFUNCTION("""COMPUTED_VALUE"""),"")</f>
        <v/>
      </c>
      <c r="G89" s="247" t="str">
        <f t="shared" si="1"/>
        <v/>
      </c>
      <c r="H89" s="258" t="str">
        <f>IFERROR(__xludf.DUMMYFUNCTION("""COMPUTED_VALUE"""),"")</f>
        <v/>
      </c>
      <c r="I89" s="259" t="str">
        <f>IFERROR(__xludf.DUMMYFUNCTION("""COMPUTED_VALUE"""),"")</f>
        <v/>
      </c>
      <c r="J89" s="250" t="str">
        <f t="shared" si="2"/>
        <v/>
      </c>
      <c r="K89" s="251" t="str">
        <f>IFERROR(__xludf.DUMMYFUNCTION("""COMPUTED_VALUE"""),"")</f>
        <v/>
      </c>
      <c r="L89" s="252" t="str">
        <f>IFERROR(__xludf.DUMMYFUNCTION("""COMPUTED_VALUE"""),"")</f>
        <v/>
      </c>
      <c r="M89" s="253" t="str">
        <f t="shared" si="3"/>
        <v/>
      </c>
      <c r="N89" s="254" t="str">
        <f>IFERROR(__xludf.DUMMYFUNCTION("""COMPUTED_VALUE"""),"")</f>
        <v/>
      </c>
      <c r="O89" s="246" t="str">
        <f>IFERROR(__xludf.DUMMYFUNCTION("""COMPUTED_VALUE"""),"")</f>
        <v/>
      </c>
      <c r="P89" s="247" t="str">
        <f t="shared" si="4"/>
        <v/>
      </c>
      <c r="Q89" s="255" t="str">
        <f>IFERROR(__xludf.DUMMYFUNCTION("""COMPUTED_VALUE"""),"")</f>
        <v/>
      </c>
      <c r="R89" s="249" t="str">
        <f>IFERROR(__xludf.DUMMYFUNCTION("""COMPUTED_VALUE"""),"")</f>
        <v/>
      </c>
      <c r="S89" s="250" t="str">
        <f t="shared" si="5"/>
        <v/>
      </c>
      <c r="T89" s="254" t="str">
        <f>IFERROR(__xludf.DUMMYFUNCTION("""COMPUTED_VALUE"""),"")</f>
        <v/>
      </c>
      <c r="U89" s="246" t="str">
        <f>IFERROR(__xludf.DUMMYFUNCTION("""COMPUTED_VALUE"""),"")</f>
        <v/>
      </c>
      <c r="V89" s="247" t="str">
        <f t="shared" si="6"/>
        <v/>
      </c>
      <c r="W89" s="255" t="str">
        <f>IFERROR(__xludf.DUMMYFUNCTION("""COMPUTED_VALUE"""),"")</f>
        <v/>
      </c>
      <c r="X89" s="249" t="str">
        <f>IFERROR(__xludf.DUMMYFUNCTION("""COMPUTED_VALUE"""),"")</f>
        <v/>
      </c>
      <c r="Y89" s="250" t="str">
        <f t="shared" si="7"/>
        <v/>
      </c>
    </row>
    <row r="90">
      <c r="A90" s="136" t="s">
        <v>15</v>
      </c>
      <c r="B90" s="146">
        <v>46070.0</v>
      </c>
      <c r="C90" s="136" t="s">
        <v>41</v>
      </c>
      <c r="D90" s="136" t="s">
        <v>148</v>
      </c>
      <c r="E90" s="256" t="str">
        <f>IFERROR(__xludf.DUMMYFUNCTION("""COMPUTED_VALUE"""),"")</f>
        <v/>
      </c>
      <c r="F90" s="257" t="str">
        <f>IFERROR(__xludf.DUMMYFUNCTION("""COMPUTED_VALUE"""),"")</f>
        <v/>
      </c>
      <c r="G90" s="247" t="str">
        <f t="shared" si="1"/>
        <v/>
      </c>
      <c r="H90" s="258" t="str">
        <f>IFERROR(__xludf.DUMMYFUNCTION("""COMPUTED_VALUE"""),"")</f>
        <v/>
      </c>
      <c r="I90" s="259" t="str">
        <f>IFERROR(__xludf.DUMMYFUNCTION("""COMPUTED_VALUE"""),"")</f>
        <v/>
      </c>
      <c r="J90" s="250" t="str">
        <f t="shared" si="2"/>
        <v/>
      </c>
      <c r="K90" s="251" t="str">
        <f>IFERROR(__xludf.DUMMYFUNCTION("""COMPUTED_VALUE"""),"")</f>
        <v/>
      </c>
      <c r="L90" s="252" t="str">
        <f>IFERROR(__xludf.DUMMYFUNCTION("""COMPUTED_VALUE"""),"")</f>
        <v/>
      </c>
      <c r="M90" s="253" t="str">
        <f t="shared" si="3"/>
        <v/>
      </c>
      <c r="N90" s="254" t="str">
        <f>IFERROR(__xludf.DUMMYFUNCTION("""COMPUTED_VALUE"""),"")</f>
        <v/>
      </c>
      <c r="O90" s="246" t="str">
        <f>IFERROR(__xludf.DUMMYFUNCTION("""COMPUTED_VALUE"""),"")</f>
        <v/>
      </c>
      <c r="P90" s="247" t="str">
        <f t="shared" si="4"/>
        <v/>
      </c>
      <c r="Q90" s="255" t="str">
        <f>IFERROR(__xludf.DUMMYFUNCTION("""COMPUTED_VALUE"""),"")</f>
        <v/>
      </c>
      <c r="R90" s="249" t="str">
        <f>IFERROR(__xludf.DUMMYFUNCTION("""COMPUTED_VALUE"""),"")</f>
        <v/>
      </c>
      <c r="S90" s="250" t="str">
        <f t="shared" si="5"/>
        <v/>
      </c>
      <c r="T90" s="254" t="str">
        <f>IFERROR(__xludf.DUMMYFUNCTION("""COMPUTED_VALUE"""),"")</f>
        <v/>
      </c>
      <c r="U90" s="246" t="str">
        <f>IFERROR(__xludf.DUMMYFUNCTION("""COMPUTED_VALUE"""),"")</f>
        <v/>
      </c>
      <c r="V90" s="247" t="str">
        <f t="shared" si="6"/>
        <v/>
      </c>
      <c r="W90" s="255" t="str">
        <f>IFERROR(__xludf.DUMMYFUNCTION("""COMPUTED_VALUE"""),"")</f>
        <v/>
      </c>
      <c r="X90" s="249" t="str">
        <f>IFERROR(__xludf.DUMMYFUNCTION("""COMPUTED_VALUE"""),"")</f>
        <v/>
      </c>
      <c r="Y90" s="250" t="str">
        <f t="shared" si="7"/>
        <v/>
      </c>
    </row>
    <row r="91">
      <c r="A91" s="136" t="s">
        <v>18</v>
      </c>
      <c r="B91" s="146">
        <v>46070.0</v>
      </c>
      <c r="C91" s="136" t="s">
        <v>41</v>
      </c>
      <c r="D91" s="136" t="s">
        <v>149</v>
      </c>
      <c r="E91" s="256" t="str">
        <f>IFERROR(__xludf.DUMMYFUNCTION("""COMPUTED_VALUE"""),"")</f>
        <v/>
      </c>
      <c r="F91" s="257" t="str">
        <f>IFERROR(__xludf.DUMMYFUNCTION("""COMPUTED_VALUE"""),"")</f>
        <v/>
      </c>
      <c r="G91" s="247" t="str">
        <f t="shared" si="1"/>
        <v/>
      </c>
      <c r="H91" s="258" t="str">
        <f>IFERROR(__xludf.DUMMYFUNCTION("""COMPUTED_VALUE"""),"")</f>
        <v/>
      </c>
      <c r="I91" s="259" t="str">
        <f>IFERROR(__xludf.DUMMYFUNCTION("""COMPUTED_VALUE"""),"")</f>
        <v/>
      </c>
      <c r="J91" s="250" t="str">
        <f t="shared" si="2"/>
        <v/>
      </c>
      <c r="K91" s="251" t="str">
        <f>IFERROR(__xludf.DUMMYFUNCTION("""COMPUTED_VALUE"""),"")</f>
        <v/>
      </c>
      <c r="L91" s="252" t="str">
        <f>IFERROR(__xludf.DUMMYFUNCTION("""COMPUTED_VALUE"""),"")</f>
        <v/>
      </c>
      <c r="M91" s="253" t="str">
        <f t="shared" si="3"/>
        <v/>
      </c>
      <c r="N91" s="254" t="str">
        <f>IFERROR(__xludf.DUMMYFUNCTION("""COMPUTED_VALUE"""),"")</f>
        <v/>
      </c>
      <c r="O91" s="246" t="str">
        <f>IFERROR(__xludf.DUMMYFUNCTION("""COMPUTED_VALUE"""),"")</f>
        <v/>
      </c>
      <c r="P91" s="247" t="str">
        <f t="shared" si="4"/>
        <v/>
      </c>
      <c r="Q91" s="255" t="str">
        <f>IFERROR(__xludf.DUMMYFUNCTION("""COMPUTED_VALUE"""),"")</f>
        <v/>
      </c>
      <c r="R91" s="249" t="str">
        <f>IFERROR(__xludf.DUMMYFUNCTION("""COMPUTED_VALUE"""),"")</f>
        <v/>
      </c>
      <c r="S91" s="250" t="str">
        <f t="shared" si="5"/>
        <v/>
      </c>
      <c r="T91" s="254" t="str">
        <f>IFERROR(__xludf.DUMMYFUNCTION("""COMPUTED_VALUE"""),"")</f>
        <v/>
      </c>
      <c r="U91" s="246" t="str">
        <f>IFERROR(__xludf.DUMMYFUNCTION("""COMPUTED_VALUE"""),"")</f>
        <v/>
      </c>
      <c r="V91" s="247" t="str">
        <f t="shared" si="6"/>
        <v/>
      </c>
      <c r="W91" s="255" t="str">
        <f>IFERROR(__xludf.DUMMYFUNCTION("""COMPUTED_VALUE"""),"")</f>
        <v/>
      </c>
      <c r="X91" s="249" t="str">
        <f>IFERROR(__xludf.DUMMYFUNCTION("""COMPUTED_VALUE"""),"")</f>
        <v/>
      </c>
      <c r="Y91" s="250" t="str">
        <f t="shared" si="7"/>
        <v/>
      </c>
    </row>
    <row r="92">
      <c r="A92" s="136" t="s">
        <v>18</v>
      </c>
      <c r="B92" s="146">
        <v>46070.0</v>
      </c>
      <c r="C92" s="136" t="s">
        <v>41</v>
      </c>
      <c r="D92" s="136" t="s">
        <v>149</v>
      </c>
      <c r="E92" s="256">
        <f>IFERROR(__xludf.DUMMYFUNCTION("""COMPUTED_VALUE"""),210.0)</f>
        <v>210</v>
      </c>
      <c r="F92" s="257">
        <f>IFERROR(__xludf.DUMMYFUNCTION("""COMPUTED_VALUE"""),0.10347222221025731)</f>
        <v>0.1034722222</v>
      </c>
      <c r="G92" s="247">
        <f t="shared" si="1"/>
        <v>84.5637584</v>
      </c>
      <c r="H92" s="258">
        <f>IFERROR(__xludf.DUMMYFUNCTION("""COMPUTED_VALUE"""),117.0)</f>
        <v>117</v>
      </c>
      <c r="I92" s="259">
        <f>IFERROR(__xludf.DUMMYFUNCTION("""COMPUTED_VALUE"""),0.1131944444423425)</f>
        <v>0.1131944444</v>
      </c>
      <c r="J92" s="250">
        <f t="shared" si="2"/>
        <v>43.06748466</v>
      </c>
      <c r="K92" s="251">
        <f>IFERROR(__xludf.DUMMYFUNCTION("""COMPUTED_VALUE"""),0.0)</f>
        <v>0</v>
      </c>
      <c r="L92" s="252">
        <f>IFERROR(__xludf.DUMMYFUNCTION("""COMPUTED_VALUE"""),0.0)</f>
        <v>0</v>
      </c>
      <c r="M92" s="253" t="str">
        <f t="shared" si="3"/>
        <v/>
      </c>
      <c r="N92" s="254">
        <f>IFERROR(__xludf.DUMMYFUNCTION("""COMPUTED_VALUE"""),0.0)</f>
        <v>0</v>
      </c>
      <c r="O92" s="246">
        <f>IFERROR(__xludf.DUMMYFUNCTION("""COMPUTED_VALUE"""),0.0)</f>
        <v>0</v>
      </c>
      <c r="P92" s="247" t="str">
        <f t="shared" si="4"/>
        <v/>
      </c>
      <c r="Q92" s="255">
        <f>IFERROR(__xludf.DUMMYFUNCTION("""COMPUTED_VALUE"""),315.0)</f>
        <v>315</v>
      </c>
      <c r="R92" s="249">
        <f>IFERROR(__xludf.DUMMYFUNCTION("""COMPUTED_VALUE"""),0.15624999999272404)</f>
        <v>0.15625</v>
      </c>
      <c r="S92" s="250">
        <f t="shared" si="5"/>
        <v>84</v>
      </c>
      <c r="T92" s="254">
        <f>IFERROR(__xludf.DUMMYFUNCTION("""COMPUTED_VALUE"""),210.0)</f>
        <v>210</v>
      </c>
      <c r="U92" s="246">
        <f>IFERROR(__xludf.DUMMYFUNCTION("""COMPUTED_VALUE"""),0.10347222221025731)</f>
        <v>0.1034722222</v>
      </c>
      <c r="V92" s="247">
        <f t="shared" si="6"/>
        <v>84.5637584</v>
      </c>
      <c r="W92" s="255">
        <f>IFERROR(__xludf.DUMMYFUNCTION("""COMPUTED_VALUE"""),432.0)</f>
        <v>432</v>
      </c>
      <c r="X92" s="249">
        <f>IFERROR(__xludf.DUMMYFUNCTION("""COMPUTED_VALUE"""),0.26944444443506654)</f>
        <v>0.2694444444</v>
      </c>
      <c r="Y92" s="250">
        <f t="shared" si="7"/>
        <v>66.80412371</v>
      </c>
    </row>
    <row r="93">
      <c r="A93" s="136" t="s">
        <v>18</v>
      </c>
      <c r="B93" s="146">
        <v>46070.0</v>
      </c>
      <c r="C93" s="136" t="s">
        <v>41</v>
      </c>
      <c r="D93" s="136" t="s">
        <v>148</v>
      </c>
      <c r="E93" s="256" t="str">
        <f>IFERROR(__xludf.DUMMYFUNCTION("""COMPUTED_VALUE"""),"")</f>
        <v/>
      </c>
      <c r="F93" s="257" t="str">
        <f>IFERROR(__xludf.DUMMYFUNCTION("""COMPUTED_VALUE"""),"")</f>
        <v/>
      </c>
      <c r="G93" s="247" t="str">
        <f t="shared" si="1"/>
        <v/>
      </c>
      <c r="H93" s="258" t="str">
        <f>IFERROR(__xludf.DUMMYFUNCTION("""COMPUTED_VALUE"""),"")</f>
        <v/>
      </c>
      <c r="I93" s="259" t="str">
        <f>IFERROR(__xludf.DUMMYFUNCTION("""COMPUTED_VALUE"""),"")</f>
        <v/>
      </c>
      <c r="J93" s="250" t="str">
        <f t="shared" si="2"/>
        <v/>
      </c>
      <c r="K93" s="251" t="str">
        <f>IFERROR(__xludf.DUMMYFUNCTION("""COMPUTED_VALUE"""),"")</f>
        <v/>
      </c>
      <c r="L93" s="252" t="str">
        <f>IFERROR(__xludf.DUMMYFUNCTION("""COMPUTED_VALUE"""),"")</f>
        <v/>
      </c>
      <c r="M93" s="253" t="str">
        <f t="shared" si="3"/>
        <v/>
      </c>
      <c r="N93" s="254" t="str">
        <f>IFERROR(__xludf.DUMMYFUNCTION("""COMPUTED_VALUE"""),"")</f>
        <v/>
      </c>
      <c r="O93" s="246" t="str">
        <f>IFERROR(__xludf.DUMMYFUNCTION("""COMPUTED_VALUE"""),"")</f>
        <v/>
      </c>
      <c r="P93" s="247" t="str">
        <f t="shared" si="4"/>
        <v/>
      </c>
      <c r="Q93" s="255" t="str">
        <f>IFERROR(__xludf.DUMMYFUNCTION("""COMPUTED_VALUE"""),"")</f>
        <v/>
      </c>
      <c r="R93" s="249" t="str">
        <f>IFERROR(__xludf.DUMMYFUNCTION("""COMPUTED_VALUE"""),"")</f>
        <v/>
      </c>
      <c r="S93" s="250" t="str">
        <f t="shared" si="5"/>
        <v/>
      </c>
      <c r="T93" s="254" t="str">
        <f>IFERROR(__xludf.DUMMYFUNCTION("""COMPUTED_VALUE"""),"")</f>
        <v/>
      </c>
      <c r="U93" s="246" t="str">
        <f>IFERROR(__xludf.DUMMYFUNCTION("""COMPUTED_VALUE"""),"")</f>
        <v/>
      </c>
      <c r="V93" s="247" t="str">
        <f t="shared" si="6"/>
        <v/>
      </c>
      <c r="W93" s="255" t="str">
        <f>IFERROR(__xludf.DUMMYFUNCTION("""COMPUTED_VALUE"""),"")</f>
        <v/>
      </c>
      <c r="X93" s="249" t="str">
        <f>IFERROR(__xludf.DUMMYFUNCTION("""COMPUTED_VALUE"""),"")</f>
        <v/>
      </c>
      <c r="Y93" s="250" t="str">
        <f t="shared" si="7"/>
        <v/>
      </c>
    </row>
    <row r="94">
      <c r="A94" s="136" t="s">
        <v>12</v>
      </c>
      <c r="B94" s="146">
        <v>46071.0</v>
      </c>
      <c r="C94" s="136" t="s">
        <v>45</v>
      </c>
      <c r="D94" s="136" t="s">
        <v>149</v>
      </c>
      <c r="E94" s="256" t="str">
        <f>IFERROR(__xludf.DUMMYFUNCTION("""COMPUTED_VALUE"""),"")</f>
        <v/>
      </c>
      <c r="F94" s="257" t="str">
        <f>IFERROR(__xludf.DUMMYFUNCTION("""COMPUTED_VALUE"""),"")</f>
        <v/>
      </c>
      <c r="G94" s="247" t="str">
        <f t="shared" si="1"/>
        <v/>
      </c>
      <c r="H94" s="258" t="str">
        <f>IFERROR(__xludf.DUMMYFUNCTION("""COMPUTED_VALUE"""),"")</f>
        <v/>
      </c>
      <c r="I94" s="259" t="str">
        <f>IFERROR(__xludf.DUMMYFUNCTION("""COMPUTED_VALUE"""),"")</f>
        <v/>
      </c>
      <c r="J94" s="250" t="str">
        <f t="shared" si="2"/>
        <v/>
      </c>
      <c r="K94" s="251" t="str">
        <f>IFERROR(__xludf.DUMMYFUNCTION("""COMPUTED_VALUE"""),"")</f>
        <v/>
      </c>
      <c r="L94" s="252" t="str">
        <f>IFERROR(__xludf.DUMMYFUNCTION("""COMPUTED_VALUE"""),"")</f>
        <v/>
      </c>
      <c r="M94" s="253" t="str">
        <f t="shared" si="3"/>
        <v/>
      </c>
      <c r="N94" s="254" t="str">
        <f>IFERROR(__xludf.DUMMYFUNCTION("""COMPUTED_VALUE"""),"")</f>
        <v/>
      </c>
      <c r="O94" s="246" t="str">
        <f>IFERROR(__xludf.DUMMYFUNCTION("""COMPUTED_VALUE"""),"")</f>
        <v/>
      </c>
      <c r="P94" s="247" t="str">
        <f t="shared" si="4"/>
        <v/>
      </c>
      <c r="Q94" s="255" t="str">
        <f>IFERROR(__xludf.DUMMYFUNCTION("""COMPUTED_VALUE"""),"")</f>
        <v/>
      </c>
      <c r="R94" s="249" t="str">
        <f>IFERROR(__xludf.DUMMYFUNCTION("""COMPUTED_VALUE"""),"")</f>
        <v/>
      </c>
      <c r="S94" s="250" t="str">
        <f t="shared" si="5"/>
        <v/>
      </c>
      <c r="T94" s="254" t="str">
        <f>IFERROR(__xludf.DUMMYFUNCTION("""COMPUTED_VALUE"""),"")</f>
        <v/>
      </c>
      <c r="U94" s="246" t="str">
        <f>IFERROR(__xludf.DUMMYFUNCTION("""COMPUTED_VALUE"""),"")</f>
        <v/>
      </c>
      <c r="V94" s="247" t="str">
        <f t="shared" si="6"/>
        <v/>
      </c>
      <c r="W94" s="255" t="str">
        <f>IFERROR(__xludf.DUMMYFUNCTION("""COMPUTED_VALUE"""),"")</f>
        <v/>
      </c>
      <c r="X94" s="249" t="str">
        <f>IFERROR(__xludf.DUMMYFUNCTION("""COMPUTED_VALUE"""),"")</f>
        <v/>
      </c>
      <c r="Y94" s="250" t="str">
        <f t="shared" si="7"/>
        <v/>
      </c>
    </row>
    <row r="95">
      <c r="A95" s="136" t="s">
        <v>15</v>
      </c>
      <c r="B95" s="146">
        <v>46071.0</v>
      </c>
      <c r="C95" s="136" t="s">
        <v>45</v>
      </c>
      <c r="D95" s="136" t="s">
        <v>149</v>
      </c>
      <c r="E95" s="256" t="str">
        <f>IFERROR(__xludf.DUMMYFUNCTION("""COMPUTED_VALUE"""),"")</f>
        <v/>
      </c>
      <c r="F95" s="257" t="str">
        <f>IFERROR(__xludf.DUMMYFUNCTION("""COMPUTED_VALUE"""),"")</f>
        <v/>
      </c>
      <c r="G95" s="247" t="str">
        <f t="shared" si="1"/>
        <v/>
      </c>
      <c r="H95" s="258" t="str">
        <f>IFERROR(__xludf.DUMMYFUNCTION("""COMPUTED_VALUE"""),"")</f>
        <v/>
      </c>
      <c r="I95" s="259" t="str">
        <f>IFERROR(__xludf.DUMMYFUNCTION("""COMPUTED_VALUE"""),"")</f>
        <v/>
      </c>
      <c r="J95" s="250" t="str">
        <f t="shared" si="2"/>
        <v/>
      </c>
      <c r="K95" s="251" t="str">
        <f>IFERROR(__xludf.DUMMYFUNCTION("""COMPUTED_VALUE"""),"")</f>
        <v/>
      </c>
      <c r="L95" s="252" t="str">
        <f>IFERROR(__xludf.DUMMYFUNCTION("""COMPUTED_VALUE"""),"")</f>
        <v/>
      </c>
      <c r="M95" s="253" t="str">
        <f t="shared" si="3"/>
        <v/>
      </c>
      <c r="N95" s="254" t="str">
        <f>IFERROR(__xludf.DUMMYFUNCTION("""COMPUTED_VALUE"""),"")</f>
        <v/>
      </c>
      <c r="O95" s="246" t="str">
        <f>IFERROR(__xludf.DUMMYFUNCTION("""COMPUTED_VALUE"""),"")</f>
        <v/>
      </c>
      <c r="P95" s="247" t="str">
        <f t="shared" si="4"/>
        <v/>
      </c>
      <c r="Q95" s="255" t="str">
        <f>IFERROR(__xludf.DUMMYFUNCTION("""COMPUTED_VALUE"""),"")</f>
        <v/>
      </c>
      <c r="R95" s="249" t="str">
        <f>IFERROR(__xludf.DUMMYFUNCTION("""COMPUTED_VALUE"""),"")</f>
        <v/>
      </c>
      <c r="S95" s="250" t="str">
        <f t="shared" si="5"/>
        <v/>
      </c>
      <c r="T95" s="254" t="str">
        <f>IFERROR(__xludf.DUMMYFUNCTION("""COMPUTED_VALUE"""),"")</f>
        <v/>
      </c>
      <c r="U95" s="246" t="str">
        <f>IFERROR(__xludf.DUMMYFUNCTION("""COMPUTED_VALUE"""),"")</f>
        <v/>
      </c>
      <c r="V95" s="247" t="str">
        <f t="shared" si="6"/>
        <v/>
      </c>
      <c r="W95" s="255" t="str">
        <f>IFERROR(__xludf.DUMMYFUNCTION("""COMPUTED_VALUE"""),"")</f>
        <v/>
      </c>
      <c r="X95" s="249" t="str">
        <f>IFERROR(__xludf.DUMMYFUNCTION("""COMPUTED_VALUE"""),"")</f>
        <v/>
      </c>
      <c r="Y95" s="250" t="str">
        <f t="shared" si="7"/>
        <v/>
      </c>
    </row>
    <row r="96">
      <c r="A96" s="136" t="s">
        <v>15</v>
      </c>
      <c r="B96" s="146">
        <v>46071.0</v>
      </c>
      <c r="C96" s="136" t="s">
        <v>45</v>
      </c>
      <c r="D96" s="136" t="s">
        <v>148</v>
      </c>
      <c r="E96" s="256" t="str">
        <f>IFERROR(__xludf.DUMMYFUNCTION("""COMPUTED_VALUE"""),"")</f>
        <v/>
      </c>
      <c r="F96" s="257" t="str">
        <f>IFERROR(__xludf.DUMMYFUNCTION("""COMPUTED_VALUE"""),"")</f>
        <v/>
      </c>
      <c r="G96" s="247" t="str">
        <f t="shared" si="1"/>
        <v/>
      </c>
      <c r="H96" s="258" t="str">
        <f>IFERROR(__xludf.DUMMYFUNCTION("""COMPUTED_VALUE"""),"")</f>
        <v/>
      </c>
      <c r="I96" s="259" t="str">
        <f>IFERROR(__xludf.DUMMYFUNCTION("""COMPUTED_VALUE"""),"")</f>
        <v/>
      </c>
      <c r="J96" s="250" t="str">
        <f t="shared" si="2"/>
        <v/>
      </c>
      <c r="K96" s="251" t="str">
        <f>IFERROR(__xludf.DUMMYFUNCTION("""COMPUTED_VALUE"""),"")</f>
        <v/>
      </c>
      <c r="L96" s="252" t="str">
        <f>IFERROR(__xludf.DUMMYFUNCTION("""COMPUTED_VALUE"""),"")</f>
        <v/>
      </c>
      <c r="M96" s="253" t="str">
        <f t="shared" si="3"/>
        <v/>
      </c>
      <c r="N96" s="254" t="str">
        <f>IFERROR(__xludf.DUMMYFUNCTION("""COMPUTED_VALUE"""),"")</f>
        <v/>
      </c>
      <c r="O96" s="246" t="str">
        <f>IFERROR(__xludf.DUMMYFUNCTION("""COMPUTED_VALUE"""),"")</f>
        <v/>
      </c>
      <c r="P96" s="247" t="str">
        <f t="shared" si="4"/>
        <v/>
      </c>
      <c r="Q96" s="255" t="str">
        <f>IFERROR(__xludf.DUMMYFUNCTION("""COMPUTED_VALUE"""),"")</f>
        <v/>
      </c>
      <c r="R96" s="249" t="str">
        <f>IFERROR(__xludf.DUMMYFUNCTION("""COMPUTED_VALUE"""),"")</f>
        <v/>
      </c>
      <c r="S96" s="250" t="str">
        <f t="shared" si="5"/>
        <v/>
      </c>
      <c r="T96" s="254" t="str">
        <f>IFERROR(__xludf.DUMMYFUNCTION("""COMPUTED_VALUE"""),"")</f>
        <v/>
      </c>
      <c r="U96" s="246" t="str">
        <f>IFERROR(__xludf.DUMMYFUNCTION("""COMPUTED_VALUE"""),"")</f>
        <v/>
      </c>
      <c r="V96" s="247" t="str">
        <f t="shared" si="6"/>
        <v/>
      </c>
      <c r="W96" s="255" t="str">
        <f>IFERROR(__xludf.DUMMYFUNCTION("""COMPUTED_VALUE"""),"")</f>
        <v/>
      </c>
      <c r="X96" s="249" t="str">
        <f>IFERROR(__xludf.DUMMYFUNCTION("""COMPUTED_VALUE"""),"")</f>
        <v/>
      </c>
      <c r="Y96" s="250" t="str">
        <f t="shared" si="7"/>
        <v/>
      </c>
    </row>
    <row r="97">
      <c r="A97" s="136" t="s">
        <v>18</v>
      </c>
      <c r="B97" s="146">
        <v>46071.0</v>
      </c>
      <c r="C97" s="136" t="s">
        <v>45</v>
      </c>
      <c r="D97" s="136" t="s">
        <v>148</v>
      </c>
      <c r="E97" s="256" t="str">
        <f>IFERROR(__xludf.DUMMYFUNCTION("""COMPUTED_VALUE"""),"")</f>
        <v/>
      </c>
      <c r="F97" s="257" t="str">
        <f>IFERROR(__xludf.DUMMYFUNCTION("""COMPUTED_VALUE"""),"")</f>
        <v/>
      </c>
      <c r="G97" s="247" t="str">
        <f t="shared" si="1"/>
        <v/>
      </c>
      <c r="H97" s="258" t="str">
        <f>IFERROR(__xludf.DUMMYFUNCTION("""COMPUTED_VALUE"""),"")</f>
        <v/>
      </c>
      <c r="I97" s="259" t="str">
        <f>IFERROR(__xludf.DUMMYFUNCTION("""COMPUTED_VALUE"""),"")</f>
        <v/>
      </c>
      <c r="J97" s="250" t="str">
        <f t="shared" si="2"/>
        <v/>
      </c>
      <c r="K97" s="251" t="str">
        <f>IFERROR(__xludf.DUMMYFUNCTION("""COMPUTED_VALUE"""),"")</f>
        <v/>
      </c>
      <c r="L97" s="252" t="str">
        <f>IFERROR(__xludf.DUMMYFUNCTION("""COMPUTED_VALUE"""),"")</f>
        <v/>
      </c>
      <c r="M97" s="253" t="str">
        <f t="shared" si="3"/>
        <v/>
      </c>
      <c r="N97" s="254" t="str">
        <f>IFERROR(__xludf.DUMMYFUNCTION("""COMPUTED_VALUE"""),"")</f>
        <v/>
      </c>
      <c r="O97" s="246" t="str">
        <f>IFERROR(__xludf.DUMMYFUNCTION("""COMPUTED_VALUE"""),"")</f>
        <v/>
      </c>
      <c r="P97" s="247" t="str">
        <f t="shared" si="4"/>
        <v/>
      </c>
      <c r="Q97" s="255" t="str">
        <f>IFERROR(__xludf.DUMMYFUNCTION("""COMPUTED_VALUE"""),"")</f>
        <v/>
      </c>
      <c r="R97" s="249" t="str">
        <f>IFERROR(__xludf.DUMMYFUNCTION("""COMPUTED_VALUE"""),"")</f>
        <v/>
      </c>
      <c r="S97" s="250" t="str">
        <f t="shared" si="5"/>
        <v/>
      </c>
      <c r="T97" s="254" t="str">
        <f>IFERROR(__xludf.DUMMYFUNCTION("""COMPUTED_VALUE"""),"")</f>
        <v/>
      </c>
      <c r="U97" s="246" t="str">
        <f>IFERROR(__xludf.DUMMYFUNCTION("""COMPUTED_VALUE"""),"")</f>
        <v/>
      </c>
      <c r="V97" s="247" t="str">
        <f t="shared" si="6"/>
        <v/>
      </c>
      <c r="W97" s="255" t="str">
        <f>IFERROR(__xludf.DUMMYFUNCTION("""COMPUTED_VALUE"""),"")</f>
        <v/>
      </c>
      <c r="X97" s="249" t="str">
        <f>IFERROR(__xludf.DUMMYFUNCTION("""COMPUTED_VALUE"""),"")</f>
        <v/>
      </c>
      <c r="Y97" s="250" t="str">
        <f t="shared" si="7"/>
        <v/>
      </c>
    </row>
    <row r="98">
      <c r="A98" s="136" t="s">
        <v>18</v>
      </c>
      <c r="B98" s="146">
        <v>46071.0</v>
      </c>
      <c r="C98" s="136" t="s">
        <v>45</v>
      </c>
      <c r="D98" s="136" t="s">
        <v>149</v>
      </c>
      <c r="E98" s="256">
        <f>IFERROR(__xludf.DUMMYFUNCTION("""COMPUTED_VALUE"""),99.0)</f>
        <v>99</v>
      </c>
      <c r="F98" s="257">
        <f>IFERROR(__xludf.DUMMYFUNCTION("""COMPUTED_VALUE"""),0.07638888889050577)</f>
        <v>0.07638888889</v>
      </c>
      <c r="G98" s="247">
        <f t="shared" si="1"/>
        <v>54</v>
      </c>
      <c r="H98" s="258">
        <f>IFERROR(__xludf.DUMMYFUNCTION("""COMPUTED_VALUE"""),244.0)</f>
        <v>244</v>
      </c>
      <c r="I98" s="259">
        <f>IFERROR(__xludf.DUMMYFUNCTION("""COMPUTED_VALUE"""),0.15277777778101154)</f>
        <v>0.1527777778</v>
      </c>
      <c r="J98" s="250">
        <f t="shared" si="2"/>
        <v>66.54545454</v>
      </c>
      <c r="K98" s="251">
        <f>IFERROR(__xludf.DUMMYFUNCTION("""COMPUTED_VALUE"""),47.0)</f>
        <v>47</v>
      </c>
      <c r="L98" s="252">
        <f>IFERROR(__xludf.DUMMYFUNCTION("""COMPUTED_VALUE"""),0.09027777778101154)</f>
        <v>0.09027777778</v>
      </c>
      <c r="M98" s="253">
        <f t="shared" si="3"/>
        <v>21.69230769</v>
      </c>
      <c r="N98" s="254">
        <f>IFERROR(__xludf.DUMMYFUNCTION("""COMPUTED_VALUE"""),94.0)</f>
        <v>94</v>
      </c>
      <c r="O98" s="246">
        <f>IFERROR(__xludf.DUMMYFUNCTION("""COMPUTED_VALUE"""),0.07638888889050577)</f>
        <v>0.07638888889</v>
      </c>
      <c r="P98" s="247">
        <f t="shared" si="4"/>
        <v>51.27272727</v>
      </c>
      <c r="Q98" s="255">
        <f>IFERROR(__xludf.DUMMYFUNCTION("""COMPUTED_VALUE"""),109.0)</f>
        <v>109</v>
      </c>
      <c r="R98" s="249">
        <f>IFERROR(__xludf.DUMMYFUNCTION("""COMPUTED_VALUE"""),0.16666666666424135)</f>
        <v>0.1666666667</v>
      </c>
      <c r="S98" s="250">
        <f t="shared" si="5"/>
        <v>27.25</v>
      </c>
      <c r="T98" s="254">
        <f>IFERROR(__xludf.DUMMYFUNCTION("""COMPUTED_VALUE"""),193.0)</f>
        <v>193</v>
      </c>
      <c r="U98" s="246">
        <f>IFERROR(__xludf.DUMMYFUNCTION("""COMPUTED_VALUE"""),0.15277777778101154)</f>
        <v>0.1527777778</v>
      </c>
      <c r="V98" s="247">
        <f t="shared" si="6"/>
        <v>52.63636364</v>
      </c>
      <c r="W98" s="255">
        <f>IFERROR(__xludf.DUMMYFUNCTION("""COMPUTED_VALUE"""),353.0)</f>
        <v>353</v>
      </c>
      <c r="X98" s="249">
        <f>IFERROR(__xludf.DUMMYFUNCTION("""COMPUTED_VALUE"""),0.3194444444452529)</f>
        <v>0.3194444444</v>
      </c>
      <c r="Y98" s="250">
        <f t="shared" si="7"/>
        <v>46.04347826</v>
      </c>
    </row>
    <row r="99">
      <c r="A99" s="136" t="s">
        <v>18</v>
      </c>
      <c r="B99" s="146">
        <v>46071.0</v>
      </c>
      <c r="C99" s="136" t="s">
        <v>45</v>
      </c>
      <c r="D99" s="136" t="s">
        <v>148</v>
      </c>
      <c r="E99" s="256" t="str">
        <f>IFERROR(__xludf.DUMMYFUNCTION("""COMPUTED_VALUE"""),"")</f>
        <v/>
      </c>
      <c r="F99" s="257" t="str">
        <f>IFERROR(__xludf.DUMMYFUNCTION("""COMPUTED_VALUE"""),"")</f>
        <v/>
      </c>
      <c r="G99" s="247" t="str">
        <f t="shared" si="1"/>
        <v/>
      </c>
      <c r="H99" s="258" t="str">
        <f>IFERROR(__xludf.DUMMYFUNCTION("""COMPUTED_VALUE"""),"")</f>
        <v/>
      </c>
      <c r="I99" s="259" t="str">
        <f>IFERROR(__xludf.DUMMYFUNCTION("""COMPUTED_VALUE"""),"")</f>
        <v/>
      </c>
      <c r="J99" s="250" t="str">
        <f t="shared" si="2"/>
        <v/>
      </c>
      <c r="K99" s="251" t="str">
        <f>IFERROR(__xludf.DUMMYFUNCTION("""COMPUTED_VALUE"""),"")</f>
        <v/>
      </c>
      <c r="L99" s="252" t="str">
        <f>IFERROR(__xludf.DUMMYFUNCTION("""COMPUTED_VALUE"""),"")</f>
        <v/>
      </c>
      <c r="M99" s="253" t="str">
        <f t="shared" si="3"/>
        <v/>
      </c>
      <c r="N99" s="254" t="str">
        <f>IFERROR(__xludf.DUMMYFUNCTION("""COMPUTED_VALUE"""),"")</f>
        <v/>
      </c>
      <c r="O99" s="246" t="str">
        <f>IFERROR(__xludf.DUMMYFUNCTION("""COMPUTED_VALUE"""),"")</f>
        <v/>
      </c>
      <c r="P99" s="247" t="str">
        <f t="shared" si="4"/>
        <v/>
      </c>
      <c r="Q99" s="255" t="str">
        <f>IFERROR(__xludf.DUMMYFUNCTION("""COMPUTED_VALUE"""),"")</f>
        <v/>
      </c>
      <c r="R99" s="249" t="str">
        <f>IFERROR(__xludf.DUMMYFUNCTION("""COMPUTED_VALUE"""),"")</f>
        <v/>
      </c>
      <c r="S99" s="250" t="str">
        <f t="shared" si="5"/>
        <v/>
      </c>
      <c r="T99" s="254" t="str">
        <f>IFERROR(__xludf.DUMMYFUNCTION("""COMPUTED_VALUE"""),"")</f>
        <v/>
      </c>
      <c r="U99" s="246" t="str">
        <f>IFERROR(__xludf.DUMMYFUNCTION("""COMPUTED_VALUE"""),"")</f>
        <v/>
      </c>
      <c r="V99" s="247" t="str">
        <f t="shared" si="6"/>
        <v/>
      </c>
      <c r="W99" s="255" t="str">
        <f>IFERROR(__xludf.DUMMYFUNCTION("""COMPUTED_VALUE"""),"")</f>
        <v/>
      </c>
      <c r="X99" s="249" t="str">
        <f>IFERROR(__xludf.DUMMYFUNCTION("""COMPUTED_VALUE"""),"")</f>
        <v/>
      </c>
      <c r="Y99" s="250" t="str">
        <f t="shared" si="7"/>
        <v/>
      </c>
    </row>
    <row r="100">
      <c r="A100" s="136" t="s">
        <v>12</v>
      </c>
      <c r="B100" s="146">
        <v>46072.0</v>
      </c>
      <c r="C100" s="136" t="s">
        <v>49</v>
      </c>
      <c r="D100" s="136" t="s">
        <v>149</v>
      </c>
      <c r="E100" s="256" t="str">
        <f>IFERROR(__xludf.DUMMYFUNCTION("""COMPUTED_VALUE"""),"")</f>
        <v/>
      </c>
      <c r="F100" s="257" t="str">
        <f>IFERROR(__xludf.DUMMYFUNCTION("""COMPUTED_VALUE"""),"")</f>
        <v/>
      </c>
      <c r="G100" s="247" t="str">
        <f t="shared" si="1"/>
        <v/>
      </c>
      <c r="H100" s="258" t="str">
        <f>IFERROR(__xludf.DUMMYFUNCTION("""COMPUTED_VALUE"""),"")</f>
        <v/>
      </c>
      <c r="I100" s="259" t="str">
        <f>IFERROR(__xludf.DUMMYFUNCTION("""COMPUTED_VALUE"""),"")</f>
        <v/>
      </c>
      <c r="J100" s="250" t="str">
        <f t="shared" si="2"/>
        <v/>
      </c>
      <c r="K100" s="251" t="str">
        <f>IFERROR(__xludf.DUMMYFUNCTION("""COMPUTED_VALUE"""),"")</f>
        <v/>
      </c>
      <c r="L100" s="252" t="str">
        <f>IFERROR(__xludf.DUMMYFUNCTION("""COMPUTED_VALUE"""),"")</f>
        <v/>
      </c>
      <c r="M100" s="253" t="str">
        <f t="shared" si="3"/>
        <v/>
      </c>
      <c r="N100" s="254" t="str">
        <f>IFERROR(__xludf.DUMMYFUNCTION("""COMPUTED_VALUE"""),"")</f>
        <v/>
      </c>
      <c r="O100" s="246" t="str">
        <f>IFERROR(__xludf.DUMMYFUNCTION("""COMPUTED_VALUE"""),"")</f>
        <v/>
      </c>
      <c r="P100" s="247" t="str">
        <f t="shared" si="4"/>
        <v/>
      </c>
      <c r="Q100" s="255" t="str">
        <f>IFERROR(__xludf.DUMMYFUNCTION("""COMPUTED_VALUE"""),"")</f>
        <v/>
      </c>
      <c r="R100" s="249" t="str">
        <f>IFERROR(__xludf.DUMMYFUNCTION("""COMPUTED_VALUE"""),"")</f>
        <v/>
      </c>
      <c r="S100" s="250" t="str">
        <f t="shared" si="5"/>
        <v/>
      </c>
      <c r="T100" s="254" t="str">
        <f>IFERROR(__xludf.DUMMYFUNCTION("""COMPUTED_VALUE"""),"")</f>
        <v/>
      </c>
      <c r="U100" s="246" t="str">
        <f>IFERROR(__xludf.DUMMYFUNCTION("""COMPUTED_VALUE"""),"")</f>
        <v/>
      </c>
      <c r="V100" s="247" t="str">
        <f t="shared" si="6"/>
        <v/>
      </c>
      <c r="W100" s="255" t="str">
        <f>IFERROR(__xludf.DUMMYFUNCTION("""COMPUTED_VALUE"""),"")</f>
        <v/>
      </c>
      <c r="X100" s="249" t="str">
        <f>IFERROR(__xludf.DUMMYFUNCTION("""COMPUTED_VALUE"""),"")</f>
        <v/>
      </c>
      <c r="Y100" s="250" t="str">
        <f t="shared" si="7"/>
        <v/>
      </c>
    </row>
    <row r="101">
      <c r="A101" s="136" t="s">
        <v>12</v>
      </c>
      <c r="B101" s="146">
        <v>46072.0</v>
      </c>
      <c r="C101" s="136" t="s">
        <v>49</v>
      </c>
      <c r="D101" s="136" t="s">
        <v>149</v>
      </c>
      <c r="E101" s="256" t="str">
        <f>IFERROR(__xludf.DUMMYFUNCTION("""COMPUTED_VALUE"""),"")</f>
        <v/>
      </c>
      <c r="F101" s="257" t="str">
        <f>IFERROR(__xludf.DUMMYFUNCTION("""COMPUTED_VALUE"""),"")</f>
        <v/>
      </c>
      <c r="G101" s="247" t="str">
        <f t="shared" si="1"/>
        <v/>
      </c>
      <c r="H101" s="258" t="str">
        <f>IFERROR(__xludf.DUMMYFUNCTION("""COMPUTED_VALUE"""),"")</f>
        <v/>
      </c>
      <c r="I101" s="259" t="str">
        <f>IFERROR(__xludf.DUMMYFUNCTION("""COMPUTED_VALUE"""),"")</f>
        <v/>
      </c>
      <c r="J101" s="250" t="str">
        <f t="shared" si="2"/>
        <v/>
      </c>
      <c r="K101" s="251" t="str">
        <f>IFERROR(__xludf.DUMMYFUNCTION("""COMPUTED_VALUE"""),"")</f>
        <v/>
      </c>
      <c r="L101" s="252" t="str">
        <f>IFERROR(__xludf.DUMMYFUNCTION("""COMPUTED_VALUE"""),"")</f>
        <v/>
      </c>
      <c r="M101" s="253" t="str">
        <f t="shared" si="3"/>
        <v/>
      </c>
      <c r="N101" s="254" t="str">
        <f>IFERROR(__xludf.DUMMYFUNCTION("""COMPUTED_VALUE"""),"")</f>
        <v/>
      </c>
      <c r="O101" s="246" t="str">
        <f>IFERROR(__xludf.DUMMYFUNCTION("""COMPUTED_VALUE"""),"")</f>
        <v/>
      </c>
      <c r="P101" s="247" t="str">
        <f t="shared" si="4"/>
        <v/>
      </c>
      <c r="Q101" s="255" t="str">
        <f>IFERROR(__xludf.DUMMYFUNCTION("""COMPUTED_VALUE"""),"")</f>
        <v/>
      </c>
      <c r="R101" s="249" t="str">
        <f>IFERROR(__xludf.DUMMYFUNCTION("""COMPUTED_VALUE"""),"")</f>
        <v/>
      </c>
      <c r="S101" s="250" t="str">
        <f t="shared" si="5"/>
        <v/>
      </c>
      <c r="T101" s="254" t="str">
        <f>IFERROR(__xludf.DUMMYFUNCTION("""COMPUTED_VALUE"""),"")</f>
        <v/>
      </c>
      <c r="U101" s="246" t="str">
        <f>IFERROR(__xludf.DUMMYFUNCTION("""COMPUTED_VALUE"""),"")</f>
        <v/>
      </c>
      <c r="V101" s="247" t="str">
        <f t="shared" si="6"/>
        <v/>
      </c>
      <c r="W101" s="255" t="str">
        <f>IFERROR(__xludf.DUMMYFUNCTION("""COMPUTED_VALUE"""),"")</f>
        <v/>
      </c>
      <c r="X101" s="249" t="str">
        <f>IFERROR(__xludf.DUMMYFUNCTION("""COMPUTED_VALUE"""),"")</f>
        <v/>
      </c>
      <c r="Y101" s="250" t="str">
        <f t="shared" si="7"/>
        <v/>
      </c>
    </row>
    <row r="102">
      <c r="A102" s="136" t="s">
        <v>134</v>
      </c>
      <c r="B102" s="146">
        <v>46072.0</v>
      </c>
      <c r="C102" s="136" t="s">
        <v>49</v>
      </c>
      <c r="D102" s="136" t="s">
        <v>149</v>
      </c>
      <c r="E102" s="256" t="str">
        <f>IFERROR(__xludf.DUMMYFUNCTION("""COMPUTED_VALUE"""),"")</f>
        <v/>
      </c>
      <c r="F102" s="257" t="str">
        <f>IFERROR(__xludf.DUMMYFUNCTION("""COMPUTED_VALUE"""),"")</f>
        <v/>
      </c>
      <c r="G102" s="247" t="str">
        <f t="shared" si="1"/>
        <v/>
      </c>
      <c r="H102" s="258" t="str">
        <f>IFERROR(__xludf.DUMMYFUNCTION("""COMPUTED_VALUE"""),"")</f>
        <v/>
      </c>
      <c r="I102" s="259" t="str">
        <f>IFERROR(__xludf.DUMMYFUNCTION("""COMPUTED_VALUE"""),"")</f>
        <v/>
      </c>
      <c r="J102" s="250" t="str">
        <f t="shared" si="2"/>
        <v/>
      </c>
      <c r="K102" s="251" t="str">
        <f>IFERROR(__xludf.DUMMYFUNCTION("""COMPUTED_VALUE"""),"")</f>
        <v/>
      </c>
      <c r="L102" s="252" t="str">
        <f>IFERROR(__xludf.DUMMYFUNCTION("""COMPUTED_VALUE"""),"")</f>
        <v/>
      </c>
      <c r="M102" s="253" t="str">
        <f t="shared" si="3"/>
        <v/>
      </c>
      <c r="N102" s="254" t="str">
        <f>IFERROR(__xludf.DUMMYFUNCTION("""COMPUTED_VALUE"""),"")</f>
        <v/>
      </c>
      <c r="O102" s="246" t="str">
        <f>IFERROR(__xludf.DUMMYFUNCTION("""COMPUTED_VALUE"""),"")</f>
        <v/>
      </c>
      <c r="P102" s="247" t="str">
        <f t="shared" si="4"/>
        <v/>
      </c>
      <c r="Q102" s="255" t="str">
        <f>IFERROR(__xludf.DUMMYFUNCTION("""COMPUTED_VALUE"""),"")</f>
        <v/>
      </c>
      <c r="R102" s="249" t="str">
        <f>IFERROR(__xludf.DUMMYFUNCTION("""COMPUTED_VALUE"""),"")</f>
        <v/>
      </c>
      <c r="S102" s="250" t="str">
        <f t="shared" si="5"/>
        <v/>
      </c>
      <c r="T102" s="254" t="str">
        <f>IFERROR(__xludf.DUMMYFUNCTION("""COMPUTED_VALUE"""),"")</f>
        <v/>
      </c>
      <c r="U102" s="246" t="str">
        <f>IFERROR(__xludf.DUMMYFUNCTION("""COMPUTED_VALUE"""),"")</f>
        <v/>
      </c>
      <c r="V102" s="247" t="str">
        <f t="shared" si="6"/>
        <v/>
      </c>
      <c r="W102" s="255" t="str">
        <f>IFERROR(__xludf.DUMMYFUNCTION("""COMPUTED_VALUE"""),"")</f>
        <v/>
      </c>
      <c r="X102" s="249" t="str">
        <f>IFERROR(__xludf.DUMMYFUNCTION("""COMPUTED_VALUE"""),"")</f>
        <v/>
      </c>
      <c r="Y102" s="250" t="str">
        <f t="shared" si="7"/>
        <v/>
      </c>
    </row>
    <row r="103">
      <c r="A103" s="136" t="s">
        <v>15</v>
      </c>
      <c r="B103" s="146">
        <v>46072.0</v>
      </c>
      <c r="C103" s="136" t="s">
        <v>49</v>
      </c>
      <c r="D103" s="136" t="s">
        <v>148</v>
      </c>
      <c r="E103" s="256" t="str">
        <f>IFERROR(__xludf.DUMMYFUNCTION("""COMPUTED_VALUE"""),"")</f>
        <v/>
      </c>
      <c r="F103" s="257" t="str">
        <f>IFERROR(__xludf.DUMMYFUNCTION("""COMPUTED_VALUE"""),"")</f>
        <v/>
      </c>
      <c r="G103" s="247" t="str">
        <f t="shared" si="1"/>
        <v/>
      </c>
      <c r="H103" s="258" t="str">
        <f>IFERROR(__xludf.DUMMYFUNCTION("""COMPUTED_VALUE"""),"")</f>
        <v/>
      </c>
      <c r="I103" s="259" t="str">
        <f>IFERROR(__xludf.DUMMYFUNCTION("""COMPUTED_VALUE"""),"")</f>
        <v/>
      </c>
      <c r="J103" s="250" t="str">
        <f t="shared" si="2"/>
        <v/>
      </c>
      <c r="K103" s="251" t="str">
        <f>IFERROR(__xludf.DUMMYFUNCTION("""COMPUTED_VALUE"""),"")</f>
        <v/>
      </c>
      <c r="L103" s="252" t="str">
        <f>IFERROR(__xludf.DUMMYFUNCTION("""COMPUTED_VALUE"""),"")</f>
        <v/>
      </c>
      <c r="M103" s="253" t="str">
        <f t="shared" si="3"/>
        <v/>
      </c>
      <c r="N103" s="254" t="str">
        <f>IFERROR(__xludf.DUMMYFUNCTION("""COMPUTED_VALUE"""),"")</f>
        <v/>
      </c>
      <c r="O103" s="246" t="str">
        <f>IFERROR(__xludf.DUMMYFUNCTION("""COMPUTED_VALUE"""),"")</f>
        <v/>
      </c>
      <c r="P103" s="247" t="str">
        <f t="shared" si="4"/>
        <v/>
      </c>
      <c r="Q103" s="255" t="str">
        <f>IFERROR(__xludf.DUMMYFUNCTION("""COMPUTED_VALUE"""),"")</f>
        <v/>
      </c>
      <c r="R103" s="249" t="str">
        <f>IFERROR(__xludf.DUMMYFUNCTION("""COMPUTED_VALUE"""),"")</f>
        <v/>
      </c>
      <c r="S103" s="250" t="str">
        <f t="shared" si="5"/>
        <v/>
      </c>
      <c r="T103" s="254" t="str">
        <f>IFERROR(__xludf.DUMMYFUNCTION("""COMPUTED_VALUE"""),"")</f>
        <v/>
      </c>
      <c r="U103" s="246" t="str">
        <f>IFERROR(__xludf.DUMMYFUNCTION("""COMPUTED_VALUE"""),"")</f>
        <v/>
      </c>
      <c r="V103" s="247" t="str">
        <f t="shared" si="6"/>
        <v/>
      </c>
      <c r="W103" s="255" t="str">
        <f>IFERROR(__xludf.DUMMYFUNCTION("""COMPUTED_VALUE"""),"")</f>
        <v/>
      </c>
      <c r="X103" s="249" t="str">
        <f>IFERROR(__xludf.DUMMYFUNCTION("""COMPUTED_VALUE"""),"")</f>
        <v/>
      </c>
      <c r="Y103" s="250" t="str">
        <f t="shared" si="7"/>
        <v/>
      </c>
    </row>
    <row r="104">
      <c r="A104" s="136" t="s">
        <v>15</v>
      </c>
      <c r="B104" s="146">
        <v>46072.0</v>
      </c>
      <c r="C104" s="136" t="s">
        <v>49</v>
      </c>
      <c r="D104" s="136" t="s">
        <v>149</v>
      </c>
      <c r="E104" s="256" t="str">
        <f>IFERROR(__xludf.DUMMYFUNCTION("""COMPUTED_VALUE"""),"")</f>
        <v/>
      </c>
      <c r="F104" s="257" t="str">
        <f>IFERROR(__xludf.DUMMYFUNCTION("""COMPUTED_VALUE"""),"")</f>
        <v/>
      </c>
      <c r="G104" s="247" t="str">
        <f t="shared" si="1"/>
        <v/>
      </c>
      <c r="H104" s="258" t="str">
        <f>IFERROR(__xludf.DUMMYFUNCTION("""COMPUTED_VALUE"""),"")</f>
        <v/>
      </c>
      <c r="I104" s="259" t="str">
        <f>IFERROR(__xludf.DUMMYFUNCTION("""COMPUTED_VALUE"""),"")</f>
        <v/>
      </c>
      <c r="J104" s="250" t="str">
        <f t="shared" si="2"/>
        <v/>
      </c>
      <c r="K104" s="251" t="str">
        <f>IFERROR(__xludf.DUMMYFUNCTION("""COMPUTED_VALUE"""),"")</f>
        <v/>
      </c>
      <c r="L104" s="252" t="str">
        <f>IFERROR(__xludf.DUMMYFUNCTION("""COMPUTED_VALUE"""),"")</f>
        <v/>
      </c>
      <c r="M104" s="253" t="str">
        <f t="shared" si="3"/>
        <v/>
      </c>
      <c r="N104" s="254" t="str">
        <f>IFERROR(__xludf.DUMMYFUNCTION("""COMPUTED_VALUE"""),"")</f>
        <v/>
      </c>
      <c r="O104" s="246" t="str">
        <f>IFERROR(__xludf.DUMMYFUNCTION("""COMPUTED_VALUE"""),"")</f>
        <v/>
      </c>
      <c r="P104" s="247" t="str">
        <f t="shared" si="4"/>
        <v/>
      </c>
      <c r="Q104" s="255" t="str">
        <f>IFERROR(__xludf.DUMMYFUNCTION("""COMPUTED_VALUE"""),"")</f>
        <v/>
      </c>
      <c r="R104" s="249" t="str">
        <f>IFERROR(__xludf.DUMMYFUNCTION("""COMPUTED_VALUE"""),"")</f>
        <v/>
      </c>
      <c r="S104" s="250" t="str">
        <f t="shared" si="5"/>
        <v/>
      </c>
      <c r="T104" s="254" t="str">
        <f>IFERROR(__xludf.DUMMYFUNCTION("""COMPUTED_VALUE"""),"")</f>
        <v/>
      </c>
      <c r="U104" s="246" t="str">
        <f>IFERROR(__xludf.DUMMYFUNCTION("""COMPUTED_VALUE"""),"")</f>
        <v/>
      </c>
      <c r="V104" s="247" t="str">
        <f t="shared" si="6"/>
        <v/>
      </c>
      <c r="W104" s="255" t="str">
        <f>IFERROR(__xludf.DUMMYFUNCTION("""COMPUTED_VALUE"""),"")</f>
        <v/>
      </c>
      <c r="X104" s="249" t="str">
        <f>IFERROR(__xludf.DUMMYFUNCTION("""COMPUTED_VALUE"""),"")</f>
        <v/>
      </c>
      <c r="Y104" s="250" t="str">
        <f t="shared" si="7"/>
        <v/>
      </c>
    </row>
    <row r="105">
      <c r="A105" s="136" t="s">
        <v>15</v>
      </c>
      <c r="B105" s="146">
        <v>46072.0</v>
      </c>
      <c r="C105" s="136" t="s">
        <v>49</v>
      </c>
      <c r="D105" s="136" t="s">
        <v>149</v>
      </c>
      <c r="E105" s="256" t="str">
        <f>IFERROR(__xludf.DUMMYFUNCTION("""COMPUTED_VALUE"""),"")</f>
        <v/>
      </c>
      <c r="F105" s="257" t="str">
        <f>IFERROR(__xludf.DUMMYFUNCTION("""COMPUTED_VALUE"""),"")</f>
        <v/>
      </c>
      <c r="G105" s="247" t="str">
        <f t="shared" si="1"/>
        <v/>
      </c>
      <c r="H105" s="258" t="str">
        <f>IFERROR(__xludf.DUMMYFUNCTION("""COMPUTED_VALUE"""),"")</f>
        <v/>
      </c>
      <c r="I105" s="259" t="str">
        <f>IFERROR(__xludf.DUMMYFUNCTION("""COMPUTED_VALUE"""),"")</f>
        <v/>
      </c>
      <c r="J105" s="250" t="str">
        <f t="shared" si="2"/>
        <v/>
      </c>
      <c r="K105" s="317" t="str">
        <f>IFERROR(__xludf.DUMMYFUNCTION("""COMPUTED_VALUE"""),"")</f>
        <v/>
      </c>
      <c r="L105" s="318" t="str">
        <f>IFERROR(__xludf.DUMMYFUNCTION("""COMPUTED_VALUE"""),"")</f>
        <v/>
      </c>
      <c r="M105" s="253" t="str">
        <f t="shared" si="3"/>
        <v/>
      </c>
      <c r="N105" s="319" t="str">
        <f>IFERROR(__xludf.DUMMYFUNCTION("""COMPUTED_VALUE"""),"")</f>
        <v/>
      </c>
      <c r="O105" s="257" t="str">
        <f>IFERROR(__xludf.DUMMYFUNCTION("""COMPUTED_VALUE"""),"")</f>
        <v/>
      </c>
      <c r="P105" s="247" t="str">
        <f t="shared" si="4"/>
        <v/>
      </c>
      <c r="Q105" s="320" t="str">
        <f>IFERROR(__xludf.DUMMYFUNCTION("""COMPUTED_VALUE"""),"")</f>
        <v/>
      </c>
      <c r="R105" s="259" t="str">
        <f>IFERROR(__xludf.DUMMYFUNCTION("""COMPUTED_VALUE"""),"")</f>
        <v/>
      </c>
      <c r="S105" s="250" t="str">
        <f t="shared" si="5"/>
        <v/>
      </c>
      <c r="T105" s="254" t="str">
        <f>IFERROR(__xludf.DUMMYFUNCTION("""COMPUTED_VALUE"""),"")</f>
        <v/>
      </c>
      <c r="U105" s="246" t="str">
        <f>IFERROR(__xludf.DUMMYFUNCTION("""COMPUTED_VALUE"""),"")</f>
        <v/>
      </c>
      <c r="V105" s="247" t="str">
        <f t="shared" si="6"/>
        <v/>
      </c>
      <c r="W105" s="255" t="str">
        <f>IFERROR(__xludf.DUMMYFUNCTION("""COMPUTED_VALUE"""),"")</f>
        <v/>
      </c>
      <c r="X105" s="249" t="str">
        <f>IFERROR(__xludf.DUMMYFUNCTION("""COMPUTED_VALUE"""),"")</f>
        <v/>
      </c>
      <c r="Y105" s="250" t="str">
        <f t="shared" si="7"/>
        <v/>
      </c>
    </row>
    <row r="106">
      <c r="A106" s="136" t="s">
        <v>15</v>
      </c>
      <c r="B106" s="146">
        <v>46072.0</v>
      </c>
      <c r="C106" s="136" t="s">
        <v>49</v>
      </c>
      <c r="D106" s="136" t="s">
        <v>149</v>
      </c>
      <c r="E106" s="256" t="str">
        <f>IFERROR(__xludf.DUMMYFUNCTION("""COMPUTED_VALUE"""),"")</f>
        <v/>
      </c>
      <c r="F106" s="257" t="str">
        <f>IFERROR(__xludf.DUMMYFUNCTION("""COMPUTED_VALUE"""),"")</f>
        <v/>
      </c>
      <c r="G106" s="247" t="str">
        <f t="shared" si="1"/>
        <v/>
      </c>
      <c r="H106" s="258" t="str">
        <f>IFERROR(__xludf.DUMMYFUNCTION("""COMPUTED_VALUE"""),"")</f>
        <v/>
      </c>
      <c r="I106" s="259" t="str">
        <f>IFERROR(__xludf.DUMMYFUNCTION("""COMPUTED_VALUE"""),"")</f>
        <v/>
      </c>
      <c r="J106" s="250" t="str">
        <f t="shared" si="2"/>
        <v/>
      </c>
      <c r="K106" s="317" t="str">
        <f>IFERROR(__xludf.DUMMYFUNCTION("""COMPUTED_VALUE"""),"")</f>
        <v/>
      </c>
      <c r="L106" s="318" t="str">
        <f>IFERROR(__xludf.DUMMYFUNCTION("""COMPUTED_VALUE"""),"")</f>
        <v/>
      </c>
      <c r="M106" s="253" t="str">
        <f t="shared" si="3"/>
        <v/>
      </c>
      <c r="N106" s="319" t="str">
        <f>IFERROR(__xludf.DUMMYFUNCTION("""COMPUTED_VALUE"""),"")</f>
        <v/>
      </c>
      <c r="O106" s="257" t="str">
        <f>IFERROR(__xludf.DUMMYFUNCTION("""COMPUTED_VALUE"""),"")</f>
        <v/>
      </c>
      <c r="P106" s="247" t="str">
        <f t="shared" si="4"/>
        <v/>
      </c>
      <c r="Q106" s="320" t="str">
        <f>IFERROR(__xludf.DUMMYFUNCTION("""COMPUTED_VALUE"""),"")</f>
        <v/>
      </c>
      <c r="R106" s="259" t="str">
        <f>IFERROR(__xludf.DUMMYFUNCTION("""COMPUTED_VALUE"""),"")</f>
        <v/>
      </c>
      <c r="S106" s="250" t="str">
        <f t="shared" si="5"/>
        <v/>
      </c>
      <c r="T106" s="254" t="str">
        <f>IFERROR(__xludf.DUMMYFUNCTION("""COMPUTED_VALUE"""),"")</f>
        <v/>
      </c>
      <c r="U106" s="246" t="str">
        <f>IFERROR(__xludf.DUMMYFUNCTION("""COMPUTED_VALUE"""),"")</f>
        <v/>
      </c>
      <c r="V106" s="247" t="str">
        <f t="shared" si="6"/>
        <v/>
      </c>
      <c r="W106" s="255" t="str">
        <f>IFERROR(__xludf.DUMMYFUNCTION("""COMPUTED_VALUE"""),"")</f>
        <v/>
      </c>
      <c r="X106" s="249" t="str">
        <f>IFERROR(__xludf.DUMMYFUNCTION("""COMPUTED_VALUE"""),"")</f>
        <v/>
      </c>
      <c r="Y106" s="250" t="str">
        <f t="shared" si="7"/>
        <v/>
      </c>
    </row>
    <row r="107">
      <c r="A107" s="136" t="s">
        <v>18</v>
      </c>
      <c r="B107" s="146">
        <v>46072.0</v>
      </c>
      <c r="C107" s="136" t="s">
        <v>49</v>
      </c>
      <c r="D107" s="136" t="s">
        <v>148</v>
      </c>
      <c r="E107" s="256">
        <f>IFERROR(__xludf.DUMMYFUNCTION("""COMPUTED_VALUE"""),36.0)</f>
        <v>36</v>
      </c>
      <c r="F107" s="257">
        <f>IFERROR(__xludf.DUMMYFUNCTION("""COMPUTED_VALUE"""),0.05208333333575865)</f>
        <v>0.05208333334</v>
      </c>
      <c r="G107" s="247">
        <f t="shared" si="1"/>
        <v>28.8</v>
      </c>
      <c r="H107" s="258">
        <f>IFERROR(__xludf.DUMMYFUNCTION("""COMPUTED_VALUE"""),386.0)</f>
        <v>386</v>
      </c>
      <c r="I107" s="259">
        <f>IFERROR(__xludf.DUMMYFUNCTION("""COMPUTED_VALUE"""),0.09027777778101154)</f>
        <v>0.09027777778</v>
      </c>
      <c r="J107" s="250">
        <f t="shared" si="2"/>
        <v>178.1538461</v>
      </c>
      <c r="K107" s="317">
        <f>IFERROR(__xludf.DUMMYFUNCTION("""COMPUTED_VALUE"""),80.0)</f>
        <v>80</v>
      </c>
      <c r="L107" s="318">
        <f>IFERROR(__xludf.DUMMYFUNCTION("""COMPUTED_VALUE"""),0.12569444444670808)</f>
        <v>0.1256944444</v>
      </c>
      <c r="M107" s="253">
        <f t="shared" si="3"/>
        <v>26.51933702</v>
      </c>
      <c r="N107" s="319">
        <f>IFERROR(__xludf.DUMMYFUNCTION("""COMPUTED_VALUE"""),125.0)</f>
        <v>125</v>
      </c>
      <c r="O107" s="257">
        <f>IFERROR(__xludf.DUMMYFUNCTION("""COMPUTED_VALUE"""),0.1263888889006921)</f>
        <v>0.1263888889</v>
      </c>
      <c r="P107" s="247">
        <f t="shared" si="4"/>
        <v>41.2087912</v>
      </c>
      <c r="Q107" s="320">
        <f>IFERROR(__xludf.DUMMYFUNCTION("""COMPUTED_VALUE"""),0.0)</f>
        <v>0</v>
      </c>
      <c r="R107" s="259">
        <f>IFERROR(__xludf.DUMMYFUNCTION("""COMPUTED_VALUE"""),0.0)</f>
        <v>0</v>
      </c>
      <c r="S107" s="250" t="str">
        <f t="shared" si="5"/>
        <v/>
      </c>
      <c r="T107" s="254">
        <f>IFERROR(__xludf.DUMMYFUNCTION("""COMPUTED_VALUE"""),161.0)</f>
        <v>161</v>
      </c>
      <c r="U107" s="246">
        <f>IFERROR(__xludf.DUMMYFUNCTION("""COMPUTED_VALUE"""),0.17847222223645076)</f>
        <v>0.1784722222</v>
      </c>
      <c r="V107" s="247">
        <f t="shared" si="6"/>
        <v>37.58754864</v>
      </c>
      <c r="W107" s="255">
        <f>IFERROR(__xludf.DUMMYFUNCTION("""COMPUTED_VALUE"""),386.0)</f>
        <v>386</v>
      </c>
      <c r="X107" s="249">
        <f>IFERROR(__xludf.DUMMYFUNCTION("""COMPUTED_VALUE"""),0.09027777778101154)</f>
        <v>0.09027777778</v>
      </c>
      <c r="Y107" s="250">
        <f t="shared" si="7"/>
        <v>178.1538461</v>
      </c>
    </row>
    <row r="108">
      <c r="A108" s="136" t="s">
        <v>18</v>
      </c>
      <c r="B108" s="146">
        <v>46072.0</v>
      </c>
      <c r="C108" s="136" t="s">
        <v>49</v>
      </c>
      <c r="D108" s="136" t="s">
        <v>148</v>
      </c>
      <c r="E108" s="256" t="str">
        <f>IFERROR(__xludf.DUMMYFUNCTION("""COMPUTED_VALUE"""),"")</f>
        <v/>
      </c>
      <c r="F108" s="257" t="str">
        <f>IFERROR(__xludf.DUMMYFUNCTION("""COMPUTED_VALUE"""),"")</f>
        <v/>
      </c>
      <c r="G108" s="247" t="str">
        <f t="shared" si="1"/>
        <v/>
      </c>
      <c r="H108" s="258" t="str">
        <f>IFERROR(__xludf.DUMMYFUNCTION("""COMPUTED_VALUE"""),"")</f>
        <v/>
      </c>
      <c r="I108" s="259" t="str">
        <f>IFERROR(__xludf.DUMMYFUNCTION("""COMPUTED_VALUE"""),"")</f>
        <v/>
      </c>
      <c r="J108" s="250" t="str">
        <f t="shared" si="2"/>
        <v/>
      </c>
      <c r="K108" s="317" t="str">
        <f>IFERROR(__xludf.DUMMYFUNCTION("""COMPUTED_VALUE"""),"")</f>
        <v/>
      </c>
      <c r="L108" s="318" t="str">
        <f>IFERROR(__xludf.DUMMYFUNCTION("""COMPUTED_VALUE"""),"")</f>
        <v/>
      </c>
      <c r="M108" s="253" t="str">
        <f t="shared" si="3"/>
        <v/>
      </c>
      <c r="N108" s="319" t="str">
        <f>IFERROR(__xludf.DUMMYFUNCTION("""COMPUTED_VALUE"""),"")</f>
        <v/>
      </c>
      <c r="O108" s="257" t="str">
        <f>IFERROR(__xludf.DUMMYFUNCTION("""COMPUTED_VALUE"""),"")</f>
        <v/>
      </c>
      <c r="P108" s="247" t="str">
        <f t="shared" si="4"/>
        <v/>
      </c>
      <c r="Q108" s="320" t="str">
        <f>IFERROR(__xludf.DUMMYFUNCTION("""COMPUTED_VALUE"""),"")</f>
        <v/>
      </c>
      <c r="R108" s="259" t="str">
        <f>IFERROR(__xludf.DUMMYFUNCTION("""COMPUTED_VALUE"""),"")</f>
        <v/>
      </c>
      <c r="S108" s="250" t="str">
        <f t="shared" si="5"/>
        <v/>
      </c>
      <c r="T108" s="254" t="str">
        <f>IFERROR(__xludf.DUMMYFUNCTION("""COMPUTED_VALUE"""),"")</f>
        <v/>
      </c>
      <c r="U108" s="246" t="str">
        <f>IFERROR(__xludf.DUMMYFUNCTION("""COMPUTED_VALUE"""),"")</f>
        <v/>
      </c>
      <c r="V108" s="247" t="str">
        <f t="shared" si="6"/>
        <v/>
      </c>
      <c r="W108" s="255" t="str">
        <f>IFERROR(__xludf.DUMMYFUNCTION("""COMPUTED_VALUE"""),"")</f>
        <v/>
      </c>
      <c r="X108" s="249" t="str">
        <f>IFERROR(__xludf.DUMMYFUNCTION("""COMPUTED_VALUE"""),"")</f>
        <v/>
      </c>
      <c r="Y108" s="250" t="str">
        <f t="shared" si="7"/>
        <v/>
      </c>
    </row>
    <row r="109">
      <c r="A109" s="136" t="s">
        <v>15</v>
      </c>
      <c r="B109" s="146">
        <v>46073.0</v>
      </c>
      <c r="C109" s="136" t="s">
        <v>53</v>
      </c>
      <c r="D109" s="136" t="s">
        <v>149</v>
      </c>
      <c r="E109" s="256" t="str">
        <f>IFERROR(__xludf.DUMMYFUNCTION("""COMPUTED_VALUE"""),"")</f>
        <v/>
      </c>
      <c r="F109" s="257" t="str">
        <f>IFERROR(__xludf.DUMMYFUNCTION("""COMPUTED_VALUE"""),"")</f>
        <v/>
      </c>
      <c r="G109" s="247" t="str">
        <f t="shared" si="1"/>
        <v/>
      </c>
      <c r="H109" s="258" t="str">
        <f>IFERROR(__xludf.DUMMYFUNCTION("""COMPUTED_VALUE"""),"")</f>
        <v/>
      </c>
      <c r="I109" s="259" t="str">
        <f>IFERROR(__xludf.DUMMYFUNCTION("""COMPUTED_VALUE"""),"")</f>
        <v/>
      </c>
      <c r="J109" s="250" t="str">
        <f t="shared" si="2"/>
        <v/>
      </c>
      <c r="K109" s="317" t="str">
        <f>IFERROR(__xludf.DUMMYFUNCTION("""COMPUTED_VALUE"""),"")</f>
        <v/>
      </c>
      <c r="L109" s="318" t="str">
        <f>IFERROR(__xludf.DUMMYFUNCTION("""COMPUTED_VALUE"""),"")</f>
        <v/>
      </c>
      <c r="M109" s="253" t="str">
        <f t="shared" si="3"/>
        <v/>
      </c>
      <c r="N109" s="319" t="str">
        <f>IFERROR(__xludf.DUMMYFUNCTION("""COMPUTED_VALUE"""),"")</f>
        <v/>
      </c>
      <c r="O109" s="257" t="str">
        <f>IFERROR(__xludf.DUMMYFUNCTION("""COMPUTED_VALUE"""),"")</f>
        <v/>
      </c>
      <c r="P109" s="247" t="str">
        <f t="shared" si="4"/>
        <v/>
      </c>
      <c r="Q109" s="320" t="str">
        <f>IFERROR(__xludf.DUMMYFUNCTION("""COMPUTED_VALUE"""),"")</f>
        <v/>
      </c>
      <c r="R109" s="259" t="str">
        <f>IFERROR(__xludf.DUMMYFUNCTION("""COMPUTED_VALUE"""),"")</f>
        <v/>
      </c>
      <c r="S109" s="250" t="str">
        <f t="shared" si="5"/>
        <v/>
      </c>
      <c r="T109" s="254" t="str">
        <f>IFERROR(__xludf.DUMMYFUNCTION("""COMPUTED_VALUE"""),"")</f>
        <v/>
      </c>
      <c r="U109" s="246" t="str">
        <f>IFERROR(__xludf.DUMMYFUNCTION("""COMPUTED_VALUE"""),"")</f>
        <v/>
      </c>
      <c r="V109" s="247" t="str">
        <f t="shared" si="6"/>
        <v/>
      </c>
      <c r="W109" s="255" t="str">
        <f>IFERROR(__xludf.DUMMYFUNCTION("""COMPUTED_VALUE"""),"")</f>
        <v/>
      </c>
      <c r="X109" s="249" t="str">
        <f>IFERROR(__xludf.DUMMYFUNCTION("""COMPUTED_VALUE"""),"")</f>
        <v/>
      </c>
      <c r="Y109" s="250" t="str">
        <f t="shared" si="7"/>
        <v/>
      </c>
    </row>
    <row r="110">
      <c r="A110" s="136" t="s">
        <v>15</v>
      </c>
      <c r="B110" s="146">
        <v>46073.0</v>
      </c>
      <c r="C110" s="136" t="s">
        <v>53</v>
      </c>
      <c r="D110" s="136" t="s">
        <v>148</v>
      </c>
      <c r="E110" s="256" t="str">
        <f>IFERROR(__xludf.DUMMYFUNCTION("""COMPUTED_VALUE"""),"")</f>
        <v/>
      </c>
      <c r="F110" s="257" t="str">
        <f>IFERROR(__xludf.DUMMYFUNCTION("""COMPUTED_VALUE"""),"")</f>
        <v/>
      </c>
      <c r="G110" s="247" t="str">
        <f t="shared" si="1"/>
        <v/>
      </c>
      <c r="H110" s="258" t="str">
        <f>IFERROR(__xludf.DUMMYFUNCTION("""COMPUTED_VALUE"""),"")</f>
        <v/>
      </c>
      <c r="I110" s="259" t="str">
        <f>IFERROR(__xludf.DUMMYFUNCTION("""COMPUTED_VALUE"""),"")</f>
        <v/>
      </c>
      <c r="J110" s="250" t="str">
        <f t="shared" si="2"/>
        <v/>
      </c>
      <c r="K110" s="317" t="str">
        <f>IFERROR(__xludf.DUMMYFUNCTION("""COMPUTED_VALUE"""),"")</f>
        <v/>
      </c>
      <c r="L110" s="318" t="str">
        <f>IFERROR(__xludf.DUMMYFUNCTION("""COMPUTED_VALUE"""),"")</f>
        <v/>
      </c>
      <c r="M110" s="253" t="str">
        <f t="shared" si="3"/>
        <v/>
      </c>
      <c r="N110" s="319" t="str">
        <f>IFERROR(__xludf.DUMMYFUNCTION("""COMPUTED_VALUE"""),"")</f>
        <v/>
      </c>
      <c r="O110" s="257" t="str">
        <f>IFERROR(__xludf.DUMMYFUNCTION("""COMPUTED_VALUE"""),"")</f>
        <v/>
      </c>
      <c r="P110" s="247" t="str">
        <f t="shared" si="4"/>
        <v/>
      </c>
      <c r="Q110" s="320" t="str">
        <f>IFERROR(__xludf.DUMMYFUNCTION("""COMPUTED_VALUE"""),"")</f>
        <v/>
      </c>
      <c r="R110" s="259" t="str">
        <f>IFERROR(__xludf.DUMMYFUNCTION("""COMPUTED_VALUE"""),"")</f>
        <v/>
      </c>
      <c r="S110" s="250" t="str">
        <f t="shared" si="5"/>
        <v/>
      </c>
      <c r="T110" s="254" t="str">
        <f>IFERROR(__xludf.DUMMYFUNCTION("""COMPUTED_VALUE"""),"")</f>
        <v/>
      </c>
      <c r="U110" s="246" t="str">
        <f>IFERROR(__xludf.DUMMYFUNCTION("""COMPUTED_VALUE"""),"")</f>
        <v/>
      </c>
      <c r="V110" s="247" t="str">
        <f t="shared" si="6"/>
        <v/>
      </c>
      <c r="W110" s="255" t="str">
        <f>IFERROR(__xludf.DUMMYFUNCTION("""COMPUTED_VALUE"""),"")</f>
        <v/>
      </c>
      <c r="X110" s="249" t="str">
        <f>IFERROR(__xludf.DUMMYFUNCTION("""COMPUTED_VALUE"""),"")</f>
        <v/>
      </c>
      <c r="Y110" s="250" t="str">
        <f t="shared" si="7"/>
        <v/>
      </c>
    </row>
    <row r="111">
      <c r="A111" s="136" t="s">
        <v>18</v>
      </c>
      <c r="B111" s="146">
        <v>46073.0</v>
      </c>
      <c r="C111" s="136" t="s">
        <v>53</v>
      </c>
      <c r="D111" s="136" t="s">
        <v>148</v>
      </c>
      <c r="E111" s="256" t="str">
        <f>IFERROR(__xludf.DUMMYFUNCTION("""COMPUTED_VALUE"""),"")</f>
        <v/>
      </c>
      <c r="F111" s="257" t="str">
        <f>IFERROR(__xludf.DUMMYFUNCTION("""COMPUTED_VALUE"""),"")</f>
        <v/>
      </c>
      <c r="G111" s="247" t="str">
        <f t="shared" si="1"/>
        <v/>
      </c>
      <c r="H111" s="258" t="str">
        <f>IFERROR(__xludf.DUMMYFUNCTION("""COMPUTED_VALUE"""),"")</f>
        <v/>
      </c>
      <c r="I111" s="259" t="str">
        <f>IFERROR(__xludf.DUMMYFUNCTION("""COMPUTED_VALUE"""),"")</f>
        <v/>
      </c>
      <c r="J111" s="250" t="str">
        <f t="shared" si="2"/>
        <v/>
      </c>
      <c r="K111" s="317" t="str">
        <f>IFERROR(__xludf.DUMMYFUNCTION("""COMPUTED_VALUE"""),"")</f>
        <v/>
      </c>
      <c r="L111" s="318" t="str">
        <f>IFERROR(__xludf.DUMMYFUNCTION("""COMPUTED_VALUE"""),"")</f>
        <v/>
      </c>
      <c r="M111" s="253" t="str">
        <f t="shared" si="3"/>
        <v/>
      </c>
      <c r="N111" s="319" t="str">
        <f>IFERROR(__xludf.DUMMYFUNCTION("""COMPUTED_VALUE"""),"")</f>
        <v/>
      </c>
      <c r="O111" s="257" t="str">
        <f>IFERROR(__xludf.DUMMYFUNCTION("""COMPUTED_VALUE"""),"")</f>
        <v/>
      </c>
      <c r="P111" s="247" t="str">
        <f t="shared" si="4"/>
        <v/>
      </c>
      <c r="Q111" s="320" t="str">
        <f>IFERROR(__xludf.DUMMYFUNCTION("""COMPUTED_VALUE"""),"")</f>
        <v/>
      </c>
      <c r="R111" s="259" t="str">
        <f>IFERROR(__xludf.DUMMYFUNCTION("""COMPUTED_VALUE"""),"")</f>
        <v/>
      </c>
      <c r="S111" s="250" t="str">
        <f t="shared" si="5"/>
        <v/>
      </c>
      <c r="T111" s="254" t="str">
        <f>IFERROR(__xludf.DUMMYFUNCTION("""COMPUTED_VALUE"""),"")</f>
        <v/>
      </c>
      <c r="U111" s="246" t="str">
        <f>IFERROR(__xludf.DUMMYFUNCTION("""COMPUTED_VALUE"""),"")</f>
        <v/>
      </c>
      <c r="V111" s="247" t="str">
        <f t="shared" si="6"/>
        <v/>
      </c>
      <c r="W111" s="255" t="str">
        <f>IFERROR(__xludf.DUMMYFUNCTION("""COMPUTED_VALUE"""),"")</f>
        <v/>
      </c>
      <c r="X111" s="249" t="str">
        <f>IFERROR(__xludf.DUMMYFUNCTION("""COMPUTED_VALUE"""),"")</f>
        <v/>
      </c>
      <c r="Y111" s="250" t="str">
        <f t="shared" si="7"/>
        <v/>
      </c>
    </row>
    <row r="112">
      <c r="A112" s="136" t="s">
        <v>18</v>
      </c>
      <c r="B112" s="146">
        <v>46073.0</v>
      </c>
      <c r="C112" s="136" t="s">
        <v>53</v>
      </c>
      <c r="D112" s="136" t="s">
        <v>148</v>
      </c>
      <c r="E112" s="256">
        <f>IFERROR(__xludf.DUMMYFUNCTION("""COMPUTED_VALUE"""),173.0)</f>
        <v>173</v>
      </c>
      <c r="F112" s="257">
        <f>IFERROR(__xludf.DUMMYFUNCTION("""COMPUTED_VALUE"""),0.14236111110949423)</f>
        <v>0.1423611111</v>
      </c>
      <c r="G112" s="247">
        <f t="shared" si="1"/>
        <v>50.63414634</v>
      </c>
      <c r="H112" s="258">
        <f>IFERROR(__xludf.DUMMYFUNCTION("""COMPUTED_VALUE"""),356.0)</f>
        <v>356</v>
      </c>
      <c r="I112" s="259">
        <f>IFERROR(__xludf.DUMMYFUNCTION("""COMPUTED_VALUE"""),0.14791666667588288)</f>
        <v>0.1479166667</v>
      </c>
      <c r="J112" s="250">
        <f t="shared" si="2"/>
        <v>100.2816901</v>
      </c>
      <c r="K112" s="317">
        <f>IFERROR(__xludf.DUMMYFUNCTION("""COMPUTED_VALUE"""),0.0)</f>
        <v>0</v>
      </c>
      <c r="L112" s="318">
        <f>IFERROR(__xludf.DUMMYFUNCTION("""COMPUTED_VALUE"""),0.0)</f>
        <v>0</v>
      </c>
      <c r="M112" s="253" t="str">
        <f t="shared" si="3"/>
        <v/>
      </c>
      <c r="N112" s="319">
        <f>IFERROR(__xludf.DUMMYFUNCTION("""COMPUTED_VALUE"""),82.0)</f>
        <v>82</v>
      </c>
      <c r="O112" s="257">
        <f>IFERROR(__xludf.DUMMYFUNCTION("""COMPUTED_VALUE"""),0.12152777778020307)</f>
        <v>0.1215277778</v>
      </c>
      <c r="P112" s="247">
        <f t="shared" si="4"/>
        <v>28.11428571</v>
      </c>
      <c r="Q112" s="320">
        <f>IFERROR(__xludf.DUMMYFUNCTION("""COMPUTED_VALUE"""),0.0)</f>
        <v>0</v>
      </c>
      <c r="R112" s="259">
        <f>IFERROR(__xludf.DUMMYFUNCTION("""COMPUTED_VALUE"""),0.0)</f>
        <v>0</v>
      </c>
      <c r="S112" s="250" t="str">
        <f t="shared" si="5"/>
        <v/>
      </c>
      <c r="T112" s="254">
        <f>IFERROR(__xludf.DUMMYFUNCTION("""COMPUTED_VALUE"""),255.0)</f>
        <v>255</v>
      </c>
      <c r="U112" s="246">
        <f>IFERROR(__xludf.DUMMYFUNCTION("""COMPUTED_VALUE"""),0.2638888888896973)</f>
        <v>0.2638888889</v>
      </c>
      <c r="V112" s="247">
        <f t="shared" si="6"/>
        <v>40.26315789</v>
      </c>
      <c r="W112" s="255">
        <f>IFERROR(__xludf.DUMMYFUNCTION("""COMPUTED_VALUE"""),356.0)</f>
        <v>356</v>
      </c>
      <c r="X112" s="249">
        <f>IFERROR(__xludf.DUMMYFUNCTION("""COMPUTED_VALUE"""),0.14791666667588288)</f>
        <v>0.1479166667</v>
      </c>
      <c r="Y112" s="250">
        <f t="shared" si="7"/>
        <v>100.2816901</v>
      </c>
    </row>
    <row r="113">
      <c r="A113" s="136" t="s">
        <v>18</v>
      </c>
      <c r="B113" s="146">
        <v>46073.0</v>
      </c>
      <c r="C113" s="136" t="s">
        <v>53</v>
      </c>
      <c r="D113" s="136" t="s">
        <v>148</v>
      </c>
      <c r="E113" s="256" t="str">
        <f>IFERROR(__xludf.DUMMYFUNCTION("""COMPUTED_VALUE"""),"")</f>
        <v/>
      </c>
      <c r="F113" s="257" t="str">
        <f>IFERROR(__xludf.DUMMYFUNCTION("""COMPUTED_VALUE"""),"")</f>
        <v/>
      </c>
      <c r="G113" s="247" t="str">
        <f t="shared" si="1"/>
        <v/>
      </c>
      <c r="H113" s="258" t="str">
        <f>IFERROR(__xludf.DUMMYFUNCTION("""COMPUTED_VALUE"""),"")</f>
        <v/>
      </c>
      <c r="I113" s="259" t="str">
        <f>IFERROR(__xludf.DUMMYFUNCTION("""COMPUTED_VALUE"""),"")</f>
        <v/>
      </c>
      <c r="J113" s="250" t="str">
        <f t="shared" si="2"/>
        <v/>
      </c>
      <c r="K113" s="317" t="str">
        <f>IFERROR(__xludf.DUMMYFUNCTION("""COMPUTED_VALUE"""),"")</f>
        <v/>
      </c>
      <c r="L113" s="318" t="str">
        <f>IFERROR(__xludf.DUMMYFUNCTION("""COMPUTED_VALUE"""),"")</f>
        <v/>
      </c>
      <c r="M113" s="253" t="str">
        <f t="shared" si="3"/>
        <v/>
      </c>
      <c r="N113" s="319" t="str">
        <f>IFERROR(__xludf.DUMMYFUNCTION("""COMPUTED_VALUE"""),"")</f>
        <v/>
      </c>
      <c r="O113" s="257" t="str">
        <f>IFERROR(__xludf.DUMMYFUNCTION("""COMPUTED_VALUE"""),"")</f>
        <v/>
      </c>
      <c r="P113" s="247" t="str">
        <f t="shared" si="4"/>
        <v/>
      </c>
      <c r="Q113" s="320" t="str">
        <f>IFERROR(__xludf.DUMMYFUNCTION("""COMPUTED_VALUE"""),"")</f>
        <v/>
      </c>
      <c r="R113" s="259" t="str">
        <f>IFERROR(__xludf.DUMMYFUNCTION("""COMPUTED_VALUE"""),"")</f>
        <v/>
      </c>
      <c r="S113" s="250" t="str">
        <f t="shared" si="5"/>
        <v/>
      </c>
      <c r="T113" s="254" t="str">
        <f>IFERROR(__xludf.DUMMYFUNCTION("""COMPUTED_VALUE"""),"")</f>
        <v/>
      </c>
      <c r="U113" s="246" t="str">
        <f>IFERROR(__xludf.DUMMYFUNCTION("""COMPUTED_VALUE"""),"")</f>
        <v/>
      </c>
      <c r="V113" s="247" t="str">
        <f t="shared" si="6"/>
        <v/>
      </c>
      <c r="W113" s="255" t="str">
        <f>IFERROR(__xludf.DUMMYFUNCTION("""COMPUTED_VALUE"""),"")</f>
        <v/>
      </c>
      <c r="X113" s="249" t="str">
        <f>IFERROR(__xludf.DUMMYFUNCTION("""COMPUTED_VALUE"""),"")</f>
        <v/>
      </c>
      <c r="Y113" s="250" t="str">
        <f t="shared" si="7"/>
        <v/>
      </c>
    </row>
    <row r="114">
      <c r="A114" s="136" t="s">
        <v>15</v>
      </c>
      <c r="B114" s="146">
        <v>46079.0</v>
      </c>
      <c r="C114" s="136" t="s">
        <v>49</v>
      </c>
      <c r="D114" s="136" t="s">
        <v>148</v>
      </c>
      <c r="E114" s="256" t="str">
        <f>IFERROR(__xludf.DUMMYFUNCTION("""COMPUTED_VALUE"""),"")</f>
        <v/>
      </c>
      <c r="F114" s="257" t="str">
        <f>IFERROR(__xludf.DUMMYFUNCTION("""COMPUTED_VALUE"""),"")</f>
        <v/>
      </c>
      <c r="G114" s="247" t="str">
        <f t="shared" si="1"/>
        <v/>
      </c>
      <c r="H114" s="258" t="str">
        <f>IFERROR(__xludf.DUMMYFUNCTION("""COMPUTED_VALUE"""),"")</f>
        <v/>
      </c>
      <c r="I114" s="259" t="str">
        <f>IFERROR(__xludf.DUMMYFUNCTION("""COMPUTED_VALUE"""),"")</f>
        <v/>
      </c>
      <c r="J114" s="250" t="str">
        <f t="shared" si="2"/>
        <v/>
      </c>
      <c r="K114" s="317" t="str">
        <f>IFERROR(__xludf.DUMMYFUNCTION("""COMPUTED_VALUE"""),"")</f>
        <v/>
      </c>
      <c r="L114" s="318" t="str">
        <f>IFERROR(__xludf.DUMMYFUNCTION("""COMPUTED_VALUE"""),"")</f>
        <v/>
      </c>
      <c r="M114" s="253" t="str">
        <f t="shared" si="3"/>
        <v/>
      </c>
      <c r="N114" s="319" t="str">
        <f>IFERROR(__xludf.DUMMYFUNCTION("""COMPUTED_VALUE"""),"")</f>
        <v/>
      </c>
      <c r="O114" s="257" t="str">
        <f>IFERROR(__xludf.DUMMYFUNCTION("""COMPUTED_VALUE"""),"")</f>
        <v/>
      </c>
      <c r="P114" s="247" t="str">
        <f t="shared" si="4"/>
        <v/>
      </c>
      <c r="Q114" s="320" t="str">
        <f>IFERROR(__xludf.DUMMYFUNCTION("""COMPUTED_VALUE"""),"")</f>
        <v/>
      </c>
      <c r="R114" s="259" t="str">
        <f>IFERROR(__xludf.DUMMYFUNCTION("""COMPUTED_VALUE"""),"")</f>
        <v/>
      </c>
      <c r="S114" s="250" t="str">
        <f t="shared" si="5"/>
        <v/>
      </c>
      <c r="T114" s="254" t="str">
        <f>IFERROR(__xludf.DUMMYFUNCTION("""COMPUTED_VALUE"""),"")</f>
        <v/>
      </c>
      <c r="U114" s="246" t="str">
        <f>IFERROR(__xludf.DUMMYFUNCTION("""COMPUTED_VALUE"""),"")</f>
        <v/>
      </c>
      <c r="V114" s="247" t="str">
        <f t="shared" si="6"/>
        <v/>
      </c>
      <c r="W114" s="255" t="str">
        <f>IFERROR(__xludf.DUMMYFUNCTION("""COMPUTED_VALUE"""),"")</f>
        <v/>
      </c>
      <c r="X114" s="249" t="str">
        <f>IFERROR(__xludf.DUMMYFUNCTION("""COMPUTED_VALUE"""),"")</f>
        <v/>
      </c>
      <c r="Y114" s="250" t="str">
        <f t="shared" si="7"/>
        <v/>
      </c>
    </row>
    <row r="115">
      <c r="A115" s="136" t="s">
        <v>18</v>
      </c>
      <c r="B115" s="146">
        <v>46079.0</v>
      </c>
      <c r="C115" s="136" t="s">
        <v>49</v>
      </c>
      <c r="D115" s="136" t="s">
        <v>148</v>
      </c>
      <c r="E115" s="256">
        <f>IFERROR(__xludf.DUMMYFUNCTION("""COMPUTED_VALUE"""),29.0)</f>
        <v>29</v>
      </c>
      <c r="F115" s="257">
        <f>IFERROR(__xludf.DUMMYFUNCTION("""COMPUTED_VALUE"""),0.052083333333333315)</f>
        <v>0.05208333333</v>
      </c>
      <c r="G115" s="247">
        <f t="shared" si="1"/>
        <v>23.2</v>
      </c>
      <c r="H115" s="258">
        <f>IFERROR(__xludf.DUMMYFUNCTION("""COMPUTED_VALUE"""),115.0)</f>
        <v>115</v>
      </c>
      <c r="I115" s="259">
        <f>IFERROR(__xludf.DUMMYFUNCTION("""COMPUTED_VALUE"""),0.16666666666424135)</f>
        <v>0.1666666667</v>
      </c>
      <c r="J115" s="250">
        <f t="shared" si="2"/>
        <v>28.75</v>
      </c>
      <c r="K115" s="317">
        <f>IFERROR(__xludf.DUMMYFUNCTION("""COMPUTED_VALUE"""),0.0)</f>
        <v>0</v>
      </c>
      <c r="L115" s="318">
        <f>IFERROR(__xludf.DUMMYFUNCTION("""COMPUTED_VALUE"""),0.0)</f>
        <v>0</v>
      </c>
      <c r="M115" s="253" t="str">
        <f t="shared" si="3"/>
        <v/>
      </c>
      <c r="N115" s="319">
        <f>IFERROR(__xludf.DUMMYFUNCTION("""COMPUTED_VALUE"""),0.0)</f>
        <v>0</v>
      </c>
      <c r="O115" s="257">
        <f>IFERROR(__xludf.DUMMYFUNCTION("""COMPUTED_VALUE"""),0.0)</f>
        <v>0</v>
      </c>
      <c r="P115" s="247" t="str">
        <f t="shared" si="4"/>
        <v/>
      </c>
      <c r="Q115" s="320">
        <f>IFERROR(__xludf.DUMMYFUNCTION("""COMPUTED_VALUE"""),0.0)</f>
        <v>0</v>
      </c>
      <c r="R115" s="259">
        <f>IFERROR(__xludf.DUMMYFUNCTION("""COMPUTED_VALUE"""),0.0)</f>
        <v>0</v>
      </c>
      <c r="S115" s="250" t="str">
        <f t="shared" si="5"/>
        <v/>
      </c>
      <c r="T115" s="254">
        <f>IFERROR(__xludf.DUMMYFUNCTION("""COMPUTED_VALUE"""),29.0)</f>
        <v>29</v>
      </c>
      <c r="U115" s="246">
        <f>IFERROR(__xludf.DUMMYFUNCTION("""COMPUTED_VALUE"""),0.052083333333333315)</f>
        <v>0.05208333333</v>
      </c>
      <c r="V115" s="247">
        <f t="shared" si="6"/>
        <v>23.2</v>
      </c>
      <c r="W115" s="255">
        <f>IFERROR(__xludf.DUMMYFUNCTION("""COMPUTED_VALUE"""),115.0)</f>
        <v>115</v>
      </c>
      <c r="X115" s="249">
        <f>IFERROR(__xludf.DUMMYFUNCTION("""COMPUTED_VALUE"""),0.16666666666424135)</f>
        <v>0.1666666667</v>
      </c>
      <c r="Y115" s="250">
        <f t="shared" si="7"/>
        <v>28.75</v>
      </c>
    </row>
    <row r="116">
      <c r="A116" s="136" t="s">
        <v>18</v>
      </c>
      <c r="B116" s="146">
        <v>46079.0</v>
      </c>
      <c r="C116" s="136" t="s">
        <v>49</v>
      </c>
      <c r="D116" s="136" t="s">
        <v>148</v>
      </c>
      <c r="E116" s="256" t="str">
        <f>IFERROR(__xludf.DUMMYFUNCTION("""COMPUTED_VALUE"""),"")</f>
        <v/>
      </c>
      <c r="F116" s="257" t="str">
        <f>IFERROR(__xludf.DUMMYFUNCTION("""COMPUTED_VALUE"""),"")</f>
        <v/>
      </c>
      <c r="G116" s="247" t="str">
        <f t="shared" si="1"/>
        <v/>
      </c>
      <c r="H116" s="258" t="str">
        <f>IFERROR(__xludf.DUMMYFUNCTION("""COMPUTED_VALUE"""),"")</f>
        <v/>
      </c>
      <c r="I116" s="259" t="str">
        <f>IFERROR(__xludf.DUMMYFUNCTION("""COMPUTED_VALUE"""),"")</f>
        <v/>
      </c>
      <c r="J116" s="250" t="str">
        <f t="shared" si="2"/>
        <v/>
      </c>
      <c r="K116" s="317" t="str">
        <f>IFERROR(__xludf.DUMMYFUNCTION("""COMPUTED_VALUE"""),"")</f>
        <v/>
      </c>
      <c r="L116" s="318" t="str">
        <f>IFERROR(__xludf.DUMMYFUNCTION("""COMPUTED_VALUE"""),"")</f>
        <v/>
      </c>
      <c r="M116" s="253" t="str">
        <f t="shared" si="3"/>
        <v/>
      </c>
      <c r="N116" s="319" t="str">
        <f>IFERROR(__xludf.DUMMYFUNCTION("""COMPUTED_VALUE"""),"")</f>
        <v/>
      </c>
      <c r="O116" s="257" t="str">
        <f>IFERROR(__xludf.DUMMYFUNCTION("""COMPUTED_VALUE"""),"")</f>
        <v/>
      </c>
      <c r="P116" s="247" t="str">
        <f t="shared" si="4"/>
        <v/>
      </c>
      <c r="Q116" s="320" t="str">
        <f>IFERROR(__xludf.DUMMYFUNCTION("""COMPUTED_VALUE"""),"")</f>
        <v/>
      </c>
      <c r="R116" s="259" t="str">
        <f>IFERROR(__xludf.DUMMYFUNCTION("""COMPUTED_VALUE"""),"")</f>
        <v/>
      </c>
      <c r="S116" s="250" t="str">
        <f t="shared" si="5"/>
        <v/>
      </c>
      <c r="T116" s="254" t="str">
        <f>IFERROR(__xludf.DUMMYFUNCTION("""COMPUTED_VALUE"""),"")</f>
        <v/>
      </c>
      <c r="U116" s="246" t="str">
        <f>IFERROR(__xludf.DUMMYFUNCTION("""COMPUTED_VALUE"""),"")</f>
        <v/>
      </c>
      <c r="V116" s="247" t="str">
        <f t="shared" si="6"/>
        <v/>
      </c>
      <c r="W116" s="255" t="str">
        <f>IFERROR(__xludf.DUMMYFUNCTION("""COMPUTED_VALUE"""),"")</f>
        <v/>
      </c>
      <c r="X116" s="249" t="str">
        <f>IFERROR(__xludf.DUMMYFUNCTION("""COMPUTED_VALUE"""),"")</f>
        <v/>
      </c>
      <c r="Y116" s="250" t="str">
        <f t="shared" si="7"/>
        <v/>
      </c>
    </row>
    <row r="117">
      <c r="A117" s="136" t="s">
        <v>12</v>
      </c>
      <c r="B117" s="146">
        <v>46080.0</v>
      </c>
      <c r="C117" s="136" t="s">
        <v>53</v>
      </c>
      <c r="D117" s="136" t="s">
        <v>149</v>
      </c>
      <c r="E117" s="256" t="str">
        <f>IFERROR(__xludf.DUMMYFUNCTION("""COMPUTED_VALUE"""),"")</f>
        <v/>
      </c>
      <c r="F117" s="257" t="str">
        <f>IFERROR(__xludf.DUMMYFUNCTION("""COMPUTED_VALUE"""),"")</f>
        <v/>
      </c>
      <c r="G117" s="247" t="str">
        <f t="shared" si="1"/>
        <v/>
      </c>
      <c r="H117" s="258" t="str">
        <f>IFERROR(__xludf.DUMMYFUNCTION("""COMPUTED_VALUE"""),"")</f>
        <v/>
      </c>
      <c r="I117" s="259" t="str">
        <f>IFERROR(__xludf.DUMMYFUNCTION("""COMPUTED_VALUE"""),"")</f>
        <v/>
      </c>
      <c r="J117" s="250" t="str">
        <f t="shared" si="2"/>
        <v/>
      </c>
      <c r="K117" s="317" t="str">
        <f>IFERROR(__xludf.DUMMYFUNCTION("""COMPUTED_VALUE"""),"")</f>
        <v/>
      </c>
      <c r="L117" s="318" t="str">
        <f>IFERROR(__xludf.DUMMYFUNCTION("""COMPUTED_VALUE"""),"")</f>
        <v/>
      </c>
      <c r="M117" s="253" t="str">
        <f t="shared" si="3"/>
        <v/>
      </c>
      <c r="N117" s="319" t="str">
        <f>IFERROR(__xludf.DUMMYFUNCTION("""COMPUTED_VALUE"""),"")</f>
        <v/>
      </c>
      <c r="O117" s="257" t="str">
        <f>IFERROR(__xludf.DUMMYFUNCTION("""COMPUTED_VALUE"""),"")</f>
        <v/>
      </c>
      <c r="P117" s="247" t="str">
        <f t="shared" si="4"/>
        <v/>
      </c>
      <c r="Q117" s="320" t="str">
        <f>IFERROR(__xludf.DUMMYFUNCTION("""COMPUTED_VALUE"""),"")</f>
        <v/>
      </c>
      <c r="R117" s="259" t="str">
        <f>IFERROR(__xludf.DUMMYFUNCTION("""COMPUTED_VALUE"""),"")</f>
        <v/>
      </c>
      <c r="S117" s="250" t="str">
        <f t="shared" si="5"/>
        <v/>
      </c>
      <c r="T117" s="254" t="str">
        <f>IFERROR(__xludf.DUMMYFUNCTION("""COMPUTED_VALUE"""),"")</f>
        <v/>
      </c>
      <c r="U117" s="246" t="str">
        <f>IFERROR(__xludf.DUMMYFUNCTION("""COMPUTED_VALUE"""),"")</f>
        <v/>
      </c>
      <c r="V117" s="247" t="str">
        <f t="shared" si="6"/>
        <v/>
      </c>
      <c r="W117" s="255" t="str">
        <f>IFERROR(__xludf.DUMMYFUNCTION("""COMPUTED_VALUE"""),"")</f>
        <v/>
      </c>
      <c r="X117" s="249" t="str">
        <f>IFERROR(__xludf.DUMMYFUNCTION("""COMPUTED_VALUE"""),"")</f>
        <v/>
      </c>
      <c r="Y117" s="250" t="str">
        <f t="shared" si="7"/>
        <v/>
      </c>
    </row>
    <row r="118">
      <c r="A118" s="136" t="s">
        <v>15</v>
      </c>
      <c r="B118" s="146">
        <v>46080.0</v>
      </c>
      <c r="C118" s="136" t="s">
        <v>53</v>
      </c>
      <c r="D118" s="136" t="s">
        <v>149</v>
      </c>
      <c r="E118" s="256" t="str">
        <f>IFERROR(__xludf.DUMMYFUNCTION("""COMPUTED_VALUE"""),"")</f>
        <v/>
      </c>
      <c r="F118" s="257" t="str">
        <f>IFERROR(__xludf.DUMMYFUNCTION("""COMPUTED_VALUE"""),"")</f>
        <v/>
      </c>
      <c r="G118" s="247" t="str">
        <f t="shared" si="1"/>
        <v/>
      </c>
      <c r="H118" s="258" t="str">
        <f>IFERROR(__xludf.DUMMYFUNCTION("""COMPUTED_VALUE"""),"")</f>
        <v/>
      </c>
      <c r="I118" s="259" t="str">
        <f>IFERROR(__xludf.DUMMYFUNCTION("""COMPUTED_VALUE"""),"")</f>
        <v/>
      </c>
      <c r="J118" s="250" t="str">
        <f t="shared" si="2"/>
        <v/>
      </c>
      <c r="K118" s="317" t="str">
        <f>IFERROR(__xludf.DUMMYFUNCTION("""COMPUTED_VALUE"""),"")</f>
        <v/>
      </c>
      <c r="L118" s="318" t="str">
        <f>IFERROR(__xludf.DUMMYFUNCTION("""COMPUTED_VALUE"""),"")</f>
        <v/>
      </c>
      <c r="M118" s="253" t="str">
        <f t="shared" si="3"/>
        <v/>
      </c>
      <c r="N118" s="319" t="str">
        <f>IFERROR(__xludf.DUMMYFUNCTION("""COMPUTED_VALUE"""),"")</f>
        <v/>
      </c>
      <c r="O118" s="257" t="str">
        <f>IFERROR(__xludf.DUMMYFUNCTION("""COMPUTED_VALUE"""),"")</f>
        <v/>
      </c>
      <c r="P118" s="247" t="str">
        <f t="shared" si="4"/>
        <v/>
      </c>
      <c r="Q118" s="320" t="str">
        <f>IFERROR(__xludf.DUMMYFUNCTION("""COMPUTED_VALUE"""),"")</f>
        <v/>
      </c>
      <c r="R118" s="259" t="str">
        <f>IFERROR(__xludf.DUMMYFUNCTION("""COMPUTED_VALUE"""),"")</f>
        <v/>
      </c>
      <c r="S118" s="250" t="str">
        <f t="shared" si="5"/>
        <v/>
      </c>
      <c r="T118" s="254" t="str">
        <f>IFERROR(__xludf.DUMMYFUNCTION("""COMPUTED_VALUE"""),"")</f>
        <v/>
      </c>
      <c r="U118" s="246" t="str">
        <f>IFERROR(__xludf.DUMMYFUNCTION("""COMPUTED_VALUE"""),"")</f>
        <v/>
      </c>
      <c r="V118" s="247" t="str">
        <f t="shared" si="6"/>
        <v/>
      </c>
      <c r="W118" s="255" t="str">
        <f>IFERROR(__xludf.DUMMYFUNCTION("""COMPUTED_VALUE"""),"")</f>
        <v/>
      </c>
      <c r="X118" s="249" t="str">
        <f>IFERROR(__xludf.DUMMYFUNCTION("""COMPUTED_VALUE"""),"")</f>
        <v/>
      </c>
      <c r="Y118" s="250" t="str">
        <f t="shared" si="7"/>
        <v/>
      </c>
    </row>
    <row r="119">
      <c r="A119" s="136" t="s">
        <v>15</v>
      </c>
      <c r="B119" s="146">
        <v>46080.0</v>
      </c>
      <c r="C119" s="136" t="s">
        <v>53</v>
      </c>
      <c r="D119" s="136" t="s">
        <v>148</v>
      </c>
      <c r="E119" s="256">
        <f>IFERROR(__xludf.DUMMYFUNCTION("""COMPUTED_VALUE"""),145.0)</f>
        <v>145</v>
      </c>
      <c r="F119" s="257">
        <f>IFERROR(__xludf.DUMMYFUNCTION("""COMPUTED_VALUE"""),0.14861111110803904)</f>
        <v>0.1486111111</v>
      </c>
      <c r="G119" s="247">
        <f t="shared" si="1"/>
        <v>40.65420561</v>
      </c>
      <c r="H119" s="258">
        <f>IFERROR(__xludf.DUMMYFUNCTION("""COMPUTED_VALUE"""),121.0)</f>
        <v>121</v>
      </c>
      <c r="I119" s="259">
        <f>IFERROR(__xludf.DUMMYFUNCTION("""COMPUTED_VALUE"""),0.07638888889050577)</f>
        <v>0.07638888889</v>
      </c>
      <c r="J119" s="250">
        <f t="shared" si="2"/>
        <v>66</v>
      </c>
      <c r="K119" s="317">
        <f>IFERROR(__xludf.DUMMYFUNCTION("""COMPUTED_VALUE"""),110.0)</f>
        <v>110</v>
      </c>
      <c r="L119" s="318">
        <f>IFERROR(__xludf.DUMMYFUNCTION("""COMPUTED_VALUE"""),0.06041666666715173)</f>
        <v>0.06041666667</v>
      </c>
      <c r="M119" s="253">
        <f t="shared" si="3"/>
        <v>75.86206896</v>
      </c>
      <c r="N119" s="319">
        <f>IFERROR(__xludf.DUMMYFUNCTION("""COMPUTED_VALUE"""),96.0)</f>
        <v>96</v>
      </c>
      <c r="O119" s="257">
        <f>IFERROR(__xludf.DUMMYFUNCTION("""COMPUTED_VALUE"""),0.125)</f>
        <v>0.125</v>
      </c>
      <c r="P119" s="247">
        <f t="shared" si="4"/>
        <v>32</v>
      </c>
      <c r="Q119" s="320">
        <f>IFERROR(__xludf.DUMMYFUNCTION("""COMPUTED_VALUE"""),0.0)</f>
        <v>0</v>
      </c>
      <c r="R119" s="259">
        <f>IFERROR(__xludf.DUMMYFUNCTION("""COMPUTED_VALUE"""),0.0)</f>
        <v>0</v>
      </c>
      <c r="S119" s="250" t="str">
        <f t="shared" si="5"/>
        <v/>
      </c>
      <c r="T119" s="254">
        <f>IFERROR(__xludf.DUMMYFUNCTION("""COMPUTED_VALUE"""),241.0)</f>
        <v>241</v>
      </c>
      <c r="U119" s="246">
        <f>IFERROR(__xludf.DUMMYFUNCTION("""COMPUTED_VALUE"""),0.27361111110803904)</f>
        <v>0.2736111111</v>
      </c>
      <c r="V119" s="247">
        <f t="shared" si="6"/>
        <v>36.70050761</v>
      </c>
      <c r="W119" s="255">
        <f>IFERROR(__xludf.DUMMYFUNCTION("""COMPUTED_VALUE"""),121.0)</f>
        <v>121</v>
      </c>
      <c r="X119" s="249">
        <f>IFERROR(__xludf.DUMMYFUNCTION("""COMPUTED_VALUE"""),0.07638888889050577)</f>
        <v>0.07638888889</v>
      </c>
      <c r="Y119" s="250">
        <f t="shared" si="7"/>
        <v>66</v>
      </c>
    </row>
    <row r="120">
      <c r="A120" s="136" t="s">
        <v>18</v>
      </c>
      <c r="B120" s="146">
        <v>46080.0</v>
      </c>
      <c r="C120" s="136" t="s">
        <v>53</v>
      </c>
      <c r="D120" s="136" t="s">
        <v>148</v>
      </c>
      <c r="E120" s="256" t="str">
        <f>IFERROR(__xludf.DUMMYFUNCTION("""COMPUTED_VALUE"""),"")</f>
        <v/>
      </c>
      <c r="F120" s="257" t="str">
        <f>IFERROR(__xludf.DUMMYFUNCTION("""COMPUTED_VALUE"""),"")</f>
        <v/>
      </c>
      <c r="G120" s="247" t="str">
        <f t="shared" si="1"/>
        <v/>
      </c>
      <c r="H120" s="258" t="str">
        <f>IFERROR(__xludf.DUMMYFUNCTION("""COMPUTED_VALUE"""),"")</f>
        <v/>
      </c>
      <c r="I120" s="259" t="str">
        <f>IFERROR(__xludf.DUMMYFUNCTION("""COMPUTED_VALUE"""),"")</f>
        <v/>
      </c>
      <c r="J120" s="250" t="str">
        <f t="shared" si="2"/>
        <v/>
      </c>
      <c r="K120" s="317" t="str">
        <f>IFERROR(__xludf.DUMMYFUNCTION("""COMPUTED_VALUE"""),"")</f>
        <v/>
      </c>
      <c r="L120" s="318" t="str">
        <f>IFERROR(__xludf.DUMMYFUNCTION("""COMPUTED_VALUE"""),"")</f>
        <v/>
      </c>
      <c r="M120" s="253" t="str">
        <f t="shared" si="3"/>
        <v/>
      </c>
      <c r="N120" s="319" t="str">
        <f>IFERROR(__xludf.DUMMYFUNCTION("""COMPUTED_VALUE"""),"")</f>
        <v/>
      </c>
      <c r="O120" s="257" t="str">
        <f>IFERROR(__xludf.DUMMYFUNCTION("""COMPUTED_VALUE"""),"")</f>
        <v/>
      </c>
      <c r="P120" s="247" t="str">
        <f t="shared" si="4"/>
        <v/>
      </c>
      <c r="Q120" s="320" t="str">
        <f>IFERROR(__xludf.DUMMYFUNCTION("""COMPUTED_VALUE"""),"")</f>
        <v/>
      </c>
      <c r="R120" s="259" t="str">
        <f>IFERROR(__xludf.DUMMYFUNCTION("""COMPUTED_VALUE"""),"")</f>
        <v/>
      </c>
      <c r="S120" s="250" t="str">
        <f t="shared" si="5"/>
        <v/>
      </c>
      <c r="T120" s="254" t="str">
        <f>IFERROR(__xludf.DUMMYFUNCTION("""COMPUTED_VALUE"""),"")</f>
        <v/>
      </c>
      <c r="U120" s="246" t="str">
        <f>IFERROR(__xludf.DUMMYFUNCTION("""COMPUTED_VALUE"""),"")</f>
        <v/>
      </c>
      <c r="V120" s="247" t="str">
        <f t="shared" si="6"/>
        <v/>
      </c>
      <c r="W120" s="255" t="str">
        <f>IFERROR(__xludf.DUMMYFUNCTION("""COMPUTED_VALUE"""),"")</f>
        <v/>
      </c>
      <c r="X120" s="249" t="str">
        <f>IFERROR(__xludf.DUMMYFUNCTION("""COMPUTED_VALUE"""),"")</f>
        <v/>
      </c>
      <c r="Y120" s="250" t="str">
        <f t="shared" si="7"/>
        <v/>
      </c>
    </row>
    <row r="121">
      <c r="A121" s="136" t="s">
        <v>12</v>
      </c>
      <c r="B121" s="146">
        <v>46083.0</v>
      </c>
      <c r="C121" s="136" t="s">
        <v>37</v>
      </c>
      <c r="D121" s="136" t="s">
        <v>149</v>
      </c>
      <c r="E121" s="256" t="str">
        <f>IFERROR(__xludf.DUMMYFUNCTION("""COMPUTED_VALUE"""),"")</f>
        <v/>
      </c>
      <c r="F121" s="257" t="str">
        <f>IFERROR(__xludf.DUMMYFUNCTION("""COMPUTED_VALUE"""),"")</f>
        <v/>
      </c>
      <c r="G121" s="247" t="str">
        <f t="shared" si="1"/>
        <v/>
      </c>
      <c r="H121" s="258" t="str">
        <f>IFERROR(__xludf.DUMMYFUNCTION("""COMPUTED_VALUE"""),"")</f>
        <v/>
      </c>
      <c r="I121" s="259" t="str">
        <f>IFERROR(__xludf.DUMMYFUNCTION("""COMPUTED_VALUE"""),"")</f>
        <v/>
      </c>
      <c r="J121" s="250" t="str">
        <f t="shared" si="2"/>
        <v/>
      </c>
      <c r="K121" s="317" t="str">
        <f>IFERROR(__xludf.DUMMYFUNCTION("""COMPUTED_VALUE"""),"")</f>
        <v/>
      </c>
      <c r="L121" s="318" t="str">
        <f>IFERROR(__xludf.DUMMYFUNCTION("""COMPUTED_VALUE"""),"")</f>
        <v/>
      </c>
      <c r="M121" s="253" t="str">
        <f t="shared" si="3"/>
        <v/>
      </c>
      <c r="N121" s="319" t="str">
        <f>IFERROR(__xludf.DUMMYFUNCTION("""COMPUTED_VALUE"""),"")</f>
        <v/>
      </c>
      <c r="O121" s="257" t="str">
        <f>IFERROR(__xludf.DUMMYFUNCTION("""COMPUTED_VALUE"""),"")</f>
        <v/>
      </c>
      <c r="P121" s="247" t="str">
        <f t="shared" si="4"/>
        <v/>
      </c>
      <c r="Q121" s="320" t="str">
        <f>IFERROR(__xludf.DUMMYFUNCTION("""COMPUTED_VALUE"""),"")</f>
        <v/>
      </c>
      <c r="R121" s="259" t="str">
        <f>IFERROR(__xludf.DUMMYFUNCTION("""COMPUTED_VALUE"""),"")</f>
        <v/>
      </c>
      <c r="S121" s="250" t="str">
        <f t="shared" si="5"/>
        <v/>
      </c>
      <c r="T121" s="254" t="str">
        <f>IFERROR(__xludf.DUMMYFUNCTION("""COMPUTED_VALUE"""),"")</f>
        <v/>
      </c>
      <c r="U121" s="246" t="str">
        <f>IFERROR(__xludf.DUMMYFUNCTION("""COMPUTED_VALUE"""),"")</f>
        <v/>
      </c>
      <c r="V121" s="247" t="str">
        <f t="shared" si="6"/>
        <v/>
      </c>
      <c r="W121" s="255" t="str">
        <f>IFERROR(__xludf.DUMMYFUNCTION("""COMPUTED_VALUE"""),"")</f>
        <v/>
      </c>
      <c r="X121" s="249" t="str">
        <f>IFERROR(__xludf.DUMMYFUNCTION("""COMPUTED_VALUE"""),"")</f>
        <v/>
      </c>
      <c r="Y121" s="250" t="str">
        <f t="shared" si="7"/>
        <v/>
      </c>
    </row>
    <row r="122">
      <c r="A122" s="136" t="s">
        <v>15</v>
      </c>
      <c r="B122" s="146">
        <v>46083.0</v>
      </c>
      <c r="C122" s="136" t="s">
        <v>37</v>
      </c>
      <c r="D122" s="136" t="s">
        <v>149</v>
      </c>
      <c r="E122" s="256" t="str">
        <f>IFERROR(__xludf.DUMMYFUNCTION("""COMPUTED_VALUE"""),"")</f>
        <v/>
      </c>
      <c r="F122" s="257" t="str">
        <f>IFERROR(__xludf.DUMMYFUNCTION("""COMPUTED_VALUE"""),"")</f>
        <v/>
      </c>
      <c r="G122" s="247" t="str">
        <f t="shared" si="1"/>
        <v/>
      </c>
      <c r="H122" s="258" t="str">
        <f>IFERROR(__xludf.DUMMYFUNCTION("""COMPUTED_VALUE"""),"")</f>
        <v/>
      </c>
      <c r="I122" s="259" t="str">
        <f>IFERROR(__xludf.DUMMYFUNCTION("""COMPUTED_VALUE"""),"")</f>
        <v/>
      </c>
      <c r="J122" s="250" t="str">
        <f t="shared" si="2"/>
        <v/>
      </c>
      <c r="K122" s="317" t="str">
        <f>IFERROR(__xludf.DUMMYFUNCTION("""COMPUTED_VALUE"""),"")</f>
        <v/>
      </c>
      <c r="L122" s="318" t="str">
        <f>IFERROR(__xludf.DUMMYFUNCTION("""COMPUTED_VALUE"""),"")</f>
        <v/>
      </c>
      <c r="M122" s="253" t="str">
        <f t="shared" si="3"/>
        <v/>
      </c>
      <c r="N122" s="319" t="str">
        <f>IFERROR(__xludf.DUMMYFUNCTION("""COMPUTED_VALUE"""),"")</f>
        <v/>
      </c>
      <c r="O122" s="257" t="str">
        <f>IFERROR(__xludf.DUMMYFUNCTION("""COMPUTED_VALUE"""),"")</f>
        <v/>
      </c>
      <c r="P122" s="247" t="str">
        <f t="shared" si="4"/>
        <v/>
      </c>
      <c r="Q122" s="320" t="str">
        <f>IFERROR(__xludf.DUMMYFUNCTION("""COMPUTED_VALUE"""),"")</f>
        <v/>
      </c>
      <c r="R122" s="259" t="str">
        <f>IFERROR(__xludf.DUMMYFUNCTION("""COMPUTED_VALUE"""),"")</f>
        <v/>
      </c>
      <c r="S122" s="250" t="str">
        <f t="shared" si="5"/>
        <v/>
      </c>
      <c r="T122" s="254" t="str">
        <f>IFERROR(__xludf.DUMMYFUNCTION("""COMPUTED_VALUE"""),"")</f>
        <v/>
      </c>
      <c r="U122" s="246" t="str">
        <f>IFERROR(__xludf.DUMMYFUNCTION("""COMPUTED_VALUE"""),"")</f>
        <v/>
      </c>
      <c r="V122" s="247" t="str">
        <f t="shared" si="6"/>
        <v/>
      </c>
      <c r="W122" s="255" t="str">
        <f>IFERROR(__xludf.DUMMYFUNCTION("""COMPUTED_VALUE"""),"")</f>
        <v/>
      </c>
      <c r="X122" s="249" t="str">
        <f>IFERROR(__xludf.DUMMYFUNCTION("""COMPUTED_VALUE"""),"")</f>
        <v/>
      </c>
      <c r="Y122" s="250" t="str">
        <f t="shared" si="7"/>
        <v/>
      </c>
    </row>
    <row r="123">
      <c r="A123" s="136" t="s">
        <v>18</v>
      </c>
      <c r="B123" s="146">
        <v>46083.0</v>
      </c>
      <c r="C123" s="136" t="s">
        <v>37</v>
      </c>
      <c r="D123" s="136" t="s">
        <v>148</v>
      </c>
      <c r="E123" s="256" t="str">
        <f>IFERROR(__xludf.DUMMYFUNCTION("""COMPUTED_VALUE"""),"")</f>
        <v/>
      </c>
      <c r="F123" s="257" t="str">
        <f>IFERROR(__xludf.DUMMYFUNCTION("""COMPUTED_VALUE"""),"")</f>
        <v/>
      </c>
      <c r="G123" s="247" t="str">
        <f t="shared" si="1"/>
        <v/>
      </c>
      <c r="H123" s="258" t="str">
        <f>IFERROR(__xludf.DUMMYFUNCTION("""COMPUTED_VALUE"""),"")</f>
        <v/>
      </c>
      <c r="I123" s="259" t="str">
        <f>IFERROR(__xludf.DUMMYFUNCTION("""COMPUTED_VALUE"""),"")</f>
        <v/>
      </c>
      <c r="J123" s="250" t="str">
        <f t="shared" si="2"/>
        <v/>
      </c>
      <c r="K123" s="317" t="str">
        <f>IFERROR(__xludf.DUMMYFUNCTION("""COMPUTED_VALUE"""),"")</f>
        <v/>
      </c>
      <c r="L123" s="318" t="str">
        <f>IFERROR(__xludf.DUMMYFUNCTION("""COMPUTED_VALUE"""),"")</f>
        <v/>
      </c>
      <c r="M123" s="253" t="str">
        <f t="shared" si="3"/>
        <v/>
      </c>
      <c r="N123" s="319" t="str">
        <f>IFERROR(__xludf.DUMMYFUNCTION("""COMPUTED_VALUE"""),"")</f>
        <v/>
      </c>
      <c r="O123" s="257" t="str">
        <f>IFERROR(__xludf.DUMMYFUNCTION("""COMPUTED_VALUE"""),"")</f>
        <v/>
      </c>
      <c r="P123" s="247" t="str">
        <f t="shared" si="4"/>
        <v/>
      </c>
      <c r="Q123" s="320" t="str">
        <f>IFERROR(__xludf.DUMMYFUNCTION("""COMPUTED_VALUE"""),"")</f>
        <v/>
      </c>
      <c r="R123" s="259" t="str">
        <f>IFERROR(__xludf.DUMMYFUNCTION("""COMPUTED_VALUE"""),"")</f>
        <v/>
      </c>
      <c r="S123" s="250" t="str">
        <f t="shared" si="5"/>
        <v/>
      </c>
      <c r="T123" s="254" t="str">
        <f>IFERROR(__xludf.DUMMYFUNCTION("""COMPUTED_VALUE"""),"")</f>
        <v/>
      </c>
      <c r="U123" s="246" t="str">
        <f>IFERROR(__xludf.DUMMYFUNCTION("""COMPUTED_VALUE"""),"")</f>
        <v/>
      </c>
      <c r="V123" s="247" t="str">
        <f t="shared" si="6"/>
        <v/>
      </c>
      <c r="W123" s="255" t="str">
        <f>IFERROR(__xludf.DUMMYFUNCTION("""COMPUTED_VALUE"""),"")</f>
        <v/>
      </c>
      <c r="X123" s="249" t="str">
        <f>IFERROR(__xludf.DUMMYFUNCTION("""COMPUTED_VALUE"""),"")</f>
        <v/>
      </c>
      <c r="Y123" s="250" t="str">
        <f t="shared" si="7"/>
        <v/>
      </c>
    </row>
    <row r="124">
      <c r="A124" s="136" t="s">
        <v>18</v>
      </c>
      <c r="B124" s="146">
        <v>46083.0</v>
      </c>
      <c r="C124" s="136" t="s">
        <v>37</v>
      </c>
      <c r="D124" s="136" t="s">
        <v>148</v>
      </c>
      <c r="E124" s="256" t="str">
        <f>IFERROR(__xludf.DUMMYFUNCTION("""COMPUTED_VALUE"""),"")</f>
        <v/>
      </c>
      <c r="F124" s="257" t="str">
        <f>IFERROR(__xludf.DUMMYFUNCTION("""COMPUTED_VALUE"""),"")</f>
        <v/>
      </c>
      <c r="G124" s="247" t="str">
        <f t="shared" si="1"/>
        <v/>
      </c>
      <c r="H124" s="258" t="str">
        <f>IFERROR(__xludf.DUMMYFUNCTION("""COMPUTED_VALUE"""),"")</f>
        <v/>
      </c>
      <c r="I124" s="259" t="str">
        <f>IFERROR(__xludf.DUMMYFUNCTION("""COMPUTED_VALUE"""),"")</f>
        <v/>
      </c>
      <c r="J124" s="250" t="str">
        <f t="shared" si="2"/>
        <v/>
      </c>
      <c r="K124" s="317" t="str">
        <f>IFERROR(__xludf.DUMMYFUNCTION("""COMPUTED_VALUE"""),"")</f>
        <v/>
      </c>
      <c r="L124" s="318" t="str">
        <f>IFERROR(__xludf.DUMMYFUNCTION("""COMPUTED_VALUE"""),"")</f>
        <v/>
      </c>
      <c r="M124" s="253" t="str">
        <f t="shared" si="3"/>
        <v/>
      </c>
      <c r="N124" s="319" t="str">
        <f>IFERROR(__xludf.DUMMYFUNCTION("""COMPUTED_VALUE"""),"")</f>
        <v/>
      </c>
      <c r="O124" s="257" t="str">
        <f>IFERROR(__xludf.DUMMYFUNCTION("""COMPUTED_VALUE"""),"")</f>
        <v/>
      </c>
      <c r="P124" s="247" t="str">
        <f t="shared" si="4"/>
        <v/>
      </c>
      <c r="Q124" s="320" t="str">
        <f>IFERROR(__xludf.DUMMYFUNCTION("""COMPUTED_VALUE"""),"")</f>
        <v/>
      </c>
      <c r="R124" s="259" t="str">
        <f>IFERROR(__xludf.DUMMYFUNCTION("""COMPUTED_VALUE"""),"")</f>
        <v/>
      </c>
      <c r="S124" s="250" t="str">
        <f t="shared" si="5"/>
        <v/>
      </c>
      <c r="T124" s="254" t="str">
        <f>IFERROR(__xludf.DUMMYFUNCTION("""COMPUTED_VALUE"""),"")</f>
        <v/>
      </c>
      <c r="U124" s="246" t="str">
        <f>IFERROR(__xludf.DUMMYFUNCTION("""COMPUTED_VALUE"""),"")</f>
        <v/>
      </c>
      <c r="V124" s="247" t="str">
        <f t="shared" si="6"/>
        <v/>
      </c>
      <c r="W124" s="255" t="str">
        <f>IFERROR(__xludf.DUMMYFUNCTION("""COMPUTED_VALUE"""),"")</f>
        <v/>
      </c>
      <c r="X124" s="249" t="str">
        <f>IFERROR(__xludf.DUMMYFUNCTION("""COMPUTED_VALUE"""),"")</f>
        <v/>
      </c>
      <c r="Y124" s="250" t="str">
        <f t="shared" si="7"/>
        <v/>
      </c>
    </row>
    <row r="125">
      <c r="A125" s="136" t="s">
        <v>134</v>
      </c>
      <c r="B125" s="146">
        <v>46083.0</v>
      </c>
      <c r="C125" s="136" t="s">
        <v>37</v>
      </c>
      <c r="D125" s="136" t="s">
        <v>149</v>
      </c>
      <c r="E125" s="256">
        <f>IFERROR(__xludf.DUMMYFUNCTION("""COMPUTED_VALUE"""),103.0)</f>
        <v>103</v>
      </c>
      <c r="F125" s="257">
        <f>IFERROR(__xludf.DUMMYFUNCTION("""COMPUTED_VALUE"""),0.07638888889050577)</f>
        <v>0.07638888889</v>
      </c>
      <c r="G125" s="247">
        <f t="shared" si="1"/>
        <v>56.18181818</v>
      </c>
      <c r="H125" s="258">
        <f>IFERROR(__xludf.DUMMYFUNCTION("""COMPUTED_VALUE"""),235.0)</f>
        <v>235</v>
      </c>
      <c r="I125" s="259">
        <f>IFERROR(__xludf.DUMMYFUNCTION("""COMPUTED_VALUE"""),0.16597222222480923)</f>
        <v>0.1659722222</v>
      </c>
      <c r="J125" s="250">
        <f t="shared" si="2"/>
        <v>58.9958159</v>
      </c>
      <c r="K125" s="317">
        <f>IFERROR(__xludf.DUMMYFUNCTION("""COMPUTED_VALUE"""),39.0)</f>
        <v>39</v>
      </c>
      <c r="L125" s="318">
        <f>IFERROR(__xludf.DUMMYFUNCTION("""COMPUTED_VALUE"""),0.0625)</f>
        <v>0.0625</v>
      </c>
      <c r="M125" s="253">
        <f t="shared" si="3"/>
        <v>26</v>
      </c>
      <c r="N125" s="319">
        <f>IFERROR(__xludf.DUMMYFUNCTION("""COMPUTED_VALUE"""),90.0)</f>
        <v>90</v>
      </c>
      <c r="O125" s="257">
        <f>IFERROR(__xludf.DUMMYFUNCTION("""COMPUTED_VALUE"""),0.125)</f>
        <v>0.125</v>
      </c>
      <c r="P125" s="247">
        <f t="shared" si="4"/>
        <v>30</v>
      </c>
      <c r="Q125" s="320">
        <f>IFERROR(__xludf.DUMMYFUNCTION("""COMPUTED_VALUE"""),0.0)</f>
        <v>0</v>
      </c>
      <c r="R125" s="259">
        <f>IFERROR(__xludf.DUMMYFUNCTION("""COMPUTED_VALUE"""),0.0)</f>
        <v>0</v>
      </c>
      <c r="S125" s="250" t="str">
        <f t="shared" si="5"/>
        <v/>
      </c>
      <c r="T125" s="254">
        <f>IFERROR(__xludf.DUMMYFUNCTION("""COMPUTED_VALUE"""),193.0)</f>
        <v>193</v>
      </c>
      <c r="U125" s="246">
        <f>IFERROR(__xludf.DUMMYFUNCTION("""COMPUTED_VALUE"""),0.20138888889050577)</f>
        <v>0.2013888889</v>
      </c>
      <c r="V125" s="247">
        <f t="shared" si="6"/>
        <v>39.93103448</v>
      </c>
      <c r="W125" s="255">
        <f>IFERROR(__xludf.DUMMYFUNCTION("""COMPUTED_VALUE"""),235.0)</f>
        <v>235</v>
      </c>
      <c r="X125" s="249">
        <f>IFERROR(__xludf.DUMMYFUNCTION("""COMPUTED_VALUE"""),0.16597222222480923)</f>
        <v>0.1659722222</v>
      </c>
      <c r="Y125" s="250">
        <f t="shared" si="7"/>
        <v>58.9958159</v>
      </c>
    </row>
    <row r="126">
      <c r="A126" s="136" t="s">
        <v>15</v>
      </c>
      <c r="B126" s="146">
        <v>46083.0</v>
      </c>
      <c r="C126" s="136" t="s">
        <v>37</v>
      </c>
      <c r="D126" s="136" t="s">
        <v>148</v>
      </c>
      <c r="E126" s="256" t="str">
        <f>IFERROR(__xludf.DUMMYFUNCTION("""COMPUTED_VALUE"""),"")</f>
        <v/>
      </c>
      <c r="F126" s="257" t="str">
        <f>IFERROR(__xludf.DUMMYFUNCTION("""COMPUTED_VALUE"""),"")</f>
        <v/>
      </c>
      <c r="G126" s="247" t="str">
        <f t="shared" si="1"/>
        <v/>
      </c>
      <c r="H126" s="258" t="str">
        <f>IFERROR(__xludf.DUMMYFUNCTION("""COMPUTED_VALUE"""),"")</f>
        <v/>
      </c>
      <c r="I126" s="259" t="str">
        <f>IFERROR(__xludf.DUMMYFUNCTION("""COMPUTED_VALUE"""),"")</f>
        <v/>
      </c>
      <c r="J126" s="250" t="str">
        <f t="shared" si="2"/>
        <v/>
      </c>
      <c r="K126" s="317" t="str">
        <f>IFERROR(__xludf.DUMMYFUNCTION("""COMPUTED_VALUE"""),"")</f>
        <v/>
      </c>
      <c r="L126" s="318" t="str">
        <f>IFERROR(__xludf.DUMMYFUNCTION("""COMPUTED_VALUE"""),"")</f>
        <v/>
      </c>
      <c r="M126" s="253" t="str">
        <f t="shared" si="3"/>
        <v/>
      </c>
      <c r="N126" s="319" t="str">
        <f>IFERROR(__xludf.DUMMYFUNCTION("""COMPUTED_VALUE"""),"")</f>
        <v/>
      </c>
      <c r="O126" s="257" t="str">
        <f>IFERROR(__xludf.DUMMYFUNCTION("""COMPUTED_VALUE"""),"")</f>
        <v/>
      </c>
      <c r="P126" s="247" t="str">
        <f t="shared" si="4"/>
        <v/>
      </c>
      <c r="Q126" s="320" t="str">
        <f>IFERROR(__xludf.DUMMYFUNCTION("""COMPUTED_VALUE"""),"")</f>
        <v/>
      </c>
      <c r="R126" s="259" t="str">
        <f>IFERROR(__xludf.DUMMYFUNCTION("""COMPUTED_VALUE"""),"")</f>
        <v/>
      </c>
      <c r="S126" s="250" t="str">
        <f t="shared" si="5"/>
        <v/>
      </c>
      <c r="T126" s="254" t="str">
        <f>IFERROR(__xludf.DUMMYFUNCTION("""COMPUTED_VALUE"""),"")</f>
        <v/>
      </c>
      <c r="U126" s="246" t="str">
        <f>IFERROR(__xludf.DUMMYFUNCTION("""COMPUTED_VALUE"""),"")</f>
        <v/>
      </c>
      <c r="V126" s="247" t="str">
        <f t="shared" si="6"/>
        <v/>
      </c>
      <c r="W126" s="255" t="str">
        <f>IFERROR(__xludf.DUMMYFUNCTION("""COMPUTED_VALUE"""),"")</f>
        <v/>
      </c>
      <c r="X126" s="249" t="str">
        <f>IFERROR(__xludf.DUMMYFUNCTION("""COMPUTED_VALUE"""),"")</f>
        <v/>
      </c>
      <c r="Y126" s="250" t="str">
        <f t="shared" si="7"/>
        <v/>
      </c>
    </row>
    <row r="127">
      <c r="A127" s="136" t="s">
        <v>134</v>
      </c>
      <c r="B127" s="146">
        <v>46084.0</v>
      </c>
      <c r="C127" s="136" t="s">
        <v>41</v>
      </c>
      <c r="D127" s="136" t="s">
        <v>149</v>
      </c>
      <c r="E127" s="256" t="str">
        <f>IFERROR(__xludf.DUMMYFUNCTION("""COMPUTED_VALUE"""),"")</f>
        <v/>
      </c>
      <c r="F127" s="257" t="str">
        <f>IFERROR(__xludf.DUMMYFUNCTION("""COMPUTED_VALUE"""),"")</f>
        <v/>
      </c>
      <c r="G127" s="247" t="str">
        <f t="shared" si="1"/>
        <v/>
      </c>
      <c r="H127" s="258" t="str">
        <f>IFERROR(__xludf.DUMMYFUNCTION("""COMPUTED_VALUE"""),"")</f>
        <v/>
      </c>
      <c r="I127" s="259" t="str">
        <f>IFERROR(__xludf.DUMMYFUNCTION("""COMPUTED_VALUE"""),"")</f>
        <v/>
      </c>
      <c r="J127" s="250" t="str">
        <f t="shared" si="2"/>
        <v/>
      </c>
      <c r="K127" s="317" t="str">
        <f>IFERROR(__xludf.DUMMYFUNCTION("""COMPUTED_VALUE"""),"")</f>
        <v/>
      </c>
      <c r="L127" s="318" t="str">
        <f>IFERROR(__xludf.DUMMYFUNCTION("""COMPUTED_VALUE"""),"")</f>
        <v/>
      </c>
      <c r="M127" s="253" t="str">
        <f t="shared" si="3"/>
        <v/>
      </c>
      <c r="N127" s="319" t="str">
        <f>IFERROR(__xludf.DUMMYFUNCTION("""COMPUTED_VALUE"""),"")</f>
        <v/>
      </c>
      <c r="O127" s="257" t="str">
        <f>IFERROR(__xludf.DUMMYFUNCTION("""COMPUTED_VALUE"""),"")</f>
        <v/>
      </c>
      <c r="P127" s="247" t="str">
        <f t="shared" si="4"/>
        <v/>
      </c>
      <c r="Q127" s="320" t="str">
        <f>IFERROR(__xludf.DUMMYFUNCTION("""COMPUTED_VALUE"""),"")</f>
        <v/>
      </c>
      <c r="R127" s="259" t="str">
        <f>IFERROR(__xludf.DUMMYFUNCTION("""COMPUTED_VALUE"""),"")</f>
        <v/>
      </c>
      <c r="S127" s="250" t="str">
        <f t="shared" si="5"/>
        <v/>
      </c>
      <c r="T127" s="254" t="str">
        <f>IFERROR(__xludf.DUMMYFUNCTION("""COMPUTED_VALUE"""),"")</f>
        <v/>
      </c>
      <c r="U127" s="246" t="str">
        <f>IFERROR(__xludf.DUMMYFUNCTION("""COMPUTED_VALUE"""),"")</f>
        <v/>
      </c>
      <c r="V127" s="247" t="str">
        <f t="shared" si="6"/>
        <v/>
      </c>
      <c r="W127" s="255" t="str">
        <f>IFERROR(__xludf.DUMMYFUNCTION("""COMPUTED_VALUE"""),"")</f>
        <v/>
      </c>
      <c r="X127" s="249" t="str">
        <f>IFERROR(__xludf.DUMMYFUNCTION("""COMPUTED_VALUE"""),"")</f>
        <v/>
      </c>
      <c r="Y127" s="250" t="str">
        <f t="shared" si="7"/>
        <v/>
      </c>
    </row>
    <row r="128">
      <c r="A128" s="136" t="s">
        <v>15</v>
      </c>
      <c r="B128" s="146">
        <v>46084.0</v>
      </c>
      <c r="C128" s="136" t="s">
        <v>41</v>
      </c>
      <c r="D128" s="136" t="s">
        <v>148</v>
      </c>
      <c r="E128" s="256" t="str">
        <f>IFERROR(__xludf.DUMMYFUNCTION("""COMPUTED_VALUE"""),"")</f>
        <v/>
      </c>
      <c r="F128" s="257" t="str">
        <f>IFERROR(__xludf.DUMMYFUNCTION("""COMPUTED_VALUE"""),"")</f>
        <v/>
      </c>
      <c r="G128" s="247" t="str">
        <f t="shared" si="1"/>
        <v/>
      </c>
      <c r="H128" s="258" t="str">
        <f>IFERROR(__xludf.DUMMYFUNCTION("""COMPUTED_VALUE"""),"")</f>
        <v/>
      </c>
      <c r="I128" s="259" t="str">
        <f>IFERROR(__xludf.DUMMYFUNCTION("""COMPUTED_VALUE"""),"")</f>
        <v/>
      </c>
      <c r="J128" s="250" t="str">
        <f t="shared" si="2"/>
        <v/>
      </c>
      <c r="K128" s="317" t="str">
        <f>IFERROR(__xludf.DUMMYFUNCTION("""COMPUTED_VALUE"""),"")</f>
        <v/>
      </c>
      <c r="L128" s="318" t="str">
        <f>IFERROR(__xludf.DUMMYFUNCTION("""COMPUTED_VALUE"""),"")</f>
        <v/>
      </c>
      <c r="M128" s="253" t="str">
        <f t="shared" si="3"/>
        <v/>
      </c>
      <c r="N128" s="319" t="str">
        <f>IFERROR(__xludf.DUMMYFUNCTION("""COMPUTED_VALUE"""),"")</f>
        <v/>
      </c>
      <c r="O128" s="257" t="str">
        <f>IFERROR(__xludf.DUMMYFUNCTION("""COMPUTED_VALUE"""),"")</f>
        <v/>
      </c>
      <c r="P128" s="247" t="str">
        <f t="shared" si="4"/>
        <v/>
      </c>
      <c r="Q128" s="320" t="str">
        <f>IFERROR(__xludf.DUMMYFUNCTION("""COMPUTED_VALUE"""),"")</f>
        <v/>
      </c>
      <c r="R128" s="259" t="str">
        <f>IFERROR(__xludf.DUMMYFUNCTION("""COMPUTED_VALUE"""),"")</f>
        <v/>
      </c>
      <c r="S128" s="250" t="str">
        <f t="shared" si="5"/>
        <v/>
      </c>
      <c r="T128" s="254" t="str">
        <f>IFERROR(__xludf.DUMMYFUNCTION("""COMPUTED_VALUE"""),"")</f>
        <v/>
      </c>
      <c r="U128" s="246" t="str">
        <f>IFERROR(__xludf.DUMMYFUNCTION("""COMPUTED_VALUE"""),"")</f>
        <v/>
      </c>
      <c r="V128" s="247" t="str">
        <f t="shared" si="6"/>
        <v/>
      </c>
      <c r="W128" s="255" t="str">
        <f>IFERROR(__xludf.DUMMYFUNCTION("""COMPUTED_VALUE"""),"")</f>
        <v/>
      </c>
      <c r="X128" s="249" t="str">
        <f>IFERROR(__xludf.DUMMYFUNCTION("""COMPUTED_VALUE"""),"")</f>
        <v/>
      </c>
      <c r="Y128" s="250" t="str">
        <f t="shared" si="7"/>
        <v/>
      </c>
    </row>
    <row r="129">
      <c r="A129" s="136" t="s">
        <v>15</v>
      </c>
      <c r="B129" s="146">
        <v>46084.0</v>
      </c>
      <c r="C129" s="136" t="s">
        <v>41</v>
      </c>
      <c r="D129" s="136" t="s">
        <v>148</v>
      </c>
      <c r="E129" s="256">
        <f>IFERROR(__xludf.DUMMYFUNCTION("""COMPUTED_VALUE"""),247.0)</f>
        <v>247</v>
      </c>
      <c r="F129" s="257">
        <f>IFERROR(__xludf.DUMMYFUNCTION("""COMPUTED_VALUE"""),0.13263888889196096)</f>
        <v>0.1326388889</v>
      </c>
      <c r="G129" s="247">
        <f t="shared" si="1"/>
        <v>77.59162303</v>
      </c>
      <c r="H129" s="258">
        <f>IFERROR(__xludf.DUMMYFUNCTION("""COMPUTED_VALUE"""),124.0)</f>
        <v>124</v>
      </c>
      <c r="I129" s="259">
        <f>IFERROR(__xludf.DUMMYFUNCTION("""COMPUTED_VALUE"""),0.11944444444088731)</f>
        <v>0.1194444444</v>
      </c>
      <c r="J129" s="250">
        <f t="shared" si="2"/>
        <v>43.25581395</v>
      </c>
      <c r="K129" s="317">
        <f>IFERROR(__xludf.DUMMYFUNCTION("""COMPUTED_VALUE"""),0.0)</f>
        <v>0</v>
      </c>
      <c r="L129" s="318">
        <f>IFERROR(__xludf.DUMMYFUNCTION("""COMPUTED_VALUE"""),0.0)</f>
        <v>0</v>
      </c>
      <c r="M129" s="253" t="str">
        <f t="shared" si="3"/>
        <v/>
      </c>
      <c r="N129" s="319">
        <f>IFERROR(__xludf.DUMMYFUNCTION("""COMPUTED_VALUE"""),0.0)</f>
        <v>0</v>
      </c>
      <c r="O129" s="257">
        <f>IFERROR(__xludf.DUMMYFUNCTION("""COMPUTED_VALUE"""),0.0)</f>
        <v>0</v>
      </c>
      <c r="P129" s="247" t="str">
        <f t="shared" si="4"/>
        <v/>
      </c>
      <c r="Q129" s="320">
        <f>IFERROR(__xludf.DUMMYFUNCTION("""COMPUTED_VALUE"""),0.0)</f>
        <v>0</v>
      </c>
      <c r="R129" s="259">
        <f>IFERROR(__xludf.DUMMYFUNCTION("""COMPUTED_VALUE"""),0.0)</f>
        <v>0</v>
      </c>
      <c r="S129" s="250" t="str">
        <f t="shared" si="5"/>
        <v/>
      </c>
      <c r="T129" s="254">
        <f>IFERROR(__xludf.DUMMYFUNCTION("""COMPUTED_VALUE"""),247.0)</f>
        <v>247</v>
      </c>
      <c r="U129" s="246">
        <f>IFERROR(__xludf.DUMMYFUNCTION("""COMPUTED_VALUE"""),0.13263888889196096)</f>
        <v>0.1326388889</v>
      </c>
      <c r="V129" s="247">
        <f t="shared" si="6"/>
        <v>77.59162303</v>
      </c>
      <c r="W129" s="255">
        <f>IFERROR(__xludf.DUMMYFUNCTION("""COMPUTED_VALUE"""),124.0)</f>
        <v>124</v>
      </c>
      <c r="X129" s="249">
        <f>IFERROR(__xludf.DUMMYFUNCTION("""COMPUTED_VALUE"""),0.11944444444088731)</f>
        <v>0.1194444444</v>
      </c>
      <c r="Y129" s="250">
        <f t="shared" si="7"/>
        <v>43.25581395</v>
      </c>
    </row>
    <row r="130">
      <c r="A130" s="136" t="s">
        <v>18</v>
      </c>
      <c r="B130" s="146">
        <v>46084.0</v>
      </c>
      <c r="C130" s="136" t="s">
        <v>41</v>
      </c>
      <c r="D130" s="136" t="s">
        <v>148</v>
      </c>
      <c r="E130" s="256" t="str">
        <f>IFERROR(__xludf.DUMMYFUNCTION("""COMPUTED_VALUE"""),"")</f>
        <v/>
      </c>
      <c r="F130" s="257" t="str">
        <f>IFERROR(__xludf.DUMMYFUNCTION("""COMPUTED_VALUE"""),"")</f>
        <v/>
      </c>
      <c r="G130" s="247" t="str">
        <f t="shared" si="1"/>
        <v/>
      </c>
      <c r="H130" s="258" t="str">
        <f>IFERROR(__xludf.DUMMYFUNCTION("""COMPUTED_VALUE"""),"")</f>
        <v/>
      </c>
      <c r="I130" s="259" t="str">
        <f>IFERROR(__xludf.DUMMYFUNCTION("""COMPUTED_VALUE"""),"")</f>
        <v/>
      </c>
      <c r="J130" s="250" t="str">
        <f t="shared" si="2"/>
        <v/>
      </c>
      <c r="K130" s="317" t="str">
        <f>IFERROR(__xludf.DUMMYFUNCTION("""COMPUTED_VALUE"""),"")</f>
        <v/>
      </c>
      <c r="L130" s="318" t="str">
        <f>IFERROR(__xludf.DUMMYFUNCTION("""COMPUTED_VALUE"""),"")</f>
        <v/>
      </c>
      <c r="M130" s="253" t="str">
        <f t="shared" si="3"/>
        <v/>
      </c>
      <c r="N130" s="319" t="str">
        <f>IFERROR(__xludf.DUMMYFUNCTION("""COMPUTED_VALUE"""),"")</f>
        <v/>
      </c>
      <c r="O130" s="257" t="str">
        <f>IFERROR(__xludf.DUMMYFUNCTION("""COMPUTED_VALUE"""),"")</f>
        <v/>
      </c>
      <c r="P130" s="247" t="str">
        <f t="shared" si="4"/>
        <v/>
      </c>
      <c r="Q130" s="320" t="str">
        <f>IFERROR(__xludf.DUMMYFUNCTION("""COMPUTED_VALUE"""),"")</f>
        <v/>
      </c>
      <c r="R130" s="259" t="str">
        <f>IFERROR(__xludf.DUMMYFUNCTION("""COMPUTED_VALUE"""),"")</f>
        <v/>
      </c>
      <c r="S130" s="250" t="str">
        <f t="shared" si="5"/>
        <v/>
      </c>
      <c r="T130" s="254" t="str">
        <f>IFERROR(__xludf.DUMMYFUNCTION("""COMPUTED_VALUE"""),"")</f>
        <v/>
      </c>
      <c r="U130" s="246" t="str">
        <f>IFERROR(__xludf.DUMMYFUNCTION("""COMPUTED_VALUE"""),"")</f>
        <v/>
      </c>
      <c r="V130" s="247" t="str">
        <f t="shared" si="6"/>
        <v/>
      </c>
      <c r="W130" s="255" t="str">
        <f>IFERROR(__xludf.DUMMYFUNCTION("""COMPUTED_VALUE"""),"")</f>
        <v/>
      </c>
      <c r="X130" s="249" t="str">
        <f>IFERROR(__xludf.DUMMYFUNCTION("""COMPUTED_VALUE"""),"")</f>
        <v/>
      </c>
      <c r="Y130" s="250" t="str">
        <f t="shared" si="7"/>
        <v/>
      </c>
    </row>
    <row r="131">
      <c r="A131" s="136" t="s">
        <v>12</v>
      </c>
      <c r="B131" s="146">
        <v>46085.0</v>
      </c>
      <c r="C131" s="136" t="s">
        <v>45</v>
      </c>
      <c r="D131" s="136" t="s">
        <v>149</v>
      </c>
      <c r="E131" s="256" t="str">
        <f>IFERROR(__xludf.DUMMYFUNCTION("""COMPUTED_VALUE"""),"")</f>
        <v/>
      </c>
      <c r="F131" s="257" t="str">
        <f>IFERROR(__xludf.DUMMYFUNCTION("""COMPUTED_VALUE"""),"")</f>
        <v/>
      </c>
      <c r="G131" s="247" t="str">
        <f t="shared" si="1"/>
        <v/>
      </c>
      <c r="H131" s="258" t="str">
        <f>IFERROR(__xludf.DUMMYFUNCTION("""COMPUTED_VALUE"""),"")</f>
        <v/>
      </c>
      <c r="I131" s="259" t="str">
        <f>IFERROR(__xludf.DUMMYFUNCTION("""COMPUTED_VALUE"""),"")</f>
        <v/>
      </c>
      <c r="J131" s="250" t="str">
        <f t="shared" si="2"/>
        <v/>
      </c>
      <c r="K131" s="317" t="str">
        <f>IFERROR(__xludf.DUMMYFUNCTION("""COMPUTED_VALUE"""),"")</f>
        <v/>
      </c>
      <c r="L131" s="318" t="str">
        <f>IFERROR(__xludf.DUMMYFUNCTION("""COMPUTED_VALUE"""),"")</f>
        <v/>
      </c>
      <c r="M131" s="253" t="str">
        <f t="shared" si="3"/>
        <v/>
      </c>
      <c r="N131" s="319" t="str">
        <f>IFERROR(__xludf.DUMMYFUNCTION("""COMPUTED_VALUE"""),"")</f>
        <v/>
      </c>
      <c r="O131" s="257" t="str">
        <f>IFERROR(__xludf.DUMMYFUNCTION("""COMPUTED_VALUE"""),"")</f>
        <v/>
      </c>
      <c r="P131" s="247" t="str">
        <f t="shared" si="4"/>
        <v/>
      </c>
      <c r="Q131" s="320" t="str">
        <f>IFERROR(__xludf.DUMMYFUNCTION("""COMPUTED_VALUE"""),"")</f>
        <v/>
      </c>
      <c r="R131" s="259" t="str">
        <f>IFERROR(__xludf.DUMMYFUNCTION("""COMPUTED_VALUE"""),"")</f>
        <v/>
      </c>
      <c r="S131" s="250" t="str">
        <f t="shared" si="5"/>
        <v/>
      </c>
      <c r="T131" s="254" t="str">
        <f>IFERROR(__xludf.DUMMYFUNCTION("""COMPUTED_VALUE"""),"")</f>
        <v/>
      </c>
      <c r="U131" s="246" t="str">
        <f>IFERROR(__xludf.DUMMYFUNCTION("""COMPUTED_VALUE"""),"")</f>
        <v/>
      </c>
      <c r="V131" s="247" t="str">
        <f t="shared" si="6"/>
        <v/>
      </c>
      <c r="W131" s="255" t="str">
        <f>IFERROR(__xludf.DUMMYFUNCTION("""COMPUTED_VALUE"""),"")</f>
        <v/>
      </c>
      <c r="X131" s="249" t="str">
        <f>IFERROR(__xludf.DUMMYFUNCTION("""COMPUTED_VALUE"""),"")</f>
        <v/>
      </c>
      <c r="Y131" s="250" t="str">
        <f t="shared" si="7"/>
        <v/>
      </c>
    </row>
    <row r="132">
      <c r="A132" s="136" t="s">
        <v>134</v>
      </c>
      <c r="B132" s="146">
        <v>46085.0</v>
      </c>
      <c r="C132" s="136" t="s">
        <v>45</v>
      </c>
      <c r="D132" s="136" t="s">
        <v>149</v>
      </c>
      <c r="E132" s="256" t="str">
        <f>IFERROR(__xludf.DUMMYFUNCTION("""COMPUTED_VALUE"""),"")</f>
        <v/>
      </c>
      <c r="F132" s="257" t="str">
        <f>IFERROR(__xludf.DUMMYFUNCTION("""COMPUTED_VALUE"""),"")</f>
        <v/>
      </c>
      <c r="G132" s="247" t="str">
        <f t="shared" si="1"/>
        <v/>
      </c>
      <c r="H132" s="258" t="str">
        <f>IFERROR(__xludf.DUMMYFUNCTION("""COMPUTED_VALUE"""),"")</f>
        <v/>
      </c>
      <c r="I132" s="259" t="str">
        <f>IFERROR(__xludf.DUMMYFUNCTION("""COMPUTED_VALUE"""),"")</f>
        <v/>
      </c>
      <c r="J132" s="250" t="str">
        <f t="shared" si="2"/>
        <v/>
      </c>
      <c r="K132" s="317" t="str">
        <f>IFERROR(__xludf.DUMMYFUNCTION("""COMPUTED_VALUE"""),"")</f>
        <v/>
      </c>
      <c r="L132" s="318" t="str">
        <f>IFERROR(__xludf.DUMMYFUNCTION("""COMPUTED_VALUE"""),"")</f>
        <v/>
      </c>
      <c r="M132" s="253" t="str">
        <f t="shared" si="3"/>
        <v/>
      </c>
      <c r="N132" s="319" t="str">
        <f>IFERROR(__xludf.DUMMYFUNCTION("""COMPUTED_VALUE"""),"")</f>
        <v/>
      </c>
      <c r="O132" s="257" t="str">
        <f>IFERROR(__xludf.DUMMYFUNCTION("""COMPUTED_VALUE"""),"")</f>
        <v/>
      </c>
      <c r="P132" s="247" t="str">
        <f t="shared" si="4"/>
        <v/>
      </c>
      <c r="Q132" s="320" t="str">
        <f>IFERROR(__xludf.DUMMYFUNCTION("""COMPUTED_VALUE"""),"")</f>
        <v/>
      </c>
      <c r="R132" s="259" t="str">
        <f>IFERROR(__xludf.DUMMYFUNCTION("""COMPUTED_VALUE"""),"")</f>
        <v/>
      </c>
      <c r="S132" s="250" t="str">
        <f t="shared" si="5"/>
        <v/>
      </c>
      <c r="T132" s="254" t="str">
        <f>IFERROR(__xludf.DUMMYFUNCTION("""COMPUTED_VALUE"""),"")</f>
        <v/>
      </c>
      <c r="U132" s="246" t="str">
        <f>IFERROR(__xludf.DUMMYFUNCTION("""COMPUTED_VALUE"""),"")</f>
        <v/>
      </c>
      <c r="V132" s="247" t="str">
        <f t="shared" si="6"/>
        <v/>
      </c>
      <c r="W132" s="255" t="str">
        <f>IFERROR(__xludf.DUMMYFUNCTION("""COMPUTED_VALUE"""),"")</f>
        <v/>
      </c>
      <c r="X132" s="249" t="str">
        <f>IFERROR(__xludf.DUMMYFUNCTION("""COMPUTED_VALUE"""),"")</f>
        <v/>
      </c>
      <c r="Y132" s="250" t="str">
        <f t="shared" si="7"/>
        <v/>
      </c>
    </row>
    <row r="133">
      <c r="A133" s="136" t="s">
        <v>15</v>
      </c>
      <c r="B133" s="146">
        <v>46085.0</v>
      </c>
      <c r="C133" s="136" t="s">
        <v>45</v>
      </c>
      <c r="D133" s="136" t="s">
        <v>148</v>
      </c>
      <c r="E133" s="256" t="str">
        <f>IFERROR(__xludf.DUMMYFUNCTION("""COMPUTED_VALUE"""),"")</f>
        <v/>
      </c>
      <c r="F133" s="257" t="str">
        <f>IFERROR(__xludf.DUMMYFUNCTION("""COMPUTED_VALUE"""),"")</f>
        <v/>
      </c>
      <c r="G133" s="247" t="str">
        <f t="shared" si="1"/>
        <v/>
      </c>
      <c r="H133" s="258" t="str">
        <f>IFERROR(__xludf.DUMMYFUNCTION("""COMPUTED_VALUE"""),"")</f>
        <v/>
      </c>
      <c r="I133" s="259" t="str">
        <f>IFERROR(__xludf.DUMMYFUNCTION("""COMPUTED_VALUE"""),"")</f>
        <v/>
      </c>
      <c r="J133" s="250" t="str">
        <f t="shared" si="2"/>
        <v/>
      </c>
      <c r="K133" s="317" t="str">
        <f>IFERROR(__xludf.DUMMYFUNCTION("""COMPUTED_VALUE"""),"")</f>
        <v/>
      </c>
      <c r="L133" s="318" t="str">
        <f>IFERROR(__xludf.DUMMYFUNCTION("""COMPUTED_VALUE"""),"")</f>
        <v/>
      </c>
      <c r="M133" s="253" t="str">
        <f t="shared" si="3"/>
        <v/>
      </c>
      <c r="N133" s="319" t="str">
        <f>IFERROR(__xludf.DUMMYFUNCTION("""COMPUTED_VALUE"""),"")</f>
        <v/>
      </c>
      <c r="O133" s="257" t="str">
        <f>IFERROR(__xludf.DUMMYFUNCTION("""COMPUTED_VALUE"""),"")</f>
        <v/>
      </c>
      <c r="P133" s="247" t="str">
        <f t="shared" si="4"/>
        <v/>
      </c>
      <c r="Q133" s="320" t="str">
        <f>IFERROR(__xludf.DUMMYFUNCTION("""COMPUTED_VALUE"""),"")</f>
        <v/>
      </c>
      <c r="R133" s="259" t="str">
        <f>IFERROR(__xludf.DUMMYFUNCTION("""COMPUTED_VALUE"""),"")</f>
        <v/>
      </c>
      <c r="S133" s="250" t="str">
        <f t="shared" si="5"/>
        <v/>
      </c>
      <c r="T133" s="254" t="str">
        <f>IFERROR(__xludf.DUMMYFUNCTION("""COMPUTED_VALUE"""),"")</f>
        <v/>
      </c>
      <c r="U133" s="246" t="str">
        <f>IFERROR(__xludf.DUMMYFUNCTION("""COMPUTED_VALUE"""),"")</f>
        <v/>
      </c>
      <c r="V133" s="247" t="str">
        <f t="shared" si="6"/>
        <v/>
      </c>
      <c r="W133" s="255" t="str">
        <f>IFERROR(__xludf.DUMMYFUNCTION("""COMPUTED_VALUE"""),"")</f>
        <v/>
      </c>
      <c r="X133" s="249" t="str">
        <f>IFERROR(__xludf.DUMMYFUNCTION("""COMPUTED_VALUE"""),"")</f>
        <v/>
      </c>
      <c r="Y133" s="250" t="str">
        <f t="shared" si="7"/>
        <v/>
      </c>
    </row>
    <row r="134">
      <c r="A134" s="136" t="s">
        <v>15</v>
      </c>
      <c r="B134" s="146">
        <v>46085.0</v>
      </c>
      <c r="C134" s="136" t="s">
        <v>45</v>
      </c>
      <c r="D134" s="136" t="s">
        <v>148</v>
      </c>
      <c r="E134" s="256" t="str">
        <f>IFERROR(__xludf.DUMMYFUNCTION("""COMPUTED_VALUE"""),"")</f>
        <v/>
      </c>
      <c r="F134" s="257" t="str">
        <f>IFERROR(__xludf.DUMMYFUNCTION("""COMPUTED_VALUE"""),"")</f>
        <v/>
      </c>
      <c r="G134" s="247" t="str">
        <f t="shared" si="1"/>
        <v/>
      </c>
      <c r="H134" s="258" t="str">
        <f>IFERROR(__xludf.DUMMYFUNCTION("""COMPUTED_VALUE"""),"")</f>
        <v/>
      </c>
      <c r="I134" s="259" t="str">
        <f>IFERROR(__xludf.DUMMYFUNCTION("""COMPUTED_VALUE"""),"")</f>
        <v/>
      </c>
      <c r="J134" s="250" t="str">
        <f t="shared" si="2"/>
        <v/>
      </c>
      <c r="K134" s="317" t="str">
        <f>IFERROR(__xludf.DUMMYFUNCTION("""COMPUTED_VALUE"""),"")</f>
        <v/>
      </c>
      <c r="L134" s="318" t="str">
        <f>IFERROR(__xludf.DUMMYFUNCTION("""COMPUTED_VALUE"""),"")</f>
        <v/>
      </c>
      <c r="M134" s="253" t="str">
        <f t="shared" si="3"/>
        <v/>
      </c>
      <c r="N134" s="319" t="str">
        <f>IFERROR(__xludf.DUMMYFUNCTION("""COMPUTED_VALUE"""),"")</f>
        <v/>
      </c>
      <c r="O134" s="257" t="str">
        <f>IFERROR(__xludf.DUMMYFUNCTION("""COMPUTED_VALUE"""),"")</f>
        <v/>
      </c>
      <c r="P134" s="247" t="str">
        <f t="shared" si="4"/>
        <v/>
      </c>
      <c r="Q134" s="320" t="str">
        <f>IFERROR(__xludf.DUMMYFUNCTION("""COMPUTED_VALUE"""),"")</f>
        <v/>
      </c>
      <c r="R134" s="259" t="str">
        <f>IFERROR(__xludf.DUMMYFUNCTION("""COMPUTED_VALUE"""),"")</f>
        <v/>
      </c>
      <c r="S134" s="250" t="str">
        <f t="shared" si="5"/>
        <v/>
      </c>
      <c r="T134" s="254" t="str">
        <f>IFERROR(__xludf.DUMMYFUNCTION("""COMPUTED_VALUE"""),"")</f>
        <v/>
      </c>
      <c r="U134" s="246" t="str">
        <f>IFERROR(__xludf.DUMMYFUNCTION("""COMPUTED_VALUE"""),"")</f>
        <v/>
      </c>
      <c r="V134" s="247" t="str">
        <f t="shared" si="6"/>
        <v/>
      </c>
      <c r="W134" s="255" t="str">
        <f>IFERROR(__xludf.DUMMYFUNCTION("""COMPUTED_VALUE"""),"")</f>
        <v/>
      </c>
      <c r="X134" s="249" t="str">
        <f>IFERROR(__xludf.DUMMYFUNCTION("""COMPUTED_VALUE"""),"")</f>
        <v/>
      </c>
      <c r="Y134" s="250" t="str">
        <f t="shared" si="7"/>
        <v/>
      </c>
    </row>
    <row r="135">
      <c r="A135" s="136" t="s">
        <v>18</v>
      </c>
      <c r="B135" s="146">
        <v>46085.0</v>
      </c>
      <c r="C135" s="136" t="s">
        <v>45</v>
      </c>
      <c r="D135" s="136" t="s">
        <v>148</v>
      </c>
      <c r="E135" s="256" t="str">
        <f>IFERROR(__xludf.DUMMYFUNCTION("""COMPUTED_VALUE"""),"")</f>
        <v/>
      </c>
      <c r="F135" s="257" t="str">
        <f>IFERROR(__xludf.DUMMYFUNCTION("""COMPUTED_VALUE"""),"")</f>
        <v/>
      </c>
      <c r="G135" s="247" t="str">
        <f t="shared" si="1"/>
        <v/>
      </c>
      <c r="H135" s="258" t="str">
        <f>IFERROR(__xludf.DUMMYFUNCTION("""COMPUTED_VALUE"""),"")</f>
        <v/>
      </c>
      <c r="I135" s="259" t="str">
        <f>IFERROR(__xludf.DUMMYFUNCTION("""COMPUTED_VALUE"""),"")</f>
        <v/>
      </c>
      <c r="J135" s="250" t="str">
        <f t="shared" si="2"/>
        <v/>
      </c>
      <c r="K135" s="317" t="str">
        <f>IFERROR(__xludf.DUMMYFUNCTION("""COMPUTED_VALUE"""),"")</f>
        <v/>
      </c>
      <c r="L135" s="318" t="str">
        <f>IFERROR(__xludf.DUMMYFUNCTION("""COMPUTED_VALUE"""),"")</f>
        <v/>
      </c>
      <c r="M135" s="253" t="str">
        <f t="shared" si="3"/>
        <v/>
      </c>
      <c r="N135" s="319" t="str">
        <f>IFERROR(__xludf.DUMMYFUNCTION("""COMPUTED_VALUE"""),"")</f>
        <v/>
      </c>
      <c r="O135" s="257" t="str">
        <f>IFERROR(__xludf.DUMMYFUNCTION("""COMPUTED_VALUE"""),"")</f>
        <v/>
      </c>
      <c r="P135" s="247" t="str">
        <f t="shared" si="4"/>
        <v/>
      </c>
      <c r="Q135" s="320" t="str">
        <f>IFERROR(__xludf.DUMMYFUNCTION("""COMPUTED_VALUE"""),"")</f>
        <v/>
      </c>
      <c r="R135" s="259" t="str">
        <f>IFERROR(__xludf.DUMMYFUNCTION("""COMPUTED_VALUE"""),"")</f>
        <v/>
      </c>
      <c r="S135" s="250" t="str">
        <f t="shared" si="5"/>
        <v/>
      </c>
      <c r="T135" s="254" t="str">
        <f>IFERROR(__xludf.DUMMYFUNCTION("""COMPUTED_VALUE"""),"")</f>
        <v/>
      </c>
      <c r="U135" s="246" t="str">
        <f>IFERROR(__xludf.DUMMYFUNCTION("""COMPUTED_VALUE"""),"")</f>
        <v/>
      </c>
      <c r="V135" s="247" t="str">
        <f t="shared" si="6"/>
        <v/>
      </c>
      <c r="W135" s="255" t="str">
        <f>IFERROR(__xludf.DUMMYFUNCTION("""COMPUTED_VALUE"""),"")</f>
        <v/>
      </c>
      <c r="X135" s="249" t="str">
        <f>IFERROR(__xludf.DUMMYFUNCTION("""COMPUTED_VALUE"""),"")</f>
        <v/>
      </c>
      <c r="Y135" s="250" t="str">
        <f t="shared" si="7"/>
        <v/>
      </c>
    </row>
    <row r="136">
      <c r="A136" s="136" t="s">
        <v>18</v>
      </c>
      <c r="B136" s="146">
        <v>46085.0</v>
      </c>
      <c r="C136" s="136" t="s">
        <v>45</v>
      </c>
      <c r="D136" s="136" t="s">
        <v>149</v>
      </c>
      <c r="E136" s="256">
        <f>IFERROR(__xludf.DUMMYFUNCTION("""COMPUTED_VALUE"""),163.0)</f>
        <v>163</v>
      </c>
      <c r="F136" s="257">
        <f>IFERROR(__xludf.DUMMYFUNCTION("""COMPUTED_VALUE"""),0.10277777777810115)</f>
        <v>0.1027777778</v>
      </c>
      <c r="G136" s="247">
        <f t="shared" si="1"/>
        <v>66.08108108</v>
      </c>
      <c r="H136" s="258">
        <f>IFERROR(__xludf.DUMMYFUNCTION("""COMPUTED_VALUE"""),160.0)</f>
        <v>160</v>
      </c>
      <c r="I136" s="259">
        <f>IFERROR(__xludf.DUMMYFUNCTION("""COMPUTED_VALUE"""),0.1916666666729725)</f>
        <v>0.1916666667</v>
      </c>
      <c r="J136" s="250">
        <f t="shared" si="2"/>
        <v>34.78260869</v>
      </c>
      <c r="K136" s="317">
        <f>IFERROR(__xludf.DUMMYFUNCTION("""COMPUTED_VALUE"""),71.0)</f>
        <v>71</v>
      </c>
      <c r="L136" s="318">
        <f>IFERROR(__xludf.DUMMYFUNCTION("""COMPUTED_VALUE"""),0.09791666666569654)</f>
        <v>0.09791666667</v>
      </c>
      <c r="M136" s="253">
        <f t="shared" si="3"/>
        <v>30.21276596</v>
      </c>
      <c r="N136" s="319">
        <f>IFERROR(__xludf.DUMMYFUNCTION("""COMPUTED_VALUE"""),0.0)</f>
        <v>0</v>
      </c>
      <c r="O136" s="257">
        <f>IFERROR(__xludf.DUMMYFUNCTION("""COMPUTED_VALUE"""),0.0)</f>
        <v>0</v>
      </c>
      <c r="P136" s="247" t="str">
        <f t="shared" si="4"/>
        <v/>
      </c>
      <c r="Q136" s="320">
        <f>IFERROR(__xludf.DUMMYFUNCTION("""COMPUTED_VALUE"""),258.0)</f>
        <v>258</v>
      </c>
      <c r="R136" s="259">
        <f>IFERROR(__xludf.DUMMYFUNCTION("""COMPUTED_VALUE"""),0.16666666666424135)</f>
        <v>0.1666666667</v>
      </c>
      <c r="S136" s="250">
        <f t="shared" si="5"/>
        <v>64.5</v>
      </c>
      <c r="T136" s="254">
        <f>IFERROR(__xludf.DUMMYFUNCTION("""COMPUTED_VALUE"""),163.0)</f>
        <v>163</v>
      </c>
      <c r="U136" s="246">
        <f>IFERROR(__xludf.DUMMYFUNCTION("""COMPUTED_VALUE"""),0.10277777777810115)</f>
        <v>0.1027777778</v>
      </c>
      <c r="V136" s="247">
        <f t="shared" si="6"/>
        <v>66.08108108</v>
      </c>
      <c r="W136" s="255">
        <f>IFERROR(__xludf.DUMMYFUNCTION("""COMPUTED_VALUE"""),418.0)</f>
        <v>418</v>
      </c>
      <c r="X136" s="249">
        <f>IFERROR(__xludf.DUMMYFUNCTION("""COMPUTED_VALUE"""),0.35833333333721384)</f>
        <v>0.3583333333</v>
      </c>
      <c r="Y136" s="250">
        <f t="shared" si="7"/>
        <v>48.60465116</v>
      </c>
    </row>
    <row r="137">
      <c r="A137" s="136" t="s">
        <v>18</v>
      </c>
      <c r="B137" s="146">
        <v>46085.0</v>
      </c>
      <c r="C137" s="136" t="s">
        <v>45</v>
      </c>
      <c r="D137" s="136" t="s">
        <v>148</v>
      </c>
      <c r="E137" s="256" t="str">
        <f>IFERROR(__xludf.DUMMYFUNCTION("""COMPUTED_VALUE"""),"")</f>
        <v/>
      </c>
      <c r="F137" s="257" t="str">
        <f>IFERROR(__xludf.DUMMYFUNCTION("""COMPUTED_VALUE"""),"")</f>
        <v/>
      </c>
      <c r="G137" s="247" t="str">
        <f t="shared" si="1"/>
        <v/>
      </c>
      <c r="H137" s="258" t="str">
        <f>IFERROR(__xludf.DUMMYFUNCTION("""COMPUTED_VALUE"""),"")</f>
        <v/>
      </c>
      <c r="I137" s="259" t="str">
        <f>IFERROR(__xludf.DUMMYFUNCTION("""COMPUTED_VALUE"""),"")</f>
        <v/>
      </c>
      <c r="J137" s="250" t="str">
        <f t="shared" si="2"/>
        <v/>
      </c>
      <c r="K137" s="317" t="str">
        <f>IFERROR(__xludf.DUMMYFUNCTION("""COMPUTED_VALUE"""),"")</f>
        <v/>
      </c>
      <c r="L137" s="318" t="str">
        <f>IFERROR(__xludf.DUMMYFUNCTION("""COMPUTED_VALUE"""),"")</f>
        <v/>
      </c>
      <c r="M137" s="253" t="str">
        <f t="shared" si="3"/>
        <v/>
      </c>
      <c r="N137" s="319" t="str">
        <f>IFERROR(__xludf.DUMMYFUNCTION("""COMPUTED_VALUE"""),"")</f>
        <v/>
      </c>
      <c r="O137" s="257" t="str">
        <f>IFERROR(__xludf.DUMMYFUNCTION("""COMPUTED_VALUE"""),"")</f>
        <v/>
      </c>
      <c r="P137" s="247" t="str">
        <f t="shared" si="4"/>
        <v/>
      </c>
      <c r="Q137" s="320" t="str">
        <f>IFERROR(__xludf.DUMMYFUNCTION("""COMPUTED_VALUE"""),"")</f>
        <v/>
      </c>
      <c r="R137" s="259" t="str">
        <f>IFERROR(__xludf.DUMMYFUNCTION("""COMPUTED_VALUE"""),"")</f>
        <v/>
      </c>
      <c r="S137" s="250" t="str">
        <f t="shared" si="5"/>
        <v/>
      </c>
      <c r="T137" s="254" t="str">
        <f>IFERROR(__xludf.DUMMYFUNCTION("""COMPUTED_VALUE"""),"")</f>
        <v/>
      </c>
      <c r="U137" s="246" t="str">
        <f>IFERROR(__xludf.DUMMYFUNCTION("""COMPUTED_VALUE"""),"")</f>
        <v/>
      </c>
      <c r="V137" s="247" t="str">
        <f t="shared" si="6"/>
        <v/>
      </c>
      <c r="W137" s="255" t="str">
        <f>IFERROR(__xludf.DUMMYFUNCTION("""COMPUTED_VALUE"""),"")</f>
        <v/>
      </c>
      <c r="X137" s="249" t="str">
        <f>IFERROR(__xludf.DUMMYFUNCTION("""COMPUTED_VALUE"""),"")</f>
        <v/>
      </c>
      <c r="Y137" s="250" t="str">
        <f t="shared" si="7"/>
        <v/>
      </c>
    </row>
    <row r="138">
      <c r="A138" s="136" t="s">
        <v>12</v>
      </c>
      <c r="B138" s="146">
        <v>46086.0</v>
      </c>
      <c r="C138" s="136" t="s">
        <v>49</v>
      </c>
      <c r="D138" s="136" t="s">
        <v>148</v>
      </c>
      <c r="E138" s="256" t="str">
        <f>IFERROR(__xludf.DUMMYFUNCTION("""COMPUTED_VALUE"""),"")</f>
        <v/>
      </c>
      <c r="F138" s="257" t="str">
        <f>IFERROR(__xludf.DUMMYFUNCTION("""COMPUTED_VALUE"""),"")</f>
        <v/>
      </c>
      <c r="G138" s="247" t="str">
        <f t="shared" si="1"/>
        <v/>
      </c>
      <c r="H138" s="258" t="str">
        <f>IFERROR(__xludf.DUMMYFUNCTION("""COMPUTED_VALUE"""),"")</f>
        <v/>
      </c>
      <c r="I138" s="259" t="str">
        <f>IFERROR(__xludf.DUMMYFUNCTION("""COMPUTED_VALUE"""),"")</f>
        <v/>
      </c>
      <c r="J138" s="250" t="str">
        <f t="shared" si="2"/>
        <v/>
      </c>
      <c r="K138" s="317" t="str">
        <f>IFERROR(__xludf.DUMMYFUNCTION("""COMPUTED_VALUE"""),"")</f>
        <v/>
      </c>
      <c r="L138" s="318" t="str">
        <f>IFERROR(__xludf.DUMMYFUNCTION("""COMPUTED_VALUE"""),"")</f>
        <v/>
      </c>
      <c r="M138" s="253" t="str">
        <f t="shared" si="3"/>
        <v/>
      </c>
      <c r="N138" s="319" t="str">
        <f>IFERROR(__xludf.DUMMYFUNCTION("""COMPUTED_VALUE"""),"")</f>
        <v/>
      </c>
      <c r="O138" s="257" t="str">
        <f>IFERROR(__xludf.DUMMYFUNCTION("""COMPUTED_VALUE"""),"")</f>
        <v/>
      </c>
      <c r="P138" s="247" t="str">
        <f t="shared" si="4"/>
        <v/>
      </c>
      <c r="Q138" s="320" t="str">
        <f>IFERROR(__xludf.DUMMYFUNCTION("""COMPUTED_VALUE"""),"")</f>
        <v/>
      </c>
      <c r="R138" s="259" t="str">
        <f>IFERROR(__xludf.DUMMYFUNCTION("""COMPUTED_VALUE"""),"")</f>
        <v/>
      </c>
      <c r="S138" s="250" t="str">
        <f t="shared" si="5"/>
        <v/>
      </c>
      <c r="T138" s="254" t="str">
        <f>IFERROR(__xludf.DUMMYFUNCTION("""COMPUTED_VALUE"""),"")</f>
        <v/>
      </c>
      <c r="U138" s="246" t="str">
        <f>IFERROR(__xludf.DUMMYFUNCTION("""COMPUTED_VALUE"""),"")</f>
        <v/>
      </c>
      <c r="V138" s="247" t="str">
        <f t="shared" si="6"/>
        <v/>
      </c>
      <c r="W138" s="255" t="str">
        <f>IFERROR(__xludf.DUMMYFUNCTION("""COMPUTED_VALUE"""),"")</f>
        <v/>
      </c>
      <c r="X138" s="249" t="str">
        <f>IFERROR(__xludf.DUMMYFUNCTION("""COMPUTED_VALUE"""),"")</f>
        <v/>
      </c>
      <c r="Y138" s="250" t="str">
        <f t="shared" si="7"/>
        <v/>
      </c>
    </row>
    <row r="139">
      <c r="A139" s="136" t="s">
        <v>134</v>
      </c>
      <c r="B139" s="146">
        <v>46086.0</v>
      </c>
      <c r="C139" s="136" t="s">
        <v>49</v>
      </c>
      <c r="D139" s="136" t="s">
        <v>149</v>
      </c>
      <c r="E139" s="256" t="str">
        <f>IFERROR(__xludf.DUMMYFUNCTION("""COMPUTED_VALUE"""),"")</f>
        <v/>
      </c>
      <c r="F139" s="257" t="str">
        <f>IFERROR(__xludf.DUMMYFUNCTION("""COMPUTED_VALUE"""),"")</f>
        <v/>
      </c>
      <c r="G139" s="247" t="str">
        <f t="shared" si="1"/>
        <v/>
      </c>
      <c r="H139" s="258" t="str">
        <f>IFERROR(__xludf.DUMMYFUNCTION("""COMPUTED_VALUE"""),"")</f>
        <v/>
      </c>
      <c r="I139" s="259" t="str">
        <f>IFERROR(__xludf.DUMMYFUNCTION("""COMPUTED_VALUE"""),"")</f>
        <v/>
      </c>
      <c r="J139" s="250" t="str">
        <f t="shared" si="2"/>
        <v/>
      </c>
      <c r="K139" s="317" t="str">
        <f>IFERROR(__xludf.DUMMYFUNCTION("""COMPUTED_VALUE"""),"")</f>
        <v/>
      </c>
      <c r="L139" s="318" t="str">
        <f>IFERROR(__xludf.DUMMYFUNCTION("""COMPUTED_VALUE"""),"")</f>
        <v/>
      </c>
      <c r="M139" s="253" t="str">
        <f t="shared" si="3"/>
        <v/>
      </c>
      <c r="N139" s="319" t="str">
        <f>IFERROR(__xludf.DUMMYFUNCTION("""COMPUTED_VALUE"""),"")</f>
        <v/>
      </c>
      <c r="O139" s="257" t="str">
        <f>IFERROR(__xludf.DUMMYFUNCTION("""COMPUTED_VALUE"""),"")</f>
        <v/>
      </c>
      <c r="P139" s="247" t="str">
        <f t="shared" si="4"/>
        <v/>
      </c>
      <c r="Q139" s="320" t="str">
        <f>IFERROR(__xludf.DUMMYFUNCTION("""COMPUTED_VALUE"""),"")</f>
        <v/>
      </c>
      <c r="R139" s="259" t="str">
        <f>IFERROR(__xludf.DUMMYFUNCTION("""COMPUTED_VALUE"""),"")</f>
        <v/>
      </c>
      <c r="S139" s="250" t="str">
        <f t="shared" si="5"/>
        <v/>
      </c>
      <c r="T139" s="254" t="str">
        <f>IFERROR(__xludf.DUMMYFUNCTION("""COMPUTED_VALUE"""),"")</f>
        <v/>
      </c>
      <c r="U139" s="246" t="str">
        <f>IFERROR(__xludf.DUMMYFUNCTION("""COMPUTED_VALUE"""),"")</f>
        <v/>
      </c>
      <c r="V139" s="247" t="str">
        <f t="shared" si="6"/>
        <v/>
      </c>
      <c r="W139" s="255" t="str">
        <f>IFERROR(__xludf.DUMMYFUNCTION("""COMPUTED_VALUE"""),"")</f>
        <v/>
      </c>
      <c r="X139" s="249" t="str">
        <f>IFERROR(__xludf.DUMMYFUNCTION("""COMPUTED_VALUE"""),"")</f>
        <v/>
      </c>
      <c r="Y139" s="250" t="str">
        <f t="shared" si="7"/>
        <v/>
      </c>
    </row>
    <row r="140">
      <c r="A140" s="136" t="s">
        <v>15</v>
      </c>
      <c r="B140" s="146">
        <v>46086.0</v>
      </c>
      <c r="C140" s="136" t="s">
        <v>49</v>
      </c>
      <c r="D140" s="136" t="s">
        <v>148</v>
      </c>
      <c r="E140" s="256" t="str">
        <f>IFERROR(__xludf.DUMMYFUNCTION("""COMPUTED_VALUE"""),"")</f>
        <v/>
      </c>
      <c r="F140" s="257" t="str">
        <f>IFERROR(__xludf.DUMMYFUNCTION("""COMPUTED_VALUE"""),"")</f>
        <v/>
      </c>
      <c r="G140" s="247" t="str">
        <f t="shared" si="1"/>
        <v/>
      </c>
      <c r="H140" s="258" t="str">
        <f>IFERROR(__xludf.DUMMYFUNCTION("""COMPUTED_VALUE"""),"")</f>
        <v/>
      </c>
      <c r="I140" s="259" t="str">
        <f>IFERROR(__xludf.DUMMYFUNCTION("""COMPUTED_VALUE"""),"")</f>
        <v/>
      </c>
      <c r="J140" s="250" t="str">
        <f t="shared" si="2"/>
        <v/>
      </c>
      <c r="K140" s="317" t="str">
        <f>IFERROR(__xludf.DUMMYFUNCTION("""COMPUTED_VALUE"""),"")</f>
        <v/>
      </c>
      <c r="L140" s="318" t="str">
        <f>IFERROR(__xludf.DUMMYFUNCTION("""COMPUTED_VALUE"""),"")</f>
        <v/>
      </c>
      <c r="M140" s="253" t="str">
        <f t="shared" si="3"/>
        <v/>
      </c>
      <c r="N140" s="319" t="str">
        <f>IFERROR(__xludf.DUMMYFUNCTION("""COMPUTED_VALUE"""),"")</f>
        <v/>
      </c>
      <c r="O140" s="257" t="str">
        <f>IFERROR(__xludf.DUMMYFUNCTION("""COMPUTED_VALUE"""),"")</f>
        <v/>
      </c>
      <c r="P140" s="247" t="str">
        <f t="shared" si="4"/>
        <v/>
      </c>
      <c r="Q140" s="320" t="str">
        <f>IFERROR(__xludf.DUMMYFUNCTION("""COMPUTED_VALUE"""),"")</f>
        <v/>
      </c>
      <c r="R140" s="259" t="str">
        <f>IFERROR(__xludf.DUMMYFUNCTION("""COMPUTED_VALUE"""),"")</f>
        <v/>
      </c>
      <c r="S140" s="250" t="str">
        <f t="shared" si="5"/>
        <v/>
      </c>
      <c r="T140" s="254" t="str">
        <f>IFERROR(__xludf.DUMMYFUNCTION("""COMPUTED_VALUE"""),"")</f>
        <v/>
      </c>
      <c r="U140" s="246" t="str">
        <f>IFERROR(__xludf.DUMMYFUNCTION("""COMPUTED_VALUE"""),"")</f>
        <v/>
      </c>
      <c r="V140" s="247" t="str">
        <f t="shared" si="6"/>
        <v/>
      </c>
      <c r="W140" s="255" t="str">
        <f>IFERROR(__xludf.DUMMYFUNCTION("""COMPUTED_VALUE"""),"")</f>
        <v/>
      </c>
      <c r="X140" s="249" t="str">
        <f>IFERROR(__xludf.DUMMYFUNCTION("""COMPUTED_VALUE"""),"")</f>
        <v/>
      </c>
      <c r="Y140" s="250" t="str">
        <f t="shared" si="7"/>
        <v/>
      </c>
    </row>
    <row r="141">
      <c r="A141" s="136" t="s">
        <v>15</v>
      </c>
      <c r="B141" s="146">
        <v>46086.0</v>
      </c>
      <c r="C141" s="136" t="s">
        <v>49</v>
      </c>
      <c r="D141" s="136" t="s">
        <v>149</v>
      </c>
      <c r="E141" s="256" t="str">
        <f>IFERROR(__xludf.DUMMYFUNCTION("""COMPUTED_VALUE"""),"")</f>
        <v/>
      </c>
      <c r="F141" s="257" t="str">
        <f>IFERROR(__xludf.DUMMYFUNCTION("""COMPUTED_VALUE"""),"")</f>
        <v/>
      </c>
      <c r="G141" s="247" t="str">
        <f t="shared" si="1"/>
        <v/>
      </c>
      <c r="H141" s="258" t="str">
        <f>IFERROR(__xludf.DUMMYFUNCTION("""COMPUTED_VALUE"""),"")</f>
        <v/>
      </c>
      <c r="I141" s="259" t="str">
        <f>IFERROR(__xludf.DUMMYFUNCTION("""COMPUTED_VALUE"""),"")</f>
        <v/>
      </c>
      <c r="J141" s="250" t="str">
        <f t="shared" si="2"/>
        <v/>
      </c>
      <c r="K141" s="317" t="str">
        <f>IFERROR(__xludf.DUMMYFUNCTION("""COMPUTED_VALUE"""),"")</f>
        <v/>
      </c>
      <c r="L141" s="318" t="str">
        <f>IFERROR(__xludf.DUMMYFUNCTION("""COMPUTED_VALUE"""),"")</f>
        <v/>
      </c>
      <c r="M141" s="253" t="str">
        <f t="shared" si="3"/>
        <v/>
      </c>
      <c r="N141" s="319" t="str">
        <f>IFERROR(__xludf.DUMMYFUNCTION("""COMPUTED_VALUE"""),"")</f>
        <v/>
      </c>
      <c r="O141" s="257" t="str">
        <f>IFERROR(__xludf.DUMMYFUNCTION("""COMPUTED_VALUE"""),"")</f>
        <v/>
      </c>
      <c r="P141" s="247" t="str">
        <f t="shared" si="4"/>
        <v/>
      </c>
      <c r="Q141" s="320" t="str">
        <f>IFERROR(__xludf.DUMMYFUNCTION("""COMPUTED_VALUE"""),"")</f>
        <v/>
      </c>
      <c r="R141" s="259" t="str">
        <f>IFERROR(__xludf.DUMMYFUNCTION("""COMPUTED_VALUE"""),"")</f>
        <v/>
      </c>
      <c r="S141" s="250" t="str">
        <f t="shared" si="5"/>
        <v/>
      </c>
      <c r="T141" s="254" t="str">
        <f>IFERROR(__xludf.DUMMYFUNCTION("""COMPUTED_VALUE"""),"")</f>
        <v/>
      </c>
      <c r="U141" s="246" t="str">
        <f>IFERROR(__xludf.DUMMYFUNCTION("""COMPUTED_VALUE"""),"")</f>
        <v/>
      </c>
      <c r="V141" s="247" t="str">
        <f t="shared" si="6"/>
        <v/>
      </c>
      <c r="W141" s="255" t="str">
        <f>IFERROR(__xludf.DUMMYFUNCTION("""COMPUTED_VALUE"""),"")</f>
        <v/>
      </c>
      <c r="X141" s="249" t="str">
        <f>IFERROR(__xludf.DUMMYFUNCTION("""COMPUTED_VALUE"""),"")</f>
        <v/>
      </c>
      <c r="Y141" s="250" t="str">
        <f t="shared" si="7"/>
        <v/>
      </c>
    </row>
    <row r="142">
      <c r="A142" s="136" t="s">
        <v>18</v>
      </c>
      <c r="B142" s="146">
        <v>46086.0</v>
      </c>
      <c r="C142" s="136" t="s">
        <v>49</v>
      </c>
      <c r="D142" s="136" t="s">
        <v>148</v>
      </c>
      <c r="E142" s="256" t="str">
        <f>IFERROR(__xludf.DUMMYFUNCTION("""COMPUTED_VALUE"""),"")</f>
        <v/>
      </c>
      <c r="F142" s="257" t="str">
        <f>IFERROR(__xludf.DUMMYFUNCTION("""COMPUTED_VALUE"""),"")</f>
        <v/>
      </c>
      <c r="G142" s="247" t="str">
        <f t="shared" si="1"/>
        <v/>
      </c>
      <c r="H142" s="258" t="str">
        <f>IFERROR(__xludf.DUMMYFUNCTION("""COMPUTED_VALUE"""),"")</f>
        <v/>
      </c>
      <c r="I142" s="259" t="str">
        <f>IFERROR(__xludf.DUMMYFUNCTION("""COMPUTED_VALUE"""),"")</f>
        <v/>
      </c>
      <c r="J142" s="250" t="str">
        <f t="shared" si="2"/>
        <v/>
      </c>
      <c r="K142" s="317" t="str">
        <f>IFERROR(__xludf.DUMMYFUNCTION("""COMPUTED_VALUE"""),"")</f>
        <v/>
      </c>
      <c r="L142" s="318" t="str">
        <f>IFERROR(__xludf.DUMMYFUNCTION("""COMPUTED_VALUE"""),"")</f>
        <v/>
      </c>
      <c r="M142" s="253" t="str">
        <f t="shared" si="3"/>
        <v/>
      </c>
      <c r="N142" s="319" t="str">
        <f>IFERROR(__xludf.DUMMYFUNCTION("""COMPUTED_VALUE"""),"")</f>
        <v/>
      </c>
      <c r="O142" s="257" t="str">
        <f>IFERROR(__xludf.DUMMYFUNCTION("""COMPUTED_VALUE"""),"")</f>
        <v/>
      </c>
      <c r="P142" s="247" t="str">
        <f t="shared" si="4"/>
        <v/>
      </c>
      <c r="Q142" s="320" t="str">
        <f>IFERROR(__xludf.DUMMYFUNCTION("""COMPUTED_VALUE"""),"")</f>
        <v/>
      </c>
      <c r="R142" s="259" t="str">
        <f>IFERROR(__xludf.DUMMYFUNCTION("""COMPUTED_VALUE"""),"")</f>
        <v/>
      </c>
      <c r="S142" s="250" t="str">
        <f t="shared" si="5"/>
        <v/>
      </c>
      <c r="T142" s="254" t="str">
        <f>IFERROR(__xludf.DUMMYFUNCTION("""COMPUTED_VALUE"""),"")</f>
        <v/>
      </c>
      <c r="U142" s="246" t="str">
        <f>IFERROR(__xludf.DUMMYFUNCTION("""COMPUTED_VALUE"""),"")</f>
        <v/>
      </c>
      <c r="V142" s="247" t="str">
        <f t="shared" si="6"/>
        <v/>
      </c>
      <c r="W142" s="255" t="str">
        <f>IFERROR(__xludf.DUMMYFUNCTION("""COMPUTED_VALUE"""),"")</f>
        <v/>
      </c>
      <c r="X142" s="249" t="str">
        <f>IFERROR(__xludf.DUMMYFUNCTION("""COMPUTED_VALUE"""),"")</f>
        <v/>
      </c>
      <c r="Y142" s="250" t="str">
        <f t="shared" si="7"/>
        <v/>
      </c>
    </row>
    <row r="143">
      <c r="A143" s="136" t="s">
        <v>18</v>
      </c>
      <c r="B143" s="146">
        <v>46086.0</v>
      </c>
      <c r="C143" s="136" t="s">
        <v>49</v>
      </c>
      <c r="D143" s="136" t="s">
        <v>149</v>
      </c>
      <c r="E143" s="256">
        <f>IFERROR(__xludf.DUMMYFUNCTION("""COMPUTED_VALUE"""),72.0)</f>
        <v>72</v>
      </c>
      <c r="F143" s="257">
        <f>IFERROR(__xludf.DUMMYFUNCTION("""COMPUTED_VALUE"""),0.05208333333575865)</f>
        <v>0.05208333334</v>
      </c>
      <c r="G143" s="247">
        <f t="shared" si="1"/>
        <v>57.6</v>
      </c>
      <c r="H143" s="258">
        <f>IFERROR(__xludf.DUMMYFUNCTION("""COMPUTED_VALUE"""),173.0)</f>
        <v>173</v>
      </c>
      <c r="I143" s="259">
        <f>IFERROR(__xludf.DUMMYFUNCTION("""COMPUTED_VALUE"""),0.15625)</f>
        <v>0.15625</v>
      </c>
      <c r="J143" s="250">
        <f t="shared" si="2"/>
        <v>46.13333333</v>
      </c>
      <c r="K143" s="317">
        <f>IFERROR(__xludf.DUMMYFUNCTION("""COMPUTED_VALUE"""),0.0)</f>
        <v>0</v>
      </c>
      <c r="L143" s="318">
        <f>IFERROR(__xludf.DUMMYFUNCTION("""COMPUTED_VALUE"""),0.0)</f>
        <v>0</v>
      </c>
      <c r="M143" s="253" t="str">
        <f t="shared" si="3"/>
        <v/>
      </c>
      <c r="N143" s="319">
        <f>IFERROR(__xludf.DUMMYFUNCTION("""COMPUTED_VALUE"""),146.0)</f>
        <v>146</v>
      </c>
      <c r="O143" s="257">
        <f>IFERROR(__xludf.DUMMYFUNCTION("""COMPUTED_VALUE"""),0.1430555555562023)</f>
        <v>0.1430555556</v>
      </c>
      <c r="P143" s="247">
        <f t="shared" si="4"/>
        <v>42.52427184</v>
      </c>
      <c r="Q143" s="320">
        <f>IFERROR(__xludf.DUMMYFUNCTION("""COMPUTED_VALUE"""),92.0)</f>
        <v>92</v>
      </c>
      <c r="R143" s="259">
        <f>IFERROR(__xludf.DUMMYFUNCTION("""COMPUTED_VALUE"""),0.07638888889050577)</f>
        <v>0.07638888889</v>
      </c>
      <c r="S143" s="250">
        <f t="shared" si="5"/>
        <v>50.18181818</v>
      </c>
      <c r="T143" s="254">
        <f>IFERROR(__xludf.DUMMYFUNCTION("""COMPUTED_VALUE"""),218.0)</f>
        <v>218</v>
      </c>
      <c r="U143" s="246">
        <f>IFERROR(__xludf.DUMMYFUNCTION("""COMPUTED_VALUE"""),0.19513888889196096)</f>
        <v>0.1951388889</v>
      </c>
      <c r="V143" s="247">
        <f t="shared" si="6"/>
        <v>46.5480427</v>
      </c>
      <c r="W143" s="255">
        <f>IFERROR(__xludf.DUMMYFUNCTION("""COMPUTED_VALUE"""),265.0)</f>
        <v>265</v>
      </c>
      <c r="X143" s="249">
        <f>IFERROR(__xludf.DUMMYFUNCTION("""COMPUTED_VALUE"""),0.23263888889050577)</f>
        <v>0.2326388889</v>
      </c>
      <c r="Y143" s="250">
        <f t="shared" si="7"/>
        <v>47.46268657</v>
      </c>
    </row>
    <row r="144">
      <c r="A144" s="136" t="s">
        <v>18</v>
      </c>
      <c r="B144" s="146">
        <v>46086.0</v>
      </c>
      <c r="C144" s="136" t="s">
        <v>49</v>
      </c>
      <c r="D144" s="136" t="s">
        <v>148</v>
      </c>
      <c r="E144" s="256" t="str">
        <f>IFERROR(__xludf.DUMMYFUNCTION("""COMPUTED_VALUE"""),"")</f>
        <v/>
      </c>
      <c r="F144" s="257" t="str">
        <f>IFERROR(__xludf.DUMMYFUNCTION("""COMPUTED_VALUE"""),"")</f>
        <v/>
      </c>
      <c r="G144" s="247" t="str">
        <f t="shared" si="1"/>
        <v/>
      </c>
      <c r="H144" s="258" t="str">
        <f>IFERROR(__xludf.DUMMYFUNCTION("""COMPUTED_VALUE"""),"")</f>
        <v/>
      </c>
      <c r="I144" s="259" t="str">
        <f>IFERROR(__xludf.DUMMYFUNCTION("""COMPUTED_VALUE"""),"")</f>
        <v/>
      </c>
      <c r="J144" s="250" t="str">
        <f t="shared" si="2"/>
        <v/>
      </c>
      <c r="K144" s="317" t="str">
        <f>IFERROR(__xludf.DUMMYFUNCTION("""COMPUTED_VALUE"""),"")</f>
        <v/>
      </c>
      <c r="L144" s="318" t="str">
        <f>IFERROR(__xludf.DUMMYFUNCTION("""COMPUTED_VALUE"""),"")</f>
        <v/>
      </c>
      <c r="M144" s="253" t="str">
        <f t="shared" si="3"/>
        <v/>
      </c>
      <c r="N144" s="319" t="str">
        <f>IFERROR(__xludf.DUMMYFUNCTION("""COMPUTED_VALUE"""),"")</f>
        <v/>
      </c>
      <c r="O144" s="257" t="str">
        <f>IFERROR(__xludf.DUMMYFUNCTION("""COMPUTED_VALUE"""),"")</f>
        <v/>
      </c>
      <c r="P144" s="247" t="str">
        <f t="shared" si="4"/>
        <v/>
      </c>
      <c r="Q144" s="320" t="str">
        <f>IFERROR(__xludf.DUMMYFUNCTION("""COMPUTED_VALUE"""),"")</f>
        <v/>
      </c>
      <c r="R144" s="259" t="str">
        <f>IFERROR(__xludf.DUMMYFUNCTION("""COMPUTED_VALUE"""),"")</f>
        <v/>
      </c>
      <c r="S144" s="250" t="str">
        <f t="shared" si="5"/>
        <v/>
      </c>
      <c r="T144" s="254" t="str">
        <f>IFERROR(__xludf.DUMMYFUNCTION("""COMPUTED_VALUE"""),"")</f>
        <v/>
      </c>
      <c r="U144" s="246" t="str">
        <f>IFERROR(__xludf.DUMMYFUNCTION("""COMPUTED_VALUE"""),"")</f>
        <v/>
      </c>
      <c r="V144" s="247" t="str">
        <f t="shared" si="6"/>
        <v/>
      </c>
      <c r="W144" s="255" t="str">
        <f>IFERROR(__xludf.DUMMYFUNCTION("""COMPUTED_VALUE"""),"")</f>
        <v/>
      </c>
      <c r="X144" s="249" t="str">
        <f>IFERROR(__xludf.DUMMYFUNCTION("""COMPUTED_VALUE"""),"")</f>
        <v/>
      </c>
      <c r="Y144" s="250" t="str">
        <f t="shared" si="7"/>
        <v/>
      </c>
    </row>
    <row r="145">
      <c r="A145" s="136" t="s">
        <v>12</v>
      </c>
      <c r="B145" s="146">
        <v>46087.0</v>
      </c>
      <c r="C145" s="136" t="s">
        <v>53</v>
      </c>
      <c r="D145" s="136" t="s">
        <v>149</v>
      </c>
      <c r="E145" s="256" t="str">
        <f>IFERROR(__xludf.DUMMYFUNCTION("""COMPUTED_VALUE"""),"")</f>
        <v/>
      </c>
      <c r="F145" s="257" t="str">
        <f>IFERROR(__xludf.DUMMYFUNCTION("""COMPUTED_VALUE"""),"")</f>
        <v/>
      </c>
      <c r="G145" s="247" t="str">
        <f t="shared" si="1"/>
        <v/>
      </c>
      <c r="H145" s="258" t="str">
        <f>IFERROR(__xludf.DUMMYFUNCTION("""COMPUTED_VALUE"""),"")</f>
        <v/>
      </c>
      <c r="I145" s="259" t="str">
        <f>IFERROR(__xludf.DUMMYFUNCTION("""COMPUTED_VALUE"""),"")</f>
        <v/>
      </c>
      <c r="J145" s="250" t="str">
        <f t="shared" si="2"/>
        <v/>
      </c>
      <c r="K145" s="317" t="str">
        <f>IFERROR(__xludf.DUMMYFUNCTION("""COMPUTED_VALUE"""),"")</f>
        <v/>
      </c>
      <c r="L145" s="318" t="str">
        <f>IFERROR(__xludf.DUMMYFUNCTION("""COMPUTED_VALUE"""),"")</f>
        <v/>
      </c>
      <c r="M145" s="253" t="str">
        <f t="shared" si="3"/>
        <v/>
      </c>
      <c r="N145" s="319" t="str">
        <f>IFERROR(__xludf.DUMMYFUNCTION("""COMPUTED_VALUE"""),"")</f>
        <v/>
      </c>
      <c r="O145" s="257" t="str">
        <f>IFERROR(__xludf.DUMMYFUNCTION("""COMPUTED_VALUE"""),"")</f>
        <v/>
      </c>
      <c r="P145" s="247" t="str">
        <f t="shared" si="4"/>
        <v/>
      </c>
      <c r="Q145" s="320" t="str">
        <f>IFERROR(__xludf.DUMMYFUNCTION("""COMPUTED_VALUE"""),"")</f>
        <v/>
      </c>
      <c r="R145" s="259" t="str">
        <f>IFERROR(__xludf.DUMMYFUNCTION("""COMPUTED_VALUE"""),"")</f>
        <v/>
      </c>
      <c r="S145" s="250" t="str">
        <f t="shared" si="5"/>
        <v/>
      </c>
      <c r="T145" s="254" t="str">
        <f>IFERROR(__xludf.DUMMYFUNCTION("""COMPUTED_VALUE"""),"")</f>
        <v/>
      </c>
      <c r="U145" s="246" t="str">
        <f>IFERROR(__xludf.DUMMYFUNCTION("""COMPUTED_VALUE"""),"")</f>
        <v/>
      </c>
      <c r="V145" s="247" t="str">
        <f t="shared" si="6"/>
        <v/>
      </c>
      <c r="W145" s="255" t="str">
        <f>IFERROR(__xludf.DUMMYFUNCTION("""COMPUTED_VALUE"""),"")</f>
        <v/>
      </c>
      <c r="X145" s="249" t="str">
        <f>IFERROR(__xludf.DUMMYFUNCTION("""COMPUTED_VALUE"""),"")</f>
        <v/>
      </c>
      <c r="Y145" s="250" t="str">
        <f t="shared" si="7"/>
        <v/>
      </c>
    </row>
    <row r="146">
      <c r="A146" s="136" t="s">
        <v>15</v>
      </c>
      <c r="B146" s="146">
        <v>46087.0</v>
      </c>
      <c r="C146" s="136" t="s">
        <v>53</v>
      </c>
      <c r="D146" s="136" t="s">
        <v>149</v>
      </c>
      <c r="E146" s="256">
        <f>IFERROR(__xludf.DUMMYFUNCTION("""COMPUTED_VALUE"""),199.0)</f>
        <v>199</v>
      </c>
      <c r="F146" s="257">
        <f>IFERROR(__xludf.DUMMYFUNCTION("""COMPUTED_VALUE"""),0.14236111110949423)</f>
        <v>0.1423611111</v>
      </c>
      <c r="G146" s="247">
        <f t="shared" si="1"/>
        <v>58.24390244</v>
      </c>
      <c r="H146" s="258">
        <f>IFERROR(__xludf.DUMMYFUNCTION("""COMPUTED_VALUE"""),0.0)</f>
        <v>0</v>
      </c>
      <c r="I146" s="259">
        <f>IFERROR(__xludf.DUMMYFUNCTION("""COMPUTED_VALUE"""),0.0)</f>
        <v>0</v>
      </c>
      <c r="J146" s="250" t="str">
        <f t="shared" si="2"/>
        <v/>
      </c>
      <c r="K146" s="317">
        <f>IFERROR(__xludf.DUMMYFUNCTION("""COMPUTED_VALUE"""),52.0)</f>
        <v>52</v>
      </c>
      <c r="L146" s="318">
        <f>IFERROR(__xludf.DUMMYFUNCTION("""COMPUTED_VALUE"""),0.06388888889341615)</f>
        <v>0.06388888889</v>
      </c>
      <c r="M146" s="253">
        <f t="shared" si="3"/>
        <v>33.91304348</v>
      </c>
      <c r="N146" s="319">
        <f>IFERROR(__xludf.DUMMYFUNCTION("""COMPUTED_VALUE"""),126.0)</f>
        <v>126</v>
      </c>
      <c r="O146" s="257">
        <f>IFERROR(__xludf.DUMMYFUNCTION("""COMPUTED_VALUE"""),0.12500000000242534)</f>
        <v>0.125</v>
      </c>
      <c r="P146" s="247">
        <f t="shared" si="4"/>
        <v>42</v>
      </c>
      <c r="Q146" s="320">
        <f>IFERROR(__xludf.DUMMYFUNCTION("""COMPUTED_VALUE"""),0.0)</f>
        <v>0</v>
      </c>
      <c r="R146" s="259">
        <f>IFERROR(__xludf.DUMMYFUNCTION("""COMPUTED_VALUE"""),0.0)</f>
        <v>0</v>
      </c>
      <c r="S146" s="250" t="str">
        <f t="shared" si="5"/>
        <v/>
      </c>
      <c r="T146" s="254">
        <f>IFERROR(__xludf.DUMMYFUNCTION("""COMPUTED_VALUE"""),325.0)</f>
        <v>325</v>
      </c>
      <c r="U146" s="246">
        <f>IFERROR(__xludf.DUMMYFUNCTION("""COMPUTED_VALUE"""),0.26736111111191957)</f>
        <v>0.2673611111</v>
      </c>
      <c r="V146" s="247">
        <f t="shared" si="6"/>
        <v>50.64935065</v>
      </c>
      <c r="W146" s="255">
        <f>IFERROR(__xludf.DUMMYFUNCTION("""COMPUTED_VALUE"""),0.0)</f>
        <v>0</v>
      </c>
      <c r="X146" s="249">
        <f>IFERROR(__xludf.DUMMYFUNCTION("""COMPUTED_VALUE"""),0.0)</f>
        <v>0</v>
      </c>
      <c r="Y146" s="250" t="str">
        <f t="shared" si="7"/>
        <v/>
      </c>
    </row>
    <row r="147">
      <c r="A147" s="136" t="s">
        <v>15</v>
      </c>
      <c r="B147" s="146">
        <v>46087.0</v>
      </c>
      <c r="C147" s="136" t="s">
        <v>53</v>
      </c>
      <c r="D147" s="136" t="s">
        <v>148</v>
      </c>
      <c r="E147" s="256" t="str">
        <f>IFERROR(__xludf.DUMMYFUNCTION("""COMPUTED_VALUE"""),"")</f>
        <v/>
      </c>
      <c r="F147" s="257" t="str">
        <f>IFERROR(__xludf.DUMMYFUNCTION("""COMPUTED_VALUE"""),"")</f>
        <v/>
      </c>
      <c r="G147" s="247" t="str">
        <f t="shared" si="1"/>
        <v/>
      </c>
      <c r="H147" s="258" t="str">
        <f>IFERROR(__xludf.DUMMYFUNCTION("""COMPUTED_VALUE"""),"")</f>
        <v/>
      </c>
      <c r="I147" s="259" t="str">
        <f>IFERROR(__xludf.DUMMYFUNCTION("""COMPUTED_VALUE"""),"")</f>
        <v/>
      </c>
      <c r="J147" s="250" t="str">
        <f t="shared" si="2"/>
        <v/>
      </c>
      <c r="K147" s="317" t="str">
        <f>IFERROR(__xludf.DUMMYFUNCTION("""COMPUTED_VALUE"""),"")</f>
        <v/>
      </c>
      <c r="L147" s="318" t="str">
        <f>IFERROR(__xludf.DUMMYFUNCTION("""COMPUTED_VALUE"""),"")</f>
        <v/>
      </c>
      <c r="M147" s="253" t="str">
        <f t="shared" si="3"/>
        <v/>
      </c>
      <c r="N147" s="319" t="str">
        <f>IFERROR(__xludf.DUMMYFUNCTION("""COMPUTED_VALUE"""),"")</f>
        <v/>
      </c>
      <c r="O147" s="257" t="str">
        <f>IFERROR(__xludf.DUMMYFUNCTION("""COMPUTED_VALUE"""),"")</f>
        <v/>
      </c>
      <c r="P147" s="247" t="str">
        <f t="shared" si="4"/>
        <v/>
      </c>
      <c r="Q147" s="320" t="str">
        <f>IFERROR(__xludf.DUMMYFUNCTION("""COMPUTED_VALUE"""),"")</f>
        <v/>
      </c>
      <c r="R147" s="259" t="str">
        <f>IFERROR(__xludf.DUMMYFUNCTION("""COMPUTED_VALUE"""),"")</f>
        <v/>
      </c>
      <c r="S147" s="250" t="str">
        <f t="shared" si="5"/>
        <v/>
      </c>
      <c r="T147" s="254" t="str">
        <f>IFERROR(__xludf.DUMMYFUNCTION("""COMPUTED_VALUE"""),"")</f>
        <v/>
      </c>
      <c r="U147" s="246" t="str">
        <f>IFERROR(__xludf.DUMMYFUNCTION("""COMPUTED_VALUE"""),"")</f>
        <v/>
      </c>
      <c r="V147" s="247" t="str">
        <f t="shared" si="6"/>
        <v/>
      </c>
      <c r="W147" s="255" t="str">
        <f>IFERROR(__xludf.DUMMYFUNCTION("""COMPUTED_VALUE"""),"")</f>
        <v/>
      </c>
      <c r="X147" s="249" t="str">
        <f>IFERROR(__xludf.DUMMYFUNCTION("""COMPUTED_VALUE"""),"")</f>
        <v/>
      </c>
      <c r="Y147" s="250" t="str">
        <f t="shared" si="7"/>
        <v/>
      </c>
    </row>
    <row r="148">
      <c r="A148" s="136" t="s">
        <v>15</v>
      </c>
      <c r="B148" s="146">
        <v>46090.0</v>
      </c>
      <c r="C148" s="136" t="s">
        <v>37</v>
      </c>
      <c r="D148" s="136" t="s">
        <v>148</v>
      </c>
      <c r="E148" s="256" t="str">
        <f>IFERROR(__xludf.DUMMYFUNCTION("""COMPUTED_VALUE"""),"")</f>
        <v/>
      </c>
      <c r="F148" s="257" t="str">
        <f>IFERROR(__xludf.DUMMYFUNCTION("""COMPUTED_VALUE"""),"")</f>
        <v/>
      </c>
      <c r="G148" s="247" t="str">
        <f t="shared" si="1"/>
        <v/>
      </c>
      <c r="H148" s="258" t="str">
        <f>IFERROR(__xludf.DUMMYFUNCTION("""COMPUTED_VALUE"""),"")</f>
        <v/>
      </c>
      <c r="I148" s="259" t="str">
        <f>IFERROR(__xludf.DUMMYFUNCTION("""COMPUTED_VALUE"""),"")</f>
        <v/>
      </c>
      <c r="J148" s="250" t="str">
        <f t="shared" si="2"/>
        <v/>
      </c>
      <c r="K148" s="317" t="str">
        <f>IFERROR(__xludf.DUMMYFUNCTION("""COMPUTED_VALUE"""),"")</f>
        <v/>
      </c>
      <c r="L148" s="318" t="str">
        <f>IFERROR(__xludf.DUMMYFUNCTION("""COMPUTED_VALUE"""),"")</f>
        <v/>
      </c>
      <c r="M148" s="253" t="str">
        <f t="shared" si="3"/>
        <v/>
      </c>
      <c r="N148" s="319" t="str">
        <f>IFERROR(__xludf.DUMMYFUNCTION("""COMPUTED_VALUE"""),"")</f>
        <v/>
      </c>
      <c r="O148" s="257" t="str">
        <f>IFERROR(__xludf.DUMMYFUNCTION("""COMPUTED_VALUE"""),"")</f>
        <v/>
      </c>
      <c r="P148" s="247" t="str">
        <f t="shared" si="4"/>
        <v/>
      </c>
      <c r="Q148" s="320" t="str">
        <f>IFERROR(__xludf.DUMMYFUNCTION("""COMPUTED_VALUE"""),"")</f>
        <v/>
      </c>
      <c r="R148" s="259" t="str">
        <f>IFERROR(__xludf.DUMMYFUNCTION("""COMPUTED_VALUE"""),"")</f>
        <v/>
      </c>
      <c r="S148" s="250" t="str">
        <f t="shared" si="5"/>
        <v/>
      </c>
      <c r="T148" s="254" t="str">
        <f>IFERROR(__xludf.DUMMYFUNCTION("""COMPUTED_VALUE"""),"")</f>
        <v/>
      </c>
      <c r="U148" s="246" t="str">
        <f>IFERROR(__xludf.DUMMYFUNCTION("""COMPUTED_VALUE"""),"")</f>
        <v/>
      </c>
      <c r="V148" s="247" t="str">
        <f t="shared" si="6"/>
        <v/>
      </c>
      <c r="W148" s="255" t="str">
        <f>IFERROR(__xludf.DUMMYFUNCTION("""COMPUTED_VALUE"""),"")</f>
        <v/>
      </c>
      <c r="X148" s="249" t="str">
        <f>IFERROR(__xludf.DUMMYFUNCTION("""COMPUTED_VALUE"""),"")</f>
        <v/>
      </c>
      <c r="Y148" s="250" t="str">
        <f t="shared" si="7"/>
        <v/>
      </c>
    </row>
    <row r="149">
      <c r="A149" s="136" t="s">
        <v>15</v>
      </c>
      <c r="B149" s="146">
        <v>46090.0</v>
      </c>
      <c r="C149" s="136" t="s">
        <v>37</v>
      </c>
      <c r="D149" s="136" t="s">
        <v>149</v>
      </c>
      <c r="E149" s="256" t="str">
        <f>IFERROR(__xludf.DUMMYFUNCTION("""COMPUTED_VALUE"""),"")</f>
        <v/>
      </c>
      <c r="F149" s="257" t="str">
        <f>IFERROR(__xludf.DUMMYFUNCTION("""COMPUTED_VALUE"""),"")</f>
        <v/>
      </c>
      <c r="G149" s="247" t="str">
        <f t="shared" si="1"/>
        <v/>
      </c>
      <c r="H149" s="258" t="str">
        <f>IFERROR(__xludf.DUMMYFUNCTION("""COMPUTED_VALUE"""),"")</f>
        <v/>
      </c>
      <c r="I149" s="259" t="str">
        <f>IFERROR(__xludf.DUMMYFUNCTION("""COMPUTED_VALUE"""),"")</f>
        <v/>
      </c>
      <c r="J149" s="250" t="str">
        <f t="shared" si="2"/>
        <v/>
      </c>
      <c r="K149" s="317" t="str">
        <f>IFERROR(__xludf.DUMMYFUNCTION("""COMPUTED_VALUE"""),"")</f>
        <v/>
      </c>
      <c r="L149" s="318" t="str">
        <f>IFERROR(__xludf.DUMMYFUNCTION("""COMPUTED_VALUE"""),"")</f>
        <v/>
      </c>
      <c r="M149" s="253" t="str">
        <f t="shared" si="3"/>
        <v/>
      </c>
      <c r="N149" s="319" t="str">
        <f>IFERROR(__xludf.DUMMYFUNCTION("""COMPUTED_VALUE"""),"")</f>
        <v/>
      </c>
      <c r="O149" s="257" t="str">
        <f>IFERROR(__xludf.DUMMYFUNCTION("""COMPUTED_VALUE"""),"")</f>
        <v/>
      </c>
      <c r="P149" s="247" t="str">
        <f t="shared" si="4"/>
        <v/>
      </c>
      <c r="Q149" s="320" t="str">
        <f>IFERROR(__xludf.DUMMYFUNCTION("""COMPUTED_VALUE"""),"")</f>
        <v/>
      </c>
      <c r="R149" s="259" t="str">
        <f>IFERROR(__xludf.DUMMYFUNCTION("""COMPUTED_VALUE"""),"")</f>
        <v/>
      </c>
      <c r="S149" s="250" t="str">
        <f t="shared" si="5"/>
        <v/>
      </c>
      <c r="T149" s="254" t="str">
        <f>IFERROR(__xludf.DUMMYFUNCTION("""COMPUTED_VALUE"""),"")</f>
        <v/>
      </c>
      <c r="U149" s="246" t="str">
        <f>IFERROR(__xludf.DUMMYFUNCTION("""COMPUTED_VALUE"""),"")</f>
        <v/>
      </c>
      <c r="V149" s="247" t="str">
        <f t="shared" si="6"/>
        <v/>
      </c>
      <c r="W149" s="255" t="str">
        <f>IFERROR(__xludf.DUMMYFUNCTION("""COMPUTED_VALUE"""),"")</f>
        <v/>
      </c>
      <c r="X149" s="249" t="str">
        <f>IFERROR(__xludf.DUMMYFUNCTION("""COMPUTED_VALUE"""),"")</f>
        <v/>
      </c>
      <c r="Y149" s="250" t="str">
        <f t="shared" si="7"/>
        <v/>
      </c>
    </row>
    <row r="150">
      <c r="A150" s="136" t="s">
        <v>18</v>
      </c>
      <c r="B150" s="146">
        <v>46090.0</v>
      </c>
      <c r="C150" s="136" t="s">
        <v>37</v>
      </c>
      <c r="D150" s="136" t="s">
        <v>148</v>
      </c>
      <c r="E150" s="256">
        <f>IFERROR(__xludf.DUMMYFUNCTION("""COMPUTED_VALUE"""),127.0)</f>
        <v>127</v>
      </c>
      <c r="F150" s="257">
        <f>IFERROR(__xludf.DUMMYFUNCTION("""COMPUTED_VALUE"""),0.07500000000436557)</f>
        <v>0.075</v>
      </c>
      <c r="G150" s="247">
        <f t="shared" si="1"/>
        <v>70.55555555</v>
      </c>
      <c r="H150" s="258">
        <f>IFERROR(__xludf.DUMMYFUNCTION("""COMPUTED_VALUE"""),113.0)</f>
        <v>113</v>
      </c>
      <c r="I150" s="259">
        <f>IFERROR(__xludf.DUMMYFUNCTION("""COMPUTED_VALUE"""),0.07499999999708962)</f>
        <v>0.075</v>
      </c>
      <c r="J150" s="250">
        <f t="shared" si="2"/>
        <v>62.77777778</v>
      </c>
      <c r="K150" s="317">
        <f>IFERROR(__xludf.DUMMYFUNCTION("""COMPUTED_VALUE"""),0.0)</f>
        <v>0</v>
      </c>
      <c r="L150" s="318">
        <f>IFERROR(__xludf.DUMMYFUNCTION("""COMPUTED_VALUE"""),0.0)</f>
        <v>0</v>
      </c>
      <c r="M150" s="253" t="str">
        <f t="shared" si="3"/>
        <v/>
      </c>
      <c r="N150" s="319">
        <f>IFERROR(__xludf.DUMMYFUNCTION("""COMPUTED_VALUE"""),113.0)</f>
        <v>113</v>
      </c>
      <c r="O150" s="257">
        <f>IFERROR(__xludf.DUMMYFUNCTION("""COMPUTED_VALUE"""),0.125)</f>
        <v>0.125</v>
      </c>
      <c r="P150" s="247">
        <f t="shared" si="4"/>
        <v>37.66666667</v>
      </c>
      <c r="Q150" s="320">
        <f>IFERROR(__xludf.DUMMYFUNCTION("""COMPUTED_VALUE"""),102.0)</f>
        <v>102</v>
      </c>
      <c r="R150" s="259">
        <f>IFERROR(__xludf.DUMMYFUNCTION("""COMPUTED_VALUE"""),0.16666666666424135)</f>
        <v>0.1666666667</v>
      </c>
      <c r="S150" s="250">
        <f t="shared" si="5"/>
        <v>25.5</v>
      </c>
      <c r="T150" s="254">
        <f>IFERROR(__xludf.DUMMYFUNCTION("""COMPUTED_VALUE"""),240.0)</f>
        <v>240</v>
      </c>
      <c r="U150" s="246">
        <f>IFERROR(__xludf.DUMMYFUNCTION("""COMPUTED_VALUE"""),0.20000000000436557)</f>
        <v>0.2</v>
      </c>
      <c r="V150" s="247">
        <f t="shared" si="6"/>
        <v>50</v>
      </c>
      <c r="W150" s="255">
        <f>IFERROR(__xludf.DUMMYFUNCTION("""COMPUTED_VALUE"""),215.0)</f>
        <v>215</v>
      </c>
      <c r="X150" s="249">
        <f>IFERROR(__xludf.DUMMYFUNCTION("""COMPUTED_VALUE"""),0.24166666666133096)</f>
        <v>0.2416666667</v>
      </c>
      <c r="Y150" s="250">
        <f t="shared" si="7"/>
        <v>37.06896552</v>
      </c>
    </row>
    <row r="151">
      <c r="A151" s="136" t="s">
        <v>18</v>
      </c>
      <c r="B151" s="146">
        <v>46090.0</v>
      </c>
      <c r="C151" s="136" t="s">
        <v>37</v>
      </c>
      <c r="D151" s="136" t="s">
        <v>149</v>
      </c>
      <c r="E151" s="256" t="str">
        <f>IFERROR(__xludf.DUMMYFUNCTION("""COMPUTED_VALUE"""),"")</f>
        <v/>
      </c>
      <c r="F151" s="257" t="str">
        <f>IFERROR(__xludf.DUMMYFUNCTION("""COMPUTED_VALUE"""),"")</f>
        <v/>
      </c>
      <c r="G151" s="247" t="str">
        <f t="shared" si="1"/>
        <v/>
      </c>
      <c r="H151" s="258" t="str">
        <f>IFERROR(__xludf.DUMMYFUNCTION("""COMPUTED_VALUE"""),"")</f>
        <v/>
      </c>
      <c r="I151" s="259" t="str">
        <f>IFERROR(__xludf.DUMMYFUNCTION("""COMPUTED_VALUE"""),"")</f>
        <v/>
      </c>
      <c r="J151" s="250" t="str">
        <f t="shared" si="2"/>
        <v/>
      </c>
      <c r="K151" s="317" t="str">
        <f>IFERROR(__xludf.DUMMYFUNCTION("""COMPUTED_VALUE"""),"")</f>
        <v/>
      </c>
      <c r="L151" s="318" t="str">
        <f>IFERROR(__xludf.DUMMYFUNCTION("""COMPUTED_VALUE"""),"")</f>
        <v/>
      </c>
      <c r="M151" s="253" t="str">
        <f t="shared" si="3"/>
        <v/>
      </c>
      <c r="N151" s="319" t="str">
        <f>IFERROR(__xludf.DUMMYFUNCTION("""COMPUTED_VALUE"""),"")</f>
        <v/>
      </c>
      <c r="O151" s="257" t="str">
        <f>IFERROR(__xludf.DUMMYFUNCTION("""COMPUTED_VALUE"""),"")</f>
        <v/>
      </c>
      <c r="P151" s="247" t="str">
        <f t="shared" si="4"/>
        <v/>
      </c>
      <c r="Q151" s="320" t="str">
        <f>IFERROR(__xludf.DUMMYFUNCTION("""COMPUTED_VALUE"""),"")</f>
        <v/>
      </c>
      <c r="R151" s="259" t="str">
        <f>IFERROR(__xludf.DUMMYFUNCTION("""COMPUTED_VALUE"""),"")</f>
        <v/>
      </c>
      <c r="S151" s="250" t="str">
        <f t="shared" si="5"/>
        <v/>
      </c>
      <c r="T151" s="254" t="str">
        <f>IFERROR(__xludf.DUMMYFUNCTION("""COMPUTED_VALUE"""),"")</f>
        <v/>
      </c>
      <c r="U151" s="246" t="str">
        <f>IFERROR(__xludf.DUMMYFUNCTION("""COMPUTED_VALUE"""),"")</f>
        <v/>
      </c>
      <c r="V151" s="247" t="str">
        <f t="shared" si="6"/>
        <v/>
      </c>
      <c r="W151" s="255" t="str">
        <f>IFERROR(__xludf.DUMMYFUNCTION("""COMPUTED_VALUE"""),"")</f>
        <v/>
      </c>
      <c r="X151" s="249" t="str">
        <f>IFERROR(__xludf.DUMMYFUNCTION("""COMPUTED_VALUE"""),"")</f>
        <v/>
      </c>
      <c r="Y151" s="250" t="str">
        <f t="shared" si="7"/>
        <v/>
      </c>
    </row>
    <row r="152">
      <c r="A152" s="136" t="s">
        <v>134</v>
      </c>
      <c r="B152" s="146">
        <v>46091.0</v>
      </c>
      <c r="C152" s="136" t="s">
        <v>41</v>
      </c>
      <c r="D152" s="136" t="s">
        <v>149</v>
      </c>
      <c r="E152" s="256" t="str">
        <f>IFERROR(__xludf.DUMMYFUNCTION("""COMPUTED_VALUE"""),"")</f>
        <v/>
      </c>
      <c r="F152" s="257" t="str">
        <f>IFERROR(__xludf.DUMMYFUNCTION("""COMPUTED_VALUE"""),"")</f>
        <v/>
      </c>
      <c r="G152" s="247" t="str">
        <f t="shared" si="1"/>
        <v/>
      </c>
      <c r="H152" s="258" t="str">
        <f>IFERROR(__xludf.DUMMYFUNCTION("""COMPUTED_VALUE"""),"")</f>
        <v/>
      </c>
      <c r="I152" s="259" t="str">
        <f>IFERROR(__xludf.DUMMYFUNCTION("""COMPUTED_VALUE"""),"")</f>
        <v/>
      </c>
      <c r="J152" s="250" t="str">
        <f t="shared" si="2"/>
        <v/>
      </c>
      <c r="K152" s="317" t="str">
        <f>IFERROR(__xludf.DUMMYFUNCTION("""COMPUTED_VALUE"""),"")</f>
        <v/>
      </c>
      <c r="L152" s="318" t="str">
        <f>IFERROR(__xludf.DUMMYFUNCTION("""COMPUTED_VALUE"""),"")</f>
        <v/>
      </c>
      <c r="M152" s="253" t="str">
        <f t="shared" si="3"/>
        <v/>
      </c>
      <c r="N152" s="319" t="str">
        <f>IFERROR(__xludf.DUMMYFUNCTION("""COMPUTED_VALUE"""),"")</f>
        <v/>
      </c>
      <c r="O152" s="257" t="str">
        <f>IFERROR(__xludf.DUMMYFUNCTION("""COMPUTED_VALUE"""),"")</f>
        <v/>
      </c>
      <c r="P152" s="247" t="str">
        <f t="shared" si="4"/>
        <v/>
      </c>
      <c r="Q152" s="320" t="str">
        <f>IFERROR(__xludf.DUMMYFUNCTION("""COMPUTED_VALUE"""),"")</f>
        <v/>
      </c>
      <c r="R152" s="259" t="str">
        <f>IFERROR(__xludf.DUMMYFUNCTION("""COMPUTED_VALUE"""),"")</f>
        <v/>
      </c>
      <c r="S152" s="250" t="str">
        <f t="shared" si="5"/>
        <v/>
      </c>
      <c r="T152" s="254" t="str">
        <f>IFERROR(__xludf.DUMMYFUNCTION("""COMPUTED_VALUE"""),"")</f>
        <v/>
      </c>
      <c r="U152" s="246" t="str">
        <f>IFERROR(__xludf.DUMMYFUNCTION("""COMPUTED_VALUE"""),"")</f>
        <v/>
      </c>
      <c r="V152" s="247" t="str">
        <f t="shared" si="6"/>
        <v/>
      </c>
      <c r="W152" s="255" t="str">
        <f>IFERROR(__xludf.DUMMYFUNCTION("""COMPUTED_VALUE"""),"")</f>
        <v/>
      </c>
      <c r="X152" s="249" t="str">
        <f>IFERROR(__xludf.DUMMYFUNCTION("""COMPUTED_VALUE"""),"")</f>
        <v/>
      </c>
      <c r="Y152" s="250" t="str">
        <f t="shared" si="7"/>
        <v/>
      </c>
    </row>
    <row r="153">
      <c r="A153" s="136" t="s">
        <v>12</v>
      </c>
      <c r="B153" s="146">
        <v>46091.0</v>
      </c>
      <c r="C153" s="136" t="s">
        <v>41</v>
      </c>
      <c r="D153" s="136" t="s">
        <v>149</v>
      </c>
      <c r="E153" s="256" t="str">
        <f>IFERROR(__xludf.DUMMYFUNCTION("""COMPUTED_VALUE"""),"")</f>
        <v/>
      </c>
      <c r="F153" s="257" t="str">
        <f>IFERROR(__xludf.DUMMYFUNCTION("""COMPUTED_VALUE"""),"")</f>
        <v/>
      </c>
      <c r="G153" s="247" t="str">
        <f t="shared" si="1"/>
        <v/>
      </c>
      <c r="H153" s="258" t="str">
        <f>IFERROR(__xludf.DUMMYFUNCTION("""COMPUTED_VALUE"""),"")</f>
        <v/>
      </c>
      <c r="I153" s="259" t="str">
        <f>IFERROR(__xludf.DUMMYFUNCTION("""COMPUTED_VALUE"""),"")</f>
        <v/>
      </c>
      <c r="J153" s="250" t="str">
        <f t="shared" si="2"/>
        <v/>
      </c>
      <c r="K153" s="317" t="str">
        <f>IFERROR(__xludf.DUMMYFUNCTION("""COMPUTED_VALUE"""),"")</f>
        <v/>
      </c>
      <c r="L153" s="318" t="str">
        <f>IFERROR(__xludf.DUMMYFUNCTION("""COMPUTED_VALUE"""),"")</f>
        <v/>
      </c>
      <c r="M153" s="253" t="str">
        <f t="shared" si="3"/>
        <v/>
      </c>
      <c r="N153" s="319" t="str">
        <f>IFERROR(__xludf.DUMMYFUNCTION("""COMPUTED_VALUE"""),"")</f>
        <v/>
      </c>
      <c r="O153" s="257" t="str">
        <f>IFERROR(__xludf.DUMMYFUNCTION("""COMPUTED_VALUE"""),"")</f>
        <v/>
      </c>
      <c r="P153" s="247" t="str">
        <f t="shared" si="4"/>
        <v/>
      </c>
      <c r="Q153" s="320" t="str">
        <f>IFERROR(__xludf.DUMMYFUNCTION("""COMPUTED_VALUE"""),"")</f>
        <v/>
      </c>
      <c r="R153" s="259" t="str">
        <f>IFERROR(__xludf.DUMMYFUNCTION("""COMPUTED_VALUE"""),"")</f>
        <v/>
      </c>
      <c r="S153" s="250" t="str">
        <f t="shared" si="5"/>
        <v/>
      </c>
      <c r="T153" s="254" t="str">
        <f>IFERROR(__xludf.DUMMYFUNCTION("""COMPUTED_VALUE"""),"")</f>
        <v/>
      </c>
      <c r="U153" s="246" t="str">
        <f>IFERROR(__xludf.DUMMYFUNCTION("""COMPUTED_VALUE"""),"")</f>
        <v/>
      </c>
      <c r="V153" s="247" t="str">
        <f t="shared" si="6"/>
        <v/>
      </c>
      <c r="W153" s="255" t="str">
        <f>IFERROR(__xludf.DUMMYFUNCTION("""COMPUTED_VALUE"""),"")</f>
        <v/>
      </c>
      <c r="X153" s="249" t="str">
        <f>IFERROR(__xludf.DUMMYFUNCTION("""COMPUTED_VALUE"""),"")</f>
        <v/>
      </c>
      <c r="Y153" s="250" t="str">
        <f t="shared" si="7"/>
        <v/>
      </c>
    </row>
    <row r="154">
      <c r="A154" s="136" t="s">
        <v>15</v>
      </c>
      <c r="B154" s="146">
        <v>46091.0</v>
      </c>
      <c r="C154" s="136" t="s">
        <v>41</v>
      </c>
      <c r="D154" s="136" t="s">
        <v>149</v>
      </c>
      <c r="E154" s="256" t="str">
        <f>IFERROR(__xludf.DUMMYFUNCTION("""COMPUTED_VALUE"""),"")</f>
        <v/>
      </c>
      <c r="F154" s="257" t="str">
        <f>IFERROR(__xludf.DUMMYFUNCTION("""COMPUTED_VALUE"""),"")</f>
        <v/>
      </c>
      <c r="G154" s="247" t="str">
        <f t="shared" si="1"/>
        <v/>
      </c>
      <c r="H154" s="258" t="str">
        <f>IFERROR(__xludf.DUMMYFUNCTION("""COMPUTED_VALUE"""),"")</f>
        <v/>
      </c>
      <c r="I154" s="259" t="str">
        <f>IFERROR(__xludf.DUMMYFUNCTION("""COMPUTED_VALUE"""),"")</f>
        <v/>
      </c>
      <c r="J154" s="250" t="str">
        <f t="shared" si="2"/>
        <v/>
      </c>
      <c r="K154" s="317" t="str">
        <f>IFERROR(__xludf.DUMMYFUNCTION("""COMPUTED_VALUE"""),"")</f>
        <v/>
      </c>
      <c r="L154" s="318" t="str">
        <f>IFERROR(__xludf.DUMMYFUNCTION("""COMPUTED_VALUE"""),"")</f>
        <v/>
      </c>
      <c r="M154" s="253" t="str">
        <f t="shared" si="3"/>
        <v/>
      </c>
      <c r="N154" s="319" t="str">
        <f>IFERROR(__xludf.DUMMYFUNCTION("""COMPUTED_VALUE"""),"")</f>
        <v/>
      </c>
      <c r="O154" s="257" t="str">
        <f>IFERROR(__xludf.DUMMYFUNCTION("""COMPUTED_VALUE"""),"")</f>
        <v/>
      </c>
      <c r="P154" s="247" t="str">
        <f t="shared" si="4"/>
        <v/>
      </c>
      <c r="Q154" s="320" t="str">
        <f>IFERROR(__xludf.DUMMYFUNCTION("""COMPUTED_VALUE"""),"")</f>
        <v/>
      </c>
      <c r="R154" s="259" t="str">
        <f>IFERROR(__xludf.DUMMYFUNCTION("""COMPUTED_VALUE"""),"")</f>
        <v/>
      </c>
      <c r="S154" s="250" t="str">
        <f t="shared" si="5"/>
        <v/>
      </c>
      <c r="T154" s="254" t="str">
        <f>IFERROR(__xludf.DUMMYFUNCTION("""COMPUTED_VALUE"""),"")</f>
        <v/>
      </c>
      <c r="U154" s="246" t="str">
        <f>IFERROR(__xludf.DUMMYFUNCTION("""COMPUTED_VALUE"""),"")</f>
        <v/>
      </c>
      <c r="V154" s="247" t="str">
        <f t="shared" si="6"/>
        <v/>
      </c>
      <c r="W154" s="255" t="str">
        <f>IFERROR(__xludf.DUMMYFUNCTION("""COMPUTED_VALUE"""),"")</f>
        <v/>
      </c>
      <c r="X154" s="249" t="str">
        <f>IFERROR(__xludf.DUMMYFUNCTION("""COMPUTED_VALUE"""),"")</f>
        <v/>
      </c>
      <c r="Y154" s="250" t="str">
        <f t="shared" si="7"/>
        <v/>
      </c>
    </row>
    <row r="155">
      <c r="A155" s="136" t="s">
        <v>15</v>
      </c>
      <c r="B155" s="146">
        <v>46091.0</v>
      </c>
      <c r="C155" s="136" t="s">
        <v>41</v>
      </c>
      <c r="D155" s="136" t="s">
        <v>148</v>
      </c>
      <c r="E155" s="256" t="str">
        <f>IFERROR(__xludf.DUMMYFUNCTION("""COMPUTED_VALUE"""),"")</f>
        <v/>
      </c>
      <c r="F155" s="257" t="str">
        <f>IFERROR(__xludf.DUMMYFUNCTION("""COMPUTED_VALUE"""),"")</f>
        <v/>
      </c>
      <c r="G155" s="247" t="str">
        <f t="shared" si="1"/>
        <v/>
      </c>
      <c r="H155" s="258" t="str">
        <f>IFERROR(__xludf.DUMMYFUNCTION("""COMPUTED_VALUE"""),"")</f>
        <v/>
      </c>
      <c r="I155" s="259" t="str">
        <f>IFERROR(__xludf.DUMMYFUNCTION("""COMPUTED_VALUE"""),"")</f>
        <v/>
      </c>
      <c r="J155" s="250" t="str">
        <f t="shared" si="2"/>
        <v/>
      </c>
      <c r="K155" s="317" t="str">
        <f>IFERROR(__xludf.DUMMYFUNCTION("""COMPUTED_VALUE"""),"")</f>
        <v/>
      </c>
      <c r="L155" s="318" t="str">
        <f>IFERROR(__xludf.DUMMYFUNCTION("""COMPUTED_VALUE"""),"")</f>
        <v/>
      </c>
      <c r="M155" s="253" t="str">
        <f t="shared" si="3"/>
        <v/>
      </c>
      <c r="N155" s="319" t="str">
        <f>IFERROR(__xludf.DUMMYFUNCTION("""COMPUTED_VALUE"""),"")</f>
        <v/>
      </c>
      <c r="O155" s="257" t="str">
        <f>IFERROR(__xludf.DUMMYFUNCTION("""COMPUTED_VALUE"""),"")</f>
        <v/>
      </c>
      <c r="P155" s="247" t="str">
        <f t="shared" si="4"/>
        <v/>
      </c>
      <c r="Q155" s="320" t="str">
        <f>IFERROR(__xludf.DUMMYFUNCTION("""COMPUTED_VALUE"""),"")</f>
        <v/>
      </c>
      <c r="R155" s="259" t="str">
        <f>IFERROR(__xludf.DUMMYFUNCTION("""COMPUTED_VALUE"""),"")</f>
        <v/>
      </c>
      <c r="S155" s="250" t="str">
        <f t="shared" si="5"/>
        <v/>
      </c>
      <c r="T155" s="254" t="str">
        <f>IFERROR(__xludf.DUMMYFUNCTION("""COMPUTED_VALUE"""),"")</f>
        <v/>
      </c>
      <c r="U155" s="246" t="str">
        <f>IFERROR(__xludf.DUMMYFUNCTION("""COMPUTED_VALUE"""),"")</f>
        <v/>
      </c>
      <c r="V155" s="247" t="str">
        <f t="shared" si="6"/>
        <v/>
      </c>
      <c r="W155" s="255" t="str">
        <f>IFERROR(__xludf.DUMMYFUNCTION("""COMPUTED_VALUE"""),"")</f>
        <v/>
      </c>
      <c r="X155" s="249" t="str">
        <f>IFERROR(__xludf.DUMMYFUNCTION("""COMPUTED_VALUE"""),"")</f>
        <v/>
      </c>
      <c r="Y155" s="250" t="str">
        <f t="shared" si="7"/>
        <v/>
      </c>
    </row>
    <row r="156">
      <c r="A156" s="136" t="s">
        <v>15</v>
      </c>
      <c r="B156" s="146">
        <v>46091.0</v>
      </c>
      <c r="C156" s="136" t="s">
        <v>41</v>
      </c>
      <c r="D156" s="136" t="s">
        <v>148</v>
      </c>
      <c r="E156" s="256" t="str">
        <f>IFERROR(__xludf.DUMMYFUNCTION("""COMPUTED_VALUE"""),"")</f>
        <v/>
      </c>
      <c r="F156" s="257" t="str">
        <f>IFERROR(__xludf.DUMMYFUNCTION("""COMPUTED_VALUE"""),"")</f>
        <v/>
      </c>
      <c r="G156" s="247" t="str">
        <f t="shared" si="1"/>
        <v/>
      </c>
      <c r="H156" s="258" t="str">
        <f>IFERROR(__xludf.DUMMYFUNCTION("""COMPUTED_VALUE"""),"")</f>
        <v/>
      </c>
      <c r="I156" s="259" t="str">
        <f>IFERROR(__xludf.DUMMYFUNCTION("""COMPUTED_VALUE"""),"")</f>
        <v/>
      </c>
      <c r="J156" s="250" t="str">
        <f t="shared" si="2"/>
        <v/>
      </c>
      <c r="K156" s="317" t="str">
        <f>IFERROR(__xludf.DUMMYFUNCTION("""COMPUTED_VALUE"""),"")</f>
        <v/>
      </c>
      <c r="L156" s="318" t="str">
        <f>IFERROR(__xludf.DUMMYFUNCTION("""COMPUTED_VALUE"""),"")</f>
        <v/>
      </c>
      <c r="M156" s="253" t="str">
        <f t="shared" si="3"/>
        <v/>
      </c>
      <c r="N156" s="319" t="str">
        <f>IFERROR(__xludf.DUMMYFUNCTION("""COMPUTED_VALUE"""),"")</f>
        <v/>
      </c>
      <c r="O156" s="257" t="str">
        <f>IFERROR(__xludf.DUMMYFUNCTION("""COMPUTED_VALUE"""),"")</f>
        <v/>
      </c>
      <c r="P156" s="247" t="str">
        <f t="shared" si="4"/>
        <v/>
      </c>
      <c r="Q156" s="320" t="str">
        <f>IFERROR(__xludf.DUMMYFUNCTION("""COMPUTED_VALUE"""),"")</f>
        <v/>
      </c>
      <c r="R156" s="259" t="str">
        <f>IFERROR(__xludf.DUMMYFUNCTION("""COMPUTED_VALUE"""),"")</f>
        <v/>
      </c>
      <c r="S156" s="250" t="str">
        <f t="shared" si="5"/>
        <v/>
      </c>
      <c r="T156" s="254" t="str">
        <f>IFERROR(__xludf.DUMMYFUNCTION("""COMPUTED_VALUE"""),"")</f>
        <v/>
      </c>
      <c r="U156" s="246" t="str">
        <f>IFERROR(__xludf.DUMMYFUNCTION("""COMPUTED_VALUE"""),"")</f>
        <v/>
      </c>
      <c r="V156" s="247" t="str">
        <f t="shared" si="6"/>
        <v/>
      </c>
      <c r="W156" s="255" t="str">
        <f>IFERROR(__xludf.DUMMYFUNCTION("""COMPUTED_VALUE"""),"")</f>
        <v/>
      </c>
      <c r="X156" s="249" t="str">
        <f>IFERROR(__xludf.DUMMYFUNCTION("""COMPUTED_VALUE"""),"")</f>
        <v/>
      </c>
      <c r="Y156" s="250" t="str">
        <f t="shared" si="7"/>
        <v/>
      </c>
    </row>
    <row r="157">
      <c r="A157" s="136" t="s">
        <v>15</v>
      </c>
      <c r="B157" s="146">
        <v>46091.0</v>
      </c>
      <c r="C157" s="136" t="s">
        <v>41</v>
      </c>
      <c r="D157" s="136" t="s">
        <v>149</v>
      </c>
      <c r="E157" s="256" t="str">
        <f>IFERROR(__xludf.DUMMYFUNCTION("""COMPUTED_VALUE"""),"")</f>
        <v/>
      </c>
      <c r="F157" s="257" t="str">
        <f>IFERROR(__xludf.DUMMYFUNCTION("""COMPUTED_VALUE"""),"")</f>
        <v/>
      </c>
      <c r="G157" s="247" t="str">
        <f t="shared" si="1"/>
        <v/>
      </c>
      <c r="H157" s="258" t="str">
        <f>IFERROR(__xludf.DUMMYFUNCTION("""COMPUTED_VALUE"""),"")</f>
        <v/>
      </c>
      <c r="I157" s="259" t="str">
        <f>IFERROR(__xludf.DUMMYFUNCTION("""COMPUTED_VALUE"""),"")</f>
        <v/>
      </c>
      <c r="J157" s="250" t="str">
        <f t="shared" si="2"/>
        <v/>
      </c>
      <c r="K157" s="317" t="str">
        <f>IFERROR(__xludf.DUMMYFUNCTION("""COMPUTED_VALUE"""),"")</f>
        <v/>
      </c>
      <c r="L157" s="318" t="str">
        <f>IFERROR(__xludf.DUMMYFUNCTION("""COMPUTED_VALUE"""),"")</f>
        <v/>
      </c>
      <c r="M157" s="253" t="str">
        <f t="shared" si="3"/>
        <v/>
      </c>
      <c r="N157" s="319" t="str">
        <f>IFERROR(__xludf.DUMMYFUNCTION("""COMPUTED_VALUE"""),"")</f>
        <v/>
      </c>
      <c r="O157" s="257" t="str">
        <f>IFERROR(__xludf.DUMMYFUNCTION("""COMPUTED_VALUE"""),"")</f>
        <v/>
      </c>
      <c r="P157" s="247" t="str">
        <f t="shared" si="4"/>
        <v/>
      </c>
      <c r="Q157" s="320" t="str">
        <f>IFERROR(__xludf.DUMMYFUNCTION("""COMPUTED_VALUE"""),"")</f>
        <v/>
      </c>
      <c r="R157" s="259" t="str">
        <f>IFERROR(__xludf.DUMMYFUNCTION("""COMPUTED_VALUE"""),"")</f>
        <v/>
      </c>
      <c r="S157" s="250" t="str">
        <f t="shared" si="5"/>
        <v/>
      </c>
      <c r="T157" s="254" t="str">
        <f>IFERROR(__xludf.DUMMYFUNCTION("""COMPUTED_VALUE"""),"")</f>
        <v/>
      </c>
      <c r="U157" s="246" t="str">
        <f>IFERROR(__xludf.DUMMYFUNCTION("""COMPUTED_VALUE"""),"")</f>
        <v/>
      </c>
      <c r="V157" s="247" t="str">
        <f t="shared" si="6"/>
        <v/>
      </c>
      <c r="W157" s="255" t="str">
        <f>IFERROR(__xludf.DUMMYFUNCTION("""COMPUTED_VALUE"""),"")</f>
        <v/>
      </c>
      <c r="X157" s="249" t="str">
        <f>IFERROR(__xludf.DUMMYFUNCTION("""COMPUTED_VALUE"""),"")</f>
        <v/>
      </c>
      <c r="Y157" s="250" t="str">
        <f t="shared" si="7"/>
        <v/>
      </c>
    </row>
    <row r="158">
      <c r="A158" s="136" t="s">
        <v>18</v>
      </c>
      <c r="B158" s="146">
        <v>46091.0</v>
      </c>
      <c r="C158" s="136" t="s">
        <v>41</v>
      </c>
      <c r="D158" s="136" t="s">
        <v>148</v>
      </c>
      <c r="E158" s="256" t="str">
        <f>IFERROR(__xludf.DUMMYFUNCTION("""COMPUTED_VALUE"""),"")</f>
        <v/>
      </c>
      <c r="F158" s="257" t="str">
        <f>IFERROR(__xludf.DUMMYFUNCTION("""COMPUTED_VALUE"""),"")</f>
        <v/>
      </c>
      <c r="G158" s="247" t="str">
        <f t="shared" si="1"/>
        <v/>
      </c>
      <c r="H158" s="258" t="str">
        <f>IFERROR(__xludf.DUMMYFUNCTION("""COMPUTED_VALUE"""),"")</f>
        <v/>
      </c>
      <c r="I158" s="259" t="str">
        <f>IFERROR(__xludf.DUMMYFUNCTION("""COMPUTED_VALUE"""),"")</f>
        <v/>
      </c>
      <c r="J158" s="250" t="str">
        <f t="shared" si="2"/>
        <v/>
      </c>
      <c r="K158" s="317" t="str">
        <f>IFERROR(__xludf.DUMMYFUNCTION("""COMPUTED_VALUE"""),"")</f>
        <v/>
      </c>
      <c r="L158" s="318" t="str">
        <f>IFERROR(__xludf.DUMMYFUNCTION("""COMPUTED_VALUE"""),"")</f>
        <v/>
      </c>
      <c r="M158" s="253" t="str">
        <f t="shared" si="3"/>
        <v/>
      </c>
      <c r="N158" s="319" t="str">
        <f>IFERROR(__xludf.DUMMYFUNCTION("""COMPUTED_VALUE"""),"")</f>
        <v/>
      </c>
      <c r="O158" s="257" t="str">
        <f>IFERROR(__xludf.DUMMYFUNCTION("""COMPUTED_VALUE"""),"")</f>
        <v/>
      </c>
      <c r="P158" s="247" t="str">
        <f t="shared" si="4"/>
        <v/>
      </c>
      <c r="Q158" s="320" t="str">
        <f>IFERROR(__xludf.DUMMYFUNCTION("""COMPUTED_VALUE"""),"")</f>
        <v/>
      </c>
      <c r="R158" s="259" t="str">
        <f>IFERROR(__xludf.DUMMYFUNCTION("""COMPUTED_VALUE"""),"")</f>
        <v/>
      </c>
      <c r="S158" s="250" t="str">
        <f t="shared" si="5"/>
        <v/>
      </c>
      <c r="T158" s="254" t="str">
        <f>IFERROR(__xludf.DUMMYFUNCTION("""COMPUTED_VALUE"""),"")</f>
        <v/>
      </c>
      <c r="U158" s="246" t="str">
        <f>IFERROR(__xludf.DUMMYFUNCTION("""COMPUTED_VALUE"""),"")</f>
        <v/>
      </c>
      <c r="V158" s="247" t="str">
        <f t="shared" si="6"/>
        <v/>
      </c>
      <c r="W158" s="255" t="str">
        <f>IFERROR(__xludf.DUMMYFUNCTION("""COMPUTED_VALUE"""),"")</f>
        <v/>
      </c>
      <c r="X158" s="249" t="str">
        <f>IFERROR(__xludf.DUMMYFUNCTION("""COMPUTED_VALUE"""),"")</f>
        <v/>
      </c>
      <c r="Y158" s="250" t="str">
        <f t="shared" si="7"/>
        <v/>
      </c>
    </row>
    <row r="159">
      <c r="A159" s="136" t="s">
        <v>18</v>
      </c>
      <c r="B159" s="146">
        <v>46091.0</v>
      </c>
      <c r="C159" s="136" t="s">
        <v>41</v>
      </c>
      <c r="D159" s="136" t="s">
        <v>149</v>
      </c>
      <c r="E159" s="256">
        <f>IFERROR(__xludf.DUMMYFUNCTION("""COMPUTED_VALUE"""),265.0)</f>
        <v>265</v>
      </c>
      <c r="F159" s="257">
        <f>IFERROR(__xludf.DUMMYFUNCTION("""COMPUTED_VALUE"""),0.12777777777955635)</f>
        <v>0.1277777778</v>
      </c>
      <c r="G159" s="247">
        <f t="shared" si="1"/>
        <v>86.41304348</v>
      </c>
      <c r="H159" s="258">
        <f>IFERROR(__xludf.DUMMYFUNCTION("""COMPUTED_VALUE"""),80.0)</f>
        <v>80</v>
      </c>
      <c r="I159" s="259">
        <f>IFERROR(__xludf.DUMMYFUNCTION("""COMPUTED_VALUE"""),0.07986111110949423)</f>
        <v>0.07986111111</v>
      </c>
      <c r="J159" s="250">
        <f t="shared" si="2"/>
        <v>41.73913044</v>
      </c>
      <c r="K159" s="317">
        <f>IFERROR(__xludf.DUMMYFUNCTION("""COMPUTED_VALUE"""),149.0)</f>
        <v>149</v>
      </c>
      <c r="L159" s="318">
        <f>IFERROR(__xludf.DUMMYFUNCTION("""COMPUTED_VALUE"""),0.14583333333575865)</f>
        <v>0.1458333333</v>
      </c>
      <c r="M159" s="253">
        <f t="shared" si="3"/>
        <v>42.57142857</v>
      </c>
      <c r="N159" s="319">
        <f>IFERROR(__xludf.DUMMYFUNCTION("""COMPUTED_VALUE"""),97.0)</f>
        <v>97</v>
      </c>
      <c r="O159" s="257">
        <f>IFERROR(__xludf.DUMMYFUNCTION("""COMPUTED_VALUE"""),0.15208333333430346)</f>
        <v>0.1520833333</v>
      </c>
      <c r="P159" s="247">
        <f t="shared" si="4"/>
        <v>26.57534247</v>
      </c>
      <c r="Q159" s="320">
        <f>IFERROR(__xludf.DUMMYFUNCTION("""COMPUTED_VALUE"""),208.0)</f>
        <v>208</v>
      </c>
      <c r="R159" s="259">
        <f>IFERROR(__xludf.DUMMYFUNCTION("""COMPUTED_VALUE"""),0.15972222221898846)</f>
        <v>0.1597222222</v>
      </c>
      <c r="S159" s="250">
        <f t="shared" si="5"/>
        <v>54.26086957</v>
      </c>
      <c r="T159" s="254">
        <f>IFERROR(__xludf.DUMMYFUNCTION("""COMPUTED_VALUE"""),362.0)</f>
        <v>362</v>
      </c>
      <c r="U159" s="246">
        <f>IFERROR(__xludf.DUMMYFUNCTION("""COMPUTED_VALUE"""),0.2798611111138598)</f>
        <v>0.2798611111</v>
      </c>
      <c r="V159" s="247">
        <f t="shared" si="6"/>
        <v>53.89578164</v>
      </c>
      <c r="W159" s="255">
        <f>IFERROR(__xludf.DUMMYFUNCTION("""COMPUTED_VALUE"""),288.0)</f>
        <v>288</v>
      </c>
      <c r="X159" s="249">
        <f>IFERROR(__xludf.DUMMYFUNCTION("""COMPUTED_VALUE"""),0.2395833333284827)</f>
        <v>0.2395833333</v>
      </c>
      <c r="Y159" s="250">
        <f t="shared" si="7"/>
        <v>50.08695652</v>
      </c>
    </row>
    <row r="160">
      <c r="A160" s="136" t="s">
        <v>18</v>
      </c>
      <c r="B160" s="146">
        <v>46091.0</v>
      </c>
      <c r="C160" s="136" t="s">
        <v>41</v>
      </c>
      <c r="D160" s="136" t="s">
        <v>149</v>
      </c>
      <c r="E160" s="256" t="str">
        <f>IFERROR(__xludf.DUMMYFUNCTION("""COMPUTED_VALUE"""),"")</f>
        <v/>
      </c>
      <c r="F160" s="257" t="str">
        <f>IFERROR(__xludf.DUMMYFUNCTION("""COMPUTED_VALUE"""),"")</f>
        <v/>
      </c>
      <c r="G160" s="247" t="str">
        <f t="shared" si="1"/>
        <v/>
      </c>
      <c r="H160" s="258" t="str">
        <f>IFERROR(__xludf.DUMMYFUNCTION("""COMPUTED_VALUE"""),"")</f>
        <v/>
      </c>
      <c r="I160" s="259" t="str">
        <f>IFERROR(__xludf.DUMMYFUNCTION("""COMPUTED_VALUE"""),"")</f>
        <v/>
      </c>
      <c r="J160" s="250" t="str">
        <f t="shared" si="2"/>
        <v/>
      </c>
      <c r="K160" s="317" t="str">
        <f>IFERROR(__xludf.DUMMYFUNCTION("""COMPUTED_VALUE"""),"")</f>
        <v/>
      </c>
      <c r="L160" s="318" t="str">
        <f>IFERROR(__xludf.DUMMYFUNCTION("""COMPUTED_VALUE"""),"")</f>
        <v/>
      </c>
      <c r="M160" s="253" t="str">
        <f t="shared" si="3"/>
        <v/>
      </c>
      <c r="N160" s="319" t="str">
        <f>IFERROR(__xludf.DUMMYFUNCTION("""COMPUTED_VALUE"""),"")</f>
        <v/>
      </c>
      <c r="O160" s="257" t="str">
        <f>IFERROR(__xludf.DUMMYFUNCTION("""COMPUTED_VALUE"""),"")</f>
        <v/>
      </c>
      <c r="P160" s="247" t="str">
        <f t="shared" si="4"/>
        <v/>
      </c>
      <c r="Q160" s="320" t="str">
        <f>IFERROR(__xludf.DUMMYFUNCTION("""COMPUTED_VALUE"""),"")</f>
        <v/>
      </c>
      <c r="R160" s="259" t="str">
        <f>IFERROR(__xludf.DUMMYFUNCTION("""COMPUTED_VALUE"""),"")</f>
        <v/>
      </c>
      <c r="S160" s="250" t="str">
        <f t="shared" si="5"/>
        <v/>
      </c>
      <c r="T160" s="254" t="str">
        <f>IFERROR(__xludf.DUMMYFUNCTION("""COMPUTED_VALUE"""),"")</f>
        <v/>
      </c>
      <c r="U160" s="246" t="str">
        <f>IFERROR(__xludf.DUMMYFUNCTION("""COMPUTED_VALUE"""),"")</f>
        <v/>
      </c>
      <c r="V160" s="247" t="str">
        <f t="shared" si="6"/>
        <v/>
      </c>
      <c r="W160" s="255" t="str">
        <f>IFERROR(__xludf.DUMMYFUNCTION("""COMPUTED_VALUE"""),"")</f>
        <v/>
      </c>
      <c r="X160" s="249" t="str">
        <f>IFERROR(__xludf.DUMMYFUNCTION("""COMPUTED_VALUE"""),"")</f>
        <v/>
      </c>
      <c r="Y160" s="250" t="str">
        <f t="shared" si="7"/>
        <v/>
      </c>
    </row>
    <row r="161">
      <c r="A161" s="136" t="s">
        <v>12</v>
      </c>
      <c r="B161" s="146">
        <v>46092.0</v>
      </c>
      <c r="C161" s="136" t="s">
        <v>45</v>
      </c>
      <c r="D161" s="136" t="s">
        <v>149</v>
      </c>
      <c r="E161" s="256" t="str">
        <f>IFERROR(__xludf.DUMMYFUNCTION("""COMPUTED_VALUE"""),"")</f>
        <v/>
      </c>
      <c r="F161" s="257" t="str">
        <f>IFERROR(__xludf.DUMMYFUNCTION("""COMPUTED_VALUE"""),"")</f>
        <v/>
      </c>
      <c r="G161" s="247" t="str">
        <f t="shared" si="1"/>
        <v/>
      </c>
      <c r="H161" s="258" t="str">
        <f>IFERROR(__xludf.DUMMYFUNCTION("""COMPUTED_VALUE"""),"")</f>
        <v/>
      </c>
      <c r="I161" s="259" t="str">
        <f>IFERROR(__xludf.DUMMYFUNCTION("""COMPUTED_VALUE"""),"")</f>
        <v/>
      </c>
      <c r="J161" s="250" t="str">
        <f t="shared" si="2"/>
        <v/>
      </c>
      <c r="K161" s="317" t="str">
        <f>IFERROR(__xludf.DUMMYFUNCTION("""COMPUTED_VALUE"""),"")</f>
        <v/>
      </c>
      <c r="L161" s="318" t="str">
        <f>IFERROR(__xludf.DUMMYFUNCTION("""COMPUTED_VALUE"""),"")</f>
        <v/>
      </c>
      <c r="M161" s="253" t="str">
        <f t="shared" si="3"/>
        <v/>
      </c>
      <c r="N161" s="319" t="str">
        <f>IFERROR(__xludf.DUMMYFUNCTION("""COMPUTED_VALUE"""),"")</f>
        <v/>
      </c>
      <c r="O161" s="257" t="str">
        <f>IFERROR(__xludf.DUMMYFUNCTION("""COMPUTED_VALUE"""),"")</f>
        <v/>
      </c>
      <c r="P161" s="247" t="str">
        <f t="shared" si="4"/>
        <v/>
      </c>
      <c r="Q161" s="320" t="str">
        <f>IFERROR(__xludf.DUMMYFUNCTION("""COMPUTED_VALUE"""),"")</f>
        <v/>
      </c>
      <c r="R161" s="259" t="str">
        <f>IFERROR(__xludf.DUMMYFUNCTION("""COMPUTED_VALUE"""),"")</f>
        <v/>
      </c>
      <c r="S161" s="250" t="str">
        <f t="shared" si="5"/>
        <v/>
      </c>
      <c r="T161" s="254" t="str">
        <f>IFERROR(__xludf.DUMMYFUNCTION("""COMPUTED_VALUE"""),"")</f>
        <v/>
      </c>
      <c r="U161" s="246" t="str">
        <f>IFERROR(__xludf.DUMMYFUNCTION("""COMPUTED_VALUE"""),"")</f>
        <v/>
      </c>
      <c r="V161" s="247" t="str">
        <f t="shared" si="6"/>
        <v/>
      </c>
      <c r="W161" s="255" t="str">
        <f>IFERROR(__xludf.DUMMYFUNCTION("""COMPUTED_VALUE"""),"")</f>
        <v/>
      </c>
      <c r="X161" s="249" t="str">
        <f>IFERROR(__xludf.DUMMYFUNCTION("""COMPUTED_VALUE"""),"")</f>
        <v/>
      </c>
      <c r="Y161" s="250" t="str">
        <f t="shared" si="7"/>
        <v/>
      </c>
    </row>
    <row r="162">
      <c r="A162" s="136" t="s">
        <v>12</v>
      </c>
      <c r="B162" s="146">
        <v>46092.0</v>
      </c>
      <c r="C162" s="136" t="s">
        <v>45</v>
      </c>
      <c r="D162" s="136" t="s">
        <v>149</v>
      </c>
      <c r="E162" s="256" t="str">
        <f>IFERROR(__xludf.DUMMYFUNCTION("""COMPUTED_VALUE"""),"")</f>
        <v/>
      </c>
      <c r="F162" s="257" t="str">
        <f>IFERROR(__xludf.DUMMYFUNCTION("""COMPUTED_VALUE"""),"")</f>
        <v/>
      </c>
      <c r="G162" s="247" t="str">
        <f t="shared" si="1"/>
        <v/>
      </c>
      <c r="H162" s="258" t="str">
        <f>IFERROR(__xludf.DUMMYFUNCTION("""COMPUTED_VALUE"""),"")</f>
        <v/>
      </c>
      <c r="I162" s="259" t="str">
        <f>IFERROR(__xludf.DUMMYFUNCTION("""COMPUTED_VALUE"""),"")</f>
        <v/>
      </c>
      <c r="J162" s="250" t="str">
        <f t="shared" si="2"/>
        <v/>
      </c>
      <c r="K162" s="317" t="str">
        <f>IFERROR(__xludf.DUMMYFUNCTION("""COMPUTED_VALUE"""),"")</f>
        <v/>
      </c>
      <c r="L162" s="318" t="str">
        <f>IFERROR(__xludf.DUMMYFUNCTION("""COMPUTED_VALUE"""),"")</f>
        <v/>
      </c>
      <c r="M162" s="253" t="str">
        <f t="shared" si="3"/>
        <v/>
      </c>
      <c r="N162" s="319" t="str">
        <f>IFERROR(__xludf.DUMMYFUNCTION("""COMPUTED_VALUE"""),"")</f>
        <v/>
      </c>
      <c r="O162" s="257" t="str">
        <f>IFERROR(__xludf.DUMMYFUNCTION("""COMPUTED_VALUE"""),"")</f>
        <v/>
      </c>
      <c r="P162" s="247" t="str">
        <f t="shared" si="4"/>
        <v/>
      </c>
      <c r="Q162" s="320" t="str">
        <f>IFERROR(__xludf.DUMMYFUNCTION("""COMPUTED_VALUE"""),"")</f>
        <v/>
      </c>
      <c r="R162" s="259" t="str">
        <f>IFERROR(__xludf.DUMMYFUNCTION("""COMPUTED_VALUE"""),"")</f>
        <v/>
      </c>
      <c r="S162" s="250" t="str">
        <f t="shared" si="5"/>
        <v/>
      </c>
      <c r="T162" s="254" t="str">
        <f>IFERROR(__xludf.DUMMYFUNCTION("""COMPUTED_VALUE"""),"")</f>
        <v/>
      </c>
      <c r="U162" s="246" t="str">
        <f>IFERROR(__xludf.DUMMYFUNCTION("""COMPUTED_VALUE"""),"")</f>
        <v/>
      </c>
      <c r="V162" s="247" t="str">
        <f t="shared" si="6"/>
        <v/>
      </c>
      <c r="W162" s="255" t="str">
        <f>IFERROR(__xludf.DUMMYFUNCTION("""COMPUTED_VALUE"""),"")</f>
        <v/>
      </c>
      <c r="X162" s="249" t="str">
        <f>IFERROR(__xludf.DUMMYFUNCTION("""COMPUTED_VALUE"""),"")</f>
        <v/>
      </c>
      <c r="Y162" s="250" t="str">
        <f t="shared" si="7"/>
        <v/>
      </c>
    </row>
    <row r="163">
      <c r="A163" s="136" t="s">
        <v>18</v>
      </c>
      <c r="B163" s="146">
        <v>46092.0</v>
      </c>
      <c r="C163" s="136" t="s">
        <v>45</v>
      </c>
      <c r="D163" s="136" t="s">
        <v>149</v>
      </c>
      <c r="E163" s="256">
        <f>IFERROR(__xludf.DUMMYFUNCTION("""COMPUTED_VALUE"""),0.0)</f>
        <v>0</v>
      </c>
      <c r="F163" s="257">
        <f>IFERROR(__xludf.DUMMYFUNCTION("""COMPUTED_VALUE"""),0.0)</f>
        <v>0</v>
      </c>
      <c r="G163" s="247" t="str">
        <f t="shared" si="1"/>
        <v/>
      </c>
      <c r="H163" s="258">
        <f>IFERROR(__xludf.DUMMYFUNCTION("""COMPUTED_VALUE"""),134.0)</f>
        <v>134</v>
      </c>
      <c r="I163" s="259">
        <f>IFERROR(__xludf.DUMMYFUNCTION("""COMPUTED_VALUE"""),0.125)</f>
        <v>0.125</v>
      </c>
      <c r="J163" s="250">
        <f t="shared" si="2"/>
        <v>44.66666667</v>
      </c>
      <c r="K163" s="317">
        <f>IFERROR(__xludf.DUMMYFUNCTION("""COMPUTED_VALUE"""),120.0)</f>
        <v>120</v>
      </c>
      <c r="L163" s="318">
        <f>IFERROR(__xludf.DUMMYFUNCTION("""COMPUTED_VALUE"""),0.11388888888905058)</f>
        <v>0.1138888889</v>
      </c>
      <c r="M163" s="253">
        <f t="shared" si="3"/>
        <v>43.90243902</v>
      </c>
      <c r="N163" s="319">
        <f>IFERROR(__xludf.DUMMYFUNCTION("""COMPUTED_VALUE"""),0.0)</f>
        <v>0</v>
      </c>
      <c r="O163" s="257">
        <f>IFERROR(__xludf.DUMMYFUNCTION("""COMPUTED_VALUE"""),0.0)</f>
        <v>0</v>
      </c>
      <c r="P163" s="247" t="str">
        <f t="shared" si="4"/>
        <v/>
      </c>
      <c r="Q163" s="320">
        <f>IFERROR(__xludf.DUMMYFUNCTION("""COMPUTED_VALUE"""),137.0)</f>
        <v>137</v>
      </c>
      <c r="R163" s="259">
        <f>IFERROR(__xludf.DUMMYFUNCTION("""COMPUTED_VALUE"""),0.16666666666424135)</f>
        <v>0.1666666667</v>
      </c>
      <c r="S163" s="250">
        <f t="shared" si="5"/>
        <v>34.25</v>
      </c>
      <c r="T163" s="254">
        <f>IFERROR(__xludf.DUMMYFUNCTION("""COMPUTED_VALUE"""),0.0)</f>
        <v>0</v>
      </c>
      <c r="U163" s="246">
        <f>IFERROR(__xludf.DUMMYFUNCTION("""COMPUTED_VALUE"""),0.0)</f>
        <v>0</v>
      </c>
      <c r="V163" s="247" t="str">
        <f t="shared" si="6"/>
        <v/>
      </c>
      <c r="W163" s="255">
        <f>IFERROR(__xludf.DUMMYFUNCTION("""COMPUTED_VALUE"""),271.0)</f>
        <v>271</v>
      </c>
      <c r="X163" s="249">
        <f>IFERROR(__xludf.DUMMYFUNCTION("""COMPUTED_VALUE"""),0.29166666666424135)</f>
        <v>0.2916666667</v>
      </c>
      <c r="Y163" s="250">
        <f t="shared" si="7"/>
        <v>38.71428571</v>
      </c>
    </row>
    <row r="164">
      <c r="A164" s="136" t="s">
        <v>18</v>
      </c>
      <c r="B164" s="146">
        <v>46092.0</v>
      </c>
      <c r="C164" s="136" t="s">
        <v>45</v>
      </c>
      <c r="D164" s="136" t="s">
        <v>148</v>
      </c>
      <c r="E164" s="256" t="str">
        <f>IFERROR(__xludf.DUMMYFUNCTION("""COMPUTED_VALUE"""),"")</f>
        <v/>
      </c>
      <c r="F164" s="257" t="str">
        <f>IFERROR(__xludf.DUMMYFUNCTION("""COMPUTED_VALUE"""),"")</f>
        <v/>
      </c>
      <c r="G164" s="247" t="str">
        <f t="shared" si="1"/>
        <v/>
      </c>
      <c r="H164" s="258" t="str">
        <f>IFERROR(__xludf.DUMMYFUNCTION("""COMPUTED_VALUE"""),"")</f>
        <v/>
      </c>
      <c r="I164" s="259" t="str">
        <f>IFERROR(__xludf.DUMMYFUNCTION("""COMPUTED_VALUE"""),"")</f>
        <v/>
      </c>
      <c r="J164" s="250" t="str">
        <f t="shared" si="2"/>
        <v/>
      </c>
      <c r="K164" s="317" t="str">
        <f>IFERROR(__xludf.DUMMYFUNCTION("""COMPUTED_VALUE"""),"")</f>
        <v/>
      </c>
      <c r="L164" s="318" t="str">
        <f>IFERROR(__xludf.DUMMYFUNCTION("""COMPUTED_VALUE"""),"")</f>
        <v/>
      </c>
      <c r="M164" s="253" t="str">
        <f t="shared" si="3"/>
        <v/>
      </c>
      <c r="N164" s="319" t="str">
        <f>IFERROR(__xludf.DUMMYFUNCTION("""COMPUTED_VALUE"""),"")</f>
        <v/>
      </c>
      <c r="O164" s="257" t="str">
        <f>IFERROR(__xludf.DUMMYFUNCTION("""COMPUTED_VALUE"""),"")</f>
        <v/>
      </c>
      <c r="P164" s="247" t="str">
        <f t="shared" si="4"/>
        <v/>
      </c>
      <c r="Q164" s="320" t="str">
        <f>IFERROR(__xludf.DUMMYFUNCTION("""COMPUTED_VALUE"""),"")</f>
        <v/>
      </c>
      <c r="R164" s="259" t="str">
        <f>IFERROR(__xludf.DUMMYFUNCTION("""COMPUTED_VALUE"""),"")</f>
        <v/>
      </c>
      <c r="S164" s="250" t="str">
        <f t="shared" si="5"/>
        <v/>
      </c>
      <c r="T164" s="254" t="str">
        <f>IFERROR(__xludf.DUMMYFUNCTION("""COMPUTED_VALUE"""),"")</f>
        <v/>
      </c>
      <c r="U164" s="246" t="str">
        <f>IFERROR(__xludf.DUMMYFUNCTION("""COMPUTED_VALUE"""),"")</f>
        <v/>
      </c>
      <c r="V164" s="247" t="str">
        <f t="shared" si="6"/>
        <v/>
      </c>
      <c r="W164" s="255" t="str">
        <f>IFERROR(__xludf.DUMMYFUNCTION("""COMPUTED_VALUE"""),"")</f>
        <v/>
      </c>
      <c r="X164" s="249" t="str">
        <f>IFERROR(__xludf.DUMMYFUNCTION("""COMPUTED_VALUE"""),"")</f>
        <v/>
      </c>
      <c r="Y164" s="250" t="str">
        <f t="shared" si="7"/>
        <v/>
      </c>
    </row>
    <row r="165">
      <c r="A165" s="136" t="s">
        <v>12</v>
      </c>
      <c r="B165" s="146">
        <v>46093.0</v>
      </c>
      <c r="C165" s="136" t="s">
        <v>49</v>
      </c>
      <c r="D165" s="136" t="s">
        <v>149</v>
      </c>
      <c r="E165" s="256" t="str">
        <f>IFERROR(__xludf.DUMMYFUNCTION("""COMPUTED_VALUE"""),"")</f>
        <v/>
      </c>
      <c r="F165" s="257" t="str">
        <f>IFERROR(__xludf.DUMMYFUNCTION("""COMPUTED_VALUE"""),"")</f>
        <v/>
      </c>
      <c r="G165" s="247" t="str">
        <f t="shared" si="1"/>
        <v/>
      </c>
      <c r="H165" s="258" t="str">
        <f>IFERROR(__xludf.DUMMYFUNCTION("""COMPUTED_VALUE"""),"")</f>
        <v/>
      </c>
      <c r="I165" s="259" t="str">
        <f>IFERROR(__xludf.DUMMYFUNCTION("""COMPUTED_VALUE"""),"")</f>
        <v/>
      </c>
      <c r="J165" s="250" t="str">
        <f t="shared" si="2"/>
        <v/>
      </c>
      <c r="K165" s="317" t="str">
        <f>IFERROR(__xludf.DUMMYFUNCTION("""COMPUTED_VALUE"""),"")</f>
        <v/>
      </c>
      <c r="L165" s="318" t="str">
        <f>IFERROR(__xludf.DUMMYFUNCTION("""COMPUTED_VALUE"""),"")</f>
        <v/>
      </c>
      <c r="M165" s="253" t="str">
        <f t="shared" si="3"/>
        <v/>
      </c>
      <c r="N165" s="319" t="str">
        <f>IFERROR(__xludf.DUMMYFUNCTION("""COMPUTED_VALUE"""),"")</f>
        <v/>
      </c>
      <c r="O165" s="257" t="str">
        <f>IFERROR(__xludf.DUMMYFUNCTION("""COMPUTED_VALUE"""),"")</f>
        <v/>
      </c>
      <c r="P165" s="247" t="str">
        <f t="shared" si="4"/>
        <v/>
      </c>
      <c r="Q165" s="320" t="str">
        <f>IFERROR(__xludf.DUMMYFUNCTION("""COMPUTED_VALUE"""),"")</f>
        <v/>
      </c>
      <c r="R165" s="259" t="str">
        <f>IFERROR(__xludf.DUMMYFUNCTION("""COMPUTED_VALUE"""),"")</f>
        <v/>
      </c>
      <c r="S165" s="250" t="str">
        <f t="shared" si="5"/>
        <v/>
      </c>
      <c r="T165" s="254" t="str">
        <f>IFERROR(__xludf.DUMMYFUNCTION("""COMPUTED_VALUE"""),"")</f>
        <v/>
      </c>
      <c r="U165" s="246" t="str">
        <f>IFERROR(__xludf.DUMMYFUNCTION("""COMPUTED_VALUE"""),"")</f>
        <v/>
      </c>
      <c r="V165" s="247" t="str">
        <f t="shared" si="6"/>
        <v/>
      </c>
      <c r="W165" s="255" t="str">
        <f>IFERROR(__xludf.DUMMYFUNCTION("""COMPUTED_VALUE"""),"")</f>
        <v/>
      </c>
      <c r="X165" s="249" t="str">
        <f>IFERROR(__xludf.DUMMYFUNCTION("""COMPUTED_VALUE"""),"")</f>
        <v/>
      </c>
      <c r="Y165" s="250" t="str">
        <f t="shared" si="7"/>
        <v/>
      </c>
    </row>
    <row r="166">
      <c r="A166" s="136" t="s">
        <v>12</v>
      </c>
      <c r="B166" s="146">
        <v>46093.0</v>
      </c>
      <c r="C166" s="136" t="s">
        <v>49</v>
      </c>
      <c r="D166" s="136" t="s">
        <v>149</v>
      </c>
      <c r="E166" s="256" t="str">
        <f>IFERROR(__xludf.DUMMYFUNCTION("""COMPUTED_VALUE"""),"")</f>
        <v/>
      </c>
      <c r="F166" s="257" t="str">
        <f>IFERROR(__xludf.DUMMYFUNCTION("""COMPUTED_VALUE"""),"")</f>
        <v/>
      </c>
      <c r="G166" s="247" t="str">
        <f t="shared" si="1"/>
        <v/>
      </c>
      <c r="H166" s="258" t="str">
        <f>IFERROR(__xludf.DUMMYFUNCTION("""COMPUTED_VALUE"""),"")</f>
        <v/>
      </c>
      <c r="I166" s="259" t="str">
        <f>IFERROR(__xludf.DUMMYFUNCTION("""COMPUTED_VALUE"""),"")</f>
        <v/>
      </c>
      <c r="J166" s="250" t="str">
        <f t="shared" si="2"/>
        <v/>
      </c>
      <c r="K166" s="317" t="str">
        <f>IFERROR(__xludf.DUMMYFUNCTION("""COMPUTED_VALUE"""),"")</f>
        <v/>
      </c>
      <c r="L166" s="318" t="str">
        <f>IFERROR(__xludf.DUMMYFUNCTION("""COMPUTED_VALUE"""),"")</f>
        <v/>
      </c>
      <c r="M166" s="253" t="str">
        <f t="shared" si="3"/>
        <v/>
      </c>
      <c r="N166" s="319" t="str">
        <f>IFERROR(__xludf.DUMMYFUNCTION("""COMPUTED_VALUE"""),"")</f>
        <v/>
      </c>
      <c r="O166" s="257" t="str">
        <f>IFERROR(__xludf.DUMMYFUNCTION("""COMPUTED_VALUE"""),"")</f>
        <v/>
      </c>
      <c r="P166" s="247" t="str">
        <f t="shared" si="4"/>
        <v/>
      </c>
      <c r="Q166" s="320" t="str">
        <f>IFERROR(__xludf.DUMMYFUNCTION("""COMPUTED_VALUE"""),"")</f>
        <v/>
      </c>
      <c r="R166" s="259" t="str">
        <f>IFERROR(__xludf.DUMMYFUNCTION("""COMPUTED_VALUE"""),"")</f>
        <v/>
      </c>
      <c r="S166" s="250" t="str">
        <f t="shared" si="5"/>
        <v/>
      </c>
      <c r="T166" s="254" t="str">
        <f>IFERROR(__xludf.DUMMYFUNCTION("""COMPUTED_VALUE"""),"")</f>
        <v/>
      </c>
      <c r="U166" s="246" t="str">
        <f>IFERROR(__xludf.DUMMYFUNCTION("""COMPUTED_VALUE"""),"")</f>
        <v/>
      </c>
      <c r="V166" s="247" t="str">
        <f t="shared" si="6"/>
        <v/>
      </c>
      <c r="W166" s="255" t="str">
        <f>IFERROR(__xludf.DUMMYFUNCTION("""COMPUTED_VALUE"""),"")</f>
        <v/>
      </c>
      <c r="X166" s="249" t="str">
        <f>IFERROR(__xludf.DUMMYFUNCTION("""COMPUTED_VALUE"""),"")</f>
        <v/>
      </c>
      <c r="Y166" s="250" t="str">
        <f t="shared" si="7"/>
        <v/>
      </c>
    </row>
    <row r="167">
      <c r="A167" s="136" t="s">
        <v>134</v>
      </c>
      <c r="B167" s="146">
        <v>46093.0</v>
      </c>
      <c r="C167" s="136" t="s">
        <v>49</v>
      </c>
      <c r="D167" s="136" t="s">
        <v>149</v>
      </c>
      <c r="E167" s="256" t="str">
        <f>IFERROR(__xludf.DUMMYFUNCTION("""COMPUTED_VALUE"""),"")</f>
        <v/>
      </c>
      <c r="F167" s="257" t="str">
        <f>IFERROR(__xludf.DUMMYFUNCTION("""COMPUTED_VALUE"""),"")</f>
        <v/>
      </c>
      <c r="G167" s="247" t="str">
        <f t="shared" si="1"/>
        <v/>
      </c>
      <c r="H167" s="258" t="str">
        <f>IFERROR(__xludf.DUMMYFUNCTION("""COMPUTED_VALUE"""),"")</f>
        <v/>
      </c>
      <c r="I167" s="259" t="str">
        <f>IFERROR(__xludf.DUMMYFUNCTION("""COMPUTED_VALUE"""),"")</f>
        <v/>
      </c>
      <c r="J167" s="250" t="str">
        <f t="shared" si="2"/>
        <v/>
      </c>
      <c r="K167" s="317" t="str">
        <f>IFERROR(__xludf.DUMMYFUNCTION("""COMPUTED_VALUE"""),"")</f>
        <v/>
      </c>
      <c r="L167" s="318" t="str">
        <f>IFERROR(__xludf.DUMMYFUNCTION("""COMPUTED_VALUE"""),"")</f>
        <v/>
      </c>
      <c r="M167" s="253" t="str">
        <f t="shared" si="3"/>
        <v/>
      </c>
      <c r="N167" s="319" t="str">
        <f>IFERROR(__xludf.DUMMYFUNCTION("""COMPUTED_VALUE"""),"")</f>
        <v/>
      </c>
      <c r="O167" s="257" t="str">
        <f>IFERROR(__xludf.DUMMYFUNCTION("""COMPUTED_VALUE"""),"")</f>
        <v/>
      </c>
      <c r="P167" s="247" t="str">
        <f t="shared" si="4"/>
        <v/>
      </c>
      <c r="Q167" s="320" t="str">
        <f>IFERROR(__xludf.DUMMYFUNCTION("""COMPUTED_VALUE"""),"")</f>
        <v/>
      </c>
      <c r="R167" s="259" t="str">
        <f>IFERROR(__xludf.DUMMYFUNCTION("""COMPUTED_VALUE"""),"")</f>
        <v/>
      </c>
      <c r="S167" s="250" t="str">
        <f t="shared" si="5"/>
        <v/>
      </c>
      <c r="T167" s="254" t="str">
        <f>IFERROR(__xludf.DUMMYFUNCTION("""COMPUTED_VALUE"""),"")</f>
        <v/>
      </c>
      <c r="U167" s="246" t="str">
        <f>IFERROR(__xludf.DUMMYFUNCTION("""COMPUTED_VALUE"""),"")</f>
        <v/>
      </c>
      <c r="V167" s="247" t="str">
        <f t="shared" si="6"/>
        <v/>
      </c>
      <c r="W167" s="255" t="str">
        <f>IFERROR(__xludf.DUMMYFUNCTION("""COMPUTED_VALUE"""),"")</f>
        <v/>
      </c>
      <c r="X167" s="249" t="str">
        <f>IFERROR(__xludf.DUMMYFUNCTION("""COMPUTED_VALUE"""),"")</f>
        <v/>
      </c>
      <c r="Y167" s="250" t="str">
        <f t="shared" si="7"/>
        <v/>
      </c>
    </row>
    <row r="168">
      <c r="A168" s="136" t="s">
        <v>15</v>
      </c>
      <c r="B168" s="146">
        <v>46093.0</v>
      </c>
      <c r="C168" s="136" t="s">
        <v>49</v>
      </c>
      <c r="D168" s="136" t="s">
        <v>148</v>
      </c>
      <c r="E168" s="256" t="str">
        <f>IFERROR(__xludf.DUMMYFUNCTION("""COMPUTED_VALUE"""),"")</f>
        <v/>
      </c>
      <c r="F168" s="257" t="str">
        <f>IFERROR(__xludf.DUMMYFUNCTION("""COMPUTED_VALUE"""),"")</f>
        <v/>
      </c>
      <c r="G168" s="247" t="str">
        <f t="shared" si="1"/>
        <v/>
      </c>
      <c r="H168" s="258" t="str">
        <f>IFERROR(__xludf.DUMMYFUNCTION("""COMPUTED_VALUE"""),"")</f>
        <v/>
      </c>
      <c r="I168" s="259" t="str">
        <f>IFERROR(__xludf.DUMMYFUNCTION("""COMPUTED_VALUE"""),"")</f>
        <v/>
      </c>
      <c r="J168" s="250" t="str">
        <f t="shared" si="2"/>
        <v/>
      </c>
      <c r="K168" s="317" t="str">
        <f>IFERROR(__xludf.DUMMYFUNCTION("""COMPUTED_VALUE"""),"")</f>
        <v/>
      </c>
      <c r="L168" s="318" t="str">
        <f>IFERROR(__xludf.DUMMYFUNCTION("""COMPUTED_VALUE"""),"")</f>
        <v/>
      </c>
      <c r="M168" s="253" t="str">
        <f t="shared" si="3"/>
        <v/>
      </c>
      <c r="N168" s="319" t="str">
        <f>IFERROR(__xludf.DUMMYFUNCTION("""COMPUTED_VALUE"""),"")</f>
        <v/>
      </c>
      <c r="O168" s="257" t="str">
        <f>IFERROR(__xludf.DUMMYFUNCTION("""COMPUTED_VALUE"""),"")</f>
        <v/>
      </c>
      <c r="P168" s="247" t="str">
        <f t="shared" si="4"/>
        <v/>
      </c>
      <c r="Q168" s="320" t="str">
        <f>IFERROR(__xludf.DUMMYFUNCTION("""COMPUTED_VALUE"""),"")</f>
        <v/>
      </c>
      <c r="R168" s="259" t="str">
        <f>IFERROR(__xludf.DUMMYFUNCTION("""COMPUTED_VALUE"""),"")</f>
        <v/>
      </c>
      <c r="S168" s="250" t="str">
        <f t="shared" si="5"/>
        <v/>
      </c>
      <c r="T168" s="254" t="str">
        <f>IFERROR(__xludf.DUMMYFUNCTION("""COMPUTED_VALUE"""),"")</f>
        <v/>
      </c>
      <c r="U168" s="246" t="str">
        <f>IFERROR(__xludf.DUMMYFUNCTION("""COMPUTED_VALUE"""),"")</f>
        <v/>
      </c>
      <c r="V168" s="247" t="str">
        <f t="shared" si="6"/>
        <v/>
      </c>
      <c r="W168" s="255" t="str">
        <f>IFERROR(__xludf.DUMMYFUNCTION("""COMPUTED_VALUE"""),"")</f>
        <v/>
      </c>
      <c r="X168" s="249" t="str">
        <f>IFERROR(__xludf.DUMMYFUNCTION("""COMPUTED_VALUE"""),"")</f>
        <v/>
      </c>
      <c r="Y168" s="250" t="str">
        <f t="shared" si="7"/>
        <v/>
      </c>
    </row>
    <row r="169">
      <c r="A169" s="136" t="s">
        <v>15</v>
      </c>
      <c r="B169" s="146">
        <v>46093.0</v>
      </c>
      <c r="C169" s="136" t="s">
        <v>49</v>
      </c>
      <c r="D169" s="136" t="s">
        <v>149</v>
      </c>
      <c r="E169" s="256" t="str">
        <f>IFERROR(__xludf.DUMMYFUNCTION("""COMPUTED_VALUE"""),"")</f>
        <v/>
      </c>
      <c r="F169" s="257" t="str">
        <f>IFERROR(__xludf.DUMMYFUNCTION("""COMPUTED_VALUE"""),"")</f>
        <v/>
      </c>
      <c r="G169" s="247" t="str">
        <f t="shared" si="1"/>
        <v/>
      </c>
      <c r="H169" s="258" t="str">
        <f>IFERROR(__xludf.DUMMYFUNCTION("""COMPUTED_VALUE"""),"")</f>
        <v/>
      </c>
      <c r="I169" s="259" t="str">
        <f>IFERROR(__xludf.DUMMYFUNCTION("""COMPUTED_VALUE"""),"")</f>
        <v/>
      </c>
      <c r="J169" s="250" t="str">
        <f t="shared" si="2"/>
        <v/>
      </c>
      <c r="K169" s="317" t="str">
        <f>IFERROR(__xludf.DUMMYFUNCTION("""COMPUTED_VALUE"""),"")</f>
        <v/>
      </c>
      <c r="L169" s="318" t="str">
        <f>IFERROR(__xludf.DUMMYFUNCTION("""COMPUTED_VALUE"""),"")</f>
        <v/>
      </c>
      <c r="M169" s="253" t="str">
        <f t="shared" si="3"/>
        <v/>
      </c>
      <c r="N169" s="319" t="str">
        <f>IFERROR(__xludf.DUMMYFUNCTION("""COMPUTED_VALUE"""),"")</f>
        <v/>
      </c>
      <c r="O169" s="257" t="str">
        <f>IFERROR(__xludf.DUMMYFUNCTION("""COMPUTED_VALUE"""),"")</f>
        <v/>
      </c>
      <c r="P169" s="247" t="str">
        <f t="shared" si="4"/>
        <v/>
      </c>
      <c r="Q169" s="320" t="str">
        <f>IFERROR(__xludf.DUMMYFUNCTION("""COMPUTED_VALUE"""),"")</f>
        <v/>
      </c>
      <c r="R169" s="259" t="str">
        <f>IFERROR(__xludf.DUMMYFUNCTION("""COMPUTED_VALUE"""),"")</f>
        <v/>
      </c>
      <c r="S169" s="250" t="str">
        <f t="shared" si="5"/>
        <v/>
      </c>
      <c r="T169" s="254" t="str">
        <f>IFERROR(__xludf.DUMMYFUNCTION("""COMPUTED_VALUE"""),"")</f>
        <v/>
      </c>
      <c r="U169" s="246" t="str">
        <f>IFERROR(__xludf.DUMMYFUNCTION("""COMPUTED_VALUE"""),"")</f>
        <v/>
      </c>
      <c r="V169" s="247" t="str">
        <f t="shared" si="6"/>
        <v/>
      </c>
      <c r="W169" s="255" t="str">
        <f>IFERROR(__xludf.DUMMYFUNCTION("""COMPUTED_VALUE"""),"")</f>
        <v/>
      </c>
      <c r="X169" s="249" t="str">
        <f>IFERROR(__xludf.DUMMYFUNCTION("""COMPUTED_VALUE"""),"")</f>
        <v/>
      </c>
      <c r="Y169" s="250" t="str">
        <f t="shared" si="7"/>
        <v/>
      </c>
    </row>
    <row r="170">
      <c r="A170" s="136" t="s">
        <v>15</v>
      </c>
      <c r="B170" s="146">
        <v>46093.0</v>
      </c>
      <c r="C170" s="136" t="s">
        <v>49</v>
      </c>
      <c r="D170" s="136" t="s">
        <v>149</v>
      </c>
      <c r="E170" s="256" t="str">
        <f>IFERROR(__xludf.DUMMYFUNCTION("""COMPUTED_VALUE"""),"")</f>
        <v/>
      </c>
      <c r="F170" s="257" t="str">
        <f>IFERROR(__xludf.DUMMYFUNCTION("""COMPUTED_VALUE"""),"")</f>
        <v/>
      </c>
      <c r="G170" s="247" t="str">
        <f t="shared" si="1"/>
        <v/>
      </c>
      <c r="H170" s="258" t="str">
        <f>IFERROR(__xludf.DUMMYFUNCTION("""COMPUTED_VALUE"""),"")</f>
        <v/>
      </c>
      <c r="I170" s="259" t="str">
        <f>IFERROR(__xludf.DUMMYFUNCTION("""COMPUTED_VALUE"""),"")</f>
        <v/>
      </c>
      <c r="J170" s="250" t="str">
        <f t="shared" si="2"/>
        <v/>
      </c>
      <c r="K170" s="317" t="str">
        <f>IFERROR(__xludf.DUMMYFUNCTION("""COMPUTED_VALUE"""),"")</f>
        <v/>
      </c>
      <c r="L170" s="318" t="str">
        <f>IFERROR(__xludf.DUMMYFUNCTION("""COMPUTED_VALUE"""),"")</f>
        <v/>
      </c>
      <c r="M170" s="253" t="str">
        <f t="shared" si="3"/>
        <v/>
      </c>
      <c r="N170" s="319" t="str">
        <f>IFERROR(__xludf.DUMMYFUNCTION("""COMPUTED_VALUE"""),"")</f>
        <v/>
      </c>
      <c r="O170" s="257" t="str">
        <f>IFERROR(__xludf.DUMMYFUNCTION("""COMPUTED_VALUE"""),"")</f>
        <v/>
      </c>
      <c r="P170" s="247" t="str">
        <f t="shared" si="4"/>
        <v/>
      </c>
      <c r="Q170" s="320" t="str">
        <f>IFERROR(__xludf.DUMMYFUNCTION("""COMPUTED_VALUE"""),"")</f>
        <v/>
      </c>
      <c r="R170" s="259" t="str">
        <f>IFERROR(__xludf.DUMMYFUNCTION("""COMPUTED_VALUE"""),"")</f>
        <v/>
      </c>
      <c r="S170" s="250" t="str">
        <f t="shared" si="5"/>
        <v/>
      </c>
      <c r="T170" s="254" t="str">
        <f>IFERROR(__xludf.DUMMYFUNCTION("""COMPUTED_VALUE"""),"")</f>
        <v/>
      </c>
      <c r="U170" s="246" t="str">
        <f>IFERROR(__xludf.DUMMYFUNCTION("""COMPUTED_VALUE"""),"")</f>
        <v/>
      </c>
      <c r="V170" s="247" t="str">
        <f t="shared" si="6"/>
        <v/>
      </c>
      <c r="W170" s="255" t="str">
        <f>IFERROR(__xludf.DUMMYFUNCTION("""COMPUTED_VALUE"""),"")</f>
        <v/>
      </c>
      <c r="X170" s="249" t="str">
        <f>IFERROR(__xludf.DUMMYFUNCTION("""COMPUTED_VALUE"""),"")</f>
        <v/>
      </c>
      <c r="Y170" s="250" t="str">
        <f t="shared" si="7"/>
        <v/>
      </c>
    </row>
    <row r="171">
      <c r="A171" s="136" t="s">
        <v>18</v>
      </c>
      <c r="B171" s="146">
        <v>46093.0</v>
      </c>
      <c r="C171" s="136" t="s">
        <v>49</v>
      </c>
      <c r="D171" s="136" t="s">
        <v>148</v>
      </c>
      <c r="E171" s="256" t="str">
        <f>IFERROR(__xludf.DUMMYFUNCTION("""COMPUTED_VALUE"""),"")</f>
        <v/>
      </c>
      <c r="F171" s="257" t="str">
        <f>IFERROR(__xludf.DUMMYFUNCTION("""COMPUTED_VALUE"""),"")</f>
        <v/>
      </c>
      <c r="G171" s="247" t="str">
        <f t="shared" si="1"/>
        <v/>
      </c>
      <c r="H171" s="258" t="str">
        <f>IFERROR(__xludf.DUMMYFUNCTION("""COMPUTED_VALUE"""),"")</f>
        <v/>
      </c>
      <c r="I171" s="259" t="str">
        <f>IFERROR(__xludf.DUMMYFUNCTION("""COMPUTED_VALUE"""),"")</f>
        <v/>
      </c>
      <c r="J171" s="250" t="str">
        <f t="shared" si="2"/>
        <v/>
      </c>
      <c r="K171" s="317" t="str">
        <f>IFERROR(__xludf.DUMMYFUNCTION("""COMPUTED_VALUE"""),"")</f>
        <v/>
      </c>
      <c r="L171" s="318" t="str">
        <f>IFERROR(__xludf.DUMMYFUNCTION("""COMPUTED_VALUE"""),"")</f>
        <v/>
      </c>
      <c r="M171" s="253" t="str">
        <f t="shared" si="3"/>
        <v/>
      </c>
      <c r="N171" s="319" t="str">
        <f>IFERROR(__xludf.DUMMYFUNCTION("""COMPUTED_VALUE"""),"")</f>
        <v/>
      </c>
      <c r="O171" s="257" t="str">
        <f>IFERROR(__xludf.DUMMYFUNCTION("""COMPUTED_VALUE"""),"")</f>
        <v/>
      </c>
      <c r="P171" s="247" t="str">
        <f t="shared" si="4"/>
        <v/>
      </c>
      <c r="Q171" s="320" t="str">
        <f>IFERROR(__xludf.DUMMYFUNCTION("""COMPUTED_VALUE"""),"")</f>
        <v/>
      </c>
      <c r="R171" s="259" t="str">
        <f>IFERROR(__xludf.DUMMYFUNCTION("""COMPUTED_VALUE"""),"")</f>
        <v/>
      </c>
      <c r="S171" s="250" t="str">
        <f t="shared" si="5"/>
        <v/>
      </c>
      <c r="T171" s="254" t="str">
        <f>IFERROR(__xludf.DUMMYFUNCTION("""COMPUTED_VALUE"""),"")</f>
        <v/>
      </c>
      <c r="U171" s="246" t="str">
        <f>IFERROR(__xludf.DUMMYFUNCTION("""COMPUTED_VALUE"""),"")</f>
        <v/>
      </c>
      <c r="V171" s="247" t="str">
        <f t="shared" si="6"/>
        <v/>
      </c>
      <c r="W171" s="255" t="str">
        <f>IFERROR(__xludf.DUMMYFUNCTION("""COMPUTED_VALUE"""),"")</f>
        <v/>
      </c>
      <c r="X171" s="249" t="str">
        <f>IFERROR(__xludf.DUMMYFUNCTION("""COMPUTED_VALUE"""),"")</f>
        <v/>
      </c>
      <c r="Y171" s="250" t="str">
        <f t="shared" si="7"/>
        <v/>
      </c>
    </row>
    <row r="172">
      <c r="A172" s="136" t="s">
        <v>18</v>
      </c>
      <c r="B172" s="146">
        <v>46093.0</v>
      </c>
      <c r="C172" s="136" t="s">
        <v>49</v>
      </c>
      <c r="D172" s="136" t="s">
        <v>149</v>
      </c>
      <c r="E172" s="256">
        <f>IFERROR(__xludf.DUMMYFUNCTION("""COMPUTED_VALUE"""),64.0)</f>
        <v>64</v>
      </c>
      <c r="F172" s="257">
        <f>IFERROR(__xludf.DUMMYFUNCTION("""COMPUTED_VALUE"""),0.05208333333575865)</f>
        <v>0.05208333334</v>
      </c>
      <c r="G172" s="247">
        <f t="shared" si="1"/>
        <v>51.2</v>
      </c>
      <c r="H172" s="258">
        <f>IFERROR(__xludf.DUMMYFUNCTION("""COMPUTED_VALUE"""),90.0)</f>
        <v>90</v>
      </c>
      <c r="I172" s="259">
        <f>IFERROR(__xludf.DUMMYFUNCTION("""COMPUTED_VALUE"""),0.07291666666424135)</f>
        <v>0.07291666666</v>
      </c>
      <c r="J172" s="250">
        <f t="shared" si="2"/>
        <v>51.42857143</v>
      </c>
      <c r="K172" s="317">
        <f>IFERROR(__xludf.DUMMYFUNCTION("""COMPUTED_VALUE"""),98.0)</f>
        <v>98</v>
      </c>
      <c r="L172" s="318">
        <f>IFERROR(__xludf.DUMMYFUNCTION("""COMPUTED_VALUE"""),0.1534722222277196)</f>
        <v>0.1534722222</v>
      </c>
      <c r="M172" s="253">
        <f t="shared" si="3"/>
        <v>26.60633484</v>
      </c>
      <c r="N172" s="319">
        <f>IFERROR(__xludf.DUMMYFUNCTION("""COMPUTED_VALUE"""),191.0)</f>
        <v>191</v>
      </c>
      <c r="O172" s="257">
        <f>IFERROR(__xludf.DUMMYFUNCTION("""COMPUTED_VALUE"""),0.1388888888832298)</f>
        <v>0.1388888889</v>
      </c>
      <c r="P172" s="247">
        <f t="shared" si="4"/>
        <v>57.3</v>
      </c>
      <c r="Q172" s="320">
        <f>IFERROR(__xludf.DUMMYFUNCTION("""COMPUTED_VALUE"""),404.0)</f>
        <v>404</v>
      </c>
      <c r="R172" s="259">
        <f>IFERROR(__xludf.DUMMYFUNCTION("""COMPUTED_VALUE"""),0.15972222221898846)</f>
        <v>0.1597222222</v>
      </c>
      <c r="S172" s="250">
        <f t="shared" si="5"/>
        <v>105.3913043</v>
      </c>
      <c r="T172" s="254">
        <f>IFERROR(__xludf.DUMMYFUNCTION("""COMPUTED_VALUE"""),255.0)</f>
        <v>255</v>
      </c>
      <c r="U172" s="246">
        <f>IFERROR(__xludf.DUMMYFUNCTION("""COMPUTED_VALUE"""),0.19097222221898846)</f>
        <v>0.1909722222</v>
      </c>
      <c r="V172" s="247">
        <f t="shared" si="6"/>
        <v>55.63636364</v>
      </c>
      <c r="W172" s="255">
        <f>IFERROR(__xludf.DUMMYFUNCTION("""COMPUTED_VALUE"""),494.0)</f>
        <v>494</v>
      </c>
      <c r="X172" s="249">
        <f>IFERROR(__xludf.DUMMYFUNCTION("""COMPUTED_VALUE"""),0.2326388888832298)</f>
        <v>0.2326388889</v>
      </c>
      <c r="Y172" s="250">
        <f t="shared" si="7"/>
        <v>88.47761194</v>
      </c>
    </row>
    <row r="173">
      <c r="A173" s="136" t="s">
        <v>18</v>
      </c>
      <c r="B173" s="146">
        <v>46093.0</v>
      </c>
      <c r="C173" s="136" t="s">
        <v>49</v>
      </c>
      <c r="D173" s="136" t="s">
        <v>149</v>
      </c>
      <c r="E173" s="256" t="str">
        <f>IFERROR(__xludf.DUMMYFUNCTION("""COMPUTED_VALUE"""),"")</f>
        <v/>
      </c>
      <c r="F173" s="257" t="str">
        <f>IFERROR(__xludf.DUMMYFUNCTION("""COMPUTED_VALUE"""),"")</f>
        <v/>
      </c>
      <c r="G173" s="247" t="str">
        <f t="shared" si="1"/>
        <v/>
      </c>
      <c r="H173" s="258" t="str">
        <f>IFERROR(__xludf.DUMMYFUNCTION("""COMPUTED_VALUE"""),"")</f>
        <v/>
      </c>
      <c r="I173" s="259" t="str">
        <f>IFERROR(__xludf.DUMMYFUNCTION("""COMPUTED_VALUE"""),"")</f>
        <v/>
      </c>
      <c r="J173" s="250" t="str">
        <f t="shared" si="2"/>
        <v/>
      </c>
      <c r="K173" s="317" t="str">
        <f>IFERROR(__xludf.DUMMYFUNCTION("""COMPUTED_VALUE"""),"")</f>
        <v/>
      </c>
      <c r="L173" s="318" t="str">
        <f>IFERROR(__xludf.DUMMYFUNCTION("""COMPUTED_VALUE"""),"")</f>
        <v/>
      </c>
      <c r="M173" s="253" t="str">
        <f t="shared" si="3"/>
        <v/>
      </c>
      <c r="N173" s="319" t="str">
        <f>IFERROR(__xludf.DUMMYFUNCTION("""COMPUTED_VALUE"""),"")</f>
        <v/>
      </c>
      <c r="O173" s="257" t="str">
        <f>IFERROR(__xludf.DUMMYFUNCTION("""COMPUTED_VALUE"""),"")</f>
        <v/>
      </c>
      <c r="P173" s="247" t="str">
        <f t="shared" si="4"/>
        <v/>
      </c>
      <c r="Q173" s="320" t="str">
        <f>IFERROR(__xludf.DUMMYFUNCTION("""COMPUTED_VALUE"""),"")</f>
        <v/>
      </c>
      <c r="R173" s="259" t="str">
        <f>IFERROR(__xludf.DUMMYFUNCTION("""COMPUTED_VALUE"""),"")</f>
        <v/>
      </c>
      <c r="S173" s="250" t="str">
        <f t="shared" si="5"/>
        <v/>
      </c>
      <c r="T173" s="254" t="str">
        <f>IFERROR(__xludf.DUMMYFUNCTION("""COMPUTED_VALUE"""),"")</f>
        <v/>
      </c>
      <c r="U173" s="246" t="str">
        <f>IFERROR(__xludf.DUMMYFUNCTION("""COMPUTED_VALUE"""),"")</f>
        <v/>
      </c>
      <c r="V173" s="247" t="str">
        <f t="shared" si="6"/>
        <v/>
      </c>
      <c r="W173" s="255" t="str">
        <f>IFERROR(__xludf.DUMMYFUNCTION("""COMPUTED_VALUE"""),"")</f>
        <v/>
      </c>
      <c r="X173" s="249" t="str">
        <f>IFERROR(__xludf.DUMMYFUNCTION("""COMPUTED_VALUE"""),"")</f>
        <v/>
      </c>
      <c r="Y173" s="250" t="str">
        <f t="shared" si="7"/>
        <v/>
      </c>
    </row>
    <row r="174">
      <c r="A174" s="136" t="s">
        <v>12</v>
      </c>
      <c r="B174" s="146">
        <v>46094.0</v>
      </c>
      <c r="C174" s="136" t="s">
        <v>53</v>
      </c>
      <c r="D174" s="136" t="s">
        <v>149</v>
      </c>
      <c r="E174" s="256" t="str">
        <f>IFERROR(__xludf.DUMMYFUNCTION("""COMPUTED_VALUE"""),"")</f>
        <v/>
      </c>
      <c r="F174" s="257" t="str">
        <f>IFERROR(__xludf.DUMMYFUNCTION("""COMPUTED_VALUE"""),"")</f>
        <v/>
      </c>
      <c r="G174" s="247" t="str">
        <f t="shared" si="1"/>
        <v/>
      </c>
      <c r="H174" s="258" t="str">
        <f>IFERROR(__xludf.DUMMYFUNCTION("""COMPUTED_VALUE"""),"")</f>
        <v/>
      </c>
      <c r="I174" s="259" t="str">
        <f>IFERROR(__xludf.DUMMYFUNCTION("""COMPUTED_VALUE"""),"")</f>
        <v/>
      </c>
      <c r="J174" s="250" t="str">
        <f t="shared" si="2"/>
        <v/>
      </c>
      <c r="K174" s="317" t="str">
        <f>IFERROR(__xludf.DUMMYFUNCTION("""COMPUTED_VALUE"""),"")</f>
        <v/>
      </c>
      <c r="L174" s="318" t="str">
        <f>IFERROR(__xludf.DUMMYFUNCTION("""COMPUTED_VALUE"""),"")</f>
        <v/>
      </c>
      <c r="M174" s="253" t="str">
        <f t="shared" si="3"/>
        <v/>
      </c>
      <c r="N174" s="319" t="str">
        <f>IFERROR(__xludf.DUMMYFUNCTION("""COMPUTED_VALUE"""),"")</f>
        <v/>
      </c>
      <c r="O174" s="257" t="str">
        <f>IFERROR(__xludf.DUMMYFUNCTION("""COMPUTED_VALUE"""),"")</f>
        <v/>
      </c>
      <c r="P174" s="247" t="str">
        <f t="shared" si="4"/>
        <v/>
      </c>
      <c r="Q174" s="320" t="str">
        <f>IFERROR(__xludf.DUMMYFUNCTION("""COMPUTED_VALUE"""),"")</f>
        <v/>
      </c>
      <c r="R174" s="259" t="str">
        <f>IFERROR(__xludf.DUMMYFUNCTION("""COMPUTED_VALUE"""),"")</f>
        <v/>
      </c>
      <c r="S174" s="250" t="str">
        <f t="shared" si="5"/>
        <v/>
      </c>
      <c r="T174" s="254" t="str">
        <f>IFERROR(__xludf.DUMMYFUNCTION("""COMPUTED_VALUE"""),"")</f>
        <v/>
      </c>
      <c r="U174" s="246" t="str">
        <f>IFERROR(__xludf.DUMMYFUNCTION("""COMPUTED_VALUE"""),"")</f>
        <v/>
      </c>
      <c r="V174" s="247" t="str">
        <f t="shared" si="6"/>
        <v/>
      </c>
      <c r="W174" s="255" t="str">
        <f>IFERROR(__xludf.DUMMYFUNCTION("""COMPUTED_VALUE"""),"")</f>
        <v/>
      </c>
      <c r="X174" s="249" t="str">
        <f>IFERROR(__xludf.DUMMYFUNCTION("""COMPUTED_VALUE"""),"")</f>
        <v/>
      </c>
      <c r="Y174" s="250" t="str">
        <f t="shared" si="7"/>
        <v/>
      </c>
    </row>
    <row r="175">
      <c r="A175" s="136" t="s">
        <v>12</v>
      </c>
      <c r="B175" s="146">
        <v>46094.0</v>
      </c>
      <c r="C175" s="136" t="s">
        <v>53</v>
      </c>
      <c r="D175" s="136" t="s">
        <v>149</v>
      </c>
      <c r="E175" s="256">
        <f>IFERROR(__xludf.DUMMYFUNCTION("""COMPUTED_VALUE"""),0.0)</f>
        <v>0</v>
      </c>
      <c r="F175" s="257">
        <f>IFERROR(__xludf.DUMMYFUNCTION("""COMPUTED_VALUE"""),0.0)</f>
        <v>0</v>
      </c>
      <c r="G175" s="247" t="str">
        <f t="shared" si="1"/>
        <v/>
      </c>
      <c r="H175" s="258">
        <f>IFERROR(__xludf.DUMMYFUNCTION("""COMPUTED_VALUE"""),63.0)</f>
        <v>63</v>
      </c>
      <c r="I175" s="259">
        <f>IFERROR(__xludf.DUMMYFUNCTION("""COMPUTED_VALUE"""),0.08333333333575865)</f>
        <v>0.08333333334</v>
      </c>
      <c r="J175" s="250">
        <f t="shared" si="2"/>
        <v>31.5</v>
      </c>
      <c r="K175" s="317">
        <f>IFERROR(__xludf.DUMMYFUNCTION("""COMPUTED_VALUE"""),72.0)</f>
        <v>72</v>
      </c>
      <c r="L175" s="318">
        <f>IFERROR(__xludf.DUMMYFUNCTION("""COMPUTED_VALUE"""),0.09930555555183673)</f>
        <v>0.09930555555</v>
      </c>
      <c r="M175" s="253">
        <f t="shared" si="3"/>
        <v>30.20979021</v>
      </c>
      <c r="N175" s="319">
        <f>IFERROR(__xludf.DUMMYFUNCTION("""COMPUTED_VALUE"""),0.0)</f>
        <v>0</v>
      </c>
      <c r="O175" s="257">
        <f>IFERROR(__xludf.DUMMYFUNCTION("""COMPUTED_VALUE"""),0.0)</f>
        <v>0</v>
      </c>
      <c r="P175" s="247" t="str">
        <f t="shared" si="4"/>
        <v/>
      </c>
      <c r="Q175" s="320">
        <f>IFERROR(__xludf.DUMMYFUNCTION("""COMPUTED_VALUE"""),0.0)</f>
        <v>0</v>
      </c>
      <c r="R175" s="259">
        <f>IFERROR(__xludf.DUMMYFUNCTION("""COMPUTED_VALUE"""),0.0)</f>
        <v>0</v>
      </c>
      <c r="S175" s="250" t="str">
        <f t="shared" si="5"/>
        <v/>
      </c>
      <c r="T175" s="254">
        <f>IFERROR(__xludf.DUMMYFUNCTION("""COMPUTED_VALUE"""),0.0)</f>
        <v>0</v>
      </c>
      <c r="U175" s="246">
        <f>IFERROR(__xludf.DUMMYFUNCTION("""COMPUTED_VALUE"""),0.0)</f>
        <v>0</v>
      </c>
      <c r="V175" s="247" t="str">
        <f t="shared" si="6"/>
        <v/>
      </c>
      <c r="W175" s="255">
        <f>IFERROR(__xludf.DUMMYFUNCTION("""COMPUTED_VALUE"""),63.0)</f>
        <v>63</v>
      </c>
      <c r="X175" s="249">
        <f>IFERROR(__xludf.DUMMYFUNCTION("""COMPUTED_VALUE"""),0.08333333333575865)</f>
        <v>0.08333333334</v>
      </c>
      <c r="Y175" s="250">
        <f t="shared" si="7"/>
        <v>31.5</v>
      </c>
    </row>
    <row r="176">
      <c r="A176" s="136" t="s">
        <v>18</v>
      </c>
      <c r="B176" s="146">
        <v>46094.0</v>
      </c>
      <c r="C176" s="136" t="s">
        <v>53</v>
      </c>
      <c r="D176" s="136" t="s">
        <v>148</v>
      </c>
      <c r="E176" s="256" t="str">
        <f>IFERROR(__xludf.DUMMYFUNCTION("""COMPUTED_VALUE"""),"")</f>
        <v/>
      </c>
      <c r="F176" s="257" t="str">
        <f>IFERROR(__xludf.DUMMYFUNCTION("""COMPUTED_VALUE"""),"")</f>
        <v/>
      </c>
      <c r="G176" s="247" t="str">
        <f t="shared" si="1"/>
        <v/>
      </c>
      <c r="H176" s="258" t="str">
        <f>IFERROR(__xludf.DUMMYFUNCTION("""COMPUTED_VALUE"""),"")</f>
        <v/>
      </c>
      <c r="I176" s="259" t="str">
        <f>IFERROR(__xludf.DUMMYFUNCTION("""COMPUTED_VALUE"""),"")</f>
        <v/>
      </c>
      <c r="J176" s="250" t="str">
        <f t="shared" si="2"/>
        <v/>
      </c>
      <c r="K176" s="317" t="str">
        <f>IFERROR(__xludf.DUMMYFUNCTION("""COMPUTED_VALUE"""),"")</f>
        <v/>
      </c>
      <c r="L176" s="318" t="str">
        <f>IFERROR(__xludf.DUMMYFUNCTION("""COMPUTED_VALUE"""),"")</f>
        <v/>
      </c>
      <c r="M176" s="253" t="str">
        <f t="shared" si="3"/>
        <v/>
      </c>
      <c r="N176" s="319" t="str">
        <f>IFERROR(__xludf.DUMMYFUNCTION("""COMPUTED_VALUE"""),"")</f>
        <v/>
      </c>
      <c r="O176" s="257" t="str">
        <f>IFERROR(__xludf.DUMMYFUNCTION("""COMPUTED_VALUE"""),"")</f>
        <v/>
      </c>
      <c r="P176" s="247" t="str">
        <f t="shared" si="4"/>
        <v/>
      </c>
      <c r="Q176" s="320" t="str">
        <f>IFERROR(__xludf.DUMMYFUNCTION("""COMPUTED_VALUE"""),"")</f>
        <v/>
      </c>
      <c r="R176" s="259" t="str">
        <f>IFERROR(__xludf.DUMMYFUNCTION("""COMPUTED_VALUE"""),"")</f>
        <v/>
      </c>
      <c r="S176" s="250" t="str">
        <f t="shared" si="5"/>
        <v/>
      </c>
      <c r="T176" s="254" t="str">
        <f>IFERROR(__xludf.DUMMYFUNCTION("""COMPUTED_VALUE"""),"")</f>
        <v/>
      </c>
      <c r="U176" s="246" t="str">
        <f>IFERROR(__xludf.DUMMYFUNCTION("""COMPUTED_VALUE"""),"")</f>
        <v/>
      </c>
      <c r="V176" s="247" t="str">
        <f t="shared" si="6"/>
        <v/>
      </c>
      <c r="W176" s="255" t="str">
        <f>IFERROR(__xludf.DUMMYFUNCTION("""COMPUTED_VALUE"""),"")</f>
        <v/>
      </c>
      <c r="X176" s="249" t="str">
        <f>IFERROR(__xludf.DUMMYFUNCTION("""COMPUTED_VALUE"""),"")</f>
        <v/>
      </c>
      <c r="Y176" s="250" t="str">
        <f t="shared" si="7"/>
        <v/>
      </c>
    </row>
    <row r="177">
      <c r="A177" s="136" t="s">
        <v>12</v>
      </c>
      <c r="B177" s="146">
        <v>46104.0</v>
      </c>
      <c r="C177" s="136" t="s">
        <v>37</v>
      </c>
      <c r="D177" s="136" t="s">
        <v>149</v>
      </c>
      <c r="E177" s="256" t="str">
        <f>IFERROR(__xludf.DUMMYFUNCTION("""COMPUTED_VALUE"""),"")</f>
        <v/>
      </c>
      <c r="F177" s="257" t="str">
        <f>IFERROR(__xludf.DUMMYFUNCTION("""COMPUTED_VALUE"""),"")</f>
        <v/>
      </c>
      <c r="G177" s="247" t="str">
        <f t="shared" si="1"/>
        <v/>
      </c>
      <c r="H177" s="258" t="str">
        <f>IFERROR(__xludf.DUMMYFUNCTION("""COMPUTED_VALUE"""),"")</f>
        <v/>
      </c>
      <c r="I177" s="259" t="str">
        <f>IFERROR(__xludf.DUMMYFUNCTION("""COMPUTED_VALUE"""),"")</f>
        <v/>
      </c>
      <c r="J177" s="250" t="str">
        <f t="shared" si="2"/>
        <v/>
      </c>
      <c r="K177" s="317" t="str">
        <f>IFERROR(__xludf.DUMMYFUNCTION("""COMPUTED_VALUE"""),"")</f>
        <v/>
      </c>
      <c r="L177" s="318" t="str">
        <f>IFERROR(__xludf.DUMMYFUNCTION("""COMPUTED_VALUE"""),"")</f>
        <v/>
      </c>
      <c r="M177" s="253" t="str">
        <f t="shared" si="3"/>
        <v/>
      </c>
      <c r="N177" s="319" t="str">
        <f>IFERROR(__xludf.DUMMYFUNCTION("""COMPUTED_VALUE"""),"")</f>
        <v/>
      </c>
      <c r="O177" s="257" t="str">
        <f>IFERROR(__xludf.DUMMYFUNCTION("""COMPUTED_VALUE"""),"")</f>
        <v/>
      </c>
      <c r="P177" s="247" t="str">
        <f t="shared" si="4"/>
        <v/>
      </c>
      <c r="Q177" s="320" t="str">
        <f>IFERROR(__xludf.DUMMYFUNCTION("""COMPUTED_VALUE"""),"")</f>
        <v/>
      </c>
      <c r="R177" s="259" t="str">
        <f>IFERROR(__xludf.DUMMYFUNCTION("""COMPUTED_VALUE"""),"")</f>
        <v/>
      </c>
      <c r="S177" s="250" t="str">
        <f t="shared" si="5"/>
        <v/>
      </c>
      <c r="T177" s="254" t="str">
        <f>IFERROR(__xludf.DUMMYFUNCTION("""COMPUTED_VALUE"""),"")</f>
        <v/>
      </c>
      <c r="U177" s="246" t="str">
        <f>IFERROR(__xludf.DUMMYFUNCTION("""COMPUTED_VALUE"""),"")</f>
        <v/>
      </c>
      <c r="V177" s="247" t="str">
        <f t="shared" si="6"/>
        <v/>
      </c>
      <c r="W177" s="255" t="str">
        <f>IFERROR(__xludf.DUMMYFUNCTION("""COMPUTED_VALUE"""),"")</f>
        <v/>
      </c>
      <c r="X177" s="249" t="str">
        <f>IFERROR(__xludf.DUMMYFUNCTION("""COMPUTED_VALUE"""),"")</f>
        <v/>
      </c>
      <c r="Y177" s="250" t="str">
        <f t="shared" si="7"/>
        <v/>
      </c>
    </row>
    <row r="178">
      <c r="A178" s="136" t="s">
        <v>15</v>
      </c>
      <c r="B178" s="146">
        <v>46104.0</v>
      </c>
      <c r="C178" s="136" t="s">
        <v>37</v>
      </c>
      <c r="D178" s="136" t="s">
        <v>149</v>
      </c>
      <c r="E178" s="256" t="str">
        <f>IFERROR(__xludf.DUMMYFUNCTION("""COMPUTED_VALUE"""),"")</f>
        <v/>
      </c>
      <c r="F178" s="257" t="str">
        <f>IFERROR(__xludf.DUMMYFUNCTION("""COMPUTED_VALUE"""),"")</f>
        <v/>
      </c>
      <c r="G178" s="247" t="str">
        <f t="shared" si="1"/>
        <v/>
      </c>
      <c r="H178" s="258" t="str">
        <f>IFERROR(__xludf.DUMMYFUNCTION("""COMPUTED_VALUE"""),"")</f>
        <v/>
      </c>
      <c r="I178" s="259" t="str">
        <f>IFERROR(__xludf.DUMMYFUNCTION("""COMPUTED_VALUE"""),"")</f>
        <v/>
      </c>
      <c r="J178" s="250" t="str">
        <f t="shared" si="2"/>
        <v/>
      </c>
      <c r="K178" s="317" t="str">
        <f>IFERROR(__xludf.DUMMYFUNCTION("""COMPUTED_VALUE"""),"")</f>
        <v/>
      </c>
      <c r="L178" s="318" t="str">
        <f>IFERROR(__xludf.DUMMYFUNCTION("""COMPUTED_VALUE"""),"")</f>
        <v/>
      </c>
      <c r="M178" s="253" t="str">
        <f t="shared" si="3"/>
        <v/>
      </c>
      <c r="N178" s="319" t="str">
        <f>IFERROR(__xludf.DUMMYFUNCTION("""COMPUTED_VALUE"""),"")</f>
        <v/>
      </c>
      <c r="O178" s="257" t="str">
        <f>IFERROR(__xludf.DUMMYFUNCTION("""COMPUTED_VALUE"""),"")</f>
        <v/>
      </c>
      <c r="P178" s="247" t="str">
        <f t="shared" si="4"/>
        <v/>
      </c>
      <c r="Q178" s="320" t="str">
        <f>IFERROR(__xludf.DUMMYFUNCTION("""COMPUTED_VALUE"""),"")</f>
        <v/>
      </c>
      <c r="R178" s="259" t="str">
        <f>IFERROR(__xludf.DUMMYFUNCTION("""COMPUTED_VALUE"""),"")</f>
        <v/>
      </c>
      <c r="S178" s="250" t="str">
        <f t="shared" si="5"/>
        <v/>
      </c>
      <c r="T178" s="254" t="str">
        <f>IFERROR(__xludf.DUMMYFUNCTION("""COMPUTED_VALUE"""),"")</f>
        <v/>
      </c>
      <c r="U178" s="246" t="str">
        <f>IFERROR(__xludf.DUMMYFUNCTION("""COMPUTED_VALUE"""),"")</f>
        <v/>
      </c>
      <c r="V178" s="247" t="str">
        <f t="shared" si="6"/>
        <v/>
      </c>
      <c r="W178" s="255" t="str">
        <f>IFERROR(__xludf.DUMMYFUNCTION("""COMPUTED_VALUE"""),"")</f>
        <v/>
      </c>
      <c r="X178" s="249" t="str">
        <f>IFERROR(__xludf.DUMMYFUNCTION("""COMPUTED_VALUE"""),"")</f>
        <v/>
      </c>
      <c r="Y178" s="250" t="str">
        <f t="shared" si="7"/>
        <v/>
      </c>
    </row>
    <row r="179">
      <c r="A179" s="136" t="s">
        <v>18</v>
      </c>
      <c r="B179" s="146">
        <v>46104.0</v>
      </c>
      <c r="C179" s="136" t="s">
        <v>37</v>
      </c>
      <c r="D179" s="136" t="s">
        <v>148</v>
      </c>
      <c r="E179" s="256">
        <f>IFERROR(__xludf.DUMMYFUNCTION("""COMPUTED_VALUE"""),0.0)</f>
        <v>0</v>
      </c>
      <c r="F179" s="257">
        <f>IFERROR(__xludf.DUMMYFUNCTION("""COMPUTED_VALUE"""),0.0)</f>
        <v>0</v>
      </c>
      <c r="G179" s="247" t="str">
        <f t="shared" si="1"/>
        <v/>
      </c>
      <c r="H179" s="258">
        <f>IFERROR(__xludf.DUMMYFUNCTION("""COMPUTED_VALUE"""),299.0)</f>
        <v>299</v>
      </c>
      <c r="I179" s="259">
        <f>IFERROR(__xludf.DUMMYFUNCTION("""COMPUTED_VALUE"""),0.20277777778392192)</f>
        <v>0.2027777778</v>
      </c>
      <c r="J179" s="250">
        <f t="shared" si="2"/>
        <v>61.43835616</v>
      </c>
      <c r="K179" s="317">
        <f>IFERROR(__xludf.DUMMYFUNCTION("""COMPUTED_VALUE"""),43.0)</f>
        <v>43</v>
      </c>
      <c r="L179" s="318">
        <f>IFERROR(__xludf.DUMMYFUNCTION("""COMPUTED_VALUE"""),0.06458333333284827)</f>
        <v>0.06458333333</v>
      </c>
      <c r="M179" s="253">
        <f t="shared" si="3"/>
        <v>27.74193548</v>
      </c>
      <c r="N179" s="319">
        <f>IFERROR(__xludf.DUMMYFUNCTION("""COMPUTED_VALUE"""),135.0)</f>
        <v>135</v>
      </c>
      <c r="O179" s="257">
        <f>IFERROR(__xludf.DUMMYFUNCTION("""COMPUTED_VALUE"""),0.125)</f>
        <v>0.125</v>
      </c>
      <c r="P179" s="247">
        <f t="shared" si="4"/>
        <v>45</v>
      </c>
      <c r="Q179" s="320">
        <f>IFERROR(__xludf.DUMMYFUNCTION("""COMPUTED_VALUE"""),0.0)</f>
        <v>0</v>
      </c>
      <c r="R179" s="259">
        <f>IFERROR(__xludf.DUMMYFUNCTION("""COMPUTED_VALUE"""),0.0)</f>
        <v>0</v>
      </c>
      <c r="S179" s="250" t="str">
        <f t="shared" si="5"/>
        <v/>
      </c>
      <c r="T179" s="254">
        <f>IFERROR(__xludf.DUMMYFUNCTION("""COMPUTED_VALUE"""),135.0)</f>
        <v>135</v>
      </c>
      <c r="U179" s="246">
        <f>IFERROR(__xludf.DUMMYFUNCTION("""COMPUTED_VALUE"""),0.125)</f>
        <v>0.125</v>
      </c>
      <c r="V179" s="247">
        <f t="shared" si="6"/>
        <v>45</v>
      </c>
      <c r="W179" s="255">
        <f>IFERROR(__xludf.DUMMYFUNCTION("""COMPUTED_VALUE"""),299.0)</f>
        <v>299</v>
      </c>
      <c r="X179" s="249">
        <f>IFERROR(__xludf.DUMMYFUNCTION("""COMPUTED_VALUE"""),0.20277777778392192)</f>
        <v>0.2027777778</v>
      </c>
      <c r="Y179" s="250">
        <f t="shared" si="7"/>
        <v>61.43835616</v>
      </c>
    </row>
    <row r="180">
      <c r="A180" s="136" t="s">
        <v>18</v>
      </c>
      <c r="B180" s="146">
        <v>46104.0</v>
      </c>
      <c r="C180" s="136" t="s">
        <v>37</v>
      </c>
      <c r="D180" s="136" t="s">
        <v>148</v>
      </c>
      <c r="E180" s="256" t="str">
        <f>IFERROR(__xludf.DUMMYFUNCTION("""COMPUTED_VALUE"""),"")</f>
        <v/>
      </c>
      <c r="F180" s="257" t="str">
        <f>IFERROR(__xludf.DUMMYFUNCTION("""COMPUTED_VALUE"""),"")</f>
        <v/>
      </c>
      <c r="G180" s="247" t="str">
        <f t="shared" si="1"/>
        <v/>
      </c>
      <c r="H180" s="258" t="str">
        <f>IFERROR(__xludf.DUMMYFUNCTION("""COMPUTED_VALUE"""),"")</f>
        <v/>
      </c>
      <c r="I180" s="259" t="str">
        <f>IFERROR(__xludf.DUMMYFUNCTION("""COMPUTED_VALUE"""),"")</f>
        <v/>
      </c>
      <c r="J180" s="250" t="str">
        <f t="shared" si="2"/>
        <v/>
      </c>
      <c r="K180" s="317" t="str">
        <f>IFERROR(__xludf.DUMMYFUNCTION("""COMPUTED_VALUE"""),"")</f>
        <v/>
      </c>
      <c r="L180" s="318" t="str">
        <f>IFERROR(__xludf.DUMMYFUNCTION("""COMPUTED_VALUE"""),"")</f>
        <v/>
      </c>
      <c r="M180" s="253" t="str">
        <f t="shared" si="3"/>
        <v/>
      </c>
      <c r="N180" s="319" t="str">
        <f>IFERROR(__xludf.DUMMYFUNCTION("""COMPUTED_VALUE"""),"")</f>
        <v/>
      </c>
      <c r="O180" s="257" t="str">
        <f>IFERROR(__xludf.DUMMYFUNCTION("""COMPUTED_VALUE"""),"")</f>
        <v/>
      </c>
      <c r="P180" s="247" t="str">
        <f t="shared" si="4"/>
        <v/>
      </c>
      <c r="Q180" s="320" t="str">
        <f>IFERROR(__xludf.DUMMYFUNCTION("""COMPUTED_VALUE"""),"")</f>
        <v/>
      </c>
      <c r="R180" s="259" t="str">
        <f>IFERROR(__xludf.DUMMYFUNCTION("""COMPUTED_VALUE"""),"")</f>
        <v/>
      </c>
      <c r="S180" s="250" t="str">
        <f t="shared" si="5"/>
        <v/>
      </c>
      <c r="T180" s="254" t="str">
        <f>IFERROR(__xludf.DUMMYFUNCTION("""COMPUTED_VALUE"""),"")</f>
        <v/>
      </c>
      <c r="U180" s="246" t="str">
        <f>IFERROR(__xludf.DUMMYFUNCTION("""COMPUTED_VALUE"""),"")</f>
        <v/>
      </c>
      <c r="V180" s="247" t="str">
        <f t="shared" si="6"/>
        <v/>
      </c>
      <c r="W180" s="255" t="str">
        <f>IFERROR(__xludf.DUMMYFUNCTION("""COMPUTED_VALUE"""),"")</f>
        <v/>
      </c>
      <c r="X180" s="249" t="str">
        <f>IFERROR(__xludf.DUMMYFUNCTION("""COMPUTED_VALUE"""),"")</f>
        <v/>
      </c>
      <c r="Y180" s="250" t="str">
        <f t="shared" si="7"/>
        <v/>
      </c>
    </row>
    <row r="181">
      <c r="A181" s="136" t="s">
        <v>15</v>
      </c>
      <c r="B181" s="146">
        <v>46105.0</v>
      </c>
      <c r="C181" s="136" t="s">
        <v>41</v>
      </c>
      <c r="D181" s="136" t="s">
        <v>148</v>
      </c>
      <c r="E181" s="256" t="str">
        <f>IFERROR(__xludf.DUMMYFUNCTION("""COMPUTED_VALUE"""),"")</f>
        <v/>
      </c>
      <c r="F181" s="257" t="str">
        <f>IFERROR(__xludf.DUMMYFUNCTION("""COMPUTED_VALUE"""),"")</f>
        <v/>
      </c>
      <c r="G181" s="247" t="str">
        <f t="shared" si="1"/>
        <v/>
      </c>
      <c r="H181" s="258" t="str">
        <f>IFERROR(__xludf.DUMMYFUNCTION("""COMPUTED_VALUE"""),"")</f>
        <v/>
      </c>
      <c r="I181" s="259" t="str">
        <f>IFERROR(__xludf.DUMMYFUNCTION("""COMPUTED_VALUE"""),"")</f>
        <v/>
      </c>
      <c r="J181" s="250" t="str">
        <f t="shared" si="2"/>
        <v/>
      </c>
      <c r="K181" s="317" t="str">
        <f>IFERROR(__xludf.DUMMYFUNCTION("""COMPUTED_VALUE"""),"")</f>
        <v/>
      </c>
      <c r="L181" s="318" t="str">
        <f>IFERROR(__xludf.DUMMYFUNCTION("""COMPUTED_VALUE"""),"")</f>
        <v/>
      </c>
      <c r="M181" s="253" t="str">
        <f t="shared" si="3"/>
        <v/>
      </c>
      <c r="N181" s="319" t="str">
        <f>IFERROR(__xludf.DUMMYFUNCTION("""COMPUTED_VALUE"""),"")</f>
        <v/>
      </c>
      <c r="O181" s="257" t="str">
        <f>IFERROR(__xludf.DUMMYFUNCTION("""COMPUTED_VALUE"""),"")</f>
        <v/>
      </c>
      <c r="P181" s="247" t="str">
        <f t="shared" si="4"/>
        <v/>
      </c>
      <c r="Q181" s="320" t="str">
        <f>IFERROR(__xludf.DUMMYFUNCTION("""COMPUTED_VALUE"""),"")</f>
        <v/>
      </c>
      <c r="R181" s="259" t="str">
        <f>IFERROR(__xludf.DUMMYFUNCTION("""COMPUTED_VALUE"""),"")</f>
        <v/>
      </c>
      <c r="S181" s="250" t="str">
        <f t="shared" si="5"/>
        <v/>
      </c>
      <c r="T181" s="254" t="str">
        <f>IFERROR(__xludf.DUMMYFUNCTION("""COMPUTED_VALUE"""),"")</f>
        <v/>
      </c>
      <c r="U181" s="246" t="str">
        <f>IFERROR(__xludf.DUMMYFUNCTION("""COMPUTED_VALUE"""),"")</f>
        <v/>
      </c>
      <c r="V181" s="247" t="str">
        <f t="shared" si="6"/>
        <v/>
      </c>
      <c r="W181" s="255" t="str">
        <f>IFERROR(__xludf.DUMMYFUNCTION("""COMPUTED_VALUE"""),"")</f>
        <v/>
      </c>
      <c r="X181" s="249" t="str">
        <f>IFERROR(__xludf.DUMMYFUNCTION("""COMPUTED_VALUE"""),"")</f>
        <v/>
      </c>
      <c r="Y181" s="250" t="str">
        <f t="shared" si="7"/>
        <v/>
      </c>
    </row>
    <row r="182">
      <c r="A182" s="136" t="s">
        <v>134</v>
      </c>
      <c r="B182" s="146">
        <v>46105.0</v>
      </c>
      <c r="C182" s="136" t="s">
        <v>41</v>
      </c>
      <c r="D182" s="136" t="s">
        <v>149</v>
      </c>
      <c r="E182" s="256" t="str">
        <f>IFERROR(__xludf.DUMMYFUNCTION("""COMPUTED_VALUE"""),"")</f>
        <v/>
      </c>
      <c r="F182" s="257" t="str">
        <f>IFERROR(__xludf.DUMMYFUNCTION("""COMPUTED_VALUE"""),"")</f>
        <v/>
      </c>
      <c r="G182" s="247" t="str">
        <f t="shared" si="1"/>
        <v/>
      </c>
      <c r="H182" s="258" t="str">
        <f>IFERROR(__xludf.DUMMYFUNCTION("""COMPUTED_VALUE"""),"")</f>
        <v/>
      </c>
      <c r="I182" s="259" t="str">
        <f>IFERROR(__xludf.DUMMYFUNCTION("""COMPUTED_VALUE"""),"")</f>
        <v/>
      </c>
      <c r="J182" s="250" t="str">
        <f t="shared" si="2"/>
        <v/>
      </c>
      <c r="K182" s="317" t="str">
        <f>IFERROR(__xludf.DUMMYFUNCTION("""COMPUTED_VALUE"""),"")</f>
        <v/>
      </c>
      <c r="L182" s="318" t="str">
        <f>IFERROR(__xludf.DUMMYFUNCTION("""COMPUTED_VALUE"""),"")</f>
        <v/>
      </c>
      <c r="M182" s="253" t="str">
        <f t="shared" si="3"/>
        <v/>
      </c>
      <c r="N182" s="319" t="str">
        <f>IFERROR(__xludf.DUMMYFUNCTION("""COMPUTED_VALUE"""),"")</f>
        <v/>
      </c>
      <c r="O182" s="257" t="str">
        <f>IFERROR(__xludf.DUMMYFUNCTION("""COMPUTED_VALUE"""),"")</f>
        <v/>
      </c>
      <c r="P182" s="247" t="str">
        <f t="shared" si="4"/>
        <v/>
      </c>
      <c r="Q182" s="320" t="str">
        <f>IFERROR(__xludf.DUMMYFUNCTION("""COMPUTED_VALUE"""),"")</f>
        <v/>
      </c>
      <c r="R182" s="259" t="str">
        <f>IFERROR(__xludf.DUMMYFUNCTION("""COMPUTED_VALUE"""),"")</f>
        <v/>
      </c>
      <c r="S182" s="250" t="str">
        <f t="shared" si="5"/>
        <v/>
      </c>
      <c r="T182" s="254" t="str">
        <f>IFERROR(__xludf.DUMMYFUNCTION("""COMPUTED_VALUE"""),"")</f>
        <v/>
      </c>
      <c r="U182" s="246" t="str">
        <f>IFERROR(__xludf.DUMMYFUNCTION("""COMPUTED_VALUE"""),"")</f>
        <v/>
      </c>
      <c r="V182" s="247" t="str">
        <f t="shared" si="6"/>
        <v/>
      </c>
      <c r="W182" s="255" t="str">
        <f>IFERROR(__xludf.DUMMYFUNCTION("""COMPUTED_VALUE"""),"")</f>
        <v/>
      </c>
      <c r="X182" s="249" t="str">
        <f>IFERROR(__xludf.DUMMYFUNCTION("""COMPUTED_VALUE"""),"")</f>
        <v/>
      </c>
      <c r="Y182" s="250" t="str">
        <f t="shared" si="7"/>
        <v/>
      </c>
    </row>
    <row r="183">
      <c r="A183" s="136" t="s">
        <v>15</v>
      </c>
      <c r="B183" s="146">
        <v>46105.0</v>
      </c>
      <c r="C183" s="136" t="s">
        <v>41</v>
      </c>
      <c r="D183" s="136" t="s">
        <v>148</v>
      </c>
      <c r="E183" s="256" t="str">
        <f>IFERROR(__xludf.DUMMYFUNCTION("""COMPUTED_VALUE"""),"")</f>
        <v/>
      </c>
      <c r="F183" s="257" t="str">
        <f>IFERROR(__xludf.DUMMYFUNCTION("""COMPUTED_VALUE"""),"")</f>
        <v/>
      </c>
      <c r="G183" s="247" t="str">
        <f t="shared" si="1"/>
        <v/>
      </c>
      <c r="H183" s="258" t="str">
        <f>IFERROR(__xludf.DUMMYFUNCTION("""COMPUTED_VALUE"""),"")</f>
        <v/>
      </c>
      <c r="I183" s="259" t="str">
        <f>IFERROR(__xludf.DUMMYFUNCTION("""COMPUTED_VALUE"""),"")</f>
        <v/>
      </c>
      <c r="J183" s="250" t="str">
        <f t="shared" si="2"/>
        <v/>
      </c>
      <c r="K183" s="317" t="str">
        <f>IFERROR(__xludf.DUMMYFUNCTION("""COMPUTED_VALUE"""),"")</f>
        <v/>
      </c>
      <c r="L183" s="318" t="str">
        <f>IFERROR(__xludf.DUMMYFUNCTION("""COMPUTED_VALUE"""),"")</f>
        <v/>
      </c>
      <c r="M183" s="253" t="str">
        <f t="shared" si="3"/>
        <v/>
      </c>
      <c r="N183" s="319" t="str">
        <f>IFERROR(__xludf.DUMMYFUNCTION("""COMPUTED_VALUE"""),"")</f>
        <v/>
      </c>
      <c r="O183" s="257" t="str">
        <f>IFERROR(__xludf.DUMMYFUNCTION("""COMPUTED_VALUE"""),"")</f>
        <v/>
      </c>
      <c r="P183" s="247" t="str">
        <f t="shared" si="4"/>
        <v/>
      </c>
      <c r="Q183" s="320" t="str">
        <f>IFERROR(__xludf.DUMMYFUNCTION("""COMPUTED_VALUE"""),"")</f>
        <v/>
      </c>
      <c r="R183" s="259" t="str">
        <f>IFERROR(__xludf.DUMMYFUNCTION("""COMPUTED_VALUE"""),"")</f>
        <v/>
      </c>
      <c r="S183" s="250" t="str">
        <f t="shared" si="5"/>
        <v/>
      </c>
      <c r="T183" s="254" t="str">
        <f>IFERROR(__xludf.DUMMYFUNCTION("""COMPUTED_VALUE"""),"")</f>
        <v/>
      </c>
      <c r="U183" s="246" t="str">
        <f>IFERROR(__xludf.DUMMYFUNCTION("""COMPUTED_VALUE"""),"")</f>
        <v/>
      </c>
      <c r="V183" s="247" t="str">
        <f t="shared" si="6"/>
        <v/>
      </c>
      <c r="W183" s="255" t="str">
        <f>IFERROR(__xludf.DUMMYFUNCTION("""COMPUTED_VALUE"""),"")</f>
        <v/>
      </c>
      <c r="X183" s="249" t="str">
        <f>IFERROR(__xludf.DUMMYFUNCTION("""COMPUTED_VALUE"""),"")</f>
        <v/>
      </c>
      <c r="Y183" s="250" t="str">
        <f t="shared" si="7"/>
        <v/>
      </c>
    </row>
    <row r="184">
      <c r="A184" s="136" t="s">
        <v>15</v>
      </c>
      <c r="B184" s="146">
        <v>46105.0</v>
      </c>
      <c r="C184" s="136" t="s">
        <v>41</v>
      </c>
      <c r="D184" s="136" t="s">
        <v>148</v>
      </c>
      <c r="E184" s="256">
        <f>IFERROR(__xludf.DUMMYFUNCTION("""COMPUTED_VALUE"""),328.0)</f>
        <v>328</v>
      </c>
      <c r="F184" s="257">
        <f>IFERROR(__xludf.DUMMYFUNCTION("""COMPUTED_VALUE"""),0.11944444444088731)</f>
        <v>0.1194444444</v>
      </c>
      <c r="G184" s="247">
        <f t="shared" si="1"/>
        <v>114.4186047</v>
      </c>
      <c r="H184" s="258">
        <f>IFERROR(__xludf.DUMMYFUNCTION("""COMPUTED_VALUE"""),0.0)</f>
        <v>0</v>
      </c>
      <c r="I184" s="259">
        <f>IFERROR(__xludf.DUMMYFUNCTION("""COMPUTED_VALUE"""),0.0)</f>
        <v>0</v>
      </c>
      <c r="J184" s="250" t="str">
        <f t="shared" si="2"/>
        <v/>
      </c>
      <c r="K184" s="317">
        <f>IFERROR(__xludf.DUMMYFUNCTION("""COMPUTED_VALUE"""),0.0)</f>
        <v>0</v>
      </c>
      <c r="L184" s="318">
        <f>IFERROR(__xludf.DUMMYFUNCTION("""COMPUTED_VALUE"""),0.0)</f>
        <v>0</v>
      </c>
      <c r="M184" s="253" t="str">
        <f t="shared" si="3"/>
        <v/>
      </c>
      <c r="N184" s="319">
        <f>IFERROR(__xludf.DUMMYFUNCTION("""COMPUTED_VALUE"""),0.0)</f>
        <v>0</v>
      </c>
      <c r="O184" s="257">
        <f>IFERROR(__xludf.DUMMYFUNCTION("""COMPUTED_VALUE"""),0.0)</f>
        <v>0</v>
      </c>
      <c r="P184" s="247" t="str">
        <f t="shared" si="4"/>
        <v/>
      </c>
      <c r="Q184" s="320">
        <f>IFERROR(__xludf.DUMMYFUNCTION("""COMPUTED_VALUE"""),57.0)</f>
        <v>57</v>
      </c>
      <c r="R184" s="259">
        <f>IFERROR(__xludf.DUMMYFUNCTION("""COMPUTED_VALUE"""),0.05833333333430346)</f>
        <v>0.05833333333</v>
      </c>
      <c r="S184" s="250">
        <f t="shared" si="5"/>
        <v>40.71428571</v>
      </c>
      <c r="T184" s="254">
        <f>IFERROR(__xludf.DUMMYFUNCTION("""COMPUTED_VALUE"""),328.0)</f>
        <v>328</v>
      </c>
      <c r="U184" s="246">
        <f>IFERROR(__xludf.DUMMYFUNCTION("""COMPUTED_VALUE"""),0.11944444444088731)</f>
        <v>0.1194444444</v>
      </c>
      <c r="V184" s="247">
        <f t="shared" si="6"/>
        <v>114.4186047</v>
      </c>
      <c r="W184" s="255">
        <f>IFERROR(__xludf.DUMMYFUNCTION("""COMPUTED_VALUE"""),57.0)</f>
        <v>57</v>
      </c>
      <c r="X184" s="249">
        <f>IFERROR(__xludf.DUMMYFUNCTION("""COMPUTED_VALUE"""),0.05833333333430346)</f>
        <v>0.05833333333</v>
      </c>
      <c r="Y184" s="250">
        <f t="shared" si="7"/>
        <v>40.71428571</v>
      </c>
    </row>
    <row r="185">
      <c r="A185" s="136" t="s">
        <v>18</v>
      </c>
      <c r="B185" s="146">
        <v>46105.0</v>
      </c>
      <c r="C185" s="136" t="s">
        <v>41</v>
      </c>
      <c r="D185" s="136" t="s">
        <v>149</v>
      </c>
      <c r="E185" s="256" t="str">
        <f>IFERROR(__xludf.DUMMYFUNCTION("""COMPUTED_VALUE"""),"")</f>
        <v/>
      </c>
      <c r="F185" s="257" t="str">
        <f>IFERROR(__xludf.DUMMYFUNCTION("""COMPUTED_VALUE"""),"")</f>
        <v/>
      </c>
      <c r="G185" s="247" t="str">
        <f t="shared" si="1"/>
        <v/>
      </c>
      <c r="H185" s="258" t="str">
        <f>IFERROR(__xludf.DUMMYFUNCTION("""COMPUTED_VALUE"""),"")</f>
        <v/>
      </c>
      <c r="I185" s="259" t="str">
        <f>IFERROR(__xludf.DUMMYFUNCTION("""COMPUTED_VALUE"""),"")</f>
        <v/>
      </c>
      <c r="J185" s="250" t="str">
        <f t="shared" si="2"/>
        <v/>
      </c>
      <c r="K185" s="317" t="str">
        <f>IFERROR(__xludf.DUMMYFUNCTION("""COMPUTED_VALUE"""),"")</f>
        <v/>
      </c>
      <c r="L185" s="318" t="str">
        <f>IFERROR(__xludf.DUMMYFUNCTION("""COMPUTED_VALUE"""),"")</f>
        <v/>
      </c>
      <c r="M185" s="253" t="str">
        <f t="shared" si="3"/>
        <v/>
      </c>
      <c r="N185" s="319" t="str">
        <f>IFERROR(__xludf.DUMMYFUNCTION("""COMPUTED_VALUE"""),"")</f>
        <v/>
      </c>
      <c r="O185" s="257" t="str">
        <f>IFERROR(__xludf.DUMMYFUNCTION("""COMPUTED_VALUE"""),"")</f>
        <v/>
      </c>
      <c r="P185" s="247" t="str">
        <f t="shared" si="4"/>
        <v/>
      </c>
      <c r="Q185" s="320" t="str">
        <f>IFERROR(__xludf.DUMMYFUNCTION("""COMPUTED_VALUE"""),"")</f>
        <v/>
      </c>
      <c r="R185" s="259" t="str">
        <f>IFERROR(__xludf.DUMMYFUNCTION("""COMPUTED_VALUE"""),"")</f>
        <v/>
      </c>
      <c r="S185" s="250" t="str">
        <f t="shared" si="5"/>
        <v/>
      </c>
      <c r="T185" s="254" t="str">
        <f>IFERROR(__xludf.DUMMYFUNCTION("""COMPUTED_VALUE"""),"")</f>
        <v/>
      </c>
      <c r="U185" s="246" t="str">
        <f>IFERROR(__xludf.DUMMYFUNCTION("""COMPUTED_VALUE"""),"")</f>
        <v/>
      </c>
      <c r="V185" s="247" t="str">
        <f t="shared" si="6"/>
        <v/>
      </c>
      <c r="W185" s="255" t="str">
        <f>IFERROR(__xludf.DUMMYFUNCTION("""COMPUTED_VALUE"""),"")</f>
        <v/>
      </c>
      <c r="X185" s="249" t="str">
        <f>IFERROR(__xludf.DUMMYFUNCTION("""COMPUTED_VALUE"""),"")</f>
        <v/>
      </c>
      <c r="Y185" s="250" t="str">
        <f t="shared" si="7"/>
        <v/>
      </c>
    </row>
    <row r="186">
      <c r="A186" s="136" t="s">
        <v>12</v>
      </c>
      <c r="B186" s="146">
        <v>46106.0</v>
      </c>
      <c r="C186" s="136" t="s">
        <v>45</v>
      </c>
      <c r="D186" s="136" t="s">
        <v>149</v>
      </c>
      <c r="E186" s="256" t="str">
        <f>IFERROR(__xludf.DUMMYFUNCTION("""COMPUTED_VALUE"""),"")</f>
        <v/>
      </c>
      <c r="F186" s="257" t="str">
        <f>IFERROR(__xludf.DUMMYFUNCTION("""COMPUTED_VALUE"""),"")</f>
        <v/>
      </c>
      <c r="G186" s="247" t="str">
        <f t="shared" si="1"/>
        <v/>
      </c>
      <c r="H186" s="258" t="str">
        <f>IFERROR(__xludf.DUMMYFUNCTION("""COMPUTED_VALUE"""),"")</f>
        <v/>
      </c>
      <c r="I186" s="259" t="str">
        <f>IFERROR(__xludf.DUMMYFUNCTION("""COMPUTED_VALUE"""),"")</f>
        <v/>
      </c>
      <c r="J186" s="250" t="str">
        <f t="shared" si="2"/>
        <v/>
      </c>
      <c r="K186" s="317" t="str">
        <f>IFERROR(__xludf.DUMMYFUNCTION("""COMPUTED_VALUE"""),"")</f>
        <v/>
      </c>
      <c r="L186" s="318" t="str">
        <f>IFERROR(__xludf.DUMMYFUNCTION("""COMPUTED_VALUE"""),"")</f>
        <v/>
      </c>
      <c r="M186" s="253" t="str">
        <f t="shared" si="3"/>
        <v/>
      </c>
      <c r="N186" s="319" t="str">
        <f>IFERROR(__xludf.DUMMYFUNCTION("""COMPUTED_VALUE"""),"")</f>
        <v/>
      </c>
      <c r="O186" s="257" t="str">
        <f>IFERROR(__xludf.DUMMYFUNCTION("""COMPUTED_VALUE"""),"")</f>
        <v/>
      </c>
      <c r="P186" s="247" t="str">
        <f t="shared" si="4"/>
        <v/>
      </c>
      <c r="Q186" s="320" t="str">
        <f>IFERROR(__xludf.DUMMYFUNCTION("""COMPUTED_VALUE"""),"")</f>
        <v/>
      </c>
      <c r="R186" s="259" t="str">
        <f>IFERROR(__xludf.DUMMYFUNCTION("""COMPUTED_VALUE"""),"")</f>
        <v/>
      </c>
      <c r="S186" s="250" t="str">
        <f t="shared" si="5"/>
        <v/>
      </c>
      <c r="T186" s="254" t="str">
        <f>IFERROR(__xludf.DUMMYFUNCTION("""COMPUTED_VALUE"""),"")</f>
        <v/>
      </c>
      <c r="U186" s="246" t="str">
        <f>IFERROR(__xludf.DUMMYFUNCTION("""COMPUTED_VALUE"""),"")</f>
        <v/>
      </c>
      <c r="V186" s="247" t="str">
        <f t="shared" si="6"/>
        <v/>
      </c>
      <c r="W186" s="255" t="str">
        <f>IFERROR(__xludf.DUMMYFUNCTION("""COMPUTED_VALUE"""),"")</f>
        <v/>
      </c>
      <c r="X186" s="249" t="str">
        <f>IFERROR(__xludf.DUMMYFUNCTION("""COMPUTED_VALUE"""),"")</f>
        <v/>
      </c>
      <c r="Y186" s="250" t="str">
        <f t="shared" si="7"/>
        <v/>
      </c>
    </row>
    <row r="187">
      <c r="A187" s="136" t="s">
        <v>134</v>
      </c>
      <c r="B187" s="146">
        <v>46106.0</v>
      </c>
      <c r="C187" s="136" t="s">
        <v>45</v>
      </c>
      <c r="D187" s="136" t="s">
        <v>149</v>
      </c>
      <c r="E187" s="256" t="str">
        <f>IFERROR(__xludf.DUMMYFUNCTION("""COMPUTED_VALUE"""),"")</f>
        <v/>
      </c>
      <c r="F187" s="257" t="str">
        <f>IFERROR(__xludf.DUMMYFUNCTION("""COMPUTED_VALUE"""),"")</f>
        <v/>
      </c>
      <c r="G187" s="247" t="str">
        <f t="shared" si="1"/>
        <v/>
      </c>
      <c r="H187" s="258" t="str">
        <f>IFERROR(__xludf.DUMMYFUNCTION("""COMPUTED_VALUE"""),"")</f>
        <v/>
      </c>
      <c r="I187" s="259" t="str">
        <f>IFERROR(__xludf.DUMMYFUNCTION("""COMPUTED_VALUE"""),"")</f>
        <v/>
      </c>
      <c r="J187" s="250" t="str">
        <f t="shared" si="2"/>
        <v/>
      </c>
      <c r="K187" s="317" t="str">
        <f>IFERROR(__xludf.DUMMYFUNCTION("""COMPUTED_VALUE"""),"")</f>
        <v/>
      </c>
      <c r="L187" s="318" t="str">
        <f>IFERROR(__xludf.DUMMYFUNCTION("""COMPUTED_VALUE"""),"")</f>
        <v/>
      </c>
      <c r="M187" s="253" t="str">
        <f t="shared" si="3"/>
        <v/>
      </c>
      <c r="N187" s="319" t="str">
        <f>IFERROR(__xludf.DUMMYFUNCTION("""COMPUTED_VALUE"""),"")</f>
        <v/>
      </c>
      <c r="O187" s="257" t="str">
        <f>IFERROR(__xludf.DUMMYFUNCTION("""COMPUTED_VALUE"""),"")</f>
        <v/>
      </c>
      <c r="P187" s="247" t="str">
        <f t="shared" si="4"/>
        <v/>
      </c>
      <c r="Q187" s="320" t="str">
        <f>IFERROR(__xludf.DUMMYFUNCTION("""COMPUTED_VALUE"""),"")</f>
        <v/>
      </c>
      <c r="R187" s="259" t="str">
        <f>IFERROR(__xludf.DUMMYFUNCTION("""COMPUTED_VALUE"""),"")</f>
        <v/>
      </c>
      <c r="S187" s="250" t="str">
        <f t="shared" si="5"/>
        <v/>
      </c>
      <c r="T187" s="254" t="str">
        <f>IFERROR(__xludf.DUMMYFUNCTION("""COMPUTED_VALUE"""),"")</f>
        <v/>
      </c>
      <c r="U187" s="246" t="str">
        <f>IFERROR(__xludf.DUMMYFUNCTION("""COMPUTED_VALUE"""),"")</f>
        <v/>
      </c>
      <c r="V187" s="247" t="str">
        <f t="shared" si="6"/>
        <v/>
      </c>
      <c r="W187" s="255" t="str">
        <f>IFERROR(__xludf.DUMMYFUNCTION("""COMPUTED_VALUE"""),"")</f>
        <v/>
      </c>
      <c r="X187" s="249" t="str">
        <f>IFERROR(__xludf.DUMMYFUNCTION("""COMPUTED_VALUE"""),"")</f>
        <v/>
      </c>
      <c r="Y187" s="250" t="str">
        <f t="shared" si="7"/>
        <v/>
      </c>
    </row>
    <row r="188">
      <c r="A188" s="136" t="s">
        <v>18</v>
      </c>
      <c r="B188" s="146">
        <v>46106.0</v>
      </c>
      <c r="C188" s="136" t="s">
        <v>45</v>
      </c>
      <c r="D188" s="136" t="s">
        <v>149</v>
      </c>
      <c r="E188" s="256">
        <f>IFERROR(__xludf.DUMMYFUNCTION("""COMPUTED_VALUE"""),0.0)</f>
        <v>0</v>
      </c>
      <c r="F188" s="257">
        <f>IFERROR(__xludf.DUMMYFUNCTION("""COMPUTED_VALUE"""),0.0)</f>
        <v>0</v>
      </c>
      <c r="G188" s="247" t="str">
        <f t="shared" si="1"/>
        <v/>
      </c>
      <c r="H188" s="258">
        <f>IFERROR(__xludf.DUMMYFUNCTION("""COMPUTED_VALUE"""),129.0)</f>
        <v>129</v>
      </c>
      <c r="I188" s="259">
        <f>IFERROR(__xludf.DUMMYFUNCTION("""COMPUTED_VALUE"""),0.125)</f>
        <v>0.125</v>
      </c>
      <c r="J188" s="250">
        <f t="shared" si="2"/>
        <v>43</v>
      </c>
      <c r="K188" s="317">
        <f>IFERROR(__xludf.DUMMYFUNCTION("""COMPUTED_VALUE"""),128.0)</f>
        <v>128</v>
      </c>
      <c r="L188" s="318">
        <f>IFERROR(__xludf.DUMMYFUNCTION("""COMPUTED_VALUE"""),0.11666666666860692)</f>
        <v>0.1166666667</v>
      </c>
      <c r="M188" s="253">
        <f t="shared" si="3"/>
        <v>45.71428571</v>
      </c>
      <c r="N188" s="319">
        <f>IFERROR(__xludf.DUMMYFUNCTION("""COMPUTED_VALUE"""),0.0)</f>
        <v>0</v>
      </c>
      <c r="O188" s="257">
        <f>IFERROR(__xludf.DUMMYFUNCTION("""COMPUTED_VALUE"""),0.0)</f>
        <v>0</v>
      </c>
      <c r="P188" s="247" t="str">
        <f t="shared" si="4"/>
        <v/>
      </c>
      <c r="Q188" s="320">
        <f>IFERROR(__xludf.DUMMYFUNCTION("""COMPUTED_VALUE"""),230.0)</f>
        <v>230</v>
      </c>
      <c r="R188" s="259">
        <f>IFERROR(__xludf.DUMMYFUNCTION("""COMPUTED_VALUE"""),0.16666666666424135)</f>
        <v>0.1666666667</v>
      </c>
      <c r="S188" s="250">
        <f t="shared" si="5"/>
        <v>57.5</v>
      </c>
      <c r="T188" s="254">
        <f>IFERROR(__xludf.DUMMYFUNCTION("""COMPUTED_VALUE"""),0.0)</f>
        <v>0</v>
      </c>
      <c r="U188" s="246">
        <f>IFERROR(__xludf.DUMMYFUNCTION("""COMPUTED_VALUE"""),0.0)</f>
        <v>0</v>
      </c>
      <c r="V188" s="247" t="str">
        <f t="shared" si="6"/>
        <v/>
      </c>
      <c r="W188" s="255">
        <f>IFERROR(__xludf.DUMMYFUNCTION("""COMPUTED_VALUE"""),359.0)</f>
        <v>359</v>
      </c>
      <c r="X188" s="249">
        <f>IFERROR(__xludf.DUMMYFUNCTION("""COMPUTED_VALUE"""),0.29166666666424135)</f>
        <v>0.2916666667</v>
      </c>
      <c r="Y188" s="250">
        <f t="shared" si="7"/>
        <v>51.28571429</v>
      </c>
    </row>
    <row r="189">
      <c r="A189" s="136" t="s">
        <v>18</v>
      </c>
      <c r="B189" s="146">
        <v>46106.0</v>
      </c>
      <c r="C189" s="136" t="s">
        <v>45</v>
      </c>
      <c r="D189" s="136" t="s">
        <v>148</v>
      </c>
      <c r="E189" s="256" t="str">
        <f>IFERROR(__xludf.DUMMYFUNCTION("""COMPUTED_VALUE"""),"")</f>
        <v/>
      </c>
      <c r="F189" s="257" t="str">
        <f>IFERROR(__xludf.DUMMYFUNCTION("""COMPUTED_VALUE"""),"")</f>
        <v/>
      </c>
      <c r="G189" s="247" t="str">
        <f t="shared" si="1"/>
        <v/>
      </c>
      <c r="H189" s="258" t="str">
        <f>IFERROR(__xludf.DUMMYFUNCTION("""COMPUTED_VALUE"""),"")</f>
        <v/>
      </c>
      <c r="I189" s="259" t="str">
        <f>IFERROR(__xludf.DUMMYFUNCTION("""COMPUTED_VALUE"""),"")</f>
        <v/>
      </c>
      <c r="J189" s="250" t="str">
        <f t="shared" si="2"/>
        <v/>
      </c>
      <c r="K189" s="317" t="str">
        <f>IFERROR(__xludf.DUMMYFUNCTION("""COMPUTED_VALUE"""),"")</f>
        <v/>
      </c>
      <c r="L189" s="318" t="str">
        <f>IFERROR(__xludf.DUMMYFUNCTION("""COMPUTED_VALUE"""),"")</f>
        <v/>
      </c>
      <c r="M189" s="253" t="str">
        <f t="shared" si="3"/>
        <v/>
      </c>
      <c r="N189" s="319" t="str">
        <f>IFERROR(__xludf.DUMMYFUNCTION("""COMPUTED_VALUE"""),"")</f>
        <v/>
      </c>
      <c r="O189" s="257" t="str">
        <f>IFERROR(__xludf.DUMMYFUNCTION("""COMPUTED_VALUE"""),"")</f>
        <v/>
      </c>
      <c r="P189" s="247" t="str">
        <f t="shared" si="4"/>
        <v/>
      </c>
      <c r="Q189" s="320" t="str">
        <f>IFERROR(__xludf.DUMMYFUNCTION("""COMPUTED_VALUE"""),"")</f>
        <v/>
      </c>
      <c r="R189" s="259" t="str">
        <f>IFERROR(__xludf.DUMMYFUNCTION("""COMPUTED_VALUE"""),"")</f>
        <v/>
      </c>
      <c r="S189" s="250" t="str">
        <f t="shared" si="5"/>
        <v/>
      </c>
      <c r="T189" s="254" t="str">
        <f>IFERROR(__xludf.DUMMYFUNCTION("""COMPUTED_VALUE"""),"")</f>
        <v/>
      </c>
      <c r="U189" s="246" t="str">
        <f>IFERROR(__xludf.DUMMYFUNCTION("""COMPUTED_VALUE"""),"")</f>
        <v/>
      </c>
      <c r="V189" s="247" t="str">
        <f t="shared" si="6"/>
        <v/>
      </c>
      <c r="W189" s="255" t="str">
        <f>IFERROR(__xludf.DUMMYFUNCTION("""COMPUTED_VALUE"""),"")</f>
        <v/>
      </c>
      <c r="X189" s="249" t="str">
        <f>IFERROR(__xludf.DUMMYFUNCTION("""COMPUTED_VALUE"""),"")</f>
        <v/>
      </c>
      <c r="Y189" s="250" t="str">
        <f t="shared" si="7"/>
        <v/>
      </c>
    </row>
    <row r="190">
      <c r="A190" s="136" t="s">
        <v>12</v>
      </c>
      <c r="B190" s="146">
        <v>46107.0</v>
      </c>
      <c r="C190" s="136" t="s">
        <v>49</v>
      </c>
      <c r="D190" s="136" t="s">
        <v>149</v>
      </c>
      <c r="E190" s="256" t="str">
        <f>IFERROR(__xludf.DUMMYFUNCTION("""COMPUTED_VALUE"""),"")</f>
        <v/>
      </c>
      <c r="F190" s="257" t="str">
        <f>IFERROR(__xludf.DUMMYFUNCTION("""COMPUTED_VALUE"""),"")</f>
        <v/>
      </c>
      <c r="G190" s="247" t="str">
        <f t="shared" si="1"/>
        <v/>
      </c>
      <c r="H190" s="258" t="str">
        <f>IFERROR(__xludf.DUMMYFUNCTION("""COMPUTED_VALUE"""),"")</f>
        <v/>
      </c>
      <c r="I190" s="259" t="str">
        <f>IFERROR(__xludf.DUMMYFUNCTION("""COMPUTED_VALUE"""),"")</f>
        <v/>
      </c>
      <c r="J190" s="250" t="str">
        <f t="shared" si="2"/>
        <v/>
      </c>
      <c r="K190" s="317" t="str">
        <f>IFERROR(__xludf.DUMMYFUNCTION("""COMPUTED_VALUE"""),"")</f>
        <v/>
      </c>
      <c r="L190" s="318" t="str">
        <f>IFERROR(__xludf.DUMMYFUNCTION("""COMPUTED_VALUE"""),"")</f>
        <v/>
      </c>
      <c r="M190" s="253" t="str">
        <f t="shared" si="3"/>
        <v/>
      </c>
      <c r="N190" s="319" t="str">
        <f>IFERROR(__xludf.DUMMYFUNCTION("""COMPUTED_VALUE"""),"")</f>
        <v/>
      </c>
      <c r="O190" s="257" t="str">
        <f>IFERROR(__xludf.DUMMYFUNCTION("""COMPUTED_VALUE"""),"")</f>
        <v/>
      </c>
      <c r="P190" s="247" t="str">
        <f t="shared" si="4"/>
        <v/>
      </c>
      <c r="Q190" s="320" t="str">
        <f>IFERROR(__xludf.DUMMYFUNCTION("""COMPUTED_VALUE"""),"")</f>
        <v/>
      </c>
      <c r="R190" s="259" t="str">
        <f>IFERROR(__xludf.DUMMYFUNCTION("""COMPUTED_VALUE"""),"")</f>
        <v/>
      </c>
      <c r="S190" s="250" t="str">
        <f t="shared" si="5"/>
        <v/>
      </c>
      <c r="T190" s="254" t="str">
        <f>IFERROR(__xludf.DUMMYFUNCTION("""COMPUTED_VALUE"""),"")</f>
        <v/>
      </c>
      <c r="U190" s="246" t="str">
        <f>IFERROR(__xludf.DUMMYFUNCTION("""COMPUTED_VALUE"""),"")</f>
        <v/>
      </c>
      <c r="V190" s="247" t="str">
        <f t="shared" si="6"/>
        <v/>
      </c>
      <c r="W190" s="255" t="str">
        <f>IFERROR(__xludf.DUMMYFUNCTION("""COMPUTED_VALUE"""),"")</f>
        <v/>
      </c>
      <c r="X190" s="249" t="str">
        <f>IFERROR(__xludf.DUMMYFUNCTION("""COMPUTED_VALUE"""),"")</f>
        <v/>
      </c>
      <c r="Y190" s="250" t="str">
        <f t="shared" si="7"/>
        <v/>
      </c>
    </row>
    <row r="191">
      <c r="A191" s="136" t="s">
        <v>134</v>
      </c>
      <c r="B191" s="146">
        <v>46107.0</v>
      </c>
      <c r="C191" s="136" t="s">
        <v>49</v>
      </c>
      <c r="D191" s="136" t="s">
        <v>149</v>
      </c>
      <c r="E191" s="256" t="str">
        <f>IFERROR(__xludf.DUMMYFUNCTION("""COMPUTED_VALUE"""),"")</f>
        <v/>
      </c>
      <c r="F191" s="257" t="str">
        <f>IFERROR(__xludf.DUMMYFUNCTION("""COMPUTED_VALUE"""),"")</f>
        <v/>
      </c>
      <c r="G191" s="247" t="str">
        <f t="shared" si="1"/>
        <v/>
      </c>
      <c r="H191" s="258" t="str">
        <f>IFERROR(__xludf.DUMMYFUNCTION("""COMPUTED_VALUE"""),"")</f>
        <v/>
      </c>
      <c r="I191" s="259" t="str">
        <f>IFERROR(__xludf.DUMMYFUNCTION("""COMPUTED_VALUE"""),"")</f>
        <v/>
      </c>
      <c r="J191" s="250" t="str">
        <f t="shared" si="2"/>
        <v/>
      </c>
      <c r="K191" s="317" t="str">
        <f>IFERROR(__xludf.DUMMYFUNCTION("""COMPUTED_VALUE"""),"")</f>
        <v/>
      </c>
      <c r="L191" s="318" t="str">
        <f>IFERROR(__xludf.DUMMYFUNCTION("""COMPUTED_VALUE"""),"")</f>
        <v/>
      </c>
      <c r="M191" s="253" t="str">
        <f t="shared" si="3"/>
        <v/>
      </c>
      <c r="N191" s="319" t="str">
        <f>IFERROR(__xludf.DUMMYFUNCTION("""COMPUTED_VALUE"""),"")</f>
        <v/>
      </c>
      <c r="O191" s="257" t="str">
        <f>IFERROR(__xludf.DUMMYFUNCTION("""COMPUTED_VALUE"""),"")</f>
        <v/>
      </c>
      <c r="P191" s="247" t="str">
        <f t="shared" si="4"/>
        <v/>
      </c>
      <c r="Q191" s="320" t="str">
        <f>IFERROR(__xludf.DUMMYFUNCTION("""COMPUTED_VALUE"""),"")</f>
        <v/>
      </c>
      <c r="R191" s="259" t="str">
        <f>IFERROR(__xludf.DUMMYFUNCTION("""COMPUTED_VALUE"""),"")</f>
        <v/>
      </c>
      <c r="S191" s="250" t="str">
        <f t="shared" si="5"/>
        <v/>
      </c>
      <c r="T191" s="254" t="str">
        <f>IFERROR(__xludf.DUMMYFUNCTION("""COMPUTED_VALUE"""),"")</f>
        <v/>
      </c>
      <c r="U191" s="246" t="str">
        <f>IFERROR(__xludf.DUMMYFUNCTION("""COMPUTED_VALUE"""),"")</f>
        <v/>
      </c>
      <c r="V191" s="247" t="str">
        <f t="shared" si="6"/>
        <v/>
      </c>
      <c r="W191" s="255" t="str">
        <f>IFERROR(__xludf.DUMMYFUNCTION("""COMPUTED_VALUE"""),"")</f>
        <v/>
      </c>
      <c r="X191" s="249" t="str">
        <f>IFERROR(__xludf.DUMMYFUNCTION("""COMPUTED_VALUE"""),"")</f>
        <v/>
      </c>
      <c r="Y191" s="250" t="str">
        <f t="shared" si="7"/>
        <v/>
      </c>
    </row>
    <row r="192">
      <c r="A192" s="136" t="s">
        <v>15</v>
      </c>
      <c r="B192" s="146">
        <v>46107.0</v>
      </c>
      <c r="C192" s="136" t="s">
        <v>49</v>
      </c>
      <c r="D192" s="136" t="s">
        <v>148</v>
      </c>
      <c r="E192" s="256" t="str">
        <f>IFERROR(__xludf.DUMMYFUNCTION("""COMPUTED_VALUE"""),"")</f>
        <v/>
      </c>
      <c r="F192" s="257" t="str">
        <f>IFERROR(__xludf.DUMMYFUNCTION("""COMPUTED_VALUE"""),"")</f>
        <v/>
      </c>
      <c r="G192" s="247" t="str">
        <f t="shared" si="1"/>
        <v/>
      </c>
      <c r="H192" s="258" t="str">
        <f>IFERROR(__xludf.DUMMYFUNCTION("""COMPUTED_VALUE"""),"")</f>
        <v/>
      </c>
      <c r="I192" s="259" t="str">
        <f>IFERROR(__xludf.DUMMYFUNCTION("""COMPUTED_VALUE"""),"")</f>
        <v/>
      </c>
      <c r="J192" s="250" t="str">
        <f t="shared" si="2"/>
        <v/>
      </c>
      <c r="K192" s="317" t="str">
        <f>IFERROR(__xludf.DUMMYFUNCTION("""COMPUTED_VALUE"""),"")</f>
        <v/>
      </c>
      <c r="L192" s="318" t="str">
        <f>IFERROR(__xludf.DUMMYFUNCTION("""COMPUTED_VALUE"""),"")</f>
        <v/>
      </c>
      <c r="M192" s="253" t="str">
        <f t="shared" si="3"/>
        <v/>
      </c>
      <c r="N192" s="319" t="str">
        <f>IFERROR(__xludf.DUMMYFUNCTION("""COMPUTED_VALUE"""),"")</f>
        <v/>
      </c>
      <c r="O192" s="257" t="str">
        <f>IFERROR(__xludf.DUMMYFUNCTION("""COMPUTED_VALUE"""),"")</f>
        <v/>
      </c>
      <c r="P192" s="247" t="str">
        <f t="shared" si="4"/>
        <v/>
      </c>
      <c r="Q192" s="320" t="str">
        <f>IFERROR(__xludf.DUMMYFUNCTION("""COMPUTED_VALUE"""),"")</f>
        <v/>
      </c>
      <c r="R192" s="259" t="str">
        <f>IFERROR(__xludf.DUMMYFUNCTION("""COMPUTED_VALUE"""),"")</f>
        <v/>
      </c>
      <c r="S192" s="250" t="str">
        <f t="shared" si="5"/>
        <v/>
      </c>
      <c r="T192" s="254" t="str">
        <f>IFERROR(__xludf.DUMMYFUNCTION("""COMPUTED_VALUE"""),"")</f>
        <v/>
      </c>
      <c r="U192" s="246" t="str">
        <f>IFERROR(__xludf.DUMMYFUNCTION("""COMPUTED_VALUE"""),"")</f>
        <v/>
      </c>
      <c r="V192" s="247" t="str">
        <f t="shared" si="6"/>
        <v/>
      </c>
      <c r="W192" s="255" t="str">
        <f>IFERROR(__xludf.DUMMYFUNCTION("""COMPUTED_VALUE"""),"")</f>
        <v/>
      </c>
      <c r="X192" s="249" t="str">
        <f>IFERROR(__xludf.DUMMYFUNCTION("""COMPUTED_VALUE"""),"")</f>
        <v/>
      </c>
      <c r="Y192" s="250" t="str">
        <f t="shared" si="7"/>
        <v/>
      </c>
    </row>
    <row r="193">
      <c r="A193" s="136" t="s">
        <v>15</v>
      </c>
      <c r="B193" s="146">
        <v>46107.0</v>
      </c>
      <c r="C193" s="136" t="s">
        <v>49</v>
      </c>
      <c r="D193" s="136" t="s">
        <v>149</v>
      </c>
      <c r="E193" s="256">
        <f>IFERROR(__xludf.DUMMYFUNCTION("""COMPUTED_VALUE"""),60.0)</f>
        <v>60</v>
      </c>
      <c r="F193" s="257">
        <f>IFERROR(__xludf.DUMMYFUNCTION("""COMPUTED_VALUE"""),0.05208333333575865)</f>
        <v>0.05208333334</v>
      </c>
      <c r="G193" s="247">
        <f t="shared" si="1"/>
        <v>48</v>
      </c>
      <c r="H193" s="258">
        <f>IFERROR(__xludf.DUMMYFUNCTION("""COMPUTED_VALUE"""),0.0)</f>
        <v>0</v>
      </c>
      <c r="I193" s="259">
        <f>IFERROR(__xludf.DUMMYFUNCTION("""COMPUTED_VALUE"""),0.0)</f>
        <v>0</v>
      </c>
      <c r="J193" s="250" t="str">
        <f t="shared" si="2"/>
        <v/>
      </c>
      <c r="K193" s="317">
        <f>IFERROR(__xludf.DUMMYFUNCTION("""COMPUTED_VALUE"""),10.0)</f>
        <v>10</v>
      </c>
      <c r="L193" s="318">
        <f>IFERROR(__xludf.DUMMYFUNCTION("""COMPUTED_VALUE"""),0.07013888889196096)</f>
        <v>0.07013888889</v>
      </c>
      <c r="M193" s="253">
        <f t="shared" si="3"/>
        <v>5.940594059</v>
      </c>
      <c r="N193" s="319">
        <f>IFERROR(__xludf.DUMMYFUNCTION("""COMPUTED_VALUE"""),111.0)</f>
        <v>111</v>
      </c>
      <c r="O193" s="257">
        <f>IFERROR(__xludf.DUMMYFUNCTION("""COMPUTED_VALUE"""),0.07569444444379769)</f>
        <v>0.07569444444</v>
      </c>
      <c r="P193" s="247">
        <f t="shared" si="4"/>
        <v>61.10091743</v>
      </c>
      <c r="Q193" s="320">
        <f>IFERROR(__xludf.DUMMYFUNCTION("""COMPUTED_VALUE"""),146.0)</f>
        <v>146</v>
      </c>
      <c r="R193" s="259">
        <f>IFERROR(__xludf.DUMMYFUNCTION("""COMPUTED_VALUE"""),0.15972222221898846)</f>
        <v>0.1597222222</v>
      </c>
      <c r="S193" s="250">
        <f t="shared" si="5"/>
        <v>38.08695652</v>
      </c>
      <c r="T193" s="254">
        <f>IFERROR(__xludf.DUMMYFUNCTION("""COMPUTED_VALUE"""),171.0)</f>
        <v>171</v>
      </c>
      <c r="U193" s="246">
        <f>IFERROR(__xludf.DUMMYFUNCTION("""COMPUTED_VALUE"""),0.12777777777955635)</f>
        <v>0.1277777778</v>
      </c>
      <c r="V193" s="247">
        <f t="shared" si="6"/>
        <v>55.76086956</v>
      </c>
      <c r="W193" s="255">
        <f>IFERROR(__xludf.DUMMYFUNCTION("""COMPUTED_VALUE"""),146.0)</f>
        <v>146</v>
      </c>
      <c r="X193" s="249">
        <f>IFERROR(__xludf.DUMMYFUNCTION("""COMPUTED_VALUE"""),0.15972222221898846)</f>
        <v>0.1597222222</v>
      </c>
      <c r="Y193" s="250">
        <f t="shared" si="7"/>
        <v>38.08695652</v>
      </c>
    </row>
    <row r="194">
      <c r="A194" s="136" t="s">
        <v>18</v>
      </c>
      <c r="B194" s="146">
        <v>46107.0</v>
      </c>
      <c r="C194" s="136" t="s">
        <v>49</v>
      </c>
      <c r="D194" s="136" t="s">
        <v>149</v>
      </c>
      <c r="E194" s="256" t="str">
        <f>IFERROR(__xludf.DUMMYFUNCTION("""COMPUTED_VALUE"""),"")</f>
        <v/>
      </c>
      <c r="F194" s="257" t="str">
        <f>IFERROR(__xludf.DUMMYFUNCTION("""COMPUTED_VALUE"""),"")</f>
        <v/>
      </c>
      <c r="G194" s="247" t="str">
        <f t="shared" si="1"/>
        <v/>
      </c>
      <c r="H194" s="258" t="str">
        <f>IFERROR(__xludf.DUMMYFUNCTION("""COMPUTED_VALUE"""),"")</f>
        <v/>
      </c>
      <c r="I194" s="259" t="str">
        <f>IFERROR(__xludf.DUMMYFUNCTION("""COMPUTED_VALUE"""),"")</f>
        <v/>
      </c>
      <c r="J194" s="250" t="str">
        <f t="shared" si="2"/>
        <v/>
      </c>
      <c r="K194" s="317" t="str">
        <f>IFERROR(__xludf.DUMMYFUNCTION("""COMPUTED_VALUE"""),"")</f>
        <v/>
      </c>
      <c r="L194" s="318" t="str">
        <f>IFERROR(__xludf.DUMMYFUNCTION("""COMPUTED_VALUE"""),"")</f>
        <v/>
      </c>
      <c r="M194" s="253" t="str">
        <f t="shared" si="3"/>
        <v/>
      </c>
      <c r="N194" s="319" t="str">
        <f>IFERROR(__xludf.DUMMYFUNCTION("""COMPUTED_VALUE"""),"")</f>
        <v/>
      </c>
      <c r="O194" s="257" t="str">
        <f>IFERROR(__xludf.DUMMYFUNCTION("""COMPUTED_VALUE"""),"")</f>
        <v/>
      </c>
      <c r="P194" s="247" t="str">
        <f t="shared" si="4"/>
        <v/>
      </c>
      <c r="Q194" s="320" t="str">
        <f>IFERROR(__xludf.DUMMYFUNCTION("""COMPUTED_VALUE"""),"")</f>
        <v/>
      </c>
      <c r="R194" s="259" t="str">
        <f>IFERROR(__xludf.DUMMYFUNCTION("""COMPUTED_VALUE"""),"")</f>
        <v/>
      </c>
      <c r="S194" s="250" t="str">
        <f t="shared" si="5"/>
        <v/>
      </c>
      <c r="T194" s="254" t="str">
        <f>IFERROR(__xludf.DUMMYFUNCTION("""COMPUTED_VALUE"""),"")</f>
        <v/>
      </c>
      <c r="U194" s="246" t="str">
        <f>IFERROR(__xludf.DUMMYFUNCTION("""COMPUTED_VALUE"""),"")</f>
        <v/>
      </c>
      <c r="V194" s="247" t="str">
        <f t="shared" si="6"/>
        <v/>
      </c>
      <c r="W194" s="255" t="str">
        <f>IFERROR(__xludf.DUMMYFUNCTION("""COMPUTED_VALUE"""),"")</f>
        <v/>
      </c>
      <c r="X194" s="249" t="str">
        <f>IFERROR(__xludf.DUMMYFUNCTION("""COMPUTED_VALUE"""),"")</f>
        <v/>
      </c>
      <c r="Y194" s="250" t="str">
        <f t="shared" si="7"/>
        <v/>
      </c>
    </row>
    <row r="195">
      <c r="A195" s="136" t="s">
        <v>15</v>
      </c>
      <c r="B195" s="146">
        <v>46108.0</v>
      </c>
      <c r="C195" s="136" t="s">
        <v>53</v>
      </c>
      <c r="D195" s="136" t="s">
        <v>149</v>
      </c>
      <c r="E195" s="256" t="str">
        <f>IFERROR(__xludf.DUMMYFUNCTION("""COMPUTED_VALUE"""),"")</f>
        <v/>
      </c>
      <c r="F195" s="257" t="str">
        <f>IFERROR(__xludf.DUMMYFUNCTION("""COMPUTED_VALUE"""),"")</f>
        <v/>
      </c>
      <c r="G195" s="247" t="str">
        <f t="shared" si="1"/>
        <v/>
      </c>
      <c r="H195" s="258" t="str">
        <f>IFERROR(__xludf.DUMMYFUNCTION("""COMPUTED_VALUE"""),"")</f>
        <v/>
      </c>
      <c r="I195" s="259" t="str">
        <f>IFERROR(__xludf.DUMMYFUNCTION("""COMPUTED_VALUE"""),"")</f>
        <v/>
      </c>
      <c r="J195" s="250" t="str">
        <f t="shared" si="2"/>
        <v/>
      </c>
      <c r="K195" s="317" t="str">
        <f>IFERROR(__xludf.DUMMYFUNCTION("""COMPUTED_VALUE"""),"")</f>
        <v/>
      </c>
      <c r="L195" s="318" t="str">
        <f>IFERROR(__xludf.DUMMYFUNCTION("""COMPUTED_VALUE"""),"")</f>
        <v/>
      </c>
      <c r="M195" s="253" t="str">
        <f t="shared" si="3"/>
        <v/>
      </c>
      <c r="N195" s="319" t="str">
        <f>IFERROR(__xludf.DUMMYFUNCTION("""COMPUTED_VALUE"""),"")</f>
        <v/>
      </c>
      <c r="O195" s="257" t="str">
        <f>IFERROR(__xludf.DUMMYFUNCTION("""COMPUTED_VALUE"""),"")</f>
        <v/>
      </c>
      <c r="P195" s="247" t="str">
        <f t="shared" si="4"/>
        <v/>
      </c>
      <c r="Q195" s="320" t="str">
        <f>IFERROR(__xludf.DUMMYFUNCTION("""COMPUTED_VALUE"""),"")</f>
        <v/>
      </c>
      <c r="R195" s="259" t="str">
        <f>IFERROR(__xludf.DUMMYFUNCTION("""COMPUTED_VALUE"""),"")</f>
        <v/>
      </c>
      <c r="S195" s="250" t="str">
        <f t="shared" si="5"/>
        <v/>
      </c>
      <c r="T195" s="254" t="str">
        <f>IFERROR(__xludf.DUMMYFUNCTION("""COMPUTED_VALUE"""),"")</f>
        <v/>
      </c>
      <c r="U195" s="246" t="str">
        <f>IFERROR(__xludf.DUMMYFUNCTION("""COMPUTED_VALUE"""),"")</f>
        <v/>
      </c>
      <c r="V195" s="247" t="str">
        <f t="shared" si="6"/>
        <v/>
      </c>
      <c r="W195" s="255" t="str">
        <f>IFERROR(__xludf.DUMMYFUNCTION("""COMPUTED_VALUE"""),"")</f>
        <v/>
      </c>
      <c r="X195" s="249" t="str">
        <f>IFERROR(__xludf.DUMMYFUNCTION("""COMPUTED_VALUE"""),"")</f>
        <v/>
      </c>
      <c r="Y195" s="250" t="str">
        <f t="shared" si="7"/>
        <v/>
      </c>
    </row>
    <row r="196">
      <c r="A196" s="136" t="s">
        <v>12</v>
      </c>
      <c r="B196" s="146">
        <v>46108.0</v>
      </c>
      <c r="C196" s="136" t="s">
        <v>53</v>
      </c>
      <c r="D196" s="136" t="s">
        <v>149</v>
      </c>
      <c r="E196" s="256" t="str">
        <f>IFERROR(__xludf.DUMMYFUNCTION("""COMPUTED_VALUE"""),"")</f>
        <v/>
      </c>
      <c r="F196" s="257" t="str">
        <f>IFERROR(__xludf.DUMMYFUNCTION("""COMPUTED_VALUE"""),"")</f>
        <v/>
      </c>
      <c r="G196" s="247" t="str">
        <f t="shared" si="1"/>
        <v/>
      </c>
      <c r="H196" s="258" t="str">
        <f>IFERROR(__xludf.DUMMYFUNCTION("""COMPUTED_VALUE"""),"")</f>
        <v/>
      </c>
      <c r="I196" s="259" t="str">
        <f>IFERROR(__xludf.DUMMYFUNCTION("""COMPUTED_VALUE"""),"")</f>
        <v/>
      </c>
      <c r="J196" s="250" t="str">
        <f t="shared" si="2"/>
        <v/>
      </c>
      <c r="K196" s="317" t="str">
        <f>IFERROR(__xludf.DUMMYFUNCTION("""COMPUTED_VALUE"""),"")</f>
        <v/>
      </c>
      <c r="L196" s="318" t="str">
        <f>IFERROR(__xludf.DUMMYFUNCTION("""COMPUTED_VALUE"""),"")</f>
        <v/>
      </c>
      <c r="M196" s="253" t="str">
        <f t="shared" si="3"/>
        <v/>
      </c>
      <c r="N196" s="319" t="str">
        <f>IFERROR(__xludf.DUMMYFUNCTION("""COMPUTED_VALUE"""),"")</f>
        <v/>
      </c>
      <c r="O196" s="257" t="str">
        <f>IFERROR(__xludf.DUMMYFUNCTION("""COMPUTED_VALUE"""),"")</f>
        <v/>
      </c>
      <c r="P196" s="247" t="str">
        <f t="shared" si="4"/>
        <v/>
      </c>
      <c r="Q196" s="320" t="str">
        <f>IFERROR(__xludf.DUMMYFUNCTION("""COMPUTED_VALUE"""),"")</f>
        <v/>
      </c>
      <c r="R196" s="259" t="str">
        <f>IFERROR(__xludf.DUMMYFUNCTION("""COMPUTED_VALUE"""),"")</f>
        <v/>
      </c>
      <c r="S196" s="250" t="str">
        <f t="shared" si="5"/>
        <v/>
      </c>
      <c r="T196" s="254" t="str">
        <f>IFERROR(__xludf.DUMMYFUNCTION("""COMPUTED_VALUE"""),"")</f>
        <v/>
      </c>
      <c r="U196" s="246" t="str">
        <f>IFERROR(__xludf.DUMMYFUNCTION("""COMPUTED_VALUE"""),"")</f>
        <v/>
      </c>
      <c r="V196" s="247" t="str">
        <f t="shared" si="6"/>
        <v/>
      </c>
      <c r="W196" s="255" t="str">
        <f>IFERROR(__xludf.DUMMYFUNCTION("""COMPUTED_VALUE"""),"")</f>
        <v/>
      </c>
      <c r="X196" s="249" t="str">
        <f>IFERROR(__xludf.DUMMYFUNCTION("""COMPUTED_VALUE"""),"")</f>
        <v/>
      </c>
      <c r="Y196" s="250" t="str">
        <f t="shared" si="7"/>
        <v/>
      </c>
    </row>
    <row r="197">
      <c r="A197" s="136" t="s">
        <v>15</v>
      </c>
      <c r="B197" s="146">
        <v>46108.0</v>
      </c>
      <c r="C197" s="136" t="s">
        <v>53</v>
      </c>
      <c r="D197" s="136" t="s">
        <v>148</v>
      </c>
      <c r="E197" s="256" t="str">
        <f>IFERROR(__xludf.DUMMYFUNCTION("""COMPUTED_VALUE"""),"")</f>
        <v/>
      </c>
      <c r="F197" s="257" t="str">
        <f>IFERROR(__xludf.DUMMYFUNCTION("""COMPUTED_VALUE"""),"")</f>
        <v/>
      </c>
      <c r="G197" s="247" t="str">
        <f t="shared" si="1"/>
        <v/>
      </c>
      <c r="H197" s="258" t="str">
        <f>IFERROR(__xludf.DUMMYFUNCTION("""COMPUTED_VALUE"""),"")</f>
        <v/>
      </c>
      <c r="I197" s="259" t="str">
        <f>IFERROR(__xludf.DUMMYFUNCTION("""COMPUTED_VALUE"""),"")</f>
        <v/>
      </c>
      <c r="J197" s="250" t="str">
        <f t="shared" si="2"/>
        <v/>
      </c>
      <c r="K197" s="317" t="str">
        <f>IFERROR(__xludf.DUMMYFUNCTION("""COMPUTED_VALUE"""),"")</f>
        <v/>
      </c>
      <c r="L197" s="318" t="str">
        <f>IFERROR(__xludf.DUMMYFUNCTION("""COMPUTED_VALUE"""),"")</f>
        <v/>
      </c>
      <c r="M197" s="253" t="str">
        <f t="shared" si="3"/>
        <v/>
      </c>
      <c r="N197" s="319" t="str">
        <f>IFERROR(__xludf.DUMMYFUNCTION("""COMPUTED_VALUE"""),"")</f>
        <v/>
      </c>
      <c r="O197" s="257" t="str">
        <f>IFERROR(__xludf.DUMMYFUNCTION("""COMPUTED_VALUE"""),"")</f>
        <v/>
      </c>
      <c r="P197" s="247" t="str">
        <f t="shared" si="4"/>
        <v/>
      </c>
      <c r="Q197" s="320" t="str">
        <f>IFERROR(__xludf.DUMMYFUNCTION("""COMPUTED_VALUE"""),"")</f>
        <v/>
      </c>
      <c r="R197" s="259" t="str">
        <f>IFERROR(__xludf.DUMMYFUNCTION("""COMPUTED_VALUE"""),"")</f>
        <v/>
      </c>
      <c r="S197" s="250" t="str">
        <f t="shared" si="5"/>
        <v/>
      </c>
      <c r="T197" s="254" t="str">
        <f>IFERROR(__xludf.DUMMYFUNCTION("""COMPUTED_VALUE"""),"")</f>
        <v/>
      </c>
      <c r="U197" s="246" t="str">
        <f>IFERROR(__xludf.DUMMYFUNCTION("""COMPUTED_VALUE"""),"")</f>
        <v/>
      </c>
      <c r="V197" s="247" t="str">
        <f t="shared" si="6"/>
        <v/>
      </c>
      <c r="W197" s="255" t="str">
        <f>IFERROR(__xludf.DUMMYFUNCTION("""COMPUTED_VALUE"""),"")</f>
        <v/>
      </c>
      <c r="X197" s="249" t="str">
        <f>IFERROR(__xludf.DUMMYFUNCTION("""COMPUTED_VALUE"""),"")</f>
        <v/>
      </c>
      <c r="Y197" s="250" t="str">
        <f t="shared" si="7"/>
        <v/>
      </c>
    </row>
    <row r="198">
      <c r="A198" s="136" t="s">
        <v>15</v>
      </c>
      <c r="B198" s="146">
        <v>46108.0</v>
      </c>
      <c r="C198" s="136" t="s">
        <v>53</v>
      </c>
      <c r="D198" s="136" t="s">
        <v>149</v>
      </c>
      <c r="E198" s="256" t="str">
        <f>IFERROR(__xludf.DUMMYFUNCTION("""COMPUTED_VALUE"""),"")</f>
        <v/>
      </c>
      <c r="F198" s="257" t="str">
        <f>IFERROR(__xludf.DUMMYFUNCTION("""COMPUTED_VALUE"""),"")</f>
        <v/>
      </c>
      <c r="G198" s="247" t="str">
        <f t="shared" si="1"/>
        <v/>
      </c>
      <c r="H198" s="258" t="str">
        <f>IFERROR(__xludf.DUMMYFUNCTION("""COMPUTED_VALUE"""),"")</f>
        <v/>
      </c>
      <c r="I198" s="259" t="str">
        <f>IFERROR(__xludf.DUMMYFUNCTION("""COMPUTED_VALUE"""),"")</f>
        <v/>
      </c>
      <c r="J198" s="250" t="str">
        <f t="shared" si="2"/>
        <v/>
      </c>
      <c r="K198" s="317" t="str">
        <f>IFERROR(__xludf.DUMMYFUNCTION("""COMPUTED_VALUE"""),"")</f>
        <v/>
      </c>
      <c r="L198" s="318" t="str">
        <f>IFERROR(__xludf.DUMMYFUNCTION("""COMPUTED_VALUE"""),"")</f>
        <v/>
      </c>
      <c r="M198" s="253" t="str">
        <f t="shared" si="3"/>
        <v/>
      </c>
      <c r="N198" s="319" t="str">
        <f>IFERROR(__xludf.DUMMYFUNCTION("""COMPUTED_VALUE"""),"")</f>
        <v/>
      </c>
      <c r="O198" s="257" t="str">
        <f>IFERROR(__xludf.DUMMYFUNCTION("""COMPUTED_VALUE"""),"")</f>
        <v/>
      </c>
      <c r="P198" s="247" t="str">
        <f t="shared" si="4"/>
        <v/>
      </c>
      <c r="Q198" s="320" t="str">
        <f>IFERROR(__xludf.DUMMYFUNCTION("""COMPUTED_VALUE"""),"")</f>
        <v/>
      </c>
      <c r="R198" s="259" t="str">
        <f>IFERROR(__xludf.DUMMYFUNCTION("""COMPUTED_VALUE"""),"")</f>
        <v/>
      </c>
      <c r="S198" s="250" t="str">
        <f t="shared" si="5"/>
        <v/>
      </c>
      <c r="T198" s="254" t="str">
        <f>IFERROR(__xludf.DUMMYFUNCTION("""COMPUTED_VALUE"""),"")</f>
        <v/>
      </c>
      <c r="U198" s="246" t="str">
        <f>IFERROR(__xludf.DUMMYFUNCTION("""COMPUTED_VALUE"""),"")</f>
        <v/>
      </c>
      <c r="V198" s="247" t="str">
        <f t="shared" si="6"/>
        <v/>
      </c>
      <c r="W198" s="255" t="str">
        <f>IFERROR(__xludf.DUMMYFUNCTION("""COMPUTED_VALUE"""),"")</f>
        <v/>
      </c>
      <c r="X198" s="249" t="str">
        <f>IFERROR(__xludf.DUMMYFUNCTION("""COMPUTED_VALUE"""),"")</f>
        <v/>
      </c>
      <c r="Y198" s="250" t="str">
        <f t="shared" si="7"/>
        <v/>
      </c>
    </row>
    <row r="199">
      <c r="A199" s="136" t="s">
        <v>18</v>
      </c>
      <c r="B199" s="146">
        <v>46108.0</v>
      </c>
      <c r="C199" s="136" t="s">
        <v>53</v>
      </c>
      <c r="D199" s="136" t="s">
        <v>148</v>
      </c>
      <c r="E199" s="256">
        <f>IFERROR(__xludf.DUMMYFUNCTION("""COMPUTED_VALUE"""),60.0)</f>
        <v>60</v>
      </c>
      <c r="F199" s="257">
        <f>IFERROR(__xludf.DUMMYFUNCTION("""COMPUTED_VALUE"""),0.052083333328482695)</f>
        <v>0.05208333333</v>
      </c>
      <c r="G199" s="247">
        <f t="shared" si="1"/>
        <v>48</v>
      </c>
      <c r="H199" s="258">
        <f>IFERROR(__xludf.DUMMYFUNCTION("""COMPUTED_VALUE"""),238.0)</f>
        <v>238</v>
      </c>
      <c r="I199" s="259">
        <f>IFERROR(__xludf.DUMMYFUNCTION("""COMPUTED_VALUE"""),0.06805555555798093)</f>
        <v>0.06805555556</v>
      </c>
      <c r="J199" s="250">
        <f t="shared" si="2"/>
        <v>145.7142857</v>
      </c>
      <c r="K199" s="317">
        <f>IFERROR(__xludf.DUMMYFUNCTION("""COMPUTED_VALUE"""),56.0)</f>
        <v>56</v>
      </c>
      <c r="L199" s="318">
        <f>IFERROR(__xludf.DUMMYFUNCTION("""COMPUTED_VALUE"""),0.0625)</f>
        <v>0.0625</v>
      </c>
      <c r="M199" s="253">
        <f t="shared" si="3"/>
        <v>37.33333333</v>
      </c>
      <c r="N199" s="319">
        <f>IFERROR(__xludf.DUMMYFUNCTION("""COMPUTED_VALUE"""),165.0)</f>
        <v>165</v>
      </c>
      <c r="O199" s="257">
        <f>IFERROR(__xludf.DUMMYFUNCTION("""COMPUTED_VALUE"""),0.18680555555329192)</f>
        <v>0.1868055556</v>
      </c>
      <c r="P199" s="247">
        <f t="shared" si="4"/>
        <v>36.80297398</v>
      </c>
      <c r="Q199" s="320">
        <f>IFERROR(__xludf.DUMMYFUNCTION("""COMPUTED_VALUE"""),0.0)</f>
        <v>0</v>
      </c>
      <c r="R199" s="259">
        <f>IFERROR(__xludf.DUMMYFUNCTION("""COMPUTED_VALUE"""),0.0)</f>
        <v>0</v>
      </c>
      <c r="S199" s="250" t="str">
        <f t="shared" si="5"/>
        <v/>
      </c>
      <c r="T199" s="254">
        <f>IFERROR(__xludf.DUMMYFUNCTION("""COMPUTED_VALUE"""),225.0)</f>
        <v>225</v>
      </c>
      <c r="U199" s="246">
        <f>IFERROR(__xludf.DUMMYFUNCTION("""COMPUTED_VALUE"""),0.23888888888177462)</f>
        <v>0.2388888889</v>
      </c>
      <c r="V199" s="247">
        <f t="shared" si="6"/>
        <v>39.24418605</v>
      </c>
      <c r="W199" s="255">
        <f>IFERROR(__xludf.DUMMYFUNCTION("""COMPUTED_VALUE"""),238.0)</f>
        <v>238</v>
      </c>
      <c r="X199" s="249">
        <f>IFERROR(__xludf.DUMMYFUNCTION("""COMPUTED_VALUE"""),0.06805555555798093)</f>
        <v>0.06805555556</v>
      </c>
      <c r="Y199" s="250">
        <f t="shared" si="7"/>
        <v>145.7142857</v>
      </c>
    </row>
    <row r="200">
      <c r="A200" s="136" t="s">
        <v>18</v>
      </c>
      <c r="B200" s="146">
        <v>46108.0</v>
      </c>
      <c r="C200" s="136" t="s">
        <v>53</v>
      </c>
      <c r="D200" s="136" t="s">
        <v>148</v>
      </c>
      <c r="E200" s="256" t="str">
        <f>IFERROR(__xludf.DUMMYFUNCTION("""COMPUTED_VALUE"""),"")</f>
        <v/>
      </c>
      <c r="F200" s="257" t="str">
        <f>IFERROR(__xludf.DUMMYFUNCTION("""COMPUTED_VALUE"""),"")</f>
        <v/>
      </c>
      <c r="G200" s="247" t="str">
        <f t="shared" si="1"/>
        <v/>
      </c>
      <c r="H200" s="258" t="str">
        <f>IFERROR(__xludf.DUMMYFUNCTION("""COMPUTED_VALUE"""),"")</f>
        <v/>
      </c>
      <c r="I200" s="259" t="str">
        <f>IFERROR(__xludf.DUMMYFUNCTION("""COMPUTED_VALUE"""),"")</f>
        <v/>
      </c>
      <c r="J200" s="250" t="str">
        <f t="shared" si="2"/>
        <v/>
      </c>
      <c r="K200" s="317" t="str">
        <f>IFERROR(__xludf.DUMMYFUNCTION("""COMPUTED_VALUE"""),"")</f>
        <v/>
      </c>
      <c r="L200" s="318" t="str">
        <f>IFERROR(__xludf.DUMMYFUNCTION("""COMPUTED_VALUE"""),"")</f>
        <v/>
      </c>
      <c r="M200" s="253" t="str">
        <f t="shared" si="3"/>
        <v/>
      </c>
      <c r="N200" s="319" t="str">
        <f>IFERROR(__xludf.DUMMYFUNCTION("""COMPUTED_VALUE"""),"")</f>
        <v/>
      </c>
      <c r="O200" s="257" t="str">
        <f>IFERROR(__xludf.DUMMYFUNCTION("""COMPUTED_VALUE"""),"")</f>
        <v/>
      </c>
      <c r="P200" s="247" t="str">
        <f t="shared" si="4"/>
        <v/>
      </c>
      <c r="Q200" s="320" t="str">
        <f>IFERROR(__xludf.DUMMYFUNCTION("""COMPUTED_VALUE"""),"")</f>
        <v/>
      </c>
      <c r="R200" s="259" t="str">
        <f>IFERROR(__xludf.DUMMYFUNCTION("""COMPUTED_VALUE"""),"")</f>
        <v/>
      </c>
      <c r="S200" s="250" t="str">
        <f t="shared" si="5"/>
        <v/>
      </c>
      <c r="T200" s="254" t="str">
        <f>IFERROR(__xludf.DUMMYFUNCTION("""COMPUTED_VALUE"""),"")</f>
        <v/>
      </c>
      <c r="U200" s="246" t="str">
        <f>IFERROR(__xludf.DUMMYFUNCTION("""COMPUTED_VALUE"""),"")</f>
        <v/>
      </c>
      <c r="V200" s="247" t="str">
        <f t="shared" si="6"/>
        <v/>
      </c>
      <c r="W200" s="255" t="str">
        <f>IFERROR(__xludf.DUMMYFUNCTION("""COMPUTED_VALUE"""),"")</f>
        <v/>
      </c>
      <c r="X200" s="249" t="str">
        <f>IFERROR(__xludf.DUMMYFUNCTION("""COMPUTED_VALUE"""),"")</f>
        <v/>
      </c>
      <c r="Y200" s="250" t="str">
        <f t="shared" si="7"/>
        <v/>
      </c>
    </row>
    <row r="201">
      <c r="A201" s="136" t="s">
        <v>15</v>
      </c>
      <c r="B201" s="146">
        <v>46111.0</v>
      </c>
      <c r="C201" s="136" t="s">
        <v>37</v>
      </c>
      <c r="D201" s="136" t="s">
        <v>149</v>
      </c>
      <c r="E201" s="256" t="str">
        <f>IFERROR(__xludf.DUMMYFUNCTION("""COMPUTED_VALUE"""),"")</f>
        <v/>
      </c>
      <c r="F201" s="257" t="str">
        <f>IFERROR(__xludf.DUMMYFUNCTION("""COMPUTED_VALUE"""),"")</f>
        <v/>
      </c>
      <c r="G201" s="247" t="str">
        <f t="shared" si="1"/>
        <v/>
      </c>
      <c r="H201" s="258" t="str">
        <f>IFERROR(__xludf.DUMMYFUNCTION("""COMPUTED_VALUE"""),"")</f>
        <v/>
      </c>
      <c r="I201" s="259" t="str">
        <f>IFERROR(__xludf.DUMMYFUNCTION("""COMPUTED_VALUE"""),"")</f>
        <v/>
      </c>
      <c r="J201" s="250" t="str">
        <f t="shared" si="2"/>
        <v/>
      </c>
      <c r="K201" s="317" t="str">
        <f>IFERROR(__xludf.DUMMYFUNCTION("""COMPUTED_VALUE"""),"")</f>
        <v/>
      </c>
      <c r="L201" s="318" t="str">
        <f>IFERROR(__xludf.DUMMYFUNCTION("""COMPUTED_VALUE"""),"")</f>
        <v/>
      </c>
      <c r="M201" s="253" t="str">
        <f t="shared" si="3"/>
        <v/>
      </c>
      <c r="N201" s="319" t="str">
        <f>IFERROR(__xludf.DUMMYFUNCTION("""COMPUTED_VALUE"""),"")</f>
        <v/>
      </c>
      <c r="O201" s="257" t="str">
        <f>IFERROR(__xludf.DUMMYFUNCTION("""COMPUTED_VALUE"""),"")</f>
        <v/>
      </c>
      <c r="P201" s="247" t="str">
        <f t="shared" si="4"/>
        <v/>
      </c>
      <c r="Q201" s="320" t="str">
        <f>IFERROR(__xludf.DUMMYFUNCTION("""COMPUTED_VALUE"""),"")</f>
        <v/>
      </c>
      <c r="R201" s="259" t="str">
        <f>IFERROR(__xludf.DUMMYFUNCTION("""COMPUTED_VALUE"""),"")</f>
        <v/>
      </c>
      <c r="S201" s="250" t="str">
        <f t="shared" si="5"/>
        <v/>
      </c>
      <c r="T201" s="254" t="str">
        <f>IFERROR(__xludf.DUMMYFUNCTION("""COMPUTED_VALUE"""),"")</f>
        <v/>
      </c>
      <c r="U201" s="246" t="str">
        <f>IFERROR(__xludf.DUMMYFUNCTION("""COMPUTED_VALUE"""),"")</f>
        <v/>
      </c>
      <c r="V201" s="247" t="str">
        <f t="shared" si="6"/>
        <v/>
      </c>
      <c r="W201" s="255" t="str">
        <f>IFERROR(__xludf.DUMMYFUNCTION("""COMPUTED_VALUE"""),"")</f>
        <v/>
      </c>
      <c r="X201" s="249" t="str">
        <f>IFERROR(__xludf.DUMMYFUNCTION("""COMPUTED_VALUE"""),"")</f>
        <v/>
      </c>
      <c r="Y201" s="250" t="str">
        <f t="shared" si="7"/>
        <v/>
      </c>
    </row>
    <row r="202">
      <c r="A202" s="136" t="s">
        <v>18</v>
      </c>
      <c r="B202" s="146">
        <v>46111.0</v>
      </c>
      <c r="C202" s="136" t="s">
        <v>37</v>
      </c>
      <c r="D202" s="136" t="s">
        <v>148</v>
      </c>
      <c r="E202" s="256">
        <f>IFERROR(__xludf.DUMMYFUNCTION("""COMPUTED_VALUE"""),177.0)</f>
        <v>177</v>
      </c>
      <c r="F202" s="257">
        <f>IFERROR(__xludf.DUMMYFUNCTION("""COMPUTED_VALUE"""),0.0743055555576575)</f>
        <v>0.07430555556</v>
      </c>
      <c r="G202" s="247">
        <f t="shared" si="1"/>
        <v>99.25233645</v>
      </c>
      <c r="H202" s="258">
        <f>IFERROR(__xludf.DUMMYFUNCTION("""COMPUTED_VALUE"""),317.0)</f>
        <v>317</v>
      </c>
      <c r="I202" s="259">
        <f>IFERROR(__xludf.DUMMYFUNCTION("""COMPUTED_VALUE"""),0.2006944444437977)</f>
        <v>0.2006944444</v>
      </c>
      <c r="J202" s="250">
        <f t="shared" si="2"/>
        <v>65.81314879</v>
      </c>
      <c r="K202" s="317">
        <f>IFERROR(__xludf.DUMMYFUNCTION("""COMPUTED_VALUE"""),0.0)</f>
        <v>0</v>
      </c>
      <c r="L202" s="318">
        <f>IFERROR(__xludf.DUMMYFUNCTION("""COMPUTED_VALUE"""),0.0)</f>
        <v>0</v>
      </c>
      <c r="M202" s="253" t="str">
        <f t="shared" si="3"/>
        <v/>
      </c>
      <c r="N202" s="319">
        <f>IFERROR(__xludf.DUMMYFUNCTION("""COMPUTED_VALUE"""),93.0)</f>
        <v>93</v>
      </c>
      <c r="O202" s="257">
        <f>IFERROR(__xludf.DUMMYFUNCTION("""COMPUTED_VALUE"""),0.125)</f>
        <v>0.125</v>
      </c>
      <c r="P202" s="247">
        <f t="shared" si="4"/>
        <v>31</v>
      </c>
      <c r="Q202" s="320">
        <f>IFERROR(__xludf.DUMMYFUNCTION("""COMPUTED_VALUE"""),0.0)</f>
        <v>0</v>
      </c>
      <c r="R202" s="259">
        <f>IFERROR(__xludf.DUMMYFUNCTION("""COMPUTED_VALUE"""),0.0)</f>
        <v>0</v>
      </c>
      <c r="S202" s="250" t="str">
        <f t="shared" si="5"/>
        <v/>
      </c>
      <c r="T202" s="254">
        <f>IFERROR(__xludf.DUMMYFUNCTION("""COMPUTED_VALUE"""),270.0)</f>
        <v>270</v>
      </c>
      <c r="U202" s="246">
        <f>IFERROR(__xludf.DUMMYFUNCTION("""COMPUTED_VALUE"""),0.1993055555576575)</f>
        <v>0.1993055556</v>
      </c>
      <c r="V202" s="247">
        <f t="shared" si="6"/>
        <v>56.44599303</v>
      </c>
      <c r="W202" s="255">
        <f>IFERROR(__xludf.DUMMYFUNCTION("""COMPUTED_VALUE"""),317.0)</f>
        <v>317</v>
      </c>
      <c r="X202" s="249">
        <f>IFERROR(__xludf.DUMMYFUNCTION("""COMPUTED_VALUE"""),0.2006944444437977)</f>
        <v>0.2006944444</v>
      </c>
      <c r="Y202" s="250">
        <f t="shared" si="7"/>
        <v>65.81314879</v>
      </c>
    </row>
    <row r="203">
      <c r="A203" s="136" t="s">
        <v>18</v>
      </c>
      <c r="B203" s="146">
        <v>46111.0</v>
      </c>
      <c r="C203" s="136" t="s">
        <v>37</v>
      </c>
      <c r="D203" s="136" t="s">
        <v>148</v>
      </c>
      <c r="E203" s="256" t="str">
        <f>IFERROR(__xludf.DUMMYFUNCTION("""COMPUTED_VALUE"""),"")</f>
        <v/>
      </c>
      <c r="F203" s="257" t="str">
        <f>IFERROR(__xludf.DUMMYFUNCTION("""COMPUTED_VALUE"""),"")</f>
        <v/>
      </c>
      <c r="G203" s="247" t="str">
        <f t="shared" si="1"/>
        <v/>
      </c>
      <c r="H203" s="258" t="str">
        <f>IFERROR(__xludf.DUMMYFUNCTION("""COMPUTED_VALUE"""),"")</f>
        <v/>
      </c>
      <c r="I203" s="259" t="str">
        <f>IFERROR(__xludf.DUMMYFUNCTION("""COMPUTED_VALUE"""),"")</f>
        <v/>
      </c>
      <c r="J203" s="250" t="str">
        <f t="shared" si="2"/>
        <v/>
      </c>
      <c r="K203" s="317" t="str">
        <f>IFERROR(__xludf.DUMMYFUNCTION("""COMPUTED_VALUE"""),"")</f>
        <v/>
      </c>
      <c r="L203" s="318" t="str">
        <f>IFERROR(__xludf.DUMMYFUNCTION("""COMPUTED_VALUE"""),"")</f>
        <v/>
      </c>
      <c r="M203" s="253" t="str">
        <f t="shared" si="3"/>
        <v/>
      </c>
      <c r="N203" s="319" t="str">
        <f>IFERROR(__xludf.DUMMYFUNCTION("""COMPUTED_VALUE"""),"")</f>
        <v/>
      </c>
      <c r="O203" s="257" t="str">
        <f>IFERROR(__xludf.DUMMYFUNCTION("""COMPUTED_VALUE"""),"")</f>
        <v/>
      </c>
      <c r="P203" s="247" t="str">
        <f t="shared" si="4"/>
        <v/>
      </c>
      <c r="Q203" s="320" t="str">
        <f>IFERROR(__xludf.DUMMYFUNCTION("""COMPUTED_VALUE"""),"")</f>
        <v/>
      </c>
      <c r="R203" s="259" t="str">
        <f>IFERROR(__xludf.DUMMYFUNCTION("""COMPUTED_VALUE"""),"")</f>
        <v/>
      </c>
      <c r="S203" s="250" t="str">
        <f t="shared" si="5"/>
        <v/>
      </c>
      <c r="T203" s="254" t="str">
        <f>IFERROR(__xludf.DUMMYFUNCTION("""COMPUTED_VALUE"""),"")</f>
        <v/>
      </c>
      <c r="U203" s="246" t="str">
        <f>IFERROR(__xludf.DUMMYFUNCTION("""COMPUTED_VALUE"""),"")</f>
        <v/>
      </c>
      <c r="V203" s="247" t="str">
        <f t="shared" si="6"/>
        <v/>
      </c>
      <c r="W203" s="255" t="str">
        <f>IFERROR(__xludf.DUMMYFUNCTION("""COMPUTED_VALUE"""),"")</f>
        <v/>
      </c>
      <c r="X203" s="249" t="str">
        <f>IFERROR(__xludf.DUMMYFUNCTION("""COMPUTED_VALUE"""),"")</f>
        <v/>
      </c>
      <c r="Y203" s="250" t="str">
        <f t="shared" si="7"/>
        <v/>
      </c>
    </row>
    <row r="204">
      <c r="A204" s="136" t="s">
        <v>134</v>
      </c>
      <c r="B204" s="146">
        <v>46112.0</v>
      </c>
      <c r="C204" s="136" t="s">
        <v>41</v>
      </c>
      <c r="D204" s="136" t="s">
        <v>149</v>
      </c>
      <c r="E204" s="256" t="str">
        <f>IFERROR(__xludf.DUMMYFUNCTION("""COMPUTED_VALUE"""),"")</f>
        <v/>
      </c>
      <c r="F204" s="257" t="str">
        <f>IFERROR(__xludf.DUMMYFUNCTION("""COMPUTED_VALUE"""),"")</f>
        <v/>
      </c>
      <c r="G204" s="247" t="str">
        <f t="shared" si="1"/>
        <v/>
      </c>
      <c r="H204" s="258" t="str">
        <f>IFERROR(__xludf.DUMMYFUNCTION("""COMPUTED_VALUE"""),"")</f>
        <v/>
      </c>
      <c r="I204" s="259" t="str">
        <f>IFERROR(__xludf.DUMMYFUNCTION("""COMPUTED_VALUE"""),"")</f>
        <v/>
      </c>
      <c r="J204" s="250" t="str">
        <f t="shared" si="2"/>
        <v/>
      </c>
      <c r="K204" s="317" t="str">
        <f>IFERROR(__xludf.DUMMYFUNCTION("""COMPUTED_VALUE"""),"")</f>
        <v/>
      </c>
      <c r="L204" s="318" t="str">
        <f>IFERROR(__xludf.DUMMYFUNCTION("""COMPUTED_VALUE"""),"")</f>
        <v/>
      </c>
      <c r="M204" s="253" t="str">
        <f t="shared" si="3"/>
        <v/>
      </c>
      <c r="N204" s="319" t="str">
        <f>IFERROR(__xludf.DUMMYFUNCTION("""COMPUTED_VALUE"""),"")</f>
        <v/>
      </c>
      <c r="O204" s="257" t="str">
        <f>IFERROR(__xludf.DUMMYFUNCTION("""COMPUTED_VALUE"""),"")</f>
        <v/>
      </c>
      <c r="P204" s="247" t="str">
        <f t="shared" si="4"/>
        <v/>
      </c>
      <c r="Q204" s="320" t="str">
        <f>IFERROR(__xludf.DUMMYFUNCTION("""COMPUTED_VALUE"""),"")</f>
        <v/>
      </c>
      <c r="R204" s="259" t="str">
        <f>IFERROR(__xludf.DUMMYFUNCTION("""COMPUTED_VALUE"""),"")</f>
        <v/>
      </c>
      <c r="S204" s="250" t="str">
        <f t="shared" si="5"/>
        <v/>
      </c>
      <c r="T204" s="254" t="str">
        <f>IFERROR(__xludf.DUMMYFUNCTION("""COMPUTED_VALUE"""),"")</f>
        <v/>
      </c>
      <c r="U204" s="246" t="str">
        <f>IFERROR(__xludf.DUMMYFUNCTION("""COMPUTED_VALUE"""),"")</f>
        <v/>
      </c>
      <c r="V204" s="247" t="str">
        <f t="shared" si="6"/>
        <v/>
      </c>
      <c r="W204" s="255" t="str">
        <f>IFERROR(__xludf.DUMMYFUNCTION("""COMPUTED_VALUE"""),"")</f>
        <v/>
      </c>
      <c r="X204" s="249" t="str">
        <f>IFERROR(__xludf.DUMMYFUNCTION("""COMPUTED_VALUE"""),"")</f>
        <v/>
      </c>
      <c r="Y204" s="250" t="str">
        <f t="shared" si="7"/>
        <v/>
      </c>
    </row>
    <row r="205">
      <c r="A205" s="136" t="s">
        <v>15</v>
      </c>
      <c r="B205" s="146">
        <v>46112.0</v>
      </c>
      <c r="C205" s="136" t="s">
        <v>41</v>
      </c>
      <c r="D205" s="136" t="s">
        <v>149</v>
      </c>
      <c r="E205" s="256" t="str">
        <f>IFERROR(__xludf.DUMMYFUNCTION("""COMPUTED_VALUE"""),"")</f>
        <v/>
      </c>
      <c r="F205" s="257" t="str">
        <f>IFERROR(__xludf.DUMMYFUNCTION("""COMPUTED_VALUE"""),"")</f>
        <v/>
      </c>
      <c r="G205" s="247" t="str">
        <f t="shared" si="1"/>
        <v/>
      </c>
      <c r="H205" s="258" t="str">
        <f>IFERROR(__xludf.DUMMYFUNCTION("""COMPUTED_VALUE"""),"")</f>
        <v/>
      </c>
      <c r="I205" s="259" t="str">
        <f>IFERROR(__xludf.DUMMYFUNCTION("""COMPUTED_VALUE"""),"")</f>
        <v/>
      </c>
      <c r="J205" s="250" t="str">
        <f t="shared" si="2"/>
        <v/>
      </c>
      <c r="K205" s="317" t="str">
        <f>IFERROR(__xludf.DUMMYFUNCTION("""COMPUTED_VALUE"""),"")</f>
        <v/>
      </c>
      <c r="L205" s="318" t="str">
        <f>IFERROR(__xludf.DUMMYFUNCTION("""COMPUTED_VALUE"""),"")</f>
        <v/>
      </c>
      <c r="M205" s="253" t="str">
        <f t="shared" si="3"/>
        <v/>
      </c>
      <c r="N205" s="319" t="str">
        <f>IFERROR(__xludf.DUMMYFUNCTION("""COMPUTED_VALUE"""),"")</f>
        <v/>
      </c>
      <c r="O205" s="257" t="str">
        <f>IFERROR(__xludf.DUMMYFUNCTION("""COMPUTED_VALUE"""),"")</f>
        <v/>
      </c>
      <c r="P205" s="247" t="str">
        <f t="shared" si="4"/>
        <v/>
      </c>
      <c r="Q205" s="320" t="str">
        <f>IFERROR(__xludf.DUMMYFUNCTION("""COMPUTED_VALUE"""),"")</f>
        <v/>
      </c>
      <c r="R205" s="259" t="str">
        <f>IFERROR(__xludf.DUMMYFUNCTION("""COMPUTED_VALUE"""),"")</f>
        <v/>
      </c>
      <c r="S205" s="250" t="str">
        <f t="shared" si="5"/>
        <v/>
      </c>
      <c r="T205" s="254" t="str">
        <f>IFERROR(__xludf.DUMMYFUNCTION("""COMPUTED_VALUE"""),"")</f>
        <v/>
      </c>
      <c r="U205" s="246" t="str">
        <f>IFERROR(__xludf.DUMMYFUNCTION("""COMPUTED_VALUE"""),"")</f>
        <v/>
      </c>
      <c r="V205" s="247" t="str">
        <f t="shared" si="6"/>
        <v/>
      </c>
      <c r="W205" s="255" t="str">
        <f>IFERROR(__xludf.DUMMYFUNCTION("""COMPUTED_VALUE"""),"")</f>
        <v/>
      </c>
      <c r="X205" s="249" t="str">
        <f>IFERROR(__xludf.DUMMYFUNCTION("""COMPUTED_VALUE"""),"")</f>
        <v/>
      </c>
      <c r="Y205" s="250" t="str">
        <f t="shared" si="7"/>
        <v/>
      </c>
    </row>
    <row r="206">
      <c r="A206" s="136" t="s">
        <v>15</v>
      </c>
      <c r="B206" s="146">
        <v>46112.0</v>
      </c>
      <c r="C206" s="136" t="s">
        <v>41</v>
      </c>
      <c r="D206" s="136" t="s">
        <v>148</v>
      </c>
      <c r="E206" s="256" t="str">
        <f>IFERROR(__xludf.DUMMYFUNCTION("""COMPUTED_VALUE"""),"")</f>
        <v/>
      </c>
      <c r="F206" s="257" t="str">
        <f>IFERROR(__xludf.DUMMYFUNCTION("""COMPUTED_VALUE"""),"")</f>
        <v/>
      </c>
      <c r="G206" s="247" t="str">
        <f t="shared" si="1"/>
        <v/>
      </c>
      <c r="H206" s="258" t="str">
        <f>IFERROR(__xludf.DUMMYFUNCTION("""COMPUTED_VALUE"""),"")</f>
        <v/>
      </c>
      <c r="I206" s="259" t="str">
        <f>IFERROR(__xludf.DUMMYFUNCTION("""COMPUTED_VALUE"""),"")</f>
        <v/>
      </c>
      <c r="J206" s="250" t="str">
        <f t="shared" si="2"/>
        <v/>
      </c>
      <c r="K206" s="317" t="str">
        <f>IFERROR(__xludf.DUMMYFUNCTION("""COMPUTED_VALUE"""),"")</f>
        <v/>
      </c>
      <c r="L206" s="318" t="str">
        <f>IFERROR(__xludf.DUMMYFUNCTION("""COMPUTED_VALUE"""),"")</f>
        <v/>
      </c>
      <c r="M206" s="253" t="str">
        <f t="shared" si="3"/>
        <v/>
      </c>
      <c r="N206" s="319" t="str">
        <f>IFERROR(__xludf.DUMMYFUNCTION("""COMPUTED_VALUE"""),"")</f>
        <v/>
      </c>
      <c r="O206" s="257" t="str">
        <f>IFERROR(__xludf.DUMMYFUNCTION("""COMPUTED_VALUE"""),"")</f>
        <v/>
      </c>
      <c r="P206" s="247" t="str">
        <f t="shared" si="4"/>
        <v/>
      </c>
      <c r="Q206" s="320" t="str">
        <f>IFERROR(__xludf.DUMMYFUNCTION("""COMPUTED_VALUE"""),"")</f>
        <v/>
      </c>
      <c r="R206" s="259" t="str">
        <f>IFERROR(__xludf.DUMMYFUNCTION("""COMPUTED_VALUE"""),"")</f>
        <v/>
      </c>
      <c r="S206" s="250" t="str">
        <f t="shared" si="5"/>
        <v/>
      </c>
      <c r="T206" s="254" t="str">
        <f>IFERROR(__xludf.DUMMYFUNCTION("""COMPUTED_VALUE"""),"")</f>
        <v/>
      </c>
      <c r="U206" s="246" t="str">
        <f>IFERROR(__xludf.DUMMYFUNCTION("""COMPUTED_VALUE"""),"")</f>
        <v/>
      </c>
      <c r="V206" s="247" t="str">
        <f t="shared" si="6"/>
        <v/>
      </c>
      <c r="W206" s="255" t="str">
        <f>IFERROR(__xludf.DUMMYFUNCTION("""COMPUTED_VALUE"""),"")</f>
        <v/>
      </c>
      <c r="X206" s="249" t="str">
        <f>IFERROR(__xludf.DUMMYFUNCTION("""COMPUTED_VALUE"""),"")</f>
        <v/>
      </c>
      <c r="Y206" s="250" t="str">
        <f t="shared" si="7"/>
        <v/>
      </c>
    </row>
    <row r="207">
      <c r="A207" s="136" t="s">
        <v>15</v>
      </c>
      <c r="B207" s="146">
        <v>46112.0</v>
      </c>
      <c r="C207" s="136" t="s">
        <v>41</v>
      </c>
      <c r="D207" s="136" t="s">
        <v>148</v>
      </c>
      <c r="E207" s="256" t="str">
        <f>IFERROR(__xludf.DUMMYFUNCTION("""COMPUTED_VALUE"""),"")</f>
        <v/>
      </c>
      <c r="F207" s="257" t="str">
        <f>IFERROR(__xludf.DUMMYFUNCTION("""COMPUTED_VALUE"""),"")</f>
        <v/>
      </c>
      <c r="G207" s="247" t="str">
        <f t="shared" si="1"/>
        <v/>
      </c>
      <c r="H207" s="258" t="str">
        <f>IFERROR(__xludf.DUMMYFUNCTION("""COMPUTED_VALUE"""),"")</f>
        <v/>
      </c>
      <c r="I207" s="259" t="str">
        <f>IFERROR(__xludf.DUMMYFUNCTION("""COMPUTED_VALUE"""),"")</f>
        <v/>
      </c>
      <c r="J207" s="250" t="str">
        <f t="shared" si="2"/>
        <v/>
      </c>
      <c r="K207" s="317" t="str">
        <f>IFERROR(__xludf.DUMMYFUNCTION("""COMPUTED_VALUE"""),"")</f>
        <v/>
      </c>
      <c r="L207" s="318" t="str">
        <f>IFERROR(__xludf.DUMMYFUNCTION("""COMPUTED_VALUE"""),"")</f>
        <v/>
      </c>
      <c r="M207" s="253" t="str">
        <f t="shared" si="3"/>
        <v/>
      </c>
      <c r="N207" s="319" t="str">
        <f>IFERROR(__xludf.DUMMYFUNCTION("""COMPUTED_VALUE"""),"")</f>
        <v/>
      </c>
      <c r="O207" s="257" t="str">
        <f>IFERROR(__xludf.DUMMYFUNCTION("""COMPUTED_VALUE"""),"")</f>
        <v/>
      </c>
      <c r="P207" s="247" t="str">
        <f t="shared" si="4"/>
        <v/>
      </c>
      <c r="Q207" s="320" t="str">
        <f>IFERROR(__xludf.DUMMYFUNCTION("""COMPUTED_VALUE"""),"")</f>
        <v/>
      </c>
      <c r="R207" s="259" t="str">
        <f>IFERROR(__xludf.DUMMYFUNCTION("""COMPUTED_VALUE"""),"")</f>
        <v/>
      </c>
      <c r="S207" s="250" t="str">
        <f t="shared" si="5"/>
        <v/>
      </c>
      <c r="T207" s="254" t="str">
        <f>IFERROR(__xludf.DUMMYFUNCTION("""COMPUTED_VALUE"""),"")</f>
        <v/>
      </c>
      <c r="U207" s="246" t="str">
        <f>IFERROR(__xludf.DUMMYFUNCTION("""COMPUTED_VALUE"""),"")</f>
        <v/>
      </c>
      <c r="V207" s="247" t="str">
        <f t="shared" si="6"/>
        <v/>
      </c>
      <c r="W207" s="255" t="str">
        <f>IFERROR(__xludf.DUMMYFUNCTION("""COMPUTED_VALUE"""),"")</f>
        <v/>
      </c>
      <c r="X207" s="249" t="str">
        <f>IFERROR(__xludf.DUMMYFUNCTION("""COMPUTED_VALUE"""),"")</f>
        <v/>
      </c>
      <c r="Y207" s="250" t="str">
        <f t="shared" si="7"/>
        <v/>
      </c>
    </row>
    <row r="208">
      <c r="A208" s="136" t="s">
        <v>15</v>
      </c>
      <c r="B208" s="146">
        <v>46112.0</v>
      </c>
      <c r="C208" s="136" t="s">
        <v>41</v>
      </c>
      <c r="D208" s="136" t="s">
        <v>149</v>
      </c>
      <c r="E208" s="256">
        <f>IFERROR(__xludf.DUMMYFUNCTION("""COMPUTED_VALUE"""),291.0)</f>
        <v>291</v>
      </c>
      <c r="F208" s="257">
        <f>IFERROR(__xludf.DUMMYFUNCTION("""COMPUTED_VALUE"""),0.13055555555183673)</f>
        <v>0.1305555556</v>
      </c>
      <c r="G208" s="247">
        <f t="shared" si="1"/>
        <v>92.87234043</v>
      </c>
      <c r="H208" s="258">
        <f>IFERROR(__xludf.DUMMYFUNCTION("""COMPUTED_VALUE"""),123.0)</f>
        <v>123</v>
      </c>
      <c r="I208" s="259">
        <f>IFERROR(__xludf.DUMMYFUNCTION("""COMPUTED_VALUE"""),0.11944444444088731)</f>
        <v>0.1194444444</v>
      </c>
      <c r="J208" s="250">
        <f t="shared" si="2"/>
        <v>42.90697675</v>
      </c>
      <c r="K208" s="317">
        <f>IFERROR(__xludf.DUMMYFUNCTION("""COMPUTED_VALUE"""),157.0)</f>
        <v>157</v>
      </c>
      <c r="L208" s="318">
        <f>IFERROR(__xludf.DUMMYFUNCTION("""COMPUTED_VALUE"""),0.14583333333575865)</f>
        <v>0.1458333333</v>
      </c>
      <c r="M208" s="253">
        <f t="shared" si="3"/>
        <v>44.85714286</v>
      </c>
      <c r="N208" s="319">
        <f>IFERROR(__xludf.DUMMYFUNCTION("""COMPUTED_VALUE"""),61.0)</f>
        <v>61</v>
      </c>
      <c r="O208" s="257">
        <f>IFERROR(__xludf.DUMMYFUNCTION("""COMPUTED_VALUE"""),0.06041666665987577)</f>
        <v>0.06041666666</v>
      </c>
      <c r="P208" s="247">
        <f t="shared" si="4"/>
        <v>42.06896552</v>
      </c>
      <c r="Q208" s="320">
        <f>IFERROR(__xludf.DUMMYFUNCTION("""COMPUTED_VALUE"""),0.0)</f>
        <v>0</v>
      </c>
      <c r="R208" s="259">
        <f>IFERROR(__xludf.DUMMYFUNCTION("""COMPUTED_VALUE"""),0.0)</f>
        <v>0</v>
      </c>
      <c r="S208" s="250" t="str">
        <f t="shared" si="5"/>
        <v/>
      </c>
      <c r="T208" s="254">
        <f>IFERROR(__xludf.DUMMYFUNCTION("""COMPUTED_VALUE"""),352.0)</f>
        <v>352</v>
      </c>
      <c r="U208" s="246">
        <f>IFERROR(__xludf.DUMMYFUNCTION("""COMPUTED_VALUE"""),0.1909722222117125)</f>
        <v>0.1909722222</v>
      </c>
      <c r="V208" s="247">
        <f t="shared" si="6"/>
        <v>76.8</v>
      </c>
      <c r="W208" s="255">
        <f>IFERROR(__xludf.DUMMYFUNCTION("""COMPUTED_VALUE"""),123.0)</f>
        <v>123</v>
      </c>
      <c r="X208" s="249">
        <f>IFERROR(__xludf.DUMMYFUNCTION("""COMPUTED_VALUE"""),0.11944444444088731)</f>
        <v>0.1194444444</v>
      </c>
      <c r="Y208" s="250">
        <f t="shared" si="7"/>
        <v>42.90697675</v>
      </c>
    </row>
    <row r="209">
      <c r="A209" s="136" t="s">
        <v>18</v>
      </c>
      <c r="B209" s="146">
        <v>46112.0</v>
      </c>
      <c r="C209" s="136" t="s">
        <v>41</v>
      </c>
      <c r="D209" s="136" t="s">
        <v>148</v>
      </c>
      <c r="E209" s="256" t="str">
        <f>IFERROR(__xludf.DUMMYFUNCTION("""COMPUTED_VALUE"""),"")</f>
        <v/>
      </c>
      <c r="F209" s="257" t="str">
        <f>IFERROR(__xludf.DUMMYFUNCTION("""COMPUTED_VALUE"""),"")</f>
        <v/>
      </c>
      <c r="G209" s="247" t="str">
        <f t="shared" si="1"/>
        <v/>
      </c>
      <c r="H209" s="258" t="str">
        <f>IFERROR(__xludf.DUMMYFUNCTION("""COMPUTED_VALUE"""),"")</f>
        <v/>
      </c>
      <c r="I209" s="259" t="str">
        <f>IFERROR(__xludf.DUMMYFUNCTION("""COMPUTED_VALUE"""),"")</f>
        <v/>
      </c>
      <c r="J209" s="250" t="str">
        <f t="shared" si="2"/>
        <v/>
      </c>
      <c r="K209" s="317" t="str">
        <f>IFERROR(__xludf.DUMMYFUNCTION("""COMPUTED_VALUE"""),"")</f>
        <v/>
      </c>
      <c r="L209" s="318" t="str">
        <f>IFERROR(__xludf.DUMMYFUNCTION("""COMPUTED_VALUE"""),"")</f>
        <v/>
      </c>
      <c r="M209" s="253" t="str">
        <f t="shared" si="3"/>
        <v/>
      </c>
      <c r="N209" s="319" t="str">
        <f>IFERROR(__xludf.DUMMYFUNCTION("""COMPUTED_VALUE"""),"")</f>
        <v/>
      </c>
      <c r="O209" s="257" t="str">
        <f>IFERROR(__xludf.DUMMYFUNCTION("""COMPUTED_VALUE"""),"")</f>
        <v/>
      </c>
      <c r="P209" s="247" t="str">
        <f t="shared" si="4"/>
        <v/>
      </c>
      <c r="Q209" s="320" t="str">
        <f>IFERROR(__xludf.DUMMYFUNCTION("""COMPUTED_VALUE"""),"")</f>
        <v/>
      </c>
      <c r="R209" s="259" t="str">
        <f>IFERROR(__xludf.DUMMYFUNCTION("""COMPUTED_VALUE"""),"")</f>
        <v/>
      </c>
      <c r="S209" s="250" t="str">
        <f t="shared" si="5"/>
        <v/>
      </c>
      <c r="T209" s="254" t="str">
        <f>IFERROR(__xludf.DUMMYFUNCTION("""COMPUTED_VALUE"""),"")</f>
        <v/>
      </c>
      <c r="U209" s="246" t="str">
        <f>IFERROR(__xludf.DUMMYFUNCTION("""COMPUTED_VALUE"""),"")</f>
        <v/>
      </c>
      <c r="V209" s="247" t="str">
        <f t="shared" si="6"/>
        <v/>
      </c>
      <c r="W209" s="255" t="str">
        <f>IFERROR(__xludf.DUMMYFUNCTION("""COMPUTED_VALUE"""),"")</f>
        <v/>
      </c>
      <c r="X209" s="249" t="str">
        <f>IFERROR(__xludf.DUMMYFUNCTION("""COMPUTED_VALUE"""),"")</f>
        <v/>
      </c>
      <c r="Y209" s="250" t="str">
        <f t="shared" si="7"/>
        <v/>
      </c>
    </row>
    <row r="210">
      <c r="A210" s="136" t="s">
        <v>12</v>
      </c>
      <c r="B210" s="146">
        <v>46113.0</v>
      </c>
      <c r="C210" s="136" t="s">
        <v>45</v>
      </c>
      <c r="D210" s="136" t="s">
        <v>149</v>
      </c>
      <c r="E210" s="256" t="str">
        <f>IFERROR(__xludf.DUMMYFUNCTION("""COMPUTED_VALUE"""),"")</f>
        <v/>
      </c>
      <c r="F210" s="257" t="str">
        <f>IFERROR(__xludf.DUMMYFUNCTION("""COMPUTED_VALUE"""),"")</f>
        <v/>
      </c>
      <c r="G210" s="247" t="str">
        <f t="shared" si="1"/>
        <v/>
      </c>
      <c r="H210" s="258" t="str">
        <f>IFERROR(__xludf.DUMMYFUNCTION("""COMPUTED_VALUE"""),"")</f>
        <v/>
      </c>
      <c r="I210" s="259" t="str">
        <f>IFERROR(__xludf.DUMMYFUNCTION("""COMPUTED_VALUE"""),"")</f>
        <v/>
      </c>
      <c r="J210" s="250" t="str">
        <f t="shared" si="2"/>
        <v/>
      </c>
      <c r="K210" s="317" t="str">
        <f>IFERROR(__xludf.DUMMYFUNCTION("""COMPUTED_VALUE"""),"")</f>
        <v/>
      </c>
      <c r="L210" s="318" t="str">
        <f>IFERROR(__xludf.DUMMYFUNCTION("""COMPUTED_VALUE"""),"")</f>
        <v/>
      </c>
      <c r="M210" s="253" t="str">
        <f t="shared" si="3"/>
        <v/>
      </c>
      <c r="N210" s="319" t="str">
        <f>IFERROR(__xludf.DUMMYFUNCTION("""COMPUTED_VALUE"""),"")</f>
        <v/>
      </c>
      <c r="O210" s="257" t="str">
        <f>IFERROR(__xludf.DUMMYFUNCTION("""COMPUTED_VALUE"""),"")</f>
        <v/>
      </c>
      <c r="P210" s="247" t="str">
        <f t="shared" si="4"/>
        <v/>
      </c>
      <c r="Q210" s="320" t="str">
        <f>IFERROR(__xludf.DUMMYFUNCTION("""COMPUTED_VALUE"""),"")</f>
        <v/>
      </c>
      <c r="R210" s="259" t="str">
        <f>IFERROR(__xludf.DUMMYFUNCTION("""COMPUTED_VALUE"""),"")</f>
        <v/>
      </c>
      <c r="S210" s="250" t="str">
        <f t="shared" si="5"/>
        <v/>
      </c>
      <c r="T210" s="254" t="str">
        <f>IFERROR(__xludf.DUMMYFUNCTION("""COMPUTED_VALUE"""),"")</f>
        <v/>
      </c>
      <c r="U210" s="246" t="str">
        <f>IFERROR(__xludf.DUMMYFUNCTION("""COMPUTED_VALUE"""),"")</f>
        <v/>
      </c>
      <c r="V210" s="247" t="str">
        <f t="shared" si="6"/>
        <v/>
      </c>
      <c r="W210" s="255" t="str">
        <f>IFERROR(__xludf.DUMMYFUNCTION("""COMPUTED_VALUE"""),"")</f>
        <v/>
      </c>
      <c r="X210" s="249" t="str">
        <f>IFERROR(__xludf.DUMMYFUNCTION("""COMPUTED_VALUE"""),"")</f>
        <v/>
      </c>
      <c r="Y210" s="250" t="str">
        <f t="shared" si="7"/>
        <v/>
      </c>
    </row>
    <row r="211">
      <c r="A211" s="136" t="s">
        <v>12</v>
      </c>
      <c r="B211" s="146">
        <v>46113.0</v>
      </c>
      <c r="C211" s="136" t="s">
        <v>45</v>
      </c>
      <c r="D211" s="136" t="s">
        <v>149</v>
      </c>
      <c r="E211" s="256" t="str">
        <f>IFERROR(__xludf.DUMMYFUNCTION("""COMPUTED_VALUE"""),"")</f>
        <v/>
      </c>
      <c r="F211" s="257" t="str">
        <f>IFERROR(__xludf.DUMMYFUNCTION("""COMPUTED_VALUE"""),"")</f>
        <v/>
      </c>
      <c r="G211" s="247" t="str">
        <f t="shared" si="1"/>
        <v/>
      </c>
      <c r="H211" s="258" t="str">
        <f>IFERROR(__xludf.DUMMYFUNCTION("""COMPUTED_VALUE"""),"")</f>
        <v/>
      </c>
      <c r="I211" s="259" t="str">
        <f>IFERROR(__xludf.DUMMYFUNCTION("""COMPUTED_VALUE"""),"")</f>
        <v/>
      </c>
      <c r="J211" s="250" t="str">
        <f t="shared" si="2"/>
        <v/>
      </c>
      <c r="K211" s="317" t="str">
        <f>IFERROR(__xludf.DUMMYFUNCTION("""COMPUTED_VALUE"""),"")</f>
        <v/>
      </c>
      <c r="L211" s="318" t="str">
        <f>IFERROR(__xludf.DUMMYFUNCTION("""COMPUTED_VALUE"""),"")</f>
        <v/>
      </c>
      <c r="M211" s="253" t="str">
        <f t="shared" si="3"/>
        <v/>
      </c>
      <c r="N211" s="319" t="str">
        <f>IFERROR(__xludf.DUMMYFUNCTION("""COMPUTED_VALUE"""),"")</f>
        <v/>
      </c>
      <c r="O211" s="257" t="str">
        <f>IFERROR(__xludf.DUMMYFUNCTION("""COMPUTED_VALUE"""),"")</f>
        <v/>
      </c>
      <c r="P211" s="247" t="str">
        <f t="shared" si="4"/>
        <v/>
      </c>
      <c r="Q211" s="320" t="str">
        <f>IFERROR(__xludf.DUMMYFUNCTION("""COMPUTED_VALUE"""),"")</f>
        <v/>
      </c>
      <c r="R211" s="259" t="str">
        <f>IFERROR(__xludf.DUMMYFUNCTION("""COMPUTED_VALUE"""),"")</f>
        <v/>
      </c>
      <c r="S211" s="250" t="str">
        <f t="shared" si="5"/>
        <v/>
      </c>
      <c r="T211" s="254" t="str">
        <f>IFERROR(__xludf.DUMMYFUNCTION("""COMPUTED_VALUE"""),"")</f>
        <v/>
      </c>
      <c r="U211" s="246" t="str">
        <f>IFERROR(__xludf.DUMMYFUNCTION("""COMPUTED_VALUE"""),"")</f>
        <v/>
      </c>
      <c r="V211" s="247" t="str">
        <f t="shared" si="6"/>
        <v/>
      </c>
      <c r="W211" s="255" t="str">
        <f>IFERROR(__xludf.DUMMYFUNCTION("""COMPUTED_VALUE"""),"")</f>
        <v/>
      </c>
      <c r="X211" s="249" t="str">
        <f>IFERROR(__xludf.DUMMYFUNCTION("""COMPUTED_VALUE"""),"")</f>
        <v/>
      </c>
      <c r="Y211" s="250" t="str">
        <f t="shared" si="7"/>
        <v/>
      </c>
    </row>
    <row r="212">
      <c r="A212" s="136" t="s">
        <v>134</v>
      </c>
      <c r="B212" s="146">
        <v>46113.0</v>
      </c>
      <c r="C212" s="136" t="s">
        <v>45</v>
      </c>
      <c r="D212" s="136" t="s">
        <v>149</v>
      </c>
      <c r="E212" s="256" t="str">
        <f>IFERROR(__xludf.DUMMYFUNCTION("""COMPUTED_VALUE"""),"")</f>
        <v/>
      </c>
      <c r="F212" s="257" t="str">
        <f>IFERROR(__xludf.DUMMYFUNCTION("""COMPUTED_VALUE"""),"")</f>
        <v/>
      </c>
      <c r="G212" s="247" t="str">
        <f t="shared" si="1"/>
        <v/>
      </c>
      <c r="H212" s="258" t="str">
        <f>IFERROR(__xludf.DUMMYFUNCTION("""COMPUTED_VALUE"""),"")</f>
        <v/>
      </c>
      <c r="I212" s="259" t="str">
        <f>IFERROR(__xludf.DUMMYFUNCTION("""COMPUTED_VALUE"""),"")</f>
        <v/>
      </c>
      <c r="J212" s="250" t="str">
        <f t="shared" si="2"/>
        <v/>
      </c>
      <c r="K212" s="317" t="str">
        <f>IFERROR(__xludf.DUMMYFUNCTION("""COMPUTED_VALUE"""),"")</f>
        <v/>
      </c>
      <c r="L212" s="318" t="str">
        <f>IFERROR(__xludf.DUMMYFUNCTION("""COMPUTED_VALUE"""),"")</f>
        <v/>
      </c>
      <c r="M212" s="253" t="str">
        <f t="shared" si="3"/>
        <v/>
      </c>
      <c r="N212" s="319" t="str">
        <f>IFERROR(__xludf.DUMMYFUNCTION("""COMPUTED_VALUE"""),"")</f>
        <v/>
      </c>
      <c r="O212" s="257" t="str">
        <f>IFERROR(__xludf.DUMMYFUNCTION("""COMPUTED_VALUE"""),"")</f>
        <v/>
      </c>
      <c r="P212" s="247" t="str">
        <f t="shared" si="4"/>
        <v/>
      </c>
      <c r="Q212" s="320" t="str">
        <f>IFERROR(__xludf.DUMMYFUNCTION("""COMPUTED_VALUE"""),"")</f>
        <v/>
      </c>
      <c r="R212" s="259" t="str">
        <f>IFERROR(__xludf.DUMMYFUNCTION("""COMPUTED_VALUE"""),"")</f>
        <v/>
      </c>
      <c r="S212" s="250" t="str">
        <f t="shared" si="5"/>
        <v/>
      </c>
      <c r="T212" s="254" t="str">
        <f>IFERROR(__xludf.DUMMYFUNCTION("""COMPUTED_VALUE"""),"")</f>
        <v/>
      </c>
      <c r="U212" s="246" t="str">
        <f>IFERROR(__xludf.DUMMYFUNCTION("""COMPUTED_VALUE"""),"")</f>
        <v/>
      </c>
      <c r="V212" s="247" t="str">
        <f t="shared" si="6"/>
        <v/>
      </c>
      <c r="W212" s="255" t="str">
        <f>IFERROR(__xludf.DUMMYFUNCTION("""COMPUTED_VALUE"""),"")</f>
        <v/>
      </c>
      <c r="X212" s="249" t="str">
        <f>IFERROR(__xludf.DUMMYFUNCTION("""COMPUTED_VALUE"""),"")</f>
        <v/>
      </c>
      <c r="Y212" s="250" t="str">
        <f t="shared" si="7"/>
        <v/>
      </c>
    </row>
    <row r="213">
      <c r="A213" s="136" t="s">
        <v>15</v>
      </c>
      <c r="B213" s="146">
        <v>46113.0</v>
      </c>
      <c r="C213" s="136" t="s">
        <v>45</v>
      </c>
      <c r="D213" s="136" t="s">
        <v>148</v>
      </c>
      <c r="E213" s="256" t="str">
        <f>IFERROR(__xludf.DUMMYFUNCTION("""COMPUTED_VALUE"""),"")</f>
        <v/>
      </c>
      <c r="F213" s="257" t="str">
        <f>IFERROR(__xludf.DUMMYFUNCTION("""COMPUTED_VALUE"""),"")</f>
        <v/>
      </c>
      <c r="G213" s="247" t="str">
        <f t="shared" si="1"/>
        <v/>
      </c>
      <c r="H213" s="258" t="str">
        <f>IFERROR(__xludf.DUMMYFUNCTION("""COMPUTED_VALUE"""),"")</f>
        <v/>
      </c>
      <c r="I213" s="259" t="str">
        <f>IFERROR(__xludf.DUMMYFUNCTION("""COMPUTED_VALUE"""),"")</f>
        <v/>
      </c>
      <c r="J213" s="250" t="str">
        <f t="shared" si="2"/>
        <v/>
      </c>
      <c r="K213" s="317" t="str">
        <f>IFERROR(__xludf.DUMMYFUNCTION("""COMPUTED_VALUE"""),"")</f>
        <v/>
      </c>
      <c r="L213" s="318" t="str">
        <f>IFERROR(__xludf.DUMMYFUNCTION("""COMPUTED_VALUE"""),"")</f>
        <v/>
      </c>
      <c r="M213" s="253" t="str">
        <f t="shared" si="3"/>
        <v/>
      </c>
      <c r="N213" s="319" t="str">
        <f>IFERROR(__xludf.DUMMYFUNCTION("""COMPUTED_VALUE"""),"")</f>
        <v/>
      </c>
      <c r="O213" s="257" t="str">
        <f>IFERROR(__xludf.DUMMYFUNCTION("""COMPUTED_VALUE"""),"")</f>
        <v/>
      </c>
      <c r="P213" s="247" t="str">
        <f t="shared" si="4"/>
        <v/>
      </c>
      <c r="Q213" s="320" t="str">
        <f>IFERROR(__xludf.DUMMYFUNCTION("""COMPUTED_VALUE"""),"")</f>
        <v/>
      </c>
      <c r="R213" s="259" t="str">
        <f>IFERROR(__xludf.DUMMYFUNCTION("""COMPUTED_VALUE"""),"")</f>
        <v/>
      </c>
      <c r="S213" s="250" t="str">
        <f t="shared" si="5"/>
        <v/>
      </c>
      <c r="T213" s="254" t="str">
        <f>IFERROR(__xludf.DUMMYFUNCTION("""COMPUTED_VALUE"""),"")</f>
        <v/>
      </c>
      <c r="U213" s="246" t="str">
        <f>IFERROR(__xludf.DUMMYFUNCTION("""COMPUTED_VALUE"""),"")</f>
        <v/>
      </c>
      <c r="V213" s="247" t="str">
        <f t="shared" si="6"/>
        <v/>
      </c>
      <c r="W213" s="255" t="str">
        <f>IFERROR(__xludf.DUMMYFUNCTION("""COMPUTED_VALUE"""),"")</f>
        <v/>
      </c>
      <c r="X213" s="249" t="str">
        <f>IFERROR(__xludf.DUMMYFUNCTION("""COMPUTED_VALUE"""),"")</f>
        <v/>
      </c>
      <c r="Y213" s="250" t="str">
        <f t="shared" si="7"/>
        <v/>
      </c>
    </row>
    <row r="214">
      <c r="A214" s="136" t="s">
        <v>15</v>
      </c>
      <c r="B214" s="146">
        <v>46113.0</v>
      </c>
      <c r="C214" s="136" t="s">
        <v>45</v>
      </c>
      <c r="D214" s="136" t="s">
        <v>148</v>
      </c>
      <c r="E214" s="256" t="str">
        <f>IFERROR(__xludf.DUMMYFUNCTION("""COMPUTED_VALUE"""),"")</f>
        <v/>
      </c>
      <c r="F214" s="257" t="str">
        <f>IFERROR(__xludf.DUMMYFUNCTION("""COMPUTED_VALUE"""),"")</f>
        <v/>
      </c>
      <c r="G214" s="247" t="str">
        <f t="shared" si="1"/>
        <v/>
      </c>
      <c r="H214" s="258" t="str">
        <f>IFERROR(__xludf.DUMMYFUNCTION("""COMPUTED_VALUE"""),"")</f>
        <v/>
      </c>
      <c r="I214" s="259" t="str">
        <f>IFERROR(__xludf.DUMMYFUNCTION("""COMPUTED_VALUE"""),"")</f>
        <v/>
      </c>
      <c r="J214" s="250" t="str">
        <f t="shared" si="2"/>
        <v/>
      </c>
      <c r="K214" s="317" t="str">
        <f>IFERROR(__xludf.DUMMYFUNCTION("""COMPUTED_VALUE"""),"")</f>
        <v/>
      </c>
      <c r="L214" s="318" t="str">
        <f>IFERROR(__xludf.DUMMYFUNCTION("""COMPUTED_VALUE"""),"")</f>
        <v/>
      </c>
      <c r="M214" s="253" t="str">
        <f t="shared" si="3"/>
        <v/>
      </c>
      <c r="N214" s="319" t="str">
        <f>IFERROR(__xludf.DUMMYFUNCTION("""COMPUTED_VALUE"""),"")</f>
        <v/>
      </c>
      <c r="O214" s="257" t="str">
        <f>IFERROR(__xludf.DUMMYFUNCTION("""COMPUTED_VALUE"""),"")</f>
        <v/>
      </c>
      <c r="P214" s="247" t="str">
        <f t="shared" si="4"/>
        <v/>
      </c>
      <c r="Q214" s="320" t="str">
        <f>IFERROR(__xludf.DUMMYFUNCTION("""COMPUTED_VALUE"""),"")</f>
        <v/>
      </c>
      <c r="R214" s="259" t="str">
        <f>IFERROR(__xludf.DUMMYFUNCTION("""COMPUTED_VALUE"""),"")</f>
        <v/>
      </c>
      <c r="S214" s="250" t="str">
        <f t="shared" si="5"/>
        <v/>
      </c>
      <c r="T214" s="254" t="str">
        <f>IFERROR(__xludf.DUMMYFUNCTION("""COMPUTED_VALUE"""),"")</f>
        <v/>
      </c>
      <c r="U214" s="246" t="str">
        <f>IFERROR(__xludf.DUMMYFUNCTION("""COMPUTED_VALUE"""),"")</f>
        <v/>
      </c>
      <c r="V214" s="247" t="str">
        <f t="shared" si="6"/>
        <v/>
      </c>
      <c r="W214" s="255" t="str">
        <f>IFERROR(__xludf.DUMMYFUNCTION("""COMPUTED_VALUE"""),"")</f>
        <v/>
      </c>
      <c r="X214" s="249" t="str">
        <f>IFERROR(__xludf.DUMMYFUNCTION("""COMPUTED_VALUE"""),"")</f>
        <v/>
      </c>
      <c r="Y214" s="250" t="str">
        <f t="shared" si="7"/>
        <v/>
      </c>
    </row>
    <row r="215">
      <c r="A215" s="136" t="s">
        <v>18</v>
      </c>
      <c r="B215" s="146">
        <v>46113.0</v>
      </c>
      <c r="C215" s="136" t="s">
        <v>45</v>
      </c>
      <c r="D215" s="136" t="s">
        <v>148</v>
      </c>
      <c r="E215" s="256" t="str">
        <f>IFERROR(__xludf.DUMMYFUNCTION("""COMPUTED_VALUE"""),"")</f>
        <v/>
      </c>
      <c r="F215" s="257" t="str">
        <f>IFERROR(__xludf.DUMMYFUNCTION("""COMPUTED_VALUE"""),"")</f>
        <v/>
      </c>
      <c r="G215" s="247" t="str">
        <f t="shared" si="1"/>
        <v/>
      </c>
      <c r="H215" s="258" t="str">
        <f>IFERROR(__xludf.DUMMYFUNCTION("""COMPUTED_VALUE"""),"")</f>
        <v/>
      </c>
      <c r="I215" s="259" t="str">
        <f>IFERROR(__xludf.DUMMYFUNCTION("""COMPUTED_VALUE"""),"")</f>
        <v/>
      </c>
      <c r="J215" s="250" t="str">
        <f t="shared" si="2"/>
        <v/>
      </c>
      <c r="K215" s="317" t="str">
        <f>IFERROR(__xludf.DUMMYFUNCTION("""COMPUTED_VALUE"""),"")</f>
        <v/>
      </c>
      <c r="L215" s="318" t="str">
        <f>IFERROR(__xludf.DUMMYFUNCTION("""COMPUTED_VALUE"""),"")</f>
        <v/>
      </c>
      <c r="M215" s="253" t="str">
        <f t="shared" si="3"/>
        <v/>
      </c>
      <c r="N215" s="319" t="str">
        <f>IFERROR(__xludf.DUMMYFUNCTION("""COMPUTED_VALUE"""),"")</f>
        <v/>
      </c>
      <c r="O215" s="257" t="str">
        <f>IFERROR(__xludf.DUMMYFUNCTION("""COMPUTED_VALUE"""),"")</f>
        <v/>
      </c>
      <c r="P215" s="247" t="str">
        <f t="shared" si="4"/>
        <v/>
      </c>
      <c r="Q215" s="320" t="str">
        <f>IFERROR(__xludf.DUMMYFUNCTION("""COMPUTED_VALUE"""),"")</f>
        <v/>
      </c>
      <c r="R215" s="259" t="str">
        <f>IFERROR(__xludf.DUMMYFUNCTION("""COMPUTED_VALUE"""),"")</f>
        <v/>
      </c>
      <c r="S215" s="250" t="str">
        <f t="shared" si="5"/>
        <v/>
      </c>
      <c r="T215" s="254" t="str">
        <f>IFERROR(__xludf.DUMMYFUNCTION("""COMPUTED_VALUE"""),"")</f>
        <v/>
      </c>
      <c r="U215" s="246" t="str">
        <f>IFERROR(__xludf.DUMMYFUNCTION("""COMPUTED_VALUE"""),"")</f>
        <v/>
      </c>
      <c r="V215" s="247" t="str">
        <f t="shared" si="6"/>
        <v/>
      </c>
      <c r="W215" s="255" t="str">
        <f>IFERROR(__xludf.DUMMYFUNCTION("""COMPUTED_VALUE"""),"")</f>
        <v/>
      </c>
      <c r="X215" s="249" t="str">
        <f>IFERROR(__xludf.DUMMYFUNCTION("""COMPUTED_VALUE"""),"")</f>
        <v/>
      </c>
      <c r="Y215" s="250" t="str">
        <f t="shared" si="7"/>
        <v/>
      </c>
    </row>
    <row r="216">
      <c r="A216" s="136" t="s">
        <v>18</v>
      </c>
      <c r="B216" s="146">
        <v>46113.0</v>
      </c>
      <c r="C216" s="136" t="s">
        <v>45</v>
      </c>
      <c r="D216" s="136" t="s">
        <v>149</v>
      </c>
      <c r="E216" s="256">
        <f>IFERROR(__xludf.DUMMYFUNCTION("""COMPUTED_VALUE"""),95.0)</f>
        <v>95</v>
      </c>
      <c r="F216" s="257">
        <f>IFERROR(__xludf.DUMMYFUNCTION("""COMPUTED_VALUE"""),0.10069444445252884)</f>
        <v>0.1006944445</v>
      </c>
      <c r="G216" s="247">
        <f t="shared" si="1"/>
        <v>39.31034482</v>
      </c>
      <c r="H216" s="258">
        <f>IFERROR(__xludf.DUMMYFUNCTION("""COMPUTED_VALUE"""),167.0)</f>
        <v>167</v>
      </c>
      <c r="I216" s="259">
        <f>IFERROR(__xludf.DUMMYFUNCTION("""COMPUTED_VALUE"""),0.19444444444525288)</f>
        <v>0.1944444444</v>
      </c>
      <c r="J216" s="250">
        <f t="shared" si="2"/>
        <v>35.78571429</v>
      </c>
      <c r="K216" s="317">
        <f>IFERROR(__xludf.DUMMYFUNCTION("""COMPUTED_VALUE"""),89.0)</f>
        <v>89</v>
      </c>
      <c r="L216" s="318">
        <f>IFERROR(__xludf.DUMMYFUNCTION("""COMPUTED_VALUE"""),0.07013888889196096)</f>
        <v>0.07013888889</v>
      </c>
      <c r="M216" s="253">
        <f t="shared" si="3"/>
        <v>52.87128713</v>
      </c>
      <c r="N216" s="319">
        <f>IFERROR(__xludf.DUMMYFUNCTION("""COMPUTED_VALUE"""),0.0)</f>
        <v>0</v>
      </c>
      <c r="O216" s="257">
        <f>IFERROR(__xludf.DUMMYFUNCTION("""COMPUTED_VALUE"""),0.0)</f>
        <v>0</v>
      </c>
      <c r="P216" s="247" t="str">
        <f t="shared" si="4"/>
        <v/>
      </c>
      <c r="Q216" s="320">
        <f>IFERROR(__xludf.DUMMYFUNCTION("""COMPUTED_VALUE"""),157.0)</f>
        <v>157</v>
      </c>
      <c r="R216" s="259">
        <f>IFERROR(__xludf.DUMMYFUNCTION("""COMPUTED_VALUE"""),0.16666666666424135)</f>
        <v>0.1666666667</v>
      </c>
      <c r="S216" s="250">
        <f t="shared" si="5"/>
        <v>39.25</v>
      </c>
      <c r="T216" s="254">
        <f>IFERROR(__xludf.DUMMYFUNCTION("""COMPUTED_VALUE"""),95.0)</f>
        <v>95</v>
      </c>
      <c r="U216" s="246">
        <f>IFERROR(__xludf.DUMMYFUNCTION("""COMPUTED_VALUE"""),0.10069444445252884)</f>
        <v>0.1006944445</v>
      </c>
      <c r="V216" s="247">
        <f t="shared" si="6"/>
        <v>39.31034482</v>
      </c>
      <c r="W216" s="255">
        <f>IFERROR(__xludf.DUMMYFUNCTION("""COMPUTED_VALUE"""),324.0)</f>
        <v>324</v>
      </c>
      <c r="X216" s="249">
        <f>IFERROR(__xludf.DUMMYFUNCTION("""COMPUTED_VALUE"""),0.36111111110949423)</f>
        <v>0.3611111111</v>
      </c>
      <c r="Y216" s="250">
        <f t="shared" si="7"/>
        <v>37.38461538</v>
      </c>
    </row>
    <row r="217">
      <c r="A217" s="136" t="s">
        <v>18</v>
      </c>
      <c r="B217" s="146">
        <v>46113.0</v>
      </c>
      <c r="C217" s="136" t="s">
        <v>45</v>
      </c>
      <c r="D217" s="136" t="s">
        <v>148</v>
      </c>
      <c r="E217" s="256" t="str">
        <f>IFERROR(__xludf.DUMMYFUNCTION("""COMPUTED_VALUE"""),"")</f>
        <v/>
      </c>
      <c r="F217" s="257" t="str">
        <f>IFERROR(__xludf.DUMMYFUNCTION("""COMPUTED_VALUE"""),"")</f>
        <v/>
      </c>
      <c r="G217" s="247" t="str">
        <f t="shared" si="1"/>
        <v/>
      </c>
      <c r="H217" s="258" t="str">
        <f>IFERROR(__xludf.DUMMYFUNCTION("""COMPUTED_VALUE"""),"")</f>
        <v/>
      </c>
      <c r="I217" s="259" t="str">
        <f>IFERROR(__xludf.DUMMYFUNCTION("""COMPUTED_VALUE"""),"")</f>
        <v/>
      </c>
      <c r="J217" s="250" t="str">
        <f t="shared" si="2"/>
        <v/>
      </c>
      <c r="K217" s="317" t="str">
        <f>IFERROR(__xludf.DUMMYFUNCTION("""COMPUTED_VALUE"""),"")</f>
        <v/>
      </c>
      <c r="L217" s="318" t="str">
        <f>IFERROR(__xludf.DUMMYFUNCTION("""COMPUTED_VALUE"""),"")</f>
        <v/>
      </c>
      <c r="M217" s="253" t="str">
        <f t="shared" si="3"/>
        <v/>
      </c>
      <c r="N217" s="319" t="str">
        <f>IFERROR(__xludf.DUMMYFUNCTION("""COMPUTED_VALUE"""),"")</f>
        <v/>
      </c>
      <c r="O217" s="257" t="str">
        <f>IFERROR(__xludf.DUMMYFUNCTION("""COMPUTED_VALUE"""),"")</f>
        <v/>
      </c>
      <c r="P217" s="247" t="str">
        <f t="shared" si="4"/>
        <v/>
      </c>
      <c r="Q217" s="320" t="str">
        <f>IFERROR(__xludf.DUMMYFUNCTION("""COMPUTED_VALUE"""),"")</f>
        <v/>
      </c>
      <c r="R217" s="259" t="str">
        <f>IFERROR(__xludf.DUMMYFUNCTION("""COMPUTED_VALUE"""),"")</f>
        <v/>
      </c>
      <c r="S217" s="250" t="str">
        <f t="shared" si="5"/>
        <v/>
      </c>
      <c r="T217" s="254" t="str">
        <f>IFERROR(__xludf.DUMMYFUNCTION("""COMPUTED_VALUE"""),"")</f>
        <v/>
      </c>
      <c r="U217" s="246" t="str">
        <f>IFERROR(__xludf.DUMMYFUNCTION("""COMPUTED_VALUE"""),"")</f>
        <v/>
      </c>
      <c r="V217" s="247" t="str">
        <f t="shared" si="6"/>
        <v/>
      </c>
      <c r="W217" s="255" t="str">
        <f>IFERROR(__xludf.DUMMYFUNCTION("""COMPUTED_VALUE"""),"")</f>
        <v/>
      </c>
      <c r="X217" s="249" t="str">
        <f>IFERROR(__xludf.DUMMYFUNCTION("""COMPUTED_VALUE"""),"")</f>
        <v/>
      </c>
      <c r="Y217" s="250" t="str">
        <f t="shared" si="7"/>
        <v/>
      </c>
    </row>
    <row r="218">
      <c r="A218" s="136" t="s">
        <v>12</v>
      </c>
      <c r="B218" s="146">
        <v>46114.0</v>
      </c>
      <c r="C218" s="136" t="s">
        <v>49</v>
      </c>
      <c r="D218" s="136" t="s">
        <v>149</v>
      </c>
      <c r="E218" s="256" t="str">
        <f>IFERROR(__xludf.DUMMYFUNCTION("""COMPUTED_VALUE"""),"")</f>
        <v/>
      </c>
      <c r="F218" s="257" t="str">
        <f>IFERROR(__xludf.DUMMYFUNCTION("""COMPUTED_VALUE"""),"")</f>
        <v/>
      </c>
      <c r="G218" s="247" t="str">
        <f t="shared" si="1"/>
        <v/>
      </c>
      <c r="H218" s="258" t="str">
        <f>IFERROR(__xludf.DUMMYFUNCTION("""COMPUTED_VALUE"""),"")</f>
        <v/>
      </c>
      <c r="I218" s="259" t="str">
        <f>IFERROR(__xludf.DUMMYFUNCTION("""COMPUTED_VALUE"""),"")</f>
        <v/>
      </c>
      <c r="J218" s="250" t="str">
        <f t="shared" si="2"/>
        <v/>
      </c>
      <c r="K218" s="317" t="str">
        <f>IFERROR(__xludf.DUMMYFUNCTION("""COMPUTED_VALUE"""),"")</f>
        <v/>
      </c>
      <c r="L218" s="318" t="str">
        <f>IFERROR(__xludf.DUMMYFUNCTION("""COMPUTED_VALUE"""),"")</f>
        <v/>
      </c>
      <c r="M218" s="253" t="str">
        <f t="shared" si="3"/>
        <v/>
      </c>
      <c r="N218" s="319" t="str">
        <f>IFERROR(__xludf.DUMMYFUNCTION("""COMPUTED_VALUE"""),"")</f>
        <v/>
      </c>
      <c r="O218" s="257" t="str">
        <f>IFERROR(__xludf.DUMMYFUNCTION("""COMPUTED_VALUE"""),"")</f>
        <v/>
      </c>
      <c r="P218" s="247" t="str">
        <f t="shared" si="4"/>
        <v/>
      </c>
      <c r="Q218" s="320" t="str">
        <f>IFERROR(__xludf.DUMMYFUNCTION("""COMPUTED_VALUE"""),"")</f>
        <v/>
      </c>
      <c r="R218" s="259" t="str">
        <f>IFERROR(__xludf.DUMMYFUNCTION("""COMPUTED_VALUE"""),"")</f>
        <v/>
      </c>
      <c r="S218" s="250" t="str">
        <f t="shared" si="5"/>
        <v/>
      </c>
      <c r="T218" s="254" t="str">
        <f>IFERROR(__xludf.DUMMYFUNCTION("""COMPUTED_VALUE"""),"")</f>
        <v/>
      </c>
      <c r="U218" s="246" t="str">
        <f>IFERROR(__xludf.DUMMYFUNCTION("""COMPUTED_VALUE"""),"")</f>
        <v/>
      </c>
      <c r="V218" s="247" t="str">
        <f t="shared" si="6"/>
        <v/>
      </c>
      <c r="W218" s="255" t="str">
        <f>IFERROR(__xludf.DUMMYFUNCTION("""COMPUTED_VALUE"""),"")</f>
        <v/>
      </c>
      <c r="X218" s="249" t="str">
        <f>IFERROR(__xludf.DUMMYFUNCTION("""COMPUTED_VALUE"""),"")</f>
        <v/>
      </c>
      <c r="Y218" s="250" t="str">
        <f t="shared" si="7"/>
        <v/>
      </c>
    </row>
    <row r="219">
      <c r="A219" s="136" t="s">
        <v>12</v>
      </c>
      <c r="B219" s="146">
        <v>46114.0</v>
      </c>
      <c r="C219" s="136" t="s">
        <v>49</v>
      </c>
      <c r="D219" s="136" t="s">
        <v>149</v>
      </c>
      <c r="E219" s="256" t="str">
        <f>IFERROR(__xludf.DUMMYFUNCTION("""COMPUTED_VALUE"""),"")</f>
        <v/>
      </c>
      <c r="F219" s="257" t="str">
        <f>IFERROR(__xludf.DUMMYFUNCTION("""COMPUTED_VALUE"""),"")</f>
        <v/>
      </c>
      <c r="G219" s="247" t="str">
        <f t="shared" si="1"/>
        <v/>
      </c>
      <c r="H219" s="258" t="str">
        <f>IFERROR(__xludf.DUMMYFUNCTION("""COMPUTED_VALUE"""),"")</f>
        <v/>
      </c>
      <c r="I219" s="259" t="str">
        <f>IFERROR(__xludf.DUMMYFUNCTION("""COMPUTED_VALUE"""),"")</f>
        <v/>
      </c>
      <c r="J219" s="250" t="str">
        <f t="shared" si="2"/>
        <v/>
      </c>
      <c r="K219" s="317" t="str">
        <f>IFERROR(__xludf.DUMMYFUNCTION("""COMPUTED_VALUE"""),"")</f>
        <v/>
      </c>
      <c r="L219" s="318" t="str">
        <f>IFERROR(__xludf.DUMMYFUNCTION("""COMPUTED_VALUE"""),"")</f>
        <v/>
      </c>
      <c r="M219" s="253" t="str">
        <f t="shared" si="3"/>
        <v/>
      </c>
      <c r="N219" s="319" t="str">
        <f>IFERROR(__xludf.DUMMYFUNCTION("""COMPUTED_VALUE"""),"")</f>
        <v/>
      </c>
      <c r="O219" s="257" t="str">
        <f>IFERROR(__xludf.DUMMYFUNCTION("""COMPUTED_VALUE"""),"")</f>
        <v/>
      </c>
      <c r="P219" s="247" t="str">
        <f t="shared" si="4"/>
        <v/>
      </c>
      <c r="Q219" s="320" t="str">
        <f>IFERROR(__xludf.DUMMYFUNCTION("""COMPUTED_VALUE"""),"")</f>
        <v/>
      </c>
      <c r="R219" s="259" t="str">
        <f>IFERROR(__xludf.DUMMYFUNCTION("""COMPUTED_VALUE"""),"")</f>
        <v/>
      </c>
      <c r="S219" s="250" t="str">
        <f t="shared" si="5"/>
        <v/>
      </c>
      <c r="T219" s="254" t="str">
        <f>IFERROR(__xludf.DUMMYFUNCTION("""COMPUTED_VALUE"""),"")</f>
        <v/>
      </c>
      <c r="U219" s="246" t="str">
        <f>IFERROR(__xludf.DUMMYFUNCTION("""COMPUTED_VALUE"""),"")</f>
        <v/>
      </c>
      <c r="V219" s="247" t="str">
        <f t="shared" si="6"/>
        <v/>
      </c>
      <c r="W219" s="255" t="str">
        <f>IFERROR(__xludf.DUMMYFUNCTION("""COMPUTED_VALUE"""),"")</f>
        <v/>
      </c>
      <c r="X219" s="249" t="str">
        <f>IFERROR(__xludf.DUMMYFUNCTION("""COMPUTED_VALUE"""),"")</f>
        <v/>
      </c>
      <c r="Y219" s="250" t="str">
        <f t="shared" si="7"/>
        <v/>
      </c>
    </row>
    <row r="220">
      <c r="A220" s="136" t="s">
        <v>134</v>
      </c>
      <c r="B220" s="146">
        <v>46114.0</v>
      </c>
      <c r="C220" s="136" t="s">
        <v>49</v>
      </c>
      <c r="D220" s="136" t="s">
        <v>149</v>
      </c>
      <c r="E220" s="256" t="str">
        <f>IFERROR(__xludf.DUMMYFUNCTION("""COMPUTED_VALUE"""),"")</f>
        <v/>
      </c>
      <c r="F220" s="257" t="str">
        <f>IFERROR(__xludf.DUMMYFUNCTION("""COMPUTED_VALUE"""),"")</f>
        <v/>
      </c>
      <c r="G220" s="247" t="str">
        <f t="shared" si="1"/>
        <v/>
      </c>
      <c r="H220" s="258" t="str">
        <f>IFERROR(__xludf.DUMMYFUNCTION("""COMPUTED_VALUE"""),"")</f>
        <v/>
      </c>
      <c r="I220" s="259" t="str">
        <f>IFERROR(__xludf.DUMMYFUNCTION("""COMPUTED_VALUE"""),"")</f>
        <v/>
      </c>
      <c r="J220" s="250" t="str">
        <f t="shared" si="2"/>
        <v/>
      </c>
      <c r="K220" s="317" t="str">
        <f>IFERROR(__xludf.DUMMYFUNCTION("""COMPUTED_VALUE"""),"")</f>
        <v/>
      </c>
      <c r="L220" s="318" t="str">
        <f>IFERROR(__xludf.DUMMYFUNCTION("""COMPUTED_VALUE"""),"")</f>
        <v/>
      </c>
      <c r="M220" s="253" t="str">
        <f t="shared" si="3"/>
        <v/>
      </c>
      <c r="N220" s="319" t="str">
        <f>IFERROR(__xludf.DUMMYFUNCTION("""COMPUTED_VALUE"""),"")</f>
        <v/>
      </c>
      <c r="O220" s="257" t="str">
        <f>IFERROR(__xludf.DUMMYFUNCTION("""COMPUTED_VALUE"""),"")</f>
        <v/>
      </c>
      <c r="P220" s="247" t="str">
        <f t="shared" si="4"/>
        <v/>
      </c>
      <c r="Q220" s="320" t="str">
        <f>IFERROR(__xludf.DUMMYFUNCTION("""COMPUTED_VALUE"""),"")</f>
        <v/>
      </c>
      <c r="R220" s="259" t="str">
        <f>IFERROR(__xludf.DUMMYFUNCTION("""COMPUTED_VALUE"""),"")</f>
        <v/>
      </c>
      <c r="S220" s="250" t="str">
        <f t="shared" si="5"/>
        <v/>
      </c>
      <c r="T220" s="254" t="str">
        <f>IFERROR(__xludf.DUMMYFUNCTION("""COMPUTED_VALUE"""),"")</f>
        <v/>
      </c>
      <c r="U220" s="246" t="str">
        <f>IFERROR(__xludf.DUMMYFUNCTION("""COMPUTED_VALUE"""),"")</f>
        <v/>
      </c>
      <c r="V220" s="247" t="str">
        <f t="shared" si="6"/>
        <v/>
      </c>
      <c r="W220" s="255" t="str">
        <f>IFERROR(__xludf.DUMMYFUNCTION("""COMPUTED_VALUE"""),"")</f>
        <v/>
      </c>
      <c r="X220" s="249" t="str">
        <f>IFERROR(__xludf.DUMMYFUNCTION("""COMPUTED_VALUE"""),"")</f>
        <v/>
      </c>
      <c r="Y220" s="250" t="str">
        <f t="shared" si="7"/>
        <v/>
      </c>
    </row>
    <row r="221">
      <c r="A221" s="136" t="s">
        <v>15</v>
      </c>
      <c r="B221" s="146">
        <v>46114.0</v>
      </c>
      <c r="C221" s="136" t="s">
        <v>49</v>
      </c>
      <c r="D221" s="136" t="s">
        <v>148</v>
      </c>
      <c r="E221" s="256" t="str">
        <f>IFERROR(__xludf.DUMMYFUNCTION("""COMPUTED_VALUE"""),"")</f>
        <v/>
      </c>
      <c r="F221" s="257" t="str">
        <f>IFERROR(__xludf.DUMMYFUNCTION("""COMPUTED_VALUE"""),"")</f>
        <v/>
      </c>
      <c r="G221" s="247" t="str">
        <f t="shared" si="1"/>
        <v/>
      </c>
      <c r="H221" s="258" t="str">
        <f>IFERROR(__xludf.DUMMYFUNCTION("""COMPUTED_VALUE"""),"")</f>
        <v/>
      </c>
      <c r="I221" s="259" t="str">
        <f>IFERROR(__xludf.DUMMYFUNCTION("""COMPUTED_VALUE"""),"")</f>
        <v/>
      </c>
      <c r="J221" s="250" t="str">
        <f t="shared" si="2"/>
        <v/>
      </c>
      <c r="K221" s="317" t="str">
        <f>IFERROR(__xludf.DUMMYFUNCTION("""COMPUTED_VALUE"""),"")</f>
        <v/>
      </c>
      <c r="L221" s="318" t="str">
        <f>IFERROR(__xludf.DUMMYFUNCTION("""COMPUTED_VALUE"""),"")</f>
        <v/>
      </c>
      <c r="M221" s="253" t="str">
        <f t="shared" si="3"/>
        <v/>
      </c>
      <c r="N221" s="319" t="str">
        <f>IFERROR(__xludf.DUMMYFUNCTION("""COMPUTED_VALUE"""),"")</f>
        <v/>
      </c>
      <c r="O221" s="257" t="str">
        <f>IFERROR(__xludf.DUMMYFUNCTION("""COMPUTED_VALUE"""),"")</f>
        <v/>
      </c>
      <c r="P221" s="247" t="str">
        <f t="shared" si="4"/>
        <v/>
      </c>
      <c r="Q221" s="320" t="str">
        <f>IFERROR(__xludf.DUMMYFUNCTION("""COMPUTED_VALUE"""),"")</f>
        <v/>
      </c>
      <c r="R221" s="259" t="str">
        <f>IFERROR(__xludf.DUMMYFUNCTION("""COMPUTED_VALUE"""),"")</f>
        <v/>
      </c>
      <c r="S221" s="250" t="str">
        <f t="shared" si="5"/>
        <v/>
      </c>
      <c r="T221" s="254" t="str">
        <f>IFERROR(__xludf.DUMMYFUNCTION("""COMPUTED_VALUE"""),"")</f>
        <v/>
      </c>
      <c r="U221" s="246" t="str">
        <f>IFERROR(__xludf.DUMMYFUNCTION("""COMPUTED_VALUE"""),"")</f>
        <v/>
      </c>
      <c r="V221" s="247" t="str">
        <f t="shared" si="6"/>
        <v/>
      </c>
      <c r="W221" s="255" t="str">
        <f>IFERROR(__xludf.DUMMYFUNCTION("""COMPUTED_VALUE"""),"")</f>
        <v/>
      </c>
      <c r="X221" s="249" t="str">
        <f>IFERROR(__xludf.DUMMYFUNCTION("""COMPUTED_VALUE"""),"")</f>
        <v/>
      </c>
      <c r="Y221" s="250" t="str">
        <f t="shared" si="7"/>
        <v/>
      </c>
    </row>
    <row r="222">
      <c r="A222" s="136" t="s">
        <v>15</v>
      </c>
      <c r="B222" s="146">
        <v>46114.0</v>
      </c>
      <c r="C222" s="136" t="s">
        <v>49</v>
      </c>
      <c r="D222" s="136" t="s">
        <v>149</v>
      </c>
      <c r="E222" s="256" t="str">
        <f>IFERROR(__xludf.DUMMYFUNCTION("""COMPUTED_VALUE"""),"")</f>
        <v/>
      </c>
      <c r="F222" s="257" t="str">
        <f>IFERROR(__xludf.DUMMYFUNCTION("""COMPUTED_VALUE"""),"")</f>
        <v/>
      </c>
      <c r="G222" s="247" t="str">
        <f t="shared" si="1"/>
        <v/>
      </c>
      <c r="H222" s="258" t="str">
        <f>IFERROR(__xludf.DUMMYFUNCTION("""COMPUTED_VALUE"""),"")</f>
        <v/>
      </c>
      <c r="I222" s="259" t="str">
        <f>IFERROR(__xludf.DUMMYFUNCTION("""COMPUTED_VALUE"""),"")</f>
        <v/>
      </c>
      <c r="J222" s="250" t="str">
        <f t="shared" si="2"/>
        <v/>
      </c>
      <c r="K222" s="317" t="str">
        <f>IFERROR(__xludf.DUMMYFUNCTION("""COMPUTED_VALUE"""),"")</f>
        <v/>
      </c>
      <c r="L222" s="318" t="str">
        <f>IFERROR(__xludf.DUMMYFUNCTION("""COMPUTED_VALUE"""),"")</f>
        <v/>
      </c>
      <c r="M222" s="253" t="str">
        <f t="shared" si="3"/>
        <v/>
      </c>
      <c r="N222" s="319" t="str">
        <f>IFERROR(__xludf.DUMMYFUNCTION("""COMPUTED_VALUE"""),"")</f>
        <v/>
      </c>
      <c r="O222" s="257" t="str">
        <f>IFERROR(__xludf.DUMMYFUNCTION("""COMPUTED_VALUE"""),"")</f>
        <v/>
      </c>
      <c r="P222" s="247" t="str">
        <f t="shared" si="4"/>
        <v/>
      </c>
      <c r="Q222" s="320" t="str">
        <f>IFERROR(__xludf.DUMMYFUNCTION("""COMPUTED_VALUE"""),"")</f>
        <v/>
      </c>
      <c r="R222" s="259" t="str">
        <f>IFERROR(__xludf.DUMMYFUNCTION("""COMPUTED_VALUE"""),"")</f>
        <v/>
      </c>
      <c r="S222" s="250" t="str">
        <f t="shared" si="5"/>
        <v/>
      </c>
      <c r="T222" s="254" t="str">
        <f>IFERROR(__xludf.DUMMYFUNCTION("""COMPUTED_VALUE"""),"")</f>
        <v/>
      </c>
      <c r="U222" s="246" t="str">
        <f>IFERROR(__xludf.DUMMYFUNCTION("""COMPUTED_VALUE"""),"")</f>
        <v/>
      </c>
      <c r="V222" s="247" t="str">
        <f t="shared" si="6"/>
        <v/>
      </c>
      <c r="W222" s="255" t="str">
        <f>IFERROR(__xludf.DUMMYFUNCTION("""COMPUTED_VALUE"""),"")</f>
        <v/>
      </c>
      <c r="X222" s="249" t="str">
        <f>IFERROR(__xludf.DUMMYFUNCTION("""COMPUTED_VALUE"""),"")</f>
        <v/>
      </c>
      <c r="Y222" s="250" t="str">
        <f t="shared" si="7"/>
        <v/>
      </c>
    </row>
    <row r="223">
      <c r="A223" s="136" t="s">
        <v>15</v>
      </c>
      <c r="B223" s="146">
        <v>46114.0</v>
      </c>
      <c r="C223" s="136" t="s">
        <v>49</v>
      </c>
      <c r="D223" s="136" t="s">
        <v>149</v>
      </c>
      <c r="E223" s="256">
        <f>IFERROR(__xludf.DUMMYFUNCTION("""COMPUTED_VALUE"""),70.0)</f>
        <v>70</v>
      </c>
      <c r="F223" s="257">
        <f>IFERROR(__xludf.DUMMYFUNCTION("""COMPUTED_VALUE"""),0.05208333333575865)</f>
        <v>0.05208333334</v>
      </c>
      <c r="G223" s="247">
        <f t="shared" si="1"/>
        <v>56</v>
      </c>
      <c r="H223" s="258">
        <f>IFERROR(__xludf.DUMMYFUNCTION("""COMPUTED_VALUE"""),0.0)</f>
        <v>0</v>
      </c>
      <c r="I223" s="259">
        <f>IFERROR(__xludf.DUMMYFUNCTION("""COMPUTED_VALUE"""),0.0)</f>
        <v>0</v>
      </c>
      <c r="J223" s="250" t="str">
        <f t="shared" si="2"/>
        <v/>
      </c>
      <c r="K223" s="317">
        <f>IFERROR(__xludf.DUMMYFUNCTION("""COMPUTED_VALUE"""),64.0)</f>
        <v>64</v>
      </c>
      <c r="L223" s="318">
        <f>IFERROR(__xludf.DUMMYFUNCTION("""COMPUTED_VALUE"""),0.11805555555474712)</f>
        <v>0.1180555556</v>
      </c>
      <c r="M223" s="253">
        <f t="shared" si="3"/>
        <v>22.58823529</v>
      </c>
      <c r="N223" s="319">
        <f>IFERROR(__xludf.DUMMYFUNCTION("""COMPUTED_VALUE"""),190.0)</f>
        <v>190</v>
      </c>
      <c r="O223" s="257">
        <f>IFERROR(__xludf.DUMMYFUNCTION("""COMPUTED_VALUE"""),0.13749999999708962)</f>
        <v>0.1375</v>
      </c>
      <c r="P223" s="247">
        <f t="shared" si="4"/>
        <v>57.57575758</v>
      </c>
      <c r="Q223" s="320">
        <f>IFERROR(__xludf.DUMMYFUNCTION("""COMPUTED_VALUE"""),160.0)</f>
        <v>160</v>
      </c>
      <c r="R223" s="259">
        <f>IFERROR(__xludf.DUMMYFUNCTION("""COMPUTED_VALUE"""),0.16666666666424135)</f>
        <v>0.1666666667</v>
      </c>
      <c r="S223" s="250">
        <f t="shared" si="5"/>
        <v>40</v>
      </c>
      <c r="T223" s="254">
        <f>IFERROR(__xludf.DUMMYFUNCTION("""COMPUTED_VALUE"""),260.0)</f>
        <v>260</v>
      </c>
      <c r="U223" s="246">
        <f>IFERROR(__xludf.DUMMYFUNCTION("""COMPUTED_VALUE"""),0.18958333333284827)</f>
        <v>0.1895833333</v>
      </c>
      <c r="V223" s="247">
        <f t="shared" si="6"/>
        <v>57.14285714</v>
      </c>
      <c r="W223" s="255">
        <f>IFERROR(__xludf.DUMMYFUNCTION("""COMPUTED_VALUE"""),160.0)</f>
        <v>160</v>
      </c>
      <c r="X223" s="249">
        <f>IFERROR(__xludf.DUMMYFUNCTION("""COMPUTED_VALUE"""),0.16666666666424135)</f>
        <v>0.1666666667</v>
      </c>
      <c r="Y223" s="250">
        <f t="shared" si="7"/>
        <v>40</v>
      </c>
    </row>
    <row r="224">
      <c r="A224" s="136" t="s">
        <v>18</v>
      </c>
      <c r="B224" s="146">
        <v>46114.0</v>
      </c>
      <c r="C224" s="136" t="s">
        <v>49</v>
      </c>
      <c r="D224" s="136" t="s">
        <v>149</v>
      </c>
      <c r="E224" s="256" t="str">
        <f>IFERROR(__xludf.DUMMYFUNCTION("""COMPUTED_VALUE"""),"")</f>
        <v/>
      </c>
      <c r="F224" s="257" t="str">
        <f>IFERROR(__xludf.DUMMYFUNCTION("""COMPUTED_VALUE"""),"")</f>
        <v/>
      </c>
      <c r="G224" s="247" t="str">
        <f t="shared" si="1"/>
        <v/>
      </c>
      <c r="H224" s="258" t="str">
        <f>IFERROR(__xludf.DUMMYFUNCTION("""COMPUTED_VALUE"""),"")</f>
        <v/>
      </c>
      <c r="I224" s="259" t="str">
        <f>IFERROR(__xludf.DUMMYFUNCTION("""COMPUTED_VALUE"""),"")</f>
        <v/>
      </c>
      <c r="J224" s="250" t="str">
        <f t="shared" si="2"/>
        <v/>
      </c>
      <c r="K224" s="317" t="str">
        <f>IFERROR(__xludf.DUMMYFUNCTION("""COMPUTED_VALUE"""),"")</f>
        <v/>
      </c>
      <c r="L224" s="318" t="str">
        <f>IFERROR(__xludf.DUMMYFUNCTION("""COMPUTED_VALUE"""),"")</f>
        <v/>
      </c>
      <c r="M224" s="253" t="str">
        <f t="shared" si="3"/>
        <v/>
      </c>
      <c r="N224" s="319" t="str">
        <f>IFERROR(__xludf.DUMMYFUNCTION("""COMPUTED_VALUE"""),"")</f>
        <v/>
      </c>
      <c r="O224" s="257" t="str">
        <f>IFERROR(__xludf.DUMMYFUNCTION("""COMPUTED_VALUE"""),"")</f>
        <v/>
      </c>
      <c r="P224" s="247" t="str">
        <f t="shared" si="4"/>
        <v/>
      </c>
      <c r="Q224" s="320" t="str">
        <f>IFERROR(__xludf.DUMMYFUNCTION("""COMPUTED_VALUE"""),"")</f>
        <v/>
      </c>
      <c r="R224" s="259" t="str">
        <f>IFERROR(__xludf.DUMMYFUNCTION("""COMPUTED_VALUE"""),"")</f>
        <v/>
      </c>
      <c r="S224" s="250" t="str">
        <f t="shared" si="5"/>
        <v/>
      </c>
      <c r="T224" s="254" t="str">
        <f>IFERROR(__xludf.DUMMYFUNCTION("""COMPUTED_VALUE"""),"")</f>
        <v/>
      </c>
      <c r="U224" s="246" t="str">
        <f>IFERROR(__xludf.DUMMYFUNCTION("""COMPUTED_VALUE"""),"")</f>
        <v/>
      </c>
      <c r="V224" s="247" t="str">
        <f t="shared" si="6"/>
        <v/>
      </c>
      <c r="W224" s="255" t="str">
        <f>IFERROR(__xludf.DUMMYFUNCTION("""COMPUTED_VALUE"""),"")</f>
        <v/>
      </c>
      <c r="X224" s="249" t="str">
        <f>IFERROR(__xludf.DUMMYFUNCTION("""COMPUTED_VALUE"""),"")</f>
        <v/>
      </c>
      <c r="Y224" s="250" t="str">
        <f t="shared" si="7"/>
        <v/>
      </c>
    </row>
    <row r="225">
      <c r="A225" s="136" t="s">
        <v>12</v>
      </c>
      <c r="B225" s="146">
        <v>46115.0</v>
      </c>
      <c r="C225" s="136" t="s">
        <v>53</v>
      </c>
      <c r="D225" s="136" t="s">
        <v>149</v>
      </c>
      <c r="E225" s="256" t="str">
        <f>IFERROR(__xludf.DUMMYFUNCTION("""COMPUTED_VALUE"""),"")</f>
        <v/>
      </c>
      <c r="F225" s="257" t="str">
        <f>IFERROR(__xludf.DUMMYFUNCTION("""COMPUTED_VALUE"""),"")</f>
        <v/>
      </c>
      <c r="G225" s="247" t="str">
        <f t="shared" si="1"/>
        <v/>
      </c>
      <c r="H225" s="258" t="str">
        <f>IFERROR(__xludf.DUMMYFUNCTION("""COMPUTED_VALUE"""),"")</f>
        <v/>
      </c>
      <c r="I225" s="259" t="str">
        <f>IFERROR(__xludf.DUMMYFUNCTION("""COMPUTED_VALUE"""),"")</f>
        <v/>
      </c>
      <c r="J225" s="250" t="str">
        <f t="shared" si="2"/>
        <v/>
      </c>
      <c r="K225" s="317" t="str">
        <f>IFERROR(__xludf.DUMMYFUNCTION("""COMPUTED_VALUE"""),"")</f>
        <v/>
      </c>
      <c r="L225" s="318" t="str">
        <f>IFERROR(__xludf.DUMMYFUNCTION("""COMPUTED_VALUE"""),"")</f>
        <v/>
      </c>
      <c r="M225" s="253" t="str">
        <f t="shared" si="3"/>
        <v/>
      </c>
      <c r="N225" s="319" t="str">
        <f>IFERROR(__xludf.DUMMYFUNCTION("""COMPUTED_VALUE"""),"")</f>
        <v/>
      </c>
      <c r="O225" s="257" t="str">
        <f>IFERROR(__xludf.DUMMYFUNCTION("""COMPUTED_VALUE"""),"")</f>
        <v/>
      </c>
      <c r="P225" s="247" t="str">
        <f t="shared" si="4"/>
        <v/>
      </c>
      <c r="Q225" s="320" t="str">
        <f>IFERROR(__xludf.DUMMYFUNCTION("""COMPUTED_VALUE"""),"")</f>
        <v/>
      </c>
      <c r="R225" s="259" t="str">
        <f>IFERROR(__xludf.DUMMYFUNCTION("""COMPUTED_VALUE"""),"")</f>
        <v/>
      </c>
      <c r="S225" s="250" t="str">
        <f t="shared" si="5"/>
        <v/>
      </c>
      <c r="T225" s="254" t="str">
        <f>IFERROR(__xludf.DUMMYFUNCTION("""COMPUTED_VALUE"""),"")</f>
        <v/>
      </c>
      <c r="U225" s="246" t="str">
        <f>IFERROR(__xludf.DUMMYFUNCTION("""COMPUTED_VALUE"""),"")</f>
        <v/>
      </c>
      <c r="V225" s="247" t="str">
        <f t="shared" si="6"/>
        <v/>
      </c>
      <c r="W225" s="255" t="str">
        <f>IFERROR(__xludf.DUMMYFUNCTION("""COMPUTED_VALUE"""),"")</f>
        <v/>
      </c>
      <c r="X225" s="249" t="str">
        <f>IFERROR(__xludf.DUMMYFUNCTION("""COMPUTED_VALUE"""),"")</f>
        <v/>
      </c>
      <c r="Y225" s="250" t="str">
        <f t="shared" si="7"/>
        <v/>
      </c>
    </row>
    <row r="226">
      <c r="A226" s="136" t="s">
        <v>15</v>
      </c>
      <c r="B226" s="146">
        <v>46115.0</v>
      </c>
      <c r="C226" s="136" t="s">
        <v>53</v>
      </c>
      <c r="D226" s="136" t="s">
        <v>149</v>
      </c>
      <c r="E226" s="256">
        <f>IFERROR(__xludf.DUMMYFUNCTION("""COMPUTED_VALUE"""),127.0)</f>
        <v>127</v>
      </c>
      <c r="F226" s="257">
        <f>IFERROR(__xludf.DUMMYFUNCTION("""COMPUTED_VALUE"""),0.13888888889050577)</f>
        <v>0.1388888889</v>
      </c>
      <c r="G226" s="247">
        <f t="shared" si="1"/>
        <v>38.1</v>
      </c>
      <c r="H226" s="258">
        <f>IFERROR(__xludf.DUMMYFUNCTION("""COMPUTED_VALUE"""),156.0)</f>
        <v>156</v>
      </c>
      <c r="I226" s="259">
        <f>IFERROR(__xludf.DUMMYFUNCTION("""COMPUTED_VALUE"""),0.14791666666133096)</f>
        <v>0.1479166667</v>
      </c>
      <c r="J226" s="250">
        <f t="shared" si="2"/>
        <v>43.94366197</v>
      </c>
      <c r="K226" s="317">
        <f>IFERROR(__xludf.DUMMYFUNCTION("""COMPUTED_VALUE"""),53.0)</f>
        <v>53</v>
      </c>
      <c r="L226" s="318">
        <f>IFERROR(__xludf.DUMMYFUNCTION("""COMPUTED_VALUE"""),0.0625)</f>
        <v>0.0625</v>
      </c>
      <c r="M226" s="253">
        <f t="shared" si="3"/>
        <v>35.33333333</v>
      </c>
      <c r="N226" s="319">
        <f>IFERROR(__xludf.DUMMYFUNCTION("""COMPUTED_VALUE"""),44.0)</f>
        <v>44</v>
      </c>
      <c r="O226" s="257">
        <f>IFERROR(__xludf.DUMMYFUNCTION("""COMPUTED_VALUE"""),0.125)</f>
        <v>0.125</v>
      </c>
      <c r="P226" s="247">
        <f t="shared" si="4"/>
        <v>14.66666667</v>
      </c>
      <c r="Q226" s="320">
        <f>IFERROR(__xludf.DUMMYFUNCTION("""COMPUTED_VALUE"""),0.0)</f>
        <v>0</v>
      </c>
      <c r="R226" s="259">
        <f>IFERROR(__xludf.DUMMYFUNCTION("""COMPUTED_VALUE"""),0.0)</f>
        <v>0</v>
      </c>
      <c r="S226" s="250" t="str">
        <f t="shared" si="5"/>
        <v/>
      </c>
      <c r="T226" s="254">
        <f>IFERROR(__xludf.DUMMYFUNCTION("""COMPUTED_VALUE"""),171.0)</f>
        <v>171</v>
      </c>
      <c r="U226" s="246">
        <f>IFERROR(__xludf.DUMMYFUNCTION("""COMPUTED_VALUE"""),0.26388888889050577)</f>
        <v>0.2638888889</v>
      </c>
      <c r="V226" s="247">
        <f t="shared" si="6"/>
        <v>27</v>
      </c>
      <c r="W226" s="255">
        <f>IFERROR(__xludf.DUMMYFUNCTION("""COMPUTED_VALUE"""),156.0)</f>
        <v>156</v>
      </c>
      <c r="X226" s="249">
        <f>IFERROR(__xludf.DUMMYFUNCTION("""COMPUTED_VALUE"""),0.14791666666133096)</f>
        <v>0.1479166667</v>
      </c>
      <c r="Y226" s="250">
        <f t="shared" si="7"/>
        <v>43.94366197</v>
      </c>
    </row>
    <row r="227">
      <c r="A227" s="136" t="s">
        <v>15</v>
      </c>
      <c r="B227" s="146">
        <v>46115.0</v>
      </c>
      <c r="C227" s="136" t="s">
        <v>53</v>
      </c>
      <c r="D227" s="136" t="s">
        <v>148</v>
      </c>
      <c r="E227" s="256" t="str">
        <f>IFERROR(__xludf.DUMMYFUNCTION("""COMPUTED_VALUE"""),"")</f>
        <v/>
      </c>
      <c r="F227" s="257" t="str">
        <f>IFERROR(__xludf.DUMMYFUNCTION("""COMPUTED_VALUE"""),"")</f>
        <v/>
      </c>
      <c r="G227" s="247" t="str">
        <f t="shared" si="1"/>
        <v/>
      </c>
      <c r="H227" s="258" t="str">
        <f>IFERROR(__xludf.DUMMYFUNCTION("""COMPUTED_VALUE"""),"")</f>
        <v/>
      </c>
      <c r="I227" s="259" t="str">
        <f>IFERROR(__xludf.DUMMYFUNCTION("""COMPUTED_VALUE"""),"")</f>
        <v/>
      </c>
      <c r="J227" s="250" t="str">
        <f t="shared" si="2"/>
        <v/>
      </c>
      <c r="K227" s="317" t="str">
        <f>IFERROR(__xludf.DUMMYFUNCTION("""COMPUTED_VALUE"""),"")</f>
        <v/>
      </c>
      <c r="L227" s="318" t="str">
        <f>IFERROR(__xludf.DUMMYFUNCTION("""COMPUTED_VALUE"""),"")</f>
        <v/>
      </c>
      <c r="M227" s="253" t="str">
        <f t="shared" si="3"/>
        <v/>
      </c>
      <c r="N227" s="319" t="str">
        <f>IFERROR(__xludf.DUMMYFUNCTION("""COMPUTED_VALUE"""),"")</f>
        <v/>
      </c>
      <c r="O227" s="257" t="str">
        <f>IFERROR(__xludf.DUMMYFUNCTION("""COMPUTED_VALUE"""),"")</f>
        <v/>
      </c>
      <c r="P227" s="247" t="str">
        <f t="shared" si="4"/>
        <v/>
      </c>
      <c r="Q227" s="320" t="str">
        <f>IFERROR(__xludf.DUMMYFUNCTION("""COMPUTED_VALUE"""),"")</f>
        <v/>
      </c>
      <c r="R227" s="259" t="str">
        <f>IFERROR(__xludf.DUMMYFUNCTION("""COMPUTED_VALUE"""),"")</f>
        <v/>
      </c>
      <c r="S227" s="250" t="str">
        <f t="shared" si="5"/>
        <v/>
      </c>
      <c r="T227" s="254" t="str">
        <f>IFERROR(__xludf.DUMMYFUNCTION("""COMPUTED_VALUE"""),"")</f>
        <v/>
      </c>
      <c r="U227" s="246" t="str">
        <f>IFERROR(__xludf.DUMMYFUNCTION("""COMPUTED_VALUE"""),"")</f>
        <v/>
      </c>
      <c r="V227" s="247" t="str">
        <f t="shared" si="6"/>
        <v/>
      </c>
      <c r="W227" s="255" t="str">
        <f>IFERROR(__xludf.DUMMYFUNCTION("""COMPUTED_VALUE"""),"")</f>
        <v/>
      </c>
      <c r="X227" s="249" t="str">
        <f>IFERROR(__xludf.DUMMYFUNCTION("""COMPUTED_VALUE"""),"")</f>
        <v/>
      </c>
      <c r="Y227" s="250" t="str">
        <f t="shared" si="7"/>
        <v/>
      </c>
    </row>
    <row r="228">
      <c r="A228" s="136" t="s">
        <v>134</v>
      </c>
      <c r="B228" s="146">
        <v>46111.0</v>
      </c>
      <c r="C228" s="136" t="s">
        <v>37</v>
      </c>
      <c r="D228" s="136" t="s">
        <v>149</v>
      </c>
      <c r="E228" s="256">
        <f>IFERROR(__xludf.DUMMYFUNCTION("""COMPUTED_VALUE"""),177.0)</f>
        <v>177</v>
      </c>
      <c r="F228" s="257">
        <f>IFERROR(__xludf.DUMMYFUNCTION("""COMPUTED_VALUE"""),0.0743055555576575)</f>
        <v>0.07430555556</v>
      </c>
      <c r="G228" s="247">
        <f t="shared" si="1"/>
        <v>99.25233645</v>
      </c>
      <c r="H228" s="258">
        <f>IFERROR(__xludf.DUMMYFUNCTION("""COMPUTED_VALUE"""),317.0)</f>
        <v>317</v>
      </c>
      <c r="I228" s="259">
        <f>IFERROR(__xludf.DUMMYFUNCTION("""COMPUTED_VALUE"""),0.2006944444437977)</f>
        <v>0.2006944444</v>
      </c>
      <c r="J228" s="250">
        <f t="shared" si="2"/>
        <v>65.81314879</v>
      </c>
      <c r="K228" s="317">
        <f>IFERROR(__xludf.DUMMYFUNCTION("""COMPUTED_VALUE"""),0.0)</f>
        <v>0</v>
      </c>
      <c r="L228" s="318">
        <f>IFERROR(__xludf.DUMMYFUNCTION("""COMPUTED_VALUE"""),0.0)</f>
        <v>0</v>
      </c>
      <c r="M228" s="253" t="str">
        <f t="shared" si="3"/>
        <v/>
      </c>
      <c r="N228" s="319">
        <f>IFERROR(__xludf.DUMMYFUNCTION("""COMPUTED_VALUE"""),93.0)</f>
        <v>93</v>
      </c>
      <c r="O228" s="257">
        <f>IFERROR(__xludf.DUMMYFUNCTION("""COMPUTED_VALUE"""),0.125)</f>
        <v>0.125</v>
      </c>
      <c r="P228" s="247">
        <f t="shared" si="4"/>
        <v>31</v>
      </c>
      <c r="Q228" s="320">
        <f>IFERROR(__xludf.DUMMYFUNCTION("""COMPUTED_VALUE"""),0.0)</f>
        <v>0</v>
      </c>
      <c r="R228" s="259">
        <f>IFERROR(__xludf.DUMMYFUNCTION("""COMPUTED_VALUE"""),0.0)</f>
        <v>0</v>
      </c>
      <c r="S228" s="250" t="str">
        <f t="shared" si="5"/>
        <v/>
      </c>
      <c r="T228" s="254">
        <f>IFERROR(__xludf.DUMMYFUNCTION("""COMPUTED_VALUE"""),270.0)</f>
        <v>270</v>
      </c>
      <c r="U228" s="246">
        <f>IFERROR(__xludf.DUMMYFUNCTION("""COMPUTED_VALUE"""),0.1993055555576575)</f>
        <v>0.1993055556</v>
      </c>
      <c r="V228" s="247">
        <f t="shared" si="6"/>
        <v>56.44599303</v>
      </c>
      <c r="W228" s="255">
        <f>IFERROR(__xludf.DUMMYFUNCTION("""COMPUTED_VALUE"""),317.0)</f>
        <v>317</v>
      </c>
      <c r="X228" s="249">
        <f>IFERROR(__xludf.DUMMYFUNCTION("""COMPUTED_VALUE"""),0.2006944444437977)</f>
        <v>0.2006944444</v>
      </c>
      <c r="Y228" s="250">
        <f t="shared" si="7"/>
        <v>65.81314879</v>
      </c>
    </row>
    <row r="229">
      <c r="A229" s="136" t="s">
        <v>15</v>
      </c>
      <c r="B229" s="146">
        <v>46111.0</v>
      </c>
      <c r="C229" s="136" t="s">
        <v>37</v>
      </c>
      <c r="D229" s="136" t="s">
        <v>148</v>
      </c>
      <c r="E229" s="256">
        <f>IFERROR(__xludf.DUMMYFUNCTION("""COMPUTED_VALUE"""),291.0)</f>
        <v>291</v>
      </c>
      <c r="F229" s="257">
        <f>IFERROR(__xludf.DUMMYFUNCTION("""COMPUTED_VALUE"""),0.13055555555183673)</f>
        <v>0.1305555556</v>
      </c>
      <c r="G229" s="247">
        <f t="shared" si="1"/>
        <v>92.87234043</v>
      </c>
      <c r="H229" s="258">
        <f>IFERROR(__xludf.DUMMYFUNCTION("""COMPUTED_VALUE"""),123.0)</f>
        <v>123</v>
      </c>
      <c r="I229" s="259">
        <f>IFERROR(__xludf.DUMMYFUNCTION("""COMPUTED_VALUE"""),0.11944444444088731)</f>
        <v>0.1194444444</v>
      </c>
      <c r="J229" s="250">
        <f t="shared" si="2"/>
        <v>42.90697675</v>
      </c>
      <c r="K229" s="317">
        <f>IFERROR(__xludf.DUMMYFUNCTION("""COMPUTED_VALUE"""),157.0)</f>
        <v>157</v>
      </c>
      <c r="L229" s="318">
        <f>IFERROR(__xludf.DUMMYFUNCTION("""COMPUTED_VALUE"""),0.14583333333575865)</f>
        <v>0.1458333333</v>
      </c>
      <c r="M229" s="253">
        <f t="shared" si="3"/>
        <v>44.85714286</v>
      </c>
      <c r="N229" s="319">
        <f>IFERROR(__xludf.DUMMYFUNCTION("""COMPUTED_VALUE"""),61.0)</f>
        <v>61</v>
      </c>
      <c r="O229" s="257">
        <f>IFERROR(__xludf.DUMMYFUNCTION("""COMPUTED_VALUE"""),0.06041666665987577)</f>
        <v>0.06041666666</v>
      </c>
      <c r="P229" s="247">
        <f t="shared" si="4"/>
        <v>42.06896552</v>
      </c>
      <c r="Q229" s="320">
        <f>IFERROR(__xludf.DUMMYFUNCTION("""COMPUTED_VALUE"""),0.0)</f>
        <v>0</v>
      </c>
      <c r="R229" s="259">
        <f>IFERROR(__xludf.DUMMYFUNCTION("""COMPUTED_VALUE"""),0.0)</f>
        <v>0</v>
      </c>
      <c r="S229" s="250" t="str">
        <f t="shared" si="5"/>
        <v/>
      </c>
      <c r="T229" s="254">
        <f>IFERROR(__xludf.DUMMYFUNCTION("""COMPUTED_VALUE"""),352.0)</f>
        <v>352</v>
      </c>
      <c r="U229" s="246">
        <f>IFERROR(__xludf.DUMMYFUNCTION("""COMPUTED_VALUE"""),0.1909722222117125)</f>
        <v>0.1909722222</v>
      </c>
      <c r="V229" s="247">
        <f t="shared" si="6"/>
        <v>76.8</v>
      </c>
      <c r="W229" s="255">
        <f>IFERROR(__xludf.DUMMYFUNCTION("""COMPUTED_VALUE"""),123.0)</f>
        <v>123</v>
      </c>
      <c r="X229" s="249">
        <f>IFERROR(__xludf.DUMMYFUNCTION("""COMPUTED_VALUE"""),0.11944444444088731)</f>
        <v>0.1194444444</v>
      </c>
      <c r="Y229" s="250">
        <f t="shared" si="7"/>
        <v>42.90697675</v>
      </c>
    </row>
    <row r="230">
      <c r="A230" s="136" t="s">
        <v>12</v>
      </c>
      <c r="B230" s="146">
        <v>46112.0</v>
      </c>
      <c r="C230" s="136" t="s">
        <v>41</v>
      </c>
      <c r="D230" s="136" t="s">
        <v>149</v>
      </c>
      <c r="E230" s="256" t="str">
        <f>IFERROR(__xludf.DUMMYFUNCTION("""COMPUTED_VALUE"""),"")</f>
        <v/>
      </c>
      <c r="F230" s="257" t="str">
        <f>IFERROR(__xludf.DUMMYFUNCTION("""COMPUTED_VALUE"""),"")</f>
        <v/>
      </c>
      <c r="G230" s="247" t="str">
        <f t="shared" si="1"/>
        <v/>
      </c>
      <c r="H230" s="258" t="str">
        <f>IFERROR(__xludf.DUMMYFUNCTION("""COMPUTED_VALUE"""),"")</f>
        <v/>
      </c>
      <c r="I230" s="259" t="str">
        <f>IFERROR(__xludf.DUMMYFUNCTION("""COMPUTED_VALUE"""),"")</f>
        <v/>
      </c>
      <c r="J230" s="250" t="str">
        <f t="shared" si="2"/>
        <v/>
      </c>
      <c r="K230" s="317" t="str">
        <f>IFERROR(__xludf.DUMMYFUNCTION("""COMPUTED_VALUE"""),"")</f>
        <v/>
      </c>
      <c r="L230" s="318" t="str">
        <f>IFERROR(__xludf.DUMMYFUNCTION("""COMPUTED_VALUE"""),"")</f>
        <v/>
      </c>
      <c r="M230" s="253" t="str">
        <f t="shared" si="3"/>
        <v/>
      </c>
      <c r="N230" s="319" t="str">
        <f>IFERROR(__xludf.DUMMYFUNCTION("""COMPUTED_VALUE"""),"")</f>
        <v/>
      </c>
      <c r="O230" s="257" t="str">
        <f>IFERROR(__xludf.DUMMYFUNCTION("""COMPUTED_VALUE"""),"")</f>
        <v/>
      </c>
      <c r="P230" s="247" t="str">
        <f t="shared" si="4"/>
        <v/>
      </c>
      <c r="Q230" s="320" t="str">
        <f>IFERROR(__xludf.DUMMYFUNCTION("""COMPUTED_VALUE"""),"")</f>
        <v/>
      </c>
      <c r="R230" s="259" t="str">
        <f>IFERROR(__xludf.DUMMYFUNCTION("""COMPUTED_VALUE"""),"")</f>
        <v/>
      </c>
      <c r="S230" s="250" t="str">
        <f t="shared" si="5"/>
        <v/>
      </c>
      <c r="T230" s="254" t="str">
        <f>IFERROR(__xludf.DUMMYFUNCTION("""COMPUTED_VALUE"""),"")</f>
        <v/>
      </c>
      <c r="U230" s="246" t="str">
        <f>IFERROR(__xludf.DUMMYFUNCTION("""COMPUTED_VALUE"""),"")</f>
        <v/>
      </c>
      <c r="V230" s="247" t="str">
        <f t="shared" si="6"/>
        <v/>
      </c>
      <c r="W230" s="255" t="str">
        <f>IFERROR(__xludf.DUMMYFUNCTION("""COMPUTED_VALUE"""),"")</f>
        <v/>
      </c>
      <c r="X230" s="249" t="str">
        <f>IFERROR(__xludf.DUMMYFUNCTION("""COMPUTED_VALUE"""),"")</f>
        <v/>
      </c>
      <c r="Y230" s="250" t="str">
        <f t="shared" si="7"/>
        <v/>
      </c>
    </row>
    <row r="231">
      <c r="A231" s="136" t="s">
        <v>18</v>
      </c>
      <c r="B231" s="146">
        <v>46115.0</v>
      </c>
      <c r="C231" s="136" t="s">
        <v>53</v>
      </c>
      <c r="D231" s="136" t="s">
        <v>148</v>
      </c>
      <c r="E231" s="256">
        <f>IFERROR(__xludf.DUMMYFUNCTION("""COMPUTED_VALUE"""),127.0)</f>
        <v>127</v>
      </c>
      <c r="F231" s="257">
        <f>IFERROR(__xludf.DUMMYFUNCTION("""COMPUTED_VALUE"""),0.13888888889050577)</f>
        <v>0.1388888889</v>
      </c>
      <c r="G231" s="247">
        <f t="shared" si="1"/>
        <v>38.1</v>
      </c>
      <c r="H231" s="258">
        <f>IFERROR(__xludf.DUMMYFUNCTION("""COMPUTED_VALUE"""),156.0)</f>
        <v>156</v>
      </c>
      <c r="I231" s="259">
        <f>IFERROR(__xludf.DUMMYFUNCTION("""COMPUTED_VALUE"""),0.14791666666133096)</f>
        <v>0.1479166667</v>
      </c>
      <c r="J231" s="250">
        <f t="shared" si="2"/>
        <v>43.94366197</v>
      </c>
      <c r="K231" s="317">
        <f>IFERROR(__xludf.DUMMYFUNCTION("""COMPUTED_VALUE"""),53.0)</f>
        <v>53</v>
      </c>
      <c r="L231" s="318">
        <f>IFERROR(__xludf.DUMMYFUNCTION("""COMPUTED_VALUE"""),0.0625)</f>
        <v>0.0625</v>
      </c>
      <c r="M231" s="253">
        <f t="shared" si="3"/>
        <v>35.33333333</v>
      </c>
      <c r="N231" s="319">
        <f>IFERROR(__xludf.DUMMYFUNCTION("""COMPUTED_VALUE"""),44.0)</f>
        <v>44</v>
      </c>
      <c r="O231" s="257">
        <f>IFERROR(__xludf.DUMMYFUNCTION("""COMPUTED_VALUE"""),0.125)</f>
        <v>0.125</v>
      </c>
      <c r="P231" s="247">
        <f t="shared" si="4"/>
        <v>14.66666667</v>
      </c>
      <c r="Q231" s="320">
        <f>IFERROR(__xludf.DUMMYFUNCTION("""COMPUTED_VALUE"""),0.0)</f>
        <v>0</v>
      </c>
      <c r="R231" s="259">
        <f>IFERROR(__xludf.DUMMYFUNCTION("""COMPUTED_VALUE"""),0.0)</f>
        <v>0</v>
      </c>
      <c r="S231" s="250" t="str">
        <f t="shared" si="5"/>
        <v/>
      </c>
      <c r="T231" s="254">
        <f>IFERROR(__xludf.DUMMYFUNCTION("""COMPUTED_VALUE"""),171.0)</f>
        <v>171</v>
      </c>
      <c r="U231" s="246">
        <f>IFERROR(__xludf.DUMMYFUNCTION("""COMPUTED_VALUE"""),0.26388888889050577)</f>
        <v>0.2638888889</v>
      </c>
      <c r="V231" s="247">
        <f t="shared" si="6"/>
        <v>27</v>
      </c>
      <c r="W231" s="255">
        <f>IFERROR(__xludf.DUMMYFUNCTION("""COMPUTED_VALUE"""),156.0)</f>
        <v>156</v>
      </c>
      <c r="X231" s="249">
        <f>IFERROR(__xludf.DUMMYFUNCTION("""COMPUTED_VALUE"""),0.14791666666133096)</f>
        <v>0.1479166667</v>
      </c>
      <c r="Y231" s="250">
        <f t="shared" si="7"/>
        <v>43.94366197</v>
      </c>
    </row>
    <row r="232">
      <c r="A232" s="136" t="s">
        <v>18</v>
      </c>
      <c r="B232" s="146">
        <v>46115.0</v>
      </c>
      <c r="C232" s="136" t="s">
        <v>53</v>
      </c>
      <c r="D232" s="136" t="s">
        <v>148</v>
      </c>
      <c r="E232" s="256" t="str">
        <f>IFERROR(__xludf.DUMMYFUNCTION("""COMPUTED_VALUE"""),"")</f>
        <v/>
      </c>
      <c r="F232" s="257" t="str">
        <f>IFERROR(__xludf.DUMMYFUNCTION("""COMPUTED_VALUE"""),"")</f>
        <v/>
      </c>
      <c r="G232" s="247" t="str">
        <f t="shared" si="1"/>
        <v/>
      </c>
      <c r="H232" s="258" t="str">
        <f>IFERROR(__xludf.DUMMYFUNCTION("""COMPUTED_VALUE"""),"")</f>
        <v/>
      </c>
      <c r="I232" s="259" t="str">
        <f>IFERROR(__xludf.DUMMYFUNCTION("""COMPUTED_VALUE"""),"")</f>
        <v/>
      </c>
      <c r="J232" s="250" t="str">
        <f t="shared" si="2"/>
        <v/>
      </c>
      <c r="K232" s="317" t="str">
        <f>IFERROR(__xludf.DUMMYFUNCTION("""COMPUTED_VALUE"""),"")</f>
        <v/>
      </c>
      <c r="L232" s="318" t="str">
        <f>IFERROR(__xludf.DUMMYFUNCTION("""COMPUTED_VALUE"""),"")</f>
        <v/>
      </c>
      <c r="M232" s="253" t="str">
        <f t="shared" si="3"/>
        <v/>
      </c>
      <c r="N232" s="319" t="str">
        <f>IFERROR(__xludf.DUMMYFUNCTION("""COMPUTED_VALUE"""),"")</f>
        <v/>
      </c>
      <c r="O232" s="257" t="str">
        <f>IFERROR(__xludf.DUMMYFUNCTION("""COMPUTED_VALUE"""),"")</f>
        <v/>
      </c>
      <c r="P232" s="247" t="str">
        <f t="shared" si="4"/>
        <v/>
      </c>
      <c r="Q232" s="320" t="str">
        <f>IFERROR(__xludf.DUMMYFUNCTION("""COMPUTED_VALUE"""),"")</f>
        <v/>
      </c>
      <c r="R232" s="259" t="str">
        <f>IFERROR(__xludf.DUMMYFUNCTION("""COMPUTED_VALUE"""),"")</f>
        <v/>
      </c>
      <c r="S232" s="250" t="str">
        <f t="shared" si="5"/>
        <v/>
      </c>
      <c r="T232" s="254" t="str">
        <f>IFERROR(__xludf.DUMMYFUNCTION("""COMPUTED_VALUE"""),"")</f>
        <v/>
      </c>
      <c r="U232" s="246" t="str">
        <f>IFERROR(__xludf.DUMMYFUNCTION("""COMPUTED_VALUE"""),"")</f>
        <v/>
      </c>
      <c r="V232" s="247" t="str">
        <f t="shared" si="6"/>
        <v/>
      </c>
      <c r="W232" s="255" t="str">
        <f>IFERROR(__xludf.DUMMYFUNCTION("""COMPUTED_VALUE"""),"")</f>
        <v/>
      </c>
      <c r="X232" s="249" t="str">
        <f>IFERROR(__xludf.DUMMYFUNCTION("""COMPUTED_VALUE"""),"")</f>
        <v/>
      </c>
      <c r="Y232" s="250" t="str">
        <f t="shared" si="7"/>
        <v/>
      </c>
    </row>
    <row r="233">
      <c r="A233" s="136" t="s">
        <v>12</v>
      </c>
      <c r="B233" s="146">
        <v>46118.0</v>
      </c>
      <c r="C233" s="136" t="s">
        <v>37</v>
      </c>
      <c r="D233" s="136" t="s">
        <v>149</v>
      </c>
      <c r="E233" s="256" t="str">
        <f>IFERROR(__xludf.DUMMYFUNCTION("""COMPUTED_VALUE"""),"")</f>
        <v/>
      </c>
      <c r="F233" s="257" t="str">
        <f>IFERROR(__xludf.DUMMYFUNCTION("""COMPUTED_VALUE"""),"")</f>
        <v/>
      </c>
      <c r="G233" s="247" t="str">
        <f t="shared" si="1"/>
        <v/>
      </c>
      <c r="H233" s="258" t="str">
        <f>IFERROR(__xludf.DUMMYFUNCTION("""COMPUTED_VALUE"""),"")</f>
        <v/>
      </c>
      <c r="I233" s="259" t="str">
        <f>IFERROR(__xludf.DUMMYFUNCTION("""COMPUTED_VALUE"""),"")</f>
        <v/>
      </c>
      <c r="J233" s="250" t="str">
        <f t="shared" si="2"/>
        <v/>
      </c>
      <c r="K233" s="317" t="str">
        <f>IFERROR(__xludf.DUMMYFUNCTION("""COMPUTED_VALUE"""),"")</f>
        <v/>
      </c>
      <c r="L233" s="318" t="str">
        <f>IFERROR(__xludf.DUMMYFUNCTION("""COMPUTED_VALUE"""),"")</f>
        <v/>
      </c>
      <c r="M233" s="253" t="str">
        <f t="shared" si="3"/>
        <v/>
      </c>
      <c r="N233" s="319" t="str">
        <f>IFERROR(__xludf.DUMMYFUNCTION("""COMPUTED_VALUE"""),"")</f>
        <v/>
      </c>
      <c r="O233" s="257" t="str">
        <f>IFERROR(__xludf.DUMMYFUNCTION("""COMPUTED_VALUE"""),"")</f>
        <v/>
      </c>
      <c r="P233" s="247" t="str">
        <f t="shared" si="4"/>
        <v/>
      </c>
      <c r="Q233" s="320" t="str">
        <f>IFERROR(__xludf.DUMMYFUNCTION("""COMPUTED_VALUE"""),"")</f>
        <v/>
      </c>
      <c r="R233" s="259" t="str">
        <f>IFERROR(__xludf.DUMMYFUNCTION("""COMPUTED_VALUE"""),"")</f>
        <v/>
      </c>
      <c r="S233" s="250" t="str">
        <f t="shared" si="5"/>
        <v/>
      </c>
      <c r="T233" s="254" t="str">
        <f>IFERROR(__xludf.DUMMYFUNCTION("""COMPUTED_VALUE"""),"")</f>
        <v/>
      </c>
      <c r="U233" s="246" t="str">
        <f>IFERROR(__xludf.DUMMYFUNCTION("""COMPUTED_VALUE"""),"")</f>
        <v/>
      </c>
      <c r="V233" s="247" t="str">
        <f t="shared" si="6"/>
        <v/>
      </c>
      <c r="W233" s="255" t="str">
        <f>IFERROR(__xludf.DUMMYFUNCTION("""COMPUTED_VALUE"""),"")</f>
        <v/>
      </c>
      <c r="X233" s="249" t="str">
        <f>IFERROR(__xludf.DUMMYFUNCTION("""COMPUTED_VALUE"""),"")</f>
        <v/>
      </c>
      <c r="Y233" s="250" t="str">
        <f t="shared" si="7"/>
        <v/>
      </c>
    </row>
    <row r="234">
      <c r="A234" s="136" t="s">
        <v>15</v>
      </c>
      <c r="B234" s="146">
        <v>46118.0</v>
      </c>
      <c r="C234" s="136" t="s">
        <v>37</v>
      </c>
      <c r="D234" s="136" t="s">
        <v>149</v>
      </c>
      <c r="E234" s="256" t="str">
        <f>IFERROR(__xludf.DUMMYFUNCTION("""COMPUTED_VALUE"""),"")</f>
        <v/>
      </c>
      <c r="F234" s="257" t="str">
        <f>IFERROR(__xludf.DUMMYFUNCTION("""COMPUTED_VALUE"""),"")</f>
        <v/>
      </c>
      <c r="G234" s="247" t="str">
        <f t="shared" si="1"/>
        <v/>
      </c>
      <c r="H234" s="258" t="str">
        <f>IFERROR(__xludf.DUMMYFUNCTION("""COMPUTED_VALUE"""),"")</f>
        <v/>
      </c>
      <c r="I234" s="259" t="str">
        <f>IFERROR(__xludf.DUMMYFUNCTION("""COMPUTED_VALUE"""),"")</f>
        <v/>
      </c>
      <c r="J234" s="250" t="str">
        <f t="shared" si="2"/>
        <v/>
      </c>
      <c r="K234" s="317" t="str">
        <f>IFERROR(__xludf.DUMMYFUNCTION("""COMPUTED_VALUE"""),"")</f>
        <v/>
      </c>
      <c r="L234" s="318" t="str">
        <f>IFERROR(__xludf.DUMMYFUNCTION("""COMPUTED_VALUE"""),"")</f>
        <v/>
      </c>
      <c r="M234" s="253" t="str">
        <f t="shared" si="3"/>
        <v/>
      </c>
      <c r="N234" s="319" t="str">
        <f>IFERROR(__xludf.DUMMYFUNCTION("""COMPUTED_VALUE"""),"")</f>
        <v/>
      </c>
      <c r="O234" s="257" t="str">
        <f>IFERROR(__xludf.DUMMYFUNCTION("""COMPUTED_VALUE"""),"")</f>
        <v/>
      </c>
      <c r="P234" s="247" t="str">
        <f t="shared" si="4"/>
        <v/>
      </c>
      <c r="Q234" s="320" t="str">
        <f>IFERROR(__xludf.DUMMYFUNCTION("""COMPUTED_VALUE"""),"")</f>
        <v/>
      </c>
      <c r="R234" s="259" t="str">
        <f>IFERROR(__xludf.DUMMYFUNCTION("""COMPUTED_VALUE"""),"")</f>
        <v/>
      </c>
      <c r="S234" s="250" t="str">
        <f t="shared" si="5"/>
        <v/>
      </c>
      <c r="T234" s="254" t="str">
        <f>IFERROR(__xludf.DUMMYFUNCTION("""COMPUTED_VALUE"""),"")</f>
        <v/>
      </c>
      <c r="U234" s="246" t="str">
        <f>IFERROR(__xludf.DUMMYFUNCTION("""COMPUTED_VALUE"""),"")</f>
        <v/>
      </c>
      <c r="V234" s="247" t="str">
        <f t="shared" si="6"/>
        <v/>
      </c>
      <c r="W234" s="255" t="str">
        <f>IFERROR(__xludf.DUMMYFUNCTION("""COMPUTED_VALUE"""),"")</f>
        <v/>
      </c>
      <c r="X234" s="249" t="str">
        <f>IFERROR(__xludf.DUMMYFUNCTION("""COMPUTED_VALUE"""),"")</f>
        <v/>
      </c>
      <c r="Y234" s="250" t="str">
        <f t="shared" si="7"/>
        <v/>
      </c>
    </row>
    <row r="235">
      <c r="A235" s="136" t="s">
        <v>18</v>
      </c>
      <c r="B235" s="146">
        <v>46118.0</v>
      </c>
      <c r="C235" s="136" t="s">
        <v>37</v>
      </c>
      <c r="D235" s="136" t="s">
        <v>148</v>
      </c>
      <c r="E235" s="256">
        <f>IFERROR(__xludf.DUMMYFUNCTION("""COMPUTED_VALUE"""),105.0)</f>
        <v>105</v>
      </c>
      <c r="F235" s="257">
        <f>IFERROR(__xludf.DUMMYFUNCTION("""COMPUTED_VALUE"""),0.06944444444525288)</f>
        <v>0.06944444445</v>
      </c>
      <c r="G235" s="247">
        <f t="shared" si="1"/>
        <v>63</v>
      </c>
      <c r="H235" s="258">
        <f>IFERROR(__xludf.DUMMYFUNCTION("""COMPUTED_VALUE"""),223.0)</f>
        <v>223</v>
      </c>
      <c r="I235" s="259">
        <f>IFERROR(__xludf.DUMMYFUNCTION("""COMPUTED_VALUE"""),0.20138888889050577)</f>
        <v>0.2013888889</v>
      </c>
      <c r="J235" s="250">
        <f t="shared" si="2"/>
        <v>46.13793103</v>
      </c>
      <c r="K235" s="317">
        <f>IFERROR(__xludf.DUMMYFUNCTION("""COMPUTED_VALUE"""),48.0)</f>
        <v>48</v>
      </c>
      <c r="L235" s="318">
        <f>IFERROR(__xludf.DUMMYFUNCTION("""COMPUTED_VALUE"""),0.06458333333284827)</f>
        <v>0.06458333333</v>
      </c>
      <c r="M235" s="253">
        <f t="shared" si="3"/>
        <v>30.96774194</v>
      </c>
      <c r="N235" s="319">
        <f>IFERROR(__xludf.DUMMYFUNCTION("""COMPUTED_VALUE"""),111.0)</f>
        <v>111</v>
      </c>
      <c r="O235" s="257">
        <f>IFERROR(__xludf.DUMMYFUNCTION("""COMPUTED_VALUE"""),0.125)</f>
        <v>0.125</v>
      </c>
      <c r="P235" s="247">
        <f t="shared" si="4"/>
        <v>37</v>
      </c>
      <c r="Q235" s="320">
        <f>IFERROR(__xludf.DUMMYFUNCTION("""COMPUTED_VALUE"""),0.0)</f>
        <v>0</v>
      </c>
      <c r="R235" s="259">
        <f>IFERROR(__xludf.DUMMYFUNCTION("""COMPUTED_VALUE"""),0.0)</f>
        <v>0</v>
      </c>
      <c r="S235" s="250" t="str">
        <f t="shared" si="5"/>
        <v/>
      </c>
      <c r="T235" s="254">
        <f>IFERROR(__xludf.DUMMYFUNCTION("""COMPUTED_VALUE"""),216.0)</f>
        <v>216</v>
      </c>
      <c r="U235" s="246">
        <f>IFERROR(__xludf.DUMMYFUNCTION("""COMPUTED_VALUE"""),0.19444444444525288)</f>
        <v>0.1944444444</v>
      </c>
      <c r="V235" s="247">
        <f t="shared" si="6"/>
        <v>46.28571429</v>
      </c>
      <c r="W235" s="255">
        <f>IFERROR(__xludf.DUMMYFUNCTION("""COMPUTED_VALUE"""),223.0)</f>
        <v>223</v>
      </c>
      <c r="X235" s="249">
        <f>IFERROR(__xludf.DUMMYFUNCTION("""COMPUTED_VALUE"""),0.20138888889050577)</f>
        <v>0.2013888889</v>
      </c>
      <c r="Y235" s="250">
        <f t="shared" si="7"/>
        <v>46.13793103</v>
      </c>
    </row>
    <row r="236">
      <c r="A236" s="136" t="s">
        <v>18</v>
      </c>
      <c r="B236" s="146">
        <v>46118.0</v>
      </c>
      <c r="C236" s="136" t="s">
        <v>37</v>
      </c>
      <c r="D236" s="136" t="s">
        <v>148</v>
      </c>
      <c r="E236" s="256" t="str">
        <f>IFERROR(__xludf.DUMMYFUNCTION("""COMPUTED_VALUE"""),"")</f>
        <v/>
      </c>
      <c r="F236" s="257" t="str">
        <f>IFERROR(__xludf.DUMMYFUNCTION("""COMPUTED_VALUE"""),"")</f>
        <v/>
      </c>
      <c r="G236" s="247" t="str">
        <f t="shared" si="1"/>
        <v/>
      </c>
      <c r="H236" s="258" t="str">
        <f>IFERROR(__xludf.DUMMYFUNCTION("""COMPUTED_VALUE"""),"")</f>
        <v/>
      </c>
      <c r="I236" s="259" t="str">
        <f>IFERROR(__xludf.DUMMYFUNCTION("""COMPUTED_VALUE"""),"")</f>
        <v/>
      </c>
      <c r="J236" s="250" t="str">
        <f t="shared" si="2"/>
        <v/>
      </c>
      <c r="K236" s="317" t="str">
        <f>IFERROR(__xludf.DUMMYFUNCTION("""COMPUTED_VALUE"""),"")</f>
        <v/>
      </c>
      <c r="L236" s="318" t="str">
        <f>IFERROR(__xludf.DUMMYFUNCTION("""COMPUTED_VALUE"""),"")</f>
        <v/>
      </c>
      <c r="M236" s="253" t="str">
        <f t="shared" si="3"/>
        <v/>
      </c>
      <c r="N236" s="319" t="str">
        <f>IFERROR(__xludf.DUMMYFUNCTION("""COMPUTED_VALUE"""),"")</f>
        <v/>
      </c>
      <c r="O236" s="257" t="str">
        <f>IFERROR(__xludf.DUMMYFUNCTION("""COMPUTED_VALUE"""),"")</f>
        <v/>
      </c>
      <c r="P236" s="247" t="str">
        <f t="shared" si="4"/>
        <v/>
      </c>
      <c r="Q236" s="320" t="str">
        <f>IFERROR(__xludf.DUMMYFUNCTION("""COMPUTED_VALUE"""),"")</f>
        <v/>
      </c>
      <c r="R236" s="259" t="str">
        <f>IFERROR(__xludf.DUMMYFUNCTION("""COMPUTED_VALUE"""),"")</f>
        <v/>
      </c>
      <c r="S236" s="250" t="str">
        <f t="shared" si="5"/>
        <v/>
      </c>
      <c r="T236" s="254" t="str">
        <f>IFERROR(__xludf.DUMMYFUNCTION("""COMPUTED_VALUE"""),"")</f>
        <v/>
      </c>
      <c r="U236" s="246" t="str">
        <f>IFERROR(__xludf.DUMMYFUNCTION("""COMPUTED_VALUE"""),"")</f>
        <v/>
      </c>
      <c r="V236" s="247" t="str">
        <f t="shared" si="6"/>
        <v/>
      </c>
      <c r="W236" s="255" t="str">
        <f>IFERROR(__xludf.DUMMYFUNCTION("""COMPUTED_VALUE"""),"")</f>
        <v/>
      </c>
      <c r="X236" s="249" t="str">
        <f>IFERROR(__xludf.DUMMYFUNCTION("""COMPUTED_VALUE"""),"")</f>
        <v/>
      </c>
      <c r="Y236" s="250" t="str">
        <f t="shared" si="7"/>
        <v/>
      </c>
    </row>
    <row r="237">
      <c r="A237" s="136" t="s">
        <v>134</v>
      </c>
      <c r="B237" s="146">
        <v>46119.0</v>
      </c>
      <c r="C237" s="136" t="s">
        <v>41</v>
      </c>
      <c r="D237" s="136" t="s">
        <v>149</v>
      </c>
      <c r="E237" s="256" t="str">
        <f>IFERROR(__xludf.DUMMYFUNCTION("""COMPUTED_VALUE"""),"")</f>
        <v/>
      </c>
      <c r="F237" s="257" t="str">
        <f>IFERROR(__xludf.DUMMYFUNCTION("""COMPUTED_VALUE"""),"")</f>
        <v/>
      </c>
      <c r="G237" s="247" t="str">
        <f t="shared" si="1"/>
        <v/>
      </c>
      <c r="H237" s="258" t="str">
        <f>IFERROR(__xludf.DUMMYFUNCTION("""COMPUTED_VALUE"""),"")</f>
        <v/>
      </c>
      <c r="I237" s="259" t="str">
        <f>IFERROR(__xludf.DUMMYFUNCTION("""COMPUTED_VALUE"""),"")</f>
        <v/>
      </c>
      <c r="J237" s="250" t="str">
        <f t="shared" si="2"/>
        <v/>
      </c>
      <c r="K237" s="317" t="str">
        <f>IFERROR(__xludf.DUMMYFUNCTION("""COMPUTED_VALUE"""),"")</f>
        <v/>
      </c>
      <c r="L237" s="318" t="str">
        <f>IFERROR(__xludf.DUMMYFUNCTION("""COMPUTED_VALUE"""),"")</f>
        <v/>
      </c>
      <c r="M237" s="253" t="str">
        <f t="shared" si="3"/>
        <v/>
      </c>
      <c r="N237" s="319" t="str">
        <f>IFERROR(__xludf.DUMMYFUNCTION("""COMPUTED_VALUE"""),"")</f>
        <v/>
      </c>
      <c r="O237" s="257" t="str">
        <f>IFERROR(__xludf.DUMMYFUNCTION("""COMPUTED_VALUE"""),"")</f>
        <v/>
      </c>
      <c r="P237" s="247" t="str">
        <f t="shared" si="4"/>
        <v/>
      </c>
      <c r="Q237" s="320" t="str">
        <f>IFERROR(__xludf.DUMMYFUNCTION("""COMPUTED_VALUE"""),"")</f>
        <v/>
      </c>
      <c r="R237" s="259" t="str">
        <f>IFERROR(__xludf.DUMMYFUNCTION("""COMPUTED_VALUE"""),"")</f>
        <v/>
      </c>
      <c r="S237" s="250" t="str">
        <f t="shared" si="5"/>
        <v/>
      </c>
      <c r="T237" s="254" t="str">
        <f>IFERROR(__xludf.DUMMYFUNCTION("""COMPUTED_VALUE"""),"")</f>
        <v/>
      </c>
      <c r="U237" s="246" t="str">
        <f>IFERROR(__xludf.DUMMYFUNCTION("""COMPUTED_VALUE"""),"")</f>
        <v/>
      </c>
      <c r="V237" s="247" t="str">
        <f t="shared" si="6"/>
        <v/>
      </c>
      <c r="W237" s="255" t="str">
        <f>IFERROR(__xludf.DUMMYFUNCTION("""COMPUTED_VALUE"""),"")</f>
        <v/>
      </c>
      <c r="X237" s="249" t="str">
        <f>IFERROR(__xludf.DUMMYFUNCTION("""COMPUTED_VALUE"""),"")</f>
        <v/>
      </c>
      <c r="Y237" s="250" t="str">
        <f t="shared" si="7"/>
        <v/>
      </c>
    </row>
    <row r="238">
      <c r="A238" s="136" t="s">
        <v>15</v>
      </c>
      <c r="B238" s="146">
        <v>46119.0</v>
      </c>
      <c r="C238" s="136" t="s">
        <v>41</v>
      </c>
      <c r="D238" s="136" t="s">
        <v>148</v>
      </c>
      <c r="E238" s="256" t="str">
        <f>IFERROR(__xludf.DUMMYFUNCTION("""COMPUTED_VALUE"""),"")</f>
        <v/>
      </c>
      <c r="F238" s="257" t="str">
        <f>IFERROR(__xludf.DUMMYFUNCTION("""COMPUTED_VALUE"""),"")</f>
        <v/>
      </c>
      <c r="G238" s="247" t="str">
        <f t="shared" si="1"/>
        <v/>
      </c>
      <c r="H238" s="258" t="str">
        <f>IFERROR(__xludf.DUMMYFUNCTION("""COMPUTED_VALUE"""),"")</f>
        <v/>
      </c>
      <c r="I238" s="259" t="str">
        <f>IFERROR(__xludf.DUMMYFUNCTION("""COMPUTED_VALUE"""),"")</f>
        <v/>
      </c>
      <c r="J238" s="250" t="str">
        <f t="shared" si="2"/>
        <v/>
      </c>
      <c r="K238" s="317" t="str">
        <f>IFERROR(__xludf.DUMMYFUNCTION("""COMPUTED_VALUE"""),"")</f>
        <v/>
      </c>
      <c r="L238" s="318" t="str">
        <f>IFERROR(__xludf.DUMMYFUNCTION("""COMPUTED_VALUE"""),"")</f>
        <v/>
      </c>
      <c r="M238" s="253" t="str">
        <f t="shared" si="3"/>
        <v/>
      </c>
      <c r="N238" s="319" t="str">
        <f>IFERROR(__xludf.DUMMYFUNCTION("""COMPUTED_VALUE"""),"")</f>
        <v/>
      </c>
      <c r="O238" s="257" t="str">
        <f>IFERROR(__xludf.DUMMYFUNCTION("""COMPUTED_VALUE"""),"")</f>
        <v/>
      </c>
      <c r="P238" s="247" t="str">
        <f t="shared" si="4"/>
        <v/>
      </c>
      <c r="Q238" s="320" t="str">
        <f>IFERROR(__xludf.DUMMYFUNCTION("""COMPUTED_VALUE"""),"")</f>
        <v/>
      </c>
      <c r="R238" s="259" t="str">
        <f>IFERROR(__xludf.DUMMYFUNCTION("""COMPUTED_VALUE"""),"")</f>
        <v/>
      </c>
      <c r="S238" s="250" t="str">
        <f t="shared" si="5"/>
        <v/>
      </c>
      <c r="T238" s="254" t="str">
        <f>IFERROR(__xludf.DUMMYFUNCTION("""COMPUTED_VALUE"""),"")</f>
        <v/>
      </c>
      <c r="U238" s="246" t="str">
        <f>IFERROR(__xludf.DUMMYFUNCTION("""COMPUTED_VALUE"""),"")</f>
        <v/>
      </c>
      <c r="V238" s="247" t="str">
        <f t="shared" si="6"/>
        <v/>
      </c>
      <c r="W238" s="255" t="str">
        <f>IFERROR(__xludf.DUMMYFUNCTION("""COMPUTED_VALUE"""),"")</f>
        <v/>
      </c>
      <c r="X238" s="249" t="str">
        <f>IFERROR(__xludf.DUMMYFUNCTION("""COMPUTED_VALUE"""),"")</f>
        <v/>
      </c>
      <c r="Y238" s="250" t="str">
        <f t="shared" si="7"/>
        <v/>
      </c>
    </row>
    <row r="239">
      <c r="A239" s="136" t="s">
        <v>15</v>
      </c>
      <c r="B239" s="146">
        <v>46119.0</v>
      </c>
      <c r="C239" s="136" t="s">
        <v>41</v>
      </c>
      <c r="D239" s="136" t="s">
        <v>148</v>
      </c>
      <c r="E239" s="256" t="str">
        <f>IFERROR(__xludf.DUMMYFUNCTION("""COMPUTED_VALUE"""),"")</f>
        <v/>
      </c>
      <c r="F239" s="257" t="str">
        <f>IFERROR(__xludf.DUMMYFUNCTION("""COMPUTED_VALUE"""),"")</f>
        <v/>
      </c>
      <c r="G239" s="247" t="str">
        <f t="shared" si="1"/>
        <v/>
      </c>
      <c r="H239" s="258" t="str">
        <f>IFERROR(__xludf.DUMMYFUNCTION("""COMPUTED_VALUE"""),"")</f>
        <v/>
      </c>
      <c r="I239" s="259" t="str">
        <f>IFERROR(__xludf.DUMMYFUNCTION("""COMPUTED_VALUE"""),"")</f>
        <v/>
      </c>
      <c r="J239" s="250" t="str">
        <f t="shared" si="2"/>
        <v/>
      </c>
      <c r="K239" s="317" t="str">
        <f>IFERROR(__xludf.DUMMYFUNCTION("""COMPUTED_VALUE"""),"")</f>
        <v/>
      </c>
      <c r="L239" s="318" t="str">
        <f>IFERROR(__xludf.DUMMYFUNCTION("""COMPUTED_VALUE"""),"")</f>
        <v/>
      </c>
      <c r="M239" s="253" t="str">
        <f t="shared" si="3"/>
        <v/>
      </c>
      <c r="N239" s="319" t="str">
        <f>IFERROR(__xludf.DUMMYFUNCTION("""COMPUTED_VALUE"""),"")</f>
        <v/>
      </c>
      <c r="O239" s="257" t="str">
        <f>IFERROR(__xludf.DUMMYFUNCTION("""COMPUTED_VALUE"""),"")</f>
        <v/>
      </c>
      <c r="P239" s="247" t="str">
        <f t="shared" si="4"/>
        <v/>
      </c>
      <c r="Q239" s="320" t="str">
        <f>IFERROR(__xludf.DUMMYFUNCTION("""COMPUTED_VALUE"""),"")</f>
        <v/>
      </c>
      <c r="R239" s="259" t="str">
        <f>IFERROR(__xludf.DUMMYFUNCTION("""COMPUTED_VALUE"""),"")</f>
        <v/>
      </c>
      <c r="S239" s="250" t="str">
        <f t="shared" si="5"/>
        <v/>
      </c>
      <c r="T239" s="254" t="str">
        <f>IFERROR(__xludf.DUMMYFUNCTION("""COMPUTED_VALUE"""),"")</f>
        <v/>
      </c>
      <c r="U239" s="246" t="str">
        <f>IFERROR(__xludf.DUMMYFUNCTION("""COMPUTED_VALUE"""),"")</f>
        <v/>
      </c>
      <c r="V239" s="247" t="str">
        <f t="shared" si="6"/>
        <v/>
      </c>
      <c r="W239" s="255" t="str">
        <f>IFERROR(__xludf.DUMMYFUNCTION("""COMPUTED_VALUE"""),"")</f>
        <v/>
      </c>
      <c r="X239" s="249" t="str">
        <f>IFERROR(__xludf.DUMMYFUNCTION("""COMPUTED_VALUE"""),"")</f>
        <v/>
      </c>
      <c r="Y239" s="250" t="str">
        <f t="shared" si="7"/>
        <v/>
      </c>
    </row>
    <row r="240">
      <c r="A240" s="136" t="s">
        <v>18</v>
      </c>
      <c r="B240" s="146">
        <v>46119.0</v>
      </c>
      <c r="C240" s="136" t="s">
        <v>41</v>
      </c>
      <c r="D240" s="136" t="s">
        <v>149</v>
      </c>
      <c r="E240" s="256">
        <f>IFERROR(__xludf.DUMMYFUNCTION("""COMPUTED_VALUE"""),347.0)</f>
        <v>347</v>
      </c>
      <c r="F240" s="257">
        <f>IFERROR(__xludf.DUMMYFUNCTION("""COMPUTED_VALUE"""),0.1312499999985448)</f>
        <v>0.13125</v>
      </c>
      <c r="G240" s="247">
        <f t="shared" si="1"/>
        <v>110.1587302</v>
      </c>
      <c r="H240" s="258">
        <f>IFERROR(__xludf.DUMMYFUNCTION("""COMPUTED_VALUE"""),149.0)</f>
        <v>149</v>
      </c>
      <c r="I240" s="259">
        <f>IFERROR(__xludf.DUMMYFUNCTION("""COMPUTED_VALUE"""),0.12013888888759539)</f>
        <v>0.1201388889</v>
      </c>
      <c r="J240" s="250">
        <f t="shared" si="2"/>
        <v>51.67630058</v>
      </c>
      <c r="K240" s="317">
        <f>IFERROR(__xludf.DUMMYFUNCTION("""COMPUTED_VALUE"""),0.0)</f>
        <v>0</v>
      </c>
      <c r="L240" s="318">
        <f>IFERROR(__xludf.DUMMYFUNCTION("""COMPUTED_VALUE"""),0.0)</f>
        <v>0</v>
      </c>
      <c r="M240" s="253" t="str">
        <f t="shared" si="3"/>
        <v/>
      </c>
      <c r="N240" s="319">
        <f>IFERROR(__xludf.DUMMYFUNCTION("""COMPUTED_VALUE"""),0.0)</f>
        <v>0</v>
      </c>
      <c r="O240" s="257">
        <f>IFERROR(__xludf.DUMMYFUNCTION("""COMPUTED_VALUE"""),0.0)</f>
        <v>0</v>
      </c>
      <c r="P240" s="247" t="str">
        <f t="shared" si="4"/>
        <v/>
      </c>
      <c r="Q240" s="320">
        <f>IFERROR(__xludf.DUMMYFUNCTION("""COMPUTED_VALUE"""),173.0)</f>
        <v>173</v>
      </c>
      <c r="R240" s="259">
        <f>IFERROR(__xludf.DUMMYFUNCTION("""COMPUTED_VALUE"""),0.16111111111240461)</f>
        <v>0.1611111111</v>
      </c>
      <c r="S240" s="250">
        <f t="shared" si="5"/>
        <v>44.74137931</v>
      </c>
      <c r="T240" s="254">
        <f>IFERROR(__xludf.DUMMYFUNCTION("""COMPUTED_VALUE"""),347.0)</f>
        <v>347</v>
      </c>
      <c r="U240" s="246">
        <f>IFERROR(__xludf.DUMMYFUNCTION("""COMPUTED_VALUE"""),0.1312499999985448)</f>
        <v>0.13125</v>
      </c>
      <c r="V240" s="247">
        <f t="shared" si="6"/>
        <v>110.1587302</v>
      </c>
      <c r="W240" s="255">
        <f>IFERROR(__xludf.DUMMYFUNCTION("""COMPUTED_VALUE"""),322.0)</f>
        <v>322</v>
      </c>
      <c r="X240" s="249">
        <f>IFERROR(__xludf.DUMMYFUNCTION("""COMPUTED_VALUE"""),0.28125)</f>
        <v>0.28125</v>
      </c>
      <c r="Y240" s="250">
        <f t="shared" si="7"/>
        <v>47.7037037</v>
      </c>
    </row>
    <row r="241">
      <c r="A241" s="136" t="s">
        <v>18</v>
      </c>
      <c r="B241" s="146">
        <v>46119.0</v>
      </c>
      <c r="C241" s="136" t="s">
        <v>41</v>
      </c>
      <c r="D241" s="136" t="s">
        <v>148</v>
      </c>
      <c r="E241" s="256" t="str">
        <f>IFERROR(__xludf.DUMMYFUNCTION("""COMPUTED_VALUE"""),"")</f>
        <v/>
      </c>
      <c r="F241" s="257" t="str">
        <f>IFERROR(__xludf.DUMMYFUNCTION("""COMPUTED_VALUE"""),"")</f>
        <v/>
      </c>
      <c r="G241" s="247" t="str">
        <f t="shared" si="1"/>
        <v/>
      </c>
      <c r="H241" s="258" t="str">
        <f>IFERROR(__xludf.DUMMYFUNCTION("""COMPUTED_VALUE"""),"")</f>
        <v/>
      </c>
      <c r="I241" s="259" t="str">
        <f>IFERROR(__xludf.DUMMYFUNCTION("""COMPUTED_VALUE"""),"")</f>
        <v/>
      </c>
      <c r="J241" s="250" t="str">
        <f t="shared" si="2"/>
        <v/>
      </c>
      <c r="K241" s="317" t="str">
        <f>IFERROR(__xludf.DUMMYFUNCTION("""COMPUTED_VALUE"""),"")</f>
        <v/>
      </c>
      <c r="L241" s="318" t="str">
        <f>IFERROR(__xludf.DUMMYFUNCTION("""COMPUTED_VALUE"""),"")</f>
        <v/>
      </c>
      <c r="M241" s="253" t="str">
        <f t="shared" si="3"/>
        <v/>
      </c>
      <c r="N241" s="319" t="str">
        <f>IFERROR(__xludf.DUMMYFUNCTION("""COMPUTED_VALUE"""),"")</f>
        <v/>
      </c>
      <c r="O241" s="257" t="str">
        <f>IFERROR(__xludf.DUMMYFUNCTION("""COMPUTED_VALUE"""),"")</f>
        <v/>
      </c>
      <c r="P241" s="247" t="str">
        <f t="shared" si="4"/>
        <v/>
      </c>
      <c r="Q241" s="320" t="str">
        <f>IFERROR(__xludf.DUMMYFUNCTION("""COMPUTED_VALUE"""),"")</f>
        <v/>
      </c>
      <c r="R241" s="259" t="str">
        <f>IFERROR(__xludf.DUMMYFUNCTION("""COMPUTED_VALUE"""),"")</f>
        <v/>
      </c>
      <c r="S241" s="250" t="str">
        <f t="shared" si="5"/>
        <v/>
      </c>
      <c r="T241" s="254" t="str">
        <f>IFERROR(__xludf.DUMMYFUNCTION("""COMPUTED_VALUE"""),"")</f>
        <v/>
      </c>
      <c r="U241" s="246" t="str">
        <f>IFERROR(__xludf.DUMMYFUNCTION("""COMPUTED_VALUE"""),"")</f>
        <v/>
      </c>
      <c r="V241" s="247" t="str">
        <f t="shared" si="6"/>
        <v/>
      </c>
      <c r="W241" s="255" t="str">
        <f>IFERROR(__xludf.DUMMYFUNCTION("""COMPUTED_VALUE"""),"")</f>
        <v/>
      </c>
      <c r="X241" s="249" t="str">
        <f>IFERROR(__xludf.DUMMYFUNCTION("""COMPUTED_VALUE"""),"")</f>
        <v/>
      </c>
      <c r="Y241" s="250" t="str">
        <f t="shared" si="7"/>
        <v/>
      </c>
    </row>
    <row r="242">
      <c r="A242" s="136" t="s">
        <v>12</v>
      </c>
      <c r="B242" s="146">
        <v>46120.0</v>
      </c>
      <c r="C242" s="136" t="s">
        <v>45</v>
      </c>
      <c r="D242" s="136" t="s">
        <v>149</v>
      </c>
      <c r="E242" s="256" t="str">
        <f>IFERROR(__xludf.DUMMYFUNCTION("""COMPUTED_VALUE"""),"")</f>
        <v/>
      </c>
      <c r="F242" s="257" t="str">
        <f>IFERROR(__xludf.DUMMYFUNCTION("""COMPUTED_VALUE"""),"")</f>
        <v/>
      </c>
      <c r="G242" s="247" t="str">
        <f t="shared" si="1"/>
        <v/>
      </c>
      <c r="H242" s="258" t="str">
        <f>IFERROR(__xludf.DUMMYFUNCTION("""COMPUTED_VALUE"""),"")</f>
        <v/>
      </c>
      <c r="I242" s="259" t="str">
        <f>IFERROR(__xludf.DUMMYFUNCTION("""COMPUTED_VALUE"""),"")</f>
        <v/>
      </c>
      <c r="J242" s="250" t="str">
        <f t="shared" si="2"/>
        <v/>
      </c>
      <c r="K242" s="317" t="str">
        <f>IFERROR(__xludf.DUMMYFUNCTION("""COMPUTED_VALUE"""),"")</f>
        <v/>
      </c>
      <c r="L242" s="318" t="str">
        <f>IFERROR(__xludf.DUMMYFUNCTION("""COMPUTED_VALUE"""),"")</f>
        <v/>
      </c>
      <c r="M242" s="253" t="str">
        <f t="shared" si="3"/>
        <v/>
      </c>
      <c r="N242" s="319" t="str">
        <f>IFERROR(__xludf.DUMMYFUNCTION("""COMPUTED_VALUE"""),"")</f>
        <v/>
      </c>
      <c r="O242" s="257" t="str">
        <f>IFERROR(__xludf.DUMMYFUNCTION("""COMPUTED_VALUE"""),"")</f>
        <v/>
      </c>
      <c r="P242" s="247" t="str">
        <f t="shared" si="4"/>
        <v/>
      </c>
      <c r="Q242" s="320" t="str">
        <f>IFERROR(__xludf.DUMMYFUNCTION("""COMPUTED_VALUE"""),"")</f>
        <v/>
      </c>
      <c r="R242" s="259" t="str">
        <f>IFERROR(__xludf.DUMMYFUNCTION("""COMPUTED_VALUE"""),"")</f>
        <v/>
      </c>
      <c r="S242" s="250" t="str">
        <f t="shared" si="5"/>
        <v/>
      </c>
      <c r="T242" s="254" t="str">
        <f>IFERROR(__xludf.DUMMYFUNCTION("""COMPUTED_VALUE"""),"")</f>
        <v/>
      </c>
      <c r="U242" s="246" t="str">
        <f>IFERROR(__xludf.DUMMYFUNCTION("""COMPUTED_VALUE"""),"")</f>
        <v/>
      </c>
      <c r="V242" s="247" t="str">
        <f t="shared" si="6"/>
        <v/>
      </c>
      <c r="W242" s="255" t="str">
        <f>IFERROR(__xludf.DUMMYFUNCTION("""COMPUTED_VALUE"""),"")</f>
        <v/>
      </c>
      <c r="X242" s="249" t="str">
        <f>IFERROR(__xludf.DUMMYFUNCTION("""COMPUTED_VALUE"""),"")</f>
        <v/>
      </c>
      <c r="Y242" s="250" t="str">
        <f t="shared" si="7"/>
        <v/>
      </c>
    </row>
    <row r="243">
      <c r="A243" s="136" t="s">
        <v>12</v>
      </c>
      <c r="B243" s="146">
        <v>46120.0</v>
      </c>
      <c r="C243" s="136" t="s">
        <v>45</v>
      </c>
      <c r="D243" s="136" t="s">
        <v>149</v>
      </c>
      <c r="E243" s="256" t="str">
        <f>IFERROR(__xludf.DUMMYFUNCTION("""COMPUTED_VALUE"""),"")</f>
        <v/>
      </c>
      <c r="F243" s="257" t="str">
        <f>IFERROR(__xludf.DUMMYFUNCTION("""COMPUTED_VALUE"""),"")</f>
        <v/>
      </c>
      <c r="G243" s="247" t="str">
        <f t="shared" si="1"/>
        <v/>
      </c>
      <c r="H243" s="258" t="str">
        <f>IFERROR(__xludf.DUMMYFUNCTION("""COMPUTED_VALUE"""),"")</f>
        <v/>
      </c>
      <c r="I243" s="259" t="str">
        <f>IFERROR(__xludf.DUMMYFUNCTION("""COMPUTED_VALUE"""),"")</f>
        <v/>
      </c>
      <c r="J243" s="250" t="str">
        <f t="shared" si="2"/>
        <v/>
      </c>
      <c r="K243" s="317" t="str">
        <f>IFERROR(__xludf.DUMMYFUNCTION("""COMPUTED_VALUE"""),"")</f>
        <v/>
      </c>
      <c r="L243" s="318" t="str">
        <f>IFERROR(__xludf.DUMMYFUNCTION("""COMPUTED_VALUE"""),"")</f>
        <v/>
      </c>
      <c r="M243" s="253" t="str">
        <f t="shared" si="3"/>
        <v/>
      </c>
      <c r="N243" s="319" t="str">
        <f>IFERROR(__xludf.DUMMYFUNCTION("""COMPUTED_VALUE"""),"")</f>
        <v/>
      </c>
      <c r="O243" s="257" t="str">
        <f>IFERROR(__xludf.DUMMYFUNCTION("""COMPUTED_VALUE"""),"")</f>
        <v/>
      </c>
      <c r="P243" s="247" t="str">
        <f t="shared" si="4"/>
        <v/>
      </c>
      <c r="Q243" s="320" t="str">
        <f>IFERROR(__xludf.DUMMYFUNCTION("""COMPUTED_VALUE"""),"")</f>
        <v/>
      </c>
      <c r="R243" s="259" t="str">
        <f>IFERROR(__xludf.DUMMYFUNCTION("""COMPUTED_VALUE"""),"")</f>
        <v/>
      </c>
      <c r="S243" s="250" t="str">
        <f t="shared" si="5"/>
        <v/>
      </c>
      <c r="T243" s="254" t="str">
        <f>IFERROR(__xludf.DUMMYFUNCTION("""COMPUTED_VALUE"""),"")</f>
        <v/>
      </c>
      <c r="U243" s="246" t="str">
        <f>IFERROR(__xludf.DUMMYFUNCTION("""COMPUTED_VALUE"""),"")</f>
        <v/>
      </c>
      <c r="V243" s="247" t="str">
        <f t="shared" si="6"/>
        <v/>
      </c>
      <c r="W243" s="255" t="str">
        <f>IFERROR(__xludf.DUMMYFUNCTION("""COMPUTED_VALUE"""),"")</f>
        <v/>
      </c>
      <c r="X243" s="249" t="str">
        <f>IFERROR(__xludf.DUMMYFUNCTION("""COMPUTED_VALUE"""),"")</f>
        <v/>
      </c>
      <c r="Y243" s="250" t="str">
        <f t="shared" si="7"/>
        <v/>
      </c>
    </row>
    <row r="244">
      <c r="A244" s="136" t="s">
        <v>134</v>
      </c>
      <c r="B244" s="146">
        <v>46120.0</v>
      </c>
      <c r="C244" s="136" t="s">
        <v>45</v>
      </c>
      <c r="D244" s="136" t="s">
        <v>149</v>
      </c>
      <c r="E244" s="256" t="str">
        <f>IFERROR(__xludf.DUMMYFUNCTION("""COMPUTED_VALUE"""),"")</f>
        <v/>
      </c>
      <c r="F244" s="257" t="str">
        <f>IFERROR(__xludf.DUMMYFUNCTION("""COMPUTED_VALUE"""),"")</f>
        <v/>
      </c>
      <c r="G244" s="247" t="str">
        <f t="shared" si="1"/>
        <v/>
      </c>
      <c r="H244" s="258" t="str">
        <f>IFERROR(__xludf.DUMMYFUNCTION("""COMPUTED_VALUE"""),"")</f>
        <v/>
      </c>
      <c r="I244" s="259" t="str">
        <f>IFERROR(__xludf.DUMMYFUNCTION("""COMPUTED_VALUE"""),"")</f>
        <v/>
      </c>
      <c r="J244" s="250" t="str">
        <f t="shared" si="2"/>
        <v/>
      </c>
      <c r="K244" s="317" t="str">
        <f>IFERROR(__xludf.DUMMYFUNCTION("""COMPUTED_VALUE"""),"")</f>
        <v/>
      </c>
      <c r="L244" s="318" t="str">
        <f>IFERROR(__xludf.DUMMYFUNCTION("""COMPUTED_VALUE"""),"")</f>
        <v/>
      </c>
      <c r="M244" s="253" t="str">
        <f t="shared" si="3"/>
        <v/>
      </c>
      <c r="N244" s="319" t="str">
        <f>IFERROR(__xludf.DUMMYFUNCTION("""COMPUTED_VALUE"""),"")</f>
        <v/>
      </c>
      <c r="O244" s="257" t="str">
        <f>IFERROR(__xludf.DUMMYFUNCTION("""COMPUTED_VALUE"""),"")</f>
        <v/>
      </c>
      <c r="P244" s="247" t="str">
        <f t="shared" si="4"/>
        <v/>
      </c>
      <c r="Q244" s="320" t="str">
        <f>IFERROR(__xludf.DUMMYFUNCTION("""COMPUTED_VALUE"""),"")</f>
        <v/>
      </c>
      <c r="R244" s="259" t="str">
        <f>IFERROR(__xludf.DUMMYFUNCTION("""COMPUTED_VALUE"""),"")</f>
        <v/>
      </c>
      <c r="S244" s="250" t="str">
        <f t="shared" si="5"/>
        <v/>
      </c>
      <c r="T244" s="254" t="str">
        <f>IFERROR(__xludf.DUMMYFUNCTION("""COMPUTED_VALUE"""),"")</f>
        <v/>
      </c>
      <c r="U244" s="246" t="str">
        <f>IFERROR(__xludf.DUMMYFUNCTION("""COMPUTED_VALUE"""),"")</f>
        <v/>
      </c>
      <c r="V244" s="247" t="str">
        <f t="shared" si="6"/>
        <v/>
      </c>
      <c r="W244" s="255" t="str">
        <f>IFERROR(__xludf.DUMMYFUNCTION("""COMPUTED_VALUE"""),"")</f>
        <v/>
      </c>
      <c r="X244" s="249" t="str">
        <f>IFERROR(__xludf.DUMMYFUNCTION("""COMPUTED_VALUE"""),"")</f>
        <v/>
      </c>
      <c r="Y244" s="250" t="str">
        <f t="shared" si="7"/>
        <v/>
      </c>
    </row>
    <row r="245">
      <c r="A245" s="136" t="s">
        <v>15</v>
      </c>
      <c r="B245" s="146">
        <v>46120.0</v>
      </c>
      <c r="C245" s="136" t="s">
        <v>45</v>
      </c>
      <c r="D245" s="136" t="s">
        <v>148</v>
      </c>
      <c r="E245" s="256" t="str">
        <f>IFERROR(__xludf.DUMMYFUNCTION("""COMPUTED_VALUE"""),"")</f>
        <v/>
      </c>
      <c r="F245" s="257" t="str">
        <f>IFERROR(__xludf.DUMMYFUNCTION("""COMPUTED_VALUE"""),"")</f>
        <v/>
      </c>
      <c r="G245" s="247" t="str">
        <f t="shared" si="1"/>
        <v/>
      </c>
      <c r="H245" s="258" t="str">
        <f>IFERROR(__xludf.DUMMYFUNCTION("""COMPUTED_VALUE"""),"")</f>
        <v/>
      </c>
      <c r="I245" s="259" t="str">
        <f>IFERROR(__xludf.DUMMYFUNCTION("""COMPUTED_VALUE"""),"")</f>
        <v/>
      </c>
      <c r="J245" s="250" t="str">
        <f t="shared" si="2"/>
        <v/>
      </c>
      <c r="K245" s="317" t="str">
        <f>IFERROR(__xludf.DUMMYFUNCTION("""COMPUTED_VALUE"""),"")</f>
        <v/>
      </c>
      <c r="L245" s="318" t="str">
        <f>IFERROR(__xludf.DUMMYFUNCTION("""COMPUTED_VALUE"""),"")</f>
        <v/>
      </c>
      <c r="M245" s="253" t="str">
        <f t="shared" si="3"/>
        <v/>
      </c>
      <c r="N245" s="319" t="str">
        <f>IFERROR(__xludf.DUMMYFUNCTION("""COMPUTED_VALUE"""),"")</f>
        <v/>
      </c>
      <c r="O245" s="257" t="str">
        <f>IFERROR(__xludf.DUMMYFUNCTION("""COMPUTED_VALUE"""),"")</f>
        <v/>
      </c>
      <c r="P245" s="247" t="str">
        <f t="shared" si="4"/>
        <v/>
      </c>
      <c r="Q245" s="320" t="str">
        <f>IFERROR(__xludf.DUMMYFUNCTION("""COMPUTED_VALUE"""),"")</f>
        <v/>
      </c>
      <c r="R245" s="259" t="str">
        <f>IFERROR(__xludf.DUMMYFUNCTION("""COMPUTED_VALUE"""),"")</f>
        <v/>
      </c>
      <c r="S245" s="250" t="str">
        <f t="shared" si="5"/>
        <v/>
      </c>
      <c r="T245" s="254" t="str">
        <f>IFERROR(__xludf.DUMMYFUNCTION("""COMPUTED_VALUE"""),"")</f>
        <v/>
      </c>
      <c r="U245" s="246" t="str">
        <f>IFERROR(__xludf.DUMMYFUNCTION("""COMPUTED_VALUE"""),"")</f>
        <v/>
      </c>
      <c r="V245" s="247" t="str">
        <f t="shared" si="6"/>
        <v/>
      </c>
      <c r="W245" s="255" t="str">
        <f>IFERROR(__xludf.DUMMYFUNCTION("""COMPUTED_VALUE"""),"")</f>
        <v/>
      </c>
      <c r="X245" s="249" t="str">
        <f>IFERROR(__xludf.DUMMYFUNCTION("""COMPUTED_VALUE"""),"")</f>
        <v/>
      </c>
      <c r="Y245" s="250" t="str">
        <f t="shared" si="7"/>
        <v/>
      </c>
    </row>
    <row r="246">
      <c r="A246" s="136" t="s">
        <v>15</v>
      </c>
      <c r="B246" s="146">
        <v>46120.0</v>
      </c>
      <c r="C246" s="136" t="s">
        <v>45</v>
      </c>
      <c r="D246" s="136" t="s">
        <v>148</v>
      </c>
      <c r="E246" s="256" t="str">
        <f>IFERROR(__xludf.DUMMYFUNCTION("""COMPUTED_VALUE"""),"")</f>
        <v/>
      </c>
      <c r="F246" s="257" t="str">
        <f>IFERROR(__xludf.DUMMYFUNCTION("""COMPUTED_VALUE"""),"")</f>
        <v/>
      </c>
      <c r="G246" s="247" t="str">
        <f t="shared" si="1"/>
        <v/>
      </c>
      <c r="H246" s="258" t="str">
        <f>IFERROR(__xludf.DUMMYFUNCTION("""COMPUTED_VALUE"""),"")</f>
        <v/>
      </c>
      <c r="I246" s="259" t="str">
        <f>IFERROR(__xludf.DUMMYFUNCTION("""COMPUTED_VALUE"""),"")</f>
        <v/>
      </c>
      <c r="J246" s="250" t="str">
        <f t="shared" si="2"/>
        <v/>
      </c>
      <c r="K246" s="317" t="str">
        <f>IFERROR(__xludf.DUMMYFUNCTION("""COMPUTED_VALUE"""),"")</f>
        <v/>
      </c>
      <c r="L246" s="318" t="str">
        <f>IFERROR(__xludf.DUMMYFUNCTION("""COMPUTED_VALUE"""),"")</f>
        <v/>
      </c>
      <c r="M246" s="253" t="str">
        <f t="shared" si="3"/>
        <v/>
      </c>
      <c r="N246" s="319" t="str">
        <f>IFERROR(__xludf.DUMMYFUNCTION("""COMPUTED_VALUE"""),"")</f>
        <v/>
      </c>
      <c r="O246" s="257" t="str">
        <f>IFERROR(__xludf.DUMMYFUNCTION("""COMPUTED_VALUE"""),"")</f>
        <v/>
      </c>
      <c r="P246" s="247" t="str">
        <f t="shared" si="4"/>
        <v/>
      </c>
      <c r="Q246" s="320" t="str">
        <f>IFERROR(__xludf.DUMMYFUNCTION("""COMPUTED_VALUE"""),"")</f>
        <v/>
      </c>
      <c r="R246" s="259" t="str">
        <f>IFERROR(__xludf.DUMMYFUNCTION("""COMPUTED_VALUE"""),"")</f>
        <v/>
      </c>
      <c r="S246" s="250" t="str">
        <f t="shared" si="5"/>
        <v/>
      </c>
      <c r="T246" s="254" t="str">
        <f>IFERROR(__xludf.DUMMYFUNCTION("""COMPUTED_VALUE"""),"")</f>
        <v/>
      </c>
      <c r="U246" s="246" t="str">
        <f>IFERROR(__xludf.DUMMYFUNCTION("""COMPUTED_VALUE"""),"")</f>
        <v/>
      </c>
      <c r="V246" s="247" t="str">
        <f t="shared" si="6"/>
        <v/>
      </c>
      <c r="W246" s="255" t="str">
        <f>IFERROR(__xludf.DUMMYFUNCTION("""COMPUTED_VALUE"""),"")</f>
        <v/>
      </c>
      <c r="X246" s="249" t="str">
        <f>IFERROR(__xludf.DUMMYFUNCTION("""COMPUTED_VALUE"""),"")</f>
        <v/>
      </c>
      <c r="Y246" s="250" t="str">
        <f t="shared" si="7"/>
        <v/>
      </c>
    </row>
    <row r="247">
      <c r="A247" s="136" t="s">
        <v>18</v>
      </c>
      <c r="B247" s="146">
        <v>46120.0</v>
      </c>
      <c r="C247" s="136" t="s">
        <v>45</v>
      </c>
      <c r="D247" s="136" t="s">
        <v>148</v>
      </c>
      <c r="E247" s="256">
        <f>IFERROR(__xludf.DUMMYFUNCTION("""COMPUTED_VALUE"""),97.0)</f>
        <v>97</v>
      </c>
      <c r="F247" s="257">
        <f>IFERROR(__xludf.DUMMYFUNCTION("""COMPUTED_VALUE"""),0.10972222222335404)</f>
        <v>0.1097222222</v>
      </c>
      <c r="G247" s="247">
        <f t="shared" si="1"/>
        <v>36.83544304</v>
      </c>
      <c r="H247" s="258">
        <f>IFERROR(__xludf.DUMMYFUNCTION("""COMPUTED_VALUE"""),115.0)</f>
        <v>115</v>
      </c>
      <c r="I247" s="259">
        <f>IFERROR(__xludf.DUMMYFUNCTION("""COMPUTED_VALUE"""),0.06944444444525288)</f>
        <v>0.06944444445</v>
      </c>
      <c r="J247" s="250">
        <f t="shared" si="2"/>
        <v>69</v>
      </c>
      <c r="K247" s="317">
        <f>IFERROR(__xludf.DUMMYFUNCTION("""COMPUTED_VALUE"""),198.0)</f>
        <v>198</v>
      </c>
      <c r="L247" s="318">
        <f>IFERROR(__xludf.DUMMYFUNCTION("""COMPUTED_VALUE"""),0.11111111111677019)</f>
        <v>0.1111111111</v>
      </c>
      <c r="M247" s="253">
        <f t="shared" si="3"/>
        <v>74.25</v>
      </c>
      <c r="N247" s="319">
        <f>IFERROR(__xludf.DUMMYFUNCTION("""COMPUTED_VALUE"""),0.0)</f>
        <v>0</v>
      </c>
      <c r="O247" s="257">
        <f>IFERROR(__xludf.DUMMYFUNCTION("""COMPUTED_VALUE"""),0.0)</f>
        <v>0</v>
      </c>
      <c r="P247" s="247" t="str">
        <f t="shared" si="4"/>
        <v/>
      </c>
      <c r="Q247" s="320">
        <f>IFERROR(__xludf.DUMMYFUNCTION("""COMPUTED_VALUE"""),135.0)</f>
        <v>135</v>
      </c>
      <c r="R247" s="259">
        <f>IFERROR(__xludf.DUMMYFUNCTION("""COMPUTED_VALUE"""),0.16666666666424135)</f>
        <v>0.1666666667</v>
      </c>
      <c r="S247" s="250">
        <f t="shared" si="5"/>
        <v>33.75</v>
      </c>
      <c r="T247" s="254">
        <f>IFERROR(__xludf.DUMMYFUNCTION("""COMPUTED_VALUE"""),97.0)</f>
        <v>97</v>
      </c>
      <c r="U247" s="246">
        <f>IFERROR(__xludf.DUMMYFUNCTION("""COMPUTED_VALUE"""),0.10972222222335404)</f>
        <v>0.1097222222</v>
      </c>
      <c r="V247" s="247">
        <f t="shared" si="6"/>
        <v>36.83544304</v>
      </c>
      <c r="W247" s="255">
        <f>IFERROR(__xludf.DUMMYFUNCTION("""COMPUTED_VALUE"""),250.0)</f>
        <v>250</v>
      </c>
      <c r="X247" s="249">
        <f>IFERROR(__xludf.DUMMYFUNCTION("""COMPUTED_VALUE"""),0.23611111110949423)</f>
        <v>0.2361111111</v>
      </c>
      <c r="Y247" s="250">
        <f t="shared" si="7"/>
        <v>44.11764706</v>
      </c>
    </row>
    <row r="248">
      <c r="A248" s="136" t="s">
        <v>18</v>
      </c>
      <c r="B248" s="146">
        <v>46120.0</v>
      </c>
      <c r="C248" s="136" t="s">
        <v>45</v>
      </c>
      <c r="D248" s="136" t="s">
        <v>149</v>
      </c>
      <c r="E248" s="256" t="str">
        <f>IFERROR(__xludf.DUMMYFUNCTION("""COMPUTED_VALUE"""),"")</f>
        <v/>
      </c>
      <c r="F248" s="257" t="str">
        <f>IFERROR(__xludf.DUMMYFUNCTION("""COMPUTED_VALUE"""),"")</f>
        <v/>
      </c>
      <c r="G248" s="247" t="str">
        <f t="shared" si="1"/>
        <v/>
      </c>
      <c r="H248" s="258" t="str">
        <f>IFERROR(__xludf.DUMMYFUNCTION("""COMPUTED_VALUE"""),"")</f>
        <v/>
      </c>
      <c r="I248" s="259" t="str">
        <f>IFERROR(__xludf.DUMMYFUNCTION("""COMPUTED_VALUE"""),"")</f>
        <v/>
      </c>
      <c r="J248" s="250" t="str">
        <f t="shared" si="2"/>
        <v/>
      </c>
      <c r="K248" s="317" t="str">
        <f>IFERROR(__xludf.DUMMYFUNCTION("""COMPUTED_VALUE"""),"")</f>
        <v/>
      </c>
      <c r="L248" s="318" t="str">
        <f>IFERROR(__xludf.DUMMYFUNCTION("""COMPUTED_VALUE"""),"")</f>
        <v/>
      </c>
      <c r="M248" s="253" t="str">
        <f t="shared" si="3"/>
        <v/>
      </c>
      <c r="N248" s="319" t="str">
        <f>IFERROR(__xludf.DUMMYFUNCTION("""COMPUTED_VALUE"""),"")</f>
        <v/>
      </c>
      <c r="O248" s="257" t="str">
        <f>IFERROR(__xludf.DUMMYFUNCTION("""COMPUTED_VALUE"""),"")</f>
        <v/>
      </c>
      <c r="P248" s="247" t="str">
        <f t="shared" si="4"/>
        <v/>
      </c>
      <c r="Q248" s="320" t="str">
        <f>IFERROR(__xludf.DUMMYFUNCTION("""COMPUTED_VALUE"""),"")</f>
        <v/>
      </c>
      <c r="R248" s="259" t="str">
        <f>IFERROR(__xludf.DUMMYFUNCTION("""COMPUTED_VALUE"""),"")</f>
        <v/>
      </c>
      <c r="S248" s="250" t="str">
        <f t="shared" si="5"/>
        <v/>
      </c>
      <c r="T248" s="254" t="str">
        <f>IFERROR(__xludf.DUMMYFUNCTION("""COMPUTED_VALUE"""),"")</f>
        <v/>
      </c>
      <c r="U248" s="246" t="str">
        <f>IFERROR(__xludf.DUMMYFUNCTION("""COMPUTED_VALUE"""),"")</f>
        <v/>
      </c>
      <c r="V248" s="247" t="str">
        <f t="shared" si="6"/>
        <v/>
      </c>
      <c r="W248" s="255" t="str">
        <f>IFERROR(__xludf.DUMMYFUNCTION("""COMPUTED_VALUE"""),"")</f>
        <v/>
      </c>
      <c r="X248" s="249" t="str">
        <f>IFERROR(__xludf.DUMMYFUNCTION("""COMPUTED_VALUE"""),"")</f>
        <v/>
      </c>
      <c r="Y248" s="250" t="str">
        <f t="shared" si="7"/>
        <v/>
      </c>
    </row>
    <row r="249">
      <c r="A249" s="136" t="s">
        <v>12</v>
      </c>
      <c r="B249" s="146">
        <v>46121.0</v>
      </c>
      <c r="C249" s="136" t="s">
        <v>49</v>
      </c>
      <c r="D249" s="136" t="s">
        <v>149</v>
      </c>
      <c r="E249" s="256" t="str">
        <f>IFERROR(__xludf.DUMMYFUNCTION("""COMPUTED_VALUE"""),"")</f>
        <v/>
      </c>
      <c r="F249" s="257" t="str">
        <f>IFERROR(__xludf.DUMMYFUNCTION("""COMPUTED_VALUE"""),"")</f>
        <v/>
      </c>
      <c r="G249" s="247" t="str">
        <f t="shared" si="1"/>
        <v/>
      </c>
      <c r="H249" s="258" t="str">
        <f>IFERROR(__xludf.DUMMYFUNCTION("""COMPUTED_VALUE"""),"")</f>
        <v/>
      </c>
      <c r="I249" s="259" t="str">
        <f>IFERROR(__xludf.DUMMYFUNCTION("""COMPUTED_VALUE"""),"")</f>
        <v/>
      </c>
      <c r="J249" s="250" t="str">
        <f t="shared" si="2"/>
        <v/>
      </c>
      <c r="K249" s="317" t="str">
        <f>IFERROR(__xludf.DUMMYFUNCTION("""COMPUTED_VALUE"""),"")</f>
        <v/>
      </c>
      <c r="L249" s="318" t="str">
        <f>IFERROR(__xludf.DUMMYFUNCTION("""COMPUTED_VALUE"""),"")</f>
        <v/>
      </c>
      <c r="M249" s="253" t="str">
        <f t="shared" si="3"/>
        <v/>
      </c>
      <c r="N249" s="319" t="str">
        <f>IFERROR(__xludf.DUMMYFUNCTION("""COMPUTED_VALUE"""),"")</f>
        <v/>
      </c>
      <c r="O249" s="257" t="str">
        <f>IFERROR(__xludf.DUMMYFUNCTION("""COMPUTED_VALUE"""),"")</f>
        <v/>
      </c>
      <c r="P249" s="247" t="str">
        <f t="shared" si="4"/>
        <v/>
      </c>
      <c r="Q249" s="320" t="str">
        <f>IFERROR(__xludf.DUMMYFUNCTION("""COMPUTED_VALUE"""),"")</f>
        <v/>
      </c>
      <c r="R249" s="259" t="str">
        <f>IFERROR(__xludf.DUMMYFUNCTION("""COMPUTED_VALUE"""),"")</f>
        <v/>
      </c>
      <c r="S249" s="250" t="str">
        <f t="shared" si="5"/>
        <v/>
      </c>
      <c r="T249" s="254" t="str">
        <f>IFERROR(__xludf.DUMMYFUNCTION("""COMPUTED_VALUE"""),"")</f>
        <v/>
      </c>
      <c r="U249" s="246" t="str">
        <f>IFERROR(__xludf.DUMMYFUNCTION("""COMPUTED_VALUE"""),"")</f>
        <v/>
      </c>
      <c r="V249" s="247" t="str">
        <f t="shared" si="6"/>
        <v/>
      </c>
      <c r="W249" s="255" t="str">
        <f>IFERROR(__xludf.DUMMYFUNCTION("""COMPUTED_VALUE"""),"")</f>
        <v/>
      </c>
      <c r="X249" s="249" t="str">
        <f>IFERROR(__xludf.DUMMYFUNCTION("""COMPUTED_VALUE"""),"")</f>
        <v/>
      </c>
      <c r="Y249" s="250" t="str">
        <f t="shared" si="7"/>
        <v/>
      </c>
    </row>
    <row r="250">
      <c r="A250" s="136" t="s">
        <v>12</v>
      </c>
      <c r="B250" s="146">
        <v>46121.0</v>
      </c>
      <c r="C250" s="136" t="s">
        <v>49</v>
      </c>
      <c r="D250" s="136" t="s">
        <v>149</v>
      </c>
      <c r="E250" s="256" t="str">
        <f>IFERROR(__xludf.DUMMYFUNCTION("""COMPUTED_VALUE"""),"")</f>
        <v/>
      </c>
      <c r="F250" s="257" t="str">
        <f>IFERROR(__xludf.DUMMYFUNCTION("""COMPUTED_VALUE"""),"")</f>
        <v/>
      </c>
      <c r="G250" s="247" t="str">
        <f t="shared" si="1"/>
        <v/>
      </c>
      <c r="H250" s="258" t="str">
        <f>IFERROR(__xludf.DUMMYFUNCTION("""COMPUTED_VALUE"""),"")</f>
        <v/>
      </c>
      <c r="I250" s="259" t="str">
        <f>IFERROR(__xludf.DUMMYFUNCTION("""COMPUTED_VALUE"""),"")</f>
        <v/>
      </c>
      <c r="J250" s="250" t="str">
        <f t="shared" si="2"/>
        <v/>
      </c>
      <c r="K250" s="317" t="str">
        <f>IFERROR(__xludf.DUMMYFUNCTION("""COMPUTED_VALUE"""),"")</f>
        <v/>
      </c>
      <c r="L250" s="318" t="str">
        <f>IFERROR(__xludf.DUMMYFUNCTION("""COMPUTED_VALUE"""),"")</f>
        <v/>
      </c>
      <c r="M250" s="253" t="str">
        <f t="shared" si="3"/>
        <v/>
      </c>
      <c r="N250" s="319" t="str">
        <f>IFERROR(__xludf.DUMMYFUNCTION("""COMPUTED_VALUE"""),"")</f>
        <v/>
      </c>
      <c r="O250" s="257" t="str">
        <f>IFERROR(__xludf.DUMMYFUNCTION("""COMPUTED_VALUE"""),"")</f>
        <v/>
      </c>
      <c r="P250" s="247" t="str">
        <f t="shared" si="4"/>
        <v/>
      </c>
      <c r="Q250" s="320" t="str">
        <f>IFERROR(__xludf.DUMMYFUNCTION("""COMPUTED_VALUE"""),"")</f>
        <v/>
      </c>
      <c r="R250" s="259" t="str">
        <f>IFERROR(__xludf.DUMMYFUNCTION("""COMPUTED_VALUE"""),"")</f>
        <v/>
      </c>
      <c r="S250" s="250" t="str">
        <f t="shared" si="5"/>
        <v/>
      </c>
      <c r="T250" s="254" t="str">
        <f>IFERROR(__xludf.DUMMYFUNCTION("""COMPUTED_VALUE"""),"")</f>
        <v/>
      </c>
      <c r="U250" s="246" t="str">
        <f>IFERROR(__xludf.DUMMYFUNCTION("""COMPUTED_VALUE"""),"")</f>
        <v/>
      </c>
      <c r="V250" s="247" t="str">
        <f t="shared" si="6"/>
        <v/>
      </c>
      <c r="W250" s="255" t="str">
        <f>IFERROR(__xludf.DUMMYFUNCTION("""COMPUTED_VALUE"""),"")</f>
        <v/>
      </c>
      <c r="X250" s="249" t="str">
        <f>IFERROR(__xludf.DUMMYFUNCTION("""COMPUTED_VALUE"""),"")</f>
        <v/>
      </c>
      <c r="Y250" s="250" t="str">
        <f t="shared" si="7"/>
        <v/>
      </c>
    </row>
    <row r="251">
      <c r="A251" s="136" t="s">
        <v>134</v>
      </c>
      <c r="B251" s="146">
        <v>46121.0</v>
      </c>
      <c r="C251" s="136" t="s">
        <v>49</v>
      </c>
      <c r="D251" s="136" t="s">
        <v>149</v>
      </c>
      <c r="E251" s="256" t="str">
        <f>IFERROR(__xludf.DUMMYFUNCTION("""COMPUTED_VALUE"""),"")</f>
        <v/>
      </c>
      <c r="F251" s="257" t="str">
        <f>IFERROR(__xludf.DUMMYFUNCTION("""COMPUTED_VALUE"""),"")</f>
        <v/>
      </c>
      <c r="G251" s="247" t="str">
        <f t="shared" si="1"/>
        <v/>
      </c>
      <c r="H251" s="258" t="str">
        <f>IFERROR(__xludf.DUMMYFUNCTION("""COMPUTED_VALUE"""),"")</f>
        <v/>
      </c>
      <c r="I251" s="259" t="str">
        <f>IFERROR(__xludf.DUMMYFUNCTION("""COMPUTED_VALUE"""),"")</f>
        <v/>
      </c>
      <c r="J251" s="250" t="str">
        <f t="shared" si="2"/>
        <v/>
      </c>
      <c r="K251" s="317" t="str">
        <f>IFERROR(__xludf.DUMMYFUNCTION("""COMPUTED_VALUE"""),"")</f>
        <v/>
      </c>
      <c r="L251" s="318" t="str">
        <f>IFERROR(__xludf.DUMMYFUNCTION("""COMPUTED_VALUE"""),"")</f>
        <v/>
      </c>
      <c r="M251" s="253" t="str">
        <f t="shared" si="3"/>
        <v/>
      </c>
      <c r="N251" s="319" t="str">
        <f>IFERROR(__xludf.DUMMYFUNCTION("""COMPUTED_VALUE"""),"")</f>
        <v/>
      </c>
      <c r="O251" s="257" t="str">
        <f>IFERROR(__xludf.DUMMYFUNCTION("""COMPUTED_VALUE"""),"")</f>
        <v/>
      </c>
      <c r="P251" s="247" t="str">
        <f t="shared" si="4"/>
        <v/>
      </c>
      <c r="Q251" s="320" t="str">
        <f>IFERROR(__xludf.DUMMYFUNCTION("""COMPUTED_VALUE"""),"")</f>
        <v/>
      </c>
      <c r="R251" s="259" t="str">
        <f>IFERROR(__xludf.DUMMYFUNCTION("""COMPUTED_VALUE"""),"")</f>
        <v/>
      </c>
      <c r="S251" s="250" t="str">
        <f t="shared" si="5"/>
        <v/>
      </c>
      <c r="T251" s="254" t="str">
        <f>IFERROR(__xludf.DUMMYFUNCTION("""COMPUTED_VALUE"""),"")</f>
        <v/>
      </c>
      <c r="U251" s="246" t="str">
        <f>IFERROR(__xludf.DUMMYFUNCTION("""COMPUTED_VALUE"""),"")</f>
        <v/>
      </c>
      <c r="V251" s="247" t="str">
        <f t="shared" si="6"/>
        <v/>
      </c>
      <c r="W251" s="255" t="str">
        <f>IFERROR(__xludf.DUMMYFUNCTION("""COMPUTED_VALUE"""),"")</f>
        <v/>
      </c>
      <c r="X251" s="249" t="str">
        <f>IFERROR(__xludf.DUMMYFUNCTION("""COMPUTED_VALUE"""),"")</f>
        <v/>
      </c>
      <c r="Y251" s="250" t="str">
        <f t="shared" si="7"/>
        <v/>
      </c>
    </row>
    <row r="252">
      <c r="A252" s="136" t="s">
        <v>15</v>
      </c>
      <c r="B252" s="146">
        <v>46121.0</v>
      </c>
      <c r="C252" s="136" t="s">
        <v>49</v>
      </c>
      <c r="D252" s="136" t="s">
        <v>148</v>
      </c>
      <c r="E252" s="256" t="str">
        <f>IFERROR(__xludf.DUMMYFUNCTION("""COMPUTED_VALUE"""),"")</f>
        <v/>
      </c>
      <c r="F252" s="257" t="str">
        <f>IFERROR(__xludf.DUMMYFUNCTION("""COMPUTED_VALUE"""),"")</f>
        <v/>
      </c>
      <c r="G252" s="247" t="str">
        <f t="shared" si="1"/>
        <v/>
      </c>
      <c r="H252" s="258" t="str">
        <f>IFERROR(__xludf.DUMMYFUNCTION("""COMPUTED_VALUE"""),"")</f>
        <v/>
      </c>
      <c r="I252" s="259" t="str">
        <f>IFERROR(__xludf.DUMMYFUNCTION("""COMPUTED_VALUE"""),"")</f>
        <v/>
      </c>
      <c r="J252" s="250" t="str">
        <f t="shared" si="2"/>
        <v/>
      </c>
      <c r="K252" s="317" t="str">
        <f>IFERROR(__xludf.DUMMYFUNCTION("""COMPUTED_VALUE"""),"")</f>
        <v/>
      </c>
      <c r="L252" s="318" t="str">
        <f>IFERROR(__xludf.DUMMYFUNCTION("""COMPUTED_VALUE"""),"")</f>
        <v/>
      </c>
      <c r="M252" s="253" t="str">
        <f t="shared" si="3"/>
        <v/>
      </c>
      <c r="N252" s="319" t="str">
        <f>IFERROR(__xludf.DUMMYFUNCTION("""COMPUTED_VALUE"""),"")</f>
        <v/>
      </c>
      <c r="O252" s="257" t="str">
        <f>IFERROR(__xludf.DUMMYFUNCTION("""COMPUTED_VALUE"""),"")</f>
        <v/>
      </c>
      <c r="P252" s="247" t="str">
        <f t="shared" si="4"/>
        <v/>
      </c>
      <c r="Q252" s="320" t="str">
        <f>IFERROR(__xludf.DUMMYFUNCTION("""COMPUTED_VALUE"""),"")</f>
        <v/>
      </c>
      <c r="R252" s="259" t="str">
        <f>IFERROR(__xludf.DUMMYFUNCTION("""COMPUTED_VALUE"""),"")</f>
        <v/>
      </c>
      <c r="S252" s="250" t="str">
        <f t="shared" si="5"/>
        <v/>
      </c>
      <c r="T252" s="254" t="str">
        <f>IFERROR(__xludf.DUMMYFUNCTION("""COMPUTED_VALUE"""),"")</f>
        <v/>
      </c>
      <c r="U252" s="246" t="str">
        <f>IFERROR(__xludf.DUMMYFUNCTION("""COMPUTED_VALUE"""),"")</f>
        <v/>
      </c>
      <c r="V252" s="247" t="str">
        <f t="shared" si="6"/>
        <v/>
      </c>
      <c r="W252" s="255" t="str">
        <f>IFERROR(__xludf.DUMMYFUNCTION("""COMPUTED_VALUE"""),"")</f>
        <v/>
      </c>
      <c r="X252" s="249" t="str">
        <f>IFERROR(__xludf.DUMMYFUNCTION("""COMPUTED_VALUE"""),"")</f>
        <v/>
      </c>
      <c r="Y252" s="250" t="str">
        <f t="shared" si="7"/>
        <v/>
      </c>
    </row>
    <row r="253">
      <c r="A253" s="136" t="s">
        <v>15</v>
      </c>
      <c r="B253" s="146">
        <v>46121.0</v>
      </c>
      <c r="C253" s="136" t="s">
        <v>49</v>
      </c>
      <c r="D253" s="136" t="s">
        <v>149</v>
      </c>
      <c r="E253" s="256" t="str">
        <f>IFERROR(__xludf.DUMMYFUNCTION("""COMPUTED_VALUE"""),"")</f>
        <v/>
      </c>
      <c r="F253" s="257" t="str">
        <f>IFERROR(__xludf.DUMMYFUNCTION("""COMPUTED_VALUE"""),"")</f>
        <v/>
      </c>
      <c r="G253" s="247" t="str">
        <f t="shared" si="1"/>
        <v/>
      </c>
      <c r="H253" s="258" t="str">
        <f>IFERROR(__xludf.DUMMYFUNCTION("""COMPUTED_VALUE"""),"")</f>
        <v/>
      </c>
      <c r="I253" s="259" t="str">
        <f>IFERROR(__xludf.DUMMYFUNCTION("""COMPUTED_VALUE"""),"")</f>
        <v/>
      </c>
      <c r="J253" s="250" t="str">
        <f t="shared" si="2"/>
        <v/>
      </c>
      <c r="K253" s="317" t="str">
        <f>IFERROR(__xludf.DUMMYFUNCTION("""COMPUTED_VALUE"""),"")</f>
        <v/>
      </c>
      <c r="L253" s="318" t="str">
        <f>IFERROR(__xludf.DUMMYFUNCTION("""COMPUTED_VALUE"""),"")</f>
        <v/>
      </c>
      <c r="M253" s="253" t="str">
        <f t="shared" si="3"/>
        <v/>
      </c>
      <c r="N253" s="319" t="str">
        <f>IFERROR(__xludf.DUMMYFUNCTION("""COMPUTED_VALUE"""),"")</f>
        <v/>
      </c>
      <c r="O253" s="257" t="str">
        <f>IFERROR(__xludf.DUMMYFUNCTION("""COMPUTED_VALUE"""),"")</f>
        <v/>
      </c>
      <c r="P253" s="247" t="str">
        <f t="shared" si="4"/>
        <v/>
      </c>
      <c r="Q253" s="320" t="str">
        <f>IFERROR(__xludf.DUMMYFUNCTION("""COMPUTED_VALUE"""),"")</f>
        <v/>
      </c>
      <c r="R253" s="259" t="str">
        <f>IFERROR(__xludf.DUMMYFUNCTION("""COMPUTED_VALUE"""),"")</f>
        <v/>
      </c>
      <c r="S253" s="250" t="str">
        <f t="shared" si="5"/>
        <v/>
      </c>
      <c r="T253" s="254" t="str">
        <f>IFERROR(__xludf.DUMMYFUNCTION("""COMPUTED_VALUE"""),"")</f>
        <v/>
      </c>
      <c r="U253" s="246" t="str">
        <f>IFERROR(__xludf.DUMMYFUNCTION("""COMPUTED_VALUE"""),"")</f>
        <v/>
      </c>
      <c r="V253" s="247" t="str">
        <f t="shared" si="6"/>
        <v/>
      </c>
      <c r="W253" s="255" t="str">
        <f>IFERROR(__xludf.DUMMYFUNCTION("""COMPUTED_VALUE"""),"")</f>
        <v/>
      </c>
      <c r="X253" s="249" t="str">
        <f>IFERROR(__xludf.DUMMYFUNCTION("""COMPUTED_VALUE"""),"")</f>
        <v/>
      </c>
      <c r="Y253" s="250" t="str">
        <f t="shared" si="7"/>
        <v/>
      </c>
    </row>
    <row r="254">
      <c r="A254" s="136" t="s">
        <v>15</v>
      </c>
      <c r="B254" s="146">
        <v>46121.0</v>
      </c>
      <c r="C254" s="136" t="s">
        <v>49</v>
      </c>
      <c r="D254" s="136" t="s">
        <v>149</v>
      </c>
      <c r="E254" s="256" t="str">
        <f>IFERROR(__xludf.DUMMYFUNCTION("""COMPUTED_VALUE"""),"")</f>
        <v/>
      </c>
      <c r="F254" s="257" t="str">
        <f>IFERROR(__xludf.DUMMYFUNCTION("""COMPUTED_VALUE"""),"")</f>
        <v/>
      </c>
      <c r="G254" s="247" t="str">
        <f t="shared" si="1"/>
        <v/>
      </c>
      <c r="H254" s="258" t="str">
        <f>IFERROR(__xludf.DUMMYFUNCTION("""COMPUTED_VALUE"""),"")</f>
        <v/>
      </c>
      <c r="I254" s="259" t="str">
        <f>IFERROR(__xludf.DUMMYFUNCTION("""COMPUTED_VALUE"""),"")</f>
        <v/>
      </c>
      <c r="J254" s="250" t="str">
        <f t="shared" si="2"/>
        <v/>
      </c>
      <c r="K254" s="317" t="str">
        <f>IFERROR(__xludf.DUMMYFUNCTION("""COMPUTED_VALUE"""),"")</f>
        <v/>
      </c>
      <c r="L254" s="318" t="str">
        <f>IFERROR(__xludf.DUMMYFUNCTION("""COMPUTED_VALUE"""),"")</f>
        <v/>
      </c>
      <c r="M254" s="253" t="str">
        <f t="shared" si="3"/>
        <v/>
      </c>
      <c r="N254" s="319" t="str">
        <f>IFERROR(__xludf.DUMMYFUNCTION("""COMPUTED_VALUE"""),"")</f>
        <v/>
      </c>
      <c r="O254" s="257" t="str">
        <f>IFERROR(__xludf.DUMMYFUNCTION("""COMPUTED_VALUE"""),"")</f>
        <v/>
      </c>
      <c r="P254" s="247" t="str">
        <f t="shared" si="4"/>
        <v/>
      </c>
      <c r="Q254" s="320" t="str">
        <f>IFERROR(__xludf.DUMMYFUNCTION("""COMPUTED_VALUE"""),"")</f>
        <v/>
      </c>
      <c r="R254" s="259" t="str">
        <f>IFERROR(__xludf.DUMMYFUNCTION("""COMPUTED_VALUE"""),"")</f>
        <v/>
      </c>
      <c r="S254" s="250" t="str">
        <f t="shared" si="5"/>
        <v/>
      </c>
      <c r="T254" s="254" t="str">
        <f>IFERROR(__xludf.DUMMYFUNCTION("""COMPUTED_VALUE"""),"")</f>
        <v/>
      </c>
      <c r="U254" s="246" t="str">
        <f>IFERROR(__xludf.DUMMYFUNCTION("""COMPUTED_VALUE"""),"")</f>
        <v/>
      </c>
      <c r="V254" s="247" t="str">
        <f t="shared" si="6"/>
        <v/>
      </c>
      <c r="W254" s="255" t="str">
        <f>IFERROR(__xludf.DUMMYFUNCTION("""COMPUTED_VALUE"""),"")</f>
        <v/>
      </c>
      <c r="X254" s="249" t="str">
        <f>IFERROR(__xludf.DUMMYFUNCTION("""COMPUTED_VALUE"""),"")</f>
        <v/>
      </c>
      <c r="Y254" s="250" t="str">
        <f t="shared" si="7"/>
        <v/>
      </c>
    </row>
    <row r="255">
      <c r="A255" s="136" t="s">
        <v>18</v>
      </c>
      <c r="B255" s="146">
        <v>46121.0</v>
      </c>
      <c r="C255" s="136" t="s">
        <v>49</v>
      </c>
      <c r="D255" s="136" t="s">
        <v>148</v>
      </c>
      <c r="E255" s="256" t="str">
        <f>IFERROR(__xludf.DUMMYFUNCTION("""COMPUTED_VALUE"""),"")</f>
        <v/>
      </c>
      <c r="F255" s="257" t="str">
        <f>IFERROR(__xludf.DUMMYFUNCTION("""COMPUTED_VALUE"""),"")</f>
        <v/>
      </c>
      <c r="G255" s="247" t="str">
        <f t="shared" si="1"/>
        <v/>
      </c>
      <c r="H255" s="258" t="str">
        <f>IFERROR(__xludf.DUMMYFUNCTION("""COMPUTED_VALUE"""),"")</f>
        <v/>
      </c>
      <c r="I255" s="259" t="str">
        <f>IFERROR(__xludf.DUMMYFUNCTION("""COMPUTED_VALUE"""),"")</f>
        <v/>
      </c>
      <c r="J255" s="250" t="str">
        <f t="shared" si="2"/>
        <v/>
      </c>
      <c r="K255" s="317" t="str">
        <f>IFERROR(__xludf.DUMMYFUNCTION("""COMPUTED_VALUE"""),"")</f>
        <v/>
      </c>
      <c r="L255" s="318" t="str">
        <f>IFERROR(__xludf.DUMMYFUNCTION("""COMPUTED_VALUE"""),"")</f>
        <v/>
      </c>
      <c r="M255" s="253" t="str">
        <f t="shared" si="3"/>
        <v/>
      </c>
      <c r="N255" s="319" t="str">
        <f>IFERROR(__xludf.DUMMYFUNCTION("""COMPUTED_VALUE"""),"")</f>
        <v/>
      </c>
      <c r="O255" s="257" t="str">
        <f>IFERROR(__xludf.DUMMYFUNCTION("""COMPUTED_VALUE"""),"")</f>
        <v/>
      </c>
      <c r="P255" s="247" t="str">
        <f t="shared" si="4"/>
        <v/>
      </c>
      <c r="Q255" s="320" t="str">
        <f>IFERROR(__xludf.DUMMYFUNCTION("""COMPUTED_VALUE"""),"")</f>
        <v/>
      </c>
      <c r="R255" s="259" t="str">
        <f>IFERROR(__xludf.DUMMYFUNCTION("""COMPUTED_VALUE"""),"")</f>
        <v/>
      </c>
      <c r="S255" s="250" t="str">
        <f t="shared" si="5"/>
        <v/>
      </c>
      <c r="T255" s="254" t="str">
        <f>IFERROR(__xludf.DUMMYFUNCTION("""COMPUTED_VALUE"""),"")</f>
        <v/>
      </c>
      <c r="U255" s="246" t="str">
        <f>IFERROR(__xludf.DUMMYFUNCTION("""COMPUTED_VALUE"""),"")</f>
        <v/>
      </c>
      <c r="V255" s="247" t="str">
        <f t="shared" si="6"/>
        <v/>
      </c>
      <c r="W255" s="255" t="str">
        <f>IFERROR(__xludf.DUMMYFUNCTION("""COMPUTED_VALUE"""),"")</f>
        <v/>
      </c>
      <c r="X255" s="249" t="str">
        <f>IFERROR(__xludf.DUMMYFUNCTION("""COMPUTED_VALUE"""),"")</f>
        <v/>
      </c>
      <c r="Y255" s="250" t="str">
        <f t="shared" si="7"/>
        <v/>
      </c>
    </row>
    <row r="256">
      <c r="A256" s="136" t="s">
        <v>18</v>
      </c>
      <c r="B256" s="146">
        <v>46121.0</v>
      </c>
      <c r="C256" s="136" t="s">
        <v>49</v>
      </c>
      <c r="D256" s="136" t="s">
        <v>149</v>
      </c>
      <c r="E256" s="256">
        <f>IFERROR(__xludf.DUMMYFUNCTION("""COMPUTED_VALUE"""),61.0)</f>
        <v>61</v>
      </c>
      <c r="F256" s="257">
        <f>IFERROR(__xludf.DUMMYFUNCTION("""COMPUTED_VALUE"""),0.05208333333575865)</f>
        <v>0.05208333334</v>
      </c>
      <c r="G256" s="247">
        <f t="shared" si="1"/>
        <v>48.8</v>
      </c>
      <c r="H256" s="258">
        <f>IFERROR(__xludf.DUMMYFUNCTION("""COMPUTED_VALUE"""),83.0)</f>
        <v>83</v>
      </c>
      <c r="I256" s="259">
        <f>IFERROR(__xludf.DUMMYFUNCTION("""COMPUTED_VALUE"""),0.07291666666424135)</f>
        <v>0.07291666666</v>
      </c>
      <c r="J256" s="250">
        <f t="shared" si="2"/>
        <v>47.42857143</v>
      </c>
      <c r="K256" s="317">
        <f>IFERROR(__xludf.DUMMYFUNCTION("""COMPUTED_VALUE"""),69.0)</f>
        <v>69</v>
      </c>
      <c r="L256" s="318">
        <f>IFERROR(__xludf.DUMMYFUNCTION("""COMPUTED_VALUE"""),0.16250000000582077)</f>
        <v>0.1625</v>
      </c>
      <c r="M256" s="253">
        <f t="shared" si="3"/>
        <v>17.69230769</v>
      </c>
      <c r="N256" s="319">
        <f>IFERROR(__xludf.DUMMYFUNCTION("""COMPUTED_VALUE"""),152.0)</f>
        <v>152</v>
      </c>
      <c r="O256" s="257">
        <f>IFERROR(__xludf.DUMMYFUNCTION("""COMPUTED_VALUE"""),0.13750000000436557)</f>
        <v>0.1375</v>
      </c>
      <c r="P256" s="247">
        <f t="shared" si="4"/>
        <v>46.06060606</v>
      </c>
      <c r="Q256" s="320">
        <f>IFERROR(__xludf.DUMMYFUNCTION("""COMPUTED_VALUE"""),188.0)</f>
        <v>188</v>
      </c>
      <c r="R256" s="259">
        <f>IFERROR(__xludf.DUMMYFUNCTION("""COMPUTED_VALUE"""),0.15972222221898846)</f>
        <v>0.1597222222</v>
      </c>
      <c r="S256" s="250">
        <f t="shared" si="5"/>
        <v>49.04347826</v>
      </c>
      <c r="T256" s="254">
        <f>IFERROR(__xludf.DUMMYFUNCTION("""COMPUTED_VALUE"""),213.0)</f>
        <v>213</v>
      </c>
      <c r="U256" s="246">
        <f>IFERROR(__xludf.DUMMYFUNCTION("""COMPUTED_VALUE"""),0.18958333334012423)</f>
        <v>0.1895833333</v>
      </c>
      <c r="V256" s="247">
        <f t="shared" si="6"/>
        <v>46.81318681</v>
      </c>
      <c r="W256" s="255">
        <f>IFERROR(__xludf.DUMMYFUNCTION("""COMPUTED_VALUE"""),271.0)</f>
        <v>271</v>
      </c>
      <c r="X256" s="249">
        <f>IFERROR(__xludf.DUMMYFUNCTION("""COMPUTED_VALUE"""),0.2326388888832298)</f>
        <v>0.2326388889</v>
      </c>
      <c r="Y256" s="250">
        <f t="shared" si="7"/>
        <v>48.53731343</v>
      </c>
    </row>
    <row r="257">
      <c r="A257" s="136" t="s">
        <v>18</v>
      </c>
      <c r="B257" s="146">
        <v>46121.0</v>
      </c>
      <c r="C257" s="136" t="s">
        <v>49</v>
      </c>
      <c r="D257" s="136" t="s">
        <v>149</v>
      </c>
      <c r="E257" s="256" t="str">
        <f>IFERROR(__xludf.DUMMYFUNCTION("""COMPUTED_VALUE"""),"")</f>
        <v/>
      </c>
      <c r="F257" s="257" t="str">
        <f>IFERROR(__xludf.DUMMYFUNCTION("""COMPUTED_VALUE"""),"")</f>
        <v/>
      </c>
      <c r="G257" s="247" t="str">
        <f t="shared" si="1"/>
        <v/>
      </c>
      <c r="H257" s="258" t="str">
        <f>IFERROR(__xludf.DUMMYFUNCTION("""COMPUTED_VALUE"""),"")</f>
        <v/>
      </c>
      <c r="I257" s="259" t="str">
        <f>IFERROR(__xludf.DUMMYFUNCTION("""COMPUTED_VALUE"""),"")</f>
        <v/>
      </c>
      <c r="J257" s="250" t="str">
        <f t="shared" si="2"/>
        <v/>
      </c>
      <c r="K257" s="317" t="str">
        <f>IFERROR(__xludf.DUMMYFUNCTION("""COMPUTED_VALUE"""),"")</f>
        <v/>
      </c>
      <c r="L257" s="318" t="str">
        <f>IFERROR(__xludf.DUMMYFUNCTION("""COMPUTED_VALUE"""),"")</f>
        <v/>
      </c>
      <c r="M257" s="253" t="str">
        <f t="shared" si="3"/>
        <v/>
      </c>
      <c r="N257" s="319" t="str">
        <f>IFERROR(__xludf.DUMMYFUNCTION("""COMPUTED_VALUE"""),"")</f>
        <v/>
      </c>
      <c r="O257" s="257" t="str">
        <f>IFERROR(__xludf.DUMMYFUNCTION("""COMPUTED_VALUE"""),"")</f>
        <v/>
      </c>
      <c r="P257" s="247" t="str">
        <f t="shared" si="4"/>
        <v/>
      </c>
      <c r="Q257" s="320" t="str">
        <f>IFERROR(__xludf.DUMMYFUNCTION("""COMPUTED_VALUE"""),"")</f>
        <v/>
      </c>
      <c r="R257" s="259" t="str">
        <f>IFERROR(__xludf.DUMMYFUNCTION("""COMPUTED_VALUE"""),"")</f>
        <v/>
      </c>
      <c r="S257" s="250" t="str">
        <f t="shared" si="5"/>
        <v/>
      </c>
      <c r="T257" s="254" t="str">
        <f>IFERROR(__xludf.DUMMYFUNCTION("""COMPUTED_VALUE"""),"")</f>
        <v/>
      </c>
      <c r="U257" s="246" t="str">
        <f>IFERROR(__xludf.DUMMYFUNCTION("""COMPUTED_VALUE"""),"")</f>
        <v/>
      </c>
      <c r="V257" s="247" t="str">
        <f t="shared" si="6"/>
        <v/>
      </c>
      <c r="W257" s="255" t="str">
        <f>IFERROR(__xludf.DUMMYFUNCTION("""COMPUTED_VALUE"""),"")</f>
        <v/>
      </c>
      <c r="X257" s="249" t="str">
        <f>IFERROR(__xludf.DUMMYFUNCTION("""COMPUTED_VALUE"""),"")</f>
        <v/>
      </c>
      <c r="Y257" s="250" t="str">
        <f t="shared" si="7"/>
        <v/>
      </c>
    </row>
    <row r="258">
      <c r="A258" s="136" t="s">
        <v>134</v>
      </c>
      <c r="B258" s="146">
        <v>46118.0</v>
      </c>
      <c r="C258" s="136" t="s">
        <v>37</v>
      </c>
      <c r="D258" s="136" t="s">
        <v>149</v>
      </c>
      <c r="E258" s="256">
        <f>IFERROR(__xludf.DUMMYFUNCTION("""COMPUTED_VALUE"""),105.0)</f>
        <v>105</v>
      </c>
      <c r="F258" s="257">
        <f>IFERROR(__xludf.DUMMYFUNCTION("""COMPUTED_VALUE"""),0.06944444444525288)</f>
        <v>0.06944444445</v>
      </c>
      <c r="G258" s="247">
        <f t="shared" si="1"/>
        <v>63</v>
      </c>
      <c r="H258" s="258">
        <f>IFERROR(__xludf.DUMMYFUNCTION("""COMPUTED_VALUE"""),223.0)</f>
        <v>223</v>
      </c>
      <c r="I258" s="259">
        <f>IFERROR(__xludf.DUMMYFUNCTION("""COMPUTED_VALUE"""),0.20138888889050577)</f>
        <v>0.2013888889</v>
      </c>
      <c r="J258" s="250">
        <f t="shared" si="2"/>
        <v>46.13793103</v>
      </c>
      <c r="K258" s="317">
        <f>IFERROR(__xludf.DUMMYFUNCTION("""COMPUTED_VALUE"""),48.0)</f>
        <v>48</v>
      </c>
      <c r="L258" s="318">
        <f>IFERROR(__xludf.DUMMYFUNCTION("""COMPUTED_VALUE"""),0.06458333333284827)</f>
        <v>0.06458333333</v>
      </c>
      <c r="M258" s="253">
        <f t="shared" si="3"/>
        <v>30.96774194</v>
      </c>
      <c r="N258" s="319">
        <f>IFERROR(__xludf.DUMMYFUNCTION("""COMPUTED_VALUE"""),111.0)</f>
        <v>111</v>
      </c>
      <c r="O258" s="257">
        <f>IFERROR(__xludf.DUMMYFUNCTION("""COMPUTED_VALUE"""),0.125)</f>
        <v>0.125</v>
      </c>
      <c r="P258" s="247">
        <f t="shared" si="4"/>
        <v>37</v>
      </c>
      <c r="Q258" s="320">
        <f>IFERROR(__xludf.DUMMYFUNCTION("""COMPUTED_VALUE"""),0.0)</f>
        <v>0</v>
      </c>
      <c r="R258" s="259">
        <f>IFERROR(__xludf.DUMMYFUNCTION("""COMPUTED_VALUE"""),0.0)</f>
        <v>0</v>
      </c>
      <c r="S258" s="250" t="str">
        <f t="shared" si="5"/>
        <v/>
      </c>
      <c r="T258" s="254">
        <f>IFERROR(__xludf.DUMMYFUNCTION("""COMPUTED_VALUE"""),216.0)</f>
        <v>216</v>
      </c>
      <c r="U258" s="246">
        <f>IFERROR(__xludf.DUMMYFUNCTION("""COMPUTED_VALUE"""),0.19444444444525288)</f>
        <v>0.1944444444</v>
      </c>
      <c r="V258" s="247">
        <f t="shared" si="6"/>
        <v>46.28571429</v>
      </c>
      <c r="W258" s="255">
        <f>IFERROR(__xludf.DUMMYFUNCTION("""COMPUTED_VALUE"""),223.0)</f>
        <v>223</v>
      </c>
      <c r="X258" s="249">
        <f>IFERROR(__xludf.DUMMYFUNCTION("""COMPUTED_VALUE"""),0.20138888889050577)</f>
        <v>0.2013888889</v>
      </c>
      <c r="Y258" s="250">
        <f t="shared" si="7"/>
        <v>46.13793103</v>
      </c>
    </row>
    <row r="259">
      <c r="A259" s="136" t="s">
        <v>15</v>
      </c>
      <c r="B259" s="146">
        <v>46118.0</v>
      </c>
      <c r="C259" s="136" t="s">
        <v>37</v>
      </c>
      <c r="D259" s="136" t="s">
        <v>148</v>
      </c>
      <c r="E259" s="256" t="str">
        <f>IFERROR(__xludf.DUMMYFUNCTION("""COMPUTED_VALUE"""),"")</f>
        <v/>
      </c>
      <c r="F259" s="257" t="str">
        <f>IFERROR(__xludf.DUMMYFUNCTION("""COMPUTED_VALUE"""),"")</f>
        <v/>
      </c>
      <c r="G259" s="247" t="str">
        <f t="shared" si="1"/>
        <v/>
      </c>
      <c r="H259" s="258" t="str">
        <f>IFERROR(__xludf.DUMMYFUNCTION("""COMPUTED_VALUE"""),"")</f>
        <v/>
      </c>
      <c r="I259" s="259" t="str">
        <f>IFERROR(__xludf.DUMMYFUNCTION("""COMPUTED_VALUE"""),"")</f>
        <v/>
      </c>
      <c r="J259" s="250" t="str">
        <f t="shared" si="2"/>
        <v/>
      </c>
      <c r="K259" s="317" t="str">
        <f>IFERROR(__xludf.DUMMYFUNCTION("""COMPUTED_VALUE"""),"")</f>
        <v/>
      </c>
      <c r="L259" s="318" t="str">
        <f>IFERROR(__xludf.DUMMYFUNCTION("""COMPUTED_VALUE"""),"")</f>
        <v/>
      </c>
      <c r="M259" s="253" t="str">
        <f t="shared" si="3"/>
        <v/>
      </c>
      <c r="N259" s="319" t="str">
        <f>IFERROR(__xludf.DUMMYFUNCTION("""COMPUTED_VALUE"""),"")</f>
        <v/>
      </c>
      <c r="O259" s="257" t="str">
        <f>IFERROR(__xludf.DUMMYFUNCTION("""COMPUTED_VALUE"""),"")</f>
        <v/>
      </c>
      <c r="P259" s="247" t="str">
        <f t="shared" si="4"/>
        <v/>
      </c>
      <c r="Q259" s="320" t="str">
        <f>IFERROR(__xludf.DUMMYFUNCTION("""COMPUTED_VALUE"""),"")</f>
        <v/>
      </c>
      <c r="R259" s="259" t="str">
        <f>IFERROR(__xludf.DUMMYFUNCTION("""COMPUTED_VALUE"""),"")</f>
        <v/>
      </c>
      <c r="S259" s="250" t="str">
        <f t="shared" si="5"/>
        <v/>
      </c>
      <c r="T259" s="254" t="str">
        <f>IFERROR(__xludf.DUMMYFUNCTION("""COMPUTED_VALUE"""),"")</f>
        <v/>
      </c>
      <c r="U259" s="246" t="str">
        <f>IFERROR(__xludf.DUMMYFUNCTION("""COMPUTED_VALUE"""),"")</f>
        <v/>
      </c>
      <c r="V259" s="247" t="str">
        <f t="shared" si="6"/>
        <v/>
      </c>
      <c r="W259" s="255" t="str">
        <f>IFERROR(__xludf.DUMMYFUNCTION("""COMPUTED_VALUE"""),"")</f>
        <v/>
      </c>
      <c r="X259" s="249" t="str">
        <f>IFERROR(__xludf.DUMMYFUNCTION("""COMPUTED_VALUE"""),"")</f>
        <v/>
      </c>
      <c r="Y259" s="250" t="str">
        <f t="shared" si="7"/>
        <v/>
      </c>
    </row>
    <row r="260">
      <c r="A260" s="136" t="s">
        <v>12</v>
      </c>
      <c r="B260" s="146">
        <v>46122.0</v>
      </c>
      <c r="C260" s="136" t="s">
        <v>53</v>
      </c>
      <c r="D260" s="136" t="s">
        <v>149</v>
      </c>
      <c r="E260" s="256" t="str">
        <f>IFERROR(__xludf.DUMMYFUNCTION("""COMPUTED_VALUE"""),"")</f>
        <v/>
      </c>
      <c r="F260" s="257" t="str">
        <f>IFERROR(__xludf.DUMMYFUNCTION("""COMPUTED_VALUE"""),"")</f>
        <v/>
      </c>
      <c r="G260" s="247" t="str">
        <f t="shared" si="1"/>
        <v/>
      </c>
      <c r="H260" s="258" t="str">
        <f>IFERROR(__xludf.DUMMYFUNCTION("""COMPUTED_VALUE"""),"")</f>
        <v/>
      </c>
      <c r="I260" s="259" t="str">
        <f>IFERROR(__xludf.DUMMYFUNCTION("""COMPUTED_VALUE"""),"")</f>
        <v/>
      </c>
      <c r="J260" s="250" t="str">
        <f t="shared" si="2"/>
        <v/>
      </c>
      <c r="K260" s="317" t="str">
        <f>IFERROR(__xludf.DUMMYFUNCTION("""COMPUTED_VALUE"""),"")</f>
        <v/>
      </c>
      <c r="L260" s="318" t="str">
        <f>IFERROR(__xludf.DUMMYFUNCTION("""COMPUTED_VALUE"""),"")</f>
        <v/>
      </c>
      <c r="M260" s="253" t="str">
        <f t="shared" si="3"/>
        <v/>
      </c>
      <c r="N260" s="319" t="str">
        <f>IFERROR(__xludf.DUMMYFUNCTION("""COMPUTED_VALUE"""),"")</f>
        <v/>
      </c>
      <c r="O260" s="257" t="str">
        <f>IFERROR(__xludf.DUMMYFUNCTION("""COMPUTED_VALUE"""),"")</f>
        <v/>
      </c>
      <c r="P260" s="247" t="str">
        <f t="shared" si="4"/>
        <v/>
      </c>
      <c r="Q260" s="320" t="str">
        <f>IFERROR(__xludf.DUMMYFUNCTION("""COMPUTED_VALUE"""),"")</f>
        <v/>
      </c>
      <c r="R260" s="259" t="str">
        <f>IFERROR(__xludf.DUMMYFUNCTION("""COMPUTED_VALUE"""),"")</f>
        <v/>
      </c>
      <c r="S260" s="250" t="str">
        <f t="shared" si="5"/>
        <v/>
      </c>
      <c r="T260" s="254" t="str">
        <f>IFERROR(__xludf.DUMMYFUNCTION("""COMPUTED_VALUE"""),"")</f>
        <v/>
      </c>
      <c r="U260" s="246" t="str">
        <f>IFERROR(__xludf.DUMMYFUNCTION("""COMPUTED_VALUE"""),"")</f>
        <v/>
      </c>
      <c r="V260" s="247" t="str">
        <f t="shared" si="6"/>
        <v/>
      </c>
      <c r="W260" s="255" t="str">
        <f>IFERROR(__xludf.DUMMYFUNCTION("""COMPUTED_VALUE"""),"")</f>
        <v/>
      </c>
      <c r="X260" s="249" t="str">
        <f>IFERROR(__xludf.DUMMYFUNCTION("""COMPUTED_VALUE"""),"")</f>
        <v/>
      </c>
      <c r="Y260" s="250" t="str">
        <f t="shared" si="7"/>
        <v/>
      </c>
    </row>
    <row r="261">
      <c r="A261" s="136" t="s">
        <v>15</v>
      </c>
      <c r="B261" s="146">
        <v>46122.0</v>
      </c>
      <c r="C261" s="136" t="s">
        <v>53</v>
      </c>
      <c r="D261" s="136" t="s">
        <v>149</v>
      </c>
      <c r="E261" s="256" t="str">
        <f>IFERROR(__xludf.DUMMYFUNCTION("""COMPUTED_VALUE"""),"")</f>
        <v/>
      </c>
      <c r="F261" s="257" t="str">
        <f>IFERROR(__xludf.DUMMYFUNCTION("""COMPUTED_VALUE"""),"")</f>
        <v/>
      </c>
      <c r="G261" s="247" t="str">
        <f t="shared" si="1"/>
        <v/>
      </c>
      <c r="H261" s="258" t="str">
        <f>IFERROR(__xludf.DUMMYFUNCTION("""COMPUTED_VALUE"""),"")</f>
        <v/>
      </c>
      <c r="I261" s="259" t="str">
        <f>IFERROR(__xludf.DUMMYFUNCTION("""COMPUTED_VALUE"""),"")</f>
        <v/>
      </c>
      <c r="J261" s="250" t="str">
        <f t="shared" si="2"/>
        <v/>
      </c>
      <c r="K261" s="317" t="str">
        <f>IFERROR(__xludf.DUMMYFUNCTION("""COMPUTED_VALUE"""),"")</f>
        <v/>
      </c>
      <c r="L261" s="318" t="str">
        <f>IFERROR(__xludf.DUMMYFUNCTION("""COMPUTED_VALUE"""),"")</f>
        <v/>
      </c>
      <c r="M261" s="253" t="str">
        <f t="shared" si="3"/>
        <v/>
      </c>
      <c r="N261" s="319" t="str">
        <f>IFERROR(__xludf.DUMMYFUNCTION("""COMPUTED_VALUE"""),"")</f>
        <v/>
      </c>
      <c r="O261" s="257" t="str">
        <f>IFERROR(__xludf.DUMMYFUNCTION("""COMPUTED_VALUE"""),"")</f>
        <v/>
      </c>
      <c r="P261" s="247" t="str">
        <f t="shared" si="4"/>
        <v/>
      </c>
      <c r="Q261" s="320" t="str">
        <f>IFERROR(__xludf.DUMMYFUNCTION("""COMPUTED_VALUE"""),"")</f>
        <v/>
      </c>
      <c r="R261" s="259" t="str">
        <f>IFERROR(__xludf.DUMMYFUNCTION("""COMPUTED_VALUE"""),"")</f>
        <v/>
      </c>
      <c r="S261" s="250" t="str">
        <f t="shared" si="5"/>
        <v/>
      </c>
      <c r="T261" s="254" t="str">
        <f>IFERROR(__xludf.DUMMYFUNCTION("""COMPUTED_VALUE"""),"")</f>
        <v/>
      </c>
      <c r="U261" s="246" t="str">
        <f>IFERROR(__xludf.DUMMYFUNCTION("""COMPUTED_VALUE"""),"")</f>
        <v/>
      </c>
      <c r="V261" s="247" t="str">
        <f t="shared" si="6"/>
        <v/>
      </c>
      <c r="W261" s="255" t="str">
        <f>IFERROR(__xludf.DUMMYFUNCTION("""COMPUTED_VALUE"""),"")</f>
        <v/>
      </c>
      <c r="X261" s="249" t="str">
        <f>IFERROR(__xludf.DUMMYFUNCTION("""COMPUTED_VALUE"""),"")</f>
        <v/>
      </c>
      <c r="Y261" s="250" t="str">
        <f t="shared" si="7"/>
        <v/>
      </c>
    </row>
    <row r="262">
      <c r="A262" s="136" t="s">
        <v>15</v>
      </c>
      <c r="B262" s="146">
        <v>46122.0</v>
      </c>
      <c r="C262" s="136" t="s">
        <v>53</v>
      </c>
      <c r="D262" s="136" t="s">
        <v>148</v>
      </c>
      <c r="E262" s="256" t="str">
        <f>IFERROR(__xludf.DUMMYFUNCTION("""COMPUTED_VALUE"""),"")</f>
        <v/>
      </c>
      <c r="F262" s="257" t="str">
        <f>IFERROR(__xludf.DUMMYFUNCTION("""COMPUTED_VALUE"""),"")</f>
        <v/>
      </c>
      <c r="G262" s="247" t="str">
        <f t="shared" si="1"/>
        <v/>
      </c>
      <c r="H262" s="258" t="str">
        <f>IFERROR(__xludf.DUMMYFUNCTION("""COMPUTED_VALUE"""),"")</f>
        <v/>
      </c>
      <c r="I262" s="259" t="str">
        <f>IFERROR(__xludf.DUMMYFUNCTION("""COMPUTED_VALUE"""),"")</f>
        <v/>
      </c>
      <c r="J262" s="250" t="str">
        <f t="shared" si="2"/>
        <v/>
      </c>
      <c r="K262" s="317" t="str">
        <f>IFERROR(__xludf.DUMMYFUNCTION("""COMPUTED_VALUE"""),"")</f>
        <v/>
      </c>
      <c r="L262" s="318" t="str">
        <f>IFERROR(__xludf.DUMMYFUNCTION("""COMPUTED_VALUE"""),"")</f>
        <v/>
      </c>
      <c r="M262" s="253" t="str">
        <f t="shared" si="3"/>
        <v/>
      </c>
      <c r="N262" s="319" t="str">
        <f>IFERROR(__xludf.DUMMYFUNCTION("""COMPUTED_VALUE"""),"")</f>
        <v/>
      </c>
      <c r="O262" s="257" t="str">
        <f>IFERROR(__xludf.DUMMYFUNCTION("""COMPUTED_VALUE"""),"")</f>
        <v/>
      </c>
      <c r="P262" s="247" t="str">
        <f t="shared" si="4"/>
        <v/>
      </c>
      <c r="Q262" s="320" t="str">
        <f>IFERROR(__xludf.DUMMYFUNCTION("""COMPUTED_VALUE"""),"")</f>
        <v/>
      </c>
      <c r="R262" s="259" t="str">
        <f>IFERROR(__xludf.DUMMYFUNCTION("""COMPUTED_VALUE"""),"")</f>
        <v/>
      </c>
      <c r="S262" s="250" t="str">
        <f t="shared" si="5"/>
        <v/>
      </c>
      <c r="T262" s="254" t="str">
        <f>IFERROR(__xludf.DUMMYFUNCTION("""COMPUTED_VALUE"""),"")</f>
        <v/>
      </c>
      <c r="U262" s="246" t="str">
        <f>IFERROR(__xludf.DUMMYFUNCTION("""COMPUTED_VALUE"""),"")</f>
        <v/>
      </c>
      <c r="V262" s="247" t="str">
        <f t="shared" si="6"/>
        <v/>
      </c>
      <c r="W262" s="255" t="str">
        <f>IFERROR(__xludf.DUMMYFUNCTION("""COMPUTED_VALUE"""),"")</f>
        <v/>
      </c>
      <c r="X262" s="249" t="str">
        <f>IFERROR(__xludf.DUMMYFUNCTION("""COMPUTED_VALUE"""),"")</f>
        <v/>
      </c>
      <c r="Y262" s="250" t="str">
        <f t="shared" si="7"/>
        <v/>
      </c>
    </row>
    <row r="263">
      <c r="A263" s="136" t="s">
        <v>18</v>
      </c>
      <c r="B263" s="146">
        <v>46122.0</v>
      </c>
      <c r="C263" s="136" t="s">
        <v>53</v>
      </c>
      <c r="D263" s="136" t="s">
        <v>148</v>
      </c>
      <c r="E263" s="256" t="str">
        <f>IFERROR(__xludf.DUMMYFUNCTION("""COMPUTED_VALUE"""),"")</f>
        <v/>
      </c>
      <c r="F263" s="257" t="str">
        <f>IFERROR(__xludf.DUMMYFUNCTION("""COMPUTED_VALUE"""),"")</f>
        <v/>
      </c>
      <c r="G263" s="247" t="str">
        <f t="shared" si="1"/>
        <v/>
      </c>
      <c r="H263" s="258" t="str">
        <f>IFERROR(__xludf.DUMMYFUNCTION("""COMPUTED_VALUE"""),"")</f>
        <v/>
      </c>
      <c r="I263" s="259" t="str">
        <f>IFERROR(__xludf.DUMMYFUNCTION("""COMPUTED_VALUE"""),"")</f>
        <v/>
      </c>
      <c r="J263" s="250" t="str">
        <f t="shared" si="2"/>
        <v/>
      </c>
      <c r="K263" s="317" t="str">
        <f>IFERROR(__xludf.DUMMYFUNCTION("""COMPUTED_VALUE"""),"")</f>
        <v/>
      </c>
      <c r="L263" s="318" t="str">
        <f>IFERROR(__xludf.DUMMYFUNCTION("""COMPUTED_VALUE"""),"")</f>
        <v/>
      </c>
      <c r="M263" s="253" t="str">
        <f t="shared" si="3"/>
        <v/>
      </c>
      <c r="N263" s="319" t="str">
        <f>IFERROR(__xludf.DUMMYFUNCTION("""COMPUTED_VALUE"""),"")</f>
        <v/>
      </c>
      <c r="O263" s="257" t="str">
        <f>IFERROR(__xludf.DUMMYFUNCTION("""COMPUTED_VALUE"""),"")</f>
        <v/>
      </c>
      <c r="P263" s="247" t="str">
        <f t="shared" si="4"/>
        <v/>
      </c>
      <c r="Q263" s="320" t="str">
        <f>IFERROR(__xludf.DUMMYFUNCTION("""COMPUTED_VALUE"""),"")</f>
        <v/>
      </c>
      <c r="R263" s="259" t="str">
        <f>IFERROR(__xludf.DUMMYFUNCTION("""COMPUTED_VALUE"""),"")</f>
        <v/>
      </c>
      <c r="S263" s="250" t="str">
        <f t="shared" si="5"/>
        <v/>
      </c>
      <c r="T263" s="254" t="str">
        <f>IFERROR(__xludf.DUMMYFUNCTION("""COMPUTED_VALUE"""),"")</f>
        <v/>
      </c>
      <c r="U263" s="246" t="str">
        <f>IFERROR(__xludf.DUMMYFUNCTION("""COMPUTED_VALUE"""),"")</f>
        <v/>
      </c>
      <c r="V263" s="247" t="str">
        <f t="shared" si="6"/>
        <v/>
      </c>
      <c r="W263" s="255" t="str">
        <f>IFERROR(__xludf.DUMMYFUNCTION("""COMPUTED_VALUE"""),"")</f>
        <v/>
      </c>
      <c r="X263" s="249" t="str">
        <f>IFERROR(__xludf.DUMMYFUNCTION("""COMPUTED_VALUE"""),"")</f>
        <v/>
      </c>
      <c r="Y263" s="250" t="str">
        <f t="shared" si="7"/>
        <v/>
      </c>
    </row>
    <row r="264">
      <c r="A264" s="136" t="s">
        <v>18</v>
      </c>
      <c r="B264" s="146">
        <v>46122.0</v>
      </c>
      <c r="C264" s="136" t="s">
        <v>53</v>
      </c>
      <c r="D264" s="136" t="s">
        <v>148</v>
      </c>
      <c r="E264" s="256">
        <f>IFERROR(__xludf.DUMMYFUNCTION("""COMPUTED_VALUE"""),182.0)</f>
        <v>182</v>
      </c>
      <c r="F264" s="257">
        <f>IFERROR(__xludf.DUMMYFUNCTION("""COMPUTED_VALUE"""),0.13888888889050577)</f>
        <v>0.1388888889</v>
      </c>
      <c r="G264" s="247">
        <f t="shared" si="1"/>
        <v>54.6</v>
      </c>
      <c r="H264" s="258">
        <f>IFERROR(__xludf.DUMMYFUNCTION("""COMPUTED_VALUE"""),225.0)</f>
        <v>225</v>
      </c>
      <c r="I264" s="259">
        <f>IFERROR(__xludf.DUMMYFUNCTION("""COMPUTED_VALUE"""),0.1500000000014552)</f>
        <v>0.15</v>
      </c>
      <c r="J264" s="250">
        <f t="shared" si="2"/>
        <v>62.5</v>
      </c>
      <c r="K264" s="317">
        <f>IFERROR(__xludf.DUMMYFUNCTION("""COMPUTED_VALUE"""),69.0)</f>
        <v>69</v>
      </c>
      <c r="L264" s="318">
        <f>IFERROR(__xludf.DUMMYFUNCTION("""COMPUTED_VALUE"""),0.0625)</f>
        <v>0.0625</v>
      </c>
      <c r="M264" s="253">
        <f t="shared" si="3"/>
        <v>46</v>
      </c>
      <c r="N264" s="319">
        <f>IFERROR(__xludf.DUMMYFUNCTION("""COMPUTED_VALUE"""),76.0)</f>
        <v>76</v>
      </c>
      <c r="O264" s="257">
        <f>IFERROR(__xludf.DUMMYFUNCTION("""COMPUTED_VALUE"""),0.125)</f>
        <v>0.125</v>
      </c>
      <c r="P264" s="247">
        <f t="shared" si="4"/>
        <v>25.33333333</v>
      </c>
      <c r="Q264" s="320">
        <f>IFERROR(__xludf.DUMMYFUNCTION("""COMPUTED_VALUE"""),0.0)</f>
        <v>0</v>
      </c>
      <c r="R264" s="259">
        <f>IFERROR(__xludf.DUMMYFUNCTION("""COMPUTED_VALUE"""),0.0)</f>
        <v>0</v>
      </c>
      <c r="S264" s="250" t="str">
        <f t="shared" si="5"/>
        <v/>
      </c>
      <c r="T264" s="254">
        <f>IFERROR(__xludf.DUMMYFUNCTION("""COMPUTED_VALUE"""),258.0)</f>
        <v>258</v>
      </c>
      <c r="U264" s="246">
        <f>IFERROR(__xludf.DUMMYFUNCTION("""COMPUTED_VALUE"""),0.26388888889050577)</f>
        <v>0.2638888889</v>
      </c>
      <c r="V264" s="247">
        <f t="shared" si="6"/>
        <v>40.73684211</v>
      </c>
      <c r="W264" s="255">
        <f>IFERROR(__xludf.DUMMYFUNCTION("""COMPUTED_VALUE"""),225.0)</f>
        <v>225</v>
      </c>
      <c r="X264" s="249">
        <f>IFERROR(__xludf.DUMMYFUNCTION("""COMPUTED_VALUE"""),0.1500000000014552)</f>
        <v>0.15</v>
      </c>
      <c r="Y264" s="250">
        <f t="shared" si="7"/>
        <v>62.5</v>
      </c>
    </row>
    <row r="265">
      <c r="A265" s="136" t="s">
        <v>18</v>
      </c>
      <c r="B265" s="146">
        <v>46122.0</v>
      </c>
      <c r="C265" s="136" t="s">
        <v>53</v>
      </c>
      <c r="D265" s="136" t="s">
        <v>148</v>
      </c>
      <c r="E265" s="256" t="str">
        <f>IFERROR(__xludf.DUMMYFUNCTION("""COMPUTED_VALUE"""),"")</f>
        <v/>
      </c>
      <c r="F265" s="257" t="str">
        <f>IFERROR(__xludf.DUMMYFUNCTION("""COMPUTED_VALUE"""),"")</f>
        <v/>
      </c>
      <c r="G265" s="247" t="str">
        <f t="shared" si="1"/>
        <v/>
      </c>
      <c r="H265" s="258" t="str">
        <f>IFERROR(__xludf.DUMMYFUNCTION("""COMPUTED_VALUE"""),"")</f>
        <v/>
      </c>
      <c r="I265" s="259" t="str">
        <f>IFERROR(__xludf.DUMMYFUNCTION("""COMPUTED_VALUE"""),"")</f>
        <v/>
      </c>
      <c r="J265" s="250" t="str">
        <f t="shared" si="2"/>
        <v/>
      </c>
      <c r="K265" s="317" t="str">
        <f>IFERROR(__xludf.DUMMYFUNCTION("""COMPUTED_VALUE"""),"")</f>
        <v/>
      </c>
      <c r="L265" s="318" t="str">
        <f>IFERROR(__xludf.DUMMYFUNCTION("""COMPUTED_VALUE"""),"")</f>
        <v/>
      </c>
      <c r="M265" s="253" t="str">
        <f t="shared" si="3"/>
        <v/>
      </c>
      <c r="N265" s="319" t="str">
        <f>IFERROR(__xludf.DUMMYFUNCTION("""COMPUTED_VALUE"""),"")</f>
        <v/>
      </c>
      <c r="O265" s="257" t="str">
        <f>IFERROR(__xludf.DUMMYFUNCTION("""COMPUTED_VALUE"""),"")</f>
        <v/>
      </c>
      <c r="P265" s="247" t="str">
        <f t="shared" si="4"/>
        <v/>
      </c>
      <c r="Q265" s="320" t="str">
        <f>IFERROR(__xludf.DUMMYFUNCTION("""COMPUTED_VALUE"""),"")</f>
        <v/>
      </c>
      <c r="R265" s="259" t="str">
        <f>IFERROR(__xludf.DUMMYFUNCTION("""COMPUTED_VALUE"""),"")</f>
        <v/>
      </c>
      <c r="S265" s="250" t="str">
        <f t="shared" si="5"/>
        <v/>
      </c>
      <c r="T265" s="254" t="str">
        <f>IFERROR(__xludf.DUMMYFUNCTION("""COMPUTED_VALUE"""),"")</f>
        <v/>
      </c>
      <c r="U265" s="246" t="str">
        <f>IFERROR(__xludf.DUMMYFUNCTION("""COMPUTED_VALUE"""),"")</f>
        <v/>
      </c>
      <c r="V265" s="247" t="str">
        <f t="shared" si="6"/>
        <v/>
      </c>
      <c r="W265" s="255" t="str">
        <f>IFERROR(__xludf.DUMMYFUNCTION("""COMPUTED_VALUE"""),"")</f>
        <v/>
      </c>
      <c r="X265" s="249" t="str">
        <f>IFERROR(__xludf.DUMMYFUNCTION("""COMPUTED_VALUE"""),"")</f>
        <v/>
      </c>
      <c r="Y265" s="250" t="str">
        <f t="shared" si="7"/>
        <v/>
      </c>
    </row>
    <row r="266">
      <c r="A266" s="136" t="s">
        <v>12</v>
      </c>
      <c r="B266" s="146">
        <v>46125.0</v>
      </c>
      <c r="C266" s="136" t="s">
        <v>37</v>
      </c>
      <c r="D266" s="136" t="s">
        <v>149</v>
      </c>
      <c r="E266" s="256" t="str">
        <f>IFERROR(__xludf.DUMMYFUNCTION("""COMPUTED_VALUE"""),"")</f>
        <v/>
      </c>
      <c r="F266" s="257" t="str">
        <f>IFERROR(__xludf.DUMMYFUNCTION("""COMPUTED_VALUE"""),"")</f>
        <v/>
      </c>
      <c r="G266" s="247" t="str">
        <f t="shared" si="1"/>
        <v/>
      </c>
      <c r="H266" s="258" t="str">
        <f>IFERROR(__xludf.DUMMYFUNCTION("""COMPUTED_VALUE"""),"")</f>
        <v/>
      </c>
      <c r="I266" s="259" t="str">
        <f>IFERROR(__xludf.DUMMYFUNCTION("""COMPUTED_VALUE"""),"")</f>
        <v/>
      </c>
      <c r="J266" s="250" t="str">
        <f t="shared" si="2"/>
        <v/>
      </c>
      <c r="K266" s="317" t="str">
        <f>IFERROR(__xludf.DUMMYFUNCTION("""COMPUTED_VALUE"""),"")</f>
        <v/>
      </c>
      <c r="L266" s="318" t="str">
        <f>IFERROR(__xludf.DUMMYFUNCTION("""COMPUTED_VALUE"""),"")</f>
        <v/>
      </c>
      <c r="M266" s="253" t="str">
        <f t="shared" si="3"/>
        <v/>
      </c>
      <c r="N266" s="319" t="str">
        <f>IFERROR(__xludf.DUMMYFUNCTION("""COMPUTED_VALUE"""),"")</f>
        <v/>
      </c>
      <c r="O266" s="257" t="str">
        <f>IFERROR(__xludf.DUMMYFUNCTION("""COMPUTED_VALUE"""),"")</f>
        <v/>
      </c>
      <c r="P266" s="247" t="str">
        <f t="shared" si="4"/>
        <v/>
      </c>
      <c r="Q266" s="320" t="str">
        <f>IFERROR(__xludf.DUMMYFUNCTION("""COMPUTED_VALUE"""),"")</f>
        <v/>
      </c>
      <c r="R266" s="259" t="str">
        <f>IFERROR(__xludf.DUMMYFUNCTION("""COMPUTED_VALUE"""),"")</f>
        <v/>
      </c>
      <c r="S266" s="250" t="str">
        <f t="shared" si="5"/>
        <v/>
      </c>
      <c r="T266" s="254" t="str">
        <f>IFERROR(__xludf.DUMMYFUNCTION("""COMPUTED_VALUE"""),"")</f>
        <v/>
      </c>
      <c r="U266" s="246" t="str">
        <f>IFERROR(__xludf.DUMMYFUNCTION("""COMPUTED_VALUE"""),"")</f>
        <v/>
      </c>
      <c r="V266" s="247" t="str">
        <f t="shared" si="6"/>
        <v/>
      </c>
      <c r="W266" s="255" t="str">
        <f>IFERROR(__xludf.DUMMYFUNCTION("""COMPUTED_VALUE"""),"")</f>
        <v/>
      </c>
      <c r="X266" s="249" t="str">
        <f>IFERROR(__xludf.DUMMYFUNCTION("""COMPUTED_VALUE"""),"")</f>
        <v/>
      </c>
      <c r="Y266" s="250" t="str">
        <f t="shared" si="7"/>
        <v/>
      </c>
    </row>
    <row r="267">
      <c r="A267" s="136" t="s">
        <v>15</v>
      </c>
      <c r="B267" s="146">
        <v>46125.0</v>
      </c>
      <c r="C267" s="136" t="s">
        <v>37</v>
      </c>
      <c r="D267" s="136" t="s">
        <v>149</v>
      </c>
      <c r="E267" s="256" t="str">
        <f>IFERROR(__xludf.DUMMYFUNCTION("""COMPUTED_VALUE"""),"")</f>
        <v/>
      </c>
      <c r="F267" s="257" t="str">
        <f>IFERROR(__xludf.DUMMYFUNCTION("""COMPUTED_VALUE"""),"")</f>
        <v/>
      </c>
      <c r="G267" s="247" t="str">
        <f t="shared" si="1"/>
        <v/>
      </c>
      <c r="H267" s="258" t="str">
        <f>IFERROR(__xludf.DUMMYFUNCTION("""COMPUTED_VALUE"""),"")</f>
        <v/>
      </c>
      <c r="I267" s="259" t="str">
        <f>IFERROR(__xludf.DUMMYFUNCTION("""COMPUTED_VALUE"""),"")</f>
        <v/>
      </c>
      <c r="J267" s="250" t="str">
        <f t="shared" si="2"/>
        <v/>
      </c>
      <c r="K267" s="317" t="str">
        <f>IFERROR(__xludf.DUMMYFUNCTION("""COMPUTED_VALUE"""),"")</f>
        <v/>
      </c>
      <c r="L267" s="318" t="str">
        <f>IFERROR(__xludf.DUMMYFUNCTION("""COMPUTED_VALUE"""),"")</f>
        <v/>
      </c>
      <c r="M267" s="253" t="str">
        <f t="shared" si="3"/>
        <v/>
      </c>
      <c r="N267" s="319" t="str">
        <f>IFERROR(__xludf.DUMMYFUNCTION("""COMPUTED_VALUE"""),"")</f>
        <v/>
      </c>
      <c r="O267" s="257" t="str">
        <f>IFERROR(__xludf.DUMMYFUNCTION("""COMPUTED_VALUE"""),"")</f>
        <v/>
      </c>
      <c r="P267" s="247" t="str">
        <f t="shared" si="4"/>
        <v/>
      </c>
      <c r="Q267" s="320" t="str">
        <f>IFERROR(__xludf.DUMMYFUNCTION("""COMPUTED_VALUE"""),"")</f>
        <v/>
      </c>
      <c r="R267" s="259" t="str">
        <f>IFERROR(__xludf.DUMMYFUNCTION("""COMPUTED_VALUE"""),"")</f>
        <v/>
      </c>
      <c r="S267" s="250" t="str">
        <f t="shared" si="5"/>
        <v/>
      </c>
      <c r="T267" s="254" t="str">
        <f>IFERROR(__xludf.DUMMYFUNCTION("""COMPUTED_VALUE"""),"")</f>
        <v/>
      </c>
      <c r="U267" s="246" t="str">
        <f>IFERROR(__xludf.DUMMYFUNCTION("""COMPUTED_VALUE"""),"")</f>
        <v/>
      </c>
      <c r="V267" s="247" t="str">
        <f t="shared" si="6"/>
        <v/>
      </c>
      <c r="W267" s="255" t="str">
        <f>IFERROR(__xludf.DUMMYFUNCTION("""COMPUTED_VALUE"""),"")</f>
        <v/>
      </c>
      <c r="X267" s="249" t="str">
        <f>IFERROR(__xludf.DUMMYFUNCTION("""COMPUTED_VALUE"""),"")</f>
        <v/>
      </c>
      <c r="Y267" s="250" t="str">
        <f t="shared" si="7"/>
        <v/>
      </c>
    </row>
    <row r="268">
      <c r="A268" s="136" t="s">
        <v>18</v>
      </c>
      <c r="B268" s="146">
        <v>46125.0</v>
      </c>
      <c r="C268" s="136" t="s">
        <v>37</v>
      </c>
      <c r="D268" s="136" t="s">
        <v>148</v>
      </c>
      <c r="E268" s="256">
        <f>IFERROR(__xludf.DUMMYFUNCTION("""COMPUTED_VALUE"""),0.0)</f>
        <v>0</v>
      </c>
      <c r="F268" s="257">
        <f>IFERROR(__xludf.DUMMYFUNCTION("""COMPUTED_VALUE"""),0.0)</f>
        <v>0</v>
      </c>
      <c r="G268" s="247" t="str">
        <f t="shared" si="1"/>
        <v/>
      </c>
      <c r="H268" s="258">
        <f>IFERROR(__xludf.DUMMYFUNCTION("""COMPUTED_VALUE"""),274.0)</f>
        <v>274</v>
      </c>
      <c r="I268" s="259">
        <f>IFERROR(__xludf.DUMMYFUNCTION("""COMPUTED_VALUE"""),0.20138888889050577)</f>
        <v>0.2013888889</v>
      </c>
      <c r="J268" s="250">
        <f t="shared" si="2"/>
        <v>56.68965517</v>
      </c>
      <c r="K268" s="317">
        <f>IFERROR(__xludf.DUMMYFUNCTION("""COMPUTED_VALUE"""),49.0)</f>
        <v>49</v>
      </c>
      <c r="L268" s="318">
        <f>IFERROR(__xludf.DUMMYFUNCTION("""COMPUTED_VALUE"""),0.06597222221898846)</f>
        <v>0.06597222222</v>
      </c>
      <c r="M268" s="253">
        <f t="shared" si="3"/>
        <v>30.94736842</v>
      </c>
      <c r="N268" s="319">
        <f>IFERROR(__xludf.DUMMYFUNCTION("""COMPUTED_VALUE"""),144.0)</f>
        <v>144</v>
      </c>
      <c r="O268" s="257">
        <f>IFERROR(__xludf.DUMMYFUNCTION("""COMPUTED_VALUE"""),0.125)</f>
        <v>0.125</v>
      </c>
      <c r="P268" s="247">
        <f t="shared" si="4"/>
        <v>48</v>
      </c>
      <c r="Q268" s="320">
        <f>IFERROR(__xludf.DUMMYFUNCTION("""COMPUTED_VALUE"""),0.0)</f>
        <v>0</v>
      </c>
      <c r="R268" s="259">
        <f>IFERROR(__xludf.DUMMYFUNCTION("""COMPUTED_VALUE"""),0.0)</f>
        <v>0</v>
      </c>
      <c r="S268" s="250" t="str">
        <f t="shared" si="5"/>
        <v/>
      </c>
      <c r="T268" s="254">
        <f>IFERROR(__xludf.DUMMYFUNCTION("""COMPUTED_VALUE"""),144.0)</f>
        <v>144</v>
      </c>
      <c r="U268" s="246">
        <f>IFERROR(__xludf.DUMMYFUNCTION("""COMPUTED_VALUE"""),0.125)</f>
        <v>0.125</v>
      </c>
      <c r="V268" s="247">
        <f t="shared" si="6"/>
        <v>48</v>
      </c>
      <c r="W268" s="255">
        <f>IFERROR(__xludf.DUMMYFUNCTION("""COMPUTED_VALUE"""),274.0)</f>
        <v>274</v>
      </c>
      <c r="X268" s="249">
        <f>IFERROR(__xludf.DUMMYFUNCTION("""COMPUTED_VALUE"""),0.20138888889050577)</f>
        <v>0.2013888889</v>
      </c>
      <c r="Y268" s="250">
        <f t="shared" si="7"/>
        <v>56.68965517</v>
      </c>
    </row>
    <row r="269">
      <c r="A269" s="136" t="s">
        <v>18</v>
      </c>
      <c r="B269" s="146">
        <v>46125.0</v>
      </c>
      <c r="C269" s="136" t="s">
        <v>37</v>
      </c>
      <c r="D269" s="136" t="s">
        <v>148</v>
      </c>
      <c r="E269" s="256" t="str">
        <f>IFERROR(__xludf.DUMMYFUNCTION("""COMPUTED_VALUE"""),"")</f>
        <v/>
      </c>
      <c r="F269" s="257" t="str">
        <f>IFERROR(__xludf.DUMMYFUNCTION("""COMPUTED_VALUE"""),"")</f>
        <v/>
      </c>
      <c r="G269" s="247" t="str">
        <f t="shared" si="1"/>
        <v/>
      </c>
      <c r="H269" s="258" t="str">
        <f>IFERROR(__xludf.DUMMYFUNCTION("""COMPUTED_VALUE"""),"")</f>
        <v/>
      </c>
      <c r="I269" s="259" t="str">
        <f>IFERROR(__xludf.DUMMYFUNCTION("""COMPUTED_VALUE"""),"")</f>
        <v/>
      </c>
      <c r="J269" s="250" t="str">
        <f t="shared" si="2"/>
        <v/>
      </c>
      <c r="K269" s="317" t="str">
        <f>IFERROR(__xludf.DUMMYFUNCTION("""COMPUTED_VALUE"""),"")</f>
        <v/>
      </c>
      <c r="L269" s="318" t="str">
        <f>IFERROR(__xludf.DUMMYFUNCTION("""COMPUTED_VALUE"""),"")</f>
        <v/>
      </c>
      <c r="M269" s="253" t="str">
        <f t="shared" si="3"/>
        <v/>
      </c>
      <c r="N269" s="319" t="str">
        <f>IFERROR(__xludf.DUMMYFUNCTION("""COMPUTED_VALUE"""),"")</f>
        <v/>
      </c>
      <c r="O269" s="257" t="str">
        <f>IFERROR(__xludf.DUMMYFUNCTION("""COMPUTED_VALUE"""),"")</f>
        <v/>
      </c>
      <c r="P269" s="247" t="str">
        <f t="shared" si="4"/>
        <v/>
      </c>
      <c r="Q269" s="320" t="str">
        <f>IFERROR(__xludf.DUMMYFUNCTION("""COMPUTED_VALUE"""),"")</f>
        <v/>
      </c>
      <c r="R269" s="259" t="str">
        <f>IFERROR(__xludf.DUMMYFUNCTION("""COMPUTED_VALUE"""),"")</f>
        <v/>
      </c>
      <c r="S269" s="250" t="str">
        <f t="shared" si="5"/>
        <v/>
      </c>
      <c r="T269" s="254" t="str">
        <f>IFERROR(__xludf.DUMMYFUNCTION("""COMPUTED_VALUE"""),"")</f>
        <v/>
      </c>
      <c r="U269" s="246" t="str">
        <f>IFERROR(__xludf.DUMMYFUNCTION("""COMPUTED_VALUE"""),"")</f>
        <v/>
      </c>
      <c r="V269" s="247" t="str">
        <f t="shared" si="6"/>
        <v/>
      </c>
      <c r="W269" s="255" t="str">
        <f>IFERROR(__xludf.DUMMYFUNCTION("""COMPUTED_VALUE"""),"")</f>
        <v/>
      </c>
      <c r="X269" s="249" t="str">
        <f>IFERROR(__xludf.DUMMYFUNCTION("""COMPUTED_VALUE"""),"")</f>
        <v/>
      </c>
      <c r="Y269" s="250" t="str">
        <f t="shared" si="7"/>
        <v/>
      </c>
    </row>
    <row r="270">
      <c r="A270" s="136" t="s">
        <v>134</v>
      </c>
      <c r="B270" s="146">
        <v>46126.0</v>
      </c>
      <c r="C270" s="136" t="s">
        <v>41</v>
      </c>
      <c r="D270" s="136" t="s">
        <v>149</v>
      </c>
      <c r="E270" s="256" t="str">
        <f>IFERROR(__xludf.DUMMYFUNCTION("""COMPUTED_VALUE"""),"")</f>
        <v/>
      </c>
      <c r="F270" s="257" t="str">
        <f>IFERROR(__xludf.DUMMYFUNCTION("""COMPUTED_VALUE"""),"")</f>
        <v/>
      </c>
      <c r="G270" s="247" t="str">
        <f t="shared" si="1"/>
        <v/>
      </c>
      <c r="H270" s="258" t="str">
        <f>IFERROR(__xludf.DUMMYFUNCTION("""COMPUTED_VALUE"""),"")</f>
        <v/>
      </c>
      <c r="I270" s="259" t="str">
        <f>IFERROR(__xludf.DUMMYFUNCTION("""COMPUTED_VALUE"""),"")</f>
        <v/>
      </c>
      <c r="J270" s="250" t="str">
        <f t="shared" si="2"/>
        <v/>
      </c>
      <c r="K270" s="317" t="str">
        <f>IFERROR(__xludf.DUMMYFUNCTION("""COMPUTED_VALUE"""),"")</f>
        <v/>
      </c>
      <c r="L270" s="318" t="str">
        <f>IFERROR(__xludf.DUMMYFUNCTION("""COMPUTED_VALUE"""),"")</f>
        <v/>
      </c>
      <c r="M270" s="253" t="str">
        <f t="shared" si="3"/>
        <v/>
      </c>
      <c r="N270" s="319" t="str">
        <f>IFERROR(__xludf.DUMMYFUNCTION("""COMPUTED_VALUE"""),"")</f>
        <v/>
      </c>
      <c r="O270" s="257" t="str">
        <f>IFERROR(__xludf.DUMMYFUNCTION("""COMPUTED_VALUE"""),"")</f>
        <v/>
      </c>
      <c r="P270" s="247" t="str">
        <f t="shared" si="4"/>
        <v/>
      </c>
      <c r="Q270" s="320" t="str">
        <f>IFERROR(__xludf.DUMMYFUNCTION("""COMPUTED_VALUE"""),"")</f>
        <v/>
      </c>
      <c r="R270" s="259" t="str">
        <f>IFERROR(__xludf.DUMMYFUNCTION("""COMPUTED_VALUE"""),"")</f>
        <v/>
      </c>
      <c r="S270" s="250" t="str">
        <f t="shared" si="5"/>
        <v/>
      </c>
      <c r="T270" s="254" t="str">
        <f>IFERROR(__xludf.DUMMYFUNCTION("""COMPUTED_VALUE"""),"")</f>
        <v/>
      </c>
      <c r="U270" s="246" t="str">
        <f>IFERROR(__xludf.DUMMYFUNCTION("""COMPUTED_VALUE"""),"")</f>
        <v/>
      </c>
      <c r="V270" s="247" t="str">
        <f t="shared" si="6"/>
        <v/>
      </c>
      <c r="W270" s="255" t="str">
        <f>IFERROR(__xludf.DUMMYFUNCTION("""COMPUTED_VALUE"""),"")</f>
        <v/>
      </c>
      <c r="X270" s="249" t="str">
        <f>IFERROR(__xludf.DUMMYFUNCTION("""COMPUTED_VALUE"""),"")</f>
        <v/>
      </c>
      <c r="Y270" s="250" t="str">
        <f t="shared" si="7"/>
        <v/>
      </c>
    </row>
    <row r="271">
      <c r="A271" s="136" t="s">
        <v>15</v>
      </c>
      <c r="B271" s="146">
        <v>46126.0</v>
      </c>
      <c r="C271" s="136" t="s">
        <v>41</v>
      </c>
      <c r="D271" s="136" t="s">
        <v>149</v>
      </c>
      <c r="E271" s="256" t="str">
        <f>IFERROR(__xludf.DUMMYFUNCTION("""COMPUTED_VALUE"""),"")</f>
        <v/>
      </c>
      <c r="F271" s="257" t="str">
        <f>IFERROR(__xludf.DUMMYFUNCTION("""COMPUTED_VALUE"""),"")</f>
        <v/>
      </c>
      <c r="G271" s="247" t="str">
        <f t="shared" si="1"/>
        <v/>
      </c>
      <c r="H271" s="258" t="str">
        <f>IFERROR(__xludf.DUMMYFUNCTION("""COMPUTED_VALUE"""),"")</f>
        <v/>
      </c>
      <c r="I271" s="259" t="str">
        <f>IFERROR(__xludf.DUMMYFUNCTION("""COMPUTED_VALUE"""),"")</f>
        <v/>
      </c>
      <c r="J271" s="250" t="str">
        <f t="shared" si="2"/>
        <v/>
      </c>
      <c r="K271" s="317" t="str">
        <f>IFERROR(__xludf.DUMMYFUNCTION("""COMPUTED_VALUE"""),"")</f>
        <v/>
      </c>
      <c r="L271" s="318" t="str">
        <f>IFERROR(__xludf.DUMMYFUNCTION("""COMPUTED_VALUE"""),"")</f>
        <v/>
      </c>
      <c r="M271" s="253" t="str">
        <f t="shared" si="3"/>
        <v/>
      </c>
      <c r="N271" s="319" t="str">
        <f>IFERROR(__xludf.DUMMYFUNCTION("""COMPUTED_VALUE"""),"")</f>
        <v/>
      </c>
      <c r="O271" s="257" t="str">
        <f>IFERROR(__xludf.DUMMYFUNCTION("""COMPUTED_VALUE"""),"")</f>
        <v/>
      </c>
      <c r="P271" s="247" t="str">
        <f t="shared" si="4"/>
        <v/>
      </c>
      <c r="Q271" s="320" t="str">
        <f>IFERROR(__xludf.DUMMYFUNCTION("""COMPUTED_VALUE"""),"")</f>
        <v/>
      </c>
      <c r="R271" s="259" t="str">
        <f>IFERROR(__xludf.DUMMYFUNCTION("""COMPUTED_VALUE"""),"")</f>
        <v/>
      </c>
      <c r="S271" s="250" t="str">
        <f t="shared" si="5"/>
        <v/>
      </c>
      <c r="T271" s="254" t="str">
        <f>IFERROR(__xludf.DUMMYFUNCTION("""COMPUTED_VALUE"""),"")</f>
        <v/>
      </c>
      <c r="U271" s="246" t="str">
        <f>IFERROR(__xludf.DUMMYFUNCTION("""COMPUTED_VALUE"""),"")</f>
        <v/>
      </c>
      <c r="V271" s="247" t="str">
        <f t="shared" si="6"/>
        <v/>
      </c>
      <c r="W271" s="255" t="str">
        <f>IFERROR(__xludf.DUMMYFUNCTION("""COMPUTED_VALUE"""),"")</f>
        <v/>
      </c>
      <c r="X271" s="249" t="str">
        <f>IFERROR(__xludf.DUMMYFUNCTION("""COMPUTED_VALUE"""),"")</f>
        <v/>
      </c>
      <c r="Y271" s="250" t="str">
        <f t="shared" si="7"/>
        <v/>
      </c>
    </row>
    <row r="272">
      <c r="A272" s="136" t="s">
        <v>18</v>
      </c>
      <c r="B272" s="146">
        <v>46126.0</v>
      </c>
      <c r="C272" s="136" t="s">
        <v>41</v>
      </c>
      <c r="D272" s="136" t="s">
        <v>149</v>
      </c>
      <c r="E272" s="256">
        <f>IFERROR(__xludf.DUMMYFUNCTION("""COMPUTED_VALUE"""),0.0)</f>
        <v>0</v>
      </c>
      <c r="F272" s="257">
        <f>IFERROR(__xludf.DUMMYFUNCTION("""COMPUTED_VALUE"""),0.0)</f>
        <v>0</v>
      </c>
      <c r="G272" s="247" t="str">
        <f t="shared" si="1"/>
        <v/>
      </c>
      <c r="H272" s="258">
        <f>IFERROR(__xludf.DUMMYFUNCTION("""COMPUTED_VALUE"""),116.0)</f>
        <v>116</v>
      </c>
      <c r="I272" s="259">
        <f>IFERROR(__xludf.DUMMYFUNCTION("""COMPUTED_VALUE"""),0.11527777777519077)</f>
        <v>0.1152777778</v>
      </c>
      <c r="J272" s="250">
        <f t="shared" si="2"/>
        <v>41.92771084</v>
      </c>
      <c r="K272" s="317">
        <f>IFERROR(__xludf.DUMMYFUNCTION("""COMPUTED_VALUE"""),0.0)</f>
        <v>0</v>
      </c>
      <c r="L272" s="318">
        <f>IFERROR(__xludf.DUMMYFUNCTION("""COMPUTED_VALUE"""),0.0)</f>
        <v>0</v>
      </c>
      <c r="M272" s="253" t="str">
        <f t="shared" si="3"/>
        <v/>
      </c>
      <c r="N272" s="319">
        <f>IFERROR(__xludf.DUMMYFUNCTION("""COMPUTED_VALUE"""),25.0)</f>
        <v>25</v>
      </c>
      <c r="O272" s="257">
        <f>IFERROR(__xludf.DUMMYFUNCTION("""COMPUTED_VALUE"""),0.0194444444423425)</f>
        <v>0.01944444444</v>
      </c>
      <c r="P272" s="247">
        <f t="shared" si="4"/>
        <v>53.57142858</v>
      </c>
      <c r="Q272" s="320">
        <f>IFERROR(__xludf.DUMMYFUNCTION("""COMPUTED_VALUE"""),128.0)</f>
        <v>128</v>
      </c>
      <c r="R272" s="259">
        <f>IFERROR(__xludf.DUMMYFUNCTION("""COMPUTED_VALUE"""),0.15972222221898846)</f>
        <v>0.1597222222</v>
      </c>
      <c r="S272" s="250">
        <f t="shared" si="5"/>
        <v>33.39130435</v>
      </c>
      <c r="T272" s="254">
        <f>IFERROR(__xludf.DUMMYFUNCTION("""COMPUTED_VALUE"""),25.0)</f>
        <v>25</v>
      </c>
      <c r="U272" s="246">
        <f>IFERROR(__xludf.DUMMYFUNCTION("""COMPUTED_VALUE"""),0.0194444444423425)</f>
        <v>0.01944444444</v>
      </c>
      <c r="V272" s="247">
        <f t="shared" si="6"/>
        <v>53.57142858</v>
      </c>
      <c r="W272" s="255">
        <f>IFERROR(__xludf.DUMMYFUNCTION("""COMPUTED_VALUE"""),244.0)</f>
        <v>244</v>
      </c>
      <c r="X272" s="249">
        <f>IFERROR(__xludf.DUMMYFUNCTION("""COMPUTED_VALUE"""),0.27499999999417923)</f>
        <v>0.275</v>
      </c>
      <c r="Y272" s="250">
        <f t="shared" si="7"/>
        <v>36.96969697</v>
      </c>
    </row>
    <row r="273">
      <c r="A273" s="136" t="s">
        <v>18</v>
      </c>
      <c r="B273" s="146">
        <v>46126.0</v>
      </c>
      <c r="C273" s="136" t="s">
        <v>41</v>
      </c>
      <c r="D273" s="136" t="s">
        <v>148</v>
      </c>
      <c r="E273" s="256" t="str">
        <f>IFERROR(__xludf.DUMMYFUNCTION("""COMPUTED_VALUE"""),"")</f>
        <v/>
      </c>
      <c r="F273" s="257" t="str">
        <f>IFERROR(__xludf.DUMMYFUNCTION("""COMPUTED_VALUE"""),"")</f>
        <v/>
      </c>
      <c r="G273" s="247" t="str">
        <f t="shared" si="1"/>
        <v/>
      </c>
      <c r="H273" s="258" t="str">
        <f>IFERROR(__xludf.DUMMYFUNCTION("""COMPUTED_VALUE"""),"")</f>
        <v/>
      </c>
      <c r="I273" s="259" t="str">
        <f>IFERROR(__xludf.DUMMYFUNCTION("""COMPUTED_VALUE"""),"")</f>
        <v/>
      </c>
      <c r="J273" s="250" t="str">
        <f t="shared" si="2"/>
        <v/>
      </c>
      <c r="K273" s="317" t="str">
        <f>IFERROR(__xludf.DUMMYFUNCTION("""COMPUTED_VALUE"""),"")</f>
        <v/>
      </c>
      <c r="L273" s="318" t="str">
        <f>IFERROR(__xludf.DUMMYFUNCTION("""COMPUTED_VALUE"""),"")</f>
        <v/>
      </c>
      <c r="M273" s="253" t="str">
        <f t="shared" si="3"/>
        <v/>
      </c>
      <c r="N273" s="319" t="str">
        <f>IFERROR(__xludf.DUMMYFUNCTION("""COMPUTED_VALUE"""),"")</f>
        <v/>
      </c>
      <c r="O273" s="257" t="str">
        <f>IFERROR(__xludf.DUMMYFUNCTION("""COMPUTED_VALUE"""),"")</f>
        <v/>
      </c>
      <c r="P273" s="247" t="str">
        <f t="shared" si="4"/>
        <v/>
      </c>
      <c r="Q273" s="320" t="str">
        <f>IFERROR(__xludf.DUMMYFUNCTION("""COMPUTED_VALUE"""),"")</f>
        <v/>
      </c>
      <c r="R273" s="259" t="str">
        <f>IFERROR(__xludf.DUMMYFUNCTION("""COMPUTED_VALUE"""),"")</f>
        <v/>
      </c>
      <c r="S273" s="250" t="str">
        <f t="shared" si="5"/>
        <v/>
      </c>
      <c r="T273" s="254" t="str">
        <f>IFERROR(__xludf.DUMMYFUNCTION("""COMPUTED_VALUE"""),"")</f>
        <v/>
      </c>
      <c r="U273" s="246" t="str">
        <f>IFERROR(__xludf.DUMMYFUNCTION("""COMPUTED_VALUE"""),"")</f>
        <v/>
      </c>
      <c r="V273" s="247" t="str">
        <f t="shared" si="6"/>
        <v/>
      </c>
      <c r="W273" s="255" t="str">
        <f>IFERROR(__xludf.DUMMYFUNCTION("""COMPUTED_VALUE"""),"")</f>
        <v/>
      </c>
      <c r="X273" s="249" t="str">
        <f>IFERROR(__xludf.DUMMYFUNCTION("""COMPUTED_VALUE"""),"")</f>
        <v/>
      </c>
      <c r="Y273" s="250" t="str">
        <f t="shared" si="7"/>
        <v/>
      </c>
    </row>
    <row r="274">
      <c r="A274" s="136" t="s">
        <v>12</v>
      </c>
      <c r="B274" s="146">
        <v>46127.0</v>
      </c>
      <c r="C274" s="136" t="s">
        <v>45</v>
      </c>
      <c r="D274" s="136" t="s">
        <v>149</v>
      </c>
      <c r="E274" s="256" t="str">
        <f>IFERROR(__xludf.DUMMYFUNCTION("""COMPUTED_VALUE"""),"")</f>
        <v/>
      </c>
      <c r="F274" s="257" t="str">
        <f>IFERROR(__xludf.DUMMYFUNCTION("""COMPUTED_VALUE"""),"")</f>
        <v/>
      </c>
      <c r="G274" s="247" t="str">
        <f t="shared" si="1"/>
        <v/>
      </c>
      <c r="H274" s="258" t="str">
        <f>IFERROR(__xludf.DUMMYFUNCTION("""COMPUTED_VALUE"""),"")</f>
        <v/>
      </c>
      <c r="I274" s="259" t="str">
        <f>IFERROR(__xludf.DUMMYFUNCTION("""COMPUTED_VALUE"""),"")</f>
        <v/>
      </c>
      <c r="J274" s="250" t="str">
        <f t="shared" si="2"/>
        <v/>
      </c>
      <c r="K274" s="317" t="str">
        <f>IFERROR(__xludf.DUMMYFUNCTION("""COMPUTED_VALUE"""),"")</f>
        <v/>
      </c>
      <c r="L274" s="318" t="str">
        <f>IFERROR(__xludf.DUMMYFUNCTION("""COMPUTED_VALUE"""),"")</f>
        <v/>
      </c>
      <c r="M274" s="253" t="str">
        <f t="shared" si="3"/>
        <v/>
      </c>
      <c r="N274" s="319" t="str">
        <f>IFERROR(__xludf.DUMMYFUNCTION("""COMPUTED_VALUE"""),"")</f>
        <v/>
      </c>
      <c r="O274" s="257" t="str">
        <f>IFERROR(__xludf.DUMMYFUNCTION("""COMPUTED_VALUE"""),"")</f>
        <v/>
      </c>
      <c r="P274" s="247" t="str">
        <f t="shared" si="4"/>
        <v/>
      </c>
      <c r="Q274" s="320" t="str">
        <f>IFERROR(__xludf.DUMMYFUNCTION("""COMPUTED_VALUE"""),"")</f>
        <v/>
      </c>
      <c r="R274" s="259" t="str">
        <f>IFERROR(__xludf.DUMMYFUNCTION("""COMPUTED_VALUE"""),"")</f>
        <v/>
      </c>
      <c r="S274" s="250" t="str">
        <f t="shared" si="5"/>
        <v/>
      </c>
      <c r="T274" s="254" t="str">
        <f>IFERROR(__xludf.DUMMYFUNCTION("""COMPUTED_VALUE"""),"")</f>
        <v/>
      </c>
      <c r="U274" s="246" t="str">
        <f>IFERROR(__xludf.DUMMYFUNCTION("""COMPUTED_VALUE"""),"")</f>
        <v/>
      </c>
      <c r="V274" s="247" t="str">
        <f t="shared" si="6"/>
        <v/>
      </c>
      <c r="W274" s="255" t="str">
        <f>IFERROR(__xludf.DUMMYFUNCTION("""COMPUTED_VALUE"""),"")</f>
        <v/>
      </c>
      <c r="X274" s="249" t="str">
        <f>IFERROR(__xludf.DUMMYFUNCTION("""COMPUTED_VALUE"""),"")</f>
        <v/>
      </c>
      <c r="Y274" s="250" t="str">
        <f t="shared" si="7"/>
        <v/>
      </c>
    </row>
    <row r="275">
      <c r="A275" s="136" t="s">
        <v>134</v>
      </c>
      <c r="B275" s="146">
        <v>46127.0</v>
      </c>
      <c r="C275" s="136" t="s">
        <v>45</v>
      </c>
      <c r="D275" s="136" t="s">
        <v>149</v>
      </c>
      <c r="E275" s="256" t="str">
        <f>IFERROR(__xludf.DUMMYFUNCTION("""COMPUTED_VALUE"""),"")</f>
        <v/>
      </c>
      <c r="F275" s="257" t="str">
        <f>IFERROR(__xludf.DUMMYFUNCTION("""COMPUTED_VALUE"""),"")</f>
        <v/>
      </c>
      <c r="G275" s="247" t="str">
        <f t="shared" si="1"/>
        <v/>
      </c>
      <c r="H275" s="258" t="str">
        <f>IFERROR(__xludf.DUMMYFUNCTION("""COMPUTED_VALUE"""),"")</f>
        <v/>
      </c>
      <c r="I275" s="259" t="str">
        <f>IFERROR(__xludf.DUMMYFUNCTION("""COMPUTED_VALUE"""),"")</f>
        <v/>
      </c>
      <c r="J275" s="250" t="str">
        <f t="shared" si="2"/>
        <v/>
      </c>
      <c r="K275" s="317" t="str">
        <f>IFERROR(__xludf.DUMMYFUNCTION("""COMPUTED_VALUE"""),"")</f>
        <v/>
      </c>
      <c r="L275" s="318" t="str">
        <f>IFERROR(__xludf.DUMMYFUNCTION("""COMPUTED_VALUE"""),"")</f>
        <v/>
      </c>
      <c r="M275" s="253" t="str">
        <f t="shared" si="3"/>
        <v/>
      </c>
      <c r="N275" s="319" t="str">
        <f>IFERROR(__xludf.DUMMYFUNCTION("""COMPUTED_VALUE"""),"")</f>
        <v/>
      </c>
      <c r="O275" s="257" t="str">
        <f>IFERROR(__xludf.DUMMYFUNCTION("""COMPUTED_VALUE"""),"")</f>
        <v/>
      </c>
      <c r="P275" s="247" t="str">
        <f t="shared" si="4"/>
        <v/>
      </c>
      <c r="Q275" s="320" t="str">
        <f>IFERROR(__xludf.DUMMYFUNCTION("""COMPUTED_VALUE"""),"")</f>
        <v/>
      </c>
      <c r="R275" s="259" t="str">
        <f>IFERROR(__xludf.DUMMYFUNCTION("""COMPUTED_VALUE"""),"")</f>
        <v/>
      </c>
      <c r="S275" s="250" t="str">
        <f t="shared" si="5"/>
        <v/>
      </c>
      <c r="T275" s="254" t="str">
        <f>IFERROR(__xludf.DUMMYFUNCTION("""COMPUTED_VALUE"""),"")</f>
        <v/>
      </c>
      <c r="U275" s="246" t="str">
        <f>IFERROR(__xludf.DUMMYFUNCTION("""COMPUTED_VALUE"""),"")</f>
        <v/>
      </c>
      <c r="V275" s="247" t="str">
        <f t="shared" si="6"/>
        <v/>
      </c>
      <c r="W275" s="255" t="str">
        <f>IFERROR(__xludf.DUMMYFUNCTION("""COMPUTED_VALUE"""),"")</f>
        <v/>
      </c>
      <c r="X275" s="249" t="str">
        <f>IFERROR(__xludf.DUMMYFUNCTION("""COMPUTED_VALUE"""),"")</f>
        <v/>
      </c>
      <c r="Y275" s="250" t="str">
        <f t="shared" si="7"/>
        <v/>
      </c>
    </row>
    <row r="276">
      <c r="A276" s="136" t="s">
        <v>15</v>
      </c>
      <c r="B276" s="146">
        <v>46127.0</v>
      </c>
      <c r="C276" s="136" t="s">
        <v>45</v>
      </c>
      <c r="D276" s="136" t="s">
        <v>148</v>
      </c>
      <c r="E276" s="256" t="str">
        <f>IFERROR(__xludf.DUMMYFUNCTION("""COMPUTED_VALUE"""),"")</f>
        <v/>
      </c>
      <c r="F276" s="257" t="str">
        <f>IFERROR(__xludf.DUMMYFUNCTION("""COMPUTED_VALUE"""),"")</f>
        <v/>
      </c>
      <c r="G276" s="247" t="str">
        <f t="shared" si="1"/>
        <v/>
      </c>
      <c r="H276" s="258" t="str">
        <f>IFERROR(__xludf.DUMMYFUNCTION("""COMPUTED_VALUE"""),"")</f>
        <v/>
      </c>
      <c r="I276" s="259" t="str">
        <f>IFERROR(__xludf.DUMMYFUNCTION("""COMPUTED_VALUE"""),"")</f>
        <v/>
      </c>
      <c r="J276" s="250" t="str">
        <f t="shared" si="2"/>
        <v/>
      </c>
      <c r="K276" s="317" t="str">
        <f>IFERROR(__xludf.DUMMYFUNCTION("""COMPUTED_VALUE"""),"")</f>
        <v/>
      </c>
      <c r="L276" s="318" t="str">
        <f>IFERROR(__xludf.DUMMYFUNCTION("""COMPUTED_VALUE"""),"")</f>
        <v/>
      </c>
      <c r="M276" s="253" t="str">
        <f t="shared" si="3"/>
        <v/>
      </c>
      <c r="N276" s="319" t="str">
        <f>IFERROR(__xludf.DUMMYFUNCTION("""COMPUTED_VALUE"""),"")</f>
        <v/>
      </c>
      <c r="O276" s="257" t="str">
        <f>IFERROR(__xludf.DUMMYFUNCTION("""COMPUTED_VALUE"""),"")</f>
        <v/>
      </c>
      <c r="P276" s="247" t="str">
        <f t="shared" si="4"/>
        <v/>
      </c>
      <c r="Q276" s="320" t="str">
        <f>IFERROR(__xludf.DUMMYFUNCTION("""COMPUTED_VALUE"""),"")</f>
        <v/>
      </c>
      <c r="R276" s="259" t="str">
        <f>IFERROR(__xludf.DUMMYFUNCTION("""COMPUTED_VALUE"""),"")</f>
        <v/>
      </c>
      <c r="S276" s="250" t="str">
        <f t="shared" si="5"/>
        <v/>
      </c>
      <c r="T276" s="254" t="str">
        <f>IFERROR(__xludf.DUMMYFUNCTION("""COMPUTED_VALUE"""),"")</f>
        <v/>
      </c>
      <c r="U276" s="246" t="str">
        <f>IFERROR(__xludf.DUMMYFUNCTION("""COMPUTED_VALUE"""),"")</f>
        <v/>
      </c>
      <c r="V276" s="247" t="str">
        <f t="shared" si="6"/>
        <v/>
      </c>
      <c r="W276" s="255" t="str">
        <f>IFERROR(__xludf.DUMMYFUNCTION("""COMPUTED_VALUE"""),"")</f>
        <v/>
      </c>
      <c r="X276" s="249" t="str">
        <f>IFERROR(__xludf.DUMMYFUNCTION("""COMPUTED_VALUE"""),"")</f>
        <v/>
      </c>
      <c r="Y276" s="250" t="str">
        <f t="shared" si="7"/>
        <v/>
      </c>
    </row>
    <row r="277">
      <c r="A277" s="136" t="s">
        <v>15</v>
      </c>
      <c r="B277" s="146">
        <v>46127.0</v>
      </c>
      <c r="C277" s="136" t="s">
        <v>45</v>
      </c>
      <c r="D277" s="136" t="s">
        <v>148</v>
      </c>
      <c r="E277" s="256" t="str">
        <f>IFERROR(__xludf.DUMMYFUNCTION("""COMPUTED_VALUE"""),"")</f>
        <v/>
      </c>
      <c r="F277" s="257" t="str">
        <f>IFERROR(__xludf.DUMMYFUNCTION("""COMPUTED_VALUE"""),"")</f>
        <v/>
      </c>
      <c r="G277" s="247" t="str">
        <f t="shared" si="1"/>
        <v/>
      </c>
      <c r="H277" s="258" t="str">
        <f>IFERROR(__xludf.DUMMYFUNCTION("""COMPUTED_VALUE"""),"")</f>
        <v/>
      </c>
      <c r="I277" s="259" t="str">
        <f>IFERROR(__xludf.DUMMYFUNCTION("""COMPUTED_VALUE"""),"")</f>
        <v/>
      </c>
      <c r="J277" s="250" t="str">
        <f t="shared" si="2"/>
        <v/>
      </c>
      <c r="K277" s="317" t="str">
        <f>IFERROR(__xludf.DUMMYFUNCTION("""COMPUTED_VALUE"""),"")</f>
        <v/>
      </c>
      <c r="L277" s="318" t="str">
        <f>IFERROR(__xludf.DUMMYFUNCTION("""COMPUTED_VALUE"""),"")</f>
        <v/>
      </c>
      <c r="M277" s="253" t="str">
        <f t="shared" si="3"/>
        <v/>
      </c>
      <c r="N277" s="319" t="str">
        <f>IFERROR(__xludf.DUMMYFUNCTION("""COMPUTED_VALUE"""),"")</f>
        <v/>
      </c>
      <c r="O277" s="257" t="str">
        <f>IFERROR(__xludf.DUMMYFUNCTION("""COMPUTED_VALUE"""),"")</f>
        <v/>
      </c>
      <c r="P277" s="247" t="str">
        <f t="shared" si="4"/>
        <v/>
      </c>
      <c r="Q277" s="320" t="str">
        <f>IFERROR(__xludf.DUMMYFUNCTION("""COMPUTED_VALUE"""),"")</f>
        <v/>
      </c>
      <c r="R277" s="259" t="str">
        <f>IFERROR(__xludf.DUMMYFUNCTION("""COMPUTED_VALUE"""),"")</f>
        <v/>
      </c>
      <c r="S277" s="250" t="str">
        <f t="shared" si="5"/>
        <v/>
      </c>
      <c r="T277" s="254" t="str">
        <f>IFERROR(__xludf.DUMMYFUNCTION("""COMPUTED_VALUE"""),"")</f>
        <v/>
      </c>
      <c r="U277" s="246" t="str">
        <f>IFERROR(__xludf.DUMMYFUNCTION("""COMPUTED_VALUE"""),"")</f>
        <v/>
      </c>
      <c r="V277" s="247" t="str">
        <f t="shared" si="6"/>
        <v/>
      </c>
      <c r="W277" s="255" t="str">
        <f>IFERROR(__xludf.DUMMYFUNCTION("""COMPUTED_VALUE"""),"")</f>
        <v/>
      </c>
      <c r="X277" s="249" t="str">
        <f>IFERROR(__xludf.DUMMYFUNCTION("""COMPUTED_VALUE"""),"")</f>
        <v/>
      </c>
      <c r="Y277" s="250" t="str">
        <f t="shared" si="7"/>
        <v/>
      </c>
    </row>
    <row r="278">
      <c r="A278" s="136" t="s">
        <v>18</v>
      </c>
      <c r="B278" s="146">
        <v>46127.0</v>
      </c>
      <c r="C278" s="136" t="s">
        <v>45</v>
      </c>
      <c r="D278" s="136" t="s">
        <v>149</v>
      </c>
      <c r="E278" s="256">
        <f>IFERROR(__xludf.DUMMYFUNCTION("""COMPUTED_VALUE"""),111.0)</f>
        <v>111</v>
      </c>
      <c r="F278" s="257">
        <f>IFERROR(__xludf.DUMMYFUNCTION("""COMPUTED_VALUE"""),0.10763888889050577)</f>
        <v>0.1076388889</v>
      </c>
      <c r="G278" s="247">
        <f t="shared" si="1"/>
        <v>42.96774193</v>
      </c>
      <c r="H278" s="258">
        <f>IFERROR(__xludf.DUMMYFUNCTION("""COMPUTED_VALUE"""),100.0)</f>
        <v>100</v>
      </c>
      <c r="I278" s="259">
        <f>IFERROR(__xludf.DUMMYFUNCTION("""COMPUTED_VALUE"""),0.125)</f>
        <v>0.125</v>
      </c>
      <c r="J278" s="250">
        <f t="shared" si="2"/>
        <v>33.33333333</v>
      </c>
      <c r="K278" s="317">
        <f>IFERROR(__xludf.DUMMYFUNCTION("""COMPUTED_VALUE"""),69.0)</f>
        <v>69</v>
      </c>
      <c r="L278" s="318">
        <f>IFERROR(__xludf.DUMMYFUNCTION("""COMPUTED_VALUE"""),0.0819444444423425)</f>
        <v>0.08194444444</v>
      </c>
      <c r="M278" s="253">
        <f t="shared" si="3"/>
        <v>35.08474576</v>
      </c>
      <c r="N278" s="319">
        <f>IFERROR(__xludf.DUMMYFUNCTION("""COMPUTED_VALUE"""),0.0)</f>
        <v>0</v>
      </c>
      <c r="O278" s="257">
        <f>IFERROR(__xludf.DUMMYFUNCTION("""COMPUTED_VALUE"""),0.0)</f>
        <v>0</v>
      </c>
      <c r="P278" s="247" t="str">
        <f t="shared" si="4"/>
        <v/>
      </c>
      <c r="Q278" s="320">
        <f>IFERROR(__xludf.DUMMYFUNCTION("""COMPUTED_VALUE"""),156.0)</f>
        <v>156</v>
      </c>
      <c r="R278" s="259">
        <f>IFERROR(__xludf.DUMMYFUNCTION("""COMPUTED_VALUE"""),0.16666666666424135)</f>
        <v>0.1666666667</v>
      </c>
      <c r="S278" s="250">
        <f t="shared" si="5"/>
        <v>39</v>
      </c>
      <c r="T278" s="254">
        <f>IFERROR(__xludf.DUMMYFUNCTION("""COMPUTED_VALUE"""),111.0)</f>
        <v>111</v>
      </c>
      <c r="U278" s="246">
        <f>IFERROR(__xludf.DUMMYFUNCTION("""COMPUTED_VALUE"""),0.10763888889050577)</f>
        <v>0.1076388889</v>
      </c>
      <c r="V278" s="247">
        <f t="shared" si="6"/>
        <v>42.96774193</v>
      </c>
      <c r="W278" s="255">
        <f>IFERROR(__xludf.DUMMYFUNCTION("""COMPUTED_VALUE"""),256.0)</f>
        <v>256</v>
      </c>
      <c r="X278" s="249">
        <f>IFERROR(__xludf.DUMMYFUNCTION("""COMPUTED_VALUE"""),0.29166666666424135)</f>
        <v>0.2916666667</v>
      </c>
      <c r="Y278" s="250">
        <f t="shared" si="7"/>
        <v>36.57142857</v>
      </c>
    </row>
    <row r="279">
      <c r="A279" s="136" t="s">
        <v>18</v>
      </c>
      <c r="B279" s="146">
        <v>46127.0</v>
      </c>
      <c r="C279" s="136" t="s">
        <v>45</v>
      </c>
      <c r="D279" s="136" t="s">
        <v>148</v>
      </c>
      <c r="E279" s="256" t="str">
        <f>IFERROR(__xludf.DUMMYFUNCTION("""COMPUTED_VALUE"""),"")</f>
        <v/>
      </c>
      <c r="F279" s="257" t="str">
        <f>IFERROR(__xludf.DUMMYFUNCTION("""COMPUTED_VALUE"""),"")</f>
        <v/>
      </c>
      <c r="G279" s="247" t="str">
        <f t="shared" si="1"/>
        <v/>
      </c>
      <c r="H279" s="258" t="str">
        <f>IFERROR(__xludf.DUMMYFUNCTION("""COMPUTED_VALUE"""),"")</f>
        <v/>
      </c>
      <c r="I279" s="259" t="str">
        <f>IFERROR(__xludf.DUMMYFUNCTION("""COMPUTED_VALUE"""),"")</f>
        <v/>
      </c>
      <c r="J279" s="250" t="str">
        <f t="shared" si="2"/>
        <v/>
      </c>
      <c r="K279" s="317" t="str">
        <f>IFERROR(__xludf.DUMMYFUNCTION("""COMPUTED_VALUE"""),"")</f>
        <v/>
      </c>
      <c r="L279" s="318" t="str">
        <f>IFERROR(__xludf.DUMMYFUNCTION("""COMPUTED_VALUE"""),"")</f>
        <v/>
      </c>
      <c r="M279" s="253" t="str">
        <f t="shared" si="3"/>
        <v/>
      </c>
      <c r="N279" s="319" t="str">
        <f>IFERROR(__xludf.DUMMYFUNCTION("""COMPUTED_VALUE"""),"")</f>
        <v/>
      </c>
      <c r="O279" s="257" t="str">
        <f>IFERROR(__xludf.DUMMYFUNCTION("""COMPUTED_VALUE"""),"")</f>
        <v/>
      </c>
      <c r="P279" s="247" t="str">
        <f t="shared" si="4"/>
        <v/>
      </c>
      <c r="Q279" s="320" t="str">
        <f>IFERROR(__xludf.DUMMYFUNCTION("""COMPUTED_VALUE"""),"")</f>
        <v/>
      </c>
      <c r="R279" s="259" t="str">
        <f>IFERROR(__xludf.DUMMYFUNCTION("""COMPUTED_VALUE"""),"")</f>
        <v/>
      </c>
      <c r="S279" s="250" t="str">
        <f t="shared" si="5"/>
        <v/>
      </c>
      <c r="T279" s="254" t="str">
        <f>IFERROR(__xludf.DUMMYFUNCTION("""COMPUTED_VALUE"""),"")</f>
        <v/>
      </c>
      <c r="U279" s="246" t="str">
        <f>IFERROR(__xludf.DUMMYFUNCTION("""COMPUTED_VALUE"""),"")</f>
        <v/>
      </c>
      <c r="V279" s="247" t="str">
        <f t="shared" si="6"/>
        <v/>
      </c>
      <c r="W279" s="255" t="str">
        <f>IFERROR(__xludf.DUMMYFUNCTION("""COMPUTED_VALUE"""),"")</f>
        <v/>
      </c>
      <c r="X279" s="249" t="str">
        <f>IFERROR(__xludf.DUMMYFUNCTION("""COMPUTED_VALUE"""),"")</f>
        <v/>
      </c>
      <c r="Y279" s="250" t="str">
        <f t="shared" si="7"/>
        <v/>
      </c>
    </row>
    <row r="280">
      <c r="A280" s="136" t="s">
        <v>12</v>
      </c>
      <c r="B280" s="146">
        <v>46128.0</v>
      </c>
      <c r="C280" s="136" t="s">
        <v>49</v>
      </c>
      <c r="D280" s="136" t="s">
        <v>149</v>
      </c>
      <c r="E280" s="256" t="str">
        <f>IFERROR(__xludf.DUMMYFUNCTION("""COMPUTED_VALUE"""),"")</f>
        <v/>
      </c>
      <c r="F280" s="257" t="str">
        <f>IFERROR(__xludf.DUMMYFUNCTION("""COMPUTED_VALUE"""),"")</f>
        <v/>
      </c>
      <c r="G280" s="247" t="str">
        <f t="shared" si="1"/>
        <v/>
      </c>
      <c r="H280" s="258" t="str">
        <f>IFERROR(__xludf.DUMMYFUNCTION("""COMPUTED_VALUE"""),"")</f>
        <v/>
      </c>
      <c r="I280" s="259" t="str">
        <f>IFERROR(__xludf.DUMMYFUNCTION("""COMPUTED_VALUE"""),"")</f>
        <v/>
      </c>
      <c r="J280" s="250" t="str">
        <f t="shared" si="2"/>
        <v/>
      </c>
      <c r="K280" s="317" t="str">
        <f>IFERROR(__xludf.DUMMYFUNCTION("""COMPUTED_VALUE"""),"")</f>
        <v/>
      </c>
      <c r="L280" s="318" t="str">
        <f>IFERROR(__xludf.DUMMYFUNCTION("""COMPUTED_VALUE"""),"")</f>
        <v/>
      </c>
      <c r="M280" s="253" t="str">
        <f t="shared" si="3"/>
        <v/>
      </c>
      <c r="N280" s="319" t="str">
        <f>IFERROR(__xludf.DUMMYFUNCTION("""COMPUTED_VALUE"""),"")</f>
        <v/>
      </c>
      <c r="O280" s="257" t="str">
        <f>IFERROR(__xludf.DUMMYFUNCTION("""COMPUTED_VALUE"""),"")</f>
        <v/>
      </c>
      <c r="P280" s="247" t="str">
        <f t="shared" si="4"/>
        <v/>
      </c>
      <c r="Q280" s="320" t="str">
        <f>IFERROR(__xludf.DUMMYFUNCTION("""COMPUTED_VALUE"""),"")</f>
        <v/>
      </c>
      <c r="R280" s="259" t="str">
        <f>IFERROR(__xludf.DUMMYFUNCTION("""COMPUTED_VALUE"""),"")</f>
        <v/>
      </c>
      <c r="S280" s="250" t="str">
        <f t="shared" si="5"/>
        <v/>
      </c>
      <c r="T280" s="254" t="str">
        <f>IFERROR(__xludf.DUMMYFUNCTION("""COMPUTED_VALUE"""),"")</f>
        <v/>
      </c>
      <c r="U280" s="246" t="str">
        <f>IFERROR(__xludf.DUMMYFUNCTION("""COMPUTED_VALUE"""),"")</f>
        <v/>
      </c>
      <c r="V280" s="247" t="str">
        <f t="shared" si="6"/>
        <v/>
      </c>
      <c r="W280" s="255" t="str">
        <f>IFERROR(__xludf.DUMMYFUNCTION("""COMPUTED_VALUE"""),"")</f>
        <v/>
      </c>
      <c r="X280" s="249" t="str">
        <f>IFERROR(__xludf.DUMMYFUNCTION("""COMPUTED_VALUE"""),"")</f>
        <v/>
      </c>
      <c r="Y280" s="250" t="str">
        <f t="shared" si="7"/>
        <v/>
      </c>
    </row>
    <row r="281">
      <c r="A281" s="136" t="s">
        <v>12</v>
      </c>
      <c r="B281" s="146">
        <v>46128.0</v>
      </c>
      <c r="C281" s="136" t="s">
        <v>49</v>
      </c>
      <c r="D281" s="136" t="s">
        <v>149</v>
      </c>
      <c r="E281" s="256" t="str">
        <f>IFERROR(__xludf.DUMMYFUNCTION("""COMPUTED_VALUE"""),"")</f>
        <v/>
      </c>
      <c r="F281" s="257" t="str">
        <f>IFERROR(__xludf.DUMMYFUNCTION("""COMPUTED_VALUE"""),"")</f>
        <v/>
      </c>
      <c r="G281" s="247" t="str">
        <f t="shared" si="1"/>
        <v/>
      </c>
      <c r="H281" s="258" t="str">
        <f>IFERROR(__xludf.DUMMYFUNCTION("""COMPUTED_VALUE"""),"")</f>
        <v/>
      </c>
      <c r="I281" s="259" t="str">
        <f>IFERROR(__xludf.DUMMYFUNCTION("""COMPUTED_VALUE"""),"")</f>
        <v/>
      </c>
      <c r="J281" s="250" t="str">
        <f t="shared" si="2"/>
        <v/>
      </c>
      <c r="K281" s="317" t="str">
        <f>IFERROR(__xludf.DUMMYFUNCTION("""COMPUTED_VALUE"""),"")</f>
        <v/>
      </c>
      <c r="L281" s="318" t="str">
        <f>IFERROR(__xludf.DUMMYFUNCTION("""COMPUTED_VALUE"""),"")</f>
        <v/>
      </c>
      <c r="M281" s="253" t="str">
        <f t="shared" si="3"/>
        <v/>
      </c>
      <c r="N281" s="319" t="str">
        <f>IFERROR(__xludf.DUMMYFUNCTION("""COMPUTED_VALUE"""),"")</f>
        <v/>
      </c>
      <c r="O281" s="257" t="str">
        <f>IFERROR(__xludf.DUMMYFUNCTION("""COMPUTED_VALUE"""),"")</f>
        <v/>
      </c>
      <c r="P281" s="247" t="str">
        <f t="shared" si="4"/>
        <v/>
      </c>
      <c r="Q281" s="320" t="str">
        <f>IFERROR(__xludf.DUMMYFUNCTION("""COMPUTED_VALUE"""),"")</f>
        <v/>
      </c>
      <c r="R281" s="259" t="str">
        <f>IFERROR(__xludf.DUMMYFUNCTION("""COMPUTED_VALUE"""),"")</f>
        <v/>
      </c>
      <c r="S281" s="250" t="str">
        <f t="shared" si="5"/>
        <v/>
      </c>
      <c r="T281" s="254" t="str">
        <f>IFERROR(__xludf.DUMMYFUNCTION("""COMPUTED_VALUE"""),"")</f>
        <v/>
      </c>
      <c r="U281" s="246" t="str">
        <f>IFERROR(__xludf.DUMMYFUNCTION("""COMPUTED_VALUE"""),"")</f>
        <v/>
      </c>
      <c r="V281" s="247" t="str">
        <f t="shared" si="6"/>
        <v/>
      </c>
      <c r="W281" s="255" t="str">
        <f>IFERROR(__xludf.DUMMYFUNCTION("""COMPUTED_VALUE"""),"")</f>
        <v/>
      </c>
      <c r="X281" s="249" t="str">
        <f>IFERROR(__xludf.DUMMYFUNCTION("""COMPUTED_VALUE"""),"")</f>
        <v/>
      </c>
      <c r="Y281" s="250" t="str">
        <f t="shared" si="7"/>
        <v/>
      </c>
    </row>
    <row r="282">
      <c r="A282" s="136" t="s">
        <v>15</v>
      </c>
      <c r="B282" s="146">
        <v>46128.0</v>
      </c>
      <c r="C282" s="136" t="s">
        <v>49</v>
      </c>
      <c r="D282" s="136" t="s">
        <v>148</v>
      </c>
      <c r="E282" s="256" t="str">
        <f>IFERROR(__xludf.DUMMYFUNCTION("""COMPUTED_VALUE"""),"")</f>
        <v/>
      </c>
      <c r="F282" s="257" t="str">
        <f>IFERROR(__xludf.DUMMYFUNCTION("""COMPUTED_VALUE"""),"")</f>
        <v/>
      </c>
      <c r="G282" s="247" t="str">
        <f t="shared" si="1"/>
        <v/>
      </c>
      <c r="H282" s="258" t="str">
        <f>IFERROR(__xludf.DUMMYFUNCTION("""COMPUTED_VALUE"""),"")</f>
        <v/>
      </c>
      <c r="I282" s="259" t="str">
        <f>IFERROR(__xludf.DUMMYFUNCTION("""COMPUTED_VALUE"""),"")</f>
        <v/>
      </c>
      <c r="J282" s="250" t="str">
        <f t="shared" si="2"/>
        <v/>
      </c>
      <c r="K282" s="317" t="str">
        <f>IFERROR(__xludf.DUMMYFUNCTION("""COMPUTED_VALUE"""),"")</f>
        <v/>
      </c>
      <c r="L282" s="318" t="str">
        <f>IFERROR(__xludf.DUMMYFUNCTION("""COMPUTED_VALUE"""),"")</f>
        <v/>
      </c>
      <c r="M282" s="253" t="str">
        <f t="shared" si="3"/>
        <v/>
      </c>
      <c r="N282" s="319" t="str">
        <f>IFERROR(__xludf.DUMMYFUNCTION("""COMPUTED_VALUE"""),"")</f>
        <v/>
      </c>
      <c r="O282" s="257" t="str">
        <f>IFERROR(__xludf.DUMMYFUNCTION("""COMPUTED_VALUE"""),"")</f>
        <v/>
      </c>
      <c r="P282" s="247" t="str">
        <f t="shared" si="4"/>
        <v/>
      </c>
      <c r="Q282" s="320" t="str">
        <f>IFERROR(__xludf.DUMMYFUNCTION("""COMPUTED_VALUE"""),"")</f>
        <v/>
      </c>
      <c r="R282" s="259" t="str">
        <f>IFERROR(__xludf.DUMMYFUNCTION("""COMPUTED_VALUE"""),"")</f>
        <v/>
      </c>
      <c r="S282" s="250" t="str">
        <f t="shared" si="5"/>
        <v/>
      </c>
      <c r="T282" s="254" t="str">
        <f>IFERROR(__xludf.DUMMYFUNCTION("""COMPUTED_VALUE"""),"")</f>
        <v/>
      </c>
      <c r="U282" s="246" t="str">
        <f>IFERROR(__xludf.DUMMYFUNCTION("""COMPUTED_VALUE"""),"")</f>
        <v/>
      </c>
      <c r="V282" s="247" t="str">
        <f t="shared" si="6"/>
        <v/>
      </c>
      <c r="W282" s="255" t="str">
        <f>IFERROR(__xludf.DUMMYFUNCTION("""COMPUTED_VALUE"""),"")</f>
        <v/>
      </c>
      <c r="X282" s="249" t="str">
        <f>IFERROR(__xludf.DUMMYFUNCTION("""COMPUTED_VALUE"""),"")</f>
        <v/>
      </c>
      <c r="Y282" s="250" t="str">
        <f t="shared" si="7"/>
        <v/>
      </c>
    </row>
    <row r="283">
      <c r="A283" s="136" t="s">
        <v>15</v>
      </c>
      <c r="B283" s="146">
        <v>46128.0</v>
      </c>
      <c r="C283" s="136" t="s">
        <v>49</v>
      </c>
      <c r="D283" s="136" t="s">
        <v>149</v>
      </c>
      <c r="E283" s="256" t="str">
        <f>IFERROR(__xludf.DUMMYFUNCTION("""COMPUTED_VALUE"""),"")</f>
        <v/>
      </c>
      <c r="F283" s="257" t="str">
        <f>IFERROR(__xludf.DUMMYFUNCTION("""COMPUTED_VALUE"""),"")</f>
        <v/>
      </c>
      <c r="G283" s="247" t="str">
        <f t="shared" si="1"/>
        <v/>
      </c>
      <c r="H283" s="258" t="str">
        <f>IFERROR(__xludf.DUMMYFUNCTION("""COMPUTED_VALUE"""),"")</f>
        <v/>
      </c>
      <c r="I283" s="259" t="str">
        <f>IFERROR(__xludf.DUMMYFUNCTION("""COMPUTED_VALUE"""),"")</f>
        <v/>
      </c>
      <c r="J283" s="250" t="str">
        <f t="shared" si="2"/>
        <v/>
      </c>
      <c r="K283" s="317" t="str">
        <f>IFERROR(__xludf.DUMMYFUNCTION("""COMPUTED_VALUE"""),"")</f>
        <v/>
      </c>
      <c r="L283" s="318" t="str">
        <f>IFERROR(__xludf.DUMMYFUNCTION("""COMPUTED_VALUE"""),"")</f>
        <v/>
      </c>
      <c r="M283" s="253" t="str">
        <f t="shared" si="3"/>
        <v/>
      </c>
      <c r="N283" s="319" t="str">
        <f>IFERROR(__xludf.DUMMYFUNCTION("""COMPUTED_VALUE"""),"")</f>
        <v/>
      </c>
      <c r="O283" s="257" t="str">
        <f>IFERROR(__xludf.DUMMYFUNCTION("""COMPUTED_VALUE"""),"")</f>
        <v/>
      </c>
      <c r="P283" s="247" t="str">
        <f t="shared" si="4"/>
        <v/>
      </c>
      <c r="Q283" s="320" t="str">
        <f>IFERROR(__xludf.DUMMYFUNCTION("""COMPUTED_VALUE"""),"")</f>
        <v/>
      </c>
      <c r="R283" s="259" t="str">
        <f>IFERROR(__xludf.DUMMYFUNCTION("""COMPUTED_VALUE"""),"")</f>
        <v/>
      </c>
      <c r="S283" s="250" t="str">
        <f t="shared" si="5"/>
        <v/>
      </c>
      <c r="T283" s="254" t="str">
        <f>IFERROR(__xludf.DUMMYFUNCTION("""COMPUTED_VALUE"""),"")</f>
        <v/>
      </c>
      <c r="U283" s="246" t="str">
        <f>IFERROR(__xludf.DUMMYFUNCTION("""COMPUTED_VALUE"""),"")</f>
        <v/>
      </c>
      <c r="V283" s="247" t="str">
        <f t="shared" si="6"/>
        <v/>
      </c>
      <c r="W283" s="255" t="str">
        <f>IFERROR(__xludf.DUMMYFUNCTION("""COMPUTED_VALUE"""),"")</f>
        <v/>
      </c>
      <c r="X283" s="249" t="str">
        <f>IFERROR(__xludf.DUMMYFUNCTION("""COMPUTED_VALUE"""),"")</f>
        <v/>
      </c>
      <c r="Y283" s="250" t="str">
        <f t="shared" si="7"/>
        <v/>
      </c>
    </row>
    <row r="284">
      <c r="A284" s="136" t="s">
        <v>15</v>
      </c>
      <c r="B284" s="146">
        <v>46128.0</v>
      </c>
      <c r="C284" s="136" t="s">
        <v>49</v>
      </c>
      <c r="D284" s="136" t="s">
        <v>149</v>
      </c>
      <c r="E284" s="256">
        <f>IFERROR(__xludf.DUMMYFUNCTION("""COMPUTED_VALUE"""),109.0)</f>
        <v>109</v>
      </c>
      <c r="F284" s="257">
        <f>IFERROR(__xludf.DUMMYFUNCTION("""COMPUTED_VALUE"""),0.05208333333575865)</f>
        <v>0.05208333334</v>
      </c>
      <c r="G284" s="247">
        <f t="shared" si="1"/>
        <v>87.2</v>
      </c>
      <c r="H284" s="258">
        <f>IFERROR(__xludf.DUMMYFUNCTION("""COMPUTED_VALUE"""),102.0)</f>
        <v>102</v>
      </c>
      <c r="I284" s="259">
        <f>IFERROR(__xludf.DUMMYFUNCTION("""COMPUTED_VALUE"""),0.07291666666424135)</f>
        <v>0.07291666666</v>
      </c>
      <c r="J284" s="250">
        <f t="shared" si="2"/>
        <v>58.28571429</v>
      </c>
      <c r="K284" s="317">
        <f>IFERROR(__xludf.DUMMYFUNCTION("""COMPUTED_VALUE"""),50.0)</f>
        <v>50</v>
      </c>
      <c r="L284" s="318">
        <f>IFERROR(__xludf.DUMMYFUNCTION("""COMPUTED_VALUE"""),0.10833333333721384)</f>
        <v>0.1083333333</v>
      </c>
      <c r="M284" s="253">
        <f t="shared" si="3"/>
        <v>19.23076923</v>
      </c>
      <c r="N284" s="319">
        <f>IFERROR(__xludf.DUMMYFUNCTION("""COMPUTED_VALUE"""),197.0)</f>
        <v>197</v>
      </c>
      <c r="O284" s="257">
        <f>IFERROR(__xludf.DUMMYFUNCTION("""COMPUTED_VALUE"""),0.13819444443652174)</f>
        <v>0.1381944444</v>
      </c>
      <c r="P284" s="247">
        <f t="shared" si="4"/>
        <v>59.39698493</v>
      </c>
      <c r="Q284" s="320">
        <f>IFERROR(__xludf.DUMMYFUNCTION("""COMPUTED_VALUE"""),0.0)</f>
        <v>0</v>
      </c>
      <c r="R284" s="259">
        <f>IFERROR(__xludf.DUMMYFUNCTION("""COMPUTED_VALUE"""),0.0)</f>
        <v>0</v>
      </c>
      <c r="S284" s="250" t="str">
        <f t="shared" si="5"/>
        <v/>
      </c>
      <c r="T284" s="254">
        <f>IFERROR(__xludf.DUMMYFUNCTION("""COMPUTED_VALUE"""),306.0)</f>
        <v>306</v>
      </c>
      <c r="U284" s="246">
        <f>IFERROR(__xludf.DUMMYFUNCTION("""COMPUTED_VALUE"""),0.1902777777722804)</f>
        <v>0.1902777778</v>
      </c>
      <c r="V284" s="247">
        <f t="shared" si="6"/>
        <v>67.00729927</v>
      </c>
      <c r="W284" s="255">
        <f>IFERROR(__xludf.DUMMYFUNCTION("""COMPUTED_VALUE"""),102.0)</f>
        <v>102</v>
      </c>
      <c r="X284" s="249">
        <f>IFERROR(__xludf.DUMMYFUNCTION("""COMPUTED_VALUE"""),0.07291666666424135)</f>
        <v>0.07291666666</v>
      </c>
      <c r="Y284" s="250">
        <f t="shared" si="7"/>
        <v>58.28571429</v>
      </c>
    </row>
    <row r="285">
      <c r="A285" s="136" t="s">
        <v>18</v>
      </c>
      <c r="B285" s="146">
        <v>46128.0</v>
      </c>
      <c r="C285" s="136" t="s">
        <v>49</v>
      </c>
      <c r="D285" s="136" t="s">
        <v>148</v>
      </c>
      <c r="E285" s="256" t="str">
        <f>IFERROR(__xludf.DUMMYFUNCTION("""COMPUTED_VALUE"""),"")</f>
        <v/>
      </c>
      <c r="F285" s="257" t="str">
        <f>IFERROR(__xludf.DUMMYFUNCTION("""COMPUTED_VALUE"""),"")</f>
        <v/>
      </c>
      <c r="G285" s="247" t="str">
        <f t="shared" si="1"/>
        <v/>
      </c>
      <c r="H285" s="258" t="str">
        <f>IFERROR(__xludf.DUMMYFUNCTION("""COMPUTED_VALUE"""),"")</f>
        <v/>
      </c>
      <c r="I285" s="259" t="str">
        <f>IFERROR(__xludf.DUMMYFUNCTION("""COMPUTED_VALUE"""),"")</f>
        <v/>
      </c>
      <c r="J285" s="250" t="str">
        <f t="shared" si="2"/>
        <v/>
      </c>
      <c r="K285" s="317" t="str">
        <f>IFERROR(__xludf.DUMMYFUNCTION("""COMPUTED_VALUE"""),"")</f>
        <v/>
      </c>
      <c r="L285" s="318" t="str">
        <f>IFERROR(__xludf.DUMMYFUNCTION("""COMPUTED_VALUE"""),"")</f>
        <v/>
      </c>
      <c r="M285" s="253" t="str">
        <f t="shared" si="3"/>
        <v/>
      </c>
      <c r="N285" s="319" t="str">
        <f>IFERROR(__xludf.DUMMYFUNCTION("""COMPUTED_VALUE"""),"")</f>
        <v/>
      </c>
      <c r="O285" s="257" t="str">
        <f>IFERROR(__xludf.DUMMYFUNCTION("""COMPUTED_VALUE"""),"")</f>
        <v/>
      </c>
      <c r="P285" s="247" t="str">
        <f t="shared" si="4"/>
        <v/>
      </c>
      <c r="Q285" s="320" t="str">
        <f>IFERROR(__xludf.DUMMYFUNCTION("""COMPUTED_VALUE"""),"")</f>
        <v/>
      </c>
      <c r="R285" s="259" t="str">
        <f>IFERROR(__xludf.DUMMYFUNCTION("""COMPUTED_VALUE"""),"")</f>
        <v/>
      </c>
      <c r="S285" s="250" t="str">
        <f t="shared" si="5"/>
        <v/>
      </c>
      <c r="T285" s="254" t="str">
        <f>IFERROR(__xludf.DUMMYFUNCTION("""COMPUTED_VALUE"""),"")</f>
        <v/>
      </c>
      <c r="U285" s="246" t="str">
        <f>IFERROR(__xludf.DUMMYFUNCTION("""COMPUTED_VALUE"""),"")</f>
        <v/>
      </c>
      <c r="V285" s="247" t="str">
        <f t="shared" si="6"/>
        <v/>
      </c>
      <c r="W285" s="255" t="str">
        <f>IFERROR(__xludf.DUMMYFUNCTION("""COMPUTED_VALUE"""),"")</f>
        <v/>
      </c>
      <c r="X285" s="249" t="str">
        <f>IFERROR(__xludf.DUMMYFUNCTION("""COMPUTED_VALUE"""),"")</f>
        <v/>
      </c>
      <c r="Y285" s="250" t="str">
        <f t="shared" si="7"/>
        <v/>
      </c>
    </row>
    <row r="286">
      <c r="A286" s="136" t="s">
        <v>12</v>
      </c>
      <c r="B286" s="146">
        <v>46129.0</v>
      </c>
      <c r="C286" s="136" t="s">
        <v>53</v>
      </c>
      <c r="D286" s="136" t="s">
        <v>149</v>
      </c>
      <c r="E286" s="256" t="str">
        <f>IFERROR(__xludf.DUMMYFUNCTION("""COMPUTED_VALUE"""),"")</f>
        <v/>
      </c>
      <c r="F286" s="257" t="str">
        <f>IFERROR(__xludf.DUMMYFUNCTION("""COMPUTED_VALUE"""),"")</f>
        <v/>
      </c>
      <c r="G286" s="247" t="str">
        <f t="shared" si="1"/>
        <v/>
      </c>
      <c r="H286" s="258" t="str">
        <f>IFERROR(__xludf.DUMMYFUNCTION("""COMPUTED_VALUE"""),"")</f>
        <v/>
      </c>
      <c r="I286" s="259" t="str">
        <f>IFERROR(__xludf.DUMMYFUNCTION("""COMPUTED_VALUE"""),"")</f>
        <v/>
      </c>
      <c r="J286" s="250" t="str">
        <f t="shared" si="2"/>
        <v/>
      </c>
      <c r="K286" s="317" t="str">
        <f>IFERROR(__xludf.DUMMYFUNCTION("""COMPUTED_VALUE"""),"")</f>
        <v/>
      </c>
      <c r="L286" s="318" t="str">
        <f>IFERROR(__xludf.DUMMYFUNCTION("""COMPUTED_VALUE"""),"")</f>
        <v/>
      </c>
      <c r="M286" s="253" t="str">
        <f t="shared" si="3"/>
        <v/>
      </c>
      <c r="N286" s="319" t="str">
        <f>IFERROR(__xludf.DUMMYFUNCTION("""COMPUTED_VALUE"""),"")</f>
        <v/>
      </c>
      <c r="O286" s="257" t="str">
        <f>IFERROR(__xludf.DUMMYFUNCTION("""COMPUTED_VALUE"""),"")</f>
        <v/>
      </c>
      <c r="P286" s="247" t="str">
        <f t="shared" si="4"/>
        <v/>
      </c>
      <c r="Q286" s="320" t="str">
        <f>IFERROR(__xludf.DUMMYFUNCTION("""COMPUTED_VALUE"""),"")</f>
        <v/>
      </c>
      <c r="R286" s="259" t="str">
        <f>IFERROR(__xludf.DUMMYFUNCTION("""COMPUTED_VALUE"""),"")</f>
        <v/>
      </c>
      <c r="S286" s="250" t="str">
        <f t="shared" si="5"/>
        <v/>
      </c>
      <c r="T286" s="254" t="str">
        <f>IFERROR(__xludf.DUMMYFUNCTION("""COMPUTED_VALUE"""),"")</f>
        <v/>
      </c>
      <c r="U286" s="246" t="str">
        <f>IFERROR(__xludf.DUMMYFUNCTION("""COMPUTED_VALUE"""),"")</f>
        <v/>
      </c>
      <c r="V286" s="247" t="str">
        <f t="shared" si="6"/>
        <v/>
      </c>
      <c r="W286" s="255" t="str">
        <f>IFERROR(__xludf.DUMMYFUNCTION("""COMPUTED_VALUE"""),"")</f>
        <v/>
      </c>
      <c r="X286" s="249" t="str">
        <f>IFERROR(__xludf.DUMMYFUNCTION("""COMPUTED_VALUE"""),"")</f>
        <v/>
      </c>
      <c r="Y286" s="250" t="str">
        <f t="shared" si="7"/>
        <v/>
      </c>
    </row>
    <row r="287">
      <c r="A287" s="136" t="s">
        <v>15</v>
      </c>
      <c r="B287" s="146">
        <v>46129.0</v>
      </c>
      <c r="C287" s="136" t="s">
        <v>53</v>
      </c>
      <c r="D287" s="136" t="s">
        <v>149</v>
      </c>
      <c r="E287" s="256" t="str">
        <f>IFERROR(__xludf.DUMMYFUNCTION("""COMPUTED_VALUE"""),"")</f>
        <v/>
      </c>
      <c r="F287" s="257" t="str">
        <f>IFERROR(__xludf.DUMMYFUNCTION("""COMPUTED_VALUE"""),"")</f>
        <v/>
      </c>
      <c r="G287" s="247" t="str">
        <f t="shared" si="1"/>
        <v/>
      </c>
      <c r="H287" s="258" t="str">
        <f>IFERROR(__xludf.DUMMYFUNCTION("""COMPUTED_VALUE"""),"")</f>
        <v/>
      </c>
      <c r="I287" s="259" t="str">
        <f>IFERROR(__xludf.DUMMYFUNCTION("""COMPUTED_VALUE"""),"")</f>
        <v/>
      </c>
      <c r="J287" s="250" t="str">
        <f t="shared" si="2"/>
        <v/>
      </c>
      <c r="K287" s="317" t="str">
        <f>IFERROR(__xludf.DUMMYFUNCTION("""COMPUTED_VALUE"""),"")</f>
        <v/>
      </c>
      <c r="L287" s="318" t="str">
        <f>IFERROR(__xludf.DUMMYFUNCTION("""COMPUTED_VALUE"""),"")</f>
        <v/>
      </c>
      <c r="M287" s="253" t="str">
        <f t="shared" si="3"/>
        <v/>
      </c>
      <c r="N287" s="319" t="str">
        <f>IFERROR(__xludf.DUMMYFUNCTION("""COMPUTED_VALUE"""),"")</f>
        <v/>
      </c>
      <c r="O287" s="257" t="str">
        <f>IFERROR(__xludf.DUMMYFUNCTION("""COMPUTED_VALUE"""),"")</f>
        <v/>
      </c>
      <c r="P287" s="247" t="str">
        <f t="shared" si="4"/>
        <v/>
      </c>
      <c r="Q287" s="320" t="str">
        <f>IFERROR(__xludf.DUMMYFUNCTION("""COMPUTED_VALUE"""),"")</f>
        <v/>
      </c>
      <c r="R287" s="259" t="str">
        <f>IFERROR(__xludf.DUMMYFUNCTION("""COMPUTED_VALUE"""),"")</f>
        <v/>
      </c>
      <c r="S287" s="250" t="str">
        <f t="shared" si="5"/>
        <v/>
      </c>
      <c r="T287" s="254" t="str">
        <f>IFERROR(__xludf.DUMMYFUNCTION("""COMPUTED_VALUE"""),"")</f>
        <v/>
      </c>
      <c r="U287" s="246" t="str">
        <f>IFERROR(__xludf.DUMMYFUNCTION("""COMPUTED_VALUE"""),"")</f>
        <v/>
      </c>
      <c r="V287" s="247" t="str">
        <f t="shared" si="6"/>
        <v/>
      </c>
      <c r="W287" s="255" t="str">
        <f>IFERROR(__xludf.DUMMYFUNCTION("""COMPUTED_VALUE"""),"")</f>
        <v/>
      </c>
      <c r="X287" s="249" t="str">
        <f>IFERROR(__xludf.DUMMYFUNCTION("""COMPUTED_VALUE"""),"")</f>
        <v/>
      </c>
      <c r="Y287" s="250" t="str">
        <f t="shared" si="7"/>
        <v/>
      </c>
    </row>
    <row r="288">
      <c r="A288" s="136" t="s">
        <v>15</v>
      </c>
      <c r="B288" s="146">
        <v>46129.0</v>
      </c>
      <c r="C288" s="136" t="s">
        <v>53</v>
      </c>
      <c r="D288" s="136" t="s">
        <v>148</v>
      </c>
      <c r="E288" s="256" t="str">
        <f>IFERROR(__xludf.DUMMYFUNCTION("""COMPUTED_VALUE"""),"")</f>
        <v/>
      </c>
      <c r="F288" s="257" t="str">
        <f>IFERROR(__xludf.DUMMYFUNCTION("""COMPUTED_VALUE"""),"")</f>
        <v/>
      </c>
      <c r="G288" s="247" t="str">
        <f t="shared" si="1"/>
        <v/>
      </c>
      <c r="H288" s="258" t="str">
        <f>IFERROR(__xludf.DUMMYFUNCTION("""COMPUTED_VALUE"""),"")</f>
        <v/>
      </c>
      <c r="I288" s="259" t="str">
        <f>IFERROR(__xludf.DUMMYFUNCTION("""COMPUTED_VALUE"""),"")</f>
        <v/>
      </c>
      <c r="J288" s="250" t="str">
        <f t="shared" si="2"/>
        <v/>
      </c>
      <c r="K288" s="317" t="str">
        <f>IFERROR(__xludf.DUMMYFUNCTION("""COMPUTED_VALUE"""),"")</f>
        <v/>
      </c>
      <c r="L288" s="318" t="str">
        <f>IFERROR(__xludf.DUMMYFUNCTION("""COMPUTED_VALUE"""),"")</f>
        <v/>
      </c>
      <c r="M288" s="253" t="str">
        <f t="shared" si="3"/>
        <v/>
      </c>
      <c r="N288" s="319" t="str">
        <f>IFERROR(__xludf.DUMMYFUNCTION("""COMPUTED_VALUE"""),"")</f>
        <v/>
      </c>
      <c r="O288" s="257" t="str">
        <f>IFERROR(__xludf.DUMMYFUNCTION("""COMPUTED_VALUE"""),"")</f>
        <v/>
      </c>
      <c r="P288" s="247" t="str">
        <f t="shared" si="4"/>
        <v/>
      </c>
      <c r="Q288" s="320" t="str">
        <f>IFERROR(__xludf.DUMMYFUNCTION("""COMPUTED_VALUE"""),"")</f>
        <v/>
      </c>
      <c r="R288" s="259" t="str">
        <f>IFERROR(__xludf.DUMMYFUNCTION("""COMPUTED_VALUE"""),"")</f>
        <v/>
      </c>
      <c r="S288" s="250" t="str">
        <f t="shared" si="5"/>
        <v/>
      </c>
      <c r="T288" s="254" t="str">
        <f>IFERROR(__xludf.DUMMYFUNCTION("""COMPUTED_VALUE"""),"")</f>
        <v/>
      </c>
      <c r="U288" s="246" t="str">
        <f>IFERROR(__xludf.DUMMYFUNCTION("""COMPUTED_VALUE"""),"")</f>
        <v/>
      </c>
      <c r="V288" s="247" t="str">
        <f t="shared" si="6"/>
        <v/>
      </c>
      <c r="W288" s="255" t="str">
        <f>IFERROR(__xludf.DUMMYFUNCTION("""COMPUTED_VALUE"""),"")</f>
        <v/>
      </c>
      <c r="X288" s="249" t="str">
        <f>IFERROR(__xludf.DUMMYFUNCTION("""COMPUTED_VALUE"""),"")</f>
        <v/>
      </c>
      <c r="Y288" s="250" t="str">
        <f t="shared" si="7"/>
        <v/>
      </c>
    </row>
    <row r="289">
      <c r="A289" s="136" t="s">
        <v>18</v>
      </c>
      <c r="B289" s="146">
        <v>46129.0</v>
      </c>
      <c r="C289" s="136" t="s">
        <v>53</v>
      </c>
      <c r="D289" s="136" t="s">
        <v>148</v>
      </c>
      <c r="E289" s="256" t="str">
        <f>IFERROR(__xludf.DUMMYFUNCTION("""COMPUTED_VALUE"""),"")</f>
        <v/>
      </c>
      <c r="F289" s="257" t="str">
        <f>IFERROR(__xludf.DUMMYFUNCTION("""COMPUTED_VALUE"""),"")</f>
        <v/>
      </c>
      <c r="G289" s="247" t="str">
        <f t="shared" si="1"/>
        <v/>
      </c>
      <c r="H289" s="258" t="str">
        <f>IFERROR(__xludf.DUMMYFUNCTION("""COMPUTED_VALUE"""),"")</f>
        <v/>
      </c>
      <c r="I289" s="259" t="str">
        <f>IFERROR(__xludf.DUMMYFUNCTION("""COMPUTED_VALUE"""),"")</f>
        <v/>
      </c>
      <c r="J289" s="250" t="str">
        <f t="shared" si="2"/>
        <v/>
      </c>
      <c r="K289" s="317" t="str">
        <f>IFERROR(__xludf.DUMMYFUNCTION("""COMPUTED_VALUE"""),"")</f>
        <v/>
      </c>
      <c r="L289" s="318" t="str">
        <f>IFERROR(__xludf.DUMMYFUNCTION("""COMPUTED_VALUE"""),"")</f>
        <v/>
      </c>
      <c r="M289" s="253" t="str">
        <f t="shared" si="3"/>
        <v/>
      </c>
      <c r="N289" s="319" t="str">
        <f>IFERROR(__xludf.DUMMYFUNCTION("""COMPUTED_VALUE"""),"")</f>
        <v/>
      </c>
      <c r="O289" s="257" t="str">
        <f>IFERROR(__xludf.DUMMYFUNCTION("""COMPUTED_VALUE"""),"")</f>
        <v/>
      </c>
      <c r="P289" s="247" t="str">
        <f t="shared" si="4"/>
        <v/>
      </c>
      <c r="Q289" s="320" t="str">
        <f>IFERROR(__xludf.DUMMYFUNCTION("""COMPUTED_VALUE"""),"")</f>
        <v/>
      </c>
      <c r="R289" s="259" t="str">
        <f>IFERROR(__xludf.DUMMYFUNCTION("""COMPUTED_VALUE"""),"")</f>
        <v/>
      </c>
      <c r="S289" s="250" t="str">
        <f t="shared" si="5"/>
        <v/>
      </c>
      <c r="T289" s="254" t="str">
        <f>IFERROR(__xludf.DUMMYFUNCTION("""COMPUTED_VALUE"""),"")</f>
        <v/>
      </c>
      <c r="U289" s="246" t="str">
        <f>IFERROR(__xludf.DUMMYFUNCTION("""COMPUTED_VALUE"""),"")</f>
        <v/>
      </c>
      <c r="V289" s="247" t="str">
        <f t="shared" si="6"/>
        <v/>
      </c>
      <c r="W289" s="255" t="str">
        <f>IFERROR(__xludf.DUMMYFUNCTION("""COMPUTED_VALUE"""),"")</f>
        <v/>
      </c>
      <c r="X289" s="249" t="str">
        <f>IFERROR(__xludf.DUMMYFUNCTION("""COMPUTED_VALUE"""),"")</f>
        <v/>
      </c>
      <c r="Y289" s="250" t="str">
        <f t="shared" si="7"/>
        <v/>
      </c>
    </row>
    <row r="290">
      <c r="A290" s="136" t="s">
        <v>18</v>
      </c>
      <c r="B290" s="146">
        <v>46129.0</v>
      </c>
      <c r="C290" s="136" t="s">
        <v>53</v>
      </c>
      <c r="D290" s="136" t="s">
        <v>148</v>
      </c>
      <c r="E290" s="256">
        <f>IFERROR(__xludf.DUMMYFUNCTION("""COMPUTED_VALUE"""),172.0)</f>
        <v>172</v>
      </c>
      <c r="F290" s="257">
        <f>IFERROR(__xludf.DUMMYFUNCTION("""COMPUTED_VALUE"""),0.14097222222335404)</f>
        <v>0.1409722222</v>
      </c>
      <c r="G290" s="247">
        <f t="shared" si="1"/>
        <v>50.83743842</v>
      </c>
      <c r="H290" s="258">
        <f>IFERROR(__xludf.DUMMYFUNCTION("""COMPUTED_VALUE"""),281.0)</f>
        <v>281</v>
      </c>
      <c r="I290" s="259">
        <f>IFERROR(__xludf.DUMMYFUNCTION("""COMPUTED_VALUE"""),0.17222222223790595)</f>
        <v>0.1722222222</v>
      </c>
      <c r="J290" s="250">
        <f t="shared" si="2"/>
        <v>67.98387096</v>
      </c>
      <c r="K290" s="317">
        <f>IFERROR(__xludf.DUMMYFUNCTION("""COMPUTED_VALUE"""),78.0)</f>
        <v>78</v>
      </c>
      <c r="L290" s="318">
        <f>IFERROR(__xludf.DUMMYFUNCTION("""COMPUTED_VALUE"""),0.06597222222626442)</f>
        <v>0.06597222223</v>
      </c>
      <c r="M290" s="253">
        <f t="shared" si="3"/>
        <v>49.26315789</v>
      </c>
      <c r="N290" s="319">
        <f>IFERROR(__xludf.DUMMYFUNCTION("""COMPUTED_VALUE"""),90.0)</f>
        <v>90</v>
      </c>
      <c r="O290" s="257">
        <f>IFERROR(__xludf.DUMMYFUNCTION("""COMPUTED_VALUE"""),0.125)</f>
        <v>0.125</v>
      </c>
      <c r="P290" s="247">
        <f t="shared" si="4"/>
        <v>30</v>
      </c>
      <c r="Q290" s="320">
        <f>IFERROR(__xludf.DUMMYFUNCTION("""COMPUTED_VALUE"""),0.0)</f>
        <v>0</v>
      </c>
      <c r="R290" s="259">
        <f>IFERROR(__xludf.DUMMYFUNCTION("""COMPUTED_VALUE"""),0.0)</f>
        <v>0</v>
      </c>
      <c r="S290" s="250" t="str">
        <f t="shared" si="5"/>
        <v/>
      </c>
      <c r="T290" s="254">
        <f>IFERROR(__xludf.DUMMYFUNCTION("""COMPUTED_VALUE"""),262.0)</f>
        <v>262</v>
      </c>
      <c r="U290" s="246">
        <f>IFERROR(__xludf.DUMMYFUNCTION("""COMPUTED_VALUE"""),0.26597222222335404)</f>
        <v>0.2659722222</v>
      </c>
      <c r="V290" s="247">
        <f t="shared" si="6"/>
        <v>41.04438642</v>
      </c>
      <c r="W290" s="255">
        <f>IFERROR(__xludf.DUMMYFUNCTION("""COMPUTED_VALUE"""),281.0)</f>
        <v>281</v>
      </c>
      <c r="X290" s="249">
        <f>IFERROR(__xludf.DUMMYFUNCTION("""COMPUTED_VALUE"""),0.17222222223790595)</f>
        <v>0.1722222222</v>
      </c>
      <c r="Y290" s="250">
        <f t="shared" si="7"/>
        <v>67.98387096</v>
      </c>
    </row>
    <row r="291">
      <c r="A291" s="136" t="s">
        <v>18</v>
      </c>
      <c r="B291" s="146">
        <v>46129.0</v>
      </c>
      <c r="C291" s="136" t="s">
        <v>53</v>
      </c>
      <c r="D291" s="136" t="s">
        <v>148</v>
      </c>
      <c r="E291" s="256" t="str">
        <f>IFERROR(__xludf.DUMMYFUNCTION("""COMPUTED_VALUE"""),"")</f>
        <v/>
      </c>
      <c r="F291" s="257" t="str">
        <f>IFERROR(__xludf.DUMMYFUNCTION("""COMPUTED_VALUE"""),"")</f>
        <v/>
      </c>
      <c r="G291" s="247" t="str">
        <f t="shared" si="1"/>
        <v/>
      </c>
      <c r="H291" s="258" t="str">
        <f>IFERROR(__xludf.DUMMYFUNCTION("""COMPUTED_VALUE"""),"")</f>
        <v/>
      </c>
      <c r="I291" s="259" t="str">
        <f>IFERROR(__xludf.DUMMYFUNCTION("""COMPUTED_VALUE"""),"")</f>
        <v/>
      </c>
      <c r="J291" s="250" t="str">
        <f t="shared" si="2"/>
        <v/>
      </c>
      <c r="K291" s="317" t="str">
        <f>IFERROR(__xludf.DUMMYFUNCTION("""COMPUTED_VALUE"""),"")</f>
        <v/>
      </c>
      <c r="L291" s="318" t="str">
        <f>IFERROR(__xludf.DUMMYFUNCTION("""COMPUTED_VALUE"""),"")</f>
        <v/>
      </c>
      <c r="M291" s="253" t="str">
        <f t="shared" si="3"/>
        <v/>
      </c>
      <c r="N291" s="319" t="str">
        <f>IFERROR(__xludf.DUMMYFUNCTION("""COMPUTED_VALUE"""),"")</f>
        <v/>
      </c>
      <c r="O291" s="257" t="str">
        <f>IFERROR(__xludf.DUMMYFUNCTION("""COMPUTED_VALUE"""),"")</f>
        <v/>
      </c>
      <c r="P291" s="247" t="str">
        <f t="shared" si="4"/>
        <v/>
      </c>
      <c r="Q291" s="320" t="str">
        <f>IFERROR(__xludf.DUMMYFUNCTION("""COMPUTED_VALUE"""),"")</f>
        <v/>
      </c>
      <c r="R291" s="259" t="str">
        <f>IFERROR(__xludf.DUMMYFUNCTION("""COMPUTED_VALUE"""),"")</f>
        <v/>
      </c>
      <c r="S291" s="250" t="str">
        <f t="shared" si="5"/>
        <v/>
      </c>
      <c r="T291" s="254" t="str">
        <f>IFERROR(__xludf.DUMMYFUNCTION("""COMPUTED_VALUE"""),"")</f>
        <v/>
      </c>
      <c r="U291" s="246" t="str">
        <f>IFERROR(__xludf.DUMMYFUNCTION("""COMPUTED_VALUE"""),"")</f>
        <v/>
      </c>
      <c r="V291" s="247" t="str">
        <f t="shared" si="6"/>
        <v/>
      </c>
      <c r="W291" s="255" t="str">
        <f>IFERROR(__xludf.DUMMYFUNCTION("""COMPUTED_VALUE"""),"")</f>
        <v/>
      </c>
      <c r="X291" s="249" t="str">
        <f>IFERROR(__xludf.DUMMYFUNCTION("""COMPUTED_VALUE"""),"")</f>
        <v/>
      </c>
      <c r="Y291" s="250" t="str">
        <f t="shared" si="7"/>
        <v/>
      </c>
    </row>
    <row r="292">
      <c r="A292" s="136" t="s">
        <v>15</v>
      </c>
      <c r="B292" s="146">
        <v>46132.0</v>
      </c>
      <c r="C292" s="136" t="s">
        <v>37</v>
      </c>
      <c r="D292" s="136" t="s">
        <v>149</v>
      </c>
      <c r="E292" s="256" t="str">
        <f>IFERROR(__xludf.DUMMYFUNCTION("""COMPUTED_VALUE"""),"")</f>
        <v/>
      </c>
      <c r="F292" s="257" t="str">
        <f>IFERROR(__xludf.DUMMYFUNCTION("""COMPUTED_VALUE"""),"")</f>
        <v/>
      </c>
      <c r="G292" s="247" t="str">
        <f t="shared" si="1"/>
        <v/>
      </c>
      <c r="H292" s="258" t="str">
        <f>IFERROR(__xludf.DUMMYFUNCTION("""COMPUTED_VALUE"""),"")</f>
        <v/>
      </c>
      <c r="I292" s="259" t="str">
        <f>IFERROR(__xludf.DUMMYFUNCTION("""COMPUTED_VALUE"""),"")</f>
        <v/>
      </c>
      <c r="J292" s="250" t="str">
        <f t="shared" si="2"/>
        <v/>
      </c>
      <c r="K292" s="317" t="str">
        <f>IFERROR(__xludf.DUMMYFUNCTION("""COMPUTED_VALUE"""),"")</f>
        <v/>
      </c>
      <c r="L292" s="318" t="str">
        <f>IFERROR(__xludf.DUMMYFUNCTION("""COMPUTED_VALUE"""),"")</f>
        <v/>
      </c>
      <c r="M292" s="253" t="str">
        <f t="shared" si="3"/>
        <v/>
      </c>
      <c r="N292" s="319" t="str">
        <f>IFERROR(__xludf.DUMMYFUNCTION("""COMPUTED_VALUE"""),"")</f>
        <v/>
      </c>
      <c r="O292" s="257" t="str">
        <f>IFERROR(__xludf.DUMMYFUNCTION("""COMPUTED_VALUE"""),"")</f>
        <v/>
      </c>
      <c r="P292" s="247" t="str">
        <f t="shared" si="4"/>
        <v/>
      </c>
      <c r="Q292" s="320" t="str">
        <f>IFERROR(__xludf.DUMMYFUNCTION("""COMPUTED_VALUE"""),"")</f>
        <v/>
      </c>
      <c r="R292" s="259" t="str">
        <f>IFERROR(__xludf.DUMMYFUNCTION("""COMPUTED_VALUE"""),"")</f>
        <v/>
      </c>
      <c r="S292" s="250" t="str">
        <f t="shared" si="5"/>
        <v/>
      </c>
      <c r="T292" s="254" t="str">
        <f>IFERROR(__xludf.DUMMYFUNCTION("""COMPUTED_VALUE"""),"")</f>
        <v/>
      </c>
      <c r="U292" s="246" t="str">
        <f>IFERROR(__xludf.DUMMYFUNCTION("""COMPUTED_VALUE"""),"")</f>
        <v/>
      </c>
      <c r="V292" s="247" t="str">
        <f t="shared" si="6"/>
        <v/>
      </c>
      <c r="W292" s="255" t="str">
        <f>IFERROR(__xludf.DUMMYFUNCTION("""COMPUTED_VALUE"""),"")</f>
        <v/>
      </c>
      <c r="X292" s="249" t="str">
        <f>IFERROR(__xludf.DUMMYFUNCTION("""COMPUTED_VALUE"""),"")</f>
        <v/>
      </c>
      <c r="Y292" s="250" t="str">
        <f t="shared" si="7"/>
        <v/>
      </c>
    </row>
    <row r="293">
      <c r="A293" s="136" t="s">
        <v>18</v>
      </c>
      <c r="B293" s="146">
        <v>46132.0</v>
      </c>
      <c r="C293" s="136" t="s">
        <v>37</v>
      </c>
      <c r="D293" s="136" t="s">
        <v>148</v>
      </c>
      <c r="E293" s="256">
        <f>IFERROR(__xludf.DUMMYFUNCTION("""COMPUTED_VALUE"""),0.0)</f>
        <v>0</v>
      </c>
      <c r="F293" s="257">
        <f>IFERROR(__xludf.DUMMYFUNCTION("""COMPUTED_VALUE"""),0.0)</f>
        <v>0</v>
      </c>
      <c r="G293" s="247" t="str">
        <f t="shared" si="1"/>
        <v/>
      </c>
      <c r="H293" s="258">
        <f>IFERROR(__xludf.DUMMYFUNCTION("""COMPUTED_VALUE"""),246.0)</f>
        <v>246</v>
      </c>
      <c r="I293" s="259">
        <f>IFERROR(__xludf.DUMMYFUNCTION("""COMPUTED_VALUE"""),0.19652777777810115)</f>
        <v>0.1965277778</v>
      </c>
      <c r="J293" s="250">
        <f t="shared" si="2"/>
        <v>52.15547703</v>
      </c>
      <c r="K293" s="317">
        <f>IFERROR(__xludf.DUMMYFUNCTION("""COMPUTED_VALUE"""),0.0)</f>
        <v>0</v>
      </c>
      <c r="L293" s="318">
        <f>IFERROR(__xludf.DUMMYFUNCTION("""COMPUTED_VALUE"""),0.0)</f>
        <v>0</v>
      </c>
      <c r="M293" s="253" t="str">
        <f t="shared" si="3"/>
        <v/>
      </c>
      <c r="N293" s="319">
        <f>IFERROR(__xludf.DUMMYFUNCTION("""COMPUTED_VALUE"""),76.0)</f>
        <v>76</v>
      </c>
      <c r="O293" s="257">
        <f>IFERROR(__xludf.DUMMYFUNCTION("""COMPUTED_VALUE"""),0.125)</f>
        <v>0.125</v>
      </c>
      <c r="P293" s="247">
        <f t="shared" si="4"/>
        <v>25.33333333</v>
      </c>
      <c r="Q293" s="320">
        <f>IFERROR(__xludf.DUMMYFUNCTION("""COMPUTED_VALUE"""),0.0)</f>
        <v>0</v>
      </c>
      <c r="R293" s="259">
        <f>IFERROR(__xludf.DUMMYFUNCTION("""COMPUTED_VALUE"""),0.0)</f>
        <v>0</v>
      </c>
      <c r="S293" s="250" t="str">
        <f t="shared" si="5"/>
        <v/>
      </c>
      <c r="T293" s="254">
        <f>IFERROR(__xludf.DUMMYFUNCTION("""COMPUTED_VALUE"""),76.0)</f>
        <v>76</v>
      </c>
      <c r="U293" s="246">
        <f>IFERROR(__xludf.DUMMYFUNCTION("""COMPUTED_VALUE"""),0.125)</f>
        <v>0.125</v>
      </c>
      <c r="V293" s="247">
        <f t="shared" si="6"/>
        <v>25.33333333</v>
      </c>
      <c r="W293" s="255">
        <f>IFERROR(__xludf.DUMMYFUNCTION("""COMPUTED_VALUE"""),246.0)</f>
        <v>246</v>
      </c>
      <c r="X293" s="249">
        <f>IFERROR(__xludf.DUMMYFUNCTION("""COMPUTED_VALUE"""),0.19652777777810115)</f>
        <v>0.1965277778</v>
      </c>
      <c r="Y293" s="250">
        <f t="shared" si="7"/>
        <v>52.15547703</v>
      </c>
    </row>
    <row r="294">
      <c r="A294" s="136" t="s">
        <v>18</v>
      </c>
      <c r="B294" s="146">
        <v>46132.0</v>
      </c>
      <c r="C294" s="136" t="s">
        <v>37</v>
      </c>
      <c r="D294" s="136" t="s">
        <v>148</v>
      </c>
      <c r="E294" s="256" t="str">
        <f>IFERROR(__xludf.DUMMYFUNCTION("""COMPUTED_VALUE"""),"")</f>
        <v/>
      </c>
      <c r="F294" s="257" t="str">
        <f>IFERROR(__xludf.DUMMYFUNCTION("""COMPUTED_VALUE"""),"")</f>
        <v/>
      </c>
      <c r="G294" s="247" t="str">
        <f t="shared" si="1"/>
        <v/>
      </c>
      <c r="H294" s="258" t="str">
        <f>IFERROR(__xludf.DUMMYFUNCTION("""COMPUTED_VALUE"""),"")</f>
        <v/>
      </c>
      <c r="I294" s="259" t="str">
        <f>IFERROR(__xludf.DUMMYFUNCTION("""COMPUTED_VALUE"""),"")</f>
        <v/>
      </c>
      <c r="J294" s="250" t="str">
        <f t="shared" si="2"/>
        <v/>
      </c>
      <c r="K294" s="317" t="str">
        <f>IFERROR(__xludf.DUMMYFUNCTION("""COMPUTED_VALUE"""),"")</f>
        <v/>
      </c>
      <c r="L294" s="318" t="str">
        <f>IFERROR(__xludf.DUMMYFUNCTION("""COMPUTED_VALUE"""),"")</f>
        <v/>
      </c>
      <c r="M294" s="253" t="str">
        <f t="shared" si="3"/>
        <v/>
      </c>
      <c r="N294" s="319" t="str">
        <f>IFERROR(__xludf.DUMMYFUNCTION("""COMPUTED_VALUE"""),"")</f>
        <v/>
      </c>
      <c r="O294" s="257" t="str">
        <f>IFERROR(__xludf.DUMMYFUNCTION("""COMPUTED_VALUE"""),"")</f>
        <v/>
      </c>
      <c r="P294" s="247" t="str">
        <f t="shared" si="4"/>
        <v/>
      </c>
      <c r="Q294" s="320" t="str">
        <f>IFERROR(__xludf.DUMMYFUNCTION("""COMPUTED_VALUE"""),"")</f>
        <v/>
      </c>
      <c r="R294" s="259" t="str">
        <f>IFERROR(__xludf.DUMMYFUNCTION("""COMPUTED_VALUE"""),"")</f>
        <v/>
      </c>
      <c r="S294" s="250" t="str">
        <f t="shared" si="5"/>
        <v/>
      </c>
      <c r="T294" s="254" t="str">
        <f>IFERROR(__xludf.DUMMYFUNCTION("""COMPUTED_VALUE"""),"")</f>
        <v/>
      </c>
      <c r="U294" s="246" t="str">
        <f>IFERROR(__xludf.DUMMYFUNCTION("""COMPUTED_VALUE"""),"")</f>
        <v/>
      </c>
      <c r="V294" s="247" t="str">
        <f t="shared" si="6"/>
        <v/>
      </c>
      <c r="W294" s="255" t="str">
        <f>IFERROR(__xludf.DUMMYFUNCTION("""COMPUTED_VALUE"""),"")</f>
        <v/>
      </c>
      <c r="X294" s="249" t="str">
        <f>IFERROR(__xludf.DUMMYFUNCTION("""COMPUTED_VALUE"""),"")</f>
        <v/>
      </c>
      <c r="Y294" s="250" t="str">
        <f t="shared" si="7"/>
        <v/>
      </c>
    </row>
    <row r="295">
      <c r="A295" s="136" t="s">
        <v>15</v>
      </c>
      <c r="B295" s="146">
        <v>46133.0</v>
      </c>
      <c r="C295" s="136" t="s">
        <v>41</v>
      </c>
      <c r="D295" s="136" t="s">
        <v>148</v>
      </c>
      <c r="E295" s="256">
        <f>IFERROR(__xludf.DUMMYFUNCTION("""COMPUTED_VALUE"""),296.0)</f>
        <v>296</v>
      </c>
      <c r="F295" s="257">
        <f>IFERROR(__xludf.DUMMYFUNCTION("""COMPUTED_VALUE"""),0.13194444443797693)</f>
        <v>0.1319444444</v>
      </c>
      <c r="G295" s="247">
        <f t="shared" si="1"/>
        <v>93.47368422</v>
      </c>
      <c r="H295" s="258">
        <f>IFERROR(__xludf.DUMMYFUNCTION("""COMPUTED_VALUE"""),0.0)</f>
        <v>0</v>
      </c>
      <c r="I295" s="259">
        <f>IFERROR(__xludf.DUMMYFUNCTION("""COMPUTED_VALUE"""),0.0)</f>
        <v>0</v>
      </c>
      <c r="J295" s="250" t="str">
        <f t="shared" si="2"/>
        <v/>
      </c>
      <c r="K295" s="317">
        <f>IFERROR(__xludf.DUMMYFUNCTION("""COMPUTED_VALUE"""),0.0)</f>
        <v>0</v>
      </c>
      <c r="L295" s="318">
        <f>IFERROR(__xludf.DUMMYFUNCTION("""COMPUTED_VALUE"""),0.0)</f>
        <v>0</v>
      </c>
      <c r="M295" s="253" t="str">
        <f t="shared" si="3"/>
        <v/>
      </c>
      <c r="N295" s="319">
        <f>IFERROR(__xludf.DUMMYFUNCTION("""COMPUTED_VALUE"""),0.0)</f>
        <v>0</v>
      </c>
      <c r="O295" s="257">
        <f>IFERROR(__xludf.DUMMYFUNCTION("""COMPUTED_VALUE"""),0.0)</f>
        <v>0</v>
      </c>
      <c r="P295" s="247" t="str">
        <f t="shared" si="4"/>
        <v/>
      </c>
      <c r="Q295" s="320">
        <f>IFERROR(__xludf.DUMMYFUNCTION("""COMPUTED_VALUE"""),86.0)</f>
        <v>86</v>
      </c>
      <c r="R295" s="259">
        <f>IFERROR(__xludf.DUMMYFUNCTION("""COMPUTED_VALUE"""),0.09027777778101154)</f>
        <v>0.09027777778</v>
      </c>
      <c r="S295" s="250">
        <f t="shared" si="5"/>
        <v>39.69230769</v>
      </c>
      <c r="T295" s="254">
        <f>IFERROR(__xludf.DUMMYFUNCTION("""COMPUTED_VALUE"""),296.0)</f>
        <v>296</v>
      </c>
      <c r="U295" s="246">
        <f>IFERROR(__xludf.DUMMYFUNCTION("""COMPUTED_VALUE"""),0.13194444443797693)</f>
        <v>0.1319444444</v>
      </c>
      <c r="V295" s="247">
        <f t="shared" si="6"/>
        <v>93.47368422</v>
      </c>
      <c r="W295" s="255">
        <f>IFERROR(__xludf.DUMMYFUNCTION("""COMPUTED_VALUE"""),86.0)</f>
        <v>86</v>
      </c>
      <c r="X295" s="249">
        <f>IFERROR(__xludf.DUMMYFUNCTION("""COMPUTED_VALUE"""),0.09027777778101154)</f>
        <v>0.09027777778</v>
      </c>
      <c r="Y295" s="250">
        <f t="shared" si="7"/>
        <v>39.69230769</v>
      </c>
    </row>
    <row r="296">
      <c r="A296" s="136" t="s">
        <v>15</v>
      </c>
      <c r="B296" s="146">
        <v>46133.0</v>
      </c>
      <c r="C296" s="136" t="s">
        <v>41</v>
      </c>
      <c r="D296" s="136" t="s">
        <v>148</v>
      </c>
      <c r="E296" s="256" t="str">
        <f>IFERROR(__xludf.DUMMYFUNCTION("""COMPUTED_VALUE"""),"")</f>
        <v/>
      </c>
      <c r="F296" s="257" t="str">
        <f>IFERROR(__xludf.DUMMYFUNCTION("""COMPUTED_VALUE"""),"")</f>
        <v/>
      </c>
      <c r="G296" s="247" t="str">
        <f t="shared" si="1"/>
        <v/>
      </c>
      <c r="H296" s="258" t="str">
        <f>IFERROR(__xludf.DUMMYFUNCTION("""COMPUTED_VALUE"""),"")</f>
        <v/>
      </c>
      <c r="I296" s="259" t="str">
        <f>IFERROR(__xludf.DUMMYFUNCTION("""COMPUTED_VALUE"""),"")</f>
        <v/>
      </c>
      <c r="J296" s="250" t="str">
        <f t="shared" si="2"/>
        <v/>
      </c>
      <c r="K296" s="317" t="str">
        <f>IFERROR(__xludf.DUMMYFUNCTION("""COMPUTED_VALUE"""),"")</f>
        <v/>
      </c>
      <c r="L296" s="318" t="str">
        <f>IFERROR(__xludf.DUMMYFUNCTION("""COMPUTED_VALUE"""),"")</f>
        <v/>
      </c>
      <c r="M296" s="253" t="str">
        <f t="shared" si="3"/>
        <v/>
      </c>
      <c r="N296" s="319" t="str">
        <f>IFERROR(__xludf.DUMMYFUNCTION("""COMPUTED_VALUE"""),"")</f>
        <v/>
      </c>
      <c r="O296" s="257" t="str">
        <f>IFERROR(__xludf.DUMMYFUNCTION("""COMPUTED_VALUE"""),"")</f>
        <v/>
      </c>
      <c r="P296" s="247" t="str">
        <f t="shared" si="4"/>
        <v/>
      </c>
      <c r="Q296" s="320" t="str">
        <f>IFERROR(__xludf.DUMMYFUNCTION("""COMPUTED_VALUE"""),"")</f>
        <v/>
      </c>
      <c r="R296" s="259" t="str">
        <f>IFERROR(__xludf.DUMMYFUNCTION("""COMPUTED_VALUE"""),"")</f>
        <v/>
      </c>
      <c r="S296" s="250" t="str">
        <f t="shared" si="5"/>
        <v/>
      </c>
      <c r="T296" s="254" t="str">
        <f>IFERROR(__xludf.DUMMYFUNCTION("""COMPUTED_VALUE"""),"")</f>
        <v/>
      </c>
      <c r="U296" s="246" t="str">
        <f>IFERROR(__xludf.DUMMYFUNCTION("""COMPUTED_VALUE"""),"")</f>
        <v/>
      </c>
      <c r="V296" s="247" t="str">
        <f t="shared" si="6"/>
        <v/>
      </c>
      <c r="W296" s="255" t="str">
        <f>IFERROR(__xludf.DUMMYFUNCTION("""COMPUTED_VALUE"""),"")</f>
        <v/>
      </c>
      <c r="X296" s="249" t="str">
        <f>IFERROR(__xludf.DUMMYFUNCTION("""COMPUTED_VALUE"""),"")</f>
        <v/>
      </c>
      <c r="Y296" s="250" t="str">
        <f t="shared" si="7"/>
        <v/>
      </c>
    </row>
    <row r="297">
      <c r="A297" s="136" t="s">
        <v>15</v>
      </c>
      <c r="B297" s="146">
        <v>46134.0</v>
      </c>
      <c r="C297" s="136" t="s">
        <v>45</v>
      </c>
      <c r="D297" s="136" t="s">
        <v>148</v>
      </c>
      <c r="E297" s="256" t="str">
        <f>IFERROR(__xludf.DUMMYFUNCTION("""COMPUTED_VALUE"""),"")</f>
        <v/>
      </c>
      <c r="F297" s="257" t="str">
        <f>IFERROR(__xludf.DUMMYFUNCTION("""COMPUTED_VALUE"""),"")</f>
        <v/>
      </c>
      <c r="G297" s="247" t="str">
        <f t="shared" si="1"/>
        <v/>
      </c>
      <c r="H297" s="258" t="str">
        <f>IFERROR(__xludf.DUMMYFUNCTION("""COMPUTED_VALUE"""),"")</f>
        <v/>
      </c>
      <c r="I297" s="259" t="str">
        <f>IFERROR(__xludf.DUMMYFUNCTION("""COMPUTED_VALUE"""),"")</f>
        <v/>
      </c>
      <c r="J297" s="250" t="str">
        <f t="shared" si="2"/>
        <v/>
      </c>
      <c r="K297" s="317" t="str">
        <f>IFERROR(__xludf.DUMMYFUNCTION("""COMPUTED_VALUE"""),"")</f>
        <v/>
      </c>
      <c r="L297" s="318" t="str">
        <f>IFERROR(__xludf.DUMMYFUNCTION("""COMPUTED_VALUE"""),"")</f>
        <v/>
      </c>
      <c r="M297" s="253" t="str">
        <f t="shared" si="3"/>
        <v/>
      </c>
      <c r="N297" s="319" t="str">
        <f>IFERROR(__xludf.DUMMYFUNCTION("""COMPUTED_VALUE"""),"")</f>
        <v/>
      </c>
      <c r="O297" s="257" t="str">
        <f>IFERROR(__xludf.DUMMYFUNCTION("""COMPUTED_VALUE"""),"")</f>
        <v/>
      </c>
      <c r="P297" s="247" t="str">
        <f t="shared" si="4"/>
        <v/>
      </c>
      <c r="Q297" s="320" t="str">
        <f>IFERROR(__xludf.DUMMYFUNCTION("""COMPUTED_VALUE"""),"")</f>
        <v/>
      </c>
      <c r="R297" s="259" t="str">
        <f>IFERROR(__xludf.DUMMYFUNCTION("""COMPUTED_VALUE"""),"")</f>
        <v/>
      </c>
      <c r="S297" s="250" t="str">
        <f t="shared" si="5"/>
        <v/>
      </c>
      <c r="T297" s="254" t="str">
        <f>IFERROR(__xludf.DUMMYFUNCTION("""COMPUTED_VALUE"""),"")</f>
        <v/>
      </c>
      <c r="U297" s="246" t="str">
        <f>IFERROR(__xludf.DUMMYFUNCTION("""COMPUTED_VALUE"""),"")</f>
        <v/>
      </c>
      <c r="V297" s="247" t="str">
        <f t="shared" si="6"/>
        <v/>
      </c>
      <c r="W297" s="255" t="str">
        <f>IFERROR(__xludf.DUMMYFUNCTION("""COMPUTED_VALUE"""),"")</f>
        <v/>
      </c>
      <c r="X297" s="249" t="str">
        <f>IFERROR(__xludf.DUMMYFUNCTION("""COMPUTED_VALUE"""),"")</f>
        <v/>
      </c>
      <c r="Y297" s="250" t="str">
        <f t="shared" si="7"/>
        <v/>
      </c>
    </row>
    <row r="298">
      <c r="A298" s="136" t="s">
        <v>18</v>
      </c>
      <c r="B298" s="146">
        <v>46134.0</v>
      </c>
      <c r="C298" s="136" t="s">
        <v>45</v>
      </c>
      <c r="D298" s="136" t="s">
        <v>148</v>
      </c>
      <c r="E298" s="256" t="str">
        <f>IFERROR(__xludf.DUMMYFUNCTION("""COMPUTED_VALUE"""),"")</f>
        <v/>
      </c>
      <c r="F298" s="257" t="str">
        <f>IFERROR(__xludf.DUMMYFUNCTION("""COMPUTED_VALUE"""),"")</f>
        <v/>
      </c>
      <c r="G298" s="247" t="str">
        <f t="shared" si="1"/>
        <v/>
      </c>
      <c r="H298" s="258" t="str">
        <f>IFERROR(__xludf.DUMMYFUNCTION("""COMPUTED_VALUE"""),"")</f>
        <v/>
      </c>
      <c r="I298" s="259" t="str">
        <f>IFERROR(__xludf.DUMMYFUNCTION("""COMPUTED_VALUE"""),"")</f>
        <v/>
      </c>
      <c r="J298" s="250" t="str">
        <f t="shared" si="2"/>
        <v/>
      </c>
      <c r="K298" s="317" t="str">
        <f>IFERROR(__xludf.DUMMYFUNCTION("""COMPUTED_VALUE"""),"")</f>
        <v/>
      </c>
      <c r="L298" s="318" t="str">
        <f>IFERROR(__xludf.DUMMYFUNCTION("""COMPUTED_VALUE"""),"")</f>
        <v/>
      </c>
      <c r="M298" s="253" t="str">
        <f t="shared" si="3"/>
        <v/>
      </c>
      <c r="N298" s="319" t="str">
        <f>IFERROR(__xludf.DUMMYFUNCTION("""COMPUTED_VALUE"""),"")</f>
        <v/>
      </c>
      <c r="O298" s="257" t="str">
        <f>IFERROR(__xludf.DUMMYFUNCTION("""COMPUTED_VALUE"""),"")</f>
        <v/>
      </c>
      <c r="P298" s="247" t="str">
        <f t="shared" si="4"/>
        <v/>
      </c>
      <c r="Q298" s="320" t="str">
        <f>IFERROR(__xludf.DUMMYFUNCTION("""COMPUTED_VALUE"""),"")</f>
        <v/>
      </c>
      <c r="R298" s="259" t="str">
        <f>IFERROR(__xludf.DUMMYFUNCTION("""COMPUTED_VALUE"""),"")</f>
        <v/>
      </c>
      <c r="S298" s="250" t="str">
        <f t="shared" si="5"/>
        <v/>
      </c>
      <c r="T298" s="254" t="str">
        <f>IFERROR(__xludf.DUMMYFUNCTION("""COMPUTED_VALUE"""),"")</f>
        <v/>
      </c>
      <c r="U298" s="246" t="str">
        <f>IFERROR(__xludf.DUMMYFUNCTION("""COMPUTED_VALUE"""),"")</f>
        <v/>
      </c>
      <c r="V298" s="247" t="str">
        <f t="shared" si="6"/>
        <v/>
      </c>
      <c r="W298" s="255" t="str">
        <f>IFERROR(__xludf.DUMMYFUNCTION("""COMPUTED_VALUE"""),"")</f>
        <v/>
      </c>
      <c r="X298" s="249" t="str">
        <f>IFERROR(__xludf.DUMMYFUNCTION("""COMPUTED_VALUE"""),"")</f>
        <v/>
      </c>
      <c r="Y298" s="250" t="str">
        <f t="shared" si="7"/>
        <v/>
      </c>
    </row>
    <row r="299">
      <c r="A299" s="136" t="s">
        <v>18</v>
      </c>
      <c r="B299" s="146">
        <v>46134.0</v>
      </c>
      <c r="C299" s="136" t="s">
        <v>45</v>
      </c>
      <c r="D299" s="136" t="s">
        <v>149</v>
      </c>
      <c r="E299" s="256">
        <f>IFERROR(__xludf.DUMMYFUNCTION("""COMPUTED_VALUE"""),91.0)</f>
        <v>91</v>
      </c>
      <c r="F299" s="257">
        <f>IFERROR(__xludf.DUMMYFUNCTION("""COMPUTED_VALUE"""),0.07986111111677019)</f>
        <v>0.07986111112</v>
      </c>
      <c r="G299" s="247">
        <f t="shared" si="1"/>
        <v>47.47826087</v>
      </c>
      <c r="H299" s="258">
        <f>IFERROR(__xludf.DUMMYFUNCTION("""COMPUTED_VALUE"""),193.0)</f>
        <v>193</v>
      </c>
      <c r="I299" s="259">
        <f>IFERROR(__xludf.DUMMYFUNCTION("""COMPUTED_VALUE"""),0.1930555555591127)</f>
        <v>0.1930555556</v>
      </c>
      <c r="J299" s="250">
        <f t="shared" si="2"/>
        <v>41.65467626</v>
      </c>
      <c r="K299" s="317">
        <f>IFERROR(__xludf.DUMMYFUNCTION("""COMPUTED_VALUE"""),0.0)</f>
        <v>0</v>
      </c>
      <c r="L299" s="318">
        <f>IFERROR(__xludf.DUMMYFUNCTION("""COMPUTED_VALUE"""),0.0)</f>
        <v>0</v>
      </c>
      <c r="M299" s="253" t="str">
        <f t="shared" si="3"/>
        <v/>
      </c>
      <c r="N299" s="319">
        <f>IFERROR(__xludf.DUMMYFUNCTION("""COMPUTED_VALUE"""),0.0)</f>
        <v>0</v>
      </c>
      <c r="O299" s="257">
        <f>IFERROR(__xludf.DUMMYFUNCTION("""COMPUTED_VALUE"""),0.0)</f>
        <v>0</v>
      </c>
      <c r="P299" s="247" t="str">
        <f t="shared" si="4"/>
        <v/>
      </c>
      <c r="Q299" s="320">
        <f>IFERROR(__xludf.DUMMYFUNCTION("""COMPUTED_VALUE"""),156.0)</f>
        <v>156</v>
      </c>
      <c r="R299" s="259">
        <f>IFERROR(__xludf.DUMMYFUNCTION("""COMPUTED_VALUE"""),0.16666666666424135)</f>
        <v>0.1666666667</v>
      </c>
      <c r="S299" s="250">
        <f t="shared" si="5"/>
        <v>39</v>
      </c>
      <c r="T299" s="254">
        <f>IFERROR(__xludf.DUMMYFUNCTION("""COMPUTED_VALUE"""),91.0)</f>
        <v>91</v>
      </c>
      <c r="U299" s="246">
        <f>IFERROR(__xludf.DUMMYFUNCTION("""COMPUTED_VALUE"""),0.07986111111677019)</f>
        <v>0.07986111112</v>
      </c>
      <c r="V299" s="247">
        <f t="shared" si="6"/>
        <v>47.47826087</v>
      </c>
      <c r="W299" s="255">
        <f>IFERROR(__xludf.DUMMYFUNCTION("""COMPUTED_VALUE"""),349.0)</f>
        <v>349</v>
      </c>
      <c r="X299" s="249">
        <f>IFERROR(__xludf.DUMMYFUNCTION("""COMPUTED_VALUE"""),0.35972222222335404)</f>
        <v>0.3597222222</v>
      </c>
      <c r="Y299" s="250">
        <f t="shared" si="7"/>
        <v>40.42471042</v>
      </c>
    </row>
    <row r="300">
      <c r="A300" s="136" t="s">
        <v>18</v>
      </c>
      <c r="B300" s="146">
        <v>46134.0</v>
      </c>
      <c r="C300" s="136" t="s">
        <v>45</v>
      </c>
      <c r="D300" s="136" t="s">
        <v>148</v>
      </c>
      <c r="E300" s="256" t="str">
        <f>IFERROR(__xludf.DUMMYFUNCTION("""COMPUTED_VALUE"""),"")</f>
        <v/>
      </c>
      <c r="F300" s="257" t="str">
        <f>IFERROR(__xludf.DUMMYFUNCTION("""COMPUTED_VALUE"""),"")</f>
        <v/>
      </c>
      <c r="G300" s="247" t="str">
        <f t="shared" si="1"/>
        <v/>
      </c>
      <c r="H300" s="258" t="str">
        <f>IFERROR(__xludf.DUMMYFUNCTION("""COMPUTED_VALUE"""),"")</f>
        <v/>
      </c>
      <c r="I300" s="259" t="str">
        <f>IFERROR(__xludf.DUMMYFUNCTION("""COMPUTED_VALUE"""),"")</f>
        <v/>
      </c>
      <c r="J300" s="250" t="str">
        <f t="shared" si="2"/>
        <v/>
      </c>
      <c r="K300" s="317" t="str">
        <f>IFERROR(__xludf.DUMMYFUNCTION("""COMPUTED_VALUE"""),"")</f>
        <v/>
      </c>
      <c r="L300" s="318" t="str">
        <f>IFERROR(__xludf.DUMMYFUNCTION("""COMPUTED_VALUE"""),"")</f>
        <v/>
      </c>
      <c r="M300" s="253" t="str">
        <f t="shared" si="3"/>
        <v/>
      </c>
      <c r="N300" s="319" t="str">
        <f>IFERROR(__xludf.DUMMYFUNCTION("""COMPUTED_VALUE"""),"")</f>
        <v/>
      </c>
      <c r="O300" s="257" t="str">
        <f>IFERROR(__xludf.DUMMYFUNCTION("""COMPUTED_VALUE"""),"")</f>
        <v/>
      </c>
      <c r="P300" s="247" t="str">
        <f t="shared" si="4"/>
        <v/>
      </c>
      <c r="Q300" s="320" t="str">
        <f>IFERROR(__xludf.DUMMYFUNCTION("""COMPUTED_VALUE"""),"")</f>
        <v/>
      </c>
      <c r="R300" s="259" t="str">
        <f>IFERROR(__xludf.DUMMYFUNCTION("""COMPUTED_VALUE"""),"")</f>
        <v/>
      </c>
      <c r="S300" s="250" t="str">
        <f t="shared" si="5"/>
        <v/>
      </c>
      <c r="T300" s="254" t="str">
        <f>IFERROR(__xludf.DUMMYFUNCTION("""COMPUTED_VALUE"""),"")</f>
        <v/>
      </c>
      <c r="U300" s="246" t="str">
        <f>IFERROR(__xludf.DUMMYFUNCTION("""COMPUTED_VALUE"""),"")</f>
        <v/>
      </c>
      <c r="V300" s="247" t="str">
        <f t="shared" si="6"/>
        <v/>
      </c>
      <c r="W300" s="255" t="str">
        <f>IFERROR(__xludf.DUMMYFUNCTION("""COMPUTED_VALUE"""),"")</f>
        <v/>
      </c>
      <c r="X300" s="249" t="str">
        <f>IFERROR(__xludf.DUMMYFUNCTION("""COMPUTED_VALUE"""),"")</f>
        <v/>
      </c>
      <c r="Y300" s="250" t="str">
        <f t="shared" si="7"/>
        <v/>
      </c>
    </row>
    <row r="301">
      <c r="A301" s="136" t="s">
        <v>134</v>
      </c>
      <c r="B301" s="146">
        <v>46135.0</v>
      </c>
      <c r="C301" s="136" t="s">
        <v>49</v>
      </c>
      <c r="D301" s="136" t="s">
        <v>149</v>
      </c>
      <c r="E301" s="256" t="str">
        <f>IFERROR(__xludf.DUMMYFUNCTION("""COMPUTED_VALUE"""),"")</f>
        <v/>
      </c>
      <c r="F301" s="257" t="str">
        <f>IFERROR(__xludf.DUMMYFUNCTION("""COMPUTED_VALUE"""),"")</f>
        <v/>
      </c>
      <c r="G301" s="247" t="str">
        <f t="shared" si="1"/>
        <v/>
      </c>
      <c r="H301" s="258" t="str">
        <f>IFERROR(__xludf.DUMMYFUNCTION("""COMPUTED_VALUE"""),"")</f>
        <v/>
      </c>
      <c r="I301" s="259" t="str">
        <f>IFERROR(__xludf.DUMMYFUNCTION("""COMPUTED_VALUE"""),"")</f>
        <v/>
      </c>
      <c r="J301" s="250" t="str">
        <f t="shared" si="2"/>
        <v/>
      </c>
      <c r="K301" s="317" t="str">
        <f>IFERROR(__xludf.DUMMYFUNCTION("""COMPUTED_VALUE"""),"")</f>
        <v/>
      </c>
      <c r="L301" s="318" t="str">
        <f>IFERROR(__xludf.DUMMYFUNCTION("""COMPUTED_VALUE"""),"")</f>
        <v/>
      </c>
      <c r="M301" s="253" t="str">
        <f t="shared" si="3"/>
        <v/>
      </c>
      <c r="N301" s="319" t="str">
        <f>IFERROR(__xludf.DUMMYFUNCTION("""COMPUTED_VALUE"""),"")</f>
        <v/>
      </c>
      <c r="O301" s="257" t="str">
        <f>IFERROR(__xludf.DUMMYFUNCTION("""COMPUTED_VALUE"""),"")</f>
        <v/>
      </c>
      <c r="P301" s="247" t="str">
        <f t="shared" si="4"/>
        <v/>
      </c>
      <c r="Q301" s="320" t="str">
        <f>IFERROR(__xludf.DUMMYFUNCTION("""COMPUTED_VALUE"""),"")</f>
        <v/>
      </c>
      <c r="R301" s="259" t="str">
        <f>IFERROR(__xludf.DUMMYFUNCTION("""COMPUTED_VALUE"""),"")</f>
        <v/>
      </c>
      <c r="S301" s="250" t="str">
        <f t="shared" si="5"/>
        <v/>
      </c>
      <c r="T301" s="254" t="str">
        <f>IFERROR(__xludf.DUMMYFUNCTION("""COMPUTED_VALUE"""),"")</f>
        <v/>
      </c>
      <c r="U301" s="246" t="str">
        <f>IFERROR(__xludf.DUMMYFUNCTION("""COMPUTED_VALUE"""),"")</f>
        <v/>
      </c>
      <c r="V301" s="247" t="str">
        <f t="shared" si="6"/>
        <v/>
      </c>
      <c r="W301" s="255" t="str">
        <f>IFERROR(__xludf.DUMMYFUNCTION("""COMPUTED_VALUE"""),"")</f>
        <v/>
      </c>
      <c r="X301" s="249" t="str">
        <f>IFERROR(__xludf.DUMMYFUNCTION("""COMPUTED_VALUE"""),"")</f>
        <v/>
      </c>
      <c r="Y301" s="250" t="str">
        <f t="shared" si="7"/>
        <v/>
      </c>
    </row>
    <row r="302">
      <c r="A302" s="136" t="s">
        <v>15</v>
      </c>
      <c r="B302" s="146">
        <v>46135.0</v>
      </c>
      <c r="C302" s="136" t="s">
        <v>49</v>
      </c>
      <c r="D302" s="136" t="s">
        <v>148</v>
      </c>
      <c r="E302" s="256" t="str">
        <f>IFERROR(__xludf.DUMMYFUNCTION("""COMPUTED_VALUE"""),"")</f>
        <v/>
      </c>
      <c r="F302" s="257" t="str">
        <f>IFERROR(__xludf.DUMMYFUNCTION("""COMPUTED_VALUE"""),"")</f>
        <v/>
      </c>
      <c r="G302" s="247" t="str">
        <f t="shared" si="1"/>
        <v/>
      </c>
      <c r="H302" s="258" t="str">
        <f>IFERROR(__xludf.DUMMYFUNCTION("""COMPUTED_VALUE"""),"")</f>
        <v/>
      </c>
      <c r="I302" s="259" t="str">
        <f>IFERROR(__xludf.DUMMYFUNCTION("""COMPUTED_VALUE"""),"")</f>
        <v/>
      </c>
      <c r="J302" s="250" t="str">
        <f t="shared" si="2"/>
        <v/>
      </c>
      <c r="K302" s="317" t="str">
        <f>IFERROR(__xludf.DUMMYFUNCTION("""COMPUTED_VALUE"""),"")</f>
        <v/>
      </c>
      <c r="L302" s="318" t="str">
        <f>IFERROR(__xludf.DUMMYFUNCTION("""COMPUTED_VALUE"""),"")</f>
        <v/>
      </c>
      <c r="M302" s="253" t="str">
        <f t="shared" si="3"/>
        <v/>
      </c>
      <c r="N302" s="319" t="str">
        <f>IFERROR(__xludf.DUMMYFUNCTION("""COMPUTED_VALUE"""),"")</f>
        <v/>
      </c>
      <c r="O302" s="257" t="str">
        <f>IFERROR(__xludf.DUMMYFUNCTION("""COMPUTED_VALUE"""),"")</f>
        <v/>
      </c>
      <c r="P302" s="247" t="str">
        <f t="shared" si="4"/>
        <v/>
      </c>
      <c r="Q302" s="320" t="str">
        <f>IFERROR(__xludf.DUMMYFUNCTION("""COMPUTED_VALUE"""),"")</f>
        <v/>
      </c>
      <c r="R302" s="259" t="str">
        <f>IFERROR(__xludf.DUMMYFUNCTION("""COMPUTED_VALUE"""),"")</f>
        <v/>
      </c>
      <c r="S302" s="250" t="str">
        <f t="shared" si="5"/>
        <v/>
      </c>
      <c r="T302" s="254" t="str">
        <f>IFERROR(__xludf.DUMMYFUNCTION("""COMPUTED_VALUE"""),"")</f>
        <v/>
      </c>
      <c r="U302" s="246" t="str">
        <f>IFERROR(__xludf.DUMMYFUNCTION("""COMPUTED_VALUE"""),"")</f>
        <v/>
      </c>
      <c r="V302" s="247" t="str">
        <f t="shared" si="6"/>
        <v/>
      </c>
      <c r="W302" s="255" t="str">
        <f>IFERROR(__xludf.DUMMYFUNCTION("""COMPUTED_VALUE"""),"")</f>
        <v/>
      </c>
      <c r="X302" s="249" t="str">
        <f>IFERROR(__xludf.DUMMYFUNCTION("""COMPUTED_VALUE"""),"")</f>
        <v/>
      </c>
      <c r="Y302" s="250" t="str">
        <f t="shared" si="7"/>
        <v/>
      </c>
    </row>
    <row r="303">
      <c r="A303" s="136" t="s">
        <v>15</v>
      </c>
      <c r="B303" s="146">
        <v>46135.0</v>
      </c>
      <c r="C303" s="136" t="s">
        <v>49</v>
      </c>
      <c r="D303" s="136" t="s">
        <v>149</v>
      </c>
      <c r="E303" s="256" t="str">
        <f>IFERROR(__xludf.DUMMYFUNCTION("""COMPUTED_VALUE"""),"")</f>
        <v/>
      </c>
      <c r="F303" s="257" t="str">
        <f>IFERROR(__xludf.DUMMYFUNCTION("""COMPUTED_VALUE"""),"")</f>
        <v/>
      </c>
      <c r="G303" s="247" t="str">
        <f t="shared" si="1"/>
        <v/>
      </c>
      <c r="H303" s="258" t="str">
        <f>IFERROR(__xludf.DUMMYFUNCTION("""COMPUTED_VALUE"""),"")</f>
        <v/>
      </c>
      <c r="I303" s="259" t="str">
        <f>IFERROR(__xludf.DUMMYFUNCTION("""COMPUTED_VALUE"""),"")</f>
        <v/>
      </c>
      <c r="J303" s="250" t="str">
        <f t="shared" si="2"/>
        <v/>
      </c>
      <c r="K303" s="317" t="str">
        <f>IFERROR(__xludf.DUMMYFUNCTION("""COMPUTED_VALUE"""),"")</f>
        <v/>
      </c>
      <c r="L303" s="318" t="str">
        <f>IFERROR(__xludf.DUMMYFUNCTION("""COMPUTED_VALUE"""),"")</f>
        <v/>
      </c>
      <c r="M303" s="253" t="str">
        <f t="shared" si="3"/>
        <v/>
      </c>
      <c r="N303" s="319" t="str">
        <f>IFERROR(__xludf.DUMMYFUNCTION("""COMPUTED_VALUE"""),"")</f>
        <v/>
      </c>
      <c r="O303" s="257" t="str">
        <f>IFERROR(__xludf.DUMMYFUNCTION("""COMPUTED_VALUE"""),"")</f>
        <v/>
      </c>
      <c r="P303" s="247" t="str">
        <f t="shared" si="4"/>
        <v/>
      </c>
      <c r="Q303" s="320" t="str">
        <f>IFERROR(__xludf.DUMMYFUNCTION("""COMPUTED_VALUE"""),"")</f>
        <v/>
      </c>
      <c r="R303" s="259" t="str">
        <f>IFERROR(__xludf.DUMMYFUNCTION("""COMPUTED_VALUE"""),"")</f>
        <v/>
      </c>
      <c r="S303" s="250" t="str">
        <f t="shared" si="5"/>
        <v/>
      </c>
      <c r="T303" s="254" t="str">
        <f>IFERROR(__xludf.DUMMYFUNCTION("""COMPUTED_VALUE"""),"")</f>
        <v/>
      </c>
      <c r="U303" s="246" t="str">
        <f>IFERROR(__xludf.DUMMYFUNCTION("""COMPUTED_VALUE"""),"")</f>
        <v/>
      </c>
      <c r="V303" s="247" t="str">
        <f t="shared" si="6"/>
        <v/>
      </c>
      <c r="W303" s="255" t="str">
        <f>IFERROR(__xludf.DUMMYFUNCTION("""COMPUTED_VALUE"""),"")</f>
        <v/>
      </c>
      <c r="X303" s="249" t="str">
        <f>IFERROR(__xludf.DUMMYFUNCTION("""COMPUTED_VALUE"""),"")</f>
        <v/>
      </c>
      <c r="Y303" s="250" t="str">
        <f t="shared" si="7"/>
        <v/>
      </c>
    </row>
    <row r="304">
      <c r="A304" s="136" t="s">
        <v>15</v>
      </c>
      <c r="B304" s="146">
        <v>46135.0</v>
      </c>
      <c r="C304" s="136" t="s">
        <v>49</v>
      </c>
      <c r="D304" s="136" t="s">
        <v>149</v>
      </c>
      <c r="E304" s="256">
        <f>IFERROR(__xludf.DUMMYFUNCTION("""COMPUTED_VALUE"""),73.0)</f>
        <v>73</v>
      </c>
      <c r="F304" s="257">
        <f>IFERROR(__xludf.DUMMYFUNCTION("""COMPUTED_VALUE"""),0.05208333333575865)</f>
        <v>0.05208333334</v>
      </c>
      <c r="G304" s="247">
        <f t="shared" si="1"/>
        <v>58.4</v>
      </c>
      <c r="H304" s="258">
        <f>IFERROR(__xludf.DUMMYFUNCTION("""COMPUTED_VALUE"""),108.0)</f>
        <v>108</v>
      </c>
      <c r="I304" s="259">
        <f>IFERROR(__xludf.DUMMYFUNCTION("""COMPUTED_VALUE"""),0.07291666666424135)</f>
        <v>0.07291666666</v>
      </c>
      <c r="J304" s="250">
        <f t="shared" si="2"/>
        <v>61.71428572</v>
      </c>
      <c r="K304" s="317">
        <f>IFERROR(__xludf.DUMMYFUNCTION("""COMPUTED_VALUE"""),0.0)</f>
        <v>0</v>
      </c>
      <c r="L304" s="318">
        <f>IFERROR(__xludf.DUMMYFUNCTION("""COMPUTED_VALUE"""),0.0)</f>
        <v>0</v>
      </c>
      <c r="M304" s="253" t="str">
        <f t="shared" si="3"/>
        <v/>
      </c>
      <c r="N304" s="319">
        <f>IFERROR(__xludf.DUMMYFUNCTION("""COMPUTED_VALUE"""),191.0)</f>
        <v>191</v>
      </c>
      <c r="O304" s="257">
        <f>IFERROR(__xludf.DUMMYFUNCTION("""COMPUTED_VALUE"""),0.1388888888832298)</f>
        <v>0.1388888889</v>
      </c>
      <c r="P304" s="247">
        <f t="shared" si="4"/>
        <v>57.3</v>
      </c>
      <c r="Q304" s="320">
        <f>IFERROR(__xludf.DUMMYFUNCTION("""COMPUTED_VALUE"""),144.0)</f>
        <v>144</v>
      </c>
      <c r="R304" s="259">
        <f>IFERROR(__xludf.DUMMYFUNCTION("""COMPUTED_VALUE"""),0.15972222221898846)</f>
        <v>0.1597222222</v>
      </c>
      <c r="S304" s="250">
        <f t="shared" si="5"/>
        <v>37.56521739</v>
      </c>
      <c r="T304" s="254">
        <f>IFERROR(__xludf.DUMMYFUNCTION("""COMPUTED_VALUE"""),264.0)</f>
        <v>264</v>
      </c>
      <c r="U304" s="246">
        <f>IFERROR(__xludf.DUMMYFUNCTION("""COMPUTED_VALUE"""),0.19097222221898846)</f>
        <v>0.1909722222</v>
      </c>
      <c r="V304" s="247">
        <f t="shared" si="6"/>
        <v>57.6</v>
      </c>
      <c r="W304" s="255">
        <f>IFERROR(__xludf.DUMMYFUNCTION("""COMPUTED_VALUE"""),252.0)</f>
        <v>252</v>
      </c>
      <c r="X304" s="249">
        <f>IFERROR(__xludf.DUMMYFUNCTION("""COMPUTED_VALUE"""),0.2326388888832298)</f>
        <v>0.2326388889</v>
      </c>
      <c r="Y304" s="250">
        <f t="shared" si="7"/>
        <v>45.13432836</v>
      </c>
    </row>
    <row r="305">
      <c r="A305" s="136" t="s">
        <v>18</v>
      </c>
      <c r="B305" s="146">
        <v>46135.0</v>
      </c>
      <c r="C305" s="136" t="s">
        <v>49</v>
      </c>
      <c r="D305" s="136" t="s">
        <v>148</v>
      </c>
      <c r="E305" s="256">
        <f>IFERROR(__xludf.DUMMYFUNCTION("""COMPUTED_VALUE"""),296.0)</f>
        <v>296</v>
      </c>
      <c r="F305" s="257">
        <f>IFERROR(__xludf.DUMMYFUNCTION("""COMPUTED_VALUE"""),0.13194444443797693)</f>
        <v>0.1319444444</v>
      </c>
      <c r="G305" s="247">
        <f t="shared" si="1"/>
        <v>93.47368422</v>
      </c>
      <c r="H305" s="258">
        <f>IFERROR(__xludf.DUMMYFUNCTION("""COMPUTED_VALUE"""),0.0)</f>
        <v>0</v>
      </c>
      <c r="I305" s="259">
        <f>IFERROR(__xludf.DUMMYFUNCTION("""COMPUTED_VALUE"""),0.0)</f>
        <v>0</v>
      </c>
      <c r="J305" s="250" t="str">
        <f t="shared" si="2"/>
        <v/>
      </c>
      <c r="K305" s="317">
        <f>IFERROR(__xludf.DUMMYFUNCTION("""COMPUTED_VALUE"""),0.0)</f>
        <v>0</v>
      </c>
      <c r="L305" s="318">
        <f>IFERROR(__xludf.DUMMYFUNCTION("""COMPUTED_VALUE"""),0.0)</f>
        <v>0</v>
      </c>
      <c r="M305" s="253" t="str">
        <f t="shared" si="3"/>
        <v/>
      </c>
      <c r="N305" s="319">
        <f>IFERROR(__xludf.DUMMYFUNCTION("""COMPUTED_VALUE"""),0.0)</f>
        <v>0</v>
      </c>
      <c r="O305" s="257">
        <f>IFERROR(__xludf.DUMMYFUNCTION("""COMPUTED_VALUE"""),0.0)</f>
        <v>0</v>
      </c>
      <c r="P305" s="247" t="str">
        <f t="shared" si="4"/>
        <v/>
      </c>
      <c r="Q305" s="320">
        <f>IFERROR(__xludf.DUMMYFUNCTION("""COMPUTED_VALUE"""),86.0)</f>
        <v>86</v>
      </c>
      <c r="R305" s="259">
        <f>IFERROR(__xludf.DUMMYFUNCTION("""COMPUTED_VALUE"""),0.09027777778101154)</f>
        <v>0.09027777778</v>
      </c>
      <c r="S305" s="250">
        <f t="shared" si="5"/>
        <v>39.69230769</v>
      </c>
      <c r="T305" s="254">
        <f>IFERROR(__xludf.DUMMYFUNCTION("""COMPUTED_VALUE"""),296.0)</f>
        <v>296</v>
      </c>
      <c r="U305" s="246">
        <f>IFERROR(__xludf.DUMMYFUNCTION("""COMPUTED_VALUE"""),0.13194444443797693)</f>
        <v>0.1319444444</v>
      </c>
      <c r="V305" s="247">
        <f t="shared" si="6"/>
        <v>93.47368422</v>
      </c>
      <c r="W305" s="255">
        <f>IFERROR(__xludf.DUMMYFUNCTION("""COMPUTED_VALUE"""),86.0)</f>
        <v>86</v>
      </c>
      <c r="X305" s="249">
        <f>IFERROR(__xludf.DUMMYFUNCTION("""COMPUTED_VALUE"""),0.09027777778101154)</f>
        <v>0.09027777778</v>
      </c>
      <c r="Y305" s="250">
        <f t="shared" si="7"/>
        <v>39.69230769</v>
      </c>
    </row>
    <row r="306">
      <c r="A306" s="136" t="s">
        <v>18</v>
      </c>
      <c r="B306" s="146">
        <v>46133.0</v>
      </c>
      <c r="C306" s="136" t="s">
        <v>41</v>
      </c>
      <c r="D306" s="136" t="s">
        <v>149</v>
      </c>
      <c r="E306" s="256">
        <f>IFERROR(__xludf.DUMMYFUNCTION("""COMPUTED_VALUE"""),73.0)</f>
        <v>73</v>
      </c>
      <c r="F306" s="257">
        <f>IFERROR(__xludf.DUMMYFUNCTION("""COMPUTED_VALUE"""),0.05208333333575865)</f>
        <v>0.05208333334</v>
      </c>
      <c r="G306" s="247">
        <f t="shared" si="1"/>
        <v>58.4</v>
      </c>
      <c r="H306" s="258">
        <f>IFERROR(__xludf.DUMMYFUNCTION("""COMPUTED_VALUE"""),108.0)</f>
        <v>108</v>
      </c>
      <c r="I306" s="259">
        <f>IFERROR(__xludf.DUMMYFUNCTION("""COMPUTED_VALUE"""),0.07291666666424135)</f>
        <v>0.07291666666</v>
      </c>
      <c r="J306" s="250">
        <f t="shared" si="2"/>
        <v>61.71428572</v>
      </c>
      <c r="K306" s="317">
        <f>IFERROR(__xludf.DUMMYFUNCTION("""COMPUTED_VALUE"""),0.0)</f>
        <v>0</v>
      </c>
      <c r="L306" s="318">
        <f>IFERROR(__xludf.DUMMYFUNCTION("""COMPUTED_VALUE"""),0.0)</f>
        <v>0</v>
      </c>
      <c r="M306" s="253" t="str">
        <f t="shared" si="3"/>
        <v/>
      </c>
      <c r="N306" s="319">
        <f>IFERROR(__xludf.DUMMYFUNCTION("""COMPUTED_VALUE"""),191.0)</f>
        <v>191</v>
      </c>
      <c r="O306" s="257">
        <f>IFERROR(__xludf.DUMMYFUNCTION("""COMPUTED_VALUE"""),0.1388888888832298)</f>
        <v>0.1388888889</v>
      </c>
      <c r="P306" s="247">
        <f t="shared" si="4"/>
        <v>57.3</v>
      </c>
      <c r="Q306" s="320">
        <f>IFERROR(__xludf.DUMMYFUNCTION("""COMPUTED_VALUE"""),144.0)</f>
        <v>144</v>
      </c>
      <c r="R306" s="259">
        <f>IFERROR(__xludf.DUMMYFUNCTION("""COMPUTED_VALUE"""),0.15972222221898846)</f>
        <v>0.1597222222</v>
      </c>
      <c r="S306" s="250">
        <f t="shared" si="5"/>
        <v>37.56521739</v>
      </c>
      <c r="T306" s="254">
        <f>IFERROR(__xludf.DUMMYFUNCTION("""COMPUTED_VALUE"""),264.0)</f>
        <v>264</v>
      </c>
      <c r="U306" s="246">
        <f>IFERROR(__xludf.DUMMYFUNCTION("""COMPUTED_VALUE"""),0.19097222221898846)</f>
        <v>0.1909722222</v>
      </c>
      <c r="V306" s="247">
        <f t="shared" si="6"/>
        <v>57.6</v>
      </c>
      <c r="W306" s="255">
        <f>IFERROR(__xludf.DUMMYFUNCTION("""COMPUTED_VALUE"""),252.0)</f>
        <v>252</v>
      </c>
      <c r="X306" s="249">
        <f>IFERROR(__xludf.DUMMYFUNCTION("""COMPUTED_VALUE"""),0.2326388888832298)</f>
        <v>0.2326388889</v>
      </c>
      <c r="Y306" s="250">
        <f t="shared" si="7"/>
        <v>45.13432836</v>
      </c>
    </row>
    <row r="307">
      <c r="A307" s="136" t="s">
        <v>18</v>
      </c>
      <c r="B307" s="146">
        <v>46135.0</v>
      </c>
      <c r="C307" s="136" t="s">
        <v>49</v>
      </c>
      <c r="D307" s="136" t="s">
        <v>149</v>
      </c>
      <c r="E307" s="256" t="str">
        <f>IFERROR(__xludf.DUMMYFUNCTION("""COMPUTED_VALUE"""),"")</f>
        <v/>
      </c>
      <c r="F307" s="257" t="str">
        <f>IFERROR(__xludf.DUMMYFUNCTION("""COMPUTED_VALUE"""),"")</f>
        <v/>
      </c>
      <c r="G307" s="247" t="str">
        <f t="shared" si="1"/>
        <v/>
      </c>
      <c r="H307" s="258" t="str">
        <f>IFERROR(__xludf.DUMMYFUNCTION("""COMPUTED_VALUE"""),"")</f>
        <v/>
      </c>
      <c r="I307" s="259" t="str">
        <f>IFERROR(__xludf.DUMMYFUNCTION("""COMPUTED_VALUE"""),"")</f>
        <v/>
      </c>
      <c r="J307" s="250" t="str">
        <f t="shared" si="2"/>
        <v/>
      </c>
      <c r="K307" s="317" t="str">
        <f>IFERROR(__xludf.DUMMYFUNCTION("""COMPUTED_VALUE"""),"")</f>
        <v/>
      </c>
      <c r="L307" s="318" t="str">
        <f>IFERROR(__xludf.DUMMYFUNCTION("""COMPUTED_VALUE"""),"")</f>
        <v/>
      </c>
      <c r="M307" s="253" t="str">
        <f t="shared" si="3"/>
        <v/>
      </c>
      <c r="N307" s="319" t="str">
        <f>IFERROR(__xludf.DUMMYFUNCTION("""COMPUTED_VALUE"""),"")</f>
        <v/>
      </c>
      <c r="O307" s="257" t="str">
        <f>IFERROR(__xludf.DUMMYFUNCTION("""COMPUTED_VALUE"""),"")</f>
        <v/>
      </c>
      <c r="P307" s="247" t="str">
        <f t="shared" si="4"/>
        <v/>
      </c>
      <c r="Q307" s="320" t="str">
        <f>IFERROR(__xludf.DUMMYFUNCTION("""COMPUTED_VALUE"""),"")</f>
        <v/>
      </c>
      <c r="R307" s="259" t="str">
        <f>IFERROR(__xludf.DUMMYFUNCTION("""COMPUTED_VALUE"""),"")</f>
        <v/>
      </c>
      <c r="S307" s="250" t="str">
        <f t="shared" si="5"/>
        <v/>
      </c>
      <c r="T307" s="254" t="str">
        <f>IFERROR(__xludf.DUMMYFUNCTION("""COMPUTED_VALUE"""),"")</f>
        <v/>
      </c>
      <c r="U307" s="246" t="str">
        <f>IFERROR(__xludf.DUMMYFUNCTION("""COMPUTED_VALUE"""),"")</f>
        <v/>
      </c>
      <c r="V307" s="247" t="str">
        <f t="shared" si="6"/>
        <v/>
      </c>
      <c r="W307" s="255" t="str">
        <f>IFERROR(__xludf.DUMMYFUNCTION("""COMPUTED_VALUE"""),"")</f>
        <v/>
      </c>
      <c r="X307" s="249" t="str">
        <f>IFERROR(__xludf.DUMMYFUNCTION("""COMPUTED_VALUE"""),"")</f>
        <v/>
      </c>
      <c r="Y307" s="250" t="str">
        <f t="shared" si="7"/>
        <v/>
      </c>
    </row>
    <row r="308">
      <c r="A308" s="136" t="s">
        <v>12</v>
      </c>
      <c r="B308" s="146">
        <v>46136.0</v>
      </c>
      <c r="C308" s="136" t="s">
        <v>53</v>
      </c>
      <c r="D308" s="136" t="s">
        <v>149</v>
      </c>
      <c r="E308" s="256" t="str">
        <f>IFERROR(__xludf.DUMMYFUNCTION("""COMPUTED_VALUE"""),"")</f>
        <v/>
      </c>
      <c r="F308" s="257" t="str">
        <f>IFERROR(__xludf.DUMMYFUNCTION("""COMPUTED_VALUE"""),"")</f>
        <v/>
      </c>
      <c r="G308" s="247" t="str">
        <f t="shared" si="1"/>
        <v/>
      </c>
      <c r="H308" s="258" t="str">
        <f>IFERROR(__xludf.DUMMYFUNCTION("""COMPUTED_VALUE"""),"")</f>
        <v/>
      </c>
      <c r="I308" s="259" t="str">
        <f>IFERROR(__xludf.DUMMYFUNCTION("""COMPUTED_VALUE"""),"")</f>
        <v/>
      </c>
      <c r="J308" s="250" t="str">
        <f t="shared" si="2"/>
        <v/>
      </c>
      <c r="K308" s="317" t="str">
        <f>IFERROR(__xludf.DUMMYFUNCTION("""COMPUTED_VALUE"""),"")</f>
        <v/>
      </c>
      <c r="L308" s="318" t="str">
        <f>IFERROR(__xludf.DUMMYFUNCTION("""COMPUTED_VALUE"""),"")</f>
        <v/>
      </c>
      <c r="M308" s="253" t="str">
        <f t="shared" si="3"/>
        <v/>
      </c>
      <c r="N308" s="319" t="str">
        <f>IFERROR(__xludf.DUMMYFUNCTION("""COMPUTED_VALUE"""),"")</f>
        <v/>
      </c>
      <c r="O308" s="257" t="str">
        <f>IFERROR(__xludf.DUMMYFUNCTION("""COMPUTED_VALUE"""),"")</f>
        <v/>
      </c>
      <c r="P308" s="247" t="str">
        <f t="shared" si="4"/>
        <v/>
      </c>
      <c r="Q308" s="320" t="str">
        <f>IFERROR(__xludf.DUMMYFUNCTION("""COMPUTED_VALUE"""),"")</f>
        <v/>
      </c>
      <c r="R308" s="259" t="str">
        <f>IFERROR(__xludf.DUMMYFUNCTION("""COMPUTED_VALUE"""),"")</f>
        <v/>
      </c>
      <c r="S308" s="250" t="str">
        <f t="shared" si="5"/>
        <v/>
      </c>
      <c r="T308" s="254" t="str">
        <f>IFERROR(__xludf.DUMMYFUNCTION("""COMPUTED_VALUE"""),"")</f>
        <v/>
      </c>
      <c r="U308" s="246" t="str">
        <f>IFERROR(__xludf.DUMMYFUNCTION("""COMPUTED_VALUE"""),"")</f>
        <v/>
      </c>
      <c r="V308" s="247" t="str">
        <f t="shared" si="6"/>
        <v/>
      </c>
      <c r="W308" s="255" t="str">
        <f>IFERROR(__xludf.DUMMYFUNCTION("""COMPUTED_VALUE"""),"")</f>
        <v/>
      </c>
      <c r="X308" s="249" t="str">
        <f>IFERROR(__xludf.DUMMYFUNCTION("""COMPUTED_VALUE"""),"")</f>
        <v/>
      </c>
      <c r="Y308" s="250" t="str">
        <f t="shared" si="7"/>
        <v/>
      </c>
    </row>
    <row r="309">
      <c r="A309" s="136" t="s">
        <v>15</v>
      </c>
      <c r="B309" s="146">
        <v>46136.0</v>
      </c>
      <c r="C309" s="136" t="s">
        <v>53</v>
      </c>
      <c r="D309" s="136" t="s">
        <v>149</v>
      </c>
      <c r="E309" s="256" t="str">
        <f>IFERROR(__xludf.DUMMYFUNCTION("""COMPUTED_VALUE"""),"")</f>
        <v/>
      </c>
      <c r="F309" s="257" t="str">
        <f>IFERROR(__xludf.DUMMYFUNCTION("""COMPUTED_VALUE"""),"")</f>
        <v/>
      </c>
      <c r="G309" s="247" t="str">
        <f t="shared" si="1"/>
        <v/>
      </c>
      <c r="H309" s="258" t="str">
        <f>IFERROR(__xludf.DUMMYFUNCTION("""COMPUTED_VALUE"""),"")</f>
        <v/>
      </c>
      <c r="I309" s="259" t="str">
        <f>IFERROR(__xludf.DUMMYFUNCTION("""COMPUTED_VALUE"""),"")</f>
        <v/>
      </c>
      <c r="J309" s="250" t="str">
        <f t="shared" si="2"/>
        <v/>
      </c>
      <c r="K309" s="317" t="str">
        <f>IFERROR(__xludf.DUMMYFUNCTION("""COMPUTED_VALUE"""),"")</f>
        <v/>
      </c>
      <c r="L309" s="318" t="str">
        <f>IFERROR(__xludf.DUMMYFUNCTION("""COMPUTED_VALUE"""),"")</f>
        <v/>
      </c>
      <c r="M309" s="253" t="str">
        <f t="shared" si="3"/>
        <v/>
      </c>
      <c r="N309" s="319" t="str">
        <f>IFERROR(__xludf.DUMMYFUNCTION("""COMPUTED_VALUE"""),"")</f>
        <v/>
      </c>
      <c r="O309" s="257" t="str">
        <f>IFERROR(__xludf.DUMMYFUNCTION("""COMPUTED_VALUE"""),"")</f>
        <v/>
      </c>
      <c r="P309" s="247" t="str">
        <f t="shared" si="4"/>
        <v/>
      </c>
      <c r="Q309" s="320" t="str">
        <f>IFERROR(__xludf.DUMMYFUNCTION("""COMPUTED_VALUE"""),"")</f>
        <v/>
      </c>
      <c r="R309" s="259" t="str">
        <f>IFERROR(__xludf.DUMMYFUNCTION("""COMPUTED_VALUE"""),"")</f>
        <v/>
      </c>
      <c r="S309" s="250" t="str">
        <f t="shared" si="5"/>
        <v/>
      </c>
      <c r="T309" s="254" t="str">
        <f>IFERROR(__xludf.DUMMYFUNCTION("""COMPUTED_VALUE"""),"")</f>
        <v/>
      </c>
      <c r="U309" s="246" t="str">
        <f>IFERROR(__xludf.DUMMYFUNCTION("""COMPUTED_VALUE"""),"")</f>
        <v/>
      </c>
      <c r="V309" s="247" t="str">
        <f t="shared" si="6"/>
        <v/>
      </c>
      <c r="W309" s="255" t="str">
        <f>IFERROR(__xludf.DUMMYFUNCTION("""COMPUTED_VALUE"""),"")</f>
        <v/>
      </c>
      <c r="X309" s="249" t="str">
        <f>IFERROR(__xludf.DUMMYFUNCTION("""COMPUTED_VALUE"""),"")</f>
        <v/>
      </c>
      <c r="Y309" s="250" t="str">
        <f t="shared" si="7"/>
        <v/>
      </c>
    </row>
    <row r="310">
      <c r="A310" s="136" t="s">
        <v>18</v>
      </c>
      <c r="B310" s="146">
        <v>46136.0</v>
      </c>
      <c r="C310" s="136" t="s">
        <v>53</v>
      </c>
      <c r="D310" s="136" t="s">
        <v>148</v>
      </c>
      <c r="E310" s="256">
        <f>IFERROR(__xludf.DUMMYFUNCTION("""COMPUTED_VALUE"""),226.0)</f>
        <v>226</v>
      </c>
      <c r="F310" s="257">
        <f>IFERROR(__xludf.DUMMYFUNCTION("""COMPUTED_VALUE"""),0.14097222222335404)</f>
        <v>0.1409722222</v>
      </c>
      <c r="G310" s="247">
        <f t="shared" si="1"/>
        <v>66.79802956</v>
      </c>
      <c r="H310" s="258">
        <f>IFERROR(__xludf.DUMMYFUNCTION("""COMPUTED_VALUE"""),91.0)</f>
        <v>91</v>
      </c>
      <c r="I310" s="259">
        <f>IFERROR(__xludf.DUMMYFUNCTION("""COMPUTED_VALUE"""),0.08333333333575865)</f>
        <v>0.08333333334</v>
      </c>
      <c r="J310" s="250">
        <f t="shared" si="2"/>
        <v>45.5</v>
      </c>
      <c r="K310" s="317">
        <f>IFERROR(__xludf.DUMMYFUNCTION("""COMPUTED_VALUE"""),63.0)</f>
        <v>63</v>
      </c>
      <c r="L310" s="318">
        <f>IFERROR(__xludf.DUMMYFUNCTION("""COMPUTED_VALUE"""),0.0625)</f>
        <v>0.0625</v>
      </c>
      <c r="M310" s="253">
        <f t="shared" si="3"/>
        <v>42</v>
      </c>
      <c r="N310" s="319">
        <f>IFERROR(__xludf.DUMMYFUNCTION("""COMPUTED_VALUE"""),34.0)</f>
        <v>34</v>
      </c>
      <c r="O310" s="257">
        <f>IFERROR(__xludf.DUMMYFUNCTION("""COMPUTED_VALUE"""),0.0625)</f>
        <v>0.0625</v>
      </c>
      <c r="P310" s="247">
        <f t="shared" si="4"/>
        <v>22.66666667</v>
      </c>
      <c r="Q310" s="320">
        <f>IFERROR(__xludf.DUMMYFUNCTION("""COMPUTED_VALUE"""),0.0)</f>
        <v>0</v>
      </c>
      <c r="R310" s="259">
        <f>IFERROR(__xludf.DUMMYFUNCTION("""COMPUTED_VALUE"""),0.0)</f>
        <v>0</v>
      </c>
      <c r="S310" s="250" t="str">
        <f t="shared" si="5"/>
        <v/>
      </c>
      <c r="T310" s="254">
        <f>IFERROR(__xludf.DUMMYFUNCTION("""COMPUTED_VALUE"""),260.0)</f>
        <v>260</v>
      </c>
      <c r="U310" s="246">
        <f>IFERROR(__xludf.DUMMYFUNCTION("""COMPUTED_VALUE"""),0.20347222222335404)</f>
        <v>0.2034722222</v>
      </c>
      <c r="V310" s="247">
        <f t="shared" si="6"/>
        <v>53.24232082</v>
      </c>
      <c r="W310" s="255">
        <f>IFERROR(__xludf.DUMMYFUNCTION("""COMPUTED_VALUE"""),91.0)</f>
        <v>91</v>
      </c>
      <c r="X310" s="249">
        <f>IFERROR(__xludf.DUMMYFUNCTION("""COMPUTED_VALUE"""),0.08333333333575865)</f>
        <v>0.08333333334</v>
      </c>
      <c r="Y310" s="250">
        <f t="shared" si="7"/>
        <v>45.5</v>
      </c>
    </row>
    <row r="311">
      <c r="A311" s="136" t="s">
        <v>15</v>
      </c>
      <c r="B311" s="146">
        <v>46136.0</v>
      </c>
      <c r="C311" s="136" t="s">
        <v>53</v>
      </c>
      <c r="D311" s="136" t="s">
        <v>148</v>
      </c>
      <c r="E311" s="256" t="str">
        <f>IFERROR(__xludf.DUMMYFUNCTION("""COMPUTED_VALUE"""),"")</f>
        <v/>
      </c>
      <c r="F311" s="257" t="str">
        <f>IFERROR(__xludf.DUMMYFUNCTION("""COMPUTED_VALUE"""),"")</f>
        <v/>
      </c>
      <c r="G311" s="247" t="str">
        <f t="shared" si="1"/>
        <v/>
      </c>
      <c r="H311" s="258" t="str">
        <f>IFERROR(__xludf.DUMMYFUNCTION("""COMPUTED_VALUE"""),"")</f>
        <v/>
      </c>
      <c r="I311" s="259" t="str">
        <f>IFERROR(__xludf.DUMMYFUNCTION("""COMPUTED_VALUE"""),"")</f>
        <v/>
      </c>
      <c r="J311" s="250" t="str">
        <f t="shared" si="2"/>
        <v/>
      </c>
      <c r="K311" s="317" t="str">
        <f>IFERROR(__xludf.DUMMYFUNCTION("""COMPUTED_VALUE"""),"")</f>
        <v/>
      </c>
      <c r="L311" s="318" t="str">
        <f>IFERROR(__xludf.DUMMYFUNCTION("""COMPUTED_VALUE"""),"")</f>
        <v/>
      </c>
      <c r="M311" s="253" t="str">
        <f t="shared" si="3"/>
        <v/>
      </c>
      <c r="N311" s="319" t="str">
        <f>IFERROR(__xludf.DUMMYFUNCTION("""COMPUTED_VALUE"""),"")</f>
        <v/>
      </c>
      <c r="O311" s="257" t="str">
        <f>IFERROR(__xludf.DUMMYFUNCTION("""COMPUTED_VALUE"""),"")</f>
        <v/>
      </c>
      <c r="P311" s="247" t="str">
        <f t="shared" si="4"/>
        <v/>
      </c>
      <c r="Q311" s="320" t="str">
        <f>IFERROR(__xludf.DUMMYFUNCTION("""COMPUTED_VALUE"""),"")</f>
        <v/>
      </c>
      <c r="R311" s="259" t="str">
        <f>IFERROR(__xludf.DUMMYFUNCTION("""COMPUTED_VALUE"""),"")</f>
        <v/>
      </c>
      <c r="S311" s="250" t="str">
        <f t="shared" si="5"/>
        <v/>
      </c>
      <c r="T311" s="254" t="str">
        <f>IFERROR(__xludf.DUMMYFUNCTION("""COMPUTED_VALUE"""),"")</f>
        <v/>
      </c>
      <c r="U311" s="246" t="str">
        <f>IFERROR(__xludf.DUMMYFUNCTION("""COMPUTED_VALUE"""),"")</f>
        <v/>
      </c>
      <c r="V311" s="247" t="str">
        <f t="shared" si="6"/>
        <v/>
      </c>
      <c r="W311" s="255" t="str">
        <f>IFERROR(__xludf.DUMMYFUNCTION("""COMPUTED_VALUE"""),"")</f>
        <v/>
      </c>
      <c r="X311" s="249" t="str">
        <f>IFERROR(__xludf.DUMMYFUNCTION("""COMPUTED_VALUE"""),"")</f>
        <v/>
      </c>
      <c r="Y311" s="250" t="str">
        <f t="shared" si="7"/>
        <v/>
      </c>
    </row>
    <row r="312">
      <c r="A312" s="136" t="s">
        <v>12</v>
      </c>
      <c r="B312" s="146">
        <v>46139.0</v>
      </c>
      <c r="C312" s="136" t="s">
        <v>37</v>
      </c>
      <c r="D312" s="136" t="s">
        <v>149</v>
      </c>
      <c r="E312" s="256" t="str">
        <f>IFERROR(__xludf.DUMMYFUNCTION("""COMPUTED_VALUE"""),"")</f>
        <v/>
      </c>
      <c r="F312" s="257" t="str">
        <f>IFERROR(__xludf.DUMMYFUNCTION("""COMPUTED_VALUE"""),"")</f>
        <v/>
      </c>
      <c r="G312" s="247" t="str">
        <f t="shared" si="1"/>
        <v/>
      </c>
      <c r="H312" s="258" t="str">
        <f>IFERROR(__xludf.DUMMYFUNCTION("""COMPUTED_VALUE"""),"")</f>
        <v/>
      </c>
      <c r="I312" s="259" t="str">
        <f>IFERROR(__xludf.DUMMYFUNCTION("""COMPUTED_VALUE"""),"")</f>
        <v/>
      </c>
      <c r="J312" s="250" t="str">
        <f t="shared" si="2"/>
        <v/>
      </c>
      <c r="K312" s="317" t="str">
        <f>IFERROR(__xludf.DUMMYFUNCTION("""COMPUTED_VALUE"""),"")</f>
        <v/>
      </c>
      <c r="L312" s="318" t="str">
        <f>IFERROR(__xludf.DUMMYFUNCTION("""COMPUTED_VALUE"""),"")</f>
        <v/>
      </c>
      <c r="M312" s="253" t="str">
        <f t="shared" si="3"/>
        <v/>
      </c>
      <c r="N312" s="319" t="str">
        <f>IFERROR(__xludf.DUMMYFUNCTION("""COMPUTED_VALUE"""),"")</f>
        <v/>
      </c>
      <c r="O312" s="257" t="str">
        <f>IFERROR(__xludf.DUMMYFUNCTION("""COMPUTED_VALUE"""),"")</f>
        <v/>
      </c>
      <c r="P312" s="247" t="str">
        <f t="shared" si="4"/>
        <v/>
      </c>
      <c r="Q312" s="320" t="str">
        <f>IFERROR(__xludf.DUMMYFUNCTION("""COMPUTED_VALUE"""),"")</f>
        <v/>
      </c>
      <c r="R312" s="259" t="str">
        <f>IFERROR(__xludf.DUMMYFUNCTION("""COMPUTED_VALUE"""),"")</f>
        <v/>
      </c>
      <c r="S312" s="250" t="str">
        <f t="shared" si="5"/>
        <v/>
      </c>
      <c r="T312" s="254" t="str">
        <f>IFERROR(__xludf.DUMMYFUNCTION("""COMPUTED_VALUE"""),"")</f>
        <v/>
      </c>
      <c r="U312" s="246" t="str">
        <f>IFERROR(__xludf.DUMMYFUNCTION("""COMPUTED_VALUE"""),"")</f>
        <v/>
      </c>
      <c r="V312" s="247" t="str">
        <f t="shared" si="6"/>
        <v/>
      </c>
      <c r="W312" s="255" t="str">
        <f>IFERROR(__xludf.DUMMYFUNCTION("""COMPUTED_VALUE"""),"")</f>
        <v/>
      </c>
      <c r="X312" s="249" t="str">
        <f>IFERROR(__xludf.DUMMYFUNCTION("""COMPUTED_VALUE"""),"")</f>
        <v/>
      </c>
      <c r="Y312" s="250" t="str">
        <f t="shared" si="7"/>
        <v/>
      </c>
    </row>
    <row r="313">
      <c r="A313" s="136" t="s">
        <v>15</v>
      </c>
      <c r="B313" s="146">
        <v>46139.0</v>
      </c>
      <c r="C313" s="136" t="s">
        <v>37</v>
      </c>
      <c r="D313" s="136" t="s">
        <v>149</v>
      </c>
      <c r="E313" s="256" t="str">
        <f>IFERROR(__xludf.DUMMYFUNCTION("""COMPUTED_VALUE"""),"")</f>
        <v/>
      </c>
      <c r="F313" s="257" t="str">
        <f>IFERROR(__xludf.DUMMYFUNCTION("""COMPUTED_VALUE"""),"")</f>
        <v/>
      </c>
      <c r="G313" s="247" t="str">
        <f t="shared" si="1"/>
        <v/>
      </c>
      <c r="H313" s="258" t="str">
        <f>IFERROR(__xludf.DUMMYFUNCTION("""COMPUTED_VALUE"""),"")</f>
        <v/>
      </c>
      <c r="I313" s="259" t="str">
        <f>IFERROR(__xludf.DUMMYFUNCTION("""COMPUTED_VALUE"""),"")</f>
        <v/>
      </c>
      <c r="J313" s="250" t="str">
        <f t="shared" si="2"/>
        <v/>
      </c>
      <c r="K313" s="317" t="str">
        <f>IFERROR(__xludf.DUMMYFUNCTION("""COMPUTED_VALUE"""),"")</f>
        <v/>
      </c>
      <c r="L313" s="318" t="str">
        <f>IFERROR(__xludf.DUMMYFUNCTION("""COMPUTED_VALUE"""),"")</f>
        <v/>
      </c>
      <c r="M313" s="253" t="str">
        <f t="shared" si="3"/>
        <v/>
      </c>
      <c r="N313" s="319" t="str">
        <f>IFERROR(__xludf.DUMMYFUNCTION("""COMPUTED_VALUE"""),"")</f>
        <v/>
      </c>
      <c r="O313" s="257" t="str">
        <f>IFERROR(__xludf.DUMMYFUNCTION("""COMPUTED_VALUE"""),"")</f>
        <v/>
      </c>
      <c r="P313" s="247" t="str">
        <f t="shared" si="4"/>
        <v/>
      </c>
      <c r="Q313" s="320" t="str">
        <f>IFERROR(__xludf.DUMMYFUNCTION("""COMPUTED_VALUE"""),"")</f>
        <v/>
      </c>
      <c r="R313" s="259" t="str">
        <f>IFERROR(__xludf.DUMMYFUNCTION("""COMPUTED_VALUE"""),"")</f>
        <v/>
      </c>
      <c r="S313" s="250" t="str">
        <f t="shared" si="5"/>
        <v/>
      </c>
      <c r="T313" s="254" t="str">
        <f>IFERROR(__xludf.DUMMYFUNCTION("""COMPUTED_VALUE"""),"")</f>
        <v/>
      </c>
      <c r="U313" s="246" t="str">
        <f>IFERROR(__xludf.DUMMYFUNCTION("""COMPUTED_VALUE"""),"")</f>
        <v/>
      </c>
      <c r="V313" s="247" t="str">
        <f t="shared" si="6"/>
        <v/>
      </c>
      <c r="W313" s="255" t="str">
        <f>IFERROR(__xludf.DUMMYFUNCTION("""COMPUTED_VALUE"""),"")</f>
        <v/>
      </c>
      <c r="X313" s="249" t="str">
        <f>IFERROR(__xludf.DUMMYFUNCTION("""COMPUTED_VALUE"""),"")</f>
        <v/>
      </c>
      <c r="Y313" s="250" t="str">
        <f t="shared" si="7"/>
        <v/>
      </c>
    </row>
    <row r="314">
      <c r="A314" s="136" t="s">
        <v>15</v>
      </c>
      <c r="B314" s="146">
        <v>46139.0</v>
      </c>
      <c r="C314" s="136" t="s">
        <v>37</v>
      </c>
      <c r="D314" s="136" t="s">
        <v>149</v>
      </c>
      <c r="E314" s="256">
        <f>IFERROR(__xludf.DUMMYFUNCTION("""COMPUTED_VALUE"""),0.0)</f>
        <v>0</v>
      </c>
      <c r="F314" s="257">
        <f>IFERROR(__xludf.DUMMYFUNCTION("""COMPUTED_VALUE"""),0.0)</f>
        <v>0</v>
      </c>
      <c r="G314" s="247" t="str">
        <f t="shared" si="1"/>
        <v/>
      </c>
      <c r="H314" s="258">
        <f>IFERROR(__xludf.DUMMYFUNCTION("""COMPUTED_VALUE"""),138.0)</f>
        <v>138</v>
      </c>
      <c r="I314" s="259">
        <f>IFERROR(__xludf.DUMMYFUNCTION("""COMPUTED_VALUE"""),0.07569444444379769)</f>
        <v>0.07569444444</v>
      </c>
      <c r="J314" s="250">
        <f t="shared" si="2"/>
        <v>75.96330275</v>
      </c>
      <c r="K314" s="317">
        <f>IFERROR(__xludf.DUMMYFUNCTION("""COMPUTED_VALUE"""),49.0)</f>
        <v>49</v>
      </c>
      <c r="L314" s="318">
        <f>IFERROR(__xludf.DUMMYFUNCTION("""COMPUTED_VALUE"""),0.061805555553291924)</f>
        <v>0.06180555555</v>
      </c>
      <c r="M314" s="253">
        <f t="shared" si="3"/>
        <v>33.03370787</v>
      </c>
      <c r="N314" s="319">
        <f>IFERROR(__xludf.DUMMYFUNCTION("""COMPUTED_VALUE"""),160.0)</f>
        <v>160</v>
      </c>
      <c r="O314" s="257">
        <f>IFERROR(__xludf.DUMMYFUNCTION("""COMPUTED_VALUE"""),0.12430555555329192)</f>
        <v>0.1243055556</v>
      </c>
      <c r="P314" s="247">
        <f t="shared" si="4"/>
        <v>53.63128492</v>
      </c>
      <c r="Q314" s="320">
        <f>IFERROR(__xludf.DUMMYFUNCTION("""COMPUTED_VALUE"""),0.0)</f>
        <v>0</v>
      </c>
      <c r="R314" s="259">
        <f>IFERROR(__xludf.DUMMYFUNCTION("""COMPUTED_VALUE"""),0.0)</f>
        <v>0</v>
      </c>
      <c r="S314" s="250" t="str">
        <f t="shared" si="5"/>
        <v/>
      </c>
      <c r="T314" s="254">
        <f>IFERROR(__xludf.DUMMYFUNCTION("""COMPUTED_VALUE"""),160.0)</f>
        <v>160</v>
      </c>
      <c r="U314" s="246">
        <f>IFERROR(__xludf.DUMMYFUNCTION("""COMPUTED_VALUE"""),0.12430555555329192)</f>
        <v>0.1243055556</v>
      </c>
      <c r="V314" s="247">
        <f t="shared" si="6"/>
        <v>53.63128492</v>
      </c>
      <c r="W314" s="255">
        <f>IFERROR(__xludf.DUMMYFUNCTION("""COMPUTED_VALUE"""),138.0)</f>
        <v>138</v>
      </c>
      <c r="X314" s="249">
        <f>IFERROR(__xludf.DUMMYFUNCTION("""COMPUTED_VALUE"""),0.07569444444379769)</f>
        <v>0.07569444444</v>
      </c>
      <c r="Y314" s="250">
        <f t="shared" si="7"/>
        <v>75.96330275</v>
      </c>
    </row>
    <row r="315">
      <c r="A315" s="136" t="s">
        <v>18</v>
      </c>
      <c r="B315" s="146">
        <v>46139.0</v>
      </c>
      <c r="C315" s="136" t="s">
        <v>37</v>
      </c>
      <c r="D315" s="136" t="s">
        <v>148</v>
      </c>
      <c r="E315" s="256" t="str">
        <f>IFERROR(__xludf.DUMMYFUNCTION("""COMPUTED_VALUE"""),"")</f>
        <v/>
      </c>
      <c r="F315" s="257" t="str">
        <f>IFERROR(__xludf.DUMMYFUNCTION("""COMPUTED_VALUE"""),"")</f>
        <v/>
      </c>
      <c r="G315" s="247" t="str">
        <f t="shared" si="1"/>
        <v/>
      </c>
      <c r="H315" s="258" t="str">
        <f>IFERROR(__xludf.DUMMYFUNCTION("""COMPUTED_VALUE"""),"")</f>
        <v/>
      </c>
      <c r="I315" s="259" t="str">
        <f>IFERROR(__xludf.DUMMYFUNCTION("""COMPUTED_VALUE"""),"")</f>
        <v/>
      </c>
      <c r="J315" s="250" t="str">
        <f t="shared" si="2"/>
        <v/>
      </c>
      <c r="K315" s="317" t="str">
        <f>IFERROR(__xludf.DUMMYFUNCTION("""COMPUTED_VALUE"""),"")</f>
        <v/>
      </c>
      <c r="L315" s="318" t="str">
        <f>IFERROR(__xludf.DUMMYFUNCTION("""COMPUTED_VALUE"""),"")</f>
        <v/>
      </c>
      <c r="M315" s="253" t="str">
        <f t="shared" si="3"/>
        <v/>
      </c>
      <c r="N315" s="319" t="str">
        <f>IFERROR(__xludf.DUMMYFUNCTION("""COMPUTED_VALUE"""),"")</f>
        <v/>
      </c>
      <c r="O315" s="257" t="str">
        <f>IFERROR(__xludf.DUMMYFUNCTION("""COMPUTED_VALUE"""),"")</f>
        <v/>
      </c>
      <c r="P315" s="247" t="str">
        <f t="shared" si="4"/>
        <v/>
      </c>
      <c r="Q315" s="320" t="str">
        <f>IFERROR(__xludf.DUMMYFUNCTION("""COMPUTED_VALUE"""),"")</f>
        <v/>
      </c>
      <c r="R315" s="259" t="str">
        <f>IFERROR(__xludf.DUMMYFUNCTION("""COMPUTED_VALUE"""),"")</f>
        <v/>
      </c>
      <c r="S315" s="250" t="str">
        <f t="shared" si="5"/>
        <v/>
      </c>
      <c r="T315" s="254" t="str">
        <f>IFERROR(__xludf.DUMMYFUNCTION("""COMPUTED_VALUE"""),"")</f>
        <v/>
      </c>
      <c r="U315" s="246" t="str">
        <f>IFERROR(__xludf.DUMMYFUNCTION("""COMPUTED_VALUE"""),"")</f>
        <v/>
      </c>
      <c r="V315" s="247" t="str">
        <f t="shared" si="6"/>
        <v/>
      </c>
      <c r="W315" s="255" t="str">
        <f>IFERROR(__xludf.DUMMYFUNCTION("""COMPUTED_VALUE"""),"")</f>
        <v/>
      </c>
      <c r="X315" s="249" t="str">
        <f>IFERROR(__xludf.DUMMYFUNCTION("""COMPUTED_VALUE"""),"")</f>
        <v/>
      </c>
      <c r="Y315" s="250" t="str">
        <f t="shared" si="7"/>
        <v/>
      </c>
    </row>
    <row r="316">
      <c r="A316" s="136" t="s">
        <v>15</v>
      </c>
      <c r="B316" s="146">
        <v>46140.0</v>
      </c>
      <c r="C316" s="136" t="s">
        <v>41</v>
      </c>
      <c r="D316" s="136" t="s">
        <v>148</v>
      </c>
      <c r="E316" s="256" t="str">
        <f>IFERROR(__xludf.DUMMYFUNCTION("""COMPUTED_VALUE"""),"")</f>
        <v/>
      </c>
      <c r="F316" s="257" t="str">
        <f>IFERROR(__xludf.DUMMYFUNCTION("""COMPUTED_VALUE"""),"")</f>
        <v/>
      </c>
      <c r="G316" s="247" t="str">
        <f t="shared" si="1"/>
        <v/>
      </c>
      <c r="H316" s="258" t="str">
        <f>IFERROR(__xludf.DUMMYFUNCTION("""COMPUTED_VALUE"""),"")</f>
        <v/>
      </c>
      <c r="I316" s="259" t="str">
        <f>IFERROR(__xludf.DUMMYFUNCTION("""COMPUTED_VALUE"""),"")</f>
        <v/>
      </c>
      <c r="J316" s="250" t="str">
        <f t="shared" si="2"/>
        <v/>
      </c>
      <c r="K316" s="317" t="str">
        <f>IFERROR(__xludf.DUMMYFUNCTION("""COMPUTED_VALUE"""),"")</f>
        <v/>
      </c>
      <c r="L316" s="318" t="str">
        <f>IFERROR(__xludf.DUMMYFUNCTION("""COMPUTED_VALUE"""),"")</f>
        <v/>
      </c>
      <c r="M316" s="253" t="str">
        <f t="shared" si="3"/>
        <v/>
      </c>
      <c r="N316" s="319" t="str">
        <f>IFERROR(__xludf.DUMMYFUNCTION("""COMPUTED_VALUE"""),"")</f>
        <v/>
      </c>
      <c r="O316" s="257" t="str">
        <f>IFERROR(__xludf.DUMMYFUNCTION("""COMPUTED_VALUE"""),"")</f>
        <v/>
      </c>
      <c r="P316" s="247" t="str">
        <f t="shared" si="4"/>
        <v/>
      </c>
      <c r="Q316" s="320" t="str">
        <f>IFERROR(__xludf.DUMMYFUNCTION("""COMPUTED_VALUE"""),"")</f>
        <v/>
      </c>
      <c r="R316" s="259" t="str">
        <f>IFERROR(__xludf.DUMMYFUNCTION("""COMPUTED_VALUE"""),"")</f>
        <v/>
      </c>
      <c r="S316" s="250" t="str">
        <f t="shared" si="5"/>
        <v/>
      </c>
      <c r="T316" s="254" t="str">
        <f>IFERROR(__xludf.DUMMYFUNCTION("""COMPUTED_VALUE"""),"")</f>
        <v/>
      </c>
      <c r="U316" s="246" t="str">
        <f>IFERROR(__xludf.DUMMYFUNCTION("""COMPUTED_VALUE"""),"")</f>
        <v/>
      </c>
      <c r="V316" s="247" t="str">
        <f t="shared" si="6"/>
        <v/>
      </c>
      <c r="W316" s="255" t="str">
        <f>IFERROR(__xludf.DUMMYFUNCTION("""COMPUTED_VALUE"""),"")</f>
        <v/>
      </c>
      <c r="X316" s="249" t="str">
        <f>IFERROR(__xludf.DUMMYFUNCTION("""COMPUTED_VALUE"""),"")</f>
        <v/>
      </c>
      <c r="Y316" s="250" t="str">
        <f t="shared" si="7"/>
        <v/>
      </c>
    </row>
    <row r="317">
      <c r="A317" s="136" t="s">
        <v>18</v>
      </c>
      <c r="B317" s="146">
        <v>46140.0</v>
      </c>
      <c r="C317" s="136" t="s">
        <v>41</v>
      </c>
      <c r="D317" s="136" t="s">
        <v>149</v>
      </c>
      <c r="E317" s="256">
        <f>IFERROR(__xludf.DUMMYFUNCTION("""COMPUTED_VALUE"""),209.0)</f>
        <v>209</v>
      </c>
      <c r="F317" s="257">
        <f>IFERROR(__xludf.DUMMYFUNCTION("""COMPUTED_VALUE"""),0.06944444443797693)</f>
        <v>0.06944444444</v>
      </c>
      <c r="G317" s="247">
        <f t="shared" si="1"/>
        <v>125.4</v>
      </c>
      <c r="H317" s="258">
        <f>IFERROR(__xludf.DUMMYFUNCTION("""COMPUTED_VALUE"""),0.0)</f>
        <v>0</v>
      </c>
      <c r="I317" s="259">
        <f>IFERROR(__xludf.DUMMYFUNCTION("""COMPUTED_VALUE"""),0.0)</f>
        <v>0</v>
      </c>
      <c r="J317" s="250" t="str">
        <f t="shared" si="2"/>
        <v/>
      </c>
      <c r="K317" s="317">
        <f>IFERROR(__xludf.DUMMYFUNCTION("""COMPUTED_VALUE"""),0.0)</f>
        <v>0</v>
      </c>
      <c r="L317" s="318">
        <f>IFERROR(__xludf.DUMMYFUNCTION("""COMPUTED_VALUE"""),0.0)</f>
        <v>0</v>
      </c>
      <c r="M317" s="253" t="str">
        <f t="shared" si="3"/>
        <v/>
      </c>
      <c r="N317" s="319">
        <f>IFERROR(__xludf.DUMMYFUNCTION("""COMPUTED_VALUE"""),0.0)</f>
        <v>0</v>
      </c>
      <c r="O317" s="257">
        <f>IFERROR(__xludf.DUMMYFUNCTION("""COMPUTED_VALUE"""),0.0)</f>
        <v>0</v>
      </c>
      <c r="P317" s="247" t="str">
        <f t="shared" si="4"/>
        <v/>
      </c>
      <c r="Q317" s="320">
        <f>IFERROR(__xludf.DUMMYFUNCTION("""COMPUTED_VALUE"""),131.0)</f>
        <v>131</v>
      </c>
      <c r="R317" s="259">
        <f>IFERROR(__xludf.DUMMYFUNCTION("""COMPUTED_VALUE"""),0.15972222221898846)</f>
        <v>0.1597222222</v>
      </c>
      <c r="S317" s="250">
        <f t="shared" si="5"/>
        <v>34.17391304</v>
      </c>
      <c r="T317" s="254">
        <f>IFERROR(__xludf.DUMMYFUNCTION("""COMPUTED_VALUE"""),209.0)</f>
        <v>209</v>
      </c>
      <c r="U317" s="246">
        <f>IFERROR(__xludf.DUMMYFUNCTION("""COMPUTED_VALUE"""),0.06944444443797693)</f>
        <v>0.06944444444</v>
      </c>
      <c r="V317" s="247">
        <f t="shared" si="6"/>
        <v>125.4</v>
      </c>
      <c r="W317" s="255">
        <f>IFERROR(__xludf.DUMMYFUNCTION("""COMPUTED_VALUE"""),131.0)</f>
        <v>131</v>
      </c>
      <c r="X317" s="249">
        <f>IFERROR(__xludf.DUMMYFUNCTION("""COMPUTED_VALUE"""),0.15972222221898846)</f>
        <v>0.1597222222</v>
      </c>
      <c r="Y317" s="250">
        <f t="shared" si="7"/>
        <v>34.17391304</v>
      </c>
    </row>
    <row r="318">
      <c r="A318" s="136" t="s">
        <v>134</v>
      </c>
      <c r="B318" s="146">
        <v>46140.0</v>
      </c>
      <c r="C318" s="136" t="s">
        <v>41</v>
      </c>
      <c r="D318" s="136" t="s">
        <v>149</v>
      </c>
      <c r="E318" s="256" t="str">
        <f>IFERROR(__xludf.DUMMYFUNCTION("""COMPUTED_VALUE"""),"")</f>
        <v/>
      </c>
      <c r="F318" s="257" t="str">
        <f>IFERROR(__xludf.DUMMYFUNCTION("""COMPUTED_VALUE"""),"")</f>
        <v/>
      </c>
      <c r="G318" s="247" t="str">
        <f t="shared" si="1"/>
        <v/>
      </c>
      <c r="H318" s="258" t="str">
        <f>IFERROR(__xludf.DUMMYFUNCTION("""COMPUTED_VALUE"""),"")</f>
        <v/>
      </c>
      <c r="I318" s="259" t="str">
        <f>IFERROR(__xludf.DUMMYFUNCTION("""COMPUTED_VALUE"""),"")</f>
        <v/>
      </c>
      <c r="J318" s="250" t="str">
        <f t="shared" si="2"/>
        <v/>
      </c>
      <c r="K318" s="317" t="str">
        <f>IFERROR(__xludf.DUMMYFUNCTION("""COMPUTED_VALUE"""),"")</f>
        <v/>
      </c>
      <c r="L318" s="318" t="str">
        <f>IFERROR(__xludf.DUMMYFUNCTION("""COMPUTED_VALUE"""),"")</f>
        <v/>
      </c>
      <c r="M318" s="253" t="str">
        <f t="shared" si="3"/>
        <v/>
      </c>
      <c r="N318" s="319" t="str">
        <f>IFERROR(__xludf.DUMMYFUNCTION("""COMPUTED_VALUE"""),"")</f>
        <v/>
      </c>
      <c r="O318" s="257" t="str">
        <f>IFERROR(__xludf.DUMMYFUNCTION("""COMPUTED_VALUE"""),"")</f>
        <v/>
      </c>
      <c r="P318" s="247" t="str">
        <f t="shared" si="4"/>
        <v/>
      </c>
      <c r="Q318" s="320" t="str">
        <f>IFERROR(__xludf.DUMMYFUNCTION("""COMPUTED_VALUE"""),"")</f>
        <v/>
      </c>
      <c r="R318" s="259" t="str">
        <f>IFERROR(__xludf.DUMMYFUNCTION("""COMPUTED_VALUE"""),"")</f>
        <v/>
      </c>
      <c r="S318" s="250" t="str">
        <f t="shared" si="5"/>
        <v/>
      </c>
      <c r="T318" s="254" t="str">
        <f>IFERROR(__xludf.DUMMYFUNCTION("""COMPUTED_VALUE"""),"")</f>
        <v/>
      </c>
      <c r="U318" s="246" t="str">
        <f>IFERROR(__xludf.DUMMYFUNCTION("""COMPUTED_VALUE"""),"")</f>
        <v/>
      </c>
      <c r="V318" s="247" t="str">
        <f t="shared" si="6"/>
        <v/>
      </c>
      <c r="W318" s="255" t="str">
        <f>IFERROR(__xludf.DUMMYFUNCTION("""COMPUTED_VALUE"""),"")</f>
        <v/>
      </c>
      <c r="X318" s="249" t="str">
        <f>IFERROR(__xludf.DUMMYFUNCTION("""COMPUTED_VALUE"""),"")</f>
        <v/>
      </c>
      <c r="Y318" s="250" t="str">
        <f t="shared" si="7"/>
        <v/>
      </c>
    </row>
    <row r="319">
      <c r="A319" s="136" t="s">
        <v>12</v>
      </c>
      <c r="B319" s="146">
        <v>46141.0</v>
      </c>
      <c r="C319" s="136" t="s">
        <v>45</v>
      </c>
      <c r="D319" s="136" t="s">
        <v>149</v>
      </c>
      <c r="E319" s="256" t="str">
        <f>IFERROR(__xludf.DUMMYFUNCTION("""COMPUTED_VALUE"""),"")</f>
        <v/>
      </c>
      <c r="F319" s="257" t="str">
        <f>IFERROR(__xludf.DUMMYFUNCTION("""COMPUTED_VALUE"""),"")</f>
        <v/>
      </c>
      <c r="G319" s="247" t="str">
        <f t="shared" si="1"/>
        <v/>
      </c>
      <c r="H319" s="258" t="str">
        <f>IFERROR(__xludf.DUMMYFUNCTION("""COMPUTED_VALUE"""),"")</f>
        <v/>
      </c>
      <c r="I319" s="259" t="str">
        <f>IFERROR(__xludf.DUMMYFUNCTION("""COMPUTED_VALUE"""),"")</f>
        <v/>
      </c>
      <c r="J319" s="250" t="str">
        <f t="shared" si="2"/>
        <v/>
      </c>
      <c r="K319" s="317" t="str">
        <f>IFERROR(__xludf.DUMMYFUNCTION("""COMPUTED_VALUE"""),"")</f>
        <v/>
      </c>
      <c r="L319" s="318" t="str">
        <f>IFERROR(__xludf.DUMMYFUNCTION("""COMPUTED_VALUE"""),"")</f>
        <v/>
      </c>
      <c r="M319" s="253" t="str">
        <f t="shared" si="3"/>
        <v/>
      </c>
      <c r="N319" s="319" t="str">
        <f>IFERROR(__xludf.DUMMYFUNCTION("""COMPUTED_VALUE"""),"")</f>
        <v/>
      </c>
      <c r="O319" s="257" t="str">
        <f>IFERROR(__xludf.DUMMYFUNCTION("""COMPUTED_VALUE"""),"")</f>
        <v/>
      </c>
      <c r="P319" s="247" t="str">
        <f t="shared" si="4"/>
        <v/>
      </c>
      <c r="Q319" s="320" t="str">
        <f>IFERROR(__xludf.DUMMYFUNCTION("""COMPUTED_VALUE"""),"")</f>
        <v/>
      </c>
      <c r="R319" s="259" t="str">
        <f>IFERROR(__xludf.DUMMYFUNCTION("""COMPUTED_VALUE"""),"")</f>
        <v/>
      </c>
      <c r="S319" s="250" t="str">
        <f t="shared" si="5"/>
        <v/>
      </c>
      <c r="T319" s="254" t="str">
        <f>IFERROR(__xludf.DUMMYFUNCTION("""COMPUTED_VALUE"""),"")</f>
        <v/>
      </c>
      <c r="U319" s="246" t="str">
        <f>IFERROR(__xludf.DUMMYFUNCTION("""COMPUTED_VALUE"""),"")</f>
        <v/>
      </c>
      <c r="V319" s="247" t="str">
        <f t="shared" si="6"/>
        <v/>
      </c>
      <c r="W319" s="255" t="str">
        <f>IFERROR(__xludf.DUMMYFUNCTION("""COMPUTED_VALUE"""),"")</f>
        <v/>
      </c>
      <c r="X319" s="249" t="str">
        <f>IFERROR(__xludf.DUMMYFUNCTION("""COMPUTED_VALUE"""),"")</f>
        <v/>
      </c>
      <c r="Y319" s="250" t="str">
        <f t="shared" si="7"/>
        <v/>
      </c>
    </row>
    <row r="320">
      <c r="A320" s="136" t="s">
        <v>12</v>
      </c>
      <c r="B320" s="146">
        <v>46141.0</v>
      </c>
      <c r="C320" s="136" t="s">
        <v>45</v>
      </c>
      <c r="D320" s="136" t="s">
        <v>149</v>
      </c>
      <c r="E320" s="256" t="str">
        <f>IFERROR(__xludf.DUMMYFUNCTION("""COMPUTED_VALUE"""),"")</f>
        <v/>
      </c>
      <c r="F320" s="257" t="str">
        <f>IFERROR(__xludf.DUMMYFUNCTION("""COMPUTED_VALUE"""),"")</f>
        <v/>
      </c>
      <c r="G320" s="247" t="str">
        <f t="shared" si="1"/>
        <v/>
      </c>
      <c r="H320" s="258" t="str">
        <f>IFERROR(__xludf.DUMMYFUNCTION("""COMPUTED_VALUE"""),"")</f>
        <v/>
      </c>
      <c r="I320" s="259" t="str">
        <f>IFERROR(__xludf.DUMMYFUNCTION("""COMPUTED_VALUE"""),"")</f>
        <v/>
      </c>
      <c r="J320" s="250" t="str">
        <f t="shared" si="2"/>
        <v/>
      </c>
      <c r="K320" s="317" t="str">
        <f>IFERROR(__xludf.DUMMYFUNCTION("""COMPUTED_VALUE"""),"")</f>
        <v/>
      </c>
      <c r="L320" s="318" t="str">
        <f>IFERROR(__xludf.DUMMYFUNCTION("""COMPUTED_VALUE"""),"")</f>
        <v/>
      </c>
      <c r="M320" s="253" t="str">
        <f t="shared" si="3"/>
        <v/>
      </c>
      <c r="N320" s="319" t="str">
        <f>IFERROR(__xludf.DUMMYFUNCTION("""COMPUTED_VALUE"""),"")</f>
        <v/>
      </c>
      <c r="O320" s="257" t="str">
        <f>IFERROR(__xludf.DUMMYFUNCTION("""COMPUTED_VALUE"""),"")</f>
        <v/>
      </c>
      <c r="P320" s="247" t="str">
        <f t="shared" si="4"/>
        <v/>
      </c>
      <c r="Q320" s="320" t="str">
        <f>IFERROR(__xludf.DUMMYFUNCTION("""COMPUTED_VALUE"""),"")</f>
        <v/>
      </c>
      <c r="R320" s="259" t="str">
        <f>IFERROR(__xludf.DUMMYFUNCTION("""COMPUTED_VALUE"""),"")</f>
        <v/>
      </c>
      <c r="S320" s="250" t="str">
        <f t="shared" si="5"/>
        <v/>
      </c>
      <c r="T320" s="254" t="str">
        <f>IFERROR(__xludf.DUMMYFUNCTION("""COMPUTED_VALUE"""),"")</f>
        <v/>
      </c>
      <c r="U320" s="246" t="str">
        <f>IFERROR(__xludf.DUMMYFUNCTION("""COMPUTED_VALUE"""),"")</f>
        <v/>
      </c>
      <c r="V320" s="247" t="str">
        <f t="shared" si="6"/>
        <v/>
      </c>
      <c r="W320" s="255" t="str">
        <f>IFERROR(__xludf.DUMMYFUNCTION("""COMPUTED_VALUE"""),"")</f>
        <v/>
      </c>
      <c r="X320" s="249" t="str">
        <f>IFERROR(__xludf.DUMMYFUNCTION("""COMPUTED_VALUE"""),"")</f>
        <v/>
      </c>
      <c r="Y320" s="250" t="str">
        <f t="shared" si="7"/>
        <v/>
      </c>
    </row>
    <row r="321">
      <c r="A321" s="136" t="s">
        <v>134</v>
      </c>
      <c r="B321" s="146">
        <v>46141.0</v>
      </c>
      <c r="C321" s="136" t="s">
        <v>45</v>
      </c>
      <c r="D321" s="136" t="s">
        <v>149</v>
      </c>
      <c r="E321" s="256" t="str">
        <f>IFERROR(__xludf.DUMMYFUNCTION("""COMPUTED_VALUE"""),"")</f>
        <v/>
      </c>
      <c r="F321" s="257" t="str">
        <f>IFERROR(__xludf.DUMMYFUNCTION("""COMPUTED_VALUE"""),"")</f>
        <v/>
      </c>
      <c r="G321" s="247" t="str">
        <f t="shared" si="1"/>
        <v/>
      </c>
      <c r="H321" s="258" t="str">
        <f>IFERROR(__xludf.DUMMYFUNCTION("""COMPUTED_VALUE"""),"")</f>
        <v/>
      </c>
      <c r="I321" s="259" t="str">
        <f>IFERROR(__xludf.DUMMYFUNCTION("""COMPUTED_VALUE"""),"")</f>
        <v/>
      </c>
      <c r="J321" s="250" t="str">
        <f t="shared" si="2"/>
        <v/>
      </c>
      <c r="K321" s="317" t="str">
        <f>IFERROR(__xludf.DUMMYFUNCTION("""COMPUTED_VALUE"""),"")</f>
        <v/>
      </c>
      <c r="L321" s="318" t="str">
        <f>IFERROR(__xludf.DUMMYFUNCTION("""COMPUTED_VALUE"""),"")</f>
        <v/>
      </c>
      <c r="M321" s="253" t="str">
        <f t="shared" si="3"/>
        <v/>
      </c>
      <c r="N321" s="319" t="str">
        <f>IFERROR(__xludf.DUMMYFUNCTION("""COMPUTED_VALUE"""),"")</f>
        <v/>
      </c>
      <c r="O321" s="257" t="str">
        <f>IFERROR(__xludf.DUMMYFUNCTION("""COMPUTED_VALUE"""),"")</f>
        <v/>
      </c>
      <c r="P321" s="247" t="str">
        <f t="shared" si="4"/>
        <v/>
      </c>
      <c r="Q321" s="320" t="str">
        <f>IFERROR(__xludf.DUMMYFUNCTION("""COMPUTED_VALUE"""),"")</f>
        <v/>
      </c>
      <c r="R321" s="259" t="str">
        <f>IFERROR(__xludf.DUMMYFUNCTION("""COMPUTED_VALUE"""),"")</f>
        <v/>
      </c>
      <c r="S321" s="250" t="str">
        <f t="shared" si="5"/>
        <v/>
      </c>
      <c r="T321" s="254" t="str">
        <f>IFERROR(__xludf.DUMMYFUNCTION("""COMPUTED_VALUE"""),"")</f>
        <v/>
      </c>
      <c r="U321" s="246" t="str">
        <f>IFERROR(__xludf.DUMMYFUNCTION("""COMPUTED_VALUE"""),"")</f>
        <v/>
      </c>
      <c r="V321" s="247" t="str">
        <f t="shared" si="6"/>
        <v/>
      </c>
      <c r="W321" s="255" t="str">
        <f>IFERROR(__xludf.DUMMYFUNCTION("""COMPUTED_VALUE"""),"")</f>
        <v/>
      </c>
      <c r="X321" s="249" t="str">
        <f>IFERROR(__xludf.DUMMYFUNCTION("""COMPUTED_VALUE"""),"")</f>
        <v/>
      </c>
      <c r="Y321" s="250" t="str">
        <f t="shared" si="7"/>
        <v/>
      </c>
    </row>
    <row r="322">
      <c r="A322" s="136" t="s">
        <v>15</v>
      </c>
      <c r="B322" s="146">
        <v>46141.0</v>
      </c>
      <c r="C322" s="136" t="s">
        <v>45</v>
      </c>
      <c r="D322" s="136" t="s">
        <v>148</v>
      </c>
      <c r="E322" s="256">
        <f>IFERROR(__xludf.DUMMYFUNCTION("""COMPUTED_VALUE"""),101.0)</f>
        <v>101</v>
      </c>
      <c r="F322" s="257">
        <f>IFERROR(__xludf.DUMMYFUNCTION("""COMPUTED_VALUE"""),0.07638888889050577)</f>
        <v>0.07638888889</v>
      </c>
      <c r="G322" s="247">
        <f t="shared" si="1"/>
        <v>55.09090909</v>
      </c>
      <c r="H322" s="258">
        <f>IFERROR(__xludf.DUMMYFUNCTION("""COMPUTED_VALUE"""),0.0)</f>
        <v>0</v>
      </c>
      <c r="I322" s="259">
        <f>IFERROR(__xludf.DUMMYFUNCTION("""COMPUTED_VALUE"""),0.0)</f>
        <v>0</v>
      </c>
      <c r="J322" s="250" t="str">
        <f t="shared" si="2"/>
        <v/>
      </c>
      <c r="K322" s="317">
        <f>IFERROR(__xludf.DUMMYFUNCTION("""COMPUTED_VALUE"""),92.0)</f>
        <v>92</v>
      </c>
      <c r="L322" s="318">
        <f>IFERROR(__xludf.DUMMYFUNCTION("""COMPUTED_VALUE"""),0.11041666667006211)</f>
        <v>0.1104166667</v>
      </c>
      <c r="M322" s="253">
        <f t="shared" si="3"/>
        <v>34.71698113</v>
      </c>
      <c r="N322" s="319">
        <f>IFERROR(__xludf.DUMMYFUNCTION("""COMPUTED_VALUE"""),0.0)</f>
        <v>0</v>
      </c>
      <c r="O322" s="257">
        <f>IFERROR(__xludf.DUMMYFUNCTION("""COMPUTED_VALUE"""),0.0)</f>
        <v>0</v>
      </c>
      <c r="P322" s="247" t="str">
        <f t="shared" si="4"/>
        <v/>
      </c>
      <c r="Q322" s="320">
        <f>IFERROR(__xludf.DUMMYFUNCTION("""COMPUTED_VALUE"""),0.0)</f>
        <v>0</v>
      </c>
      <c r="R322" s="259">
        <f>IFERROR(__xludf.DUMMYFUNCTION("""COMPUTED_VALUE"""),0.0)</f>
        <v>0</v>
      </c>
      <c r="S322" s="250" t="str">
        <f t="shared" si="5"/>
        <v/>
      </c>
      <c r="T322" s="254">
        <f>IFERROR(__xludf.DUMMYFUNCTION("""COMPUTED_VALUE"""),101.0)</f>
        <v>101</v>
      </c>
      <c r="U322" s="246">
        <f>IFERROR(__xludf.DUMMYFUNCTION("""COMPUTED_VALUE"""),0.07638888889050577)</f>
        <v>0.07638888889</v>
      </c>
      <c r="V322" s="247">
        <f t="shared" si="6"/>
        <v>55.09090909</v>
      </c>
      <c r="W322" s="255">
        <f>IFERROR(__xludf.DUMMYFUNCTION("""COMPUTED_VALUE"""),0.0)</f>
        <v>0</v>
      </c>
      <c r="X322" s="249">
        <f>IFERROR(__xludf.DUMMYFUNCTION("""COMPUTED_VALUE"""),0.0)</f>
        <v>0</v>
      </c>
      <c r="Y322" s="250" t="str">
        <f t="shared" si="7"/>
        <v/>
      </c>
    </row>
    <row r="323">
      <c r="A323" s="136" t="s">
        <v>12</v>
      </c>
      <c r="B323" s="146">
        <v>46141.0</v>
      </c>
      <c r="C323" s="136" t="s">
        <v>45</v>
      </c>
      <c r="D323" s="136" t="s">
        <v>148</v>
      </c>
      <c r="E323" s="256" t="str">
        <f>IFERROR(__xludf.DUMMYFUNCTION("""COMPUTED_VALUE"""),"")</f>
        <v/>
      </c>
      <c r="F323" s="257" t="str">
        <f>IFERROR(__xludf.DUMMYFUNCTION("""COMPUTED_VALUE"""),"")</f>
        <v/>
      </c>
      <c r="G323" s="247" t="str">
        <f t="shared" si="1"/>
        <v/>
      </c>
      <c r="H323" s="258" t="str">
        <f>IFERROR(__xludf.DUMMYFUNCTION("""COMPUTED_VALUE"""),"")</f>
        <v/>
      </c>
      <c r="I323" s="259" t="str">
        <f>IFERROR(__xludf.DUMMYFUNCTION("""COMPUTED_VALUE"""),"")</f>
        <v/>
      </c>
      <c r="J323" s="250" t="str">
        <f t="shared" si="2"/>
        <v/>
      </c>
      <c r="K323" s="317" t="str">
        <f>IFERROR(__xludf.DUMMYFUNCTION("""COMPUTED_VALUE"""),"")</f>
        <v/>
      </c>
      <c r="L323" s="318" t="str">
        <f>IFERROR(__xludf.DUMMYFUNCTION("""COMPUTED_VALUE"""),"")</f>
        <v/>
      </c>
      <c r="M323" s="253" t="str">
        <f t="shared" si="3"/>
        <v/>
      </c>
      <c r="N323" s="319" t="str">
        <f>IFERROR(__xludf.DUMMYFUNCTION("""COMPUTED_VALUE"""),"")</f>
        <v/>
      </c>
      <c r="O323" s="257" t="str">
        <f>IFERROR(__xludf.DUMMYFUNCTION("""COMPUTED_VALUE"""),"")</f>
        <v/>
      </c>
      <c r="P323" s="247" t="str">
        <f t="shared" si="4"/>
        <v/>
      </c>
      <c r="Q323" s="320" t="str">
        <f>IFERROR(__xludf.DUMMYFUNCTION("""COMPUTED_VALUE"""),"")</f>
        <v/>
      </c>
      <c r="R323" s="259" t="str">
        <f>IFERROR(__xludf.DUMMYFUNCTION("""COMPUTED_VALUE"""),"")</f>
        <v/>
      </c>
      <c r="S323" s="250" t="str">
        <f t="shared" si="5"/>
        <v/>
      </c>
      <c r="T323" s="254" t="str">
        <f>IFERROR(__xludf.DUMMYFUNCTION("""COMPUTED_VALUE"""),"")</f>
        <v/>
      </c>
      <c r="U323" s="246" t="str">
        <f>IFERROR(__xludf.DUMMYFUNCTION("""COMPUTED_VALUE"""),"")</f>
        <v/>
      </c>
      <c r="V323" s="247" t="str">
        <f t="shared" si="6"/>
        <v/>
      </c>
      <c r="W323" s="255" t="str">
        <f>IFERROR(__xludf.DUMMYFUNCTION("""COMPUTED_VALUE"""),"")</f>
        <v/>
      </c>
      <c r="X323" s="249" t="str">
        <f>IFERROR(__xludf.DUMMYFUNCTION("""COMPUTED_VALUE"""),"")</f>
        <v/>
      </c>
      <c r="Y323" s="250" t="str">
        <f t="shared" si="7"/>
        <v/>
      </c>
    </row>
    <row r="324">
      <c r="A324" s="136" t="s">
        <v>133</v>
      </c>
      <c r="B324" s="136"/>
      <c r="C324" s="136" t="s">
        <v>133</v>
      </c>
      <c r="D324" s="136" t="s">
        <v>133</v>
      </c>
      <c r="E324" s="256" t="str">
        <f>IFERROR(__xludf.DUMMYFUNCTION("""COMPUTED_VALUE"""),"")</f>
        <v/>
      </c>
      <c r="F324" s="257" t="str">
        <f>IFERROR(__xludf.DUMMYFUNCTION("""COMPUTED_VALUE"""),"")</f>
        <v/>
      </c>
      <c r="G324" s="247" t="str">
        <f t="shared" si="1"/>
        <v/>
      </c>
      <c r="H324" s="258" t="str">
        <f>IFERROR(__xludf.DUMMYFUNCTION("""COMPUTED_VALUE"""),"")</f>
        <v/>
      </c>
      <c r="I324" s="259" t="str">
        <f>IFERROR(__xludf.DUMMYFUNCTION("""COMPUTED_VALUE"""),"")</f>
        <v/>
      </c>
      <c r="J324" s="250" t="str">
        <f t="shared" si="2"/>
        <v/>
      </c>
      <c r="K324" s="317" t="str">
        <f>IFERROR(__xludf.DUMMYFUNCTION("""COMPUTED_VALUE"""),"")</f>
        <v/>
      </c>
      <c r="L324" s="318" t="str">
        <f>IFERROR(__xludf.DUMMYFUNCTION("""COMPUTED_VALUE"""),"")</f>
        <v/>
      </c>
      <c r="M324" s="253" t="str">
        <f t="shared" si="3"/>
        <v/>
      </c>
      <c r="N324" s="319" t="str">
        <f>IFERROR(__xludf.DUMMYFUNCTION("""COMPUTED_VALUE"""),"")</f>
        <v/>
      </c>
      <c r="O324" s="257" t="str">
        <f>IFERROR(__xludf.DUMMYFUNCTION("""COMPUTED_VALUE"""),"")</f>
        <v/>
      </c>
      <c r="P324" s="247" t="str">
        <f t="shared" si="4"/>
        <v/>
      </c>
      <c r="Q324" s="320" t="str">
        <f>IFERROR(__xludf.DUMMYFUNCTION("""COMPUTED_VALUE"""),"")</f>
        <v/>
      </c>
      <c r="R324" s="259" t="str">
        <f>IFERROR(__xludf.DUMMYFUNCTION("""COMPUTED_VALUE"""),"")</f>
        <v/>
      </c>
      <c r="S324" s="250" t="str">
        <f t="shared" si="5"/>
        <v/>
      </c>
      <c r="T324" s="254" t="str">
        <f>IFERROR(__xludf.DUMMYFUNCTION("""COMPUTED_VALUE"""),"")</f>
        <v/>
      </c>
      <c r="U324" s="246" t="str">
        <f>IFERROR(__xludf.DUMMYFUNCTION("""COMPUTED_VALUE"""),"")</f>
        <v/>
      </c>
      <c r="V324" s="247" t="str">
        <f t="shared" si="6"/>
        <v/>
      </c>
      <c r="W324" s="255" t="str">
        <f>IFERROR(__xludf.DUMMYFUNCTION("""COMPUTED_VALUE"""),"")</f>
        <v/>
      </c>
      <c r="X324" s="249" t="str">
        <f>IFERROR(__xludf.DUMMYFUNCTION("""COMPUTED_VALUE"""),"")</f>
        <v/>
      </c>
      <c r="Y324" s="250" t="str">
        <f t="shared" si="7"/>
        <v/>
      </c>
    </row>
    <row r="325">
      <c r="A325" s="136" t="s">
        <v>133</v>
      </c>
      <c r="B325" s="136"/>
      <c r="C325" s="136" t="s">
        <v>133</v>
      </c>
      <c r="D325" s="136" t="s">
        <v>133</v>
      </c>
      <c r="E325" s="256" t="str">
        <f>IFERROR(__xludf.DUMMYFUNCTION("""COMPUTED_VALUE"""),"")</f>
        <v/>
      </c>
      <c r="F325" s="257" t="str">
        <f>IFERROR(__xludf.DUMMYFUNCTION("""COMPUTED_VALUE"""),"")</f>
        <v/>
      </c>
      <c r="G325" s="247" t="str">
        <f t="shared" si="1"/>
        <v/>
      </c>
      <c r="H325" s="258" t="str">
        <f>IFERROR(__xludf.DUMMYFUNCTION("""COMPUTED_VALUE"""),"")</f>
        <v/>
      </c>
      <c r="I325" s="259" t="str">
        <f>IFERROR(__xludf.DUMMYFUNCTION("""COMPUTED_VALUE"""),"")</f>
        <v/>
      </c>
      <c r="J325" s="250" t="str">
        <f t="shared" si="2"/>
        <v/>
      </c>
      <c r="K325" s="317" t="str">
        <f>IFERROR(__xludf.DUMMYFUNCTION("""COMPUTED_VALUE"""),"")</f>
        <v/>
      </c>
      <c r="L325" s="318" t="str">
        <f>IFERROR(__xludf.DUMMYFUNCTION("""COMPUTED_VALUE"""),"")</f>
        <v/>
      </c>
      <c r="M325" s="253" t="str">
        <f t="shared" si="3"/>
        <v/>
      </c>
      <c r="N325" s="319" t="str">
        <f>IFERROR(__xludf.DUMMYFUNCTION("""COMPUTED_VALUE"""),"")</f>
        <v/>
      </c>
      <c r="O325" s="257" t="str">
        <f>IFERROR(__xludf.DUMMYFUNCTION("""COMPUTED_VALUE"""),"")</f>
        <v/>
      </c>
      <c r="P325" s="247" t="str">
        <f t="shared" si="4"/>
        <v/>
      </c>
      <c r="Q325" s="320" t="str">
        <f>IFERROR(__xludf.DUMMYFUNCTION("""COMPUTED_VALUE"""),"")</f>
        <v/>
      </c>
      <c r="R325" s="259" t="str">
        <f>IFERROR(__xludf.DUMMYFUNCTION("""COMPUTED_VALUE"""),"")</f>
        <v/>
      </c>
      <c r="S325" s="250" t="str">
        <f t="shared" si="5"/>
        <v/>
      </c>
      <c r="T325" s="254" t="str">
        <f>IFERROR(__xludf.DUMMYFUNCTION("""COMPUTED_VALUE"""),"")</f>
        <v/>
      </c>
      <c r="U325" s="246" t="str">
        <f>IFERROR(__xludf.DUMMYFUNCTION("""COMPUTED_VALUE"""),"")</f>
        <v/>
      </c>
      <c r="V325" s="247" t="str">
        <f t="shared" si="6"/>
        <v/>
      </c>
      <c r="W325" s="255" t="str">
        <f>IFERROR(__xludf.DUMMYFUNCTION("""COMPUTED_VALUE"""),"")</f>
        <v/>
      </c>
      <c r="X325" s="249" t="str">
        <f>IFERROR(__xludf.DUMMYFUNCTION("""COMPUTED_VALUE"""),"")</f>
        <v/>
      </c>
      <c r="Y325" s="250" t="str">
        <f t="shared" si="7"/>
        <v/>
      </c>
    </row>
    <row r="326">
      <c r="A326" s="136" t="s">
        <v>133</v>
      </c>
      <c r="B326" s="136"/>
      <c r="C326" s="136" t="s">
        <v>133</v>
      </c>
      <c r="D326" s="136" t="s">
        <v>133</v>
      </c>
      <c r="E326" s="256" t="str">
        <f>IFERROR(__xludf.DUMMYFUNCTION("""COMPUTED_VALUE"""),"")</f>
        <v/>
      </c>
      <c r="F326" s="257" t="str">
        <f>IFERROR(__xludf.DUMMYFUNCTION("""COMPUTED_VALUE"""),"")</f>
        <v/>
      </c>
      <c r="G326" s="247" t="str">
        <f t="shared" si="1"/>
        <v/>
      </c>
      <c r="H326" s="258" t="str">
        <f>IFERROR(__xludf.DUMMYFUNCTION("""COMPUTED_VALUE"""),"")</f>
        <v/>
      </c>
      <c r="I326" s="259" t="str">
        <f>IFERROR(__xludf.DUMMYFUNCTION("""COMPUTED_VALUE"""),"")</f>
        <v/>
      </c>
      <c r="J326" s="250" t="str">
        <f t="shared" si="2"/>
        <v/>
      </c>
      <c r="K326" s="317" t="str">
        <f>IFERROR(__xludf.DUMMYFUNCTION("""COMPUTED_VALUE"""),"")</f>
        <v/>
      </c>
      <c r="L326" s="318" t="str">
        <f>IFERROR(__xludf.DUMMYFUNCTION("""COMPUTED_VALUE"""),"")</f>
        <v/>
      </c>
      <c r="M326" s="253" t="str">
        <f t="shared" si="3"/>
        <v/>
      </c>
      <c r="N326" s="319" t="str">
        <f>IFERROR(__xludf.DUMMYFUNCTION("""COMPUTED_VALUE"""),"")</f>
        <v/>
      </c>
      <c r="O326" s="257" t="str">
        <f>IFERROR(__xludf.DUMMYFUNCTION("""COMPUTED_VALUE"""),"")</f>
        <v/>
      </c>
      <c r="P326" s="247" t="str">
        <f t="shared" si="4"/>
        <v/>
      </c>
      <c r="Q326" s="320" t="str">
        <f>IFERROR(__xludf.DUMMYFUNCTION("""COMPUTED_VALUE"""),"")</f>
        <v/>
      </c>
      <c r="R326" s="259" t="str">
        <f>IFERROR(__xludf.DUMMYFUNCTION("""COMPUTED_VALUE"""),"")</f>
        <v/>
      </c>
      <c r="S326" s="250" t="str">
        <f t="shared" si="5"/>
        <v/>
      </c>
      <c r="T326" s="254" t="str">
        <f>IFERROR(__xludf.DUMMYFUNCTION("""COMPUTED_VALUE"""),"")</f>
        <v/>
      </c>
      <c r="U326" s="246" t="str">
        <f>IFERROR(__xludf.DUMMYFUNCTION("""COMPUTED_VALUE"""),"")</f>
        <v/>
      </c>
      <c r="V326" s="247" t="str">
        <f t="shared" si="6"/>
        <v/>
      </c>
      <c r="W326" s="255" t="str">
        <f>IFERROR(__xludf.DUMMYFUNCTION("""COMPUTED_VALUE"""),"")</f>
        <v/>
      </c>
      <c r="X326" s="249" t="str">
        <f>IFERROR(__xludf.DUMMYFUNCTION("""COMPUTED_VALUE"""),"")</f>
        <v/>
      </c>
      <c r="Y326" s="250" t="str">
        <f t="shared" si="7"/>
        <v/>
      </c>
    </row>
    <row r="327">
      <c r="A327" s="136" t="s">
        <v>133</v>
      </c>
      <c r="B327" s="136"/>
      <c r="C327" s="136" t="s">
        <v>133</v>
      </c>
      <c r="D327" s="136" t="s">
        <v>133</v>
      </c>
      <c r="E327" s="256" t="str">
        <f>IFERROR(__xludf.DUMMYFUNCTION("""COMPUTED_VALUE"""),"")</f>
        <v/>
      </c>
      <c r="F327" s="257" t="str">
        <f>IFERROR(__xludf.DUMMYFUNCTION("""COMPUTED_VALUE"""),"")</f>
        <v/>
      </c>
      <c r="G327" s="247" t="str">
        <f t="shared" si="1"/>
        <v/>
      </c>
      <c r="H327" s="258" t="str">
        <f>IFERROR(__xludf.DUMMYFUNCTION("""COMPUTED_VALUE"""),"")</f>
        <v/>
      </c>
      <c r="I327" s="259" t="str">
        <f>IFERROR(__xludf.DUMMYFUNCTION("""COMPUTED_VALUE"""),"")</f>
        <v/>
      </c>
      <c r="J327" s="250" t="str">
        <f t="shared" si="2"/>
        <v/>
      </c>
      <c r="K327" s="317" t="str">
        <f>IFERROR(__xludf.DUMMYFUNCTION("""COMPUTED_VALUE"""),"")</f>
        <v/>
      </c>
      <c r="L327" s="318" t="str">
        <f>IFERROR(__xludf.DUMMYFUNCTION("""COMPUTED_VALUE"""),"")</f>
        <v/>
      </c>
      <c r="M327" s="253" t="str">
        <f t="shared" si="3"/>
        <v/>
      </c>
      <c r="N327" s="319" t="str">
        <f>IFERROR(__xludf.DUMMYFUNCTION("""COMPUTED_VALUE"""),"")</f>
        <v/>
      </c>
      <c r="O327" s="257" t="str">
        <f>IFERROR(__xludf.DUMMYFUNCTION("""COMPUTED_VALUE"""),"")</f>
        <v/>
      </c>
      <c r="P327" s="247" t="str">
        <f t="shared" si="4"/>
        <v/>
      </c>
      <c r="Q327" s="320" t="str">
        <f>IFERROR(__xludf.DUMMYFUNCTION("""COMPUTED_VALUE"""),"")</f>
        <v/>
      </c>
      <c r="R327" s="259" t="str">
        <f>IFERROR(__xludf.DUMMYFUNCTION("""COMPUTED_VALUE"""),"")</f>
        <v/>
      </c>
      <c r="S327" s="250" t="str">
        <f t="shared" si="5"/>
        <v/>
      </c>
      <c r="T327" s="254" t="str">
        <f>IFERROR(__xludf.DUMMYFUNCTION("""COMPUTED_VALUE"""),"")</f>
        <v/>
      </c>
      <c r="U327" s="246" t="str">
        <f>IFERROR(__xludf.DUMMYFUNCTION("""COMPUTED_VALUE"""),"")</f>
        <v/>
      </c>
      <c r="V327" s="247" t="str">
        <f t="shared" si="6"/>
        <v/>
      </c>
      <c r="W327" s="255" t="str">
        <f>IFERROR(__xludf.DUMMYFUNCTION("""COMPUTED_VALUE"""),"")</f>
        <v/>
      </c>
      <c r="X327" s="249" t="str">
        <f>IFERROR(__xludf.DUMMYFUNCTION("""COMPUTED_VALUE"""),"")</f>
        <v/>
      </c>
      <c r="Y327" s="250" t="str">
        <f t="shared" si="7"/>
        <v/>
      </c>
    </row>
    <row r="328">
      <c r="A328" s="136" t="s">
        <v>133</v>
      </c>
      <c r="B328" s="136"/>
      <c r="C328" s="136" t="s">
        <v>133</v>
      </c>
      <c r="D328" s="136" t="s">
        <v>133</v>
      </c>
      <c r="E328" s="256" t="str">
        <f>IFERROR(__xludf.DUMMYFUNCTION("""COMPUTED_VALUE"""),"")</f>
        <v/>
      </c>
      <c r="F328" s="257" t="str">
        <f>IFERROR(__xludf.DUMMYFUNCTION("""COMPUTED_VALUE"""),"")</f>
        <v/>
      </c>
      <c r="G328" s="247" t="str">
        <f t="shared" si="1"/>
        <v/>
      </c>
      <c r="H328" s="258" t="str">
        <f>IFERROR(__xludf.DUMMYFUNCTION("""COMPUTED_VALUE"""),"")</f>
        <v/>
      </c>
      <c r="I328" s="259" t="str">
        <f>IFERROR(__xludf.DUMMYFUNCTION("""COMPUTED_VALUE"""),"")</f>
        <v/>
      </c>
      <c r="J328" s="250" t="str">
        <f t="shared" si="2"/>
        <v/>
      </c>
      <c r="K328" s="317" t="str">
        <f>IFERROR(__xludf.DUMMYFUNCTION("""COMPUTED_VALUE"""),"")</f>
        <v/>
      </c>
      <c r="L328" s="318" t="str">
        <f>IFERROR(__xludf.DUMMYFUNCTION("""COMPUTED_VALUE"""),"")</f>
        <v/>
      </c>
      <c r="M328" s="253" t="str">
        <f t="shared" si="3"/>
        <v/>
      </c>
      <c r="N328" s="319" t="str">
        <f>IFERROR(__xludf.DUMMYFUNCTION("""COMPUTED_VALUE"""),"")</f>
        <v/>
      </c>
      <c r="O328" s="257" t="str">
        <f>IFERROR(__xludf.DUMMYFUNCTION("""COMPUTED_VALUE"""),"")</f>
        <v/>
      </c>
      <c r="P328" s="247" t="str">
        <f t="shared" si="4"/>
        <v/>
      </c>
      <c r="Q328" s="320" t="str">
        <f>IFERROR(__xludf.DUMMYFUNCTION("""COMPUTED_VALUE"""),"")</f>
        <v/>
      </c>
      <c r="R328" s="259" t="str">
        <f>IFERROR(__xludf.DUMMYFUNCTION("""COMPUTED_VALUE"""),"")</f>
        <v/>
      </c>
      <c r="S328" s="250" t="str">
        <f t="shared" si="5"/>
        <v/>
      </c>
      <c r="T328" s="254" t="str">
        <f>IFERROR(__xludf.DUMMYFUNCTION("""COMPUTED_VALUE"""),"")</f>
        <v/>
      </c>
      <c r="U328" s="246" t="str">
        <f>IFERROR(__xludf.DUMMYFUNCTION("""COMPUTED_VALUE"""),"")</f>
        <v/>
      </c>
      <c r="V328" s="247" t="str">
        <f t="shared" si="6"/>
        <v/>
      </c>
      <c r="W328" s="255" t="str">
        <f>IFERROR(__xludf.DUMMYFUNCTION("""COMPUTED_VALUE"""),"")</f>
        <v/>
      </c>
      <c r="X328" s="249" t="str">
        <f>IFERROR(__xludf.DUMMYFUNCTION("""COMPUTED_VALUE"""),"")</f>
        <v/>
      </c>
      <c r="Y328" s="250" t="str">
        <f t="shared" si="7"/>
        <v/>
      </c>
    </row>
    <row r="329">
      <c r="A329" s="136" t="s">
        <v>133</v>
      </c>
      <c r="B329" s="136"/>
      <c r="C329" s="136" t="s">
        <v>133</v>
      </c>
      <c r="D329" s="136" t="s">
        <v>133</v>
      </c>
      <c r="E329" s="256" t="str">
        <f>IFERROR(__xludf.DUMMYFUNCTION("""COMPUTED_VALUE"""),"")</f>
        <v/>
      </c>
      <c r="F329" s="257" t="str">
        <f>IFERROR(__xludf.DUMMYFUNCTION("""COMPUTED_VALUE"""),"")</f>
        <v/>
      </c>
      <c r="G329" s="247" t="str">
        <f t="shared" si="1"/>
        <v/>
      </c>
      <c r="H329" s="258" t="str">
        <f>IFERROR(__xludf.DUMMYFUNCTION("""COMPUTED_VALUE"""),"")</f>
        <v/>
      </c>
      <c r="I329" s="259" t="str">
        <f>IFERROR(__xludf.DUMMYFUNCTION("""COMPUTED_VALUE"""),"")</f>
        <v/>
      </c>
      <c r="J329" s="250" t="str">
        <f t="shared" si="2"/>
        <v/>
      </c>
      <c r="K329" s="317" t="str">
        <f>IFERROR(__xludf.DUMMYFUNCTION("""COMPUTED_VALUE"""),"")</f>
        <v/>
      </c>
      <c r="L329" s="318" t="str">
        <f>IFERROR(__xludf.DUMMYFUNCTION("""COMPUTED_VALUE"""),"")</f>
        <v/>
      </c>
      <c r="M329" s="253" t="str">
        <f t="shared" si="3"/>
        <v/>
      </c>
      <c r="N329" s="319" t="str">
        <f>IFERROR(__xludf.DUMMYFUNCTION("""COMPUTED_VALUE"""),"")</f>
        <v/>
      </c>
      <c r="O329" s="257" t="str">
        <f>IFERROR(__xludf.DUMMYFUNCTION("""COMPUTED_VALUE"""),"")</f>
        <v/>
      </c>
      <c r="P329" s="247" t="str">
        <f t="shared" si="4"/>
        <v/>
      </c>
      <c r="Q329" s="320" t="str">
        <f>IFERROR(__xludf.DUMMYFUNCTION("""COMPUTED_VALUE"""),"")</f>
        <v/>
      </c>
      <c r="R329" s="259" t="str">
        <f>IFERROR(__xludf.DUMMYFUNCTION("""COMPUTED_VALUE"""),"")</f>
        <v/>
      </c>
      <c r="S329" s="250" t="str">
        <f t="shared" si="5"/>
        <v/>
      </c>
      <c r="T329" s="254" t="str">
        <f>IFERROR(__xludf.DUMMYFUNCTION("""COMPUTED_VALUE"""),"")</f>
        <v/>
      </c>
      <c r="U329" s="246" t="str">
        <f>IFERROR(__xludf.DUMMYFUNCTION("""COMPUTED_VALUE"""),"")</f>
        <v/>
      </c>
      <c r="V329" s="247" t="str">
        <f t="shared" si="6"/>
        <v/>
      </c>
      <c r="W329" s="255" t="str">
        <f>IFERROR(__xludf.DUMMYFUNCTION("""COMPUTED_VALUE"""),"")</f>
        <v/>
      </c>
      <c r="X329" s="249" t="str">
        <f>IFERROR(__xludf.DUMMYFUNCTION("""COMPUTED_VALUE"""),"")</f>
        <v/>
      </c>
      <c r="Y329" s="250" t="str">
        <f t="shared" si="7"/>
        <v/>
      </c>
    </row>
    <row r="330">
      <c r="A330" s="136" t="s">
        <v>133</v>
      </c>
      <c r="B330" s="136"/>
      <c r="C330" s="136" t="s">
        <v>133</v>
      </c>
      <c r="D330" s="136" t="s">
        <v>133</v>
      </c>
      <c r="E330" s="256" t="str">
        <f>IFERROR(__xludf.DUMMYFUNCTION("""COMPUTED_VALUE"""),"")</f>
        <v/>
      </c>
      <c r="F330" s="257" t="str">
        <f>IFERROR(__xludf.DUMMYFUNCTION("""COMPUTED_VALUE"""),"")</f>
        <v/>
      </c>
      <c r="G330" s="247" t="str">
        <f t="shared" si="1"/>
        <v/>
      </c>
      <c r="H330" s="258" t="str">
        <f>IFERROR(__xludf.DUMMYFUNCTION("""COMPUTED_VALUE"""),"")</f>
        <v/>
      </c>
      <c r="I330" s="259" t="str">
        <f>IFERROR(__xludf.DUMMYFUNCTION("""COMPUTED_VALUE"""),"")</f>
        <v/>
      </c>
      <c r="J330" s="250" t="str">
        <f t="shared" si="2"/>
        <v/>
      </c>
      <c r="K330" s="317" t="str">
        <f>IFERROR(__xludf.DUMMYFUNCTION("""COMPUTED_VALUE"""),"")</f>
        <v/>
      </c>
      <c r="L330" s="318" t="str">
        <f>IFERROR(__xludf.DUMMYFUNCTION("""COMPUTED_VALUE"""),"")</f>
        <v/>
      </c>
      <c r="M330" s="253" t="str">
        <f t="shared" si="3"/>
        <v/>
      </c>
      <c r="N330" s="319" t="str">
        <f>IFERROR(__xludf.DUMMYFUNCTION("""COMPUTED_VALUE"""),"")</f>
        <v/>
      </c>
      <c r="O330" s="257" t="str">
        <f>IFERROR(__xludf.DUMMYFUNCTION("""COMPUTED_VALUE"""),"")</f>
        <v/>
      </c>
      <c r="P330" s="247" t="str">
        <f t="shared" si="4"/>
        <v/>
      </c>
      <c r="Q330" s="320" t="str">
        <f>IFERROR(__xludf.DUMMYFUNCTION("""COMPUTED_VALUE"""),"")</f>
        <v/>
      </c>
      <c r="R330" s="259" t="str">
        <f>IFERROR(__xludf.DUMMYFUNCTION("""COMPUTED_VALUE"""),"")</f>
        <v/>
      </c>
      <c r="S330" s="250" t="str">
        <f t="shared" si="5"/>
        <v/>
      </c>
      <c r="T330" s="254" t="str">
        <f>IFERROR(__xludf.DUMMYFUNCTION("""COMPUTED_VALUE"""),"")</f>
        <v/>
      </c>
      <c r="U330" s="246" t="str">
        <f>IFERROR(__xludf.DUMMYFUNCTION("""COMPUTED_VALUE"""),"")</f>
        <v/>
      </c>
      <c r="V330" s="247" t="str">
        <f t="shared" si="6"/>
        <v/>
      </c>
      <c r="W330" s="255" t="str">
        <f>IFERROR(__xludf.DUMMYFUNCTION("""COMPUTED_VALUE"""),"")</f>
        <v/>
      </c>
      <c r="X330" s="249" t="str">
        <f>IFERROR(__xludf.DUMMYFUNCTION("""COMPUTED_VALUE"""),"")</f>
        <v/>
      </c>
      <c r="Y330" s="250" t="str">
        <f t="shared" si="7"/>
        <v/>
      </c>
    </row>
    <row r="331">
      <c r="A331" s="136" t="s">
        <v>133</v>
      </c>
      <c r="B331" s="136"/>
      <c r="C331" s="136" t="s">
        <v>133</v>
      </c>
      <c r="D331" s="136" t="s">
        <v>133</v>
      </c>
      <c r="E331" s="256" t="str">
        <f>IFERROR(__xludf.DUMMYFUNCTION("""COMPUTED_VALUE"""),"")</f>
        <v/>
      </c>
      <c r="F331" s="257" t="str">
        <f>IFERROR(__xludf.DUMMYFUNCTION("""COMPUTED_VALUE"""),"")</f>
        <v/>
      </c>
      <c r="G331" s="247" t="str">
        <f t="shared" si="1"/>
        <v/>
      </c>
      <c r="H331" s="258" t="str">
        <f>IFERROR(__xludf.DUMMYFUNCTION("""COMPUTED_VALUE"""),"")</f>
        <v/>
      </c>
      <c r="I331" s="259" t="str">
        <f>IFERROR(__xludf.DUMMYFUNCTION("""COMPUTED_VALUE"""),"")</f>
        <v/>
      </c>
      <c r="J331" s="250" t="str">
        <f t="shared" si="2"/>
        <v/>
      </c>
      <c r="K331" s="317" t="str">
        <f>IFERROR(__xludf.DUMMYFUNCTION("""COMPUTED_VALUE"""),"")</f>
        <v/>
      </c>
      <c r="L331" s="318" t="str">
        <f>IFERROR(__xludf.DUMMYFUNCTION("""COMPUTED_VALUE"""),"")</f>
        <v/>
      </c>
      <c r="M331" s="253" t="str">
        <f t="shared" si="3"/>
        <v/>
      </c>
      <c r="N331" s="319" t="str">
        <f>IFERROR(__xludf.DUMMYFUNCTION("""COMPUTED_VALUE"""),"")</f>
        <v/>
      </c>
      <c r="O331" s="257" t="str">
        <f>IFERROR(__xludf.DUMMYFUNCTION("""COMPUTED_VALUE"""),"")</f>
        <v/>
      </c>
      <c r="P331" s="247" t="str">
        <f t="shared" si="4"/>
        <v/>
      </c>
      <c r="Q331" s="320" t="str">
        <f>IFERROR(__xludf.DUMMYFUNCTION("""COMPUTED_VALUE"""),"")</f>
        <v/>
      </c>
      <c r="R331" s="259" t="str">
        <f>IFERROR(__xludf.DUMMYFUNCTION("""COMPUTED_VALUE"""),"")</f>
        <v/>
      </c>
      <c r="S331" s="250" t="str">
        <f t="shared" si="5"/>
        <v/>
      </c>
      <c r="T331" s="254" t="str">
        <f>IFERROR(__xludf.DUMMYFUNCTION("""COMPUTED_VALUE"""),"")</f>
        <v/>
      </c>
      <c r="U331" s="246" t="str">
        <f>IFERROR(__xludf.DUMMYFUNCTION("""COMPUTED_VALUE"""),"")</f>
        <v/>
      </c>
      <c r="V331" s="247" t="str">
        <f t="shared" si="6"/>
        <v/>
      </c>
      <c r="W331" s="255" t="str">
        <f>IFERROR(__xludf.DUMMYFUNCTION("""COMPUTED_VALUE"""),"")</f>
        <v/>
      </c>
      <c r="X331" s="249" t="str">
        <f>IFERROR(__xludf.DUMMYFUNCTION("""COMPUTED_VALUE"""),"")</f>
        <v/>
      </c>
      <c r="Y331" s="250" t="str">
        <f t="shared" si="7"/>
        <v/>
      </c>
    </row>
    <row r="332">
      <c r="A332" s="136" t="s">
        <v>133</v>
      </c>
      <c r="B332" s="136"/>
      <c r="C332" s="136" t="s">
        <v>133</v>
      </c>
      <c r="D332" s="136" t="s">
        <v>133</v>
      </c>
      <c r="E332" s="256" t="str">
        <f>IFERROR(__xludf.DUMMYFUNCTION("""COMPUTED_VALUE"""),"")</f>
        <v/>
      </c>
      <c r="F332" s="257" t="str">
        <f>IFERROR(__xludf.DUMMYFUNCTION("""COMPUTED_VALUE"""),"")</f>
        <v/>
      </c>
      <c r="G332" s="247" t="str">
        <f t="shared" si="1"/>
        <v/>
      </c>
      <c r="H332" s="258" t="str">
        <f>IFERROR(__xludf.DUMMYFUNCTION("""COMPUTED_VALUE"""),"")</f>
        <v/>
      </c>
      <c r="I332" s="259" t="str">
        <f>IFERROR(__xludf.DUMMYFUNCTION("""COMPUTED_VALUE"""),"")</f>
        <v/>
      </c>
      <c r="J332" s="250" t="str">
        <f t="shared" si="2"/>
        <v/>
      </c>
      <c r="K332" s="317" t="str">
        <f>IFERROR(__xludf.DUMMYFUNCTION("""COMPUTED_VALUE"""),"")</f>
        <v/>
      </c>
      <c r="L332" s="318" t="str">
        <f>IFERROR(__xludf.DUMMYFUNCTION("""COMPUTED_VALUE"""),"")</f>
        <v/>
      </c>
      <c r="M332" s="253" t="str">
        <f t="shared" si="3"/>
        <v/>
      </c>
      <c r="N332" s="319" t="str">
        <f>IFERROR(__xludf.DUMMYFUNCTION("""COMPUTED_VALUE"""),"")</f>
        <v/>
      </c>
      <c r="O332" s="257" t="str">
        <f>IFERROR(__xludf.DUMMYFUNCTION("""COMPUTED_VALUE"""),"")</f>
        <v/>
      </c>
      <c r="P332" s="247" t="str">
        <f t="shared" si="4"/>
        <v/>
      </c>
      <c r="Q332" s="320" t="str">
        <f>IFERROR(__xludf.DUMMYFUNCTION("""COMPUTED_VALUE"""),"")</f>
        <v/>
      </c>
      <c r="R332" s="259" t="str">
        <f>IFERROR(__xludf.DUMMYFUNCTION("""COMPUTED_VALUE"""),"")</f>
        <v/>
      </c>
      <c r="S332" s="250" t="str">
        <f t="shared" si="5"/>
        <v/>
      </c>
      <c r="T332" s="254" t="str">
        <f>IFERROR(__xludf.DUMMYFUNCTION("""COMPUTED_VALUE"""),"")</f>
        <v/>
      </c>
      <c r="U332" s="246" t="str">
        <f>IFERROR(__xludf.DUMMYFUNCTION("""COMPUTED_VALUE"""),"")</f>
        <v/>
      </c>
      <c r="V332" s="247" t="str">
        <f t="shared" si="6"/>
        <v/>
      </c>
      <c r="W332" s="255" t="str">
        <f>IFERROR(__xludf.DUMMYFUNCTION("""COMPUTED_VALUE"""),"")</f>
        <v/>
      </c>
      <c r="X332" s="249" t="str">
        <f>IFERROR(__xludf.DUMMYFUNCTION("""COMPUTED_VALUE"""),"")</f>
        <v/>
      </c>
      <c r="Y332" s="250" t="str">
        <f t="shared" si="7"/>
        <v/>
      </c>
    </row>
    <row r="333">
      <c r="A333" s="136" t="s">
        <v>133</v>
      </c>
      <c r="B333" s="136"/>
      <c r="C333" s="136" t="s">
        <v>133</v>
      </c>
      <c r="D333" s="136" t="s">
        <v>133</v>
      </c>
      <c r="E333" s="256" t="str">
        <f>IFERROR(__xludf.DUMMYFUNCTION("""COMPUTED_VALUE"""),"")</f>
        <v/>
      </c>
      <c r="F333" s="257" t="str">
        <f>IFERROR(__xludf.DUMMYFUNCTION("""COMPUTED_VALUE"""),"")</f>
        <v/>
      </c>
      <c r="G333" s="247" t="str">
        <f t="shared" si="1"/>
        <v/>
      </c>
      <c r="H333" s="258" t="str">
        <f>IFERROR(__xludf.DUMMYFUNCTION("""COMPUTED_VALUE"""),"")</f>
        <v/>
      </c>
      <c r="I333" s="259" t="str">
        <f>IFERROR(__xludf.DUMMYFUNCTION("""COMPUTED_VALUE"""),"")</f>
        <v/>
      </c>
      <c r="J333" s="250" t="str">
        <f t="shared" si="2"/>
        <v/>
      </c>
      <c r="K333" s="317" t="str">
        <f>IFERROR(__xludf.DUMMYFUNCTION("""COMPUTED_VALUE"""),"")</f>
        <v/>
      </c>
      <c r="L333" s="318" t="str">
        <f>IFERROR(__xludf.DUMMYFUNCTION("""COMPUTED_VALUE"""),"")</f>
        <v/>
      </c>
      <c r="M333" s="253" t="str">
        <f t="shared" si="3"/>
        <v/>
      </c>
      <c r="N333" s="319" t="str">
        <f>IFERROR(__xludf.DUMMYFUNCTION("""COMPUTED_VALUE"""),"")</f>
        <v/>
      </c>
      <c r="O333" s="257" t="str">
        <f>IFERROR(__xludf.DUMMYFUNCTION("""COMPUTED_VALUE"""),"")</f>
        <v/>
      </c>
      <c r="P333" s="247" t="str">
        <f t="shared" si="4"/>
        <v/>
      </c>
      <c r="Q333" s="320" t="str">
        <f>IFERROR(__xludf.DUMMYFUNCTION("""COMPUTED_VALUE"""),"")</f>
        <v/>
      </c>
      <c r="R333" s="259" t="str">
        <f>IFERROR(__xludf.DUMMYFUNCTION("""COMPUTED_VALUE"""),"")</f>
        <v/>
      </c>
      <c r="S333" s="250" t="str">
        <f t="shared" si="5"/>
        <v/>
      </c>
      <c r="T333" s="254" t="str">
        <f>IFERROR(__xludf.DUMMYFUNCTION("""COMPUTED_VALUE"""),"")</f>
        <v/>
      </c>
      <c r="U333" s="246" t="str">
        <f>IFERROR(__xludf.DUMMYFUNCTION("""COMPUTED_VALUE"""),"")</f>
        <v/>
      </c>
      <c r="V333" s="247" t="str">
        <f t="shared" si="6"/>
        <v/>
      </c>
      <c r="W333" s="255" t="str">
        <f>IFERROR(__xludf.DUMMYFUNCTION("""COMPUTED_VALUE"""),"")</f>
        <v/>
      </c>
      <c r="X333" s="249" t="str">
        <f>IFERROR(__xludf.DUMMYFUNCTION("""COMPUTED_VALUE"""),"")</f>
        <v/>
      </c>
      <c r="Y333" s="250" t="str">
        <f t="shared" si="7"/>
        <v/>
      </c>
    </row>
    <row r="334">
      <c r="A334" s="136" t="s">
        <v>133</v>
      </c>
      <c r="B334" s="136"/>
      <c r="C334" s="136" t="s">
        <v>133</v>
      </c>
      <c r="D334" s="136" t="s">
        <v>133</v>
      </c>
      <c r="E334" s="256" t="str">
        <f>IFERROR(__xludf.DUMMYFUNCTION("""COMPUTED_VALUE"""),"")</f>
        <v/>
      </c>
      <c r="F334" s="257" t="str">
        <f>IFERROR(__xludf.DUMMYFUNCTION("""COMPUTED_VALUE"""),"")</f>
        <v/>
      </c>
      <c r="G334" s="247" t="str">
        <f t="shared" si="1"/>
        <v/>
      </c>
      <c r="H334" s="258" t="str">
        <f>IFERROR(__xludf.DUMMYFUNCTION("""COMPUTED_VALUE"""),"")</f>
        <v/>
      </c>
      <c r="I334" s="259" t="str">
        <f>IFERROR(__xludf.DUMMYFUNCTION("""COMPUTED_VALUE"""),"")</f>
        <v/>
      </c>
      <c r="J334" s="250" t="str">
        <f t="shared" si="2"/>
        <v/>
      </c>
      <c r="K334" s="317" t="str">
        <f>IFERROR(__xludf.DUMMYFUNCTION("""COMPUTED_VALUE"""),"")</f>
        <v/>
      </c>
      <c r="L334" s="318" t="str">
        <f>IFERROR(__xludf.DUMMYFUNCTION("""COMPUTED_VALUE"""),"")</f>
        <v/>
      </c>
      <c r="M334" s="253" t="str">
        <f t="shared" si="3"/>
        <v/>
      </c>
      <c r="N334" s="319" t="str">
        <f>IFERROR(__xludf.DUMMYFUNCTION("""COMPUTED_VALUE"""),"")</f>
        <v/>
      </c>
      <c r="O334" s="257" t="str">
        <f>IFERROR(__xludf.DUMMYFUNCTION("""COMPUTED_VALUE"""),"")</f>
        <v/>
      </c>
      <c r="P334" s="247" t="str">
        <f t="shared" si="4"/>
        <v/>
      </c>
      <c r="Q334" s="320" t="str">
        <f>IFERROR(__xludf.DUMMYFUNCTION("""COMPUTED_VALUE"""),"")</f>
        <v/>
      </c>
      <c r="R334" s="259" t="str">
        <f>IFERROR(__xludf.DUMMYFUNCTION("""COMPUTED_VALUE"""),"")</f>
        <v/>
      </c>
      <c r="S334" s="250" t="str">
        <f t="shared" si="5"/>
        <v/>
      </c>
      <c r="T334" s="254" t="str">
        <f>IFERROR(__xludf.DUMMYFUNCTION("""COMPUTED_VALUE"""),"")</f>
        <v/>
      </c>
      <c r="U334" s="246" t="str">
        <f>IFERROR(__xludf.DUMMYFUNCTION("""COMPUTED_VALUE"""),"")</f>
        <v/>
      </c>
      <c r="V334" s="247" t="str">
        <f t="shared" si="6"/>
        <v/>
      </c>
      <c r="W334" s="255" t="str">
        <f>IFERROR(__xludf.DUMMYFUNCTION("""COMPUTED_VALUE"""),"")</f>
        <v/>
      </c>
      <c r="X334" s="249" t="str">
        <f>IFERROR(__xludf.DUMMYFUNCTION("""COMPUTED_VALUE"""),"")</f>
        <v/>
      </c>
      <c r="Y334" s="250" t="str">
        <f t="shared" si="7"/>
        <v/>
      </c>
    </row>
    <row r="335">
      <c r="A335" s="136" t="s">
        <v>133</v>
      </c>
      <c r="B335" s="136"/>
      <c r="C335" s="136" t="s">
        <v>133</v>
      </c>
      <c r="D335" s="136" t="s">
        <v>133</v>
      </c>
      <c r="E335" s="256" t="str">
        <f>IFERROR(__xludf.DUMMYFUNCTION("""COMPUTED_VALUE"""),"")</f>
        <v/>
      </c>
      <c r="F335" s="257" t="str">
        <f>IFERROR(__xludf.DUMMYFUNCTION("""COMPUTED_VALUE"""),"")</f>
        <v/>
      </c>
      <c r="G335" s="247" t="str">
        <f t="shared" si="1"/>
        <v/>
      </c>
      <c r="H335" s="258" t="str">
        <f>IFERROR(__xludf.DUMMYFUNCTION("""COMPUTED_VALUE"""),"")</f>
        <v/>
      </c>
      <c r="I335" s="259" t="str">
        <f>IFERROR(__xludf.DUMMYFUNCTION("""COMPUTED_VALUE"""),"")</f>
        <v/>
      </c>
      <c r="J335" s="250" t="str">
        <f t="shared" si="2"/>
        <v/>
      </c>
      <c r="K335" s="317" t="str">
        <f>IFERROR(__xludf.DUMMYFUNCTION("""COMPUTED_VALUE"""),"")</f>
        <v/>
      </c>
      <c r="L335" s="318" t="str">
        <f>IFERROR(__xludf.DUMMYFUNCTION("""COMPUTED_VALUE"""),"")</f>
        <v/>
      </c>
      <c r="M335" s="253" t="str">
        <f t="shared" si="3"/>
        <v/>
      </c>
      <c r="N335" s="319" t="str">
        <f>IFERROR(__xludf.DUMMYFUNCTION("""COMPUTED_VALUE"""),"")</f>
        <v/>
      </c>
      <c r="O335" s="257" t="str">
        <f>IFERROR(__xludf.DUMMYFUNCTION("""COMPUTED_VALUE"""),"")</f>
        <v/>
      </c>
      <c r="P335" s="247" t="str">
        <f t="shared" si="4"/>
        <v/>
      </c>
      <c r="Q335" s="320" t="str">
        <f>IFERROR(__xludf.DUMMYFUNCTION("""COMPUTED_VALUE"""),"")</f>
        <v/>
      </c>
      <c r="R335" s="259" t="str">
        <f>IFERROR(__xludf.DUMMYFUNCTION("""COMPUTED_VALUE"""),"")</f>
        <v/>
      </c>
      <c r="S335" s="250" t="str">
        <f t="shared" si="5"/>
        <v/>
      </c>
      <c r="T335" s="254" t="str">
        <f>IFERROR(__xludf.DUMMYFUNCTION("""COMPUTED_VALUE"""),"")</f>
        <v/>
      </c>
      <c r="U335" s="246" t="str">
        <f>IFERROR(__xludf.DUMMYFUNCTION("""COMPUTED_VALUE"""),"")</f>
        <v/>
      </c>
      <c r="V335" s="247" t="str">
        <f t="shared" si="6"/>
        <v/>
      </c>
      <c r="W335" s="255" t="str">
        <f>IFERROR(__xludf.DUMMYFUNCTION("""COMPUTED_VALUE"""),"")</f>
        <v/>
      </c>
      <c r="X335" s="249" t="str">
        <f>IFERROR(__xludf.DUMMYFUNCTION("""COMPUTED_VALUE"""),"")</f>
        <v/>
      </c>
      <c r="Y335" s="250" t="str">
        <f t="shared" si="7"/>
        <v/>
      </c>
    </row>
    <row r="336">
      <c r="A336" s="136" t="s">
        <v>133</v>
      </c>
      <c r="B336" s="136"/>
      <c r="C336" s="136" t="s">
        <v>133</v>
      </c>
      <c r="D336" s="136" t="s">
        <v>133</v>
      </c>
      <c r="E336" s="256" t="str">
        <f>IFERROR(__xludf.DUMMYFUNCTION("""COMPUTED_VALUE"""),"")</f>
        <v/>
      </c>
      <c r="F336" s="257" t="str">
        <f>IFERROR(__xludf.DUMMYFUNCTION("""COMPUTED_VALUE"""),"")</f>
        <v/>
      </c>
      <c r="G336" s="247" t="str">
        <f t="shared" si="1"/>
        <v/>
      </c>
      <c r="H336" s="258" t="str">
        <f>IFERROR(__xludf.DUMMYFUNCTION("""COMPUTED_VALUE"""),"")</f>
        <v/>
      </c>
      <c r="I336" s="259" t="str">
        <f>IFERROR(__xludf.DUMMYFUNCTION("""COMPUTED_VALUE"""),"")</f>
        <v/>
      </c>
      <c r="J336" s="250" t="str">
        <f t="shared" si="2"/>
        <v/>
      </c>
      <c r="K336" s="317" t="str">
        <f>IFERROR(__xludf.DUMMYFUNCTION("""COMPUTED_VALUE"""),"")</f>
        <v/>
      </c>
      <c r="L336" s="318" t="str">
        <f>IFERROR(__xludf.DUMMYFUNCTION("""COMPUTED_VALUE"""),"")</f>
        <v/>
      </c>
      <c r="M336" s="253" t="str">
        <f t="shared" si="3"/>
        <v/>
      </c>
      <c r="N336" s="319" t="str">
        <f>IFERROR(__xludf.DUMMYFUNCTION("""COMPUTED_VALUE"""),"")</f>
        <v/>
      </c>
      <c r="O336" s="257" t="str">
        <f>IFERROR(__xludf.DUMMYFUNCTION("""COMPUTED_VALUE"""),"")</f>
        <v/>
      </c>
      <c r="P336" s="247" t="str">
        <f t="shared" si="4"/>
        <v/>
      </c>
      <c r="Q336" s="320" t="str">
        <f>IFERROR(__xludf.DUMMYFUNCTION("""COMPUTED_VALUE"""),"")</f>
        <v/>
      </c>
      <c r="R336" s="259" t="str">
        <f>IFERROR(__xludf.DUMMYFUNCTION("""COMPUTED_VALUE"""),"")</f>
        <v/>
      </c>
      <c r="S336" s="250" t="str">
        <f t="shared" si="5"/>
        <v/>
      </c>
      <c r="T336" s="254" t="str">
        <f>IFERROR(__xludf.DUMMYFUNCTION("""COMPUTED_VALUE"""),"")</f>
        <v/>
      </c>
      <c r="U336" s="246" t="str">
        <f>IFERROR(__xludf.DUMMYFUNCTION("""COMPUTED_VALUE"""),"")</f>
        <v/>
      </c>
      <c r="V336" s="247" t="str">
        <f t="shared" si="6"/>
        <v/>
      </c>
      <c r="W336" s="255" t="str">
        <f>IFERROR(__xludf.DUMMYFUNCTION("""COMPUTED_VALUE"""),"")</f>
        <v/>
      </c>
      <c r="X336" s="249" t="str">
        <f>IFERROR(__xludf.DUMMYFUNCTION("""COMPUTED_VALUE"""),"")</f>
        <v/>
      </c>
      <c r="Y336" s="250" t="str">
        <f t="shared" si="7"/>
        <v/>
      </c>
    </row>
    <row r="337">
      <c r="A337" s="136" t="s">
        <v>133</v>
      </c>
      <c r="B337" s="136"/>
      <c r="C337" s="136" t="s">
        <v>133</v>
      </c>
      <c r="D337" s="136" t="s">
        <v>133</v>
      </c>
      <c r="E337" s="256" t="str">
        <f>IFERROR(__xludf.DUMMYFUNCTION("""COMPUTED_VALUE"""),"")</f>
        <v/>
      </c>
      <c r="F337" s="257" t="str">
        <f>IFERROR(__xludf.DUMMYFUNCTION("""COMPUTED_VALUE"""),"")</f>
        <v/>
      </c>
      <c r="G337" s="247" t="str">
        <f t="shared" si="1"/>
        <v/>
      </c>
      <c r="H337" s="258" t="str">
        <f>IFERROR(__xludf.DUMMYFUNCTION("""COMPUTED_VALUE"""),"")</f>
        <v/>
      </c>
      <c r="I337" s="259" t="str">
        <f>IFERROR(__xludf.DUMMYFUNCTION("""COMPUTED_VALUE"""),"")</f>
        <v/>
      </c>
      <c r="J337" s="250" t="str">
        <f t="shared" si="2"/>
        <v/>
      </c>
      <c r="K337" s="317" t="str">
        <f>IFERROR(__xludf.DUMMYFUNCTION("""COMPUTED_VALUE"""),"")</f>
        <v/>
      </c>
      <c r="L337" s="318" t="str">
        <f>IFERROR(__xludf.DUMMYFUNCTION("""COMPUTED_VALUE"""),"")</f>
        <v/>
      </c>
      <c r="M337" s="253" t="str">
        <f t="shared" si="3"/>
        <v/>
      </c>
      <c r="N337" s="319" t="str">
        <f>IFERROR(__xludf.DUMMYFUNCTION("""COMPUTED_VALUE"""),"")</f>
        <v/>
      </c>
      <c r="O337" s="257" t="str">
        <f>IFERROR(__xludf.DUMMYFUNCTION("""COMPUTED_VALUE"""),"")</f>
        <v/>
      </c>
      <c r="P337" s="247" t="str">
        <f t="shared" si="4"/>
        <v/>
      </c>
      <c r="Q337" s="320" t="str">
        <f>IFERROR(__xludf.DUMMYFUNCTION("""COMPUTED_VALUE"""),"")</f>
        <v/>
      </c>
      <c r="R337" s="259" t="str">
        <f>IFERROR(__xludf.DUMMYFUNCTION("""COMPUTED_VALUE"""),"")</f>
        <v/>
      </c>
      <c r="S337" s="250" t="str">
        <f t="shared" si="5"/>
        <v/>
      </c>
      <c r="T337" s="254" t="str">
        <f>IFERROR(__xludf.DUMMYFUNCTION("""COMPUTED_VALUE"""),"")</f>
        <v/>
      </c>
      <c r="U337" s="246" t="str">
        <f>IFERROR(__xludf.DUMMYFUNCTION("""COMPUTED_VALUE"""),"")</f>
        <v/>
      </c>
      <c r="V337" s="247" t="str">
        <f t="shared" si="6"/>
        <v/>
      </c>
      <c r="W337" s="255" t="str">
        <f>IFERROR(__xludf.DUMMYFUNCTION("""COMPUTED_VALUE"""),"")</f>
        <v/>
      </c>
      <c r="X337" s="249" t="str">
        <f>IFERROR(__xludf.DUMMYFUNCTION("""COMPUTED_VALUE"""),"")</f>
        <v/>
      </c>
      <c r="Y337" s="250" t="str">
        <f t="shared" si="7"/>
        <v/>
      </c>
    </row>
    <row r="338">
      <c r="A338" s="136" t="s">
        <v>133</v>
      </c>
      <c r="B338" s="136"/>
      <c r="C338" s="136" t="s">
        <v>133</v>
      </c>
      <c r="D338" s="136" t="s">
        <v>133</v>
      </c>
      <c r="E338" s="256" t="str">
        <f>IFERROR(__xludf.DUMMYFUNCTION("""COMPUTED_VALUE"""),"")</f>
        <v/>
      </c>
      <c r="F338" s="257" t="str">
        <f>IFERROR(__xludf.DUMMYFUNCTION("""COMPUTED_VALUE"""),"")</f>
        <v/>
      </c>
      <c r="G338" s="247" t="str">
        <f t="shared" si="1"/>
        <v/>
      </c>
      <c r="H338" s="258" t="str">
        <f>IFERROR(__xludf.DUMMYFUNCTION("""COMPUTED_VALUE"""),"")</f>
        <v/>
      </c>
      <c r="I338" s="259" t="str">
        <f>IFERROR(__xludf.DUMMYFUNCTION("""COMPUTED_VALUE"""),"")</f>
        <v/>
      </c>
      <c r="J338" s="250" t="str">
        <f t="shared" si="2"/>
        <v/>
      </c>
      <c r="K338" s="317" t="str">
        <f>IFERROR(__xludf.DUMMYFUNCTION("""COMPUTED_VALUE"""),"")</f>
        <v/>
      </c>
      <c r="L338" s="318" t="str">
        <f>IFERROR(__xludf.DUMMYFUNCTION("""COMPUTED_VALUE"""),"")</f>
        <v/>
      </c>
      <c r="M338" s="253" t="str">
        <f t="shared" si="3"/>
        <v/>
      </c>
      <c r="N338" s="319" t="str">
        <f>IFERROR(__xludf.DUMMYFUNCTION("""COMPUTED_VALUE"""),"")</f>
        <v/>
      </c>
      <c r="O338" s="257" t="str">
        <f>IFERROR(__xludf.DUMMYFUNCTION("""COMPUTED_VALUE"""),"")</f>
        <v/>
      </c>
      <c r="P338" s="247" t="str">
        <f t="shared" si="4"/>
        <v/>
      </c>
      <c r="Q338" s="320" t="str">
        <f>IFERROR(__xludf.DUMMYFUNCTION("""COMPUTED_VALUE"""),"")</f>
        <v/>
      </c>
      <c r="R338" s="259" t="str">
        <f>IFERROR(__xludf.DUMMYFUNCTION("""COMPUTED_VALUE"""),"")</f>
        <v/>
      </c>
      <c r="S338" s="250" t="str">
        <f t="shared" si="5"/>
        <v/>
      </c>
      <c r="T338" s="254" t="str">
        <f>IFERROR(__xludf.DUMMYFUNCTION("""COMPUTED_VALUE"""),"")</f>
        <v/>
      </c>
      <c r="U338" s="246" t="str">
        <f>IFERROR(__xludf.DUMMYFUNCTION("""COMPUTED_VALUE"""),"")</f>
        <v/>
      </c>
      <c r="V338" s="247" t="str">
        <f t="shared" si="6"/>
        <v/>
      </c>
      <c r="W338" s="255" t="str">
        <f>IFERROR(__xludf.DUMMYFUNCTION("""COMPUTED_VALUE"""),"")</f>
        <v/>
      </c>
      <c r="X338" s="249" t="str">
        <f>IFERROR(__xludf.DUMMYFUNCTION("""COMPUTED_VALUE"""),"")</f>
        <v/>
      </c>
      <c r="Y338" s="250" t="str">
        <f t="shared" si="7"/>
        <v/>
      </c>
    </row>
    <row r="339">
      <c r="A339" s="136" t="s">
        <v>133</v>
      </c>
      <c r="B339" s="136"/>
      <c r="C339" s="136" t="s">
        <v>133</v>
      </c>
      <c r="D339" s="136" t="s">
        <v>133</v>
      </c>
      <c r="E339" s="256" t="str">
        <f>IFERROR(__xludf.DUMMYFUNCTION("""COMPUTED_VALUE"""),"")</f>
        <v/>
      </c>
      <c r="F339" s="257" t="str">
        <f>IFERROR(__xludf.DUMMYFUNCTION("""COMPUTED_VALUE"""),"")</f>
        <v/>
      </c>
      <c r="G339" s="247" t="str">
        <f t="shared" si="1"/>
        <v/>
      </c>
      <c r="H339" s="258" t="str">
        <f>IFERROR(__xludf.DUMMYFUNCTION("""COMPUTED_VALUE"""),"")</f>
        <v/>
      </c>
      <c r="I339" s="259" t="str">
        <f>IFERROR(__xludf.DUMMYFUNCTION("""COMPUTED_VALUE"""),"")</f>
        <v/>
      </c>
      <c r="J339" s="250" t="str">
        <f t="shared" si="2"/>
        <v/>
      </c>
      <c r="K339" s="317" t="str">
        <f>IFERROR(__xludf.DUMMYFUNCTION("""COMPUTED_VALUE"""),"")</f>
        <v/>
      </c>
      <c r="L339" s="318" t="str">
        <f>IFERROR(__xludf.DUMMYFUNCTION("""COMPUTED_VALUE"""),"")</f>
        <v/>
      </c>
      <c r="M339" s="253" t="str">
        <f t="shared" si="3"/>
        <v/>
      </c>
      <c r="N339" s="319" t="str">
        <f>IFERROR(__xludf.DUMMYFUNCTION("""COMPUTED_VALUE"""),"")</f>
        <v/>
      </c>
      <c r="O339" s="257" t="str">
        <f>IFERROR(__xludf.DUMMYFUNCTION("""COMPUTED_VALUE"""),"")</f>
        <v/>
      </c>
      <c r="P339" s="247" t="str">
        <f t="shared" si="4"/>
        <v/>
      </c>
      <c r="Q339" s="320" t="str">
        <f>IFERROR(__xludf.DUMMYFUNCTION("""COMPUTED_VALUE"""),"")</f>
        <v/>
      </c>
      <c r="R339" s="259" t="str">
        <f>IFERROR(__xludf.DUMMYFUNCTION("""COMPUTED_VALUE"""),"")</f>
        <v/>
      </c>
      <c r="S339" s="250" t="str">
        <f t="shared" si="5"/>
        <v/>
      </c>
      <c r="T339" s="254" t="str">
        <f>IFERROR(__xludf.DUMMYFUNCTION("""COMPUTED_VALUE"""),"")</f>
        <v/>
      </c>
      <c r="U339" s="246" t="str">
        <f>IFERROR(__xludf.DUMMYFUNCTION("""COMPUTED_VALUE"""),"")</f>
        <v/>
      </c>
      <c r="V339" s="247" t="str">
        <f t="shared" si="6"/>
        <v/>
      </c>
      <c r="W339" s="255" t="str">
        <f>IFERROR(__xludf.DUMMYFUNCTION("""COMPUTED_VALUE"""),"")</f>
        <v/>
      </c>
      <c r="X339" s="249" t="str">
        <f>IFERROR(__xludf.DUMMYFUNCTION("""COMPUTED_VALUE"""),"")</f>
        <v/>
      </c>
      <c r="Y339" s="250" t="str">
        <f t="shared" si="7"/>
        <v/>
      </c>
    </row>
    <row r="340">
      <c r="A340" s="136" t="s">
        <v>133</v>
      </c>
      <c r="B340" s="136"/>
      <c r="C340" s="136" t="s">
        <v>133</v>
      </c>
      <c r="D340" s="136" t="s">
        <v>133</v>
      </c>
      <c r="E340" s="256" t="str">
        <f>IFERROR(__xludf.DUMMYFUNCTION("""COMPUTED_VALUE"""),"")</f>
        <v/>
      </c>
      <c r="F340" s="257" t="str">
        <f>IFERROR(__xludf.DUMMYFUNCTION("""COMPUTED_VALUE"""),"")</f>
        <v/>
      </c>
      <c r="G340" s="247" t="str">
        <f t="shared" si="1"/>
        <v/>
      </c>
      <c r="H340" s="258" t="str">
        <f>IFERROR(__xludf.DUMMYFUNCTION("""COMPUTED_VALUE"""),"")</f>
        <v/>
      </c>
      <c r="I340" s="259" t="str">
        <f>IFERROR(__xludf.DUMMYFUNCTION("""COMPUTED_VALUE"""),"")</f>
        <v/>
      </c>
      <c r="J340" s="250" t="str">
        <f t="shared" si="2"/>
        <v/>
      </c>
      <c r="K340" s="317" t="str">
        <f>IFERROR(__xludf.DUMMYFUNCTION("""COMPUTED_VALUE"""),"")</f>
        <v/>
      </c>
      <c r="L340" s="318" t="str">
        <f>IFERROR(__xludf.DUMMYFUNCTION("""COMPUTED_VALUE"""),"")</f>
        <v/>
      </c>
      <c r="M340" s="253" t="str">
        <f t="shared" si="3"/>
        <v/>
      </c>
      <c r="N340" s="319" t="str">
        <f>IFERROR(__xludf.DUMMYFUNCTION("""COMPUTED_VALUE"""),"")</f>
        <v/>
      </c>
      <c r="O340" s="257" t="str">
        <f>IFERROR(__xludf.DUMMYFUNCTION("""COMPUTED_VALUE"""),"")</f>
        <v/>
      </c>
      <c r="P340" s="247" t="str">
        <f t="shared" si="4"/>
        <v/>
      </c>
      <c r="Q340" s="320" t="str">
        <f>IFERROR(__xludf.DUMMYFUNCTION("""COMPUTED_VALUE"""),"")</f>
        <v/>
      </c>
      <c r="R340" s="259" t="str">
        <f>IFERROR(__xludf.DUMMYFUNCTION("""COMPUTED_VALUE"""),"")</f>
        <v/>
      </c>
      <c r="S340" s="250" t="str">
        <f t="shared" si="5"/>
        <v/>
      </c>
      <c r="T340" s="254" t="str">
        <f>IFERROR(__xludf.DUMMYFUNCTION("""COMPUTED_VALUE"""),"")</f>
        <v/>
      </c>
      <c r="U340" s="246" t="str">
        <f>IFERROR(__xludf.DUMMYFUNCTION("""COMPUTED_VALUE"""),"")</f>
        <v/>
      </c>
      <c r="V340" s="247" t="str">
        <f t="shared" si="6"/>
        <v/>
      </c>
      <c r="W340" s="255" t="str">
        <f>IFERROR(__xludf.DUMMYFUNCTION("""COMPUTED_VALUE"""),"")</f>
        <v/>
      </c>
      <c r="X340" s="249" t="str">
        <f>IFERROR(__xludf.DUMMYFUNCTION("""COMPUTED_VALUE"""),"")</f>
        <v/>
      </c>
      <c r="Y340" s="250" t="str">
        <f t="shared" si="7"/>
        <v/>
      </c>
    </row>
    <row r="341">
      <c r="A341" s="136" t="s">
        <v>133</v>
      </c>
      <c r="B341" s="136"/>
      <c r="C341" s="136" t="s">
        <v>133</v>
      </c>
      <c r="D341" s="136" t="s">
        <v>133</v>
      </c>
      <c r="E341" s="256" t="str">
        <f>IFERROR(__xludf.DUMMYFUNCTION("""COMPUTED_VALUE"""),"")</f>
        <v/>
      </c>
      <c r="F341" s="257" t="str">
        <f>IFERROR(__xludf.DUMMYFUNCTION("""COMPUTED_VALUE"""),"")</f>
        <v/>
      </c>
      <c r="G341" s="247" t="str">
        <f t="shared" si="1"/>
        <v/>
      </c>
      <c r="H341" s="258" t="str">
        <f>IFERROR(__xludf.DUMMYFUNCTION("""COMPUTED_VALUE"""),"")</f>
        <v/>
      </c>
      <c r="I341" s="259" t="str">
        <f>IFERROR(__xludf.DUMMYFUNCTION("""COMPUTED_VALUE"""),"")</f>
        <v/>
      </c>
      <c r="J341" s="250" t="str">
        <f t="shared" si="2"/>
        <v/>
      </c>
      <c r="K341" s="317" t="str">
        <f>IFERROR(__xludf.DUMMYFUNCTION("""COMPUTED_VALUE"""),"")</f>
        <v/>
      </c>
      <c r="L341" s="318" t="str">
        <f>IFERROR(__xludf.DUMMYFUNCTION("""COMPUTED_VALUE"""),"")</f>
        <v/>
      </c>
      <c r="M341" s="253" t="str">
        <f t="shared" si="3"/>
        <v/>
      </c>
      <c r="N341" s="319" t="str">
        <f>IFERROR(__xludf.DUMMYFUNCTION("""COMPUTED_VALUE"""),"")</f>
        <v/>
      </c>
      <c r="O341" s="257" t="str">
        <f>IFERROR(__xludf.DUMMYFUNCTION("""COMPUTED_VALUE"""),"")</f>
        <v/>
      </c>
      <c r="P341" s="247" t="str">
        <f t="shared" si="4"/>
        <v/>
      </c>
      <c r="Q341" s="320" t="str">
        <f>IFERROR(__xludf.DUMMYFUNCTION("""COMPUTED_VALUE"""),"")</f>
        <v/>
      </c>
      <c r="R341" s="259" t="str">
        <f>IFERROR(__xludf.DUMMYFUNCTION("""COMPUTED_VALUE"""),"")</f>
        <v/>
      </c>
      <c r="S341" s="250" t="str">
        <f t="shared" si="5"/>
        <v/>
      </c>
      <c r="T341" s="254" t="str">
        <f>IFERROR(__xludf.DUMMYFUNCTION("""COMPUTED_VALUE"""),"")</f>
        <v/>
      </c>
      <c r="U341" s="246" t="str">
        <f>IFERROR(__xludf.DUMMYFUNCTION("""COMPUTED_VALUE"""),"")</f>
        <v/>
      </c>
      <c r="V341" s="247" t="str">
        <f t="shared" si="6"/>
        <v/>
      </c>
      <c r="W341" s="255" t="str">
        <f>IFERROR(__xludf.DUMMYFUNCTION("""COMPUTED_VALUE"""),"")</f>
        <v/>
      </c>
      <c r="X341" s="249" t="str">
        <f>IFERROR(__xludf.DUMMYFUNCTION("""COMPUTED_VALUE"""),"")</f>
        <v/>
      </c>
      <c r="Y341" s="250" t="str">
        <f t="shared" si="7"/>
        <v/>
      </c>
    </row>
    <row r="342">
      <c r="A342" s="136" t="s">
        <v>133</v>
      </c>
      <c r="B342" s="136"/>
      <c r="C342" s="136" t="s">
        <v>133</v>
      </c>
      <c r="D342" s="136" t="s">
        <v>133</v>
      </c>
      <c r="E342" s="256" t="str">
        <f>IFERROR(__xludf.DUMMYFUNCTION("""COMPUTED_VALUE"""),"")</f>
        <v/>
      </c>
      <c r="F342" s="257" t="str">
        <f>IFERROR(__xludf.DUMMYFUNCTION("""COMPUTED_VALUE"""),"")</f>
        <v/>
      </c>
      <c r="G342" s="247" t="str">
        <f t="shared" si="1"/>
        <v/>
      </c>
      <c r="H342" s="258" t="str">
        <f>IFERROR(__xludf.DUMMYFUNCTION("""COMPUTED_VALUE"""),"")</f>
        <v/>
      </c>
      <c r="I342" s="259" t="str">
        <f>IFERROR(__xludf.DUMMYFUNCTION("""COMPUTED_VALUE"""),"")</f>
        <v/>
      </c>
      <c r="J342" s="250" t="str">
        <f t="shared" si="2"/>
        <v/>
      </c>
      <c r="K342" s="317" t="str">
        <f>IFERROR(__xludf.DUMMYFUNCTION("""COMPUTED_VALUE"""),"")</f>
        <v/>
      </c>
      <c r="L342" s="318" t="str">
        <f>IFERROR(__xludf.DUMMYFUNCTION("""COMPUTED_VALUE"""),"")</f>
        <v/>
      </c>
      <c r="M342" s="253" t="str">
        <f t="shared" si="3"/>
        <v/>
      </c>
      <c r="N342" s="319" t="str">
        <f>IFERROR(__xludf.DUMMYFUNCTION("""COMPUTED_VALUE"""),"")</f>
        <v/>
      </c>
      <c r="O342" s="257" t="str">
        <f>IFERROR(__xludf.DUMMYFUNCTION("""COMPUTED_VALUE"""),"")</f>
        <v/>
      </c>
      <c r="P342" s="247" t="str">
        <f t="shared" si="4"/>
        <v/>
      </c>
      <c r="Q342" s="320" t="str">
        <f>IFERROR(__xludf.DUMMYFUNCTION("""COMPUTED_VALUE"""),"")</f>
        <v/>
      </c>
      <c r="R342" s="259" t="str">
        <f>IFERROR(__xludf.DUMMYFUNCTION("""COMPUTED_VALUE"""),"")</f>
        <v/>
      </c>
      <c r="S342" s="250" t="str">
        <f t="shared" si="5"/>
        <v/>
      </c>
      <c r="T342" s="254" t="str">
        <f>IFERROR(__xludf.DUMMYFUNCTION("""COMPUTED_VALUE"""),"")</f>
        <v/>
      </c>
      <c r="U342" s="246" t="str">
        <f>IFERROR(__xludf.DUMMYFUNCTION("""COMPUTED_VALUE"""),"")</f>
        <v/>
      </c>
      <c r="V342" s="247" t="str">
        <f t="shared" si="6"/>
        <v/>
      </c>
      <c r="W342" s="255" t="str">
        <f>IFERROR(__xludf.DUMMYFUNCTION("""COMPUTED_VALUE"""),"")</f>
        <v/>
      </c>
      <c r="X342" s="249" t="str">
        <f>IFERROR(__xludf.DUMMYFUNCTION("""COMPUTED_VALUE"""),"")</f>
        <v/>
      </c>
      <c r="Y342" s="250" t="str">
        <f t="shared" si="7"/>
        <v/>
      </c>
    </row>
    <row r="343">
      <c r="A343" s="136" t="s">
        <v>133</v>
      </c>
      <c r="B343" s="136"/>
      <c r="C343" s="136" t="s">
        <v>133</v>
      </c>
      <c r="D343" s="136" t="s">
        <v>133</v>
      </c>
      <c r="E343" s="256" t="str">
        <f>IFERROR(__xludf.DUMMYFUNCTION("""COMPUTED_VALUE"""),"")</f>
        <v/>
      </c>
      <c r="F343" s="257" t="str">
        <f>IFERROR(__xludf.DUMMYFUNCTION("""COMPUTED_VALUE"""),"")</f>
        <v/>
      </c>
      <c r="G343" s="247" t="str">
        <f t="shared" si="1"/>
        <v/>
      </c>
      <c r="H343" s="258" t="str">
        <f>IFERROR(__xludf.DUMMYFUNCTION("""COMPUTED_VALUE"""),"")</f>
        <v/>
      </c>
      <c r="I343" s="259" t="str">
        <f>IFERROR(__xludf.DUMMYFUNCTION("""COMPUTED_VALUE"""),"")</f>
        <v/>
      </c>
      <c r="J343" s="250" t="str">
        <f t="shared" si="2"/>
        <v/>
      </c>
      <c r="K343" s="317" t="str">
        <f>IFERROR(__xludf.DUMMYFUNCTION("""COMPUTED_VALUE"""),"")</f>
        <v/>
      </c>
      <c r="L343" s="318" t="str">
        <f>IFERROR(__xludf.DUMMYFUNCTION("""COMPUTED_VALUE"""),"")</f>
        <v/>
      </c>
      <c r="M343" s="253" t="str">
        <f t="shared" si="3"/>
        <v/>
      </c>
      <c r="N343" s="319" t="str">
        <f>IFERROR(__xludf.DUMMYFUNCTION("""COMPUTED_VALUE"""),"")</f>
        <v/>
      </c>
      <c r="O343" s="257" t="str">
        <f>IFERROR(__xludf.DUMMYFUNCTION("""COMPUTED_VALUE"""),"")</f>
        <v/>
      </c>
      <c r="P343" s="247" t="str">
        <f t="shared" si="4"/>
        <v/>
      </c>
      <c r="Q343" s="320" t="str">
        <f>IFERROR(__xludf.DUMMYFUNCTION("""COMPUTED_VALUE"""),"")</f>
        <v/>
      </c>
      <c r="R343" s="259" t="str">
        <f>IFERROR(__xludf.DUMMYFUNCTION("""COMPUTED_VALUE"""),"")</f>
        <v/>
      </c>
      <c r="S343" s="250" t="str">
        <f t="shared" si="5"/>
        <v/>
      </c>
      <c r="T343" s="254" t="str">
        <f>IFERROR(__xludf.DUMMYFUNCTION("""COMPUTED_VALUE"""),"")</f>
        <v/>
      </c>
      <c r="U343" s="246" t="str">
        <f>IFERROR(__xludf.DUMMYFUNCTION("""COMPUTED_VALUE"""),"")</f>
        <v/>
      </c>
      <c r="V343" s="247" t="str">
        <f t="shared" si="6"/>
        <v/>
      </c>
      <c r="W343" s="255" t="str">
        <f>IFERROR(__xludf.DUMMYFUNCTION("""COMPUTED_VALUE"""),"")</f>
        <v/>
      </c>
      <c r="X343" s="249" t="str">
        <f>IFERROR(__xludf.DUMMYFUNCTION("""COMPUTED_VALUE"""),"")</f>
        <v/>
      </c>
      <c r="Y343" s="250" t="str">
        <f t="shared" si="7"/>
        <v/>
      </c>
    </row>
    <row r="344">
      <c r="A344" s="136" t="s">
        <v>133</v>
      </c>
      <c r="B344" s="136"/>
      <c r="C344" s="136" t="s">
        <v>133</v>
      </c>
      <c r="D344" s="136" t="s">
        <v>133</v>
      </c>
      <c r="E344" s="256" t="str">
        <f>IFERROR(__xludf.DUMMYFUNCTION("""COMPUTED_VALUE"""),"")</f>
        <v/>
      </c>
      <c r="F344" s="257" t="str">
        <f>IFERROR(__xludf.DUMMYFUNCTION("""COMPUTED_VALUE"""),"")</f>
        <v/>
      </c>
      <c r="G344" s="247" t="str">
        <f t="shared" si="1"/>
        <v/>
      </c>
      <c r="H344" s="258" t="str">
        <f>IFERROR(__xludf.DUMMYFUNCTION("""COMPUTED_VALUE"""),"")</f>
        <v/>
      </c>
      <c r="I344" s="259" t="str">
        <f>IFERROR(__xludf.DUMMYFUNCTION("""COMPUTED_VALUE"""),"")</f>
        <v/>
      </c>
      <c r="J344" s="250" t="str">
        <f t="shared" si="2"/>
        <v/>
      </c>
      <c r="K344" s="317" t="str">
        <f>IFERROR(__xludf.DUMMYFUNCTION("""COMPUTED_VALUE"""),"")</f>
        <v/>
      </c>
      <c r="L344" s="318" t="str">
        <f>IFERROR(__xludf.DUMMYFUNCTION("""COMPUTED_VALUE"""),"")</f>
        <v/>
      </c>
      <c r="M344" s="253" t="str">
        <f t="shared" si="3"/>
        <v/>
      </c>
      <c r="N344" s="319" t="str">
        <f>IFERROR(__xludf.DUMMYFUNCTION("""COMPUTED_VALUE"""),"")</f>
        <v/>
      </c>
      <c r="O344" s="257" t="str">
        <f>IFERROR(__xludf.DUMMYFUNCTION("""COMPUTED_VALUE"""),"")</f>
        <v/>
      </c>
      <c r="P344" s="247" t="str">
        <f t="shared" si="4"/>
        <v/>
      </c>
      <c r="Q344" s="320" t="str">
        <f>IFERROR(__xludf.DUMMYFUNCTION("""COMPUTED_VALUE"""),"")</f>
        <v/>
      </c>
      <c r="R344" s="259" t="str">
        <f>IFERROR(__xludf.DUMMYFUNCTION("""COMPUTED_VALUE"""),"")</f>
        <v/>
      </c>
      <c r="S344" s="250" t="str">
        <f t="shared" si="5"/>
        <v/>
      </c>
      <c r="T344" s="254" t="str">
        <f>IFERROR(__xludf.DUMMYFUNCTION("""COMPUTED_VALUE"""),"")</f>
        <v/>
      </c>
      <c r="U344" s="246" t="str">
        <f>IFERROR(__xludf.DUMMYFUNCTION("""COMPUTED_VALUE"""),"")</f>
        <v/>
      </c>
      <c r="V344" s="247" t="str">
        <f t="shared" si="6"/>
        <v/>
      </c>
      <c r="W344" s="255" t="str">
        <f>IFERROR(__xludf.DUMMYFUNCTION("""COMPUTED_VALUE"""),"")</f>
        <v/>
      </c>
      <c r="X344" s="249" t="str">
        <f>IFERROR(__xludf.DUMMYFUNCTION("""COMPUTED_VALUE"""),"")</f>
        <v/>
      </c>
      <c r="Y344" s="250" t="str">
        <f t="shared" si="7"/>
        <v/>
      </c>
    </row>
    <row r="345">
      <c r="A345" s="136" t="s">
        <v>133</v>
      </c>
      <c r="B345" s="136"/>
      <c r="C345" s="136" t="s">
        <v>133</v>
      </c>
      <c r="D345" s="136" t="s">
        <v>133</v>
      </c>
      <c r="E345" s="256" t="str">
        <f>IFERROR(__xludf.DUMMYFUNCTION("""COMPUTED_VALUE"""),"")</f>
        <v/>
      </c>
      <c r="F345" s="257" t="str">
        <f>IFERROR(__xludf.DUMMYFUNCTION("""COMPUTED_VALUE"""),"")</f>
        <v/>
      </c>
      <c r="G345" s="247" t="str">
        <f t="shared" si="1"/>
        <v/>
      </c>
      <c r="H345" s="258" t="str">
        <f>IFERROR(__xludf.DUMMYFUNCTION("""COMPUTED_VALUE"""),"")</f>
        <v/>
      </c>
      <c r="I345" s="259" t="str">
        <f>IFERROR(__xludf.DUMMYFUNCTION("""COMPUTED_VALUE"""),"")</f>
        <v/>
      </c>
      <c r="J345" s="250" t="str">
        <f t="shared" si="2"/>
        <v/>
      </c>
      <c r="K345" s="317" t="str">
        <f>IFERROR(__xludf.DUMMYFUNCTION("""COMPUTED_VALUE"""),"")</f>
        <v/>
      </c>
      <c r="L345" s="318" t="str">
        <f>IFERROR(__xludf.DUMMYFUNCTION("""COMPUTED_VALUE"""),"")</f>
        <v/>
      </c>
      <c r="M345" s="253" t="str">
        <f t="shared" si="3"/>
        <v/>
      </c>
      <c r="N345" s="319" t="str">
        <f>IFERROR(__xludf.DUMMYFUNCTION("""COMPUTED_VALUE"""),"")</f>
        <v/>
      </c>
      <c r="O345" s="257" t="str">
        <f>IFERROR(__xludf.DUMMYFUNCTION("""COMPUTED_VALUE"""),"")</f>
        <v/>
      </c>
      <c r="P345" s="247" t="str">
        <f t="shared" si="4"/>
        <v/>
      </c>
      <c r="Q345" s="320" t="str">
        <f>IFERROR(__xludf.DUMMYFUNCTION("""COMPUTED_VALUE"""),"")</f>
        <v/>
      </c>
      <c r="R345" s="259" t="str">
        <f>IFERROR(__xludf.DUMMYFUNCTION("""COMPUTED_VALUE"""),"")</f>
        <v/>
      </c>
      <c r="S345" s="250" t="str">
        <f t="shared" si="5"/>
        <v/>
      </c>
      <c r="T345" s="254" t="str">
        <f>IFERROR(__xludf.DUMMYFUNCTION("""COMPUTED_VALUE"""),"")</f>
        <v/>
      </c>
      <c r="U345" s="246" t="str">
        <f>IFERROR(__xludf.DUMMYFUNCTION("""COMPUTED_VALUE"""),"")</f>
        <v/>
      </c>
      <c r="V345" s="247" t="str">
        <f t="shared" si="6"/>
        <v/>
      </c>
      <c r="W345" s="255" t="str">
        <f>IFERROR(__xludf.DUMMYFUNCTION("""COMPUTED_VALUE"""),"")</f>
        <v/>
      </c>
      <c r="X345" s="249" t="str">
        <f>IFERROR(__xludf.DUMMYFUNCTION("""COMPUTED_VALUE"""),"")</f>
        <v/>
      </c>
      <c r="Y345" s="250" t="str">
        <f t="shared" si="7"/>
        <v/>
      </c>
    </row>
    <row r="346">
      <c r="A346" s="136" t="s">
        <v>133</v>
      </c>
      <c r="B346" s="136"/>
      <c r="C346" s="136" t="s">
        <v>133</v>
      </c>
      <c r="D346" s="136" t="s">
        <v>133</v>
      </c>
      <c r="E346" s="256" t="str">
        <f>IFERROR(__xludf.DUMMYFUNCTION("""COMPUTED_VALUE"""),"")</f>
        <v/>
      </c>
      <c r="F346" s="257" t="str">
        <f>IFERROR(__xludf.DUMMYFUNCTION("""COMPUTED_VALUE"""),"")</f>
        <v/>
      </c>
      <c r="G346" s="247" t="str">
        <f t="shared" si="1"/>
        <v/>
      </c>
      <c r="H346" s="258" t="str">
        <f>IFERROR(__xludf.DUMMYFUNCTION("""COMPUTED_VALUE"""),"")</f>
        <v/>
      </c>
      <c r="I346" s="259" t="str">
        <f>IFERROR(__xludf.DUMMYFUNCTION("""COMPUTED_VALUE"""),"")</f>
        <v/>
      </c>
      <c r="J346" s="250" t="str">
        <f t="shared" si="2"/>
        <v/>
      </c>
      <c r="K346" s="317" t="str">
        <f>IFERROR(__xludf.DUMMYFUNCTION("""COMPUTED_VALUE"""),"")</f>
        <v/>
      </c>
      <c r="L346" s="318" t="str">
        <f>IFERROR(__xludf.DUMMYFUNCTION("""COMPUTED_VALUE"""),"")</f>
        <v/>
      </c>
      <c r="M346" s="253" t="str">
        <f t="shared" si="3"/>
        <v/>
      </c>
      <c r="N346" s="319" t="str">
        <f>IFERROR(__xludf.DUMMYFUNCTION("""COMPUTED_VALUE"""),"")</f>
        <v/>
      </c>
      <c r="O346" s="257" t="str">
        <f>IFERROR(__xludf.DUMMYFUNCTION("""COMPUTED_VALUE"""),"")</f>
        <v/>
      </c>
      <c r="P346" s="247" t="str">
        <f t="shared" si="4"/>
        <v/>
      </c>
      <c r="Q346" s="320" t="str">
        <f>IFERROR(__xludf.DUMMYFUNCTION("""COMPUTED_VALUE"""),"")</f>
        <v/>
      </c>
      <c r="R346" s="259" t="str">
        <f>IFERROR(__xludf.DUMMYFUNCTION("""COMPUTED_VALUE"""),"")</f>
        <v/>
      </c>
      <c r="S346" s="250" t="str">
        <f t="shared" si="5"/>
        <v/>
      </c>
      <c r="T346" s="254" t="str">
        <f>IFERROR(__xludf.DUMMYFUNCTION("""COMPUTED_VALUE"""),"")</f>
        <v/>
      </c>
      <c r="U346" s="246" t="str">
        <f>IFERROR(__xludf.DUMMYFUNCTION("""COMPUTED_VALUE"""),"")</f>
        <v/>
      </c>
      <c r="V346" s="247" t="str">
        <f t="shared" si="6"/>
        <v/>
      </c>
      <c r="W346" s="255" t="str">
        <f>IFERROR(__xludf.DUMMYFUNCTION("""COMPUTED_VALUE"""),"")</f>
        <v/>
      </c>
      <c r="X346" s="249" t="str">
        <f>IFERROR(__xludf.DUMMYFUNCTION("""COMPUTED_VALUE"""),"")</f>
        <v/>
      </c>
      <c r="Y346" s="250" t="str">
        <f t="shared" si="7"/>
        <v/>
      </c>
    </row>
    <row r="347">
      <c r="A347" s="136" t="s">
        <v>133</v>
      </c>
      <c r="B347" s="136"/>
      <c r="C347" s="136" t="s">
        <v>133</v>
      </c>
      <c r="D347" s="136" t="s">
        <v>133</v>
      </c>
      <c r="E347" s="256" t="str">
        <f>IFERROR(__xludf.DUMMYFUNCTION("""COMPUTED_VALUE"""),"")</f>
        <v/>
      </c>
      <c r="F347" s="257" t="str">
        <f>IFERROR(__xludf.DUMMYFUNCTION("""COMPUTED_VALUE"""),"")</f>
        <v/>
      </c>
      <c r="G347" s="247" t="str">
        <f t="shared" si="1"/>
        <v/>
      </c>
      <c r="H347" s="258" t="str">
        <f>IFERROR(__xludf.DUMMYFUNCTION("""COMPUTED_VALUE"""),"")</f>
        <v/>
      </c>
      <c r="I347" s="259" t="str">
        <f>IFERROR(__xludf.DUMMYFUNCTION("""COMPUTED_VALUE"""),"")</f>
        <v/>
      </c>
      <c r="J347" s="250" t="str">
        <f t="shared" si="2"/>
        <v/>
      </c>
      <c r="K347" s="317" t="str">
        <f>IFERROR(__xludf.DUMMYFUNCTION("""COMPUTED_VALUE"""),"")</f>
        <v/>
      </c>
      <c r="L347" s="318" t="str">
        <f>IFERROR(__xludf.DUMMYFUNCTION("""COMPUTED_VALUE"""),"")</f>
        <v/>
      </c>
      <c r="M347" s="253" t="str">
        <f t="shared" si="3"/>
        <v/>
      </c>
      <c r="N347" s="319" t="str">
        <f>IFERROR(__xludf.DUMMYFUNCTION("""COMPUTED_VALUE"""),"")</f>
        <v/>
      </c>
      <c r="O347" s="257" t="str">
        <f>IFERROR(__xludf.DUMMYFUNCTION("""COMPUTED_VALUE"""),"")</f>
        <v/>
      </c>
      <c r="P347" s="247" t="str">
        <f t="shared" si="4"/>
        <v/>
      </c>
      <c r="Q347" s="320" t="str">
        <f>IFERROR(__xludf.DUMMYFUNCTION("""COMPUTED_VALUE"""),"")</f>
        <v/>
      </c>
      <c r="R347" s="259" t="str">
        <f>IFERROR(__xludf.DUMMYFUNCTION("""COMPUTED_VALUE"""),"")</f>
        <v/>
      </c>
      <c r="S347" s="250" t="str">
        <f t="shared" si="5"/>
        <v/>
      </c>
      <c r="T347" s="254" t="str">
        <f>IFERROR(__xludf.DUMMYFUNCTION("""COMPUTED_VALUE"""),"")</f>
        <v/>
      </c>
      <c r="U347" s="246" t="str">
        <f>IFERROR(__xludf.DUMMYFUNCTION("""COMPUTED_VALUE"""),"")</f>
        <v/>
      </c>
      <c r="V347" s="247" t="str">
        <f t="shared" si="6"/>
        <v/>
      </c>
      <c r="W347" s="255" t="str">
        <f>IFERROR(__xludf.DUMMYFUNCTION("""COMPUTED_VALUE"""),"")</f>
        <v/>
      </c>
      <c r="X347" s="249" t="str">
        <f>IFERROR(__xludf.DUMMYFUNCTION("""COMPUTED_VALUE"""),"")</f>
        <v/>
      </c>
      <c r="Y347" s="250" t="str">
        <f t="shared" si="7"/>
        <v/>
      </c>
    </row>
    <row r="348">
      <c r="A348" s="136" t="s">
        <v>133</v>
      </c>
      <c r="B348" s="136"/>
      <c r="C348" s="136" t="s">
        <v>133</v>
      </c>
      <c r="D348" s="136" t="s">
        <v>133</v>
      </c>
      <c r="E348" s="256" t="str">
        <f>IFERROR(__xludf.DUMMYFUNCTION("""COMPUTED_VALUE"""),"")</f>
        <v/>
      </c>
      <c r="F348" s="257" t="str">
        <f>IFERROR(__xludf.DUMMYFUNCTION("""COMPUTED_VALUE"""),"")</f>
        <v/>
      </c>
      <c r="G348" s="247" t="str">
        <f t="shared" si="1"/>
        <v/>
      </c>
      <c r="H348" s="258" t="str">
        <f>IFERROR(__xludf.DUMMYFUNCTION("""COMPUTED_VALUE"""),"")</f>
        <v/>
      </c>
      <c r="I348" s="259" t="str">
        <f>IFERROR(__xludf.DUMMYFUNCTION("""COMPUTED_VALUE"""),"")</f>
        <v/>
      </c>
      <c r="J348" s="250" t="str">
        <f t="shared" si="2"/>
        <v/>
      </c>
      <c r="K348" s="317" t="str">
        <f>IFERROR(__xludf.DUMMYFUNCTION("""COMPUTED_VALUE"""),"")</f>
        <v/>
      </c>
      <c r="L348" s="318" t="str">
        <f>IFERROR(__xludf.DUMMYFUNCTION("""COMPUTED_VALUE"""),"")</f>
        <v/>
      </c>
      <c r="M348" s="253" t="str">
        <f t="shared" si="3"/>
        <v/>
      </c>
      <c r="N348" s="319" t="str">
        <f>IFERROR(__xludf.DUMMYFUNCTION("""COMPUTED_VALUE"""),"")</f>
        <v/>
      </c>
      <c r="O348" s="257" t="str">
        <f>IFERROR(__xludf.DUMMYFUNCTION("""COMPUTED_VALUE"""),"")</f>
        <v/>
      </c>
      <c r="P348" s="247" t="str">
        <f t="shared" si="4"/>
        <v/>
      </c>
      <c r="Q348" s="320" t="str">
        <f>IFERROR(__xludf.DUMMYFUNCTION("""COMPUTED_VALUE"""),"")</f>
        <v/>
      </c>
      <c r="R348" s="259" t="str">
        <f>IFERROR(__xludf.DUMMYFUNCTION("""COMPUTED_VALUE"""),"")</f>
        <v/>
      </c>
      <c r="S348" s="250" t="str">
        <f t="shared" si="5"/>
        <v/>
      </c>
      <c r="T348" s="254" t="str">
        <f>IFERROR(__xludf.DUMMYFUNCTION("""COMPUTED_VALUE"""),"")</f>
        <v/>
      </c>
      <c r="U348" s="246" t="str">
        <f>IFERROR(__xludf.DUMMYFUNCTION("""COMPUTED_VALUE"""),"")</f>
        <v/>
      </c>
      <c r="V348" s="247" t="str">
        <f t="shared" si="6"/>
        <v/>
      </c>
      <c r="W348" s="255" t="str">
        <f>IFERROR(__xludf.DUMMYFUNCTION("""COMPUTED_VALUE"""),"")</f>
        <v/>
      </c>
      <c r="X348" s="249" t="str">
        <f>IFERROR(__xludf.DUMMYFUNCTION("""COMPUTED_VALUE"""),"")</f>
        <v/>
      </c>
      <c r="Y348" s="250" t="str">
        <f t="shared" si="7"/>
        <v/>
      </c>
    </row>
    <row r="349">
      <c r="A349" s="136" t="s">
        <v>133</v>
      </c>
      <c r="B349" s="136"/>
      <c r="C349" s="136" t="s">
        <v>133</v>
      </c>
      <c r="D349" s="136" t="s">
        <v>133</v>
      </c>
      <c r="E349" s="256" t="str">
        <f>IFERROR(__xludf.DUMMYFUNCTION("""COMPUTED_VALUE"""),"")</f>
        <v/>
      </c>
      <c r="F349" s="257" t="str">
        <f>IFERROR(__xludf.DUMMYFUNCTION("""COMPUTED_VALUE"""),"")</f>
        <v/>
      </c>
      <c r="G349" s="247" t="str">
        <f t="shared" si="1"/>
        <v/>
      </c>
      <c r="H349" s="258" t="str">
        <f>IFERROR(__xludf.DUMMYFUNCTION("""COMPUTED_VALUE"""),"")</f>
        <v/>
      </c>
      <c r="I349" s="259" t="str">
        <f>IFERROR(__xludf.DUMMYFUNCTION("""COMPUTED_VALUE"""),"")</f>
        <v/>
      </c>
      <c r="J349" s="250" t="str">
        <f t="shared" si="2"/>
        <v/>
      </c>
      <c r="K349" s="317" t="str">
        <f>IFERROR(__xludf.DUMMYFUNCTION("""COMPUTED_VALUE"""),"")</f>
        <v/>
      </c>
      <c r="L349" s="318" t="str">
        <f>IFERROR(__xludf.DUMMYFUNCTION("""COMPUTED_VALUE"""),"")</f>
        <v/>
      </c>
      <c r="M349" s="253" t="str">
        <f t="shared" si="3"/>
        <v/>
      </c>
      <c r="N349" s="319" t="str">
        <f>IFERROR(__xludf.DUMMYFUNCTION("""COMPUTED_VALUE"""),"")</f>
        <v/>
      </c>
      <c r="O349" s="257" t="str">
        <f>IFERROR(__xludf.DUMMYFUNCTION("""COMPUTED_VALUE"""),"")</f>
        <v/>
      </c>
      <c r="P349" s="247" t="str">
        <f t="shared" si="4"/>
        <v/>
      </c>
      <c r="Q349" s="320" t="str">
        <f>IFERROR(__xludf.DUMMYFUNCTION("""COMPUTED_VALUE"""),"")</f>
        <v/>
      </c>
      <c r="R349" s="259" t="str">
        <f>IFERROR(__xludf.DUMMYFUNCTION("""COMPUTED_VALUE"""),"")</f>
        <v/>
      </c>
      <c r="S349" s="250" t="str">
        <f t="shared" si="5"/>
        <v/>
      </c>
      <c r="T349" s="254" t="str">
        <f>IFERROR(__xludf.DUMMYFUNCTION("""COMPUTED_VALUE"""),"")</f>
        <v/>
      </c>
      <c r="U349" s="246" t="str">
        <f>IFERROR(__xludf.DUMMYFUNCTION("""COMPUTED_VALUE"""),"")</f>
        <v/>
      </c>
      <c r="V349" s="247" t="str">
        <f t="shared" si="6"/>
        <v/>
      </c>
      <c r="W349" s="255" t="str">
        <f>IFERROR(__xludf.DUMMYFUNCTION("""COMPUTED_VALUE"""),"")</f>
        <v/>
      </c>
      <c r="X349" s="249" t="str">
        <f>IFERROR(__xludf.DUMMYFUNCTION("""COMPUTED_VALUE"""),"")</f>
        <v/>
      </c>
      <c r="Y349" s="250" t="str">
        <f t="shared" si="7"/>
        <v/>
      </c>
    </row>
    <row r="350">
      <c r="A350" s="136" t="s">
        <v>133</v>
      </c>
      <c r="B350" s="136"/>
      <c r="C350" s="136" t="s">
        <v>133</v>
      </c>
      <c r="D350" s="136" t="s">
        <v>133</v>
      </c>
      <c r="E350" s="256" t="str">
        <f>IFERROR(__xludf.DUMMYFUNCTION("""COMPUTED_VALUE"""),"")</f>
        <v/>
      </c>
      <c r="F350" s="257" t="str">
        <f>IFERROR(__xludf.DUMMYFUNCTION("""COMPUTED_VALUE"""),"")</f>
        <v/>
      </c>
      <c r="G350" s="247" t="str">
        <f t="shared" si="1"/>
        <v/>
      </c>
      <c r="H350" s="258" t="str">
        <f>IFERROR(__xludf.DUMMYFUNCTION("""COMPUTED_VALUE"""),"")</f>
        <v/>
      </c>
      <c r="I350" s="259" t="str">
        <f>IFERROR(__xludf.DUMMYFUNCTION("""COMPUTED_VALUE"""),"")</f>
        <v/>
      </c>
      <c r="J350" s="250" t="str">
        <f t="shared" si="2"/>
        <v/>
      </c>
      <c r="K350" s="317" t="str">
        <f>IFERROR(__xludf.DUMMYFUNCTION("""COMPUTED_VALUE"""),"")</f>
        <v/>
      </c>
      <c r="L350" s="318" t="str">
        <f>IFERROR(__xludf.DUMMYFUNCTION("""COMPUTED_VALUE"""),"")</f>
        <v/>
      </c>
      <c r="M350" s="253" t="str">
        <f t="shared" si="3"/>
        <v/>
      </c>
      <c r="N350" s="319" t="str">
        <f>IFERROR(__xludf.DUMMYFUNCTION("""COMPUTED_VALUE"""),"")</f>
        <v/>
      </c>
      <c r="O350" s="257" t="str">
        <f>IFERROR(__xludf.DUMMYFUNCTION("""COMPUTED_VALUE"""),"")</f>
        <v/>
      </c>
      <c r="P350" s="247" t="str">
        <f t="shared" si="4"/>
        <v/>
      </c>
      <c r="Q350" s="320" t="str">
        <f>IFERROR(__xludf.DUMMYFUNCTION("""COMPUTED_VALUE"""),"")</f>
        <v/>
      </c>
      <c r="R350" s="259" t="str">
        <f>IFERROR(__xludf.DUMMYFUNCTION("""COMPUTED_VALUE"""),"")</f>
        <v/>
      </c>
      <c r="S350" s="250" t="str">
        <f t="shared" si="5"/>
        <v/>
      </c>
      <c r="T350" s="254" t="str">
        <f>IFERROR(__xludf.DUMMYFUNCTION("""COMPUTED_VALUE"""),"")</f>
        <v/>
      </c>
      <c r="U350" s="246" t="str">
        <f>IFERROR(__xludf.DUMMYFUNCTION("""COMPUTED_VALUE"""),"")</f>
        <v/>
      </c>
      <c r="V350" s="247" t="str">
        <f t="shared" si="6"/>
        <v/>
      </c>
      <c r="W350" s="255" t="str">
        <f>IFERROR(__xludf.DUMMYFUNCTION("""COMPUTED_VALUE"""),"")</f>
        <v/>
      </c>
      <c r="X350" s="249" t="str">
        <f>IFERROR(__xludf.DUMMYFUNCTION("""COMPUTED_VALUE"""),"")</f>
        <v/>
      </c>
      <c r="Y350" s="250" t="str">
        <f t="shared" si="7"/>
        <v/>
      </c>
    </row>
    <row r="351">
      <c r="A351" s="136" t="s">
        <v>133</v>
      </c>
      <c r="B351" s="136"/>
      <c r="C351" s="136" t="s">
        <v>133</v>
      </c>
      <c r="D351" s="136" t="s">
        <v>133</v>
      </c>
      <c r="E351" s="256" t="str">
        <f>IFERROR(__xludf.DUMMYFUNCTION("""COMPUTED_VALUE"""),"")</f>
        <v/>
      </c>
      <c r="F351" s="257" t="str">
        <f>IFERROR(__xludf.DUMMYFUNCTION("""COMPUTED_VALUE"""),"")</f>
        <v/>
      </c>
      <c r="G351" s="247" t="str">
        <f t="shared" si="1"/>
        <v/>
      </c>
      <c r="H351" s="258" t="str">
        <f>IFERROR(__xludf.DUMMYFUNCTION("""COMPUTED_VALUE"""),"")</f>
        <v/>
      </c>
      <c r="I351" s="259" t="str">
        <f>IFERROR(__xludf.DUMMYFUNCTION("""COMPUTED_VALUE"""),"")</f>
        <v/>
      </c>
      <c r="J351" s="250" t="str">
        <f t="shared" si="2"/>
        <v/>
      </c>
      <c r="K351" s="317" t="str">
        <f>IFERROR(__xludf.DUMMYFUNCTION("""COMPUTED_VALUE"""),"")</f>
        <v/>
      </c>
      <c r="L351" s="318" t="str">
        <f>IFERROR(__xludf.DUMMYFUNCTION("""COMPUTED_VALUE"""),"")</f>
        <v/>
      </c>
      <c r="M351" s="253" t="str">
        <f t="shared" si="3"/>
        <v/>
      </c>
      <c r="N351" s="319" t="str">
        <f>IFERROR(__xludf.DUMMYFUNCTION("""COMPUTED_VALUE"""),"")</f>
        <v/>
      </c>
      <c r="O351" s="257" t="str">
        <f>IFERROR(__xludf.DUMMYFUNCTION("""COMPUTED_VALUE"""),"")</f>
        <v/>
      </c>
      <c r="P351" s="247" t="str">
        <f t="shared" si="4"/>
        <v/>
      </c>
      <c r="Q351" s="320" t="str">
        <f>IFERROR(__xludf.DUMMYFUNCTION("""COMPUTED_VALUE"""),"")</f>
        <v/>
      </c>
      <c r="R351" s="259" t="str">
        <f>IFERROR(__xludf.DUMMYFUNCTION("""COMPUTED_VALUE"""),"")</f>
        <v/>
      </c>
      <c r="S351" s="250" t="str">
        <f t="shared" si="5"/>
        <v/>
      </c>
      <c r="T351" s="254" t="str">
        <f>IFERROR(__xludf.DUMMYFUNCTION("""COMPUTED_VALUE"""),"")</f>
        <v/>
      </c>
      <c r="U351" s="246" t="str">
        <f>IFERROR(__xludf.DUMMYFUNCTION("""COMPUTED_VALUE"""),"")</f>
        <v/>
      </c>
      <c r="V351" s="247" t="str">
        <f t="shared" si="6"/>
        <v/>
      </c>
      <c r="W351" s="255" t="str">
        <f>IFERROR(__xludf.DUMMYFUNCTION("""COMPUTED_VALUE"""),"")</f>
        <v/>
      </c>
      <c r="X351" s="249" t="str">
        <f>IFERROR(__xludf.DUMMYFUNCTION("""COMPUTED_VALUE"""),"")</f>
        <v/>
      </c>
      <c r="Y351" s="250" t="str">
        <f t="shared" si="7"/>
        <v/>
      </c>
    </row>
    <row r="352">
      <c r="A352" s="136" t="s">
        <v>133</v>
      </c>
      <c r="B352" s="136"/>
      <c r="C352" s="136" t="s">
        <v>133</v>
      </c>
      <c r="D352" s="136" t="s">
        <v>133</v>
      </c>
      <c r="E352" s="256" t="str">
        <f>IFERROR(__xludf.DUMMYFUNCTION("""COMPUTED_VALUE"""),"")</f>
        <v/>
      </c>
      <c r="F352" s="257" t="str">
        <f>IFERROR(__xludf.DUMMYFUNCTION("""COMPUTED_VALUE"""),"")</f>
        <v/>
      </c>
      <c r="G352" s="247" t="str">
        <f t="shared" si="1"/>
        <v/>
      </c>
      <c r="H352" s="258" t="str">
        <f>IFERROR(__xludf.DUMMYFUNCTION("""COMPUTED_VALUE"""),"")</f>
        <v/>
      </c>
      <c r="I352" s="259" t="str">
        <f>IFERROR(__xludf.DUMMYFUNCTION("""COMPUTED_VALUE"""),"")</f>
        <v/>
      </c>
      <c r="J352" s="250" t="str">
        <f t="shared" si="2"/>
        <v/>
      </c>
      <c r="K352" s="317" t="str">
        <f>IFERROR(__xludf.DUMMYFUNCTION("""COMPUTED_VALUE"""),"")</f>
        <v/>
      </c>
      <c r="L352" s="318" t="str">
        <f>IFERROR(__xludf.DUMMYFUNCTION("""COMPUTED_VALUE"""),"")</f>
        <v/>
      </c>
      <c r="M352" s="253" t="str">
        <f t="shared" si="3"/>
        <v/>
      </c>
      <c r="N352" s="319" t="str">
        <f>IFERROR(__xludf.DUMMYFUNCTION("""COMPUTED_VALUE"""),"")</f>
        <v/>
      </c>
      <c r="O352" s="257" t="str">
        <f>IFERROR(__xludf.DUMMYFUNCTION("""COMPUTED_VALUE"""),"")</f>
        <v/>
      </c>
      <c r="P352" s="247" t="str">
        <f t="shared" si="4"/>
        <v/>
      </c>
      <c r="Q352" s="320" t="str">
        <f>IFERROR(__xludf.DUMMYFUNCTION("""COMPUTED_VALUE"""),"")</f>
        <v/>
      </c>
      <c r="R352" s="259" t="str">
        <f>IFERROR(__xludf.DUMMYFUNCTION("""COMPUTED_VALUE"""),"")</f>
        <v/>
      </c>
      <c r="S352" s="250" t="str">
        <f t="shared" si="5"/>
        <v/>
      </c>
      <c r="T352" s="254" t="str">
        <f>IFERROR(__xludf.DUMMYFUNCTION("""COMPUTED_VALUE"""),"")</f>
        <v/>
      </c>
      <c r="U352" s="246" t="str">
        <f>IFERROR(__xludf.DUMMYFUNCTION("""COMPUTED_VALUE"""),"")</f>
        <v/>
      </c>
      <c r="V352" s="247" t="str">
        <f t="shared" si="6"/>
        <v/>
      </c>
      <c r="W352" s="255" t="str">
        <f>IFERROR(__xludf.DUMMYFUNCTION("""COMPUTED_VALUE"""),"")</f>
        <v/>
      </c>
      <c r="X352" s="249" t="str">
        <f>IFERROR(__xludf.DUMMYFUNCTION("""COMPUTED_VALUE"""),"")</f>
        <v/>
      </c>
      <c r="Y352" s="250" t="str">
        <f t="shared" si="7"/>
        <v/>
      </c>
    </row>
    <row r="353">
      <c r="A353" s="136" t="s">
        <v>133</v>
      </c>
      <c r="B353" s="136"/>
      <c r="C353" s="136" t="s">
        <v>133</v>
      </c>
      <c r="D353" s="136" t="s">
        <v>133</v>
      </c>
      <c r="E353" s="256" t="str">
        <f>IFERROR(__xludf.DUMMYFUNCTION("""COMPUTED_VALUE"""),"")</f>
        <v/>
      </c>
      <c r="F353" s="257" t="str">
        <f>IFERROR(__xludf.DUMMYFUNCTION("""COMPUTED_VALUE"""),"")</f>
        <v/>
      </c>
      <c r="G353" s="247" t="str">
        <f t="shared" si="1"/>
        <v/>
      </c>
      <c r="H353" s="258" t="str">
        <f>IFERROR(__xludf.DUMMYFUNCTION("""COMPUTED_VALUE"""),"")</f>
        <v/>
      </c>
      <c r="I353" s="259" t="str">
        <f>IFERROR(__xludf.DUMMYFUNCTION("""COMPUTED_VALUE"""),"")</f>
        <v/>
      </c>
      <c r="J353" s="250" t="str">
        <f t="shared" si="2"/>
        <v/>
      </c>
      <c r="K353" s="317" t="str">
        <f>IFERROR(__xludf.DUMMYFUNCTION("""COMPUTED_VALUE"""),"")</f>
        <v/>
      </c>
      <c r="L353" s="318" t="str">
        <f>IFERROR(__xludf.DUMMYFUNCTION("""COMPUTED_VALUE"""),"")</f>
        <v/>
      </c>
      <c r="M353" s="253" t="str">
        <f t="shared" si="3"/>
        <v/>
      </c>
      <c r="N353" s="319" t="str">
        <f>IFERROR(__xludf.DUMMYFUNCTION("""COMPUTED_VALUE"""),"")</f>
        <v/>
      </c>
      <c r="O353" s="257" t="str">
        <f>IFERROR(__xludf.DUMMYFUNCTION("""COMPUTED_VALUE"""),"")</f>
        <v/>
      </c>
      <c r="P353" s="247" t="str">
        <f t="shared" si="4"/>
        <v/>
      </c>
      <c r="Q353" s="320" t="str">
        <f>IFERROR(__xludf.DUMMYFUNCTION("""COMPUTED_VALUE"""),"")</f>
        <v/>
      </c>
      <c r="R353" s="259" t="str">
        <f>IFERROR(__xludf.DUMMYFUNCTION("""COMPUTED_VALUE"""),"")</f>
        <v/>
      </c>
      <c r="S353" s="250" t="str">
        <f t="shared" si="5"/>
        <v/>
      </c>
      <c r="T353" s="254" t="str">
        <f>IFERROR(__xludf.DUMMYFUNCTION("""COMPUTED_VALUE"""),"")</f>
        <v/>
      </c>
      <c r="U353" s="246" t="str">
        <f>IFERROR(__xludf.DUMMYFUNCTION("""COMPUTED_VALUE"""),"")</f>
        <v/>
      </c>
      <c r="V353" s="247" t="str">
        <f t="shared" si="6"/>
        <v/>
      </c>
      <c r="W353" s="255" t="str">
        <f>IFERROR(__xludf.DUMMYFUNCTION("""COMPUTED_VALUE"""),"")</f>
        <v/>
      </c>
      <c r="X353" s="249" t="str">
        <f>IFERROR(__xludf.DUMMYFUNCTION("""COMPUTED_VALUE"""),"")</f>
        <v/>
      </c>
      <c r="Y353" s="250" t="str">
        <f t="shared" si="7"/>
        <v/>
      </c>
    </row>
    <row r="354">
      <c r="A354" s="136" t="s">
        <v>133</v>
      </c>
      <c r="B354" s="136"/>
      <c r="C354" s="136" t="s">
        <v>133</v>
      </c>
      <c r="D354" s="136" t="s">
        <v>133</v>
      </c>
      <c r="E354" s="256" t="str">
        <f>IFERROR(__xludf.DUMMYFUNCTION("""COMPUTED_VALUE"""),"")</f>
        <v/>
      </c>
      <c r="F354" s="257" t="str">
        <f>IFERROR(__xludf.DUMMYFUNCTION("""COMPUTED_VALUE"""),"")</f>
        <v/>
      </c>
      <c r="G354" s="247" t="str">
        <f t="shared" si="1"/>
        <v/>
      </c>
      <c r="H354" s="258" t="str">
        <f>IFERROR(__xludf.DUMMYFUNCTION("""COMPUTED_VALUE"""),"")</f>
        <v/>
      </c>
      <c r="I354" s="259" t="str">
        <f>IFERROR(__xludf.DUMMYFUNCTION("""COMPUTED_VALUE"""),"")</f>
        <v/>
      </c>
      <c r="J354" s="250" t="str">
        <f t="shared" si="2"/>
        <v/>
      </c>
      <c r="K354" s="317" t="str">
        <f>IFERROR(__xludf.DUMMYFUNCTION("""COMPUTED_VALUE"""),"")</f>
        <v/>
      </c>
      <c r="L354" s="318" t="str">
        <f>IFERROR(__xludf.DUMMYFUNCTION("""COMPUTED_VALUE"""),"")</f>
        <v/>
      </c>
      <c r="M354" s="253" t="str">
        <f t="shared" si="3"/>
        <v/>
      </c>
      <c r="N354" s="319" t="str">
        <f>IFERROR(__xludf.DUMMYFUNCTION("""COMPUTED_VALUE"""),"")</f>
        <v/>
      </c>
      <c r="O354" s="257" t="str">
        <f>IFERROR(__xludf.DUMMYFUNCTION("""COMPUTED_VALUE"""),"")</f>
        <v/>
      </c>
      <c r="P354" s="247" t="str">
        <f t="shared" si="4"/>
        <v/>
      </c>
      <c r="Q354" s="320" t="str">
        <f>IFERROR(__xludf.DUMMYFUNCTION("""COMPUTED_VALUE"""),"")</f>
        <v/>
      </c>
      <c r="R354" s="259" t="str">
        <f>IFERROR(__xludf.DUMMYFUNCTION("""COMPUTED_VALUE"""),"")</f>
        <v/>
      </c>
      <c r="S354" s="250" t="str">
        <f t="shared" si="5"/>
        <v/>
      </c>
      <c r="T354" s="254" t="str">
        <f>IFERROR(__xludf.DUMMYFUNCTION("""COMPUTED_VALUE"""),"")</f>
        <v/>
      </c>
      <c r="U354" s="246" t="str">
        <f>IFERROR(__xludf.DUMMYFUNCTION("""COMPUTED_VALUE"""),"")</f>
        <v/>
      </c>
      <c r="V354" s="247" t="str">
        <f t="shared" si="6"/>
        <v/>
      </c>
      <c r="W354" s="255" t="str">
        <f>IFERROR(__xludf.DUMMYFUNCTION("""COMPUTED_VALUE"""),"")</f>
        <v/>
      </c>
      <c r="X354" s="249" t="str">
        <f>IFERROR(__xludf.DUMMYFUNCTION("""COMPUTED_VALUE"""),"")</f>
        <v/>
      </c>
      <c r="Y354" s="250" t="str">
        <f t="shared" si="7"/>
        <v/>
      </c>
    </row>
    <row r="355">
      <c r="A355" s="136" t="s">
        <v>133</v>
      </c>
      <c r="B355" s="136"/>
      <c r="C355" s="136" t="s">
        <v>133</v>
      </c>
      <c r="D355" s="136" t="s">
        <v>133</v>
      </c>
      <c r="E355" s="256" t="str">
        <f>IFERROR(__xludf.DUMMYFUNCTION("""COMPUTED_VALUE"""),"")</f>
        <v/>
      </c>
      <c r="F355" s="257" t="str">
        <f>IFERROR(__xludf.DUMMYFUNCTION("""COMPUTED_VALUE"""),"")</f>
        <v/>
      </c>
      <c r="G355" s="247" t="str">
        <f t="shared" si="1"/>
        <v/>
      </c>
      <c r="H355" s="258" t="str">
        <f>IFERROR(__xludf.DUMMYFUNCTION("""COMPUTED_VALUE"""),"")</f>
        <v/>
      </c>
      <c r="I355" s="259" t="str">
        <f>IFERROR(__xludf.DUMMYFUNCTION("""COMPUTED_VALUE"""),"")</f>
        <v/>
      </c>
      <c r="J355" s="250" t="str">
        <f t="shared" si="2"/>
        <v/>
      </c>
      <c r="K355" s="317" t="str">
        <f>IFERROR(__xludf.DUMMYFUNCTION("""COMPUTED_VALUE"""),"")</f>
        <v/>
      </c>
      <c r="L355" s="318" t="str">
        <f>IFERROR(__xludf.DUMMYFUNCTION("""COMPUTED_VALUE"""),"")</f>
        <v/>
      </c>
      <c r="M355" s="253" t="str">
        <f t="shared" si="3"/>
        <v/>
      </c>
      <c r="N355" s="319" t="str">
        <f>IFERROR(__xludf.DUMMYFUNCTION("""COMPUTED_VALUE"""),"")</f>
        <v/>
      </c>
      <c r="O355" s="257" t="str">
        <f>IFERROR(__xludf.DUMMYFUNCTION("""COMPUTED_VALUE"""),"")</f>
        <v/>
      </c>
      <c r="P355" s="247" t="str">
        <f t="shared" si="4"/>
        <v/>
      </c>
      <c r="Q355" s="320" t="str">
        <f>IFERROR(__xludf.DUMMYFUNCTION("""COMPUTED_VALUE"""),"")</f>
        <v/>
      </c>
      <c r="R355" s="259" t="str">
        <f>IFERROR(__xludf.DUMMYFUNCTION("""COMPUTED_VALUE"""),"")</f>
        <v/>
      </c>
      <c r="S355" s="250" t="str">
        <f t="shared" si="5"/>
        <v/>
      </c>
      <c r="T355" s="254" t="str">
        <f>IFERROR(__xludf.DUMMYFUNCTION("""COMPUTED_VALUE"""),"")</f>
        <v/>
      </c>
      <c r="U355" s="246" t="str">
        <f>IFERROR(__xludf.DUMMYFUNCTION("""COMPUTED_VALUE"""),"")</f>
        <v/>
      </c>
      <c r="V355" s="247" t="str">
        <f t="shared" si="6"/>
        <v/>
      </c>
      <c r="W355" s="255" t="str">
        <f>IFERROR(__xludf.DUMMYFUNCTION("""COMPUTED_VALUE"""),"")</f>
        <v/>
      </c>
      <c r="X355" s="249" t="str">
        <f>IFERROR(__xludf.DUMMYFUNCTION("""COMPUTED_VALUE"""),"")</f>
        <v/>
      </c>
      <c r="Y355" s="250" t="str">
        <f t="shared" si="7"/>
        <v/>
      </c>
    </row>
    <row r="356">
      <c r="A356" s="136" t="s">
        <v>133</v>
      </c>
      <c r="B356" s="136"/>
      <c r="C356" s="136" t="s">
        <v>133</v>
      </c>
      <c r="D356" s="136" t="s">
        <v>133</v>
      </c>
      <c r="E356" s="256" t="str">
        <f>IFERROR(__xludf.DUMMYFUNCTION("""COMPUTED_VALUE"""),"")</f>
        <v/>
      </c>
      <c r="F356" s="257" t="str">
        <f>IFERROR(__xludf.DUMMYFUNCTION("""COMPUTED_VALUE"""),"")</f>
        <v/>
      </c>
      <c r="G356" s="247" t="str">
        <f t="shared" si="1"/>
        <v/>
      </c>
      <c r="H356" s="258" t="str">
        <f>IFERROR(__xludf.DUMMYFUNCTION("""COMPUTED_VALUE"""),"")</f>
        <v/>
      </c>
      <c r="I356" s="259" t="str">
        <f>IFERROR(__xludf.DUMMYFUNCTION("""COMPUTED_VALUE"""),"")</f>
        <v/>
      </c>
      <c r="J356" s="250" t="str">
        <f t="shared" si="2"/>
        <v/>
      </c>
      <c r="K356" s="317" t="str">
        <f>IFERROR(__xludf.DUMMYFUNCTION("""COMPUTED_VALUE"""),"")</f>
        <v/>
      </c>
      <c r="L356" s="318" t="str">
        <f>IFERROR(__xludf.DUMMYFUNCTION("""COMPUTED_VALUE"""),"")</f>
        <v/>
      </c>
      <c r="M356" s="253" t="str">
        <f t="shared" si="3"/>
        <v/>
      </c>
      <c r="N356" s="319" t="str">
        <f>IFERROR(__xludf.DUMMYFUNCTION("""COMPUTED_VALUE"""),"")</f>
        <v/>
      </c>
      <c r="O356" s="257" t="str">
        <f>IFERROR(__xludf.DUMMYFUNCTION("""COMPUTED_VALUE"""),"")</f>
        <v/>
      </c>
      <c r="P356" s="247" t="str">
        <f t="shared" si="4"/>
        <v/>
      </c>
      <c r="Q356" s="320" t="str">
        <f>IFERROR(__xludf.DUMMYFUNCTION("""COMPUTED_VALUE"""),"")</f>
        <v/>
      </c>
      <c r="R356" s="259" t="str">
        <f>IFERROR(__xludf.DUMMYFUNCTION("""COMPUTED_VALUE"""),"")</f>
        <v/>
      </c>
      <c r="S356" s="250" t="str">
        <f t="shared" si="5"/>
        <v/>
      </c>
      <c r="T356" s="254" t="str">
        <f>IFERROR(__xludf.DUMMYFUNCTION("""COMPUTED_VALUE"""),"")</f>
        <v/>
      </c>
      <c r="U356" s="246" t="str">
        <f>IFERROR(__xludf.DUMMYFUNCTION("""COMPUTED_VALUE"""),"")</f>
        <v/>
      </c>
      <c r="V356" s="247" t="str">
        <f t="shared" si="6"/>
        <v/>
      </c>
      <c r="W356" s="255" t="str">
        <f>IFERROR(__xludf.DUMMYFUNCTION("""COMPUTED_VALUE"""),"")</f>
        <v/>
      </c>
      <c r="X356" s="249" t="str">
        <f>IFERROR(__xludf.DUMMYFUNCTION("""COMPUTED_VALUE"""),"")</f>
        <v/>
      </c>
      <c r="Y356" s="250" t="str">
        <f t="shared" si="7"/>
        <v/>
      </c>
    </row>
    <row r="357">
      <c r="A357" s="136" t="s">
        <v>133</v>
      </c>
      <c r="B357" s="136"/>
      <c r="C357" s="136" t="s">
        <v>133</v>
      </c>
      <c r="D357" s="136" t="s">
        <v>133</v>
      </c>
      <c r="E357" s="256" t="str">
        <f>IFERROR(__xludf.DUMMYFUNCTION("""COMPUTED_VALUE"""),"")</f>
        <v/>
      </c>
      <c r="F357" s="257" t="str">
        <f>IFERROR(__xludf.DUMMYFUNCTION("""COMPUTED_VALUE"""),"")</f>
        <v/>
      </c>
      <c r="G357" s="247" t="str">
        <f t="shared" si="1"/>
        <v/>
      </c>
      <c r="H357" s="258" t="str">
        <f>IFERROR(__xludf.DUMMYFUNCTION("""COMPUTED_VALUE"""),"")</f>
        <v/>
      </c>
      <c r="I357" s="259" t="str">
        <f>IFERROR(__xludf.DUMMYFUNCTION("""COMPUTED_VALUE"""),"")</f>
        <v/>
      </c>
      <c r="J357" s="250" t="str">
        <f t="shared" si="2"/>
        <v/>
      </c>
      <c r="K357" s="317" t="str">
        <f>IFERROR(__xludf.DUMMYFUNCTION("""COMPUTED_VALUE"""),"")</f>
        <v/>
      </c>
      <c r="L357" s="318" t="str">
        <f>IFERROR(__xludf.DUMMYFUNCTION("""COMPUTED_VALUE"""),"")</f>
        <v/>
      </c>
      <c r="M357" s="253" t="str">
        <f t="shared" si="3"/>
        <v/>
      </c>
      <c r="N357" s="319" t="str">
        <f>IFERROR(__xludf.DUMMYFUNCTION("""COMPUTED_VALUE"""),"")</f>
        <v/>
      </c>
      <c r="O357" s="257" t="str">
        <f>IFERROR(__xludf.DUMMYFUNCTION("""COMPUTED_VALUE"""),"")</f>
        <v/>
      </c>
      <c r="P357" s="247" t="str">
        <f t="shared" si="4"/>
        <v/>
      </c>
      <c r="Q357" s="320" t="str">
        <f>IFERROR(__xludf.DUMMYFUNCTION("""COMPUTED_VALUE"""),"")</f>
        <v/>
      </c>
      <c r="R357" s="259" t="str">
        <f>IFERROR(__xludf.DUMMYFUNCTION("""COMPUTED_VALUE"""),"")</f>
        <v/>
      </c>
      <c r="S357" s="250" t="str">
        <f t="shared" si="5"/>
        <v/>
      </c>
      <c r="T357" s="254" t="str">
        <f>IFERROR(__xludf.DUMMYFUNCTION("""COMPUTED_VALUE"""),"")</f>
        <v/>
      </c>
      <c r="U357" s="246" t="str">
        <f>IFERROR(__xludf.DUMMYFUNCTION("""COMPUTED_VALUE"""),"")</f>
        <v/>
      </c>
      <c r="V357" s="247" t="str">
        <f t="shared" si="6"/>
        <v/>
      </c>
      <c r="W357" s="255" t="str">
        <f>IFERROR(__xludf.DUMMYFUNCTION("""COMPUTED_VALUE"""),"")</f>
        <v/>
      </c>
      <c r="X357" s="249" t="str">
        <f>IFERROR(__xludf.DUMMYFUNCTION("""COMPUTED_VALUE"""),"")</f>
        <v/>
      </c>
      <c r="Y357" s="250" t="str">
        <f t="shared" si="7"/>
        <v/>
      </c>
    </row>
    <row r="358">
      <c r="A358" s="136" t="s">
        <v>133</v>
      </c>
      <c r="B358" s="136"/>
      <c r="C358" s="136" t="s">
        <v>133</v>
      </c>
      <c r="D358" s="136" t="s">
        <v>133</v>
      </c>
      <c r="E358" s="256" t="str">
        <f>IFERROR(__xludf.DUMMYFUNCTION("""COMPUTED_VALUE"""),"")</f>
        <v/>
      </c>
      <c r="F358" s="257" t="str">
        <f>IFERROR(__xludf.DUMMYFUNCTION("""COMPUTED_VALUE"""),"")</f>
        <v/>
      </c>
      <c r="G358" s="247" t="str">
        <f t="shared" si="1"/>
        <v/>
      </c>
      <c r="H358" s="258" t="str">
        <f>IFERROR(__xludf.DUMMYFUNCTION("""COMPUTED_VALUE"""),"")</f>
        <v/>
      </c>
      <c r="I358" s="259" t="str">
        <f>IFERROR(__xludf.DUMMYFUNCTION("""COMPUTED_VALUE"""),"")</f>
        <v/>
      </c>
      <c r="J358" s="250" t="str">
        <f t="shared" si="2"/>
        <v/>
      </c>
      <c r="K358" s="317" t="str">
        <f>IFERROR(__xludf.DUMMYFUNCTION("""COMPUTED_VALUE"""),"")</f>
        <v/>
      </c>
      <c r="L358" s="318" t="str">
        <f>IFERROR(__xludf.DUMMYFUNCTION("""COMPUTED_VALUE"""),"")</f>
        <v/>
      </c>
      <c r="M358" s="253" t="str">
        <f t="shared" si="3"/>
        <v/>
      </c>
      <c r="N358" s="319" t="str">
        <f>IFERROR(__xludf.DUMMYFUNCTION("""COMPUTED_VALUE"""),"")</f>
        <v/>
      </c>
      <c r="O358" s="257" t="str">
        <f>IFERROR(__xludf.DUMMYFUNCTION("""COMPUTED_VALUE"""),"")</f>
        <v/>
      </c>
      <c r="P358" s="247" t="str">
        <f t="shared" si="4"/>
        <v/>
      </c>
      <c r="Q358" s="320" t="str">
        <f>IFERROR(__xludf.DUMMYFUNCTION("""COMPUTED_VALUE"""),"")</f>
        <v/>
      </c>
      <c r="R358" s="259" t="str">
        <f>IFERROR(__xludf.DUMMYFUNCTION("""COMPUTED_VALUE"""),"")</f>
        <v/>
      </c>
      <c r="S358" s="250" t="str">
        <f t="shared" si="5"/>
        <v/>
      </c>
      <c r="T358" s="254" t="str">
        <f>IFERROR(__xludf.DUMMYFUNCTION("""COMPUTED_VALUE"""),"")</f>
        <v/>
      </c>
      <c r="U358" s="246" t="str">
        <f>IFERROR(__xludf.DUMMYFUNCTION("""COMPUTED_VALUE"""),"")</f>
        <v/>
      </c>
      <c r="V358" s="247" t="str">
        <f t="shared" si="6"/>
        <v/>
      </c>
      <c r="W358" s="255" t="str">
        <f>IFERROR(__xludf.DUMMYFUNCTION("""COMPUTED_VALUE"""),"")</f>
        <v/>
      </c>
      <c r="X358" s="249" t="str">
        <f>IFERROR(__xludf.DUMMYFUNCTION("""COMPUTED_VALUE"""),"")</f>
        <v/>
      </c>
      <c r="Y358" s="250" t="str">
        <f t="shared" si="7"/>
        <v/>
      </c>
    </row>
    <row r="359">
      <c r="A359" s="136" t="s">
        <v>133</v>
      </c>
      <c r="B359" s="136"/>
      <c r="C359" s="136" t="s">
        <v>133</v>
      </c>
      <c r="D359" s="136" t="s">
        <v>133</v>
      </c>
      <c r="E359" s="256" t="str">
        <f>IFERROR(__xludf.DUMMYFUNCTION("""COMPUTED_VALUE"""),"")</f>
        <v/>
      </c>
      <c r="F359" s="257" t="str">
        <f>IFERROR(__xludf.DUMMYFUNCTION("""COMPUTED_VALUE"""),"")</f>
        <v/>
      </c>
      <c r="G359" s="247" t="str">
        <f t="shared" si="1"/>
        <v/>
      </c>
      <c r="H359" s="258" t="str">
        <f>IFERROR(__xludf.DUMMYFUNCTION("""COMPUTED_VALUE"""),"")</f>
        <v/>
      </c>
      <c r="I359" s="259" t="str">
        <f>IFERROR(__xludf.DUMMYFUNCTION("""COMPUTED_VALUE"""),"")</f>
        <v/>
      </c>
      <c r="J359" s="250" t="str">
        <f t="shared" si="2"/>
        <v/>
      </c>
      <c r="K359" s="317" t="str">
        <f>IFERROR(__xludf.DUMMYFUNCTION("""COMPUTED_VALUE"""),"")</f>
        <v/>
      </c>
      <c r="L359" s="318" t="str">
        <f>IFERROR(__xludf.DUMMYFUNCTION("""COMPUTED_VALUE"""),"")</f>
        <v/>
      </c>
      <c r="M359" s="253" t="str">
        <f t="shared" si="3"/>
        <v/>
      </c>
      <c r="N359" s="319" t="str">
        <f>IFERROR(__xludf.DUMMYFUNCTION("""COMPUTED_VALUE"""),"")</f>
        <v/>
      </c>
      <c r="O359" s="257" t="str">
        <f>IFERROR(__xludf.DUMMYFUNCTION("""COMPUTED_VALUE"""),"")</f>
        <v/>
      </c>
      <c r="P359" s="247" t="str">
        <f t="shared" si="4"/>
        <v/>
      </c>
      <c r="Q359" s="320" t="str">
        <f>IFERROR(__xludf.DUMMYFUNCTION("""COMPUTED_VALUE"""),"")</f>
        <v/>
      </c>
      <c r="R359" s="259" t="str">
        <f>IFERROR(__xludf.DUMMYFUNCTION("""COMPUTED_VALUE"""),"")</f>
        <v/>
      </c>
      <c r="S359" s="250" t="str">
        <f t="shared" si="5"/>
        <v/>
      </c>
      <c r="T359" s="254" t="str">
        <f>IFERROR(__xludf.DUMMYFUNCTION("""COMPUTED_VALUE"""),"")</f>
        <v/>
      </c>
      <c r="U359" s="246" t="str">
        <f>IFERROR(__xludf.DUMMYFUNCTION("""COMPUTED_VALUE"""),"")</f>
        <v/>
      </c>
      <c r="V359" s="247" t="str">
        <f t="shared" si="6"/>
        <v/>
      </c>
      <c r="W359" s="255" t="str">
        <f>IFERROR(__xludf.DUMMYFUNCTION("""COMPUTED_VALUE"""),"")</f>
        <v/>
      </c>
      <c r="X359" s="249" t="str">
        <f>IFERROR(__xludf.DUMMYFUNCTION("""COMPUTED_VALUE"""),"")</f>
        <v/>
      </c>
      <c r="Y359" s="250" t="str">
        <f t="shared" si="7"/>
        <v/>
      </c>
    </row>
    <row r="360">
      <c r="A360" s="136" t="s">
        <v>133</v>
      </c>
      <c r="B360" s="136"/>
      <c r="C360" s="136" t="s">
        <v>133</v>
      </c>
      <c r="D360" s="136" t="s">
        <v>133</v>
      </c>
      <c r="E360" s="256" t="str">
        <f>IFERROR(__xludf.DUMMYFUNCTION("""COMPUTED_VALUE"""),"")</f>
        <v/>
      </c>
      <c r="F360" s="257" t="str">
        <f>IFERROR(__xludf.DUMMYFUNCTION("""COMPUTED_VALUE"""),"")</f>
        <v/>
      </c>
      <c r="G360" s="247" t="str">
        <f t="shared" si="1"/>
        <v/>
      </c>
      <c r="H360" s="258" t="str">
        <f>IFERROR(__xludf.DUMMYFUNCTION("""COMPUTED_VALUE"""),"")</f>
        <v/>
      </c>
      <c r="I360" s="259" t="str">
        <f>IFERROR(__xludf.DUMMYFUNCTION("""COMPUTED_VALUE"""),"")</f>
        <v/>
      </c>
      <c r="J360" s="250" t="str">
        <f t="shared" si="2"/>
        <v/>
      </c>
      <c r="K360" s="317" t="str">
        <f>IFERROR(__xludf.DUMMYFUNCTION("""COMPUTED_VALUE"""),"")</f>
        <v/>
      </c>
      <c r="L360" s="318" t="str">
        <f>IFERROR(__xludf.DUMMYFUNCTION("""COMPUTED_VALUE"""),"")</f>
        <v/>
      </c>
      <c r="M360" s="253" t="str">
        <f t="shared" si="3"/>
        <v/>
      </c>
      <c r="N360" s="319" t="str">
        <f>IFERROR(__xludf.DUMMYFUNCTION("""COMPUTED_VALUE"""),"")</f>
        <v/>
      </c>
      <c r="O360" s="257" t="str">
        <f>IFERROR(__xludf.DUMMYFUNCTION("""COMPUTED_VALUE"""),"")</f>
        <v/>
      </c>
      <c r="P360" s="247" t="str">
        <f t="shared" si="4"/>
        <v/>
      </c>
      <c r="Q360" s="320" t="str">
        <f>IFERROR(__xludf.DUMMYFUNCTION("""COMPUTED_VALUE"""),"")</f>
        <v/>
      </c>
      <c r="R360" s="259" t="str">
        <f>IFERROR(__xludf.DUMMYFUNCTION("""COMPUTED_VALUE"""),"")</f>
        <v/>
      </c>
      <c r="S360" s="250" t="str">
        <f t="shared" si="5"/>
        <v/>
      </c>
      <c r="T360" s="254" t="str">
        <f>IFERROR(__xludf.DUMMYFUNCTION("""COMPUTED_VALUE"""),"")</f>
        <v/>
      </c>
      <c r="U360" s="246" t="str">
        <f>IFERROR(__xludf.DUMMYFUNCTION("""COMPUTED_VALUE"""),"")</f>
        <v/>
      </c>
      <c r="V360" s="247" t="str">
        <f t="shared" si="6"/>
        <v/>
      </c>
      <c r="W360" s="255" t="str">
        <f>IFERROR(__xludf.DUMMYFUNCTION("""COMPUTED_VALUE"""),"")</f>
        <v/>
      </c>
      <c r="X360" s="249" t="str">
        <f>IFERROR(__xludf.DUMMYFUNCTION("""COMPUTED_VALUE"""),"")</f>
        <v/>
      </c>
      <c r="Y360" s="250" t="str">
        <f t="shared" si="7"/>
        <v/>
      </c>
    </row>
    <row r="361">
      <c r="A361" s="136" t="s">
        <v>133</v>
      </c>
      <c r="B361" s="136"/>
      <c r="C361" s="136" t="s">
        <v>133</v>
      </c>
      <c r="D361" s="136" t="s">
        <v>133</v>
      </c>
      <c r="E361" s="256" t="str">
        <f>IFERROR(__xludf.DUMMYFUNCTION("""COMPUTED_VALUE"""),"")</f>
        <v/>
      </c>
      <c r="F361" s="257" t="str">
        <f>IFERROR(__xludf.DUMMYFUNCTION("""COMPUTED_VALUE"""),"")</f>
        <v/>
      </c>
      <c r="G361" s="247" t="str">
        <f t="shared" si="1"/>
        <v/>
      </c>
      <c r="H361" s="258" t="str">
        <f>IFERROR(__xludf.DUMMYFUNCTION("""COMPUTED_VALUE"""),"")</f>
        <v/>
      </c>
      <c r="I361" s="259" t="str">
        <f>IFERROR(__xludf.DUMMYFUNCTION("""COMPUTED_VALUE"""),"")</f>
        <v/>
      </c>
      <c r="J361" s="250" t="str">
        <f t="shared" si="2"/>
        <v/>
      </c>
      <c r="K361" s="317" t="str">
        <f>IFERROR(__xludf.DUMMYFUNCTION("""COMPUTED_VALUE"""),"")</f>
        <v/>
      </c>
      <c r="L361" s="318" t="str">
        <f>IFERROR(__xludf.DUMMYFUNCTION("""COMPUTED_VALUE"""),"")</f>
        <v/>
      </c>
      <c r="M361" s="253" t="str">
        <f t="shared" si="3"/>
        <v/>
      </c>
      <c r="N361" s="319" t="str">
        <f>IFERROR(__xludf.DUMMYFUNCTION("""COMPUTED_VALUE"""),"")</f>
        <v/>
      </c>
      <c r="O361" s="257" t="str">
        <f>IFERROR(__xludf.DUMMYFUNCTION("""COMPUTED_VALUE"""),"")</f>
        <v/>
      </c>
      <c r="P361" s="247" t="str">
        <f t="shared" si="4"/>
        <v/>
      </c>
      <c r="Q361" s="320" t="str">
        <f>IFERROR(__xludf.DUMMYFUNCTION("""COMPUTED_VALUE"""),"")</f>
        <v/>
      </c>
      <c r="R361" s="259" t="str">
        <f>IFERROR(__xludf.DUMMYFUNCTION("""COMPUTED_VALUE"""),"")</f>
        <v/>
      </c>
      <c r="S361" s="250" t="str">
        <f t="shared" si="5"/>
        <v/>
      </c>
      <c r="T361" s="254" t="str">
        <f>IFERROR(__xludf.DUMMYFUNCTION("""COMPUTED_VALUE"""),"")</f>
        <v/>
      </c>
      <c r="U361" s="246" t="str">
        <f>IFERROR(__xludf.DUMMYFUNCTION("""COMPUTED_VALUE"""),"")</f>
        <v/>
      </c>
      <c r="V361" s="247" t="str">
        <f t="shared" si="6"/>
        <v/>
      </c>
      <c r="W361" s="255" t="str">
        <f>IFERROR(__xludf.DUMMYFUNCTION("""COMPUTED_VALUE"""),"")</f>
        <v/>
      </c>
      <c r="X361" s="249" t="str">
        <f>IFERROR(__xludf.DUMMYFUNCTION("""COMPUTED_VALUE"""),"")</f>
        <v/>
      </c>
      <c r="Y361" s="250" t="str">
        <f t="shared" si="7"/>
        <v/>
      </c>
    </row>
    <row r="362">
      <c r="A362" s="136" t="s">
        <v>133</v>
      </c>
      <c r="B362" s="136"/>
      <c r="C362" s="136" t="s">
        <v>133</v>
      </c>
      <c r="D362" s="136" t="s">
        <v>133</v>
      </c>
      <c r="E362" s="256" t="str">
        <f>IFERROR(__xludf.DUMMYFUNCTION("""COMPUTED_VALUE"""),"")</f>
        <v/>
      </c>
      <c r="F362" s="257" t="str">
        <f>IFERROR(__xludf.DUMMYFUNCTION("""COMPUTED_VALUE"""),"")</f>
        <v/>
      </c>
      <c r="G362" s="247" t="str">
        <f t="shared" si="1"/>
        <v/>
      </c>
      <c r="H362" s="258" t="str">
        <f>IFERROR(__xludf.DUMMYFUNCTION("""COMPUTED_VALUE"""),"")</f>
        <v/>
      </c>
      <c r="I362" s="259" t="str">
        <f>IFERROR(__xludf.DUMMYFUNCTION("""COMPUTED_VALUE"""),"")</f>
        <v/>
      </c>
      <c r="J362" s="250" t="str">
        <f t="shared" si="2"/>
        <v/>
      </c>
      <c r="K362" s="317" t="str">
        <f>IFERROR(__xludf.DUMMYFUNCTION("""COMPUTED_VALUE"""),"")</f>
        <v/>
      </c>
      <c r="L362" s="318" t="str">
        <f>IFERROR(__xludf.DUMMYFUNCTION("""COMPUTED_VALUE"""),"")</f>
        <v/>
      </c>
      <c r="M362" s="253" t="str">
        <f t="shared" si="3"/>
        <v/>
      </c>
      <c r="N362" s="319" t="str">
        <f>IFERROR(__xludf.DUMMYFUNCTION("""COMPUTED_VALUE"""),"")</f>
        <v/>
      </c>
      <c r="O362" s="257" t="str">
        <f>IFERROR(__xludf.DUMMYFUNCTION("""COMPUTED_VALUE"""),"")</f>
        <v/>
      </c>
      <c r="P362" s="247" t="str">
        <f t="shared" si="4"/>
        <v/>
      </c>
      <c r="Q362" s="320" t="str">
        <f>IFERROR(__xludf.DUMMYFUNCTION("""COMPUTED_VALUE"""),"")</f>
        <v/>
      </c>
      <c r="R362" s="259" t="str">
        <f>IFERROR(__xludf.DUMMYFUNCTION("""COMPUTED_VALUE"""),"")</f>
        <v/>
      </c>
      <c r="S362" s="250" t="str">
        <f t="shared" si="5"/>
        <v/>
      </c>
      <c r="T362" s="254" t="str">
        <f>IFERROR(__xludf.DUMMYFUNCTION("""COMPUTED_VALUE"""),"")</f>
        <v/>
      </c>
      <c r="U362" s="246" t="str">
        <f>IFERROR(__xludf.DUMMYFUNCTION("""COMPUTED_VALUE"""),"")</f>
        <v/>
      </c>
      <c r="V362" s="247" t="str">
        <f t="shared" si="6"/>
        <v/>
      </c>
      <c r="W362" s="255" t="str">
        <f>IFERROR(__xludf.DUMMYFUNCTION("""COMPUTED_VALUE"""),"")</f>
        <v/>
      </c>
      <c r="X362" s="249" t="str">
        <f>IFERROR(__xludf.DUMMYFUNCTION("""COMPUTED_VALUE"""),"")</f>
        <v/>
      </c>
      <c r="Y362" s="250" t="str">
        <f t="shared" si="7"/>
        <v/>
      </c>
    </row>
    <row r="363">
      <c r="A363" s="136" t="s">
        <v>133</v>
      </c>
      <c r="B363" s="136"/>
      <c r="C363" s="136" t="s">
        <v>133</v>
      </c>
      <c r="D363" s="136" t="s">
        <v>133</v>
      </c>
      <c r="E363" s="256" t="str">
        <f>IFERROR(__xludf.DUMMYFUNCTION("""COMPUTED_VALUE"""),"")</f>
        <v/>
      </c>
      <c r="F363" s="257" t="str">
        <f>IFERROR(__xludf.DUMMYFUNCTION("""COMPUTED_VALUE"""),"")</f>
        <v/>
      </c>
      <c r="G363" s="247" t="str">
        <f t="shared" si="1"/>
        <v/>
      </c>
      <c r="H363" s="258" t="str">
        <f>IFERROR(__xludf.DUMMYFUNCTION("""COMPUTED_VALUE"""),"")</f>
        <v/>
      </c>
      <c r="I363" s="259" t="str">
        <f>IFERROR(__xludf.DUMMYFUNCTION("""COMPUTED_VALUE"""),"")</f>
        <v/>
      </c>
      <c r="J363" s="250" t="str">
        <f t="shared" si="2"/>
        <v/>
      </c>
      <c r="K363" s="317" t="str">
        <f>IFERROR(__xludf.DUMMYFUNCTION("""COMPUTED_VALUE"""),"")</f>
        <v/>
      </c>
      <c r="L363" s="318" t="str">
        <f>IFERROR(__xludf.DUMMYFUNCTION("""COMPUTED_VALUE"""),"")</f>
        <v/>
      </c>
      <c r="M363" s="253" t="str">
        <f t="shared" si="3"/>
        <v/>
      </c>
      <c r="N363" s="319" t="str">
        <f>IFERROR(__xludf.DUMMYFUNCTION("""COMPUTED_VALUE"""),"")</f>
        <v/>
      </c>
      <c r="O363" s="257" t="str">
        <f>IFERROR(__xludf.DUMMYFUNCTION("""COMPUTED_VALUE"""),"")</f>
        <v/>
      </c>
      <c r="P363" s="247" t="str">
        <f t="shared" si="4"/>
        <v/>
      </c>
      <c r="Q363" s="320" t="str">
        <f>IFERROR(__xludf.DUMMYFUNCTION("""COMPUTED_VALUE"""),"")</f>
        <v/>
      </c>
      <c r="R363" s="259" t="str">
        <f>IFERROR(__xludf.DUMMYFUNCTION("""COMPUTED_VALUE"""),"")</f>
        <v/>
      </c>
      <c r="S363" s="250" t="str">
        <f t="shared" si="5"/>
        <v/>
      </c>
      <c r="T363" s="254" t="str">
        <f>IFERROR(__xludf.DUMMYFUNCTION("""COMPUTED_VALUE"""),"")</f>
        <v/>
      </c>
      <c r="U363" s="246" t="str">
        <f>IFERROR(__xludf.DUMMYFUNCTION("""COMPUTED_VALUE"""),"")</f>
        <v/>
      </c>
      <c r="V363" s="247" t="str">
        <f t="shared" si="6"/>
        <v/>
      </c>
      <c r="W363" s="255" t="str">
        <f>IFERROR(__xludf.DUMMYFUNCTION("""COMPUTED_VALUE"""),"")</f>
        <v/>
      </c>
      <c r="X363" s="249" t="str">
        <f>IFERROR(__xludf.DUMMYFUNCTION("""COMPUTED_VALUE"""),"")</f>
        <v/>
      </c>
      <c r="Y363" s="250" t="str">
        <f t="shared" si="7"/>
        <v/>
      </c>
    </row>
    <row r="364">
      <c r="A364" s="136" t="s">
        <v>133</v>
      </c>
      <c r="B364" s="136"/>
      <c r="C364" s="136" t="s">
        <v>133</v>
      </c>
      <c r="D364" s="136" t="s">
        <v>133</v>
      </c>
      <c r="E364" s="256" t="str">
        <f>IFERROR(__xludf.DUMMYFUNCTION("""COMPUTED_VALUE"""),"")</f>
        <v/>
      </c>
      <c r="F364" s="257" t="str">
        <f>IFERROR(__xludf.DUMMYFUNCTION("""COMPUTED_VALUE"""),"")</f>
        <v/>
      </c>
      <c r="G364" s="247" t="str">
        <f t="shared" si="1"/>
        <v/>
      </c>
      <c r="H364" s="258" t="str">
        <f>IFERROR(__xludf.DUMMYFUNCTION("""COMPUTED_VALUE"""),"")</f>
        <v/>
      </c>
      <c r="I364" s="259" t="str">
        <f>IFERROR(__xludf.DUMMYFUNCTION("""COMPUTED_VALUE"""),"")</f>
        <v/>
      </c>
      <c r="J364" s="250" t="str">
        <f t="shared" si="2"/>
        <v/>
      </c>
      <c r="K364" s="317" t="str">
        <f>IFERROR(__xludf.DUMMYFUNCTION("""COMPUTED_VALUE"""),"")</f>
        <v/>
      </c>
      <c r="L364" s="318" t="str">
        <f>IFERROR(__xludf.DUMMYFUNCTION("""COMPUTED_VALUE"""),"")</f>
        <v/>
      </c>
      <c r="M364" s="253" t="str">
        <f t="shared" si="3"/>
        <v/>
      </c>
      <c r="N364" s="319" t="str">
        <f>IFERROR(__xludf.DUMMYFUNCTION("""COMPUTED_VALUE"""),"")</f>
        <v/>
      </c>
      <c r="O364" s="257" t="str">
        <f>IFERROR(__xludf.DUMMYFUNCTION("""COMPUTED_VALUE"""),"")</f>
        <v/>
      </c>
      <c r="P364" s="247" t="str">
        <f t="shared" si="4"/>
        <v/>
      </c>
      <c r="Q364" s="320" t="str">
        <f>IFERROR(__xludf.DUMMYFUNCTION("""COMPUTED_VALUE"""),"")</f>
        <v/>
      </c>
      <c r="R364" s="259" t="str">
        <f>IFERROR(__xludf.DUMMYFUNCTION("""COMPUTED_VALUE"""),"")</f>
        <v/>
      </c>
      <c r="S364" s="250" t="str">
        <f t="shared" si="5"/>
        <v/>
      </c>
      <c r="T364" s="254" t="str">
        <f>IFERROR(__xludf.DUMMYFUNCTION("""COMPUTED_VALUE"""),"")</f>
        <v/>
      </c>
      <c r="U364" s="246" t="str">
        <f>IFERROR(__xludf.DUMMYFUNCTION("""COMPUTED_VALUE"""),"")</f>
        <v/>
      </c>
      <c r="V364" s="247" t="str">
        <f t="shared" si="6"/>
        <v/>
      </c>
      <c r="W364" s="255" t="str">
        <f>IFERROR(__xludf.DUMMYFUNCTION("""COMPUTED_VALUE"""),"")</f>
        <v/>
      </c>
      <c r="X364" s="249" t="str">
        <f>IFERROR(__xludf.DUMMYFUNCTION("""COMPUTED_VALUE"""),"")</f>
        <v/>
      </c>
      <c r="Y364" s="250" t="str">
        <f t="shared" si="7"/>
        <v/>
      </c>
    </row>
    <row r="365">
      <c r="A365" s="136" t="s">
        <v>133</v>
      </c>
      <c r="B365" s="136"/>
      <c r="C365" s="136" t="s">
        <v>133</v>
      </c>
      <c r="D365" s="136" t="s">
        <v>133</v>
      </c>
      <c r="E365" s="256" t="str">
        <f>IFERROR(__xludf.DUMMYFUNCTION("""COMPUTED_VALUE"""),"")</f>
        <v/>
      </c>
      <c r="F365" s="257" t="str">
        <f>IFERROR(__xludf.DUMMYFUNCTION("""COMPUTED_VALUE"""),"")</f>
        <v/>
      </c>
      <c r="G365" s="247" t="str">
        <f t="shared" si="1"/>
        <v/>
      </c>
      <c r="H365" s="258" t="str">
        <f>IFERROR(__xludf.DUMMYFUNCTION("""COMPUTED_VALUE"""),"")</f>
        <v/>
      </c>
      <c r="I365" s="259" t="str">
        <f>IFERROR(__xludf.DUMMYFUNCTION("""COMPUTED_VALUE"""),"")</f>
        <v/>
      </c>
      <c r="J365" s="250" t="str">
        <f t="shared" si="2"/>
        <v/>
      </c>
      <c r="K365" s="317" t="str">
        <f>IFERROR(__xludf.DUMMYFUNCTION("""COMPUTED_VALUE"""),"")</f>
        <v/>
      </c>
      <c r="L365" s="318" t="str">
        <f>IFERROR(__xludf.DUMMYFUNCTION("""COMPUTED_VALUE"""),"")</f>
        <v/>
      </c>
      <c r="M365" s="253" t="str">
        <f t="shared" si="3"/>
        <v/>
      </c>
      <c r="N365" s="319" t="str">
        <f>IFERROR(__xludf.DUMMYFUNCTION("""COMPUTED_VALUE"""),"")</f>
        <v/>
      </c>
      <c r="O365" s="257" t="str">
        <f>IFERROR(__xludf.DUMMYFUNCTION("""COMPUTED_VALUE"""),"")</f>
        <v/>
      </c>
      <c r="P365" s="247" t="str">
        <f t="shared" si="4"/>
        <v/>
      </c>
      <c r="Q365" s="320" t="str">
        <f>IFERROR(__xludf.DUMMYFUNCTION("""COMPUTED_VALUE"""),"")</f>
        <v/>
      </c>
      <c r="R365" s="259" t="str">
        <f>IFERROR(__xludf.DUMMYFUNCTION("""COMPUTED_VALUE"""),"")</f>
        <v/>
      </c>
      <c r="S365" s="250" t="str">
        <f t="shared" si="5"/>
        <v/>
      </c>
      <c r="T365" s="254" t="str">
        <f>IFERROR(__xludf.DUMMYFUNCTION("""COMPUTED_VALUE"""),"")</f>
        <v/>
      </c>
      <c r="U365" s="246" t="str">
        <f>IFERROR(__xludf.DUMMYFUNCTION("""COMPUTED_VALUE"""),"")</f>
        <v/>
      </c>
      <c r="V365" s="247" t="str">
        <f t="shared" si="6"/>
        <v/>
      </c>
      <c r="W365" s="255" t="str">
        <f>IFERROR(__xludf.DUMMYFUNCTION("""COMPUTED_VALUE"""),"")</f>
        <v/>
      </c>
      <c r="X365" s="249" t="str">
        <f>IFERROR(__xludf.DUMMYFUNCTION("""COMPUTED_VALUE"""),"")</f>
        <v/>
      </c>
      <c r="Y365" s="250" t="str">
        <f t="shared" si="7"/>
        <v/>
      </c>
    </row>
    <row r="366">
      <c r="A366" s="136" t="s">
        <v>133</v>
      </c>
      <c r="B366" s="136"/>
      <c r="C366" s="136" t="s">
        <v>133</v>
      </c>
      <c r="D366" s="136" t="s">
        <v>133</v>
      </c>
      <c r="E366" s="256" t="str">
        <f>IFERROR(__xludf.DUMMYFUNCTION("""COMPUTED_VALUE"""),"")</f>
        <v/>
      </c>
      <c r="F366" s="257" t="str">
        <f>IFERROR(__xludf.DUMMYFUNCTION("""COMPUTED_VALUE"""),"")</f>
        <v/>
      </c>
      <c r="G366" s="247" t="str">
        <f t="shared" si="1"/>
        <v/>
      </c>
      <c r="H366" s="258" t="str">
        <f>IFERROR(__xludf.DUMMYFUNCTION("""COMPUTED_VALUE"""),"")</f>
        <v/>
      </c>
      <c r="I366" s="259" t="str">
        <f>IFERROR(__xludf.DUMMYFUNCTION("""COMPUTED_VALUE"""),"")</f>
        <v/>
      </c>
      <c r="J366" s="250" t="str">
        <f t="shared" si="2"/>
        <v/>
      </c>
      <c r="K366" s="317" t="str">
        <f>IFERROR(__xludf.DUMMYFUNCTION("""COMPUTED_VALUE"""),"")</f>
        <v/>
      </c>
      <c r="L366" s="318" t="str">
        <f>IFERROR(__xludf.DUMMYFUNCTION("""COMPUTED_VALUE"""),"")</f>
        <v/>
      </c>
      <c r="M366" s="253" t="str">
        <f t="shared" si="3"/>
        <v/>
      </c>
      <c r="N366" s="319" t="str">
        <f>IFERROR(__xludf.DUMMYFUNCTION("""COMPUTED_VALUE"""),"")</f>
        <v/>
      </c>
      <c r="O366" s="257" t="str">
        <f>IFERROR(__xludf.DUMMYFUNCTION("""COMPUTED_VALUE"""),"")</f>
        <v/>
      </c>
      <c r="P366" s="247" t="str">
        <f t="shared" si="4"/>
        <v/>
      </c>
      <c r="Q366" s="320" t="str">
        <f>IFERROR(__xludf.DUMMYFUNCTION("""COMPUTED_VALUE"""),"")</f>
        <v/>
      </c>
      <c r="R366" s="259" t="str">
        <f>IFERROR(__xludf.DUMMYFUNCTION("""COMPUTED_VALUE"""),"")</f>
        <v/>
      </c>
      <c r="S366" s="250" t="str">
        <f t="shared" si="5"/>
        <v/>
      </c>
      <c r="T366" s="254" t="str">
        <f>IFERROR(__xludf.DUMMYFUNCTION("""COMPUTED_VALUE"""),"")</f>
        <v/>
      </c>
      <c r="U366" s="246" t="str">
        <f>IFERROR(__xludf.DUMMYFUNCTION("""COMPUTED_VALUE"""),"")</f>
        <v/>
      </c>
      <c r="V366" s="247" t="str">
        <f t="shared" si="6"/>
        <v/>
      </c>
      <c r="W366" s="255" t="str">
        <f>IFERROR(__xludf.DUMMYFUNCTION("""COMPUTED_VALUE"""),"")</f>
        <v/>
      </c>
      <c r="X366" s="249" t="str">
        <f>IFERROR(__xludf.DUMMYFUNCTION("""COMPUTED_VALUE"""),"")</f>
        <v/>
      </c>
      <c r="Y366" s="250" t="str">
        <f t="shared" si="7"/>
        <v/>
      </c>
    </row>
    <row r="367">
      <c r="A367" s="136" t="s">
        <v>133</v>
      </c>
      <c r="B367" s="136"/>
      <c r="C367" s="136" t="s">
        <v>133</v>
      </c>
      <c r="D367" s="136" t="s">
        <v>133</v>
      </c>
      <c r="E367" s="256" t="str">
        <f>IFERROR(__xludf.DUMMYFUNCTION("""COMPUTED_VALUE"""),"")</f>
        <v/>
      </c>
      <c r="F367" s="257" t="str">
        <f>IFERROR(__xludf.DUMMYFUNCTION("""COMPUTED_VALUE"""),"")</f>
        <v/>
      </c>
      <c r="G367" s="247" t="str">
        <f t="shared" si="1"/>
        <v/>
      </c>
      <c r="H367" s="258" t="str">
        <f>IFERROR(__xludf.DUMMYFUNCTION("""COMPUTED_VALUE"""),"")</f>
        <v/>
      </c>
      <c r="I367" s="259" t="str">
        <f>IFERROR(__xludf.DUMMYFUNCTION("""COMPUTED_VALUE"""),"")</f>
        <v/>
      </c>
      <c r="J367" s="250" t="str">
        <f t="shared" si="2"/>
        <v/>
      </c>
      <c r="K367" s="317" t="str">
        <f>IFERROR(__xludf.DUMMYFUNCTION("""COMPUTED_VALUE"""),"")</f>
        <v/>
      </c>
      <c r="L367" s="318" t="str">
        <f>IFERROR(__xludf.DUMMYFUNCTION("""COMPUTED_VALUE"""),"")</f>
        <v/>
      </c>
      <c r="M367" s="253" t="str">
        <f t="shared" si="3"/>
        <v/>
      </c>
      <c r="N367" s="319" t="str">
        <f>IFERROR(__xludf.DUMMYFUNCTION("""COMPUTED_VALUE"""),"")</f>
        <v/>
      </c>
      <c r="O367" s="257" t="str">
        <f>IFERROR(__xludf.DUMMYFUNCTION("""COMPUTED_VALUE"""),"")</f>
        <v/>
      </c>
      <c r="P367" s="247" t="str">
        <f t="shared" si="4"/>
        <v/>
      </c>
      <c r="Q367" s="320" t="str">
        <f>IFERROR(__xludf.DUMMYFUNCTION("""COMPUTED_VALUE"""),"")</f>
        <v/>
      </c>
      <c r="R367" s="259" t="str">
        <f>IFERROR(__xludf.DUMMYFUNCTION("""COMPUTED_VALUE"""),"")</f>
        <v/>
      </c>
      <c r="S367" s="250" t="str">
        <f t="shared" si="5"/>
        <v/>
      </c>
      <c r="T367" s="254" t="str">
        <f>IFERROR(__xludf.DUMMYFUNCTION("""COMPUTED_VALUE"""),"")</f>
        <v/>
      </c>
      <c r="U367" s="246" t="str">
        <f>IFERROR(__xludf.DUMMYFUNCTION("""COMPUTED_VALUE"""),"")</f>
        <v/>
      </c>
      <c r="V367" s="247" t="str">
        <f t="shared" si="6"/>
        <v/>
      </c>
      <c r="W367" s="255" t="str">
        <f>IFERROR(__xludf.DUMMYFUNCTION("""COMPUTED_VALUE"""),"")</f>
        <v/>
      </c>
      <c r="X367" s="249" t="str">
        <f>IFERROR(__xludf.DUMMYFUNCTION("""COMPUTED_VALUE"""),"")</f>
        <v/>
      </c>
      <c r="Y367" s="250" t="str">
        <f t="shared" si="7"/>
        <v/>
      </c>
    </row>
    <row r="368">
      <c r="A368" s="136" t="s">
        <v>133</v>
      </c>
      <c r="B368" s="136"/>
      <c r="C368" s="136" t="s">
        <v>133</v>
      </c>
      <c r="D368" s="136" t="s">
        <v>133</v>
      </c>
      <c r="E368" s="256" t="str">
        <f>IFERROR(__xludf.DUMMYFUNCTION("""COMPUTED_VALUE"""),"")</f>
        <v/>
      </c>
      <c r="F368" s="257" t="str">
        <f>IFERROR(__xludf.DUMMYFUNCTION("""COMPUTED_VALUE"""),"")</f>
        <v/>
      </c>
      <c r="G368" s="247" t="str">
        <f t="shared" si="1"/>
        <v/>
      </c>
      <c r="H368" s="258" t="str">
        <f>IFERROR(__xludf.DUMMYFUNCTION("""COMPUTED_VALUE"""),"")</f>
        <v/>
      </c>
      <c r="I368" s="259" t="str">
        <f>IFERROR(__xludf.DUMMYFUNCTION("""COMPUTED_VALUE"""),"")</f>
        <v/>
      </c>
      <c r="J368" s="250" t="str">
        <f t="shared" si="2"/>
        <v/>
      </c>
      <c r="K368" s="317" t="str">
        <f>IFERROR(__xludf.DUMMYFUNCTION("""COMPUTED_VALUE"""),"")</f>
        <v/>
      </c>
      <c r="L368" s="318" t="str">
        <f>IFERROR(__xludf.DUMMYFUNCTION("""COMPUTED_VALUE"""),"")</f>
        <v/>
      </c>
      <c r="M368" s="253" t="str">
        <f t="shared" si="3"/>
        <v/>
      </c>
      <c r="N368" s="319" t="str">
        <f>IFERROR(__xludf.DUMMYFUNCTION("""COMPUTED_VALUE"""),"")</f>
        <v/>
      </c>
      <c r="O368" s="257" t="str">
        <f>IFERROR(__xludf.DUMMYFUNCTION("""COMPUTED_VALUE"""),"")</f>
        <v/>
      </c>
      <c r="P368" s="247" t="str">
        <f t="shared" si="4"/>
        <v/>
      </c>
      <c r="Q368" s="320" t="str">
        <f>IFERROR(__xludf.DUMMYFUNCTION("""COMPUTED_VALUE"""),"")</f>
        <v/>
      </c>
      <c r="R368" s="259" t="str">
        <f>IFERROR(__xludf.DUMMYFUNCTION("""COMPUTED_VALUE"""),"")</f>
        <v/>
      </c>
      <c r="S368" s="250" t="str">
        <f t="shared" si="5"/>
        <v/>
      </c>
      <c r="T368" s="254" t="str">
        <f>IFERROR(__xludf.DUMMYFUNCTION("""COMPUTED_VALUE"""),"")</f>
        <v/>
      </c>
      <c r="U368" s="246" t="str">
        <f>IFERROR(__xludf.DUMMYFUNCTION("""COMPUTED_VALUE"""),"")</f>
        <v/>
      </c>
      <c r="V368" s="247" t="str">
        <f t="shared" si="6"/>
        <v/>
      </c>
      <c r="W368" s="255" t="str">
        <f>IFERROR(__xludf.DUMMYFUNCTION("""COMPUTED_VALUE"""),"")</f>
        <v/>
      </c>
      <c r="X368" s="249" t="str">
        <f>IFERROR(__xludf.DUMMYFUNCTION("""COMPUTED_VALUE"""),"")</f>
        <v/>
      </c>
      <c r="Y368" s="250" t="str">
        <f t="shared" si="7"/>
        <v/>
      </c>
    </row>
    <row r="369">
      <c r="A369" s="136" t="s">
        <v>133</v>
      </c>
      <c r="B369" s="136"/>
      <c r="C369" s="136" t="s">
        <v>133</v>
      </c>
      <c r="D369" s="136" t="s">
        <v>133</v>
      </c>
      <c r="E369" s="256" t="str">
        <f>IFERROR(__xludf.DUMMYFUNCTION("""COMPUTED_VALUE"""),"")</f>
        <v/>
      </c>
      <c r="F369" s="257" t="str">
        <f>IFERROR(__xludf.DUMMYFUNCTION("""COMPUTED_VALUE"""),"")</f>
        <v/>
      </c>
      <c r="G369" s="247" t="str">
        <f t="shared" si="1"/>
        <v/>
      </c>
      <c r="H369" s="258" t="str">
        <f>IFERROR(__xludf.DUMMYFUNCTION("""COMPUTED_VALUE"""),"")</f>
        <v/>
      </c>
      <c r="I369" s="259" t="str">
        <f>IFERROR(__xludf.DUMMYFUNCTION("""COMPUTED_VALUE"""),"")</f>
        <v/>
      </c>
      <c r="J369" s="250" t="str">
        <f t="shared" si="2"/>
        <v/>
      </c>
      <c r="K369" s="317" t="str">
        <f>IFERROR(__xludf.DUMMYFUNCTION("""COMPUTED_VALUE"""),"")</f>
        <v/>
      </c>
      <c r="L369" s="318" t="str">
        <f>IFERROR(__xludf.DUMMYFUNCTION("""COMPUTED_VALUE"""),"")</f>
        <v/>
      </c>
      <c r="M369" s="253" t="str">
        <f t="shared" si="3"/>
        <v/>
      </c>
      <c r="N369" s="319" t="str">
        <f>IFERROR(__xludf.DUMMYFUNCTION("""COMPUTED_VALUE"""),"")</f>
        <v/>
      </c>
      <c r="O369" s="257" t="str">
        <f>IFERROR(__xludf.DUMMYFUNCTION("""COMPUTED_VALUE"""),"")</f>
        <v/>
      </c>
      <c r="P369" s="247" t="str">
        <f t="shared" si="4"/>
        <v/>
      </c>
      <c r="Q369" s="320" t="str">
        <f>IFERROR(__xludf.DUMMYFUNCTION("""COMPUTED_VALUE"""),"")</f>
        <v/>
      </c>
      <c r="R369" s="259" t="str">
        <f>IFERROR(__xludf.DUMMYFUNCTION("""COMPUTED_VALUE"""),"")</f>
        <v/>
      </c>
      <c r="S369" s="250" t="str">
        <f t="shared" si="5"/>
        <v/>
      </c>
      <c r="T369" s="254" t="str">
        <f>IFERROR(__xludf.DUMMYFUNCTION("""COMPUTED_VALUE"""),"")</f>
        <v/>
      </c>
      <c r="U369" s="246" t="str">
        <f>IFERROR(__xludf.DUMMYFUNCTION("""COMPUTED_VALUE"""),"")</f>
        <v/>
      </c>
      <c r="V369" s="247" t="str">
        <f t="shared" si="6"/>
        <v/>
      </c>
      <c r="W369" s="255" t="str">
        <f>IFERROR(__xludf.DUMMYFUNCTION("""COMPUTED_VALUE"""),"")</f>
        <v/>
      </c>
      <c r="X369" s="249" t="str">
        <f>IFERROR(__xludf.DUMMYFUNCTION("""COMPUTED_VALUE"""),"")</f>
        <v/>
      </c>
      <c r="Y369" s="250" t="str">
        <f t="shared" si="7"/>
        <v/>
      </c>
    </row>
    <row r="370">
      <c r="A370" s="136" t="s">
        <v>133</v>
      </c>
      <c r="B370" s="136"/>
      <c r="C370" s="136" t="s">
        <v>133</v>
      </c>
      <c r="D370" s="136" t="s">
        <v>133</v>
      </c>
      <c r="E370" s="256" t="str">
        <f>IFERROR(__xludf.DUMMYFUNCTION("""COMPUTED_VALUE"""),"")</f>
        <v/>
      </c>
      <c r="F370" s="257" t="str">
        <f>IFERROR(__xludf.DUMMYFUNCTION("""COMPUTED_VALUE"""),"")</f>
        <v/>
      </c>
      <c r="G370" s="247" t="str">
        <f t="shared" si="1"/>
        <v/>
      </c>
      <c r="H370" s="258" t="str">
        <f>IFERROR(__xludf.DUMMYFUNCTION("""COMPUTED_VALUE"""),"")</f>
        <v/>
      </c>
      <c r="I370" s="259" t="str">
        <f>IFERROR(__xludf.DUMMYFUNCTION("""COMPUTED_VALUE"""),"")</f>
        <v/>
      </c>
      <c r="J370" s="250" t="str">
        <f t="shared" si="2"/>
        <v/>
      </c>
      <c r="K370" s="317" t="str">
        <f>IFERROR(__xludf.DUMMYFUNCTION("""COMPUTED_VALUE"""),"")</f>
        <v/>
      </c>
      <c r="L370" s="318" t="str">
        <f>IFERROR(__xludf.DUMMYFUNCTION("""COMPUTED_VALUE"""),"")</f>
        <v/>
      </c>
      <c r="M370" s="253" t="str">
        <f t="shared" si="3"/>
        <v/>
      </c>
      <c r="N370" s="319" t="str">
        <f>IFERROR(__xludf.DUMMYFUNCTION("""COMPUTED_VALUE"""),"")</f>
        <v/>
      </c>
      <c r="O370" s="257" t="str">
        <f>IFERROR(__xludf.DUMMYFUNCTION("""COMPUTED_VALUE"""),"")</f>
        <v/>
      </c>
      <c r="P370" s="247" t="str">
        <f t="shared" si="4"/>
        <v/>
      </c>
      <c r="Q370" s="320" t="str">
        <f>IFERROR(__xludf.DUMMYFUNCTION("""COMPUTED_VALUE"""),"")</f>
        <v/>
      </c>
      <c r="R370" s="259" t="str">
        <f>IFERROR(__xludf.DUMMYFUNCTION("""COMPUTED_VALUE"""),"")</f>
        <v/>
      </c>
      <c r="S370" s="250" t="str">
        <f t="shared" si="5"/>
        <v/>
      </c>
      <c r="T370" s="254" t="str">
        <f>IFERROR(__xludf.DUMMYFUNCTION("""COMPUTED_VALUE"""),"")</f>
        <v/>
      </c>
      <c r="U370" s="246" t="str">
        <f>IFERROR(__xludf.DUMMYFUNCTION("""COMPUTED_VALUE"""),"")</f>
        <v/>
      </c>
      <c r="V370" s="247" t="str">
        <f t="shared" si="6"/>
        <v/>
      </c>
      <c r="W370" s="255" t="str">
        <f>IFERROR(__xludf.DUMMYFUNCTION("""COMPUTED_VALUE"""),"")</f>
        <v/>
      </c>
      <c r="X370" s="249" t="str">
        <f>IFERROR(__xludf.DUMMYFUNCTION("""COMPUTED_VALUE"""),"")</f>
        <v/>
      </c>
      <c r="Y370" s="250" t="str">
        <f t="shared" si="7"/>
        <v/>
      </c>
    </row>
    <row r="371">
      <c r="A371" s="136" t="s">
        <v>133</v>
      </c>
      <c r="B371" s="136"/>
      <c r="C371" s="136" t="s">
        <v>133</v>
      </c>
      <c r="D371" s="136" t="s">
        <v>133</v>
      </c>
      <c r="E371" s="256" t="str">
        <f>IFERROR(__xludf.DUMMYFUNCTION("""COMPUTED_VALUE"""),"")</f>
        <v/>
      </c>
      <c r="F371" s="257" t="str">
        <f>IFERROR(__xludf.DUMMYFUNCTION("""COMPUTED_VALUE"""),"")</f>
        <v/>
      </c>
      <c r="G371" s="247" t="str">
        <f t="shared" si="1"/>
        <v/>
      </c>
      <c r="H371" s="258" t="str">
        <f>IFERROR(__xludf.DUMMYFUNCTION("""COMPUTED_VALUE"""),"")</f>
        <v/>
      </c>
      <c r="I371" s="259" t="str">
        <f>IFERROR(__xludf.DUMMYFUNCTION("""COMPUTED_VALUE"""),"")</f>
        <v/>
      </c>
      <c r="J371" s="250" t="str">
        <f t="shared" si="2"/>
        <v/>
      </c>
      <c r="K371" s="317" t="str">
        <f>IFERROR(__xludf.DUMMYFUNCTION("""COMPUTED_VALUE"""),"")</f>
        <v/>
      </c>
      <c r="L371" s="318" t="str">
        <f>IFERROR(__xludf.DUMMYFUNCTION("""COMPUTED_VALUE"""),"")</f>
        <v/>
      </c>
      <c r="M371" s="253" t="str">
        <f t="shared" si="3"/>
        <v/>
      </c>
      <c r="N371" s="319" t="str">
        <f>IFERROR(__xludf.DUMMYFUNCTION("""COMPUTED_VALUE"""),"")</f>
        <v/>
      </c>
      <c r="O371" s="257" t="str">
        <f>IFERROR(__xludf.DUMMYFUNCTION("""COMPUTED_VALUE"""),"")</f>
        <v/>
      </c>
      <c r="P371" s="247" t="str">
        <f t="shared" si="4"/>
        <v/>
      </c>
      <c r="Q371" s="320" t="str">
        <f>IFERROR(__xludf.DUMMYFUNCTION("""COMPUTED_VALUE"""),"")</f>
        <v/>
      </c>
      <c r="R371" s="259" t="str">
        <f>IFERROR(__xludf.DUMMYFUNCTION("""COMPUTED_VALUE"""),"")</f>
        <v/>
      </c>
      <c r="S371" s="250" t="str">
        <f t="shared" si="5"/>
        <v/>
      </c>
      <c r="T371" s="254" t="str">
        <f>IFERROR(__xludf.DUMMYFUNCTION("""COMPUTED_VALUE"""),"")</f>
        <v/>
      </c>
      <c r="U371" s="246" t="str">
        <f>IFERROR(__xludf.DUMMYFUNCTION("""COMPUTED_VALUE"""),"")</f>
        <v/>
      </c>
      <c r="V371" s="247" t="str">
        <f t="shared" si="6"/>
        <v/>
      </c>
      <c r="W371" s="255" t="str">
        <f>IFERROR(__xludf.DUMMYFUNCTION("""COMPUTED_VALUE"""),"")</f>
        <v/>
      </c>
      <c r="X371" s="249" t="str">
        <f>IFERROR(__xludf.DUMMYFUNCTION("""COMPUTED_VALUE"""),"")</f>
        <v/>
      </c>
      <c r="Y371" s="250" t="str">
        <f t="shared" si="7"/>
        <v/>
      </c>
    </row>
    <row r="372">
      <c r="A372" s="136" t="s">
        <v>133</v>
      </c>
      <c r="B372" s="136"/>
      <c r="C372" s="136" t="s">
        <v>133</v>
      </c>
      <c r="D372" s="136" t="s">
        <v>133</v>
      </c>
      <c r="E372" s="256" t="str">
        <f>IFERROR(__xludf.DUMMYFUNCTION("""COMPUTED_VALUE"""),"")</f>
        <v/>
      </c>
      <c r="F372" s="257" t="str">
        <f>IFERROR(__xludf.DUMMYFUNCTION("""COMPUTED_VALUE"""),"")</f>
        <v/>
      </c>
      <c r="G372" s="247" t="str">
        <f t="shared" si="1"/>
        <v/>
      </c>
      <c r="H372" s="258" t="str">
        <f>IFERROR(__xludf.DUMMYFUNCTION("""COMPUTED_VALUE"""),"")</f>
        <v/>
      </c>
      <c r="I372" s="259" t="str">
        <f>IFERROR(__xludf.DUMMYFUNCTION("""COMPUTED_VALUE"""),"")</f>
        <v/>
      </c>
      <c r="J372" s="250" t="str">
        <f t="shared" si="2"/>
        <v/>
      </c>
      <c r="K372" s="317" t="str">
        <f>IFERROR(__xludf.DUMMYFUNCTION("""COMPUTED_VALUE"""),"")</f>
        <v/>
      </c>
      <c r="L372" s="318" t="str">
        <f>IFERROR(__xludf.DUMMYFUNCTION("""COMPUTED_VALUE"""),"")</f>
        <v/>
      </c>
      <c r="M372" s="253" t="str">
        <f t="shared" si="3"/>
        <v/>
      </c>
      <c r="N372" s="319" t="str">
        <f>IFERROR(__xludf.DUMMYFUNCTION("""COMPUTED_VALUE"""),"")</f>
        <v/>
      </c>
      <c r="O372" s="257" t="str">
        <f>IFERROR(__xludf.DUMMYFUNCTION("""COMPUTED_VALUE"""),"")</f>
        <v/>
      </c>
      <c r="P372" s="247" t="str">
        <f t="shared" si="4"/>
        <v/>
      </c>
      <c r="Q372" s="320" t="str">
        <f>IFERROR(__xludf.DUMMYFUNCTION("""COMPUTED_VALUE"""),"")</f>
        <v/>
      </c>
      <c r="R372" s="259" t="str">
        <f>IFERROR(__xludf.DUMMYFUNCTION("""COMPUTED_VALUE"""),"")</f>
        <v/>
      </c>
      <c r="S372" s="250" t="str">
        <f t="shared" si="5"/>
        <v/>
      </c>
      <c r="T372" s="254" t="str">
        <f>IFERROR(__xludf.DUMMYFUNCTION("""COMPUTED_VALUE"""),"")</f>
        <v/>
      </c>
      <c r="U372" s="246" t="str">
        <f>IFERROR(__xludf.DUMMYFUNCTION("""COMPUTED_VALUE"""),"")</f>
        <v/>
      </c>
      <c r="V372" s="247" t="str">
        <f t="shared" si="6"/>
        <v/>
      </c>
      <c r="W372" s="255" t="str">
        <f>IFERROR(__xludf.DUMMYFUNCTION("""COMPUTED_VALUE"""),"")</f>
        <v/>
      </c>
      <c r="X372" s="249" t="str">
        <f>IFERROR(__xludf.DUMMYFUNCTION("""COMPUTED_VALUE"""),"")</f>
        <v/>
      </c>
      <c r="Y372" s="250" t="str">
        <f t="shared" si="7"/>
        <v/>
      </c>
    </row>
    <row r="373">
      <c r="A373" s="136" t="s">
        <v>133</v>
      </c>
      <c r="B373" s="136"/>
      <c r="C373" s="136" t="s">
        <v>133</v>
      </c>
      <c r="D373" s="136" t="s">
        <v>133</v>
      </c>
      <c r="E373" s="256" t="str">
        <f>IFERROR(__xludf.DUMMYFUNCTION("""COMPUTED_VALUE"""),"")</f>
        <v/>
      </c>
      <c r="F373" s="257" t="str">
        <f>IFERROR(__xludf.DUMMYFUNCTION("""COMPUTED_VALUE"""),"")</f>
        <v/>
      </c>
      <c r="G373" s="247" t="str">
        <f t="shared" si="1"/>
        <v/>
      </c>
      <c r="H373" s="258" t="str">
        <f>IFERROR(__xludf.DUMMYFUNCTION("""COMPUTED_VALUE"""),"")</f>
        <v/>
      </c>
      <c r="I373" s="259" t="str">
        <f>IFERROR(__xludf.DUMMYFUNCTION("""COMPUTED_VALUE"""),"")</f>
        <v/>
      </c>
      <c r="J373" s="250" t="str">
        <f t="shared" si="2"/>
        <v/>
      </c>
      <c r="K373" s="317" t="str">
        <f>IFERROR(__xludf.DUMMYFUNCTION("""COMPUTED_VALUE"""),"")</f>
        <v/>
      </c>
      <c r="L373" s="318" t="str">
        <f>IFERROR(__xludf.DUMMYFUNCTION("""COMPUTED_VALUE"""),"")</f>
        <v/>
      </c>
      <c r="M373" s="253" t="str">
        <f t="shared" si="3"/>
        <v/>
      </c>
      <c r="N373" s="319" t="str">
        <f>IFERROR(__xludf.DUMMYFUNCTION("""COMPUTED_VALUE"""),"")</f>
        <v/>
      </c>
      <c r="O373" s="257" t="str">
        <f>IFERROR(__xludf.DUMMYFUNCTION("""COMPUTED_VALUE"""),"")</f>
        <v/>
      </c>
      <c r="P373" s="247" t="str">
        <f t="shared" si="4"/>
        <v/>
      </c>
      <c r="Q373" s="320" t="str">
        <f>IFERROR(__xludf.DUMMYFUNCTION("""COMPUTED_VALUE"""),"")</f>
        <v/>
      </c>
      <c r="R373" s="259" t="str">
        <f>IFERROR(__xludf.DUMMYFUNCTION("""COMPUTED_VALUE"""),"")</f>
        <v/>
      </c>
      <c r="S373" s="250" t="str">
        <f t="shared" si="5"/>
        <v/>
      </c>
      <c r="T373" s="254" t="str">
        <f>IFERROR(__xludf.DUMMYFUNCTION("""COMPUTED_VALUE"""),"")</f>
        <v/>
      </c>
      <c r="U373" s="246" t="str">
        <f>IFERROR(__xludf.DUMMYFUNCTION("""COMPUTED_VALUE"""),"")</f>
        <v/>
      </c>
      <c r="V373" s="247" t="str">
        <f t="shared" si="6"/>
        <v/>
      </c>
      <c r="W373" s="255" t="str">
        <f>IFERROR(__xludf.DUMMYFUNCTION("""COMPUTED_VALUE"""),"")</f>
        <v/>
      </c>
      <c r="X373" s="249" t="str">
        <f>IFERROR(__xludf.DUMMYFUNCTION("""COMPUTED_VALUE"""),"")</f>
        <v/>
      </c>
      <c r="Y373" s="250" t="str">
        <f t="shared" si="7"/>
        <v/>
      </c>
    </row>
    <row r="374">
      <c r="A374" s="136" t="s">
        <v>133</v>
      </c>
      <c r="B374" s="136"/>
      <c r="C374" s="136" t="s">
        <v>133</v>
      </c>
      <c r="D374" s="136" t="s">
        <v>133</v>
      </c>
      <c r="E374" s="256" t="str">
        <f>IFERROR(__xludf.DUMMYFUNCTION("""COMPUTED_VALUE"""),"")</f>
        <v/>
      </c>
      <c r="F374" s="257" t="str">
        <f>IFERROR(__xludf.DUMMYFUNCTION("""COMPUTED_VALUE"""),"")</f>
        <v/>
      </c>
      <c r="G374" s="247" t="str">
        <f t="shared" si="1"/>
        <v/>
      </c>
      <c r="H374" s="258" t="str">
        <f>IFERROR(__xludf.DUMMYFUNCTION("""COMPUTED_VALUE"""),"")</f>
        <v/>
      </c>
      <c r="I374" s="259" t="str">
        <f>IFERROR(__xludf.DUMMYFUNCTION("""COMPUTED_VALUE"""),"")</f>
        <v/>
      </c>
      <c r="J374" s="250" t="str">
        <f t="shared" si="2"/>
        <v/>
      </c>
      <c r="K374" s="317" t="str">
        <f>IFERROR(__xludf.DUMMYFUNCTION("""COMPUTED_VALUE"""),"")</f>
        <v/>
      </c>
      <c r="L374" s="318" t="str">
        <f>IFERROR(__xludf.DUMMYFUNCTION("""COMPUTED_VALUE"""),"")</f>
        <v/>
      </c>
      <c r="M374" s="253" t="str">
        <f t="shared" si="3"/>
        <v/>
      </c>
      <c r="N374" s="319" t="str">
        <f>IFERROR(__xludf.DUMMYFUNCTION("""COMPUTED_VALUE"""),"")</f>
        <v/>
      </c>
      <c r="O374" s="257" t="str">
        <f>IFERROR(__xludf.DUMMYFUNCTION("""COMPUTED_VALUE"""),"")</f>
        <v/>
      </c>
      <c r="P374" s="247" t="str">
        <f t="shared" si="4"/>
        <v/>
      </c>
      <c r="Q374" s="320" t="str">
        <f>IFERROR(__xludf.DUMMYFUNCTION("""COMPUTED_VALUE"""),"")</f>
        <v/>
      </c>
      <c r="R374" s="259" t="str">
        <f>IFERROR(__xludf.DUMMYFUNCTION("""COMPUTED_VALUE"""),"")</f>
        <v/>
      </c>
      <c r="S374" s="250" t="str">
        <f t="shared" si="5"/>
        <v/>
      </c>
      <c r="T374" s="254" t="str">
        <f>IFERROR(__xludf.DUMMYFUNCTION("""COMPUTED_VALUE"""),"")</f>
        <v/>
      </c>
      <c r="U374" s="246" t="str">
        <f>IFERROR(__xludf.DUMMYFUNCTION("""COMPUTED_VALUE"""),"")</f>
        <v/>
      </c>
      <c r="V374" s="247" t="str">
        <f t="shared" si="6"/>
        <v/>
      </c>
      <c r="W374" s="255" t="str">
        <f>IFERROR(__xludf.DUMMYFUNCTION("""COMPUTED_VALUE"""),"")</f>
        <v/>
      </c>
      <c r="X374" s="249" t="str">
        <f>IFERROR(__xludf.DUMMYFUNCTION("""COMPUTED_VALUE"""),"")</f>
        <v/>
      </c>
      <c r="Y374" s="250" t="str">
        <f t="shared" si="7"/>
        <v/>
      </c>
    </row>
    <row r="375">
      <c r="A375" s="136" t="s">
        <v>133</v>
      </c>
      <c r="B375" s="136"/>
      <c r="C375" s="136" t="s">
        <v>133</v>
      </c>
      <c r="D375" s="136" t="s">
        <v>133</v>
      </c>
      <c r="E375" s="256" t="str">
        <f>IFERROR(__xludf.DUMMYFUNCTION("""COMPUTED_VALUE"""),"")</f>
        <v/>
      </c>
      <c r="F375" s="257" t="str">
        <f>IFERROR(__xludf.DUMMYFUNCTION("""COMPUTED_VALUE"""),"")</f>
        <v/>
      </c>
      <c r="G375" s="247" t="str">
        <f t="shared" si="1"/>
        <v/>
      </c>
      <c r="H375" s="258" t="str">
        <f>IFERROR(__xludf.DUMMYFUNCTION("""COMPUTED_VALUE"""),"")</f>
        <v/>
      </c>
      <c r="I375" s="259" t="str">
        <f>IFERROR(__xludf.DUMMYFUNCTION("""COMPUTED_VALUE"""),"")</f>
        <v/>
      </c>
      <c r="J375" s="250" t="str">
        <f t="shared" si="2"/>
        <v/>
      </c>
      <c r="K375" s="317" t="str">
        <f>IFERROR(__xludf.DUMMYFUNCTION("""COMPUTED_VALUE"""),"")</f>
        <v/>
      </c>
      <c r="L375" s="318" t="str">
        <f>IFERROR(__xludf.DUMMYFUNCTION("""COMPUTED_VALUE"""),"")</f>
        <v/>
      </c>
      <c r="M375" s="253" t="str">
        <f t="shared" si="3"/>
        <v/>
      </c>
      <c r="N375" s="319" t="str">
        <f>IFERROR(__xludf.DUMMYFUNCTION("""COMPUTED_VALUE"""),"")</f>
        <v/>
      </c>
      <c r="O375" s="257" t="str">
        <f>IFERROR(__xludf.DUMMYFUNCTION("""COMPUTED_VALUE"""),"")</f>
        <v/>
      </c>
      <c r="P375" s="247" t="str">
        <f t="shared" si="4"/>
        <v/>
      </c>
      <c r="Q375" s="320" t="str">
        <f>IFERROR(__xludf.DUMMYFUNCTION("""COMPUTED_VALUE"""),"")</f>
        <v/>
      </c>
      <c r="R375" s="259" t="str">
        <f>IFERROR(__xludf.DUMMYFUNCTION("""COMPUTED_VALUE"""),"")</f>
        <v/>
      </c>
      <c r="S375" s="250" t="str">
        <f t="shared" si="5"/>
        <v/>
      </c>
      <c r="T375" s="254" t="str">
        <f>IFERROR(__xludf.DUMMYFUNCTION("""COMPUTED_VALUE"""),"")</f>
        <v/>
      </c>
      <c r="U375" s="246" t="str">
        <f>IFERROR(__xludf.DUMMYFUNCTION("""COMPUTED_VALUE"""),"")</f>
        <v/>
      </c>
      <c r="V375" s="247" t="str">
        <f t="shared" si="6"/>
        <v/>
      </c>
      <c r="W375" s="255" t="str">
        <f>IFERROR(__xludf.DUMMYFUNCTION("""COMPUTED_VALUE"""),"")</f>
        <v/>
      </c>
      <c r="X375" s="249" t="str">
        <f>IFERROR(__xludf.DUMMYFUNCTION("""COMPUTED_VALUE"""),"")</f>
        <v/>
      </c>
      <c r="Y375" s="250" t="str">
        <f t="shared" si="7"/>
        <v/>
      </c>
    </row>
    <row r="376">
      <c r="A376" s="136" t="s">
        <v>133</v>
      </c>
      <c r="B376" s="136"/>
      <c r="C376" s="136" t="s">
        <v>133</v>
      </c>
      <c r="D376" s="136" t="s">
        <v>133</v>
      </c>
      <c r="E376" s="256" t="str">
        <f>IFERROR(__xludf.DUMMYFUNCTION("""COMPUTED_VALUE"""),"")</f>
        <v/>
      </c>
      <c r="F376" s="257" t="str">
        <f>IFERROR(__xludf.DUMMYFUNCTION("""COMPUTED_VALUE"""),"")</f>
        <v/>
      </c>
      <c r="G376" s="247" t="str">
        <f t="shared" si="1"/>
        <v/>
      </c>
      <c r="H376" s="258" t="str">
        <f>IFERROR(__xludf.DUMMYFUNCTION("""COMPUTED_VALUE"""),"")</f>
        <v/>
      </c>
      <c r="I376" s="259" t="str">
        <f>IFERROR(__xludf.DUMMYFUNCTION("""COMPUTED_VALUE"""),"")</f>
        <v/>
      </c>
      <c r="J376" s="250" t="str">
        <f t="shared" si="2"/>
        <v/>
      </c>
      <c r="K376" s="317" t="str">
        <f>IFERROR(__xludf.DUMMYFUNCTION("""COMPUTED_VALUE"""),"")</f>
        <v/>
      </c>
      <c r="L376" s="318" t="str">
        <f>IFERROR(__xludf.DUMMYFUNCTION("""COMPUTED_VALUE"""),"")</f>
        <v/>
      </c>
      <c r="M376" s="253" t="str">
        <f t="shared" si="3"/>
        <v/>
      </c>
      <c r="N376" s="319" t="str">
        <f>IFERROR(__xludf.DUMMYFUNCTION("""COMPUTED_VALUE"""),"")</f>
        <v/>
      </c>
      <c r="O376" s="257" t="str">
        <f>IFERROR(__xludf.DUMMYFUNCTION("""COMPUTED_VALUE"""),"")</f>
        <v/>
      </c>
      <c r="P376" s="247" t="str">
        <f t="shared" si="4"/>
        <v/>
      </c>
      <c r="Q376" s="320" t="str">
        <f>IFERROR(__xludf.DUMMYFUNCTION("""COMPUTED_VALUE"""),"")</f>
        <v/>
      </c>
      <c r="R376" s="259" t="str">
        <f>IFERROR(__xludf.DUMMYFUNCTION("""COMPUTED_VALUE"""),"")</f>
        <v/>
      </c>
      <c r="S376" s="250" t="str">
        <f t="shared" si="5"/>
        <v/>
      </c>
      <c r="T376" s="254" t="str">
        <f>IFERROR(__xludf.DUMMYFUNCTION("""COMPUTED_VALUE"""),"")</f>
        <v/>
      </c>
      <c r="U376" s="246" t="str">
        <f>IFERROR(__xludf.DUMMYFUNCTION("""COMPUTED_VALUE"""),"")</f>
        <v/>
      </c>
      <c r="V376" s="247" t="str">
        <f t="shared" si="6"/>
        <v/>
      </c>
      <c r="W376" s="255" t="str">
        <f>IFERROR(__xludf.DUMMYFUNCTION("""COMPUTED_VALUE"""),"")</f>
        <v/>
      </c>
      <c r="X376" s="249" t="str">
        <f>IFERROR(__xludf.DUMMYFUNCTION("""COMPUTED_VALUE"""),"")</f>
        <v/>
      </c>
      <c r="Y376" s="250" t="str">
        <f t="shared" si="7"/>
        <v/>
      </c>
    </row>
    <row r="377">
      <c r="A377" s="136" t="s">
        <v>133</v>
      </c>
      <c r="B377" s="136"/>
      <c r="C377" s="136" t="s">
        <v>133</v>
      </c>
      <c r="D377" s="136" t="s">
        <v>133</v>
      </c>
      <c r="E377" s="256" t="str">
        <f>IFERROR(__xludf.DUMMYFUNCTION("""COMPUTED_VALUE"""),"")</f>
        <v/>
      </c>
      <c r="F377" s="257" t="str">
        <f>IFERROR(__xludf.DUMMYFUNCTION("""COMPUTED_VALUE"""),"")</f>
        <v/>
      </c>
      <c r="G377" s="247" t="str">
        <f t="shared" si="1"/>
        <v/>
      </c>
      <c r="H377" s="258" t="str">
        <f>IFERROR(__xludf.DUMMYFUNCTION("""COMPUTED_VALUE"""),"")</f>
        <v/>
      </c>
      <c r="I377" s="259" t="str">
        <f>IFERROR(__xludf.DUMMYFUNCTION("""COMPUTED_VALUE"""),"")</f>
        <v/>
      </c>
      <c r="J377" s="250" t="str">
        <f t="shared" si="2"/>
        <v/>
      </c>
      <c r="K377" s="317" t="str">
        <f>IFERROR(__xludf.DUMMYFUNCTION("""COMPUTED_VALUE"""),"")</f>
        <v/>
      </c>
      <c r="L377" s="318" t="str">
        <f>IFERROR(__xludf.DUMMYFUNCTION("""COMPUTED_VALUE"""),"")</f>
        <v/>
      </c>
      <c r="M377" s="253" t="str">
        <f t="shared" si="3"/>
        <v/>
      </c>
      <c r="N377" s="319" t="str">
        <f>IFERROR(__xludf.DUMMYFUNCTION("""COMPUTED_VALUE"""),"")</f>
        <v/>
      </c>
      <c r="O377" s="257" t="str">
        <f>IFERROR(__xludf.DUMMYFUNCTION("""COMPUTED_VALUE"""),"")</f>
        <v/>
      </c>
      <c r="P377" s="247" t="str">
        <f t="shared" si="4"/>
        <v/>
      </c>
      <c r="Q377" s="320" t="str">
        <f>IFERROR(__xludf.DUMMYFUNCTION("""COMPUTED_VALUE"""),"")</f>
        <v/>
      </c>
      <c r="R377" s="259" t="str">
        <f>IFERROR(__xludf.DUMMYFUNCTION("""COMPUTED_VALUE"""),"")</f>
        <v/>
      </c>
      <c r="S377" s="250" t="str">
        <f t="shared" si="5"/>
        <v/>
      </c>
      <c r="T377" s="254" t="str">
        <f>IFERROR(__xludf.DUMMYFUNCTION("""COMPUTED_VALUE"""),"")</f>
        <v/>
      </c>
      <c r="U377" s="246" t="str">
        <f>IFERROR(__xludf.DUMMYFUNCTION("""COMPUTED_VALUE"""),"")</f>
        <v/>
      </c>
      <c r="V377" s="247" t="str">
        <f t="shared" si="6"/>
        <v/>
      </c>
      <c r="W377" s="255" t="str">
        <f>IFERROR(__xludf.DUMMYFUNCTION("""COMPUTED_VALUE"""),"")</f>
        <v/>
      </c>
      <c r="X377" s="249" t="str">
        <f>IFERROR(__xludf.DUMMYFUNCTION("""COMPUTED_VALUE"""),"")</f>
        <v/>
      </c>
      <c r="Y377" s="250" t="str">
        <f t="shared" si="7"/>
        <v/>
      </c>
    </row>
    <row r="378">
      <c r="A378" s="136" t="s">
        <v>133</v>
      </c>
      <c r="B378" s="136"/>
      <c r="C378" s="136" t="s">
        <v>133</v>
      </c>
      <c r="D378" s="136" t="s">
        <v>133</v>
      </c>
      <c r="E378" s="256" t="str">
        <f>IFERROR(__xludf.DUMMYFUNCTION("""COMPUTED_VALUE"""),"")</f>
        <v/>
      </c>
      <c r="F378" s="257" t="str">
        <f>IFERROR(__xludf.DUMMYFUNCTION("""COMPUTED_VALUE"""),"")</f>
        <v/>
      </c>
      <c r="G378" s="247" t="str">
        <f t="shared" si="1"/>
        <v/>
      </c>
      <c r="H378" s="258" t="str">
        <f>IFERROR(__xludf.DUMMYFUNCTION("""COMPUTED_VALUE"""),"")</f>
        <v/>
      </c>
      <c r="I378" s="259" t="str">
        <f>IFERROR(__xludf.DUMMYFUNCTION("""COMPUTED_VALUE"""),"")</f>
        <v/>
      </c>
      <c r="J378" s="250" t="str">
        <f t="shared" si="2"/>
        <v/>
      </c>
      <c r="K378" s="317" t="str">
        <f>IFERROR(__xludf.DUMMYFUNCTION("""COMPUTED_VALUE"""),"")</f>
        <v/>
      </c>
      <c r="L378" s="318" t="str">
        <f>IFERROR(__xludf.DUMMYFUNCTION("""COMPUTED_VALUE"""),"")</f>
        <v/>
      </c>
      <c r="M378" s="253" t="str">
        <f t="shared" si="3"/>
        <v/>
      </c>
      <c r="N378" s="319" t="str">
        <f>IFERROR(__xludf.DUMMYFUNCTION("""COMPUTED_VALUE"""),"")</f>
        <v/>
      </c>
      <c r="O378" s="257" t="str">
        <f>IFERROR(__xludf.DUMMYFUNCTION("""COMPUTED_VALUE"""),"")</f>
        <v/>
      </c>
      <c r="P378" s="247" t="str">
        <f t="shared" si="4"/>
        <v/>
      </c>
      <c r="Q378" s="320" t="str">
        <f>IFERROR(__xludf.DUMMYFUNCTION("""COMPUTED_VALUE"""),"")</f>
        <v/>
      </c>
      <c r="R378" s="259" t="str">
        <f>IFERROR(__xludf.DUMMYFUNCTION("""COMPUTED_VALUE"""),"")</f>
        <v/>
      </c>
      <c r="S378" s="250" t="str">
        <f t="shared" si="5"/>
        <v/>
      </c>
      <c r="T378" s="254" t="str">
        <f>IFERROR(__xludf.DUMMYFUNCTION("""COMPUTED_VALUE"""),"")</f>
        <v/>
      </c>
      <c r="U378" s="246" t="str">
        <f>IFERROR(__xludf.DUMMYFUNCTION("""COMPUTED_VALUE"""),"")</f>
        <v/>
      </c>
      <c r="V378" s="247" t="str">
        <f t="shared" si="6"/>
        <v/>
      </c>
      <c r="W378" s="255" t="str">
        <f>IFERROR(__xludf.DUMMYFUNCTION("""COMPUTED_VALUE"""),"")</f>
        <v/>
      </c>
      <c r="X378" s="249" t="str">
        <f>IFERROR(__xludf.DUMMYFUNCTION("""COMPUTED_VALUE"""),"")</f>
        <v/>
      </c>
      <c r="Y378" s="250" t="str">
        <f t="shared" si="7"/>
        <v/>
      </c>
    </row>
    <row r="379">
      <c r="A379" s="136" t="s">
        <v>133</v>
      </c>
      <c r="B379" s="136"/>
      <c r="C379" s="136" t="s">
        <v>133</v>
      </c>
      <c r="D379" s="136" t="s">
        <v>133</v>
      </c>
      <c r="E379" s="256" t="str">
        <f>IFERROR(__xludf.DUMMYFUNCTION("""COMPUTED_VALUE"""),"")</f>
        <v/>
      </c>
      <c r="F379" s="257" t="str">
        <f>IFERROR(__xludf.DUMMYFUNCTION("""COMPUTED_VALUE"""),"")</f>
        <v/>
      </c>
      <c r="G379" s="247" t="str">
        <f t="shared" si="1"/>
        <v/>
      </c>
      <c r="H379" s="258" t="str">
        <f>IFERROR(__xludf.DUMMYFUNCTION("""COMPUTED_VALUE"""),"")</f>
        <v/>
      </c>
      <c r="I379" s="259" t="str">
        <f>IFERROR(__xludf.DUMMYFUNCTION("""COMPUTED_VALUE"""),"")</f>
        <v/>
      </c>
      <c r="J379" s="250" t="str">
        <f t="shared" si="2"/>
        <v/>
      </c>
      <c r="K379" s="317" t="str">
        <f>IFERROR(__xludf.DUMMYFUNCTION("""COMPUTED_VALUE"""),"")</f>
        <v/>
      </c>
      <c r="L379" s="318" t="str">
        <f>IFERROR(__xludf.DUMMYFUNCTION("""COMPUTED_VALUE"""),"")</f>
        <v/>
      </c>
      <c r="M379" s="253" t="str">
        <f t="shared" si="3"/>
        <v/>
      </c>
      <c r="N379" s="319" t="str">
        <f>IFERROR(__xludf.DUMMYFUNCTION("""COMPUTED_VALUE"""),"")</f>
        <v/>
      </c>
      <c r="O379" s="257" t="str">
        <f>IFERROR(__xludf.DUMMYFUNCTION("""COMPUTED_VALUE"""),"")</f>
        <v/>
      </c>
      <c r="P379" s="247" t="str">
        <f t="shared" si="4"/>
        <v/>
      </c>
      <c r="Q379" s="320" t="str">
        <f>IFERROR(__xludf.DUMMYFUNCTION("""COMPUTED_VALUE"""),"")</f>
        <v/>
      </c>
      <c r="R379" s="259" t="str">
        <f>IFERROR(__xludf.DUMMYFUNCTION("""COMPUTED_VALUE"""),"")</f>
        <v/>
      </c>
      <c r="S379" s="250" t="str">
        <f t="shared" si="5"/>
        <v/>
      </c>
      <c r="T379" s="254" t="str">
        <f>IFERROR(__xludf.DUMMYFUNCTION("""COMPUTED_VALUE"""),"")</f>
        <v/>
      </c>
      <c r="U379" s="246" t="str">
        <f>IFERROR(__xludf.DUMMYFUNCTION("""COMPUTED_VALUE"""),"")</f>
        <v/>
      </c>
      <c r="V379" s="247" t="str">
        <f t="shared" si="6"/>
        <v/>
      </c>
      <c r="W379" s="255" t="str">
        <f>IFERROR(__xludf.DUMMYFUNCTION("""COMPUTED_VALUE"""),"")</f>
        <v/>
      </c>
      <c r="X379" s="249" t="str">
        <f>IFERROR(__xludf.DUMMYFUNCTION("""COMPUTED_VALUE"""),"")</f>
        <v/>
      </c>
      <c r="Y379" s="250" t="str">
        <f t="shared" si="7"/>
        <v/>
      </c>
    </row>
    <row r="380">
      <c r="A380" s="136" t="s">
        <v>133</v>
      </c>
      <c r="B380" s="136"/>
      <c r="C380" s="136" t="s">
        <v>133</v>
      </c>
      <c r="D380" s="136" t="s">
        <v>133</v>
      </c>
      <c r="E380" s="256" t="str">
        <f>IFERROR(__xludf.DUMMYFUNCTION("""COMPUTED_VALUE"""),"")</f>
        <v/>
      </c>
      <c r="F380" s="257" t="str">
        <f>IFERROR(__xludf.DUMMYFUNCTION("""COMPUTED_VALUE"""),"")</f>
        <v/>
      </c>
      <c r="G380" s="247" t="str">
        <f t="shared" si="1"/>
        <v/>
      </c>
      <c r="H380" s="258" t="str">
        <f>IFERROR(__xludf.DUMMYFUNCTION("""COMPUTED_VALUE"""),"")</f>
        <v/>
      </c>
      <c r="I380" s="259" t="str">
        <f>IFERROR(__xludf.DUMMYFUNCTION("""COMPUTED_VALUE"""),"")</f>
        <v/>
      </c>
      <c r="J380" s="250" t="str">
        <f t="shared" si="2"/>
        <v/>
      </c>
      <c r="K380" s="317" t="str">
        <f>IFERROR(__xludf.DUMMYFUNCTION("""COMPUTED_VALUE"""),"")</f>
        <v/>
      </c>
      <c r="L380" s="318" t="str">
        <f>IFERROR(__xludf.DUMMYFUNCTION("""COMPUTED_VALUE"""),"")</f>
        <v/>
      </c>
      <c r="M380" s="253" t="str">
        <f t="shared" si="3"/>
        <v/>
      </c>
      <c r="N380" s="319" t="str">
        <f>IFERROR(__xludf.DUMMYFUNCTION("""COMPUTED_VALUE"""),"")</f>
        <v/>
      </c>
      <c r="O380" s="257" t="str">
        <f>IFERROR(__xludf.DUMMYFUNCTION("""COMPUTED_VALUE"""),"")</f>
        <v/>
      </c>
      <c r="P380" s="247" t="str">
        <f t="shared" si="4"/>
        <v/>
      </c>
      <c r="Q380" s="320" t="str">
        <f>IFERROR(__xludf.DUMMYFUNCTION("""COMPUTED_VALUE"""),"")</f>
        <v/>
      </c>
      <c r="R380" s="259" t="str">
        <f>IFERROR(__xludf.DUMMYFUNCTION("""COMPUTED_VALUE"""),"")</f>
        <v/>
      </c>
      <c r="S380" s="250" t="str">
        <f t="shared" si="5"/>
        <v/>
      </c>
      <c r="T380" s="254" t="str">
        <f>IFERROR(__xludf.DUMMYFUNCTION("""COMPUTED_VALUE"""),"")</f>
        <v/>
      </c>
      <c r="U380" s="246" t="str">
        <f>IFERROR(__xludf.DUMMYFUNCTION("""COMPUTED_VALUE"""),"")</f>
        <v/>
      </c>
      <c r="V380" s="247" t="str">
        <f t="shared" si="6"/>
        <v/>
      </c>
      <c r="W380" s="255" t="str">
        <f>IFERROR(__xludf.DUMMYFUNCTION("""COMPUTED_VALUE"""),"")</f>
        <v/>
      </c>
      <c r="X380" s="249" t="str">
        <f>IFERROR(__xludf.DUMMYFUNCTION("""COMPUTED_VALUE"""),"")</f>
        <v/>
      </c>
      <c r="Y380" s="250" t="str">
        <f t="shared" si="7"/>
        <v/>
      </c>
    </row>
    <row r="381">
      <c r="A381" s="136" t="s">
        <v>133</v>
      </c>
      <c r="B381" s="136"/>
      <c r="C381" s="136" t="s">
        <v>133</v>
      </c>
      <c r="D381" s="136" t="s">
        <v>133</v>
      </c>
      <c r="E381" s="256" t="str">
        <f>IFERROR(__xludf.DUMMYFUNCTION("""COMPUTED_VALUE"""),"")</f>
        <v/>
      </c>
      <c r="F381" s="257" t="str">
        <f>IFERROR(__xludf.DUMMYFUNCTION("""COMPUTED_VALUE"""),"")</f>
        <v/>
      </c>
      <c r="G381" s="247" t="str">
        <f t="shared" si="1"/>
        <v/>
      </c>
      <c r="H381" s="258" t="str">
        <f>IFERROR(__xludf.DUMMYFUNCTION("""COMPUTED_VALUE"""),"")</f>
        <v/>
      </c>
      <c r="I381" s="259" t="str">
        <f>IFERROR(__xludf.DUMMYFUNCTION("""COMPUTED_VALUE"""),"")</f>
        <v/>
      </c>
      <c r="J381" s="250" t="str">
        <f t="shared" si="2"/>
        <v/>
      </c>
      <c r="K381" s="317" t="str">
        <f>IFERROR(__xludf.DUMMYFUNCTION("""COMPUTED_VALUE"""),"")</f>
        <v/>
      </c>
      <c r="L381" s="318" t="str">
        <f>IFERROR(__xludf.DUMMYFUNCTION("""COMPUTED_VALUE"""),"")</f>
        <v/>
      </c>
      <c r="M381" s="253" t="str">
        <f t="shared" si="3"/>
        <v/>
      </c>
      <c r="N381" s="319" t="str">
        <f>IFERROR(__xludf.DUMMYFUNCTION("""COMPUTED_VALUE"""),"")</f>
        <v/>
      </c>
      <c r="O381" s="257" t="str">
        <f>IFERROR(__xludf.DUMMYFUNCTION("""COMPUTED_VALUE"""),"")</f>
        <v/>
      </c>
      <c r="P381" s="247" t="str">
        <f t="shared" si="4"/>
        <v/>
      </c>
      <c r="Q381" s="320" t="str">
        <f>IFERROR(__xludf.DUMMYFUNCTION("""COMPUTED_VALUE"""),"")</f>
        <v/>
      </c>
      <c r="R381" s="259" t="str">
        <f>IFERROR(__xludf.DUMMYFUNCTION("""COMPUTED_VALUE"""),"")</f>
        <v/>
      </c>
      <c r="S381" s="250" t="str">
        <f t="shared" si="5"/>
        <v/>
      </c>
      <c r="T381" s="254" t="str">
        <f>IFERROR(__xludf.DUMMYFUNCTION("""COMPUTED_VALUE"""),"")</f>
        <v/>
      </c>
      <c r="U381" s="246" t="str">
        <f>IFERROR(__xludf.DUMMYFUNCTION("""COMPUTED_VALUE"""),"")</f>
        <v/>
      </c>
      <c r="V381" s="247" t="str">
        <f t="shared" si="6"/>
        <v/>
      </c>
      <c r="W381" s="255" t="str">
        <f>IFERROR(__xludf.DUMMYFUNCTION("""COMPUTED_VALUE"""),"")</f>
        <v/>
      </c>
      <c r="X381" s="249" t="str">
        <f>IFERROR(__xludf.DUMMYFUNCTION("""COMPUTED_VALUE"""),"")</f>
        <v/>
      </c>
      <c r="Y381" s="250" t="str">
        <f t="shared" si="7"/>
        <v/>
      </c>
    </row>
    <row r="382">
      <c r="A382" s="136" t="s">
        <v>133</v>
      </c>
      <c r="B382" s="136"/>
      <c r="C382" s="136" t="s">
        <v>133</v>
      </c>
      <c r="D382" s="136" t="s">
        <v>133</v>
      </c>
      <c r="E382" s="256" t="str">
        <f>IFERROR(__xludf.DUMMYFUNCTION("""COMPUTED_VALUE"""),"")</f>
        <v/>
      </c>
      <c r="F382" s="257" t="str">
        <f>IFERROR(__xludf.DUMMYFUNCTION("""COMPUTED_VALUE"""),"")</f>
        <v/>
      </c>
      <c r="G382" s="247" t="str">
        <f t="shared" si="1"/>
        <v/>
      </c>
      <c r="H382" s="258" t="str">
        <f>IFERROR(__xludf.DUMMYFUNCTION("""COMPUTED_VALUE"""),"")</f>
        <v/>
      </c>
      <c r="I382" s="259" t="str">
        <f>IFERROR(__xludf.DUMMYFUNCTION("""COMPUTED_VALUE"""),"")</f>
        <v/>
      </c>
      <c r="J382" s="250" t="str">
        <f t="shared" si="2"/>
        <v/>
      </c>
      <c r="K382" s="317" t="str">
        <f>IFERROR(__xludf.DUMMYFUNCTION("""COMPUTED_VALUE"""),"")</f>
        <v/>
      </c>
      <c r="L382" s="318" t="str">
        <f>IFERROR(__xludf.DUMMYFUNCTION("""COMPUTED_VALUE"""),"")</f>
        <v/>
      </c>
      <c r="M382" s="253" t="str">
        <f t="shared" si="3"/>
        <v/>
      </c>
      <c r="N382" s="319" t="str">
        <f>IFERROR(__xludf.DUMMYFUNCTION("""COMPUTED_VALUE"""),"")</f>
        <v/>
      </c>
      <c r="O382" s="257" t="str">
        <f>IFERROR(__xludf.DUMMYFUNCTION("""COMPUTED_VALUE"""),"")</f>
        <v/>
      </c>
      <c r="P382" s="247" t="str">
        <f t="shared" si="4"/>
        <v/>
      </c>
      <c r="Q382" s="320" t="str">
        <f>IFERROR(__xludf.DUMMYFUNCTION("""COMPUTED_VALUE"""),"")</f>
        <v/>
      </c>
      <c r="R382" s="259" t="str">
        <f>IFERROR(__xludf.DUMMYFUNCTION("""COMPUTED_VALUE"""),"")</f>
        <v/>
      </c>
      <c r="S382" s="250" t="str">
        <f t="shared" si="5"/>
        <v/>
      </c>
      <c r="T382" s="254" t="str">
        <f>IFERROR(__xludf.DUMMYFUNCTION("""COMPUTED_VALUE"""),"")</f>
        <v/>
      </c>
      <c r="U382" s="246" t="str">
        <f>IFERROR(__xludf.DUMMYFUNCTION("""COMPUTED_VALUE"""),"")</f>
        <v/>
      </c>
      <c r="V382" s="247" t="str">
        <f t="shared" si="6"/>
        <v/>
      </c>
      <c r="W382" s="255" t="str">
        <f>IFERROR(__xludf.DUMMYFUNCTION("""COMPUTED_VALUE"""),"")</f>
        <v/>
      </c>
      <c r="X382" s="249" t="str">
        <f>IFERROR(__xludf.DUMMYFUNCTION("""COMPUTED_VALUE"""),"")</f>
        <v/>
      </c>
      <c r="Y382" s="250" t="str">
        <f t="shared" si="7"/>
        <v/>
      </c>
    </row>
    <row r="383">
      <c r="A383" s="136" t="s">
        <v>133</v>
      </c>
      <c r="B383" s="136"/>
      <c r="C383" s="136" t="s">
        <v>133</v>
      </c>
      <c r="D383" s="136" t="s">
        <v>133</v>
      </c>
      <c r="E383" s="256" t="str">
        <f>IFERROR(__xludf.DUMMYFUNCTION("""COMPUTED_VALUE"""),"")</f>
        <v/>
      </c>
      <c r="F383" s="257" t="str">
        <f>IFERROR(__xludf.DUMMYFUNCTION("""COMPUTED_VALUE"""),"")</f>
        <v/>
      </c>
      <c r="G383" s="247" t="str">
        <f t="shared" si="1"/>
        <v/>
      </c>
      <c r="H383" s="258" t="str">
        <f>IFERROR(__xludf.DUMMYFUNCTION("""COMPUTED_VALUE"""),"")</f>
        <v/>
      </c>
      <c r="I383" s="259" t="str">
        <f>IFERROR(__xludf.DUMMYFUNCTION("""COMPUTED_VALUE"""),"")</f>
        <v/>
      </c>
      <c r="J383" s="250" t="str">
        <f t="shared" si="2"/>
        <v/>
      </c>
      <c r="K383" s="317" t="str">
        <f>IFERROR(__xludf.DUMMYFUNCTION("""COMPUTED_VALUE"""),"")</f>
        <v/>
      </c>
      <c r="L383" s="318" t="str">
        <f>IFERROR(__xludf.DUMMYFUNCTION("""COMPUTED_VALUE"""),"")</f>
        <v/>
      </c>
      <c r="M383" s="253" t="str">
        <f t="shared" si="3"/>
        <v/>
      </c>
      <c r="N383" s="319" t="str">
        <f>IFERROR(__xludf.DUMMYFUNCTION("""COMPUTED_VALUE"""),"")</f>
        <v/>
      </c>
      <c r="O383" s="257" t="str">
        <f>IFERROR(__xludf.DUMMYFUNCTION("""COMPUTED_VALUE"""),"")</f>
        <v/>
      </c>
      <c r="P383" s="247" t="str">
        <f t="shared" si="4"/>
        <v/>
      </c>
      <c r="Q383" s="320" t="str">
        <f>IFERROR(__xludf.DUMMYFUNCTION("""COMPUTED_VALUE"""),"")</f>
        <v/>
      </c>
      <c r="R383" s="259" t="str">
        <f>IFERROR(__xludf.DUMMYFUNCTION("""COMPUTED_VALUE"""),"")</f>
        <v/>
      </c>
      <c r="S383" s="250" t="str">
        <f t="shared" si="5"/>
        <v/>
      </c>
      <c r="T383" s="254" t="str">
        <f>IFERROR(__xludf.DUMMYFUNCTION("""COMPUTED_VALUE"""),"")</f>
        <v/>
      </c>
      <c r="U383" s="246" t="str">
        <f>IFERROR(__xludf.DUMMYFUNCTION("""COMPUTED_VALUE"""),"")</f>
        <v/>
      </c>
      <c r="V383" s="247" t="str">
        <f t="shared" si="6"/>
        <v/>
      </c>
      <c r="W383" s="255" t="str">
        <f>IFERROR(__xludf.DUMMYFUNCTION("""COMPUTED_VALUE"""),"")</f>
        <v/>
      </c>
      <c r="X383" s="249" t="str">
        <f>IFERROR(__xludf.DUMMYFUNCTION("""COMPUTED_VALUE"""),"")</f>
        <v/>
      </c>
      <c r="Y383" s="250" t="str">
        <f t="shared" si="7"/>
        <v/>
      </c>
    </row>
    <row r="384">
      <c r="A384" s="136" t="s">
        <v>133</v>
      </c>
      <c r="B384" s="136"/>
      <c r="C384" s="136" t="s">
        <v>133</v>
      </c>
      <c r="D384" s="136" t="s">
        <v>133</v>
      </c>
      <c r="E384" s="256" t="str">
        <f>IFERROR(__xludf.DUMMYFUNCTION("""COMPUTED_VALUE"""),"")</f>
        <v/>
      </c>
      <c r="F384" s="257" t="str">
        <f>IFERROR(__xludf.DUMMYFUNCTION("""COMPUTED_VALUE"""),"")</f>
        <v/>
      </c>
      <c r="G384" s="247" t="str">
        <f t="shared" si="1"/>
        <v/>
      </c>
      <c r="H384" s="258" t="str">
        <f>IFERROR(__xludf.DUMMYFUNCTION("""COMPUTED_VALUE"""),"")</f>
        <v/>
      </c>
      <c r="I384" s="259" t="str">
        <f>IFERROR(__xludf.DUMMYFUNCTION("""COMPUTED_VALUE"""),"")</f>
        <v/>
      </c>
      <c r="J384" s="250" t="str">
        <f t="shared" si="2"/>
        <v/>
      </c>
      <c r="K384" s="317" t="str">
        <f>IFERROR(__xludf.DUMMYFUNCTION("""COMPUTED_VALUE"""),"")</f>
        <v/>
      </c>
      <c r="L384" s="318" t="str">
        <f>IFERROR(__xludf.DUMMYFUNCTION("""COMPUTED_VALUE"""),"")</f>
        <v/>
      </c>
      <c r="M384" s="253" t="str">
        <f t="shared" si="3"/>
        <v/>
      </c>
      <c r="N384" s="319" t="str">
        <f>IFERROR(__xludf.DUMMYFUNCTION("""COMPUTED_VALUE"""),"")</f>
        <v/>
      </c>
      <c r="O384" s="257" t="str">
        <f>IFERROR(__xludf.DUMMYFUNCTION("""COMPUTED_VALUE"""),"")</f>
        <v/>
      </c>
      <c r="P384" s="247" t="str">
        <f t="shared" si="4"/>
        <v/>
      </c>
      <c r="Q384" s="320" t="str">
        <f>IFERROR(__xludf.DUMMYFUNCTION("""COMPUTED_VALUE"""),"")</f>
        <v/>
      </c>
      <c r="R384" s="259" t="str">
        <f>IFERROR(__xludf.DUMMYFUNCTION("""COMPUTED_VALUE"""),"")</f>
        <v/>
      </c>
      <c r="S384" s="250" t="str">
        <f t="shared" si="5"/>
        <v/>
      </c>
      <c r="T384" s="254" t="str">
        <f>IFERROR(__xludf.DUMMYFUNCTION("""COMPUTED_VALUE"""),"")</f>
        <v/>
      </c>
      <c r="U384" s="246" t="str">
        <f>IFERROR(__xludf.DUMMYFUNCTION("""COMPUTED_VALUE"""),"")</f>
        <v/>
      </c>
      <c r="V384" s="247" t="str">
        <f t="shared" si="6"/>
        <v/>
      </c>
      <c r="W384" s="255" t="str">
        <f>IFERROR(__xludf.DUMMYFUNCTION("""COMPUTED_VALUE"""),"")</f>
        <v/>
      </c>
      <c r="X384" s="249" t="str">
        <f>IFERROR(__xludf.DUMMYFUNCTION("""COMPUTED_VALUE"""),"")</f>
        <v/>
      </c>
      <c r="Y384" s="250" t="str">
        <f t="shared" si="7"/>
        <v/>
      </c>
    </row>
    <row r="385">
      <c r="A385" s="136" t="s">
        <v>133</v>
      </c>
      <c r="B385" s="136"/>
      <c r="C385" s="136" t="s">
        <v>133</v>
      </c>
      <c r="D385" s="136" t="s">
        <v>133</v>
      </c>
      <c r="E385" s="256" t="str">
        <f>IFERROR(__xludf.DUMMYFUNCTION("""COMPUTED_VALUE"""),"")</f>
        <v/>
      </c>
      <c r="F385" s="257" t="str">
        <f>IFERROR(__xludf.DUMMYFUNCTION("""COMPUTED_VALUE"""),"")</f>
        <v/>
      </c>
      <c r="G385" s="247" t="str">
        <f t="shared" si="1"/>
        <v/>
      </c>
      <c r="H385" s="258" t="str">
        <f>IFERROR(__xludf.DUMMYFUNCTION("""COMPUTED_VALUE"""),"")</f>
        <v/>
      </c>
      <c r="I385" s="259" t="str">
        <f>IFERROR(__xludf.DUMMYFUNCTION("""COMPUTED_VALUE"""),"")</f>
        <v/>
      </c>
      <c r="J385" s="250" t="str">
        <f t="shared" si="2"/>
        <v/>
      </c>
      <c r="K385" s="317" t="str">
        <f>IFERROR(__xludf.DUMMYFUNCTION("""COMPUTED_VALUE"""),"")</f>
        <v/>
      </c>
      <c r="L385" s="318" t="str">
        <f>IFERROR(__xludf.DUMMYFUNCTION("""COMPUTED_VALUE"""),"")</f>
        <v/>
      </c>
      <c r="M385" s="253" t="str">
        <f t="shared" si="3"/>
        <v/>
      </c>
      <c r="N385" s="319" t="str">
        <f>IFERROR(__xludf.DUMMYFUNCTION("""COMPUTED_VALUE"""),"")</f>
        <v/>
      </c>
      <c r="O385" s="257" t="str">
        <f>IFERROR(__xludf.DUMMYFUNCTION("""COMPUTED_VALUE"""),"")</f>
        <v/>
      </c>
      <c r="P385" s="247" t="str">
        <f t="shared" si="4"/>
        <v/>
      </c>
      <c r="Q385" s="320" t="str">
        <f>IFERROR(__xludf.DUMMYFUNCTION("""COMPUTED_VALUE"""),"")</f>
        <v/>
      </c>
      <c r="R385" s="259" t="str">
        <f>IFERROR(__xludf.DUMMYFUNCTION("""COMPUTED_VALUE"""),"")</f>
        <v/>
      </c>
      <c r="S385" s="250" t="str">
        <f t="shared" si="5"/>
        <v/>
      </c>
      <c r="T385" s="254" t="str">
        <f>IFERROR(__xludf.DUMMYFUNCTION("""COMPUTED_VALUE"""),"")</f>
        <v/>
      </c>
      <c r="U385" s="246" t="str">
        <f>IFERROR(__xludf.DUMMYFUNCTION("""COMPUTED_VALUE"""),"")</f>
        <v/>
      </c>
      <c r="V385" s="247" t="str">
        <f t="shared" si="6"/>
        <v/>
      </c>
      <c r="W385" s="255" t="str">
        <f>IFERROR(__xludf.DUMMYFUNCTION("""COMPUTED_VALUE"""),"")</f>
        <v/>
      </c>
      <c r="X385" s="249" t="str">
        <f>IFERROR(__xludf.DUMMYFUNCTION("""COMPUTED_VALUE"""),"")</f>
        <v/>
      </c>
      <c r="Y385" s="250" t="str">
        <f t="shared" si="7"/>
        <v/>
      </c>
    </row>
    <row r="386">
      <c r="A386" s="136" t="s">
        <v>133</v>
      </c>
      <c r="B386" s="136"/>
      <c r="C386" s="136" t="s">
        <v>133</v>
      </c>
      <c r="D386" s="136" t="s">
        <v>133</v>
      </c>
      <c r="E386" s="256" t="str">
        <f>IFERROR(__xludf.DUMMYFUNCTION("""COMPUTED_VALUE"""),"")</f>
        <v/>
      </c>
      <c r="F386" s="257" t="str">
        <f>IFERROR(__xludf.DUMMYFUNCTION("""COMPUTED_VALUE"""),"")</f>
        <v/>
      </c>
      <c r="G386" s="247" t="str">
        <f t="shared" si="1"/>
        <v/>
      </c>
      <c r="H386" s="258" t="str">
        <f>IFERROR(__xludf.DUMMYFUNCTION("""COMPUTED_VALUE"""),"")</f>
        <v/>
      </c>
      <c r="I386" s="259" t="str">
        <f>IFERROR(__xludf.DUMMYFUNCTION("""COMPUTED_VALUE"""),"")</f>
        <v/>
      </c>
      <c r="J386" s="250" t="str">
        <f t="shared" si="2"/>
        <v/>
      </c>
      <c r="K386" s="317" t="str">
        <f>IFERROR(__xludf.DUMMYFUNCTION("""COMPUTED_VALUE"""),"")</f>
        <v/>
      </c>
      <c r="L386" s="318" t="str">
        <f>IFERROR(__xludf.DUMMYFUNCTION("""COMPUTED_VALUE"""),"")</f>
        <v/>
      </c>
      <c r="M386" s="253" t="str">
        <f t="shared" si="3"/>
        <v/>
      </c>
      <c r="N386" s="319" t="str">
        <f>IFERROR(__xludf.DUMMYFUNCTION("""COMPUTED_VALUE"""),"")</f>
        <v/>
      </c>
      <c r="O386" s="257" t="str">
        <f>IFERROR(__xludf.DUMMYFUNCTION("""COMPUTED_VALUE"""),"")</f>
        <v/>
      </c>
      <c r="P386" s="247" t="str">
        <f t="shared" si="4"/>
        <v/>
      </c>
      <c r="Q386" s="320" t="str">
        <f>IFERROR(__xludf.DUMMYFUNCTION("""COMPUTED_VALUE"""),"")</f>
        <v/>
      </c>
      <c r="R386" s="259" t="str">
        <f>IFERROR(__xludf.DUMMYFUNCTION("""COMPUTED_VALUE"""),"")</f>
        <v/>
      </c>
      <c r="S386" s="250" t="str">
        <f t="shared" si="5"/>
        <v/>
      </c>
      <c r="T386" s="254" t="str">
        <f>IFERROR(__xludf.DUMMYFUNCTION("""COMPUTED_VALUE"""),"")</f>
        <v/>
      </c>
      <c r="U386" s="246" t="str">
        <f>IFERROR(__xludf.DUMMYFUNCTION("""COMPUTED_VALUE"""),"")</f>
        <v/>
      </c>
      <c r="V386" s="247" t="str">
        <f t="shared" si="6"/>
        <v/>
      </c>
      <c r="W386" s="255" t="str">
        <f>IFERROR(__xludf.DUMMYFUNCTION("""COMPUTED_VALUE"""),"")</f>
        <v/>
      </c>
      <c r="X386" s="249" t="str">
        <f>IFERROR(__xludf.DUMMYFUNCTION("""COMPUTED_VALUE"""),"")</f>
        <v/>
      </c>
      <c r="Y386" s="250" t="str">
        <f t="shared" si="7"/>
        <v/>
      </c>
    </row>
    <row r="387">
      <c r="A387" s="136" t="s">
        <v>133</v>
      </c>
      <c r="B387" s="136"/>
      <c r="C387" s="136" t="s">
        <v>133</v>
      </c>
      <c r="D387" s="136" t="s">
        <v>133</v>
      </c>
      <c r="E387" s="256" t="str">
        <f>IFERROR(__xludf.DUMMYFUNCTION("""COMPUTED_VALUE"""),"")</f>
        <v/>
      </c>
      <c r="F387" s="257" t="str">
        <f>IFERROR(__xludf.DUMMYFUNCTION("""COMPUTED_VALUE"""),"")</f>
        <v/>
      </c>
      <c r="G387" s="247" t="str">
        <f t="shared" si="1"/>
        <v/>
      </c>
      <c r="H387" s="258" t="str">
        <f>IFERROR(__xludf.DUMMYFUNCTION("""COMPUTED_VALUE"""),"")</f>
        <v/>
      </c>
      <c r="I387" s="259" t="str">
        <f>IFERROR(__xludf.DUMMYFUNCTION("""COMPUTED_VALUE"""),"")</f>
        <v/>
      </c>
      <c r="J387" s="250" t="str">
        <f t="shared" si="2"/>
        <v/>
      </c>
      <c r="K387" s="317" t="str">
        <f>IFERROR(__xludf.DUMMYFUNCTION("""COMPUTED_VALUE"""),"")</f>
        <v/>
      </c>
      <c r="L387" s="318" t="str">
        <f>IFERROR(__xludf.DUMMYFUNCTION("""COMPUTED_VALUE"""),"")</f>
        <v/>
      </c>
      <c r="M387" s="253" t="str">
        <f t="shared" si="3"/>
        <v/>
      </c>
      <c r="N387" s="319" t="str">
        <f>IFERROR(__xludf.DUMMYFUNCTION("""COMPUTED_VALUE"""),"")</f>
        <v/>
      </c>
      <c r="O387" s="257" t="str">
        <f>IFERROR(__xludf.DUMMYFUNCTION("""COMPUTED_VALUE"""),"")</f>
        <v/>
      </c>
      <c r="P387" s="247" t="str">
        <f t="shared" si="4"/>
        <v/>
      </c>
      <c r="Q387" s="320" t="str">
        <f>IFERROR(__xludf.DUMMYFUNCTION("""COMPUTED_VALUE"""),"")</f>
        <v/>
      </c>
      <c r="R387" s="259" t="str">
        <f>IFERROR(__xludf.DUMMYFUNCTION("""COMPUTED_VALUE"""),"")</f>
        <v/>
      </c>
      <c r="S387" s="250" t="str">
        <f t="shared" si="5"/>
        <v/>
      </c>
      <c r="T387" s="254" t="str">
        <f>IFERROR(__xludf.DUMMYFUNCTION("""COMPUTED_VALUE"""),"")</f>
        <v/>
      </c>
      <c r="U387" s="246" t="str">
        <f>IFERROR(__xludf.DUMMYFUNCTION("""COMPUTED_VALUE"""),"")</f>
        <v/>
      </c>
      <c r="V387" s="247" t="str">
        <f t="shared" si="6"/>
        <v/>
      </c>
      <c r="W387" s="255" t="str">
        <f>IFERROR(__xludf.DUMMYFUNCTION("""COMPUTED_VALUE"""),"")</f>
        <v/>
      </c>
      <c r="X387" s="249" t="str">
        <f>IFERROR(__xludf.DUMMYFUNCTION("""COMPUTED_VALUE"""),"")</f>
        <v/>
      </c>
      <c r="Y387" s="250" t="str">
        <f t="shared" si="7"/>
        <v/>
      </c>
    </row>
    <row r="388">
      <c r="A388" s="136" t="s">
        <v>133</v>
      </c>
      <c r="B388" s="136"/>
      <c r="C388" s="136" t="s">
        <v>133</v>
      </c>
      <c r="D388" s="136" t="s">
        <v>133</v>
      </c>
      <c r="E388" s="256" t="str">
        <f>IFERROR(__xludf.DUMMYFUNCTION("""COMPUTED_VALUE"""),"")</f>
        <v/>
      </c>
      <c r="F388" s="257" t="str">
        <f>IFERROR(__xludf.DUMMYFUNCTION("""COMPUTED_VALUE"""),"")</f>
        <v/>
      </c>
      <c r="G388" s="247" t="str">
        <f t="shared" si="1"/>
        <v/>
      </c>
      <c r="H388" s="258" t="str">
        <f>IFERROR(__xludf.DUMMYFUNCTION("""COMPUTED_VALUE"""),"")</f>
        <v/>
      </c>
      <c r="I388" s="259" t="str">
        <f>IFERROR(__xludf.DUMMYFUNCTION("""COMPUTED_VALUE"""),"")</f>
        <v/>
      </c>
      <c r="J388" s="250" t="str">
        <f t="shared" si="2"/>
        <v/>
      </c>
      <c r="K388" s="317" t="str">
        <f>IFERROR(__xludf.DUMMYFUNCTION("""COMPUTED_VALUE"""),"")</f>
        <v/>
      </c>
      <c r="L388" s="318" t="str">
        <f>IFERROR(__xludf.DUMMYFUNCTION("""COMPUTED_VALUE"""),"")</f>
        <v/>
      </c>
      <c r="M388" s="253" t="str">
        <f t="shared" si="3"/>
        <v/>
      </c>
      <c r="N388" s="319" t="str">
        <f>IFERROR(__xludf.DUMMYFUNCTION("""COMPUTED_VALUE"""),"")</f>
        <v/>
      </c>
      <c r="O388" s="257" t="str">
        <f>IFERROR(__xludf.DUMMYFUNCTION("""COMPUTED_VALUE"""),"")</f>
        <v/>
      </c>
      <c r="P388" s="247" t="str">
        <f t="shared" si="4"/>
        <v/>
      </c>
      <c r="Q388" s="320" t="str">
        <f>IFERROR(__xludf.DUMMYFUNCTION("""COMPUTED_VALUE"""),"")</f>
        <v/>
      </c>
      <c r="R388" s="259" t="str">
        <f>IFERROR(__xludf.DUMMYFUNCTION("""COMPUTED_VALUE"""),"")</f>
        <v/>
      </c>
      <c r="S388" s="250" t="str">
        <f t="shared" si="5"/>
        <v/>
      </c>
      <c r="T388" s="254" t="str">
        <f>IFERROR(__xludf.DUMMYFUNCTION("""COMPUTED_VALUE"""),"")</f>
        <v/>
      </c>
      <c r="U388" s="246" t="str">
        <f>IFERROR(__xludf.DUMMYFUNCTION("""COMPUTED_VALUE"""),"")</f>
        <v/>
      </c>
      <c r="V388" s="247" t="str">
        <f t="shared" si="6"/>
        <v/>
      </c>
      <c r="W388" s="255" t="str">
        <f>IFERROR(__xludf.DUMMYFUNCTION("""COMPUTED_VALUE"""),"")</f>
        <v/>
      </c>
      <c r="X388" s="249" t="str">
        <f>IFERROR(__xludf.DUMMYFUNCTION("""COMPUTED_VALUE"""),"")</f>
        <v/>
      </c>
      <c r="Y388" s="250" t="str">
        <f t="shared" si="7"/>
        <v/>
      </c>
    </row>
    <row r="389">
      <c r="A389" s="136" t="s">
        <v>133</v>
      </c>
      <c r="B389" s="136"/>
      <c r="C389" s="136" t="s">
        <v>133</v>
      </c>
      <c r="D389" s="136" t="s">
        <v>133</v>
      </c>
      <c r="E389" s="256" t="str">
        <f>IFERROR(__xludf.DUMMYFUNCTION("""COMPUTED_VALUE"""),"")</f>
        <v/>
      </c>
      <c r="F389" s="257" t="str">
        <f>IFERROR(__xludf.DUMMYFUNCTION("""COMPUTED_VALUE"""),"")</f>
        <v/>
      </c>
      <c r="G389" s="247" t="str">
        <f t="shared" si="1"/>
        <v/>
      </c>
      <c r="H389" s="258" t="str">
        <f>IFERROR(__xludf.DUMMYFUNCTION("""COMPUTED_VALUE"""),"")</f>
        <v/>
      </c>
      <c r="I389" s="259" t="str">
        <f>IFERROR(__xludf.DUMMYFUNCTION("""COMPUTED_VALUE"""),"")</f>
        <v/>
      </c>
      <c r="J389" s="250" t="str">
        <f t="shared" si="2"/>
        <v/>
      </c>
      <c r="K389" s="317" t="str">
        <f>IFERROR(__xludf.DUMMYFUNCTION("""COMPUTED_VALUE"""),"")</f>
        <v/>
      </c>
      <c r="L389" s="318" t="str">
        <f>IFERROR(__xludf.DUMMYFUNCTION("""COMPUTED_VALUE"""),"")</f>
        <v/>
      </c>
      <c r="M389" s="253" t="str">
        <f t="shared" si="3"/>
        <v/>
      </c>
      <c r="N389" s="319" t="str">
        <f>IFERROR(__xludf.DUMMYFUNCTION("""COMPUTED_VALUE"""),"")</f>
        <v/>
      </c>
      <c r="O389" s="257" t="str">
        <f>IFERROR(__xludf.DUMMYFUNCTION("""COMPUTED_VALUE"""),"")</f>
        <v/>
      </c>
      <c r="P389" s="247" t="str">
        <f t="shared" si="4"/>
        <v/>
      </c>
      <c r="Q389" s="320" t="str">
        <f>IFERROR(__xludf.DUMMYFUNCTION("""COMPUTED_VALUE"""),"")</f>
        <v/>
      </c>
      <c r="R389" s="259" t="str">
        <f>IFERROR(__xludf.DUMMYFUNCTION("""COMPUTED_VALUE"""),"")</f>
        <v/>
      </c>
      <c r="S389" s="250" t="str">
        <f t="shared" si="5"/>
        <v/>
      </c>
      <c r="T389" s="254" t="str">
        <f>IFERROR(__xludf.DUMMYFUNCTION("""COMPUTED_VALUE"""),"")</f>
        <v/>
      </c>
      <c r="U389" s="246" t="str">
        <f>IFERROR(__xludf.DUMMYFUNCTION("""COMPUTED_VALUE"""),"")</f>
        <v/>
      </c>
      <c r="V389" s="247" t="str">
        <f t="shared" si="6"/>
        <v/>
      </c>
      <c r="W389" s="255" t="str">
        <f>IFERROR(__xludf.DUMMYFUNCTION("""COMPUTED_VALUE"""),"")</f>
        <v/>
      </c>
      <c r="X389" s="249" t="str">
        <f>IFERROR(__xludf.DUMMYFUNCTION("""COMPUTED_VALUE"""),"")</f>
        <v/>
      </c>
      <c r="Y389" s="250" t="str">
        <f t="shared" si="7"/>
        <v/>
      </c>
    </row>
    <row r="390">
      <c r="A390" s="136" t="s">
        <v>133</v>
      </c>
      <c r="B390" s="136"/>
      <c r="C390" s="136" t="s">
        <v>133</v>
      </c>
      <c r="D390" s="136" t="s">
        <v>133</v>
      </c>
      <c r="E390" s="256" t="str">
        <f>IFERROR(__xludf.DUMMYFUNCTION("""COMPUTED_VALUE"""),"")</f>
        <v/>
      </c>
      <c r="F390" s="257" t="str">
        <f>IFERROR(__xludf.DUMMYFUNCTION("""COMPUTED_VALUE"""),"")</f>
        <v/>
      </c>
      <c r="G390" s="247" t="str">
        <f t="shared" si="1"/>
        <v/>
      </c>
      <c r="H390" s="258" t="str">
        <f>IFERROR(__xludf.DUMMYFUNCTION("""COMPUTED_VALUE"""),"")</f>
        <v/>
      </c>
      <c r="I390" s="259" t="str">
        <f>IFERROR(__xludf.DUMMYFUNCTION("""COMPUTED_VALUE"""),"")</f>
        <v/>
      </c>
      <c r="J390" s="250" t="str">
        <f t="shared" si="2"/>
        <v/>
      </c>
      <c r="K390" s="317" t="str">
        <f>IFERROR(__xludf.DUMMYFUNCTION("""COMPUTED_VALUE"""),"")</f>
        <v/>
      </c>
      <c r="L390" s="318" t="str">
        <f>IFERROR(__xludf.DUMMYFUNCTION("""COMPUTED_VALUE"""),"")</f>
        <v/>
      </c>
      <c r="M390" s="253" t="str">
        <f t="shared" si="3"/>
        <v/>
      </c>
      <c r="N390" s="319" t="str">
        <f>IFERROR(__xludf.DUMMYFUNCTION("""COMPUTED_VALUE"""),"")</f>
        <v/>
      </c>
      <c r="O390" s="257" t="str">
        <f>IFERROR(__xludf.DUMMYFUNCTION("""COMPUTED_VALUE"""),"")</f>
        <v/>
      </c>
      <c r="P390" s="247" t="str">
        <f t="shared" si="4"/>
        <v/>
      </c>
      <c r="Q390" s="320" t="str">
        <f>IFERROR(__xludf.DUMMYFUNCTION("""COMPUTED_VALUE"""),"")</f>
        <v/>
      </c>
      <c r="R390" s="259" t="str">
        <f>IFERROR(__xludf.DUMMYFUNCTION("""COMPUTED_VALUE"""),"")</f>
        <v/>
      </c>
      <c r="S390" s="250" t="str">
        <f t="shared" si="5"/>
        <v/>
      </c>
      <c r="T390" s="254" t="str">
        <f>IFERROR(__xludf.DUMMYFUNCTION("""COMPUTED_VALUE"""),"")</f>
        <v/>
      </c>
      <c r="U390" s="246" t="str">
        <f>IFERROR(__xludf.DUMMYFUNCTION("""COMPUTED_VALUE"""),"")</f>
        <v/>
      </c>
      <c r="V390" s="247" t="str">
        <f t="shared" si="6"/>
        <v/>
      </c>
      <c r="W390" s="255" t="str">
        <f>IFERROR(__xludf.DUMMYFUNCTION("""COMPUTED_VALUE"""),"")</f>
        <v/>
      </c>
      <c r="X390" s="249" t="str">
        <f>IFERROR(__xludf.DUMMYFUNCTION("""COMPUTED_VALUE"""),"")</f>
        <v/>
      </c>
      <c r="Y390" s="250" t="str">
        <f t="shared" si="7"/>
        <v/>
      </c>
    </row>
    <row r="391">
      <c r="A391" s="136" t="s">
        <v>133</v>
      </c>
      <c r="B391" s="136"/>
      <c r="C391" s="136" t="s">
        <v>133</v>
      </c>
      <c r="D391" s="136" t="s">
        <v>133</v>
      </c>
      <c r="E391" s="256" t="str">
        <f>IFERROR(__xludf.DUMMYFUNCTION("""COMPUTED_VALUE"""),"")</f>
        <v/>
      </c>
      <c r="F391" s="257" t="str">
        <f>IFERROR(__xludf.DUMMYFUNCTION("""COMPUTED_VALUE"""),"")</f>
        <v/>
      </c>
      <c r="G391" s="247" t="str">
        <f t="shared" si="1"/>
        <v/>
      </c>
      <c r="H391" s="258" t="str">
        <f>IFERROR(__xludf.DUMMYFUNCTION("""COMPUTED_VALUE"""),"")</f>
        <v/>
      </c>
      <c r="I391" s="259" t="str">
        <f>IFERROR(__xludf.DUMMYFUNCTION("""COMPUTED_VALUE"""),"")</f>
        <v/>
      </c>
      <c r="J391" s="250" t="str">
        <f t="shared" si="2"/>
        <v/>
      </c>
      <c r="K391" s="317" t="str">
        <f>IFERROR(__xludf.DUMMYFUNCTION("""COMPUTED_VALUE"""),"")</f>
        <v/>
      </c>
      <c r="L391" s="318" t="str">
        <f>IFERROR(__xludf.DUMMYFUNCTION("""COMPUTED_VALUE"""),"")</f>
        <v/>
      </c>
      <c r="M391" s="253" t="str">
        <f t="shared" si="3"/>
        <v/>
      </c>
      <c r="N391" s="319" t="str">
        <f>IFERROR(__xludf.DUMMYFUNCTION("""COMPUTED_VALUE"""),"")</f>
        <v/>
      </c>
      <c r="O391" s="257" t="str">
        <f>IFERROR(__xludf.DUMMYFUNCTION("""COMPUTED_VALUE"""),"")</f>
        <v/>
      </c>
      <c r="P391" s="247" t="str">
        <f t="shared" si="4"/>
        <v/>
      </c>
      <c r="Q391" s="320" t="str">
        <f>IFERROR(__xludf.DUMMYFUNCTION("""COMPUTED_VALUE"""),"")</f>
        <v/>
      </c>
      <c r="R391" s="259" t="str">
        <f>IFERROR(__xludf.DUMMYFUNCTION("""COMPUTED_VALUE"""),"")</f>
        <v/>
      </c>
      <c r="S391" s="250" t="str">
        <f t="shared" si="5"/>
        <v/>
      </c>
      <c r="T391" s="254" t="str">
        <f>IFERROR(__xludf.DUMMYFUNCTION("""COMPUTED_VALUE"""),"")</f>
        <v/>
      </c>
      <c r="U391" s="246" t="str">
        <f>IFERROR(__xludf.DUMMYFUNCTION("""COMPUTED_VALUE"""),"")</f>
        <v/>
      </c>
      <c r="V391" s="247" t="str">
        <f t="shared" si="6"/>
        <v/>
      </c>
      <c r="W391" s="255" t="str">
        <f>IFERROR(__xludf.DUMMYFUNCTION("""COMPUTED_VALUE"""),"")</f>
        <v/>
      </c>
      <c r="X391" s="249" t="str">
        <f>IFERROR(__xludf.DUMMYFUNCTION("""COMPUTED_VALUE"""),"")</f>
        <v/>
      </c>
      <c r="Y391" s="250" t="str">
        <f t="shared" si="7"/>
        <v/>
      </c>
    </row>
    <row r="392">
      <c r="A392" s="136" t="s">
        <v>133</v>
      </c>
      <c r="B392" s="136"/>
      <c r="C392" s="136" t="s">
        <v>133</v>
      </c>
      <c r="D392" s="136" t="s">
        <v>133</v>
      </c>
      <c r="E392" s="256" t="str">
        <f>IFERROR(__xludf.DUMMYFUNCTION("""COMPUTED_VALUE"""),"")</f>
        <v/>
      </c>
      <c r="F392" s="257" t="str">
        <f>IFERROR(__xludf.DUMMYFUNCTION("""COMPUTED_VALUE"""),"")</f>
        <v/>
      </c>
      <c r="G392" s="247" t="str">
        <f t="shared" si="1"/>
        <v/>
      </c>
      <c r="H392" s="258" t="str">
        <f>IFERROR(__xludf.DUMMYFUNCTION("""COMPUTED_VALUE"""),"")</f>
        <v/>
      </c>
      <c r="I392" s="259" t="str">
        <f>IFERROR(__xludf.DUMMYFUNCTION("""COMPUTED_VALUE"""),"")</f>
        <v/>
      </c>
      <c r="J392" s="250" t="str">
        <f t="shared" si="2"/>
        <v/>
      </c>
      <c r="K392" s="317" t="str">
        <f>IFERROR(__xludf.DUMMYFUNCTION("""COMPUTED_VALUE"""),"")</f>
        <v/>
      </c>
      <c r="L392" s="318" t="str">
        <f>IFERROR(__xludf.DUMMYFUNCTION("""COMPUTED_VALUE"""),"")</f>
        <v/>
      </c>
      <c r="M392" s="253" t="str">
        <f t="shared" si="3"/>
        <v/>
      </c>
      <c r="N392" s="319" t="str">
        <f>IFERROR(__xludf.DUMMYFUNCTION("""COMPUTED_VALUE"""),"")</f>
        <v/>
      </c>
      <c r="O392" s="257" t="str">
        <f>IFERROR(__xludf.DUMMYFUNCTION("""COMPUTED_VALUE"""),"")</f>
        <v/>
      </c>
      <c r="P392" s="247" t="str">
        <f t="shared" si="4"/>
        <v/>
      </c>
      <c r="Q392" s="320" t="str">
        <f>IFERROR(__xludf.DUMMYFUNCTION("""COMPUTED_VALUE"""),"")</f>
        <v/>
      </c>
      <c r="R392" s="259" t="str">
        <f>IFERROR(__xludf.DUMMYFUNCTION("""COMPUTED_VALUE"""),"")</f>
        <v/>
      </c>
      <c r="S392" s="250" t="str">
        <f t="shared" si="5"/>
        <v/>
      </c>
      <c r="T392" s="254" t="str">
        <f>IFERROR(__xludf.DUMMYFUNCTION("""COMPUTED_VALUE"""),"")</f>
        <v/>
      </c>
      <c r="U392" s="246" t="str">
        <f>IFERROR(__xludf.DUMMYFUNCTION("""COMPUTED_VALUE"""),"")</f>
        <v/>
      </c>
      <c r="V392" s="247" t="str">
        <f t="shared" si="6"/>
        <v/>
      </c>
      <c r="W392" s="255" t="str">
        <f>IFERROR(__xludf.DUMMYFUNCTION("""COMPUTED_VALUE"""),"")</f>
        <v/>
      </c>
      <c r="X392" s="249" t="str">
        <f>IFERROR(__xludf.DUMMYFUNCTION("""COMPUTED_VALUE"""),"")</f>
        <v/>
      </c>
      <c r="Y392" s="250" t="str">
        <f t="shared" si="7"/>
        <v/>
      </c>
    </row>
    <row r="393">
      <c r="A393" s="136" t="s">
        <v>133</v>
      </c>
      <c r="B393" s="136"/>
      <c r="C393" s="136" t="s">
        <v>133</v>
      </c>
      <c r="D393" s="136" t="s">
        <v>133</v>
      </c>
      <c r="E393" s="256" t="str">
        <f>IFERROR(__xludf.DUMMYFUNCTION("""COMPUTED_VALUE"""),"")</f>
        <v/>
      </c>
      <c r="F393" s="257" t="str">
        <f>IFERROR(__xludf.DUMMYFUNCTION("""COMPUTED_VALUE"""),"")</f>
        <v/>
      </c>
      <c r="G393" s="247" t="str">
        <f t="shared" si="1"/>
        <v/>
      </c>
      <c r="H393" s="258" t="str">
        <f>IFERROR(__xludf.DUMMYFUNCTION("""COMPUTED_VALUE"""),"")</f>
        <v/>
      </c>
      <c r="I393" s="259" t="str">
        <f>IFERROR(__xludf.DUMMYFUNCTION("""COMPUTED_VALUE"""),"")</f>
        <v/>
      </c>
      <c r="J393" s="250" t="str">
        <f t="shared" si="2"/>
        <v/>
      </c>
      <c r="K393" s="317" t="str">
        <f>IFERROR(__xludf.DUMMYFUNCTION("""COMPUTED_VALUE"""),"")</f>
        <v/>
      </c>
      <c r="L393" s="318" t="str">
        <f>IFERROR(__xludf.DUMMYFUNCTION("""COMPUTED_VALUE"""),"")</f>
        <v/>
      </c>
      <c r="M393" s="253" t="str">
        <f t="shared" si="3"/>
        <v/>
      </c>
      <c r="N393" s="319" t="str">
        <f>IFERROR(__xludf.DUMMYFUNCTION("""COMPUTED_VALUE"""),"")</f>
        <v/>
      </c>
      <c r="O393" s="257" t="str">
        <f>IFERROR(__xludf.DUMMYFUNCTION("""COMPUTED_VALUE"""),"")</f>
        <v/>
      </c>
      <c r="P393" s="247" t="str">
        <f t="shared" si="4"/>
        <v/>
      </c>
      <c r="Q393" s="320" t="str">
        <f>IFERROR(__xludf.DUMMYFUNCTION("""COMPUTED_VALUE"""),"")</f>
        <v/>
      </c>
      <c r="R393" s="259" t="str">
        <f>IFERROR(__xludf.DUMMYFUNCTION("""COMPUTED_VALUE"""),"")</f>
        <v/>
      </c>
      <c r="S393" s="250" t="str">
        <f t="shared" si="5"/>
        <v/>
      </c>
      <c r="T393" s="254" t="str">
        <f>IFERROR(__xludf.DUMMYFUNCTION("""COMPUTED_VALUE"""),"")</f>
        <v/>
      </c>
      <c r="U393" s="246" t="str">
        <f>IFERROR(__xludf.DUMMYFUNCTION("""COMPUTED_VALUE"""),"")</f>
        <v/>
      </c>
      <c r="V393" s="247" t="str">
        <f t="shared" si="6"/>
        <v/>
      </c>
      <c r="W393" s="255" t="str">
        <f>IFERROR(__xludf.DUMMYFUNCTION("""COMPUTED_VALUE"""),"")</f>
        <v/>
      </c>
      <c r="X393" s="249" t="str">
        <f>IFERROR(__xludf.DUMMYFUNCTION("""COMPUTED_VALUE"""),"")</f>
        <v/>
      </c>
      <c r="Y393" s="250" t="str">
        <f t="shared" si="7"/>
        <v/>
      </c>
    </row>
    <row r="394">
      <c r="A394" s="136" t="s">
        <v>133</v>
      </c>
      <c r="B394" s="136"/>
      <c r="C394" s="136" t="s">
        <v>133</v>
      </c>
      <c r="D394" s="136" t="s">
        <v>133</v>
      </c>
      <c r="E394" s="256" t="str">
        <f>IFERROR(__xludf.DUMMYFUNCTION("""COMPUTED_VALUE"""),"")</f>
        <v/>
      </c>
      <c r="F394" s="257" t="str">
        <f>IFERROR(__xludf.DUMMYFUNCTION("""COMPUTED_VALUE"""),"")</f>
        <v/>
      </c>
      <c r="G394" s="247" t="str">
        <f t="shared" si="1"/>
        <v/>
      </c>
      <c r="H394" s="258" t="str">
        <f>IFERROR(__xludf.DUMMYFUNCTION("""COMPUTED_VALUE"""),"")</f>
        <v/>
      </c>
      <c r="I394" s="259" t="str">
        <f>IFERROR(__xludf.DUMMYFUNCTION("""COMPUTED_VALUE"""),"")</f>
        <v/>
      </c>
      <c r="J394" s="250" t="str">
        <f t="shared" si="2"/>
        <v/>
      </c>
      <c r="K394" s="317" t="str">
        <f>IFERROR(__xludf.DUMMYFUNCTION("""COMPUTED_VALUE"""),"")</f>
        <v/>
      </c>
      <c r="L394" s="318" t="str">
        <f>IFERROR(__xludf.DUMMYFUNCTION("""COMPUTED_VALUE"""),"")</f>
        <v/>
      </c>
      <c r="M394" s="253" t="str">
        <f t="shared" si="3"/>
        <v/>
      </c>
      <c r="N394" s="319" t="str">
        <f>IFERROR(__xludf.DUMMYFUNCTION("""COMPUTED_VALUE"""),"")</f>
        <v/>
      </c>
      <c r="O394" s="257" t="str">
        <f>IFERROR(__xludf.DUMMYFUNCTION("""COMPUTED_VALUE"""),"")</f>
        <v/>
      </c>
      <c r="P394" s="247" t="str">
        <f t="shared" si="4"/>
        <v/>
      </c>
      <c r="Q394" s="320" t="str">
        <f>IFERROR(__xludf.DUMMYFUNCTION("""COMPUTED_VALUE"""),"")</f>
        <v/>
      </c>
      <c r="R394" s="259" t="str">
        <f>IFERROR(__xludf.DUMMYFUNCTION("""COMPUTED_VALUE"""),"")</f>
        <v/>
      </c>
      <c r="S394" s="250" t="str">
        <f t="shared" si="5"/>
        <v/>
      </c>
      <c r="T394" s="254" t="str">
        <f>IFERROR(__xludf.DUMMYFUNCTION("""COMPUTED_VALUE"""),"")</f>
        <v/>
      </c>
      <c r="U394" s="246" t="str">
        <f>IFERROR(__xludf.DUMMYFUNCTION("""COMPUTED_VALUE"""),"")</f>
        <v/>
      </c>
      <c r="V394" s="247" t="str">
        <f t="shared" si="6"/>
        <v/>
      </c>
      <c r="W394" s="255" t="str">
        <f>IFERROR(__xludf.DUMMYFUNCTION("""COMPUTED_VALUE"""),"")</f>
        <v/>
      </c>
      <c r="X394" s="249" t="str">
        <f>IFERROR(__xludf.DUMMYFUNCTION("""COMPUTED_VALUE"""),"")</f>
        <v/>
      </c>
      <c r="Y394" s="250" t="str">
        <f t="shared" si="7"/>
        <v/>
      </c>
    </row>
    <row r="395">
      <c r="A395" s="136" t="s">
        <v>133</v>
      </c>
      <c r="B395" s="136"/>
      <c r="C395" s="136" t="s">
        <v>133</v>
      </c>
      <c r="D395" s="136" t="s">
        <v>133</v>
      </c>
      <c r="E395" s="256" t="str">
        <f>IFERROR(__xludf.DUMMYFUNCTION("""COMPUTED_VALUE"""),"")</f>
        <v/>
      </c>
      <c r="F395" s="257" t="str">
        <f>IFERROR(__xludf.DUMMYFUNCTION("""COMPUTED_VALUE"""),"")</f>
        <v/>
      </c>
      <c r="G395" s="247" t="str">
        <f t="shared" si="1"/>
        <v/>
      </c>
      <c r="H395" s="258" t="str">
        <f>IFERROR(__xludf.DUMMYFUNCTION("""COMPUTED_VALUE"""),"")</f>
        <v/>
      </c>
      <c r="I395" s="259" t="str">
        <f>IFERROR(__xludf.DUMMYFUNCTION("""COMPUTED_VALUE"""),"")</f>
        <v/>
      </c>
      <c r="J395" s="250" t="str">
        <f t="shared" si="2"/>
        <v/>
      </c>
      <c r="K395" s="317" t="str">
        <f>IFERROR(__xludf.DUMMYFUNCTION("""COMPUTED_VALUE"""),"")</f>
        <v/>
      </c>
      <c r="L395" s="318" t="str">
        <f>IFERROR(__xludf.DUMMYFUNCTION("""COMPUTED_VALUE"""),"")</f>
        <v/>
      </c>
      <c r="M395" s="253" t="str">
        <f t="shared" si="3"/>
        <v/>
      </c>
      <c r="N395" s="319" t="str">
        <f>IFERROR(__xludf.DUMMYFUNCTION("""COMPUTED_VALUE"""),"")</f>
        <v/>
      </c>
      <c r="O395" s="257" t="str">
        <f>IFERROR(__xludf.DUMMYFUNCTION("""COMPUTED_VALUE"""),"")</f>
        <v/>
      </c>
      <c r="P395" s="247" t="str">
        <f t="shared" si="4"/>
        <v/>
      </c>
      <c r="Q395" s="320" t="str">
        <f>IFERROR(__xludf.DUMMYFUNCTION("""COMPUTED_VALUE"""),"")</f>
        <v/>
      </c>
      <c r="R395" s="259" t="str">
        <f>IFERROR(__xludf.DUMMYFUNCTION("""COMPUTED_VALUE"""),"")</f>
        <v/>
      </c>
      <c r="S395" s="250" t="str">
        <f t="shared" si="5"/>
        <v/>
      </c>
      <c r="T395" s="254" t="str">
        <f>IFERROR(__xludf.DUMMYFUNCTION("""COMPUTED_VALUE"""),"")</f>
        <v/>
      </c>
      <c r="U395" s="246" t="str">
        <f>IFERROR(__xludf.DUMMYFUNCTION("""COMPUTED_VALUE"""),"")</f>
        <v/>
      </c>
      <c r="V395" s="247" t="str">
        <f t="shared" si="6"/>
        <v/>
      </c>
      <c r="W395" s="255" t="str">
        <f>IFERROR(__xludf.DUMMYFUNCTION("""COMPUTED_VALUE"""),"")</f>
        <v/>
      </c>
      <c r="X395" s="249" t="str">
        <f>IFERROR(__xludf.DUMMYFUNCTION("""COMPUTED_VALUE"""),"")</f>
        <v/>
      </c>
      <c r="Y395" s="250" t="str">
        <f t="shared" si="7"/>
        <v/>
      </c>
    </row>
    <row r="396">
      <c r="A396" s="136" t="s">
        <v>133</v>
      </c>
      <c r="B396" s="136"/>
      <c r="C396" s="136" t="s">
        <v>133</v>
      </c>
      <c r="D396" s="136" t="s">
        <v>133</v>
      </c>
      <c r="E396" s="256" t="str">
        <f>IFERROR(__xludf.DUMMYFUNCTION("""COMPUTED_VALUE"""),"")</f>
        <v/>
      </c>
      <c r="F396" s="257" t="str">
        <f>IFERROR(__xludf.DUMMYFUNCTION("""COMPUTED_VALUE"""),"")</f>
        <v/>
      </c>
      <c r="G396" s="247" t="str">
        <f t="shared" si="1"/>
        <v/>
      </c>
      <c r="H396" s="258" t="str">
        <f>IFERROR(__xludf.DUMMYFUNCTION("""COMPUTED_VALUE"""),"")</f>
        <v/>
      </c>
      <c r="I396" s="259" t="str">
        <f>IFERROR(__xludf.DUMMYFUNCTION("""COMPUTED_VALUE"""),"")</f>
        <v/>
      </c>
      <c r="J396" s="250" t="str">
        <f t="shared" si="2"/>
        <v/>
      </c>
      <c r="K396" s="317" t="str">
        <f>IFERROR(__xludf.DUMMYFUNCTION("""COMPUTED_VALUE"""),"")</f>
        <v/>
      </c>
      <c r="L396" s="318" t="str">
        <f>IFERROR(__xludf.DUMMYFUNCTION("""COMPUTED_VALUE"""),"")</f>
        <v/>
      </c>
      <c r="M396" s="253" t="str">
        <f t="shared" si="3"/>
        <v/>
      </c>
      <c r="N396" s="319" t="str">
        <f>IFERROR(__xludf.DUMMYFUNCTION("""COMPUTED_VALUE"""),"")</f>
        <v/>
      </c>
      <c r="O396" s="257" t="str">
        <f>IFERROR(__xludf.DUMMYFUNCTION("""COMPUTED_VALUE"""),"")</f>
        <v/>
      </c>
      <c r="P396" s="247" t="str">
        <f t="shared" si="4"/>
        <v/>
      </c>
      <c r="Q396" s="320" t="str">
        <f>IFERROR(__xludf.DUMMYFUNCTION("""COMPUTED_VALUE"""),"")</f>
        <v/>
      </c>
      <c r="R396" s="259" t="str">
        <f>IFERROR(__xludf.DUMMYFUNCTION("""COMPUTED_VALUE"""),"")</f>
        <v/>
      </c>
      <c r="S396" s="250" t="str">
        <f t="shared" si="5"/>
        <v/>
      </c>
      <c r="T396" s="254" t="str">
        <f>IFERROR(__xludf.DUMMYFUNCTION("""COMPUTED_VALUE"""),"")</f>
        <v/>
      </c>
      <c r="U396" s="246" t="str">
        <f>IFERROR(__xludf.DUMMYFUNCTION("""COMPUTED_VALUE"""),"")</f>
        <v/>
      </c>
      <c r="V396" s="247" t="str">
        <f t="shared" si="6"/>
        <v/>
      </c>
      <c r="W396" s="255" t="str">
        <f>IFERROR(__xludf.DUMMYFUNCTION("""COMPUTED_VALUE"""),"")</f>
        <v/>
      </c>
      <c r="X396" s="249" t="str">
        <f>IFERROR(__xludf.DUMMYFUNCTION("""COMPUTED_VALUE"""),"")</f>
        <v/>
      </c>
      <c r="Y396" s="250" t="str">
        <f t="shared" si="7"/>
        <v/>
      </c>
    </row>
    <row r="397">
      <c r="A397" s="136" t="s">
        <v>133</v>
      </c>
      <c r="B397" s="136"/>
      <c r="C397" s="136" t="s">
        <v>133</v>
      </c>
      <c r="D397" s="136" t="s">
        <v>133</v>
      </c>
      <c r="E397" s="256" t="str">
        <f>IFERROR(__xludf.DUMMYFUNCTION("""COMPUTED_VALUE"""),"")</f>
        <v/>
      </c>
      <c r="F397" s="257" t="str">
        <f>IFERROR(__xludf.DUMMYFUNCTION("""COMPUTED_VALUE"""),"")</f>
        <v/>
      </c>
      <c r="G397" s="247" t="str">
        <f t="shared" si="1"/>
        <v/>
      </c>
      <c r="H397" s="258" t="str">
        <f>IFERROR(__xludf.DUMMYFUNCTION("""COMPUTED_VALUE"""),"")</f>
        <v/>
      </c>
      <c r="I397" s="259" t="str">
        <f>IFERROR(__xludf.DUMMYFUNCTION("""COMPUTED_VALUE"""),"")</f>
        <v/>
      </c>
      <c r="J397" s="250" t="str">
        <f t="shared" si="2"/>
        <v/>
      </c>
      <c r="K397" s="317" t="str">
        <f>IFERROR(__xludf.DUMMYFUNCTION("""COMPUTED_VALUE"""),"")</f>
        <v/>
      </c>
      <c r="L397" s="318" t="str">
        <f>IFERROR(__xludf.DUMMYFUNCTION("""COMPUTED_VALUE"""),"")</f>
        <v/>
      </c>
      <c r="M397" s="253" t="str">
        <f t="shared" si="3"/>
        <v/>
      </c>
      <c r="N397" s="319" t="str">
        <f>IFERROR(__xludf.DUMMYFUNCTION("""COMPUTED_VALUE"""),"")</f>
        <v/>
      </c>
      <c r="O397" s="257" t="str">
        <f>IFERROR(__xludf.DUMMYFUNCTION("""COMPUTED_VALUE"""),"")</f>
        <v/>
      </c>
      <c r="P397" s="247" t="str">
        <f t="shared" si="4"/>
        <v/>
      </c>
      <c r="Q397" s="320" t="str">
        <f>IFERROR(__xludf.DUMMYFUNCTION("""COMPUTED_VALUE"""),"")</f>
        <v/>
      </c>
      <c r="R397" s="259" t="str">
        <f>IFERROR(__xludf.DUMMYFUNCTION("""COMPUTED_VALUE"""),"")</f>
        <v/>
      </c>
      <c r="S397" s="250" t="str">
        <f t="shared" si="5"/>
        <v/>
      </c>
      <c r="T397" s="254" t="str">
        <f>IFERROR(__xludf.DUMMYFUNCTION("""COMPUTED_VALUE"""),"")</f>
        <v/>
      </c>
      <c r="U397" s="246" t="str">
        <f>IFERROR(__xludf.DUMMYFUNCTION("""COMPUTED_VALUE"""),"")</f>
        <v/>
      </c>
      <c r="V397" s="247" t="str">
        <f t="shared" si="6"/>
        <v/>
      </c>
      <c r="W397" s="255" t="str">
        <f>IFERROR(__xludf.DUMMYFUNCTION("""COMPUTED_VALUE"""),"")</f>
        <v/>
      </c>
      <c r="X397" s="249" t="str">
        <f>IFERROR(__xludf.DUMMYFUNCTION("""COMPUTED_VALUE"""),"")</f>
        <v/>
      </c>
      <c r="Y397" s="250" t="str">
        <f t="shared" si="7"/>
        <v/>
      </c>
    </row>
    <row r="398">
      <c r="A398" s="136" t="s">
        <v>133</v>
      </c>
      <c r="B398" s="136"/>
      <c r="C398" s="136" t="s">
        <v>133</v>
      </c>
      <c r="D398" s="136" t="s">
        <v>133</v>
      </c>
      <c r="E398" s="256" t="str">
        <f>IFERROR(__xludf.DUMMYFUNCTION("""COMPUTED_VALUE"""),"")</f>
        <v/>
      </c>
      <c r="F398" s="257" t="str">
        <f>IFERROR(__xludf.DUMMYFUNCTION("""COMPUTED_VALUE"""),"")</f>
        <v/>
      </c>
      <c r="G398" s="247" t="str">
        <f t="shared" si="1"/>
        <v/>
      </c>
      <c r="H398" s="258" t="str">
        <f>IFERROR(__xludf.DUMMYFUNCTION("""COMPUTED_VALUE"""),"")</f>
        <v/>
      </c>
      <c r="I398" s="259" t="str">
        <f>IFERROR(__xludf.DUMMYFUNCTION("""COMPUTED_VALUE"""),"")</f>
        <v/>
      </c>
      <c r="J398" s="250" t="str">
        <f t="shared" si="2"/>
        <v/>
      </c>
      <c r="K398" s="317" t="str">
        <f>IFERROR(__xludf.DUMMYFUNCTION("""COMPUTED_VALUE"""),"")</f>
        <v/>
      </c>
      <c r="L398" s="318" t="str">
        <f>IFERROR(__xludf.DUMMYFUNCTION("""COMPUTED_VALUE"""),"")</f>
        <v/>
      </c>
      <c r="M398" s="253" t="str">
        <f t="shared" si="3"/>
        <v/>
      </c>
      <c r="N398" s="319" t="str">
        <f>IFERROR(__xludf.DUMMYFUNCTION("""COMPUTED_VALUE"""),"")</f>
        <v/>
      </c>
      <c r="O398" s="257" t="str">
        <f>IFERROR(__xludf.DUMMYFUNCTION("""COMPUTED_VALUE"""),"")</f>
        <v/>
      </c>
      <c r="P398" s="247" t="str">
        <f t="shared" si="4"/>
        <v/>
      </c>
      <c r="Q398" s="320" t="str">
        <f>IFERROR(__xludf.DUMMYFUNCTION("""COMPUTED_VALUE"""),"")</f>
        <v/>
      </c>
      <c r="R398" s="259" t="str">
        <f>IFERROR(__xludf.DUMMYFUNCTION("""COMPUTED_VALUE"""),"")</f>
        <v/>
      </c>
      <c r="S398" s="250" t="str">
        <f t="shared" si="5"/>
        <v/>
      </c>
      <c r="T398" s="254" t="str">
        <f>IFERROR(__xludf.DUMMYFUNCTION("""COMPUTED_VALUE"""),"")</f>
        <v/>
      </c>
      <c r="U398" s="246" t="str">
        <f>IFERROR(__xludf.DUMMYFUNCTION("""COMPUTED_VALUE"""),"")</f>
        <v/>
      </c>
      <c r="V398" s="247" t="str">
        <f t="shared" si="6"/>
        <v/>
      </c>
      <c r="W398" s="255" t="str">
        <f>IFERROR(__xludf.DUMMYFUNCTION("""COMPUTED_VALUE"""),"")</f>
        <v/>
      </c>
      <c r="X398" s="249" t="str">
        <f>IFERROR(__xludf.DUMMYFUNCTION("""COMPUTED_VALUE"""),"")</f>
        <v/>
      </c>
      <c r="Y398" s="250" t="str">
        <f t="shared" si="7"/>
        <v/>
      </c>
    </row>
    <row r="399">
      <c r="A399" s="136" t="s">
        <v>133</v>
      </c>
      <c r="B399" s="136"/>
      <c r="C399" s="136" t="s">
        <v>133</v>
      </c>
      <c r="D399" s="136" t="s">
        <v>133</v>
      </c>
      <c r="E399" s="256" t="str">
        <f>IFERROR(__xludf.DUMMYFUNCTION("""COMPUTED_VALUE"""),"")</f>
        <v/>
      </c>
      <c r="F399" s="257" t="str">
        <f>IFERROR(__xludf.DUMMYFUNCTION("""COMPUTED_VALUE"""),"")</f>
        <v/>
      </c>
      <c r="G399" s="247" t="str">
        <f t="shared" si="1"/>
        <v/>
      </c>
      <c r="H399" s="258" t="str">
        <f>IFERROR(__xludf.DUMMYFUNCTION("""COMPUTED_VALUE"""),"")</f>
        <v/>
      </c>
      <c r="I399" s="259" t="str">
        <f>IFERROR(__xludf.DUMMYFUNCTION("""COMPUTED_VALUE"""),"")</f>
        <v/>
      </c>
      <c r="J399" s="250" t="str">
        <f t="shared" si="2"/>
        <v/>
      </c>
      <c r="K399" s="317" t="str">
        <f>IFERROR(__xludf.DUMMYFUNCTION("""COMPUTED_VALUE"""),"")</f>
        <v/>
      </c>
      <c r="L399" s="318" t="str">
        <f>IFERROR(__xludf.DUMMYFUNCTION("""COMPUTED_VALUE"""),"")</f>
        <v/>
      </c>
      <c r="M399" s="253" t="str">
        <f t="shared" si="3"/>
        <v/>
      </c>
      <c r="N399" s="319" t="str">
        <f>IFERROR(__xludf.DUMMYFUNCTION("""COMPUTED_VALUE"""),"")</f>
        <v/>
      </c>
      <c r="O399" s="257" t="str">
        <f>IFERROR(__xludf.DUMMYFUNCTION("""COMPUTED_VALUE"""),"")</f>
        <v/>
      </c>
      <c r="P399" s="247" t="str">
        <f t="shared" si="4"/>
        <v/>
      </c>
      <c r="Q399" s="320" t="str">
        <f>IFERROR(__xludf.DUMMYFUNCTION("""COMPUTED_VALUE"""),"")</f>
        <v/>
      </c>
      <c r="R399" s="259" t="str">
        <f>IFERROR(__xludf.DUMMYFUNCTION("""COMPUTED_VALUE"""),"")</f>
        <v/>
      </c>
      <c r="S399" s="250" t="str">
        <f t="shared" si="5"/>
        <v/>
      </c>
      <c r="T399" s="254" t="str">
        <f>IFERROR(__xludf.DUMMYFUNCTION("""COMPUTED_VALUE"""),"")</f>
        <v/>
      </c>
      <c r="U399" s="246" t="str">
        <f>IFERROR(__xludf.DUMMYFUNCTION("""COMPUTED_VALUE"""),"")</f>
        <v/>
      </c>
      <c r="V399" s="247" t="str">
        <f t="shared" si="6"/>
        <v/>
      </c>
      <c r="W399" s="255" t="str">
        <f>IFERROR(__xludf.DUMMYFUNCTION("""COMPUTED_VALUE"""),"")</f>
        <v/>
      </c>
      <c r="X399" s="249" t="str">
        <f>IFERROR(__xludf.DUMMYFUNCTION("""COMPUTED_VALUE"""),"")</f>
        <v/>
      </c>
      <c r="Y399" s="250" t="str">
        <f t="shared" si="7"/>
        <v/>
      </c>
    </row>
    <row r="400">
      <c r="A400" s="136" t="s">
        <v>133</v>
      </c>
      <c r="B400" s="136"/>
      <c r="C400" s="136" t="s">
        <v>133</v>
      </c>
      <c r="D400" s="136" t="s">
        <v>133</v>
      </c>
      <c r="E400" s="256" t="str">
        <f>IFERROR(__xludf.DUMMYFUNCTION("""COMPUTED_VALUE"""),"")</f>
        <v/>
      </c>
      <c r="F400" s="257" t="str">
        <f>IFERROR(__xludf.DUMMYFUNCTION("""COMPUTED_VALUE"""),"")</f>
        <v/>
      </c>
      <c r="G400" s="247" t="str">
        <f t="shared" si="1"/>
        <v/>
      </c>
      <c r="H400" s="258" t="str">
        <f>IFERROR(__xludf.DUMMYFUNCTION("""COMPUTED_VALUE"""),"")</f>
        <v/>
      </c>
      <c r="I400" s="259" t="str">
        <f>IFERROR(__xludf.DUMMYFUNCTION("""COMPUTED_VALUE"""),"")</f>
        <v/>
      </c>
      <c r="J400" s="250" t="str">
        <f t="shared" si="2"/>
        <v/>
      </c>
      <c r="K400" s="317" t="str">
        <f>IFERROR(__xludf.DUMMYFUNCTION("""COMPUTED_VALUE"""),"")</f>
        <v/>
      </c>
      <c r="L400" s="318" t="str">
        <f>IFERROR(__xludf.DUMMYFUNCTION("""COMPUTED_VALUE"""),"")</f>
        <v/>
      </c>
      <c r="M400" s="253" t="str">
        <f t="shared" si="3"/>
        <v/>
      </c>
      <c r="N400" s="319" t="str">
        <f>IFERROR(__xludf.DUMMYFUNCTION("""COMPUTED_VALUE"""),"")</f>
        <v/>
      </c>
      <c r="O400" s="257" t="str">
        <f>IFERROR(__xludf.DUMMYFUNCTION("""COMPUTED_VALUE"""),"")</f>
        <v/>
      </c>
      <c r="P400" s="247" t="str">
        <f t="shared" si="4"/>
        <v/>
      </c>
      <c r="Q400" s="320" t="str">
        <f>IFERROR(__xludf.DUMMYFUNCTION("""COMPUTED_VALUE"""),"")</f>
        <v/>
      </c>
      <c r="R400" s="259" t="str">
        <f>IFERROR(__xludf.DUMMYFUNCTION("""COMPUTED_VALUE"""),"")</f>
        <v/>
      </c>
      <c r="S400" s="250" t="str">
        <f t="shared" si="5"/>
        <v/>
      </c>
      <c r="T400" s="254" t="str">
        <f>IFERROR(__xludf.DUMMYFUNCTION("""COMPUTED_VALUE"""),"")</f>
        <v/>
      </c>
      <c r="U400" s="246" t="str">
        <f>IFERROR(__xludf.DUMMYFUNCTION("""COMPUTED_VALUE"""),"")</f>
        <v/>
      </c>
      <c r="V400" s="247" t="str">
        <f t="shared" si="6"/>
        <v/>
      </c>
      <c r="W400" s="255" t="str">
        <f>IFERROR(__xludf.DUMMYFUNCTION("""COMPUTED_VALUE"""),"")</f>
        <v/>
      </c>
      <c r="X400" s="249" t="str">
        <f>IFERROR(__xludf.DUMMYFUNCTION("""COMPUTED_VALUE"""),"")</f>
        <v/>
      </c>
      <c r="Y400" s="250" t="str">
        <f t="shared" si="7"/>
        <v/>
      </c>
    </row>
    <row r="401">
      <c r="A401" s="136" t="s">
        <v>133</v>
      </c>
      <c r="B401" s="136"/>
      <c r="C401" s="136" t="s">
        <v>133</v>
      </c>
      <c r="D401" s="136" t="s">
        <v>133</v>
      </c>
      <c r="E401" s="256" t="str">
        <f>IFERROR(__xludf.DUMMYFUNCTION("""COMPUTED_VALUE"""),"")</f>
        <v/>
      </c>
      <c r="F401" s="257" t="str">
        <f>IFERROR(__xludf.DUMMYFUNCTION("""COMPUTED_VALUE"""),"")</f>
        <v/>
      </c>
      <c r="G401" s="247" t="str">
        <f t="shared" si="1"/>
        <v/>
      </c>
      <c r="H401" s="258" t="str">
        <f>IFERROR(__xludf.DUMMYFUNCTION("""COMPUTED_VALUE"""),"")</f>
        <v/>
      </c>
      <c r="I401" s="259" t="str">
        <f>IFERROR(__xludf.DUMMYFUNCTION("""COMPUTED_VALUE"""),"")</f>
        <v/>
      </c>
      <c r="J401" s="250" t="str">
        <f t="shared" si="2"/>
        <v/>
      </c>
      <c r="K401" s="317" t="str">
        <f>IFERROR(__xludf.DUMMYFUNCTION("""COMPUTED_VALUE"""),"")</f>
        <v/>
      </c>
      <c r="L401" s="318" t="str">
        <f>IFERROR(__xludf.DUMMYFUNCTION("""COMPUTED_VALUE"""),"")</f>
        <v/>
      </c>
      <c r="M401" s="253" t="str">
        <f t="shared" si="3"/>
        <v/>
      </c>
      <c r="N401" s="319" t="str">
        <f>IFERROR(__xludf.DUMMYFUNCTION("""COMPUTED_VALUE"""),"")</f>
        <v/>
      </c>
      <c r="O401" s="257" t="str">
        <f>IFERROR(__xludf.DUMMYFUNCTION("""COMPUTED_VALUE"""),"")</f>
        <v/>
      </c>
      <c r="P401" s="247" t="str">
        <f t="shared" si="4"/>
        <v/>
      </c>
      <c r="Q401" s="320" t="str">
        <f>IFERROR(__xludf.DUMMYFUNCTION("""COMPUTED_VALUE"""),"")</f>
        <v/>
      </c>
      <c r="R401" s="259" t="str">
        <f>IFERROR(__xludf.DUMMYFUNCTION("""COMPUTED_VALUE"""),"")</f>
        <v/>
      </c>
      <c r="S401" s="250" t="str">
        <f t="shared" si="5"/>
        <v/>
      </c>
      <c r="T401" s="254" t="str">
        <f>IFERROR(__xludf.DUMMYFUNCTION("""COMPUTED_VALUE"""),"")</f>
        <v/>
      </c>
      <c r="U401" s="246" t="str">
        <f>IFERROR(__xludf.DUMMYFUNCTION("""COMPUTED_VALUE"""),"")</f>
        <v/>
      </c>
      <c r="V401" s="247" t="str">
        <f t="shared" si="6"/>
        <v/>
      </c>
      <c r="W401" s="255" t="str">
        <f>IFERROR(__xludf.DUMMYFUNCTION("""COMPUTED_VALUE"""),"")</f>
        <v/>
      </c>
      <c r="X401" s="249" t="str">
        <f>IFERROR(__xludf.DUMMYFUNCTION("""COMPUTED_VALUE"""),"")</f>
        <v/>
      </c>
      <c r="Y401" s="250" t="str">
        <f t="shared" si="7"/>
        <v/>
      </c>
    </row>
    <row r="402">
      <c r="A402" s="136" t="s">
        <v>133</v>
      </c>
      <c r="B402" s="136"/>
      <c r="C402" s="136" t="s">
        <v>133</v>
      </c>
      <c r="D402" s="136" t="s">
        <v>133</v>
      </c>
      <c r="E402" s="256" t="str">
        <f>IFERROR(__xludf.DUMMYFUNCTION("""COMPUTED_VALUE"""),"")</f>
        <v/>
      </c>
      <c r="F402" s="257" t="str">
        <f>IFERROR(__xludf.DUMMYFUNCTION("""COMPUTED_VALUE"""),"")</f>
        <v/>
      </c>
      <c r="G402" s="247" t="str">
        <f t="shared" si="1"/>
        <v/>
      </c>
      <c r="H402" s="258" t="str">
        <f>IFERROR(__xludf.DUMMYFUNCTION("""COMPUTED_VALUE"""),"")</f>
        <v/>
      </c>
      <c r="I402" s="259" t="str">
        <f>IFERROR(__xludf.DUMMYFUNCTION("""COMPUTED_VALUE"""),"")</f>
        <v/>
      </c>
      <c r="J402" s="250" t="str">
        <f t="shared" si="2"/>
        <v/>
      </c>
      <c r="K402" s="317" t="str">
        <f>IFERROR(__xludf.DUMMYFUNCTION("""COMPUTED_VALUE"""),"")</f>
        <v/>
      </c>
      <c r="L402" s="318" t="str">
        <f>IFERROR(__xludf.DUMMYFUNCTION("""COMPUTED_VALUE"""),"")</f>
        <v/>
      </c>
      <c r="M402" s="253" t="str">
        <f t="shared" si="3"/>
        <v/>
      </c>
      <c r="N402" s="319" t="str">
        <f>IFERROR(__xludf.DUMMYFUNCTION("""COMPUTED_VALUE"""),"")</f>
        <v/>
      </c>
      <c r="O402" s="257" t="str">
        <f>IFERROR(__xludf.DUMMYFUNCTION("""COMPUTED_VALUE"""),"")</f>
        <v/>
      </c>
      <c r="P402" s="247" t="str">
        <f t="shared" si="4"/>
        <v/>
      </c>
      <c r="Q402" s="320" t="str">
        <f>IFERROR(__xludf.DUMMYFUNCTION("""COMPUTED_VALUE"""),"")</f>
        <v/>
      </c>
      <c r="R402" s="259" t="str">
        <f>IFERROR(__xludf.DUMMYFUNCTION("""COMPUTED_VALUE"""),"")</f>
        <v/>
      </c>
      <c r="S402" s="250" t="str">
        <f t="shared" si="5"/>
        <v/>
      </c>
      <c r="T402" s="254" t="str">
        <f>IFERROR(__xludf.DUMMYFUNCTION("""COMPUTED_VALUE"""),"")</f>
        <v/>
      </c>
      <c r="U402" s="246" t="str">
        <f>IFERROR(__xludf.DUMMYFUNCTION("""COMPUTED_VALUE"""),"")</f>
        <v/>
      </c>
      <c r="V402" s="247" t="str">
        <f t="shared" si="6"/>
        <v/>
      </c>
      <c r="W402" s="255" t="str">
        <f>IFERROR(__xludf.DUMMYFUNCTION("""COMPUTED_VALUE"""),"")</f>
        <v/>
      </c>
      <c r="X402" s="249" t="str">
        <f>IFERROR(__xludf.DUMMYFUNCTION("""COMPUTED_VALUE"""),"")</f>
        <v/>
      </c>
      <c r="Y402" s="250" t="str">
        <f t="shared" si="7"/>
        <v/>
      </c>
    </row>
    <row r="403">
      <c r="A403" s="136" t="s">
        <v>133</v>
      </c>
      <c r="B403" s="136"/>
      <c r="C403" s="136" t="s">
        <v>133</v>
      </c>
      <c r="D403" s="136" t="s">
        <v>133</v>
      </c>
      <c r="E403" s="256" t="str">
        <f>IFERROR(__xludf.DUMMYFUNCTION("""COMPUTED_VALUE"""),"")</f>
        <v/>
      </c>
      <c r="F403" s="257" t="str">
        <f>IFERROR(__xludf.DUMMYFUNCTION("""COMPUTED_VALUE"""),"")</f>
        <v/>
      </c>
      <c r="G403" s="247" t="str">
        <f t="shared" si="1"/>
        <v/>
      </c>
      <c r="H403" s="258" t="str">
        <f>IFERROR(__xludf.DUMMYFUNCTION("""COMPUTED_VALUE"""),"")</f>
        <v/>
      </c>
      <c r="I403" s="259" t="str">
        <f>IFERROR(__xludf.DUMMYFUNCTION("""COMPUTED_VALUE"""),"")</f>
        <v/>
      </c>
      <c r="J403" s="250" t="str">
        <f t="shared" si="2"/>
        <v/>
      </c>
      <c r="K403" s="317" t="str">
        <f>IFERROR(__xludf.DUMMYFUNCTION("""COMPUTED_VALUE"""),"")</f>
        <v/>
      </c>
      <c r="L403" s="318" t="str">
        <f>IFERROR(__xludf.DUMMYFUNCTION("""COMPUTED_VALUE"""),"")</f>
        <v/>
      </c>
      <c r="M403" s="253" t="str">
        <f t="shared" si="3"/>
        <v/>
      </c>
      <c r="N403" s="319" t="str">
        <f>IFERROR(__xludf.DUMMYFUNCTION("""COMPUTED_VALUE"""),"")</f>
        <v/>
      </c>
      <c r="O403" s="257" t="str">
        <f>IFERROR(__xludf.DUMMYFUNCTION("""COMPUTED_VALUE"""),"")</f>
        <v/>
      </c>
      <c r="P403" s="247" t="str">
        <f t="shared" si="4"/>
        <v/>
      </c>
      <c r="Q403" s="320" t="str">
        <f>IFERROR(__xludf.DUMMYFUNCTION("""COMPUTED_VALUE"""),"")</f>
        <v/>
      </c>
      <c r="R403" s="259" t="str">
        <f>IFERROR(__xludf.DUMMYFUNCTION("""COMPUTED_VALUE"""),"")</f>
        <v/>
      </c>
      <c r="S403" s="250" t="str">
        <f t="shared" si="5"/>
        <v/>
      </c>
      <c r="T403" s="254" t="str">
        <f>IFERROR(__xludf.DUMMYFUNCTION("""COMPUTED_VALUE"""),"")</f>
        <v/>
      </c>
      <c r="U403" s="246" t="str">
        <f>IFERROR(__xludf.DUMMYFUNCTION("""COMPUTED_VALUE"""),"")</f>
        <v/>
      </c>
      <c r="V403" s="247" t="str">
        <f t="shared" si="6"/>
        <v/>
      </c>
      <c r="W403" s="255" t="str">
        <f>IFERROR(__xludf.DUMMYFUNCTION("""COMPUTED_VALUE"""),"")</f>
        <v/>
      </c>
      <c r="X403" s="249" t="str">
        <f>IFERROR(__xludf.DUMMYFUNCTION("""COMPUTED_VALUE"""),"")</f>
        <v/>
      </c>
      <c r="Y403" s="250" t="str">
        <f t="shared" si="7"/>
        <v/>
      </c>
    </row>
    <row r="404">
      <c r="A404" s="136" t="s">
        <v>133</v>
      </c>
      <c r="B404" s="136"/>
      <c r="C404" s="136" t="s">
        <v>133</v>
      </c>
      <c r="D404" s="136" t="s">
        <v>133</v>
      </c>
      <c r="E404" s="256" t="str">
        <f>IFERROR(__xludf.DUMMYFUNCTION("""COMPUTED_VALUE"""),"")</f>
        <v/>
      </c>
      <c r="F404" s="257" t="str">
        <f>IFERROR(__xludf.DUMMYFUNCTION("""COMPUTED_VALUE"""),"")</f>
        <v/>
      </c>
      <c r="G404" s="247" t="str">
        <f t="shared" si="1"/>
        <v/>
      </c>
      <c r="H404" s="258" t="str">
        <f>IFERROR(__xludf.DUMMYFUNCTION("""COMPUTED_VALUE"""),"")</f>
        <v/>
      </c>
      <c r="I404" s="259" t="str">
        <f>IFERROR(__xludf.DUMMYFUNCTION("""COMPUTED_VALUE"""),"")</f>
        <v/>
      </c>
      <c r="J404" s="250" t="str">
        <f t="shared" si="2"/>
        <v/>
      </c>
      <c r="K404" s="317" t="str">
        <f>IFERROR(__xludf.DUMMYFUNCTION("""COMPUTED_VALUE"""),"")</f>
        <v/>
      </c>
      <c r="L404" s="318" t="str">
        <f>IFERROR(__xludf.DUMMYFUNCTION("""COMPUTED_VALUE"""),"")</f>
        <v/>
      </c>
      <c r="M404" s="253" t="str">
        <f t="shared" si="3"/>
        <v/>
      </c>
      <c r="N404" s="319" t="str">
        <f>IFERROR(__xludf.DUMMYFUNCTION("""COMPUTED_VALUE"""),"")</f>
        <v/>
      </c>
      <c r="O404" s="257" t="str">
        <f>IFERROR(__xludf.DUMMYFUNCTION("""COMPUTED_VALUE"""),"")</f>
        <v/>
      </c>
      <c r="P404" s="247" t="str">
        <f t="shared" si="4"/>
        <v/>
      </c>
      <c r="Q404" s="320" t="str">
        <f>IFERROR(__xludf.DUMMYFUNCTION("""COMPUTED_VALUE"""),"")</f>
        <v/>
      </c>
      <c r="R404" s="259" t="str">
        <f>IFERROR(__xludf.DUMMYFUNCTION("""COMPUTED_VALUE"""),"")</f>
        <v/>
      </c>
      <c r="S404" s="250" t="str">
        <f t="shared" si="5"/>
        <v/>
      </c>
      <c r="T404" s="254" t="str">
        <f>IFERROR(__xludf.DUMMYFUNCTION("""COMPUTED_VALUE"""),"")</f>
        <v/>
      </c>
      <c r="U404" s="246" t="str">
        <f>IFERROR(__xludf.DUMMYFUNCTION("""COMPUTED_VALUE"""),"")</f>
        <v/>
      </c>
      <c r="V404" s="247" t="str">
        <f t="shared" si="6"/>
        <v/>
      </c>
      <c r="W404" s="255" t="str">
        <f>IFERROR(__xludf.DUMMYFUNCTION("""COMPUTED_VALUE"""),"")</f>
        <v/>
      </c>
      <c r="X404" s="249" t="str">
        <f>IFERROR(__xludf.DUMMYFUNCTION("""COMPUTED_VALUE"""),"")</f>
        <v/>
      </c>
      <c r="Y404" s="250" t="str">
        <f t="shared" si="7"/>
        <v/>
      </c>
    </row>
    <row r="405">
      <c r="A405" s="136" t="s">
        <v>133</v>
      </c>
      <c r="B405" s="136"/>
      <c r="C405" s="136" t="s">
        <v>133</v>
      </c>
      <c r="D405" s="136" t="s">
        <v>133</v>
      </c>
      <c r="E405" s="256" t="str">
        <f>IFERROR(__xludf.DUMMYFUNCTION("""COMPUTED_VALUE"""),"")</f>
        <v/>
      </c>
      <c r="F405" s="257" t="str">
        <f>IFERROR(__xludf.DUMMYFUNCTION("""COMPUTED_VALUE"""),"")</f>
        <v/>
      </c>
      <c r="G405" s="247" t="str">
        <f t="shared" si="1"/>
        <v/>
      </c>
      <c r="H405" s="258" t="str">
        <f>IFERROR(__xludf.DUMMYFUNCTION("""COMPUTED_VALUE"""),"")</f>
        <v/>
      </c>
      <c r="I405" s="259" t="str">
        <f>IFERROR(__xludf.DUMMYFUNCTION("""COMPUTED_VALUE"""),"")</f>
        <v/>
      </c>
      <c r="J405" s="250" t="str">
        <f t="shared" si="2"/>
        <v/>
      </c>
      <c r="K405" s="317" t="str">
        <f>IFERROR(__xludf.DUMMYFUNCTION("""COMPUTED_VALUE"""),"")</f>
        <v/>
      </c>
      <c r="L405" s="318" t="str">
        <f>IFERROR(__xludf.DUMMYFUNCTION("""COMPUTED_VALUE"""),"")</f>
        <v/>
      </c>
      <c r="M405" s="253" t="str">
        <f t="shared" si="3"/>
        <v/>
      </c>
      <c r="N405" s="319" t="str">
        <f>IFERROR(__xludf.DUMMYFUNCTION("""COMPUTED_VALUE"""),"")</f>
        <v/>
      </c>
      <c r="O405" s="257" t="str">
        <f>IFERROR(__xludf.DUMMYFUNCTION("""COMPUTED_VALUE"""),"")</f>
        <v/>
      </c>
      <c r="P405" s="247" t="str">
        <f t="shared" si="4"/>
        <v/>
      </c>
      <c r="Q405" s="320" t="str">
        <f>IFERROR(__xludf.DUMMYFUNCTION("""COMPUTED_VALUE"""),"")</f>
        <v/>
      </c>
      <c r="R405" s="259" t="str">
        <f>IFERROR(__xludf.DUMMYFUNCTION("""COMPUTED_VALUE"""),"")</f>
        <v/>
      </c>
      <c r="S405" s="250" t="str">
        <f t="shared" si="5"/>
        <v/>
      </c>
      <c r="T405" s="254" t="str">
        <f>IFERROR(__xludf.DUMMYFUNCTION("""COMPUTED_VALUE"""),"")</f>
        <v/>
      </c>
      <c r="U405" s="246" t="str">
        <f>IFERROR(__xludf.DUMMYFUNCTION("""COMPUTED_VALUE"""),"")</f>
        <v/>
      </c>
      <c r="V405" s="247" t="str">
        <f t="shared" si="6"/>
        <v/>
      </c>
      <c r="W405" s="255" t="str">
        <f>IFERROR(__xludf.DUMMYFUNCTION("""COMPUTED_VALUE"""),"")</f>
        <v/>
      </c>
      <c r="X405" s="249" t="str">
        <f>IFERROR(__xludf.DUMMYFUNCTION("""COMPUTED_VALUE"""),"")</f>
        <v/>
      </c>
      <c r="Y405" s="250" t="str">
        <f t="shared" si="7"/>
        <v/>
      </c>
    </row>
    <row r="406">
      <c r="A406" s="136" t="s">
        <v>133</v>
      </c>
      <c r="B406" s="136"/>
      <c r="C406" s="136" t="s">
        <v>133</v>
      </c>
      <c r="D406" s="136" t="s">
        <v>133</v>
      </c>
      <c r="E406" s="256" t="str">
        <f>IFERROR(__xludf.DUMMYFUNCTION("""COMPUTED_VALUE"""),"")</f>
        <v/>
      </c>
      <c r="F406" s="257" t="str">
        <f>IFERROR(__xludf.DUMMYFUNCTION("""COMPUTED_VALUE"""),"")</f>
        <v/>
      </c>
      <c r="G406" s="247" t="str">
        <f t="shared" si="1"/>
        <v/>
      </c>
      <c r="H406" s="258" t="str">
        <f>IFERROR(__xludf.DUMMYFUNCTION("""COMPUTED_VALUE"""),"")</f>
        <v/>
      </c>
      <c r="I406" s="259" t="str">
        <f>IFERROR(__xludf.DUMMYFUNCTION("""COMPUTED_VALUE"""),"")</f>
        <v/>
      </c>
      <c r="J406" s="250" t="str">
        <f t="shared" si="2"/>
        <v/>
      </c>
      <c r="K406" s="317" t="str">
        <f>IFERROR(__xludf.DUMMYFUNCTION("""COMPUTED_VALUE"""),"")</f>
        <v/>
      </c>
      <c r="L406" s="318" t="str">
        <f>IFERROR(__xludf.DUMMYFUNCTION("""COMPUTED_VALUE"""),"")</f>
        <v/>
      </c>
      <c r="M406" s="253" t="str">
        <f t="shared" si="3"/>
        <v/>
      </c>
      <c r="N406" s="319" t="str">
        <f>IFERROR(__xludf.DUMMYFUNCTION("""COMPUTED_VALUE"""),"")</f>
        <v/>
      </c>
      <c r="O406" s="257" t="str">
        <f>IFERROR(__xludf.DUMMYFUNCTION("""COMPUTED_VALUE"""),"")</f>
        <v/>
      </c>
      <c r="P406" s="247" t="str">
        <f t="shared" si="4"/>
        <v/>
      </c>
      <c r="Q406" s="320" t="str">
        <f>IFERROR(__xludf.DUMMYFUNCTION("""COMPUTED_VALUE"""),"")</f>
        <v/>
      </c>
      <c r="R406" s="259" t="str">
        <f>IFERROR(__xludf.DUMMYFUNCTION("""COMPUTED_VALUE"""),"")</f>
        <v/>
      </c>
      <c r="S406" s="250" t="str">
        <f t="shared" si="5"/>
        <v/>
      </c>
      <c r="T406" s="254" t="str">
        <f>IFERROR(__xludf.DUMMYFUNCTION("""COMPUTED_VALUE"""),"")</f>
        <v/>
      </c>
      <c r="U406" s="246" t="str">
        <f>IFERROR(__xludf.DUMMYFUNCTION("""COMPUTED_VALUE"""),"")</f>
        <v/>
      </c>
      <c r="V406" s="247" t="str">
        <f t="shared" si="6"/>
        <v/>
      </c>
      <c r="W406" s="255" t="str">
        <f>IFERROR(__xludf.DUMMYFUNCTION("""COMPUTED_VALUE"""),"")</f>
        <v/>
      </c>
      <c r="X406" s="249" t="str">
        <f>IFERROR(__xludf.DUMMYFUNCTION("""COMPUTED_VALUE"""),"")</f>
        <v/>
      </c>
      <c r="Y406" s="250" t="str">
        <f t="shared" si="7"/>
        <v/>
      </c>
    </row>
    <row r="407">
      <c r="A407" s="136" t="s">
        <v>133</v>
      </c>
      <c r="B407" s="136"/>
      <c r="C407" s="136" t="s">
        <v>133</v>
      </c>
      <c r="D407" s="136" t="s">
        <v>133</v>
      </c>
      <c r="E407" s="256" t="str">
        <f>IFERROR(__xludf.DUMMYFUNCTION("""COMPUTED_VALUE"""),"")</f>
        <v/>
      </c>
      <c r="F407" s="257" t="str">
        <f>IFERROR(__xludf.DUMMYFUNCTION("""COMPUTED_VALUE"""),"")</f>
        <v/>
      </c>
      <c r="G407" s="247" t="str">
        <f t="shared" si="1"/>
        <v/>
      </c>
      <c r="H407" s="258" t="str">
        <f>IFERROR(__xludf.DUMMYFUNCTION("""COMPUTED_VALUE"""),"")</f>
        <v/>
      </c>
      <c r="I407" s="259" t="str">
        <f>IFERROR(__xludf.DUMMYFUNCTION("""COMPUTED_VALUE"""),"")</f>
        <v/>
      </c>
      <c r="J407" s="250" t="str">
        <f t="shared" si="2"/>
        <v/>
      </c>
      <c r="K407" s="317" t="str">
        <f>IFERROR(__xludf.DUMMYFUNCTION("""COMPUTED_VALUE"""),"")</f>
        <v/>
      </c>
      <c r="L407" s="318" t="str">
        <f>IFERROR(__xludf.DUMMYFUNCTION("""COMPUTED_VALUE"""),"")</f>
        <v/>
      </c>
      <c r="M407" s="253" t="str">
        <f t="shared" si="3"/>
        <v/>
      </c>
      <c r="N407" s="319" t="str">
        <f>IFERROR(__xludf.DUMMYFUNCTION("""COMPUTED_VALUE"""),"")</f>
        <v/>
      </c>
      <c r="O407" s="257" t="str">
        <f>IFERROR(__xludf.DUMMYFUNCTION("""COMPUTED_VALUE"""),"")</f>
        <v/>
      </c>
      <c r="P407" s="247" t="str">
        <f t="shared" si="4"/>
        <v/>
      </c>
      <c r="Q407" s="320" t="str">
        <f>IFERROR(__xludf.DUMMYFUNCTION("""COMPUTED_VALUE"""),"")</f>
        <v/>
      </c>
      <c r="R407" s="259" t="str">
        <f>IFERROR(__xludf.DUMMYFUNCTION("""COMPUTED_VALUE"""),"")</f>
        <v/>
      </c>
      <c r="S407" s="250" t="str">
        <f t="shared" si="5"/>
        <v/>
      </c>
      <c r="T407" s="254" t="str">
        <f>IFERROR(__xludf.DUMMYFUNCTION("""COMPUTED_VALUE"""),"")</f>
        <v/>
      </c>
      <c r="U407" s="246" t="str">
        <f>IFERROR(__xludf.DUMMYFUNCTION("""COMPUTED_VALUE"""),"")</f>
        <v/>
      </c>
      <c r="V407" s="247" t="str">
        <f t="shared" si="6"/>
        <v/>
      </c>
      <c r="W407" s="255" t="str">
        <f>IFERROR(__xludf.DUMMYFUNCTION("""COMPUTED_VALUE"""),"")</f>
        <v/>
      </c>
      <c r="X407" s="249" t="str">
        <f>IFERROR(__xludf.DUMMYFUNCTION("""COMPUTED_VALUE"""),"")</f>
        <v/>
      </c>
      <c r="Y407" s="250" t="str">
        <f t="shared" si="7"/>
        <v/>
      </c>
    </row>
    <row r="408">
      <c r="A408" s="136" t="s">
        <v>133</v>
      </c>
      <c r="B408" s="136"/>
      <c r="C408" s="136" t="s">
        <v>133</v>
      </c>
      <c r="D408" s="136" t="s">
        <v>133</v>
      </c>
      <c r="E408" s="256" t="str">
        <f>IFERROR(__xludf.DUMMYFUNCTION("""COMPUTED_VALUE"""),"")</f>
        <v/>
      </c>
      <c r="F408" s="257" t="str">
        <f>IFERROR(__xludf.DUMMYFUNCTION("""COMPUTED_VALUE"""),"")</f>
        <v/>
      </c>
      <c r="G408" s="247" t="str">
        <f t="shared" si="1"/>
        <v/>
      </c>
      <c r="H408" s="258" t="str">
        <f>IFERROR(__xludf.DUMMYFUNCTION("""COMPUTED_VALUE"""),"")</f>
        <v/>
      </c>
      <c r="I408" s="259" t="str">
        <f>IFERROR(__xludf.DUMMYFUNCTION("""COMPUTED_VALUE"""),"")</f>
        <v/>
      </c>
      <c r="J408" s="250" t="str">
        <f t="shared" si="2"/>
        <v/>
      </c>
      <c r="K408" s="317" t="str">
        <f>IFERROR(__xludf.DUMMYFUNCTION("""COMPUTED_VALUE"""),"")</f>
        <v/>
      </c>
      <c r="L408" s="318" t="str">
        <f>IFERROR(__xludf.DUMMYFUNCTION("""COMPUTED_VALUE"""),"")</f>
        <v/>
      </c>
      <c r="M408" s="253" t="str">
        <f t="shared" si="3"/>
        <v/>
      </c>
      <c r="N408" s="319" t="str">
        <f>IFERROR(__xludf.DUMMYFUNCTION("""COMPUTED_VALUE"""),"")</f>
        <v/>
      </c>
      <c r="O408" s="257" t="str">
        <f>IFERROR(__xludf.DUMMYFUNCTION("""COMPUTED_VALUE"""),"")</f>
        <v/>
      </c>
      <c r="P408" s="247" t="str">
        <f t="shared" si="4"/>
        <v/>
      </c>
      <c r="Q408" s="320" t="str">
        <f>IFERROR(__xludf.DUMMYFUNCTION("""COMPUTED_VALUE"""),"")</f>
        <v/>
      </c>
      <c r="R408" s="259" t="str">
        <f>IFERROR(__xludf.DUMMYFUNCTION("""COMPUTED_VALUE"""),"")</f>
        <v/>
      </c>
      <c r="S408" s="250" t="str">
        <f t="shared" si="5"/>
        <v/>
      </c>
      <c r="T408" s="254" t="str">
        <f>IFERROR(__xludf.DUMMYFUNCTION("""COMPUTED_VALUE"""),"")</f>
        <v/>
      </c>
      <c r="U408" s="246" t="str">
        <f>IFERROR(__xludf.DUMMYFUNCTION("""COMPUTED_VALUE"""),"")</f>
        <v/>
      </c>
      <c r="V408" s="247" t="str">
        <f t="shared" si="6"/>
        <v/>
      </c>
      <c r="W408" s="255" t="str">
        <f>IFERROR(__xludf.DUMMYFUNCTION("""COMPUTED_VALUE"""),"")</f>
        <v/>
      </c>
      <c r="X408" s="249" t="str">
        <f>IFERROR(__xludf.DUMMYFUNCTION("""COMPUTED_VALUE"""),"")</f>
        <v/>
      </c>
      <c r="Y408" s="250" t="str">
        <f t="shared" si="7"/>
        <v/>
      </c>
    </row>
    <row r="409">
      <c r="A409" s="136" t="s">
        <v>133</v>
      </c>
      <c r="B409" s="136"/>
      <c r="C409" s="136" t="s">
        <v>133</v>
      </c>
      <c r="D409" s="136" t="s">
        <v>133</v>
      </c>
      <c r="E409" s="256" t="str">
        <f>IFERROR(__xludf.DUMMYFUNCTION("""COMPUTED_VALUE"""),"")</f>
        <v/>
      </c>
      <c r="F409" s="257" t="str">
        <f>IFERROR(__xludf.DUMMYFUNCTION("""COMPUTED_VALUE"""),"")</f>
        <v/>
      </c>
      <c r="G409" s="247" t="str">
        <f t="shared" si="1"/>
        <v/>
      </c>
      <c r="H409" s="258" t="str">
        <f>IFERROR(__xludf.DUMMYFUNCTION("""COMPUTED_VALUE"""),"")</f>
        <v/>
      </c>
      <c r="I409" s="259" t="str">
        <f>IFERROR(__xludf.DUMMYFUNCTION("""COMPUTED_VALUE"""),"")</f>
        <v/>
      </c>
      <c r="J409" s="250" t="str">
        <f t="shared" si="2"/>
        <v/>
      </c>
      <c r="K409" s="317" t="str">
        <f>IFERROR(__xludf.DUMMYFUNCTION("""COMPUTED_VALUE"""),"")</f>
        <v/>
      </c>
      <c r="L409" s="318" t="str">
        <f>IFERROR(__xludf.DUMMYFUNCTION("""COMPUTED_VALUE"""),"")</f>
        <v/>
      </c>
      <c r="M409" s="253" t="str">
        <f t="shared" si="3"/>
        <v/>
      </c>
      <c r="N409" s="319" t="str">
        <f>IFERROR(__xludf.DUMMYFUNCTION("""COMPUTED_VALUE"""),"")</f>
        <v/>
      </c>
      <c r="O409" s="257" t="str">
        <f>IFERROR(__xludf.DUMMYFUNCTION("""COMPUTED_VALUE"""),"")</f>
        <v/>
      </c>
      <c r="P409" s="247" t="str">
        <f t="shared" si="4"/>
        <v/>
      </c>
      <c r="Q409" s="320" t="str">
        <f>IFERROR(__xludf.DUMMYFUNCTION("""COMPUTED_VALUE"""),"")</f>
        <v/>
      </c>
      <c r="R409" s="259" t="str">
        <f>IFERROR(__xludf.DUMMYFUNCTION("""COMPUTED_VALUE"""),"")</f>
        <v/>
      </c>
      <c r="S409" s="250" t="str">
        <f t="shared" si="5"/>
        <v/>
      </c>
      <c r="T409" s="254" t="str">
        <f>IFERROR(__xludf.DUMMYFUNCTION("""COMPUTED_VALUE"""),"")</f>
        <v/>
      </c>
      <c r="U409" s="246" t="str">
        <f>IFERROR(__xludf.DUMMYFUNCTION("""COMPUTED_VALUE"""),"")</f>
        <v/>
      </c>
      <c r="V409" s="247" t="str">
        <f t="shared" si="6"/>
        <v/>
      </c>
      <c r="W409" s="255" t="str">
        <f>IFERROR(__xludf.DUMMYFUNCTION("""COMPUTED_VALUE"""),"")</f>
        <v/>
      </c>
      <c r="X409" s="249" t="str">
        <f>IFERROR(__xludf.DUMMYFUNCTION("""COMPUTED_VALUE"""),"")</f>
        <v/>
      </c>
      <c r="Y409" s="250" t="str">
        <f t="shared" si="7"/>
        <v/>
      </c>
    </row>
    <row r="410">
      <c r="A410" s="136" t="s">
        <v>133</v>
      </c>
      <c r="B410" s="136"/>
      <c r="C410" s="136" t="s">
        <v>133</v>
      </c>
      <c r="D410" s="136" t="s">
        <v>133</v>
      </c>
      <c r="E410" s="256" t="str">
        <f>IFERROR(__xludf.DUMMYFUNCTION("""COMPUTED_VALUE"""),"")</f>
        <v/>
      </c>
      <c r="F410" s="257" t="str">
        <f>IFERROR(__xludf.DUMMYFUNCTION("""COMPUTED_VALUE"""),"")</f>
        <v/>
      </c>
      <c r="G410" s="247" t="str">
        <f t="shared" si="1"/>
        <v/>
      </c>
      <c r="H410" s="258" t="str">
        <f>IFERROR(__xludf.DUMMYFUNCTION("""COMPUTED_VALUE"""),"")</f>
        <v/>
      </c>
      <c r="I410" s="259" t="str">
        <f>IFERROR(__xludf.DUMMYFUNCTION("""COMPUTED_VALUE"""),"")</f>
        <v/>
      </c>
      <c r="J410" s="250" t="str">
        <f t="shared" si="2"/>
        <v/>
      </c>
      <c r="K410" s="317" t="str">
        <f>IFERROR(__xludf.DUMMYFUNCTION("""COMPUTED_VALUE"""),"")</f>
        <v/>
      </c>
      <c r="L410" s="318" t="str">
        <f>IFERROR(__xludf.DUMMYFUNCTION("""COMPUTED_VALUE"""),"")</f>
        <v/>
      </c>
      <c r="M410" s="253" t="str">
        <f t="shared" si="3"/>
        <v/>
      </c>
      <c r="N410" s="319" t="str">
        <f>IFERROR(__xludf.DUMMYFUNCTION("""COMPUTED_VALUE"""),"")</f>
        <v/>
      </c>
      <c r="O410" s="257" t="str">
        <f>IFERROR(__xludf.DUMMYFUNCTION("""COMPUTED_VALUE"""),"")</f>
        <v/>
      </c>
      <c r="P410" s="247" t="str">
        <f t="shared" si="4"/>
        <v/>
      </c>
      <c r="Q410" s="320" t="str">
        <f>IFERROR(__xludf.DUMMYFUNCTION("""COMPUTED_VALUE"""),"")</f>
        <v/>
      </c>
      <c r="R410" s="259" t="str">
        <f>IFERROR(__xludf.DUMMYFUNCTION("""COMPUTED_VALUE"""),"")</f>
        <v/>
      </c>
      <c r="S410" s="250" t="str">
        <f t="shared" si="5"/>
        <v/>
      </c>
      <c r="T410" s="254" t="str">
        <f>IFERROR(__xludf.DUMMYFUNCTION("""COMPUTED_VALUE"""),"")</f>
        <v/>
      </c>
      <c r="U410" s="246" t="str">
        <f>IFERROR(__xludf.DUMMYFUNCTION("""COMPUTED_VALUE"""),"")</f>
        <v/>
      </c>
      <c r="V410" s="247" t="str">
        <f t="shared" si="6"/>
        <v/>
      </c>
      <c r="W410" s="255" t="str">
        <f>IFERROR(__xludf.DUMMYFUNCTION("""COMPUTED_VALUE"""),"")</f>
        <v/>
      </c>
      <c r="X410" s="249" t="str">
        <f>IFERROR(__xludf.DUMMYFUNCTION("""COMPUTED_VALUE"""),"")</f>
        <v/>
      </c>
      <c r="Y410" s="250" t="str">
        <f t="shared" si="7"/>
        <v/>
      </c>
    </row>
    <row r="411">
      <c r="A411" s="136" t="s">
        <v>133</v>
      </c>
      <c r="B411" s="136"/>
      <c r="C411" s="136" t="s">
        <v>133</v>
      </c>
      <c r="D411" s="136" t="s">
        <v>133</v>
      </c>
      <c r="E411" s="256" t="str">
        <f>IFERROR(__xludf.DUMMYFUNCTION("""COMPUTED_VALUE"""),"")</f>
        <v/>
      </c>
      <c r="F411" s="257" t="str">
        <f>IFERROR(__xludf.DUMMYFUNCTION("""COMPUTED_VALUE"""),"")</f>
        <v/>
      </c>
      <c r="G411" s="247" t="str">
        <f t="shared" si="1"/>
        <v/>
      </c>
      <c r="H411" s="258" t="str">
        <f>IFERROR(__xludf.DUMMYFUNCTION("""COMPUTED_VALUE"""),"")</f>
        <v/>
      </c>
      <c r="I411" s="259" t="str">
        <f>IFERROR(__xludf.DUMMYFUNCTION("""COMPUTED_VALUE"""),"")</f>
        <v/>
      </c>
      <c r="J411" s="250" t="str">
        <f t="shared" si="2"/>
        <v/>
      </c>
      <c r="K411" s="317" t="str">
        <f>IFERROR(__xludf.DUMMYFUNCTION("""COMPUTED_VALUE"""),"")</f>
        <v/>
      </c>
      <c r="L411" s="318" t="str">
        <f>IFERROR(__xludf.DUMMYFUNCTION("""COMPUTED_VALUE"""),"")</f>
        <v/>
      </c>
      <c r="M411" s="253" t="str">
        <f t="shared" si="3"/>
        <v/>
      </c>
      <c r="N411" s="319" t="str">
        <f>IFERROR(__xludf.DUMMYFUNCTION("""COMPUTED_VALUE"""),"")</f>
        <v/>
      </c>
      <c r="O411" s="257" t="str">
        <f>IFERROR(__xludf.DUMMYFUNCTION("""COMPUTED_VALUE"""),"")</f>
        <v/>
      </c>
      <c r="P411" s="247" t="str">
        <f t="shared" si="4"/>
        <v/>
      </c>
      <c r="Q411" s="320" t="str">
        <f>IFERROR(__xludf.DUMMYFUNCTION("""COMPUTED_VALUE"""),"")</f>
        <v/>
      </c>
      <c r="R411" s="259" t="str">
        <f>IFERROR(__xludf.DUMMYFUNCTION("""COMPUTED_VALUE"""),"")</f>
        <v/>
      </c>
      <c r="S411" s="250" t="str">
        <f t="shared" si="5"/>
        <v/>
      </c>
      <c r="T411" s="254" t="str">
        <f>IFERROR(__xludf.DUMMYFUNCTION("""COMPUTED_VALUE"""),"")</f>
        <v/>
      </c>
      <c r="U411" s="246" t="str">
        <f>IFERROR(__xludf.DUMMYFUNCTION("""COMPUTED_VALUE"""),"")</f>
        <v/>
      </c>
      <c r="V411" s="247" t="str">
        <f t="shared" si="6"/>
        <v/>
      </c>
      <c r="W411" s="255" t="str">
        <f>IFERROR(__xludf.DUMMYFUNCTION("""COMPUTED_VALUE"""),"")</f>
        <v/>
      </c>
      <c r="X411" s="249" t="str">
        <f>IFERROR(__xludf.DUMMYFUNCTION("""COMPUTED_VALUE"""),"")</f>
        <v/>
      </c>
      <c r="Y411" s="250" t="str">
        <f t="shared" si="7"/>
        <v/>
      </c>
    </row>
    <row r="412">
      <c r="A412" s="136" t="s">
        <v>133</v>
      </c>
      <c r="B412" s="136"/>
      <c r="C412" s="136" t="s">
        <v>133</v>
      </c>
      <c r="D412" s="136" t="s">
        <v>133</v>
      </c>
      <c r="E412" s="256" t="str">
        <f>IFERROR(__xludf.DUMMYFUNCTION("""COMPUTED_VALUE"""),"")</f>
        <v/>
      </c>
      <c r="F412" s="257" t="str">
        <f>IFERROR(__xludf.DUMMYFUNCTION("""COMPUTED_VALUE"""),"")</f>
        <v/>
      </c>
      <c r="G412" s="247" t="str">
        <f t="shared" si="1"/>
        <v/>
      </c>
      <c r="H412" s="258" t="str">
        <f>IFERROR(__xludf.DUMMYFUNCTION("""COMPUTED_VALUE"""),"")</f>
        <v/>
      </c>
      <c r="I412" s="259" t="str">
        <f>IFERROR(__xludf.DUMMYFUNCTION("""COMPUTED_VALUE"""),"")</f>
        <v/>
      </c>
      <c r="J412" s="250" t="str">
        <f t="shared" si="2"/>
        <v/>
      </c>
      <c r="K412" s="317" t="str">
        <f>IFERROR(__xludf.DUMMYFUNCTION("""COMPUTED_VALUE"""),"")</f>
        <v/>
      </c>
      <c r="L412" s="318" t="str">
        <f>IFERROR(__xludf.DUMMYFUNCTION("""COMPUTED_VALUE"""),"")</f>
        <v/>
      </c>
      <c r="M412" s="253" t="str">
        <f t="shared" si="3"/>
        <v/>
      </c>
      <c r="N412" s="319" t="str">
        <f>IFERROR(__xludf.DUMMYFUNCTION("""COMPUTED_VALUE"""),"")</f>
        <v/>
      </c>
      <c r="O412" s="257" t="str">
        <f>IFERROR(__xludf.DUMMYFUNCTION("""COMPUTED_VALUE"""),"")</f>
        <v/>
      </c>
      <c r="P412" s="247" t="str">
        <f t="shared" si="4"/>
        <v/>
      </c>
      <c r="Q412" s="320" t="str">
        <f>IFERROR(__xludf.DUMMYFUNCTION("""COMPUTED_VALUE"""),"")</f>
        <v/>
      </c>
      <c r="R412" s="259" t="str">
        <f>IFERROR(__xludf.DUMMYFUNCTION("""COMPUTED_VALUE"""),"")</f>
        <v/>
      </c>
      <c r="S412" s="250" t="str">
        <f t="shared" si="5"/>
        <v/>
      </c>
      <c r="T412" s="254" t="str">
        <f>IFERROR(__xludf.DUMMYFUNCTION("""COMPUTED_VALUE"""),"")</f>
        <v/>
      </c>
      <c r="U412" s="246" t="str">
        <f>IFERROR(__xludf.DUMMYFUNCTION("""COMPUTED_VALUE"""),"")</f>
        <v/>
      </c>
      <c r="V412" s="247" t="str">
        <f t="shared" si="6"/>
        <v/>
      </c>
      <c r="W412" s="255" t="str">
        <f>IFERROR(__xludf.DUMMYFUNCTION("""COMPUTED_VALUE"""),"")</f>
        <v/>
      </c>
      <c r="X412" s="249" t="str">
        <f>IFERROR(__xludf.DUMMYFUNCTION("""COMPUTED_VALUE"""),"")</f>
        <v/>
      </c>
      <c r="Y412" s="250" t="str">
        <f t="shared" si="7"/>
        <v/>
      </c>
    </row>
    <row r="413">
      <c r="A413" s="136" t="s">
        <v>133</v>
      </c>
      <c r="B413" s="136"/>
      <c r="C413" s="136" t="s">
        <v>133</v>
      </c>
      <c r="D413" s="136" t="s">
        <v>133</v>
      </c>
      <c r="E413" s="256" t="str">
        <f>IFERROR(__xludf.DUMMYFUNCTION("""COMPUTED_VALUE"""),"")</f>
        <v/>
      </c>
      <c r="F413" s="257" t="str">
        <f>IFERROR(__xludf.DUMMYFUNCTION("""COMPUTED_VALUE"""),"")</f>
        <v/>
      </c>
      <c r="G413" s="247" t="str">
        <f t="shared" si="1"/>
        <v/>
      </c>
      <c r="H413" s="258" t="str">
        <f>IFERROR(__xludf.DUMMYFUNCTION("""COMPUTED_VALUE"""),"")</f>
        <v/>
      </c>
      <c r="I413" s="259" t="str">
        <f>IFERROR(__xludf.DUMMYFUNCTION("""COMPUTED_VALUE"""),"")</f>
        <v/>
      </c>
      <c r="J413" s="250" t="str">
        <f t="shared" si="2"/>
        <v/>
      </c>
      <c r="K413" s="317" t="str">
        <f>IFERROR(__xludf.DUMMYFUNCTION("""COMPUTED_VALUE"""),"")</f>
        <v/>
      </c>
      <c r="L413" s="318" t="str">
        <f>IFERROR(__xludf.DUMMYFUNCTION("""COMPUTED_VALUE"""),"")</f>
        <v/>
      </c>
      <c r="M413" s="253" t="str">
        <f t="shared" si="3"/>
        <v/>
      </c>
      <c r="N413" s="319" t="str">
        <f>IFERROR(__xludf.DUMMYFUNCTION("""COMPUTED_VALUE"""),"")</f>
        <v/>
      </c>
      <c r="O413" s="257" t="str">
        <f>IFERROR(__xludf.DUMMYFUNCTION("""COMPUTED_VALUE"""),"")</f>
        <v/>
      </c>
      <c r="P413" s="247" t="str">
        <f t="shared" si="4"/>
        <v/>
      </c>
      <c r="Q413" s="320" t="str">
        <f>IFERROR(__xludf.DUMMYFUNCTION("""COMPUTED_VALUE"""),"")</f>
        <v/>
      </c>
      <c r="R413" s="259" t="str">
        <f>IFERROR(__xludf.DUMMYFUNCTION("""COMPUTED_VALUE"""),"")</f>
        <v/>
      </c>
      <c r="S413" s="250" t="str">
        <f t="shared" si="5"/>
        <v/>
      </c>
      <c r="T413" s="254" t="str">
        <f>IFERROR(__xludf.DUMMYFUNCTION("""COMPUTED_VALUE"""),"")</f>
        <v/>
      </c>
      <c r="U413" s="246" t="str">
        <f>IFERROR(__xludf.DUMMYFUNCTION("""COMPUTED_VALUE"""),"")</f>
        <v/>
      </c>
      <c r="V413" s="247" t="str">
        <f t="shared" si="6"/>
        <v/>
      </c>
      <c r="W413" s="255" t="str">
        <f>IFERROR(__xludf.DUMMYFUNCTION("""COMPUTED_VALUE"""),"")</f>
        <v/>
      </c>
      <c r="X413" s="249" t="str">
        <f>IFERROR(__xludf.DUMMYFUNCTION("""COMPUTED_VALUE"""),"")</f>
        <v/>
      </c>
      <c r="Y413" s="250" t="str">
        <f t="shared" si="7"/>
        <v/>
      </c>
    </row>
    <row r="414">
      <c r="A414" s="136" t="s">
        <v>133</v>
      </c>
      <c r="B414" s="136"/>
      <c r="C414" s="136" t="s">
        <v>133</v>
      </c>
      <c r="D414" s="136" t="s">
        <v>133</v>
      </c>
      <c r="E414" s="256" t="str">
        <f>IFERROR(__xludf.DUMMYFUNCTION("""COMPUTED_VALUE"""),"")</f>
        <v/>
      </c>
      <c r="F414" s="257" t="str">
        <f>IFERROR(__xludf.DUMMYFUNCTION("""COMPUTED_VALUE"""),"")</f>
        <v/>
      </c>
      <c r="G414" s="247" t="str">
        <f t="shared" si="1"/>
        <v/>
      </c>
      <c r="H414" s="258" t="str">
        <f>IFERROR(__xludf.DUMMYFUNCTION("""COMPUTED_VALUE"""),"")</f>
        <v/>
      </c>
      <c r="I414" s="259" t="str">
        <f>IFERROR(__xludf.DUMMYFUNCTION("""COMPUTED_VALUE"""),"")</f>
        <v/>
      </c>
      <c r="J414" s="250" t="str">
        <f t="shared" si="2"/>
        <v/>
      </c>
      <c r="K414" s="317" t="str">
        <f>IFERROR(__xludf.DUMMYFUNCTION("""COMPUTED_VALUE"""),"")</f>
        <v/>
      </c>
      <c r="L414" s="318" t="str">
        <f>IFERROR(__xludf.DUMMYFUNCTION("""COMPUTED_VALUE"""),"")</f>
        <v/>
      </c>
      <c r="M414" s="253" t="str">
        <f t="shared" si="3"/>
        <v/>
      </c>
      <c r="N414" s="319" t="str">
        <f>IFERROR(__xludf.DUMMYFUNCTION("""COMPUTED_VALUE"""),"")</f>
        <v/>
      </c>
      <c r="O414" s="257" t="str">
        <f>IFERROR(__xludf.DUMMYFUNCTION("""COMPUTED_VALUE"""),"")</f>
        <v/>
      </c>
      <c r="P414" s="247" t="str">
        <f t="shared" si="4"/>
        <v/>
      </c>
      <c r="Q414" s="320" t="str">
        <f>IFERROR(__xludf.DUMMYFUNCTION("""COMPUTED_VALUE"""),"")</f>
        <v/>
      </c>
      <c r="R414" s="259" t="str">
        <f>IFERROR(__xludf.DUMMYFUNCTION("""COMPUTED_VALUE"""),"")</f>
        <v/>
      </c>
      <c r="S414" s="250" t="str">
        <f t="shared" si="5"/>
        <v/>
      </c>
      <c r="T414" s="254" t="str">
        <f>IFERROR(__xludf.DUMMYFUNCTION("""COMPUTED_VALUE"""),"")</f>
        <v/>
      </c>
      <c r="U414" s="246" t="str">
        <f>IFERROR(__xludf.DUMMYFUNCTION("""COMPUTED_VALUE"""),"")</f>
        <v/>
      </c>
      <c r="V414" s="247" t="str">
        <f t="shared" si="6"/>
        <v/>
      </c>
      <c r="W414" s="255" t="str">
        <f>IFERROR(__xludf.DUMMYFUNCTION("""COMPUTED_VALUE"""),"")</f>
        <v/>
      </c>
      <c r="X414" s="249" t="str">
        <f>IFERROR(__xludf.DUMMYFUNCTION("""COMPUTED_VALUE"""),"")</f>
        <v/>
      </c>
      <c r="Y414" s="250" t="str">
        <f t="shared" si="7"/>
        <v/>
      </c>
    </row>
    <row r="415">
      <c r="A415" s="136" t="s">
        <v>133</v>
      </c>
      <c r="B415" s="136"/>
      <c r="C415" s="136" t="s">
        <v>133</v>
      </c>
      <c r="D415" s="136" t="s">
        <v>133</v>
      </c>
      <c r="E415" s="256" t="str">
        <f>IFERROR(__xludf.DUMMYFUNCTION("""COMPUTED_VALUE"""),"")</f>
        <v/>
      </c>
      <c r="F415" s="257" t="str">
        <f>IFERROR(__xludf.DUMMYFUNCTION("""COMPUTED_VALUE"""),"")</f>
        <v/>
      </c>
      <c r="G415" s="247" t="str">
        <f t="shared" si="1"/>
        <v/>
      </c>
      <c r="H415" s="258" t="str">
        <f>IFERROR(__xludf.DUMMYFUNCTION("""COMPUTED_VALUE"""),"")</f>
        <v/>
      </c>
      <c r="I415" s="259" t="str">
        <f>IFERROR(__xludf.DUMMYFUNCTION("""COMPUTED_VALUE"""),"")</f>
        <v/>
      </c>
      <c r="J415" s="250" t="str">
        <f t="shared" si="2"/>
        <v/>
      </c>
      <c r="K415" s="317" t="str">
        <f>IFERROR(__xludf.DUMMYFUNCTION("""COMPUTED_VALUE"""),"")</f>
        <v/>
      </c>
      <c r="L415" s="318" t="str">
        <f>IFERROR(__xludf.DUMMYFUNCTION("""COMPUTED_VALUE"""),"")</f>
        <v/>
      </c>
      <c r="M415" s="253" t="str">
        <f t="shared" si="3"/>
        <v/>
      </c>
      <c r="N415" s="319" t="str">
        <f>IFERROR(__xludf.DUMMYFUNCTION("""COMPUTED_VALUE"""),"")</f>
        <v/>
      </c>
      <c r="O415" s="257" t="str">
        <f>IFERROR(__xludf.DUMMYFUNCTION("""COMPUTED_VALUE"""),"")</f>
        <v/>
      </c>
      <c r="P415" s="247" t="str">
        <f t="shared" si="4"/>
        <v/>
      </c>
      <c r="Q415" s="320" t="str">
        <f>IFERROR(__xludf.DUMMYFUNCTION("""COMPUTED_VALUE"""),"")</f>
        <v/>
      </c>
      <c r="R415" s="259" t="str">
        <f>IFERROR(__xludf.DUMMYFUNCTION("""COMPUTED_VALUE"""),"")</f>
        <v/>
      </c>
      <c r="S415" s="250" t="str">
        <f t="shared" si="5"/>
        <v/>
      </c>
      <c r="T415" s="254" t="str">
        <f>IFERROR(__xludf.DUMMYFUNCTION("""COMPUTED_VALUE"""),"")</f>
        <v/>
      </c>
      <c r="U415" s="246" t="str">
        <f>IFERROR(__xludf.DUMMYFUNCTION("""COMPUTED_VALUE"""),"")</f>
        <v/>
      </c>
      <c r="V415" s="247" t="str">
        <f t="shared" si="6"/>
        <v/>
      </c>
      <c r="W415" s="255" t="str">
        <f>IFERROR(__xludf.DUMMYFUNCTION("""COMPUTED_VALUE"""),"")</f>
        <v/>
      </c>
      <c r="X415" s="249" t="str">
        <f>IFERROR(__xludf.DUMMYFUNCTION("""COMPUTED_VALUE"""),"")</f>
        <v/>
      </c>
      <c r="Y415" s="250" t="str">
        <f t="shared" si="7"/>
        <v/>
      </c>
    </row>
    <row r="416">
      <c r="A416" s="136" t="s">
        <v>133</v>
      </c>
      <c r="B416" s="136"/>
      <c r="C416" s="136" t="s">
        <v>133</v>
      </c>
      <c r="D416" s="136" t="s">
        <v>133</v>
      </c>
      <c r="E416" s="256" t="str">
        <f>IFERROR(__xludf.DUMMYFUNCTION("""COMPUTED_VALUE"""),"")</f>
        <v/>
      </c>
      <c r="F416" s="257" t="str">
        <f>IFERROR(__xludf.DUMMYFUNCTION("""COMPUTED_VALUE"""),"")</f>
        <v/>
      </c>
      <c r="G416" s="247" t="str">
        <f t="shared" si="1"/>
        <v/>
      </c>
      <c r="H416" s="258" t="str">
        <f>IFERROR(__xludf.DUMMYFUNCTION("""COMPUTED_VALUE"""),"")</f>
        <v/>
      </c>
      <c r="I416" s="259" t="str">
        <f>IFERROR(__xludf.DUMMYFUNCTION("""COMPUTED_VALUE"""),"")</f>
        <v/>
      </c>
      <c r="J416" s="250" t="str">
        <f t="shared" si="2"/>
        <v/>
      </c>
      <c r="K416" s="317" t="str">
        <f>IFERROR(__xludf.DUMMYFUNCTION("""COMPUTED_VALUE"""),"")</f>
        <v/>
      </c>
      <c r="L416" s="318" t="str">
        <f>IFERROR(__xludf.DUMMYFUNCTION("""COMPUTED_VALUE"""),"")</f>
        <v/>
      </c>
      <c r="M416" s="253" t="str">
        <f t="shared" si="3"/>
        <v/>
      </c>
      <c r="N416" s="319" t="str">
        <f>IFERROR(__xludf.DUMMYFUNCTION("""COMPUTED_VALUE"""),"")</f>
        <v/>
      </c>
      <c r="O416" s="257" t="str">
        <f>IFERROR(__xludf.DUMMYFUNCTION("""COMPUTED_VALUE"""),"")</f>
        <v/>
      </c>
      <c r="P416" s="247" t="str">
        <f t="shared" si="4"/>
        <v/>
      </c>
      <c r="Q416" s="320" t="str">
        <f>IFERROR(__xludf.DUMMYFUNCTION("""COMPUTED_VALUE"""),"")</f>
        <v/>
      </c>
      <c r="R416" s="259" t="str">
        <f>IFERROR(__xludf.DUMMYFUNCTION("""COMPUTED_VALUE"""),"")</f>
        <v/>
      </c>
      <c r="S416" s="250" t="str">
        <f t="shared" si="5"/>
        <v/>
      </c>
      <c r="T416" s="254" t="str">
        <f>IFERROR(__xludf.DUMMYFUNCTION("""COMPUTED_VALUE"""),"")</f>
        <v/>
      </c>
      <c r="U416" s="246" t="str">
        <f>IFERROR(__xludf.DUMMYFUNCTION("""COMPUTED_VALUE"""),"")</f>
        <v/>
      </c>
      <c r="V416" s="247" t="str">
        <f t="shared" si="6"/>
        <v/>
      </c>
      <c r="W416" s="255" t="str">
        <f>IFERROR(__xludf.DUMMYFUNCTION("""COMPUTED_VALUE"""),"")</f>
        <v/>
      </c>
      <c r="X416" s="249" t="str">
        <f>IFERROR(__xludf.DUMMYFUNCTION("""COMPUTED_VALUE"""),"")</f>
        <v/>
      </c>
      <c r="Y416" s="250" t="str">
        <f t="shared" si="7"/>
        <v/>
      </c>
    </row>
    <row r="417">
      <c r="A417" s="136" t="s">
        <v>133</v>
      </c>
      <c r="B417" s="136"/>
      <c r="C417" s="136" t="s">
        <v>133</v>
      </c>
      <c r="D417" s="136" t="s">
        <v>133</v>
      </c>
      <c r="E417" s="256" t="str">
        <f>IFERROR(__xludf.DUMMYFUNCTION("""COMPUTED_VALUE"""),"")</f>
        <v/>
      </c>
      <c r="F417" s="257" t="str">
        <f>IFERROR(__xludf.DUMMYFUNCTION("""COMPUTED_VALUE"""),"")</f>
        <v/>
      </c>
      <c r="G417" s="247" t="str">
        <f t="shared" si="1"/>
        <v/>
      </c>
      <c r="H417" s="258" t="str">
        <f>IFERROR(__xludf.DUMMYFUNCTION("""COMPUTED_VALUE"""),"")</f>
        <v/>
      </c>
      <c r="I417" s="259" t="str">
        <f>IFERROR(__xludf.DUMMYFUNCTION("""COMPUTED_VALUE"""),"")</f>
        <v/>
      </c>
      <c r="J417" s="250" t="str">
        <f t="shared" si="2"/>
        <v/>
      </c>
      <c r="K417" s="317" t="str">
        <f>IFERROR(__xludf.DUMMYFUNCTION("""COMPUTED_VALUE"""),"")</f>
        <v/>
      </c>
      <c r="L417" s="318" t="str">
        <f>IFERROR(__xludf.DUMMYFUNCTION("""COMPUTED_VALUE"""),"")</f>
        <v/>
      </c>
      <c r="M417" s="253" t="str">
        <f t="shared" si="3"/>
        <v/>
      </c>
      <c r="N417" s="319" t="str">
        <f>IFERROR(__xludf.DUMMYFUNCTION("""COMPUTED_VALUE"""),"")</f>
        <v/>
      </c>
      <c r="O417" s="257" t="str">
        <f>IFERROR(__xludf.DUMMYFUNCTION("""COMPUTED_VALUE"""),"")</f>
        <v/>
      </c>
      <c r="P417" s="247" t="str">
        <f t="shared" si="4"/>
        <v/>
      </c>
      <c r="Q417" s="320" t="str">
        <f>IFERROR(__xludf.DUMMYFUNCTION("""COMPUTED_VALUE"""),"")</f>
        <v/>
      </c>
      <c r="R417" s="259" t="str">
        <f>IFERROR(__xludf.DUMMYFUNCTION("""COMPUTED_VALUE"""),"")</f>
        <v/>
      </c>
      <c r="S417" s="250" t="str">
        <f t="shared" si="5"/>
        <v/>
      </c>
      <c r="T417" s="254" t="str">
        <f>IFERROR(__xludf.DUMMYFUNCTION("""COMPUTED_VALUE"""),"")</f>
        <v/>
      </c>
      <c r="U417" s="246" t="str">
        <f>IFERROR(__xludf.DUMMYFUNCTION("""COMPUTED_VALUE"""),"")</f>
        <v/>
      </c>
      <c r="V417" s="247" t="str">
        <f t="shared" si="6"/>
        <v/>
      </c>
      <c r="W417" s="255" t="str">
        <f>IFERROR(__xludf.DUMMYFUNCTION("""COMPUTED_VALUE"""),"")</f>
        <v/>
      </c>
      <c r="X417" s="249" t="str">
        <f>IFERROR(__xludf.DUMMYFUNCTION("""COMPUTED_VALUE"""),"")</f>
        <v/>
      </c>
      <c r="Y417" s="250" t="str">
        <f t="shared" si="7"/>
        <v/>
      </c>
    </row>
    <row r="418">
      <c r="A418" s="136" t="s">
        <v>133</v>
      </c>
      <c r="B418" s="136"/>
      <c r="C418" s="136" t="s">
        <v>133</v>
      </c>
      <c r="D418" s="136" t="s">
        <v>133</v>
      </c>
      <c r="E418" s="256" t="str">
        <f>IFERROR(__xludf.DUMMYFUNCTION("""COMPUTED_VALUE"""),"")</f>
        <v/>
      </c>
      <c r="F418" s="257" t="str">
        <f>IFERROR(__xludf.DUMMYFUNCTION("""COMPUTED_VALUE"""),"")</f>
        <v/>
      </c>
      <c r="G418" s="247" t="str">
        <f t="shared" si="1"/>
        <v/>
      </c>
      <c r="H418" s="258" t="str">
        <f>IFERROR(__xludf.DUMMYFUNCTION("""COMPUTED_VALUE"""),"")</f>
        <v/>
      </c>
      <c r="I418" s="259" t="str">
        <f>IFERROR(__xludf.DUMMYFUNCTION("""COMPUTED_VALUE"""),"")</f>
        <v/>
      </c>
      <c r="J418" s="250" t="str">
        <f t="shared" si="2"/>
        <v/>
      </c>
      <c r="K418" s="317" t="str">
        <f>IFERROR(__xludf.DUMMYFUNCTION("""COMPUTED_VALUE"""),"")</f>
        <v/>
      </c>
      <c r="L418" s="318" t="str">
        <f>IFERROR(__xludf.DUMMYFUNCTION("""COMPUTED_VALUE"""),"")</f>
        <v/>
      </c>
      <c r="M418" s="253" t="str">
        <f t="shared" si="3"/>
        <v/>
      </c>
      <c r="N418" s="319" t="str">
        <f>IFERROR(__xludf.DUMMYFUNCTION("""COMPUTED_VALUE"""),"")</f>
        <v/>
      </c>
      <c r="O418" s="257" t="str">
        <f>IFERROR(__xludf.DUMMYFUNCTION("""COMPUTED_VALUE"""),"")</f>
        <v/>
      </c>
      <c r="P418" s="247" t="str">
        <f t="shared" si="4"/>
        <v/>
      </c>
      <c r="Q418" s="320" t="str">
        <f>IFERROR(__xludf.DUMMYFUNCTION("""COMPUTED_VALUE"""),"")</f>
        <v/>
      </c>
      <c r="R418" s="259" t="str">
        <f>IFERROR(__xludf.DUMMYFUNCTION("""COMPUTED_VALUE"""),"")</f>
        <v/>
      </c>
      <c r="S418" s="250" t="str">
        <f t="shared" si="5"/>
        <v/>
      </c>
      <c r="T418" s="254" t="str">
        <f>IFERROR(__xludf.DUMMYFUNCTION("""COMPUTED_VALUE"""),"")</f>
        <v/>
      </c>
      <c r="U418" s="246" t="str">
        <f>IFERROR(__xludf.DUMMYFUNCTION("""COMPUTED_VALUE"""),"")</f>
        <v/>
      </c>
      <c r="V418" s="247" t="str">
        <f t="shared" si="6"/>
        <v/>
      </c>
      <c r="W418" s="255" t="str">
        <f>IFERROR(__xludf.DUMMYFUNCTION("""COMPUTED_VALUE"""),"")</f>
        <v/>
      </c>
      <c r="X418" s="249" t="str">
        <f>IFERROR(__xludf.DUMMYFUNCTION("""COMPUTED_VALUE"""),"")</f>
        <v/>
      </c>
      <c r="Y418" s="250" t="str">
        <f t="shared" si="7"/>
        <v/>
      </c>
    </row>
    <row r="419">
      <c r="A419" s="136" t="s">
        <v>133</v>
      </c>
      <c r="B419" s="136"/>
      <c r="C419" s="136" t="s">
        <v>133</v>
      </c>
      <c r="D419" s="136" t="s">
        <v>133</v>
      </c>
      <c r="E419" s="256" t="str">
        <f>IFERROR(__xludf.DUMMYFUNCTION("""COMPUTED_VALUE"""),"")</f>
        <v/>
      </c>
      <c r="F419" s="257" t="str">
        <f>IFERROR(__xludf.DUMMYFUNCTION("""COMPUTED_VALUE"""),"")</f>
        <v/>
      </c>
      <c r="G419" s="247" t="str">
        <f t="shared" si="1"/>
        <v/>
      </c>
      <c r="H419" s="258" t="str">
        <f>IFERROR(__xludf.DUMMYFUNCTION("""COMPUTED_VALUE"""),"")</f>
        <v/>
      </c>
      <c r="I419" s="259" t="str">
        <f>IFERROR(__xludf.DUMMYFUNCTION("""COMPUTED_VALUE"""),"")</f>
        <v/>
      </c>
      <c r="J419" s="250" t="str">
        <f t="shared" si="2"/>
        <v/>
      </c>
      <c r="K419" s="317" t="str">
        <f>IFERROR(__xludf.DUMMYFUNCTION("""COMPUTED_VALUE"""),"")</f>
        <v/>
      </c>
      <c r="L419" s="318" t="str">
        <f>IFERROR(__xludf.DUMMYFUNCTION("""COMPUTED_VALUE"""),"")</f>
        <v/>
      </c>
      <c r="M419" s="253" t="str">
        <f t="shared" si="3"/>
        <v/>
      </c>
      <c r="N419" s="319" t="str">
        <f>IFERROR(__xludf.DUMMYFUNCTION("""COMPUTED_VALUE"""),"")</f>
        <v/>
      </c>
      <c r="O419" s="257" t="str">
        <f>IFERROR(__xludf.DUMMYFUNCTION("""COMPUTED_VALUE"""),"")</f>
        <v/>
      </c>
      <c r="P419" s="247" t="str">
        <f t="shared" si="4"/>
        <v/>
      </c>
      <c r="Q419" s="320" t="str">
        <f>IFERROR(__xludf.DUMMYFUNCTION("""COMPUTED_VALUE"""),"")</f>
        <v/>
      </c>
      <c r="R419" s="259" t="str">
        <f>IFERROR(__xludf.DUMMYFUNCTION("""COMPUTED_VALUE"""),"")</f>
        <v/>
      </c>
      <c r="S419" s="250" t="str">
        <f t="shared" si="5"/>
        <v/>
      </c>
      <c r="T419" s="254" t="str">
        <f>IFERROR(__xludf.DUMMYFUNCTION("""COMPUTED_VALUE"""),"")</f>
        <v/>
      </c>
      <c r="U419" s="246" t="str">
        <f>IFERROR(__xludf.DUMMYFUNCTION("""COMPUTED_VALUE"""),"")</f>
        <v/>
      </c>
      <c r="V419" s="247" t="str">
        <f t="shared" si="6"/>
        <v/>
      </c>
      <c r="W419" s="255" t="str">
        <f>IFERROR(__xludf.DUMMYFUNCTION("""COMPUTED_VALUE"""),"")</f>
        <v/>
      </c>
      <c r="X419" s="249" t="str">
        <f>IFERROR(__xludf.DUMMYFUNCTION("""COMPUTED_VALUE"""),"")</f>
        <v/>
      </c>
      <c r="Y419" s="250" t="str">
        <f t="shared" si="7"/>
        <v/>
      </c>
    </row>
    <row r="420">
      <c r="A420" s="136" t="s">
        <v>133</v>
      </c>
      <c r="B420" s="136"/>
      <c r="C420" s="136" t="s">
        <v>133</v>
      </c>
      <c r="D420" s="136" t="s">
        <v>133</v>
      </c>
      <c r="E420" s="256" t="str">
        <f>IFERROR(__xludf.DUMMYFUNCTION("""COMPUTED_VALUE"""),"")</f>
        <v/>
      </c>
      <c r="F420" s="257" t="str">
        <f>IFERROR(__xludf.DUMMYFUNCTION("""COMPUTED_VALUE"""),"")</f>
        <v/>
      </c>
      <c r="G420" s="247" t="str">
        <f t="shared" si="1"/>
        <v/>
      </c>
      <c r="H420" s="258" t="str">
        <f>IFERROR(__xludf.DUMMYFUNCTION("""COMPUTED_VALUE"""),"")</f>
        <v/>
      </c>
      <c r="I420" s="259" t="str">
        <f>IFERROR(__xludf.DUMMYFUNCTION("""COMPUTED_VALUE"""),"")</f>
        <v/>
      </c>
      <c r="J420" s="250" t="str">
        <f t="shared" si="2"/>
        <v/>
      </c>
      <c r="K420" s="317" t="str">
        <f>IFERROR(__xludf.DUMMYFUNCTION("""COMPUTED_VALUE"""),"")</f>
        <v/>
      </c>
      <c r="L420" s="318" t="str">
        <f>IFERROR(__xludf.DUMMYFUNCTION("""COMPUTED_VALUE"""),"")</f>
        <v/>
      </c>
      <c r="M420" s="253" t="str">
        <f t="shared" si="3"/>
        <v/>
      </c>
      <c r="N420" s="319" t="str">
        <f>IFERROR(__xludf.DUMMYFUNCTION("""COMPUTED_VALUE"""),"")</f>
        <v/>
      </c>
      <c r="O420" s="257" t="str">
        <f>IFERROR(__xludf.DUMMYFUNCTION("""COMPUTED_VALUE"""),"")</f>
        <v/>
      </c>
      <c r="P420" s="247" t="str">
        <f t="shared" si="4"/>
        <v/>
      </c>
      <c r="Q420" s="320" t="str">
        <f>IFERROR(__xludf.DUMMYFUNCTION("""COMPUTED_VALUE"""),"")</f>
        <v/>
      </c>
      <c r="R420" s="259" t="str">
        <f>IFERROR(__xludf.DUMMYFUNCTION("""COMPUTED_VALUE"""),"")</f>
        <v/>
      </c>
      <c r="S420" s="250" t="str">
        <f t="shared" si="5"/>
        <v/>
      </c>
      <c r="T420" s="254" t="str">
        <f>IFERROR(__xludf.DUMMYFUNCTION("""COMPUTED_VALUE"""),"")</f>
        <v/>
      </c>
      <c r="U420" s="246" t="str">
        <f>IFERROR(__xludf.DUMMYFUNCTION("""COMPUTED_VALUE"""),"")</f>
        <v/>
      </c>
      <c r="V420" s="247" t="str">
        <f t="shared" si="6"/>
        <v/>
      </c>
      <c r="W420" s="255" t="str">
        <f>IFERROR(__xludf.DUMMYFUNCTION("""COMPUTED_VALUE"""),"")</f>
        <v/>
      </c>
      <c r="X420" s="249" t="str">
        <f>IFERROR(__xludf.DUMMYFUNCTION("""COMPUTED_VALUE"""),"")</f>
        <v/>
      </c>
      <c r="Y420" s="250" t="str">
        <f t="shared" si="7"/>
        <v/>
      </c>
    </row>
    <row r="421">
      <c r="A421" s="136" t="s">
        <v>133</v>
      </c>
      <c r="B421" s="136"/>
      <c r="C421" s="136" t="s">
        <v>133</v>
      </c>
      <c r="D421" s="136" t="s">
        <v>133</v>
      </c>
      <c r="E421" s="256" t="str">
        <f>IFERROR(__xludf.DUMMYFUNCTION("""COMPUTED_VALUE"""),"")</f>
        <v/>
      </c>
      <c r="F421" s="257" t="str">
        <f>IFERROR(__xludf.DUMMYFUNCTION("""COMPUTED_VALUE"""),"")</f>
        <v/>
      </c>
      <c r="G421" s="247" t="str">
        <f t="shared" si="1"/>
        <v/>
      </c>
      <c r="H421" s="258" t="str">
        <f>IFERROR(__xludf.DUMMYFUNCTION("""COMPUTED_VALUE"""),"")</f>
        <v/>
      </c>
      <c r="I421" s="259" t="str">
        <f>IFERROR(__xludf.DUMMYFUNCTION("""COMPUTED_VALUE"""),"")</f>
        <v/>
      </c>
      <c r="J421" s="250" t="str">
        <f t="shared" si="2"/>
        <v/>
      </c>
      <c r="K421" s="317" t="str">
        <f>IFERROR(__xludf.DUMMYFUNCTION("""COMPUTED_VALUE"""),"")</f>
        <v/>
      </c>
      <c r="L421" s="318" t="str">
        <f>IFERROR(__xludf.DUMMYFUNCTION("""COMPUTED_VALUE"""),"")</f>
        <v/>
      </c>
      <c r="M421" s="253" t="str">
        <f t="shared" si="3"/>
        <v/>
      </c>
      <c r="N421" s="319" t="str">
        <f>IFERROR(__xludf.DUMMYFUNCTION("""COMPUTED_VALUE"""),"")</f>
        <v/>
      </c>
      <c r="O421" s="257" t="str">
        <f>IFERROR(__xludf.DUMMYFUNCTION("""COMPUTED_VALUE"""),"")</f>
        <v/>
      </c>
      <c r="P421" s="247" t="str">
        <f t="shared" si="4"/>
        <v/>
      </c>
      <c r="Q421" s="320" t="str">
        <f>IFERROR(__xludf.DUMMYFUNCTION("""COMPUTED_VALUE"""),"")</f>
        <v/>
      </c>
      <c r="R421" s="259" t="str">
        <f>IFERROR(__xludf.DUMMYFUNCTION("""COMPUTED_VALUE"""),"")</f>
        <v/>
      </c>
      <c r="S421" s="250" t="str">
        <f t="shared" si="5"/>
        <v/>
      </c>
      <c r="T421" s="254" t="str">
        <f>IFERROR(__xludf.DUMMYFUNCTION("""COMPUTED_VALUE"""),"")</f>
        <v/>
      </c>
      <c r="U421" s="246" t="str">
        <f>IFERROR(__xludf.DUMMYFUNCTION("""COMPUTED_VALUE"""),"")</f>
        <v/>
      </c>
      <c r="V421" s="247" t="str">
        <f t="shared" si="6"/>
        <v/>
      </c>
      <c r="W421" s="255" t="str">
        <f>IFERROR(__xludf.DUMMYFUNCTION("""COMPUTED_VALUE"""),"")</f>
        <v/>
      </c>
      <c r="X421" s="249" t="str">
        <f>IFERROR(__xludf.DUMMYFUNCTION("""COMPUTED_VALUE"""),"")</f>
        <v/>
      </c>
      <c r="Y421" s="250" t="str">
        <f t="shared" si="7"/>
        <v/>
      </c>
    </row>
    <row r="422">
      <c r="A422" s="136" t="s">
        <v>133</v>
      </c>
      <c r="B422" s="136"/>
      <c r="C422" s="136" t="s">
        <v>133</v>
      </c>
      <c r="D422" s="136" t="s">
        <v>133</v>
      </c>
      <c r="E422" s="256" t="str">
        <f>IFERROR(__xludf.DUMMYFUNCTION("""COMPUTED_VALUE"""),"")</f>
        <v/>
      </c>
      <c r="F422" s="257" t="str">
        <f>IFERROR(__xludf.DUMMYFUNCTION("""COMPUTED_VALUE"""),"")</f>
        <v/>
      </c>
      <c r="G422" s="247" t="str">
        <f t="shared" si="1"/>
        <v/>
      </c>
      <c r="H422" s="258" t="str">
        <f>IFERROR(__xludf.DUMMYFUNCTION("""COMPUTED_VALUE"""),"")</f>
        <v/>
      </c>
      <c r="I422" s="259" t="str">
        <f>IFERROR(__xludf.DUMMYFUNCTION("""COMPUTED_VALUE"""),"")</f>
        <v/>
      </c>
      <c r="J422" s="250" t="str">
        <f t="shared" si="2"/>
        <v/>
      </c>
      <c r="K422" s="317" t="str">
        <f>IFERROR(__xludf.DUMMYFUNCTION("""COMPUTED_VALUE"""),"")</f>
        <v/>
      </c>
      <c r="L422" s="318" t="str">
        <f>IFERROR(__xludf.DUMMYFUNCTION("""COMPUTED_VALUE"""),"")</f>
        <v/>
      </c>
      <c r="M422" s="253" t="str">
        <f t="shared" si="3"/>
        <v/>
      </c>
      <c r="N422" s="319" t="str">
        <f>IFERROR(__xludf.DUMMYFUNCTION("""COMPUTED_VALUE"""),"")</f>
        <v/>
      </c>
      <c r="O422" s="257" t="str">
        <f>IFERROR(__xludf.DUMMYFUNCTION("""COMPUTED_VALUE"""),"")</f>
        <v/>
      </c>
      <c r="P422" s="247" t="str">
        <f t="shared" si="4"/>
        <v/>
      </c>
      <c r="Q422" s="320" t="str">
        <f>IFERROR(__xludf.DUMMYFUNCTION("""COMPUTED_VALUE"""),"")</f>
        <v/>
      </c>
      <c r="R422" s="259" t="str">
        <f>IFERROR(__xludf.DUMMYFUNCTION("""COMPUTED_VALUE"""),"")</f>
        <v/>
      </c>
      <c r="S422" s="250" t="str">
        <f t="shared" si="5"/>
        <v/>
      </c>
      <c r="T422" s="254" t="str">
        <f>IFERROR(__xludf.DUMMYFUNCTION("""COMPUTED_VALUE"""),"")</f>
        <v/>
      </c>
      <c r="U422" s="246" t="str">
        <f>IFERROR(__xludf.DUMMYFUNCTION("""COMPUTED_VALUE"""),"")</f>
        <v/>
      </c>
      <c r="V422" s="247" t="str">
        <f t="shared" si="6"/>
        <v/>
      </c>
      <c r="W422" s="255" t="str">
        <f>IFERROR(__xludf.DUMMYFUNCTION("""COMPUTED_VALUE"""),"")</f>
        <v/>
      </c>
      <c r="X422" s="249" t="str">
        <f>IFERROR(__xludf.DUMMYFUNCTION("""COMPUTED_VALUE"""),"")</f>
        <v/>
      </c>
      <c r="Y422" s="250" t="str">
        <f t="shared" si="7"/>
        <v/>
      </c>
    </row>
    <row r="423">
      <c r="A423" s="136" t="s">
        <v>133</v>
      </c>
      <c r="B423" s="136"/>
      <c r="C423" s="136" t="s">
        <v>133</v>
      </c>
      <c r="D423" s="136" t="s">
        <v>133</v>
      </c>
      <c r="E423" s="256" t="str">
        <f>IFERROR(__xludf.DUMMYFUNCTION("""COMPUTED_VALUE"""),"")</f>
        <v/>
      </c>
      <c r="F423" s="257" t="str">
        <f>IFERROR(__xludf.DUMMYFUNCTION("""COMPUTED_VALUE"""),"")</f>
        <v/>
      </c>
      <c r="G423" s="247" t="str">
        <f t="shared" si="1"/>
        <v/>
      </c>
      <c r="H423" s="258" t="str">
        <f>IFERROR(__xludf.DUMMYFUNCTION("""COMPUTED_VALUE"""),"")</f>
        <v/>
      </c>
      <c r="I423" s="259" t="str">
        <f>IFERROR(__xludf.DUMMYFUNCTION("""COMPUTED_VALUE"""),"")</f>
        <v/>
      </c>
      <c r="J423" s="250" t="str">
        <f t="shared" si="2"/>
        <v/>
      </c>
      <c r="K423" s="317" t="str">
        <f>IFERROR(__xludf.DUMMYFUNCTION("""COMPUTED_VALUE"""),"")</f>
        <v/>
      </c>
      <c r="L423" s="318" t="str">
        <f>IFERROR(__xludf.DUMMYFUNCTION("""COMPUTED_VALUE"""),"")</f>
        <v/>
      </c>
      <c r="M423" s="253" t="str">
        <f t="shared" si="3"/>
        <v/>
      </c>
      <c r="N423" s="319" t="str">
        <f>IFERROR(__xludf.DUMMYFUNCTION("""COMPUTED_VALUE"""),"")</f>
        <v/>
      </c>
      <c r="O423" s="257" t="str">
        <f>IFERROR(__xludf.DUMMYFUNCTION("""COMPUTED_VALUE"""),"")</f>
        <v/>
      </c>
      <c r="P423" s="247" t="str">
        <f t="shared" si="4"/>
        <v/>
      </c>
      <c r="Q423" s="320" t="str">
        <f>IFERROR(__xludf.DUMMYFUNCTION("""COMPUTED_VALUE"""),"")</f>
        <v/>
      </c>
      <c r="R423" s="259" t="str">
        <f>IFERROR(__xludf.DUMMYFUNCTION("""COMPUTED_VALUE"""),"")</f>
        <v/>
      </c>
      <c r="S423" s="250" t="str">
        <f t="shared" si="5"/>
        <v/>
      </c>
      <c r="T423" s="254" t="str">
        <f>IFERROR(__xludf.DUMMYFUNCTION("""COMPUTED_VALUE"""),"")</f>
        <v/>
      </c>
      <c r="U423" s="246" t="str">
        <f>IFERROR(__xludf.DUMMYFUNCTION("""COMPUTED_VALUE"""),"")</f>
        <v/>
      </c>
      <c r="V423" s="247" t="str">
        <f t="shared" si="6"/>
        <v/>
      </c>
      <c r="W423" s="255" t="str">
        <f>IFERROR(__xludf.DUMMYFUNCTION("""COMPUTED_VALUE"""),"")</f>
        <v/>
      </c>
      <c r="X423" s="249" t="str">
        <f>IFERROR(__xludf.DUMMYFUNCTION("""COMPUTED_VALUE"""),"")</f>
        <v/>
      </c>
      <c r="Y423" s="250" t="str">
        <f t="shared" si="7"/>
        <v/>
      </c>
    </row>
    <row r="424">
      <c r="A424" s="136" t="s">
        <v>133</v>
      </c>
      <c r="B424" s="136"/>
      <c r="C424" s="136" t="s">
        <v>133</v>
      </c>
      <c r="D424" s="136"/>
      <c r="E424" s="256" t="str">
        <f>IFERROR(__xludf.DUMMYFUNCTION("""COMPUTED_VALUE"""),"")</f>
        <v/>
      </c>
      <c r="F424" s="257" t="str">
        <f>IFERROR(__xludf.DUMMYFUNCTION("""COMPUTED_VALUE"""),"")</f>
        <v/>
      </c>
      <c r="G424" s="247" t="str">
        <f t="shared" si="1"/>
        <v/>
      </c>
      <c r="H424" s="258" t="str">
        <f>IFERROR(__xludf.DUMMYFUNCTION("""COMPUTED_VALUE"""),"")</f>
        <v/>
      </c>
      <c r="I424" s="259" t="str">
        <f>IFERROR(__xludf.DUMMYFUNCTION("""COMPUTED_VALUE"""),"")</f>
        <v/>
      </c>
      <c r="J424" s="250" t="str">
        <f t="shared" si="2"/>
        <v/>
      </c>
      <c r="K424" s="317" t="str">
        <f>IFERROR(__xludf.DUMMYFUNCTION("""COMPUTED_VALUE"""),"")</f>
        <v/>
      </c>
      <c r="L424" s="318" t="str">
        <f>IFERROR(__xludf.DUMMYFUNCTION("""COMPUTED_VALUE"""),"")</f>
        <v/>
      </c>
      <c r="M424" s="253" t="str">
        <f t="shared" si="3"/>
        <v/>
      </c>
      <c r="N424" s="319" t="str">
        <f>IFERROR(__xludf.DUMMYFUNCTION("""COMPUTED_VALUE"""),"")</f>
        <v/>
      </c>
      <c r="O424" s="257" t="str">
        <f>IFERROR(__xludf.DUMMYFUNCTION("""COMPUTED_VALUE"""),"")</f>
        <v/>
      </c>
      <c r="P424" s="247" t="str">
        <f t="shared" si="4"/>
        <v/>
      </c>
      <c r="Q424" s="320" t="str">
        <f>IFERROR(__xludf.DUMMYFUNCTION("""COMPUTED_VALUE"""),"")</f>
        <v/>
      </c>
      <c r="R424" s="259" t="str">
        <f>IFERROR(__xludf.DUMMYFUNCTION("""COMPUTED_VALUE"""),"")</f>
        <v/>
      </c>
      <c r="S424" s="250" t="str">
        <f t="shared" si="5"/>
        <v/>
      </c>
      <c r="T424" s="254" t="str">
        <f>IFERROR(__xludf.DUMMYFUNCTION("""COMPUTED_VALUE"""),"")</f>
        <v/>
      </c>
      <c r="U424" s="246" t="str">
        <f>IFERROR(__xludf.DUMMYFUNCTION("""COMPUTED_VALUE"""),"")</f>
        <v/>
      </c>
      <c r="V424" s="247" t="str">
        <f t="shared" si="6"/>
        <v/>
      </c>
      <c r="W424" s="255" t="str">
        <f>IFERROR(__xludf.DUMMYFUNCTION("""COMPUTED_VALUE"""),"")</f>
        <v/>
      </c>
      <c r="X424" s="249" t="str">
        <f>IFERROR(__xludf.DUMMYFUNCTION("""COMPUTED_VALUE"""),"")</f>
        <v/>
      </c>
      <c r="Y424" s="250" t="str">
        <f t="shared" si="7"/>
        <v/>
      </c>
    </row>
    <row r="425">
      <c r="A425" s="136" t="s">
        <v>133</v>
      </c>
      <c r="B425" s="136"/>
      <c r="C425" s="136" t="s">
        <v>133</v>
      </c>
      <c r="D425" s="136"/>
      <c r="E425" s="256" t="str">
        <f>IFERROR(__xludf.DUMMYFUNCTION("""COMPUTED_VALUE"""),"")</f>
        <v/>
      </c>
      <c r="F425" s="257" t="str">
        <f>IFERROR(__xludf.DUMMYFUNCTION("""COMPUTED_VALUE"""),"")</f>
        <v/>
      </c>
      <c r="G425" s="247" t="str">
        <f t="shared" si="1"/>
        <v/>
      </c>
      <c r="H425" s="258" t="str">
        <f>IFERROR(__xludf.DUMMYFUNCTION("""COMPUTED_VALUE"""),"")</f>
        <v/>
      </c>
      <c r="I425" s="259" t="str">
        <f>IFERROR(__xludf.DUMMYFUNCTION("""COMPUTED_VALUE"""),"")</f>
        <v/>
      </c>
      <c r="J425" s="250" t="str">
        <f t="shared" si="2"/>
        <v/>
      </c>
      <c r="K425" s="317" t="str">
        <f>IFERROR(__xludf.DUMMYFUNCTION("""COMPUTED_VALUE"""),"")</f>
        <v/>
      </c>
      <c r="L425" s="318" t="str">
        <f>IFERROR(__xludf.DUMMYFUNCTION("""COMPUTED_VALUE"""),"")</f>
        <v/>
      </c>
      <c r="M425" s="253" t="str">
        <f t="shared" si="3"/>
        <v/>
      </c>
      <c r="N425" s="319" t="str">
        <f>IFERROR(__xludf.DUMMYFUNCTION("""COMPUTED_VALUE"""),"")</f>
        <v/>
      </c>
      <c r="O425" s="257" t="str">
        <f>IFERROR(__xludf.DUMMYFUNCTION("""COMPUTED_VALUE"""),"")</f>
        <v/>
      </c>
      <c r="P425" s="247" t="str">
        <f t="shared" si="4"/>
        <v/>
      </c>
      <c r="Q425" s="320" t="str">
        <f>IFERROR(__xludf.DUMMYFUNCTION("""COMPUTED_VALUE"""),"")</f>
        <v/>
      </c>
      <c r="R425" s="259" t="str">
        <f>IFERROR(__xludf.DUMMYFUNCTION("""COMPUTED_VALUE"""),"")</f>
        <v/>
      </c>
      <c r="S425" s="250" t="str">
        <f t="shared" si="5"/>
        <v/>
      </c>
      <c r="T425" s="254" t="str">
        <f>IFERROR(__xludf.DUMMYFUNCTION("""COMPUTED_VALUE"""),"")</f>
        <v/>
      </c>
      <c r="U425" s="246" t="str">
        <f>IFERROR(__xludf.DUMMYFUNCTION("""COMPUTED_VALUE"""),"")</f>
        <v/>
      </c>
      <c r="V425" s="247" t="str">
        <f t="shared" si="6"/>
        <v/>
      </c>
      <c r="W425" s="255" t="str">
        <f>IFERROR(__xludf.DUMMYFUNCTION("""COMPUTED_VALUE"""),"")</f>
        <v/>
      </c>
      <c r="X425" s="249" t="str">
        <f>IFERROR(__xludf.DUMMYFUNCTION("""COMPUTED_VALUE"""),"")</f>
        <v/>
      </c>
      <c r="Y425" s="250" t="str">
        <f t="shared" si="7"/>
        <v/>
      </c>
    </row>
    <row r="426">
      <c r="A426" s="136" t="s">
        <v>133</v>
      </c>
      <c r="B426" s="136"/>
      <c r="C426" s="136" t="s">
        <v>133</v>
      </c>
      <c r="D426" s="136"/>
      <c r="E426" s="256" t="str">
        <f>IFERROR(__xludf.DUMMYFUNCTION("""COMPUTED_VALUE"""),"")</f>
        <v/>
      </c>
      <c r="F426" s="257" t="str">
        <f>IFERROR(__xludf.DUMMYFUNCTION("""COMPUTED_VALUE"""),"")</f>
        <v/>
      </c>
      <c r="G426" s="247" t="str">
        <f t="shared" si="1"/>
        <v/>
      </c>
      <c r="H426" s="258" t="str">
        <f>IFERROR(__xludf.DUMMYFUNCTION("""COMPUTED_VALUE"""),"")</f>
        <v/>
      </c>
      <c r="I426" s="259" t="str">
        <f>IFERROR(__xludf.DUMMYFUNCTION("""COMPUTED_VALUE"""),"")</f>
        <v/>
      </c>
      <c r="J426" s="250" t="str">
        <f t="shared" si="2"/>
        <v/>
      </c>
      <c r="K426" s="317" t="str">
        <f>IFERROR(__xludf.DUMMYFUNCTION("""COMPUTED_VALUE"""),"")</f>
        <v/>
      </c>
      <c r="L426" s="318" t="str">
        <f>IFERROR(__xludf.DUMMYFUNCTION("""COMPUTED_VALUE"""),"")</f>
        <v/>
      </c>
      <c r="M426" s="253" t="str">
        <f t="shared" si="3"/>
        <v/>
      </c>
      <c r="N426" s="319" t="str">
        <f>IFERROR(__xludf.DUMMYFUNCTION("""COMPUTED_VALUE"""),"")</f>
        <v/>
      </c>
      <c r="O426" s="257" t="str">
        <f>IFERROR(__xludf.DUMMYFUNCTION("""COMPUTED_VALUE"""),"")</f>
        <v/>
      </c>
      <c r="P426" s="247" t="str">
        <f t="shared" si="4"/>
        <v/>
      </c>
      <c r="Q426" s="320" t="str">
        <f>IFERROR(__xludf.DUMMYFUNCTION("""COMPUTED_VALUE"""),"")</f>
        <v/>
      </c>
      <c r="R426" s="259" t="str">
        <f>IFERROR(__xludf.DUMMYFUNCTION("""COMPUTED_VALUE"""),"")</f>
        <v/>
      </c>
      <c r="S426" s="250" t="str">
        <f t="shared" si="5"/>
        <v/>
      </c>
      <c r="T426" s="254" t="str">
        <f>IFERROR(__xludf.DUMMYFUNCTION("""COMPUTED_VALUE"""),"")</f>
        <v/>
      </c>
      <c r="U426" s="246" t="str">
        <f>IFERROR(__xludf.DUMMYFUNCTION("""COMPUTED_VALUE"""),"")</f>
        <v/>
      </c>
      <c r="V426" s="247" t="str">
        <f t="shared" si="6"/>
        <v/>
      </c>
      <c r="W426" s="255" t="str">
        <f>IFERROR(__xludf.DUMMYFUNCTION("""COMPUTED_VALUE"""),"")</f>
        <v/>
      </c>
      <c r="X426" s="249" t="str">
        <f>IFERROR(__xludf.DUMMYFUNCTION("""COMPUTED_VALUE"""),"")</f>
        <v/>
      </c>
      <c r="Y426" s="250" t="str">
        <f t="shared" si="7"/>
        <v/>
      </c>
    </row>
    <row r="427">
      <c r="A427" s="136" t="s">
        <v>133</v>
      </c>
      <c r="B427" s="136"/>
      <c r="C427" s="136" t="s">
        <v>133</v>
      </c>
      <c r="D427" s="136"/>
      <c r="E427" s="256" t="str">
        <f>IFERROR(__xludf.DUMMYFUNCTION("""COMPUTED_VALUE"""),"")</f>
        <v/>
      </c>
      <c r="F427" s="257" t="str">
        <f>IFERROR(__xludf.DUMMYFUNCTION("""COMPUTED_VALUE"""),"")</f>
        <v/>
      </c>
      <c r="G427" s="247" t="str">
        <f t="shared" si="1"/>
        <v/>
      </c>
      <c r="H427" s="258" t="str">
        <f>IFERROR(__xludf.DUMMYFUNCTION("""COMPUTED_VALUE"""),"")</f>
        <v/>
      </c>
      <c r="I427" s="259" t="str">
        <f>IFERROR(__xludf.DUMMYFUNCTION("""COMPUTED_VALUE"""),"")</f>
        <v/>
      </c>
      <c r="J427" s="250" t="str">
        <f t="shared" si="2"/>
        <v/>
      </c>
      <c r="K427" s="317" t="str">
        <f>IFERROR(__xludf.DUMMYFUNCTION("""COMPUTED_VALUE"""),"")</f>
        <v/>
      </c>
      <c r="L427" s="318" t="str">
        <f>IFERROR(__xludf.DUMMYFUNCTION("""COMPUTED_VALUE"""),"")</f>
        <v/>
      </c>
      <c r="M427" s="253" t="str">
        <f t="shared" si="3"/>
        <v/>
      </c>
      <c r="N427" s="319" t="str">
        <f>IFERROR(__xludf.DUMMYFUNCTION("""COMPUTED_VALUE"""),"")</f>
        <v/>
      </c>
      <c r="O427" s="257" t="str">
        <f>IFERROR(__xludf.DUMMYFUNCTION("""COMPUTED_VALUE"""),"")</f>
        <v/>
      </c>
      <c r="P427" s="247" t="str">
        <f t="shared" si="4"/>
        <v/>
      </c>
      <c r="Q427" s="320" t="str">
        <f>IFERROR(__xludf.DUMMYFUNCTION("""COMPUTED_VALUE"""),"")</f>
        <v/>
      </c>
      <c r="R427" s="259" t="str">
        <f>IFERROR(__xludf.DUMMYFUNCTION("""COMPUTED_VALUE"""),"")</f>
        <v/>
      </c>
      <c r="S427" s="250" t="str">
        <f t="shared" si="5"/>
        <v/>
      </c>
      <c r="T427" s="254" t="str">
        <f>IFERROR(__xludf.DUMMYFUNCTION("""COMPUTED_VALUE"""),"")</f>
        <v/>
      </c>
      <c r="U427" s="246" t="str">
        <f>IFERROR(__xludf.DUMMYFUNCTION("""COMPUTED_VALUE"""),"")</f>
        <v/>
      </c>
      <c r="V427" s="247" t="str">
        <f t="shared" si="6"/>
        <v/>
      </c>
      <c r="W427" s="255" t="str">
        <f>IFERROR(__xludf.DUMMYFUNCTION("""COMPUTED_VALUE"""),"")</f>
        <v/>
      </c>
      <c r="X427" s="249" t="str">
        <f>IFERROR(__xludf.DUMMYFUNCTION("""COMPUTED_VALUE"""),"")</f>
        <v/>
      </c>
      <c r="Y427" s="250" t="str">
        <f t="shared" si="7"/>
        <v/>
      </c>
    </row>
    <row r="428">
      <c r="A428" s="136" t="s">
        <v>133</v>
      </c>
      <c r="B428" s="136"/>
      <c r="C428" s="136" t="s">
        <v>133</v>
      </c>
      <c r="D428" s="136"/>
      <c r="E428" s="256" t="str">
        <f>IFERROR(__xludf.DUMMYFUNCTION("""COMPUTED_VALUE"""),"")</f>
        <v/>
      </c>
      <c r="F428" s="257" t="str">
        <f>IFERROR(__xludf.DUMMYFUNCTION("""COMPUTED_VALUE"""),"")</f>
        <v/>
      </c>
      <c r="G428" s="247" t="str">
        <f t="shared" si="1"/>
        <v/>
      </c>
      <c r="H428" s="258" t="str">
        <f>IFERROR(__xludf.DUMMYFUNCTION("""COMPUTED_VALUE"""),"")</f>
        <v/>
      </c>
      <c r="I428" s="259" t="str">
        <f>IFERROR(__xludf.DUMMYFUNCTION("""COMPUTED_VALUE"""),"")</f>
        <v/>
      </c>
      <c r="J428" s="250" t="str">
        <f t="shared" si="2"/>
        <v/>
      </c>
      <c r="K428" s="317" t="str">
        <f>IFERROR(__xludf.DUMMYFUNCTION("""COMPUTED_VALUE"""),"")</f>
        <v/>
      </c>
      <c r="L428" s="318" t="str">
        <f>IFERROR(__xludf.DUMMYFUNCTION("""COMPUTED_VALUE"""),"")</f>
        <v/>
      </c>
      <c r="M428" s="253" t="str">
        <f t="shared" si="3"/>
        <v/>
      </c>
      <c r="N428" s="319" t="str">
        <f>IFERROR(__xludf.DUMMYFUNCTION("""COMPUTED_VALUE"""),"")</f>
        <v/>
      </c>
      <c r="O428" s="257" t="str">
        <f>IFERROR(__xludf.DUMMYFUNCTION("""COMPUTED_VALUE"""),"")</f>
        <v/>
      </c>
      <c r="P428" s="247" t="str">
        <f t="shared" si="4"/>
        <v/>
      </c>
      <c r="Q428" s="320" t="str">
        <f>IFERROR(__xludf.DUMMYFUNCTION("""COMPUTED_VALUE"""),"")</f>
        <v/>
      </c>
      <c r="R428" s="259" t="str">
        <f>IFERROR(__xludf.DUMMYFUNCTION("""COMPUTED_VALUE"""),"")</f>
        <v/>
      </c>
      <c r="S428" s="250" t="str">
        <f t="shared" si="5"/>
        <v/>
      </c>
      <c r="T428" s="254" t="str">
        <f>IFERROR(__xludf.DUMMYFUNCTION("""COMPUTED_VALUE"""),"")</f>
        <v/>
      </c>
      <c r="U428" s="246" t="str">
        <f>IFERROR(__xludf.DUMMYFUNCTION("""COMPUTED_VALUE"""),"")</f>
        <v/>
      </c>
      <c r="V428" s="247" t="str">
        <f t="shared" si="6"/>
        <v/>
      </c>
      <c r="W428" s="255" t="str">
        <f>IFERROR(__xludf.DUMMYFUNCTION("""COMPUTED_VALUE"""),"")</f>
        <v/>
      </c>
      <c r="X428" s="249" t="str">
        <f>IFERROR(__xludf.DUMMYFUNCTION("""COMPUTED_VALUE"""),"")</f>
        <v/>
      </c>
      <c r="Y428" s="250" t="str">
        <f t="shared" si="7"/>
        <v/>
      </c>
    </row>
    <row r="429">
      <c r="A429" s="136" t="s">
        <v>133</v>
      </c>
      <c r="B429" s="136"/>
      <c r="C429" s="136" t="s">
        <v>133</v>
      </c>
      <c r="D429" s="136"/>
      <c r="E429" s="256" t="str">
        <f>IFERROR(__xludf.DUMMYFUNCTION("""COMPUTED_VALUE"""),"")</f>
        <v/>
      </c>
      <c r="F429" s="257" t="str">
        <f>IFERROR(__xludf.DUMMYFUNCTION("""COMPUTED_VALUE"""),"")</f>
        <v/>
      </c>
      <c r="G429" s="247" t="str">
        <f t="shared" si="1"/>
        <v/>
      </c>
      <c r="H429" s="258" t="str">
        <f>IFERROR(__xludf.DUMMYFUNCTION("""COMPUTED_VALUE"""),"")</f>
        <v/>
      </c>
      <c r="I429" s="259" t="str">
        <f>IFERROR(__xludf.DUMMYFUNCTION("""COMPUTED_VALUE"""),"")</f>
        <v/>
      </c>
      <c r="J429" s="250" t="str">
        <f t="shared" si="2"/>
        <v/>
      </c>
      <c r="K429" s="317" t="str">
        <f>IFERROR(__xludf.DUMMYFUNCTION("""COMPUTED_VALUE"""),"")</f>
        <v/>
      </c>
      <c r="L429" s="318" t="str">
        <f>IFERROR(__xludf.DUMMYFUNCTION("""COMPUTED_VALUE"""),"")</f>
        <v/>
      </c>
      <c r="M429" s="253" t="str">
        <f t="shared" si="3"/>
        <v/>
      </c>
      <c r="N429" s="319" t="str">
        <f>IFERROR(__xludf.DUMMYFUNCTION("""COMPUTED_VALUE"""),"")</f>
        <v/>
      </c>
      <c r="O429" s="257" t="str">
        <f>IFERROR(__xludf.DUMMYFUNCTION("""COMPUTED_VALUE"""),"")</f>
        <v/>
      </c>
      <c r="P429" s="247" t="str">
        <f t="shared" si="4"/>
        <v/>
      </c>
      <c r="Q429" s="320" t="str">
        <f>IFERROR(__xludf.DUMMYFUNCTION("""COMPUTED_VALUE"""),"")</f>
        <v/>
      </c>
      <c r="R429" s="259" t="str">
        <f>IFERROR(__xludf.DUMMYFUNCTION("""COMPUTED_VALUE"""),"")</f>
        <v/>
      </c>
      <c r="S429" s="250" t="str">
        <f t="shared" si="5"/>
        <v/>
      </c>
      <c r="T429" s="254" t="str">
        <f>IFERROR(__xludf.DUMMYFUNCTION("""COMPUTED_VALUE"""),"")</f>
        <v/>
      </c>
      <c r="U429" s="246" t="str">
        <f>IFERROR(__xludf.DUMMYFUNCTION("""COMPUTED_VALUE"""),"")</f>
        <v/>
      </c>
      <c r="V429" s="247" t="str">
        <f t="shared" si="6"/>
        <v/>
      </c>
      <c r="W429" s="255" t="str">
        <f>IFERROR(__xludf.DUMMYFUNCTION("""COMPUTED_VALUE"""),"")</f>
        <v/>
      </c>
      <c r="X429" s="249" t="str">
        <f>IFERROR(__xludf.DUMMYFUNCTION("""COMPUTED_VALUE"""),"")</f>
        <v/>
      </c>
      <c r="Y429" s="250" t="str">
        <f t="shared" si="7"/>
        <v/>
      </c>
    </row>
    <row r="430">
      <c r="A430" s="136" t="s">
        <v>133</v>
      </c>
      <c r="B430" s="136"/>
      <c r="C430" s="136" t="s">
        <v>133</v>
      </c>
      <c r="D430" s="136"/>
      <c r="E430" s="256" t="str">
        <f>IFERROR(__xludf.DUMMYFUNCTION("""COMPUTED_VALUE"""),"")</f>
        <v/>
      </c>
      <c r="F430" s="257" t="str">
        <f>IFERROR(__xludf.DUMMYFUNCTION("""COMPUTED_VALUE"""),"")</f>
        <v/>
      </c>
      <c r="G430" s="247" t="str">
        <f t="shared" si="1"/>
        <v/>
      </c>
      <c r="H430" s="258" t="str">
        <f>IFERROR(__xludf.DUMMYFUNCTION("""COMPUTED_VALUE"""),"")</f>
        <v/>
      </c>
      <c r="I430" s="259" t="str">
        <f>IFERROR(__xludf.DUMMYFUNCTION("""COMPUTED_VALUE"""),"")</f>
        <v/>
      </c>
      <c r="J430" s="250" t="str">
        <f t="shared" si="2"/>
        <v/>
      </c>
      <c r="K430" s="317" t="str">
        <f>IFERROR(__xludf.DUMMYFUNCTION("""COMPUTED_VALUE"""),"")</f>
        <v/>
      </c>
      <c r="L430" s="318" t="str">
        <f>IFERROR(__xludf.DUMMYFUNCTION("""COMPUTED_VALUE"""),"")</f>
        <v/>
      </c>
      <c r="M430" s="253" t="str">
        <f t="shared" si="3"/>
        <v/>
      </c>
      <c r="N430" s="319" t="str">
        <f>IFERROR(__xludf.DUMMYFUNCTION("""COMPUTED_VALUE"""),"")</f>
        <v/>
      </c>
      <c r="O430" s="257" t="str">
        <f>IFERROR(__xludf.DUMMYFUNCTION("""COMPUTED_VALUE"""),"")</f>
        <v/>
      </c>
      <c r="P430" s="247" t="str">
        <f t="shared" si="4"/>
        <v/>
      </c>
      <c r="Q430" s="320" t="str">
        <f>IFERROR(__xludf.DUMMYFUNCTION("""COMPUTED_VALUE"""),"")</f>
        <v/>
      </c>
      <c r="R430" s="259" t="str">
        <f>IFERROR(__xludf.DUMMYFUNCTION("""COMPUTED_VALUE"""),"")</f>
        <v/>
      </c>
      <c r="S430" s="250" t="str">
        <f t="shared" si="5"/>
        <v/>
      </c>
      <c r="T430" s="254" t="str">
        <f>IFERROR(__xludf.DUMMYFUNCTION("""COMPUTED_VALUE"""),"")</f>
        <v/>
      </c>
      <c r="U430" s="246" t="str">
        <f>IFERROR(__xludf.DUMMYFUNCTION("""COMPUTED_VALUE"""),"")</f>
        <v/>
      </c>
      <c r="V430" s="247" t="str">
        <f t="shared" si="6"/>
        <v/>
      </c>
      <c r="W430" s="255" t="str">
        <f>IFERROR(__xludf.DUMMYFUNCTION("""COMPUTED_VALUE"""),"")</f>
        <v/>
      </c>
      <c r="X430" s="249" t="str">
        <f>IFERROR(__xludf.DUMMYFUNCTION("""COMPUTED_VALUE"""),"")</f>
        <v/>
      </c>
      <c r="Y430" s="250" t="str">
        <f t="shared" si="7"/>
        <v/>
      </c>
    </row>
    <row r="431">
      <c r="A431" s="136" t="s">
        <v>133</v>
      </c>
      <c r="B431" s="136"/>
      <c r="C431" s="136" t="s">
        <v>133</v>
      </c>
      <c r="D431" s="136"/>
      <c r="E431" s="256" t="str">
        <f>IFERROR(__xludf.DUMMYFUNCTION("""COMPUTED_VALUE"""),"")</f>
        <v/>
      </c>
      <c r="F431" s="257" t="str">
        <f>IFERROR(__xludf.DUMMYFUNCTION("""COMPUTED_VALUE"""),"")</f>
        <v/>
      </c>
      <c r="G431" s="247" t="str">
        <f t="shared" si="1"/>
        <v/>
      </c>
      <c r="H431" s="258" t="str">
        <f>IFERROR(__xludf.DUMMYFUNCTION("""COMPUTED_VALUE"""),"")</f>
        <v/>
      </c>
      <c r="I431" s="259" t="str">
        <f>IFERROR(__xludf.DUMMYFUNCTION("""COMPUTED_VALUE"""),"")</f>
        <v/>
      </c>
      <c r="J431" s="250" t="str">
        <f t="shared" si="2"/>
        <v/>
      </c>
      <c r="K431" s="317" t="str">
        <f>IFERROR(__xludf.DUMMYFUNCTION("""COMPUTED_VALUE"""),"")</f>
        <v/>
      </c>
      <c r="L431" s="318" t="str">
        <f>IFERROR(__xludf.DUMMYFUNCTION("""COMPUTED_VALUE"""),"")</f>
        <v/>
      </c>
      <c r="M431" s="253" t="str">
        <f t="shared" si="3"/>
        <v/>
      </c>
      <c r="N431" s="319" t="str">
        <f>IFERROR(__xludf.DUMMYFUNCTION("""COMPUTED_VALUE"""),"")</f>
        <v/>
      </c>
      <c r="O431" s="257" t="str">
        <f>IFERROR(__xludf.DUMMYFUNCTION("""COMPUTED_VALUE"""),"")</f>
        <v/>
      </c>
      <c r="P431" s="247" t="str">
        <f t="shared" si="4"/>
        <v/>
      </c>
      <c r="Q431" s="320" t="str">
        <f>IFERROR(__xludf.DUMMYFUNCTION("""COMPUTED_VALUE"""),"")</f>
        <v/>
      </c>
      <c r="R431" s="259" t="str">
        <f>IFERROR(__xludf.DUMMYFUNCTION("""COMPUTED_VALUE"""),"")</f>
        <v/>
      </c>
      <c r="S431" s="250" t="str">
        <f t="shared" si="5"/>
        <v/>
      </c>
      <c r="T431" s="254" t="str">
        <f>IFERROR(__xludf.DUMMYFUNCTION("""COMPUTED_VALUE"""),"")</f>
        <v/>
      </c>
      <c r="U431" s="246" t="str">
        <f>IFERROR(__xludf.DUMMYFUNCTION("""COMPUTED_VALUE"""),"")</f>
        <v/>
      </c>
      <c r="V431" s="247" t="str">
        <f t="shared" si="6"/>
        <v/>
      </c>
      <c r="W431" s="255" t="str">
        <f>IFERROR(__xludf.DUMMYFUNCTION("""COMPUTED_VALUE"""),"")</f>
        <v/>
      </c>
      <c r="X431" s="249" t="str">
        <f>IFERROR(__xludf.DUMMYFUNCTION("""COMPUTED_VALUE"""),"")</f>
        <v/>
      </c>
      <c r="Y431" s="250" t="str">
        <f t="shared" si="7"/>
        <v/>
      </c>
    </row>
    <row r="432">
      <c r="A432" s="136" t="s">
        <v>133</v>
      </c>
      <c r="B432" s="136"/>
      <c r="C432" s="136" t="s">
        <v>133</v>
      </c>
      <c r="D432" s="136"/>
      <c r="E432" s="256" t="str">
        <f>IFERROR(__xludf.DUMMYFUNCTION("""COMPUTED_VALUE"""),"")</f>
        <v/>
      </c>
      <c r="F432" s="257" t="str">
        <f>IFERROR(__xludf.DUMMYFUNCTION("""COMPUTED_VALUE"""),"")</f>
        <v/>
      </c>
      <c r="G432" s="247" t="str">
        <f t="shared" si="1"/>
        <v/>
      </c>
      <c r="H432" s="258" t="str">
        <f>IFERROR(__xludf.DUMMYFUNCTION("""COMPUTED_VALUE"""),"")</f>
        <v/>
      </c>
      <c r="I432" s="259" t="str">
        <f>IFERROR(__xludf.DUMMYFUNCTION("""COMPUTED_VALUE"""),"")</f>
        <v/>
      </c>
      <c r="J432" s="250" t="str">
        <f t="shared" si="2"/>
        <v/>
      </c>
      <c r="K432" s="317" t="str">
        <f>IFERROR(__xludf.DUMMYFUNCTION("""COMPUTED_VALUE"""),"")</f>
        <v/>
      </c>
      <c r="L432" s="318" t="str">
        <f>IFERROR(__xludf.DUMMYFUNCTION("""COMPUTED_VALUE"""),"")</f>
        <v/>
      </c>
      <c r="M432" s="253" t="str">
        <f t="shared" si="3"/>
        <v/>
      </c>
      <c r="N432" s="319" t="str">
        <f>IFERROR(__xludf.DUMMYFUNCTION("""COMPUTED_VALUE"""),"")</f>
        <v/>
      </c>
      <c r="O432" s="257" t="str">
        <f>IFERROR(__xludf.DUMMYFUNCTION("""COMPUTED_VALUE"""),"")</f>
        <v/>
      </c>
      <c r="P432" s="247" t="str">
        <f t="shared" si="4"/>
        <v/>
      </c>
      <c r="Q432" s="320" t="str">
        <f>IFERROR(__xludf.DUMMYFUNCTION("""COMPUTED_VALUE"""),"")</f>
        <v/>
      </c>
      <c r="R432" s="259" t="str">
        <f>IFERROR(__xludf.DUMMYFUNCTION("""COMPUTED_VALUE"""),"")</f>
        <v/>
      </c>
      <c r="S432" s="250" t="str">
        <f t="shared" si="5"/>
        <v/>
      </c>
      <c r="T432" s="254" t="str">
        <f>IFERROR(__xludf.DUMMYFUNCTION("""COMPUTED_VALUE"""),"")</f>
        <v/>
      </c>
      <c r="U432" s="246" t="str">
        <f>IFERROR(__xludf.DUMMYFUNCTION("""COMPUTED_VALUE"""),"")</f>
        <v/>
      </c>
      <c r="V432" s="247" t="str">
        <f t="shared" si="6"/>
        <v/>
      </c>
      <c r="W432" s="255" t="str">
        <f>IFERROR(__xludf.DUMMYFUNCTION("""COMPUTED_VALUE"""),"")</f>
        <v/>
      </c>
      <c r="X432" s="249" t="str">
        <f>IFERROR(__xludf.DUMMYFUNCTION("""COMPUTED_VALUE"""),"")</f>
        <v/>
      </c>
      <c r="Y432" s="250" t="str">
        <f t="shared" si="7"/>
        <v/>
      </c>
    </row>
    <row r="433">
      <c r="A433" s="136" t="s">
        <v>133</v>
      </c>
      <c r="B433" s="136"/>
      <c r="C433" s="136" t="s">
        <v>133</v>
      </c>
      <c r="D433" s="136"/>
      <c r="E433" s="256" t="str">
        <f>IFERROR(__xludf.DUMMYFUNCTION("""COMPUTED_VALUE"""),"")</f>
        <v/>
      </c>
      <c r="F433" s="257" t="str">
        <f>IFERROR(__xludf.DUMMYFUNCTION("""COMPUTED_VALUE"""),"")</f>
        <v/>
      </c>
      <c r="G433" s="247" t="str">
        <f t="shared" si="1"/>
        <v/>
      </c>
      <c r="H433" s="258" t="str">
        <f>IFERROR(__xludf.DUMMYFUNCTION("""COMPUTED_VALUE"""),"")</f>
        <v/>
      </c>
      <c r="I433" s="259" t="str">
        <f>IFERROR(__xludf.DUMMYFUNCTION("""COMPUTED_VALUE"""),"")</f>
        <v/>
      </c>
      <c r="J433" s="250" t="str">
        <f t="shared" si="2"/>
        <v/>
      </c>
      <c r="K433" s="317" t="str">
        <f>IFERROR(__xludf.DUMMYFUNCTION("""COMPUTED_VALUE"""),"")</f>
        <v/>
      </c>
      <c r="L433" s="318" t="str">
        <f>IFERROR(__xludf.DUMMYFUNCTION("""COMPUTED_VALUE"""),"")</f>
        <v/>
      </c>
      <c r="M433" s="253" t="str">
        <f t="shared" si="3"/>
        <v/>
      </c>
      <c r="N433" s="319" t="str">
        <f>IFERROR(__xludf.DUMMYFUNCTION("""COMPUTED_VALUE"""),"")</f>
        <v/>
      </c>
      <c r="O433" s="257" t="str">
        <f>IFERROR(__xludf.DUMMYFUNCTION("""COMPUTED_VALUE"""),"")</f>
        <v/>
      </c>
      <c r="P433" s="247" t="str">
        <f t="shared" si="4"/>
        <v/>
      </c>
      <c r="Q433" s="320" t="str">
        <f>IFERROR(__xludf.DUMMYFUNCTION("""COMPUTED_VALUE"""),"")</f>
        <v/>
      </c>
      <c r="R433" s="259" t="str">
        <f>IFERROR(__xludf.DUMMYFUNCTION("""COMPUTED_VALUE"""),"")</f>
        <v/>
      </c>
      <c r="S433" s="250" t="str">
        <f t="shared" si="5"/>
        <v/>
      </c>
      <c r="T433" s="254" t="str">
        <f>IFERROR(__xludf.DUMMYFUNCTION("""COMPUTED_VALUE"""),"")</f>
        <v/>
      </c>
      <c r="U433" s="246" t="str">
        <f>IFERROR(__xludf.DUMMYFUNCTION("""COMPUTED_VALUE"""),"")</f>
        <v/>
      </c>
      <c r="V433" s="247" t="str">
        <f t="shared" si="6"/>
        <v/>
      </c>
      <c r="W433" s="255" t="str">
        <f>IFERROR(__xludf.DUMMYFUNCTION("""COMPUTED_VALUE"""),"")</f>
        <v/>
      </c>
      <c r="X433" s="249" t="str">
        <f>IFERROR(__xludf.DUMMYFUNCTION("""COMPUTED_VALUE"""),"")</f>
        <v/>
      </c>
      <c r="Y433" s="250" t="str">
        <f t="shared" si="7"/>
        <v/>
      </c>
    </row>
    <row r="434">
      <c r="A434" s="136" t="s">
        <v>133</v>
      </c>
      <c r="B434" s="136"/>
      <c r="C434" s="136" t="s">
        <v>133</v>
      </c>
      <c r="D434" s="136"/>
      <c r="E434" s="256" t="str">
        <f>IFERROR(__xludf.DUMMYFUNCTION("""COMPUTED_VALUE"""),"")</f>
        <v/>
      </c>
      <c r="F434" s="257" t="str">
        <f>IFERROR(__xludf.DUMMYFUNCTION("""COMPUTED_VALUE"""),"")</f>
        <v/>
      </c>
      <c r="G434" s="247" t="str">
        <f t="shared" si="1"/>
        <v/>
      </c>
      <c r="H434" s="258" t="str">
        <f>IFERROR(__xludf.DUMMYFUNCTION("""COMPUTED_VALUE"""),"")</f>
        <v/>
      </c>
      <c r="I434" s="259" t="str">
        <f>IFERROR(__xludf.DUMMYFUNCTION("""COMPUTED_VALUE"""),"")</f>
        <v/>
      </c>
      <c r="J434" s="250" t="str">
        <f t="shared" si="2"/>
        <v/>
      </c>
      <c r="K434" s="317" t="str">
        <f>IFERROR(__xludf.DUMMYFUNCTION("""COMPUTED_VALUE"""),"")</f>
        <v/>
      </c>
      <c r="L434" s="318" t="str">
        <f>IFERROR(__xludf.DUMMYFUNCTION("""COMPUTED_VALUE"""),"")</f>
        <v/>
      </c>
      <c r="M434" s="253" t="str">
        <f t="shared" si="3"/>
        <v/>
      </c>
      <c r="N434" s="319" t="str">
        <f>IFERROR(__xludf.DUMMYFUNCTION("""COMPUTED_VALUE"""),"")</f>
        <v/>
      </c>
      <c r="O434" s="257" t="str">
        <f>IFERROR(__xludf.DUMMYFUNCTION("""COMPUTED_VALUE"""),"")</f>
        <v/>
      </c>
      <c r="P434" s="247" t="str">
        <f t="shared" si="4"/>
        <v/>
      </c>
      <c r="Q434" s="320" t="str">
        <f>IFERROR(__xludf.DUMMYFUNCTION("""COMPUTED_VALUE"""),"")</f>
        <v/>
      </c>
      <c r="R434" s="259" t="str">
        <f>IFERROR(__xludf.DUMMYFUNCTION("""COMPUTED_VALUE"""),"")</f>
        <v/>
      </c>
      <c r="S434" s="250" t="str">
        <f t="shared" si="5"/>
        <v/>
      </c>
      <c r="T434" s="254" t="str">
        <f>IFERROR(__xludf.DUMMYFUNCTION("""COMPUTED_VALUE"""),"")</f>
        <v/>
      </c>
      <c r="U434" s="246" t="str">
        <f>IFERROR(__xludf.DUMMYFUNCTION("""COMPUTED_VALUE"""),"")</f>
        <v/>
      </c>
      <c r="V434" s="247" t="str">
        <f t="shared" si="6"/>
        <v/>
      </c>
      <c r="W434" s="255" t="str">
        <f>IFERROR(__xludf.DUMMYFUNCTION("""COMPUTED_VALUE"""),"")</f>
        <v/>
      </c>
      <c r="X434" s="249" t="str">
        <f>IFERROR(__xludf.DUMMYFUNCTION("""COMPUTED_VALUE"""),"")</f>
        <v/>
      </c>
      <c r="Y434" s="250" t="str">
        <f t="shared" si="7"/>
        <v/>
      </c>
    </row>
    <row r="435">
      <c r="A435" s="136" t="s">
        <v>133</v>
      </c>
      <c r="B435" s="136"/>
      <c r="C435" s="136" t="s">
        <v>133</v>
      </c>
      <c r="D435" s="136"/>
      <c r="E435" s="256" t="str">
        <f>IFERROR(__xludf.DUMMYFUNCTION("""COMPUTED_VALUE"""),"")</f>
        <v/>
      </c>
      <c r="F435" s="257" t="str">
        <f>IFERROR(__xludf.DUMMYFUNCTION("""COMPUTED_VALUE"""),"")</f>
        <v/>
      </c>
      <c r="G435" s="247" t="str">
        <f t="shared" si="1"/>
        <v/>
      </c>
      <c r="H435" s="258" t="str">
        <f>IFERROR(__xludf.DUMMYFUNCTION("""COMPUTED_VALUE"""),"")</f>
        <v/>
      </c>
      <c r="I435" s="259" t="str">
        <f>IFERROR(__xludf.DUMMYFUNCTION("""COMPUTED_VALUE"""),"")</f>
        <v/>
      </c>
      <c r="J435" s="250" t="str">
        <f t="shared" si="2"/>
        <v/>
      </c>
      <c r="K435" s="317" t="str">
        <f>IFERROR(__xludf.DUMMYFUNCTION("""COMPUTED_VALUE"""),"")</f>
        <v/>
      </c>
      <c r="L435" s="318" t="str">
        <f>IFERROR(__xludf.DUMMYFUNCTION("""COMPUTED_VALUE"""),"")</f>
        <v/>
      </c>
      <c r="M435" s="253" t="str">
        <f t="shared" si="3"/>
        <v/>
      </c>
      <c r="N435" s="319" t="str">
        <f>IFERROR(__xludf.DUMMYFUNCTION("""COMPUTED_VALUE"""),"")</f>
        <v/>
      </c>
      <c r="O435" s="257" t="str">
        <f>IFERROR(__xludf.DUMMYFUNCTION("""COMPUTED_VALUE"""),"")</f>
        <v/>
      </c>
      <c r="P435" s="247" t="str">
        <f t="shared" si="4"/>
        <v/>
      </c>
      <c r="Q435" s="320" t="str">
        <f>IFERROR(__xludf.DUMMYFUNCTION("""COMPUTED_VALUE"""),"")</f>
        <v/>
      </c>
      <c r="R435" s="259" t="str">
        <f>IFERROR(__xludf.DUMMYFUNCTION("""COMPUTED_VALUE"""),"")</f>
        <v/>
      </c>
      <c r="S435" s="250" t="str">
        <f t="shared" si="5"/>
        <v/>
      </c>
      <c r="T435" s="254" t="str">
        <f>IFERROR(__xludf.DUMMYFUNCTION("""COMPUTED_VALUE"""),"")</f>
        <v/>
      </c>
      <c r="U435" s="246" t="str">
        <f>IFERROR(__xludf.DUMMYFUNCTION("""COMPUTED_VALUE"""),"")</f>
        <v/>
      </c>
      <c r="V435" s="247" t="str">
        <f t="shared" si="6"/>
        <v/>
      </c>
      <c r="W435" s="255" t="str">
        <f>IFERROR(__xludf.DUMMYFUNCTION("""COMPUTED_VALUE"""),"")</f>
        <v/>
      </c>
      <c r="X435" s="249" t="str">
        <f>IFERROR(__xludf.DUMMYFUNCTION("""COMPUTED_VALUE"""),"")</f>
        <v/>
      </c>
      <c r="Y435" s="250" t="str">
        <f t="shared" si="7"/>
        <v/>
      </c>
    </row>
    <row r="436">
      <c r="A436" s="136" t="s">
        <v>133</v>
      </c>
      <c r="B436" s="136"/>
      <c r="C436" s="136" t="s">
        <v>133</v>
      </c>
      <c r="D436" s="136"/>
      <c r="E436" s="256" t="str">
        <f>IFERROR(__xludf.DUMMYFUNCTION("""COMPUTED_VALUE"""),"")</f>
        <v/>
      </c>
      <c r="F436" s="257" t="str">
        <f>IFERROR(__xludf.DUMMYFUNCTION("""COMPUTED_VALUE"""),"")</f>
        <v/>
      </c>
      <c r="G436" s="247" t="str">
        <f t="shared" si="1"/>
        <v/>
      </c>
      <c r="H436" s="258" t="str">
        <f>IFERROR(__xludf.DUMMYFUNCTION("""COMPUTED_VALUE"""),"")</f>
        <v/>
      </c>
      <c r="I436" s="259" t="str">
        <f>IFERROR(__xludf.DUMMYFUNCTION("""COMPUTED_VALUE"""),"")</f>
        <v/>
      </c>
      <c r="J436" s="250" t="str">
        <f t="shared" si="2"/>
        <v/>
      </c>
      <c r="K436" s="317" t="str">
        <f>IFERROR(__xludf.DUMMYFUNCTION("""COMPUTED_VALUE"""),"")</f>
        <v/>
      </c>
      <c r="L436" s="318" t="str">
        <f>IFERROR(__xludf.DUMMYFUNCTION("""COMPUTED_VALUE"""),"")</f>
        <v/>
      </c>
      <c r="M436" s="253" t="str">
        <f t="shared" si="3"/>
        <v/>
      </c>
      <c r="N436" s="319" t="str">
        <f>IFERROR(__xludf.DUMMYFUNCTION("""COMPUTED_VALUE"""),"")</f>
        <v/>
      </c>
      <c r="O436" s="257" t="str">
        <f>IFERROR(__xludf.DUMMYFUNCTION("""COMPUTED_VALUE"""),"")</f>
        <v/>
      </c>
      <c r="P436" s="247" t="str">
        <f t="shared" si="4"/>
        <v/>
      </c>
      <c r="Q436" s="320" t="str">
        <f>IFERROR(__xludf.DUMMYFUNCTION("""COMPUTED_VALUE"""),"")</f>
        <v/>
      </c>
      <c r="R436" s="259" t="str">
        <f>IFERROR(__xludf.DUMMYFUNCTION("""COMPUTED_VALUE"""),"")</f>
        <v/>
      </c>
      <c r="S436" s="250" t="str">
        <f t="shared" si="5"/>
        <v/>
      </c>
      <c r="T436" s="254" t="str">
        <f>IFERROR(__xludf.DUMMYFUNCTION("""COMPUTED_VALUE"""),"")</f>
        <v/>
      </c>
      <c r="U436" s="246" t="str">
        <f>IFERROR(__xludf.DUMMYFUNCTION("""COMPUTED_VALUE"""),"")</f>
        <v/>
      </c>
      <c r="V436" s="247" t="str">
        <f t="shared" si="6"/>
        <v/>
      </c>
      <c r="W436" s="255" t="str">
        <f>IFERROR(__xludf.DUMMYFUNCTION("""COMPUTED_VALUE"""),"")</f>
        <v/>
      </c>
      <c r="X436" s="249" t="str">
        <f>IFERROR(__xludf.DUMMYFUNCTION("""COMPUTED_VALUE"""),"")</f>
        <v/>
      </c>
      <c r="Y436" s="250" t="str">
        <f t="shared" si="7"/>
        <v/>
      </c>
    </row>
    <row r="437">
      <c r="A437" s="136" t="s">
        <v>133</v>
      </c>
      <c r="B437" s="136"/>
      <c r="C437" s="136" t="s">
        <v>133</v>
      </c>
      <c r="D437" s="136"/>
      <c r="E437" s="256" t="str">
        <f>IFERROR(__xludf.DUMMYFUNCTION("""COMPUTED_VALUE"""),"")</f>
        <v/>
      </c>
      <c r="F437" s="257" t="str">
        <f>IFERROR(__xludf.DUMMYFUNCTION("""COMPUTED_VALUE"""),"")</f>
        <v/>
      </c>
      <c r="G437" s="247" t="str">
        <f t="shared" si="1"/>
        <v/>
      </c>
      <c r="H437" s="258" t="str">
        <f>IFERROR(__xludf.DUMMYFUNCTION("""COMPUTED_VALUE"""),"")</f>
        <v/>
      </c>
      <c r="I437" s="259" t="str">
        <f>IFERROR(__xludf.DUMMYFUNCTION("""COMPUTED_VALUE"""),"")</f>
        <v/>
      </c>
      <c r="J437" s="250" t="str">
        <f t="shared" si="2"/>
        <v/>
      </c>
      <c r="K437" s="317" t="str">
        <f>IFERROR(__xludf.DUMMYFUNCTION("""COMPUTED_VALUE"""),"")</f>
        <v/>
      </c>
      <c r="L437" s="318" t="str">
        <f>IFERROR(__xludf.DUMMYFUNCTION("""COMPUTED_VALUE"""),"")</f>
        <v/>
      </c>
      <c r="M437" s="253" t="str">
        <f t="shared" si="3"/>
        <v/>
      </c>
      <c r="N437" s="319" t="str">
        <f>IFERROR(__xludf.DUMMYFUNCTION("""COMPUTED_VALUE"""),"")</f>
        <v/>
      </c>
      <c r="O437" s="257" t="str">
        <f>IFERROR(__xludf.DUMMYFUNCTION("""COMPUTED_VALUE"""),"")</f>
        <v/>
      </c>
      <c r="P437" s="247" t="str">
        <f t="shared" si="4"/>
        <v/>
      </c>
      <c r="Q437" s="320" t="str">
        <f>IFERROR(__xludf.DUMMYFUNCTION("""COMPUTED_VALUE"""),"")</f>
        <v/>
      </c>
      <c r="R437" s="259" t="str">
        <f>IFERROR(__xludf.DUMMYFUNCTION("""COMPUTED_VALUE"""),"")</f>
        <v/>
      </c>
      <c r="S437" s="250" t="str">
        <f t="shared" si="5"/>
        <v/>
      </c>
      <c r="T437" s="254" t="str">
        <f>IFERROR(__xludf.DUMMYFUNCTION("""COMPUTED_VALUE"""),"")</f>
        <v/>
      </c>
      <c r="U437" s="246" t="str">
        <f>IFERROR(__xludf.DUMMYFUNCTION("""COMPUTED_VALUE"""),"")</f>
        <v/>
      </c>
      <c r="V437" s="247" t="str">
        <f t="shared" si="6"/>
        <v/>
      </c>
      <c r="W437" s="255" t="str">
        <f>IFERROR(__xludf.DUMMYFUNCTION("""COMPUTED_VALUE"""),"")</f>
        <v/>
      </c>
      <c r="X437" s="249" t="str">
        <f>IFERROR(__xludf.DUMMYFUNCTION("""COMPUTED_VALUE"""),"")</f>
        <v/>
      </c>
      <c r="Y437" s="250" t="str">
        <f t="shared" si="7"/>
        <v/>
      </c>
    </row>
    <row r="438">
      <c r="A438" s="136" t="s">
        <v>133</v>
      </c>
      <c r="B438" s="136"/>
      <c r="C438" s="136" t="s">
        <v>133</v>
      </c>
      <c r="D438" s="136"/>
      <c r="E438" s="256" t="str">
        <f>IFERROR(__xludf.DUMMYFUNCTION("""COMPUTED_VALUE"""),"")</f>
        <v/>
      </c>
      <c r="F438" s="257" t="str">
        <f>IFERROR(__xludf.DUMMYFUNCTION("""COMPUTED_VALUE"""),"")</f>
        <v/>
      </c>
      <c r="G438" s="247" t="str">
        <f t="shared" si="1"/>
        <v/>
      </c>
      <c r="H438" s="258" t="str">
        <f>IFERROR(__xludf.DUMMYFUNCTION("""COMPUTED_VALUE"""),"")</f>
        <v/>
      </c>
      <c r="I438" s="259" t="str">
        <f>IFERROR(__xludf.DUMMYFUNCTION("""COMPUTED_VALUE"""),"")</f>
        <v/>
      </c>
      <c r="J438" s="250" t="str">
        <f t="shared" si="2"/>
        <v/>
      </c>
      <c r="K438" s="317" t="str">
        <f>IFERROR(__xludf.DUMMYFUNCTION("""COMPUTED_VALUE"""),"")</f>
        <v/>
      </c>
      <c r="L438" s="318" t="str">
        <f>IFERROR(__xludf.DUMMYFUNCTION("""COMPUTED_VALUE"""),"")</f>
        <v/>
      </c>
      <c r="M438" s="253" t="str">
        <f t="shared" si="3"/>
        <v/>
      </c>
      <c r="N438" s="319" t="str">
        <f>IFERROR(__xludf.DUMMYFUNCTION("""COMPUTED_VALUE"""),"")</f>
        <v/>
      </c>
      <c r="O438" s="257" t="str">
        <f>IFERROR(__xludf.DUMMYFUNCTION("""COMPUTED_VALUE"""),"")</f>
        <v/>
      </c>
      <c r="P438" s="247" t="str">
        <f t="shared" si="4"/>
        <v/>
      </c>
      <c r="Q438" s="320" t="str">
        <f>IFERROR(__xludf.DUMMYFUNCTION("""COMPUTED_VALUE"""),"")</f>
        <v/>
      </c>
      <c r="R438" s="259" t="str">
        <f>IFERROR(__xludf.DUMMYFUNCTION("""COMPUTED_VALUE"""),"")</f>
        <v/>
      </c>
      <c r="S438" s="250" t="str">
        <f t="shared" si="5"/>
        <v/>
      </c>
      <c r="T438" s="254" t="str">
        <f>IFERROR(__xludf.DUMMYFUNCTION("""COMPUTED_VALUE"""),"")</f>
        <v/>
      </c>
      <c r="U438" s="246" t="str">
        <f>IFERROR(__xludf.DUMMYFUNCTION("""COMPUTED_VALUE"""),"")</f>
        <v/>
      </c>
      <c r="V438" s="247" t="str">
        <f t="shared" si="6"/>
        <v/>
      </c>
      <c r="W438" s="255" t="str">
        <f>IFERROR(__xludf.DUMMYFUNCTION("""COMPUTED_VALUE"""),"")</f>
        <v/>
      </c>
      <c r="X438" s="249" t="str">
        <f>IFERROR(__xludf.DUMMYFUNCTION("""COMPUTED_VALUE"""),"")</f>
        <v/>
      </c>
      <c r="Y438" s="250" t="str">
        <f t="shared" si="7"/>
        <v/>
      </c>
    </row>
    <row r="439">
      <c r="A439" s="136" t="s">
        <v>133</v>
      </c>
      <c r="B439" s="136"/>
      <c r="C439" s="136" t="s">
        <v>133</v>
      </c>
      <c r="D439" s="136"/>
      <c r="E439" s="256" t="str">
        <f>IFERROR(__xludf.DUMMYFUNCTION("""COMPUTED_VALUE"""),"")</f>
        <v/>
      </c>
      <c r="F439" s="257" t="str">
        <f>IFERROR(__xludf.DUMMYFUNCTION("""COMPUTED_VALUE"""),"")</f>
        <v/>
      </c>
      <c r="G439" s="247" t="str">
        <f t="shared" si="1"/>
        <v/>
      </c>
      <c r="H439" s="258" t="str">
        <f>IFERROR(__xludf.DUMMYFUNCTION("""COMPUTED_VALUE"""),"")</f>
        <v/>
      </c>
      <c r="I439" s="259" t="str">
        <f>IFERROR(__xludf.DUMMYFUNCTION("""COMPUTED_VALUE"""),"")</f>
        <v/>
      </c>
      <c r="J439" s="250" t="str">
        <f t="shared" si="2"/>
        <v/>
      </c>
      <c r="K439" s="317" t="str">
        <f>IFERROR(__xludf.DUMMYFUNCTION("""COMPUTED_VALUE"""),"")</f>
        <v/>
      </c>
      <c r="L439" s="318" t="str">
        <f>IFERROR(__xludf.DUMMYFUNCTION("""COMPUTED_VALUE"""),"")</f>
        <v/>
      </c>
      <c r="M439" s="253" t="str">
        <f t="shared" si="3"/>
        <v/>
      </c>
      <c r="N439" s="319" t="str">
        <f>IFERROR(__xludf.DUMMYFUNCTION("""COMPUTED_VALUE"""),"")</f>
        <v/>
      </c>
      <c r="O439" s="257" t="str">
        <f>IFERROR(__xludf.DUMMYFUNCTION("""COMPUTED_VALUE"""),"")</f>
        <v/>
      </c>
      <c r="P439" s="247" t="str">
        <f t="shared" si="4"/>
        <v/>
      </c>
      <c r="Q439" s="320" t="str">
        <f>IFERROR(__xludf.DUMMYFUNCTION("""COMPUTED_VALUE"""),"")</f>
        <v/>
      </c>
      <c r="R439" s="259" t="str">
        <f>IFERROR(__xludf.DUMMYFUNCTION("""COMPUTED_VALUE"""),"")</f>
        <v/>
      </c>
      <c r="S439" s="250" t="str">
        <f t="shared" si="5"/>
        <v/>
      </c>
      <c r="T439" s="254" t="str">
        <f>IFERROR(__xludf.DUMMYFUNCTION("""COMPUTED_VALUE"""),"")</f>
        <v/>
      </c>
      <c r="U439" s="246" t="str">
        <f>IFERROR(__xludf.DUMMYFUNCTION("""COMPUTED_VALUE"""),"")</f>
        <v/>
      </c>
      <c r="V439" s="247" t="str">
        <f t="shared" si="6"/>
        <v/>
      </c>
      <c r="W439" s="255" t="str">
        <f>IFERROR(__xludf.DUMMYFUNCTION("""COMPUTED_VALUE"""),"")</f>
        <v/>
      </c>
      <c r="X439" s="249" t="str">
        <f>IFERROR(__xludf.DUMMYFUNCTION("""COMPUTED_VALUE"""),"")</f>
        <v/>
      </c>
      <c r="Y439" s="250" t="str">
        <f t="shared" si="7"/>
        <v/>
      </c>
    </row>
    <row r="440">
      <c r="A440" s="136" t="s">
        <v>133</v>
      </c>
      <c r="B440" s="136"/>
      <c r="C440" s="136" t="s">
        <v>133</v>
      </c>
      <c r="D440" s="136"/>
      <c r="E440" s="256" t="str">
        <f>IFERROR(__xludf.DUMMYFUNCTION("""COMPUTED_VALUE"""),"")</f>
        <v/>
      </c>
      <c r="F440" s="257" t="str">
        <f>IFERROR(__xludf.DUMMYFUNCTION("""COMPUTED_VALUE"""),"")</f>
        <v/>
      </c>
      <c r="G440" s="247" t="str">
        <f t="shared" si="1"/>
        <v/>
      </c>
      <c r="H440" s="258" t="str">
        <f>IFERROR(__xludf.DUMMYFUNCTION("""COMPUTED_VALUE"""),"")</f>
        <v/>
      </c>
      <c r="I440" s="259" t="str">
        <f>IFERROR(__xludf.DUMMYFUNCTION("""COMPUTED_VALUE"""),"")</f>
        <v/>
      </c>
      <c r="J440" s="250" t="str">
        <f t="shared" si="2"/>
        <v/>
      </c>
      <c r="K440" s="317" t="str">
        <f>IFERROR(__xludf.DUMMYFUNCTION("""COMPUTED_VALUE"""),"")</f>
        <v/>
      </c>
      <c r="L440" s="318" t="str">
        <f>IFERROR(__xludf.DUMMYFUNCTION("""COMPUTED_VALUE"""),"")</f>
        <v/>
      </c>
      <c r="M440" s="253" t="str">
        <f t="shared" si="3"/>
        <v/>
      </c>
      <c r="N440" s="319" t="str">
        <f>IFERROR(__xludf.DUMMYFUNCTION("""COMPUTED_VALUE"""),"")</f>
        <v/>
      </c>
      <c r="O440" s="257" t="str">
        <f>IFERROR(__xludf.DUMMYFUNCTION("""COMPUTED_VALUE"""),"")</f>
        <v/>
      </c>
      <c r="P440" s="247" t="str">
        <f t="shared" si="4"/>
        <v/>
      </c>
      <c r="Q440" s="320" t="str">
        <f>IFERROR(__xludf.DUMMYFUNCTION("""COMPUTED_VALUE"""),"")</f>
        <v/>
      </c>
      <c r="R440" s="259" t="str">
        <f>IFERROR(__xludf.DUMMYFUNCTION("""COMPUTED_VALUE"""),"")</f>
        <v/>
      </c>
      <c r="S440" s="250" t="str">
        <f t="shared" si="5"/>
        <v/>
      </c>
      <c r="T440" s="254" t="str">
        <f>IFERROR(__xludf.DUMMYFUNCTION("""COMPUTED_VALUE"""),"")</f>
        <v/>
      </c>
      <c r="U440" s="246" t="str">
        <f>IFERROR(__xludf.DUMMYFUNCTION("""COMPUTED_VALUE"""),"")</f>
        <v/>
      </c>
      <c r="V440" s="247" t="str">
        <f t="shared" si="6"/>
        <v/>
      </c>
      <c r="W440" s="255" t="str">
        <f>IFERROR(__xludf.DUMMYFUNCTION("""COMPUTED_VALUE"""),"")</f>
        <v/>
      </c>
      <c r="X440" s="249" t="str">
        <f>IFERROR(__xludf.DUMMYFUNCTION("""COMPUTED_VALUE"""),"")</f>
        <v/>
      </c>
      <c r="Y440" s="250" t="str">
        <f t="shared" si="7"/>
        <v/>
      </c>
    </row>
    <row r="441">
      <c r="A441" s="136" t="s">
        <v>133</v>
      </c>
      <c r="B441" s="136"/>
      <c r="C441" s="136" t="s">
        <v>133</v>
      </c>
      <c r="D441" s="136"/>
      <c r="E441" s="256" t="str">
        <f>IFERROR(__xludf.DUMMYFUNCTION("""COMPUTED_VALUE"""),"")</f>
        <v/>
      </c>
      <c r="F441" s="257" t="str">
        <f>IFERROR(__xludf.DUMMYFUNCTION("""COMPUTED_VALUE"""),"")</f>
        <v/>
      </c>
      <c r="G441" s="247" t="str">
        <f t="shared" si="1"/>
        <v/>
      </c>
      <c r="H441" s="258" t="str">
        <f>IFERROR(__xludf.DUMMYFUNCTION("""COMPUTED_VALUE"""),"")</f>
        <v/>
      </c>
      <c r="I441" s="259" t="str">
        <f>IFERROR(__xludf.DUMMYFUNCTION("""COMPUTED_VALUE"""),"")</f>
        <v/>
      </c>
      <c r="J441" s="250" t="str">
        <f t="shared" si="2"/>
        <v/>
      </c>
      <c r="K441" s="317" t="str">
        <f>IFERROR(__xludf.DUMMYFUNCTION("""COMPUTED_VALUE"""),"")</f>
        <v/>
      </c>
      <c r="L441" s="318" t="str">
        <f>IFERROR(__xludf.DUMMYFUNCTION("""COMPUTED_VALUE"""),"")</f>
        <v/>
      </c>
      <c r="M441" s="253" t="str">
        <f t="shared" si="3"/>
        <v/>
      </c>
      <c r="N441" s="319" t="str">
        <f>IFERROR(__xludf.DUMMYFUNCTION("""COMPUTED_VALUE"""),"")</f>
        <v/>
      </c>
      <c r="O441" s="257" t="str">
        <f>IFERROR(__xludf.DUMMYFUNCTION("""COMPUTED_VALUE"""),"")</f>
        <v/>
      </c>
      <c r="P441" s="247" t="str">
        <f t="shared" si="4"/>
        <v/>
      </c>
      <c r="Q441" s="320" t="str">
        <f>IFERROR(__xludf.DUMMYFUNCTION("""COMPUTED_VALUE"""),"")</f>
        <v/>
      </c>
      <c r="R441" s="259" t="str">
        <f>IFERROR(__xludf.DUMMYFUNCTION("""COMPUTED_VALUE"""),"")</f>
        <v/>
      </c>
      <c r="S441" s="250" t="str">
        <f t="shared" si="5"/>
        <v/>
      </c>
      <c r="T441" s="254" t="str">
        <f>IFERROR(__xludf.DUMMYFUNCTION("""COMPUTED_VALUE"""),"")</f>
        <v/>
      </c>
      <c r="U441" s="246" t="str">
        <f>IFERROR(__xludf.DUMMYFUNCTION("""COMPUTED_VALUE"""),"")</f>
        <v/>
      </c>
      <c r="V441" s="247" t="str">
        <f t="shared" si="6"/>
        <v/>
      </c>
      <c r="W441" s="255" t="str">
        <f>IFERROR(__xludf.DUMMYFUNCTION("""COMPUTED_VALUE"""),"")</f>
        <v/>
      </c>
      <c r="X441" s="249" t="str">
        <f>IFERROR(__xludf.DUMMYFUNCTION("""COMPUTED_VALUE"""),"")</f>
        <v/>
      </c>
      <c r="Y441" s="250" t="str">
        <f t="shared" si="7"/>
        <v/>
      </c>
    </row>
    <row r="442">
      <c r="A442" s="136" t="s">
        <v>133</v>
      </c>
      <c r="B442" s="136"/>
      <c r="C442" s="136" t="s">
        <v>133</v>
      </c>
      <c r="D442" s="136"/>
      <c r="E442" s="256" t="str">
        <f>IFERROR(__xludf.DUMMYFUNCTION("""COMPUTED_VALUE"""),"")</f>
        <v/>
      </c>
      <c r="F442" s="257" t="str">
        <f>IFERROR(__xludf.DUMMYFUNCTION("""COMPUTED_VALUE"""),"")</f>
        <v/>
      </c>
      <c r="G442" s="247" t="str">
        <f t="shared" si="1"/>
        <v/>
      </c>
      <c r="H442" s="258" t="str">
        <f>IFERROR(__xludf.DUMMYFUNCTION("""COMPUTED_VALUE"""),"")</f>
        <v/>
      </c>
      <c r="I442" s="259" t="str">
        <f>IFERROR(__xludf.DUMMYFUNCTION("""COMPUTED_VALUE"""),"")</f>
        <v/>
      </c>
      <c r="J442" s="250" t="str">
        <f t="shared" si="2"/>
        <v/>
      </c>
      <c r="K442" s="317" t="str">
        <f>IFERROR(__xludf.DUMMYFUNCTION("""COMPUTED_VALUE"""),"")</f>
        <v/>
      </c>
      <c r="L442" s="318" t="str">
        <f>IFERROR(__xludf.DUMMYFUNCTION("""COMPUTED_VALUE"""),"")</f>
        <v/>
      </c>
      <c r="M442" s="253" t="str">
        <f t="shared" si="3"/>
        <v/>
      </c>
      <c r="N442" s="319" t="str">
        <f>IFERROR(__xludf.DUMMYFUNCTION("""COMPUTED_VALUE"""),"")</f>
        <v/>
      </c>
      <c r="O442" s="257" t="str">
        <f>IFERROR(__xludf.DUMMYFUNCTION("""COMPUTED_VALUE"""),"")</f>
        <v/>
      </c>
      <c r="P442" s="247" t="str">
        <f t="shared" si="4"/>
        <v/>
      </c>
      <c r="Q442" s="320" t="str">
        <f>IFERROR(__xludf.DUMMYFUNCTION("""COMPUTED_VALUE"""),"")</f>
        <v/>
      </c>
      <c r="R442" s="259" t="str">
        <f>IFERROR(__xludf.DUMMYFUNCTION("""COMPUTED_VALUE"""),"")</f>
        <v/>
      </c>
      <c r="S442" s="250" t="str">
        <f t="shared" si="5"/>
        <v/>
      </c>
      <c r="T442" s="254" t="str">
        <f>IFERROR(__xludf.DUMMYFUNCTION("""COMPUTED_VALUE"""),"")</f>
        <v/>
      </c>
      <c r="U442" s="246" t="str">
        <f>IFERROR(__xludf.DUMMYFUNCTION("""COMPUTED_VALUE"""),"")</f>
        <v/>
      </c>
      <c r="V442" s="247" t="str">
        <f t="shared" si="6"/>
        <v/>
      </c>
      <c r="W442" s="255" t="str">
        <f>IFERROR(__xludf.DUMMYFUNCTION("""COMPUTED_VALUE"""),"")</f>
        <v/>
      </c>
      <c r="X442" s="249" t="str">
        <f>IFERROR(__xludf.DUMMYFUNCTION("""COMPUTED_VALUE"""),"")</f>
        <v/>
      </c>
      <c r="Y442" s="250" t="str">
        <f t="shared" si="7"/>
        <v/>
      </c>
    </row>
    <row r="443">
      <c r="A443" s="136" t="s">
        <v>133</v>
      </c>
      <c r="B443" s="136"/>
      <c r="C443" s="136" t="s">
        <v>133</v>
      </c>
      <c r="D443" s="136"/>
      <c r="E443" s="256" t="str">
        <f>IFERROR(__xludf.DUMMYFUNCTION("""COMPUTED_VALUE"""),"")</f>
        <v/>
      </c>
      <c r="F443" s="257" t="str">
        <f>IFERROR(__xludf.DUMMYFUNCTION("""COMPUTED_VALUE"""),"")</f>
        <v/>
      </c>
      <c r="G443" s="247" t="str">
        <f t="shared" si="1"/>
        <v/>
      </c>
      <c r="H443" s="258" t="str">
        <f>IFERROR(__xludf.DUMMYFUNCTION("""COMPUTED_VALUE"""),"")</f>
        <v/>
      </c>
      <c r="I443" s="259" t="str">
        <f>IFERROR(__xludf.DUMMYFUNCTION("""COMPUTED_VALUE"""),"")</f>
        <v/>
      </c>
      <c r="J443" s="250" t="str">
        <f t="shared" si="2"/>
        <v/>
      </c>
      <c r="K443" s="317" t="str">
        <f>IFERROR(__xludf.DUMMYFUNCTION("""COMPUTED_VALUE"""),"")</f>
        <v/>
      </c>
      <c r="L443" s="318" t="str">
        <f>IFERROR(__xludf.DUMMYFUNCTION("""COMPUTED_VALUE"""),"")</f>
        <v/>
      </c>
      <c r="M443" s="253" t="str">
        <f t="shared" si="3"/>
        <v/>
      </c>
      <c r="N443" s="319" t="str">
        <f>IFERROR(__xludf.DUMMYFUNCTION("""COMPUTED_VALUE"""),"")</f>
        <v/>
      </c>
      <c r="O443" s="257" t="str">
        <f>IFERROR(__xludf.DUMMYFUNCTION("""COMPUTED_VALUE"""),"")</f>
        <v/>
      </c>
      <c r="P443" s="247" t="str">
        <f t="shared" si="4"/>
        <v/>
      </c>
      <c r="Q443" s="320" t="str">
        <f>IFERROR(__xludf.DUMMYFUNCTION("""COMPUTED_VALUE"""),"")</f>
        <v/>
      </c>
      <c r="R443" s="259" t="str">
        <f>IFERROR(__xludf.DUMMYFUNCTION("""COMPUTED_VALUE"""),"")</f>
        <v/>
      </c>
      <c r="S443" s="250" t="str">
        <f t="shared" si="5"/>
        <v/>
      </c>
      <c r="T443" s="254" t="str">
        <f>IFERROR(__xludf.DUMMYFUNCTION("""COMPUTED_VALUE"""),"")</f>
        <v/>
      </c>
      <c r="U443" s="246" t="str">
        <f>IFERROR(__xludf.DUMMYFUNCTION("""COMPUTED_VALUE"""),"")</f>
        <v/>
      </c>
      <c r="V443" s="247" t="str">
        <f t="shared" si="6"/>
        <v/>
      </c>
      <c r="W443" s="255" t="str">
        <f>IFERROR(__xludf.DUMMYFUNCTION("""COMPUTED_VALUE"""),"")</f>
        <v/>
      </c>
      <c r="X443" s="249" t="str">
        <f>IFERROR(__xludf.DUMMYFUNCTION("""COMPUTED_VALUE"""),"")</f>
        <v/>
      </c>
      <c r="Y443" s="250" t="str">
        <f t="shared" si="7"/>
        <v/>
      </c>
    </row>
    <row r="444">
      <c r="A444" s="136" t="s">
        <v>133</v>
      </c>
      <c r="B444" s="136"/>
      <c r="C444" s="136" t="s">
        <v>133</v>
      </c>
      <c r="D444" s="136"/>
      <c r="E444" s="256" t="str">
        <f>IFERROR(__xludf.DUMMYFUNCTION("""COMPUTED_VALUE"""),"")</f>
        <v/>
      </c>
      <c r="F444" s="257" t="str">
        <f>IFERROR(__xludf.DUMMYFUNCTION("""COMPUTED_VALUE"""),"")</f>
        <v/>
      </c>
      <c r="G444" s="247" t="str">
        <f t="shared" si="1"/>
        <v/>
      </c>
      <c r="H444" s="258" t="str">
        <f>IFERROR(__xludf.DUMMYFUNCTION("""COMPUTED_VALUE"""),"")</f>
        <v/>
      </c>
      <c r="I444" s="259" t="str">
        <f>IFERROR(__xludf.DUMMYFUNCTION("""COMPUTED_VALUE"""),"")</f>
        <v/>
      </c>
      <c r="J444" s="250" t="str">
        <f t="shared" si="2"/>
        <v/>
      </c>
      <c r="K444" s="317" t="str">
        <f>IFERROR(__xludf.DUMMYFUNCTION("""COMPUTED_VALUE"""),"")</f>
        <v/>
      </c>
      <c r="L444" s="318" t="str">
        <f>IFERROR(__xludf.DUMMYFUNCTION("""COMPUTED_VALUE"""),"")</f>
        <v/>
      </c>
      <c r="M444" s="253" t="str">
        <f t="shared" si="3"/>
        <v/>
      </c>
      <c r="N444" s="319" t="str">
        <f>IFERROR(__xludf.DUMMYFUNCTION("""COMPUTED_VALUE"""),"")</f>
        <v/>
      </c>
      <c r="O444" s="257" t="str">
        <f>IFERROR(__xludf.DUMMYFUNCTION("""COMPUTED_VALUE"""),"")</f>
        <v/>
      </c>
      <c r="P444" s="247" t="str">
        <f t="shared" si="4"/>
        <v/>
      </c>
      <c r="Q444" s="320" t="str">
        <f>IFERROR(__xludf.DUMMYFUNCTION("""COMPUTED_VALUE"""),"")</f>
        <v/>
      </c>
      <c r="R444" s="259" t="str">
        <f>IFERROR(__xludf.DUMMYFUNCTION("""COMPUTED_VALUE"""),"")</f>
        <v/>
      </c>
      <c r="S444" s="250" t="str">
        <f t="shared" si="5"/>
        <v/>
      </c>
      <c r="T444" s="254" t="str">
        <f>IFERROR(__xludf.DUMMYFUNCTION("""COMPUTED_VALUE"""),"")</f>
        <v/>
      </c>
      <c r="U444" s="246" t="str">
        <f>IFERROR(__xludf.DUMMYFUNCTION("""COMPUTED_VALUE"""),"")</f>
        <v/>
      </c>
      <c r="V444" s="247" t="str">
        <f t="shared" si="6"/>
        <v/>
      </c>
      <c r="W444" s="255" t="str">
        <f>IFERROR(__xludf.DUMMYFUNCTION("""COMPUTED_VALUE"""),"")</f>
        <v/>
      </c>
      <c r="X444" s="249" t="str">
        <f>IFERROR(__xludf.DUMMYFUNCTION("""COMPUTED_VALUE"""),"")</f>
        <v/>
      </c>
      <c r="Y444" s="250" t="str">
        <f t="shared" si="7"/>
        <v/>
      </c>
    </row>
    <row r="445">
      <c r="A445" s="136" t="s">
        <v>133</v>
      </c>
      <c r="B445" s="136"/>
      <c r="C445" s="136" t="s">
        <v>133</v>
      </c>
      <c r="D445" s="136"/>
      <c r="E445" s="256" t="str">
        <f>IFERROR(__xludf.DUMMYFUNCTION("""COMPUTED_VALUE"""),"")</f>
        <v/>
      </c>
      <c r="F445" s="257" t="str">
        <f>IFERROR(__xludf.DUMMYFUNCTION("""COMPUTED_VALUE"""),"")</f>
        <v/>
      </c>
      <c r="G445" s="247" t="str">
        <f t="shared" si="1"/>
        <v/>
      </c>
      <c r="H445" s="258" t="str">
        <f>IFERROR(__xludf.DUMMYFUNCTION("""COMPUTED_VALUE"""),"")</f>
        <v/>
      </c>
      <c r="I445" s="259" t="str">
        <f>IFERROR(__xludf.DUMMYFUNCTION("""COMPUTED_VALUE"""),"")</f>
        <v/>
      </c>
      <c r="J445" s="250" t="str">
        <f t="shared" si="2"/>
        <v/>
      </c>
      <c r="K445" s="317" t="str">
        <f>IFERROR(__xludf.DUMMYFUNCTION("""COMPUTED_VALUE"""),"")</f>
        <v/>
      </c>
      <c r="L445" s="318" t="str">
        <f>IFERROR(__xludf.DUMMYFUNCTION("""COMPUTED_VALUE"""),"")</f>
        <v/>
      </c>
      <c r="M445" s="253" t="str">
        <f t="shared" si="3"/>
        <v/>
      </c>
      <c r="N445" s="319" t="str">
        <f>IFERROR(__xludf.DUMMYFUNCTION("""COMPUTED_VALUE"""),"")</f>
        <v/>
      </c>
      <c r="O445" s="257" t="str">
        <f>IFERROR(__xludf.DUMMYFUNCTION("""COMPUTED_VALUE"""),"")</f>
        <v/>
      </c>
      <c r="P445" s="247" t="str">
        <f t="shared" si="4"/>
        <v/>
      </c>
      <c r="Q445" s="320" t="str">
        <f>IFERROR(__xludf.DUMMYFUNCTION("""COMPUTED_VALUE"""),"")</f>
        <v/>
      </c>
      <c r="R445" s="259" t="str">
        <f>IFERROR(__xludf.DUMMYFUNCTION("""COMPUTED_VALUE"""),"")</f>
        <v/>
      </c>
      <c r="S445" s="250" t="str">
        <f t="shared" si="5"/>
        <v/>
      </c>
      <c r="T445" s="254" t="str">
        <f>IFERROR(__xludf.DUMMYFUNCTION("""COMPUTED_VALUE"""),"")</f>
        <v/>
      </c>
      <c r="U445" s="246" t="str">
        <f>IFERROR(__xludf.DUMMYFUNCTION("""COMPUTED_VALUE"""),"")</f>
        <v/>
      </c>
      <c r="V445" s="247" t="str">
        <f t="shared" si="6"/>
        <v/>
      </c>
      <c r="W445" s="255" t="str">
        <f>IFERROR(__xludf.DUMMYFUNCTION("""COMPUTED_VALUE"""),"")</f>
        <v/>
      </c>
      <c r="X445" s="249" t="str">
        <f>IFERROR(__xludf.DUMMYFUNCTION("""COMPUTED_VALUE"""),"")</f>
        <v/>
      </c>
      <c r="Y445" s="250" t="str">
        <f t="shared" si="7"/>
        <v/>
      </c>
    </row>
    <row r="446">
      <c r="A446" s="136" t="s">
        <v>133</v>
      </c>
      <c r="B446" s="136"/>
      <c r="C446" s="136" t="s">
        <v>133</v>
      </c>
      <c r="D446" s="136"/>
      <c r="E446" s="256" t="str">
        <f>IFERROR(__xludf.DUMMYFUNCTION("""COMPUTED_VALUE"""),"")</f>
        <v/>
      </c>
      <c r="F446" s="257" t="str">
        <f>IFERROR(__xludf.DUMMYFUNCTION("""COMPUTED_VALUE"""),"")</f>
        <v/>
      </c>
      <c r="G446" s="247" t="str">
        <f t="shared" si="1"/>
        <v/>
      </c>
      <c r="H446" s="258" t="str">
        <f>IFERROR(__xludf.DUMMYFUNCTION("""COMPUTED_VALUE"""),"")</f>
        <v/>
      </c>
      <c r="I446" s="259" t="str">
        <f>IFERROR(__xludf.DUMMYFUNCTION("""COMPUTED_VALUE"""),"")</f>
        <v/>
      </c>
      <c r="J446" s="250" t="str">
        <f t="shared" si="2"/>
        <v/>
      </c>
      <c r="K446" s="317" t="str">
        <f>IFERROR(__xludf.DUMMYFUNCTION("""COMPUTED_VALUE"""),"")</f>
        <v/>
      </c>
      <c r="L446" s="318" t="str">
        <f>IFERROR(__xludf.DUMMYFUNCTION("""COMPUTED_VALUE"""),"")</f>
        <v/>
      </c>
      <c r="M446" s="253" t="str">
        <f t="shared" si="3"/>
        <v/>
      </c>
      <c r="N446" s="319" t="str">
        <f>IFERROR(__xludf.DUMMYFUNCTION("""COMPUTED_VALUE"""),"")</f>
        <v/>
      </c>
      <c r="O446" s="257" t="str">
        <f>IFERROR(__xludf.DUMMYFUNCTION("""COMPUTED_VALUE"""),"")</f>
        <v/>
      </c>
      <c r="P446" s="247" t="str">
        <f t="shared" si="4"/>
        <v/>
      </c>
      <c r="Q446" s="320" t="str">
        <f>IFERROR(__xludf.DUMMYFUNCTION("""COMPUTED_VALUE"""),"")</f>
        <v/>
      </c>
      <c r="R446" s="259" t="str">
        <f>IFERROR(__xludf.DUMMYFUNCTION("""COMPUTED_VALUE"""),"")</f>
        <v/>
      </c>
      <c r="S446" s="250" t="str">
        <f t="shared" si="5"/>
        <v/>
      </c>
      <c r="T446" s="254" t="str">
        <f>IFERROR(__xludf.DUMMYFUNCTION("""COMPUTED_VALUE"""),"")</f>
        <v/>
      </c>
      <c r="U446" s="246" t="str">
        <f>IFERROR(__xludf.DUMMYFUNCTION("""COMPUTED_VALUE"""),"")</f>
        <v/>
      </c>
      <c r="V446" s="247" t="str">
        <f t="shared" si="6"/>
        <v/>
      </c>
      <c r="W446" s="255" t="str">
        <f>IFERROR(__xludf.DUMMYFUNCTION("""COMPUTED_VALUE"""),"")</f>
        <v/>
      </c>
      <c r="X446" s="249" t="str">
        <f>IFERROR(__xludf.DUMMYFUNCTION("""COMPUTED_VALUE"""),"")</f>
        <v/>
      </c>
      <c r="Y446" s="250" t="str">
        <f t="shared" si="7"/>
        <v/>
      </c>
    </row>
    <row r="447">
      <c r="A447" s="136" t="s">
        <v>133</v>
      </c>
      <c r="B447" s="136"/>
      <c r="C447" s="136" t="s">
        <v>133</v>
      </c>
      <c r="D447" s="136"/>
      <c r="E447" s="256" t="str">
        <f>IFERROR(__xludf.DUMMYFUNCTION("""COMPUTED_VALUE"""),"")</f>
        <v/>
      </c>
      <c r="F447" s="257" t="str">
        <f>IFERROR(__xludf.DUMMYFUNCTION("""COMPUTED_VALUE"""),"")</f>
        <v/>
      </c>
      <c r="G447" s="247" t="str">
        <f t="shared" si="1"/>
        <v/>
      </c>
      <c r="H447" s="258" t="str">
        <f>IFERROR(__xludf.DUMMYFUNCTION("""COMPUTED_VALUE"""),"")</f>
        <v/>
      </c>
      <c r="I447" s="259" t="str">
        <f>IFERROR(__xludf.DUMMYFUNCTION("""COMPUTED_VALUE"""),"")</f>
        <v/>
      </c>
      <c r="J447" s="250" t="str">
        <f t="shared" si="2"/>
        <v/>
      </c>
      <c r="K447" s="317" t="str">
        <f>IFERROR(__xludf.DUMMYFUNCTION("""COMPUTED_VALUE"""),"")</f>
        <v/>
      </c>
      <c r="L447" s="318" t="str">
        <f>IFERROR(__xludf.DUMMYFUNCTION("""COMPUTED_VALUE"""),"")</f>
        <v/>
      </c>
      <c r="M447" s="253" t="str">
        <f t="shared" si="3"/>
        <v/>
      </c>
      <c r="N447" s="319" t="str">
        <f>IFERROR(__xludf.DUMMYFUNCTION("""COMPUTED_VALUE"""),"")</f>
        <v/>
      </c>
      <c r="O447" s="257" t="str">
        <f>IFERROR(__xludf.DUMMYFUNCTION("""COMPUTED_VALUE"""),"")</f>
        <v/>
      </c>
      <c r="P447" s="247" t="str">
        <f t="shared" si="4"/>
        <v/>
      </c>
      <c r="Q447" s="320" t="str">
        <f>IFERROR(__xludf.DUMMYFUNCTION("""COMPUTED_VALUE"""),"")</f>
        <v/>
      </c>
      <c r="R447" s="259" t="str">
        <f>IFERROR(__xludf.DUMMYFUNCTION("""COMPUTED_VALUE"""),"")</f>
        <v/>
      </c>
      <c r="S447" s="250" t="str">
        <f t="shared" si="5"/>
        <v/>
      </c>
      <c r="T447" s="254" t="str">
        <f>IFERROR(__xludf.DUMMYFUNCTION("""COMPUTED_VALUE"""),"")</f>
        <v/>
      </c>
      <c r="U447" s="246" t="str">
        <f>IFERROR(__xludf.DUMMYFUNCTION("""COMPUTED_VALUE"""),"")</f>
        <v/>
      </c>
      <c r="V447" s="247" t="str">
        <f t="shared" si="6"/>
        <v/>
      </c>
      <c r="W447" s="255" t="str">
        <f>IFERROR(__xludf.DUMMYFUNCTION("""COMPUTED_VALUE"""),"")</f>
        <v/>
      </c>
      <c r="X447" s="249" t="str">
        <f>IFERROR(__xludf.DUMMYFUNCTION("""COMPUTED_VALUE"""),"")</f>
        <v/>
      </c>
      <c r="Y447" s="250" t="str">
        <f t="shared" si="7"/>
        <v/>
      </c>
    </row>
    <row r="448">
      <c r="A448" s="136" t="s">
        <v>133</v>
      </c>
      <c r="B448" s="136"/>
      <c r="C448" s="136" t="s">
        <v>133</v>
      </c>
      <c r="D448" s="136"/>
      <c r="E448" s="256" t="str">
        <f>IFERROR(__xludf.DUMMYFUNCTION("""COMPUTED_VALUE"""),"")</f>
        <v/>
      </c>
      <c r="F448" s="257" t="str">
        <f>IFERROR(__xludf.DUMMYFUNCTION("""COMPUTED_VALUE"""),"")</f>
        <v/>
      </c>
      <c r="G448" s="247" t="str">
        <f t="shared" si="1"/>
        <v/>
      </c>
      <c r="H448" s="258" t="str">
        <f>IFERROR(__xludf.DUMMYFUNCTION("""COMPUTED_VALUE"""),"")</f>
        <v/>
      </c>
      <c r="I448" s="259" t="str">
        <f>IFERROR(__xludf.DUMMYFUNCTION("""COMPUTED_VALUE"""),"")</f>
        <v/>
      </c>
      <c r="J448" s="250" t="str">
        <f t="shared" si="2"/>
        <v/>
      </c>
      <c r="K448" s="317" t="str">
        <f>IFERROR(__xludf.DUMMYFUNCTION("""COMPUTED_VALUE"""),"")</f>
        <v/>
      </c>
      <c r="L448" s="318" t="str">
        <f>IFERROR(__xludf.DUMMYFUNCTION("""COMPUTED_VALUE"""),"")</f>
        <v/>
      </c>
      <c r="M448" s="253" t="str">
        <f t="shared" si="3"/>
        <v/>
      </c>
      <c r="N448" s="319" t="str">
        <f>IFERROR(__xludf.DUMMYFUNCTION("""COMPUTED_VALUE"""),"")</f>
        <v/>
      </c>
      <c r="O448" s="257" t="str">
        <f>IFERROR(__xludf.DUMMYFUNCTION("""COMPUTED_VALUE"""),"")</f>
        <v/>
      </c>
      <c r="P448" s="247" t="str">
        <f t="shared" si="4"/>
        <v/>
      </c>
      <c r="Q448" s="320" t="str">
        <f>IFERROR(__xludf.DUMMYFUNCTION("""COMPUTED_VALUE"""),"")</f>
        <v/>
      </c>
      <c r="R448" s="259" t="str">
        <f>IFERROR(__xludf.DUMMYFUNCTION("""COMPUTED_VALUE"""),"")</f>
        <v/>
      </c>
      <c r="S448" s="250" t="str">
        <f t="shared" si="5"/>
        <v/>
      </c>
      <c r="T448" s="254" t="str">
        <f>IFERROR(__xludf.DUMMYFUNCTION("""COMPUTED_VALUE"""),"")</f>
        <v/>
      </c>
      <c r="U448" s="246" t="str">
        <f>IFERROR(__xludf.DUMMYFUNCTION("""COMPUTED_VALUE"""),"")</f>
        <v/>
      </c>
      <c r="V448" s="247" t="str">
        <f t="shared" si="6"/>
        <v/>
      </c>
      <c r="W448" s="255" t="str">
        <f>IFERROR(__xludf.DUMMYFUNCTION("""COMPUTED_VALUE"""),"")</f>
        <v/>
      </c>
      <c r="X448" s="249" t="str">
        <f>IFERROR(__xludf.DUMMYFUNCTION("""COMPUTED_VALUE"""),"")</f>
        <v/>
      </c>
      <c r="Y448" s="250" t="str">
        <f t="shared" si="7"/>
        <v/>
      </c>
    </row>
    <row r="449">
      <c r="A449" s="136" t="s">
        <v>133</v>
      </c>
      <c r="B449" s="136"/>
      <c r="C449" s="136" t="s">
        <v>133</v>
      </c>
      <c r="D449" s="136"/>
      <c r="E449" s="256" t="str">
        <f>IFERROR(__xludf.DUMMYFUNCTION("""COMPUTED_VALUE"""),"")</f>
        <v/>
      </c>
      <c r="F449" s="257" t="str">
        <f>IFERROR(__xludf.DUMMYFUNCTION("""COMPUTED_VALUE"""),"")</f>
        <v/>
      </c>
      <c r="G449" s="247" t="str">
        <f t="shared" si="1"/>
        <v/>
      </c>
      <c r="H449" s="258" t="str">
        <f>IFERROR(__xludf.DUMMYFUNCTION("""COMPUTED_VALUE"""),"")</f>
        <v/>
      </c>
      <c r="I449" s="259" t="str">
        <f>IFERROR(__xludf.DUMMYFUNCTION("""COMPUTED_VALUE"""),"")</f>
        <v/>
      </c>
      <c r="J449" s="250" t="str">
        <f t="shared" si="2"/>
        <v/>
      </c>
      <c r="K449" s="317" t="str">
        <f>IFERROR(__xludf.DUMMYFUNCTION("""COMPUTED_VALUE"""),"")</f>
        <v/>
      </c>
      <c r="L449" s="318" t="str">
        <f>IFERROR(__xludf.DUMMYFUNCTION("""COMPUTED_VALUE"""),"")</f>
        <v/>
      </c>
      <c r="M449" s="253" t="str">
        <f t="shared" si="3"/>
        <v/>
      </c>
      <c r="N449" s="319" t="str">
        <f>IFERROR(__xludf.DUMMYFUNCTION("""COMPUTED_VALUE"""),"")</f>
        <v/>
      </c>
      <c r="O449" s="257" t="str">
        <f>IFERROR(__xludf.DUMMYFUNCTION("""COMPUTED_VALUE"""),"")</f>
        <v/>
      </c>
      <c r="P449" s="247" t="str">
        <f t="shared" si="4"/>
        <v/>
      </c>
      <c r="Q449" s="320" t="str">
        <f>IFERROR(__xludf.DUMMYFUNCTION("""COMPUTED_VALUE"""),"")</f>
        <v/>
      </c>
      <c r="R449" s="259" t="str">
        <f>IFERROR(__xludf.DUMMYFUNCTION("""COMPUTED_VALUE"""),"")</f>
        <v/>
      </c>
      <c r="S449" s="250" t="str">
        <f t="shared" si="5"/>
        <v/>
      </c>
      <c r="T449" s="254" t="str">
        <f>IFERROR(__xludf.DUMMYFUNCTION("""COMPUTED_VALUE"""),"")</f>
        <v/>
      </c>
      <c r="U449" s="246" t="str">
        <f>IFERROR(__xludf.DUMMYFUNCTION("""COMPUTED_VALUE"""),"")</f>
        <v/>
      </c>
      <c r="V449" s="247" t="str">
        <f t="shared" si="6"/>
        <v/>
      </c>
      <c r="W449" s="255" t="str">
        <f>IFERROR(__xludf.DUMMYFUNCTION("""COMPUTED_VALUE"""),"")</f>
        <v/>
      </c>
      <c r="X449" s="249" t="str">
        <f>IFERROR(__xludf.DUMMYFUNCTION("""COMPUTED_VALUE"""),"")</f>
        <v/>
      </c>
      <c r="Y449" s="250" t="str">
        <f t="shared" si="7"/>
        <v/>
      </c>
    </row>
    <row r="450">
      <c r="A450" s="136" t="s">
        <v>133</v>
      </c>
      <c r="B450" s="136"/>
      <c r="C450" s="136" t="s">
        <v>133</v>
      </c>
      <c r="D450" s="136"/>
      <c r="E450" s="256" t="str">
        <f>IFERROR(__xludf.DUMMYFUNCTION("""COMPUTED_VALUE"""),"")</f>
        <v/>
      </c>
      <c r="F450" s="257" t="str">
        <f>IFERROR(__xludf.DUMMYFUNCTION("""COMPUTED_VALUE"""),"")</f>
        <v/>
      </c>
      <c r="G450" s="247" t="str">
        <f t="shared" si="1"/>
        <v/>
      </c>
      <c r="H450" s="258" t="str">
        <f>IFERROR(__xludf.DUMMYFUNCTION("""COMPUTED_VALUE"""),"")</f>
        <v/>
      </c>
      <c r="I450" s="259" t="str">
        <f>IFERROR(__xludf.DUMMYFUNCTION("""COMPUTED_VALUE"""),"")</f>
        <v/>
      </c>
      <c r="J450" s="250" t="str">
        <f t="shared" si="2"/>
        <v/>
      </c>
      <c r="K450" s="317" t="str">
        <f>IFERROR(__xludf.DUMMYFUNCTION("""COMPUTED_VALUE"""),"")</f>
        <v/>
      </c>
      <c r="L450" s="318" t="str">
        <f>IFERROR(__xludf.DUMMYFUNCTION("""COMPUTED_VALUE"""),"")</f>
        <v/>
      </c>
      <c r="M450" s="253" t="str">
        <f t="shared" si="3"/>
        <v/>
      </c>
      <c r="N450" s="319" t="str">
        <f>IFERROR(__xludf.DUMMYFUNCTION("""COMPUTED_VALUE"""),"")</f>
        <v/>
      </c>
      <c r="O450" s="257" t="str">
        <f>IFERROR(__xludf.DUMMYFUNCTION("""COMPUTED_VALUE"""),"")</f>
        <v/>
      </c>
      <c r="P450" s="247" t="str">
        <f t="shared" si="4"/>
        <v/>
      </c>
      <c r="Q450" s="320" t="str">
        <f>IFERROR(__xludf.DUMMYFUNCTION("""COMPUTED_VALUE"""),"")</f>
        <v/>
      </c>
      <c r="R450" s="259" t="str">
        <f>IFERROR(__xludf.DUMMYFUNCTION("""COMPUTED_VALUE"""),"")</f>
        <v/>
      </c>
      <c r="S450" s="250" t="str">
        <f t="shared" si="5"/>
        <v/>
      </c>
      <c r="T450" s="254" t="str">
        <f>IFERROR(__xludf.DUMMYFUNCTION("""COMPUTED_VALUE"""),"")</f>
        <v/>
      </c>
      <c r="U450" s="246" t="str">
        <f>IFERROR(__xludf.DUMMYFUNCTION("""COMPUTED_VALUE"""),"")</f>
        <v/>
      </c>
      <c r="V450" s="247" t="str">
        <f t="shared" si="6"/>
        <v/>
      </c>
      <c r="W450" s="255" t="str">
        <f>IFERROR(__xludf.DUMMYFUNCTION("""COMPUTED_VALUE"""),"")</f>
        <v/>
      </c>
      <c r="X450" s="249" t="str">
        <f>IFERROR(__xludf.DUMMYFUNCTION("""COMPUTED_VALUE"""),"")</f>
        <v/>
      </c>
      <c r="Y450" s="250" t="str">
        <f t="shared" si="7"/>
        <v/>
      </c>
    </row>
    <row r="451">
      <c r="A451" s="136" t="s">
        <v>133</v>
      </c>
      <c r="B451" s="136"/>
      <c r="C451" s="136" t="s">
        <v>133</v>
      </c>
      <c r="D451" s="136"/>
      <c r="E451" s="256" t="str">
        <f>IFERROR(__xludf.DUMMYFUNCTION("""COMPUTED_VALUE"""),"")</f>
        <v/>
      </c>
      <c r="F451" s="257" t="str">
        <f>IFERROR(__xludf.DUMMYFUNCTION("""COMPUTED_VALUE"""),"")</f>
        <v/>
      </c>
      <c r="G451" s="247" t="str">
        <f t="shared" si="1"/>
        <v/>
      </c>
      <c r="H451" s="258" t="str">
        <f>IFERROR(__xludf.DUMMYFUNCTION("""COMPUTED_VALUE"""),"")</f>
        <v/>
      </c>
      <c r="I451" s="259" t="str">
        <f>IFERROR(__xludf.DUMMYFUNCTION("""COMPUTED_VALUE"""),"")</f>
        <v/>
      </c>
      <c r="J451" s="250" t="str">
        <f t="shared" si="2"/>
        <v/>
      </c>
      <c r="K451" s="317" t="str">
        <f>IFERROR(__xludf.DUMMYFUNCTION("""COMPUTED_VALUE"""),"")</f>
        <v/>
      </c>
      <c r="L451" s="318" t="str">
        <f>IFERROR(__xludf.DUMMYFUNCTION("""COMPUTED_VALUE"""),"")</f>
        <v/>
      </c>
      <c r="M451" s="253" t="str">
        <f t="shared" si="3"/>
        <v/>
      </c>
      <c r="N451" s="319" t="str">
        <f>IFERROR(__xludf.DUMMYFUNCTION("""COMPUTED_VALUE"""),"")</f>
        <v/>
      </c>
      <c r="O451" s="257" t="str">
        <f>IFERROR(__xludf.DUMMYFUNCTION("""COMPUTED_VALUE"""),"")</f>
        <v/>
      </c>
      <c r="P451" s="247" t="str">
        <f t="shared" si="4"/>
        <v/>
      </c>
      <c r="Q451" s="320" t="str">
        <f>IFERROR(__xludf.DUMMYFUNCTION("""COMPUTED_VALUE"""),"")</f>
        <v/>
      </c>
      <c r="R451" s="259" t="str">
        <f>IFERROR(__xludf.DUMMYFUNCTION("""COMPUTED_VALUE"""),"")</f>
        <v/>
      </c>
      <c r="S451" s="250" t="str">
        <f t="shared" si="5"/>
        <v/>
      </c>
      <c r="T451" s="254" t="str">
        <f>IFERROR(__xludf.DUMMYFUNCTION("""COMPUTED_VALUE"""),"")</f>
        <v/>
      </c>
      <c r="U451" s="246" t="str">
        <f>IFERROR(__xludf.DUMMYFUNCTION("""COMPUTED_VALUE"""),"")</f>
        <v/>
      </c>
      <c r="V451" s="247" t="str">
        <f t="shared" si="6"/>
        <v/>
      </c>
      <c r="W451" s="255" t="str">
        <f>IFERROR(__xludf.DUMMYFUNCTION("""COMPUTED_VALUE"""),"")</f>
        <v/>
      </c>
      <c r="X451" s="249" t="str">
        <f>IFERROR(__xludf.DUMMYFUNCTION("""COMPUTED_VALUE"""),"")</f>
        <v/>
      </c>
      <c r="Y451" s="250" t="str">
        <f t="shared" si="7"/>
        <v/>
      </c>
    </row>
    <row r="452">
      <c r="A452" s="136" t="s">
        <v>133</v>
      </c>
      <c r="B452" s="136"/>
      <c r="C452" s="136" t="s">
        <v>133</v>
      </c>
      <c r="D452" s="136"/>
      <c r="E452" s="256" t="str">
        <f>IFERROR(__xludf.DUMMYFUNCTION("""COMPUTED_VALUE"""),"")</f>
        <v/>
      </c>
      <c r="F452" s="257" t="str">
        <f>IFERROR(__xludf.DUMMYFUNCTION("""COMPUTED_VALUE"""),"")</f>
        <v/>
      </c>
      <c r="G452" s="247" t="str">
        <f t="shared" si="1"/>
        <v/>
      </c>
      <c r="H452" s="258" t="str">
        <f>IFERROR(__xludf.DUMMYFUNCTION("""COMPUTED_VALUE"""),"")</f>
        <v/>
      </c>
      <c r="I452" s="259" t="str">
        <f>IFERROR(__xludf.DUMMYFUNCTION("""COMPUTED_VALUE"""),"")</f>
        <v/>
      </c>
      <c r="J452" s="250" t="str">
        <f t="shared" si="2"/>
        <v/>
      </c>
      <c r="K452" s="317" t="str">
        <f>IFERROR(__xludf.DUMMYFUNCTION("""COMPUTED_VALUE"""),"")</f>
        <v/>
      </c>
      <c r="L452" s="318" t="str">
        <f>IFERROR(__xludf.DUMMYFUNCTION("""COMPUTED_VALUE"""),"")</f>
        <v/>
      </c>
      <c r="M452" s="253" t="str">
        <f t="shared" si="3"/>
        <v/>
      </c>
      <c r="N452" s="319" t="str">
        <f>IFERROR(__xludf.DUMMYFUNCTION("""COMPUTED_VALUE"""),"")</f>
        <v/>
      </c>
      <c r="O452" s="257" t="str">
        <f>IFERROR(__xludf.DUMMYFUNCTION("""COMPUTED_VALUE"""),"")</f>
        <v/>
      </c>
      <c r="P452" s="247" t="str">
        <f t="shared" si="4"/>
        <v/>
      </c>
      <c r="Q452" s="320" t="str">
        <f>IFERROR(__xludf.DUMMYFUNCTION("""COMPUTED_VALUE"""),"")</f>
        <v/>
      </c>
      <c r="R452" s="259" t="str">
        <f>IFERROR(__xludf.DUMMYFUNCTION("""COMPUTED_VALUE"""),"")</f>
        <v/>
      </c>
      <c r="S452" s="250" t="str">
        <f t="shared" si="5"/>
        <v/>
      </c>
      <c r="T452" s="254" t="str">
        <f>IFERROR(__xludf.DUMMYFUNCTION("""COMPUTED_VALUE"""),"")</f>
        <v/>
      </c>
      <c r="U452" s="246" t="str">
        <f>IFERROR(__xludf.DUMMYFUNCTION("""COMPUTED_VALUE"""),"")</f>
        <v/>
      </c>
      <c r="V452" s="247" t="str">
        <f t="shared" si="6"/>
        <v/>
      </c>
      <c r="W452" s="255" t="str">
        <f>IFERROR(__xludf.DUMMYFUNCTION("""COMPUTED_VALUE"""),"")</f>
        <v/>
      </c>
      <c r="X452" s="249" t="str">
        <f>IFERROR(__xludf.DUMMYFUNCTION("""COMPUTED_VALUE"""),"")</f>
        <v/>
      </c>
      <c r="Y452" s="250" t="str">
        <f t="shared" si="7"/>
        <v/>
      </c>
    </row>
    <row r="453">
      <c r="A453" s="136" t="s">
        <v>133</v>
      </c>
      <c r="B453" s="136"/>
      <c r="C453" s="136" t="s">
        <v>133</v>
      </c>
      <c r="D453" s="136"/>
      <c r="E453" s="256" t="str">
        <f>IFERROR(__xludf.DUMMYFUNCTION("""COMPUTED_VALUE"""),"")</f>
        <v/>
      </c>
      <c r="F453" s="257" t="str">
        <f>IFERROR(__xludf.DUMMYFUNCTION("""COMPUTED_VALUE"""),"")</f>
        <v/>
      </c>
      <c r="G453" s="247" t="str">
        <f t="shared" si="1"/>
        <v/>
      </c>
      <c r="H453" s="258" t="str">
        <f>IFERROR(__xludf.DUMMYFUNCTION("""COMPUTED_VALUE"""),"")</f>
        <v/>
      </c>
      <c r="I453" s="259" t="str">
        <f>IFERROR(__xludf.DUMMYFUNCTION("""COMPUTED_VALUE"""),"")</f>
        <v/>
      </c>
      <c r="J453" s="250" t="str">
        <f t="shared" si="2"/>
        <v/>
      </c>
      <c r="K453" s="317" t="str">
        <f>IFERROR(__xludf.DUMMYFUNCTION("""COMPUTED_VALUE"""),"")</f>
        <v/>
      </c>
      <c r="L453" s="318" t="str">
        <f>IFERROR(__xludf.DUMMYFUNCTION("""COMPUTED_VALUE"""),"")</f>
        <v/>
      </c>
      <c r="M453" s="253" t="str">
        <f t="shared" si="3"/>
        <v/>
      </c>
      <c r="N453" s="319" t="str">
        <f>IFERROR(__xludf.DUMMYFUNCTION("""COMPUTED_VALUE"""),"")</f>
        <v/>
      </c>
      <c r="O453" s="257" t="str">
        <f>IFERROR(__xludf.DUMMYFUNCTION("""COMPUTED_VALUE"""),"")</f>
        <v/>
      </c>
      <c r="P453" s="247" t="str">
        <f t="shared" si="4"/>
        <v/>
      </c>
      <c r="Q453" s="320" t="str">
        <f>IFERROR(__xludf.DUMMYFUNCTION("""COMPUTED_VALUE"""),"")</f>
        <v/>
      </c>
      <c r="R453" s="259" t="str">
        <f>IFERROR(__xludf.DUMMYFUNCTION("""COMPUTED_VALUE"""),"")</f>
        <v/>
      </c>
      <c r="S453" s="250" t="str">
        <f t="shared" si="5"/>
        <v/>
      </c>
      <c r="T453" s="254" t="str">
        <f>IFERROR(__xludf.DUMMYFUNCTION("""COMPUTED_VALUE"""),"")</f>
        <v/>
      </c>
      <c r="U453" s="246" t="str">
        <f>IFERROR(__xludf.DUMMYFUNCTION("""COMPUTED_VALUE"""),"")</f>
        <v/>
      </c>
      <c r="V453" s="247" t="str">
        <f t="shared" si="6"/>
        <v/>
      </c>
      <c r="W453" s="255" t="str">
        <f>IFERROR(__xludf.DUMMYFUNCTION("""COMPUTED_VALUE"""),"")</f>
        <v/>
      </c>
      <c r="X453" s="249" t="str">
        <f>IFERROR(__xludf.DUMMYFUNCTION("""COMPUTED_VALUE"""),"")</f>
        <v/>
      </c>
      <c r="Y453" s="250" t="str">
        <f t="shared" si="7"/>
        <v/>
      </c>
    </row>
    <row r="454">
      <c r="A454" s="136" t="s">
        <v>133</v>
      </c>
      <c r="B454" s="136"/>
      <c r="C454" s="136" t="s">
        <v>133</v>
      </c>
      <c r="D454" s="136"/>
      <c r="E454" s="256" t="str">
        <f>IFERROR(__xludf.DUMMYFUNCTION("""COMPUTED_VALUE"""),"")</f>
        <v/>
      </c>
      <c r="F454" s="257" t="str">
        <f>IFERROR(__xludf.DUMMYFUNCTION("""COMPUTED_VALUE"""),"")</f>
        <v/>
      </c>
      <c r="G454" s="247" t="str">
        <f t="shared" si="1"/>
        <v/>
      </c>
      <c r="H454" s="258" t="str">
        <f>IFERROR(__xludf.DUMMYFUNCTION("""COMPUTED_VALUE"""),"")</f>
        <v/>
      </c>
      <c r="I454" s="259" t="str">
        <f>IFERROR(__xludf.DUMMYFUNCTION("""COMPUTED_VALUE"""),"")</f>
        <v/>
      </c>
      <c r="J454" s="250" t="str">
        <f t="shared" si="2"/>
        <v/>
      </c>
      <c r="K454" s="317" t="str">
        <f>IFERROR(__xludf.DUMMYFUNCTION("""COMPUTED_VALUE"""),"")</f>
        <v/>
      </c>
      <c r="L454" s="318" t="str">
        <f>IFERROR(__xludf.DUMMYFUNCTION("""COMPUTED_VALUE"""),"")</f>
        <v/>
      </c>
      <c r="M454" s="253" t="str">
        <f t="shared" si="3"/>
        <v/>
      </c>
      <c r="N454" s="319" t="str">
        <f>IFERROR(__xludf.DUMMYFUNCTION("""COMPUTED_VALUE"""),"")</f>
        <v/>
      </c>
      <c r="O454" s="257" t="str">
        <f>IFERROR(__xludf.DUMMYFUNCTION("""COMPUTED_VALUE"""),"")</f>
        <v/>
      </c>
      <c r="P454" s="247" t="str">
        <f t="shared" si="4"/>
        <v/>
      </c>
      <c r="Q454" s="320" t="str">
        <f>IFERROR(__xludf.DUMMYFUNCTION("""COMPUTED_VALUE"""),"")</f>
        <v/>
      </c>
      <c r="R454" s="259" t="str">
        <f>IFERROR(__xludf.DUMMYFUNCTION("""COMPUTED_VALUE"""),"")</f>
        <v/>
      </c>
      <c r="S454" s="250" t="str">
        <f t="shared" si="5"/>
        <v/>
      </c>
      <c r="T454" s="254" t="str">
        <f>IFERROR(__xludf.DUMMYFUNCTION("""COMPUTED_VALUE"""),"")</f>
        <v/>
      </c>
      <c r="U454" s="246" t="str">
        <f>IFERROR(__xludf.DUMMYFUNCTION("""COMPUTED_VALUE"""),"")</f>
        <v/>
      </c>
      <c r="V454" s="247" t="str">
        <f t="shared" si="6"/>
        <v/>
      </c>
      <c r="W454" s="255" t="str">
        <f>IFERROR(__xludf.DUMMYFUNCTION("""COMPUTED_VALUE"""),"")</f>
        <v/>
      </c>
      <c r="X454" s="249" t="str">
        <f>IFERROR(__xludf.DUMMYFUNCTION("""COMPUTED_VALUE"""),"")</f>
        <v/>
      </c>
      <c r="Y454" s="250" t="str">
        <f t="shared" si="7"/>
        <v/>
      </c>
    </row>
    <row r="455">
      <c r="A455" s="136" t="s">
        <v>133</v>
      </c>
      <c r="B455" s="136"/>
      <c r="C455" s="136" t="s">
        <v>133</v>
      </c>
      <c r="D455" s="136"/>
      <c r="E455" s="256" t="str">
        <f>IFERROR(__xludf.DUMMYFUNCTION("""COMPUTED_VALUE"""),"")</f>
        <v/>
      </c>
      <c r="F455" s="257" t="str">
        <f>IFERROR(__xludf.DUMMYFUNCTION("""COMPUTED_VALUE"""),"")</f>
        <v/>
      </c>
      <c r="G455" s="247" t="str">
        <f t="shared" si="1"/>
        <v/>
      </c>
      <c r="H455" s="258" t="str">
        <f>IFERROR(__xludf.DUMMYFUNCTION("""COMPUTED_VALUE"""),"")</f>
        <v/>
      </c>
      <c r="I455" s="259" t="str">
        <f>IFERROR(__xludf.DUMMYFUNCTION("""COMPUTED_VALUE"""),"")</f>
        <v/>
      </c>
      <c r="J455" s="250" t="str">
        <f t="shared" si="2"/>
        <v/>
      </c>
      <c r="K455" s="317" t="str">
        <f>IFERROR(__xludf.DUMMYFUNCTION("""COMPUTED_VALUE"""),"")</f>
        <v/>
      </c>
      <c r="L455" s="318" t="str">
        <f>IFERROR(__xludf.DUMMYFUNCTION("""COMPUTED_VALUE"""),"")</f>
        <v/>
      </c>
      <c r="M455" s="253" t="str">
        <f t="shared" si="3"/>
        <v/>
      </c>
      <c r="N455" s="319" t="str">
        <f>IFERROR(__xludf.DUMMYFUNCTION("""COMPUTED_VALUE"""),"")</f>
        <v/>
      </c>
      <c r="O455" s="257" t="str">
        <f>IFERROR(__xludf.DUMMYFUNCTION("""COMPUTED_VALUE"""),"")</f>
        <v/>
      </c>
      <c r="P455" s="247" t="str">
        <f t="shared" si="4"/>
        <v/>
      </c>
      <c r="Q455" s="320" t="str">
        <f>IFERROR(__xludf.DUMMYFUNCTION("""COMPUTED_VALUE"""),"")</f>
        <v/>
      </c>
      <c r="R455" s="259" t="str">
        <f>IFERROR(__xludf.DUMMYFUNCTION("""COMPUTED_VALUE"""),"")</f>
        <v/>
      </c>
      <c r="S455" s="250" t="str">
        <f t="shared" si="5"/>
        <v/>
      </c>
      <c r="T455" s="254" t="str">
        <f>IFERROR(__xludf.DUMMYFUNCTION("""COMPUTED_VALUE"""),"")</f>
        <v/>
      </c>
      <c r="U455" s="246" t="str">
        <f>IFERROR(__xludf.DUMMYFUNCTION("""COMPUTED_VALUE"""),"")</f>
        <v/>
      </c>
      <c r="V455" s="247" t="str">
        <f t="shared" si="6"/>
        <v/>
      </c>
      <c r="W455" s="255" t="str">
        <f>IFERROR(__xludf.DUMMYFUNCTION("""COMPUTED_VALUE"""),"")</f>
        <v/>
      </c>
      <c r="X455" s="249" t="str">
        <f>IFERROR(__xludf.DUMMYFUNCTION("""COMPUTED_VALUE"""),"")</f>
        <v/>
      </c>
      <c r="Y455" s="250" t="str">
        <f t="shared" si="7"/>
        <v/>
      </c>
    </row>
    <row r="456">
      <c r="A456" s="136" t="s">
        <v>133</v>
      </c>
      <c r="B456" s="136"/>
      <c r="C456" s="136" t="s">
        <v>133</v>
      </c>
      <c r="D456" s="136"/>
      <c r="E456" s="256" t="str">
        <f>IFERROR(__xludf.DUMMYFUNCTION("""COMPUTED_VALUE"""),"")</f>
        <v/>
      </c>
      <c r="F456" s="257" t="str">
        <f>IFERROR(__xludf.DUMMYFUNCTION("""COMPUTED_VALUE"""),"")</f>
        <v/>
      </c>
      <c r="G456" s="247" t="str">
        <f t="shared" si="1"/>
        <v/>
      </c>
      <c r="H456" s="258" t="str">
        <f>IFERROR(__xludf.DUMMYFUNCTION("""COMPUTED_VALUE"""),"")</f>
        <v/>
      </c>
      <c r="I456" s="259" t="str">
        <f>IFERROR(__xludf.DUMMYFUNCTION("""COMPUTED_VALUE"""),"")</f>
        <v/>
      </c>
      <c r="J456" s="250" t="str">
        <f t="shared" si="2"/>
        <v/>
      </c>
      <c r="K456" s="317" t="str">
        <f>IFERROR(__xludf.DUMMYFUNCTION("""COMPUTED_VALUE"""),"")</f>
        <v/>
      </c>
      <c r="L456" s="318" t="str">
        <f>IFERROR(__xludf.DUMMYFUNCTION("""COMPUTED_VALUE"""),"")</f>
        <v/>
      </c>
      <c r="M456" s="253" t="str">
        <f t="shared" si="3"/>
        <v/>
      </c>
      <c r="N456" s="319" t="str">
        <f>IFERROR(__xludf.DUMMYFUNCTION("""COMPUTED_VALUE"""),"")</f>
        <v/>
      </c>
      <c r="O456" s="257" t="str">
        <f>IFERROR(__xludf.DUMMYFUNCTION("""COMPUTED_VALUE"""),"")</f>
        <v/>
      </c>
      <c r="P456" s="247" t="str">
        <f t="shared" si="4"/>
        <v/>
      </c>
      <c r="Q456" s="320" t="str">
        <f>IFERROR(__xludf.DUMMYFUNCTION("""COMPUTED_VALUE"""),"")</f>
        <v/>
      </c>
      <c r="R456" s="259" t="str">
        <f>IFERROR(__xludf.DUMMYFUNCTION("""COMPUTED_VALUE"""),"")</f>
        <v/>
      </c>
      <c r="S456" s="250" t="str">
        <f t="shared" si="5"/>
        <v/>
      </c>
      <c r="T456" s="254" t="str">
        <f>IFERROR(__xludf.DUMMYFUNCTION("""COMPUTED_VALUE"""),"")</f>
        <v/>
      </c>
      <c r="U456" s="246" t="str">
        <f>IFERROR(__xludf.DUMMYFUNCTION("""COMPUTED_VALUE"""),"")</f>
        <v/>
      </c>
      <c r="V456" s="247" t="str">
        <f t="shared" si="6"/>
        <v/>
      </c>
      <c r="W456" s="255" t="str">
        <f>IFERROR(__xludf.DUMMYFUNCTION("""COMPUTED_VALUE"""),"")</f>
        <v/>
      </c>
      <c r="X456" s="249" t="str">
        <f>IFERROR(__xludf.DUMMYFUNCTION("""COMPUTED_VALUE"""),"")</f>
        <v/>
      </c>
      <c r="Y456" s="250" t="str">
        <f t="shared" si="7"/>
        <v/>
      </c>
    </row>
    <row r="457">
      <c r="A457" s="136" t="s">
        <v>133</v>
      </c>
      <c r="B457" s="136"/>
      <c r="C457" s="136" t="s">
        <v>133</v>
      </c>
      <c r="D457" s="136"/>
      <c r="E457" s="256" t="str">
        <f>IFERROR(__xludf.DUMMYFUNCTION("""COMPUTED_VALUE"""),"")</f>
        <v/>
      </c>
      <c r="F457" s="257" t="str">
        <f>IFERROR(__xludf.DUMMYFUNCTION("""COMPUTED_VALUE"""),"")</f>
        <v/>
      </c>
      <c r="G457" s="247" t="str">
        <f t="shared" si="1"/>
        <v/>
      </c>
      <c r="H457" s="258" t="str">
        <f>IFERROR(__xludf.DUMMYFUNCTION("""COMPUTED_VALUE"""),"")</f>
        <v/>
      </c>
      <c r="I457" s="259" t="str">
        <f>IFERROR(__xludf.DUMMYFUNCTION("""COMPUTED_VALUE"""),"")</f>
        <v/>
      </c>
      <c r="J457" s="250" t="str">
        <f t="shared" si="2"/>
        <v/>
      </c>
      <c r="K457" s="317" t="str">
        <f>IFERROR(__xludf.DUMMYFUNCTION("""COMPUTED_VALUE"""),"")</f>
        <v/>
      </c>
      <c r="L457" s="318" t="str">
        <f>IFERROR(__xludf.DUMMYFUNCTION("""COMPUTED_VALUE"""),"")</f>
        <v/>
      </c>
      <c r="M457" s="253" t="str">
        <f t="shared" si="3"/>
        <v/>
      </c>
      <c r="N457" s="319" t="str">
        <f>IFERROR(__xludf.DUMMYFUNCTION("""COMPUTED_VALUE"""),"")</f>
        <v/>
      </c>
      <c r="O457" s="257" t="str">
        <f>IFERROR(__xludf.DUMMYFUNCTION("""COMPUTED_VALUE"""),"")</f>
        <v/>
      </c>
      <c r="P457" s="247" t="str">
        <f t="shared" si="4"/>
        <v/>
      </c>
      <c r="Q457" s="320" t="str">
        <f>IFERROR(__xludf.DUMMYFUNCTION("""COMPUTED_VALUE"""),"")</f>
        <v/>
      </c>
      <c r="R457" s="259" t="str">
        <f>IFERROR(__xludf.DUMMYFUNCTION("""COMPUTED_VALUE"""),"")</f>
        <v/>
      </c>
      <c r="S457" s="250" t="str">
        <f t="shared" si="5"/>
        <v/>
      </c>
      <c r="T457" s="254" t="str">
        <f>IFERROR(__xludf.DUMMYFUNCTION("""COMPUTED_VALUE"""),"")</f>
        <v/>
      </c>
      <c r="U457" s="246" t="str">
        <f>IFERROR(__xludf.DUMMYFUNCTION("""COMPUTED_VALUE"""),"")</f>
        <v/>
      </c>
      <c r="V457" s="247" t="str">
        <f t="shared" si="6"/>
        <v/>
      </c>
      <c r="W457" s="255" t="str">
        <f>IFERROR(__xludf.DUMMYFUNCTION("""COMPUTED_VALUE"""),"")</f>
        <v/>
      </c>
      <c r="X457" s="249" t="str">
        <f>IFERROR(__xludf.DUMMYFUNCTION("""COMPUTED_VALUE"""),"")</f>
        <v/>
      </c>
      <c r="Y457" s="250" t="str">
        <f t="shared" si="7"/>
        <v/>
      </c>
    </row>
    <row r="458">
      <c r="A458" s="136" t="s">
        <v>133</v>
      </c>
      <c r="B458" s="136"/>
      <c r="C458" s="136" t="s">
        <v>133</v>
      </c>
      <c r="D458" s="136"/>
      <c r="E458" s="256" t="str">
        <f>IFERROR(__xludf.DUMMYFUNCTION("""COMPUTED_VALUE"""),"")</f>
        <v/>
      </c>
      <c r="F458" s="257" t="str">
        <f>IFERROR(__xludf.DUMMYFUNCTION("""COMPUTED_VALUE"""),"")</f>
        <v/>
      </c>
      <c r="G458" s="247" t="str">
        <f t="shared" si="1"/>
        <v/>
      </c>
      <c r="H458" s="258" t="str">
        <f>IFERROR(__xludf.DUMMYFUNCTION("""COMPUTED_VALUE"""),"")</f>
        <v/>
      </c>
      <c r="I458" s="259" t="str">
        <f>IFERROR(__xludf.DUMMYFUNCTION("""COMPUTED_VALUE"""),"")</f>
        <v/>
      </c>
      <c r="J458" s="250" t="str">
        <f t="shared" si="2"/>
        <v/>
      </c>
      <c r="K458" s="317" t="str">
        <f>IFERROR(__xludf.DUMMYFUNCTION("""COMPUTED_VALUE"""),"")</f>
        <v/>
      </c>
      <c r="L458" s="318" t="str">
        <f>IFERROR(__xludf.DUMMYFUNCTION("""COMPUTED_VALUE"""),"")</f>
        <v/>
      </c>
      <c r="M458" s="253" t="str">
        <f t="shared" si="3"/>
        <v/>
      </c>
      <c r="N458" s="319" t="str">
        <f>IFERROR(__xludf.DUMMYFUNCTION("""COMPUTED_VALUE"""),"")</f>
        <v/>
      </c>
      <c r="O458" s="257" t="str">
        <f>IFERROR(__xludf.DUMMYFUNCTION("""COMPUTED_VALUE"""),"")</f>
        <v/>
      </c>
      <c r="P458" s="247" t="str">
        <f t="shared" si="4"/>
        <v/>
      </c>
      <c r="Q458" s="320" t="str">
        <f>IFERROR(__xludf.DUMMYFUNCTION("""COMPUTED_VALUE"""),"")</f>
        <v/>
      </c>
      <c r="R458" s="259" t="str">
        <f>IFERROR(__xludf.DUMMYFUNCTION("""COMPUTED_VALUE"""),"")</f>
        <v/>
      </c>
      <c r="S458" s="250" t="str">
        <f t="shared" si="5"/>
        <v/>
      </c>
      <c r="T458" s="254" t="str">
        <f>IFERROR(__xludf.DUMMYFUNCTION("""COMPUTED_VALUE"""),"")</f>
        <v/>
      </c>
      <c r="U458" s="246" t="str">
        <f>IFERROR(__xludf.DUMMYFUNCTION("""COMPUTED_VALUE"""),"")</f>
        <v/>
      </c>
      <c r="V458" s="247" t="str">
        <f t="shared" si="6"/>
        <v/>
      </c>
      <c r="W458" s="255" t="str">
        <f>IFERROR(__xludf.DUMMYFUNCTION("""COMPUTED_VALUE"""),"")</f>
        <v/>
      </c>
      <c r="X458" s="249" t="str">
        <f>IFERROR(__xludf.DUMMYFUNCTION("""COMPUTED_VALUE"""),"")</f>
        <v/>
      </c>
      <c r="Y458" s="250" t="str">
        <f t="shared" si="7"/>
        <v/>
      </c>
    </row>
    <row r="459">
      <c r="A459" s="136" t="s">
        <v>133</v>
      </c>
      <c r="B459" s="136"/>
      <c r="C459" s="136" t="s">
        <v>133</v>
      </c>
      <c r="D459" s="136"/>
      <c r="E459" s="256" t="str">
        <f>IFERROR(__xludf.DUMMYFUNCTION("""COMPUTED_VALUE"""),"")</f>
        <v/>
      </c>
      <c r="F459" s="257" t="str">
        <f>IFERROR(__xludf.DUMMYFUNCTION("""COMPUTED_VALUE"""),"")</f>
        <v/>
      </c>
      <c r="G459" s="247" t="str">
        <f t="shared" si="1"/>
        <v/>
      </c>
      <c r="H459" s="258" t="str">
        <f>IFERROR(__xludf.DUMMYFUNCTION("""COMPUTED_VALUE"""),"")</f>
        <v/>
      </c>
      <c r="I459" s="259" t="str">
        <f>IFERROR(__xludf.DUMMYFUNCTION("""COMPUTED_VALUE"""),"")</f>
        <v/>
      </c>
      <c r="J459" s="250" t="str">
        <f t="shared" si="2"/>
        <v/>
      </c>
      <c r="K459" s="317" t="str">
        <f>IFERROR(__xludf.DUMMYFUNCTION("""COMPUTED_VALUE"""),"")</f>
        <v/>
      </c>
      <c r="L459" s="318" t="str">
        <f>IFERROR(__xludf.DUMMYFUNCTION("""COMPUTED_VALUE"""),"")</f>
        <v/>
      </c>
      <c r="M459" s="253" t="str">
        <f t="shared" si="3"/>
        <v/>
      </c>
      <c r="N459" s="319" t="str">
        <f>IFERROR(__xludf.DUMMYFUNCTION("""COMPUTED_VALUE"""),"")</f>
        <v/>
      </c>
      <c r="O459" s="257" t="str">
        <f>IFERROR(__xludf.DUMMYFUNCTION("""COMPUTED_VALUE"""),"")</f>
        <v/>
      </c>
      <c r="P459" s="247" t="str">
        <f t="shared" si="4"/>
        <v/>
      </c>
      <c r="Q459" s="320" t="str">
        <f>IFERROR(__xludf.DUMMYFUNCTION("""COMPUTED_VALUE"""),"")</f>
        <v/>
      </c>
      <c r="R459" s="259" t="str">
        <f>IFERROR(__xludf.DUMMYFUNCTION("""COMPUTED_VALUE"""),"")</f>
        <v/>
      </c>
      <c r="S459" s="250" t="str">
        <f t="shared" si="5"/>
        <v/>
      </c>
      <c r="T459" s="254" t="str">
        <f>IFERROR(__xludf.DUMMYFUNCTION("""COMPUTED_VALUE"""),"")</f>
        <v/>
      </c>
      <c r="U459" s="246" t="str">
        <f>IFERROR(__xludf.DUMMYFUNCTION("""COMPUTED_VALUE"""),"")</f>
        <v/>
      </c>
      <c r="V459" s="247" t="str">
        <f t="shared" si="6"/>
        <v/>
      </c>
      <c r="W459" s="255" t="str">
        <f>IFERROR(__xludf.DUMMYFUNCTION("""COMPUTED_VALUE"""),"")</f>
        <v/>
      </c>
      <c r="X459" s="249" t="str">
        <f>IFERROR(__xludf.DUMMYFUNCTION("""COMPUTED_VALUE"""),"")</f>
        <v/>
      </c>
      <c r="Y459" s="250" t="str">
        <f t="shared" si="7"/>
        <v/>
      </c>
    </row>
    <row r="460">
      <c r="A460" s="136" t="s">
        <v>133</v>
      </c>
      <c r="B460" s="136"/>
      <c r="C460" s="136" t="s">
        <v>133</v>
      </c>
      <c r="D460" s="136"/>
      <c r="E460" s="256" t="str">
        <f>IFERROR(__xludf.DUMMYFUNCTION("""COMPUTED_VALUE"""),"")</f>
        <v/>
      </c>
      <c r="F460" s="257" t="str">
        <f>IFERROR(__xludf.DUMMYFUNCTION("""COMPUTED_VALUE"""),"")</f>
        <v/>
      </c>
      <c r="G460" s="247" t="str">
        <f t="shared" si="1"/>
        <v/>
      </c>
      <c r="H460" s="258" t="str">
        <f>IFERROR(__xludf.DUMMYFUNCTION("""COMPUTED_VALUE"""),"")</f>
        <v/>
      </c>
      <c r="I460" s="259" t="str">
        <f>IFERROR(__xludf.DUMMYFUNCTION("""COMPUTED_VALUE"""),"")</f>
        <v/>
      </c>
      <c r="J460" s="250" t="str">
        <f t="shared" si="2"/>
        <v/>
      </c>
      <c r="K460" s="317" t="str">
        <f>IFERROR(__xludf.DUMMYFUNCTION("""COMPUTED_VALUE"""),"")</f>
        <v/>
      </c>
      <c r="L460" s="318" t="str">
        <f>IFERROR(__xludf.DUMMYFUNCTION("""COMPUTED_VALUE"""),"")</f>
        <v/>
      </c>
      <c r="M460" s="253" t="str">
        <f t="shared" si="3"/>
        <v/>
      </c>
      <c r="N460" s="319" t="str">
        <f>IFERROR(__xludf.DUMMYFUNCTION("""COMPUTED_VALUE"""),"")</f>
        <v/>
      </c>
      <c r="O460" s="257" t="str">
        <f>IFERROR(__xludf.DUMMYFUNCTION("""COMPUTED_VALUE"""),"")</f>
        <v/>
      </c>
      <c r="P460" s="247" t="str">
        <f t="shared" si="4"/>
        <v/>
      </c>
      <c r="Q460" s="320" t="str">
        <f>IFERROR(__xludf.DUMMYFUNCTION("""COMPUTED_VALUE"""),"")</f>
        <v/>
      </c>
      <c r="R460" s="259" t="str">
        <f>IFERROR(__xludf.DUMMYFUNCTION("""COMPUTED_VALUE"""),"")</f>
        <v/>
      </c>
      <c r="S460" s="250" t="str">
        <f t="shared" si="5"/>
        <v/>
      </c>
      <c r="T460" s="254" t="str">
        <f>IFERROR(__xludf.DUMMYFUNCTION("""COMPUTED_VALUE"""),"")</f>
        <v/>
      </c>
      <c r="U460" s="246" t="str">
        <f>IFERROR(__xludf.DUMMYFUNCTION("""COMPUTED_VALUE"""),"")</f>
        <v/>
      </c>
      <c r="V460" s="247" t="str">
        <f t="shared" si="6"/>
        <v/>
      </c>
      <c r="W460" s="255" t="str">
        <f>IFERROR(__xludf.DUMMYFUNCTION("""COMPUTED_VALUE"""),"")</f>
        <v/>
      </c>
      <c r="X460" s="249" t="str">
        <f>IFERROR(__xludf.DUMMYFUNCTION("""COMPUTED_VALUE"""),"")</f>
        <v/>
      </c>
      <c r="Y460" s="250" t="str">
        <f t="shared" si="7"/>
        <v/>
      </c>
    </row>
    <row r="461">
      <c r="A461" s="136" t="s">
        <v>133</v>
      </c>
      <c r="B461" s="136"/>
      <c r="C461" s="136" t="s">
        <v>133</v>
      </c>
      <c r="D461" s="136"/>
      <c r="E461" s="256" t="str">
        <f>IFERROR(__xludf.DUMMYFUNCTION("""COMPUTED_VALUE"""),"")</f>
        <v/>
      </c>
      <c r="F461" s="257" t="str">
        <f>IFERROR(__xludf.DUMMYFUNCTION("""COMPUTED_VALUE"""),"")</f>
        <v/>
      </c>
      <c r="G461" s="247" t="str">
        <f t="shared" si="1"/>
        <v/>
      </c>
      <c r="H461" s="258" t="str">
        <f>IFERROR(__xludf.DUMMYFUNCTION("""COMPUTED_VALUE"""),"")</f>
        <v/>
      </c>
      <c r="I461" s="259" t="str">
        <f>IFERROR(__xludf.DUMMYFUNCTION("""COMPUTED_VALUE"""),"")</f>
        <v/>
      </c>
      <c r="J461" s="250" t="str">
        <f t="shared" si="2"/>
        <v/>
      </c>
      <c r="K461" s="317" t="str">
        <f>IFERROR(__xludf.DUMMYFUNCTION("""COMPUTED_VALUE"""),"")</f>
        <v/>
      </c>
      <c r="L461" s="318" t="str">
        <f>IFERROR(__xludf.DUMMYFUNCTION("""COMPUTED_VALUE"""),"")</f>
        <v/>
      </c>
      <c r="M461" s="253" t="str">
        <f t="shared" si="3"/>
        <v/>
      </c>
      <c r="N461" s="319" t="str">
        <f>IFERROR(__xludf.DUMMYFUNCTION("""COMPUTED_VALUE"""),"")</f>
        <v/>
      </c>
      <c r="O461" s="257" t="str">
        <f>IFERROR(__xludf.DUMMYFUNCTION("""COMPUTED_VALUE"""),"")</f>
        <v/>
      </c>
      <c r="P461" s="247" t="str">
        <f t="shared" si="4"/>
        <v/>
      </c>
      <c r="Q461" s="320" t="str">
        <f>IFERROR(__xludf.DUMMYFUNCTION("""COMPUTED_VALUE"""),"")</f>
        <v/>
      </c>
      <c r="R461" s="259" t="str">
        <f>IFERROR(__xludf.DUMMYFUNCTION("""COMPUTED_VALUE"""),"")</f>
        <v/>
      </c>
      <c r="S461" s="250" t="str">
        <f t="shared" si="5"/>
        <v/>
      </c>
      <c r="T461" s="254" t="str">
        <f>IFERROR(__xludf.DUMMYFUNCTION("""COMPUTED_VALUE"""),"")</f>
        <v/>
      </c>
      <c r="U461" s="246" t="str">
        <f>IFERROR(__xludf.DUMMYFUNCTION("""COMPUTED_VALUE"""),"")</f>
        <v/>
      </c>
      <c r="V461" s="247" t="str">
        <f t="shared" si="6"/>
        <v/>
      </c>
      <c r="W461" s="255" t="str">
        <f>IFERROR(__xludf.DUMMYFUNCTION("""COMPUTED_VALUE"""),"")</f>
        <v/>
      </c>
      <c r="X461" s="249" t="str">
        <f>IFERROR(__xludf.DUMMYFUNCTION("""COMPUTED_VALUE"""),"")</f>
        <v/>
      </c>
      <c r="Y461" s="250" t="str">
        <f t="shared" si="7"/>
        <v/>
      </c>
    </row>
    <row r="462">
      <c r="A462" s="136" t="s">
        <v>133</v>
      </c>
      <c r="B462" s="136"/>
      <c r="C462" s="136" t="s">
        <v>133</v>
      </c>
      <c r="D462" s="136"/>
      <c r="E462" s="256" t="str">
        <f>IFERROR(__xludf.DUMMYFUNCTION("""COMPUTED_VALUE"""),"")</f>
        <v/>
      </c>
      <c r="F462" s="257" t="str">
        <f>IFERROR(__xludf.DUMMYFUNCTION("""COMPUTED_VALUE"""),"")</f>
        <v/>
      </c>
      <c r="G462" s="247" t="str">
        <f t="shared" si="1"/>
        <v/>
      </c>
      <c r="H462" s="258" t="str">
        <f>IFERROR(__xludf.DUMMYFUNCTION("""COMPUTED_VALUE"""),"")</f>
        <v/>
      </c>
      <c r="I462" s="259" t="str">
        <f>IFERROR(__xludf.DUMMYFUNCTION("""COMPUTED_VALUE"""),"")</f>
        <v/>
      </c>
      <c r="J462" s="250" t="str">
        <f t="shared" si="2"/>
        <v/>
      </c>
      <c r="K462" s="317" t="str">
        <f>IFERROR(__xludf.DUMMYFUNCTION("""COMPUTED_VALUE"""),"")</f>
        <v/>
      </c>
      <c r="L462" s="318" t="str">
        <f>IFERROR(__xludf.DUMMYFUNCTION("""COMPUTED_VALUE"""),"")</f>
        <v/>
      </c>
      <c r="M462" s="253" t="str">
        <f t="shared" si="3"/>
        <v/>
      </c>
      <c r="N462" s="319" t="str">
        <f>IFERROR(__xludf.DUMMYFUNCTION("""COMPUTED_VALUE"""),"")</f>
        <v/>
      </c>
      <c r="O462" s="257" t="str">
        <f>IFERROR(__xludf.DUMMYFUNCTION("""COMPUTED_VALUE"""),"")</f>
        <v/>
      </c>
      <c r="P462" s="247" t="str">
        <f t="shared" si="4"/>
        <v/>
      </c>
      <c r="Q462" s="320" t="str">
        <f>IFERROR(__xludf.DUMMYFUNCTION("""COMPUTED_VALUE"""),"")</f>
        <v/>
      </c>
      <c r="R462" s="259" t="str">
        <f>IFERROR(__xludf.DUMMYFUNCTION("""COMPUTED_VALUE"""),"")</f>
        <v/>
      </c>
      <c r="S462" s="250" t="str">
        <f t="shared" si="5"/>
        <v/>
      </c>
      <c r="T462" s="254" t="str">
        <f>IFERROR(__xludf.DUMMYFUNCTION("""COMPUTED_VALUE"""),"")</f>
        <v/>
      </c>
      <c r="U462" s="246" t="str">
        <f>IFERROR(__xludf.DUMMYFUNCTION("""COMPUTED_VALUE"""),"")</f>
        <v/>
      </c>
      <c r="V462" s="247" t="str">
        <f t="shared" si="6"/>
        <v/>
      </c>
      <c r="W462" s="255" t="str">
        <f>IFERROR(__xludf.DUMMYFUNCTION("""COMPUTED_VALUE"""),"")</f>
        <v/>
      </c>
      <c r="X462" s="249" t="str">
        <f>IFERROR(__xludf.DUMMYFUNCTION("""COMPUTED_VALUE"""),"")</f>
        <v/>
      </c>
      <c r="Y462" s="250" t="str">
        <f t="shared" si="7"/>
        <v/>
      </c>
    </row>
    <row r="463">
      <c r="A463" s="136" t="s">
        <v>133</v>
      </c>
      <c r="B463" s="136"/>
      <c r="C463" s="136" t="s">
        <v>133</v>
      </c>
      <c r="D463" s="136"/>
      <c r="E463" s="256" t="str">
        <f>IFERROR(__xludf.DUMMYFUNCTION("""COMPUTED_VALUE"""),"")</f>
        <v/>
      </c>
      <c r="F463" s="257" t="str">
        <f>IFERROR(__xludf.DUMMYFUNCTION("""COMPUTED_VALUE"""),"")</f>
        <v/>
      </c>
      <c r="G463" s="247" t="str">
        <f t="shared" si="1"/>
        <v/>
      </c>
      <c r="H463" s="258" t="str">
        <f>IFERROR(__xludf.DUMMYFUNCTION("""COMPUTED_VALUE"""),"")</f>
        <v/>
      </c>
      <c r="I463" s="259" t="str">
        <f>IFERROR(__xludf.DUMMYFUNCTION("""COMPUTED_VALUE"""),"")</f>
        <v/>
      </c>
      <c r="J463" s="250" t="str">
        <f t="shared" si="2"/>
        <v/>
      </c>
      <c r="K463" s="317" t="str">
        <f>IFERROR(__xludf.DUMMYFUNCTION("""COMPUTED_VALUE"""),"")</f>
        <v/>
      </c>
      <c r="L463" s="318" t="str">
        <f>IFERROR(__xludf.DUMMYFUNCTION("""COMPUTED_VALUE"""),"")</f>
        <v/>
      </c>
      <c r="M463" s="253" t="str">
        <f t="shared" si="3"/>
        <v/>
      </c>
      <c r="N463" s="319" t="str">
        <f>IFERROR(__xludf.DUMMYFUNCTION("""COMPUTED_VALUE"""),"")</f>
        <v/>
      </c>
      <c r="O463" s="257" t="str">
        <f>IFERROR(__xludf.DUMMYFUNCTION("""COMPUTED_VALUE"""),"")</f>
        <v/>
      </c>
      <c r="P463" s="247" t="str">
        <f t="shared" si="4"/>
        <v/>
      </c>
      <c r="Q463" s="320" t="str">
        <f>IFERROR(__xludf.DUMMYFUNCTION("""COMPUTED_VALUE"""),"")</f>
        <v/>
      </c>
      <c r="R463" s="259" t="str">
        <f>IFERROR(__xludf.DUMMYFUNCTION("""COMPUTED_VALUE"""),"")</f>
        <v/>
      </c>
      <c r="S463" s="250" t="str">
        <f t="shared" si="5"/>
        <v/>
      </c>
      <c r="T463" s="254" t="str">
        <f>IFERROR(__xludf.DUMMYFUNCTION("""COMPUTED_VALUE"""),"")</f>
        <v/>
      </c>
      <c r="U463" s="246" t="str">
        <f>IFERROR(__xludf.DUMMYFUNCTION("""COMPUTED_VALUE"""),"")</f>
        <v/>
      </c>
      <c r="V463" s="247" t="str">
        <f t="shared" si="6"/>
        <v/>
      </c>
      <c r="W463" s="255" t="str">
        <f>IFERROR(__xludf.DUMMYFUNCTION("""COMPUTED_VALUE"""),"")</f>
        <v/>
      </c>
      <c r="X463" s="249" t="str">
        <f>IFERROR(__xludf.DUMMYFUNCTION("""COMPUTED_VALUE"""),"")</f>
        <v/>
      </c>
      <c r="Y463" s="250" t="str">
        <f t="shared" si="7"/>
        <v/>
      </c>
    </row>
    <row r="464">
      <c r="A464" s="136" t="s">
        <v>133</v>
      </c>
      <c r="B464" s="136"/>
      <c r="C464" s="136" t="s">
        <v>133</v>
      </c>
      <c r="D464" s="136"/>
      <c r="E464" s="256" t="str">
        <f>IFERROR(__xludf.DUMMYFUNCTION("""COMPUTED_VALUE"""),"")</f>
        <v/>
      </c>
      <c r="F464" s="257" t="str">
        <f>IFERROR(__xludf.DUMMYFUNCTION("""COMPUTED_VALUE"""),"")</f>
        <v/>
      </c>
      <c r="G464" s="247" t="str">
        <f t="shared" si="1"/>
        <v/>
      </c>
      <c r="H464" s="258" t="str">
        <f>IFERROR(__xludf.DUMMYFUNCTION("""COMPUTED_VALUE"""),"")</f>
        <v/>
      </c>
      <c r="I464" s="259" t="str">
        <f>IFERROR(__xludf.DUMMYFUNCTION("""COMPUTED_VALUE"""),"")</f>
        <v/>
      </c>
      <c r="J464" s="250" t="str">
        <f t="shared" si="2"/>
        <v/>
      </c>
      <c r="K464" s="317" t="str">
        <f>IFERROR(__xludf.DUMMYFUNCTION("""COMPUTED_VALUE"""),"")</f>
        <v/>
      </c>
      <c r="L464" s="318" t="str">
        <f>IFERROR(__xludf.DUMMYFUNCTION("""COMPUTED_VALUE"""),"")</f>
        <v/>
      </c>
      <c r="M464" s="253" t="str">
        <f t="shared" si="3"/>
        <v/>
      </c>
      <c r="N464" s="319" t="str">
        <f>IFERROR(__xludf.DUMMYFUNCTION("""COMPUTED_VALUE"""),"")</f>
        <v/>
      </c>
      <c r="O464" s="257" t="str">
        <f>IFERROR(__xludf.DUMMYFUNCTION("""COMPUTED_VALUE"""),"")</f>
        <v/>
      </c>
      <c r="P464" s="247" t="str">
        <f t="shared" si="4"/>
        <v/>
      </c>
      <c r="Q464" s="320" t="str">
        <f>IFERROR(__xludf.DUMMYFUNCTION("""COMPUTED_VALUE"""),"")</f>
        <v/>
      </c>
      <c r="R464" s="259" t="str">
        <f>IFERROR(__xludf.DUMMYFUNCTION("""COMPUTED_VALUE"""),"")</f>
        <v/>
      </c>
      <c r="S464" s="250" t="str">
        <f t="shared" si="5"/>
        <v/>
      </c>
      <c r="T464" s="254" t="str">
        <f>IFERROR(__xludf.DUMMYFUNCTION("""COMPUTED_VALUE"""),"")</f>
        <v/>
      </c>
      <c r="U464" s="246" t="str">
        <f>IFERROR(__xludf.DUMMYFUNCTION("""COMPUTED_VALUE"""),"")</f>
        <v/>
      </c>
      <c r="V464" s="247" t="str">
        <f t="shared" si="6"/>
        <v/>
      </c>
      <c r="W464" s="255" t="str">
        <f>IFERROR(__xludf.DUMMYFUNCTION("""COMPUTED_VALUE"""),"")</f>
        <v/>
      </c>
      <c r="X464" s="249" t="str">
        <f>IFERROR(__xludf.DUMMYFUNCTION("""COMPUTED_VALUE"""),"")</f>
        <v/>
      </c>
      <c r="Y464" s="250" t="str">
        <f t="shared" si="7"/>
        <v/>
      </c>
    </row>
    <row r="465">
      <c r="A465" s="136" t="s">
        <v>133</v>
      </c>
      <c r="B465" s="136"/>
      <c r="C465" s="136" t="s">
        <v>133</v>
      </c>
      <c r="D465" s="136"/>
      <c r="E465" s="256" t="str">
        <f>IFERROR(__xludf.DUMMYFUNCTION("""COMPUTED_VALUE"""),"")</f>
        <v/>
      </c>
      <c r="F465" s="257" t="str">
        <f>IFERROR(__xludf.DUMMYFUNCTION("""COMPUTED_VALUE"""),"")</f>
        <v/>
      </c>
      <c r="G465" s="247" t="str">
        <f t="shared" si="1"/>
        <v/>
      </c>
      <c r="H465" s="258" t="str">
        <f>IFERROR(__xludf.DUMMYFUNCTION("""COMPUTED_VALUE"""),"")</f>
        <v/>
      </c>
      <c r="I465" s="259" t="str">
        <f>IFERROR(__xludf.DUMMYFUNCTION("""COMPUTED_VALUE"""),"")</f>
        <v/>
      </c>
      <c r="J465" s="250" t="str">
        <f t="shared" si="2"/>
        <v/>
      </c>
      <c r="K465" s="317" t="str">
        <f>IFERROR(__xludf.DUMMYFUNCTION("""COMPUTED_VALUE"""),"")</f>
        <v/>
      </c>
      <c r="L465" s="318" t="str">
        <f>IFERROR(__xludf.DUMMYFUNCTION("""COMPUTED_VALUE"""),"")</f>
        <v/>
      </c>
      <c r="M465" s="253" t="str">
        <f t="shared" si="3"/>
        <v/>
      </c>
      <c r="N465" s="319" t="str">
        <f>IFERROR(__xludf.DUMMYFUNCTION("""COMPUTED_VALUE"""),"")</f>
        <v/>
      </c>
      <c r="O465" s="257" t="str">
        <f>IFERROR(__xludf.DUMMYFUNCTION("""COMPUTED_VALUE"""),"")</f>
        <v/>
      </c>
      <c r="P465" s="247" t="str">
        <f t="shared" si="4"/>
        <v/>
      </c>
      <c r="Q465" s="320" t="str">
        <f>IFERROR(__xludf.DUMMYFUNCTION("""COMPUTED_VALUE"""),"")</f>
        <v/>
      </c>
      <c r="R465" s="259" t="str">
        <f>IFERROR(__xludf.DUMMYFUNCTION("""COMPUTED_VALUE"""),"")</f>
        <v/>
      </c>
      <c r="S465" s="250" t="str">
        <f t="shared" si="5"/>
        <v/>
      </c>
      <c r="T465" s="254" t="str">
        <f>IFERROR(__xludf.DUMMYFUNCTION("""COMPUTED_VALUE"""),"")</f>
        <v/>
      </c>
      <c r="U465" s="246" t="str">
        <f>IFERROR(__xludf.DUMMYFUNCTION("""COMPUTED_VALUE"""),"")</f>
        <v/>
      </c>
      <c r="V465" s="247" t="str">
        <f t="shared" si="6"/>
        <v/>
      </c>
      <c r="W465" s="255" t="str">
        <f>IFERROR(__xludf.DUMMYFUNCTION("""COMPUTED_VALUE"""),"")</f>
        <v/>
      </c>
      <c r="X465" s="249" t="str">
        <f>IFERROR(__xludf.DUMMYFUNCTION("""COMPUTED_VALUE"""),"")</f>
        <v/>
      </c>
      <c r="Y465" s="250" t="str">
        <f t="shared" si="7"/>
        <v/>
      </c>
    </row>
    <row r="466">
      <c r="A466" s="136" t="s">
        <v>133</v>
      </c>
      <c r="B466" s="136"/>
      <c r="C466" s="136" t="s">
        <v>133</v>
      </c>
      <c r="D466" s="136"/>
      <c r="E466" s="256" t="str">
        <f>IFERROR(__xludf.DUMMYFUNCTION("""COMPUTED_VALUE"""),"")</f>
        <v/>
      </c>
      <c r="F466" s="257" t="str">
        <f>IFERROR(__xludf.DUMMYFUNCTION("""COMPUTED_VALUE"""),"")</f>
        <v/>
      </c>
      <c r="G466" s="247" t="str">
        <f t="shared" si="1"/>
        <v/>
      </c>
      <c r="H466" s="258" t="str">
        <f>IFERROR(__xludf.DUMMYFUNCTION("""COMPUTED_VALUE"""),"")</f>
        <v/>
      </c>
      <c r="I466" s="259" t="str">
        <f>IFERROR(__xludf.DUMMYFUNCTION("""COMPUTED_VALUE"""),"")</f>
        <v/>
      </c>
      <c r="J466" s="250" t="str">
        <f t="shared" si="2"/>
        <v/>
      </c>
      <c r="K466" s="317" t="str">
        <f>IFERROR(__xludf.DUMMYFUNCTION("""COMPUTED_VALUE"""),"")</f>
        <v/>
      </c>
      <c r="L466" s="318" t="str">
        <f>IFERROR(__xludf.DUMMYFUNCTION("""COMPUTED_VALUE"""),"")</f>
        <v/>
      </c>
      <c r="M466" s="253" t="str">
        <f t="shared" si="3"/>
        <v/>
      </c>
      <c r="N466" s="319" t="str">
        <f>IFERROR(__xludf.DUMMYFUNCTION("""COMPUTED_VALUE"""),"")</f>
        <v/>
      </c>
      <c r="O466" s="257" t="str">
        <f>IFERROR(__xludf.DUMMYFUNCTION("""COMPUTED_VALUE"""),"")</f>
        <v/>
      </c>
      <c r="P466" s="247" t="str">
        <f t="shared" si="4"/>
        <v/>
      </c>
      <c r="Q466" s="320" t="str">
        <f>IFERROR(__xludf.DUMMYFUNCTION("""COMPUTED_VALUE"""),"")</f>
        <v/>
      </c>
      <c r="R466" s="259" t="str">
        <f>IFERROR(__xludf.DUMMYFUNCTION("""COMPUTED_VALUE"""),"")</f>
        <v/>
      </c>
      <c r="S466" s="250" t="str">
        <f t="shared" si="5"/>
        <v/>
      </c>
      <c r="T466" s="254" t="str">
        <f>IFERROR(__xludf.DUMMYFUNCTION("""COMPUTED_VALUE"""),"")</f>
        <v/>
      </c>
      <c r="U466" s="246" t="str">
        <f>IFERROR(__xludf.DUMMYFUNCTION("""COMPUTED_VALUE"""),"")</f>
        <v/>
      </c>
      <c r="V466" s="247" t="str">
        <f t="shared" si="6"/>
        <v/>
      </c>
      <c r="W466" s="255" t="str">
        <f>IFERROR(__xludf.DUMMYFUNCTION("""COMPUTED_VALUE"""),"")</f>
        <v/>
      </c>
      <c r="X466" s="249" t="str">
        <f>IFERROR(__xludf.DUMMYFUNCTION("""COMPUTED_VALUE"""),"")</f>
        <v/>
      </c>
      <c r="Y466" s="250" t="str">
        <f t="shared" si="7"/>
        <v/>
      </c>
    </row>
    <row r="467">
      <c r="A467" s="136" t="s">
        <v>133</v>
      </c>
      <c r="B467" s="136"/>
      <c r="C467" s="136" t="s">
        <v>133</v>
      </c>
      <c r="D467" s="136"/>
      <c r="E467" s="256" t="str">
        <f>IFERROR(__xludf.DUMMYFUNCTION("""COMPUTED_VALUE"""),"")</f>
        <v/>
      </c>
      <c r="F467" s="257" t="str">
        <f>IFERROR(__xludf.DUMMYFUNCTION("""COMPUTED_VALUE"""),"")</f>
        <v/>
      </c>
      <c r="G467" s="247" t="str">
        <f t="shared" si="1"/>
        <v/>
      </c>
      <c r="H467" s="258" t="str">
        <f>IFERROR(__xludf.DUMMYFUNCTION("""COMPUTED_VALUE"""),"")</f>
        <v/>
      </c>
      <c r="I467" s="259" t="str">
        <f>IFERROR(__xludf.DUMMYFUNCTION("""COMPUTED_VALUE"""),"")</f>
        <v/>
      </c>
      <c r="J467" s="250" t="str">
        <f t="shared" si="2"/>
        <v/>
      </c>
      <c r="K467" s="317" t="str">
        <f>IFERROR(__xludf.DUMMYFUNCTION("""COMPUTED_VALUE"""),"")</f>
        <v/>
      </c>
      <c r="L467" s="318" t="str">
        <f>IFERROR(__xludf.DUMMYFUNCTION("""COMPUTED_VALUE"""),"")</f>
        <v/>
      </c>
      <c r="M467" s="253" t="str">
        <f t="shared" si="3"/>
        <v/>
      </c>
      <c r="N467" s="319" t="str">
        <f>IFERROR(__xludf.DUMMYFUNCTION("""COMPUTED_VALUE"""),"")</f>
        <v/>
      </c>
      <c r="O467" s="257" t="str">
        <f>IFERROR(__xludf.DUMMYFUNCTION("""COMPUTED_VALUE"""),"")</f>
        <v/>
      </c>
      <c r="P467" s="247" t="str">
        <f t="shared" si="4"/>
        <v/>
      </c>
      <c r="Q467" s="320" t="str">
        <f>IFERROR(__xludf.DUMMYFUNCTION("""COMPUTED_VALUE"""),"")</f>
        <v/>
      </c>
      <c r="R467" s="259" t="str">
        <f>IFERROR(__xludf.DUMMYFUNCTION("""COMPUTED_VALUE"""),"")</f>
        <v/>
      </c>
      <c r="S467" s="250" t="str">
        <f t="shared" si="5"/>
        <v/>
      </c>
      <c r="T467" s="254" t="str">
        <f>IFERROR(__xludf.DUMMYFUNCTION("""COMPUTED_VALUE"""),"")</f>
        <v/>
      </c>
      <c r="U467" s="246" t="str">
        <f>IFERROR(__xludf.DUMMYFUNCTION("""COMPUTED_VALUE"""),"")</f>
        <v/>
      </c>
      <c r="V467" s="247" t="str">
        <f t="shared" si="6"/>
        <v/>
      </c>
      <c r="W467" s="255" t="str">
        <f>IFERROR(__xludf.DUMMYFUNCTION("""COMPUTED_VALUE"""),"")</f>
        <v/>
      </c>
      <c r="X467" s="249" t="str">
        <f>IFERROR(__xludf.DUMMYFUNCTION("""COMPUTED_VALUE"""),"")</f>
        <v/>
      </c>
      <c r="Y467" s="250" t="str">
        <f t="shared" si="7"/>
        <v/>
      </c>
    </row>
    <row r="468">
      <c r="A468" s="136" t="s">
        <v>133</v>
      </c>
      <c r="B468" s="136"/>
      <c r="C468" s="136" t="s">
        <v>133</v>
      </c>
      <c r="D468" s="136"/>
      <c r="E468" s="256" t="str">
        <f>IFERROR(__xludf.DUMMYFUNCTION("""COMPUTED_VALUE"""),"")</f>
        <v/>
      </c>
      <c r="F468" s="257" t="str">
        <f>IFERROR(__xludf.DUMMYFUNCTION("""COMPUTED_VALUE"""),"")</f>
        <v/>
      </c>
      <c r="G468" s="247" t="str">
        <f t="shared" si="1"/>
        <v/>
      </c>
      <c r="H468" s="258" t="str">
        <f>IFERROR(__xludf.DUMMYFUNCTION("""COMPUTED_VALUE"""),"")</f>
        <v/>
      </c>
      <c r="I468" s="259" t="str">
        <f>IFERROR(__xludf.DUMMYFUNCTION("""COMPUTED_VALUE"""),"")</f>
        <v/>
      </c>
      <c r="J468" s="250" t="str">
        <f t="shared" si="2"/>
        <v/>
      </c>
      <c r="K468" s="317" t="str">
        <f>IFERROR(__xludf.DUMMYFUNCTION("""COMPUTED_VALUE"""),"")</f>
        <v/>
      </c>
      <c r="L468" s="318" t="str">
        <f>IFERROR(__xludf.DUMMYFUNCTION("""COMPUTED_VALUE"""),"")</f>
        <v/>
      </c>
      <c r="M468" s="253" t="str">
        <f t="shared" si="3"/>
        <v/>
      </c>
      <c r="N468" s="319" t="str">
        <f>IFERROR(__xludf.DUMMYFUNCTION("""COMPUTED_VALUE"""),"")</f>
        <v/>
      </c>
      <c r="O468" s="257" t="str">
        <f>IFERROR(__xludf.DUMMYFUNCTION("""COMPUTED_VALUE"""),"")</f>
        <v/>
      </c>
      <c r="P468" s="247" t="str">
        <f t="shared" si="4"/>
        <v/>
      </c>
      <c r="Q468" s="320" t="str">
        <f>IFERROR(__xludf.DUMMYFUNCTION("""COMPUTED_VALUE"""),"")</f>
        <v/>
      </c>
      <c r="R468" s="259" t="str">
        <f>IFERROR(__xludf.DUMMYFUNCTION("""COMPUTED_VALUE"""),"")</f>
        <v/>
      </c>
      <c r="S468" s="250" t="str">
        <f t="shared" si="5"/>
        <v/>
      </c>
      <c r="T468" s="254" t="str">
        <f>IFERROR(__xludf.DUMMYFUNCTION("""COMPUTED_VALUE"""),"")</f>
        <v/>
      </c>
      <c r="U468" s="246" t="str">
        <f>IFERROR(__xludf.DUMMYFUNCTION("""COMPUTED_VALUE"""),"")</f>
        <v/>
      </c>
      <c r="V468" s="247" t="str">
        <f t="shared" si="6"/>
        <v/>
      </c>
      <c r="W468" s="255" t="str">
        <f>IFERROR(__xludf.DUMMYFUNCTION("""COMPUTED_VALUE"""),"")</f>
        <v/>
      </c>
      <c r="X468" s="249" t="str">
        <f>IFERROR(__xludf.DUMMYFUNCTION("""COMPUTED_VALUE"""),"")</f>
        <v/>
      </c>
      <c r="Y468" s="250" t="str">
        <f t="shared" si="7"/>
        <v/>
      </c>
    </row>
    <row r="469">
      <c r="A469" s="136" t="s">
        <v>133</v>
      </c>
      <c r="B469" s="136"/>
      <c r="C469" s="136" t="s">
        <v>133</v>
      </c>
      <c r="D469" s="136"/>
      <c r="E469" s="256" t="str">
        <f>IFERROR(__xludf.DUMMYFUNCTION("""COMPUTED_VALUE"""),"")</f>
        <v/>
      </c>
      <c r="F469" s="257" t="str">
        <f>IFERROR(__xludf.DUMMYFUNCTION("""COMPUTED_VALUE"""),"")</f>
        <v/>
      </c>
      <c r="G469" s="247" t="str">
        <f t="shared" si="1"/>
        <v/>
      </c>
      <c r="H469" s="258" t="str">
        <f>IFERROR(__xludf.DUMMYFUNCTION("""COMPUTED_VALUE"""),"")</f>
        <v/>
      </c>
      <c r="I469" s="259" t="str">
        <f>IFERROR(__xludf.DUMMYFUNCTION("""COMPUTED_VALUE"""),"")</f>
        <v/>
      </c>
      <c r="J469" s="250" t="str">
        <f t="shared" si="2"/>
        <v/>
      </c>
      <c r="K469" s="317" t="str">
        <f>IFERROR(__xludf.DUMMYFUNCTION("""COMPUTED_VALUE"""),"")</f>
        <v/>
      </c>
      <c r="L469" s="318" t="str">
        <f>IFERROR(__xludf.DUMMYFUNCTION("""COMPUTED_VALUE"""),"")</f>
        <v/>
      </c>
      <c r="M469" s="253" t="str">
        <f t="shared" si="3"/>
        <v/>
      </c>
      <c r="N469" s="319" t="str">
        <f>IFERROR(__xludf.DUMMYFUNCTION("""COMPUTED_VALUE"""),"")</f>
        <v/>
      </c>
      <c r="O469" s="257" t="str">
        <f>IFERROR(__xludf.DUMMYFUNCTION("""COMPUTED_VALUE"""),"")</f>
        <v/>
      </c>
      <c r="P469" s="247" t="str">
        <f t="shared" si="4"/>
        <v/>
      </c>
      <c r="Q469" s="320" t="str">
        <f>IFERROR(__xludf.DUMMYFUNCTION("""COMPUTED_VALUE"""),"")</f>
        <v/>
      </c>
      <c r="R469" s="259" t="str">
        <f>IFERROR(__xludf.DUMMYFUNCTION("""COMPUTED_VALUE"""),"")</f>
        <v/>
      </c>
      <c r="S469" s="250" t="str">
        <f t="shared" si="5"/>
        <v/>
      </c>
      <c r="T469" s="254" t="str">
        <f>IFERROR(__xludf.DUMMYFUNCTION("""COMPUTED_VALUE"""),"")</f>
        <v/>
      </c>
      <c r="U469" s="246" t="str">
        <f>IFERROR(__xludf.DUMMYFUNCTION("""COMPUTED_VALUE"""),"")</f>
        <v/>
      </c>
      <c r="V469" s="247" t="str">
        <f t="shared" si="6"/>
        <v/>
      </c>
      <c r="W469" s="255" t="str">
        <f>IFERROR(__xludf.DUMMYFUNCTION("""COMPUTED_VALUE"""),"")</f>
        <v/>
      </c>
      <c r="X469" s="249" t="str">
        <f>IFERROR(__xludf.DUMMYFUNCTION("""COMPUTED_VALUE"""),"")</f>
        <v/>
      </c>
      <c r="Y469" s="250" t="str">
        <f t="shared" si="7"/>
        <v/>
      </c>
    </row>
    <row r="470">
      <c r="A470" s="136" t="s">
        <v>133</v>
      </c>
      <c r="B470" s="136"/>
      <c r="C470" s="136" t="s">
        <v>133</v>
      </c>
      <c r="D470" s="136"/>
      <c r="E470" s="256" t="str">
        <f>IFERROR(__xludf.DUMMYFUNCTION("""COMPUTED_VALUE"""),"")</f>
        <v/>
      </c>
      <c r="F470" s="257" t="str">
        <f>IFERROR(__xludf.DUMMYFUNCTION("""COMPUTED_VALUE"""),"")</f>
        <v/>
      </c>
      <c r="G470" s="247" t="str">
        <f t="shared" si="1"/>
        <v/>
      </c>
      <c r="H470" s="258" t="str">
        <f>IFERROR(__xludf.DUMMYFUNCTION("""COMPUTED_VALUE"""),"")</f>
        <v/>
      </c>
      <c r="I470" s="259" t="str">
        <f>IFERROR(__xludf.DUMMYFUNCTION("""COMPUTED_VALUE"""),"")</f>
        <v/>
      </c>
      <c r="J470" s="250" t="str">
        <f t="shared" si="2"/>
        <v/>
      </c>
      <c r="K470" s="317" t="str">
        <f>IFERROR(__xludf.DUMMYFUNCTION("""COMPUTED_VALUE"""),"")</f>
        <v/>
      </c>
      <c r="L470" s="318" t="str">
        <f>IFERROR(__xludf.DUMMYFUNCTION("""COMPUTED_VALUE"""),"")</f>
        <v/>
      </c>
      <c r="M470" s="253" t="str">
        <f t="shared" si="3"/>
        <v/>
      </c>
      <c r="N470" s="319" t="str">
        <f>IFERROR(__xludf.DUMMYFUNCTION("""COMPUTED_VALUE"""),"")</f>
        <v/>
      </c>
      <c r="O470" s="257" t="str">
        <f>IFERROR(__xludf.DUMMYFUNCTION("""COMPUTED_VALUE"""),"")</f>
        <v/>
      </c>
      <c r="P470" s="247" t="str">
        <f t="shared" si="4"/>
        <v/>
      </c>
      <c r="Q470" s="320" t="str">
        <f>IFERROR(__xludf.DUMMYFUNCTION("""COMPUTED_VALUE"""),"")</f>
        <v/>
      </c>
      <c r="R470" s="259" t="str">
        <f>IFERROR(__xludf.DUMMYFUNCTION("""COMPUTED_VALUE"""),"")</f>
        <v/>
      </c>
      <c r="S470" s="250" t="str">
        <f t="shared" si="5"/>
        <v/>
      </c>
      <c r="T470" s="254" t="str">
        <f>IFERROR(__xludf.DUMMYFUNCTION("""COMPUTED_VALUE"""),"")</f>
        <v/>
      </c>
      <c r="U470" s="246" t="str">
        <f>IFERROR(__xludf.DUMMYFUNCTION("""COMPUTED_VALUE"""),"")</f>
        <v/>
      </c>
      <c r="V470" s="247" t="str">
        <f t="shared" si="6"/>
        <v/>
      </c>
      <c r="W470" s="255" t="str">
        <f>IFERROR(__xludf.DUMMYFUNCTION("""COMPUTED_VALUE"""),"")</f>
        <v/>
      </c>
      <c r="X470" s="249" t="str">
        <f>IFERROR(__xludf.DUMMYFUNCTION("""COMPUTED_VALUE"""),"")</f>
        <v/>
      </c>
      <c r="Y470" s="250" t="str">
        <f t="shared" si="7"/>
        <v/>
      </c>
    </row>
    <row r="471">
      <c r="A471" s="136" t="s">
        <v>133</v>
      </c>
      <c r="B471" s="136"/>
      <c r="C471" s="136" t="s">
        <v>133</v>
      </c>
      <c r="D471" s="136"/>
      <c r="E471" s="256" t="str">
        <f>IFERROR(__xludf.DUMMYFUNCTION("""COMPUTED_VALUE"""),"")</f>
        <v/>
      </c>
      <c r="F471" s="257" t="str">
        <f>IFERROR(__xludf.DUMMYFUNCTION("""COMPUTED_VALUE"""),"")</f>
        <v/>
      </c>
      <c r="G471" s="247" t="str">
        <f t="shared" si="1"/>
        <v/>
      </c>
      <c r="H471" s="258" t="str">
        <f>IFERROR(__xludf.DUMMYFUNCTION("""COMPUTED_VALUE"""),"")</f>
        <v/>
      </c>
      <c r="I471" s="259" t="str">
        <f>IFERROR(__xludf.DUMMYFUNCTION("""COMPUTED_VALUE"""),"")</f>
        <v/>
      </c>
      <c r="J471" s="250" t="str">
        <f t="shared" si="2"/>
        <v/>
      </c>
      <c r="K471" s="317" t="str">
        <f>IFERROR(__xludf.DUMMYFUNCTION("""COMPUTED_VALUE"""),"")</f>
        <v/>
      </c>
      <c r="L471" s="318" t="str">
        <f>IFERROR(__xludf.DUMMYFUNCTION("""COMPUTED_VALUE"""),"")</f>
        <v/>
      </c>
      <c r="M471" s="253" t="str">
        <f t="shared" si="3"/>
        <v/>
      </c>
      <c r="N471" s="319" t="str">
        <f>IFERROR(__xludf.DUMMYFUNCTION("""COMPUTED_VALUE"""),"")</f>
        <v/>
      </c>
      <c r="O471" s="257" t="str">
        <f>IFERROR(__xludf.DUMMYFUNCTION("""COMPUTED_VALUE"""),"")</f>
        <v/>
      </c>
      <c r="P471" s="247" t="str">
        <f t="shared" si="4"/>
        <v/>
      </c>
      <c r="Q471" s="320" t="str">
        <f>IFERROR(__xludf.DUMMYFUNCTION("""COMPUTED_VALUE"""),"")</f>
        <v/>
      </c>
      <c r="R471" s="259" t="str">
        <f>IFERROR(__xludf.DUMMYFUNCTION("""COMPUTED_VALUE"""),"")</f>
        <v/>
      </c>
      <c r="S471" s="250" t="str">
        <f t="shared" si="5"/>
        <v/>
      </c>
      <c r="T471" s="254" t="str">
        <f>IFERROR(__xludf.DUMMYFUNCTION("""COMPUTED_VALUE"""),"")</f>
        <v/>
      </c>
      <c r="U471" s="246" t="str">
        <f>IFERROR(__xludf.DUMMYFUNCTION("""COMPUTED_VALUE"""),"")</f>
        <v/>
      </c>
      <c r="V471" s="247" t="str">
        <f t="shared" si="6"/>
        <v/>
      </c>
      <c r="W471" s="255" t="str">
        <f>IFERROR(__xludf.DUMMYFUNCTION("""COMPUTED_VALUE"""),"")</f>
        <v/>
      </c>
      <c r="X471" s="249" t="str">
        <f>IFERROR(__xludf.DUMMYFUNCTION("""COMPUTED_VALUE"""),"")</f>
        <v/>
      </c>
      <c r="Y471" s="250" t="str">
        <f t="shared" si="7"/>
        <v/>
      </c>
    </row>
    <row r="472">
      <c r="A472" s="136" t="s">
        <v>133</v>
      </c>
      <c r="B472" s="136"/>
      <c r="C472" s="136" t="s">
        <v>133</v>
      </c>
      <c r="D472" s="136"/>
      <c r="E472" s="256" t="str">
        <f>IFERROR(__xludf.DUMMYFUNCTION("""COMPUTED_VALUE"""),"")</f>
        <v/>
      </c>
      <c r="F472" s="257" t="str">
        <f>IFERROR(__xludf.DUMMYFUNCTION("""COMPUTED_VALUE"""),"")</f>
        <v/>
      </c>
      <c r="G472" s="247" t="str">
        <f t="shared" si="1"/>
        <v/>
      </c>
      <c r="H472" s="258" t="str">
        <f>IFERROR(__xludf.DUMMYFUNCTION("""COMPUTED_VALUE"""),"")</f>
        <v/>
      </c>
      <c r="I472" s="259" t="str">
        <f>IFERROR(__xludf.DUMMYFUNCTION("""COMPUTED_VALUE"""),"")</f>
        <v/>
      </c>
      <c r="J472" s="250" t="str">
        <f t="shared" si="2"/>
        <v/>
      </c>
      <c r="K472" s="317" t="str">
        <f>IFERROR(__xludf.DUMMYFUNCTION("""COMPUTED_VALUE"""),"")</f>
        <v/>
      </c>
      <c r="L472" s="318" t="str">
        <f>IFERROR(__xludf.DUMMYFUNCTION("""COMPUTED_VALUE"""),"")</f>
        <v/>
      </c>
      <c r="M472" s="253" t="str">
        <f t="shared" si="3"/>
        <v/>
      </c>
      <c r="N472" s="319" t="str">
        <f>IFERROR(__xludf.DUMMYFUNCTION("""COMPUTED_VALUE"""),"")</f>
        <v/>
      </c>
      <c r="O472" s="257" t="str">
        <f>IFERROR(__xludf.DUMMYFUNCTION("""COMPUTED_VALUE"""),"")</f>
        <v/>
      </c>
      <c r="P472" s="247" t="str">
        <f t="shared" si="4"/>
        <v/>
      </c>
      <c r="Q472" s="320" t="str">
        <f>IFERROR(__xludf.DUMMYFUNCTION("""COMPUTED_VALUE"""),"")</f>
        <v/>
      </c>
      <c r="R472" s="259" t="str">
        <f>IFERROR(__xludf.DUMMYFUNCTION("""COMPUTED_VALUE"""),"")</f>
        <v/>
      </c>
      <c r="S472" s="250" t="str">
        <f t="shared" si="5"/>
        <v/>
      </c>
      <c r="T472" s="254" t="str">
        <f>IFERROR(__xludf.DUMMYFUNCTION("""COMPUTED_VALUE"""),"")</f>
        <v/>
      </c>
      <c r="U472" s="246" t="str">
        <f>IFERROR(__xludf.DUMMYFUNCTION("""COMPUTED_VALUE"""),"")</f>
        <v/>
      </c>
      <c r="V472" s="247" t="str">
        <f t="shared" si="6"/>
        <v/>
      </c>
      <c r="W472" s="255" t="str">
        <f>IFERROR(__xludf.DUMMYFUNCTION("""COMPUTED_VALUE"""),"")</f>
        <v/>
      </c>
      <c r="X472" s="249" t="str">
        <f>IFERROR(__xludf.DUMMYFUNCTION("""COMPUTED_VALUE"""),"")</f>
        <v/>
      </c>
      <c r="Y472" s="250" t="str">
        <f t="shared" si="7"/>
        <v/>
      </c>
    </row>
    <row r="473">
      <c r="A473" s="136" t="s">
        <v>133</v>
      </c>
      <c r="B473" s="136"/>
      <c r="C473" s="136" t="s">
        <v>133</v>
      </c>
      <c r="D473" s="136"/>
      <c r="E473" s="256" t="str">
        <f>IFERROR(__xludf.DUMMYFUNCTION("""COMPUTED_VALUE"""),"")</f>
        <v/>
      </c>
      <c r="F473" s="257" t="str">
        <f>IFERROR(__xludf.DUMMYFUNCTION("""COMPUTED_VALUE"""),"")</f>
        <v/>
      </c>
      <c r="G473" s="247" t="str">
        <f t="shared" si="1"/>
        <v/>
      </c>
      <c r="H473" s="258" t="str">
        <f>IFERROR(__xludf.DUMMYFUNCTION("""COMPUTED_VALUE"""),"")</f>
        <v/>
      </c>
      <c r="I473" s="259" t="str">
        <f>IFERROR(__xludf.DUMMYFUNCTION("""COMPUTED_VALUE"""),"")</f>
        <v/>
      </c>
      <c r="J473" s="250" t="str">
        <f t="shared" si="2"/>
        <v/>
      </c>
      <c r="K473" s="317" t="str">
        <f>IFERROR(__xludf.DUMMYFUNCTION("""COMPUTED_VALUE"""),"")</f>
        <v/>
      </c>
      <c r="L473" s="318" t="str">
        <f>IFERROR(__xludf.DUMMYFUNCTION("""COMPUTED_VALUE"""),"")</f>
        <v/>
      </c>
      <c r="M473" s="253" t="str">
        <f t="shared" si="3"/>
        <v/>
      </c>
      <c r="N473" s="319" t="str">
        <f>IFERROR(__xludf.DUMMYFUNCTION("""COMPUTED_VALUE"""),"")</f>
        <v/>
      </c>
      <c r="O473" s="257" t="str">
        <f>IFERROR(__xludf.DUMMYFUNCTION("""COMPUTED_VALUE"""),"")</f>
        <v/>
      </c>
      <c r="P473" s="247" t="str">
        <f t="shared" si="4"/>
        <v/>
      </c>
      <c r="Q473" s="320" t="str">
        <f>IFERROR(__xludf.DUMMYFUNCTION("""COMPUTED_VALUE"""),"")</f>
        <v/>
      </c>
      <c r="R473" s="259" t="str">
        <f>IFERROR(__xludf.DUMMYFUNCTION("""COMPUTED_VALUE"""),"")</f>
        <v/>
      </c>
      <c r="S473" s="250" t="str">
        <f t="shared" si="5"/>
        <v/>
      </c>
      <c r="T473" s="254" t="str">
        <f>IFERROR(__xludf.DUMMYFUNCTION("""COMPUTED_VALUE"""),"")</f>
        <v/>
      </c>
      <c r="U473" s="246" t="str">
        <f>IFERROR(__xludf.DUMMYFUNCTION("""COMPUTED_VALUE"""),"")</f>
        <v/>
      </c>
      <c r="V473" s="247" t="str">
        <f t="shared" si="6"/>
        <v/>
      </c>
      <c r="W473" s="255" t="str">
        <f>IFERROR(__xludf.DUMMYFUNCTION("""COMPUTED_VALUE"""),"")</f>
        <v/>
      </c>
      <c r="X473" s="249" t="str">
        <f>IFERROR(__xludf.DUMMYFUNCTION("""COMPUTED_VALUE"""),"")</f>
        <v/>
      </c>
      <c r="Y473" s="250" t="str">
        <f t="shared" si="7"/>
        <v/>
      </c>
    </row>
    <row r="474">
      <c r="A474" s="136" t="s">
        <v>133</v>
      </c>
      <c r="B474" s="136"/>
      <c r="C474" s="136" t="s">
        <v>133</v>
      </c>
      <c r="D474" s="136"/>
      <c r="E474" s="256" t="str">
        <f>IFERROR(__xludf.DUMMYFUNCTION("""COMPUTED_VALUE"""),"")</f>
        <v/>
      </c>
      <c r="F474" s="257" t="str">
        <f>IFERROR(__xludf.DUMMYFUNCTION("""COMPUTED_VALUE"""),"")</f>
        <v/>
      </c>
      <c r="G474" s="247" t="str">
        <f t="shared" si="1"/>
        <v/>
      </c>
      <c r="H474" s="258" t="str">
        <f>IFERROR(__xludf.DUMMYFUNCTION("""COMPUTED_VALUE"""),"")</f>
        <v/>
      </c>
      <c r="I474" s="259" t="str">
        <f>IFERROR(__xludf.DUMMYFUNCTION("""COMPUTED_VALUE"""),"")</f>
        <v/>
      </c>
      <c r="J474" s="250" t="str">
        <f t="shared" si="2"/>
        <v/>
      </c>
      <c r="K474" s="317" t="str">
        <f>IFERROR(__xludf.DUMMYFUNCTION("""COMPUTED_VALUE"""),"")</f>
        <v/>
      </c>
      <c r="L474" s="318" t="str">
        <f>IFERROR(__xludf.DUMMYFUNCTION("""COMPUTED_VALUE"""),"")</f>
        <v/>
      </c>
      <c r="M474" s="253" t="str">
        <f t="shared" si="3"/>
        <v/>
      </c>
      <c r="N474" s="319" t="str">
        <f>IFERROR(__xludf.DUMMYFUNCTION("""COMPUTED_VALUE"""),"")</f>
        <v/>
      </c>
      <c r="O474" s="257" t="str">
        <f>IFERROR(__xludf.DUMMYFUNCTION("""COMPUTED_VALUE"""),"")</f>
        <v/>
      </c>
      <c r="P474" s="247" t="str">
        <f t="shared" si="4"/>
        <v/>
      </c>
      <c r="Q474" s="320" t="str">
        <f>IFERROR(__xludf.DUMMYFUNCTION("""COMPUTED_VALUE"""),"")</f>
        <v/>
      </c>
      <c r="R474" s="259" t="str">
        <f>IFERROR(__xludf.DUMMYFUNCTION("""COMPUTED_VALUE"""),"")</f>
        <v/>
      </c>
      <c r="S474" s="250" t="str">
        <f t="shared" si="5"/>
        <v/>
      </c>
      <c r="T474" s="254" t="str">
        <f>IFERROR(__xludf.DUMMYFUNCTION("""COMPUTED_VALUE"""),"")</f>
        <v/>
      </c>
      <c r="U474" s="246" t="str">
        <f>IFERROR(__xludf.DUMMYFUNCTION("""COMPUTED_VALUE"""),"")</f>
        <v/>
      </c>
      <c r="V474" s="247" t="str">
        <f t="shared" si="6"/>
        <v/>
      </c>
      <c r="W474" s="255" t="str">
        <f>IFERROR(__xludf.DUMMYFUNCTION("""COMPUTED_VALUE"""),"")</f>
        <v/>
      </c>
      <c r="X474" s="249" t="str">
        <f>IFERROR(__xludf.DUMMYFUNCTION("""COMPUTED_VALUE"""),"")</f>
        <v/>
      </c>
      <c r="Y474" s="250" t="str">
        <f t="shared" si="7"/>
        <v/>
      </c>
    </row>
    <row r="475">
      <c r="A475" s="136" t="s">
        <v>133</v>
      </c>
      <c r="B475" s="136"/>
      <c r="C475" s="136" t="s">
        <v>133</v>
      </c>
      <c r="D475" s="136"/>
      <c r="E475" s="256" t="str">
        <f>IFERROR(__xludf.DUMMYFUNCTION("""COMPUTED_VALUE"""),"")</f>
        <v/>
      </c>
      <c r="F475" s="257" t="str">
        <f>IFERROR(__xludf.DUMMYFUNCTION("""COMPUTED_VALUE"""),"")</f>
        <v/>
      </c>
      <c r="G475" s="247" t="str">
        <f t="shared" si="1"/>
        <v/>
      </c>
      <c r="H475" s="258" t="str">
        <f>IFERROR(__xludf.DUMMYFUNCTION("""COMPUTED_VALUE"""),"")</f>
        <v/>
      </c>
      <c r="I475" s="259" t="str">
        <f>IFERROR(__xludf.DUMMYFUNCTION("""COMPUTED_VALUE"""),"")</f>
        <v/>
      </c>
      <c r="J475" s="250" t="str">
        <f t="shared" si="2"/>
        <v/>
      </c>
      <c r="K475" s="317" t="str">
        <f>IFERROR(__xludf.DUMMYFUNCTION("""COMPUTED_VALUE"""),"")</f>
        <v/>
      </c>
      <c r="L475" s="318" t="str">
        <f>IFERROR(__xludf.DUMMYFUNCTION("""COMPUTED_VALUE"""),"")</f>
        <v/>
      </c>
      <c r="M475" s="253" t="str">
        <f t="shared" si="3"/>
        <v/>
      </c>
      <c r="N475" s="319" t="str">
        <f>IFERROR(__xludf.DUMMYFUNCTION("""COMPUTED_VALUE"""),"")</f>
        <v/>
      </c>
      <c r="O475" s="257" t="str">
        <f>IFERROR(__xludf.DUMMYFUNCTION("""COMPUTED_VALUE"""),"")</f>
        <v/>
      </c>
      <c r="P475" s="247" t="str">
        <f t="shared" si="4"/>
        <v/>
      </c>
      <c r="Q475" s="320" t="str">
        <f>IFERROR(__xludf.DUMMYFUNCTION("""COMPUTED_VALUE"""),"")</f>
        <v/>
      </c>
      <c r="R475" s="259" t="str">
        <f>IFERROR(__xludf.DUMMYFUNCTION("""COMPUTED_VALUE"""),"")</f>
        <v/>
      </c>
      <c r="S475" s="250" t="str">
        <f t="shared" si="5"/>
        <v/>
      </c>
      <c r="T475" s="254" t="str">
        <f>IFERROR(__xludf.DUMMYFUNCTION("""COMPUTED_VALUE"""),"")</f>
        <v/>
      </c>
      <c r="U475" s="246" t="str">
        <f>IFERROR(__xludf.DUMMYFUNCTION("""COMPUTED_VALUE"""),"")</f>
        <v/>
      </c>
      <c r="V475" s="247" t="str">
        <f t="shared" si="6"/>
        <v/>
      </c>
      <c r="W475" s="255" t="str">
        <f>IFERROR(__xludf.DUMMYFUNCTION("""COMPUTED_VALUE"""),"")</f>
        <v/>
      </c>
      <c r="X475" s="249" t="str">
        <f>IFERROR(__xludf.DUMMYFUNCTION("""COMPUTED_VALUE"""),"")</f>
        <v/>
      </c>
      <c r="Y475" s="250" t="str">
        <f t="shared" si="7"/>
        <v/>
      </c>
    </row>
    <row r="476">
      <c r="A476" s="136" t="s">
        <v>133</v>
      </c>
      <c r="B476" s="136"/>
      <c r="C476" s="136" t="s">
        <v>133</v>
      </c>
      <c r="D476" s="136"/>
      <c r="E476" s="256" t="str">
        <f>IFERROR(__xludf.DUMMYFUNCTION("""COMPUTED_VALUE"""),"")</f>
        <v/>
      </c>
      <c r="F476" s="257" t="str">
        <f>IFERROR(__xludf.DUMMYFUNCTION("""COMPUTED_VALUE"""),"")</f>
        <v/>
      </c>
      <c r="G476" s="247" t="str">
        <f t="shared" si="1"/>
        <v/>
      </c>
      <c r="H476" s="258" t="str">
        <f>IFERROR(__xludf.DUMMYFUNCTION("""COMPUTED_VALUE"""),"")</f>
        <v/>
      </c>
      <c r="I476" s="259" t="str">
        <f>IFERROR(__xludf.DUMMYFUNCTION("""COMPUTED_VALUE"""),"")</f>
        <v/>
      </c>
      <c r="J476" s="250" t="str">
        <f t="shared" si="2"/>
        <v/>
      </c>
      <c r="K476" s="317" t="str">
        <f>IFERROR(__xludf.DUMMYFUNCTION("""COMPUTED_VALUE"""),"")</f>
        <v/>
      </c>
      <c r="L476" s="318" t="str">
        <f>IFERROR(__xludf.DUMMYFUNCTION("""COMPUTED_VALUE"""),"")</f>
        <v/>
      </c>
      <c r="M476" s="253" t="str">
        <f t="shared" si="3"/>
        <v/>
      </c>
      <c r="N476" s="319" t="str">
        <f>IFERROR(__xludf.DUMMYFUNCTION("""COMPUTED_VALUE"""),"")</f>
        <v/>
      </c>
      <c r="O476" s="257" t="str">
        <f>IFERROR(__xludf.DUMMYFUNCTION("""COMPUTED_VALUE"""),"")</f>
        <v/>
      </c>
      <c r="P476" s="247" t="str">
        <f t="shared" si="4"/>
        <v/>
      </c>
      <c r="Q476" s="320" t="str">
        <f>IFERROR(__xludf.DUMMYFUNCTION("""COMPUTED_VALUE"""),"")</f>
        <v/>
      </c>
      <c r="R476" s="259" t="str">
        <f>IFERROR(__xludf.DUMMYFUNCTION("""COMPUTED_VALUE"""),"")</f>
        <v/>
      </c>
      <c r="S476" s="250" t="str">
        <f t="shared" si="5"/>
        <v/>
      </c>
      <c r="T476" s="254" t="str">
        <f>IFERROR(__xludf.DUMMYFUNCTION("""COMPUTED_VALUE"""),"")</f>
        <v/>
      </c>
      <c r="U476" s="246" t="str">
        <f>IFERROR(__xludf.DUMMYFUNCTION("""COMPUTED_VALUE"""),"")</f>
        <v/>
      </c>
      <c r="V476" s="247" t="str">
        <f t="shared" si="6"/>
        <v/>
      </c>
      <c r="W476" s="255" t="str">
        <f>IFERROR(__xludf.DUMMYFUNCTION("""COMPUTED_VALUE"""),"")</f>
        <v/>
      </c>
      <c r="X476" s="249" t="str">
        <f>IFERROR(__xludf.DUMMYFUNCTION("""COMPUTED_VALUE"""),"")</f>
        <v/>
      </c>
      <c r="Y476" s="250" t="str">
        <f t="shared" si="7"/>
        <v/>
      </c>
    </row>
    <row r="477">
      <c r="A477" s="136" t="s">
        <v>133</v>
      </c>
      <c r="B477" s="136"/>
      <c r="C477" s="136" t="s">
        <v>133</v>
      </c>
      <c r="D477" s="136"/>
      <c r="E477" s="256" t="str">
        <f>IFERROR(__xludf.DUMMYFUNCTION("""COMPUTED_VALUE"""),"")</f>
        <v/>
      </c>
      <c r="F477" s="257" t="str">
        <f>IFERROR(__xludf.DUMMYFUNCTION("""COMPUTED_VALUE"""),"")</f>
        <v/>
      </c>
      <c r="G477" s="247" t="str">
        <f t="shared" si="1"/>
        <v/>
      </c>
      <c r="H477" s="258" t="str">
        <f>IFERROR(__xludf.DUMMYFUNCTION("""COMPUTED_VALUE"""),"")</f>
        <v/>
      </c>
      <c r="I477" s="259" t="str">
        <f>IFERROR(__xludf.DUMMYFUNCTION("""COMPUTED_VALUE"""),"")</f>
        <v/>
      </c>
      <c r="J477" s="250" t="str">
        <f t="shared" si="2"/>
        <v/>
      </c>
      <c r="K477" s="317" t="str">
        <f>IFERROR(__xludf.DUMMYFUNCTION("""COMPUTED_VALUE"""),"")</f>
        <v/>
      </c>
      <c r="L477" s="318" t="str">
        <f>IFERROR(__xludf.DUMMYFUNCTION("""COMPUTED_VALUE"""),"")</f>
        <v/>
      </c>
      <c r="M477" s="253" t="str">
        <f t="shared" si="3"/>
        <v/>
      </c>
      <c r="N477" s="319" t="str">
        <f>IFERROR(__xludf.DUMMYFUNCTION("""COMPUTED_VALUE"""),"")</f>
        <v/>
      </c>
      <c r="O477" s="257" t="str">
        <f>IFERROR(__xludf.DUMMYFUNCTION("""COMPUTED_VALUE"""),"")</f>
        <v/>
      </c>
      <c r="P477" s="247" t="str">
        <f t="shared" si="4"/>
        <v/>
      </c>
      <c r="Q477" s="320" t="str">
        <f>IFERROR(__xludf.DUMMYFUNCTION("""COMPUTED_VALUE"""),"")</f>
        <v/>
      </c>
      <c r="R477" s="259" t="str">
        <f>IFERROR(__xludf.DUMMYFUNCTION("""COMPUTED_VALUE"""),"")</f>
        <v/>
      </c>
      <c r="S477" s="250" t="str">
        <f t="shared" si="5"/>
        <v/>
      </c>
      <c r="T477" s="254" t="str">
        <f>IFERROR(__xludf.DUMMYFUNCTION("""COMPUTED_VALUE"""),"")</f>
        <v/>
      </c>
      <c r="U477" s="246" t="str">
        <f>IFERROR(__xludf.DUMMYFUNCTION("""COMPUTED_VALUE"""),"")</f>
        <v/>
      </c>
      <c r="V477" s="247" t="str">
        <f t="shared" si="6"/>
        <v/>
      </c>
      <c r="W477" s="255" t="str">
        <f>IFERROR(__xludf.DUMMYFUNCTION("""COMPUTED_VALUE"""),"")</f>
        <v/>
      </c>
      <c r="X477" s="249" t="str">
        <f>IFERROR(__xludf.DUMMYFUNCTION("""COMPUTED_VALUE"""),"")</f>
        <v/>
      </c>
      <c r="Y477" s="250" t="str">
        <f t="shared" si="7"/>
        <v/>
      </c>
    </row>
    <row r="478">
      <c r="A478" s="136" t="s">
        <v>133</v>
      </c>
      <c r="B478" s="136"/>
      <c r="C478" s="136" t="s">
        <v>133</v>
      </c>
      <c r="D478" s="136"/>
      <c r="E478" s="256" t="str">
        <f>IFERROR(__xludf.DUMMYFUNCTION("""COMPUTED_VALUE"""),"")</f>
        <v/>
      </c>
      <c r="F478" s="257" t="str">
        <f>IFERROR(__xludf.DUMMYFUNCTION("""COMPUTED_VALUE"""),"")</f>
        <v/>
      </c>
      <c r="G478" s="247" t="str">
        <f t="shared" si="1"/>
        <v/>
      </c>
      <c r="H478" s="258" t="str">
        <f>IFERROR(__xludf.DUMMYFUNCTION("""COMPUTED_VALUE"""),"")</f>
        <v/>
      </c>
      <c r="I478" s="259" t="str">
        <f>IFERROR(__xludf.DUMMYFUNCTION("""COMPUTED_VALUE"""),"")</f>
        <v/>
      </c>
      <c r="J478" s="250" t="str">
        <f t="shared" si="2"/>
        <v/>
      </c>
      <c r="K478" s="317" t="str">
        <f>IFERROR(__xludf.DUMMYFUNCTION("""COMPUTED_VALUE"""),"")</f>
        <v/>
      </c>
      <c r="L478" s="318" t="str">
        <f>IFERROR(__xludf.DUMMYFUNCTION("""COMPUTED_VALUE"""),"")</f>
        <v/>
      </c>
      <c r="M478" s="253" t="str">
        <f t="shared" si="3"/>
        <v/>
      </c>
      <c r="N478" s="319" t="str">
        <f>IFERROR(__xludf.DUMMYFUNCTION("""COMPUTED_VALUE"""),"")</f>
        <v/>
      </c>
      <c r="O478" s="257" t="str">
        <f>IFERROR(__xludf.DUMMYFUNCTION("""COMPUTED_VALUE"""),"")</f>
        <v/>
      </c>
      <c r="P478" s="247" t="str">
        <f t="shared" si="4"/>
        <v/>
      </c>
      <c r="Q478" s="320" t="str">
        <f>IFERROR(__xludf.DUMMYFUNCTION("""COMPUTED_VALUE"""),"")</f>
        <v/>
      </c>
      <c r="R478" s="259" t="str">
        <f>IFERROR(__xludf.DUMMYFUNCTION("""COMPUTED_VALUE"""),"")</f>
        <v/>
      </c>
      <c r="S478" s="250" t="str">
        <f t="shared" si="5"/>
        <v/>
      </c>
      <c r="T478" s="254" t="str">
        <f>IFERROR(__xludf.DUMMYFUNCTION("""COMPUTED_VALUE"""),"")</f>
        <v/>
      </c>
      <c r="U478" s="246" t="str">
        <f>IFERROR(__xludf.DUMMYFUNCTION("""COMPUTED_VALUE"""),"")</f>
        <v/>
      </c>
      <c r="V478" s="247" t="str">
        <f t="shared" si="6"/>
        <v/>
      </c>
      <c r="W478" s="255" t="str">
        <f>IFERROR(__xludf.DUMMYFUNCTION("""COMPUTED_VALUE"""),"")</f>
        <v/>
      </c>
      <c r="X478" s="249" t="str">
        <f>IFERROR(__xludf.DUMMYFUNCTION("""COMPUTED_VALUE"""),"")</f>
        <v/>
      </c>
      <c r="Y478" s="250" t="str">
        <f t="shared" si="7"/>
        <v/>
      </c>
    </row>
    <row r="479">
      <c r="A479" s="136" t="s">
        <v>133</v>
      </c>
      <c r="B479" s="136"/>
      <c r="C479" s="136" t="s">
        <v>133</v>
      </c>
      <c r="D479" s="136"/>
      <c r="E479" s="256" t="str">
        <f>IFERROR(__xludf.DUMMYFUNCTION("""COMPUTED_VALUE"""),"")</f>
        <v/>
      </c>
      <c r="F479" s="257" t="str">
        <f>IFERROR(__xludf.DUMMYFUNCTION("""COMPUTED_VALUE"""),"")</f>
        <v/>
      </c>
      <c r="G479" s="247" t="str">
        <f t="shared" si="1"/>
        <v/>
      </c>
      <c r="H479" s="258" t="str">
        <f>IFERROR(__xludf.DUMMYFUNCTION("""COMPUTED_VALUE"""),"")</f>
        <v/>
      </c>
      <c r="I479" s="259" t="str">
        <f>IFERROR(__xludf.DUMMYFUNCTION("""COMPUTED_VALUE"""),"")</f>
        <v/>
      </c>
      <c r="J479" s="250" t="str">
        <f t="shared" si="2"/>
        <v/>
      </c>
      <c r="K479" s="317" t="str">
        <f>IFERROR(__xludf.DUMMYFUNCTION("""COMPUTED_VALUE"""),"")</f>
        <v/>
      </c>
      <c r="L479" s="318" t="str">
        <f>IFERROR(__xludf.DUMMYFUNCTION("""COMPUTED_VALUE"""),"")</f>
        <v/>
      </c>
      <c r="M479" s="253" t="str">
        <f t="shared" si="3"/>
        <v/>
      </c>
      <c r="N479" s="319" t="str">
        <f>IFERROR(__xludf.DUMMYFUNCTION("""COMPUTED_VALUE"""),"")</f>
        <v/>
      </c>
      <c r="O479" s="257" t="str">
        <f>IFERROR(__xludf.DUMMYFUNCTION("""COMPUTED_VALUE"""),"")</f>
        <v/>
      </c>
      <c r="P479" s="247" t="str">
        <f t="shared" si="4"/>
        <v/>
      </c>
      <c r="Q479" s="320" t="str">
        <f>IFERROR(__xludf.DUMMYFUNCTION("""COMPUTED_VALUE"""),"")</f>
        <v/>
      </c>
      <c r="R479" s="259" t="str">
        <f>IFERROR(__xludf.DUMMYFUNCTION("""COMPUTED_VALUE"""),"")</f>
        <v/>
      </c>
      <c r="S479" s="250" t="str">
        <f t="shared" si="5"/>
        <v/>
      </c>
      <c r="T479" s="254" t="str">
        <f>IFERROR(__xludf.DUMMYFUNCTION("""COMPUTED_VALUE"""),"")</f>
        <v/>
      </c>
      <c r="U479" s="246" t="str">
        <f>IFERROR(__xludf.DUMMYFUNCTION("""COMPUTED_VALUE"""),"")</f>
        <v/>
      </c>
      <c r="V479" s="247" t="str">
        <f t="shared" si="6"/>
        <v/>
      </c>
      <c r="W479" s="255" t="str">
        <f>IFERROR(__xludf.DUMMYFUNCTION("""COMPUTED_VALUE"""),"")</f>
        <v/>
      </c>
      <c r="X479" s="249" t="str">
        <f>IFERROR(__xludf.DUMMYFUNCTION("""COMPUTED_VALUE"""),"")</f>
        <v/>
      </c>
      <c r="Y479" s="250" t="str">
        <f t="shared" si="7"/>
        <v/>
      </c>
    </row>
    <row r="480">
      <c r="A480" s="136" t="s">
        <v>133</v>
      </c>
      <c r="B480" s="136"/>
      <c r="C480" s="136" t="s">
        <v>133</v>
      </c>
      <c r="D480" s="136"/>
      <c r="E480" s="256" t="str">
        <f>IFERROR(__xludf.DUMMYFUNCTION("""COMPUTED_VALUE"""),"")</f>
        <v/>
      </c>
      <c r="F480" s="257" t="str">
        <f>IFERROR(__xludf.DUMMYFUNCTION("""COMPUTED_VALUE"""),"")</f>
        <v/>
      </c>
      <c r="G480" s="247" t="str">
        <f t="shared" si="1"/>
        <v/>
      </c>
      <c r="H480" s="258" t="str">
        <f>IFERROR(__xludf.DUMMYFUNCTION("""COMPUTED_VALUE"""),"")</f>
        <v/>
      </c>
      <c r="I480" s="259" t="str">
        <f>IFERROR(__xludf.DUMMYFUNCTION("""COMPUTED_VALUE"""),"")</f>
        <v/>
      </c>
      <c r="J480" s="250" t="str">
        <f t="shared" si="2"/>
        <v/>
      </c>
      <c r="K480" s="317" t="str">
        <f>IFERROR(__xludf.DUMMYFUNCTION("""COMPUTED_VALUE"""),"")</f>
        <v/>
      </c>
      <c r="L480" s="318" t="str">
        <f>IFERROR(__xludf.DUMMYFUNCTION("""COMPUTED_VALUE"""),"")</f>
        <v/>
      </c>
      <c r="M480" s="253" t="str">
        <f t="shared" si="3"/>
        <v/>
      </c>
      <c r="N480" s="319" t="str">
        <f>IFERROR(__xludf.DUMMYFUNCTION("""COMPUTED_VALUE"""),"")</f>
        <v/>
      </c>
      <c r="O480" s="257" t="str">
        <f>IFERROR(__xludf.DUMMYFUNCTION("""COMPUTED_VALUE"""),"")</f>
        <v/>
      </c>
      <c r="P480" s="247" t="str">
        <f t="shared" si="4"/>
        <v/>
      </c>
      <c r="Q480" s="320" t="str">
        <f>IFERROR(__xludf.DUMMYFUNCTION("""COMPUTED_VALUE"""),"")</f>
        <v/>
      </c>
      <c r="R480" s="259" t="str">
        <f>IFERROR(__xludf.DUMMYFUNCTION("""COMPUTED_VALUE"""),"")</f>
        <v/>
      </c>
      <c r="S480" s="250" t="str">
        <f t="shared" si="5"/>
        <v/>
      </c>
      <c r="T480" s="254" t="str">
        <f>IFERROR(__xludf.DUMMYFUNCTION("""COMPUTED_VALUE"""),"")</f>
        <v/>
      </c>
      <c r="U480" s="246" t="str">
        <f>IFERROR(__xludf.DUMMYFUNCTION("""COMPUTED_VALUE"""),"")</f>
        <v/>
      </c>
      <c r="V480" s="247" t="str">
        <f t="shared" si="6"/>
        <v/>
      </c>
      <c r="W480" s="255" t="str">
        <f>IFERROR(__xludf.DUMMYFUNCTION("""COMPUTED_VALUE"""),"")</f>
        <v/>
      </c>
      <c r="X480" s="249" t="str">
        <f>IFERROR(__xludf.DUMMYFUNCTION("""COMPUTED_VALUE"""),"")</f>
        <v/>
      </c>
      <c r="Y480" s="250" t="str">
        <f t="shared" si="7"/>
        <v/>
      </c>
    </row>
    <row r="481">
      <c r="A481" s="136" t="s">
        <v>133</v>
      </c>
      <c r="B481" s="136"/>
      <c r="C481" s="136" t="s">
        <v>133</v>
      </c>
      <c r="D481" s="136"/>
      <c r="E481" s="256" t="str">
        <f>IFERROR(__xludf.DUMMYFUNCTION("""COMPUTED_VALUE"""),"")</f>
        <v/>
      </c>
      <c r="F481" s="257" t="str">
        <f>IFERROR(__xludf.DUMMYFUNCTION("""COMPUTED_VALUE"""),"")</f>
        <v/>
      </c>
      <c r="G481" s="247" t="str">
        <f t="shared" si="1"/>
        <v/>
      </c>
      <c r="H481" s="258" t="str">
        <f>IFERROR(__xludf.DUMMYFUNCTION("""COMPUTED_VALUE"""),"")</f>
        <v/>
      </c>
      <c r="I481" s="259" t="str">
        <f>IFERROR(__xludf.DUMMYFUNCTION("""COMPUTED_VALUE"""),"")</f>
        <v/>
      </c>
      <c r="J481" s="250" t="str">
        <f t="shared" si="2"/>
        <v/>
      </c>
      <c r="K481" s="317" t="str">
        <f>IFERROR(__xludf.DUMMYFUNCTION("""COMPUTED_VALUE"""),"")</f>
        <v/>
      </c>
      <c r="L481" s="318" t="str">
        <f>IFERROR(__xludf.DUMMYFUNCTION("""COMPUTED_VALUE"""),"")</f>
        <v/>
      </c>
      <c r="M481" s="253" t="str">
        <f t="shared" si="3"/>
        <v/>
      </c>
      <c r="N481" s="319" t="str">
        <f>IFERROR(__xludf.DUMMYFUNCTION("""COMPUTED_VALUE"""),"")</f>
        <v/>
      </c>
      <c r="O481" s="257" t="str">
        <f>IFERROR(__xludf.DUMMYFUNCTION("""COMPUTED_VALUE"""),"")</f>
        <v/>
      </c>
      <c r="P481" s="247" t="str">
        <f t="shared" si="4"/>
        <v/>
      </c>
      <c r="Q481" s="320" t="str">
        <f>IFERROR(__xludf.DUMMYFUNCTION("""COMPUTED_VALUE"""),"")</f>
        <v/>
      </c>
      <c r="R481" s="259" t="str">
        <f>IFERROR(__xludf.DUMMYFUNCTION("""COMPUTED_VALUE"""),"")</f>
        <v/>
      </c>
      <c r="S481" s="250" t="str">
        <f t="shared" si="5"/>
        <v/>
      </c>
      <c r="T481" s="254" t="str">
        <f>IFERROR(__xludf.DUMMYFUNCTION("""COMPUTED_VALUE"""),"")</f>
        <v/>
      </c>
      <c r="U481" s="246" t="str">
        <f>IFERROR(__xludf.DUMMYFUNCTION("""COMPUTED_VALUE"""),"")</f>
        <v/>
      </c>
      <c r="V481" s="247" t="str">
        <f t="shared" si="6"/>
        <v/>
      </c>
      <c r="W481" s="255" t="str">
        <f>IFERROR(__xludf.DUMMYFUNCTION("""COMPUTED_VALUE"""),"")</f>
        <v/>
      </c>
      <c r="X481" s="249" t="str">
        <f>IFERROR(__xludf.DUMMYFUNCTION("""COMPUTED_VALUE"""),"")</f>
        <v/>
      </c>
      <c r="Y481" s="250" t="str">
        <f t="shared" si="7"/>
        <v/>
      </c>
    </row>
    <row r="482">
      <c r="A482" s="136" t="s">
        <v>133</v>
      </c>
      <c r="B482" s="136"/>
      <c r="C482" s="136" t="s">
        <v>133</v>
      </c>
      <c r="D482" s="136"/>
      <c r="E482" s="256" t="str">
        <f>IFERROR(__xludf.DUMMYFUNCTION("""COMPUTED_VALUE"""),"")</f>
        <v/>
      </c>
      <c r="F482" s="257" t="str">
        <f>IFERROR(__xludf.DUMMYFUNCTION("""COMPUTED_VALUE"""),"")</f>
        <v/>
      </c>
      <c r="G482" s="247" t="str">
        <f t="shared" si="1"/>
        <v/>
      </c>
      <c r="H482" s="258" t="str">
        <f>IFERROR(__xludf.DUMMYFUNCTION("""COMPUTED_VALUE"""),"")</f>
        <v/>
      </c>
      <c r="I482" s="259" t="str">
        <f>IFERROR(__xludf.DUMMYFUNCTION("""COMPUTED_VALUE"""),"")</f>
        <v/>
      </c>
      <c r="J482" s="250" t="str">
        <f t="shared" si="2"/>
        <v/>
      </c>
      <c r="K482" s="317" t="str">
        <f>IFERROR(__xludf.DUMMYFUNCTION("""COMPUTED_VALUE"""),"")</f>
        <v/>
      </c>
      <c r="L482" s="318" t="str">
        <f>IFERROR(__xludf.DUMMYFUNCTION("""COMPUTED_VALUE"""),"")</f>
        <v/>
      </c>
      <c r="M482" s="253" t="str">
        <f t="shared" si="3"/>
        <v/>
      </c>
      <c r="N482" s="319" t="str">
        <f>IFERROR(__xludf.DUMMYFUNCTION("""COMPUTED_VALUE"""),"")</f>
        <v/>
      </c>
      <c r="O482" s="257" t="str">
        <f>IFERROR(__xludf.DUMMYFUNCTION("""COMPUTED_VALUE"""),"")</f>
        <v/>
      </c>
      <c r="P482" s="247" t="str">
        <f t="shared" si="4"/>
        <v/>
      </c>
      <c r="Q482" s="320" t="str">
        <f>IFERROR(__xludf.DUMMYFUNCTION("""COMPUTED_VALUE"""),"")</f>
        <v/>
      </c>
      <c r="R482" s="259" t="str">
        <f>IFERROR(__xludf.DUMMYFUNCTION("""COMPUTED_VALUE"""),"")</f>
        <v/>
      </c>
      <c r="S482" s="250" t="str">
        <f t="shared" si="5"/>
        <v/>
      </c>
      <c r="T482" s="254" t="str">
        <f>IFERROR(__xludf.DUMMYFUNCTION("""COMPUTED_VALUE"""),"")</f>
        <v/>
      </c>
      <c r="U482" s="246" t="str">
        <f>IFERROR(__xludf.DUMMYFUNCTION("""COMPUTED_VALUE"""),"")</f>
        <v/>
      </c>
      <c r="V482" s="247" t="str">
        <f t="shared" si="6"/>
        <v/>
      </c>
      <c r="W482" s="255" t="str">
        <f>IFERROR(__xludf.DUMMYFUNCTION("""COMPUTED_VALUE"""),"")</f>
        <v/>
      </c>
      <c r="X482" s="249" t="str">
        <f>IFERROR(__xludf.DUMMYFUNCTION("""COMPUTED_VALUE"""),"")</f>
        <v/>
      </c>
      <c r="Y482" s="250" t="str">
        <f t="shared" si="7"/>
        <v/>
      </c>
    </row>
    <row r="483">
      <c r="A483" s="136" t="s">
        <v>133</v>
      </c>
      <c r="B483" s="136"/>
      <c r="C483" s="136" t="s">
        <v>133</v>
      </c>
      <c r="D483" s="136"/>
      <c r="E483" s="256" t="str">
        <f>IFERROR(__xludf.DUMMYFUNCTION("""COMPUTED_VALUE"""),"")</f>
        <v/>
      </c>
      <c r="F483" s="257" t="str">
        <f>IFERROR(__xludf.DUMMYFUNCTION("""COMPUTED_VALUE"""),"")</f>
        <v/>
      </c>
      <c r="G483" s="247" t="str">
        <f t="shared" si="1"/>
        <v/>
      </c>
      <c r="H483" s="258" t="str">
        <f>IFERROR(__xludf.DUMMYFUNCTION("""COMPUTED_VALUE"""),"")</f>
        <v/>
      </c>
      <c r="I483" s="259" t="str">
        <f>IFERROR(__xludf.DUMMYFUNCTION("""COMPUTED_VALUE"""),"")</f>
        <v/>
      </c>
      <c r="J483" s="250" t="str">
        <f t="shared" si="2"/>
        <v/>
      </c>
      <c r="K483" s="317" t="str">
        <f>IFERROR(__xludf.DUMMYFUNCTION("""COMPUTED_VALUE"""),"")</f>
        <v/>
      </c>
      <c r="L483" s="318" t="str">
        <f>IFERROR(__xludf.DUMMYFUNCTION("""COMPUTED_VALUE"""),"")</f>
        <v/>
      </c>
      <c r="M483" s="253" t="str">
        <f t="shared" si="3"/>
        <v/>
      </c>
      <c r="N483" s="319" t="str">
        <f>IFERROR(__xludf.DUMMYFUNCTION("""COMPUTED_VALUE"""),"")</f>
        <v/>
      </c>
      <c r="O483" s="257" t="str">
        <f>IFERROR(__xludf.DUMMYFUNCTION("""COMPUTED_VALUE"""),"")</f>
        <v/>
      </c>
      <c r="P483" s="247" t="str">
        <f t="shared" si="4"/>
        <v/>
      </c>
      <c r="Q483" s="320" t="str">
        <f>IFERROR(__xludf.DUMMYFUNCTION("""COMPUTED_VALUE"""),"")</f>
        <v/>
      </c>
      <c r="R483" s="259" t="str">
        <f>IFERROR(__xludf.DUMMYFUNCTION("""COMPUTED_VALUE"""),"")</f>
        <v/>
      </c>
      <c r="S483" s="250" t="str">
        <f t="shared" si="5"/>
        <v/>
      </c>
      <c r="T483" s="254" t="str">
        <f>IFERROR(__xludf.DUMMYFUNCTION("""COMPUTED_VALUE"""),"")</f>
        <v/>
      </c>
      <c r="U483" s="246" t="str">
        <f>IFERROR(__xludf.DUMMYFUNCTION("""COMPUTED_VALUE"""),"")</f>
        <v/>
      </c>
      <c r="V483" s="247" t="str">
        <f t="shared" si="6"/>
        <v/>
      </c>
      <c r="W483" s="255" t="str">
        <f>IFERROR(__xludf.DUMMYFUNCTION("""COMPUTED_VALUE"""),"")</f>
        <v/>
      </c>
      <c r="X483" s="249" t="str">
        <f>IFERROR(__xludf.DUMMYFUNCTION("""COMPUTED_VALUE"""),"")</f>
        <v/>
      </c>
      <c r="Y483" s="250" t="str">
        <f t="shared" si="7"/>
        <v/>
      </c>
    </row>
    <row r="484">
      <c r="A484" s="136" t="s">
        <v>133</v>
      </c>
      <c r="B484" s="136"/>
      <c r="C484" s="136" t="s">
        <v>133</v>
      </c>
      <c r="D484" s="136"/>
      <c r="E484" s="256" t="str">
        <f>IFERROR(__xludf.DUMMYFUNCTION("""COMPUTED_VALUE"""),"")</f>
        <v/>
      </c>
      <c r="F484" s="257" t="str">
        <f>IFERROR(__xludf.DUMMYFUNCTION("""COMPUTED_VALUE"""),"")</f>
        <v/>
      </c>
      <c r="G484" s="247" t="str">
        <f t="shared" si="1"/>
        <v/>
      </c>
      <c r="H484" s="258" t="str">
        <f>IFERROR(__xludf.DUMMYFUNCTION("""COMPUTED_VALUE"""),"")</f>
        <v/>
      </c>
      <c r="I484" s="259" t="str">
        <f>IFERROR(__xludf.DUMMYFUNCTION("""COMPUTED_VALUE"""),"")</f>
        <v/>
      </c>
      <c r="J484" s="250" t="str">
        <f t="shared" si="2"/>
        <v/>
      </c>
      <c r="K484" s="317" t="str">
        <f>IFERROR(__xludf.DUMMYFUNCTION("""COMPUTED_VALUE"""),"")</f>
        <v/>
      </c>
      <c r="L484" s="318" t="str">
        <f>IFERROR(__xludf.DUMMYFUNCTION("""COMPUTED_VALUE"""),"")</f>
        <v/>
      </c>
      <c r="M484" s="253" t="str">
        <f t="shared" si="3"/>
        <v/>
      </c>
      <c r="N484" s="319" t="str">
        <f>IFERROR(__xludf.DUMMYFUNCTION("""COMPUTED_VALUE"""),"")</f>
        <v/>
      </c>
      <c r="O484" s="257" t="str">
        <f>IFERROR(__xludf.DUMMYFUNCTION("""COMPUTED_VALUE"""),"")</f>
        <v/>
      </c>
      <c r="P484" s="247" t="str">
        <f t="shared" si="4"/>
        <v/>
      </c>
      <c r="Q484" s="320" t="str">
        <f>IFERROR(__xludf.DUMMYFUNCTION("""COMPUTED_VALUE"""),"")</f>
        <v/>
      </c>
      <c r="R484" s="259" t="str">
        <f>IFERROR(__xludf.DUMMYFUNCTION("""COMPUTED_VALUE"""),"")</f>
        <v/>
      </c>
      <c r="S484" s="250" t="str">
        <f t="shared" si="5"/>
        <v/>
      </c>
      <c r="T484" s="254" t="str">
        <f>IFERROR(__xludf.DUMMYFUNCTION("""COMPUTED_VALUE"""),"")</f>
        <v/>
      </c>
      <c r="U484" s="246" t="str">
        <f>IFERROR(__xludf.DUMMYFUNCTION("""COMPUTED_VALUE"""),"")</f>
        <v/>
      </c>
      <c r="V484" s="247" t="str">
        <f t="shared" si="6"/>
        <v/>
      </c>
      <c r="W484" s="255" t="str">
        <f>IFERROR(__xludf.DUMMYFUNCTION("""COMPUTED_VALUE"""),"")</f>
        <v/>
      </c>
      <c r="X484" s="249" t="str">
        <f>IFERROR(__xludf.DUMMYFUNCTION("""COMPUTED_VALUE"""),"")</f>
        <v/>
      </c>
      <c r="Y484" s="250" t="str">
        <f t="shared" si="7"/>
        <v/>
      </c>
    </row>
    <row r="485">
      <c r="A485" s="136" t="s">
        <v>133</v>
      </c>
      <c r="B485" s="136"/>
      <c r="C485" s="136" t="s">
        <v>133</v>
      </c>
      <c r="D485" s="136"/>
      <c r="E485" s="256" t="str">
        <f>IFERROR(__xludf.DUMMYFUNCTION("""COMPUTED_VALUE"""),"")</f>
        <v/>
      </c>
      <c r="F485" s="257" t="str">
        <f>IFERROR(__xludf.DUMMYFUNCTION("""COMPUTED_VALUE"""),"")</f>
        <v/>
      </c>
      <c r="G485" s="247" t="str">
        <f t="shared" si="1"/>
        <v/>
      </c>
      <c r="H485" s="258" t="str">
        <f>IFERROR(__xludf.DUMMYFUNCTION("""COMPUTED_VALUE"""),"")</f>
        <v/>
      </c>
      <c r="I485" s="259" t="str">
        <f>IFERROR(__xludf.DUMMYFUNCTION("""COMPUTED_VALUE"""),"")</f>
        <v/>
      </c>
      <c r="J485" s="250" t="str">
        <f t="shared" si="2"/>
        <v/>
      </c>
      <c r="K485" s="317" t="str">
        <f>IFERROR(__xludf.DUMMYFUNCTION("""COMPUTED_VALUE"""),"")</f>
        <v/>
      </c>
      <c r="L485" s="318" t="str">
        <f>IFERROR(__xludf.DUMMYFUNCTION("""COMPUTED_VALUE"""),"")</f>
        <v/>
      </c>
      <c r="M485" s="253" t="str">
        <f t="shared" si="3"/>
        <v/>
      </c>
      <c r="N485" s="319" t="str">
        <f>IFERROR(__xludf.DUMMYFUNCTION("""COMPUTED_VALUE"""),"")</f>
        <v/>
      </c>
      <c r="O485" s="257" t="str">
        <f>IFERROR(__xludf.DUMMYFUNCTION("""COMPUTED_VALUE"""),"")</f>
        <v/>
      </c>
      <c r="P485" s="247" t="str">
        <f t="shared" si="4"/>
        <v/>
      </c>
      <c r="Q485" s="320" t="str">
        <f>IFERROR(__xludf.DUMMYFUNCTION("""COMPUTED_VALUE"""),"")</f>
        <v/>
      </c>
      <c r="R485" s="259" t="str">
        <f>IFERROR(__xludf.DUMMYFUNCTION("""COMPUTED_VALUE"""),"")</f>
        <v/>
      </c>
      <c r="S485" s="250" t="str">
        <f t="shared" si="5"/>
        <v/>
      </c>
      <c r="T485" s="254" t="str">
        <f>IFERROR(__xludf.DUMMYFUNCTION("""COMPUTED_VALUE"""),"")</f>
        <v/>
      </c>
      <c r="U485" s="246" t="str">
        <f>IFERROR(__xludf.DUMMYFUNCTION("""COMPUTED_VALUE"""),"")</f>
        <v/>
      </c>
      <c r="V485" s="247" t="str">
        <f t="shared" si="6"/>
        <v/>
      </c>
      <c r="W485" s="255" t="str">
        <f>IFERROR(__xludf.DUMMYFUNCTION("""COMPUTED_VALUE"""),"")</f>
        <v/>
      </c>
      <c r="X485" s="249" t="str">
        <f>IFERROR(__xludf.DUMMYFUNCTION("""COMPUTED_VALUE"""),"")</f>
        <v/>
      </c>
      <c r="Y485" s="250" t="str">
        <f t="shared" si="7"/>
        <v/>
      </c>
    </row>
    <row r="486">
      <c r="A486" s="136" t="s">
        <v>133</v>
      </c>
      <c r="B486" s="136"/>
      <c r="C486" s="136" t="s">
        <v>133</v>
      </c>
      <c r="D486" s="136"/>
      <c r="E486" s="256" t="str">
        <f>IFERROR(__xludf.DUMMYFUNCTION("""COMPUTED_VALUE"""),"")</f>
        <v/>
      </c>
      <c r="F486" s="257" t="str">
        <f>IFERROR(__xludf.DUMMYFUNCTION("""COMPUTED_VALUE"""),"")</f>
        <v/>
      </c>
      <c r="G486" s="247" t="str">
        <f t="shared" si="1"/>
        <v/>
      </c>
      <c r="H486" s="258" t="str">
        <f>IFERROR(__xludf.DUMMYFUNCTION("""COMPUTED_VALUE"""),"")</f>
        <v/>
      </c>
      <c r="I486" s="259" t="str">
        <f>IFERROR(__xludf.DUMMYFUNCTION("""COMPUTED_VALUE"""),"")</f>
        <v/>
      </c>
      <c r="J486" s="250" t="str">
        <f t="shared" si="2"/>
        <v/>
      </c>
      <c r="K486" s="317" t="str">
        <f>IFERROR(__xludf.DUMMYFUNCTION("""COMPUTED_VALUE"""),"")</f>
        <v/>
      </c>
      <c r="L486" s="318" t="str">
        <f>IFERROR(__xludf.DUMMYFUNCTION("""COMPUTED_VALUE"""),"")</f>
        <v/>
      </c>
      <c r="M486" s="253" t="str">
        <f t="shared" si="3"/>
        <v/>
      </c>
      <c r="N486" s="319" t="str">
        <f>IFERROR(__xludf.DUMMYFUNCTION("""COMPUTED_VALUE"""),"")</f>
        <v/>
      </c>
      <c r="O486" s="257" t="str">
        <f>IFERROR(__xludf.DUMMYFUNCTION("""COMPUTED_VALUE"""),"")</f>
        <v/>
      </c>
      <c r="P486" s="247" t="str">
        <f t="shared" si="4"/>
        <v/>
      </c>
      <c r="Q486" s="320" t="str">
        <f>IFERROR(__xludf.DUMMYFUNCTION("""COMPUTED_VALUE"""),"")</f>
        <v/>
      </c>
      <c r="R486" s="259" t="str">
        <f>IFERROR(__xludf.DUMMYFUNCTION("""COMPUTED_VALUE"""),"")</f>
        <v/>
      </c>
      <c r="S486" s="250" t="str">
        <f t="shared" si="5"/>
        <v/>
      </c>
      <c r="T486" s="254" t="str">
        <f>IFERROR(__xludf.DUMMYFUNCTION("""COMPUTED_VALUE"""),"")</f>
        <v/>
      </c>
      <c r="U486" s="246" t="str">
        <f>IFERROR(__xludf.DUMMYFUNCTION("""COMPUTED_VALUE"""),"")</f>
        <v/>
      </c>
      <c r="V486" s="247" t="str">
        <f t="shared" si="6"/>
        <v/>
      </c>
      <c r="W486" s="255" t="str">
        <f>IFERROR(__xludf.DUMMYFUNCTION("""COMPUTED_VALUE"""),"")</f>
        <v/>
      </c>
      <c r="X486" s="249" t="str">
        <f>IFERROR(__xludf.DUMMYFUNCTION("""COMPUTED_VALUE"""),"")</f>
        <v/>
      </c>
      <c r="Y486" s="250" t="str">
        <f t="shared" si="7"/>
        <v/>
      </c>
    </row>
    <row r="487">
      <c r="A487" s="136" t="s">
        <v>133</v>
      </c>
      <c r="B487" s="136"/>
      <c r="C487" s="136" t="s">
        <v>133</v>
      </c>
      <c r="D487" s="136"/>
      <c r="E487" s="256" t="str">
        <f>IFERROR(__xludf.DUMMYFUNCTION("""COMPUTED_VALUE"""),"")</f>
        <v/>
      </c>
      <c r="F487" s="257" t="str">
        <f>IFERROR(__xludf.DUMMYFUNCTION("""COMPUTED_VALUE"""),"")</f>
        <v/>
      </c>
      <c r="G487" s="247" t="str">
        <f t="shared" si="1"/>
        <v/>
      </c>
      <c r="H487" s="258" t="str">
        <f>IFERROR(__xludf.DUMMYFUNCTION("""COMPUTED_VALUE"""),"")</f>
        <v/>
      </c>
      <c r="I487" s="259" t="str">
        <f>IFERROR(__xludf.DUMMYFUNCTION("""COMPUTED_VALUE"""),"")</f>
        <v/>
      </c>
      <c r="J487" s="250" t="str">
        <f t="shared" si="2"/>
        <v/>
      </c>
      <c r="K487" s="317" t="str">
        <f>IFERROR(__xludf.DUMMYFUNCTION("""COMPUTED_VALUE"""),"")</f>
        <v/>
      </c>
      <c r="L487" s="318" t="str">
        <f>IFERROR(__xludf.DUMMYFUNCTION("""COMPUTED_VALUE"""),"")</f>
        <v/>
      </c>
      <c r="M487" s="253" t="str">
        <f t="shared" si="3"/>
        <v/>
      </c>
      <c r="N487" s="319" t="str">
        <f>IFERROR(__xludf.DUMMYFUNCTION("""COMPUTED_VALUE"""),"")</f>
        <v/>
      </c>
      <c r="O487" s="257" t="str">
        <f>IFERROR(__xludf.DUMMYFUNCTION("""COMPUTED_VALUE"""),"")</f>
        <v/>
      </c>
      <c r="P487" s="247" t="str">
        <f t="shared" si="4"/>
        <v/>
      </c>
      <c r="Q487" s="320" t="str">
        <f>IFERROR(__xludf.DUMMYFUNCTION("""COMPUTED_VALUE"""),"")</f>
        <v/>
      </c>
      <c r="R487" s="259" t="str">
        <f>IFERROR(__xludf.DUMMYFUNCTION("""COMPUTED_VALUE"""),"")</f>
        <v/>
      </c>
      <c r="S487" s="250" t="str">
        <f t="shared" si="5"/>
        <v/>
      </c>
      <c r="T487" s="254" t="str">
        <f>IFERROR(__xludf.DUMMYFUNCTION("""COMPUTED_VALUE"""),"")</f>
        <v/>
      </c>
      <c r="U487" s="246" t="str">
        <f>IFERROR(__xludf.DUMMYFUNCTION("""COMPUTED_VALUE"""),"")</f>
        <v/>
      </c>
      <c r="V487" s="247" t="str">
        <f t="shared" si="6"/>
        <v/>
      </c>
      <c r="W487" s="255" t="str">
        <f>IFERROR(__xludf.DUMMYFUNCTION("""COMPUTED_VALUE"""),"")</f>
        <v/>
      </c>
      <c r="X487" s="249" t="str">
        <f>IFERROR(__xludf.DUMMYFUNCTION("""COMPUTED_VALUE"""),"")</f>
        <v/>
      </c>
      <c r="Y487" s="250" t="str">
        <f t="shared" si="7"/>
        <v/>
      </c>
    </row>
    <row r="488">
      <c r="A488" s="136" t="s">
        <v>133</v>
      </c>
      <c r="B488" s="136"/>
      <c r="C488" s="136" t="s">
        <v>133</v>
      </c>
      <c r="D488" s="136"/>
      <c r="E488" s="256" t="str">
        <f>IFERROR(__xludf.DUMMYFUNCTION("""COMPUTED_VALUE"""),"")</f>
        <v/>
      </c>
      <c r="F488" s="257" t="str">
        <f>IFERROR(__xludf.DUMMYFUNCTION("""COMPUTED_VALUE"""),"")</f>
        <v/>
      </c>
      <c r="G488" s="247" t="str">
        <f t="shared" si="1"/>
        <v/>
      </c>
      <c r="H488" s="258" t="str">
        <f>IFERROR(__xludf.DUMMYFUNCTION("""COMPUTED_VALUE"""),"")</f>
        <v/>
      </c>
      <c r="I488" s="259" t="str">
        <f>IFERROR(__xludf.DUMMYFUNCTION("""COMPUTED_VALUE"""),"")</f>
        <v/>
      </c>
      <c r="J488" s="250" t="str">
        <f t="shared" si="2"/>
        <v/>
      </c>
      <c r="K488" s="317" t="str">
        <f>IFERROR(__xludf.DUMMYFUNCTION("""COMPUTED_VALUE"""),"")</f>
        <v/>
      </c>
      <c r="L488" s="318" t="str">
        <f>IFERROR(__xludf.DUMMYFUNCTION("""COMPUTED_VALUE"""),"")</f>
        <v/>
      </c>
      <c r="M488" s="253" t="str">
        <f t="shared" si="3"/>
        <v/>
      </c>
      <c r="N488" s="319" t="str">
        <f>IFERROR(__xludf.DUMMYFUNCTION("""COMPUTED_VALUE"""),"")</f>
        <v/>
      </c>
      <c r="O488" s="257" t="str">
        <f>IFERROR(__xludf.DUMMYFUNCTION("""COMPUTED_VALUE"""),"")</f>
        <v/>
      </c>
      <c r="P488" s="247" t="str">
        <f t="shared" si="4"/>
        <v/>
      </c>
      <c r="Q488" s="320" t="str">
        <f>IFERROR(__xludf.DUMMYFUNCTION("""COMPUTED_VALUE"""),"")</f>
        <v/>
      </c>
      <c r="R488" s="259" t="str">
        <f>IFERROR(__xludf.DUMMYFUNCTION("""COMPUTED_VALUE"""),"")</f>
        <v/>
      </c>
      <c r="S488" s="250" t="str">
        <f t="shared" si="5"/>
        <v/>
      </c>
      <c r="T488" s="254" t="str">
        <f>IFERROR(__xludf.DUMMYFUNCTION("""COMPUTED_VALUE"""),"")</f>
        <v/>
      </c>
      <c r="U488" s="246" t="str">
        <f>IFERROR(__xludf.DUMMYFUNCTION("""COMPUTED_VALUE"""),"")</f>
        <v/>
      </c>
      <c r="V488" s="247" t="str">
        <f t="shared" si="6"/>
        <v/>
      </c>
      <c r="W488" s="255" t="str">
        <f>IFERROR(__xludf.DUMMYFUNCTION("""COMPUTED_VALUE"""),"")</f>
        <v/>
      </c>
      <c r="X488" s="249" t="str">
        <f>IFERROR(__xludf.DUMMYFUNCTION("""COMPUTED_VALUE"""),"")</f>
        <v/>
      </c>
      <c r="Y488" s="250" t="str">
        <f t="shared" si="7"/>
        <v/>
      </c>
    </row>
    <row r="489">
      <c r="A489" s="136" t="s">
        <v>133</v>
      </c>
      <c r="B489" s="136"/>
      <c r="C489" s="136" t="s">
        <v>133</v>
      </c>
      <c r="D489" s="136"/>
      <c r="E489" s="256" t="str">
        <f>IFERROR(__xludf.DUMMYFUNCTION("""COMPUTED_VALUE"""),"")</f>
        <v/>
      </c>
      <c r="F489" s="257" t="str">
        <f>IFERROR(__xludf.DUMMYFUNCTION("""COMPUTED_VALUE"""),"")</f>
        <v/>
      </c>
      <c r="G489" s="247" t="str">
        <f t="shared" si="1"/>
        <v/>
      </c>
      <c r="H489" s="258" t="str">
        <f>IFERROR(__xludf.DUMMYFUNCTION("""COMPUTED_VALUE"""),"")</f>
        <v/>
      </c>
      <c r="I489" s="259" t="str">
        <f>IFERROR(__xludf.DUMMYFUNCTION("""COMPUTED_VALUE"""),"")</f>
        <v/>
      </c>
      <c r="J489" s="250" t="str">
        <f t="shared" si="2"/>
        <v/>
      </c>
      <c r="K489" s="317" t="str">
        <f>IFERROR(__xludf.DUMMYFUNCTION("""COMPUTED_VALUE"""),"")</f>
        <v/>
      </c>
      <c r="L489" s="318" t="str">
        <f>IFERROR(__xludf.DUMMYFUNCTION("""COMPUTED_VALUE"""),"")</f>
        <v/>
      </c>
      <c r="M489" s="253" t="str">
        <f t="shared" si="3"/>
        <v/>
      </c>
      <c r="N489" s="319" t="str">
        <f>IFERROR(__xludf.DUMMYFUNCTION("""COMPUTED_VALUE"""),"")</f>
        <v/>
      </c>
      <c r="O489" s="257" t="str">
        <f>IFERROR(__xludf.DUMMYFUNCTION("""COMPUTED_VALUE"""),"")</f>
        <v/>
      </c>
      <c r="P489" s="247" t="str">
        <f t="shared" si="4"/>
        <v/>
      </c>
      <c r="Q489" s="320" t="str">
        <f>IFERROR(__xludf.DUMMYFUNCTION("""COMPUTED_VALUE"""),"")</f>
        <v/>
      </c>
      <c r="R489" s="259" t="str">
        <f>IFERROR(__xludf.DUMMYFUNCTION("""COMPUTED_VALUE"""),"")</f>
        <v/>
      </c>
      <c r="S489" s="250" t="str">
        <f t="shared" si="5"/>
        <v/>
      </c>
      <c r="T489" s="254" t="str">
        <f>IFERROR(__xludf.DUMMYFUNCTION("""COMPUTED_VALUE"""),"")</f>
        <v/>
      </c>
      <c r="U489" s="246" t="str">
        <f>IFERROR(__xludf.DUMMYFUNCTION("""COMPUTED_VALUE"""),"")</f>
        <v/>
      </c>
      <c r="V489" s="247" t="str">
        <f t="shared" si="6"/>
        <v/>
      </c>
      <c r="W489" s="255" t="str">
        <f>IFERROR(__xludf.DUMMYFUNCTION("""COMPUTED_VALUE"""),"")</f>
        <v/>
      </c>
      <c r="X489" s="249" t="str">
        <f>IFERROR(__xludf.DUMMYFUNCTION("""COMPUTED_VALUE"""),"")</f>
        <v/>
      </c>
      <c r="Y489" s="250" t="str">
        <f t="shared" si="7"/>
        <v/>
      </c>
    </row>
    <row r="490">
      <c r="A490" s="136" t="s">
        <v>133</v>
      </c>
      <c r="B490" s="136"/>
      <c r="C490" s="136" t="s">
        <v>133</v>
      </c>
      <c r="D490" s="136"/>
      <c r="E490" s="256" t="str">
        <f>IFERROR(__xludf.DUMMYFUNCTION("""COMPUTED_VALUE"""),"")</f>
        <v/>
      </c>
      <c r="F490" s="257" t="str">
        <f>IFERROR(__xludf.DUMMYFUNCTION("""COMPUTED_VALUE"""),"")</f>
        <v/>
      </c>
      <c r="G490" s="247" t="str">
        <f t="shared" si="1"/>
        <v/>
      </c>
      <c r="H490" s="258" t="str">
        <f>IFERROR(__xludf.DUMMYFUNCTION("""COMPUTED_VALUE"""),"")</f>
        <v/>
      </c>
      <c r="I490" s="259" t="str">
        <f>IFERROR(__xludf.DUMMYFUNCTION("""COMPUTED_VALUE"""),"")</f>
        <v/>
      </c>
      <c r="J490" s="250" t="str">
        <f t="shared" si="2"/>
        <v/>
      </c>
      <c r="K490" s="317" t="str">
        <f>IFERROR(__xludf.DUMMYFUNCTION("""COMPUTED_VALUE"""),"")</f>
        <v/>
      </c>
      <c r="L490" s="318" t="str">
        <f>IFERROR(__xludf.DUMMYFUNCTION("""COMPUTED_VALUE"""),"")</f>
        <v/>
      </c>
      <c r="M490" s="253" t="str">
        <f t="shared" si="3"/>
        <v/>
      </c>
      <c r="N490" s="319" t="str">
        <f>IFERROR(__xludf.DUMMYFUNCTION("""COMPUTED_VALUE"""),"")</f>
        <v/>
      </c>
      <c r="O490" s="257" t="str">
        <f>IFERROR(__xludf.DUMMYFUNCTION("""COMPUTED_VALUE"""),"")</f>
        <v/>
      </c>
      <c r="P490" s="247" t="str">
        <f t="shared" si="4"/>
        <v/>
      </c>
      <c r="Q490" s="320" t="str">
        <f>IFERROR(__xludf.DUMMYFUNCTION("""COMPUTED_VALUE"""),"")</f>
        <v/>
      </c>
      <c r="R490" s="259" t="str">
        <f>IFERROR(__xludf.DUMMYFUNCTION("""COMPUTED_VALUE"""),"")</f>
        <v/>
      </c>
      <c r="S490" s="250" t="str">
        <f t="shared" si="5"/>
        <v/>
      </c>
      <c r="T490" s="254" t="str">
        <f>IFERROR(__xludf.DUMMYFUNCTION("""COMPUTED_VALUE"""),"")</f>
        <v/>
      </c>
      <c r="U490" s="246" t="str">
        <f>IFERROR(__xludf.DUMMYFUNCTION("""COMPUTED_VALUE"""),"")</f>
        <v/>
      </c>
      <c r="V490" s="247" t="str">
        <f t="shared" si="6"/>
        <v/>
      </c>
      <c r="W490" s="255" t="str">
        <f>IFERROR(__xludf.DUMMYFUNCTION("""COMPUTED_VALUE"""),"")</f>
        <v/>
      </c>
      <c r="X490" s="249" t="str">
        <f>IFERROR(__xludf.DUMMYFUNCTION("""COMPUTED_VALUE"""),"")</f>
        <v/>
      </c>
      <c r="Y490" s="250" t="str">
        <f t="shared" si="7"/>
        <v/>
      </c>
    </row>
    <row r="491">
      <c r="A491" s="136" t="s">
        <v>133</v>
      </c>
      <c r="B491" s="136"/>
      <c r="C491" s="136" t="s">
        <v>133</v>
      </c>
      <c r="D491" s="136"/>
      <c r="E491" s="256" t="str">
        <f>IFERROR(__xludf.DUMMYFUNCTION("""COMPUTED_VALUE"""),"")</f>
        <v/>
      </c>
      <c r="F491" s="257" t="str">
        <f>IFERROR(__xludf.DUMMYFUNCTION("""COMPUTED_VALUE"""),"")</f>
        <v/>
      </c>
      <c r="G491" s="247" t="str">
        <f t="shared" si="1"/>
        <v/>
      </c>
      <c r="H491" s="258" t="str">
        <f>IFERROR(__xludf.DUMMYFUNCTION("""COMPUTED_VALUE"""),"")</f>
        <v/>
      </c>
      <c r="I491" s="259" t="str">
        <f>IFERROR(__xludf.DUMMYFUNCTION("""COMPUTED_VALUE"""),"")</f>
        <v/>
      </c>
      <c r="J491" s="250" t="str">
        <f t="shared" si="2"/>
        <v/>
      </c>
      <c r="K491" s="317" t="str">
        <f>IFERROR(__xludf.DUMMYFUNCTION("""COMPUTED_VALUE"""),"")</f>
        <v/>
      </c>
      <c r="L491" s="318" t="str">
        <f>IFERROR(__xludf.DUMMYFUNCTION("""COMPUTED_VALUE"""),"")</f>
        <v/>
      </c>
      <c r="M491" s="253" t="str">
        <f t="shared" si="3"/>
        <v/>
      </c>
      <c r="N491" s="319" t="str">
        <f>IFERROR(__xludf.DUMMYFUNCTION("""COMPUTED_VALUE"""),"")</f>
        <v/>
      </c>
      <c r="O491" s="257" t="str">
        <f>IFERROR(__xludf.DUMMYFUNCTION("""COMPUTED_VALUE"""),"")</f>
        <v/>
      </c>
      <c r="P491" s="247" t="str">
        <f t="shared" si="4"/>
        <v/>
      </c>
      <c r="Q491" s="320" t="str">
        <f>IFERROR(__xludf.DUMMYFUNCTION("""COMPUTED_VALUE"""),"")</f>
        <v/>
      </c>
      <c r="R491" s="259" t="str">
        <f>IFERROR(__xludf.DUMMYFUNCTION("""COMPUTED_VALUE"""),"")</f>
        <v/>
      </c>
      <c r="S491" s="250" t="str">
        <f t="shared" si="5"/>
        <v/>
      </c>
      <c r="T491" s="254" t="str">
        <f>IFERROR(__xludf.DUMMYFUNCTION("""COMPUTED_VALUE"""),"")</f>
        <v/>
      </c>
      <c r="U491" s="246" t="str">
        <f>IFERROR(__xludf.DUMMYFUNCTION("""COMPUTED_VALUE"""),"")</f>
        <v/>
      </c>
      <c r="V491" s="247" t="str">
        <f t="shared" si="6"/>
        <v/>
      </c>
      <c r="W491" s="255" t="str">
        <f>IFERROR(__xludf.DUMMYFUNCTION("""COMPUTED_VALUE"""),"")</f>
        <v/>
      </c>
      <c r="X491" s="249" t="str">
        <f>IFERROR(__xludf.DUMMYFUNCTION("""COMPUTED_VALUE"""),"")</f>
        <v/>
      </c>
      <c r="Y491" s="250" t="str">
        <f t="shared" si="7"/>
        <v/>
      </c>
    </row>
    <row r="492">
      <c r="A492" s="136" t="s">
        <v>133</v>
      </c>
      <c r="B492" s="136"/>
      <c r="C492" s="136" t="s">
        <v>133</v>
      </c>
      <c r="D492" s="136"/>
      <c r="E492" s="256" t="str">
        <f>IFERROR(__xludf.DUMMYFUNCTION("""COMPUTED_VALUE"""),"")</f>
        <v/>
      </c>
      <c r="F492" s="257" t="str">
        <f>IFERROR(__xludf.DUMMYFUNCTION("""COMPUTED_VALUE"""),"")</f>
        <v/>
      </c>
      <c r="G492" s="247" t="str">
        <f t="shared" si="1"/>
        <v/>
      </c>
      <c r="H492" s="258" t="str">
        <f>IFERROR(__xludf.DUMMYFUNCTION("""COMPUTED_VALUE"""),"")</f>
        <v/>
      </c>
      <c r="I492" s="259" t="str">
        <f>IFERROR(__xludf.DUMMYFUNCTION("""COMPUTED_VALUE"""),"")</f>
        <v/>
      </c>
      <c r="J492" s="250" t="str">
        <f t="shared" si="2"/>
        <v/>
      </c>
      <c r="K492" s="317" t="str">
        <f>IFERROR(__xludf.DUMMYFUNCTION("""COMPUTED_VALUE"""),"")</f>
        <v/>
      </c>
      <c r="L492" s="318" t="str">
        <f>IFERROR(__xludf.DUMMYFUNCTION("""COMPUTED_VALUE"""),"")</f>
        <v/>
      </c>
      <c r="M492" s="253" t="str">
        <f t="shared" si="3"/>
        <v/>
      </c>
      <c r="N492" s="319" t="str">
        <f>IFERROR(__xludf.DUMMYFUNCTION("""COMPUTED_VALUE"""),"")</f>
        <v/>
      </c>
      <c r="O492" s="257" t="str">
        <f>IFERROR(__xludf.DUMMYFUNCTION("""COMPUTED_VALUE"""),"")</f>
        <v/>
      </c>
      <c r="P492" s="247" t="str">
        <f t="shared" si="4"/>
        <v/>
      </c>
      <c r="Q492" s="320" t="str">
        <f>IFERROR(__xludf.DUMMYFUNCTION("""COMPUTED_VALUE"""),"")</f>
        <v/>
      </c>
      <c r="R492" s="259" t="str">
        <f>IFERROR(__xludf.DUMMYFUNCTION("""COMPUTED_VALUE"""),"")</f>
        <v/>
      </c>
      <c r="S492" s="250" t="str">
        <f t="shared" si="5"/>
        <v/>
      </c>
      <c r="T492" s="254" t="str">
        <f>IFERROR(__xludf.DUMMYFUNCTION("""COMPUTED_VALUE"""),"")</f>
        <v/>
      </c>
      <c r="U492" s="246" t="str">
        <f>IFERROR(__xludf.DUMMYFUNCTION("""COMPUTED_VALUE"""),"")</f>
        <v/>
      </c>
      <c r="V492" s="247" t="str">
        <f t="shared" si="6"/>
        <v/>
      </c>
      <c r="W492" s="255" t="str">
        <f>IFERROR(__xludf.DUMMYFUNCTION("""COMPUTED_VALUE"""),"")</f>
        <v/>
      </c>
      <c r="X492" s="249" t="str">
        <f>IFERROR(__xludf.DUMMYFUNCTION("""COMPUTED_VALUE"""),"")</f>
        <v/>
      </c>
      <c r="Y492" s="250" t="str">
        <f t="shared" si="7"/>
        <v/>
      </c>
    </row>
    <row r="493">
      <c r="A493" s="136" t="s">
        <v>133</v>
      </c>
      <c r="B493" s="136"/>
      <c r="C493" s="136" t="s">
        <v>133</v>
      </c>
      <c r="D493" s="136"/>
      <c r="E493" s="256" t="str">
        <f>IFERROR(__xludf.DUMMYFUNCTION("""COMPUTED_VALUE"""),"")</f>
        <v/>
      </c>
      <c r="F493" s="257" t="str">
        <f>IFERROR(__xludf.DUMMYFUNCTION("""COMPUTED_VALUE"""),"")</f>
        <v/>
      </c>
      <c r="G493" s="247" t="str">
        <f t="shared" si="1"/>
        <v/>
      </c>
      <c r="H493" s="258" t="str">
        <f>IFERROR(__xludf.DUMMYFUNCTION("""COMPUTED_VALUE"""),"")</f>
        <v/>
      </c>
      <c r="I493" s="259" t="str">
        <f>IFERROR(__xludf.DUMMYFUNCTION("""COMPUTED_VALUE"""),"")</f>
        <v/>
      </c>
      <c r="J493" s="250" t="str">
        <f t="shared" si="2"/>
        <v/>
      </c>
      <c r="K493" s="317" t="str">
        <f>IFERROR(__xludf.DUMMYFUNCTION("""COMPUTED_VALUE"""),"")</f>
        <v/>
      </c>
      <c r="L493" s="318" t="str">
        <f>IFERROR(__xludf.DUMMYFUNCTION("""COMPUTED_VALUE"""),"")</f>
        <v/>
      </c>
      <c r="M493" s="253" t="str">
        <f t="shared" si="3"/>
        <v/>
      </c>
      <c r="N493" s="319" t="str">
        <f>IFERROR(__xludf.DUMMYFUNCTION("""COMPUTED_VALUE"""),"")</f>
        <v/>
      </c>
      <c r="O493" s="257" t="str">
        <f>IFERROR(__xludf.DUMMYFUNCTION("""COMPUTED_VALUE"""),"")</f>
        <v/>
      </c>
      <c r="P493" s="247" t="str">
        <f t="shared" si="4"/>
        <v/>
      </c>
      <c r="Q493" s="320" t="str">
        <f>IFERROR(__xludf.DUMMYFUNCTION("""COMPUTED_VALUE"""),"")</f>
        <v/>
      </c>
      <c r="R493" s="259" t="str">
        <f>IFERROR(__xludf.DUMMYFUNCTION("""COMPUTED_VALUE"""),"")</f>
        <v/>
      </c>
      <c r="S493" s="250" t="str">
        <f t="shared" si="5"/>
        <v/>
      </c>
      <c r="T493" s="254" t="str">
        <f>IFERROR(__xludf.DUMMYFUNCTION("""COMPUTED_VALUE"""),"")</f>
        <v/>
      </c>
      <c r="U493" s="246" t="str">
        <f>IFERROR(__xludf.DUMMYFUNCTION("""COMPUTED_VALUE"""),"")</f>
        <v/>
      </c>
      <c r="V493" s="247" t="str">
        <f t="shared" si="6"/>
        <v/>
      </c>
      <c r="W493" s="255" t="str">
        <f>IFERROR(__xludf.DUMMYFUNCTION("""COMPUTED_VALUE"""),"")</f>
        <v/>
      </c>
      <c r="X493" s="249" t="str">
        <f>IFERROR(__xludf.DUMMYFUNCTION("""COMPUTED_VALUE"""),"")</f>
        <v/>
      </c>
      <c r="Y493" s="250" t="str">
        <f t="shared" si="7"/>
        <v/>
      </c>
    </row>
    <row r="494">
      <c r="A494" s="136" t="s">
        <v>133</v>
      </c>
      <c r="B494" s="136"/>
      <c r="C494" s="136" t="s">
        <v>133</v>
      </c>
      <c r="D494" s="136"/>
      <c r="E494" s="256" t="str">
        <f>IFERROR(__xludf.DUMMYFUNCTION("""COMPUTED_VALUE"""),"")</f>
        <v/>
      </c>
      <c r="F494" s="257" t="str">
        <f>IFERROR(__xludf.DUMMYFUNCTION("""COMPUTED_VALUE"""),"")</f>
        <v/>
      </c>
      <c r="G494" s="247" t="str">
        <f t="shared" si="1"/>
        <v/>
      </c>
      <c r="H494" s="258" t="str">
        <f>IFERROR(__xludf.DUMMYFUNCTION("""COMPUTED_VALUE"""),"")</f>
        <v/>
      </c>
      <c r="I494" s="259" t="str">
        <f>IFERROR(__xludf.DUMMYFUNCTION("""COMPUTED_VALUE"""),"")</f>
        <v/>
      </c>
      <c r="J494" s="250" t="str">
        <f t="shared" si="2"/>
        <v/>
      </c>
      <c r="K494" s="317" t="str">
        <f>IFERROR(__xludf.DUMMYFUNCTION("""COMPUTED_VALUE"""),"")</f>
        <v/>
      </c>
      <c r="L494" s="318" t="str">
        <f>IFERROR(__xludf.DUMMYFUNCTION("""COMPUTED_VALUE"""),"")</f>
        <v/>
      </c>
      <c r="M494" s="253" t="str">
        <f t="shared" si="3"/>
        <v/>
      </c>
      <c r="N494" s="319" t="str">
        <f>IFERROR(__xludf.DUMMYFUNCTION("""COMPUTED_VALUE"""),"")</f>
        <v/>
      </c>
      <c r="O494" s="257" t="str">
        <f>IFERROR(__xludf.DUMMYFUNCTION("""COMPUTED_VALUE"""),"")</f>
        <v/>
      </c>
      <c r="P494" s="247" t="str">
        <f t="shared" si="4"/>
        <v/>
      </c>
      <c r="Q494" s="320" t="str">
        <f>IFERROR(__xludf.DUMMYFUNCTION("""COMPUTED_VALUE"""),"")</f>
        <v/>
      </c>
      <c r="R494" s="259" t="str">
        <f>IFERROR(__xludf.DUMMYFUNCTION("""COMPUTED_VALUE"""),"")</f>
        <v/>
      </c>
      <c r="S494" s="250" t="str">
        <f t="shared" si="5"/>
        <v/>
      </c>
      <c r="T494" s="254" t="str">
        <f>IFERROR(__xludf.DUMMYFUNCTION("""COMPUTED_VALUE"""),"")</f>
        <v/>
      </c>
      <c r="U494" s="246" t="str">
        <f>IFERROR(__xludf.DUMMYFUNCTION("""COMPUTED_VALUE"""),"")</f>
        <v/>
      </c>
      <c r="V494" s="247" t="str">
        <f t="shared" si="6"/>
        <v/>
      </c>
      <c r="W494" s="255" t="str">
        <f>IFERROR(__xludf.DUMMYFUNCTION("""COMPUTED_VALUE"""),"")</f>
        <v/>
      </c>
      <c r="X494" s="249" t="str">
        <f>IFERROR(__xludf.DUMMYFUNCTION("""COMPUTED_VALUE"""),"")</f>
        <v/>
      </c>
      <c r="Y494" s="250" t="str">
        <f t="shared" si="7"/>
        <v/>
      </c>
    </row>
    <row r="495">
      <c r="A495" s="136" t="s">
        <v>133</v>
      </c>
      <c r="B495" s="136"/>
      <c r="C495" s="136" t="s">
        <v>133</v>
      </c>
      <c r="D495" s="136"/>
      <c r="E495" s="256" t="str">
        <f>IFERROR(__xludf.DUMMYFUNCTION("""COMPUTED_VALUE"""),"")</f>
        <v/>
      </c>
      <c r="F495" s="257" t="str">
        <f>IFERROR(__xludf.DUMMYFUNCTION("""COMPUTED_VALUE"""),"")</f>
        <v/>
      </c>
      <c r="G495" s="247" t="str">
        <f t="shared" si="1"/>
        <v/>
      </c>
      <c r="H495" s="258" t="str">
        <f>IFERROR(__xludf.DUMMYFUNCTION("""COMPUTED_VALUE"""),"")</f>
        <v/>
      </c>
      <c r="I495" s="259" t="str">
        <f>IFERROR(__xludf.DUMMYFUNCTION("""COMPUTED_VALUE"""),"")</f>
        <v/>
      </c>
      <c r="J495" s="250" t="str">
        <f t="shared" si="2"/>
        <v/>
      </c>
      <c r="K495" s="317" t="str">
        <f>IFERROR(__xludf.DUMMYFUNCTION("""COMPUTED_VALUE"""),"")</f>
        <v/>
      </c>
      <c r="L495" s="318" t="str">
        <f>IFERROR(__xludf.DUMMYFUNCTION("""COMPUTED_VALUE"""),"")</f>
        <v/>
      </c>
      <c r="M495" s="253" t="str">
        <f t="shared" si="3"/>
        <v/>
      </c>
      <c r="N495" s="319" t="str">
        <f>IFERROR(__xludf.DUMMYFUNCTION("""COMPUTED_VALUE"""),"")</f>
        <v/>
      </c>
      <c r="O495" s="257" t="str">
        <f>IFERROR(__xludf.DUMMYFUNCTION("""COMPUTED_VALUE"""),"")</f>
        <v/>
      </c>
      <c r="P495" s="247" t="str">
        <f t="shared" si="4"/>
        <v/>
      </c>
      <c r="Q495" s="320" t="str">
        <f>IFERROR(__xludf.DUMMYFUNCTION("""COMPUTED_VALUE"""),"")</f>
        <v/>
      </c>
      <c r="R495" s="259" t="str">
        <f>IFERROR(__xludf.DUMMYFUNCTION("""COMPUTED_VALUE"""),"")</f>
        <v/>
      </c>
      <c r="S495" s="250" t="str">
        <f t="shared" si="5"/>
        <v/>
      </c>
      <c r="T495" s="254" t="str">
        <f>IFERROR(__xludf.DUMMYFUNCTION("""COMPUTED_VALUE"""),"")</f>
        <v/>
      </c>
      <c r="U495" s="246" t="str">
        <f>IFERROR(__xludf.DUMMYFUNCTION("""COMPUTED_VALUE"""),"")</f>
        <v/>
      </c>
      <c r="V495" s="247" t="str">
        <f t="shared" si="6"/>
        <v/>
      </c>
      <c r="W495" s="255" t="str">
        <f>IFERROR(__xludf.DUMMYFUNCTION("""COMPUTED_VALUE"""),"")</f>
        <v/>
      </c>
      <c r="X495" s="249" t="str">
        <f>IFERROR(__xludf.DUMMYFUNCTION("""COMPUTED_VALUE"""),"")</f>
        <v/>
      </c>
      <c r="Y495" s="250" t="str">
        <f t="shared" si="7"/>
        <v/>
      </c>
    </row>
    <row r="496">
      <c r="A496" s="136" t="s">
        <v>133</v>
      </c>
      <c r="B496" s="136"/>
      <c r="C496" s="136" t="s">
        <v>133</v>
      </c>
      <c r="D496" s="136"/>
      <c r="E496" s="256" t="str">
        <f>IFERROR(__xludf.DUMMYFUNCTION("""COMPUTED_VALUE"""),"")</f>
        <v/>
      </c>
      <c r="F496" s="257" t="str">
        <f>IFERROR(__xludf.DUMMYFUNCTION("""COMPUTED_VALUE"""),"")</f>
        <v/>
      </c>
      <c r="G496" s="247" t="str">
        <f t="shared" si="1"/>
        <v/>
      </c>
      <c r="H496" s="258" t="str">
        <f>IFERROR(__xludf.DUMMYFUNCTION("""COMPUTED_VALUE"""),"")</f>
        <v/>
      </c>
      <c r="I496" s="259" t="str">
        <f>IFERROR(__xludf.DUMMYFUNCTION("""COMPUTED_VALUE"""),"")</f>
        <v/>
      </c>
      <c r="J496" s="250" t="str">
        <f t="shared" si="2"/>
        <v/>
      </c>
      <c r="K496" s="317" t="str">
        <f>IFERROR(__xludf.DUMMYFUNCTION("""COMPUTED_VALUE"""),"")</f>
        <v/>
      </c>
      <c r="L496" s="318" t="str">
        <f>IFERROR(__xludf.DUMMYFUNCTION("""COMPUTED_VALUE"""),"")</f>
        <v/>
      </c>
      <c r="M496" s="253" t="str">
        <f t="shared" si="3"/>
        <v/>
      </c>
      <c r="N496" s="319" t="str">
        <f>IFERROR(__xludf.DUMMYFUNCTION("""COMPUTED_VALUE"""),"")</f>
        <v/>
      </c>
      <c r="O496" s="257" t="str">
        <f>IFERROR(__xludf.DUMMYFUNCTION("""COMPUTED_VALUE"""),"")</f>
        <v/>
      </c>
      <c r="P496" s="247" t="str">
        <f t="shared" si="4"/>
        <v/>
      </c>
      <c r="Q496" s="320" t="str">
        <f>IFERROR(__xludf.DUMMYFUNCTION("""COMPUTED_VALUE"""),"")</f>
        <v/>
      </c>
      <c r="R496" s="259" t="str">
        <f>IFERROR(__xludf.DUMMYFUNCTION("""COMPUTED_VALUE"""),"")</f>
        <v/>
      </c>
      <c r="S496" s="250" t="str">
        <f t="shared" si="5"/>
        <v/>
      </c>
      <c r="T496" s="254" t="str">
        <f>IFERROR(__xludf.DUMMYFUNCTION("""COMPUTED_VALUE"""),"")</f>
        <v/>
      </c>
      <c r="U496" s="246" t="str">
        <f>IFERROR(__xludf.DUMMYFUNCTION("""COMPUTED_VALUE"""),"")</f>
        <v/>
      </c>
      <c r="V496" s="247" t="str">
        <f t="shared" si="6"/>
        <v/>
      </c>
      <c r="W496" s="255" t="str">
        <f>IFERROR(__xludf.DUMMYFUNCTION("""COMPUTED_VALUE"""),"")</f>
        <v/>
      </c>
      <c r="X496" s="249" t="str">
        <f>IFERROR(__xludf.DUMMYFUNCTION("""COMPUTED_VALUE"""),"")</f>
        <v/>
      </c>
      <c r="Y496" s="250" t="str">
        <f t="shared" si="7"/>
        <v/>
      </c>
    </row>
    <row r="497">
      <c r="A497" s="136" t="s">
        <v>133</v>
      </c>
      <c r="B497" s="136"/>
      <c r="C497" s="136" t="s">
        <v>133</v>
      </c>
      <c r="D497" s="136"/>
      <c r="E497" s="256" t="str">
        <f>IFERROR(__xludf.DUMMYFUNCTION("""COMPUTED_VALUE"""),"")</f>
        <v/>
      </c>
      <c r="F497" s="257" t="str">
        <f>IFERROR(__xludf.DUMMYFUNCTION("""COMPUTED_VALUE"""),"")</f>
        <v/>
      </c>
      <c r="G497" s="247" t="str">
        <f t="shared" si="1"/>
        <v/>
      </c>
      <c r="H497" s="258" t="str">
        <f>IFERROR(__xludf.DUMMYFUNCTION("""COMPUTED_VALUE"""),"")</f>
        <v/>
      </c>
      <c r="I497" s="259" t="str">
        <f>IFERROR(__xludf.DUMMYFUNCTION("""COMPUTED_VALUE"""),"")</f>
        <v/>
      </c>
      <c r="J497" s="250" t="str">
        <f t="shared" si="2"/>
        <v/>
      </c>
      <c r="K497" s="317" t="str">
        <f>IFERROR(__xludf.DUMMYFUNCTION("""COMPUTED_VALUE"""),"")</f>
        <v/>
      </c>
      <c r="L497" s="318" t="str">
        <f>IFERROR(__xludf.DUMMYFUNCTION("""COMPUTED_VALUE"""),"")</f>
        <v/>
      </c>
      <c r="M497" s="253" t="str">
        <f t="shared" si="3"/>
        <v/>
      </c>
      <c r="N497" s="319" t="str">
        <f>IFERROR(__xludf.DUMMYFUNCTION("""COMPUTED_VALUE"""),"")</f>
        <v/>
      </c>
      <c r="O497" s="257" t="str">
        <f>IFERROR(__xludf.DUMMYFUNCTION("""COMPUTED_VALUE"""),"")</f>
        <v/>
      </c>
      <c r="P497" s="247" t="str">
        <f t="shared" si="4"/>
        <v/>
      </c>
      <c r="Q497" s="320" t="str">
        <f>IFERROR(__xludf.DUMMYFUNCTION("""COMPUTED_VALUE"""),"")</f>
        <v/>
      </c>
      <c r="R497" s="259" t="str">
        <f>IFERROR(__xludf.DUMMYFUNCTION("""COMPUTED_VALUE"""),"")</f>
        <v/>
      </c>
      <c r="S497" s="250" t="str">
        <f t="shared" si="5"/>
        <v/>
      </c>
      <c r="T497" s="254" t="str">
        <f>IFERROR(__xludf.DUMMYFUNCTION("""COMPUTED_VALUE"""),"")</f>
        <v/>
      </c>
      <c r="U497" s="246" t="str">
        <f>IFERROR(__xludf.DUMMYFUNCTION("""COMPUTED_VALUE"""),"")</f>
        <v/>
      </c>
      <c r="V497" s="247" t="str">
        <f t="shared" si="6"/>
        <v/>
      </c>
      <c r="W497" s="255" t="str">
        <f>IFERROR(__xludf.DUMMYFUNCTION("""COMPUTED_VALUE"""),"")</f>
        <v/>
      </c>
      <c r="X497" s="249" t="str">
        <f>IFERROR(__xludf.DUMMYFUNCTION("""COMPUTED_VALUE"""),"")</f>
        <v/>
      </c>
      <c r="Y497" s="250" t="str">
        <f t="shared" si="7"/>
        <v/>
      </c>
    </row>
    <row r="498">
      <c r="A498" s="136" t="s">
        <v>133</v>
      </c>
      <c r="B498" s="136"/>
      <c r="C498" s="136" t="s">
        <v>133</v>
      </c>
      <c r="D498" s="136"/>
      <c r="E498" s="256" t="str">
        <f>IFERROR(__xludf.DUMMYFUNCTION("""COMPUTED_VALUE"""),"")</f>
        <v/>
      </c>
      <c r="F498" s="257" t="str">
        <f>IFERROR(__xludf.DUMMYFUNCTION("""COMPUTED_VALUE"""),"")</f>
        <v/>
      </c>
      <c r="G498" s="247" t="str">
        <f t="shared" si="1"/>
        <v/>
      </c>
      <c r="H498" s="258" t="str">
        <f>IFERROR(__xludf.DUMMYFUNCTION("""COMPUTED_VALUE"""),"")</f>
        <v/>
      </c>
      <c r="I498" s="259" t="str">
        <f>IFERROR(__xludf.DUMMYFUNCTION("""COMPUTED_VALUE"""),"")</f>
        <v/>
      </c>
      <c r="J498" s="250" t="str">
        <f t="shared" si="2"/>
        <v/>
      </c>
      <c r="K498" s="317" t="str">
        <f>IFERROR(__xludf.DUMMYFUNCTION("""COMPUTED_VALUE"""),"")</f>
        <v/>
      </c>
      <c r="L498" s="318" t="str">
        <f>IFERROR(__xludf.DUMMYFUNCTION("""COMPUTED_VALUE"""),"")</f>
        <v/>
      </c>
      <c r="M498" s="253" t="str">
        <f t="shared" si="3"/>
        <v/>
      </c>
      <c r="N498" s="319" t="str">
        <f>IFERROR(__xludf.DUMMYFUNCTION("""COMPUTED_VALUE"""),"")</f>
        <v/>
      </c>
      <c r="O498" s="257" t="str">
        <f>IFERROR(__xludf.DUMMYFUNCTION("""COMPUTED_VALUE"""),"")</f>
        <v/>
      </c>
      <c r="P498" s="247" t="str">
        <f t="shared" si="4"/>
        <v/>
      </c>
      <c r="Q498" s="320" t="str">
        <f>IFERROR(__xludf.DUMMYFUNCTION("""COMPUTED_VALUE"""),"")</f>
        <v/>
      </c>
      <c r="R498" s="259" t="str">
        <f>IFERROR(__xludf.DUMMYFUNCTION("""COMPUTED_VALUE"""),"")</f>
        <v/>
      </c>
      <c r="S498" s="250" t="str">
        <f t="shared" si="5"/>
        <v/>
      </c>
      <c r="T498" s="254" t="str">
        <f>IFERROR(__xludf.DUMMYFUNCTION("""COMPUTED_VALUE"""),"")</f>
        <v/>
      </c>
      <c r="U498" s="246" t="str">
        <f>IFERROR(__xludf.DUMMYFUNCTION("""COMPUTED_VALUE"""),"")</f>
        <v/>
      </c>
      <c r="V498" s="247" t="str">
        <f t="shared" si="6"/>
        <v/>
      </c>
      <c r="W498" s="255" t="str">
        <f>IFERROR(__xludf.DUMMYFUNCTION("""COMPUTED_VALUE"""),"")</f>
        <v/>
      </c>
      <c r="X498" s="249" t="str">
        <f>IFERROR(__xludf.DUMMYFUNCTION("""COMPUTED_VALUE"""),"")</f>
        <v/>
      </c>
      <c r="Y498" s="250" t="str">
        <f t="shared" si="7"/>
        <v/>
      </c>
    </row>
    <row r="499">
      <c r="A499" s="136" t="s">
        <v>133</v>
      </c>
      <c r="B499" s="136"/>
      <c r="C499" s="136" t="s">
        <v>133</v>
      </c>
      <c r="D499" s="136"/>
      <c r="E499" s="256" t="str">
        <f>IFERROR(__xludf.DUMMYFUNCTION("""COMPUTED_VALUE"""),"")</f>
        <v/>
      </c>
      <c r="F499" s="257" t="str">
        <f>IFERROR(__xludf.DUMMYFUNCTION("""COMPUTED_VALUE"""),"")</f>
        <v/>
      </c>
      <c r="G499" s="247" t="str">
        <f t="shared" si="1"/>
        <v/>
      </c>
      <c r="H499" s="258" t="str">
        <f>IFERROR(__xludf.DUMMYFUNCTION("""COMPUTED_VALUE"""),"")</f>
        <v/>
      </c>
      <c r="I499" s="259" t="str">
        <f>IFERROR(__xludf.DUMMYFUNCTION("""COMPUTED_VALUE"""),"")</f>
        <v/>
      </c>
      <c r="J499" s="250" t="str">
        <f t="shared" si="2"/>
        <v/>
      </c>
      <c r="K499" s="317" t="str">
        <f>IFERROR(__xludf.DUMMYFUNCTION("""COMPUTED_VALUE"""),"")</f>
        <v/>
      </c>
      <c r="L499" s="318" t="str">
        <f>IFERROR(__xludf.DUMMYFUNCTION("""COMPUTED_VALUE"""),"")</f>
        <v/>
      </c>
      <c r="M499" s="253" t="str">
        <f t="shared" si="3"/>
        <v/>
      </c>
      <c r="N499" s="319" t="str">
        <f>IFERROR(__xludf.DUMMYFUNCTION("""COMPUTED_VALUE"""),"")</f>
        <v/>
      </c>
      <c r="O499" s="257" t="str">
        <f>IFERROR(__xludf.DUMMYFUNCTION("""COMPUTED_VALUE"""),"")</f>
        <v/>
      </c>
      <c r="P499" s="247" t="str">
        <f t="shared" si="4"/>
        <v/>
      </c>
      <c r="Q499" s="320" t="str">
        <f>IFERROR(__xludf.DUMMYFUNCTION("""COMPUTED_VALUE"""),"")</f>
        <v/>
      </c>
      <c r="R499" s="259" t="str">
        <f>IFERROR(__xludf.DUMMYFUNCTION("""COMPUTED_VALUE"""),"")</f>
        <v/>
      </c>
      <c r="S499" s="250" t="str">
        <f t="shared" si="5"/>
        <v/>
      </c>
      <c r="T499" s="254" t="str">
        <f>IFERROR(__xludf.DUMMYFUNCTION("""COMPUTED_VALUE"""),"")</f>
        <v/>
      </c>
      <c r="U499" s="246" t="str">
        <f>IFERROR(__xludf.DUMMYFUNCTION("""COMPUTED_VALUE"""),"")</f>
        <v/>
      </c>
      <c r="V499" s="247" t="str">
        <f t="shared" si="6"/>
        <v/>
      </c>
      <c r="W499" s="255" t="str">
        <f>IFERROR(__xludf.DUMMYFUNCTION("""COMPUTED_VALUE"""),"")</f>
        <v/>
      </c>
      <c r="X499" s="249" t="str">
        <f>IFERROR(__xludf.DUMMYFUNCTION("""COMPUTED_VALUE"""),"")</f>
        <v/>
      </c>
      <c r="Y499" s="250" t="str">
        <f t="shared" si="7"/>
        <v/>
      </c>
    </row>
    <row r="500">
      <c r="A500" s="136" t="s">
        <v>133</v>
      </c>
      <c r="B500" s="136"/>
      <c r="C500" s="136" t="s">
        <v>133</v>
      </c>
      <c r="D500" s="136"/>
      <c r="E500" s="256" t="str">
        <f>IFERROR(__xludf.DUMMYFUNCTION("""COMPUTED_VALUE"""),"")</f>
        <v/>
      </c>
      <c r="F500" s="257" t="str">
        <f>IFERROR(__xludf.DUMMYFUNCTION("""COMPUTED_VALUE"""),"")</f>
        <v/>
      </c>
      <c r="G500" s="247" t="str">
        <f t="shared" si="1"/>
        <v/>
      </c>
      <c r="H500" s="258" t="str">
        <f>IFERROR(__xludf.DUMMYFUNCTION("""COMPUTED_VALUE"""),"")</f>
        <v/>
      </c>
      <c r="I500" s="259" t="str">
        <f>IFERROR(__xludf.DUMMYFUNCTION("""COMPUTED_VALUE"""),"")</f>
        <v/>
      </c>
      <c r="J500" s="250" t="str">
        <f t="shared" si="2"/>
        <v/>
      </c>
      <c r="K500" s="317" t="str">
        <f>IFERROR(__xludf.DUMMYFUNCTION("""COMPUTED_VALUE"""),"")</f>
        <v/>
      </c>
      <c r="L500" s="318" t="str">
        <f>IFERROR(__xludf.DUMMYFUNCTION("""COMPUTED_VALUE"""),"")</f>
        <v/>
      </c>
      <c r="M500" s="253" t="str">
        <f t="shared" si="3"/>
        <v/>
      </c>
      <c r="N500" s="319" t="str">
        <f>IFERROR(__xludf.DUMMYFUNCTION("""COMPUTED_VALUE"""),"")</f>
        <v/>
      </c>
      <c r="O500" s="257" t="str">
        <f>IFERROR(__xludf.DUMMYFUNCTION("""COMPUTED_VALUE"""),"")</f>
        <v/>
      </c>
      <c r="P500" s="247" t="str">
        <f t="shared" si="4"/>
        <v/>
      </c>
      <c r="Q500" s="320" t="str">
        <f>IFERROR(__xludf.DUMMYFUNCTION("""COMPUTED_VALUE"""),"")</f>
        <v/>
      </c>
      <c r="R500" s="259" t="str">
        <f>IFERROR(__xludf.DUMMYFUNCTION("""COMPUTED_VALUE"""),"")</f>
        <v/>
      </c>
      <c r="S500" s="250" t="str">
        <f t="shared" si="5"/>
        <v/>
      </c>
      <c r="T500" s="254" t="str">
        <f>IFERROR(__xludf.DUMMYFUNCTION("""COMPUTED_VALUE"""),"")</f>
        <v/>
      </c>
      <c r="U500" s="246" t="str">
        <f>IFERROR(__xludf.DUMMYFUNCTION("""COMPUTED_VALUE"""),"")</f>
        <v/>
      </c>
      <c r="V500" s="247" t="str">
        <f t="shared" si="6"/>
        <v/>
      </c>
      <c r="W500" s="255" t="str">
        <f>IFERROR(__xludf.DUMMYFUNCTION("""COMPUTED_VALUE"""),"")</f>
        <v/>
      </c>
      <c r="X500" s="249" t="str">
        <f>IFERROR(__xludf.DUMMYFUNCTION("""COMPUTED_VALUE"""),"")</f>
        <v/>
      </c>
      <c r="Y500" s="250" t="str">
        <f t="shared" si="7"/>
        <v/>
      </c>
    </row>
    <row r="501">
      <c r="A501" s="136" t="s">
        <v>133</v>
      </c>
      <c r="B501" s="136"/>
      <c r="C501" s="136" t="s">
        <v>133</v>
      </c>
      <c r="D501" s="136"/>
      <c r="E501" s="256" t="str">
        <f>IFERROR(__xludf.DUMMYFUNCTION("""COMPUTED_VALUE"""),"")</f>
        <v/>
      </c>
      <c r="F501" s="257" t="str">
        <f>IFERROR(__xludf.DUMMYFUNCTION("""COMPUTED_VALUE"""),"")</f>
        <v/>
      </c>
      <c r="G501" s="247" t="str">
        <f t="shared" si="1"/>
        <v/>
      </c>
      <c r="H501" s="258" t="str">
        <f>IFERROR(__xludf.DUMMYFUNCTION("""COMPUTED_VALUE"""),"")</f>
        <v/>
      </c>
      <c r="I501" s="259" t="str">
        <f>IFERROR(__xludf.DUMMYFUNCTION("""COMPUTED_VALUE"""),"")</f>
        <v/>
      </c>
      <c r="J501" s="250" t="str">
        <f t="shared" si="2"/>
        <v/>
      </c>
      <c r="K501" s="317" t="str">
        <f>IFERROR(__xludf.DUMMYFUNCTION("""COMPUTED_VALUE"""),"")</f>
        <v/>
      </c>
      <c r="L501" s="318" t="str">
        <f>IFERROR(__xludf.DUMMYFUNCTION("""COMPUTED_VALUE"""),"")</f>
        <v/>
      </c>
      <c r="M501" s="253" t="str">
        <f t="shared" si="3"/>
        <v/>
      </c>
      <c r="N501" s="319" t="str">
        <f>IFERROR(__xludf.DUMMYFUNCTION("""COMPUTED_VALUE"""),"")</f>
        <v/>
      </c>
      <c r="O501" s="257" t="str">
        <f>IFERROR(__xludf.DUMMYFUNCTION("""COMPUTED_VALUE"""),"")</f>
        <v/>
      </c>
      <c r="P501" s="247" t="str">
        <f t="shared" si="4"/>
        <v/>
      </c>
      <c r="Q501" s="320" t="str">
        <f>IFERROR(__xludf.DUMMYFUNCTION("""COMPUTED_VALUE"""),"")</f>
        <v/>
      </c>
      <c r="R501" s="259" t="str">
        <f>IFERROR(__xludf.DUMMYFUNCTION("""COMPUTED_VALUE"""),"")</f>
        <v/>
      </c>
      <c r="S501" s="250" t="str">
        <f t="shared" si="5"/>
        <v/>
      </c>
      <c r="T501" s="254" t="str">
        <f>IFERROR(__xludf.DUMMYFUNCTION("""COMPUTED_VALUE"""),"")</f>
        <v/>
      </c>
      <c r="U501" s="246" t="str">
        <f>IFERROR(__xludf.DUMMYFUNCTION("""COMPUTED_VALUE"""),"")</f>
        <v/>
      </c>
      <c r="V501" s="247" t="str">
        <f t="shared" si="6"/>
        <v/>
      </c>
      <c r="W501" s="255" t="str">
        <f>IFERROR(__xludf.DUMMYFUNCTION("""COMPUTED_VALUE"""),"")</f>
        <v/>
      </c>
      <c r="X501" s="249" t="str">
        <f>IFERROR(__xludf.DUMMYFUNCTION("""COMPUTED_VALUE"""),"")</f>
        <v/>
      </c>
      <c r="Y501" s="250" t="str">
        <f t="shared" si="7"/>
        <v/>
      </c>
    </row>
    <row r="502">
      <c r="A502" s="136" t="s">
        <v>133</v>
      </c>
      <c r="B502" s="136"/>
      <c r="C502" s="136" t="s">
        <v>133</v>
      </c>
      <c r="D502" s="136"/>
      <c r="E502" s="256" t="str">
        <f>IFERROR(__xludf.DUMMYFUNCTION("""COMPUTED_VALUE"""),"")</f>
        <v/>
      </c>
      <c r="F502" s="257" t="str">
        <f>IFERROR(__xludf.DUMMYFUNCTION("""COMPUTED_VALUE"""),"")</f>
        <v/>
      </c>
      <c r="G502" s="247" t="str">
        <f t="shared" si="1"/>
        <v/>
      </c>
      <c r="H502" s="258" t="str">
        <f>IFERROR(__xludf.DUMMYFUNCTION("""COMPUTED_VALUE"""),"")</f>
        <v/>
      </c>
      <c r="I502" s="259" t="str">
        <f>IFERROR(__xludf.DUMMYFUNCTION("""COMPUTED_VALUE"""),"")</f>
        <v/>
      </c>
      <c r="J502" s="250" t="str">
        <f t="shared" si="2"/>
        <v/>
      </c>
      <c r="K502" s="317" t="str">
        <f>IFERROR(__xludf.DUMMYFUNCTION("""COMPUTED_VALUE"""),"")</f>
        <v/>
      </c>
      <c r="L502" s="318" t="str">
        <f>IFERROR(__xludf.DUMMYFUNCTION("""COMPUTED_VALUE"""),"")</f>
        <v/>
      </c>
      <c r="M502" s="253" t="str">
        <f t="shared" si="3"/>
        <v/>
      </c>
      <c r="N502" s="319" t="str">
        <f>IFERROR(__xludf.DUMMYFUNCTION("""COMPUTED_VALUE"""),"")</f>
        <v/>
      </c>
      <c r="O502" s="257" t="str">
        <f>IFERROR(__xludf.DUMMYFUNCTION("""COMPUTED_VALUE"""),"")</f>
        <v/>
      </c>
      <c r="P502" s="247" t="str">
        <f t="shared" si="4"/>
        <v/>
      </c>
      <c r="Q502" s="320" t="str">
        <f>IFERROR(__xludf.DUMMYFUNCTION("""COMPUTED_VALUE"""),"")</f>
        <v/>
      </c>
      <c r="R502" s="259" t="str">
        <f>IFERROR(__xludf.DUMMYFUNCTION("""COMPUTED_VALUE"""),"")</f>
        <v/>
      </c>
      <c r="S502" s="250" t="str">
        <f t="shared" si="5"/>
        <v/>
      </c>
      <c r="T502" s="254" t="str">
        <f>IFERROR(__xludf.DUMMYFUNCTION("""COMPUTED_VALUE"""),"")</f>
        <v/>
      </c>
      <c r="U502" s="246" t="str">
        <f>IFERROR(__xludf.DUMMYFUNCTION("""COMPUTED_VALUE"""),"")</f>
        <v/>
      </c>
      <c r="V502" s="247" t="str">
        <f t="shared" si="6"/>
        <v/>
      </c>
      <c r="W502" s="255" t="str">
        <f>IFERROR(__xludf.DUMMYFUNCTION("""COMPUTED_VALUE"""),"")</f>
        <v/>
      </c>
      <c r="X502" s="249" t="str">
        <f>IFERROR(__xludf.DUMMYFUNCTION("""COMPUTED_VALUE"""),"")</f>
        <v/>
      </c>
      <c r="Y502" s="250" t="str">
        <f t="shared" si="7"/>
        <v/>
      </c>
    </row>
    <row r="503">
      <c r="A503" s="136" t="s">
        <v>133</v>
      </c>
      <c r="B503" s="136"/>
      <c r="C503" s="136" t="s">
        <v>133</v>
      </c>
      <c r="D503" s="136"/>
      <c r="E503" s="256" t="str">
        <f>IFERROR(__xludf.DUMMYFUNCTION("""COMPUTED_VALUE"""),"")</f>
        <v/>
      </c>
      <c r="F503" s="257" t="str">
        <f>IFERROR(__xludf.DUMMYFUNCTION("""COMPUTED_VALUE"""),"")</f>
        <v/>
      </c>
      <c r="G503" s="247" t="str">
        <f t="shared" si="1"/>
        <v/>
      </c>
      <c r="H503" s="258" t="str">
        <f>IFERROR(__xludf.DUMMYFUNCTION("""COMPUTED_VALUE"""),"")</f>
        <v/>
      </c>
      <c r="I503" s="259" t="str">
        <f>IFERROR(__xludf.DUMMYFUNCTION("""COMPUTED_VALUE"""),"")</f>
        <v/>
      </c>
      <c r="J503" s="250" t="str">
        <f t="shared" si="2"/>
        <v/>
      </c>
      <c r="K503" s="317" t="str">
        <f>IFERROR(__xludf.DUMMYFUNCTION("""COMPUTED_VALUE"""),"")</f>
        <v/>
      </c>
      <c r="L503" s="318" t="str">
        <f>IFERROR(__xludf.DUMMYFUNCTION("""COMPUTED_VALUE"""),"")</f>
        <v/>
      </c>
      <c r="M503" s="253" t="str">
        <f t="shared" si="3"/>
        <v/>
      </c>
      <c r="N503" s="319" t="str">
        <f>IFERROR(__xludf.DUMMYFUNCTION("""COMPUTED_VALUE"""),"")</f>
        <v/>
      </c>
      <c r="O503" s="257" t="str">
        <f>IFERROR(__xludf.DUMMYFUNCTION("""COMPUTED_VALUE"""),"")</f>
        <v/>
      </c>
      <c r="P503" s="247" t="str">
        <f t="shared" si="4"/>
        <v/>
      </c>
      <c r="Q503" s="320" t="str">
        <f>IFERROR(__xludf.DUMMYFUNCTION("""COMPUTED_VALUE"""),"")</f>
        <v/>
      </c>
      <c r="R503" s="259" t="str">
        <f>IFERROR(__xludf.DUMMYFUNCTION("""COMPUTED_VALUE"""),"")</f>
        <v/>
      </c>
      <c r="S503" s="250" t="str">
        <f t="shared" si="5"/>
        <v/>
      </c>
      <c r="T503" s="254" t="str">
        <f>IFERROR(__xludf.DUMMYFUNCTION("""COMPUTED_VALUE"""),"")</f>
        <v/>
      </c>
      <c r="U503" s="246" t="str">
        <f>IFERROR(__xludf.DUMMYFUNCTION("""COMPUTED_VALUE"""),"")</f>
        <v/>
      </c>
      <c r="V503" s="247" t="str">
        <f t="shared" si="6"/>
        <v/>
      </c>
      <c r="W503" s="255" t="str">
        <f>IFERROR(__xludf.DUMMYFUNCTION("""COMPUTED_VALUE"""),"")</f>
        <v/>
      </c>
      <c r="X503" s="249" t="str">
        <f>IFERROR(__xludf.DUMMYFUNCTION("""COMPUTED_VALUE"""),"")</f>
        <v/>
      </c>
      <c r="Y503" s="250" t="str">
        <f t="shared" si="7"/>
        <v/>
      </c>
    </row>
    <row r="504">
      <c r="A504" s="136" t="s">
        <v>133</v>
      </c>
      <c r="B504" s="136"/>
      <c r="C504" s="136" t="s">
        <v>133</v>
      </c>
      <c r="D504" s="136"/>
      <c r="E504" s="256" t="str">
        <f>IFERROR(__xludf.DUMMYFUNCTION("""COMPUTED_VALUE"""),"")</f>
        <v/>
      </c>
      <c r="F504" s="257" t="str">
        <f>IFERROR(__xludf.DUMMYFUNCTION("""COMPUTED_VALUE"""),"")</f>
        <v/>
      </c>
      <c r="G504" s="247" t="str">
        <f t="shared" si="1"/>
        <v/>
      </c>
      <c r="H504" s="258" t="str">
        <f>IFERROR(__xludf.DUMMYFUNCTION("""COMPUTED_VALUE"""),"")</f>
        <v/>
      </c>
      <c r="I504" s="259" t="str">
        <f>IFERROR(__xludf.DUMMYFUNCTION("""COMPUTED_VALUE"""),"")</f>
        <v/>
      </c>
      <c r="J504" s="250" t="str">
        <f t="shared" si="2"/>
        <v/>
      </c>
      <c r="K504" s="317" t="str">
        <f>IFERROR(__xludf.DUMMYFUNCTION("""COMPUTED_VALUE"""),"")</f>
        <v/>
      </c>
      <c r="L504" s="318" t="str">
        <f>IFERROR(__xludf.DUMMYFUNCTION("""COMPUTED_VALUE"""),"")</f>
        <v/>
      </c>
      <c r="M504" s="253" t="str">
        <f t="shared" si="3"/>
        <v/>
      </c>
      <c r="N504" s="319" t="str">
        <f>IFERROR(__xludf.DUMMYFUNCTION("""COMPUTED_VALUE"""),"")</f>
        <v/>
      </c>
      <c r="O504" s="257" t="str">
        <f>IFERROR(__xludf.DUMMYFUNCTION("""COMPUTED_VALUE"""),"")</f>
        <v/>
      </c>
      <c r="P504" s="247" t="str">
        <f t="shared" si="4"/>
        <v/>
      </c>
      <c r="Q504" s="320" t="str">
        <f>IFERROR(__xludf.DUMMYFUNCTION("""COMPUTED_VALUE"""),"")</f>
        <v/>
      </c>
      <c r="R504" s="259" t="str">
        <f>IFERROR(__xludf.DUMMYFUNCTION("""COMPUTED_VALUE"""),"")</f>
        <v/>
      </c>
      <c r="S504" s="250" t="str">
        <f t="shared" si="5"/>
        <v/>
      </c>
      <c r="T504" s="254" t="str">
        <f>IFERROR(__xludf.DUMMYFUNCTION("""COMPUTED_VALUE"""),"")</f>
        <v/>
      </c>
      <c r="U504" s="246" t="str">
        <f>IFERROR(__xludf.DUMMYFUNCTION("""COMPUTED_VALUE"""),"")</f>
        <v/>
      </c>
      <c r="V504" s="247" t="str">
        <f t="shared" si="6"/>
        <v/>
      </c>
      <c r="W504" s="255" t="str">
        <f>IFERROR(__xludf.DUMMYFUNCTION("""COMPUTED_VALUE"""),"")</f>
        <v/>
      </c>
      <c r="X504" s="249" t="str">
        <f>IFERROR(__xludf.DUMMYFUNCTION("""COMPUTED_VALUE"""),"")</f>
        <v/>
      </c>
      <c r="Y504" s="250" t="str">
        <f t="shared" si="7"/>
        <v/>
      </c>
    </row>
    <row r="505">
      <c r="A505" s="136" t="s">
        <v>133</v>
      </c>
      <c r="B505" s="136"/>
      <c r="C505" s="136" t="s">
        <v>133</v>
      </c>
      <c r="D505" s="136"/>
      <c r="E505" s="256" t="str">
        <f>IFERROR(__xludf.DUMMYFUNCTION("""COMPUTED_VALUE"""),"")</f>
        <v/>
      </c>
      <c r="F505" s="257" t="str">
        <f>IFERROR(__xludf.DUMMYFUNCTION("""COMPUTED_VALUE"""),"")</f>
        <v/>
      </c>
      <c r="G505" s="247" t="str">
        <f t="shared" si="1"/>
        <v/>
      </c>
      <c r="H505" s="258" t="str">
        <f>IFERROR(__xludf.DUMMYFUNCTION("""COMPUTED_VALUE"""),"")</f>
        <v/>
      </c>
      <c r="I505" s="259" t="str">
        <f>IFERROR(__xludf.DUMMYFUNCTION("""COMPUTED_VALUE"""),"")</f>
        <v/>
      </c>
      <c r="J505" s="250" t="str">
        <f t="shared" si="2"/>
        <v/>
      </c>
      <c r="K505" s="317" t="str">
        <f>IFERROR(__xludf.DUMMYFUNCTION("""COMPUTED_VALUE"""),"")</f>
        <v/>
      </c>
      <c r="L505" s="318" t="str">
        <f>IFERROR(__xludf.DUMMYFUNCTION("""COMPUTED_VALUE"""),"")</f>
        <v/>
      </c>
      <c r="M505" s="253" t="str">
        <f t="shared" si="3"/>
        <v/>
      </c>
      <c r="N505" s="319" t="str">
        <f>IFERROR(__xludf.DUMMYFUNCTION("""COMPUTED_VALUE"""),"")</f>
        <v/>
      </c>
      <c r="O505" s="257" t="str">
        <f>IFERROR(__xludf.DUMMYFUNCTION("""COMPUTED_VALUE"""),"")</f>
        <v/>
      </c>
      <c r="P505" s="247" t="str">
        <f t="shared" si="4"/>
        <v/>
      </c>
      <c r="Q505" s="320" t="str">
        <f>IFERROR(__xludf.DUMMYFUNCTION("""COMPUTED_VALUE"""),"")</f>
        <v/>
      </c>
      <c r="R505" s="259" t="str">
        <f>IFERROR(__xludf.DUMMYFUNCTION("""COMPUTED_VALUE"""),"")</f>
        <v/>
      </c>
      <c r="S505" s="250" t="str">
        <f t="shared" si="5"/>
        <v/>
      </c>
      <c r="T505" s="254" t="str">
        <f>IFERROR(__xludf.DUMMYFUNCTION("""COMPUTED_VALUE"""),"")</f>
        <v/>
      </c>
      <c r="U505" s="246" t="str">
        <f>IFERROR(__xludf.DUMMYFUNCTION("""COMPUTED_VALUE"""),"")</f>
        <v/>
      </c>
      <c r="V505" s="247" t="str">
        <f t="shared" si="6"/>
        <v/>
      </c>
      <c r="W505" s="255" t="str">
        <f>IFERROR(__xludf.DUMMYFUNCTION("""COMPUTED_VALUE"""),"")</f>
        <v/>
      </c>
      <c r="X505" s="249" t="str">
        <f>IFERROR(__xludf.DUMMYFUNCTION("""COMPUTED_VALUE"""),"")</f>
        <v/>
      </c>
      <c r="Y505" s="250" t="str">
        <f t="shared" si="7"/>
        <v/>
      </c>
    </row>
    <row r="506">
      <c r="A506" s="136" t="s">
        <v>133</v>
      </c>
      <c r="B506" s="136"/>
      <c r="C506" s="136" t="s">
        <v>133</v>
      </c>
      <c r="D506" s="136"/>
      <c r="E506" s="256" t="str">
        <f>IFERROR(__xludf.DUMMYFUNCTION("""COMPUTED_VALUE"""),"")</f>
        <v/>
      </c>
      <c r="F506" s="257" t="str">
        <f>IFERROR(__xludf.DUMMYFUNCTION("""COMPUTED_VALUE"""),"")</f>
        <v/>
      </c>
      <c r="G506" s="247" t="str">
        <f t="shared" si="1"/>
        <v/>
      </c>
      <c r="H506" s="258" t="str">
        <f>IFERROR(__xludf.DUMMYFUNCTION("""COMPUTED_VALUE"""),"")</f>
        <v/>
      </c>
      <c r="I506" s="259" t="str">
        <f>IFERROR(__xludf.DUMMYFUNCTION("""COMPUTED_VALUE"""),"")</f>
        <v/>
      </c>
      <c r="J506" s="250" t="str">
        <f t="shared" si="2"/>
        <v/>
      </c>
      <c r="K506" s="317" t="str">
        <f>IFERROR(__xludf.DUMMYFUNCTION("""COMPUTED_VALUE"""),"")</f>
        <v/>
      </c>
      <c r="L506" s="318" t="str">
        <f>IFERROR(__xludf.DUMMYFUNCTION("""COMPUTED_VALUE"""),"")</f>
        <v/>
      </c>
      <c r="M506" s="253" t="str">
        <f t="shared" si="3"/>
        <v/>
      </c>
      <c r="N506" s="319" t="str">
        <f>IFERROR(__xludf.DUMMYFUNCTION("""COMPUTED_VALUE"""),"")</f>
        <v/>
      </c>
      <c r="O506" s="257" t="str">
        <f>IFERROR(__xludf.DUMMYFUNCTION("""COMPUTED_VALUE"""),"")</f>
        <v/>
      </c>
      <c r="P506" s="247" t="str">
        <f t="shared" si="4"/>
        <v/>
      </c>
      <c r="Q506" s="320" t="str">
        <f>IFERROR(__xludf.DUMMYFUNCTION("""COMPUTED_VALUE"""),"")</f>
        <v/>
      </c>
      <c r="R506" s="259" t="str">
        <f>IFERROR(__xludf.DUMMYFUNCTION("""COMPUTED_VALUE"""),"")</f>
        <v/>
      </c>
      <c r="S506" s="250" t="str">
        <f t="shared" si="5"/>
        <v/>
      </c>
      <c r="T506" s="254" t="str">
        <f>IFERROR(__xludf.DUMMYFUNCTION("""COMPUTED_VALUE"""),"")</f>
        <v/>
      </c>
      <c r="U506" s="246" t="str">
        <f>IFERROR(__xludf.DUMMYFUNCTION("""COMPUTED_VALUE"""),"")</f>
        <v/>
      </c>
      <c r="V506" s="247" t="str">
        <f t="shared" si="6"/>
        <v/>
      </c>
      <c r="W506" s="255" t="str">
        <f>IFERROR(__xludf.DUMMYFUNCTION("""COMPUTED_VALUE"""),"")</f>
        <v/>
      </c>
      <c r="X506" s="249" t="str">
        <f>IFERROR(__xludf.DUMMYFUNCTION("""COMPUTED_VALUE"""),"")</f>
        <v/>
      </c>
      <c r="Y506" s="250" t="str">
        <f t="shared" si="7"/>
        <v/>
      </c>
    </row>
    <row r="507">
      <c r="A507" s="136" t="s">
        <v>133</v>
      </c>
      <c r="B507" s="136"/>
      <c r="C507" s="136" t="s">
        <v>133</v>
      </c>
      <c r="D507" s="136"/>
      <c r="E507" s="256" t="str">
        <f>IFERROR(__xludf.DUMMYFUNCTION("""COMPUTED_VALUE"""),"")</f>
        <v/>
      </c>
      <c r="F507" s="257" t="str">
        <f>IFERROR(__xludf.DUMMYFUNCTION("""COMPUTED_VALUE"""),"")</f>
        <v/>
      </c>
      <c r="G507" s="247" t="str">
        <f t="shared" si="1"/>
        <v/>
      </c>
      <c r="H507" s="258" t="str">
        <f>IFERROR(__xludf.DUMMYFUNCTION("""COMPUTED_VALUE"""),"")</f>
        <v/>
      </c>
      <c r="I507" s="259" t="str">
        <f>IFERROR(__xludf.DUMMYFUNCTION("""COMPUTED_VALUE"""),"")</f>
        <v/>
      </c>
      <c r="J507" s="250" t="str">
        <f t="shared" si="2"/>
        <v/>
      </c>
      <c r="K507" s="317" t="str">
        <f>IFERROR(__xludf.DUMMYFUNCTION("""COMPUTED_VALUE"""),"")</f>
        <v/>
      </c>
      <c r="L507" s="318" t="str">
        <f>IFERROR(__xludf.DUMMYFUNCTION("""COMPUTED_VALUE"""),"")</f>
        <v/>
      </c>
      <c r="M507" s="253" t="str">
        <f t="shared" si="3"/>
        <v/>
      </c>
      <c r="N507" s="319" t="str">
        <f>IFERROR(__xludf.DUMMYFUNCTION("""COMPUTED_VALUE"""),"")</f>
        <v/>
      </c>
      <c r="O507" s="257" t="str">
        <f>IFERROR(__xludf.DUMMYFUNCTION("""COMPUTED_VALUE"""),"")</f>
        <v/>
      </c>
      <c r="P507" s="247" t="str">
        <f t="shared" si="4"/>
        <v/>
      </c>
      <c r="Q507" s="320" t="str">
        <f>IFERROR(__xludf.DUMMYFUNCTION("""COMPUTED_VALUE"""),"")</f>
        <v/>
      </c>
      <c r="R507" s="259" t="str">
        <f>IFERROR(__xludf.DUMMYFUNCTION("""COMPUTED_VALUE"""),"")</f>
        <v/>
      </c>
      <c r="S507" s="250" t="str">
        <f t="shared" si="5"/>
        <v/>
      </c>
      <c r="T507" s="254" t="str">
        <f>IFERROR(__xludf.DUMMYFUNCTION("""COMPUTED_VALUE"""),"")</f>
        <v/>
      </c>
      <c r="U507" s="246" t="str">
        <f>IFERROR(__xludf.DUMMYFUNCTION("""COMPUTED_VALUE"""),"")</f>
        <v/>
      </c>
      <c r="V507" s="247" t="str">
        <f t="shared" si="6"/>
        <v/>
      </c>
      <c r="W507" s="255" t="str">
        <f>IFERROR(__xludf.DUMMYFUNCTION("""COMPUTED_VALUE"""),"")</f>
        <v/>
      </c>
      <c r="X507" s="249" t="str">
        <f>IFERROR(__xludf.DUMMYFUNCTION("""COMPUTED_VALUE"""),"")</f>
        <v/>
      </c>
      <c r="Y507" s="250" t="str">
        <f t="shared" si="7"/>
        <v/>
      </c>
    </row>
    <row r="508">
      <c r="A508" s="136" t="s">
        <v>133</v>
      </c>
      <c r="B508" s="136"/>
      <c r="C508" s="136" t="s">
        <v>133</v>
      </c>
      <c r="D508" s="136"/>
      <c r="E508" s="256" t="str">
        <f>IFERROR(__xludf.DUMMYFUNCTION("""COMPUTED_VALUE"""),"")</f>
        <v/>
      </c>
      <c r="F508" s="257" t="str">
        <f>IFERROR(__xludf.DUMMYFUNCTION("""COMPUTED_VALUE"""),"")</f>
        <v/>
      </c>
      <c r="G508" s="247" t="str">
        <f t="shared" si="1"/>
        <v/>
      </c>
      <c r="H508" s="258" t="str">
        <f>IFERROR(__xludf.DUMMYFUNCTION("""COMPUTED_VALUE"""),"")</f>
        <v/>
      </c>
      <c r="I508" s="259" t="str">
        <f>IFERROR(__xludf.DUMMYFUNCTION("""COMPUTED_VALUE"""),"")</f>
        <v/>
      </c>
      <c r="J508" s="250" t="str">
        <f t="shared" si="2"/>
        <v/>
      </c>
      <c r="K508" s="317" t="str">
        <f>IFERROR(__xludf.DUMMYFUNCTION("""COMPUTED_VALUE"""),"")</f>
        <v/>
      </c>
      <c r="L508" s="318" t="str">
        <f>IFERROR(__xludf.DUMMYFUNCTION("""COMPUTED_VALUE"""),"")</f>
        <v/>
      </c>
      <c r="M508" s="253" t="str">
        <f t="shared" si="3"/>
        <v/>
      </c>
      <c r="N508" s="319" t="str">
        <f>IFERROR(__xludf.DUMMYFUNCTION("""COMPUTED_VALUE"""),"")</f>
        <v/>
      </c>
      <c r="O508" s="257" t="str">
        <f>IFERROR(__xludf.DUMMYFUNCTION("""COMPUTED_VALUE"""),"")</f>
        <v/>
      </c>
      <c r="P508" s="247" t="str">
        <f t="shared" si="4"/>
        <v/>
      </c>
      <c r="Q508" s="320" t="str">
        <f>IFERROR(__xludf.DUMMYFUNCTION("""COMPUTED_VALUE"""),"")</f>
        <v/>
      </c>
      <c r="R508" s="259" t="str">
        <f>IFERROR(__xludf.DUMMYFUNCTION("""COMPUTED_VALUE"""),"")</f>
        <v/>
      </c>
      <c r="S508" s="250" t="str">
        <f t="shared" si="5"/>
        <v/>
      </c>
      <c r="T508" s="254" t="str">
        <f>IFERROR(__xludf.DUMMYFUNCTION("""COMPUTED_VALUE"""),"")</f>
        <v/>
      </c>
      <c r="U508" s="246" t="str">
        <f>IFERROR(__xludf.DUMMYFUNCTION("""COMPUTED_VALUE"""),"")</f>
        <v/>
      </c>
      <c r="V508" s="247" t="str">
        <f t="shared" si="6"/>
        <v/>
      </c>
      <c r="W508" s="255" t="str">
        <f>IFERROR(__xludf.DUMMYFUNCTION("""COMPUTED_VALUE"""),"")</f>
        <v/>
      </c>
      <c r="X508" s="249" t="str">
        <f>IFERROR(__xludf.DUMMYFUNCTION("""COMPUTED_VALUE"""),"")</f>
        <v/>
      </c>
      <c r="Y508" s="250" t="str">
        <f t="shared" si="7"/>
        <v/>
      </c>
    </row>
    <row r="509">
      <c r="A509" s="136" t="s">
        <v>133</v>
      </c>
      <c r="B509" s="136"/>
      <c r="C509" s="136" t="s">
        <v>133</v>
      </c>
      <c r="D509" s="136"/>
      <c r="E509" s="256" t="str">
        <f>IFERROR(__xludf.DUMMYFUNCTION("""COMPUTED_VALUE"""),"")</f>
        <v/>
      </c>
      <c r="F509" s="257" t="str">
        <f>IFERROR(__xludf.DUMMYFUNCTION("""COMPUTED_VALUE"""),"")</f>
        <v/>
      </c>
      <c r="G509" s="247" t="str">
        <f t="shared" si="1"/>
        <v/>
      </c>
      <c r="H509" s="258" t="str">
        <f>IFERROR(__xludf.DUMMYFUNCTION("""COMPUTED_VALUE"""),"")</f>
        <v/>
      </c>
      <c r="I509" s="259" t="str">
        <f>IFERROR(__xludf.DUMMYFUNCTION("""COMPUTED_VALUE"""),"")</f>
        <v/>
      </c>
      <c r="J509" s="250" t="str">
        <f t="shared" si="2"/>
        <v/>
      </c>
      <c r="K509" s="317" t="str">
        <f>IFERROR(__xludf.DUMMYFUNCTION("""COMPUTED_VALUE"""),"")</f>
        <v/>
      </c>
      <c r="L509" s="318" t="str">
        <f>IFERROR(__xludf.DUMMYFUNCTION("""COMPUTED_VALUE"""),"")</f>
        <v/>
      </c>
      <c r="M509" s="253" t="str">
        <f t="shared" si="3"/>
        <v/>
      </c>
      <c r="N509" s="319" t="str">
        <f>IFERROR(__xludf.DUMMYFUNCTION("""COMPUTED_VALUE"""),"")</f>
        <v/>
      </c>
      <c r="O509" s="257" t="str">
        <f>IFERROR(__xludf.DUMMYFUNCTION("""COMPUTED_VALUE"""),"")</f>
        <v/>
      </c>
      <c r="P509" s="247" t="str">
        <f t="shared" si="4"/>
        <v/>
      </c>
      <c r="Q509" s="320" t="str">
        <f>IFERROR(__xludf.DUMMYFUNCTION("""COMPUTED_VALUE"""),"")</f>
        <v/>
      </c>
      <c r="R509" s="259" t="str">
        <f>IFERROR(__xludf.DUMMYFUNCTION("""COMPUTED_VALUE"""),"")</f>
        <v/>
      </c>
      <c r="S509" s="250" t="str">
        <f t="shared" si="5"/>
        <v/>
      </c>
      <c r="T509" s="254" t="str">
        <f>IFERROR(__xludf.DUMMYFUNCTION("""COMPUTED_VALUE"""),"")</f>
        <v/>
      </c>
      <c r="U509" s="246" t="str">
        <f>IFERROR(__xludf.DUMMYFUNCTION("""COMPUTED_VALUE"""),"")</f>
        <v/>
      </c>
      <c r="V509" s="247" t="str">
        <f t="shared" si="6"/>
        <v/>
      </c>
      <c r="W509" s="255" t="str">
        <f>IFERROR(__xludf.DUMMYFUNCTION("""COMPUTED_VALUE"""),"")</f>
        <v/>
      </c>
      <c r="X509" s="249" t="str">
        <f>IFERROR(__xludf.DUMMYFUNCTION("""COMPUTED_VALUE"""),"")</f>
        <v/>
      </c>
      <c r="Y509" s="250" t="str">
        <f t="shared" si="7"/>
        <v/>
      </c>
    </row>
    <row r="510">
      <c r="A510" s="136" t="s">
        <v>133</v>
      </c>
      <c r="B510" s="136"/>
      <c r="C510" s="136" t="s">
        <v>133</v>
      </c>
      <c r="D510" s="136"/>
      <c r="E510" s="256" t="str">
        <f>IFERROR(__xludf.DUMMYFUNCTION("""COMPUTED_VALUE"""),"")</f>
        <v/>
      </c>
      <c r="F510" s="257" t="str">
        <f>IFERROR(__xludf.DUMMYFUNCTION("""COMPUTED_VALUE"""),"")</f>
        <v/>
      </c>
      <c r="G510" s="247" t="str">
        <f t="shared" si="1"/>
        <v/>
      </c>
      <c r="H510" s="258" t="str">
        <f>IFERROR(__xludf.DUMMYFUNCTION("""COMPUTED_VALUE"""),"")</f>
        <v/>
      </c>
      <c r="I510" s="259" t="str">
        <f>IFERROR(__xludf.DUMMYFUNCTION("""COMPUTED_VALUE"""),"")</f>
        <v/>
      </c>
      <c r="J510" s="250" t="str">
        <f t="shared" si="2"/>
        <v/>
      </c>
      <c r="K510" s="317" t="str">
        <f>IFERROR(__xludf.DUMMYFUNCTION("""COMPUTED_VALUE"""),"")</f>
        <v/>
      </c>
      <c r="L510" s="318" t="str">
        <f>IFERROR(__xludf.DUMMYFUNCTION("""COMPUTED_VALUE"""),"")</f>
        <v/>
      </c>
      <c r="M510" s="253" t="str">
        <f t="shared" si="3"/>
        <v/>
      </c>
      <c r="N510" s="319" t="str">
        <f>IFERROR(__xludf.DUMMYFUNCTION("""COMPUTED_VALUE"""),"")</f>
        <v/>
      </c>
      <c r="O510" s="257" t="str">
        <f>IFERROR(__xludf.DUMMYFUNCTION("""COMPUTED_VALUE"""),"")</f>
        <v/>
      </c>
      <c r="P510" s="247" t="str">
        <f t="shared" si="4"/>
        <v/>
      </c>
      <c r="Q510" s="320" t="str">
        <f>IFERROR(__xludf.DUMMYFUNCTION("""COMPUTED_VALUE"""),"")</f>
        <v/>
      </c>
      <c r="R510" s="259" t="str">
        <f>IFERROR(__xludf.DUMMYFUNCTION("""COMPUTED_VALUE"""),"")</f>
        <v/>
      </c>
      <c r="S510" s="250" t="str">
        <f t="shared" si="5"/>
        <v/>
      </c>
      <c r="T510" s="254" t="str">
        <f>IFERROR(__xludf.DUMMYFUNCTION("""COMPUTED_VALUE"""),"")</f>
        <v/>
      </c>
      <c r="U510" s="246" t="str">
        <f>IFERROR(__xludf.DUMMYFUNCTION("""COMPUTED_VALUE"""),"")</f>
        <v/>
      </c>
      <c r="V510" s="247" t="str">
        <f t="shared" si="6"/>
        <v/>
      </c>
      <c r="W510" s="255" t="str">
        <f>IFERROR(__xludf.DUMMYFUNCTION("""COMPUTED_VALUE"""),"")</f>
        <v/>
      </c>
      <c r="X510" s="249" t="str">
        <f>IFERROR(__xludf.DUMMYFUNCTION("""COMPUTED_VALUE"""),"")</f>
        <v/>
      </c>
      <c r="Y510" s="250" t="str">
        <f t="shared" si="7"/>
        <v/>
      </c>
    </row>
    <row r="511">
      <c r="A511" s="136" t="s">
        <v>133</v>
      </c>
      <c r="B511" s="136"/>
      <c r="C511" s="136" t="s">
        <v>133</v>
      </c>
      <c r="D511" s="136"/>
      <c r="E511" s="256" t="str">
        <f>IFERROR(__xludf.DUMMYFUNCTION("""COMPUTED_VALUE"""),"")</f>
        <v/>
      </c>
      <c r="F511" s="257" t="str">
        <f>IFERROR(__xludf.DUMMYFUNCTION("""COMPUTED_VALUE"""),"")</f>
        <v/>
      </c>
      <c r="G511" s="247" t="str">
        <f t="shared" si="1"/>
        <v/>
      </c>
      <c r="H511" s="258" t="str">
        <f>IFERROR(__xludf.DUMMYFUNCTION("""COMPUTED_VALUE"""),"")</f>
        <v/>
      </c>
      <c r="I511" s="259" t="str">
        <f>IFERROR(__xludf.DUMMYFUNCTION("""COMPUTED_VALUE"""),"")</f>
        <v/>
      </c>
      <c r="J511" s="250" t="str">
        <f t="shared" si="2"/>
        <v/>
      </c>
      <c r="K511" s="317" t="str">
        <f>IFERROR(__xludf.DUMMYFUNCTION("""COMPUTED_VALUE"""),"")</f>
        <v/>
      </c>
      <c r="L511" s="318" t="str">
        <f>IFERROR(__xludf.DUMMYFUNCTION("""COMPUTED_VALUE"""),"")</f>
        <v/>
      </c>
      <c r="M511" s="253" t="str">
        <f t="shared" si="3"/>
        <v/>
      </c>
      <c r="N511" s="319" t="str">
        <f>IFERROR(__xludf.DUMMYFUNCTION("""COMPUTED_VALUE"""),"")</f>
        <v/>
      </c>
      <c r="O511" s="257" t="str">
        <f>IFERROR(__xludf.DUMMYFUNCTION("""COMPUTED_VALUE"""),"")</f>
        <v/>
      </c>
      <c r="P511" s="247" t="str">
        <f t="shared" si="4"/>
        <v/>
      </c>
      <c r="Q511" s="320" t="str">
        <f>IFERROR(__xludf.DUMMYFUNCTION("""COMPUTED_VALUE"""),"")</f>
        <v/>
      </c>
      <c r="R511" s="259" t="str">
        <f>IFERROR(__xludf.DUMMYFUNCTION("""COMPUTED_VALUE"""),"")</f>
        <v/>
      </c>
      <c r="S511" s="250" t="str">
        <f t="shared" si="5"/>
        <v/>
      </c>
      <c r="T511" s="254" t="str">
        <f>IFERROR(__xludf.DUMMYFUNCTION("""COMPUTED_VALUE"""),"")</f>
        <v/>
      </c>
      <c r="U511" s="246" t="str">
        <f>IFERROR(__xludf.DUMMYFUNCTION("""COMPUTED_VALUE"""),"")</f>
        <v/>
      </c>
      <c r="V511" s="247" t="str">
        <f t="shared" si="6"/>
        <v/>
      </c>
      <c r="W511" s="255" t="str">
        <f>IFERROR(__xludf.DUMMYFUNCTION("""COMPUTED_VALUE"""),"")</f>
        <v/>
      </c>
      <c r="X511" s="249" t="str">
        <f>IFERROR(__xludf.DUMMYFUNCTION("""COMPUTED_VALUE"""),"")</f>
        <v/>
      </c>
      <c r="Y511" s="250" t="str">
        <f t="shared" si="7"/>
        <v/>
      </c>
    </row>
    <row r="512">
      <c r="A512" s="136" t="s">
        <v>133</v>
      </c>
      <c r="B512" s="136"/>
      <c r="C512" s="136" t="s">
        <v>133</v>
      </c>
      <c r="D512" s="136"/>
      <c r="E512" s="256" t="str">
        <f>IFERROR(__xludf.DUMMYFUNCTION("""COMPUTED_VALUE"""),"")</f>
        <v/>
      </c>
      <c r="F512" s="257" t="str">
        <f>IFERROR(__xludf.DUMMYFUNCTION("""COMPUTED_VALUE"""),"")</f>
        <v/>
      </c>
      <c r="G512" s="247" t="str">
        <f t="shared" si="1"/>
        <v/>
      </c>
      <c r="H512" s="258" t="str">
        <f>IFERROR(__xludf.DUMMYFUNCTION("""COMPUTED_VALUE"""),"")</f>
        <v/>
      </c>
      <c r="I512" s="259" t="str">
        <f>IFERROR(__xludf.DUMMYFUNCTION("""COMPUTED_VALUE"""),"")</f>
        <v/>
      </c>
      <c r="J512" s="250" t="str">
        <f t="shared" si="2"/>
        <v/>
      </c>
      <c r="K512" s="317" t="str">
        <f>IFERROR(__xludf.DUMMYFUNCTION("""COMPUTED_VALUE"""),"")</f>
        <v/>
      </c>
      <c r="L512" s="318" t="str">
        <f>IFERROR(__xludf.DUMMYFUNCTION("""COMPUTED_VALUE"""),"")</f>
        <v/>
      </c>
      <c r="M512" s="253" t="str">
        <f t="shared" si="3"/>
        <v/>
      </c>
      <c r="N512" s="319" t="str">
        <f>IFERROR(__xludf.DUMMYFUNCTION("""COMPUTED_VALUE"""),"")</f>
        <v/>
      </c>
      <c r="O512" s="257" t="str">
        <f>IFERROR(__xludf.DUMMYFUNCTION("""COMPUTED_VALUE"""),"")</f>
        <v/>
      </c>
      <c r="P512" s="247" t="str">
        <f t="shared" si="4"/>
        <v/>
      </c>
      <c r="Q512" s="320" t="str">
        <f>IFERROR(__xludf.DUMMYFUNCTION("""COMPUTED_VALUE"""),"")</f>
        <v/>
      </c>
      <c r="R512" s="259" t="str">
        <f>IFERROR(__xludf.DUMMYFUNCTION("""COMPUTED_VALUE"""),"")</f>
        <v/>
      </c>
      <c r="S512" s="250" t="str">
        <f t="shared" si="5"/>
        <v/>
      </c>
      <c r="T512" s="254" t="str">
        <f>IFERROR(__xludf.DUMMYFUNCTION("""COMPUTED_VALUE"""),"")</f>
        <v/>
      </c>
      <c r="U512" s="246" t="str">
        <f>IFERROR(__xludf.DUMMYFUNCTION("""COMPUTED_VALUE"""),"")</f>
        <v/>
      </c>
      <c r="V512" s="247" t="str">
        <f t="shared" si="6"/>
        <v/>
      </c>
      <c r="W512" s="255" t="str">
        <f>IFERROR(__xludf.DUMMYFUNCTION("""COMPUTED_VALUE"""),"")</f>
        <v/>
      </c>
      <c r="X512" s="249" t="str">
        <f>IFERROR(__xludf.DUMMYFUNCTION("""COMPUTED_VALUE"""),"")</f>
        <v/>
      </c>
      <c r="Y512" s="250" t="str">
        <f t="shared" si="7"/>
        <v/>
      </c>
    </row>
    <row r="513">
      <c r="A513" s="136" t="s">
        <v>133</v>
      </c>
      <c r="B513" s="136"/>
      <c r="C513" s="136" t="s">
        <v>133</v>
      </c>
      <c r="D513" s="136"/>
      <c r="E513" s="256" t="str">
        <f>IFERROR(__xludf.DUMMYFUNCTION("""COMPUTED_VALUE"""),"")</f>
        <v/>
      </c>
      <c r="F513" s="257" t="str">
        <f>IFERROR(__xludf.DUMMYFUNCTION("""COMPUTED_VALUE"""),"")</f>
        <v/>
      </c>
      <c r="G513" s="247" t="str">
        <f t="shared" si="1"/>
        <v/>
      </c>
      <c r="H513" s="258" t="str">
        <f>IFERROR(__xludf.DUMMYFUNCTION("""COMPUTED_VALUE"""),"")</f>
        <v/>
      </c>
      <c r="I513" s="259" t="str">
        <f>IFERROR(__xludf.DUMMYFUNCTION("""COMPUTED_VALUE"""),"")</f>
        <v/>
      </c>
      <c r="J513" s="250" t="str">
        <f t="shared" si="2"/>
        <v/>
      </c>
      <c r="K513" s="317" t="str">
        <f>IFERROR(__xludf.DUMMYFUNCTION("""COMPUTED_VALUE"""),"")</f>
        <v/>
      </c>
      <c r="L513" s="318" t="str">
        <f>IFERROR(__xludf.DUMMYFUNCTION("""COMPUTED_VALUE"""),"")</f>
        <v/>
      </c>
      <c r="M513" s="253" t="str">
        <f t="shared" si="3"/>
        <v/>
      </c>
      <c r="N513" s="319" t="str">
        <f>IFERROR(__xludf.DUMMYFUNCTION("""COMPUTED_VALUE"""),"")</f>
        <v/>
      </c>
      <c r="O513" s="257" t="str">
        <f>IFERROR(__xludf.DUMMYFUNCTION("""COMPUTED_VALUE"""),"")</f>
        <v/>
      </c>
      <c r="P513" s="247" t="str">
        <f t="shared" si="4"/>
        <v/>
      </c>
      <c r="Q513" s="320" t="str">
        <f>IFERROR(__xludf.DUMMYFUNCTION("""COMPUTED_VALUE"""),"")</f>
        <v/>
      </c>
      <c r="R513" s="259" t="str">
        <f>IFERROR(__xludf.DUMMYFUNCTION("""COMPUTED_VALUE"""),"")</f>
        <v/>
      </c>
      <c r="S513" s="250" t="str">
        <f t="shared" si="5"/>
        <v/>
      </c>
      <c r="T513" s="254" t="str">
        <f>IFERROR(__xludf.DUMMYFUNCTION("""COMPUTED_VALUE"""),"")</f>
        <v/>
      </c>
      <c r="U513" s="246" t="str">
        <f>IFERROR(__xludf.DUMMYFUNCTION("""COMPUTED_VALUE"""),"")</f>
        <v/>
      </c>
      <c r="V513" s="247" t="str">
        <f t="shared" si="6"/>
        <v/>
      </c>
      <c r="W513" s="255" t="str">
        <f>IFERROR(__xludf.DUMMYFUNCTION("""COMPUTED_VALUE"""),"")</f>
        <v/>
      </c>
      <c r="X513" s="249" t="str">
        <f>IFERROR(__xludf.DUMMYFUNCTION("""COMPUTED_VALUE"""),"")</f>
        <v/>
      </c>
      <c r="Y513" s="250" t="str">
        <f t="shared" si="7"/>
        <v/>
      </c>
    </row>
    <row r="514">
      <c r="A514" s="136" t="s">
        <v>133</v>
      </c>
      <c r="B514" s="136"/>
      <c r="C514" s="136" t="s">
        <v>133</v>
      </c>
      <c r="D514" s="136"/>
      <c r="E514" s="256" t="str">
        <f>IFERROR(__xludf.DUMMYFUNCTION("""COMPUTED_VALUE"""),"")</f>
        <v/>
      </c>
      <c r="F514" s="257" t="str">
        <f>IFERROR(__xludf.DUMMYFUNCTION("""COMPUTED_VALUE"""),"")</f>
        <v/>
      </c>
      <c r="G514" s="247" t="str">
        <f t="shared" si="1"/>
        <v/>
      </c>
      <c r="H514" s="258" t="str">
        <f>IFERROR(__xludf.DUMMYFUNCTION("""COMPUTED_VALUE"""),"")</f>
        <v/>
      </c>
      <c r="I514" s="259" t="str">
        <f>IFERROR(__xludf.DUMMYFUNCTION("""COMPUTED_VALUE"""),"")</f>
        <v/>
      </c>
      <c r="J514" s="250" t="str">
        <f t="shared" si="2"/>
        <v/>
      </c>
      <c r="K514" s="317" t="str">
        <f>IFERROR(__xludf.DUMMYFUNCTION("""COMPUTED_VALUE"""),"")</f>
        <v/>
      </c>
      <c r="L514" s="318" t="str">
        <f>IFERROR(__xludf.DUMMYFUNCTION("""COMPUTED_VALUE"""),"")</f>
        <v/>
      </c>
      <c r="M514" s="253" t="str">
        <f t="shared" si="3"/>
        <v/>
      </c>
      <c r="N514" s="319" t="str">
        <f>IFERROR(__xludf.DUMMYFUNCTION("""COMPUTED_VALUE"""),"")</f>
        <v/>
      </c>
      <c r="O514" s="257" t="str">
        <f>IFERROR(__xludf.DUMMYFUNCTION("""COMPUTED_VALUE"""),"")</f>
        <v/>
      </c>
      <c r="P514" s="247" t="str">
        <f t="shared" si="4"/>
        <v/>
      </c>
      <c r="Q514" s="320" t="str">
        <f>IFERROR(__xludf.DUMMYFUNCTION("""COMPUTED_VALUE"""),"")</f>
        <v/>
      </c>
      <c r="R514" s="259" t="str">
        <f>IFERROR(__xludf.DUMMYFUNCTION("""COMPUTED_VALUE"""),"")</f>
        <v/>
      </c>
      <c r="S514" s="250" t="str">
        <f t="shared" si="5"/>
        <v/>
      </c>
      <c r="T514" s="254" t="str">
        <f>IFERROR(__xludf.DUMMYFUNCTION("""COMPUTED_VALUE"""),"")</f>
        <v/>
      </c>
      <c r="U514" s="246" t="str">
        <f>IFERROR(__xludf.DUMMYFUNCTION("""COMPUTED_VALUE"""),"")</f>
        <v/>
      </c>
      <c r="V514" s="247" t="str">
        <f t="shared" si="6"/>
        <v/>
      </c>
      <c r="W514" s="255" t="str">
        <f>IFERROR(__xludf.DUMMYFUNCTION("""COMPUTED_VALUE"""),"")</f>
        <v/>
      </c>
      <c r="X514" s="249" t="str">
        <f>IFERROR(__xludf.DUMMYFUNCTION("""COMPUTED_VALUE"""),"")</f>
        <v/>
      </c>
      <c r="Y514" s="250" t="str">
        <f t="shared" si="7"/>
        <v/>
      </c>
    </row>
    <row r="515">
      <c r="A515" s="136" t="s">
        <v>133</v>
      </c>
      <c r="B515" s="136"/>
      <c r="C515" s="136" t="s">
        <v>133</v>
      </c>
      <c r="D515" s="136"/>
      <c r="E515" s="256" t="str">
        <f>IFERROR(__xludf.DUMMYFUNCTION("""COMPUTED_VALUE"""),"")</f>
        <v/>
      </c>
      <c r="F515" s="257" t="str">
        <f>IFERROR(__xludf.DUMMYFUNCTION("""COMPUTED_VALUE"""),"")</f>
        <v/>
      </c>
      <c r="G515" s="247" t="str">
        <f t="shared" si="1"/>
        <v/>
      </c>
      <c r="H515" s="258" t="str">
        <f>IFERROR(__xludf.DUMMYFUNCTION("""COMPUTED_VALUE"""),"")</f>
        <v/>
      </c>
      <c r="I515" s="259" t="str">
        <f>IFERROR(__xludf.DUMMYFUNCTION("""COMPUTED_VALUE"""),"")</f>
        <v/>
      </c>
      <c r="J515" s="250" t="str">
        <f t="shared" si="2"/>
        <v/>
      </c>
      <c r="K515" s="317" t="str">
        <f>IFERROR(__xludf.DUMMYFUNCTION("""COMPUTED_VALUE"""),"")</f>
        <v/>
      </c>
      <c r="L515" s="318" t="str">
        <f>IFERROR(__xludf.DUMMYFUNCTION("""COMPUTED_VALUE"""),"")</f>
        <v/>
      </c>
      <c r="M515" s="253" t="str">
        <f t="shared" si="3"/>
        <v/>
      </c>
      <c r="N515" s="319" t="str">
        <f>IFERROR(__xludf.DUMMYFUNCTION("""COMPUTED_VALUE"""),"")</f>
        <v/>
      </c>
      <c r="O515" s="257" t="str">
        <f>IFERROR(__xludf.DUMMYFUNCTION("""COMPUTED_VALUE"""),"")</f>
        <v/>
      </c>
      <c r="P515" s="247" t="str">
        <f t="shared" si="4"/>
        <v/>
      </c>
      <c r="Q515" s="320" t="str">
        <f>IFERROR(__xludf.DUMMYFUNCTION("""COMPUTED_VALUE"""),"")</f>
        <v/>
      </c>
      <c r="R515" s="259" t="str">
        <f>IFERROR(__xludf.DUMMYFUNCTION("""COMPUTED_VALUE"""),"")</f>
        <v/>
      </c>
      <c r="S515" s="250" t="str">
        <f t="shared" si="5"/>
        <v/>
      </c>
      <c r="T515" s="254" t="str">
        <f>IFERROR(__xludf.DUMMYFUNCTION("""COMPUTED_VALUE"""),"")</f>
        <v/>
      </c>
      <c r="U515" s="246" t="str">
        <f>IFERROR(__xludf.DUMMYFUNCTION("""COMPUTED_VALUE"""),"")</f>
        <v/>
      </c>
      <c r="V515" s="247" t="str">
        <f t="shared" si="6"/>
        <v/>
      </c>
      <c r="W515" s="255" t="str">
        <f>IFERROR(__xludf.DUMMYFUNCTION("""COMPUTED_VALUE"""),"")</f>
        <v/>
      </c>
      <c r="X515" s="249" t="str">
        <f>IFERROR(__xludf.DUMMYFUNCTION("""COMPUTED_VALUE"""),"")</f>
        <v/>
      </c>
      <c r="Y515" s="250" t="str">
        <f t="shared" si="7"/>
        <v/>
      </c>
    </row>
    <row r="516">
      <c r="A516" s="136" t="s">
        <v>133</v>
      </c>
      <c r="B516" s="136"/>
      <c r="C516" s="136" t="s">
        <v>133</v>
      </c>
      <c r="D516" s="136"/>
      <c r="E516" s="256" t="str">
        <f>IFERROR(__xludf.DUMMYFUNCTION("""COMPUTED_VALUE"""),"")</f>
        <v/>
      </c>
      <c r="F516" s="257" t="str">
        <f>IFERROR(__xludf.DUMMYFUNCTION("""COMPUTED_VALUE"""),"")</f>
        <v/>
      </c>
      <c r="G516" s="247" t="str">
        <f t="shared" si="1"/>
        <v/>
      </c>
      <c r="H516" s="258" t="str">
        <f>IFERROR(__xludf.DUMMYFUNCTION("""COMPUTED_VALUE"""),"")</f>
        <v/>
      </c>
      <c r="I516" s="259" t="str">
        <f>IFERROR(__xludf.DUMMYFUNCTION("""COMPUTED_VALUE"""),"")</f>
        <v/>
      </c>
      <c r="J516" s="250" t="str">
        <f t="shared" si="2"/>
        <v/>
      </c>
      <c r="K516" s="317" t="str">
        <f>IFERROR(__xludf.DUMMYFUNCTION("""COMPUTED_VALUE"""),"")</f>
        <v/>
      </c>
      <c r="L516" s="318" t="str">
        <f>IFERROR(__xludf.DUMMYFUNCTION("""COMPUTED_VALUE"""),"")</f>
        <v/>
      </c>
      <c r="M516" s="253" t="str">
        <f t="shared" si="3"/>
        <v/>
      </c>
      <c r="N516" s="319" t="str">
        <f>IFERROR(__xludf.DUMMYFUNCTION("""COMPUTED_VALUE"""),"")</f>
        <v/>
      </c>
      <c r="O516" s="257" t="str">
        <f>IFERROR(__xludf.DUMMYFUNCTION("""COMPUTED_VALUE"""),"")</f>
        <v/>
      </c>
      <c r="P516" s="247" t="str">
        <f t="shared" si="4"/>
        <v/>
      </c>
      <c r="Q516" s="320" t="str">
        <f>IFERROR(__xludf.DUMMYFUNCTION("""COMPUTED_VALUE"""),"")</f>
        <v/>
      </c>
      <c r="R516" s="259" t="str">
        <f>IFERROR(__xludf.DUMMYFUNCTION("""COMPUTED_VALUE"""),"")</f>
        <v/>
      </c>
      <c r="S516" s="250" t="str">
        <f t="shared" si="5"/>
        <v/>
      </c>
      <c r="T516" s="254" t="str">
        <f>IFERROR(__xludf.DUMMYFUNCTION("""COMPUTED_VALUE"""),"")</f>
        <v/>
      </c>
      <c r="U516" s="246" t="str">
        <f>IFERROR(__xludf.DUMMYFUNCTION("""COMPUTED_VALUE"""),"")</f>
        <v/>
      </c>
      <c r="V516" s="247" t="str">
        <f t="shared" si="6"/>
        <v/>
      </c>
      <c r="W516" s="255" t="str">
        <f>IFERROR(__xludf.DUMMYFUNCTION("""COMPUTED_VALUE"""),"")</f>
        <v/>
      </c>
      <c r="X516" s="249" t="str">
        <f>IFERROR(__xludf.DUMMYFUNCTION("""COMPUTED_VALUE"""),"")</f>
        <v/>
      </c>
      <c r="Y516" s="250" t="str">
        <f t="shared" si="7"/>
        <v/>
      </c>
    </row>
    <row r="517">
      <c r="A517" s="136" t="s">
        <v>133</v>
      </c>
      <c r="B517" s="136"/>
      <c r="C517" s="136" t="s">
        <v>133</v>
      </c>
      <c r="D517" s="136"/>
      <c r="E517" s="256" t="str">
        <f>IFERROR(__xludf.DUMMYFUNCTION("""COMPUTED_VALUE"""),"")</f>
        <v/>
      </c>
      <c r="F517" s="257" t="str">
        <f>IFERROR(__xludf.DUMMYFUNCTION("""COMPUTED_VALUE"""),"")</f>
        <v/>
      </c>
      <c r="G517" s="247" t="str">
        <f t="shared" si="1"/>
        <v/>
      </c>
      <c r="H517" s="258" t="str">
        <f>IFERROR(__xludf.DUMMYFUNCTION("""COMPUTED_VALUE"""),"")</f>
        <v/>
      </c>
      <c r="I517" s="259" t="str">
        <f>IFERROR(__xludf.DUMMYFUNCTION("""COMPUTED_VALUE"""),"")</f>
        <v/>
      </c>
      <c r="J517" s="250" t="str">
        <f t="shared" si="2"/>
        <v/>
      </c>
      <c r="K517" s="317" t="str">
        <f>IFERROR(__xludf.DUMMYFUNCTION("""COMPUTED_VALUE"""),"")</f>
        <v/>
      </c>
      <c r="L517" s="318" t="str">
        <f>IFERROR(__xludf.DUMMYFUNCTION("""COMPUTED_VALUE"""),"")</f>
        <v/>
      </c>
      <c r="M517" s="253" t="str">
        <f t="shared" si="3"/>
        <v/>
      </c>
      <c r="N517" s="319" t="str">
        <f>IFERROR(__xludf.DUMMYFUNCTION("""COMPUTED_VALUE"""),"")</f>
        <v/>
      </c>
      <c r="O517" s="257" t="str">
        <f>IFERROR(__xludf.DUMMYFUNCTION("""COMPUTED_VALUE"""),"")</f>
        <v/>
      </c>
      <c r="P517" s="247" t="str">
        <f t="shared" si="4"/>
        <v/>
      </c>
      <c r="Q517" s="320" t="str">
        <f>IFERROR(__xludf.DUMMYFUNCTION("""COMPUTED_VALUE"""),"")</f>
        <v/>
      </c>
      <c r="R517" s="259" t="str">
        <f>IFERROR(__xludf.DUMMYFUNCTION("""COMPUTED_VALUE"""),"")</f>
        <v/>
      </c>
      <c r="S517" s="250" t="str">
        <f t="shared" si="5"/>
        <v/>
      </c>
      <c r="T517" s="254" t="str">
        <f>IFERROR(__xludf.DUMMYFUNCTION("""COMPUTED_VALUE"""),"")</f>
        <v/>
      </c>
      <c r="U517" s="246" t="str">
        <f>IFERROR(__xludf.DUMMYFUNCTION("""COMPUTED_VALUE"""),"")</f>
        <v/>
      </c>
      <c r="V517" s="247" t="str">
        <f t="shared" si="6"/>
        <v/>
      </c>
      <c r="W517" s="255" t="str">
        <f>IFERROR(__xludf.DUMMYFUNCTION("""COMPUTED_VALUE"""),"")</f>
        <v/>
      </c>
      <c r="X517" s="249" t="str">
        <f>IFERROR(__xludf.DUMMYFUNCTION("""COMPUTED_VALUE"""),"")</f>
        <v/>
      </c>
      <c r="Y517" s="250" t="str">
        <f t="shared" si="7"/>
        <v/>
      </c>
    </row>
    <row r="518">
      <c r="A518" s="136" t="s">
        <v>133</v>
      </c>
      <c r="B518" s="136"/>
      <c r="C518" s="136" t="s">
        <v>133</v>
      </c>
      <c r="D518" s="136"/>
      <c r="E518" s="256" t="str">
        <f>IFERROR(__xludf.DUMMYFUNCTION("""COMPUTED_VALUE"""),"")</f>
        <v/>
      </c>
      <c r="F518" s="257" t="str">
        <f>IFERROR(__xludf.DUMMYFUNCTION("""COMPUTED_VALUE"""),"")</f>
        <v/>
      </c>
      <c r="G518" s="247" t="str">
        <f t="shared" si="1"/>
        <v/>
      </c>
      <c r="H518" s="258" t="str">
        <f>IFERROR(__xludf.DUMMYFUNCTION("""COMPUTED_VALUE"""),"")</f>
        <v/>
      </c>
      <c r="I518" s="259" t="str">
        <f>IFERROR(__xludf.DUMMYFUNCTION("""COMPUTED_VALUE"""),"")</f>
        <v/>
      </c>
      <c r="J518" s="250" t="str">
        <f t="shared" si="2"/>
        <v/>
      </c>
      <c r="K518" s="317" t="str">
        <f>IFERROR(__xludf.DUMMYFUNCTION("""COMPUTED_VALUE"""),"")</f>
        <v/>
      </c>
      <c r="L518" s="318" t="str">
        <f>IFERROR(__xludf.DUMMYFUNCTION("""COMPUTED_VALUE"""),"")</f>
        <v/>
      </c>
      <c r="M518" s="253" t="str">
        <f t="shared" si="3"/>
        <v/>
      </c>
      <c r="N518" s="319" t="str">
        <f>IFERROR(__xludf.DUMMYFUNCTION("""COMPUTED_VALUE"""),"")</f>
        <v/>
      </c>
      <c r="O518" s="257" t="str">
        <f>IFERROR(__xludf.DUMMYFUNCTION("""COMPUTED_VALUE"""),"")</f>
        <v/>
      </c>
      <c r="P518" s="247" t="str">
        <f t="shared" si="4"/>
        <v/>
      </c>
      <c r="Q518" s="320" t="str">
        <f>IFERROR(__xludf.DUMMYFUNCTION("""COMPUTED_VALUE"""),"")</f>
        <v/>
      </c>
      <c r="R518" s="259" t="str">
        <f>IFERROR(__xludf.DUMMYFUNCTION("""COMPUTED_VALUE"""),"")</f>
        <v/>
      </c>
      <c r="S518" s="250" t="str">
        <f t="shared" si="5"/>
        <v/>
      </c>
      <c r="T518" s="254" t="str">
        <f>IFERROR(__xludf.DUMMYFUNCTION("""COMPUTED_VALUE"""),"")</f>
        <v/>
      </c>
      <c r="U518" s="246" t="str">
        <f>IFERROR(__xludf.DUMMYFUNCTION("""COMPUTED_VALUE"""),"")</f>
        <v/>
      </c>
      <c r="V518" s="247" t="str">
        <f t="shared" si="6"/>
        <v/>
      </c>
      <c r="W518" s="255" t="str">
        <f>IFERROR(__xludf.DUMMYFUNCTION("""COMPUTED_VALUE"""),"")</f>
        <v/>
      </c>
      <c r="X518" s="249" t="str">
        <f>IFERROR(__xludf.DUMMYFUNCTION("""COMPUTED_VALUE"""),"")</f>
        <v/>
      </c>
      <c r="Y518" s="250" t="str">
        <f t="shared" si="7"/>
        <v/>
      </c>
    </row>
    <row r="519">
      <c r="A519" s="136" t="s">
        <v>133</v>
      </c>
      <c r="B519" s="136"/>
      <c r="C519" s="136" t="s">
        <v>133</v>
      </c>
      <c r="D519" s="136"/>
      <c r="E519" s="256" t="str">
        <f>IFERROR(__xludf.DUMMYFUNCTION("""COMPUTED_VALUE"""),"")</f>
        <v/>
      </c>
      <c r="F519" s="257" t="str">
        <f>IFERROR(__xludf.DUMMYFUNCTION("""COMPUTED_VALUE"""),"")</f>
        <v/>
      </c>
      <c r="G519" s="247" t="str">
        <f t="shared" si="1"/>
        <v/>
      </c>
      <c r="H519" s="258" t="str">
        <f>IFERROR(__xludf.DUMMYFUNCTION("""COMPUTED_VALUE"""),"")</f>
        <v/>
      </c>
      <c r="I519" s="259" t="str">
        <f>IFERROR(__xludf.DUMMYFUNCTION("""COMPUTED_VALUE"""),"")</f>
        <v/>
      </c>
      <c r="J519" s="250" t="str">
        <f t="shared" si="2"/>
        <v/>
      </c>
      <c r="K519" s="317" t="str">
        <f>IFERROR(__xludf.DUMMYFUNCTION("""COMPUTED_VALUE"""),"")</f>
        <v/>
      </c>
      <c r="L519" s="318" t="str">
        <f>IFERROR(__xludf.DUMMYFUNCTION("""COMPUTED_VALUE"""),"")</f>
        <v/>
      </c>
      <c r="M519" s="253" t="str">
        <f t="shared" si="3"/>
        <v/>
      </c>
      <c r="N519" s="319" t="str">
        <f>IFERROR(__xludf.DUMMYFUNCTION("""COMPUTED_VALUE"""),"")</f>
        <v/>
      </c>
      <c r="O519" s="257" t="str">
        <f>IFERROR(__xludf.DUMMYFUNCTION("""COMPUTED_VALUE"""),"")</f>
        <v/>
      </c>
      <c r="P519" s="247" t="str">
        <f t="shared" si="4"/>
        <v/>
      </c>
      <c r="Q519" s="320" t="str">
        <f>IFERROR(__xludf.DUMMYFUNCTION("""COMPUTED_VALUE"""),"")</f>
        <v/>
      </c>
      <c r="R519" s="259" t="str">
        <f>IFERROR(__xludf.DUMMYFUNCTION("""COMPUTED_VALUE"""),"")</f>
        <v/>
      </c>
      <c r="S519" s="250" t="str">
        <f t="shared" si="5"/>
        <v/>
      </c>
      <c r="T519" s="254" t="str">
        <f>IFERROR(__xludf.DUMMYFUNCTION("""COMPUTED_VALUE"""),"")</f>
        <v/>
      </c>
      <c r="U519" s="246" t="str">
        <f>IFERROR(__xludf.DUMMYFUNCTION("""COMPUTED_VALUE"""),"")</f>
        <v/>
      </c>
      <c r="V519" s="247" t="str">
        <f t="shared" si="6"/>
        <v/>
      </c>
      <c r="W519" s="255" t="str">
        <f>IFERROR(__xludf.DUMMYFUNCTION("""COMPUTED_VALUE"""),"")</f>
        <v/>
      </c>
      <c r="X519" s="249" t="str">
        <f>IFERROR(__xludf.DUMMYFUNCTION("""COMPUTED_VALUE"""),"")</f>
        <v/>
      </c>
      <c r="Y519" s="250" t="str">
        <f t="shared" si="7"/>
        <v/>
      </c>
    </row>
    <row r="520">
      <c r="A520" s="136" t="s">
        <v>133</v>
      </c>
      <c r="B520" s="136"/>
      <c r="C520" s="136" t="s">
        <v>133</v>
      </c>
      <c r="D520" s="136"/>
      <c r="E520" s="256" t="str">
        <f>IFERROR(__xludf.DUMMYFUNCTION("""COMPUTED_VALUE"""),"")</f>
        <v/>
      </c>
      <c r="F520" s="257" t="str">
        <f>IFERROR(__xludf.DUMMYFUNCTION("""COMPUTED_VALUE"""),"")</f>
        <v/>
      </c>
      <c r="G520" s="247" t="str">
        <f t="shared" si="1"/>
        <v/>
      </c>
      <c r="H520" s="258" t="str">
        <f>IFERROR(__xludf.DUMMYFUNCTION("""COMPUTED_VALUE"""),"")</f>
        <v/>
      </c>
      <c r="I520" s="259" t="str">
        <f>IFERROR(__xludf.DUMMYFUNCTION("""COMPUTED_VALUE"""),"")</f>
        <v/>
      </c>
      <c r="J520" s="250" t="str">
        <f t="shared" si="2"/>
        <v/>
      </c>
      <c r="K520" s="317" t="str">
        <f>IFERROR(__xludf.DUMMYFUNCTION("""COMPUTED_VALUE"""),"")</f>
        <v/>
      </c>
      <c r="L520" s="318" t="str">
        <f>IFERROR(__xludf.DUMMYFUNCTION("""COMPUTED_VALUE"""),"")</f>
        <v/>
      </c>
      <c r="M520" s="253" t="str">
        <f t="shared" si="3"/>
        <v/>
      </c>
      <c r="N520" s="319" t="str">
        <f>IFERROR(__xludf.DUMMYFUNCTION("""COMPUTED_VALUE"""),"")</f>
        <v/>
      </c>
      <c r="O520" s="257" t="str">
        <f>IFERROR(__xludf.DUMMYFUNCTION("""COMPUTED_VALUE"""),"")</f>
        <v/>
      </c>
      <c r="P520" s="247" t="str">
        <f t="shared" si="4"/>
        <v/>
      </c>
      <c r="Q520" s="320" t="str">
        <f>IFERROR(__xludf.DUMMYFUNCTION("""COMPUTED_VALUE"""),"")</f>
        <v/>
      </c>
      <c r="R520" s="259" t="str">
        <f>IFERROR(__xludf.DUMMYFUNCTION("""COMPUTED_VALUE"""),"")</f>
        <v/>
      </c>
      <c r="S520" s="250" t="str">
        <f t="shared" si="5"/>
        <v/>
      </c>
      <c r="T520" s="254" t="str">
        <f>IFERROR(__xludf.DUMMYFUNCTION("""COMPUTED_VALUE"""),"")</f>
        <v/>
      </c>
      <c r="U520" s="246" t="str">
        <f>IFERROR(__xludf.DUMMYFUNCTION("""COMPUTED_VALUE"""),"")</f>
        <v/>
      </c>
      <c r="V520" s="247" t="str">
        <f t="shared" si="6"/>
        <v/>
      </c>
      <c r="W520" s="255" t="str">
        <f>IFERROR(__xludf.DUMMYFUNCTION("""COMPUTED_VALUE"""),"")</f>
        <v/>
      </c>
      <c r="X520" s="249" t="str">
        <f>IFERROR(__xludf.DUMMYFUNCTION("""COMPUTED_VALUE"""),"")</f>
        <v/>
      </c>
      <c r="Y520" s="250" t="str">
        <f t="shared" si="7"/>
        <v/>
      </c>
    </row>
    <row r="521">
      <c r="A521" s="136" t="s">
        <v>133</v>
      </c>
      <c r="B521" s="136"/>
      <c r="C521" s="136" t="s">
        <v>133</v>
      </c>
      <c r="D521" s="136"/>
      <c r="E521" s="256" t="str">
        <f>IFERROR(__xludf.DUMMYFUNCTION("""COMPUTED_VALUE"""),"")</f>
        <v/>
      </c>
      <c r="F521" s="257" t="str">
        <f>IFERROR(__xludf.DUMMYFUNCTION("""COMPUTED_VALUE"""),"")</f>
        <v/>
      </c>
      <c r="G521" s="247" t="str">
        <f t="shared" si="1"/>
        <v/>
      </c>
      <c r="H521" s="258" t="str">
        <f>IFERROR(__xludf.DUMMYFUNCTION("""COMPUTED_VALUE"""),"")</f>
        <v/>
      </c>
      <c r="I521" s="259" t="str">
        <f>IFERROR(__xludf.DUMMYFUNCTION("""COMPUTED_VALUE"""),"")</f>
        <v/>
      </c>
      <c r="J521" s="250" t="str">
        <f t="shared" si="2"/>
        <v/>
      </c>
      <c r="K521" s="317" t="str">
        <f>IFERROR(__xludf.DUMMYFUNCTION("""COMPUTED_VALUE"""),"")</f>
        <v/>
      </c>
      <c r="L521" s="318" t="str">
        <f>IFERROR(__xludf.DUMMYFUNCTION("""COMPUTED_VALUE"""),"")</f>
        <v/>
      </c>
      <c r="M521" s="253" t="str">
        <f t="shared" si="3"/>
        <v/>
      </c>
      <c r="N521" s="319" t="str">
        <f>IFERROR(__xludf.DUMMYFUNCTION("""COMPUTED_VALUE"""),"")</f>
        <v/>
      </c>
      <c r="O521" s="257" t="str">
        <f>IFERROR(__xludf.DUMMYFUNCTION("""COMPUTED_VALUE"""),"")</f>
        <v/>
      </c>
      <c r="P521" s="247" t="str">
        <f t="shared" si="4"/>
        <v/>
      </c>
      <c r="Q521" s="320" t="str">
        <f>IFERROR(__xludf.DUMMYFUNCTION("""COMPUTED_VALUE"""),"")</f>
        <v/>
      </c>
      <c r="R521" s="259" t="str">
        <f>IFERROR(__xludf.DUMMYFUNCTION("""COMPUTED_VALUE"""),"")</f>
        <v/>
      </c>
      <c r="S521" s="250" t="str">
        <f t="shared" si="5"/>
        <v/>
      </c>
      <c r="T521" s="254" t="str">
        <f>IFERROR(__xludf.DUMMYFUNCTION("""COMPUTED_VALUE"""),"")</f>
        <v/>
      </c>
      <c r="U521" s="246" t="str">
        <f>IFERROR(__xludf.DUMMYFUNCTION("""COMPUTED_VALUE"""),"")</f>
        <v/>
      </c>
      <c r="V521" s="247" t="str">
        <f t="shared" si="6"/>
        <v/>
      </c>
      <c r="W521" s="255" t="str">
        <f>IFERROR(__xludf.DUMMYFUNCTION("""COMPUTED_VALUE"""),"")</f>
        <v/>
      </c>
      <c r="X521" s="249" t="str">
        <f>IFERROR(__xludf.DUMMYFUNCTION("""COMPUTED_VALUE"""),"")</f>
        <v/>
      </c>
      <c r="Y521" s="250" t="str">
        <f t="shared" si="7"/>
        <v/>
      </c>
    </row>
    <row r="522">
      <c r="A522" s="136" t="s">
        <v>133</v>
      </c>
      <c r="B522" s="136"/>
      <c r="C522" s="136" t="s">
        <v>133</v>
      </c>
      <c r="D522" s="136"/>
      <c r="E522" s="256" t="str">
        <f>IFERROR(__xludf.DUMMYFUNCTION("""COMPUTED_VALUE"""),"")</f>
        <v/>
      </c>
      <c r="F522" s="257" t="str">
        <f>IFERROR(__xludf.DUMMYFUNCTION("""COMPUTED_VALUE"""),"")</f>
        <v/>
      </c>
      <c r="G522" s="247" t="str">
        <f t="shared" si="1"/>
        <v/>
      </c>
      <c r="H522" s="258" t="str">
        <f>IFERROR(__xludf.DUMMYFUNCTION("""COMPUTED_VALUE"""),"")</f>
        <v/>
      </c>
      <c r="I522" s="259" t="str">
        <f>IFERROR(__xludf.DUMMYFUNCTION("""COMPUTED_VALUE"""),"")</f>
        <v/>
      </c>
      <c r="J522" s="250" t="str">
        <f t="shared" si="2"/>
        <v/>
      </c>
      <c r="K522" s="317" t="str">
        <f>IFERROR(__xludf.DUMMYFUNCTION("""COMPUTED_VALUE"""),"")</f>
        <v/>
      </c>
      <c r="L522" s="318" t="str">
        <f>IFERROR(__xludf.DUMMYFUNCTION("""COMPUTED_VALUE"""),"")</f>
        <v/>
      </c>
      <c r="M522" s="253" t="str">
        <f t="shared" si="3"/>
        <v/>
      </c>
      <c r="N522" s="319" t="str">
        <f>IFERROR(__xludf.DUMMYFUNCTION("""COMPUTED_VALUE"""),"")</f>
        <v/>
      </c>
      <c r="O522" s="257" t="str">
        <f>IFERROR(__xludf.DUMMYFUNCTION("""COMPUTED_VALUE"""),"")</f>
        <v/>
      </c>
      <c r="P522" s="247" t="str">
        <f t="shared" si="4"/>
        <v/>
      </c>
      <c r="Q522" s="320" t="str">
        <f>IFERROR(__xludf.DUMMYFUNCTION("""COMPUTED_VALUE"""),"")</f>
        <v/>
      </c>
      <c r="R522" s="259" t="str">
        <f>IFERROR(__xludf.DUMMYFUNCTION("""COMPUTED_VALUE"""),"")</f>
        <v/>
      </c>
      <c r="S522" s="250" t="str">
        <f t="shared" si="5"/>
        <v/>
      </c>
      <c r="T522" s="254" t="str">
        <f>IFERROR(__xludf.DUMMYFUNCTION("""COMPUTED_VALUE"""),"")</f>
        <v/>
      </c>
      <c r="U522" s="246" t="str">
        <f>IFERROR(__xludf.DUMMYFUNCTION("""COMPUTED_VALUE"""),"")</f>
        <v/>
      </c>
      <c r="V522" s="247" t="str">
        <f t="shared" si="6"/>
        <v/>
      </c>
      <c r="W522" s="255" t="str">
        <f>IFERROR(__xludf.DUMMYFUNCTION("""COMPUTED_VALUE"""),"")</f>
        <v/>
      </c>
      <c r="X522" s="249" t="str">
        <f>IFERROR(__xludf.DUMMYFUNCTION("""COMPUTED_VALUE"""),"")</f>
        <v/>
      </c>
      <c r="Y522" s="250" t="str">
        <f t="shared" si="7"/>
        <v/>
      </c>
    </row>
    <row r="523">
      <c r="A523" s="136" t="s">
        <v>133</v>
      </c>
      <c r="B523" s="136"/>
      <c r="C523" s="136" t="s">
        <v>133</v>
      </c>
      <c r="D523" s="136"/>
      <c r="E523" s="256" t="str">
        <f>IFERROR(__xludf.DUMMYFUNCTION("""COMPUTED_VALUE"""),"")</f>
        <v/>
      </c>
      <c r="F523" s="257" t="str">
        <f>IFERROR(__xludf.DUMMYFUNCTION("""COMPUTED_VALUE"""),"")</f>
        <v/>
      </c>
      <c r="G523" s="247" t="str">
        <f t="shared" si="1"/>
        <v/>
      </c>
      <c r="H523" s="258" t="str">
        <f>IFERROR(__xludf.DUMMYFUNCTION("""COMPUTED_VALUE"""),"")</f>
        <v/>
      </c>
      <c r="I523" s="259" t="str">
        <f>IFERROR(__xludf.DUMMYFUNCTION("""COMPUTED_VALUE"""),"")</f>
        <v/>
      </c>
      <c r="J523" s="250" t="str">
        <f t="shared" si="2"/>
        <v/>
      </c>
      <c r="K523" s="317" t="str">
        <f>IFERROR(__xludf.DUMMYFUNCTION("""COMPUTED_VALUE"""),"")</f>
        <v/>
      </c>
      <c r="L523" s="318" t="str">
        <f>IFERROR(__xludf.DUMMYFUNCTION("""COMPUTED_VALUE"""),"")</f>
        <v/>
      </c>
      <c r="M523" s="253" t="str">
        <f t="shared" si="3"/>
        <v/>
      </c>
      <c r="N523" s="319" t="str">
        <f>IFERROR(__xludf.DUMMYFUNCTION("""COMPUTED_VALUE"""),"")</f>
        <v/>
      </c>
      <c r="O523" s="257" t="str">
        <f>IFERROR(__xludf.DUMMYFUNCTION("""COMPUTED_VALUE"""),"")</f>
        <v/>
      </c>
      <c r="P523" s="247" t="str">
        <f t="shared" si="4"/>
        <v/>
      </c>
      <c r="Q523" s="320" t="str">
        <f>IFERROR(__xludf.DUMMYFUNCTION("""COMPUTED_VALUE"""),"")</f>
        <v/>
      </c>
      <c r="R523" s="259" t="str">
        <f>IFERROR(__xludf.DUMMYFUNCTION("""COMPUTED_VALUE"""),"")</f>
        <v/>
      </c>
      <c r="S523" s="250" t="str">
        <f t="shared" si="5"/>
        <v/>
      </c>
      <c r="T523" s="254" t="str">
        <f>IFERROR(__xludf.DUMMYFUNCTION("""COMPUTED_VALUE"""),"")</f>
        <v/>
      </c>
      <c r="U523" s="246" t="str">
        <f>IFERROR(__xludf.DUMMYFUNCTION("""COMPUTED_VALUE"""),"")</f>
        <v/>
      </c>
      <c r="V523" s="247" t="str">
        <f t="shared" si="6"/>
        <v/>
      </c>
      <c r="W523" s="255" t="str">
        <f>IFERROR(__xludf.DUMMYFUNCTION("""COMPUTED_VALUE"""),"")</f>
        <v/>
      </c>
      <c r="X523" s="249" t="str">
        <f>IFERROR(__xludf.DUMMYFUNCTION("""COMPUTED_VALUE"""),"")</f>
        <v/>
      </c>
      <c r="Y523" s="250" t="str">
        <f t="shared" si="7"/>
        <v/>
      </c>
    </row>
    <row r="524">
      <c r="A524" s="136" t="s">
        <v>133</v>
      </c>
      <c r="B524" s="136"/>
      <c r="C524" s="136" t="s">
        <v>133</v>
      </c>
      <c r="D524" s="136"/>
      <c r="E524" s="256" t="str">
        <f>IFERROR(__xludf.DUMMYFUNCTION("""COMPUTED_VALUE"""),"")</f>
        <v/>
      </c>
      <c r="F524" s="257" t="str">
        <f>IFERROR(__xludf.DUMMYFUNCTION("""COMPUTED_VALUE"""),"")</f>
        <v/>
      </c>
      <c r="G524" s="247" t="str">
        <f t="shared" si="1"/>
        <v/>
      </c>
      <c r="H524" s="258" t="str">
        <f>IFERROR(__xludf.DUMMYFUNCTION("""COMPUTED_VALUE"""),"")</f>
        <v/>
      </c>
      <c r="I524" s="259" t="str">
        <f>IFERROR(__xludf.DUMMYFUNCTION("""COMPUTED_VALUE"""),"")</f>
        <v/>
      </c>
      <c r="J524" s="250" t="str">
        <f t="shared" si="2"/>
        <v/>
      </c>
      <c r="K524" s="317" t="str">
        <f>IFERROR(__xludf.DUMMYFUNCTION("""COMPUTED_VALUE"""),"")</f>
        <v/>
      </c>
      <c r="L524" s="318" t="str">
        <f>IFERROR(__xludf.DUMMYFUNCTION("""COMPUTED_VALUE"""),"")</f>
        <v/>
      </c>
      <c r="M524" s="253" t="str">
        <f t="shared" si="3"/>
        <v/>
      </c>
      <c r="N524" s="319" t="str">
        <f>IFERROR(__xludf.DUMMYFUNCTION("""COMPUTED_VALUE"""),"")</f>
        <v/>
      </c>
      <c r="O524" s="257" t="str">
        <f>IFERROR(__xludf.DUMMYFUNCTION("""COMPUTED_VALUE"""),"")</f>
        <v/>
      </c>
      <c r="P524" s="247" t="str">
        <f t="shared" si="4"/>
        <v/>
      </c>
      <c r="Q524" s="320" t="str">
        <f>IFERROR(__xludf.DUMMYFUNCTION("""COMPUTED_VALUE"""),"")</f>
        <v/>
      </c>
      <c r="R524" s="259" t="str">
        <f>IFERROR(__xludf.DUMMYFUNCTION("""COMPUTED_VALUE"""),"")</f>
        <v/>
      </c>
      <c r="S524" s="250" t="str">
        <f t="shared" si="5"/>
        <v/>
      </c>
      <c r="T524" s="254" t="str">
        <f>IFERROR(__xludf.DUMMYFUNCTION("""COMPUTED_VALUE"""),"")</f>
        <v/>
      </c>
      <c r="U524" s="246" t="str">
        <f>IFERROR(__xludf.DUMMYFUNCTION("""COMPUTED_VALUE"""),"")</f>
        <v/>
      </c>
      <c r="V524" s="247" t="str">
        <f t="shared" si="6"/>
        <v/>
      </c>
      <c r="W524" s="255" t="str">
        <f>IFERROR(__xludf.DUMMYFUNCTION("""COMPUTED_VALUE"""),"")</f>
        <v/>
      </c>
      <c r="X524" s="249" t="str">
        <f>IFERROR(__xludf.DUMMYFUNCTION("""COMPUTED_VALUE"""),"")</f>
        <v/>
      </c>
      <c r="Y524" s="250" t="str">
        <f t="shared" si="7"/>
        <v/>
      </c>
    </row>
    <row r="525">
      <c r="A525" s="136" t="s">
        <v>133</v>
      </c>
      <c r="B525" s="136"/>
      <c r="C525" s="136" t="s">
        <v>133</v>
      </c>
      <c r="D525" s="136"/>
      <c r="E525" s="256" t="str">
        <f>IFERROR(__xludf.DUMMYFUNCTION("""COMPUTED_VALUE"""),"")</f>
        <v/>
      </c>
      <c r="F525" s="257" t="str">
        <f>IFERROR(__xludf.DUMMYFUNCTION("""COMPUTED_VALUE"""),"")</f>
        <v/>
      </c>
      <c r="G525" s="247" t="str">
        <f t="shared" si="1"/>
        <v/>
      </c>
      <c r="H525" s="258" t="str">
        <f>IFERROR(__xludf.DUMMYFUNCTION("""COMPUTED_VALUE"""),"")</f>
        <v/>
      </c>
      <c r="I525" s="259" t="str">
        <f>IFERROR(__xludf.DUMMYFUNCTION("""COMPUTED_VALUE"""),"")</f>
        <v/>
      </c>
      <c r="J525" s="250" t="str">
        <f t="shared" si="2"/>
        <v/>
      </c>
      <c r="K525" s="317" t="str">
        <f>IFERROR(__xludf.DUMMYFUNCTION("""COMPUTED_VALUE"""),"")</f>
        <v/>
      </c>
      <c r="L525" s="318" t="str">
        <f>IFERROR(__xludf.DUMMYFUNCTION("""COMPUTED_VALUE"""),"")</f>
        <v/>
      </c>
      <c r="M525" s="253" t="str">
        <f t="shared" si="3"/>
        <v/>
      </c>
      <c r="N525" s="319" t="str">
        <f>IFERROR(__xludf.DUMMYFUNCTION("""COMPUTED_VALUE"""),"")</f>
        <v/>
      </c>
      <c r="O525" s="257" t="str">
        <f>IFERROR(__xludf.DUMMYFUNCTION("""COMPUTED_VALUE"""),"")</f>
        <v/>
      </c>
      <c r="P525" s="247" t="str">
        <f t="shared" si="4"/>
        <v/>
      </c>
      <c r="Q525" s="320" t="str">
        <f>IFERROR(__xludf.DUMMYFUNCTION("""COMPUTED_VALUE"""),"")</f>
        <v/>
      </c>
      <c r="R525" s="259" t="str">
        <f>IFERROR(__xludf.DUMMYFUNCTION("""COMPUTED_VALUE"""),"")</f>
        <v/>
      </c>
      <c r="S525" s="250" t="str">
        <f t="shared" si="5"/>
        <v/>
      </c>
      <c r="T525" s="254" t="str">
        <f>IFERROR(__xludf.DUMMYFUNCTION("""COMPUTED_VALUE"""),"")</f>
        <v/>
      </c>
      <c r="U525" s="246" t="str">
        <f>IFERROR(__xludf.DUMMYFUNCTION("""COMPUTED_VALUE"""),"")</f>
        <v/>
      </c>
      <c r="V525" s="247" t="str">
        <f t="shared" si="6"/>
        <v/>
      </c>
      <c r="W525" s="255" t="str">
        <f>IFERROR(__xludf.DUMMYFUNCTION("""COMPUTED_VALUE"""),"")</f>
        <v/>
      </c>
      <c r="X525" s="249" t="str">
        <f>IFERROR(__xludf.DUMMYFUNCTION("""COMPUTED_VALUE"""),"")</f>
        <v/>
      </c>
      <c r="Y525" s="250" t="str">
        <f t="shared" si="7"/>
        <v/>
      </c>
    </row>
    <row r="526">
      <c r="A526" s="136" t="s">
        <v>133</v>
      </c>
      <c r="B526" s="136"/>
      <c r="C526" s="136" t="s">
        <v>133</v>
      </c>
      <c r="D526" s="136"/>
      <c r="E526" s="256" t="str">
        <f>IFERROR(__xludf.DUMMYFUNCTION("""COMPUTED_VALUE"""),"")</f>
        <v/>
      </c>
      <c r="F526" s="257" t="str">
        <f>IFERROR(__xludf.DUMMYFUNCTION("""COMPUTED_VALUE"""),"")</f>
        <v/>
      </c>
      <c r="G526" s="247" t="str">
        <f t="shared" si="1"/>
        <v/>
      </c>
      <c r="H526" s="258" t="str">
        <f>IFERROR(__xludf.DUMMYFUNCTION("""COMPUTED_VALUE"""),"")</f>
        <v/>
      </c>
      <c r="I526" s="259" t="str">
        <f>IFERROR(__xludf.DUMMYFUNCTION("""COMPUTED_VALUE"""),"")</f>
        <v/>
      </c>
      <c r="J526" s="250" t="str">
        <f t="shared" si="2"/>
        <v/>
      </c>
      <c r="K526" s="317" t="str">
        <f>IFERROR(__xludf.DUMMYFUNCTION("""COMPUTED_VALUE"""),"")</f>
        <v/>
      </c>
      <c r="L526" s="318" t="str">
        <f>IFERROR(__xludf.DUMMYFUNCTION("""COMPUTED_VALUE"""),"")</f>
        <v/>
      </c>
      <c r="M526" s="253" t="str">
        <f t="shared" si="3"/>
        <v/>
      </c>
      <c r="N526" s="319" t="str">
        <f>IFERROR(__xludf.DUMMYFUNCTION("""COMPUTED_VALUE"""),"")</f>
        <v/>
      </c>
      <c r="O526" s="257" t="str">
        <f>IFERROR(__xludf.DUMMYFUNCTION("""COMPUTED_VALUE"""),"")</f>
        <v/>
      </c>
      <c r="P526" s="247" t="str">
        <f t="shared" si="4"/>
        <v/>
      </c>
      <c r="Q526" s="320" t="str">
        <f>IFERROR(__xludf.DUMMYFUNCTION("""COMPUTED_VALUE"""),"")</f>
        <v/>
      </c>
      <c r="R526" s="259" t="str">
        <f>IFERROR(__xludf.DUMMYFUNCTION("""COMPUTED_VALUE"""),"")</f>
        <v/>
      </c>
      <c r="S526" s="250" t="str">
        <f t="shared" si="5"/>
        <v/>
      </c>
      <c r="T526" s="254" t="str">
        <f>IFERROR(__xludf.DUMMYFUNCTION("""COMPUTED_VALUE"""),"")</f>
        <v/>
      </c>
      <c r="U526" s="246" t="str">
        <f>IFERROR(__xludf.DUMMYFUNCTION("""COMPUTED_VALUE"""),"")</f>
        <v/>
      </c>
      <c r="V526" s="247" t="str">
        <f t="shared" si="6"/>
        <v/>
      </c>
      <c r="W526" s="255" t="str">
        <f>IFERROR(__xludf.DUMMYFUNCTION("""COMPUTED_VALUE"""),"")</f>
        <v/>
      </c>
      <c r="X526" s="249" t="str">
        <f>IFERROR(__xludf.DUMMYFUNCTION("""COMPUTED_VALUE"""),"")</f>
        <v/>
      </c>
      <c r="Y526" s="250" t="str">
        <f t="shared" si="7"/>
        <v/>
      </c>
    </row>
    <row r="527">
      <c r="A527" s="136" t="s">
        <v>133</v>
      </c>
      <c r="B527" s="136"/>
      <c r="C527" s="136" t="s">
        <v>133</v>
      </c>
      <c r="D527" s="136"/>
      <c r="E527" s="256" t="str">
        <f>IFERROR(__xludf.DUMMYFUNCTION("""COMPUTED_VALUE"""),"")</f>
        <v/>
      </c>
      <c r="F527" s="257" t="str">
        <f>IFERROR(__xludf.DUMMYFUNCTION("""COMPUTED_VALUE"""),"")</f>
        <v/>
      </c>
      <c r="G527" s="247" t="str">
        <f t="shared" si="1"/>
        <v/>
      </c>
      <c r="H527" s="258" t="str">
        <f>IFERROR(__xludf.DUMMYFUNCTION("""COMPUTED_VALUE"""),"")</f>
        <v/>
      </c>
      <c r="I527" s="259" t="str">
        <f>IFERROR(__xludf.DUMMYFUNCTION("""COMPUTED_VALUE"""),"")</f>
        <v/>
      </c>
      <c r="J527" s="250" t="str">
        <f t="shared" si="2"/>
        <v/>
      </c>
      <c r="K527" s="317" t="str">
        <f>IFERROR(__xludf.DUMMYFUNCTION("""COMPUTED_VALUE"""),"")</f>
        <v/>
      </c>
      <c r="L527" s="318" t="str">
        <f>IFERROR(__xludf.DUMMYFUNCTION("""COMPUTED_VALUE"""),"")</f>
        <v/>
      </c>
      <c r="M527" s="253" t="str">
        <f t="shared" si="3"/>
        <v/>
      </c>
      <c r="N527" s="319" t="str">
        <f>IFERROR(__xludf.DUMMYFUNCTION("""COMPUTED_VALUE"""),"")</f>
        <v/>
      </c>
      <c r="O527" s="257" t="str">
        <f>IFERROR(__xludf.DUMMYFUNCTION("""COMPUTED_VALUE"""),"")</f>
        <v/>
      </c>
      <c r="P527" s="247" t="str">
        <f t="shared" si="4"/>
        <v/>
      </c>
      <c r="Q527" s="320" t="str">
        <f>IFERROR(__xludf.DUMMYFUNCTION("""COMPUTED_VALUE"""),"")</f>
        <v/>
      </c>
      <c r="R527" s="259" t="str">
        <f>IFERROR(__xludf.DUMMYFUNCTION("""COMPUTED_VALUE"""),"")</f>
        <v/>
      </c>
      <c r="S527" s="250" t="str">
        <f t="shared" si="5"/>
        <v/>
      </c>
      <c r="T527" s="254" t="str">
        <f>IFERROR(__xludf.DUMMYFUNCTION("""COMPUTED_VALUE"""),"")</f>
        <v/>
      </c>
      <c r="U527" s="246" t="str">
        <f>IFERROR(__xludf.DUMMYFUNCTION("""COMPUTED_VALUE"""),"")</f>
        <v/>
      </c>
      <c r="V527" s="247" t="str">
        <f t="shared" si="6"/>
        <v/>
      </c>
      <c r="W527" s="255" t="str">
        <f>IFERROR(__xludf.DUMMYFUNCTION("""COMPUTED_VALUE"""),"")</f>
        <v/>
      </c>
      <c r="X527" s="249" t="str">
        <f>IFERROR(__xludf.DUMMYFUNCTION("""COMPUTED_VALUE"""),"")</f>
        <v/>
      </c>
      <c r="Y527" s="250" t="str">
        <f t="shared" si="7"/>
        <v/>
      </c>
    </row>
    <row r="528">
      <c r="A528" s="136" t="s">
        <v>133</v>
      </c>
      <c r="B528" s="136"/>
      <c r="C528" s="136" t="s">
        <v>133</v>
      </c>
      <c r="D528" s="136"/>
      <c r="E528" s="256" t="str">
        <f>IFERROR(__xludf.DUMMYFUNCTION("""COMPUTED_VALUE"""),"")</f>
        <v/>
      </c>
      <c r="F528" s="257" t="str">
        <f>IFERROR(__xludf.DUMMYFUNCTION("""COMPUTED_VALUE"""),"")</f>
        <v/>
      </c>
      <c r="G528" s="247" t="str">
        <f t="shared" si="1"/>
        <v/>
      </c>
      <c r="H528" s="258" t="str">
        <f>IFERROR(__xludf.DUMMYFUNCTION("""COMPUTED_VALUE"""),"")</f>
        <v/>
      </c>
      <c r="I528" s="259" t="str">
        <f>IFERROR(__xludf.DUMMYFUNCTION("""COMPUTED_VALUE"""),"")</f>
        <v/>
      </c>
      <c r="J528" s="250" t="str">
        <f t="shared" si="2"/>
        <v/>
      </c>
      <c r="K528" s="317" t="str">
        <f>IFERROR(__xludf.DUMMYFUNCTION("""COMPUTED_VALUE"""),"")</f>
        <v/>
      </c>
      <c r="L528" s="318" t="str">
        <f>IFERROR(__xludf.DUMMYFUNCTION("""COMPUTED_VALUE"""),"")</f>
        <v/>
      </c>
      <c r="M528" s="253" t="str">
        <f t="shared" si="3"/>
        <v/>
      </c>
      <c r="N528" s="319" t="str">
        <f>IFERROR(__xludf.DUMMYFUNCTION("""COMPUTED_VALUE"""),"")</f>
        <v/>
      </c>
      <c r="O528" s="257" t="str">
        <f>IFERROR(__xludf.DUMMYFUNCTION("""COMPUTED_VALUE"""),"")</f>
        <v/>
      </c>
      <c r="P528" s="247" t="str">
        <f t="shared" si="4"/>
        <v/>
      </c>
      <c r="Q528" s="320" t="str">
        <f>IFERROR(__xludf.DUMMYFUNCTION("""COMPUTED_VALUE"""),"")</f>
        <v/>
      </c>
      <c r="R528" s="259" t="str">
        <f>IFERROR(__xludf.DUMMYFUNCTION("""COMPUTED_VALUE"""),"")</f>
        <v/>
      </c>
      <c r="S528" s="250" t="str">
        <f t="shared" si="5"/>
        <v/>
      </c>
      <c r="T528" s="254" t="str">
        <f>IFERROR(__xludf.DUMMYFUNCTION("""COMPUTED_VALUE"""),"")</f>
        <v/>
      </c>
      <c r="U528" s="246" t="str">
        <f>IFERROR(__xludf.DUMMYFUNCTION("""COMPUTED_VALUE"""),"")</f>
        <v/>
      </c>
      <c r="V528" s="247" t="str">
        <f t="shared" si="6"/>
        <v/>
      </c>
      <c r="W528" s="255" t="str">
        <f>IFERROR(__xludf.DUMMYFUNCTION("""COMPUTED_VALUE"""),"")</f>
        <v/>
      </c>
      <c r="X528" s="249" t="str">
        <f>IFERROR(__xludf.DUMMYFUNCTION("""COMPUTED_VALUE"""),"")</f>
        <v/>
      </c>
      <c r="Y528" s="250" t="str">
        <f t="shared" si="7"/>
        <v/>
      </c>
    </row>
    <row r="529">
      <c r="A529" s="136" t="s">
        <v>133</v>
      </c>
      <c r="B529" s="136"/>
      <c r="C529" s="136" t="s">
        <v>133</v>
      </c>
      <c r="D529" s="136"/>
      <c r="E529" s="256" t="str">
        <f>IFERROR(__xludf.DUMMYFUNCTION("""COMPUTED_VALUE"""),"")</f>
        <v/>
      </c>
      <c r="F529" s="257" t="str">
        <f>IFERROR(__xludf.DUMMYFUNCTION("""COMPUTED_VALUE"""),"")</f>
        <v/>
      </c>
      <c r="G529" s="247" t="str">
        <f t="shared" si="1"/>
        <v/>
      </c>
      <c r="H529" s="258" t="str">
        <f>IFERROR(__xludf.DUMMYFUNCTION("""COMPUTED_VALUE"""),"")</f>
        <v/>
      </c>
      <c r="I529" s="259" t="str">
        <f>IFERROR(__xludf.DUMMYFUNCTION("""COMPUTED_VALUE"""),"")</f>
        <v/>
      </c>
      <c r="J529" s="250" t="str">
        <f t="shared" si="2"/>
        <v/>
      </c>
      <c r="K529" s="317" t="str">
        <f>IFERROR(__xludf.DUMMYFUNCTION("""COMPUTED_VALUE"""),"")</f>
        <v/>
      </c>
      <c r="L529" s="318" t="str">
        <f>IFERROR(__xludf.DUMMYFUNCTION("""COMPUTED_VALUE"""),"")</f>
        <v/>
      </c>
      <c r="M529" s="253" t="str">
        <f t="shared" si="3"/>
        <v/>
      </c>
      <c r="N529" s="319" t="str">
        <f>IFERROR(__xludf.DUMMYFUNCTION("""COMPUTED_VALUE"""),"")</f>
        <v/>
      </c>
      <c r="O529" s="257" t="str">
        <f>IFERROR(__xludf.DUMMYFUNCTION("""COMPUTED_VALUE"""),"")</f>
        <v/>
      </c>
      <c r="P529" s="247" t="str">
        <f t="shared" si="4"/>
        <v/>
      </c>
      <c r="Q529" s="320" t="str">
        <f>IFERROR(__xludf.DUMMYFUNCTION("""COMPUTED_VALUE"""),"")</f>
        <v/>
      </c>
      <c r="R529" s="259" t="str">
        <f>IFERROR(__xludf.DUMMYFUNCTION("""COMPUTED_VALUE"""),"")</f>
        <v/>
      </c>
      <c r="S529" s="250" t="str">
        <f t="shared" si="5"/>
        <v/>
      </c>
      <c r="T529" s="254" t="str">
        <f>IFERROR(__xludf.DUMMYFUNCTION("""COMPUTED_VALUE"""),"")</f>
        <v/>
      </c>
      <c r="U529" s="246" t="str">
        <f>IFERROR(__xludf.DUMMYFUNCTION("""COMPUTED_VALUE"""),"")</f>
        <v/>
      </c>
      <c r="V529" s="247" t="str">
        <f t="shared" si="6"/>
        <v/>
      </c>
      <c r="W529" s="255" t="str">
        <f>IFERROR(__xludf.DUMMYFUNCTION("""COMPUTED_VALUE"""),"")</f>
        <v/>
      </c>
      <c r="X529" s="249" t="str">
        <f>IFERROR(__xludf.DUMMYFUNCTION("""COMPUTED_VALUE"""),"")</f>
        <v/>
      </c>
      <c r="Y529" s="250" t="str">
        <f t="shared" si="7"/>
        <v/>
      </c>
    </row>
    <row r="530">
      <c r="A530" s="136" t="s">
        <v>133</v>
      </c>
      <c r="B530" s="136"/>
      <c r="C530" s="136" t="s">
        <v>133</v>
      </c>
      <c r="D530" s="136"/>
      <c r="E530" s="256" t="str">
        <f>IFERROR(__xludf.DUMMYFUNCTION("""COMPUTED_VALUE"""),"")</f>
        <v/>
      </c>
      <c r="F530" s="257" t="str">
        <f>IFERROR(__xludf.DUMMYFUNCTION("""COMPUTED_VALUE"""),"")</f>
        <v/>
      </c>
      <c r="G530" s="247" t="str">
        <f t="shared" si="1"/>
        <v/>
      </c>
      <c r="H530" s="258" t="str">
        <f>IFERROR(__xludf.DUMMYFUNCTION("""COMPUTED_VALUE"""),"")</f>
        <v/>
      </c>
      <c r="I530" s="259" t="str">
        <f>IFERROR(__xludf.DUMMYFUNCTION("""COMPUTED_VALUE"""),"")</f>
        <v/>
      </c>
      <c r="J530" s="250" t="str">
        <f t="shared" si="2"/>
        <v/>
      </c>
      <c r="K530" s="317" t="str">
        <f>IFERROR(__xludf.DUMMYFUNCTION("""COMPUTED_VALUE"""),"")</f>
        <v/>
      </c>
      <c r="L530" s="318" t="str">
        <f>IFERROR(__xludf.DUMMYFUNCTION("""COMPUTED_VALUE"""),"")</f>
        <v/>
      </c>
      <c r="M530" s="253" t="str">
        <f t="shared" si="3"/>
        <v/>
      </c>
      <c r="N530" s="319" t="str">
        <f>IFERROR(__xludf.DUMMYFUNCTION("""COMPUTED_VALUE"""),"")</f>
        <v/>
      </c>
      <c r="O530" s="257" t="str">
        <f>IFERROR(__xludf.DUMMYFUNCTION("""COMPUTED_VALUE"""),"")</f>
        <v/>
      </c>
      <c r="P530" s="247" t="str">
        <f t="shared" si="4"/>
        <v/>
      </c>
      <c r="Q530" s="320" t="str">
        <f>IFERROR(__xludf.DUMMYFUNCTION("""COMPUTED_VALUE"""),"")</f>
        <v/>
      </c>
      <c r="R530" s="259" t="str">
        <f>IFERROR(__xludf.DUMMYFUNCTION("""COMPUTED_VALUE"""),"")</f>
        <v/>
      </c>
      <c r="S530" s="250" t="str">
        <f t="shared" si="5"/>
        <v/>
      </c>
      <c r="T530" s="254" t="str">
        <f>IFERROR(__xludf.DUMMYFUNCTION("""COMPUTED_VALUE"""),"")</f>
        <v/>
      </c>
      <c r="U530" s="246" t="str">
        <f>IFERROR(__xludf.DUMMYFUNCTION("""COMPUTED_VALUE"""),"")</f>
        <v/>
      </c>
      <c r="V530" s="247" t="str">
        <f t="shared" si="6"/>
        <v/>
      </c>
      <c r="W530" s="255" t="str">
        <f>IFERROR(__xludf.DUMMYFUNCTION("""COMPUTED_VALUE"""),"")</f>
        <v/>
      </c>
      <c r="X530" s="249" t="str">
        <f>IFERROR(__xludf.DUMMYFUNCTION("""COMPUTED_VALUE"""),"")</f>
        <v/>
      </c>
      <c r="Y530" s="250" t="str">
        <f t="shared" si="7"/>
        <v/>
      </c>
    </row>
    <row r="531">
      <c r="A531" s="136" t="s">
        <v>133</v>
      </c>
      <c r="B531" s="136"/>
      <c r="C531" s="136" t="s">
        <v>133</v>
      </c>
      <c r="D531" s="136"/>
      <c r="E531" s="256" t="str">
        <f>IFERROR(__xludf.DUMMYFUNCTION("""COMPUTED_VALUE"""),"")</f>
        <v/>
      </c>
      <c r="F531" s="257" t="str">
        <f>IFERROR(__xludf.DUMMYFUNCTION("""COMPUTED_VALUE"""),"")</f>
        <v/>
      </c>
      <c r="G531" s="247" t="str">
        <f t="shared" si="1"/>
        <v/>
      </c>
      <c r="H531" s="258" t="str">
        <f>IFERROR(__xludf.DUMMYFUNCTION("""COMPUTED_VALUE"""),"")</f>
        <v/>
      </c>
      <c r="I531" s="259" t="str">
        <f>IFERROR(__xludf.DUMMYFUNCTION("""COMPUTED_VALUE"""),"")</f>
        <v/>
      </c>
      <c r="J531" s="250" t="str">
        <f t="shared" si="2"/>
        <v/>
      </c>
      <c r="K531" s="317" t="str">
        <f>IFERROR(__xludf.DUMMYFUNCTION("""COMPUTED_VALUE"""),"")</f>
        <v/>
      </c>
      <c r="L531" s="318" t="str">
        <f>IFERROR(__xludf.DUMMYFUNCTION("""COMPUTED_VALUE"""),"")</f>
        <v/>
      </c>
      <c r="M531" s="253" t="str">
        <f t="shared" si="3"/>
        <v/>
      </c>
      <c r="N531" s="319" t="str">
        <f>IFERROR(__xludf.DUMMYFUNCTION("""COMPUTED_VALUE"""),"")</f>
        <v/>
      </c>
      <c r="O531" s="257" t="str">
        <f>IFERROR(__xludf.DUMMYFUNCTION("""COMPUTED_VALUE"""),"")</f>
        <v/>
      </c>
      <c r="P531" s="247" t="str">
        <f t="shared" si="4"/>
        <v/>
      </c>
      <c r="Q531" s="320" t="str">
        <f>IFERROR(__xludf.DUMMYFUNCTION("""COMPUTED_VALUE"""),"")</f>
        <v/>
      </c>
      <c r="R531" s="259" t="str">
        <f>IFERROR(__xludf.DUMMYFUNCTION("""COMPUTED_VALUE"""),"")</f>
        <v/>
      </c>
      <c r="S531" s="250" t="str">
        <f t="shared" si="5"/>
        <v/>
      </c>
      <c r="T531" s="254" t="str">
        <f>IFERROR(__xludf.DUMMYFUNCTION("""COMPUTED_VALUE"""),"")</f>
        <v/>
      </c>
      <c r="U531" s="246" t="str">
        <f>IFERROR(__xludf.DUMMYFUNCTION("""COMPUTED_VALUE"""),"")</f>
        <v/>
      </c>
      <c r="V531" s="247" t="str">
        <f t="shared" si="6"/>
        <v/>
      </c>
      <c r="W531" s="255" t="str">
        <f>IFERROR(__xludf.DUMMYFUNCTION("""COMPUTED_VALUE"""),"")</f>
        <v/>
      </c>
      <c r="X531" s="249" t="str">
        <f>IFERROR(__xludf.DUMMYFUNCTION("""COMPUTED_VALUE"""),"")</f>
        <v/>
      </c>
      <c r="Y531" s="250" t="str">
        <f t="shared" si="7"/>
        <v/>
      </c>
    </row>
    <row r="532">
      <c r="A532" s="136" t="s">
        <v>133</v>
      </c>
      <c r="B532" s="136"/>
      <c r="C532" s="136" t="s">
        <v>133</v>
      </c>
      <c r="D532" s="136"/>
      <c r="E532" s="256" t="str">
        <f>IFERROR(__xludf.DUMMYFUNCTION("""COMPUTED_VALUE"""),"")</f>
        <v/>
      </c>
      <c r="F532" s="257" t="str">
        <f>IFERROR(__xludf.DUMMYFUNCTION("""COMPUTED_VALUE"""),"")</f>
        <v/>
      </c>
      <c r="G532" s="247" t="str">
        <f t="shared" si="1"/>
        <v/>
      </c>
      <c r="H532" s="258" t="str">
        <f>IFERROR(__xludf.DUMMYFUNCTION("""COMPUTED_VALUE"""),"")</f>
        <v/>
      </c>
      <c r="I532" s="259" t="str">
        <f>IFERROR(__xludf.DUMMYFUNCTION("""COMPUTED_VALUE"""),"")</f>
        <v/>
      </c>
      <c r="J532" s="250" t="str">
        <f t="shared" si="2"/>
        <v/>
      </c>
      <c r="K532" s="317" t="str">
        <f>IFERROR(__xludf.DUMMYFUNCTION("""COMPUTED_VALUE"""),"")</f>
        <v/>
      </c>
      <c r="L532" s="318" t="str">
        <f>IFERROR(__xludf.DUMMYFUNCTION("""COMPUTED_VALUE"""),"")</f>
        <v/>
      </c>
      <c r="M532" s="253" t="str">
        <f t="shared" si="3"/>
        <v/>
      </c>
      <c r="N532" s="319" t="str">
        <f>IFERROR(__xludf.DUMMYFUNCTION("""COMPUTED_VALUE"""),"")</f>
        <v/>
      </c>
      <c r="O532" s="257" t="str">
        <f>IFERROR(__xludf.DUMMYFUNCTION("""COMPUTED_VALUE"""),"")</f>
        <v/>
      </c>
      <c r="P532" s="247" t="str">
        <f t="shared" si="4"/>
        <v/>
      </c>
      <c r="Q532" s="320" t="str">
        <f>IFERROR(__xludf.DUMMYFUNCTION("""COMPUTED_VALUE"""),"")</f>
        <v/>
      </c>
      <c r="R532" s="259" t="str">
        <f>IFERROR(__xludf.DUMMYFUNCTION("""COMPUTED_VALUE"""),"")</f>
        <v/>
      </c>
      <c r="S532" s="250" t="str">
        <f t="shared" si="5"/>
        <v/>
      </c>
      <c r="T532" s="254" t="str">
        <f>IFERROR(__xludf.DUMMYFUNCTION("""COMPUTED_VALUE"""),"")</f>
        <v/>
      </c>
      <c r="U532" s="246" t="str">
        <f>IFERROR(__xludf.DUMMYFUNCTION("""COMPUTED_VALUE"""),"")</f>
        <v/>
      </c>
      <c r="V532" s="247" t="str">
        <f t="shared" si="6"/>
        <v/>
      </c>
      <c r="W532" s="255" t="str">
        <f>IFERROR(__xludf.DUMMYFUNCTION("""COMPUTED_VALUE"""),"")</f>
        <v/>
      </c>
      <c r="X532" s="249" t="str">
        <f>IFERROR(__xludf.DUMMYFUNCTION("""COMPUTED_VALUE"""),"")</f>
        <v/>
      </c>
      <c r="Y532" s="250" t="str">
        <f t="shared" si="7"/>
        <v/>
      </c>
    </row>
    <row r="533">
      <c r="A533" s="136" t="s">
        <v>133</v>
      </c>
      <c r="B533" s="136"/>
      <c r="C533" s="136" t="s">
        <v>133</v>
      </c>
      <c r="D533" s="136"/>
      <c r="E533" s="256" t="str">
        <f>IFERROR(__xludf.DUMMYFUNCTION("""COMPUTED_VALUE"""),"")</f>
        <v/>
      </c>
      <c r="F533" s="257" t="str">
        <f>IFERROR(__xludf.DUMMYFUNCTION("""COMPUTED_VALUE"""),"")</f>
        <v/>
      </c>
      <c r="G533" s="247" t="str">
        <f t="shared" si="1"/>
        <v/>
      </c>
      <c r="H533" s="258" t="str">
        <f>IFERROR(__xludf.DUMMYFUNCTION("""COMPUTED_VALUE"""),"")</f>
        <v/>
      </c>
      <c r="I533" s="259" t="str">
        <f>IFERROR(__xludf.DUMMYFUNCTION("""COMPUTED_VALUE"""),"")</f>
        <v/>
      </c>
      <c r="J533" s="250" t="str">
        <f t="shared" si="2"/>
        <v/>
      </c>
      <c r="K533" s="317" t="str">
        <f>IFERROR(__xludf.DUMMYFUNCTION("""COMPUTED_VALUE"""),"")</f>
        <v/>
      </c>
      <c r="L533" s="318" t="str">
        <f>IFERROR(__xludf.DUMMYFUNCTION("""COMPUTED_VALUE"""),"")</f>
        <v/>
      </c>
      <c r="M533" s="253" t="str">
        <f t="shared" si="3"/>
        <v/>
      </c>
      <c r="N533" s="319" t="str">
        <f>IFERROR(__xludf.DUMMYFUNCTION("""COMPUTED_VALUE"""),"")</f>
        <v/>
      </c>
      <c r="O533" s="257" t="str">
        <f>IFERROR(__xludf.DUMMYFUNCTION("""COMPUTED_VALUE"""),"")</f>
        <v/>
      </c>
      <c r="P533" s="247" t="str">
        <f t="shared" si="4"/>
        <v/>
      </c>
      <c r="Q533" s="320" t="str">
        <f>IFERROR(__xludf.DUMMYFUNCTION("""COMPUTED_VALUE"""),"")</f>
        <v/>
      </c>
      <c r="R533" s="259" t="str">
        <f>IFERROR(__xludf.DUMMYFUNCTION("""COMPUTED_VALUE"""),"")</f>
        <v/>
      </c>
      <c r="S533" s="250" t="str">
        <f t="shared" si="5"/>
        <v/>
      </c>
      <c r="T533" s="254" t="str">
        <f>IFERROR(__xludf.DUMMYFUNCTION("""COMPUTED_VALUE"""),"")</f>
        <v/>
      </c>
      <c r="U533" s="246" t="str">
        <f>IFERROR(__xludf.DUMMYFUNCTION("""COMPUTED_VALUE"""),"")</f>
        <v/>
      </c>
      <c r="V533" s="247" t="str">
        <f t="shared" si="6"/>
        <v/>
      </c>
      <c r="W533" s="255" t="str">
        <f>IFERROR(__xludf.DUMMYFUNCTION("""COMPUTED_VALUE"""),"")</f>
        <v/>
      </c>
      <c r="X533" s="249" t="str">
        <f>IFERROR(__xludf.DUMMYFUNCTION("""COMPUTED_VALUE"""),"")</f>
        <v/>
      </c>
      <c r="Y533" s="250" t="str">
        <f t="shared" si="7"/>
        <v/>
      </c>
    </row>
    <row r="534">
      <c r="A534" s="136" t="s">
        <v>133</v>
      </c>
      <c r="B534" s="136"/>
      <c r="C534" s="136" t="s">
        <v>133</v>
      </c>
      <c r="D534" s="136"/>
      <c r="E534" s="256" t="str">
        <f>IFERROR(__xludf.DUMMYFUNCTION("""COMPUTED_VALUE"""),"")</f>
        <v/>
      </c>
      <c r="F534" s="257" t="str">
        <f>IFERROR(__xludf.DUMMYFUNCTION("""COMPUTED_VALUE"""),"")</f>
        <v/>
      </c>
      <c r="G534" s="247" t="str">
        <f t="shared" si="1"/>
        <v/>
      </c>
      <c r="H534" s="258" t="str">
        <f>IFERROR(__xludf.DUMMYFUNCTION("""COMPUTED_VALUE"""),"")</f>
        <v/>
      </c>
      <c r="I534" s="259" t="str">
        <f>IFERROR(__xludf.DUMMYFUNCTION("""COMPUTED_VALUE"""),"")</f>
        <v/>
      </c>
      <c r="J534" s="250" t="str">
        <f t="shared" si="2"/>
        <v/>
      </c>
      <c r="K534" s="317" t="str">
        <f>IFERROR(__xludf.DUMMYFUNCTION("""COMPUTED_VALUE"""),"")</f>
        <v/>
      </c>
      <c r="L534" s="318" t="str">
        <f>IFERROR(__xludf.DUMMYFUNCTION("""COMPUTED_VALUE"""),"")</f>
        <v/>
      </c>
      <c r="M534" s="253" t="str">
        <f t="shared" si="3"/>
        <v/>
      </c>
      <c r="N534" s="319" t="str">
        <f>IFERROR(__xludf.DUMMYFUNCTION("""COMPUTED_VALUE"""),"")</f>
        <v/>
      </c>
      <c r="O534" s="257" t="str">
        <f>IFERROR(__xludf.DUMMYFUNCTION("""COMPUTED_VALUE"""),"")</f>
        <v/>
      </c>
      <c r="P534" s="247" t="str">
        <f t="shared" si="4"/>
        <v/>
      </c>
      <c r="Q534" s="320" t="str">
        <f>IFERROR(__xludf.DUMMYFUNCTION("""COMPUTED_VALUE"""),"")</f>
        <v/>
      </c>
      <c r="R534" s="259" t="str">
        <f>IFERROR(__xludf.DUMMYFUNCTION("""COMPUTED_VALUE"""),"")</f>
        <v/>
      </c>
      <c r="S534" s="250" t="str">
        <f t="shared" si="5"/>
        <v/>
      </c>
      <c r="T534" s="254" t="str">
        <f>IFERROR(__xludf.DUMMYFUNCTION("""COMPUTED_VALUE"""),"")</f>
        <v/>
      </c>
      <c r="U534" s="246" t="str">
        <f>IFERROR(__xludf.DUMMYFUNCTION("""COMPUTED_VALUE"""),"")</f>
        <v/>
      </c>
      <c r="V534" s="247" t="str">
        <f t="shared" si="6"/>
        <v/>
      </c>
      <c r="W534" s="255" t="str">
        <f>IFERROR(__xludf.DUMMYFUNCTION("""COMPUTED_VALUE"""),"")</f>
        <v/>
      </c>
      <c r="X534" s="249" t="str">
        <f>IFERROR(__xludf.DUMMYFUNCTION("""COMPUTED_VALUE"""),"")</f>
        <v/>
      </c>
      <c r="Y534" s="250" t="str">
        <f t="shared" si="7"/>
        <v/>
      </c>
    </row>
    <row r="535">
      <c r="A535" s="136" t="s">
        <v>133</v>
      </c>
      <c r="B535" s="136"/>
      <c r="C535" s="136" t="s">
        <v>133</v>
      </c>
      <c r="D535" s="136"/>
      <c r="E535" s="256" t="str">
        <f>IFERROR(__xludf.DUMMYFUNCTION("""COMPUTED_VALUE"""),"")</f>
        <v/>
      </c>
      <c r="F535" s="257" t="str">
        <f>IFERROR(__xludf.DUMMYFUNCTION("""COMPUTED_VALUE"""),"")</f>
        <v/>
      </c>
      <c r="G535" s="247" t="str">
        <f t="shared" si="1"/>
        <v/>
      </c>
      <c r="H535" s="258" t="str">
        <f>IFERROR(__xludf.DUMMYFUNCTION("""COMPUTED_VALUE"""),"")</f>
        <v/>
      </c>
      <c r="I535" s="259" t="str">
        <f>IFERROR(__xludf.DUMMYFUNCTION("""COMPUTED_VALUE"""),"")</f>
        <v/>
      </c>
      <c r="J535" s="250" t="str">
        <f t="shared" si="2"/>
        <v/>
      </c>
      <c r="K535" s="317" t="str">
        <f>IFERROR(__xludf.DUMMYFUNCTION("""COMPUTED_VALUE"""),"")</f>
        <v/>
      </c>
      <c r="L535" s="318" t="str">
        <f>IFERROR(__xludf.DUMMYFUNCTION("""COMPUTED_VALUE"""),"")</f>
        <v/>
      </c>
      <c r="M535" s="253" t="str">
        <f t="shared" si="3"/>
        <v/>
      </c>
      <c r="N535" s="319" t="str">
        <f>IFERROR(__xludf.DUMMYFUNCTION("""COMPUTED_VALUE"""),"")</f>
        <v/>
      </c>
      <c r="O535" s="257" t="str">
        <f>IFERROR(__xludf.DUMMYFUNCTION("""COMPUTED_VALUE"""),"")</f>
        <v/>
      </c>
      <c r="P535" s="247" t="str">
        <f t="shared" si="4"/>
        <v/>
      </c>
      <c r="Q535" s="320" t="str">
        <f>IFERROR(__xludf.DUMMYFUNCTION("""COMPUTED_VALUE"""),"")</f>
        <v/>
      </c>
      <c r="R535" s="259" t="str">
        <f>IFERROR(__xludf.DUMMYFUNCTION("""COMPUTED_VALUE"""),"")</f>
        <v/>
      </c>
      <c r="S535" s="250" t="str">
        <f t="shared" si="5"/>
        <v/>
      </c>
      <c r="T535" s="254" t="str">
        <f>IFERROR(__xludf.DUMMYFUNCTION("""COMPUTED_VALUE"""),"")</f>
        <v/>
      </c>
      <c r="U535" s="246" t="str">
        <f>IFERROR(__xludf.DUMMYFUNCTION("""COMPUTED_VALUE"""),"")</f>
        <v/>
      </c>
      <c r="V535" s="247" t="str">
        <f t="shared" si="6"/>
        <v/>
      </c>
      <c r="W535" s="255" t="str">
        <f>IFERROR(__xludf.DUMMYFUNCTION("""COMPUTED_VALUE"""),"")</f>
        <v/>
      </c>
      <c r="X535" s="249" t="str">
        <f>IFERROR(__xludf.DUMMYFUNCTION("""COMPUTED_VALUE"""),"")</f>
        <v/>
      </c>
      <c r="Y535" s="250" t="str">
        <f t="shared" si="7"/>
        <v/>
      </c>
    </row>
    <row r="536">
      <c r="A536" s="136" t="s">
        <v>133</v>
      </c>
      <c r="B536" s="136"/>
      <c r="C536" s="136" t="s">
        <v>133</v>
      </c>
      <c r="D536" s="136"/>
      <c r="E536" s="256" t="str">
        <f>IFERROR(__xludf.DUMMYFUNCTION("""COMPUTED_VALUE"""),"")</f>
        <v/>
      </c>
      <c r="F536" s="257" t="str">
        <f>IFERROR(__xludf.DUMMYFUNCTION("""COMPUTED_VALUE"""),"")</f>
        <v/>
      </c>
      <c r="G536" s="247" t="str">
        <f t="shared" si="1"/>
        <v/>
      </c>
      <c r="H536" s="258" t="str">
        <f>IFERROR(__xludf.DUMMYFUNCTION("""COMPUTED_VALUE"""),"")</f>
        <v/>
      </c>
      <c r="I536" s="259" t="str">
        <f>IFERROR(__xludf.DUMMYFUNCTION("""COMPUTED_VALUE"""),"")</f>
        <v/>
      </c>
      <c r="J536" s="250" t="str">
        <f t="shared" si="2"/>
        <v/>
      </c>
      <c r="K536" s="317" t="str">
        <f>IFERROR(__xludf.DUMMYFUNCTION("""COMPUTED_VALUE"""),"")</f>
        <v/>
      </c>
      <c r="L536" s="318" t="str">
        <f>IFERROR(__xludf.DUMMYFUNCTION("""COMPUTED_VALUE"""),"")</f>
        <v/>
      </c>
      <c r="M536" s="253" t="str">
        <f t="shared" si="3"/>
        <v/>
      </c>
      <c r="N536" s="319" t="str">
        <f>IFERROR(__xludf.DUMMYFUNCTION("""COMPUTED_VALUE"""),"")</f>
        <v/>
      </c>
      <c r="O536" s="257" t="str">
        <f>IFERROR(__xludf.DUMMYFUNCTION("""COMPUTED_VALUE"""),"")</f>
        <v/>
      </c>
      <c r="P536" s="247" t="str">
        <f t="shared" si="4"/>
        <v/>
      </c>
      <c r="Q536" s="320" t="str">
        <f>IFERROR(__xludf.DUMMYFUNCTION("""COMPUTED_VALUE"""),"")</f>
        <v/>
      </c>
      <c r="R536" s="259" t="str">
        <f>IFERROR(__xludf.DUMMYFUNCTION("""COMPUTED_VALUE"""),"")</f>
        <v/>
      </c>
      <c r="S536" s="250" t="str">
        <f t="shared" si="5"/>
        <v/>
      </c>
      <c r="T536" s="254" t="str">
        <f>IFERROR(__xludf.DUMMYFUNCTION("""COMPUTED_VALUE"""),"")</f>
        <v/>
      </c>
      <c r="U536" s="246" t="str">
        <f>IFERROR(__xludf.DUMMYFUNCTION("""COMPUTED_VALUE"""),"")</f>
        <v/>
      </c>
      <c r="V536" s="247" t="str">
        <f t="shared" si="6"/>
        <v/>
      </c>
      <c r="W536" s="255" t="str">
        <f>IFERROR(__xludf.DUMMYFUNCTION("""COMPUTED_VALUE"""),"")</f>
        <v/>
      </c>
      <c r="X536" s="249" t="str">
        <f>IFERROR(__xludf.DUMMYFUNCTION("""COMPUTED_VALUE"""),"")</f>
        <v/>
      </c>
      <c r="Y536" s="250" t="str">
        <f t="shared" si="7"/>
        <v/>
      </c>
    </row>
    <row r="537">
      <c r="A537" s="136" t="s">
        <v>133</v>
      </c>
      <c r="B537" s="136"/>
      <c r="C537" s="136" t="s">
        <v>133</v>
      </c>
      <c r="D537" s="136"/>
      <c r="E537" s="256" t="str">
        <f>IFERROR(__xludf.DUMMYFUNCTION("""COMPUTED_VALUE"""),"")</f>
        <v/>
      </c>
      <c r="F537" s="257" t="str">
        <f>IFERROR(__xludf.DUMMYFUNCTION("""COMPUTED_VALUE"""),"")</f>
        <v/>
      </c>
      <c r="G537" s="247" t="str">
        <f t="shared" si="1"/>
        <v/>
      </c>
      <c r="H537" s="258" t="str">
        <f>IFERROR(__xludf.DUMMYFUNCTION("""COMPUTED_VALUE"""),"")</f>
        <v/>
      </c>
      <c r="I537" s="259" t="str">
        <f>IFERROR(__xludf.DUMMYFUNCTION("""COMPUTED_VALUE"""),"")</f>
        <v/>
      </c>
      <c r="J537" s="250" t="str">
        <f t="shared" si="2"/>
        <v/>
      </c>
      <c r="K537" s="317" t="str">
        <f>IFERROR(__xludf.DUMMYFUNCTION("""COMPUTED_VALUE"""),"")</f>
        <v/>
      </c>
      <c r="L537" s="318" t="str">
        <f>IFERROR(__xludf.DUMMYFUNCTION("""COMPUTED_VALUE"""),"")</f>
        <v/>
      </c>
      <c r="M537" s="253" t="str">
        <f t="shared" si="3"/>
        <v/>
      </c>
      <c r="N537" s="319" t="str">
        <f>IFERROR(__xludf.DUMMYFUNCTION("""COMPUTED_VALUE"""),"")</f>
        <v/>
      </c>
      <c r="O537" s="257" t="str">
        <f>IFERROR(__xludf.DUMMYFUNCTION("""COMPUTED_VALUE"""),"")</f>
        <v/>
      </c>
      <c r="P537" s="247" t="str">
        <f t="shared" si="4"/>
        <v/>
      </c>
      <c r="Q537" s="320" t="str">
        <f>IFERROR(__xludf.DUMMYFUNCTION("""COMPUTED_VALUE"""),"")</f>
        <v/>
      </c>
      <c r="R537" s="259" t="str">
        <f>IFERROR(__xludf.DUMMYFUNCTION("""COMPUTED_VALUE"""),"")</f>
        <v/>
      </c>
      <c r="S537" s="250" t="str">
        <f t="shared" si="5"/>
        <v/>
      </c>
      <c r="T537" s="254" t="str">
        <f>IFERROR(__xludf.DUMMYFUNCTION("""COMPUTED_VALUE"""),"")</f>
        <v/>
      </c>
      <c r="U537" s="246" t="str">
        <f>IFERROR(__xludf.DUMMYFUNCTION("""COMPUTED_VALUE"""),"")</f>
        <v/>
      </c>
      <c r="V537" s="247" t="str">
        <f t="shared" si="6"/>
        <v/>
      </c>
      <c r="W537" s="255" t="str">
        <f>IFERROR(__xludf.DUMMYFUNCTION("""COMPUTED_VALUE"""),"")</f>
        <v/>
      </c>
      <c r="X537" s="249" t="str">
        <f>IFERROR(__xludf.DUMMYFUNCTION("""COMPUTED_VALUE"""),"")</f>
        <v/>
      </c>
      <c r="Y537" s="250" t="str">
        <f t="shared" si="7"/>
        <v/>
      </c>
    </row>
    <row r="538">
      <c r="A538" s="136" t="s">
        <v>133</v>
      </c>
      <c r="B538" s="136"/>
      <c r="C538" s="136" t="s">
        <v>133</v>
      </c>
      <c r="D538" s="136"/>
      <c r="E538" s="256" t="str">
        <f>IFERROR(__xludf.DUMMYFUNCTION("""COMPUTED_VALUE"""),"")</f>
        <v/>
      </c>
      <c r="F538" s="257" t="str">
        <f>IFERROR(__xludf.DUMMYFUNCTION("""COMPUTED_VALUE"""),"")</f>
        <v/>
      </c>
      <c r="G538" s="247" t="str">
        <f t="shared" si="1"/>
        <v/>
      </c>
      <c r="H538" s="258" t="str">
        <f>IFERROR(__xludf.DUMMYFUNCTION("""COMPUTED_VALUE"""),"")</f>
        <v/>
      </c>
      <c r="I538" s="259" t="str">
        <f>IFERROR(__xludf.DUMMYFUNCTION("""COMPUTED_VALUE"""),"")</f>
        <v/>
      </c>
      <c r="J538" s="250" t="str">
        <f t="shared" si="2"/>
        <v/>
      </c>
      <c r="K538" s="317" t="str">
        <f>IFERROR(__xludf.DUMMYFUNCTION("""COMPUTED_VALUE"""),"")</f>
        <v/>
      </c>
      <c r="L538" s="318" t="str">
        <f>IFERROR(__xludf.DUMMYFUNCTION("""COMPUTED_VALUE"""),"")</f>
        <v/>
      </c>
      <c r="M538" s="253" t="str">
        <f t="shared" si="3"/>
        <v/>
      </c>
      <c r="N538" s="319" t="str">
        <f>IFERROR(__xludf.DUMMYFUNCTION("""COMPUTED_VALUE"""),"")</f>
        <v/>
      </c>
      <c r="O538" s="257" t="str">
        <f>IFERROR(__xludf.DUMMYFUNCTION("""COMPUTED_VALUE"""),"")</f>
        <v/>
      </c>
      <c r="P538" s="247" t="str">
        <f t="shared" si="4"/>
        <v/>
      </c>
      <c r="Q538" s="320" t="str">
        <f>IFERROR(__xludf.DUMMYFUNCTION("""COMPUTED_VALUE"""),"")</f>
        <v/>
      </c>
      <c r="R538" s="259" t="str">
        <f>IFERROR(__xludf.DUMMYFUNCTION("""COMPUTED_VALUE"""),"")</f>
        <v/>
      </c>
      <c r="S538" s="250" t="str">
        <f t="shared" si="5"/>
        <v/>
      </c>
      <c r="T538" s="254" t="str">
        <f>IFERROR(__xludf.DUMMYFUNCTION("""COMPUTED_VALUE"""),"")</f>
        <v/>
      </c>
      <c r="U538" s="246" t="str">
        <f>IFERROR(__xludf.DUMMYFUNCTION("""COMPUTED_VALUE"""),"")</f>
        <v/>
      </c>
      <c r="V538" s="247" t="str">
        <f t="shared" si="6"/>
        <v/>
      </c>
      <c r="W538" s="255" t="str">
        <f>IFERROR(__xludf.DUMMYFUNCTION("""COMPUTED_VALUE"""),"")</f>
        <v/>
      </c>
      <c r="X538" s="249" t="str">
        <f>IFERROR(__xludf.DUMMYFUNCTION("""COMPUTED_VALUE"""),"")</f>
        <v/>
      </c>
      <c r="Y538" s="250" t="str">
        <f t="shared" si="7"/>
        <v/>
      </c>
    </row>
    <row r="539">
      <c r="A539" s="136" t="s">
        <v>133</v>
      </c>
      <c r="B539" s="136"/>
      <c r="C539" s="136" t="s">
        <v>133</v>
      </c>
      <c r="D539" s="136"/>
      <c r="E539" s="256" t="str">
        <f>IFERROR(__xludf.DUMMYFUNCTION("""COMPUTED_VALUE"""),"")</f>
        <v/>
      </c>
      <c r="F539" s="257" t="str">
        <f>IFERROR(__xludf.DUMMYFUNCTION("""COMPUTED_VALUE"""),"")</f>
        <v/>
      </c>
      <c r="G539" s="247" t="str">
        <f t="shared" si="1"/>
        <v/>
      </c>
      <c r="H539" s="258" t="str">
        <f>IFERROR(__xludf.DUMMYFUNCTION("""COMPUTED_VALUE"""),"")</f>
        <v/>
      </c>
      <c r="I539" s="259" t="str">
        <f>IFERROR(__xludf.DUMMYFUNCTION("""COMPUTED_VALUE"""),"")</f>
        <v/>
      </c>
      <c r="J539" s="250" t="str">
        <f t="shared" si="2"/>
        <v/>
      </c>
      <c r="K539" s="317" t="str">
        <f>IFERROR(__xludf.DUMMYFUNCTION("""COMPUTED_VALUE"""),"")</f>
        <v/>
      </c>
      <c r="L539" s="318" t="str">
        <f>IFERROR(__xludf.DUMMYFUNCTION("""COMPUTED_VALUE"""),"")</f>
        <v/>
      </c>
      <c r="M539" s="253" t="str">
        <f t="shared" si="3"/>
        <v/>
      </c>
      <c r="N539" s="319" t="str">
        <f>IFERROR(__xludf.DUMMYFUNCTION("""COMPUTED_VALUE"""),"")</f>
        <v/>
      </c>
      <c r="O539" s="257" t="str">
        <f>IFERROR(__xludf.DUMMYFUNCTION("""COMPUTED_VALUE"""),"")</f>
        <v/>
      </c>
      <c r="P539" s="247" t="str">
        <f t="shared" si="4"/>
        <v/>
      </c>
      <c r="Q539" s="320" t="str">
        <f>IFERROR(__xludf.DUMMYFUNCTION("""COMPUTED_VALUE"""),"")</f>
        <v/>
      </c>
      <c r="R539" s="259" t="str">
        <f>IFERROR(__xludf.DUMMYFUNCTION("""COMPUTED_VALUE"""),"")</f>
        <v/>
      </c>
      <c r="S539" s="250" t="str">
        <f t="shared" si="5"/>
        <v/>
      </c>
      <c r="T539" s="254" t="str">
        <f>IFERROR(__xludf.DUMMYFUNCTION("""COMPUTED_VALUE"""),"")</f>
        <v/>
      </c>
      <c r="U539" s="246" t="str">
        <f>IFERROR(__xludf.DUMMYFUNCTION("""COMPUTED_VALUE"""),"")</f>
        <v/>
      </c>
      <c r="V539" s="247" t="str">
        <f t="shared" si="6"/>
        <v/>
      </c>
      <c r="W539" s="255" t="str">
        <f>IFERROR(__xludf.DUMMYFUNCTION("""COMPUTED_VALUE"""),"")</f>
        <v/>
      </c>
      <c r="X539" s="249" t="str">
        <f>IFERROR(__xludf.DUMMYFUNCTION("""COMPUTED_VALUE"""),"")</f>
        <v/>
      </c>
      <c r="Y539" s="250" t="str">
        <f t="shared" si="7"/>
        <v/>
      </c>
    </row>
    <row r="540">
      <c r="A540" s="136" t="s">
        <v>133</v>
      </c>
      <c r="B540" s="136"/>
      <c r="C540" s="136" t="s">
        <v>133</v>
      </c>
      <c r="D540" s="136"/>
      <c r="E540" s="256" t="str">
        <f>IFERROR(__xludf.DUMMYFUNCTION("""COMPUTED_VALUE"""),"")</f>
        <v/>
      </c>
      <c r="F540" s="257" t="str">
        <f>IFERROR(__xludf.DUMMYFUNCTION("""COMPUTED_VALUE"""),"")</f>
        <v/>
      </c>
      <c r="G540" s="247" t="str">
        <f t="shared" si="1"/>
        <v/>
      </c>
      <c r="H540" s="258" t="str">
        <f>IFERROR(__xludf.DUMMYFUNCTION("""COMPUTED_VALUE"""),"")</f>
        <v/>
      </c>
      <c r="I540" s="259" t="str">
        <f>IFERROR(__xludf.DUMMYFUNCTION("""COMPUTED_VALUE"""),"")</f>
        <v/>
      </c>
      <c r="J540" s="250" t="str">
        <f t="shared" si="2"/>
        <v/>
      </c>
      <c r="K540" s="317" t="str">
        <f>IFERROR(__xludf.DUMMYFUNCTION("""COMPUTED_VALUE"""),"")</f>
        <v/>
      </c>
      <c r="L540" s="318" t="str">
        <f>IFERROR(__xludf.DUMMYFUNCTION("""COMPUTED_VALUE"""),"")</f>
        <v/>
      </c>
      <c r="M540" s="253" t="str">
        <f t="shared" si="3"/>
        <v/>
      </c>
      <c r="N540" s="319" t="str">
        <f>IFERROR(__xludf.DUMMYFUNCTION("""COMPUTED_VALUE"""),"")</f>
        <v/>
      </c>
      <c r="O540" s="257" t="str">
        <f>IFERROR(__xludf.DUMMYFUNCTION("""COMPUTED_VALUE"""),"")</f>
        <v/>
      </c>
      <c r="P540" s="247" t="str">
        <f t="shared" si="4"/>
        <v/>
      </c>
      <c r="Q540" s="320" t="str">
        <f>IFERROR(__xludf.DUMMYFUNCTION("""COMPUTED_VALUE"""),"")</f>
        <v/>
      </c>
      <c r="R540" s="259" t="str">
        <f>IFERROR(__xludf.DUMMYFUNCTION("""COMPUTED_VALUE"""),"")</f>
        <v/>
      </c>
      <c r="S540" s="250" t="str">
        <f t="shared" si="5"/>
        <v/>
      </c>
      <c r="T540" s="254" t="str">
        <f>IFERROR(__xludf.DUMMYFUNCTION("""COMPUTED_VALUE"""),"")</f>
        <v/>
      </c>
      <c r="U540" s="246" t="str">
        <f>IFERROR(__xludf.DUMMYFUNCTION("""COMPUTED_VALUE"""),"")</f>
        <v/>
      </c>
      <c r="V540" s="247" t="str">
        <f t="shared" si="6"/>
        <v/>
      </c>
      <c r="W540" s="255" t="str">
        <f>IFERROR(__xludf.DUMMYFUNCTION("""COMPUTED_VALUE"""),"")</f>
        <v/>
      </c>
      <c r="X540" s="249" t="str">
        <f>IFERROR(__xludf.DUMMYFUNCTION("""COMPUTED_VALUE"""),"")</f>
        <v/>
      </c>
      <c r="Y540" s="250" t="str">
        <f t="shared" si="7"/>
        <v/>
      </c>
    </row>
    <row r="541">
      <c r="A541" s="136" t="s">
        <v>133</v>
      </c>
      <c r="B541" s="136"/>
      <c r="C541" s="136" t="s">
        <v>133</v>
      </c>
      <c r="D541" s="136"/>
      <c r="E541" s="256" t="str">
        <f>IFERROR(__xludf.DUMMYFUNCTION("""COMPUTED_VALUE"""),"")</f>
        <v/>
      </c>
      <c r="F541" s="257" t="str">
        <f>IFERROR(__xludf.DUMMYFUNCTION("""COMPUTED_VALUE"""),"")</f>
        <v/>
      </c>
      <c r="G541" s="247" t="str">
        <f t="shared" si="1"/>
        <v/>
      </c>
      <c r="H541" s="258" t="str">
        <f>IFERROR(__xludf.DUMMYFUNCTION("""COMPUTED_VALUE"""),"")</f>
        <v/>
      </c>
      <c r="I541" s="259" t="str">
        <f>IFERROR(__xludf.DUMMYFUNCTION("""COMPUTED_VALUE"""),"")</f>
        <v/>
      </c>
      <c r="J541" s="250" t="str">
        <f t="shared" si="2"/>
        <v/>
      </c>
      <c r="K541" s="317" t="str">
        <f>IFERROR(__xludf.DUMMYFUNCTION("""COMPUTED_VALUE"""),"")</f>
        <v/>
      </c>
      <c r="L541" s="318" t="str">
        <f>IFERROR(__xludf.DUMMYFUNCTION("""COMPUTED_VALUE"""),"")</f>
        <v/>
      </c>
      <c r="M541" s="253" t="str">
        <f t="shared" si="3"/>
        <v/>
      </c>
      <c r="N541" s="319" t="str">
        <f>IFERROR(__xludf.DUMMYFUNCTION("""COMPUTED_VALUE"""),"")</f>
        <v/>
      </c>
      <c r="O541" s="257" t="str">
        <f>IFERROR(__xludf.DUMMYFUNCTION("""COMPUTED_VALUE"""),"")</f>
        <v/>
      </c>
      <c r="P541" s="247" t="str">
        <f t="shared" si="4"/>
        <v/>
      </c>
      <c r="Q541" s="320" t="str">
        <f>IFERROR(__xludf.DUMMYFUNCTION("""COMPUTED_VALUE"""),"")</f>
        <v/>
      </c>
      <c r="R541" s="259" t="str">
        <f>IFERROR(__xludf.DUMMYFUNCTION("""COMPUTED_VALUE"""),"")</f>
        <v/>
      </c>
      <c r="S541" s="250" t="str">
        <f t="shared" si="5"/>
        <v/>
      </c>
      <c r="T541" s="254" t="str">
        <f>IFERROR(__xludf.DUMMYFUNCTION("""COMPUTED_VALUE"""),"")</f>
        <v/>
      </c>
      <c r="U541" s="246" t="str">
        <f>IFERROR(__xludf.DUMMYFUNCTION("""COMPUTED_VALUE"""),"")</f>
        <v/>
      </c>
      <c r="V541" s="247" t="str">
        <f t="shared" si="6"/>
        <v/>
      </c>
      <c r="W541" s="255" t="str">
        <f>IFERROR(__xludf.DUMMYFUNCTION("""COMPUTED_VALUE"""),"")</f>
        <v/>
      </c>
      <c r="X541" s="249" t="str">
        <f>IFERROR(__xludf.DUMMYFUNCTION("""COMPUTED_VALUE"""),"")</f>
        <v/>
      </c>
      <c r="Y541" s="250" t="str">
        <f t="shared" si="7"/>
        <v/>
      </c>
    </row>
    <row r="542">
      <c r="A542" s="136" t="s">
        <v>133</v>
      </c>
      <c r="B542" s="136"/>
      <c r="C542" s="136" t="s">
        <v>133</v>
      </c>
      <c r="D542" s="136"/>
      <c r="E542" s="256" t="str">
        <f>IFERROR(__xludf.DUMMYFUNCTION("""COMPUTED_VALUE"""),"")</f>
        <v/>
      </c>
      <c r="F542" s="257" t="str">
        <f>IFERROR(__xludf.DUMMYFUNCTION("""COMPUTED_VALUE"""),"")</f>
        <v/>
      </c>
      <c r="G542" s="247" t="str">
        <f t="shared" si="1"/>
        <v/>
      </c>
      <c r="H542" s="258" t="str">
        <f>IFERROR(__xludf.DUMMYFUNCTION("""COMPUTED_VALUE"""),"")</f>
        <v/>
      </c>
      <c r="I542" s="259" t="str">
        <f>IFERROR(__xludf.DUMMYFUNCTION("""COMPUTED_VALUE"""),"")</f>
        <v/>
      </c>
      <c r="J542" s="250" t="str">
        <f t="shared" si="2"/>
        <v/>
      </c>
      <c r="K542" s="317" t="str">
        <f>IFERROR(__xludf.DUMMYFUNCTION("""COMPUTED_VALUE"""),"")</f>
        <v/>
      </c>
      <c r="L542" s="318" t="str">
        <f>IFERROR(__xludf.DUMMYFUNCTION("""COMPUTED_VALUE"""),"")</f>
        <v/>
      </c>
      <c r="M542" s="253" t="str">
        <f t="shared" si="3"/>
        <v/>
      </c>
      <c r="N542" s="319" t="str">
        <f>IFERROR(__xludf.DUMMYFUNCTION("""COMPUTED_VALUE"""),"")</f>
        <v/>
      </c>
      <c r="O542" s="257" t="str">
        <f>IFERROR(__xludf.DUMMYFUNCTION("""COMPUTED_VALUE"""),"")</f>
        <v/>
      </c>
      <c r="P542" s="247" t="str">
        <f t="shared" si="4"/>
        <v/>
      </c>
      <c r="Q542" s="320" t="str">
        <f>IFERROR(__xludf.DUMMYFUNCTION("""COMPUTED_VALUE"""),"")</f>
        <v/>
      </c>
      <c r="R542" s="259" t="str">
        <f>IFERROR(__xludf.DUMMYFUNCTION("""COMPUTED_VALUE"""),"")</f>
        <v/>
      </c>
      <c r="S542" s="250" t="str">
        <f t="shared" si="5"/>
        <v/>
      </c>
      <c r="T542" s="254" t="str">
        <f>IFERROR(__xludf.DUMMYFUNCTION("""COMPUTED_VALUE"""),"")</f>
        <v/>
      </c>
      <c r="U542" s="246" t="str">
        <f>IFERROR(__xludf.DUMMYFUNCTION("""COMPUTED_VALUE"""),"")</f>
        <v/>
      </c>
      <c r="V542" s="247" t="str">
        <f t="shared" si="6"/>
        <v/>
      </c>
      <c r="W542" s="255" t="str">
        <f>IFERROR(__xludf.DUMMYFUNCTION("""COMPUTED_VALUE"""),"")</f>
        <v/>
      </c>
      <c r="X542" s="249" t="str">
        <f>IFERROR(__xludf.DUMMYFUNCTION("""COMPUTED_VALUE"""),"")</f>
        <v/>
      </c>
      <c r="Y542" s="250" t="str">
        <f t="shared" si="7"/>
        <v/>
      </c>
    </row>
    <row r="543">
      <c r="A543" s="136" t="s">
        <v>133</v>
      </c>
      <c r="B543" s="136"/>
      <c r="C543" s="136" t="s">
        <v>133</v>
      </c>
      <c r="D543" s="136"/>
      <c r="E543" s="256" t="str">
        <f>IFERROR(__xludf.DUMMYFUNCTION("""COMPUTED_VALUE"""),"")</f>
        <v/>
      </c>
      <c r="F543" s="257" t="str">
        <f>IFERROR(__xludf.DUMMYFUNCTION("""COMPUTED_VALUE"""),"")</f>
        <v/>
      </c>
      <c r="G543" s="247" t="str">
        <f t="shared" si="1"/>
        <v/>
      </c>
      <c r="H543" s="258" t="str">
        <f>IFERROR(__xludf.DUMMYFUNCTION("""COMPUTED_VALUE"""),"")</f>
        <v/>
      </c>
      <c r="I543" s="259" t="str">
        <f>IFERROR(__xludf.DUMMYFUNCTION("""COMPUTED_VALUE"""),"")</f>
        <v/>
      </c>
      <c r="J543" s="250" t="str">
        <f t="shared" si="2"/>
        <v/>
      </c>
      <c r="K543" s="317" t="str">
        <f>IFERROR(__xludf.DUMMYFUNCTION("""COMPUTED_VALUE"""),"")</f>
        <v/>
      </c>
      <c r="L543" s="318" t="str">
        <f>IFERROR(__xludf.DUMMYFUNCTION("""COMPUTED_VALUE"""),"")</f>
        <v/>
      </c>
      <c r="M543" s="253" t="str">
        <f t="shared" si="3"/>
        <v/>
      </c>
      <c r="N543" s="319" t="str">
        <f>IFERROR(__xludf.DUMMYFUNCTION("""COMPUTED_VALUE"""),"")</f>
        <v/>
      </c>
      <c r="O543" s="257" t="str">
        <f>IFERROR(__xludf.DUMMYFUNCTION("""COMPUTED_VALUE"""),"")</f>
        <v/>
      </c>
      <c r="P543" s="247" t="str">
        <f t="shared" si="4"/>
        <v/>
      </c>
      <c r="Q543" s="320" t="str">
        <f>IFERROR(__xludf.DUMMYFUNCTION("""COMPUTED_VALUE"""),"")</f>
        <v/>
      </c>
      <c r="R543" s="259" t="str">
        <f>IFERROR(__xludf.DUMMYFUNCTION("""COMPUTED_VALUE"""),"")</f>
        <v/>
      </c>
      <c r="S543" s="250" t="str">
        <f t="shared" si="5"/>
        <v/>
      </c>
      <c r="T543" s="254" t="str">
        <f>IFERROR(__xludf.DUMMYFUNCTION("""COMPUTED_VALUE"""),"")</f>
        <v/>
      </c>
      <c r="U543" s="246" t="str">
        <f>IFERROR(__xludf.DUMMYFUNCTION("""COMPUTED_VALUE"""),"")</f>
        <v/>
      </c>
      <c r="V543" s="247" t="str">
        <f t="shared" si="6"/>
        <v/>
      </c>
      <c r="W543" s="255" t="str">
        <f>IFERROR(__xludf.DUMMYFUNCTION("""COMPUTED_VALUE"""),"")</f>
        <v/>
      </c>
      <c r="X543" s="249" t="str">
        <f>IFERROR(__xludf.DUMMYFUNCTION("""COMPUTED_VALUE"""),"")</f>
        <v/>
      </c>
      <c r="Y543" s="250" t="str">
        <f t="shared" si="7"/>
        <v/>
      </c>
    </row>
    <row r="544">
      <c r="A544" s="136" t="s">
        <v>133</v>
      </c>
      <c r="B544" s="136"/>
      <c r="C544" s="136" t="s">
        <v>133</v>
      </c>
      <c r="D544" s="136"/>
      <c r="E544" s="256" t="str">
        <f>IFERROR(__xludf.DUMMYFUNCTION("""COMPUTED_VALUE"""),"")</f>
        <v/>
      </c>
      <c r="F544" s="257" t="str">
        <f>IFERROR(__xludf.DUMMYFUNCTION("""COMPUTED_VALUE"""),"")</f>
        <v/>
      </c>
      <c r="G544" s="247" t="str">
        <f t="shared" si="1"/>
        <v/>
      </c>
      <c r="H544" s="258" t="str">
        <f>IFERROR(__xludf.DUMMYFUNCTION("""COMPUTED_VALUE"""),"")</f>
        <v/>
      </c>
      <c r="I544" s="259" t="str">
        <f>IFERROR(__xludf.DUMMYFUNCTION("""COMPUTED_VALUE"""),"")</f>
        <v/>
      </c>
      <c r="J544" s="250" t="str">
        <f t="shared" si="2"/>
        <v/>
      </c>
      <c r="K544" s="317" t="str">
        <f>IFERROR(__xludf.DUMMYFUNCTION("""COMPUTED_VALUE"""),"")</f>
        <v/>
      </c>
      <c r="L544" s="318" t="str">
        <f>IFERROR(__xludf.DUMMYFUNCTION("""COMPUTED_VALUE"""),"")</f>
        <v/>
      </c>
      <c r="M544" s="253" t="str">
        <f t="shared" si="3"/>
        <v/>
      </c>
      <c r="N544" s="319" t="str">
        <f>IFERROR(__xludf.DUMMYFUNCTION("""COMPUTED_VALUE"""),"")</f>
        <v/>
      </c>
      <c r="O544" s="257" t="str">
        <f>IFERROR(__xludf.DUMMYFUNCTION("""COMPUTED_VALUE"""),"")</f>
        <v/>
      </c>
      <c r="P544" s="247" t="str">
        <f t="shared" si="4"/>
        <v/>
      </c>
      <c r="Q544" s="320" t="str">
        <f>IFERROR(__xludf.DUMMYFUNCTION("""COMPUTED_VALUE"""),"")</f>
        <v/>
      </c>
      <c r="R544" s="259" t="str">
        <f>IFERROR(__xludf.DUMMYFUNCTION("""COMPUTED_VALUE"""),"")</f>
        <v/>
      </c>
      <c r="S544" s="250" t="str">
        <f t="shared" si="5"/>
        <v/>
      </c>
      <c r="T544" s="254" t="str">
        <f>IFERROR(__xludf.DUMMYFUNCTION("""COMPUTED_VALUE"""),"")</f>
        <v/>
      </c>
      <c r="U544" s="246" t="str">
        <f>IFERROR(__xludf.DUMMYFUNCTION("""COMPUTED_VALUE"""),"")</f>
        <v/>
      </c>
      <c r="V544" s="247" t="str">
        <f t="shared" si="6"/>
        <v/>
      </c>
      <c r="W544" s="255" t="str">
        <f>IFERROR(__xludf.DUMMYFUNCTION("""COMPUTED_VALUE"""),"")</f>
        <v/>
      </c>
      <c r="X544" s="249" t="str">
        <f>IFERROR(__xludf.DUMMYFUNCTION("""COMPUTED_VALUE"""),"")</f>
        <v/>
      </c>
      <c r="Y544" s="250" t="str">
        <f t="shared" si="7"/>
        <v/>
      </c>
    </row>
    <row r="545">
      <c r="A545" s="136" t="s">
        <v>133</v>
      </c>
      <c r="B545" s="136"/>
      <c r="C545" s="136" t="s">
        <v>133</v>
      </c>
      <c r="D545" s="136"/>
      <c r="E545" s="256" t="str">
        <f>IFERROR(__xludf.DUMMYFUNCTION("""COMPUTED_VALUE"""),"")</f>
        <v/>
      </c>
      <c r="F545" s="257" t="str">
        <f>IFERROR(__xludf.DUMMYFUNCTION("""COMPUTED_VALUE"""),"")</f>
        <v/>
      </c>
      <c r="G545" s="247" t="str">
        <f t="shared" si="1"/>
        <v/>
      </c>
      <c r="H545" s="258" t="str">
        <f>IFERROR(__xludf.DUMMYFUNCTION("""COMPUTED_VALUE"""),"")</f>
        <v/>
      </c>
      <c r="I545" s="259" t="str">
        <f>IFERROR(__xludf.DUMMYFUNCTION("""COMPUTED_VALUE"""),"")</f>
        <v/>
      </c>
      <c r="J545" s="250" t="str">
        <f t="shared" si="2"/>
        <v/>
      </c>
      <c r="K545" s="317" t="str">
        <f>IFERROR(__xludf.DUMMYFUNCTION("""COMPUTED_VALUE"""),"")</f>
        <v/>
      </c>
      <c r="L545" s="318" t="str">
        <f>IFERROR(__xludf.DUMMYFUNCTION("""COMPUTED_VALUE"""),"")</f>
        <v/>
      </c>
      <c r="M545" s="253" t="str">
        <f t="shared" si="3"/>
        <v/>
      </c>
      <c r="N545" s="319" t="str">
        <f>IFERROR(__xludf.DUMMYFUNCTION("""COMPUTED_VALUE"""),"")</f>
        <v/>
      </c>
      <c r="O545" s="257" t="str">
        <f>IFERROR(__xludf.DUMMYFUNCTION("""COMPUTED_VALUE"""),"")</f>
        <v/>
      </c>
      <c r="P545" s="247" t="str">
        <f t="shared" si="4"/>
        <v/>
      </c>
      <c r="Q545" s="320" t="str">
        <f>IFERROR(__xludf.DUMMYFUNCTION("""COMPUTED_VALUE"""),"")</f>
        <v/>
      </c>
      <c r="R545" s="259" t="str">
        <f>IFERROR(__xludf.DUMMYFUNCTION("""COMPUTED_VALUE"""),"")</f>
        <v/>
      </c>
      <c r="S545" s="250" t="str">
        <f t="shared" si="5"/>
        <v/>
      </c>
      <c r="T545" s="254" t="str">
        <f>IFERROR(__xludf.DUMMYFUNCTION("""COMPUTED_VALUE"""),"")</f>
        <v/>
      </c>
      <c r="U545" s="246" t="str">
        <f>IFERROR(__xludf.DUMMYFUNCTION("""COMPUTED_VALUE"""),"")</f>
        <v/>
      </c>
      <c r="V545" s="247" t="str">
        <f t="shared" si="6"/>
        <v/>
      </c>
      <c r="W545" s="255" t="str">
        <f>IFERROR(__xludf.DUMMYFUNCTION("""COMPUTED_VALUE"""),"")</f>
        <v/>
      </c>
      <c r="X545" s="249" t="str">
        <f>IFERROR(__xludf.DUMMYFUNCTION("""COMPUTED_VALUE"""),"")</f>
        <v/>
      </c>
      <c r="Y545" s="250" t="str">
        <f t="shared" si="7"/>
        <v/>
      </c>
    </row>
    <row r="546">
      <c r="A546" s="136" t="s">
        <v>133</v>
      </c>
      <c r="B546" s="136"/>
      <c r="C546" s="136" t="s">
        <v>133</v>
      </c>
      <c r="D546" s="136"/>
      <c r="E546" s="256" t="str">
        <f>IFERROR(__xludf.DUMMYFUNCTION("""COMPUTED_VALUE"""),"")</f>
        <v/>
      </c>
      <c r="F546" s="257" t="str">
        <f>IFERROR(__xludf.DUMMYFUNCTION("""COMPUTED_VALUE"""),"")</f>
        <v/>
      </c>
      <c r="G546" s="247" t="str">
        <f t="shared" si="1"/>
        <v/>
      </c>
      <c r="H546" s="258" t="str">
        <f>IFERROR(__xludf.DUMMYFUNCTION("""COMPUTED_VALUE"""),"")</f>
        <v/>
      </c>
      <c r="I546" s="259" t="str">
        <f>IFERROR(__xludf.DUMMYFUNCTION("""COMPUTED_VALUE"""),"")</f>
        <v/>
      </c>
      <c r="J546" s="250" t="str">
        <f t="shared" si="2"/>
        <v/>
      </c>
      <c r="K546" s="317" t="str">
        <f>IFERROR(__xludf.DUMMYFUNCTION("""COMPUTED_VALUE"""),"")</f>
        <v/>
      </c>
      <c r="L546" s="318" t="str">
        <f>IFERROR(__xludf.DUMMYFUNCTION("""COMPUTED_VALUE"""),"")</f>
        <v/>
      </c>
      <c r="M546" s="253" t="str">
        <f t="shared" si="3"/>
        <v/>
      </c>
      <c r="N546" s="319" t="str">
        <f>IFERROR(__xludf.DUMMYFUNCTION("""COMPUTED_VALUE"""),"")</f>
        <v/>
      </c>
      <c r="O546" s="257" t="str">
        <f>IFERROR(__xludf.DUMMYFUNCTION("""COMPUTED_VALUE"""),"")</f>
        <v/>
      </c>
      <c r="P546" s="247" t="str">
        <f t="shared" si="4"/>
        <v/>
      </c>
      <c r="Q546" s="320" t="str">
        <f>IFERROR(__xludf.DUMMYFUNCTION("""COMPUTED_VALUE"""),"")</f>
        <v/>
      </c>
      <c r="R546" s="259" t="str">
        <f>IFERROR(__xludf.DUMMYFUNCTION("""COMPUTED_VALUE"""),"")</f>
        <v/>
      </c>
      <c r="S546" s="250" t="str">
        <f t="shared" si="5"/>
        <v/>
      </c>
      <c r="T546" s="254" t="str">
        <f>IFERROR(__xludf.DUMMYFUNCTION("""COMPUTED_VALUE"""),"")</f>
        <v/>
      </c>
      <c r="U546" s="246" t="str">
        <f>IFERROR(__xludf.DUMMYFUNCTION("""COMPUTED_VALUE"""),"")</f>
        <v/>
      </c>
      <c r="V546" s="247" t="str">
        <f t="shared" si="6"/>
        <v/>
      </c>
      <c r="W546" s="255" t="str">
        <f>IFERROR(__xludf.DUMMYFUNCTION("""COMPUTED_VALUE"""),"")</f>
        <v/>
      </c>
      <c r="X546" s="249" t="str">
        <f>IFERROR(__xludf.DUMMYFUNCTION("""COMPUTED_VALUE"""),"")</f>
        <v/>
      </c>
      <c r="Y546" s="250" t="str">
        <f t="shared" si="7"/>
        <v/>
      </c>
    </row>
    <row r="547">
      <c r="A547" s="136" t="s">
        <v>133</v>
      </c>
      <c r="B547" s="136"/>
      <c r="C547" s="136" t="s">
        <v>133</v>
      </c>
      <c r="D547" s="136"/>
      <c r="E547" s="256" t="str">
        <f>IFERROR(__xludf.DUMMYFUNCTION("""COMPUTED_VALUE"""),"")</f>
        <v/>
      </c>
      <c r="F547" s="257" t="str">
        <f>IFERROR(__xludf.DUMMYFUNCTION("""COMPUTED_VALUE"""),"")</f>
        <v/>
      </c>
      <c r="G547" s="247" t="str">
        <f t="shared" si="1"/>
        <v/>
      </c>
      <c r="H547" s="258" t="str">
        <f>IFERROR(__xludf.DUMMYFUNCTION("""COMPUTED_VALUE"""),"")</f>
        <v/>
      </c>
      <c r="I547" s="259" t="str">
        <f>IFERROR(__xludf.DUMMYFUNCTION("""COMPUTED_VALUE"""),"")</f>
        <v/>
      </c>
      <c r="J547" s="250" t="str">
        <f t="shared" si="2"/>
        <v/>
      </c>
      <c r="K547" s="317" t="str">
        <f>IFERROR(__xludf.DUMMYFUNCTION("""COMPUTED_VALUE"""),"")</f>
        <v/>
      </c>
      <c r="L547" s="318" t="str">
        <f>IFERROR(__xludf.DUMMYFUNCTION("""COMPUTED_VALUE"""),"")</f>
        <v/>
      </c>
      <c r="M547" s="253" t="str">
        <f t="shared" si="3"/>
        <v/>
      </c>
      <c r="N547" s="319" t="str">
        <f>IFERROR(__xludf.DUMMYFUNCTION("""COMPUTED_VALUE"""),"")</f>
        <v/>
      </c>
      <c r="O547" s="257" t="str">
        <f>IFERROR(__xludf.DUMMYFUNCTION("""COMPUTED_VALUE"""),"")</f>
        <v/>
      </c>
      <c r="P547" s="247" t="str">
        <f t="shared" si="4"/>
        <v/>
      </c>
      <c r="Q547" s="320" t="str">
        <f>IFERROR(__xludf.DUMMYFUNCTION("""COMPUTED_VALUE"""),"")</f>
        <v/>
      </c>
      <c r="R547" s="259" t="str">
        <f>IFERROR(__xludf.DUMMYFUNCTION("""COMPUTED_VALUE"""),"")</f>
        <v/>
      </c>
      <c r="S547" s="250" t="str">
        <f t="shared" si="5"/>
        <v/>
      </c>
      <c r="T547" s="254" t="str">
        <f>IFERROR(__xludf.DUMMYFUNCTION("""COMPUTED_VALUE"""),"")</f>
        <v/>
      </c>
      <c r="U547" s="246" t="str">
        <f>IFERROR(__xludf.DUMMYFUNCTION("""COMPUTED_VALUE"""),"")</f>
        <v/>
      </c>
      <c r="V547" s="247" t="str">
        <f t="shared" si="6"/>
        <v/>
      </c>
      <c r="W547" s="255" t="str">
        <f>IFERROR(__xludf.DUMMYFUNCTION("""COMPUTED_VALUE"""),"")</f>
        <v/>
      </c>
      <c r="X547" s="249" t="str">
        <f>IFERROR(__xludf.DUMMYFUNCTION("""COMPUTED_VALUE"""),"")</f>
        <v/>
      </c>
      <c r="Y547" s="250" t="str">
        <f t="shared" si="7"/>
        <v/>
      </c>
    </row>
    <row r="548">
      <c r="A548" s="136" t="s">
        <v>133</v>
      </c>
      <c r="B548" s="136"/>
      <c r="C548" s="136" t="s">
        <v>133</v>
      </c>
      <c r="D548" s="136"/>
      <c r="E548" s="256" t="str">
        <f>IFERROR(__xludf.DUMMYFUNCTION("""COMPUTED_VALUE"""),"")</f>
        <v/>
      </c>
      <c r="F548" s="257" t="str">
        <f>IFERROR(__xludf.DUMMYFUNCTION("""COMPUTED_VALUE"""),"")</f>
        <v/>
      </c>
      <c r="G548" s="247" t="str">
        <f t="shared" si="1"/>
        <v/>
      </c>
      <c r="H548" s="258" t="str">
        <f>IFERROR(__xludf.DUMMYFUNCTION("""COMPUTED_VALUE"""),"")</f>
        <v/>
      </c>
      <c r="I548" s="259" t="str">
        <f>IFERROR(__xludf.DUMMYFUNCTION("""COMPUTED_VALUE"""),"")</f>
        <v/>
      </c>
      <c r="J548" s="250" t="str">
        <f t="shared" si="2"/>
        <v/>
      </c>
      <c r="K548" s="317" t="str">
        <f>IFERROR(__xludf.DUMMYFUNCTION("""COMPUTED_VALUE"""),"")</f>
        <v/>
      </c>
      <c r="L548" s="318" t="str">
        <f>IFERROR(__xludf.DUMMYFUNCTION("""COMPUTED_VALUE"""),"")</f>
        <v/>
      </c>
      <c r="M548" s="253" t="str">
        <f t="shared" si="3"/>
        <v/>
      </c>
      <c r="N548" s="319" t="str">
        <f>IFERROR(__xludf.DUMMYFUNCTION("""COMPUTED_VALUE"""),"")</f>
        <v/>
      </c>
      <c r="O548" s="257" t="str">
        <f>IFERROR(__xludf.DUMMYFUNCTION("""COMPUTED_VALUE"""),"")</f>
        <v/>
      </c>
      <c r="P548" s="247" t="str">
        <f t="shared" si="4"/>
        <v/>
      </c>
      <c r="Q548" s="320" t="str">
        <f>IFERROR(__xludf.DUMMYFUNCTION("""COMPUTED_VALUE"""),"")</f>
        <v/>
      </c>
      <c r="R548" s="259" t="str">
        <f>IFERROR(__xludf.DUMMYFUNCTION("""COMPUTED_VALUE"""),"")</f>
        <v/>
      </c>
      <c r="S548" s="250" t="str">
        <f t="shared" si="5"/>
        <v/>
      </c>
      <c r="T548" s="254" t="str">
        <f>IFERROR(__xludf.DUMMYFUNCTION("""COMPUTED_VALUE"""),"")</f>
        <v/>
      </c>
      <c r="U548" s="246" t="str">
        <f>IFERROR(__xludf.DUMMYFUNCTION("""COMPUTED_VALUE"""),"")</f>
        <v/>
      </c>
      <c r="V548" s="247" t="str">
        <f t="shared" si="6"/>
        <v/>
      </c>
      <c r="W548" s="255" t="str">
        <f>IFERROR(__xludf.DUMMYFUNCTION("""COMPUTED_VALUE"""),"")</f>
        <v/>
      </c>
      <c r="X548" s="249" t="str">
        <f>IFERROR(__xludf.DUMMYFUNCTION("""COMPUTED_VALUE"""),"")</f>
        <v/>
      </c>
      <c r="Y548" s="250" t="str">
        <f t="shared" si="7"/>
        <v/>
      </c>
    </row>
    <row r="549">
      <c r="A549" s="136" t="s">
        <v>133</v>
      </c>
      <c r="B549" s="136"/>
      <c r="C549" s="136" t="s">
        <v>133</v>
      </c>
      <c r="D549" s="136"/>
      <c r="E549" s="256" t="str">
        <f>IFERROR(__xludf.DUMMYFUNCTION("""COMPUTED_VALUE"""),"")</f>
        <v/>
      </c>
      <c r="F549" s="257" t="str">
        <f>IFERROR(__xludf.DUMMYFUNCTION("""COMPUTED_VALUE"""),"")</f>
        <v/>
      </c>
      <c r="G549" s="247" t="str">
        <f t="shared" si="1"/>
        <v/>
      </c>
      <c r="H549" s="258" t="str">
        <f>IFERROR(__xludf.DUMMYFUNCTION("""COMPUTED_VALUE"""),"")</f>
        <v/>
      </c>
      <c r="I549" s="259" t="str">
        <f>IFERROR(__xludf.DUMMYFUNCTION("""COMPUTED_VALUE"""),"")</f>
        <v/>
      </c>
      <c r="J549" s="250" t="str">
        <f t="shared" si="2"/>
        <v/>
      </c>
      <c r="K549" s="317" t="str">
        <f>IFERROR(__xludf.DUMMYFUNCTION("""COMPUTED_VALUE"""),"")</f>
        <v/>
      </c>
      <c r="L549" s="318" t="str">
        <f>IFERROR(__xludf.DUMMYFUNCTION("""COMPUTED_VALUE"""),"")</f>
        <v/>
      </c>
      <c r="M549" s="253" t="str">
        <f t="shared" si="3"/>
        <v/>
      </c>
      <c r="N549" s="319" t="str">
        <f>IFERROR(__xludf.DUMMYFUNCTION("""COMPUTED_VALUE"""),"")</f>
        <v/>
      </c>
      <c r="O549" s="257" t="str">
        <f>IFERROR(__xludf.DUMMYFUNCTION("""COMPUTED_VALUE"""),"")</f>
        <v/>
      </c>
      <c r="P549" s="247" t="str">
        <f t="shared" si="4"/>
        <v/>
      </c>
      <c r="Q549" s="320" t="str">
        <f>IFERROR(__xludf.DUMMYFUNCTION("""COMPUTED_VALUE"""),"")</f>
        <v/>
      </c>
      <c r="R549" s="259" t="str">
        <f>IFERROR(__xludf.DUMMYFUNCTION("""COMPUTED_VALUE"""),"")</f>
        <v/>
      </c>
      <c r="S549" s="250" t="str">
        <f t="shared" si="5"/>
        <v/>
      </c>
      <c r="T549" s="254" t="str">
        <f>IFERROR(__xludf.DUMMYFUNCTION("""COMPUTED_VALUE"""),"")</f>
        <v/>
      </c>
      <c r="U549" s="246" t="str">
        <f>IFERROR(__xludf.DUMMYFUNCTION("""COMPUTED_VALUE"""),"")</f>
        <v/>
      </c>
      <c r="V549" s="247" t="str">
        <f t="shared" si="6"/>
        <v/>
      </c>
      <c r="W549" s="255" t="str">
        <f>IFERROR(__xludf.DUMMYFUNCTION("""COMPUTED_VALUE"""),"")</f>
        <v/>
      </c>
      <c r="X549" s="249" t="str">
        <f>IFERROR(__xludf.DUMMYFUNCTION("""COMPUTED_VALUE"""),"")</f>
        <v/>
      </c>
      <c r="Y549" s="250" t="str">
        <f t="shared" si="7"/>
        <v/>
      </c>
    </row>
    <row r="550">
      <c r="A550" s="136" t="s">
        <v>133</v>
      </c>
      <c r="B550" s="136"/>
      <c r="C550" s="136" t="s">
        <v>133</v>
      </c>
      <c r="D550" s="136"/>
      <c r="E550" s="256" t="str">
        <f>IFERROR(__xludf.DUMMYFUNCTION("""COMPUTED_VALUE"""),"")</f>
        <v/>
      </c>
      <c r="F550" s="257" t="str">
        <f>IFERROR(__xludf.DUMMYFUNCTION("""COMPUTED_VALUE"""),"")</f>
        <v/>
      </c>
      <c r="G550" s="247" t="str">
        <f t="shared" si="1"/>
        <v/>
      </c>
      <c r="H550" s="258" t="str">
        <f>IFERROR(__xludf.DUMMYFUNCTION("""COMPUTED_VALUE"""),"")</f>
        <v/>
      </c>
      <c r="I550" s="259" t="str">
        <f>IFERROR(__xludf.DUMMYFUNCTION("""COMPUTED_VALUE"""),"")</f>
        <v/>
      </c>
      <c r="J550" s="250" t="str">
        <f t="shared" si="2"/>
        <v/>
      </c>
      <c r="K550" s="317" t="str">
        <f>IFERROR(__xludf.DUMMYFUNCTION("""COMPUTED_VALUE"""),"")</f>
        <v/>
      </c>
      <c r="L550" s="318" t="str">
        <f>IFERROR(__xludf.DUMMYFUNCTION("""COMPUTED_VALUE"""),"")</f>
        <v/>
      </c>
      <c r="M550" s="253" t="str">
        <f t="shared" si="3"/>
        <v/>
      </c>
      <c r="N550" s="319" t="str">
        <f>IFERROR(__xludf.DUMMYFUNCTION("""COMPUTED_VALUE"""),"")</f>
        <v/>
      </c>
      <c r="O550" s="257" t="str">
        <f>IFERROR(__xludf.DUMMYFUNCTION("""COMPUTED_VALUE"""),"")</f>
        <v/>
      </c>
      <c r="P550" s="247" t="str">
        <f t="shared" si="4"/>
        <v/>
      </c>
      <c r="Q550" s="320" t="str">
        <f>IFERROR(__xludf.DUMMYFUNCTION("""COMPUTED_VALUE"""),"")</f>
        <v/>
      </c>
      <c r="R550" s="259" t="str">
        <f>IFERROR(__xludf.DUMMYFUNCTION("""COMPUTED_VALUE"""),"")</f>
        <v/>
      </c>
      <c r="S550" s="250" t="str">
        <f t="shared" si="5"/>
        <v/>
      </c>
      <c r="T550" s="254" t="str">
        <f>IFERROR(__xludf.DUMMYFUNCTION("""COMPUTED_VALUE"""),"")</f>
        <v/>
      </c>
      <c r="U550" s="246" t="str">
        <f>IFERROR(__xludf.DUMMYFUNCTION("""COMPUTED_VALUE"""),"")</f>
        <v/>
      </c>
      <c r="V550" s="247" t="str">
        <f t="shared" si="6"/>
        <v/>
      </c>
      <c r="W550" s="255" t="str">
        <f>IFERROR(__xludf.DUMMYFUNCTION("""COMPUTED_VALUE"""),"")</f>
        <v/>
      </c>
      <c r="X550" s="249" t="str">
        <f>IFERROR(__xludf.DUMMYFUNCTION("""COMPUTED_VALUE"""),"")</f>
        <v/>
      </c>
      <c r="Y550" s="250" t="str">
        <f t="shared" si="7"/>
        <v/>
      </c>
    </row>
    <row r="551">
      <c r="A551" s="136" t="s">
        <v>133</v>
      </c>
      <c r="B551" s="136"/>
      <c r="C551" s="136" t="s">
        <v>133</v>
      </c>
      <c r="D551" s="136"/>
      <c r="E551" s="256" t="str">
        <f>IFERROR(__xludf.DUMMYFUNCTION("""COMPUTED_VALUE"""),"")</f>
        <v/>
      </c>
      <c r="F551" s="257" t="str">
        <f>IFERROR(__xludf.DUMMYFUNCTION("""COMPUTED_VALUE"""),"")</f>
        <v/>
      </c>
      <c r="G551" s="247" t="str">
        <f t="shared" si="1"/>
        <v/>
      </c>
      <c r="H551" s="258" t="str">
        <f>IFERROR(__xludf.DUMMYFUNCTION("""COMPUTED_VALUE"""),"")</f>
        <v/>
      </c>
      <c r="I551" s="259" t="str">
        <f>IFERROR(__xludf.DUMMYFUNCTION("""COMPUTED_VALUE"""),"")</f>
        <v/>
      </c>
      <c r="J551" s="250" t="str">
        <f t="shared" si="2"/>
        <v/>
      </c>
      <c r="K551" s="317" t="str">
        <f>IFERROR(__xludf.DUMMYFUNCTION("""COMPUTED_VALUE"""),"")</f>
        <v/>
      </c>
      <c r="L551" s="318" t="str">
        <f>IFERROR(__xludf.DUMMYFUNCTION("""COMPUTED_VALUE"""),"")</f>
        <v/>
      </c>
      <c r="M551" s="253" t="str">
        <f t="shared" si="3"/>
        <v/>
      </c>
      <c r="N551" s="319" t="str">
        <f>IFERROR(__xludf.DUMMYFUNCTION("""COMPUTED_VALUE"""),"")</f>
        <v/>
      </c>
      <c r="O551" s="257" t="str">
        <f>IFERROR(__xludf.DUMMYFUNCTION("""COMPUTED_VALUE"""),"")</f>
        <v/>
      </c>
      <c r="P551" s="247" t="str">
        <f t="shared" si="4"/>
        <v/>
      </c>
      <c r="Q551" s="320" t="str">
        <f>IFERROR(__xludf.DUMMYFUNCTION("""COMPUTED_VALUE"""),"")</f>
        <v/>
      </c>
      <c r="R551" s="259" t="str">
        <f>IFERROR(__xludf.DUMMYFUNCTION("""COMPUTED_VALUE"""),"")</f>
        <v/>
      </c>
      <c r="S551" s="250" t="str">
        <f t="shared" si="5"/>
        <v/>
      </c>
      <c r="T551" s="254" t="str">
        <f>IFERROR(__xludf.DUMMYFUNCTION("""COMPUTED_VALUE"""),"")</f>
        <v/>
      </c>
      <c r="U551" s="246" t="str">
        <f>IFERROR(__xludf.DUMMYFUNCTION("""COMPUTED_VALUE"""),"")</f>
        <v/>
      </c>
      <c r="V551" s="247" t="str">
        <f t="shared" si="6"/>
        <v/>
      </c>
      <c r="W551" s="255" t="str">
        <f>IFERROR(__xludf.DUMMYFUNCTION("""COMPUTED_VALUE"""),"")</f>
        <v/>
      </c>
      <c r="X551" s="249" t="str">
        <f>IFERROR(__xludf.DUMMYFUNCTION("""COMPUTED_VALUE"""),"")</f>
        <v/>
      </c>
      <c r="Y551" s="250" t="str">
        <f t="shared" si="7"/>
        <v/>
      </c>
    </row>
    <row r="552">
      <c r="A552" s="136" t="s">
        <v>133</v>
      </c>
      <c r="B552" s="136"/>
      <c r="C552" s="136" t="s">
        <v>133</v>
      </c>
      <c r="D552" s="136"/>
      <c r="E552" s="256" t="str">
        <f>IFERROR(__xludf.DUMMYFUNCTION("""COMPUTED_VALUE"""),"")</f>
        <v/>
      </c>
      <c r="F552" s="257" t="str">
        <f>IFERROR(__xludf.DUMMYFUNCTION("""COMPUTED_VALUE"""),"")</f>
        <v/>
      </c>
      <c r="G552" s="247" t="str">
        <f t="shared" si="1"/>
        <v/>
      </c>
      <c r="H552" s="258" t="str">
        <f>IFERROR(__xludf.DUMMYFUNCTION("""COMPUTED_VALUE"""),"")</f>
        <v/>
      </c>
      <c r="I552" s="259" t="str">
        <f>IFERROR(__xludf.DUMMYFUNCTION("""COMPUTED_VALUE"""),"")</f>
        <v/>
      </c>
      <c r="J552" s="250" t="str">
        <f t="shared" si="2"/>
        <v/>
      </c>
      <c r="K552" s="317" t="str">
        <f>IFERROR(__xludf.DUMMYFUNCTION("""COMPUTED_VALUE"""),"")</f>
        <v/>
      </c>
      <c r="L552" s="318" t="str">
        <f>IFERROR(__xludf.DUMMYFUNCTION("""COMPUTED_VALUE"""),"")</f>
        <v/>
      </c>
      <c r="M552" s="253" t="str">
        <f t="shared" si="3"/>
        <v/>
      </c>
      <c r="N552" s="319" t="str">
        <f>IFERROR(__xludf.DUMMYFUNCTION("""COMPUTED_VALUE"""),"")</f>
        <v/>
      </c>
      <c r="O552" s="257" t="str">
        <f>IFERROR(__xludf.DUMMYFUNCTION("""COMPUTED_VALUE"""),"")</f>
        <v/>
      </c>
      <c r="P552" s="247" t="str">
        <f t="shared" si="4"/>
        <v/>
      </c>
      <c r="Q552" s="320" t="str">
        <f>IFERROR(__xludf.DUMMYFUNCTION("""COMPUTED_VALUE"""),"")</f>
        <v/>
      </c>
      <c r="R552" s="259" t="str">
        <f>IFERROR(__xludf.DUMMYFUNCTION("""COMPUTED_VALUE"""),"")</f>
        <v/>
      </c>
      <c r="S552" s="250" t="str">
        <f t="shared" si="5"/>
        <v/>
      </c>
      <c r="T552" s="254" t="str">
        <f>IFERROR(__xludf.DUMMYFUNCTION("""COMPUTED_VALUE"""),"")</f>
        <v/>
      </c>
      <c r="U552" s="246" t="str">
        <f>IFERROR(__xludf.DUMMYFUNCTION("""COMPUTED_VALUE"""),"")</f>
        <v/>
      </c>
      <c r="V552" s="247" t="str">
        <f t="shared" si="6"/>
        <v/>
      </c>
      <c r="W552" s="255" t="str">
        <f>IFERROR(__xludf.DUMMYFUNCTION("""COMPUTED_VALUE"""),"")</f>
        <v/>
      </c>
      <c r="X552" s="249" t="str">
        <f>IFERROR(__xludf.DUMMYFUNCTION("""COMPUTED_VALUE"""),"")</f>
        <v/>
      </c>
      <c r="Y552" s="250" t="str">
        <f t="shared" si="7"/>
        <v/>
      </c>
    </row>
    <row r="553">
      <c r="A553" s="136" t="s">
        <v>133</v>
      </c>
      <c r="B553" s="136"/>
      <c r="C553" s="136" t="s">
        <v>133</v>
      </c>
      <c r="D553" s="136"/>
      <c r="E553" s="256" t="str">
        <f>IFERROR(__xludf.DUMMYFUNCTION("""COMPUTED_VALUE"""),"")</f>
        <v/>
      </c>
      <c r="F553" s="257" t="str">
        <f>IFERROR(__xludf.DUMMYFUNCTION("""COMPUTED_VALUE"""),"")</f>
        <v/>
      </c>
      <c r="G553" s="247" t="str">
        <f t="shared" si="1"/>
        <v/>
      </c>
      <c r="H553" s="258" t="str">
        <f>IFERROR(__xludf.DUMMYFUNCTION("""COMPUTED_VALUE"""),"")</f>
        <v/>
      </c>
      <c r="I553" s="259" t="str">
        <f>IFERROR(__xludf.DUMMYFUNCTION("""COMPUTED_VALUE"""),"")</f>
        <v/>
      </c>
      <c r="J553" s="250" t="str">
        <f t="shared" si="2"/>
        <v/>
      </c>
      <c r="K553" s="317" t="str">
        <f>IFERROR(__xludf.DUMMYFUNCTION("""COMPUTED_VALUE"""),"")</f>
        <v/>
      </c>
      <c r="L553" s="318" t="str">
        <f>IFERROR(__xludf.DUMMYFUNCTION("""COMPUTED_VALUE"""),"")</f>
        <v/>
      </c>
      <c r="M553" s="253" t="str">
        <f t="shared" si="3"/>
        <v/>
      </c>
      <c r="N553" s="319" t="str">
        <f>IFERROR(__xludf.DUMMYFUNCTION("""COMPUTED_VALUE"""),"")</f>
        <v/>
      </c>
      <c r="O553" s="257" t="str">
        <f>IFERROR(__xludf.DUMMYFUNCTION("""COMPUTED_VALUE"""),"")</f>
        <v/>
      </c>
      <c r="P553" s="247" t="str">
        <f t="shared" si="4"/>
        <v/>
      </c>
      <c r="Q553" s="320" t="str">
        <f>IFERROR(__xludf.DUMMYFUNCTION("""COMPUTED_VALUE"""),"")</f>
        <v/>
      </c>
      <c r="R553" s="259" t="str">
        <f>IFERROR(__xludf.DUMMYFUNCTION("""COMPUTED_VALUE"""),"")</f>
        <v/>
      </c>
      <c r="S553" s="250" t="str">
        <f t="shared" si="5"/>
        <v/>
      </c>
      <c r="T553" s="254" t="str">
        <f>IFERROR(__xludf.DUMMYFUNCTION("""COMPUTED_VALUE"""),"")</f>
        <v/>
      </c>
      <c r="U553" s="246" t="str">
        <f>IFERROR(__xludf.DUMMYFUNCTION("""COMPUTED_VALUE"""),"")</f>
        <v/>
      </c>
      <c r="V553" s="247" t="str">
        <f t="shared" si="6"/>
        <v/>
      </c>
      <c r="W553" s="255" t="str">
        <f>IFERROR(__xludf.DUMMYFUNCTION("""COMPUTED_VALUE"""),"")</f>
        <v/>
      </c>
      <c r="X553" s="249" t="str">
        <f>IFERROR(__xludf.DUMMYFUNCTION("""COMPUTED_VALUE"""),"")</f>
        <v/>
      </c>
      <c r="Y553" s="250" t="str">
        <f t="shared" si="7"/>
        <v/>
      </c>
    </row>
    <row r="554">
      <c r="A554" s="136" t="s">
        <v>133</v>
      </c>
      <c r="B554" s="136"/>
      <c r="C554" s="136" t="s">
        <v>133</v>
      </c>
      <c r="D554" s="136"/>
      <c r="E554" s="256" t="str">
        <f>IFERROR(__xludf.DUMMYFUNCTION("""COMPUTED_VALUE"""),"")</f>
        <v/>
      </c>
      <c r="F554" s="257" t="str">
        <f>IFERROR(__xludf.DUMMYFUNCTION("""COMPUTED_VALUE"""),"")</f>
        <v/>
      </c>
      <c r="G554" s="247" t="str">
        <f t="shared" si="1"/>
        <v/>
      </c>
      <c r="H554" s="258" t="str">
        <f>IFERROR(__xludf.DUMMYFUNCTION("""COMPUTED_VALUE"""),"")</f>
        <v/>
      </c>
      <c r="I554" s="259" t="str">
        <f>IFERROR(__xludf.DUMMYFUNCTION("""COMPUTED_VALUE"""),"")</f>
        <v/>
      </c>
      <c r="J554" s="250" t="str">
        <f t="shared" si="2"/>
        <v/>
      </c>
      <c r="K554" s="317" t="str">
        <f>IFERROR(__xludf.DUMMYFUNCTION("""COMPUTED_VALUE"""),"")</f>
        <v/>
      </c>
      <c r="L554" s="318" t="str">
        <f>IFERROR(__xludf.DUMMYFUNCTION("""COMPUTED_VALUE"""),"")</f>
        <v/>
      </c>
      <c r="M554" s="253" t="str">
        <f t="shared" si="3"/>
        <v/>
      </c>
      <c r="N554" s="319" t="str">
        <f>IFERROR(__xludf.DUMMYFUNCTION("""COMPUTED_VALUE"""),"")</f>
        <v/>
      </c>
      <c r="O554" s="257" t="str">
        <f>IFERROR(__xludf.DUMMYFUNCTION("""COMPUTED_VALUE"""),"")</f>
        <v/>
      </c>
      <c r="P554" s="247" t="str">
        <f t="shared" si="4"/>
        <v/>
      </c>
      <c r="Q554" s="320" t="str">
        <f>IFERROR(__xludf.DUMMYFUNCTION("""COMPUTED_VALUE"""),"")</f>
        <v/>
      </c>
      <c r="R554" s="259" t="str">
        <f>IFERROR(__xludf.DUMMYFUNCTION("""COMPUTED_VALUE"""),"")</f>
        <v/>
      </c>
      <c r="S554" s="250" t="str">
        <f t="shared" si="5"/>
        <v/>
      </c>
      <c r="T554" s="254" t="str">
        <f>IFERROR(__xludf.DUMMYFUNCTION("""COMPUTED_VALUE"""),"")</f>
        <v/>
      </c>
      <c r="U554" s="246" t="str">
        <f>IFERROR(__xludf.DUMMYFUNCTION("""COMPUTED_VALUE"""),"")</f>
        <v/>
      </c>
      <c r="V554" s="247" t="str">
        <f t="shared" si="6"/>
        <v/>
      </c>
      <c r="W554" s="255" t="str">
        <f>IFERROR(__xludf.DUMMYFUNCTION("""COMPUTED_VALUE"""),"")</f>
        <v/>
      </c>
      <c r="X554" s="249" t="str">
        <f>IFERROR(__xludf.DUMMYFUNCTION("""COMPUTED_VALUE"""),"")</f>
        <v/>
      </c>
      <c r="Y554" s="250" t="str">
        <f t="shared" si="7"/>
        <v/>
      </c>
    </row>
    <row r="555">
      <c r="A555" s="136" t="s">
        <v>133</v>
      </c>
      <c r="B555" s="136"/>
      <c r="C555" s="136" t="s">
        <v>133</v>
      </c>
      <c r="D555" s="136"/>
      <c r="E555" s="256" t="str">
        <f>IFERROR(__xludf.DUMMYFUNCTION("""COMPUTED_VALUE"""),"")</f>
        <v/>
      </c>
      <c r="F555" s="257" t="str">
        <f>IFERROR(__xludf.DUMMYFUNCTION("""COMPUTED_VALUE"""),"")</f>
        <v/>
      </c>
      <c r="G555" s="247" t="str">
        <f t="shared" si="1"/>
        <v/>
      </c>
      <c r="H555" s="258" t="str">
        <f>IFERROR(__xludf.DUMMYFUNCTION("""COMPUTED_VALUE"""),"")</f>
        <v/>
      </c>
      <c r="I555" s="259" t="str">
        <f>IFERROR(__xludf.DUMMYFUNCTION("""COMPUTED_VALUE"""),"")</f>
        <v/>
      </c>
      <c r="J555" s="250" t="str">
        <f t="shared" si="2"/>
        <v/>
      </c>
      <c r="K555" s="317" t="str">
        <f>IFERROR(__xludf.DUMMYFUNCTION("""COMPUTED_VALUE"""),"")</f>
        <v/>
      </c>
      <c r="L555" s="318" t="str">
        <f>IFERROR(__xludf.DUMMYFUNCTION("""COMPUTED_VALUE"""),"")</f>
        <v/>
      </c>
      <c r="M555" s="253" t="str">
        <f t="shared" si="3"/>
        <v/>
      </c>
      <c r="N555" s="319" t="str">
        <f>IFERROR(__xludf.DUMMYFUNCTION("""COMPUTED_VALUE"""),"")</f>
        <v/>
      </c>
      <c r="O555" s="257" t="str">
        <f>IFERROR(__xludf.DUMMYFUNCTION("""COMPUTED_VALUE"""),"")</f>
        <v/>
      </c>
      <c r="P555" s="247" t="str">
        <f t="shared" si="4"/>
        <v/>
      </c>
      <c r="Q555" s="320" t="str">
        <f>IFERROR(__xludf.DUMMYFUNCTION("""COMPUTED_VALUE"""),"")</f>
        <v/>
      </c>
      <c r="R555" s="259" t="str">
        <f>IFERROR(__xludf.DUMMYFUNCTION("""COMPUTED_VALUE"""),"")</f>
        <v/>
      </c>
      <c r="S555" s="250" t="str">
        <f t="shared" si="5"/>
        <v/>
      </c>
      <c r="T555" s="254" t="str">
        <f>IFERROR(__xludf.DUMMYFUNCTION("""COMPUTED_VALUE"""),"")</f>
        <v/>
      </c>
      <c r="U555" s="246" t="str">
        <f>IFERROR(__xludf.DUMMYFUNCTION("""COMPUTED_VALUE"""),"")</f>
        <v/>
      </c>
      <c r="V555" s="247" t="str">
        <f t="shared" si="6"/>
        <v/>
      </c>
      <c r="W555" s="255" t="str">
        <f>IFERROR(__xludf.DUMMYFUNCTION("""COMPUTED_VALUE"""),"")</f>
        <v/>
      </c>
      <c r="X555" s="249" t="str">
        <f>IFERROR(__xludf.DUMMYFUNCTION("""COMPUTED_VALUE"""),"")</f>
        <v/>
      </c>
      <c r="Y555" s="250" t="str">
        <f t="shared" si="7"/>
        <v/>
      </c>
    </row>
    <row r="556">
      <c r="A556" s="136" t="s">
        <v>133</v>
      </c>
      <c r="B556" s="136"/>
      <c r="C556" s="136" t="s">
        <v>133</v>
      </c>
      <c r="D556" s="136"/>
      <c r="E556" s="256" t="str">
        <f>IFERROR(__xludf.DUMMYFUNCTION("""COMPUTED_VALUE"""),"")</f>
        <v/>
      </c>
      <c r="F556" s="257" t="str">
        <f>IFERROR(__xludf.DUMMYFUNCTION("""COMPUTED_VALUE"""),"")</f>
        <v/>
      </c>
      <c r="G556" s="247" t="str">
        <f t="shared" si="1"/>
        <v/>
      </c>
      <c r="H556" s="258" t="str">
        <f>IFERROR(__xludf.DUMMYFUNCTION("""COMPUTED_VALUE"""),"")</f>
        <v/>
      </c>
      <c r="I556" s="259" t="str">
        <f>IFERROR(__xludf.DUMMYFUNCTION("""COMPUTED_VALUE"""),"")</f>
        <v/>
      </c>
      <c r="J556" s="250" t="str">
        <f t="shared" si="2"/>
        <v/>
      </c>
      <c r="K556" s="317" t="str">
        <f>IFERROR(__xludf.DUMMYFUNCTION("""COMPUTED_VALUE"""),"")</f>
        <v/>
      </c>
      <c r="L556" s="318" t="str">
        <f>IFERROR(__xludf.DUMMYFUNCTION("""COMPUTED_VALUE"""),"")</f>
        <v/>
      </c>
      <c r="M556" s="253" t="str">
        <f t="shared" si="3"/>
        <v/>
      </c>
      <c r="N556" s="319" t="str">
        <f>IFERROR(__xludf.DUMMYFUNCTION("""COMPUTED_VALUE"""),"")</f>
        <v/>
      </c>
      <c r="O556" s="257" t="str">
        <f>IFERROR(__xludf.DUMMYFUNCTION("""COMPUTED_VALUE"""),"")</f>
        <v/>
      </c>
      <c r="P556" s="247" t="str">
        <f t="shared" si="4"/>
        <v/>
      </c>
      <c r="Q556" s="320" t="str">
        <f>IFERROR(__xludf.DUMMYFUNCTION("""COMPUTED_VALUE"""),"")</f>
        <v/>
      </c>
      <c r="R556" s="259" t="str">
        <f>IFERROR(__xludf.DUMMYFUNCTION("""COMPUTED_VALUE"""),"")</f>
        <v/>
      </c>
      <c r="S556" s="250" t="str">
        <f t="shared" si="5"/>
        <v/>
      </c>
      <c r="T556" s="254" t="str">
        <f>IFERROR(__xludf.DUMMYFUNCTION("""COMPUTED_VALUE"""),"")</f>
        <v/>
      </c>
      <c r="U556" s="246" t="str">
        <f>IFERROR(__xludf.DUMMYFUNCTION("""COMPUTED_VALUE"""),"")</f>
        <v/>
      </c>
      <c r="V556" s="247" t="str">
        <f t="shared" si="6"/>
        <v/>
      </c>
      <c r="W556" s="255" t="str">
        <f>IFERROR(__xludf.DUMMYFUNCTION("""COMPUTED_VALUE"""),"")</f>
        <v/>
      </c>
      <c r="X556" s="249" t="str">
        <f>IFERROR(__xludf.DUMMYFUNCTION("""COMPUTED_VALUE"""),"")</f>
        <v/>
      </c>
      <c r="Y556" s="250" t="str">
        <f t="shared" si="7"/>
        <v/>
      </c>
    </row>
    <row r="557">
      <c r="A557" s="136" t="s">
        <v>133</v>
      </c>
      <c r="B557" s="136"/>
      <c r="C557" s="136" t="s">
        <v>133</v>
      </c>
      <c r="D557" s="136"/>
      <c r="E557" s="256" t="str">
        <f>IFERROR(__xludf.DUMMYFUNCTION("""COMPUTED_VALUE"""),"")</f>
        <v/>
      </c>
      <c r="F557" s="257" t="str">
        <f>IFERROR(__xludf.DUMMYFUNCTION("""COMPUTED_VALUE"""),"")</f>
        <v/>
      </c>
      <c r="G557" s="247" t="str">
        <f t="shared" si="1"/>
        <v/>
      </c>
      <c r="H557" s="258" t="str">
        <f>IFERROR(__xludf.DUMMYFUNCTION("""COMPUTED_VALUE"""),"")</f>
        <v/>
      </c>
      <c r="I557" s="259" t="str">
        <f>IFERROR(__xludf.DUMMYFUNCTION("""COMPUTED_VALUE"""),"")</f>
        <v/>
      </c>
      <c r="J557" s="250" t="str">
        <f t="shared" si="2"/>
        <v/>
      </c>
      <c r="K557" s="317" t="str">
        <f>IFERROR(__xludf.DUMMYFUNCTION("""COMPUTED_VALUE"""),"")</f>
        <v/>
      </c>
      <c r="L557" s="318" t="str">
        <f>IFERROR(__xludf.DUMMYFUNCTION("""COMPUTED_VALUE"""),"")</f>
        <v/>
      </c>
      <c r="M557" s="253" t="str">
        <f t="shared" si="3"/>
        <v/>
      </c>
      <c r="N557" s="319" t="str">
        <f>IFERROR(__xludf.DUMMYFUNCTION("""COMPUTED_VALUE"""),"")</f>
        <v/>
      </c>
      <c r="O557" s="257" t="str">
        <f>IFERROR(__xludf.DUMMYFUNCTION("""COMPUTED_VALUE"""),"")</f>
        <v/>
      </c>
      <c r="P557" s="247" t="str">
        <f t="shared" si="4"/>
        <v/>
      </c>
      <c r="Q557" s="320" t="str">
        <f>IFERROR(__xludf.DUMMYFUNCTION("""COMPUTED_VALUE"""),"")</f>
        <v/>
      </c>
      <c r="R557" s="259" t="str">
        <f>IFERROR(__xludf.DUMMYFUNCTION("""COMPUTED_VALUE"""),"")</f>
        <v/>
      </c>
      <c r="S557" s="250" t="str">
        <f t="shared" si="5"/>
        <v/>
      </c>
      <c r="T557" s="254" t="str">
        <f>IFERROR(__xludf.DUMMYFUNCTION("""COMPUTED_VALUE"""),"")</f>
        <v/>
      </c>
      <c r="U557" s="246" t="str">
        <f>IFERROR(__xludf.DUMMYFUNCTION("""COMPUTED_VALUE"""),"")</f>
        <v/>
      </c>
      <c r="V557" s="247" t="str">
        <f t="shared" si="6"/>
        <v/>
      </c>
      <c r="W557" s="255" t="str">
        <f>IFERROR(__xludf.DUMMYFUNCTION("""COMPUTED_VALUE"""),"")</f>
        <v/>
      </c>
      <c r="X557" s="249" t="str">
        <f>IFERROR(__xludf.DUMMYFUNCTION("""COMPUTED_VALUE"""),"")</f>
        <v/>
      </c>
      <c r="Y557" s="250" t="str">
        <f t="shared" si="7"/>
        <v/>
      </c>
    </row>
    <row r="558">
      <c r="A558" s="136" t="s">
        <v>133</v>
      </c>
      <c r="B558" s="136"/>
      <c r="C558" s="136" t="s">
        <v>133</v>
      </c>
      <c r="D558" s="136"/>
      <c r="E558" s="256" t="str">
        <f>IFERROR(__xludf.DUMMYFUNCTION("""COMPUTED_VALUE"""),"")</f>
        <v/>
      </c>
      <c r="F558" s="257" t="str">
        <f>IFERROR(__xludf.DUMMYFUNCTION("""COMPUTED_VALUE"""),"")</f>
        <v/>
      </c>
      <c r="G558" s="247" t="str">
        <f t="shared" si="1"/>
        <v/>
      </c>
      <c r="H558" s="258" t="str">
        <f>IFERROR(__xludf.DUMMYFUNCTION("""COMPUTED_VALUE"""),"")</f>
        <v/>
      </c>
      <c r="I558" s="259" t="str">
        <f>IFERROR(__xludf.DUMMYFUNCTION("""COMPUTED_VALUE"""),"")</f>
        <v/>
      </c>
      <c r="J558" s="250" t="str">
        <f t="shared" si="2"/>
        <v/>
      </c>
      <c r="K558" s="317" t="str">
        <f>IFERROR(__xludf.DUMMYFUNCTION("""COMPUTED_VALUE"""),"")</f>
        <v/>
      </c>
      <c r="L558" s="318" t="str">
        <f>IFERROR(__xludf.DUMMYFUNCTION("""COMPUTED_VALUE"""),"")</f>
        <v/>
      </c>
      <c r="M558" s="253" t="str">
        <f t="shared" si="3"/>
        <v/>
      </c>
      <c r="N558" s="319" t="str">
        <f>IFERROR(__xludf.DUMMYFUNCTION("""COMPUTED_VALUE"""),"")</f>
        <v/>
      </c>
      <c r="O558" s="257" t="str">
        <f>IFERROR(__xludf.DUMMYFUNCTION("""COMPUTED_VALUE"""),"")</f>
        <v/>
      </c>
      <c r="P558" s="247" t="str">
        <f t="shared" si="4"/>
        <v/>
      </c>
      <c r="Q558" s="320" t="str">
        <f>IFERROR(__xludf.DUMMYFUNCTION("""COMPUTED_VALUE"""),"")</f>
        <v/>
      </c>
      <c r="R558" s="259" t="str">
        <f>IFERROR(__xludf.DUMMYFUNCTION("""COMPUTED_VALUE"""),"")</f>
        <v/>
      </c>
      <c r="S558" s="250" t="str">
        <f t="shared" si="5"/>
        <v/>
      </c>
      <c r="T558" s="254" t="str">
        <f>IFERROR(__xludf.DUMMYFUNCTION("""COMPUTED_VALUE"""),"")</f>
        <v/>
      </c>
      <c r="U558" s="246" t="str">
        <f>IFERROR(__xludf.DUMMYFUNCTION("""COMPUTED_VALUE"""),"")</f>
        <v/>
      </c>
      <c r="V558" s="247" t="str">
        <f t="shared" si="6"/>
        <v/>
      </c>
      <c r="W558" s="255" t="str">
        <f>IFERROR(__xludf.DUMMYFUNCTION("""COMPUTED_VALUE"""),"")</f>
        <v/>
      </c>
      <c r="X558" s="249" t="str">
        <f>IFERROR(__xludf.DUMMYFUNCTION("""COMPUTED_VALUE"""),"")</f>
        <v/>
      </c>
      <c r="Y558" s="250" t="str">
        <f t="shared" si="7"/>
        <v/>
      </c>
    </row>
    <row r="559">
      <c r="A559" s="136" t="s">
        <v>133</v>
      </c>
      <c r="B559" s="136"/>
      <c r="C559" s="136" t="s">
        <v>133</v>
      </c>
      <c r="D559" s="136"/>
      <c r="E559" s="256" t="str">
        <f>IFERROR(__xludf.DUMMYFUNCTION("""COMPUTED_VALUE"""),"")</f>
        <v/>
      </c>
      <c r="F559" s="257" t="str">
        <f>IFERROR(__xludf.DUMMYFUNCTION("""COMPUTED_VALUE"""),"")</f>
        <v/>
      </c>
      <c r="G559" s="247" t="str">
        <f t="shared" si="1"/>
        <v/>
      </c>
      <c r="H559" s="258" t="str">
        <f>IFERROR(__xludf.DUMMYFUNCTION("""COMPUTED_VALUE"""),"")</f>
        <v/>
      </c>
      <c r="I559" s="259" t="str">
        <f>IFERROR(__xludf.DUMMYFUNCTION("""COMPUTED_VALUE"""),"")</f>
        <v/>
      </c>
      <c r="J559" s="250" t="str">
        <f t="shared" si="2"/>
        <v/>
      </c>
      <c r="K559" s="317" t="str">
        <f>IFERROR(__xludf.DUMMYFUNCTION("""COMPUTED_VALUE"""),"")</f>
        <v/>
      </c>
      <c r="L559" s="318" t="str">
        <f>IFERROR(__xludf.DUMMYFUNCTION("""COMPUTED_VALUE"""),"")</f>
        <v/>
      </c>
      <c r="M559" s="253" t="str">
        <f t="shared" si="3"/>
        <v/>
      </c>
      <c r="N559" s="319" t="str">
        <f>IFERROR(__xludf.DUMMYFUNCTION("""COMPUTED_VALUE"""),"")</f>
        <v/>
      </c>
      <c r="O559" s="257" t="str">
        <f>IFERROR(__xludf.DUMMYFUNCTION("""COMPUTED_VALUE"""),"")</f>
        <v/>
      </c>
      <c r="P559" s="247" t="str">
        <f t="shared" si="4"/>
        <v/>
      </c>
      <c r="Q559" s="320" t="str">
        <f>IFERROR(__xludf.DUMMYFUNCTION("""COMPUTED_VALUE"""),"")</f>
        <v/>
      </c>
      <c r="R559" s="259" t="str">
        <f>IFERROR(__xludf.DUMMYFUNCTION("""COMPUTED_VALUE"""),"")</f>
        <v/>
      </c>
      <c r="S559" s="250" t="str">
        <f t="shared" si="5"/>
        <v/>
      </c>
      <c r="T559" s="254" t="str">
        <f>IFERROR(__xludf.DUMMYFUNCTION("""COMPUTED_VALUE"""),"")</f>
        <v/>
      </c>
      <c r="U559" s="246" t="str">
        <f>IFERROR(__xludf.DUMMYFUNCTION("""COMPUTED_VALUE"""),"")</f>
        <v/>
      </c>
      <c r="V559" s="247" t="str">
        <f t="shared" si="6"/>
        <v/>
      </c>
      <c r="W559" s="255" t="str">
        <f>IFERROR(__xludf.DUMMYFUNCTION("""COMPUTED_VALUE"""),"")</f>
        <v/>
      </c>
      <c r="X559" s="249" t="str">
        <f>IFERROR(__xludf.DUMMYFUNCTION("""COMPUTED_VALUE"""),"")</f>
        <v/>
      </c>
      <c r="Y559" s="250" t="str">
        <f t="shared" si="7"/>
        <v/>
      </c>
    </row>
    <row r="560">
      <c r="A560" s="136" t="s">
        <v>133</v>
      </c>
      <c r="B560" s="136"/>
      <c r="C560" s="136" t="s">
        <v>133</v>
      </c>
      <c r="D560" s="136"/>
      <c r="E560" s="256" t="str">
        <f>IFERROR(__xludf.DUMMYFUNCTION("""COMPUTED_VALUE"""),"")</f>
        <v/>
      </c>
      <c r="F560" s="257" t="str">
        <f>IFERROR(__xludf.DUMMYFUNCTION("""COMPUTED_VALUE"""),"")</f>
        <v/>
      </c>
      <c r="G560" s="247" t="str">
        <f t="shared" si="1"/>
        <v/>
      </c>
      <c r="H560" s="258" t="str">
        <f>IFERROR(__xludf.DUMMYFUNCTION("""COMPUTED_VALUE"""),"")</f>
        <v/>
      </c>
      <c r="I560" s="259" t="str">
        <f>IFERROR(__xludf.DUMMYFUNCTION("""COMPUTED_VALUE"""),"")</f>
        <v/>
      </c>
      <c r="J560" s="250" t="str">
        <f t="shared" si="2"/>
        <v/>
      </c>
      <c r="K560" s="317" t="str">
        <f>IFERROR(__xludf.DUMMYFUNCTION("""COMPUTED_VALUE"""),"")</f>
        <v/>
      </c>
      <c r="L560" s="318" t="str">
        <f>IFERROR(__xludf.DUMMYFUNCTION("""COMPUTED_VALUE"""),"")</f>
        <v/>
      </c>
      <c r="M560" s="253" t="str">
        <f t="shared" si="3"/>
        <v/>
      </c>
      <c r="N560" s="319" t="str">
        <f>IFERROR(__xludf.DUMMYFUNCTION("""COMPUTED_VALUE"""),"")</f>
        <v/>
      </c>
      <c r="O560" s="257" t="str">
        <f>IFERROR(__xludf.DUMMYFUNCTION("""COMPUTED_VALUE"""),"")</f>
        <v/>
      </c>
      <c r="P560" s="247" t="str">
        <f t="shared" si="4"/>
        <v/>
      </c>
      <c r="Q560" s="320" t="str">
        <f>IFERROR(__xludf.DUMMYFUNCTION("""COMPUTED_VALUE"""),"")</f>
        <v/>
      </c>
      <c r="R560" s="259" t="str">
        <f>IFERROR(__xludf.DUMMYFUNCTION("""COMPUTED_VALUE"""),"")</f>
        <v/>
      </c>
      <c r="S560" s="250" t="str">
        <f t="shared" si="5"/>
        <v/>
      </c>
      <c r="T560" s="254" t="str">
        <f>IFERROR(__xludf.DUMMYFUNCTION("""COMPUTED_VALUE"""),"")</f>
        <v/>
      </c>
      <c r="U560" s="246" t="str">
        <f>IFERROR(__xludf.DUMMYFUNCTION("""COMPUTED_VALUE"""),"")</f>
        <v/>
      </c>
      <c r="V560" s="247" t="str">
        <f t="shared" si="6"/>
        <v/>
      </c>
      <c r="W560" s="255" t="str">
        <f>IFERROR(__xludf.DUMMYFUNCTION("""COMPUTED_VALUE"""),"")</f>
        <v/>
      </c>
      <c r="X560" s="249" t="str">
        <f>IFERROR(__xludf.DUMMYFUNCTION("""COMPUTED_VALUE"""),"")</f>
        <v/>
      </c>
      <c r="Y560" s="250" t="str">
        <f t="shared" si="7"/>
        <v/>
      </c>
    </row>
    <row r="561">
      <c r="A561" s="136" t="s">
        <v>133</v>
      </c>
      <c r="B561" s="136"/>
      <c r="C561" s="136" t="s">
        <v>133</v>
      </c>
      <c r="D561" s="136"/>
      <c r="E561" s="256" t="str">
        <f>IFERROR(__xludf.DUMMYFUNCTION("""COMPUTED_VALUE"""),"")</f>
        <v/>
      </c>
      <c r="F561" s="257" t="str">
        <f>IFERROR(__xludf.DUMMYFUNCTION("""COMPUTED_VALUE"""),"")</f>
        <v/>
      </c>
      <c r="G561" s="247" t="str">
        <f t="shared" si="1"/>
        <v/>
      </c>
      <c r="H561" s="258" t="str">
        <f>IFERROR(__xludf.DUMMYFUNCTION("""COMPUTED_VALUE"""),"")</f>
        <v/>
      </c>
      <c r="I561" s="259" t="str">
        <f>IFERROR(__xludf.DUMMYFUNCTION("""COMPUTED_VALUE"""),"")</f>
        <v/>
      </c>
      <c r="J561" s="250" t="str">
        <f t="shared" si="2"/>
        <v/>
      </c>
      <c r="K561" s="317" t="str">
        <f>IFERROR(__xludf.DUMMYFUNCTION("""COMPUTED_VALUE"""),"")</f>
        <v/>
      </c>
      <c r="L561" s="318" t="str">
        <f>IFERROR(__xludf.DUMMYFUNCTION("""COMPUTED_VALUE"""),"")</f>
        <v/>
      </c>
      <c r="M561" s="253" t="str">
        <f t="shared" si="3"/>
        <v/>
      </c>
      <c r="N561" s="319" t="str">
        <f>IFERROR(__xludf.DUMMYFUNCTION("""COMPUTED_VALUE"""),"")</f>
        <v/>
      </c>
      <c r="O561" s="257" t="str">
        <f>IFERROR(__xludf.DUMMYFUNCTION("""COMPUTED_VALUE"""),"")</f>
        <v/>
      </c>
      <c r="P561" s="247" t="str">
        <f t="shared" si="4"/>
        <v/>
      </c>
      <c r="Q561" s="320" t="str">
        <f>IFERROR(__xludf.DUMMYFUNCTION("""COMPUTED_VALUE"""),"")</f>
        <v/>
      </c>
      <c r="R561" s="259" t="str">
        <f>IFERROR(__xludf.DUMMYFUNCTION("""COMPUTED_VALUE"""),"")</f>
        <v/>
      </c>
      <c r="S561" s="250" t="str">
        <f t="shared" si="5"/>
        <v/>
      </c>
      <c r="T561" s="254" t="str">
        <f>IFERROR(__xludf.DUMMYFUNCTION("""COMPUTED_VALUE"""),"")</f>
        <v/>
      </c>
      <c r="U561" s="246" t="str">
        <f>IFERROR(__xludf.DUMMYFUNCTION("""COMPUTED_VALUE"""),"")</f>
        <v/>
      </c>
      <c r="V561" s="247" t="str">
        <f t="shared" si="6"/>
        <v/>
      </c>
      <c r="W561" s="255" t="str">
        <f>IFERROR(__xludf.DUMMYFUNCTION("""COMPUTED_VALUE"""),"")</f>
        <v/>
      </c>
      <c r="X561" s="249" t="str">
        <f>IFERROR(__xludf.DUMMYFUNCTION("""COMPUTED_VALUE"""),"")</f>
        <v/>
      </c>
      <c r="Y561" s="250" t="str">
        <f t="shared" si="7"/>
        <v/>
      </c>
    </row>
    <row r="562">
      <c r="A562" s="136" t="s">
        <v>133</v>
      </c>
      <c r="B562" s="136"/>
      <c r="C562" s="136" t="s">
        <v>133</v>
      </c>
      <c r="D562" s="136"/>
      <c r="E562" s="256" t="str">
        <f>IFERROR(__xludf.DUMMYFUNCTION("""COMPUTED_VALUE"""),"")</f>
        <v/>
      </c>
      <c r="F562" s="257" t="str">
        <f>IFERROR(__xludf.DUMMYFUNCTION("""COMPUTED_VALUE"""),"")</f>
        <v/>
      </c>
      <c r="G562" s="247" t="str">
        <f t="shared" si="1"/>
        <v/>
      </c>
      <c r="H562" s="258" t="str">
        <f>IFERROR(__xludf.DUMMYFUNCTION("""COMPUTED_VALUE"""),"")</f>
        <v/>
      </c>
      <c r="I562" s="259" t="str">
        <f>IFERROR(__xludf.DUMMYFUNCTION("""COMPUTED_VALUE"""),"")</f>
        <v/>
      </c>
      <c r="J562" s="250" t="str">
        <f t="shared" si="2"/>
        <v/>
      </c>
      <c r="K562" s="317" t="str">
        <f>IFERROR(__xludf.DUMMYFUNCTION("""COMPUTED_VALUE"""),"")</f>
        <v/>
      </c>
      <c r="L562" s="318" t="str">
        <f>IFERROR(__xludf.DUMMYFUNCTION("""COMPUTED_VALUE"""),"")</f>
        <v/>
      </c>
      <c r="M562" s="253" t="str">
        <f t="shared" si="3"/>
        <v/>
      </c>
      <c r="N562" s="319" t="str">
        <f>IFERROR(__xludf.DUMMYFUNCTION("""COMPUTED_VALUE"""),"")</f>
        <v/>
      </c>
      <c r="O562" s="257" t="str">
        <f>IFERROR(__xludf.DUMMYFUNCTION("""COMPUTED_VALUE"""),"")</f>
        <v/>
      </c>
      <c r="P562" s="247" t="str">
        <f t="shared" si="4"/>
        <v/>
      </c>
      <c r="Q562" s="320" t="str">
        <f>IFERROR(__xludf.DUMMYFUNCTION("""COMPUTED_VALUE"""),"")</f>
        <v/>
      </c>
      <c r="R562" s="259" t="str">
        <f>IFERROR(__xludf.DUMMYFUNCTION("""COMPUTED_VALUE"""),"")</f>
        <v/>
      </c>
      <c r="S562" s="250" t="str">
        <f t="shared" si="5"/>
        <v/>
      </c>
      <c r="T562" s="254" t="str">
        <f>IFERROR(__xludf.DUMMYFUNCTION("""COMPUTED_VALUE"""),"")</f>
        <v/>
      </c>
      <c r="U562" s="246" t="str">
        <f>IFERROR(__xludf.DUMMYFUNCTION("""COMPUTED_VALUE"""),"")</f>
        <v/>
      </c>
      <c r="V562" s="247" t="str">
        <f t="shared" si="6"/>
        <v/>
      </c>
      <c r="W562" s="255" t="str">
        <f>IFERROR(__xludf.DUMMYFUNCTION("""COMPUTED_VALUE"""),"")</f>
        <v/>
      </c>
      <c r="X562" s="249" t="str">
        <f>IFERROR(__xludf.DUMMYFUNCTION("""COMPUTED_VALUE"""),"")</f>
        <v/>
      </c>
      <c r="Y562" s="250" t="str">
        <f t="shared" si="7"/>
        <v/>
      </c>
    </row>
    <row r="563">
      <c r="A563" s="136" t="s">
        <v>133</v>
      </c>
      <c r="B563" s="136"/>
      <c r="C563" s="136" t="s">
        <v>133</v>
      </c>
      <c r="D563" s="136"/>
      <c r="E563" s="256" t="str">
        <f>IFERROR(__xludf.DUMMYFUNCTION("""COMPUTED_VALUE"""),"")</f>
        <v/>
      </c>
      <c r="F563" s="257" t="str">
        <f>IFERROR(__xludf.DUMMYFUNCTION("""COMPUTED_VALUE"""),"")</f>
        <v/>
      </c>
      <c r="G563" s="247" t="str">
        <f t="shared" si="1"/>
        <v/>
      </c>
      <c r="H563" s="258" t="str">
        <f>IFERROR(__xludf.DUMMYFUNCTION("""COMPUTED_VALUE"""),"")</f>
        <v/>
      </c>
      <c r="I563" s="259" t="str">
        <f>IFERROR(__xludf.DUMMYFUNCTION("""COMPUTED_VALUE"""),"")</f>
        <v/>
      </c>
      <c r="J563" s="250" t="str">
        <f t="shared" si="2"/>
        <v/>
      </c>
      <c r="K563" s="317" t="str">
        <f>IFERROR(__xludf.DUMMYFUNCTION("""COMPUTED_VALUE"""),"")</f>
        <v/>
      </c>
      <c r="L563" s="318" t="str">
        <f>IFERROR(__xludf.DUMMYFUNCTION("""COMPUTED_VALUE"""),"")</f>
        <v/>
      </c>
      <c r="M563" s="253" t="str">
        <f t="shared" si="3"/>
        <v/>
      </c>
      <c r="N563" s="319" t="str">
        <f>IFERROR(__xludf.DUMMYFUNCTION("""COMPUTED_VALUE"""),"")</f>
        <v/>
      </c>
      <c r="O563" s="257" t="str">
        <f>IFERROR(__xludf.DUMMYFUNCTION("""COMPUTED_VALUE"""),"")</f>
        <v/>
      </c>
      <c r="P563" s="247" t="str">
        <f t="shared" si="4"/>
        <v/>
      </c>
      <c r="Q563" s="320" t="str">
        <f>IFERROR(__xludf.DUMMYFUNCTION("""COMPUTED_VALUE"""),"")</f>
        <v/>
      </c>
      <c r="R563" s="259" t="str">
        <f>IFERROR(__xludf.DUMMYFUNCTION("""COMPUTED_VALUE"""),"")</f>
        <v/>
      </c>
      <c r="S563" s="250" t="str">
        <f t="shared" si="5"/>
        <v/>
      </c>
      <c r="T563" s="254" t="str">
        <f>IFERROR(__xludf.DUMMYFUNCTION("""COMPUTED_VALUE"""),"")</f>
        <v/>
      </c>
      <c r="U563" s="246" t="str">
        <f>IFERROR(__xludf.DUMMYFUNCTION("""COMPUTED_VALUE"""),"")</f>
        <v/>
      </c>
      <c r="V563" s="247" t="str">
        <f t="shared" si="6"/>
        <v/>
      </c>
      <c r="W563" s="255" t="str">
        <f>IFERROR(__xludf.DUMMYFUNCTION("""COMPUTED_VALUE"""),"")</f>
        <v/>
      </c>
      <c r="X563" s="249" t="str">
        <f>IFERROR(__xludf.DUMMYFUNCTION("""COMPUTED_VALUE"""),"")</f>
        <v/>
      </c>
      <c r="Y563" s="250" t="str">
        <f t="shared" si="7"/>
        <v/>
      </c>
    </row>
    <row r="564">
      <c r="A564" s="136" t="s">
        <v>133</v>
      </c>
      <c r="B564" s="136"/>
      <c r="C564" s="136" t="s">
        <v>133</v>
      </c>
      <c r="D564" s="136"/>
      <c r="E564" s="256" t="str">
        <f>IFERROR(__xludf.DUMMYFUNCTION("""COMPUTED_VALUE"""),"")</f>
        <v/>
      </c>
      <c r="F564" s="257" t="str">
        <f>IFERROR(__xludf.DUMMYFUNCTION("""COMPUTED_VALUE"""),"")</f>
        <v/>
      </c>
      <c r="G564" s="247" t="str">
        <f t="shared" si="1"/>
        <v/>
      </c>
      <c r="H564" s="258" t="str">
        <f>IFERROR(__xludf.DUMMYFUNCTION("""COMPUTED_VALUE"""),"")</f>
        <v/>
      </c>
      <c r="I564" s="259" t="str">
        <f>IFERROR(__xludf.DUMMYFUNCTION("""COMPUTED_VALUE"""),"")</f>
        <v/>
      </c>
      <c r="J564" s="250" t="str">
        <f t="shared" si="2"/>
        <v/>
      </c>
      <c r="K564" s="317" t="str">
        <f>IFERROR(__xludf.DUMMYFUNCTION("""COMPUTED_VALUE"""),"")</f>
        <v/>
      </c>
      <c r="L564" s="318" t="str">
        <f>IFERROR(__xludf.DUMMYFUNCTION("""COMPUTED_VALUE"""),"")</f>
        <v/>
      </c>
      <c r="M564" s="253" t="str">
        <f t="shared" si="3"/>
        <v/>
      </c>
      <c r="N564" s="319" t="str">
        <f>IFERROR(__xludf.DUMMYFUNCTION("""COMPUTED_VALUE"""),"")</f>
        <v/>
      </c>
      <c r="O564" s="257" t="str">
        <f>IFERROR(__xludf.DUMMYFUNCTION("""COMPUTED_VALUE"""),"")</f>
        <v/>
      </c>
      <c r="P564" s="247" t="str">
        <f t="shared" si="4"/>
        <v/>
      </c>
      <c r="Q564" s="320" t="str">
        <f>IFERROR(__xludf.DUMMYFUNCTION("""COMPUTED_VALUE"""),"")</f>
        <v/>
      </c>
      <c r="R564" s="259" t="str">
        <f>IFERROR(__xludf.DUMMYFUNCTION("""COMPUTED_VALUE"""),"")</f>
        <v/>
      </c>
      <c r="S564" s="250" t="str">
        <f t="shared" si="5"/>
        <v/>
      </c>
      <c r="T564" s="254" t="str">
        <f>IFERROR(__xludf.DUMMYFUNCTION("""COMPUTED_VALUE"""),"")</f>
        <v/>
      </c>
      <c r="U564" s="246" t="str">
        <f>IFERROR(__xludf.DUMMYFUNCTION("""COMPUTED_VALUE"""),"")</f>
        <v/>
      </c>
      <c r="V564" s="247" t="str">
        <f t="shared" si="6"/>
        <v/>
      </c>
      <c r="W564" s="255" t="str">
        <f>IFERROR(__xludf.DUMMYFUNCTION("""COMPUTED_VALUE"""),"")</f>
        <v/>
      </c>
      <c r="X564" s="249" t="str">
        <f>IFERROR(__xludf.DUMMYFUNCTION("""COMPUTED_VALUE"""),"")</f>
        <v/>
      </c>
      <c r="Y564" s="250" t="str">
        <f t="shared" si="7"/>
        <v/>
      </c>
    </row>
    <row r="565">
      <c r="A565" s="136" t="s">
        <v>133</v>
      </c>
      <c r="B565" s="136"/>
      <c r="C565" s="136" t="s">
        <v>133</v>
      </c>
      <c r="D565" s="136"/>
      <c r="E565" s="256" t="str">
        <f>IFERROR(__xludf.DUMMYFUNCTION("""COMPUTED_VALUE"""),"")</f>
        <v/>
      </c>
      <c r="F565" s="257" t="str">
        <f>IFERROR(__xludf.DUMMYFUNCTION("""COMPUTED_VALUE"""),"")</f>
        <v/>
      </c>
      <c r="G565" s="247" t="str">
        <f t="shared" si="1"/>
        <v/>
      </c>
      <c r="H565" s="258" t="str">
        <f>IFERROR(__xludf.DUMMYFUNCTION("""COMPUTED_VALUE"""),"")</f>
        <v/>
      </c>
      <c r="I565" s="259" t="str">
        <f>IFERROR(__xludf.DUMMYFUNCTION("""COMPUTED_VALUE"""),"")</f>
        <v/>
      </c>
      <c r="J565" s="250" t="str">
        <f t="shared" si="2"/>
        <v/>
      </c>
      <c r="K565" s="317" t="str">
        <f>IFERROR(__xludf.DUMMYFUNCTION("""COMPUTED_VALUE"""),"")</f>
        <v/>
      </c>
      <c r="L565" s="318" t="str">
        <f>IFERROR(__xludf.DUMMYFUNCTION("""COMPUTED_VALUE"""),"")</f>
        <v/>
      </c>
      <c r="M565" s="253" t="str">
        <f t="shared" si="3"/>
        <v/>
      </c>
      <c r="N565" s="319" t="str">
        <f>IFERROR(__xludf.DUMMYFUNCTION("""COMPUTED_VALUE"""),"")</f>
        <v/>
      </c>
      <c r="O565" s="257" t="str">
        <f>IFERROR(__xludf.DUMMYFUNCTION("""COMPUTED_VALUE"""),"")</f>
        <v/>
      </c>
      <c r="P565" s="247" t="str">
        <f t="shared" si="4"/>
        <v/>
      </c>
      <c r="Q565" s="320" t="str">
        <f>IFERROR(__xludf.DUMMYFUNCTION("""COMPUTED_VALUE"""),"")</f>
        <v/>
      </c>
      <c r="R565" s="259" t="str">
        <f>IFERROR(__xludf.DUMMYFUNCTION("""COMPUTED_VALUE"""),"")</f>
        <v/>
      </c>
      <c r="S565" s="250" t="str">
        <f t="shared" si="5"/>
        <v/>
      </c>
      <c r="T565" s="254" t="str">
        <f>IFERROR(__xludf.DUMMYFUNCTION("""COMPUTED_VALUE"""),"")</f>
        <v/>
      </c>
      <c r="U565" s="246" t="str">
        <f>IFERROR(__xludf.DUMMYFUNCTION("""COMPUTED_VALUE"""),"")</f>
        <v/>
      </c>
      <c r="V565" s="247" t="str">
        <f t="shared" si="6"/>
        <v/>
      </c>
      <c r="W565" s="255" t="str">
        <f>IFERROR(__xludf.DUMMYFUNCTION("""COMPUTED_VALUE"""),"")</f>
        <v/>
      </c>
      <c r="X565" s="249" t="str">
        <f>IFERROR(__xludf.DUMMYFUNCTION("""COMPUTED_VALUE"""),"")</f>
        <v/>
      </c>
      <c r="Y565" s="250" t="str">
        <f t="shared" si="7"/>
        <v/>
      </c>
    </row>
    <row r="566">
      <c r="A566" s="136" t="s">
        <v>133</v>
      </c>
      <c r="B566" s="136"/>
      <c r="C566" s="136" t="s">
        <v>133</v>
      </c>
      <c r="D566" s="136"/>
      <c r="E566" s="256" t="str">
        <f>IFERROR(__xludf.DUMMYFUNCTION("""COMPUTED_VALUE"""),"")</f>
        <v/>
      </c>
      <c r="F566" s="257" t="str">
        <f>IFERROR(__xludf.DUMMYFUNCTION("""COMPUTED_VALUE"""),"")</f>
        <v/>
      </c>
      <c r="G566" s="247" t="str">
        <f t="shared" si="1"/>
        <v/>
      </c>
      <c r="H566" s="258" t="str">
        <f>IFERROR(__xludf.DUMMYFUNCTION("""COMPUTED_VALUE"""),"")</f>
        <v/>
      </c>
      <c r="I566" s="259" t="str">
        <f>IFERROR(__xludf.DUMMYFUNCTION("""COMPUTED_VALUE"""),"")</f>
        <v/>
      </c>
      <c r="J566" s="250" t="str">
        <f t="shared" si="2"/>
        <v/>
      </c>
      <c r="K566" s="317" t="str">
        <f>IFERROR(__xludf.DUMMYFUNCTION("""COMPUTED_VALUE"""),"")</f>
        <v/>
      </c>
      <c r="L566" s="318" t="str">
        <f>IFERROR(__xludf.DUMMYFUNCTION("""COMPUTED_VALUE"""),"")</f>
        <v/>
      </c>
      <c r="M566" s="253" t="str">
        <f t="shared" si="3"/>
        <v/>
      </c>
      <c r="N566" s="319" t="str">
        <f>IFERROR(__xludf.DUMMYFUNCTION("""COMPUTED_VALUE"""),"")</f>
        <v/>
      </c>
      <c r="O566" s="257" t="str">
        <f>IFERROR(__xludf.DUMMYFUNCTION("""COMPUTED_VALUE"""),"")</f>
        <v/>
      </c>
      <c r="P566" s="247" t="str">
        <f t="shared" si="4"/>
        <v/>
      </c>
      <c r="Q566" s="320" t="str">
        <f>IFERROR(__xludf.DUMMYFUNCTION("""COMPUTED_VALUE"""),"")</f>
        <v/>
      </c>
      <c r="R566" s="259" t="str">
        <f>IFERROR(__xludf.DUMMYFUNCTION("""COMPUTED_VALUE"""),"")</f>
        <v/>
      </c>
      <c r="S566" s="250" t="str">
        <f t="shared" si="5"/>
        <v/>
      </c>
      <c r="T566" s="254" t="str">
        <f>IFERROR(__xludf.DUMMYFUNCTION("""COMPUTED_VALUE"""),"")</f>
        <v/>
      </c>
      <c r="U566" s="246" t="str">
        <f>IFERROR(__xludf.DUMMYFUNCTION("""COMPUTED_VALUE"""),"")</f>
        <v/>
      </c>
      <c r="V566" s="247" t="str">
        <f t="shared" si="6"/>
        <v/>
      </c>
      <c r="W566" s="255" t="str">
        <f>IFERROR(__xludf.DUMMYFUNCTION("""COMPUTED_VALUE"""),"")</f>
        <v/>
      </c>
      <c r="X566" s="249" t="str">
        <f>IFERROR(__xludf.DUMMYFUNCTION("""COMPUTED_VALUE"""),"")</f>
        <v/>
      </c>
      <c r="Y566" s="250" t="str">
        <f t="shared" si="7"/>
        <v/>
      </c>
    </row>
    <row r="567">
      <c r="A567" s="136" t="s">
        <v>133</v>
      </c>
      <c r="B567" s="136"/>
      <c r="C567" s="136" t="s">
        <v>133</v>
      </c>
      <c r="D567" s="136"/>
      <c r="E567" s="256" t="str">
        <f>IFERROR(__xludf.DUMMYFUNCTION("""COMPUTED_VALUE"""),"")</f>
        <v/>
      </c>
      <c r="F567" s="257" t="str">
        <f>IFERROR(__xludf.DUMMYFUNCTION("""COMPUTED_VALUE"""),"")</f>
        <v/>
      </c>
      <c r="G567" s="247" t="str">
        <f t="shared" si="1"/>
        <v/>
      </c>
      <c r="H567" s="258" t="str">
        <f>IFERROR(__xludf.DUMMYFUNCTION("""COMPUTED_VALUE"""),"")</f>
        <v/>
      </c>
      <c r="I567" s="259" t="str">
        <f>IFERROR(__xludf.DUMMYFUNCTION("""COMPUTED_VALUE"""),"")</f>
        <v/>
      </c>
      <c r="J567" s="250" t="str">
        <f t="shared" si="2"/>
        <v/>
      </c>
      <c r="K567" s="317" t="str">
        <f>IFERROR(__xludf.DUMMYFUNCTION("""COMPUTED_VALUE"""),"")</f>
        <v/>
      </c>
      <c r="L567" s="318" t="str">
        <f>IFERROR(__xludf.DUMMYFUNCTION("""COMPUTED_VALUE"""),"")</f>
        <v/>
      </c>
      <c r="M567" s="253" t="str">
        <f t="shared" si="3"/>
        <v/>
      </c>
      <c r="N567" s="319" t="str">
        <f>IFERROR(__xludf.DUMMYFUNCTION("""COMPUTED_VALUE"""),"")</f>
        <v/>
      </c>
      <c r="O567" s="257" t="str">
        <f>IFERROR(__xludf.DUMMYFUNCTION("""COMPUTED_VALUE"""),"")</f>
        <v/>
      </c>
      <c r="P567" s="247" t="str">
        <f t="shared" si="4"/>
        <v/>
      </c>
      <c r="Q567" s="320" t="str">
        <f>IFERROR(__xludf.DUMMYFUNCTION("""COMPUTED_VALUE"""),"")</f>
        <v/>
      </c>
      <c r="R567" s="259" t="str">
        <f>IFERROR(__xludf.DUMMYFUNCTION("""COMPUTED_VALUE"""),"")</f>
        <v/>
      </c>
      <c r="S567" s="250" t="str">
        <f t="shared" si="5"/>
        <v/>
      </c>
      <c r="T567" s="254" t="str">
        <f>IFERROR(__xludf.DUMMYFUNCTION("""COMPUTED_VALUE"""),"")</f>
        <v/>
      </c>
      <c r="U567" s="246" t="str">
        <f>IFERROR(__xludf.DUMMYFUNCTION("""COMPUTED_VALUE"""),"")</f>
        <v/>
      </c>
      <c r="V567" s="247" t="str">
        <f t="shared" si="6"/>
        <v/>
      </c>
      <c r="W567" s="255" t="str">
        <f>IFERROR(__xludf.DUMMYFUNCTION("""COMPUTED_VALUE"""),"")</f>
        <v/>
      </c>
      <c r="X567" s="249" t="str">
        <f>IFERROR(__xludf.DUMMYFUNCTION("""COMPUTED_VALUE"""),"")</f>
        <v/>
      </c>
      <c r="Y567" s="250" t="str">
        <f t="shared" si="7"/>
        <v/>
      </c>
    </row>
    <row r="568">
      <c r="A568" s="136" t="s">
        <v>133</v>
      </c>
      <c r="B568" s="136"/>
      <c r="C568" s="136" t="s">
        <v>133</v>
      </c>
      <c r="D568" s="136"/>
      <c r="E568" s="256" t="str">
        <f>IFERROR(__xludf.DUMMYFUNCTION("""COMPUTED_VALUE"""),"")</f>
        <v/>
      </c>
      <c r="F568" s="257" t="str">
        <f>IFERROR(__xludf.DUMMYFUNCTION("""COMPUTED_VALUE"""),"")</f>
        <v/>
      </c>
      <c r="G568" s="247" t="str">
        <f t="shared" si="1"/>
        <v/>
      </c>
      <c r="H568" s="258" t="str">
        <f>IFERROR(__xludf.DUMMYFUNCTION("""COMPUTED_VALUE"""),"")</f>
        <v/>
      </c>
      <c r="I568" s="259" t="str">
        <f>IFERROR(__xludf.DUMMYFUNCTION("""COMPUTED_VALUE"""),"")</f>
        <v/>
      </c>
      <c r="J568" s="250" t="str">
        <f t="shared" si="2"/>
        <v/>
      </c>
      <c r="K568" s="317" t="str">
        <f>IFERROR(__xludf.DUMMYFUNCTION("""COMPUTED_VALUE"""),"")</f>
        <v/>
      </c>
      <c r="L568" s="318" t="str">
        <f>IFERROR(__xludf.DUMMYFUNCTION("""COMPUTED_VALUE"""),"")</f>
        <v/>
      </c>
      <c r="M568" s="253" t="str">
        <f t="shared" si="3"/>
        <v/>
      </c>
      <c r="N568" s="319" t="str">
        <f>IFERROR(__xludf.DUMMYFUNCTION("""COMPUTED_VALUE"""),"")</f>
        <v/>
      </c>
      <c r="O568" s="257" t="str">
        <f>IFERROR(__xludf.DUMMYFUNCTION("""COMPUTED_VALUE"""),"")</f>
        <v/>
      </c>
      <c r="P568" s="247" t="str">
        <f t="shared" si="4"/>
        <v/>
      </c>
      <c r="Q568" s="320" t="str">
        <f>IFERROR(__xludf.DUMMYFUNCTION("""COMPUTED_VALUE"""),"")</f>
        <v/>
      </c>
      <c r="R568" s="259" t="str">
        <f>IFERROR(__xludf.DUMMYFUNCTION("""COMPUTED_VALUE"""),"")</f>
        <v/>
      </c>
      <c r="S568" s="250" t="str">
        <f t="shared" si="5"/>
        <v/>
      </c>
      <c r="T568" s="254" t="str">
        <f>IFERROR(__xludf.DUMMYFUNCTION("""COMPUTED_VALUE"""),"")</f>
        <v/>
      </c>
      <c r="U568" s="246" t="str">
        <f>IFERROR(__xludf.DUMMYFUNCTION("""COMPUTED_VALUE"""),"")</f>
        <v/>
      </c>
      <c r="V568" s="247" t="str">
        <f t="shared" si="6"/>
        <v/>
      </c>
      <c r="W568" s="255" t="str">
        <f>IFERROR(__xludf.DUMMYFUNCTION("""COMPUTED_VALUE"""),"")</f>
        <v/>
      </c>
      <c r="X568" s="249" t="str">
        <f>IFERROR(__xludf.DUMMYFUNCTION("""COMPUTED_VALUE"""),"")</f>
        <v/>
      </c>
      <c r="Y568" s="250" t="str">
        <f t="shared" si="7"/>
        <v/>
      </c>
    </row>
    <row r="569">
      <c r="A569" s="136" t="s">
        <v>133</v>
      </c>
      <c r="B569" s="136"/>
      <c r="C569" s="136" t="s">
        <v>133</v>
      </c>
      <c r="D569" s="136"/>
      <c r="E569" s="256" t="str">
        <f>IFERROR(__xludf.DUMMYFUNCTION("""COMPUTED_VALUE"""),"")</f>
        <v/>
      </c>
      <c r="F569" s="257" t="str">
        <f>IFERROR(__xludf.DUMMYFUNCTION("""COMPUTED_VALUE"""),"")</f>
        <v/>
      </c>
      <c r="G569" s="247" t="str">
        <f t="shared" si="1"/>
        <v/>
      </c>
      <c r="H569" s="258" t="str">
        <f>IFERROR(__xludf.DUMMYFUNCTION("""COMPUTED_VALUE"""),"")</f>
        <v/>
      </c>
      <c r="I569" s="259" t="str">
        <f>IFERROR(__xludf.DUMMYFUNCTION("""COMPUTED_VALUE"""),"")</f>
        <v/>
      </c>
      <c r="J569" s="250" t="str">
        <f t="shared" si="2"/>
        <v/>
      </c>
      <c r="K569" s="317" t="str">
        <f>IFERROR(__xludf.DUMMYFUNCTION("""COMPUTED_VALUE"""),"")</f>
        <v/>
      </c>
      <c r="L569" s="318" t="str">
        <f>IFERROR(__xludf.DUMMYFUNCTION("""COMPUTED_VALUE"""),"")</f>
        <v/>
      </c>
      <c r="M569" s="253" t="str">
        <f t="shared" si="3"/>
        <v/>
      </c>
      <c r="N569" s="319" t="str">
        <f>IFERROR(__xludf.DUMMYFUNCTION("""COMPUTED_VALUE"""),"")</f>
        <v/>
      </c>
      <c r="O569" s="257" t="str">
        <f>IFERROR(__xludf.DUMMYFUNCTION("""COMPUTED_VALUE"""),"")</f>
        <v/>
      </c>
      <c r="P569" s="247" t="str">
        <f t="shared" si="4"/>
        <v/>
      </c>
      <c r="Q569" s="320" t="str">
        <f>IFERROR(__xludf.DUMMYFUNCTION("""COMPUTED_VALUE"""),"")</f>
        <v/>
      </c>
      <c r="R569" s="259" t="str">
        <f>IFERROR(__xludf.DUMMYFUNCTION("""COMPUTED_VALUE"""),"")</f>
        <v/>
      </c>
      <c r="S569" s="250" t="str">
        <f t="shared" si="5"/>
        <v/>
      </c>
      <c r="T569" s="254" t="str">
        <f>IFERROR(__xludf.DUMMYFUNCTION("""COMPUTED_VALUE"""),"")</f>
        <v/>
      </c>
      <c r="U569" s="246" t="str">
        <f>IFERROR(__xludf.DUMMYFUNCTION("""COMPUTED_VALUE"""),"")</f>
        <v/>
      </c>
      <c r="V569" s="247" t="str">
        <f t="shared" si="6"/>
        <v/>
      </c>
      <c r="W569" s="255" t="str">
        <f>IFERROR(__xludf.DUMMYFUNCTION("""COMPUTED_VALUE"""),"")</f>
        <v/>
      </c>
      <c r="X569" s="249" t="str">
        <f>IFERROR(__xludf.DUMMYFUNCTION("""COMPUTED_VALUE"""),"")</f>
        <v/>
      </c>
      <c r="Y569" s="250" t="str">
        <f t="shared" si="7"/>
        <v/>
      </c>
    </row>
    <row r="570">
      <c r="A570" s="136" t="s">
        <v>133</v>
      </c>
      <c r="B570" s="136"/>
      <c r="C570" s="136" t="s">
        <v>133</v>
      </c>
      <c r="D570" s="136"/>
      <c r="E570" s="256" t="str">
        <f>IFERROR(__xludf.DUMMYFUNCTION("""COMPUTED_VALUE"""),"")</f>
        <v/>
      </c>
      <c r="F570" s="257" t="str">
        <f>IFERROR(__xludf.DUMMYFUNCTION("""COMPUTED_VALUE"""),"")</f>
        <v/>
      </c>
      <c r="G570" s="247" t="str">
        <f t="shared" si="1"/>
        <v/>
      </c>
      <c r="H570" s="258" t="str">
        <f>IFERROR(__xludf.DUMMYFUNCTION("""COMPUTED_VALUE"""),"")</f>
        <v/>
      </c>
      <c r="I570" s="259" t="str">
        <f>IFERROR(__xludf.DUMMYFUNCTION("""COMPUTED_VALUE"""),"")</f>
        <v/>
      </c>
      <c r="J570" s="250" t="str">
        <f t="shared" si="2"/>
        <v/>
      </c>
      <c r="K570" s="317" t="str">
        <f>IFERROR(__xludf.DUMMYFUNCTION("""COMPUTED_VALUE"""),"")</f>
        <v/>
      </c>
      <c r="L570" s="318" t="str">
        <f>IFERROR(__xludf.DUMMYFUNCTION("""COMPUTED_VALUE"""),"")</f>
        <v/>
      </c>
      <c r="M570" s="253" t="str">
        <f t="shared" si="3"/>
        <v/>
      </c>
      <c r="N570" s="319" t="str">
        <f>IFERROR(__xludf.DUMMYFUNCTION("""COMPUTED_VALUE"""),"")</f>
        <v/>
      </c>
      <c r="O570" s="257" t="str">
        <f>IFERROR(__xludf.DUMMYFUNCTION("""COMPUTED_VALUE"""),"")</f>
        <v/>
      </c>
      <c r="P570" s="247" t="str">
        <f t="shared" si="4"/>
        <v/>
      </c>
      <c r="Q570" s="320" t="str">
        <f>IFERROR(__xludf.DUMMYFUNCTION("""COMPUTED_VALUE"""),"")</f>
        <v/>
      </c>
      <c r="R570" s="259" t="str">
        <f>IFERROR(__xludf.DUMMYFUNCTION("""COMPUTED_VALUE"""),"")</f>
        <v/>
      </c>
      <c r="S570" s="250" t="str">
        <f t="shared" si="5"/>
        <v/>
      </c>
      <c r="T570" s="254" t="str">
        <f>IFERROR(__xludf.DUMMYFUNCTION("""COMPUTED_VALUE"""),"")</f>
        <v/>
      </c>
      <c r="U570" s="246" t="str">
        <f>IFERROR(__xludf.DUMMYFUNCTION("""COMPUTED_VALUE"""),"")</f>
        <v/>
      </c>
      <c r="V570" s="247" t="str">
        <f t="shared" si="6"/>
        <v/>
      </c>
      <c r="W570" s="255" t="str">
        <f>IFERROR(__xludf.DUMMYFUNCTION("""COMPUTED_VALUE"""),"")</f>
        <v/>
      </c>
      <c r="X570" s="249" t="str">
        <f>IFERROR(__xludf.DUMMYFUNCTION("""COMPUTED_VALUE"""),"")</f>
        <v/>
      </c>
      <c r="Y570" s="250" t="str">
        <f t="shared" si="7"/>
        <v/>
      </c>
    </row>
    <row r="571">
      <c r="A571" s="136" t="s">
        <v>133</v>
      </c>
      <c r="B571" s="136"/>
      <c r="C571" s="136" t="s">
        <v>133</v>
      </c>
      <c r="D571" s="136"/>
      <c r="E571" s="256" t="str">
        <f>IFERROR(__xludf.DUMMYFUNCTION("""COMPUTED_VALUE"""),"")</f>
        <v/>
      </c>
      <c r="F571" s="257" t="str">
        <f>IFERROR(__xludf.DUMMYFUNCTION("""COMPUTED_VALUE"""),"")</f>
        <v/>
      </c>
      <c r="G571" s="247" t="str">
        <f t="shared" si="1"/>
        <v/>
      </c>
      <c r="H571" s="258" t="str">
        <f>IFERROR(__xludf.DUMMYFUNCTION("""COMPUTED_VALUE"""),"")</f>
        <v/>
      </c>
      <c r="I571" s="259" t="str">
        <f>IFERROR(__xludf.DUMMYFUNCTION("""COMPUTED_VALUE"""),"")</f>
        <v/>
      </c>
      <c r="J571" s="250" t="str">
        <f t="shared" si="2"/>
        <v/>
      </c>
      <c r="K571" s="317" t="str">
        <f>IFERROR(__xludf.DUMMYFUNCTION("""COMPUTED_VALUE"""),"")</f>
        <v/>
      </c>
      <c r="L571" s="318" t="str">
        <f>IFERROR(__xludf.DUMMYFUNCTION("""COMPUTED_VALUE"""),"")</f>
        <v/>
      </c>
      <c r="M571" s="253" t="str">
        <f t="shared" si="3"/>
        <v/>
      </c>
      <c r="N571" s="319" t="str">
        <f>IFERROR(__xludf.DUMMYFUNCTION("""COMPUTED_VALUE"""),"")</f>
        <v/>
      </c>
      <c r="O571" s="257" t="str">
        <f>IFERROR(__xludf.DUMMYFUNCTION("""COMPUTED_VALUE"""),"")</f>
        <v/>
      </c>
      <c r="P571" s="247" t="str">
        <f t="shared" si="4"/>
        <v/>
      </c>
      <c r="Q571" s="320" t="str">
        <f>IFERROR(__xludf.DUMMYFUNCTION("""COMPUTED_VALUE"""),"")</f>
        <v/>
      </c>
      <c r="R571" s="259" t="str">
        <f>IFERROR(__xludf.DUMMYFUNCTION("""COMPUTED_VALUE"""),"")</f>
        <v/>
      </c>
      <c r="S571" s="250" t="str">
        <f t="shared" si="5"/>
        <v/>
      </c>
      <c r="T571" s="254" t="str">
        <f>IFERROR(__xludf.DUMMYFUNCTION("""COMPUTED_VALUE"""),"")</f>
        <v/>
      </c>
      <c r="U571" s="246" t="str">
        <f>IFERROR(__xludf.DUMMYFUNCTION("""COMPUTED_VALUE"""),"")</f>
        <v/>
      </c>
      <c r="V571" s="247" t="str">
        <f t="shared" si="6"/>
        <v/>
      </c>
      <c r="W571" s="255" t="str">
        <f>IFERROR(__xludf.DUMMYFUNCTION("""COMPUTED_VALUE"""),"")</f>
        <v/>
      </c>
      <c r="X571" s="249" t="str">
        <f>IFERROR(__xludf.DUMMYFUNCTION("""COMPUTED_VALUE"""),"")</f>
        <v/>
      </c>
      <c r="Y571" s="250" t="str">
        <f t="shared" si="7"/>
        <v/>
      </c>
    </row>
    <row r="572">
      <c r="A572" s="136" t="s">
        <v>133</v>
      </c>
      <c r="B572" s="136"/>
      <c r="C572" s="136" t="s">
        <v>133</v>
      </c>
      <c r="D572" s="136"/>
      <c r="E572" s="256" t="str">
        <f>IFERROR(__xludf.DUMMYFUNCTION("""COMPUTED_VALUE"""),"")</f>
        <v/>
      </c>
      <c r="F572" s="257" t="str">
        <f>IFERROR(__xludf.DUMMYFUNCTION("""COMPUTED_VALUE"""),"")</f>
        <v/>
      </c>
      <c r="G572" s="247" t="str">
        <f t="shared" si="1"/>
        <v/>
      </c>
      <c r="H572" s="258" t="str">
        <f>IFERROR(__xludf.DUMMYFUNCTION("""COMPUTED_VALUE"""),"")</f>
        <v/>
      </c>
      <c r="I572" s="259" t="str">
        <f>IFERROR(__xludf.DUMMYFUNCTION("""COMPUTED_VALUE"""),"")</f>
        <v/>
      </c>
      <c r="J572" s="250" t="str">
        <f t="shared" si="2"/>
        <v/>
      </c>
      <c r="K572" s="317" t="str">
        <f>IFERROR(__xludf.DUMMYFUNCTION("""COMPUTED_VALUE"""),"")</f>
        <v/>
      </c>
      <c r="L572" s="318" t="str">
        <f>IFERROR(__xludf.DUMMYFUNCTION("""COMPUTED_VALUE"""),"")</f>
        <v/>
      </c>
      <c r="M572" s="253" t="str">
        <f t="shared" si="3"/>
        <v/>
      </c>
      <c r="N572" s="319" t="str">
        <f>IFERROR(__xludf.DUMMYFUNCTION("""COMPUTED_VALUE"""),"")</f>
        <v/>
      </c>
      <c r="O572" s="257" t="str">
        <f>IFERROR(__xludf.DUMMYFUNCTION("""COMPUTED_VALUE"""),"")</f>
        <v/>
      </c>
      <c r="P572" s="247" t="str">
        <f t="shared" si="4"/>
        <v/>
      </c>
      <c r="Q572" s="320" t="str">
        <f>IFERROR(__xludf.DUMMYFUNCTION("""COMPUTED_VALUE"""),"")</f>
        <v/>
      </c>
      <c r="R572" s="259" t="str">
        <f>IFERROR(__xludf.DUMMYFUNCTION("""COMPUTED_VALUE"""),"")</f>
        <v/>
      </c>
      <c r="S572" s="250" t="str">
        <f t="shared" si="5"/>
        <v/>
      </c>
      <c r="T572" s="254" t="str">
        <f>IFERROR(__xludf.DUMMYFUNCTION("""COMPUTED_VALUE"""),"")</f>
        <v/>
      </c>
      <c r="U572" s="246" t="str">
        <f>IFERROR(__xludf.DUMMYFUNCTION("""COMPUTED_VALUE"""),"")</f>
        <v/>
      </c>
      <c r="V572" s="247" t="str">
        <f t="shared" si="6"/>
        <v/>
      </c>
      <c r="W572" s="255" t="str">
        <f>IFERROR(__xludf.DUMMYFUNCTION("""COMPUTED_VALUE"""),"")</f>
        <v/>
      </c>
      <c r="X572" s="249" t="str">
        <f>IFERROR(__xludf.DUMMYFUNCTION("""COMPUTED_VALUE"""),"")</f>
        <v/>
      </c>
      <c r="Y572" s="250" t="str">
        <f t="shared" si="7"/>
        <v/>
      </c>
    </row>
    <row r="573">
      <c r="A573" s="136" t="s">
        <v>133</v>
      </c>
      <c r="B573" s="136"/>
      <c r="C573" s="136" t="s">
        <v>133</v>
      </c>
      <c r="D573" s="136"/>
      <c r="E573" s="256" t="str">
        <f>IFERROR(__xludf.DUMMYFUNCTION("""COMPUTED_VALUE"""),"")</f>
        <v/>
      </c>
      <c r="F573" s="257" t="str">
        <f>IFERROR(__xludf.DUMMYFUNCTION("""COMPUTED_VALUE"""),"")</f>
        <v/>
      </c>
      <c r="G573" s="247" t="str">
        <f t="shared" si="1"/>
        <v/>
      </c>
      <c r="H573" s="258" t="str">
        <f>IFERROR(__xludf.DUMMYFUNCTION("""COMPUTED_VALUE"""),"")</f>
        <v/>
      </c>
      <c r="I573" s="259" t="str">
        <f>IFERROR(__xludf.DUMMYFUNCTION("""COMPUTED_VALUE"""),"")</f>
        <v/>
      </c>
      <c r="J573" s="250" t="str">
        <f t="shared" si="2"/>
        <v/>
      </c>
      <c r="K573" s="317" t="str">
        <f>IFERROR(__xludf.DUMMYFUNCTION("""COMPUTED_VALUE"""),"")</f>
        <v/>
      </c>
      <c r="L573" s="318" t="str">
        <f>IFERROR(__xludf.DUMMYFUNCTION("""COMPUTED_VALUE"""),"")</f>
        <v/>
      </c>
      <c r="M573" s="253" t="str">
        <f t="shared" si="3"/>
        <v/>
      </c>
      <c r="N573" s="319" t="str">
        <f>IFERROR(__xludf.DUMMYFUNCTION("""COMPUTED_VALUE"""),"")</f>
        <v/>
      </c>
      <c r="O573" s="257" t="str">
        <f>IFERROR(__xludf.DUMMYFUNCTION("""COMPUTED_VALUE"""),"")</f>
        <v/>
      </c>
      <c r="P573" s="247" t="str">
        <f t="shared" si="4"/>
        <v/>
      </c>
      <c r="Q573" s="320" t="str">
        <f>IFERROR(__xludf.DUMMYFUNCTION("""COMPUTED_VALUE"""),"")</f>
        <v/>
      </c>
      <c r="R573" s="259" t="str">
        <f>IFERROR(__xludf.DUMMYFUNCTION("""COMPUTED_VALUE"""),"")</f>
        <v/>
      </c>
      <c r="S573" s="250" t="str">
        <f t="shared" si="5"/>
        <v/>
      </c>
      <c r="T573" s="254" t="str">
        <f>IFERROR(__xludf.DUMMYFUNCTION("""COMPUTED_VALUE"""),"")</f>
        <v/>
      </c>
      <c r="U573" s="246" t="str">
        <f>IFERROR(__xludf.DUMMYFUNCTION("""COMPUTED_VALUE"""),"")</f>
        <v/>
      </c>
      <c r="V573" s="247" t="str">
        <f t="shared" si="6"/>
        <v/>
      </c>
      <c r="W573" s="255" t="str">
        <f>IFERROR(__xludf.DUMMYFUNCTION("""COMPUTED_VALUE"""),"")</f>
        <v/>
      </c>
      <c r="X573" s="249" t="str">
        <f>IFERROR(__xludf.DUMMYFUNCTION("""COMPUTED_VALUE"""),"")</f>
        <v/>
      </c>
      <c r="Y573" s="250" t="str">
        <f t="shared" si="7"/>
        <v/>
      </c>
    </row>
    <row r="574">
      <c r="A574" s="136" t="s">
        <v>133</v>
      </c>
      <c r="B574" s="136"/>
      <c r="C574" s="136" t="s">
        <v>133</v>
      </c>
      <c r="D574" s="136"/>
      <c r="E574" s="256" t="str">
        <f>IFERROR(__xludf.DUMMYFUNCTION("""COMPUTED_VALUE"""),"")</f>
        <v/>
      </c>
      <c r="F574" s="257" t="str">
        <f>IFERROR(__xludf.DUMMYFUNCTION("""COMPUTED_VALUE"""),"")</f>
        <v/>
      </c>
      <c r="G574" s="247" t="str">
        <f t="shared" si="1"/>
        <v/>
      </c>
      <c r="H574" s="258" t="str">
        <f>IFERROR(__xludf.DUMMYFUNCTION("""COMPUTED_VALUE"""),"")</f>
        <v/>
      </c>
      <c r="I574" s="259" t="str">
        <f>IFERROR(__xludf.DUMMYFUNCTION("""COMPUTED_VALUE"""),"")</f>
        <v/>
      </c>
      <c r="J574" s="250" t="str">
        <f t="shared" si="2"/>
        <v/>
      </c>
      <c r="K574" s="317" t="str">
        <f>IFERROR(__xludf.DUMMYFUNCTION("""COMPUTED_VALUE"""),"")</f>
        <v/>
      </c>
      <c r="L574" s="318" t="str">
        <f>IFERROR(__xludf.DUMMYFUNCTION("""COMPUTED_VALUE"""),"")</f>
        <v/>
      </c>
      <c r="M574" s="253" t="str">
        <f t="shared" si="3"/>
        <v/>
      </c>
      <c r="N574" s="319" t="str">
        <f>IFERROR(__xludf.DUMMYFUNCTION("""COMPUTED_VALUE"""),"")</f>
        <v/>
      </c>
      <c r="O574" s="257" t="str">
        <f>IFERROR(__xludf.DUMMYFUNCTION("""COMPUTED_VALUE"""),"")</f>
        <v/>
      </c>
      <c r="P574" s="247" t="str">
        <f t="shared" si="4"/>
        <v/>
      </c>
      <c r="Q574" s="320" t="str">
        <f>IFERROR(__xludf.DUMMYFUNCTION("""COMPUTED_VALUE"""),"")</f>
        <v/>
      </c>
      <c r="R574" s="259" t="str">
        <f>IFERROR(__xludf.DUMMYFUNCTION("""COMPUTED_VALUE"""),"")</f>
        <v/>
      </c>
      <c r="S574" s="250" t="str">
        <f t="shared" si="5"/>
        <v/>
      </c>
      <c r="T574" s="254" t="str">
        <f>IFERROR(__xludf.DUMMYFUNCTION("""COMPUTED_VALUE"""),"")</f>
        <v/>
      </c>
      <c r="U574" s="246" t="str">
        <f>IFERROR(__xludf.DUMMYFUNCTION("""COMPUTED_VALUE"""),"")</f>
        <v/>
      </c>
      <c r="V574" s="247" t="str">
        <f t="shared" si="6"/>
        <v/>
      </c>
      <c r="W574" s="255" t="str">
        <f>IFERROR(__xludf.DUMMYFUNCTION("""COMPUTED_VALUE"""),"")</f>
        <v/>
      </c>
      <c r="X574" s="249" t="str">
        <f>IFERROR(__xludf.DUMMYFUNCTION("""COMPUTED_VALUE"""),"")</f>
        <v/>
      </c>
      <c r="Y574" s="250" t="str">
        <f t="shared" si="7"/>
        <v/>
      </c>
    </row>
    <row r="575">
      <c r="A575" s="136" t="s">
        <v>133</v>
      </c>
      <c r="B575" s="136"/>
      <c r="C575" s="136" t="s">
        <v>133</v>
      </c>
      <c r="D575" s="136"/>
      <c r="E575" s="256" t="str">
        <f>IFERROR(__xludf.DUMMYFUNCTION("""COMPUTED_VALUE"""),"")</f>
        <v/>
      </c>
      <c r="F575" s="257" t="str">
        <f>IFERROR(__xludf.DUMMYFUNCTION("""COMPUTED_VALUE"""),"")</f>
        <v/>
      </c>
      <c r="G575" s="247" t="str">
        <f t="shared" si="1"/>
        <v/>
      </c>
      <c r="H575" s="258" t="str">
        <f>IFERROR(__xludf.DUMMYFUNCTION("""COMPUTED_VALUE"""),"")</f>
        <v/>
      </c>
      <c r="I575" s="259" t="str">
        <f>IFERROR(__xludf.DUMMYFUNCTION("""COMPUTED_VALUE"""),"")</f>
        <v/>
      </c>
      <c r="J575" s="250" t="str">
        <f t="shared" si="2"/>
        <v/>
      </c>
      <c r="K575" s="317" t="str">
        <f>IFERROR(__xludf.DUMMYFUNCTION("""COMPUTED_VALUE"""),"")</f>
        <v/>
      </c>
      <c r="L575" s="318" t="str">
        <f>IFERROR(__xludf.DUMMYFUNCTION("""COMPUTED_VALUE"""),"")</f>
        <v/>
      </c>
      <c r="M575" s="253" t="str">
        <f t="shared" si="3"/>
        <v/>
      </c>
      <c r="N575" s="319" t="str">
        <f>IFERROR(__xludf.DUMMYFUNCTION("""COMPUTED_VALUE"""),"")</f>
        <v/>
      </c>
      <c r="O575" s="257" t="str">
        <f>IFERROR(__xludf.DUMMYFUNCTION("""COMPUTED_VALUE"""),"")</f>
        <v/>
      </c>
      <c r="P575" s="247" t="str">
        <f t="shared" si="4"/>
        <v/>
      </c>
      <c r="Q575" s="320" t="str">
        <f>IFERROR(__xludf.DUMMYFUNCTION("""COMPUTED_VALUE"""),"")</f>
        <v/>
      </c>
      <c r="R575" s="259" t="str">
        <f>IFERROR(__xludf.DUMMYFUNCTION("""COMPUTED_VALUE"""),"")</f>
        <v/>
      </c>
      <c r="S575" s="250" t="str">
        <f t="shared" si="5"/>
        <v/>
      </c>
      <c r="T575" s="254" t="str">
        <f>IFERROR(__xludf.DUMMYFUNCTION("""COMPUTED_VALUE"""),"")</f>
        <v/>
      </c>
      <c r="U575" s="246" t="str">
        <f>IFERROR(__xludf.DUMMYFUNCTION("""COMPUTED_VALUE"""),"")</f>
        <v/>
      </c>
      <c r="V575" s="247" t="str">
        <f t="shared" si="6"/>
        <v/>
      </c>
      <c r="W575" s="255" t="str">
        <f>IFERROR(__xludf.DUMMYFUNCTION("""COMPUTED_VALUE"""),"")</f>
        <v/>
      </c>
      <c r="X575" s="249" t="str">
        <f>IFERROR(__xludf.DUMMYFUNCTION("""COMPUTED_VALUE"""),"")</f>
        <v/>
      </c>
      <c r="Y575" s="250" t="str">
        <f t="shared" si="7"/>
        <v/>
      </c>
    </row>
    <row r="576">
      <c r="A576" s="136" t="s">
        <v>133</v>
      </c>
      <c r="B576" s="136"/>
      <c r="C576" s="136" t="s">
        <v>133</v>
      </c>
      <c r="D576" s="136"/>
      <c r="E576" s="256" t="str">
        <f>IFERROR(__xludf.DUMMYFUNCTION("""COMPUTED_VALUE"""),"")</f>
        <v/>
      </c>
      <c r="F576" s="257" t="str">
        <f>IFERROR(__xludf.DUMMYFUNCTION("""COMPUTED_VALUE"""),"")</f>
        <v/>
      </c>
      <c r="G576" s="247" t="str">
        <f t="shared" si="1"/>
        <v/>
      </c>
      <c r="H576" s="258" t="str">
        <f>IFERROR(__xludf.DUMMYFUNCTION("""COMPUTED_VALUE"""),"")</f>
        <v/>
      </c>
      <c r="I576" s="259" t="str">
        <f>IFERROR(__xludf.DUMMYFUNCTION("""COMPUTED_VALUE"""),"")</f>
        <v/>
      </c>
      <c r="J576" s="250" t="str">
        <f t="shared" si="2"/>
        <v/>
      </c>
      <c r="K576" s="317" t="str">
        <f>IFERROR(__xludf.DUMMYFUNCTION("""COMPUTED_VALUE"""),"")</f>
        <v/>
      </c>
      <c r="L576" s="318" t="str">
        <f>IFERROR(__xludf.DUMMYFUNCTION("""COMPUTED_VALUE"""),"")</f>
        <v/>
      </c>
      <c r="M576" s="253" t="str">
        <f t="shared" si="3"/>
        <v/>
      </c>
      <c r="N576" s="319" t="str">
        <f>IFERROR(__xludf.DUMMYFUNCTION("""COMPUTED_VALUE"""),"")</f>
        <v/>
      </c>
      <c r="O576" s="257" t="str">
        <f>IFERROR(__xludf.DUMMYFUNCTION("""COMPUTED_VALUE"""),"")</f>
        <v/>
      </c>
      <c r="P576" s="247" t="str">
        <f t="shared" si="4"/>
        <v/>
      </c>
      <c r="Q576" s="320" t="str">
        <f>IFERROR(__xludf.DUMMYFUNCTION("""COMPUTED_VALUE"""),"")</f>
        <v/>
      </c>
      <c r="R576" s="259" t="str">
        <f>IFERROR(__xludf.DUMMYFUNCTION("""COMPUTED_VALUE"""),"")</f>
        <v/>
      </c>
      <c r="S576" s="250" t="str">
        <f t="shared" si="5"/>
        <v/>
      </c>
      <c r="T576" s="254" t="str">
        <f>IFERROR(__xludf.DUMMYFUNCTION("""COMPUTED_VALUE"""),"")</f>
        <v/>
      </c>
      <c r="U576" s="246" t="str">
        <f>IFERROR(__xludf.DUMMYFUNCTION("""COMPUTED_VALUE"""),"")</f>
        <v/>
      </c>
      <c r="V576" s="247" t="str">
        <f t="shared" si="6"/>
        <v/>
      </c>
      <c r="W576" s="255" t="str">
        <f>IFERROR(__xludf.DUMMYFUNCTION("""COMPUTED_VALUE"""),"")</f>
        <v/>
      </c>
      <c r="X576" s="249" t="str">
        <f>IFERROR(__xludf.DUMMYFUNCTION("""COMPUTED_VALUE"""),"")</f>
        <v/>
      </c>
      <c r="Y576" s="250" t="str">
        <f t="shared" si="7"/>
        <v/>
      </c>
    </row>
    <row r="577">
      <c r="A577" s="136" t="s">
        <v>133</v>
      </c>
      <c r="B577" s="136"/>
      <c r="C577" s="136" t="s">
        <v>133</v>
      </c>
      <c r="D577" s="136"/>
      <c r="E577" s="256" t="str">
        <f>IFERROR(__xludf.DUMMYFUNCTION("""COMPUTED_VALUE"""),"")</f>
        <v/>
      </c>
      <c r="F577" s="257" t="str">
        <f>IFERROR(__xludf.DUMMYFUNCTION("""COMPUTED_VALUE"""),"")</f>
        <v/>
      </c>
      <c r="G577" s="247" t="str">
        <f t="shared" si="1"/>
        <v/>
      </c>
      <c r="H577" s="258" t="str">
        <f>IFERROR(__xludf.DUMMYFUNCTION("""COMPUTED_VALUE"""),"")</f>
        <v/>
      </c>
      <c r="I577" s="259" t="str">
        <f>IFERROR(__xludf.DUMMYFUNCTION("""COMPUTED_VALUE"""),"")</f>
        <v/>
      </c>
      <c r="J577" s="250" t="str">
        <f t="shared" si="2"/>
        <v/>
      </c>
      <c r="K577" s="317" t="str">
        <f>IFERROR(__xludf.DUMMYFUNCTION("""COMPUTED_VALUE"""),"")</f>
        <v/>
      </c>
      <c r="L577" s="318" t="str">
        <f>IFERROR(__xludf.DUMMYFUNCTION("""COMPUTED_VALUE"""),"")</f>
        <v/>
      </c>
      <c r="M577" s="253" t="str">
        <f t="shared" si="3"/>
        <v/>
      </c>
      <c r="N577" s="319" t="str">
        <f>IFERROR(__xludf.DUMMYFUNCTION("""COMPUTED_VALUE"""),"")</f>
        <v/>
      </c>
      <c r="O577" s="257" t="str">
        <f>IFERROR(__xludf.DUMMYFUNCTION("""COMPUTED_VALUE"""),"")</f>
        <v/>
      </c>
      <c r="P577" s="247" t="str">
        <f t="shared" si="4"/>
        <v/>
      </c>
      <c r="Q577" s="320" t="str">
        <f>IFERROR(__xludf.DUMMYFUNCTION("""COMPUTED_VALUE"""),"")</f>
        <v/>
      </c>
      <c r="R577" s="259" t="str">
        <f>IFERROR(__xludf.DUMMYFUNCTION("""COMPUTED_VALUE"""),"")</f>
        <v/>
      </c>
      <c r="S577" s="250" t="str">
        <f t="shared" si="5"/>
        <v/>
      </c>
      <c r="T577" s="254" t="str">
        <f>IFERROR(__xludf.DUMMYFUNCTION("""COMPUTED_VALUE"""),"")</f>
        <v/>
      </c>
      <c r="U577" s="246" t="str">
        <f>IFERROR(__xludf.DUMMYFUNCTION("""COMPUTED_VALUE"""),"")</f>
        <v/>
      </c>
      <c r="V577" s="247" t="str">
        <f t="shared" si="6"/>
        <v/>
      </c>
      <c r="W577" s="255" t="str">
        <f>IFERROR(__xludf.DUMMYFUNCTION("""COMPUTED_VALUE"""),"")</f>
        <v/>
      </c>
      <c r="X577" s="249" t="str">
        <f>IFERROR(__xludf.DUMMYFUNCTION("""COMPUTED_VALUE"""),"")</f>
        <v/>
      </c>
      <c r="Y577" s="250" t="str">
        <f t="shared" si="7"/>
        <v/>
      </c>
    </row>
    <row r="578">
      <c r="A578" s="136" t="s">
        <v>133</v>
      </c>
      <c r="B578" s="136"/>
      <c r="C578" s="136" t="s">
        <v>133</v>
      </c>
      <c r="D578" s="136"/>
      <c r="E578" s="256" t="str">
        <f>IFERROR(__xludf.DUMMYFUNCTION("""COMPUTED_VALUE"""),"")</f>
        <v/>
      </c>
      <c r="F578" s="257" t="str">
        <f>IFERROR(__xludf.DUMMYFUNCTION("""COMPUTED_VALUE"""),"")</f>
        <v/>
      </c>
      <c r="G578" s="247" t="str">
        <f t="shared" si="1"/>
        <v/>
      </c>
      <c r="H578" s="258" t="str">
        <f>IFERROR(__xludf.DUMMYFUNCTION("""COMPUTED_VALUE"""),"")</f>
        <v/>
      </c>
      <c r="I578" s="259" t="str">
        <f>IFERROR(__xludf.DUMMYFUNCTION("""COMPUTED_VALUE"""),"")</f>
        <v/>
      </c>
      <c r="J578" s="250" t="str">
        <f t="shared" si="2"/>
        <v/>
      </c>
      <c r="K578" s="317" t="str">
        <f>IFERROR(__xludf.DUMMYFUNCTION("""COMPUTED_VALUE"""),"")</f>
        <v/>
      </c>
      <c r="L578" s="318" t="str">
        <f>IFERROR(__xludf.DUMMYFUNCTION("""COMPUTED_VALUE"""),"")</f>
        <v/>
      </c>
      <c r="M578" s="253" t="str">
        <f t="shared" si="3"/>
        <v/>
      </c>
      <c r="N578" s="319" t="str">
        <f>IFERROR(__xludf.DUMMYFUNCTION("""COMPUTED_VALUE"""),"")</f>
        <v/>
      </c>
      <c r="O578" s="257" t="str">
        <f>IFERROR(__xludf.DUMMYFUNCTION("""COMPUTED_VALUE"""),"")</f>
        <v/>
      </c>
      <c r="P578" s="247" t="str">
        <f t="shared" si="4"/>
        <v/>
      </c>
      <c r="Q578" s="320" t="str">
        <f>IFERROR(__xludf.DUMMYFUNCTION("""COMPUTED_VALUE"""),"")</f>
        <v/>
      </c>
      <c r="R578" s="259" t="str">
        <f>IFERROR(__xludf.DUMMYFUNCTION("""COMPUTED_VALUE"""),"")</f>
        <v/>
      </c>
      <c r="S578" s="250" t="str">
        <f t="shared" si="5"/>
        <v/>
      </c>
      <c r="T578" s="254" t="str">
        <f>IFERROR(__xludf.DUMMYFUNCTION("""COMPUTED_VALUE"""),"")</f>
        <v/>
      </c>
      <c r="U578" s="246" t="str">
        <f>IFERROR(__xludf.DUMMYFUNCTION("""COMPUTED_VALUE"""),"")</f>
        <v/>
      </c>
      <c r="V578" s="247" t="str">
        <f t="shared" si="6"/>
        <v/>
      </c>
      <c r="W578" s="255" t="str">
        <f>IFERROR(__xludf.DUMMYFUNCTION("""COMPUTED_VALUE"""),"")</f>
        <v/>
      </c>
      <c r="X578" s="249" t="str">
        <f>IFERROR(__xludf.DUMMYFUNCTION("""COMPUTED_VALUE"""),"")</f>
        <v/>
      </c>
      <c r="Y578" s="250" t="str">
        <f t="shared" si="7"/>
        <v/>
      </c>
    </row>
    <row r="579">
      <c r="A579" s="136" t="s">
        <v>133</v>
      </c>
      <c r="B579" s="136"/>
      <c r="C579" s="136" t="s">
        <v>133</v>
      </c>
      <c r="D579" s="136"/>
      <c r="E579" s="256" t="str">
        <f>IFERROR(__xludf.DUMMYFUNCTION("""COMPUTED_VALUE"""),"")</f>
        <v/>
      </c>
      <c r="F579" s="257" t="str">
        <f>IFERROR(__xludf.DUMMYFUNCTION("""COMPUTED_VALUE"""),"")</f>
        <v/>
      </c>
      <c r="G579" s="247" t="str">
        <f t="shared" si="1"/>
        <v/>
      </c>
      <c r="H579" s="258" t="str">
        <f>IFERROR(__xludf.DUMMYFUNCTION("""COMPUTED_VALUE"""),"")</f>
        <v/>
      </c>
      <c r="I579" s="259" t="str">
        <f>IFERROR(__xludf.DUMMYFUNCTION("""COMPUTED_VALUE"""),"")</f>
        <v/>
      </c>
      <c r="J579" s="250" t="str">
        <f t="shared" si="2"/>
        <v/>
      </c>
      <c r="K579" s="317" t="str">
        <f>IFERROR(__xludf.DUMMYFUNCTION("""COMPUTED_VALUE"""),"")</f>
        <v/>
      </c>
      <c r="L579" s="318" t="str">
        <f>IFERROR(__xludf.DUMMYFUNCTION("""COMPUTED_VALUE"""),"")</f>
        <v/>
      </c>
      <c r="M579" s="253" t="str">
        <f t="shared" si="3"/>
        <v/>
      </c>
      <c r="N579" s="319" t="str">
        <f>IFERROR(__xludf.DUMMYFUNCTION("""COMPUTED_VALUE"""),"")</f>
        <v/>
      </c>
      <c r="O579" s="257" t="str">
        <f>IFERROR(__xludf.DUMMYFUNCTION("""COMPUTED_VALUE"""),"")</f>
        <v/>
      </c>
      <c r="P579" s="247" t="str">
        <f t="shared" si="4"/>
        <v/>
      </c>
      <c r="Q579" s="320" t="str">
        <f>IFERROR(__xludf.DUMMYFUNCTION("""COMPUTED_VALUE"""),"")</f>
        <v/>
      </c>
      <c r="R579" s="259" t="str">
        <f>IFERROR(__xludf.DUMMYFUNCTION("""COMPUTED_VALUE"""),"")</f>
        <v/>
      </c>
      <c r="S579" s="250" t="str">
        <f t="shared" si="5"/>
        <v/>
      </c>
      <c r="T579" s="254" t="str">
        <f>IFERROR(__xludf.DUMMYFUNCTION("""COMPUTED_VALUE"""),"")</f>
        <v/>
      </c>
      <c r="U579" s="246" t="str">
        <f>IFERROR(__xludf.DUMMYFUNCTION("""COMPUTED_VALUE"""),"")</f>
        <v/>
      </c>
      <c r="V579" s="247" t="str">
        <f t="shared" si="6"/>
        <v/>
      </c>
      <c r="W579" s="255" t="str">
        <f>IFERROR(__xludf.DUMMYFUNCTION("""COMPUTED_VALUE"""),"")</f>
        <v/>
      </c>
      <c r="X579" s="249" t="str">
        <f>IFERROR(__xludf.DUMMYFUNCTION("""COMPUTED_VALUE"""),"")</f>
        <v/>
      </c>
      <c r="Y579" s="250" t="str">
        <f t="shared" si="7"/>
        <v/>
      </c>
    </row>
    <row r="580">
      <c r="A580" s="136" t="s">
        <v>133</v>
      </c>
      <c r="B580" s="136"/>
      <c r="C580" s="136" t="s">
        <v>133</v>
      </c>
      <c r="D580" s="136"/>
      <c r="E580" s="256" t="str">
        <f>IFERROR(__xludf.DUMMYFUNCTION("""COMPUTED_VALUE"""),"")</f>
        <v/>
      </c>
      <c r="F580" s="257" t="str">
        <f>IFERROR(__xludf.DUMMYFUNCTION("""COMPUTED_VALUE"""),"")</f>
        <v/>
      </c>
      <c r="G580" s="247" t="str">
        <f t="shared" si="1"/>
        <v/>
      </c>
      <c r="H580" s="258" t="str">
        <f>IFERROR(__xludf.DUMMYFUNCTION("""COMPUTED_VALUE"""),"")</f>
        <v/>
      </c>
      <c r="I580" s="259" t="str">
        <f>IFERROR(__xludf.DUMMYFUNCTION("""COMPUTED_VALUE"""),"")</f>
        <v/>
      </c>
      <c r="J580" s="250" t="str">
        <f t="shared" si="2"/>
        <v/>
      </c>
      <c r="K580" s="317" t="str">
        <f>IFERROR(__xludf.DUMMYFUNCTION("""COMPUTED_VALUE"""),"")</f>
        <v/>
      </c>
      <c r="L580" s="318" t="str">
        <f>IFERROR(__xludf.DUMMYFUNCTION("""COMPUTED_VALUE"""),"")</f>
        <v/>
      </c>
      <c r="M580" s="253" t="str">
        <f t="shared" si="3"/>
        <v/>
      </c>
      <c r="N580" s="319" t="str">
        <f>IFERROR(__xludf.DUMMYFUNCTION("""COMPUTED_VALUE"""),"")</f>
        <v/>
      </c>
      <c r="O580" s="257" t="str">
        <f>IFERROR(__xludf.DUMMYFUNCTION("""COMPUTED_VALUE"""),"")</f>
        <v/>
      </c>
      <c r="P580" s="247" t="str">
        <f t="shared" si="4"/>
        <v/>
      </c>
      <c r="Q580" s="320" t="str">
        <f>IFERROR(__xludf.DUMMYFUNCTION("""COMPUTED_VALUE"""),"")</f>
        <v/>
      </c>
      <c r="R580" s="259" t="str">
        <f>IFERROR(__xludf.DUMMYFUNCTION("""COMPUTED_VALUE"""),"")</f>
        <v/>
      </c>
      <c r="S580" s="250" t="str">
        <f t="shared" si="5"/>
        <v/>
      </c>
      <c r="T580" s="254" t="str">
        <f>IFERROR(__xludf.DUMMYFUNCTION("""COMPUTED_VALUE"""),"")</f>
        <v/>
      </c>
      <c r="U580" s="246" t="str">
        <f>IFERROR(__xludf.DUMMYFUNCTION("""COMPUTED_VALUE"""),"")</f>
        <v/>
      </c>
      <c r="V580" s="247" t="str">
        <f t="shared" si="6"/>
        <v/>
      </c>
      <c r="W580" s="255" t="str">
        <f>IFERROR(__xludf.DUMMYFUNCTION("""COMPUTED_VALUE"""),"")</f>
        <v/>
      </c>
      <c r="X580" s="249" t="str">
        <f>IFERROR(__xludf.DUMMYFUNCTION("""COMPUTED_VALUE"""),"")</f>
        <v/>
      </c>
      <c r="Y580" s="250" t="str">
        <f t="shared" si="7"/>
        <v/>
      </c>
    </row>
    <row r="581">
      <c r="A581" s="136" t="s">
        <v>133</v>
      </c>
      <c r="B581" s="136"/>
      <c r="C581" s="136" t="s">
        <v>133</v>
      </c>
      <c r="D581" s="136"/>
      <c r="E581" s="256" t="str">
        <f>IFERROR(__xludf.DUMMYFUNCTION("""COMPUTED_VALUE"""),"")</f>
        <v/>
      </c>
      <c r="F581" s="257" t="str">
        <f>IFERROR(__xludf.DUMMYFUNCTION("""COMPUTED_VALUE"""),"")</f>
        <v/>
      </c>
      <c r="G581" s="247" t="str">
        <f t="shared" si="1"/>
        <v/>
      </c>
      <c r="H581" s="258" t="str">
        <f>IFERROR(__xludf.DUMMYFUNCTION("""COMPUTED_VALUE"""),"")</f>
        <v/>
      </c>
      <c r="I581" s="259" t="str">
        <f>IFERROR(__xludf.DUMMYFUNCTION("""COMPUTED_VALUE"""),"")</f>
        <v/>
      </c>
      <c r="J581" s="250" t="str">
        <f t="shared" si="2"/>
        <v/>
      </c>
      <c r="K581" s="317" t="str">
        <f>IFERROR(__xludf.DUMMYFUNCTION("""COMPUTED_VALUE"""),"")</f>
        <v/>
      </c>
      <c r="L581" s="318" t="str">
        <f>IFERROR(__xludf.DUMMYFUNCTION("""COMPUTED_VALUE"""),"")</f>
        <v/>
      </c>
      <c r="M581" s="253" t="str">
        <f t="shared" si="3"/>
        <v/>
      </c>
      <c r="N581" s="319" t="str">
        <f>IFERROR(__xludf.DUMMYFUNCTION("""COMPUTED_VALUE"""),"")</f>
        <v/>
      </c>
      <c r="O581" s="257" t="str">
        <f>IFERROR(__xludf.DUMMYFUNCTION("""COMPUTED_VALUE"""),"")</f>
        <v/>
      </c>
      <c r="P581" s="247" t="str">
        <f t="shared" si="4"/>
        <v/>
      </c>
      <c r="Q581" s="320" t="str">
        <f>IFERROR(__xludf.DUMMYFUNCTION("""COMPUTED_VALUE"""),"")</f>
        <v/>
      </c>
      <c r="R581" s="259" t="str">
        <f>IFERROR(__xludf.DUMMYFUNCTION("""COMPUTED_VALUE"""),"")</f>
        <v/>
      </c>
      <c r="S581" s="250" t="str">
        <f t="shared" si="5"/>
        <v/>
      </c>
      <c r="T581" s="254" t="str">
        <f>IFERROR(__xludf.DUMMYFUNCTION("""COMPUTED_VALUE"""),"")</f>
        <v/>
      </c>
      <c r="U581" s="246" t="str">
        <f>IFERROR(__xludf.DUMMYFUNCTION("""COMPUTED_VALUE"""),"")</f>
        <v/>
      </c>
      <c r="V581" s="247" t="str">
        <f t="shared" si="6"/>
        <v/>
      </c>
      <c r="W581" s="255" t="str">
        <f>IFERROR(__xludf.DUMMYFUNCTION("""COMPUTED_VALUE"""),"")</f>
        <v/>
      </c>
      <c r="X581" s="249" t="str">
        <f>IFERROR(__xludf.DUMMYFUNCTION("""COMPUTED_VALUE"""),"")</f>
        <v/>
      </c>
      <c r="Y581" s="250" t="str">
        <f t="shared" si="7"/>
        <v/>
      </c>
    </row>
    <row r="582">
      <c r="A582" s="136" t="s">
        <v>133</v>
      </c>
      <c r="B582" s="136"/>
      <c r="C582" s="136" t="s">
        <v>133</v>
      </c>
      <c r="D582" s="136"/>
      <c r="E582" s="256" t="str">
        <f>IFERROR(__xludf.DUMMYFUNCTION("""COMPUTED_VALUE"""),"")</f>
        <v/>
      </c>
      <c r="F582" s="257" t="str">
        <f>IFERROR(__xludf.DUMMYFUNCTION("""COMPUTED_VALUE"""),"")</f>
        <v/>
      </c>
      <c r="G582" s="247" t="str">
        <f t="shared" si="1"/>
        <v/>
      </c>
      <c r="H582" s="258" t="str">
        <f>IFERROR(__xludf.DUMMYFUNCTION("""COMPUTED_VALUE"""),"")</f>
        <v/>
      </c>
      <c r="I582" s="259" t="str">
        <f>IFERROR(__xludf.DUMMYFUNCTION("""COMPUTED_VALUE"""),"")</f>
        <v/>
      </c>
      <c r="J582" s="250" t="str">
        <f t="shared" si="2"/>
        <v/>
      </c>
      <c r="K582" s="317" t="str">
        <f>IFERROR(__xludf.DUMMYFUNCTION("""COMPUTED_VALUE"""),"")</f>
        <v/>
      </c>
      <c r="L582" s="318" t="str">
        <f>IFERROR(__xludf.DUMMYFUNCTION("""COMPUTED_VALUE"""),"")</f>
        <v/>
      </c>
      <c r="M582" s="253" t="str">
        <f t="shared" si="3"/>
        <v/>
      </c>
      <c r="N582" s="319" t="str">
        <f>IFERROR(__xludf.DUMMYFUNCTION("""COMPUTED_VALUE"""),"")</f>
        <v/>
      </c>
      <c r="O582" s="257" t="str">
        <f>IFERROR(__xludf.DUMMYFUNCTION("""COMPUTED_VALUE"""),"")</f>
        <v/>
      </c>
      <c r="P582" s="247" t="str">
        <f t="shared" si="4"/>
        <v/>
      </c>
      <c r="Q582" s="320" t="str">
        <f>IFERROR(__xludf.DUMMYFUNCTION("""COMPUTED_VALUE"""),"")</f>
        <v/>
      </c>
      <c r="R582" s="259" t="str">
        <f>IFERROR(__xludf.DUMMYFUNCTION("""COMPUTED_VALUE"""),"")</f>
        <v/>
      </c>
      <c r="S582" s="250" t="str">
        <f t="shared" si="5"/>
        <v/>
      </c>
      <c r="T582" s="254" t="str">
        <f>IFERROR(__xludf.DUMMYFUNCTION("""COMPUTED_VALUE"""),"")</f>
        <v/>
      </c>
      <c r="U582" s="246" t="str">
        <f>IFERROR(__xludf.DUMMYFUNCTION("""COMPUTED_VALUE"""),"")</f>
        <v/>
      </c>
      <c r="V582" s="247" t="str">
        <f t="shared" si="6"/>
        <v/>
      </c>
      <c r="W582" s="255" t="str">
        <f>IFERROR(__xludf.DUMMYFUNCTION("""COMPUTED_VALUE"""),"")</f>
        <v/>
      </c>
      <c r="X582" s="249" t="str">
        <f>IFERROR(__xludf.DUMMYFUNCTION("""COMPUTED_VALUE"""),"")</f>
        <v/>
      </c>
      <c r="Y582" s="250" t="str">
        <f t="shared" si="7"/>
        <v/>
      </c>
    </row>
    <row r="583">
      <c r="A583" s="136" t="s">
        <v>133</v>
      </c>
      <c r="B583" s="136"/>
      <c r="C583" s="136" t="s">
        <v>133</v>
      </c>
      <c r="D583" s="136"/>
      <c r="E583" s="256" t="str">
        <f>IFERROR(__xludf.DUMMYFUNCTION("""COMPUTED_VALUE"""),"")</f>
        <v/>
      </c>
      <c r="F583" s="257" t="str">
        <f>IFERROR(__xludf.DUMMYFUNCTION("""COMPUTED_VALUE"""),"")</f>
        <v/>
      </c>
      <c r="G583" s="247" t="str">
        <f t="shared" si="1"/>
        <v/>
      </c>
      <c r="H583" s="258" t="str">
        <f>IFERROR(__xludf.DUMMYFUNCTION("""COMPUTED_VALUE"""),"")</f>
        <v/>
      </c>
      <c r="I583" s="259" t="str">
        <f>IFERROR(__xludf.DUMMYFUNCTION("""COMPUTED_VALUE"""),"")</f>
        <v/>
      </c>
      <c r="J583" s="250" t="str">
        <f t="shared" si="2"/>
        <v/>
      </c>
      <c r="K583" s="317" t="str">
        <f>IFERROR(__xludf.DUMMYFUNCTION("""COMPUTED_VALUE"""),"")</f>
        <v/>
      </c>
      <c r="L583" s="318" t="str">
        <f>IFERROR(__xludf.DUMMYFUNCTION("""COMPUTED_VALUE"""),"")</f>
        <v/>
      </c>
      <c r="M583" s="253" t="str">
        <f t="shared" si="3"/>
        <v/>
      </c>
      <c r="N583" s="319" t="str">
        <f>IFERROR(__xludf.DUMMYFUNCTION("""COMPUTED_VALUE"""),"")</f>
        <v/>
      </c>
      <c r="O583" s="257" t="str">
        <f>IFERROR(__xludf.DUMMYFUNCTION("""COMPUTED_VALUE"""),"")</f>
        <v/>
      </c>
      <c r="P583" s="247" t="str">
        <f t="shared" si="4"/>
        <v/>
      </c>
      <c r="Q583" s="320" t="str">
        <f>IFERROR(__xludf.DUMMYFUNCTION("""COMPUTED_VALUE"""),"")</f>
        <v/>
      </c>
      <c r="R583" s="259" t="str">
        <f>IFERROR(__xludf.DUMMYFUNCTION("""COMPUTED_VALUE"""),"")</f>
        <v/>
      </c>
      <c r="S583" s="250" t="str">
        <f t="shared" si="5"/>
        <v/>
      </c>
      <c r="T583" s="254" t="str">
        <f>IFERROR(__xludf.DUMMYFUNCTION("""COMPUTED_VALUE"""),"")</f>
        <v/>
      </c>
      <c r="U583" s="246" t="str">
        <f>IFERROR(__xludf.DUMMYFUNCTION("""COMPUTED_VALUE"""),"")</f>
        <v/>
      </c>
      <c r="V583" s="247" t="str">
        <f t="shared" si="6"/>
        <v/>
      </c>
      <c r="W583" s="255" t="str">
        <f>IFERROR(__xludf.DUMMYFUNCTION("""COMPUTED_VALUE"""),"")</f>
        <v/>
      </c>
      <c r="X583" s="249" t="str">
        <f>IFERROR(__xludf.DUMMYFUNCTION("""COMPUTED_VALUE"""),"")</f>
        <v/>
      </c>
      <c r="Y583" s="250" t="str">
        <f t="shared" si="7"/>
        <v/>
      </c>
    </row>
    <row r="584">
      <c r="A584" s="136" t="s">
        <v>133</v>
      </c>
      <c r="B584" s="136"/>
      <c r="C584" s="136" t="s">
        <v>133</v>
      </c>
      <c r="D584" s="136"/>
      <c r="E584" s="256" t="str">
        <f>IFERROR(__xludf.DUMMYFUNCTION("""COMPUTED_VALUE"""),"")</f>
        <v/>
      </c>
      <c r="F584" s="257" t="str">
        <f>IFERROR(__xludf.DUMMYFUNCTION("""COMPUTED_VALUE"""),"")</f>
        <v/>
      </c>
      <c r="G584" s="247" t="str">
        <f t="shared" si="1"/>
        <v/>
      </c>
      <c r="H584" s="258" t="str">
        <f>IFERROR(__xludf.DUMMYFUNCTION("""COMPUTED_VALUE"""),"")</f>
        <v/>
      </c>
      <c r="I584" s="259" t="str">
        <f>IFERROR(__xludf.DUMMYFUNCTION("""COMPUTED_VALUE"""),"")</f>
        <v/>
      </c>
      <c r="J584" s="250" t="str">
        <f t="shared" si="2"/>
        <v/>
      </c>
      <c r="K584" s="317" t="str">
        <f>IFERROR(__xludf.DUMMYFUNCTION("""COMPUTED_VALUE"""),"")</f>
        <v/>
      </c>
      <c r="L584" s="318" t="str">
        <f>IFERROR(__xludf.DUMMYFUNCTION("""COMPUTED_VALUE"""),"")</f>
        <v/>
      </c>
      <c r="M584" s="253" t="str">
        <f t="shared" si="3"/>
        <v/>
      </c>
      <c r="N584" s="319" t="str">
        <f>IFERROR(__xludf.DUMMYFUNCTION("""COMPUTED_VALUE"""),"")</f>
        <v/>
      </c>
      <c r="O584" s="257" t="str">
        <f>IFERROR(__xludf.DUMMYFUNCTION("""COMPUTED_VALUE"""),"")</f>
        <v/>
      </c>
      <c r="P584" s="247" t="str">
        <f t="shared" si="4"/>
        <v/>
      </c>
      <c r="Q584" s="320" t="str">
        <f>IFERROR(__xludf.DUMMYFUNCTION("""COMPUTED_VALUE"""),"")</f>
        <v/>
      </c>
      <c r="R584" s="259" t="str">
        <f>IFERROR(__xludf.DUMMYFUNCTION("""COMPUTED_VALUE"""),"")</f>
        <v/>
      </c>
      <c r="S584" s="250" t="str">
        <f t="shared" si="5"/>
        <v/>
      </c>
      <c r="T584" s="254" t="str">
        <f>IFERROR(__xludf.DUMMYFUNCTION("""COMPUTED_VALUE"""),"")</f>
        <v/>
      </c>
      <c r="U584" s="246" t="str">
        <f>IFERROR(__xludf.DUMMYFUNCTION("""COMPUTED_VALUE"""),"")</f>
        <v/>
      </c>
      <c r="V584" s="247" t="str">
        <f t="shared" si="6"/>
        <v/>
      </c>
      <c r="W584" s="255" t="str">
        <f>IFERROR(__xludf.DUMMYFUNCTION("""COMPUTED_VALUE"""),"")</f>
        <v/>
      </c>
      <c r="X584" s="249" t="str">
        <f>IFERROR(__xludf.DUMMYFUNCTION("""COMPUTED_VALUE"""),"")</f>
        <v/>
      </c>
      <c r="Y584" s="250" t="str">
        <f t="shared" si="7"/>
        <v/>
      </c>
    </row>
    <row r="585">
      <c r="A585" s="136" t="s">
        <v>133</v>
      </c>
      <c r="B585" s="136"/>
      <c r="C585" s="136" t="s">
        <v>133</v>
      </c>
      <c r="D585" s="136"/>
      <c r="E585" s="256" t="str">
        <f>IFERROR(__xludf.DUMMYFUNCTION("""COMPUTED_VALUE"""),"")</f>
        <v/>
      </c>
      <c r="F585" s="257" t="str">
        <f>IFERROR(__xludf.DUMMYFUNCTION("""COMPUTED_VALUE"""),"")</f>
        <v/>
      </c>
      <c r="G585" s="247" t="str">
        <f t="shared" si="1"/>
        <v/>
      </c>
      <c r="H585" s="258" t="str">
        <f>IFERROR(__xludf.DUMMYFUNCTION("""COMPUTED_VALUE"""),"")</f>
        <v/>
      </c>
      <c r="I585" s="259" t="str">
        <f>IFERROR(__xludf.DUMMYFUNCTION("""COMPUTED_VALUE"""),"")</f>
        <v/>
      </c>
      <c r="J585" s="250" t="str">
        <f t="shared" si="2"/>
        <v/>
      </c>
      <c r="K585" s="317" t="str">
        <f>IFERROR(__xludf.DUMMYFUNCTION("""COMPUTED_VALUE"""),"")</f>
        <v/>
      </c>
      <c r="L585" s="318" t="str">
        <f>IFERROR(__xludf.DUMMYFUNCTION("""COMPUTED_VALUE"""),"")</f>
        <v/>
      </c>
      <c r="M585" s="253" t="str">
        <f t="shared" si="3"/>
        <v/>
      </c>
      <c r="N585" s="319" t="str">
        <f>IFERROR(__xludf.DUMMYFUNCTION("""COMPUTED_VALUE"""),"")</f>
        <v/>
      </c>
      <c r="O585" s="257" t="str">
        <f>IFERROR(__xludf.DUMMYFUNCTION("""COMPUTED_VALUE"""),"")</f>
        <v/>
      </c>
      <c r="P585" s="247" t="str">
        <f t="shared" si="4"/>
        <v/>
      </c>
      <c r="Q585" s="320" t="str">
        <f>IFERROR(__xludf.DUMMYFUNCTION("""COMPUTED_VALUE"""),"")</f>
        <v/>
      </c>
      <c r="R585" s="259" t="str">
        <f>IFERROR(__xludf.DUMMYFUNCTION("""COMPUTED_VALUE"""),"")</f>
        <v/>
      </c>
      <c r="S585" s="250" t="str">
        <f t="shared" si="5"/>
        <v/>
      </c>
      <c r="T585" s="254" t="str">
        <f>IFERROR(__xludf.DUMMYFUNCTION("""COMPUTED_VALUE"""),"")</f>
        <v/>
      </c>
      <c r="U585" s="246" t="str">
        <f>IFERROR(__xludf.DUMMYFUNCTION("""COMPUTED_VALUE"""),"")</f>
        <v/>
      </c>
      <c r="V585" s="247" t="str">
        <f t="shared" si="6"/>
        <v/>
      </c>
      <c r="W585" s="255" t="str">
        <f>IFERROR(__xludf.DUMMYFUNCTION("""COMPUTED_VALUE"""),"")</f>
        <v/>
      </c>
      <c r="X585" s="249" t="str">
        <f>IFERROR(__xludf.DUMMYFUNCTION("""COMPUTED_VALUE"""),"")</f>
        <v/>
      </c>
      <c r="Y585" s="250" t="str">
        <f t="shared" si="7"/>
        <v/>
      </c>
    </row>
    <row r="586">
      <c r="A586" s="136" t="s">
        <v>133</v>
      </c>
      <c r="B586" s="136"/>
      <c r="C586" s="136" t="s">
        <v>133</v>
      </c>
      <c r="D586" s="136"/>
      <c r="E586" s="256" t="str">
        <f>IFERROR(__xludf.DUMMYFUNCTION("""COMPUTED_VALUE"""),"")</f>
        <v/>
      </c>
      <c r="F586" s="257" t="str">
        <f>IFERROR(__xludf.DUMMYFUNCTION("""COMPUTED_VALUE"""),"")</f>
        <v/>
      </c>
      <c r="G586" s="247" t="str">
        <f t="shared" si="1"/>
        <v/>
      </c>
      <c r="H586" s="258" t="str">
        <f>IFERROR(__xludf.DUMMYFUNCTION("""COMPUTED_VALUE"""),"")</f>
        <v/>
      </c>
      <c r="I586" s="259" t="str">
        <f>IFERROR(__xludf.DUMMYFUNCTION("""COMPUTED_VALUE"""),"")</f>
        <v/>
      </c>
      <c r="J586" s="250" t="str">
        <f t="shared" si="2"/>
        <v/>
      </c>
      <c r="K586" s="317" t="str">
        <f>IFERROR(__xludf.DUMMYFUNCTION("""COMPUTED_VALUE"""),"")</f>
        <v/>
      </c>
      <c r="L586" s="318" t="str">
        <f>IFERROR(__xludf.DUMMYFUNCTION("""COMPUTED_VALUE"""),"")</f>
        <v/>
      </c>
      <c r="M586" s="253" t="str">
        <f t="shared" si="3"/>
        <v/>
      </c>
      <c r="N586" s="319" t="str">
        <f>IFERROR(__xludf.DUMMYFUNCTION("""COMPUTED_VALUE"""),"")</f>
        <v/>
      </c>
      <c r="O586" s="257" t="str">
        <f>IFERROR(__xludf.DUMMYFUNCTION("""COMPUTED_VALUE"""),"")</f>
        <v/>
      </c>
      <c r="P586" s="247" t="str">
        <f t="shared" si="4"/>
        <v/>
      </c>
      <c r="Q586" s="320" t="str">
        <f>IFERROR(__xludf.DUMMYFUNCTION("""COMPUTED_VALUE"""),"")</f>
        <v/>
      </c>
      <c r="R586" s="259" t="str">
        <f>IFERROR(__xludf.DUMMYFUNCTION("""COMPUTED_VALUE"""),"")</f>
        <v/>
      </c>
      <c r="S586" s="250" t="str">
        <f t="shared" si="5"/>
        <v/>
      </c>
      <c r="T586" s="254" t="str">
        <f>IFERROR(__xludf.DUMMYFUNCTION("""COMPUTED_VALUE"""),"")</f>
        <v/>
      </c>
      <c r="U586" s="246" t="str">
        <f>IFERROR(__xludf.DUMMYFUNCTION("""COMPUTED_VALUE"""),"")</f>
        <v/>
      </c>
      <c r="V586" s="247" t="str">
        <f t="shared" si="6"/>
        <v/>
      </c>
      <c r="W586" s="255" t="str">
        <f>IFERROR(__xludf.DUMMYFUNCTION("""COMPUTED_VALUE"""),"")</f>
        <v/>
      </c>
      <c r="X586" s="249" t="str">
        <f>IFERROR(__xludf.DUMMYFUNCTION("""COMPUTED_VALUE"""),"")</f>
        <v/>
      </c>
      <c r="Y586" s="250" t="str">
        <f t="shared" si="7"/>
        <v/>
      </c>
    </row>
    <row r="587">
      <c r="A587" s="136" t="s">
        <v>133</v>
      </c>
      <c r="B587" s="136"/>
      <c r="C587" s="136" t="s">
        <v>133</v>
      </c>
      <c r="D587" s="136"/>
      <c r="E587" s="256" t="str">
        <f>IFERROR(__xludf.DUMMYFUNCTION("""COMPUTED_VALUE"""),"")</f>
        <v/>
      </c>
      <c r="F587" s="257" t="str">
        <f>IFERROR(__xludf.DUMMYFUNCTION("""COMPUTED_VALUE"""),"")</f>
        <v/>
      </c>
      <c r="G587" s="247" t="str">
        <f t="shared" si="1"/>
        <v/>
      </c>
      <c r="H587" s="258" t="str">
        <f>IFERROR(__xludf.DUMMYFUNCTION("""COMPUTED_VALUE"""),"")</f>
        <v/>
      </c>
      <c r="I587" s="259" t="str">
        <f>IFERROR(__xludf.DUMMYFUNCTION("""COMPUTED_VALUE"""),"")</f>
        <v/>
      </c>
      <c r="J587" s="250" t="str">
        <f t="shared" si="2"/>
        <v/>
      </c>
      <c r="K587" s="317" t="str">
        <f>IFERROR(__xludf.DUMMYFUNCTION("""COMPUTED_VALUE"""),"")</f>
        <v/>
      </c>
      <c r="L587" s="318" t="str">
        <f>IFERROR(__xludf.DUMMYFUNCTION("""COMPUTED_VALUE"""),"")</f>
        <v/>
      </c>
      <c r="M587" s="253" t="str">
        <f t="shared" si="3"/>
        <v/>
      </c>
      <c r="N587" s="319" t="str">
        <f>IFERROR(__xludf.DUMMYFUNCTION("""COMPUTED_VALUE"""),"")</f>
        <v/>
      </c>
      <c r="O587" s="257" t="str">
        <f>IFERROR(__xludf.DUMMYFUNCTION("""COMPUTED_VALUE"""),"")</f>
        <v/>
      </c>
      <c r="P587" s="247" t="str">
        <f t="shared" si="4"/>
        <v/>
      </c>
      <c r="Q587" s="320" t="str">
        <f>IFERROR(__xludf.DUMMYFUNCTION("""COMPUTED_VALUE"""),"")</f>
        <v/>
      </c>
      <c r="R587" s="259" t="str">
        <f>IFERROR(__xludf.DUMMYFUNCTION("""COMPUTED_VALUE"""),"")</f>
        <v/>
      </c>
      <c r="S587" s="250" t="str">
        <f t="shared" si="5"/>
        <v/>
      </c>
      <c r="T587" s="254" t="str">
        <f>IFERROR(__xludf.DUMMYFUNCTION("""COMPUTED_VALUE"""),"")</f>
        <v/>
      </c>
      <c r="U587" s="246" t="str">
        <f>IFERROR(__xludf.DUMMYFUNCTION("""COMPUTED_VALUE"""),"")</f>
        <v/>
      </c>
      <c r="V587" s="247" t="str">
        <f t="shared" si="6"/>
        <v/>
      </c>
      <c r="W587" s="255" t="str">
        <f>IFERROR(__xludf.DUMMYFUNCTION("""COMPUTED_VALUE"""),"")</f>
        <v/>
      </c>
      <c r="X587" s="249" t="str">
        <f>IFERROR(__xludf.DUMMYFUNCTION("""COMPUTED_VALUE"""),"")</f>
        <v/>
      </c>
      <c r="Y587" s="250" t="str">
        <f t="shared" si="7"/>
        <v/>
      </c>
    </row>
    <row r="588">
      <c r="A588" s="136" t="s">
        <v>133</v>
      </c>
      <c r="B588" s="136"/>
      <c r="C588" s="136" t="s">
        <v>133</v>
      </c>
      <c r="D588" s="136"/>
      <c r="E588" s="256" t="str">
        <f>IFERROR(__xludf.DUMMYFUNCTION("""COMPUTED_VALUE"""),"")</f>
        <v/>
      </c>
      <c r="F588" s="257" t="str">
        <f>IFERROR(__xludf.DUMMYFUNCTION("""COMPUTED_VALUE"""),"")</f>
        <v/>
      </c>
      <c r="G588" s="247" t="str">
        <f t="shared" si="1"/>
        <v/>
      </c>
      <c r="H588" s="258" t="str">
        <f>IFERROR(__xludf.DUMMYFUNCTION("""COMPUTED_VALUE"""),"")</f>
        <v/>
      </c>
      <c r="I588" s="259" t="str">
        <f>IFERROR(__xludf.DUMMYFUNCTION("""COMPUTED_VALUE"""),"")</f>
        <v/>
      </c>
      <c r="J588" s="250" t="str">
        <f t="shared" si="2"/>
        <v/>
      </c>
      <c r="K588" s="317" t="str">
        <f>IFERROR(__xludf.DUMMYFUNCTION("""COMPUTED_VALUE"""),"")</f>
        <v/>
      </c>
      <c r="L588" s="318" t="str">
        <f>IFERROR(__xludf.DUMMYFUNCTION("""COMPUTED_VALUE"""),"")</f>
        <v/>
      </c>
      <c r="M588" s="253" t="str">
        <f t="shared" si="3"/>
        <v/>
      </c>
      <c r="N588" s="319" t="str">
        <f>IFERROR(__xludf.DUMMYFUNCTION("""COMPUTED_VALUE"""),"")</f>
        <v/>
      </c>
      <c r="O588" s="257" t="str">
        <f>IFERROR(__xludf.DUMMYFUNCTION("""COMPUTED_VALUE"""),"")</f>
        <v/>
      </c>
      <c r="P588" s="247" t="str">
        <f t="shared" si="4"/>
        <v/>
      </c>
      <c r="Q588" s="320" t="str">
        <f>IFERROR(__xludf.DUMMYFUNCTION("""COMPUTED_VALUE"""),"")</f>
        <v/>
      </c>
      <c r="R588" s="259" t="str">
        <f>IFERROR(__xludf.DUMMYFUNCTION("""COMPUTED_VALUE"""),"")</f>
        <v/>
      </c>
      <c r="S588" s="250" t="str">
        <f t="shared" si="5"/>
        <v/>
      </c>
      <c r="T588" s="254" t="str">
        <f>IFERROR(__xludf.DUMMYFUNCTION("""COMPUTED_VALUE"""),"")</f>
        <v/>
      </c>
      <c r="U588" s="246" t="str">
        <f>IFERROR(__xludf.DUMMYFUNCTION("""COMPUTED_VALUE"""),"")</f>
        <v/>
      </c>
      <c r="V588" s="247" t="str">
        <f t="shared" si="6"/>
        <v/>
      </c>
      <c r="W588" s="255" t="str">
        <f>IFERROR(__xludf.DUMMYFUNCTION("""COMPUTED_VALUE"""),"")</f>
        <v/>
      </c>
      <c r="X588" s="249" t="str">
        <f>IFERROR(__xludf.DUMMYFUNCTION("""COMPUTED_VALUE"""),"")</f>
        <v/>
      </c>
      <c r="Y588" s="250" t="str">
        <f t="shared" si="7"/>
        <v/>
      </c>
    </row>
    <row r="589">
      <c r="A589" s="136" t="s">
        <v>133</v>
      </c>
      <c r="B589" s="136"/>
      <c r="C589" s="136" t="s">
        <v>133</v>
      </c>
      <c r="D589" s="136"/>
      <c r="E589" s="256" t="str">
        <f>IFERROR(__xludf.DUMMYFUNCTION("""COMPUTED_VALUE"""),"")</f>
        <v/>
      </c>
      <c r="F589" s="257" t="str">
        <f>IFERROR(__xludf.DUMMYFUNCTION("""COMPUTED_VALUE"""),"")</f>
        <v/>
      </c>
      <c r="G589" s="247" t="str">
        <f t="shared" si="1"/>
        <v/>
      </c>
      <c r="H589" s="258" t="str">
        <f>IFERROR(__xludf.DUMMYFUNCTION("""COMPUTED_VALUE"""),"")</f>
        <v/>
      </c>
      <c r="I589" s="259" t="str">
        <f>IFERROR(__xludf.DUMMYFUNCTION("""COMPUTED_VALUE"""),"")</f>
        <v/>
      </c>
      <c r="J589" s="250" t="str">
        <f t="shared" si="2"/>
        <v/>
      </c>
      <c r="K589" s="317" t="str">
        <f>IFERROR(__xludf.DUMMYFUNCTION("""COMPUTED_VALUE"""),"")</f>
        <v/>
      </c>
      <c r="L589" s="318" t="str">
        <f>IFERROR(__xludf.DUMMYFUNCTION("""COMPUTED_VALUE"""),"")</f>
        <v/>
      </c>
      <c r="M589" s="253" t="str">
        <f t="shared" si="3"/>
        <v/>
      </c>
      <c r="N589" s="319" t="str">
        <f>IFERROR(__xludf.DUMMYFUNCTION("""COMPUTED_VALUE"""),"")</f>
        <v/>
      </c>
      <c r="O589" s="257" t="str">
        <f>IFERROR(__xludf.DUMMYFUNCTION("""COMPUTED_VALUE"""),"")</f>
        <v/>
      </c>
      <c r="P589" s="247" t="str">
        <f t="shared" si="4"/>
        <v/>
      </c>
      <c r="Q589" s="320" t="str">
        <f>IFERROR(__xludf.DUMMYFUNCTION("""COMPUTED_VALUE"""),"")</f>
        <v/>
      </c>
      <c r="R589" s="259" t="str">
        <f>IFERROR(__xludf.DUMMYFUNCTION("""COMPUTED_VALUE"""),"")</f>
        <v/>
      </c>
      <c r="S589" s="250" t="str">
        <f t="shared" si="5"/>
        <v/>
      </c>
      <c r="T589" s="254" t="str">
        <f>IFERROR(__xludf.DUMMYFUNCTION("""COMPUTED_VALUE"""),"")</f>
        <v/>
      </c>
      <c r="U589" s="246" t="str">
        <f>IFERROR(__xludf.DUMMYFUNCTION("""COMPUTED_VALUE"""),"")</f>
        <v/>
      </c>
      <c r="V589" s="247" t="str">
        <f t="shared" si="6"/>
        <v/>
      </c>
      <c r="W589" s="255" t="str">
        <f>IFERROR(__xludf.DUMMYFUNCTION("""COMPUTED_VALUE"""),"")</f>
        <v/>
      </c>
      <c r="X589" s="249" t="str">
        <f>IFERROR(__xludf.DUMMYFUNCTION("""COMPUTED_VALUE"""),"")</f>
        <v/>
      </c>
      <c r="Y589" s="250" t="str">
        <f t="shared" si="7"/>
        <v/>
      </c>
    </row>
    <row r="590">
      <c r="A590" s="136" t="s">
        <v>133</v>
      </c>
      <c r="B590" s="136"/>
      <c r="C590" s="136" t="s">
        <v>133</v>
      </c>
      <c r="D590" s="136"/>
      <c r="E590" s="256" t="str">
        <f>IFERROR(__xludf.DUMMYFUNCTION("""COMPUTED_VALUE"""),"")</f>
        <v/>
      </c>
      <c r="F590" s="257" t="str">
        <f>IFERROR(__xludf.DUMMYFUNCTION("""COMPUTED_VALUE"""),"")</f>
        <v/>
      </c>
      <c r="G590" s="247" t="str">
        <f t="shared" si="1"/>
        <v/>
      </c>
      <c r="H590" s="258" t="str">
        <f>IFERROR(__xludf.DUMMYFUNCTION("""COMPUTED_VALUE"""),"")</f>
        <v/>
      </c>
      <c r="I590" s="259" t="str">
        <f>IFERROR(__xludf.DUMMYFUNCTION("""COMPUTED_VALUE"""),"")</f>
        <v/>
      </c>
      <c r="J590" s="250" t="str">
        <f t="shared" si="2"/>
        <v/>
      </c>
      <c r="K590" s="317" t="str">
        <f>IFERROR(__xludf.DUMMYFUNCTION("""COMPUTED_VALUE"""),"")</f>
        <v/>
      </c>
      <c r="L590" s="318" t="str">
        <f>IFERROR(__xludf.DUMMYFUNCTION("""COMPUTED_VALUE"""),"")</f>
        <v/>
      </c>
      <c r="M590" s="253" t="str">
        <f t="shared" si="3"/>
        <v/>
      </c>
      <c r="N590" s="319" t="str">
        <f>IFERROR(__xludf.DUMMYFUNCTION("""COMPUTED_VALUE"""),"")</f>
        <v/>
      </c>
      <c r="O590" s="257" t="str">
        <f>IFERROR(__xludf.DUMMYFUNCTION("""COMPUTED_VALUE"""),"")</f>
        <v/>
      </c>
      <c r="P590" s="247" t="str">
        <f t="shared" si="4"/>
        <v/>
      </c>
      <c r="Q590" s="320" t="str">
        <f>IFERROR(__xludf.DUMMYFUNCTION("""COMPUTED_VALUE"""),"")</f>
        <v/>
      </c>
      <c r="R590" s="259" t="str">
        <f>IFERROR(__xludf.DUMMYFUNCTION("""COMPUTED_VALUE"""),"")</f>
        <v/>
      </c>
      <c r="S590" s="250" t="str">
        <f t="shared" si="5"/>
        <v/>
      </c>
      <c r="T590" s="254" t="str">
        <f>IFERROR(__xludf.DUMMYFUNCTION("""COMPUTED_VALUE"""),"")</f>
        <v/>
      </c>
      <c r="U590" s="246" t="str">
        <f>IFERROR(__xludf.DUMMYFUNCTION("""COMPUTED_VALUE"""),"")</f>
        <v/>
      </c>
      <c r="V590" s="247" t="str">
        <f t="shared" si="6"/>
        <v/>
      </c>
      <c r="W590" s="255" t="str">
        <f>IFERROR(__xludf.DUMMYFUNCTION("""COMPUTED_VALUE"""),"")</f>
        <v/>
      </c>
      <c r="X590" s="249" t="str">
        <f>IFERROR(__xludf.DUMMYFUNCTION("""COMPUTED_VALUE"""),"")</f>
        <v/>
      </c>
      <c r="Y590" s="250" t="str">
        <f t="shared" si="7"/>
        <v/>
      </c>
    </row>
    <row r="591">
      <c r="A591" s="136" t="s">
        <v>133</v>
      </c>
      <c r="B591" s="136"/>
      <c r="C591" s="136" t="s">
        <v>133</v>
      </c>
      <c r="D591" s="136"/>
      <c r="E591" s="256" t="str">
        <f>IFERROR(__xludf.DUMMYFUNCTION("""COMPUTED_VALUE"""),"")</f>
        <v/>
      </c>
      <c r="F591" s="257" t="str">
        <f>IFERROR(__xludf.DUMMYFUNCTION("""COMPUTED_VALUE"""),"")</f>
        <v/>
      </c>
      <c r="G591" s="247" t="str">
        <f t="shared" si="1"/>
        <v/>
      </c>
      <c r="H591" s="258" t="str">
        <f>IFERROR(__xludf.DUMMYFUNCTION("""COMPUTED_VALUE"""),"")</f>
        <v/>
      </c>
      <c r="I591" s="259" t="str">
        <f>IFERROR(__xludf.DUMMYFUNCTION("""COMPUTED_VALUE"""),"")</f>
        <v/>
      </c>
      <c r="J591" s="250" t="str">
        <f t="shared" si="2"/>
        <v/>
      </c>
      <c r="K591" s="317" t="str">
        <f>IFERROR(__xludf.DUMMYFUNCTION("""COMPUTED_VALUE"""),"")</f>
        <v/>
      </c>
      <c r="L591" s="318" t="str">
        <f>IFERROR(__xludf.DUMMYFUNCTION("""COMPUTED_VALUE"""),"")</f>
        <v/>
      </c>
      <c r="M591" s="253" t="str">
        <f t="shared" si="3"/>
        <v/>
      </c>
      <c r="N591" s="319" t="str">
        <f>IFERROR(__xludf.DUMMYFUNCTION("""COMPUTED_VALUE"""),"")</f>
        <v/>
      </c>
      <c r="O591" s="257" t="str">
        <f>IFERROR(__xludf.DUMMYFUNCTION("""COMPUTED_VALUE"""),"")</f>
        <v/>
      </c>
      <c r="P591" s="247" t="str">
        <f t="shared" si="4"/>
        <v/>
      </c>
      <c r="Q591" s="320" t="str">
        <f>IFERROR(__xludf.DUMMYFUNCTION("""COMPUTED_VALUE"""),"")</f>
        <v/>
      </c>
      <c r="R591" s="259" t="str">
        <f>IFERROR(__xludf.DUMMYFUNCTION("""COMPUTED_VALUE"""),"")</f>
        <v/>
      </c>
      <c r="S591" s="250" t="str">
        <f t="shared" si="5"/>
        <v/>
      </c>
      <c r="T591" s="254" t="str">
        <f>IFERROR(__xludf.DUMMYFUNCTION("""COMPUTED_VALUE"""),"")</f>
        <v/>
      </c>
      <c r="U591" s="246" t="str">
        <f>IFERROR(__xludf.DUMMYFUNCTION("""COMPUTED_VALUE"""),"")</f>
        <v/>
      </c>
      <c r="V591" s="247" t="str">
        <f t="shared" si="6"/>
        <v/>
      </c>
      <c r="W591" s="255" t="str">
        <f>IFERROR(__xludf.DUMMYFUNCTION("""COMPUTED_VALUE"""),"")</f>
        <v/>
      </c>
      <c r="X591" s="249" t="str">
        <f>IFERROR(__xludf.DUMMYFUNCTION("""COMPUTED_VALUE"""),"")</f>
        <v/>
      </c>
      <c r="Y591" s="250" t="str">
        <f t="shared" si="7"/>
        <v/>
      </c>
    </row>
    <row r="592">
      <c r="A592" s="136" t="s">
        <v>133</v>
      </c>
      <c r="B592" s="136"/>
      <c r="C592" s="136" t="s">
        <v>133</v>
      </c>
      <c r="D592" s="136"/>
      <c r="E592" s="256" t="str">
        <f>IFERROR(__xludf.DUMMYFUNCTION("""COMPUTED_VALUE"""),"")</f>
        <v/>
      </c>
      <c r="F592" s="257" t="str">
        <f>IFERROR(__xludf.DUMMYFUNCTION("""COMPUTED_VALUE"""),"")</f>
        <v/>
      </c>
      <c r="G592" s="247" t="str">
        <f t="shared" si="1"/>
        <v/>
      </c>
      <c r="H592" s="258" t="str">
        <f>IFERROR(__xludf.DUMMYFUNCTION("""COMPUTED_VALUE"""),"")</f>
        <v/>
      </c>
      <c r="I592" s="259" t="str">
        <f>IFERROR(__xludf.DUMMYFUNCTION("""COMPUTED_VALUE"""),"")</f>
        <v/>
      </c>
      <c r="J592" s="250" t="str">
        <f t="shared" si="2"/>
        <v/>
      </c>
      <c r="K592" s="317" t="str">
        <f>IFERROR(__xludf.DUMMYFUNCTION("""COMPUTED_VALUE"""),"")</f>
        <v/>
      </c>
      <c r="L592" s="318" t="str">
        <f>IFERROR(__xludf.DUMMYFUNCTION("""COMPUTED_VALUE"""),"")</f>
        <v/>
      </c>
      <c r="M592" s="253" t="str">
        <f t="shared" si="3"/>
        <v/>
      </c>
      <c r="N592" s="319" t="str">
        <f>IFERROR(__xludf.DUMMYFUNCTION("""COMPUTED_VALUE"""),"")</f>
        <v/>
      </c>
      <c r="O592" s="257" t="str">
        <f>IFERROR(__xludf.DUMMYFUNCTION("""COMPUTED_VALUE"""),"")</f>
        <v/>
      </c>
      <c r="P592" s="247" t="str">
        <f t="shared" si="4"/>
        <v/>
      </c>
      <c r="Q592" s="320" t="str">
        <f>IFERROR(__xludf.DUMMYFUNCTION("""COMPUTED_VALUE"""),"")</f>
        <v/>
      </c>
      <c r="R592" s="259" t="str">
        <f>IFERROR(__xludf.DUMMYFUNCTION("""COMPUTED_VALUE"""),"")</f>
        <v/>
      </c>
      <c r="S592" s="250" t="str">
        <f t="shared" si="5"/>
        <v/>
      </c>
      <c r="T592" s="254" t="str">
        <f>IFERROR(__xludf.DUMMYFUNCTION("""COMPUTED_VALUE"""),"")</f>
        <v/>
      </c>
      <c r="U592" s="246" t="str">
        <f>IFERROR(__xludf.DUMMYFUNCTION("""COMPUTED_VALUE"""),"")</f>
        <v/>
      </c>
      <c r="V592" s="247" t="str">
        <f t="shared" si="6"/>
        <v/>
      </c>
      <c r="W592" s="255" t="str">
        <f>IFERROR(__xludf.DUMMYFUNCTION("""COMPUTED_VALUE"""),"")</f>
        <v/>
      </c>
      <c r="X592" s="249" t="str">
        <f>IFERROR(__xludf.DUMMYFUNCTION("""COMPUTED_VALUE"""),"")</f>
        <v/>
      </c>
      <c r="Y592" s="250" t="str">
        <f t="shared" si="7"/>
        <v/>
      </c>
    </row>
    <row r="593">
      <c r="A593" s="136" t="s">
        <v>133</v>
      </c>
      <c r="B593" s="136"/>
      <c r="C593" s="136" t="s">
        <v>133</v>
      </c>
      <c r="D593" s="136"/>
      <c r="E593" s="256" t="str">
        <f>IFERROR(__xludf.DUMMYFUNCTION("""COMPUTED_VALUE"""),"")</f>
        <v/>
      </c>
      <c r="F593" s="257" t="str">
        <f>IFERROR(__xludf.DUMMYFUNCTION("""COMPUTED_VALUE"""),"")</f>
        <v/>
      </c>
      <c r="G593" s="247" t="str">
        <f t="shared" si="1"/>
        <v/>
      </c>
      <c r="H593" s="258" t="str">
        <f>IFERROR(__xludf.DUMMYFUNCTION("""COMPUTED_VALUE"""),"")</f>
        <v/>
      </c>
      <c r="I593" s="259" t="str">
        <f>IFERROR(__xludf.DUMMYFUNCTION("""COMPUTED_VALUE"""),"")</f>
        <v/>
      </c>
      <c r="J593" s="250" t="str">
        <f t="shared" si="2"/>
        <v/>
      </c>
      <c r="K593" s="317" t="str">
        <f>IFERROR(__xludf.DUMMYFUNCTION("""COMPUTED_VALUE"""),"")</f>
        <v/>
      </c>
      <c r="L593" s="318" t="str">
        <f>IFERROR(__xludf.DUMMYFUNCTION("""COMPUTED_VALUE"""),"")</f>
        <v/>
      </c>
      <c r="M593" s="253" t="str">
        <f t="shared" si="3"/>
        <v/>
      </c>
      <c r="N593" s="319" t="str">
        <f>IFERROR(__xludf.DUMMYFUNCTION("""COMPUTED_VALUE"""),"")</f>
        <v/>
      </c>
      <c r="O593" s="257" t="str">
        <f>IFERROR(__xludf.DUMMYFUNCTION("""COMPUTED_VALUE"""),"")</f>
        <v/>
      </c>
      <c r="P593" s="247" t="str">
        <f t="shared" si="4"/>
        <v/>
      </c>
      <c r="Q593" s="320" t="str">
        <f>IFERROR(__xludf.DUMMYFUNCTION("""COMPUTED_VALUE"""),"")</f>
        <v/>
      </c>
      <c r="R593" s="259" t="str">
        <f>IFERROR(__xludf.DUMMYFUNCTION("""COMPUTED_VALUE"""),"")</f>
        <v/>
      </c>
      <c r="S593" s="250" t="str">
        <f t="shared" si="5"/>
        <v/>
      </c>
      <c r="T593" s="254" t="str">
        <f>IFERROR(__xludf.DUMMYFUNCTION("""COMPUTED_VALUE"""),"")</f>
        <v/>
      </c>
      <c r="U593" s="246" t="str">
        <f>IFERROR(__xludf.DUMMYFUNCTION("""COMPUTED_VALUE"""),"")</f>
        <v/>
      </c>
      <c r="V593" s="247" t="str">
        <f t="shared" si="6"/>
        <v/>
      </c>
      <c r="W593" s="255" t="str">
        <f>IFERROR(__xludf.DUMMYFUNCTION("""COMPUTED_VALUE"""),"")</f>
        <v/>
      </c>
      <c r="X593" s="249" t="str">
        <f>IFERROR(__xludf.DUMMYFUNCTION("""COMPUTED_VALUE"""),"")</f>
        <v/>
      </c>
      <c r="Y593" s="250" t="str">
        <f t="shared" si="7"/>
        <v/>
      </c>
    </row>
    <row r="594">
      <c r="A594" s="136" t="s">
        <v>133</v>
      </c>
      <c r="B594" s="136"/>
      <c r="C594" s="136" t="s">
        <v>133</v>
      </c>
      <c r="D594" s="136"/>
      <c r="E594" s="256" t="str">
        <f>IFERROR(__xludf.DUMMYFUNCTION("""COMPUTED_VALUE"""),"")</f>
        <v/>
      </c>
      <c r="F594" s="257" t="str">
        <f>IFERROR(__xludf.DUMMYFUNCTION("""COMPUTED_VALUE"""),"")</f>
        <v/>
      </c>
      <c r="G594" s="247" t="str">
        <f t="shared" si="1"/>
        <v/>
      </c>
      <c r="H594" s="258" t="str">
        <f>IFERROR(__xludf.DUMMYFUNCTION("""COMPUTED_VALUE"""),"")</f>
        <v/>
      </c>
      <c r="I594" s="259" t="str">
        <f>IFERROR(__xludf.DUMMYFUNCTION("""COMPUTED_VALUE"""),"")</f>
        <v/>
      </c>
      <c r="J594" s="250" t="str">
        <f t="shared" si="2"/>
        <v/>
      </c>
      <c r="K594" s="317" t="str">
        <f>IFERROR(__xludf.DUMMYFUNCTION("""COMPUTED_VALUE"""),"")</f>
        <v/>
      </c>
      <c r="L594" s="318" t="str">
        <f>IFERROR(__xludf.DUMMYFUNCTION("""COMPUTED_VALUE"""),"")</f>
        <v/>
      </c>
      <c r="M594" s="253" t="str">
        <f t="shared" si="3"/>
        <v/>
      </c>
      <c r="N594" s="319" t="str">
        <f>IFERROR(__xludf.DUMMYFUNCTION("""COMPUTED_VALUE"""),"")</f>
        <v/>
      </c>
      <c r="O594" s="257" t="str">
        <f>IFERROR(__xludf.DUMMYFUNCTION("""COMPUTED_VALUE"""),"")</f>
        <v/>
      </c>
      <c r="P594" s="247" t="str">
        <f t="shared" si="4"/>
        <v/>
      </c>
      <c r="Q594" s="320" t="str">
        <f>IFERROR(__xludf.DUMMYFUNCTION("""COMPUTED_VALUE"""),"")</f>
        <v/>
      </c>
      <c r="R594" s="259" t="str">
        <f>IFERROR(__xludf.DUMMYFUNCTION("""COMPUTED_VALUE"""),"")</f>
        <v/>
      </c>
      <c r="S594" s="250" t="str">
        <f t="shared" si="5"/>
        <v/>
      </c>
      <c r="T594" s="254" t="str">
        <f>IFERROR(__xludf.DUMMYFUNCTION("""COMPUTED_VALUE"""),"")</f>
        <v/>
      </c>
      <c r="U594" s="246" t="str">
        <f>IFERROR(__xludf.DUMMYFUNCTION("""COMPUTED_VALUE"""),"")</f>
        <v/>
      </c>
      <c r="V594" s="247" t="str">
        <f t="shared" si="6"/>
        <v/>
      </c>
      <c r="W594" s="255" t="str">
        <f>IFERROR(__xludf.DUMMYFUNCTION("""COMPUTED_VALUE"""),"")</f>
        <v/>
      </c>
      <c r="X594" s="249" t="str">
        <f>IFERROR(__xludf.DUMMYFUNCTION("""COMPUTED_VALUE"""),"")</f>
        <v/>
      </c>
      <c r="Y594" s="250" t="str">
        <f t="shared" si="7"/>
        <v/>
      </c>
    </row>
    <row r="595">
      <c r="A595" s="136" t="s">
        <v>133</v>
      </c>
      <c r="B595" s="136"/>
      <c r="C595" s="136" t="s">
        <v>133</v>
      </c>
      <c r="D595" s="136"/>
      <c r="E595" s="256" t="str">
        <f>IFERROR(__xludf.DUMMYFUNCTION("""COMPUTED_VALUE"""),"")</f>
        <v/>
      </c>
      <c r="F595" s="257" t="str">
        <f>IFERROR(__xludf.DUMMYFUNCTION("""COMPUTED_VALUE"""),"")</f>
        <v/>
      </c>
      <c r="G595" s="247" t="str">
        <f t="shared" si="1"/>
        <v/>
      </c>
      <c r="H595" s="258" t="str">
        <f>IFERROR(__xludf.DUMMYFUNCTION("""COMPUTED_VALUE"""),"")</f>
        <v/>
      </c>
      <c r="I595" s="259" t="str">
        <f>IFERROR(__xludf.DUMMYFUNCTION("""COMPUTED_VALUE"""),"")</f>
        <v/>
      </c>
      <c r="J595" s="250" t="str">
        <f t="shared" si="2"/>
        <v/>
      </c>
      <c r="K595" s="317" t="str">
        <f>IFERROR(__xludf.DUMMYFUNCTION("""COMPUTED_VALUE"""),"")</f>
        <v/>
      </c>
      <c r="L595" s="318" t="str">
        <f>IFERROR(__xludf.DUMMYFUNCTION("""COMPUTED_VALUE"""),"")</f>
        <v/>
      </c>
      <c r="M595" s="253" t="str">
        <f t="shared" si="3"/>
        <v/>
      </c>
      <c r="N595" s="319" t="str">
        <f>IFERROR(__xludf.DUMMYFUNCTION("""COMPUTED_VALUE"""),"")</f>
        <v/>
      </c>
      <c r="O595" s="257" t="str">
        <f>IFERROR(__xludf.DUMMYFUNCTION("""COMPUTED_VALUE"""),"")</f>
        <v/>
      </c>
      <c r="P595" s="247" t="str">
        <f t="shared" si="4"/>
        <v/>
      </c>
      <c r="Q595" s="320" t="str">
        <f>IFERROR(__xludf.DUMMYFUNCTION("""COMPUTED_VALUE"""),"")</f>
        <v/>
      </c>
      <c r="R595" s="259" t="str">
        <f>IFERROR(__xludf.DUMMYFUNCTION("""COMPUTED_VALUE"""),"")</f>
        <v/>
      </c>
      <c r="S595" s="250" t="str">
        <f t="shared" si="5"/>
        <v/>
      </c>
      <c r="T595" s="254" t="str">
        <f>IFERROR(__xludf.DUMMYFUNCTION("""COMPUTED_VALUE"""),"")</f>
        <v/>
      </c>
      <c r="U595" s="246" t="str">
        <f>IFERROR(__xludf.DUMMYFUNCTION("""COMPUTED_VALUE"""),"")</f>
        <v/>
      </c>
      <c r="V595" s="247" t="str">
        <f t="shared" si="6"/>
        <v/>
      </c>
      <c r="W595" s="255" t="str">
        <f>IFERROR(__xludf.DUMMYFUNCTION("""COMPUTED_VALUE"""),"")</f>
        <v/>
      </c>
      <c r="X595" s="249" t="str">
        <f>IFERROR(__xludf.DUMMYFUNCTION("""COMPUTED_VALUE"""),"")</f>
        <v/>
      </c>
      <c r="Y595" s="250" t="str">
        <f t="shared" si="7"/>
        <v/>
      </c>
    </row>
    <row r="596">
      <c r="A596" s="136" t="s">
        <v>133</v>
      </c>
      <c r="B596" s="136"/>
      <c r="C596" s="136" t="s">
        <v>133</v>
      </c>
      <c r="D596" s="136"/>
      <c r="E596" s="256" t="str">
        <f>IFERROR(__xludf.DUMMYFUNCTION("""COMPUTED_VALUE"""),"")</f>
        <v/>
      </c>
      <c r="F596" s="257" t="str">
        <f>IFERROR(__xludf.DUMMYFUNCTION("""COMPUTED_VALUE"""),"")</f>
        <v/>
      </c>
      <c r="G596" s="247" t="str">
        <f t="shared" si="1"/>
        <v/>
      </c>
      <c r="H596" s="258" t="str">
        <f>IFERROR(__xludf.DUMMYFUNCTION("""COMPUTED_VALUE"""),"")</f>
        <v/>
      </c>
      <c r="I596" s="259" t="str">
        <f>IFERROR(__xludf.DUMMYFUNCTION("""COMPUTED_VALUE"""),"")</f>
        <v/>
      </c>
      <c r="J596" s="250" t="str">
        <f t="shared" si="2"/>
        <v/>
      </c>
      <c r="K596" s="317" t="str">
        <f>IFERROR(__xludf.DUMMYFUNCTION("""COMPUTED_VALUE"""),"")</f>
        <v/>
      </c>
      <c r="L596" s="318" t="str">
        <f>IFERROR(__xludf.DUMMYFUNCTION("""COMPUTED_VALUE"""),"")</f>
        <v/>
      </c>
      <c r="M596" s="253" t="str">
        <f t="shared" si="3"/>
        <v/>
      </c>
      <c r="N596" s="319" t="str">
        <f>IFERROR(__xludf.DUMMYFUNCTION("""COMPUTED_VALUE"""),"")</f>
        <v/>
      </c>
      <c r="O596" s="257" t="str">
        <f>IFERROR(__xludf.DUMMYFUNCTION("""COMPUTED_VALUE"""),"")</f>
        <v/>
      </c>
      <c r="P596" s="247" t="str">
        <f t="shared" si="4"/>
        <v/>
      </c>
      <c r="Q596" s="320" t="str">
        <f>IFERROR(__xludf.DUMMYFUNCTION("""COMPUTED_VALUE"""),"")</f>
        <v/>
      </c>
      <c r="R596" s="259" t="str">
        <f>IFERROR(__xludf.DUMMYFUNCTION("""COMPUTED_VALUE"""),"")</f>
        <v/>
      </c>
      <c r="S596" s="250" t="str">
        <f t="shared" si="5"/>
        <v/>
      </c>
      <c r="T596" s="254" t="str">
        <f>IFERROR(__xludf.DUMMYFUNCTION("""COMPUTED_VALUE"""),"")</f>
        <v/>
      </c>
      <c r="U596" s="246" t="str">
        <f>IFERROR(__xludf.DUMMYFUNCTION("""COMPUTED_VALUE"""),"")</f>
        <v/>
      </c>
      <c r="V596" s="247" t="str">
        <f t="shared" si="6"/>
        <v/>
      </c>
      <c r="W596" s="255" t="str">
        <f>IFERROR(__xludf.DUMMYFUNCTION("""COMPUTED_VALUE"""),"")</f>
        <v/>
      </c>
      <c r="X596" s="249" t="str">
        <f>IFERROR(__xludf.DUMMYFUNCTION("""COMPUTED_VALUE"""),"")</f>
        <v/>
      </c>
      <c r="Y596" s="250" t="str">
        <f t="shared" si="7"/>
        <v/>
      </c>
    </row>
    <row r="597">
      <c r="A597" s="136" t="s">
        <v>133</v>
      </c>
      <c r="B597" s="136"/>
      <c r="C597" s="136" t="s">
        <v>133</v>
      </c>
      <c r="D597" s="136"/>
      <c r="E597" s="256" t="str">
        <f>IFERROR(__xludf.DUMMYFUNCTION("""COMPUTED_VALUE"""),"")</f>
        <v/>
      </c>
      <c r="F597" s="257" t="str">
        <f>IFERROR(__xludf.DUMMYFUNCTION("""COMPUTED_VALUE"""),"")</f>
        <v/>
      </c>
      <c r="G597" s="247" t="str">
        <f t="shared" si="1"/>
        <v/>
      </c>
      <c r="H597" s="258" t="str">
        <f>IFERROR(__xludf.DUMMYFUNCTION("""COMPUTED_VALUE"""),"")</f>
        <v/>
      </c>
      <c r="I597" s="259" t="str">
        <f>IFERROR(__xludf.DUMMYFUNCTION("""COMPUTED_VALUE"""),"")</f>
        <v/>
      </c>
      <c r="J597" s="250" t="str">
        <f t="shared" si="2"/>
        <v/>
      </c>
      <c r="K597" s="317" t="str">
        <f>IFERROR(__xludf.DUMMYFUNCTION("""COMPUTED_VALUE"""),"")</f>
        <v/>
      </c>
      <c r="L597" s="318" t="str">
        <f>IFERROR(__xludf.DUMMYFUNCTION("""COMPUTED_VALUE"""),"")</f>
        <v/>
      </c>
      <c r="M597" s="253" t="str">
        <f t="shared" si="3"/>
        <v/>
      </c>
      <c r="N597" s="319" t="str">
        <f>IFERROR(__xludf.DUMMYFUNCTION("""COMPUTED_VALUE"""),"")</f>
        <v/>
      </c>
      <c r="O597" s="257" t="str">
        <f>IFERROR(__xludf.DUMMYFUNCTION("""COMPUTED_VALUE"""),"")</f>
        <v/>
      </c>
      <c r="P597" s="247" t="str">
        <f t="shared" si="4"/>
        <v/>
      </c>
      <c r="Q597" s="320" t="str">
        <f>IFERROR(__xludf.DUMMYFUNCTION("""COMPUTED_VALUE"""),"")</f>
        <v/>
      </c>
      <c r="R597" s="259" t="str">
        <f>IFERROR(__xludf.DUMMYFUNCTION("""COMPUTED_VALUE"""),"")</f>
        <v/>
      </c>
      <c r="S597" s="250" t="str">
        <f t="shared" si="5"/>
        <v/>
      </c>
      <c r="T597" s="254" t="str">
        <f>IFERROR(__xludf.DUMMYFUNCTION("""COMPUTED_VALUE"""),"")</f>
        <v/>
      </c>
      <c r="U597" s="246" t="str">
        <f>IFERROR(__xludf.DUMMYFUNCTION("""COMPUTED_VALUE"""),"")</f>
        <v/>
      </c>
      <c r="V597" s="247" t="str">
        <f t="shared" si="6"/>
        <v/>
      </c>
      <c r="W597" s="255" t="str">
        <f>IFERROR(__xludf.DUMMYFUNCTION("""COMPUTED_VALUE"""),"")</f>
        <v/>
      </c>
      <c r="X597" s="249" t="str">
        <f>IFERROR(__xludf.DUMMYFUNCTION("""COMPUTED_VALUE"""),"")</f>
        <v/>
      </c>
      <c r="Y597" s="250" t="str">
        <f t="shared" si="7"/>
        <v/>
      </c>
    </row>
    <row r="598">
      <c r="A598" s="136" t="s">
        <v>133</v>
      </c>
      <c r="B598" s="136"/>
      <c r="C598" s="136" t="s">
        <v>133</v>
      </c>
      <c r="D598" s="136"/>
      <c r="E598" s="256" t="str">
        <f>IFERROR(__xludf.DUMMYFUNCTION("""COMPUTED_VALUE"""),"")</f>
        <v/>
      </c>
      <c r="F598" s="257" t="str">
        <f>IFERROR(__xludf.DUMMYFUNCTION("""COMPUTED_VALUE"""),"")</f>
        <v/>
      </c>
      <c r="G598" s="247" t="str">
        <f t="shared" si="1"/>
        <v/>
      </c>
      <c r="H598" s="258" t="str">
        <f>IFERROR(__xludf.DUMMYFUNCTION("""COMPUTED_VALUE"""),"")</f>
        <v/>
      </c>
      <c r="I598" s="259" t="str">
        <f>IFERROR(__xludf.DUMMYFUNCTION("""COMPUTED_VALUE"""),"")</f>
        <v/>
      </c>
      <c r="J598" s="250" t="str">
        <f t="shared" si="2"/>
        <v/>
      </c>
      <c r="K598" s="317" t="str">
        <f>IFERROR(__xludf.DUMMYFUNCTION("""COMPUTED_VALUE"""),"")</f>
        <v/>
      </c>
      <c r="L598" s="318" t="str">
        <f>IFERROR(__xludf.DUMMYFUNCTION("""COMPUTED_VALUE"""),"")</f>
        <v/>
      </c>
      <c r="M598" s="253" t="str">
        <f t="shared" si="3"/>
        <v/>
      </c>
      <c r="N598" s="319" t="str">
        <f>IFERROR(__xludf.DUMMYFUNCTION("""COMPUTED_VALUE"""),"")</f>
        <v/>
      </c>
      <c r="O598" s="257" t="str">
        <f>IFERROR(__xludf.DUMMYFUNCTION("""COMPUTED_VALUE"""),"")</f>
        <v/>
      </c>
      <c r="P598" s="247" t="str">
        <f t="shared" si="4"/>
        <v/>
      </c>
      <c r="Q598" s="320" t="str">
        <f>IFERROR(__xludf.DUMMYFUNCTION("""COMPUTED_VALUE"""),"")</f>
        <v/>
      </c>
      <c r="R598" s="259" t="str">
        <f>IFERROR(__xludf.DUMMYFUNCTION("""COMPUTED_VALUE"""),"")</f>
        <v/>
      </c>
      <c r="S598" s="250" t="str">
        <f t="shared" si="5"/>
        <v/>
      </c>
      <c r="T598" s="254" t="str">
        <f>IFERROR(__xludf.DUMMYFUNCTION("""COMPUTED_VALUE"""),"")</f>
        <v/>
      </c>
      <c r="U598" s="246" t="str">
        <f>IFERROR(__xludf.DUMMYFUNCTION("""COMPUTED_VALUE"""),"")</f>
        <v/>
      </c>
      <c r="V598" s="247" t="str">
        <f t="shared" si="6"/>
        <v/>
      </c>
      <c r="W598" s="255" t="str">
        <f>IFERROR(__xludf.DUMMYFUNCTION("""COMPUTED_VALUE"""),"")</f>
        <v/>
      </c>
      <c r="X598" s="249" t="str">
        <f>IFERROR(__xludf.DUMMYFUNCTION("""COMPUTED_VALUE"""),"")</f>
        <v/>
      </c>
      <c r="Y598" s="250" t="str">
        <f t="shared" si="7"/>
        <v/>
      </c>
    </row>
    <row r="599">
      <c r="A599" s="136" t="s">
        <v>133</v>
      </c>
      <c r="B599" s="136"/>
      <c r="C599" s="136" t="s">
        <v>133</v>
      </c>
      <c r="D599" s="136"/>
      <c r="E599" s="256" t="str">
        <f>IFERROR(__xludf.DUMMYFUNCTION("""COMPUTED_VALUE"""),"")</f>
        <v/>
      </c>
      <c r="F599" s="257" t="str">
        <f>IFERROR(__xludf.DUMMYFUNCTION("""COMPUTED_VALUE"""),"")</f>
        <v/>
      </c>
      <c r="G599" s="247" t="str">
        <f t="shared" si="1"/>
        <v/>
      </c>
      <c r="H599" s="258" t="str">
        <f>IFERROR(__xludf.DUMMYFUNCTION("""COMPUTED_VALUE"""),"")</f>
        <v/>
      </c>
      <c r="I599" s="259" t="str">
        <f>IFERROR(__xludf.DUMMYFUNCTION("""COMPUTED_VALUE"""),"")</f>
        <v/>
      </c>
      <c r="J599" s="250" t="str">
        <f t="shared" si="2"/>
        <v/>
      </c>
      <c r="K599" s="317" t="str">
        <f>IFERROR(__xludf.DUMMYFUNCTION("""COMPUTED_VALUE"""),"")</f>
        <v/>
      </c>
      <c r="L599" s="318" t="str">
        <f>IFERROR(__xludf.DUMMYFUNCTION("""COMPUTED_VALUE"""),"")</f>
        <v/>
      </c>
      <c r="M599" s="253" t="str">
        <f t="shared" si="3"/>
        <v/>
      </c>
      <c r="N599" s="319" t="str">
        <f>IFERROR(__xludf.DUMMYFUNCTION("""COMPUTED_VALUE"""),"")</f>
        <v/>
      </c>
      <c r="O599" s="257" t="str">
        <f>IFERROR(__xludf.DUMMYFUNCTION("""COMPUTED_VALUE"""),"")</f>
        <v/>
      </c>
      <c r="P599" s="247" t="str">
        <f t="shared" si="4"/>
        <v/>
      </c>
      <c r="Q599" s="320" t="str">
        <f>IFERROR(__xludf.DUMMYFUNCTION("""COMPUTED_VALUE"""),"")</f>
        <v/>
      </c>
      <c r="R599" s="259" t="str">
        <f>IFERROR(__xludf.DUMMYFUNCTION("""COMPUTED_VALUE"""),"")</f>
        <v/>
      </c>
      <c r="S599" s="250" t="str">
        <f t="shared" si="5"/>
        <v/>
      </c>
      <c r="T599" s="254" t="str">
        <f>IFERROR(__xludf.DUMMYFUNCTION("""COMPUTED_VALUE"""),"")</f>
        <v/>
      </c>
      <c r="U599" s="246" t="str">
        <f>IFERROR(__xludf.DUMMYFUNCTION("""COMPUTED_VALUE"""),"")</f>
        <v/>
      </c>
      <c r="V599" s="247" t="str">
        <f t="shared" si="6"/>
        <v/>
      </c>
      <c r="W599" s="255" t="str">
        <f>IFERROR(__xludf.DUMMYFUNCTION("""COMPUTED_VALUE"""),"")</f>
        <v/>
      </c>
      <c r="X599" s="249" t="str">
        <f>IFERROR(__xludf.DUMMYFUNCTION("""COMPUTED_VALUE"""),"")</f>
        <v/>
      </c>
      <c r="Y599" s="250" t="str">
        <f t="shared" si="7"/>
        <v/>
      </c>
    </row>
    <row r="600">
      <c r="A600" s="136" t="s">
        <v>133</v>
      </c>
      <c r="B600" s="136"/>
      <c r="C600" s="136" t="s">
        <v>133</v>
      </c>
      <c r="D600" s="136"/>
      <c r="E600" s="256" t="str">
        <f>IFERROR(__xludf.DUMMYFUNCTION("""COMPUTED_VALUE"""),"")</f>
        <v/>
      </c>
      <c r="F600" s="257" t="str">
        <f>IFERROR(__xludf.DUMMYFUNCTION("""COMPUTED_VALUE"""),"")</f>
        <v/>
      </c>
      <c r="G600" s="247" t="str">
        <f t="shared" si="1"/>
        <v/>
      </c>
      <c r="H600" s="258" t="str">
        <f>IFERROR(__xludf.DUMMYFUNCTION("""COMPUTED_VALUE"""),"")</f>
        <v/>
      </c>
      <c r="I600" s="259" t="str">
        <f>IFERROR(__xludf.DUMMYFUNCTION("""COMPUTED_VALUE"""),"")</f>
        <v/>
      </c>
      <c r="J600" s="250" t="str">
        <f t="shared" si="2"/>
        <v/>
      </c>
      <c r="K600" s="317" t="str">
        <f>IFERROR(__xludf.DUMMYFUNCTION("""COMPUTED_VALUE"""),"")</f>
        <v/>
      </c>
      <c r="L600" s="318" t="str">
        <f>IFERROR(__xludf.DUMMYFUNCTION("""COMPUTED_VALUE"""),"")</f>
        <v/>
      </c>
      <c r="M600" s="253" t="str">
        <f t="shared" si="3"/>
        <v/>
      </c>
      <c r="N600" s="319" t="str">
        <f>IFERROR(__xludf.DUMMYFUNCTION("""COMPUTED_VALUE"""),"")</f>
        <v/>
      </c>
      <c r="O600" s="257" t="str">
        <f>IFERROR(__xludf.DUMMYFUNCTION("""COMPUTED_VALUE"""),"")</f>
        <v/>
      </c>
      <c r="P600" s="247" t="str">
        <f t="shared" si="4"/>
        <v/>
      </c>
      <c r="Q600" s="320" t="str">
        <f>IFERROR(__xludf.DUMMYFUNCTION("""COMPUTED_VALUE"""),"")</f>
        <v/>
      </c>
      <c r="R600" s="259" t="str">
        <f>IFERROR(__xludf.DUMMYFUNCTION("""COMPUTED_VALUE"""),"")</f>
        <v/>
      </c>
      <c r="S600" s="250" t="str">
        <f t="shared" si="5"/>
        <v/>
      </c>
      <c r="T600" s="254" t="str">
        <f>IFERROR(__xludf.DUMMYFUNCTION("""COMPUTED_VALUE"""),"")</f>
        <v/>
      </c>
      <c r="U600" s="246" t="str">
        <f>IFERROR(__xludf.DUMMYFUNCTION("""COMPUTED_VALUE"""),"")</f>
        <v/>
      </c>
      <c r="V600" s="247" t="str">
        <f t="shared" si="6"/>
        <v/>
      </c>
      <c r="W600" s="255" t="str">
        <f>IFERROR(__xludf.DUMMYFUNCTION("""COMPUTED_VALUE"""),"")</f>
        <v/>
      </c>
      <c r="X600" s="249" t="str">
        <f>IFERROR(__xludf.DUMMYFUNCTION("""COMPUTED_VALUE"""),"")</f>
        <v/>
      </c>
      <c r="Y600" s="250" t="str">
        <f t="shared" si="7"/>
        <v/>
      </c>
    </row>
    <row r="601">
      <c r="A601" s="136" t="s">
        <v>133</v>
      </c>
      <c r="B601" s="136"/>
      <c r="C601" s="136" t="s">
        <v>133</v>
      </c>
      <c r="D601" s="136"/>
      <c r="E601" s="256" t="str">
        <f>IFERROR(__xludf.DUMMYFUNCTION("""COMPUTED_VALUE"""),"")</f>
        <v/>
      </c>
      <c r="F601" s="257" t="str">
        <f>IFERROR(__xludf.DUMMYFUNCTION("""COMPUTED_VALUE"""),"")</f>
        <v/>
      </c>
      <c r="G601" s="247" t="str">
        <f t="shared" si="1"/>
        <v/>
      </c>
      <c r="H601" s="258" t="str">
        <f>IFERROR(__xludf.DUMMYFUNCTION("""COMPUTED_VALUE"""),"")</f>
        <v/>
      </c>
      <c r="I601" s="259" t="str">
        <f>IFERROR(__xludf.DUMMYFUNCTION("""COMPUTED_VALUE"""),"")</f>
        <v/>
      </c>
      <c r="J601" s="250" t="str">
        <f t="shared" si="2"/>
        <v/>
      </c>
      <c r="K601" s="317" t="str">
        <f>IFERROR(__xludf.DUMMYFUNCTION("""COMPUTED_VALUE"""),"")</f>
        <v/>
      </c>
      <c r="L601" s="318" t="str">
        <f>IFERROR(__xludf.DUMMYFUNCTION("""COMPUTED_VALUE"""),"")</f>
        <v/>
      </c>
      <c r="M601" s="253" t="str">
        <f t="shared" si="3"/>
        <v/>
      </c>
      <c r="N601" s="319" t="str">
        <f>IFERROR(__xludf.DUMMYFUNCTION("""COMPUTED_VALUE"""),"")</f>
        <v/>
      </c>
      <c r="O601" s="257" t="str">
        <f>IFERROR(__xludf.DUMMYFUNCTION("""COMPUTED_VALUE"""),"")</f>
        <v/>
      </c>
      <c r="P601" s="247" t="str">
        <f t="shared" si="4"/>
        <v/>
      </c>
      <c r="Q601" s="320" t="str">
        <f>IFERROR(__xludf.DUMMYFUNCTION("""COMPUTED_VALUE"""),"")</f>
        <v/>
      </c>
      <c r="R601" s="259" t="str">
        <f>IFERROR(__xludf.DUMMYFUNCTION("""COMPUTED_VALUE"""),"")</f>
        <v/>
      </c>
      <c r="S601" s="250" t="str">
        <f t="shared" si="5"/>
        <v/>
      </c>
      <c r="T601" s="254" t="str">
        <f>IFERROR(__xludf.DUMMYFUNCTION("""COMPUTED_VALUE"""),"")</f>
        <v/>
      </c>
      <c r="U601" s="246" t="str">
        <f>IFERROR(__xludf.DUMMYFUNCTION("""COMPUTED_VALUE"""),"")</f>
        <v/>
      </c>
      <c r="V601" s="247" t="str">
        <f t="shared" si="6"/>
        <v/>
      </c>
      <c r="W601" s="255" t="str">
        <f>IFERROR(__xludf.DUMMYFUNCTION("""COMPUTED_VALUE"""),"")</f>
        <v/>
      </c>
      <c r="X601" s="249" t="str">
        <f>IFERROR(__xludf.DUMMYFUNCTION("""COMPUTED_VALUE"""),"")</f>
        <v/>
      </c>
      <c r="Y601" s="250" t="str">
        <f t="shared" si="7"/>
        <v/>
      </c>
    </row>
    <row r="602">
      <c r="A602" s="136" t="s">
        <v>133</v>
      </c>
      <c r="B602" s="136"/>
      <c r="C602" s="136" t="s">
        <v>133</v>
      </c>
      <c r="D602" s="136"/>
      <c r="E602" s="256" t="str">
        <f>IFERROR(__xludf.DUMMYFUNCTION("""COMPUTED_VALUE"""),"")</f>
        <v/>
      </c>
      <c r="F602" s="257" t="str">
        <f>IFERROR(__xludf.DUMMYFUNCTION("""COMPUTED_VALUE"""),"")</f>
        <v/>
      </c>
      <c r="G602" s="247" t="str">
        <f t="shared" si="1"/>
        <v/>
      </c>
      <c r="H602" s="258" t="str">
        <f>IFERROR(__xludf.DUMMYFUNCTION("""COMPUTED_VALUE"""),"")</f>
        <v/>
      </c>
      <c r="I602" s="259" t="str">
        <f>IFERROR(__xludf.DUMMYFUNCTION("""COMPUTED_VALUE"""),"")</f>
        <v/>
      </c>
      <c r="J602" s="250" t="str">
        <f t="shared" si="2"/>
        <v/>
      </c>
      <c r="K602" s="317" t="str">
        <f>IFERROR(__xludf.DUMMYFUNCTION("""COMPUTED_VALUE"""),"")</f>
        <v/>
      </c>
      <c r="L602" s="318" t="str">
        <f>IFERROR(__xludf.DUMMYFUNCTION("""COMPUTED_VALUE"""),"")</f>
        <v/>
      </c>
      <c r="M602" s="253" t="str">
        <f t="shared" si="3"/>
        <v/>
      </c>
      <c r="N602" s="319" t="str">
        <f>IFERROR(__xludf.DUMMYFUNCTION("""COMPUTED_VALUE"""),"")</f>
        <v/>
      </c>
      <c r="O602" s="257" t="str">
        <f>IFERROR(__xludf.DUMMYFUNCTION("""COMPUTED_VALUE"""),"")</f>
        <v/>
      </c>
      <c r="P602" s="247" t="str">
        <f t="shared" si="4"/>
        <v/>
      </c>
      <c r="Q602" s="320" t="str">
        <f>IFERROR(__xludf.DUMMYFUNCTION("""COMPUTED_VALUE"""),"")</f>
        <v/>
      </c>
      <c r="R602" s="259" t="str">
        <f>IFERROR(__xludf.DUMMYFUNCTION("""COMPUTED_VALUE"""),"")</f>
        <v/>
      </c>
      <c r="S602" s="250" t="str">
        <f t="shared" si="5"/>
        <v/>
      </c>
      <c r="T602" s="254" t="str">
        <f>IFERROR(__xludf.DUMMYFUNCTION("""COMPUTED_VALUE"""),"")</f>
        <v/>
      </c>
      <c r="U602" s="246" t="str">
        <f>IFERROR(__xludf.DUMMYFUNCTION("""COMPUTED_VALUE"""),"")</f>
        <v/>
      </c>
      <c r="V602" s="247" t="str">
        <f t="shared" si="6"/>
        <v/>
      </c>
      <c r="W602" s="255" t="str">
        <f>IFERROR(__xludf.DUMMYFUNCTION("""COMPUTED_VALUE"""),"")</f>
        <v/>
      </c>
      <c r="X602" s="249" t="str">
        <f>IFERROR(__xludf.DUMMYFUNCTION("""COMPUTED_VALUE"""),"")</f>
        <v/>
      </c>
      <c r="Y602" s="250" t="str">
        <f t="shared" si="7"/>
        <v/>
      </c>
    </row>
    <row r="603">
      <c r="A603" s="136" t="s">
        <v>133</v>
      </c>
      <c r="B603" s="136"/>
      <c r="C603" s="136" t="s">
        <v>133</v>
      </c>
      <c r="D603" s="136"/>
      <c r="E603" s="256" t="str">
        <f>IFERROR(__xludf.DUMMYFUNCTION("""COMPUTED_VALUE"""),"")</f>
        <v/>
      </c>
      <c r="F603" s="257" t="str">
        <f>IFERROR(__xludf.DUMMYFUNCTION("""COMPUTED_VALUE"""),"")</f>
        <v/>
      </c>
      <c r="G603" s="247" t="str">
        <f t="shared" si="1"/>
        <v/>
      </c>
      <c r="H603" s="258" t="str">
        <f>IFERROR(__xludf.DUMMYFUNCTION("""COMPUTED_VALUE"""),"")</f>
        <v/>
      </c>
      <c r="I603" s="259" t="str">
        <f>IFERROR(__xludf.DUMMYFUNCTION("""COMPUTED_VALUE"""),"")</f>
        <v/>
      </c>
      <c r="J603" s="250" t="str">
        <f t="shared" si="2"/>
        <v/>
      </c>
      <c r="K603" s="317" t="str">
        <f>IFERROR(__xludf.DUMMYFUNCTION("""COMPUTED_VALUE"""),"")</f>
        <v/>
      </c>
      <c r="L603" s="318" t="str">
        <f>IFERROR(__xludf.DUMMYFUNCTION("""COMPUTED_VALUE"""),"")</f>
        <v/>
      </c>
      <c r="M603" s="253" t="str">
        <f t="shared" si="3"/>
        <v/>
      </c>
      <c r="N603" s="319" t="str">
        <f>IFERROR(__xludf.DUMMYFUNCTION("""COMPUTED_VALUE"""),"")</f>
        <v/>
      </c>
      <c r="O603" s="257" t="str">
        <f>IFERROR(__xludf.DUMMYFUNCTION("""COMPUTED_VALUE"""),"")</f>
        <v/>
      </c>
      <c r="P603" s="247" t="str">
        <f t="shared" si="4"/>
        <v/>
      </c>
      <c r="Q603" s="320" t="str">
        <f>IFERROR(__xludf.DUMMYFUNCTION("""COMPUTED_VALUE"""),"")</f>
        <v/>
      </c>
      <c r="R603" s="259" t="str">
        <f>IFERROR(__xludf.DUMMYFUNCTION("""COMPUTED_VALUE"""),"")</f>
        <v/>
      </c>
      <c r="S603" s="250" t="str">
        <f t="shared" si="5"/>
        <v/>
      </c>
      <c r="T603" s="254" t="str">
        <f>IFERROR(__xludf.DUMMYFUNCTION("""COMPUTED_VALUE"""),"")</f>
        <v/>
      </c>
      <c r="U603" s="246" t="str">
        <f>IFERROR(__xludf.DUMMYFUNCTION("""COMPUTED_VALUE"""),"")</f>
        <v/>
      </c>
      <c r="V603" s="247" t="str">
        <f t="shared" si="6"/>
        <v/>
      </c>
      <c r="W603" s="255" t="str">
        <f>IFERROR(__xludf.DUMMYFUNCTION("""COMPUTED_VALUE"""),"")</f>
        <v/>
      </c>
      <c r="X603" s="249" t="str">
        <f>IFERROR(__xludf.DUMMYFUNCTION("""COMPUTED_VALUE"""),"")</f>
        <v/>
      </c>
      <c r="Y603" s="250" t="str">
        <f t="shared" si="7"/>
        <v/>
      </c>
    </row>
    <row r="604">
      <c r="A604" s="136" t="s">
        <v>133</v>
      </c>
      <c r="B604" s="136"/>
      <c r="C604" s="136" t="s">
        <v>133</v>
      </c>
      <c r="D604" s="136"/>
      <c r="E604" s="256" t="str">
        <f>IFERROR(__xludf.DUMMYFUNCTION("""COMPUTED_VALUE"""),"")</f>
        <v/>
      </c>
      <c r="F604" s="257" t="str">
        <f>IFERROR(__xludf.DUMMYFUNCTION("""COMPUTED_VALUE"""),"")</f>
        <v/>
      </c>
      <c r="G604" s="247" t="str">
        <f t="shared" si="1"/>
        <v/>
      </c>
      <c r="H604" s="258" t="str">
        <f>IFERROR(__xludf.DUMMYFUNCTION("""COMPUTED_VALUE"""),"")</f>
        <v/>
      </c>
      <c r="I604" s="259" t="str">
        <f>IFERROR(__xludf.DUMMYFUNCTION("""COMPUTED_VALUE"""),"")</f>
        <v/>
      </c>
      <c r="J604" s="250" t="str">
        <f t="shared" si="2"/>
        <v/>
      </c>
      <c r="K604" s="317" t="str">
        <f>IFERROR(__xludf.DUMMYFUNCTION("""COMPUTED_VALUE"""),"")</f>
        <v/>
      </c>
      <c r="L604" s="318" t="str">
        <f>IFERROR(__xludf.DUMMYFUNCTION("""COMPUTED_VALUE"""),"")</f>
        <v/>
      </c>
      <c r="M604" s="253" t="str">
        <f t="shared" si="3"/>
        <v/>
      </c>
      <c r="N604" s="319" t="str">
        <f>IFERROR(__xludf.DUMMYFUNCTION("""COMPUTED_VALUE"""),"")</f>
        <v/>
      </c>
      <c r="O604" s="257" t="str">
        <f>IFERROR(__xludf.DUMMYFUNCTION("""COMPUTED_VALUE"""),"")</f>
        <v/>
      </c>
      <c r="P604" s="247" t="str">
        <f t="shared" si="4"/>
        <v/>
      </c>
      <c r="Q604" s="320" t="str">
        <f>IFERROR(__xludf.DUMMYFUNCTION("""COMPUTED_VALUE"""),"")</f>
        <v/>
      </c>
      <c r="R604" s="259" t="str">
        <f>IFERROR(__xludf.DUMMYFUNCTION("""COMPUTED_VALUE"""),"")</f>
        <v/>
      </c>
      <c r="S604" s="250" t="str">
        <f t="shared" si="5"/>
        <v/>
      </c>
      <c r="T604" s="254" t="str">
        <f>IFERROR(__xludf.DUMMYFUNCTION("""COMPUTED_VALUE"""),"")</f>
        <v/>
      </c>
      <c r="U604" s="246" t="str">
        <f>IFERROR(__xludf.DUMMYFUNCTION("""COMPUTED_VALUE"""),"")</f>
        <v/>
      </c>
      <c r="V604" s="247" t="str">
        <f t="shared" si="6"/>
        <v/>
      </c>
      <c r="W604" s="255" t="str">
        <f>IFERROR(__xludf.DUMMYFUNCTION("""COMPUTED_VALUE"""),"")</f>
        <v/>
      </c>
      <c r="X604" s="249" t="str">
        <f>IFERROR(__xludf.DUMMYFUNCTION("""COMPUTED_VALUE"""),"")</f>
        <v/>
      </c>
      <c r="Y604" s="250" t="str">
        <f t="shared" si="7"/>
        <v/>
      </c>
    </row>
    <row r="605">
      <c r="A605" s="136" t="s">
        <v>133</v>
      </c>
      <c r="B605" s="136"/>
      <c r="C605" s="136" t="s">
        <v>133</v>
      </c>
      <c r="D605" s="136"/>
      <c r="E605" s="256" t="str">
        <f>IFERROR(__xludf.DUMMYFUNCTION("""COMPUTED_VALUE"""),"")</f>
        <v/>
      </c>
      <c r="F605" s="257" t="str">
        <f>IFERROR(__xludf.DUMMYFUNCTION("""COMPUTED_VALUE"""),"")</f>
        <v/>
      </c>
      <c r="G605" s="247" t="str">
        <f t="shared" si="1"/>
        <v/>
      </c>
      <c r="H605" s="258" t="str">
        <f>IFERROR(__xludf.DUMMYFUNCTION("""COMPUTED_VALUE"""),"")</f>
        <v/>
      </c>
      <c r="I605" s="259" t="str">
        <f>IFERROR(__xludf.DUMMYFUNCTION("""COMPUTED_VALUE"""),"")</f>
        <v/>
      </c>
      <c r="J605" s="250" t="str">
        <f t="shared" si="2"/>
        <v/>
      </c>
      <c r="K605" s="317" t="str">
        <f>IFERROR(__xludf.DUMMYFUNCTION("""COMPUTED_VALUE"""),"")</f>
        <v/>
      </c>
      <c r="L605" s="318" t="str">
        <f>IFERROR(__xludf.DUMMYFUNCTION("""COMPUTED_VALUE"""),"")</f>
        <v/>
      </c>
      <c r="M605" s="253" t="str">
        <f t="shared" si="3"/>
        <v/>
      </c>
      <c r="N605" s="319" t="str">
        <f>IFERROR(__xludf.DUMMYFUNCTION("""COMPUTED_VALUE"""),"")</f>
        <v/>
      </c>
      <c r="O605" s="257" t="str">
        <f>IFERROR(__xludf.DUMMYFUNCTION("""COMPUTED_VALUE"""),"")</f>
        <v/>
      </c>
      <c r="P605" s="247" t="str">
        <f t="shared" si="4"/>
        <v/>
      </c>
      <c r="Q605" s="320" t="str">
        <f>IFERROR(__xludf.DUMMYFUNCTION("""COMPUTED_VALUE"""),"")</f>
        <v/>
      </c>
      <c r="R605" s="259" t="str">
        <f>IFERROR(__xludf.DUMMYFUNCTION("""COMPUTED_VALUE"""),"")</f>
        <v/>
      </c>
      <c r="S605" s="250" t="str">
        <f t="shared" si="5"/>
        <v/>
      </c>
      <c r="T605" s="254" t="str">
        <f>IFERROR(__xludf.DUMMYFUNCTION("""COMPUTED_VALUE"""),"")</f>
        <v/>
      </c>
      <c r="U605" s="246" t="str">
        <f>IFERROR(__xludf.DUMMYFUNCTION("""COMPUTED_VALUE"""),"")</f>
        <v/>
      </c>
      <c r="V605" s="247" t="str">
        <f t="shared" si="6"/>
        <v/>
      </c>
      <c r="W605" s="255" t="str">
        <f>IFERROR(__xludf.DUMMYFUNCTION("""COMPUTED_VALUE"""),"")</f>
        <v/>
      </c>
      <c r="X605" s="249" t="str">
        <f>IFERROR(__xludf.DUMMYFUNCTION("""COMPUTED_VALUE"""),"")</f>
        <v/>
      </c>
      <c r="Y605" s="250" t="str">
        <f t="shared" si="7"/>
        <v/>
      </c>
    </row>
    <row r="606">
      <c r="A606" s="136" t="s">
        <v>133</v>
      </c>
      <c r="B606" s="136"/>
      <c r="C606" s="136" t="s">
        <v>133</v>
      </c>
      <c r="D606" s="136"/>
      <c r="E606" s="256" t="str">
        <f>IFERROR(__xludf.DUMMYFUNCTION("""COMPUTED_VALUE"""),"")</f>
        <v/>
      </c>
      <c r="F606" s="257" t="str">
        <f>IFERROR(__xludf.DUMMYFUNCTION("""COMPUTED_VALUE"""),"")</f>
        <v/>
      </c>
      <c r="G606" s="247" t="str">
        <f t="shared" si="1"/>
        <v/>
      </c>
      <c r="H606" s="258" t="str">
        <f>IFERROR(__xludf.DUMMYFUNCTION("""COMPUTED_VALUE"""),"")</f>
        <v/>
      </c>
      <c r="I606" s="259" t="str">
        <f>IFERROR(__xludf.DUMMYFUNCTION("""COMPUTED_VALUE"""),"")</f>
        <v/>
      </c>
      <c r="J606" s="250" t="str">
        <f t="shared" si="2"/>
        <v/>
      </c>
      <c r="K606" s="317" t="str">
        <f>IFERROR(__xludf.DUMMYFUNCTION("""COMPUTED_VALUE"""),"")</f>
        <v/>
      </c>
      <c r="L606" s="318" t="str">
        <f>IFERROR(__xludf.DUMMYFUNCTION("""COMPUTED_VALUE"""),"")</f>
        <v/>
      </c>
      <c r="M606" s="253" t="str">
        <f t="shared" si="3"/>
        <v/>
      </c>
      <c r="N606" s="319" t="str">
        <f>IFERROR(__xludf.DUMMYFUNCTION("""COMPUTED_VALUE"""),"")</f>
        <v/>
      </c>
      <c r="O606" s="257" t="str">
        <f>IFERROR(__xludf.DUMMYFUNCTION("""COMPUTED_VALUE"""),"")</f>
        <v/>
      </c>
      <c r="P606" s="247" t="str">
        <f t="shared" si="4"/>
        <v/>
      </c>
      <c r="Q606" s="320" t="str">
        <f>IFERROR(__xludf.DUMMYFUNCTION("""COMPUTED_VALUE"""),"")</f>
        <v/>
      </c>
      <c r="R606" s="259" t="str">
        <f>IFERROR(__xludf.DUMMYFUNCTION("""COMPUTED_VALUE"""),"")</f>
        <v/>
      </c>
      <c r="S606" s="250" t="str">
        <f t="shared" si="5"/>
        <v/>
      </c>
      <c r="T606" s="254" t="str">
        <f>IFERROR(__xludf.DUMMYFUNCTION("""COMPUTED_VALUE"""),"")</f>
        <v/>
      </c>
      <c r="U606" s="246" t="str">
        <f>IFERROR(__xludf.DUMMYFUNCTION("""COMPUTED_VALUE"""),"")</f>
        <v/>
      </c>
      <c r="V606" s="247" t="str">
        <f t="shared" si="6"/>
        <v/>
      </c>
      <c r="W606" s="255" t="str">
        <f>IFERROR(__xludf.DUMMYFUNCTION("""COMPUTED_VALUE"""),"")</f>
        <v/>
      </c>
      <c r="X606" s="249" t="str">
        <f>IFERROR(__xludf.DUMMYFUNCTION("""COMPUTED_VALUE"""),"")</f>
        <v/>
      </c>
      <c r="Y606" s="250" t="str">
        <f t="shared" si="7"/>
        <v/>
      </c>
    </row>
    <row r="607">
      <c r="A607" s="136" t="s">
        <v>133</v>
      </c>
      <c r="B607" s="136"/>
      <c r="C607" s="136" t="s">
        <v>133</v>
      </c>
      <c r="D607" s="136"/>
      <c r="E607" s="256" t="str">
        <f>IFERROR(__xludf.DUMMYFUNCTION("""COMPUTED_VALUE"""),"")</f>
        <v/>
      </c>
      <c r="F607" s="257" t="str">
        <f>IFERROR(__xludf.DUMMYFUNCTION("""COMPUTED_VALUE"""),"")</f>
        <v/>
      </c>
      <c r="G607" s="247" t="str">
        <f t="shared" si="1"/>
        <v/>
      </c>
      <c r="H607" s="258" t="str">
        <f>IFERROR(__xludf.DUMMYFUNCTION("""COMPUTED_VALUE"""),"")</f>
        <v/>
      </c>
      <c r="I607" s="259" t="str">
        <f>IFERROR(__xludf.DUMMYFUNCTION("""COMPUTED_VALUE"""),"")</f>
        <v/>
      </c>
      <c r="J607" s="250" t="str">
        <f t="shared" si="2"/>
        <v/>
      </c>
      <c r="K607" s="317" t="str">
        <f>IFERROR(__xludf.DUMMYFUNCTION("""COMPUTED_VALUE"""),"")</f>
        <v/>
      </c>
      <c r="L607" s="318" t="str">
        <f>IFERROR(__xludf.DUMMYFUNCTION("""COMPUTED_VALUE"""),"")</f>
        <v/>
      </c>
      <c r="M607" s="253" t="str">
        <f t="shared" si="3"/>
        <v/>
      </c>
      <c r="N607" s="319" t="str">
        <f>IFERROR(__xludf.DUMMYFUNCTION("""COMPUTED_VALUE"""),"")</f>
        <v/>
      </c>
      <c r="O607" s="257" t="str">
        <f>IFERROR(__xludf.DUMMYFUNCTION("""COMPUTED_VALUE"""),"")</f>
        <v/>
      </c>
      <c r="P607" s="247" t="str">
        <f t="shared" si="4"/>
        <v/>
      </c>
      <c r="Q607" s="320" t="str">
        <f>IFERROR(__xludf.DUMMYFUNCTION("""COMPUTED_VALUE"""),"")</f>
        <v/>
      </c>
      <c r="R607" s="259" t="str">
        <f>IFERROR(__xludf.DUMMYFUNCTION("""COMPUTED_VALUE"""),"")</f>
        <v/>
      </c>
      <c r="S607" s="250" t="str">
        <f t="shared" si="5"/>
        <v/>
      </c>
      <c r="T607" s="254" t="str">
        <f>IFERROR(__xludf.DUMMYFUNCTION("""COMPUTED_VALUE"""),"")</f>
        <v/>
      </c>
      <c r="U607" s="246" t="str">
        <f>IFERROR(__xludf.DUMMYFUNCTION("""COMPUTED_VALUE"""),"")</f>
        <v/>
      </c>
      <c r="V607" s="247" t="str">
        <f t="shared" si="6"/>
        <v/>
      </c>
      <c r="W607" s="255" t="str">
        <f>IFERROR(__xludf.DUMMYFUNCTION("""COMPUTED_VALUE"""),"")</f>
        <v/>
      </c>
      <c r="X607" s="249" t="str">
        <f>IFERROR(__xludf.DUMMYFUNCTION("""COMPUTED_VALUE"""),"")</f>
        <v/>
      </c>
      <c r="Y607" s="250" t="str">
        <f t="shared" si="7"/>
        <v/>
      </c>
    </row>
    <row r="608">
      <c r="A608" s="136" t="s">
        <v>133</v>
      </c>
      <c r="B608" s="136"/>
      <c r="C608" s="136" t="s">
        <v>133</v>
      </c>
      <c r="D608" s="136"/>
      <c r="E608" s="256" t="str">
        <f>IFERROR(__xludf.DUMMYFUNCTION("""COMPUTED_VALUE"""),"")</f>
        <v/>
      </c>
      <c r="F608" s="257" t="str">
        <f>IFERROR(__xludf.DUMMYFUNCTION("""COMPUTED_VALUE"""),"")</f>
        <v/>
      </c>
      <c r="G608" s="247" t="str">
        <f t="shared" si="1"/>
        <v/>
      </c>
      <c r="H608" s="258" t="str">
        <f>IFERROR(__xludf.DUMMYFUNCTION("""COMPUTED_VALUE"""),"")</f>
        <v/>
      </c>
      <c r="I608" s="259" t="str">
        <f>IFERROR(__xludf.DUMMYFUNCTION("""COMPUTED_VALUE"""),"")</f>
        <v/>
      </c>
      <c r="J608" s="250" t="str">
        <f t="shared" si="2"/>
        <v/>
      </c>
      <c r="K608" s="317" t="str">
        <f>IFERROR(__xludf.DUMMYFUNCTION("""COMPUTED_VALUE"""),"")</f>
        <v/>
      </c>
      <c r="L608" s="318" t="str">
        <f>IFERROR(__xludf.DUMMYFUNCTION("""COMPUTED_VALUE"""),"")</f>
        <v/>
      </c>
      <c r="M608" s="253" t="str">
        <f t="shared" si="3"/>
        <v/>
      </c>
      <c r="N608" s="319" t="str">
        <f>IFERROR(__xludf.DUMMYFUNCTION("""COMPUTED_VALUE"""),"")</f>
        <v/>
      </c>
      <c r="O608" s="257" t="str">
        <f>IFERROR(__xludf.DUMMYFUNCTION("""COMPUTED_VALUE"""),"")</f>
        <v/>
      </c>
      <c r="P608" s="247" t="str">
        <f t="shared" si="4"/>
        <v/>
      </c>
      <c r="Q608" s="320" t="str">
        <f>IFERROR(__xludf.DUMMYFUNCTION("""COMPUTED_VALUE"""),"")</f>
        <v/>
      </c>
      <c r="R608" s="259" t="str">
        <f>IFERROR(__xludf.DUMMYFUNCTION("""COMPUTED_VALUE"""),"")</f>
        <v/>
      </c>
      <c r="S608" s="250" t="str">
        <f t="shared" si="5"/>
        <v/>
      </c>
      <c r="T608" s="254" t="str">
        <f>IFERROR(__xludf.DUMMYFUNCTION("""COMPUTED_VALUE"""),"")</f>
        <v/>
      </c>
      <c r="U608" s="246" t="str">
        <f>IFERROR(__xludf.DUMMYFUNCTION("""COMPUTED_VALUE"""),"")</f>
        <v/>
      </c>
      <c r="V608" s="247" t="str">
        <f t="shared" si="6"/>
        <v/>
      </c>
      <c r="W608" s="255" t="str">
        <f>IFERROR(__xludf.DUMMYFUNCTION("""COMPUTED_VALUE"""),"")</f>
        <v/>
      </c>
      <c r="X608" s="249" t="str">
        <f>IFERROR(__xludf.DUMMYFUNCTION("""COMPUTED_VALUE"""),"")</f>
        <v/>
      </c>
      <c r="Y608" s="250" t="str">
        <f t="shared" si="7"/>
        <v/>
      </c>
    </row>
    <row r="609">
      <c r="A609" s="136" t="s">
        <v>133</v>
      </c>
      <c r="B609" s="136"/>
      <c r="C609" s="136" t="s">
        <v>133</v>
      </c>
      <c r="D609" s="136"/>
      <c r="E609" s="256" t="str">
        <f>IFERROR(__xludf.DUMMYFUNCTION("""COMPUTED_VALUE"""),"")</f>
        <v/>
      </c>
      <c r="F609" s="257" t="str">
        <f>IFERROR(__xludf.DUMMYFUNCTION("""COMPUTED_VALUE"""),"")</f>
        <v/>
      </c>
      <c r="G609" s="247" t="str">
        <f t="shared" si="1"/>
        <v/>
      </c>
      <c r="H609" s="258" t="str">
        <f>IFERROR(__xludf.DUMMYFUNCTION("""COMPUTED_VALUE"""),"")</f>
        <v/>
      </c>
      <c r="I609" s="259" t="str">
        <f>IFERROR(__xludf.DUMMYFUNCTION("""COMPUTED_VALUE"""),"")</f>
        <v/>
      </c>
      <c r="J609" s="250" t="str">
        <f t="shared" si="2"/>
        <v/>
      </c>
      <c r="K609" s="317" t="str">
        <f>IFERROR(__xludf.DUMMYFUNCTION("""COMPUTED_VALUE"""),"")</f>
        <v/>
      </c>
      <c r="L609" s="318" t="str">
        <f>IFERROR(__xludf.DUMMYFUNCTION("""COMPUTED_VALUE"""),"")</f>
        <v/>
      </c>
      <c r="M609" s="253" t="str">
        <f t="shared" si="3"/>
        <v/>
      </c>
      <c r="N609" s="319" t="str">
        <f>IFERROR(__xludf.DUMMYFUNCTION("""COMPUTED_VALUE"""),"")</f>
        <v/>
      </c>
      <c r="O609" s="257" t="str">
        <f>IFERROR(__xludf.DUMMYFUNCTION("""COMPUTED_VALUE"""),"")</f>
        <v/>
      </c>
      <c r="P609" s="247" t="str">
        <f t="shared" si="4"/>
        <v/>
      </c>
      <c r="Q609" s="320" t="str">
        <f>IFERROR(__xludf.DUMMYFUNCTION("""COMPUTED_VALUE"""),"")</f>
        <v/>
      </c>
      <c r="R609" s="259" t="str">
        <f>IFERROR(__xludf.DUMMYFUNCTION("""COMPUTED_VALUE"""),"")</f>
        <v/>
      </c>
      <c r="S609" s="250" t="str">
        <f t="shared" si="5"/>
        <v/>
      </c>
      <c r="T609" s="254" t="str">
        <f>IFERROR(__xludf.DUMMYFUNCTION("""COMPUTED_VALUE"""),"")</f>
        <v/>
      </c>
      <c r="U609" s="246" t="str">
        <f>IFERROR(__xludf.DUMMYFUNCTION("""COMPUTED_VALUE"""),"")</f>
        <v/>
      </c>
      <c r="V609" s="247" t="str">
        <f t="shared" si="6"/>
        <v/>
      </c>
      <c r="W609" s="255" t="str">
        <f>IFERROR(__xludf.DUMMYFUNCTION("""COMPUTED_VALUE"""),"")</f>
        <v/>
      </c>
      <c r="X609" s="249" t="str">
        <f>IFERROR(__xludf.DUMMYFUNCTION("""COMPUTED_VALUE"""),"")</f>
        <v/>
      </c>
      <c r="Y609" s="250" t="str">
        <f t="shared" si="7"/>
        <v/>
      </c>
    </row>
    <row r="610">
      <c r="A610" s="136" t="s">
        <v>133</v>
      </c>
      <c r="B610" s="136"/>
      <c r="C610" s="136" t="s">
        <v>133</v>
      </c>
      <c r="D610" s="136"/>
      <c r="E610" s="256" t="str">
        <f>IFERROR(__xludf.DUMMYFUNCTION("""COMPUTED_VALUE"""),"")</f>
        <v/>
      </c>
      <c r="F610" s="257" t="str">
        <f>IFERROR(__xludf.DUMMYFUNCTION("""COMPUTED_VALUE"""),"")</f>
        <v/>
      </c>
      <c r="G610" s="247" t="str">
        <f t="shared" si="1"/>
        <v/>
      </c>
      <c r="H610" s="258" t="str">
        <f>IFERROR(__xludf.DUMMYFUNCTION("""COMPUTED_VALUE"""),"")</f>
        <v/>
      </c>
      <c r="I610" s="259" t="str">
        <f>IFERROR(__xludf.DUMMYFUNCTION("""COMPUTED_VALUE"""),"")</f>
        <v/>
      </c>
      <c r="J610" s="250" t="str">
        <f t="shared" si="2"/>
        <v/>
      </c>
      <c r="K610" s="317" t="str">
        <f>IFERROR(__xludf.DUMMYFUNCTION("""COMPUTED_VALUE"""),"")</f>
        <v/>
      </c>
      <c r="L610" s="318" t="str">
        <f>IFERROR(__xludf.DUMMYFUNCTION("""COMPUTED_VALUE"""),"")</f>
        <v/>
      </c>
      <c r="M610" s="253" t="str">
        <f t="shared" si="3"/>
        <v/>
      </c>
      <c r="N610" s="319" t="str">
        <f>IFERROR(__xludf.DUMMYFUNCTION("""COMPUTED_VALUE"""),"")</f>
        <v/>
      </c>
      <c r="O610" s="257" t="str">
        <f>IFERROR(__xludf.DUMMYFUNCTION("""COMPUTED_VALUE"""),"")</f>
        <v/>
      </c>
      <c r="P610" s="247" t="str">
        <f t="shared" si="4"/>
        <v/>
      </c>
      <c r="Q610" s="320" t="str">
        <f>IFERROR(__xludf.DUMMYFUNCTION("""COMPUTED_VALUE"""),"")</f>
        <v/>
      </c>
      <c r="R610" s="259" t="str">
        <f>IFERROR(__xludf.DUMMYFUNCTION("""COMPUTED_VALUE"""),"")</f>
        <v/>
      </c>
      <c r="S610" s="250" t="str">
        <f t="shared" si="5"/>
        <v/>
      </c>
      <c r="T610" s="254" t="str">
        <f>IFERROR(__xludf.DUMMYFUNCTION("""COMPUTED_VALUE"""),"")</f>
        <v/>
      </c>
      <c r="U610" s="246" t="str">
        <f>IFERROR(__xludf.DUMMYFUNCTION("""COMPUTED_VALUE"""),"")</f>
        <v/>
      </c>
      <c r="V610" s="247" t="str">
        <f t="shared" si="6"/>
        <v/>
      </c>
      <c r="W610" s="255" t="str">
        <f>IFERROR(__xludf.DUMMYFUNCTION("""COMPUTED_VALUE"""),"")</f>
        <v/>
      </c>
      <c r="X610" s="249" t="str">
        <f>IFERROR(__xludf.DUMMYFUNCTION("""COMPUTED_VALUE"""),"")</f>
        <v/>
      </c>
      <c r="Y610" s="250" t="str">
        <f t="shared" si="7"/>
        <v/>
      </c>
    </row>
    <row r="611">
      <c r="A611" s="136" t="s">
        <v>133</v>
      </c>
      <c r="B611" s="136"/>
      <c r="C611" s="136" t="s">
        <v>133</v>
      </c>
      <c r="D611" s="136"/>
      <c r="E611" s="256" t="str">
        <f>IFERROR(__xludf.DUMMYFUNCTION("""COMPUTED_VALUE"""),"")</f>
        <v/>
      </c>
      <c r="F611" s="257" t="str">
        <f>IFERROR(__xludf.DUMMYFUNCTION("""COMPUTED_VALUE"""),"")</f>
        <v/>
      </c>
      <c r="G611" s="247" t="str">
        <f t="shared" si="1"/>
        <v/>
      </c>
      <c r="H611" s="258" t="str">
        <f>IFERROR(__xludf.DUMMYFUNCTION("""COMPUTED_VALUE"""),"")</f>
        <v/>
      </c>
      <c r="I611" s="259" t="str">
        <f>IFERROR(__xludf.DUMMYFUNCTION("""COMPUTED_VALUE"""),"")</f>
        <v/>
      </c>
      <c r="J611" s="250" t="str">
        <f t="shared" si="2"/>
        <v/>
      </c>
      <c r="K611" s="317" t="str">
        <f>IFERROR(__xludf.DUMMYFUNCTION("""COMPUTED_VALUE"""),"")</f>
        <v/>
      </c>
      <c r="L611" s="318" t="str">
        <f>IFERROR(__xludf.DUMMYFUNCTION("""COMPUTED_VALUE"""),"")</f>
        <v/>
      </c>
      <c r="M611" s="253" t="str">
        <f t="shared" si="3"/>
        <v/>
      </c>
      <c r="N611" s="319" t="str">
        <f>IFERROR(__xludf.DUMMYFUNCTION("""COMPUTED_VALUE"""),"")</f>
        <v/>
      </c>
      <c r="O611" s="257" t="str">
        <f>IFERROR(__xludf.DUMMYFUNCTION("""COMPUTED_VALUE"""),"")</f>
        <v/>
      </c>
      <c r="P611" s="247" t="str">
        <f t="shared" si="4"/>
        <v/>
      </c>
      <c r="Q611" s="320" t="str">
        <f>IFERROR(__xludf.DUMMYFUNCTION("""COMPUTED_VALUE"""),"")</f>
        <v/>
      </c>
      <c r="R611" s="259" t="str">
        <f>IFERROR(__xludf.DUMMYFUNCTION("""COMPUTED_VALUE"""),"")</f>
        <v/>
      </c>
      <c r="S611" s="250" t="str">
        <f t="shared" si="5"/>
        <v/>
      </c>
      <c r="T611" s="254" t="str">
        <f>IFERROR(__xludf.DUMMYFUNCTION("""COMPUTED_VALUE"""),"")</f>
        <v/>
      </c>
      <c r="U611" s="246" t="str">
        <f>IFERROR(__xludf.DUMMYFUNCTION("""COMPUTED_VALUE"""),"")</f>
        <v/>
      </c>
      <c r="V611" s="247" t="str">
        <f t="shared" si="6"/>
        <v/>
      </c>
      <c r="W611" s="255" t="str">
        <f>IFERROR(__xludf.DUMMYFUNCTION("""COMPUTED_VALUE"""),"")</f>
        <v/>
      </c>
      <c r="X611" s="249" t="str">
        <f>IFERROR(__xludf.DUMMYFUNCTION("""COMPUTED_VALUE"""),"")</f>
        <v/>
      </c>
      <c r="Y611" s="250" t="str">
        <f t="shared" si="7"/>
        <v/>
      </c>
    </row>
    <row r="612">
      <c r="A612" s="136" t="s">
        <v>133</v>
      </c>
      <c r="B612" s="136"/>
      <c r="C612" s="136" t="s">
        <v>133</v>
      </c>
      <c r="D612" s="136"/>
      <c r="E612" s="256" t="str">
        <f>IFERROR(__xludf.DUMMYFUNCTION("""COMPUTED_VALUE"""),"")</f>
        <v/>
      </c>
      <c r="F612" s="257" t="str">
        <f>IFERROR(__xludf.DUMMYFUNCTION("""COMPUTED_VALUE"""),"")</f>
        <v/>
      </c>
      <c r="G612" s="247" t="str">
        <f t="shared" si="1"/>
        <v/>
      </c>
      <c r="H612" s="258" t="str">
        <f>IFERROR(__xludf.DUMMYFUNCTION("""COMPUTED_VALUE"""),"")</f>
        <v/>
      </c>
      <c r="I612" s="259" t="str">
        <f>IFERROR(__xludf.DUMMYFUNCTION("""COMPUTED_VALUE"""),"")</f>
        <v/>
      </c>
      <c r="J612" s="250" t="str">
        <f t="shared" si="2"/>
        <v/>
      </c>
      <c r="K612" s="317" t="str">
        <f>IFERROR(__xludf.DUMMYFUNCTION("""COMPUTED_VALUE"""),"")</f>
        <v/>
      </c>
      <c r="L612" s="318" t="str">
        <f>IFERROR(__xludf.DUMMYFUNCTION("""COMPUTED_VALUE"""),"")</f>
        <v/>
      </c>
      <c r="M612" s="253" t="str">
        <f t="shared" si="3"/>
        <v/>
      </c>
      <c r="N612" s="319" t="str">
        <f>IFERROR(__xludf.DUMMYFUNCTION("""COMPUTED_VALUE"""),"")</f>
        <v/>
      </c>
      <c r="O612" s="257" t="str">
        <f>IFERROR(__xludf.DUMMYFUNCTION("""COMPUTED_VALUE"""),"")</f>
        <v/>
      </c>
      <c r="P612" s="247" t="str">
        <f t="shared" si="4"/>
        <v/>
      </c>
      <c r="Q612" s="320" t="str">
        <f>IFERROR(__xludf.DUMMYFUNCTION("""COMPUTED_VALUE"""),"")</f>
        <v/>
      </c>
      <c r="R612" s="259" t="str">
        <f>IFERROR(__xludf.DUMMYFUNCTION("""COMPUTED_VALUE"""),"")</f>
        <v/>
      </c>
      <c r="S612" s="250" t="str">
        <f t="shared" si="5"/>
        <v/>
      </c>
      <c r="T612" s="254" t="str">
        <f>IFERROR(__xludf.DUMMYFUNCTION("""COMPUTED_VALUE"""),"")</f>
        <v/>
      </c>
      <c r="U612" s="246" t="str">
        <f>IFERROR(__xludf.DUMMYFUNCTION("""COMPUTED_VALUE"""),"")</f>
        <v/>
      </c>
      <c r="V612" s="247" t="str">
        <f t="shared" si="6"/>
        <v/>
      </c>
      <c r="W612" s="255" t="str">
        <f>IFERROR(__xludf.DUMMYFUNCTION("""COMPUTED_VALUE"""),"")</f>
        <v/>
      </c>
      <c r="X612" s="249" t="str">
        <f>IFERROR(__xludf.DUMMYFUNCTION("""COMPUTED_VALUE"""),"")</f>
        <v/>
      </c>
      <c r="Y612" s="250" t="str">
        <f t="shared" si="7"/>
        <v/>
      </c>
    </row>
    <row r="613">
      <c r="A613" s="136" t="s">
        <v>133</v>
      </c>
      <c r="B613" s="136"/>
      <c r="C613" s="136" t="s">
        <v>133</v>
      </c>
      <c r="D613" s="136"/>
      <c r="E613" s="256" t="str">
        <f>IFERROR(__xludf.DUMMYFUNCTION("""COMPUTED_VALUE"""),"")</f>
        <v/>
      </c>
      <c r="F613" s="257" t="str">
        <f>IFERROR(__xludf.DUMMYFUNCTION("""COMPUTED_VALUE"""),"")</f>
        <v/>
      </c>
      <c r="G613" s="247" t="str">
        <f t="shared" si="1"/>
        <v/>
      </c>
      <c r="H613" s="258" t="str">
        <f>IFERROR(__xludf.DUMMYFUNCTION("""COMPUTED_VALUE"""),"")</f>
        <v/>
      </c>
      <c r="I613" s="259" t="str">
        <f>IFERROR(__xludf.DUMMYFUNCTION("""COMPUTED_VALUE"""),"")</f>
        <v/>
      </c>
      <c r="J613" s="250" t="str">
        <f t="shared" si="2"/>
        <v/>
      </c>
      <c r="K613" s="317" t="str">
        <f>IFERROR(__xludf.DUMMYFUNCTION("""COMPUTED_VALUE"""),"")</f>
        <v/>
      </c>
      <c r="L613" s="318" t="str">
        <f>IFERROR(__xludf.DUMMYFUNCTION("""COMPUTED_VALUE"""),"")</f>
        <v/>
      </c>
      <c r="M613" s="253" t="str">
        <f t="shared" si="3"/>
        <v/>
      </c>
      <c r="N613" s="319" t="str">
        <f>IFERROR(__xludf.DUMMYFUNCTION("""COMPUTED_VALUE"""),"")</f>
        <v/>
      </c>
      <c r="O613" s="257" t="str">
        <f>IFERROR(__xludf.DUMMYFUNCTION("""COMPUTED_VALUE"""),"")</f>
        <v/>
      </c>
      <c r="P613" s="247" t="str">
        <f t="shared" si="4"/>
        <v/>
      </c>
      <c r="Q613" s="320" t="str">
        <f>IFERROR(__xludf.DUMMYFUNCTION("""COMPUTED_VALUE"""),"")</f>
        <v/>
      </c>
      <c r="R613" s="259" t="str">
        <f>IFERROR(__xludf.DUMMYFUNCTION("""COMPUTED_VALUE"""),"")</f>
        <v/>
      </c>
      <c r="S613" s="250" t="str">
        <f t="shared" si="5"/>
        <v/>
      </c>
      <c r="T613" s="254" t="str">
        <f>IFERROR(__xludf.DUMMYFUNCTION("""COMPUTED_VALUE"""),"")</f>
        <v/>
      </c>
      <c r="U613" s="246" t="str">
        <f>IFERROR(__xludf.DUMMYFUNCTION("""COMPUTED_VALUE"""),"")</f>
        <v/>
      </c>
      <c r="V613" s="247" t="str">
        <f t="shared" si="6"/>
        <v/>
      </c>
      <c r="W613" s="255" t="str">
        <f>IFERROR(__xludf.DUMMYFUNCTION("""COMPUTED_VALUE"""),"")</f>
        <v/>
      </c>
      <c r="X613" s="249" t="str">
        <f>IFERROR(__xludf.DUMMYFUNCTION("""COMPUTED_VALUE"""),"")</f>
        <v/>
      </c>
      <c r="Y613" s="250" t="str">
        <f t="shared" si="7"/>
        <v/>
      </c>
    </row>
    <row r="614">
      <c r="A614" s="136" t="s">
        <v>133</v>
      </c>
      <c r="B614" s="136"/>
      <c r="C614" s="136" t="s">
        <v>133</v>
      </c>
      <c r="D614" s="136"/>
      <c r="E614" s="256" t="str">
        <f>IFERROR(__xludf.DUMMYFUNCTION("""COMPUTED_VALUE"""),"")</f>
        <v/>
      </c>
      <c r="F614" s="257" t="str">
        <f>IFERROR(__xludf.DUMMYFUNCTION("""COMPUTED_VALUE"""),"")</f>
        <v/>
      </c>
      <c r="G614" s="247" t="str">
        <f t="shared" si="1"/>
        <v/>
      </c>
      <c r="H614" s="258" t="str">
        <f>IFERROR(__xludf.DUMMYFUNCTION("""COMPUTED_VALUE"""),"")</f>
        <v/>
      </c>
      <c r="I614" s="259" t="str">
        <f>IFERROR(__xludf.DUMMYFUNCTION("""COMPUTED_VALUE"""),"")</f>
        <v/>
      </c>
      <c r="J614" s="250" t="str">
        <f t="shared" si="2"/>
        <v/>
      </c>
      <c r="K614" s="317" t="str">
        <f>IFERROR(__xludf.DUMMYFUNCTION("""COMPUTED_VALUE"""),"")</f>
        <v/>
      </c>
      <c r="L614" s="318" t="str">
        <f>IFERROR(__xludf.DUMMYFUNCTION("""COMPUTED_VALUE"""),"")</f>
        <v/>
      </c>
      <c r="M614" s="253" t="str">
        <f t="shared" si="3"/>
        <v/>
      </c>
      <c r="N614" s="319" t="str">
        <f>IFERROR(__xludf.DUMMYFUNCTION("""COMPUTED_VALUE"""),"")</f>
        <v/>
      </c>
      <c r="O614" s="257" t="str">
        <f>IFERROR(__xludf.DUMMYFUNCTION("""COMPUTED_VALUE"""),"")</f>
        <v/>
      </c>
      <c r="P614" s="247" t="str">
        <f t="shared" si="4"/>
        <v/>
      </c>
      <c r="Q614" s="320" t="str">
        <f>IFERROR(__xludf.DUMMYFUNCTION("""COMPUTED_VALUE"""),"")</f>
        <v/>
      </c>
      <c r="R614" s="259" t="str">
        <f>IFERROR(__xludf.DUMMYFUNCTION("""COMPUTED_VALUE"""),"")</f>
        <v/>
      </c>
      <c r="S614" s="250" t="str">
        <f t="shared" si="5"/>
        <v/>
      </c>
      <c r="T614" s="254" t="str">
        <f>IFERROR(__xludf.DUMMYFUNCTION("""COMPUTED_VALUE"""),"")</f>
        <v/>
      </c>
      <c r="U614" s="246" t="str">
        <f>IFERROR(__xludf.DUMMYFUNCTION("""COMPUTED_VALUE"""),"")</f>
        <v/>
      </c>
      <c r="V614" s="247" t="str">
        <f t="shared" si="6"/>
        <v/>
      </c>
      <c r="W614" s="255" t="str">
        <f>IFERROR(__xludf.DUMMYFUNCTION("""COMPUTED_VALUE"""),"")</f>
        <v/>
      </c>
      <c r="X614" s="249" t="str">
        <f>IFERROR(__xludf.DUMMYFUNCTION("""COMPUTED_VALUE"""),"")</f>
        <v/>
      </c>
      <c r="Y614" s="250" t="str">
        <f t="shared" si="7"/>
        <v/>
      </c>
    </row>
    <row r="615">
      <c r="A615" s="136" t="s">
        <v>133</v>
      </c>
      <c r="B615" s="136"/>
      <c r="C615" s="136" t="s">
        <v>133</v>
      </c>
      <c r="D615" s="136"/>
      <c r="E615" s="256" t="str">
        <f>IFERROR(__xludf.DUMMYFUNCTION("""COMPUTED_VALUE"""),"")</f>
        <v/>
      </c>
      <c r="F615" s="257" t="str">
        <f>IFERROR(__xludf.DUMMYFUNCTION("""COMPUTED_VALUE"""),"")</f>
        <v/>
      </c>
      <c r="G615" s="247" t="str">
        <f t="shared" si="1"/>
        <v/>
      </c>
      <c r="H615" s="258" t="str">
        <f>IFERROR(__xludf.DUMMYFUNCTION("""COMPUTED_VALUE"""),"")</f>
        <v/>
      </c>
      <c r="I615" s="259" t="str">
        <f>IFERROR(__xludf.DUMMYFUNCTION("""COMPUTED_VALUE"""),"")</f>
        <v/>
      </c>
      <c r="J615" s="250" t="str">
        <f t="shared" si="2"/>
        <v/>
      </c>
      <c r="K615" s="317" t="str">
        <f>IFERROR(__xludf.DUMMYFUNCTION("""COMPUTED_VALUE"""),"")</f>
        <v/>
      </c>
      <c r="L615" s="318" t="str">
        <f>IFERROR(__xludf.DUMMYFUNCTION("""COMPUTED_VALUE"""),"")</f>
        <v/>
      </c>
      <c r="M615" s="253" t="str">
        <f t="shared" si="3"/>
        <v/>
      </c>
      <c r="N615" s="319" t="str">
        <f>IFERROR(__xludf.DUMMYFUNCTION("""COMPUTED_VALUE"""),"")</f>
        <v/>
      </c>
      <c r="O615" s="257" t="str">
        <f>IFERROR(__xludf.DUMMYFUNCTION("""COMPUTED_VALUE"""),"")</f>
        <v/>
      </c>
      <c r="P615" s="247" t="str">
        <f t="shared" si="4"/>
        <v/>
      </c>
      <c r="Q615" s="320" t="str">
        <f>IFERROR(__xludf.DUMMYFUNCTION("""COMPUTED_VALUE"""),"")</f>
        <v/>
      </c>
      <c r="R615" s="259" t="str">
        <f>IFERROR(__xludf.DUMMYFUNCTION("""COMPUTED_VALUE"""),"")</f>
        <v/>
      </c>
      <c r="S615" s="250" t="str">
        <f t="shared" si="5"/>
        <v/>
      </c>
      <c r="T615" s="254" t="str">
        <f>IFERROR(__xludf.DUMMYFUNCTION("""COMPUTED_VALUE"""),"")</f>
        <v/>
      </c>
      <c r="U615" s="246" t="str">
        <f>IFERROR(__xludf.DUMMYFUNCTION("""COMPUTED_VALUE"""),"")</f>
        <v/>
      </c>
      <c r="V615" s="247" t="str">
        <f t="shared" si="6"/>
        <v/>
      </c>
      <c r="W615" s="255" t="str">
        <f>IFERROR(__xludf.DUMMYFUNCTION("""COMPUTED_VALUE"""),"")</f>
        <v/>
      </c>
      <c r="X615" s="249" t="str">
        <f>IFERROR(__xludf.DUMMYFUNCTION("""COMPUTED_VALUE"""),"")</f>
        <v/>
      </c>
      <c r="Y615" s="250" t="str">
        <f t="shared" si="7"/>
        <v/>
      </c>
    </row>
    <row r="616">
      <c r="A616" s="136" t="s">
        <v>133</v>
      </c>
      <c r="B616" s="136"/>
      <c r="C616" s="136" t="s">
        <v>133</v>
      </c>
      <c r="D616" s="136"/>
      <c r="E616" s="256" t="str">
        <f>IFERROR(__xludf.DUMMYFUNCTION("""COMPUTED_VALUE"""),"")</f>
        <v/>
      </c>
      <c r="F616" s="257" t="str">
        <f>IFERROR(__xludf.DUMMYFUNCTION("""COMPUTED_VALUE"""),"")</f>
        <v/>
      </c>
      <c r="G616" s="247" t="str">
        <f t="shared" si="1"/>
        <v/>
      </c>
      <c r="H616" s="258" t="str">
        <f>IFERROR(__xludf.DUMMYFUNCTION("""COMPUTED_VALUE"""),"")</f>
        <v/>
      </c>
      <c r="I616" s="259" t="str">
        <f>IFERROR(__xludf.DUMMYFUNCTION("""COMPUTED_VALUE"""),"")</f>
        <v/>
      </c>
      <c r="J616" s="250" t="str">
        <f t="shared" si="2"/>
        <v/>
      </c>
      <c r="K616" s="317" t="str">
        <f>IFERROR(__xludf.DUMMYFUNCTION("""COMPUTED_VALUE"""),"")</f>
        <v/>
      </c>
      <c r="L616" s="318" t="str">
        <f>IFERROR(__xludf.DUMMYFUNCTION("""COMPUTED_VALUE"""),"")</f>
        <v/>
      </c>
      <c r="M616" s="253" t="str">
        <f t="shared" si="3"/>
        <v/>
      </c>
      <c r="N616" s="319" t="str">
        <f>IFERROR(__xludf.DUMMYFUNCTION("""COMPUTED_VALUE"""),"")</f>
        <v/>
      </c>
      <c r="O616" s="257" t="str">
        <f>IFERROR(__xludf.DUMMYFUNCTION("""COMPUTED_VALUE"""),"")</f>
        <v/>
      </c>
      <c r="P616" s="247" t="str">
        <f t="shared" si="4"/>
        <v/>
      </c>
      <c r="Q616" s="320" t="str">
        <f>IFERROR(__xludf.DUMMYFUNCTION("""COMPUTED_VALUE"""),"")</f>
        <v/>
      </c>
      <c r="R616" s="259" t="str">
        <f>IFERROR(__xludf.DUMMYFUNCTION("""COMPUTED_VALUE"""),"")</f>
        <v/>
      </c>
      <c r="S616" s="250" t="str">
        <f t="shared" si="5"/>
        <v/>
      </c>
      <c r="T616" s="254" t="str">
        <f>IFERROR(__xludf.DUMMYFUNCTION("""COMPUTED_VALUE"""),"")</f>
        <v/>
      </c>
      <c r="U616" s="246" t="str">
        <f>IFERROR(__xludf.DUMMYFUNCTION("""COMPUTED_VALUE"""),"")</f>
        <v/>
      </c>
      <c r="V616" s="247" t="str">
        <f t="shared" si="6"/>
        <v/>
      </c>
      <c r="W616" s="255" t="str">
        <f>IFERROR(__xludf.DUMMYFUNCTION("""COMPUTED_VALUE"""),"")</f>
        <v/>
      </c>
      <c r="X616" s="249" t="str">
        <f>IFERROR(__xludf.DUMMYFUNCTION("""COMPUTED_VALUE"""),"")</f>
        <v/>
      </c>
      <c r="Y616" s="250" t="str">
        <f t="shared" si="7"/>
        <v/>
      </c>
    </row>
    <row r="617">
      <c r="A617" s="136" t="s">
        <v>133</v>
      </c>
      <c r="B617" s="136"/>
      <c r="C617" s="136" t="s">
        <v>133</v>
      </c>
      <c r="D617" s="136"/>
      <c r="E617" s="256" t="str">
        <f>IFERROR(__xludf.DUMMYFUNCTION("""COMPUTED_VALUE"""),"")</f>
        <v/>
      </c>
      <c r="F617" s="257" t="str">
        <f>IFERROR(__xludf.DUMMYFUNCTION("""COMPUTED_VALUE"""),"")</f>
        <v/>
      </c>
      <c r="G617" s="247" t="str">
        <f t="shared" si="1"/>
        <v/>
      </c>
      <c r="H617" s="258" t="str">
        <f>IFERROR(__xludf.DUMMYFUNCTION("""COMPUTED_VALUE"""),"")</f>
        <v/>
      </c>
      <c r="I617" s="259" t="str">
        <f>IFERROR(__xludf.DUMMYFUNCTION("""COMPUTED_VALUE"""),"")</f>
        <v/>
      </c>
      <c r="J617" s="250" t="str">
        <f t="shared" si="2"/>
        <v/>
      </c>
      <c r="K617" s="317" t="str">
        <f>IFERROR(__xludf.DUMMYFUNCTION("""COMPUTED_VALUE"""),"")</f>
        <v/>
      </c>
      <c r="L617" s="318" t="str">
        <f>IFERROR(__xludf.DUMMYFUNCTION("""COMPUTED_VALUE"""),"")</f>
        <v/>
      </c>
      <c r="M617" s="253" t="str">
        <f t="shared" si="3"/>
        <v/>
      </c>
      <c r="N617" s="319" t="str">
        <f>IFERROR(__xludf.DUMMYFUNCTION("""COMPUTED_VALUE"""),"")</f>
        <v/>
      </c>
      <c r="O617" s="257" t="str">
        <f>IFERROR(__xludf.DUMMYFUNCTION("""COMPUTED_VALUE"""),"")</f>
        <v/>
      </c>
      <c r="P617" s="247" t="str">
        <f t="shared" si="4"/>
        <v/>
      </c>
      <c r="Q617" s="320" t="str">
        <f>IFERROR(__xludf.DUMMYFUNCTION("""COMPUTED_VALUE"""),"")</f>
        <v/>
      </c>
      <c r="R617" s="259" t="str">
        <f>IFERROR(__xludf.DUMMYFUNCTION("""COMPUTED_VALUE"""),"")</f>
        <v/>
      </c>
      <c r="S617" s="250" t="str">
        <f t="shared" si="5"/>
        <v/>
      </c>
      <c r="T617" s="254" t="str">
        <f>IFERROR(__xludf.DUMMYFUNCTION("""COMPUTED_VALUE"""),"")</f>
        <v/>
      </c>
      <c r="U617" s="246" t="str">
        <f>IFERROR(__xludf.DUMMYFUNCTION("""COMPUTED_VALUE"""),"")</f>
        <v/>
      </c>
      <c r="V617" s="247" t="str">
        <f t="shared" si="6"/>
        <v/>
      </c>
      <c r="W617" s="255" t="str">
        <f>IFERROR(__xludf.DUMMYFUNCTION("""COMPUTED_VALUE"""),"")</f>
        <v/>
      </c>
      <c r="X617" s="249" t="str">
        <f>IFERROR(__xludf.DUMMYFUNCTION("""COMPUTED_VALUE"""),"")</f>
        <v/>
      </c>
      <c r="Y617" s="250" t="str">
        <f t="shared" si="7"/>
        <v/>
      </c>
    </row>
    <row r="618">
      <c r="A618" s="136" t="s">
        <v>133</v>
      </c>
      <c r="B618" s="136"/>
      <c r="C618" s="136" t="s">
        <v>133</v>
      </c>
      <c r="D618" s="136"/>
      <c r="E618" s="256" t="str">
        <f>IFERROR(__xludf.DUMMYFUNCTION("""COMPUTED_VALUE"""),"")</f>
        <v/>
      </c>
      <c r="F618" s="257" t="str">
        <f>IFERROR(__xludf.DUMMYFUNCTION("""COMPUTED_VALUE"""),"")</f>
        <v/>
      </c>
      <c r="G618" s="247" t="str">
        <f t="shared" si="1"/>
        <v/>
      </c>
      <c r="H618" s="258" t="str">
        <f>IFERROR(__xludf.DUMMYFUNCTION("""COMPUTED_VALUE"""),"")</f>
        <v/>
      </c>
      <c r="I618" s="259" t="str">
        <f>IFERROR(__xludf.DUMMYFUNCTION("""COMPUTED_VALUE"""),"")</f>
        <v/>
      </c>
      <c r="J618" s="250" t="str">
        <f t="shared" si="2"/>
        <v/>
      </c>
      <c r="K618" s="317" t="str">
        <f>IFERROR(__xludf.DUMMYFUNCTION("""COMPUTED_VALUE"""),"")</f>
        <v/>
      </c>
      <c r="L618" s="318" t="str">
        <f>IFERROR(__xludf.DUMMYFUNCTION("""COMPUTED_VALUE"""),"")</f>
        <v/>
      </c>
      <c r="M618" s="253" t="str">
        <f t="shared" si="3"/>
        <v/>
      </c>
      <c r="N618" s="319" t="str">
        <f>IFERROR(__xludf.DUMMYFUNCTION("""COMPUTED_VALUE"""),"")</f>
        <v/>
      </c>
      <c r="O618" s="257" t="str">
        <f>IFERROR(__xludf.DUMMYFUNCTION("""COMPUTED_VALUE"""),"")</f>
        <v/>
      </c>
      <c r="P618" s="247" t="str">
        <f t="shared" si="4"/>
        <v/>
      </c>
      <c r="Q618" s="320" t="str">
        <f>IFERROR(__xludf.DUMMYFUNCTION("""COMPUTED_VALUE"""),"")</f>
        <v/>
      </c>
      <c r="R618" s="259" t="str">
        <f>IFERROR(__xludf.DUMMYFUNCTION("""COMPUTED_VALUE"""),"")</f>
        <v/>
      </c>
      <c r="S618" s="250" t="str">
        <f t="shared" si="5"/>
        <v/>
      </c>
      <c r="T618" s="254" t="str">
        <f>IFERROR(__xludf.DUMMYFUNCTION("""COMPUTED_VALUE"""),"")</f>
        <v/>
      </c>
      <c r="U618" s="246" t="str">
        <f>IFERROR(__xludf.DUMMYFUNCTION("""COMPUTED_VALUE"""),"")</f>
        <v/>
      </c>
      <c r="V618" s="247" t="str">
        <f t="shared" si="6"/>
        <v/>
      </c>
      <c r="W618" s="255" t="str">
        <f>IFERROR(__xludf.DUMMYFUNCTION("""COMPUTED_VALUE"""),"")</f>
        <v/>
      </c>
      <c r="X618" s="249" t="str">
        <f>IFERROR(__xludf.DUMMYFUNCTION("""COMPUTED_VALUE"""),"")</f>
        <v/>
      </c>
      <c r="Y618" s="250" t="str">
        <f t="shared" si="7"/>
        <v/>
      </c>
    </row>
    <row r="619">
      <c r="A619" s="136" t="s">
        <v>133</v>
      </c>
      <c r="B619" s="136"/>
      <c r="C619" s="136" t="s">
        <v>133</v>
      </c>
      <c r="D619" s="136"/>
      <c r="E619" s="256" t="str">
        <f>IFERROR(__xludf.DUMMYFUNCTION("""COMPUTED_VALUE"""),"")</f>
        <v/>
      </c>
      <c r="F619" s="257" t="str">
        <f>IFERROR(__xludf.DUMMYFUNCTION("""COMPUTED_VALUE"""),"")</f>
        <v/>
      </c>
      <c r="G619" s="247" t="str">
        <f t="shared" si="1"/>
        <v/>
      </c>
      <c r="H619" s="258" t="str">
        <f>IFERROR(__xludf.DUMMYFUNCTION("""COMPUTED_VALUE"""),"")</f>
        <v/>
      </c>
      <c r="I619" s="259" t="str">
        <f>IFERROR(__xludf.DUMMYFUNCTION("""COMPUTED_VALUE"""),"")</f>
        <v/>
      </c>
      <c r="J619" s="250" t="str">
        <f t="shared" si="2"/>
        <v/>
      </c>
      <c r="K619" s="317" t="str">
        <f>IFERROR(__xludf.DUMMYFUNCTION("""COMPUTED_VALUE"""),"")</f>
        <v/>
      </c>
      <c r="L619" s="318" t="str">
        <f>IFERROR(__xludf.DUMMYFUNCTION("""COMPUTED_VALUE"""),"")</f>
        <v/>
      </c>
      <c r="M619" s="253" t="str">
        <f t="shared" si="3"/>
        <v/>
      </c>
      <c r="N619" s="319" t="str">
        <f>IFERROR(__xludf.DUMMYFUNCTION("""COMPUTED_VALUE"""),"")</f>
        <v/>
      </c>
      <c r="O619" s="257" t="str">
        <f>IFERROR(__xludf.DUMMYFUNCTION("""COMPUTED_VALUE"""),"")</f>
        <v/>
      </c>
      <c r="P619" s="247" t="str">
        <f t="shared" si="4"/>
        <v/>
      </c>
      <c r="Q619" s="320" t="str">
        <f>IFERROR(__xludf.DUMMYFUNCTION("""COMPUTED_VALUE"""),"")</f>
        <v/>
      </c>
      <c r="R619" s="259" t="str">
        <f>IFERROR(__xludf.DUMMYFUNCTION("""COMPUTED_VALUE"""),"")</f>
        <v/>
      </c>
      <c r="S619" s="250" t="str">
        <f t="shared" si="5"/>
        <v/>
      </c>
      <c r="T619" s="254" t="str">
        <f>IFERROR(__xludf.DUMMYFUNCTION("""COMPUTED_VALUE"""),"")</f>
        <v/>
      </c>
      <c r="U619" s="246" t="str">
        <f>IFERROR(__xludf.DUMMYFUNCTION("""COMPUTED_VALUE"""),"")</f>
        <v/>
      </c>
      <c r="V619" s="247" t="str">
        <f t="shared" si="6"/>
        <v/>
      </c>
      <c r="W619" s="255" t="str">
        <f>IFERROR(__xludf.DUMMYFUNCTION("""COMPUTED_VALUE"""),"")</f>
        <v/>
      </c>
      <c r="X619" s="249" t="str">
        <f>IFERROR(__xludf.DUMMYFUNCTION("""COMPUTED_VALUE"""),"")</f>
        <v/>
      </c>
      <c r="Y619" s="250" t="str">
        <f t="shared" si="7"/>
        <v/>
      </c>
    </row>
    <row r="620">
      <c r="A620" s="136" t="s">
        <v>133</v>
      </c>
      <c r="B620" s="136"/>
      <c r="C620" s="136" t="s">
        <v>133</v>
      </c>
      <c r="D620" s="136"/>
      <c r="E620" s="256" t="str">
        <f>IFERROR(__xludf.DUMMYFUNCTION("""COMPUTED_VALUE"""),"")</f>
        <v/>
      </c>
      <c r="F620" s="257" t="str">
        <f>IFERROR(__xludf.DUMMYFUNCTION("""COMPUTED_VALUE"""),"")</f>
        <v/>
      </c>
      <c r="G620" s="247" t="str">
        <f t="shared" si="1"/>
        <v/>
      </c>
      <c r="H620" s="258" t="str">
        <f>IFERROR(__xludf.DUMMYFUNCTION("""COMPUTED_VALUE"""),"")</f>
        <v/>
      </c>
      <c r="I620" s="259" t="str">
        <f>IFERROR(__xludf.DUMMYFUNCTION("""COMPUTED_VALUE"""),"")</f>
        <v/>
      </c>
      <c r="J620" s="250" t="str">
        <f t="shared" si="2"/>
        <v/>
      </c>
      <c r="K620" s="317" t="str">
        <f>IFERROR(__xludf.DUMMYFUNCTION("""COMPUTED_VALUE"""),"")</f>
        <v/>
      </c>
      <c r="L620" s="318" t="str">
        <f>IFERROR(__xludf.DUMMYFUNCTION("""COMPUTED_VALUE"""),"")</f>
        <v/>
      </c>
      <c r="M620" s="253" t="str">
        <f t="shared" si="3"/>
        <v/>
      </c>
      <c r="N620" s="319" t="str">
        <f>IFERROR(__xludf.DUMMYFUNCTION("""COMPUTED_VALUE"""),"")</f>
        <v/>
      </c>
      <c r="O620" s="257" t="str">
        <f>IFERROR(__xludf.DUMMYFUNCTION("""COMPUTED_VALUE"""),"")</f>
        <v/>
      </c>
      <c r="P620" s="247" t="str">
        <f t="shared" si="4"/>
        <v/>
      </c>
      <c r="Q620" s="320" t="str">
        <f>IFERROR(__xludf.DUMMYFUNCTION("""COMPUTED_VALUE"""),"")</f>
        <v/>
      </c>
      <c r="R620" s="259" t="str">
        <f>IFERROR(__xludf.DUMMYFUNCTION("""COMPUTED_VALUE"""),"")</f>
        <v/>
      </c>
      <c r="S620" s="250" t="str">
        <f t="shared" si="5"/>
        <v/>
      </c>
      <c r="T620" s="254" t="str">
        <f>IFERROR(__xludf.DUMMYFUNCTION("""COMPUTED_VALUE"""),"")</f>
        <v/>
      </c>
      <c r="U620" s="246" t="str">
        <f>IFERROR(__xludf.DUMMYFUNCTION("""COMPUTED_VALUE"""),"")</f>
        <v/>
      </c>
      <c r="V620" s="247" t="str">
        <f t="shared" si="6"/>
        <v/>
      </c>
      <c r="W620" s="255" t="str">
        <f>IFERROR(__xludf.DUMMYFUNCTION("""COMPUTED_VALUE"""),"")</f>
        <v/>
      </c>
      <c r="X620" s="249" t="str">
        <f>IFERROR(__xludf.DUMMYFUNCTION("""COMPUTED_VALUE"""),"")</f>
        <v/>
      </c>
      <c r="Y620" s="250" t="str">
        <f t="shared" si="7"/>
        <v/>
      </c>
    </row>
    <row r="621">
      <c r="A621" s="136" t="s">
        <v>133</v>
      </c>
      <c r="B621" s="136"/>
      <c r="C621" s="136" t="s">
        <v>133</v>
      </c>
      <c r="D621" s="136"/>
      <c r="E621" s="256" t="str">
        <f>IFERROR(__xludf.DUMMYFUNCTION("""COMPUTED_VALUE"""),"")</f>
        <v/>
      </c>
      <c r="F621" s="257" t="str">
        <f>IFERROR(__xludf.DUMMYFUNCTION("""COMPUTED_VALUE"""),"")</f>
        <v/>
      </c>
      <c r="G621" s="247" t="str">
        <f t="shared" si="1"/>
        <v/>
      </c>
      <c r="H621" s="258" t="str">
        <f>IFERROR(__xludf.DUMMYFUNCTION("""COMPUTED_VALUE"""),"")</f>
        <v/>
      </c>
      <c r="I621" s="259" t="str">
        <f>IFERROR(__xludf.DUMMYFUNCTION("""COMPUTED_VALUE"""),"")</f>
        <v/>
      </c>
      <c r="J621" s="250" t="str">
        <f t="shared" si="2"/>
        <v/>
      </c>
      <c r="K621" s="317" t="str">
        <f>IFERROR(__xludf.DUMMYFUNCTION("""COMPUTED_VALUE"""),"")</f>
        <v/>
      </c>
      <c r="L621" s="318" t="str">
        <f>IFERROR(__xludf.DUMMYFUNCTION("""COMPUTED_VALUE"""),"")</f>
        <v/>
      </c>
      <c r="M621" s="253" t="str">
        <f t="shared" si="3"/>
        <v/>
      </c>
      <c r="N621" s="319" t="str">
        <f>IFERROR(__xludf.DUMMYFUNCTION("""COMPUTED_VALUE"""),"")</f>
        <v/>
      </c>
      <c r="O621" s="257" t="str">
        <f>IFERROR(__xludf.DUMMYFUNCTION("""COMPUTED_VALUE"""),"")</f>
        <v/>
      </c>
      <c r="P621" s="247" t="str">
        <f t="shared" si="4"/>
        <v/>
      </c>
      <c r="Q621" s="320" t="str">
        <f>IFERROR(__xludf.DUMMYFUNCTION("""COMPUTED_VALUE"""),"")</f>
        <v/>
      </c>
      <c r="R621" s="259" t="str">
        <f>IFERROR(__xludf.DUMMYFUNCTION("""COMPUTED_VALUE"""),"")</f>
        <v/>
      </c>
      <c r="S621" s="250" t="str">
        <f t="shared" si="5"/>
        <v/>
      </c>
      <c r="T621" s="254" t="str">
        <f>IFERROR(__xludf.DUMMYFUNCTION("""COMPUTED_VALUE"""),"")</f>
        <v/>
      </c>
      <c r="U621" s="246" t="str">
        <f>IFERROR(__xludf.DUMMYFUNCTION("""COMPUTED_VALUE"""),"")</f>
        <v/>
      </c>
      <c r="V621" s="247" t="str">
        <f t="shared" si="6"/>
        <v/>
      </c>
      <c r="W621" s="255" t="str">
        <f>IFERROR(__xludf.DUMMYFUNCTION("""COMPUTED_VALUE"""),"")</f>
        <v/>
      </c>
      <c r="X621" s="249" t="str">
        <f>IFERROR(__xludf.DUMMYFUNCTION("""COMPUTED_VALUE"""),"")</f>
        <v/>
      </c>
      <c r="Y621" s="250" t="str">
        <f t="shared" si="7"/>
        <v/>
      </c>
    </row>
    <row r="622">
      <c r="A622" s="136" t="s">
        <v>133</v>
      </c>
      <c r="B622" s="136"/>
      <c r="C622" s="136" t="s">
        <v>133</v>
      </c>
      <c r="D622" s="136"/>
      <c r="E622" s="256" t="str">
        <f>IFERROR(__xludf.DUMMYFUNCTION("""COMPUTED_VALUE"""),"")</f>
        <v/>
      </c>
      <c r="F622" s="257" t="str">
        <f>IFERROR(__xludf.DUMMYFUNCTION("""COMPUTED_VALUE"""),"")</f>
        <v/>
      </c>
      <c r="G622" s="247" t="str">
        <f t="shared" si="1"/>
        <v/>
      </c>
      <c r="H622" s="258" t="str">
        <f>IFERROR(__xludf.DUMMYFUNCTION("""COMPUTED_VALUE"""),"")</f>
        <v/>
      </c>
      <c r="I622" s="259" t="str">
        <f>IFERROR(__xludf.DUMMYFUNCTION("""COMPUTED_VALUE"""),"")</f>
        <v/>
      </c>
      <c r="J622" s="250" t="str">
        <f t="shared" si="2"/>
        <v/>
      </c>
      <c r="K622" s="317" t="str">
        <f>IFERROR(__xludf.DUMMYFUNCTION("""COMPUTED_VALUE"""),"")</f>
        <v/>
      </c>
      <c r="L622" s="318" t="str">
        <f>IFERROR(__xludf.DUMMYFUNCTION("""COMPUTED_VALUE"""),"")</f>
        <v/>
      </c>
      <c r="M622" s="253" t="str">
        <f t="shared" si="3"/>
        <v/>
      </c>
      <c r="N622" s="319" t="str">
        <f>IFERROR(__xludf.DUMMYFUNCTION("""COMPUTED_VALUE"""),"")</f>
        <v/>
      </c>
      <c r="O622" s="257" t="str">
        <f>IFERROR(__xludf.DUMMYFUNCTION("""COMPUTED_VALUE"""),"")</f>
        <v/>
      </c>
      <c r="P622" s="247" t="str">
        <f t="shared" si="4"/>
        <v/>
      </c>
      <c r="Q622" s="320" t="str">
        <f>IFERROR(__xludf.DUMMYFUNCTION("""COMPUTED_VALUE"""),"")</f>
        <v/>
      </c>
      <c r="R622" s="259" t="str">
        <f>IFERROR(__xludf.DUMMYFUNCTION("""COMPUTED_VALUE"""),"")</f>
        <v/>
      </c>
      <c r="S622" s="250" t="str">
        <f t="shared" si="5"/>
        <v/>
      </c>
      <c r="T622" s="254" t="str">
        <f>IFERROR(__xludf.DUMMYFUNCTION("""COMPUTED_VALUE"""),"")</f>
        <v/>
      </c>
      <c r="U622" s="246" t="str">
        <f>IFERROR(__xludf.DUMMYFUNCTION("""COMPUTED_VALUE"""),"")</f>
        <v/>
      </c>
      <c r="V622" s="247" t="str">
        <f t="shared" si="6"/>
        <v/>
      </c>
      <c r="W622" s="255" t="str">
        <f>IFERROR(__xludf.DUMMYFUNCTION("""COMPUTED_VALUE"""),"")</f>
        <v/>
      </c>
      <c r="X622" s="249" t="str">
        <f>IFERROR(__xludf.DUMMYFUNCTION("""COMPUTED_VALUE"""),"")</f>
        <v/>
      </c>
      <c r="Y622" s="250" t="str">
        <f t="shared" si="7"/>
        <v/>
      </c>
    </row>
    <row r="623">
      <c r="A623" s="136" t="s">
        <v>133</v>
      </c>
      <c r="B623" s="136"/>
      <c r="C623" s="136" t="s">
        <v>133</v>
      </c>
      <c r="D623" s="136"/>
      <c r="E623" s="256" t="str">
        <f>IFERROR(__xludf.DUMMYFUNCTION("""COMPUTED_VALUE"""),"")</f>
        <v/>
      </c>
      <c r="F623" s="257" t="str">
        <f>IFERROR(__xludf.DUMMYFUNCTION("""COMPUTED_VALUE"""),"")</f>
        <v/>
      </c>
      <c r="G623" s="247" t="str">
        <f t="shared" si="1"/>
        <v/>
      </c>
      <c r="H623" s="258" t="str">
        <f>IFERROR(__xludf.DUMMYFUNCTION("""COMPUTED_VALUE"""),"")</f>
        <v/>
      </c>
      <c r="I623" s="259" t="str">
        <f>IFERROR(__xludf.DUMMYFUNCTION("""COMPUTED_VALUE"""),"")</f>
        <v/>
      </c>
      <c r="J623" s="250" t="str">
        <f t="shared" si="2"/>
        <v/>
      </c>
      <c r="K623" s="317" t="str">
        <f>IFERROR(__xludf.DUMMYFUNCTION("""COMPUTED_VALUE"""),"")</f>
        <v/>
      </c>
      <c r="L623" s="318" t="str">
        <f>IFERROR(__xludf.DUMMYFUNCTION("""COMPUTED_VALUE"""),"")</f>
        <v/>
      </c>
      <c r="M623" s="253" t="str">
        <f t="shared" si="3"/>
        <v/>
      </c>
      <c r="N623" s="319" t="str">
        <f>IFERROR(__xludf.DUMMYFUNCTION("""COMPUTED_VALUE"""),"")</f>
        <v/>
      </c>
      <c r="O623" s="257" t="str">
        <f>IFERROR(__xludf.DUMMYFUNCTION("""COMPUTED_VALUE"""),"")</f>
        <v/>
      </c>
      <c r="P623" s="247" t="str">
        <f t="shared" si="4"/>
        <v/>
      </c>
      <c r="Q623" s="320" t="str">
        <f>IFERROR(__xludf.DUMMYFUNCTION("""COMPUTED_VALUE"""),"")</f>
        <v/>
      </c>
      <c r="R623" s="259" t="str">
        <f>IFERROR(__xludf.DUMMYFUNCTION("""COMPUTED_VALUE"""),"")</f>
        <v/>
      </c>
      <c r="S623" s="250" t="str">
        <f t="shared" si="5"/>
        <v/>
      </c>
      <c r="T623" s="254" t="str">
        <f>IFERROR(__xludf.DUMMYFUNCTION("""COMPUTED_VALUE"""),"")</f>
        <v/>
      </c>
      <c r="U623" s="246" t="str">
        <f>IFERROR(__xludf.DUMMYFUNCTION("""COMPUTED_VALUE"""),"")</f>
        <v/>
      </c>
      <c r="V623" s="247" t="str">
        <f t="shared" si="6"/>
        <v/>
      </c>
      <c r="W623" s="255" t="str">
        <f>IFERROR(__xludf.DUMMYFUNCTION("""COMPUTED_VALUE"""),"")</f>
        <v/>
      </c>
      <c r="X623" s="249" t="str">
        <f>IFERROR(__xludf.DUMMYFUNCTION("""COMPUTED_VALUE"""),"")</f>
        <v/>
      </c>
      <c r="Y623" s="250" t="str">
        <f t="shared" si="7"/>
        <v/>
      </c>
    </row>
    <row r="624">
      <c r="A624" s="136" t="s">
        <v>133</v>
      </c>
      <c r="B624" s="136"/>
      <c r="C624" s="136" t="s">
        <v>133</v>
      </c>
      <c r="D624" s="136"/>
      <c r="E624" s="256" t="str">
        <f>IFERROR(__xludf.DUMMYFUNCTION("""COMPUTED_VALUE"""),"")</f>
        <v/>
      </c>
      <c r="F624" s="257" t="str">
        <f>IFERROR(__xludf.DUMMYFUNCTION("""COMPUTED_VALUE"""),"")</f>
        <v/>
      </c>
      <c r="G624" s="247" t="str">
        <f t="shared" si="1"/>
        <v/>
      </c>
      <c r="H624" s="258" t="str">
        <f>IFERROR(__xludf.DUMMYFUNCTION("""COMPUTED_VALUE"""),"")</f>
        <v/>
      </c>
      <c r="I624" s="259" t="str">
        <f>IFERROR(__xludf.DUMMYFUNCTION("""COMPUTED_VALUE"""),"")</f>
        <v/>
      </c>
      <c r="J624" s="250" t="str">
        <f t="shared" si="2"/>
        <v/>
      </c>
      <c r="K624" s="317" t="str">
        <f>IFERROR(__xludf.DUMMYFUNCTION("""COMPUTED_VALUE"""),"")</f>
        <v/>
      </c>
      <c r="L624" s="318" t="str">
        <f>IFERROR(__xludf.DUMMYFUNCTION("""COMPUTED_VALUE"""),"")</f>
        <v/>
      </c>
      <c r="M624" s="253" t="str">
        <f t="shared" si="3"/>
        <v/>
      </c>
      <c r="N624" s="319" t="str">
        <f>IFERROR(__xludf.DUMMYFUNCTION("""COMPUTED_VALUE"""),"")</f>
        <v/>
      </c>
      <c r="O624" s="257" t="str">
        <f>IFERROR(__xludf.DUMMYFUNCTION("""COMPUTED_VALUE"""),"")</f>
        <v/>
      </c>
      <c r="P624" s="247" t="str">
        <f t="shared" si="4"/>
        <v/>
      </c>
      <c r="Q624" s="320" t="str">
        <f>IFERROR(__xludf.DUMMYFUNCTION("""COMPUTED_VALUE"""),"")</f>
        <v/>
      </c>
      <c r="R624" s="259" t="str">
        <f>IFERROR(__xludf.DUMMYFUNCTION("""COMPUTED_VALUE"""),"")</f>
        <v/>
      </c>
      <c r="S624" s="250" t="str">
        <f t="shared" si="5"/>
        <v/>
      </c>
      <c r="T624" s="254" t="str">
        <f>IFERROR(__xludf.DUMMYFUNCTION("""COMPUTED_VALUE"""),"")</f>
        <v/>
      </c>
      <c r="U624" s="246" t="str">
        <f>IFERROR(__xludf.DUMMYFUNCTION("""COMPUTED_VALUE"""),"")</f>
        <v/>
      </c>
      <c r="V624" s="247" t="str">
        <f t="shared" si="6"/>
        <v/>
      </c>
      <c r="W624" s="255" t="str">
        <f>IFERROR(__xludf.DUMMYFUNCTION("""COMPUTED_VALUE"""),"")</f>
        <v/>
      </c>
      <c r="X624" s="249" t="str">
        <f>IFERROR(__xludf.DUMMYFUNCTION("""COMPUTED_VALUE"""),"")</f>
        <v/>
      </c>
      <c r="Y624" s="250" t="str">
        <f t="shared" si="7"/>
        <v/>
      </c>
    </row>
    <row r="625">
      <c r="A625" s="136" t="s">
        <v>133</v>
      </c>
      <c r="B625" s="136"/>
      <c r="C625" s="136" t="s">
        <v>133</v>
      </c>
      <c r="D625" s="136"/>
      <c r="E625" s="256" t="str">
        <f>IFERROR(__xludf.DUMMYFUNCTION("""COMPUTED_VALUE"""),"")</f>
        <v/>
      </c>
      <c r="F625" s="257" t="str">
        <f>IFERROR(__xludf.DUMMYFUNCTION("""COMPUTED_VALUE"""),"")</f>
        <v/>
      </c>
      <c r="G625" s="247" t="str">
        <f t="shared" si="1"/>
        <v/>
      </c>
      <c r="H625" s="258" t="str">
        <f>IFERROR(__xludf.DUMMYFUNCTION("""COMPUTED_VALUE"""),"")</f>
        <v/>
      </c>
      <c r="I625" s="259" t="str">
        <f>IFERROR(__xludf.DUMMYFUNCTION("""COMPUTED_VALUE"""),"")</f>
        <v/>
      </c>
      <c r="J625" s="250" t="str">
        <f t="shared" si="2"/>
        <v/>
      </c>
      <c r="K625" s="317" t="str">
        <f>IFERROR(__xludf.DUMMYFUNCTION("""COMPUTED_VALUE"""),"")</f>
        <v/>
      </c>
      <c r="L625" s="318" t="str">
        <f>IFERROR(__xludf.DUMMYFUNCTION("""COMPUTED_VALUE"""),"")</f>
        <v/>
      </c>
      <c r="M625" s="253" t="str">
        <f t="shared" si="3"/>
        <v/>
      </c>
      <c r="N625" s="319" t="str">
        <f>IFERROR(__xludf.DUMMYFUNCTION("""COMPUTED_VALUE"""),"")</f>
        <v/>
      </c>
      <c r="O625" s="257" t="str">
        <f>IFERROR(__xludf.DUMMYFUNCTION("""COMPUTED_VALUE"""),"")</f>
        <v/>
      </c>
      <c r="P625" s="247" t="str">
        <f t="shared" si="4"/>
        <v/>
      </c>
      <c r="Q625" s="320" t="str">
        <f>IFERROR(__xludf.DUMMYFUNCTION("""COMPUTED_VALUE"""),"")</f>
        <v/>
      </c>
      <c r="R625" s="259" t="str">
        <f>IFERROR(__xludf.DUMMYFUNCTION("""COMPUTED_VALUE"""),"")</f>
        <v/>
      </c>
      <c r="S625" s="250" t="str">
        <f t="shared" si="5"/>
        <v/>
      </c>
      <c r="T625" s="254" t="str">
        <f>IFERROR(__xludf.DUMMYFUNCTION("""COMPUTED_VALUE"""),"")</f>
        <v/>
      </c>
      <c r="U625" s="246" t="str">
        <f>IFERROR(__xludf.DUMMYFUNCTION("""COMPUTED_VALUE"""),"")</f>
        <v/>
      </c>
      <c r="V625" s="247" t="str">
        <f t="shared" si="6"/>
        <v/>
      </c>
      <c r="W625" s="255" t="str">
        <f>IFERROR(__xludf.DUMMYFUNCTION("""COMPUTED_VALUE"""),"")</f>
        <v/>
      </c>
      <c r="X625" s="249" t="str">
        <f>IFERROR(__xludf.DUMMYFUNCTION("""COMPUTED_VALUE"""),"")</f>
        <v/>
      </c>
      <c r="Y625" s="250" t="str">
        <f t="shared" si="7"/>
        <v/>
      </c>
    </row>
    <row r="626">
      <c r="A626" s="136" t="s">
        <v>133</v>
      </c>
      <c r="B626" s="136"/>
      <c r="C626" s="136" t="s">
        <v>133</v>
      </c>
      <c r="D626" s="136"/>
      <c r="E626" s="256" t="str">
        <f>IFERROR(__xludf.DUMMYFUNCTION("""COMPUTED_VALUE"""),"")</f>
        <v/>
      </c>
      <c r="F626" s="257" t="str">
        <f>IFERROR(__xludf.DUMMYFUNCTION("""COMPUTED_VALUE"""),"")</f>
        <v/>
      </c>
      <c r="G626" s="247" t="str">
        <f t="shared" si="1"/>
        <v/>
      </c>
      <c r="H626" s="258" t="str">
        <f>IFERROR(__xludf.DUMMYFUNCTION("""COMPUTED_VALUE"""),"")</f>
        <v/>
      </c>
      <c r="I626" s="259" t="str">
        <f>IFERROR(__xludf.DUMMYFUNCTION("""COMPUTED_VALUE"""),"")</f>
        <v/>
      </c>
      <c r="J626" s="250" t="str">
        <f t="shared" si="2"/>
        <v/>
      </c>
      <c r="K626" s="317" t="str">
        <f>IFERROR(__xludf.DUMMYFUNCTION("""COMPUTED_VALUE"""),"")</f>
        <v/>
      </c>
      <c r="L626" s="318" t="str">
        <f>IFERROR(__xludf.DUMMYFUNCTION("""COMPUTED_VALUE"""),"")</f>
        <v/>
      </c>
      <c r="M626" s="253" t="str">
        <f t="shared" si="3"/>
        <v/>
      </c>
      <c r="N626" s="319" t="str">
        <f>IFERROR(__xludf.DUMMYFUNCTION("""COMPUTED_VALUE"""),"")</f>
        <v/>
      </c>
      <c r="O626" s="257" t="str">
        <f>IFERROR(__xludf.DUMMYFUNCTION("""COMPUTED_VALUE"""),"")</f>
        <v/>
      </c>
      <c r="P626" s="247" t="str">
        <f t="shared" si="4"/>
        <v/>
      </c>
      <c r="Q626" s="320" t="str">
        <f>IFERROR(__xludf.DUMMYFUNCTION("""COMPUTED_VALUE"""),"")</f>
        <v/>
      </c>
      <c r="R626" s="259" t="str">
        <f>IFERROR(__xludf.DUMMYFUNCTION("""COMPUTED_VALUE"""),"")</f>
        <v/>
      </c>
      <c r="S626" s="250" t="str">
        <f t="shared" si="5"/>
        <v/>
      </c>
      <c r="T626" s="254" t="str">
        <f>IFERROR(__xludf.DUMMYFUNCTION("""COMPUTED_VALUE"""),"")</f>
        <v/>
      </c>
      <c r="U626" s="246" t="str">
        <f>IFERROR(__xludf.DUMMYFUNCTION("""COMPUTED_VALUE"""),"")</f>
        <v/>
      </c>
      <c r="V626" s="247" t="str">
        <f t="shared" si="6"/>
        <v/>
      </c>
      <c r="W626" s="255" t="str">
        <f>IFERROR(__xludf.DUMMYFUNCTION("""COMPUTED_VALUE"""),"")</f>
        <v/>
      </c>
      <c r="X626" s="249" t="str">
        <f>IFERROR(__xludf.DUMMYFUNCTION("""COMPUTED_VALUE"""),"")</f>
        <v/>
      </c>
      <c r="Y626" s="250" t="str">
        <f t="shared" si="7"/>
        <v/>
      </c>
    </row>
    <row r="627">
      <c r="A627" s="136" t="s">
        <v>133</v>
      </c>
      <c r="B627" s="136"/>
      <c r="C627" s="136" t="s">
        <v>133</v>
      </c>
      <c r="D627" s="136"/>
      <c r="E627" s="256" t="str">
        <f>IFERROR(__xludf.DUMMYFUNCTION("""COMPUTED_VALUE"""),"")</f>
        <v/>
      </c>
      <c r="F627" s="257" t="str">
        <f>IFERROR(__xludf.DUMMYFUNCTION("""COMPUTED_VALUE"""),"")</f>
        <v/>
      </c>
      <c r="G627" s="247" t="str">
        <f t="shared" si="1"/>
        <v/>
      </c>
      <c r="H627" s="258" t="str">
        <f>IFERROR(__xludf.DUMMYFUNCTION("""COMPUTED_VALUE"""),"")</f>
        <v/>
      </c>
      <c r="I627" s="259" t="str">
        <f>IFERROR(__xludf.DUMMYFUNCTION("""COMPUTED_VALUE"""),"")</f>
        <v/>
      </c>
      <c r="J627" s="250" t="str">
        <f t="shared" si="2"/>
        <v/>
      </c>
      <c r="K627" s="317" t="str">
        <f>IFERROR(__xludf.DUMMYFUNCTION("""COMPUTED_VALUE"""),"")</f>
        <v/>
      </c>
      <c r="L627" s="318" t="str">
        <f>IFERROR(__xludf.DUMMYFUNCTION("""COMPUTED_VALUE"""),"")</f>
        <v/>
      </c>
      <c r="M627" s="253" t="str">
        <f t="shared" si="3"/>
        <v/>
      </c>
      <c r="N627" s="319" t="str">
        <f>IFERROR(__xludf.DUMMYFUNCTION("""COMPUTED_VALUE"""),"")</f>
        <v/>
      </c>
      <c r="O627" s="257" t="str">
        <f>IFERROR(__xludf.DUMMYFUNCTION("""COMPUTED_VALUE"""),"")</f>
        <v/>
      </c>
      <c r="P627" s="247" t="str">
        <f t="shared" si="4"/>
        <v/>
      </c>
      <c r="Q627" s="320" t="str">
        <f>IFERROR(__xludf.DUMMYFUNCTION("""COMPUTED_VALUE"""),"")</f>
        <v/>
      </c>
      <c r="R627" s="259" t="str">
        <f>IFERROR(__xludf.DUMMYFUNCTION("""COMPUTED_VALUE"""),"")</f>
        <v/>
      </c>
      <c r="S627" s="250" t="str">
        <f t="shared" si="5"/>
        <v/>
      </c>
      <c r="T627" s="254" t="str">
        <f>IFERROR(__xludf.DUMMYFUNCTION("""COMPUTED_VALUE"""),"")</f>
        <v/>
      </c>
      <c r="U627" s="246" t="str">
        <f>IFERROR(__xludf.DUMMYFUNCTION("""COMPUTED_VALUE"""),"")</f>
        <v/>
      </c>
      <c r="V627" s="247" t="str">
        <f t="shared" si="6"/>
        <v/>
      </c>
      <c r="W627" s="255" t="str">
        <f>IFERROR(__xludf.DUMMYFUNCTION("""COMPUTED_VALUE"""),"")</f>
        <v/>
      </c>
      <c r="X627" s="249" t="str">
        <f>IFERROR(__xludf.DUMMYFUNCTION("""COMPUTED_VALUE"""),"")</f>
        <v/>
      </c>
      <c r="Y627" s="250" t="str">
        <f t="shared" si="7"/>
        <v/>
      </c>
    </row>
    <row r="628">
      <c r="A628" s="136" t="s">
        <v>133</v>
      </c>
      <c r="B628" s="136"/>
      <c r="C628" s="136" t="s">
        <v>133</v>
      </c>
      <c r="D628" s="136"/>
      <c r="E628" s="256" t="str">
        <f>IFERROR(__xludf.DUMMYFUNCTION("""COMPUTED_VALUE"""),"")</f>
        <v/>
      </c>
      <c r="F628" s="257" t="str">
        <f>IFERROR(__xludf.DUMMYFUNCTION("""COMPUTED_VALUE"""),"")</f>
        <v/>
      </c>
      <c r="G628" s="247" t="str">
        <f t="shared" si="1"/>
        <v/>
      </c>
      <c r="H628" s="258" t="str">
        <f>IFERROR(__xludf.DUMMYFUNCTION("""COMPUTED_VALUE"""),"")</f>
        <v/>
      </c>
      <c r="I628" s="259" t="str">
        <f>IFERROR(__xludf.DUMMYFUNCTION("""COMPUTED_VALUE"""),"")</f>
        <v/>
      </c>
      <c r="J628" s="250" t="str">
        <f t="shared" si="2"/>
        <v/>
      </c>
      <c r="K628" s="317" t="str">
        <f>IFERROR(__xludf.DUMMYFUNCTION("""COMPUTED_VALUE"""),"")</f>
        <v/>
      </c>
      <c r="L628" s="318" t="str">
        <f>IFERROR(__xludf.DUMMYFUNCTION("""COMPUTED_VALUE"""),"")</f>
        <v/>
      </c>
      <c r="M628" s="253" t="str">
        <f t="shared" si="3"/>
        <v/>
      </c>
      <c r="N628" s="319" t="str">
        <f>IFERROR(__xludf.DUMMYFUNCTION("""COMPUTED_VALUE"""),"")</f>
        <v/>
      </c>
      <c r="O628" s="257" t="str">
        <f>IFERROR(__xludf.DUMMYFUNCTION("""COMPUTED_VALUE"""),"")</f>
        <v/>
      </c>
      <c r="P628" s="247" t="str">
        <f t="shared" si="4"/>
        <v/>
      </c>
      <c r="Q628" s="320" t="str">
        <f>IFERROR(__xludf.DUMMYFUNCTION("""COMPUTED_VALUE"""),"")</f>
        <v/>
      </c>
      <c r="R628" s="259" t="str">
        <f>IFERROR(__xludf.DUMMYFUNCTION("""COMPUTED_VALUE"""),"")</f>
        <v/>
      </c>
      <c r="S628" s="250" t="str">
        <f t="shared" si="5"/>
        <v/>
      </c>
      <c r="T628" s="254" t="str">
        <f>IFERROR(__xludf.DUMMYFUNCTION("""COMPUTED_VALUE"""),"")</f>
        <v/>
      </c>
      <c r="U628" s="246" t="str">
        <f>IFERROR(__xludf.DUMMYFUNCTION("""COMPUTED_VALUE"""),"")</f>
        <v/>
      </c>
      <c r="V628" s="247" t="str">
        <f t="shared" si="6"/>
        <v/>
      </c>
      <c r="W628" s="255" t="str">
        <f>IFERROR(__xludf.DUMMYFUNCTION("""COMPUTED_VALUE"""),"")</f>
        <v/>
      </c>
      <c r="X628" s="249" t="str">
        <f>IFERROR(__xludf.DUMMYFUNCTION("""COMPUTED_VALUE"""),"")</f>
        <v/>
      </c>
      <c r="Y628" s="250" t="str">
        <f t="shared" si="7"/>
        <v/>
      </c>
    </row>
    <row r="629">
      <c r="A629" s="136" t="s">
        <v>133</v>
      </c>
      <c r="B629" s="136"/>
      <c r="C629" s="136" t="s">
        <v>133</v>
      </c>
      <c r="D629" s="136"/>
      <c r="E629" s="256" t="str">
        <f>IFERROR(__xludf.DUMMYFUNCTION("""COMPUTED_VALUE"""),"")</f>
        <v/>
      </c>
      <c r="F629" s="257" t="str">
        <f>IFERROR(__xludf.DUMMYFUNCTION("""COMPUTED_VALUE"""),"")</f>
        <v/>
      </c>
      <c r="G629" s="247" t="str">
        <f t="shared" si="1"/>
        <v/>
      </c>
      <c r="H629" s="258" t="str">
        <f>IFERROR(__xludf.DUMMYFUNCTION("""COMPUTED_VALUE"""),"")</f>
        <v/>
      </c>
      <c r="I629" s="259" t="str">
        <f>IFERROR(__xludf.DUMMYFUNCTION("""COMPUTED_VALUE"""),"")</f>
        <v/>
      </c>
      <c r="J629" s="250" t="str">
        <f t="shared" si="2"/>
        <v/>
      </c>
      <c r="K629" s="317" t="str">
        <f>IFERROR(__xludf.DUMMYFUNCTION("""COMPUTED_VALUE"""),"")</f>
        <v/>
      </c>
      <c r="L629" s="318" t="str">
        <f>IFERROR(__xludf.DUMMYFUNCTION("""COMPUTED_VALUE"""),"")</f>
        <v/>
      </c>
      <c r="M629" s="253" t="str">
        <f t="shared" si="3"/>
        <v/>
      </c>
      <c r="N629" s="319" t="str">
        <f>IFERROR(__xludf.DUMMYFUNCTION("""COMPUTED_VALUE"""),"")</f>
        <v/>
      </c>
      <c r="O629" s="257" t="str">
        <f>IFERROR(__xludf.DUMMYFUNCTION("""COMPUTED_VALUE"""),"")</f>
        <v/>
      </c>
      <c r="P629" s="247" t="str">
        <f t="shared" si="4"/>
        <v/>
      </c>
      <c r="Q629" s="320" t="str">
        <f>IFERROR(__xludf.DUMMYFUNCTION("""COMPUTED_VALUE"""),"")</f>
        <v/>
      </c>
      <c r="R629" s="259" t="str">
        <f>IFERROR(__xludf.DUMMYFUNCTION("""COMPUTED_VALUE"""),"")</f>
        <v/>
      </c>
      <c r="S629" s="250" t="str">
        <f t="shared" si="5"/>
        <v/>
      </c>
      <c r="T629" s="254" t="str">
        <f>IFERROR(__xludf.DUMMYFUNCTION("""COMPUTED_VALUE"""),"")</f>
        <v/>
      </c>
      <c r="U629" s="246" t="str">
        <f>IFERROR(__xludf.DUMMYFUNCTION("""COMPUTED_VALUE"""),"")</f>
        <v/>
      </c>
      <c r="V629" s="247" t="str">
        <f t="shared" si="6"/>
        <v/>
      </c>
      <c r="W629" s="255" t="str">
        <f>IFERROR(__xludf.DUMMYFUNCTION("""COMPUTED_VALUE"""),"")</f>
        <v/>
      </c>
      <c r="X629" s="249" t="str">
        <f>IFERROR(__xludf.DUMMYFUNCTION("""COMPUTED_VALUE"""),"")</f>
        <v/>
      </c>
      <c r="Y629" s="250" t="str">
        <f t="shared" si="7"/>
        <v/>
      </c>
    </row>
    <row r="630">
      <c r="A630" s="136" t="s">
        <v>133</v>
      </c>
      <c r="B630" s="136"/>
      <c r="C630" s="136" t="s">
        <v>133</v>
      </c>
      <c r="D630" s="136"/>
      <c r="E630" s="256" t="str">
        <f>IFERROR(__xludf.DUMMYFUNCTION("""COMPUTED_VALUE"""),"")</f>
        <v/>
      </c>
      <c r="F630" s="257" t="str">
        <f>IFERROR(__xludf.DUMMYFUNCTION("""COMPUTED_VALUE"""),"")</f>
        <v/>
      </c>
      <c r="G630" s="247" t="str">
        <f t="shared" si="1"/>
        <v/>
      </c>
      <c r="H630" s="258" t="str">
        <f>IFERROR(__xludf.DUMMYFUNCTION("""COMPUTED_VALUE"""),"")</f>
        <v/>
      </c>
      <c r="I630" s="259" t="str">
        <f>IFERROR(__xludf.DUMMYFUNCTION("""COMPUTED_VALUE"""),"")</f>
        <v/>
      </c>
      <c r="J630" s="250" t="str">
        <f t="shared" si="2"/>
        <v/>
      </c>
      <c r="K630" s="317" t="str">
        <f>IFERROR(__xludf.DUMMYFUNCTION("""COMPUTED_VALUE"""),"")</f>
        <v/>
      </c>
      <c r="L630" s="318" t="str">
        <f>IFERROR(__xludf.DUMMYFUNCTION("""COMPUTED_VALUE"""),"")</f>
        <v/>
      </c>
      <c r="M630" s="253" t="str">
        <f t="shared" si="3"/>
        <v/>
      </c>
      <c r="N630" s="319" t="str">
        <f>IFERROR(__xludf.DUMMYFUNCTION("""COMPUTED_VALUE"""),"")</f>
        <v/>
      </c>
      <c r="O630" s="257" t="str">
        <f>IFERROR(__xludf.DUMMYFUNCTION("""COMPUTED_VALUE"""),"")</f>
        <v/>
      </c>
      <c r="P630" s="247" t="str">
        <f t="shared" si="4"/>
        <v/>
      </c>
      <c r="Q630" s="320" t="str">
        <f>IFERROR(__xludf.DUMMYFUNCTION("""COMPUTED_VALUE"""),"")</f>
        <v/>
      </c>
      <c r="R630" s="259" t="str">
        <f>IFERROR(__xludf.DUMMYFUNCTION("""COMPUTED_VALUE"""),"")</f>
        <v/>
      </c>
      <c r="S630" s="250" t="str">
        <f t="shared" si="5"/>
        <v/>
      </c>
      <c r="T630" s="254" t="str">
        <f>IFERROR(__xludf.DUMMYFUNCTION("""COMPUTED_VALUE"""),"")</f>
        <v/>
      </c>
      <c r="U630" s="246" t="str">
        <f>IFERROR(__xludf.DUMMYFUNCTION("""COMPUTED_VALUE"""),"")</f>
        <v/>
      </c>
      <c r="V630" s="247" t="str">
        <f t="shared" si="6"/>
        <v/>
      </c>
      <c r="W630" s="255" t="str">
        <f>IFERROR(__xludf.DUMMYFUNCTION("""COMPUTED_VALUE"""),"")</f>
        <v/>
      </c>
      <c r="X630" s="249" t="str">
        <f>IFERROR(__xludf.DUMMYFUNCTION("""COMPUTED_VALUE"""),"")</f>
        <v/>
      </c>
      <c r="Y630" s="250" t="str">
        <f t="shared" si="7"/>
        <v/>
      </c>
    </row>
    <row r="631">
      <c r="A631" s="136" t="s">
        <v>133</v>
      </c>
      <c r="B631" s="136"/>
      <c r="C631" s="136" t="s">
        <v>133</v>
      </c>
      <c r="D631" s="136"/>
      <c r="E631" s="256" t="str">
        <f>IFERROR(__xludf.DUMMYFUNCTION("""COMPUTED_VALUE"""),"")</f>
        <v/>
      </c>
      <c r="F631" s="257" t="str">
        <f>IFERROR(__xludf.DUMMYFUNCTION("""COMPUTED_VALUE"""),"")</f>
        <v/>
      </c>
      <c r="G631" s="247" t="str">
        <f t="shared" si="1"/>
        <v/>
      </c>
      <c r="H631" s="258" t="str">
        <f>IFERROR(__xludf.DUMMYFUNCTION("""COMPUTED_VALUE"""),"")</f>
        <v/>
      </c>
      <c r="I631" s="259" t="str">
        <f>IFERROR(__xludf.DUMMYFUNCTION("""COMPUTED_VALUE"""),"")</f>
        <v/>
      </c>
      <c r="J631" s="250" t="str">
        <f t="shared" si="2"/>
        <v/>
      </c>
      <c r="K631" s="317" t="str">
        <f>IFERROR(__xludf.DUMMYFUNCTION("""COMPUTED_VALUE"""),"")</f>
        <v/>
      </c>
      <c r="L631" s="318" t="str">
        <f>IFERROR(__xludf.DUMMYFUNCTION("""COMPUTED_VALUE"""),"")</f>
        <v/>
      </c>
      <c r="M631" s="253" t="str">
        <f t="shared" si="3"/>
        <v/>
      </c>
      <c r="N631" s="319" t="str">
        <f>IFERROR(__xludf.DUMMYFUNCTION("""COMPUTED_VALUE"""),"")</f>
        <v/>
      </c>
      <c r="O631" s="257" t="str">
        <f>IFERROR(__xludf.DUMMYFUNCTION("""COMPUTED_VALUE"""),"")</f>
        <v/>
      </c>
      <c r="P631" s="247" t="str">
        <f t="shared" si="4"/>
        <v/>
      </c>
      <c r="Q631" s="320" t="str">
        <f>IFERROR(__xludf.DUMMYFUNCTION("""COMPUTED_VALUE"""),"")</f>
        <v/>
      </c>
      <c r="R631" s="259" t="str">
        <f>IFERROR(__xludf.DUMMYFUNCTION("""COMPUTED_VALUE"""),"")</f>
        <v/>
      </c>
      <c r="S631" s="250" t="str">
        <f t="shared" si="5"/>
        <v/>
      </c>
      <c r="T631" s="254" t="str">
        <f>IFERROR(__xludf.DUMMYFUNCTION("""COMPUTED_VALUE"""),"")</f>
        <v/>
      </c>
      <c r="U631" s="246" t="str">
        <f>IFERROR(__xludf.DUMMYFUNCTION("""COMPUTED_VALUE"""),"")</f>
        <v/>
      </c>
      <c r="V631" s="247" t="str">
        <f t="shared" si="6"/>
        <v/>
      </c>
      <c r="W631" s="255" t="str">
        <f>IFERROR(__xludf.DUMMYFUNCTION("""COMPUTED_VALUE"""),"")</f>
        <v/>
      </c>
      <c r="X631" s="249" t="str">
        <f>IFERROR(__xludf.DUMMYFUNCTION("""COMPUTED_VALUE"""),"")</f>
        <v/>
      </c>
      <c r="Y631" s="250" t="str">
        <f t="shared" si="7"/>
        <v/>
      </c>
    </row>
    <row r="632">
      <c r="A632" s="136" t="s">
        <v>133</v>
      </c>
      <c r="B632" s="136"/>
      <c r="C632" s="136" t="s">
        <v>133</v>
      </c>
      <c r="D632" s="136"/>
      <c r="E632" s="256" t="str">
        <f>IFERROR(__xludf.DUMMYFUNCTION("""COMPUTED_VALUE"""),"")</f>
        <v/>
      </c>
      <c r="F632" s="257" t="str">
        <f>IFERROR(__xludf.DUMMYFUNCTION("""COMPUTED_VALUE"""),"")</f>
        <v/>
      </c>
      <c r="G632" s="247" t="str">
        <f t="shared" si="1"/>
        <v/>
      </c>
      <c r="H632" s="258" t="str">
        <f>IFERROR(__xludf.DUMMYFUNCTION("""COMPUTED_VALUE"""),"")</f>
        <v/>
      </c>
      <c r="I632" s="259" t="str">
        <f>IFERROR(__xludf.DUMMYFUNCTION("""COMPUTED_VALUE"""),"")</f>
        <v/>
      </c>
      <c r="J632" s="250" t="str">
        <f t="shared" si="2"/>
        <v/>
      </c>
      <c r="K632" s="317" t="str">
        <f>IFERROR(__xludf.DUMMYFUNCTION("""COMPUTED_VALUE"""),"")</f>
        <v/>
      </c>
      <c r="L632" s="318" t="str">
        <f>IFERROR(__xludf.DUMMYFUNCTION("""COMPUTED_VALUE"""),"")</f>
        <v/>
      </c>
      <c r="M632" s="253" t="str">
        <f t="shared" si="3"/>
        <v/>
      </c>
      <c r="N632" s="319" t="str">
        <f>IFERROR(__xludf.DUMMYFUNCTION("""COMPUTED_VALUE"""),"")</f>
        <v/>
      </c>
      <c r="O632" s="257" t="str">
        <f>IFERROR(__xludf.DUMMYFUNCTION("""COMPUTED_VALUE"""),"")</f>
        <v/>
      </c>
      <c r="P632" s="247" t="str">
        <f t="shared" si="4"/>
        <v/>
      </c>
      <c r="Q632" s="320" t="str">
        <f>IFERROR(__xludf.DUMMYFUNCTION("""COMPUTED_VALUE"""),"")</f>
        <v/>
      </c>
      <c r="R632" s="259" t="str">
        <f>IFERROR(__xludf.DUMMYFUNCTION("""COMPUTED_VALUE"""),"")</f>
        <v/>
      </c>
      <c r="S632" s="250" t="str">
        <f t="shared" si="5"/>
        <v/>
      </c>
      <c r="T632" s="254" t="str">
        <f>IFERROR(__xludf.DUMMYFUNCTION("""COMPUTED_VALUE"""),"")</f>
        <v/>
      </c>
      <c r="U632" s="246" t="str">
        <f>IFERROR(__xludf.DUMMYFUNCTION("""COMPUTED_VALUE"""),"")</f>
        <v/>
      </c>
      <c r="V632" s="247" t="str">
        <f t="shared" si="6"/>
        <v/>
      </c>
      <c r="W632" s="255" t="str">
        <f>IFERROR(__xludf.DUMMYFUNCTION("""COMPUTED_VALUE"""),"")</f>
        <v/>
      </c>
      <c r="X632" s="249" t="str">
        <f>IFERROR(__xludf.DUMMYFUNCTION("""COMPUTED_VALUE"""),"")</f>
        <v/>
      </c>
      <c r="Y632" s="250" t="str">
        <f t="shared" si="7"/>
        <v/>
      </c>
    </row>
    <row r="633">
      <c r="A633" s="136" t="s">
        <v>133</v>
      </c>
      <c r="B633" s="136"/>
      <c r="C633" s="136" t="s">
        <v>133</v>
      </c>
      <c r="D633" s="136"/>
      <c r="E633" s="256" t="str">
        <f>IFERROR(__xludf.DUMMYFUNCTION("""COMPUTED_VALUE"""),"")</f>
        <v/>
      </c>
      <c r="F633" s="257" t="str">
        <f>IFERROR(__xludf.DUMMYFUNCTION("""COMPUTED_VALUE"""),"")</f>
        <v/>
      </c>
      <c r="G633" s="247" t="str">
        <f t="shared" si="1"/>
        <v/>
      </c>
      <c r="H633" s="258" t="str">
        <f>IFERROR(__xludf.DUMMYFUNCTION("""COMPUTED_VALUE"""),"")</f>
        <v/>
      </c>
      <c r="I633" s="259" t="str">
        <f>IFERROR(__xludf.DUMMYFUNCTION("""COMPUTED_VALUE"""),"")</f>
        <v/>
      </c>
      <c r="J633" s="250" t="str">
        <f t="shared" si="2"/>
        <v/>
      </c>
      <c r="K633" s="317" t="str">
        <f>IFERROR(__xludf.DUMMYFUNCTION("""COMPUTED_VALUE"""),"")</f>
        <v/>
      </c>
      <c r="L633" s="318" t="str">
        <f>IFERROR(__xludf.DUMMYFUNCTION("""COMPUTED_VALUE"""),"")</f>
        <v/>
      </c>
      <c r="M633" s="253" t="str">
        <f t="shared" si="3"/>
        <v/>
      </c>
      <c r="N633" s="319" t="str">
        <f>IFERROR(__xludf.DUMMYFUNCTION("""COMPUTED_VALUE"""),"")</f>
        <v/>
      </c>
      <c r="O633" s="257" t="str">
        <f>IFERROR(__xludf.DUMMYFUNCTION("""COMPUTED_VALUE"""),"")</f>
        <v/>
      </c>
      <c r="P633" s="247" t="str">
        <f t="shared" si="4"/>
        <v/>
      </c>
      <c r="Q633" s="320" t="str">
        <f>IFERROR(__xludf.DUMMYFUNCTION("""COMPUTED_VALUE"""),"")</f>
        <v/>
      </c>
      <c r="R633" s="259" t="str">
        <f>IFERROR(__xludf.DUMMYFUNCTION("""COMPUTED_VALUE"""),"")</f>
        <v/>
      </c>
      <c r="S633" s="250" t="str">
        <f t="shared" si="5"/>
        <v/>
      </c>
      <c r="T633" s="254" t="str">
        <f>IFERROR(__xludf.DUMMYFUNCTION("""COMPUTED_VALUE"""),"")</f>
        <v/>
      </c>
      <c r="U633" s="246" t="str">
        <f>IFERROR(__xludf.DUMMYFUNCTION("""COMPUTED_VALUE"""),"")</f>
        <v/>
      </c>
      <c r="V633" s="247" t="str">
        <f t="shared" si="6"/>
        <v/>
      </c>
      <c r="W633" s="255" t="str">
        <f>IFERROR(__xludf.DUMMYFUNCTION("""COMPUTED_VALUE"""),"")</f>
        <v/>
      </c>
      <c r="X633" s="249" t="str">
        <f>IFERROR(__xludf.DUMMYFUNCTION("""COMPUTED_VALUE"""),"")</f>
        <v/>
      </c>
      <c r="Y633" s="250" t="str">
        <f t="shared" si="7"/>
        <v/>
      </c>
    </row>
    <row r="634">
      <c r="A634" s="136" t="s">
        <v>133</v>
      </c>
      <c r="B634" s="136"/>
      <c r="C634" s="136" t="s">
        <v>133</v>
      </c>
      <c r="D634" s="136"/>
      <c r="E634" s="256" t="str">
        <f>IFERROR(__xludf.DUMMYFUNCTION("""COMPUTED_VALUE"""),"")</f>
        <v/>
      </c>
      <c r="F634" s="257" t="str">
        <f>IFERROR(__xludf.DUMMYFUNCTION("""COMPUTED_VALUE"""),"")</f>
        <v/>
      </c>
      <c r="G634" s="247" t="str">
        <f t="shared" si="1"/>
        <v/>
      </c>
      <c r="H634" s="258" t="str">
        <f>IFERROR(__xludf.DUMMYFUNCTION("""COMPUTED_VALUE"""),"")</f>
        <v/>
      </c>
      <c r="I634" s="259" t="str">
        <f>IFERROR(__xludf.DUMMYFUNCTION("""COMPUTED_VALUE"""),"")</f>
        <v/>
      </c>
      <c r="J634" s="250" t="str">
        <f t="shared" si="2"/>
        <v/>
      </c>
      <c r="K634" s="317" t="str">
        <f>IFERROR(__xludf.DUMMYFUNCTION("""COMPUTED_VALUE"""),"")</f>
        <v/>
      </c>
      <c r="L634" s="318" t="str">
        <f>IFERROR(__xludf.DUMMYFUNCTION("""COMPUTED_VALUE"""),"")</f>
        <v/>
      </c>
      <c r="M634" s="253" t="str">
        <f t="shared" si="3"/>
        <v/>
      </c>
      <c r="N634" s="319" t="str">
        <f>IFERROR(__xludf.DUMMYFUNCTION("""COMPUTED_VALUE"""),"")</f>
        <v/>
      </c>
      <c r="O634" s="257" t="str">
        <f>IFERROR(__xludf.DUMMYFUNCTION("""COMPUTED_VALUE"""),"")</f>
        <v/>
      </c>
      <c r="P634" s="247" t="str">
        <f t="shared" si="4"/>
        <v/>
      </c>
      <c r="Q634" s="320" t="str">
        <f>IFERROR(__xludf.DUMMYFUNCTION("""COMPUTED_VALUE"""),"")</f>
        <v/>
      </c>
      <c r="R634" s="259" t="str">
        <f>IFERROR(__xludf.DUMMYFUNCTION("""COMPUTED_VALUE"""),"")</f>
        <v/>
      </c>
      <c r="S634" s="250" t="str">
        <f t="shared" si="5"/>
        <v/>
      </c>
      <c r="T634" s="254" t="str">
        <f>IFERROR(__xludf.DUMMYFUNCTION("""COMPUTED_VALUE"""),"")</f>
        <v/>
      </c>
      <c r="U634" s="246" t="str">
        <f>IFERROR(__xludf.DUMMYFUNCTION("""COMPUTED_VALUE"""),"")</f>
        <v/>
      </c>
      <c r="V634" s="247" t="str">
        <f t="shared" si="6"/>
        <v/>
      </c>
      <c r="W634" s="255" t="str">
        <f>IFERROR(__xludf.DUMMYFUNCTION("""COMPUTED_VALUE"""),"")</f>
        <v/>
      </c>
      <c r="X634" s="249" t="str">
        <f>IFERROR(__xludf.DUMMYFUNCTION("""COMPUTED_VALUE"""),"")</f>
        <v/>
      </c>
      <c r="Y634" s="250" t="str">
        <f t="shared" si="7"/>
        <v/>
      </c>
    </row>
    <row r="635">
      <c r="A635" s="136" t="s">
        <v>133</v>
      </c>
      <c r="B635" s="136"/>
      <c r="C635" s="136" t="s">
        <v>133</v>
      </c>
      <c r="D635" s="136"/>
      <c r="E635" s="256" t="str">
        <f>IFERROR(__xludf.DUMMYFUNCTION("""COMPUTED_VALUE"""),"")</f>
        <v/>
      </c>
      <c r="F635" s="257" t="str">
        <f>IFERROR(__xludf.DUMMYFUNCTION("""COMPUTED_VALUE"""),"")</f>
        <v/>
      </c>
      <c r="G635" s="247" t="str">
        <f t="shared" si="1"/>
        <v/>
      </c>
      <c r="H635" s="258" t="str">
        <f>IFERROR(__xludf.DUMMYFUNCTION("""COMPUTED_VALUE"""),"")</f>
        <v/>
      </c>
      <c r="I635" s="259" t="str">
        <f>IFERROR(__xludf.DUMMYFUNCTION("""COMPUTED_VALUE"""),"")</f>
        <v/>
      </c>
      <c r="J635" s="250" t="str">
        <f t="shared" si="2"/>
        <v/>
      </c>
      <c r="K635" s="317" t="str">
        <f>IFERROR(__xludf.DUMMYFUNCTION("""COMPUTED_VALUE"""),"")</f>
        <v/>
      </c>
      <c r="L635" s="318" t="str">
        <f>IFERROR(__xludf.DUMMYFUNCTION("""COMPUTED_VALUE"""),"")</f>
        <v/>
      </c>
      <c r="M635" s="253" t="str">
        <f t="shared" si="3"/>
        <v/>
      </c>
      <c r="N635" s="319" t="str">
        <f>IFERROR(__xludf.DUMMYFUNCTION("""COMPUTED_VALUE"""),"")</f>
        <v/>
      </c>
      <c r="O635" s="257" t="str">
        <f>IFERROR(__xludf.DUMMYFUNCTION("""COMPUTED_VALUE"""),"")</f>
        <v/>
      </c>
      <c r="P635" s="247" t="str">
        <f t="shared" si="4"/>
        <v/>
      </c>
      <c r="Q635" s="320" t="str">
        <f>IFERROR(__xludf.DUMMYFUNCTION("""COMPUTED_VALUE"""),"")</f>
        <v/>
      </c>
      <c r="R635" s="259" t="str">
        <f>IFERROR(__xludf.DUMMYFUNCTION("""COMPUTED_VALUE"""),"")</f>
        <v/>
      </c>
      <c r="S635" s="250" t="str">
        <f t="shared" si="5"/>
        <v/>
      </c>
      <c r="T635" s="254" t="str">
        <f>IFERROR(__xludf.DUMMYFUNCTION("""COMPUTED_VALUE"""),"")</f>
        <v/>
      </c>
      <c r="U635" s="246" t="str">
        <f>IFERROR(__xludf.DUMMYFUNCTION("""COMPUTED_VALUE"""),"")</f>
        <v/>
      </c>
      <c r="V635" s="247" t="str">
        <f t="shared" si="6"/>
        <v/>
      </c>
      <c r="W635" s="255" t="str">
        <f>IFERROR(__xludf.DUMMYFUNCTION("""COMPUTED_VALUE"""),"")</f>
        <v/>
      </c>
      <c r="X635" s="249" t="str">
        <f>IFERROR(__xludf.DUMMYFUNCTION("""COMPUTED_VALUE"""),"")</f>
        <v/>
      </c>
      <c r="Y635" s="250" t="str">
        <f t="shared" si="7"/>
        <v/>
      </c>
    </row>
    <row r="636">
      <c r="A636" s="136" t="s">
        <v>133</v>
      </c>
      <c r="B636" s="136"/>
      <c r="C636" s="136" t="s">
        <v>133</v>
      </c>
      <c r="D636" s="136"/>
      <c r="E636" s="256" t="str">
        <f>IFERROR(__xludf.DUMMYFUNCTION("""COMPUTED_VALUE"""),"")</f>
        <v/>
      </c>
      <c r="F636" s="257" t="str">
        <f>IFERROR(__xludf.DUMMYFUNCTION("""COMPUTED_VALUE"""),"")</f>
        <v/>
      </c>
      <c r="G636" s="247" t="str">
        <f t="shared" si="1"/>
        <v/>
      </c>
      <c r="H636" s="258" t="str">
        <f>IFERROR(__xludf.DUMMYFUNCTION("""COMPUTED_VALUE"""),"")</f>
        <v/>
      </c>
      <c r="I636" s="259" t="str">
        <f>IFERROR(__xludf.DUMMYFUNCTION("""COMPUTED_VALUE"""),"")</f>
        <v/>
      </c>
      <c r="J636" s="250" t="str">
        <f t="shared" si="2"/>
        <v/>
      </c>
      <c r="K636" s="317" t="str">
        <f>IFERROR(__xludf.DUMMYFUNCTION("""COMPUTED_VALUE"""),"")</f>
        <v/>
      </c>
      <c r="L636" s="318" t="str">
        <f>IFERROR(__xludf.DUMMYFUNCTION("""COMPUTED_VALUE"""),"")</f>
        <v/>
      </c>
      <c r="M636" s="253" t="str">
        <f t="shared" si="3"/>
        <v/>
      </c>
      <c r="N636" s="319" t="str">
        <f>IFERROR(__xludf.DUMMYFUNCTION("""COMPUTED_VALUE"""),"")</f>
        <v/>
      </c>
      <c r="O636" s="257" t="str">
        <f>IFERROR(__xludf.DUMMYFUNCTION("""COMPUTED_VALUE"""),"")</f>
        <v/>
      </c>
      <c r="P636" s="247" t="str">
        <f t="shared" si="4"/>
        <v/>
      </c>
      <c r="Q636" s="320" t="str">
        <f>IFERROR(__xludf.DUMMYFUNCTION("""COMPUTED_VALUE"""),"")</f>
        <v/>
      </c>
      <c r="R636" s="259" t="str">
        <f>IFERROR(__xludf.DUMMYFUNCTION("""COMPUTED_VALUE"""),"")</f>
        <v/>
      </c>
      <c r="S636" s="250" t="str">
        <f t="shared" si="5"/>
        <v/>
      </c>
      <c r="T636" s="254" t="str">
        <f>IFERROR(__xludf.DUMMYFUNCTION("""COMPUTED_VALUE"""),"")</f>
        <v/>
      </c>
      <c r="U636" s="246" t="str">
        <f>IFERROR(__xludf.DUMMYFUNCTION("""COMPUTED_VALUE"""),"")</f>
        <v/>
      </c>
      <c r="V636" s="247" t="str">
        <f t="shared" si="6"/>
        <v/>
      </c>
      <c r="W636" s="255" t="str">
        <f>IFERROR(__xludf.DUMMYFUNCTION("""COMPUTED_VALUE"""),"")</f>
        <v/>
      </c>
      <c r="X636" s="249" t="str">
        <f>IFERROR(__xludf.DUMMYFUNCTION("""COMPUTED_VALUE"""),"")</f>
        <v/>
      </c>
      <c r="Y636" s="250" t="str">
        <f t="shared" si="7"/>
        <v/>
      </c>
    </row>
    <row r="637">
      <c r="A637" s="136" t="s">
        <v>133</v>
      </c>
      <c r="B637" s="136"/>
      <c r="C637" s="136" t="s">
        <v>133</v>
      </c>
      <c r="D637" s="136"/>
      <c r="E637" s="256" t="str">
        <f>IFERROR(__xludf.DUMMYFUNCTION("""COMPUTED_VALUE"""),"")</f>
        <v/>
      </c>
      <c r="F637" s="257" t="str">
        <f>IFERROR(__xludf.DUMMYFUNCTION("""COMPUTED_VALUE"""),"")</f>
        <v/>
      </c>
      <c r="G637" s="247" t="str">
        <f t="shared" si="1"/>
        <v/>
      </c>
      <c r="H637" s="258" t="str">
        <f>IFERROR(__xludf.DUMMYFUNCTION("""COMPUTED_VALUE"""),"")</f>
        <v/>
      </c>
      <c r="I637" s="259" t="str">
        <f>IFERROR(__xludf.DUMMYFUNCTION("""COMPUTED_VALUE"""),"")</f>
        <v/>
      </c>
      <c r="J637" s="250" t="str">
        <f t="shared" si="2"/>
        <v/>
      </c>
      <c r="K637" s="317" t="str">
        <f>IFERROR(__xludf.DUMMYFUNCTION("""COMPUTED_VALUE"""),"")</f>
        <v/>
      </c>
      <c r="L637" s="318" t="str">
        <f>IFERROR(__xludf.DUMMYFUNCTION("""COMPUTED_VALUE"""),"")</f>
        <v/>
      </c>
      <c r="M637" s="253" t="str">
        <f t="shared" si="3"/>
        <v/>
      </c>
      <c r="N637" s="319" t="str">
        <f>IFERROR(__xludf.DUMMYFUNCTION("""COMPUTED_VALUE"""),"")</f>
        <v/>
      </c>
      <c r="O637" s="257" t="str">
        <f>IFERROR(__xludf.DUMMYFUNCTION("""COMPUTED_VALUE"""),"")</f>
        <v/>
      </c>
      <c r="P637" s="247" t="str">
        <f t="shared" si="4"/>
        <v/>
      </c>
      <c r="Q637" s="320" t="str">
        <f>IFERROR(__xludf.DUMMYFUNCTION("""COMPUTED_VALUE"""),"")</f>
        <v/>
      </c>
      <c r="R637" s="259" t="str">
        <f>IFERROR(__xludf.DUMMYFUNCTION("""COMPUTED_VALUE"""),"")</f>
        <v/>
      </c>
      <c r="S637" s="250" t="str">
        <f t="shared" si="5"/>
        <v/>
      </c>
      <c r="T637" s="254" t="str">
        <f>IFERROR(__xludf.DUMMYFUNCTION("""COMPUTED_VALUE"""),"")</f>
        <v/>
      </c>
      <c r="U637" s="246" t="str">
        <f>IFERROR(__xludf.DUMMYFUNCTION("""COMPUTED_VALUE"""),"")</f>
        <v/>
      </c>
      <c r="V637" s="247" t="str">
        <f t="shared" si="6"/>
        <v/>
      </c>
      <c r="W637" s="255" t="str">
        <f>IFERROR(__xludf.DUMMYFUNCTION("""COMPUTED_VALUE"""),"")</f>
        <v/>
      </c>
      <c r="X637" s="249" t="str">
        <f>IFERROR(__xludf.DUMMYFUNCTION("""COMPUTED_VALUE"""),"")</f>
        <v/>
      </c>
      <c r="Y637" s="250" t="str">
        <f t="shared" si="7"/>
        <v/>
      </c>
    </row>
    <row r="638">
      <c r="A638" s="136" t="s">
        <v>133</v>
      </c>
      <c r="B638" s="136"/>
      <c r="C638" s="136" t="s">
        <v>133</v>
      </c>
      <c r="D638" s="136"/>
      <c r="E638" s="256" t="str">
        <f>IFERROR(__xludf.DUMMYFUNCTION("""COMPUTED_VALUE"""),"")</f>
        <v/>
      </c>
      <c r="F638" s="257" t="str">
        <f>IFERROR(__xludf.DUMMYFUNCTION("""COMPUTED_VALUE"""),"")</f>
        <v/>
      </c>
      <c r="G638" s="247" t="str">
        <f t="shared" si="1"/>
        <v/>
      </c>
      <c r="H638" s="258" t="str">
        <f>IFERROR(__xludf.DUMMYFUNCTION("""COMPUTED_VALUE"""),"")</f>
        <v/>
      </c>
      <c r="I638" s="259" t="str">
        <f>IFERROR(__xludf.DUMMYFUNCTION("""COMPUTED_VALUE"""),"")</f>
        <v/>
      </c>
      <c r="J638" s="250" t="str">
        <f t="shared" si="2"/>
        <v/>
      </c>
      <c r="K638" s="317" t="str">
        <f>IFERROR(__xludf.DUMMYFUNCTION("""COMPUTED_VALUE"""),"")</f>
        <v/>
      </c>
      <c r="L638" s="318" t="str">
        <f>IFERROR(__xludf.DUMMYFUNCTION("""COMPUTED_VALUE"""),"")</f>
        <v/>
      </c>
      <c r="M638" s="253" t="str">
        <f t="shared" si="3"/>
        <v/>
      </c>
      <c r="N638" s="319" t="str">
        <f>IFERROR(__xludf.DUMMYFUNCTION("""COMPUTED_VALUE"""),"")</f>
        <v/>
      </c>
      <c r="O638" s="257" t="str">
        <f>IFERROR(__xludf.DUMMYFUNCTION("""COMPUTED_VALUE"""),"")</f>
        <v/>
      </c>
      <c r="P638" s="247" t="str">
        <f t="shared" si="4"/>
        <v/>
      </c>
      <c r="Q638" s="320" t="str">
        <f>IFERROR(__xludf.DUMMYFUNCTION("""COMPUTED_VALUE"""),"")</f>
        <v/>
      </c>
      <c r="R638" s="259" t="str">
        <f>IFERROR(__xludf.DUMMYFUNCTION("""COMPUTED_VALUE"""),"")</f>
        <v/>
      </c>
      <c r="S638" s="250" t="str">
        <f t="shared" si="5"/>
        <v/>
      </c>
      <c r="T638" s="254" t="str">
        <f>IFERROR(__xludf.DUMMYFUNCTION("""COMPUTED_VALUE"""),"")</f>
        <v/>
      </c>
      <c r="U638" s="246" t="str">
        <f>IFERROR(__xludf.DUMMYFUNCTION("""COMPUTED_VALUE"""),"")</f>
        <v/>
      </c>
      <c r="V638" s="247" t="str">
        <f t="shared" si="6"/>
        <v/>
      </c>
      <c r="W638" s="255" t="str">
        <f>IFERROR(__xludf.DUMMYFUNCTION("""COMPUTED_VALUE"""),"")</f>
        <v/>
      </c>
      <c r="X638" s="249" t="str">
        <f>IFERROR(__xludf.DUMMYFUNCTION("""COMPUTED_VALUE"""),"")</f>
        <v/>
      </c>
      <c r="Y638" s="250" t="str">
        <f t="shared" si="7"/>
        <v/>
      </c>
    </row>
    <row r="639">
      <c r="A639" s="136" t="s">
        <v>133</v>
      </c>
      <c r="B639" s="136"/>
      <c r="C639" s="136" t="s">
        <v>133</v>
      </c>
      <c r="D639" s="136"/>
      <c r="E639" s="256" t="str">
        <f>IFERROR(__xludf.DUMMYFUNCTION("""COMPUTED_VALUE"""),"")</f>
        <v/>
      </c>
      <c r="F639" s="257" t="str">
        <f>IFERROR(__xludf.DUMMYFUNCTION("""COMPUTED_VALUE"""),"")</f>
        <v/>
      </c>
      <c r="G639" s="247" t="str">
        <f t="shared" si="1"/>
        <v/>
      </c>
      <c r="H639" s="258" t="str">
        <f>IFERROR(__xludf.DUMMYFUNCTION("""COMPUTED_VALUE"""),"")</f>
        <v/>
      </c>
      <c r="I639" s="259" t="str">
        <f>IFERROR(__xludf.DUMMYFUNCTION("""COMPUTED_VALUE"""),"")</f>
        <v/>
      </c>
      <c r="J639" s="250" t="str">
        <f t="shared" si="2"/>
        <v/>
      </c>
      <c r="K639" s="317" t="str">
        <f>IFERROR(__xludf.DUMMYFUNCTION("""COMPUTED_VALUE"""),"")</f>
        <v/>
      </c>
      <c r="L639" s="318" t="str">
        <f>IFERROR(__xludf.DUMMYFUNCTION("""COMPUTED_VALUE"""),"")</f>
        <v/>
      </c>
      <c r="M639" s="253" t="str">
        <f t="shared" si="3"/>
        <v/>
      </c>
      <c r="N639" s="319" t="str">
        <f>IFERROR(__xludf.DUMMYFUNCTION("""COMPUTED_VALUE"""),"")</f>
        <v/>
      </c>
      <c r="O639" s="257" t="str">
        <f>IFERROR(__xludf.DUMMYFUNCTION("""COMPUTED_VALUE"""),"")</f>
        <v/>
      </c>
      <c r="P639" s="247" t="str">
        <f t="shared" si="4"/>
        <v/>
      </c>
      <c r="Q639" s="320" t="str">
        <f>IFERROR(__xludf.DUMMYFUNCTION("""COMPUTED_VALUE"""),"")</f>
        <v/>
      </c>
      <c r="R639" s="259" t="str">
        <f>IFERROR(__xludf.DUMMYFUNCTION("""COMPUTED_VALUE"""),"")</f>
        <v/>
      </c>
      <c r="S639" s="250" t="str">
        <f t="shared" si="5"/>
        <v/>
      </c>
      <c r="T639" s="254" t="str">
        <f>IFERROR(__xludf.DUMMYFUNCTION("""COMPUTED_VALUE"""),"")</f>
        <v/>
      </c>
      <c r="U639" s="246" t="str">
        <f>IFERROR(__xludf.DUMMYFUNCTION("""COMPUTED_VALUE"""),"")</f>
        <v/>
      </c>
      <c r="V639" s="247" t="str">
        <f t="shared" si="6"/>
        <v/>
      </c>
      <c r="W639" s="255" t="str">
        <f>IFERROR(__xludf.DUMMYFUNCTION("""COMPUTED_VALUE"""),"")</f>
        <v/>
      </c>
      <c r="X639" s="249" t="str">
        <f>IFERROR(__xludf.DUMMYFUNCTION("""COMPUTED_VALUE"""),"")</f>
        <v/>
      </c>
      <c r="Y639" s="250" t="str">
        <f t="shared" si="7"/>
        <v/>
      </c>
    </row>
    <row r="640">
      <c r="A640" s="136" t="s">
        <v>133</v>
      </c>
      <c r="B640" s="136"/>
      <c r="C640" s="136" t="s">
        <v>133</v>
      </c>
      <c r="D640" s="136"/>
      <c r="E640" s="256" t="str">
        <f>IFERROR(__xludf.DUMMYFUNCTION("""COMPUTED_VALUE"""),"")</f>
        <v/>
      </c>
      <c r="F640" s="257" t="str">
        <f>IFERROR(__xludf.DUMMYFUNCTION("""COMPUTED_VALUE"""),"")</f>
        <v/>
      </c>
      <c r="G640" s="247" t="str">
        <f t="shared" si="1"/>
        <v/>
      </c>
      <c r="H640" s="258" t="str">
        <f>IFERROR(__xludf.DUMMYFUNCTION("""COMPUTED_VALUE"""),"")</f>
        <v/>
      </c>
      <c r="I640" s="259" t="str">
        <f>IFERROR(__xludf.DUMMYFUNCTION("""COMPUTED_VALUE"""),"")</f>
        <v/>
      </c>
      <c r="J640" s="250" t="str">
        <f t="shared" si="2"/>
        <v/>
      </c>
      <c r="K640" s="317" t="str">
        <f>IFERROR(__xludf.DUMMYFUNCTION("""COMPUTED_VALUE"""),"")</f>
        <v/>
      </c>
      <c r="L640" s="318" t="str">
        <f>IFERROR(__xludf.DUMMYFUNCTION("""COMPUTED_VALUE"""),"")</f>
        <v/>
      </c>
      <c r="M640" s="253" t="str">
        <f t="shared" si="3"/>
        <v/>
      </c>
      <c r="N640" s="319" t="str">
        <f>IFERROR(__xludf.DUMMYFUNCTION("""COMPUTED_VALUE"""),"")</f>
        <v/>
      </c>
      <c r="O640" s="257" t="str">
        <f>IFERROR(__xludf.DUMMYFUNCTION("""COMPUTED_VALUE"""),"")</f>
        <v/>
      </c>
      <c r="P640" s="247" t="str">
        <f t="shared" si="4"/>
        <v/>
      </c>
      <c r="Q640" s="320" t="str">
        <f>IFERROR(__xludf.DUMMYFUNCTION("""COMPUTED_VALUE"""),"")</f>
        <v/>
      </c>
      <c r="R640" s="259" t="str">
        <f>IFERROR(__xludf.DUMMYFUNCTION("""COMPUTED_VALUE"""),"")</f>
        <v/>
      </c>
      <c r="S640" s="250" t="str">
        <f t="shared" si="5"/>
        <v/>
      </c>
      <c r="T640" s="254" t="str">
        <f>IFERROR(__xludf.DUMMYFUNCTION("""COMPUTED_VALUE"""),"")</f>
        <v/>
      </c>
      <c r="U640" s="246" t="str">
        <f>IFERROR(__xludf.DUMMYFUNCTION("""COMPUTED_VALUE"""),"")</f>
        <v/>
      </c>
      <c r="V640" s="247" t="str">
        <f t="shared" si="6"/>
        <v/>
      </c>
      <c r="W640" s="255" t="str">
        <f>IFERROR(__xludf.DUMMYFUNCTION("""COMPUTED_VALUE"""),"")</f>
        <v/>
      </c>
      <c r="X640" s="249" t="str">
        <f>IFERROR(__xludf.DUMMYFUNCTION("""COMPUTED_VALUE"""),"")</f>
        <v/>
      </c>
      <c r="Y640" s="250" t="str">
        <f t="shared" si="7"/>
        <v/>
      </c>
    </row>
    <row r="641">
      <c r="A641" s="136" t="s">
        <v>133</v>
      </c>
      <c r="B641" s="136"/>
      <c r="C641" s="136" t="s">
        <v>133</v>
      </c>
      <c r="D641" s="136"/>
      <c r="E641" s="256" t="str">
        <f>IFERROR(__xludf.DUMMYFUNCTION("""COMPUTED_VALUE"""),"")</f>
        <v/>
      </c>
      <c r="F641" s="257" t="str">
        <f>IFERROR(__xludf.DUMMYFUNCTION("""COMPUTED_VALUE"""),"")</f>
        <v/>
      </c>
      <c r="G641" s="247" t="str">
        <f t="shared" si="1"/>
        <v/>
      </c>
      <c r="H641" s="258" t="str">
        <f>IFERROR(__xludf.DUMMYFUNCTION("""COMPUTED_VALUE"""),"")</f>
        <v/>
      </c>
      <c r="I641" s="259" t="str">
        <f>IFERROR(__xludf.DUMMYFUNCTION("""COMPUTED_VALUE"""),"")</f>
        <v/>
      </c>
      <c r="J641" s="250" t="str">
        <f t="shared" si="2"/>
        <v/>
      </c>
      <c r="K641" s="317" t="str">
        <f>IFERROR(__xludf.DUMMYFUNCTION("""COMPUTED_VALUE"""),"")</f>
        <v/>
      </c>
      <c r="L641" s="318" t="str">
        <f>IFERROR(__xludf.DUMMYFUNCTION("""COMPUTED_VALUE"""),"")</f>
        <v/>
      </c>
      <c r="M641" s="253" t="str">
        <f t="shared" si="3"/>
        <v/>
      </c>
      <c r="N641" s="319" t="str">
        <f>IFERROR(__xludf.DUMMYFUNCTION("""COMPUTED_VALUE"""),"")</f>
        <v/>
      </c>
      <c r="O641" s="257" t="str">
        <f>IFERROR(__xludf.DUMMYFUNCTION("""COMPUTED_VALUE"""),"")</f>
        <v/>
      </c>
      <c r="P641" s="247" t="str">
        <f t="shared" si="4"/>
        <v/>
      </c>
      <c r="Q641" s="320" t="str">
        <f>IFERROR(__xludf.DUMMYFUNCTION("""COMPUTED_VALUE"""),"")</f>
        <v/>
      </c>
      <c r="R641" s="259" t="str">
        <f>IFERROR(__xludf.DUMMYFUNCTION("""COMPUTED_VALUE"""),"")</f>
        <v/>
      </c>
      <c r="S641" s="250" t="str">
        <f t="shared" si="5"/>
        <v/>
      </c>
      <c r="T641" s="254" t="str">
        <f>IFERROR(__xludf.DUMMYFUNCTION("""COMPUTED_VALUE"""),"")</f>
        <v/>
      </c>
      <c r="U641" s="246" t="str">
        <f>IFERROR(__xludf.DUMMYFUNCTION("""COMPUTED_VALUE"""),"")</f>
        <v/>
      </c>
      <c r="V641" s="247" t="str">
        <f t="shared" si="6"/>
        <v/>
      </c>
      <c r="W641" s="255" t="str">
        <f>IFERROR(__xludf.DUMMYFUNCTION("""COMPUTED_VALUE"""),"")</f>
        <v/>
      </c>
      <c r="X641" s="249" t="str">
        <f>IFERROR(__xludf.DUMMYFUNCTION("""COMPUTED_VALUE"""),"")</f>
        <v/>
      </c>
      <c r="Y641" s="250" t="str">
        <f t="shared" si="7"/>
        <v/>
      </c>
    </row>
    <row r="642">
      <c r="A642" s="136" t="s">
        <v>133</v>
      </c>
      <c r="B642" s="136"/>
      <c r="C642" s="136" t="s">
        <v>133</v>
      </c>
      <c r="D642" s="136"/>
      <c r="E642" s="256" t="str">
        <f>IFERROR(__xludf.DUMMYFUNCTION("""COMPUTED_VALUE"""),"")</f>
        <v/>
      </c>
      <c r="F642" s="257" t="str">
        <f>IFERROR(__xludf.DUMMYFUNCTION("""COMPUTED_VALUE"""),"")</f>
        <v/>
      </c>
      <c r="G642" s="247" t="str">
        <f t="shared" si="1"/>
        <v/>
      </c>
      <c r="H642" s="258" t="str">
        <f>IFERROR(__xludf.DUMMYFUNCTION("""COMPUTED_VALUE"""),"")</f>
        <v/>
      </c>
      <c r="I642" s="259" t="str">
        <f>IFERROR(__xludf.DUMMYFUNCTION("""COMPUTED_VALUE"""),"")</f>
        <v/>
      </c>
      <c r="J642" s="250" t="str">
        <f t="shared" si="2"/>
        <v/>
      </c>
      <c r="K642" s="317" t="str">
        <f>IFERROR(__xludf.DUMMYFUNCTION("""COMPUTED_VALUE"""),"")</f>
        <v/>
      </c>
      <c r="L642" s="318" t="str">
        <f>IFERROR(__xludf.DUMMYFUNCTION("""COMPUTED_VALUE"""),"")</f>
        <v/>
      </c>
      <c r="M642" s="253" t="str">
        <f t="shared" si="3"/>
        <v/>
      </c>
      <c r="N642" s="319" t="str">
        <f>IFERROR(__xludf.DUMMYFUNCTION("""COMPUTED_VALUE"""),"")</f>
        <v/>
      </c>
      <c r="O642" s="257" t="str">
        <f>IFERROR(__xludf.DUMMYFUNCTION("""COMPUTED_VALUE"""),"")</f>
        <v/>
      </c>
      <c r="P642" s="247" t="str">
        <f t="shared" si="4"/>
        <v/>
      </c>
      <c r="Q642" s="320" t="str">
        <f>IFERROR(__xludf.DUMMYFUNCTION("""COMPUTED_VALUE"""),"")</f>
        <v/>
      </c>
      <c r="R642" s="259" t="str">
        <f>IFERROR(__xludf.DUMMYFUNCTION("""COMPUTED_VALUE"""),"")</f>
        <v/>
      </c>
      <c r="S642" s="250" t="str">
        <f t="shared" si="5"/>
        <v/>
      </c>
      <c r="T642" s="254" t="str">
        <f>IFERROR(__xludf.DUMMYFUNCTION("""COMPUTED_VALUE"""),"")</f>
        <v/>
      </c>
      <c r="U642" s="246" t="str">
        <f>IFERROR(__xludf.DUMMYFUNCTION("""COMPUTED_VALUE"""),"")</f>
        <v/>
      </c>
      <c r="V642" s="247" t="str">
        <f t="shared" si="6"/>
        <v/>
      </c>
      <c r="W642" s="255" t="str">
        <f>IFERROR(__xludf.DUMMYFUNCTION("""COMPUTED_VALUE"""),"")</f>
        <v/>
      </c>
      <c r="X642" s="249" t="str">
        <f>IFERROR(__xludf.DUMMYFUNCTION("""COMPUTED_VALUE"""),"")</f>
        <v/>
      </c>
      <c r="Y642" s="250" t="str">
        <f t="shared" si="7"/>
        <v/>
      </c>
    </row>
    <row r="643">
      <c r="A643" s="136" t="s">
        <v>133</v>
      </c>
      <c r="B643" s="136"/>
      <c r="C643" s="136" t="s">
        <v>133</v>
      </c>
      <c r="D643" s="136"/>
      <c r="E643" s="256" t="str">
        <f>IFERROR(__xludf.DUMMYFUNCTION("""COMPUTED_VALUE"""),"")</f>
        <v/>
      </c>
      <c r="F643" s="257" t="str">
        <f>IFERROR(__xludf.DUMMYFUNCTION("""COMPUTED_VALUE"""),"")</f>
        <v/>
      </c>
      <c r="G643" s="247" t="str">
        <f t="shared" si="1"/>
        <v/>
      </c>
      <c r="H643" s="258" t="str">
        <f>IFERROR(__xludf.DUMMYFUNCTION("""COMPUTED_VALUE"""),"")</f>
        <v/>
      </c>
      <c r="I643" s="259" t="str">
        <f>IFERROR(__xludf.DUMMYFUNCTION("""COMPUTED_VALUE"""),"")</f>
        <v/>
      </c>
      <c r="J643" s="250" t="str">
        <f t="shared" si="2"/>
        <v/>
      </c>
      <c r="K643" s="317" t="str">
        <f>IFERROR(__xludf.DUMMYFUNCTION("""COMPUTED_VALUE"""),"")</f>
        <v/>
      </c>
      <c r="L643" s="318" t="str">
        <f>IFERROR(__xludf.DUMMYFUNCTION("""COMPUTED_VALUE"""),"")</f>
        <v/>
      </c>
      <c r="M643" s="253" t="str">
        <f t="shared" si="3"/>
        <v/>
      </c>
      <c r="N643" s="319" t="str">
        <f>IFERROR(__xludf.DUMMYFUNCTION("""COMPUTED_VALUE"""),"")</f>
        <v/>
      </c>
      <c r="O643" s="257" t="str">
        <f>IFERROR(__xludf.DUMMYFUNCTION("""COMPUTED_VALUE"""),"")</f>
        <v/>
      </c>
      <c r="P643" s="247" t="str">
        <f t="shared" si="4"/>
        <v/>
      </c>
      <c r="Q643" s="320" t="str">
        <f>IFERROR(__xludf.DUMMYFUNCTION("""COMPUTED_VALUE"""),"")</f>
        <v/>
      </c>
      <c r="R643" s="259" t="str">
        <f>IFERROR(__xludf.DUMMYFUNCTION("""COMPUTED_VALUE"""),"")</f>
        <v/>
      </c>
      <c r="S643" s="250" t="str">
        <f t="shared" si="5"/>
        <v/>
      </c>
      <c r="T643" s="254" t="str">
        <f>IFERROR(__xludf.DUMMYFUNCTION("""COMPUTED_VALUE"""),"")</f>
        <v/>
      </c>
      <c r="U643" s="246" t="str">
        <f>IFERROR(__xludf.DUMMYFUNCTION("""COMPUTED_VALUE"""),"")</f>
        <v/>
      </c>
      <c r="V643" s="247" t="str">
        <f t="shared" si="6"/>
        <v/>
      </c>
      <c r="W643" s="255" t="str">
        <f>IFERROR(__xludf.DUMMYFUNCTION("""COMPUTED_VALUE"""),"")</f>
        <v/>
      </c>
      <c r="X643" s="249" t="str">
        <f>IFERROR(__xludf.DUMMYFUNCTION("""COMPUTED_VALUE"""),"")</f>
        <v/>
      </c>
      <c r="Y643" s="250" t="str">
        <f t="shared" si="7"/>
        <v/>
      </c>
    </row>
    <row r="644">
      <c r="A644" s="136" t="s">
        <v>133</v>
      </c>
      <c r="B644" s="136"/>
      <c r="C644" s="136" t="s">
        <v>133</v>
      </c>
      <c r="D644" s="136"/>
      <c r="E644" s="256" t="str">
        <f>IFERROR(__xludf.DUMMYFUNCTION("""COMPUTED_VALUE"""),"")</f>
        <v/>
      </c>
      <c r="F644" s="257" t="str">
        <f>IFERROR(__xludf.DUMMYFUNCTION("""COMPUTED_VALUE"""),"")</f>
        <v/>
      </c>
      <c r="G644" s="247" t="str">
        <f t="shared" si="1"/>
        <v/>
      </c>
      <c r="H644" s="258" t="str">
        <f>IFERROR(__xludf.DUMMYFUNCTION("""COMPUTED_VALUE"""),"")</f>
        <v/>
      </c>
      <c r="I644" s="259" t="str">
        <f>IFERROR(__xludf.DUMMYFUNCTION("""COMPUTED_VALUE"""),"")</f>
        <v/>
      </c>
      <c r="J644" s="250" t="str">
        <f t="shared" si="2"/>
        <v/>
      </c>
      <c r="K644" s="317" t="str">
        <f>IFERROR(__xludf.DUMMYFUNCTION("""COMPUTED_VALUE"""),"")</f>
        <v/>
      </c>
      <c r="L644" s="318" t="str">
        <f>IFERROR(__xludf.DUMMYFUNCTION("""COMPUTED_VALUE"""),"")</f>
        <v/>
      </c>
      <c r="M644" s="253" t="str">
        <f t="shared" si="3"/>
        <v/>
      </c>
      <c r="N644" s="319" t="str">
        <f>IFERROR(__xludf.DUMMYFUNCTION("""COMPUTED_VALUE"""),"")</f>
        <v/>
      </c>
      <c r="O644" s="257" t="str">
        <f>IFERROR(__xludf.DUMMYFUNCTION("""COMPUTED_VALUE"""),"")</f>
        <v/>
      </c>
      <c r="P644" s="247" t="str">
        <f t="shared" si="4"/>
        <v/>
      </c>
      <c r="Q644" s="320" t="str">
        <f>IFERROR(__xludf.DUMMYFUNCTION("""COMPUTED_VALUE"""),"")</f>
        <v/>
      </c>
      <c r="R644" s="259" t="str">
        <f>IFERROR(__xludf.DUMMYFUNCTION("""COMPUTED_VALUE"""),"")</f>
        <v/>
      </c>
      <c r="S644" s="250" t="str">
        <f t="shared" si="5"/>
        <v/>
      </c>
      <c r="T644" s="254" t="str">
        <f>IFERROR(__xludf.DUMMYFUNCTION("""COMPUTED_VALUE"""),"")</f>
        <v/>
      </c>
      <c r="U644" s="246" t="str">
        <f>IFERROR(__xludf.DUMMYFUNCTION("""COMPUTED_VALUE"""),"")</f>
        <v/>
      </c>
      <c r="V644" s="247" t="str">
        <f t="shared" si="6"/>
        <v/>
      </c>
      <c r="W644" s="255" t="str">
        <f>IFERROR(__xludf.DUMMYFUNCTION("""COMPUTED_VALUE"""),"")</f>
        <v/>
      </c>
      <c r="X644" s="249" t="str">
        <f>IFERROR(__xludf.DUMMYFUNCTION("""COMPUTED_VALUE"""),"")</f>
        <v/>
      </c>
      <c r="Y644" s="250" t="str">
        <f t="shared" si="7"/>
        <v/>
      </c>
    </row>
    <row r="645">
      <c r="A645" s="136" t="s">
        <v>133</v>
      </c>
      <c r="B645" s="136"/>
      <c r="C645" s="136" t="s">
        <v>133</v>
      </c>
      <c r="D645" s="136"/>
      <c r="E645" s="256" t="str">
        <f>IFERROR(__xludf.DUMMYFUNCTION("""COMPUTED_VALUE"""),"")</f>
        <v/>
      </c>
      <c r="F645" s="257" t="str">
        <f>IFERROR(__xludf.DUMMYFUNCTION("""COMPUTED_VALUE"""),"")</f>
        <v/>
      </c>
      <c r="G645" s="247" t="str">
        <f t="shared" si="1"/>
        <v/>
      </c>
      <c r="H645" s="258" t="str">
        <f>IFERROR(__xludf.DUMMYFUNCTION("""COMPUTED_VALUE"""),"")</f>
        <v/>
      </c>
      <c r="I645" s="259" t="str">
        <f>IFERROR(__xludf.DUMMYFUNCTION("""COMPUTED_VALUE"""),"")</f>
        <v/>
      </c>
      <c r="J645" s="250" t="str">
        <f t="shared" si="2"/>
        <v/>
      </c>
      <c r="K645" s="317" t="str">
        <f>IFERROR(__xludf.DUMMYFUNCTION("""COMPUTED_VALUE"""),"")</f>
        <v/>
      </c>
      <c r="L645" s="318" t="str">
        <f>IFERROR(__xludf.DUMMYFUNCTION("""COMPUTED_VALUE"""),"")</f>
        <v/>
      </c>
      <c r="M645" s="253" t="str">
        <f t="shared" si="3"/>
        <v/>
      </c>
      <c r="N645" s="319" t="str">
        <f>IFERROR(__xludf.DUMMYFUNCTION("""COMPUTED_VALUE"""),"")</f>
        <v/>
      </c>
      <c r="O645" s="257" t="str">
        <f>IFERROR(__xludf.DUMMYFUNCTION("""COMPUTED_VALUE"""),"")</f>
        <v/>
      </c>
      <c r="P645" s="247" t="str">
        <f t="shared" si="4"/>
        <v/>
      </c>
      <c r="Q645" s="320" t="str">
        <f>IFERROR(__xludf.DUMMYFUNCTION("""COMPUTED_VALUE"""),"")</f>
        <v/>
      </c>
      <c r="R645" s="259" t="str">
        <f>IFERROR(__xludf.DUMMYFUNCTION("""COMPUTED_VALUE"""),"")</f>
        <v/>
      </c>
      <c r="S645" s="250" t="str">
        <f t="shared" si="5"/>
        <v/>
      </c>
      <c r="T645" s="254" t="str">
        <f>IFERROR(__xludf.DUMMYFUNCTION("""COMPUTED_VALUE"""),"")</f>
        <v/>
      </c>
      <c r="U645" s="246" t="str">
        <f>IFERROR(__xludf.DUMMYFUNCTION("""COMPUTED_VALUE"""),"")</f>
        <v/>
      </c>
      <c r="V645" s="247" t="str">
        <f t="shared" si="6"/>
        <v/>
      </c>
      <c r="W645" s="255" t="str">
        <f>IFERROR(__xludf.DUMMYFUNCTION("""COMPUTED_VALUE"""),"")</f>
        <v/>
      </c>
      <c r="X645" s="249" t="str">
        <f>IFERROR(__xludf.DUMMYFUNCTION("""COMPUTED_VALUE"""),"")</f>
        <v/>
      </c>
      <c r="Y645" s="250" t="str">
        <f t="shared" si="7"/>
        <v/>
      </c>
    </row>
    <row r="646">
      <c r="A646" s="136" t="s">
        <v>133</v>
      </c>
      <c r="B646" s="136"/>
      <c r="C646" s="136" t="s">
        <v>133</v>
      </c>
      <c r="D646" s="136"/>
      <c r="E646" s="256" t="str">
        <f>IFERROR(__xludf.DUMMYFUNCTION("""COMPUTED_VALUE"""),"")</f>
        <v/>
      </c>
      <c r="F646" s="257" t="str">
        <f>IFERROR(__xludf.DUMMYFUNCTION("""COMPUTED_VALUE"""),"")</f>
        <v/>
      </c>
      <c r="G646" s="247" t="str">
        <f t="shared" si="1"/>
        <v/>
      </c>
      <c r="H646" s="258" t="str">
        <f>IFERROR(__xludf.DUMMYFUNCTION("""COMPUTED_VALUE"""),"")</f>
        <v/>
      </c>
      <c r="I646" s="259" t="str">
        <f>IFERROR(__xludf.DUMMYFUNCTION("""COMPUTED_VALUE"""),"")</f>
        <v/>
      </c>
      <c r="J646" s="250" t="str">
        <f t="shared" si="2"/>
        <v/>
      </c>
      <c r="K646" s="317" t="str">
        <f>IFERROR(__xludf.DUMMYFUNCTION("""COMPUTED_VALUE"""),"")</f>
        <v/>
      </c>
      <c r="L646" s="318" t="str">
        <f>IFERROR(__xludf.DUMMYFUNCTION("""COMPUTED_VALUE"""),"")</f>
        <v/>
      </c>
      <c r="M646" s="253" t="str">
        <f t="shared" si="3"/>
        <v/>
      </c>
      <c r="N646" s="319" t="str">
        <f>IFERROR(__xludf.DUMMYFUNCTION("""COMPUTED_VALUE"""),"")</f>
        <v/>
      </c>
      <c r="O646" s="257" t="str">
        <f>IFERROR(__xludf.DUMMYFUNCTION("""COMPUTED_VALUE"""),"")</f>
        <v/>
      </c>
      <c r="P646" s="247" t="str">
        <f t="shared" si="4"/>
        <v/>
      </c>
      <c r="Q646" s="320" t="str">
        <f>IFERROR(__xludf.DUMMYFUNCTION("""COMPUTED_VALUE"""),"")</f>
        <v/>
      </c>
      <c r="R646" s="259" t="str">
        <f>IFERROR(__xludf.DUMMYFUNCTION("""COMPUTED_VALUE"""),"")</f>
        <v/>
      </c>
      <c r="S646" s="250" t="str">
        <f t="shared" si="5"/>
        <v/>
      </c>
      <c r="T646" s="254" t="str">
        <f>IFERROR(__xludf.DUMMYFUNCTION("""COMPUTED_VALUE"""),"")</f>
        <v/>
      </c>
      <c r="U646" s="246" t="str">
        <f>IFERROR(__xludf.DUMMYFUNCTION("""COMPUTED_VALUE"""),"")</f>
        <v/>
      </c>
      <c r="V646" s="247" t="str">
        <f t="shared" si="6"/>
        <v/>
      </c>
      <c r="W646" s="255" t="str">
        <f>IFERROR(__xludf.DUMMYFUNCTION("""COMPUTED_VALUE"""),"")</f>
        <v/>
      </c>
      <c r="X646" s="249" t="str">
        <f>IFERROR(__xludf.DUMMYFUNCTION("""COMPUTED_VALUE"""),"")</f>
        <v/>
      </c>
      <c r="Y646" s="250" t="str">
        <f t="shared" si="7"/>
        <v/>
      </c>
    </row>
    <row r="647">
      <c r="A647" s="136" t="s">
        <v>133</v>
      </c>
      <c r="B647" s="136"/>
      <c r="C647" s="136" t="s">
        <v>133</v>
      </c>
      <c r="D647" s="136"/>
      <c r="E647" s="256" t="str">
        <f>IFERROR(__xludf.DUMMYFUNCTION("""COMPUTED_VALUE"""),"")</f>
        <v/>
      </c>
      <c r="F647" s="257" t="str">
        <f>IFERROR(__xludf.DUMMYFUNCTION("""COMPUTED_VALUE"""),"")</f>
        <v/>
      </c>
      <c r="G647" s="247" t="str">
        <f t="shared" si="1"/>
        <v/>
      </c>
      <c r="H647" s="258" t="str">
        <f>IFERROR(__xludf.DUMMYFUNCTION("""COMPUTED_VALUE"""),"")</f>
        <v/>
      </c>
      <c r="I647" s="259" t="str">
        <f>IFERROR(__xludf.DUMMYFUNCTION("""COMPUTED_VALUE"""),"")</f>
        <v/>
      </c>
      <c r="J647" s="250" t="str">
        <f t="shared" si="2"/>
        <v/>
      </c>
      <c r="K647" s="317" t="str">
        <f>IFERROR(__xludf.DUMMYFUNCTION("""COMPUTED_VALUE"""),"")</f>
        <v/>
      </c>
      <c r="L647" s="318" t="str">
        <f>IFERROR(__xludf.DUMMYFUNCTION("""COMPUTED_VALUE"""),"")</f>
        <v/>
      </c>
      <c r="M647" s="253" t="str">
        <f t="shared" si="3"/>
        <v/>
      </c>
      <c r="N647" s="319" t="str">
        <f>IFERROR(__xludf.DUMMYFUNCTION("""COMPUTED_VALUE"""),"")</f>
        <v/>
      </c>
      <c r="O647" s="257" t="str">
        <f>IFERROR(__xludf.DUMMYFUNCTION("""COMPUTED_VALUE"""),"")</f>
        <v/>
      </c>
      <c r="P647" s="247" t="str">
        <f t="shared" si="4"/>
        <v/>
      </c>
      <c r="Q647" s="320" t="str">
        <f>IFERROR(__xludf.DUMMYFUNCTION("""COMPUTED_VALUE"""),"")</f>
        <v/>
      </c>
      <c r="R647" s="259" t="str">
        <f>IFERROR(__xludf.DUMMYFUNCTION("""COMPUTED_VALUE"""),"")</f>
        <v/>
      </c>
      <c r="S647" s="250" t="str">
        <f t="shared" si="5"/>
        <v/>
      </c>
      <c r="T647" s="254" t="str">
        <f>IFERROR(__xludf.DUMMYFUNCTION("""COMPUTED_VALUE"""),"")</f>
        <v/>
      </c>
      <c r="U647" s="246" t="str">
        <f>IFERROR(__xludf.DUMMYFUNCTION("""COMPUTED_VALUE"""),"")</f>
        <v/>
      </c>
      <c r="V647" s="247" t="str">
        <f t="shared" si="6"/>
        <v/>
      </c>
      <c r="W647" s="255" t="str">
        <f>IFERROR(__xludf.DUMMYFUNCTION("""COMPUTED_VALUE"""),"")</f>
        <v/>
      </c>
      <c r="X647" s="249" t="str">
        <f>IFERROR(__xludf.DUMMYFUNCTION("""COMPUTED_VALUE"""),"")</f>
        <v/>
      </c>
      <c r="Y647" s="250" t="str">
        <f t="shared" si="7"/>
        <v/>
      </c>
    </row>
    <row r="648">
      <c r="A648" s="136" t="s">
        <v>133</v>
      </c>
      <c r="B648" s="136"/>
      <c r="C648" s="136" t="s">
        <v>133</v>
      </c>
      <c r="D648" s="136"/>
      <c r="E648" s="256" t="str">
        <f>IFERROR(__xludf.DUMMYFUNCTION("""COMPUTED_VALUE"""),"")</f>
        <v/>
      </c>
      <c r="F648" s="257" t="str">
        <f>IFERROR(__xludf.DUMMYFUNCTION("""COMPUTED_VALUE"""),"")</f>
        <v/>
      </c>
      <c r="G648" s="247" t="str">
        <f t="shared" si="1"/>
        <v/>
      </c>
      <c r="H648" s="258" t="str">
        <f>IFERROR(__xludf.DUMMYFUNCTION("""COMPUTED_VALUE"""),"")</f>
        <v/>
      </c>
      <c r="I648" s="259" t="str">
        <f>IFERROR(__xludf.DUMMYFUNCTION("""COMPUTED_VALUE"""),"")</f>
        <v/>
      </c>
      <c r="J648" s="250" t="str">
        <f t="shared" si="2"/>
        <v/>
      </c>
      <c r="K648" s="317" t="str">
        <f>IFERROR(__xludf.DUMMYFUNCTION("""COMPUTED_VALUE"""),"")</f>
        <v/>
      </c>
      <c r="L648" s="318" t="str">
        <f>IFERROR(__xludf.DUMMYFUNCTION("""COMPUTED_VALUE"""),"")</f>
        <v/>
      </c>
      <c r="M648" s="253" t="str">
        <f t="shared" si="3"/>
        <v/>
      </c>
      <c r="N648" s="319" t="str">
        <f>IFERROR(__xludf.DUMMYFUNCTION("""COMPUTED_VALUE"""),"")</f>
        <v/>
      </c>
      <c r="O648" s="257" t="str">
        <f>IFERROR(__xludf.DUMMYFUNCTION("""COMPUTED_VALUE"""),"")</f>
        <v/>
      </c>
      <c r="P648" s="247" t="str">
        <f t="shared" si="4"/>
        <v/>
      </c>
      <c r="Q648" s="320" t="str">
        <f>IFERROR(__xludf.DUMMYFUNCTION("""COMPUTED_VALUE"""),"")</f>
        <v/>
      </c>
      <c r="R648" s="259" t="str">
        <f>IFERROR(__xludf.DUMMYFUNCTION("""COMPUTED_VALUE"""),"")</f>
        <v/>
      </c>
      <c r="S648" s="250" t="str">
        <f t="shared" si="5"/>
        <v/>
      </c>
      <c r="T648" s="254" t="str">
        <f>IFERROR(__xludf.DUMMYFUNCTION("""COMPUTED_VALUE"""),"")</f>
        <v/>
      </c>
      <c r="U648" s="246" t="str">
        <f>IFERROR(__xludf.DUMMYFUNCTION("""COMPUTED_VALUE"""),"")</f>
        <v/>
      </c>
      <c r="V648" s="247" t="str">
        <f t="shared" si="6"/>
        <v/>
      </c>
      <c r="W648" s="255" t="str">
        <f>IFERROR(__xludf.DUMMYFUNCTION("""COMPUTED_VALUE"""),"")</f>
        <v/>
      </c>
      <c r="X648" s="249" t="str">
        <f>IFERROR(__xludf.DUMMYFUNCTION("""COMPUTED_VALUE"""),"")</f>
        <v/>
      </c>
      <c r="Y648" s="250" t="str">
        <f t="shared" si="7"/>
        <v/>
      </c>
    </row>
    <row r="649">
      <c r="A649" s="136" t="s">
        <v>133</v>
      </c>
      <c r="B649" s="136"/>
      <c r="C649" s="136" t="s">
        <v>133</v>
      </c>
      <c r="D649" s="136"/>
      <c r="E649" s="256" t="str">
        <f>IFERROR(__xludf.DUMMYFUNCTION("""COMPUTED_VALUE"""),"")</f>
        <v/>
      </c>
      <c r="F649" s="257" t="str">
        <f>IFERROR(__xludf.DUMMYFUNCTION("""COMPUTED_VALUE"""),"")</f>
        <v/>
      </c>
      <c r="G649" s="247" t="str">
        <f t="shared" si="1"/>
        <v/>
      </c>
      <c r="H649" s="258" t="str">
        <f>IFERROR(__xludf.DUMMYFUNCTION("""COMPUTED_VALUE"""),"")</f>
        <v/>
      </c>
      <c r="I649" s="259" t="str">
        <f>IFERROR(__xludf.DUMMYFUNCTION("""COMPUTED_VALUE"""),"")</f>
        <v/>
      </c>
      <c r="J649" s="250" t="str">
        <f t="shared" si="2"/>
        <v/>
      </c>
      <c r="K649" s="317" t="str">
        <f>IFERROR(__xludf.DUMMYFUNCTION("""COMPUTED_VALUE"""),"")</f>
        <v/>
      </c>
      <c r="L649" s="318" t="str">
        <f>IFERROR(__xludf.DUMMYFUNCTION("""COMPUTED_VALUE"""),"")</f>
        <v/>
      </c>
      <c r="M649" s="253" t="str">
        <f t="shared" si="3"/>
        <v/>
      </c>
      <c r="N649" s="319" t="str">
        <f>IFERROR(__xludf.DUMMYFUNCTION("""COMPUTED_VALUE"""),"")</f>
        <v/>
      </c>
      <c r="O649" s="257" t="str">
        <f>IFERROR(__xludf.DUMMYFUNCTION("""COMPUTED_VALUE"""),"")</f>
        <v/>
      </c>
      <c r="P649" s="247" t="str">
        <f t="shared" si="4"/>
        <v/>
      </c>
      <c r="Q649" s="320" t="str">
        <f>IFERROR(__xludf.DUMMYFUNCTION("""COMPUTED_VALUE"""),"")</f>
        <v/>
      </c>
      <c r="R649" s="259" t="str">
        <f>IFERROR(__xludf.DUMMYFUNCTION("""COMPUTED_VALUE"""),"")</f>
        <v/>
      </c>
      <c r="S649" s="250" t="str">
        <f t="shared" si="5"/>
        <v/>
      </c>
      <c r="T649" s="254" t="str">
        <f>IFERROR(__xludf.DUMMYFUNCTION("""COMPUTED_VALUE"""),"")</f>
        <v/>
      </c>
      <c r="U649" s="246" t="str">
        <f>IFERROR(__xludf.DUMMYFUNCTION("""COMPUTED_VALUE"""),"")</f>
        <v/>
      </c>
      <c r="V649" s="247" t="str">
        <f t="shared" si="6"/>
        <v/>
      </c>
      <c r="W649" s="255" t="str">
        <f>IFERROR(__xludf.DUMMYFUNCTION("""COMPUTED_VALUE"""),"")</f>
        <v/>
      </c>
      <c r="X649" s="249" t="str">
        <f>IFERROR(__xludf.DUMMYFUNCTION("""COMPUTED_VALUE"""),"")</f>
        <v/>
      </c>
      <c r="Y649" s="250" t="str">
        <f t="shared" si="7"/>
        <v/>
      </c>
    </row>
    <row r="650">
      <c r="A650" s="136" t="s">
        <v>133</v>
      </c>
      <c r="B650" s="136"/>
      <c r="C650" s="136" t="s">
        <v>133</v>
      </c>
      <c r="D650" s="136"/>
      <c r="E650" s="256" t="str">
        <f>IFERROR(__xludf.DUMMYFUNCTION("""COMPUTED_VALUE"""),"")</f>
        <v/>
      </c>
      <c r="F650" s="257" t="str">
        <f>IFERROR(__xludf.DUMMYFUNCTION("""COMPUTED_VALUE"""),"")</f>
        <v/>
      </c>
      <c r="G650" s="247" t="str">
        <f t="shared" si="1"/>
        <v/>
      </c>
      <c r="H650" s="258" t="str">
        <f>IFERROR(__xludf.DUMMYFUNCTION("""COMPUTED_VALUE"""),"")</f>
        <v/>
      </c>
      <c r="I650" s="259" t="str">
        <f>IFERROR(__xludf.DUMMYFUNCTION("""COMPUTED_VALUE"""),"")</f>
        <v/>
      </c>
      <c r="J650" s="250" t="str">
        <f t="shared" si="2"/>
        <v/>
      </c>
      <c r="K650" s="317" t="str">
        <f>IFERROR(__xludf.DUMMYFUNCTION("""COMPUTED_VALUE"""),"")</f>
        <v/>
      </c>
      <c r="L650" s="318" t="str">
        <f>IFERROR(__xludf.DUMMYFUNCTION("""COMPUTED_VALUE"""),"")</f>
        <v/>
      </c>
      <c r="M650" s="253" t="str">
        <f t="shared" si="3"/>
        <v/>
      </c>
      <c r="N650" s="319" t="str">
        <f>IFERROR(__xludf.DUMMYFUNCTION("""COMPUTED_VALUE"""),"")</f>
        <v/>
      </c>
      <c r="O650" s="257" t="str">
        <f>IFERROR(__xludf.DUMMYFUNCTION("""COMPUTED_VALUE"""),"")</f>
        <v/>
      </c>
      <c r="P650" s="247" t="str">
        <f t="shared" si="4"/>
        <v/>
      </c>
      <c r="Q650" s="320" t="str">
        <f>IFERROR(__xludf.DUMMYFUNCTION("""COMPUTED_VALUE"""),"")</f>
        <v/>
      </c>
      <c r="R650" s="259" t="str">
        <f>IFERROR(__xludf.DUMMYFUNCTION("""COMPUTED_VALUE"""),"")</f>
        <v/>
      </c>
      <c r="S650" s="250" t="str">
        <f t="shared" si="5"/>
        <v/>
      </c>
      <c r="T650" s="254" t="str">
        <f>IFERROR(__xludf.DUMMYFUNCTION("""COMPUTED_VALUE"""),"")</f>
        <v/>
      </c>
      <c r="U650" s="246" t="str">
        <f>IFERROR(__xludf.DUMMYFUNCTION("""COMPUTED_VALUE"""),"")</f>
        <v/>
      </c>
      <c r="V650" s="247" t="str">
        <f t="shared" si="6"/>
        <v/>
      </c>
      <c r="W650" s="255" t="str">
        <f>IFERROR(__xludf.DUMMYFUNCTION("""COMPUTED_VALUE"""),"")</f>
        <v/>
      </c>
      <c r="X650" s="249" t="str">
        <f>IFERROR(__xludf.DUMMYFUNCTION("""COMPUTED_VALUE"""),"")</f>
        <v/>
      </c>
      <c r="Y650" s="250" t="str">
        <f t="shared" si="7"/>
        <v/>
      </c>
    </row>
    <row r="651">
      <c r="A651" s="136" t="s">
        <v>133</v>
      </c>
      <c r="B651" s="136"/>
      <c r="C651" s="136" t="s">
        <v>133</v>
      </c>
      <c r="D651" s="136"/>
      <c r="E651" s="256" t="str">
        <f>IFERROR(__xludf.DUMMYFUNCTION("""COMPUTED_VALUE"""),"")</f>
        <v/>
      </c>
      <c r="F651" s="257" t="str">
        <f>IFERROR(__xludf.DUMMYFUNCTION("""COMPUTED_VALUE"""),"")</f>
        <v/>
      </c>
      <c r="G651" s="247" t="str">
        <f t="shared" si="1"/>
        <v/>
      </c>
      <c r="H651" s="258" t="str">
        <f>IFERROR(__xludf.DUMMYFUNCTION("""COMPUTED_VALUE"""),"")</f>
        <v/>
      </c>
      <c r="I651" s="259" t="str">
        <f>IFERROR(__xludf.DUMMYFUNCTION("""COMPUTED_VALUE"""),"")</f>
        <v/>
      </c>
      <c r="J651" s="250" t="str">
        <f t="shared" si="2"/>
        <v/>
      </c>
      <c r="K651" s="317" t="str">
        <f>IFERROR(__xludf.DUMMYFUNCTION("""COMPUTED_VALUE"""),"")</f>
        <v/>
      </c>
      <c r="L651" s="318" t="str">
        <f>IFERROR(__xludf.DUMMYFUNCTION("""COMPUTED_VALUE"""),"")</f>
        <v/>
      </c>
      <c r="M651" s="253" t="str">
        <f t="shared" si="3"/>
        <v/>
      </c>
      <c r="N651" s="319" t="str">
        <f>IFERROR(__xludf.DUMMYFUNCTION("""COMPUTED_VALUE"""),"")</f>
        <v/>
      </c>
      <c r="O651" s="257" t="str">
        <f>IFERROR(__xludf.DUMMYFUNCTION("""COMPUTED_VALUE"""),"")</f>
        <v/>
      </c>
      <c r="P651" s="247" t="str">
        <f t="shared" si="4"/>
        <v/>
      </c>
      <c r="Q651" s="320" t="str">
        <f>IFERROR(__xludf.DUMMYFUNCTION("""COMPUTED_VALUE"""),"")</f>
        <v/>
      </c>
      <c r="R651" s="259" t="str">
        <f>IFERROR(__xludf.DUMMYFUNCTION("""COMPUTED_VALUE"""),"")</f>
        <v/>
      </c>
      <c r="S651" s="250" t="str">
        <f t="shared" si="5"/>
        <v/>
      </c>
      <c r="T651" s="254" t="str">
        <f>IFERROR(__xludf.DUMMYFUNCTION("""COMPUTED_VALUE"""),"")</f>
        <v/>
      </c>
      <c r="U651" s="246" t="str">
        <f>IFERROR(__xludf.DUMMYFUNCTION("""COMPUTED_VALUE"""),"")</f>
        <v/>
      </c>
      <c r="V651" s="247" t="str">
        <f t="shared" si="6"/>
        <v/>
      </c>
      <c r="W651" s="255" t="str">
        <f>IFERROR(__xludf.DUMMYFUNCTION("""COMPUTED_VALUE"""),"")</f>
        <v/>
      </c>
      <c r="X651" s="249" t="str">
        <f>IFERROR(__xludf.DUMMYFUNCTION("""COMPUTED_VALUE"""),"")</f>
        <v/>
      </c>
      <c r="Y651" s="250" t="str">
        <f t="shared" si="7"/>
        <v/>
      </c>
    </row>
    <row r="652">
      <c r="A652" s="136" t="s">
        <v>133</v>
      </c>
      <c r="B652" s="136"/>
      <c r="C652" s="136" t="s">
        <v>133</v>
      </c>
      <c r="D652" s="136"/>
      <c r="E652" s="256" t="str">
        <f>IFERROR(__xludf.DUMMYFUNCTION("""COMPUTED_VALUE"""),"")</f>
        <v/>
      </c>
      <c r="F652" s="257" t="str">
        <f>IFERROR(__xludf.DUMMYFUNCTION("""COMPUTED_VALUE"""),"")</f>
        <v/>
      </c>
      <c r="G652" s="247" t="str">
        <f t="shared" si="1"/>
        <v/>
      </c>
      <c r="H652" s="258" t="str">
        <f>IFERROR(__xludf.DUMMYFUNCTION("""COMPUTED_VALUE"""),"")</f>
        <v/>
      </c>
      <c r="I652" s="259" t="str">
        <f>IFERROR(__xludf.DUMMYFUNCTION("""COMPUTED_VALUE"""),"")</f>
        <v/>
      </c>
      <c r="J652" s="250" t="str">
        <f t="shared" si="2"/>
        <v/>
      </c>
      <c r="K652" s="317" t="str">
        <f>IFERROR(__xludf.DUMMYFUNCTION("""COMPUTED_VALUE"""),"")</f>
        <v/>
      </c>
      <c r="L652" s="318" t="str">
        <f>IFERROR(__xludf.DUMMYFUNCTION("""COMPUTED_VALUE"""),"")</f>
        <v/>
      </c>
      <c r="M652" s="253" t="str">
        <f t="shared" si="3"/>
        <v/>
      </c>
      <c r="N652" s="319" t="str">
        <f>IFERROR(__xludf.DUMMYFUNCTION("""COMPUTED_VALUE"""),"")</f>
        <v/>
      </c>
      <c r="O652" s="257" t="str">
        <f>IFERROR(__xludf.DUMMYFUNCTION("""COMPUTED_VALUE"""),"")</f>
        <v/>
      </c>
      <c r="P652" s="247" t="str">
        <f t="shared" si="4"/>
        <v/>
      </c>
      <c r="Q652" s="320" t="str">
        <f>IFERROR(__xludf.DUMMYFUNCTION("""COMPUTED_VALUE"""),"")</f>
        <v/>
      </c>
      <c r="R652" s="259" t="str">
        <f>IFERROR(__xludf.DUMMYFUNCTION("""COMPUTED_VALUE"""),"")</f>
        <v/>
      </c>
      <c r="S652" s="250" t="str">
        <f t="shared" si="5"/>
        <v/>
      </c>
      <c r="T652" s="254" t="str">
        <f>IFERROR(__xludf.DUMMYFUNCTION("""COMPUTED_VALUE"""),"")</f>
        <v/>
      </c>
      <c r="U652" s="246" t="str">
        <f>IFERROR(__xludf.DUMMYFUNCTION("""COMPUTED_VALUE"""),"")</f>
        <v/>
      </c>
      <c r="V652" s="247" t="str">
        <f t="shared" si="6"/>
        <v/>
      </c>
      <c r="W652" s="255" t="str">
        <f>IFERROR(__xludf.DUMMYFUNCTION("""COMPUTED_VALUE"""),"")</f>
        <v/>
      </c>
      <c r="X652" s="249" t="str">
        <f>IFERROR(__xludf.DUMMYFUNCTION("""COMPUTED_VALUE"""),"")</f>
        <v/>
      </c>
      <c r="Y652" s="250" t="str">
        <f t="shared" si="7"/>
        <v/>
      </c>
    </row>
    <row r="653">
      <c r="A653" s="136" t="s">
        <v>133</v>
      </c>
      <c r="B653" s="136"/>
      <c r="C653" s="136" t="s">
        <v>133</v>
      </c>
      <c r="D653" s="136"/>
      <c r="E653" s="256" t="str">
        <f>IFERROR(__xludf.DUMMYFUNCTION("""COMPUTED_VALUE"""),"")</f>
        <v/>
      </c>
      <c r="F653" s="257" t="str">
        <f>IFERROR(__xludf.DUMMYFUNCTION("""COMPUTED_VALUE"""),"")</f>
        <v/>
      </c>
      <c r="G653" s="247" t="str">
        <f t="shared" si="1"/>
        <v/>
      </c>
      <c r="H653" s="258" t="str">
        <f>IFERROR(__xludf.DUMMYFUNCTION("""COMPUTED_VALUE"""),"")</f>
        <v/>
      </c>
      <c r="I653" s="259" t="str">
        <f>IFERROR(__xludf.DUMMYFUNCTION("""COMPUTED_VALUE"""),"")</f>
        <v/>
      </c>
      <c r="J653" s="250" t="str">
        <f t="shared" si="2"/>
        <v/>
      </c>
      <c r="K653" s="317" t="str">
        <f>IFERROR(__xludf.DUMMYFUNCTION("""COMPUTED_VALUE"""),"")</f>
        <v/>
      </c>
      <c r="L653" s="318" t="str">
        <f>IFERROR(__xludf.DUMMYFUNCTION("""COMPUTED_VALUE"""),"")</f>
        <v/>
      </c>
      <c r="M653" s="253" t="str">
        <f t="shared" si="3"/>
        <v/>
      </c>
      <c r="N653" s="319" t="str">
        <f>IFERROR(__xludf.DUMMYFUNCTION("""COMPUTED_VALUE"""),"")</f>
        <v/>
      </c>
      <c r="O653" s="257" t="str">
        <f>IFERROR(__xludf.DUMMYFUNCTION("""COMPUTED_VALUE"""),"")</f>
        <v/>
      </c>
      <c r="P653" s="247" t="str">
        <f t="shared" si="4"/>
        <v/>
      </c>
      <c r="Q653" s="320" t="str">
        <f>IFERROR(__xludf.DUMMYFUNCTION("""COMPUTED_VALUE"""),"")</f>
        <v/>
      </c>
      <c r="R653" s="259" t="str">
        <f>IFERROR(__xludf.DUMMYFUNCTION("""COMPUTED_VALUE"""),"")</f>
        <v/>
      </c>
      <c r="S653" s="250" t="str">
        <f t="shared" si="5"/>
        <v/>
      </c>
      <c r="T653" s="254" t="str">
        <f>IFERROR(__xludf.DUMMYFUNCTION("""COMPUTED_VALUE"""),"")</f>
        <v/>
      </c>
      <c r="U653" s="246" t="str">
        <f>IFERROR(__xludf.DUMMYFUNCTION("""COMPUTED_VALUE"""),"")</f>
        <v/>
      </c>
      <c r="V653" s="247" t="str">
        <f t="shared" si="6"/>
        <v/>
      </c>
      <c r="W653" s="255" t="str">
        <f>IFERROR(__xludf.DUMMYFUNCTION("""COMPUTED_VALUE"""),"")</f>
        <v/>
      </c>
      <c r="X653" s="249" t="str">
        <f>IFERROR(__xludf.DUMMYFUNCTION("""COMPUTED_VALUE"""),"")</f>
        <v/>
      </c>
      <c r="Y653" s="250" t="str">
        <f t="shared" si="7"/>
        <v/>
      </c>
    </row>
    <row r="654">
      <c r="A654" s="136" t="s">
        <v>133</v>
      </c>
      <c r="B654" s="136"/>
      <c r="C654" s="136" t="s">
        <v>133</v>
      </c>
      <c r="D654" s="136"/>
      <c r="E654" s="256" t="str">
        <f>IFERROR(__xludf.DUMMYFUNCTION("""COMPUTED_VALUE"""),"")</f>
        <v/>
      </c>
      <c r="F654" s="257" t="str">
        <f>IFERROR(__xludf.DUMMYFUNCTION("""COMPUTED_VALUE"""),"")</f>
        <v/>
      </c>
      <c r="G654" s="247" t="str">
        <f t="shared" si="1"/>
        <v/>
      </c>
      <c r="H654" s="258" t="str">
        <f>IFERROR(__xludf.DUMMYFUNCTION("""COMPUTED_VALUE"""),"")</f>
        <v/>
      </c>
      <c r="I654" s="259" t="str">
        <f>IFERROR(__xludf.DUMMYFUNCTION("""COMPUTED_VALUE"""),"")</f>
        <v/>
      </c>
      <c r="J654" s="250" t="str">
        <f t="shared" si="2"/>
        <v/>
      </c>
      <c r="K654" s="317" t="str">
        <f>IFERROR(__xludf.DUMMYFUNCTION("""COMPUTED_VALUE"""),"")</f>
        <v/>
      </c>
      <c r="L654" s="318" t="str">
        <f>IFERROR(__xludf.DUMMYFUNCTION("""COMPUTED_VALUE"""),"")</f>
        <v/>
      </c>
      <c r="M654" s="253" t="str">
        <f t="shared" si="3"/>
        <v/>
      </c>
      <c r="N654" s="319" t="str">
        <f>IFERROR(__xludf.DUMMYFUNCTION("""COMPUTED_VALUE"""),"")</f>
        <v/>
      </c>
      <c r="O654" s="257" t="str">
        <f>IFERROR(__xludf.DUMMYFUNCTION("""COMPUTED_VALUE"""),"")</f>
        <v/>
      </c>
      <c r="P654" s="247" t="str">
        <f t="shared" si="4"/>
        <v/>
      </c>
      <c r="Q654" s="320" t="str">
        <f>IFERROR(__xludf.DUMMYFUNCTION("""COMPUTED_VALUE"""),"")</f>
        <v/>
      </c>
      <c r="R654" s="259" t="str">
        <f>IFERROR(__xludf.DUMMYFUNCTION("""COMPUTED_VALUE"""),"")</f>
        <v/>
      </c>
      <c r="S654" s="250" t="str">
        <f t="shared" si="5"/>
        <v/>
      </c>
      <c r="T654" s="254" t="str">
        <f>IFERROR(__xludf.DUMMYFUNCTION("""COMPUTED_VALUE"""),"")</f>
        <v/>
      </c>
      <c r="U654" s="246" t="str">
        <f>IFERROR(__xludf.DUMMYFUNCTION("""COMPUTED_VALUE"""),"")</f>
        <v/>
      </c>
      <c r="V654" s="247" t="str">
        <f t="shared" si="6"/>
        <v/>
      </c>
      <c r="W654" s="255" t="str">
        <f>IFERROR(__xludf.DUMMYFUNCTION("""COMPUTED_VALUE"""),"")</f>
        <v/>
      </c>
      <c r="X654" s="249" t="str">
        <f>IFERROR(__xludf.DUMMYFUNCTION("""COMPUTED_VALUE"""),"")</f>
        <v/>
      </c>
      <c r="Y654" s="250" t="str">
        <f t="shared" si="7"/>
        <v/>
      </c>
    </row>
    <row r="655">
      <c r="A655" s="136" t="s">
        <v>133</v>
      </c>
      <c r="B655" s="136"/>
      <c r="C655" s="136" t="s">
        <v>133</v>
      </c>
      <c r="D655" s="136"/>
      <c r="E655" s="256" t="str">
        <f>IFERROR(__xludf.DUMMYFUNCTION("""COMPUTED_VALUE"""),"")</f>
        <v/>
      </c>
      <c r="F655" s="257" t="str">
        <f>IFERROR(__xludf.DUMMYFUNCTION("""COMPUTED_VALUE"""),"")</f>
        <v/>
      </c>
      <c r="G655" s="247" t="str">
        <f t="shared" si="1"/>
        <v/>
      </c>
      <c r="H655" s="258" t="str">
        <f>IFERROR(__xludf.DUMMYFUNCTION("""COMPUTED_VALUE"""),"")</f>
        <v/>
      </c>
      <c r="I655" s="259" t="str">
        <f>IFERROR(__xludf.DUMMYFUNCTION("""COMPUTED_VALUE"""),"")</f>
        <v/>
      </c>
      <c r="J655" s="250" t="str">
        <f t="shared" si="2"/>
        <v/>
      </c>
      <c r="K655" s="317" t="str">
        <f>IFERROR(__xludf.DUMMYFUNCTION("""COMPUTED_VALUE"""),"")</f>
        <v/>
      </c>
      <c r="L655" s="318" t="str">
        <f>IFERROR(__xludf.DUMMYFUNCTION("""COMPUTED_VALUE"""),"")</f>
        <v/>
      </c>
      <c r="M655" s="253" t="str">
        <f t="shared" si="3"/>
        <v/>
      </c>
      <c r="N655" s="319" t="str">
        <f>IFERROR(__xludf.DUMMYFUNCTION("""COMPUTED_VALUE"""),"")</f>
        <v/>
      </c>
      <c r="O655" s="257" t="str">
        <f>IFERROR(__xludf.DUMMYFUNCTION("""COMPUTED_VALUE"""),"")</f>
        <v/>
      </c>
      <c r="P655" s="247" t="str">
        <f t="shared" si="4"/>
        <v/>
      </c>
      <c r="Q655" s="320" t="str">
        <f>IFERROR(__xludf.DUMMYFUNCTION("""COMPUTED_VALUE"""),"")</f>
        <v/>
      </c>
      <c r="R655" s="259" t="str">
        <f>IFERROR(__xludf.DUMMYFUNCTION("""COMPUTED_VALUE"""),"")</f>
        <v/>
      </c>
      <c r="S655" s="250" t="str">
        <f t="shared" si="5"/>
        <v/>
      </c>
      <c r="T655" s="254" t="str">
        <f>IFERROR(__xludf.DUMMYFUNCTION("""COMPUTED_VALUE"""),"")</f>
        <v/>
      </c>
      <c r="U655" s="246" t="str">
        <f>IFERROR(__xludf.DUMMYFUNCTION("""COMPUTED_VALUE"""),"")</f>
        <v/>
      </c>
      <c r="V655" s="247" t="str">
        <f t="shared" si="6"/>
        <v/>
      </c>
      <c r="W655" s="255" t="str">
        <f>IFERROR(__xludf.DUMMYFUNCTION("""COMPUTED_VALUE"""),"")</f>
        <v/>
      </c>
      <c r="X655" s="249" t="str">
        <f>IFERROR(__xludf.DUMMYFUNCTION("""COMPUTED_VALUE"""),"")</f>
        <v/>
      </c>
      <c r="Y655" s="250" t="str">
        <f t="shared" si="7"/>
        <v/>
      </c>
    </row>
    <row r="656">
      <c r="A656" s="136" t="s">
        <v>133</v>
      </c>
      <c r="B656" s="136"/>
      <c r="C656" s="136" t="s">
        <v>133</v>
      </c>
      <c r="D656" s="136"/>
      <c r="E656" s="256" t="str">
        <f>IFERROR(__xludf.DUMMYFUNCTION("""COMPUTED_VALUE"""),"")</f>
        <v/>
      </c>
      <c r="F656" s="257" t="str">
        <f>IFERROR(__xludf.DUMMYFUNCTION("""COMPUTED_VALUE"""),"")</f>
        <v/>
      </c>
      <c r="G656" s="247" t="str">
        <f t="shared" si="1"/>
        <v/>
      </c>
      <c r="H656" s="258" t="str">
        <f>IFERROR(__xludf.DUMMYFUNCTION("""COMPUTED_VALUE"""),"")</f>
        <v/>
      </c>
      <c r="I656" s="259" t="str">
        <f>IFERROR(__xludf.DUMMYFUNCTION("""COMPUTED_VALUE"""),"")</f>
        <v/>
      </c>
      <c r="J656" s="250" t="str">
        <f t="shared" si="2"/>
        <v/>
      </c>
      <c r="K656" s="317" t="str">
        <f>IFERROR(__xludf.DUMMYFUNCTION("""COMPUTED_VALUE"""),"")</f>
        <v/>
      </c>
      <c r="L656" s="318" t="str">
        <f>IFERROR(__xludf.DUMMYFUNCTION("""COMPUTED_VALUE"""),"")</f>
        <v/>
      </c>
      <c r="M656" s="253" t="str">
        <f t="shared" si="3"/>
        <v/>
      </c>
      <c r="N656" s="319" t="str">
        <f>IFERROR(__xludf.DUMMYFUNCTION("""COMPUTED_VALUE"""),"")</f>
        <v/>
      </c>
      <c r="O656" s="257" t="str">
        <f>IFERROR(__xludf.DUMMYFUNCTION("""COMPUTED_VALUE"""),"")</f>
        <v/>
      </c>
      <c r="P656" s="247" t="str">
        <f t="shared" si="4"/>
        <v/>
      </c>
      <c r="Q656" s="320" t="str">
        <f>IFERROR(__xludf.DUMMYFUNCTION("""COMPUTED_VALUE"""),"")</f>
        <v/>
      </c>
      <c r="R656" s="259" t="str">
        <f>IFERROR(__xludf.DUMMYFUNCTION("""COMPUTED_VALUE"""),"")</f>
        <v/>
      </c>
      <c r="S656" s="250" t="str">
        <f t="shared" si="5"/>
        <v/>
      </c>
      <c r="T656" s="254" t="str">
        <f>IFERROR(__xludf.DUMMYFUNCTION("""COMPUTED_VALUE"""),"")</f>
        <v/>
      </c>
      <c r="U656" s="246" t="str">
        <f>IFERROR(__xludf.DUMMYFUNCTION("""COMPUTED_VALUE"""),"")</f>
        <v/>
      </c>
      <c r="V656" s="247" t="str">
        <f t="shared" si="6"/>
        <v/>
      </c>
      <c r="W656" s="255" t="str">
        <f>IFERROR(__xludf.DUMMYFUNCTION("""COMPUTED_VALUE"""),"")</f>
        <v/>
      </c>
      <c r="X656" s="249" t="str">
        <f>IFERROR(__xludf.DUMMYFUNCTION("""COMPUTED_VALUE"""),"")</f>
        <v/>
      </c>
      <c r="Y656" s="250" t="str">
        <f t="shared" si="7"/>
        <v/>
      </c>
    </row>
    <row r="657">
      <c r="A657" s="136" t="s">
        <v>133</v>
      </c>
      <c r="B657" s="136"/>
      <c r="C657" s="136" t="s">
        <v>133</v>
      </c>
      <c r="D657" s="136"/>
      <c r="E657" s="256" t="str">
        <f>IFERROR(__xludf.DUMMYFUNCTION("""COMPUTED_VALUE"""),"")</f>
        <v/>
      </c>
      <c r="F657" s="257" t="str">
        <f>IFERROR(__xludf.DUMMYFUNCTION("""COMPUTED_VALUE"""),"")</f>
        <v/>
      </c>
      <c r="G657" s="247" t="str">
        <f t="shared" si="1"/>
        <v/>
      </c>
      <c r="H657" s="258" t="str">
        <f>IFERROR(__xludf.DUMMYFUNCTION("""COMPUTED_VALUE"""),"")</f>
        <v/>
      </c>
      <c r="I657" s="259" t="str">
        <f>IFERROR(__xludf.DUMMYFUNCTION("""COMPUTED_VALUE"""),"")</f>
        <v/>
      </c>
      <c r="J657" s="250" t="str">
        <f t="shared" si="2"/>
        <v/>
      </c>
      <c r="K657" s="317" t="str">
        <f>IFERROR(__xludf.DUMMYFUNCTION("""COMPUTED_VALUE"""),"")</f>
        <v/>
      </c>
      <c r="L657" s="318" t="str">
        <f>IFERROR(__xludf.DUMMYFUNCTION("""COMPUTED_VALUE"""),"")</f>
        <v/>
      </c>
      <c r="M657" s="253" t="str">
        <f t="shared" si="3"/>
        <v/>
      </c>
      <c r="N657" s="319" t="str">
        <f>IFERROR(__xludf.DUMMYFUNCTION("""COMPUTED_VALUE"""),"")</f>
        <v/>
      </c>
      <c r="O657" s="257" t="str">
        <f>IFERROR(__xludf.DUMMYFUNCTION("""COMPUTED_VALUE"""),"")</f>
        <v/>
      </c>
      <c r="P657" s="247" t="str">
        <f t="shared" si="4"/>
        <v/>
      </c>
      <c r="Q657" s="320" t="str">
        <f>IFERROR(__xludf.DUMMYFUNCTION("""COMPUTED_VALUE"""),"")</f>
        <v/>
      </c>
      <c r="R657" s="259" t="str">
        <f>IFERROR(__xludf.DUMMYFUNCTION("""COMPUTED_VALUE"""),"")</f>
        <v/>
      </c>
      <c r="S657" s="250" t="str">
        <f t="shared" si="5"/>
        <v/>
      </c>
      <c r="T657" s="254" t="str">
        <f>IFERROR(__xludf.DUMMYFUNCTION("""COMPUTED_VALUE"""),"")</f>
        <v/>
      </c>
      <c r="U657" s="246" t="str">
        <f>IFERROR(__xludf.DUMMYFUNCTION("""COMPUTED_VALUE"""),"")</f>
        <v/>
      </c>
      <c r="V657" s="247" t="str">
        <f t="shared" si="6"/>
        <v/>
      </c>
      <c r="W657" s="255" t="str">
        <f>IFERROR(__xludf.DUMMYFUNCTION("""COMPUTED_VALUE"""),"")</f>
        <v/>
      </c>
      <c r="X657" s="249" t="str">
        <f>IFERROR(__xludf.DUMMYFUNCTION("""COMPUTED_VALUE"""),"")</f>
        <v/>
      </c>
      <c r="Y657" s="250" t="str">
        <f t="shared" si="7"/>
        <v/>
      </c>
    </row>
    <row r="658">
      <c r="A658" s="136" t="s">
        <v>133</v>
      </c>
      <c r="B658" s="136"/>
      <c r="C658" s="136" t="s">
        <v>133</v>
      </c>
      <c r="D658" s="136"/>
      <c r="E658" s="256" t="str">
        <f>IFERROR(__xludf.DUMMYFUNCTION("""COMPUTED_VALUE"""),"")</f>
        <v/>
      </c>
      <c r="F658" s="257" t="str">
        <f>IFERROR(__xludf.DUMMYFUNCTION("""COMPUTED_VALUE"""),"")</f>
        <v/>
      </c>
      <c r="G658" s="247" t="str">
        <f t="shared" si="1"/>
        <v/>
      </c>
      <c r="H658" s="258" t="str">
        <f>IFERROR(__xludf.DUMMYFUNCTION("""COMPUTED_VALUE"""),"")</f>
        <v/>
      </c>
      <c r="I658" s="259" t="str">
        <f>IFERROR(__xludf.DUMMYFUNCTION("""COMPUTED_VALUE"""),"")</f>
        <v/>
      </c>
      <c r="J658" s="250" t="str">
        <f t="shared" si="2"/>
        <v/>
      </c>
      <c r="K658" s="317" t="str">
        <f>IFERROR(__xludf.DUMMYFUNCTION("""COMPUTED_VALUE"""),"")</f>
        <v/>
      </c>
      <c r="L658" s="318" t="str">
        <f>IFERROR(__xludf.DUMMYFUNCTION("""COMPUTED_VALUE"""),"")</f>
        <v/>
      </c>
      <c r="M658" s="253" t="str">
        <f t="shared" si="3"/>
        <v/>
      </c>
      <c r="N658" s="319" t="str">
        <f>IFERROR(__xludf.DUMMYFUNCTION("""COMPUTED_VALUE"""),"")</f>
        <v/>
      </c>
      <c r="O658" s="257" t="str">
        <f>IFERROR(__xludf.DUMMYFUNCTION("""COMPUTED_VALUE"""),"")</f>
        <v/>
      </c>
      <c r="P658" s="247" t="str">
        <f t="shared" si="4"/>
        <v/>
      </c>
      <c r="Q658" s="320" t="str">
        <f>IFERROR(__xludf.DUMMYFUNCTION("""COMPUTED_VALUE"""),"")</f>
        <v/>
      </c>
      <c r="R658" s="259" t="str">
        <f>IFERROR(__xludf.DUMMYFUNCTION("""COMPUTED_VALUE"""),"")</f>
        <v/>
      </c>
      <c r="S658" s="250" t="str">
        <f t="shared" si="5"/>
        <v/>
      </c>
      <c r="T658" s="254" t="str">
        <f>IFERROR(__xludf.DUMMYFUNCTION("""COMPUTED_VALUE"""),"")</f>
        <v/>
      </c>
      <c r="U658" s="246" t="str">
        <f>IFERROR(__xludf.DUMMYFUNCTION("""COMPUTED_VALUE"""),"")</f>
        <v/>
      </c>
      <c r="V658" s="247" t="str">
        <f t="shared" si="6"/>
        <v/>
      </c>
      <c r="W658" s="255" t="str">
        <f>IFERROR(__xludf.DUMMYFUNCTION("""COMPUTED_VALUE"""),"")</f>
        <v/>
      </c>
      <c r="X658" s="249" t="str">
        <f>IFERROR(__xludf.DUMMYFUNCTION("""COMPUTED_VALUE"""),"")</f>
        <v/>
      </c>
      <c r="Y658" s="250" t="str">
        <f t="shared" si="7"/>
        <v/>
      </c>
    </row>
    <row r="659">
      <c r="A659" s="136" t="s">
        <v>133</v>
      </c>
      <c r="B659" s="136"/>
      <c r="C659" s="136" t="s">
        <v>133</v>
      </c>
      <c r="D659" s="136"/>
      <c r="E659" s="256" t="str">
        <f>IFERROR(__xludf.DUMMYFUNCTION("""COMPUTED_VALUE"""),"")</f>
        <v/>
      </c>
      <c r="F659" s="257" t="str">
        <f>IFERROR(__xludf.DUMMYFUNCTION("""COMPUTED_VALUE"""),"")</f>
        <v/>
      </c>
      <c r="G659" s="247" t="str">
        <f t="shared" si="1"/>
        <v/>
      </c>
      <c r="H659" s="258" t="str">
        <f>IFERROR(__xludf.DUMMYFUNCTION("""COMPUTED_VALUE"""),"")</f>
        <v/>
      </c>
      <c r="I659" s="259" t="str">
        <f>IFERROR(__xludf.DUMMYFUNCTION("""COMPUTED_VALUE"""),"")</f>
        <v/>
      </c>
      <c r="J659" s="250" t="str">
        <f t="shared" si="2"/>
        <v/>
      </c>
      <c r="K659" s="317" t="str">
        <f>IFERROR(__xludf.DUMMYFUNCTION("""COMPUTED_VALUE"""),"")</f>
        <v/>
      </c>
      <c r="L659" s="318" t="str">
        <f>IFERROR(__xludf.DUMMYFUNCTION("""COMPUTED_VALUE"""),"")</f>
        <v/>
      </c>
      <c r="M659" s="253" t="str">
        <f t="shared" si="3"/>
        <v/>
      </c>
      <c r="N659" s="319" t="str">
        <f>IFERROR(__xludf.DUMMYFUNCTION("""COMPUTED_VALUE"""),"")</f>
        <v/>
      </c>
      <c r="O659" s="257" t="str">
        <f>IFERROR(__xludf.DUMMYFUNCTION("""COMPUTED_VALUE"""),"")</f>
        <v/>
      </c>
      <c r="P659" s="247" t="str">
        <f t="shared" si="4"/>
        <v/>
      </c>
      <c r="Q659" s="320" t="str">
        <f>IFERROR(__xludf.DUMMYFUNCTION("""COMPUTED_VALUE"""),"")</f>
        <v/>
      </c>
      <c r="R659" s="259" t="str">
        <f>IFERROR(__xludf.DUMMYFUNCTION("""COMPUTED_VALUE"""),"")</f>
        <v/>
      </c>
      <c r="S659" s="250" t="str">
        <f t="shared" si="5"/>
        <v/>
      </c>
      <c r="T659" s="254" t="str">
        <f>IFERROR(__xludf.DUMMYFUNCTION("""COMPUTED_VALUE"""),"")</f>
        <v/>
      </c>
      <c r="U659" s="246" t="str">
        <f>IFERROR(__xludf.DUMMYFUNCTION("""COMPUTED_VALUE"""),"")</f>
        <v/>
      </c>
      <c r="V659" s="247" t="str">
        <f t="shared" si="6"/>
        <v/>
      </c>
      <c r="W659" s="255" t="str">
        <f>IFERROR(__xludf.DUMMYFUNCTION("""COMPUTED_VALUE"""),"")</f>
        <v/>
      </c>
      <c r="X659" s="249" t="str">
        <f>IFERROR(__xludf.DUMMYFUNCTION("""COMPUTED_VALUE"""),"")</f>
        <v/>
      </c>
      <c r="Y659" s="250" t="str">
        <f t="shared" si="7"/>
        <v/>
      </c>
    </row>
    <row r="660">
      <c r="A660" s="136" t="s">
        <v>133</v>
      </c>
      <c r="B660" s="136"/>
      <c r="C660" s="136" t="s">
        <v>133</v>
      </c>
      <c r="D660" s="136"/>
      <c r="E660" s="256" t="str">
        <f>IFERROR(__xludf.DUMMYFUNCTION("""COMPUTED_VALUE"""),"")</f>
        <v/>
      </c>
      <c r="F660" s="257" t="str">
        <f>IFERROR(__xludf.DUMMYFUNCTION("""COMPUTED_VALUE"""),"")</f>
        <v/>
      </c>
      <c r="G660" s="247" t="str">
        <f t="shared" si="1"/>
        <v/>
      </c>
      <c r="H660" s="258" t="str">
        <f>IFERROR(__xludf.DUMMYFUNCTION("""COMPUTED_VALUE"""),"")</f>
        <v/>
      </c>
      <c r="I660" s="259" t="str">
        <f>IFERROR(__xludf.DUMMYFUNCTION("""COMPUTED_VALUE"""),"")</f>
        <v/>
      </c>
      <c r="J660" s="250" t="str">
        <f t="shared" si="2"/>
        <v/>
      </c>
      <c r="K660" s="317" t="str">
        <f>IFERROR(__xludf.DUMMYFUNCTION("""COMPUTED_VALUE"""),"")</f>
        <v/>
      </c>
      <c r="L660" s="318" t="str">
        <f>IFERROR(__xludf.DUMMYFUNCTION("""COMPUTED_VALUE"""),"")</f>
        <v/>
      </c>
      <c r="M660" s="253" t="str">
        <f t="shared" si="3"/>
        <v/>
      </c>
      <c r="N660" s="319" t="str">
        <f>IFERROR(__xludf.DUMMYFUNCTION("""COMPUTED_VALUE"""),"")</f>
        <v/>
      </c>
      <c r="O660" s="257" t="str">
        <f>IFERROR(__xludf.DUMMYFUNCTION("""COMPUTED_VALUE"""),"")</f>
        <v/>
      </c>
      <c r="P660" s="247" t="str">
        <f t="shared" si="4"/>
        <v/>
      </c>
      <c r="Q660" s="320" t="str">
        <f>IFERROR(__xludf.DUMMYFUNCTION("""COMPUTED_VALUE"""),"")</f>
        <v/>
      </c>
      <c r="R660" s="259" t="str">
        <f>IFERROR(__xludf.DUMMYFUNCTION("""COMPUTED_VALUE"""),"")</f>
        <v/>
      </c>
      <c r="S660" s="250" t="str">
        <f t="shared" si="5"/>
        <v/>
      </c>
      <c r="T660" s="254" t="str">
        <f>IFERROR(__xludf.DUMMYFUNCTION("""COMPUTED_VALUE"""),"")</f>
        <v/>
      </c>
      <c r="U660" s="246" t="str">
        <f>IFERROR(__xludf.DUMMYFUNCTION("""COMPUTED_VALUE"""),"")</f>
        <v/>
      </c>
      <c r="V660" s="247" t="str">
        <f t="shared" si="6"/>
        <v/>
      </c>
      <c r="W660" s="255" t="str">
        <f>IFERROR(__xludf.DUMMYFUNCTION("""COMPUTED_VALUE"""),"")</f>
        <v/>
      </c>
      <c r="X660" s="249" t="str">
        <f>IFERROR(__xludf.DUMMYFUNCTION("""COMPUTED_VALUE"""),"")</f>
        <v/>
      </c>
      <c r="Y660" s="250" t="str">
        <f t="shared" si="7"/>
        <v/>
      </c>
    </row>
    <row r="661">
      <c r="A661" s="136" t="s">
        <v>133</v>
      </c>
      <c r="B661" s="136"/>
      <c r="C661" s="136" t="s">
        <v>133</v>
      </c>
      <c r="D661" s="136"/>
      <c r="E661" s="256" t="str">
        <f>IFERROR(__xludf.DUMMYFUNCTION("""COMPUTED_VALUE"""),"")</f>
        <v/>
      </c>
      <c r="F661" s="257" t="str">
        <f>IFERROR(__xludf.DUMMYFUNCTION("""COMPUTED_VALUE"""),"")</f>
        <v/>
      </c>
      <c r="G661" s="247" t="str">
        <f t="shared" si="1"/>
        <v/>
      </c>
      <c r="H661" s="258" t="str">
        <f>IFERROR(__xludf.DUMMYFUNCTION("""COMPUTED_VALUE"""),"")</f>
        <v/>
      </c>
      <c r="I661" s="259" t="str">
        <f>IFERROR(__xludf.DUMMYFUNCTION("""COMPUTED_VALUE"""),"")</f>
        <v/>
      </c>
      <c r="J661" s="250" t="str">
        <f t="shared" si="2"/>
        <v/>
      </c>
      <c r="K661" s="317" t="str">
        <f>IFERROR(__xludf.DUMMYFUNCTION("""COMPUTED_VALUE"""),"")</f>
        <v/>
      </c>
      <c r="L661" s="318" t="str">
        <f>IFERROR(__xludf.DUMMYFUNCTION("""COMPUTED_VALUE"""),"")</f>
        <v/>
      </c>
      <c r="M661" s="253" t="str">
        <f t="shared" si="3"/>
        <v/>
      </c>
      <c r="N661" s="319" t="str">
        <f>IFERROR(__xludf.DUMMYFUNCTION("""COMPUTED_VALUE"""),"")</f>
        <v/>
      </c>
      <c r="O661" s="257" t="str">
        <f>IFERROR(__xludf.DUMMYFUNCTION("""COMPUTED_VALUE"""),"")</f>
        <v/>
      </c>
      <c r="P661" s="247" t="str">
        <f t="shared" si="4"/>
        <v/>
      </c>
      <c r="Q661" s="320" t="str">
        <f>IFERROR(__xludf.DUMMYFUNCTION("""COMPUTED_VALUE"""),"")</f>
        <v/>
      </c>
      <c r="R661" s="259" t="str">
        <f>IFERROR(__xludf.DUMMYFUNCTION("""COMPUTED_VALUE"""),"")</f>
        <v/>
      </c>
      <c r="S661" s="250" t="str">
        <f t="shared" si="5"/>
        <v/>
      </c>
      <c r="T661" s="254" t="str">
        <f>IFERROR(__xludf.DUMMYFUNCTION("""COMPUTED_VALUE"""),"")</f>
        <v/>
      </c>
      <c r="U661" s="246" t="str">
        <f>IFERROR(__xludf.DUMMYFUNCTION("""COMPUTED_VALUE"""),"")</f>
        <v/>
      </c>
      <c r="V661" s="247" t="str">
        <f t="shared" si="6"/>
        <v/>
      </c>
      <c r="W661" s="255" t="str">
        <f>IFERROR(__xludf.DUMMYFUNCTION("""COMPUTED_VALUE"""),"")</f>
        <v/>
      </c>
      <c r="X661" s="249" t="str">
        <f>IFERROR(__xludf.DUMMYFUNCTION("""COMPUTED_VALUE"""),"")</f>
        <v/>
      </c>
      <c r="Y661" s="250" t="str">
        <f t="shared" si="7"/>
        <v/>
      </c>
    </row>
    <row r="662">
      <c r="A662" s="136" t="s">
        <v>133</v>
      </c>
      <c r="B662" s="136"/>
      <c r="C662" s="136" t="s">
        <v>133</v>
      </c>
      <c r="D662" s="136"/>
      <c r="E662" s="256" t="str">
        <f>IFERROR(__xludf.DUMMYFUNCTION("""COMPUTED_VALUE"""),"")</f>
        <v/>
      </c>
      <c r="F662" s="257" t="str">
        <f>IFERROR(__xludf.DUMMYFUNCTION("""COMPUTED_VALUE"""),"")</f>
        <v/>
      </c>
      <c r="G662" s="247" t="str">
        <f t="shared" si="1"/>
        <v/>
      </c>
      <c r="H662" s="258" t="str">
        <f>IFERROR(__xludf.DUMMYFUNCTION("""COMPUTED_VALUE"""),"")</f>
        <v/>
      </c>
      <c r="I662" s="259" t="str">
        <f>IFERROR(__xludf.DUMMYFUNCTION("""COMPUTED_VALUE"""),"")</f>
        <v/>
      </c>
      <c r="J662" s="250" t="str">
        <f t="shared" si="2"/>
        <v/>
      </c>
      <c r="K662" s="317" t="str">
        <f>IFERROR(__xludf.DUMMYFUNCTION("""COMPUTED_VALUE"""),"")</f>
        <v/>
      </c>
      <c r="L662" s="318" t="str">
        <f>IFERROR(__xludf.DUMMYFUNCTION("""COMPUTED_VALUE"""),"")</f>
        <v/>
      </c>
      <c r="M662" s="253" t="str">
        <f t="shared" si="3"/>
        <v/>
      </c>
      <c r="N662" s="319" t="str">
        <f>IFERROR(__xludf.DUMMYFUNCTION("""COMPUTED_VALUE"""),"")</f>
        <v/>
      </c>
      <c r="O662" s="257" t="str">
        <f>IFERROR(__xludf.DUMMYFUNCTION("""COMPUTED_VALUE"""),"")</f>
        <v/>
      </c>
      <c r="P662" s="247" t="str">
        <f t="shared" si="4"/>
        <v/>
      </c>
      <c r="Q662" s="320" t="str">
        <f>IFERROR(__xludf.DUMMYFUNCTION("""COMPUTED_VALUE"""),"")</f>
        <v/>
      </c>
      <c r="R662" s="259" t="str">
        <f>IFERROR(__xludf.DUMMYFUNCTION("""COMPUTED_VALUE"""),"")</f>
        <v/>
      </c>
      <c r="S662" s="250" t="str">
        <f t="shared" si="5"/>
        <v/>
      </c>
      <c r="T662" s="254" t="str">
        <f>IFERROR(__xludf.DUMMYFUNCTION("""COMPUTED_VALUE"""),"")</f>
        <v/>
      </c>
      <c r="U662" s="246" t="str">
        <f>IFERROR(__xludf.DUMMYFUNCTION("""COMPUTED_VALUE"""),"")</f>
        <v/>
      </c>
      <c r="V662" s="247" t="str">
        <f t="shared" si="6"/>
        <v/>
      </c>
      <c r="W662" s="255" t="str">
        <f>IFERROR(__xludf.DUMMYFUNCTION("""COMPUTED_VALUE"""),"")</f>
        <v/>
      </c>
      <c r="X662" s="249" t="str">
        <f>IFERROR(__xludf.DUMMYFUNCTION("""COMPUTED_VALUE"""),"")</f>
        <v/>
      </c>
      <c r="Y662" s="250" t="str">
        <f t="shared" si="7"/>
        <v/>
      </c>
    </row>
    <row r="663">
      <c r="A663" s="136" t="s">
        <v>133</v>
      </c>
      <c r="B663" s="136"/>
      <c r="C663" s="136" t="s">
        <v>133</v>
      </c>
      <c r="D663" s="136"/>
      <c r="E663" s="256" t="str">
        <f>IFERROR(__xludf.DUMMYFUNCTION("""COMPUTED_VALUE"""),"")</f>
        <v/>
      </c>
      <c r="F663" s="257" t="str">
        <f>IFERROR(__xludf.DUMMYFUNCTION("""COMPUTED_VALUE"""),"")</f>
        <v/>
      </c>
      <c r="G663" s="247" t="str">
        <f t="shared" si="1"/>
        <v/>
      </c>
      <c r="H663" s="258" t="str">
        <f>IFERROR(__xludf.DUMMYFUNCTION("""COMPUTED_VALUE"""),"")</f>
        <v/>
      </c>
      <c r="I663" s="259" t="str">
        <f>IFERROR(__xludf.DUMMYFUNCTION("""COMPUTED_VALUE"""),"")</f>
        <v/>
      </c>
      <c r="J663" s="250" t="str">
        <f t="shared" si="2"/>
        <v/>
      </c>
      <c r="K663" s="317" t="str">
        <f>IFERROR(__xludf.DUMMYFUNCTION("""COMPUTED_VALUE"""),"")</f>
        <v/>
      </c>
      <c r="L663" s="318" t="str">
        <f>IFERROR(__xludf.DUMMYFUNCTION("""COMPUTED_VALUE"""),"")</f>
        <v/>
      </c>
      <c r="M663" s="253" t="str">
        <f t="shared" si="3"/>
        <v/>
      </c>
      <c r="N663" s="319" t="str">
        <f>IFERROR(__xludf.DUMMYFUNCTION("""COMPUTED_VALUE"""),"")</f>
        <v/>
      </c>
      <c r="O663" s="257" t="str">
        <f>IFERROR(__xludf.DUMMYFUNCTION("""COMPUTED_VALUE"""),"")</f>
        <v/>
      </c>
      <c r="P663" s="247" t="str">
        <f t="shared" si="4"/>
        <v/>
      </c>
      <c r="Q663" s="320" t="str">
        <f>IFERROR(__xludf.DUMMYFUNCTION("""COMPUTED_VALUE"""),"")</f>
        <v/>
      </c>
      <c r="R663" s="259" t="str">
        <f>IFERROR(__xludf.DUMMYFUNCTION("""COMPUTED_VALUE"""),"")</f>
        <v/>
      </c>
      <c r="S663" s="250" t="str">
        <f t="shared" si="5"/>
        <v/>
      </c>
      <c r="T663" s="254" t="str">
        <f>IFERROR(__xludf.DUMMYFUNCTION("""COMPUTED_VALUE"""),"")</f>
        <v/>
      </c>
      <c r="U663" s="246" t="str">
        <f>IFERROR(__xludf.DUMMYFUNCTION("""COMPUTED_VALUE"""),"")</f>
        <v/>
      </c>
      <c r="V663" s="247" t="str">
        <f t="shared" si="6"/>
        <v/>
      </c>
      <c r="W663" s="255" t="str">
        <f>IFERROR(__xludf.DUMMYFUNCTION("""COMPUTED_VALUE"""),"")</f>
        <v/>
      </c>
      <c r="X663" s="249" t="str">
        <f>IFERROR(__xludf.DUMMYFUNCTION("""COMPUTED_VALUE"""),"")</f>
        <v/>
      </c>
      <c r="Y663" s="250" t="str">
        <f t="shared" si="7"/>
        <v/>
      </c>
    </row>
    <row r="664">
      <c r="A664" s="136" t="s">
        <v>133</v>
      </c>
      <c r="B664" s="136"/>
      <c r="C664" s="136" t="s">
        <v>133</v>
      </c>
      <c r="D664" s="136"/>
      <c r="E664" s="256" t="str">
        <f>IFERROR(__xludf.DUMMYFUNCTION("""COMPUTED_VALUE"""),"")</f>
        <v/>
      </c>
      <c r="F664" s="257" t="str">
        <f>IFERROR(__xludf.DUMMYFUNCTION("""COMPUTED_VALUE"""),"")</f>
        <v/>
      </c>
      <c r="G664" s="247" t="str">
        <f t="shared" si="1"/>
        <v/>
      </c>
      <c r="H664" s="258" t="str">
        <f>IFERROR(__xludf.DUMMYFUNCTION("""COMPUTED_VALUE"""),"")</f>
        <v/>
      </c>
      <c r="I664" s="259" t="str">
        <f>IFERROR(__xludf.DUMMYFUNCTION("""COMPUTED_VALUE"""),"")</f>
        <v/>
      </c>
      <c r="J664" s="250" t="str">
        <f t="shared" si="2"/>
        <v/>
      </c>
      <c r="K664" s="317" t="str">
        <f>IFERROR(__xludf.DUMMYFUNCTION("""COMPUTED_VALUE"""),"")</f>
        <v/>
      </c>
      <c r="L664" s="318" t="str">
        <f>IFERROR(__xludf.DUMMYFUNCTION("""COMPUTED_VALUE"""),"")</f>
        <v/>
      </c>
      <c r="M664" s="253" t="str">
        <f t="shared" si="3"/>
        <v/>
      </c>
      <c r="N664" s="319" t="str">
        <f>IFERROR(__xludf.DUMMYFUNCTION("""COMPUTED_VALUE"""),"")</f>
        <v/>
      </c>
      <c r="O664" s="257" t="str">
        <f>IFERROR(__xludf.DUMMYFUNCTION("""COMPUTED_VALUE"""),"")</f>
        <v/>
      </c>
      <c r="P664" s="247" t="str">
        <f t="shared" si="4"/>
        <v/>
      </c>
      <c r="Q664" s="320" t="str">
        <f>IFERROR(__xludf.DUMMYFUNCTION("""COMPUTED_VALUE"""),"")</f>
        <v/>
      </c>
      <c r="R664" s="259" t="str">
        <f>IFERROR(__xludf.DUMMYFUNCTION("""COMPUTED_VALUE"""),"")</f>
        <v/>
      </c>
      <c r="S664" s="250" t="str">
        <f t="shared" si="5"/>
        <v/>
      </c>
      <c r="T664" s="254" t="str">
        <f>IFERROR(__xludf.DUMMYFUNCTION("""COMPUTED_VALUE"""),"")</f>
        <v/>
      </c>
      <c r="U664" s="246" t="str">
        <f>IFERROR(__xludf.DUMMYFUNCTION("""COMPUTED_VALUE"""),"")</f>
        <v/>
      </c>
      <c r="V664" s="247" t="str">
        <f t="shared" si="6"/>
        <v/>
      </c>
      <c r="W664" s="255" t="str">
        <f>IFERROR(__xludf.DUMMYFUNCTION("""COMPUTED_VALUE"""),"")</f>
        <v/>
      </c>
      <c r="X664" s="249" t="str">
        <f>IFERROR(__xludf.DUMMYFUNCTION("""COMPUTED_VALUE"""),"")</f>
        <v/>
      </c>
      <c r="Y664" s="250" t="str">
        <f t="shared" si="7"/>
        <v/>
      </c>
    </row>
    <row r="665">
      <c r="A665" s="136" t="s">
        <v>133</v>
      </c>
      <c r="B665" s="136"/>
      <c r="C665" s="136" t="s">
        <v>133</v>
      </c>
      <c r="D665" s="136"/>
      <c r="E665" s="256" t="str">
        <f>IFERROR(__xludf.DUMMYFUNCTION("""COMPUTED_VALUE"""),"")</f>
        <v/>
      </c>
      <c r="F665" s="257" t="str">
        <f>IFERROR(__xludf.DUMMYFUNCTION("""COMPUTED_VALUE"""),"")</f>
        <v/>
      </c>
      <c r="G665" s="247" t="str">
        <f t="shared" si="1"/>
        <v/>
      </c>
      <c r="H665" s="258" t="str">
        <f>IFERROR(__xludf.DUMMYFUNCTION("""COMPUTED_VALUE"""),"")</f>
        <v/>
      </c>
      <c r="I665" s="259" t="str">
        <f>IFERROR(__xludf.DUMMYFUNCTION("""COMPUTED_VALUE"""),"")</f>
        <v/>
      </c>
      <c r="J665" s="250" t="str">
        <f t="shared" si="2"/>
        <v/>
      </c>
      <c r="K665" s="317" t="str">
        <f>IFERROR(__xludf.DUMMYFUNCTION("""COMPUTED_VALUE"""),"")</f>
        <v/>
      </c>
      <c r="L665" s="318" t="str">
        <f>IFERROR(__xludf.DUMMYFUNCTION("""COMPUTED_VALUE"""),"")</f>
        <v/>
      </c>
      <c r="M665" s="253" t="str">
        <f t="shared" si="3"/>
        <v/>
      </c>
      <c r="N665" s="319" t="str">
        <f>IFERROR(__xludf.DUMMYFUNCTION("""COMPUTED_VALUE"""),"")</f>
        <v/>
      </c>
      <c r="O665" s="257" t="str">
        <f>IFERROR(__xludf.DUMMYFUNCTION("""COMPUTED_VALUE"""),"")</f>
        <v/>
      </c>
      <c r="P665" s="247" t="str">
        <f t="shared" si="4"/>
        <v/>
      </c>
      <c r="Q665" s="320" t="str">
        <f>IFERROR(__xludf.DUMMYFUNCTION("""COMPUTED_VALUE"""),"")</f>
        <v/>
      </c>
      <c r="R665" s="259" t="str">
        <f>IFERROR(__xludf.DUMMYFUNCTION("""COMPUTED_VALUE"""),"")</f>
        <v/>
      </c>
      <c r="S665" s="250" t="str">
        <f t="shared" si="5"/>
        <v/>
      </c>
      <c r="T665" s="254" t="str">
        <f>IFERROR(__xludf.DUMMYFUNCTION("""COMPUTED_VALUE"""),"")</f>
        <v/>
      </c>
      <c r="U665" s="246" t="str">
        <f>IFERROR(__xludf.DUMMYFUNCTION("""COMPUTED_VALUE"""),"")</f>
        <v/>
      </c>
      <c r="V665" s="247" t="str">
        <f t="shared" si="6"/>
        <v/>
      </c>
      <c r="W665" s="255" t="str">
        <f>IFERROR(__xludf.DUMMYFUNCTION("""COMPUTED_VALUE"""),"")</f>
        <v/>
      </c>
      <c r="X665" s="249" t="str">
        <f>IFERROR(__xludf.DUMMYFUNCTION("""COMPUTED_VALUE"""),"")</f>
        <v/>
      </c>
      <c r="Y665" s="250" t="str">
        <f t="shared" si="7"/>
        <v/>
      </c>
    </row>
    <row r="666">
      <c r="A666" s="136" t="s">
        <v>133</v>
      </c>
      <c r="B666" s="136"/>
      <c r="C666" s="136" t="s">
        <v>133</v>
      </c>
      <c r="D666" s="136"/>
      <c r="E666" s="256" t="str">
        <f>IFERROR(__xludf.DUMMYFUNCTION("""COMPUTED_VALUE"""),"")</f>
        <v/>
      </c>
      <c r="F666" s="257" t="str">
        <f>IFERROR(__xludf.DUMMYFUNCTION("""COMPUTED_VALUE"""),"")</f>
        <v/>
      </c>
      <c r="G666" s="247" t="str">
        <f t="shared" si="1"/>
        <v/>
      </c>
      <c r="H666" s="258" t="str">
        <f>IFERROR(__xludf.DUMMYFUNCTION("""COMPUTED_VALUE"""),"")</f>
        <v/>
      </c>
      <c r="I666" s="259" t="str">
        <f>IFERROR(__xludf.DUMMYFUNCTION("""COMPUTED_VALUE"""),"")</f>
        <v/>
      </c>
      <c r="J666" s="250" t="str">
        <f t="shared" si="2"/>
        <v/>
      </c>
      <c r="K666" s="317" t="str">
        <f>IFERROR(__xludf.DUMMYFUNCTION("""COMPUTED_VALUE"""),"")</f>
        <v/>
      </c>
      <c r="L666" s="318" t="str">
        <f>IFERROR(__xludf.DUMMYFUNCTION("""COMPUTED_VALUE"""),"")</f>
        <v/>
      </c>
      <c r="M666" s="253" t="str">
        <f t="shared" si="3"/>
        <v/>
      </c>
      <c r="N666" s="319" t="str">
        <f>IFERROR(__xludf.DUMMYFUNCTION("""COMPUTED_VALUE"""),"")</f>
        <v/>
      </c>
      <c r="O666" s="257" t="str">
        <f>IFERROR(__xludf.DUMMYFUNCTION("""COMPUTED_VALUE"""),"")</f>
        <v/>
      </c>
      <c r="P666" s="247" t="str">
        <f t="shared" si="4"/>
        <v/>
      </c>
      <c r="Q666" s="320" t="str">
        <f>IFERROR(__xludf.DUMMYFUNCTION("""COMPUTED_VALUE"""),"")</f>
        <v/>
      </c>
      <c r="R666" s="259" t="str">
        <f>IFERROR(__xludf.DUMMYFUNCTION("""COMPUTED_VALUE"""),"")</f>
        <v/>
      </c>
      <c r="S666" s="250" t="str">
        <f t="shared" si="5"/>
        <v/>
      </c>
      <c r="T666" s="254" t="str">
        <f>IFERROR(__xludf.DUMMYFUNCTION("""COMPUTED_VALUE"""),"")</f>
        <v/>
      </c>
      <c r="U666" s="246" t="str">
        <f>IFERROR(__xludf.DUMMYFUNCTION("""COMPUTED_VALUE"""),"")</f>
        <v/>
      </c>
      <c r="V666" s="247" t="str">
        <f t="shared" si="6"/>
        <v/>
      </c>
      <c r="W666" s="255" t="str">
        <f>IFERROR(__xludf.DUMMYFUNCTION("""COMPUTED_VALUE"""),"")</f>
        <v/>
      </c>
      <c r="X666" s="249" t="str">
        <f>IFERROR(__xludf.DUMMYFUNCTION("""COMPUTED_VALUE"""),"")</f>
        <v/>
      </c>
      <c r="Y666" s="250" t="str">
        <f t="shared" si="7"/>
        <v/>
      </c>
    </row>
    <row r="667">
      <c r="A667" s="136" t="s">
        <v>133</v>
      </c>
      <c r="B667" s="136"/>
      <c r="C667" s="136" t="s">
        <v>133</v>
      </c>
      <c r="D667" s="136"/>
      <c r="E667" s="256" t="str">
        <f>IFERROR(__xludf.DUMMYFUNCTION("""COMPUTED_VALUE"""),"")</f>
        <v/>
      </c>
      <c r="F667" s="257" t="str">
        <f>IFERROR(__xludf.DUMMYFUNCTION("""COMPUTED_VALUE"""),"")</f>
        <v/>
      </c>
      <c r="G667" s="247" t="str">
        <f t="shared" si="1"/>
        <v/>
      </c>
      <c r="H667" s="258" t="str">
        <f>IFERROR(__xludf.DUMMYFUNCTION("""COMPUTED_VALUE"""),"")</f>
        <v/>
      </c>
      <c r="I667" s="259" t="str">
        <f>IFERROR(__xludf.DUMMYFUNCTION("""COMPUTED_VALUE"""),"")</f>
        <v/>
      </c>
      <c r="J667" s="250" t="str">
        <f t="shared" si="2"/>
        <v/>
      </c>
      <c r="K667" s="317" t="str">
        <f>IFERROR(__xludf.DUMMYFUNCTION("""COMPUTED_VALUE"""),"")</f>
        <v/>
      </c>
      <c r="L667" s="318" t="str">
        <f>IFERROR(__xludf.DUMMYFUNCTION("""COMPUTED_VALUE"""),"")</f>
        <v/>
      </c>
      <c r="M667" s="253" t="str">
        <f t="shared" si="3"/>
        <v/>
      </c>
      <c r="N667" s="319" t="str">
        <f>IFERROR(__xludf.DUMMYFUNCTION("""COMPUTED_VALUE"""),"")</f>
        <v/>
      </c>
      <c r="O667" s="257" t="str">
        <f>IFERROR(__xludf.DUMMYFUNCTION("""COMPUTED_VALUE"""),"")</f>
        <v/>
      </c>
      <c r="P667" s="247" t="str">
        <f t="shared" si="4"/>
        <v/>
      </c>
      <c r="Q667" s="320" t="str">
        <f>IFERROR(__xludf.DUMMYFUNCTION("""COMPUTED_VALUE"""),"")</f>
        <v/>
      </c>
      <c r="R667" s="259" t="str">
        <f>IFERROR(__xludf.DUMMYFUNCTION("""COMPUTED_VALUE"""),"")</f>
        <v/>
      </c>
      <c r="S667" s="250" t="str">
        <f t="shared" si="5"/>
        <v/>
      </c>
      <c r="T667" s="254" t="str">
        <f>IFERROR(__xludf.DUMMYFUNCTION("""COMPUTED_VALUE"""),"")</f>
        <v/>
      </c>
      <c r="U667" s="246" t="str">
        <f>IFERROR(__xludf.DUMMYFUNCTION("""COMPUTED_VALUE"""),"")</f>
        <v/>
      </c>
      <c r="V667" s="247" t="str">
        <f t="shared" si="6"/>
        <v/>
      </c>
      <c r="W667" s="255" t="str">
        <f>IFERROR(__xludf.DUMMYFUNCTION("""COMPUTED_VALUE"""),"")</f>
        <v/>
      </c>
      <c r="X667" s="249" t="str">
        <f>IFERROR(__xludf.DUMMYFUNCTION("""COMPUTED_VALUE"""),"")</f>
        <v/>
      </c>
      <c r="Y667" s="250" t="str">
        <f t="shared" si="7"/>
        <v/>
      </c>
    </row>
    <row r="668">
      <c r="A668" s="136" t="s">
        <v>133</v>
      </c>
      <c r="B668" s="136"/>
      <c r="C668" s="136" t="s">
        <v>133</v>
      </c>
      <c r="D668" s="136"/>
      <c r="E668" s="256" t="str">
        <f>IFERROR(__xludf.DUMMYFUNCTION("""COMPUTED_VALUE"""),"")</f>
        <v/>
      </c>
      <c r="F668" s="257" t="str">
        <f>IFERROR(__xludf.DUMMYFUNCTION("""COMPUTED_VALUE"""),"")</f>
        <v/>
      </c>
      <c r="G668" s="247" t="str">
        <f t="shared" si="1"/>
        <v/>
      </c>
      <c r="H668" s="258" t="str">
        <f>IFERROR(__xludf.DUMMYFUNCTION("""COMPUTED_VALUE"""),"")</f>
        <v/>
      </c>
      <c r="I668" s="259" t="str">
        <f>IFERROR(__xludf.DUMMYFUNCTION("""COMPUTED_VALUE"""),"")</f>
        <v/>
      </c>
      <c r="J668" s="250" t="str">
        <f t="shared" si="2"/>
        <v/>
      </c>
      <c r="K668" s="317" t="str">
        <f>IFERROR(__xludf.DUMMYFUNCTION("""COMPUTED_VALUE"""),"")</f>
        <v/>
      </c>
      <c r="L668" s="318" t="str">
        <f>IFERROR(__xludf.DUMMYFUNCTION("""COMPUTED_VALUE"""),"")</f>
        <v/>
      </c>
      <c r="M668" s="253" t="str">
        <f t="shared" si="3"/>
        <v/>
      </c>
      <c r="N668" s="319" t="str">
        <f>IFERROR(__xludf.DUMMYFUNCTION("""COMPUTED_VALUE"""),"")</f>
        <v/>
      </c>
      <c r="O668" s="257" t="str">
        <f>IFERROR(__xludf.DUMMYFUNCTION("""COMPUTED_VALUE"""),"")</f>
        <v/>
      </c>
      <c r="P668" s="247" t="str">
        <f t="shared" si="4"/>
        <v/>
      </c>
      <c r="Q668" s="320" t="str">
        <f>IFERROR(__xludf.DUMMYFUNCTION("""COMPUTED_VALUE"""),"")</f>
        <v/>
      </c>
      <c r="R668" s="259" t="str">
        <f>IFERROR(__xludf.DUMMYFUNCTION("""COMPUTED_VALUE"""),"")</f>
        <v/>
      </c>
      <c r="S668" s="250" t="str">
        <f t="shared" si="5"/>
        <v/>
      </c>
      <c r="T668" s="254" t="str">
        <f>IFERROR(__xludf.DUMMYFUNCTION("""COMPUTED_VALUE"""),"")</f>
        <v/>
      </c>
      <c r="U668" s="246" t="str">
        <f>IFERROR(__xludf.DUMMYFUNCTION("""COMPUTED_VALUE"""),"")</f>
        <v/>
      </c>
      <c r="V668" s="247" t="str">
        <f t="shared" si="6"/>
        <v/>
      </c>
      <c r="W668" s="255" t="str">
        <f>IFERROR(__xludf.DUMMYFUNCTION("""COMPUTED_VALUE"""),"")</f>
        <v/>
      </c>
      <c r="X668" s="249" t="str">
        <f>IFERROR(__xludf.DUMMYFUNCTION("""COMPUTED_VALUE"""),"")</f>
        <v/>
      </c>
      <c r="Y668" s="250" t="str">
        <f t="shared" si="7"/>
        <v/>
      </c>
    </row>
    <row r="669">
      <c r="A669" s="136" t="s">
        <v>133</v>
      </c>
      <c r="B669" s="136"/>
      <c r="C669" s="136" t="s">
        <v>133</v>
      </c>
      <c r="D669" s="136"/>
      <c r="E669" s="256" t="str">
        <f>IFERROR(__xludf.DUMMYFUNCTION("""COMPUTED_VALUE"""),"")</f>
        <v/>
      </c>
      <c r="F669" s="257" t="str">
        <f>IFERROR(__xludf.DUMMYFUNCTION("""COMPUTED_VALUE"""),"")</f>
        <v/>
      </c>
      <c r="G669" s="247" t="str">
        <f t="shared" si="1"/>
        <v/>
      </c>
      <c r="H669" s="258" t="str">
        <f>IFERROR(__xludf.DUMMYFUNCTION("""COMPUTED_VALUE"""),"")</f>
        <v/>
      </c>
      <c r="I669" s="259" t="str">
        <f>IFERROR(__xludf.DUMMYFUNCTION("""COMPUTED_VALUE"""),"")</f>
        <v/>
      </c>
      <c r="J669" s="250" t="str">
        <f t="shared" si="2"/>
        <v/>
      </c>
      <c r="K669" s="317" t="str">
        <f>IFERROR(__xludf.DUMMYFUNCTION("""COMPUTED_VALUE"""),"")</f>
        <v/>
      </c>
      <c r="L669" s="318" t="str">
        <f>IFERROR(__xludf.DUMMYFUNCTION("""COMPUTED_VALUE"""),"")</f>
        <v/>
      </c>
      <c r="M669" s="253" t="str">
        <f t="shared" si="3"/>
        <v/>
      </c>
      <c r="N669" s="319" t="str">
        <f>IFERROR(__xludf.DUMMYFUNCTION("""COMPUTED_VALUE"""),"")</f>
        <v/>
      </c>
      <c r="O669" s="257" t="str">
        <f>IFERROR(__xludf.DUMMYFUNCTION("""COMPUTED_VALUE"""),"")</f>
        <v/>
      </c>
      <c r="P669" s="247" t="str">
        <f t="shared" si="4"/>
        <v/>
      </c>
      <c r="Q669" s="320" t="str">
        <f>IFERROR(__xludf.DUMMYFUNCTION("""COMPUTED_VALUE"""),"")</f>
        <v/>
      </c>
      <c r="R669" s="259" t="str">
        <f>IFERROR(__xludf.DUMMYFUNCTION("""COMPUTED_VALUE"""),"")</f>
        <v/>
      </c>
      <c r="S669" s="250" t="str">
        <f t="shared" si="5"/>
        <v/>
      </c>
      <c r="T669" s="254" t="str">
        <f>IFERROR(__xludf.DUMMYFUNCTION("""COMPUTED_VALUE"""),"")</f>
        <v/>
      </c>
      <c r="U669" s="246" t="str">
        <f>IFERROR(__xludf.DUMMYFUNCTION("""COMPUTED_VALUE"""),"")</f>
        <v/>
      </c>
      <c r="V669" s="247" t="str">
        <f t="shared" si="6"/>
        <v/>
      </c>
      <c r="W669" s="255" t="str">
        <f>IFERROR(__xludf.DUMMYFUNCTION("""COMPUTED_VALUE"""),"")</f>
        <v/>
      </c>
      <c r="X669" s="249" t="str">
        <f>IFERROR(__xludf.DUMMYFUNCTION("""COMPUTED_VALUE"""),"")</f>
        <v/>
      </c>
      <c r="Y669" s="250" t="str">
        <f t="shared" si="7"/>
        <v/>
      </c>
    </row>
    <row r="670">
      <c r="A670" s="136" t="s">
        <v>133</v>
      </c>
      <c r="B670" s="136"/>
      <c r="C670" s="136" t="s">
        <v>133</v>
      </c>
      <c r="D670" s="136"/>
      <c r="E670" s="256" t="str">
        <f>IFERROR(__xludf.DUMMYFUNCTION("""COMPUTED_VALUE"""),"")</f>
        <v/>
      </c>
      <c r="F670" s="257" t="str">
        <f>IFERROR(__xludf.DUMMYFUNCTION("""COMPUTED_VALUE"""),"")</f>
        <v/>
      </c>
      <c r="G670" s="247" t="str">
        <f t="shared" si="1"/>
        <v/>
      </c>
      <c r="H670" s="258" t="str">
        <f>IFERROR(__xludf.DUMMYFUNCTION("""COMPUTED_VALUE"""),"")</f>
        <v/>
      </c>
      <c r="I670" s="259" t="str">
        <f>IFERROR(__xludf.DUMMYFUNCTION("""COMPUTED_VALUE"""),"")</f>
        <v/>
      </c>
      <c r="J670" s="250" t="str">
        <f t="shared" si="2"/>
        <v/>
      </c>
      <c r="K670" s="317" t="str">
        <f>IFERROR(__xludf.DUMMYFUNCTION("""COMPUTED_VALUE"""),"")</f>
        <v/>
      </c>
      <c r="L670" s="318" t="str">
        <f>IFERROR(__xludf.DUMMYFUNCTION("""COMPUTED_VALUE"""),"")</f>
        <v/>
      </c>
      <c r="M670" s="253" t="str">
        <f t="shared" si="3"/>
        <v/>
      </c>
      <c r="N670" s="319" t="str">
        <f>IFERROR(__xludf.DUMMYFUNCTION("""COMPUTED_VALUE"""),"")</f>
        <v/>
      </c>
      <c r="O670" s="257" t="str">
        <f>IFERROR(__xludf.DUMMYFUNCTION("""COMPUTED_VALUE"""),"")</f>
        <v/>
      </c>
      <c r="P670" s="247" t="str">
        <f t="shared" si="4"/>
        <v/>
      </c>
      <c r="Q670" s="320" t="str">
        <f>IFERROR(__xludf.DUMMYFUNCTION("""COMPUTED_VALUE"""),"")</f>
        <v/>
      </c>
      <c r="R670" s="259" t="str">
        <f>IFERROR(__xludf.DUMMYFUNCTION("""COMPUTED_VALUE"""),"")</f>
        <v/>
      </c>
      <c r="S670" s="250" t="str">
        <f t="shared" si="5"/>
        <v/>
      </c>
      <c r="T670" s="254" t="str">
        <f>IFERROR(__xludf.DUMMYFUNCTION("""COMPUTED_VALUE"""),"")</f>
        <v/>
      </c>
      <c r="U670" s="246" t="str">
        <f>IFERROR(__xludf.DUMMYFUNCTION("""COMPUTED_VALUE"""),"")</f>
        <v/>
      </c>
      <c r="V670" s="247" t="str">
        <f t="shared" si="6"/>
        <v/>
      </c>
      <c r="W670" s="255" t="str">
        <f>IFERROR(__xludf.DUMMYFUNCTION("""COMPUTED_VALUE"""),"")</f>
        <v/>
      </c>
      <c r="X670" s="249" t="str">
        <f>IFERROR(__xludf.DUMMYFUNCTION("""COMPUTED_VALUE"""),"")</f>
        <v/>
      </c>
      <c r="Y670" s="250" t="str">
        <f t="shared" si="7"/>
        <v/>
      </c>
    </row>
    <row r="671">
      <c r="A671" s="136" t="s">
        <v>133</v>
      </c>
      <c r="B671" s="136"/>
      <c r="C671" s="136" t="s">
        <v>133</v>
      </c>
      <c r="D671" s="136"/>
      <c r="E671" s="256" t="str">
        <f>IFERROR(__xludf.DUMMYFUNCTION("""COMPUTED_VALUE"""),"")</f>
        <v/>
      </c>
      <c r="F671" s="257" t="str">
        <f>IFERROR(__xludf.DUMMYFUNCTION("""COMPUTED_VALUE"""),"")</f>
        <v/>
      </c>
      <c r="G671" s="247" t="str">
        <f t="shared" si="1"/>
        <v/>
      </c>
      <c r="H671" s="258" t="str">
        <f>IFERROR(__xludf.DUMMYFUNCTION("""COMPUTED_VALUE"""),"")</f>
        <v/>
      </c>
      <c r="I671" s="259" t="str">
        <f>IFERROR(__xludf.DUMMYFUNCTION("""COMPUTED_VALUE"""),"")</f>
        <v/>
      </c>
      <c r="J671" s="250" t="str">
        <f t="shared" si="2"/>
        <v/>
      </c>
      <c r="K671" s="317" t="str">
        <f>IFERROR(__xludf.DUMMYFUNCTION("""COMPUTED_VALUE"""),"")</f>
        <v/>
      </c>
      <c r="L671" s="318" t="str">
        <f>IFERROR(__xludf.DUMMYFUNCTION("""COMPUTED_VALUE"""),"")</f>
        <v/>
      </c>
      <c r="M671" s="253" t="str">
        <f t="shared" si="3"/>
        <v/>
      </c>
      <c r="N671" s="319" t="str">
        <f>IFERROR(__xludf.DUMMYFUNCTION("""COMPUTED_VALUE"""),"")</f>
        <v/>
      </c>
      <c r="O671" s="257" t="str">
        <f>IFERROR(__xludf.DUMMYFUNCTION("""COMPUTED_VALUE"""),"")</f>
        <v/>
      </c>
      <c r="P671" s="247" t="str">
        <f t="shared" si="4"/>
        <v/>
      </c>
      <c r="Q671" s="320" t="str">
        <f>IFERROR(__xludf.DUMMYFUNCTION("""COMPUTED_VALUE"""),"")</f>
        <v/>
      </c>
      <c r="R671" s="259" t="str">
        <f>IFERROR(__xludf.DUMMYFUNCTION("""COMPUTED_VALUE"""),"")</f>
        <v/>
      </c>
      <c r="S671" s="250" t="str">
        <f t="shared" si="5"/>
        <v/>
      </c>
      <c r="T671" s="254" t="str">
        <f>IFERROR(__xludf.DUMMYFUNCTION("""COMPUTED_VALUE"""),"")</f>
        <v/>
      </c>
      <c r="U671" s="246" t="str">
        <f>IFERROR(__xludf.DUMMYFUNCTION("""COMPUTED_VALUE"""),"")</f>
        <v/>
      </c>
      <c r="V671" s="247" t="str">
        <f t="shared" si="6"/>
        <v/>
      </c>
      <c r="W671" s="255" t="str">
        <f>IFERROR(__xludf.DUMMYFUNCTION("""COMPUTED_VALUE"""),"")</f>
        <v/>
      </c>
      <c r="X671" s="249" t="str">
        <f>IFERROR(__xludf.DUMMYFUNCTION("""COMPUTED_VALUE"""),"")</f>
        <v/>
      </c>
      <c r="Y671" s="250" t="str">
        <f t="shared" si="7"/>
        <v/>
      </c>
    </row>
    <row r="672">
      <c r="A672" s="136" t="s">
        <v>133</v>
      </c>
      <c r="B672" s="136"/>
      <c r="C672" s="136" t="s">
        <v>133</v>
      </c>
      <c r="D672" s="136"/>
      <c r="E672" s="256" t="str">
        <f>IFERROR(__xludf.DUMMYFUNCTION("""COMPUTED_VALUE"""),"")</f>
        <v/>
      </c>
      <c r="F672" s="257" t="str">
        <f>IFERROR(__xludf.DUMMYFUNCTION("""COMPUTED_VALUE"""),"")</f>
        <v/>
      </c>
      <c r="G672" s="247" t="str">
        <f t="shared" si="1"/>
        <v/>
      </c>
      <c r="H672" s="258" t="str">
        <f>IFERROR(__xludf.DUMMYFUNCTION("""COMPUTED_VALUE"""),"")</f>
        <v/>
      </c>
      <c r="I672" s="259" t="str">
        <f>IFERROR(__xludf.DUMMYFUNCTION("""COMPUTED_VALUE"""),"")</f>
        <v/>
      </c>
      <c r="J672" s="250" t="str">
        <f t="shared" si="2"/>
        <v/>
      </c>
      <c r="K672" s="317" t="str">
        <f>IFERROR(__xludf.DUMMYFUNCTION("""COMPUTED_VALUE"""),"")</f>
        <v/>
      </c>
      <c r="L672" s="318" t="str">
        <f>IFERROR(__xludf.DUMMYFUNCTION("""COMPUTED_VALUE"""),"")</f>
        <v/>
      </c>
      <c r="M672" s="253" t="str">
        <f t="shared" si="3"/>
        <v/>
      </c>
      <c r="N672" s="319" t="str">
        <f>IFERROR(__xludf.DUMMYFUNCTION("""COMPUTED_VALUE"""),"")</f>
        <v/>
      </c>
      <c r="O672" s="257" t="str">
        <f>IFERROR(__xludf.DUMMYFUNCTION("""COMPUTED_VALUE"""),"")</f>
        <v/>
      </c>
      <c r="P672" s="247" t="str">
        <f t="shared" si="4"/>
        <v/>
      </c>
      <c r="Q672" s="320" t="str">
        <f>IFERROR(__xludf.DUMMYFUNCTION("""COMPUTED_VALUE"""),"")</f>
        <v/>
      </c>
      <c r="R672" s="259" t="str">
        <f>IFERROR(__xludf.DUMMYFUNCTION("""COMPUTED_VALUE"""),"")</f>
        <v/>
      </c>
      <c r="S672" s="250" t="str">
        <f t="shared" si="5"/>
        <v/>
      </c>
      <c r="T672" s="254" t="str">
        <f>IFERROR(__xludf.DUMMYFUNCTION("""COMPUTED_VALUE"""),"")</f>
        <v/>
      </c>
      <c r="U672" s="246" t="str">
        <f>IFERROR(__xludf.DUMMYFUNCTION("""COMPUTED_VALUE"""),"")</f>
        <v/>
      </c>
      <c r="V672" s="247" t="str">
        <f t="shared" si="6"/>
        <v/>
      </c>
      <c r="W672" s="255" t="str">
        <f>IFERROR(__xludf.DUMMYFUNCTION("""COMPUTED_VALUE"""),"")</f>
        <v/>
      </c>
      <c r="X672" s="249" t="str">
        <f>IFERROR(__xludf.DUMMYFUNCTION("""COMPUTED_VALUE"""),"")</f>
        <v/>
      </c>
      <c r="Y672" s="250" t="str">
        <f t="shared" si="7"/>
        <v/>
      </c>
    </row>
    <row r="673">
      <c r="A673" s="136" t="s">
        <v>133</v>
      </c>
      <c r="B673" s="136"/>
      <c r="C673" s="136" t="s">
        <v>133</v>
      </c>
      <c r="D673" s="136"/>
      <c r="E673" s="256" t="str">
        <f>IFERROR(__xludf.DUMMYFUNCTION("""COMPUTED_VALUE"""),"")</f>
        <v/>
      </c>
      <c r="F673" s="257" t="str">
        <f>IFERROR(__xludf.DUMMYFUNCTION("""COMPUTED_VALUE"""),"")</f>
        <v/>
      </c>
      <c r="G673" s="247" t="str">
        <f t="shared" si="1"/>
        <v/>
      </c>
      <c r="H673" s="258" t="str">
        <f>IFERROR(__xludf.DUMMYFUNCTION("""COMPUTED_VALUE"""),"")</f>
        <v/>
      </c>
      <c r="I673" s="259" t="str">
        <f>IFERROR(__xludf.DUMMYFUNCTION("""COMPUTED_VALUE"""),"")</f>
        <v/>
      </c>
      <c r="J673" s="250" t="str">
        <f t="shared" si="2"/>
        <v/>
      </c>
      <c r="K673" s="317" t="str">
        <f>IFERROR(__xludf.DUMMYFUNCTION("""COMPUTED_VALUE"""),"")</f>
        <v/>
      </c>
      <c r="L673" s="318" t="str">
        <f>IFERROR(__xludf.DUMMYFUNCTION("""COMPUTED_VALUE"""),"")</f>
        <v/>
      </c>
      <c r="M673" s="253" t="str">
        <f t="shared" si="3"/>
        <v/>
      </c>
      <c r="N673" s="319" t="str">
        <f>IFERROR(__xludf.DUMMYFUNCTION("""COMPUTED_VALUE"""),"")</f>
        <v/>
      </c>
      <c r="O673" s="257" t="str">
        <f>IFERROR(__xludf.DUMMYFUNCTION("""COMPUTED_VALUE"""),"")</f>
        <v/>
      </c>
      <c r="P673" s="247" t="str">
        <f t="shared" si="4"/>
        <v/>
      </c>
      <c r="Q673" s="320" t="str">
        <f>IFERROR(__xludf.DUMMYFUNCTION("""COMPUTED_VALUE"""),"")</f>
        <v/>
      </c>
      <c r="R673" s="259" t="str">
        <f>IFERROR(__xludf.DUMMYFUNCTION("""COMPUTED_VALUE"""),"")</f>
        <v/>
      </c>
      <c r="S673" s="250" t="str">
        <f t="shared" si="5"/>
        <v/>
      </c>
      <c r="T673" s="254" t="str">
        <f>IFERROR(__xludf.DUMMYFUNCTION("""COMPUTED_VALUE"""),"")</f>
        <v/>
      </c>
      <c r="U673" s="246" t="str">
        <f>IFERROR(__xludf.DUMMYFUNCTION("""COMPUTED_VALUE"""),"")</f>
        <v/>
      </c>
      <c r="V673" s="247" t="str">
        <f t="shared" si="6"/>
        <v/>
      </c>
      <c r="W673" s="255" t="str">
        <f>IFERROR(__xludf.DUMMYFUNCTION("""COMPUTED_VALUE"""),"")</f>
        <v/>
      </c>
      <c r="X673" s="249" t="str">
        <f>IFERROR(__xludf.DUMMYFUNCTION("""COMPUTED_VALUE"""),"")</f>
        <v/>
      </c>
      <c r="Y673" s="250" t="str">
        <f t="shared" si="7"/>
        <v/>
      </c>
    </row>
    <row r="674">
      <c r="A674" s="136" t="s">
        <v>133</v>
      </c>
      <c r="B674" s="136"/>
      <c r="C674" s="136" t="s">
        <v>133</v>
      </c>
      <c r="D674" s="136"/>
      <c r="E674" s="256" t="str">
        <f>IFERROR(__xludf.DUMMYFUNCTION("""COMPUTED_VALUE"""),"")</f>
        <v/>
      </c>
      <c r="F674" s="257" t="str">
        <f>IFERROR(__xludf.DUMMYFUNCTION("""COMPUTED_VALUE"""),"")</f>
        <v/>
      </c>
      <c r="G674" s="247" t="str">
        <f t="shared" si="1"/>
        <v/>
      </c>
      <c r="H674" s="258" t="str">
        <f>IFERROR(__xludf.DUMMYFUNCTION("""COMPUTED_VALUE"""),"")</f>
        <v/>
      </c>
      <c r="I674" s="259" t="str">
        <f>IFERROR(__xludf.DUMMYFUNCTION("""COMPUTED_VALUE"""),"")</f>
        <v/>
      </c>
      <c r="J674" s="250" t="str">
        <f t="shared" si="2"/>
        <v/>
      </c>
      <c r="K674" s="317" t="str">
        <f>IFERROR(__xludf.DUMMYFUNCTION("""COMPUTED_VALUE"""),"")</f>
        <v/>
      </c>
      <c r="L674" s="318" t="str">
        <f>IFERROR(__xludf.DUMMYFUNCTION("""COMPUTED_VALUE"""),"")</f>
        <v/>
      </c>
      <c r="M674" s="253" t="str">
        <f t="shared" si="3"/>
        <v/>
      </c>
      <c r="N674" s="319" t="str">
        <f>IFERROR(__xludf.DUMMYFUNCTION("""COMPUTED_VALUE"""),"")</f>
        <v/>
      </c>
      <c r="O674" s="257" t="str">
        <f>IFERROR(__xludf.DUMMYFUNCTION("""COMPUTED_VALUE"""),"")</f>
        <v/>
      </c>
      <c r="P674" s="247" t="str">
        <f t="shared" si="4"/>
        <v/>
      </c>
      <c r="Q674" s="320" t="str">
        <f>IFERROR(__xludf.DUMMYFUNCTION("""COMPUTED_VALUE"""),"")</f>
        <v/>
      </c>
      <c r="R674" s="259" t="str">
        <f>IFERROR(__xludf.DUMMYFUNCTION("""COMPUTED_VALUE"""),"")</f>
        <v/>
      </c>
      <c r="S674" s="250" t="str">
        <f t="shared" si="5"/>
        <v/>
      </c>
      <c r="T674" s="254" t="str">
        <f>IFERROR(__xludf.DUMMYFUNCTION("""COMPUTED_VALUE"""),"")</f>
        <v/>
      </c>
      <c r="U674" s="246" t="str">
        <f>IFERROR(__xludf.DUMMYFUNCTION("""COMPUTED_VALUE"""),"")</f>
        <v/>
      </c>
      <c r="V674" s="247" t="str">
        <f t="shared" si="6"/>
        <v/>
      </c>
      <c r="W674" s="255" t="str">
        <f>IFERROR(__xludf.DUMMYFUNCTION("""COMPUTED_VALUE"""),"")</f>
        <v/>
      </c>
      <c r="X674" s="249" t="str">
        <f>IFERROR(__xludf.DUMMYFUNCTION("""COMPUTED_VALUE"""),"")</f>
        <v/>
      </c>
      <c r="Y674" s="250" t="str">
        <f t="shared" si="7"/>
        <v/>
      </c>
    </row>
    <row r="675">
      <c r="A675" s="136" t="s">
        <v>133</v>
      </c>
      <c r="B675" s="136"/>
      <c r="C675" s="136" t="s">
        <v>133</v>
      </c>
      <c r="D675" s="136"/>
      <c r="E675" s="256" t="str">
        <f>IFERROR(__xludf.DUMMYFUNCTION("""COMPUTED_VALUE"""),"")</f>
        <v/>
      </c>
      <c r="F675" s="257" t="str">
        <f>IFERROR(__xludf.DUMMYFUNCTION("""COMPUTED_VALUE"""),"")</f>
        <v/>
      </c>
      <c r="G675" s="247" t="str">
        <f t="shared" si="1"/>
        <v/>
      </c>
      <c r="H675" s="258" t="str">
        <f>IFERROR(__xludf.DUMMYFUNCTION("""COMPUTED_VALUE"""),"")</f>
        <v/>
      </c>
      <c r="I675" s="259" t="str">
        <f>IFERROR(__xludf.DUMMYFUNCTION("""COMPUTED_VALUE"""),"")</f>
        <v/>
      </c>
      <c r="J675" s="250" t="str">
        <f t="shared" si="2"/>
        <v/>
      </c>
      <c r="K675" s="317" t="str">
        <f>IFERROR(__xludf.DUMMYFUNCTION("""COMPUTED_VALUE"""),"")</f>
        <v/>
      </c>
      <c r="L675" s="318" t="str">
        <f>IFERROR(__xludf.DUMMYFUNCTION("""COMPUTED_VALUE"""),"")</f>
        <v/>
      </c>
      <c r="M675" s="253" t="str">
        <f t="shared" si="3"/>
        <v/>
      </c>
      <c r="N675" s="319" t="str">
        <f>IFERROR(__xludf.DUMMYFUNCTION("""COMPUTED_VALUE"""),"")</f>
        <v/>
      </c>
      <c r="O675" s="257" t="str">
        <f>IFERROR(__xludf.DUMMYFUNCTION("""COMPUTED_VALUE"""),"")</f>
        <v/>
      </c>
      <c r="P675" s="247" t="str">
        <f t="shared" si="4"/>
        <v/>
      </c>
      <c r="Q675" s="320" t="str">
        <f>IFERROR(__xludf.DUMMYFUNCTION("""COMPUTED_VALUE"""),"")</f>
        <v/>
      </c>
      <c r="R675" s="259" t="str">
        <f>IFERROR(__xludf.DUMMYFUNCTION("""COMPUTED_VALUE"""),"")</f>
        <v/>
      </c>
      <c r="S675" s="250" t="str">
        <f t="shared" si="5"/>
        <v/>
      </c>
      <c r="T675" s="254" t="str">
        <f>IFERROR(__xludf.DUMMYFUNCTION("""COMPUTED_VALUE"""),"")</f>
        <v/>
      </c>
      <c r="U675" s="246" t="str">
        <f>IFERROR(__xludf.DUMMYFUNCTION("""COMPUTED_VALUE"""),"")</f>
        <v/>
      </c>
      <c r="V675" s="247" t="str">
        <f t="shared" si="6"/>
        <v/>
      </c>
      <c r="W675" s="255" t="str">
        <f>IFERROR(__xludf.DUMMYFUNCTION("""COMPUTED_VALUE"""),"")</f>
        <v/>
      </c>
      <c r="X675" s="249" t="str">
        <f>IFERROR(__xludf.DUMMYFUNCTION("""COMPUTED_VALUE"""),"")</f>
        <v/>
      </c>
      <c r="Y675" s="250" t="str">
        <f t="shared" si="7"/>
        <v/>
      </c>
    </row>
    <row r="676">
      <c r="A676" s="136" t="s">
        <v>133</v>
      </c>
      <c r="B676" s="136"/>
      <c r="C676" s="136" t="s">
        <v>133</v>
      </c>
      <c r="D676" s="136"/>
      <c r="E676" s="256" t="str">
        <f>IFERROR(__xludf.DUMMYFUNCTION("""COMPUTED_VALUE"""),"")</f>
        <v/>
      </c>
      <c r="F676" s="257" t="str">
        <f>IFERROR(__xludf.DUMMYFUNCTION("""COMPUTED_VALUE"""),"")</f>
        <v/>
      </c>
      <c r="G676" s="247" t="str">
        <f t="shared" si="1"/>
        <v/>
      </c>
      <c r="H676" s="258" t="str">
        <f>IFERROR(__xludf.DUMMYFUNCTION("""COMPUTED_VALUE"""),"")</f>
        <v/>
      </c>
      <c r="I676" s="259" t="str">
        <f>IFERROR(__xludf.DUMMYFUNCTION("""COMPUTED_VALUE"""),"")</f>
        <v/>
      </c>
      <c r="J676" s="250" t="str">
        <f t="shared" si="2"/>
        <v/>
      </c>
      <c r="K676" s="317" t="str">
        <f>IFERROR(__xludf.DUMMYFUNCTION("""COMPUTED_VALUE"""),"")</f>
        <v/>
      </c>
      <c r="L676" s="318" t="str">
        <f>IFERROR(__xludf.DUMMYFUNCTION("""COMPUTED_VALUE"""),"")</f>
        <v/>
      </c>
      <c r="M676" s="253" t="str">
        <f t="shared" si="3"/>
        <v/>
      </c>
      <c r="N676" s="319" t="str">
        <f>IFERROR(__xludf.DUMMYFUNCTION("""COMPUTED_VALUE"""),"")</f>
        <v/>
      </c>
      <c r="O676" s="257" t="str">
        <f>IFERROR(__xludf.DUMMYFUNCTION("""COMPUTED_VALUE"""),"")</f>
        <v/>
      </c>
      <c r="P676" s="247" t="str">
        <f t="shared" si="4"/>
        <v/>
      </c>
      <c r="Q676" s="320" t="str">
        <f>IFERROR(__xludf.DUMMYFUNCTION("""COMPUTED_VALUE"""),"")</f>
        <v/>
      </c>
      <c r="R676" s="259" t="str">
        <f>IFERROR(__xludf.DUMMYFUNCTION("""COMPUTED_VALUE"""),"")</f>
        <v/>
      </c>
      <c r="S676" s="250" t="str">
        <f t="shared" si="5"/>
        <v/>
      </c>
      <c r="T676" s="254" t="str">
        <f>IFERROR(__xludf.DUMMYFUNCTION("""COMPUTED_VALUE"""),"")</f>
        <v/>
      </c>
      <c r="U676" s="246" t="str">
        <f>IFERROR(__xludf.DUMMYFUNCTION("""COMPUTED_VALUE"""),"")</f>
        <v/>
      </c>
      <c r="V676" s="247" t="str">
        <f t="shared" si="6"/>
        <v/>
      </c>
      <c r="W676" s="255" t="str">
        <f>IFERROR(__xludf.DUMMYFUNCTION("""COMPUTED_VALUE"""),"")</f>
        <v/>
      </c>
      <c r="X676" s="249" t="str">
        <f>IFERROR(__xludf.DUMMYFUNCTION("""COMPUTED_VALUE"""),"")</f>
        <v/>
      </c>
      <c r="Y676" s="250" t="str">
        <f t="shared" si="7"/>
        <v/>
      </c>
    </row>
    <row r="677">
      <c r="A677" s="136" t="s">
        <v>133</v>
      </c>
      <c r="B677" s="136"/>
      <c r="C677" s="136" t="s">
        <v>133</v>
      </c>
      <c r="D677" s="136"/>
      <c r="E677" s="256" t="str">
        <f>IFERROR(__xludf.DUMMYFUNCTION("""COMPUTED_VALUE"""),"")</f>
        <v/>
      </c>
      <c r="F677" s="257" t="str">
        <f>IFERROR(__xludf.DUMMYFUNCTION("""COMPUTED_VALUE"""),"")</f>
        <v/>
      </c>
      <c r="G677" s="247" t="str">
        <f t="shared" si="1"/>
        <v/>
      </c>
      <c r="H677" s="258" t="str">
        <f>IFERROR(__xludf.DUMMYFUNCTION("""COMPUTED_VALUE"""),"")</f>
        <v/>
      </c>
      <c r="I677" s="259" t="str">
        <f>IFERROR(__xludf.DUMMYFUNCTION("""COMPUTED_VALUE"""),"")</f>
        <v/>
      </c>
      <c r="J677" s="250" t="str">
        <f t="shared" si="2"/>
        <v/>
      </c>
      <c r="K677" s="317" t="str">
        <f>IFERROR(__xludf.DUMMYFUNCTION("""COMPUTED_VALUE"""),"")</f>
        <v/>
      </c>
      <c r="L677" s="318" t="str">
        <f>IFERROR(__xludf.DUMMYFUNCTION("""COMPUTED_VALUE"""),"")</f>
        <v/>
      </c>
      <c r="M677" s="253" t="str">
        <f t="shared" si="3"/>
        <v/>
      </c>
      <c r="N677" s="319" t="str">
        <f>IFERROR(__xludf.DUMMYFUNCTION("""COMPUTED_VALUE"""),"")</f>
        <v/>
      </c>
      <c r="O677" s="257" t="str">
        <f>IFERROR(__xludf.DUMMYFUNCTION("""COMPUTED_VALUE"""),"")</f>
        <v/>
      </c>
      <c r="P677" s="247" t="str">
        <f t="shared" si="4"/>
        <v/>
      </c>
      <c r="Q677" s="320" t="str">
        <f>IFERROR(__xludf.DUMMYFUNCTION("""COMPUTED_VALUE"""),"")</f>
        <v/>
      </c>
      <c r="R677" s="259" t="str">
        <f>IFERROR(__xludf.DUMMYFUNCTION("""COMPUTED_VALUE"""),"")</f>
        <v/>
      </c>
      <c r="S677" s="250" t="str">
        <f t="shared" si="5"/>
        <v/>
      </c>
      <c r="T677" s="254" t="str">
        <f>IFERROR(__xludf.DUMMYFUNCTION("""COMPUTED_VALUE"""),"")</f>
        <v/>
      </c>
      <c r="U677" s="246" t="str">
        <f>IFERROR(__xludf.DUMMYFUNCTION("""COMPUTED_VALUE"""),"")</f>
        <v/>
      </c>
      <c r="V677" s="247" t="str">
        <f t="shared" si="6"/>
        <v/>
      </c>
      <c r="W677" s="255" t="str">
        <f>IFERROR(__xludf.DUMMYFUNCTION("""COMPUTED_VALUE"""),"")</f>
        <v/>
      </c>
      <c r="X677" s="249" t="str">
        <f>IFERROR(__xludf.DUMMYFUNCTION("""COMPUTED_VALUE"""),"")</f>
        <v/>
      </c>
      <c r="Y677" s="250" t="str">
        <f t="shared" si="7"/>
        <v/>
      </c>
    </row>
    <row r="678">
      <c r="A678" s="136" t="s">
        <v>133</v>
      </c>
      <c r="B678" s="136"/>
      <c r="C678" s="136" t="s">
        <v>133</v>
      </c>
      <c r="D678" s="136"/>
      <c r="E678" s="256" t="str">
        <f>IFERROR(__xludf.DUMMYFUNCTION("""COMPUTED_VALUE"""),"")</f>
        <v/>
      </c>
      <c r="F678" s="257" t="str">
        <f>IFERROR(__xludf.DUMMYFUNCTION("""COMPUTED_VALUE"""),"")</f>
        <v/>
      </c>
      <c r="G678" s="247" t="str">
        <f t="shared" si="1"/>
        <v/>
      </c>
      <c r="H678" s="258" t="str">
        <f>IFERROR(__xludf.DUMMYFUNCTION("""COMPUTED_VALUE"""),"")</f>
        <v/>
      </c>
      <c r="I678" s="259" t="str">
        <f>IFERROR(__xludf.DUMMYFUNCTION("""COMPUTED_VALUE"""),"")</f>
        <v/>
      </c>
      <c r="J678" s="250" t="str">
        <f t="shared" si="2"/>
        <v/>
      </c>
      <c r="K678" s="317" t="str">
        <f>IFERROR(__xludf.DUMMYFUNCTION("""COMPUTED_VALUE"""),"")</f>
        <v/>
      </c>
      <c r="L678" s="318" t="str">
        <f>IFERROR(__xludf.DUMMYFUNCTION("""COMPUTED_VALUE"""),"")</f>
        <v/>
      </c>
      <c r="M678" s="253" t="str">
        <f t="shared" si="3"/>
        <v/>
      </c>
      <c r="N678" s="319" t="str">
        <f>IFERROR(__xludf.DUMMYFUNCTION("""COMPUTED_VALUE"""),"")</f>
        <v/>
      </c>
      <c r="O678" s="257" t="str">
        <f>IFERROR(__xludf.DUMMYFUNCTION("""COMPUTED_VALUE"""),"")</f>
        <v/>
      </c>
      <c r="P678" s="247" t="str">
        <f t="shared" si="4"/>
        <v/>
      </c>
      <c r="Q678" s="320" t="str">
        <f>IFERROR(__xludf.DUMMYFUNCTION("""COMPUTED_VALUE"""),"")</f>
        <v/>
      </c>
      <c r="R678" s="259" t="str">
        <f>IFERROR(__xludf.DUMMYFUNCTION("""COMPUTED_VALUE"""),"")</f>
        <v/>
      </c>
      <c r="S678" s="250" t="str">
        <f t="shared" si="5"/>
        <v/>
      </c>
      <c r="T678" s="254" t="str">
        <f>IFERROR(__xludf.DUMMYFUNCTION("""COMPUTED_VALUE"""),"")</f>
        <v/>
      </c>
      <c r="U678" s="246" t="str">
        <f>IFERROR(__xludf.DUMMYFUNCTION("""COMPUTED_VALUE"""),"")</f>
        <v/>
      </c>
      <c r="V678" s="247" t="str">
        <f t="shared" si="6"/>
        <v/>
      </c>
      <c r="W678" s="255" t="str">
        <f>IFERROR(__xludf.DUMMYFUNCTION("""COMPUTED_VALUE"""),"")</f>
        <v/>
      </c>
      <c r="X678" s="249" t="str">
        <f>IFERROR(__xludf.DUMMYFUNCTION("""COMPUTED_VALUE"""),"")</f>
        <v/>
      </c>
      <c r="Y678" s="250" t="str">
        <f t="shared" si="7"/>
        <v/>
      </c>
    </row>
    <row r="679">
      <c r="A679" s="136" t="s">
        <v>133</v>
      </c>
      <c r="B679" s="136"/>
      <c r="C679" s="136" t="s">
        <v>133</v>
      </c>
      <c r="D679" s="136"/>
      <c r="E679" s="256" t="str">
        <f>IFERROR(__xludf.DUMMYFUNCTION("""COMPUTED_VALUE"""),"")</f>
        <v/>
      </c>
      <c r="F679" s="257" t="str">
        <f>IFERROR(__xludf.DUMMYFUNCTION("""COMPUTED_VALUE"""),"")</f>
        <v/>
      </c>
      <c r="G679" s="247" t="str">
        <f t="shared" si="1"/>
        <v/>
      </c>
      <c r="H679" s="258" t="str">
        <f>IFERROR(__xludf.DUMMYFUNCTION("""COMPUTED_VALUE"""),"")</f>
        <v/>
      </c>
      <c r="I679" s="259" t="str">
        <f>IFERROR(__xludf.DUMMYFUNCTION("""COMPUTED_VALUE"""),"")</f>
        <v/>
      </c>
      <c r="J679" s="250" t="str">
        <f t="shared" si="2"/>
        <v/>
      </c>
      <c r="K679" s="317" t="str">
        <f>IFERROR(__xludf.DUMMYFUNCTION("""COMPUTED_VALUE"""),"")</f>
        <v/>
      </c>
      <c r="L679" s="318" t="str">
        <f>IFERROR(__xludf.DUMMYFUNCTION("""COMPUTED_VALUE"""),"")</f>
        <v/>
      </c>
      <c r="M679" s="253" t="str">
        <f t="shared" si="3"/>
        <v/>
      </c>
      <c r="N679" s="319" t="str">
        <f>IFERROR(__xludf.DUMMYFUNCTION("""COMPUTED_VALUE"""),"")</f>
        <v/>
      </c>
      <c r="O679" s="257" t="str">
        <f>IFERROR(__xludf.DUMMYFUNCTION("""COMPUTED_VALUE"""),"")</f>
        <v/>
      </c>
      <c r="P679" s="247" t="str">
        <f t="shared" si="4"/>
        <v/>
      </c>
      <c r="Q679" s="320" t="str">
        <f>IFERROR(__xludf.DUMMYFUNCTION("""COMPUTED_VALUE"""),"")</f>
        <v/>
      </c>
      <c r="R679" s="259" t="str">
        <f>IFERROR(__xludf.DUMMYFUNCTION("""COMPUTED_VALUE"""),"")</f>
        <v/>
      </c>
      <c r="S679" s="250" t="str">
        <f t="shared" si="5"/>
        <v/>
      </c>
      <c r="T679" s="254" t="str">
        <f>IFERROR(__xludf.DUMMYFUNCTION("""COMPUTED_VALUE"""),"")</f>
        <v/>
      </c>
      <c r="U679" s="246" t="str">
        <f>IFERROR(__xludf.DUMMYFUNCTION("""COMPUTED_VALUE"""),"")</f>
        <v/>
      </c>
      <c r="V679" s="247" t="str">
        <f t="shared" si="6"/>
        <v/>
      </c>
      <c r="W679" s="255" t="str">
        <f>IFERROR(__xludf.DUMMYFUNCTION("""COMPUTED_VALUE"""),"")</f>
        <v/>
      </c>
      <c r="X679" s="249" t="str">
        <f>IFERROR(__xludf.DUMMYFUNCTION("""COMPUTED_VALUE"""),"")</f>
        <v/>
      </c>
      <c r="Y679" s="250" t="str">
        <f t="shared" si="7"/>
        <v/>
      </c>
    </row>
    <row r="680">
      <c r="A680" s="136" t="s">
        <v>133</v>
      </c>
      <c r="B680" s="136"/>
      <c r="C680" s="136" t="s">
        <v>133</v>
      </c>
      <c r="D680" s="136"/>
      <c r="E680" s="256" t="str">
        <f>IFERROR(__xludf.DUMMYFUNCTION("""COMPUTED_VALUE"""),"")</f>
        <v/>
      </c>
      <c r="F680" s="257" t="str">
        <f>IFERROR(__xludf.DUMMYFUNCTION("""COMPUTED_VALUE"""),"")</f>
        <v/>
      </c>
      <c r="G680" s="247" t="str">
        <f t="shared" si="1"/>
        <v/>
      </c>
      <c r="H680" s="258" t="str">
        <f>IFERROR(__xludf.DUMMYFUNCTION("""COMPUTED_VALUE"""),"")</f>
        <v/>
      </c>
      <c r="I680" s="259" t="str">
        <f>IFERROR(__xludf.DUMMYFUNCTION("""COMPUTED_VALUE"""),"")</f>
        <v/>
      </c>
      <c r="J680" s="250" t="str">
        <f t="shared" si="2"/>
        <v/>
      </c>
      <c r="K680" s="317" t="str">
        <f>IFERROR(__xludf.DUMMYFUNCTION("""COMPUTED_VALUE"""),"")</f>
        <v/>
      </c>
      <c r="L680" s="318" t="str">
        <f>IFERROR(__xludf.DUMMYFUNCTION("""COMPUTED_VALUE"""),"")</f>
        <v/>
      </c>
      <c r="M680" s="253" t="str">
        <f t="shared" si="3"/>
        <v/>
      </c>
      <c r="N680" s="319" t="str">
        <f>IFERROR(__xludf.DUMMYFUNCTION("""COMPUTED_VALUE"""),"")</f>
        <v/>
      </c>
      <c r="O680" s="257" t="str">
        <f>IFERROR(__xludf.DUMMYFUNCTION("""COMPUTED_VALUE"""),"")</f>
        <v/>
      </c>
      <c r="P680" s="247" t="str">
        <f t="shared" si="4"/>
        <v/>
      </c>
      <c r="Q680" s="320" t="str">
        <f>IFERROR(__xludf.DUMMYFUNCTION("""COMPUTED_VALUE"""),"")</f>
        <v/>
      </c>
      <c r="R680" s="259" t="str">
        <f>IFERROR(__xludf.DUMMYFUNCTION("""COMPUTED_VALUE"""),"")</f>
        <v/>
      </c>
      <c r="S680" s="250" t="str">
        <f t="shared" si="5"/>
        <v/>
      </c>
      <c r="T680" s="254" t="str">
        <f>IFERROR(__xludf.DUMMYFUNCTION("""COMPUTED_VALUE"""),"")</f>
        <v/>
      </c>
      <c r="U680" s="246" t="str">
        <f>IFERROR(__xludf.DUMMYFUNCTION("""COMPUTED_VALUE"""),"")</f>
        <v/>
      </c>
      <c r="V680" s="247" t="str">
        <f t="shared" si="6"/>
        <v/>
      </c>
      <c r="W680" s="255" t="str">
        <f>IFERROR(__xludf.DUMMYFUNCTION("""COMPUTED_VALUE"""),"")</f>
        <v/>
      </c>
      <c r="X680" s="249" t="str">
        <f>IFERROR(__xludf.DUMMYFUNCTION("""COMPUTED_VALUE"""),"")</f>
        <v/>
      </c>
      <c r="Y680" s="250" t="str">
        <f t="shared" si="7"/>
        <v/>
      </c>
    </row>
    <row r="681">
      <c r="A681" s="136" t="s">
        <v>133</v>
      </c>
      <c r="B681" s="136"/>
      <c r="C681" s="136" t="s">
        <v>133</v>
      </c>
      <c r="D681" s="136"/>
      <c r="E681" s="256" t="str">
        <f>IFERROR(__xludf.DUMMYFUNCTION("""COMPUTED_VALUE"""),"")</f>
        <v/>
      </c>
      <c r="F681" s="257" t="str">
        <f>IFERROR(__xludf.DUMMYFUNCTION("""COMPUTED_VALUE"""),"")</f>
        <v/>
      </c>
      <c r="G681" s="247" t="str">
        <f t="shared" si="1"/>
        <v/>
      </c>
      <c r="H681" s="258" t="str">
        <f>IFERROR(__xludf.DUMMYFUNCTION("""COMPUTED_VALUE"""),"")</f>
        <v/>
      </c>
      <c r="I681" s="259" t="str">
        <f>IFERROR(__xludf.DUMMYFUNCTION("""COMPUTED_VALUE"""),"")</f>
        <v/>
      </c>
      <c r="J681" s="250" t="str">
        <f t="shared" si="2"/>
        <v/>
      </c>
      <c r="K681" s="317" t="str">
        <f>IFERROR(__xludf.DUMMYFUNCTION("""COMPUTED_VALUE"""),"")</f>
        <v/>
      </c>
      <c r="L681" s="318" t="str">
        <f>IFERROR(__xludf.DUMMYFUNCTION("""COMPUTED_VALUE"""),"")</f>
        <v/>
      </c>
      <c r="M681" s="253" t="str">
        <f t="shared" si="3"/>
        <v/>
      </c>
      <c r="N681" s="319" t="str">
        <f>IFERROR(__xludf.DUMMYFUNCTION("""COMPUTED_VALUE"""),"")</f>
        <v/>
      </c>
      <c r="O681" s="257" t="str">
        <f>IFERROR(__xludf.DUMMYFUNCTION("""COMPUTED_VALUE"""),"")</f>
        <v/>
      </c>
      <c r="P681" s="247" t="str">
        <f t="shared" si="4"/>
        <v/>
      </c>
      <c r="Q681" s="320" t="str">
        <f>IFERROR(__xludf.DUMMYFUNCTION("""COMPUTED_VALUE"""),"")</f>
        <v/>
      </c>
      <c r="R681" s="259" t="str">
        <f>IFERROR(__xludf.DUMMYFUNCTION("""COMPUTED_VALUE"""),"")</f>
        <v/>
      </c>
      <c r="S681" s="250" t="str">
        <f t="shared" si="5"/>
        <v/>
      </c>
      <c r="T681" s="254" t="str">
        <f>IFERROR(__xludf.DUMMYFUNCTION("""COMPUTED_VALUE"""),"")</f>
        <v/>
      </c>
      <c r="U681" s="246" t="str">
        <f>IFERROR(__xludf.DUMMYFUNCTION("""COMPUTED_VALUE"""),"")</f>
        <v/>
      </c>
      <c r="V681" s="247" t="str">
        <f t="shared" si="6"/>
        <v/>
      </c>
      <c r="W681" s="255" t="str">
        <f>IFERROR(__xludf.DUMMYFUNCTION("""COMPUTED_VALUE"""),"")</f>
        <v/>
      </c>
      <c r="X681" s="249" t="str">
        <f>IFERROR(__xludf.DUMMYFUNCTION("""COMPUTED_VALUE"""),"")</f>
        <v/>
      </c>
      <c r="Y681" s="250" t="str">
        <f t="shared" si="7"/>
        <v/>
      </c>
    </row>
    <row r="682">
      <c r="A682" s="136" t="s">
        <v>133</v>
      </c>
      <c r="B682" s="136"/>
      <c r="C682" s="136" t="s">
        <v>133</v>
      </c>
      <c r="D682" s="136"/>
      <c r="E682" s="256" t="str">
        <f>IFERROR(__xludf.DUMMYFUNCTION("""COMPUTED_VALUE"""),"")</f>
        <v/>
      </c>
      <c r="F682" s="257" t="str">
        <f>IFERROR(__xludf.DUMMYFUNCTION("""COMPUTED_VALUE"""),"")</f>
        <v/>
      </c>
      <c r="G682" s="247" t="str">
        <f t="shared" si="1"/>
        <v/>
      </c>
      <c r="H682" s="258" t="str">
        <f>IFERROR(__xludf.DUMMYFUNCTION("""COMPUTED_VALUE"""),"")</f>
        <v/>
      </c>
      <c r="I682" s="259" t="str">
        <f>IFERROR(__xludf.DUMMYFUNCTION("""COMPUTED_VALUE"""),"")</f>
        <v/>
      </c>
      <c r="J682" s="250" t="str">
        <f t="shared" si="2"/>
        <v/>
      </c>
      <c r="K682" s="317" t="str">
        <f>IFERROR(__xludf.DUMMYFUNCTION("""COMPUTED_VALUE"""),"")</f>
        <v/>
      </c>
      <c r="L682" s="318" t="str">
        <f>IFERROR(__xludf.DUMMYFUNCTION("""COMPUTED_VALUE"""),"")</f>
        <v/>
      </c>
      <c r="M682" s="253" t="str">
        <f t="shared" si="3"/>
        <v/>
      </c>
      <c r="N682" s="319" t="str">
        <f>IFERROR(__xludf.DUMMYFUNCTION("""COMPUTED_VALUE"""),"")</f>
        <v/>
      </c>
      <c r="O682" s="257" t="str">
        <f>IFERROR(__xludf.DUMMYFUNCTION("""COMPUTED_VALUE"""),"")</f>
        <v/>
      </c>
      <c r="P682" s="247" t="str">
        <f t="shared" si="4"/>
        <v/>
      </c>
      <c r="Q682" s="320" t="str">
        <f>IFERROR(__xludf.DUMMYFUNCTION("""COMPUTED_VALUE"""),"")</f>
        <v/>
      </c>
      <c r="R682" s="259" t="str">
        <f>IFERROR(__xludf.DUMMYFUNCTION("""COMPUTED_VALUE"""),"")</f>
        <v/>
      </c>
      <c r="S682" s="250" t="str">
        <f t="shared" si="5"/>
        <v/>
      </c>
      <c r="T682" s="254" t="str">
        <f>IFERROR(__xludf.DUMMYFUNCTION("""COMPUTED_VALUE"""),"")</f>
        <v/>
      </c>
      <c r="U682" s="246" t="str">
        <f>IFERROR(__xludf.DUMMYFUNCTION("""COMPUTED_VALUE"""),"")</f>
        <v/>
      </c>
      <c r="V682" s="247" t="str">
        <f t="shared" si="6"/>
        <v/>
      </c>
      <c r="W682" s="255" t="str">
        <f>IFERROR(__xludf.DUMMYFUNCTION("""COMPUTED_VALUE"""),"")</f>
        <v/>
      </c>
      <c r="X682" s="249" t="str">
        <f>IFERROR(__xludf.DUMMYFUNCTION("""COMPUTED_VALUE"""),"")</f>
        <v/>
      </c>
      <c r="Y682" s="250" t="str">
        <f t="shared" si="7"/>
        <v/>
      </c>
    </row>
    <row r="683">
      <c r="A683" s="136" t="s">
        <v>133</v>
      </c>
      <c r="B683" s="136"/>
      <c r="C683" s="136" t="s">
        <v>133</v>
      </c>
      <c r="D683" s="136"/>
      <c r="E683" s="256" t="str">
        <f>IFERROR(__xludf.DUMMYFUNCTION("""COMPUTED_VALUE"""),"")</f>
        <v/>
      </c>
      <c r="F683" s="257" t="str">
        <f>IFERROR(__xludf.DUMMYFUNCTION("""COMPUTED_VALUE"""),"")</f>
        <v/>
      </c>
      <c r="G683" s="247" t="str">
        <f t="shared" si="1"/>
        <v/>
      </c>
      <c r="H683" s="258" t="str">
        <f>IFERROR(__xludf.DUMMYFUNCTION("""COMPUTED_VALUE"""),"")</f>
        <v/>
      </c>
      <c r="I683" s="259" t="str">
        <f>IFERROR(__xludf.DUMMYFUNCTION("""COMPUTED_VALUE"""),"")</f>
        <v/>
      </c>
      <c r="J683" s="250" t="str">
        <f t="shared" si="2"/>
        <v/>
      </c>
      <c r="K683" s="317" t="str">
        <f>IFERROR(__xludf.DUMMYFUNCTION("""COMPUTED_VALUE"""),"")</f>
        <v/>
      </c>
      <c r="L683" s="318" t="str">
        <f>IFERROR(__xludf.DUMMYFUNCTION("""COMPUTED_VALUE"""),"")</f>
        <v/>
      </c>
      <c r="M683" s="253" t="str">
        <f t="shared" si="3"/>
        <v/>
      </c>
      <c r="N683" s="319" t="str">
        <f>IFERROR(__xludf.DUMMYFUNCTION("""COMPUTED_VALUE"""),"")</f>
        <v/>
      </c>
      <c r="O683" s="257" t="str">
        <f>IFERROR(__xludf.DUMMYFUNCTION("""COMPUTED_VALUE"""),"")</f>
        <v/>
      </c>
      <c r="P683" s="247" t="str">
        <f t="shared" si="4"/>
        <v/>
      </c>
      <c r="Q683" s="320" t="str">
        <f>IFERROR(__xludf.DUMMYFUNCTION("""COMPUTED_VALUE"""),"")</f>
        <v/>
      </c>
      <c r="R683" s="259" t="str">
        <f>IFERROR(__xludf.DUMMYFUNCTION("""COMPUTED_VALUE"""),"")</f>
        <v/>
      </c>
      <c r="S683" s="250" t="str">
        <f t="shared" si="5"/>
        <v/>
      </c>
      <c r="T683" s="254" t="str">
        <f>IFERROR(__xludf.DUMMYFUNCTION("""COMPUTED_VALUE"""),"")</f>
        <v/>
      </c>
      <c r="U683" s="246" t="str">
        <f>IFERROR(__xludf.DUMMYFUNCTION("""COMPUTED_VALUE"""),"")</f>
        <v/>
      </c>
      <c r="V683" s="247" t="str">
        <f t="shared" si="6"/>
        <v/>
      </c>
      <c r="W683" s="255" t="str">
        <f>IFERROR(__xludf.DUMMYFUNCTION("""COMPUTED_VALUE"""),"")</f>
        <v/>
      </c>
      <c r="X683" s="249" t="str">
        <f>IFERROR(__xludf.DUMMYFUNCTION("""COMPUTED_VALUE"""),"")</f>
        <v/>
      </c>
      <c r="Y683" s="250" t="str">
        <f t="shared" si="7"/>
        <v/>
      </c>
    </row>
    <row r="684">
      <c r="A684" s="136" t="s">
        <v>133</v>
      </c>
      <c r="B684" s="136"/>
      <c r="C684" s="136" t="s">
        <v>133</v>
      </c>
      <c r="D684" s="136"/>
      <c r="E684" s="256" t="str">
        <f>IFERROR(__xludf.DUMMYFUNCTION("""COMPUTED_VALUE"""),"")</f>
        <v/>
      </c>
      <c r="F684" s="257" t="str">
        <f>IFERROR(__xludf.DUMMYFUNCTION("""COMPUTED_VALUE"""),"")</f>
        <v/>
      </c>
      <c r="G684" s="247" t="str">
        <f t="shared" si="1"/>
        <v/>
      </c>
      <c r="H684" s="258" t="str">
        <f>IFERROR(__xludf.DUMMYFUNCTION("""COMPUTED_VALUE"""),"")</f>
        <v/>
      </c>
      <c r="I684" s="259" t="str">
        <f>IFERROR(__xludf.DUMMYFUNCTION("""COMPUTED_VALUE"""),"")</f>
        <v/>
      </c>
      <c r="J684" s="250" t="str">
        <f t="shared" si="2"/>
        <v/>
      </c>
      <c r="K684" s="317" t="str">
        <f>IFERROR(__xludf.DUMMYFUNCTION("""COMPUTED_VALUE"""),"")</f>
        <v/>
      </c>
      <c r="L684" s="318" t="str">
        <f>IFERROR(__xludf.DUMMYFUNCTION("""COMPUTED_VALUE"""),"")</f>
        <v/>
      </c>
      <c r="M684" s="253" t="str">
        <f t="shared" si="3"/>
        <v/>
      </c>
      <c r="N684" s="319" t="str">
        <f>IFERROR(__xludf.DUMMYFUNCTION("""COMPUTED_VALUE"""),"")</f>
        <v/>
      </c>
      <c r="O684" s="257" t="str">
        <f>IFERROR(__xludf.DUMMYFUNCTION("""COMPUTED_VALUE"""),"")</f>
        <v/>
      </c>
      <c r="P684" s="247" t="str">
        <f t="shared" si="4"/>
        <v/>
      </c>
      <c r="Q684" s="320" t="str">
        <f>IFERROR(__xludf.DUMMYFUNCTION("""COMPUTED_VALUE"""),"")</f>
        <v/>
      </c>
      <c r="R684" s="259" t="str">
        <f>IFERROR(__xludf.DUMMYFUNCTION("""COMPUTED_VALUE"""),"")</f>
        <v/>
      </c>
      <c r="S684" s="250" t="str">
        <f t="shared" si="5"/>
        <v/>
      </c>
      <c r="T684" s="254" t="str">
        <f>IFERROR(__xludf.DUMMYFUNCTION("""COMPUTED_VALUE"""),"")</f>
        <v/>
      </c>
      <c r="U684" s="246" t="str">
        <f>IFERROR(__xludf.DUMMYFUNCTION("""COMPUTED_VALUE"""),"")</f>
        <v/>
      </c>
      <c r="V684" s="247" t="str">
        <f t="shared" si="6"/>
        <v/>
      </c>
      <c r="W684" s="255" t="str">
        <f>IFERROR(__xludf.DUMMYFUNCTION("""COMPUTED_VALUE"""),"")</f>
        <v/>
      </c>
      <c r="X684" s="249" t="str">
        <f>IFERROR(__xludf.DUMMYFUNCTION("""COMPUTED_VALUE"""),"")</f>
        <v/>
      </c>
      <c r="Y684" s="250" t="str">
        <f t="shared" si="7"/>
        <v/>
      </c>
    </row>
    <row r="685">
      <c r="A685" s="136" t="s">
        <v>133</v>
      </c>
      <c r="B685" s="136"/>
      <c r="C685" s="136" t="s">
        <v>133</v>
      </c>
      <c r="D685" s="136"/>
      <c r="E685" s="256" t="str">
        <f>IFERROR(__xludf.DUMMYFUNCTION("""COMPUTED_VALUE"""),"")</f>
        <v/>
      </c>
      <c r="F685" s="257" t="str">
        <f>IFERROR(__xludf.DUMMYFUNCTION("""COMPUTED_VALUE"""),"")</f>
        <v/>
      </c>
      <c r="G685" s="247" t="str">
        <f t="shared" si="1"/>
        <v/>
      </c>
      <c r="H685" s="258" t="str">
        <f>IFERROR(__xludf.DUMMYFUNCTION("""COMPUTED_VALUE"""),"")</f>
        <v/>
      </c>
      <c r="I685" s="259" t="str">
        <f>IFERROR(__xludf.DUMMYFUNCTION("""COMPUTED_VALUE"""),"")</f>
        <v/>
      </c>
      <c r="J685" s="250" t="str">
        <f t="shared" si="2"/>
        <v/>
      </c>
      <c r="K685" s="317" t="str">
        <f>IFERROR(__xludf.DUMMYFUNCTION("""COMPUTED_VALUE"""),"")</f>
        <v/>
      </c>
      <c r="L685" s="318" t="str">
        <f>IFERROR(__xludf.DUMMYFUNCTION("""COMPUTED_VALUE"""),"")</f>
        <v/>
      </c>
      <c r="M685" s="253" t="str">
        <f t="shared" si="3"/>
        <v/>
      </c>
      <c r="N685" s="319" t="str">
        <f>IFERROR(__xludf.DUMMYFUNCTION("""COMPUTED_VALUE"""),"")</f>
        <v/>
      </c>
      <c r="O685" s="257" t="str">
        <f>IFERROR(__xludf.DUMMYFUNCTION("""COMPUTED_VALUE"""),"")</f>
        <v/>
      </c>
      <c r="P685" s="247" t="str">
        <f t="shared" si="4"/>
        <v/>
      </c>
      <c r="Q685" s="320" t="str">
        <f>IFERROR(__xludf.DUMMYFUNCTION("""COMPUTED_VALUE"""),"")</f>
        <v/>
      </c>
      <c r="R685" s="259" t="str">
        <f>IFERROR(__xludf.DUMMYFUNCTION("""COMPUTED_VALUE"""),"")</f>
        <v/>
      </c>
      <c r="S685" s="250" t="str">
        <f t="shared" si="5"/>
        <v/>
      </c>
      <c r="T685" s="254" t="str">
        <f>IFERROR(__xludf.DUMMYFUNCTION("""COMPUTED_VALUE"""),"")</f>
        <v/>
      </c>
      <c r="U685" s="246" t="str">
        <f>IFERROR(__xludf.DUMMYFUNCTION("""COMPUTED_VALUE"""),"")</f>
        <v/>
      </c>
      <c r="V685" s="247" t="str">
        <f t="shared" si="6"/>
        <v/>
      </c>
      <c r="W685" s="255" t="str">
        <f>IFERROR(__xludf.DUMMYFUNCTION("""COMPUTED_VALUE"""),"")</f>
        <v/>
      </c>
      <c r="X685" s="249" t="str">
        <f>IFERROR(__xludf.DUMMYFUNCTION("""COMPUTED_VALUE"""),"")</f>
        <v/>
      </c>
      <c r="Y685" s="250" t="str">
        <f t="shared" si="7"/>
        <v/>
      </c>
    </row>
    <row r="686">
      <c r="A686" s="136" t="s">
        <v>133</v>
      </c>
      <c r="B686" s="136"/>
      <c r="C686" s="136" t="s">
        <v>133</v>
      </c>
      <c r="D686" s="136"/>
      <c r="E686" s="256" t="str">
        <f>IFERROR(__xludf.DUMMYFUNCTION("""COMPUTED_VALUE"""),"")</f>
        <v/>
      </c>
      <c r="F686" s="257" t="str">
        <f>IFERROR(__xludf.DUMMYFUNCTION("""COMPUTED_VALUE"""),"")</f>
        <v/>
      </c>
      <c r="G686" s="247" t="str">
        <f t="shared" si="1"/>
        <v/>
      </c>
      <c r="H686" s="258" t="str">
        <f>IFERROR(__xludf.DUMMYFUNCTION("""COMPUTED_VALUE"""),"")</f>
        <v/>
      </c>
      <c r="I686" s="259" t="str">
        <f>IFERROR(__xludf.DUMMYFUNCTION("""COMPUTED_VALUE"""),"")</f>
        <v/>
      </c>
      <c r="J686" s="250" t="str">
        <f t="shared" si="2"/>
        <v/>
      </c>
      <c r="K686" s="317" t="str">
        <f>IFERROR(__xludf.DUMMYFUNCTION("""COMPUTED_VALUE"""),"")</f>
        <v/>
      </c>
      <c r="L686" s="318" t="str">
        <f>IFERROR(__xludf.DUMMYFUNCTION("""COMPUTED_VALUE"""),"")</f>
        <v/>
      </c>
      <c r="M686" s="253" t="str">
        <f t="shared" si="3"/>
        <v/>
      </c>
      <c r="N686" s="319" t="str">
        <f>IFERROR(__xludf.DUMMYFUNCTION("""COMPUTED_VALUE"""),"")</f>
        <v/>
      </c>
      <c r="O686" s="257" t="str">
        <f>IFERROR(__xludf.DUMMYFUNCTION("""COMPUTED_VALUE"""),"")</f>
        <v/>
      </c>
      <c r="P686" s="247" t="str">
        <f t="shared" si="4"/>
        <v/>
      </c>
      <c r="Q686" s="320" t="str">
        <f>IFERROR(__xludf.DUMMYFUNCTION("""COMPUTED_VALUE"""),"")</f>
        <v/>
      </c>
      <c r="R686" s="259" t="str">
        <f>IFERROR(__xludf.DUMMYFUNCTION("""COMPUTED_VALUE"""),"")</f>
        <v/>
      </c>
      <c r="S686" s="250" t="str">
        <f t="shared" si="5"/>
        <v/>
      </c>
      <c r="T686" s="254" t="str">
        <f>IFERROR(__xludf.DUMMYFUNCTION("""COMPUTED_VALUE"""),"")</f>
        <v/>
      </c>
      <c r="U686" s="246" t="str">
        <f>IFERROR(__xludf.DUMMYFUNCTION("""COMPUTED_VALUE"""),"")</f>
        <v/>
      </c>
      <c r="V686" s="247" t="str">
        <f t="shared" si="6"/>
        <v/>
      </c>
      <c r="W686" s="255" t="str">
        <f>IFERROR(__xludf.DUMMYFUNCTION("""COMPUTED_VALUE"""),"")</f>
        <v/>
      </c>
      <c r="X686" s="249" t="str">
        <f>IFERROR(__xludf.DUMMYFUNCTION("""COMPUTED_VALUE"""),"")</f>
        <v/>
      </c>
      <c r="Y686" s="250" t="str">
        <f t="shared" si="7"/>
        <v/>
      </c>
    </row>
    <row r="687">
      <c r="A687" s="136" t="s">
        <v>133</v>
      </c>
      <c r="B687" s="136"/>
      <c r="C687" s="136" t="s">
        <v>133</v>
      </c>
      <c r="D687" s="136"/>
      <c r="E687" s="256" t="str">
        <f>IFERROR(__xludf.DUMMYFUNCTION("""COMPUTED_VALUE"""),"")</f>
        <v/>
      </c>
      <c r="F687" s="257" t="str">
        <f>IFERROR(__xludf.DUMMYFUNCTION("""COMPUTED_VALUE"""),"")</f>
        <v/>
      </c>
      <c r="G687" s="247" t="str">
        <f t="shared" si="1"/>
        <v/>
      </c>
      <c r="H687" s="258" t="str">
        <f>IFERROR(__xludf.DUMMYFUNCTION("""COMPUTED_VALUE"""),"")</f>
        <v/>
      </c>
      <c r="I687" s="259" t="str">
        <f>IFERROR(__xludf.DUMMYFUNCTION("""COMPUTED_VALUE"""),"")</f>
        <v/>
      </c>
      <c r="J687" s="250" t="str">
        <f t="shared" si="2"/>
        <v/>
      </c>
      <c r="K687" s="317" t="str">
        <f>IFERROR(__xludf.DUMMYFUNCTION("""COMPUTED_VALUE"""),"")</f>
        <v/>
      </c>
      <c r="L687" s="318" t="str">
        <f>IFERROR(__xludf.DUMMYFUNCTION("""COMPUTED_VALUE"""),"")</f>
        <v/>
      </c>
      <c r="M687" s="253" t="str">
        <f t="shared" si="3"/>
        <v/>
      </c>
      <c r="N687" s="319" t="str">
        <f>IFERROR(__xludf.DUMMYFUNCTION("""COMPUTED_VALUE"""),"")</f>
        <v/>
      </c>
      <c r="O687" s="257" t="str">
        <f>IFERROR(__xludf.DUMMYFUNCTION("""COMPUTED_VALUE"""),"")</f>
        <v/>
      </c>
      <c r="P687" s="247" t="str">
        <f t="shared" si="4"/>
        <v/>
      </c>
      <c r="Q687" s="320" t="str">
        <f>IFERROR(__xludf.DUMMYFUNCTION("""COMPUTED_VALUE"""),"")</f>
        <v/>
      </c>
      <c r="R687" s="259" t="str">
        <f>IFERROR(__xludf.DUMMYFUNCTION("""COMPUTED_VALUE"""),"")</f>
        <v/>
      </c>
      <c r="S687" s="250" t="str">
        <f t="shared" si="5"/>
        <v/>
      </c>
      <c r="T687" s="254" t="str">
        <f>IFERROR(__xludf.DUMMYFUNCTION("""COMPUTED_VALUE"""),"")</f>
        <v/>
      </c>
      <c r="U687" s="246" t="str">
        <f>IFERROR(__xludf.DUMMYFUNCTION("""COMPUTED_VALUE"""),"")</f>
        <v/>
      </c>
      <c r="V687" s="247" t="str">
        <f t="shared" si="6"/>
        <v/>
      </c>
      <c r="W687" s="255" t="str">
        <f>IFERROR(__xludf.DUMMYFUNCTION("""COMPUTED_VALUE"""),"")</f>
        <v/>
      </c>
      <c r="X687" s="249" t="str">
        <f>IFERROR(__xludf.DUMMYFUNCTION("""COMPUTED_VALUE"""),"")</f>
        <v/>
      </c>
      <c r="Y687" s="250" t="str">
        <f t="shared" si="7"/>
        <v/>
      </c>
    </row>
    <row r="688">
      <c r="A688" s="136" t="s">
        <v>133</v>
      </c>
      <c r="B688" s="136"/>
      <c r="C688" s="136" t="s">
        <v>133</v>
      </c>
      <c r="D688" s="136"/>
      <c r="E688" s="256" t="str">
        <f>IFERROR(__xludf.DUMMYFUNCTION("""COMPUTED_VALUE"""),"")</f>
        <v/>
      </c>
      <c r="F688" s="257" t="str">
        <f>IFERROR(__xludf.DUMMYFUNCTION("""COMPUTED_VALUE"""),"")</f>
        <v/>
      </c>
      <c r="G688" s="247" t="str">
        <f t="shared" si="1"/>
        <v/>
      </c>
      <c r="H688" s="258" t="str">
        <f>IFERROR(__xludf.DUMMYFUNCTION("""COMPUTED_VALUE"""),"")</f>
        <v/>
      </c>
      <c r="I688" s="259" t="str">
        <f>IFERROR(__xludf.DUMMYFUNCTION("""COMPUTED_VALUE"""),"")</f>
        <v/>
      </c>
      <c r="J688" s="250" t="str">
        <f t="shared" si="2"/>
        <v/>
      </c>
      <c r="K688" s="317" t="str">
        <f>IFERROR(__xludf.DUMMYFUNCTION("""COMPUTED_VALUE"""),"")</f>
        <v/>
      </c>
      <c r="L688" s="318" t="str">
        <f>IFERROR(__xludf.DUMMYFUNCTION("""COMPUTED_VALUE"""),"")</f>
        <v/>
      </c>
      <c r="M688" s="253" t="str">
        <f t="shared" si="3"/>
        <v/>
      </c>
      <c r="N688" s="319" t="str">
        <f>IFERROR(__xludf.DUMMYFUNCTION("""COMPUTED_VALUE"""),"")</f>
        <v/>
      </c>
      <c r="O688" s="257" t="str">
        <f>IFERROR(__xludf.DUMMYFUNCTION("""COMPUTED_VALUE"""),"")</f>
        <v/>
      </c>
      <c r="P688" s="247" t="str">
        <f t="shared" si="4"/>
        <v/>
      </c>
      <c r="Q688" s="320" t="str">
        <f>IFERROR(__xludf.DUMMYFUNCTION("""COMPUTED_VALUE"""),"")</f>
        <v/>
      </c>
      <c r="R688" s="259" t="str">
        <f>IFERROR(__xludf.DUMMYFUNCTION("""COMPUTED_VALUE"""),"")</f>
        <v/>
      </c>
      <c r="S688" s="250" t="str">
        <f t="shared" si="5"/>
        <v/>
      </c>
      <c r="T688" s="254" t="str">
        <f>IFERROR(__xludf.DUMMYFUNCTION("""COMPUTED_VALUE"""),"")</f>
        <v/>
      </c>
      <c r="U688" s="246" t="str">
        <f>IFERROR(__xludf.DUMMYFUNCTION("""COMPUTED_VALUE"""),"")</f>
        <v/>
      </c>
      <c r="V688" s="247" t="str">
        <f t="shared" si="6"/>
        <v/>
      </c>
      <c r="W688" s="255" t="str">
        <f>IFERROR(__xludf.DUMMYFUNCTION("""COMPUTED_VALUE"""),"")</f>
        <v/>
      </c>
      <c r="X688" s="249" t="str">
        <f>IFERROR(__xludf.DUMMYFUNCTION("""COMPUTED_VALUE"""),"")</f>
        <v/>
      </c>
      <c r="Y688" s="250" t="str">
        <f t="shared" si="7"/>
        <v/>
      </c>
    </row>
    <row r="689">
      <c r="A689" s="136" t="s">
        <v>133</v>
      </c>
      <c r="B689" s="136"/>
      <c r="C689" s="136" t="s">
        <v>133</v>
      </c>
      <c r="D689" s="136"/>
      <c r="E689" s="256" t="str">
        <f>IFERROR(__xludf.DUMMYFUNCTION("""COMPUTED_VALUE"""),"")</f>
        <v/>
      </c>
      <c r="F689" s="257" t="str">
        <f>IFERROR(__xludf.DUMMYFUNCTION("""COMPUTED_VALUE"""),"")</f>
        <v/>
      </c>
      <c r="G689" s="247" t="str">
        <f t="shared" si="1"/>
        <v/>
      </c>
      <c r="H689" s="258" t="str">
        <f>IFERROR(__xludf.DUMMYFUNCTION("""COMPUTED_VALUE"""),"")</f>
        <v/>
      </c>
      <c r="I689" s="259" t="str">
        <f>IFERROR(__xludf.DUMMYFUNCTION("""COMPUTED_VALUE"""),"")</f>
        <v/>
      </c>
      <c r="J689" s="250" t="str">
        <f t="shared" si="2"/>
        <v/>
      </c>
      <c r="K689" s="317" t="str">
        <f>IFERROR(__xludf.DUMMYFUNCTION("""COMPUTED_VALUE"""),"")</f>
        <v/>
      </c>
      <c r="L689" s="318" t="str">
        <f>IFERROR(__xludf.DUMMYFUNCTION("""COMPUTED_VALUE"""),"")</f>
        <v/>
      </c>
      <c r="M689" s="253" t="str">
        <f t="shared" si="3"/>
        <v/>
      </c>
      <c r="N689" s="319" t="str">
        <f>IFERROR(__xludf.DUMMYFUNCTION("""COMPUTED_VALUE"""),"")</f>
        <v/>
      </c>
      <c r="O689" s="257" t="str">
        <f>IFERROR(__xludf.DUMMYFUNCTION("""COMPUTED_VALUE"""),"")</f>
        <v/>
      </c>
      <c r="P689" s="247" t="str">
        <f t="shared" si="4"/>
        <v/>
      </c>
      <c r="Q689" s="320" t="str">
        <f>IFERROR(__xludf.DUMMYFUNCTION("""COMPUTED_VALUE"""),"")</f>
        <v/>
      </c>
      <c r="R689" s="259" t="str">
        <f>IFERROR(__xludf.DUMMYFUNCTION("""COMPUTED_VALUE"""),"")</f>
        <v/>
      </c>
      <c r="S689" s="250" t="str">
        <f t="shared" si="5"/>
        <v/>
      </c>
      <c r="T689" s="254" t="str">
        <f>IFERROR(__xludf.DUMMYFUNCTION("""COMPUTED_VALUE"""),"")</f>
        <v/>
      </c>
      <c r="U689" s="246" t="str">
        <f>IFERROR(__xludf.DUMMYFUNCTION("""COMPUTED_VALUE"""),"")</f>
        <v/>
      </c>
      <c r="V689" s="247" t="str">
        <f t="shared" si="6"/>
        <v/>
      </c>
      <c r="W689" s="255" t="str">
        <f>IFERROR(__xludf.DUMMYFUNCTION("""COMPUTED_VALUE"""),"")</f>
        <v/>
      </c>
      <c r="X689" s="249" t="str">
        <f>IFERROR(__xludf.DUMMYFUNCTION("""COMPUTED_VALUE"""),"")</f>
        <v/>
      </c>
      <c r="Y689" s="250" t="str">
        <f t="shared" si="7"/>
        <v/>
      </c>
    </row>
    <row r="690">
      <c r="A690" s="136" t="s">
        <v>133</v>
      </c>
      <c r="B690" s="136"/>
      <c r="C690" s="136" t="s">
        <v>133</v>
      </c>
      <c r="D690" s="136"/>
      <c r="E690" s="256" t="str">
        <f>IFERROR(__xludf.DUMMYFUNCTION("""COMPUTED_VALUE"""),"")</f>
        <v/>
      </c>
      <c r="F690" s="257" t="str">
        <f>IFERROR(__xludf.DUMMYFUNCTION("""COMPUTED_VALUE"""),"")</f>
        <v/>
      </c>
      <c r="G690" s="247" t="str">
        <f t="shared" si="1"/>
        <v/>
      </c>
      <c r="H690" s="258" t="str">
        <f>IFERROR(__xludf.DUMMYFUNCTION("""COMPUTED_VALUE"""),"")</f>
        <v/>
      </c>
      <c r="I690" s="259" t="str">
        <f>IFERROR(__xludf.DUMMYFUNCTION("""COMPUTED_VALUE"""),"")</f>
        <v/>
      </c>
      <c r="J690" s="250" t="str">
        <f t="shared" si="2"/>
        <v/>
      </c>
      <c r="K690" s="317" t="str">
        <f>IFERROR(__xludf.DUMMYFUNCTION("""COMPUTED_VALUE"""),"")</f>
        <v/>
      </c>
      <c r="L690" s="318" t="str">
        <f>IFERROR(__xludf.DUMMYFUNCTION("""COMPUTED_VALUE"""),"")</f>
        <v/>
      </c>
      <c r="M690" s="253" t="str">
        <f t="shared" si="3"/>
        <v/>
      </c>
      <c r="N690" s="319" t="str">
        <f>IFERROR(__xludf.DUMMYFUNCTION("""COMPUTED_VALUE"""),"")</f>
        <v/>
      </c>
      <c r="O690" s="257" t="str">
        <f>IFERROR(__xludf.DUMMYFUNCTION("""COMPUTED_VALUE"""),"")</f>
        <v/>
      </c>
      <c r="P690" s="247" t="str">
        <f t="shared" si="4"/>
        <v/>
      </c>
      <c r="Q690" s="320" t="str">
        <f>IFERROR(__xludf.DUMMYFUNCTION("""COMPUTED_VALUE"""),"")</f>
        <v/>
      </c>
      <c r="R690" s="259" t="str">
        <f>IFERROR(__xludf.DUMMYFUNCTION("""COMPUTED_VALUE"""),"")</f>
        <v/>
      </c>
      <c r="S690" s="250" t="str">
        <f t="shared" si="5"/>
        <v/>
      </c>
      <c r="T690" s="254" t="str">
        <f>IFERROR(__xludf.DUMMYFUNCTION("""COMPUTED_VALUE"""),"")</f>
        <v/>
      </c>
      <c r="U690" s="246" t="str">
        <f>IFERROR(__xludf.DUMMYFUNCTION("""COMPUTED_VALUE"""),"")</f>
        <v/>
      </c>
      <c r="V690" s="247" t="str">
        <f t="shared" si="6"/>
        <v/>
      </c>
      <c r="W690" s="255" t="str">
        <f>IFERROR(__xludf.DUMMYFUNCTION("""COMPUTED_VALUE"""),"")</f>
        <v/>
      </c>
      <c r="X690" s="249" t="str">
        <f>IFERROR(__xludf.DUMMYFUNCTION("""COMPUTED_VALUE"""),"")</f>
        <v/>
      </c>
      <c r="Y690" s="250" t="str">
        <f t="shared" si="7"/>
        <v/>
      </c>
    </row>
    <row r="691">
      <c r="A691" s="136" t="s">
        <v>133</v>
      </c>
      <c r="B691" s="136"/>
      <c r="C691" s="136" t="s">
        <v>133</v>
      </c>
      <c r="D691" s="136"/>
      <c r="E691" s="256" t="str">
        <f>IFERROR(__xludf.DUMMYFUNCTION("""COMPUTED_VALUE"""),"")</f>
        <v/>
      </c>
      <c r="F691" s="257" t="str">
        <f>IFERROR(__xludf.DUMMYFUNCTION("""COMPUTED_VALUE"""),"")</f>
        <v/>
      </c>
      <c r="G691" s="247" t="str">
        <f t="shared" si="1"/>
        <v/>
      </c>
      <c r="H691" s="258" t="str">
        <f>IFERROR(__xludf.DUMMYFUNCTION("""COMPUTED_VALUE"""),"")</f>
        <v/>
      </c>
      <c r="I691" s="259" t="str">
        <f>IFERROR(__xludf.DUMMYFUNCTION("""COMPUTED_VALUE"""),"")</f>
        <v/>
      </c>
      <c r="J691" s="250" t="str">
        <f t="shared" si="2"/>
        <v/>
      </c>
      <c r="K691" s="317" t="str">
        <f>IFERROR(__xludf.DUMMYFUNCTION("""COMPUTED_VALUE"""),"")</f>
        <v/>
      </c>
      <c r="L691" s="318" t="str">
        <f>IFERROR(__xludf.DUMMYFUNCTION("""COMPUTED_VALUE"""),"")</f>
        <v/>
      </c>
      <c r="M691" s="253" t="str">
        <f t="shared" si="3"/>
        <v/>
      </c>
      <c r="N691" s="319" t="str">
        <f>IFERROR(__xludf.DUMMYFUNCTION("""COMPUTED_VALUE"""),"")</f>
        <v/>
      </c>
      <c r="O691" s="257" t="str">
        <f>IFERROR(__xludf.DUMMYFUNCTION("""COMPUTED_VALUE"""),"")</f>
        <v/>
      </c>
      <c r="P691" s="247" t="str">
        <f t="shared" si="4"/>
        <v/>
      </c>
      <c r="Q691" s="320" t="str">
        <f>IFERROR(__xludf.DUMMYFUNCTION("""COMPUTED_VALUE"""),"")</f>
        <v/>
      </c>
      <c r="R691" s="259" t="str">
        <f>IFERROR(__xludf.DUMMYFUNCTION("""COMPUTED_VALUE"""),"")</f>
        <v/>
      </c>
      <c r="S691" s="250" t="str">
        <f t="shared" si="5"/>
        <v/>
      </c>
      <c r="T691" s="254" t="str">
        <f>IFERROR(__xludf.DUMMYFUNCTION("""COMPUTED_VALUE"""),"")</f>
        <v/>
      </c>
      <c r="U691" s="246" t="str">
        <f>IFERROR(__xludf.DUMMYFUNCTION("""COMPUTED_VALUE"""),"")</f>
        <v/>
      </c>
      <c r="V691" s="247" t="str">
        <f t="shared" si="6"/>
        <v/>
      </c>
      <c r="W691" s="255" t="str">
        <f>IFERROR(__xludf.DUMMYFUNCTION("""COMPUTED_VALUE"""),"")</f>
        <v/>
      </c>
      <c r="X691" s="249" t="str">
        <f>IFERROR(__xludf.DUMMYFUNCTION("""COMPUTED_VALUE"""),"")</f>
        <v/>
      </c>
      <c r="Y691" s="250" t="str">
        <f t="shared" si="7"/>
        <v/>
      </c>
    </row>
    <row r="692">
      <c r="A692" s="136" t="s">
        <v>133</v>
      </c>
      <c r="B692" s="136"/>
      <c r="C692" s="136" t="s">
        <v>133</v>
      </c>
      <c r="D692" s="136"/>
      <c r="E692" s="256" t="str">
        <f>IFERROR(__xludf.DUMMYFUNCTION("""COMPUTED_VALUE"""),"")</f>
        <v/>
      </c>
      <c r="F692" s="257" t="str">
        <f>IFERROR(__xludf.DUMMYFUNCTION("""COMPUTED_VALUE"""),"")</f>
        <v/>
      </c>
      <c r="G692" s="247" t="str">
        <f t="shared" si="1"/>
        <v/>
      </c>
      <c r="H692" s="258" t="str">
        <f>IFERROR(__xludf.DUMMYFUNCTION("""COMPUTED_VALUE"""),"")</f>
        <v/>
      </c>
      <c r="I692" s="259" t="str">
        <f>IFERROR(__xludf.DUMMYFUNCTION("""COMPUTED_VALUE"""),"")</f>
        <v/>
      </c>
      <c r="J692" s="250" t="str">
        <f t="shared" si="2"/>
        <v/>
      </c>
      <c r="K692" s="317" t="str">
        <f>IFERROR(__xludf.DUMMYFUNCTION("""COMPUTED_VALUE"""),"")</f>
        <v/>
      </c>
      <c r="L692" s="318" t="str">
        <f>IFERROR(__xludf.DUMMYFUNCTION("""COMPUTED_VALUE"""),"")</f>
        <v/>
      </c>
      <c r="M692" s="253" t="str">
        <f t="shared" si="3"/>
        <v/>
      </c>
      <c r="N692" s="319" t="str">
        <f>IFERROR(__xludf.DUMMYFUNCTION("""COMPUTED_VALUE"""),"")</f>
        <v/>
      </c>
      <c r="O692" s="257" t="str">
        <f>IFERROR(__xludf.DUMMYFUNCTION("""COMPUTED_VALUE"""),"")</f>
        <v/>
      </c>
      <c r="P692" s="247" t="str">
        <f t="shared" si="4"/>
        <v/>
      </c>
      <c r="Q692" s="320" t="str">
        <f>IFERROR(__xludf.DUMMYFUNCTION("""COMPUTED_VALUE"""),"")</f>
        <v/>
      </c>
      <c r="R692" s="259" t="str">
        <f>IFERROR(__xludf.DUMMYFUNCTION("""COMPUTED_VALUE"""),"")</f>
        <v/>
      </c>
      <c r="S692" s="250" t="str">
        <f t="shared" si="5"/>
        <v/>
      </c>
      <c r="T692" s="254" t="str">
        <f>IFERROR(__xludf.DUMMYFUNCTION("""COMPUTED_VALUE"""),"")</f>
        <v/>
      </c>
      <c r="U692" s="246" t="str">
        <f>IFERROR(__xludf.DUMMYFUNCTION("""COMPUTED_VALUE"""),"")</f>
        <v/>
      </c>
      <c r="V692" s="247" t="str">
        <f t="shared" si="6"/>
        <v/>
      </c>
      <c r="W692" s="255" t="str">
        <f>IFERROR(__xludf.DUMMYFUNCTION("""COMPUTED_VALUE"""),"")</f>
        <v/>
      </c>
      <c r="X692" s="249" t="str">
        <f>IFERROR(__xludf.DUMMYFUNCTION("""COMPUTED_VALUE"""),"")</f>
        <v/>
      </c>
      <c r="Y692" s="250" t="str">
        <f t="shared" si="7"/>
        <v/>
      </c>
    </row>
    <row r="693">
      <c r="A693" s="136" t="s">
        <v>133</v>
      </c>
      <c r="B693" s="136"/>
      <c r="C693" s="136" t="s">
        <v>133</v>
      </c>
      <c r="D693" s="136"/>
      <c r="E693" s="256" t="str">
        <f>IFERROR(__xludf.DUMMYFUNCTION("""COMPUTED_VALUE"""),"")</f>
        <v/>
      </c>
      <c r="F693" s="257" t="str">
        <f>IFERROR(__xludf.DUMMYFUNCTION("""COMPUTED_VALUE"""),"")</f>
        <v/>
      </c>
      <c r="G693" s="247" t="str">
        <f t="shared" si="1"/>
        <v/>
      </c>
      <c r="H693" s="258" t="str">
        <f>IFERROR(__xludf.DUMMYFUNCTION("""COMPUTED_VALUE"""),"")</f>
        <v/>
      </c>
      <c r="I693" s="259" t="str">
        <f>IFERROR(__xludf.DUMMYFUNCTION("""COMPUTED_VALUE"""),"")</f>
        <v/>
      </c>
      <c r="J693" s="250" t="str">
        <f t="shared" si="2"/>
        <v/>
      </c>
      <c r="K693" s="317" t="str">
        <f>IFERROR(__xludf.DUMMYFUNCTION("""COMPUTED_VALUE"""),"")</f>
        <v/>
      </c>
      <c r="L693" s="318" t="str">
        <f>IFERROR(__xludf.DUMMYFUNCTION("""COMPUTED_VALUE"""),"")</f>
        <v/>
      </c>
      <c r="M693" s="253" t="str">
        <f t="shared" si="3"/>
        <v/>
      </c>
      <c r="N693" s="319" t="str">
        <f>IFERROR(__xludf.DUMMYFUNCTION("""COMPUTED_VALUE"""),"")</f>
        <v/>
      </c>
      <c r="O693" s="257" t="str">
        <f>IFERROR(__xludf.DUMMYFUNCTION("""COMPUTED_VALUE"""),"")</f>
        <v/>
      </c>
      <c r="P693" s="247" t="str">
        <f t="shared" si="4"/>
        <v/>
      </c>
      <c r="Q693" s="320" t="str">
        <f>IFERROR(__xludf.DUMMYFUNCTION("""COMPUTED_VALUE"""),"")</f>
        <v/>
      </c>
      <c r="R693" s="259" t="str">
        <f>IFERROR(__xludf.DUMMYFUNCTION("""COMPUTED_VALUE"""),"")</f>
        <v/>
      </c>
      <c r="S693" s="250" t="str">
        <f t="shared" si="5"/>
        <v/>
      </c>
      <c r="T693" s="254" t="str">
        <f>IFERROR(__xludf.DUMMYFUNCTION("""COMPUTED_VALUE"""),"")</f>
        <v/>
      </c>
      <c r="U693" s="246" t="str">
        <f>IFERROR(__xludf.DUMMYFUNCTION("""COMPUTED_VALUE"""),"")</f>
        <v/>
      </c>
      <c r="V693" s="247" t="str">
        <f t="shared" si="6"/>
        <v/>
      </c>
      <c r="W693" s="255" t="str">
        <f>IFERROR(__xludf.DUMMYFUNCTION("""COMPUTED_VALUE"""),"")</f>
        <v/>
      </c>
      <c r="X693" s="249" t="str">
        <f>IFERROR(__xludf.DUMMYFUNCTION("""COMPUTED_VALUE"""),"")</f>
        <v/>
      </c>
      <c r="Y693" s="250" t="str">
        <f t="shared" si="7"/>
        <v/>
      </c>
    </row>
    <row r="694">
      <c r="A694" s="136" t="s">
        <v>133</v>
      </c>
      <c r="B694" s="136"/>
      <c r="C694" s="136" t="s">
        <v>133</v>
      </c>
      <c r="D694" s="136"/>
      <c r="E694" s="256" t="str">
        <f>IFERROR(__xludf.DUMMYFUNCTION("""COMPUTED_VALUE"""),"")</f>
        <v/>
      </c>
      <c r="F694" s="257" t="str">
        <f>IFERROR(__xludf.DUMMYFUNCTION("""COMPUTED_VALUE"""),"")</f>
        <v/>
      </c>
      <c r="G694" s="247" t="str">
        <f t="shared" si="1"/>
        <v/>
      </c>
      <c r="H694" s="258" t="str">
        <f>IFERROR(__xludf.DUMMYFUNCTION("""COMPUTED_VALUE"""),"")</f>
        <v/>
      </c>
      <c r="I694" s="259" t="str">
        <f>IFERROR(__xludf.DUMMYFUNCTION("""COMPUTED_VALUE"""),"")</f>
        <v/>
      </c>
      <c r="J694" s="250" t="str">
        <f t="shared" si="2"/>
        <v/>
      </c>
      <c r="K694" s="317" t="str">
        <f>IFERROR(__xludf.DUMMYFUNCTION("""COMPUTED_VALUE"""),"")</f>
        <v/>
      </c>
      <c r="L694" s="318" t="str">
        <f>IFERROR(__xludf.DUMMYFUNCTION("""COMPUTED_VALUE"""),"")</f>
        <v/>
      </c>
      <c r="M694" s="253" t="str">
        <f t="shared" si="3"/>
        <v/>
      </c>
      <c r="N694" s="319" t="str">
        <f>IFERROR(__xludf.DUMMYFUNCTION("""COMPUTED_VALUE"""),"")</f>
        <v/>
      </c>
      <c r="O694" s="257" t="str">
        <f>IFERROR(__xludf.DUMMYFUNCTION("""COMPUTED_VALUE"""),"")</f>
        <v/>
      </c>
      <c r="P694" s="247" t="str">
        <f t="shared" si="4"/>
        <v/>
      </c>
      <c r="Q694" s="320" t="str">
        <f>IFERROR(__xludf.DUMMYFUNCTION("""COMPUTED_VALUE"""),"")</f>
        <v/>
      </c>
      <c r="R694" s="259" t="str">
        <f>IFERROR(__xludf.DUMMYFUNCTION("""COMPUTED_VALUE"""),"")</f>
        <v/>
      </c>
      <c r="S694" s="250" t="str">
        <f t="shared" si="5"/>
        <v/>
      </c>
      <c r="T694" s="254" t="str">
        <f>IFERROR(__xludf.DUMMYFUNCTION("""COMPUTED_VALUE"""),"")</f>
        <v/>
      </c>
      <c r="U694" s="246" t="str">
        <f>IFERROR(__xludf.DUMMYFUNCTION("""COMPUTED_VALUE"""),"")</f>
        <v/>
      </c>
      <c r="V694" s="247" t="str">
        <f t="shared" si="6"/>
        <v/>
      </c>
      <c r="W694" s="255" t="str">
        <f>IFERROR(__xludf.DUMMYFUNCTION("""COMPUTED_VALUE"""),"")</f>
        <v/>
      </c>
      <c r="X694" s="249" t="str">
        <f>IFERROR(__xludf.DUMMYFUNCTION("""COMPUTED_VALUE"""),"")</f>
        <v/>
      </c>
      <c r="Y694" s="250" t="str">
        <f t="shared" si="7"/>
        <v/>
      </c>
    </row>
    <row r="695">
      <c r="A695" s="136" t="s">
        <v>133</v>
      </c>
      <c r="B695" s="136"/>
      <c r="C695" s="136" t="s">
        <v>133</v>
      </c>
      <c r="D695" s="136"/>
      <c r="E695" s="256" t="str">
        <f>IFERROR(__xludf.DUMMYFUNCTION("""COMPUTED_VALUE"""),"")</f>
        <v/>
      </c>
      <c r="F695" s="257" t="str">
        <f>IFERROR(__xludf.DUMMYFUNCTION("""COMPUTED_VALUE"""),"")</f>
        <v/>
      </c>
      <c r="G695" s="247" t="str">
        <f t="shared" si="1"/>
        <v/>
      </c>
      <c r="H695" s="258" t="str">
        <f>IFERROR(__xludf.DUMMYFUNCTION("""COMPUTED_VALUE"""),"")</f>
        <v/>
      </c>
      <c r="I695" s="259" t="str">
        <f>IFERROR(__xludf.DUMMYFUNCTION("""COMPUTED_VALUE"""),"")</f>
        <v/>
      </c>
      <c r="J695" s="250" t="str">
        <f t="shared" si="2"/>
        <v/>
      </c>
      <c r="K695" s="317" t="str">
        <f>IFERROR(__xludf.DUMMYFUNCTION("""COMPUTED_VALUE"""),"")</f>
        <v/>
      </c>
      <c r="L695" s="318" t="str">
        <f>IFERROR(__xludf.DUMMYFUNCTION("""COMPUTED_VALUE"""),"")</f>
        <v/>
      </c>
      <c r="M695" s="253" t="str">
        <f t="shared" si="3"/>
        <v/>
      </c>
      <c r="N695" s="319" t="str">
        <f>IFERROR(__xludf.DUMMYFUNCTION("""COMPUTED_VALUE"""),"")</f>
        <v/>
      </c>
      <c r="O695" s="257" t="str">
        <f>IFERROR(__xludf.DUMMYFUNCTION("""COMPUTED_VALUE"""),"")</f>
        <v/>
      </c>
      <c r="P695" s="247" t="str">
        <f t="shared" si="4"/>
        <v/>
      </c>
      <c r="Q695" s="320" t="str">
        <f>IFERROR(__xludf.DUMMYFUNCTION("""COMPUTED_VALUE"""),"")</f>
        <v/>
      </c>
      <c r="R695" s="259" t="str">
        <f>IFERROR(__xludf.DUMMYFUNCTION("""COMPUTED_VALUE"""),"")</f>
        <v/>
      </c>
      <c r="S695" s="250" t="str">
        <f t="shared" si="5"/>
        <v/>
      </c>
      <c r="T695" s="254" t="str">
        <f>IFERROR(__xludf.DUMMYFUNCTION("""COMPUTED_VALUE"""),"")</f>
        <v/>
      </c>
      <c r="U695" s="246" t="str">
        <f>IFERROR(__xludf.DUMMYFUNCTION("""COMPUTED_VALUE"""),"")</f>
        <v/>
      </c>
      <c r="V695" s="247" t="str">
        <f t="shared" si="6"/>
        <v/>
      </c>
      <c r="W695" s="255" t="str">
        <f>IFERROR(__xludf.DUMMYFUNCTION("""COMPUTED_VALUE"""),"")</f>
        <v/>
      </c>
      <c r="X695" s="249" t="str">
        <f>IFERROR(__xludf.DUMMYFUNCTION("""COMPUTED_VALUE"""),"")</f>
        <v/>
      </c>
      <c r="Y695" s="250" t="str">
        <f t="shared" si="7"/>
        <v/>
      </c>
    </row>
    <row r="696">
      <c r="A696" s="136" t="s">
        <v>133</v>
      </c>
      <c r="B696" s="136"/>
      <c r="C696" s="136" t="s">
        <v>133</v>
      </c>
      <c r="D696" s="136"/>
      <c r="E696" s="256" t="str">
        <f>IFERROR(__xludf.DUMMYFUNCTION("""COMPUTED_VALUE"""),"")</f>
        <v/>
      </c>
      <c r="F696" s="257" t="str">
        <f>IFERROR(__xludf.DUMMYFUNCTION("""COMPUTED_VALUE"""),"")</f>
        <v/>
      </c>
      <c r="G696" s="247" t="str">
        <f t="shared" si="1"/>
        <v/>
      </c>
      <c r="H696" s="258" t="str">
        <f>IFERROR(__xludf.DUMMYFUNCTION("""COMPUTED_VALUE"""),"")</f>
        <v/>
      </c>
      <c r="I696" s="259" t="str">
        <f>IFERROR(__xludf.DUMMYFUNCTION("""COMPUTED_VALUE"""),"")</f>
        <v/>
      </c>
      <c r="J696" s="250" t="str">
        <f t="shared" si="2"/>
        <v/>
      </c>
      <c r="K696" s="317" t="str">
        <f>IFERROR(__xludf.DUMMYFUNCTION("""COMPUTED_VALUE"""),"")</f>
        <v/>
      </c>
      <c r="L696" s="318" t="str">
        <f>IFERROR(__xludf.DUMMYFUNCTION("""COMPUTED_VALUE"""),"")</f>
        <v/>
      </c>
      <c r="M696" s="253" t="str">
        <f t="shared" si="3"/>
        <v/>
      </c>
      <c r="N696" s="319" t="str">
        <f>IFERROR(__xludf.DUMMYFUNCTION("""COMPUTED_VALUE"""),"")</f>
        <v/>
      </c>
      <c r="O696" s="257" t="str">
        <f>IFERROR(__xludf.DUMMYFUNCTION("""COMPUTED_VALUE"""),"")</f>
        <v/>
      </c>
      <c r="P696" s="247" t="str">
        <f t="shared" si="4"/>
        <v/>
      </c>
      <c r="Q696" s="320" t="str">
        <f>IFERROR(__xludf.DUMMYFUNCTION("""COMPUTED_VALUE"""),"")</f>
        <v/>
      </c>
      <c r="R696" s="259" t="str">
        <f>IFERROR(__xludf.DUMMYFUNCTION("""COMPUTED_VALUE"""),"")</f>
        <v/>
      </c>
      <c r="S696" s="250" t="str">
        <f t="shared" si="5"/>
        <v/>
      </c>
      <c r="T696" s="254" t="str">
        <f>IFERROR(__xludf.DUMMYFUNCTION("""COMPUTED_VALUE"""),"")</f>
        <v/>
      </c>
      <c r="U696" s="246" t="str">
        <f>IFERROR(__xludf.DUMMYFUNCTION("""COMPUTED_VALUE"""),"")</f>
        <v/>
      </c>
      <c r="V696" s="247" t="str">
        <f t="shared" si="6"/>
        <v/>
      </c>
      <c r="W696" s="255" t="str">
        <f>IFERROR(__xludf.DUMMYFUNCTION("""COMPUTED_VALUE"""),"")</f>
        <v/>
      </c>
      <c r="X696" s="249" t="str">
        <f>IFERROR(__xludf.DUMMYFUNCTION("""COMPUTED_VALUE"""),"")</f>
        <v/>
      </c>
      <c r="Y696" s="250" t="str">
        <f t="shared" si="7"/>
        <v/>
      </c>
    </row>
    <row r="697">
      <c r="A697" s="136" t="s">
        <v>133</v>
      </c>
      <c r="B697" s="136"/>
      <c r="C697" s="136" t="s">
        <v>133</v>
      </c>
      <c r="D697" s="136"/>
      <c r="E697" s="256" t="str">
        <f>IFERROR(__xludf.DUMMYFUNCTION("""COMPUTED_VALUE"""),"")</f>
        <v/>
      </c>
      <c r="F697" s="257" t="str">
        <f>IFERROR(__xludf.DUMMYFUNCTION("""COMPUTED_VALUE"""),"")</f>
        <v/>
      </c>
      <c r="G697" s="247" t="str">
        <f t="shared" si="1"/>
        <v/>
      </c>
      <c r="H697" s="258" t="str">
        <f>IFERROR(__xludf.DUMMYFUNCTION("""COMPUTED_VALUE"""),"")</f>
        <v/>
      </c>
      <c r="I697" s="259" t="str">
        <f>IFERROR(__xludf.DUMMYFUNCTION("""COMPUTED_VALUE"""),"")</f>
        <v/>
      </c>
      <c r="J697" s="250" t="str">
        <f t="shared" si="2"/>
        <v/>
      </c>
      <c r="K697" s="317" t="str">
        <f>IFERROR(__xludf.DUMMYFUNCTION("""COMPUTED_VALUE"""),"")</f>
        <v/>
      </c>
      <c r="L697" s="318" t="str">
        <f>IFERROR(__xludf.DUMMYFUNCTION("""COMPUTED_VALUE"""),"")</f>
        <v/>
      </c>
      <c r="M697" s="253" t="str">
        <f t="shared" si="3"/>
        <v/>
      </c>
      <c r="N697" s="319" t="str">
        <f>IFERROR(__xludf.DUMMYFUNCTION("""COMPUTED_VALUE"""),"")</f>
        <v/>
      </c>
      <c r="O697" s="257" t="str">
        <f>IFERROR(__xludf.DUMMYFUNCTION("""COMPUTED_VALUE"""),"")</f>
        <v/>
      </c>
      <c r="P697" s="247" t="str">
        <f t="shared" si="4"/>
        <v/>
      </c>
      <c r="Q697" s="320" t="str">
        <f>IFERROR(__xludf.DUMMYFUNCTION("""COMPUTED_VALUE"""),"")</f>
        <v/>
      </c>
      <c r="R697" s="259" t="str">
        <f>IFERROR(__xludf.DUMMYFUNCTION("""COMPUTED_VALUE"""),"")</f>
        <v/>
      </c>
      <c r="S697" s="250" t="str">
        <f t="shared" si="5"/>
        <v/>
      </c>
      <c r="T697" s="254" t="str">
        <f>IFERROR(__xludf.DUMMYFUNCTION("""COMPUTED_VALUE"""),"")</f>
        <v/>
      </c>
      <c r="U697" s="246" t="str">
        <f>IFERROR(__xludf.DUMMYFUNCTION("""COMPUTED_VALUE"""),"")</f>
        <v/>
      </c>
      <c r="V697" s="247" t="str">
        <f t="shared" si="6"/>
        <v/>
      </c>
      <c r="W697" s="255" t="str">
        <f>IFERROR(__xludf.DUMMYFUNCTION("""COMPUTED_VALUE"""),"")</f>
        <v/>
      </c>
      <c r="X697" s="249" t="str">
        <f>IFERROR(__xludf.DUMMYFUNCTION("""COMPUTED_VALUE"""),"")</f>
        <v/>
      </c>
      <c r="Y697" s="250" t="str">
        <f t="shared" si="7"/>
        <v/>
      </c>
    </row>
    <row r="698">
      <c r="A698" s="136" t="s">
        <v>133</v>
      </c>
      <c r="B698" s="136"/>
      <c r="C698" s="136" t="s">
        <v>133</v>
      </c>
      <c r="D698" s="136"/>
      <c r="E698" s="256" t="str">
        <f>IFERROR(__xludf.DUMMYFUNCTION("""COMPUTED_VALUE"""),"")</f>
        <v/>
      </c>
      <c r="F698" s="257" t="str">
        <f>IFERROR(__xludf.DUMMYFUNCTION("""COMPUTED_VALUE"""),"")</f>
        <v/>
      </c>
      <c r="G698" s="247" t="str">
        <f t="shared" si="1"/>
        <v/>
      </c>
      <c r="H698" s="258" t="str">
        <f>IFERROR(__xludf.DUMMYFUNCTION("""COMPUTED_VALUE"""),"")</f>
        <v/>
      </c>
      <c r="I698" s="259" t="str">
        <f>IFERROR(__xludf.DUMMYFUNCTION("""COMPUTED_VALUE"""),"")</f>
        <v/>
      </c>
      <c r="J698" s="250" t="str">
        <f t="shared" si="2"/>
        <v/>
      </c>
      <c r="K698" s="317" t="str">
        <f>IFERROR(__xludf.DUMMYFUNCTION("""COMPUTED_VALUE"""),"")</f>
        <v/>
      </c>
      <c r="L698" s="318" t="str">
        <f>IFERROR(__xludf.DUMMYFUNCTION("""COMPUTED_VALUE"""),"")</f>
        <v/>
      </c>
      <c r="M698" s="253" t="str">
        <f t="shared" si="3"/>
        <v/>
      </c>
      <c r="N698" s="319" t="str">
        <f>IFERROR(__xludf.DUMMYFUNCTION("""COMPUTED_VALUE"""),"")</f>
        <v/>
      </c>
      <c r="O698" s="257" t="str">
        <f>IFERROR(__xludf.DUMMYFUNCTION("""COMPUTED_VALUE"""),"")</f>
        <v/>
      </c>
      <c r="P698" s="247" t="str">
        <f t="shared" si="4"/>
        <v/>
      </c>
      <c r="Q698" s="320" t="str">
        <f>IFERROR(__xludf.DUMMYFUNCTION("""COMPUTED_VALUE"""),"")</f>
        <v/>
      </c>
      <c r="R698" s="259" t="str">
        <f>IFERROR(__xludf.DUMMYFUNCTION("""COMPUTED_VALUE"""),"")</f>
        <v/>
      </c>
      <c r="S698" s="250" t="str">
        <f t="shared" si="5"/>
        <v/>
      </c>
      <c r="T698" s="254" t="str">
        <f>IFERROR(__xludf.DUMMYFUNCTION("""COMPUTED_VALUE"""),"")</f>
        <v/>
      </c>
      <c r="U698" s="246" t="str">
        <f>IFERROR(__xludf.DUMMYFUNCTION("""COMPUTED_VALUE"""),"")</f>
        <v/>
      </c>
      <c r="V698" s="247" t="str">
        <f t="shared" si="6"/>
        <v/>
      </c>
      <c r="W698" s="255" t="str">
        <f>IFERROR(__xludf.DUMMYFUNCTION("""COMPUTED_VALUE"""),"")</f>
        <v/>
      </c>
      <c r="X698" s="249" t="str">
        <f>IFERROR(__xludf.DUMMYFUNCTION("""COMPUTED_VALUE"""),"")</f>
        <v/>
      </c>
      <c r="Y698" s="250" t="str">
        <f t="shared" si="7"/>
        <v/>
      </c>
    </row>
    <row r="699">
      <c r="A699" s="136" t="s">
        <v>133</v>
      </c>
      <c r="B699" s="136"/>
      <c r="C699" s="136" t="s">
        <v>133</v>
      </c>
      <c r="D699" s="136"/>
      <c r="E699" s="256" t="str">
        <f>IFERROR(__xludf.DUMMYFUNCTION("""COMPUTED_VALUE"""),"")</f>
        <v/>
      </c>
      <c r="F699" s="257" t="str">
        <f>IFERROR(__xludf.DUMMYFUNCTION("""COMPUTED_VALUE"""),"")</f>
        <v/>
      </c>
      <c r="G699" s="247" t="str">
        <f t="shared" si="1"/>
        <v/>
      </c>
      <c r="H699" s="258" t="str">
        <f>IFERROR(__xludf.DUMMYFUNCTION("""COMPUTED_VALUE"""),"")</f>
        <v/>
      </c>
      <c r="I699" s="259" t="str">
        <f>IFERROR(__xludf.DUMMYFUNCTION("""COMPUTED_VALUE"""),"")</f>
        <v/>
      </c>
      <c r="J699" s="250" t="str">
        <f t="shared" si="2"/>
        <v/>
      </c>
      <c r="K699" s="317" t="str">
        <f>IFERROR(__xludf.DUMMYFUNCTION("""COMPUTED_VALUE"""),"")</f>
        <v/>
      </c>
      <c r="L699" s="318" t="str">
        <f>IFERROR(__xludf.DUMMYFUNCTION("""COMPUTED_VALUE"""),"")</f>
        <v/>
      </c>
      <c r="M699" s="253" t="str">
        <f t="shared" si="3"/>
        <v/>
      </c>
      <c r="N699" s="319" t="str">
        <f>IFERROR(__xludf.DUMMYFUNCTION("""COMPUTED_VALUE"""),"")</f>
        <v/>
      </c>
      <c r="O699" s="257" t="str">
        <f>IFERROR(__xludf.DUMMYFUNCTION("""COMPUTED_VALUE"""),"")</f>
        <v/>
      </c>
      <c r="P699" s="247" t="str">
        <f t="shared" si="4"/>
        <v/>
      </c>
      <c r="Q699" s="320" t="str">
        <f>IFERROR(__xludf.DUMMYFUNCTION("""COMPUTED_VALUE"""),"")</f>
        <v/>
      </c>
      <c r="R699" s="259" t="str">
        <f>IFERROR(__xludf.DUMMYFUNCTION("""COMPUTED_VALUE"""),"")</f>
        <v/>
      </c>
      <c r="S699" s="250" t="str">
        <f t="shared" si="5"/>
        <v/>
      </c>
      <c r="T699" s="254" t="str">
        <f>IFERROR(__xludf.DUMMYFUNCTION("""COMPUTED_VALUE"""),"")</f>
        <v/>
      </c>
      <c r="U699" s="246" t="str">
        <f>IFERROR(__xludf.DUMMYFUNCTION("""COMPUTED_VALUE"""),"")</f>
        <v/>
      </c>
      <c r="V699" s="247" t="str">
        <f t="shared" si="6"/>
        <v/>
      </c>
      <c r="W699" s="255" t="str">
        <f>IFERROR(__xludf.DUMMYFUNCTION("""COMPUTED_VALUE"""),"")</f>
        <v/>
      </c>
      <c r="X699" s="249" t="str">
        <f>IFERROR(__xludf.DUMMYFUNCTION("""COMPUTED_VALUE"""),"")</f>
        <v/>
      </c>
      <c r="Y699" s="250" t="str">
        <f t="shared" si="7"/>
        <v/>
      </c>
    </row>
    <row r="700">
      <c r="A700" s="136" t="s">
        <v>133</v>
      </c>
      <c r="B700" s="136"/>
      <c r="C700" s="136" t="s">
        <v>133</v>
      </c>
      <c r="D700" s="136"/>
      <c r="E700" s="256" t="str">
        <f>IFERROR(__xludf.DUMMYFUNCTION("""COMPUTED_VALUE"""),"")</f>
        <v/>
      </c>
      <c r="F700" s="257" t="str">
        <f>IFERROR(__xludf.DUMMYFUNCTION("""COMPUTED_VALUE"""),"")</f>
        <v/>
      </c>
      <c r="G700" s="247" t="str">
        <f t="shared" si="1"/>
        <v/>
      </c>
      <c r="H700" s="258" t="str">
        <f>IFERROR(__xludf.DUMMYFUNCTION("""COMPUTED_VALUE"""),"")</f>
        <v/>
      </c>
      <c r="I700" s="259" t="str">
        <f>IFERROR(__xludf.DUMMYFUNCTION("""COMPUTED_VALUE"""),"")</f>
        <v/>
      </c>
      <c r="J700" s="250" t="str">
        <f t="shared" si="2"/>
        <v/>
      </c>
      <c r="K700" s="317" t="str">
        <f>IFERROR(__xludf.DUMMYFUNCTION("""COMPUTED_VALUE"""),"")</f>
        <v/>
      </c>
      <c r="L700" s="318" t="str">
        <f>IFERROR(__xludf.DUMMYFUNCTION("""COMPUTED_VALUE"""),"")</f>
        <v/>
      </c>
      <c r="M700" s="253" t="str">
        <f t="shared" si="3"/>
        <v/>
      </c>
      <c r="N700" s="319" t="str">
        <f>IFERROR(__xludf.DUMMYFUNCTION("""COMPUTED_VALUE"""),"")</f>
        <v/>
      </c>
      <c r="O700" s="257" t="str">
        <f>IFERROR(__xludf.DUMMYFUNCTION("""COMPUTED_VALUE"""),"")</f>
        <v/>
      </c>
      <c r="P700" s="247" t="str">
        <f t="shared" si="4"/>
        <v/>
      </c>
      <c r="Q700" s="320" t="str">
        <f>IFERROR(__xludf.DUMMYFUNCTION("""COMPUTED_VALUE"""),"")</f>
        <v/>
      </c>
      <c r="R700" s="259" t="str">
        <f>IFERROR(__xludf.DUMMYFUNCTION("""COMPUTED_VALUE"""),"")</f>
        <v/>
      </c>
      <c r="S700" s="250" t="str">
        <f t="shared" si="5"/>
        <v/>
      </c>
      <c r="T700" s="254" t="str">
        <f>IFERROR(__xludf.DUMMYFUNCTION("""COMPUTED_VALUE"""),"")</f>
        <v/>
      </c>
      <c r="U700" s="246" t="str">
        <f>IFERROR(__xludf.DUMMYFUNCTION("""COMPUTED_VALUE"""),"")</f>
        <v/>
      </c>
      <c r="V700" s="247" t="str">
        <f t="shared" si="6"/>
        <v/>
      </c>
      <c r="W700" s="255" t="str">
        <f>IFERROR(__xludf.DUMMYFUNCTION("""COMPUTED_VALUE"""),"")</f>
        <v/>
      </c>
      <c r="X700" s="249" t="str">
        <f>IFERROR(__xludf.DUMMYFUNCTION("""COMPUTED_VALUE"""),"")</f>
        <v/>
      </c>
      <c r="Y700" s="250" t="str">
        <f t="shared" si="7"/>
        <v/>
      </c>
    </row>
    <row r="701">
      <c r="A701" s="136" t="s">
        <v>133</v>
      </c>
      <c r="B701" s="136"/>
      <c r="C701" s="136" t="s">
        <v>133</v>
      </c>
      <c r="D701" s="136"/>
      <c r="E701" s="256" t="str">
        <f>IFERROR(__xludf.DUMMYFUNCTION("""COMPUTED_VALUE"""),"")</f>
        <v/>
      </c>
      <c r="F701" s="257" t="str">
        <f>IFERROR(__xludf.DUMMYFUNCTION("""COMPUTED_VALUE"""),"")</f>
        <v/>
      </c>
      <c r="G701" s="247" t="str">
        <f t="shared" si="1"/>
        <v/>
      </c>
      <c r="H701" s="258" t="str">
        <f>IFERROR(__xludf.DUMMYFUNCTION("""COMPUTED_VALUE"""),"")</f>
        <v/>
      </c>
      <c r="I701" s="259" t="str">
        <f>IFERROR(__xludf.DUMMYFUNCTION("""COMPUTED_VALUE"""),"")</f>
        <v/>
      </c>
      <c r="J701" s="250" t="str">
        <f t="shared" si="2"/>
        <v/>
      </c>
      <c r="K701" s="317" t="str">
        <f>IFERROR(__xludf.DUMMYFUNCTION("""COMPUTED_VALUE"""),"")</f>
        <v/>
      </c>
      <c r="L701" s="318" t="str">
        <f>IFERROR(__xludf.DUMMYFUNCTION("""COMPUTED_VALUE"""),"")</f>
        <v/>
      </c>
      <c r="M701" s="253" t="str">
        <f t="shared" si="3"/>
        <v/>
      </c>
      <c r="N701" s="319" t="str">
        <f>IFERROR(__xludf.DUMMYFUNCTION("""COMPUTED_VALUE"""),"")</f>
        <v/>
      </c>
      <c r="O701" s="257" t="str">
        <f>IFERROR(__xludf.DUMMYFUNCTION("""COMPUTED_VALUE"""),"")</f>
        <v/>
      </c>
      <c r="P701" s="247" t="str">
        <f t="shared" si="4"/>
        <v/>
      </c>
      <c r="Q701" s="320" t="str">
        <f>IFERROR(__xludf.DUMMYFUNCTION("""COMPUTED_VALUE"""),"")</f>
        <v/>
      </c>
      <c r="R701" s="259" t="str">
        <f>IFERROR(__xludf.DUMMYFUNCTION("""COMPUTED_VALUE"""),"")</f>
        <v/>
      </c>
      <c r="S701" s="250" t="str">
        <f t="shared" si="5"/>
        <v/>
      </c>
      <c r="T701" s="254" t="str">
        <f>IFERROR(__xludf.DUMMYFUNCTION("""COMPUTED_VALUE"""),"")</f>
        <v/>
      </c>
      <c r="U701" s="246" t="str">
        <f>IFERROR(__xludf.DUMMYFUNCTION("""COMPUTED_VALUE"""),"")</f>
        <v/>
      </c>
      <c r="V701" s="247" t="str">
        <f t="shared" si="6"/>
        <v/>
      </c>
      <c r="W701" s="255" t="str">
        <f>IFERROR(__xludf.DUMMYFUNCTION("""COMPUTED_VALUE"""),"")</f>
        <v/>
      </c>
      <c r="X701" s="249" t="str">
        <f>IFERROR(__xludf.DUMMYFUNCTION("""COMPUTED_VALUE"""),"")</f>
        <v/>
      </c>
      <c r="Y701" s="250" t="str">
        <f t="shared" si="7"/>
        <v/>
      </c>
    </row>
    <row r="702">
      <c r="A702" s="136" t="s">
        <v>133</v>
      </c>
      <c r="B702" s="136"/>
      <c r="C702" s="136" t="s">
        <v>133</v>
      </c>
      <c r="D702" s="136"/>
      <c r="E702" s="256" t="str">
        <f>IFERROR(__xludf.DUMMYFUNCTION("""COMPUTED_VALUE"""),"")</f>
        <v/>
      </c>
      <c r="F702" s="257" t="str">
        <f>IFERROR(__xludf.DUMMYFUNCTION("""COMPUTED_VALUE"""),"")</f>
        <v/>
      </c>
      <c r="G702" s="247" t="str">
        <f t="shared" si="1"/>
        <v/>
      </c>
      <c r="H702" s="258" t="str">
        <f>IFERROR(__xludf.DUMMYFUNCTION("""COMPUTED_VALUE"""),"")</f>
        <v/>
      </c>
      <c r="I702" s="259" t="str">
        <f>IFERROR(__xludf.DUMMYFUNCTION("""COMPUTED_VALUE"""),"")</f>
        <v/>
      </c>
      <c r="J702" s="250" t="str">
        <f t="shared" si="2"/>
        <v/>
      </c>
      <c r="K702" s="317" t="str">
        <f>IFERROR(__xludf.DUMMYFUNCTION("""COMPUTED_VALUE"""),"")</f>
        <v/>
      </c>
      <c r="L702" s="318" t="str">
        <f>IFERROR(__xludf.DUMMYFUNCTION("""COMPUTED_VALUE"""),"")</f>
        <v/>
      </c>
      <c r="M702" s="253" t="str">
        <f t="shared" si="3"/>
        <v/>
      </c>
      <c r="N702" s="319" t="str">
        <f>IFERROR(__xludf.DUMMYFUNCTION("""COMPUTED_VALUE"""),"")</f>
        <v/>
      </c>
      <c r="O702" s="257" t="str">
        <f>IFERROR(__xludf.DUMMYFUNCTION("""COMPUTED_VALUE"""),"")</f>
        <v/>
      </c>
      <c r="P702" s="247" t="str">
        <f t="shared" si="4"/>
        <v/>
      </c>
      <c r="Q702" s="320" t="str">
        <f>IFERROR(__xludf.DUMMYFUNCTION("""COMPUTED_VALUE"""),"")</f>
        <v/>
      </c>
      <c r="R702" s="259" t="str">
        <f>IFERROR(__xludf.DUMMYFUNCTION("""COMPUTED_VALUE"""),"")</f>
        <v/>
      </c>
      <c r="S702" s="250" t="str">
        <f t="shared" si="5"/>
        <v/>
      </c>
      <c r="T702" s="254" t="str">
        <f>IFERROR(__xludf.DUMMYFUNCTION("""COMPUTED_VALUE"""),"")</f>
        <v/>
      </c>
      <c r="U702" s="246" t="str">
        <f>IFERROR(__xludf.DUMMYFUNCTION("""COMPUTED_VALUE"""),"")</f>
        <v/>
      </c>
      <c r="V702" s="247" t="str">
        <f t="shared" si="6"/>
        <v/>
      </c>
      <c r="W702" s="255" t="str">
        <f>IFERROR(__xludf.DUMMYFUNCTION("""COMPUTED_VALUE"""),"")</f>
        <v/>
      </c>
      <c r="X702" s="249" t="str">
        <f>IFERROR(__xludf.DUMMYFUNCTION("""COMPUTED_VALUE"""),"")</f>
        <v/>
      </c>
      <c r="Y702" s="250" t="str">
        <f t="shared" si="7"/>
        <v/>
      </c>
    </row>
    <row r="703">
      <c r="A703" s="136" t="s">
        <v>133</v>
      </c>
      <c r="B703" s="136"/>
      <c r="C703" s="136" t="s">
        <v>133</v>
      </c>
      <c r="D703" s="136"/>
      <c r="E703" s="256" t="str">
        <f>IFERROR(__xludf.DUMMYFUNCTION("""COMPUTED_VALUE"""),"")</f>
        <v/>
      </c>
      <c r="F703" s="257" t="str">
        <f>IFERROR(__xludf.DUMMYFUNCTION("""COMPUTED_VALUE"""),"")</f>
        <v/>
      </c>
      <c r="G703" s="247" t="str">
        <f t="shared" si="1"/>
        <v/>
      </c>
      <c r="H703" s="258" t="str">
        <f>IFERROR(__xludf.DUMMYFUNCTION("""COMPUTED_VALUE"""),"")</f>
        <v/>
      </c>
      <c r="I703" s="259" t="str">
        <f>IFERROR(__xludf.DUMMYFUNCTION("""COMPUTED_VALUE"""),"")</f>
        <v/>
      </c>
      <c r="J703" s="250" t="str">
        <f t="shared" si="2"/>
        <v/>
      </c>
      <c r="K703" s="317" t="str">
        <f>IFERROR(__xludf.DUMMYFUNCTION("""COMPUTED_VALUE"""),"")</f>
        <v/>
      </c>
      <c r="L703" s="318" t="str">
        <f>IFERROR(__xludf.DUMMYFUNCTION("""COMPUTED_VALUE"""),"")</f>
        <v/>
      </c>
      <c r="M703" s="253" t="str">
        <f t="shared" si="3"/>
        <v/>
      </c>
      <c r="N703" s="319" t="str">
        <f>IFERROR(__xludf.DUMMYFUNCTION("""COMPUTED_VALUE"""),"")</f>
        <v/>
      </c>
      <c r="O703" s="257" t="str">
        <f>IFERROR(__xludf.DUMMYFUNCTION("""COMPUTED_VALUE"""),"")</f>
        <v/>
      </c>
      <c r="P703" s="247" t="str">
        <f t="shared" si="4"/>
        <v/>
      </c>
      <c r="Q703" s="320" t="str">
        <f>IFERROR(__xludf.DUMMYFUNCTION("""COMPUTED_VALUE"""),"")</f>
        <v/>
      </c>
      <c r="R703" s="259" t="str">
        <f>IFERROR(__xludf.DUMMYFUNCTION("""COMPUTED_VALUE"""),"")</f>
        <v/>
      </c>
      <c r="S703" s="250" t="str">
        <f t="shared" si="5"/>
        <v/>
      </c>
      <c r="T703" s="254" t="str">
        <f>IFERROR(__xludf.DUMMYFUNCTION("""COMPUTED_VALUE"""),"")</f>
        <v/>
      </c>
      <c r="U703" s="246" t="str">
        <f>IFERROR(__xludf.DUMMYFUNCTION("""COMPUTED_VALUE"""),"")</f>
        <v/>
      </c>
      <c r="V703" s="247" t="str">
        <f t="shared" si="6"/>
        <v/>
      </c>
      <c r="W703" s="255" t="str">
        <f>IFERROR(__xludf.DUMMYFUNCTION("""COMPUTED_VALUE"""),"")</f>
        <v/>
      </c>
      <c r="X703" s="249" t="str">
        <f>IFERROR(__xludf.DUMMYFUNCTION("""COMPUTED_VALUE"""),"")</f>
        <v/>
      </c>
      <c r="Y703" s="250" t="str">
        <f t="shared" si="7"/>
        <v/>
      </c>
    </row>
    <row r="704">
      <c r="A704" s="136" t="s">
        <v>133</v>
      </c>
      <c r="B704" s="136"/>
      <c r="C704" s="136" t="s">
        <v>133</v>
      </c>
      <c r="D704" s="136"/>
      <c r="E704" s="256" t="str">
        <f>IFERROR(__xludf.DUMMYFUNCTION("""COMPUTED_VALUE"""),"")</f>
        <v/>
      </c>
      <c r="F704" s="257" t="str">
        <f>IFERROR(__xludf.DUMMYFUNCTION("""COMPUTED_VALUE"""),"")</f>
        <v/>
      </c>
      <c r="G704" s="247" t="str">
        <f t="shared" si="1"/>
        <v/>
      </c>
      <c r="H704" s="258" t="str">
        <f>IFERROR(__xludf.DUMMYFUNCTION("""COMPUTED_VALUE"""),"")</f>
        <v/>
      </c>
      <c r="I704" s="259" t="str">
        <f>IFERROR(__xludf.DUMMYFUNCTION("""COMPUTED_VALUE"""),"")</f>
        <v/>
      </c>
      <c r="J704" s="250" t="str">
        <f t="shared" si="2"/>
        <v/>
      </c>
      <c r="K704" s="317" t="str">
        <f>IFERROR(__xludf.DUMMYFUNCTION("""COMPUTED_VALUE"""),"")</f>
        <v/>
      </c>
      <c r="L704" s="318" t="str">
        <f>IFERROR(__xludf.DUMMYFUNCTION("""COMPUTED_VALUE"""),"")</f>
        <v/>
      </c>
      <c r="M704" s="253" t="str">
        <f t="shared" si="3"/>
        <v/>
      </c>
      <c r="N704" s="319" t="str">
        <f>IFERROR(__xludf.DUMMYFUNCTION("""COMPUTED_VALUE"""),"")</f>
        <v/>
      </c>
      <c r="O704" s="257" t="str">
        <f>IFERROR(__xludf.DUMMYFUNCTION("""COMPUTED_VALUE"""),"")</f>
        <v/>
      </c>
      <c r="P704" s="247" t="str">
        <f t="shared" si="4"/>
        <v/>
      </c>
      <c r="Q704" s="320" t="str">
        <f>IFERROR(__xludf.DUMMYFUNCTION("""COMPUTED_VALUE"""),"")</f>
        <v/>
      </c>
      <c r="R704" s="259" t="str">
        <f>IFERROR(__xludf.DUMMYFUNCTION("""COMPUTED_VALUE"""),"")</f>
        <v/>
      </c>
      <c r="S704" s="250" t="str">
        <f t="shared" si="5"/>
        <v/>
      </c>
      <c r="T704" s="254" t="str">
        <f>IFERROR(__xludf.DUMMYFUNCTION("""COMPUTED_VALUE"""),"")</f>
        <v/>
      </c>
      <c r="U704" s="246" t="str">
        <f>IFERROR(__xludf.DUMMYFUNCTION("""COMPUTED_VALUE"""),"")</f>
        <v/>
      </c>
      <c r="V704" s="247" t="str">
        <f t="shared" si="6"/>
        <v/>
      </c>
      <c r="W704" s="255" t="str">
        <f>IFERROR(__xludf.DUMMYFUNCTION("""COMPUTED_VALUE"""),"")</f>
        <v/>
      </c>
      <c r="X704" s="249" t="str">
        <f>IFERROR(__xludf.DUMMYFUNCTION("""COMPUTED_VALUE"""),"")</f>
        <v/>
      </c>
      <c r="Y704" s="250" t="str">
        <f t="shared" si="7"/>
        <v/>
      </c>
    </row>
    <row r="705">
      <c r="A705" s="136" t="s">
        <v>133</v>
      </c>
      <c r="B705" s="136"/>
      <c r="C705" s="136" t="s">
        <v>133</v>
      </c>
      <c r="D705" s="136"/>
      <c r="E705" s="256" t="str">
        <f>IFERROR(__xludf.DUMMYFUNCTION("""COMPUTED_VALUE"""),"")</f>
        <v/>
      </c>
      <c r="F705" s="257" t="str">
        <f>IFERROR(__xludf.DUMMYFUNCTION("""COMPUTED_VALUE"""),"")</f>
        <v/>
      </c>
      <c r="G705" s="247" t="str">
        <f t="shared" si="1"/>
        <v/>
      </c>
      <c r="H705" s="258" t="str">
        <f>IFERROR(__xludf.DUMMYFUNCTION("""COMPUTED_VALUE"""),"")</f>
        <v/>
      </c>
      <c r="I705" s="259" t="str">
        <f>IFERROR(__xludf.DUMMYFUNCTION("""COMPUTED_VALUE"""),"")</f>
        <v/>
      </c>
      <c r="J705" s="250" t="str">
        <f t="shared" si="2"/>
        <v/>
      </c>
      <c r="K705" s="317" t="str">
        <f>IFERROR(__xludf.DUMMYFUNCTION("""COMPUTED_VALUE"""),"")</f>
        <v/>
      </c>
      <c r="L705" s="318" t="str">
        <f>IFERROR(__xludf.DUMMYFUNCTION("""COMPUTED_VALUE"""),"")</f>
        <v/>
      </c>
      <c r="M705" s="253" t="str">
        <f t="shared" si="3"/>
        <v/>
      </c>
      <c r="N705" s="319" t="str">
        <f>IFERROR(__xludf.DUMMYFUNCTION("""COMPUTED_VALUE"""),"")</f>
        <v/>
      </c>
      <c r="O705" s="257" t="str">
        <f>IFERROR(__xludf.DUMMYFUNCTION("""COMPUTED_VALUE"""),"")</f>
        <v/>
      </c>
      <c r="P705" s="247" t="str">
        <f t="shared" si="4"/>
        <v/>
      </c>
      <c r="Q705" s="320" t="str">
        <f>IFERROR(__xludf.DUMMYFUNCTION("""COMPUTED_VALUE"""),"")</f>
        <v/>
      </c>
      <c r="R705" s="259" t="str">
        <f>IFERROR(__xludf.DUMMYFUNCTION("""COMPUTED_VALUE"""),"")</f>
        <v/>
      </c>
      <c r="S705" s="250" t="str">
        <f t="shared" si="5"/>
        <v/>
      </c>
      <c r="T705" s="254" t="str">
        <f>IFERROR(__xludf.DUMMYFUNCTION("""COMPUTED_VALUE"""),"")</f>
        <v/>
      </c>
      <c r="U705" s="246" t="str">
        <f>IFERROR(__xludf.DUMMYFUNCTION("""COMPUTED_VALUE"""),"")</f>
        <v/>
      </c>
      <c r="V705" s="247" t="str">
        <f t="shared" si="6"/>
        <v/>
      </c>
      <c r="W705" s="255" t="str">
        <f>IFERROR(__xludf.DUMMYFUNCTION("""COMPUTED_VALUE"""),"")</f>
        <v/>
      </c>
      <c r="X705" s="249" t="str">
        <f>IFERROR(__xludf.DUMMYFUNCTION("""COMPUTED_VALUE"""),"")</f>
        <v/>
      </c>
      <c r="Y705" s="250" t="str">
        <f t="shared" si="7"/>
        <v/>
      </c>
    </row>
    <row r="706">
      <c r="A706" s="136" t="s">
        <v>133</v>
      </c>
      <c r="B706" s="136"/>
      <c r="C706" s="136" t="s">
        <v>133</v>
      </c>
      <c r="D706" s="136"/>
      <c r="E706" s="256" t="str">
        <f>IFERROR(__xludf.DUMMYFUNCTION("""COMPUTED_VALUE"""),"")</f>
        <v/>
      </c>
      <c r="F706" s="257" t="str">
        <f>IFERROR(__xludf.DUMMYFUNCTION("""COMPUTED_VALUE"""),"")</f>
        <v/>
      </c>
      <c r="G706" s="247" t="str">
        <f t="shared" si="1"/>
        <v/>
      </c>
      <c r="H706" s="258" t="str">
        <f>IFERROR(__xludf.DUMMYFUNCTION("""COMPUTED_VALUE"""),"")</f>
        <v/>
      </c>
      <c r="I706" s="259" t="str">
        <f>IFERROR(__xludf.DUMMYFUNCTION("""COMPUTED_VALUE"""),"")</f>
        <v/>
      </c>
      <c r="J706" s="250" t="str">
        <f t="shared" si="2"/>
        <v/>
      </c>
      <c r="K706" s="317" t="str">
        <f>IFERROR(__xludf.DUMMYFUNCTION("""COMPUTED_VALUE"""),"")</f>
        <v/>
      </c>
      <c r="L706" s="318" t="str">
        <f>IFERROR(__xludf.DUMMYFUNCTION("""COMPUTED_VALUE"""),"")</f>
        <v/>
      </c>
      <c r="M706" s="253" t="str">
        <f t="shared" si="3"/>
        <v/>
      </c>
      <c r="N706" s="319" t="str">
        <f>IFERROR(__xludf.DUMMYFUNCTION("""COMPUTED_VALUE"""),"")</f>
        <v/>
      </c>
      <c r="O706" s="257" t="str">
        <f>IFERROR(__xludf.DUMMYFUNCTION("""COMPUTED_VALUE"""),"")</f>
        <v/>
      </c>
      <c r="P706" s="247" t="str">
        <f t="shared" si="4"/>
        <v/>
      </c>
      <c r="Q706" s="320" t="str">
        <f>IFERROR(__xludf.DUMMYFUNCTION("""COMPUTED_VALUE"""),"")</f>
        <v/>
      </c>
      <c r="R706" s="259" t="str">
        <f>IFERROR(__xludf.DUMMYFUNCTION("""COMPUTED_VALUE"""),"")</f>
        <v/>
      </c>
      <c r="S706" s="250" t="str">
        <f t="shared" si="5"/>
        <v/>
      </c>
      <c r="T706" s="254" t="str">
        <f>IFERROR(__xludf.DUMMYFUNCTION("""COMPUTED_VALUE"""),"")</f>
        <v/>
      </c>
      <c r="U706" s="246" t="str">
        <f>IFERROR(__xludf.DUMMYFUNCTION("""COMPUTED_VALUE"""),"")</f>
        <v/>
      </c>
      <c r="V706" s="247" t="str">
        <f t="shared" si="6"/>
        <v/>
      </c>
      <c r="W706" s="255" t="str">
        <f>IFERROR(__xludf.DUMMYFUNCTION("""COMPUTED_VALUE"""),"")</f>
        <v/>
      </c>
      <c r="X706" s="249" t="str">
        <f>IFERROR(__xludf.DUMMYFUNCTION("""COMPUTED_VALUE"""),"")</f>
        <v/>
      </c>
      <c r="Y706" s="250" t="str">
        <f t="shared" si="7"/>
        <v/>
      </c>
    </row>
    <row r="707">
      <c r="A707" s="136" t="s">
        <v>133</v>
      </c>
      <c r="B707" s="136"/>
      <c r="C707" s="136" t="s">
        <v>133</v>
      </c>
      <c r="D707" s="136"/>
      <c r="E707" s="256" t="str">
        <f>IFERROR(__xludf.DUMMYFUNCTION("""COMPUTED_VALUE"""),"")</f>
        <v/>
      </c>
      <c r="F707" s="257" t="str">
        <f>IFERROR(__xludf.DUMMYFUNCTION("""COMPUTED_VALUE"""),"")</f>
        <v/>
      </c>
      <c r="G707" s="247" t="str">
        <f t="shared" si="1"/>
        <v/>
      </c>
      <c r="H707" s="258" t="str">
        <f>IFERROR(__xludf.DUMMYFUNCTION("""COMPUTED_VALUE"""),"")</f>
        <v/>
      </c>
      <c r="I707" s="259" t="str">
        <f>IFERROR(__xludf.DUMMYFUNCTION("""COMPUTED_VALUE"""),"")</f>
        <v/>
      </c>
      <c r="J707" s="250" t="str">
        <f t="shared" si="2"/>
        <v/>
      </c>
      <c r="K707" s="317" t="str">
        <f>IFERROR(__xludf.DUMMYFUNCTION("""COMPUTED_VALUE"""),"")</f>
        <v/>
      </c>
      <c r="L707" s="318" t="str">
        <f>IFERROR(__xludf.DUMMYFUNCTION("""COMPUTED_VALUE"""),"")</f>
        <v/>
      </c>
      <c r="M707" s="253" t="str">
        <f t="shared" si="3"/>
        <v/>
      </c>
      <c r="N707" s="319" t="str">
        <f>IFERROR(__xludf.DUMMYFUNCTION("""COMPUTED_VALUE"""),"")</f>
        <v/>
      </c>
      <c r="O707" s="257" t="str">
        <f>IFERROR(__xludf.DUMMYFUNCTION("""COMPUTED_VALUE"""),"")</f>
        <v/>
      </c>
      <c r="P707" s="247" t="str">
        <f t="shared" si="4"/>
        <v/>
      </c>
      <c r="Q707" s="320" t="str">
        <f>IFERROR(__xludf.DUMMYFUNCTION("""COMPUTED_VALUE"""),"")</f>
        <v/>
      </c>
      <c r="R707" s="259" t="str">
        <f>IFERROR(__xludf.DUMMYFUNCTION("""COMPUTED_VALUE"""),"")</f>
        <v/>
      </c>
      <c r="S707" s="250" t="str">
        <f t="shared" si="5"/>
        <v/>
      </c>
      <c r="T707" s="254" t="str">
        <f>IFERROR(__xludf.DUMMYFUNCTION("""COMPUTED_VALUE"""),"")</f>
        <v/>
      </c>
      <c r="U707" s="246" t="str">
        <f>IFERROR(__xludf.DUMMYFUNCTION("""COMPUTED_VALUE"""),"")</f>
        <v/>
      </c>
      <c r="V707" s="247" t="str">
        <f t="shared" si="6"/>
        <v/>
      </c>
      <c r="W707" s="255" t="str">
        <f>IFERROR(__xludf.DUMMYFUNCTION("""COMPUTED_VALUE"""),"")</f>
        <v/>
      </c>
      <c r="X707" s="249" t="str">
        <f>IFERROR(__xludf.DUMMYFUNCTION("""COMPUTED_VALUE"""),"")</f>
        <v/>
      </c>
      <c r="Y707" s="250" t="str">
        <f t="shared" si="7"/>
        <v/>
      </c>
    </row>
    <row r="708">
      <c r="A708" s="136" t="s">
        <v>133</v>
      </c>
      <c r="B708" s="136"/>
      <c r="C708" s="136" t="s">
        <v>133</v>
      </c>
      <c r="D708" s="136"/>
      <c r="E708" s="256" t="str">
        <f>IFERROR(__xludf.DUMMYFUNCTION("""COMPUTED_VALUE"""),"")</f>
        <v/>
      </c>
      <c r="F708" s="257" t="str">
        <f>IFERROR(__xludf.DUMMYFUNCTION("""COMPUTED_VALUE"""),"")</f>
        <v/>
      </c>
      <c r="G708" s="247" t="str">
        <f t="shared" si="1"/>
        <v/>
      </c>
      <c r="H708" s="258" t="str">
        <f>IFERROR(__xludf.DUMMYFUNCTION("""COMPUTED_VALUE"""),"")</f>
        <v/>
      </c>
      <c r="I708" s="259" t="str">
        <f>IFERROR(__xludf.DUMMYFUNCTION("""COMPUTED_VALUE"""),"")</f>
        <v/>
      </c>
      <c r="J708" s="250" t="str">
        <f t="shared" si="2"/>
        <v/>
      </c>
      <c r="K708" s="317" t="str">
        <f>IFERROR(__xludf.DUMMYFUNCTION("""COMPUTED_VALUE"""),"")</f>
        <v/>
      </c>
      <c r="L708" s="318" t="str">
        <f>IFERROR(__xludf.DUMMYFUNCTION("""COMPUTED_VALUE"""),"")</f>
        <v/>
      </c>
      <c r="M708" s="253" t="str">
        <f t="shared" si="3"/>
        <v/>
      </c>
      <c r="N708" s="319" t="str">
        <f>IFERROR(__xludf.DUMMYFUNCTION("""COMPUTED_VALUE"""),"")</f>
        <v/>
      </c>
      <c r="O708" s="257" t="str">
        <f>IFERROR(__xludf.DUMMYFUNCTION("""COMPUTED_VALUE"""),"")</f>
        <v/>
      </c>
      <c r="P708" s="247" t="str">
        <f t="shared" si="4"/>
        <v/>
      </c>
      <c r="Q708" s="320" t="str">
        <f>IFERROR(__xludf.DUMMYFUNCTION("""COMPUTED_VALUE"""),"")</f>
        <v/>
      </c>
      <c r="R708" s="259" t="str">
        <f>IFERROR(__xludf.DUMMYFUNCTION("""COMPUTED_VALUE"""),"")</f>
        <v/>
      </c>
      <c r="S708" s="250" t="str">
        <f t="shared" si="5"/>
        <v/>
      </c>
      <c r="T708" s="254" t="str">
        <f>IFERROR(__xludf.DUMMYFUNCTION("""COMPUTED_VALUE"""),"")</f>
        <v/>
      </c>
      <c r="U708" s="246" t="str">
        <f>IFERROR(__xludf.DUMMYFUNCTION("""COMPUTED_VALUE"""),"")</f>
        <v/>
      </c>
      <c r="V708" s="247" t="str">
        <f t="shared" si="6"/>
        <v/>
      </c>
      <c r="W708" s="255" t="str">
        <f>IFERROR(__xludf.DUMMYFUNCTION("""COMPUTED_VALUE"""),"")</f>
        <v/>
      </c>
      <c r="X708" s="249" t="str">
        <f>IFERROR(__xludf.DUMMYFUNCTION("""COMPUTED_VALUE"""),"")</f>
        <v/>
      </c>
      <c r="Y708" s="250" t="str">
        <f t="shared" si="7"/>
        <v/>
      </c>
    </row>
    <row r="709">
      <c r="A709" s="136" t="s">
        <v>133</v>
      </c>
      <c r="B709" s="136"/>
      <c r="C709" s="136" t="s">
        <v>133</v>
      </c>
      <c r="D709" s="136"/>
      <c r="E709" s="256" t="str">
        <f>IFERROR(__xludf.DUMMYFUNCTION("""COMPUTED_VALUE"""),"")</f>
        <v/>
      </c>
      <c r="F709" s="257" t="str">
        <f>IFERROR(__xludf.DUMMYFUNCTION("""COMPUTED_VALUE"""),"")</f>
        <v/>
      </c>
      <c r="G709" s="247" t="str">
        <f t="shared" si="1"/>
        <v/>
      </c>
      <c r="H709" s="258" t="str">
        <f>IFERROR(__xludf.DUMMYFUNCTION("""COMPUTED_VALUE"""),"")</f>
        <v/>
      </c>
      <c r="I709" s="259" t="str">
        <f>IFERROR(__xludf.DUMMYFUNCTION("""COMPUTED_VALUE"""),"")</f>
        <v/>
      </c>
      <c r="J709" s="250" t="str">
        <f t="shared" si="2"/>
        <v/>
      </c>
      <c r="K709" s="317" t="str">
        <f>IFERROR(__xludf.DUMMYFUNCTION("""COMPUTED_VALUE"""),"")</f>
        <v/>
      </c>
      <c r="L709" s="318" t="str">
        <f>IFERROR(__xludf.DUMMYFUNCTION("""COMPUTED_VALUE"""),"")</f>
        <v/>
      </c>
      <c r="M709" s="253" t="str">
        <f t="shared" si="3"/>
        <v/>
      </c>
      <c r="N709" s="319" t="str">
        <f>IFERROR(__xludf.DUMMYFUNCTION("""COMPUTED_VALUE"""),"")</f>
        <v/>
      </c>
      <c r="O709" s="257" t="str">
        <f>IFERROR(__xludf.DUMMYFUNCTION("""COMPUTED_VALUE"""),"")</f>
        <v/>
      </c>
      <c r="P709" s="247" t="str">
        <f t="shared" si="4"/>
        <v/>
      </c>
      <c r="Q709" s="320" t="str">
        <f>IFERROR(__xludf.DUMMYFUNCTION("""COMPUTED_VALUE"""),"")</f>
        <v/>
      </c>
      <c r="R709" s="259" t="str">
        <f>IFERROR(__xludf.DUMMYFUNCTION("""COMPUTED_VALUE"""),"")</f>
        <v/>
      </c>
      <c r="S709" s="250" t="str">
        <f t="shared" si="5"/>
        <v/>
      </c>
      <c r="T709" s="254" t="str">
        <f>IFERROR(__xludf.DUMMYFUNCTION("""COMPUTED_VALUE"""),"")</f>
        <v/>
      </c>
      <c r="U709" s="246" t="str">
        <f>IFERROR(__xludf.DUMMYFUNCTION("""COMPUTED_VALUE"""),"")</f>
        <v/>
      </c>
      <c r="V709" s="247" t="str">
        <f t="shared" si="6"/>
        <v/>
      </c>
      <c r="W709" s="255" t="str">
        <f>IFERROR(__xludf.DUMMYFUNCTION("""COMPUTED_VALUE"""),"")</f>
        <v/>
      </c>
      <c r="X709" s="249" t="str">
        <f>IFERROR(__xludf.DUMMYFUNCTION("""COMPUTED_VALUE"""),"")</f>
        <v/>
      </c>
      <c r="Y709" s="250" t="str">
        <f t="shared" si="7"/>
        <v/>
      </c>
    </row>
    <row r="710">
      <c r="A710" s="136" t="s">
        <v>133</v>
      </c>
      <c r="B710" s="136"/>
      <c r="C710" s="136" t="s">
        <v>133</v>
      </c>
      <c r="D710" s="136"/>
      <c r="E710" s="256" t="str">
        <f>IFERROR(__xludf.DUMMYFUNCTION("""COMPUTED_VALUE"""),"")</f>
        <v/>
      </c>
      <c r="F710" s="257" t="str">
        <f>IFERROR(__xludf.DUMMYFUNCTION("""COMPUTED_VALUE"""),"")</f>
        <v/>
      </c>
      <c r="G710" s="247" t="str">
        <f t="shared" si="1"/>
        <v/>
      </c>
      <c r="H710" s="258" t="str">
        <f>IFERROR(__xludf.DUMMYFUNCTION("""COMPUTED_VALUE"""),"")</f>
        <v/>
      </c>
      <c r="I710" s="259" t="str">
        <f>IFERROR(__xludf.DUMMYFUNCTION("""COMPUTED_VALUE"""),"")</f>
        <v/>
      </c>
      <c r="J710" s="250" t="str">
        <f t="shared" si="2"/>
        <v/>
      </c>
      <c r="K710" s="317" t="str">
        <f>IFERROR(__xludf.DUMMYFUNCTION("""COMPUTED_VALUE"""),"")</f>
        <v/>
      </c>
      <c r="L710" s="318" t="str">
        <f>IFERROR(__xludf.DUMMYFUNCTION("""COMPUTED_VALUE"""),"")</f>
        <v/>
      </c>
      <c r="M710" s="253" t="str">
        <f t="shared" si="3"/>
        <v/>
      </c>
      <c r="N710" s="319" t="str">
        <f>IFERROR(__xludf.DUMMYFUNCTION("""COMPUTED_VALUE"""),"")</f>
        <v/>
      </c>
      <c r="O710" s="257" t="str">
        <f>IFERROR(__xludf.DUMMYFUNCTION("""COMPUTED_VALUE"""),"")</f>
        <v/>
      </c>
      <c r="P710" s="247" t="str">
        <f t="shared" si="4"/>
        <v/>
      </c>
      <c r="Q710" s="320" t="str">
        <f>IFERROR(__xludf.DUMMYFUNCTION("""COMPUTED_VALUE"""),"")</f>
        <v/>
      </c>
      <c r="R710" s="259" t="str">
        <f>IFERROR(__xludf.DUMMYFUNCTION("""COMPUTED_VALUE"""),"")</f>
        <v/>
      </c>
      <c r="S710" s="250" t="str">
        <f t="shared" si="5"/>
        <v/>
      </c>
      <c r="T710" s="254" t="str">
        <f>IFERROR(__xludf.DUMMYFUNCTION("""COMPUTED_VALUE"""),"")</f>
        <v/>
      </c>
      <c r="U710" s="246" t="str">
        <f>IFERROR(__xludf.DUMMYFUNCTION("""COMPUTED_VALUE"""),"")</f>
        <v/>
      </c>
      <c r="V710" s="247" t="str">
        <f t="shared" si="6"/>
        <v/>
      </c>
      <c r="W710" s="255" t="str">
        <f>IFERROR(__xludf.DUMMYFUNCTION("""COMPUTED_VALUE"""),"")</f>
        <v/>
      </c>
      <c r="X710" s="249" t="str">
        <f>IFERROR(__xludf.DUMMYFUNCTION("""COMPUTED_VALUE"""),"")</f>
        <v/>
      </c>
      <c r="Y710" s="250" t="str">
        <f t="shared" si="7"/>
        <v/>
      </c>
    </row>
    <row r="711">
      <c r="A711" s="136" t="s">
        <v>133</v>
      </c>
      <c r="B711" s="136"/>
      <c r="C711" s="136" t="s">
        <v>133</v>
      </c>
      <c r="D711" s="136"/>
      <c r="E711" s="256" t="str">
        <f>IFERROR(__xludf.DUMMYFUNCTION("""COMPUTED_VALUE"""),"")</f>
        <v/>
      </c>
      <c r="F711" s="257" t="str">
        <f>IFERROR(__xludf.DUMMYFUNCTION("""COMPUTED_VALUE"""),"")</f>
        <v/>
      </c>
      <c r="G711" s="247" t="str">
        <f t="shared" si="1"/>
        <v/>
      </c>
      <c r="H711" s="258" t="str">
        <f>IFERROR(__xludf.DUMMYFUNCTION("""COMPUTED_VALUE"""),"")</f>
        <v/>
      </c>
      <c r="I711" s="259" t="str">
        <f>IFERROR(__xludf.DUMMYFUNCTION("""COMPUTED_VALUE"""),"")</f>
        <v/>
      </c>
      <c r="J711" s="250" t="str">
        <f t="shared" si="2"/>
        <v/>
      </c>
      <c r="K711" s="317" t="str">
        <f>IFERROR(__xludf.DUMMYFUNCTION("""COMPUTED_VALUE"""),"")</f>
        <v/>
      </c>
      <c r="L711" s="318" t="str">
        <f>IFERROR(__xludf.DUMMYFUNCTION("""COMPUTED_VALUE"""),"")</f>
        <v/>
      </c>
      <c r="M711" s="253" t="str">
        <f t="shared" si="3"/>
        <v/>
      </c>
      <c r="N711" s="319" t="str">
        <f>IFERROR(__xludf.DUMMYFUNCTION("""COMPUTED_VALUE"""),"")</f>
        <v/>
      </c>
      <c r="O711" s="257" t="str">
        <f>IFERROR(__xludf.DUMMYFUNCTION("""COMPUTED_VALUE"""),"")</f>
        <v/>
      </c>
      <c r="P711" s="247" t="str">
        <f t="shared" si="4"/>
        <v/>
      </c>
      <c r="Q711" s="320" t="str">
        <f>IFERROR(__xludf.DUMMYFUNCTION("""COMPUTED_VALUE"""),"")</f>
        <v/>
      </c>
      <c r="R711" s="259" t="str">
        <f>IFERROR(__xludf.DUMMYFUNCTION("""COMPUTED_VALUE"""),"")</f>
        <v/>
      </c>
      <c r="S711" s="250" t="str">
        <f t="shared" si="5"/>
        <v/>
      </c>
      <c r="T711" s="254" t="str">
        <f>IFERROR(__xludf.DUMMYFUNCTION("""COMPUTED_VALUE"""),"")</f>
        <v/>
      </c>
      <c r="U711" s="246" t="str">
        <f>IFERROR(__xludf.DUMMYFUNCTION("""COMPUTED_VALUE"""),"")</f>
        <v/>
      </c>
      <c r="V711" s="247" t="str">
        <f t="shared" si="6"/>
        <v/>
      </c>
      <c r="W711" s="255" t="str">
        <f>IFERROR(__xludf.DUMMYFUNCTION("""COMPUTED_VALUE"""),"")</f>
        <v/>
      </c>
      <c r="X711" s="249" t="str">
        <f>IFERROR(__xludf.DUMMYFUNCTION("""COMPUTED_VALUE"""),"")</f>
        <v/>
      </c>
      <c r="Y711" s="250" t="str">
        <f t="shared" si="7"/>
        <v/>
      </c>
    </row>
    <row r="712">
      <c r="A712" s="136" t="s">
        <v>133</v>
      </c>
      <c r="B712" s="136"/>
      <c r="C712" s="136" t="s">
        <v>133</v>
      </c>
      <c r="D712" s="136"/>
      <c r="E712" s="256" t="str">
        <f>IFERROR(__xludf.DUMMYFUNCTION("""COMPUTED_VALUE"""),"")</f>
        <v/>
      </c>
      <c r="F712" s="257" t="str">
        <f>IFERROR(__xludf.DUMMYFUNCTION("""COMPUTED_VALUE"""),"")</f>
        <v/>
      </c>
      <c r="G712" s="247" t="str">
        <f t="shared" si="1"/>
        <v/>
      </c>
      <c r="H712" s="258" t="str">
        <f>IFERROR(__xludf.DUMMYFUNCTION("""COMPUTED_VALUE"""),"")</f>
        <v/>
      </c>
      <c r="I712" s="259" t="str">
        <f>IFERROR(__xludf.DUMMYFUNCTION("""COMPUTED_VALUE"""),"")</f>
        <v/>
      </c>
      <c r="J712" s="250" t="str">
        <f t="shared" si="2"/>
        <v/>
      </c>
      <c r="K712" s="317" t="str">
        <f>IFERROR(__xludf.DUMMYFUNCTION("""COMPUTED_VALUE"""),"")</f>
        <v/>
      </c>
      <c r="L712" s="318" t="str">
        <f>IFERROR(__xludf.DUMMYFUNCTION("""COMPUTED_VALUE"""),"")</f>
        <v/>
      </c>
      <c r="M712" s="253" t="str">
        <f t="shared" si="3"/>
        <v/>
      </c>
      <c r="N712" s="319" t="str">
        <f>IFERROR(__xludf.DUMMYFUNCTION("""COMPUTED_VALUE"""),"")</f>
        <v/>
      </c>
      <c r="O712" s="257" t="str">
        <f>IFERROR(__xludf.DUMMYFUNCTION("""COMPUTED_VALUE"""),"")</f>
        <v/>
      </c>
      <c r="P712" s="247" t="str">
        <f t="shared" si="4"/>
        <v/>
      </c>
      <c r="Q712" s="320" t="str">
        <f>IFERROR(__xludf.DUMMYFUNCTION("""COMPUTED_VALUE"""),"")</f>
        <v/>
      </c>
      <c r="R712" s="259" t="str">
        <f>IFERROR(__xludf.DUMMYFUNCTION("""COMPUTED_VALUE"""),"")</f>
        <v/>
      </c>
      <c r="S712" s="250" t="str">
        <f t="shared" si="5"/>
        <v/>
      </c>
      <c r="T712" s="254" t="str">
        <f>IFERROR(__xludf.DUMMYFUNCTION("""COMPUTED_VALUE"""),"")</f>
        <v/>
      </c>
      <c r="U712" s="246" t="str">
        <f>IFERROR(__xludf.DUMMYFUNCTION("""COMPUTED_VALUE"""),"")</f>
        <v/>
      </c>
      <c r="V712" s="247" t="str">
        <f t="shared" si="6"/>
        <v/>
      </c>
      <c r="W712" s="255" t="str">
        <f>IFERROR(__xludf.DUMMYFUNCTION("""COMPUTED_VALUE"""),"")</f>
        <v/>
      </c>
      <c r="X712" s="249" t="str">
        <f>IFERROR(__xludf.DUMMYFUNCTION("""COMPUTED_VALUE"""),"")</f>
        <v/>
      </c>
      <c r="Y712" s="250" t="str">
        <f t="shared" si="7"/>
        <v/>
      </c>
    </row>
    <row r="713">
      <c r="A713" s="136" t="s">
        <v>133</v>
      </c>
      <c r="B713" s="136"/>
      <c r="C713" s="136" t="s">
        <v>133</v>
      </c>
      <c r="D713" s="136"/>
      <c r="E713" s="256" t="str">
        <f>IFERROR(__xludf.DUMMYFUNCTION("""COMPUTED_VALUE"""),"")</f>
        <v/>
      </c>
      <c r="F713" s="257" t="str">
        <f>IFERROR(__xludf.DUMMYFUNCTION("""COMPUTED_VALUE"""),"")</f>
        <v/>
      </c>
      <c r="G713" s="247" t="str">
        <f t="shared" si="1"/>
        <v/>
      </c>
      <c r="H713" s="258" t="str">
        <f>IFERROR(__xludf.DUMMYFUNCTION("""COMPUTED_VALUE"""),"")</f>
        <v/>
      </c>
      <c r="I713" s="259" t="str">
        <f>IFERROR(__xludf.DUMMYFUNCTION("""COMPUTED_VALUE"""),"")</f>
        <v/>
      </c>
      <c r="J713" s="250" t="str">
        <f t="shared" si="2"/>
        <v/>
      </c>
      <c r="K713" s="317" t="str">
        <f>IFERROR(__xludf.DUMMYFUNCTION("""COMPUTED_VALUE"""),"")</f>
        <v/>
      </c>
      <c r="L713" s="318" t="str">
        <f>IFERROR(__xludf.DUMMYFUNCTION("""COMPUTED_VALUE"""),"")</f>
        <v/>
      </c>
      <c r="M713" s="253" t="str">
        <f t="shared" si="3"/>
        <v/>
      </c>
      <c r="N713" s="319" t="str">
        <f>IFERROR(__xludf.DUMMYFUNCTION("""COMPUTED_VALUE"""),"")</f>
        <v/>
      </c>
      <c r="O713" s="257" t="str">
        <f>IFERROR(__xludf.DUMMYFUNCTION("""COMPUTED_VALUE"""),"")</f>
        <v/>
      </c>
      <c r="P713" s="247" t="str">
        <f t="shared" si="4"/>
        <v/>
      </c>
      <c r="Q713" s="320" t="str">
        <f>IFERROR(__xludf.DUMMYFUNCTION("""COMPUTED_VALUE"""),"")</f>
        <v/>
      </c>
      <c r="R713" s="259" t="str">
        <f>IFERROR(__xludf.DUMMYFUNCTION("""COMPUTED_VALUE"""),"")</f>
        <v/>
      </c>
      <c r="S713" s="250" t="str">
        <f t="shared" si="5"/>
        <v/>
      </c>
      <c r="T713" s="254" t="str">
        <f>IFERROR(__xludf.DUMMYFUNCTION("""COMPUTED_VALUE"""),"")</f>
        <v/>
      </c>
      <c r="U713" s="246" t="str">
        <f>IFERROR(__xludf.DUMMYFUNCTION("""COMPUTED_VALUE"""),"")</f>
        <v/>
      </c>
      <c r="V713" s="247" t="str">
        <f t="shared" si="6"/>
        <v/>
      </c>
      <c r="W713" s="255" t="str">
        <f>IFERROR(__xludf.DUMMYFUNCTION("""COMPUTED_VALUE"""),"")</f>
        <v/>
      </c>
      <c r="X713" s="249" t="str">
        <f>IFERROR(__xludf.DUMMYFUNCTION("""COMPUTED_VALUE"""),"")</f>
        <v/>
      </c>
      <c r="Y713" s="250" t="str">
        <f t="shared" si="7"/>
        <v/>
      </c>
    </row>
    <row r="714">
      <c r="A714" s="136" t="s">
        <v>133</v>
      </c>
      <c r="B714" s="136"/>
      <c r="C714" s="136" t="s">
        <v>133</v>
      </c>
      <c r="D714" s="136"/>
      <c r="E714" s="256" t="str">
        <f>IFERROR(__xludf.DUMMYFUNCTION("""COMPUTED_VALUE"""),"")</f>
        <v/>
      </c>
      <c r="F714" s="257" t="str">
        <f>IFERROR(__xludf.DUMMYFUNCTION("""COMPUTED_VALUE"""),"")</f>
        <v/>
      </c>
      <c r="G714" s="247" t="str">
        <f t="shared" si="1"/>
        <v/>
      </c>
      <c r="H714" s="258" t="str">
        <f>IFERROR(__xludf.DUMMYFUNCTION("""COMPUTED_VALUE"""),"")</f>
        <v/>
      </c>
      <c r="I714" s="259" t="str">
        <f>IFERROR(__xludf.DUMMYFUNCTION("""COMPUTED_VALUE"""),"")</f>
        <v/>
      </c>
      <c r="J714" s="250" t="str">
        <f t="shared" si="2"/>
        <v/>
      </c>
      <c r="K714" s="317" t="str">
        <f>IFERROR(__xludf.DUMMYFUNCTION("""COMPUTED_VALUE"""),"")</f>
        <v/>
      </c>
      <c r="L714" s="318" t="str">
        <f>IFERROR(__xludf.DUMMYFUNCTION("""COMPUTED_VALUE"""),"")</f>
        <v/>
      </c>
      <c r="M714" s="253" t="str">
        <f t="shared" si="3"/>
        <v/>
      </c>
      <c r="N714" s="319" t="str">
        <f>IFERROR(__xludf.DUMMYFUNCTION("""COMPUTED_VALUE"""),"")</f>
        <v/>
      </c>
      <c r="O714" s="257" t="str">
        <f>IFERROR(__xludf.DUMMYFUNCTION("""COMPUTED_VALUE"""),"")</f>
        <v/>
      </c>
      <c r="P714" s="247" t="str">
        <f t="shared" si="4"/>
        <v/>
      </c>
      <c r="Q714" s="320" t="str">
        <f>IFERROR(__xludf.DUMMYFUNCTION("""COMPUTED_VALUE"""),"")</f>
        <v/>
      </c>
      <c r="R714" s="259" t="str">
        <f>IFERROR(__xludf.DUMMYFUNCTION("""COMPUTED_VALUE"""),"")</f>
        <v/>
      </c>
      <c r="S714" s="250" t="str">
        <f t="shared" si="5"/>
        <v/>
      </c>
      <c r="T714" s="254" t="str">
        <f>IFERROR(__xludf.DUMMYFUNCTION("""COMPUTED_VALUE"""),"")</f>
        <v/>
      </c>
      <c r="U714" s="246" t="str">
        <f>IFERROR(__xludf.DUMMYFUNCTION("""COMPUTED_VALUE"""),"")</f>
        <v/>
      </c>
      <c r="V714" s="247" t="str">
        <f t="shared" si="6"/>
        <v/>
      </c>
      <c r="W714" s="255" t="str">
        <f>IFERROR(__xludf.DUMMYFUNCTION("""COMPUTED_VALUE"""),"")</f>
        <v/>
      </c>
      <c r="X714" s="249" t="str">
        <f>IFERROR(__xludf.DUMMYFUNCTION("""COMPUTED_VALUE"""),"")</f>
        <v/>
      </c>
      <c r="Y714" s="250" t="str">
        <f t="shared" si="7"/>
        <v/>
      </c>
    </row>
    <row r="715">
      <c r="A715" s="136" t="s">
        <v>133</v>
      </c>
      <c r="B715" s="136"/>
      <c r="C715" s="136" t="s">
        <v>133</v>
      </c>
      <c r="D715" s="136"/>
      <c r="E715" s="256" t="str">
        <f>IFERROR(__xludf.DUMMYFUNCTION("""COMPUTED_VALUE"""),"")</f>
        <v/>
      </c>
      <c r="F715" s="257" t="str">
        <f>IFERROR(__xludf.DUMMYFUNCTION("""COMPUTED_VALUE"""),"")</f>
        <v/>
      </c>
      <c r="G715" s="247" t="str">
        <f t="shared" si="1"/>
        <v/>
      </c>
      <c r="H715" s="258" t="str">
        <f>IFERROR(__xludf.DUMMYFUNCTION("""COMPUTED_VALUE"""),"")</f>
        <v/>
      </c>
      <c r="I715" s="259" t="str">
        <f>IFERROR(__xludf.DUMMYFUNCTION("""COMPUTED_VALUE"""),"")</f>
        <v/>
      </c>
      <c r="J715" s="250" t="str">
        <f t="shared" si="2"/>
        <v/>
      </c>
      <c r="K715" s="317" t="str">
        <f>IFERROR(__xludf.DUMMYFUNCTION("""COMPUTED_VALUE"""),"")</f>
        <v/>
      </c>
      <c r="L715" s="318" t="str">
        <f>IFERROR(__xludf.DUMMYFUNCTION("""COMPUTED_VALUE"""),"")</f>
        <v/>
      </c>
      <c r="M715" s="253" t="str">
        <f t="shared" si="3"/>
        <v/>
      </c>
      <c r="N715" s="319" t="str">
        <f>IFERROR(__xludf.DUMMYFUNCTION("""COMPUTED_VALUE"""),"")</f>
        <v/>
      </c>
      <c r="O715" s="257" t="str">
        <f>IFERROR(__xludf.DUMMYFUNCTION("""COMPUTED_VALUE"""),"")</f>
        <v/>
      </c>
      <c r="P715" s="247" t="str">
        <f t="shared" si="4"/>
        <v/>
      </c>
      <c r="Q715" s="320" t="str">
        <f>IFERROR(__xludf.DUMMYFUNCTION("""COMPUTED_VALUE"""),"")</f>
        <v/>
      </c>
      <c r="R715" s="259" t="str">
        <f>IFERROR(__xludf.DUMMYFUNCTION("""COMPUTED_VALUE"""),"")</f>
        <v/>
      </c>
      <c r="S715" s="250" t="str">
        <f t="shared" si="5"/>
        <v/>
      </c>
      <c r="T715" s="254" t="str">
        <f>IFERROR(__xludf.DUMMYFUNCTION("""COMPUTED_VALUE"""),"")</f>
        <v/>
      </c>
      <c r="U715" s="246" t="str">
        <f>IFERROR(__xludf.DUMMYFUNCTION("""COMPUTED_VALUE"""),"")</f>
        <v/>
      </c>
      <c r="V715" s="247" t="str">
        <f t="shared" si="6"/>
        <v/>
      </c>
      <c r="W715" s="255" t="str">
        <f>IFERROR(__xludf.DUMMYFUNCTION("""COMPUTED_VALUE"""),"")</f>
        <v/>
      </c>
      <c r="X715" s="249" t="str">
        <f>IFERROR(__xludf.DUMMYFUNCTION("""COMPUTED_VALUE"""),"")</f>
        <v/>
      </c>
      <c r="Y715" s="250" t="str">
        <f t="shared" si="7"/>
        <v/>
      </c>
    </row>
    <row r="716">
      <c r="A716" s="136" t="s">
        <v>133</v>
      </c>
      <c r="B716" s="136"/>
      <c r="C716" s="136" t="s">
        <v>133</v>
      </c>
      <c r="D716" s="136"/>
      <c r="E716" s="256" t="str">
        <f>IFERROR(__xludf.DUMMYFUNCTION("""COMPUTED_VALUE"""),"")</f>
        <v/>
      </c>
      <c r="F716" s="257" t="str">
        <f>IFERROR(__xludf.DUMMYFUNCTION("""COMPUTED_VALUE"""),"")</f>
        <v/>
      </c>
      <c r="G716" s="247" t="str">
        <f t="shared" si="1"/>
        <v/>
      </c>
      <c r="H716" s="258" t="str">
        <f>IFERROR(__xludf.DUMMYFUNCTION("""COMPUTED_VALUE"""),"")</f>
        <v/>
      </c>
      <c r="I716" s="259" t="str">
        <f>IFERROR(__xludf.DUMMYFUNCTION("""COMPUTED_VALUE"""),"")</f>
        <v/>
      </c>
      <c r="J716" s="250" t="str">
        <f t="shared" si="2"/>
        <v/>
      </c>
      <c r="K716" s="317" t="str">
        <f>IFERROR(__xludf.DUMMYFUNCTION("""COMPUTED_VALUE"""),"")</f>
        <v/>
      </c>
      <c r="L716" s="318" t="str">
        <f>IFERROR(__xludf.DUMMYFUNCTION("""COMPUTED_VALUE"""),"")</f>
        <v/>
      </c>
      <c r="M716" s="253" t="str">
        <f t="shared" si="3"/>
        <v/>
      </c>
      <c r="N716" s="319" t="str">
        <f>IFERROR(__xludf.DUMMYFUNCTION("""COMPUTED_VALUE"""),"")</f>
        <v/>
      </c>
      <c r="O716" s="257" t="str">
        <f>IFERROR(__xludf.DUMMYFUNCTION("""COMPUTED_VALUE"""),"")</f>
        <v/>
      </c>
      <c r="P716" s="247" t="str">
        <f t="shared" si="4"/>
        <v/>
      </c>
      <c r="Q716" s="320" t="str">
        <f>IFERROR(__xludf.DUMMYFUNCTION("""COMPUTED_VALUE"""),"")</f>
        <v/>
      </c>
      <c r="R716" s="259" t="str">
        <f>IFERROR(__xludf.DUMMYFUNCTION("""COMPUTED_VALUE"""),"")</f>
        <v/>
      </c>
      <c r="S716" s="250" t="str">
        <f t="shared" si="5"/>
        <v/>
      </c>
      <c r="T716" s="254" t="str">
        <f>IFERROR(__xludf.DUMMYFUNCTION("""COMPUTED_VALUE"""),"")</f>
        <v/>
      </c>
      <c r="U716" s="246" t="str">
        <f>IFERROR(__xludf.DUMMYFUNCTION("""COMPUTED_VALUE"""),"")</f>
        <v/>
      </c>
      <c r="V716" s="247" t="str">
        <f t="shared" si="6"/>
        <v/>
      </c>
      <c r="W716" s="255" t="str">
        <f>IFERROR(__xludf.DUMMYFUNCTION("""COMPUTED_VALUE"""),"")</f>
        <v/>
      </c>
      <c r="X716" s="249" t="str">
        <f>IFERROR(__xludf.DUMMYFUNCTION("""COMPUTED_VALUE"""),"")</f>
        <v/>
      </c>
      <c r="Y716" s="250" t="str">
        <f t="shared" si="7"/>
        <v/>
      </c>
    </row>
    <row r="717">
      <c r="A717" s="136" t="s">
        <v>133</v>
      </c>
      <c r="B717" s="136"/>
      <c r="C717" s="136" t="s">
        <v>133</v>
      </c>
      <c r="D717" s="136"/>
      <c r="E717" s="256" t="str">
        <f>IFERROR(__xludf.DUMMYFUNCTION("""COMPUTED_VALUE"""),"")</f>
        <v/>
      </c>
      <c r="F717" s="257" t="str">
        <f>IFERROR(__xludf.DUMMYFUNCTION("""COMPUTED_VALUE"""),"")</f>
        <v/>
      </c>
      <c r="G717" s="247" t="str">
        <f t="shared" si="1"/>
        <v/>
      </c>
      <c r="H717" s="258" t="str">
        <f>IFERROR(__xludf.DUMMYFUNCTION("""COMPUTED_VALUE"""),"")</f>
        <v/>
      </c>
      <c r="I717" s="259" t="str">
        <f>IFERROR(__xludf.DUMMYFUNCTION("""COMPUTED_VALUE"""),"")</f>
        <v/>
      </c>
      <c r="J717" s="250" t="str">
        <f t="shared" si="2"/>
        <v/>
      </c>
      <c r="K717" s="317" t="str">
        <f>IFERROR(__xludf.DUMMYFUNCTION("""COMPUTED_VALUE"""),"")</f>
        <v/>
      </c>
      <c r="L717" s="318" t="str">
        <f>IFERROR(__xludf.DUMMYFUNCTION("""COMPUTED_VALUE"""),"")</f>
        <v/>
      </c>
      <c r="M717" s="253" t="str">
        <f t="shared" si="3"/>
        <v/>
      </c>
      <c r="N717" s="319" t="str">
        <f>IFERROR(__xludf.DUMMYFUNCTION("""COMPUTED_VALUE"""),"")</f>
        <v/>
      </c>
      <c r="O717" s="257" t="str">
        <f>IFERROR(__xludf.DUMMYFUNCTION("""COMPUTED_VALUE"""),"")</f>
        <v/>
      </c>
      <c r="P717" s="247" t="str">
        <f t="shared" si="4"/>
        <v/>
      </c>
      <c r="Q717" s="320" t="str">
        <f>IFERROR(__xludf.DUMMYFUNCTION("""COMPUTED_VALUE"""),"")</f>
        <v/>
      </c>
      <c r="R717" s="259" t="str">
        <f>IFERROR(__xludf.DUMMYFUNCTION("""COMPUTED_VALUE"""),"")</f>
        <v/>
      </c>
      <c r="S717" s="250" t="str">
        <f t="shared" si="5"/>
        <v/>
      </c>
      <c r="T717" s="254" t="str">
        <f>IFERROR(__xludf.DUMMYFUNCTION("""COMPUTED_VALUE"""),"")</f>
        <v/>
      </c>
      <c r="U717" s="246" t="str">
        <f>IFERROR(__xludf.DUMMYFUNCTION("""COMPUTED_VALUE"""),"")</f>
        <v/>
      </c>
      <c r="V717" s="247" t="str">
        <f t="shared" si="6"/>
        <v/>
      </c>
      <c r="W717" s="255" t="str">
        <f>IFERROR(__xludf.DUMMYFUNCTION("""COMPUTED_VALUE"""),"")</f>
        <v/>
      </c>
      <c r="X717" s="249" t="str">
        <f>IFERROR(__xludf.DUMMYFUNCTION("""COMPUTED_VALUE"""),"")</f>
        <v/>
      </c>
      <c r="Y717" s="250" t="str">
        <f t="shared" si="7"/>
        <v/>
      </c>
    </row>
    <row r="718">
      <c r="A718" s="136" t="s">
        <v>133</v>
      </c>
      <c r="B718" s="136"/>
      <c r="C718" s="136" t="s">
        <v>133</v>
      </c>
      <c r="D718" s="136"/>
      <c r="E718" s="256" t="str">
        <f>IFERROR(__xludf.DUMMYFUNCTION("""COMPUTED_VALUE"""),"")</f>
        <v/>
      </c>
      <c r="F718" s="257" t="str">
        <f>IFERROR(__xludf.DUMMYFUNCTION("""COMPUTED_VALUE"""),"")</f>
        <v/>
      </c>
      <c r="G718" s="247" t="str">
        <f t="shared" si="1"/>
        <v/>
      </c>
      <c r="H718" s="258" t="str">
        <f>IFERROR(__xludf.DUMMYFUNCTION("""COMPUTED_VALUE"""),"")</f>
        <v/>
      </c>
      <c r="I718" s="259" t="str">
        <f>IFERROR(__xludf.DUMMYFUNCTION("""COMPUTED_VALUE"""),"")</f>
        <v/>
      </c>
      <c r="J718" s="250" t="str">
        <f t="shared" si="2"/>
        <v/>
      </c>
      <c r="K718" s="317" t="str">
        <f>IFERROR(__xludf.DUMMYFUNCTION("""COMPUTED_VALUE"""),"")</f>
        <v/>
      </c>
      <c r="L718" s="318" t="str">
        <f>IFERROR(__xludf.DUMMYFUNCTION("""COMPUTED_VALUE"""),"")</f>
        <v/>
      </c>
      <c r="M718" s="253" t="str">
        <f t="shared" si="3"/>
        <v/>
      </c>
      <c r="N718" s="319" t="str">
        <f>IFERROR(__xludf.DUMMYFUNCTION("""COMPUTED_VALUE"""),"")</f>
        <v/>
      </c>
      <c r="O718" s="257" t="str">
        <f>IFERROR(__xludf.DUMMYFUNCTION("""COMPUTED_VALUE"""),"")</f>
        <v/>
      </c>
      <c r="P718" s="247" t="str">
        <f t="shared" si="4"/>
        <v/>
      </c>
      <c r="Q718" s="320" t="str">
        <f>IFERROR(__xludf.DUMMYFUNCTION("""COMPUTED_VALUE"""),"")</f>
        <v/>
      </c>
      <c r="R718" s="259" t="str">
        <f>IFERROR(__xludf.DUMMYFUNCTION("""COMPUTED_VALUE"""),"")</f>
        <v/>
      </c>
      <c r="S718" s="250" t="str">
        <f t="shared" si="5"/>
        <v/>
      </c>
      <c r="T718" s="254" t="str">
        <f>IFERROR(__xludf.DUMMYFUNCTION("""COMPUTED_VALUE"""),"")</f>
        <v/>
      </c>
      <c r="U718" s="246" t="str">
        <f>IFERROR(__xludf.DUMMYFUNCTION("""COMPUTED_VALUE"""),"")</f>
        <v/>
      </c>
      <c r="V718" s="247" t="str">
        <f t="shared" si="6"/>
        <v/>
      </c>
      <c r="W718" s="255" t="str">
        <f>IFERROR(__xludf.DUMMYFUNCTION("""COMPUTED_VALUE"""),"")</f>
        <v/>
      </c>
      <c r="X718" s="249" t="str">
        <f>IFERROR(__xludf.DUMMYFUNCTION("""COMPUTED_VALUE"""),"")</f>
        <v/>
      </c>
      <c r="Y718" s="250" t="str">
        <f t="shared" si="7"/>
        <v/>
      </c>
    </row>
    <row r="719">
      <c r="A719" s="136" t="s">
        <v>133</v>
      </c>
      <c r="B719" s="136"/>
      <c r="C719" s="136" t="s">
        <v>133</v>
      </c>
      <c r="D719" s="136"/>
      <c r="E719" s="256" t="str">
        <f>IFERROR(__xludf.DUMMYFUNCTION("""COMPUTED_VALUE"""),"")</f>
        <v/>
      </c>
      <c r="F719" s="257" t="str">
        <f>IFERROR(__xludf.DUMMYFUNCTION("""COMPUTED_VALUE"""),"")</f>
        <v/>
      </c>
      <c r="G719" s="247" t="str">
        <f t="shared" si="1"/>
        <v/>
      </c>
      <c r="H719" s="258" t="str">
        <f>IFERROR(__xludf.DUMMYFUNCTION("""COMPUTED_VALUE"""),"")</f>
        <v/>
      </c>
      <c r="I719" s="259" t="str">
        <f>IFERROR(__xludf.DUMMYFUNCTION("""COMPUTED_VALUE"""),"")</f>
        <v/>
      </c>
      <c r="J719" s="250" t="str">
        <f t="shared" si="2"/>
        <v/>
      </c>
      <c r="K719" s="317" t="str">
        <f>IFERROR(__xludf.DUMMYFUNCTION("""COMPUTED_VALUE"""),"")</f>
        <v/>
      </c>
      <c r="L719" s="318" t="str">
        <f>IFERROR(__xludf.DUMMYFUNCTION("""COMPUTED_VALUE"""),"")</f>
        <v/>
      </c>
      <c r="M719" s="253" t="str">
        <f t="shared" si="3"/>
        <v/>
      </c>
      <c r="N719" s="319" t="str">
        <f>IFERROR(__xludf.DUMMYFUNCTION("""COMPUTED_VALUE"""),"")</f>
        <v/>
      </c>
      <c r="O719" s="257" t="str">
        <f>IFERROR(__xludf.DUMMYFUNCTION("""COMPUTED_VALUE"""),"")</f>
        <v/>
      </c>
      <c r="P719" s="247" t="str">
        <f t="shared" si="4"/>
        <v/>
      </c>
      <c r="Q719" s="320" t="str">
        <f>IFERROR(__xludf.DUMMYFUNCTION("""COMPUTED_VALUE"""),"")</f>
        <v/>
      </c>
      <c r="R719" s="259" t="str">
        <f>IFERROR(__xludf.DUMMYFUNCTION("""COMPUTED_VALUE"""),"")</f>
        <v/>
      </c>
      <c r="S719" s="250" t="str">
        <f t="shared" si="5"/>
        <v/>
      </c>
      <c r="T719" s="254" t="str">
        <f>IFERROR(__xludf.DUMMYFUNCTION("""COMPUTED_VALUE"""),"")</f>
        <v/>
      </c>
      <c r="U719" s="246" t="str">
        <f>IFERROR(__xludf.DUMMYFUNCTION("""COMPUTED_VALUE"""),"")</f>
        <v/>
      </c>
      <c r="V719" s="247" t="str">
        <f t="shared" si="6"/>
        <v/>
      </c>
      <c r="W719" s="255" t="str">
        <f>IFERROR(__xludf.DUMMYFUNCTION("""COMPUTED_VALUE"""),"")</f>
        <v/>
      </c>
      <c r="X719" s="249" t="str">
        <f>IFERROR(__xludf.DUMMYFUNCTION("""COMPUTED_VALUE"""),"")</f>
        <v/>
      </c>
      <c r="Y719" s="250" t="str">
        <f t="shared" si="7"/>
        <v/>
      </c>
    </row>
    <row r="720">
      <c r="A720" s="136" t="s">
        <v>133</v>
      </c>
      <c r="B720" s="136"/>
      <c r="C720" s="136" t="s">
        <v>133</v>
      </c>
      <c r="D720" s="136"/>
      <c r="E720" s="256" t="str">
        <f>IFERROR(__xludf.DUMMYFUNCTION("""COMPUTED_VALUE"""),"")</f>
        <v/>
      </c>
      <c r="F720" s="257" t="str">
        <f>IFERROR(__xludf.DUMMYFUNCTION("""COMPUTED_VALUE"""),"")</f>
        <v/>
      </c>
      <c r="G720" s="247" t="str">
        <f t="shared" si="1"/>
        <v/>
      </c>
      <c r="H720" s="258" t="str">
        <f>IFERROR(__xludf.DUMMYFUNCTION("""COMPUTED_VALUE"""),"")</f>
        <v/>
      </c>
      <c r="I720" s="259" t="str">
        <f>IFERROR(__xludf.DUMMYFUNCTION("""COMPUTED_VALUE"""),"")</f>
        <v/>
      </c>
      <c r="J720" s="250" t="str">
        <f t="shared" si="2"/>
        <v/>
      </c>
      <c r="K720" s="317" t="str">
        <f>IFERROR(__xludf.DUMMYFUNCTION("""COMPUTED_VALUE"""),"")</f>
        <v/>
      </c>
      <c r="L720" s="318" t="str">
        <f>IFERROR(__xludf.DUMMYFUNCTION("""COMPUTED_VALUE"""),"")</f>
        <v/>
      </c>
      <c r="M720" s="253" t="str">
        <f t="shared" si="3"/>
        <v/>
      </c>
      <c r="N720" s="319" t="str">
        <f>IFERROR(__xludf.DUMMYFUNCTION("""COMPUTED_VALUE"""),"")</f>
        <v/>
      </c>
      <c r="O720" s="257" t="str">
        <f>IFERROR(__xludf.DUMMYFUNCTION("""COMPUTED_VALUE"""),"")</f>
        <v/>
      </c>
      <c r="P720" s="247" t="str">
        <f t="shared" si="4"/>
        <v/>
      </c>
      <c r="Q720" s="320" t="str">
        <f>IFERROR(__xludf.DUMMYFUNCTION("""COMPUTED_VALUE"""),"")</f>
        <v/>
      </c>
      <c r="R720" s="259" t="str">
        <f>IFERROR(__xludf.DUMMYFUNCTION("""COMPUTED_VALUE"""),"")</f>
        <v/>
      </c>
      <c r="S720" s="250" t="str">
        <f t="shared" si="5"/>
        <v/>
      </c>
      <c r="T720" s="254" t="str">
        <f>IFERROR(__xludf.DUMMYFUNCTION("""COMPUTED_VALUE"""),"")</f>
        <v/>
      </c>
      <c r="U720" s="246" t="str">
        <f>IFERROR(__xludf.DUMMYFUNCTION("""COMPUTED_VALUE"""),"")</f>
        <v/>
      </c>
      <c r="V720" s="247" t="str">
        <f t="shared" si="6"/>
        <v/>
      </c>
      <c r="W720" s="255" t="str">
        <f>IFERROR(__xludf.DUMMYFUNCTION("""COMPUTED_VALUE"""),"")</f>
        <v/>
      </c>
      <c r="X720" s="249" t="str">
        <f>IFERROR(__xludf.DUMMYFUNCTION("""COMPUTED_VALUE"""),"")</f>
        <v/>
      </c>
      <c r="Y720" s="250" t="str">
        <f t="shared" si="7"/>
        <v/>
      </c>
    </row>
    <row r="721">
      <c r="A721" s="136" t="s">
        <v>133</v>
      </c>
      <c r="B721" s="136"/>
      <c r="C721" s="136" t="s">
        <v>133</v>
      </c>
      <c r="D721" s="136"/>
      <c r="E721" s="256" t="str">
        <f>IFERROR(__xludf.DUMMYFUNCTION("""COMPUTED_VALUE"""),"")</f>
        <v/>
      </c>
      <c r="F721" s="257" t="str">
        <f>IFERROR(__xludf.DUMMYFUNCTION("""COMPUTED_VALUE"""),"")</f>
        <v/>
      </c>
      <c r="G721" s="247" t="str">
        <f t="shared" si="1"/>
        <v/>
      </c>
      <c r="H721" s="258" t="str">
        <f>IFERROR(__xludf.DUMMYFUNCTION("""COMPUTED_VALUE"""),"")</f>
        <v/>
      </c>
      <c r="I721" s="259" t="str">
        <f>IFERROR(__xludf.DUMMYFUNCTION("""COMPUTED_VALUE"""),"")</f>
        <v/>
      </c>
      <c r="J721" s="250" t="str">
        <f t="shared" si="2"/>
        <v/>
      </c>
      <c r="K721" s="317" t="str">
        <f>IFERROR(__xludf.DUMMYFUNCTION("""COMPUTED_VALUE"""),"")</f>
        <v/>
      </c>
      <c r="L721" s="318" t="str">
        <f>IFERROR(__xludf.DUMMYFUNCTION("""COMPUTED_VALUE"""),"")</f>
        <v/>
      </c>
      <c r="M721" s="253" t="str">
        <f t="shared" si="3"/>
        <v/>
      </c>
      <c r="N721" s="319" t="str">
        <f>IFERROR(__xludf.DUMMYFUNCTION("""COMPUTED_VALUE"""),"")</f>
        <v/>
      </c>
      <c r="O721" s="257" t="str">
        <f>IFERROR(__xludf.DUMMYFUNCTION("""COMPUTED_VALUE"""),"")</f>
        <v/>
      </c>
      <c r="P721" s="247" t="str">
        <f t="shared" si="4"/>
        <v/>
      </c>
      <c r="Q721" s="320" t="str">
        <f>IFERROR(__xludf.DUMMYFUNCTION("""COMPUTED_VALUE"""),"")</f>
        <v/>
      </c>
      <c r="R721" s="259" t="str">
        <f>IFERROR(__xludf.DUMMYFUNCTION("""COMPUTED_VALUE"""),"")</f>
        <v/>
      </c>
      <c r="S721" s="250" t="str">
        <f t="shared" si="5"/>
        <v/>
      </c>
      <c r="T721" s="254" t="str">
        <f>IFERROR(__xludf.DUMMYFUNCTION("""COMPUTED_VALUE"""),"")</f>
        <v/>
      </c>
      <c r="U721" s="246" t="str">
        <f>IFERROR(__xludf.DUMMYFUNCTION("""COMPUTED_VALUE"""),"")</f>
        <v/>
      </c>
      <c r="V721" s="247" t="str">
        <f t="shared" si="6"/>
        <v/>
      </c>
      <c r="W721" s="255" t="str">
        <f>IFERROR(__xludf.DUMMYFUNCTION("""COMPUTED_VALUE"""),"")</f>
        <v/>
      </c>
      <c r="X721" s="249" t="str">
        <f>IFERROR(__xludf.DUMMYFUNCTION("""COMPUTED_VALUE"""),"")</f>
        <v/>
      </c>
      <c r="Y721" s="250" t="str">
        <f t="shared" si="7"/>
        <v/>
      </c>
    </row>
    <row r="722">
      <c r="A722" s="136" t="s">
        <v>133</v>
      </c>
      <c r="B722" s="136"/>
      <c r="C722" s="136" t="s">
        <v>133</v>
      </c>
      <c r="D722" s="136"/>
      <c r="E722" s="256" t="str">
        <f>IFERROR(__xludf.DUMMYFUNCTION("""COMPUTED_VALUE"""),"")</f>
        <v/>
      </c>
      <c r="F722" s="257" t="str">
        <f>IFERROR(__xludf.DUMMYFUNCTION("""COMPUTED_VALUE"""),"")</f>
        <v/>
      </c>
      <c r="G722" s="247" t="str">
        <f t="shared" si="1"/>
        <v/>
      </c>
      <c r="H722" s="258" t="str">
        <f>IFERROR(__xludf.DUMMYFUNCTION("""COMPUTED_VALUE"""),"")</f>
        <v/>
      </c>
      <c r="I722" s="259" t="str">
        <f>IFERROR(__xludf.DUMMYFUNCTION("""COMPUTED_VALUE"""),"")</f>
        <v/>
      </c>
      <c r="J722" s="250" t="str">
        <f t="shared" si="2"/>
        <v/>
      </c>
      <c r="K722" s="317" t="str">
        <f>IFERROR(__xludf.DUMMYFUNCTION("""COMPUTED_VALUE"""),"")</f>
        <v/>
      </c>
      <c r="L722" s="318" t="str">
        <f>IFERROR(__xludf.DUMMYFUNCTION("""COMPUTED_VALUE"""),"")</f>
        <v/>
      </c>
      <c r="M722" s="253" t="str">
        <f t="shared" si="3"/>
        <v/>
      </c>
      <c r="N722" s="319" t="str">
        <f>IFERROR(__xludf.DUMMYFUNCTION("""COMPUTED_VALUE"""),"")</f>
        <v/>
      </c>
      <c r="O722" s="257" t="str">
        <f>IFERROR(__xludf.DUMMYFUNCTION("""COMPUTED_VALUE"""),"")</f>
        <v/>
      </c>
      <c r="P722" s="247" t="str">
        <f t="shared" si="4"/>
        <v/>
      </c>
      <c r="Q722" s="320" t="str">
        <f>IFERROR(__xludf.DUMMYFUNCTION("""COMPUTED_VALUE"""),"")</f>
        <v/>
      </c>
      <c r="R722" s="259" t="str">
        <f>IFERROR(__xludf.DUMMYFUNCTION("""COMPUTED_VALUE"""),"")</f>
        <v/>
      </c>
      <c r="S722" s="250" t="str">
        <f t="shared" si="5"/>
        <v/>
      </c>
      <c r="T722" s="254" t="str">
        <f>IFERROR(__xludf.DUMMYFUNCTION("""COMPUTED_VALUE"""),"")</f>
        <v/>
      </c>
      <c r="U722" s="246" t="str">
        <f>IFERROR(__xludf.DUMMYFUNCTION("""COMPUTED_VALUE"""),"")</f>
        <v/>
      </c>
      <c r="V722" s="247" t="str">
        <f t="shared" si="6"/>
        <v/>
      </c>
      <c r="W722" s="255" t="str">
        <f>IFERROR(__xludf.DUMMYFUNCTION("""COMPUTED_VALUE"""),"")</f>
        <v/>
      </c>
      <c r="X722" s="249" t="str">
        <f>IFERROR(__xludf.DUMMYFUNCTION("""COMPUTED_VALUE"""),"")</f>
        <v/>
      </c>
      <c r="Y722" s="250" t="str">
        <f t="shared" si="7"/>
        <v/>
      </c>
    </row>
    <row r="723">
      <c r="A723" s="136" t="s">
        <v>133</v>
      </c>
      <c r="B723" s="136"/>
      <c r="C723" s="136" t="s">
        <v>133</v>
      </c>
      <c r="D723" s="136"/>
      <c r="E723" s="256" t="str">
        <f>IFERROR(__xludf.DUMMYFUNCTION("""COMPUTED_VALUE"""),"")</f>
        <v/>
      </c>
      <c r="F723" s="257" t="str">
        <f>IFERROR(__xludf.DUMMYFUNCTION("""COMPUTED_VALUE"""),"")</f>
        <v/>
      </c>
      <c r="G723" s="247" t="str">
        <f t="shared" si="1"/>
        <v/>
      </c>
      <c r="H723" s="258" t="str">
        <f>IFERROR(__xludf.DUMMYFUNCTION("""COMPUTED_VALUE"""),"")</f>
        <v/>
      </c>
      <c r="I723" s="259" t="str">
        <f>IFERROR(__xludf.DUMMYFUNCTION("""COMPUTED_VALUE"""),"")</f>
        <v/>
      </c>
      <c r="J723" s="250" t="str">
        <f t="shared" si="2"/>
        <v/>
      </c>
      <c r="K723" s="317" t="str">
        <f>IFERROR(__xludf.DUMMYFUNCTION("""COMPUTED_VALUE"""),"")</f>
        <v/>
      </c>
      <c r="L723" s="318" t="str">
        <f>IFERROR(__xludf.DUMMYFUNCTION("""COMPUTED_VALUE"""),"")</f>
        <v/>
      </c>
      <c r="M723" s="253" t="str">
        <f t="shared" si="3"/>
        <v/>
      </c>
      <c r="N723" s="319" t="str">
        <f>IFERROR(__xludf.DUMMYFUNCTION("""COMPUTED_VALUE"""),"")</f>
        <v/>
      </c>
      <c r="O723" s="257" t="str">
        <f>IFERROR(__xludf.DUMMYFUNCTION("""COMPUTED_VALUE"""),"")</f>
        <v/>
      </c>
      <c r="P723" s="247" t="str">
        <f t="shared" si="4"/>
        <v/>
      </c>
      <c r="Q723" s="320" t="str">
        <f>IFERROR(__xludf.DUMMYFUNCTION("""COMPUTED_VALUE"""),"")</f>
        <v/>
      </c>
      <c r="R723" s="259" t="str">
        <f>IFERROR(__xludf.DUMMYFUNCTION("""COMPUTED_VALUE"""),"")</f>
        <v/>
      </c>
      <c r="S723" s="250" t="str">
        <f t="shared" si="5"/>
        <v/>
      </c>
      <c r="T723" s="254" t="str">
        <f>IFERROR(__xludf.DUMMYFUNCTION("""COMPUTED_VALUE"""),"")</f>
        <v/>
      </c>
      <c r="U723" s="246" t="str">
        <f>IFERROR(__xludf.DUMMYFUNCTION("""COMPUTED_VALUE"""),"")</f>
        <v/>
      </c>
      <c r="V723" s="247" t="str">
        <f t="shared" si="6"/>
        <v/>
      </c>
      <c r="W723" s="255" t="str">
        <f>IFERROR(__xludf.DUMMYFUNCTION("""COMPUTED_VALUE"""),"")</f>
        <v/>
      </c>
      <c r="X723" s="249" t="str">
        <f>IFERROR(__xludf.DUMMYFUNCTION("""COMPUTED_VALUE"""),"")</f>
        <v/>
      </c>
      <c r="Y723" s="250" t="str">
        <f t="shared" si="7"/>
        <v/>
      </c>
    </row>
    <row r="724">
      <c r="A724" s="136" t="s">
        <v>133</v>
      </c>
      <c r="B724" s="136"/>
      <c r="C724" s="136" t="s">
        <v>133</v>
      </c>
      <c r="D724" s="136"/>
      <c r="E724" s="256" t="str">
        <f>IFERROR(__xludf.DUMMYFUNCTION("""COMPUTED_VALUE"""),"")</f>
        <v/>
      </c>
      <c r="F724" s="257" t="str">
        <f>IFERROR(__xludf.DUMMYFUNCTION("""COMPUTED_VALUE"""),"")</f>
        <v/>
      </c>
      <c r="G724" s="247" t="str">
        <f t="shared" si="1"/>
        <v/>
      </c>
      <c r="H724" s="258" t="str">
        <f>IFERROR(__xludf.DUMMYFUNCTION("""COMPUTED_VALUE"""),"")</f>
        <v/>
      </c>
      <c r="I724" s="259" t="str">
        <f>IFERROR(__xludf.DUMMYFUNCTION("""COMPUTED_VALUE"""),"")</f>
        <v/>
      </c>
      <c r="J724" s="250" t="str">
        <f t="shared" si="2"/>
        <v/>
      </c>
      <c r="K724" s="317" t="str">
        <f>IFERROR(__xludf.DUMMYFUNCTION("""COMPUTED_VALUE"""),"")</f>
        <v/>
      </c>
      <c r="L724" s="318" t="str">
        <f>IFERROR(__xludf.DUMMYFUNCTION("""COMPUTED_VALUE"""),"")</f>
        <v/>
      </c>
      <c r="M724" s="253" t="str">
        <f t="shared" si="3"/>
        <v/>
      </c>
      <c r="N724" s="319" t="str">
        <f>IFERROR(__xludf.DUMMYFUNCTION("""COMPUTED_VALUE"""),"")</f>
        <v/>
      </c>
      <c r="O724" s="257" t="str">
        <f>IFERROR(__xludf.DUMMYFUNCTION("""COMPUTED_VALUE"""),"")</f>
        <v/>
      </c>
      <c r="P724" s="247" t="str">
        <f t="shared" si="4"/>
        <v/>
      </c>
      <c r="Q724" s="320" t="str">
        <f>IFERROR(__xludf.DUMMYFUNCTION("""COMPUTED_VALUE"""),"")</f>
        <v/>
      </c>
      <c r="R724" s="259" t="str">
        <f>IFERROR(__xludf.DUMMYFUNCTION("""COMPUTED_VALUE"""),"")</f>
        <v/>
      </c>
      <c r="S724" s="250" t="str">
        <f t="shared" si="5"/>
        <v/>
      </c>
      <c r="T724" s="254" t="str">
        <f>IFERROR(__xludf.DUMMYFUNCTION("""COMPUTED_VALUE"""),"")</f>
        <v/>
      </c>
      <c r="U724" s="246" t="str">
        <f>IFERROR(__xludf.DUMMYFUNCTION("""COMPUTED_VALUE"""),"")</f>
        <v/>
      </c>
      <c r="V724" s="247" t="str">
        <f t="shared" si="6"/>
        <v/>
      </c>
      <c r="W724" s="255" t="str">
        <f>IFERROR(__xludf.DUMMYFUNCTION("""COMPUTED_VALUE"""),"")</f>
        <v/>
      </c>
      <c r="X724" s="249" t="str">
        <f>IFERROR(__xludf.DUMMYFUNCTION("""COMPUTED_VALUE"""),"")</f>
        <v/>
      </c>
      <c r="Y724" s="250" t="str">
        <f t="shared" si="7"/>
        <v/>
      </c>
    </row>
    <row r="725">
      <c r="A725" s="136" t="s">
        <v>133</v>
      </c>
      <c r="B725" s="136"/>
      <c r="C725" s="136" t="s">
        <v>133</v>
      </c>
      <c r="D725" s="136"/>
      <c r="E725" s="256" t="str">
        <f>IFERROR(__xludf.DUMMYFUNCTION("""COMPUTED_VALUE"""),"")</f>
        <v/>
      </c>
      <c r="F725" s="257" t="str">
        <f>IFERROR(__xludf.DUMMYFUNCTION("""COMPUTED_VALUE"""),"")</f>
        <v/>
      </c>
      <c r="G725" s="247" t="str">
        <f t="shared" si="1"/>
        <v/>
      </c>
      <c r="H725" s="258" t="str">
        <f>IFERROR(__xludf.DUMMYFUNCTION("""COMPUTED_VALUE"""),"")</f>
        <v/>
      </c>
      <c r="I725" s="259" t="str">
        <f>IFERROR(__xludf.DUMMYFUNCTION("""COMPUTED_VALUE"""),"")</f>
        <v/>
      </c>
      <c r="J725" s="250" t="str">
        <f t="shared" si="2"/>
        <v/>
      </c>
      <c r="K725" s="317" t="str">
        <f>IFERROR(__xludf.DUMMYFUNCTION("""COMPUTED_VALUE"""),"")</f>
        <v/>
      </c>
      <c r="L725" s="318" t="str">
        <f>IFERROR(__xludf.DUMMYFUNCTION("""COMPUTED_VALUE"""),"")</f>
        <v/>
      </c>
      <c r="M725" s="253" t="str">
        <f t="shared" si="3"/>
        <v/>
      </c>
      <c r="N725" s="319" t="str">
        <f>IFERROR(__xludf.DUMMYFUNCTION("""COMPUTED_VALUE"""),"")</f>
        <v/>
      </c>
      <c r="O725" s="257" t="str">
        <f>IFERROR(__xludf.DUMMYFUNCTION("""COMPUTED_VALUE"""),"")</f>
        <v/>
      </c>
      <c r="P725" s="247" t="str">
        <f t="shared" si="4"/>
        <v/>
      </c>
      <c r="Q725" s="320" t="str">
        <f>IFERROR(__xludf.DUMMYFUNCTION("""COMPUTED_VALUE"""),"")</f>
        <v/>
      </c>
      <c r="R725" s="259" t="str">
        <f>IFERROR(__xludf.DUMMYFUNCTION("""COMPUTED_VALUE"""),"")</f>
        <v/>
      </c>
      <c r="S725" s="250" t="str">
        <f t="shared" si="5"/>
        <v/>
      </c>
      <c r="T725" s="254" t="str">
        <f>IFERROR(__xludf.DUMMYFUNCTION("""COMPUTED_VALUE"""),"")</f>
        <v/>
      </c>
      <c r="U725" s="246" t="str">
        <f>IFERROR(__xludf.DUMMYFUNCTION("""COMPUTED_VALUE"""),"")</f>
        <v/>
      </c>
      <c r="V725" s="247" t="str">
        <f t="shared" si="6"/>
        <v/>
      </c>
      <c r="W725" s="255" t="str">
        <f>IFERROR(__xludf.DUMMYFUNCTION("""COMPUTED_VALUE"""),"")</f>
        <v/>
      </c>
      <c r="X725" s="249" t="str">
        <f>IFERROR(__xludf.DUMMYFUNCTION("""COMPUTED_VALUE"""),"")</f>
        <v/>
      </c>
      <c r="Y725" s="250" t="str">
        <f t="shared" si="7"/>
        <v/>
      </c>
    </row>
    <row r="726">
      <c r="A726" s="136" t="s">
        <v>133</v>
      </c>
      <c r="B726" s="136"/>
      <c r="C726" s="136" t="s">
        <v>133</v>
      </c>
      <c r="D726" s="136"/>
      <c r="E726" s="256" t="str">
        <f>IFERROR(__xludf.DUMMYFUNCTION("""COMPUTED_VALUE"""),"")</f>
        <v/>
      </c>
      <c r="F726" s="257" t="str">
        <f>IFERROR(__xludf.DUMMYFUNCTION("""COMPUTED_VALUE"""),"")</f>
        <v/>
      </c>
      <c r="G726" s="247" t="str">
        <f t="shared" si="1"/>
        <v/>
      </c>
      <c r="H726" s="258" t="str">
        <f>IFERROR(__xludf.DUMMYFUNCTION("""COMPUTED_VALUE"""),"")</f>
        <v/>
      </c>
      <c r="I726" s="259" t="str">
        <f>IFERROR(__xludf.DUMMYFUNCTION("""COMPUTED_VALUE"""),"")</f>
        <v/>
      </c>
      <c r="J726" s="250" t="str">
        <f t="shared" si="2"/>
        <v/>
      </c>
      <c r="K726" s="317" t="str">
        <f>IFERROR(__xludf.DUMMYFUNCTION("""COMPUTED_VALUE"""),"")</f>
        <v/>
      </c>
      <c r="L726" s="318" t="str">
        <f>IFERROR(__xludf.DUMMYFUNCTION("""COMPUTED_VALUE"""),"")</f>
        <v/>
      </c>
      <c r="M726" s="253" t="str">
        <f t="shared" si="3"/>
        <v/>
      </c>
      <c r="N726" s="319" t="str">
        <f>IFERROR(__xludf.DUMMYFUNCTION("""COMPUTED_VALUE"""),"")</f>
        <v/>
      </c>
      <c r="O726" s="257" t="str">
        <f>IFERROR(__xludf.DUMMYFUNCTION("""COMPUTED_VALUE"""),"")</f>
        <v/>
      </c>
      <c r="P726" s="247" t="str">
        <f t="shared" si="4"/>
        <v/>
      </c>
      <c r="Q726" s="320" t="str">
        <f>IFERROR(__xludf.DUMMYFUNCTION("""COMPUTED_VALUE"""),"")</f>
        <v/>
      </c>
      <c r="R726" s="259" t="str">
        <f>IFERROR(__xludf.DUMMYFUNCTION("""COMPUTED_VALUE"""),"")</f>
        <v/>
      </c>
      <c r="S726" s="250" t="str">
        <f t="shared" si="5"/>
        <v/>
      </c>
      <c r="T726" s="254" t="str">
        <f>IFERROR(__xludf.DUMMYFUNCTION("""COMPUTED_VALUE"""),"")</f>
        <v/>
      </c>
      <c r="U726" s="246" t="str">
        <f>IFERROR(__xludf.DUMMYFUNCTION("""COMPUTED_VALUE"""),"")</f>
        <v/>
      </c>
      <c r="V726" s="247" t="str">
        <f t="shared" si="6"/>
        <v/>
      </c>
      <c r="W726" s="255" t="str">
        <f>IFERROR(__xludf.DUMMYFUNCTION("""COMPUTED_VALUE"""),"")</f>
        <v/>
      </c>
      <c r="X726" s="249" t="str">
        <f>IFERROR(__xludf.DUMMYFUNCTION("""COMPUTED_VALUE"""),"")</f>
        <v/>
      </c>
      <c r="Y726" s="250" t="str">
        <f t="shared" si="7"/>
        <v/>
      </c>
    </row>
    <row r="727">
      <c r="A727" s="136" t="s">
        <v>133</v>
      </c>
      <c r="B727" s="136"/>
      <c r="C727" s="136" t="s">
        <v>133</v>
      </c>
      <c r="D727" s="136"/>
      <c r="E727" s="256" t="str">
        <f>IFERROR(__xludf.DUMMYFUNCTION("""COMPUTED_VALUE"""),"")</f>
        <v/>
      </c>
      <c r="F727" s="257" t="str">
        <f>IFERROR(__xludf.DUMMYFUNCTION("""COMPUTED_VALUE"""),"")</f>
        <v/>
      </c>
      <c r="G727" s="247" t="str">
        <f t="shared" si="1"/>
        <v/>
      </c>
      <c r="H727" s="258" t="str">
        <f>IFERROR(__xludf.DUMMYFUNCTION("""COMPUTED_VALUE"""),"")</f>
        <v/>
      </c>
      <c r="I727" s="259" t="str">
        <f>IFERROR(__xludf.DUMMYFUNCTION("""COMPUTED_VALUE"""),"")</f>
        <v/>
      </c>
      <c r="J727" s="250" t="str">
        <f t="shared" si="2"/>
        <v/>
      </c>
      <c r="K727" s="317" t="str">
        <f>IFERROR(__xludf.DUMMYFUNCTION("""COMPUTED_VALUE"""),"")</f>
        <v/>
      </c>
      <c r="L727" s="318" t="str">
        <f>IFERROR(__xludf.DUMMYFUNCTION("""COMPUTED_VALUE"""),"")</f>
        <v/>
      </c>
      <c r="M727" s="253" t="str">
        <f t="shared" si="3"/>
        <v/>
      </c>
      <c r="N727" s="319" t="str">
        <f>IFERROR(__xludf.DUMMYFUNCTION("""COMPUTED_VALUE"""),"")</f>
        <v/>
      </c>
      <c r="O727" s="257" t="str">
        <f>IFERROR(__xludf.DUMMYFUNCTION("""COMPUTED_VALUE"""),"")</f>
        <v/>
      </c>
      <c r="P727" s="247" t="str">
        <f t="shared" si="4"/>
        <v/>
      </c>
      <c r="Q727" s="320" t="str">
        <f>IFERROR(__xludf.DUMMYFUNCTION("""COMPUTED_VALUE"""),"")</f>
        <v/>
      </c>
      <c r="R727" s="259" t="str">
        <f>IFERROR(__xludf.DUMMYFUNCTION("""COMPUTED_VALUE"""),"")</f>
        <v/>
      </c>
      <c r="S727" s="250" t="str">
        <f t="shared" si="5"/>
        <v/>
      </c>
      <c r="T727" s="254" t="str">
        <f>IFERROR(__xludf.DUMMYFUNCTION("""COMPUTED_VALUE"""),"")</f>
        <v/>
      </c>
      <c r="U727" s="246" t="str">
        <f>IFERROR(__xludf.DUMMYFUNCTION("""COMPUTED_VALUE"""),"")</f>
        <v/>
      </c>
      <c r="V727" s="247" t="str">
        <f t="shared" si="6"/>
        <v/>
      </c>
      <c r="W727" s="255" t="str">
        <f>IFERROR(__xludf.DUMMYFUNCTION("""COMPUTED_VALUE"""),"")</f>
        <v/>
      </c>
      <c r="X727" s="249" t="str">
        <f>IFERROR(__xludf.DUMMYFUNCTION("""COMPUTED_VALUE"""),"")</f>
        <v/>
      </c>
      <c r="Y727" s="250" t="str">
        <f t="shared" si="7"/>
        <v/>
      </c>
    </row>
    <row r="728">
      <c r="A728" s="136" t="s">
        <v>133</v>
      </c>
      <c r="B728" s="136"/>
      <c r="C728" s="136" t="s">
        <v>133</v>
      </c>
      <c r="D728" s="136"/>
      <c r="E728" s="256" t="str">
        <f>IFERROR(__xludf.DUMMYFUNCTION("""COMPUTED_VALUE"""),"")</f>
        <v/>
      </c>
      <c r="F728" s="257" t="str">
        <f>IFERROR(__xludf.DUMMYFUNCTION("""COMPUTED_VALUE"""),"")</f>
        <v/>
      </c>
      <c r="G728" s="247" t="str">
        <f t="shared" si="1"/>
        <v/>
      </c>
      <c r="H728" s="258" t="str">
        <f>IFERROR(__xludf.DUMMYFUNCTION("""COMPUTED_VALUE"""),"")</f>
        <v/>
      </c>
      <c r="I728" s="259" t="str">
        <f>IFERROR(__xludf.DUMMYFUNCTION("""COMPUTED_VALUE"""),"")</f>
        <v/>
      </c>
      <c r="J728" s="250" t="str">
        <f t="shared" si="2"/>
        <v/>
      </c>
      <c r="K728" s="317" t="str">
        <f>IFERROR(__xludf.DUMMYFUNCTION("""COMPUTED_VALUE"""),"")</f>
        <v/>
      </c>
      <c r="L728" s="318" t="str">
        <f>IFERROR(__xludf.DUMMYFUNCTION("""COMPUTED_VALUE"""),"")</f>
        <v/>
      </c>
      <c r="M728" s="253" t="str">
        <f t="shared" si="3"/>
        <v/>
      </c>
      <c r="N728" s="319" t="str">
        <f>IFERROR(__xludf.DUMMYFUNCTION("""COMPUTED_VALUE"""),"")</f>
        <v/>
      </c>
      <c r="O728" s="257" t="str">
        <f>IFERROR(__xludf.DUMMYFUNCTION("""COMPUTED_VALUE"""),"")</f>
        <v/>
      </c>
      <c r="P728" s="247" t="str">
        <f t="shared" si="4"/>
        <v/>
      </c>
      <c r="Q728" s="320" t="str">
        <f>IFERROR(__xludf.DUMMYFUNCTION("""COMPUTED_VALUE"""),"")</f>
        <v/>
      </c>
      <c r="R728" s="259" t="str">
        <f>IFERROR(__xludf.DUMMYFUNCTION("""COMPUTED_VALUE"""),"")</f>
        <v/>
      </c>
      <c r="S728" s="250" t="str">
        <f t="shared" si="5"/>
        <v/>
      </c>
      <c r="T728" s="254" t="str">
        <f>IFERROR(__xludf.DUMMYFUNCTION("""COMPUTED_VALUE"""),"")</f>
        <v/>
      </c>
      <c r="U728" s="246" t="str">
        <f>IFERROR(__xludf.DUMMYFUNCTION("""COMPUTED_VALUE"""),"")</f>
        <v/>
      </c>
      <c r="V728" s="247" t="str">
        <f t="shared" si="6"/>
        <v/>
      </c>
      <c r="W728" s="255" t="str">
        <f>IFERROR(__xludf.DUMMYFUNCTION("""COMPUTED_VALUE"""),"")</f>
        <v/>
      </c>
      <c r="X728" s="249" t="str">
        <f>IFERROR(__xludf.DUMMYFUNCTION("""COMPUTED_VALUE"""),"")</f>
        <v/>
      </c>
      <c r="Y728" s="250" t="str">
        <f t="shared" si="7"/>
        <v/>
      </c>
    </row>
    <row r="729">
      <c r="A729" s="136" t="s">
        <v>133</v>
      </c>
      <c r="B729" s="136"/>
      <c r="C729" s="136" t="s">
        <v>133</v>
      </c>
      <c r="D729" s="136"/>
      <c r="E729" s="256" t="str">
        <f>IFERROR(__xludf.DUMMYFUNCTION("""COMPUTED_VALUE"""),"")</f>
        <v/>
      </c>
      <c r="F729" s="257" t="str">
        <f>IFERROR(__xludf.DUMMYFUNCTION("""COMPUTED_VALUE"""),"")</f>
        <v/>
      </c>
      <c r="G729" s="247" t="str">
        <f t="shared" si="1"/>
        <v/>
      </c>
      <c r="H729" s="258" t="str">
        <f>IFERROR(__xludf.DUMMYFUNCTION("""COMPUTED_VALUE"""),"")</f>
        <v/>
      </c>
      <c r="I729" s="259" t="str">
        <f>IFERROR(__xludf.DUMMYFUNCTION("""COMPUTED_VALUE"""),"")</f>
        <v/>
      </c>
      <c r="J729" s="250" t="str">
        <f t="shared" si="2"/>
        <v/>
      </c>
      <c r="K729" s="317" t="str">
        <f>IFERROR(__xludf.DUMMYFUNCTION("""COMPUTED_VALUE"""),"")</f>
        <v/>
      </c>
      <c r="L729" s="318" t="str">
        <f>IFERROR(__xludf.DUMMYFUNCTION("""COMPUTED_VALUE"""),"")</f>
        <v/>
      </c>
      <c r="M729" s="253" t="str">
        <f t="shared" si="3"/>
        <v/>
      </c>
      <c r="N729" s="319" t="str">
        <f>IFERROR(__xludf.DUMMYFUNCTION("""COMPUTED_VALUE"""),"")</f>
        <v/>
      </c>
      <c r="O729" s="257" t="str">
        <f>IFERROR(__xludf.DUMMYFUNCTION("""COMPUTED_VALUE"""),"")</f>
        <v/>
      </c>
      <c r="P729" s="247" t="str">
        <f t="shared" si="4"/>
        <v/>
      </c>
      <c r="Q729" s="320" t="str">
        <f>IFERROR(__xludf.DUMMYFUNCTION("""COMPUTED_VALUE"""),"")</f>
        <v/>
      </c>
      <c r="R729" s="259" t="str">
        <f>IFERROR(__xludf.DUMMYFUNCTION("""COMPUTED_VALUE"""),"")</f>
        <v/>
      </c>
      <c r="S729" s="250" t="str">
        <f t="shared" si="5"/>
        <v/>
      </c>
      <c r="T729" s="254" t="str">
        <f>IFERROR(__xludf.DUMMYFUNCTION("""COMPUTED_VALUE"""),"")</f>
        <v/>
      </c>
      <c r="U729" s="246" t="str">
        <f>IFERROR(__xludf.DUMMYFUNCTION("""COMPUTED_VALUE"""),"")</f>
        <v/>
      </c>
      <c r="V729" s="247" t="str">
        <f t="shared" si="6"/>
        <v/>
      </c>
      <c r="W729" s="255" t="str">
        <f>IFERROR(__xludf.DUMMYFUNCTION("""COMPUTED_VALUE"""),"")</f>
        <v/>
      </c>
      <c r="X729" s="249" t="str">
        <f>IFERROR(__xludf.DUMMYFUNCTION("""COMPUTED_VALUE"""),"")</f>
        <v/>
      </c>
      <c r="Y729" s="250" t="str">
        <f t="shared" si="7"/>
        <v/>
      </c>
    </row>
    <row r="730">
      <c r="A730" s="136" t="s">
        <v>133</v>
      </c>
      <c r="B730" s="136"/>
      <c r="C730" s="136" t="s">
        <v>133</v>
      </c>
      <c r="D730" s="136"/>
      <c r="E730" s="256" t="str">
        <f>IFERROR(__xludf.DUMMYFUNCTION("""COMPUTED_VALUE"""),"")</f>
        <v/>
      </c>
      <c r="F730" s="257" t="str">
        <f>IFERROR(__xludf.DUMMYFUNCTION("""COMPUTED_VALUE"""),"")</f>
        <v/>
      </c>
      <c r="G730" s="247" t="str">
        <f t="shared" si="1"/>
        <v/>
      </c>
      <c r="H730" s="258" t="str">
        <f>IFERROR(__xludf.DUMMYFUNCTION("""COMPUTED_VALUE"""),"")</f>
        <v/>
      </c>
      <c r="I730" s="259" t="str">
        <f>IFERROR(__xludf.DUMMYFUNCTION("""COMPUTED_VALUE"""),"")</f>
        <v/>
      </c>
      <c r="J730" s="250" t="str">
        <f t="shared" si="2"/>
        <v/>
      </c>
      <c r="K730" s="317" t="str">
        <f>IFERROR(__xludf.DUMMYFUNCTION("""COMPUTED_VALUE"""),"")</f>
        <v/>
      </c>
      <c r="L730" s="318" t="str">
        <f>IFERROR(__xludf.DUMMYFUNCTION("""COMPUTED_VALUE"""),"")</f>
        <v/>
      </c>
      <c r="M730" s="253" t="str">
        <f t="shared" si="3"/>
        <v/>
      </c>
      <c r="N730" s="319" t="str">
        <f>IFERROR(__xludf.DUMMYFUNCTION("""COMPUTED_VALUE"""),"")</f>
        <v/>
      </c>
      <c r="O730" s="257" t="str">
        <f>IFERROR(__xludf.DUMMYFUNCTION("""COMPUTED_VALUE"""),"")</f>
        <v/>
      </c>
      <c r="P730" s="247" t="str">
        <f t="shared" si="4"/>
        <v/>
      </c>
      <c r="Q730" s="320" t="str">
        <f>IFERROR(__xludf.DUMMYFUNCTION("""COMPUTED_VALUE"""),"")</f>
        <v/>
      </c>
      <c r="R730" s="259" t="str">
        <f>IFERROR(__xludf.DUMMYFUNCTION("""COMPUTED_VALUE"""),"")</f>
        <v/>
      </c>
      <c r="S730" s="250" t="str">
        <f t="shared" si="5"/>
        <v/>
      </c>
      <c r="T730" s="254" t="str">
        <f>IFERROR(__xludf.DUMMYFUNCTION("""COMPUTED_VALUE"""),"")</f>
        <v/>
      </c>
      <c r="U730" s="246" t="str">
        <f>IFERROR(__xludf.DUMMYFUNCTION("""COMPUTED_VALUE"""),"")</f>
        <v/>
      </c>
      <c r="V730" s="247" t="str">
        <f t="shared" si="6"/>
        <v/>
      </c>
      <c r="W730" s="255" t="str">
        <f>IFERROR(__xludf.DUMMYFUNCTION("""COMPUTED_VALUE"""),"")</f>
        <v/>
      </c>
      <c r="X730" s="249" t="str">
        <f>IFERROR(__xludf.DUMMYFUNCTION("""COMPUTED_VALUE"""),"")</f>
        <v/>
      </c>
      <c r="Y730" s="250" t="str">
        <f t="shared" si="7"/>
        <v/>
      </c>
    </row>
    <row r="731">
      <c r="A731" s="136" t="s">
        <v>133</v>
      </c>
      <c r="B731" s="136"/>
      <c r="C731" s="136" t="s">
        <v>133</v>
      </c>
      <c r="D731" s="136"/>
      <c r="E731" s="256" t="str">
        <f>IFERROR(__xludf.DUMMYFUNCTION("""COMPUTED_VALUE"""),"")</f>
        <v/>
      </c>
      <c r="F731" s="257" t="str">
        <f>IFERROR(__xludf.DUMMYFUNCTION("""COMPUTED_VALUE"""),"")</f>
        <v/>
      </c>
      <c r="G731" s="247" t="str">
        <f t="shared" si="1"/>
        <v/>
      </c>
      <c r="H731" s="258" t="str">
        <f>IFERROR(__xludf.DUMMYFUNCTION("""COMPUTED_VALUE"""),"")</f>
        <v/>
      </c>
      <c r="I731" s="259" t="str">
        <f>IFERROR(__xludf.DUMMYFUNCTION("""COMPUTED_VALUE"""),"")</f>
        <v/>
      </c>
      <c r="J731" s="250" t="str">
        <f t="shared" si="2"/>
        <v/>
      </c>
      <c r="K731" s="317" t="str">
        <f>IFERROR(__xludf.DUMMYFUNCTION("""COMPUTED_VALUE"""),"")</f>
        <v/>
      </c>
      <c r="L731" s="318" t="str">
        <f>IFERROR(__xludf.DUMMYFUNCTION("""COMPUTED_VALUE"""),"")</f>
        <v/>
      </c>
      <c r="M731" s="253" t="str">
        <f t="shared" si="3"/>
        <v/>
      </c>
      <c r="N731" s="319" t="str">
        <f>IFERROR(__xludf.DUMMYFUNCTION("""COMPUTED_VALUE"""),"")</f>
        <v/>
      </c>
      <c r="O731" s="257" t="str">
        <f>IFERROR(__xludf.DUMMYFUNCTION("""COMPUTED_VALUE"""),"")</f>
        <v/>
      </c>
      <c r="P731" s="247" t="str">
        <f t="shared" si="4"/>
        <v/>
      </c>
      <c r="Q731" s="320" t="str">
        <f>IFERROR(__xludf.DUMMYFUNCTION("""COMPUTED_VALUE"""),"")</f>
        <v/>
      </c>
      <c r="R731" s="259" t="str">
        <f>IFERROR(__xludf.DUMMYFUNCTION("""COMPUTED_VALUE"""),"")</f>
        <v/>
      </c>
      <c r="S731" s="250" t="str">
        <f t="shared" si="5"/>
        <v/>
      </c>
      <c r="T731" s="254" t="str">
        <f>IFERROR(__xludf.DUMMYFUNCTION("""COMPUTED_VALUE"""),"")</f>
        <v/>
      </c>
      <c r="U731" s="246" t="str">
        <f>IFERROR(__xludf.DUMMYFUNCTION("""COMPUTED_VALUE"""),"")</f>
        <v/>
      </c>
      <c r="V731" s="247" t="str">
        <f t="shared" si="6"/>
        <v/>
      </c>
      <c r="W731" s="255" t="str">
        <f>IFERROR(__xludf.DUMMYFUNCTION("""COMPUTED_VALUE"""),"")</f>
        <v/>
      </c>
      <c r="X731" s="249" t="str">
        <f>IFERROR(__xludf.DUMMYFUNCTION("""COMPUTED_VALUE"""),"")</f>
        <v/>
      </c>
      <c r="Y731" s="250" t="str">
        <f t="shared" si="7"/>
        <v/>
      </c>
    </row>
    <row r="732">
      <c r="A732" s="136" t="s">
        <v>133</v>
      </c>
      <c r="B732" s="136"/>
      <c r="C732" s="136" t="s">
        <v>133</v>
      </c>
      <c r="D732" s="136"/>
      <c r="E732" s="256" t="str">
        <f>IFERROR(__xludf.DUMMYFUNCTION("""COMPUTED_VALUE"""),"")</f>
        <v/>
      </c>
      <c r="F732" s="257" t="str">
        <f>IFERROR(__xludf.DUMMYFUNCTION("""COMPUTED_VALUE"""),"")</f>
        <v/>
      </c>
      <c r="G732" s="247" t="str">
        <f t="shared" si="1"/>
        <v/>
      </c>
      <c r="H732" s="258" t="str">
        <f>IFERROR(__xludf.DUMMYFUNCTION("""COMPUTED_VALUE"""),"")</f>
        <v/>
      </c>
      <c r="I732" s="259" t="str">
        <f>IFERROR(__xludf.DUMMYFUNCTION("""COMPUTED_VALUE"""),"")</f>
        <v/>
      </c>
      <c r="J732" s="250" t="str">
        <f t="shared" si="2"/>
        <v/>
      </c>
      <c r="K732" s="317" t="str">
        <f>IFERROR(__xludf.DUMMYFUNCTION("""COMPUTED_VALUE"""),"")</f>
        <v/>
      </c>
      <c r="L732" s="318" t="str">
        <f>IFERROR(__xludf.DUMMYFUNCTION("""COMPUTED_VALUE"""),"")</f>
        <v/>
      </c>
      <c r="M732" s="253" t="str">
        <f t="shared" si="3"/>
        <v/>
      </c>
      <c r="N732" s="319" t="str">
        <f>IFERROR(__xludf.DUMMYFUNCTION("""COMPUTED_VALUE"""),"")</f>
        <v/>
      </c>
      <c r="O732" s="257" t="str">
        <f>IFERROR(__xludf.DUMMYFUNCTION("""COMPUTED_VALUE"""),"")</f>
        <v/>
      </c>
      <c r="P732" s="247" t="str">
        <f t="shared" si="4"/>
        <v/>
      </c>
      <c r="Q732" s="320" t="str">
        <f>IFERROR(__xludf.DUMMYFUNCTION("""COMPUTED_VALUE"""),"")</f>
        <v/>
      </c>
      <c r="R732" s="259" t="str">
        <f>IFERROR(__xludf.DUMMYFUNCTION("""COMPUTED_VALUE"""),"")</f>
        <v/>
      </c>
      <c r="S732" s="250" t="str">
        <f t="shared" si="5"/>
        <v/>
      </c>
      <c r="T732" s="254" t="str">
        <f>IFERROR(__xludf.DUMMYFUNCTION("""COMPUTED_VALUE"""),"")</f>
        <v/>
      </c>
      <c r="U732" s="246" t="str">
        <f>IFERROR(__xludf.DUMMYFUNCTION("""COMPUTED_VALUE"""),"")</f>
        <v/>
      </c>
      <c r="V732" s="247" t="str">
        <f t="shared" si="6"/>
        <v/>
      </c>
      <c r="W732" s="255" t="str">
        <f>IFERROR(__xludf.DUMMYFUNCTION("""COMPUTED_VALUE"""),"")</f>
        <v/>
      </c>
      <c r="X732" s="249" t="str">
        <f>IFERROR(__xludf.DUMMYFUNCTION("""COMPUTED_VALUE"""),"")</f>
        <v/>
      </c>
      <c r="Y732" s="250" t="str">
        <f t="shared" si="7"/>
        <v/>
      </c>
    </row>
    <row r="733">
      <c r="A733" s="136" t="s">
        <v>133</v>
      </c>
      <c r="B733" s="136"/>
      <c r="C733" s="136" t="s">
        <v>133</v>
      </c>
      <c r="D733" s="136"/>
      <c r="E733" s="256" t="str">
        <f>IFERROR(__xludf.DUMMYFUNCTION("""COMPUTED_VALUE"""),"")</f>
        <v/>
      </c>
      <c r="F733" s="257" t="str">
        <f>IFERROR(__xludf.DUMMYFUNCTION("""COMPUTED_VALUE"""),"")</f>
        <v/>
      </c>
      <c r="G733" s="247" t="str">
        <f t="shared" si="1"/>
        <v/>
      </c>
      <c r="H733" s="258" t="str">
        <f>IFERROR(__xludf.DUMMYFUNCTION("""COMPUTED_VALUE"""),"")</f>
        <v/>
      </c>
      <c r="I733" s="259" t="str">
        <f>IFERROR(__xludf.DUMMYFUNCTION("""COMPUTED_VALUE"""),"")</f>
        <v/>
      </c>
      <c r="J733" s="250" t="str">
        <f t="shared" si="2"/>
        <v/>
      </c>
      <c r="K733" s="317" t="str">
        <f>IFERROR(__xludf.DUMMYFUNCTION("""COMPUTED_VALUE"""),"")</f>
        <v/>
      </c>
      <c r="L733" s="318" t="str">
        <f>IFERROR(__xludf.DUMMYFUNCTION("""COMPUTED_VALUE"""),"")</f>
        <v/>
      </c>
      <c r="M733" s="253" t="str">
        <f t="shared" si="3"/>
        <v/>
      </c>
      <c r="N733" s="319" t="str">
        <f>IFERROR(__xludf.DUMMYFUNCTION("""COMPUTED_VALUE"""),"")</f>
        <v/>
      </c>
      <c r="O733" s="257" t="str">
        <f>IFERROR(__xludf.DUMMYFUNCTION("""COMPUTED_VALUE"""),"")</f>
        <v/>
      </c>
      <c r="P733" s="247" t="str">
        <f t="shared" si="4"/>
        <v/>
      </c>
      <c r="Q733" s="320" t="str">
        <f>IFERROR(__xludf.DUMMYFUNCTION("""COMPUTED_VALUE"""),"")</f>
        <v/>
      </c>
      <c r="R733" s="259" t="str">
        <f>IFERROR(__xludf.DUMMYFUNCTION("""COMPUTED_VALUE"""),"")</f>
        <v/>
      </c>
      <c r="S733" s="250" t="str">
        <f t="shared" si="5"/>
        <v/>
      </c>
      <c r="T733" s="254" t="str">
        <f>IFERROR(__xludf.DUMMYFUNCTION("""COMPUTED_VALUE"""),"")</f>
        <v/>
      </c>
      <c r="U733" s="246" t="str">
        <f>IFERROR(__xludf.DUMMYFUNCTION("""COMPUTED_VALUE"""),"")</f>
        <v/>
      </c>
      <c r="V733" s="247" t="str">
        <f t="shared" si="6"/>
        <v/>
      </c>
      <c r="W733" s="255" t="str">
        <f>IFERROR(__xludf.DUMMYFUNCTION("""COMPUTED_VALUE"""),"")</f>
        <v/>
      </c>
      <c r="X733" s="249" t="str">
        <f>IFERROR(__xludf.DUMMYFUNCTION("""COMPUTED_VALUE"""),"")</f>
        <v/>
      </c>
      <c r="Y733" s="250" t="str">
        <f t="shared" si="7"/>
        <v/>
      </c>
    </row>
    <row r="734">
      <c r="A734" s="136" t="s">
        <v>133</v>
      </c>
      <c r="B734" s="136"/>
      <c r="C734" s="136" t="s">
        <v>133</v>
      </c>
      <c r="D734" s="136"/>
      <c r="E734" s="256" t="str">
        <f>IFERROR(__xludf.DUMMYFUNCTION("""COMPUTED_VALUE"""),"")</f>
        <v/>
      </c>
      <c r="F734" s="257" t="str">
        <f>IFERROR(__xludf.DUMMYFUNCTION("""COMPUTED_VALUE"""),"")</f>
        <v/>
      </c>
      <c r="G734" s="247" t="str">
        <f t="shared" si="1"/>
        <v/>
      </c>
      <c r="H734" s="258" t="str">
        <f>IFERROR(__xludf.DUMMYFUNCTION("""COMPUTED_VALUE"""),"")</f>
        <v/>
      </c>
      <c r="I734" s="259" t="str">
        <f>IFERROR(__xludf.DUMMYFUNCTION("""COMPUTED_VALUE"""),"")</f>
        <v/>
      </c>
      <c r="J734" s="250" t="str">
        <f t="shared" si="2"/>
        <v/>
      </c>
      <c r="K734" s="317" t="str">
        <f>IFERROR(__xludf.DUMMYFUNCTION("""COMPUTED_VALUE"""),"")</f>
        <v/>
      </c>
      <c r="L734" s="318" t="str">
        <f>IFERROR(__xludf.DUMMYFUNCTION("""COMPUTED_VALUE"""),"")</f>
        <v/>
      </c>
      <c r="M734" s="253" t="str">
        <f t="shared" si="3"/>
        <v/>
      </c>
      <c r="N734" s="319" t="str">
        <f>IFERROR(__xludf.DUMMYFUNCTION("""COMPUTED_VALUE"""),"")</f>
        <v/>
      </c>
      <c r="O734" s="257" t="str">
        <f>IFERROR(__xludf.DUMMYFUNCTION("""COMPUTED_VALUE"""),"")</f>
        <v/>
      </c>
      <c r="P734" s="247" t="str">
        <f t="shared" si="4"/>
        <v/>
      </c>
      <c r="Q734" s="320" t="str">
        <f>IFERROR(__xludf.DUMMYFUNCTION("""COMPUTED_VALUE"""),"")</f>
        <v/>
      </c>
      <c r="R734" s="259" t="str">
        <f>IFERROR(__xludf.DUMMYFUNCTION("""COMPUTED_VALUE"""),"")</f>
        <v/>
      </c>
      <c r="S734" s="250" t="str">
        <f t="shared" si="5"/>
        <v/>
      </c>
      <c r="T734" s="254" t="str">
        <f>IFERROR(__xludf.DUMMYFUNCTION("""COMPUTED_VALUE"""),"")</f>
        <v/>
      </c>
      <c r="U734" s="246" t="str">
        <f>IFERROR(__xludf.DUMMYFUNCTION("""COMPUTED_VALUE"""),"")</f>
        <v/>
      </c>
      <c r="V734" s="247" t="str">
        <f t="shared" si="6"/>
        <v/>
      </c>
      <c r="W734" s="255" t="str">
        <f>IFERROR(__xludf.DUMMYFUNCTION("""COMPUTED_VALUE"""),"")</f>
        <v/>
      </c>
      <c r="X734" s="249" t="str">
        <f>IFERROR(__xludf.DUMMYFUNCTION("""COMPUTED_VALUE"""),"")</f>
        <v/>
      </c>
      <c r="Y734" s="250" t="str">
        <f t="shared" si="7"/>
        <v/>
      </c>
    </row>
    <row r="735">
      <c r="A735" s="136" t="s">
        <v>133</v>
      </c>
      <c r="B735" s="136"/>
      <c r="C735" s="136" t="s">
        <v>133</v>
      </c>
      <c r="D735" s="136"/>
      <c r="E735" s="256" t="str">
        <f>IFERROR(__xludf.DUMMYFUNCTION("""COMPUTED_VALUE"""),"")</f>
        <v/>
      </c>
      <c r="F735" s="257" t="str">
        <f>IFERROR(__xludf.DUMMYFUNCTION("""COMPUTED_VALUE"""),"")</f>
        <v/>
      </c>
      <c r="G735" s="247" t="str">
        <f t="shared" si="1"/>
        <v/>
      </c>
      <c r="H735" s="258" t="str">
        <f>IFERROR(__xludf.DUMMYFUNCTION("""COMPUTED_VALUE"""),"")</f>
        <v/>
      </c>
      <c r="I735" s="259" t="str">
        <f>IFERROR(__xludf.DUMMYFUNCTION("""COMPUTED_VALUE"""),"")</f>
        <v/>
      </c>
      <c r="J735" s="250" t="str">
        <f t="shared" si="2"/>
        <v/>
      </c>
      <c r="K735" s="317" t="str">
        <f>IFERROR(__xludf.DUMMYFUNCTION("""COMPUTED_VALUE"""),"")</f>
        <v/>
      </c>
      <c r="L735" s="318" t="str">
        <f>IFERROR(__xludf.DUMMYFUNCTION("""COMPUTED_VALUE"""),"")</f>
        <v/>
      </c>
      <c r="M735" s="253" t="str">
        <f t="shared" si="3"/>
        <v/>
      </c>
      <c r="N735" s="319" t="str">
        <f>IFERROR(__xludf.DUMMYFUNCTION("""COMPUTED_VALUE"""),"")</f>
        <v/>
      </c>
      <c r="O735" s="257" t="str">
        <f>IFERROR(__xludf.DUMMYFUNCTION("""COMPUTED_VALUE"""),"")</f>
        <v/>
      </c>
      <c r="P735" s="247" t="str">
        <f t="shared" si="4"/>
        <v/>
      </c>
      <c r="Q735" s="320" t="str">
        <f>IFERROR(__xludf.DUMMYFUNCTION("""COMPUTED_VALUE"""),"")</f>
        <v/>
      </c>
      <c r="R735" s="259" t="str">
        <f>IFERROR(__xludf.DUMMYFUNCTION("""COMPUTED_VALUE"""),"")</f>
        <v/>
      </c>
      <c r="S735" s="250" t="str">
        <f t="shared" si="5"/>
        <v/>
      </c>
      <c r="T735" s="254" t="str">
        <f>IFERROR(__xludf.DUMMYFUNCTION("""COMPUTED_VALUE"""),"")</f>
        <v/>
      </c>
      <c r="U735" s="246" t="str">
        <f>IFERROR(__xludf.DUMMYFUNCTION("""COMPUTED_VALUE"""),"")</f>
        <v/>
      </c>
      <c r="V735" s="247" t="str">
        <f t="shared" si="6"/>
        <v/>
      </c>
      <c r="W735" s="255" t="str">
        <f>IFERROR(__xludf.DUMMYFUNCTION("""COMPUTED_VALUE"""),"")</f>
        <v/>
      </c>
      <c r="X735" s="249" t="str">
        <f>IFERROR(__xludf.DUMMYFUNCTION("""COMPUTED_VALUE"""),"")</f>
        <v/>
      </c>
      <c r="Y735" s="250" t="str">
        <f t="shared" si="7"/>
        <v/>
      </c>
    </row>
    <row r="736">
      <c r="A736" s="136" t="s">
        <v>133</v>
      </c>
      <c r="B736" s="136"/>
      <c r="C736" s="136" t="s">
        <v>133</v>
      </c>
      <c r="D736" s="136"/>
      <c r="E736" s="256" t="str">
        <f>IFERROR(__xludf.DUMMYFUNCTION("""COMPUTED_VALUE"""),"")</f>
        <v/>
      </c>
      <c r="F736" s="257" t="str">
        <f>IFERROR(__xludf.DUMMYFUNCTION("""COMPUTED_VALUE"""),"")</f>
        <v/>
      </c>
      <c r="G736" s="247" t="str">
        <f t="shared" si="1"/>
        <v/>
      </c>
      <c r="H736" s="258" t="str">
        <f>IFERROR(__xludf.DUMMYFUNCTION("""COMPUTED_VALUE"""),"")</f>
        <v/>
      </c>
      <c r="I736" s="259" t="str">
        <f>IFERROR(__xludf.DUMMYFUNCTION("""COMPUTED_VALUE"""),"")</f>
        <v/>
      </c>
      <c r="J736" s="250" t="str">
        <f t="shared" si="2"/>
        <v/>
      </c>
      <c r="K736" s="317" t="str">
        <f>IFERROR(__xludf.DUMMYFUNCTION("""COMPUTED_VALUE"""),"")</f>
        <v/>
      </c>
      <c r="L736" s="318" t="str">
        <f>IFERROR(__xludf.DUMMYFUNCTION("""COMPUTED_VALUE"""),"")</f>
        <v/>
      </c>
      <c r="M736" s="253" t="str">
        <f t="shared" si="3"/>
        <v/>
      </c>
      <c r="N736" s="319" t="str">
        <f>IFERROR(__xludf.DUMMYFUNCTION("""COMPUTED_VALUE"""),"")</f>
        <v/>
      </c>
      <c r="O736" s="257" t="str">
        <f>IFERROR(__xludf.DUMMYFUNCTION("""COMPUTED_VALUE"""),"")</f>
        <v/>
      </c>
      <c r="P736" s="247" t="str">
        <f t="shared" si="4"/>
        <v/>
      </c>
      <c r="Q736" s="320" t="str">
        <f>IFERROR(__xludf.DUMMYFUNCTION("""COMPUTED_VALUE"""),"")</f>
        <v/>
      </c>
      <c r="R736" s="259" t="str">
        <f>IFERROR(__xludf.DUMMYFUNCTION("""COMPUTED_VALUE"""),"")</f>
        <v/>
      </c>
      <c r="S736" s="250" t="str">
        <f t="shared" si="5"/>
        <v/>
      </c>
      <c r="T736" s="254" t="str">
        <f>IFERROR(__xludf.DUMMYFUNCTION("""COMPUTED_VALUE"""),"")</f>
        <v/>
      </c>
      <c r="U736" s="246" t="str">
        <f>IFERROR(__xludf.DUMMYFUNCTION("""COMPUTED_VALUE"""),"")</f>
        <v/>
      </c>
      <c r="V736" s="247" t="str">
        <f t="shared" si="6"/>
        <v/>
      </c>
      <c r="W736" s="255" t="str">
        <f>IFERROR(__xludf.DUMMYFUNCTION("""COMPUTED_VALUE"""),"")</f>
        <v/>
      </c>
      <c r="X736" s="249" t="str">
        <f>IFERROR(__xludf.DUMMYFUNCTION("""COMPUTED_VALUE"""),"")</f>
        <v/>
      </c>
      <c r="Y736" s="250" t="str">
        <f t="shared" si="7"/>
        <v/>
      </c>
    </row>
    <row r="737">
      <c r="A737" s="136" t="s">
        <v>133</v>
      </c>
      <c r="B737" s="136"/>
      <c r="C737" s="136" t="s">
        <v>133</v>
      </c>
      <c r="D737" s="136"/>
      <c r="E737" s="256" t="str">
        <f>IFERROR(__xludf.DUMMYFUNCTION("""COMPUTED_VALUE"""),"")</f>
        <v/>
      </c>
      <c r="F737" s="257" t="str">
        <f>IFERROR(__xludf.DUMMYFUNCTION("""COMPUTED_VALUE"""),"")</f>
        <v/>
      </c>
      <c r="G737" s="247" t="str">
        <f t="shared" si="1"/>
        <v/>
      </c>
      <c r="H737" s="258" t="str">
        <f>IFERROR(__xludf.DUMMYFUNCTION("""COMPUTED_VALUE"""),"")</f>
        <v/>
      </c>
      <c r="I737" s="259" t="str">
        <f>IFERROR(__xludf.DUMMYFUNCTION("""COMPUTED_VALUE"""),"")</f>
        <v/>
      </c>
      <c r="J737" s="250" t="str">
        <f t="shared" si="2"/>
        <v/>
      </c>
      <c r="K737" s="317" t="str">
        <f>IFERROR(__xludf.DUMMYFUNCTION("""COMPUTED_VALUE"""),"")</f>
        <v/>
      </c>
      <c r="L737" s="318" t="str">
        <f>IFERROR(__xludf.DUMMYFUNCTION("""COMPUTED_VALUE"""),"")</f>
        <v/>
      </c>
      <c r="M737" s="253" t="str">
        <f t="shared" si="3"/>
        <v/>
      </c>
      <c r="N737" s="319" t="str">
        <f>IFERROR(__xludf.DUMMYFUNCTION("""COMPUTED_VALUE"""),"")</f>
        <v/>
      </c>
      <c r="O737" s="257" t="str">
        <f>IFERROR(__xludf.DUMMYFUNCTION("""COMPUTED_VALUE"""),"")</f>
        <v/>
      </c>
      <c r="P737" s="247" t="str">
        <f t="shared" si="4"/>
        <v/>
      </c>
      <c r="Q737" s="320" t="str">
        <f>IFERROR(__xludf.DUMMYFUNCTION("""COMPUTED_VALUE"""),"")</f>
        <v/>
      </c>
      <c r="R737" s="259" t="str">
        <f>IFERROR(__xludf.DUMMYFUNCTION("""COMPUTED_VALUE"""),"")</f>
        <v/>
      </c>
      <c r="S737" s="250" t="str">
        <f t="shared" si="5"/>
        <v/>
      </c>
      <c r="T737" s="254" t="str">
        <f>IFERROR(__xludf.DUMMYFUNCTION("""COMPUTED_VALUE"""),"")</f>
        <v/>
      </c>
      <c r="U737" s="246" t="str">
        <f>IFERROR(__xludf.DUMMYFUNCTION("""COMPUTED_VALUE"""),"")</f>
        <v/>
      </c>
      <c r="V737" s="247" t="str">
        <f t="shared" si="6"/>
        <v/>
      </c>
      <c r="W737" s="255" t="str">
        <f>IFERROR(__xludf.DUMMYFUNCTION("""COMPUTED_VALUE"""),"")</f>
        <v/>
      </c>
      <c r="X737" s="249" t="str">
        <f>IFERROR(__xludf.DUMMYFUNCTION("""COMPUTED_VALUE"""),"")</f>
        <v/>
      </c>
      <c r="Y737" s="250" t="str">
        <f t="shared" si="7"/>
        <v/>
      </c>
    </row>
    <row r="738">
      <c r="A738" s="136" t="s">
        <v>133</v>
      </c>
      <c r="B738" s="136"/>
      <c r="C738" s="136" t="s">
        <v>133</v>
      </c>
      <c r="D738" s="136"/>
      <c r="E738" s="256" t="str">
        <f>IFERROR(__xludf.DUMMYFUNCTION("""COMPUTED_VALUE"""),"")</f>
        <v/>
      </c>
      <c r="F738" s="257" t="str">
        <f>IFERROR(__xludf.DUMMYFUNCTION("""COMPUTED_VALUE"""),"")</f>
        <v/>
      </c>
      <c r="G738" s="247" t="str">
        <f t="shared" si="1"/>
        <v/>
      </c>
      <c r="H738" s="258" t="str">
        <f>IFERROR(__xludf.DUMMYFUNCTION("""COMPUTED_VALUE"""),"")</f>
        <v/>
      </c>
      <c r="I738" s="259" t="str">
        <f>IFERROR(__xludf.DUMMYFUNCTION("""COMPUTED_VALUE"""),"")</f>
        <v/>
      </c>
      <c r="J738" s="250" t="str">
        <f t="shared" si="2"/>
        <v/>
      </c>
      <c r="K738" s="317" t="str">
        <f>IFERROR(__xludf.DUMMYFUNCTION("""COMPUTED_VALUE"""),"")</f>
        <v/>
      </c>
      <c r="L738" s="318" t="str">
        <f>IFERROR(__xludf.DUMMYFUNCTION("""COMPUTED_VALUE"""),"")</f>
        <v/>
      </c>
      <c r="M738" s="253" t="str">
        <f t="shared" si="3"/>
        <v/>
      </c>
      <c r="N738" s="319" t="str">
        <f>IFERROR(__xludf.DUMMYFUNCTION("""COMPUTED_VALUE"""),"")</f>
        <v/>
      </c>
      <c r="O738" s="257" t="str">
        <f>IFERROR(__xludf.DUMMYFUNCTION("""COMPUTED_VALUE"""),"")</f>
        <v/>
      </c>
      <c r="P738" s="247" t="str">
        <f t="shared" si="4"/>
        <v/>
      </c>
      <c r="Q738" s="320" t="str">
        <f>IFERROR(__xludf.DUMMYFUNCTION("""COMPUTED_VALUE"""),"")</f>
        <v/>
      </c>
      <c r="R738" s="259" t="str">
        <f>IFERROR(__xludf.DUMMYFUNCTION("""COMPUTED_VALUE"""),"")</f>
        <v/>
      </c>
      <c r="S738" s="250" t="str">
        <f t="shared" si="5"/>
        <v/>
      </c>
      <c r="T738" s="254" t="str">
        <f>IFERROR(__xludf.DUMMYFUNCTION("""COMPUTED_VALUE"""),"")</f>
        <v/>
      </c>
      <c r="U738" s="246" t="str">
        <f>IFERROR(__xludf.DUMMYFUNCTION("""COMPUTED_VALUE"""),"")</f>
        <v/>
      </c>
      <c r="V738" s="247" t="str">
        <f t="shared" si="6"/>
        <v/>
      </c>
      <c r="W738" s="255" t="str">
        <f>IFERROR(__xludf.DUMMYFUNCTION("""COMPUTED_VALUE"""),"")</f>
        <v/>
      </c>
      <c r="X738" s="249" t="str">
        <f>IFERROR(__xludf.DUMMYFUNCTION("""COMPUTED_VALUE"""),"")</f>
        <v/>
      </c>
      <c r="Y738" s="250" t="str">
        <f t="shared" si="7"/>
        <v/>
      </c>
    </row>
    <row r="739">
      <c r="A739" s="136" t="s">
        <v>133</v>
      </c>
      <c r="B739" s="136"/>
      <c r="C739" s="136" t="s">
        <v>133</v>
      </c>
      <c r="D739" s="136"/>
      <c r="E739" s="256" t="str">
        <f>IFERROR(__xludf.DUMMYFUNCTION("""COMPUTED_VALUE"""),"")</f>
        <v/>
      </c>
      <c r="F739" s="257" t="str">
        <f>IFERROR(__xludf.DUMMYFUNCTION("""COMPUTED_VALUE"""),"")</f>
        <v/>
      </c>
      <c r="G739" s="247" t="str">
        <f t="shared" si="1"/>
        <v/>
      </c>
      <c r="H739" s="258" t="str">
        <f>IFERROR(__xludf.DUMMYFUNCTION("""COMPUTED_VALUE"""),"")</f>
        <v/>
      </c>
      <c r="I739" s="259" t="str">
        <f>IFERROR(__xludf.DUMMYFUNCTION("""COMPUTED_VALUE"""),"")</f>
        <v/>
      </c>
      <c r="J739" s="250" t="str">
        <f t="shared" si="2"/>
        <v/>
      </c>
      <c r="K739" s="317" t="str">
        <f>IFERROR(__xludf.DUMMYFUNCTION("""COMPUTED_VALUE"""),"")</f>
        <v/>
      </c>
      <c r="L739" s="318" t="str">
        <f>IFERROR(__xludf.DUMMYFUNCTION("""COMPUTED_VALUE"""),"")</f>
        <v/>
      </c>
      <c r="M739" s="253" t="str">
        <f t="shared" si="3"/>
        <v/>
      </c>
      <c r="N739" s="319" t="str">
        <f>IFERROR(__xludf.DUMMYFUNCTION("""COMPUTED_VALUE"""),"")</f>
        <v/>
      </c>
      <c r="O739" s="257" t="str">
        <f>IFERROR(__xludf.DUMMYFUNCTION("""COMPUTED_VALUE"""),"")</f>
        <v/>
      </c>
      <c r="P739" s="247" t="str">
        <f t="shared" si="4"/>
        <v/>
      </c>
      <c r="Q739" s="320" t="str">
        <f>IFERROR(__xludf.DUMMYFUNCTION("""COMPUTED_VALUE"""),"")</f>
        <v/>
      </c>
      <c r="R739" s="259" t="str">
        <f>IFERROR(__xludf.DUMMYFUNCTION("""COMPUTED_VALUE"""),"")</f>
        <v/>
      </c>
      <c r="S739" s="250" t="str">
        <f t="shared" si="5"/>
        <v/>
      </c>
      <c r="T739" s="254" t="str">
        <f>IFERROR(__xludf.DUMMYFUNCTION("""COMPUTED_VALUE"""),"")</f>
        <v/>
      </c>
      <c r="U739" s="246" t="str">
        <f>IFERROR(__xludf.DUMMYFUNCTION("""COMPUTED_VALUE"""),"")</f>
        <v/>
      </c>
      <c r="V739" s="247" t="str">
        <f t="shared" si="6"/>
        <v/>
      </c>
      <c r="W739" s="255" t="str">
        <f>IFERROR(__xludf.DUMMYFUNCTION("""COMPUTED_VALUE"""),"")</f>
        <v/>
      </c>
      <c r="X739" s="249" t="str">
        <f>IFERROR(__xludf.DUMMYFUNCTION("""COMPUTED_VALUE"""),"")</f>
        <v/>
      </c>
      <c r="Y739" s="250" t="str">
        <f t="shared" si="7"/>
        <v/>
      </c>
    </row>
    <row r="740">
      <c r="A740" s="136" t="s">
        <v>133</v>
      </c>
      <c r="B740" s="136"/>
      <c r="C740" s="136" t="s">
        <v>133</v>
      </c>
      <c r="D740" s="136"/>
      <c r="E740" s="256" t="str">
        <f>IFERROR(__xludf.DUMMYFUNCTION("""COMPUTED_VALUE"""),"")</f>
        <v/>
      </c>
      <c r="F740" s="257" t="str">
        <f>IFERROR(__xludf.DUMMYFUNCTION("""COMPUTED_VALUE"""),"")</f>
        <v/>
      </c>
      <c r="G740" s="247" t="str">
        <f t="shared" si="1"/>
        <v/>
      </c>
      <c r="H740" s="258" t="str">
        <f>IFERROR(__xludf.DUMMYFUNCTION("""COMPUTED_VALUE"""),"")</f>
        <v/>
      </c>
      <c r="I740" s="259" t="str">
        <f>IFERROR(__xludf.DUMMYFUNCTION("""COMPUTED_VALUE"""),"")</f>
        <v/>
      </c>
      <c r="J740" s="250" t="str">
        <f t="shared" si="2"/>
        <v/>
      </c>
      <c r="K740" s="317" t="str">
        <f>IFERROR(__xludf.DUMMYFUNCTION("""COMPUTED_VALUE"""),"")</f>
        <v/>
      </c>
      <c r="L740" s="318" t="str">
        <f>IFERROR(__xludf.DUMMYFUNCTION("""COMPUTED_VALUE"""),"")</f>
        <v/>
      </c>
      <c r="M740" s="253" t="str">
        <f t="shared" si="3"/>
        <v/>
      </c>
      <c r="N740" s="319" t="str">
        <f>IFERROR(__xludf.DUMMYFUNCTION("""COMPUTED_VALUE"""),"")</f>
        <v/>
      </c>
      <c r="O740" s="257" t="str">
        <f>IFERROR(__xludf.DUMMYFUNCTION("""COMPUTED_VALUE"""),"")</f>
        <v/>
      </c>
      <c r="P740" s="247" t="str">
        <f t="shared" si="4"/>
        <v/>
      </c>
      <c r="Q740" s="320" t="str">
        <f>IFERROR(__xludf.DUMMYFUNCTION("""COMPUTED_VALUE"""),"")</f>
        <v/>
      </c>
      <c r="R740" s="259" t="str">
        <f>IFERROR(__xludf.DUMMYFUNCTION("""COMPUTED_VALUE"""),"")</f>
        <v/>
      </c>
      <c r="S740" s="250" t="str">
        <f t="shared" si="5"/>
        <v/>
      </c>
      <c r="T740" s="254" t="str">
        <f>IFERROR(__xludf.DUMMYFUNCTION("""COMPUTED_VALUE"""),"")</f>
        <v/>
      </c>
      <c r="U740" s="246" t="str">
        <f>IFERROR(__xludf.DUMMYFUNCTION("""COMPUTED_VALUE"""),"")</f>
        <v/>
      </c>
      <c r="V740" s="247" t="str">
        <f t="shared" si="6"/>
        <v/>
      </c>
      <c r="W740" s="255" t="str">
        <f>IFERROR(__xludf.DUMMYFUNCTION("""COMPUTED_VALUE"""),"")</f>
        <v/>
      </c>
      <c r="X740" s="249" t="str">
        <f>IFERROR(__xludf.DUMMYFUNCTION("""COMPUTED_VALUE"""),"")</f>
        <v/>
      </c>
      <c r="Y740" s="250" t="str">
        <f t="shared" si="7"/>
        <v/>
      </c>
    </row>
    <row r="741">
      <c r="A741" s="136" t="s">
        <v>133</v>
      </c>
      <c r="B741" s="136"/>
      <c r="C741" s="136" t="s">
        <v>133</v>
      </c>
      <c r="D741" s="136"/>
      <c r="E741" s="256" t="str">
        <f>IFERROR(__xludf.DUMMYFUNCTION("""COMPUTED_VALUE"""),"")</f>
        <v/>
      </c>
      <c r="F741" s="257" t="str">
        <f>IFERROR(__xludf.DUMMYFUNCTION("""COMPUTED_VALUE"""),"")</f>
        <v/>
      </c>
      <c r="G741" s="247" t="str">
        <f t="shared" si="1"/>
        <v/>
      </c>
      <c r="H741" s="258" t="str">
        <f>IFERROR(__xludf.DUMMYFUNCTION("""COMPUTED_VALUE"""),"")</f>
        <v/>
      </c>
      <c r="I741" s="259" t="str">
        <f>IFERROR(__xludf.DUMMYFUNCTION("""COMPUTED_VALUE"""),"")</f>
        <v/>
      </c>
      <c r="J741" s="250" t="str">
        <f t="shared" si="2"/>
        <v/>
      </c>
      <c r="K741" s="317" t="str">
        <f>IFERROR(__xludf.DUMMYFUNCTION("""COMPUTED_VALUE"""),"")</f>
        <v/>
      </c>
      <c r="L741" s="318" t="str">
        <f>IFERROR(__xludf.DUMMYFUNCTION("""COMPUTED_VALUE"""),"")</f>
        <v/>
      </c>
      <c r="M741" s="253" t="str">
        <f t="shared" si="3"/>
        <v/>
      </c>
      <c r="N741" s="319" t="str">
        <f>IFERROR(__xludf.DUMMYFUNCTION("""COMPUTED_VALUE"""),"")</f>
        <v/>
      </c>
      <c r="O741" s="257" t="str">
        <f>IFERROR(__xludf.DUMMYFUNCTION("""COMPUTED_VALUE"""),"")</f>
        <v/>
      </c>
      <c r="P741" s="247" t="str">
        <f t="shared" si="4"/>
        <v/>
      </c>
      <c r="Q741" s="320" t="str">
        <f>IFERROR(__xludf.DUMMYFUNCTION("""COMPUTED_VALUE"""),"")</f>
        <v/>
      </c>
      <c r="R741" s="259" t="str">
        <f>IFERROR(__xludf.DUMMYFUNCTION("""COMPUTED_VALUE"""),"")</f>
        <v/>
      </c>
      <c r="S741" s="250" t="str">
        <f t="shared" si="5"/>
        <v/>
      </c>
      <c r="T741" s="254" t="str">
        <f>IFERROR(__xludf.DUMMYFUNCTION("""COMPUTED_VALUE"""),"")</f>
        <v/>
      </c>
      <c r="U741" s="246" t="str">
        <f>IFERROR(__xludf.DUMMYFUNCTION("""COMPUTED_VALUE"""),"")</f>
        <v/>
      </c>
      <c r="V741" s="247" t="str">
        <f t="shared" si="6"/>
        <v/>
      </c>
      <c r="W741" s="255" t="str">
        <f>IFERROR(__xludf.DUMMYFUNCTION("""COMPUTED_VALUE"""),"")</f>
        <v/>
      </c>
      <c r="X741" s="249" t="str">
        <f>IFERROR(__xludf.DUMMYFUNCTION("""COMPUTED_VALUE"""),"")</f>
        <v/>
      </c>
      <c r="Y741" s="250" t="str">
        <f t="shared" si="7"/>
        <v/>
      </c>
    </row>
    <row r="742">
      <c r="A742" s="136" t="s">
        <v>133</v>
      </c>
      <c r="B742" s="136"/>
      <c r="C742" s="136" t="s">
        <v>133</v>
      </c>
      <c r="D742" s="136"/>
      <c r="E742" s="256" t="str">
        <f>IFERROR(__xludf.DUMMYFUNCTION("""COMPUTED_VALUE"""),"")</f>
        <v/>
      </c>
      <c r="F742" s="257" t="str">
        <f>IFERROR(__xludf.DUMMYFUNCTION("""COMPUTED_VALUE"""),"")</f>
        <v/>
      </c>
      <c r="G742" s="247" t="str">
        <f t="shared" si="1"/>
        <v/>
      </c>
      <c r="H742" s="258" t="str">
        <f>IFERROR(__xludf.DUMMYFUNCTION("""COMPUTED_VALUE"""),"")</f>
        <v/>
      </c>
      <c r="I742" s="259" t="str">
        <f>IFERROR(__xludf.DUMMYFUNCTION("""COMPUTED_VALUE"""),"")</f>
        <v/>
      </c>
      <c r="J742" s="250" t="str">
        <f t="shared" si="2"/>
        <v/>
      </c>
      <c r="K742" s="317" t="str">
        <f>IFERROR(__xludf.DUMMYFUNCTION("""COMPUTED_VALUE"""),"")</f>
        <v/>
      </c>
      <c r="L742" s="318" t="str">
        <f>IFERROR(__xludf.DUMMYFUNCTION("""COMPUTED_VALUE"""),"")</f>
        <v/>
      </c>
      <c r="M742" s="253" t="str">
        <f t="shared" si="3"/>
        <v/>
      </c>
      <c r="N742" s="319" t="str">
        <f>IFERROR(__xludf.DUMMYFUNCTION("""COMPUTED_VALUE"""),"")</f>
        <v/>
      </c>
      <c r="O742" s="257" t="str">
        <f>IFERROR(__xludf.DUMMYFUNCTION("""COMPUTED_VALUE"""),"")</f>
        <v/>
      </c>
      <c r="P742" s="247" t="str">
        <f t="shared" si="4"/>
        <v/>
      </c>
      <c r="Q742" s="320" t="str">
        <f>IFERROR(__xludf.DUMMYFUNCTION("""COMPUTED_VALUE"""),"")</f>
        <v/>
      </c>
      <c r="R742" s="259" t="str">
        <f>IFERROR(__xludf.DUMMYFUNCTION("""COMPUTED_VALUE"""),"")</f>
        <v/>
      </c>
      <c r="S742" s="250" t="str">
        <f t="shared" si="5"/>
        <v/>
      </c>
      <c r="T742" s="254" t="str">
        <f>IFERROR(__xludf.DUMMYFUNCTION("""COMPUTED_VALUE"""),"")</f>
        <v/>
      </c>
      <c r="U742" s="246" t="str">
        <f>IFERROR(__xludf.DUMMYFUNCTION("""COMPUTED_VALUE"""),"")</f>
        <v/>
      </c>
      <c r="V742" s="247" t="str">
        <f t="shared" si="6"/>
        <v/>
      </c>
      <c r="W742" s="255" t="str">
        <f>IFERROR(__xludf.DUMMYFUNCTION("""COMPUTED_VALUE"""),"")</f>
        <v/>
      </c>
      <c r="X742" s="249" t="str">
        <f>IFERROR(__xludf.DUMMYFUNCTION("""COMPUTED_VALUE"""),"")</f>
        <v/>
      </c>
      <c r="Y742" s="250" t="str">
        <f t="shared" si="7"/>
        <v/>
      </c>
    </row>
    <row r="743">
      <c r="A743" s="136" t="s">
        <v>133</v>
      </c>
      <c r="B743" s="136"/>
      <c r="C743" s="136" t="s">
        <v>133</v>
      </c>
      <c r="D743" s="136"/>
      <c r="E743" s="256" t="str">
        <f>IFERROR(__xludf.DUMMYFUNCTION("""COMPUTED_VALUE"""),"")</f>
        <v/>
      </c>
      <c r="F743" s="257" t="str">
        <f>IFERROR(__xludf.DUMMYFUNCTION("""COMPUTED_VALUE"""),"")</f>
        <v/>
      </c>
      <c r="G743" s="247" t="str">
        <f t="shared" si="1"/>
        <v/>
      </c>
      <c r="H743" s="258" t="str">
        <f>IFERROR(__xludf.DUMMYFUNCTION("""COMPUTED_VALUE"""),"")</f>
        <v/>
      </c>
      <c r="I743" s="259" t="str">
        <f>IFERROR(__xludf.DUMMYFUNCTION("""COMPUTED_VALUE"""),"")</f>
        <v/>
      </c>
      <c r="J743" s="250" t="str">
        <f t="shared" si="2"/>
        <v/>
      </c>
      <c r="K743" s="317" t="str">
        <f>IFERROR(__xludf.DUMMYFUNCTION("""COMPUTED_VALUE"""),"")</f>
        <v/>
      </c>
      <c r="L743" s="318" t="str">
        <f>IFERROR(__xludf.DUMMYFUNCTION("""COMPUTED_VALUE"""),"")</f>
        <v/>
      </c>
      <c r="M743" s="253" t="str">
        <f t="shared" si="3"/>
        <v/>
      </c>
      <c r="N743" s="319" t="str">
        <f>IFERROR(__xludf.DUMMYFUNCTION("""COMPUTED_VALUE"""),"")</f>
        <v/>
      </c>
      <c r="O743" s="257" t="str">
        <f>IFERROR(__xludf.DUMMYFUNCTION("""COMPUTED_VALUE"""),"")</f>
        <v/>
      </c>
      <c r="P743" s="247" t="str">
        <f t="shared" si="4"/>
        <v/>
      </c>
      <c r="Q743" s="320" t="str">
        <f>IFERROR(__xludf.DUMMYFUNCTION("""COMPUTED_VALUE"""),"")</f>
        <v/>
      </c>
      <c r="R743" s="259" t="str">
        <f>IFERROR(__xludf.DUMMYFUNCTION("""COMPUTED_VALUE"""),"")</f>
        <v/>
      </c>
      <c r="S743" s="250" t="str">
        <f t="shared" si="5"/>
        <v/>
      </c>
      <c r="T743" s="254" t="str">
        <f>IFERROR(__xludf.DUMMYFUNCTION("""COMPUTED_VALUE"""),"")</f>
        <v/>
      </c>
      <c r="U743" s="246" t="str">
        <f>IFERROR(__xludf.DUMMYFUNCTION("""COMPUTED_VALUE"""),"")</f>
        <v/>
      </c>
      <c r="V743" s="247" t="str">
        <f t="shared" si="6"/>
        <v/>
      </c>
      <c r="W743" s="255" t="str">
        <f>IFERROR(__xludf.DUMMYFUNCTION("""COMPUTED_VALUE"""),"")</f>
        <v/>
      </c>
      <c r="X743" s="249" t="str">
        <f>IFERROR(__xludf.DUMMYFUNCTION("""COMPUTED_VALUE"""),"")</f>
        <v/>
      </c>
      <c r="Y743" s="250" t="str">
        <f t="shared" si="7"/>
        <v/>
      </c>
    </row>
    <row r="744">
      <c r="A744" s="136" t="s">
        <v>133</v>
      </c>
      <c r="B744" s="136"/>
      <c r="C744" s="136" t="s">
        <v>133</v>
      </c>
      <c r="D744" s="136"/>
      <c r="E744" s="256" t="str">
        <f>IFERROR(__xludf.DUMMYFUNCTION("""COMPUTED_VALUE"""),"")</f>
        <v/>
      </c>
      <c r="F744" s="257" t="str">
        <f>IFERROR(__xludf.DUMMYFUNCTION("""COMPUTED_VALUE"""),"")</f>
        <v/>
      </c>
      <c r="G744" s="247" t="str">
        <f t="shared" si="1"/>
        <v/>
      </c>
      <c r="H744" s="258" t="str">
        <f>IFERROR(__xludf.DUMMYFUNCTION("""COMPUTED_VALUE"""),"")</f>
        <v/>
      </c>
      <c r="I744" s="259" t="str">
        <f>IFERROR(__xludf.DUMMYFUNCTION("""COMPUTED_VALUE"""),"")</f>
        <v/>
      </c>
      <c r="J744" s="250" t="str">
        <f t="shared" si="2"/>
        <v/>
      </c>
      <c r="K744" s="317" t="str">
        <f>IFERROR(__xludf.DUMMYFUNCTION("""COMPUTED_VALUE"""),"")</f>
        <v/>
      </c>
      <c r="L744" s="318" t="str">
        <f>IFERROR(__xludf.DUMMYFUNCTION("""COMPUTED_VALUE"""),"")</f>
        <v/>
      </c>
      <c r="M744" s="253" t="str">
        <f t="shared" si="3"/>
        <v/>
      </c>
      <c r="N744" s="319" t="str">
        <f>IFERROR(__xludf.DUMMYFUNCTION("""COMPUTED_VALUE"""),"")</f>
        <v/>
      </c>
      <c r="O744" s="257" t="str">
        <f>IFERROR(__xludf.DUMMYFUNCTION("""COMPUTED_VALUE"""),"")</f>
        <v/>
      </c>
      <c r="P744" s="247" t="str">
        <f t="shared" si="4"/>
        <v/>
      </c>
      <c r="Q744" s="320" t="str">
        <f>IFERROR(__xludf.DUMMYFUNCTION("""COMPUTED_VALUE"""),"")</f>
        <v/>
      </c>
      <c r="R744" s="259" t="str">
        <f>IFERROR(__xludf.DUMMYFUNCTION("""COMPUTED_VALUE"""),"")</f>
        <v/>
      </c>
      <c r="S744" s="250" t="str">
        <f t="shared" si="5"/>
        <v/>
      </c>
      <c r="T744" s="254" t="str">
        <f>IFERROR(__xludf.DUMMYFUNCTION("""COMPUTED_VALUE"""),"")</f>
        <v/>
      </c>
      <c r="U744" s="246" t="str">
        <f>IFERROR(__xludf.DUMMYFUNCTION("""COMPUTED_VALUE"""),"")</f>
        <v/>
      </c>
      <c r="V744" s="247" t="str">
        <f t="shared" si="6"/>
        <v/>
      </c>
      <c r="W744" s="255" t="str">
        <f>IFERROR(__xludf.DUMMYFUNCTION("""COMPUTED_VALUE"""),"")</f>
        <v/>
      </c>
      <c r="X744" s="249" t="str">
        <f>IFERROR(__xludf.DUMMYFUNCTION("""COMPUTED_VALUE"""),"")</f>
        <v/>
      </c>
      <c r="Y744" s="250" t="str">
        <f t="shared" si="7"/>
        <v/>
      </c>
    </row>
    <row r="745">
      <c r="A745" s="136" t="s">
        <v>133</v>
      </c>
      <c r="B745" s="136"/>
      <c r="C745" s="136" t="s">
        <v>133</v>
      </c>
      <c r="D745" s="136"/>
      <c r="E745" s="256" t="str">
        <f>IFERROR(__xludf.DUMMYFUNCTION("""COMPUTED_VALUE"""),"")</f>
        <v/>
      </c>
      <c r="F745" s="257" t="str">
        <f>IFERROR(__xludf.DUMMYFUNCTION("""COMPUTED_VALUE"""),"")</f>
        <v/>
      </c>
      <c r="G745" s="247" t="str">
        <f t="shared" si="1"/>
        <v/>
      </c>
      <c r="H745" s="258" t="str">
        <f>IFERROR(__xludf.DUMMYFUNCTION("""COMPUTED_VALUE"""),"")</f>
        <v/>
      </c>
      <c r="I745" s="259" t="str">
        <f>IFERROR(__xludf.DUMMYFUNCTION("""COMPUTED_VALUE"""),"")</f>
        <v/>
      </c>
      <c r="J745" s="250" t="str">
        <f t="shared" si="2"/>
        <v/>
      </c>
      <c r="K745" s="317" t="str">
        <f>IFERROR(__xludf.DUMMYFUNCTION("""COMPUTED_VALUE"""),"")</f>
        <v/>
      </c>
      <c r="L745" s="318" t="str">
        <f>IFERROR(__xludf.DUMMYFUNCTION("""COMPUTED_VALUE"""),"")</f>
        <v/>
      </c>
      <c r="M745" s="253" t="str">
        <f t="shared" si="3"/>
        <v/>
      </c>
      <c r="N745" s="319" t="str">
        <f>IFERROR(__xludf.DUMMYFUNCTION("""COMPUTED_VALUE"""),"")</f>
        <v/>
      </c>
      <c r="O745" s="257" t="str">
        <f>IFERROR(__xludf.DUMMYFUNCTION("""COMPUTED_VALUE"""),"")</f>
        <v/>
      </c>
      <c r="P745" s="247" t="str">
        <f t="shared" si="4"/>
        <v/>
      </c>
      <c r="Q745" s="320" t="str">
        <f>IFERROR(__xludf.DUMMYFUNCTION("""COMPUTED_VALUE"""),"")</f>
        <v/>
      </c>
      <c r="R745" s="259" t="str">
        <f>IFERROR(__xludf.DUMMYFUNCTION("""COMPUTED_VALUE"""),"")</f>
        <v/>
      </c>
      <c r="S745" s="250" t="str">
        <f t="shared" si="5"/>
        <v/>
      </c>
      <c r="T745" s="254" t="str">
        <f>IFERROR(__xludf.DUMMYFUNCTION("""COMPUTED_VALUE"""),"")</f>
        <v/>
      </c>
      <c r="U745" s="246" t="str">
        <f>IFERROR(__xludf.DUMMYFUNCTION("""COMPUTED_VALUE"""),"")</f>
        <v/>
      </c>
      <c r="V745" s="247" t="str">
        <f t="shared" si="6"/>
        <v/>
      </c>
      <c r="W745" s="255" t="str">
        <f>IFERROR(__xludf.DUMMYFUNCTION("""COMPUTED_VALUE"""),"")</f>
        <v/>
      </c>
      <c r="X745" s="249" t="str">
        <f>IFERROR(__xludf.DUMMYFUNCTION("""COMPUTED_VALUE"""),"")</f>
        <v/>
      </c>
      <c r="Y745" s="250" t="str">
        <f t="shared" si="7"/>
        <v/>
      </c>
    </row>
    <row r="746">
      <c r="A746" s="136" t="s">
        <v>133</v>
      </c>
      <c r="B746" s="136"/>
      <c r="C746" s="136" t="s">
        <v>133</v>
      </c>
      <c r="D746" s="136"/>
      <c r="E746" s="256" t="str">
        <f>IFERROR(__xludf.DUMMYFUNCTION("""COMPUTED_VALUE"""),"")</f>
        <v/>
      </c>
      <c r="F746" s="257" t="str">
        <f>IFERROR(__xludf.DUMMYFUNCTION("""COMPUTED_VALUE"""),"")</f>
        <v/>
      </c>
      <c r="G746" s="247" t="str">
        <f t="shared" si="1"/>
        <v/>
      </c>
      <c r="H746" s="258" t="str">
        <f>IFERROR(__xludf.DUMMYFUNCTION("""COMPUTED_VALUE"""),"")</f>
        <v/>
      </c>
      <c r="I746" s="259" t="str">
        <f>IFERROR(__xludf.DUMMYFUNCTION("""COMPUTED_VALUE"""),"")</f>
        <v/>
      </c>
      <c r="J746" s="250" t="str">
        <f t="shared" si="2"/>
        <v/>
      </c>
      <c r="K746" s="317" t="str">
        <f>IFERROR(__xludf.DUMMYFUNCTION("""COMPUTED_VALUE"""),"")</f>
        <v/>
      </c>
      <c r="L746" s="318" t="str">
        <f>IFERROR(__xludf.DUMMYFUNCTION("""COMPUTED_VALUE"""),"")</f>
        <v/>
      </c>
      <c r="M746" s="253" t="str">
        <f t="shared" si="3"/>
        <v/>
      </c>
      <c r="N746" s="319" t="str">
        <f>IFERROR(__xludf.DUMMYFUNCTION("""COMPUTED_VALUE"""),"")</f>
        <v/>
      </c>
      <c r="O746" s="257" t="str">
        <f>IFERROR(__xludf.DUMMYFUNCTION("""COMPUTED_VALUE"""),"")</f>
        <v/>
      </c>
      <c r="P746" s="247" t="str">
        <f t="shared" si="4"/>
        <v/>
      </c>
      <c r="Q746" s="320" t="str">
        <f>IFERROR(__xludf.DUMMYFUNCTION("""COMPUTED_VALUE"""),"")</f>
        <v/>
      </c>
      <c r="R746" s="259" t="str">
        <f>IFERROR(__xludf.DUMMYFUNCTION("""COMPUTED_VALUE"""),"")</f>
        <v/>
      </c>
      <c r="S746" s="250" t="str">
        <f t="shared" si="5"/>
        <v/>
      </c>
      <c r="T746" s="254" t="str">
        <f>IFERROR(__xludf.DUMMYFUNCTION("""COMPUTED_VALUE"""),"")</f>
        <v/>
      </c>
      <c r="U746" s="246" t="str">
        <f>IFERROR(__xludf.DUMMYFUNCTION("""COMPUTED_VALUE"""),"")</f>
        <v/>
      </c>
      <c r="V746" s="247" t="str">
        <f t="shared" si="6"/>
        <v/>
      </c>
      <c r="W746" s="255" t="str">
        <f>IFERROR(__xludf.DUMMYFUNCTION("""COMPUTED_VALUE"""),"")</f>
        <v/>
      </c>
      <c r="X746" s="249" t="str">
        <f>IFERROR(__xludf.DUMMYFUNCTION("""COMPUTED_VALUE"""),"")</f>
        <v/>
      </c>
      <c r="Y746" s="250" t="str">
        <f t="shared" si="7"/>
        <v/>
      </c>
    </row>
    <row r="747">
      <c r="A747" s="136" t="s">
        <v>133</v>
      </c>
      <c r="B747" s="136"/>
      <c r="C747" s="136" t="s">
        <v>133</v>
      </c>
      <c r="D747" s="136"/>
      <c r="E747" s="256" t="str">
        <f>IFERROR(__xludf.DUMMYFUNCTION("""COMPUTED_VALUE"""),"")</f>
        <v/>
      </c>
      <c r="F747" s="257" t="str">
        <f>IFERROR(__xludf.DUMMYFUNCTION("""COMPUTED_VALUE"""),"")</f>
        <v/>
      </c>
      <c r="G747" s="247" t="str">
        <f t="shared" si="1"/>
        <v/>
      </c>
      <c r="H747" s="258" t="str">
        <f>IFERROR(__xludf.DUMMYFUNCTION("""COMPUTED_VALUE"""),"")</f>
        <v/>
      </c>
      <c r="I747" s="259" t="str">
        <f>IFERROR(__xludf.DUMMYFUNCTION("""COMPUTED_VALUE"""),"")</f>
        <v/>
      </c>
      <c r="J747" s="250" t="str">
        <f t="shared" si="2"/>
        <v/>
      </c>
      <c r="K747" s="317" t="str">
        <f>IFERROR(__xludf.DUMMYFUNCTION("""COMPUTED_VALUE"""),"")</f>
        <v/>
      </c>
      <c r="L747" s="318" t="str">
        <f>IFERROR(__xludf.DUMMYFUNCTION("""COMPUTED_VALUE"""),"")</f>
        <v/>
      </c>
      <c r="M747" s="253" t="str">
        <f t="shared" si="3"/>
        <v/>
      </c>
      <c r="N747" s="319" t="str">
        <f>IFERROR(__xludf.DUMMYFUNCTION("""COMPUTED_VALUE"""),"")</f>
        <v/>
      </c>
      <c r="O747" s="257" t="str">
        <f>IFERROR(__xludf.DUMMYFUNCTION("""COMPUTED_VALUE"""),"")</f>
        <v/>
      </c>
      <c r="P747" s="247" t="str">
        <f t="shared" si="4"/>
        <v/>
      </c>
      <c r="Q747" s="320" t="str">
        <f>IFERROR(__xludf.DUMMYFUNCTION("""COMPUTED_VALUE"""),"")</f>
        <v/>
      </c>
      <c r="R747" s="259" t="str">
        <f>IFERROR(__xludf.DUMMYFUNCTION("""COMPUTED_VALUE"""),"")</f>
        <v/>
      </c>
      <c r="S747" s="250" t="str">
        <f t="shared" si="5"/>
        <v/>
      </c>
      <c r="T747" s="254" t="str">
        <f>IFERROR(__xludf.DUMMYFUNCTION("""COMPUTED_VALUE"""),"")</f>
        <v/>
      </c>
      <c r="U747" s="246" t="str">
        <f>IFERROR(__xludf.DUMMYFUNCTION("""COMPUTED_VALUE"""),"")</f>
        <v/>
      </c>
      <c r="V747" s="247" t="str">
        <f t="shared" si="6"/>
        <v/>
      </c>
      <c r="W747" s="255" t="str">
        <f>IFERROR(__xludf.DUMMYFUNCTION("""COMPUTED_VALUE"""),"")</f>
        <v/>
      </c>
      <c r="X747" s="249" t="str">
        <f>IFERROR(__xludf.DUMMYFUNCTION("""COMPUTED_VALUE"""),"")</f>
        <v/>
      </c>
      <c r="Y747" s="250" t="str">
        <f t="shared" si="7"/>
        <v/>
      </c>
    </row>
    <row r="748">
      <c r="A748" s="136" t="s">
        <v>133</v>
      </c>
      <c r="B748" s="136"/>
      <c r="C748" s="136" t="s">
        <v>133</v>
      </c>
      <c r="D748" s="136"/>
      <c r="E748" s="256" t="str">
        <f>IFERROR(__xludf.DUMMYFUNCTION("""COMPUTED_VALUE"""),"")</f>
        <v/>
      </c>
      <c r="F748" s="257" t="str">
        <f>IFERROR(__xludf.DUMMYFUNCTION("""COMPUTED_VALUE"""),"")</f>
        <v/>
      </c>
      <c r="G748" s="247" t="str">
        <f t="shared" si="1"/>
        <v/>
      </c>
      <c r="H748" s="258" t="str">
        <f>IFERROR(__xludf.DUMMYFUNCTION("""COMPUTED_VALUE"""),"")</f>
        <v/>
      </c>
      <c r="I748" s="259" t="str">
        <f>IFERROR(__xludf.DUMMYFUNCTION("""COMPUTED_VALUE"""),"")</f>
        <v/>
      </c>
      <c r="J748" s="250" t="str">
        <f t="shared" si="2"/>
        <v/>
      </c>
      <c r="K748" s="317" t="str">
        <f>IFERROR(__xludf.DUMMYFUNCTION("""COMPUTED_VALUE"""),"")</f>
        <v/>
      </c>
      <c r="L748" s="318" t="str">
        <f>IFERROR(__xludf.DUMMYFUNCTION("""COMPUTED_VALUE"""),"")</f>
        <v/>
      </c>
      <c r="M748" s="253" t="str">
        <f t="shared" si="3"/>
        <v/>
      </c>
      <c r="N748" s="319" t="str">
        <f>IFERROR(__xludf.DUMMYFUNCTION("""COMPUTED_VALUE"""),"")</f>
        <v/>
      </c>
      <c r="O748" s="257" t="str">
        <f>IFERROR(__xludf.DUMMYFUNCTION("""COMPUTED_VALUE"""),"")</f>
        <v/>
      </c>
      <c r="P748" s="247" t="str">
        <f t="shared" si="4"/>
        <v/>
      </c>
      <c r="Q748" s="320" t="str">
        <f>IFERROR(__xludf.DUMMYFUNCTION("""COMPUTED_VALUE"""),"")</f>
        <v/>
      </c>
      <c r="R748" s="259" t="str">
        <f>IFERROR(__xludf.DUMMYFUNCTION("""COMPUTED_VALUE"""),"")</f>
        <v/>
      </c>
      <c r="S748" s="250" t="str">
        <f t="shared" si="5"/>
        <v/>
      </c>
      <c r="T748" s="254" t="str">
        <f>IFERROR(__xludf.DUMMYFUNCTION("""COMPUTED_VALUE"""),"")</f>
        <v/>
      </c>
      <c r="U748" s="246" t="str">
        <f>IFERROR(__xludf.DUMMYFUNCTION("""COMPUTED_VALUE"""),"")</f>
        <v/>
      </c>
      <c r="V748" s="247" t="str">
        <f t="shared" si="6"/>
        <v/>
      </c>
      <c r="W748" s="255" t="str">
        <f>IFERROR(__xludf.DUMMYFUNCTION("""COMPUTED_VALUE"""),"")</f>
        <v/>
      </c>
      <c r="X748" s="249" t="str">
        <f>IFERROR(__xludf.DUMMYFUNCTION("""COMPUTED_VALUE"""),"")</f>
        <v/>
      </c>
      <c r="Y748" s="250" t="str">
        <f t="shared" si="7"/>
        <v/>
      </c>
    </row>
    <row r="749">
      <c r="A749" s="136" t="s">
        <v>133</v>
      </c>
      <c r="B749" s="136"/>
      <c r="C749" s="136" t="s">
        <v>133</v>
      </c>
      <c r="D749" s="136"/>
      <c r="E749" s="256" t="str">
        <f>IFERROR(__xludf.DUMMYFUNCTION("""COMPUTED_VALUE"""),"")</f>
        <v/>
      </c>
      <c r="F749" s="257" t="str">
        <f>IFERROR(__xludf.DUMMYFUNCTION("""COMPUTED_VALUE"""),"")</f>
        <v/>
      </c>
      <c r="G749" s="247" t="str">
        <f t="shared" si="1"/>
        <v/>
      </c>
      <c r="H749" s="258" t="str">
        <f>IFERROR(__xludf.DUMMYFUNCTION("""COMPUTED_VALUE"""),"")</f>
        <v/>
      </c>
      <c r="I749" s="259" t="str">
        <f>IFERROR(__xludf.DUMMYFUNCTION("""COMPUTED_VALUE"""),"")</f>
        <v/>
      </c>
      <c r="J749" s="250" t="str">
        <f t="shared" si="2"/>
        <v/>
      </c>
      <c r="K749" s="317" t="str">
        <f>IFERROR(__xludf.DUMMYFUNCTION("""COMPUTED_VALUE"""),"")</f>
        <v/>
      </c>
      <c r="L749" s="318" t="str">
        <f>IFERROR(__xludf.DUMMYFUNCTION("""COMPUTED_VALUE"""),"")</f>
        <v/>
      </c>
      <c r="M749" s="253" t="str">
        <f t="shared" si="3"/>
        <v/>
      </c>
      <c r="N749" s="319" t="str">
        <f>IFERROR(__xludf.DUMMYFUNCTION("""COMPUTED_VALUE"""),"")</f>
        <v/>
      </c>
      <c r="O749" s="257" t="str">
        <f>IFERROR(__xludf.DUMMYFUNCTION("""COMPUTED_VALUE"""),"")</f>
        <v/>
      </c>
      <c r="P749" s="247" t="str">
        <f t="shared" si="4"/>
        <v/>
      </c>
      <c r="Q749" s="320" t="str">
        <f>IFERROR(__xludf.DUMMYFUNCTION("""COMPUTED_VALUE"""),"")</f>
        <v/>
      </c>
      <c r="R749" s="259" t="str">
        <f>IFERROR(__xludf.DUMMYFUNCTION("""COMPUTED_VALUE"""),"")</f>
        <v/>
      </c>
      <c r="S749" s="250" t="str">
        <f t="shared" si="5"/>
        <v/>
      </c>
      <c r="T749" s="254" t="str">
        <f>IFERROR(__xludf.DUMMYFUNCTION("""COMPUTED_VALUE"""),"")</f>
        <v/>
      </c>
      <c r="U749" s="246" t="str">
        <f>IFERROR(__xludf.DUMMYFUNCTION("""COMPUTED_VALUE"""),"")</f>
        <v/>
      </c>
      <c r="V749" s="247" t="str">
        <f t="shared" si="6"/>
        <v/>
      </c>
      <c r="W749" s="255" t="str">
        <f>IFERROR(__xludf.DUMMYFUNCTION("""COMPUTED_VALUE"""),"")</f>
        <v/>
      </c>
      <c r="X749" s="249" t="str">
        <f>IFERROR(__xludf.DUMMYFUNCTION("""COMPUTED_VALUE"""),"")</f>
        <v/>
      </c>
      <c r="Y749" s="250" t="str">
        <f t="shared" si="7"/>
        <v/>
      </c>
    </row>
    <row r="750">
      <c r="A750" s="136" t="s">
        <v>133</v>
      </c>
      <c r="B750" s="136"/>
      <c r="C750" s="136" t="s">
        <v>133</v>
      </c>
      <c r="D750" s="136"/>
      <c r="E750" s="256" t="str">
        <f>IFERROR(__xludf.DUMMYFUNCTION("""COMPUTED_VALUE"""),"")</f>
        <v/>
      </c>
      <c r="F750" s="257" t="str">
        <f>IFERROR(__xludf.DUMMYFUNCTION("""COMPUTED_VALUE"""),"")</f>
        <v/>
      </c>
      <c r="G750" s="247" t="str">
        <f t="shared" si="1"/>
        <v/>
      </c>
      <c r="H750" s="258" t="str">
        <f>IFERROR(__xludf.DUMMYFUNCTION("""COMPUTED_VALUE"""),"")</f>
        <v/>
      </c>
      <c r="I750" s="259" t="str">
        <f>IFERROR(__xludf.DUMMYFUNCTION("""COMPUTED_VALUE"""),"")</f>
        <v/>
      </c>
      <c r="J750" s="250" t="str">
        <f t="shared" si="2"/>
        <v/>
      </c>
      <c r="K750" s="317" t="str">
        <f>IFERROR(__xludf.DUMMYFUNCTION("""COMPUTED_VALUE"""),"")</f>
        <v/>
      </c>
      <c r="L750" s="318" t="str">
        <f>IFERROR(__xludf.DUMMYFUNCTION("""COMPUTED_VALUE"""),"")</f>
        <v/>
      </c>
      <c r="M750" s="253" t="str">
        <f t="shared" si="3"/>
        <v/>
      </c>
      <c r="N750" s="319" t="str">
        <f>IFERROR(__xludf.DUMMYFUNCTION("""COMPUTED_VALUE"""),"")</f>
        <v/>
      </c>
      <c r="O750" s="257" t="str">
        <f>IFERROR(__xludf.DUMMYFUNCTION("""COMPUTED_VALUE"""),"")</f>
        <v/>
      </c>
      <c r="P750" s="247" t="str">
        <f t="shared" si="4"/>
        <v/>
      </c>
      <c r="Q750" s="320" t="str">
        <f>IFERROR(__xludf.DUMMYFUNCTION("""COMPUTED_VALUE"""),"")</f>
        <v/>
      </c>
      <c r="R750" s="259" t="str">
        <f>IFERROR(__xludf.DUMMYFUNCTION("""COMPUTED_VALUE"""),"")</f>
        <v/>
      </c>
      <c r="S750" s="250" t="str">
        <f t="shared" si="5"/>
        <v/>
      </c>
      <c r="T750" s="254" t="str">
        <f>IFERROR(__xludf.DUMMYFUNCTION("""COMPUTED_VALUE"""),"")</f>
        <v/>
      </c>
      <c r="U750" s="246" t="str">
        <f>IFERROR(__xludf.DUMMYFUNCTION("""COMPUTED_VALUE"""),"")</f>
        <v/>
      </c>
      <c r="V750" s="247" t="str">
        <f t="shared" si="6"/>
        <v/>
      </c>
      <c r="W750" s="255" t="str">
        <f>IFERROR(__xludf.DUMMYFUNCTION("""COMPUTED_VALUE"""),"")</f>
        <v/>
      </c>
      <c r="X750" s="249" t="str">
        <f>IFERROR(__xludf.DUMMYFUNCTION("""COMPUTED_VALUE"""),"")</f>
        <v/>
      </c>
      <c r="Y750" s="250" t="str">
        <f t="shared" si="7"/>
        <v/>
      </c>
    </row>
    <row r="751">
      <c r="A751" s="136" t="s">
        <v>133</v>
      </c>
      <c r="B751" s="136"/>
      <c r="C751" s="136" t="s">
        <v>133</v>
      </c>
      <c r="D751" s="136"/>
      <c r="E751" s="256" t="str">
        <f>IFERROR(__xludf.DUMMYFUNCTION("""COMPUTED_VALUE"""),"")</f>
        <v/>
      </c>
      <c r="F751" s="257" t="str">
        <f>IFERROR(__xludf.DUMMYFUNCTION("""COMPUTED_VALUE"""),"")</f>
        <v/>
      </c>
      <c r="G751" s="247" t="str">
        <f t="shared" si="1"/>
        <v/>
      </c>
      <c r="H751" s="258" t="str">
        <f>IFERROR(__xludf.DUMMYFUNCTION("""COMPUTED_VALUE"""),"")</f>
        <v/>
      </c>
      <c r="I751" s="259" t="str">
        <f>IFERROR(__xludf.DUMMYFUNCTION("""COMPUTED_VALUE"""),"")</f>
        <v/>
      </c>
      <c r="J751" s="250" t="str">
        <f t="shared" si="2"/>
        <v/>
      </c>
      <c r="K751" s="317" t="str">
        <f>IFERROR(__xludf.DUMMYFUNCTION("""COMPUTED_VALUE"""),"")</f>
        <v/>
      </c>
      <c r="L751" s="318" t="str">
        <f>IFERROR(__xludf.DUMMYFUNCTION("""COMPUTED_VALUE"""),"")</f>
        <v/>
      </c>
      <c r="M751" s="253" t="str">
        <f t="shared" si="3"/>
        <v/>
      </c>
      <c r="N751" s="319" t="str">
        <f>IFERROR(__xludf.DUMMYFUNCTION("""COMPUTED_VALUE"""),"")</f>
        <v/>
      </c>
      <c r="O751" s="257" t="str">
        <f>IFERROR(__xludf.DUMMYFUNCTION("""COMPUTED_VALUE"""),"")</f>
        <v/>
      </c>
      <c r="P751" s="247" t="str">
        <f t="shared" si="4"/>
        <v/>
      </c>
      <c r="Q751" s="320" t="str">
        <f>IFERROR(__xludf.DUMMYFUNCTION("""COMPUTED_VALUE"""),"")</f>
        <v/>
      </c>
      <c r="R751" s="259" t="str">
        <f>IFERROR(__xludf.DUMMYFUNCTION("""COMPUTED_VALUE"""),"")</f>
        <v/>
      </c>
      <c r="S751" s="250" t="str">
        <f t="shared" si="5"/>
        <v/>
      </c>
      <c r="T751" s="254" t="str">
        <f>IFERROR(__xludf.DUMMYFUNCTION("""COMPUTED_VALUE"""),"")</f>
        <v/>
      </c>
      <c r="U751" s="246" t="str">
        <f>IFERROR(__xludf.DUMMYFUNCTION("""COMPUTED_VALUE"""),"")</f>
        <v/>
      </c>
      <c r="V751" s="247" t="str">
        <f t="shared" si="6"/>
        <v/>
      </c>
      <c r="W751" s="255" t="str">
        <f>IFERROR(__xludf.DUMMYFUNCTION("""COMPUTED_VALUE"""),"")</f>
        <v/>
      </c>
      <c r="X751" s="249" t="str">
        <f>IFERROR(__xludf.DUMMYFUNCTION("""COMPUTED_VALUE"""),"")</f>
        <v/>
      </c>
      <c r="Y751" s="250" t="str">
        <f t="shared" si="7"/>
        <v/>
      </c>
    </row>
    <row r="752">
      <c r="A752" s="136" t="s">
        <v>133</v>
      </c>
      <c r="B752" s="136"/>
      <c r="C752" s="136" t="s">
        <v>133</v>
      </c>
      <c r="D752" s="136"/>
      <c r="E752" s="256" t="str">
        <f>IFERROR(__xludf.DUMMYFUNCTION("""COMPUTED_VALUE"""),"")</f>
        <v/>
      </c>
      <c r="F752" s="257" t="str">
        <f>IFERROR(__xludf.DUMMYFUNCTION("""COMPUTED_VALUE"""),"")</f>
        <v/>
      </c>
      <c r="G752" s="247" t="str">
        <f t="shared" si="1"/>
        <v/>
      </c>
      <c r="H752" s="258" t="str">
        <f>IFERROR(__xludf.DUMMYFUNCTION("""COMPUTED_VALUE"""),"")</f>
        <v/>
      </c>
      <c r="I752" s="259" t="str">
        <f>IFERROR(__xludf.DUMMYFUNCTION("""COMPUTED_VALUE"""),"")</f>
        <v/>
      </c>
      <c r="J752" s="250" t="str">
        <f t="shared" si="2"/>
        <v/>
      </c>
      <c r="K752" s="317" t="str">
        <f>IFERROR(__xludf.DUMMYFUNCTION("""COMPUTED_VALUE"""),"")</f>
        <v/>
      </c>
      <c r="L752" s="318" t="str">
        <f>IFERROR(__xludf.DUMMYFUNCTION("""COMPUTED_VALUE"""),"")</f>
        <v/>
      </c>
      <c r="M752" s="253" t="str">
        <f t="shared" si="3"/>
        <v/>
      </c>
      <c r="N752" s="319" t="str">
        <f>IFERROR(__xludf.DUMMYFUNCTION("""COMPUTED_VALUE"""),"")</f>
        <v/>
      </c>
      <c r="O752" s="257" t="str">
        <f>IFERROR(__xludf.DUMMYFUNCTION("""COMPUTED_VALUE"""),"")</f>
        <v/>
      </c>
      <c r="P752" s="247" t="str">
        <f t="shared" si="4"/>
        <v/>
      </c>
      <c r="Q752" s="320" t="str">
        <f>IFERROR(__xludf.DUMMYFUNCTION("""COMPUTED_VALUE"""),"")</f>
        <v/>
      </c>
      <c r="R752" s="259" t="str">
        <f>IFERROR(__xludf.DUMMYFUNCTION("""COMPUTED_VALUE"""),"")</f>
        <v/>
      </c>
      <c r="S752" s="250" t="str">
        <f t="shared" si="5"/>
        <v/>
      </c>
      <c r="T752" s="254" t="str">
        <f>IFERROR(__xludf.DUMMYFUNCTION("""COMPUTED_VALUE"""),"")</f>
        <v/>
      </c>
      <c r="U752" s="246" t="str">
        <f>IFERROR(__xludf.DUMMYFUNCTION("""COMPUTED_VALUE"""),"")</f>
        <v/>
      </c>
      <c r="V752" s="247" t="str">
        <f t="shared" si="6"/>
        <v/>
      </c>
      <c r="W752" s="255" t="str">
        <f>IFERROR(__xludf.DUMMYFUNCTION("""COMPUTED_VALUE"""),"")</f>
        <v/>
      </c>
      <c r="X752" s="249" t="str">
        <f>IFERROR(__xludf.DUMMYFUNCTION("""COMPUTED_VALUE"""),"")</f>
        <v/>
      </c>
      <c r="Y752" s="250" t="str">
        <f t="shared" si="7"/>
        <v/>
      </c>
    </row>
    <row r="753">
      <c r="A753" s="136" t="s">
        <v>133</v>
      </c>
      <c r="B753" s="136"/>
      <c r="C753" s="136" t="s">
        <v>133</v>
      </c>
      <c r="D753" s="136"/>
      <c r="E753" s="256" t="str">
        <f>IFERROR(__xludf.DUMMYFUNCTION("""COMPUTED_VALUE"""),"")</f>
        <v/>
      </c>
      <c r="F753" s="257" t="str">
        <f>IFERROR(__xludf.DUMMYFUNCTION("""COMPUTED_VALUE"""),"")</f>
        <v/>
      </c>
      <c r="G753" s="247" t="str">
        <f t="shared" si="1"/>
        <v/>
      </c>
      <c r="H753" s="258" t="str">
        <f>IFERROR(__xludf.DUMMYFUNCTION("""COMPUTED_VALUE"""),"")</f>
        <v/>
      </c>
      <c r="I753" s="259" t="str">
        <f>IFERROR(__xludf.DUMMYFUNCTION("""COMPUTED_VALUE"""),"")</f>
        <v/>
      </c>
      <c r="J753" s="250" t="str">
        <f t="shared" si="2"/>
        <v/>
      </c>
      <c r="K753" s="317" t="str">
        <f>IFERROR(__xludf.DUMMYFUNCTION("""COMPUTED_VALUE"""),"")</f>
        <v/>
      </c>
      <c r="L753" s="318" t="str">
        <f>IFERROR(__xludf.DUMMYFUNCTION("""COMPUTED_VALUE"""),"")</f>
        <v/>
      </c>
      <c r="M753" s="253" t="str">
        <f t="shared" si="3"/>
        <v/>
      </c>
      <c r="N753" s="319" t="str">
        <f>IFERROR(__xludf.DUMMYFUNCTION("""COMPUTED_VALUE"""),"")</f>
        <v/>
      </c>
      <c r="O753" s="257" t="str">
        <f>IFERROR(__xludf.DUMMYFUNCTION("""COMPUTED_VALUE"""),"")</f>
        <v/>
      </c>
      <c r="P753" s="247" t="str">
        <f t="shared" si="4"/>
        <v/>
      </c>
      <c r="Q753" s="320" t="str">
        <f>IFERROR(__xludf.DUMMYFUNCTION("""COMPUTED_VALUE"""),"")</f>
        <v/>
      </c>
      <c r="R753" s="259" t="str">
        <f>IFERROR(__xludf.DUMMYFUNCTION("""COMPUTED_VALUE"""),"")</f>
        <v/>
      </c>
      <c r="S753" s="250" t="str">
        <f t="shared" si="5"/>
        <v/>
      </c>
      <c r="T753" s="254" t="str">
        <f>IFERROR(__xludf.DUMMYFUNCTION("""COMPUTED_VALUE"""),"")</f>
        <v/>
      </c>
      <c r="U753" s="246" t="str">
        <f>IFERROR(__xludf.DUMMYFUNCTION("""COMPUTED_VALUE"""),"")</f>
        <v/>
      </c>
      <c r="V753" s="247" t="str">
        <f t="shared" si="6"/>
        <v/>
      </c>
      <c r="W753" s="255" t="str">
        <f>IFERROR(__xludf.DUMMYFUNCTION("""COMPUTED_VALUE"""),"")</f>
        <v/>
      </c>
      <c r="X753" s="249" t="str">
        <f>IFERROR(__xludf.DUMMYFUNCTION("""COMPUTED_VALUE"""),"")</f>
        <v/>
      </c>
      <c r="Y753" s="250" t="str">
        <f t="shared" si="7"/>
        <v/>
      </c>
    </row>
    <row r="754">
      <c r="A754" s="136" t="s">
        <v>133</v>
      </c>
      <c r="B754" s="136"/>
      <c r="C754" s="136" t="s">
        <v>133</v>
      </c>
      <c r="D754" s="136"/>
      <c r="E754" s="256" t="str">
        <f>IFERROR(__xludf.DUMMYFUNCTION("""COMPUTED_VALUE"""),"")</f>
        <v/>
      </c>
      <c r="F754" s="257" t="str">
        <f>IFERROR(__xludf.DUMMYFUNCTION("""COMPUTED_VALUE"""),"")</f>
        <v/>
      </c>
      <c r="G754" s="247" t="str">
        <f t="shared" si="1"/>
        <v/>
      </c>
      <c r="H754" s="258" t="str">
        <f>IFERROR(__xludf.DUMMYFUNCTION("""COMPUTED_VALUE"""),"")</f>
        <v/>
      </c>
      <c r="I754" s="259" t="str">
        <f>IFERROR(__xludf.DUMMYFUNCTION("""COMPUTED_VALUE"""),"")</f>
        <v/>
      </c>
      <c r="J754" s="250" t="str">
        <f t="shared" si="2"/>
        <v/>
      </c>
      <c r="K754" s="317" t="str">
        <f>IFERROR(__xludf.DUMMYFUNCTION("""COMPUTED_VALUE"""),"")</f>
        <v/>
      </c>
      <c r="L754" s="318" t="str">
        <f>IFERROR(__xludf.DUMMYFUNCTION("""COMPUTED_VALUE"""),"")</f>
        <v/>
      </c>
      <c r="M754" s="253" t="str">
        <f t="shared" si="3"/>
        <v/>
      </c>
      <c r="N754" s="319" t="str">
        <f>IFERROR(__xludf.DUMMYFUNCTION("""COMPUTED_VALUE"""),"")</f>
        <v/>
      </c>
      <c r="O754" s="257" t="str">
        <f>IFERROR(__xludf.DUMMYFUNCTION("""COMPUTED_VALUE"""),"")</f>
        <v/>
      </c>
      <c r="P754" s="247" t="str">
        <f t="shared" si="4"/>
        <v/>
      </c>
      <c r="Q754" s="320" t="str">
        <f>IFERROR(__xludf.DUMMYFUNCTION("""COMPUTED_VALUE"""),"")</f>
        <v/>
      </c>
      <c r="R754" s="259" t="str">
        <f>IFERROR(__xludf.DUMMYFUNCTION("""COMPUTED_VALUE"""),"")</f>
        <v/>
      </c>
      <c r="S754" s="250" t="str">
        <f t="shared" si="5"/>
        <v/>
      </c>
      <c r="T754" s="254" t="str">
        <f>IFERROR(__xludf.DUMMYFUNCTION("""COMPUTED_VALUE"""),"")</f>
        <v/>
      </c>
      <c r="U754" s="246" t="str">
        <f>IFERROR(__xludf.DUMMYFUNCTION("""COMPUTED_VALUE"""),"")</f>
        <v/>
      </c>
      <c r="V754" s="247" t="str">
        <f t="shared" si="6"/>
        <v/>
      </c>
      <c r="W754" s="255" t="str">
        <f>IFERROR(__xludf.DUMMYFUNCTION("""COMPUTED_VALUE"""),"")</f>
        <v/>
      </c>
      <c r="X754" s="249" t="str">
        <f>IFERROR(__xludf.DUMMYFUNCTION("""COMPUTED_VALUE"""),"")</f>
        <v/>
      </c>
      <c r="Y754" s="250" t="str">
        <f t="shared" si="7"/>
        <v/>
      </c>
    </row>
    <row r="755">
      <c r="A755" s="136" t="s">
        <v>133</v>
      </c>
      <c r="B755" s="136"/>
      <c r="C755" s="136" t="s">
        <v>133</v>
      </c>
      <c r="D755" s="136"/>
      <c r="E755" s="256" t="str">
        <f>IFERROR(__xludf.DUMMYFUNCTION("""COMPUTED_VALUE"""),"")</f>
        <v/>
      </c>
      <c r="F755" s="257" t="str">
        <f>IFERROR(__xludf.DUMMYFUNCTION("""COMPUTED_VALUE"""),"")</f>
        <v/>
      </c>
      <c r="G755" s="247" t="str">
        <f t="shared" si="1"/>
        <v/>
      </c>
      <c r="H755" s="258" t="str">
        <f>IFERROR(__xludf.DUMMYFUNCTION("""COMPUTED_VALUE"""),"")</f>
        <v/>
      </c>
      <c r="I755" s="259" t="str">
        <f>IFERROR(__xludf.DUMMYFUNCTION("""COMPUTED_VALUE"""),"")</f>
        <v/>
      </c>
      <c r="J755" s="250" t="str">
        <f t="shared" si="2"/>
        <v/>
      </c>
      <c r="K755" s="317" t="str">
        <f>IFERROR(__xludf.DUMMYFUNCTION("""COMPUTED_VALUE"""),"")</f>
        <v/>
      </c>
      <c r="L755" s="318" t="str">
        <f>IFERROR(__xludf.DUMMYFUNCTION("""COMPUTED_VALUE"""),"")</f>
        <v/>
      </c>
      <c r="M755" s="253" t="str">
        <f t="shared" si="3"/>
        <v/>
      </c>
      <c r="N755" s="319" t="str">
        <f>IFERROR(__xludf.DUMMYFUNCTION("""COMPUTED_VALUE"""),"")</f>
        <v/>
      </c>
      <c r="O755" s="257" t="str">
        <f>IFERROR(__xludf.DUMMYFUNCTION("""COMPUTED_VALUE"""),"")</f>
        <v/>
      </c>
      <c r="P755" s="247" t="str">
        <f t="shared" si="4"/>
        <v/>
      </c>
      <c r="Q755" s="320" t="str">
        <f>IFERROR(__xludf.DUMMYFUNCTION("""COMPUTED_VALUE"""),"")</f>
        <v/>
      </c>
      <c r="R755" s="259" t="str">
        <f>IFERROR(__xludf.DUMMYFUNCTION("""COMPUTED_VALUE"""),"")</f>
        <v/>
      </c>
      <c r="S755" s="250" t="str">
        <f t="shared" si="5"/>
        <v/>
      </c>
      <c r="T755" s="254" t="str">
        <f>IFERROR(__xludf.DUMMYFUNCTION("""COMPUTED_VALUE"""),"")</f>
        <v/>
      </c>
      <c r="U755" s="246" t="str">
        <f>IFERROR(__xludf.DUMMYFUNCTION("""COMPUTED_VALUE"""),"")</f>
        <v/>
      </c>
      <c r="V755" s="247" t="str">
        <f t="shared" si="6"/>
        <v/>
      </c>
      <c r="W755" s="255" t="str">
        <f>IFERROR(__xludf.DUMMYFUNCTION("""COMPUTED_VALUE"""),"")</f>
        <v/>
      </c>
      <c r="X755" s="249" t="str">
        <f>IFERROR(__xludf.DUMMYFUNCTION("""COMPUTED_VALUE"""),"")</f>
        <v/>
      </c>
      <c r="Y755" s="250" t="str">
        <f t="shared" si="7"/>
        <v/>
      </c>
    </row>
    <row r="756">
      <c r="A756" s="136" t="s">
        <v>133</v>
      </c>
      <c r="B756" s="136"/>
      <c r="C756" s="136" t="s">
        <v>133</v>
      </c>
      <c r="D756" s="136"/>
      <c r="E756" s="256" t="str">
        <f>IFERROR(__xludf.DUMMYFUNCTION("""COMPUTED_VALUE"""),"")</f>
        <v/>
      </c>
      <c r="F756" s="257" t="str">
        <f>IFERROR(__xludf.DUMMYFUNCTION("""COMPUTED_VALUE"""),"")</f>
        <v/>
      </c>
      <c r="G756" s="247" t="str">
        <f t="shared" si="1"/>
        <v/>
      </c>
      <c r="H756" s="258" t="str">
        <f>IFERROR(__xludf.DUMMYFUNCTION("""COMPUTED_VALUE"""),"")</f>
        <v/>
      </c>
      <c r="I756" s="259" t="str">
        <f>IFERROR(__xludf.DUMMYFUNCTION("""COMPUTED_VALUE"""),"")</f>
        <v/>
      </c>
      <c r="J756" s="250" t="str">
        <f t="shared" si="2"/>
        <v/>
      </c>
      <c r="K756" s="317" t="str">
        <f>IFERROR(__xludf.DUMMYFUNCTION("""COMPUTED_VALUE"""),"")</f>
        <v/>
      </c>
      <c r="L756" s="318" t="str">
        <f>IFERROR(__xludf.DUMMYFUNCTION("""COMPUTED_VALUE"""),"")</f>
        <v/>
      </c>
      <c r="M756" s="253" t="str">
        <f t="shared" si="3"/>
        <v/>
      </c>
      <c r="N756" s="319" t="str">
        <f>IFERROR(__xludf.DUMMYFUNCTION("""COMPUTED_VALUE"""),"")</f>
        <v/>
      </c>
      <c r="O756" s="257" t="str">
        <f>IFERROR(__xludf.DUMMYFUNCTION("""COMPUTED_VALUE"""),"")</f>
        <v/>
      </c>
      <c r="P756" s="247" t="str">
        <f t="shared" si="4"/>
        <v/>
      </c>
      <c r="Q756" s="320" t="str">
        <f>IFERROR(__xludf.DUMMYFUNCTION("""COMPUTED_VALUE"""),"")</f>
        <v/>
      </c>
      <c r="R756" s="259" t="str">
        <f>IFERROR(__xludf.DUMMYFUNCTION("""COMPUTED_VALUE"""),"")</f>
        <v/>
      </c>
      <c r="S756" s="250" t="str">
        <f t="shared" si="5"/>
        <v/>
      </c>
      <c r="T756" s="254" t="str">
        <f>IFERROR(__xludf.DUMMYFUNCTION("""COMPUTED_VALUE"""),"")</f>
        <v/>
      </c>
      <c r="U756" s="246" t="str">
        <f>IFERROR(__xludf.DUMMYFUNCTION("""COMPUTED_VALUE"""),"")</f>
        <v/>
      </c>
      <c r="V756" s="247" t="str">
        <f t="shared" si="6"/>
        <v/>
      </c>
      <c r="W756" s="255" t="str">
        <f>IFERROR(__xludf.DUMMYFUNCTION("""COMPUTED_VALUE"""),"")</f>
        <v/>
      </c>
      <c r="X756" s="249" t="str">
        <f>IFERROR(__xludf.DUMMYFUNCTION("""COMPUTED_VALUE"""),"")</f>
        <v/>
      </c>
      <c r="Y756" s="250" t="str">
        <f t="shared" si="7"/>
        <v/>
      </c>
    </row>
    <row r="757">
      <c r="A757" s="136" t="s">
        <v>133</v>
      </c>
      <c r="B757" s="136"/>
      <c r="C757" s="136" t="s">
        <v>133</v>
      </c>
      <c r="D757" s="136"/>
      <c r="E757" s="256" t="str">
        <f>IFERROR(__xludf.DUMMYFUNCTION("""COMPUTED_VALUE"""),"")</f>
        <v/>
      </c>
      <c r="F757" s="257" t="str">
        <f>IFERROR(__xludf.DUMMYFUNCTION("""COMPUTED_VALUE"""),"")</f>
        <v/>
      </c>
      <c r="G757" s="247" t="str">
        <f t="shared" si="1"/>
        <v/>
      </c>
      <c r="H757" s="258" t="str">
        <f>IFERROR(__xludf.DUMMYFUNCTION("""COMPUTED_VALUE"""),"")</f>
        <v/>
      </c>
      <c r="I757" s="259" t="str">
        <f>IFERROR(__xludf.DUMMYFUNCTION("""COMPUTED_VALUE"""),"")</f>
        <v/>
      </c>
      <c r="J757" s="250" t="str">
        <f t="shared" si="2"/>
        <v/>
      </c>
      <c r="K757" s="317" t="str">
        <f>IFERROR(__xludf.DUMMYFUNCTION("""COMPUTED_VALUE"""),"")</f>
        <v/>
      </c>
      <c r="L757" s="318" t="str">
        <f>IFERROR(__xludf.DUMMYFUNCTION("""COMPUTED_VALUE"""),"")</f>
        <v/>
      </c>
      <c r="M757" s="253" t="str">
        <f t="shared" si="3"/>
        <v/>
      </c>
      <c r="N757" s="319" t="str">
        <f>IFERROR(__xludf.DUMMYFUNCTION("""COMPUTED_VALUE"""),"")</f>
        <v/>
      </c>
      <c r="O757" s="257" t="str">
        <f>IFERROR(__xludf.DUMMYFUNCTION("""COMPUTED_VALUE"""),"")</f>
        <v/>
      </c>
      <c r="P757" s="247" t="str">
        <f t="shared" si="4"/>
        <v/>
      </c>
      <c r="Q757" s="320" t="str">
        <f>IFERROR(__xludf.DUMMYFUNCTION("""COMPUTED_VALUE"""),"")</f>
        <v/>
      </c>
      <c r="R757" s="259" t="str">
        <f>IFERROR(__xludf.DUMMYFUNCTION("""COMPUTED_VALUE"""),"")</f>
        <v/>
      </c>
      <c r="S757" s="250" t="str">
        <f t="shared" si="5"/>
        <v/>
      </c>
      <c r="T757" s="254" t="str">
        <f>IFERROR(__xludf.DUMMYFUNCTION("""COMPUTED_VALUE"""),"")</f>
        <v/>
      </c>
      <c r="U757" s="246" t="str">
        <f>IFERROR(__xludf.DUMMYFUNCTION("""COMPUTED_VALUE"""),"")</f>
        <v/>
      </c>
      <c r="V757" s="247" t="str">
        <f t="shared" si="6"/>
        <v/>
      </c>
      <c r="W757" s="255" t="str">
        <f>IFERROR(__xludf.DUMMYFUNCTION("""COMPUTED_VALUE"""),"")</f>
        <v/>
      </c>
      <c r="X757" s="249" t="str">
        <f>IFERROR(__xludf.DUMMYFUNCTION("""COMPUTED_VALUE"""),"")</f>
        <v/>
      </c>
      <c r="Y757" s="250" t="str">
        <f t="shared" si="7"/>
        <v/>
      </c>
    </row>
    <row r="758">
      <c r="A758" s="136" t="s">
        <v>133</v>
      </c>
      <c r="B758" s="136"/>
      <c r="C758" s="136" t="s">
        <v>133</v>
      </c>
      <c r="D758" s="136"/>
      <c r="E758" s="256" t="str">
        <f>IFERROR(__xludf.DUMMYFUNCTION("""COMPUTED_VALUE"""),"")</f>
        <v/>
      </c>
      <c r="F758" s="257" t="str">
        <f>IFERROR(__xludf.DUMMYFUNCTION("""COMPUTED_VALUE"""),"")</f>
        <v/>
      </c>
      <c r="G758" s="247" t="str">
        <f t="shared" si="1"/>
        <v/>
      </c>
      <c r="H758" s="258" t="str">
        <f>IFERROR(__xludf.DUMMYFUNCTION("""COMPUTED_VALUE"""),"")</f>
        <v/>
      </c>
      <c r="I758" s="259" t="str">
        <f>IFERROR(__xludf.DUMMYFUNCTION("""COMPUTED_VALUE"""),"")</f>
        <v/>
      </c>
      <c r="J758" s="250" t="str">
        <f t="shared" si="2"/>
        <v/>
      </c>
      <c r="K758" s="317" t="str">
        <f>IFERROR(__xludf.DUMMYFUNCTION("""COMPUTED_VALUE"""),"")</f>
        <v/>
      </c>
      <c r="L758" s="318" t="str">
        <f>IFERROR(__xludf.DUMMYFUNCTION("""COMPUTED_VALUE"""),"")</f>
        <v/>
      </c>
      <c r="M758" s="253" t="str">
        <f t="shared" si="3"/>
        <v/>
      </c>
      <c r="N758" s="319" t="str">
        <f>IFERROR(__xludf.DUMMYFUNCTION("""COMPUTED_VALUE"""),"")</f>
        <v/>
      </c>
      <c r="O758" s="257" t="str">
        <f>IFERROR(__xludf.DUMMYFUNCTION("""COMPUTED_VALUE"""),"")</f>
        <v/>
      </c>
      <c r="P758" s="247" t="str">
        <f t="shared" si="4"/>
        <v/>
      </c>
      <c r="Q758" s="320" t="str">
        <f>IFERROR(__xludf.DUMMYFUNCTION("""COMPUTED_VALUE"""),"")</f>
        <v/>
      </c>
      <c r="R758" s="259" t="str">
        <f>IFERROR(__xludf.DUMMYFUNCTION("""COMPUTED_VALUE"""),"")</f>
        <v/>
      </c>
      <c r="S758" s="250" t="str">
        <f t="shared" si="5"/>
        <v/>
      </c>
      <c r="T758" s="254" t="str">
        <f>IFERROR(__xludf.DUMMYFUNCTION("""COMPUTED_VALUE"""),"")</f>
        <v/>
      </c>
      <c r="U758" s="246" t="str">
        <f>IFERROR(__xludf.DUMMYFUNCTION("""COMPUTED_VALUE"""),"")</f>
        <v/>
      </c>
      <c r="V758" s="247" t="str">
        <f t="shared" si="6"/>
        <v/>
      </c>
      <c r="W758" s="255" t="str">
        <f>IFERROR(__xludf.DUMMYFUNCTION("""COMPUTED_VALUE"""),"")</f>
        <v/>
      </c>
      <c r="X758" s="249" t="str">
        <f>IFERROR(__xludf.DUMMYFUNCTION("""COMPUTED_VALUE"""),"")</f>
        <v/>
      </c>
      <c r="Y758" s="250" t="str">
        <f t="shared" si="7"/>
        <v/>
      </c>
    </row>
    <row r="759">
      <c r="A759" s="136" t="s">
        <v>133</v>
      </c>
      <c r="B759" s="136"/>
      <c r="C759" s="136" t="s">
        <v>133</v>
      </c>
      <c r="D759" s="136"/>
      <c r="E759" s="256" t="str">
        <f>IFERROR(__xludf.DUMMYFUNCTION("""COMPUTED_VALUE"""),"")</f>
        <v/>
      </c>
      <c r="F759" s="257" t="str">
        <f>IFERROR(__xludf.DUMMYFUNCTION("""COMPUTED_VALUE"""),"")</f>
        <v/>
      </c>
      <c r="G759" s="247" t="str">
        <f t="shared" si="1"/>
        <v/>
      </c>
      <c r="H759" s="258" t="str">
        <f>IFERROR(__xludf.DUMMYFUNCTION("""COMPUTED_VALUE"""),"")</f>
        <v/>
      </c>
      <c r="I759" s="259" t="str">
        <f>IFERROR(__xludf.DUMMYFUNCTION("""COMPUTED_VALUE"""),"")</f>
        <v/>
      </c>
      <c r="J759" s="250" t="str">
        <f t="shared" si="2"/>
        <v/>
      </c>
      <c r="K759" s="317" t="str">
        <f>IFERROR(__xludf.DUMMYFUNCTION("""COMPUTED_VALUE"""),"")</f>
        <v/>
      </c>
      <c r="L759" s="318" t="str">
        <f>IFERROR(__xludf.DUMMYFUNCTION("""COMPUTED_VALUE"""),"")</f>
        <v/>
      </c>
      <c r="M759" s="253" t="str">
        <f t="shared" si="3"/>
        <v/>
      </c>
      <c r="N759" s="319" t="str">
        <f>IFERROR(__xludf.DUMMYFUNCTION("""COMPUTED_VALUE"""),"")</f>
        <v/>
      </c>
      <c r="O759" s="257" t="str">
        <f>IFERROR(__xludf.DUMMYFUNCTION("""COMPUTED_VALUE"""),"")</f>
        <v/>
      </c>
      <c r="P759" s="247" t="str">
        <f t="shared" si="4"/>
        <v/>
      </c>
      <c r="Q759" s="320" t="str">
        <f>IFERROR(__xludf.DUMMYFUNCTION("""COMPUTED_VALUE"""),"")</f>
        <v/>
      </c>
      <c r="R759" s="259" t="str">
        <f>IFERROR(__xludf.DUMMYFUNCTION("""COMPUTED_VALUE"""),"")</f>
        <v/>
      </c>
      <c r="S759" s="250" t="str">
        <f t="shared" si="5"/>
        <v/>
      </c>
      <c r="T759" s="254" t="str">
        <f>IFERROR(__xludf.DUMMYFUNCTION("""COMPUTED_VALUE"""),"")</f>
        <v/>
      </c>
      <c r="U759" s="246" t="str">
        <f>IFERROR(__xludf.DUMMYFUNCTION("""COMPUTED_VALUE"""),"")</f>
        <v/>
      </c>
      <c r="V759" s="247" t="str">
        <f t="shared" si="6"/>
        <v/>
      </c>
      <c r="W759" s="255" t="str">
        <f>IFERROR(__xludf.DUMMYFUNCTION("""COMPUTED_VALUE"""),"")</f>
        <v/>
      </c>
      <c r="X759" s="249" t="str">
        <f>IFERROR(__xludf.DUMMYFUNCTION("""COMPUTED_VALUE"""),"")</f>
        <v/>
      </c>
      <c r="Y759" s="250" t="str">
        <f t="shared" si="7"/>
        <v/>
      </c>
    </row>
    <row r="760">
      <c r="A760" s="136" t="s">
        <v>133</v>
      </c>
      <c r="B760" s="136"/>
      <c r="C760" s="136" t="s">
        <v>133</v>
      </c>
      <c r="D760" s="136"/>
      <c r="E760" s="256" t="str">
        <f>IFERROR(__xludf.DUMMYFUNCTION("""COMPUTED_VALUE"""),"")</f>
        <v/>
      </c>
      <c r="F760" s="257" t="str">
        <f>IFERROR(__xludf.DUMMYFUNCTION("""COMPUTED_VALUE"""),"")</f>
        <v/>
      </c>
      <c r="G760" s="247" t="str">
        <f t="shared" si="1"/>
        <v/>
      </c>
      <c r="H760" s="258" t="str">
        <f>IFERROR(__xludf.DUMMYFUNCTION("""COMPUTED_VALUE"""),"")</f>
        <v/>
      </c>
      <c r="I760" s="259" t="str">
        <f>IFERROR(__xludf.DUMMYFUNCTION("""COMPUTED_VALUE"""),"")</f>
        <v/>
      </c>
      <c r="J760" s="250" t="str">
        <f t="shared" si="2"/>
        <v/>
      </c>
      <c r="K760" s="317" t="str">
        <f>IFERROR(__xludf.DUMMYFUNCTION("""COMPUTED_VALUE"""),"")</f>
        <v/>
      </c>
      <c r="L760" s="318" t="str">
        <f>IFERROR(__xludf.DUMMYFUNCTION("""COMPUTED_VALUE"""),"")</f>
        <v/>
      </c>
      <c r="M760" s="253" t="str">
        <f t="shared" si="3"/>
        <v/>
      </c>
      <c r="N760" s="319" t="str">
        <f>IFERROR(__xludf.DUMMYFUNCTION("""COMPUTED_VALUE"""),"")</f>
        <v/>
      </c>
      <c r="O760" s="257" t="str">
        <f>IFERROR(__xludf.DUMMYFUNCTION("""COMPUTED_VALUE"""),"")</f>
        <v/>
      </c>
      <c r="P760" s="247" t="str">
        <f t="shared" si="4"/>
        <v/>
      </c>
      <c r="Q760" s="320" t="str">
        <f>IFERROR(__xludf.DUMMYFUNCTION("""COMPUTED_VALUE"""),"")</f>
        <v/>
      </c>
      <c r="R760" s="259" t="str">
        <f>IFERROR(__xludf.DUMMYFUNCTION("""COMPUTED_VALUE"""),"")</f>
        <v/>
      </c>
      <c r="S760" s="250" t="str">
        <f t="shared" si="5"/>
        <v/>
      </c>
      <c r="T760" s="254" t="str">
        <f>IFERROR(__xludf.DUMMYFUNCTION("""COMPUTED_VALUE"""),"")</f>
        <v/>
      </c>
      <c r="U760" s="246" t="str">
        <f>IFERROR(__xludf.DUMMYFUNCTION("""COMPUTED_VALUE"""),"")</f>
        <v/>
      </c>
      <c r="V760" s="247" t="str">
        <f t="shared" si="6"/>
        <v/>
      </c>
      <c r="W760" s="255" t="str">
        <f>IFERROR(__xludf.DUMMYFUNCTION("""COMPUTED_VALUE"""),"")</f>
        <v/>
      </c>
      <c r="X760" s="249" t="str">
        <f>IFERROR(__xludf.DUMMYFUNCTION("""COMPUTED_VALUE"""),"")</f>
        <v/>
      </c>
      <c r="Y760" s="250" t="str">
        <f t="shared" si="7"/>
        <v/>
      </c>
    </row>
    <row r="761">
      <c r="A761" s="136" t="s">
        <v>133</v>
      </c>
      <c r="B761" s="136"/>
      <c r="C761" s="136" t="s">
        <v>133</v>
      </c>
      <c r="D761" s="136"/>
      <c r="E761" s="256" t="str">
        <f>IFERROR(__xludf.DUMMYFUNCTION("""COMPUTED_VALUE"""),"")</f>
        <v/>
      </c>
      <c r="F761" s="257" t="str">
        <f>IFERROR(__xludf.DUMMYFUNCTION("""COMPUTED_VALUE"""),"")</f>
        <v/>
      </c>
      <c r="G761" s="247" t="str">
        <f t="shared" si="1"/>
        <v/>
      </c>
      <c r="H761" s="258" t="str">
        <f>IFERROR(__xludf.DUMMYFUNCTION("""COMPUTED_VALUE"""),"")</f>
        <v/>
      </c>
      <c r="I761" s="259" t="str">
        <f>IFERROR(__xludf.DUMMYFUNCTION("""COMPUTED_VALUE"""),"")</f>
        <v/>
      </c>
      <c r="J761" s="250" t="str">
        <f t="shared" si="2"/>
        <v/>
      </c>
      <c r="K761" s="317" t="str">
        <f>IFERROR(__xludf.DUMMYFUNCTION("""COMPUTED_VALUE"""),"")</f>
        <v/>
      </c>
      <c r="L761" s="318" t="str">
        <f>IFERROR(__xludf.DUMMYFUNCTION("""COMPUTED_VALUE"""),"")</f>
        <v/>
      </c>
      <c r="M761" s="253" t="str">
        <f t="shared" si="3"/>
        <v/>
      </c>
      <c r="N761" s="319" t="str">
        <f>IFERROR(__xludf.DUMMYFUNCTION("""COMPUTED_VALUE"""),"")</f>
        <v/>
      </c>
      <c r="O761" s="257" t="str">
        <f>IFERROR(__xludf.DUMMYFUNCTION("""COMPUTED_VALUE"""),"")</f>
        <v/>
      </c>
      <c r="P761" s="247" t="str">
        <f t="shared" si="4"/>
        <v/>
      </c>
      <c r="Q761" s="320" t="str">
        <f>IFERROR(__xludf.DUMMYFUNCTION("""COMPUTED_VALUE"""),"")</f>
        <v/>
      </c>
      <c r="R761" s="259" t="str">
        <f>IFERROR(__xludf.DUMMYFUNCTION("""COMPUTED_VALUE"""),"")</f>
        <v/>
      </c>
      <c r="S761" s="250" t="str">
        <f t="shared" si="5"/>
        <v/>
      </c>
      <c r="T761" s="254" t="str">
        <f>IFERROR(__xludf.DUMMYFUNCTION("""COMPUTED_VALUE"""),"")</f>
        <v/>
      </c>
      <c r="U761" s="246" t="str">
        <f>IFERROR(__xludf.DUMMYFUNCTION("""COMPUTED_VALUE"""),"")</f>
        <v/>
      </c>
      <c r="V761" s="247" t="str">
        <f t="shared" si="6"/>
        <v/>
      </c>
      <c r="W761" s="255" t="str">
        <f>IFERROR(__xludf.DUMMYFUNCTION("""COMPUTED_VALUE"""),"")</f>
        <v/>
      </c>
      <c r="X761" s="249" t="str">
        <f>IFERROR(__xludf.DUMMYFUNCTION("""COMPUTED_VALUE"""),"")</f>
        <v/>
      </c>
      <c r="Y761" s="250" t="str">
        <f t="shared" si="7"/>
        <v/>
      </c>
    </row>
    <row r="762">
      <c r="A762" s="136" t="s">
        <v>133</v>
      </c>
      <c r="B762" s="136"/>
      <c r="C762" s="136" t="s">
        <v>133</v>
      </c>
      <c r="D762" s="136"/>
      <c r="E762" s="256" t="str">
        <f>IFERROR(__xludf.DUMMYFUNCTION("""COMPUTED_VALUE"""),"")</f>
        <v/>
      </c>
      <c r="F762" s="257" t="str">
        <f>IFERROR(__xludf.DUMMYFUNCTION("""COMPUTED_VALUE"""),"")</f>
        <v/>
      </c>
      <c r="G762" s="247" t="str">
        <f t="shared" si="1"/>
        <v/>
      </c>
      <c r="H762" s="258" t="str">
        <f>IFERROR(__xludf.DUMMYFUNCTION("""COMPUTED_VALUE"""),"")</f>
        <v/>
      </c>
      <c r="I762" s="259" t="str">
        <f>IFERROR(__xludf.DUMMYFUNCTION("""COMPUTED_VALUE"""),"")</f>
        <v/>
      </c>
      <c r="J762" s="250" t="str">
        <f t="shared" si="2"/>
        <v/>
      </c>
      <c r="K762" s="317" t="str">
        <f>IFERROR(__xludf.DUMMYFUNCTION("""COMPUTED_VALUE"""),"")</f>
        <v/>
      </c>
      <c r="L762" s="318" t="str">
        <f>IFERROR(__xludf.DUMMYFUNCTION("""COMPUTED_VALUE"""),"")</f>
        <v/>
      </c>
      <c r="M762" s="253" t="str">
        <f t="shared" si="3"/>
        <v/>
      </c>
      <c r="N762" s="319" t="str">
        <f>IFERROR(__xludf.DUMMYFUNCTION("""COMPUTED_VALUE"""),"")</f>
        <v/>
      </c>
      <c r="O762" s="257" t="str">
        <f>IFERROR(__xludf.DUMMYFUNCTION("""COMPUTED_VALUE"""),"")</f>
        <v/>
      </c>
      <c r="P762" s="247" t="str">
        <f t="shared" si="4"/>
        <v/>
      </c>
      <c r="Q762" s="320" t="str">
        <f>IFERROR(__xludf.DUMMYFUNCTION("""COMPUTED_VALUE"""),"")</f>
        <v/>
      </c>
      <c r="R762" s="259" t="str">
        <f>IFERROR(__xludf.DUMMYFUNCTION("""COMPUTED_VALUE"""),"")</f>
        <v/>
      </c>
      <c r="S762" s="250" t="str">
        <f t="shared" si="5"/>
        <v/>
      </c>
      <c r="T762" s="254" t="str">
        <f>IFERROR(__xludf.DUMMYFUNCTION("""COMPUTED_VALUE"""),"")</f>
        <v/>
      </c>
      <c r="U762" s="246" t="str">
        <f>IFERROR(__xludf.DUMMYFUNCTION("""COMPUTED_VALUE"""),"")</f>
        <v/>
      </c>
      <c r="V762" s="247" t="str">
        <f t="shared" si="6"/>
        <v/>
      </c>
      <c r="W762" s="255" t="str">
        <f>IFERROR(__xludf.DUMMYFUNCTION("""COMPUTED_VALUE"""),"")</f>
        <v/>
      </c>
      <c r="X762" s="249" t="str">
        <f>IFERROR(__xludf.DUMMYFUNCTION("""COMPUTED_VALUE"""),"")</f>
        <v/>
      </c>
      <c r="Y762" s="250" t="str">
        <f t="shared" si="7"/>
        <v/>
      </c>
    </row>
    <row r="763">
      <c r="A763" s="136" t="s">
        <v>133</v>
      </c>
      <c r="B763" s="136"/>
      <c r="C763" s="136" t="s">
        <v>133</v>
      </c>
      <c r="D763" s="136"/>
      <c r="E763" s="256" t="str">
        <f>IFERROR(__xludf.DUMMYFUNCTION("""COMPUTED_VALUE"""),"")</f>
        <v/>
      </c>
      <c r="F763" s="257" t="str">
        <f>IFERROR(__xludf.DUMMYFUNCTION("""COMPUTED_VALUE"""),"")</f>
        <v/>
      </c>
      <c r="G763" s="247" t="str">
        <f t="shared" si="1"/>
        <v/>
      </c>
      <c r="H763" s="258" t="str">
        <f>IFERROR(__xludf.DUMMYFUNCTION("""COMPUTED_VALUE"""),"")</f>
        <v/>
      </c>
      <c r="I763" s="259" t="str">
        <f>IFERROR(__xludf.DUMMYFUNCTION("""COMPUTED_VALUE"""),"")</f>
        <v/>
      </c>
      <c r="J763" s="250" t="str">
        <f t="shared" si="2"/>
        <v/>
      </c>
      <c r="K763" s="317" t="str">
        <f>IFERROR(__xludf.DUMMYFUNCTION("""COMPUTED_VALUE"""),"")</f>
        <v/>
      </c>
      <c r="L763" s="318" t="str">
        <f>IFERROR(__xludf.DUMMYFUNCTION("""COMPUTED_VALUE"""),"")</f>
        <v/>
      </c>
      <c r="M763" s="253" t="str">
        <f t="shared" si="3"/>
        <v/>
      </c>
      <c r="N763" s="319" t="str">
        <f>IFERROR(__xludf.DUMMYFUNCTION("""COMPUTED_VALUE"""),"")</f>
        <v/>
      </c>
      <c r="O763" s="257" t="str">
        <f>IFERROR(__xludf.DUMMYFUNCTION("""COMPUTED_VALUE"""),"")</f>
        <v/>
      </c>
      <c r="P763" s="247" t="str">
        <f t="shared" si="4"/>
        <v/>
      </c>
      <c r="Q763" s="320" t="str">
        <f>IFERROR(__xludf.DUMMYFUNCTION("""COMPUTED_VALUE"""),"")</f>
        <v/>
      </c>
      <c r="R763" s="259" t="str">
        <f>IFERROR(__xludf.DUMMYFUNCTION("""COMPUTED_VALUE"""),"")</f>
        <v/>
      </c>
      <c r="S763" s="250" t="str">
        <f t="shared" si="5"/>
        <v/>
      </c>
      <c r="T763" s="254" t="str">
        <f>IFERROR(__xludf.DUMMYFUNCTION("""COMPUTED_VALUE"""),"")</f>
        <v/>
      </c>
      <c r="U763" s="246" t="str">
        <f>IFERROR(__xludf.DUMMYFUNCTION("""COMPUTED_VALUE"""),"")</f>
        <v/>
      </c>
      <c r="V763" s="247" t="str">
        <f t="shared" si="6"/>
        <v/>
      </c>
      <c r="W763" s="255" t="str">
        <f>IFERROR(__xludf.DUMMYFUNCTION("""COMPUTED_VALUE"""),"")</f>
        <v/>
      </c>
      <c r="X763" s="249" t="str">
        <f>IFERROR(__xludf.DUMMYFUNCTION("""COMPUTED_VALUE"""),"")</f>
        <v/>
      </c>
      <c r="Y763" s="250" t="str">
        <f t="shared" si="7"/>
        <v/>
      </c>
    </row>
    <row r="764">
      <c r="A764" s="136" t="s">
        <v>133</v>
      </c>
      <c r="B764" s="136"/>
      <c r="C764" s="136" t="s">
        <v>133</v>
      </c>
      <c r="D764" s="136"/>
      <c r="E764" s="256" t="str">
        <f>IFERROR(__xludf.DUMMYFUNCTION("""COMPUTED_VALUE"""),"")</f>
        <v/>
      </c>
      <c r="F764" s="257" t="str">
        <f>IFERROR(__xludf.DUMMYFUNCTION("""COMPUTED_VALUE"""),"")</f>
        <v/>
      </c>
      <c r="G764" s="247" t="str">
        <f t="shared" si="1"/>
        <v/>
      </c>
      <c r="H764" s="258" t="str">
        <f>IFERROR(__xludf.DUMMYFUNCTION("""COMPUTED_VALUE"""),"")</f>
        <v/>
      </c>
      <c r="I764" s="259" t="str">
        <f>IFERROR(__xludf.DUMMYFUNCTION("""COMPUTED_VALUE"""),"")</f>
        <v/>
      </c>
      <c r="J764" s="250" t="str">
        <f t="shared" si="2"/>
        <v/>
      </c>
      <c r="K764" s="317" t="str">
        <f>IFERROR(__xludf.DUMMYFUNCTION("""COMPUTED_VALUE"""),"")</f>
        <v/>
      </c>
      <c r="L764" s="318" t="str">
        <f>IFERROR(__xludf.DUMMYFUNCTION("""COMPUTED_VALUE"""),"")</f>
        <v/>
      </c>
      <c r="M764" s="253" t="str">
        <f t="shared" si="3"/>
        <v/>
      </c>
      <c r="N764" s="319" t="str">
        <f>IFERROR(__xludf.DUMMYFUNCTION("""COMPUTED_VALUE"""),"")</f>
        <v/>
      </c>
      <c r="O764" s="257" t="str">
        <f>IFERROR(__xludf.DUMMYFUNCTION("""COMPUTED_VALUE"""),"")</f>
        <v/>
      </c>
      <c r="P764" s="247" t="str">
        <f t="shared" si="4"/>
        <v/>
      </c>
      <c r="Q764" s="320" t="str">
        <f>IFERROR(__xludf.DUMMYFUNCTION("""COMPUTED_VALUE"""),"")</f>
        <v/>
      </c>
      <c r="R764" s="259" t="str">
        <f>IFERROR(__xludf.DUMMYFUNCTION("""COMPUTED_VALUE"""),"")</f>
        <v/>
      </c>
      <c r="S764" s="250" t="str">
        <f t="shared" si="5"/>
        <v/>
      </c>
      <c r="T764" s="254" t="str">
        <f>IFERROR(__xludf.DUMMYFUNCTION("""COMPUTED_VALUE"""),"")</f>
        <v/>
      </c>
      <c r="U764" s="246" t="str">
        <f>IFERROR(__xludf.DUMMYFUNCTION("""COMPUTED_VALUE"""),"")</f>
        <v/>
      </c>
      <c r="V764" s="247" t="str">
        <f t="shared" si="6"/>
        <v/>
      </c>
      <c r="W764" s="255" t="str">
        <f>IFERROR(__xludf.DUMMYFUNCTION("""COMPUTED_VALUE"""),"")</f>
        <v/>
      </c>
      <c r="X764" s="249" t="str">
        <f>IFERROR(__xludf.DUMMYFUNCTION("""COMPUTED_VALUE"""),"")</f>
        <v/>
      </c>
      <c r="Y764" s="250" t="str">
        <f t="shared" si="7"/>
        <v/>
      </c>
    </row>
    <row r="765">
      <c r="A765" s="136" t="s">
        <v>133</v>
      </c>
      <c r="B765" s="136"/>
      <c r="C765" s="136" t="s">
        <v>133</v>
      </c>
      <c r="D765" s="136"/>
      <c r="E765" s="256" t="str">
        <f>IFERROR(__xludf.DUMMYFUNCTION("""COMPUTED_VALUE"""),"")</f>
        <v/>
      </c>
      <c r="F765" s="257" t="str">
        <f>IFERROR(__xludf.DUMMYFUNCTION("""COMPUTED_VALUE"""),"")</f>
        <v/>
      </c>
      <c r="G765" s="247" t="str">
        <f t="shared" si="1"/>
        <v/>
      </c>
      <c r="H765" s="258" t="str">
        <f>IFERROR(__xludf.DUMMYFUNCTION("""COMPUTED_VALUE"""),"")</f>
        <v/>
      </c>
      <c r="I765" s="259" t="str">
        <f>IFERROR(__xludf.DUMMYFUNCTION("""COMPUTED_VALUE"""),"")</f>
        <v/>
      </c>
      <c r="J765" s="250" t="str">
        <f t="shared" si="2"/>
        <v/>
      </c>
      <c r="K765" s="317" t="str">
        <f>IFERROR(__xludf.DUMMYFUNCTION("""COMPUTED_VALUE"""),"")</f>
        <v/>
      </c>
      <c r="L765" s="318" t="str">
        <f>IFERROR(__xludf.DUMMYFUNCTION("""COMPUTED_VALUE"""),"")</f>
        <v/>
      </c>
      <c r="M765" s="253" t="str">
        <f t="shared" si="3"/>
        <v/>
      </c>
      <c r="N765" s="319" t="str">
        <f>IFERROR(__xludf.DUMMYFUNCTION("""COMPUTED_VALUE"""),"")</f>
        <v/>
      </c>
      <c r="O765" s="257" t="str">
        <f>IFERROR(__xludf.DUMMYFUNCTION("""COMPUTED_VALUE"""),"")</f>
        <v/>
      </c>
      <c r="P765" s="247" t="str">
        <f t="shared" si="4"/>
        <v/>
      </c>
      <c r="Q765" s="320" t="str">
        <f>IFERROR(__xludf.DUMMYFUNCTION("""COMPUTED_VALUE"""),"")</f>
        <v/>
      </c>
      <c r="R765" s="259" t="str">
        <f>IFERROR(__xludf.DUMMYFUNCTION("""COMPUTED_VALUE"""),"")</f>
        <v/>
      </c>
      <c r="S765" s="250" t="str">
        <f t="shared" si="5"/>
        <v/>
      </c>
      <c r="T765" s="254" t="str">
        <f>IFERROR(__xludf.DUMMYFUNCTION("""COMPUTED_VALUE"""),"")</f>
        <v/>
      </c>
      <c r="U765" s="246" t="str">
        <f>IFERROR(__xludf.DUMMYFUNCTION("""COMPUTED_VALUE"""),"")</f>
        <v/>
      </c>
      <c r="V765" s="247" t="str">
        <f t="shared" si="6"/>
        <v/>
      </c>
      <c r="W765" s="255" t="str">
        <f>IFERROR(__xludf.DUMMYFUNCTION("""COMPUTED_VALUE"""),"")</f>
        <v/>
      </c>
      <c r="X765" s="249" t="str">
        <f>IFERROR(__xludf.DUMMYFUNCTION("""COMPUTED_VALUE"""),"")</f>
        <v/>
      </c>
      <c r="Y765" s="250" t="str">
        <f t="shared" si="7"/>
        <v/>
      </c>
    </row>
    <row r="766">
      <c r="A766" s="136" t="s">
        <v>133</v>
      </c>
      <c r="B766" s="136"/>
      <c r="C766" s="136" t="s">
        <v>133</v>
      </c>
      <c r="D766" s="136"/>
      <c r="E766" s="256" t="str">
        <f>IFERROR(__xludf.DUMMYFUNCTION("""COMPUTED_VALUE"""),"")</f>
        <v/>
      </c>
      <c r="F766" s="257" t="str">
        <f>IFERROR(__xludf.DUMMYFUNCTION("""COMPUTED_VALUE"""),"")</f>
        <v/>
      </c>
      <c r="G766" s="247" t="str">
        <f t="shared" si="1"/>
        <v/>
      </c>
      <c r="H766" s="258" t="str">
        <f>IFERROR(__xludf.DUMMYFUNCTION("""COMPUTED_VALUE"""),"")</f>
        <v/>
      </c>
      <c r="I766" s="259" t="str">
        <f>IFERROR(__xludf.DUMMYFUNCTION("""COMPUTED_VALUE"""),"")</f>
        <v/>
      </c>
      <c r="J766" s="250" t="str">
        <f t="shared" si="2"/>
        <v/>
      </c>
      <c r="K766" s="317" t="str">
        <f>IFERROR(__xludf.DUMMYFUNCTION("""COMPUTED_VALUE"""),"")</f>
        <v/>
      </c>
      <c r="L766" s="318" t="str">
        <f>IFERROR(__xludf.DUMMYFUNCTION("""COMPUTED_VALUE"""),"")</f>
        <v/>
      </c>
      <c r="M766" s="253" t="str">
        <f t="shared" si="3"/>
        <v/>
      </c>
      <c r="N766" s="319" t="str">
        <f>IFERROR(__xludf.DUMMYFUNCTION("""COMPUTED_VALUE"""),"")</f>
        <v/>
      </c>
      <c r="O766" s="257" t="str">
        <f>IFERROR(__xludf.DUMMYFUNCTION("""COMPUTED_VALUE"""),"")</f>
        <v/>
      </c>
      <c r="P766" s="247" t="str">
        <f t="shared" si="4"/>
        <v/>
      </c>
      <c r="Q766" s="320" t="str">
        <f>IFERROR(__xludf.DUMMYFUNCTION("""COMPUTED_VALUE"""),"")</f>
        <v/>
      </c>
      <c r="R766" s="259" t="str">
        <f>IFERROR(__xludf.DUMMYFUNCTION("""COMPUTED_VALUE"""),"")</f>
        <v/>
      </c>
      <c r="S766" s="250" t="str">
        <f t="shared" si="5"/>
        <v/>
      </c>
      <c r="T766" s="254" t="str">
        <f>IFERROR(__xludf.DUMMYFUNCTION("""COMPUTED_VALUE"""),"")</f>
        <v/>
      </c>
      <c r="U766" s="246" t="str">
        <f>IFERROR(__xludf.DUMMYFUNCTION("""COMPUTED_VALUE"""),"")</f>
        <v/>
      </c>
      <c r="V766" s="247" t="str">
        <f t="shared" si="6"/>
        <v/>
      </c>
      <c r="W766" s="255" t="str">
        <f>IFERROR(__xludf.DUMMYFUNCTION("""COMPUTED_VALUE"""),"")</f>
        <v/>
      </c>
      <c r="X766" s="249" t="str">
        <f>IFERROR(__xludf.DUMMYFUNCTION("""COMPUTED_VALUE"""),"")</f>
        <v/>
      </c>
      <c r="Y766" s="250" t="str">
        <f t="shared" si="7"/>
        <v/>
      </c>
    </row>
    <row r="767">
      <c r="A767" s="136" t="s">
        <v>133</v>
      </c>
      <c r="B767" s="136"/>
      <c r="C767" s="136" t="s">
        <v>133</v>
      </c>
      <c r="D767" s="136"/>
      <c r="E767" s="256" t="str">
        <f>IFERROR(__xludf.DUMMYFUNCTION("""COMPUTED_VALUE"""),"")</f>
        <v/>
      </c>
      <c r="F767" s="257" t="str">
        <f>IFERROR(__xludf.DUMMYFUNCTION("""COMPUTED_VALUE"""),"")</f>
        <v/>
      </c>
      <c r="G767" s="247" t="str">
        <f t="shared" si="1"/>
        <v/>
      </c>
      <c r="H767" s="258" t="str">
        <f>IFERROR(__xludf.DUMMYFUNCTION("""COMPUTED_VALUE"""),"")</f>
        <v/>
      </c>
      <c r="I767" s="259" t="str">
        <f>IFERROR(__xludf.DUMMYFUNCTION("""COMPUTED_VALUE"""),"")</f>
        <v/>
      </c>
      <c r="J767" s="250" t="str">
        <f t="shared" si="2"/>
        <v/>
      </c>
      <c r="K767" s="317" t="str">
        <f>IFERROR(__xludf.DUMMYFUNCTION("""COMPUTED_VALUE"""),"")</f>
        <v/>
      </c>
      <c r="L767" s="318" t="str">
        <f>IFERROR(__xludf.DUMMYFUNCTION("""COMPUTED_VALUE"""),"")</f>
        <v/>
      </c>
      <c r="M767" s="253" t="str">
        <f t="shared" si="3"/>
        <v/>
      </c>
      <c r="N767" s="319" t="str">
        <f>IFERROR(__xludf.DUMMYFUNCTION("""COMPUTED_VALUE"""),"")</f>
        <v/>
      </c>
      <c r="O767" s="257" t="str">
        <f>IFERROR(__xludf.DUMMYFUNCTION("""COMPUTED_VALUE"""),"")</f>
        <v/>
      </c>
      <c r="P767" s="247" t="str">
        <f t="shared" si="4"/>
        <v/>
      </c>
      <c r="Q767" s="320" t="str">
        <f>IFERROR(__xludf.DUMMYFUNCTION("""COMPUTED_VALUE"""),"")</f>
        <v/>
      </c>
      <c r="R767" s="259" t="str">
        <f>IFERROR(__xludf.DUMMYFUNCTION("""COMPUTED_VALUE"""),"")</f>
        <v/>
      </c>
      <c r="S767" s="250" t="str">
        <f t="shared" si="5"/>
        <v/>
      </c>
      <c r="T767" s="254" t="str">
        <f>IFERROR(__xludf.DUMMYFUNCTION("""COMPUTED_VALUE"""),"")</f>
        <v/>
      </c>
      <c r="U767" s="246" t="str">
        <f>IFERROR(__xludf.DUMMYFUNCTION("""COMPUTED_VALUE"""),"")</f>
        <v/>
      </c>
      <c r="V767" s="247" t="str">
        <f t="shared" si="6"/>
        <v/>
      </c>
      <c r="W767" s="255" t="str">
        <f>IFERROR(__xludf.DUMMYFUNCTION("""COMPUTED_VALUE"""),"")</f>
        <v/>
      </c>
      <c r="X767" s="249" t="str">
        <f>IFERROR(__xludf.DUMMYFUNCTION("""COMPUTED_VALUE"""),"")</f>
        <v/>
      </c>
      <c r="Y767" s="250" t="str">
        <f t="shared" si="7"/>
        <v/>
      </c>
    </row>
    <row r="768">
      <c r="A768" s="136" t="s">
        <v>133</v>
      </c>
      <c r="B768" s="136"/>
      <c r="C768" s="136" t="s">
        <v>133</v>
      </c>
      <c r="D768" s="136"/>
      <c r="E768" s="256" t="str">
        <f>IFERROR(__xludf.DUMMYFUNCTION("""COMPUTED_VALUE"""),"")</f>
        <v/>
      </c>
      <c r="F768" s="257" t="str">
        <f>IFERROR(__xludf.DUMMYFUNCTION("""COMPUTED_VALUE"""),"")</f>
        <v/>
      </c>
      <c r="G768" s="247" t="str">
        <f t="shared" si="1"/>
        <v/>
      </c>
      <c r="H768" s="258" t="str">
        <f>IFERROR(__xludf.DUMMYFUNCTION("""COMPUTED_VALUE"""),"")</f>
        <v/>
      </c>
      <c r="I768" s="259" t="str">
        <f>IFERROR(__xludf.DUMMYFUNCTION("""COMPUTED_VALUE"""),"")</f>
        <v/>
      </c>
      <c r="J768" s="250" t="str">
        <f t="shared" si="2"/>
        <v/>
      </c>
      <c r="K768" s="317" t="str">
        <f>IFERROR(__xludf.DUMMYFUNCTION("""COMPUTED_VALUE"""),"")</f>
        <v/>
      </c>
      <c r="L768" s="318" t="str">
        <f>IFERROR(__xludf.DUMMYFUNCTION("""COMPUTED_VALUE"""),"")</f>
        <v/>
      </c>
      <c r="M768" s="253" t="str">
        <f t="shared" si="3"/>
        <v/>
      </c>
      <c r="N768" s="319" t="str">
        <f>IFERROR(__xludf.DUMMYFUNCTION("""COMPUTED_VALUE"""),"")</f>
        <v/>
      </c>
      <c r="O768" s="257" t="str">
        <f>IFERROR(__xludf.DUMMYFUNCTION("""COMPUTED_VALUE"""),"")</f>
        <v/>
      </c>
      <c r="P768" s="247" t="str">
        <f t="shared" si="4"/>
        <v/>
      </c>
      <c r="Q768" s="320" t="str">
        <f>IFERROR(__xludf.DUMMYFUNCTION("""COMPUTED_VALUE"""),"")</f>
        <v/>
      </c>
      <c r="R768" s="259" t="str">
        <f>IFERROR(__xludf.DUMMYFUNCTION("""COMPUTED_VALUE"""),"")</f>
        <v/>
      </c>
      <c r="S768" s="250" t="str">
        <f t="shared" si="5"/>
        <v/>
      </c>
      <c r="T768" s="254" t="str">
        <f>IFERROR(__xludf.DUMMYFUNCTION("""COMPUTED_VALUE"""),"")</f>
        <v/>
      </c>
      <c r="U768" s="246" t="str">
        <f>IFERROR(__xludf.DUMMYFUNCTION("""COMPUTED_VALUE"""),"")</f>
        <v/>
      </c>
      <c r="V768" s="247" t="str">
        <f t="shared" si="6"/>
        <v/>
      </c>
      <c r="W768" s="255" t="str">
        <f>IFERROR(__xludf.DUMMYFUNCTION("""COMPUTED_VALUE"""),"")</f>
        <v/>
      </c>
      <c r="X768" s="249" t="str">
        <f>IFERROR(__xludf.DUMMYFUNCTION("""COMPUTED_VALUE"""),"")</f>
        <v/>
      </c>
      <c r="Y768" s="250" t="str">
        <f t="shared" si="7"/>
        <v/>
      </c>
    </row>
    <row r="769">
      <c r="A769" s="136" t="s">
        <v>133</v>
      </c>
      <c r="B769" s="136"/>
      <c r="C769" s="136" t="s">
        <v>133</v>
      </c>
      <c r="D769" s="136"/>
      <c r="E769" s="256" t="str">
        <f>IFERROR(__xludf.DUMMYFUNCTION("""COMPUTED_VALUE"""),"")</f>
        <v/>
      </c>
      <c r="F769" s="257" t="str">
        <f>IFERROR(__xludf.DUMMYFUNCTION("""COMPUTED_VALUE"""),"")</f>
        <v/>
      </c>
      <c r="G769" s="247" t="str">
        <f t="shared" si="1"/>
        <v/>
      </c>
      <c r="H769" s="258" t="str">
        <f>IFERROR(__xludf.DUMMYFUNCTION("""COMPUTED_VALUE"""),"")</f>
        <v/>
      </c>
      <c r="I769" s="259" t="str">
        <f>IFERROR(__xludf.DUMMYFUNCTION("""COMPUTED_VALUE"""),"")</f>
        <v/>
      </c>
      <c r="J769" s="250" t="str">
        <f t="shared" si="2"/>
        <v/>
      </c>
      <c r="K769" s="317" t="str">
        <f>IFERROR(__xludf.DUMMYFUNCTION("""COMPUTED_VALUE"""),"")</f>
        <v/>
      </c>
      <c r="L769" s="318" t="str">
        <f>IFERROR(__xludf.DUMMYFUNCTION("""COMPUTED_VALUE"""),"")</f>
        <v/>
      </c>
      <c r="M769" s="253" t="str">
        <f t="shared" si="3"/>
        <v/>
      </c>
      <c r="N769" s="319" t="str">
        <f>IFERROR(__xludf.DUMMYFUNCTION("""COMPUTED_VALUE"""),"")</f>
        <v/>
      </c>
      <c r="O769" s="257" t="str">
        <f>IFERROR(__xludf.DUMMYFUNCTION("""COMPUTED_VALUE"""),"")</f>
        <v/>
      </c>
      <c r="P769" s="247" t="str">
        <f t="shared" si="4"/>
        <v/>
      </c>
      <c r="Q769" s="320" t="str">
        <f>IFERROR(__xludf.DUMMYFUNCTION("""COMPUTED_VALUE"""),"")</f>
        <v/>
      </c>
      <c r="R769" s="259" t="str">
        <f>IFERROR(__xludf.DUMMYFUNCTION("""COMPUTED_VALUE"""),"")</f>
        <v/>
      </c>
      <c r="S769" s="250" t="str">
        <f t="shared" si="5"/>
        <v/>
      </c>
      <c r="T769" s="254" t="str">
        <f>IFERROR(__xludf.DUMMYFUNCTION("""COMPUTED_VALUE"""),"")</f>
        <v/>
      </c>
      <c r="U769" s="246" t="str">
        <f>IFERROR(__xludf.DUMMYFUNCTION("""COMPUTED_VALUE"""),"")</f>
        <v/>
      </c>
      <c r="V769" s="247" t="str">
        <f t="shared" si="6"/>
        <v/>
      </c>
      <c r="W769" s="255" t="str">
        <f>IFERROR(__xludf.DUMMYFUNCTION("""COMPUTED_VALUE"""),"")</f>
        <v/>
      </c>
      <c r="X769" s="249" t="str">
        <f>IFERROR(__xludf.DUMMYFUNCTION("""COMPUTED_VALUE"""),"")</f>
        <v/>
      </c>
      <c r="Y769" s="250" t="str">
        <f t="shared" si="7"/>
        <v/>
      </c>
    </row>
    <row r="770">
      <c r="A770" s="136" t="s">
        <v>133</v>
      </c>
      <c r="B770" s="136"/>
      <c r="C770" s="136" t="s">
        <v>133</v>
      </c>
      <c r="D770" s="136"/>
      <c r="E770" s="256" t="str">
        <f>IFERROR(__xludf.DUMMYFUNCTION("""COMPUTED_VALUE"""),"")</f>
        <v/>
      </c>
      <c r="F770" s="257" t="str">
        <f>IFERROR(__xludf.DUMMYFUNCTION("""COMPUTED_VALUE"""),"")</f>
        <v/>
      </c>
      <c r="G770" s="247" t="str">
        <f t="shared" si="1"/>
        <v/>
      </c>
      <c r="H770" s="258" t="str">
        <f>IFERROR(__xludf.DUMMYFUNCTION("""COMPUTED_VALUE"""),"")</f>
        <v/>
      </c>
      <c r="I770" s="259" t="str">
        <f>IFERROR(__xludf.DUMMYFUNCTION("""COMPUTED_VALUE"""),"")</f>
        <v/>
      </c>
      <c r="J770" s="250" t="str">
        <f t="shared" si="2"/>
        <v/>
      </c>
      <c r="K770" s="317" t="str">
        <f>IFERROR(__xludf.DUMMYFUNCTION("""COMPUTED_VALUE"""),"")</f>
        <v/>
      </c>
      <c r="L770" s="318" t="str">
        <f>IFERROR(__xludf.DUMMYFUNCTION("""COMPUTED_VALUE"""),"")</f>
        <v/>
      </c>
      <c r="M770" s="253" t="str">
        <f t="shared" si="3"/>
        <v/>
      </c>
      <c r="N770" s="319" t="str">
        <f>IFERROR(__xludf.DUMMYFUNCTION("""COMPUTED_VALUE"""),"")</f>
        <v/>
      </c>
      <c r="O770" s="257" t="str">
        <f>IFERROR(__xludf.DUMMYFUNCTION("""COMPUTED_VALUE"""),"")</f>
        <v/>
      </c>
      <c r="P770" s="247" t="str">
        <f t="shared" si="4"/>
        <v/>
      </c>
      <c r="Q770" s="320" t="str">
        <f>IFERROR(__xludf.DUMMYFUNCTION("""COMPUTED_VALUE"""),"")</f>
        <v/>
      </c>
      <c r="R770" s="259" t="str">
        <f>IFERROR(__xludf.DUMMYFUNCTION("""COMPUTED_VALUE"""),"")</f>
        <v/>
      </c>
      <c r="S770" s="250" t="str">
        <f t="shared" si="5"/>
        <v/>
      </c>
      <c r="T770" s="254" t="str">
        <f>IFERROR(__xludf.DUMMYFUNCTION("""COMPUTED_VALUE"""),"")</f>
        <v/>
      </c>
      <c r="U770" s="246" t="str">
        <f>IFERROR(__xludf.DUMMYFUNCTION("""COMPUTED_VALUE"""),"")</f>
        <v/>
      </c>
      <c r="V770" s="247" t="str">
        <f t="shared" si="6"/>
        <v/>
      </c>
      <c r="W770" s="255" t="str">
        <f>IFERROR(__xludf.DUMMYFUNCTION("""COMPUTED_VALUE"""),"")</f>
        <v/>
      </c>
      <c r="X770" s="249" t="str">
        <f>IFERROR(__xludf.DUMMYFUNCTION("""COMPUTED_VALUE"""),"")</f>
        <v/>
      </c>
      <c r="Y770" s="250" t="str">
        <f t="shared" si="7"/>
        <v/>
      </c>
    </row>
    <row r="771">
      <c r="A771" s="136" t="s">
        <v>133</v>
      </c>
      <c r="B771" s="136"/>
      <c r="C771" s="136" t="s">
        <v>133</v>
      </c>
      <c r="D771" s="136"/>
      <c r="E771" s="256" t="str">
        <f>IFERROR(__xludf.DUMMYFUNCTION("""COMPUTED_VALUE"""),"")</f>
        <v/>
      </c>
      <c r="F771" s="257" t="str">
        <f>IFERROR(__xludf.DUMMYFUNCTION("""COMPUTED_VALUE"""),"")</f>
        <v/>
      </c>
      <c r="G771" s="247" t="str">
        <f t="shared" si="1"/>
        <v/>
      </c>
      <c r="H771" s="258" t="str">
        <f>IFERROR(__xludf.DUMMYFUNCTION("""COMPUTED_VALUE"""),"")</f>
        <v/>
      </c>
      <c r="I771" s="259" t="str">
        <f>IFERROR(__xludf.DUMMYFUNCTION("""COMPUTED_VALUE"""),"")</f>
        <v/>
      </c>
      <c r="J771" s="250" t="str">
        <f t="shared" si="2"/>
        <v/>
      </c>
      <c r="K771" s="317" t="str">
        <f>IFERROR(__xludf.DUMMYFUNCTION("""COMPUTED_VALUE"""),"")</f>
        <v/>
      </c>
      <c r="L771" s="318" t="str">
        <f>IFERROR(__xludf.DUMMYFUNCTION("""COMPUTED_VALUE"""),"")</f>
        <v/>
      </c>
      <c r="M771" s="253" t="str">
        <f t="shared" si="3"/>
        <v/>
      </c>
      <c r="N771" s="319" t="str">
        <f>IFERROR(__xludf.DUMMYFUNCTION("""COMPUTED_VALUE"""),"")</f>
        <v/>
      </c>
      <c r="O771" s="257" t="str">
        <f>IFERROR(__xludf.DUMMYFUNCTION("""COMPUTED_VALUE"""),"")</f>
        <v/>
      </c>
      <c r="P771" s="247" t="str">
        <f t="shared" si="4"/>
        <v/>
      </c>
      <c r="Q771" s="320" t="str">
        <f>IFERROR(__xludf.DUMMYFUNCTION("""COMPUTED_VALUE"""),"")</f>
        <v/>
      </c>
      <c r="R771" s="259" t="str">
        <f>IFERROR(__xludf.DUMMYFUNCTION("""COMPUTED_VALUE"""),"")</f>
        <v/>
      </c>
      <c r="S771" s="250" t="str">
        <f t="shared" si="5"/>
        <v/>
      </c>
      <c r="T771" s="254" t="str">
        <f>IFERROR(__xludf.DUMMYFUNCTION("""COMPUTED_VALUE"""),"")</f>
        <v/>
      </c>
      <c r="U771" s="246" t="str">
        <f>IFERROR(__xludf.DUMMYFUNCTION("""COMPUTED_VALUE"""),"")</f>
        <v/>
      </c>
      <c r="V771" s="247" t="str">
        <f t="shared" si="6"/>
        <v/>
      </c>
      <c r="W771" s="255" t="str">
        <f>IFERROR(__xludf.DUMMYFUNCTION("""COMPUTED_VALUE"""),"")</f>
        <v/>
      </c>
      <c r="X771" s="249" t="str">
        <f>IFERROR(__xludf.DUMMYFUNCTION("""COMPUTED_VALUE"""),"")</f>
        <v/>
      </c>
      <c r="Y771" s="250" t="str">
        <f t="shared" si="7"/>
        <v/>
      </c>
    </row>
    <row r="772">
      <c r="A772" s="136" t="s">
        <v>133</v>
      </c>
      <c r="B772" s="136"/>
      <c r="C772" s="136" t="s">
        <v>133</v>
      </c>
      <c r="D772" s="136"/>
      <c r="E772" s="256" t="str">
        <f>IFERROR(__xludf.DUMMYFUNCTION("""COMPUTED_VALUE"""),"")</f>
        <v/>
      </c>
      <c r="F772" s="257" t="str">
        <f>IFERROR(__xludf.DUMMYFUNCTION("""COMPUTED_VALUE"""),"")</f>
        <v/>
      </c>
      <c r="G772" s="247" t="str">
        <f t="shared" si="1"/>
        <v/>
      </c>
      <c r="H772" s="258" t="str">
        <f>IFERROR(__xludf.DUMMYFUNCTION("""COMPUTED_VALUE"""),"")</f>
        <v/>
      </c>
      <c r="I772" s="259" t="str">
        <f>IFERROR(__xludf.DUMMYFUNCTION("""COMPUTED_VALUE"""),"")</f>
        <v/>
      </c>
      <c r="J772" s="250" t="str">
        <f t="shared" si="2"/>
        <v/>
      </c>
      <c r="K772" s="317" t="str">
        <f>IFERROR(__xludf.DUMMYFUNCTION("""COMPUTED_VALUE"""),"")</f>
        <v/>
      </c>
      <c r="L772" s="318" t="str">
        <f>IFERROR(__xludf.DUMMYFUNCTION("""COMPUTED_VALUE"""),"")</f>
        <v/>
      </c>
      <c r="M772" s="253" t="str">
        <f t="shared" si="3"/>
        <v/>
      </c>
      <c r="N772" s="319" t="str">
        <f>IFERROR(__xludf.DUMMYFUNCTION("""COMPUTED_VALUE"""),"")</f>
        <v/>
      </c>
      <c r="O772" s="257" t="str">
        <f>IFERROR(__xludf.DUMMYFUNCTION("""COMPUTED_VALUE"""),"")</f>
        <v/>
      </c>
      <c r="P772" s="247" t="str">
        <f t="shared" si="4"/>
        <v/>
      </c>
      <c r="Q772" s="320" t="str">
        <f>IFERROR(__xludf.DUMMYFUNCTION("""COMPUTED_VALUE"""),"")</f>
        <v/>
      </c>
      <c r="R772" s="259" t="str">
        <f>IFERROR(__xludf.DUMMYFUNCTION("""COMPUTED_VALUE"""),"")</f>
        <v/>
      </c>
      <c r="S772" s="250" t="str">
        <f t="shared" si="5"/>
        <v/>
      </c>
      <c r="T772" s="254" t="str">
        <f>IFERROR(__xludf.DUMMYFUNCTION("""COMPUTED_VALUE"""),"")</f>
        <v/>
      </c>
      <c r="U772" s="246" t="str">
        <f>IFERROR(__xludf.DUMMYFUNCTION("""COMPUTED_VALUE"""),"")</f>
        <v/>
      </c>
      <c r="V772" s="247" t="str">
        <f t="shared" si="6"/>
        <v/>
      </c>
      <c r="W772" s="255" t="str">
        <f>IFERROR(__xludf.DUMMYFUNCTION("""COMPUTED_VALUE"""),"")</f>
        <v/>
      </c>
      <c r="X772" s="249" t="str">
        <f>IFERROR(__xludf.DUMMYFUNCTION("""COMPUTED_VALUE"""),"")</f>
        <v/>
      </c>
      <c r="Y772" s="250" t="str">
        <f t="shared" si="7"/>
        <v/>
      </c>
    </row>
    <row r="773">
      <c r="A773" s="136" t="s">
        <v>133</v>
      </c>
      <c r="B773" s="136"/>
      <c r="C773" s="136" t="s">
        <v>133</v>
      </c>
      <c r="D773" s="136"/>
      <c r="E773" s="256" t="str">
        <f>IFERROR(__xludf.DUMMYFUNCTION("""COMPUTED_VALUE"""),"")</f>
        <v/>
      </c>
      <c r="F773" s="257" t="str">
        <f>IFERROR(__xludf.DUMMYFUNCTION("""COMPUTED_VALUE"""),"")</f>
        <v/>
      </c>
      <c r="G773" s="247" t="str">
        <f t="shared" si="1"/>
        <v/>
      </c>
      <c r="H773" s="258" t="str">
        <f>IFERROR(__xludf.DUMMYFUNCTION("""COMPUTED_VALUE"""),"")</f>
        <v/>
      </c>
      <c r="I773" s="259" t="str">
        <f>IFERROR(__xludf.DUMMYFUNCTION("""COMPUTED_VALUE"""),"")</f>
        <v/>
      </c>
      <c r="J773" s="250" t="str">
        <f t="shared" si="2"/>
        <v/>
      </c>
      <c r="K773" s="317" t="str">
        <f>IFERROR(__xludf.DUMMYFUNCTION("""COMPUTED_VALUE"""),"")</f>
        <v/>
      </c>
      <c r="L773" s="318" t="str">
        <f>IFERROR(__xludf.DUMMYFUNCTION("""COMPUTED_VALUE"""),"")</f>
        <v/>
      </c>
      <c r="M773" s="253" t="str">
        <f t="shared" si="3"/>
        <v/>
      </c>
      <c r="N773" s="319" t="str">
        <f>IFERROR(__xludf.DUMMYFUNCTION("""COMPUTED_VALUE"""),"")</f>
        <v/>
      </c>
      <c r="O773" s="257" t="str">
        <f>IFERROR(__xludf.DUMMYFUNCTION("""COMPUTED_VALUE"""),"")</f>
        <v/>
      </c>
      <c r="P773" s="247" t="str">
        <f t="shared" si="4"/>
        <v/>
      </c>
      <c r="Q773" s="320" t="str">
        <f>IFERROR(__xludf.DUMMYFUNCTION("""COMPUTED_VALUE"""),"")</f>
        <v/>
      </c>
      <c r="R773" s="259" t="str">
        <f>IFERROR(__xludf.DUMMYFUNCTION("""COMPUTED_VALUE"""),"")</f>
        <v/>
      </c>
      <c r="S773" s="250" t="str">
        <f t="shared" si="5"/>
        <v/>
      </c>
      <c r="T773" s="254" t="str">
        <f>IFERROR(__xludf.DUMMYFUNCTION("""COMPUTED_VALUE"""),"")</f>
        <v/>
      </c>
      <c r="U773" s="246" t="str">
        <f>IFERROR(__xludf.DUMMYFUNCTION("""COMPUTED_VALUE"""),"")</f>
        <v/>
      </c>
      <c r="V773" s="247" t="str">
        <f t="shared" si="6"/>
        <v/>
      </c>
      <c r="W773" s="255" t="str">
        <f>IFERROR(__xludf.DUMMYFUNCTION("""COMPUTED_VALUE"""),"")</f>
        <v/>
      </c>
      <c r="X773" s="249" t="str">
        <f>IFERROR(__xludf.DUMMYFUNCTION("""COMPUTED_VALUE"""),"")</f>
        <v/>
      </c>
      <c r="Y773" s="250" t="str">
        <f t="shared" si="7"/>
        <v/>
      </c>
    </row>
    <row r="774">
      <c r="A774" s="136" t="s">
        <v>133</v>
      </c>
      <c r="B774" s="136"/>
      <c r="C774" s="136" t="s">
        <v>133</v>
      </c>
      <c r="D774" s="136"/>
      <c r="E774" s="256" t="str">
        <f>IFERROR(__xludf.DUMMYFUNCTION("""COMPUTED_VALUE"""),"")</f>
        <v/>
      </c>
      <c r="F774" s="257" t="str">
        <f>IFERROR(__xludf.DUMMYFUNCTION("""COMPUTED_VALUE"""),"")</f>
        <v/>
      </c>
      <c r="G774" s="247" t="str">
        <f t="shared" si="1"/>
        <v/>
      </c>
      <c r="H774" s="258" t="str">
        <f>IFERROR(__xludf.DUMMYFUNCTION("""COMPUTED_VALUE"""),"")</f>
        <v/>
      </c>
      <c r="I774" s="259" t="str">
        <f>IFERROR(__xludf.DUMMYFUNCTION("""COMPUTED_VALUE"""),"")</f>
        <v/>
      </c>
      <c r="J774" s="250" t="str">
        <f t="shared" si="2"/>
        <v/>
      </c>
      <c r="K774" s="317" t="str">
        <f>IFERROR(__xludf.DUMMYFUNCTION("""COMPUTED_VALUE"""),"")</f>
        <v/>
      </c>
      <c r="L774" s="318" t="str">
        <f>IFERROR(__xludf.DUMMYFUNCTION("""COMPUTED_VALUE"""),"")</f>
        <v/>
      </c>
      <c r="M774" s="253" t="str">
        <f t="shared" si="3"/>
        <v/>
      </c>
      <c r="N774" s="319" t="str">
        <f>IFERROR(__xludf.DUMMYFUNCTION("""COMPUTED_VALUE"""),"")</f>
        <v/>
      </c>
      <c r="O774" s="257" t="str">
        <f>IFERROR(__xludf.DUMMYFUNCTION("""COMPUTED_VALUE"""),"")</f>
        <v/>
      </c>
      <c r="P774" s="247" t="str">
        <f t="shared" si="4"/>
        <v/>
      </c>
      <c r="Q774" s="320" t="str">
        <f>IFERROR(__xludf.DUMMYFUNCTION("""COMPUTED_VALUE"""),"")</f>
        <v/>
      </c>
      <c r="R774" s="259" t="str">
        <f>IFERROR(__xludf.DUMMYFUNCTION("""COMPUTED_VALUE"""),"")</f>
        <v/>
      </c>
      <c r="S774" s="250" t="str">
        <f t="shared" si="5"/>
        <v/>
      </c>
      <c r="T774" s="254" t="str">
        <f>IFERROR(__xludf.DUMMYFUNCTION("""COMPUTED_VALUE"""),"")</f>
        <v/>
      </c>
      <c r="U774" s="246" t="str">
        <f>IFERROR(__xludf.DUMMYFUNCTION("""COMPUTED_VALUE"""),"")</f>
        <v/>
      </c>
      <c r="V774" s="247" t="str">
        <f t="shared" si="6"/>
        <v/>
      </c>
      <c r="W774" s="255" t="str">
        <f>IFERROR(__xludf.DUMMYFUNCTION("""COMPUTED_VALUE"""),"")</f>
        <v/>
      </c>
      <c r="X774" s="249" t="str">
        <f>IFERROR(__xludf.DUMMYFUNCTION("""COMPUTED_VALUE"""),"")</f>
        <v/>
      </c>
      <c r="Y774" s="250" t="str">
        <f t="shared" si="7"/>
        <v/>
      </c>
    </row>
    <row r="775">
      <c r="A775" s="136" t="s">
        <v>133</v>
      </c>
      <c r="B775" s="136"/>
      <c r="C775" s="136" t="s">
        <v>133</v>
      </c>
      <c r="D775" s="136"/>
      <c r="E775" s="256" t="str">
        <f>IFERROR(__xludf.DUMMYFUNCTION("""COMPUTED_VALUE"""),"")</f>
        <v/>
      </c>
      <c r="F775" s="257" t="str">
        <f>IFERROR(__xludf.DUMMYFUNCTION("""COMPUTED_VALUE"""),"")</f>
        <v/>
      </c>
      <c r="G775" s="247" t="str">
        <f t="shared" si="1"/>
        <v/>
      </c>
      <c r="H775" s="258" t="str">
        <f>IFERROR(__xludf.DUMMYFUNCTION("""COMPUTED_VALUE"""),"")</f>
        <v/>
      </c>
      <c r="I775" s="259" t="str">
        <f>IFERROR(__xludf.DUMMYFUNCTION("""COMPUTED_VALUE"""),"")</f>
        <v/>
      </c>
      <c r="J775" s="250" t="str">
        <f t="shared" si="2"/>
        <v/>
      </c>
      <c r="K775" s="317" t="str">
        <f>IFERROR(__xludf.DUMMYFUNCTION("""COMPUTED_VALUE"""),"")</f>
        <v/>
      </c>
      <c r="L775" s="318" t="str">
        <f>IFERROR(__xludf.DUMMYFUNCTION("""COMPUTED_VALUE"""),"")</f>
        <v/>
      </c>
      <c r="M775" s="253" t="str">
        <f t="shared" si="3"/>
        <v/>
      </c>
      <c r="N775" s="319" t="str">
        <f>IFERROR(__xludf.DUMMYFUNCTION("""COMPUTED_VALUE"""),"")</f>
        <v/>
      </c>
      <c r="O775" s="257" t="str">
        <f>IFERROR(__xludf.DUMMYFUNCTION("""COMPUTED_VALUE"""),"")</f>
        <v/>
      </c>
      <c r="P775" s="247" t="str">
        <f t="shared" si="4"/>
        <v/>
      </c>
      <c r="Q775" s="320" t="str">
        <f>IFERROR(__xludf.DUMMYFUNCTION("""COMPUTED_VALUE"""),"")</f>
        <v/>
      </c>
      <c r="R775" s="259" t="str">
        <f>IFERROR(__xludf.DUMMYFUNCTION("""COMPUTED_VALUE"""),"")</f>
        <v/>
      </c>
      <c r="S775" s="250" t="str">
        <f t="shared" si="5"/>
        <v/>
      </c>
      <c r="T775" s="254" t="str">
        <f>IFERROR(__xludf.DUMMYFUNCTION("""COMPUTED_VALUE"""),"")</f>
        <v/>
      </c>
      <c r="U775" s="246" t="str">
        <f>IFERROR(__xludf.DUMMYFUNCTION("""COMPUTED_VALUE"""),"")</f>
        <v/>
      </c>
      <c r="V775" s="247" t="str">
        <f t="shared" si="6"/>
        <v/>
      </c>
      <c r="W775" s="255" t="str">
        <f>IFERROR(__xludf.DUMMYFUNCTION("""COMPUTED_VALUE"""),"")</f>
        <v/>
      </c>
      <c r="X775" s="249" t="str">
        <f>IFERROR(__xludf.DUMMYFUNCTION("""COMPUTED_VALUE"""),"")</f>
        <v/>
      </c>
      <c r="Y775" s="250" t="str">
        <f t="shared" si="7"/>
        <v/>
      </c>
    </row>
    <row r="776">
      <c r="A776" s="136" t="s">
        <v>133</v>
      </c>
      <c r="B776" s="136"/>
      <c r="C776" s="136" t="s">
        <v>133</v>
      </c>
      <c r="D776" s="136"/>
      <c r="E776" s="256" t="str">
        <f>IFERROR(__xludf.DUMMYFUNCTION("""COMPUTED_VALUE"""),"")</f>
        <v/>
      </c>
      <c r="F776" s="257" t="str">
        <f>IFERROR(__xludf.DUMMYFUNCTION("""COMPUTED_VALUE"""),"")</f>
        <v/>
      </c>
      <c r="G776" s="247" t="str">
        <f t="shared" si="1"/>
        <v/>
      </c>
      <c r="H776" s="258" t="str">
        <f>IFERROR(__xludf.DUMMYFUNCTION("""COMPUTED_VALUE"""),"")</f>
        <v/>
      </c>
      <c r="I776" s="259" t="str">
        <f>IFERROR(__xludf.DUMMYFUNCTION("""COMPUTED_VALUE"""),"")</f>
        <v/>
      </c>
      <c r="J776" s="250" t="str">
        <f t="shared" si="2"/>
        <v/>
      </c>
      <c r="K776" s="317" t="str">
        <f>IFERROR(__xludf.DUMMYFUNCTION("""COMPUTED_VALUE"""),"")</f>
        <v/>
      </c>
      <c r="L776" s="318" t="str">
        <f>IFERROR(__xludf.DUMMYFUNCTION("""COMPUTED_VALUE"""),"")</f>
        <v/>
      </c>
      <c r="M776" s="253" t="str">
        <f t="shared" si="3"/>
        <v/>
      </c>
      <c r="N776" s="319" t="str">
        <f>IFERROR(__xludf.DUMMYFUNCTION("""COMPUTED_VALUE"""),"")</f>
        <v/>
      </c>
      <c r="O776" s="257" t="str">
        <f>IFERROR(__xludf.DUMMYFUNCTION("""COMPUTED_VALUE"""),"")</f>
        <v/>
      </c>
      <c r="P776" s="247" t="str">
        <f t="shared" si="4"/>
        <v/>
      </c>
      <c r="Q776" s="320" t="str">
        <f>IFERROR(__xludf.DUMMYFUNCTION("""COMPUTED_VALUE"""),"")</f>
        <v/>
      </c>
      <c r="R776" s="259" t="str">
        <f>IFERROR(__xludf.DUMMYFUNCTION("""COMPUTED_VALUE"""),"")</f>
        <v/>
      </c>
      <c r="S776" s="250" t="str">
        <f t="shared" si="5"/>
        <v/>
      </c>
      <c r="T776" s="254" t="str">
        <f>IFERROR(__xludf.DUMMYFUNCTION("""COMPUTED_VALUE"""),"")</f>
        <v/>
      </c>
      <c r="U776" s="246" t="str">
        <f>IFERROR(__xludf.DUMMYFUNCTION("""COMPUTED_VALUE"""),"")</f>
        <v/>
      </c>
      <c r="V776" s="247" t="str">
        <f t="shared" si="6"/>
        <v/>
      </c>
      <c r="W776" s="255" t="str">
        <f>IFERROR(__xludf.DUMMYFUNCTION("""COMPUTED_VALUE"""),"")</f>
        <v/>
      </c>
      <c r="X776" s="249" t="str">
        <f>IFERROR(__xludf.DUMMYFUNCTION("""COMPUTED_VALUE"""),"")</f>
        <v/>
      </c>
      <c r="Y776" s="250" t="str">
        <f t="shared" si="7"/>
        <v/>
      </c>
    </row>
    <row r="777">
      <c r="A777" s="136" t="s">
        <v>133</v>
      </c>
      <c r="B777" s="136"/>
      <c r="C777" s="136" t="s">
        <v>133</v>
      </c>
      <c r="D777" s="136"/>
      <c r="E777" s="256" t="str">
        <f>IFERROR(__xludf.DUMMYFUNCTION("""COMPUTED_VALUE"""),"")</f>
        <v/>
      </c>
      <c r="F777" s="257" t="str">
        <f>IFERROR(__xludf.DUMMYFUNCTION("""COMPUTED_VALUE"""),"")</f>
        <v/>
      </c>
      <c r="G777" s="247" t="str">
        <f t="shared" si="1"/>
        <v/>
      </c>
      <c r="H777" s="258" t="str">
        <f>IFERROR(__xludf.DUMMYFUNCTION("""COMPUTED_VALUE"""),"")</f>
        <v/>
      </c>
      <c r="I777" s="259" t="str">
        <f>IFERROR(__xludf.DUMMYFUNCTION("""COMPUTED_VALUE"""),"")</f>
        <v/>
      </c>
      <c r="J777" s="250" t="str">
        <f t="shared" si="2"/>
        <v/>
      </c>
      <c r="K777" s="317" t="str">
        <f>IFERROR(__xludf.DUMMYFUNCTION("""COMPUTED_VALUE"""),"")</f>
        <v/>
      </c>
      <c r="L777" s="318" t="str">
        <f>IFERROR(__xludf.DUMMYFUNCTION("""COMPUTED_VALUE"""),"")</f>
        <v/>
      </c>
      <c r="M777" s="253" t="str">
        <f t="shared" si="3"/>
        <v/>
      </c>
      <c r="N777" s="319" t="str">
        <f>IFERROR(__xludf.DUMMYFUNCTION("""COMPUTED_VALUE"""),"")</f>
        <v/>
      </c>
      <c r="O777" s="257" t="str">
        <f>IFERROR(__xludf.DUMMYFUNCTION("""COMPUTED_VALUE"""),"")</f>
        <v/>
      </c>
      <c r="P777" s="247" t="str">
        <f t="shared" si="4"/>
        <v/>
      </c>
      <c r="Q777" s="320" t="str">
        <f>IFERROR(__xludf.DUMMYFUNCTION("""COMPUTED_VALUE"""),"")</f>
        <v/>
      </c>
      <c r="R777" s="259" t="str">
        <f>IFERROR(__xludf.DUMMYFUNCTION("""COMPUTED_VALUE"""),"")</f>
        <v/>
      </c>
      <c r="S777" s="250" t="str">
        <f t="shared" si="5"/>
        <v/>
      </c>
      <c r="T777" s="254" t="str">
        <f>IFERROR(__xludf.DUMMYFUNCTION("""COMPUTED_VALUE"""),"")</f>
        <v/>
      </c>
      <c r="U777" s="246" t="str">
        <f>IFERROR(__xludf.DUMMYFUNCTION("""COMPUTED_VALUE"""),"")</f>
        <v/>
      </c>
      <c r="V777" s="247" t="str">
        <f t="shared" si="6"/>
        <v/>
      </c>
      <c r="W777" s="255" t="str">
        <f>IFERROR(__xludf.DUMMYFUNCTION("""COMPUTED_VALUE"""),"")</f>
        <v/>
      </c>
      <c r="X777" s="249" t="str">
        <f>IFERROR(__xludf.DUMMYFUNCTION("""COMPUTED_VALUE"""),"")</f>
        <v/>
      </c>
      <c r="Y777" s="250" t="str">
        <f t="shared" si="7"/>
        <v/>
      </c>
    </row>
    <row r="778">
      <c r="A778" s="136" t="s">
        <v>133</v>
      </c>
      <c r="B778" s="136"/>
      <c r="C778" s="136" t="s">
        <v>133</v>
      </c>
      <c r="D778" s="136"/>
      <c r="E778" s="256" t="str">
        <f>IFERROR(__xludf.DUMMYFUNCTION("""COMPUTED_VALUE"""),"")</f>
        <v/>
      </c>
      <c r="F778" s="257" t="str">
        <f>IFERROR(__xludf.DUMMYFUNCTION("""COMPUTED_VALUE"""),"")</f>
        <v/>
      </c>
      <c r="G778" s="247" t="str">
        <f t="shared" si="1"/>
        <v/>
      </c>
      <c r="H778" s="258" t="str">
        <f>IFERROR(__xludf.DUMMYFUNCTION("""COMPUTED_VALUE"""),"")</f>
        <v/>
      </c>
      <c r="I778" s="259" t="str">
        <f>IFERROR(__xludf.DUMMYFUNCTION("""COMPUTED_VALUE"""),"")</f>
        <v/>
      </c>
      <c r="J778" s="250" t="str">
        <f t="shared" si="2"/>
        <v/>
      </c>
      <c r="K778" s="317" t="str">
        <f>IFERROR(__xludf.DUMMYFUNCTION("""COMPUTED_VALUE"""),"")</f>
        <v/>
      </c>
      <c r="L778" s="318" t="str">
        <f>IFERROR(__xludf.DUMMYFUNCTION("""COMPUTED_VALUE"""),"")</f>
        <v/>
      </c>
      <c r="M778" s="253" t="str">
        <f t="shared" si="3"/>
        <v/>
      </c>
      <c r="N778" s="319" t="str">
        <f>IFERROR(__xludf.DUMMYFUNCTION("""COMPUTED_VALUE"""),"")</f>
        <v/>
      </c>
      <c r="O778" s="257" t="str">
        <f>IFERROR(__xludf.DUMMYFUNCTION("""COMPUTED_VALUE"""),"")</f>
        <v/>
      </c>
      <c r="P778" s="247" t="str">
        <f t="shared" si="4"/>
        <v/>
      </c>
      <c r="Q778" s="320" t="str">
        <f>IFERROR(__xludf.DUMMYFUNCTION("""COMPUTED_VALUE"""),"")</f>
        <v/>
      </c>
      <c r="R778" s="259" t="str">
        <f>IFERROR(__xludf.DUMMYFUNCTION("""COMPUTED_VALUE"""),"")</f>
        <v/>
      </c>
      <c r="S778" s="250" t="str">
        <f t="shared" si="5"/>
        <v/>
      </c>
      <c r="T778" s="254" t="str">
        <f>IFERROR(__xludf.DUMMYFUNCTION("""COMPUTED_VALUE"""),"")</f>
        <v/>
      </c>
      <c r="U778" s="246" t="str">
        <f>IFERROR(__xludf.DUMMYFUNCTION("""COMPUTED_VALUE"""),"")</f>
        <v/>
      </c>
      <c r="V778" s="247" t="str">
        <f t="shared" si="6"/>
        <v/>
      </c>
      <c r="W778" s="255" t="str">
        <f>IFERROR(__xludf.DUMMYFUNCTION("""COMPUTED_VALUE"""),"")</f>
        <v/>
      </c>
      <c r="X778" s="249" t="str">
        <f>IFERROR(__xludf.DUMMYFUNCTION("""COMPUTED_VALUE"""),"")</f>
        <v/>
      </c>
      <c r="Y778" s="250" t="str">
        <f t="shared" si="7"/>
        <v/>
      </c>
    </row>
    <row r="779">
      <c r="A779" s="136" t="s">
        <v>133</v>
      </c>
      <c r="B779" s="136"/>
      <c r="C779" s="136" t="s">
        <v>133</v>
      </c>
      <c r="D779" s="136"/>
      <c r="E779" s="256" t="str">
        <f>IFERROR(__xludf.DUMMYFUNCTION("""COMPUTED_VALUE"""),"")</f>
        <v/>
      </c>
      <c r="F779" s="257" t="str">
        <f>IFERROR(__xludf.DUMMYFUNCTION("""COMPUTED_VALUE"""),"")</f>
        <v/>
      </c>
      <c r="G779" s="247" t="str">
        <f t="shared" si="1"/>
        <v/>
      </c>
      <c r="H779" s="258" t="str">
        <f>IFERROR(__xludf.DUMMYFUNCTION("""COMPUTED_VALUE"""),"")</f>
        <v/>
      </c>
      <c r="I779" s="259" t="str">
        <f>IFERROR(__xludf.DUMMYFUNCTION("""COMPUTED_VALUE"""),"")</f>
        <v/>
      </c>
      <c r="J779" s="250" t="str">
        <f t="shared" si="2"/>
        <v/>
      </c>
      <c r="K779" s="317" t="str">
        <f>IFERROR(__xludf.DUMMYFUNCTION("""COMPUTED_VALUE"""),"")</f>
        <v/>
      </c>
      <c r="L779" s="318" t="str">
        <f>IFERROR(__xludf.DUMMYFUNCTION("""COMPUTED_VALUE"""),"")</f>
        <v/>
      </c>
      <c r="M779" s="253" t="str">
        <f t="shared" si="3"/>
        <v/>
      </c>
      <c r="N779" s="319" t="str">
        <f>IFERROR(__xludf.DUMMYFUNCTION("""COMPUTED_VALUE"""),"")</f>
        <v/>
      </c>
      <c r="O779" s="257" t="str">
        <f>IFERROR(__xludf.DUMMYFUNCTION("""COMPUTED_VALUE"""),"")</f>
        <v/>
      </c>
      <c r="P779" s="247" t="str">
        <f t="shared" si="4"/>
        <v/>
      </c>
      <c r="Q779" s="320" t="str">
        <f>IFERROR(__xludf.DUMMYFUNCTION("""COMPUTED_VALUE"""),"")</f>
        <v/>
      </c>
      <c r="R779" s="259" t="str">
        <f>IFERROR(__xludf.DUMMYFUNCTION("""COMPUTED_VALUE"""),"")</f>
        <v/>
      </c>
      <c r="S779" s="250" t="str">
        <f t="shared" si="5"/>
        <v/>
      </c>
      <c r="T779" s="254" t="str">
        <f>IFERROR(__xludf.DUMMYFUNCTION("""COMPUTED_VALUE"""),"")</f>
        <v/>
      </c>
      <c r="U779" s="246" t="str">
        <f>IFERROR(__xludf.DUMMYFUNCTION("""COMPUTED_VALUE"""),"")</f>
        <v/>
      </c>
      <c r="V779" s="247" t="str">
        <f t="shared" si="6"/>
        <v/>
      </c>
      <c r="W779" s="255" t="str">
        <f>IFERROR(__xludf.DUMMYFUNCTION("""COMPUTED_VALUE"""),"")</f>
        <v/>
      </c>
      <c r="X779" s="249" t="str">
        <f>IFERROR(__xludf.DUMMYFUNCTION("""COMPUTED_VALUE"""),"")</f>
        <v/>
      </c>
      <c r="Y779" s="250" t="str">
        <f t="shared" si="7"/>
        <v/>
      </c>
    </row>
    <row r="780">
      <c r="A780" s="136" t="s">
        <v>133</v>
      </c>
      <c r="B780" s="136"/>
      <c r="C780" s="136" t="s">
        <v>133</v>
      </c>
      <c r="D780" s="136"/>
      <c r="E780" s="256" t="str">
        <f>IFERROR(__xludf.DUMMYFUNCTION("""COMPUTED_VALUE"""),"")</f>
        <v/>
      </c>
      <c r="F780" s="257" t="str">
        <f>IFERROR(__xludf.DUMMYFUNCTION("""COMPUTED_VALUE"""),"")</f>
        <v/>
      </c>
      <c r="G780" s="247" t="str">
        <f t="shared" si="1"/>
        <v/>
      </c>
      <c r="H780" s="258" t="str">
        <f>IFERROR(__xludf.DUMMYFUNCTION("""COMPUTED_VALUE"""),"")</f>
        <v/>
      </c>
      <c r="I780" s="259" t="str">
        <f>IFERROR(__xludf.DUMMYFUNCTION("""COMPUTED_VALUE"""),"")</f>
        <v/>
      </c>
      <c r="J780" s="250" t="str">
        <f t="shared" si="2"/>
        <v/>
      </c>
      <c r="K780" s="317" t="str">
        <f>IFERROR(__xludf.DUMMYFUNCTION("""COMPUTED_VALUE"""),"")</f>
        <v/>
      </c>
      <c r="L780" s="318" t="str">
        <f>IFERROR(__xludf.DUMMYFUNCTION("""COMPUTED_VALUE"""),"")</f>
        <v/>
      </c>
      <c r="M780" s="253" t="str">
        <f t="shared" si="3"/>
        <v/>
      </c>
      <c r="N780" s="319" t="str">
        <f>IFERROR(__xludf.DUMMYFUNCTION("""COMPUTED_VALUE"""),"")</f>
        <v/>
      </c>
      <c r="O780" s="257" t="str">
        <f>IFERROR(__xludf.DUMMYFUNCTION("""COMPUTED_VALUE"""),"")</f>
        <v/>
      </c>
      <c r="P780" s="247" t="str">
        <f t="shared" si="4"/>
        <v/>
      </c>
      <c r="Q780" s="320" t="str">
        <f>IFERROR(__xludf.DUMMYFUNCTION("""COMPUTED_VALUE"""),"")</f>
        <v/>
      </c>
      <c r="R780" s="259" t="str">
        <f>IFERROR(__xludf.DUMMYFUNCTION("""COMPUTED_VALUE"""),"")</f>
        <v/>
      </c>
      <c r="S780" s="250" t="str">
        <f t="shared" si="5"/>
        <v/>
      </c>
      <c r="T780" s="254" t="str">
        <f>IFERROR(__xludf.DUMMYFUNCTION("""COMPUTED_VALUE"""),"")</f>
        <v/>
      </c>
      <c r="U780" s="246" t="str">
        <f>IFERROR(__xludf.DUMMYFUNCTION("""COMPUTED_VALUE"""),"")</f>
        <v/>
      </c>
      <c r="V780" s="247" t="str">
        <f t="shared" si="6"/>
        <v/>
      </c>
      <c r="W780" s="255" t="str">
        <f>IFERROR(__xludf.DUMMYFUNCTION("""COMPUTED_VALUE"""),"")</f>
        <v/>
      </c>
      <c r="X780" s="249" t="str">
        <f>IFERROR(__xludf.DUMMYFUNCTION("""COMPUTED_VALUE"""),"")</f>
        <v/>
      </c>
      <c r="Y780" s="250" t="str">
        <f t="shared" si="7"/>
        <v/>
      </c>
    </row>
    <row r="781">
      <c r="A781" s="136" t="s">
        <v>133</v>
      </c>
      <c r="B781" s="136"/>
      <c r="C781" s="136" t="s">
        <v>133</v>
      </c>
      <c r="D781" s="136"/>
      <c r="E781" s="256" t="str">
        <f>IFERROR(__xludf.DUMMYFUNCTION("""COMPUTED_VALUE"""),"")</f>
        <v/>
      </c>
      <c r="F781" s="257" t="str">
        <f>IFERROR(__xludf.DUMMYFUNCTION("""COMPUTED_VALUE"""),"")</f>
        <v/>
      </c>
      <c r="G781" s="247" t="str">
        <f t="shared" si="1"/>
        <v/>
      </c>
      <c r="H781" s="258" t="str">
        <f>IFERROR(__xludf.DUMMYFUNCTION("""COMPUTED_VALUE"""),"")</f>
        <v/>
      </c>
      <c r="I781" s="259" t="str">
        <f>IFERROR(__xludf.DUMMYFUNCTION("""COMPUTED_VALUE"""),"")</f>
        <v/>
      </c>
      <c r="J781" s="250" t="str">
        <f t="shared" si="2"/>
        <v/>
      </c>
      <c r="K781" s="317" t="str">
        <f>IFERROR(__xludf.DUMMYFUNCTION("""COMPUTED_VALUE"""),"")</f>
        <v/>
      </c>
      <c r="L781" s="318" t="str">
        <f>IFERROR(__xludf.DUMMYFUNCTION("""COMPUTED_VALUE"""),"")</f>
        <v/>
      </c>
      <c r="M781" s="253" t="str">
        <f t="shared" si="3"/>
        <v/>
      </c>
      <c r="N781" s="319" t="str">
        <f>IFERROR(__xludf.DUMMYFUNCTION("""COMPUTED_VALUE"""),"")</f>
        <v/>
      </c>
      <c r="O781" s="257" t="str">
        <f>IFERROR(__xludf.DUMMYFUNCTION("""COMPUTED_VALUE"""),"")</f>
        <v/>
      </c>
      <c r="P781" s="247" t="str">
        <f t="shared" si="4"/>
        <v/>
      </c>
      <c r="Q781" s="320" t="str">
        <f>IFERROR(__xludf.DUMMYFUNCTION("""COMPUTED_VALUE"""),"")</f>
        <v/>
      </c>
      <c r="R781" s="259" t="str">
        <f>IFERROR(__xludf.DUMMYFUNCTION("""COMPUTED_VALUE"""),"")</f>
        <v/>
      </c>
      <c r="S781" s="250" t="str">
        <f t="shared" si="5"/>
        <v/>
      </c>
      <c r="T781" s="254" t="str">
        <f>IFERROR(__xludf.DUMMYFUNCTION("""COMPUTED_VALUE"""),"")</f>
        <v/>
      </c>
      <c r="U781" s="246" t="str">
        <f>IFERROR(__xludf.DUMMYFUNCTION("""COMPUTED_VALUE"""),"")</f>
        <v/>
      </c>
      <c r="V781" s="247" t="str">
        <f t="shared" si="6"/>
        <v/>
      </c>
      <c r="W781" s="255" t="str">
        <f>IFERROR(__xludf.DUMMYFUNCTION("""COMPUTED_VALUE"""),"")</f>
        <v/>
      </c>
      <c r="X781" s="249" t="str">
        <f>IFERROR(__xludf.DUMMYFUNCTION("""COMPUTED_VALUE"""),"")</f>
        <v/>
      </c>
      <c r="Y781" s="250" t="str">
        <f t="shared" si="7"/>
        <v/>
      </c>
    </row>
    <row r="782">
      <c r="A782" s="136" t="s">
        <v>133</v>
      </c>
      <c r="B782" s="136"/>
      <c r="C782" s="136" t="s">
        <v>133</v>
      </c>
      <c r="D782" s="136"/>
      <c r="E782" s="256" t="str">
        <f>IFERROR(__xludf.DUMMYFUNCTION("""COMPUTED_VALUE"""),"")</f>
        <v/>
      </c>
      <c r="F782" s="257" t="str">
        <f>IFERROR(__xludf.DUMMYFUNCTION("""COMPUTED_VALUE"""),"")</f>
        <v/>
      </c>
      <c r="G782" s="247" t="str">
        <f t="shared" si="1"/>
        <v/>
      </c>
      <c r="H782" s="258" t="str">
        <f>IFERROR(__xludf.DUMMYFUNCTION("""COMPUTED_VALUE"""),"")</f>
        <v/>
      </c>
      <c r="I782" s="259" t="str">
        <f>IFERROR(__xludf.DUMMYFUNCTION("""COMPUTED_VALUE"""),"")</f>
        <v/>
      </c>
      <c r="J782" s="250" t="str">
        <f t="shared" si="2"/>
        <v/>
      </c>
      <c r="K782" s="317" t="str">
        <f>IFERROR(__xludf.DUMMYFUNCTION("""COMPUTED_VALUE"""),"")</f>
        <v/>
      </c>
      <c r="L782" s="318" t="str">
        <f>IFERROR(__xludf.DUMMYFUNCTION("""COMPUTED_VALUE"""),"")</f>
        <v/>
      </c>
      <c r="M782" s="253" t="str">
        <f t="shared" si="3"/>
        <v/>
      </c>
      <c r="N782" s="319" t="str">
        <f>IFERROR(__xludf.DUMMYFUNCTION("""COMPUTED_VALUE"""),"")</f>
        <v/>
      </c>
      <c r="O782" s="257" t="str">
        <f>IFERROR(__xludf.DUMMYFUNCTION("""COMPUTED_VALUE"""),"")</f>
        <v/>
      </c>
      <c r="P782" s="247" t="str">
        <f t="shared" si="4"/>
        <v/>
      </c>
      <c r="Q782" s="320" t="str">
        <f>IFERROR(__xludf.DUMMYFUNCTION("""COMPUTED_VALUE"""),"")</f>
        <v/>
      </c>
      <c r="R782" s="259" t="str">
        <f>IFERROR(__xludf.DUMMYFUNCTION("""COMPUTED_VALUE"""),"")</f>
        <v/>
      </c>
      <c r="S782" s="250" t="str">
        <f t="shared" si="5"/>
        <v/>
      </c>
      <c r="T782" s="254" t="str">
        <f>IFERROR(__xludf.DUMMYFUNCTION("""COMPUTED_VALUE"""),"")</f>
        <v/>
      </c>
      <c r="U782" s="246" t="str">
        <f>IFERROR(__xludf.DUMMYFUNCTION("""COMPUTED_VALUE"""),"")</f>
        <v/>
      </c>
      <c r="V782" s="247" t="str">
        <f t="shared" si="6"/>
        <v/>
      </c>
      <c r="W782" s="255" t="str">
        <f>IFERROR(__xludf.DUMMYFUNCTION("""COMPUTED_VALUE"""),"")</f>
        <v/>
      </c>
      <c r="X782" s="249" t="str">
        <f>IFERROR(__xludf.DUMMYFUNCTION("""COMPUTED_VALUE"""),"")</f>
        <v/>
      </c>
      <c r="Y782" s="250" t="str">
        <f t="shared" si="7"/>
        <v/>
      </c>
    </row>
    <row r="783">
      <c r="A783" s="136" t="s">
        <v>133</v>
      </c>
      <c r="B783" s="136"/>
      <c r="C783" s="136" t="s">
        <v>133</v>
      </c>
      <c r="D783" s="136"/>
      <c r="E783" s="256" t="str">
        <f>IFERROR(__xludf.DUMMYFUNCTION("""COMPUTED_VALUE"""),"")</f>
        <v/>
      </c>
      <c r="F783" s="257" t="str">
        <f>IFERROR(__xludf.DUMMYFUNCTION("""COMPUTED_VALUE"""),"")</f>
        <v/>
      </c>
      <c r="G783" s="247" t="str">
        <f t="shared" si="1"/>
        <v/>
      </c>
      <c r="H783" s="258" t="str">
        <f>IFERROR(__xludf.DUMMYFUNCTION("""COMPUTED_VALUE"""),"")</f>
        <v/>
      </c>
      <c r="I783" s="259" t="str">
        <f>IFERROR(__xludf.DUMMYFUNCTION("""COMPUTED_VALUE"""),"")</f>
        <v/>
      </c>
      <c r="J783" s="250" t="str">
        <f t="shared" si="2"/>
        <v/>
      </c>
      <c r="K783" s="317" t="str">
        <f>IFERROR(__xludf.DUMMYFUNCTION("""COMPUTED_VALUE"""),"")</f>
        <v/>
      </c>
      <c r="L783" s="318" t="str">
        <f>IFERROR(__xludf.DUMMYFUNCTION("""COMPUTED_VALUE"""),"")</f>
        <v/>
      </c>
      <c r="M783" s="253" t="str">
        <f t="shared" si="3"/>
        <v/>
      </c>
      <c r="N783" s="319" t="str">
        <f>IFERROR(__xludf.DUMMYFUNCTION("""COMPUTED_VALUE"""),"")</f>
        <v/>
      </c>
      <c r="O783" s="257" t="str">
        <f>IFERROR(__xludf.DUMMYFUNCTION("""COMPUTED_VALUE"""),"")</f>
        <v/>
      </c>
      <c r="P783" s="247" t="str">
        <f t="shared" si="4"/>
        <v/>
      </c>
      <c r="Q783" s="320" t="str">
        <f>IFERROR(__xludf.DUMMYFUNCTION("""COMPUTED_VALUE"""),"")</f>
        <v/>
      </c>
      <c r="R783" s="259" t="str">
        <f>IFERROR(__xludf.DUMMYFUNCTION("""COMPUTED_VALUE"""),"")</f>
        <v/>
      </c>
      <c r="S783" s="250" t="str">
        <f t="shared" si="5"/>
        <v/>
      </c>
      <c r="T783" s="254" t="str">
        <f>IFERROR(__xludf.DUMMYFUNCTION("""COMPUTED_VALUE"""),"")</f>
        <v/>
      </c>
      <c r="U783" s="246" t="str">
        <f>IFERROR(__xludf.DUMMYFUNCTION("""COMPUTED_VALUE"""),"")</f>
        <v/>
      </c>
      <c r="V783" s="247" t="str">
        <f t="shared" si="6"/>
        <v/>
      </c>
      <c r="W783" s="255" t="str">
        <f>IFERROR(__xludf.DUMMYFUNCTION("""COMPUTED_VALUE"""),"")</f>
        <v/>
      </c>
      <c r="X783" s="249" t="str">
        <f>IFERROR(__xludf.DUMMYFUNCTION("""COMPUTED_VALUE"""),"")</f>
        <v/>
      </c>
      <c r="Y783" s="250" t="str">
        <f t="shared" si="7"/>
        <v/>
      </c>
    </row>
    <row r="784">
      <c r="A784" s="136" t="s">
        <v>133</v>
      </c>
      <c r="B784" s="136"/>
      <c r="C784" s="136" t="s">
        <v>133</v>
      </c>
      <c r="D784" s="136"/>
      <c r="E784" s="256" t="str">
        <f>IFERROR(__xludf.DUMMYFUNCTION("""COMPUTED_VALUE"""),"")</f>
        <v/>
      </c>
      <c r="F784" s="257" t="str">
        <f>IFERROR(__xludf.DUMMYFUNCTION("""COMPUTED_VALUE"""),"")</f>
        <v/>
      </c>
      <c r="G784" s="247" t="str">
        <f t="shared" si="1"/>
        <v/>
      </c>
      <c r="H784" s="258" t="str">
        <f>IFERROR(__xludf.DUMMYFUNCTION("""COMPUTED_VALUE"""),"")</f>
        <v/>
      </c>
      <c r="I784" s="259" t="str">
        <f>IFERROR(__xludf.DUMMYFUNCTION("""COMPUTED_VALUE"""),"")</f>
        <v/>
      </c>
      <c r="J784" s="250" t="str">
        <f t="shared" si="2"/>
        <v/>
      </c>
      <c r="K784" s="317" t="str">
        <f>IFERROR(__xludf.DUMMYFUNCTION("""COMPUTED_VALUE"""),"")</f>
        <v/>
      </c>
      <c r="L784" s="318" t="str">
        <f>IFERROR(__xludf.DUMMYFUNCTION("""COMPUTED_VALUE"""),"")</f>
        <v/>
      </c>
      <c r="M784" s="253" t="str">
        <f t="shared" si="3"/>
        <v/>
      </c>
      <c r="N784" s="319" t="str">
        <f>IFERROR(__xludf.DUMMYFUNCTION("""COMPUTED_VALUE"""),"")</f>
        <v/>
      </c>
      <c r="O784" s="257" t="str">
        <f>IFERROR(__xludf.DUMMYFUNCTION("""COMPUTED_VALUE"""),"")</f>
        <v/>
      </c>
      <c r="P784" s="247" t="str">
        <f t="shared" si="4"/>
        <v/>
      </c>
      <c r="Q784" s="320" t="str">
        <f>IFERROR(__xludf.DUMMYFUNCTION("""COMPUTED_VALUE"""),"")</f>
        <v/>
      </c>
      <c r="R784" s="259" t="str">
        <f>IFERROR(__xludf.DUMMYFUNCTION("""COMPUTED_VALUE"""),"")</f>
        <v/>
      </c>
      <c r="S784" s="250" t="str">
        <f t="shared" si="5"/>
        <v/>
      </c>
      <c r="T784" s="254" t="str">
        <f>IFERROR(__xludf.DUMMYFUNCTION("""COMPUTED_VALUE"""),"")</f>
        <v/>
      </c>
      <c r="U784" s="246" t="str">
        <f>IFERROR(__xludf.DUMMYFUNCTION("""COMPUTED_VALUE"""),"")</f>
        <v/>
      </c>
      <c r="V784" s="247" t="str">
        <f t="shared" si="6"/>
        <v/>
      </c>
      <c r="W784" s="255" t="str">
        <f>IFERROR(__xludf.DUMMYFUNCTION("""COMPUTED_VALUE"""),"")</f>
        <v/>
      </c>
      <c r="X784" s="249" t="str">
        <f>IFERROR(__xludf.DUMMYFUNCTION("""COMPUTED_VALUE"""),"")</f>
        <v/>
      </c>
      <c r="Y784" s="250" t="str">
        <f t="shared" si="7"/>
        <v/>
      </c>
    </row>
    <row r="785">
      <c r="A785" s="136" t="s">
        <v>133</v>
      </c>
      <c r="B785" s="136"/>
      <c r="C785" s="136" t="s">
        <v>133</v>
      </c>
      <c r="D785" s="136"/>
      <c r="E785" s="256" t="str">
        <f>IFERROR(__xludf.DUMMYFUNCTION("""COMPUTED_VALUE"""),"")</f>
        <v/>
      </c>
      <c r="F785" s="257" t="str">
        <f>IFERROR(__xludf.DUMMYFUNCTION("""COMPUTED_VALUE"""),"")</f>
        <v/>
      </c>
      <c r="G785" s="247" t="str">
        <f t="shared" si="1"/>
        <v/>
      </c>
      <c r="H785" s="258" t="str">
        <f>IFERROR(__xludf.DUMMYFUNCTION("""COMPUTED_VALUE"""),"")</f>
        <v/>
      </c>
      <c r="I785" s="259" t="str">
        <f>IFERROR(__xludf.DUMMYFUNCTION("""COMPUTED_VALUE"""),"")</f>
        <v/>
      </c>
      <c r="J785" s="250" t="str">
        <f t="shared" si="2"/>
        <v/>
      </c>
      <c r="K785" s="317" t="str">
        <f>IFERROR(__xludf.DUMMYFUNCTION("""COMPUTED_VALUE"""),"")</f>
        <v/>
      </c>
      <c r="L785" s="318" t="str">
        <f>IFERROR(__xludf.DUMMYFUNCTION("""COMPUTED_VALUE"""),"")</f>
        <v/>
      </c>
      <c r="M785" s="253" t="str">
        <f t="shared" si="3"/>
        <v/>
      </c>
      <c r="N785" s="319" t="str">
        <f>IFERROR(__xludf.DUMMYFUNCTION("""COMPUTED_VALUE"""),"")</f>
        <v/>
      </c>
      <c r="O785" s="257" t="str">
        <f>IFERROR(__xludf.DUMMYFUNCTION("""COMPUTED_VALUE"""),"")</f>
        <v/>
      </c>
      <c r="P785" s="247" t="str">
        <f t="shared" si="4"/>
        <v/>
      </c>
      <c r="Q785" s="320" t="str">
        <f>IFERROR(__xludf.DUMMYFUNCTION("""COMPUTED_VALUE"""),"")</f>
        <v/>
      </c>
      <c r="R785" s="259" t="str">
        <f>IFERROR(__xludf.DUMMYFUNCTION("""COMPUTED_VALUE"""),"")</f>
        <v/>
      </c>
      <c r="S785" s="250" t="str">
        <f t="shared" si="5"/>
        <v/>
      </c>
      <c r="T785" s="254" t="str">
        <f>IFERROR(__xludf.DUMMYFUNCTION("""COMPUTED_VALUE"""),"")</f>
        <v/>
      </c>
      <c r="U785" s="246" t="str">
        <f>IFERROR(__xludf.DUMMYFUNCTION("""COMPUTED_VALUE"""),"")</f>
        <v/>
      </c>
      <c r="V785" s="247" t="str">
        <f t="shared" si="6"/>
        <v/>
      </c>
      <c r="W785" s="255" t="str">
        <f>IFERROR(__xludf.DUMMYFUNCTION("""COMPUTED_VALUE"""),"")</f>
        <v/>
      </c>
      <c r="X785" s="249" t="str">
        <f>IFERROR(__xludf.DUMMYFUNCTION("""COMPUTED_VALUE"""),"")</f>
        <v/>
      </c>
      <c r="Y785" s="250" t="str">
        <f t="shared" si="7"/>
        <v/>
      </c>
    </row>
    <row r="786">
      <c r="A786" s="136" t="s">
        <v>133</v>
      </c>
      <c r="B786" s="136"/>
      <c r="C786" s="136" t="s">
        <v>133</v>
      </c>
      <c r="D786" s="136"/>
      <c r="E786" s="256" t="str">
        <f>IFERROR(__xludf.DUMMYFUNCTION("""COMPUTED_VALUE"""),"")</f>
        <v/>
      </c>
      <c r="F786" s="257" t="str">
        <f>IFERROR(__xludf.DUMMYFUNCTION("""COMPUTED_VALUE"""),"")</f>
        <v/>
      </c>
      <c r="G786" s="247" t="str">
        <f t="shared" si="1"/>
        <v/>
      </c>
      <c r="H786" s="258" t="str">
        <f>IFERROR(__xludf.DUMMYFUNCTION("""COMPUTED_VALUE"""),"")</f>
        <v/>
      </c>
      <c r="I786" s="259" t="str">
        <f>IFERROR(__xludf.DUMMYFUNCTION("""COMPUTED_VALUE"""),"")</f>
        <v/>
      </c>
      <c r="J786" s="250" t="str">
        <f t="shared" si="2"/>
        <v/>
      </c>
      <c r="K786" s="317" t="str">
        <f>IFERROR(__xludf.DUMMYFUNCTION("""COMPUTED_VALUE"""),"")</f>
        <v/>
      </c>
      <c r="L786" s="318" t="str">
        <f>IFERROR(__xludf.DUMMYFUNCTION("""COMPUTED_VALUE"""),"")</f>
        <v/>
      </c>
      <c r="M786" s="253" t="str">
        <f t="shared" si="3"/>
        <v/>
      </c>
      <c r="N786" s="319" t="str">
        <f>IFERROR(__xludf.DUMMYFUNCTION("""COMPUTED_VALUE"""),"")</f>
        <v/>
      </c>
      <c r="O786" s="257" t="str">
        <f>IFERROR(__xludf.DUMMYFUNCTION("""COMPUTED_VALUE"""),"")</f>
        <v/>
      </c>
      <c r="P786" s="247" t="str">
        <f t="shared" si="4"/>
        <v/>
      </c>
      <c r="Q786" s="320" t="str">
        <f>IFERROR(__xludf.DUMMYFUNCTION("""COMPUTED_VALUE"""),"")</f>
        <v/>
      </c>
      <c r="R786" s="259" t="str">
        <f>IFERROR(__xludf.DUMMYFUNCTION("""COMPUTED_VALUE"""),"")</f>
        <v/>
      </c>
      <c r="S786" s="250" t="str">
        <f t="shared" si="5"/>
        <v/>
      </c>
      <c r="T786" s="254" t="str">
        <f>IFERROR(__xludf.DUMMYFUNCTION("""COMPUTED_VALUE"""),"")</f>
        <v/>
      </c>
      <c r="U786" s="246" t="str">
        <f>IFERROR(__xludf.DUMMYFUNCTION("""COMPUTED_VALUE"""),"")</f>
        <v/>
      </c>
      <c r="V786" s="247" t="str">
        <f t="shared" si="6"/>
        <v/>
      </c>
      <c r="W786" s="255" t="str">
        <f>IFERROR(__xludf.DUMMYFUNCTION("""COMPUTED_VALUE"""),"")</f>
        <v/>
      </c>
      <c r="X786" s="249" t="str">
        <f>IFERROR(__xludf.DUMMYFUNCTION("""COMPUTED_VALUE"""),"")</f>
        <v/>
      </c>
      <c r="Y786" s="250" t="str">
        <f t="shared" si="7"/>
        <v/>
      </c>
    </row>
    <row r="787">
      <c r="A787" s="136" t="s">
        <v>133</v>
      </c>
      <c r="B787" s="136"/>
      <c r="C787" s="136" t="s">
        <v>133</v>
      </c>
      <c r="D787" s="136"/>
      <c r="E787" s="256" t="str">
        <f>IFERROR(__xludf.DUMMYFUNCTION("""COMPUTED_VALUE"""),"")</f>
        <v/>
      </c>
      <c r="F787" s="257" t="str">
        <f>IFERROR(__xludf.DUMMYFUNCTION("""COMPUTED_VALUE"""),"")</f>
        <v/>
      </c>
      <c r="G787" s="247" t="str">
        <f t="shared" si="1"/>
        <v/>
      </c>
      <c r="H787" s="258" t="str">
        <f>IFERROR(__xludf.DUMMYFUNCTION("""COMPUTED_VALUE"""),"")</f>
        <v/>
      </c>
      <c r="I787" s="259" t="str">
        <f>IFERROR(__xludf.DUMMYFUNCTION("""COMPUTED_VALUE"""),"")</f>
        <v/>
      </c>
      <c r="J787" s="250" t="str">
        <f t="shared" si="2"/>
        <v/>
      </c>
      <c r="K787" s="317" t="str">
        <f>IFERROR(__xludf.DUMMYFUNCTION("""COMPUTED_VALUE"""),"")</f>
        <v/>
      </c>
      <c r="L787" s="318" t="str">
        <f>IFERROR(__xludf.DUMMYFUNCTION("""COMPUTED_VALUE"""),"")</f>
        <v/>
      </c>
      <c r="M787" s="253" t="str">
        <f t="shared" si="3"/>
        <v/>
      </c>
      <c r="N787" s="319" t="str">
        <f>IFERROR(__xludf.DUMMYFUNCTION("""COMPUTED_VALUE"""),"")</f>
        <v/>
      </c>
      <c r="O787" s="257" t="str">
        <f>IFERROR(__xludf.DUMMYFUNCTION("""COMPUTED_VALUE"""),"")</f>
        <v/>
      </c>
      <c r="P787" s="247" t="str">
        <f t="shared" si="4"/>
        <v/>
      </c>
      <c r="Q787" s="320" t="str">
        <f>IFERROR(__xludf.DUMMYFUNCTION("""COMPUTED_VALUE"""),"")</f>
        <v/>
      </c>
      <c r="R787" s="259" t="str">
        <f>IFERROR(__xludf.DUMMYFUNCTION("""COMPUTED_VALUE"""),"")</f>
        <v/>
      </c>
      <c r="S787" s="250" t="str">
        <f t="shared" si="5"/>
        <v/>
      </c>
      <c r="T787" s="254" t="str">
        <f>IFERROR(__xludf.DUMMYFUNCTION("""COMPUTED_VALUE"""),"")</f>
        <v/>
      </c>
      <c r="U787" s="246" t="str">
        <f>IFERROR(__xludf.DUMMYFUNCTION("""COMPUTED_VALUE"""),"")</f>
        <v/>
      </c>
      <c r="V787" s="247" t="str">
        <f t="shared" si="6"/>
        <v/>
      </c>
      <c r="W787" s="255" t="str">
        <f>IFERROR(__xludf.DUMMYFUNCTION("""COMPUTED_VALUE"""),"")</f>
        <v/>
      </c>
      <c r="X787" s="249" t="str">
        <f>IFERROR(__xludf.DUMMYFUNCTION("""COMPUTED_VALUE"""),"")</f>
        <v/>
      </c>
      <c r="Y787" s="250" t="str">
        <f t="shared" si="7"/>
        <v/>
      </c>
    </row>
    <row r="788">
      <c r="A788" s="136" t="s">
        <v>133</v>
      </c>
      <c r="B788" s="136"/>
      <c r="C788" s="136" t="s">
        <v>133</v>
      </c>
      <c r="D788" s="136"/>
      <c r="E788" s="256" t="str">
        <f>IFERROR(__xludf.DUMMYFUNCTION("""COMPUTED_VALUE"""),"")</f>
        <v/>
      </c>
      <c r="F788" s="257" t="str">
        <f>IFERROR(__xludf.DUMMYFUNCTION("""COMPUTED_VALUE"""),"")</f>
        <v/>
      </c>
      <c r="G788" s="247" t="str">
        <f t="shared" si="1"/>
        <v/>
      </c>
      <c r="H788" s="258" t="str">
        <f>IFERROR(__xludf.DUMMYFUNCTION("""COMPUTED_VALUE"""),"")</f>
        <v/>
      </c>
      <c r="I788" s="259" t="str">
        <f>IFERROR(__xludf.DUMMYFUNCTION("""COMPUTED_VALUE"""),"")</f>
        <v/>
      </c>
      <c r="J788" s="250" t="str">
        <f t="shared" si="2"/>
        <v/>
      </c>
      <c r="K788" s="317" t="str">
        <f>IFERROR(__xludf.DUMMYFUNCTION("""COMPUTED_VALUE"""),"")</f>
        <v/>
      </c>
      <c r="L788" s="318" t="str">
        <f>IFERROR(__xludf.DUMMYFUNCTION("""COMPUTED_VALUE"""),"")</f>
        <v/>
      </c>
      <c r="M788" s="253" t="str">
        <f t="shared" si="3"/>
        <v/>
      </c>
      <c r="N788" s="319" t="str">
        <f>IFERROR(__xludf.DUMMYFUNCTION("""COMPUTED_VALUE"""),"")</f>
        <v/>
      </c>
      <c r="O788" s="257" t="str">
        <f>IFERROR(__xludf.DUMMYFUNCTION("""COMPUTED_VALUE"""),"")</f>
        <v/>
      </c>
      <c r="P788" s="247" t="str">
        <f t="shared" si="4"/>
        <v/>
      </c>
      <c r="Q788" s="320" t="str">
        <f>IFERROR(__xludf.DUMMYFUNCTION("""COMPUTED_VALUE"""),"")</f>
        <v/>
      </c>
      <c r="R788" s="259" t="str">
        <f>IFERROR(__xludf.DUMMYFUNCTION("""COMPUTED_VALUE"""),"")</f>
        <v/>
      </c>
      <c r="S788" s="250" t="str">
        <f t="shared" si="5"/>
        <v/>
      </c>
      <c r="T788" s="254" t="str">
        <f>IFERROR(__xludf.DUMMYFUNCTION("""COMPUTED_VALUE"""),"")</f>
        <v/>
      </c>
      <c r="U788" s="246" t="str">
        <f>IFERROR(__xludf.DUMMYFUNCTION("""COMPUTED_VALUE"""),"")</f>
        <v/>
      </c>
      <c r="V788" s="247" t="str">
        <f t="shared" si="6"/>
        <v/>
      </c>
      <c r="W788" s="255" t="str">
        <f>IFERROR(__xludf.DUMMYFUNCTION("""COMPUTED_VALUE"""),"")</f>
        <v/>
      </c>
      <c r="X788" s="249" t="str">
        <f>IFERROR(__xludf.DUMMYFUNCTION("""COMPUTED_VALUE"""),"")</f>
        <v/>
      </c>
      <c r="Y788" s="250" t="str">
        <f t="shared" si="7"/>
        <v/>
      </c>
    </row>
    <row r="789">
      <c r="A789" s="136" t="s">
        <v>133</v>
      </c>
      <c r="B789" s="136"/>
      <c r="C789" s="136" t="s">
        <v>133</v>
      </c>
      <c r="D789" s="136"/>
      <c r="E789" s="256" t="str">
        <f>IFERROR(__xludf.DUMMYFUNCTION("""COMPUTED_VALUE"""),"")</f>
        <v/>
      </c>
      <c r="F789" s="257" t="str">
        <f>IFERROR(__xludf.DUMMYFUNCTION("""COMPUTED_VALUE"""),"")</f>
        <v/>
      </c>
      <c r="G789" s="247" t="str">
        <f t="shared" si="1"/>
        <v/>
      </c>
      <c r="H789" s="258" t="str">
        <f>IFERROR(__xludf.DUMMYFUNCTION("""COMPUTED_VALUE"""),"")</f>
        <v/>
      </c>
      <c r="I789" s="259" t="str">
        <f>IFERROR(__xludf.DUMMYFUNCTION("""COMPUTED_VALUE"""),"")</f>
        <v/>
      </c>
      <c r="J789" s="250" t="str">
        <f t="shared" si="2"/>
        <v/>
      </c>
      <c r="K789" s="317" t="str">
        <f>IFERROR(__xludf.DUMMYFUNCTION("""COMPUTED_VALUE"""),"")</f>
        <v/>
      </c>
      <c r="L789" s="318" t="str">
        <f>IFERROR(__xludf.DUMMYFUNCTION("""COMPUTED_VALUE"""),"")</f>
        <v/>
      </c>
      <c r="M789" s="253" t="str">
        <f t="shared" si="3"/>
        <v/>
      </c>
      <c r="N789" s="319" t="str">
        <f>IFERROR(__xludf.DUMMYFUNCTION("""COMPUTED_VALUE"""),"")</f>
        <v/>
      </c>
      <c r="O789" s="257" t="str">
        <f>IFERROR(__xludf.DUMMYFUNCTION("""COMPUTED_VALUE"""),"")</f>
        <v/>
      </c>
      <c r="P789" s="247" t="str">
        <f t="shared" si="4"/>
        <v/>
      </c>
      <c r="Q789" s="320" t="str">
        <f>IFERROR(__xludf.DUMMYFUNCTION("""COMPUTED_VALUE"""),"")</f>
        <v/>
      </c>
      <c r="R789" s="259" t="str">
        <f>IFERROR(__xludf.DUMMYFUNCTION("""COMPUTED_VALUE"""),"")</f>
        <v/>
      </c>
      <c r="S789" s="250" t="str">
        <f t="shared" si="5"/>
        <v/>
      </c>
      <c r="T789" s="254" t="str">
        <f>IFERROR(__xludf.DUMMYFUNCTION("""COMPUTED_VALUE"""),"")</f>
        <v/>
      </c>
      <c r="U789" s="246" t="str">
        <f>IFERROR(__xludf.DUMMYFUNCTION("""COMPUTED_VALUE"""),"")</f>
        <v/>
      </c>
      <c r="V789" s="247" t="str">
        <f t="shared" si="6"/>
        <v/>
      </c>
      <c r="W789" s="255" t="str">
        <f>IFERROR(__xludf.DUMMYFUNCTION("""COMPUTED_VALUE"""),"")</f>
        <v/>
      </c>
      <c r="X789" s="249" t="str">
        <f>IFERROR(__xludf.DUMMYFUNCTION("""COMPUTED_VALUE"""),"")</f>
        <v/>
      </c>
      <c r="Y789" s="250" t="str">
        <f t="shared" si="7"/>
        <v/>
      </c>
    </row>
    <row r="790">
      <c r="A790" s="136" t="s">
        <v>133</v>
      </c>
      <c r="B790" s="136"/>
      <c r="C790" s="136" t="s">
        <v>133</v>
      </c>
      <c r="D790" s="136"/>
      <c r="E790" s="256" t="str">
        <f>IFERROR(__xludf.DUMMYFUNCTION("""COMPUTED_VALUE"""),"")</f>
        <v/>
      </c>
      <c r="F790" s="257" t="str">
        <f>IFERROR(__xludf.DUMMYFUNCTION("""COMPUTED_VALUE"""),"")</f>
        <v/>
      </c>
      <c r="G790" s="247" t="str">
        <f t="shared" si="1"/>
        <v/>
      </c>
      <c r="H790" s="258" t="str">
        <f>IFERROR(__xludf.DUMMYFUNCTION("""COMPUTED_VALUE"""),"")</f>
        <v/>
      </c>
      <c r="I790" s="259" t="str">
        <f>IFERROR(__xludf.DUMMYFUNCTION("""COMPUTED_VALUE"""),"")</f>
        <v/>
      </c>
      <c r="J790" s="250" t="str">
        <f t="shared" si="2"/>
        <v/>
      </c>
      <c r="K790" s="317" t="str">
        <f>IFERROR(__xludf.DUMMYFUNCTION("""COMPUTED_VALUE"""),"")</f>
        <v/>
      </c>
      <c r="L790" s="318" t="str">
        <f>IFERROR(__xludf.DUMMYFUNCTION("""COMPUTED_VALUE"""),"")</f>
        <v/>
      </c>
      <c r="M790" s="253" t="str">
        <f t="shared" si="3"/>
        <v/>
      </c>
      <c r="N790" s="319" t="str">
        <f>IFERROR(__xludf.DUMMYFUNCTION("""COMPUTED_VALUE"""),"")</f>
        <v/>
      </c>
      <c r="O790" s="257" t="str">
        <f>IFERROR(__xludf.DUMMYFUNCTION("""COMPUTED_VALUE"""),"")</f>
        <v/>
      </c>
      <c r="P790" s="247" t="str">
        <f t="shared" si="4"/>
        <v/>
      </c>
      <c r="Q790" s="320" t="str">
        <f>IFERROR(__xludf.DUMMYFUNCTION("""COMPUTED_VALUE"""),"")</f>
        <v/>
      </c>
      <c r="R790" s="259" t="str">
        <f>IFERROR(__xludf.DUMMYFUNCTION("""COMPUTED_VALUE"""),"")</f>
        <v/>
      </c>
      <c r="S790" s="250" t="str">
        <f t="shared" si="5"/>
        <v/>
      </c>
      <c r="T790" s="254" t="str">
        <f>IFERROR(__xludf.DUMMYFUNCTION("""COMPUTED_VALUE"""),"")</f>
        <v/>
      </c>
      <c r="U790" s="246" t="str">
        <f>IFERROR(__xludf.DUMMYFUNCTION("""COMPUTED_VALUE"""),"")</f>
        <v/>
      </c>
      <c r="V790" s="247" t="str">
        <f t="shared" si="6"/>
        <v/>
      </c>
      <c r="W790" s="255" t="str">
        <f>IFERROR(__xludf.DUMMYFUNCTION("""COMPUTED_VALUE"""),"")</f>
        <v/>
      </c>
      <c r="X790" s="249" t="str">
        <f>IFERROR(__xludf.DUMMYFUNCTION("""COMPUTED_VALUE"""),"")</f>
        <v/>
      </c>
      <c r="Y790" s="250" t="str">
        <f t="shared" si="7"/>
        <v/>
      </c>
    </row>
    <row r="791">
      <c r="A791" s="136" t="s">
        <v>133</v>
      </c>
      <c r="B791" s="136"/>
      <c r="C791" s="136" t="s">
        <v>133</v>
      </c>
      <c r="D791" s="136"/>
      <c r="E791" s="256" t="str">
        <f>IFERROR(__xludf.DUMMYFUNCTION("""COMPUTED_VALUE"""),"")</f>
        <v/>
      </c>
      <c r="F791" s="257" t="str">
        <f>IFERROR(__xludf.DUMMYFUNCTION("""COMPUTED_VALUE"""),"")</f>
        <v/>
      </c>
      <c r="G791" s="247" t="str">
        <f t="shared" si="1"/>
        <v/>
      </c>
      <c r="H791" s="258" t="str">
        <f>IFERROR(__xludf.DUMMYFUNCTION("""COMPUTED_VALUE"""),"")</f>
        <v/>
      </c>
      <c r="I791" s="259" t="str">
        <f>IFERROR(__xludf.DUMMYFUNCTION("""COMPUTED_VALUE"""),"")</f>
        <v/>
      </c>
      <c r="J791" s="250" t="str">
        <f t="shared" si="2"/>
        <v/>
      </c>
      <c r="K791" s="317" t="str">
        <f>IFERROR(__xludf.DUMMYFUNCTION("""COMPUTED_VALUE"""),"")</f>
        <v/>
      </c>
      <c r="L791" s="318" t="str">
        <f>IFERROR(__xludf.DUMMYFUNCTION("""COMPUTED_VALUE"""),"")</f>
        <v/>
      </c>
      <c r="M791" s="253" t="str">
        <f t="shared" si="3"/>
        <v/>
      </c>
      <c r="N791" s="319" t="str">
        <f>IFERROR(__xludf.DUMMYFUNCTION("""COMPUTED_VALUE"""),"")</f>
        <v/>
      </c>
      <c r="O791" s="257" t="str">
        <f>IFERROR(__xludf.DUMMYFUNCTION("""COMPUTED_VALUE"""),"")</f>
        <v/>
      </c>
      <c r="P791" s="247" t="str">
        <f t="shared" si="4"/>
        <v/>
      </c>
      <c r="Q791" s="320" t="str">
        <f>IFERROR(__xludf.DUMMYFUNCTION("""COMPUTED_VALUE"""),"")</f>
        <v/>
      </c>
      <c r="R791" s="259" t="str">
        <f>IFERROR(__xludf.DUMMYFUNCTION("""COMPUTED_VALUE"""),"")</f>
        <v/>
      </c>
      <c r="S791" s="250" t="str">
        <f t="shared" si="5"/>
        <v/>
      </c>
      <c r="T791" s="254" t="str">
        <f>IFERROR(__xludf.DUMMYFUNCTION("""COMPUTED_VALUE"""),"")</f>
        <v/>
      </c>
      <c r="U791" s="246" t="str">
        <f>IFERROR(__xludf.DUMMYFUNCTION("""COMPUTED_VALUE"""),"")</f>
        <v/>
      </c>
      <c r="V791" s="247" t="str">
        <f t="shared" si="6"/>
        <v/>
      </c>
      <c r="W791" s="255" t="str">
        <f>IFERROR(__xludf.DUMMYFUNCTION("""COMPUTED_VALUE"""),"")</f>
        <v/>
      </c>
      <c r="X791" s="249" t="str">
        <f>IFERROR(__xludf.DUMMYFUNCTION("""COMPUTED_VALUE"""),"")</f>
        <v/>
      </c>
      <c r="Y791" s="250" t="str">
        <f t="shared" si="7"/>
        <v/>
      </c>
    </row>
    <row r="792">
      <c r="A792" s="136" t="s">
        <v>133</v>
      </c>
      <c r="B792" s="136"/>
      <c r="C792" s="136" t="s">
        <v>133</v>
      </c>
      <c r="D792" s="136"/>
      <c r="E792" s="256" t="str">
        <f>IFERROR(__xludf.DUMMYFUNCTION("""COMPUTED_VALUE"""),"")</f>
        <v/>
      </c>
      <c r="F792" s="257" t="str">
        <f>IFERROR(__xludf.DUMMYFUNCTION("""COMPUTED_VALUE"""),"")</f>
        <v/>
      </c>
      <c r="G792" s="247" t="str">
        <f t="shared" si="1"/>
        <v/>
      </c>
      <c r="H792" s="258" t="str">
        <f>IFERROR(__xludf.DUMMYFUNCTION("""COMPUTED_VALUE"""),"")</f>
        <v/>
      </c>
      <c r="I792" s="259" t="str">
        <f>IFERROR(__xludf.DUMMYFUNCTION("""COMPUTED_VALUE"""),"")</f>
        <v/>
      </c>
      <c r="J792" s="250" t="str">
        <f t="shared" si="2"/>
        <v/>
      </c>
      <c r="K792" s="317" t="str">
        <f>IFERROR(__xludf.DUMMYFUNCTION("""COMPUTED_VALUE"""),"")</f>
        <v/>
      </c>
      <c r="L792" s="318" t="str">
        <f>IFERROR(__xludf.DUMMYFUNCTION("""COMPUTED_VALUE"""),"")</f>
        <v/>
      </c>
      <c r="M792" s="253" t="str">
        <f t="shared" si="3"/>
        <v/>
      </c>
      <c r="N792" s="319" t="str">
        <f>IFERROR(__xludf.DUMMYFUNCTION("""COMPUTED_VALUE"""),"")</f>
        <v/>
      </c>
      <c r="O792" s="257" t="str">
        <f>IFERROR(__xludf.DUMMYFUNCTION("""COMPUTED_VALUE"""),"")</f>
        <v/>
      </c>
      <c r="P792" s="247" t="str">
        <f t="shared" si="4"/>
        <v/>
      </c>
      <c r="Q792" s="320" t="str">
        <f>IFERROR(__xludf.DUMMYFUNCTION("""COMPUTED_VALUE"""),"")</f>
        <v/>
      </c>
      <c r="R792" s="259" t="str">
        <f>IFERROR(__xludf.DUMMYFUNCTION("""COMPUTED_VALUE"""),"")</f>
        <v/>
      </c>
      <c r="S792" s="250" t="str">
        <f t="shared" si="5"/>
        <v/>
      </c>
      <c r="T792" s="254" t="str">
        <f>IFERROR(__xludf.DUMMYFUNCTION("""COMPUTED_VALUE"""),"")</f>
        <v/>
      </c>
      <c r="U792" s="246" t="str">
        <f>IFERROR(__xludf.DUMMYFUNCTION("""COMPUTED_VALUE"""),"")</f>
        <v/>
      </c>
      <c r="V792" s="247" t="str">
        <f t="shared" si="6"/>
        <v/>
      </c>
      <c r="W792" s="255" t="str">
        <f>IFERROR(__xludf.DUMMYFUNCTION("""COMPUTED_VALUE"""),"")</f>
        <v/>
      </c>
      <c r="X792" s="249" t="str">
        <f>IFERROR(__xludf.DUMMYFUNCTION("""COMPUTED_VALUE"""),"")</f>
        <v/>
      </c>
      <c r="Y792" s="250" t="str">
        <f t="shared" si="7"/>
        <v/>
      </c>
    </row>
    <row r="793">
      <c r="A793" s="136" t="s">
        <v>133</v>
      </c>
      <c r="B793" s="136"/>
      <c r="C793" s="136" t="s">
        <v>133</v>
      </c>
      <c r="D793" s="136"/>
      <c r="E793" s="256" t="str">
        <f>IFERROR(__xludf.DUMMYFUNCTION("""COMPUTED_VALUE"""),"")</f>
        <v/>
      </c>
      <c r="F793" s="257" t="str">
        <f>IFERROR(__xludf.DUMMYFUNCTION("""COMPUTED_VALUE"""),"")</f>
        <v/>
      </c>
      <c r="G793" s="247" t="str">
        <f t="shared" si="1"/>
        <v/>
      </c>
      <c r="H793" s="258" t="str">
        <f>IFERROR(__xludf.DUMMYFUNCTION("""COMPUTED_VALUE"""),"")</f>
        <v/>
      </c>
      <c r="I793" s="259" t="str">
        <f>IFERROR(__xludf.DUMMYFUNCTION("""COMPUTED_VALUE"""),"")</f>
        <v/>
      </c>
      <c r="J793" s="250" t="str">
        <f t="shared" si="2"/>
        <v/>
      </c>
      <c r="K793" s="317" t="str">
        <f>IFERROR(__xludf.DUMMYFUNCTION("""COMPUTED_VALUE"""),"")</f>
        <v/>
      </c>
      <c r="L793" s="318" t="str">
        <f>IFERROR(__xludf.DUMMYFUNCTION("""COMPUTED_VALUE"""),"")</f>
        <v/>
      </c>
      <c r="M793" s="253" t="str">
        <f t="shared" si="3"/>
        <v/>
      </c>
      <c r="N793" s="319" t="str">
        <f>IFERROR(__xludf.DUMMYFUNCTION("""COMPUTED_VALUE"""),"")</f>
        <v/>
      </c>
      <c r="O793" s="257" t="str">
        <f>IFERROR(__xludf.DUMMYFUNCTION("""COMPUTED_VALUE"""),"")</f>
        <v/>
      </c>
      <c r="P793" s="247" t="str">
        <f t="shared" si="4"/>
        <v/>
      </c>
      <c r="Q793" s="320" t="str">
        <f>IFERROR(__xludf.DUMMYFUNCTION("""COMPUTED_VALUE"""),"")</f>
        <v/>
      </c>
      <c r="R793" s="259" t="str">
        <f>IFERROR(__xludf.DUMMYFUNCTION("""COMPUTED_VALUE"""),"")</f>
        <v/>
      </c>
      <c r="S793" s="250" t="str">
        <f t="shared" si="5"/>
        <v/>
      </c>
      <c r="T793" s="254" t="str">
        <f>IFERROR(__xludf.DUMMYFUNCTION("""COMPUTED_VALUE"""),"")</f>
        <v/>
      </c>
      <c r="U793" s="246" t="str">
        <f>IFERROR(__xludf.DUMMYFUNCTION("""COMPUTED_VALUE"""),"")</f>
        <v/>
      </c>
      <c r="V793" s="247" t="str">
        <f t="shared" si="6"/>
        <v/>
      </c>
      <c r="W793" s="255" t="str">
        <f>IFERROR(__xludf.DUMMYFUNCTION("""COMPUTED_VALUE"""),"")</f>
        <v/>
      </c>
      <c r="X793" s="249" t="str">
        <f>IFERROR(__xludf.DUMMYFUNCTION("""COMPUTED_VALUE"""),"")</f>
        <v/>
      </c>
      <c r="Y793" s="250" t="str">
        <f t="shared" si="7"/>
        <v/>
      </c>
    </row>
    <row r="794">
      <c r="A794" s="136" t="s">
        <v>133</v>
      </c>
      <c r="B794" s="136"/>
      <c r="C794" s="136" t="s">
        <v>133</v>
      </c>
      <c r="D794" s="136"/>
      <c r="E794" s="256" t="str">
        <f>IFERROR(__xludf.DUMMYFUNCTION("""COMPUTED_VALUE"""),"")</f>
        <v/>
      </c>
      <c r="F794" s="257" t="str">
        <f>IFERROR(__xludf.DUMMYFUNCTION("""COMPUTED_VALUE"""),"")</f>
        <v/>
      </c>
      <c r="G794" s="247" t="str">
        <f t="shared" si="1"/>
        <v/>
      </c>
      <c r="H794" s="258" t="str">
        <f>IFERROR(__xludf.DUMMYFUNCTION("""COMPUTED_VALUE"""),"")</f>
        <v/>
      </c>
      <c r="I794" s="259" t="str">
        <f>IFERROR(__xludf.DUMMYFUNCTION("""COMPUTED_VALUE"""),"")</f>
        <v/>
      </c>
      <c r="J794" s="250" t="str">
        <f t="shared" si="2"/>
        <v/>
      </c>
      <c r="K794" s="317" t="str">
        <f>IFERROR(__xludf.DUMMYFUNCTION("""COMPUTED_VALUE"""),"")</f>
        <v/>
      </c>
      <c r="L794" s="318" t="str">
        <f>IFERROR(__xludf.DUMMYFUNCTION("""COMPUTED_VALUE"""),"")</f>
        <v/>
      </c>
      <c r="M794" s="253" t="str">
        <f t="shared" si="3"/>
        <v/>
      </c>
      <c r="N794" s="319" t="str">
        <f>IFERROR(__xludf.DUMMYFUNCTION("""COMPUTED_VALUE"""),"")</f>
        <v/>
      </c>
      <c r="O794" s="257" t="str">
        <f>IFERROR(__xludf.DUMMYFUNCTION("""COMPUTED_VALUE"""),"")</f>
        <v/>
      </c>
      <c r="P794" s="247" t="str">
        <f t="shared" si="4"/>
        <v/>
      </c>
      <c r="Q794" s="320" t="str">
        <f>IFERROR(__xludf.DUMMYFUNCTION("""COMPUTED_VALUE"""),"")</f>
        <v/>
      </c>
      <c r="R794" s="259" t="str">
        <f>IFERROR(__xludf.DUMMYFUNCTION("""COMPUTED_VALUE"""),"")</f>
        <v/>
      </c>
      <c r="S794" s="250" t="str">
        <f t="shared" si="5"/>
        <v/>
      </c>
      <c r="T794" s="254" t="str">
        <f>IFERROR(__xludf.DUMMYFUNCTION("""COMPUTED_VALUE"""),"")</f>
        <v/>
      </c>
      <c r="U794" s="246" t="str">
        <f>IFERROR(__xludf.DUMMYFUNCTION("""COMPUTED_VALUE"""),"")</f>
        <v/>
      </c>
      <c r="V794" s="247" t="str">
        <f t="shared" si="6"/>
        <v/>
      </c>
      <c r="W794" s="255" t="str">
        <f>IFERROR(__xludf.DUMMYFUNCTION("""COMPUTED_VALUE"""),"")</f>
        <v/>
      </c>
      <c r="X794" s="249" t="str">
        <f>IFERROR(__xludf.DUMMYFUNCTION("""COMPUTED_VALUE"""),"")</f>
        <v/>
      </c>
      <c r="Y794" s="250" t="str">
        <f t="shared" si="7"/>
        <v/>
      </c>
    </row>
    <row r="795">
      <c r="A795" s="136" t="s">
        <v>133</v>
      </c>
      <c r="B795" s="136"/>
      <c r="C795" s="136" t="s">
        <v>133</v>
      </c>
      <c r="D795" s="136"/>
      <c r="E795" s="256" t="str">
        <f>IFERROR(__xludf.DUMMYFUNCTION("""COMPUTED_VALUE"""),"")</f>
        <v/>
      </c>
      <c r="F795" s="257" t="str">
        <f>IFERROR(__xludf.DUMMYFUNCTION("""COMPUTED_VALUE"""),"")</f>
        <v/>
      </c>
      <c r="G795" s="247" t="str">
        <f t="shared" si="1"/>
        <v/>
      </c>
      <c r="H795" s="258" t="str">
        <f>IFERROR(__xludf.DUMMYFUNCTION("""COMPUTED_VALUE"""),"")</f>
        <v/>
      </c>
      <c r="I795" s="259" t="str">
        <f>IFERROR(__xludf.DUMMYFUNCTION("""COMPUTED_VALUE"""),"")</f>
        <v/>
      </c>
      <c r="J795" s="250" t="str">
        <f t="shared" si="2"/>
        <v/>
      </c>
      <c r="K795" s="317" t="str">
        <f>IFERROR(__xludf.DUMMYFUNCTION("""COMPUTED_VALUE"""),"")</f>
        <v/>
      </c>
      <c r="L795" s="318" t="str">
        <f>IFERROR(__xludf.DUMMYFUNCTION("""COMPUTED_VALUE"""),"")</f>
        <v/>
      </c>
      <c r="M795" s="253" t="str">
        <f t="shared" si="3"/>
        <v/>
      </c>
      <c r="N795" s="319" t="str">
        <f>IFERROR(__xludf.DUMMYFUNCTION("""COMPUTED_VALUE"""),"")</f>
        <v/>
      </c>
      <c r="O795" s="257" t="str">
        <f>IFERROR(__xludf.DUMMYFUNCTION("""COMPUTED_VALUE"""),"")</f>
        <v/>
      </c>
      <c r="P795" s="247" t="str">
        <f t="shared" si="4"/>
        <v/>
      </c>
      <c r="Q795" s="320" t="str">
        <f>IFERROR(__xludf.DUMMYFUNCTION("""COMPUTED_VALUE"""),"")</f>
        <v/>
      </c>
      <c r="R795" s="259" t="str">
        <f>IFERROR(__xludf.DUMMYFUNCTION("""COMPUTED_VALUE"""),"")</f>
        <v/>
      </c>
      <c r="S795" s="250" t="str">
        <f t="shared" si="5"/>
        <v/>
      </c>
      <c r="T795" s="254" t="str">
        <f>IFERROR(__xludf.DUMMYFUNCTION("""COMPUTED_VALUE"""),"")</f>
        <v/>
      </c>
      <c r="U795" s="246" t="str">
        <f>IFERROR(__xludf.DUMMYFUNCTION("""COMPUTED_VALUE"""),"")</f>
        <v/>
      </c>
      <c r="V795" s="247" t="str">
        <f t="shared" si="6"/>
        <v/>
      </c>
      <c r="W795" s="255" t="str">
        <f>IFERROR(__xludf.DUMMYFUNCTION("""COMPUTED_VALUE"""),"")</f>
        <v/>
      </c>
      <c r="X795" s="249" t="str">
        <f>IFERROR(__xludf.DUMMYFUNCTION("""COMPUTED_VALUE"""),"")</f>
        <v/>
      </c>
      <c r="Y795" s="250" t="str">
        <f t="shared" si="7"/>
        <v/>
      </c>
    </row>
    <row r="796">
      <c r="A796" s="136" t="s">
        <v>133</v>
      </c>
      <c r="B796" s="136"/>
      <c r="C796" s="136" t="s">
        <v>133</v>
      </c>
      <c r="D796" s="136"/>
      <c r="E796" s="256" t="str">
        <f>IFERROR(__xludf.DUMMYFUNCTION("""COMPUTED_VALUE"""),"")</f>
        <v/>
      </c>
      <c r="F796" s="257" t="str">
        <f>IFERROR(__xludf.DUMMYFUNCTION("""COMPUTED_VALUE"""),"")</f>
        <v/>
      </c>
      <c r="G796" s="247" t="str">
        <f t="shared" si="1"/>
        <v/>
      </c>
      <c r="H796" s="258" t="str">
        <f>IFERROR(__xludf.DUMMYFUNCTION("""COMPUTED_VALUE"""),"")</f>
        <v/>
      </c>
      <c r="I796" s="259" t="str">
        <f>IFERROR(__xludf.DUMMYFUNCTION("""COMPUTED_VALUE"""),"")</f>
        <v/>
      </c>
      <c r="J796" s="250" t="str">
        <f t="shared" si="2"/>
        <v/>
      </c>
      <c r="K796" s="317" t="str">
        <f>IFERROR(__xludf.DUMMYFUNCTION("""COMPUTED_VALUE"""),"")</f>
        <v/>
      </c>
      <c r="L796" s="318" t="str">
        <f>IFERROR(__xludf.DUMMYFUNCTION("""COMPUTED_VALUE"""),"")</f>
        <v/>
      </c>
      <c r="M796" s="253" t="str">
        <f t="shared" si="3"/>
        <v/>
      </c>
      <c r="N796" s="319" t="str">
        <f>IFERROR(__xludf.DUMMYFUNCTION("""COMPUTED_VALUE"""),"")</f>
        <v/>
      </c>
      <c r="O796" s="257" t="str">
        <f>IFERROR(__xludf.DUMMYFUNCTION("""COMPUTED_VALUE"""),"")</f>
        <v/>
      </c>
      <c r="P796" s="247" t="str">
        <f t="shared" si="4"/>
        <v/>
      </c>
      <c r="Q796" s="320" t="str">
        <f>IFERROR(__xludf.DUMMYFUNCTION("""COMPUTED_VALUE"""),"")</f>
        <v/>
      </c>
      <c r="R796" s="259" t="str">
        <f>IFERROR(__xludf.DUMMYFUNCTION("""COMPUTED_VALUE"""),"")</f>
        <v/>
      </c>
      <c r="S796" s="250" t="str">
        <f t="shared" si="5"/>
        <v/>
      </c>
      <c r="T796" s="254" t="str">
        <f>IFERROR(__xludf.DUMMYFUNCTION("""COMPUTED_VALUE"""),"")</f>
        <v/>
      </c>
      <c r="U796" s="246" t="str">
        <f>IFERROR(__xludf.DUMMYFUNCTION("""COMPUTED_VALUE"""),"")</f>
        <v/>
      </c>
      <c r="V796" s="247" t="str">
        <f t="shared" si="6"/>
        <v/>
      </c>
      <c r="W796" s="255" t="str">
        <f>IFERROR(__xludf.DUMMYFUNCTION("""COMPUTED_VALUE"""),"")</f>
        <v/>
      </c>
      <c r="X796" s="249" t="str">
        <f>IFERROR(__xludf.DUMMYFUNCTION("""COMPUTED_VALUE"""),"")</f>
        <v/>
      </c>
      <c r="Y796" s="250" t="str">
        <f t="shared" si="7"/>
        <v/>
      </c>
    </row>
    <row r="797">
      <c r="A797" s="136" t="s">
        <v>133</v>
      </c>
      <c r="B797" s="136"/>
      <c r="C797" s="136" t="s">
        <v>133</v>
      </c>
      <c r="D797" s="136"/>
      <c r="E797" s="256" t="str">
        <f>IFERROR(__xludf.DUMMYFUNCTION("""COMPUTED_VALUE"""),"")</f>
        <v/>
      </c>
      <c r="F797" s="257" t="str">
        <f>IFERROR(__xludf.DUMMYFUNCTION("""COMPUTED_VALUE"""),"")</f>
        <v/>
      </c>
      <c r="G797" s="247" t="str">
        <f t="shared" si="1"/>
        <v/>
      </c>
      <c r="H797" s="258" t="str">
        <f>IFERROR(__xludf.DUMMYFUNCTION("""COMPUTED_VALUE"""),"")</f>
        <v/>
      </c>
      <c r="I797" s="259" t="str">
        <f>IFERROR(__xludf.DUMMYFUNCTION("""COMPUTED_VALUE"""),"")</f>
        <v/>
      </c>
      <c r="J797" s="250" t="str">
        <f t="shared" si="2"/>
        <v/>
      </c>
      <c r="K797" s="317" t="str">
        <f>IFERROR(__xludf.DUMMYFUNCTION("""COMPUTED_VALUE"""),"")</f>
        <v/>
      </c>
      <c r="L797" s="318" t="str">
        <f>IFERROR(__xludf.DUMMYFUNCTION("""COMPUTED_VALUE"""),"")</f>
        <v/>
      </c>
      <c r="M797" s="253" t="str">
        <f t="shared" si="3"/>
        <v/>
      </c>
      <c r="N797" s="319" t="str">
        <f>IFERROR(__xludf.DUMMYFUNCTION("""COMPUTED_VALUE"""),"")</f>
        <v/>
      </c>
      <c r="O797" s="257" t="str">
        <f>IFERROR(__xludf.DUMMYFUNCTION("""COMPUTED_VALUE"""),"")</f>
        <v/>
      </c>
      <c r="P797" s="247" t="str">
        <f t="shared" si="4"/>
        <v/>
      </c>
      <c r="Q797" s="320" t="str">
        <f>IFERROR(__xludf.DUMMYFUNCTION("""COMPUTED_VALUE"""),"")</f>
        <v/>
      </c>
      <c r="R797" s="259" t="str">
        <f>IFERROR(__xludf.DUMMYFUNCTION("""COMPUTED_VALUE"""),"")</f>
        <v/>
      </c>
      <c r="S797" s="250" t="str">
        <f t="shared" si="5"/>
        <v/>
      </c>
      <c r="T797" s="254" t="str">
        <f>IFERROR(__xludf.DUMMYFUNCTION("""COMPUTED_VALUE"""),"")</f>
        <v/>
      </c>
      <c r="U797" s="246" t="str">
        <f>IFERROR(__xludf.DUMMYFUNCTION("""COMPUTED_VALUE"""),"")</f>
        <v/>
      </c>
      <c r="V797" s="247" t="str">
        <f t="shared" si="6"/>
        <v/>
      </c>
      <c r="W797" s="255" t="str">
        <f>IFERROR(__xludf.DUMMYFUNCTION("""COMPUTED_VALUE"""),"")</f>
        <v/>
      </c>
      <c r="X797" s="249" t="str">
        <f>IFERROR(__xludf.DUMMYFUNCTION("""COMPUTED_VALUE"""),"")</f>
        <v/>
      </c>
      <c r="Y797" s="250" t="str">
        <f t="shared" si="7"/>
        <v/>
      </c>
    </row>
    <row r="798">
      <c r="A798" s="136" t="s">
        <v>133</v>
      </c>
      <c r="B798" s="136"/>
      <c r="C798" s="136" t="s">
        <v>133</v>
      </c>
      <c r="D798" s="136"/>
      <c r="E798" s="256" t="str">
        <f>IFERROR(__xludf.DUMMYFUNCTION("""COMPUTED_VALUE"""),"")</f>
        <v/>
      </c>
      <c r="F798" s="257" t="str">
        <f>IFERROR(__xludf.DUMMYFUNCTION("""COMPUTED_VALUE"""),"")</f>
        <v/>
      </c>
      <c r="G798" s="247" t="str">
        <f t="shared" si="1"/>
        <v/>
      </c>
      <c r="H798" s="258" t="str">
        <f>IFERROR(__xludf.DUMMYFUNCTION("""COMPUTED_VALUE"""),"")</f>
        <v/>
      </c>
      <c r="I798" s="259" t="str">
        <f>IFERROR(__xludf.DUMMYFUNCTION("""COMPUTED_VALUE"""),"")</f>
        <v/>
      </c>
      <c r="J798" s="250" t="str">
        <f t="shared" si="2"/>
        <v/>
      </c>
      <c r="K798" s="317" t="str">
        <f>IFERROR(__xludf.DUMMYFUNCTION("""COMPUTED_VALUE"""),"")</f>
        <v/>
      </c>
      <c r="L798" s="318" t="str">
        <f>IFERROR(__xludf.DUMMYFUNCTION("""COMPUTED_VALUE"""),"")</f>
        <v/>
      </c>
      <c r="M798" s="253" t="str">
        <f t="shared" si="3"/>
        <v/>
      </c>
      <c r="N798" s="319" t="str">
        <f>IFERROR(__xludf.DUMMYFUNCTION("""COMPUTED_VALUE"""),"")</f>
        <v/>
      </c>
      <c r="O798" s="257" t="str">
        <f>IFERROR(__xludf.DUMMYFUNCTION("""COMPUTED_VALUE"""),"")</f>
        <v/>
      </c>
      <c r="P798" s="247" t="str">
        <f t="shared" si="4"/>
        <v/>
      </c>
      <c r="Q798" s="320" t="str">
        <f>IFERROR(__xludf.DUMMYFUNCTION("""COMPUTED_VALUE"""),"")</f>
        <v/>
      </c>
      <c r="R798" s="259" t="str">
        <f>IFERROR(__xludf.DUMMYFUNCTION("""COMPUTED_VALUE"""),"")</f>
        <v/>
      </c>
      <c r="S798" s="250" t="str">
        <f t="shared" si="5"/>
        <v/>
      </c>
      <c r="T798" s="254" t="str">
        <f>IFERROR(__xludf.DUMMYFUNCTION("""COMPUTED_VALUE"""),"")</f>
        <v/>
      </c>
      <c r="U798" s="246" t="str">
        <f>IFERROR(__xludf.DUMMYFUNCTION("""COMPUTED_VALUE"""),"")</f>
        <v/>
      </c>
      <c r="V798" s="247" t="str">
        <f t="shared" si="6"/>
        <v/>
      </c>
      <c r="W798" s="255" t="str">
        <f>IFERROR(__xludf.DUMMYFUNCTION("""COMPUTED_VALUE"""),"")</f>
        <v/>
      </c>
      <c r="X798" s="249" t="str">
        <f>IFERROR(__xludf.DUMMYFUNCTION("""COMPUTED_VALUE"""),"")</f>
        <v/>
      </c>
      <c r="Y798" s="250" t="str">
        <f t="shared" si="7"/>
        <v/>
      </c>
    </row>
    <row r="799">
      <c r="A799" s="136" t="s">
        <v>133</v>
      </c>
      <c r="B799" s="136"/>
      <c r="C799" s="136" t="s">
        <v>133</v>
      </c>
      <c r="D799" s="136"/>
      <c r="E799" s="256" t="str">
        <f>IFERROR(__xludf.DUMMYFUNCTION("""COMPUTED_VALUE"""),"")</f>
        <v/>
      </c>
      <c r="F799" s="257" t="str">
        <f>IFERROR(__xludf.DUMMYFUNCTION("""COMPUTED_VALUE"""),"")</f>
        <v/>
      </c>
      <c r="G799" s="247" t="str">
        <f t="shared" si="1"/>
        <v/>
      </c>
      <c r="H799" s="258" t="str">
        <f>IFERROR(__xludf.DUMMYFUNCTION("""COMPUTED_VALUE"""),"")</f>
        <v/>
      </c>
      <c r="I799" s="259" t="str">
        <f>IFERROR(__xludf.DUMMYFUNCTION("""COMPUTED_VALUE"""),"")</f>
        <v/>
      </c>
      <c r="J799" s="250" t="str">
        <f t="shared" si="2"/>
        <v/>
      </c>
      <c r="K799" s="317" t="str">
        <f>IFERROR(__xludf.DUMMYFUNCTION("""COMPUTED_VALUE"""),"")</f>
        <v/>
      </c>
      <c r="L799" s="318" t="str">
        <f>IFERROR(__xludf.DUMMYFUNCTION("""COMPUTED_VALUE"""),"")</f>
        <v/>
      </c>
      <c r="M799" s="253" t="str">
        <f t="shared" si="3"/>
        <v/>
      </c>
      <c r="N799" s="319" t="str">
        <f>IFERROR(__xludf.DUMMYFUNCTION("""COMPUTED_VALUE"""),"")</f>
        <v/>
      </c>
      <c r="O799" s="257" t="str">
        <f>IFERROR(__xludf.DUMMYFUNCTION("""COMPUTED_VALUE"""),"")</f>
        <v/>
      </c>
      <c r="P799" s="247" t="str">
        <f t="shared" si="4"/>
        <v/>
      </c>
      <c r="Q799" s="320" t="str">
        <f>IFERROR(__xludf.DUMMYFUNCTION("""COMPUTED_VALUE"""),"")</f>
        <v/>
      </c>
      <c r="R799" s="259" t="str">
        <f>IFERROR(__xludf.DUMMYFUNCTION("""COMPUTED_VALUE"""),"")</f>
        <v/>
      </c>
      <c r="S799" s="250" t="str">
        <f t="shared" si="5"/>
        <v/>
      </c>
      <c r="T799" s="254" t="str">
        <f>IFERROR(__xludf.DUMMYFUNCTION("""COMPUTED_VALUE"""),"")</f>
        <v/>
      </c>
      <c r="U799" s="246" t="str">
        <f>IFERROR(__xludf.DUMMYFUNCTION("""COMPUTED_VALUE"""),"")</f>
        <v/>
      </c>
      <c r="V799" s="247" t="str">
        <f t="shared" si="6"/>
        <v/>
      </c>
      <c r="W799" s="255" t="str">
        <f>IFERROR(__xludf.DUMMYFUNCTION("""COMPUTED_VALUE"""),"")</f>
        <v/>
      </c>
      <c r="X799" s="249" t="str">
        <f>IFERROR(__xludf.DUMMYFUNCTION("""COMPUTED_VALUE"""),"")</f>
        <v/>
      </c>
      <c r="Y799" s="250" t="str">
        <f t="shared" si="7"/>
        <v/>
      </c>
    </row>
    <row r="800">
      <c r="A800" s="136" t="s">
        <v>133</v>
      </c>
      <c r="B800" s="136"/>
      <c r="C800" s="136" t="s">
        <v>133</v>
      </c>
      <c r="D800" s="136"/>
      <c r="E800" s="256" t="str">
        <f>IFERROR(__xludf.DUMMYFUNCTION("""COMPUTED_VALUE"""),"")</f>
        <v/>
      </c>
      <c r="F800" s="257" t="str">
        <f>IFERROR(__xludf.DUMMYFUNCTION("""COMPUTED_VALUE"""),"")</f>
        <v/>
      </c>
      <c r="G800" s="247" t="str">
        <f t="shared" si="1"/>
        <v/>
      </c>
      <c r="H800" s="258" t="str">
        <f>IFERROR(__xludf.DUMMYFUNCTION("""COMPUTED_VALUE"""),"")</f>
        <v/>
      </c>
      <c r="I800" s="259" t="str">
        <f>IFERROR(__xludf.DUMMYFUNCTION("""COMPUTED_VALUE"""),"")</f>
        <v/>
      </c>
      <c r="J800" s="250" t="str">
        <f t="shared" si="2"/>
        <v/>
      </c>
      <c r="K800" s="317" t="str">
        <f>IFERROR(__xludf.DUMMYFUNCTION("""COMPUTED_VALUE"""),"")</f>
        <v/>
      </c>
      <c r="L800" s="318" t="str">
        <f>IFERROR(__xludf.DUMMYFUNCTION("""COMPUTED_VALUE"""),"")</f>
        <v/>
      </c>
      <c r="M800" s="253" t="str">
        <f t="shared" si="3"/>
        <v/>
      </c>
      <c r="N800" s="319" t="str">
        <f>IFERROR(__xludf.DUMMYFUNCTION("""COMPUTED_VALUE"""),"")</f>
        <v/>
      </c>
      <c r="O800" s="257" t="str">
        <f>IFERROR(__xludf.DUMMYFUNCTION("""COMPUTED_VALUE"""),"")</f>
        <v/>
      </c>
      <c r="P800" s="247" t="str">
        <f t="shared" si="4"/>
        <v/>
      </c>
      <c r="Q800" s="320" t="str">
        <f>IFERROR(__xludf.DUMMYFUNCTION("""COMPUTED_VALUE"""),"")</f>
        <v/>
      </c>
      <c r="R800" s="259" t="str">
        <f>IFERROR(__xludf.DUMMYFUNCTION("""COMPUTED_VALUE"""),"")</f>
        <v/>
      </c>
      <c r="S800" s="250" t="str">
        <f t="shared" si="5"/>
        <v/>
      </c>
      <c r="T800" s="254" t="str">
        <f>IFERROR(__xludf.DUMMYFUNCTION("""COMPUTED_VALUE"""),"")</f>
        <v/>
      </c>
      <c r="U800" s="246" t="str">
        <f>IFERROR(__xludf.DUMMYFUNCTION("""COMPUTED_VALUE"""),"")</f>
        <v/>
      </c>
      <c r="V800" s="247" t="str">
        <f t="shared" si="6"/>
        <v/>
      </c>
      <c r="W800" s="255" t="str">
        <f>IFERROR(__xludf.DUMMYFUNCTION("""COMPUTED_VALUE"""),"")</f>
        <v/>
      </c>
      <c r="X800" s="249" t="str">
        <f>IFERROR(__xludf.DUMMYFUNCTION("""COMPUTED_VALUE"""),"")</f>
        <v/>
      </c>
      <c r="Y800" s="250" t="str">
        <f t="shared" si="7"/>
        <v/>
      </c>
    </row>
    <row r="801">
      <c r="A801" s="136" t="s">
        <v>133</v>
      </c>
      <c r="B801" s="136"/>
      <c r="C801" s="136" t="s">
        <v>133</v>
      </c>
      <c r="D801" s="136"/>
      <c r="E801" s="256" t="str">
        <f>IFERROR(__xludf.DUMMYFUNCTION("""COMPUTED_VALUE"""),"")</f>
        <v/>
      </c>
      <c r="F801" s="257" t="str">
        <f>IFERROR(__xludf.DUMMYFUNCTION("""COMPUTED_VALUE"""),"")</f>
        <v/>
      </c>
      <c r="G801" s="247" t="str">
        <f t="shared" si="1"/>
        <v/>
      </c>
      <c r="H801" s="258" t="str">
        <f>IFERROR(__xludf.DUMMYFUNCTION("""COMPUTED_VALUE"""),"")</f>
        <v/>
      </c>
      <c r="I801" s="259" t="str">
        <f>IFERROR(__xludf.DUMMYFUNCTION("""COMPUTED_VALUE"""),"")</f>
        <v/>
      </c>
      <c r="J801" s="250" t="str">
        <f t="shared" si="2"/>
        <v/>
      </c>
      <c r="K801" s="317" t="str">
        <f>IFERROR(__xludf.DUMMYFUNCTION("""COMPUTED_VALUE"""),"")</f>
        <v/>
      </c>
      <c r="L801" s="318" t="str">
        <f>IFERROR(__xludf.DUMMYFUNCTION("""COMPUTED_VALUE"""),"")</f>
        <v/>
      </c>
      <c r="M801" s="253" t="str">
        <f t="shared" si="3"/>
        <v/>
      </c>
      <c r="N801" s="319" t="str">
        <f>IFERROR(__xludf.DUMMYFUNCTION("""COMPUTED_VALUE"""),"")</f>
        <v/>
      </c>
      <c r="O801" s="257" t="str">
        <f>IFERROR(__xludf.DUMMYFUNCTION("""COMPUTED_VALUE"""),"")</f>
        <v/>
      </c>
      <c r="P801" s="247" t="str">
        <f t="shared" si="4"/>
        <v/>
      </c>
      <c r="Q801" s="320" t="str">
        <f>IFERROR(__xludf.DUMMYFUNCTION("""COMPUTED_VALUE"""),"")</f>
        <v/>
      </c>
      <c r="R801" s="259" t="str">
        <f>IFERROR(__xludf.DUMMYFUNCTION("""COMPUTED_VALUE"""),"")</f>
        <v/>
      </c>
      <c r="S801" s="250" t="str">
        <f t="shared" si="5"/>
        <v/>
      </c>
      <c r="T801" s="254" t="str">
        <f>IFERROR(__xludf.DUMMYFUNCTION("""COMPUTED_VALUE"""),"")</f>
        <v/>
      </c>
      <c r="U801" s="246" t="str">
        <f>IFERROR(__xludf.DUMMYFUNCTION("""COMPUTED_VALUE"""),"")</f>
        <v/>
      </c>
      <c r="V801" s="247" t="str">
        <f t="shared" si="6"/>
        <v/>
      </c>
      <c r="W801" s="255" t="str">
        <f>IFERROR(__xludf.DUMMYFUNCTION("""COMPUTED_VALUE"""),"")</f>
        <v/>
      </c>
      <c r="X801" s="249" t="str">
        <f>IFERROR(__xludf.DUMMYFUNCTION("""COMPUTED_VALUE"""),"")</f>
        <v/>
      </c>
      <c r="Y801" s="250" t="str">
        <f t="shared" si="7"/>
        <v/>
      </c>
    </row>
    <row r="802">
      <c r="A802" s="136" t="s">
        <v>133</v>
      </c>
      <c r="B802" s="136"/>
      <c r="C802" s="136" t="s">
        <v>133</v>
      </c>
      <c r="D802" s="136"/>
      <c r="E802" s="256" t="str">
        <f>IFERROR(__xludf.DUMMYFUNCTION("""COMPUTED_VALUE"""),"")</f>
        <v/>
      </c>
      <c r="F802" s="257" t="str">
        <f>IFERROR(__xludf.DUMMYFUNCTION("""COMPUTED_VALUE"""),"")</f>
        <v/>
      </c>
      <c r="G802" s="247" t="str">
        <f t="shared" si="1"/>
        <v/>
      </c>
      <c r="H802" s="258" t="str">
        <f>IFERROR(__xludf.DUMMYFUNCTION("""COMPUTED_VALUE"""),"")</f>
        <v/>
      </c>
      <c r="I802" s="259" t="str">
        <f>IFERROR(__xludf.DUMMYFUNCTION("""COMPUTED_VALUE"""),"")</f>
        <v/>
      </c>
      <c r="J802" s="250" t="str">
        <f t="shared" si="2"/>
        <v/>
      </c>
      <c r="K802" s="317" t="str">
        <f>IFERROR(__xludf.DUMMYFUNCTION("""COMPUTED_VALUE"""),"")</f>
        <v/>
      </c>
      <c r="L802" s="318" t="str">
        <f>IFERROR(__xludf.DUMMYFUNCTION("""COMPUTED_VALUE"""),"")</f>
        <v/>
      </c>
      <c r="M802" s="253" t="str">
        <f t="shared" si="3"/>
        <v/>
      </c>
      <c r="N802" s="319" t="str">
        <f>IFERROR(__xludf.DUMMYFUNCTION("""COMPUTED_VALUE"""),"")</f>
        <v/>
      </c>
      <c r="O802" s="257" t="str">
        <f>IFERROR(__xludf.DUMMYFUNCTION("""COMPUTED_VALUE"""),"")</f>
        <v/>
      </c>
      <c r="P802" s="247" t="str">
        <f t="shared" si="4"/>
        <v/>
      </c>
      <c r="Q802" s="320" t="str">
        <f>IFERROR(__xludf.DUMMYFUNCTION("""COMPUTED_VALUE"""),"")</f>
        <v/>
      </c>
      <c r="R802" s="259" t="str">
        <f>IFERROR(__xludf.DUMMYFUNCTION("""COMPUTED_VALUE"""),"")</f>
        <v/>
      </c>
      <c r="S802" s="250" t="str">
        <f t="shared" si="5"/>
        <v/>
      </c>
      <c r="T802" s="254" t="str">
        <f>IFERROR(__xludf.DUMMYFUNCTION("""COMPUTED_VALUE"""),"")</f>
        <v/>
      </c>
      <c r="U802" s="246" t="str">
        <f>IFERROR(__xludf.DUMMYFUNCTION("""COMPUTED_VALUE"""),"")</f>
        <v/>
      </c>
      <c r="V802" s="247" t="str">
        <f t="shared" si="6"/>
        <v/>
      </c>
      <c r="W802" s="255" t="str">
        <f>IFERROR(__xludf.DUMMYFUNCTION("""COMPUTED_VALUE"""),"")</f>
        <v/>
      </c>
      <c r="X802" s="249" t="str">
        <f>IFERROR(__xludf.DUMMYFUNCTION("""COMPUTED_VALUE"""),"")</f>
        <v/>
      </c>
      <c r="Y802" s="250" t="str">
        <f t="shared" si="7"/>
        <v/>
      </c>
    </row>
    <row r="803">
      <c r="A803" s="136" t="s">
        <v>133</v>
      </c>
      <c r="B803" s="136"/>
      <c r="C803" s="136" t="s">
        <v>133</v>
      </c>
      <c r="D803" s="136"/>
      <c r="E803" s="256" t="str">
        <f>IFERROR(__xludf.DUMMYFUNCTION("""COMPUTED_VALUE"""),"")</f>
        <v/>
      </c>
      <c r="F803" s="257" t="str">
        <f>IFERROR(__xludf.DUMMYFUNCTION("""COMPUTED_VALUE"""),"")</f>
        <v/>
      </c>
      <c r="G803" s="247" t="str">
        <f t="shared" si="1"/>
        <v/>
      </c>
      <c r="H803" s="258" t="str">
        <f>IFERROR(__xludf.DUMMYFUNCTION("""COMPUTED_VALUE"""),"")</f>
        <v/>
      </c>
      <c r="I803" s="259" t="str">
        <f>IFERROR(__xludf.DUMMYFUNCTION("""COMPUTED_VALUE"""),"")</f>
        <v/>
      </c>
      <c r="J803" s="250" t="str">
        <f t="shared" si="2"/>
        <v/>
      </c>
      <c r="K803" s="317" t="str">
        <f>IFERROR(__xludf.DUMMYFUNCTION("""COMPUTED_VALUE"""),"")</f>
        <v/>
      </c>
      <c r="L803" s="318" t="str">
        <f>IFERROR(__xludf.DUMMYFUNCTION("""COMPUTED_VALUE"""),"")</f>
        <v/>
      </c>
      <c r="M803" s="253" t="str">
        <f t="shared" si="3"/>
        <v/>
      </c>
      <c r="N803" s="319" t="str">
        <f>IFERROR(__xludf.DUMMYFUNCTION("""COMPUTED_VALUE"""),"")</f>
        <v/>
      </c>
      <c r="O803" s="257" t="str">
        <f>IFERROR(__xludf.DUMMYFUNCTION("""COMPUTED_VALUE"""),"")</f>
        <v/>
      </c>
      <c r="P803" s="247" t="str">
        <f t="shared" si="4"/>
        <v/>
      </c>
      <c r="Q803" s="320" t="str">
        <f>IFERROR(__xludf.DUMMYFUNCTION("""COMPUTED_VALUE"""),"")</f>
        <v/>
      </c>
      <c r="R803" s="259" t="str">
        <f>IFERROR(__xludf.DUMMYFUNCTION("""COMPUTED_VALUE"""),"")</f>
        <v/>
      </c>
      <c r="S803" s="250" t="str">
        <f t="shared" si="5"/>
        <v/>
      </c>
      <c r="T803" s="254" t="str">
        <f>IFERROR(__xludf.DUMMYFUNCTION("""COMPUTED_VALUE"""),"")</f>
        <v/>
      </c>
      <c r="U803" s="246" t="str">
        <f>IFERROR(__xludf.DUMMYFUNCTION("""COMPUTED_VALUE"""),"")</f>
        <v/>
      </c>
      <c r="V803" s="247" t="str">
        <f t="shared" si="6"/>
        <v/>
      </c>
      <c r="W803" s="255" t="str">
        <f>IFERROR(__xludf.DUMMYFUNCTION("""COMPUTED_VALUE"""),"")</f>
        <v/>
      </c>
      <c r="X803" s="249" t="str">
        <f>IFERROR(__xludf.DUMMYFUNCTION("""COMPUTED_VALUE"""),"")</f>
        <v/>
      </c>
      <c r="Y803" s="250" t="str">
        <f t="shared" si="7"/>
        <v/>
      </c>
    </row>
    <row r="804">
      <c r="A804" s="136" t="s">
        <v>133</v>
      </c>
      <c r="B804" s="136"/>
      <c r="C804" s="136" t="s">
        <v>133</v>
      </c>
      <c r="D804" s="136"/>
      <c r="E804" s="256" t="str">
        <f>IFERROR(__xludf.DUMMYFUNCTION("""COMPUTED_VALUE"""),"")</f>
        <v/>
      </c>
      <c r="F804" s="257" t="str">
        <f>IFERROR(__xludf.DUMMYFUNCTION("""COMPUTED_VALUE"""),"")</f>
        <v/>
      </c>
      <c r="G804" s="247" t="str">
        <f t="shared" si="1"/>
        <v/>
      </c>
      <c r="H804" s="258" t="str">
        <f>IFERROR(__xludf.DUMMYFUNCTION("""COMPUTED_VALUE"""),"")</f>
        <v/>
      </c>
      <c r="I804" s="259" t="str">
        <f>IFERROR(__xludf.DUMMYFUNCTION("""COMPUTED_VALUE"""),"")</f>
        <v/>
      </c>
      <c r="J804" s="250" t="str">
        <f t="shared" si="2"/>
        <v/>
      </c>
      <c r="K804" s="317" t="str">
        <f>IFERROR(__xludf.DUMMYFUNCTION("""COMPUTED_VALUE"""),"")</f>
        <v/>
      </c>
      <c r="L804" s="318" t="str">
        <f>IFERROR(__xludf.DUMMYFUNCTION("""COMPUTED_VALUE"""),"")</f>
        <v/>
      </c>
      <c r="M804" s="253" t="str">
        <f t="shared" si="3"/>
        <v/>
      </c>
      <c r="N804" s="319" t="str">
        <f>IFERROR(__xludf.DUMMYFUNCTION("""COMPUTED_VALUE"""),"")</f>
        <v/>
      </c>
      <c r="O804" s="257" t="str">
        <f>IFERROR(__xludf.DUMMYFUNCTION("""COMPUTED_VALUE"""),"")</f>
        <v/>
      </c>
      <c r="P804" s="247" t="str">
        <f t="shared" si="4"/>
        <v/>
      </c>
      <c r="Q804" s="320" t="str">
        <f>IFERROR(__xludf.DUMMYFUNCTION("""COMPUTED_VALUE"""),"")</f>
        <v/>
      </c>
      <c r="R804" s="259" t="str">
        <f>IFERROR(__xludf.DUMMYFUNCTION("""COMPUTED_VALUE"""),"")</f>
        <v/>
      </c>
      <c r="S804" s="250" t="str">
        <f t="shared" si="5"/>
        <v/>
      </c>
      <c r="T804" s="254" t="str">
        <f>IFERROR(__xludf.DUMMYFUNCTION("""COMPUTED_VALUE"""),"")</f>
        <v/>
      </c>
      <c r="U804" s="246" t="str">
        <f>IFERROR(__xludf.DUMMYFUNCTION("""COMPUTED_VALUE"""),"")</f>
        <v/>
      </c>
      <c r="V804" s="247" t="str">
        <f t="shared" si="6"/>
        <v/>
      </c>
      <c r="W804" s="255" t="str">
        <f>IFERROR(__xludf.DUMMYFUNCTION("""COMPUTED_VALUE"""),"")</f>
        <v/>
      </c>
      <c r="X804" s="249" t="str">
        <f>IFERROR(__xludf.DUMMYFUNCTION("""COMPUTED_VALUE"""),"")</f>
        <v/>
      </c>
      <c r="Y804" s="250" t="str">
        <f t="shared" si="7"/>
        <v/>
      </c>
    </row>
    <row r="805">
      <c r="A805" s="136" t="s">
        <v>133</v>
      </c>
      <c r="B805" s="136"/>
      <c r="C805" s="136" t="s">
        <v>133</v>
      </c>
      <c r="D805" s="136"/>
      <c r="E805" s="256" t="str">
        <f>IFERROR(__xludf.DUMMYFUNCTION("""COMPUTED_VALUE"""),"")</f>
        <v/>
      </c>
      <c r="F805" s="257" t="str">
        <f>IFERROR(__xludf.DUMMYFUNCTION("""COMPUTED_VALUE"""),"")</f>
        <v/>
      </c>
      <c r="G805" s="247" t="str">
        <f t="shared" si="1"/>
        <v/>
      </c>
      <c r="H805" s="258" t="str">
        <f>IFERROR(__xludf.DUMMYFUNCTION("""COMPUTED_VALUE"""),"")</f>
        <v/>
      </c>
      <c r="I805" s="259" t="str">
        <f>IFERROR(__xludf.DUMMYFUNCTION("""COMPUTED_VALUE"""),"")</f>
        <v/>
      </c>
      <c r="J805" s="250" t="str">
        <f t="shared" si="2"/>
        <v/>
      </c>
      <c r="K805" s="317" t="str">
        <f>IFERROR(__xludf.DUMMYFUNCTION("""COMPUTED_VALUE"""),"")</f>
        <v/>
      </c>
      <c r="L805" s="318" t="str">
        <f>IFERROR(__xludf.DUMMYFUNCTION("""COMPUTED_VALUE"""),"")</f>
        <v/>
      </c>
      <c r="M805" s="253" t="str">
        <f t="shared" si="3"/>
        <v/>
      </c>
      <c r="N805" s="319" t="str">
        <f>IFERROR(__xludf.DUMMYFUNCTION("""COMPUTED_VALUE"""),"")</f>
        <v/>
      </c>
      <c r="O805" s="257" t="str">
        <f>IFERROR(__xludf.DUMMYFUNCTION("""COMPUTED_VALUE"""),"")</f>
        <v/>
      </c>
      <c r="P805" s="247" t="str">
        <f t="shared" si="4"/>
        <v/>
      </c>
      <c r="Q805" s="320" t="str">
        <f>IFERROR(__xludf.DUMMYFUNCTION("""COMPUTED_VALUE"""),"")</f>
        <v/>
      </c>
      <c r="R805" s="259" t="str">
        <f>IFERROR(__xludf.DUMMYFUNCTION("""COMPUTED_VALUE"""),"")</f>
        <v/>
      </c>
      <c r="S805" s="250" t="str">
        <f t="shared" si="5"/>
        <v/>
      </c>
      <c r="T805" s="254" t="str">
        <f>IFERROR(__xludf.DUMMYFUNCTION("""COMPUTED_VALUE"""),"")</f>
        <v/>
      </c>
      <c r="U805" s="246" t="str">
        <f>IFERROR(__xludf.DUMMYFUNCTION("""COMPUTED_VALUE"""),"")</f>
        <v/>
      </c>
      <c r="V805" s="247" t="str">
        <f t="shared" si="6"/>
        <v/>
      </c>
      <c r="W805" s="255" t="str">
        <f>IFERROR(__xludf.DUMMYFUNCTION("""COMPUTED_VALUE"""),"")</f>
        <v/>
      </c>
      <c r="X805" s="249" t="str">
        <f>IFERROR(__xludf.DUMMYFUNCTION("""COMPUTED_VALUE"""),"")</f>
        <v/>
      </c>
      <c r="Y805" s="250" t="str">
        <f t="shared" si="7"/>
        <v/>
      </c>
    </row>
    <row r="806">
      <c r="A806" s="136" t="s">
        <v>133</v>
      </c>
      <c r="B806" s="136"/>
      <c r="C806" s="136" t="s">
        <v>133</v>
      </c>
      <c r="D806" s="136"/>
      <c r="E806" s="256" t="str">
        <f>IFERROR(__xludf.DUMMYFUNCTION("""COMPUTED_VALUE"""),"")</f>
        <v/>
      </c>
      <c r="F806" s="257" t="str">
        <f>IFERROR(__xludf.DUMMYFUNCTION("""COMPUTED_VALUE"""),"")</f>
        <v/>
      </c>
      <c r="G806" s="247" t="str">
        <f t="shared" si="1"/>
        <v/>
      </c>
      <c r="H806" s="258" t="str">
        <f>IFERROR(__xludf.DUMMYFUNCTION("""COMPUTED_VALUE"""),"")</f>
        <v/>
      </c>
      <c r="I806" s="259" t="str">
        <f>IFERROR(__xludf.DUMMYFUNCTION("""COMPUTED_VALUE"""),"")</f>
        <v/>
      </c>
      <c r="J806" s="250" t="str">
        <f t="shared" si="2"/>
        <v/>
      </c>
      <c r="K806" s="317" t="str">
        <f>IFERROR(__xludf.DUMMYFUNCTION("""COMPUTED_VALUE"""),"")</f>
        <v/>
      </c>
      <c r="L806" s="318" t="str">
        <f>IFERROR(__xludf.DUMMYFUNCTION("""COMPUTED_VALUE"""),"")</f>
        <v/>
      </c>
      <c r="M806" s="253" t="str">
        <f t="shared" si="3"/>
        <v/>
      </c>
      <c r="N806" s="319" t="str">
        <f>IFERROR(__xludf.DUMMYFUNCTION("""COMPUTED_VALUE"""),"")</f>
        <v/>
      </c>
      <c r="O806" s="257" t="str">
        <f>IFERROR(__xludf.DUMMYFUNCTION("""COMPUTED_VALUE"""),"")</f>
        <v/>
      </c>
      <c r="P806" s="247" t="str">
        <f t="shared" si="4"/>
        <v/>
      </c>
      <c r="Q806" s="320" t="str">
        <f>IFERROR(__xludf.DUMMYFUNCTION("""COMPUTED_VALUE"""),"")</f>
        <v/>
      </c>
      <c r="R806" s="259" t="str">
        <f>IFERROR(__xludf.DUMMYFUNCTION("""COMPUTED_VALUE"""),"")</f>
        <v/>
      </c>
      <c r="S806" s="250" t="str">
        <f t="shared" si="5"/>
        <v/>
      </c>
      <c r="T806" s="254" t="str">
        <f>IFERROR(__xludf.DUMMYFUNCTION("""COMPUTED_VALUE"""),"")</f>
        <v/>
      </c>
      <c r="U806" s="246" t="str">
        <f>IFERROR(__xludf.DUMMYFUNCTION("""COMPUTED_VALUE"""),"")</f>
        <v/>
      </c>
      <c r="V806" s="247" t="str">
        <f t="shared" si="6"/>
        <v/>
      </c>
      <c r="W806" s="255" t="str">
        <f>IFERROR(__xludf.DUMMYFUNCTION("""COMPUTED_VALUE"""),"")</f>
        <v/>
      </c>
      <c r="X806" s="249" t="str">
        <f>IFERROR(__xludf.DUMMYFUNCTION("""COMPUTED_VALUE"""),"")</f>
        <v/>
      </c>
      <c r="Y806" s="250" t="str">
        <f t="shared" si="7"/>
        <v/>
      </c>
    </row>
    <row r="807">
      <c r="A807" s="136" t="s">
        <v>133</v>
      </c>
      <c r="B807" s="136"/>
      <c r="C807" s="136" t="s">
        <v>133</v>
      </c>
      <c r="D807" s="136"/>
      <c r="E807" s="256" t="str">
        <f>IFERROR(__xludf.DUMMYFUNCTION("""COMPUTED_VALUE"""),"")</f>
        <v/>
      </c>
      <c r="F807" s="257" t="str">
        <f>IFERROR(__xludf.DUMMYFUNCTION("""COMPUTED_VALUE"""),"")</f>
        <v/>
      </c>
      <c r="G807" s="247" t="str">
        <f t="shared" si="1"/>
        <v/>
      </c>
      <c r="H807" s="258" t="str">
        <f>IFERROR(__xludf.DUMMYFUNCTION("""COMPUTED_VALUE"""),"")</f>
        <v/>
      </c>
      <c r="I807" s="259" t="str">
        <f>IFERROR(__xludf.DUMMYFUNCTION("""COMPUTED_VALUE"""),"")</f>
        <v/>
      </c>
      <c r="J807" s="250" t="str">
        <f t="shared" si="2"/>
        <v/>
      </c>
      <c r="K807" s="317" t="str">
        <f>IFERROR(__xludf.DUMMYFUNCTION("""COMPUTED_VALUE"""),"")</f>
        <v/>
      </c>
      <c r="L807" s="318" t="str">
        <f>IFERROR(__xludf.DUMMYFUNCTION("""COMPUTED_VALUE"""),"")</f>
        <v/>
      </c>
      <c r="M807" s="253" t="str">
        <f t="shared" si="3"/>
        <v/>
      </c>
      <c r="N807" s="319" t="str">
        <f>IFERROR(__xludf.DUMMYFUNCTION("""COMPUTED_VALUE"""),"")</f>
        <v/>
      </c>
      <c r="O807" s="257" t="str">
        <f>IFERROR(__xludf.DUMMYFUNCTION("""COMPUTED_VALUE"""),"")</f>
        <v/>
      </c>
      <c r="P807" s="247" t="str">
        <f t="shared" si="4"/>
        <v/>
      </c>
      <c r="Q807" s="320" t="str">
        <f>IFERROR(__xludf.DUMMYFUNCTION("""COMPUTED_VALUE"""),"")</f>
        <v/>
      </c>
      <c r="R807" s="259" t="str">
        <f>IFERROR(__xludf.DUMMYFUNCTION("""COMPUTED_VALUE"""),"")</f>
        <v/>
      </c>
      <c r="S807" s="250" t="str">
        <f t="shared" si="5"/>
        <v/>
      </c>
      <c r="T807" s="254" t="str">
        <f>IFERROR(__xludf.DUMMYFUNCTION("""COMPUTED_VALUE"""),"")</f>
        <v/>
      </c>
      <c r="U807" s="246" t="str">
        <f>IFERROR(__xludf.DUMMYFUNCTION("""COMPUTED_VALUE"""),"")</f>
        <v/>
      </c>
      <c r="V807" s="247" t="str">
        <f t="shared" si="6"/>
        <v/>
      </c>
      <c r="W807" s="255" t="str">
        <f>IFERROR(__xludf.DUMMYFUNCTION("""COMPUTED_VALUE"""),"")</f>
        <v/>
      </c>
      <c r="X807" s="249" t="str">
        <f>IFERROR(__xludf.DUMMYFUNCTION("""COMPUTED_VALUE"""),"")</f>
        <v/>
      </c>
      <c r="Y807" s="250" t="str">
        <f t="shared" si="7"/>
        <v/>
      </c>
    </row>
    <row r="808">
      <c r="A808" s="136" t="s">
        <v>133</v>
      </c>
      <c r="B808" s="136"/>
      <c r="C808" s="136" t="s">
        <v>133</v>
      </c>
      <c r="D808" s="136"/>
      <c r="E808" s="256" t="str">
        <f>IFERROR(__xludf.DUMMYFUNCTION("""COMPUTED_VALUE"""),"")</f>
        <v/>
      </c>
      <c r="F808" s="257" t="str">
        <f>IFERROR(__xludf.DUMMYFUNCTION("""COMPUTED_VALUE"""),"")</f>
        <v/>
      </c>
      <c r="G808" s="247" t="str">
        <f t="shared" si="1"/>
        <v/>
      </c>
      <c r="H808" s="258" t="str">
        <f>IFERROR(__xludf.DUMMYFUNCTION("""COMPUTED_VALUE"""),"")</f>
        <v/>
      </c>
      <c r="I808" s="259" t="str">
        <f>IFERROR(__xludf.DUMMYFUNCTION("""COMPUTED_VALUE"""),"")</f>
        <v/>
      </c>
      <c r="J808" s="250" t="str">
        <f t="shared" si="2"/>
        <v/>
      </c>
      <c r="K808" s="317" t="str">
        <f>IFERROR(__xludf.DUMMYFUNCTION("""COMPUTED_VALUE"""),"")</f>
        <v/>
      </c>
      <c r="L808" s="318" t="str">
        <f>IFERROR(__xludf.DUMMYFUNCTION("""COMPUTED_VALUE"""),"")</f>
        <v/>
      </c>
      <c r="M808" s="253" t="str">
        <f t="shared" si="3"/>
        <v/>
      </c>
      <c r="N808" s="319" t="str">
        <f>IFERROR(__xludf.DUMMYFUNCTION("""COMPUTED_VALUE"""),"")</f>
        <v/>
      </c>
      <c r="O808" s="257" t="str">
        <f>IFERROR(__xludf.DUMMYFUNCTION("""COMPUTED_VALUE"""),"")</f>
        <v/>
      </c>
      <c r="P808" s="247" t="str">
        <f t="shared" si="4"/>
        <v/>
      </c>
      <c r="Q808" s="320" t="str">
        <f>IFERROR(__xludf.DUMMYFUNCTION("""COMPUTED_VALUE"""),"")</f>
        <v/>
      </c>
      <c r="R808" s="259" t="str">
        <f>IFERROR(__xludf.DUMMYFUNCTION("""COMPUTED_VALUE"""),"")</f>
        <v/>
      </c>
      <c r="S808" s="250" t="str">
        <f t="shared" si="5"/>
        <v/>
      </c>
      <c r="T808" s="254" t="str">
        <f>IFERROR(__xludf.DUMMYFUNCTION("""COMPUTED_VALUE"""),"")</f>
        <v/>
      </c>
      <c r="U808" s="246" t="str">
        <f>IFERROR(__xludf.DUMMYFUNCTION("""COMPUTED_VALUE"""),"")</f>
        <v/>
      </c>
      <c r="V808" s="247" t="str">
        <f t="shared" si="6"/>
        <v/>
      </c>
      <c r="W808" s="255" t="str">
        <f>IFERROR(__xludf.DUMMYFUNCTION("""COMPUTED_VALUE"""),"")</f>
        <v/>
      </c>
      <c r="X808" s="249" t="str">
        <f>IFERROR(__xludf.DUMMYFUNCTION("""COMPUTED_VALUE"""),"")</f>
        <v/>
      </c>
      <c r="Y808" s="250" t="str">
        <f t="shared" si="7"/>
        <v/>
      </c>
    </row>
    <row r="809">
      <c r="A809" s="136" t="s">
        <v>133</v>
      </c>
      <c r="B809" s="136"/>
      <c r="C809" s="136" t="s">
        <v>133</v>
      </c>
      <c r="D809" s="136"/>
      <c r="E809" s="256" t="str">
        <f>IFERROR(__xludf.DUMMYFUNCTION("""COMPUTED_VALUE"""),"")</f>
        <v/>
      </c>
      <c r="F809" s="257" t="str">
        <f>IFERROR(__xludf.DUMMYFUNCTION("""COMPUTED_VALUE"""),"")</f>
        <v/>
      </c>
      <c r="G809" s="247" t="str">
        <f t="shared" si="1"/>
        <v/>
      </c>
      <c r="H809" s="258" t="str">
        <f>IFERROR(__xludf.DUMMYFUNCTION("""COMPUTED_VALUE"""),"")</f>
        <v/>
      </c>
      <c r="I809" s="259" t="str">
        <f>IFERROR(__xludf.DUMMYFUNCTION("""COMPUTED_VALUE"""),"")</f>
        <v/>
      </c>
      <c r="J809" s="250" t="str">
        <f t="shared" si="2"/>
        <v/>
      </c>
      <c r="K809" s="317" t="str">
        <f>IFERROR(__xludf.DUMMYFUNCTION("""COMPUTED_VALUE"""),"")</f>
        <v/>
      </c>
      <c r="L809" s="318" t="str">
        <f>IFERROR(__xludf.DUMMYFUNCTION("""COMPUTED_VALUE"""),"")</f>
        <v/>
      </c>
      <c r="M809" s="253" t="str">
        <f t="shared" si="3"/>
        <v/>
      </c>
      <c r="N809" s="319" t="str">
        <f>IFERROR(__xludf.DUMMYFUNCTION("""COMPUTED_VALUE"""),"")</f>
        <v/>
      </c>
      <c r="O809" s="257" t="str">
        <f>IFERROR(__xludf.DUMMYFUNCTION("""COMPUTED_VALUE"""),"")</f>
        <v/>
      </c>
      <c r="P809" s="247" t="str">
        <f t="shared" si="4"/>
        <v/>
      </c>
      <c r="Q809" s="320" t="str">
        <f>IFERROR(__xludf.DUMMYFUNCTION("""COMPUTED_VALUE"""),"")</f>
        <v/>
      </c>
      <c r="R809" s="259" t="str">
        <f>IFERROR(__xludf.DUMMYFUNCTION("""COMPUTED_VALUE"""),"")</f>
        <v/>
      </c>
      <c r="S809" s="250" t="str">
        <f t="shared" si="5"/>
        <v/>
      </c>
      <c r="T809" s="254" t="str">
        <f>IFERROR(__xludf.DUMMYFUNCTION("""COMPUTED_VALUE"""),"")</f>
        <v/>
      </c>
      <c r="U809" s="246" t="str">
        <f>IFERROR(__xludf.DUMMYFUNCTION("""COMPUTED_VALUE"""),"")</f>
        <v/>
      </c>
      <c r="V809" s="247" t="str">
        <f t="shared" si="6"/>
        <v/>
      </c>
      <c r="W809" s="255" t="str">
        <f>IFERROR(__xludf.DUMMYFUNCTION("""COMPUTED_VALUE"""),"")</f>
        <v/>
      </c>
      <c r="X809" s="249" t="str">
        <f>IFERROR(__xludf.DUMMYFUNCTION("""COMPUTED_VALUE"""),"")</f>
        <v/>
      </c>
      <c r="Y809" s="250" t="str">
        <f t="shared" si="7"/>
        <v/>
      </c>
    </row>
    <row r="810">
      <c r="A810" s="136" t="s">
        <v>133</v>
      </c>
      <c r="B810" s="136"/>
      <c r="C810" s="136" t="s">
        <v>133</v>
      </c>
      <c r="D810" s="136"/>
      <c r="E810" s="256" t="str">
        <f>IFERROR(__xludf.DUMMYFUNCTION("""COMPUTED_VALUE"""),"")</f>
        <v/>
      </c>
      <c r="F810" s="257" t="str">
        <f>IFERROR(__xludf.DUMMYFUNCTION("""COMPUTED_VALUE"""),"")</f>
        <v/>
      </c>
      <c r="G810" s="247" t="str">
        <f t="shared" si="1"/>
        <v/>
      </c>
      <c r="H810" s="258" t="str">
        <f>IFERROR(__xludf.DUMMYFUNCTION("""COMPUTED_VALUE"""),"")</f>
        <v/>
      </c>
      <c r="I810" s="259" t="str">
        <f>IFERROR(__xludf.DUMMYFUNCTION("""COMPUTED_VALUE"""),"")</f>
        <v/>
      </c>
      <c r="J810" s="250" t="str">
        <f t="shared" si="2"/>
        <v/>
      </c>
      <c r="K810" s="317" t="str">
        <f>IFERROR(__xludf.DUMMYFUNCTION("""COMPUTED_VALUE"""),"")</f>
        <v/>
      </c>
      <c r="L810" s="318" t="str">
        <f>IFERROR(__xludf.DUMMYFUNCTION("""COMPUTED_VALUE"""),"")</f>
        <v/>
      </c>
      <c r="M810" s="253" t="str">
        <f t="shared" si="3"/>
        <v/>
      </c>
      <c r="N810" s="319" t="str">
        <f>IFERROR(__xludf.DUMMYFUNCTION("""COMPUTED_VALUE"""),"")</f>
        <v/>
      </c>
      <c r="O810" s="257" t="str">
        <f>IFERROR(__xludf.DUMMYFUNCTION("""COMPUTED_VALUE"""),"")</f>
        <v/>
      </c>
      <c r="P810" s="247" t="str">
        <f t="shared" si="4"/>
        <v/>
      </c>
      <c r="Q810" s="320" t="str">
        <f>IFERROR(__xludf.DUMMYFUNCTION("""COMPUTED_VALUE"""),"")</f>
        <v/>
      </c>
      <c r="R810" s="259" t="str">
        <f>IFERROR(__xludf.DUMMYFUNCTION("""COMPUTED_VALUE"""),"")</f>
        <v/>
      </c>
      <c r="S810" s="250" t="str">
        <f t="shared" si="5"/>
        <v/>
      </c>
      <c r="T810" s="254" t="str">
        <f>IFERROR(__xludf.DUMMYFUNCTION("""COMPUTED_VALUE"""),"")</f>
        <v/>
      </c>
      <c r="U810" s="246" t="str">
        <f>IFERROR(__xludf.DUMMYFUNCTION("""COMPUTED_VALUE"""),"")</f>
        <v/>
      </c>
      <c r="V810" s="247" t="str">
        <f t="shared" si="6"/>
        <v/>
      </c>
      <c r="W810" s="255" t="str">
        <f>IFERROR(__xludf.DUMMYFUNCTION("""COMPUTED_VALUE"""),"")</f>
        <v/>
      </c>
      <c r="X810" s="249" t="str">
        <f>IFERROR(__xludf.DUMMYFUNCTION("""COMPUTED_VALUE"""),"")</f>
        <v/>
      </c>
      <c r="Y810" s="250" t="str">
        <f t="shared" si="7"/>
        <v/>
      </c>
    </row>
    <row r="811">
      <c r="A811" s="136" t="s">
        <v>133</v>
      </c>
      <c r="B811" s="136"/>
      <c r="C811" s="136" t="s">
        <v>133</v>
      </c>
      <c r="D811" s="136"/>
      <c r="E811" s="256" t="str">
        <f>IFERROR(__xludf.DUMMYFUNCTION("""COMPUTED_VALUE"""),"")</f>
        <v/>
      </c>
      <c r="F811" s="257" t="str">
        <f>IFERROR(__xludf.DUMMYFUNCTION("""COMPUTED_VALUE"""),"")</f>
        <v/>
      </c>
      <c r="G811" s="247" t="str">
        <f t="shared" si="1"/>
        <v/>
      </c>
      <c r="H811" s="258" t="str">
        <f>IFERROR(__xludf.DUMMYFUNCTION("""COMPUTED_VALUE"""),"")</f>
        <v/>
      </c>
      <c r="I811" s="259" t="str">
        <f>IFERROR(__xludf.DUMMYFUNCTION("""COMPUTED_VALUE"""),"")</f>
        <v/>
      </c>
      <c r="J811" s="250" t="str">
        <f t="shared" si="2"/>
        <v/>
      </c>
      <c r="K811" s="317" t="str">
        <f>IFERROR(__xludf.DUMMYFUNCTION("""COMPUTED_VALUE"""),"")</f>
        <v/>
      </c>
      <c r="L811" s="318" t="str">
        <f>IFERROR(__xludf.DUMMYFUNCTION("""COMPUTED_VALUE"""),"")</f>
        <v/>
      </c>
      <c r="M811" s="253" t="str">
        <f t="shared" si="3"/>
        <v/>
      </c>
      <c r="N811" s="319" t="str">
        <f>IFERROR(__xludf.DUMMYFUNCTION("""COMPUTED_VALUE"""),"")</f>
        <v/>
      </c>
      <c r="O811" s="257" t="str">
        <f>IFERROR(__xludf.DUMMYFUNCTION("""COMPUTED_VALUE"""),"")</f>
        <v/>
      </c>
      <c r="P811" s="247" t="str">
        <f t="shared" si="4"/>
        <v/>
      </c>
      <c r="Q811" s="320" t="str">
        <f>IFERROR(__xludf.DUMMYFUNCTION("""COMPUTED_VALUE"""),"")</f>
        <v/>
      </c>
      <c r="R811" s="259" t="str">
        <f>IFERROR(__xludf.DUMMYFUNCTION("""COMPUTED_VALUE"""),"")</f>
        <v/>
      </c>
      <c r="S811" s="250" t="str">
        <f t="shared" si="5"/>
        <v/>
      </c>
      <c r="T811" s="254" t="str">
        <f>IFERROR(__xludf.DUMMYFUNCTION("""COMPUTED_VALUE"""),"")</f>
        <v/>
      </c>
      <c r="U811" s="246" t="str">
        <f>IFERROR(__xludf.DUMMYFUNCTION("""COMPUTED_VALUE"""),"")</f>
        <v/>
      </c>
      <c r="V811" s="247" t="str">
        <f t="shared" si="6"/>
        <v/>
      </c>
      <c r="W811" s="255" t="str">
        <f>IFERROR(__xludf.DUMMYFUNCTION("""COMPUTED_VALUE"""),"")</f>
        <v/>
      </c>
      <c r="X811" s="249" t="str">
        <f>IFERROR(__xludf.DUMMYFUNCTION("""COMPUTED_VALUE"""),"")</f>
        <v/>
      </c>
      <c r="Y811" s="250" t="str">
        <f t="shared" si="7"/>
        <v/>
      </c>
    </row>
    <row r="812">
      <c r="A812" s="136" t="s">
        <v>133</v>
      </c>
      <c r="B812" s="136"/>
      <c r="C812" s="136" t="s">
        <v>133</v>
      </c>
      <c r="D812" s="136"/>
      <c r="E812" s="256" t="str">
        <f>IFERROR(__xludf.DUMMYFUNCTION("""COMPUTED_VALUE"""),"")</f>
        <v/>
      </c>
      <c r="F812" s="257" t="str">
        <f>IFERROR(__xludf.DUMMYFUNCTION("""COMPUTED_VALUE"""),"")</f>
        <v/>
      </c>
      <c r="G812" s="247" t="str">
        <f t="shared" si="1"/>
        <v/>
      </c>
      <c r="H812" s="258" t="str">
        <f>IFERROR(__xludf.DUMMYFUNCTION("""COMPUTED_VALUE"""),"")</f>
        <v/>
      </c>
      <c r="I812" s="259" t="str">
        <f>IFERROR(__xludf.DUMMYFUNCTION("""COMPUTED_VALUE"""),"")</f>
        <v/>
      </c>
      <c r="J812" s="250" t="str">
        <f t="shared" si="2"/>
        <v/>
      </c>
      <c r="K812" s="317" t="str">
        <f>IFERROR(__xludf.DUMMYFUNCTION("""COMPUTED_VALUE"""),"")</f>
        <v/>
      </c>
      <c r="L812" s="318" t="str">
        <f>IFERROR(__xludf.DUMMYFUNCTION("""COMPUTED_VALUE"""),"")</f>
        <v/>
      </c>
      <c r="M812" s="253" t="str">
        <f t="shared" si="3"/>
        <v/>
      </c>
      <c r="N812" s="319" t="str">
        <f>IFERROR(__xludf.DUMMYFUNCTION("""COMPUTED_VALUE"""),"")</f>
        <v/>
      </c>
      <c r="O812" s="257" t="str">
        <f>IFERROR(__xludf.DUMMYFUNCTION("""COMPUTED_VALUE"""),"")</f>
        <v/>
      </c>
      <c r="P812" s="247" t="str">
        <f t="shared" si="4"/>
        <v/>
      </c>
      <c r="Q812" s="320" t="str">
        <f>IFERROR(__xludf.DUMMYFUNCTION("""COMPUTED_VALUE"""),"")</f>
        <v/>
      </c>
      <c r="R812" s="259" t="str">
        <f>IFERROR(__xludf.DUMMYFUNCTION("""COMPUTED_VALUE"""),"")</f>
        <v/>
      </c>
      <c r="S812" s="250" t="str">
        <f t="shared" si="5"/>
        <v/>
      </c>
      <c r="T812" s="254" t="str">
        <f>IFERROR(__xludf.DUMMYFUNCTION("""COMPUTED_VALUE"""),"")</f>
        <v/>
      </c>
      <c r="U812" s="246" t="str">
        <f>IFERROR(__xludf.DUMMYFUNCTION("""COMPUTED_VALUE"""),"")</f>
        <v/>
      </c>
      <c r="V812" s="247" t="str">
        <f t="shared" si="6"/>
        <v/>
      </c>
      <c r="W812" s="255" t="str">
        <f>IFERROR(__xludf.DUMMYFUNCTION("""COMPUTED_VALUE"""),"")</f>
        <v/>
      </c>
      <c r="X812" s="249" t="str">
        <f>IFERROR(__xludf.DUMMYFUNCTION("""COMPUTED_VALUE"""),"")</f>
        <v/>
      </c>
      <c r="Y812" s="250" t="str">
        <f t="shared" si="7"/>
        <v/>
      </c>
    </row>
    <row r="813">
      <c r="A813" s="136" t="s">
        <v>133</v>
      </c>
      <c r="B813" s="136"/>
      <c r="C813" s="136" t="s">
        <v>133</v>
      </c>
      <c r="D813" s="136"/>
      <c r="E813" s="256" t="str">
        <f>IFERROR(__xludf.DUMMYFUNCTION("""COMPUTED_VALUE"""),"")</f>
        <v/>
      </c>
      <c r="F813" s="257" t="str">
        <f>IFERROR(__xludf.DUMMYFUNCTION("""COMPUTED_VALUE"""),"")</f>
        <v/>
      </c>
      <c r="G813" s="247" t="str">
        <f t="shared" si="1"/>
        <v/>
      </c>
      <c r="H813" s="258" t="str">
        <f>IFERROR(__xludf.DUMMYFUNCTION("""COMPUTED_VALUE"""),"")</f>
        <v/>
      </c>
      <c r="I813" s="259" t="str">
        <f>IFERROR(__xludf.DUMMYFUNCTION("""COMPUTED_VALUE"""),"")</f>
        <v/>
      </c>
      <c r="J813" s="250" t="str">
        <f t="shared" si="2"/>
        <v/>
      </c>
      <c r="K813" s="317" t="str">
        <f>IFERROR(__xludf.DUMMYFUNCTION("""COMPUTED_VALUE"""),"")</f>
        <v/>
      </c>
      <c r="L813" s="318" t="str">
        <f>IFERROR(__xludf.DUMMYFUNCTION("""COMPUTED_VALUE"""),"")</f>
        <v/>
      </c>
      <c r="M813" s="253" t="str">
        <f t="shared" si="3"/>
        <v/>
      </c>
      <c r="N813" s="319" t="str">
        <f>IFERROR(__xludf.DUMMYFUNCTION("""COMPUTED_VALUE"""),"")</f>
        <v/>
      </c>
      <c r="O813" s="257" t="str">
        <f>IFERROR(__xludf.DUMMYFUNCTION("""COMPUTED_VALUE"""),"")</f>
        <v/>
      </c>
      <c r="P813" s="247" t="str">
        <f t="shared" si="4"/>
        <v/>
      </c>
      <c r="Q813" s="320" t="str">
        <f>IFERROR(__xludf.DUMMYFUNCTION("""COMPUTED_VALUE"""),"")</f>
        <v/>
      </c>
      <c r="R813" s="259" t="str">
        <f>IFERROR(__xludf.DUMMYFUNCTION("""COMPUTED_VALUE"""),"")</f>
        <v/>
      </c>
      <c r="S813" s="250" t="str">
        <f t="shared" si="5"/>
        <v/>
      </c>
      <c r="T813" s="254" t="str">
        <f>IFERROR(__xludf.DUMMYFUNCTION("""COMPUTED_VALUE"""),"")</f>
        <v/>
      </c>
      <c r="U813" s="246" t="str">
        <f>IFERROR(__xludf.DUMMYFUNCTION("""COMPUTED_VALUE"""),"")</f>
        <v/>
      </c>
      <c r="V813" s="247" t="str">
        <f t="shared" si="6"/>
        <v/>
      </c>
      <c r="W813" s="255" t="str">
        <f>IFERROR(__xludf.DUMMYFUNCTION("""COMPUTED_VALUE"""),"")</f>
        <v/>
      </c>
      <c r="X813" s="249" t="str">
        <f>IFERROR(__xludf.DUMMYFUNCTION("""COMPUTED_VALUE"""),"")</f>
        <v/>
      </c>
      <c r="Y813" s="250" t="str">
        <f t="shared" si="7"/>
        <v/>
      </c>
    </row>
    <row r="814">
      <c r="A814" s="136" t="s">
        <v>133</v>
      </c>
      <c r="B814" s="136"/>
      <c r="C814" s="136" t="s">
        <v>133</v>
      </c>
      <c r="D814" s="136"/>
      <c r="E814" s="256" t="str">
        <f>IFERROR(__xludf.DUMMYFUNCTION("""COMPUTED_VALUE"""),"")</f>
        <v/>
      </c>
      <c r="F814" s="257" t="str">
        <f>IFERROR(__xludf.DUMMYFUNCTION("""COMPUTED_VALUE"""),"")</f>
        <v/>
      </c>
      <c r="G814" s="247" t="str">
        <f t="shared" si="1"/>
        <v/>
      </c>
      <c r="H814" s="258" t="str">
        <f>IFERROR(__xludf.DUMMYFUNCTION("""COMPUTED_VALUE"""),"")</f>
        <v/>
      </c>
      <c r="I814" s="259" t="str">
        <f>IFERROR(__xludf.DUMMYFUNCTION("""COMPUTED_VALUE"""),"")</f>
        <v/>
      </c>
      <c r="J814" s="250" t="str">
        <f t="shared" si="2"/>
        <v/>
      </c>
      <c r="K814" s="317" t="str">
        <f>IFERROR(__xludf.DUMMYFUNCTION("""COMPUTED_VALUE"""),"")</f>
        <v/>
      </c>
      <c r="L814" s="318" t="str">
        <f>IFERROR(__xludf.DUMMYFUNCTION("""COMPUTED_VALUE"""),"")</f>
        <v/>
      </c>
      <c r="M814" s="253" t="str">
        <f t="shared" si="3"/>
        <v/>
      </c>
      <c r="N814" s="319" t="str">
        <f>IFERROR(__xludf.DUMMYFUNCTION("""COMPUTED_VALUE"""),"")</f>
        <v/>
      </c>
      <c r="O814" s="257" t="str">
        <f>IFERROR(__xludf.DUMMYFUNCTION("""COMPUTED_VALUE"""),"")</f>
        <v/>
      </c>
      <c r="P814" s="247" t="str">
        <f t="shared" si="4"/>
        <v/>
      </c>
      <c r="Q814" s="320" t="str">
        <f>IFERROR(__xludf.DUMMYFUNCTION("""COMPUTED_VALUE"""),"")</f>
        <v/>
      </c>
      <c r="R814" s="259" t="str">
        <f>IFERROR(__xludf.DUMMYFUNCTION("""COMPUTED_VALUE"""),"")</f>
        <v/>
      </c>
      <c r="S814" s="250" t="str">
        <f t="shared" si="5"/>
        <v/>
      </c>
      <c r="T814" s="254" t="str">
        <f>IFERROR(__xludf.DUMMYFUNCTION("""COMPUTED_VALUE"""),"")</f>
        <v/>
      </c>
      <c r="U814" s="246" t="str">
        <f>IFERROR(__xludf.DUMMYFUNCTION("""COMPUTED_VALUE"""),"")</f>
        <v/>
      </c>
      <c r="V814" s="247" t="str">
        <f t="shared" si="6"/>
        <v/>
      </c>
      <c r="W814" s="255" t="str">
        <f>IFERROR(__xludf.DUMMYFUNCTION("""COMPUTED_VALUE"""),"")</f>
        <v/>
      </c>
      <c r="X814" s="249" t="str">
        <f>IFERROR(__xludf.DUMMYFUNCTION("""COMPUTED_VALUE"""),"")</f>
        <v/>
      </c>
      <c r="Y814" s="250" t="str">
        <f t="shared" si="7"/>
        <v/>
      </c>
    </row>
    <row r="815">
      <c r="A815" s="136" t="s">
        <v>133</v>
      </c>
      <c r="B815" s="136"/>
      <c r="C815" s="136" t="s">
        <v>133</v>
      </c>
      <c r="D815" s="136"/>
      <c r="E815" s="256" t="str">
        <f>IFERROR(__xludf.DUMMYFUNCTION("""COMPUTED_VALUE"""),"")</f>
        <v/>
      </c>
      <c r="F815" s="257" t="str">
        <f>IFERROR(__xludf.DUMMYFUNCTION("""COMPUTED_VALUE"""),"")</f>
        <v/>
      </c>
      <c r="G815" s="247" t="str">
        <f t="shared" si="1"/>
        <v/>
      </c>
      <c r="H815" s="258" t="str">
        <f>IFERROR(__xludf.DUMMYFUNCTION("""COMPUTED_VALUE"""),"")</f>
        <v/>
      </c>
      <c r="I815" s="259" t="str">
        <f>IFERROR(__xludf.DUMMYFUNCTION("""COMPUTED_VALUE"""),"")</f>
        <v/>
      </c>
      <c r="J815" s="250" t="str">
        <f t="shared" si="2"/>
        <v/>
      </c>
      <c r="K815" s="317" t="str">
        <f>IFERROR(__xludf.DUMMYFUNCTION("""COMPUTED_VALUE"""),"")</f>
        <v/>
      </c>
      <c r="L815" s="318" t="str">
        <f>IFERROR(__xludf.DUMMYFUNCTION("""COMPUTED_VALUE"""),"")</f>
        <v/>
      </c>
      <c r="M815" s="253" t="str">
        <f t="shared" si="3"/>
        <v/>
      </c>
      <c r="N815" s="319" t="str">
        <f>IFERROR(__xludf.DUMMYFUNCTION("""COMPUTED_VALUE"""),"")</f>
        <v/>
      </c>
      <c r="O815" s="257" t="str">
        <f>IFERROR(__xludf.DUMMYFUNCTION("""COMPUTED_VALUE"""),"")</f>
        <v/>
      </c>
      <c r="P815" s="247" t="str">
        <f t="shared" si="4"/>
        <v/>
      </c>
      <c r="Q815" s="320" t="str">
        <f>IFERROR(__xludf.DUMMYFUNCTION("""COMPUTED_VALUE"""),"")</f>
        <v/>
      </c>
      <c r="R815" s="259" t="str">
        <f>IFERROR(__xludf.DUMMYFUNCTION("""COMPUTED_VALUE"""),"")</f>
        <v/>
      </c>
      <c r="S815" s="250" t="str">
        <f t="shared" si="5"/>
        <v/>
      </c>
      <c r="T815" s="254" t="str">
        <f>IFERROR(__xludf.DUMMYFUNCTION("""COMPUTED_VALUE"""),"")</f>
        <v/>
      </c>
      <c r="U815" s="246" t="str">
        <f>IFERROR(__xludf.DUMMYFUNCTION("""COMPUTED_VALUE"""),"")</f>
        <v/>
      </c>
      <c r="V815" s="247" t="str">
        <f t="shared" si="6"/>
        <v/>
      </c>
      <c r="W815" s="255" t="str">
        <f>IFERROR(__xludf.DUMMYFUNCTION("""COMPUTED_VALUE"""),"")</f>
        <v/>
      </c>
      <c r="X815" s="249" t="str">
        <f>IFERROR(__xludf.DUMMYFUNCTION("""COMPUTED_VALUE"""),"")</f>
        <v/>
      </c>
      <c r="Y815" s="250" t="str">
        <f t="shared" si="7"/>
        <v/>
      </c>
    </row>
    <row r="816">
      <c r="A816" s="136" t="s">
        <v>133</v>
      </c>
      <c r="B816" s="136"/>
      <c r="C816" s="136" t="s">
        <v>133</v>
      </c>
      <c r="D816" s="136"/>
      <c r="E816" s="256" t="str">
        <f>IFERROR(__xludf.DUMMYFUNCTION("""COMPUTED_VALUE"""),"")</f>
        <v/>
      </c>
      <c r="F816" s="257" t="str">
        <f>IFERROR(__xludf.DUMMYFUNCTION("""COMPUTED_VALUE"""),"")</f>
        <v/>
      </c>
      <c r="G816" s="247" t="str">
        <f t="shared" si="1"/>
        <v/>
      </c>
      <c r="H816" s="258" t="str">
        <f>IFERROR(__xludf.DUMMYFUNCTION("""COMPUTED_VALUE"""),"")</f>
        <v/>
      </c>
      <c r="I816" s="259" t="str">
        <f>IFERROR(__xludf.DUMMYFUNCTION("""COMPUTED_VALUE"""),"")</f>
        <v/>
      </c>
      <c r="J816" s="250" t="str">
        <f t="shared" si="2"/>
        <v/>
      </c>
      <c r="K816" s="317" t="str">
        <f>IFERROR(__xludf.DUMMYFUNCTION("""COMPUTED_VALUE"""),"")</f>
        <v/>
      </c>
      <c r="L816" s="318" t="str">
        <f>IFERROR(__xludf.DUMMYFUNCTION("""COMPUTED_VALUE"""),"")</f>
        <v/>
      </c>
      <c r="M816" s="253" t="str">
        <f t="shared" si="3"/>
        <v/>
      </c>
      <c r="N816" s="319" t="str">
        <f>IFERROR(__xludf.DUMMYFUNCTION("""COMPUTED_VALUE"""),"")</f>
        <v/>
      </c>
      <c r="O816" s="257" t="str">
        <f>IFERROR(__xludf.DUMMYFUNCTION("""COMPUTED_VALUE"""),"")</f>
        <v/>
      </c>
      <c r="P816" s="247" t="str">
        <f t="shared" si="4"/>
        <v/>
      </c>
      <c r="Q816" s="320" t="str">
        <f>IFERROR(__xludf.DUMMYFUNCTION("""COMPUTED_VALUE"""),"")</f>
        <v/>
      </c>
      <c r="R816" s="259" t="str">
        <f>IFERROR(__xludf.DUMMYFUNCTION("""COMPUTED_VALUE"""),"")</f>
        <v/>
      </c>
      <c r="S816" s="250" t="str">
        <f t="shared" si="5"/>
        <v/>
      </c>
      <c r="T816" s="254" t="str">
        <f>IFERROR(__xludf.DUMMYFUNCTION("""COMPUTED_VALUE"""),"")</f>
        <v/>
      </c>
      <c r="U816" s="246" t="str">
        <f>IFERROR(__xludf.DUMMYFUNCTION("""COMPUTED_VALUE"""),"")</f>
        <v/>
      </c>
      <c r="V816" s="247" t="str">
        <f t="shared" si="6"/>
        <v/>
      </c>
      <c r="W816" s="255" t="str">
        <f>IFERROR(__xludf.DUMMYFUNCTION("""COMPUTED_VALUE"""),"")</f>
        <v/>
      </c>
      <c r="X816" s="249" t="str">
        <f>IFERROR(__xludf.DUMMYFUNCTION("""COMPUTED_VALUE"""),"")</f>
        <v/>
      </c>
      <c r="Y816" s="250" t="str">
        <f t="shared" si="7"/>
        <v/>
      </c>
    </row>
    <row r="817">
      <c r="A817" s="136" t="s">
        <v>133</v>
      </c>
      <c r="B817" s="136"/>
      <c r="C817" s="136" t="s">
        <v>133</v>
      </c>
      <c r="D817" s="136"/>
      <c r="E817" s="256" t="str">
        <f>IFERROR(__xludf.DUMMYFUNCTION("""COMPUTED_VALUE"""),"")</f>
        <v/>
      </c>
      <c r="F817" s="257" t="str">
        <f>IFERROR(__xludf.DUMMYFUNCTION("""COMPUTED_VALUE"""),"")</f>
        <v/>
      </c>
      <c r="G817" s="247" t="str">
        <f t="shared" si="1"/>
        <v/>
      </c>
      <c r="H817" s="258" t="str">
        <f>IFERROR(__xludf.DUMMYFUNCTION("""COMPUTED_VALUE"""),"")</f>
        <v/>
      </c>
      <c r="I817" s="259" t="str">
        <f>IFERROR(__xludf.DUMMYFUNCTION("""COMPUTED_VALUE"""),"")</f>
        <v/>
      </c>
      <c r="J817" s="250" t="str">
        <f t="shared" si="2"/>
        <v/>
      </c>
      <c r="K817" s="317" t="str">
        <f>IFERROR(__xludf.DUMMYFUNCTION("""COMPUTED_VALUE"""),"")</f>
        <v/>
      </c>
      <c r="L817" s="318" t="str">
        <f>IFERROR(__xludf.DUMMYFUNCTION("""COMPUTED_VALUE"""),"")</f>
        <v/>
      </c>
      <c r="M817" s="253" t="str">
        <f t="shared" si="3"/>
        <v/>
      </c>
      <c r="N817" s="319" t="str">
        <f>IFERROR(__xludf.DUMMYFUNCTION("""COMPUTED_VALUE"""),"")</f>
        <v/>
      </c>
      <c r="O817" s="257" t="str">
        <f>IFERROR(__xludf.DUMMYFUNCTION("""COMPUTED_VALUE"""),"")</f>
        <v/>
      </c>
      <c r="P817" s="247" t="str">
        <f t="shared" si="4"/>
        <v/>
      </c>
      <c r="Q817" s="320" t="str">
        <f>IFERROR(__xludf.DUMMYFUNCTION("""COMPUTED_VALUE"""),"")</f>
        <v/>
      </c>
      <c r="R817" s="259" t="str">
        <f>IFERROR(__xludf.DUMMYFUNCTION("""COMPUTED_VALUE"""),"")</f>
        <v/>
      </c>
      <c r="S817" s="250" t="str">
        <f t="shared" si="5"/>
        <v/>
      </c>
      <c r="T817" s="254" t="str">
        <f>IFERROR(__xludf.DUMMYFUNCTION("""COMPUTED_VALUE"""),"")</f>
        <v/>
      </c>
      <c r="U817" s="246" t="str">
        <f>IFERROR(__xludf.DUMMYFUNCTION("""COMPUTED_VALUE"""),"")</f>
        <v/>
      </c>
      <c r="V817" s="247" t="str">
        <f t="shared" si="6"/>
        <v/>
      </c>
      <c r="W817" s="255" t="str">
        <f>IFERROR(__xludf.DUMMYFUNCTION("""COMPUTED_VALUE"""),"")</f>
        <v/>
      </c>
      <c r="X817" s="249" t="str">
        <f>IFERROR(__xludf.DUMMYFUNCTION("""COMPUTED_VALUE"""),"")</f>
        <v/>
      </c>
      <c r="Y817" s="250" t="str">
        <f t="shared" si="7"/>
        <v/>
      </c>
    </row>
    <row r="818">
      <c r="A818" s="136" t="s">
        <v>133</v>
      </c>
      <c r="B818" s="136"/>
      <c r="C818" s="136" t="s">
        <v>133</v>
      </c>
      <c r="D818" s="136"/>
      <c r="E818" s="256" t="str">
        <f>IFERROR(__xludf.DUMMYFUNCTION("""COMPUTED_VALUE"""),"")</f>
        <v/>
      </c>
      <c r="F818" s="257" t="str">
        <f>IFERROR(__xludf.DUMMYFUNCTION("""COMPUTED_VALUE"""),"")</f>
        <v/>
      </c>
      <c r="G818" s="247" t="str">
        <f t="shared" si="1"/>
        <v/>
      </c>
      <c r="H818" s="258" t="str">
        <f>IFERROR(__xludf.DUMMYFUNCTION("""COMPUTED_VALUE"""),"")</f>
        <v/>
      </c>
      <c r="I818" s="259" t="str">
        <f>IFERROR(__xludf.DUMMYFUNCTION("""COMPUTED_VALUE"""),"")</f>
        <v/>
      </c>
      <c r="J818" s="250" t="str">
        <f t="shared" si="2"/>
        <v/>
      </c>
      <c r="K818" s="317" t="str">
        <f>IFERROR(__xludf.DUMMYFUNCTION("""COMPUTED_VALUE"""),"")</f>
        <v/>
      </c>
      <c r="L818" s="318" t="str">
        <f>IFERROR(__xludf.DUMMYFUNCTION("""COMPUTED_VALUE"""),"")</f>
        <v/>
      </c>
      <c r="M818" s="253" t="str">
        <f t="shared" si="3"/>
        <v/>
      </c>
      <c r="N818" s="319" t="str">
        <f>IFERROR(__xludf.DUMMYFUNCTION("""COMPUTED_VALUE"""),"")</f>
        <v/>
      </c>
      <c r="O818" s="257" t="str">
        <f>IFERROR(__xludf.DUMMYFUNCTION("""COMPUTED_VALUE"""),"")</f>
        <v/>
      </c>
      <c r="P818" s="247" t="str">
        <f t="shared" si="4"/>
        <v/>
      </c>
      <c r="Q818" s="320" t="str">
        <f>IFERROR(__xludf.DUMMYFUNCTION("""COMPUTED_VALUE"""),"")</f>
        <v/>
      </c>
      <c r="R818" s="259" t="str">
        <f>IFERROR(__xludf.DUMMYFUNCTION("""COMPUTED_VALUE"""),"")</f>
        <v/>
      </c>
      <c r="S818" s="250" t="str">
        <f t="shared" si="5"/>
        <v/>
      </c>
      <c r="T818" s="254" t="str">
        <f>IFERROR(__xludf.DUMMYFUNCTION("""COMPUTED_VALUE"""),"")</f>
        <v/>
      </c>
      <c r="U818" s="246" t="str">
        <f>IFERROR(__xludf.DUMMYFUNCTION("""COMPUTED_VALUE"""),"")</f>
        <v/>
      </c>
      <c r="V818" s="247" t="str">
        <f t="shared" si="6"/>
        <v/>
      </c>
      <c r="W818" s="255" t="str">
        <f>IFERROR(__xludf.DUMMYFUNCTION("""COMPUTED_VALUE"""),"")</f>
        <v/>
      </c>
      <c r="X818" s="249" t="str">
        <f>IFERROR(__xludf.DUMMYFUNCTION("""COMPUTED_VALUE"""),"")</f>
        <v/>
      </c>
      <c r="Y818" s="250" t="str">
        <f t="shared" si="7"/>
        <v/>
      </c>
    </row>
    <row r="819">
      <c r="A819" s="136" t="s">
        <v>133</v>
      </c>
      <c r="B819" s="136"/>
      <c r="C819" s="136" t="s">
        <v>133</v>
      </c>
      <c r="D819" s="136"/>
      <c r="E819" s="256" t="str">
        <f>IFERROR(__xludf.DUMMYFUNCTION("""COMPUTED_VALUE"""),"")</f>
        <v/>
      </c>
      <c r="F819" s="257" t="str">
        <f>IFERROR(__xludf.DUMMYFUNCTION("""COMPUTED_VALUE"""),"")</f>
        <v/>
      </c>
      <c r="G819" s="247" t="str">
        <f t="shared" si="1"/>
        <v/>
      </c>
      <c r="H819" s="258" t="str">
        <f>IFERROR(__xludf.DUMMYFUNCTION("""COMPUTED_VALUE"""),"")</f>
        <v/>
      </c>
      <c r="I819" s="259" t="str">
        <f>IFERROR(__xludf.DUMMYFUNCTION("""COMPUTED_VALUE"""),"")</f>
        <v/>
      </c>
      <c r="J819" s="250" t="str">
        <f t="shared" si="2"/>
        <v/>
      </c>
      <c r="K819" s="317" t="str">
        <f>IFERROR(__xludf.DUMMYFUNCTION("""COMPUTED_VALUE"""),"")</f>
        <v/>
      </c>
      <c r="L819" s="318" t="str">
        <f>IFERROR(__xludf.DUMMYFUNCTION("""COMPUTED_VALUE"""),"")</f>
        <v/>
      </c>
      <c r="M819" s="253" t="str">
        <f t="shared" si="3"/>
        <v/>
      </c>
      <c r="N819" s="319" t="str">
        <f>IFERROR(__xludf.DUMMYFUNCTION("""COMPUTED_VALUE"""),"")</f>
        <v/>
      </c>
      <c r="O819" s="257" t="str">
        <f>IFERROR(__xludf.DUMMYFUNCTION("""COMPUTED_VALUE"""),"")</f>
        <v/>
      </c>
      <c r="P819" s="247" t="str">
        <f t="shared" si="4"/>
        <v/>
      </c>
      <c r="Q819" s="320" t="str">
        <f>IFERROR(__xludf.DUMMYFUNCTION("""COMPUTED_VALUE"""),"")</f>
        <v/>
      </c>
      <c r="R819" s="259" t="str">
        <f>IFERROR(__xludf.DUMMYFUNCTION("""COMPUTED_VALUE"""),"")</f>
        <v/>
      </c>
      <c r="S819" s="250" t="str">
        <f t="shared" si="5"/>
        <v/>
      </c>
      <c r="T819" s="254" t="str">
        <f>IFERROR(__xludf.DUMMYFUNCTION("""COMPUTED_VALUE"""),"")</f>
        <v/>
      </c>
      <c r="U819" s="246" t="str">
        <f>IFERROR(__xludf.DUMMYFUNCTION("""COMPUTED_VALUE"""),"")</f>
        <v/>
      </c>
      <c r="V819" s="247" t="str">
        <f t="shared" si="6"/>
        <v/>
      </c>
      <c r="W819" s="255" t="str">
        <f>IFERROR(__xludf.DUMMYFUNCTION("""COMPUTED_VALUE"""),"")</f>
        <v/>
      </c>
      <c r="X819" s="249" t="str">
        <f>IFERROR(__xludf.DUMMYFUNCTION("""COMPUTED_VALUE"""),"")</f>
        <v/>
      </c>
      <c r="Y819" s="250" t="str">
        <f t="shared" si="7"/>
        <v/>
      </c>
    </row>
    <row r="820">
      <c r="A820" s="136" t="s">
        <v>133</v>
      </c>
      <c r="B820" s="136"/>
      <c r="C820" s="136" t="s">
        <v>133</v>
      </c>
      <c r="D820" s="136"/>
      <c r="E820" s="256" t="str">
        <f>IFERROR(__xludf.DUMMYFUNCTION("""COMPUTED_VALUE"""),"")</f>
        <v/>
      </c>
      <c r="F820" s="257" t="str">
        <f>IFERROR(__xludf.DUMMYFUNCTION("""COMPUTED_VALUE"""),"")</f>
        <v/>
      </c>
      <c r="G820" s="247" t="str">
        <f t="shared" si="1"/>
        <v/>
      </c>
      <c r="H820" s="258" t="str">
        <f>IFERROR(__xludf.DUMMYFUNCTION("""COMPUTED_VALUE"""),"")</f>
        <v/>
      </c>
      <c r="I820" s="259" t="str">
        <f>IFERROR(__xludf.DUMMYFUNCTION("""COMPUTED_VALUE"""),"")</f>
        <v/>
      </c>
      <c r="J820" s="250" t="str">
        <f t="shared" si="2"/>
        <v/>
      </c>
      <c r="K820" s="317" t="str">
        <f>IFERROR(__xludf.DUMMYFUNCTION("""COMPUTED_VALUE"""),"")</f>
        <v/>
      </c>
      <c r="L820" s="318" t="str">
        <f>IFERROR(__xludf.DUMMYFUNCTION("""COMPUTED_VALUE"""),"")</f>
        <v/>
      </c>
      <c r="M820" s="253" t="str">
        <f t="shared" si="3"/>
        <v/>
      </c>
      <c r="N820" s="319" t="str">
        <f>IFERROR(__xludf.DUMMYFUNCTION("""COMPUTED_VALUE"""),"")</f>
        <v/>
      </c>
      <c r="O820" s="257" t="str">
        <f>IFERROR(__xludf.DUMMYFUNCTION("""COMPUTED_VALUE"""),"")</f>
        <v/>
      </c>
      <c r="P820" s="247" t="str">
        <f t="shared" si="4"/>
        <v/>
      </c>
      <c r="Q820" s="320" t="str">
        <f>IFERROR(__xludf.DUMMYFUNCTION("""COMPUTED_VALUE"""),"")</f>
        <v/>
      </c>
      <c r="R820" s="259" t="str">
        <f>IFERROR(__xludf.DUMMYFUNCTION("""COMPUTED_VALUE"""),"")</f>
        <v/>
      </c>
      <c r="S820" s="250" t="str">
        <f t="shared" si="5"/>
        <v/>
      </c>
      <c r="T820" s="254" t="str">
        <f>IFERROR(__xludf.DUMMYFUNCTION("""COMPUTED_VALUE"""),"")</f>
        <v/>
      </c>
      <c r="U820" s="246" t="str">
        <f>IFERROR(__xludf.DUMMYFUNCTION("""COMPUTED_VALUE"""),"")</f>
        <v/>
      </c>
      <c r="V820" s="247" t="str">
        <f t="shared" si="6"/>
        <v/>
      </c>
      <c r="W820" s="255" t="str">
        <f>IFERROR(__xludf.DUMMYFUNCTION("""COMPUTED_VALUE"""),"")</f>
        <v/>
      </c>
      <c r="X820" s="249" t="str">
        <f>IFERROR(__xludf.DUMMYFUNCTION("""COMPUTED_VALUE"""),"")</f>
        <v/>
      </c>
      <c r="Y820" s="250" t="str">
        <f t="shared" si="7"/>
        <v/>
      </c>
    </row>
    <row r="821">
      <c r="A821" s="136" t="s">
        <v>133</v>
      </c>
      <c r="B821" s="136"/>
      <c r="C821" s="136" t="s">
        <v>133</v>
      </c>
      <c r="D821" s="136"/>
      <c r="E821" s="256" t="str">
        <f>IFERROR(__xludf.DUMMYFUNCTION("""COMPUTED_VALUE"""),"")</f>
        <v/>
      </c>
      <c r="F821" s="257" t="str">
        <f>IFERROR(__xludf.DUMMYFUNCTION("""COMPUTED_VALUE"""),"")</f>
        <v/>
      </c>
      <c r="G821" s="247" t="str">
        <f t="shared" si="1"/>
        <v/>
      </c>
      <c r="H821" s="258" t="str">
        <f>IFERROR(__xludf.DUMMYFUNCTION("""COMPUTED_VALUE"""),"")</f>
        <v/>
      </c>
      <c r="I821" s="259" t="str">
        <f>IFERROR(__xludf.DUMMYFUNCTION("""COMPUTED_VALUE"""),"")</f>
        <v/>
      </c>
      <c r="J821" s="250" t="str">
        <f t="shared" si="2"/>
        <v/>
      </c>
      <c r="K821" s="317" t="str">
        <f>IFERROR(__xludf.DUMMYFUNCTION("""COMPUTED_VALUE"""),"")</f>
        <v/>
      </c>
      <c r="L821" s="318" t="str">
        <f>IFERROR(__xludf.DUMMYFUNCTION("""COMPUTED_VALUE"""),"")</f>
        <v/>
      </c>
      <c r="M821" s="253" t="str">
        <f t="shared" si="3"/>
        <v/>
      </c>
      <c r="N821" s="319" t="str">
        <f>IFERROR(__xludf.DUMMYFUNCTION("""COMPUTED_VALUE"""),"")</f>
        <v/>
      </c>
      <c r="O821" s="257" t="str">
        <f>IFERROR(__xludf.DUMMYFUNCTION("""COMPUTED_VALUE"""),"")</f>
        <v/>
      </c>
      <c r="P821" s="247" t="str">
        <f t="shared" si="4"/>
        <v/>
      </c>
      <c r="Q821" s="320" t="str">
        <f>IFERROR(__xludf.DUMMYFUNCTION("""COMPUTED_VALUE"""),"")</f>
        <v/>
      </c>
      <c r="R821" s="259" t="str">
        <f>IFERROR(__xludf.DUMMYFUNCTION("""COMPUTED_VALUE"""),"")</f>
        <v/>
      </c>
      <c r="S821" s="250" t="str">
        <f t="shared" si="5"/>
        <v/>
      </c>
      <c r="T821" s="254" t="str">
        <f>IFERROR(__xludf.DUMMYFUNCTION("""COMPUTED_VALUE"""),"")</f>
        <v/>
      </c>
      <c r="U821" s="246" t="str">
        <f>IFERROR(__xludf.DUMMYFUNCTION("""COMPUTED_VALUE"""),"")</f>
        <v/>
      </c>
      <c r="V821" s="247" t="str">
        <f t="shared" si="6"/>
        <v/>
      </c>
      <c r="W821" s="255" t="str">
        <f>IFERROR(__xludf.DUMMYFUNCTION("""COMPUTED_VALUE"""),"")</f>
        <v/>
      </c>
      <c r="X821" s="249" t="str">
        <f>IFERROR(__xludf.DUMMYFUNCTION("""COMPUTED_VALUE"""),"")</f>
        <v/>
      </c>
      <c r="Y821" s="250" t="str">
        <f t="shared" si="7"/>
        <v/>
      </c>
    </row>
    <row r="822">
      <c r="A822" s="136" t="s">
        <v>133</v>
      </c>
      <c r="B822" s="136"/>
      <c r="C822" s="136" t="s">
        <v>133</v>
      </c>
      <c r="D822" s="136"/>
      <c r="E822" s="256" t="str">
        <f>IFERROR(__xludf.DUMMYFUNCTION("""COMPUTED_VALUE"""),"")</f>
        <v/>
      </c>
      <c r="F822" s="257" t="str">
        <f>IFERROR(__xludf.DUMMYFUNCTION("""COMPUTED_VALUE"""),"")</f>
        <v/>
      </c>
      <c r="G822" s="247" t="str">
        <f t="shared" si="1"/>
        <v/>
      </c>
      <c r="H822" s="258" t="str">
        <f>IFERROR(__xludf.DUMMYFUNCTION("""COMPUTED_VALUE"""),"")</f>
        <v/>
      </c>
      <c r="I822" s="259" t="str">
        <f>IFERROR(__xludf.DUMMYFUNCTION("""COMPUTED_VALUE"""),"")</f>
        <v/>
      </c>
      <c r="J822" s="250" t="str">
        <f t="shared" si="2"/>
        <v/>
      </c>
      <c r="K822" s="317" t="str">
        <f>IFERROR(__xludf.DUMMYFUNCTION("""COMPUTED_VALUE"""),"")</f>
        <v/>
      </c>
      <c r="L822" s="318" t="str">
        <f>IFERROR(__xludf.DUMMYFUNCTION("""COMPUTED_VALUE"""),"")</f>
        <v/>
      </c>
      <c r="M822" s="253" t="str">
        <f t="shared" si="3"/>
        <v/>
      </c>
      <c r="N822" s="319" t="str">
        <f>IFERROR(__xludf.DUMMYFUNCTION("""COMPUTED_VALUE"""),"")</f>
        <v/>
      </c>
      <c r="O822" s="257" t="str">
        <f>IFERROR(__xludf.DUMMYFUNCTION("""COMPUTED_VALUE"""),"")</f>
        <v/>
      </c>
      <c r="P822" s="247" t="str">
        <f t="shared" si="4"/>
        <v/>
      </c>
      <c r="Q822" s="320" t="str">
        <f>IFERROR(__xludf.DUMMYFUNCTION("""COMPUTED_VALUE"""),"")</f>
        <v/>
      </c>
      <c r="R822" s="259" t="str">
        <f>IFERROR(__xludf.DUMMYFUNCTION("""COMPUTED_VALUE"""),"")</f>
        <v/>
      </c>
      <c r="S822" s="250" t="str">
        <f t="shared" si="5"/>
        <v/>
      </c>
      <c r="T822" s="254" t="str">
        <f>IFERROR(__xludf.DUMMYFUNCTION("""COMPUTED_VALUE"""),"")</f>
        <v/>
      </c>
      <c r="U822" s="246" t="str">
        <f>IFERROR(__xludf.DUMMYFUNCTION("""COMPUTED_VALUE"""),"")</f>
        <v/>
      </c>
      <c r="V822" s="247" t="str">
        <f t="shared" si="6"/>
        <v/>
      </c>
      <c r="W822" s="255" t="str">
        <f>IFERROR(__xludf.DUMMYFUNCTION("""COMPUTED_VALUE"""),"")</f>
        <v/>
      </c>
      <c r="X822" s="249" t="str">
        <f>IFERROR(__xludf.DUMMYFUNCTION("""COMPUTED_VALUE"""),"")</f>
        <v/>
      </c>
      <c r="Y822" s="250" t="str">
        <f t="shared" si="7"/>
        <v/>
      </c>
    </row>
    <row r="823">
      <c r="A823" s="136" t="s">
        <v>133</v>
      </c>
      <c r="B823" s="136"/>
      <c r="C823" s="136" t="s">
        <v>133</v>
      </c>
      <c r="D823" s="136"/>
      <c r="E823" s="256" t="str">
        <f>IFERROR(__xludf.DUMMYFUNCTION("""COMPUTED_VALUE"""),"")</f>
        <v/>
      </c>
      <c r="F823" s="257" t="str">
        <f>IFERROR(__xludf.DUMMYFUNCTION("""COMPUTED_VALUE"""),"")</f>
        <v/>
      </c>
      <c r="G823" s="247" t="str">
        <f t="shared" si="1"/>
        <v/>
      </c>
      <c r="H823" s="258" t="str">
        <f>IFERROR(__xludf.DUMMYFUNCTION("""COMPUTED_VALUE"""),"")</f>
        <v/>
      </c>
      <c r="I823" s="259" t="str">
        <f>IFERROR(__xludf.DUMMYFUNCTION("""COMPUTED_VALUE"""),"")</f>
        <v/>
      </c>
      <c r="J823" s="250" t="str">
        <f t="shared" si="2"/>
        <v/>
      </c>
      <c r="K823" s="317" t="str">
        <f>IFERROR(__xludf.DUMMYFUNCTION("""COMPUTED_VALUE"""),"")</f>
        <v/>
      </c>
      <c r="L823" s="318" t="str">
        <f>IFERROR(__xludf.DUMMYFUNCTION("""COMPUTED_VALUE"""),"")</f>
        <v/>
      </c>
      <c r="M823" s="253" t="str">
        <f t="shared" si="3"/>
        <v/>
      </c>
      <c r="N823" s="319" t="str">
        <f>IFERROR(__xludf.DUMMYFUNCTION("""COMPUTED_VALUE"""),"")</f>
        <v/>
      </c>
      <c r="O823" s="257" t="str">
        <f>IFERROR(__xludf.DUMMYFUNCTION("""COMPUTED_VALUE"""),"")</f>
        <v/>
      </c>
      <c r="P823" s="247" t="str">
        <f t="shared" si="4"/>
        <v/>
      </c>
      <c r="Q823" s="320" t="str">
        <f>IFERROR(__xludf.DUMMYFUNCTION("""COMPUTED_VALUE"""),"")</f>
        <v/>
      </c>
      <c r="R823" s="259" t="str">
        <f>IFERROR(__xludf.DUMMYFUNCTION("""COMPUTED_VALUE"""),"")</f>
        <v/>
      </c>
      <c r="S823" s="250" t="str">
        <f t="shared" si="5"/>
        <v/>
      </c>
      <c r="T823" s="254" t="str">
        <f>IFERROR(__xludf.DUMMYFUNCTION("""COMPUTED_VALUE"""),"")</f>
        <v/>
      </c>
      <c r="U823" s="246" t="str">
        <f>IFERROR(__xludf.DUMMYFUNCTION("""COMPUTED_VALUE"""),"")</f>
        <v/>
      </c>
      <c r="V823" s="247" t="str">
        <f t="shared" si="6"/>
        <v/>
      </c>
      <c r="W823" s="255" t="str">
        <f>IFERROR(__xludf.DUMMYFUNCTION("""COMPUTED_VALUE"""),"")</f>
        <v/>
      </c>
      <c r="X823" s="249" t="str">
        <f>IFERROR(__xludf.DUMMYFUNCTION("""COMPUTED_VALUE"""),"")</f>
        <v/>
      </c>
      <c r="Y823" s="250" t="str">
        <f t="shared" si="7"/>
        <v/>
      </c>
    </row>
    <row r="824">
      <c r="A824" s="136" t="s">
        <v>133</v>
      </c>
      <c r="B824" s="136"/>
      <c r="C824" s="136" t="s">
        <v>133</v>
      </c>
      <c r="D824" s="136"/>
      <c r="E824" s="256" t="str">
        <f>IFERROR(__xludf.DUMMYFUNCTION("""COMPUTED_VALUE"""),"")</f>
        <v/>
      </c>
      <c r="F824" s="257" t="str">
        <f>IFERROR(__xludf.DUMMYFUNCTION("""COMPUTED_VALUE"""),"")</f>
        <v/>
      </c>
      <c r="G824" s="247" t="str">
        <f t="shared" si="1"/>
        <v/>
      </c>
      <c r="H824" s="258" t="str">
        <f>IFERROR(__xludf.DUMMYFUNCTION("""COMPUTED_VALUE"""),"")</f>
        <v/>
      </c>
      <c r="I824" s="259" t="str">
        <f>IFERROR(__xludf.DUMMYFUNCTION("""COMPUTED_VALUE"""),"")</f>
        <v/>
      </c>
      <c r="J824" s="250" t="str">
        <f t="shared" si="2"/>
        <v/>
      </c>
      <c r="K824" s="317" t="str">
        <f>IFERROR(__xludf.DUMMYFUNCTION("""COMPUTED_VALUE"""),"")</f>
        <v/>
      </c>
      <c r="L824" s="318" t="str">
        <f>IFERROR(__xludf.DUMMYFUNCTION("""COMPUTED_VALUE"""),"")</f>
        <v/>
      </c>
      <c r="M824" s="253" t="str">
        <f t="shared" si="3"/>
        <v/>
      </c>
      <c r="N824" s="319" t="str">
        <f>IFERROR(__xludf.DUMMYFUNCTION("""COMPUTED_VALUE"""),"")</f>
        <v/>
      </c>
      <c r="O824" s="257" t="str">
        <f>IFERROR(__xludf.DUMMYFUNCTION("""COMPUTED_VALUE"""),"")</f>
        <v/>
      </c>
      <c r="P824" s="247" t="str">
        <f t="shared" si="4"/>
        <v/>
      </c>
      <c r="Q824" s="320" t="str">
        <f>IFERROR(__xludf.DUMMYFUNCTION("""COMPUTED_VALUE"""),"")</f>
        <v/>
      </c>
      <c r="R824" s="259" t="str">
        <f>IFERROR(__xludf.DUMMYFUNCTION("""COMPUTED_VALUE"""),"")</f>
        <v/>
      </c>
      <c r="S824" s="250" t="str">
        <f t="shared" si="5"/>
        <v/>
      </c>
      <c r="T824" s="254" t="str">
        <f>IFERROR(__xludf.DUMMYFUNCTION("""COMPUTED_VALUE"""),"")</f>
        <v/>
      </c>
      <c r="U824" s="246" t="str">
        <f>IFERROR(__xludf.DUMMYFUNCTION("""COMPUTED_VALUE"""),"")</f>
        <v/>
      </c>
      <c r="V824" s="247" t="str">
        <f t="shared" si="6"/>
        <v/>
      </c>
      <c r="W824" s="255" t="str">
        <f>IFERROR(__xludf.DUMMYFUNCTION("""COMPUTED_VALUE"""),"")</f>
        <v/>
      </c>
      <c r="X824" s="249" t="str">
        <f>IFERROR(__xludf.DUMMYFUNCTION("""COMPUTED_VALUE"""),"")</f>
        <v/>
      </c>
      <c r="Y824" s="250" t="str">
        <f t="shared" si="7"/>
        <v/>
      </c>
    </row>
    <row r="825">
      <c r="A825" s="136" t="s">
        <v>133</v>
      </c>
      <c r="B825" s="136"/>
      <c r="C825" s="136" t="s">
        <v>133</v>
      </c>
      <c r="D825" s="136"/>
      <c r="E825" s="256" t="str">
        <f>IFERROR(__xludf.DUMMYFUNCTION("""COMPUTED_VALUE"""),"")</f>
        <v/>
      </c>
      <c r="F825" s="257" t="str">
        <f>IFERROR(__xludf.DUMMYFUNCTION("""COMPUTED_VALUE"""),"")</f>
        <v/>
      </c>
      <c r="G825" s="247" t="str">
        <f t="shared" si="1"/>
        <v/>
      </c>
      <c r="H825" s="258" t="str">
        <f>IFERROR(__xludf.DUMMYFUNCTION("""COMPUTED_VALUE"""),"")</f>
        <v/>
      </c>
      <c r="I825" s="259" t="str">
        <f>IFERROR(__xludf.DUMMYFUNCTION("""COMPUTED_VALUE"""),"")</f>
        <v/>
      </c>
      <c r="J825" s="250" t="str">
        <f t="shared" si="2"/>
        <v/>
      </c>
      <c r="K825" s="317" t="str">
        <f>IFERROR(__xludf.DUMMYFUNCTION("""COMPUTED_VALUE"""),"")</f>
        <v/>
      </c>
      <c r="L825" s="318" t="str">
        <f>IFERROR(__xludf.DUMMYFUNCTION("""COMPUTED_VALUE"""),"")</f>
        <v/>
      </c>
      <c r="M825" s="253" t="str">
        <f t="shared" si="3"/>
        <v/>
      </c>
      <c r="N825" s="319" t="str">
        <f>IFERROR(__xludf.DUMMYFUNCTION("""COMPUTED_VALUE"""),"")</f>
        <v/>
      </c>
      <c r="O825" s="257" t="str">
        <f>IFERROR(__xludf.DUMMYFUNCTION("""COMPUTED_VALUE"""),"")</f>
        <v/>
      </c>
      <c r="P825" s="247" t="str">
        <f t="shared" si="4"/>
        <v/>
      </c>
      <c r="Q825" s="320" t="str">
        <f>IFERROR(__xludf.DUMMYFUNCTION("""COMPUTED_VALUE"""),"")</f>
        <v/>
      </c>
      <c r="R825" s="259" t="str">
        <f>IFERROR(__xludf.DUMMYFUNCTION("""COMPUTED_VALUE"""),"")</f>
        <v/>
      </c>
      <c r="S825" s="250" t="str">
        <f t="shared" si="5"/>
        <v/>
      </c>
      <c r="T825" s="254" t="str">
        <f>IFERROR(__xludf.DUMMYFUNCTION("""COMPUTED_VALUE"""),"")</f>
        <v/>
      </c>
      <c r="U825" s="246" t="str">
        <f>IFERROR(__xludf.DUMMYFUNCTION("""COMPUTED_VALUE"""),"")</f>
        <v/>
      </c>
      <c r="V825" s="247" t="str">
        <f t="shared" si="6"/>
        <v/>
      </c>
      <c r="W825" s="255" t="str">
        <f>IFERROR(__xludf.DUMMYFUNCTION("""COMPUTED_VALUE"""),"")</f>
        <v/>
      </c>
      <c r="X825" s="249" t="str">
        <f>IFERROR(__xludf.DUMMYFUNCTION("""COMPUTED_VALUE"""),"")</f>
        <v/>
      </c>
      <c r="Y825" s="250" t="str">
        <f t="shared" si="7"/>
        <v/>
      </c>
    </row>
    <row r="826">
      <c r="A826" s="136" t="s">
        <v>133</v>
      </c>
      <c r="B826" s="136"/>
      <c r="C826" s="136" t="s">
        <v>133</v>
      </c>
      <c r="D826" s="136"/>
      <c r="E826" s="256" t="str">
        <f>IFERROR(__xludf.DUMMYFUNCTION("""COMPUTED_VALUE"""),"")</f>
        <v/>
      </c>
      <c r="F826" s="257" t="str">
        <f>IFERROR(__xludf.DUMMYFUNCTION("""COMPUTED_VALUE"""),"")</f>
        <v/>
      </c>
      <c r="G826" s="247" t="str">
        <f t="shared" si="1"/>
        <v/>
      </c>
      <c r="H826" s="258" t="str">
        <f>IFERROR(__xludf.DUMMYFUNCTION("""COMPUTED_VALUE"""),"")</f>
        <v/>
      </c>
      <c r="I826" s="259" t="str">
        <f>IFERROR(__xludf.DUMMYFUNCTION("""COMPUTED_VALUE"""),"")</f>
        <v/>
      </c>
      <c r="J826" s="250" t="str">
        <f t="shared" si="2"/>
        <v/>
      </c>
      <c r="K826" s="317" t="str">
        <f>IFERROR(__xludf.DUMMYFUNCTION("""COMPUTED_VALUE"""),"")</f>
        <v/>
      </c>
      <c r="L826" s="318" t="str">
        <f>IFERROR(__xludf.DUMMYFUNCTION("""COMPUTED_VALUE"""),"")</f>
        <v/>
      </c>
      <c r="M826" s="253" t="str">
        <f t="shared" si="3"/>
        <v/>
      </c>
      <c r="N826" s="319" t="str">
        <f>IFERROR(__xludf.DUMMYFUNCTION("""COMPUTED_VALUE"""),"")</f>
        <v/>
      </c>
      <c r="O826" s="257" t="str">
        <f>IFERROR(__xludf.DUMMYFUNCTION("""COMPUTED_VALUE"""),"")</f>
        <v/>
      </c>
      <c r="P826" s="247" t="str">
        <f t="shared" si="4"/>
        <v/>
      </c>
      <c r="Q826" s="320" t="str">
        <f>IFERROR(__xludf.DUMMYFUNCTION("""COMPUTED_VALUE"""),"")</f>
        <v/>
      </c>
      <c r="R826" s="259" t="str">
        <f>IFERROR(__xludf.DUMMYFUNCTION("""COMPUTED_VALUE"""),"")</f>
        <v/>
      </c>
      <c r="S826" s="250" t="str">
        <f t="shared" si="5"/>
        <v/>
      </c>
      <c r="T826" s="254" t="str">
        <f>IFERROR(__xludf.DUMMYFUNCTION("""COMPUTED_VALUE"""),"")</f>
        <v/>
      </c>
      <c r="U826" s="246" t="str">
        <f>IFERROR(__xludf.DUMMYFUNCTION("""COMPUTED_VALUE"""),"")</f>
        <v/>
      </c>
      <c r="V826" s="247" t="str">
        <f t="shared" si="6"/>
        <v/>
      </c>
      <c r="W826" s="255" t="str">
        <f>IFERROR(__xludf.DUMMYFUNCTION("""COMPUTED_VALUE"""),"")</f>
        <v/>
      </c>
      <c r="X826" s="249" t="str">
        <f>IFERROR(__xludf.DUMMYFUNCTION("""COMPUTED_VALUE"""),"")</f>
        <v/>
      </c>
      <c r="Y826" s="250" t="str">
        <f t="shared" si="7"/>
        <v/>
      </c>
    </row>
    <row r="827">
      <c r="A827" s="136" t="s">
        <v>133</v>
      </c>
      <c r="B827" s="136"/>
      <c r="C827" s="136" t="s">
        <v>133</v>
      </c>
      <c r="D827" s="136"/>
      <c r="E827" s="256" t="str">
        <f>IFERROR(__xludf.DUMMYFUNCTION("""COMPUTED_VALUE"""),"")</f>
        <v/>
      </c>
      <c r="F827" s="257" t="str">
        <f>IFERROR(__xludf.DUMMYFUNCTION("""COMPUTED_VALUE"""),"")</f>
        <v/>
      </c>
      <c r="G827" s="247" t="str">
        <f t="shared" si="1"/>
        <v/>
      </c>
      <c r="H827" s="258" t="str">
        <f>IFERROR(__xludf.DUMMYFUNCTION("""COMPUTED_VALUE"""),"")</f>
        <v/>
      </c>
      <c r="I827" s="259" t="str">
        <f>IFERROR(__xludf.DUMMYFUNCTION("""COMPUTED_VALUE"""),"")</f>
        <v/>
      </c>
      <c r="J827" s="250" t="str">
        <f t="shared" si="2"/>
        <v/>
      </c>
      <c r="K827" s="317" t="str">
        <f>IFERROR(__xludf.DUMMYFUNCTION("""COMPUTED_VALUE"""),"")</f>
        <v/>
      </c>
      <c r="L827" s="318" t="str">
        <f>IFERROR(__xludf.DUMMYFUNCTION("""COMPUTED_VALUE"""),"")</f>
        <v/>
      </c>
      <c r="M827" s="253" t="str">
        <f t="shared" si="3"/>
        <v/>
      </c>
      <c r="N827" s="319" t="str">
        <f>IFERROR(__xludf.DUMMYFUNCTION("""COMPUTED_VALUE"""),"")</f>
        <v/>
      </c>
      <c r="O827" s="257" t="str">
        <f>IFERROR(__xludf.DUMMYFUNCTION("""COMPUTED_VALUE"""),"")</f>
        <v/>
      </c>
      <c r="P827" s="247" t="str">
        <f t="shared" si="4"/>
        <v/>
      </c>
      <c r="Q827" s="320" t="str">
        <f>IFERROR(__xludf.DUMMYFUNCTION("""COMPUTED_VALUE"""),"")</f>
        <v/>
      </c>
      <c r="R827" s="259" t="str">
        <f>IFERROR(__xludf.DUMMYFUNCTION("""COMPUTED_VALUE"""),"")</f>
        <v/>
      </c>
      <c r="S827" s="250" t="str">
        <f t="shared" si="5"/>
        <v/>
      </c>
      <c r="T827" s="254" t="str">
        <f>IFERROR(__xludf.DUMMYFUNCTION("""COMPUTED_VALUE"""),"")</f>
        <v/>
      </c>
      <c r="U827" s="246" t="str">
        <f>IFERROR(__xludf.DUMMYFUNCTION("""COMPUTED_VALUE"""),"")</f>
        <v/>
      </c>
      <c r="V827" s="247" t="str">
        <f t="shared" si="6"/>
        <v/>
      </c>
      <c r="W827" s="255" t="str">
        <f>IFERROR(__xludf.DUMMYFUNCTION("""COMPUTED_VALUE"""),"")</f>
        <v/>
      </c>
      <c r="X827" s="249" t="str">
        <f>IFERROR(__xludf.DUMMYFUNCTION("""COMPUTED_VALUE"""),"")</f>
        <v/>
      </c>
      <c r="Y827" s="250" t="str">
        <f t="shared" si="7"/>
        <v/>
      </c>
    </row>
    <row r="828">
      <c r="A828" s="136" t="s">
        <v>133</v>
      </c>
      <c r="B828" s="136"/>
      <c r="C828" s="136" t="s">
        <v>133</v>
      </c>
      <c r="D828" s="136"/>
      <c r="E828" s="256" t="str">
        <f>IFERROR(__xludf.DUMMYFUNCTION("""COMPUTED_VALUE"""),"")</f>
        <v/>
      </c>
      <c r="F828" s="257" t="str">
        <f>IFERROR(__xludf.DUMMYFUNCTION("""COMPUTED_VALUE"""),"")</f>
        <v/>
      </c>
      <c r="G828" s="247" t="str">
        <f t="shared" si="1"/>
        <v/>
      </c>
      <c r="H828" s="258" t="str">
        <f>IFERROR(__xludf.DUMMYFUNCTION("""COMPUTED_VALUE"""),"")</f>
        <v/>
      </c>
      <c r="I828" s="259" t="str">
        <f>IFERROR(__xludf.DUMMYFUNCTION("""COMPUTED_VALUE"""),"")</f>
        <v/>
      </c>
      <c r="J828" s="250" t="str">
        <f t="shared" si="2"/>
        <v/>
      </c>
      <c r="K828" s="317" t="str">
        <f>IFERROR(__xludf.DUMMYFUNCTION("""COMPUTED_VALUE"""),"")</f>
        <v/>
      </c>
      <c r="L828" s="318" t="str">
        <f>IFERROR(__xludf.DUMMYFUNCTION("""COMPUTED_VALUE"""),"")</f>
        <v/>
      </c>
      <c r="M828" s="253" t="str">
        <f t="shared" si="3"/>
        <v/>
      </c>
      <c r="N828" s="319" t="str">
        <f>IFERROR(__xludf.DUMMYFUNCTION("""COMPUTED_VALUE"""),"")</f>
        <v/>
      </c>
      <c r="O828" s="257" t="str">
        <f>IFERROR(__xludf.DUMMYFUNCTION("""COMPUTED_VALUE"""),"")</f>
        <v/>
      </c>
      <c r="P828" s="247" t="str">
        <f t="shared" si="4"/>
        <v/>
      </c>
      <c r="Q828" s="320" t="str">
        <f>IFERROR(__xludf.DUMMYFUNCTION("""COMPUTED_VALUE"""),"")</f>
        <v/>
      </c>
      <c r="R828" s="259" t="str">
        <f>IFERROR(__xludf.DUMMYFUNCTION("""COMPUTED_VALUE"""),"")</f>
        <v/>
      </c>
      <c r="S828" s="250" t="str">
        <f t="shared" si="5"/>
        <v/>
      </c>
      <c r="T828" s="254" t="str">
        <f>IFERROR(__xludf.DUMMYFUNCTION("""COMPUTED_VALUE"""),"")</f>
        <v/>
      </c>
      <c r="U828" s="246" t="str">
        <f>IFERROR(__xludf.DUMMYFUNCTION("""COMPUTED_VALUE"""),"")</f>
        <v/>
      </c>
      <c r="V828" s="247" t="str">
        <f t="shared" si="6"/>
        <v/>
      </c>
      <c r="W828" s="255" t="str">
        <f>IFERROR(__xludf.DUMMYFUNCTION("""COMPUTED_VALUE"""),"")</f>
        <v/>
      </c>
      <c r="X828" s="249" t="str">
        <f>IFERROR(__xludf.DUMMYFUNCTION("""COMPUTED_VALUE"""),"")</f>
        <v/>
      </c>
      <c r="Y828" s="250" t="str">
        <f t="shared" si="7"/>
        <v/>
      </c>
    </row>
    <row r="829">
      <c r="A829" s="136" t="s">
        <v>133</v>
      </c>
      <c r="B829" s="136"/>
      <c r="C829" s="136" t="s">
        <v>133</v>
      </c>
      <c r="D829" s="136"/>
      <c r="E829" s="256" t="str">
        <f>IFERROR(__xludf.DUMMYFUNCTION("""COMPUTED_VALUE"""),"")</f>
        <v/>
      </c>
      <c r="F829" s="257" t="str">
        <f>IFERROR(__xludf.DUMMYFUNCTION("""COMPUTED_VALUE"""),"")</f>
        <v/>
      </c>
      <c r="G829" s="247" t="str">
        <f t="shared" si="1"/>
        <v/>
      </c>
      <c r="H829" s="258" t="str">
        <f>IFERROR(__xludf.DUMMYFUNCTION("""COMPUTED_VALUE"""),"")</f>
        <v/>
      </c>
      <c r="I829" s="259" t="str">
        <f>IFERROR(__xludf.DUMMYFUNCTION("""COMPUTED_VALUE"""),"")</f>
        <v/>
      </c>
      <c r="J829" s="250" t="str">
        <f t="shared" si="2"/>
        <v/>
      </c>
      <c r="K829" s="317" t="str">
        <f>IFERROR(__xludf.DUMMYFUNCTION("""COMPUTED_VALUE"""),"")</f>
        <v/>
      </c>
      <c r="L829" s="318" t="str">
        <f>IFERROR(__xludf.DUMMYFUNCTION("""COMPUTED_VALUE"""),"")</f>
        <v/>
      </c>
      <c r="M829" s="253" t="str">
        <f t="shared" si="3"/>
        <v/>
      </c>
      <c r="N829" s="319" t="str">
        <f>IFERROR(__xludf.DUMMYFUNCTION("""COMPUTED_VALUE"""),"")</f>
        <v/>
      </c>
      <c r="O829" s="257" t="str">
        <f>IFERROR(__xludf.DUMMYFUNCTION("""COMPUTED_VALUE"""),"")</f>
        <v/>
      </c>
      <c r="P829" s="247" t="str">
        <f t="shared" si="4"/>
        <v/>
      </c>
      <c r="Q829" s="320" t="str">
        <f>IFERROR(__xludf.DUMMYFUNCTION("""COMPUTED_VALUE"""),"")</f>
        <v/>
      </c>
      <c r="R829" s="259" t="str">
        <f>IFERROR(__xludf.DUMMYFUNCTION("""COMPUTED_VALUE"""),"")</f>
        <v/>
      </c>
      <c r="S829" s="250" t="str">
        <f t="shared" si="5"/>
        <v/>
      </c>
      <c r="T829" s="254" t="str">
        <f>IFERROR(__xludf.DUMMYFUNCTION("""COMPUTED_VALUE"""),"")</f>
        <v/>
      </c>
      <c r="U829" s="246" t="str">
        <f>IFERROR(__xludf.DUMMYFUNCTION("""COMPUTED_VALUE"""),"")</f>
        <v/>
      </c>
      <c r="V829" s="247" t="str">
        <f t="shared" si="6"/>
        <v/>
      </c>
      <c r="W829" s="255" t="str">
        <f>IFERROR(__xludf.DUMMYFUNCTION("""COMPUTED_VALUE"""),"")</f>
        <v/>
      </c>
      <c r="X829" s="249" t="str">
        <f>IFERROR(__xludf.DUMMYFUNCTION("""COMPUTED_VALUE"""),"")</f>
        <v/>
      </c>
      <c r="Y829" s="250" t="str">
        <f t="shared" si="7"/>
        <v/>
      </c>
    </row>
    <row r="830">
      <c r="A830" s="136" t="s">
        <v>133</v>
      </c>
      <c r="B830" s="136"/>
      <c r="C830" s="136" t="s">
        <v>133</v>
      </c>
      <c r="D830" s="136"/>
      <c r="E830" s="256" t="str">
        <f>IFERROR(__xludf.DUMMYFUNCTION("""COMPUTED_VALUE"""),"")</f>
        <v/>
      </c>
      <c r="F830" s="257" t="str">
        <f>IFERROR(__xludf.DUMMYFUNCTION("""COMPUTED_VALUE"""),"")</f>
        <v/>
      </c>
      <c r="G830" s="247" t="str">
        <f t="shared" si="1"/>
        <v/>
      </c>
      <c r="H830" s="258" t="str">
        <f>IFERROR(__xludf.DUMMYFUNCTION("""COMPUTED_VALUE"""),"")</f>
        <v/>
      </c>
      <c r="I830" s="259" t="str">
        <f>IFERROR(__xludf.DUMMYFUNCTION("""COMPUTED_VALUE"""),"")</f>
        <v/>
      </c>
      <c r="J830" s="250" t="str">
        <f t="shared" si="2"/>
        <v/>
      </c>
      <c r="K830" s="317" t="str">
        <f>IFERROR(__xludf.DUMMYFUNCTION("""COMPUTED_VALUE"""),"")</f>
        <v/>
      </c>
      <c r="L830" s="318" t="str">
        <f>IFERROR(__xludf.DUMMYFUNCTION("""COMPUTED_VALUE"""),"")</f>
        <v/>
      </c>
      <c r="M830" s="253" t="str">
        <f t="shared" si="3"/>
        <v/>
      </c>
      <c r="N830" s="319" t="str">
        <f>IFERROR(__xludf.DUMMYFUNCTION("""COMPUTED_VALUE"""),"")</f>
        <v/>
      </c>
      <c r="O830" s="257" t="str">
        <f>IFERROR(__xludf.DUMMYFUNCTION("""COMPUTED_VALUE"""),"")</f>
        <v/>
      </c>
      <c r="P830" s="247" t="str">
        <f t="shared" si="4"/>
        <v/>
      </c>
      <c r="Q830" s="320" t="str">
        <f>IFERROR(__xludf.DUMMYFUNCTION("""COMPUTED_VALUE"""),"")</f>
        <v/>
      </c>
      <c r="R830" s="259" t="str">
        <f>IFERROR(__xludf.DUMMYFUNCTION("""COMPUTED_VALUE"""),"")</f>
        <v/>
      </c>
      <c r="S830" s="250" t="str">
        <f t="shared" si="5"/>
        <v/>
      </c>
      <c r="T830" s="254" t="str">
        <f>IFERROR(__xludf.DUMMYFUNCTION("""COMPUTED_VALUE"""),"")</f>
        <v/>
      </c>
      <c r="U830" s="246" t="str">
        <f>IFERROR(__xludf.DUMMYFUNCTION("""COMPUTED_VALUE"""),"")</f>
        <v/>
      </c>
      <c r="V830" s="247" t="str">
        <f t="shared" si="6"/>
        <v/>
      </c>
      <c r="W830" s="255" t="str">
        <f>IFERROR(__xludf.DUMMYFUNCTION("""COMPUTED_VALUE"""),"")</f>
        <v/>
      </c>
      <c r="X830" s="249" t="str">
        <f>IFERROR(__xludf.DUMMYFUNCTION("""COMPUTED_VALUE"""),"")</f>
        <v/>
      </c>
      <c r="Y830" s="250" t="str">
        <f t="shared" si="7"/>
        <v/>
      </c>
    </row>
    <row r="831">
      <c r="A831" s="136" t="s">
        <v>133</v>
      </c>
      <c r="B831" s="136"/>
      <c r="C831" s="136" t="s">
        <v>133</v>
      </c>
      <c r="D831" s="136"/>
      <c r="E831" s="256" t="str">
        <f>IFERROR(__xludf.DUMMYFUNCTION("""COMPUTED_VALUE"""),"")</f>
        <v/>
      </c>
      <c r="F831" s="257" t="str">
        <f>IFERROR(__xludf.DUMMYFUNCTION("""COMPUTED_VALUE"""),"")</f>
        <v/>
      </c>
      <c r="G831" s="247" t="str">
        <f t="shared" si="1"/>
        <v/>
      </c>
      <c r="H831" s="258" t="str">
        <f>IFERROR(__xludf.DUMMYFUNCTION("""COMPUTED_VALUE"""),"")</f>
        <v/>
      </c>
      <c r="I831" s="259" t="str">
        <f>IFERROR(__xludf.DUMMYFUNCTION("""COMPUTED_VALUE"""),"")</f>
        <v/>
      </c>
      <c r="J831" s="250" t="str">
        <f t="shared" si="2"/>
        <v/>
      </c>
      <c r="K831" s="317" t="str">
        <f>IFERROR(__xludf.DUMMYFUNCTION("""COMPUTED_VALUE"""),"")</f>
        <v/>
      </c>
      <c r="L831" s="318" t="str">
        <f>IFERROR(__xludf.DUMMYFUNCTION("""COMPUTED_VALUE"""),"")</f>
        <v/>
      </c>
      <c r="M831" s="253" t="str">
        <f t="shared" si="3"/>
        <v/>
      </c>
      <c r="N831" s="319" t="str">
        <f>IFERROR(__xludf.DUMMYFUNCTION("""COMPUTED_VALUE"""),"")</f>
        <v/>
      </c>
      <c r="O831" s="257" t="str">
        <f>IFERROR(__xludf.DUMMYFUNCTION("""COMPUTED_VALUE"""),"")</f>
        <v/>
      </c>
      <c r="P831" s="247" t="str">
        <f t="shared" si="4"/>
        <v/>
      </c>
      <c r="Q831" s="320" t="str">
        <f>IFERROR(__xludf.DUMMYFUNCTION("""COMPUTED_VALUE"""),"")</f>
        <v/>
      </c>
      <c r="R831" s="259" t="str">
        <f>IFERROR(__xludf.DUMMYFUNCTION("""COMPUTED_VALUE"""),"")</f>
        <v/>
      </c>
      <c r="S831" s="250" t="str">
        <f t="shared" si="5"/>
        <v/>
      </c>
      <c r="T831" s="254" t="str">
        <f>IFERROR(__xludf.DUMMYFUNCTION("""COMPUTED_VALUE"""),"")</f>
        <v/>
      </c>
      <c r="U831" s="246" t="str">
        <f>IFERROR(__xludf.DUMMYFUNCTION("""COMPUTED_VALUE"""),"")</f>
        <v/>
      </c>
      <c r="V831" s="247" t="str">
        <f t="shared" si="6"/>
        <v/>
      </c>
      <c r="W831" s="255" t="str">
        <f>IFERROR(__xludf.DUMMYFUNCTION("""COMPUTED_VALUE"""),"")</f>
        <v/>
      </c>
      <c r="X831" s="249" t="str">
        <f>IFERROR(__xludf.DUMMYFUNCTION("""COMPUTED_VALUE"""),"")</f>
        <v/>
      </c>
      <c r="Y831" s="250" t="str">
        <f t="shared" si="7"/>
        <v/>
      </c>
    </row>
    <row r="832">
      <c r="A832" s="136" t="s">
        <v>133</v>
      </c>
      <c r="B832" s="136"/>
      <c r="C832" s="136" t="s">
        <v>133</v>
      </c>
      <c r="D832" s="136"/>
      <c r="E832" s="256" t="str">
        <f>IFERROR(__xludf.DUMMYFUNCTION("""COMPUTED_VALUE"""),"")</f>
        <v/>
      </c>
      <c r="F832" s="257" t="str">
        <f>IFERROR(__xludf.DUMMYFUNCTION("""COMPUTED_VALUE"""),"")</f>
        <v/>
      </c>
      <c r="G832" s="247" t="str">
        <f t="shared" si="1"/>
        <v/>
      </c>
      <c r="H832" s="258" t="str">
        <f>IFERROR(__xludf.DUMMYFUNCTION("""COMPUTED_VALUE"""),"")</f>
        <v/>
      </c>
      <c r="I832" s="259" t="str">
        <f>IFERROR(__xludf.DUMMYFUNCTION("""COMPUTED_VALUE"""),"")</f>
        <v/>
      </c>
      <c r="J832" s="250" t="str">
        <f t="shared" si="2"/>
        <v/>
      </c>
      <c r="K832" s="317" t="str">
        <f>IFERROR(__xludf.DUMMYFUNCTION("""COMPUTED_VALUE"""),"")</f>
        <v/>
      </c>
      <c r="L832" s="318" t="str">
        <f>IFERROR(__xludf.DUMMYFUNCTION("""COMPUTED_VALUE"""),"")</f>
        <v/>
      </c>
      <c r="M832" s="253" t="str">
        <f t="shared" si="3"/>
        <v/>
      </c>
      <c r="N832" s="319" t="str">
        <f>IFERROR(__xludf.DUMMYFUNCTION("""COMPUTED_VALUE"""),"")</f>
        <v/>
      </c>
      <c r="O832" s="257" t="str">
        <f>IFERROR(__xludf.DUMMYFUNCTION("""COMPUTED_VALUE"""),"")</f>
        <v/>
      </c>
      <c r="P832" s="247" t="str">
        <f t="shared" si="4"/>
        <v/>
      </c>
      <c r="Q832" s="320" t="str">
        <f>IFERROR(__xludf.DUMMYFUNCTION("""COMPUTED_VALUE"""),"")</f>
        <v/>
      </c>
      <c r="R832" s="259" t="str">
        <f>IFERROR(__xludf.DUMMYFUNCTION("""COMPUTED_VALUE"""),"")</f>
        <v/>
      </c>
      <c r="S832" s="250" t="str">
        <f t="shared" si="5"/>
        <v/>
      </c>
      <c r="T832" s="254" t="str">
        <f>IFERROR(__xludf.DUMMYFUNCTION("""COMPUTED_VALUE"""),"")</f>
        <v/>
      </c>
      <c r="U832" s="246" t="str">
        <f>IFERROR(__xludf.DUMMYFUNCTION("""COMPUTED_VALUE"""),"")</f>
        <v/>
      </c>
      <c r="V832" s="247" t="str">
        <f t="shared" si="6"/>
        <v/>
      </c>
      <c r="W832" s="255" t="str">
        <f>IFERROR(__xludf.DUMMYFUNCTION("""COMPUTED_VALUE"""),"")</f>
        <v/>
      </c>
      <c r="X832" s="249" t="str">
        <f>IFERROR(__xludf.DUMMYFUNCTION("""COMPUTED_VALUE"""),"")</f>
        <v/>
      </c>
      <c r="Y832" s="250" t="str">
        <f t="shared" si="7"/>
        <v/>
      </c>
    </row>
    <row r="833">
      <c r="A833" s="136" t="s">
        <v>133</v>
      </c>
      <c r="B833" s="136"/>
      <c r="C833" s="136" t="s">
        <v>133</v>
      </c>
      <c r="D833" s="136"/>
      <c r="E833" s="256" t="str">
        <f>IFERROR(__xludf.DUMMYFUNCTION("""COMPUTED_VALUE"""),"")</f>
        <v/>
      </c>
      <c r="F833" s="257" t="str">
        <f>IFERROR(__xludf.DUMMYFUNCTION("""COMPUTED_VALUE"""),"")</f>
        <v/>
      </c>
      <c r="G833" s="247" t="str">
        <f t="shared" si="1"/>
        <v/>
      </c>
      <c r="H833" s="258" t="str">
        <f>IFERROR(__xludf.DUMMYFUNCTION("""COMPUTED_VALUE"""),"")</f>
        <v/>
      </c>
      <c r="I833" s="259" t="str">
        <f>IFERROR(__xludf.DUMMYFUNCTION("""COMPUTED_VALUE"""),"")</f>
        <v/>
      </c>
      <c r="J833" s="250" t="str">
        <f t="shared" si="2"/>
        <v/>
      </c>
      <c r="K833" s="317" t="str">
        <f>IFERROR(__xludf.DUMMYFUNCTION("""COMPUTED_VALUE"""),"")</f>
        <v/>
      </c>
      <c r="L833" s="318" t="str">
        <f>IFERROR(__xludf.DUMMYFUNCTION("""COMPUTED_VALUE"""),"")</f>
        <v/>
      </c>
      <c r="M833" s="253" t="str">
        <f t="shared" si="3"/>
        <v/>
      </c>
      <c r="N833" s="319" t="str">
        <f>IFERROR(__xludf.DUMMYFUNCTION("""COMPUTED_VALUE"""),"")</f>
        <v/>
      </c>
      <c r="O833" s="257" t="str">
        <f>IFERROR(__xludf.DUMMYFUNCTION("""COMPUTED_VALUE"""),"")</f>
        <v/>
      </c>
      <c r="P833" s="247" t="str">
        <f t="shared" si="4"/>
        <v/>
      </c>
      <c r="Q833" s="320" t="str">
        <f>IFERROR(__xludf.DUMMYFUNCTION("""COMPUTED_VALUE"""),"")</f>
        <v/>
      </c>
      <c r="R833" s="259" t="str">
        <f>IFERROR(__xludf.DUMMYFUNCTION("""COMPUTED_VALUE"""),"")</f>
        <v/>
      </c>
      <c r="S833" s="250" t="str">
        <f t="shared" si="5"/>
        <v/>
      </c>
      <c r="T833" s="254" t="str">
        <f>IFERROR(__xludf.DUMMYFUNCTION("""COMPUTED_VALUE"""),"")</f>
        <v/>
      </c>
      <c r="U833" s="246" t="str">
        <f>IFERROR(__xludf.DUMMYFUNCTION("""COMPUTED_VALUE"""),"")</f>
        <v/>
      </c>
      <c r="V833" s="247" t="str">
        <f t="shared" si="6"/>
        <v/>
      </c>
      <c r="W833" s="255" t="str">
        <f>IFERROR(__xludf.DUMMYFUNCTION("""COMPUTED_VALUE"""),"")</f>
        <v/>
      </c>
      <c r="X833" s="249" t="str">
        <f>IFERROR(__xludf.DUMMYFUNCTION("""COMPUTED_VALUE"""),"")</f>
        <v/>
      </c>
      <c r="Y833" s="250" t="str">
        <f t="shared" si="7"/>
        <v/>
      </c>
    </row>
    <row r="834">
      <c r="A834" s="136" t="s">
        <v>133</v>
      </c>
      <c r="B834" s="136"/>
      <c r="C834" s="136" t="s">
        <v>133</v>
      </c>
      <c r="D834" s="136"/>
      <c r="E834" s="256" t="str">
        <f>IFERROR(__xludf.DUMMYFUNCTION("""COMPUTED_VALUE"""),"")</f>
        <v/>
      </c>
      <c r="F834" s="257" t="str">
        <f>IFERROR(__xludf.DUMMYFUNCTION("""COMPUTED_VALUE"""),"")</f>
        <v/>
      </c>
      <c r="G834" s="247" t="str">
        <f t="shared" si="1"/>
        <v/>
      </c>
      <c r="H834" s="258" t="str">
        <f>IFERROR(__xludf.DUMMYFUNCTION("""COMPUTED_VALUE"""),"")</f>
        <v/>
      </c>
      <c r="I834" s="259" t="str">
        <f>IFERROR(__xludf.DUMMYFUNCTION("""COMPUTED_VALUE"""),"")</f>
        <v/>
      </c>
      <c r="J834" s="250" t="str">
        <f t="shared" si="2"/>
        <v/>
      </c>
      <c r="K834" s="317" t="str">
        <f>IFERROR(__xludf.DUMMYFUNCTION("""COMPUTED_VALUE"""),"")</f>
        <v/>
      </c>
      <c r="L834" s="318" t="str">
        <f>IFERROR(__xludf.DUMMYFUNCTION("""COMPUTED_VALUE"""),"")</f>
        <v/>
      </c>
      <c r="M834" s="253" t="str">
        <f t="shared" si="3"/>
        <v/>
      </c>
      <c r="N834" s="319" t="str">
        <f>IFERROR(__xludf.DUMMYFUNCTION("""COMPUTED_VALUE"""),"")</f>
        <v/>
      </c>
      <c r="O834" s="257" t="str">
        <f>IFERROR(__xludf.DUMMYFUNCTION("""COMPUTED_VALUE"""),"")</f>
        <v/>
      </c>
      <c r="P834" s="247" t="str">
        <f t="shared" si="4"/>
        <v/>
      </c>
      <c r="Q834" s="320" t="str">
        <f>IFERROR(__xludf.DUMMYFUNCTION("""COMPUTED_VALUE"""),"")</f>
        <v/>
      </c>
      <c r="R834" s="259" t="str">
        <f>IFERROR(__xludf.DUMMYFUNCTION("""COMPUTED_VALUE"""),"")</f>
        <v/>
      </c>
      <c r="S834" s="250" t="str">
        <f t="shared" si="5"/>
        <v/>
      </c>
      <c r="T834" s="254" t="str">
        <f>IFERROR(__xludf.DUMMYFUNCTION("""COMPUTED_VALUE"""),"")</f>
        <v/>
      </c>
      <c r="U834" s="246" t="str">
        <f>IFERROR(__xludf.DUMMYFUNCTION("""COMPUTED_VALUE"""),"")</f>
        <v/>
      </c>
      <c r="V834" s="247" t="str">
        <f t="shared" si="6"/>
        <v/>
      </c>
      <c r="W834" s="255" t="str">
        <f>IFERROR(__xludf.DUMMYFUNCTION("""COMPUTED_VALUE"""),"")</f>
        <v/>
      </c>
      <c r="X834" s="249" t="str">
        <f>IFERROR(__xludf.DUMMYFUNCTION("""COMPUTED_VALUE"""),"")</f>
        <v/>
      </c>
      <c r="Y834" s="250" t="str">
        <f t="shared" si="7"/>
        <v/>
      </c>
    </row>
    <row r="835">
      <c r="A835" s="136" t="s">
        <v>133</v>
      </c>
      <c r="B835" s="136"/>
      <c r="C835" s="136" t="s">
        <v>133</v>
      </c>
      <c r="D835" s="136"/>
      <c r="E835" s="256" t="str">
        <f>IFERROR(__xludf.DUMMYFUNCTION("""COMPUTED_VALUE"""),"")</f>
        <v/>
      </c>
      <c r="F835" s="257" t="str">
        <f>IFERROR(__xludf.DUMMYFUNCTION("""COMPUTED_VALUE"""),"")</f>
        <v/>
      </c>
      <c r="G835" s="247" t="str">
        <f t="shared" si="1"/>
        <v/>
      </c>
      <c r="H835" s="258" t="str">
        <f>IFERROR(__xludf.DUMMYFUNCTION("""COMPUTED_VALUE"""),"")</f>
        <v/>
      </c>
      <c r="I835" s="259" t="str">
        <f>IFERROR(__xludf.DUMMYFUNCTION("""COMPUTED_VALUE"""),"")</f>
        <v/>
      </c>
      <c r="J835" s="250" t="str">
        <f t="shared" si="2"/>
        <v/>
      </c>
      <c r="K835" s="317" t="str">
        <f>IFERROR(__xludf.DUMMYFUNCTION("""COMPUTED_VALUE"""),"")</f>
        <v/>
      </c>
      <c r="L835" s="318" t="str">
        <f>IFERROR(__xludf.DUMMYFUNCTION("""COMPUTED_VALUE"""),"")</f>
        <v/>
      </c>
      <c r="M835" s="253" t="str">
        <f t="shared" si="3"/>
        <v/>
      </c>
      <c r="N835" s="319" t="str">
        <f>IFERROR(__xludf.DUMMYFUNCTION("""COMPUTED_VALUE"""),"")</f>
        <v/>
      </c>
      <c r="O835" s="257" t="str">
        <f>IFERROR(__xludf.DUMMYFUNCTION("""COMPUTED_VALUE"""),"")</f>
        <v/>
      </c>
      <c r="P835" s="247" t="str">
        <f t="shared" si="4"/>
        <v/>
      </c>
      <c r="Q835" s="320" t="str">
        <f>IFERROR(__xludf.DUMMYFUNCTION("""COMPUTED_VALUE"""),"")</f>
        <v/>
      </c>
      <c r="R835" s="259" t="str">
        <f>IFERROR(__xludf.DUMMYFUNCTION("""COMPUTED_VALUE"""),"")</f>
        <v/>
      </c>
      <c r="S835" s="250" t="str">
        <f t="shared" si="5"/>
        <v/>
      </c>
      <c r="T835" s="254" t="str">
        <f>IFERROR(__xludf.DUMMYFUNCTION("""COMPUTED_VALUE"""),"")</f>
        <v/>
      </c>
      <c r="U835" s="246" t="str">
        <f>IFERROR(__xludf.DUMMYFUNCTION("""COMPUTED_VALUE"""),"")</f>
        <v/>
      </c>
      <c r="V835" s="247" t="str">
        <f t="shared" si="6"/>
        <v/>
      </c>
      <c r="W835" s="255" t="str">
        <f>IFERROR(__xludf.DUMMYFUNCTION("""COMPUTED_VALUE"""),"")</f>
        <v/>
      </c>
      <c r="X835" s="249" t="str">
        <f>IFERROR(__xludf.DUMMYFUNCTION("""COMPUTED_VALUE"""),"")</f>
        <v/>
      </c>
      <c r="Y835" s="250" t="str">
        <f t="shared" si="7"/>
        <v/>
      </c>
    </row>
    <row r="836">
      <c r="A836" s="136" t="s">
        <v>133</v>
      </c>
      <c r="B836" s="136"/>
      <c r="C836" s="136" t="s">
        <v>133</v>
      </c>
      <c r="D836" s="136"/>
      <c r="E836" s="256" t="str">
        <f>IFERROR(__xludf.DUMMYFUNCTION("""COMPUTED_VALUE"""),"")</f>
        <v/>
      </c>
      <c r="F836" s="257" t="str">
        <f>IFERROR(__xludf.DUMMYFUNCTION("""COMPUTED_VALUE"""),"")</f>
        <v/>
      </c>
      <c r="G836" s="247" t="str">
        <f t="shared" si="1"/>
        <v/>
      </c>
      <c r="H836" s="258" t="str">
        <f>IFERROR(__xludf.DUMMYFUNCTION("""COMPUTED_VALUE"""),"")</f>
        <v/>
      </c>
      <c r="I836" s="259" t="str">
        <f>IFERROR(__xludf.DUMMYFUNCTION("""COMPUTED_VALUE"""),"")</f>
        <v/>
      </c>
      <c r="J836" s="250" t="str">
        <f t="shared" si="2"/>
        <v/>
      </c>
      <c r="K836" s="317" t="str">
        <f>IFERROR(__xludf.DUMMYFUNCTION("""COMPUTED_VALUE"""),"")</f>
        <v/>
      </c>
      <c r="L836" s="318" t="str">
        <f>IFERROR(__xludf.DUMMYFUNCTION("""COMPUTED_VALUE"""),"")</f>
        <v/>
      </c>
      <c r="M836" s="253" t="str">
        <f t="shared" si="3"/>
        <v/>
      </c>
      <c r="N836" s="319" t="str">
        <f>IFERROR(__xludf.DUMMYFUNCTION("""COMPUTED_VALUE"""),"")</f>
        <v/>
      </c>
      <c r="O836" s="257" t="str">
        <f>IFERROR(__xludf.DUMMYFUNCTION("""COMPUTED_VALUE"""),"")</f>
        <v/>
      </c>
      <c r="P836" s="247" t="str">
        <f t="shared" si="4"/>
        <v/>
      </c>
      <c r="Q836" s="320" t="str">
        <f>IFERROR(__xludf.DUMMYFUNCTION("""COMPUTED_VALUE"""),"")</f>
        <v/>
      </c>
      <c r="R836" s="259" t="str">
        <f>IFERROR(__xludf.DUMMYFUNCTION("""COMPUTED_VALUE"""),"")</f>
        <v/>
      </c>
      <c r="S836" s="250" t="str">
        <f t="shared" si="5"/>
        <v/>
      </c>
      <c r="T836" s="254" t="str">
        <f>IFERROR(__xludf.DUMMYFUNCTION("""COMPUTED_VALUE"""),"")</f>
        <v/>
      </c>
      <c r="U836" s="246" t="str">
        <f>IFERROR(__xludf.DUMMYFUNCTION("""COMPUTED_VALUE"""),"")</f>
        <v/>
      </c>
      <c r="V836" s="247" t="str">
        <f t="shared" si="6"/>
        <v/>
      </c>
      <c r="W836" s="255" t="str">
        <f>IFERROR(__xludf.DUMMYFUNCTION("""COMPUTED_VALUE"""),"")</f>
        <v/>
      </c>
      <c r="X836" s="249" t="str">
        <f>IFERROR(__xludf.DUMMYFUNCTION("""COMPUTED_VALUE"""),"")</f>
        <v/>
      </c>
      <c r="Y836" s="250" t="str">
        <f t="shared" si="7"/>
        <v/>
      </c>
    </row>
    <row r="837">
      <c r="A837" s="136" t="s">
        <v>133</v>
      </c>
      <c r="B837" s="136"/>
      <c r="C837" s="136" t="s">
        <v>133</v>
      </c>
      <c r="D837" s="136"/>
      <c r="E837" s="256" t="str">
        <f>IFERROR(__xludf.DUMMYFUNCTION("""COMPUTED_VALUE"""),"")</f>
        <v/>
      </c>
      <c r="F837" s="257" t="str">
        <f>IFERROR(__xludf.DUMMYFUNCTION("""COMPUTED_VALUE"""),"")</f>
        <v/>
      </c>
      <c r="G837" s="247" t="str">
        <f t="shared" si="1"/>
        <v/>
      </c>
      <c r="H837" s="258" t="str">
        <f>IFERROR(__xludf.DUMMYFUNCTION("""COMPUTED_VALUE"""),"")</f>
        <v/>
      </c>
      <c r="I837" s="259" t="str">
        <f>IFERROR(__xludf.DUMMYFUNCTION("""COMPUTED_VALUE"""),"")</f>
        <v/>
      </c>
      <c r="J837" s="250" t="str">
        <f t="shared" si="2"/>
        <v/>
      </c>
      <c r="K837" s="317" t="str">
        <f>IFERROR(__xludf.DUMMYFUNCTION("""COMPUTED_VALUE"""),"")</f>
        <v/>
      </c>
      <c r="L837" s="318" t="str">
        <f>IFERROR(__xludf.DUMMYFUNCTION("""COMPUTED_VALUE"""),"")</f>
        <v/>
      </c>
      <c r="M837" s="253" t="str">
        <f t="shared" si="3"/>
        <v/>
      </c>
      <c r="N837" s="319" t="str">
        <f>IFERROR(__xludf.DUMMYFUNCTION("""COMPUTED_VALUE"""),"")</f>
        <v/>
      </c>
      <c r="O837" s="257" t="str">
        <f>IFERROR(__xludf.DUMMYFUNCTION("""COMPUTED_VALUE"""),"")</f>
        <v/>
      </c>
      <c r="P837" s="247" t="str">
        <f t="shared" si="4"/>
        <v/>
      </c>
      <c r="Q837" s="320" t="str">
        <f>IFERROR(__xludf.DUMMYFUNCTION("""COMPUTED_VALUE"""),"")</f>
        <v/>
      </c>
      <c r="R837" s="259" t="str">
        <f>IFERROR(__xludf.DUMMYFUNCTION("""COMPUTED_VALUE"""),"")</f>
        <v/>
      </c>
      <c r="S837" s="250" t="str">
        <f t="shared" si="5"/>
        <v/>
      </c>
      <c r="T837" s="254" t="str">
        <f>IFERROR(__xludf.DUMMYFUNCTION("""COMPUTED_VALUE"""),"")</f>
        <v/>
      </c>
      <c r="U837" s="246" t="str">
        <f>IFERROR(__xludf.DUMMYFUNCTION("""COMPUTED_VALUE"""),"")</f>
        <v/>
      </c>
      <c r="V837" s="247" t="str">
        <f t="shared" si="6"/>
        <v/>
      </c>
      <c r="W837" s="255" t="str">
        <f>IFERROR(__xludf.DUMMYFUNCTION("""COMPUTED_VALUE"""),"")</f>
        <v/>
      </c>
      <c r="X837" s="249" t="str">
        <f>IFERROR(__xludf.DUMMYFUNCTION("""COMPUTED_VALUE"""),"")</f>
        <v/>
      </c>
      <c r="Y837" s="250" t="str">
        <f t="shared" si="7"/>
        <v/>
      </c>
    </row>
    <row r="838">
      <c r="A838" s="136" t="s">
        <v>133</v>
      </c>
      <c r="B838" s="136"/>
      <c r="C838" s="136" t="s">
        <v>133</v>
      </c>
      <c r="D838" s="136"/>
      <c r="E838" s="256" t="str">
        <f>IFERROR(__xludf.DUMMYFUNCTION("""COMPUTED_VALUE"""),"")</f>
        <v/>
      </c>
      <c r="F838" s="257" t="str">
        <f>IFERROR(__xludf.DUMMYFUNCTION("""COMPUTED_VALUE"""),"")</f>
        <v/>
      </c>
      <c r="G838" s="247" t="str">
        <f t="shared" si="1"/>
        <v/>
      </c>
      <c r="H838" s="258" t="str">
        <f>IFERROR(__xludf.DUMMYFUNCTION("""COMPUTED_VALUE"""),"")</f>
        <v/>
      </c>
      <c r="I838" s="259" t="str">
        <f>IFERROR(__xludf.DUMMYFUNCTION("""COMPUTED_VALUE"""),"")</f>
        <v/>
      </c>
      <c r="J838" s="250" t="str">
        <f t="shared" si="2"/>
        <v/>
      </c>
      <c r="K838" s="317" t="str">
        <f>IFERROR(__xludf.DUMMYFUNCTION("""COMPUTED_VALUE"""),"")</f>
        <v/>
      </c>
      <c r="L838" s="318" t="str">
        <f>IFERROR(__xludf.DUMMYFUNCTION("""COMPUTED_VALUE"""),"")</f>
        <v/>
      </c>
      <c r="M838" s="253" t="str">
        <f t="shared" si="3"/>
        <v/>
      </c>
      <c r="N838" s="319" t="str">
        <f>IFERROR(__xludf.DUMMYFUNCTION("""COMPUTED_VALUE"""),"")</f>
        <v/>
      </c>
      <c r="O838" s="257" t="str">
        <f>IFERROR(__xludf.DUMMYFUNCTION("""COMPUTED_VALUE"""),"")</f>
        <v/>
      </c>
      <c r="P838" s="247" t="str">
        <f t="shared" si="4"/>
        <v/>
      </c>
      <c r="Q838" s="320" t="str">
        <f>IFERROR(__xludf.DUMMYFUNCTION("""COMPUTED_VALUE"""),"")</f>
        <v/>
      </c>
      <c r="R838" s="259" t="str">
        <f>IFERROR(__xludf.DUMMYFUNCTION("""COMPUTED_VALUE"""),"")</f>
        <v/>
      </c>
      <c r="S838" s="250" t="str">
        <f t="shared" si="5"/>
        <v/>
      </c>
      <c r="T838" s="254" t="str">
        <f>IFERROR(__xludf.DUMMYFUNCTION("""COMPUTED_VALUE"""),"")</f>
        <v/>
      </c>
      <c r="U838" s="246" t="str">
        <f>IFERROR(__xludf.DUMMYFUNCTION("""COMPUTED_VALUE"""),"")</f>
        <v/>
      </c>
      <c r="V838" s="247" t="str">
        <f t="shared" si="6"/>
        <v/>
      </c>
      <c r="W838" s="255" t="str">
        <f>IFERROR(__xludf.DUMMYFUNCTION("""COMPUTED_VALUE"""),"")</f>
        <v/>
      </c>
      <c r="X838" s="249" t="str">
        <f>IFERROR(__xludf.DUMMYFUNCTION("""COMPUTED_VALUE"""),"")</f>
        <v/>
      </c>
      <c r="Y838" s="250" t="str">
        <f t="shared" si="7"/>
        <v/>
      </c>
    </row>
    <row r="839">
      <c r="A839" s="136" t="s">
        <v>133</v>
      </c>
      <c r="B839" s="136"/>
      <c r="C839" s="136" t="s">
        <v>133</v>
      </c>
      <c r="D839" s="136"/>
      <c r="E839" s="256" t="str">
        <f>IFERROR(__xludf.DUMMYFUNCTION("""COMPUTED_VALUE"""),"")</f>
        <v/>
      </c>
      <c r="F839" s="257" t="str">
        <f>IFERROR(__xludf.DUMMYFUNCTION("""COMPUTED_VALUE"""),"")</f>
        <v/>
      </c>
      <c r="G839" s="247" t="str">
        <f t="shared" si="1"/>
        <v/>
      </c>
      <c r="H839" s="258" t="str">
        <f>IFERROR(__xludf.DUMMYFUNCTION("""COMPUTED_VALUE"""),"")</f>
        <v/>
      </c>
      <c r="I839" s="259" t="str">
        <f>IFERROR(__xludf.DUMMYFUNCTION("""COMPUTED_VALUE"""),"")</f>
        <v/>
      </c>
      <c r="J839" s="250" t="str">
        <f t="shared" si="2"/>
        <v/>
      </c>
      <c r="K839" s="317" t="str">
        <f>IFERROR(__xludf.DUMMYFUNCTION("""COMPUTED_VALUE"""),"")</f>
        <v/>
      </c>
      <c r="L839" s="318" t="str">
        <f>IFERROR(__xludf.DUMMYFUNCTION("""COMPUTED_VALUE"""),"")</f>
        <v/>
      </c>
      <c r="M839" s="253" t="str">
        <f t="shared" si="3"/>
        <v/>
      </c>
      <c r="N839" s="319" t="str">
        <f>IFERROR(__xludf.DUMMYFUNCTION("""COMPUTED_VALUE"""),"")</f>
        <v/>
      </c>
      <c r="O839" s="257" t="str">
        <f>IFERROR(__xludf.DUMMYFUNCTION("""COMPUTED_VALUE"""),"")</f>
        <v/>
      </c>
      <c r="P839" s="247" t="str">
        <f t="shared" si="4"/>
        <v/>
      </c>
      <c r="Q839" s="320" t="str">
        <f>IFERROR(__xludf.DUMMYFUNCTION("""COMPUTED_VALUE"""),"")</f>
        <v/>
      </c>
      <c r="R839" s="259" t="str">
        <f>IFERROR(__xludf.DUMMYFUNCTION("""COMPUTED_VALUE"""),"")</f>
        <v/>
      </c>
      <c r="S839" s="250" t="str">
        <f t="shared" si="5"/>
        <v/>
      </c>
      <c r="T839" s="254" t="str">
        <f>IFERROR(__xludf.DUMMYFUNCTION("""COMPUTED_VALUE"""),"")</f>
        <v/>
      </c>
      <c r="U839" s="246" t="str">
        <f>IFERROR(__xludf.DUMMYFUNCTION("""COMPUTED_VALUE"""),"")</f>
        <v/>
      </c>
      <c r="V839" s="247" t="str">
        <f t="shared" si="6"/>
        <v/>
      </c>
      <c r="W839" s="255" t="str">
        <f>IFERROR(__xludf.DUMMYFUNCTION("""COMPUTED_VALUE"""),"")</f>
        <v/>
      </c>
      <c r="X839" s="249" t="str">
        <f>IFERROR(__xludf.DUMMYFUNCTION("""COMPUTED_VALUE"""),"")</f>
        <v/>
      </c>
      <c r="Y839" s="250" t="str">
        <f t="shared" si="7"/>
        <v/>
      </c>
    </row>
    <row r="840">
      <c r="A840" s="136" t="s">
        <v>133</v>
      </c>
      <c r="B840" s="136"/>
      <c r="C840" s="136" t="s">
        <v>133</v>
      </c>
      <c r="D840" s="136"/>
      <c r="E840" s="256" t="str">
        <f>IFERROR(__xludf.DUMMYFUNCTION("""COMPUTED_VALUE"""),"")</f>
        <v/>
      </c>
      <c r="F840" s="257" t="str">
        <f>IFERROR(__xludf.DUMMYFUNCTION("""COMPUTED_VALUE"""),"")</f>
        <v/>
      </c>
      <c r="G840" s="247" t="str">
        <f t="shared" si="1"/>
        <v/>
      </c>
      <c r="H840" s="258" t="str">
        <f>IFERROR(__xludf.DUMMYFUNCTION("""COMPUTED_VALUE"""),"")</f>
        <v/>
      </c>
      <c r="I840" s="259" t="str">
        <f>IFERROR(__xludf.DUMMYFUNCTION("""COMPUTED_VALUE"""),"")</f>
        <v/>
      </c>
      <c r="J840" s="250" t="str">
        <f t="shared" si="2"/>
        <v/>
      </c>
      <c r="K840" s="317" t="str">
        <f>IFERROR(__xludf.DUMMYFUNCTION("""COMPUTED_VALUE"""),"")</f>
        <v/>
      </c>
      <c r="L840" s="318" t="str">
        <f>IFERROR(__xludf.DUMMYFUNCTION("""COMPUTED_VALUE"""),"")</f>
        <v/>
      </c>
      <c r="M840" s="253" t="str">
        <f t="shared" si="3"/>
        <v/>
      </c>
      <c r="N840" s="319" t="str">
        <f>IFERROR(__xludf.DUMMYFUNCTION("""COMPUTED_VALUE"""),"")</f>
        <v/>
      </c>
      <c r="O840" s="257" t="str">
        <f>IFERROR(__xludf.DUMMYFUNCTION("""COMPUTED_VALUE"""),"")</f>
        <v/>
      </c>
      <c r="P840" s="247" t="str">
        <f t="shared" si="4"/>
        <v/>
      </c>
      <c r="Q840" s="320" t="str">
        <f>IFERROR(__xludf.DUMMYFUNCTION("""COMPUTED_VALUE"""),"")</f>
        <v/>
      </c>
      <c r="R840" s="259" t="str">
        <f>IFERROR(__xludf.DUMMYFUNCTION("""COMPUTED_VALUE"""),"")</f>
        <v/>
      </c>
      <c r="S840" s="250" t="str">
        <f t="shared" si="5"/>
        <v/>
      </c>
      <c r="T840" s="254" t="str">
        <f>IFERROR(__xludf.DUMMYFUNCTION("""COMPUTED_VALUE"""),"")</f>
        <v/>
      </c>
      <c r="U840" s="246" t="str">
        <f>IFERROR(__xludf.DUMMYFUNCTION("""COMPUTED_VALUE"""),"")</f>
        <v/>
      </c>
      <c r="V840" s="247" t="str">
        <f t="shared" si="6"/>
        <v/>
      </c>
      <c r="W840" s="255" t="str">
        <f>IFERROR(__xludf.DUMMYFUNCTION("""COMPUTED_VALUE"""),"")</f>
        <v/>
      </c>
      <c r="X840" s="249" t="str">
        <f>IFERROR(__xludf.DUMMYFUNCTION("""COMPUTED_VALUE"""),"")</f>
        <v/>
      </c>
      <c r="Y840" s="250" t="str">
        <f t="shared" si="7"/>
        <v/>
      </c>
    </row>
    <row r="841">
      <c r="A841" s="136" t="s">
        <v>133</v>
      </c>
      <c r="B841" s="136"/>
      <c r="C841" s="136" t="s">
        <v>133</v>
      </c>
      <c r="D841" s="136"/>
      <c r="E841" s="256" t="str">
        <f>IFERROR(__xludf.DUMMYFUNCTION("""COMPUTED_VALUE"""),"")</f>
        <v/>
      </c>
      <c r="F841" s="257" t="str">
        <f>IFERROR(__xludf.DUMMYFUNCTION("""COMPUTED_VALUE"""),"")</f>
        <v/>
      </c>
      <c r="G841" s="247" t="str">
        <f t="shared" si="1"/>
        <v/>
      </c>
      <c r="H841" s="258" t="str">
        <f>IFERROR(__xludf.DUMMYFUNCTION("""COMPUTED_VALUE"""),"")</f>
        <v/>
      </c>
      <c r="I841" s="259" t="str">
        <f>IFERROR(__xludf.DUMMYFUNCTION("""COMPUTED_VALUE"""),"")</f>
        <v/>
      </c>
      <c r="J841" s="250" t="str">
        <f t="shared" si="2"/>
        <v/>
      </c>
      <c r="K841" s="317" t="str">
        <f>IFERROR(__xludf.DUMMYFUNCTION("""COMPUTED_VALUE"""),"")</f>
        <v/>
      </c>
      <c r="L841" s="318" t="str">
        <f>IFERROR(__xludf.DUMMYFUNCTION("""COMPUTED_VALUE"""),"")</f>
        <v/>
      </c>
      <c r="M841" s="253" t="str">
        <f t="shared" si="3"/>
        <v/>
      </c>
      <c r="N841" s="319" t="str">
        <f>IFERROR(__xludf.DUMMYFUNCTION("""COMPUTED_VALUE"""),"")</f>
        <v/>
      </c>
      <c r="O841" s="257" t="str">
        <f>IFERROR(__xludf.DUMMYFUNCTION("""COMPUTED_VALUE"""),"")</f>
        <v/>
      </c>
      <c r="P841" s="247" t="str">
        <f t="shared" si="4"/>
        <v/>
      </c>
      <c r="Q841" s="320" t="str">
        <f>IFERROR(__xludf.DUMMYFUNCTION("""COMPUTED_VALUE"""),"")</f>
        <v/>
      </c>
      <c r="R841" s="259" t="str">
        <f>IFERROR(__xludf.DUMMYFUNCTION("""COMPUTED_VALUE"""),"")</f>
        <v/>
      </c>
      <c r="S841" s="250" t="str">
        <f t="shared" si="5"/>
        <v/>
      </c>
      <c r="T841" s="254" t="str">
        <f>IFERROR(__xludf.DUMMYFUNCTION("""COMPUTED_VALUE"""),"")</f>
        <v/>
      </c>
      <c r="U841" s="246" t="str">
        <f>IFERROR(__xludf.DUMMYFUNCTION("""COMPUTED_VALUE"""),"")</f>
        <v/>
      </c>
      <c r="V841" s="247" t="str">
        <f t="shared" si="6"/>
        <v/>
      </c>
      <c r="W841" s="255" t="str">
        <f>IFERROR(__xludf.DUMMYFUNCTION("""COMPUTED_VALUE"""),"")</f>
        <v/>
      </c>
      <c r="X841" s="249" t="str">
        <f>IFERROR(__xludf.DUMMYFUNCTION("""COMPUTED_VALUE"""),"")</f>
        <v/>
      </c>
      <c r="Y841" s="250" t="str">
        <f t="shared" si="7"/>
        <v/>
      </c>
    </row>
    <row r="842">
      <c r="A842" s="136" t="s">
        <v>133</v>
      </c>
      <c r="B842" s="136"/>
      <c r="C842" s="136" t="s">
        <v>133</v>
      </c>
      <c r="D842" s="136"/>
      <c r="E842" s="256" t="str">
        <f>IFERROR(__xludf.DUMMYFUNCTION("""COMPUTED_VALUE"""),"")</f>
        <v/>
      </c>
      <c r="F842" s="257" t="str">
        <f>IFERROR(__xludf.DUMMYFUNCTION("""COMPUTED_VALUE"""),"")</f>
        <v/>
      </c>
      <c r="G842" s="247" t="str">
        <f t="shared" si="1"/>
        <v/>
      </c>
      <c r="H842" s="258" t="str">
        <f>IFERROR(__xludf.DUMMYFUNCTION("""COMPUTED_VALUE"""),"")</f>
        <v/>
      </c>
      <c r="I842" s="259" t="str">
        <f>IFERROR(__xludf.DUMMYFUNCTION("""COMPUTED_VALUE"""),"")</f>
        <v/>
      </c>
      <c r="J842" s="250" t="str">
        <f t="shared" si="2"/>
        <v/>
      </c>
      <c r="K842" s="317" t="str">
        <f>IFERROR(__xludf.DUMMYFUNCTION("""COMPUTED_VALUE"""),"")</f>
        <v/>
      </c>
      <c r="L842" s="318" t="str">
        <f>IFERROR(__xludf.DUMMYFUNCTION("""COMPUTED_VALUE"""),"")</f>
        <v/>
      </c>
      <c r="M842" s="253" t="str">
        <f t="shared" si="3"/>
        <v/>
      </c>
      <c r="N842" s="319" t="str">
        <f>IFERROR(__xludf.DUMMYFUNCTION("""COMPUTED_VALUE"""),"")</f>
        <v/>
      </c>
      <c r="O842" s="257" t="str">
        <f>IFERROR(__xludf.DUMMYFUNCTION("""COMPUTED_VALUE"""),"")</f>
        <v/>
      </c>
      <c r="P842" s="247" t="str">
        <f t="shared" si="4"/>
        <v/>
      </c>
      <c r="Q842" s="320" t="str">
        <f>IFERROR(__xludf.DUMMYFUNCTION("""COMPUTED_VALUE"""),"")</f>
        <v/>
      </c>
      <c r="R842" s="259" t="str">
        <f>IFERROR(__xludf.DUMMYFUNCTION("""COMPUTED_VALUE"""),"")</f>
        <v/>
      </c>
      <c r="S842" s="250" t="str">
        <f t="shared" si="5"/>
        <v/>
      </c>
      <c r="T842" s="254" t="str">
        <f>IFERROR(__xludf.DUMMYFUNCTION("""COMPUTED_VALUE"""),"")</f>
        <v/>
      </c>
      <c r="U842" s="246" t="str">
        <f>IFERROR(__xludf.DUMMYFUNCTION("""COMPUTED_VALUE"""),"")</f>
        <v/>
      </c>
      <c r="V842" s="247" t="str">
        <f t="shared" si="6"/>
        <v/>
      </c>
      <c r="W842" s="255" t="str">
        <f>IFERROR(__xludf.DUMMYFUNCTION("""COMPUTED_VALUE"""),"")</f>
        <v/>
      </c>
      <c r="X842" s="249" t="str">
        <f>IFERROR(__xludf.DUMMYFUNCTION("""COMPUTED_VALUE"""),"")</f>
        <v/>
      </c>
      <c r="Y842" s="250" t="str">
        <f t="shared" si="7"/>
        <v/>
      </c>
    </row>
    <row r="843">
      <c r="A843" s="136" t="s">
        <v>133</v>
      </c>
      <c r="B843" s="136"/>
      <c r="C843" s="136" t="s">
        <v>133</v>
      </c>
      <c r="D843" s="136"/>
      <c r="E843" s="256" t="str">
        <f>IFERROR(__xludf.DUMMYFUNCTION("""COMPUTED_VALUE"""),"")</f>
        <v/>
      </c>
      <c r="F843" s="257" t="str">
        <f>IFERROR(__xludf.DUMMYFUNCTION("""COMPUTED_VALUE"""),"")</f>
        <v/>
      </c>
      <c r="G843" s="247" t="str">
        <f t="shared" si="1"/>
        <v/>
      </c>
      <c r="H843" s="258" t="str">
        <f>IFERROR(__xludf.DUMMYFUNCTION("""COMPUTED_VALUE"""),"")</f>
        <v/>
      </c>
      <c r="I843" s="259" t="str">
        <f>IFERROR(__xludf.DUMMYFUNCTION("""COMPUTED_VALUE"""),"")</f>
        <v/>
      </c>
      <c r="J843" s="250" t="str">
        <f t="shared" si="2"/>
        <v/>
      </c>
      <c r="K843" s="317" t="str">
        <f>IFERROR(__xludf.DUMMYFUNCTION("""COMPUTED_VALUE"""),"")</f>
        <v/>
      </c>
      <c r="L843" s="318" t="str">
        <f>IFERROR(__xludf.DUMMYFUNCTION("""COMPUTED_VALUE"""),"")</f>
        <v/>
      </c>
      <c r="M843" s="253" t="str">
        <f t="shared" si="3"/>
        <v/>
      </c>
      <c r="N843" s="319" t="str">
        <f>IFERROR(__xludf.DUMMYFUNCTION("""COMPUTED_VALUE"""),"")</f>
        <v/>
      </c>
      <c r="O843" s="257" t="str">
        <f>IFERROR(__xludf.DUMMYFUNCTION("""COMPUTED_VALUE"""),"")</f>
        <v/>
      </c>
      <c r="P843" s="247" t="str">
        <f t="shared" si="4"/>
        <v/>
      </c>
      <c r="Q843" s="320" t="str">
        <f>IFERROR(__xludf.DUMMYFUNCTION("""COMPUTED_VALUE"""),"")</f>
        <v/>
      </c>
      <c r="R843" s="259" t="str">
        <f>IFERROR(__xludf.DUMMYFUNCTION("""COMPUTED_VALUE"""),"")</f>
        <v/>
      </c>
      <c r="S843" s="250" t="str">
        <f t="shared" si="5"/>
        <v/>
      </c>
      <c r="T843" s="254" t="str">
        <f>IFERROR(__xludf.DUMMYFUNCTION("""COMPUTED_VALUE"""),"")</f>
        <v/>
      </c>
      <c r="U843" s="246" t="str">
        <f>IFERROR(__xludf.DUMMYFUNCTION("""COMPUTED_VALUE"""),"")</f>
        <v/>
      </c>
      <c r="V843" s="247" t="str">
        <f t="shared" si="6"/>
        <v/>
      </c>
      <c r="W843" s="255" t="str">
        <f>IFERROR(__xludf.DUMMYFUNCTION("""COMPUTED_VALUE"""),"")</f>
        <v/>
      </c>
      <c r="X843" s="249" t="str">
        <f>IFERROR(__xludf.DUMMYFUNCTION("""COMPUTED_VALUE"""),"")</f>
        <v/>
      </c>
      <c r="Y843" s="250" t="str">
        <f t="shared" si="7"/>
        <v/>
      </c>
    </row>
    <row r="844">
      <c r="A844" s="136" t="s">
        <v>133</v>
      </c>
      <c r="B844" s="136"/>
      <c r="C844" s="136" t="s">
        <v>133</v>
      </c>
      <c r="D844" s="136"/>
      <c r="E844" s="256" t="str">
        <f>IFERROR(__xludf.DUMMYFUNCTION("""COMPUTED_VALUE"""),"")</f>
        <v/>
      </c>
      <c r="F844" s="257" t="str">
        <f>IFERROR(__xludf.DUMMYFUNCTION("""COMPUTED_VALUE"""),"")</f>
        <v/>
      </c>
      <c r="G844" s="247" t="str">
        <f t="shared" si="1"/>
        <v/>
      </c>
      <c r="H844" s="258" t="str">
        <f>IFERROR(__xludf.DUMMYFUNCTION("""COMPUTED_VALUE"""),"")</f>
        <v/>
      </c>
      <c r="I844" s="259" t="str">
        <f>IFERROR(__xludf.DUMMYFUNCTION("""COMPUTED_VALUE"""),"")</f>
        <v/>
      </c>
      <c r="J844" s="250" t="str">
        <f t="shared" si="2"/>
        <v/>
      </c>
      <c r="K844" s="317" t="str">
        <f>IFERROR(__xludf.DUMMYFUNCTION("""COMPUTED_VALUE"""),"")</f>
        <v/>
      </c>
      <c r="L844" s="318" t="str">
        <f>IFERROR(__xludf.DUMMYFUNCTION("""COMPUTED_VALUE"""),"")</f>
        <v/>
      </c>
      <c r="M844" s="253" t="str">
        <f t="shared" si="3"/>
        <v/>
      </c>
      <c r="N844" s="319" t="str">
        <f>IFERROR(__xludf.DUMMYFUNCTION("""COMPUTED_VALUE"""),"")</f>
        <v/>
      </c>
      <c r="O844" s="257" t="str">
        <f>IFERROR(__xludf.DUMMYFUNCTION("""COMPUTED_VALUE"""),"")</f>
        <v/>
      </c>
      <c r="P844" s="247" t="str">
        <f t="shared" si="4"/>
        <v/>
      </c>
      <c r="Q844" s="320" t="str">
        <f>IFERROR(__xludf.DUMMYFUNCTION("""COMPUTED_VALUE"""),"")</f>
        <v/>
      </c>
      <c r="R844" s="259" t="str">
        <f>IFERROR(__xludf.DUMMYFUNCTION("""COMPUTED_VALUE"""),"")</f>
        <v/>
      </c>
      <c r="S844" s="250" t="str">
        <f t="shared" si="5"/>
        <v/>
      </c>
      <c r="T844" s="254" t="str">
        <f>IFERROR(__xludf.DUMMYFUNCTION("""COMPUTED_VALUE"""),"")</f>
        <v/>
      </c>
      <c r="U844" s="246" t="str">
        <f>IFERROR(__xludf.DUMMYFUNCTION("""COMPUTED_VALUE"""),"")</f>
        <v/>
      </c>
      <c r="V844" s="247" t="str">
        <f t="shared" si="6"/>
        <v/>
      </c>
      <c r="W844" s="255" t="str">
        <f>IFERROR(__xludf.DUMMYFUNCTION("""COMPUTED_VALUE"""),"")</f>
        <v/>
      </c>
      <c r="X844" s="249" t="str">
        <f>IFERROR(__xludf.DUMMYFUNCTION("""COMPUTED_VALUE"""),"")</f>
        <v/>
      </c>
      <c r="Y844" s="250" t="str">
        <f t="shared" si="7"/>
        <v/>
      </c>
    </row>
    <row r="845">
      <c r="A845" s="136" t="s">
        <v>133</v>
      </c>
      <c r="B845" s="136"/>
      <c r="C845" s="136" t="s">
        <v>133</v>
      </c>
      <c r="D845" s="136"/>
      <c r="E845" s="256" t="str">
        <f>IFERROR(__xludf.DUMMYFUNCTION("""COMPUTED_VALUE"""),"")</f>
        <v/>
      </c>
      <c r="F845" s="257" t="str">
        <f>IFERROR(__xludf.DUMMYFUNCTION("""COMPUTED_VALUE"""),"")</f>
        <v/>
      </c>
      <c r="G845" s="247" t="str">
        <f t="shared" si="1"/>
        <v/>
      </c>
      <c r="H845" s="258" t="str">
        <f>IFERROR(__xludf.DUMMYFUNCTION("""COMPUTED_VALUE"""),"")</f>
        <v/>
      </c>
      <c r="I845" s="259" t="str">
        <f>IFERROR(__xludf.DUMMYFUNCTION("""COMPUTED_VALUE"""),"")</f>
        <v/>
      </c>
      <c r="J845" s="250" t="str">
        <f t="shared" si="2"/>
        <v/>
      </c>
      <c r="K845" s="317" t="str">
        <f>IFERROR(__xludf.DUMMYFUNCTION("""COMPUTED_VALUE"""),"")</f>
        <v/>
      </c>
      <c r="L845" s="318" t="str">
        <f>IFERROR(__xludf.DUMMYFUNCTION("""COMPUTED_VALUE"""),"")</f>
        <v/>
      </c>
      <c r="M845" s="253" t="str">
        <f t="shared" si="3"/>
        <v/>
      </c>
      <c r="N845" s="319" t="str">
        <f>IFERROR(__xludf.DUMMYFUNCTION("""COMPUTED_VALUE"""),"")</f>
        <v/>
      </c>
      <c r="O845" s="257" t="str">
        <f>IFERROR(__xludf.DUMMYFUNCTION("""COMPUTED_VALUE"""),"")</f>
        <v/>
      </c>
      <c r="P845" s="247" t="str">
        <f t="shared" si="4"/>
        <v/>
      </c>
      <c r="Q845" s="320" t="str">
        <f>IFERROR(__xludf.DUMMYFUNCTION("""COMPUTED_VALUE"""),"")</f>
        <v/>
      </c>
      <c r="R845" s="259" t="str">
        <f>IFERROR(__xludf.DUMMYFUNCTION("""COMPUTED_VALUE"""),"")</f>
        <v/>
      </c>
      <c r="S845" s="250" t="str">
        <f t="shared" si="5"/>
        <v/>
      </c>
      <c r="T845" s="254" t="str">
        <f>IFERROR(__xludf.DUMMYFUNCTION("""COMPUTED_VALUE"""),"")</f>
        <v/>
      </c>
      <c r="U845" s="246" t="str">
        <f>IFERROR(__xludf.DUMMYFUNCTION("""COMPUTED_VALUE"""),"")</f>
        <v/>
      </c>
      <c r="V845" s="247" t="str">
        <f t="shared" si="6"/>
        <v/>
      </c>
      <c r="W845" s="255" t="str">
        <f>IFERROR(__xludf.DUMMYFUNCTION("""COMPUTED_VALUE"""),"")</f>
        <v/>
      </c>
      <c r="X845" s="249" t="str">
        <f>IFERROR(__xludf.DUMMYFUNCTION("""COMPUTED_VALUE"""),"")</f>
        <v/>
      </c>
      <c r="Y845" s="250" t="str">
        <f t="shared" si="7"/>
        <v/>
      </c>
    </row>
    <row r="846">
      <c r="A846" s="136" t="s">
        <v>133</v>
      </c>
      <c r="B846" s="136"/>
      <c r="C846" s="136" t="s">
        <v>133</v>
      </c>
      <c r="D846" s="136"/>
      <c r="E846" s="256" t="str">
        <f>IFERROR(__xludf.DUMMYFUNCTION("""COMPUTED_VALUE"""),"")</f>
        <v/>
      </c>
      <c r="F846" s="257" t="str">
        <f>IFERROR(__xludf.DUMMYFUNCTION("""COMPUTED_VALUE"""),"")</f>
        <v/>
      </c>
      <c r="G846" s="247" t="str">
        <f t="shared" si="1"/>
        <v/>
      </c>
      <c r="H846" s="258" t="str">
        <f>IFERROR(__xludf.DUMMYFUNCTION("""COMPUTED_VALUE"""),"")</f>
        <v/>
      </c>
      <c r="I846" s="259" t="str">
        <f>IFERROR(__xludf.DUMMYFUNCTION("""COMPUTED_VALUE"""),"")</f>
        <v/>
      </c>
      <c r="J846" s="250" t="str">
        <f t="shared" si="2"/>
        <v/>
      </c>
      <c r="K846" s="317" t="str">
        <f>IFERROR(__xludf.DUMMYFUNCTION("""COMPUTED_VALUE"""),"")</f>
        <v/>
      </c>
      <c r="L846" s="318" t="str">
        <f>IFERROR(__xludf.DUMMYFUNCTION("""COMPUTED_VALUE"""),"")</f>
        <v/>
      </c>
      <c r="M846" s="253" t="str">
        <f t="shared" si="3"/>
        <v/>
      </c>
      <c r="N846" s="319" t="str">
        <f>IFERROR(__xludf.DUMMYFUNCTION("""COMPUTED_VALUE"""),"")</f>
        <v/>
      </c>
      <c r="O846" s="257" t="str">
        <f>IFERROR(__xludf.DUMMYFUNCTION("""COMPUTED_VALUE"""),"")</f>
        <v/>
      </c>
      <c r="P846" s="247" t="str">
        <f t="shared" si="4"/>
        <v/>
      </c>
      <c r="Q846" s="320" t="str">
        <f>IFERROR(__xludf.DUMMYFUNCTION("""COMPUTED_VALUE"""),"")</f>
        <v/>
      </c>
      <c r="R846" s="259" t="str">
        <f>IFERROR(__xludf.DUMMYFUNCTION("""COMPUTED_VALUE"""),"")</f>
        <v/>
      </c>
      <c r="S846" s="250" t="str">
        <f t="shared" si="5"/>
        <v/>
      </c>
      <c r="T846" s="254" t="str">
        <f>IFERROR(__xludf.DUMMYFUNCTION("""COMPUTED_VALUE"""),"")</f>
        <v/>
      </c>
      <c r="U846" s="246" t="str">
        <f>IFERROR(__xludf.DUMMYFUNCTION("""COMPUTED_VALUE"""),"")</f>
        <v/>
      </c>
      <c r="V846" s="247" t="str">
        <f t="shared" si="6"/>
        <v/>
      </c>
      <c r="W846" s="255" t="str">
        <f>IFERROR(__xludf.DUMMYFUNCTION("""COMPUTED_VALUE"""),"")</f>
        <v/>
      </c>
      <c r="X846" s="249" t="str">
        <f>IFERROR(__xludf.DUMMYFUNCTION("""COMPUTED_VALUE"""),"")</f>
        <v/>
      </c>
      <c r="Y846" s="250" t="str">
        <f t="shared" si="7"/>
        <v/>
      </c>
    </row>
    <row r="847">
      <c r="A847" s="136" t="s">
        <v>133</v>
      </c>
      <c r="B847" s="136"/>
      <c r="C847" s="136" t="s">
        <v>133</v>
      </c>
      <c r="D847" s="136"/>
      <c r="E847" s="256" t="str">
        <f>IFERROR(__xludf.DUMMYFUNCTION("""COMPUTED_VALUE"""),"")</f>
        <v/>
      </c>
      <c r="F847" s="257" t="str">
        <f>IFERROR(__xludf.DUMMYFUNCTION("""COMPUTED_VALUE"""),"")</f>
        <v/>
      </c>
      <c r="G847" s="247" t="str">
        <f t="shared" si="1"/>
        <v/>
      </c>
      <c r="H847" s="258" t="str">
        <f>IFERROR(__xludf.DUMMYFUNCTION("""COMPUTED_VALUE"""),"")</f>
        <v/>
      </c>
      <c r="I847" s="259" t="str">
        <f>IFERROR(__xludf.DUMMYFUNCTION("""COMPUTED_VALUE"""),"")</f>
        <v/>
      </c>
      <c r="J847" s="250" t="str">
        <f t="shared" si="2"/>
        <v/>
      </c>
      <c r="K847" s="317" t="str">
        <f>IFERROR(__xludf.DUMMYFUNCTION("""COMPUTED_VALUE"""),"")</f>
        <v/>
      </c>
      <c r="L847" s="318" t="str">
        <f>IFERROR(__xludf.DUMMYFUNCTION("""COMPUTED_VALUE"""),"")</f>
        <v/>
      </c>
      <c r="M847" s="253" t="str">
        <f t="shared" si="3"/>
        <v/>
      </c>
      <c r="N847" s="319" t="str">
        <f>IFERROR(__xludf.DUMMYFUNCTION("""COMPUTED_VALUE"""),"")</f>
        <v/>
      </c>
      <c r="O847" s="257" t="str">
        <f>IFERROR(__xludf.DUMMYFUNCTION("""COMPUTED_VALUE"""),"")</f>
        <v/>
      </c>
      <c r="P847" s="247" t="str">
        <f t="shared" si="4"/>
        <v/>
      </c>
      <c r="Q847" s="320" t="str">
        <f>IFERROR(__xludf.DUMMYFUNCTION("""COMPUTED_VALUE"""),"")</f>
        <v/>
      </c>
      <c r="R847" s="259" t="str">
        <f>IFERROR(__xludf.DUMMYFUNCTION("""COMPUTED_VALUE"""),"")</f>
        <v/>
      </c>
      <c r="S847" s="250" t="str">
        <f t="shared" si="5"/>
        <v/>
      </c>
      <c r="T847" s="254" t="str">
        <f>IFERROR(__xludf.DUMMYFUNCTION("""COMPUTED_VALUE"""),"")</f>
        <v/>
      </c>
      <c r="U847" s="246" t="str">
        <f>IFERROR(__xludf.DUMMYFUNCTION("""COMPUTED_VALUE"""),"")</f>
        <v/>
      </c>
      <c r="V847" s="247" t="str">
        <f t="shared" si="6"/>
        <v/>
      </c>
      <c r="W847" s="255" t="str">
        <f>IFERROR(__xludf.DUMMYFUNCTION("""COMPUTED_VALUE"""),"")</f>
        <v/>
      </c>
      <c r="X847" s="249" t="str">
        <f>IFERROR(__xludf.DUMMYFUNCTION("""COMPUTED_VALUE"""),"")</f>
        <v/>
      </c>
      <c r="Y847" s="250" t="str">
        <f t="shared" si="7"/>
        <v/>
      </c>
    </row>
    <row r="848">
      <c r="A848" s="136" t="s">
        <v>133</v>
      </c>
      <c r="B848" s="136"/>
      <c r="C848" s="136" t="s">
        <v>133</v>
      </c>
      <c r="D848" s="136"/>
      <c r="E848" s="256" t="str">
        <f>IFERROR(__xludf.DUMMYFUNCTION("""COMPUTED_VALUE"""),"")</f>
        <v/>
      </c>
      <c r="F848" s="257" t="str">
        <f>IFERROR(__xludf.DUMMYFUNCTION("""COMPUTED_VALUE"""),"")</f>
        <v/>
      </c>
      <c r="G848" s="247" t="str">
        <f t="shared" si="1"/>
        <v/>
      </c>
      <c r="H848" s="258" t="str">
        <f>IFERROR(__xludf.DUMMYFUNCTION("""COMPUTED_VALUE"""),"")</f>
        <v/>
      </c>
      <c r="I848" s="259" t="str">
        <f>IFERROR(__xludf.DUMMYFUNCTION("""COMPUTED_VALUE"""),"")</f>
        <v/>
      </c>
      <c r="J848" s="250" t="str">
        <f t="shared" si="2"/>
        <v/>
      </c>
      <c r="K848" s="317" t="str">
        <f>IFERROR(__xludf.DUMMYFUNCTION("""COMPUTED_VALUE"""),"")</f>
        <v/>
      </c>
      <c r="L848" s="318" t="str">
        <f>IFERROR(__xludf.DUMMYFUNCTION("""COMPUTED_VALUE"""),"")</f>
        <v/>
      </c>
      <c r="M848" s="253" t="str">
        <f t="shared" si="3"/>
        <v/>
      </c>
      <c r="N848" s="319" t="str">
        <f>IFERROR(__xludf.DUMMYFUNCTION("""COMPUTED_VALUE"""),"")</f>
        <v/>
      </c>
      <c r="O848" s="257" t="str">
        <f>IFERROR(__xludf.DUMMYFUNCTION("""COMPUTED_VALUE"""),"")</f>
        <v/>
      </c>
      <c r="P848" s="247" t="str">
        <f t="shared" si="4"/>
        <v/>
      </c>
      <c r="Q848" s="320" t="str">
        <f>IFERROR(__xludf.DUMMYFUNCTION("""COMPUTED_VALUE"""),"")</f>
        <v/>
      </c>
      <c r="R848" s="259" t="str">
        <f>IFERROR(__xludf.DUMMYFUNCTION("""COMPUTED_VALUE"""),"")</f>
        <v/>
      </c>
      <c r="S848" s="250" t="str">
        <f t="shared" si="5"/>
        <v/>
      </c>
      <c r="T848" s="254" t="str">
        <f>IFERROR(__xludf.DUMMYFUNCTION("""COMPUTED_VALUE"""),"")</f>
        <v/>
      </c>
      <c r="U848" s="246" t="str">
        <f>IFERROR(__xludf.DUMMYFUNCTION("""COMPUTED_VALUE"""),"")</f>
        <v/>
      </c>
      <c r="V848" s="247" t="str">
        <f t="shared" si="6"/>
        <v/>
      </c>
      <c r="W848" s="255" t="str">
        <f>IFERROR(__xludf.DUMMYFUNCTION("""COMPUTED_VALUE"""),"")</f>
        <v/>
      </c>
      <c r="X848" s="249" t="str">
        <f>IFERROR(__xludf.DUMMYFUNCTION("""COMPUTED_VALUE"""),"")</f>
        <v/>
      </c>
      <c r="Y848" s="250" t="str">
        <f t="shared" si="7"/>
        <v/>
      </c>
    </row>
    <row r="849">
      <c r="A849" s="136" t="s">
        <v>133</v>
      </c>
      <c r="B849" s="136"/>
      <c r="C849" s="136" t="s">
        <v>133</v>
      </c>
      <c r="D849" s="136"/>
      <c r="E849" s="256" t="str">
        <f>IFERROR(__xludf.DUMMYFUNCTION("""COMPUTED_VALUE"""),"")</f>
        <v/>
      </c>
      <c r="F849" s="257" t="str">
        <f>IFERROR(__xludf.DUMMYFUNCTION("""COMPUTED_VALUE"""),"")</f>
        <v/>
      </c>
      <c r="G849" s="247" t="str">
        <f t="shared" si="1"/>
        <v/>
      </c>
      <c r="H849" s="258" t="str">
        <f>IFERROR(__xludf.DUMMYFUNCTION("""COMPUTED_VALUE"""),"")</f>
        <v/>
      </c>
      <c r="I849" s="259" t="str">
        <f>IFERROR(__xludf.DUMMYFUNCTION("""COMPUTED_VALUE"""),"")</f>
        <v/>
      </c>
      <c r="J849" s="250" t="str">
        <f t="shared" si="2"/>
        <v/>
      </c>
      <c r="K849" s="317" t="str">
        <f>IFERROR(__xludf.DUMMYFUNCTION("""COMPUTED_VALUE"""),"")</f>
        <v/>
      </c>
      <c r="L849" s="318" t="str">
        <f>IFERROR(__xludf.DUMMYFUNCTION("""COMPUTED_VALUE"""),"")</f>
        <v/>
      </c>
      <c r="M849" s="253" t="str">
        <f t="shared" si="3"/>
        <v/>
      </c>
      <c r="N849" s="319" t="str">
        <f>IFERROR(__xludf.DUMMYFUNCTION("""COMPUTED_VALUE"""),"")</f>
        <v/>
      </c>
      <c r="O849" s="257" t="str">
        <f>IFERROR(__xludf.DUMMYFUNCTION("""COMPUTED_VALUE"""),"")</f>
        <v/>
      </c>
      <c r="P849" s="247" t="str">
        <f t="shared" si="4"/>
        <v/>
      </c>
      <c r="Q849" s="320" t="str">
        <f>IFERROR(__xludf.DUMMYFUNCTION("""COMPUTED_VALUE"""),"")</f>
        <v/>
      </c>
      <c r="R849" s="259" t="str">
        <f>IFERROR(__xludf.DUMMYFUNCTION("""COMPUTED_VALUE"""),"")</f>
        <v/>
      </c>
      <c r="S849" s="250" t="str">
        <f t="shared" si="5"/>
        <v/>
      </c>
      <c r="T849" s="254" t="str">
        <f>IFERROR(__xludf.DUMMYFUNCTION("""COMPUTED_VALUE"""),"")</f>
        <v/>
      </c>
      <c r="U849" s="246" t="str">
        <f>IFERROR(__xludf.DUMMYFUNCTION("""COMPUTED_VALUE"""),"")</f>
        <v/>
      </c>
      <c r="V849" s="247" t="str">
        <f t="shared" si="6"/>
        <v/>
      </c>
      <c r="W849" s="255" t="str">
        <f>IFERROR(__xludf.DUMMYFUNCTION("""COMPUTED_VALUE"""),"")</f>
        <v/>
      </c>
      <c r="X849" s="249" t="str">
        <f>IFERROR(__xludf.DUMMYFUNCTION("""COMPUTED_VALUE"""),"")</f>
        <v/>
      </c>
      <c r="Y849" s="250" t="str">
        <f t="shared" si="7"/>
        <v/>
      </c>
    </row>
    <row r="850">
      <c r="A850" s="136" t="s">
        <v>133</v>
      </c>
      <c r="B850" s="136"/>
      <c r="C850" s="136" t="s">
        <v>133</v>
      </c>
      <c r="D850" s="136"/>
      <c r="E850" s="256" t="str">
        <f>IFERROR(__xludf.DUMMYFUNCTION("""COMPUTED_VALUE"""),"")</f>
        <v/>
      </c>
      <c r="F850" s="257" t="str">
        <f>IFERROR(__xludf.DUMMYFUNCTION("""COMPUTED_VALUE"""),"")</f>
        <v/>
      </c>
      <c r="G850" s="247" t="str">
        <f t="shared" si="1"/>
        <v/>
      </c>
      <c r="H850" s="258" t="str">
        <f>IFERROR(__xludf.DUMMYFUNCTION("""COMPUTED_VALUE"""),"")</f>
        <v/>
      </c>
      <c r="I850" s="259" t="str">
        <f>IFERROR(__xludf.DUMMYFUNCTION("""COMPUTED_VALUE"""),"")</f>
        <v/>
      </c>
      <c r="J850" s="250" t="str">
        <f t="shared" si="2"/>
        <v/>
      </c>
      <c r="K850" s="317" t="str">
        <f>IFERROR(__xludf.DUMMYFUNCTION("""COMPUTED_VALUE"""),"")</f>
        <v/>
      </c>
      <c r="L850" s="318" t="str">
        <f>IFERROR(__xludf.DUMMYFUNCTION("""COMPUTED_VALUE"""),"")</f>
        <v/>
      </c>
      <c r="M850" s="253" t="str">
        <f t="shared" si="3"/>
        <v/>
      </c>
      <c r="N850" s="319" t="str">
        <f>IFERROR(__xludf.DUMMYFUNCTION("""COMPUTED_VALUE"""),"")</f>
        <v/>
      </c>
      <c r="O850" s="257" t="str">
        <f>IFERROR(__xludf.DUMMYFUNCTION("""COMPUTED_VALUE"""),"")</f>
        <v/>
      </c>
      <c r="P850" s="247" t="str">
        <f t="shared" si="4"/>
        <v/>
      </c>
      <c r="Q850" s="320" t="str">
        <f>IFERROR(__xludf.DUMMYFUNCTION("""COMPUTED_VALUE"""),"")</f>
        <v/>
      </c>
      <c r="R850" s="259" t="str">
        <f>IFERROR(__xludf.DUMMYFUNCTION("""COMPUTED_VALUE"""),"")</f>
        <v/>
      </c>
      <c r="S850" s="250" t="str">
        <f t="shared" si="5"/>
        <v/>
      </c>
      <c r="T850" s="254" t="str">
        <f>IFERROR(__xludf.DUMMYFUNCTION("""COMPUTED_VALUE"""),"")</f>
        <v/>
      </c>
      <c r="U850" s="246" t="str">
        <f>IFERROR(__xludf.DUMMYFUNCTION("""COMPUTED_VALUE"""),"")</f>
        <v/>
      </c>
      <c r="V850" s="247" t="str">
        <f t="shared" si="6"/>
        <v/>
      </c>
      <c r="W850" s="255" t="str">
        <f>IFERROR(__xludf.DUMMYFUNCTION("""COMPUTED_VALUE"""),"")</f>
        <v/>
      </c>
      <c r="X850" s="249" t="str">
        <f>IFERROR(__xludf.DUMMYFUNCTION("""COMPUTED_VALUE"""),"")</f>
        <v/>
      </c>
      <c r="Y850" s="250" t="str">
        <f t="shared" si="7"/>
        <v/>
      </c>
    </row>
    <row r="851">
      <c r="A851" s="136" t="s">
        <v>133</v>
      </c>
      <c r="B851" s="136"/>
      <c r="C851" s="136" t="s">
        <v>133</v>
      </c>
      <c r="D851" s="136"/>
      <c r="E851" s="256" t="str">
        <f>IFERROR(__xludf.DUMMYFUNCTION("""COMPUTED_VALUE"""),"")</f>
        <v/>
      </c>
      <c r="F851" s="257" t="str">
        <f>IFERROR(__xludf.DUMMYFUNCTION("""COMPUTED_VALUE"""),"")</f>
        <v/>
      </c>
      <c r="G851" s="247" t="str">
        <f t="shared" si="1"/>
        <v/>
      </c>
      <c r="H851" s="258" t="str">
        <f>IFERROR(__xludf.DUMMYFUNCTION("""COMPUTED_VALUE"""),"")</f>
        <v/>
      </c>
      <c r="I851" s="259" t="str">
        <f>IFERROR(__xludf.DUMMYFUNCTION("""COMPUTED_VALUE"""),"")</f>
        <v/>
      </c>
      <c r="J851" s="250" t="str">
        <f t="shared" si="2"/>
        <v/>
      </c>
      <c r="K851" s="317" t="str">
        <f>IFERROR(__xludf.DUMMYFUNCTION("""COMPUTED_VALUE"""),"")</f>
        <v/>
      </c>
      <c r="L851" s="318" t="str">
        <f>IFERROR(__xludf.DUMMYFUNCTION("""COMPUTED_VALUE"""),"")</f>
        <v/>
      </c>
      <c r="M851" s="253" t="str">
        <f t="shared" si="3"/>
        <v/>
      </c>
      <c r="N851" s="319" t="str">
        <f>IFERROR(__xludf.DUMMYFUNCTION("""COMPUTED_VALUE"""),"")</f>
        <v/>
      </c>
      <c r="O851" s="257" t="str">
        <f>IFERROR(__xludf.DUMMYFUNCTION("""COMPUTED_VALUE"""),"")</f>
        <v/>
      </c>
      <c r="P851" s="247" t="str">
        <f t="shared" si="4"/>
        <v/>
      </c>
      <c r="Q851" s="320" t="str">
        <f>IFERROR(__xludf.DUMMYFUNCTION("""COMPUTED_VALUE"""),"")</f>
        <v/>
      </c>
      <c r="R851" s="259" t="str">
        <f>IFERROR(__xludf.DUMMYFUNCTION("""COMPUTED_VALUE"""),"")</f>
        <v/>
      </c>
      <c r="S851" s="250" t="str">
        <f t="shared" si="5"/>
        <v/>
      </c>
      <c r="T851" s="254" t="str">
        <f>IFERROR(__xludf.DUMMYFUNCTION("""COMPUTED_VALUE"""),"")</f>
        <v/>
      </c>
      <c r="U851" s="246" t="str">
        <f>IFERROR(__xludf.DUMMYFUNCTION("""COMPUTED_VALUE"""),"")</f>
        <v/>
      </c>
      <c r="V851" s="247" t="str">
        <f t="shared" si="6"/>
        <v/>
      </c>
      <c r="W851" s="255" t="str">
        <f>IFERROR(__xludf.DUMMYFUNCTION("""COMPUTED_VALUE"""),"")</f>
        <v/>
      </c>
      <c r="X851" s="249" t="str">
        <f>IFERROR(__xludf.DUMMYFUNCTION("""COMPUTED_VALUE"""),"")</f>
        <v/>
      </c>
      <c r="Y851" s="250" t="str">
        <f t="shared" si="7"/>
        <v/>
      </c>
    </row>
    <row r="852">
      <c r="A852" s="136" t="s">
        <v>133</v>
      </c>
      <c r="B852" s="136"/>
      <c r="C852" s="136" t="s">
        <v>133</v>
      </c>
      <c r="D852" s="136"/>
      <c r="E852" s="256" t="str">
        <f>IFERROR(__xludf.DUMMYFUNCTION("""COMPUTED_VALUE"""),"")</f>
        <v/>
      </c>
      <c r="F852" s="257" t="str">
        <f>IFERROR(__xludf.DUMMYFUNCTION("""COMPUTED_VALUE"""),"")</f>
        <v/>
      </c>
      <c r="G852" s="247" t="str">
        <f t="shared" si="1"/>
        <v/>
      </c>
      <c r="H852" s="258" t="str">
        <f>IFERROR(__xludf.DUMMYFUNCTION("""COMPUTED_VALUE"""),"")</f>
        <v/>
      </c>
      <c r="I852" s="259" t="str">
        <f>IFERROR(__xludf.DUMMYFUNCTION("""COMPUTED_VALUE"""),"")</f>
        <v/>
      </c>
      <c r="J852" s="250" t="str">
        <f t="shared" si="2"/>
        <v/>
      </c>
      <c r="K852" s="317" t="str">
        <f>IFERROR(__xludf.DUMMYFUNCTION("""COMPUTED_VALUE"""),"")</f>
        <v/>
      </c>
      <c r="L852" s="318" t="str">
        <f>IFERROR(__xludf.DUMMYFUNCTION("""COMPUTED_VALUE"""),"")</f>
        <v/>
      </c>
      <c r="M852" s="253" t="str">
        <f t="shared" si="3"/>
        <v/>
      </c>
      <c r="N852" s="319" t="str">
        <f>IFERROR(__xludf.DUMMYFUNCTION("""COMPUTED_VALUE"""),"")</f>
        <v/>
      </c>
      <c r="O852" s="257" t="str">
        <f>IFERROR(__xludf.DUMMYFUNCTION("""COMPUTED_VALUE"""),"")</f>
        <v/>
      </c>
      <c r="P852" s="247" t="str">
        <f t="shared" si="4"/>
        <v/>
      </c>
      <c r="Q852" s="320" t="str">
        <f>IFERROR(__xludf.DUMMYFUNCTION("""COMPUTED_VALUE"""),"")</f>
        <v/>
      </c>
      <c r="R852" s="259" t="str">
        <f>IFERROR(__xludf.DUMMYFUNCTION("""COMPUTED_VALUE"""),"")</f>
        <v/>
      </c>
      <c r="S852" s="250" t="str">
        <f t="shared" si="5"/>
        <v/>
      </c>
      <c r="T852" s="254" t="str">
        <f>IFERROR(__xludf.DUMMYFUNCTION("""COMPUTED_VALUE"""),"")</f>
        <v/>
      </c>
      <c r="U852" s="246" t="str">
        <f>IFERROR(__xludf.DUMMYFUNCTION("""COMPUTED_VALUE"""),"")</f>
        <v/>
      </c>
      <c r="V852" s="247" t="str">
        <f t="shared" si="6"/>
        <v/>
      </c>
      <c r="W852" s="255" t="str">
        <f>IFERROR(__xludf.DUMMYFUNCTION("""COMPUTED_VALUE"""),"")</f>
        <v/>
      </c>
      <c r="X852" s="249" t="str">
        <f>IFERROR(__xludf.DUMMYFUNCTION("""COMPUTED_VALUE"""),"")</f>
        <v/>
      </c>
      <c r="Y852" s="250" t="str">
        <f t="shared" si="7"/>
        <v/>
      </c>
    </row>
    <row r="853">
      <c r="A853" s="136" t="s">
        <v>133</v>
      </c>
      <c r="B853" s="136"/>
      <c r="C853" s="136" t="s">
        <v>133</v>
      </c>
      <c r="D853" s="136"/>
      <c r="E853" s="256" t="str">
        <f>IFERROR(__xludf.DUMMYFUNCTION("""COMPUTED_VALUE"""),"")</f>
        <v/>
      </c>
      <c r="F853" s="257" t="str">
        <f>IFERROR(__xludf.DUMMYFUNCTION("""COMPUTED_VALUE"""),"")</f>
        <v/>
      </c>
      <c r="G853" s="247" t="str">
        <f t="shared" si="1"/>
        <v/>
      </c>
      <c r="H853" s="258" t="str">
        <f>IFERROR(__xludf.DUMMYFUNCTION("""COMPUTED_VALUE"""),"")</f>
        <v/>
      </c>
      <c r="I853" s="259" t="str">
        <f>IFERROR(__xludf.DUMMYFUNCTION("""COMPUTED_VALUE"""),"")</f>
        <v/>
      </c>
      <c r="J853" s="250" t="str">
        <f t="shared" si="2"/>
        <v/>
      </c>
      <c r="K853" s="317" t="str">
        <f>IFERROR(__xludf.DUMMYFUNCTION("""COMPUTED_VALUE"""),"")</f>
        <v/>
      </c>
      <c r="L853" s="318" t="str">
        <f>IFERROR(__xludf.DUMMYFUNCTION("""COMPUTED_VALUE"""),"")</f>
        <v/>
      </c>
      <c r="M853" s="253" t="str">
        <f t="shared" si="3"/>
        <v/>
      </c>
      <c r="N853" s="319" t="str">
        <f>IFERROR(__xludf.DUMMYFUNCTION("""COMPUTED_VALUE"""),"")</f>
        <v/>
      </c>
      <c r="O853" s="257" t="str">
        <f>IFERROR(__xludf.DUMMYFUNCTION("""COMPUTED_VALUE"""),"")</f>
        <v/>
      </c>
      <c r="P853" s="247" t="str">
        <f t="shared" si="4"/>
        <v/>
      </c>
      <c r="Q853" s="320" t="str">
        <f>IFERROR(__xludf.DUMMYFUNCTION("""COMPUTED_VALUE"""),"")</f>
        <v/>
      </c>
      <c r="R853" s="259" t="str">
        <f>IFERROR(__xludf.DUMMYFUNCTION("""COMPUTED_VALUE"""),"")</f>
        <v/>
      </c>
      <c r="S853" s="250" t="str">
        <f t="shared" si="5"/>
        <v/>
      </c>
      <c r="T853" s="254" t="str">
        <f>IFERROR(__xludf.DUMMYFUNCTION("""COMPUTED_VALUE"""),"")</f>
        <v/>
      </c>
      <c r="U853" s="246" t="str">
        <f>IFERROR(__xludf.DUMMYFUNCTION("""COMPUTED_VALUE"""),"")</f>
        <v/>
      </c>
      <c r="V853" s="247" t="str">
        <f t="shared" si="6"/>
        <v/>
      </c>
      <c r="W853" s="255" t="str">
        <f>IFERROR(__xludf.DUMMYFUNCTION("""COMPUTED_VALUE"""),"")</f>
        <v/>
      </c>
      <c r="X853" s="249" t="str">
        <f>IFERROR(__xludf.DUMMYFUNCTION("""COMPUTED_VALUE"""),"")</f>
        <v/>
      </c>
      <c r="Y853" s="250" t="str">
        <f t="shared" si="7"/>
        <v/>
      </c>
    </row>
    <row r="854">
      <c r="A854" s="136" t="s">
        <v>133</v>
      </c>
      <c r="B854" s="136"/>
      <c r="C854" s="136" t="s">
        <v>133</v>
      </c>
      <c r="D854" s="136"/>
      <c r="E854" s="256" t="str">
        <f>IFERROR(__xludf.DUMMYFUNCTION("""COMPUTED_VALUE"""),"")</f>
        <v/>
      </c>
      <c r="F854" s="257" t="str">
        <f>IFERROR(__xludf.DUMMYFUNCTION("""COMPUTED_VALUE"""),"")</f>
        <v/>
      </c>
      <c r="G854" s="247" t="str">
        <f t="shared" si="1"/>
        <v/>
      </c>
      <c r="H854" s="258" t="str">
        <f>IFERROR(__xludf.DUMMYFUNCTION("""COMPUTED_VALUE"""),"")</f>
        <v/>
      </c>
      <c r="I854" s="259" t="str">
        <f>IFERROR(__xludf.DUMMYFUNCTION("""COMPUTED_VALUE"""),"")</f>
        <v/>
      </c>
      <c r="J854" s="250" t="str">
        <f t="shared" si="2"/>
        <v/>
      </c>
      <c r="K854" s="317" t="str">
        <f>IFERROR(__xludf.DUMMYFUNCTION("""COMPUTED_VALUE"""),"")</f>
        <v/>
      </c>
      <c r="L854" s="318" t="str">
        <f>IFERROR(__xludf.DUMMYFUNCTION("""COMPUTED_VALUE"""),"")</f>
        <v/>
      </c>
      <c r="M854" s="253" t="str">
        <f t="shared" si="3"/>
        <v/>
      </c>
      <c r="N854" s="319" t="str">
        <f>IFERROR(__xludf.DUMMYFUNCTION("""COMPUTED_VALUE"""),"")</f>
        <v/>
      </c>
      <c r="O854" s="257" t="str">
        <f>IFERROR(__xludf.DUMMYFUNCTION("""COMPUTED_VALUE"""),"")</f>
        <v/>
      </c>
      <c r="P854" s="247" t="str">
        <f t="shared" si="4"/>
        <v/>
      </c>
      <c r="Q854" s="320" t="str">
        <f>IFERROR(__xludf.DUMMYFUNCTION("""COMPUTED_VALUE"""),"")</f>
        <v/>
      </c>
      <c r="R854" s="259" t="str">
        <f>IFERROR(__xludf.DUMMYFUNCTION("""COMPUTED_VALUE"""),"")</f>
        <v/>
      </c>
      <c r="S854" s="250" t="str">
        <f t="shared" si="5"/>
        <v/>
      </c>
      <c r="T854" s="254" t="str">
        <f>IFERROR(__xludf.DUMMYFUNCTION("""COMPUTED_VALUE"""),"")</f>
        <v/>
      </c>
      <c r="U854" s="246" t="str">
        <f>IFERROR(__xludf.DUMMYFUNCTION("""COMPUTED_VALUE"""),"")</f>
        <v/>
      </c>
      <c r="V854" s="247" t="str">
        <f t="shared" si="6"/>
        <v/>
      </c>
      <c r="W854" s="255" t="str">
        <f>IFERROR(__xludf.DUMMYFUNCTION("""COMPUTED_VALUE"""),"")</f>
        <v/>
      </c>
      <c r="X854" s="249" t="str">
        <f>IFERROR(__xludf.DUMMYFUNCTION("""COMPUTED_VALUE"""),"")</f>
        <v/>
      </c>
      <c r="Y854" s="250" t="str">
        <f t="shared" si="7"/>
        <v/>
      </c>
    </row>
    <row r="855">
      <c r="A855" s="136" t="s">
        <v>133</v>
      </c>
      <c r="B855" s="136"/>
      <c r="C855" s="136" t="s">
        <v>133</v>
      </c>
      <c r="D855" s="136"/>
      <c r="E855" s="256" t="str">
        <f>IFERROR(__xludf.DUMMYFUNCTION("""COMPUTED_VALUE"""),"")</f>
        <v/>
      </c>
      <c r="F855" s="257" t="str">
        <f>IFERROR(__xludf.DUMMYFUNCTION("""COMPUTED_VALUE"""),"")</f>
        <v/>
      </c>
      <c r="G855" s="247" t="str">
        <f t="shared" si="1"/>
        <v/>
      </c>
      <c r="H855" s="258" t="str">
        <f>IFERROR(__xludf.DUMMYFUNCTION("""COMPUTED_VALUE"""),"")</f>
        <v/>
      </c>
      <c r="I855" s="259" t="str">
        <f>IFERROR(__xludf.DUMMYFUNCTION("""COMPUTED_VALUE"""),"")</f>
        <v/>
      </c>
      <c r="J855" s="250" t="str">
        <f t="shared" si="2"/>
        <v/>
      </c>
      <c r="K855" s="317" t="str">
        <f>IFERROR(__xludf.DUMMYFUNCTION("""COMPUTED_VALUE"""),"")</f>
        <v/>
      </c>
      <c r="L855" s="318" t="str">
        <f>IFERROR(__xludf.DUMMYFUNCTION("""COMPUTED_VALUE"""),"")</f>
        <v/>
      </c>
      <c r="M855" s="253" t="str">
        <f t="shared" si="3"/>
        <v/>
      </c>
      <c r="N855" s="319" t="str">
        <f>IFERROR(__xludf.DUMMYFUNCTION("""COMPUTED_VALUE"""),"")</f>
        <v/>
      </c>
      <c r="O855" s="257" t="str">
        <f>IFERROR(__xludf.DUMMYFUNCTION("""COMPUTED_VALUE"""),"")</f>
        <v/>
      </c>
      <c r="P855" s="247" t="str">
        <f t="shared" si="4"/>
        <v/>
      </c>
      <c r="Q855" s="320" t="str">
        <f>IFERROR(__xludf.DUMMYFUNCTION("""COMPUTED_VALUE"""),"")</f>
        <v/>
      </c>
      <c r="R855" s="259" t="str">
        <f>IFERROR(__xludf.DUMMYFUNCTION("""COMPUTED_VALUE"""),"")</f>
        <v/>
      </c>
      <c r="S855" s="250" t="str">
        <f t="shared" si="5"/>
        <v/>
      </c>
      <c r="T855" s="254" t="str">
        <f>IFERROR(__xludf.DUMMYFUNCTION("""COMPUTED_VALUE"""),"")</f>
        <v/>
      </c>
      <c r="U855" s="246" t="str">
        <f>IFERROR(__xludf.DUMMYFUNCTION("""COMPUTED_VALUE"""),"")</f>
        <v/>
      </c>
      <c r="V855" s="247" t="str">
        <f t="shared" si="6"/>
        <v/>
      </c>
      <c r="W855" s="255" t="str">
        <f>IFERROR(__xludf.DUMMYFUNCTION("""COMPUTED_VALUE"""),"")</f>
        <v/>
      </c>
      <c r="X855" s="249" t="str">
        <f>IFERROR(__xludf.DUMMYFUNCTION("""COMPUTED_VALUE"""),"")</f>
        <v/>
      </c>
      <c r="Y855" s="250" t="str">
        <f t="shared" si="7"/>
        <v/>
      </c>
    </row>
    <row r="856">
      <c r="A856" s="136" t="s">
        <v>133</v>
      </c>
      <c r="B856" s="136"/>
      <c r="C856" s="136" t="s">
        <v>133</v>
      </c>
      <c r="D856" s="136"/>
      <c r="E856" s="256" t="str">
        <f>IFERROR(__xludf.DUMMYFUNCTION("""COMPUTED_VALUE"""),"")</f>
        <v/>
      </c>
      <c r="F856" s="257" t="str">
        <f>IFERROR(__xludf.DUMMYFUNCTION("""COMPUTED_VALUE"""),"")</f>
        <v/>
      </c>
      <c r="G856" s="247" t="str">
        <f t="shared" si="1"/>
        <v/>
      </c>
      <c r="H856" s="258" t="str">
        <f>IFERROR(__xludf.DUMMYFUNCTION("""COMPUTED_VALUE"""),"")</f>
        <v/>
      </c>
      <c r="I856" s="259" t="str">
        <f>IFERROR(__xludf.DUMMYFUNCTION("""COMPUTED_VALUE"""),"")</f>
        <v/>
      </c>
      <c r="J856" s="250" t="str">
        <f t="shared" si="2"/>
        <v/>
      </c>
      <c r="K856" s="317" t="str">
        <f>IFERROR(__xludf.DUMMYFUNCTION("""COMPUTED_VALUE"""),"")</f>
        <v/>
      </c>
      <c r="L856" s="318" t="str">
        <f>IFERROR(__xludf.DUMMYFUNCTION("""COMPUTED_VALUE"""),"")</f>
        <v/>
      </c>
      <c r="M856" s="253" t="str">
        <f t="shared" si="3"/>
        <v/>
      </c>
      <c r="N856" s="319" t="str">
        <f>IFERROR(__xludf.DUMMYFUNCTION("""COMPUTED_VALUE"""),"")</f>
        <v/>
      </c>
      <c r="O856" s="257" t="str">
        <f>IFERROR(__xludf.DUMMYFUNCTION("""COMPUTED_VALUE"""),"")</f>
        <v/>
      </c>
      <c r="P856" s="247" t="str">
        <f t="shared" si="4"/>
        <v/>
      </c>
      <c r="Q856" s="320" t="str">
        <f>IFERROR(__xludf.DUMMYFUNCTION("""COMPUTED_VALUE"""),"")</f>
        <v/>
      </c>
      <c r="R856" s="259" t="str">
        <f>IFERROR(__xludf.DUMMYFUNCTION("""COMPUTED_VALUE"""),"")</f>
        <v/>
      </c>
      <c r="S856" s="250" t="str">
        <f t="shared" si="5"/>
        <v/>
      </c>
      <c r="T856" s="254" t="str">
        <f>IFERROR(__xludf.DUMMYFUNCTION("""COMPUTED_VALUE"""),"")</f>
        <v/>
      </c>
      <c r="U856" s="246" t="str">
        <f>IFERROR(__xludf.DUMMYFUNCTION("""COMPUTED_VALUE"""),"")</f>
        <v/>
      </c>
      <c r="V856" s="247" t="str">
        <f t="shared" si="6"/>
        <v/>
      </c>
      <c r="W856" s="255" t="str">
        <f>IFERROR(__xludf.DUMMYFUNCTION("""COMPUTED_VALUE"""),"")</f>
        <v/>
      </c>
      <c r="X856" s="249" t="str">
        <f>IFERROR(__xludf.DUMMYFUNCTION("""COMPUTED_VALUE"""),"")</f>
        <v/>
      </c>
      <c r="Y856" s="250" t="str">
        <f t="shared" si="7"/>
        <v/>
      </c>
    </row>
    <row r="857">
      <c r="A857" s="136" t="s">
        <v>133</v>
      </c>
      <c r="B857" s="136"/>
      <c r="C857" s="136" t="s">
        <v>133</v>
      </c>
      <c r="D857" s="136"/>
      <c r="E857" s="256" t="str">
        <f>IFERROR(__xludf.DUMMYFUNCTION("""COMPUTED_VALUE"""),"")</f>
        <v/>
      </c>
      <c r="F857" s="257" t="str">
        <f>IFERROR(__xludf.DUMMYFUNCTION("""COMPUTED_VALUE"""),"")</f>
        <v/>
      </c>
      <c r="G857" s="247" t="str">
        <f t="shared" si="1"/>
        <v/>
      </c>
      <c r="H857" s="258" t="str">
        <f>IFERROR(__xludf.DUMMYFUNCTION("""COMPUTED_VALUE"""),"")</f>
        <v/>
      </c>
      <c r="I857" s="259" t="str">
        <f>IFERROR(__xludf.DUMMYFUNCTION("""COMPUTED_VALUE"""),"")</f>
        <v/>
      </c>
      <c r="J857" s="250" t="str">
        <f t="shared" si="2"/>
        <v/>
      </c>
      <c r="K857" s="317" t="str">
        <f>IFERROR(__xludf.DUMMYFUNCTION("""COMPUTED_VALUE"""),"")</f>
        <v/>
      </c>
      <c r="L857" s="318" t="str">
        <f>IFERROR(__xludf.DUMMYFUNCTION("""COMPUTED_VALUE"""),"")</f>
        <v/>
      </c>
      <c r="M857" s="253" t="str">
        <f t="shared" si="3"/>
        <v/>
      </c>
      <c r="N857" s="319" t="str">
        <f>IFERROR(__xludf.DUMMYFUNCTION("""COMPUTED_VALUE"""),"")</f>
        <v/>
      </c>
      <c r="O857" s="257" t="str">
        <f>IFERROR(__xludf.DUMMYFUNCTION("""COMPUTED_VALUE"""),"")</f>
        <v/>
      </c>
      <c r="P857" s="247" t="str">
        <f t="shared" si="4"/>
        <v/>
      </c>
      <c r="Q857" s="320" t="str">
        <f>IFERROR(__xludf.DUMMYFUNCTION("""COMPUTED_VALUE"""),"")</f>
        <v/>
      </c>
      <c r="R857" s="259" t="str">
        <f>IFERROR(__xludf.DUMMYFUNCTION("""COMPUTED_VALUE"""),"")</f>
        <v/>
      </c>
      <c r="S857" s="250" t="str">
        <f t="shared" si="5"/>
        <v/>
      </c>
      <c r="T857" s="254" t="str">
        <f>IFERROR(__xludf.DUMMYFUNCTION("""COMPUTED_VALUE"""),"")</f>
        <v/>
      </c>
      <c r="U857" s="246" t="str">
        <f>IFERROR(__xludf.DUMMYFUNCTION("""COMPUTED_VALUE"""),"")</f>
        <v/>
      </c>
      <c r="V857" s="247" t="str">
        <f t="shared" si="6"/>
        <v/>
      </c>
      <c r="W857" s="255" t="str">
        <f>IFERROR(__xludf.DUMMYFUNCTION("""COMPUTED_VALUE"""),"")</f>
        <v/>
      </c>
      <c r="X857" s="249" t="str">
        <f>IFERROR(__xludf.DUMMYFUNCTION("""COMPUTED_VALUE"""),"")</f>
        <v/>
      </c>
      <c r="Y857" s="250" t="str">
        <f t="shared" si="7"/>
        <v/>
      </c>
    </row>
    <row r="858">
      <c r="A858" s="136" t="s">
        <v>133</v>
      </c>
      <c r="B858" s="136"/>
      <c r="C858" s="136" t="s">
        <v>133</v>
      </c>
      <c r="D858" s="136"/>
      <c r="E858" s="256" t="str">
        <f>IFERROR(__xludf.DUMMYFUNCTION("""COMPUTED_VALUE"""),"")</f>
        <v/>
      </c>
      <c r="F858" s="257" t="str">
        <f>IFERROR(__xludf.DUMMYFUNCTION("""COMPUTED_VALUE"""),"")</f>
        <v/>
      </c>
      <c r="G858" s="247" t="str">
        <f t="shared" si="1"/>
        <v/>
      </c>
      <c r="H858" s="258" t="str">
        <f>IFERROR(__xludf.DUMMYFUNCTION("""COMPUTED_VALUE"""),"")</f>
        <v/>
      </c>
      <c r="I858" s="259" t="str">
        <f>IFERROR(__xludf.DUMMYFUNCTION("""COMPUTED_VALUE"""),"")</f>
        <v/>
      </c>
      <c r="J858" s="250" t="str">
        <f t="shared" si="2"/>
        <v/>
      </c>
      <c r="K858" s="317" t="str">
        <f>IFERROR(__xludf.DUMMYFUNCTION("""COMPUTED_VALUE"""),"")</f>
        <v/>
      </c>
      <c r="L858" s="318" t="str">
        <f>IFERROR(__xludf.DUMMYFUNCTION("""COMPUTED_VALUE"""),"")</f>
        <v/>
      </c>
      <c r="M858" s="253" t="str">
        <f t="shared" si="3"/>
        <v/>
      </c>
      <c r="N858" s="319" t="str">
        <f>IFERROR(__xludf.DUMMYFUNCTION("""COMPUTED_VALUE"""),"")</f>
        <v/>
      </c>
      <c r="O858" s="257" t="str">
        <f>IFERROR(__xludf.DUMMYFUNCTION("""COMPUTED_VALUE"""),"")</f>
        <v/>
      </c>
      <c r="P858" s="247" t="str">
        <f t="shared" si="4"/>
        <v/>
      </c>
      <c r="Q858" s="320" t="str">
        <f>IFERROR(__xludf.DUMMYFUNCTION("""COMPUTED_VALUE"""),"")</f>
        <v/>
      </c>
      <c r="R858" s="259" t="str">
        <f>IFERROR(__xludf.DUMMYFUNCTION("""COMPUTED_VALUE"""),"")</f>
        <v/>
      </c>
      <c r="S858" s="250" t="str">
        <f t="shared" si="5"/>
        <v/>
      </c>
      <c r="T858" s="254" t="str">
        <f>IFERROR(__xludf.DUMMYFUNCTION("""COMPUTED_VALUE"""),"")</f>
        <v/>
      </c>
      <c r="U858" s="246" t="str">
        <f>IFERROR(__xludf.DUMMYFUNCTION("""COMPUTED_VALUE"""),"")</f>
        <v/>
      </c>
      <c r="V858" s="247" t="str">
        <f t="shared" si="6"/>
        <v/>
      </c>
      <c r="W858" s="255" t="str">
        <f>IFERROR(__xludf.DUMMYFUNCTION("""COMPUTED_VALUE"""),"")</f>
        <v/>
      </c>
      <c r="X858" s="249" t="str">
        <f>IFERROR(__xludf.DUMMYFUNCTION("""COMPUTED_VALUE"""),"")</f>
        <v/>
      </c>
      <c r="Y858" s="250" t="str">
        <f t="shared" si="7"/>
        <v/>
      </c>
    </row>
    <row r="859">
      <c r="A859" s="136" t="s">
        <v>133</v>
      </c>
      <c r="B859" s="136"/>
      <c r="C859" s="136" t="s">
        <v>133</v>
      </c>
      <c r="D859" s="136"/>
      <c r="E859" s="256" t="str">
        <f>IFERROR(__xludf.DUMMYFUNCTION("""COMPUTED_VALUE"""),"")</f>
        <v/>
      </c>
      <c r="F859" s="257" t="str">
        <f>IFERROR(__xludf.DUMMYFUNCTION("""COMPUTED_VALUE"""),"")</f>
        <v/>
      </c>
      <c r="G859" s="247" t="str">
        <f t="shared" si="1"/>
        <v/>
      </c>
      <c r="H859" s="258" t="str">
        <f>IFERROR(__xludf.DUMMYFUNCTION("""COMPUTED_VALUE"""),"")</f>
        <v/>
      </c>
      <c r="I859" s="259" t="str">
        <f>IFERROR(__xludf.DUMMYFUNCTION("""COMPUTED_VALUE"""),"")</f>
        <v/>
      </c>
      <c r="J859" s="250" t="str">
        <f t="shared" si="2"/>
        <v/>
      </c>
      <c r="K859" s="317" t="str">
        <f>IFERROR(__xludf.DUMMYFUNCTION("""COMPUTED_VALUE"""),"")</f>
        <v/>
      </c>
      <c r="L859" s="318" t="str">
        <f>IFERROR(__xludf.DUMMYFUNCTION("""COMPUTED_VALUE"""),"")</f>
        <v/>
      </c>
      <c r="M859" s="253" t="str">
        <f t="shared" si="3"/>
        <v/>
      </c>
      <c r="N859" s="319" t="str">
        <f>IFERROR(__xludf.DUMMYFUNCTION("""COMPUTED_VALUE"""),"")</f>
        <v/>
      </c>
      <c r="O859" s="257" t="str">
        <f>IFERROR(__xludf.DUMMYFUNCTION("""COMPUTED_VALUE"""),"")</f>
        <v/>
      </c>
      <c r="P859" s="247" t="str">
        <f t="shared" si="4"/>
        <v/>
      </c>
      <c r="Q859" s="320" t="str">
        <f>IFERROR(__xludf.DUMMYFUNCTION("""COMPUTED_VALUE"""),"")</f>
        <v/>
      </c>
      <c r="R859" s="259" t="str">
        <f>IFERROR(__xludf.DUMMYFUNCTION("""COMPUTED_VALUE"""),"")</f>
        <v/>
      </c>
      <c r="S859" s="250" t="str">
        <f t="shared" si="5"/>
        <v/>
      </c>
      <c r="T859" s="254" t="str">
        <f>IFERROR(__xludf.DUMMYFUNCTION("""COMPUTED_VALUE"""),"")</f>
        <v/>
      </c>
      <c r="U859" s="246" t="str">
        <f>IFERROR(__xludf.DUMMYFUNCTION("""COMPUTED_VALUE"""),"")</f>
        <v/>
      </c>
      <c r="V859" s="247" t="str">
        <f t="shared" si="6"/>
        <v/>
      </c>
      <c r="W859" s="255" t="str">
        <f>IFERROR(__xludf.DUMMYFUNCTION("""COMPUTED_VALUE"""),"")</f>
        <v/>
      </c>
      <c r="X859" s="249" t="str">
        <f>IFERROR(__xludf.DUMMYFUNCTION("""COMPUTED_VALUE"""),"")</f>
        <v/>
      </c>
      <c r="Y859" s="250" t="str">
        <f t="shared" si="7"/>
        <v/>
      </c>
    </row>
    <row r="860">
      <c r="A860" s="136" t="s">
        <v>133</v>
      </c>
      <c r="B860" s="136"/>
      <c r="C860" s="136" t="s">
        <v>133</v>
      </c>
      <c r="D860" s="136"/>
      <c r="E860" s="256" t="str">
        <f>IFERROR(__xludf.DUMMYFUNCTION("""COMPUTED_VALUE"""),"")</f>
        <v/>
      </c>
      <c r="F860" s="257" t="str">
        <f>IFERROR(__xludf.DUMMYFUNCTION("""COMPUTED_VALUE"""),"")</f>
        <v/>
      </c>
      <c r="G860" s="247" t="str">
        <f t="shared" si="1"/>
        <v/>
      </c>
      <c r="H860" s="258" t="str">
        <f>IFERROR(__xludf.DUMMYFUNCTION("""COMPUTED_VALUE"""),"")</f>
        <v/>
      </c>
      <c r="I860" s="259" t="str">
        <f>IFERROR(__xludf.DUMMYFUNCTION("""COMPUTED_VALUE"""),"")</f>
        <v/>
      </c>
      <c r="J860" s="250" t="str">
        <f t="shared" si="2"/>
        <v/>
      </c>
      <c r="K860" s="317" t="str">
        <f>IFERROR(__xludf.DUMMYFUNCTION("""COMPUTED_VALUE"""),"")</f>
        <v/>
      </c>
      <c r="L860" s="318" t="str">
        <f>IFERROR(__xludf.DUMMYFUNCTION("""COMPUTED_VALUE"""),"")</f>
        <v/>
      </c>
      <c r="M860" s="253" t="str">
        <f t="shared" si="3"/>
        <v/>
      </c>
      <c r="N860" s="319" t="str">
        <f>IFERROR(__xludf.DUMMYFUNCTION("""COMPUTED_VALUE"""),"")</f>
        <v/>
      </c>
      <c r="O860" s="257" t="str">
        <f>IFERROR(__xludf.DUMMYFUNCTION("""COMPUTED_VALUE"""),"")</f>
        <v/>
      </c>
      <c r="P860" s="247" t="str">
        <f t="shared" si="4"/>
        <v/>
      </c>
      <c r="Q860" s="320" t="str">
        <f>IFERROR(__xludf.DUMMYFUNCTION("""COMPUTED_VALUE"""),"")</f>
        <v/>
      </c>
      <c r="R860" s="259" t="str">
        <f>IFERROR(__xludf.DUMMYFUNCTION("""COMPUTED_VALUE"""),"")</f>
        <v/>
      </c>
      <c r="S860" s="250" t="str">
        <f t="shared" si="5"/>
        <v/>
      </c>
      <c r="T860" s="254" t="str">
        <f>IFERROR(__xludf.DUMMYFUNCTION("""COMPUTED_VALUE"""),"")</f>
        <v/>
      </c>
      <c r="U860" s="246" t="str">
        <f>IFERROR(__xludf.DUMMYFUNCTION("""COMPUTED_VALUE"""),"")</f>
        <v/>
      </c>
      <c r="V860" s="247" t="str">
        <f t="shared" si="6"/>
        <v/>
      </c>
      <c r="W860" s="255" t="str">
        <f>IFERROR(__xludf.DUMMYFUNCTION("""COMPUTED_VALUE"""),"")</f>
        <v/>
      </c>
      <c r="X860" s="249" t="str">
        <f>IFERROR(__xludf.DUMMYFUNCTION("""COMPUTED_VALUE"""),"")</f>
        <v/>
      </c>
      <c r="Y860" s="250" t="str">
        <f t="shared" si="7"/>
        <v/>
      </c>
    </row>
    <row r="861">
      <c r="A861" s="136" t="s">
        <v>133</v>
      </c>
      <c r="B861" s="136"/>
      <c r="C861" s="136" t="s">
        <v>133</v>
      </c>
      <c r="D861" s="136"/>
      <c r="E861" s="256" t="str">
        <f>IFERROR(__xludf.DUMMYFUNCTION("""COMPUTED_VALUE"""),"")</f>
        <v/>
      </c>
      <c r="F861" s="257" t="str">
        <f>IFERROR(__xludf.DUMMYFUNCTION("""COMPUTED_VALUE"""),"")</f>
        <v/>
      </c>
      <c r="G861" s="247" t="str">
        <f t="shared" si="1"/>
        <v/>
      </c>
      <c r="H861" s="258" t="str">
        <f>IFERROR(__xludf.DUMMYFUNCTION("""COMPUTED_VALUE"""),"")</f>
        <v/>
      </c>
      <c r="I861" s="259" t="str">
        <f>IFERROR(__xludf.DUMMYFUNCTION("""COMPUTED_VALUE"""),"")</f>
        <v/>
      </c>
      <c r="J861" s="250" t="str">
        <f t="shared" si="2"/>
        <v/>
      </c>
      <c r="K861" s="317" t="str">
        <f>IFERROR(__xludf.DUMMYFUNCTION("""COMPUTED_VALUE"""),"")</f>
        <v/>
      </c>
      <c r="L861" s="318" t="str">
        <f>IFERROR(__xludf.DUMMYFUNCTION("""COMPUTED_VALUE"""),"")</f>
        <v/>
      </c>
      <c r="M861" s="253" t="str">
        <f t="shared" si="3"/>
        <v/>
      </c>
      <c r="N861" s="319" t="str">
        <f>IFERROR(__xludf.DUMMYFUNCTION("""COMPUTED_VALUE"""),"")</f>
        <v/>
      </c>
      <c r="O861" s="257" t="str">
        <f>IFERROR(__xludf.DUMMYFUNCTION("""COMPUTED_VALUE"""),"")</f>
        <v/>
      </c>
      <c r="P861" s="247" t="str">
        <f t="shared" si="4"/>
        <v/>
      </c>
      <c r="Q861" s="320" t="str">
        <f>IFERROR(__xludf.DUMMYFUNCTION("""COMPUTED_VALUE"""),"")</f>
        <v/>
      </c>
      <c r="R861" s="259" t="str">
        <f>IFERROR(__xludf.DUMMYFUNCTION("""COMPUTED_VALUE"""),"")</f>
        <v/>
      </c>
      <c r="S861" s="250" t="str">
        <f t="shared" si="5"/>
        <v/>
      </c>
      <c r="T861" s="254" t="str">
        <f>IFERROR(__xludf.DUMMYFUNCTION("""COMPUTED_VALUE"""),"")</f>
        <v/>
      </c>
      <c r="U861" s="246" t="str">
        <f>IFERROR(__xludf.DUMMYFUNCTION("""COMPUTED_VALUE"""),"")</f>
        <v/>
      </c>
      <c r="V861" s="247" t="str">
        <f t="shared" si="6"/>
        <v/>
      </c>
      <c r="W861" s="255" t="str">
        <f>IFERROR(__xludf.DUMMYFUNCTION("""COMPUTED_VALUE"""),"")</f>
        <v/>
      </c>
      <c r="X861" s="249" t="str">
        <f>IFERROR(__xludf.DUMMYFUNCTION("""COMPUTED_VALUE"""),"")</f>
        <v/>
      </c>
      <c r="Y861" s="250" t="str">
        <f t="shared" si="7"/>
        <v/>
      </c>
    </row>
    <row r="862">
      <c r="A862" s="136" t="s">
        <v>133</v>
      </c>
      <c r="B862" s="136"/>
      <c r="C862" s="136" t="s">
        <v>133</v>
      </c>
      <c r="D862" s="136"/>
      <c r="E862" s="256" t="str">
        <f>IFERROR(__xludf.DUMMYFUNCTION("""COMPUTED_VALUE"""),"")</f>
        <v/>
      </c>
      <c r="F862" s="257" t="str">
        <f>IFERROR(__xludf.DUMMYFUNCTION("""COMPUTED_VALUE"""),"")</f>
        <v/>
      </c>
      <c r="G862" s="247" t="str">
        <f t="shared" si="1"/>
        <v/>
      </c>
      <c r="H862" s="258" t="str">
        <f>IFERROR(__xludf.DUMMYFUNCTION("""COMPUTED_VALUE"""),"")</f>
        <v/>
      </c>
      <c r="I862" s="259" t="str">
        <f>IFERROR(__xludf.DUMMYFUNCTION("""COMPUTED_VALUE"""),"")</f>
        <v/>
      </c>
      <c r="J862" s="250" t="str">
        <f t="shared" si="2"/>
        <v/>
      </c>
      <c r="K862" s="317" t="str">
        <f>IFERROR(__xludf.DUMMYFUNCTION("""COMPUTED_VALUE"""),"")</f>
        <v/>
      </c>
      <c r="L862" s="318" t="str">
        <f>IFERROR(__xludf.DUMMYFUNCTION("""COMPUTED_VALUE"""),"")</f>
        <v/>
      </c>
      <c r="M862" s="253" t="str">
        <f t="shared" si="3"/>
        <v/>
      </c>
      <c r="N862" s="319" t="str">
        <f>IFERROR(__xludf.DUMMYFUNCTION("""COMPUTED_VALUE"""),"")</f>
        <v/>
      </c>
      <c r="O862" s="257" t="str">
        <f>IFERROR(__xludf.DUMMYFUNCTION("""COMPUTED_VALUE"""),"")</f>
        <v/>
      </c>
      <c r="P862" s="247" t="str">
        <f t="shared" si="4"/>
        <v/>
      </c>
      <c r="Q862" s="320" t="str">
        <f>IFERROR(__xludf.DUMMYFUNCTION("""COMPUTED_VALUE"""),"")</f>
        <v/>
      </c>
      <c r="R862" s="259" t="str">
        <f>IFERROR(__xludf.DUMMYFUNCTION("""COMPUTED_VALUE"""),"")</f>
        <v/>
      </c>
      <c r="S862" s="250" t="str">
        <f t="shared" si="5"/>
        <v/>
      </c>
      <c r="T862" s="254" t="str">
        <f>IFERROR(__xludf.DUMMYFUNCTION("""COMPUTED_VALUE"""),"")</f>
        <v/>
      </c>
      <c r="U862" s="246" t="str">
        <f>IFERROR(__xludf.DUMMYFUNCTION("""COMPUTED_VALUE"""),"")</f>
        <v/>
      </c>
      <c r="V862" s="247" t="str">
        <f t="shared" si="6"/>
        <v/>
      </c>
      <c r="W862" s="255" t="str">
        <f>IFERROR(__xludf.DUMMYFUNCTION("""COMPUTED_VALUE"""),"")</f>
        <v/>
      </c>
      <c r="X862" s="249" t="str">
        <f>IFERROR(__xludf.DUMMYFUNCTION("""COMPUTED_VALUE"""),"")</f>
        <v/>
      </c>
      <c r="Y862" s="250" t="str">
        <f t="shared" si="7"/>
        <v/>
      </c>
    </row>
    <row r="863">
      <c r="A863" s="136" t="s">
        <v>133</v>
      </c>
      <c r="B863" s="136"/>
      <c r="C863" s="136" t="s">
        <v>133</v>
      </c>
      <c r="D863" s="136"/>
      <c r="E863" s="256" t="str">
        <f>IFERROR(__xludf.DUMMYFUNCTION("""COMPUTED_VALUE"""),"")</f>
        <v/>
      </c>
      <c r="F863" s="257" t="str">
        <f>IFERROR(__xludf.DUMMYFUNCTION("""COMPUTED_VALUE"""),"")</f>
        <v/>
      </c>
      <c r="G863" s="247" t="str">
        <f t="shared" si="1"/>
        <v/>
      </c>
      <c r="H863" s="258" t="str">
        <f>IFERROR(__xludf.DUMMYFUNCTION("""COMPUTED_VALUE"""),"")</f>
        <v/>
      </c>
      <c r="I863" s="259" t="str">
        <f>IFERROR(__xludf.DUMMYFUNCTION("""COMPUTED_VALUE"""),"")</f>
        <v/>
      </c>
      <c r="J863" s="250" t="str">
        <f t="shared" si="2"/>
        <v/>
      </c>
      <c r="K863" s="317" t="str">
        <f>IFERROR(__xludf.DUMMYFUNCTION("""COMPUTED_VALUE"""),"")</f>
        <v/>
      </c>
      <c r="L863" s="318" t="str">
        <f>IFERROR(__xludf.DUMMYFUNCTION("""COMPUTED_VALUE"""),"")</f>
        <v/>
      </c>
      <c r="M863" s="253" t="str">
        <f t="shared" si="3"/>
        <v/>
      </c>
      <c r="N863" s="319" t="str">
        <f>IFERROR(__xludf.DUMMYFUNCTION("""COMPUTED_VALUE"""),"")</f>
        <v/>
      </c>
      <c r="O863" s="257" t="str">
        <f>IFERROR(__xludf.DUMMYFUNCTION("""COMPUTED_VALUE"""),"")</f>
        <v/>
      </c>
      <c r="P863" s="247" t="str">
        <f t="shared" si="4"/>
        <v/>
      </c>
      <c r="Q863" s="320" t="str">
        <f>IFERROR(__xludf.DUMMYFUNCTION("""COMPUTED_VALUE"""),"")</f>
        <v/>
      </c>
      <c r="R863" s="259" t="str">
        <f>IFERROR(__xludf.DUMMYFUNCTION("""COMPUTED_VALUE"""),"")</f>
        <v/>
      </c>
      <c r="S863" s="250" t="str">
        <f t="shared" si="5"/>
        <v/>
      </c>
      <c r="T863" s="254" t="str">
        <f>IFERROR(__xludf.DUMMYFUNCTION("""COMPUTED_VALUE"""),"")</f>
        <v/>
      </c>
      <c r="U863" s="246" t="str">
        <f>IFERROR(__xludf.DUMMYFUNCTION("""COMPUTED_VALUE"""),"")</f>
        <v/>
      </c>
      <c r="V863" s="247" t="str">
        <f t="shared" si="6"/>
        <v/>
      </c>
      <c r="W863" s="255" t="str">
        <f>IFERROR(__xludf.DUMMYFUNCTION("""COMPUTED_VALUE"""),"")</f>
        <v/>
      </c>
      <c r="X863" s="249" t="str">
        <f>IFERROR(__xludf.DUMMYFUNCTION("""COMPUTED_VALUE"""),"")</f>
        <v/>
      </c>
      <c r="Y863" s="250" t="str">
        <f t="shared" si="7"/>
        <v/>
      </c>
    </row>
    <row r="864">
      <c r="A864" s="136" t="s">
        <v>133</v>
      </c>
      <c r="B864" s="136"/>
      <c r="C864" s="136" t="s">
        <v>133</v>
      </c>
      <c r="D864" s="136"/>
      <c r="E864" s="256" t="str">
        <f>IFERROR(__xludf.DUMMYFUNCTION("""COMPUTED_VALUE"""),"")</f>
        <v/>
      </c>
      <c r="F864" s="257" t="str">
        <f>IFERROR(__xludf.DUMMYFUNCTION("""COMPUTED_VALUE"""),"")</f>
        <v/>
      </c>
      <c r="G864" s="247" t="str">
        <f t="shared" si="1"/>
        <v/>
      </c>
      <c r="H864" s="258" t="str">
        <f>IFERROR(__xludf.DUMMYFUNCTION("""COMPUTED_VALUE"""),"")</f>
        <v/>
      </c>
      <c r="I864" s="259" t="str">
        <f>IFERROR(__xludf.DUMMYFUNCTION("""COMPUTED_VALUE"""),"")</f>
        <v/>
      </c>
      <c r="J864" s="250" t="str">
        <f t="shared" si="2"/>
        <v/>
      </c>
      <c r="K864" s="317" t="str">
        <f>IFERROR(__xludf.DUMMYFUNCTION("""COMPUTED_VALUE"""),"")</f>
        <v/>
      </c>
      <c r="L864" s="318" t="str">
        <f>IFERROR(__xludf.DUMMYFUNCTION("""COMPUTED_VALUE"""),"")</f>
        <v/>
      </c>
      <c r="M864" s="253" t="str">
        <f t="shared" si="3"/>
        <v/>
      </c>
      <c r="N864" s="319" t="str">
        <f>IFERROR(__xludf.DUMMYFUNCTION("""COMPUTED_VALUE"""),"")</f>
        <v/>
      </c>
      <c r="O864" s="257" t="str">
        <f>IFERROR(__xludf.DUMMYFUNCTION("""COMPUTED_VALUE"""),"")</f>
        <v/>
      </c>
      <c r="P864" s="247" t="str">
        <f t="shared" si="4"/>
        <v/>
      </c>
      <c r="Q864" s="320" t="str">
        <f>IFERROR(__xludf.DUMMYFUNCTION("""COMPUTED_VALUE"""),"")</f>
        <v/>
      </c>
      <c r="R864" s="259" t="str">
        <f>IFERROR(__xludf.DUMMYFUNCTION("""COMPUTED_VALUE"""),"")</f>
        <v/>
      </c>
      <c r="S864" s="250" t="str">
        <f t="shared" si="5"/>
        <v/>
      </c>
      <c r="T864" s="254" t="str">
        <f>IFERROR(__xludf.DUMMYFUNCTION("""COMPUTED_VALUE"""),"")</f>
        <v/>
      </c>
      <c r="U864" s="246" t="str">
        <f>IFERROR(__xludf.DUMMYFUNCTION("""COMPUTED_VALUE"""),"")</f>
        <v/>
      </c>
      <c r="V864" s="247" t="str">
        <f t="shared" si="6"/>
        <v/>
      </c>
      <c r="W864" s="255" t="str">
        <f>IFERROR(__xludf.DUMMYFUNCTION("""COMPUTED_VALUE"""),"")</f>
        <v/>
      </c>
      <c r="X864" s="249" t="str">
        <f>IFERROR(__xludf.DUMMYFUNCTION("""COMPUTED_VALUE"""),"")</f>
        <v/>
      </c>
      <c r="Y864" s="250" t="str">
        <f t="shared" si="7"/>
        <v/>
      </c>
    </row>
    <row r="865">
      <c r="A865" s="136" t="s">
        <v>133</v>
      </c>
      <c r="B865" s="136"/>
      <c r="C865" s="136" t="s">
        <v>133</v>
      </c>
      <c r="D865" s="136"/>
      <c r="E865" s="256" t="str">
        <f>IFERROR(__xludf.DUMMYFUNCTION("""COMPUTED_VALUE"""),"")</f>
        <v/>
      </c>
      <c r="F865" s="257" t="str">
        <f>IFERROR(__xludf.DUMMYFUNCTION("""COMPUTED_VALUE"""),"")</f>
        <v/>
      </c>
      <c r="G865" s="247" t="str">
        <f t="shared" si="1"/>
        <v/>
      </c>
      <c r="H865" s="258" t="str">
        <f>IFERROR(__xludf.DUMMYFUNCTION("""COMPUTED_VALUE"""),"")</f>
        <v/>
      </c>
      <c r="I865" s="259" t="str">
        <f>IFERROR(__xludf.DUMMYFUNCTION("""COMPUTED_VALUE"""),"")</f>
        <v/>
      </c>
      <c r="J865" s="250" t="str">
        <f t="shared" si="2"/>
        <v/>
      </c>
      <c r="K865" s="317" t="str">
        <f>IFERROR(__xludf.DUMMYFUNCTION("""COMPUTED_VALUE"""),"")</f>
        <v/>
      </c>
      <c r="L865" s="318" t="str">
        <f>IFERROR(__xludf.DUMMYFUNCTION("""COMPUTED_VALUE"""),"")</f>
        <v/>
      </c>
      <c r="M865" s="253" t="str">
        <f t="shared" si="3"/>
        <v/>
      </c>
      <c r="N865" s="319" t="str">
        <f>IFERROR(__xludf.DUMMYFUNCTION("""COMPUTED_VALUE"""),"")</f>
        <v/>
      </c>
      <c r="O865" s="257" t="str">
        <f>IFERROR(__xludf.DUMMYFUNCTION("""COMPUTED_VALUE"""),"")</f>
        <v/>
      </c>
      <c r="P865" s="247" t="str">
        <f t="shared" si="4"/>
        <v/>
      </c>
      <c r="Q865" s="320" t="str">
        <f>IFERROR(__xludf.DUMMYFUNCTION("""COMPUTED_VALUE"""),"")</f>
        <v/>
      </c>
      <c r="R865" s="259" t="str">
        <f>IFERROR(__xludf.DUMMYFUNCTION("""COMPUTED_VALUE"""),"")</f>
        <v/>
      </c>
      <c r="S865" s="250" t="str">
        <f t="shared" si="5"/>
        <v/>
      </c>
      <c r="T865" s="254" t="str">
        <f>IFERROR(__xludf.DUMMYFUNCTION("""COMPUTED_VALUE"""),"")</f>
        <v/>
      </c>
      <c r="U865" s="246" t="str">
        <f>IFERROR(__xludf.DUMMYFUNCTION("""COMPUTED_VALUE"""),"")</f>
        <v/>
      </c>
      <c r="V865" s="247" t="str">
        <f t="shared" si="6"/>
        <v/>
      </c>
      <c r="W865" s="255" t="str">
        <f>IFERROR(__xludf.DUMMYFUNCTION("""COMPUTED_VALUE"""),"")</f>
        <v/>
      </c>
      <c r="X865" s="249" t="str">
        <f>IFERROR(__xludf.DUMMYFUNCTION("""COMPUTED_VALUE"""),"")</f>
        <v/>
      </c>
      <c r="Y865" s="250" t="str">
        <f t="shared" si="7"/>
        <v/>
      </c>
    </row>
    <row r="866">
      <c r="A866" s="136" t="s">
        <v>133</v>
      </c>
      <c r="B866" s="136"/>
      <c r="C866" s="136" t="s">
        <v>133</v>
      </c>
      <c r="D866" s="136"/>
      <c r="E866" s="256" t="str">
        <f>IFERROR(__xludf.DUMMYFUNCTION("""COMPUTED_VALUE"""),"")</f>
        <v/>
      </c>
      <c r="F866" s="257" t="str">
        <f>IFERROR(__xludf.DUMMYFUNCTION("""COMPUTED_VALUE"""),"")</f>
        <v/>
      </c>
      <c r="G866" s="247" t="str">
        <f t="shared" si="1"/>
        <v/>
      </c>
      <c r="H866" s="258" t="str">
        <f>IFERROR(__xludf.DUMMYFUNCTION("""COMPUTED_VALUE"""),"")</f>
        <v/>
      </c>
      <c r="I866" s="259" t="str">
        <f>IFERROR(__xludf.DUMMYFUNCTION("""COMPUTED_VALUE"""),"")</f>
        <v/>
      </c>
      <c r="J866" s="250" t="str">
        <f t="shared" si="2"/>
        <v/>
      </c>
      <c r="K866" s="317" t="str">
        <f>IFERROR(__xludf.DUMMYFUNCTION("""COMPUTED_VALUE"""),"")</f>
        <v/>
      </c>
      <c r="L866" s="318" t="str">
        <f>IFERROR(__xludf.DUMMYFUNCTION("""COMPUTED_VALUE"""),"")</f>
        <v/>
      </c>
      <c r="M866" s="253" t="str">
        <f t="shared" si="3"/>
        <v/>
      </c>
      <c r="N866" s="319" t="str">
        <f>IFERROR(__xludf.DUMMYFUNCTION("""COMPUTED_VALUE"""),"")</f>
        <v/>
      </c>
      <c r="O866" s="257" t="str">
        <f>IFERROR(__xludf.DUMMYFUNCTION("""COMPUTED_VALUE"""),"")</f>
        <v/>
      </c>
      <c r="P866" s="247" t="str">
        <f t="shared" si="4"/>
        <v/>
      </c>
      <c r="Q866" s="320" t="str">
        <f>IFERROR(__xludf.DUMMYFUNCTION("""COMPUTED_VALUE"""),"")</f>
        <v/>
      </c>
      <c r="R866" s="259" t="str">
        <f>IFERROR(__xludf.DUMMYFUNCTION("""COMPUTED_VALUE"""),"")</f>
        <v/>
      </c>
      <c r="S866" s="250" t="str">
        <f t="shared" si="5"/>
        <v/>
      </c>
      <c r="T866" s="254" t="str">
        <f>IFERROR(__xludf.DUMMYFUNCTION("""COMPUTED_VALUE"""),"")</f>
        <v/>
      </c>
      <c r="U866" s="246" t="str">
        <f>IFERROR(__xludf.DUMMYFUNCTION("""COMPUTED_VALUE"""),"")</f>
        <v/>
      </c>
      <c r="V866" s="247" t="str">
        <f t="shared" si="6"/>
        <v/>
      </c>
      <c r="W866" s="255" t="str">
        <f>IFERROR(__xludf.DUMMYFUNCTION("""COMPUTED_VALUE"""),"")</f>
        <v/>
      </c>
      <c r="X866" s="249" t="str">
        <f>IFERROR(__xludf.DUMMYFUNCTION("""COMPUTED_VALUE"""),"")</f>
        <v/>
      </c>
      <c r="Y866" s="250" t="str">
        <f t="shared" si="7"/>
        <v/>
      </c>
    </row>
    <row r="867">
      <c r="A867" s="136" t="s">
        <v>133</v>
      </c>
      <c r="B867" s="136"/>
      <c r="C867" s="136" t="s">
        <v>133</v>
      </c>
      <c r="D867" s="136"/>
      <c r="E867" s="256" t="str">
        <f>IFERROR(__xludf.DUMMYFUNCTION("""COMPUTED_VALUE"""),"")</f>
        <v/>
      </c>
      <c r="F867" s="257" t="str">
        <f>IFERROR(__xludf.DUMMYFUNCTION("""COMPUTED_VALUE"""),"")</f>
        <v/>
      </c>
      <c r="G867" s="247" t="str">
        <f t="shared" si="1"/>
        <v/>
      </c>
      <c r="H867" s="258" t="str">
        <f>IFERROR(__xludf.DUMMYFUNCTION("""COMPUTED_VALUE"""),"")</f>
        <v/>
      </c>
      <c r="I867" s="259" t="str">
        <f>IFERROR(__xludf.DUMMYFUNCTION("""COMPUTED_VALUE"""),"")</f>
        <v/>
      </c>
      <c r="J867" s="250" t="str">
        <f t="shared" si="2"/>
        <v/>
      </c>
      <c r="K867" s="317" t="str">
        <f>IFERROR(__xludf.DUMMYFUNCTION("""COMPUTED_VALUE"""),"")</f>
        <v/>
      </c>
      <c r="L867" s="318" t="str">
        <f>IFERROR(__xludf.DUMMYFUNCTION("""COMPUTED_VALUE"""),"")</f>
        <v/>
      </c>
      <c r="M867" s="253" t="str">
        <f t="shared" si="3"/>
        <v/>
      </c>
      <c r="N867" s="319" t="str">
        <f>IFERROR(__xludf.DUMMYFUNCTION("""COMPUTED_VALUE"""),"")</f>
        <v/>
      </c>
      <c r="O867" s="257" t="str">
        <f>IFERROR(__xludf.DUMMYFUNCTION("""COMPUTED_VALUE"""),"")</f>
        <v/>
      </c>
      <c r="P867" s="247" t="str">
        <f t="shared" si="4"/>
        <v/>
      </c>
      <c r="Q867" s="320" t="str">
        <f>IFERROR(__xludf.DUMMYFUNCTION("""COMPUTED_VALUE"""),"")</f>
        <v/>
      </c>
      <c r="R867" s="259" t="str">
        <f>IFERROR(__xludf.DUMMYFUNCTION("""COMPUTED_VALUE"""),"")</f>
        <v/>
      </c>
      <c r="S867" s="250" t="str">
        <f t="shared" si="5"/>
        <v/>
      </c>
      <c r="T867" s="254" t="str">
        <f>IFERROR(__xludf.DUMMYFUNCTION("""COMPUTED_VALUE"""),"")</f>
        <v/>
      </c>
      <c r="U867" s="246" t="str">
        <f>IFERROR(__xludf.DUMMYFUNCTION("""COMPUTED_VALUE"""),"")</f>
        <v/>
      </c>
      <c r="V867" s="247" t="str">
        <f t="shared" si="6"/>
        <v/>
      </c>
      <c r="W867" s="255" t="str">
        <f>IFERROR(__xludf.DUMMYFUNCTION("""COMPUTED_VALUE"""),"")</f>
        <v/>
      </c>
      <c r="X867" s="249" t="str">
        <f>IFERROR(__xludf.DUMMYFUNCTION("""COMPUTED_VALUE"""),"")</f>
        <v/>
      </c>
      <c r="Y867" s="250" t="str">
        <f t="shared" si="7"/>
        <v/>
      </c>
    </row>
    <row r="868">
      <c r="A868" s="136" t="s">
        <v>133</v>
      </c>
      <c r="B868" s="136"/>
      <c r="C868" s="136" t="s">
        <v>133</v>
      </c>
      <c r="D868" s="136"/>
      <c r="E868" s="256" t="str">
        <f>IFERROR(__xludf.DUMMYFUNCTION("""COMPUTED_VALUE"""),"")</f>
        <v/>
      </c>
      <c r="F868" s="257" t="str">
        <f>IFERROR(__xludf.DUMMYFUNCTION("""COMPUTED_VALUE"""),"")</f>
        <v/>
      </c>
      <c r="G868" s="247" t="str">
        <f t="shared" si="1"/>
        <v/>
      </c>
      <c r="H868" s="258" t="str">
        <f>IFERROR(__xludf.DUMMYFUNCTION("""COMPUTED_VALUE"""),"")</f>
        <v/>
      </c>
      <c r="I868" s="259" t="str">
        <f>IFERROR(__xludf.DUMMYFUNCTION("""COMPUTED_VALUE"""),"")</f>
        <v/>
      </c>
      <c r="J868" s="250" t="str">
        <f t="shared" si="2"/>
        <v/>
      </c>
      <c r="K868" s="317" t="str">
        <f>IFERROR(__xludf.DUMMYFUNCTION("""COMPUTED_VALUE"""),"")</f>
        <v/>
      </c>
      <c r="L868" s="318" t="str">
        <f>IFERROR(__xludf.DUMMYFUNCTION("""COMPUTED_VALUE"""),"")</f>
        <v/>
      </c>
      <c r="M868" s="253" t="str">
        <f t="shared" si="3"/>
        <v/>
      </c>
      <c r="N868" s="319" t="str">
        <f>IFERROR(__xludf.DUMMYFUNCTION("""COMPUTED_VALUE"""),"")</f>
        <v/>
      </c>
      <c r="O868" s="257" t="str">
        <f>IFERROR(__xludf.DUMMYFUNCTION("""COMPUTED_VALUE"""),"")</f>
        <v/>
      </c>
      <c r="P868" s="247" t="str">
        <f t="shared" si="4"/>
        <v/>
      </c>
      <c r="Q868" s="320" t="str">
        <f>IFERROR(__xludf.DUMMYFUNCTION("""COMPUTED_VALUE"""),"")</f>
        <v/>
      </c>
      <c r="R868" s="259" t="str">
        <f>IFERROR(__xludf.DUMMYFUNCTION("""COMPUTED_VALUE"""),"")</f>
        <v/>
      </c>
      <c r="S868" s="250" t="str">
        <f t="shared" si="5"/>
        <v/>
      </c>
      <c r="T868" s="254" t="str">
        <f>IFERROR(__xludf.DUMMYFUNCTION("""COMPUTED_VALUE"""),"")</f>
        <v/>
      </c>
      <c r="U868" s="246" t="str">
        <f>IFERROR(__xludf.DUMMYFUNCTION("""COMPUTED_VALUE"""),"")</f>
        <v/>
      </c>
      <c r="V868" s="247" t="str">
        <f t="shared" si="6"/>
        <v/>
      </c>
      <c r="W868" s="255" t="str">
        <f>IFERROR(__xludf.DUMMYFUNCTION("""COMPUTED_VALUE"""),"")</f>
        <v/>
      </c>
      <c r="X868" s="249" t="str">
        <f>IFERROR(__xludf.DUMMYFUNCTION("""COMPUTED_VALUE"""),"")</f>
        <v/>
      </c>
      <c r="Y868" s="250" t="str">
        <f t="shared" si="7"/>
        <v/>
      </c>
    </row>
    <row r="869">
      <c r="A869" s="136" t="s">
        <v>133</v>
      </c>
      <c r="B869" s="136"/>
      <c r="C869" s="136" t="s">
        <v>133</v>
      </c>
      <c r="D869" s="136"/>
      <c r="E869" s="256" t="str">
        <f>IFERROR(__xludf.DUMMYFUNCTION("""COMPUTED_VALUE"""),"")</f>
        <v/>
      </c>
      <c r="F869" s="257" t="str">
        <f>IFERROR(__xludf.DUMMYFUNCTION("""COMPUTED_VALUE"""),"")</f>
        <v/>
      </c>
      <c r="G869" s="247" t="str">
        <f t="shared" si="1"/>
        <v/>
      </c>
      <c r="H869" s="258" t="str">
        <f>IFERROR(__xludf.DUMMYFUNCTION("""COMPUTED_VALUE"""),"")</f>
        <v/>
      </c>
      <c r="I869" s="259" t="str">
        <f>IFERROR(__xludf.DUMMYFUNCTION("""COMPUTED_VALUE"""),"")</f>
        <v/>
      </c>
      <c r="J869" s="250" t="str">
        <f t="shared" si="2"/>
        <v/>
      </c>
      <c r="K869" s="317" t="str">
        <f>IFERROR(__xludf.DUMMYFUNCTION("""COMPUTED_VALUE"""),"")</f>
        <v/>
      </c>
      <c r="L869" s="318" t="str">
        <f>IFERROR(__xludf.DUMMYFUNCTION("""COMPUTED_VALUE"""),"")</f>
        <v/>
      </c>
      <c r="M869" s="253" t="str">
        <f t="shared" si="3"/>
        <v/>
      </c>
      <c r="N869" s="319" t="str">
        <f>IFERROR(__xludf.DUMMYFUNCTION("""COMPUTED_VALUE"""),"")</f>
        <v/>
      </c>
      <c r="O869" s="257" t="str">
        <f>IFERROR(__xludf.DUMMYFUNCTION("""COMPUTED_VALUE"""),"")</f>
        <v/>
      </c>
      <c r="P869" s="247" t="str">
        <f t="shared" si="4"/>
        <v/>
      </c>
      <c r="Q869" s="320" t="str">
        <f>IFERROR(__xludf.DUMMYFUNCTION("""COMPUTED_VALUE"""),"")</f>
        <v/>
      </c>
      <c r="R869" s="259" t="str">
        <f>IFERROR(__xludf.DUMMYFUNCTION("""COMPUTED_VALUE"""),"")</f>
        <v/>
      </c>
      <c r="S869" s="250" t="str">
        <f t="shared" si="5"/>
        <v/>
      </c>
      <c r="T869" s="254" t="str">
        <f>IFERROR(__xludf.DUMMYFUNCTION("""COMPUTED_VALUE"""),"")</f>
        <v/>
      </c>
      <c r="U869" s="246" t="str">
        <f>IFERROR(__xludf.DUMMYFUNCTION("""COMPUTED_VALUE"""),"")</f>
        <v/>
      </c>
      <c r="V869" s="247" t="str">
        <f t="shared" si="6"/>
        <v/>
      </c>
      <c r="W869" s="255" t="str">
        <f>IFERROR(__xludf.DUMMYFUNCTION("""COMPUTED_VALUE"""),"")</f>
        <v/>
      </c>
      <c r="X869" s="249" t="str">
        <f>IFERROR(__xludf.DUMMYFUNCTION("""COMPUTED_VALUE"""),"")</f>
        <v/>
      </c>
      <c r="Y869" s="250" t="str">
        <f t="shared" si="7"/>
        <v/>
      </c>
    </row>
    <row r="870">
      <c r="A870" s="136" t="s">
        <v>133</v>
      </c>
      <c r="B870" s="136"/>
      <c r="C870" s="136" t="s">
        <v>133</v>
      </c>
      <c r="D870" s="136"/>
      <c r="E870" s="256" t="str">
        <f>IFERROR(__xludf.DUMMYFUNCTION("""COMPUTED_VALUE"""),"")</f>
        <v/>
      </c>
      <c r="F870" s="257" t="str">
        <f>IFERROR(__xludf.DUMMYFUNCTION("""COMPUTED_VALUE"""),"")</f>
        <v/>
      </c>
      <c r="G870" s="247" t="str">
        <f t="shared" si="1"/>
        <v/>
      </c>
      <c r="H870" s="258" t="str">
        <f>IFERROR(__xludf.DUMMYFUNCTION("""COMPUTED_VALUE"""),"")</f>
        <v/>
      </c>
      <c r="I870" s="259" t="str">
        <f>IFERROR(__xludf.DUMMYFUNCTION("""COMPUTED_VALUE"""),"")</f>
        <v/>
      </c>
      <c r="J870" s="250" t="str">
        <f t="shared" si="2"/>
        <v/>
      </c>
      <c r="K870" s="317" t="str">
        <f>IFERROR(__xludf.DUMMYFUNCTION("""COMPUTED_VALUE"""),"")</f>
        <v/>
      </c>
      <c r="L870" s="318" t="str">
        <f>IFERROR(__xludf.DUMMYFUNCTION("""COMPUTED_VALUE"""),"")</f>
        <v/>
      </c>
      <c r="M870" s="253" t="str">
        <f t="shared" si="3"/>
        <v/>
      </c>
      <c r="N870" s="319" t="str">
        <f>IFERROR(__xludf.DUMMYFUNCTION("""COMPUTED_VALUE"""),"")</f>
        <v/>
      </c>
      <c r="O870" s="257" t="str">
        <f>IFERROR(__xludf.DUMMYFUNCTION("""COMPUTED_VALUE"""),"")</f>
        <v/>
      </c>
      <c r="P870" s="247" t="str">
        <f t="shared" si="4"/>
        <v/>
      </c>
      <c r="Q870" s="320" t="str">
        <f>IFERROR(__xludf.DUMMYFUNCTION("""COMPUTED_VALUE"""),"")</f>
        <v/>
      </c>
      <c r="R870" s="259" t="str">
        <f>IFERROR(__xludf.DUMMYFUNCTION("""COMPUTED_VALUE"""),"")</f>
        <v/>
      </c>
      <c r="S870" s="250" t="str">
        <f t="shared" si="5"/>
        <v/>
      </c>
      <c r="T870" s="254" t="str">
        <f>IFERROR(__xludf.DUMMYFUNCTION("""COMPUTED_VALUE"""),"")</f>
        <v/>
      </c>
      <c r="U870" s="246" t="str">
        <f>IFERROR(__xludf.DUMMYFUNCTION("""COMPUTED_VALUE"""),"")</f>
        <v/>
      </c>
      <c r="V870" s="247" t="str">
        <f t="shared" si="6"/>
        <v/>
      </c>
      <c r="W870" s="255" t="str">
        <f>IFERROR(__xludf.DUMMYFUNCTION("""COMPUTED_VALUE"""),"")</f>
        <v/>
      </c>
      <c r="X870" s="249" t="str">
        <f>IFERROR(__xludf.DUMMYFUNCTION("""COMPUTED_VALUE"""),"")</f>
        <v/>
      </c>
      <c r="Y870" s="250" t="str">
        <f t="shared" si="7"/>
        <v/>
      </c>
    </row>
    <row r="871">
      <c r="A871" s="136" t="s">
        <v>133</v>
      </c>
      <c r="B871" s="136"/>
      <c r="C871" s="136" t="s">
        <v>133</v>
      </c>
      <c r="D871" s="136"/>
      <c r="E871" s="256" t="str">
        <f>IFERROR(__xludf.DUMMYFUNCTION("""COMPUTED_VALUE"""),"")</f>
        <v/>
      </c>
      <c r="F871" s="257" t="str">
        <f>IFERROR(__xludf.DUMMYFUNCTION("""COMPUTED_VALUE"""),"")</f>
        <v/>
      </c>
      <c r="G871" s="247" t="str">
        <f t="shared" si="1"/>
        <v/>
      </c>
      <c r="H871" s="258" t="str">
        <f>IFERROR(__xludf.DUMMYFUNCTION("""COMPUTED_VALUE"""),"")</f>
        <v/>
      </c>
      <c r="I871" s="259" t="str">
        <f>IFERROR(__xludf.DUMMYFUNCTION("""COMPUTED_VALUE"""),"")</f>
        <v/>
      </c>
      <c r="J871" s="250" t="str">
        <f t="shared" si="2"/>
        <v/>
      </c>
      <c r="K871" s="317" t="str">
        <f>IFERROR(__xludf.DUMMYFUNCTION("""COMPUTED_VALUE"""),"")</f>
        <v/>
      </c>
      <c r="L871" s="318" t="str">
        <f>IFERROR(__xludf.DUMMYFUNCTION("""COMPUTED_VALUE"""),"")</f>
        <v/>
      </c>
      <c r="M871" s="253" t="str">
        <f t="shared" si="3"/>
        <v/>
      </c>
      <c r="N871" s="319" t="str">
        <f>IFERROR(__xludf.DUMMYFUNCTION("""COMPUTED_VALUE"""),"")</f>
        <v/>
      </c>
      <c r="O871" s="257" t="str">
        <f>IFERROR(__xludf.DUMMYFUNCTION("""COMPUTED_VALUE"""),"")</f>
        <v/>
      </c>
      <c r="P871" s="247" t="str">
        <f t="shared" si="4"/>
        <v/>
      </c>
      <c r="Q871" s="320" t="str">
        <f>IFERROR(__xludf.DUMMYFUNCTION("""COMPUTED_VALUE"""),"")</f>
        <v/>
      </c>
      <c r="R871" s="259" t="str">
        <f>IFERROR(__xludf.DUMMYFUNCTION("""COMPUTED_VALUE"""),"")</f>
        <v/>
      </c>
      <c r="S871" s="250" t="str">
        <f t="shared" si="5"/>
        <v/>
      </c>
      <c r="T871" s="254" t="str">
        <f>IFERROR(__xludf.DUMMYFUNCTION("""COMPUTED_VALUE"""),"")</f>
        <v/>
      </c>
      <c r="U871" s="246" t="str">
        <f>IFERROR(__xludf.DUMMYFUNCTION("""COMPUTED_VALUE"""),"")</f>
        <v/>
      </c>
      <c r="V871" s="247" t="str">
        <f t="shared" si="6"/>
        <v/>
      </c>
      <c r="W871" s="255" t="str">
        <f>IFERROR(__xludf.DUMMYFUNCTION("""COMPUTED_VALUE"""),"")</f>
        <v/>
      </c>
      <c r="X871" s="249" t="str">
        <f>IFERROR(__xludf.DUMMYFUNCTION("""COMPUTED_VALUE"""),"")</f>
        <v/>
      </c>
      <c r="Y871" s="250" t="str">
        <f t="shared" si="7"/>
        <v/>
      </c>
    </row>
    <row r="872">
      <c r="A872" s="136" t="s">
        <v>133</v>
      </c>
      <c r="B872" s="136"/>
      <c r="C872" s="136" t="s">
        <v>133</v>
      </c>
      <c r="D872" s="136"/>
      <c r="E872" s="256" t="str">
        <f>IFERROR(__xludf.DUMMYFUNCTION("""COMPUTED_VALUE"""),"")</f>
        <v/>
      </c>
      <c r="F872" s="257" t="str">
        <f>IFERROR(__xludf.DUMMYFUNCTION("""COMPUTED_VALUE"""),"")</f>
        <v/>
      </c>
      <c r="G872" s="247" t="str">
        <f t="shared" si="1"/>
        <v/>
      </c>
      <c r="H872" s="258" t="str">
        <f>IFERROR(__xludf.DUMMYFUNCTION("""COMPUTED_VALUE"""),"")</f>
        <v/>
      </c>
      <c r="I872" s="259" t="str">
        <f>IFERROR(__xludf.DUMMYFUNCTION("""COMPUTED_VALUE"""),"")</f>
        <v/>
      </c>
      <c r="J872" s="250" t="str">
        <f t="shared" si="2"/>
        <v/>
      </c>
      <c r="K872" s="317" t="str">
        <f>IFERROR(__xludf.DUMMYFUNCTION("""COMPUTED_VALUE"""),"")</f>
        <v/>
      </c>
      <c r="L872" s="318" t="str">
        <f>IFERROR(__xludf.DUMMYFUNCTION("""COMPUTED_VALUE"""),"")</f>
        <v/>
      </c>
      <c r="M872" s="253" t="str">
        <f t="shared" si="3"/>
        <v/>
      </c>
      <c r="N872" s="319" t="str">
        <f>IFERROR(__xludf.DUMMYFUNCTION("""COMPUTED_VALUE"""),"")</f>
        <v/>
      </c>
      <c r="O872" s="257" t="str">
        <f>IFERROR(__xludf.DUMMYFUNCTION("""COMPUTED_VALUE"""),"")</f>
        <v/>
      </c>
      <c r="P872" s="247" t="str">
        <f t="shared" si="4"/>
        <v/>
      </c>
      <c r="Q872" s="320" t="str">
        <f>IFERROR(__xludf.DUMMYFUNCTION("""COMPUTED_VALUE"""),"")</f>
        <v/>
      </c>
      <c r="R872" s="259" t="str">
        <f>IFERROR(__xludf.DUMMYFUNCTION("""COMPUTED_VALUE"""),"")</f>
        <v/>
      </c>
      <c r="S872" s="250" t="str">
        <f t="shared" si="5"/>
        <v/>
      </c>
      <c r="T872" s="254" t="str">
        <f>IFERROR(__xludf.DUMMYFUNCTION("""COMPUTED_VALUE"""),"")</f>
        <v/>
      </c>
      <c r="U872" s="246" t="str">
        <f>IFERROR(__xludf.DUMMYFUNCTION("""COMPUTED_VALUE"""),"")</f>
        <v/>
      </c>
      <c r="V872" s="247" t="str">
        <f t="shared" si="6"/>
        <v/>
      </c>
      <c r="W872" s="255" t="str">
        <f>IFERROR(__xludf.DUMMYFUNCTION("""COMPUTED_VALUE"""),"")</f>
        <v/>
      </c>
      <c r="X872" s="249" t="str">
        <f>IFERROR(__xludf.DUMMYFUNCTION("""COMPUTED_VALUE"""),"")</f>
        <v/>
      </c>
      <c r="Y872" s="250" t="str">
        <f t="shared" si="7"/>
        <v/>
      </c>
    </row>
    <row r="873">
      <c r="A873" s="136" t="s">
        <v>133</v>
      </c>
      <c r="B873" s="136"/>
      <c r="C873" s="136" t="s">
        <v>133</v>
      </c>
      <c r="D873" s="136"/>
      <c r="E873" s="256" t="str">
        <f>IFERROR(__xludf.DUMMYFUNCTION("""COMPUTED_VALUE"""),"")</f>
        <v/>
      </c>
      <c r="F873" s="257" t="str">
        <f>IFERROR(__xludf.DUMMYFUNCTION("""COMPUTED_VALUE"""),"")</f>
        <v/>
      </c>
      <c r="G873" s="247" t="str">
        <f t="shared" si="1"/>
        <v/>
      </c>
      <c r="H873" s="258" t="str">
        <f>IFERROR(__xludf.DUMMYFUNCTION("""COMPUTED_VALUE"""),"")</f>
        <v/>
      </c>
      <c r="I873" s="259" t="str">
        <f>IFERROR(__xludf.DUMMYFUNCTION("""COMPUTED_VALUE"""),"")</f>
        <v/>
      </c>
      <c r="J873" s="250" t="str">
        <f t="shared" si="2"/>
        <v/>
      </c>
      <c r="K873" s="317" t="str">
        <f>IFERROR(__xludf.DUMMYFUNCTION("""COMPUTED_VALUE"""),"")</f>
        <v/>
      </c>
      <c r="L873" s="318" t="str">
        <f>IFERROR(__xludf.DUMMYFUNCTION("""COMPUTED_VALUE"""),"")</f>
        <v/>
      </c>
      <c r="M873" s="253" t="str">
        <f t="shared" si="3"/>
        <v/>
      </c>
      <c r="N873" s="319" t="str">
        <f>IFERROR(__xludf.DUMMYFUNCTION("""COMPUTED_VALUE"""),"")</f>
        <v/>
      </c>
      <c r="O873" s="257" t="str">
        <f>IFERROR(__xludf.DUMMYFUNCTION("""COMPUTED_VALUE"""),"")</f>
        <v/>
      </c>
      <c r="P873" s="247" t="str">
        <f t="shared" si="4"/>
        <v/>
      </c>
      <c r="Q873" s="320" t="str">
        <f>IFERROR(__xludf.DUMMYFUNCTION("""COMPUTED_VALUE"""),"")</f>
        <v/>
      </c>
      <c r="R873" s="259" t="str">
        <f>IFERROR(__xludf.DUMMYFUNCTION("""COMPUTED_VALUE"""),"")</f>
        <v/>
      </c>
      <c r="S873" s="250" t="str">
        <f t="shared" si="5"/>
        <v/>
      </c>
      <c r="T873" s="254" t="str">
        <f>IFERROR(__xludf.DUMMYFUNCTION("""COMPUTED_VALUE"""),"")</f>
        <v/>
      </c>
      <c r="U873" s="246" t="str">
        <f>IFERROR(__xludf.DUMMYFUNCTION("""COMPUTED_VALUE"""),"")</f>
        <v/>
      </c>
      <c r="V873" s="247" t="str">
        <f t="shared" si="6"/>
        <v/>
      </c>
      <c r="W873" s="255" t="str">
        <f>IFERROR(__xludf.DUMMYFUNCTION("""COMPUTED_VALUE"""),"")</f>
        <v/>
      </c>
      <c r="X873" s="249" t="str">
        <f>IFERROR(__xludf.DUMMYFUNCTION("""COMPUTED_VALUE"""),"")</f>
        <v/>
      </c>
      <c r="Y873" s="250" t="str">
        <f t="shared" si="7"/>
        <v/>
      </c>
    </row>
    <row r="874">
      <c r="A874" s="136" t="s">
        <v>133</v>
      </c>
      <c r="B874" s="136"/>
      <c r="C874" s="136" t="s">
        <v>133</v>
      </c>
      <c r="D874" s="136"/>
      <c r="E874" s="256" t="str">
        <f>IFERROR(__xludf.DUMMYFUNCTION("""COMPUTED_VALUE"""),"")</f>
        <v/>
      </c>
      <c r="F874" s="257" t="str">
        <f>IFERROR(__xludf.DUMMYFUNCTION("""COMPUTED_VALUE"""),"")</f>
        <v/>
      </c>
      <c r="G874" s="247" t="str">
        <f t="shared" si="1"/>
        <v/>
      </c>
      <c r="H874" s="258" t="str">
        <f>IFERROR(__xludf.DUMMYFUNCTION("""COMPUTED_VALUE"""),"")</f>
        <v/>
      </c>
      <c r="I874" s="259" t="str">
        <f>IFERROR(__xludf.DUMMYFUNCTION("""COMPUTED_VALUE"""),"")</f>
        <v/>
      </c>
      <c r="J874" s="250" t="str">
        <f t="shared" si="2"/>
        <v/>
      </c>
      <c r="K874" s="317" t="str">
        <f>IFERROR(__xludf.DUMMYFUNCTION("""COMPUTED_VALUE"""),"")</f>
        <v/>
      </c>
      <c r="L874" s="318" t="str">
        <f>IFERROR(__xludf.DUMMYFUNCTION("""COMPUTED_VALUE"""),"")</f>
        <v/>
      </c>
      <c r="M874" s="253" t="str">
        <f t="shared" si="3"/>
        <v/>
      </c>
      <c r="N874" s="319" t="str">
        <f>IFERROR(__xludf.DUMMYFUNCTION("""COMPUTED_VALUE"""),"")</f>
        <v/>
      </c>
      <c r="O874" s="257" t="str">
        <f>IFERROR(__xludf.DUMMYFUNCTION("""COMPUTED_VALUE"""),"")</f>
        <v/>
      </c>
      <c r="P874" s="247" t="str">
        <f t="shared" si="4"/>
        <v/>
      </c>
      <c r="Q874" s="320" t="str">
        <f>IFERROR(__xludf.DUMMYFUNCTION("""COMPUTED_VALUE"""),"")</f>
        <v/>
      </c>
      <c r="R874" s="259" t="str">
        <f>IFERROR(__xludf.DUMMYFUNCTION("""COMPUTED_VALUE"""),"")</f>
        <v/>
      </c>
      <c r="S874" s="250" t="str">
        <f t="shared" si="5"/>
        <v/>
      </c>
      <c r="T874" s="254" t="str">
        <f>IFERROR(__xludf.DUMMYFUNCTION("""COMPUTED_VALUE"""),"")</f>
        <v/>
      </c>
      <c r="U874" s="246" t="str">
        <f>IFERROR(__xludf.DUMMYFUNCTION("""COMPUTED_VALUE"""),"")</f>
        <v/>
      </c>
      <c r="V874" s="247" t="str">
        <f t="shared" si="6"/>
        <v/>
      </c>
      <c r="W874" s="255" t="str">
        <f>IFERROR(__xludf.DUMMYFUNCTION("""COMPUTED_VALUE"""),"")</f>
        <v/>
      </c>
      <c r="X874" s="249" t="str">
        <f>IFERROR(__xludf.DUMMYFUNCTION("""COMPUTED_VALUE"""),"")</f>
        <v/>
      </c>
      <c r="Y874" s="250" t="str">
        <f t="shared" si="7"/>
        <v/>
      </c>
    </row>
    <row r="875">
      <c r="A875" s="136" t="s">
        <v>133</v>
      </c>
      <c r="B875" s="136"/>
      <c r="C875" s="136" t="s">
        <v>133</v>
      </c>
      <c r="D875" s="136"/>
      <c r="E875" s="256" t="str">
        <f>IFERROR(__xludf.DUMMYFUNCTION("""COMPUTED_VALUE"""),"")</f>
        <v/>
      </c>
      <c r="F875" s="257" t="str">
        <f>IFERROR(__xludf.DUMMYFUNCTION("""COMPUTED_VALUE"""),"")</f>
        <v/>
      </c>
      <c r="G875" s="247" t="str">
        <f t="shared" si="1"/>
        <v/>
      </c>
      <c r="H875" s="258" t="str">
        <f>IFERROR(__xludf.DUMMYFUNCTION("""COMPUTED_VALUE"""),"")</f>
        <v/>
      </c>
      <c r="I875" s="259" t="str">
        <f>IFERROR(__xludf.DUMMYFUNCTION("""COMPUTED_VALUE"""),"")</f>
        <v/>
      </c>
      <c r="J875" s="250" t="str">
        <f t="shared" si="2"/>
        <v/>
      </c>
      <c r="K875" s="317" t="str">
        <f>IFERROR(__xludf.DUMMYFUNCTION("""COMPUTED_VALUE"""),"")</f>
        <v/>
      </c>
      <c r="L875" s="318" t="str">
        <f>IFERROR(__xludf.DUMMYFUNCTION("""COMPUTED_VALUE"""),"")</f>
        <v/>
      </c>
      <c r="M875" s="253" t="str">
        <f t="shared" si="3"/>
        <v/>
      </c>
      <c r="N875" s="319" t="str">
        <f>IFERROR(__xludf.DUMMYFUNCTION("""COMPUTED_VALUE"""),"")</f>
        <v/>
      </c>
      <c r="O875" s="257" t="str">
        <f>IFERROR(__xludf.DUMMYFUNCTION("""COMPUTED_VALUE"""),"")</f>
        <v/>
      </c>
      <c r="P875" s="247" t="str">
        <f t="shared" si="4"/>
        <v/>
      </c>
      <c r="Q875" s="320" t="str">
        <f>IFERROR(__xludf.DUMMYFUNCTION("""COMPUTED_VALUE"""),"")</f>
        <v/>
      </c>
      <c r="R875" s="259" t="str">
        <f>IFERROR(__xludf.DUMMYFUNCTION("""COMPUTED_VALUE"""),"")</f>
        <v/>
      </c>
      <c r="S875" s="250" t="str">
        <f t="shared" si="5"/>
        <v/>
      </c>
      <c r="T875" s="254" t="str">
        <f>IFERROR(__xludf.DUMMYFUNCTION("""COMPUTED_VALUE"""),"")</f>
        <v/>
      </c>
      <c r="U875" s="246" t="str">
        <f>IFERROR(__xludf.DUMMYFUNCTION("""COMPUTED_VALUE"""),"")</f>
        <v/>
      </c>
      <c r="V875" s="247" t="str">
        <f t="shared" si="6"/>
        <v/>
      </c>
      <c r="W875" s="255" t="str">
        <f>IFERROR(__xludf.DUMMYFUNCTION("""COMPUTED_VALUE"""),"")</f>
        <v/>
      </c>
      <c r="X875" s="249" t="str">
        <f>IFERROR(__xludf.DUMMYFUNCTION("""COMPUTED_VALUE"""),"")</f>
        <v/>
      </c>
      <c r="Y875" s="250" t="str">
        <f t="shared" si="7"/>
        <v/>
      </c>
    </row>
    <row r="876">
      <c r="A876" s="136" t="s">
        <v>133</v>
      </c>
      <c r="B876" s="136"/>
      <c r="C876" s="136" t="s">
        <v>133</v>
      </c>
      <c r="D876" s="136"/>
      <c r="E876" s="256" t="str">
        <f>IFERROR(__xludf.DUMMYFUNCTION("""COMPUTED_VALUE"""),"")</f>
        <v/>
      </c>
      <c r="F876" s="257" t="str">
        <f>IFERROR(__xludf.DUMMYFUNCTION("""COMPUTED_VALUE"""),"")</f>
        <v/>
      </c>
      <c r="G876" s="247" t="str">
        <f t="shared" si="1"/>
        <v/>
      </c>
      <c r="H876" s="258" t="str">
        <f>IFERROR(__xludf.DUMMYFUNCTION("""COMPUTED_VALUE"""),"")</f>
        <v/>
      </c>
      <c r="I876" s="259" t="str">
        <f>IFERROR(__xludf.DUMMYFUNCTION("""COMPUTED_VALUE"""),"")</f>
        <v/>
      </c>
      <c r="J876" s="250" t="str">
        <f t="shared" si="2"/>
        <v/>
      </c>
      <c r="K876" s="317" t="str">
        <f>IFERROR(__xludf.DUMMYFUNCTION("""COMPUTED_VALUE"""),"")</f>
        <v/>
      </c>
      <c r="L876" s="318" t="str">
        <f>IFERROR(__xludf.DUMMYFUNCTION("""COMPUTED_VALUE"""),"")</f>
        <v/>
      </c>
      <c r="M876" s="253" t="str">
        <f t="shared" si="3"/>
        <v/>
      </c>
      <c r="N876" s="319" t="str">
        <f>IFERROR(__xludf.DUMMYFUNCTION("""COMPUTED_VALUE"""),"")</f>
        <v/>
      </c>
      <c r="O876" s="257" t="str">
        <f>IFERROR(__xludf.DUMMYFUNCTION("""COMPUTED_VALUE"""),"")</f>
        <v/>
      </c>
      <c r="P876" s="247" t="str">
        <f t="shared" si="4"/>
        <v/>
      </c>
      <c r="Q876" s="320" t="str">
        <f>IFERROR(__xludf.DUMMYFUNCTION("""COMPUTED_VALUE"""),"")</f>
        <v/>
      </c>
      <c r="R876" s="259" t="str">
        <f>IFERROR(__xludf.DUMMYFUNCTION("""COMPUTED_VALUE"""),"")</f>
        <v/>
      </c>
      <c r="S876" s="250" t="str">
        <f t="shared" si="5"/>
        <v/>
      </c>
      <c r="T876" s="254" t="str">
        <f>IFERROR(__xludf.DUMMYFUNCTION("""COMPUTED_VALUE"""),"")</f>
        <v/>
      </c>
      <c r="U876" s="246" t="str">
        <f>IFERROR(__xludf.DUMMYFUNCTION("""COMPUTED_VALUE"""),"")</f>
        <v/>
      </c>
      <c r="V876" s="247" t="str">
        <f t="shared" si="6"/>
        <v/>
      </c>
      <c r="W876" s="255" t="str">
        <f>IFERROR(__xludf.DUMMYFUNCTION("""COMPUTED_VALUE"""),"")</f>
        <v/>
      </c>
      <c r="X876" s="249" t="str">
        <f>IFERROR(__xludf.DUMMYFUNCTION("""COMPUTED_VALUE"""),"")</f>
        <v/>
      </c>
      <c r="Y876" s="250" t="str">
        <f t="shared" si="7"/>
        <v/>
      </c>
    </row>
    <row r="877">
      <c r="A877" s="136" t="s">
        <v>133</v>
      </c>
      <c r="B877" s="136"/>
      <c r="C877" s="136" t="s">
        <v>133</v>
      </c>
      <c r="D877" s="136"/>
      <c r="E877" s="256" t="str">
        <f>IFERROR(__xludf.DUMMYFUNCTION("""COMPUTED_VALUE"""),"")</f>
        <v/>
      </c>
      <c r="F877" s="257" t="str">
        <f>IFERROR(__xludf.DUMMYFUNCTION("""COMPUTED_VALUE"""),"")</f>
        <v/>
      </c>
      <c r="G877" s="247" t="str">
        <f t="shared" si="1"/>
        <v/>
      </c>
      <c r="H877" s="258" t="str">
        <f>IFERROR(__xludf.DUMMYFUNCTION("""COMPUTED_VALUE"""),"")</f>
        <v/>
      </c>
      <c r="I877" s="259" t="str">
        <f>IFERROR(__xludf.DUMMYFUNCTION("""COMPUTED_VALUE"""),"")</f>
        <v/>
      </c>
      <c r="J877" s="250" t="str">
        <f t="shared" si="2"/>
        <v/>
      </c>
      <c r="K877" s="317" t="str">
        <f>IFERROR(__xludf.DUMMYFUNCTION("""COMPUTED_VALUE"""),"")</f>
        <v/>
      </c>
      <c r="L877" s="318" t="str">
        <f>IFERROR(__xludf.DUMMYFUNCTION("""COMPUTED_VALUE"""),"")</f>
        <v/>
      </c>
      <c r="M877" s="253" t="str">
        <f t="shared" si="3"/>
        <v/>
      </c>
      <c r="N877" s="319" t="str">
        <f>IFERROR(__xludf.DUMMYFUNCTION("""COMPUTED_VALUE"""),"")</f>
        <v/>
      </c>
      <c r="O877" s="257" t="str">
        <f>IFERROR(__xludf.DUMMYFUNCTION("""COMPUTED_VALUE"""),"")</f>
        <v/>
      </c>
      <c r="P877" s="247" t="str">
        <f t="shared" si="4"/>
        <v/>
      </c>
      <c r="Q877" s="320" t="str">
        <f>IFERROR(__xludf.DUMMYFUNCTION("""COMPUTED_VALUE"""),"")</f>
        <v/>
      </c>
      <c r="R877" s="259" t="str">
        <f>IFERROR(__xludf.DUMMYFUNCTION("""COMPUTED_VALUE"""),"")</f>
        <v/>
      </c>
      <c r="S877" s="250" t="str">
        <f t="shared" si="5"/>
        <v/>
      </c>
      <c r="T877" s="254" t="str">
        <f>IFERROR(__xludf.DUMMYFUNCTION("""COMPUTED_VALUE"""),"")</f>
        <v/>
      </c>
      <c r="U877" s="246" t="str">
        <f>IFERROR(__xludf.DUMMYFUNCTION("""COMPUTED_VALUE"""),"")</f>
        <v/>
      </c>
      <c r="V877" s="247" t="str">
        <f t="shared" si="6"/>
        <v/>
      </c>
      <c r="W877" s="255" t="str">
        <f>IFERROR(__xludf.DUMMYFUNCTION("""COMPUTED_VALUE"""),"")</f>
        <v/>
      </c>
      <c r="X877" s="249" t="str">
        <f>IFERROR(__xludf.DUMMYFUNCTION("""COMPUTED_VALUE"""),"")</f>
        <v/>
      </c>
      <c r="Y877" s="250" t="str">
        <f t="shared" si="7"/>
        <v/>
      </c>
    </row>
    <row r="878">
      <c r="A878" s="136" t="s">
        <v>133</v>
      </c>
      <c r="B878" s="136"/>
      <c r="C878" s="136" t="s">
        <v>133</v>
      </c>
      <c r="D878" s="136"/>
      <c r="E878" s="256" t="str">
        <f>IFERROR(__xludf.DUMMYFUNCTION("""COMPUTED_VALUE"""),"")</f>
        <v/>
      </c>
      <c r="F878" s="257" t="str">
        <f>IFERROR(__xludf.DUMMYFUNCTION("""COMPUTED_VALUE"""),"")</f>
        <v/>
      </c>
      <c r="G878" s="247" t="str">
        <f t="shared" si="1"/>
        <v/>
      </c>
      <c r="H878" s="258" t="str">
        <f>IFERROR(__xludf.DUMMYFUNCTION("""COMPUTED_VALUE"""),"")</f>
        <v/>
      </c>
      <c r="I878" s="259" t="str">
        <f>IFERROR(__xludf.DUMMYFUNCTION("""COMPUTED_VALUE"""),"")</f>
        <v/>
      </c>
      <c r="J878" s="250" t="str">
        <f t="shared" si="2"/>
        <v/>
      </c>
      <c r="K878" s="317" t="str">
        <f>IFERROR(__xludf.DUMMYFUNCTION("""COMPUTED_VALUE"""),"")</f>
        <v/>
      </c>
      <c r="L878" s="318" t="str">
        <f>IFERROR(__xludf.DUMMYFUNCTION("""COMPUTED_VALUE"""),"")</f>
        <v/>
      </c>
      <c r="M878" s="253" t="str">
        <f t="shared" si="3"/>
        <v/>
      </c>
      <c r="N878" s="319" t="str">
        <f>IFERROR(__xludf.DUMMYFUNCTION("""COMPUTED_VALUE"""),"")</f>
        <v/>
      </c>
      <c r="O878" s="257" t="str">
        <f>IFERROR(__xludf.DUMMYFUNCTION("""COMPUTED_VALUE"""),"")</f>
        <v/>
      </c>
      <c r="P878" s="247" t="str">
        <f t="shared" si="4"/>
        <v/>
      </c>
      <c r="Q878" s="320" t="str">
        <f>IFERROR(__xludf.DUMMYFUNCTION("""COMPUTED_VALUE"""),"")</f>
        <v/>
      </c>
      <c r="R878" s="259" t="str">
        <f>IFERROR(__xludf.DUMMYFUNCTION("""COMPUTED_VALUE"""),"")</f>
        <v/>
      </c>
      <c r="S878" s="250" t="str">
        <f t="shared" si="5"/>
        <v/>
      </c>
      <c r="T878" s="254" t="str">
        <f>IFERROR(__xludf.DUMMYFUNCTION("""COMPUTED_VALUE"""),"")</f>
        <v/>
      </c>
      <c r="U878" s="246" t="str">
        <f>IFERROR(__xludf.DUMMYFUNCTION("""COMPUTED_VALUE"""),"")</f>
        <v/>
      </c>
      <c r="V878" s="247" t="str">
        <f t="shared" si="6"/>
        <v/>
      </c>
      <c r="W878" s="255" t="str">
        <f>IFERROR(__xludf.DUMMYFUNCTION("""COMPUTED_VALUE"""),"")</f>
        <v/>
      </c>
      <c r="X878" s="249" t="str">
        <f>IFERROR(__xludf.DUMMYFUNCTION("""COMPUTED_VALUE"""),"")</f>
        <v/>
      </c>
      <c r="Y878" s="250" t="str">
        <f t="shared" si="7"/>
        <v/>
      </c>
    </row>
    <row r="879">
      <c r="A879" s="136" t="s">
        <v>133</v>
      </c>
      <c r="B879" s="136"/>
      <c r="C879" s="136" t="s">
        <v>133</v>
      </c>
      <c r="D879" s="136"/>
      <c r="E879" s="256" t="str">
        <f>IFERROR(__xludf.DUMMYFUNCTION("""COMPUTED_VALUE"""),"")</f>
        <v/>
      </c>
      <c r="F879" s="257" t="str">
        <f>IFERROR(__xludf.DUMMYFUNCTION("""COMPUTED_VALUE"""),"")</f>
        <v/>
      </c>
      <c r="G879" s="247" t="str">
        <f t="shared" si="1"/>
        <v/>
      </c>
      <c r="H879" s="258" t="str">
        <f>IFERROR(__xludf.DUMMYFUNCTION("""COMPUTED_VALUE"""),"")</f>
        <v/>
      </c>
      <c r="I879" s="259" t="str">
        <f>IFERROR(__xludf.DUMMYFUNCTION("""COMPUTED_VALUE"""),"")</f>
        <v/>
      </c>
      <c r="J879" s="250" t="str">
        <f t="shared" si="2"/>
        <v/>
      </c>
      <c r="K879" s="317" t="str">
        <f>IFERROR(__xludf.DUMMYFUNCTION("""COMPUTED_VALUE"""),"")</f>
        <v/>
      </c>
      <c r="L879" s="318" t="str">
        <f>IFERROR(__xludf.DUMMYFUNCTION("""COMPUTED_VALUE"""),"")</f>
        <v/>
      </c>
      <c r="M879" s="253" t="str">
        <f t="shared" si="3"/>
        <v/>
      </c>
      <c r="N879" s="319" t="str">
        <f>IFERROR(__xludf.DUMMYFUNCTION("""COMPUTED_VALUE"""),"")</f>
        <v/>
      </c>
      <c r="O879" s="257" t="str">
        <f>IFERROR(__xludf.DUMMYFUNCTION("""COMPUTED_VALUE"""),"")</f>
        <v/>
      </c>
      <c r="P879" s="247" t="str">
        <f t="shared" si="4"/>
        <v/>
      </c>
      <c r="Q879" s="320" t="str">
        <f>IFERROR(__xludf.DUMMYFUNCTION("""COMPUTED_VALUE"""),"")</f>
        <v/>
      </c>
      <c r="R879" s="259" t="str">
        <f>IFERROR(__xludf.DUMMYFUNCTION("""COMPUTED_VALUE"""),"")</f>
        <v/>
      </c>
      <c r="S879" s="250" t="str">
        <f t="shared" si="5"/>
        <v/>
      </c>
      <c r="T879" s="254" t="str">
        <f>IFERROR(__xludf.DUMMYFUNCTION("""COMPUTED_VALUE"""),"")</f>
        <v/>
      </c>
      <c r="U879" s="246" t="str">
        <f>IFERROR(__xludf.DUMMYFUNCTION("""COMPUTED_VALUE"""),"")</f>
        <v/>
      </c>
      <c r="V879" s="247" t="str">
        <f t="shared" si="6"/>
        <v/>
      </c>
      <c r="W879" s="255" t="str">
        <f>IFERROR(__xludf.DUMMYFUNCTION("""COMPUTED_VALUE"""),"")</f>
        <v/>
      </c>
      <c r="X879" s="249" t="str">
        <f>IFERROR(__xludf.DUMMYFUNCTION("""COMPUTED_VALUE"""),"")</f>
        <v/>
      </c>
      <c r="Y879" s="250" t="str">
        <f t="shared" si="7"/>
        <v/>
      </c>
    </row>
    <row r="880">
      <c r="A880" s="136" t="s">
        <v>133</v>
      </c>
      <c r="B880" s="136"/>
      <c r="C880" s="136" t="s">
        <v>133</v>
      </c>
      <c r="D880" s="136"/>
      <c r="E880" s="256" t="str">
        <f>IFERROR(__xludf.DUMMYFUNCTION("""COMPUTED_VALUE"""),"")</f>
        <v/>
      </c>
      <c r="F880" s="257" t="str">
        <f>IFERROR(__xludf.DUMMYFUNCTION("""COMPUTED_VALUE"""),"")</f>
        <v/>
      </c>
      <c r="G880" s="247" t="str">
        <f t="shared" si="1"/>
        <v/>
      </c>
      <c r="H880" s="258" t="str">
        <f>IFERROR(__xludf.DUMMYFUNCTION("""COMPUTED_VALUE"""),"")</f>
        <v/>
      </c>
      <c r="I880" s="259" t="str">
        <f>IFERROR(__xludf.DUMMYFUNCTION("""COMPUTED_VALUE"""),"")</f>
        <v/>
      </c>
      <c r="J880" s="250" t="str">
        <f t="shared" si="2"/>
        <v/>
      </c>
      <c r="K880" s="317" t="str">
        <f>IFERROR(__xludf.DUMMYFUNCTION("""COMPUTED_VALUE"""),"")</f>
        <v/>
      </c>
      <c r="L880" s="318" t="str">
        <f>IFERROR(__xludf.DUMMYFUNCTION("""COMPUTED_VALUE"""),"")</f>
        <v/>
      </c>
      <c r="M880" s="253" t="str">
        <f t="shared" si="3"/>
        <v/>
      </c>
      <c r="N880" s="319" t="str">
        <f>IFERROR(__xludf.DUMMYFUNCTION("""COMPUTED_VALUE"""),"")</f>
        <v/>
      </c>
      <c r="O880" s="257" t="str">
        <f>IFERROR(__xludf.DUMMYFUNCTION("""COMPUTED_VALUE"""),"")</f>
        <v/>
      </c>
      <c r="P880" s="247" t="str">
        <f t="shared" si="4"/>
        <v/>
      </c>
      <c r="Q880" s="320" t="str">
        <f>IFERROR(__xludf.DUMMYFUNCTION("""COMPUTED_VALUE"""),"")</f>
        <v/>
      </c>
      <c r="R880" s="259" t="str">
        <f>IFERROR(__xludf.DUMMYFUNCTION("""COMPUTED_VALUE"""),"")</f>
        <v/>
      </c>
      <c r="S880" s="250" t="str">
        <f t="shared" si="5"/>
        <v/>
      </c>
      <c r="T880" s="254" t="str">
        <f>IFERROR(__xludf.DUMMYFUNCTION("""COMPUTED_VALUE"""),"")</f>
        <v/>
      </c>
      <c r="U880" s="246" t="str">
        <f>IFERROR(__xludf.DUMMYFUNCTION("""COMPUTED_VALUE"""),"")</f>
        <v/>
      </c>
      <c r="V880" s="247" t="str">
        <f t="shared" si="6"/>
        <v/>
      </c>
      <c r="W880" s="255" t="str">
        <f>IFERROR(__xludf.DUMMYFUNCTION("""COMPUTED_VALUE"""),"")</f>
        <v/>
      </c>
      <c r="X880" s="249" t="str">
        <f>IFERROR(__xludf.DUMMYFUNCTION("""COMPUTED_VALUE"""),"")</f>
        <v/>
      </c>
      <c r="Y880" s="250" t="str">
        <f t="shared" si="7"/>
        <v/>
      </c>
    </row>
    <row r="881">
      <c r="A881" s="136" t="s">
        <v>133</v>
      </c>
      <c r="B881" s="136"/>
      <c r="C881" s="136" t="s">
        <v>133</v>
      </c>
      <c r="D881" s="136"/>
      <c r="E881" s="256" t="str">
        <f>IFERROR(__xludf.DUMMYFUNCTION("""COMPUTED_VALUE"""),"")</f>
        <v/>
      </c>
      <c r="F881" s="257" t="str">
        <f>IFERROR(__xludf.DUMMYFUNCTION("""COMPUTED_VALUE"""),"")</f>
        <v/>
      </c>
      <c r="G881" s="247" t="str">
        <f t="shared" si="1"/>
        <v/>
      </c>
      <c r="H881" s="258" t="str">
        <f>IFERROR(__xludf.DUMMYFUNCTION("""COMPUTED_VALUE"""),"")</f>
        <v/>
      </c>
      <c r="I881" s="259" t="str">
        <f>IFERROR(__xludf.DUMMYFUNCTION("""COMPUTED_VALUE"""),"")</f>
        <v/>
      </c>
      <c r="J881" s="250" t="str">
        <f t="shared" si="2"/>
        <v/>
      </c>
      <c r="K881" s="317" t="str">
        <f>IFERROR(__xludf.DUMMYFUNCTION("""COMPUTED_VALUE"""),"")</f>
        <v/>
      </c>
      <c r="L881" s="318" t="str">
        <f>IFERROR(__xludf.DUMMYFUNCTION("""COMPUTED_VALUE"""),"")</f>
        <v/>
      </c>
      <c r="M881" s="253" t="str">
        <f t="shared" si="3"/>
        <v/>
      </c>
      <c r="N881" s="319" t="str">
        <f>IFERROR(__xludf.DUMMYFUNCTION("""COMPUTED_VALUE"""),"")</f>
        <v/>
      </c>
      <c r="O881" s="257" t="str">
        <f>IFERROR(__xludf.DUMMYFUNCTION("""COMPUTED_VALUE"""),"")</f>
        <v/>
      </c>
      <c r="P881" s="247" t="str">
        <f t="shared" si="4"/>
        <v/>
      </c>
      <c r="Q881" s="320" t="str">
        <f>IFERROR(__xludf.DUMMYFUNCTION("""COMPUTED_VALUE"""),"")</f>
        <v/>
      </c>
      <c r="R881" s="259" t="str">
        <f>IFERROR(__xludf.DUMMYFUNCTION("""COMPUTED_VALUE"""),"")</f>
        <v/>
      </c>
      <c r="S881" s="250" t="str">
        <f t="shared" si="5"/>
        <v/>
      </c>
      <c r="T881" s="254" t="str">
        <f>IFERROR(__xludf.DUMMYFUNCTION("""COMPUTED_VALUE"""),"")</f>
        <v/>
      </c>
      <c r="U881" s="246" t="str">
        <f>IFERROR(__xludf.DUMMYFUNCTION("""COMPUTED_VALUE"""),"")</f>
        <v/>
      </c>
      <c r="V881" s="247" t="str">
        <f t="shared" si="6"/>
        <v/>
      </c>
      <c r="W881" s="255" t="str">
        <f>IFERROR(__xludf.DUMMYFUNCTION("""COMPUTED_VALUE"""),"")</f>
        <v/>
      </c>
      <c r="X881" s="249" t="str">
        <f>IFERROR(__xludf.DUMMYFUNCTION("""COMPUTED_VALUE"""),"")</f>
        <v/>
      </c>
      <c r="Y881" s="250" t="str">
        <f t="shared" si="7"/>
        <v/>
      </c>
    </row>
    <row r="882">
      <c r="A882" s="136" t="s">
        <v>133</v>
      </c>
      <c r="B882" s="136"/>
      <c r="C882" s="136" t="s">
        <v>133</v>
      </c>
      <c r="D882" s="136"/>
      <c r="E882" s="256" t="str">
        <f>IFERROR(__xludf.DUMMYFUNCTION("""COMPUTED_VALUE"""),"")</f>
        <v/>
      </c>
      <c r="F882" s="257" t="str">
        <f>IFERROR(__xludf.DUMMYFUNCTION("""COMPUTED_VALUE"""),"")</f>
        <v/>
      </c>
      <c r="G882" s="247" t="str">
        <f t="shared" si="1"/>
        <v/>
      </c>
      <c r="H882" s="258" t="str">
        <f>IFERROR(__xludf.DUMMYFUNCTION("""COMPUTED_VALUE"""),"")</f>
        <v/>
      </c>
      <c r="I882" s="259" t="str">
        <f>IFERROR(__xludf.DUMMYFUNCTION("""COMPUTED_VALUE"""),"")</f>
        <v/>
      </c>
      <c r="J882" s="250" t="str">
        <f t="shared" si="2"/>
        <v/>
      </c>
      <c r="K882" s="317" t="str">
        <f>IFERROR(__xludf.DUMMYFUNCTION("""COMPUTED_VALUE"""),"")</f>
        <v/>
      </c>
      <c r="L882" s="318" t="str">
        <f>IFERROR(__xludf.DUMMYFUNCTION("""COMPUTED_VALUE"""),"")</f>
        <v/>
      </c>
      <c r="M882" s="253" t="str">
        <f t="shared" si="3"/>
        <v/>
      </c>
      <c r="N882" s="319" t="str">
        <f>IFERROR(__xludf.DUMMYFUNCTION("""COMPUTED_VALUE"""),"")</f>
        <v/>
      </c>
      <c r="O882" s="257" t="str">
        <f>IFERROR(__xludf.DUMMYFUNCTION("""COMPUTED_VALUE"""),"")</f>
        <v/>
      </c>
      <c r="P882" s="247" t="str">
        <f t="shared" si="4"/>
        <v/>
      </c>
      <c r="Q882" s="320" t="str">
        <f>IFERROR(__xludf.DUMMYFUNCTION("""COMPUTED_VALUE"""),"")</f>
        <v/>
      </c>
      <c r="R882" s="259" t="str">
        <f>IFERROR(__xludf.DUMMYFUNCTION("""COMPUTED_VALUE"""),"")</f>
        <v/>
      </c>
      <c r="S882" s="250" t="str">
        <f t="shared" si="5"/>
        <v/>
      </c>
      <c r="T882" s="254" t="str">
        <f>IFERROR(__xludf.DUMMYFUNCTION("""COMPUTED_VALUE"""),"")</f>
        <v/>
      </c>
      <c r="U882" s="246" t="str">
        <f>IFERROR(__xludf.DUMMYFUNCTION("""COMPUTED_VALUE"""),"")</f>
        <v/>
      </c>
      <c r="V882" s="247" t="str">
        <f t="shared" si="6"/>
        <v/>
      </c>
      <c r="W882" s="255" t="str">
        <f>IFERROR(__xludf.DUMMYFUNCTION("""COMPUTED_VALUE"""),"")</f>
        <v/>
      </c>
      <c r="X882" s="249" t="str">
        <f>IFERROR(__xludf.DUMMYFUNCTION("""COMPUTED_VALUE"""),"")</f>
        <v/>
      </c>
      <c r="Y882" s="250" t="str">
        <f t="shared" si="7"/>
        <v/>
      </c>
    </row>
    <row r="883">
      <c r="A883" s="136" t="s">
        <v>133</v>
      </c>
      <c r="B883" s="136"/>
      <c r="C883" s="136" t="s">
        <v>133</v>
      </c>
      <c r="D883" s="136"/>
      <c r="E883" s="256" t="str">
        <f>IFERROR(__xludf.DUMMYFUNCTION("""COMPUTED_VALUE"""),"")</f>
        <v/>
      </c>
      <c r="F883" s="257" t="str">
        <f>IFERROR(__xludf.DUMMYFUNCTION("""COMPUTED_VALUE"""),"")</f>
        <v/>
      </c>
      <c r="G883" s="247" t="str">
        <f t="shared" si="1"/>
        <v/>
      </c>
      <c r="H883" s="258" t="str">
        <f>IFERROR(__xludf.DUMMYFUNCTION("""COMPUTED_VALUE"""),"")</f>
        <v/>
      </c>
      <c r="I883" s="259" t="str">
        <f>IFERROR(__xludf.DUMMYFUNCTION("""COMPUTED_VALUE"""),"")</f>
        <v/>
      </c>
      <c r="J883" s="250" t="str">
        <f t="shared" si="2"/>
        <v/>
      </c>
      <c r="K883" s="317" t="str">
        <f>IFERROR(__xludf.DUMMYFUNCTION("""COMPUTED_VALUE"""),"")</f>
        <v/>
      </c>
      <c r="L883" s="318" t="str">
        <f>IFERROR(__xludf.DUMMYFUNCTION("""COMPUTED_VALUE"""),"")</f>
        <v/>
      </c>
      <c r="M883" s="253" t="str">
        <f t="shared" si="3"/>
        <v/>
      </c>
      <c r="N883" s="319" t="str">
        <f>IFERROR(__xludf.DUMMYFUNCTION("""COMPUTED_VALUE"""),"")</f>
        <v/>
      </c>
      <c r="O883" s="257" t="str">
        <f>IFERROR(__xludf.DUMMYFUNCTION("""COMPUTED_VALUE"""),"")</f>
        <v/>
      </c>
      <c r="P883" s="247" t="str">
        <f t="shared" si="4"/>
        <v/>
      </c>
      <c r="Q883" s="320" t="str">
        <f>IFERROR(__xludf.DUMMYFUNCTION("""COMPUTED_VALUE"""),"")</f>
        <v/>
      </c>
      <c r="R883" s="259" t="str">
        <f>IFERROR(__xludf.DUMMYFUNCTION("""COMPUTED_VALUE"""),"")</f>
        <v/>
      </c>
      <c r="S883" s="250" t="str">
        <f t="shared" si="5"/>
        <v/>
      </c>
      <c r="T883" s="254" t="str">
        <f>IFERROR(__xludf.DUMMYFUNCTION("""COMPUTED_VALUE"""),"")</f>
        <v/>
      </c>
      <c r="U883" s="246" t="str">
        <f>IFERROR(__xludf.DUMMYFUNCTION("""COMPUTED_VALUE"""),"")</f>
        <v/>
      </c>
      <c r="V883" s="247" t="str">
        <f t="shared" si="6"/>
        <v/>
      </c>
      <c r="W883" s="255" t="str">
        <f>IFERROR(__xludf.DUMMYFUNCTION("""COMPUTED_VALUE"""),"")</f>
        <v/>
      </c>
      <c r="X883" s="249" t="str">
        <f>IFERROR(__xludf.DUMMYFUNCTION("""COMPUTED_VALUE"""),"")</f>
        <v/>
      </c>
      <c r="Y883" s="250" t="str">
        <f t="shared" si="7"/>
        <v/>
      </c>
    </row>
    <row r="884">
      <c r="A884" s="136" t="s">
        <v>133</v>
      </c>
      <c r="B884" s="136"/>
      <c r="C884" s="136" t="s">
        <v>133</v>
      </c>
      <c r="D884" s="136"/>
      <c r="E884" s="256" t="str">
        <f>IFERROR(__xludf.DUMMYFUNCTION("""COMPUTED_VALUE"""),"")</f>
        <v/>
      </c>
      <c r="F884" s="257" t="str">
        <f>IFERROR(__xludf.DUMMYFUNCTION("""COMPUTED_VALUE"""),"")</f>
        <v/>
      </c>
      <c r="G884" s="247" t="str">
        <f t="shared" si="1"/>
        <v/>
      </c>
      <c r="H884" s="258" t="str">
        <f>IFERROR(__xludf.DUMMYFUNCTION("""COMPUTED_VALUE"""),"")</f>
        <v/>
      </c>
      <c r="I884" s="259" t="str">
        <f>IFERROR(__xludf.DUMMYFUNCTION("""COMPUTED_VALUE"""),"")</f>
        <v/>
      </c>
      <c r="J884" s="250" t="str">
        <f t="shared" si="2"/>
        <v/>
      </c>
      <c r="K884" s="317" t="str">
        <f>IFERROR(__xludf.DUMMYFUNCTION("""COMPUTED_VALUE"""),"")</f>
        <v/>
      </c>
      <c r="L884" s="318" t="str">
        <f>IFERROR(__xludf.DUMMYFUNCTION("""COMPUTED_VALUE"""),"")</f>
        <v/>
      </c>
      <c r="M884" s="253" t="str">
        <f t="shared" si="3"/>
        <v/>
      </c>
      <c r="N884" s="319" t="str">
        <f>IFERROR(__xludf.DUMMYFUNCTION("""COMPUTED_VALUE"""),"")</f>
        <v/>
      </c>
      <c r="O884" s="257" t="str">
        <f>IFERROR(__xludf.DUMMYFUNCTION("""COMPUTED_VALUE"""),"")</f>
        <v/>
      </c>
      <c r="P884" s="247" t="str">
        <f t="shared" si="4"/>
        <v/>
      </c>
      <c r="Q884" s="320" t="str">
        <f>IFERROR(__xludf.DUMMYFUNCTION("""COMPUTED_VALUE"""),"")</f>
        <v/>
      </c>
      <c r="R884" s="259" t="str">
        <f>IFERROR(__xludf.DUMMYFUNCTION("""COMPUTED_VALUE"""),"")</f>
        <v/>
      </c>
      <c r="S884" s="250" t="str">
        <f t="shared" si="5"/>
        <v/>
      </c>
      <c r="T884" s="254" t="str">
        <f>IFERROR(__xludf.DUMMYFUNCTION("""COMPUTED_VALUE"""),"")</f>
        <v/>
      </c>
      <c r="U884" s="246" t="str">
        <f>IFERROR(__xludf.DUMMYFUNCTION("""COMPUTED_VALUE"""),"")</f>
        <v/>
      </c>
      <c r="V884" s="247" t="str">
        <f t="shared" si="6"/>
        <v/>
      </c>
      <c r="W884" s="255" t="str">
        <f>IFERROR(__xludf.DUMMYFUNCTION("""COMPUTED_VALUE"""),"")</f>
        <v/>
      </c>
      <c r="X884" s="249" t="str">
        <f>IFERROR(__xludf.DUMMYFUNCTION("""COMPUTED_VALUE"""),"")</f>
        <v/>
      </c>
      <c r="Y884" s="250" t="str">
        <f t="shared" si="7"/>
        <v/>
      </c>
    </row>
    <row r="885">
      <c r="A885" s="136" t="s">
        <v>133</v>
      </c>
      <c r="B885" s="136"/>
      <c r="C885" s="136" t="s">
        <v>133</v>
      </c>
      <c r="D885" s="136"/>
      <c r="E885" s="256" t="str">
        <f>IFERROR(__xludf.DUMMYFUNCTION("""COMPUTED_VALUE"""),"")</f>
        <v/>
      </c>
      <c r="F885" s="257" t="str">
        <f>IFERROR(__xludf.DUMMYFUNCTION("""COMPUTED_VALUE"""),"")</f>
        <v/>
      </c>
      <c r="G885" s="247" t="str">
        <f t="shared" si="1"/>
        <v/>
      </c>
      <c r="H885" s="258" t="str">
        <f>IFERROR(__xludf.DUMMYFUNCTION("""COMPUTED_VALUE"""),"")</f>
        <v/>
      </c>
      <c r="I885" s="259" t="str">
        <f>IFERROR(__xludf.DUMMYFUNCTION("""COMPUTED_VALUE"""),"")</f>
        <v/>
      </c>
      <c r="J885" s="250" t="str">
        <f t="shared" si="2"/>
        <v/>
      </c>
      <c r="K885" s="317" t="str">
        <f>IFERROR(__xludf.DUMMYFUNCTION("""COMPUTED_VALUE"""),"")</f>
        <v/>
      </c>
      <c r="L885" s="318" t="str">
        <f>IFERROR(__xludf.DUMMYFUNCTION("""COMPUTED_VALUE"""),"")</f>
        <v/>
      </c>
      <c r="M885" s="253" t="str">
        <f t="shared" si="3"/>
        <v/>
      </c>
      <c r="N885" s="319" t="str">
        <f>IFERROR(__xludf.DUMMYFUNCTION("""COMPUTED_VALUE"""),"")</f>
        <v/>
      </c>
      <c r="O885" s="257" t="str">
        <f>IFERROR(__xludf.DUMMYFUNCTION("""COMPUTED_VALUE"""),"")</f>
        <v/>
      </c>
      <c r="P885" s="247" t="str">
        <f t="shared" si="4"/>
        <v/>
      </c>
      <c r="Q885" s="320" t="str">
        <f>IFERROR(__xludf.DUMMYFUNCTION("""COMPUTED_VALUE"""),"")</f>
        <v/>
      </c>
      <c r="R885" s="259" t="str">
        <f>IFERROR(__xludf.DUMMYFUNCTION("""COMPUTED_VALUE"""),"")</f>
        <v/>
      </c>
      <c r="S885" s="250" t="str">
        <f t="shared" si="5"/>
        <v/>
      </c>
      <c r="T885" s="254" t="str">
        <f>IFERROR(__xludf.DUMMYFUNCTION("""COMPUTED_VALUE"""),"")</f>
        <v/>
      </c>
      <c r="U885" s="246" t="str">
        <f>IFERROR(__xludf.DUMMYFUNCTION("""COMPUTED_VALUE"""),"")</f>
        <v/>
      </c>
      <c r="V885" s="247" t="str">
        <f t="shared" si="6"/>
        <v/>
      </c>
      <c r="W885" s="255" t="str">
        <f>IFERROR(__xludf.DUMMYFUNCTION("""COMPUTED_VALUE"""),"")</f>
        <v/>
      </c>
      <c r="X885" s="249" t="str">
        <f>IFERROR(__xludf.DUMMYFUNCTION("""COMPUTED_VALUE"""),"")</f>
        <v/>
      </c>
      <c r="Y885" s="250" t="str">
        <f t="shared" si="7"/>
        <v/>
      </c>
    </row>
    <row r="886">
      <c r="A886" s="136" t="s">
        <v>133</v>
      </c>
      <c r="B886" s="136"/>
      <c r="C886" s="136" t="s">
        <v>133</v>
      </c>
      <c r="D886" s="136"/>
      <c r="E886" s="256" t="str">
        <f>IFERROR(__xludf.DUMMYFUNCTION("""COMPUTED_VALUE"""),"")</f>
        <v/>
      </c>
      <c r="F886" s="257" t="str">
        <f>IFERROR(__xludf.DUMMYFUNCTION("""COMPUTED_VALUE"""),"")</f>
        <v/>
      </c>
      <c r="G886" s="247" t="str">
        <f t="shared" si="1"/>
        <v/>
      </c>
      <c r="H886" s="258" t="str">
        <f>IFERROR(__xludf.DUMMYFUNCTION("""COMPUTED_VALUE"""),"")</f>
        <v/>
      </c>
      <c r="I886" s="259" t="str">
        <f>IFERROR(__xludf.DUMMYFUNCTION("""COMPUTED_VALUE"""),"")</f>
        <v/>
      </c>
      <c r="J886" s="250" t="str">
        <f t="shared" si="2"/>
        <v/>
      </c>
      <c r="K886" s="317" t="str">
        <f>IFERROR(__xludf.DUMMYFUNCTION("""COMPUTED_VALUE"""),"")</f>
        <v/>
      </c>
      <c r="L886" s="318" t="str">
        <f>IFERROR(__xludf.DUMMYFUNCTION("""COMPUTED_VALUE"""),"")</f>
        <v/>
      </c>
      <c r="M886" s="253" t="str">
        <f t="shared" si="3"/>
        <v/>
      </c>
      <c r="N886" s="319" t="str">
        <f>IFERROR(__xludf.DUMMYFUNCTION("""COMPUTED_VALUE"""),"")</f>
        <v/>
      </c>
      <c r="O886" s="257" t="str">
        <f>IFERROR(__xludf.DUMMYFUNCTION("""COMPUTED_VALUE"""),"")</f>
        <v/>
      </c>
      <c r="P886" s="247" t="str">
        <f t="shared" si="4"/>
        <v/>
      </c>
      <c r="Q886" s="320" t="str">
        <f>IFERROR(__xludf.DUMMYFUNCTION("""COMPUTED_VALUE"""),"")</f>
        <v/>
      </c>
      <c r="R886" s="259" t="str">
        <f>IFERROR(__xludf.DUMMYFUNCTION("""COMPUTED_VALUE"""),"")</f>
        <v/>
      </c>
      <c r="S886" s="250" t="str">
        <f t="shared" si="5"/>
        <v/>
      </c>
      <c r="T886" s="254" t="str">
        <f>IFERROR(__xludf.DUMMYFUNCTION("""COMPUTED_VALUE"""),"")</f>
        <v/>
      </c>
      <c r="U886" s="246" t="str">
        <f>IFERROR(__xludf.DUMMYFUNCTION("""COMPUTED_VALUE"""),"")</f>
        <v/>
      </c>
      <c r="V886" s="247" t="str">
        <f t="shared" si="6"/>
        <v/>
      </c>
      <c r="W886" s="255" t="str">
        <f>IFERROR(__xludf.DUMMYFUNCTION("""COMPUTED_VALUE"""),"")</f>
        <v/>
      </c>
      <c r="X886" s="249" t="str">
        <f>IFERROR(__xludf.DUMMYFUNCTION("""COMPUTED_VALUE"""),"")</f>
        <v/>
      </c>
      <c r="Y886" s="250" t="str">
        <f t="shared" si="7"/>
        <v/>
      </c>
    </row>
    <row r="887">
      <c r="A887" s="136" t="s">
        <v>133</v>
      </c>
      <c r="B887" s="136"/>
      <c r="C887" s="136" t="s">
        <v>133</v>
      </c>
      <c r="D887" s="136"/>
      <c r="E887" s="256" t="str">
        <f>IFERROR(__xludf.DUMMYFUNCTION("""COMPUTED_VALUE"""),"")</f>
        <v/>
      </c>
      <c r="F887" s="257" t="str">
        <f>IFERROR(__xludf.DUMMYFUNCTION("""COMPUTED_VALUE"""),"")</f>
        <v/>
      </c>
      <c r="G887" s="247" t="str">
        <f t="shared" si="1"/>
        <v/>
      </c>
      <c r="H887" s="258" t="str">
        <f>IFERROR(__xludf.DUMMYFUNCTION("""COMPUTED_VALUE"""),"")</f>
        <v/>
      </c>
      <c r="I887" s="259" t="str">
        <f>IFERROR(__xludf.DUMMYFUNCTION("""COMPUTED_VALUE"""),"")</f>
        <v/>
      </c>
      <c r="J887" s="250" t="str">
        <f t="shared" si="2"/>
        <v/>
      </c>
      <c r="K887" s="317" t="str">
        <f>IFERROR(__xludf.DUMMYFUNCTION("""COMPUTED_VALUE"""),"")</f>
        <v/>
      </c>
      <c r="L887" s="318" t="str">
        <f>IFERROR(__xludf.DUMMYFUNCTION("""COMPUTED_VALUE"""),"")</f>
        <v/>
      </c>
      <c r="M887" s="253" t="str">
        <f t="shared" si="3"/>
        <v/>
      </c>
      <c r="N887" s="319" t="str">
        <f>IFERROR(__xludf.DUMMYFUNCTION("""COMPUTED_VALUE"""),"")</f>
        <v/>
      </c>
      <c r="O887" s="257" t="str">
        <f>IFERROR(__xludf.DUMMYFUNCTION("""COMPUTED_VALUE"""),"")</f>
        <v/>
      </c>
      <c r="P887" s="247" t="str">
        <f t="shared" si="4"/>
        <v/>
      </c>
      <c r="Q887" s="320" t="str">
        <f>IFERROR(__xludf.DUMMYFUNCTION("""COMPUTED_VALUE"""),"")</f>
        <v/>
      </c>
      <c r="R887" s="259" t="str">
        <f>IFERROR(__xludf.DUMMYFUNCTION("""COMPUTED_VALUE"""),"")</f>
        <v/>
      </c>
      <c r="S887" s="250" t="str">
        <f t="shared" si="5"/>
        <v/>
      </c>
      <c r="T887" s="254" t="str">
        <f>IFERROR(__xludf.DUMMYFUNCTION("""COMPUTED_VALUE"""),"")</f>
        <v/>
      </c>
      <c r="U887" s="246" t="str">
        <f>IFERROR(__xludf.DUMMYFUNCTION("""COMPUTED_VALUE"""),"")</f>
        <v/>
      </c>
      <c r="V887" s="247" t="str">
        <f t="shared" si="6"/>
        <v/>
      </c>
      <c r="W887" s="255" t="str">
        <f>IFERROR(__xludf.DUMMYFUNCTION("""COMPUTED_VALUE"""),"")</f>
        <v/>
      </c>
      <c r="X887" s="249" t="str">
        <f>IFERROR(__xludf.DUMMYFUNCTION("""COMPUTED_VALUE"""),"")</f>
        <v/>
      </c>
      <c r="Y887" s="250" t="str">
        <f t="shared" si="7"/>
        <v/>
      </c>
    </row>
    <row r="888">
      <c r="A888" s="136" t="s">
        <v>133</v>
      </c>
      <c r="B888" s="136"/>
      <c r="C888" s="136" t="s">
        <v>133</v>
      </c>
      <c r="D888" s="136"/>
      <c r="E888" s="256" t="str">
        <f>IFERROR(__xludf.DUMMYFUNCTION("""COMPUTED_VALUE"""),"")</f>
        <v/>
      </c>
      <c r="F888" s="257" t="str">
        <f>IFERROR(__xludf.DUMMYFUNCTION("""COMPUTED_VALUE"""),"")</f>
        <v/>
      </c>
      <c r="G888" s="247" t="str">
        <f t="shared" si="1"/>
        <v/>
      </c>
      <c r="H888" s="258" t="str">
        <f>IFERROR(__xludf.DUMMYFUNCTION("""COMPUTED_VALUE"""),"")</f>
        <v/>
      </c>
      <c r="I888" s="259" t="str">
        <f>IFERROR(__xludf.DUMMYFUNCTION("""COMPUTED_VALUE"""),"")</f>
        <v/>
      </c>
      <c r="J888" s="250" t="str">
        <f t="shared" si="2"/>
        <v/>
      </c>
      <c r="K888" s="317" t="str">
        <f>IFERROR(__xludf.DUMMYFUNCTION("""COMPUTED_VALUE"""),"")</f>
        <v/>
      </c>
      <c r="L888" s="318" t="str">
        <f>IFERROR(__xludf.DUMMYFUNCTION("""COMPUTED_VALUE"""),"")</f>
        <v/>
      </c>
      <c r="M888" s="253" t="str">
        <f t="shared" si="3"/>
        <v/>
      </c>
      <c r="N888" s="319" t="str">
        <f>IFERROR(__xludf.DUMMYFUNCTION("""COMPUTED_VALUE"""),"")</f>
        <v/>
      </c>
      <c r="O888" s="257" t="str">
        <f>IFERROR(__xludf.DUMMYFUNCTION("""COMPUTED_VALUE"""),"")</f>
        <v/>
      </c>
      <c r="P888" s="247" t="str">
        <f t="shared" si="4"/>
        <v/>
      </c>
      <c r="Q888" s="320" t="str">
        <f>IFERROR(__xludf.DUMMYFUNCTION("""COMPUTED_VALUE"""),"")</f>
        <v/>
      </c>
      <c r="R888" s="259" t="str">
        <f>IFERROR(__xludf.DUMMYFUNCTION("""COMPUTED_VALUE"""),"")</f>
        <v/>
      </c>
      <c r="S888" s="250" t="str">
        <f t="shared" si="5"/>
        <v/>
      </c>
      <c r="T888" s="254" t="str">
        <f>IFERROR(__xludf.DUMMYFUNCTION("""COMPUTED_VALUE"""),"")</f>
        <v/>
      </c>
      <c r="U888" s="246" t="str">
        <f>IFERROR(__xludf.DUMMYFUNCTION("""COMPUTED_VALUE"""),"")</f>
        <v/>
      </c>
      <c r="V888" s="247" t="str">
        <f t="shared" si="6"/>
        <v/>
      </c>
      <c r="W888" s="255" t="str">
        <f>IFERROR(__xludf.DUMMYFUNCTION("""COMPUTED_VALUE"""),"")</f>
        <v/>
      </c>
      <c r="X888" s="249" t="str">
        <f>IFERROR(__xludf.DUMMYFUNCTION("""COMPUTED_VALUE"""),"")</f>
        <v/>
      </c>
      <c r="Y888" s="250" t="str">
        <f t="shared" si="7"/>
        <v/>
      </c>
    </row>
    <row r="889">
      <c r="A889" s="136" t="s">
        <v>133</v>
      </c>
      <c r="B889" s="136"/>
      <c r="C889" s="136" t="s">
        <v>133</v>
      </c>
      <c r="D889" s="136"/>
      <c r="E889" s="256" t="str">
        <f>IFERROR(__xludf.DUMMYFUNCTION("""COMPUTED_VALUE"""),"")</f>
        <v/>
      </c>
      <c r="F889" s="257" t="str">
        <f>IFERROR(__xludf.DUMMYFUNCTION("""COMPUTED_VALUE"""),"")</f>
        <v/>
      </c>
      <c r="G889" s="247" t="str">
        <f t="shared" si="1"/>
        <v/>
      </c>
      <c r="H889" s="258" t="str">
        <f>IFERROR(__xludf.DUMMYFUNCTION("""COMPUTED_VALUE"""),"")</f>
        <v/>
      </c>
      <c r="I889" s="259" t="str">
        <f>IFERROR(__xludf.DUMMYFUNCTION("""COMPUTED_VALUE"""),"")</f>
        <v/>
      </c>
      <c r="J889" s="250" t="str">
        <f t="shared" si="2"/>
        <v/>
      </c>
      <c r="K889" s="317" t="str">
        <f>IFERROR(__xludf.DUMMYFUNCTION("""COMPUTED_VALUE"""),"")</f>
        <v/>
      </c>
      <c r="L889" s="318" t="str">
        <f>IFERROR(__xludf.DUMMYFUNCTION("""COMPUTED_VALUE"""),"")</f>
        <v/>
      </c>
      <c r="M889" s="253" t="str">
        <f t="shared" si="3"/>
        <v/>
      </c>
      <c r="N889" s="319" t="str">
        <f>IFERROR(__xludf.DUMMYFUNCTION("""COMPUTED_VALUE"""),"")</f>
        <v/>
      </c>
      <c r="O889" s="257" t="str">
        <f>IFERROR(__xludf.DUMMYFUNCTION("""COMPUTED_VALUE"""),"")</f>
        <v/>
      </c>
      <c r="P889" s="247" t="str">
        <f t="shared" si="4"/>
        <v/>
      </c>
      <c r="Q889" s="320" t="str">
        <f>IFERROR(__xludf.DUMMYFUNCTION("""COMPUTED_VALUE"""),"")</f>
        <v/>
      </c>
      <c r="R889" s="259" t="str">
        <f>IFERROR(__xludf.DUMMYFUNCTION("""COMPUTED_VALUE"""),"")</f>
        <v/>
      </c>
      <c r="S889" s="250" t="str">
        <f t="shared" si="5"/>
        <v/>
      </c>
      <c r="T889" s="254" t="str">
        <f>IFERROR(__xludf.DUMMYFUNCTION("""COMPUTED_VALUE"""),"")</f>
        <v/>
      </c>
      <c r="U889" s="246" t="str">
        <f>IFERROR(__xludf.DUMMYFUNCTION("""COMPUTED_VALUE"""),"")</f>
        <v/>
      </c>
      <c r="V889" s="247" t="str">
        <f t="shared" si="6"/>
        <v/>
      </c>
      <c r="W889" s="255" t="str">
        <f>IFERROR(__xludf.DUMMYFUNCTION("""COMPUTED_VALUE"""),"")</f>
        <v/>
      </c>
      <c r="X889" s="249" t="str">
        <f>IFERROR(__xludf.DUMMYFUNCTION("""COMPUTED_VALUE"""),"")</f>
        <v/>
      </c>
      <c r="Y889" s="250" t="str">
        <f t="shared" si="7"/>
        <v/>
      </c>
    </row>
    <row r="890">
      <c r="A890" s="136" t="s">
        <v>133</v>
      </c>
      <c r="B890" s="136"/>
      <c r="C890" s="136" t="s">
        <v>133</v>
      </c>
      <c r="D890" s="136"/>
      <c r="E890" s="256" t="str">
        <f>IFERROR(__xludf.DUMMYFUNCTION("""COMPUTED_VALUE"""),"")</f>
        <v/>
      </c>
      <c r="F890" s="257" t="str">
        <f>IFERROR(__xludf.DUMMYFUNCTION("""COMPUTED_VALUE"""),"")</f>
        <v/>
      </c>
      <c r="G890" s="247" t="str">
        <f t="shared" si="1"/>
        <v/>
      </c>
      <c r="H890" s="258" t="str">
        <f>IFERROR(__xludf.DUMMYFUNCTION("""COMPUTED_VALUE"""),"")</f>
        <v/>
      </c>
      <c r="I890" s="259" t="str">
        <f>IFERROR(__xludf.DUMMYFUNCTION("""COMPUTED_VALUE"""),"")</f>
        <v/>
      </c>
      <c r="J890" s="250" t="str">
        <f t="shared" si="2"/>
        <v/>
      </c>
      <c r="K890" s="317" t="str">
        <f>IFERROR(__xludf.DUMMYFUNCTION("""COMPUTED_VALUE"""),"")</f>
        <v/>
      </c>
      <c r="L890" s="318" t="str">
        <f>IFERROR(__xludf.DUMMYFUNCTION("""COMPUTED_VALUE"""),"")</f>
        <v/>
      </c>
      <c r="M890" s="253" t="str">
        <f t="shared" si="3"/>
        <v/>
      </c>
      <c r="N890" s="319" t="str">
        <f>IFERROR(__xludf.DUMMYFUNCTION("""COMPUTED_VALUE"""),"")</f>
        <v/>
      </c>
      <c r="O890" s="257" t="str">
        <f>IFERROR(__xludf.DUMMYFUNCTION("""COMPUTED_VALUE"""),"")</f>
        <v/>
      </c>
      <c r="P890" s="247" t="str">
        <f t="shared" si="4"/>
        <v/>
      </c>
      <c r="Q890" s="320" t="str">
        <f>IFERROR(__xludf.DUMMYFUNCTION("""COMPUTED_VALUE"""),"")</f>
        <v/>
      </c>
      <c r="R890" s="259" t="str">
        <f>IFERROR(__xludf.DUMMYFUNCTION("""COMPUTED_VALUE"""),"")</f>
        <v/>
      </c>
      <c r="S890" s="250" t="str">
        <f t="shared" si="5"/>
        <v/>
      </c>
      <c r="T890" s="254" t="str">
        <f>IFERROR(__xludf.DUMMYFUNCTION("""COMPUTED_VALUE"""),"")</f>
        <v/>
      </c>
      <c r="U890" s="246" t="str">
        <f>IFERROR(__xludf.DUMMYFUNCTION("""COMPUTED_VALUE"""),"")</f>
        <v/>
      </c>
      <c r="V890" s="247" t="str">
        <f t="shared" si="6"/>
        <v/>
      </c>
      <c r="W890" s="255" t="str">
        <f>IFERROR(__xludf.DUMMYFUNCTION("""COMPUTED_VALUE"""),"")</f>
        <v/>
      </c>
      <c r="X890" s="249" t="str">
        <f>IFERROR(__xludf.DUMMYFUNCTION("""COMPUTED_VALUE"""),"")</f>
        <v/>
      </c>
      <c r="Y890" s="250" t="str">
        <f t="shared" si="7"/>
        <v/>
      </c>
    </row>
    <row r="891">
      <c r="A891" s="136" t="s">
        <v>133</v>
      </c>
      <c r="B891" s="136"/>
      <c r="C891" s="136" t="s">
        <v>133</v>
      </c>
      <c r="D891" s="136"/>
      <c r="E891" s="256" t="str">
        <f>IFERROR(__xludf.DUMMYFUNCTION("""COMPUTED_VALUE"""),"")</f>
        <v/>
      </c>
      <c r="F891" s="257" t="str">
        <f>IFERROR(__xludf.DUMMYFUNCTION("""COMPUTED_VALUE"""),"")</f>
        <v/>
      </c>
      <c r="G891" s="247" t="str">
        <f t="shared" si="1"/>
        <v/>
      </c>
      <c r="H891" s="258" t="str">
        <f>IFERROR(__xludf.DUMMYFUNCTION("""COMPUTED_VALUE"""),"")</f>
        <v/>
      </c>
      <c r="I891" s="259" t="str">
        <f>IFERROR(__xludf.DUMMYFUNCTION("""COMPUTED_VALUE"""),"")</f>
        <v/>
      </c>
      <c r="J891" s="250" t="str">
        <f t="shared" si="2"/>
        <v/>
      </c>
      <c r="K891" s="317" t="str">
        <f>IFERROR(__xludf.DUMMYFUNCTION("""COMPUTED_VALUE"""),"")</f>
        <v/>
      </c>
      <c r="L891" s="318" t="str">
        <f>IFERROR(__xludf.DUMMYFUNCTION("""COMPUTED_VALUE"""),"")</f>
        <v/>
      </c>
      <c r="M891" s="253" t="str">
        <f t="shared" si="3"/>
        <v/>
      </c>
      <c r="N891" s="319" t="str">
        <f>IFERROR(__xludf.DUMMYFUNCTION("""COMPUTED_VALUE"""),"")</f>
        <v/>
      </c>
      <c r="O891" s="257" t="str">
        <f>IFERROR(__xludf.DUMMYFUNCTION("""COMPUTED_VALUE"""),"")</f>
        <v/>
      </c>
      <c r="P891" s="247" t="str">
        <f t="shared" si="4"/>
        <v/>
      </c>
      <c r="Q891" s="320" t="str">
        <f>IFERROR(__xludf.DUMMYFUNCTION("""COMPUTED_VALUE"""),"")</f>
        <v/>
      </c>
      <c r="R891" s="259" t="str">
        <f>IFERROR(__xludf.DUMMYFUNCTION("""COMPUTED_VALUE"""),"")</f>
        <v/>
      </c>
      <c r="S891" s="250" t="str">
        <f t="shared" si="5"/>
        <v/>
      </c>
      <c r="T891" s="254" t="str">
        <f>IFERROR(__xludf.DUMMYFUNCTION("""COMPUTED_VALUE"""),"")</f>
        <v/>
      </c>
      <c r="U891" s="246" t="str">
        <f>IFERROR(__xludf.DUMMYFUNCTION("""COMPUTED_VALUE"""),"")</f>
        <v/>
      </c>
      <c r="V891" s="247" t="str">
        <f t="shared" si="6"/>
        <v/>
      </c>
      <c r="W891" s="255" t="str">
        <f>IFERROR(__xludf.DUMMYFUNCTION("""COMPUTED_VALUE"""),"")</f>
        <v/>
      </c>
      <c r="X891" s="249" t="str">
        <f>IFERROR(__xludf.DUMMYFUNCTION("""COMPUTED_VALUE"""),"")</f>
        <v/>
      </c>
      <c r="Y891" s="250" t="str">
        <f t="shared" si="7"/>
        <v/>
      </c>
    </row>
    <row r="892">
      <c r="A892" s="136" t="s">
        <v>133</v>
      </c>
      <c r="B892" s="136"/>
      <c r="C892" s="136" t="s">
        <v>133</v>
      </c>
      <c r="D892" s="136"/>
      <c r="E892" s="256" t="str">
        <f>IFERROR(__xludf.DUMMYFUNCTION("""COMPUTED_VALUE"""),"")</f>
        <v/>
      </c>
      <c r="F892" s="257" t="str">
        <f>IFERROR(__xludf.DUMMYFUNCTION("""COMPUTED_VALUE"""),"")</f>
        <v/>
      </c>
      <c r="G892" s="247" t="str">
        <f t="shared" si="1"/>
        <v/>
      </c>
      <c r="H892" s="258" t="str">
        <f>IFERROR(__xludf.DUMMYFUNCTION("""COMPUTED_VALUE"""),"")</f>
        <v/>
      </c>
      <c r="I892" s="259" t="str">
        <f>IFERROR(__xludf.DUMMYFUNCTION("""COMPUTED_VALUE"""),"")</f>
        <v/>
      </c>
      <c r="J892" s="250" t="str">
        <f t="shared" si="2"/>
        <v/>
      </c>
      <c r="K892" s="317" t="str">
        <f>IFERROR(__xludf.DUMMYFUNCTION("""COMPUTED_VALUE"""),"")</f>
        <v/>
      </c>
      <c r="L892" s="318" t="str">
        <f>IFERROR(__xludf.DUMMYFUNCTION("""COMPUTED_VALUE"""),"")</f>
        <v/>
      </c>
      <c r="M892" s="253" t="str">
        <f t="shared" si="3"/>
        <v/>
      </c>
      <c r="N892" s="319" t="str">
        <f>IFERROR(__xludf.DUMMYFUNCTION("""COMPUTED_VALUE"""),"")</f>
        <v/>
      </c>
      <c r="O892" s="257" t="str">
        <f>IFERROR(__xludf.DUMMYFUNCTION("""COMPUTED_VALUE"""),"")</f>
        <v/>
      </c>
      <c r="P892" s="247" t="str">
        <f t="shared" si="4"/>
        <v/>
      </c>
      <c r="Q892" s="320" t="str">
        <f>IFERROR(__xludf.DUMMYFUNCTION("""COMPUTED_VALUE"""),"")</f>
        <v/>
      </c>
      <c r="R892" s="259" t="str">
        <f>IFERROR(__xludf.DUMMYFUNCTION("""COMPUTED_VALUE"""),"")</f>
        <v/>
      </c>
      <c r="S892" s="250" t="str">
        <f t="shared" si="5"/>
        <v/>
      </c>
      <c r="T892" s="254" t="str">
        <f>IFERROR(__xludf.DUMMYFUNCTION("""COMPUTED_VALUE"""),"")</f>
        <v/>
      </c>
      <c r="U892" s="246" t="str">
        <f>IFERROR(__xludf.DUMMYFUNCTION("""COMPUTED_VALUE"""),"")</f>
        <v/>
      </c>
      <c r="V892" s="247" t="str">
        <f t="shared" si="6"/>
        <v/>
      </c>
      <c r="W892" s="255" t="str">
        <f>IFERROR(__xludf.DUMMYFUNCTION("""COMPUTED_VALUE"""),"")</f>
        <v/>
      </c>
      <c r="X892" s="249" t="str">
        <f>IFERROR(__xludf.DUMMYFUNCTION("""COMPUTED_VALUE"""),"")</f>
        <v/>
      </c>
      <c r="Y892" s="250" t="str">
        <f t="shared" si="7"/>
        <v/>
      </c>
    </row>
    <row r="893">
      <c r="A893" s="136" t="s">
        <v>133</v>
      </c>
      <c r="B893" s="136"/>
      <c r="C893" s="136" t="s">
        <v>133</v>
      </c>
      <c r="D893" s="136"/>
      <c r="E893" s="256" t="str">
        <f>IFERROR(__xludf.DUMMYFUNCTION("""COMPUTED_VALUE"""),"")</f>
        <v/>
      </c>
      <c r="F893" s="257" t="str">
        <f>IFERROR(__xludf.DUMMYFUNCTION("""COMPUTED_VALUE"""),"")</f>
        <v/>
      </c>
      <c r="G893" s="247" t="str">
        <f t="shared" si="1"/>
        <v/>
      </c>
      <c r="H893" s="258" t="str">
        <f>IFERROR(__xludf.DUMMYFUNCTION("""COMPUTED_VALUE"""),"")</f>
        <v/>
      </c>
      <c r="I893" s="259" t="str">
        <f>IFERROR(__xludf.DUMMYFUNCTION("""COMPUTED_VALUE"""),"")</f>
        <v/>
      </c>
      <c r="J893" s="250" t="str">
        <f t="shared" si="2"/>
        <v/>
      </c>
      <c r="K893" s="317" t="str">
        <f>IFERROR(__xludf.DUMMYFUNCTION("""COMPUTED_VALUE"""),"")</f>
        <v/>
      </c>
      <c r="L893" s="318" t="str">
        <f>IFERROR(__xludf.DUMMYFUNCTION("""COMPUTED_VALUE"""),"")</f>
        <v/>
      </c>
      <c r="M893" s="253" t="str">
        <f t="shared" si="3"/>
        <v/>
      </c>
      <c r="N893" s="319" t="str">
        <f>IFERROR(__xludf.DUMMYFUNCTION("""COMPUTED_VALUE"""),"")</f>
        <v/>
      </c>
      <c r="O893" s="257" t="str">
        <f>IFERROR(__xludf.DUMMYFUNCTION("""COMPUTED_VALUE"""),"")</f>
        <v/>
      </c>
      <c r="P893" s="247" t="str">
        <f t="shared" si="4"/>
        <v/>
      </c>
      <c r="Q893" s="320" t="str">
        <f>IFERROR(__xludf.DUMMYFUNCTION("""COMPUTED_VALUE"""),"")</f>
        <v/>
      </c>
      <c r="R893" s="259" t="str">
        <f>IFERROR(__xludf.DUMMYFUNCTION("""COMPUTED_VALUE"""),"")</f>
        <v/>
      </c>
      <c r="S893" s="250" t="str">
        <f t="shared" si="5"/>
        <v/>
      </c>
      <c r="T893" s="254" t="str">
        <f>IFERROR(__xludf.DUMMYFUNCTION("""COMPUTED_VALUE"""),"")</f>
        <v/>
      </c>
      <c r="U893" s="246" t="str">
        <f>IFERROR(__xludf.DUMMYFUNCTION("""COMPUTED_VALUE"""),"")</f>
        <v/>
      </c>
      <c r="V893" s="247" t="str">
        <f t="shared" si="6"/>
        <v/>
      </c>
      <c r="W893" s="255" t="str">
        <f>IFERROR(__xludf.DUMMYFUNCTION("""COMPUTED_VALUE"""),"")</f>
        <v/>
      </c>
      <c r="X893" s="249" t="str">
        <f>IFERROR(__xludf.DUMMYFUNCTION("""COMPUTED_VALUE"""),"")</f>
        <v/>
      </c>
      <c r="Y893" s="250" t="str">
        <f t="shared" si="7"/>
        <v/>
      </c>
    </row>
    <row r="894">
      <c r="A894" s="136" t="s">
        <v>133</v>
      </c>
      <c r="B894" s="136"/>
      <c r="C894" s="136" t="s">
        <v>133</v>
      </c>
      <c r="D894" s="136"/>
      <c r="E894" s="256" t="str">
        <f>IFERROR(__xludf.DUMMYFUNCTION("""COMPUTED_VALUE"""),"")</f>
        <v/>
      </c>
      <c r="F894" s="257" t="str">
        <f>IFERROR(__xludf.DUMMYFUNCTION("""COMPUTED_VALUE"""),"")</f>
        <v/>
      </c>
      <c r="G894" s="247" t="str">
        <f t="shared" si="1"/>
        <v/>
      </c>
      <c r="H894" s="258" t="str">
        <f>IFERROR(__xludf.DUMMYFUNCTION("""COMPUTED_VALUE"""),"")</f>
        <v/>
      </c>
      <c r="I894" s="259" t="str">
        <f>IFERROR(__xludf.DUMMYFUNCTION("""COMPUTED_VALUE"""),"")</f>
        <v/>
      </c>
      <c r="J894" s="250" t="str">
        <f t="shared" si="2"/>
        <v/>
      </c>
      <c r="K894" s="317" t="str">
        <f>IFERROR(__xludf.DUMMYFUNCTION("""COMPUTED_VALUE"""),"")</f>
        <v/>
      </c>
      <c r="L894" s="318" t="str">
        <f>IFERROR(__xludf.DUMMYFUNCTION("""COMPUTED_VALUE"""),"")</f>
        <v/>
      </c>
      <c r="M894" s="253" t="str">
        <f t="shared" si="3"/>
        <v/>
      </c>
      <c r="N894" s="319" t="str">
        <f>IFERROR(__xludf.DUMMYFUNCTION("""COMPUTED_VALUE"""),"")</f>
        <v/>
      </c>
      <c r="O894" s="257" t="str">
        <f>IFERROR(__xludf.DUMMYFUNCTION("""COMPUTED_VALUE"""),"")</f>
        <v/>
      </c>
      <c r="P894" s="247" t="str">
        <f t="shared" si="4"/>
        <v/>
      </c>
      <c r="Q894" s="320" t="str">
        <f>IFERROR(__xludf.DUMMYFUNCTION("""COMPUTED_VALUE"""),"")</f>
        <v/>
      </c>
      <c r="R894" s="259" t="str">
        <f>IFERROR(__xludf.DUMMYFUNCTION("""COMPUTED_VALUE"""),"")</f>
        <v/>
      </c>
      <c r="S894" s="250" t="str">
        <f t="shared" si="5"/>
        <v/>
      </c>
      <c r="T894" s="254" t="str">
        <f>IFERROR(__xludf.DUMMYFUNCTION("""COMPUTED_VALUE"""),"")</f>
        <v/>
      </c>
      <c r="U894" s="246" t="str">
        <f>IFERROR(__xludf.DUMMYFUNCTION("""COMPUTED_VALUE"""),"")</f>
        <v/>
      </c>
      <c r="V894" s="247" t="str">
        <f t="shared" si="6"/>
        <v/>
      </c>
      <c r="W894" s="255" t="str">
        <f>IFERROR(__xludf.DUMMYFUNCTION("""COMPUTED_VALUE"""),"")</f>
        <v/>
      </c>
      <c r="X894" s="249" t="str">
        <f>IFERROR(__xludf.DUMMYFUNCTION("""COMPUTED_VALUE"""),"")</f>
        <v/>
      </c>
      <c r="Y894" s="250" t="str">
        <f t="shared" si="7"/>
        <v/>
      </c>
    </row>
    <row r="895">
      <c r="A895" s="136" t="s">
        <v>133</v>
      </c>
      <c r="B895" s="136"/>
      <c r="C895" s="136" t="s">
        <v>133</v>
      </c>
      <c r="D895" s="136"/>
      <c r="E895" s="256" t="str">
        <f>IFERROR(__xludf.DUMMYFUNCTION("""COMPUTED_VALUE"""),"")</f>
        <v/>
      </c>
      <c r="F895" s="257" t="str">
        <f>IFERROR(__xludf.DUMMYFUNCTION("""COMPUTED_VALUE"""),"")</f>
        <v/>
      </c>
      <c r="G895" s="247" t="str">
        <f t="shared" si="1"/>
        <v/>
      </c>
      <c r="H895" s="258" t="str">
        <f>IFERROR(__xludf.DUMMYFUNCTION("""COMPUTED_VALUE"""),"")</f>
        <v/>
      </c>
      <c r="I895" s="259" t="str">
        <f>IFERROR(__xludf.DUMMYFUNCTION("""COMPUTED_VALUE"""),"")</f>
        <v/>
      </c>
      <c r="J895" s="250" t="str">
        <f t="shared" si="2"/>
        <v/>
      </c>
      <c r="K895" s="317" t="str">
        <f>IFERROR(__xludf.DUMMYFUNCTION("""COMPUTED_VALUE"""),"")</f>
        <v/>
      </c>
      <c r="L895" s="318" t="str">
        <f>IFERROR(__xludf.DUMMYFUNCTION("""COMPUTED_VALUE"""),"")</f>
        <v/>
      </c>
      <c r="M895" s="253" t="str">
        <f t="shared" si="3"/>
        <v/>
      </c>
      <c r="N895" s="319" t="str">
        <f>IFERROR(__xludf.DUMMYFUNCTION("""COMPUTED_VALUE"""),"")</f>
        <v/>
      </c>
      <c r="O895" s="257" t="str">
        <f>IFERROR(__xludf.DUMMYFUNCTION("""COMPUTED_VALUE"""),"")</f>
        <v/>
      </c>
      <c r="P895" s="247" t="str">
        <f t="shared" si="4"/>
        <v/>
      </c>
      <c r="Q895" s="320" t="str">
        <f>IFERROR(__xludf.DUMMYFUNCTION("""COMPUTED_VALUE"""),"")</f>
        <v/>
      </c>
      <c r="R895" s="259" t="str">
        <f>IFERROR(__xludf.DUMMYFUNCTION("""COMPUTED_VALUE"""),"")</f>
        <v/>
      </c>
      <c r="S895" s="250" t="str">
        <f t="shared" si="5"/>
        <v/>
      </c>
      <c r="T895" s="254" t="str">
        <f>IFERROR(__xludf.DUMMYFUNCTION("""COMPUTED_VALUE"""),"")</f>
        <v/>
      </c>
      <c r="U895" s="246" t="str">
        <f>IFERROR(__xludf.DUMMYFUNCTION("""COMPUTED_VALUE"""),"")</f>
        <v/>
      </c>
      <c r="V895" s="247" t="str">
        <f t="shared" si="6"/>
        <v/>
      </c>
      <c r="W895" s="255" t="str">
        <f>IFERROR(__xludf.DUMMYFUNCTION("""COMPUTED_VALUE"""),"")</f>
        <v/>
      </c>
      <c r="X895" s="249" t="str">
        <f>IFERROR(__xludf.DUMMYFUNCTION("""COMPUTED_VALUE"""),"")</f>
        <v/>
      </c>
      <c r="Y895" s="250" t="str">
        <f t="shared" si="7"/>
        <v/>
      </c>
    </row>
    <row r="896">
      <c r="A896" s="136" t="s">
        <v>133</v>
      </c>
      <c r="B896" s="136"/>
      <c r="C896" s="136" t="s">
        <v>133</v>
      </c>
      <c r="D896" s="136"/>
      <c r="E896" s="256" t="str">
        <f>IFERROR(__xludf.DUMMYFUNCTION("""COMPUTED_VALUE"""),"")</f>
        <v/>
      </c>
      <c r="F896" s="257" t="str">
        <f>IFERROR(__xludf.DUMMYFUNCTION("""COMPUTED_VALUE"""),"")</f>
        <v/>
      </c>
      <c r="G896" s="247" t="str">
        <f t="shared" si="1"/>
        <v/>
      </c>
      <c r="H896" s="258" t="str">
        <f>IFERROR(__xludf.DUMMYFUNCTION("""COMPUTED_VALUE"""),"")</f>
        <v/>
      </c>
      <c r="I896" s="259" t="str">
        <f>IFERROR(__xludf.DUMMYFUNCTION("""COMPUTED_VALUE"""),"")</f>
        <v/>
      </c>
      <c r="J896" s="250" t="str">
        <f t="shared" si="2"/>
        <v/>
      </c>
      <c r="K896" s="317" t="str">
        <f>IFERROR(__xludf.DUMMYFUNCTION("""COMPUTED_VALUE"""),"")</f>
        <v/>
      </c>
      <c r="L896" s="318" t="str">
        <f>IFERROR(__xludf.DUMMYFUNCTION("""COMPUTED_VALUE"""),"")</f>
        <v/>
      </c>
      <c r="M896" s="253" t="str">
        <f t="shared" si="3"/>
        <v/>
      </c>
      <c r="N896" s="319" t="str">
        <f>IFERROR(__xludf.DUMMYFUNCTION("""COMPUTED_VALUE"""),"")</f>
        <v/>
      </c>
      <c r="O896" s="257" t="str">
        <f>IFERROR(__xludf.DUMMYFUNCTION("""COMPUTED_VALUE"""),"")</f>
        <v/>
      </c>
      <c r="P896" s="247" t="str">
        <f t="shared" si="4"/>
        <v/>
      </c>
      <c r="Q896" s="320" t="str">
        <f>IFERROR(__xludf.DUMMYFUNCTION("""COMPUTED_VALUE"""),"")</f>
        <v/>
      </c>
      <c r="R896" s="259" t="str">
        <f>IFERROR(__xludf.DUMMYFUNCTION("""COMPUTED_VALUE"""),"")</f>
        <v/>
      </c>
      <c r="S896" s="250" t="str">
        <f t="shared" si="5"/>
        <v/>
      </c>
      <c r="T896" s="254" t="str">
        <f>IFERROR(__xludf.DUMMYFUNCTION("""COMPUTED_VALUE"""),"")</f>
        <v/>
      </c>
      <c r="U896" s="246" t="str">
        <f>IFERROR(__xludf.DUMMYFUNCTION("""COMPUTED_VALUE"""),"")</f>
        <v/>
      </c>
      <c r="V896" s="247" t="str">
        <f t="shared" si="6"/>
        <v/>
      </c>
      <c r="W896" s="255" t="str">
        <f>IFERROR(__xludf.DUMMYFUNCTION("""COMPUTED_VALUE"""),"")</f>
        <v/>
      </c>
      <c r="X896" s="249" t="str">
        <f>IFERROR(__xludf.DUMMYFUNCTION("""COMPUTED_VALUE"""),"")</f>
        <v/>
      </c>
      <c r="Y896" s="250" t="str">
        <f t="shared" si="7"/>
        <v/>
      </c>
    </row>
    <row r="897">
      <c r="A897" s="136" t="s">
        <v>133</v>
      </c>
      <c r="B897" s="136"/>
      <c r="C897" s="136" t="s">
        <v>133</v>
      </c>
      <c r="D897" s="136"/>
      <c r="E897" s="256" t="str">
        <f>IFERROR(__xludf.DUMMYFUNCTION("""COMPUTED_VALUE"""),"")</f>
        <v/>
      </c>
      <c r="F897" s="257" t="str">
        <f>IFERROR(__xludf.DUMMYFUNCTION("""COMPUTED_VALUE"""),"")</f>
        <v/>
      </c>
      <c r="G897" s="247" t="str">
        <f t="shared" si="1"/>
        <v/>
      </c>
      <c r="H897" s="258" t="str">
        <f>IFERROR(__xludf.DUMMYFUNCTION("""COMPUTED_VALUE"""),"")</f>
        <v/>
      </c>
      <c r="I897" s="259" t="str">
        <f>IFERROR(__xludf.DUMMYFUNCTION("""COMPUTED_VALUE"""),"")</f>
        <v/>
      </c>
      <c r="J897" s="250" t="str">
        <f t="shared" si="2"/>
        <v/>
      </c>
      <c r="K897" s="317" t="str">
        <f>IFERROR(__xludf.DUMMYFUNCTION("""COMPUTED_VALUE"""),"")</f>
        <v/>
      </c>
      <c r="L897" s="318" t="str">
        <f>IFERROR(__xludf.DUMMYFUNCTION("""COMPUTED_VALUE"""),"")</f>
        <v/>
      </c>
      <c r="M897" s="253" t="str">
        <f t="shared" si="3"/>
        <v/>
      </c>
      <c r="N897" s="319" t="str">
        <f>IFERROR(__xludf.DUMMYFUNCTION("""COMPUTED_VALUE"""),"")</f>
        <v/>
      </c>
      <c r="O897" s="257" t="str">
        <f>IFERROR(__xludf.DUMMYFUNCTION("""COMPUTED_VALUE"""),"")</f>
        <v/>
      </c>
      <c r="P897" s="247" t="str">
        <f t="shared" si="4"/>
        <v/>
      </c>
      <c r="Q897" s="320" t="str">
        <f>IFERROR(__xludf.DUMMYFUNCTION("""COMPUTED_VALUE"""),"")</f>
        <v/>
      </c>
      <c r="R897" s="259" t="str">
        <f>IFERROR(__xludf.DUMMYFUNCTION("""COMPUTED_VALUE"""),"")</f>
        <v/>
      </c>
      <c r="S897" s="250" t="str">
        <f t="shared" si="5"/>
        <v/>
      </c>
      <c r="T897" s="254" t="str">
        <f>IFERROR(__xludf.DUMMYFUNCTION("""COMPUTED_VALUE"""),"")</f>
        <v/>
      </c>
      <c r="U897" s="246" t="str">
        <f>IFERROR(__xludf.DUMMYFUNCTION("""COMPUTED_VALUE"""),"")</f>
        <v/>
      </c>
      <c r="V897" s="247" t="str">
        <f t="shared" si="6"/>
        <v/>
      </c>
      <c r="W897" s="255" t="str">
        <f>IFERROR(__xludf.DUMMYFUNCTION("""COMPUTED_VALUE"""),"")</f>
        <v/>
      </c>
      <c r="X897" s="249" t="str">
        <f>IFERROR(__xludf.DUMMYFUNCTION("""COMPUTED_VALUE"""),"")</f>
        <v/>
      </c>
      <c r="Y897" s="250" t="str">
        <f t="shared" si="7"/>
        <v/>
      </c>
    </row>
    <row r="898">
      <c r="A898" s="136" t="s">
        <v>133</v>
      </c>
      <c r="B898" s="136"/>
      <c r="C898" s="136" t="s">
        <v>133</v>
      </c>
      <c r="D898" s="136"/>
      <c r="E898" s="256" t="str">
        <f>IFERROR(__xludf.DUMMYFUNCTION("""COMPUTED_VALUE"""),"")</f>
        <v/>
      </c>
      <c r="F898" s="257" t="str">
        <f>IFERROR(__xludf.DUMMYFUNCTION("""COMPUTED_VALUE"""),"")</f>
        <v/>
      </c>
      <c r="G898" s="247" t="str">
        <f t="shared" si="1"/>
        <v/>
      </c>
      <c r="H898" s="258" t="str">
        <f>IFERROR(__xludf.DUMMYFUNCTION("""COMPUTED_VALUE"""),"")</f>
        <v/>
      </c>
      <c r="I898" s="259" t="str">
        <f>IFERROR(__xludf.DUMMYFUNCTION("""COMPUTED_VALUE"""),"")</f>
        <v/>
      </c>
      <c r="J898" s="250" t="str">
        <f t="shared" si="2"/>
        <v/>
      </c>
      <c r="K898" s="317" t="str">
        <f>IFERROR(__xludf.DUMMYFUNCTION("""COMPUTED_VALUE"""),"")</f>
        <v/>
      </c>
      <c r="L898" s="318" t="str">
        <f>IFERROR(__xludf.DUMMYFUNCTION("""COMPUTED_VALUE"""),"")</f>
        <v/>
      </c>
      <c r="M898" s="253" t="str">
        <f t="shared" si="3"/>
        <v/>
      </c>
      <c r="N898" s="319" t="str">
        <f>IFERROR(__xludf.DUMMYFUNCTION("""COMPUTED_VALUE"""),"")</f>
        <v/>
      </c>
      <c r="O898" s="257" t="str">
        <f>IFERROR(__xludf.DUMMYFUNCTION("""COMPUTED_VALUE"""),"")</f>
        <v/>
      </c>
      <c r="P898" s="247" t="str">
        <f t="shared" si="4"/>
        <v/>
      </c>
      <c r="Q898" s="320" t="str">
        <f>IFERROR(__xludf.DUMMYFUNCTION("""COMPUTED_VALUE"""),"")</f>
        <v/>
      </c>
      <c r="R898" s="259" t="str">
        <f>IFERROR(__xludf.DUMMYFUNCTION("""COMPUTED_VALUE"""),"")</f>
        <v/>
      </c>
      <c r="S898" s="250" t="str">
        <f t="shared" si="5"/>
        <v/>
      </c>
      <c r="T898" s="254" t="str">
        <f>IFERROR(__xludf.DUMMYFUNCTION("""COMPUTED_VALUE"""),"")</f>
        <v/>
      </c>
      <c r="U898" s="246" t="str">
        <f>IFERROR(__xludf.DUMMYFUNCTION("""COMPUTED_VALUE"""),"")</f>
        <v/>
      </c>
      <c r="V898" s="247" t="str">
        <f t="shared" si="6"/>
        <v/>
      </c>
      <c r="W898" s="255" t="str">
        <f>IFERROR(__xludf.DUMMYFUNCTION("""COMPUTED_VALUE"""),"")</f>
        <v/>
      </c>
      <c r="X898" s="249" t="str">
        <f>IFERROR(__xludf.DUMMYFUNCTION("""COMPUTED_VALUE"""),"")</f>
        <v/>
      </c>
      <c r="Y898" s="250" t="str">
        <f t="shared" si="7"/>
        <v/>
      </c>
    </row>
    <row r="899">
      <c r="A899" s="136" t="s">
        <v>133</v>
      </c>
      <c r="B899" s="136"/>
      <c r="C899" s="136" t="s">
        <v>133</v>
      </c>
      <c r="D899" s="136"/>
      <c r="E899" s="256" t="str">
        <f>IFERROR(__xludf.DUMMYFUNCTION("""COMPUTED_VALUE"""),"")</f>
        <v/>
      </c>
      <c r="F899" s="257" t="str">
        <f>IFERROR(__xludf.DUMMYFUNCTION("""COMPUTED_VALUE"""),"")</f>
        <v/>
      </c>
      <c r="G899" s="247" t="str">
        <f t="shared" si="1"/>
        <v/>
      </c>
      <c r="H899" s="258" t="str">
        <f>IFERROR(__xludf.DUMMYFUNCTION("""COMPUTED_VALUE"""),"")</f>
        <v/>
      </c>
      <c r="I899" s="259" t="str">
        <f>IFERROR(__xludf.DUMMYFUNCTION("""COMPUTED_VALUE"""),"")</f>
        <v/>
      </c>
      <c r="J899" s="250" t="str">
        <f t="shared" si="2"/>
        <v/>
      </c>
      <c r="K899" s="317" t="str">
        <f>IFERROR(__xludf.DUMMYFUNCTION("""COMPUTED_VALUE"""),"")</f>
        <v/>
      </c>
      <c r="L899" s="318" t="str">
        <f>IFERROR(__xludf.DUMMYFUNCTION("""COMPUTED_VALUE"""),"")</f>
        <v/>
      </c>
      <c r="M899" s="253" t="str">
        <f t="shared" si="3"/>
        <v/>
      </c>
      <c r="N899" s="319" t="str">
        <f>IFERROR(__xludf.DUMMYFUNCTION("""COMPUTED_VALUE"""),"")</f>
        <v/>
      </c>
      <c r="O899" s="257" t="str">
        <f>IFERROR(__xludf.DUMMYFUNCTION("""COMPUTED_VALUE"""),"")</f>
        <v/>
      </c>
      <c r="P899" s="247" t="str">
        <f t="shared" si="4"/>
        <v/>
      </c>
      <c r="Q899" s="320" t="str">
        <f>IFERROR(__xludf.DUMMYFUNCTION("""COMPUTED_VALUE"""),"")</f>
        <v/>
      </c>
      <c r="R899" s="259" t="str">
        <f>IFERROR(__xludf.DUMMYFUNCTION("""COMPUTED_VALUE"""),"")</f>
        <v/>
      </c>
      <c r="S899" s="250" t="str">
        <f t="shared" si="5"/>
        <v/>
      </c>
      <c r="T899" s="254" t="str">
        <f>IFERROR(__xludf.DUMMYFUNCTION("""COMPUTED_VALUE"""),"")</f>
        <v/>
      </c>
      <c r="U899" s="246" t="str">
        <f>IFERROR(__xludf.DUMMYFUNCTION("""COMPUTED_VALUE"""),"")</f>
        <v/>
      </c>
      <c r="V899" s="247" t="str">
        <f t="shared" si="6"/>
        <v/>
      </c>
      <c r="W899" s="255" t="str">
        <f>IFERROR(__xludf.DUMMYFUNCTION("""COMPUTED_VALUE"""),"")</f>
        <v/>
      </c>
      <c r="X899" s="249" t="str">
        <f>IFERROR(__xludf.DUMMYFUNCTION("""COMPUTED_VALUE"""),"")</f>
        <v/>
      </c>
      <c r="Y899" s="250" t="str">
        <f t="shared" si="7"/>
        <v/>
      </c>
    </row>
    <row r="900">
      <c r="A900" s="136" t="s">
        <v>133</v>
      </c>
      <c r="B900" s="136"/>
      <c r="C900" s="136" t="s">
        <v>133</v>
      </c>
      <c r="D900" s="136"/>
      <c r="E900" s="256" t="str">
        <f>IFERROR(__xludf.DUMMYFUNCTION("""COMPUTED_VALUE"""),"")</f>
        <v/>
      </c>
      <c r="F900" s="257" t="str">
        <f>IFERROR(__xludf.DUMMYFUNCTION("""COMPUTED_VALUE"""),"")</f>
        <v/>
      </c>
      <c r="G900" s="247" t="str">
        <f t="shared" si="1"/>
        <v/>
      </c>
      <c r="H900" s="258" t="str">
        <f>IFERROR(__xludf.DUMMYFUNCTION("""COMPUTED_VALUE"""),"")</f>
        <v/>
      </c>
      <c r="I900" s="259" t="str">
        <f>IFERROR(__xludf.DUMMYFUNCTION("""COMPUTED_VALUE"""),"")</f>
        <v/>
      </c>
      <c r="J900" s="250" t="str">
        <f t="shared" si="2"/>
        <v/>
      </c>
      <c r="K900" s="317" t="str">
        <f>IFERROR(__xludf.DUMMYFUNCTION("""COMPUTED_VALUE"""),"")</f>
        <v/>
      </c>
      <c r="L900" s="318" t="str">
        <f>IFERROR(__xludf.DUMMYFUNCTION("""COMPUTED_VALUE"""),"")</f>
        <v/>
      </c>
      <c r="M900" s="253" t="str">
        <f t="shared" si="3"/>
        <v/>
      </c>
      <c r="N900" s="319" t="str">
        <f>IFERROR(__xludf.DUMMYFUNCTION("""COMPUTED_VALUE"""),"")</f>
        <v/>
      </c>
      <c r="O900" s="257" t="str">
        <f>IFERROR(__xludf.DUMMYFUNCTION("""COMPUTED_VALUE"""),"")</f>
        <v/>
      </c>
      <c r="P900" s="247" t="str">
        <f t="shared" si="4"/>
        <v/>
      </c>
      <c r="Q900" s="320" t="str">
        <f>IFERROR(__xludf.DUMMYFUNCTION("""COMPUTED_VALUE"""),"")</f>
        <v/>
      </c>
      <c r="R900" s="259" t="str">
        <f>IFERROR(__xludf.DUMMYFUNCTION("""COMPUTED_VALUE"""),"")</f>
        <v/>
      </c>
      <c r="S900" s="250" t="str">
        <f t="shared" si="5"/>
        <v/>
      </c>
      <c r="T900" s="254" t="str">
        <f>IFERROR(__xludf.DUMMYFUNCTION("""COMPUTED_VALUE"""),"")</f>
        <v/>
      </c>
      <c r="U900" s="246" t="str">
        <f>IFERROR(__xludf.DUMMYFUNCTION("""COMPUTED_VALUE"""),"")</f>
        <v/>
      </c>
      <c r="V900" s="247" t="str">
        <f t="shared" si="6"/>
        <v/>
      </c>
      <c r="W900" s="255" t="str">
        <f>IFERROR(__xludf.DUMMYFUNCTION("""COMPUTED_VALUE"""),"")</f>
        <v/>
      </c>
      <c r="X900" s="249" t="str">
        <f>IFERROR(__xludf.DUMMYFUNCTION("""COMPUTED_VALUE"""),"")</f>
        <v/>
      </c>
      <c r="Y900" s="250" t="str">
        <f t="shared" si="7"/>
        <v/>
      </c>
    </row>
    <row r="901">
      <c r="A901" s="136" t="s">
        <v>133</v>
      </c>
      <c r="B901" s="136"/>
      <c r="C901" s="136" t="s">
        <v>133</v>
      </c>
      <c r="D901" s="136"/>
      <c r="E901" s="256" t="str">
        <f>IFERROR(__xludf.DUMMYFUNCTION("""COMPUTED_VALUE"""),"")</f>
        <v/>
      </c>
      <c r="F901" s="257" t="str">
        <f>IFERROR(__xludf.DUMMYFUNCTION("""COMPUTED_VALUE"""),"")</f>
        <v/>
      </c>
      <c r="G901" s="247" t="str">
        <f t="shared" si="1"/>
        <v/>
      </c>
      <c r="H901" s="258" t="str">
        <f>IFERROR(__xludf.DUMMYFUNCTION("""COMPUTED_VALUE"""),"")</f>
        <v/>
      </c>
      <c r="I901" s="259" t="str">
        <f>IFERROR(__xludf.DUMMYFUNCTION("""COMPUTED_VALUE"""),"")</f>
        <v/>
      </c>
      <c r="J901" s="250" t="str">
        <f t="shared" si="2"/>
        <v/>
      </c>
      <c r="K901" s="317" t="str">
        <f>IFERROR(__xludf.DUMMYFUNCTION("""COMPUTED_VALUE"""),"")</f>
        <v/>
      </c>
      <c r="L901" s="318" t="str">
        <f>IFERROR(__xludf.DUMMYFUNCTION("""COMPUTED_VALUE"""),"")</f>
        <v/>
      </c>
      <c r="M901" s="253" t="str">
        <f t="shared" si="3"/>
        <v/>
      </c>
      <c r="N901" s="319" t="str">
        <f>IFERROR(__xludf.DUMMYFUNCTION("""COMPUTED_VALUE"""),"")</f>
        <v/>
      </c>
      <c r="O901" s="257" t="str">
        <f>IFERROR(__xludf.DUMMYFUNCTION("""COMPUTED_VALUE"""),"")</f>
        <v/>
      </c>
      <c r="P901" s="247" t="str">
        <f t="shared" si="4"/>
        <v/>
      </c>
      <c r="Q901" s="320" t="str">
        <f>IFERROR(__xludf.DUMMYFUNCTION("""COMPUTED_VALUE"""),"")</f>
        <v/>
      </c>
      <c r="R901" s="259" t="str">
        <f>IFERROR(__xludf.DUMMYFUNCTION("""COMPUTED_VALUE"""),"")</f>
        <v/>
      </c>
      <c r="S901" s="250" t="str">
        <f t="shared" si="5"/>
        <v/>
      </c>
      <c r="T901" s="254" t="str">
        <f>IFERROR(__xludf.DUMMYFUNCTION("""COMPUTED_VALUE"""),"")</f>
        <v/>
      </c>
      <c r="U901" s="246" t="str">
        <f>IFERROR(__xludf.DUMMYFUNCTION("""COMPUTED_VALUE"""),"")</f>
        <v/>
      </c>
      <c r="V901" s="247" t="str">
        <f t="shared" si="6"/>
        <v/>
      </c>
      <c r="W901" s="255" t="str">
        <f>IFERROR(__xludf.DUMMYFUNCTION("""COMPUTED_VALUE"""),"")</f>
        <v/>
      </c>
      <c r="X901" s="249" t="str">
        <f>IFERROR(__xludf.DUMMYFUNCTION("""COMPUTED_VALUE"""),"")</f>
        <v/>
      </c>
      <c r="Y901" s="250" t="str">
        <f t="shared" si="7"/>
        <v/>
      </c>
    </row>
    <row r="902">
      <c r="A902" s="136" t="s">
        <v>133</v>
      </c>
      <c r="B902" s="136"/>
      <c r="C902" s="136" t="s">
        <v>133</v>
      </c>
      <c r="D902" s="136"/>
      <c r="E902" s="256" t="str">
        <f>IFERROR(__xludf.DUMMYFUNCTION("""COMPUTED_VALUE"""),"")</f>
        <v/>
      </c>
      <c r="F902" s="257" t="str">
        <f>IFERROR(__xludf.DUMMYFUNCTION("""COMPUTED_VALUE"""),"")</f>
        <v/>
      </c>
      <c r="G902" s="247" t="str">
        <f t="shared" si="1"/>
        <v/>
      </c>
      <c r="H902" s="258" t="str">
        <f>IFERROR(__xludf.DUMMYFUNCTION("""COMPUTED_VALUE"""),"")</f>
        <v/>
      </c>
      <c r="I902" s="259" t="str">
        <f>IFERROR(__xludf.DUMMYFUNCTION("""COMPUTED_VALUE"""),"")</f>
        <v/>
      </c>
      <c r="J902" s="250" t="str">
        <f t="shared" si="2"/>
        <v/>
      </c>
      <c r="K902" s="317" t="str">
        <f>IFERROR(__xludf.DUMMYFUNCTION("""COMPUTED_VALUE"""),"")</f>
        <v/>
      </c>
      <c r="L902" s="318" t="str">
        <f>IFERROR(__xludf.DUMMYFUNCTION("""COMPUTED_VALUE"""),"")</f>
        <v/>
      </c>
      <c r="M902" s="253" t="str">
        <f t="shared" si="3"/>
        <v/>
      </c>
      <c r="N902" s="319" t="str">
        <f>IFERROR(__xludf.DUMMYFUNCTION("""COMPUTED_VALUE"""),"")</f>
        <v/>
      </c>
      <c r="O902" s="257" t="str">
        <f>IFERROR(__xludf.DUMMYFUNCTION("""COMPUTED_VALUE"""),"")</f>
        <v/>
      </c>
      <c r="P902" s="247" t="str">
        <f t="shared" si="4"/>
        <v/>
      </c>
      <c r="Q902" s="320" t="str">
        <f>IFERROR(__xludf.DUMMYFUNCTION("""COMPUTED_VALUE"""),"")</f>
        <v/>
      </c>
      <c r="R902" s="259" t="str">
        <f>IFERROR(__xludf.DUMMYFUNCTION("""COMPUTED_VALUE"""),"")</f>
        <v/>
      </c>
      <c r="S902" s="250" t="str">
        <f t="shared" si="5"/>
        <v/>
      </c>
      <c r="T902" s="254" t="str">
        <f>IFERROR(__xludf.DUMMYFUNCTION("""COMPUTED_VALUE"""),"")</f>
        <v/>
      </c>
      <c r="U902" s="246" t="str">
        <f>IFERROR(__xludf.DUMMYFUNCTION("""COMPUTED_VALUE"""),"")</f>
        <v/>
      </c>
      <c r="V902" s="247" t="str">
        <f t="shared" si="6"/>
        <v/>
      </c>
      <c r="W902" s="255" t="str">
        <f>IFERROR(__xludf.DUMMYFUNCTION("""COMPUTED_VALUE"""),"")</f>
        <v/>
      </c>
      <c r="X902" s="249" t="str">
        <f>IFERROR(__xludf.DUMMYFUNCTION("""COMPUTED_VALUE"""),"")</f>
        <v/>
      </c>
      <c r="Y902" s="250" t="str">
        <f t="shared" si="7"/>
        <v/>
      </c>
    </row>
    <row r="903">
      <c r="A903" s="136" t="s">
        <v>133</v>
      </c>
      <c r="B903" s="136"/>
      <c r="C903" s="136" t="s">
        <v>133</v>
      </c>
      <c r="D903" s="136"/>
      <c r="E903" s="256" t="str">
        <f>IFERROR(__xludf.DUMMYFUNCTION("""COMPUTED_VALUE"""),"")</f>
        <v/>
      </c>
      <c r="F903" s="257" t="str">
        <f>IFERROR(__xludf.DUMMYFUNCTION("""COMPUTED_VALUE"""),"")</f>
        <v/>
      </c>
      <c r="G903" s="247" t="str">
        <f t="shared" si="1"/>
        <v/>
      </c>
      <c r="H903" s="258" t="str">
        <f>IFERROR(__xludf.DUMMYFUNCTION("""COMPUTED_VALUE"""),"")</f>
        <v/>
      </c>
      <c r="I903" s="259" t="str">
        <f>IFERROR(__xludf.DUMMYFUNCTION("""COMPUTED_VALUE"""),"")</f>
        <v/>
      </c>
      <c r="J903" s="250" t="str">
        <f t="shared" si="2"/>
        <v/>
      </c>
      <c r="K903" s="317" t="str">
        <f>IFERROR(__xludf.DUMMYFUNCTION("""COMPUTED_VALUE"""),"")</f>
        <v/>
      </c>
      <c r="L903" s="318" t="str">
        <f>IFERROR(__xludf.DUMMYFUNCTION("""COMPUTED_VALUE"""),"")</f>
        <v/>
      </c>
      <c r="M903" s="253" t="str">
        <f t="shared" si="3"/>
        <v/>
      </c>
      <c r="N903" s="319" t="str">
        <f>IFERROR(__xludf.DUMMYFUNCTION("""COMPUTED_VALUE"""),"")</f>
        <v/>
      </c>
      <c r="O903" s="257" t="str">
        <f>IFERROR(__xludf.DUMMYFUNCTION("""COMPUTED_VALUE"""),"")</f>
        <v/>
      </c>
      <c r="P903" s="247" t="str">
        <f t="shared" si="4"/>
        <v/>
      </c>
      <c r="Q903" s="320" t="str">
        <f>IFERROR(__xludf.DUMMYFUNCTION("""COMPUTED_VALUE"""),"")</f>
        <v/>
      </c>
      <c r="R903" s="259" t="str">
        <f>IFERROR(__xludf.DUMMYFUNCTION("""COMPUTED_VALUE"""),"")</f>
        <v/>
      </c>
      <c r="S903" s="250" t="str">
        <f t="shared" si="5"/>
        <v/>
      </c>
      <c r="T903" s="254" t="str">
        <f>IFERROR(__xludf.DUMMYFUNCTION("""COMPUTED_VALUE"""),"")</f>
        <v/>
      </c>
      <c r="U903" s="246" t="str">
        <f>IFERROR(__xludf.DUMMYFUNCTION("""COMPUTED_VALUE"""),"")</f>
        <v/>
      </c>
      <c r="V903" s="247" t="str">
        <f t="shared" si="6"/>
        <v/>
      </c>
      <c r="W903" s="255" t="str">
        <f>IFERROR(__xludf.DUMMYFUNCTION("""COMPUTED_VALUE"""),"")</f>
        <v/>
      </c>
      <c r="X903" s="249" t="str">
        <f>IFERROR(__xludf.DUMMYFUNCTION("""COMPUTED_VALUE"""),"")</f>
        <v/>
      </c>
      <c r="Y903" s="250" t="str">
        <f t="shared" si="7"/>
        <v/>
      </c>
    </row>
    <row r="904">
      <c r="A904" s="136" t="s">
        <v>133</v>
      </c>
      <c r="B904" s="136"/>
      <c r="C904" s="136" t="s">
        <v>133</v>
      </c>
      <c r="D904" s="136"/>
      <c r="E904" s="256" t="str">
        <f>IFERROR(__xludf.DUMMYFUNCTION("""COMPUTED_VALUE"""),"")</f>
        <v/>
      </c>
      <c r="F904" s="257" t="str">
        <f>IFERROR(__xludf.DUMMYFUNCTION("""COMPUTED_VALUE"""),"")</f>
        <v/>
      </c>
      <c r="G904" s="247" t="str">
        <f t="shared" si="1"/>
        <v/>
      </c>
      <c r="H904" s="258" t="str">
        <f>IFERROR(__xludf.DUMMYFUNCTION("""COMPUTED_VALUE"""),"")</f>
        <v/>
      </c>
      <c r="I904" s="259" t="str">
        <f>IFERROR(__xludf.DUMMYFUNCTION("""COMPUTED_VALUE"""),"")</f>
        <v/>
      </c>
      <c r="J904" s="250" t="str">
        <f t="shared" si="2"/>
        <v/>
      </c>
      <c r="K904" s="317" t="str">
        <f>IFERROR(__xludf.DUMMYFUNCTION("""COMPUTED_VALUE"""),"")</f>
        <v/>
      </c>
      <c r="L904" s="318" t="str">
        <f>IFERROR(__xludf.DUMMYFUNCTION("""COMPUTED_VALUE"""),"")</f>
        <v/>
      </c>
      <c r="M904" s="253" t="str">
        <f t="shared" si="3"/>
        <v/>
      </c>
      <c r="N904" s="319" t="str">
        <f>IFERROR(__xludf.DUMMYFUNCTION("""COMPUTED_VALUE"""),"")</f>
        <v/>
      </c>
      <c r="O904" s="257" t="str">
        <f>IFERROR(__xludf.DUMMYFUNCTION("""COMPUTED_VALUE"""),"")</f>
        <v/>
      </c>
      <c r="P904" s="247" t="str">
        <f t="shared" si="4"/>
        <v/>
      </c>
      <c r="Q904" s="320" t="str">
        <f>IFERROR(__xludf.DUMMYFUNCTION("""COMPUTED_VALUE"""),"")</f>
        <v/>
      </c>
      <c r="R904" s="259" t="str">
        <f>IFERROR(__xludf.DUMMYFUNCTION("""COMPUTED_VALUE"""),"")</f>
        <v/>
      </c>
      <c r="S904" s="250" t="str">
        <f t="shared" si="5"/>
        <v/>
      </c>
      <c r="T904" s="254" t="str">
        <f>IFERROR(__xludf.DUMMYFUNCTION("""COMPUTED_VALUE"""),"")</f>
        <v/>
      </c>
      <c r="U904" s="246" t="str">
        <f>IFERROR(__xludf.DUMMYFUNCTION("""COMPUTED_VALUE"""),"")</f>
        <v/>
      </c>
      <c r="V904" s="247" t="str">
        <f t="shared" si="6"/>
        <v/>
      </c>
      <c r="W904" s="255" t="str">
        <f>IFERROR(__xludf.DUMMYFUNCTION("""COMPUTED_VALUE"""),"")</f>
        <v/>
      </c>
      <c r="X904" s="249" t="str">
        <f>IFERROR(__xludf.DUMMYFUNCTION("""COMPUTED_VALUE"""),"")</f>
        <v/>
      </c>
      <c r="Y904" s="250" t="str">
        <f t="shared" si="7"/>
        <v/>
      </c>
    </row>
    <row r="905">
      <c r="A905" s="136" t="s">
        <v>133</v>
      </c>
      <c r="B905" s="136"/>
      <c r="C905" s="136" t="s">
        <v>133</v>
      </c>
      <c r="D905" s="136"/>
      <c r="E905" s="256" t="str">
        <f>IFERROR(__xludf.DUMMYFUNCTION("""COMPUTED_VALUE"""),"")</f>
        <v/>
      </c>
      <c r="F905" s="257" t="str">
        <f>IFERROR(__xludf.DUMMYFUNCTION("""COMPUTED_VALUE"""),"")</f>
        <v/>
      </c>
      <c r="G905" s="247" t="str">
        <f t="shared" si="1"/>
        <v/>
      </c>
      <c r="H905" s="258" t="str">
        <f>IFERROR(__xludf.DUMMYFUNCTION("""COMPUTED_VALUE"""),"")</f>
        <v/>
      </c>
      <c r="I905" s="259" t="str">
        <f>IFERROR(__xludf.DUMMYFUNCTION("""COMPUTED_VALUE"""),"")</f>
        <v/>
      </c>
      <c r="J905" s="250" t="str">
        <f t="shared" si="2"/>
        <v/>
      </c>
      <c r="K905" s="317" t="str">
        <f>IFERROR(__xludf.DUMMYFUNCTION("""COMPUTED_VALUE"""),"")</f>
        <v/>
      </c>
      <c r="L905" s="318" t="str">
        <f>IFERROR(__xludf.DUMMYFUNCTION("""COMPUTED_VALUE"""),"")</f>
        <v/>
      </c>
      <c r="M905" s="253" t="str">
        <f t="shared" si="3"/>
        <v/>
      </c>
      <c r="N905" s="319" t="str">
        <f>IFERROR(__xludf.DUMMYFUNCTION("""COMPUTED_VALUE"""),"")</f>
        <v/>
      </c>
      <c r="O905" s="257" t="str">
        <f>IFERROR(__xludf.DUMMYFUNCTION("""COMPUTED_VALUE"""),"")</f>
        <v/>
      </c>
      <c r="P905" s="247" t="str">
        <f t="shared" si="4"/>
        <v/>
      </c>
      <c r="Q905" s="320" t="str">
        <f>IFERROR(__xludf.DUMMYFUNCTION("""COMPUTED_VALUE"""),"")</f>
        <v/>
      </c>
      <c r="R905" s="259" t="str">
        <f>IFERROR(__xludf.DUMMYFUNCTION("""COMPUTED_VALUE"""),"")</f>
        <v/>
      </c>
      <c r="S905" s="250" t="str">
        <f t="shared" si="5"/>
        <v/>
      </c>
      <c r="T905" s="254" t="str">
        <f>IFERROR(__xludf.DUMMYFUNCTION("""COMPUTED_VALUE"""),"")</f>
        <v/>
      </c>
      <c r="U905" s="246" t="str">
        <f>IFERROR(__xludf.DUMMYFUNCTION("""COMPUTED_VALUE"""),"")</f>
        <v/>
      </c>
      <c r="V905" s="247" t="str">
        <f t="shared" si="6"/>
        <v/>
      </c>
      <c r="W905" s="255" t="str">
        <f>IFERROR(__xludf.DUMMYFUNCTION("""COMPUTED_VALUE"""),"")</f>
        <v/>
      </c>
      <c r="X905" s="249" t="str">
        <f>IFERROR(__xludf.DUMMYFUNCTION("""COMPUTED_VALUE"""),"")</f>
        <v/>
      </c>
      <c r="Y905" s="250" t="str">
        <f t="shared" si="7"/>
        <v/>
      </c>
    </row>
    <row r="906">
      <c r="A906" s="136" t="s">
        <v>133</v>
      </c>
      <c r="B906" s="136"/>
      <c r="C906" s="136" t="s">
        <v>133</v>
      </c>
      <c r="D906" s="136"/>
      <c r="E906" s="256" t="str">
        <f>IFERROR(__xludf.DUMMYFUNCTION("""COMPUTED_VALUE"""),"")</f>
        <v/>
      </c>
      <c r="F906" s="257" t="str">
        <f>IFERROR(__xludf.DUMMYFUNCTION("""COMPUTED_VALUE"""),"")</f>
        <v/>
      </c>
      <c r="G906" s="247" t="str">
        <f t="shared" si="1"/>
        <v/>
      </c>
      <c r="H906" s="258" t="str">
        <f>IFERROR(__xludf.DUMMYFUNCTION("""COMPUTED_VALUE"""),"")</f>
        <v/>
      </c>
      <c r="I906" s="259" t="str">
        <f>IFERROR(__xludf.DUMMYFUNCTION("""COMPUTED_VALUE"""),"")</f>
        <v/>
      </c>
      <c r="J906" s="250" t="str">
        <f t="shared" si="2"/>
        <v/>
      </c>
      <c r="K906" s="317" t="str">
        <f>IFERROR(__xludf.DUMMYFUNCTION("""COMPUTED_VALUE"""),"")</f>
        <v/>
      </c>
      <c r="L906" s="318" t="str">
        <f>IFERROR(__xludf.DUMMYFUNCTION("""COMPUTED_VALUE"""),"")</f>
        <v/>
      </c>
      <c r="M906" s="253" t="str">
        <f t="shared" si="3"/>
        <v/>
      </c>
      <c r="N906" s="319" t="str">
        <f>IFERROR(__xludf.DUMMYFUNCTION("""COMPUTED_VALUE"""),"")</f>
        <v/>
      </c>
      <c r="O906" s="257" t="str">
        <f>IFERROR(__xludf.DUMMYFUNCTION("""COMPUTED_VALUE"""),"")</f>
        <v/>
      </c>
      <c r="P906" s="247" t="str">
        <f t="shared" si="4"/>
        <v/>
      </c>
      <c r="Q906" s="320" t="str">
        <f>IFERROR(__xludf.DUMMYFUNCTION("""COMPUTED_VALUE"""),"")</f>
        <v/>
      </c>
      <c r="R906" s="259" t="str">
        <f>IFERROR(__xludf.DUMMYFUNCTION("""COMPUTED_VALUE"""),"")</f>
        <v/>
      </c>
      <c r="S906" s="250" t="str">
        <f t="shared" si="5"/>
        <v/>
      </c>
      <c r="T906" s="254" t="str">
        <f>IFERROR(__xludf.DUMMYFUNCTION("""COMPUTED_VALUE"""),"")</f>
        <v/>
      </c>
      <c r="U906" s="246" t="str">
        <f>IFERROR(__xludf.DUMMYFUNCTION("""COMPUTED_VALUE"""),"")</f>
        <v/>
      </c>
      <c r="V906" s="247" t="str">
        <f t="shared" si="6"/>
        <v/>
      </c>
      <c r="W906" s="255" t="str">
        <f>IFERROR(__xludf.DUMMYFUNCTION("""COMPUTED_VALUE"""),"")</f>
        <v/>
      </c>
      <c r="X906" s="249" t="str">
        <f>IFERROR(__xludf.DUMMYFUNCTION("""COMPUTED_VALUE"""),"")</f>
        <v/>
      </c>
      <c r="Y906" s="250" t="str">
        <f t="shared" si="7"/>
        <v/>
      </c>
    </row>
    <row r="907">
      <c r="A907" s="136" t="s">
        <v>133</v>
      </c>
      <c r="B907" s="136"/>
      <c r="C907" s="136" t="s">
        <v>133</v>
      </c>
      <c r="D907" s="136"/>
      <c r="E907" s="256" t="str">
        <f>IFERROR(__xludf.DUMMYFUNCTION("""COMPUTED_VALUE"""),"")</f>
        <v/>
      </c>
      <c r="F907" s="257" t="str">
        <f>IFERROR(__xludf.DUMMYFUNCTION("""COMPUTED_VALUE"""),"")</f>
        <v/>
      </c>
      <c r="G907" s="247" t="str">
        <f t="shared" si="1"/>
        <v/>
      </c>
      <c r="H907" s="258" t="str">
        <f>IFERROR(__xludf.DUMMYFUNCTION("""COMPUTED_VALUE"""),"")</f>
        <v/>
      </c>
      <c r="I907" s="259" t="str">
        <f>IFERROR(__xludf.DUMMYFUNCTION("""COMPUTED_VALUE"""),"")</f>
        <v/>
      </c>
      <c r="J907" s="250" t="str">
        <f t="shared" si="2"/>
        <v/>
      </c>
      <c r="K907" s="317" t="str">
        <f>IFERROR(__xludf.DUMMYFUNCTION("""COMPUTED_VALUE"""),"")</f>
        <v/>
      </c>
      <c r="L907" s="318" t="str">
        <f>IFERROR(__xludf.DUMMYFUNCTION("""COMPUTED_VALUE"""),"")</f>
        <v/>
      </c>
      <c r="M907" s="253" t="str">
        <f t="shared" si="3"/>
        <v/>
      </c>
      <c r="N907" s="319" t="str">
        <f>IFERROR(__xludf.DUMMYFUNCTION("""COMPUTED_VALUE"""),"")</f>
        <v/>
      </c>
      <c r="O907" s="257" t="str">
        <f>IFERROR(__xludf.DUMMYFUNCTION("""COMPUTED_VALUE"""),"")</f>
        <v/>
      </c>
      <c r="P907" s="247" t="str">
        <f t="shared" si="4"/>
        <v/>
      </c>
      <c r="Q907" s="320" t="str">
        <f>IFERROR(__xludf.DUMMYFUNCTION("""COMPUTED_VALUE"""),"")</f>
        <v/>
      </c>
      <c r="R907" s="259" t="str">
        <f>IFERROR(__xludf.DUMMYFUNCTION("""COMPUTED_VALUE"""),"")</f>
        <v/>
      </c>
      <c r="S907" s="250" t="str">
        <f t="shared" si="5"/>
        <v/>
      </c>
      <c r="T907" s="254" t="str">
        <f>IFERROR(__xludf.DUMMYFUNCTION("""COMPUTED_VALUE"""),"")</f>
        <v/>
      </c>
      <c r="U907" s="246" t="str">
        <f>IFERROR(__xludf.DUMMYFUNCTION("""COMPUTED_VALUE"""),"")</f>
        <v/>
      </c>
      <c r="V907" s="247" t="str">
        <f t="shared" si="6"/>
        <v/>
      </c>
      <c r="W907" s="255" t="str">
        <f>IFERROR(__xludf.DUMMYFUNCTION("""COMPUTED_VALUE"""),"")</f>
        <v/>
      </c>
      <c r="X907" s="249" t="str">
        <f>IFERROR(__xludf.DUMMYFUNCTION("""COMPUTED_VALUE"""),"")</f>
        <v/>
      </c>
      <c r="Y907" s="250" t="str">
        <f t="shared" si="7"/>
        <v/>
      </c>
    </row>
    <row r="908">
      <c r="A908" s="136" t="s">
        <v>133</v>
      </c>
      <c r="B908" s="136"/>
      <c r="C908" s="136" t="s">
        <v>133</v>
      </c>
      <c r="D908" s="136"/>
      <c r="E908" s="256" t="str">
        <f>IFERROR(__xludf.DUMMYFUNCTION("""COMPUTED_VALUE"""),"")</f>
        <v/>
      </c>
      <c r="F908" s="257" t="str">
        <f>IFERROR(__xludf.DUMMYFUNCTION("""COMPUTED_VALUE"""),"")</f>
        <v/>
      </c>
      <c r="G908" s="247" t="str">
        <f t="shared" si="1"/>
        <v/>
      </c>
      <c r="H908" s="258" t="str">
        <f>IFERROR(__xludf.DUMMYFUNCTION("""COMPUTED_VALUE"""),"")</f>
        <v/>
      </c>
      <c r="I908" s="259" t="str">
        <f>IFERROR(__xludf.DUMMYFUNCTION("""COMPUTED_VALUE"""),"")</f>
        <v/>
      </c>
      <c r="J908" s="250" t="str">
        <f t="shared" si="2"/>
        <v/>
      </c>
      <c r="K908" s="317" t="str">
        <f>IFERROR(__xludf.DUMMYFUNCTION("""COMPUTED_VALUE"""),"")</f>
        <v/>
      </c>
      <c r="L908" s="318" t="str">
        <f>IFERROR(__xludf.DUMMYFUNCTION("""COMPUTED_VALUE"""),"")</f>
        <v/>
      </c>
      <c r="M908" s="253" t="str">
        <f t="shared" si="3"/>
        <v/>
      </c>
      <c r="N908" s="319" t="str">
        <f>IFERROR(__xludf.DUMMYFUNCTION("""COMPUTED_VALUE"""),"")</f>
        <v/>
      </c>
      <c r="O908" s="257" t="str">
        <f>IFERROR(__xludf.DUMMYFUNCTION("""COMPUTED_VALUE"""),"")</f>
        <v/>
      </c>
      <c r="P908" s="247" t="str">
        <f t="shared" si="4"/>
        <v/>
      </c>
      <c r="Q908" s="320" t="str">
        <f>IFERROR(__xludf.DUMMYFUNCTION("""COMPUTED_VALUE"""),"")</f>
        <v/>
      </c>
      <c r="R908" s="259" t="str">
        <f>IFERROR(__xludf.DUMMYFUNCTION("""COMPUTED_VALUE"""),"")</f>
        <v/>
      </c>
      <c r="S908" s="250" t="str">
        <f t="shared" si="5"/>
        <v/>
      </c>
      <c r="T908" s="254" t="str">
        <f>IFERROR(__xludf.DUMMYFUNCTION("""COMPUTED_VALUE"""),"")</f>
        <v/>
      </c>
      <c r="U908" s="246" t="str">
        <f>IFERROR(__xludf.DUMMYFUNCTION("""COMPUTED_VALUE"""),"")</f>
        <v/>
      </c>
      <c r="V908" s="247" t="str">
        <f t="shared" si="6"/>
        <v/>
      </c>
      <c r="W908" s="255" t="str">
        <f>IFERROR(__xludf.DUMMYFUNCTION("""COMPUTED_VALUE"""),"")</f>
        <v/>
      </c>
      <c r="X908" s="249" t="str">
        <f>IFERROR(__xludf.DUMMYFUNCTION("""COMPUTED_VALUE"""),"")</f>
        <v/>
      </c>
      <c r="Y908" s="250" t="str">
        <f t="shared" si="7"/>
        <v/>
      </c>
    </row>
    <row r="909">
      <c r="A909" s="136" t="s">
        <v>133</v>
      </c>
      <c r="B909" s="136"/>
      <c r="C909" s="136" t="s">
        <v>133</v>
      </c>
      <c r="D909" s="136"/>
      <c r="E909" s="256" t="str">
        <f>IFERROR(__xludf.DUMMYFUNCTION("""COMPUTED_VALUE"""),"")</f>
        <v/>
      </c>
      <c r="F909" s="257" t="str">
        <f>IFERROR(__xludf.DUMMYFUNCTION("""COMPUTED_VALUE"""),"")</f>
        <v/>
      </c>
      <c r="G909" s="247" t="str">
        <f t="shared" si="1"/>
        <v/>
      </c>
      <c r="H909" s="258" t="str">
        <f>IFERROR(__xludf.DUMMYFUNCTION("""COMPUTED_VALUE"""),"")</f>
        <v/>
      </c>
      <c r="I909" s="259" t="str">
        <f>IFERROR(__xludf.DUMMYFUNCTION("""COMPUTED_VALUE"""),"")</f>
        <v/>
      </c>
      <c r="J909" s="250" t="str">
        <f t="shared" si="2"/>
        <v/>
      </c>
      <c r="K909" s="317" t="str">
        <f>IFERROR(__xludf.DUMMYFUNCTION("""COMPUTED_VALUE"""),"")</f>
        <v/>
      </c>
      <c r="L909" s="318" t="str">
        <f>IFERROR(__xludf.DUMMYFUNCTION("""COMPUTED_VALUE"""),"")</f>
        <v/>
      </c>
      <c r="M909" s="253" t="str">
        <f t="shared" si="3"/>
        <v/>
      </c>
      <c r="N909" s="319" t="str">
        <f>IFERROR(__xludf.DUMMYFUNCTION("""COMPUTED_VALUE"""),"")</f>
        <v/>
      </c>
      <c r="O909" s="257" t="str">
        <f>IFERROR(__xludf.DUMMYFUNCTION("""COMPUTED_VALUE"""),"")</f>
        <v/>
      </c>
      <c r="P909" s="247" t="str">
        <f t="shared" si="4"/>
        <v/>
      </c>
      <c r="Q909" s="320" t="str">
        <f>IFERROR(__xludf.DUMMYFUNCTION("""COMPUTED_VALUE"""),"")</f>
        <v/>
      </c>
      <c r="R909" s="259" t="str">
        <f>IFERROR(__xludf.DUMMYFUNCTION("""COMPUTED_VALUE"""),"")</f>
        <v/>
      </c>
      <c r="S909" s="250" t="str">
        <f t="shared" si="5"/>
        <v/>
      </c>
      <c r="T909" s="254" t="str">
        <f>IFERROR(__xludf.DUMMYFUNCTION("""COMPUTED_VALUE"""),"")</f>
        <v/>
      </c>
      <c r="U909" s="246" t="str">
        <f>IFERROR(__xludf.DUMMYFUNCTION("""COMPUTED_VALUE"""),"")</f>
        <v/>
      </c>
      <c r="V909" s="247" t="str">
        <f t="shared" si="6"/>
        <v/>
      </c>
      <c r="W909" s="255" t="str">
        <f>IFERROR(__xludf.DUMMYFUNCTION("""COMPUTED_VALUE"""),"")</f>
        <v/>
      </c>
      <c r="X909" s="249" t="str">
        <f>IFERROR(__xludf.DUMMYFUNCTION("""COMPUTED_VALUE"""),"")</f>
        <v/>
      </c>
      <c r="Y909" s="250" t="str">
        <f t="shared" si="7"/>
        <v/>
      </c>
    </row>
    <row r="910">
      <c r="A910" s="136" t="s">
        <v>133</v>
      </c>
      <c r="B910" s="136"/>
      <c r="C910" s="136" t="s">
        <v>133</v>
      </c>
      <c r="D910" s="136"/>
      <c r="E910" s="256" t="str">
        <f>IFERROR(__xludf.DUMMYFUNCTION("""COMPUTED_VALUE"""),"")</f>
        <v/>
      </c>
      <c r="F910" s="257" t="str">
        <f>IFERROR(__xludf.DUMMYFUNCTION("""COMPUTED_VALUE"""),"")</f>
        <v/>
      </c>
      <c r="G910" s="247" t="str">
        <f t="shared" si="1"/>
        <v/>
      </c>
      <c r="H910" s="258" t="str">
        <f>IFERROR(__xludf.DUMMYFUNCTION("""COMPUTED_VALUE"""),"")</f>
        <v/>
      </c>
      <c r="I910" s="259" t="str">
        <f>IFERROR(__xludf.DUMMYFUNCTION("""COMPUTED_VALUE"""),"")</f>
        <v/>
      </c>
      <c r="J910" s="250" t="str">
        <f t="shared" si="2"/>
        <v/>
      </c>
      <c r="K910" s="317" t="str">
        <f>IFERROR(__xludf.DUMMYFUNCTION("""COMPUTED_VALUE"""),"")</f>
        <v/>
      </c>
      <c r="L910" s="318" t="str">
        <f>IFERROR(__xludf.DUMMYFUNCTION("""COMPUTED_VALUE"""),"")</f>
        <v/>
      </c>
      <c r="M910" s="253" t="str">
        <f t="shared" si="3"/>
        <v/>
      </c>
      <c r="N910" s="319" t="str">
        <f>IFERROR(__xludf.DUMMYFUNCTION("""COMPUTED_VALUE"""),"")</f>
        <v/>
      </c>
      <c r="O910" s="257" t="str">
        <f>IFERROR(__xludf.DUMMYFUNCTION("""COMPUTED_VALUE"""),"")</f>
        <v/>
      </c>
      <c r="P910" s="247" t="str">
        <f t="shared" si="4"/>
        <v/>
      </c>
      <c r="Q910" s="320" t="str">
        <f>IFERROR(__xludf.DUMMYFUNCTION("""COMPUTED_VALUE"""),"")</f>
        <v/>
      </c>
      <c r="R910" s="259" t="str">
        <f>IFERROR(__xludf.DUMMYFUNCTION("""COMPUTED_VALUE"""),"")</f>
        <v/>
      </c>
      <c r="S910" s="250" t="str">
        <f t="shared" si="5"/>
        <v/>
      </c>
      <c r="T910" s="254" t="str">
        <f>IFERROR(__xludf.DUMMYFUNCTION("""COMPUTED_VALUE"""),"")</f>
        <v/>
      </c>
      <c r="U910" s="246" t="str">
        <f>IFERROR(__xludf.DUMMYFUNCTION("""COMPUTED_VALUE"""),"")</f>
        <v/>
      </c>
      <c r="V910" s="247" t="str">
        <f t="shared" si="6"/>
        <v/>
      </c>
      <c r="W910" s="255" t="str">
        <f>IFERROR(__xludf.DUMMYFUNCTION("""COMPUTED_VALUE"""),"")</f>
        <v/>
      </c>
      <c r="X910" s="249" t="str">
        <f>IFERROR(__xludf.DUMMYFUNCTION("""COMPUTED_VALUE"""),"")</f>
        <v/>
      </c>
      <c r="Y910" s="250" t="str">
        <f t="shared" si="7"/>
        <v/>
      </c>
    </row>
    <row r="911">
      <c r="A911" s="136" t="s">
        <v>133</v>
      </c>
      <c r="B911" s="136"/>
      <c r="C911" s="136" t="s">
        <v>133</v>
      </c>
      <c r="D911" s="136"/>
      <c r="E911" s="256" t="str">
        <f>IFERROR(__xludf.DUMMYFUNCTION("""COMPUTED_VALUE"""),"")</f>
        <v/>
      </c>
      <c r="F911" s="257" t="str">
        <f>IFERROR(__xludf.DUMMYFUNCTION("""COMPUTED_VALUE"""),"")</f>
        <v/>
      </c>
      <c r="G911" s="247" t="str">
        <f t="shared" si="1"/>
        <v/>
      </c>
      <c r="H911" s="258" t="str">
        <f>IFERROR(__xludf.DUMMYFUNCTION("""COMPUTED_VALUE"""),"")</f>
        <v/>
      </c>
      <c r="I911" s="259" t="str">
        <f>IFERROR(__xludf.DUMMYFUNCTION("""COMPUTED_VALUE"""),"")</f>
        <v/>
      </c>
      <c r="J911" s="250" t="str">
        <f t="shared" si="2"/>
        <v/>
      </c>
      <c r="K911" s="317" t="str">
        <f>IFERROR(__xludf.DUMMYFUNCTION("""COMPUTED_VALUE"""),"")</f>
        <v/>
      </c>
      <c r="L911" s="318" t="str">
        <f>IFERROR(__xludf.DUMMYFUNCTION("""COMPUTED_VALUE"""),"")</f>
        <v/>
      </c>
      <c r="M911" s="253" t="str">
        <f t="shared" si="3"/>
        <v/>
      </c>
      <c r="N911" s="319" t="str">
        <f>IFERROR(__xludf.DUMMYFUNCTION("""COMPUTED_VALUE"""),"")</f>
        <v/>
      </c>
      <c r="O911" s="257" t="str">
        <f>IFERROR(__xludf.DUMMYFUNCTION("""COMPUTED_VALUE"""),"")</f>
        <v/>
      </c>
      <c r="P911" s="247" t="str">
        <f t="shared" si="4"/>
        <v/>
      </c>
      <c r="Q911" s="320" t="str">
        <f>IFERROR(__xludf.DUMMYFUNCTION("""COMPUTED_VALUE"""),"")</f>
        <v/>
      </c>
      <c r="R911" s="259" t="str">
        <f>IFERROR(__xludf.DUMMYFUNCTION("""COMPUTED_VALUE"""),"")</f>
        <v/>
      </c>
      <c r="S911" s="250" t="str">
        <f t="shared" si="5"/>
        <v/>
      </c>
      <c r="T911" s="254" t="str">
        <f>IFERROR(__xludf.DUMMYFUNCTION("""COMPUTED_VALUE"""),"")</f>
        <v/>
      </c>
      <c r="U911" s="246" t="str">
        <f>IFERROR(__xludf.DUMMYFUNCTION("""COMPUTED_VALUE"""),"")</f>
        <v/>
      </c>
      <c r="V911" s="247" t="str">
        <f t="shared" si="6"/>
        <v/>
      </c>
      <c r="W911" s="255" t="str">
        <f>IFERROR(__xludf.DUMMYFUNCTION("""COMPUTED_VALUE"""),"")</f>
        <v/>
      </c>
      <c r="X911" s="249" t="str">
        <f>IFERROR(__xludf.DUMMYFUNCTION("""COMPUTED_VALUE"""),"")</f>
        <v/>
      </c>
      <c r="Y911" s="250" t="str">
        <f t="shared" si="7"/>
        <v/>
      </c>
    </row>
    <row r="912">
      <c r="A912" s="136" t="s">
        <v>133</v>
      </c>
      <c r="B912" s="136"/>
      <c r="C912" s="136" t="s">
        <v>133</v>
      </c>
      <c r="D912" s="136"/>
      <c r="E912" s="256" t="str">
        <f>IFERROR(__xludf.DUMMYFUNCTION("""COMPUTED_VALUE"""),"")</f>
        <v/>
      </c>
      <c r="F912" s="257" t="str">
        <f>IFERROR(__xludf.DUMMYFUNCTION("""COMPUTED_VALUE"""),"")</f>
        <v/>
      </c>
      <c r="G912" s="247" t="str">
        <f t="shared" si="1"/>
        <v/>
      </c>
      <c r="H912" s="258" t="str">
        <f>IFERROR(__xludf.DUMMYFUNCTION("""COMPUTED_VALUE"""),"")</f>
        <v/>
      </c>
      <c r="I912" s="259" t="str">
        <f>IFERROR(__xludf.DUMMYFUNCTION("""COMPUTED_VALUE"""),"")</f>
        <v/>
      </c>
      <c r="J912" s="250" t="str">
        <f t="shared" si="2"/>
        <v/>
      </c>
      <c r="K912" s="317" t="str">
        <f>IFERROR(__xludf.DUMMYFUNCTION("""COMPUTED_VALUE"""),"")</f>
        <v/>
      </c>
      <c r="L912" s="318" t="str">
        <f>IFERROR(__xludf.DUMMYFUNCTION("""COMPUTED_VALUE"""),"")</f>
        <v/>
      </c>
      <c r="M912" s="253" t="str">
        <f t="shared" si="3"/>
        <v/>
      </c>
      <c r="N912" s="319" t="str">
        <f>IFERROR(__xludf.DUMMYFUNCTION("""COMPUTED_VALUE"""),"")</f>
        <v/>
      </c>
      <c r="O912" s="257" t="str">
        <f>IFERROR(__xludf.DUMMYFUNCTION("""COMPUTED_VALUE"""),"")</f>
        <v/>
      </c>
      <c r="P912" s="247" t="str">
        <f t="shared" si="4"/>
        <v/>
      </c>
      <c r="Q912" s="320" t="str">
        <f>IFERROR(__xludf.DUMMYFUNCTION("""COMPUTED_VALUE"""),"")</f>
        <v/>
      </c>
      <c r="R912" s="259" t="str">
        <f>IFERROR(__xludf.DUMMYFUNCTION("""COMPUTED_VALUE"""),"")</f>
        <v/>
      </c>
      <c r="S912" s="250" t="str">
        <f t="shared" si="5"/>
        <v/>
      </c>
      <c r="T912" s="254" t="str">
        <f>IFERROR(__xludf.DUMMYFUNCTION("""COMPUTED_VALUE"""),"")</f>
        <v/>
      </c>
      <c r="U912" s="246" t="str">
        <f>IFERROR(__xludf.DUMMYFUNCTION("""COMPUTED_VALUE"""),"")</f>
        <v/>
      </c>
      <c r="V912" s="247" t="str">
        <f t="shared" si="6"/>
        <v/>
      </c>
      <c r="W912" s="255" t="str">
        <f>IFERROR(__xludf.DUMMYFUNCTION("""COMPUTED_VALUE"""),"")</f>
        <v/>
      </c>
      <c r="X912" s="249" t="str">
        <f>IFERROR(__xludf.DUMMYFUNCTION("""COMPUTED_VALUE"""),"")</f>
        <v/>
      </c>
      <c r="Y912" s="250" t="str">
        <f t="shared" si="7"/>
        <v/>
      </c>
    </row>
    <row r="913">
      <c r="A913" s="136" t="s">
        <v>133</v>
      </c>
      <c r="B913" s="136"/>
      <c r="C913" s="136" t="s">
        <v>133</v>
      </c>
      <c r="D913" s="136"/>
      <c r="E913" s="256" t="str">
        <f>IFERROR(__xludf.DUMMYFUNCTION("""COMPUTED_VALUE"""),"")</f>
        <v/>
      </c>
      <c r="F913" s="257" t="str">
        <f>IFERROR(__xludf.DUMMYFUNCTION("""COMPUTED_VALUE"""),"")</f>
        <v/>
      </c>
      <c r="G913" s="247" t="str">
        <f t="shared" si="1"/>
        <v/>
      </c>
      <c r="H913" s="258" t="str">
        <f>IFERROR(__xludf.DUMMYFUNCTION("""COMPUTED_VALUE"""),"")</f>
        <v/>
      </c>
      <c r="I913" s="259" t="str">
        <f>IFERROR(__xludf.DUMMYFUNCTION("""COMPUTED_VALUE"""),"")</f>
        <v/>
      </c>
      <c r="J913" s="250" t="str">
        <f t="shared" si="2"/>
        <v/>
      </c>
      <c r="K913" s="317" t="str">
        <f>IFERROR(__xludf.DUMMYFUNCTION("""COMPUTED_VALUE"""),"")</f>
        <v/>
      </c>
      <c r="L913" s="318" t="str">
        <f>IFERROR(__xludf.DUMMYFUNCTION("""COMPUTED_VALUE"""),"")</f>
        <v/>
      </c>
      <c r="M913" s="253" t="str">
        <f t="shared" si="3"/>
        <v/>
      </c>
      <c r="N913" s="319" t="str">
        <f>IFERROR(__xludf.DUMMYFUNCTION("""COMPUTED_VALUE"""),"")</f>
        <v/>
      </c>
      <c r="O913" s="257" t="str">
        <f>IFERROR(__xludf.DUMMYFUNCTION("""COMPUTED_VALUE"""),"")</f>
        <v/>
      </c>
      <c r="P913" s="247" t="str">
        <f t="shared" si="4"/>
        <v/>
      </c>
      <c r="Q913" s="320" t="str">
        <f>IFERROR(__xludf.DUMMYFUNCTION("""COMPUTED_VALUE"""),"")</f>
        <v/>
      </c>
      <c r="R913" s="259" t="str">
        <f>IFERROR(__xludf.DUMMYFUNCTION("""COMPUTED_VALUE"""),"")</f>
        <v/>
      </c>
      <c r="S913" s="250" t="str">
        <f t="shared" si="5"/>
        <v/>
      </c>
      <c r="T913" s="254" t="str">
        <f>IFERROR(__xludf.DUMMYFUNCTION("""COMPUTED_VALUE"""),"")</f>
        <v/>
      </c>
      <c r="U913" s="246" t="str">
        <f>IFERROR(__xludf.DUMMYFUNCTION("""COMPUTED_VALUE"""),"")</f>
        <v/>
      </c>
      <c r="V913" s="247" t="str">
        <f t="shared" si="6"/>
        <v/>
      </c>
      <c r="W913" s="255" t="str">
        <f>IFERROR(__xludf.DUMMYFUNCTION("""COMPUTED_VALUE"""),"")</f>
        <v/>
      </c>
      <c r="X913" s="249" t="str">
        <f>IFERROR(__xludf.DUMMYFUNCTION("""COMPUTED_VALUE"""),"")</f>
        <v/>
      </c>
      <c r="Y913" s="250" t="str">
        <f t="shared" si="7"/>
        <v/>
      </c>
    </row>
    <row r="914">
      <c r="A914" s="136" t="s">
        <v>133</v>
      </c>
      <c r="B914" s="136"/>
      <c r="C914" s="136" t="s">
        <v>133</v>
      </c>
      <c r="D914" s="136"/>
      <c r="E914" s="256" t="str">
        <f>IFERROR(__xludf.DUMMYFUNCTION("""COMPUTED_VALUE"""),"")</f>
        <v/>
      </c>
      <c r="F914" s="257" t="str">
        <f>IFERROR(__xludf.DUMMYFUNCTION("""COMPUTED_VALUE"""),"")</f>
        <v/>
      </c>
      <c r="G914" s="247" t="str">
        <f t="shared" si="1"/>
        <v/>
      </c>
      <c r="H914" s="258" t="str">
        <f>IFERROR(__xludf.DUMMYFUNCTION("""COMPUTED_VALUE"""),"")</f>
        <v/>
      </c>
      <c r="I914" s="259" t="str">
        <f>IFERROR(__xludf.DUMMYFUNCTION("""COMPUTED_VALUE"""),"")</f>
        <v/>
      </c>
      <c r="J914" s="250" t="str">
        <f t="shared" si="2"/>
        <v/>
      </c>
      <c r="K914" s="317" t="str">
        <f>IFERROR(__xludf.DUMMYFUNCTION("""COMPUTED_VALUE"""),"")</f>
        <v/>
      </c>
      <c r="L914" s="318" t="str">
        <f>IFERROR(__xludf.DUMMYFUNCTION("""COMPUTED_VALUE"""),"")</f>
        <v/>
      </c>
      <c r="M914" s="253" t="str">
        <f t="shared" si="3"/>
        <v/>
      </c>
      <c r="N914" s="319" t="str">
        <f>IFERROR(__xludf.DUMMYFUNCTION("""COMPUTED_VALUE"""),"")</f>
        <v/>
      </c>
      <c r="O914" s="257" t="str">
        <f>IFERROR(__xludf.DUMMYFUNCTION("""COMPUTED_VALUE"""),"")</f>
        <v/>
      </c>
      <c r="P914" s="247" t="str">
        <f t="shared" si="4"/>
        <v/>
      </c>
      <c r="Q914" s="320" t="str">
        <f>IFERROR(__xludf.DUMMYFUNCTION("""COMPUTED_VALUE"""),"")</f>
        <v/>
      </c>
      <c r="R914" s="259" t="str">
        <f>IFERROR(__xludf.DUMMYFUNCTION("""COMPUTED_VALUE"""),"")</f>
        <v/>
      </c>
      <c r="S914" s="250" t="str">
        <f t="shared" si="5"/>
        <v/>
      </c>
      <c r="T914" s="254" t="str">
        <f>IFERROR(__xludf.DUMMYFUNCTION("""COMPUTED_VALUE"""),"")</f>
        <v/>
      </c>
      <c r="U914" s="246" t="str">
        <f>IFERROR(__xludf.DUMMYFUNCTION("""COMPUTED_VALUE"""),"")</f>
        <v/>
      </c>
      <c r="V914" s="247" t="str">
        <f t="shared" si="6"/>
        <v/>
      </c>
      <c r="W914" s="255" t="str">
        <f>IFERROR(__xludf.DUMMYFUNCTION("""COMPUTED_VALUE"""),"")</f>
        <v/>
      </c>
      <c r="X914" s="249" t="str">
        <f>IFERROR(__xludf.DUMMYFUNCTION("""COMPUTED_VALUE"""),"")</f>
        <v/>
      </c>
      <c r="Y914" s="250" t="str">
        <f t="shared" si="7"/>
        <v/>
      </c>
    </row>
    <row r="915">
      <c r="A915" s="136" t="s">
        <v>133</v>
      </c>
      <c r="B915" s="136"/>
      <c r="C915" s="136" t="s">
        <v>133</v>
      </c>
      <c r="D915" s="136"/>
      <c r="E915" s="256" t="str">
        <f>IFERROR(__xludf.DUMMYFUNCTION("""COMPUTED_VALUE"""),"")</f>
        <v/>
      </c>
      <c r="F915" s="257" t="str">
        <f>IFERROR(__xludf.DUMMYFUNCTION("""COMPUTED_VALUE"""),"")</f>
        <v/>
      </c>
      <c r="G915" s="247" t="str">
        <f t="shared" si="1"/>
        <v/>
      </c>
      <c r="H915" s="258" t="str">
        <f>IFERROR(__xludf.DUMMYFUNCTION("""COMPUTED_VALUE"""),"")</f>
        <v/>
      </c>
      <c r="I915" s="259" t="str">
        <f>IFERROR(__xludf.DUMMYFUNCTION("""COMPUTED_VALUE"""),"")</f>
        <v/>
      </c>
      <c r="J915" s="250" t="str">
        <f t="shared" si="2"/>
        <v/>
      </c>
      <c r="K915" s="317" t="str">
        <f>IFERROR(__xludf.DUMMYFUNCTION("""COMPUTED_VALUE"""),"")</f>
        <v/>
      </c>
      <c r="L915" s="318" t="str">
        <f>IFERROR(__xludf.DUMMYFUNCTION("""COMPUTED_VALUE"""),"")</f>
        <v/>
      </c>
      <c r="M915" s="253" t="str">
        <f t="shared" si="3"/>
        <v/>
      </c>
      <c r="N915" s="319" t="str">
        <f>IFERROR(__xludf.DUMMYFUNCTION("""COMPUTED_VALUE"""),"")</f>
        <v/>
      </c>
      <c r="O915" s="257" t="str">
        <f>IFERROR(__xludf.DUMMYFUNCTION("""COMPUTED_VALUE"""),"")</f>
        <v/>
      </c>
      <c r="P915" s="247" t="str">
        <f t="shared" si="4"/>
        <v/>
      </c>
      <c r="Q915" s="320" t="str">
        <f>IFERROR(__xludf.DUMMYFUNCTION("""COMPUTED_VALUE"""),"")</f>
        <v/>
      </c>
      <c r="R915" s="259" t="str">
        <f>IFERROR(__xludf.DUMMYFUNCTION("""COMPUTED_VALUE"""),"")</f>
        <v/>
      </c>
      <c r="S915" s="250" t="str">
        <f t="shared" si="5"/>
        <v/>
      </c>
      <c r="T915" s="254" t="str">
        <f>IFERROR(__xludf.DUMMYFUNCTION("""COMPUTED_VALUE"""),"")</f>
        <v/>
      </c>
      <c r="U915" s="246" t="str">
        <f>IFERROR(__xludf.DUMMYFUNCTION("""COMPUTED_VALUE"""),"")</f>
        <v/>
      </c>
      <c r="V915" s="247" t="str">
        <f t="shared" si="6"/>
        <v/>
      </c>
      <c r="W915" s="255" t="str">
        <f>IFERROR(__xludf.DUMMYFUNCTION("""COMPUTED_VALUE"""),"")</f>
        <v/>
      </c>
      <c r="X915" s="249" t="str">
        <f>IFERROR(__xludf.DUMMYFUNCTION("""COMPUTED_VALUE"""),"")</f>
        <v/>
      </c>
      <c r="Y915" s="250" t="str">
        <f t="shared" si="7"/>
        <v/>
      </c>
    </row>
    <row r="916">
      <c r="A916" s="136" t="s">
        <v>133</v>
      </c>
      <c r="B916" s="136"/>
      <c r="C916" s="136" t="s">
        <v>133</v>
      </c>
      <c r="D916" s="136"/>
      <c r="E916" s="256" t="str">
        <f>IFERROR(__xludf.DUMMYFUNCTION("""COMPUTED_VALUE"""),"")</f>
        <v/>
      </c>
      <c r="F916" s="257" t="str">
        <f>IFERROR(__xludf.DUMMYFUNCTION("""COMPUTED_VALUE"""),"")</f>
        <v/>
      </c>
      <c r="G916" s="247" t="str">
        <f t="shared" si="1"/>
        <v/>
      </c>
      <c r="H916" s="258" t="str">
        <f>IFERROR(__xludf.DUMMYFUNCTION("""COMPUTED_VALUE"""),"")</f>
        <v/>
      </c>
      <c r="I916" s="259" t="str">
        <f>IFERROR(__xludf.DUMMYFUNCTION("""COMPUTED_VALUE"""),"")</f>
        <v/>
      </c>
      <c r="J916" s="250" t="str">
        <f t="shared" si="2"/>
        <v/>
      </c>
      <c r="K916" s="317" t="str">
        <f>IFERROR(__xludf.DUMMYFUNCTION("""COMPUTED_VALUE"""),"")</f>
        <v/>
      </c>
      <c r="L916" s="318" t="str">
        <f>IFERROR(__xludf.DUMMYFUNCTION("""COMPUTED_VALUE"""),"")</f>
        <v/>
      </c>
      <c r="M916" s="253" t="str">
        <f t="shared" si="3"/>
        <v/>
      </c>
      <c r="N916" s="319" t="str">
        <f>IFERROR(__xludf.DUMMYFUNCTION("""COMPUTED_VALUE"""),"")</f>
        <v/>
      </c>
      <c r="O916" s="257" t="str">
        <f>IFERROR(__xludf.DUMMYFUNCTION("""COMPUTED_VALUE"""),"")</f>
        <v/>
      </c>
      <c r="P916" s="247" t="str">
        <f t="shared" si="4"/>
        <v/>
      </c>
      <c r="Q916" s="320" t="str">
        <f>IFERROR(__xludf.DUMMYFUNCTION("""COMPUTED_VALUE"""),"")</f>
        <v/>
      </c>
      <c r="R916" s="259" t="str">
        <f>IFERROR(__xludf.DUMMYFUNCTION("""COMPUTED_VALUE"""),"")</f>
        <v/>
      </c>
      <c r="S916" s="250" t="str">
        <f t="shared" si="5"/>
        <v/>
      </c>
      <c r="T916" s="254" t="str">
        <f>IFERROR(__xludf.DUMMYFUNCTION("""COMPUTED_VALUE"""),"")</f>
        <v/>
      </c>
      <c r="U916" s="246" t="str">
        <f>IFERROR(__xludf.DUMMYFUNCTION("""COMPUTED_VALUE"""),"")</f>
        <v/>
      </c>
      <c r="V916" s="247" t="str">
        <f t="shared" si="6"/>
        <v/>
      </c>
      <c r="W916" s="255" t="str">
        <f>IFERROR(__xludf.DUMMYFUNCTION("""COMPUTED_VALUE"""),"")</f>
        <v/>
      </c>
      <c r="X916" s="249" t="str">
        <f>IFERROR(__xludf.DUMMYFUNCTION("""COMPUTED_VALUE"""),"")</f>
        <v/>
      </c>
      <c r="Y916" s="250" t="str">
        <f t="shared" si="7"/>
        <v/>
      </c>
    </row>
    <row r="917">
      <c r="A917" s="136" t="s">
        <v>133</v>
      </c>
      <c r="B917" s="136"/>
      <c r="C917" s="136" t="s">
        <v>133</v>
      </c>
      <c r="D917" s="136"/>
      <c r="E917" s="256" t="str">
        <f>IFERROR(__xludf.DUMMYFUNCTION("""COMPUTED_VALUE"""),"")</f>
        <v/>
      </c>
      <c r="F917" s="257" t="str">
        <f>IFERROR(__xludf.DUMMYFUNCTION("""COMPUTED_VALUE"""),"")</f>
        <v/>
      </c>
      <c r="G917" s="247" t="str">
        <f t="shared" si="1"/>
        <v/>
      </c>
      <c r="H917" s="258" t="str">
        <f>IFERROR(__xludf.DUMMYFUNCTION("""COMPUTED_VALUE"""),"")</f>
        <v/>
      </c>
      <c r="I917" s="259" t="str">
        <f>IFERROR(__xludf.DUMMYFUNCTION("""COMPUTED_VALUE"""),"")</f>
        <v/>
      </c>
      <c r="J917" s="250" t="str">
        <f t="shared" si="2"/>
        <v/>
      </c>
      <c r="K917" s="317" t="str">
        <f>IFERROR(__xludf.DUMMYFUNCTION("""COMPUTED_VALUE"""),"")</f>
        <v/>
      </c>
      <c r="L917" s="318" t="str">
        <f>IFERROR(__xludf.DUMMYFUNCTION("""COMPUTED_VALUE"""),"")</f>
        <v/>
      </c>
      <c r="M917" s="253" t="str">
        <f t="shared" si="3"/>
        <v/>
      </c>
      <c r="N917" s="319" t="str">
        <f>IFERROR(__xludf.DUMMYFUNCTION("""COMPUTED_VALUE"""),"")</f>
        <v/>
      </c>
      <c r="O917" s="257" t="str">
        <f>IFERROR(__xludf.DUMMYFUNCTION("""COMPUTED_VALUE"""),"")</f>
        <v/>
      </c>
      <c r="P917" s="247" t="str">
        <f t="shared" si="4"/>
        <v/>
      </c>
      <c r="Q917" s="320" t="str">
        <f>IFERROR(__xludf.DUMMYFUNCTION("""COMPUTED_VALUE"""),"")</f>
        <v/>
      </c>
      <c r="R917" s="259" t="str">
        <f>IFERROR(__xludf.DUMMYFUNCTION("""COMPUTED_VALUE"""),"")</f>
        <v/>
      </c>
      <c r="S917" s="250" t="str">
        <f t="shared" si="5"/>
        <v/>
      </c>
      <c r="T917" s="254" t="str">
        <f>IFERROR(__xludf.DUMMYFUNCTION("""COMPUTED_VALUE"""),"")</f>
        <v/>
      </c>
      <c r="U917" s="246" t="str">
        <f>IFERROR(__xludf.DUMMYFUNCTION("""COMPUTED_VALUE"""),"")</f>
        <v/>
      </c>
      <c r="V917" s="247" t="str">
        <f t="shared" si="6"/>
        <v/>
      </c>
      <c r="W917" s="255" t="str">
        <f>IFERROR(__xludf.DUMMYFUNCTION("""COMPUTED_VALUE"""),"")</f>
        <v/>
      </c>
      <c r="X917" s="249" t="str">
        <f>IFERROR(__xludf.DUMMYFUNCTION("""COMPUTED_VALUE"""),"")</f>
        <v/>
      </c>
      <c r="Y917" s="250" t="str">
        <f t="shared" si="7"/>
        <v/>
      </c>
    </row>
    <row r="918">
      <c r="A918" s="136" t="s">
        <v>133</v>
      </c>
      <c r="B918" s="136"/>
      <c r="C918" s="136" t="s">
        <v>133</v>
      </c>
      <c r="D918" s="136"/>
      <c r="E918" s="256" t="str">
        <f>IFERROR(__xludf.DUMMYFUNCTION("""COMPUTED_VALUE"""),"")</f>
        <v/>
      </c>
      <c r="F918" s="257" t="str">
        <f>IFERROR(__xludf.DUMMYFUNCTION("""COMPUTED_VALUE"""),"")</f>
        <v/>
      </c>
      <c r="G918" s="247" t="str">
        <f t="shared" si="1"/>
        <v/>
      </c>
      <c r="H918" s="258" t="str">
        <f>IFERROR(__xludf.DUMMYFUNCTION("""COMPUTED_VALUE"""),"")</f>
        <v/>
      </c>
      <c r="I918" s="259" t="str">
        <f>IFERROR(__xludf.DUMMYFUNCTION("""COMPUTED_VALUE"""),"")</f>
        <v/>
      </c>
      <c r="J918" s="250" t="str">
        <f t="shared" si="2"/>
        <v/>
      </c>
      <c r="K918" s="317" t="str">
        <f>IFERROR(__xludf.DUMMYFUNCTION("""COMPUTED_VALUE"""),"")</f>
        <v/>
      </c>
      <c r="L918" s="318" t="str">
        <f>IFERROR(__xludf.DUMMYFUNCTION("""COMPUTED_VALUE"""),"")</f>
        <v/>
      </c>
      <c r="M918" s="253" t="str">
        <f t="shared" si="3"/>
        <v/>
      </c>
      <c r="N918" s="319" t="str">
        <f>IFERROR(__xludf.DUMMYFUNCTION("""COMPUTED_VALUE"""),"")</f>
        <v/>
      </c>
      <c r="O918" s="257" t="str">
        <f>IFERROR(__xludf.DUMMYFUNCTION("""COMPUTED_VALUE"""),"")</f>
        <v/>
      </c>
      <c r="P918" s="247" t="str">
        <f t="shared" si="4"/>
        <v/>
      </c>
      <c r="Q918" s="320" t="str">
        <f>IFERROR(__xludf.DUMMYFUNCTION("""COMPUTED_VALUE"""),"")</f>
        <v/>
      </c>
      <c r="R918" s="259" t="str">
        <f>IFERROR(__xludf.DUMMYFUNCTION("""COMPUTED_VALUE"""),"")</f>
        <v/>
      </c>
      <c r="S918" s="250" t="str">
        <f t="shared" si="5"/>
        <v/>
      </c>
      <c r="T918" s="254" t="str">
        <f>IFERROR(__xludf.DUMMYFUNCTION("""COMPUTED_VALUE"""),"")</f>
        <v/>
      </c>
      <c r="U918" s="246" t="str">
        <f>IFERROR(__xludf.DUMMYFUNCTION("""COMPUTED_VALUE"""),"")</f>
        <v/>
      </c>
      <c r="V918" s="247" t="str">
        <f t="shared" si="6"/>
        <v/>
      </c>
      <c r="W918" s="255" t="str">
        <f>IFERROR(__xludf.DUMMYFUNCTION("""COMPUTED_VALUE"""),"")</f>
        <v/>
      </c>
      <c r="X918" s="249" t="str">
        <f>IFERROR(__xludf.DUMMYFUNCTION("""COMPUTED_VALUE"""),"")</f>
        <v/>
      </c>
      <c r="Y918" s="250" t="str">
        <f t="shared" si="7"/>
        <v/>
      </c>
    </row>
    <row r="919">
      <c r="A919" s="136" t="s">
        <v>133</v>
      </c>
      <c r="B919" s="136"/>
      <c r="C919" s="136" t="s">
        <v>133</v>
      </c>
      <c r="D919" s="136"/>
      <c r="E919" s="256" t="str">
        <f>IFERROR(__xludf.DUMMYFUNCTION("""COMPUTED_VALUE"""),"")</f>
        <v/>
      </c>
      <c r="F919" s="257" t="str">
        <f>IFERROR(__xludf.DUMMYFUNCTION("""COMPUTED_VALUE"""),"")</f>
        <v/>
      </c>
      <c r="G919" s="247" t="str">
        <f t="shared" si="1"/>
        <v/>
      </c>
      <c r="H919" s="258" t="str">
        <f>IFERROR(__xludf.DUMMYFUNCTION("""COMPUTED_VALUE"""),"")</f>
        <v/>
      </c>
      <c r="I919" s="259" t="str">
        <f>IFERROR(__xludf.DUMMYFUNCTION("""COMPUTED_VALUE"""),"")</f>
        <v/>
      </c>
      <c r="J919" s="250" t="str">
        <f t="shared" si="2"/>
        <v/>
      </c>
      <c r="K919" s="317" t="str">
        <f>IFERROR(__xludf.DUMMYFUNCTION("""COMPUTED_VALUE"""),"")</f>
        <v/>
      </c>
      <c r="L919" s="318" t="str">
        <f>IFERROR(__xludf.DUMMYFUNCTION("""COMPUTED_VALUE"""),"")</f>
        <v/>
      </c>
      <c r="M919" s="253" t="str">
        <f t="shared" si="3"/>
        <v/>
      </c>
      <c r="N919" s="319" t="str">
        <f>IFERROR(__xludf.DUMMYFUNCTION("""COMPUTED_VALUE"""),"")</f>
        <v/>
      </c>
      <c r="O919" s="257" t="str">
        <f>IFERROR(__xludf.DUMMYFUNCTION("""COMPUTED_VALUE"""),"")</f>
        <v/>
      </c>
      <c r="P919" s="247" t="str">
        <f t="shared" si="4"/>
        <v/>
      </c>
      <c r="Q919" s="320" t="str">
        <f>IFERROR(__xludf.DUMMYFUNCTION("""COMPUTED_VALUE"""),"")</f>
        <v/>
      </c>
      <c r="R919" s="259" t="str">
        <f>IFERROR(__xludf.DUMMYFUNCTION("""COMPUTED_VALUE"""),"")</f>
        <v/>
      </c>
      <c r="S919" s="250" t="str">
        <f t="shared" si="5"/>
        <v/>
      </c>
      <c r="T919" s="254" t="str">
        <f>IFERROR(__xludf.DUMMYFUNCTION("""COMPUTED_VALUE"""),"")</f>
        <v/>
      </c>
      <c r="U919" s="246" t="str">
        <f>IFERROR(__xludf.DUMMYFUNCTION("""COMPUTED_VALUE"""),"")</f>
        <v/>
      </c>
      <c r="V919" s="247" t="str">
        <f t="shared" si="6"/>
        <v/>
      </c>
      <c r="W919" s="255" t="str">
        <f>IFERROR(__xludf.DUMMYFUNCTION("""COMPUTED_VALUE"""),"")</f>
        <v/>
      </c>
      <c r="X919" s="249" t="str">
        <f>IFERROR(__xludf.DUMMYFUNCTION("""COMPUTED_VALUE"""),"")</f>
        <v/>
      </c>
      <c r="Y919" s="250" t="str">
        <f t="shared" si="7"/>
        <v/>
      </c>
    </row>
    <row r="920">
      <c r="A920" s="136" t="s">
        <v>133</v>
      </c>
      <c r="B920" s="136"/>
      <c r="C920" s="136" t="s">
        <v>133</v>
      </c>
      <c r="D920" s="136"/>
      <c r="E920" s="256" t="str">
        <f>IFERROR(__xludf.DUMMYFUNCTION("""COMPUTED_VALUE"""),"")</f>
        <v/>
      </c>
      <c r="F920" s="257" t="str">
        <f>IFERROR(__xludf.DUMMYFUNCTION("""COMPUTED_VALUE"""),"")</f>
        <v/>
      </c>
      <c r="G920" s="247" t="str">
        <f t="shared" si="1"/>
        <v/>
      </c>
      <c r="H920" s="258" t="str">
        <f>IFERROR(__xludf.DUMMYFUNCTION("""COMPUTED_VALUE"""),"")</f>
        <v/>
      </c>
      <c r="I920" s="259" t="str">
        <f>IFERROR(__xludf.DUMMYFUNCTION("""COMPUTED_VALUE"""),"")</f>
        <v/>
      </c>
      <c r="J920" s="250" t="str">
        <f t="shared" si="2"/>
        <v/>
      </c>
      <c r="K920" s="317" t="str">
        <f>IFERROR(__xludf.DUMMYFUNCTION("""COMPUTED_VALUE"""),"")</f>
        <v/>
      </c>
      <c r="L920" s="318" t="str">
        <f>IFERROR(__xludf.DUMMYFUNCTION("""COMPUTED_VALUE"""),"")</f>
        <v/>
      </c>
      <c r="M920" s="253" t="str">
        <f t="shared" si="3"/>
        <v/>
      </c>
      <c r="N920" s="319" t="str">
        <f>IFERROR(__xludf.DUMMYFUNCTION("""COMPUTED_VALUE"""),"")</f>
        <v/>
      </c>
      <c r="O920" s="257" t="str">
        <f>IFERROR(__xludf.DUMMYFUNCTION("""COMPUTED_VALUE"""),"")</f>
        <v/>
      </c>
      <c r="P920" s="247" t="str">
        <f t="shared" si="4"/>
        <v/>
      </c>
      <c r="Q920" s="320" t="str">
        <f>IFERROR(__xludf.DUMMYFUNCTION("""COMPUTED_VALUE"""),"")</f>
        <v/>
      </c>
      <c r="R920" s="259" t="str">
        <f>IFERROR(__xludf.DUMMYFUNCTION("""COMPUTED_VALUE"""),"")</f>
        <v/>
      </c>
      <c r="S920" s="250" t="str">
        <f t="shared" si="5"/>
        <v/>
      </c>
      <c r="T920" s="254" t="str">
        <f>IFERROR(__xludf.DUMMYFUNCTION("""COMPUTED_VALUE"""),"")</f>
        <v/>
      </c>
      <c r="U920" s="246" t="str">
        <f>IFERROR(__xludf.DUMMYFUNCTION("""COMPUTED_VALUE"""),"")</f>
        <v/>
      </c>
      <c r="V920" s="247" t="str">
        <f t="shared" si="6"/>
        <v/>
      </c>
      <c r="W920" s="255" t="str">
        <f>IFERROR(__xludf.DUMMYFUNCTION("""COMPUTED_VALUE"""),"")</f>
        <v/>
      </c>
      <c r="X920" s="249" t="str">
        <f>IFERROR(__xludf.DUMMYFUNCTION("""COMPUTED_VALUE"""),"")</f>
        <v/>
      </c>
      <c r="Y920" s="250" t="str">
        <f t="shared" si="7"/>
        <v/>
      </c>
    </row>
    <row r="921">
      <c r="A921" s="136" t="s">
        <v>133</v>
      </c>
      <c r="B921" s="136"/>
      <c r="C921" s="136" t="s">
        <v>133</v>
      </c>
      <c r="D921" s="136"/>
      <c r="E921" s="256" t="str">
        <f>IFERROR(__xludf.DUMMYFUNCTION("""COMPUTED_VALUE"""),"")</f>
        <v/>
      </c>
      <c r="F921" s="257" t="str">
        <f>IFERROR(__xludf.DUMMYFUNCTION("""COMPUTED_VALUE"""),"")</f>
        <v/>
      </c>
      <c r="G921" s="247" t="str">
        <f t="shared" si="1"/>
        <v/>
      </c>
      <c r="H921" s="258" t="str">
        <f>IFERROR(__xludf.DUMMYFUNCTION("""COMPUTED_VALUE"""),"")</f>
        <v/>
      </c>
      <c r="I921" s="259" t="str">
        <f>IFERROR(__xludf.DUMMYFUNCTION("""COMPUTED_VALUE"""),"")</f>
        <v/>
      </c>
      <c r="J921" s="250" t="str">
        <f t="shared" si="2"/>
        <v/>
      </c>
      <c r="K921" s="317" t="str">
        <f>IFERROR(__xludf.DUMMYFUNCTION("""COMPUTED_VALUE"""),"")</f>
        <v/>
      </c>
      <c r="L921" s="318" t="str">
        <f>IFERROR(__xludf.DUMMYFUNCTION("""COMPUTED_VALUE"""),"")</f>
        <v/>
      </c>
      <c r="M921" s="253" t="str">
        <f t="shared" si="3"/>
        <v/>
      </c>
      <c r="N921" s="319" t="str">
        <f>IFERROR(__xludf.DUMMYFUNCTION("""COMPUTED_VALUE"""),"")</f>
        <v/>
      </c>
      <c r="O921" s="257" t="str">
        <f>IFERROR(__xludf.DUMMYFUNCTION("""COMPUTED_VALUE"""),"")</f>
        <v/>
      </c>
      <c r="P921" s="247" t="str">
        <f t="shared" si="4"/>
        <v/>
      </c>
      <c r="Q921" s="320" t="str">
        <f>IFERROR(__xludf.DUMMYFUNCTION("""COMPUTED_VALUE"""),"")</f>
        <v/>
      </c>
      <c r="R921" s="259" t="str">
        <f>IFERROR(__xludf.DUMMYFUNCTION("""COMPUTED_VALUE"""),"")</f>
        <v/>
      </c>
      <c r="S921" s="250" t="str">
        <f t="shared" si="5"/>
        <v/>
      </c>
      <c r="T921" s="254" t="str">
        <f>IFERROR(__xludf.DUMMYFUNCTION("""COMPUTED_VALUE"""),"")</f>
        <v/>
      </c>
      <c r="U921" s="246" t="str">
        <f>IFERROR(__xludf.DUMMYFUNCTION("""COMPUTED_VALUE"""),"")</f>
        <v/>
      </c>
      <c r="V921" s="247" t="str">
        <f t="shared" si="6"/>
        <v/>
      </c>
      <c r="W921" s="255" t="str">
        <f>IFERROR(__xludf.DUMMYFUNCTION("""COMPUTED_VALUE"""),"")</f>
        <v/>
      </c>
      <c r="X921" s="249" t="str">
        <f>IFERROR(__xludf.DUMMYFUNCTION("""COMPUTED_VALUE"""),"")</f>
        <v/>
      </c>
      <c r="Y921" s="250" t="str">
        <f t="shared" si="7"/>
        <v/>
      </c>
    </row>
    <row r="922">
      <c r="A922" s="136" t="s">
        <v>133</v>
      </c>
      <c r="B922" s="136"/>
      <c r="C922" s="136" t="s">
        <v>133</v>
      </c>
      <c r="D922" s="136"/>
      <c r="E922" s="256" t="str">
        <f>IFERROR(__xludf.DUMMYFUNCTION("""COMPUTED_VALUE"""),"")</f>
        <v/>
      </c>
      <c r="F922" s="257" t="str">
        <f>IFERROR(__xludf.DUMMYFUNCTION("""COMPUTED_VALUE"""),"")</f>
        <v/>
      </c>
      <c r="G922" s="247" t="str">
        <f t="shared" si="1"/>
        <v/>
      </c>
      <c r="H922" s="258" t="str">
        <f>IFERROR(__xludf.DUMMYFUNCTION("""COMPUTED_VALUE"""),"")</f>
        <v/>
      </c>
      <c r="I922" s="259" t="str">
        <f>IFERROR(__xludf.DUMMYFUNCTION("""COMPUTED_VALUE"""),"")</f>
        <v/>
      </c>
      <c r="J922" s="250" t="str">
        <f t="shared" si="2"/>
        <v/>
      </c>
      <c r="K922" s="317" t="str">
        <f>IFERROR(__xludf.DUMMYFUNCTION("""COMPUTED_VALUE"""),"")</f>
        <v/>
      </c>
      <c r="L922" s="318" t="str">
        <f>IFERROR(__xludf.DUMMYFUNCTION("""COMPUTED_VALUE"""),"")</f>
        <v/>
      </c>
      <c r="M922" s="253" t="str">
        <f t="shared" si="3"/>
        <v/>
      </c>
      <c r="N922" s="319" t="str">
        <f>IFERROR(__xludf.DUMMYFUNCTION("""COMPUTED_VALUE"""),"")</f>
        <v/>
      </c>
      <c r="O922" s="257" t="str">
        <f>IFERROR(__xludf.DUMMYFUNCTION("""COMPUTED_VALUE"""),"")</f>
        <v/>
      </c>
      <c r="P922" s="247" t="str">
        <f t="shared" si="4"/>
        <v/>
      </c>
      <c r="Q922" s="320" t="str">
        <f>IFERROR(__xludf.DUMMYFUNCTION("""COMPUTED_VALUE"""),"")</f>
        <v/>
      </c>
      <c r="R922" s="259" t="str">
        <f>IFERROR(__xludf.DUMMYFUNCTION("""COMPUTED_VALUE"""),"")</f>
        <v/>
      </c>
      <c r="S922" s="250" t="str">
        <f t="shared" si="5"/>
        <v/>
      </c>
      <c r="T922" s="254" t="str">
        <f>IFERROR(__xludf.DUMMYFUNCTION("""COMPUTED_VALUE"""),"")</f>
        <v/>
      </c>
      <c r="U922" s="246" t="str">
        <f>IFERROR(__xludf.DUMMYFUNCTION("""COMPUTED_VALUE"""),"")</f>
        <v/>
      </c>
      <c r="V922" s="247" t="str">
        <f t="shared" si="6"/>
        <v/>
      </c>
      <c r="W922" s="255" t="str">
        <f>IFERROR(__xludf.DUMMYFUNCTION("""COMPUTED_VALUE"""),"")</f>
        <v/>
      </c>
      <c r="X922" s="249" t="str">
        <f>IFERROR(__xludf.DUMMYFUNCTION("""COMPUTED_VALUE"""),"")</f>
        <v/>
      </c>
      <c r="Y922" s="250" t="str">
        <f t="shared" si="7"/>
        <v/>
      </c>
    </row>
    <row r="923">
      <c r="A923" s="136" t="s">
        <v>133</v>
      </c>
      <c r="B923" s="136"/>
      <c r="C923" s="136" t="s">
        <v>133</v>
      </c>
      <c r="D923" s="136"/>
      <c r="E923" s="256" t="str">
        <f>IFERROR(__xludf.DUMMYFUNCTION("""COMPUTED_VALUE"""),"")</f>
        <v/>
      </c>
      <c r="F923" s="257" t="str">
        <f>IFERROR(__xludf.DUMMYFUNCTION("""COMPUTED_VALUE"""),"")</f>
        <v/>
      </c>
      <c r="G923" s="247" t="str">
        <f t="shared" si="1"/>
        <v/>
      </c>
      <c r="H923" s="258" t="str">
        <f>IFERROR(__xludf.DUMMYFUNCTION("""COMPUTED_VALUE"""),"")</f>
        <v/>
      </c>
      <c r="I923" s="259" t="str">
        <f>IFERROR(__xludf.DUMMYFUNCTION("""COMPUTED_VALUE"""),"")</f>
        <v/>
      </c>
      <c r="J923" s="250" t="str">
        <f t="shared" si="2"/>
        <v/>
      </c>
      <c r="K923" s="317" t="str">
        <f>IFERROR(__xludf.DUMMYFUNCTION("""COMPUTED_VALUE"""),"")</f>
        <v/>
      </c>
      <c r="L923" s="318" t="str">
        <f>IFERROR(__xludf.DUMMYFUNCTION("""COMPUTED_VALUE"""),"")</f>
        <v/>
      </c>
      <c r="M923" s="253" t="str">
        <f t="shared" si="3"/>
        <v/>
      </c>
      <c r="N923" s="319" t="str">
        <f>IFERROR(__xludf.DUMMYFUNCTION("""COMPUTED_VALUE"""),"")</f>
        <v/>
      </c>
      <c r="O923" s="257" t="str">
        <f>IFERROR(__xludf.DUMMYFUNCTION("""COMPUTED_VALUE"""),"")</f>
        <v/>
      </c>
      <c r="P923" s="247" t="str">
        <f t="shared" si="4"/>
        <v/>
      </c>
      <c r="Q923" s="320" t="str">
        <f>IFERROR(__xludf.DUMMYFUNCTION("""COMPUTED_VALUE"""),"")</f>
        <v/>
      </c>
      <c r="R923" s="259" t="str">
        <f>IFERROR(__xludf.DUMMYFUNCTION("""COMPUTED_VALUE"""),"")</f>
        <v/>
      </c>
      <c r="S923" s="250" t="str">
        <f t="shared" si="5"/>
        <v/>
      </c>
      <c r="T923" s="254" t="str">
        <f>IFERROR(__xludf.DUMMYFUNCTION("""COMPUTED_VALUE"""),"")</f>
        <v/>
      </c>
      <c r="U923" s="246" t="str">
        <f>IFERROR(__xludf.DUMMYFUNCTION("""COMPUTED_VALUE"""),"")</f>
        <v/>
      </c>
      <c r="V923" s="247" t="str">
        <f t="shared" si="6"/>
        <v/>
      </c>
      <c r="W923" s="255" t="str">
        <f>IFERROR(__xludf.DUMMYFUNCTION("""COMPUTED_VALUE"""),"")</f>
        <v/>
      </c>
      <c r="X923" s="249" t="str">
        <f>IFERROR(__xludf.DUMMYFUNCTION("""COMPUTED_VALUE"""),"")</f>
        <v/>
      </c>
      <c r="Y923" s="250" t="str">
        <f t="shared" si="7"/>
        <v/>
      </c>
    </row>
    <row r="924">
      <c r="A924" s="136" t="s">
        <v>133</v>
      </c>
      <c r="B924" s="136"/>
      <c r="C924" s="136" t="s">
        <v>133</v>
      </c>
      <c r="D924" s="136"/>
      <c r="E924" s="256" t="str">
        <f>IFERROR(__xludf.DUMMYFUNCTION("""COMPUTED_VALUE"""),"")</f>
        <v/>
      </c>
      <c r="F924" s="257" t="str">
        <f>IFERROR(__xludf.DUMMYFUNCTION("""COMPUTED_VALUE"""),"")</f>
        <v/>
      </c>
      <c r="G924" s="247" t="str">
        <f t="shared" si="1"/>
        <v/>
      </c>
      <c r="H924" s="258" t="str">
        <f>IFERROR(__xludf.DUMMYFUNCTION("""COMPUTED_VALUE"""),"")</f>
        <v/>
      </c>
      <c r="I924" s="259" t="str">
        <f>IFERROR(__xludf.DUMMYFUNCTION("""COMPUTED_VALUE"""),"")</f>
        <v/>
      </c>
      <c r="J924" s="250" t="str">
        <f t="shared" si="2"/>
        <v/>
      </c>
      <c r="K924" s="317" t="str">
        <f>IFERROR(__xludf.DUMMYFUNCTION("""COMPUTED_VALUE"""),"")</f>
        <v/>
      </c>
      <c r="L924" s="318" t="str">
        <f>IFERROR(__xludf.DUMMYFUNCTION("""COMPUTED_VALUE"""),"")</f>
        <v/>
      </c>
      <c r="M924" s="253" t="str">
        <f t="shared" si="3"/>
        <v/>
      </c>
      <c r="N924" s="319" t="str">
        <f>IFERROR(__xludf.DUMMYFUNCTION("""COMPUTED_VALUE"""),"")</f>
        <v/>
      </c>
      <c r="O924" s="257" t="str">
        <f>IFERROR(__xludf.DUMMYFUNCTION("""COMPUTED_VALUE"""),"")</f>
        <v/>
      </c>
      <c r="P924" s="247" t="str">
        <f t="shared" si="4"/>
        <v/>
      </c>
      <c r="Q924" s="320" t="str">
        <f>IFERROR(__xludf.DUMMYFUNCTION("""COMPUTED_VALUE"""),"")</f>
        <v/>
      </c>
      <c r="R924" s="259" t="str">
        <f>IFERROR(__xludf.DUMMYFUNCTION("""COMPUTED_VALUE"""),"")</f>
        <v/>
      </c>
      <c r="S924" s="250" t="str">
        <f t="shared" si="5"/>
        <v/>
      </c>
      <c r="T924" s="254" t="str">
        <f>IFERROR(__xludf.DUMMYFUNCTION("""COMPUTED_VALUE"""),"")</f>
        <v/>
      </c>
      <c r="U924" s="246" t="str">
        <f>IFERROR(__xludf.DUMMYFUNCTION("""COMPUTED_VALUE"""),"")</f>
        <v/>
      </c>
      <c r="V924" s="247" t="str">
        <f t="shared" si="6"/>
        <v/>
      </c>
      <c r="W924" s="255" t="str">
        <f>IFERROR(__xludf.DUMMYFUNCTION("""COMPUTED_VALUE"""),"")</f>
        <v/>
      </c>
      <c r="X924" s="249" t="str">
        <f>IFERROR(__xludf.DUMMYFUNCTION("""COMPUTED_VALUE"""),"")</f>
        <v/>
      </c>
      <c r="Y924" s="250" t="str">
        <f t="shared" si="7"/>
        <v/>
      </c>
    </row>
    <row r="925">
      <c r="A925" s="136" t="s">
        <v>133</v>
      </c>
      <c r="B925" s="136"/>
      <c r="C925" s="136" t="s">
        <v>133</v>
      </c>
      <c r="D925" s="136"/>
      <c r="E925" s="256" t="str">
        <f>IFERROR(__xludf.DUMMYFUNCTION("""COMPUTED_VALUE"""),"")</f>
        <v/>
      </c>
      <c r="F925" s="257" t="str">
        <f>IFERROR(__xludf.DUMMYFUNCTION("""COMPUTED_VALUE"""),"")</f>
        <v/>
      </c>
      <c r="G925" s="247" t="str">
        <f t="shared" si="1"/>
        <v/>
      </c>
      <c r="H925" s="258" t="str">
        <f>IFERROR(__xludf.DUMMYFUNCTION("""COMPUTED_VALUE"""),"")</f>
        <v/>
      </c>
      <c r="I925" s="259" t="str">
        <f>IFERROR(__xludf.DUMMYFUNCTION("""COMPUTED_VALUE"""),"")</f>
        <v/>
      </c>
      <c r="J925" s="250" t="str">
        <f t="shared" si="2"/>
        <v/>
      </c>
      <c r="K925" s="317" t="str">
        <f>IFERROR(__xludf.DUMMYFUNCTION("""COMPUTED_VALUE"""),"")</f>
        <v/>
      </c>
      <c r="L925" s="318" t="str">
        <f>IFERROR(__xludf.DUMMYFUNCTION("""COMPUTED_VALUE"""),"")</f>
        <v/>
      </c>
      <c r="M925" s="253" t="str">
        <f t="shared" si="3"/>
        <v/>
      </c>
      <c r="N925" s="319" t="str">
        <f>IFERROR(__xludf.DUMMYFUNCTION("""COMPUTED_VALUE"""),"")</f>
        <v/>
      </c>
      <c r="O925" s="257" t="str">
        <f>IFERROR(__xludf.DUMMYFUNCTION("""COMPUTED_VALUE"""),"")</f>
        <v/>
      </c>
      <c r="P925" s="247" t="str">
        <f t="shared" si="4"/>
        <v/>
      </c>
      <c r="Q925" s="320" t="str">
        <f>IFERROR(__xludf.DUMMYFUNCTION("""COMPUTED_VALUE"""),"")</f>
        <v/>
      </c>
      <c r="R925" s="259" t="str">
        <f>IFERROR(__xludf.DUMMYFUNCTION("""COMPUTED_VALUE"""),"")</f>
        <v/>
      </c>
      <c r="S925" s="250" t="str">
        <f t="shared" si="5"/>
        <v/>
      </c>
      <c r="T925" s="254" t="str">
        <f>IFERROR(__xludf.DUMMYFUNCTION("""COMPUTED_VALUE"""),"")</f>
        <v/>
      </c>
      <c r="U925" s="246" t="str">
        <f>IFERROR(__xludf.DUMMYFUNCTION("""COMPUTED_VALUE"""),"")</f>
        <v/>
      </c>
      <c r="V925" s="247" t="str">
        <f t="shared" si="6"/>
        <v/>
      </c>
      <c r="W925" s="255" t="str">
        <f>IFERROR(__xludf.DUMMYFUNCTION("""COMPUTED_VALUE"""),"")</f>
        <v/>
      </c>
      <c r="X925" s="249" t="str">
        <f>IFERROR(__xludf.DUMMYFUNCTION("""COMPUTED_VALUE"""),"")</f>
        <v/>
      </c>
      <c r="Y925" s="250" t="str">
        <f t="shared" si="7"/>
        <v/>
      </c>
    </row>
    <row r="926">
      <c r="A926" s="136" t="s">
        <v>133</v>
      </c>
      <c r="B926" s="136"/>
      <c r="C926" s="136" t="s">
        <v>133</v>
      </c>
      <c r="D926" s="136"/>
      <c r="E926" s="256" t="str">
        <f>IFERROR(__xludf.DUMMYFUNCTION("""COMPUTED_VALUE"""),"")</f>
        <v/>
      </c>
      <c r="F926" s="257" t="str">
        <f>IFERROR(__xludf.DUMMYFUNCTION("""COMPUTED_VALUE"""),"")</f>
        <v/>
      </c>
      <c r="G926" s="247" t="str">
        <f t="shared" si="1"/>
        <v/>
      </c>
      <c r="H926" s="258" t="str">
        <f>IFERROR(__xludf.DUMMYFUNCTION("""COMPUTED_VALUE"""),"")</f>
        <v/>
      </c>
      <c r="I926" s="259" t="str">
        <f>IFERROR(__xludf.DUMMYFUNCTION("""COMPUTED_VALUE"""),"")</f>
        <v/>
      </c>
      <c r="J926" s="250" t="str">
        <f t="shared" si="2"/>
        <v/>
      </c>
      <c r="K926" s="317" t="str">
        <f>IFERROR(__xludf.DUMMYFUNCTION("""COMPUTED_VALUE"""),"")</f>
        <v/>
      </c>
      <c r="L926" s="318" t="str">
        <f>IFERROR(__xludf.DUMMYFUNCTION("""COMPUTED_VALUE"""),"")</f>
        <v/>
      </c>
      <c r="M926" s="253" t="str">
        <f t="shared" si="3"/>
        <v/>
      </c>
      <c r="N926" s="319" t="str">
        <f>IFERROR(__xludf.DUMMYFUNCTION("""COMPUTED_VALUE"""),"")</f>
        <v/>
      </c>
      <c r="O926" s="257" t="str">
        <f>IFERROR(__xludf.DUMMYFUNCTION("""COMPUTED_VALUE"""),"")</f>
        <v/>
      </c>
      <c r="P926" s="247" t="str">
        <f t="shared" si="4"/>
        <v/>
      </c>
      <c r="Q926" s="320" t="str">
        <f>IFERROR(__xludf.DUMMYFUNCTION("""COMPUTED_VALUE"""),"")</f>
        <v/>
      </c>
      <c r="R926" s="259" t="str">
        <f>IFERROR(__xludf.DUMMYFUNCTION("""COMPUTED_VALUE"""),"")</f>
        <v/>
      </c>
      <c r="S926" s="250" t="str">
        <f t="shared" si="5"/>
        <v/>
      </c>
      <c r="T926" s="254" t="str">
        <f>IFERROR(__xludf.DUMMYFUNCTION("""COMPUTED_VALUE"""),"")</f>
        <v/>
      </c>
      <c r="U926" s="246" t="str">
        <f>IFERROR(__xludf.DUMMYFUNCTION("""COMPUTED_VALUE"""),"")</f>
        <v/>
      </c>
      <c r="V926" s="247" t="str">
        <f t="shared" si="6"/>
        <v/>
      </c>
      <c r="W926" s="255" t="str">
        <f>IFERROR(__xludf.DUMMYFUNCTION("""COMPUTED_VALUE"""),"")</f>
        <v/>
      </c>
      <c r="X926" s="249" t="str">
        <f>IFERROR(__xludf.DUMMYFUNCTION("""COMPUTED_VALUE"""),"")</f>
        <v/>
      </c>
      <c r="Y926" s="250" t="str">
        <f t="shared" si="7"/>
        <v/>
      </c>
    </row>
    <row r="927">
      <c r="A927" s="136" t="s">
        <v>133</v>
      </c>
      <c r="B927" s="136"/>
      <c r="C927" s="136" t="s">
        <v>133</v>
      </c>
      <c r="D927" s="136"/>
      <c r="E927" s="256" t="str">
        <f>IFERROR(__xludf.DUMMYFUNCTION("""COMPUTED_VALUE"""),"")</f>
        <v/>
      </c>
      <c r="F927" s="257" t="str">
        <f>IFERROR(__xludf.DUMMYFUNCTION("""COMPUTED_VALUE"""),"")</f>
        <v/>
      </c>
      <c r="G927" s="247" t="str">
        <f t="shared" si="1"/>
        <v/>
      </c>
      <c r="H927" s="258" t="str">
        <f>IFERROR(__xludf.DUMMYFUNCTION("""COMPUTED_VALUE"""),"")</f>
        <v/>
      </c>
      <c r="I927" s="259" t="str">
        <f>IFERROR(__xludf.DUMMYFUNCTION("""COMPUTED_VALUE"""),"")</f>
        <v/>
      </c>
      <c r="J927" s="250" t="str">
        <f t="shared" si="2"/>
        <v/>
      </c>
      <c r="K927" s="317" t="str">
        <f>IFERROR(__xludf.DUMMYFUNCTION("""COMPUTED_VALUE"""),"")</f>
        <v/>
      </c>
      <c r="L927" s="318" t="str">
        <f>IFERROR(__xludf.DUMMYFUNCTION("""COMPUTED_VALUE"""),"")</f>
        <v/>
      </c>
      <c r="M927" s="253" t="str">
        <f t="shared" si="3"/>
        <v/>
      </c>
      <c r="N927" s="319" t="str">
        <f>IFERROR(__xludf.DUMMYFUNCTION("""COMPUTED_VALUE"""),"")</f>
        <v/>
      </c>
      <c r="O927" s="257" t="str">
        <f>IFERROR(__xludf.DUMMYFUNCTION("""COMPUTED_VALUE"""),"")</f>
        <v/>
      </c>
      <c r="P927" s="247" t="str">
        <f t="shared" si="4"/>
        <v/>
      </c>
      <c r="Q927" s="320" t="str">
        <f>IFERROR(__xludf.DUMMYFUNCTION("""COMPUTED_VALUE"""),"")</f>
        <v/>
      </c>
      <c r="R927" s="259" t="str">
        <f>IFERROR(__xludf.DUMMYFUNCTION("""COMPUTED_VALUE"""),"")</f>
        <v/>
      </c>
      <c r="S927" s="250" t="str">
        <f t="shared" si="5"/>
        <v/>
      </c>
      <c r="T927" s="254" t="str">
        <f>IFERROR(__xludf.DUMMYFUNCTION("""COMPUTED_VALUE"""),"")</f>
        <v/>
      </c>
      <c r="U927" s="246" t="str">
        <f>IFERROR(__xludf.DUMMYFUNCTION("""COMPUTED_VALUE"""),"")</f>
        <v/>
      </c>
      <c r="V927" s="247" t="str">
        <f t="shared" si="6"/>
        <v/>
      </c>
      <c r="W927" s="255" t="str">
        <f>IFERROR(__xludf.DUMMYFUNCTION("""COMPUTED_VALUE"""),"")</f>
        <v/>
      </c>
      <c r="X927" s="249" t="str">
        <f>IFERROR(__xludf.DUMMYFUNCTION("""COMPUTED_VALUE"""),"")</f>
        <v/>
      </c>
      <c r="Y927" s="250" t="str">
        <f t="shared" si="7"/>
        <v/>
      </c>
    </row>
    <row r="928">
      <c r="A928" s="136" t="s">
        <v>133</v>
      </c>
      <c r="B928" s="136"/>
      <c r="C928" s="136" t="s">
        <v>133</v>
      </c>
      <c r="D928" s="136"/>
      <c r="E928" s="256" t="str">
        <f>IFERROR(__xludf.DUMMYFUNCTION("""COMPUTED_VALUE"""),"")</f>
        <v/>
      </c>
      <c r="F928" s="257" t="str">
        <f>IFERROR(__xludf.DUMMYFUNCTION("""COMPUTED_VALUE"""),"")</f>
        <v/>
      </c>
      <c r="G928" s="247" t="str">
        <f t="shared" si="1"/>
        <v/>
      </c>
      <c r="H928" s="258" t="str">
        <f>IFERROR(__xludf.DUMMYFUNCTION("""COMPUTED_VALUE"""),"")</f>
        <v/>
      </c>
      <c r="I928" s="259" t="str">
        <f>IFERROR(__xludf.DUMMYFUNCTION("""COMPUTED_VALUE"""),"")</f>
        <v/>
      </c>
      <c r="J928" s="250" t="str">
        <f t="shared" si="2"/>
        <v/>
      </c>
      <c r="K928" s="317" t="str">
        <f>IFERROR(__xludf.DUMMYFUNCTION("""COMPUTED_VALUE"""),"")</f>
        <v/>
      </c>
      <c r="L928" s="318" t="str">
        <f>IFERROR(__xludf.DUMMYFUNCTION("""COMPUTED_VALUE"""),"")</f>
        <v/>
      </c>
      <c r="M928" s="253" t="str">
        <f t="shared" si="3"/>
        <v/>
      </c>
      <c r="N928" s="319" t="str">
        <f>IFERROR(__xludf.DUMMYFUNCTION("""COMPUTED_VALUE"""),"")</f>
        <v/>
      </c>
      <c r="O928" s="257" t="str">
        <f>IFERROR(__xludf.DUMMYFUNCTION("""COMPUTED_VALUE"""),"")</f>
        <v/>
      </c>
      <c r="P928" s="247" t="str">
        <f t="shared" si="4"/>
        <v/>
      </c>
      <c r="Q928" s="320" t="str">
        <f>IFERROR(__xludf.DUMMYFUNCTION("""COMPUTED_VALUE"""),"")</f>
        <v/>
      </c>
      <c r="R928" s="259" t="str">
        <f>IFERROR(__xludf.DUMMYFUNCTION("""COMPUTED_VALUE"""),"")</f>
        <v/>
      </c>
      <c r="S928" s="250" t="str">
        <f t="shared" si="5"/>
        <v/>
      </c>
      <c r="T928" s="254" t="str">
        <f>IFERROR(__xludf.DUMMYFUNCTION("""COMPUTED_VALUE"""),"")</f>
        <v/>
      </c>
      <c r="U928" s="246" t="str">
        <f>IFERROR(__xludf.DUMMYFUNCTION("""COMPUTED_VALUE"""),"")</f>
        <v/>
      </c>
      <c r="V928" s="247" t="str">
        <f t="shared" si="6"/>
        <v/>
      </c>
      <c r="W928" s="255" t="str">
        <f>IFERROR(__xludf.DUMMYFUNCTION("""COMPUTED_VALUE"""),"")</f>
        <v/>
      </c>
      <c r="X928" s="249" t="str">
        <f>IFERROR(__xludf.DUMMYFUNCTION("""COMPUTED_VALUE"""),"")</f>
        <v/>
      </c>
      <c r="Y928" s="250" t="str">
        <f t="shared" si="7"/>
        <v/>
      </c>
    </row>
    <row r="929">
      <c r="A929" s="136" t="s">
        <v>133</v>
      </c>
      <c r="B929" s="136"/>
      <c r="C929" s="136" t="s">
        <v>133</v>
      </c>
      <c r="D929" s="136"/>
      <c r="E929" s="256" t="str">
        <f>IFERROR(__xludf.DUMMYFUNCTION("""COMPUTED_VALUE"""),"")</f>
        <v/>
      </c>
      <c r="F929" s="257" t="str">
        <f>IFERROR(__xludf.DUMMYFUNCTION("""COMPUTED_VALUE"""),"")</f>
        <v/>
      </c>
      <c r="G929" s="247" t="str">
        <f t="shared" si="1"/>
        <v/>
      </c>
      <c r="H929" s="258" t="str">
        <f>IFERROR(__xludf.DUMMYFUNCTION("""COMPUTED_VALUE"""),"")</f>
        <v/>
      </c>
      <c r="I929" s="259" t="str">
        <f>IFERROR(__xludf.DUMMYFUNCTION("""COMPUTED_VALUE"""),"")</f>
        <v/>
      </c>
      <c r="J929" s="250" t="str">
        <f t="shared" si="2"/>
        <v/>
      </c>
      <c r="K929" s="317" t="str">
        <f>IFERROR(__xludf.DUMMYFUNCTION("""COMPUTED_VALUE"""),"")</f>
        <v/>
      </c>
      <c r="L929" s="318" t="str">
        <f>IFERROR(__xludf.DUMMYFUNCTION("""COMPUTED_VALUE"""),"")</f>
        <v/>
      </c>
      <c r="M929" s="253" t="str">
        <f t="shared" si="3"/>
        <v/>
      </c>
      <c r="N929" s="319" t="str">
        <f>IFERROR(__xludf.DUMMYFUNCTION("""COMPUTED_VALUE"""),"")</f>
        <v/>
      </c>
      <c r="O929" s="257" t="str">
        <f>IFERROR(__xludf.DUMMYFUNCTION("""COMPUTED_VALUE"""),"")</f>
        <v/>
      </c>
      <c r="P929" s="247" t="str">
        <f t="shared" si="4"/>
        <v/>
      </c>
      <c r="Q929" s="320" t="str">
        <f>IFERROR(__xludf.DUMMYFUNCTION("""COMPUTED_VALUE"""),"")</f>
        <v/>
      </c>
      <c r="R929" s="259" t="str">
        <f>IFERROR(__xludf.DUMMYFUNCTION("""COMPUTED_VALUE"""),"")</f>
        <v/>
      </c>
      <c r="S929" s="250" t="str">
        <f t="shared" si="5"/>
        <v/>
      </c>
      <c r="T929" s="254" t="str">
        <f>IFERROR(__xludf.DUMMYFUNCTION("""COMPUTED_VALUE"""),"")</f>
        <v/>
      </c>
      <c r="U929" s="246" t="str">
        <f>IFERROR(__xludf.DUMMYFUNCTION("""COMPUTED_VALUE"""),"")</f>
        <v/>
      </c>
      <c r="V929" s="247" t="str">
        <f t="shared" si="6"/>
        <v/>
      </c>
      <c r="W929" s="255" t="str">
        <f>IFERROR(__xludf.DUMMYFUNCTION("""COMPUTED_VALUE"""),"")</f>
        <v/>
      </c>
      <c r="X929" s="249" t="str">
        <f>IFERROR(__xludf.DUMMYFUNCTION("""COMPUTED_VALUE"""),"")</f>
        <v/>
      </c>
      <c r="Y929" s="250" t="str">
        <f t="shared" si="7"/>
        <v/>
      </c>
    </row>
    <row r="930">
      <c r="A930" s="136" t="s">
        <v>133</v>
      </c>
      <c r="B930" s="136"/>
      <c r="C930" s="136" t="s">
        <v>133</v>
      </c>
      <c r="D930" s="136"/>
      <c r="E930" s="256" t="str">
        <f>IFERROR(__xludf.DUMMYFUNCTION("""COMPUTED_VALUE"""),"")</f>
        <v/>
      </c>
      <c r="F930" s="257" t="str">
        <f>IFERROR(__xludf.DUMMYFUNCTION("""COMPUTED_VALUE"""),"")</f>
        <v/>
      </c>
      <c r="G930" s="247" t="str">
        <f t="shared" si="1"/>
        <v/>
      </c>
      <c r="H930" s="258" t="str">
        <f>IFERROR(__xludf.DUMMYFUNCTION("""COMPUTED_VALUE"""),"")</f>
        <v/>
      </c>
      <c r="I930" s="259" t="str">
        <f>IFERROR(__xludf.DUMMYFUNCTION("""COMPUTED_VALUE"""),"")</f>
        <v/>
      </c>
      <c r="J930" s="250" t="str">
        <f t="shared" si="2"/>
        <v/>
      </c>
      <c r="K930" s="317" t="str">
        <f>IFERROR(__xludf.DUMMYFUNCTION("""COMPUTED_VALUE"""),"")</f>
        <v/>
      </c>
      <c r="L930" s="318" t="str">
        <f>IFERROR(__xludf.DUMMYFUNCTION("""COMPUTED_VALUE"""),"")</f>
        <v/>
      </c>
      <c r="M930" s="253" t="str">
        <f t="shared" si="3"/>
        <v/>
      </c>
      <c r="N930" s="319" t="str">
        <f>IFERROR(__xludf.DUMMYFUNCTION("""COMPUTED_VALUE"""),"")</f>
        <v/>
      </c>
      <c r="O930" s="257" t="str">
        <f>IFERROR(__xludf.DUMMYFUNCTION("""COMPUTED_VALUE"""),"")</f>
        <v/>
      </c>
      <c r="P930" s="247" t="str">
        <f t="shared" si="4"/>
        <v/>
      </c>
      <c r="Q930" s="320" t="str">
        <f>IFERROR(__xludf.DUMMYFUNCTION("""COMPUTED_VALUE"""),"")</f>
        <v/>
      </c>
      <c r="R930" s="259" t="str">
        <f>IFERROR(__xludf.DUMMYFUNCTION("""COMPUTED_VALUE"""),"")</f>
        <v/>
      </c>
      <c r="S930" s="250" t="str">
        <f t="shared" si="5"/>
        <v/>
      </c>
      <c r="T930" s="254" t="str">
        <f>IFERROR(__xludf.DUMMYFUNCTION("""COMPUTED_VALUE"""),"")</f>
        <v/>
      </c>
      <c r="U930" s="246" t="str">
        <f>IFERROR(__xludf.DUMMYFUNCTION("""COMPUTED_VALUE"""),"")</f>
        <v/>
      </c>
      <c r="V930" s="247" t="str">
        <f t="shared" si="6"/>
        <v/>
      </c>
      <c r="W930" s="255" t="str">
        <f>IFERROR(__xludf.DUMMYFUNCTION("""COMPUTED_VALUE"""),"")</f>
        <v/>
      </c>
      <c r="X930" s="249" t="str">
        <f>IFERROR(__xludf.DUMMYFUNCTION("""COMPUTED_VALUE"""),"")</f>
        <v/>
      </c>
      <c r="Y930" s="250" t="str">
        <f t="shared" si="7"/>
        <v/>
      </c>
    </row>
    <row r="931">
      <c r="A931" s="136" t="s">
        <v>133</v>
      </c>
      <c r="B931" s="136"/>
      <c r="C931" s="136" t="s">
        <v>133</v>
      </c>
      <c r="D931" s="136"/>
      <c r="E931" s="256" t="str">
        <f>IFERROR(__xludf.DUMMYFUNCTION("""COMPUTED_VALUE"""),"")</f>
        <v/>
      </c>
      <c r="F931" s="257" t="str">
        <f>IFERROR(__xludf.DUMMYFUNCTION("""COMPUTED_VALUE"""),"")</f>
        <v/>
      </c>
      <c r="G931" s="247" t="str">
        <f t="shared" si="1"/>
        <v/>
      </c>
      <c r="H931" s="258" t="str">
        <f>IFERROR(__xludf.DUMMYFUNCTION("""COMPUTED_VALUE"""),"")</f>
        <v/>
      </c>
      <c r="I931" s="259" t="str">
        <f>IFERROR(__xludf.DUMMYFUNCTION("""COMPUTED_VALUE"""),"")</f>
        <v/>
      </c>
      <c r="J931" s="250" t="str">
        <f t="shared" si="2"/>
        <v/>
      </c>
      <c r="K931" s="317" t="str">
        <f>IFERROR(__xludf.DUMMYFUNCTION("""COMPUTED_VALUE"""),"")</f>
        <v/>
      </c>
      <c r="L931" s="318" t="str">
        <f>IFERROR(__xludf.DUMMYFUNCTION("""COMPUTED_VALUE"""),"")</f>
        <v/>
      </c>
      <c r="M931" s="253" t="str">
        <f t="shared" si="3"/>
        <v/>
      </c>
      <c r="N931" s="319" t="str">
        <f>IFERROR(__xludf.DUMMYFUNCTION("""COMPUTED_VALUE"""),"")</f>
        <v/>
      </c>
      <c r="O931" s="257" t="str">
        <f>IFERROR(__xludf.DUMMYFUNCTION("""COMPUTED_VALUE"""),"")</f>
        <v/>
      </c>
      <c r="P931" s="247" t="str">
        <f t="shared" si="4"/>
        <v/>
      </c>
      <c r="Q931" s="320" t="str">
        <f>IFERROR(__xludf.DUMMYFUNCTION("""COMPUTED_VALUE"""),"")</f>
        <v/>
      </c>
      <c r="R931" s="259" t="str">
        <f>IFERROR(__xludf.DUMMYFUNCTION("""COMPUTED_VALUE"""),"")</f>
        <v/>
      </c>
      <c r="S931" s="250" t="str">
        <f t="shared" si="5"/>
        <v/>
      </c>
      <c r="T931" s="254" t="str">
        <f>IFERROR(__xludf.DUMMYFUNCTION("""COMPUTED_VALUE"""),"")</f>
        <v/>
      </c>
      <c r="U931" s="246" t="str">
        <f>IFERROR(__xludf.DUMMYFUNCTION("""COMPUTED_VALUE"""),"")</f>
        <v/>
      </c>
      <c r="V931" s="247" t="str">
        <f t="shared" si="6"/>
        <v/>
      </c>
      <c r="W931" s="255" t="str">
        <f>IFERROR(__xludf.DUMMYFUNCTION("""COMPUTED_VALUE"""),"")</f>
        <v/>
      </c>
      <c r="X931" s="249" t="str">
        <f>IFERROR(__xludf.DUMMYFUNCTION("""COMPUTED_VALUE"""),"")</f>
        <v/>
      </c>
      <c r="Y931" s="250" t="str">
        <f t="shared" si="7"/>
        <v/>
      </c>
    </row>
    <row r="932">
      <c r="A932" s="136" t="s">
        <v>133</v>
      </c>
      <c r="B932" s="136"/>
      <c r="C932" s="136" t="s">
        <v>133</v>
      </c>
      <c r="D932" s="136"/>
      <c r="E932" s="256" t="str">
        <f>IFERROR(__xludf.DUMMYFUNCTION("""COMPUTED_VALUE"""),"")</f>
        <v/>
      </c>
      <c r="F932" s="257" t="str">
        <f>IFERROR(__xludf.DUMMYFUNCTION("""COMPUTED_VALUE"""),"")</f>
        <v/>
      </c>
      <c r="G932" s="247" t="str">
        <f t="shared" si="1"/>
        <v/>
      </c>
      <c r="H932" s="258" t="str">
        <f>IFERROR(__xludf.DUMMYFUNCTION("""COMPUTED_VALUE"""),"")</f>
        <v/>
      </c>
      <c r="I932" s="259" t="str">
        <f>IFERROR(__xludf.DUMMYFUNCTION("""COMPUTED_VALUE"""),"")</f>
        <v/>
      </c>
      <c r="J932" s="250" t="str">
        <f t="shared" si="2"/>
        <v/>
      </c>
      <c r="K932" s="317" t="str">
        <f>IFERROR(__xludf.DUMMYFUNCTION("""COMPUTED_VALUE"""),"")</f>
        <v/>
      </c>
      <c r="L932" s="318" t="str">
        <f>IFERROR(__xludf.DUMMYFUNCTION("""COMPUTED_VALUE"""),"")</f>
        <v/>
      </c>
      <c r="M932" s="253" t="str">
        <f t="shared" si="3"/>
        <v/>
      </c>
      <c r="N932" s="319" t="str">
        <f>IFERROR(__xludf.DUMMYFUNCTION("""COMPUTED_VALUE"""),"")</f>
        <v/>
      </c>
      <c r="O932" s="257" t="str">
        <f>IFERROR(__xludf.DUMMYFUNCTION("""COMPUTED_VALUE"""),"")</f>
        <v/>
      </c>
      <c r="P932" s="247" t="str">
        <f t="shared" si="4"/>
        <v/>
      </c>
      <c r="Q932" s="320" t="str">
        <f>IFERROR(__xludf.DUMMYFUNCTION("""COMPUTED_VALUE"""),"")</f>
        <v/>
      </c>
      <c r="R932" s="259" t="str">
        <f>IFERROR(__xludf.DUMMYFUNCTION("""COMPUTED_VALUE"""),"")</f>
        <v/>
      </c>
      <c r="S932" s="250" t="str">
        <f t="shared" si="5"/>
        <v/>
      </c>
      <c r="T932" s="254" t="str">
        <f>IFERROR(__xludf.DUMMYFUNCTION("""COMPUTED_VALUE"""),"")</f>
        <v/>
      </c>
      <c r="U932" s="246" t="str">
        <f>IFERROR(__xludf.DUMMYFUNCTION("""COMPUTED_VALUE"""),"")</f>
        <v/>
      </c>
      <c r="V932" s="247" t="str">
        <f t="shared" si="6"/>
        <v/>
      </c>
      <c r="W932" s="255" t="str">
        <f>IFERROR(__xludf.DUMMYFUNCTION("""COMPUTED_VALUE"""),"")</f>
        <v/>
      </c>
      <c r="X932" s="249" t="str">
        <f>IFERROR(__xludf.DUMMYFUNCTION("""COMPUTED_VALUE"""),"")</f>
        <v/>
      </c>
      <c r="Y932" s="250" t="str">
        <f t="shared" si="7"/>
        <v/>
      </c>
    </row>
    <row r="933">
      <c r="A933" s="136" t="s">
        <v>133</v>
      </c>
      <c r="B933" s="136"/>
      <c r="C933" s="136" t="s">
        <v>133</v>
      </c>
      <c r="D933" s="136"/>
      <c r="E933" s="256" t="str">
        <f>IFERROR(__xludf.DUMMYFUNCTION("""COMPUTED_VALUE"""),"")</f>
        <v/>
      </c>
      <c r="F933" s="257" t="str">
        <f>IFERROR(__xludf.DUMMYFUNCTION("""COMPUTED_VALUE"""),"")</f>
        <v/>
      </c>
      <c r="G933" s="247" t="str">
        <f t="shared" si="1"/>
        <v/>
      </c>
      <c r="H933" s="258" t="str">
        <f>IFERROR(__xludf.DUMMYFUNCTION("""COMPUTED_VALUE"""),"")</f>
        <v/>
      </c>
      <c r="I933" s="259" t="str">
        <f>IFERROR(__xludf.DUMMYFUNCTION("""COMPUTED_VALUE"""),"")</f>
        <v/>
      </c>
      <c r="J933" s="250" t="str">
        <f t="shared" si="2"/>
        <v/>
      </c>
      <c r="K933" s="317" t="str">
        <f>IFERROR(__xludf.DUMMYFUNCTION("""COMPUTED_VALUE"""),"")</f>
        <v/>
      </c>
      <c r="L933" s="318" t="str">
        <f>IFERROR(__xludf.DUMMYFUNCTION("""COMPUTED_VALUE"""),"")</f>
        <v/>
      </c>
      <c r="M933" s="253" t="str">
        <f t="shared" si="3"/>
        <v/>
      </c>
      <c r="N933" s="319" t="str">
        <f>IFERROR(__xludf.DUMMYFUNCTION("""COMPUTED_VALUE"""),"")</f>
        <v/>
      </c>
      <c r="O933" s="257" t="str">
        <f>IFERROR(__xludf.DUMMYFUNCTION("""COMPUTED_VALUE"""),"")</f>
        <v/>
      </c>
      <c r="P933" s="247" t="str">
        <f t="shared" si="4"/>
        <v/>
      </c>
      <c r="Q933" s="320" t="str">
        <f>IFERROR(__xludf.DUMMYFUNCTION("""COMPUTED_VALUE"""),"")</f>
        <v/>
      </c>
      <c r="R933" s="259" t="str">
        <f>IFERROR(__xludf.DUMMYFUNCTION("""COMPUTED_VALUE"""),"")</f>
        <v/>
      </c>
      <c r="S933" s="250" t="str">
        <f t="shared" si="5"/>
        <v/>
      </c>
      <c r="T933" s="254" t="str">
        <f>IFERROR(__xludf.DUMMYFUNCTION("""COMPUTED_VALUE"""),"")</f>
        <v/>
      </c>
      <c r="U933" s="246" t="str">
        <f>IFERROR(__xludf.DUMMYFUNCTION("""COMPUTED_VALUE"""),"")</f>
        <v/>
      </c>
      <c r="V933" s="247" t="str">
        <f t="shared" si="6"/>
        <v/>
      </c>
      <c r="W933" s="255" t="str">
        <f>IFERROR(__xludf.DUMMYFUNCTION("""COMPUTED_VALUE"""),"")</f>
        <v/>
      </c>
      <c r="X933" s="249" t="str">
        <f>IFERROR(__xludf.DUMMYFUNCTION("""COMPUTED_VALUE"""),"")</f>
        <v/>
      </c>
      <c r="Y933" s="250" t="str">
        <f t="shared" si="7"/>
        <v/>
      </c>
    </row>
    <row r="934">
      <c r="A934" s="136" t="s">
        <v>133</v>
      </c>
      <c r="B934" s="136"/>
      <c r="C934" s="136" t="s">
        <v>133</v>
      </c>
      <c r="D934" s="136"/>
      <c r="E934" s="256" t="str">
        <f>IFERROR(__xludf.DUMMYFUNCTION("""COMPUTED_VALUE"""),"")</f>
        <v/>
      </c>
      <c r="F934" s="257" t="str">
        <f>IFERROR(__xludf.DUMMYFUNCTION("""COMPUTED_VALUE"""),"")</f>
        <v/>
      </c>
      <c r="G934" s="247" t="str">
        <f t="shared" si="1"/>
        <v/>
      </c>
      <c r="H934" s="258" t="str">
        <f>IFERROR(__xludf.DUMMYFUNCTION("""COMPUTED_VALUE"""),"")</f>
        <v/>
      </c>
      <c r="I934" s="259" t="str">
        <f>IFERROR(__xludf.DUMMYFUNCTION("""COMPUTED_VALUE"""),"")</f>
        <v/>
      </c>
      <c r="J934" s="250" t="str">
        <f t="shared" si="2"/>
        <v/>
      </c>
      <c r="K934" s="317" t="str">
        <f>IFERROR(__xludf.DUMMYFUNCTION("""COMPUTED_VALUE"""),"")</f>
        <v/>
      </c>
      <c r="L934" s="318" t="str">
        <f>IFERROR(__xludf.DUMMYFUNCTION("""COMPUTED_VALUE"""),"")</f>
        <v/>
      </c>
      <c r="M934" s="253" t="str">
        <f t="shared" si="3"/>
        <v/>
      </c>
      <c r="N934" s="319" t="str">
        <f>IFERROR(__xludf.DUMMYFUNCTION("""COMPUTED_VALUE"""),"")</f>
        <v/>
      </c>
      <c r="O934" s="257" t="str">
        <f>IFERROR(__xludf.DUMMYFUNCTION("""COMPUTED_VALUE"""),"")</f>
        <v/>
      </c>
      <c r="P934" s="247" t="str">
        <f t="shared" si="4"/>
        <v/>
      </c>
      <c r="Q934" s="320" t="str">
        <f>IFERROR(__xludf.DUMMYFUNCTION("""COMPUTED_VALUE"""),"")</f>
        <v/>
      </c>
      <c r="R934" s="259" t="str">
        <f>IFERROR(__xludf.DUMMYFUNCTION("""COMPUTED_VALUE"""),"")</f>
        <v/>
      </c>
      <c r="S934" s="250" t="str">
        <f t="shared" si="5"/>
        <v/>
      </c>
      <c r="T934" s="254" t="str">
        <f>IFERROR(__xludf.DUMMYFUNCTION("""COMPUTED_VALUE"""),"")</f>
        <v/>
      </c>
      <c r="U934" s="246" t="str">
        <f>IFERROR(__xludf.DUMMYFUNCTION("""COMPUTED_VALUE"""),"")</f>
        <v/>
      </c>
      <c r="V934" s="247" t="str">
        <f t="shared" si="6"/>
        <v/>
      </c>
      <c r="W934" s="255" t="str">
        <f>IFERROR(__xludf.DUMMYFUNCTION("""COMPUTED_VALUE"""),"")</f>
        <v/>
      </c>
      <c r="X934" s="249" t="str">
        <f>IFERROR(__xludf.DUMMYFUNCTION("""COMPUTED_VALUE"""),"")</f>
        <v/>
      </c>
      <c r="Y934" s="250" t="str">
        <f t="shared" si="7"/>
        <v/>
      </c>
    </row>
    <row r="935">
      <c r="A935" s="136" t="s">
        <v>133</v>
      </c>
      <c r="B935" s="136"/>
      <c r="C935" s="136" t="s">
        <v>133</v>
      </c>
      <c r="D935" s="136"/>
      <c r="E935" s="256" t="str">
        <f>IFERROR(__xludf.DUMMYFUNCTION("""COMPUTED_VALUE"""),"")</f>
        <v/>
      </c>
      <c r="F935" s="257" t="str">
        <f>IFERROR(__xludf.DUMMYFUNCTION("""COMPUTED_VALUE"""),"")</f>
        <v/>
      </c>
      <c r="G935" s="247" t="str">
        <f t="shared" si="1"/>
        <v/>
      </c>
      <c r="H935" s="258" t="str">
        <f>IFERROR(__xludf.DUMMYFUNCTION("""COMPUTED_VALUE"""),"")</f>
        <v/>
      </c>
      <c r="I935" s="259" t="str">
        <f>IFERROR(__xludf.DUMMYFUNCTION("""COMPUTED_VALUE"""),"")</f>
        <v/>
      </c>
      <c r="J935" s="250" t="str">
        <f t="shared" si="2"/>
        <v/>
      </c>
      <c r="K935" s="317" t="str">
        <f>IFERROR(__xludf.DUMMYFUNCTION("""COMPUTED_VALUE"""),"")</f>
        <v/>
      </c>
      <c r="L935" s="318" t="str">
        <f>IFERROR(__xludf.DUMMYFUNCTION("""COMPUTED_VALUE"""),"")</f>
        <v/>
      </c>
      <c r="M935" s="253" t="str">
        <f t="shared" si="3"/>
        <v/>
      </c>
      <c r="N935" s="319" t="str">
        <f>IFERROR(__xludf.DUMMYFUNCTION("""COMPUTED_VALUE"""),"")</f>
        <v/>
      </c>
      <c r="O935" s="257" t="str">
        <f>IFERROR(__xludf.DUMMYFUNCTION("""COMPUTED_VALUE"""),"")</f>
        <v/>
      </c>
      <c r="P935" s="247" t="str">
        <f t="shared" si="4"/>
        <v/>
      </c>
      <c r="Q935" s="320" t="str">
        <f>IFERROR(__xludf.DUMMYFUNCTION("""COMPUTED_VALUE"""),"")</f>
        <v/>
      </c>
      <c r="R935" s="259" t="str">
        <f>IFERROR(__xludf.DUMMYFUNCTION("""COMPUTED_VALUE"""),"")</f>
        <v/>
      </c>
      <c r="S935" s="250" t="str">
        <f t="shared" si="5"/>
        <v/>
      </c>
      <c r="T935" s="254" t="str">
        <f>IFERROR(__xludf.DUMMYFUNCTION("""COMPUTED_VALUE"""),"")</f>
        <v/>
      </c>
      <c r="U935" s="246" t="str">
        <f>IFERROR(__xludf.DUMMYFUNCTION("""COMPUTED_VALUE"""),"")</f>
        <v/>
      </c>
      <c r="V935" s="247" t="str">
        <f t="shared" si="6"/>
        <v/>
      </c>
      <c r="W935" s="255" t="str">
        <f>IFERROR(__xludf.DUMMYFUNCTION("""COMPUTED_VALUE"""),"")</f>
        <v/>
      </c>
      <c r="X935" s="249" t="str">
        <f>IFERROR(__xludf.DUMMYFUNCTION("""COMPUTED_VALUE"""),"")</f>
        <v/>
      </c>
      <c r="Y935" s="250" t="str">
        <f t="shared" si="7"/>
        <v/>
      </c>
    </row>
    <row r="936">
      <c r="A936" s="136" t="s">
        <v>133</v>
      </c>
      <c r="B936" s="136"/>
      <c r="C936" s="136" t="s">
        <v>133</v>
      </c>
      <c r="D936" s="136"/>
      <c r="E936" s="256" t="str">
        <f>IFERROR(__xludf.DUMMYFUNCTION("""COMPUTED_VALUE"""),"")</f>
        <v/>
      </c>
      <c r="F936" s="257" t="str">
        <f>IFERROR(__xludf.DUMMYFUNCTION("""COMPUTED_VALUE"""),"")</f>
        <v/>
      </c>
      <c r="G936" s="247" t="str">
        <f t="shared" si="1"/>
        <v/>
      </c>
      <c r="H936" s="258" t="str">
        <f>IFERROR(__xludf.DUMMYFUNCTION("""COMPUTED_VALUE"""),"")</f>
        <v/>
      </c>
      <c r="I936" s="259" t="str">
        <f>IFERROR(__xludf.DUMMYFUNCTION("""COMPUTED_VALUE"""),"")</f>
        <v/>
      </c>
      <c r="J936" s="250" t="str">
        <f t="shared" si="2"/>
        <v/>
      </c>
      <c r="K936" s="317" t="str">
        <f>IFERROR(__xludf.DUMMYFUNCTION("""COMPUTED_VALUE"""),"")</f>
        <v/>
      </c>
      <c r="L936" s="318" t="str">
        <f>IFERROR(__xludf.DUMMYFUNCTION("""COMPUTED_VALUE"""),"")</f>
        <v/>
      </c>
      <c r="M936" s="253" t="str">
        <f t="shared" si="3"/>
        <v/>
      </c>
      <c r="N936" s="319" t="str">
        <f>IFERROR(__xludf.DUMMYFUNCTION("""COMPUTED_VALUE"""),"")</f>
        <v/>
      </c>
      <c r="O936" s="257" t="str">
        <f>IFERROR(__xludf.DUMMYFUNCTION("""COMPUTED_VALUE"""),"")</f>
        <v/>
      </c>
      <c r="P936" s="247" t="str">
        <f t="shared" si="4"/>
        <v/>
      </c>
      <c r="Q936" s="320" t="str">
        <f>IFERROR(__xludf.DUMMYFUNCTION("""COMPUTED_VALUE"""),"")</f>
        <v/>
      </c>
      <c r="R936" s="259" t="str">
        <f>IFERROR(__xludf.DUMMYFUNCTION("""COMPUTED_VALUE"""),"")</f>
        <v/>
      </c>
      <c r="S936" s="250" t="str">
        <f t="shared" si="5"/>
        <v/>
      </c>
      <c r="T936" s="254" t="str">
        <f>IFERROR(__xludf.DUMMYFUNCTION("""COMPUTED_VALUE"""),"")</f>
        <v/>
      </c>
      <c r="U936" s="246" t="str">
        <f>IFERROR(__xludf.DUMMYFUNCTION("""COMPUTED_VALUE"""),"")</f>
        <v/>
      </c>
      <c r="V936" s="247" t="str">
        <f t="shared" si="6"/>
        <v/>
      </c>
      <c r="W936" s="255" t="str">
        <f>IFERROR(__xludf.DUMMYFUNCTION("""COMPUTED_VALUE"""),"")</f>
        <v/>
      </c>
      <c r="X936" s="249" t="str">
        <f>IFERROR(__xludf.DUMMYFUNCTION("""COMPUTED_VALUE"""),"")</f>
        <v/>
      </c>
      <c r="Y936" s="250" t="str">
        <f t="shared" si="7"/>
        <v/>
      </c>
    </row>
    <row r="937">
      <c r="A937" s="136" t="s">
        <v>133</v>
      </c>
      <c r="B937" s="136"/>
      <c r="C937" s="136" t="s">
        <v>133</v>
      </c>
      <c r="D937" s="136"/>
      <c r="E937" s="256" t="str">
        <f>IFERROR(__xludf.DUMMYFUNCTION("""COMPUTED_VALUE"""),"")</f>
        <v/>
      </c>
      <c r="F937" s="257" t="str">
        <f>IFERROR(__xludf.DUMMYFUNCTION("""COMPUTED_VALUE"""),"")</f>
        <v/>
      </c>
      <c r="G937" s="247" t="str">
        <f t="shared" si="1"/>
        <v/>
      </c>
      <c r="H937" s="258" t="str">
        <f>IFERROR(__xludf.DUMMYFUNCTION("""COMPUTED_VALUE"""),"")</f>
        <v/>
      </c>
      <c r="I937" s="259" t="str">
        <f>IFERROR(__xludf.DUMMYFUNCTION("""COMPUTED_VALUE"""),"")</f>
        <v/>
      </c>
      <c r="J937" s="250" t="str">
        <f t="shared" si="2"/>
        <v/>
      </c>
      <c r="K937" s="317" t="str">
        <f>IFERROR(__xludf.DUMMYFUNCTION("""COMPUTED_VALUE"""),"")</f>
        <v/>
      </c>
      <c r="L937" s="318" t="str">
        <f>IFERROR(__xludf.DUMMYFUNCTION("""COMPUTED_VALUE"""),"")</f>
        <v/>
      </c>
      <c r="M937" s="253" t="str">
        <f t="shared" si="3"/>
        <v/>
      </c>
      <c r="N937" s="319" t="str">
        <f>IFERROR(__xludf.DUMMYFUNCTION("""COMPUTED_VALUE"""),"")</f>
        <v/>
      </c>
      <c r="O937" s="257" t="str">
        <f>IFERROR(__xludf.DUMMYFUNCTION("""COMPUTED_VALUE"""),"")</f>
        <v/>
      </c>
      <c r="P937" s="247" t="str">
        <f t="shared" si="4"/>
        <v/>
      </c>
      <c r="Q937" s="320" t="str">
        <f>IFERROR(__xludf.DUMMYFUNCTION("""COMPUTED_VALUE"""),"")</f>
        <v/>
      </c>
      <c r="R937" s="259" t="str">
        <f>IFERROR(__xludf.DUMMYFUNCTION("""COMPUTED_VALUE"""),"")</f>
        <v/>
      </c>
      <c r="S937" s="250" t="str">
        <f t="shared" si="5"/>
        <v/>
      </c>
      <c r="T937" s="254" t="str">
        <f>IFERROR(__xludf.DUMMYFUNCTION("""COMPUTED_VALUE"""),"")</f>
        <v/>
      </c>
      <c r="U937" s="246" t="str">
        <f>IFERROR(__xludf.DUMMYFUNCTION("""COMPUTED_VALUE"""),"")</f>
        <v/>
      </c>
      <c r="V937" s="247" t="str">
        <f t="shared" si="6"/>
        <v/>
      </c>
      <c r="W937" s="255" t="str">
        <f>IFERROR(__xludf.DUMMYFUNCTION("""COMPUTED_VALUE"""),"")</f>
        <v/>
      </c>
      <c r="X937" s="249" t="str">
        <f>IFERROR(__xludf.DUMMYFUNCTION("""COMPUTED_VALUE"""),"")</f>
        <v/>
      </c>
      <c r="Y937" s="250" t="str">
        <f t="shared" si="7"/>
        <v/>
      </c>
    </row>
    <row r="938">
      <c r="A938" s="136" t="s">
        <v>133</v>
      </c>
      <c r="B938" s="136"/>
      <c r="C938" s="136" t="s">
        <v>133</v>
      </c>
      <c r="D938" s="136"/>
      <c r="E938" s="256" t="str">
        <f>IFERROR(__xludf.DUMMYFUNCTION("""COMPUTED_VALUE"""),"")</f>
        <v/>
      </c>
      <c r="F938" s="257" t="str">
        <f>IFERROR(__xludf.DUMMYFUNCTION("""COMPUTED_VALUE"""),"")</f>
        <v/>
      </c>
      <c r="G938" s="247" t="str">
        <f t="shared" si="1"/>
        <v/>
      </c>
      <c r="H938" s="258" t="str">
        <f>IFERROR(__xludf.DUMMYFUNCTION("""COMPUTED_VALUE"""),"")</f>
        <v/>
      </c>
      <c r="I938" s="259" t="str">
        <f>IFERROR(__xludf.DUMMYFUNCTION("""COMPUTED_VALUE"""),"")</f>
        <v/>
      </c>
      <c r="J938" s="250" t="str">
        <f t="shared" si="2"/>
        <v/>
      </c>
      <c r="K938" s="317" t="str">
        <f>IFERROR(__xludf.DUMMYFUNCTION("""COMPUTED_VALUE"""),"")</f>
        <v/>
      </c>
      <c r="L938" s="318" t="str">
        <f>IFERROR(__xludf.DUMMYFUNCTION("""COMPUTED_VALUE"""),"")</f>
        <v/>
      </c>
      <c r="M938" s="253" t="str">
        <f t="shared" si="3"/>
        <v/>
      </c>
      <c r="N938" s="319" t="str">
        <f>IFERROR(__xludf.DUMMYFUNCTION("""COMPUTED_VALUE"""),"")</f>
        <v/>
      </c>
      <c r="O938" s="257" t="str">
        <f>IFERROR(__xludf.DUMMYFUNCTION("""COMPUTED_VALUE"""),"")</f>
        <v/>
      </c>
      <c r="P938" s="247" t="str">
        <f t="shared" si="4"/>
        <v/>
      </c>
      <c r="Q938" s="320" t="str">
        <f>IFERROR(__xludf.DUMMYFUNCTION("""COMPUTED_VALUE"""),"")</f>
        <v/>
      </c>
      <c r="R938" s="259" t="str">
        <f>IFERROR(__xludf.DUMMYFUNCTION("""COMPUTED_VALUE"""),"")</f>
        <v/>
      </c>
      <c r="S938" s="250" t="str">
        <f t="shared" si="5"/>
        <v/>
      </c>
      <c r="T938" s="254" t="str">
        <f>IFERROR(__xludf.DUMMYFUNCTION("""COMPUTED_VALUE"""),"")</f>
        <v/>
      </c>
      <c r="U938" s="246" t="str">
        <f>IFERROR(__xludf.DUMMYFUNCTION("""COMPUTED_VALUE"""),"")</f>
        <v/>
      </c>
      <c r="V938" s="247" t="str">
        <f t="shared" si="6"/>
        <v/>
      </c>
      <c r="W938" s="255" t="str">
        <f>IFERROR(__xludf.DUMMYFUNCTION("""COMPUTED_VALUE"""),"")</f>
        <v/>
      </c>
      <c r="X938" s="249" t="str">
        <f>IFERROR(__xludf.DUMMYFUNCTION("""COMPUTED_VALUE"""),"")</f>
        <v/>
      </c>
      <c r="Y938" s="250" t="str">
        <f t="shared" si="7"/>
        <v/>
      </c>
    </row>
    <row r="939">
      <c r="A939" s="136" t="s">
        <v>133</v>
      </c>
      <c r="B939" s="136"/>
      <c r="C939" s="136" t="s">
        <v>133</v>
      </c>
      <c r="D939" s="136"/>
      <c r="E939" s="256" t="str">
        <f>IFERROR(__xludf.DUMMYFUNCTION("""COMPUTED_VALUE"""),"")</f>
        <v/>
      </c>
      <c r="F939" s="257" t="str">
        <f>IFERROR(__xludf.DUMMYFUNCTION("""COMPUTED_VALUE"""),"")</f>
        <v/>
      </c>
      <c r="G939" s="247" t="str">
        <f t="shared" si="1"/>
        <v/>
      </c>
      <c r="H939" s="258" t="str">
        <f>IFERROR(__xludf.DUMMYFUNCTION("""COMPUTED_VALUE"""),"")</f>
        <v/>
      </c>
      <c r="I939" s="259" t="str">
        <f>IFERROR(__xludf.DUMMYFUNCTION("""COMPUTED_VALUE"""),"")</f>
        <v/>
      </c>
      <c r="J939" s="250" t="str">
        <f t="shared" si="2"/>
        <v/>
      </c>
      <c r="K939" s="317" t="str">
        <f>IFERROR(__xludf.DUMMYFUNCTION("""COMPUTED_VALUE"""),"")</f>
        <v/>
      </c>
      <c r="L939" s="318" t="str">
        <f>IFERROR(__xludf.DUMMYFUNCTION("""COMPUTED_VALUE"""),"")</f>
        <v/>
      </c>
      <c r="M939" s="253" t="str">
        <f t="shared" si="3"/>
        <v/>
      </c>
      <c r="N939" s="319" t="str">
        <f>IFERROR(__xludf.DUMMYFUNCTION("""COMPUTED_VALUE"""),"")</f>
        <v/>
      </c>
      <c r="O939" s="257" t="str">
        <f>IFERROR(__xludf.DUMMYFUNCTION("""COMPUTED_VALUE"""),"")</f>
        <v/>
      </c>
      <c r="P939" s="247" t="str">
        <f t="shared" si="4"/>
        <v/>
      </c>
      <c r="Q939" s="320" t="str">
        <f>IFERROR(__xludf.DUMMYFUNCTION("""COMPUTED_VALUE"""),"")</f>
        <v/>
      </c>
      <c r="R939" s="259" t="str">
        <f>IFERROR(__xludf.DUMMYFUNCTION("""COMPUTED_VALUE"""),"")</f>
        <v/>
      </c>
      <c r="S939" s="250" t="str">
        <f t="shared" si="5"/>
        <v/>
      </c>
      <c r="T939" s="254" t="str">
        <f>IFERROR(__xludf.DUMMYFUNCTION("""COMPUTED_VALUE"""),"")</f>
        <v/>
      </c>
      <c r="U939" s="246" t="str">
        <f>IFERROR(__xludf.DUMMYFUNCTION("""COMPUTED_VALUE"""),"")</f>
        <v/>
      </c>
      <c r="V939" s="247" t="str">
        <f t="shared" si="6"/>
        <v/>
      </c>
      <c r="W939" s="255" t="str">
        <f>IFERROR(__xludf.DUMMYFUNCTION("""COMPUTED_VALUE"""),"")</f>
        <v/>
      </c>
      <c r="X939" s="249" t="str">
        <f>IFERROR(__xludf.DUMMYFUNCTION("""COMPUTED_VALUE"""),"")</f>
        <v/>
      </c>
      <c r="Y939" s="250" t="str">
        <f t="shared" si="7"/>
        <v/>
      </c>
    </row>
    <row r="940">
      <c r="A940" s="136" t="s">
        <v>133</v>
      </c>
      <c r="B940" s="136"/>
      <c r="C940" s="136" t="s">
        <v>133</v>
      </c>
      <c r="D940" s="136"/>
      <c r="E940" s="256" t="str">
        <f>IFERROR(__xludf.DUMMYFUNCTION("""COMPUTED_VALUE"""),"")</f>
        <v/>
      </c>
      <c r="F940" s="257" t="str">
        <f>IFERROR(__xludf.DUMMYFUNCTION("""COMPUTED_VALUE"""),"")</f>
        <v/>
      </c>
      <c r="G940" s="247" t="str">
        <f t="shared" si="1"/>
        <v/>
      </c>
      <c r="H940" s="258" t="str">
        <f>IFERROR(__xludf.DUMMYFUNCTION("""COMPUTED_VALUE"""),"")</f>
        <v/>
      </c>
      <c r="I940" s="259" t="str">
        <f>IFERROR(__xludf.DUMMYFUNCTION("""COMPUTED_VALUE"""),"")</f>
        <v/>
      </c>
      <c r="J940" s="250" t="str">
        <f t="shared" si="2"/>
        <v/>
      </c>
      <c r="K940" s="317" t="str">
        <f>IFERROR(__xludf.DUMMYFUNCTION("""COMPUTED_VALUE"""),"")</f>
        <v/>
      </c>
      <c r="L940" s="318" t="str">
        <f>IFERROR(__xludf.DUMMYFUNCTION("""COMPUTED_VALUE"""),"")</f>
        <v/>
      </c>
      <c r="M940" s="253" t="str">
        <f t="shared" si="3"/>
        <v/>
      </c>
      <c r="N940" s="319" t="str">
        <f>IFERROR(__xludf.DUMMYFUNCTION("""COMPUTED_VALUE"""),"")</f>
        <v/>
      </c>
      <c r="O940" s="257" t="str">
        <f>IFERROR(__xludf.DUMMYFUNCTION("""COMPUTED_VALUE"""),"")</f>
        <v/>
      </c>
      <c r="P940" s="247" t="str">
        <f t="shared" si="4"/>
        <v/>
      </c>
      <c r="Q940" s="320" t="str">
        <f>IFERROR(__xludf.DUMMYFUNCTION("""COMPUTED_VALUE"""),"")</f>
        <v/>
      </c>
      <c r="R940" s="259" t="str">
        <f>IFERROR(__xludf.DUMMYFUNCTION("""COMPUTED_VALUE"""),"")</f>
        <v/>
      </c>
      <c r="S940" s="250" t="str">
        <f t="shared" si="5"/>
        <v/>
      </c>
      <c r="T940" s="254" t="str">
        <f>IFERROR(__xludf.DUMMYFUNCTION("""COMPUTED_VALUE"""),"")</f>
        <v/>
      </c>
      <c r="U940" s="246" t="str">
        <f>IFERROR(__xludf.DUMMYFUNCTION("""COMPUTED_VALUE"""),"")</f>
        <v/>
      </c>
      <c r="V940" s="247" t="str">
        <f t="shared" si="6"/>
        <v/>
      </c>
      <c r="W940" s="255" t="str">
        <f>IFERROR(__xludf.DUMMYFUNCTION("""COMPUTED_VALUE"""),"")</f>
        <v/>
      </c>
      <c r="X940" s="249" t="str">
        <f>IFERROR(__xludf.DUMMYFUNCTION("""COMPUTED_VALUE"""),"")</f>
        <v/>
      </c>
      <c r="Y940" s="250" t="str">
        <f t="shared" si="7"/>
        <v/>
      </c>
    </row>
    <row r="941">
      <c r="A941" s="136" t="s">
        <v>133</v>
      </c>
      <c r="B941" s="136"/>
      <c r="C941" s="136" t="s">
        <v>133</v>
      </c>
      <c r="D941" s="136"/>
      <c r="E941" s="256" t="str">
        <f>IFERROR(__xludf.DUMMYFUNCTION("""COMPUTED_VALUE"""),"")</f>
        <v/>
      </c>
      <c r="F941" s="257" t="str">
        <f>IFERROR(__xludf.DUMMYFUNCTION("""COMPUTED_VALUE"""),"")</f>
        <v/>
      </c>
      <c r="G941" s="247" t="str">
        <f t="shared" si="1"/>
        <v/>
      </c>
      <c r="H941" s="258" t="str">
        <f>IFERROR(__xludf.DUMMYFUNCTION("""COMPUTED_VALUE"""),"")</f>
        <v/>
      </c>
      <c r="I941" s="259" t="str">
        <f>IFERROR(__xludf.DUMMYFUNCTION("""COMPUTED_VALUE"""),"")</f>
        <v/>
      </c>
      <c r="J941" s="250" t="str">
        <f t="shared" si="2"/>
        <v/>
      </c>
      <c r="K941" s="317" t="str">
        <f>IFERROR(__xludf.DUMMYFUNCTION("""COMPUTED_VALUE"""),"")</f>
        <v/>
      </c>
      <c r="L941" s="318" t="str">
        <f>IFERROR(__xludf.DUMMYFUNCTION("""COMPUTED_VALUE"""),"")</f>
        <v/>
      </c>
      <c r="M941" s="253" t="str">
        <f t="shared" si="3"/>
        <v/>
      </c>
      <c r="N941" s="319" t="str">
        <f>IFERROR(__xludf.DUMMYFUNCTION("""COMPUTED_VALUE"""),"")</f>
        <v/>
      </c>
      <c r="O941" s="257" t="str">
        <f>IFERROR(__xludf.DUMMYFUNCTION("""COMPUTED_VALUE"""),"")</f>
        <v/>
      </c>
      <c r="P941" s="247" t="str">
        <f t="shared" si="4"/>
        <v/>
      </c>
      <c r="Q941" s="320" t="str">
        <f>IFERROR(__xludf.DUMMYFUNCTION("""COMPUTED_VALUE"""),"")</f>
        <v/>
      </c>
      <c r="R941" s="259" t="str">
        <f>IFERROR(__xludf.DUMMYFUNCTION("""COMPUTED_VALUE"""),"")</f>
        <v/>
      </c>
      <c r="S941" s="250" t="str">
        <f t="shared" si="5"/>
        <v/>
      </c>
      <c r="T941" s="254" t="str">
        <f>IFERROR(__xludf.DUMMYFUNCTION("""COMPUTED_VALUE"""),"")</f>
        <v/>
      </c>
      <c r="U941" s="246" t="str">
        <f>IFERROR(__xludf.DUMMYFUNCTION("""COMPUTED_VALUE"""),"")</f>
        <v/>
      </c>
      <c r="V941" s="247" t="str">
        <f t="shared" si="6"/>
        <v/>
      </c>
      <c r="W941" s="255" t="str">
        <f>IFERROR(__xludf.DUMMYFUNCTION("""COMPUTED_VALUE"""),"")</f>
        <v/>
      </c>
      <c r="X941" s="249" t="str">
        <f>IFERROR(__xludf.DUMMYFUNCTION("""COMPUTED_VALUE"""),"")</f>
        <v/>
      </c>
      <c r="Y941" s="250" t="str">
        <f t="shared" si="7"/>
        <v/>
      </c>
    </row>
    <row r="942">
      <c r="A942" s="136" t="s">
        <v>133</v>
      </c>
      <c r="B942" s="136"/>
      <c r="C942" s="136" t="s">
        <v>133</v>
      </c>
      <c r="D942" s="136"/>
      <c r="E942" s="256" t="str">
        <f>IFERROR(__xludf.DUMMYFUNCTION("""COMPUTED_VALUE"""),"")</f>
        <v/>
      </c>
      <c r="F942" s="257" t="str">
        <f>IFERROR(__xludf.DUMMYFUNCTION("""COMPUTED_VALUE"""),"")</f>
        <v/>
      </c>
      <c r="G942" s="247" t="str">
        <f t="shared" si="1"/>
        <v/>
      </c>
      <c r="H942" s="258" t="str">
        <f>IFERROR(__xludf.DUMMYFUNCTION("""COMPUTED_VALUE"""),"")</f>
        <v/>
      </c>
      <c r="I942" s="259" t="str">
        <f>IFERROR(__xludf.DUMMYFUNCTION("""COMPUTED_VALUE"""),"")</f>
        <v/>
      </c>
      <c r="J942" s="250" t="str">
        <f t="shared" si="2"/>
        <v/>
      </c>
      <c r="K942" s="317" t="str">
        <f>IFERROR(__xludf.DUMMYFUNCTION("""COMPUTED_VALUE"""),"")</f>
        <v/>
      </c>
      <c r="L942" s="318" t="str">
        <f>IFERROR(__xludf.DUMMYFUNCTION("""COMPUTED_VALUE"""),"")</f>
        <v/>
      </c>
      <c r="M942" s="253" t="str">
        <f t="shared" si="3"/>
        <v/>
      </c>
      <c r="N942" s="319" t="str">
        <f>IFERROR(__xludf.DUMMYFUNCTION("""COMPUTED_VALUE"""),"")</f>
        <v/>
      </c>
      <c r="O942" s="257" t="str">
        <f>IFERROR(__xludf.DUMMYFUNCTION("""COMPUTED_VALUE"""),"")</f>
        <v/>
      </c>
      <c r="P942" s="247" t="str">
        <f t="shared" si="4"/>
        <v/>
      </c>
      <c r="Q942" s="320" t="str">
        <f>IFERROR(__xludf.DUMMYFUNCTION("""COMPUTED_VALUE"""),"")</f>
        <v/>
      </c>
      <c r="R942" s="259" t="str">
        <f>IFERROR(__xludf.DUMMYFUNCTION("""COMPUTED_VALUE"""),"")</f>
        <v/>
      </c>
      <c r="S942" s="250" t="str">
        <f t="shared" si="5"/>
        <v/>
      </c>
      <c r="T942" s="254" t="str">
        <f>IFERROR(__xludf.DUMMYFUNCTION("""COMPUTED_VALUE"""),"")</f>
        <v/>
      </c>
      <c r="U942" s="246" t="str">
        <f>IFERROR(__xludf.DUMMYFUNCTION("""COMPUTED_VALUE"""),"")</f>
        <v/>
      </c>
      <c r="V942" s="247" t="str">
        <f t="shared" si="6"/>
        <v/>
      </c>
      <c r="W942" s="255" t="str">
        <f>IFERROR(__xludf.DUMMYFUNCTION("""COMPUTED_VALUE"""),"")</f>
        <v/>
      </c>
      <c r="X942" s="249" t="str">
        <f>IFERROR(__xludf.DUMMYFUNCTION("""COMPUTED_VALUE"""),"")</f>
        <v/>
      </c>
      <c r="Y942" s="250" t="str">
        <f t="shared" si="7"/>
        <v/>
      </c>
    </row>
    <row r="943">
      <c r="A943" s="136" t="s">
        <v>133</v>
      </c>
      <c r="B943" s="136"/>
      <c r="C943" s="136" t="s">
        <v>133</v>
      </c>
      <c r="D943" s="136"/>
      <c r="E943" s="256" t="str">
        <f>IFERROR(__xludf.DUMMYFUNCTION("""COMPUTED_VALUE"""),"")</f>
        <v/>
      </c>
      <c r="F943" s="257" t="str">
        <f>IFERROR(__xludf.DUMMYFUNCTION("""COMPUTED_VALUE"""),"")</f>
        <v/>
      </c>
      <c r="G943" s="247" t="str">
        <f t="shared" si="1"/>
        <v/>
      </c>
      <c r="H943" s="258" t="str">
        <f>IFERROR(__xludf.DUMMYFUNCTION("""COMPUTED_VALUE"""),"")</f>
        <v/>
      </c>
      <c r="I943" s="259" t="str">
        <f>IFERROR(__xludf.DUMMYFUNCTION("""COMPUTED_VALUE"""),"")</f>
        <v/>
      </c>
      <c r="J943" s="250" t="str">
        <f t="shared" si="2"/>
        <v/>
      </c>
      <c r="K943" s="317" t="str">
        <f>IFERROR(__xludf.DUMMYFUNCTION("""COMPUTED_VALUE"""),"")</f>
        <v/>
      </c>
      <c r="L943" s="318" t="str">
        <f>IFERROR(__xludf.DUMMYFUNCTION("""COMPUTED_VALUE"""),"")</f>
        <v/>
      </c>
      <c r="M943" s="253" t="str">
        <f t="shared" si="3"/>
        <v/>
      </c>
      <c r="N943" s="319" t="str">
        <f>IFERROR(__xludf.DUMMYFUNCTION("""COMPUTED_VALUE"""),"")</f>
        <v/>
      </c>
      <c r="O943" s="257" t="str">
        <f>IFERROR(__xludf.DUMMYFUNCTION("""COMPUTED_VALUE"""),"")</f>
        <v/>
      </c>
      <c r="P943" s="247" t="str">
        <f t="shared" si="4"/>
        <v/>
      </c>
      <c r="Q943" s="320" t="str">
        <f>IFERROR(__xludf.DUMMYFUNCTION("""COMPUTED_VALUE"""),"")</f>
        <v/>
      </c>
      <c r="R943" s="259" t="str">
        <f>IFERROR(__xludf.DUMMYFUNCTION("""COMPUTED_VALUE"""),"")</f>
        <v/>
      </c>
      <c r="S943" s="250" t="str">
        <f t="shared" si="5"/>
        <v/>
      </c>
      <c r="T943" s="254" t="str">
        <f>IFERROR(__xludf.DUMMYFUNCTION("""COMPUTED_VALUE"""),"")</f>
        <v/>
      </c>
      <c r="U943" s="246" t="str">
        <f>IFERROR(__xludf.DUMMYFUNCTION("""COMPUTED_VALUE"""),"")</f>
        <v/>
      </c>
      <c r="V943" s="247" t="str">
        <f t="shared" si="6"/>
        <v/>
      </c>
      <c r="W943" s="255" t="str">
        <f>IFERROR(__xludf.DUMMYFUNCTION("""COMPUTED_VALUE"""),"")</f>
        <v/>
      </c>
      <c r="X943" s="249" t="str">
        <f>IFERROR(__xludf.DUMMYFUNCTION("""COMPUTED_VALUE"""),"")</f>
        <v/>
      </c>
      <c r="Y943" s="250" t="str">
        <f t="shared" si="7"/>
        <v/>
      </c>
    </row>
    <row r="944">
      <c r="A944" s="136" t="s">
        <v>133</v>
      </c>
      <c r="B944" s="136"/>
      <c r="C944" s="136" t="s">
        <v>133</v>
      </c>
      <c r="D944" s="136"/>
      <c r="E944" s="256" t="str">
        <f>IFERROR(__xludf.DUMMYFUNCTION("""COMPUTED_VALUE"""),"")</f>
        <v/>
      </c>
      <c r="F944" s="257" t="str">
        <f>IFERROR(__xludf.DUMMYFUNCTION("""COMPUTED_VALUE"""),"")</f>
        <v/>
      </c>
      <c r="G944" s="247" t="str">
        <f t="shared" si="1"/>
        <v/>
      </c>
      <c r="H944" s="258" t="str">
        <f>IFERROR(__xludf.DUMMYFUNCTION("""COMPUTED_VALUE"""),"")</f>
        <v/>
      </c>
      <c r="I944" s="259" t="str">
        <f>IFERROR(__xludf.DUMMYFUNCTION("""COMPUTED_VALUE"""),"")</f>
        <v/>
      </c>
      <c r="J944" s="250" t="str">
        <f t="shared" si="2"/>
        <v/>
      </c>
      <c r="K944" s="317" t="str">
        <f>IFERROR(__xludf.DUMMYFUNCTION("""COMPUTED_VALUE"""),"")</f>
        <v/>
      </c>
      <c r="L944" s="318" t="str">
        <f>IFERROR(__xludf.DUMMYFUNCTION("""COMPUTED_VALUE"""),"")</f>
        <v/>
      </c>
      <c r="M944" s="253" t="str">
        <f t="shared" si="3"/>
        <v/>
      </c>
      <c r="N944" s="319" t="str">
        <f>IFERROR(__xludf.DUMMYFUNCTION("""COMPUTED_VALUE"""),"")</f>
        <v/>
      </c>
      <c r="O944" s="257" t="str">
        <f>IFERROR(__xludf.DUMMYFUNCTION("""COMPUTED_VALUE"""),"")</f>
        <v/>
      </c>
      <c r="P944" s="247" t="str">
        <f t="shared" si="4"/>
        <v/>
      </c>
      <c r="Q944" s="320" t="str">
        <f>IFERROR(__xludf.DUMMYFUNCTION("""COMPUTED_VALUE"""),"")</f>
        <v/>
      </c>
      <c r="R944" s="259" t="str">
        <f>IFERROR(__xludf.DUMMYFUNCTION("""COMPUTED_VALUE"""),"")</f>
        <v/>
      </c>
      <c r="S944" s="250" t="str">
        <f t="shared" si="5"/>
        <v/>
      </c>
      <c r="T944" s="254" t="str">
        <f>IFERROR(__xludf.DUMMYFUNCTION("""COMPUTED_VALUE"""),"")</f>
        <v/>
      </c>
      <c r="U944" s="246" t="str">
        <f>IFERROR(__xludf.DUMMYFUNCTION("""COMPUTED_VALUE"""),"")</f>
        <v/>
      </c>
      <c r="V944" s="247" t="str">
        <f t="shared" si="6"/>
        <v/>
      </c>
      <c r="W944" s="255" t="str">
        <f>IFERROR(__xludf.DUMMYFUNCTION("""COMPUTED_VALUE"""),"")</f>
        <v/>
      </c>
      <c r="X944" s="249" t="str">
        <f>IFERROR(__xludf.DUMMYFUNCTION("""COMPUTED_VALUE"""),"")</f>
        <v/>
      </c>
      <c r="Y944" s="250" t="str">
        <f t="shared" si="7"/>
        <v/>
      </c>
    </row>
    <row r="945">
      <c r="A945" s="136" t="s">
        <v>133</v>
      </c>
      <c r="B945" s="136"/>
      <c r="C945" s="136" t="s">
        <v>133</v>
      </c>
      <c r="D945" s="136"/>
      <c r="E945" s="256" t="str">
        <f>IFERROR(__xludf.DUMMYFUNCTION("""COMPUTED_VALUE"""),"")</f>
        <v/>
      </c>
      <c r="F945" s="257" t="str">
        <f>IFERROR(__xludf.DUMMYFUNCTION("""COMPUTED_VALUE"""),"")</f>
        <v/>
      </c>
      <c r="G945" s="247" t="str">
        <f t="shared" si="1"/>
        <v/>
      </c>
      <c r="H945" s="258" t="str">
        <f>IFERROR(__xludf.DUMMYFUNCTION("""COMPUTED_VALUE"""),"")</f>
        <v/>
      </c>
      <c r="I945" s="259" t="str">
        <f>IFERROR(__xludf.DUMMYFUNCTION("""COMPUTED_VALUE"""),"")</f>
        <v/>
      </c>
      <c r="J945" s="250" t="str">
        <f t="shared" si="2"/>
        <v/>
      </c>
      <c r="K945" s="317" t="str">
        <f>IFERROR(__xludf.DUMMYFUNCTION("""COMPUTED_VALUE"""),"")</f>
        <v/>
      </c>
      <c r="L945" s="318" t="str">
        <f>IFERROR(__xludf.DUMMYFUNCTION("""COMPUTED_VALUE"""),"")</f>
        <v/>
      </c>
      <c r="M945" s="253" t="str">
        <f t="shared" si="3"/>
        <v/>
      </c>
      <c r="N945" s="319" t="str">
        <f>IFERROR(__xludf.DUMMYFUNCTION("""COMPUTED_VALUE"""),"")</f>
        <v/>
      </c>
      <c r="O945" s="257" t="str">
        <f>IFERROR(__xludf.DUMMYFUNCTION("""COMPUTED_VALUE"""),"")</f>
        <v/>
      </c>
      <c r="P945" s="247" t="str">
        <f t="shared" si="4"/>
        <v/>
      </c>
      <c r="Q945" s="320" t="str">
        <f>IFERROR(__xludf.DUMMYFUNCTION("""COMPUTED_VALUE"""),"")</f>
        <v/>
      </c>
      <c r="R945" s="259" t="str">
        <f>IFERROR(__xludf.DUMMYFUNCTION("""COMPUTED_VALUE"""),"")</f>
        <v/>
      </c>
      <c r="S945" s="250" t="str">
        <f t="shared" si="5"/>
        <v/>
      </c>
      <c r="T945" s="254" t="str">
        <f>IFERROR(__xludf.DUMMYFUNCTION("""COMPUTED_VALUE"""),"")</f>
        <v/>
      </c>
      <c r="U945" s="246" t="str">
        <f>IFERROR(__xludf.DUMMYFUNCTION("""COMPUTED_VALUE"""),"")</f>
        <v/>
      </c>
      <c r="V945" s="247" t="str">
        <f t="shared" si="6"/>
        <v/>
      </c>
      <c r="W945" s="255" t="str">
        <f>IFERROR(__xludf.DUMMYFUNCTION("""COMPUTED_VALUE"""),"")</f>
        <v/>
      </c>
      <c r="X945" s="249" t="str">
        <f>IFERROR(__xludf.DUMMYFUNCTION("""COMPUTED_VALUE"""),"")</f>
        <v/>
      </c>
      <c r="Y945" s="250" t="str">
        <f t="shared" si="7"/>
        <v/>
      </c>
    </row>
    <row r="946">
      <c r="A946" s="136" t="s">
        <v>133</v>
      </c>
      <c r="B946" s="136"/>
      <c r="C946" s="136" t="s">
        <v>133</v>
      </c>
      <c r="D946" s="136"/>
      <c r="E946" s="256" t="str">
        <f>IFERROR(__xludf.DUMMYFUNCTION("""COMPUTED_VALUE"""),"")</f>
        <v/>
      </c>
      <c r="F946" s="257" t="str">
        <f>IFERROR(__xludf.DUMMYFUNCTION("""COMPUTED_VALUE"""),"")</f>
        <v/>
      </c>
      <c r="G946" s="247" t="str">
        <f t="shared" si="1"/>
        <v/>
      </c>
      <c r="H946" s="258" t="str">
        <f>IFERROR(__xludf.DUMMYFUNCTION("""COMPUTED_VALUE"""),"")</f>
        <v/>
      </c>
      <c r="I946" s="259" t="str">
        <f>IFERROR(__xludf.DUMMYFUNCTION("""COMPUTED_VALUE"""),"")</f>
        <v/>
      </c>
      <c r="J946" s="250" t="str">
        <f t="shared" si="2"/>
        <v/>
      </c>
      <c r="K946" s="317" t="str">
        <f>IFERROR(__xludf.DUMMYFUNCTION("""COMPUTED_VALUE"""),"")</f>
        <v/>
      </c>
      <c r="L946" s="318" t="str">
        <f>IFERROR(__xludf.DUMMYFUNCTION("""COMPUTED_VALUE"""),"")</f>
        <v/>
      </c>
      <c r="M946" s="253" t="str">
        <f t="shared" si="3"/>
        <v/>
      </c>
      <c r="N946" s="319" t="str">
        <f>IFERROR(__xludf.DUMMYFUNCTION("""COMPUTED_VALUE"""),"")</f>
        <v/>
      </c>
      <c r="O946" s="257" t="str">
        <f>IFERROR(__xludf.DUMMYFUNCTION("""COMPUTED_VALUE"""),"")</f>
        <v/>
      </c>
      <c r="P946" s="247" t="str">
        <f t="shared" si="4"/>
        <v/>
      </c>
      <c r="Q946" s="320" t="str">
        <f>IFERROR(__xludf.DUMMYFUNCTION("""COMPUTED_VALUE"""),"")</f>
        <v/>
      </c>
      <c r="R946" s="259" t="str">
        <f>IFERROR(__xludf.DUMMYFUNCTION("""COMPUTED_VALUE"""),"")</f>
        <v/>
      </c>
      <c r="S946" s="250" t="str">
        <f t="shared" si="5"/>
        <v/>
      </c>
      <c r="T946" s="254" t="str">
        <f>IFERROR(__xludf.DUMMYFUNCTION("""COMPUTED_VALUE"""),"")</f>
        <v/>
      </c>
      <c r="U946" s="246" t="str">
        <f>IFERROR(__xludf.DUMMYFUNCTION("""COMPUTED_VALUE"""),"")</f>
        <v/>
      </c>
      <c r="V946" s="247" t="str">
        <f t="shared" si="6"/>
        <v/>
      </c>
      <c r="W946" s="255" t="str">
        <f>IFERROR(__xludf.DUMMYFUNCTION("""COMPUTED_VALUE"""),"")</f>
        <v/>
      </c>
      <c r="X946" s="249" t="str">
        <f>IFERROR(__xludf.DUMMYFUNCTION("""COMPUTED_VALUE"""),"")</f>
        <v/>
      </c>
      <c r="Y946" s="250" t="str">
        <f t="shared" si="7"/>
        <v/>
      </c>
    </row>
    <row r="947">
      <c r="A947" s="136" t="s">
        <v>133</v>
      </c>
      <c r="B947" s="136"/>
      <c r="C947" s="136" t="s">
        <v>133</v>
      </c>
      <c r="D947" s="136"/>
      <c r="E947" s="256" t="str">
        <f>IFERROR(__xludf.DUMMYFUNCTION("""COMPUTED_VALUE"""),"")</f>
        <v/>
      </c>
      <c r="F947" s="257" t="str">
        <f>IFERROR(__xludf.DUMMYFUNCTION("""COMPUTED_VALUE"""),"")</f>
        <v/>
      </c>
      <c r="G947" s="247" t="str">
        <f t="shared" si="1"/>
        <v/>
      </c>
      <c r="H947" s="258" t="str">
        <f>IFERROR(__xludf.DUMMYFUNCTION("""COMPUTED_VALUE"""),"")</f>
        <v/>
      </c>
      <c r="I947" s="259" t="str">
        <f>IFERROR(__xludf.DUMMYFUNCTION("""COMPUTED_VALUE"""),"")</f>
        <v/>
      </c>
      <c r="J947" s="250" t="str">
        <f t="shared" si="2"/>
        <v/>
      </c>
      <c r="K947" s="317" t="str">
        <f>IFERROR(__xludf.DUMMYFUNCTION("""COMPUTED_VALUE"""),"")</f>
        <v/>
      </c>
      <c r="L947" s="318" t="str">
        <f>IFERROR(__xludf.DUMMYFUNCTION("""COMPUTED_VALUE"""),"")</f>
        <v/>
      </c>
      <c r="M947" s="253" t="str">
        <f t="shared" si="3"/>
        <v/>
      </c>
      <c r="N947" s="319" t="str">
        <f>IFERROR(__xludf.DUMMYFUNCTION("""COMPUTED_VALUE"""),"")</f>
        <v/>
      </c>
      <c r="O947" s="257" t="str">
        <f>IFERROR(__xludf.DUMMYFUNCTION("""COMPUTED_VALUE"""),"")</f>
        <v/>
      </c>
      <c r="P947" s="247" t="str">
        <f t="shared" si="4"/>
        <v/>
      </c>
      <c r="Q947" s="320" t="str">
        <f>IFERROR(__xludf.DUMMYFUNCTION("""COMPUTED_VALUE"""),"")</f>
        <v/>
      </c>
      <c r="R947" s="259" t="str">
        <f>IFERROR(__xludf.DUMMYFUNCTION("""COMPUTED_VALUE"""),"")</f>
        <v/>
      </c>
      <c r="S947" s="250" t="str">
        <f t="shared" si="5"/>
        <v/>
      </c>
      <c r="T947" s="254" t="str">
        <f>IFERROR(__xludf.DUMMYFUNCTION("""COMPUTED_VALUE"""),"")</f>
        <v/>
      </c>
      <c r="U947" s="246" t="str">
        <f>IFERROR(__xludf.DUMMYFUNCTION("""COMPUTED_VALUE"""),"")</f>
        <v/>
      </c>
      <c r="V947" s="247" t="str">
        <f t="shared" si="6"/>
        <v/>
      </c>
      <c r="W947" s="255" t="str">
        <f>IFERROR(__xludf.DUMMYFUNCTION("""COMPUTED_VALUE"""),"")</f>
        <v/>
      </c>
      <c r="X947" s="249" t="str">
        <f>IFERROR(__xludf.DUMMYFUNCTION("""COMPUTED_VALUE"""),"")</f>
        <v/>
      </c>
      <c r="Y947" s="250" t="str">
        <f t="shared" si="7"/>
        <v/>
      </c>
    </row>
    <row r="948">
      <c r="A948" s="136" t="s">
        <v>133</v>
      </c>
      <c r="B948" s="136"/>
      <c r="C948" s="136" t="s">
        <v>133</v>
      </c>
      <c r="D948" s="136"/>
      <c r="E948" s="256" t="str">
        <f>IFERROR(__xludf.DUMMYFUNCTION("""COMPUTED_VALUE"""),"")</f>
        <v/>
      </c>
      <c r="F948" s="257" t="str">
        <f>IFERROR(__xludf.DUMMYFUNCTION("""COMPUTED_VALUE"""),"")</f>
        <v/>
      </c>
      <c r="G948" s="247" t="str">
        <f t="shared" si="1"/>
        <v/>
      </c>
      <c r="H948" s="258" t="str">
        <f>IFERROR(__xludf.DUMMYFUNCTION("""COMPUTED_VALUE"""),"")</f>
        <v/>
      </c>
      <c r="I948" s="259" t="str">
        <f>IFERROR(__xludf.DUMMYFUNCTION("""COMPUTED_VALUE"""),"")</f>
        <v/>
      </c>
      <c r="J948" s="250" t="str">
        <f t="shared" si="2"/>
        <v/>
      </c>
      <c r="K948" s="317" t="str">
        <f>IFERROR(__xludf.DUMMYFUNCTION("""COMPUTED_VALUE"""),"")</f>
        <v/>
      </c>
      <c r="L948" s="318" t="str">
        <f>IFERROR(__xludf.DUMMYFUNCTION("""COMPUTED_VALUE"""),"")</f>
        <v/>
      </c>
      <c r="M948" s="253" t="str">
        <f t="shared" si="3"/>
        <v/>
      </c>
      <c r="N948" s="319" t="str">
        <f>IFERROR(__xludf.DUMMYFUNCTION("""COMPUTED_VALUE"""),"")</f>
        <v/>
      </c>
      <c r="O948" s="257" t="str">
        <f>IFERROR(__xludf.DUMMYFUNCTION("""COMPUTED_VALUE"""),"")</f>
        <v/>
      </c>
      <c r="P948" s="247" t="str">
        <f t="shared" si="4"/>
        <v/>
      </c>
      <c r="Q948" s="320" t="str">
        <f>IFERROR(__xludf.DUMMYFUNCTION("""COMPUTED_VALUE"""),"")</f>
        <v/>
      </c>
      <c r="R948" s="259" t="str">
        <f>IFERROR(__xludf.DUMMYFUNCTION("""COMPUTED_VALUE"""),"")</f>
        <v/>
      </c>
      <c r="S948" s="250" t="str">
        <f t="shared" si="5"/>
        <v/>
      </c>
      <c r="T948" s="254" t="str">
        <f>IFERROR(__xludf.DUMMYFUNCTION("""COMPUTED_VALUE"""),"")</f>
        <v/>
      </c>
      <c r="U948" s="246" t="str">
        <f>IFERROR(__xludf.DUMMYFUNCTION("""COMPUTED_VALUE"""),"")</f>
        <v/>
      </c>
      <c r="V948" s="247" t="str">
        <f t="shared" si="6"/>
        <v/>
      </c>
      <c r="W948" s="255" t="str">
        <f>IFERROR(__xludf.DUMMYFUNCTION("""COMPUTED_VALUE"""),"")</f>
        <v/>
      </c>
      <c r="X948" s="249" t="str">
        <f>IFERROR(__xludf.DUMMYFUNCTION("""COMPUTED_VALUE"""),"")</f>
        <v/>
      </c>
      <c r="Y948" s="250" t="str">
        <f t="shared" si="7"/>
        <v/>
      </c>
    </row>
    <row r="949">
      <c r="A949" s="136" t="s">
        <v>133</v>
      </c>
      <c r="B949" s="136"/>
      <c r="C949" s="136" t="s">
        <v>133</v>
      </c>
      <c r="D949" s="136"/>
      <c r="E949" s="256" t="str">
        <f>IFERROR(__xludf.DUMMYFUNCTION("""COMPUTED_VALUE"""),"")</f>
        <v/>
      </c>
      <c r="F949" s="257" t="str">
        <f>IFERROR(__xludf.DUMMYFUNCTION("""COMPUTED_VALUE"""),"")</f>
        <v/>
      </c>
      <c r="G949" s="247" t="str">
        <f t="shared" si="1"/>
        <v/>
      </c>
      <c r="H949" s="258" t="str">
        <f>IFERROR(__xludf.DUMMYFUNCTION("""COMPUTED_VALUE"""),"")</f>
        <v/>
      </c>
      <c r="I949" s="259" t="str">
        <f>IFERROR(__xludf.DUMMYFUNCTION("""COMPUTED_VALUE"""),"")</f>
        <v/>
      </c>
      <c r="J949" s="250" t="str">
        <f t="shared" si="2"/>
        <v/>
      </c>
      <c r="K949" s="317" t="str">
        <f>IFERROR(__xludf.DUMMYFUNCTION("""COMPUTED_VALUE"""),"")</f>
        <v/>
      </c>
      <c r="L949" s="318" t="str">
        <f>IFERROR(__xludf.DUMMYFUNCTION("""COMPUTED_VALUE"""),"")</f>
        <v/>
      </c>
      <c r="M949" s="253" t="str">
        <f t="shared" si="3"/>
        <v/>
      </c>
      <c r="N949" s="319" t="str">
        <f>IFERROR(__xludf.DUMMYFUNCTION("""COMPUTED_VALUE"""),"")</f>
        <v/>
      </c>
      <c r="O949" s="257" t="str">
        <f>IFERROR(__xludf.DUMMYFUNCTION("""COMPUTED_VALUE"""),"")</f>
        <v/>
      </c>
      <c r="P949" s="247" t="str">
        <f t="shared" si="4"/>
        <v/>
      </c>
      <c r="Q949" s="320" t="str">
        <f>IFERROR(__xludf.DUMMYFUNCTION("""COMPUTED_VALUE"""),"")</f>
        <v/>
      </c>
      <c r="R949" s="259" t="str">
        <f>IFERROR(__xludf.DUMMYFUNCTION("""COMPUTED_VALUE"""),"")</f>
        <v/>
      </c>
      <c r="S949" s="250" t="str">
        <f t="shared" si="5"/>
        <v/>
      </c>
      <c r="T949" s="254" t="str">
        <f>IFERROR(__xludf.DUMMYFUNCTION("""COMPUTED_VALUE"""),"")</f>
        <v/>
      </c>
      <c r="U949" s="246" t="str">
        <f>IFERROR(__xludf.DUMMYFUNCTION("""COMPUTED_VALUE"""),"")</f>
        <v/>
      </c>
      <c r="V949" s="247" t="str">
        <f t="shared" si="6"/>
        <v/>
      </c>
      <c r="W949" s="255" t="str">
        <f>IFERROR(__xludf.DUMMYFUNCTION("""COMPUTED_VALUE"""),"")</f>
        <v/>
      </c>
      <c r="X949" s="249" t="str">
        <f>IFERROR(__xludf.DUMMYFUNCTION("""COMPUTED_VALUE"""),"")</f>
        <v/>
      </c>
      <c r="Y949" s="250" t="str">
        <f t="shared" si="7"/>
        <v/>
      </c>
    </row>
    <row r="950">
      <c r="A950" s="136" t="s">
        <v>133</v>
      </c>
      <c r="B950" s="136"/>
      <c r="C950" s="136" t="s">
        <v>133</v>
      </c>
      <c r="D950" s="136"/>
      <c r="E950" s="256" t="str">
        <f>IFERROR(__xludf.DUMMYFUNCTION("""COMPUTED_VALUE"""),"")</f>
        <v/>
      </c>
      <c r="F950" s="257" t="str">
        <f>IFERROR(__xludf.DUMMYFUNCTION("""COMPUTED_VALUE"""),"")</f>
        <v/>
      </c>
      <c r="G950" s="247" t="str">
        <f t="shared" si="1"/>
        <v/>
      </c>
      <c r="H950" s="258" t="str">
        <f>IFERROR(__xludf.DUMMYFUNCTION("""COMPUTED_VALUE"""),"")</f>
        <v/>
      </c>
      <c r="I950" s="259" t="str">
        <f>IFERROR(__xludf.DUMMYFUNCTION("""COMPUTED_VALUE"""),"")</f>
        <v/>
      </c>
      <c r="J950" s="250" t="str">
        <f t="shared" si="2"/>
        <v/>
      </c>
      <c r="K950" s="317" t="str">
        <f>IFERROR(__xludf.DUMMYFUNCTION("""COMPUTED_VALUE"""),"")</f>
        <v/>
      </c>
      <c r="L950" s="318" t="str">
        <f>IFERROR(__xludf.DUMMYFUNCTION("""COMPUTED_VALUE"""),"")</f>
        <v/>
      </c>
      <c r="M950" s="253" t="str">
        <f t="shared" si="3"/>
        <v/>
      </c>
      <c r="N950" s="319" t="str">
        <f>IFERROR(__xludf.DUMMYFUNCTION("""COMPUTED_VALUE"""),"")</f>
        <v/>
      </c>
      <c r="O950" s="257" t="str">
        <f>IFERROR(__xludf.DUMMYFUNCTION("""COMPUTED_VALUE"""),"")</f>
        <v/>
      </c>
      <c r="P950" s="247" t="str">
        <f t="shared" si="4"/>
        <v/>
      </c>
      <c r="Q950" s="320" t="str">
        <f>IFERROR(__xludf.DUMMYFUNCTION("""COMPUTED_VALUE"""),"")</f>
        <v/>
      </c>
      <c r="R950" s="259" t="str">
        <f>IFERROR(__xludf.DUMMYFUNCTION("""COMPUTED_VALUE"""),"")</f>
        <v/>
      </c>
      <c r="S950" s="250" t="str">
        <f t="shared" si="5"/>
        <v/>
      </c>
      <c r="T950" s="254" t="str">
        <f>IFERROR(__xludf.DUMMYFUNCTION("""COMPUTED_VALUE"""),"")</f>
        <v/>
      </c>
      <c r="U950" s="246" t="str">
        <f>IFERROR(__xludf.DUMMYFUNCTION("""COMPUTED_VALUE"""),"")</f>
        <v/>
      </c>
      <c r="V950" s="247" t="str">
        <f t="shared" si="6"/>
        <v/>
      </c>
      <c r="W950" s="255" t="str">
        <f>IFERROR(__xludf.DUMMYFUNCTION("""COMPUTED_VALUE"""),"")</f>
        <v/>
      </c>
      <c r="X950" s="249" t="str">
        <f>IFERROR(__xludf.DUMMYFUNCTION("""COMPUTED_VALUE"""),"")</f>
        <v/>
      </c>
      <c r="Y950" s="250" t="str">
        <f t="shared" si="7"/>
        <v/>
      </c>
    </row>
    <row r="951">
      <c r="A951" s="136" t="s">
        <v>133</v>
      </c>
      <c r="B951" s="136"/>
      <c r="C951" s="136" t="s">
        <v>133</v>
      </c>
      <c r="D951" s="136"/>
      <c r="E951" s="256" t="str">
        <f>IFERROR(__xludf.DUMMYFUNCTION("""COMPUTED_VALUE"""),"")</f>
        <v/>
      </c>
      <c r="F951" s="257" t="str">
        <f>IFERROR(__xludf.DUMMYFUNCTION("""COMPUTED_VALUE"""),"")</f>
        <v/>
      </c>
      <c r="G951" s="247" t="str">
        <f t="shared" si="1"/>
        <v/>
      </c>
      <c r="H951" s="258" t="str">
        <f>IFERROR(__xludf.DUMMYFUNCTION("""COMPUTED_VALUE"""),"")</f>
        <v/>
      </c>
      <c r="I951" s="259" t="str">
        <f>IFERROR(__xludf.DUMMYFUNCTION("""COMPUTED_VALUE"""),"")</f>
        <v/>
      </c>
      <c r="J951" s="250" t="str">
        <f t="shared" si="2"/>
        <v/>
      </c>
      <c r="K951" s="317" t="str">
        <f>IFERROR(__xludf.DUMMYFUNCTION("""COMPUTED_VALUE"""),"")</f>
        <v/>
      </c>
      <c r="L951" s="318" t="str">
        <f>IFERROR(__xludf.DUMMYFUNCTION("""COMPUTED_VALUE"""),"")</f>
        <v/>
      </c>
      <c r="M951" s="253" t="str">
        <f t="shared" si="3"/>
        <v/>
      </c>
      <c r="N951" s="319" t="str">
        <f>IFERROR(__xludf.DUMMYFUNCTION("""COMPUTED_VALUE"""),"")</f>
        <v/>
      </c>
      <c r="O951" s="257" t="str">
        <f>IFERROR(__xludf.DUMMYFUNCTION("""COMPUTED_VALUE"""),"")</f>
        <v/>
      </c>
      <c r="P951" s="247" t="str">
        <f t="shared" si="4"/>
        <v/>
      </c>
      <c r="Q951" s="320" t="str">
        <f>IFERROR(__xludf.DUMMYFUNCTION("""COMPUTED_VALUE"""),"")</f>
        <v/>
      </c>
      <c r="R951" s="259" t="str">
        <f>IFERROR(__xludf.DUMMYFUNCTION("""COMPUTED_VALUE"""),"")</f>
        <v/>
      </c>
      <c r="S951" s="250" t="str">
        <f t="shared" si="5"/>
        <v/>
      </c>
      <c r="T951" s="254" t="str">
        <f>IFERROR(__xludf.DUMMYFUNCTION("""COMPUTED_VALUE"""),"")</f>
        <v/>
      </c>
      <c r="U951" s="246" t="str">
        <f>IFERROR(__xludf.DUMMYFUNCTION("""COMPUTED_VALUE"""),"")</f>
        <v/>
      </c>
      <c r="V951" s="247" t="str">
        <f t="shared" si="6"/>
        <v/>
      </c>
      <c r="W951" s="255" t="str">
        <f>IFERROR(__xludf.DUMMYFUNCTION("""COMPUTED_VALUE"""),"")</f>
        <v/>
      </c>
      <c r="X951" s="249" t="str">
        <f>IFERROR(__xludf.DUMMYFUNCTION("""COMPUTED_VALUE"""),"")</f>
        <v/>
      </c>
      <c r="Y951" s="250" t="str">
        <f t="shared" si="7"/>
        <v/>
      </c>
    </row>
    <row r="952">
      <c r="A952" s="136" t="s">
        <v>133</v>
      </c>
      <c r="B952" s="136"/>
      <c r="C952" s="136" t="s">
        <v>133</v>
      </c>
      <c r="D952" s="136"/>
      <c r="E952" s="256" t="str">
        <f>IFERROR(__xludf.DUMMYFUNCTION("""COMPUTED_VALUE"""),"")</f>
        <v/>
      </c>
      <c r="F952" s="257" t="str">
        <f>IFERROR(__xludf.DUMMYFUNCTION("""COMPUTED_VALUE"""),"")</f>
        <v/>
      </c>
      <c r="G952" s="247" t="str">
        <f t="shared" si="1"/>
        <v/>
      </c>
      <c r="H952" s="258" t="str">
        <f>IFERROR(__xludf.DUMMYFUNCTION("""COMPUTED_VALUE"""),"")</f>
        <v/>
      </c>
      <c r="I952" s="259" t="str">
        <f>IFERROR(__xludf.DUMMYFUNCTION("""COMPUTED_VALUE"""),"")</f>
        <v/>
      </c>
      <c r="J952" s="250" t="str">
        <f t="shared" si="2"/>
        <v/>
      </c>
      <c r="K952" s="317" t="str">
        <f>IFERROR(__xludf.DUMMYFUNCTION("""COMPUTED_VALUE"""),"")</f>
        <v/>
      </c>
      <c r="L952" s="318" t="str">
        <f>IFERROR(__xludf.DUMMYFUNCTION("""COMPUTED_VALUE"""),"")</f>
        <v/>
      </c>
      <c r="M952" s="253" t="str">
        <f t="shared" si="3"/>
        <v/>
      </c>
      <c r="N952" s="319" t="str">
        <f>IFERROR(__xludf.DUMMYFUNCTION("""COMPUTED_VALUE"""),"")</f>
        <v/>
      </c>
      <c r="O952" s="257" t="str">
        <f>IFERROR(__xludf.DUMMYFUNCTION("""COMPUTED_VALUE"""),"")</f>
        <v/>
      </c>
      <c r="P952" s="247" t="str">
        <f t="shared" si="4"/>
        <v/>
      </c>
      <c r="Q952" s="320" t="str">
        <f>IFERROR(__xludf.DUMMYFUNCTION("""COMPUTED_VALUE"""),"")</f>
        <v/>
      </c>
      <c r="R952" s="259" t="str">
        <f>IFERROR(__xludf.DUMMYFUNCTION("""COMPUTED_VALUE"""),"")</f>
        <v/>
      </c>
      <c r="S952" s="250" t="str">
        <f t="shared" si="5"/>
        <v/>
      </c>
      <c r="T952" s="254" t="str">
        <f>IFERROR(__xludf.DUMMYFUNCTION("""COMPUTED_VALUE"""),"")</f>
        <v/>
      </c>
      <c r="U952" s="246" t="str">
        <f>IFERROR(__xludf.DUMMYFUNCTION("""COMPUTED_VALUE"""),"")</f>
        <v/>
      </c>
      <c r="V952" s="247" t="str">
        <f t="shared" si="6"/>
        <v/>
      </c>
      <c r="W952" s="255" t="str">
        <f>IFERROR(__xludf.DUMMYFUNCTION("""COMPUTED_VALUE"""),"")</f>
        <v/>
      </c>
      <c r="X952" s="249" t="str">
        <f>IFERROR(__xludf.DUMMYFUNCTION("""COMPUTED_VALUE"""),"")</f>
        <v/>
      </c>
      <c r="Y952" s="250" t="str">
        <f t="shared" si="7"/>
        <v/>
      </c>
    </row>
    <row r="953">
      <c r="A953" s="136" t="s">
        <v>133</v>
      </c>
      <c r="B953" s="136"/>
      <c r="C953" s="136" t="s">
        <v>133</v>
      </c>
      <c r="D953" s="136"/>
      <c r="E953" s="256" t="str">
        <f>IFERROR(__xludf.DUMMYFUNCTION("""COMPUTED_VALUE"""),"")</f>
        <v/>
      </c>
      <c r="F953" s="257" t="str">
        <f>IFERROR(__xludf.DUMMYFUNCTION("""COMPUTED_VALUE"""),"")</f>
        <v/>
      </c>
      <c r="G953" s="247" t="str">
        <f t="shared" si="1"/>
        <v/>
      </c>
      <c r="H953" s="258" t="str">
        <f>IFERROR(__xludf.DUMMYFUNCTION("""COMPUTED_VALUE"""),"")</f>
        <v/>
      </c>
      <c r="I953" s="259" t="str">
        <f>IFERROR(__xludf.DUMMYFUNCTION("""COMPUTED_VALUE"""),"")</f>
        <v/>
      </c>
      <c r="J953" s="250" t="str">
        <f t="shared" si="2"/>
        <v/>
      </c>
      <c r="K953" s="317" t="str">
        <f>IFERROR(__xludf.DUMMYFUNCTION("""COMPUTED_VALUE"""),"")</f>
        <v/>
      </c>
      <c r="L953" s="318" t="str">
        <f>IFERROR(__xludf.DUMMYFUNCTION("""COMPUTED_VALUE"""),"")</f>
        <v/>
      </c>
      <c r="M953" s="253" t="str">
        <f t="shared" si="3"/>
        <v/>
      </c>
      <c r="N953" s="319" t="str">
        <f>IFERROR(__xludf.DUMMYFUNCTION("""COMPUTED_VALUE"""),"")</f>
        <v/>
      </c>
      <c r="O953" s="257" t="str">
        <f>IFERROR(__xludf.DUMMYFUNCTION("""COMPUTED_VALUE"""),"")</f>
        <v/>
      </c>
      <c r="P953" s="247" t="str">
        <f t="shared" si="4"/>
        <v/>
      </c>
      <c r="Q953" s="320" t="str">
        <f>IFERROR(__xludf.DUMMYFUNCTION("""COMPUTED_VALUE"""),"")</f>
        <v/>
      </c>
      <c r="R953" s="259" t="str">
        <f>IFERROR(__xludf.DUMMYFUNCTION("""COMPUTED_VALUE"""),"")</f>
        <v/>
      </c>
      <c r="S953" s="250" t="str">
        <f t="shared" si="5"/>
        <v/>
      </c>
      <c r="T953" s="254" t="str">
        <f>IFERROR(__xludf.DUMMYFUNCTION("""COMPUTED_VALUE"""),"")</f>
        <v/>
      </c>
      <c r="U953" s="246" t="str">
        <f>IFERROR(__xludf.DUMMYFUNCTION("""COMPUTED_VALUE"""),"")</f>
        <v/>
      </c>
      <c r="V953" s="247" t="str">
        <f t="shared" si="6"/>
        <v/>
      </c>
      <c r="W953" s="255" t="str">
        <f>IFERROR(__xludf.DUMMYFUNCTION("""COMPUTED_VALUE"""),"")</f>
        <v/>
      </c>
      <c r="X953" s="249" t="str">
        <f>IFERROR(__xludf.DUMMYFUNCTION("""COMPUTED_VALUE"""),"")</f>
        <v/>
      </c>
      <c r="Y953" s="250" t="str">
        <f t="shared" si="7"/>
        <v/>
      </c>
    </row>
    <row r="954">
      <c r="A954" s="136" t="s">
        <v>133</v>
      </c>
      <c r="B954" s="136"/>
      <c r="C954" s="136" t="s">
        <v>133</v>
      </c>
      <c r="D954" s="136"/>
      <c r="E954" s="256" t="str">
        <f>IFERROR(__xludf.DUMMYFUNCTION("""COMPUTED_VALUE"""),"")</f>
        <v/>
      </c>
      <c r="F954" s="257" t="str">
        <f>IFERROR(__xludf.DUMMYFUNCTION("""COMPUTED_VALUE"""),"")</f>
        <v/>
      </c>
      <c r="G954" s="247" t="str">
        <f t="shared" si="1"/>
        <v/>
      </c>
      <c r="H954" s="258" t="str">
        <f>IFERROR(__xludf.DUMMYFUNCTION("""COMPUTED_VALUE"""),"")</f>
        <v/>
      </c>
      <c r="I954" s="259" t="str">
        <f>IFERROR(__xludf.DUMMYFUNCTION("""COMPUTED_VALUE"""),"")</f>
        <v/>
      </c>
      <c r="J954" s="250" t="str">
        <f t="shared" si="2"/>
        <v/>
      </c>
      <c r="K954" s="317" t="str">
        <f>IFERROR(__xludf.DUMMYFUNCTION("""COMPUTED_VALUE"""),"")</f>
        <v/>
      </c>
      <c r="L954" s="318" t="str">
        <f>IFERROR(__xludf.DUMMYFUNCTION("""COMPUTED_VALUE"""),"")</f>
        <v/>
      </c>
      <c r="M954" s="253" t="str">
        <f t="shared" si="3"/>
        <v/>
      </c>
      <c r="N954" s="319" t="str">
        <f>IFERROR(__xludf.DUMMYFUNCTION("""COMPUTED_VALUE"""),"")</f>
        <v/>
      </c>
      <c r="O954" s="257" t="str">
        <f>IFERROR(__xludf.DUMMYFUNCTION("""COMPUTED_VALUE"""),"")</f>
        <v/>
      </c>
      <c r="P954" s="247" t="str">
        <f t="shared" si="4"/>
        <v/>
      </c>
      <c r="Q954" s="320" t="str">
        <f>IFERROR(__xludf.DUMMYFUNCTION("""COMPUTED_VALUE"""),"")</f>
        <v/>
      </c>
      <c r="R954" s="259" t="str">
        <f>IFERROR(__xludf.DUMMYFUNCTION("""COMPUTED_VALUE"""),"")</f>
        <v/>
      </c>
      <c r="S954" s="250" t="str">
        <f t="shared" si="5"/>
        <v/>
      </c>
      <c r="T954" s="254" t="str">
        <f>IFERROR(__xludf.DUMMYFUNCTION("""COMPUTED_VALUE"""),"")</f>
        <v/>
      </c>
      <c r="U954" s="246" t="str">
        <f>IFERROR(__xludf.DUMMYFUNCTION("""COMPUTED_VALUE"""),"")</f>
        <v/>
      </c>
      <c r="V954" s="247" t="str">
        <f t="shared" si="6"/>
        <v/>
      </c>
      <c r="W954" s="255" t="str">
        <f>IFERROR(__xludf.DUMMYFUNCTION("""COMPUTED_VALUE"""),"")</f>
        <v/>
      </c>
      <c r="X954" s="249" t="str">
        <f>IFERROR(__xludf.DUMMYFUNCTION("""COMPUTED_VALUE"""),"")</f>
        <v/>
      </c>
      <c r="Y954" s="250" t="str">
        <f t="shared" si="7"/>
        <v/>
      </c>
    </row>
    <row r="955">
      <c r="A955" s="136" t="s">
        <v>133</v>
      </c>
      <c r="B955" s="136"/>
      <c r="C955" s="136" t="s">
        <v>133</v>
      </c>
      <c r="D955" s="136"/>
      <c r="E955" s="256" t="str">
        <f>IFERROR(__xludf.DUMMYFUNCTION("""COMPUTED_VALUE"""),"")</f>
        <v/>
      </c>
      <c r="F955" s="257" t="str">
        <f>IFERROR(__xludf.DUMMYFUNCTION("""COMPUTED_VALUE"""),"")</f>
        <v/>
      </c>
      <c r="G955" s="247" t="str">
        <f t="shared" si="1"/>
        <v/>
      </c>
      <c r="H955" s="258" t="str">
        <f>IFERROR(__xludf.DUMMYFUNCTION("""COMPUTED_VALUE"""),"")</f>
        <v/>
      </c>
      <c r="I955" s="259" t="str">
        <f>IFERROR(__xludf.DUMMYFUNCTION("""COMPUTED_VALUE"""),"")</f>
        <v/>
      </c>
      <c r="J955" s="250" t="str">
        <f t="shared" si="2"/>
        <v/>
      </c>
      <c r="K955" s="317" t="str">
        <f>IFERROR(__xludf.DUMMYFUNCTION("""COMPUTED_VALUE"""),"")</f>
        <v/>
      </c>
      <c r="L955" s="318" t="str">
        <f>IFERROR(__xludf.DUMMYFUNCTION("""COMPUTED_VALUE"""),"")</f>
        <v/>
      </c>
      <c r="M955" s="253" t="str">
        <f t="shared" si="3"/>
        <v/>
      </c>
      <c r="N955" s="319" t="str">
        <f>IFERROR(__xludf.DUMMYFUNCTION("""COMPUTED_VALUE"""),"")</f>
        <v/>
      </c>
      <c r="O955" s="257" t="str">
        <f>IFERROR(__xludf.DUMMYFUNCTION("""COMPUTED_VALUE"""),"")</f>
        <v/>
      </c>
      <c r="P955" s="247" t="str">
        <f t="shared" si="4"/>
        <v/>
      </c>
      <c r="Q955" s="320" t="str">
        <f>IFERROR(__xludf.DUMMYFUNCTION("""COMPUTED_VALUE"""),"")</f>
        <v/>
      </c>
      <c r="R955" s="259" t="str">
        <f>IFERROR(__xludf.DUMMYFUNCTION("""COMPUTED_VALUE"""),"")</f>
        <v/>
      </c>
      <c r="S955" s="250" t="str">
        <f t="shared" si="5"/>
        <v/>
      </c>
      <c r="T955" s="254" t="str">
        <f>IFERROR(__xludf.DUMMYFUNCTION("""COMPUTED_VALUE"""),"")</f>
        <v/>
      </c>
      <c r="U955" s="246" t="str">
        <f>IFERROR(__xludf.DUMMYFUNCTION("""COMPUTED_VALUE"""),"")</f>
        <v/>
      </c>
      <c r="V955" s="247" t="str">
        <f t="shared" si="6"/>
        <v/>
      </c>
      <c r="W955" s="255" t="str">
        <f>IFERROR(__xludf.DUMMYFUNCTION("""COMPUTED_VALUE"""),"")</f>
        <v/>
      </c>
      <c r="X955" s="249" t="str">
        <f>IFERROR(__xludf.DUMMYFUNCTION("""COMPUTED_VALUE"""),"")</f>
        <v/>
      </c>
      <c r="Y955" s="250" t="str">
        <f t="shared" si="7"/>
        <v/>
      </c>
    </row>
    <row r="956">
      <c r="A956" s="136" t="s">
        <v>133</v>
      </c>
      <c r="B956" s="136"/>
      <c r="C956" s="136" t="s">
        <v>133</v>
      </c>
      <c r="D956" s="136"/>
      <c r="E956" s="256" t="str">
        <f>IFERROR(__xludf.DUMMYFUNCTION("""COMPUTED_VALUE"""),"")</f>
        <v/>
      </c>
      <c r="F956" s="257" t="str">
        <f>IFERROR(__xludf.DUMMYFUNCTION("""COMPUTED_VALUE"""),"")</f>
        <v/>
      </c>
      <c r="G956" s="247" t="str">
        <f t="shared" si="1"/>
        <v/>
      </c>
      <c r="H956" s="258" t="str">
        <f>IFERROR(__xludf.DUMMYFUNCTION("""COMPUTED_VALUE"""),"")</f>
        <v/>
      </c>
      <c r="I956" s="259" t="str">
        <f>IFERROR(__xludf.DUMMYFUNCTION("""COMPUTED_VALUE"""),"")</f>
        <v/>
      </c>
      <c r="J956" s="250" t="str">
        <f t="shared" si="2"/>
        <v/>
      </c>
      <c r="K956" s="317" t="str">
        <f>IFERROR(__xludf.DUMMYFUNCTION("""COMPUTED_VALUE"""),"")</f>
        <v/>
      </c>
      <c r="L956" s="318" t="str">
        <f>IFERROR(__xludf.DUMMYFUNCTION("""COMPUTED_VALUE"""),"")</f>
        <v/>
      </c>
      <c r="M956" s="253" t="str">
        <f t="shared" si="3"/>
        <v/>
      </c>
      <c r="N956" s="319" t="str">
        <f>IFERROR(__xludf.DUMMYFUNCTION("""COMPUTED_VALUE"""),"")</f>
        <v/>
      </c>
      <c r="O956" s="257" t="str">
        <f>IFERROR(__xludf.DUMMYFUNCTION("""COMPUTED_VALUE"""),"")</f>
        <v/>
      </c>
      <c r="P956" s="247" t="str">
        <f t="shared" si="4"/>
        <v/>
      </c>
      <c r="Q956" s="320" t="str">
        <f>IFERROR(__xludf.DUMMYFUNCTION("""COMPUTED_VALUE"""),"")</f>
        <v/>
      </c>
      <c r="R956" s="259" t="str">
        <f>IFERROR(__xludf.DUMMYFUNCTION("""COMPUTED_VALUE"""),"")</f>
        <v/>
      </c>
      <c r="S956" s="250" t="str">
        <f t="shared" si="5"/>
        <v/>
      </c>
      <c r="T956" s="254" t="str">
        <f>IFERROR(__xludf.DUMMYFUNCTION("""COMPUTED_VALUE"""),"")</f>
        <v/>
      </c>
      <c r="U956" s="246" t="str">
        <f>IFERROR(__xludf.DUMMYFUNCTION("""COMPUTED_VALUE"""),"")</f>
        <v/>
      </c>
      <c r="V956" s="247" t="str">
        <f t="shared" si="6"/>
        <v/>
      </c>
      <c r="W956" s="255" t="str">
        <f>IFERROR(__xludf.DUMMYFUNCTION("""COMPUTED_VALUE"""),"")</f>
        <v/>
      </c>
      <c r="X956" s="249" t="str">
        <f>IFERROR(__xludf.DUMMYFUNCTION("""COMPUTED_VALUE"""),"")</f>
        <v/>
      </c>
      <c r="Y956" s="250" t="str">
        <f t="shared" si="7"/>
        <v/>
      </c>
    </row>
    <row r="957">
      <c r="A957" s="136" t="s">
        <v>133</v>
      </c>
      <c r="B957" s="136"/>
      <c r="C957" s="136" t="s">
        <v>133</v>
      </c>
      <c r="D957" s="136"/>
      <c r="E957" s="256" t="str">
        <f>IFERROR(__xludf.DUMMYFUNCTION("""COMPUTED_VALUE"""),"")</f>
        <v/>
      </c>
      <c r="F957" s="257" t="str">
        <f>IFERROR(__xludf.DUMMYFUNCTION("""COMPUTED_VALUE"""),"")</f>
        <v/>
      </c>
      <c r="G957" s="247" t="str">
        <f t="shared" si="1"/>
        <v/>
      </c>
      <c r="H957" s="258" t="str">
        <f>IFERROR(__xludf.DUMMYFUNCTION("""COMPUTED_VALUE"""),"")</f>
        <v/>
      </c>
      <c r="I957" s="259" t="str">
        <f>IFERROR(__xludf.DUMMYFUNCTION("""COMPUTED_VALUE"""),"")</f>
        <v/>
      </c>
      <c r="J957" s="250" t="str">
        <f t="shared" si="2"/>
        <v/>
      </c>
      <c r="K957" s="317" t="str">
        <f>IFERROR(__xludf.DUMMYFUNCTION("""COMPUTED_VALUE"""),"")</f>
        <v/>
      </c>
      <c r="L957" s="318" t="str">
        <f>IFERROR(__xludf.DUMMYFUNCTION("""COMPUTED_VALUE"""),"")</f>
        <v/>
      </c>
      <c r="M957" s="253" t="str">
        <f t="shared" si="3"/>
        <v/>
      </c>
      <c r="N957" s="319" t="str">
        <f>IFERROR(__xludf.DUMMYFUNCTION("""COMPUTED_VALUE"""),"")</f>
        <v/>
      </c>
      <c r="O957" s="257" t="str">
        <f>IFERROR(__xludf.DUMMYFUNCTION("""COMPUTED_VALUE"""),"")</f>
        <v/>
      </c>
      <c r="P957" s="247" t="str">
        <f t="shared" si="4"/>
        <v/>
      </c>
      <c r="Q957" s="320" t="str">
        <f>IFERROR(__xludf.DUMMYFUNCTION("""COMPUTED_VALUE"""),"")</f>
        <v/>
      </c>
      <c r="R957" s="259" t="str">
        <f>IFERROR(__xludf.DUMMYFUNCTION("""COMPUTED_VALUE"""),"")</f>
        <v/>
      </c>
      <c r="S957" s="250" t="str">
        <f t="shared" si="5"/>
        <v/>
      </c>
      <c r="T957" s="254" t="str">
        <f>IFERROR(__xludf.DUMMYFUNCTION("""COMPUTED_VALUE"""),"")</f>
        <v/>
      </c>
      <c r="U957" s="246" t="str">
        <f>IFERROR(__xludf.DUMMYFUNCTION("""COMPUTED_VALUE"""),"")</f>
        <v/>
      </c>
      <c r="V957" s="247" t="str">
        <f t="shared" si="6"/>
        <v/>
      </c>
      <c r="W957" s="255" t="str">
        <f>IFERROR(__xludf.DUMMYFUNCTION("""COMPUTED_VALUE"""),"")</f>
        <v/>
      </c>
      <c r="X957" s="249" t="str">
        <f>IFERROR(__xludf.DUMMYFUNCTION("""COMPUTED_VALUE"""),"")</f>
        <v/>
      </c>
      <c r="Y957" s="250" t="str">
        <f t="shared" si="7"/>
        <v/>
      </c>
    </row>
    <row r="958">
      <c r="A958" s="136" t="s">
        <v>133</v>
      </c>
      <c r="B958" s="136"/>
      <c r="C958" s="136" t="s">
        <v>133</v>
      </c>
      <c r="D958" s="136"/>
      <c r="E958" s="256" t="str">
        <f>IFERROR(__xludf.DUMMYFUNCTION("""COMPUTED_VALUE"""),"")</f>
        <v/>
      </c>
      <c r="F958" s="257" t="str">
        <f>IFERROR(__xludf.DUMMYFUNCTION("""COMPUTED_VALUE"""),"")</f>
        <v/>
      </c>
      <c r="G958" s="247" t="str">
        <f t="shared" si="1"/>
        <v/>
      </c>
      <c r="H958" s="258" t="str">
        <f>IFERROR(__xludf.DUMMYFUNCTION("""COMPUTED_VALUE"""),"")</f>
        <v/>
      </c>
      <c r="I958" s="259" t="str">
        <f>IFERROR(__xludf.DUMMYFUNCTION("""COMPUTED_VALUE"""),"")</f>
        <v/>
      </c>
      <c r="J958" s="250" t="str">
        <f t="shared" si="2"/>
        <v/>
      </c>
      <c r="K958" s="317" t="str">
        <f>IFERROR(__xludf.DUMMYFUNCTION("""COMPUTED_VALUE"""),"")</f>
        <v/>
      </c>
      <c r="L958" s="318" t="str">
        <f>IFERROR(__xludf.DUMMYFUNCTION("""COMPUTED_VALUE"""),"")</f>
        <v/>
      </c>
      <c r="M958" s="253" t="str">
        <f t="shared" si="3"/>
        <v/>
      </c>
      <c r="N958" s="319" t="str">
        <f>IFERROR(__xludf.DUMMYFUNCTION("""COMPUTED_VALUE"""),"")</f>
        <v/>
      </c>
      <c r="O958" s="257" t="str">
        <f>IFERROR(__xludf.DUMMYFUNCTION("""COMPUTED_VALUE"""),"")</f>
        <v/>
      </c>
      <c r="P958" s="247" t="str">
        <f t="shared" si="4"/>
        <v/>
      </c>
      <c r="Q958" s="320" t="str">
        <f>IFERROR(__xludf.DUMMYFUNCTION("""COMPUTED_VALUE"""),"")</f>
        <v/>
      </c>
      <c r="R958" s="259" t="str">
        <f>IFERROR(__xludf.DUMMYFUNCTION("""COMPUTED_VALUE"""),"")</f>
        <v/>
      </c>
      <c r="S958" s="250" t="str">
        <f t="shared" si="5"/>
        <v/>
      </c>
      <c r="T958" s="254" t="str">
        <f>IFERROR(__xludf.DUMMYFUNCTION("""COMPUTED_VALUE"""),"")</f>
        <v/>
      </c>
      <c r="U958" s="246" t="str">
        <f>IFERROR(__xludf.DUMMYFUNCTION("""COMPUTED_VALUE"""),"")</f>
        <v/>
      </c>
      <c r="V958" s="247" t="str">
        <f t="shared" si="6"/>
        <v/>
      </c>
      <c r="W958" s="255" t="str">
        <f>IFERROR(__xludf.DUMMYFUNCTION("""COMPUTED_VALUE"""),"")</f>
        <v/>
      </c>
      <c r="X958" s="249" t="str">
        <f>IFERROR(__xludf.DUMMYFUNCTION("""COMPUTED_VALUE"""),"")</f>
        <v/>
      </c>
      <c r="Y958" s="250" t="str">
        <f t="shared" si="7"/>
        <v/>
      </c>
    </row>
    <row r="959">
      <c r="A959" s="136" t="s">
        <v>133</v>
      </c>
      <c r="B959" s="136"/>
      <c r="C959" s="136" t="s">
        <v>133</v>
      </c>
      <c r="D959" s="136"/>
      <c r="E959" s="256" t="str">
        <f>IFERROR(__xludf.DUMMYFUNCTION("""COMPUTED_VALUE"""),"")</f>
        <v/>
      </c>
      <c r="F959" s="257" t="str">
        <f>IFERROR(__xludf.DUMMYFUNCTION("""COMPUTED_VALUE"""),"")</f>
        <v/>
      </c>
      <c r="G959" s="247" t="str">
        <f t="shared" si="1"/>
        <v/>
      </c>
      <c r="H959" s="258" t="str">
        <f>IFERROR(__xludf.DUMMYFUNCTION("""COMPUTED_VALUE"""),"")</f>
        <v/>
      </c>
      <c r="I959" s="259" t="str">
        <f>IFERROR(__xludf.DUMMYFUNCTION("""COMPUTED_VALUE"""),"")</f>
        <v/>
      </c>
      <c r="J959" s="250" t="str">
        <f t="shared" si="2"/>
        <v/>
      </c>
      <c r="K959" s="317" t="str">
        <f>IFERROR(__xludf.DUMMYFUNCTION("""COMPUTED_VALUE"""),"")</f>
        <v/>
      </c>
      <c r="L959" s="318" t="str">
        <f>IFERROR(__xludf.DUMMYFUNCTION("""COMPUTED_VALUE"""),"")</f>
        <v/>
      </c>
      <c r="M959" s="253" t="str">
        <f t="shared" si="3"/>
        <v/>
      </c>
      <c r="N959" s="319" t="str">
        <f>IFERROR(__xludf.DUMMYFUNCTION("""COMPUTED_VALUE"""),"")</f>
        <v/>
      </c>
      <c r="O959" s="257" t="str">
        <f>IFERROR(__xludf.DUMMYFUNCTION("""COMPUTED_VALUE"""),"")</f>
        <v/>
      </c>
      <c r="P959" s="247" t="str">
        <f t="shared" si="4"/>
        <v/>
      </c>
      <c r="Q959" s="320" t="str">
        <f>IFERROR(__xludf.DUMMYFUNCTION("""COMPUTED_VALUE"""),"")</f>
        <v/>
      </c>
      <c r="R959" s="259" t="str">
        <f>IFERROR(__xludf.DUMMYFUNCTION("""COMPUTED_VALUE"""),"")</f>
        <v/>
      </c>
      <c r="S959" s="250" t="str">
        <f t="shared" si="5"/>
        <v/>
      </c>
      <c r="T959" s="254" t="str">
        <f>IFERROR(__xludf.DUMMYFUNCTION("""COMPUTED_VALUE"""),"")</f>
        <v/>
      </c>
      <c r="U959" s="246" t="str">
        <f>IFERROR(__xludf.DUMMYFUNCTION("""COMPUTED_VALUE"""),"")</f>
        <v/>
      </c>
      <c r="V959" s="247" t="str">
        <f t="shared" si="6"/>
        <v/>
      </c>
      <c r="W959" s="255" t="str">
        <f>IFERROR(__xludf.DUMMYFUNCTION("""COMPUTED_VALUE"""),"")</f>
        <v/>
      </c>
      <c r="X959" s="249" t="str">
        <f>IFERROR(__xludf.DUMMYFUNCTION("""COMPUTED_VALUE"""),"")</f>
        <v/>
      </c>
      <c r="Y959" s="250" t="str">
        <f t="shared" si="7"/>
        <v/>
      </c>
    </row>
    <row r="960">
      <c r="A960" s="136" t="s">
        <v>133</v>
      </c>
      <c r="B960" s="136"/>
      <c r="C960" s="136" t="s">
        <v>133</v>
      </c>
      <c r="D960" s="136"/>
      <c r="E960" s="256" t="str">
        <f>IFERROR(__xludf.DUMMYFUNCTION("""COMPUTED_VALUE"""),"")</f>
        <v/>
      </c>
      <c r="F960" s="257" t="str">
        <f>IFERROR(__xludf.DUMMYFUNCTION("""COMPUTED_VALUE"""),"")</f>
        <v/>
      </c>
      <c r="G960" s="247" t="str">
        <f t="shared" si="1"/>
        <v/>
      </c>
      <c r="H960" s="258" t="str">
        <f>IFERROR(__xludf.DUMMYFUNCTION("""COMPUTED_VALUE"""),"")</f>
        <v/>
      </c>
      <c r="I960" s="259" t="str">
        <f>IFERROR(__xludf.DUMMYFUNCTION("""COMPUTED_VALUE"""),"")</f>
        <v/>
      </c>
      <c r="J960" s="250" t="str">
        <f t="shared" si="2"/>
        <v/>
      </c>
      <c r="K960" s="317" t="str">
        <f>IFERROR(__xludf.DUMMYFUNCTION("""COMPUTED_VALUE"""),"")</f>
        <v/>
      </c>
      <c r="L960" s="318" t="str">
        <f>IFERROR(__xludf.DUMMYFUNCTION("""COMPUTED_VALUE"""),"")</f>
        <v/>
      </c>
      <c r="M960" s="253" t="str">
        <f t="shared" si="3"/>
        <v/>
      </c>
      <c r="N960" s="319" t="str">
        <f>IFERROR(__xludf.DUMMYFUNCTION("""COMPUTED_VALUE"""),"")</f>
        <v/>
      </c>
      <c r="O960" s="257" t="str">
        <f>IFERROR(__xludf.DUMMYFUNCTION("""COMPUTED_VALUE"""),"")</f>
        <v/>
      </c>
      <c r="P960" s="247" t="str">
        <f t="shared" si="4"/>
        <v/>
      </c>
      <c r="Q960" s="320" t="str">
        <f>IFERROR(__xludf.DUMMYFUNCTION("""COMPUTED_VALUE"""),"")</f>
        <v/>
      </c>
      <c r="R960" s="259" t="str">
        <f>IFERROR(__xludf.DUMMYFUNCTION("""COMPUTED_VALUE"""),"")</f>
        <v/>
      </c>
      <c r="S960" s="250" t="str">
        <f t="shared" si="5"/>
        <v/>
      </c>
      <c r="T960" s="254" t="str">
        <f>IFERROR(__xludf.DUMMYFUNCTION("""COMPUTED_VALUE"""),"")</f>
        <v/>
      </c>
      <c r="U960" s="246" t="str">
        <f>IFERROR(__xludf.DUMMYFUNCTION("""COMPUTED_VALUE"""),"")</f>
        <v/>
      </c>
      <c r="V960" s="247" t="str">
        <f t="shared" si="6"/>
        <v/>
      </c>
      <c r="W960" s="255" t="str">
        <f>IFERROR(__xludf.DUMMYFUNCTION("""COMPUTED_VALUE"""),"")</f>
        <v/>
      </c>
      <c r="X960" s="249" t="str">
        <f>IFERROR(__xludf.DUMMYFUNCTION("""COMPUTED_VALUE"""),"")</f>
        <v/>
      </c>
      <c r="Y960" s="250" t="str">
        <f t="shared" si="7"/>
        <v/>
      </c>
    </row>
    <row r="961">
      <c r="A961" s="136" t="s">
        <v>133</v>
      </c>
      <c r="B961" s="136"/>
      <c r="C961" s="136" t="s">
        <v>133</v>
      </c>
      <c r="D961" s="136"/>
      <c r="E961" s="256" t="str">
        <f>IFERROR(__xludf.DUMMYFUNCTION("""COMPUTED_VALUE"""),"")</f>
        <v/>
      </c>
      <c r="F961" s="257" t="str">
        <f>IFERROR(__xludf.DUMMYFUNCTION("""COMPUTED_VALUE"""),"")</f>
        <v/>
      </c>
      <c r="G961" s="247" t="str">
        <f t="shared" si="1"/>
        <v/>
      </c>
      <c r="H961" s="258" t="str">
        <f>IFERROR(__xludf.DUMMYFUNCTION("""COMPUTED_VALUE"""),"")</f>
        <v/>
      </c>
      <c r="I961" s="259" t="str">
        <f>IFERROR(__xludf.DUMMYFUNCTION("""COMPUTED_VALUE"""),"")</f>
        <v/>
      </c>
      <c r="J961" s="250" t="str">
        <f t="shared" si="2"/>
        <v/>
      </c>
      <c r="K961" s="317" t="str">
        <f>IFERROR(__xludf.DUMMYFUNCTION("""COMPUTED_VALUE"""),"")</f>
        <v/>
      </c>
      <c r="L961" s="318" t="str">
        <f>IFERROR(__xludf.DUMMYFUNCTION("""COMPUTED_VALUE"""),"")</f>
        <v/>
      </c>
      <c r="M961" s="253" t="str">
        <f t="shared" si="3"/>
        <v/>
      </c>
      <c r="N961" s="319" t="str">
        <f>IFERROR(__xludf.DUMMYFUNCTION("""COMPUTED_VALUE"""),"")</f>
        <v/>
      </c>
      <c r="O961" s="257" t="str">
        <f>IFERROR(__xludf.DUMMYFUNCTION("""COMPUTED_VALUE"""),"")</f>
        <v/>
      </c>
      <c r="P961" s="247" t="str">
        <f t="shared" si="4"/>
        <v/>
      </c>
      <c r="Q961" s="320" t="str">
        <f>IFERROR(__xludf.DUMMYFUNCTION("""COMPUTED_VALUE"""),"")</f>
        <v/>
      </c>
      <c r="R961" s="259" t="str">
        <f>IFERROR(__xludf.DUMMYFUNCTION("""COMPUTED_VALUE"""),"")</f>
        <v/>
      </c>
      <c r="S961" s="250" t="str">
        <f t="shared" si="5"/>
        <v/>
      </c>
      <c r="T961" s="254" t="str">
        <f>IFERROR(__xludf.DUMMYFUNCTION("""COMPUTED_VALUE"""),"")</f>
        <v/>
      </c>
      <c r="U961" s="246" t="str">
        <f>IFERROR(__xludf.DUMMYFUNCTION("""COMPUTED_VALUE"""),"")</f>
        <v/>
      </c>
      <c r="V961" s="247" t="str">
        <f t="shared" si="6"/>
        <v/>
      </c>
      <c r="W961" s="255" t="str">
        <f>IFERROR(__xludf.DUMMYFUNCTION("""COMPUTED_VALUE"""),"")</f>
        <v/>
      </c>
      <c r="X961" s="249" t="str">
        <f>IFERROR(__xludf.DUMMYFUNCTION("""COMPUTED_VALUE"""),"")</f>
        <v/>
      </c>
      <c r="Y961" s="250" t="str">
        <f t="shared" si="7"/>
        <v/>
      </c>
    </row>
    <row r="962">
      <c r="A962" s="136" t="s">
        <v>133</v>
      </c>
      <c r="B962" s="136"/>
      <c r="C962" s="136" t="s">
        <v>133</v>
      </c>
      <c r="D962" s="136"/>
      <c r="E962" s="256" t="str">
        <f>IFERROR(__xludf.DUMMYFUNCTION("""COMPUTED_VALUE"""),"")</f>
        <v/>
      </c>
      <c r="F962" s="257" t="str">
        <f>IFERROR(__xludf.DUMMYFUNCTION("""COMPUTED_VALUE"""),"")</f>
        <v/>
      </c>
      <c r="G962" s="247" t="str">
        <f t="shared" si="1"/>
        <v/>
      </c>
      <c r="H962" s="258" t="str">
        <f>IFERROR(__xludf.DUMMYFUNCTION("""COMPUTED_VALUE"""),"")</f>
        <v/>
      </c>
      <c r="I962" s="259" t="str">
        <f>IFERROR(__xludf.DUMMYFUNCTION("""COMPUTED_VALUE"""),"")</f>
        <v/>
      </c>
      <c r="J962" s="250" t="str">
        <f t="shared" si="2"/>
        <v/>
      </c>
      <c r="K962" s="317" t="str">
        <f>IFERROR(__xludf.DUMMYFUNCTION("""COMPUTED_VALUE"""),"")</f>
        <v/>
      </c>
      <c r="L962" s="318" t="str">
        <f>IFERROR(__xludf.DUMMYFUNCTION("""COMPUTED_VALUE"""),"")</f>
        <v/>
      </c>
      <c r="M962" s="253" t="str">
        <f t="shared" si="3"/>
        <v/>
      </c>
      <c r="N962" s="319" t="str">
        <f>IFERROR(__xludf.DUMMYFUNCTION("""COMPUTED_VALUE"""),"")</f>
        <v/>
      </c>
      <c r="O962" s="257" t="str">
        <f>IFERROR(__xludf.DUMMYFUNCTION("""COMPUTED_VALUE"""),"")</f>
        <v/>
      </c>
      <c r="P962" s="247" t="str">
        <f t="shared" si="4"/>
        <v/>
      </c>
      <c r="Q962" s="320" t="str">
        <f>IFERROR(__xludf.DUMMYFUNCTION("""COMPUTED_VALUE"""),"")</f>
        <v/>
      </c>
      <c r="R962" s="259" t="str">
        <f>IFERROR(__xludf.DUMMYFUNCTION("""COMPUTED_VALUE"""),"")</f>
        <v/>
      </c>
      <c r="S962" s="250" t="str">
        <f t="shared" si="5"/>
        <v/>
      </c>
      <c r="T962" s="254" t="str">
        <f>IFERROR(__xludf.DUMMYFUNCTION("""COMPUTED_VALUE"""),"")</f>
        <v/>
      </c>
      <c r="U962" s="246" t="str">
        <f>IFERROR(__xludf.DUMMYFUNCTION("""COMPUTED_VALUE"""),"")</f>
        <v/>
      </c>
      <c r="V962" s="247" t="str">
        <f t="shared" si="6"/>
        <v/>
      </c>
      <c r="W962" s="255" t="str">
        <f>IFERROR(__xludf.DUMMYFUNCTION("""COMPUTED_VALUE"""),"")</f>
        <v/>
      </c>
      <c r="X962" s="249" t="str">
        <f>IFERROR(__xludf.DUMMYFUNCTION("""COMPUTED_VALUE"""),"")</f>
        <v/>
      </c>
      <c r="Y962" s="250" t="str">
        <f t="shared" si="7"/>
        <v/>
      </c>
    </row>
    <row r="963">
      <c r="A963" s="136" t="s">
        <v>133</v>
      </c>
      <c r="B963" s="136"/>
      <c r="C963" s="136" t="s">
        <v>133</v>
      </c>
      <c r="D963" s="136"/>
      <c r="E963" s="256" t="str">
        <f>IFERROR(__xludf.DUMMYFUNCTION("""COMPUTED_VALUE"""),"")</f>
        <v/>
      </c>
      <c r="F963" s="257" t="str">
        <f>IFERROR(__xludf.DUMMYFUNCTION("""COMPUTED_VALUE"""),"")</f>
        <v/>
      </c>
      <c r="G963" s="247" t="str">
        <f t="shared" si="1"/>
        <v/>
      </c>
      <c r="H963" s="258" t="str">
        <f>IFERROR(__xludf.DUMMYFUNCTION("""COMPUTED_VALUE"""),"")</f>
        <v/>
      </c>
      <c r="I963" s="259" t="str">
        <f>IFERROR(__xludf.DUMMYFUNCTION("""COMPUTED_VALUE"""),"")</f>
        <v/>
      </c>
      <c r="J963" s="250" t="str">
        <f t="shared" si="2"/>
        <v/>
      </c>
      <c r="K963" s="317" t="str">
        <f>IFERROR(__xludf.DUMMYFUNCTION("""COMPUTED_VALUE"""),"")</f>
        <v/>
      </c>
      <c r="L963" s="318" t="str">
        <f>IFERROR(__xludf.DUMMYFUNCTION("""COMPUTED_VALUE"""),"")</f>
        <v/>
      </c>
      <c r="M963" s="253" t="str">
        <f t="shared" si="3"/>
        <v/>
      </c>
      <c r="N963" s="319" t="str">
        <f>IFERROR(__xludf.DUMMYFUNCTION("""COMPUTED_VALUE"""),"")</f>
        <v/>
      </c>
      <c r="O963" s="257" t="str">
        <f>IFERROR(__xludf.DUMMYFUNCTION("""COMPUTED_VALUE"""),"")</f>
        <v/>
      </c>
      <c r="P963" s="247" t="str">
        <f t="shared" si="4"/>
        <v/>
      </c>
      <c r="Q963" s="320" t="str">
        <f>IFERROR(__xludf.DUMMYFUNCTION("""COMPUTED_VALUE"""),"")</f>
        <v/>
      </c>
      <c r="R963" s="259" t="str">
        <f>IFERROR(__xludf.DUMMYFUNCTION("""COMPUTED_VALUE"""),"")</f>
        <v/>
      </c>
      <c r="S963" s="250" t="str">
        <f t="shared" si="5"/>
        <v/>
      </c>
      <c r="T963" s="254" t="str">
        <f>IFERROR(__xludf.DUMMYFUNCTION("""COMPUTED_VALUE"""),"")</f>
        <v/>
      </c>
      <c r="U963" s="246" t="str">
        <f>IFERROR(__xludf.DUMMYFUNCTION("""COMPUTED_VALUE"""),"")</f>
        <v/>
      </c>
      <c r="V963" s="247" t="str">
        <f t="shared" si="6"/>
        <v/>
      </c>
      <c r="W963" s="255" t="str">
        <f>IFERROR(__xludf.DUMMYFUNCTION("""COMPUTED_VALUE"""),"")</f>
        <v/>
      </c>
      <c r="X963" s="249" t="str">
        <f>IFERROR(__xludf.DUMMYFUNCTION("""COMPUTED_VALUE"""),"")</f>
        <v/>
      </c>
      <c r="Y963" s="250" t="str">
        <f t="shared" si="7"/>
        <v/>
      </c>
    </row>
    <row r="964">
      <c r="A964" s="136" t="s">
        <v>133</v>
      </c>
      <c r="B964" s="136"/>
      <c r="C964" s="136" t="s">
        <v>133</v>
      </c>
      <c r="D964" s="136"/>
      <c r="E964" s="256" t="str">
        <f>IFERROR(__xludf.DUMMYFUNCTION("""COMPUTED_VALUE"""),"")</f>
        <v/>
      </c>
      <c r="F964" s="257" t="str">
        <f>IFERROR(__xludf.DUMMYFUNCTION("""COMPUTED_VALUE"""),"")</f>
        <v/>
      </c>
      <c r="G964" s="247" t="str">
        <f t="shared" si="1"/>
        <v/>
      </c>
      <c r="H964" s="258" t="str">
        <f>IFERROR(__xludf.DUMMYFUNCTION("""COMPUTED_VALUE"""),"")</f>
        <v/>
      </c>
      <c r="I964" s="259" t="str">
        <f>IFERROR(__xludf.DUMMYFUNCTION("""COMPUTED_VALUE"""),"")</f>
        <v/>
      </c>
      <c r="J964" s="250" t="str">
        <f t="shared" si="2"/>
        <v/>
      </c>
      <c r="K964" s="317" t="str">
        <f>IFERROR(__xludf.DUMMYFUNCTION("""COMPUTED_VALUE"""),"")</f>
        <v/>
      </c>
      <c r="L964" s="318" t="str">
        <f>IFERROR(__xludf.DUMMYFUNCTION("""COMPUTED_VALUE"""),"")</f>
        <v/>
      </c>
      <c r="M964" s="253" t="str">
        <f t="shared" si="3"/>
        <v/>
      </c>
      <c r="N964" s="319" t="str">
        <f>IFERROR(__xludf.DUMMYFUNCTION("""COMPUTED_VALUE"""),"")</f>
        <v/>
      </c>
      <c r="O964" s="257" t="str">
        <f>IFERROR(__xludf.DUMMYFUNCTION("""COMPUTED_VALUE"""),"")</f>
        <v/>
      </c>
      <c r="P964" s="247" t="str">
        <f t="shared" si="4"/>
        <v/>
      </c>
      <c r="Q964" s="320" t="str">
        <f>IFERROR(__xludf.DUMMYFUNCTION("""COMPUTED_VALUE"""),"")</f>
        <v/>
      </c>
      <c r="R964" s="259" t="str">
        <f>IFERROR(__xludf.DUMMYFUNCTION("""COMPUTED_VALUE"""),"")</f>
        <v/>
      </c>
      <c r="S964" s="250" t="str">
        <f t="shared" si="5"/>
        <v/>
      </c>
      <c r="T964" s="254" t="str">
        <f>IFERROR(__xludf.DUMMYFUNCTION("""COMPUTED_VALUE"""),"")</f>
        <v/>
      </c>
      <c r="U964" s="246" t="str">
        <f>IFERROR(__xludf.DUMMYFUNCTION("""COMPUTED_VALUE"""),"")</f>
        <v/>
      </c>
      <c r="V964" s="247" t="str">
        <f t="shared" si="6"/>
        <v/>
      </c>
      <c r="W964" s="255" t="str">
        <f>IFERROR(__xludf.DUMMYFUNCTION("""COMPUTED_VALUE"""),"")</f>
        <v/>
      </c>
      <c r="X964" s="249" t="str">
        <f>IFERROR(__xludf.DUMMYFUNCTION("""COMPUTED_VALUE"""),"")</f>
        <v/>
      </c>
      <c r="Y964" s="250" t="str">
        <f t="shared" si="7"/>
        <v/>
      </c>
    </row>
    <row r="965">
      <c r="A965" s="136" t="s">
        <v>133</v>
      </c>
      <c r="B965" s="136"/>
      <c r="C965" s="136" t="s">
        <v>133</v>
      </c>
      <c r="D965" s="136"/>
      <c r="E965" s="256" t="str">
        <f>IFERROR(__xludf.DUMMYFUNCTION("""COMPUTED_VALUE"""),"")</f>
        <v/>
      </c>
      <c r="F965" s="257" t="str">
        <f>IFERROR(__xludf.DUMMYFUNCTION("""COMPUTED_VALUE"""),"")</f>
        <v/>
      </c>
      <c r="G965" s="247" t="str">
        <f t="shared" si="1"/>
        <v/>
      </c>
      <c r="H965" s="258" t="str">
        <f>IFERROR(__xludf.DUMMYFUNCTION("""COMPUTED_VALUE"""),"")</f>
        <v/>
      </c>
      <c r="I965" s="259" t="str">
        <f>IFERROR(__xludf.DUMMYFUNCTION("""COMPUTED_VALUE"""),"")</f>
        <v/>
      </c>
      <c r="J965" s="250" t="str">
        <f t="shared" si="2"/>
        <v/>
      </c>
      <c r="K965" s="317" t="str">
        <f>IFERROR(__xludf.DUMMYFUNCTION("""COMPUTED_VALUE"""),"")</f>
        <v/>
      </c>
      <c r="L965" s="318" t="str">
        <f>IFERROR(__xludf.DUMMYFUNCTION("""COMPUTED_VALUE"""),"")</f>
        <v/>
      </c>
      <c r="M965" s="253" t="str">
        <f t="shared" si="3"/>
        <v/>
      </c>
      <c r="N965" s="319" t="str">
        <f>IFERROR(__xludf.DUMMYFUNCTION("""COMPUTED_VALUE"""),"")</f>
        <v/>
      </c>
      <c r="O965" s="257" t="str">
        <f>IFERROR(__xludf.DUMMYFUNCTION("""COMPUTED_VALUE"""),"")</f>
        <v/>
      </c>
      <c r="P965" s="247" t="str">
        <f t="shared" si="4"/>
        <v/>
      </c>
      <c r="Q965" s="320" t="str">
        <f>IFERROR(__xludf.DUMMYFUNCTION("""COMPUTED_VALUE"""),"")</f>
        <v/>
      </c>
      <c r="R965" s="259" t="str">
        <f>IFERROR(__xludf.DUMMYFUNCTION("""COMPUTED_VALUE"""),"")</f>
        <v/>
      </c>
      <c r="S965" s="250" t="str">
        <f t="shared" si="5"/>
        <v/>
      </c>
      <c r="T965" s="254" t="str">
        <f>IFERROR(__xludf.DUMMYFUNCTION("""COMPUTED_VALUE"""),"")</f>
        <v/>
      </c>
      <c r="U965" s="246" t="str">
        <f>IFERROR(__xludf.DUMMYFUNCTION("""COMPUTED_VALUE"""),"")</f>
        <v/>
      </c>
      <c r="V965" s="247" t="str">
        <f t="shared" si="6"/>
        <v/>
      </c>
      <c r="W965" s="255" t="str">
        <f>IFERROR(__xludf.DUMMYFUNCTION("""COMPUTED_VALUE"""),"")</f>
        <v/>
      </c>
      <c r="X965" s="249" t="str">
        <f>IFERROR(__xludf.DUMMYFUNCTION("""COMPUTED_VALUE"""),"")</f>
        <v/>
      </c>
      <c r="Y965" s="250" t="str">
        <f t="shared" si="7"/>
        <v/>
      </c>
    </row>
    <row r="966">
      <c r="A966" s="136" t="s">
        <v>133</v>
      </c>
      <c r="B966" s="136"/>
      <c r="C966" s="136" t="s">
        <v>133</v>
      </c>
      <c r="D966" s="136"/>
      <c r="E966" s="256" t="str">
        <f>IFERROR(__xludf.DUMMYFUNCTION("""COMPUTED_VALUE"""),"")</f>
        <v/>
      </c>
      <c r="F966" s="257" t="str">
        <f>IFERROR(__xludf.DUMMYFUNCTION("""COMPUTED_VALUE"""),"")</f>
        <v/>
      </c>
      <c r="G966" s="247" t="str">
        <f t="shared" si="1"/>
        <v/>
      </c>
      <c r="H966" s="258" t="str">
        <f>IFERROR(__xludf.DUMMYFUNCTION("""COMPUTED_VALUE"""),"")</f>
        <v/>
      </c>
      <c r="I966" s="259" t="str">
        <f>IFERROR(__xludf.DUMMYFUNCTION("""COMPUTED_VALUE"""),"")</f>
        <v/>
      </c>
      <c r="J966" s="250" t="str">
        <f t="shared" si="2"/>
        <v/>
      </c>
      <c r="K966" s="317" t="str">
        <f>IFERROR(__xludf.DUMMYFUNCTION("""COMPUTED_VALUE"""),"")</f>
        <v/>
      </c>
      <c r="L966" s="318" t="str">
        <f>IFERROR(__xludf.DUMMYFUNCTION("""COMPUTED_VALUE"""),"")</f>
        <v/>
      </c>
      <c r="M966" s="253" t="str">
        <f t="shared" si="3"/>
        <v/>
      </c>
      <c r="N966" s="319" t="str">
        <f>IFERROR(__xludf.DUMMYFUNCTION("""COMPUTED_VALUE"""),"")</f>
        <v/>
      </c>
      <c r="O966" s="257" t="str">
        <f>IFERROR(__xludf.DUMMYFUNCTION("""COMPUTED_VALUE"""),"")</f>
        <v/>
      </c>
      <c r="P966" s="247" t="str">
        <f t="shared" si="4"/>
        <v/>
      </c>
      <c r="Q966" s="320" t="str">
        <f>IFERROR(__xludf.DUMMYFUNCTION("""COMPUTED_VALUE"""),"")</f>
        <v/>
      </c>
      <c r="R966" s="259" t="str">
        <f>IFERROR(__xludf.DUMMYFUNCTION("""COMPUTED_VALUE"""),"")</f>
        <v/>
      </c>
      <c r="S966" s="250" t="str">
        <f t="shared" si="5"/>
        <v/>
      </c>
      <c r="T966" s="254" t="str">
        <f>IFERROR(__xludf.DUMMYFUNCTION("""COMPUTED_VALUE"""),"")</f>
        <v/>
      </c>
      <c r="U966" s="246" t="str">
        <f>IFERROR(__xludf.DUMMYFUNCTION("""COMPUTED_VALUE"""),"")</f>
        <v/>
      </c>
      <c r="V966" s="247" t="str">
        <f t="shared" si="6"/>
        <v/>
      </c>
      <c r="W966" s="255" t="str">
        <f>IFERROR(__xludf.DUMMYFUNCTION("""COMPUTED_VALUE"""),"")</f>
        <v/>
      </c>
      <c r="X966" s="249" t="str">
        <f>IFERROR(__xludf.DUMMYFUNCTION("""COMPUTED_VALUE"""),"")</f>
        <v/>
      </c>
      <c r="Y966" s="250" t="str">
        <f t="shared" si="7"/>
        <v/>
      </c>
    </row>
    <row r="967">
      <c r="A967" s="136" t="s">
        <v>133</v>
      </c>
      <c r="B967" s="136"/>
      <c r="C967" s="136" t="s">
        <v>133</v>
      </c>
      <c r="D967" s="136"/>
      <c r="E967" s="256" t="str">
        <f>IFERROR(__xludf.DUMMYFUNCTION("""COMPUTED_VALUE"""),"")</f>
        <v/>
      </c>
      <c r="F967" s="257" t="str">
        <f>IFERROR(__xludf.DUMMYFUNCTION("""COMPUTED_VALUE"""),"")</f>
        <v/>
      </c>
      <c r="G967" s="247" t="str">
        <f t="shared" si="1"/>
        <v/>
      </c>
      <c r="H967" s="258" t="str">
        <f>IFERROR(__xludf.DUMMYFUNCTION("""COMPUTED_VALUE"""),"")</f>
        <v/>
      </c>
      <c r="I967" s="259" t="str">
        <f>IFERROR(__xludf.DUMMYFUNCTION("""COMPUTED_VALUE"""),"")</f>
        <v/>
      </c>
      <c r="J967" s="250" t="str">
        <f t="shared" si="2"/>
        <v/>
      </c>
      <c r="K967" s="317" t="str">
        <f>IFERROR(__xludf.DUMMYFUNCTION("""COMPUTED_VALUE"""),"")</f>
        <v/>
      </c>
      <c r="L967" s="318" t="str">
        <f>IFERROR(__xludf.DUMMYFUNCTION("""COMPUTED_VALUE"""),"")</f>
        <v/>
      </c>
      <c r="M967" s="253" t="str">
        <f t="shared" si="3"/>
        <v/>
      </c>
      <c r="N967" s="319" t="str">
        <f>IFERROR(__xludf.DUMMYFUNCTION("""COMPUTED_VALUE"""),"")</f>
        <v/>
      </c>
      <c r="O967" s="257" t="str">
        <f>IFERROR(__xludf.DUMMYFUNCTION("""COMPUTED_VALUE"""),"")</f>
        <v/>
      </c>
      <c r="P967" s="247" t="str">
        <f t="shared" si="4"/>
        <v/>
      </c>
      <c r="Q967" s="320" t="str">
        <f>IFERROR(__xludf.DUMMYFUNCTION("""COMPUTED_VALUE"""),"")</f>
        <v/>
      </c>
      <c r="R967" s="259" t="str">
        <f>IFERROR(__xludf.DUMMYFUNCTION("""COMPUTED_VALUE"""),"")</f>
        <v/>
      </c>
      <c r="S967" s="250" t="str">
        <f t="shared" si="5"/>
        <v/>
      </c>
      <c r="T967" s="254" t="str">
        <f>IFERROR(__xludf.DUMMYFUNCTION("""COMPUTED_VALUE"""),"")</f>
        <v/>
      </c>
      <c r="U967" s="246" t="str">
        <f>IFERROR(__xludf.DUMMYFUNCTION("""COMPUTED_VALUE"""),"")</f>
        <v/>
      </c>
      <c r="V967" s="247" t="str">
        <f t="shared" si="6"/>
        <v/>
      </c>
      <c r="W967" s="255" t="str">
        <f>IFERROR(__xludf.DUMMYFUNCTION("""COMPUTED_VALUE"""),"")</f>
        <v/>
      </c>
      <c r="X967" s="249" t="str">
        <f>IFERROR(__xludf.DUMMYFUNCTION("""COMPUTED_VALUE"""),"")</f>
        <v/>
      </c>
      <c r="Y967" s="250" t="str">
        <f t="shared" si="7"/>
        <v/>
      </c>
    </row>
    <row r="968">
      <c r="A968" s="136" t="s">
        <v>133</v>
      </c>
      <c r="B968" s="136"/>
      <c r="C968" s="136" t="s">
        <v>133</v>
      </c>
      <c r="D968" s="136"/>
      <c r="E968" s="256" t="str">
        <f>IFERROR(__xludf.DUMMYFUNCTION("""COMPUTED_VALUE"""),"")</f>
        <v/>
      </c>
      <c r="F968" s="257" t="str">
        <f>IFERROR(__xludf.DUMMYFUNCTION("""COMPUTED_VALUE"""),"")</f>
        <v/>
      </c>
      <c r="G968" s="247" t="str">
        <f t="shared" si="1"/>
        <v/>
      </c>
      <c r="H968" s="258" t="str">
        <f>IFERROR(__xludf.DUMMYFUNCTION("""COMPUTED_VALUE"""),"")</f>
        <v/>
      </c>
      <c r="I968" s="259" t="str">
        <f>IFERROR(__xludf.DUMMYFUNCTION("""COMPUTED_VALUE"""),"")</f>
        <v/>
      </c>
      <c r="J968" s="250" t="str">
        <f t="shared" si="2"/>
        <v/>
      </c>
      <c r="K968" s="317" t="str">
        <f>IFERROR(__xludf.DUMMYFUNCTION("""COMPUTED_VALUE"""),"")</f>
        <v/>
      </c>
      <c r="L968" s="318" t="str">
        <f>IFERROR(__xludf.DUMMYFUNCTION("""COMPUTED_VALUE"""),"")</f>
        <v/>
      </c>
      <c r="M968" s="253" t="str">
        <f t="shared" si="3"/>
        <v/>
      </c>
      <c r="N968" s="319" t="str">
        <f>IFERROR(__xludf.DUMMYFUNCTION("""COMPUTED_VALUE"""),"")</f>
        <v/>
      </c>
      <c r="O968" s="257" t="str">
        <f>IFERROR(__xludf.DUMMYFUNCTION("""COMPUTED_VALUE"""),"")</f>
        <v/>
      </c>
      <c r="P968" s="247" t="str">
        <f t="shared" si="4"/>
        <v/>
      </c>
      <c r="Q968" s="320" t="str">
        <f>IFERROR(__xludf.DUMMYFUNCTION("""COMPUTED_VALUE"""),"")</f>
        <v/>
      </c>
      <c r="R968" s="259" t="str">
        <f>IFERROR(__xludf.DUMMYFUNCTION("""COMPUTED_VALUE"""),"")</f>
        <v/>
      </c>
      <c r="S968" s="250" t="str">
        <f t="shared" si="5"/>
        <v/>
      </c>
      <c r="T968" s="254" t="str">
        <f>IFERROR(__xludf.DUMMYFUNCTION("""COMPUTED_VALUE"""),"")</f>
        <v/>
      </c>
      <c r="U968" s="246" t="str">
        <f>IFERROR(__xludf.DUMMYFUNCTION("""COMPUTED_VALUE"""),"")</f>
        <v/>
      </c>
      <c r="V968" s="247" t="str">
        <f t="shared" si="6"/>
        <v/>
      </c>
      <c r="W968" s="255" t="str">
        <f>IFERROR(__xludf.DUMMYFUNCTION("""COMPUTED_VALUE"""),"")</f>
        <v/>
      </c>
      <c r="X968" s="249" t="str">
        <f>IFERROR(__xludf.DUMMYFUNCTION("""COMPUTED_VALUE"""),"")</f>
        <v/>
      </c>
      <c r="Y968" s="250" t="str">
        <f t="shared" si="7"/>
        <v/>
      </c>
    </row>
    <row r="969">
      <c r="A969" s="136" t="s">
        <v>133</v>
      </c>
      <c r="B969" s="136"/>
      <c r="C969" s="136" t="s">
        <v>133</v>
      </c>
      <c r="D969" s="136"/>
      <c r="E969" s="256" t="str">
        <f>IFERROR(__xludf.DUMMYFUNCTION("""COMPUTED_VALUE"""),"")</f>
        <v/>
      </c>
      <c r="F969" s="257" t="str">
        <f>IFERROR(__xludf.DUMMYFUNCTION("""COMPUTED_VALUE"""),"")</f>
        <v/>
      </c>
      <c r="G969" s="247" t="str">
        <f t="shared" si="1"/>
        <v/>
      </c>
      <c r="H969" s="258" t="str">
        <f>IFERROR(__xludf.DUMMYFUNCTION("""COMPUTED_VALUE"""),"")</f>
        <v/>
      </c>
      <c r="I969" s="259" t="str">
        <f>IFERROR(__xludf.DUMMYFUNCTION("""COMPUTED_VALUE"""),"")</f>
        <v/>
      </c>
      <c r="J969" s="250" t="str">
        <f t="shared" si="2"/>
        <v/>
      </c>
      <c r="K969" s="317" t="str">
        <f>IFERROR(__xludf.DUMMYFUNCTION("""COMPUTED_VALUE"""),"")</f>
        <v/>
      </c>
      <c r="L969" s="318" t="str">
        <f>IFERROR(__xludf.DUMMYFUNCTION("""COMPUTED_VALUE"""),"")</f>
        <v/>
      </c>
      <c r="M969" s="253" t="str">
        <f t="shared" si="3"/>
        <v/>
      </c>
      <c r="N969" s="319" t="str">
        <f>IFERROR(__xludf.DUMMYFUNCTION("""COMPUTED_VALUE"""),"")</f>
        <v/>
      </c>
      <c r="O969" s="257" t="str">
        <f>IFERROR(__xludf.DUMMYFUNCTION("""COMPUTED_VALUE"""),"")</f>
        <v/>
      </c>
      <c r="P969" s="247" t="str">
        <f t="shared" si="4"/>
        <v/>
      </c>
      <c r="Q969" s="320" t="str">
        <f>IFERROR(__xludf.DUMMYFUNCTION("""COMPUTED_VALUE"""),"")</f>
        <v/>
      </c>
      <c r="R969" s="259" t="str">
        <f>IFERROR(__xludf.DUMMYFUNCTION("""COMPUTED_VALUE"""),"")</f>
        <v/>
      </c>
      <c r="S969" s="250" t="str">
        <f t="shared" si="5"/>
        <v/>
      </c>
      <c r="T969" s="254" t="str">
        <f>IFERROR(__xludf.DUMMYFUNCTION("""COMPUTED_VALUE"""),"")</f>
        <v/>
      </c>
      <c r="U969" s="246" t="str">
        <f>IFERROR(__xludf.DUMMYFUNCTION("""COMPUTED_VALUE"""),"")</f>
        <v/>
      </c>
      <c r="V969" s="247" t="str">
        <f t="shared" si="6"/>
        <v/>
      </c>
      <c r="W969" s="255" t="str">
        <f>IFERROR(__xludf.DUMMYFUNCTION("""COMPUTED_VALUE"""),"")</f>
        <v/>
      </c>
      <c r="X969" s="249" t="str">
        <f>IFERROR(__xludf.DUMMYFUNCTION("""COMPUTED_VALUE"""),"")</f>
        <v/>
      </c>
      <c r="Y969" s="250" t="str">
        <f t="shared" si="7"/>
        <v/>
      </c>
    </row>
    <row r="970">
      <c r="A970" s="136" t="s">
        <v>133</v>
      </c>
      <c r="B970" s="136"/>
      <c r="C970" s="136" t="s">
        <v>133</v>
      </c>
      <c r="D970" s="136"/>
      <c r="E970" s="256" t="str">
        <f>IFERROR(__xludf.DUMMYFUNCTION("""COMPUTED_VALUE"""),"")</f>
        <v/>
      </c>
      <c r="F970" s="257" t="str">
        <f>IFERROR(__xludf.DUMMYFUNCTION("""COMPUTED_VALUE"""),"")</f>
        <v/>
      </c>
      <c r="G970" s="247" t="str">
        <f t="shared" si="1"/>
        <v/>
      </c>
      <c r="H970" s="258" t="str">
        <f>IFERROR(__xludf.DUMMYFUNCTION("""COMPUTED_VALUE"""),"")</f>
        <v/>
      </c>
      <c r="I970" s="259" t="str">
        <f>IFERROR(__xludf.DUMMYFUNCTION("""COMPUTED_VALUE"""),"")</f>
        <v/>
      </c>
      <c r="J970" s="250" t="str">
        <f t="shared" si="2"/>
        <v/>
      </c>
      <c r="K970" s="317" t="str">
        <f>IFERROR(__xludf.DUMMYFUNCTION("""COMPUTED_VALUE"""),"")</f>
        <v/>
      </c>
      <c r="L970" s="318" t="str">
        <f>IFERROR(__xludf.DUMMYFUNCTION("""COMPUTED_VALUE"""),"")</f>
        <v/>
      </c>
      <c r="M970" s="253" t="str">
        <f t="shared" si="3"/>
        <v/>
      </c>
      <c r="N970" s="319" t="str">
        <f>IFERROR(__xludf.DUMMYFUNCTION("""COMPUTED_VALUE"""),"")</f>
        <v/>
      </c>
      <c r="O970" s="257" t="str">
        <f>IFERROR(__xludf.DUMMYFUNCTION("""COMPUTED_VALUE"""),"")</f>
        <v/>
      </c>
      <c r="P970" s="247" t="str">
        <f t="shared" si="4"/>
        <v/>
      </c>
      <c r="Q970" s="320" t="str">
        <f>IFERROR(__xludf.DUMMYFUNCTION("""COMPUTED_VALUE"""),"")</f>
        <v/>
      </c>
      <c r="R970" s="259" t="str">
        <f>IFERROR(__xludf.DUMMYFUNCTION("""COMPUTED_VALUE"""),"")</f>
        <v/>
      </c>
      <c r="S970" s="250" t="str">
        <f t="shared" si="5"/>
        <v/>
      </c>
      <c r="T970" s="254" t="str">
        <f>IFERROR(__xludf.DUMMYFUNCTION("""COMPUTED_VALUE"""),"")</f>
        <v/>
      </c>
      <c r="U970" s="246" t="str">
        <f>IFERROR(__xludf.DUMMYFUNCTION("""COMPUTED_VALUE"""),"")</f>
        <v/>
      </c>
      <c r="V970" s="247" t="str">
        <f t="shared" si="6"/>
        <v/>
      </c>
      <c r="W970" s="255" t="str">
        <f>IFERROR(__xludf.DUMMYFUNCTION("""COMPUTED_VALUE"""),"")</f>
        <v/>
      </c>
      <c r="X970" s="249" t="str">
        <f>IFERROR(__xludf.DUMMYFUNCTION("""COMPUTED_VALUE"""),"")</f>
        <v/>
      </c>
      <c r="Y970" s="250" t="str">
        <f t="shared" si="7"/>
        <v/>
      </c>
    </row>
    <row r="971">
      <c r="A971" s="136" t="s">
        <v>133</v>
      </c>
      <c r="B971" s="136"/>
      <c r="C971" s="136" t="s">
        <v>133</v>
      </c>
      <c r="D971" s="136"/>
      <c r="E971" s="256" t="str">
        <f>IFERROR(__xludf.DUMMYFUNCTION("""COMPUTED_VALUE"""),"")</f>
        <v/>
      </c>
      <c r="F971" s="257" t="str">
        <f>IFERROR(__xludf.DUMMYFUNCTION("""COMPUTED_VALUE"""),"")</f>
        <v/>
      </c>
      <c r="G971" s="247" t="str">
        <f t="shared" si="1"/>
        <v/>
      </c>
      <c r="H971" s="258" t="str">
        <f>IFERROR(__xludf.DUMMYFUNCTION("""COMPUTED_VALUE"""),"")</f>
        <v/>
      </c>
      <c r="I971" s="259" t="str">
        <f>IFERROR(__xludf.DUMMYFUNCTION("""COMPUTED_VALUE"""),"")</f>
        <v/>
      </c>
      <c r="J971" s="250" t="str">
        <f t="shared" si="2"/>
        <v/>
      </c>
      <c r="K971" s="317" t="str">
        <f>IFERROR(__xludf.DUMMYFUNCTION("""COMPUTED_VALUE"""),"")</f>
        <v/>
      </c>
      <c r="L971" s="318" t="str">
        <f>IFERROR(__xludf.DUMMYFUNCTION("""COMPUTED_VALUE"""),"")</f>
        <v/>
      </c>
      <c r="M971" s="253" t="str">
        <f t="shared" si="3"/>
        <v/>
      </c>
      <c r="N971" s="319" t="str">
        <f>IFERROR(__xludf.DUMMYFUNCTION("""COMPUTED_VALUE"""),"")</f>
        <v/>
      </c>
      <c r="O971" s="257" t="str">
        <f>IFERROR(__xludf.DUMMYFUNCTION("""COMPUTED_VALUE"""),"")</f>
        <v/>
      </c>
      <c r="P971" s="247" t="str">
        <f t="shared" si="4"/>
        <v/>
      </c>
      <c r="Q971" s="320" t="str">
        <f>IFERROR(__xludf.DUMMYFUNCTION("""COMPUTED_VALUE"""),"")</f>
        <v/>
      </c>
      <c r="R971" s="259" t="str">
        <f>IFERROR(__xludf.DUMMYFUNCTION("""COMPUTED_VALUE"""),"")</f>
        <v/>
      </c>
      <c r="S971" s="250" t="str">
        <f t="shared" si="5"/>
        <v/>
      </c>
      <c r="T971" s="254" t="str">
        <f>IFERROR(__xludf.DUMMYFUNCTION("""COMPUTED_VALUE"""),"")</f>
        <v/>
      </c>
      <c r="U971" s="246" t="str">
        <f>IFERROR(__xludf.DUMMYFUNCTION("""COMPUTED_VALUE"""),"")</f>
        <v/>
      </c>
      <c r="V971" s="247" t="str">
        <f t="shared" si="6"/>
        <v/>
      </c>
      <c r="W971" s="255" t="str">
        <f>IFERROR(__xludf.DUMMYFUNCTION("""COMPUTED_VALUE"""),"")</f>
        <v/>
      </c>
      <c r="X971" s="249" t="str">
        <f>IFERROR(__xludf.DUMMYFUNCTION("""COMPUTED_VALUE"""),"")</f>
        <v/>
      </c>
      <c r="Y971" s="250" t="str">
        <f t="shared" si="7"/>
        <v/>
      </c>
    </row>
    <row r="972">
      <c r="A972" s="136" t="s">
        <v>133</v>
      </c>
      <c r="B972" s="136"/>
      <c r="C972" s="136" t="s">
        <v>133</v>
      </c>
      <c r="D972" s="136"/>
      <c r="E972" s="256" t="str">
        <f>IFERROR(__xludf.DUMMYFUNCTION("""COMPUTED_VALUE"""),"")</f>
        <v/>
      </c>
      <c r="F972" s="257" t="str">
        <f>IFERROR(__xludf.DUMMYFUNCTION("""COMPUTED_VALUE"""),"")</f>
        <v/>
      </c>
      <c r="G972" s="247" t="str">
        <f t="shared" si="1"/>
        <v/>
      </c>
      <c r="H972" s="258" t="str">
        <f>IFERROR(__xludf.DUMMYFUNCTION("""COMPUTED_VALUE"""),"")</f>
        <v/>
      </c>
      <c r="I972" s="259" t="str">
        <f>IFERROR(__xludf.DUMMYFUNCTION("""COMPUTED_VALUE"""),"")</f>
        <v/>
      </c>
      <c r="J972" s="250" t="str">
        <f t="shared" si="2"/>
        <v/>
      </c>
      <c r="K972" s="317" t="str">
        <f>IFERROR(__xludf.DUMMYFUNCTION("""COMPUTED_VALUE"""),"")</f>
        <v/>
      </c>
      <c r="L972" s="318" t="str">
        <f>IFERROR(__xludf.DUMMYFUNCTION("""COMPUTED_VALUE"""),"")</f>
        <v/>
      </c>
      <c r="M972" s="253" t="str">
        <f t="shared" si="3"/>
        <v/>
      </c>
      <c r="N972" s="319" t="str">
        <f>IFERROR(__xludf.DUMMYFUNCTION("""COMPUTED_VALUE"""),"")</f>
        <v/>
      </c>
      <c r="O972" s="257" t="str">
        <f>IFERROR(__xludf.DUMMYFUNCTION("""COMPUTED_VALUE"""),"")</f>
        <v/>
      </c>
      <c r="P972" s="247" t="str">
        <f t="shared" si="4"/>
        <v/>
      </c>
      <c r="Q972" s="320" t="str">
        <f>IFERROR(__xludf.DUMMYFUNCTION("""COMPUTED_VALUE"""),"")</f>
        <v/>
      </c>
      <c r="R972" s="259" t="str">
        <f>IFERROR(__xludf.DUMMYFUNCTION("""COMPUTED_VALUE"""),"")</f>
        <v/>
      </c>
      <c r="S972" s="250" t="str">
        <f t="shared" si="5"/>
        <v/>
      </c>
      <c r="T972" s="254" t="str">
        <f>IFERROR(__xludf.DUMMYFUNCTION("""COMPUTED_VALUE"""),"")</f>
        <v/>
      </c>
      <c r="U972" s="246" t="str">
        <f>IFERROR(__xludf.DUMMYFUNCTION("""COMPUTED_VALUE"""),"")</f>
        <v/>
      </c>
      <c r="V972" s="247" t="str">
        <f t="shared" si="6"/>
        <v/>
      </c>
      <c r="W972" s="255" t="str">
        <f>IFERROR(__xludf.DUMMYFUNCTION("""COMPUTED_VALUE"""),"")</f>
        <v/>
      </c>
      <c r="X972" s="249" t="str">
        <f>IFERROR(__xludf.DUMMYFUNCTION("""COMPUTED_VALUE"""),"")</f>
        <v/>
      </c>
      <c r="Y972" s="250" t="str">
        <f t="shared" si="7"/>
        <v/>
      </c>
    </row>
    <row r="973">
      <c r="A973" s="136" t="s">
        <v>133</v>
      </c>
      <c r="B973" s="136"/>
      <c r="C973" s="136" t="s">
        <v>133</v>
      </c>
      <c r="D973" s="136"/>
      <c r="E973" s="256" t="str">
        <f>IFERROR(__xludf.DUMMYFUNCTION("""COMPUTED_VALUE"""),"")</f>
        <v/>
      </c>
      <c r="F973" s="257" t="str">
        <f>IFERROR(__xludf.DUMMYFUNCTION("""COMPUTED_VALUE"""),"")</f>
        <v/>
      </c>
      <c r="G973" s="247" t="str">
        <f t="shared" si="1"/>
        <v/>
      </c>
      <c r="H973" s="258" t="str">
        <f>IFERROR(__xludf.DUMMYFUNCTION("""COMPUTED_VALUE"""),"")</f>
        <v/>
      </c>
      <c r="I973" s="259" t="str">
        <f>IFERROR(__xludf.DUMMYFUNCTION("""COMPUTED_VALUE"""),"")</f>
        <v/>
      </c>
      <c r="J973" s="250" t="str">
        <f t="shared" si="2"/>
        <v/>
      </c>
      <c r="K973" s="317" t="str">
        <f>IFERROR(__xludf.DUMMYFUNCTION("""COMPUTED_VALUE"""),"")</f>
        <v/>
      </c>
      <c r="L973" s="318" t="str">
        <f>IFERROR(__xludf.DUMMYFUNCTION("""COMPUTED_VALUE"""),"")</f>
        <v/>
      </c>
      <c r="M973" s="253" t="str">
        <f t="shared" si="3"/>
        <v/>
      </c>
      <c r="N973" s="319" t="str">
        <f>IFERROR(__xludf.DUMMYFUNCTION("""COMPUTED_VALUE"""),"")</f>
        <v/>
      </c>
      <c r="O973" s="257" t="str">
        <f>IFERROR(__xludf.DUMMYFUNCTION("""COMPUTED_VALUE"""),"")</f>
        <v/>
      </c>
      <c r="P973" s="247" t="str">
        <f t="shared" si="4"/>
        <v/>
      </c>
      <c r="Q973" s="320" t="str">
        <f>IFERROR(__xludf.DUMMYFUNCTION("""COMPUTED_VALUE"""),"")</f>
        <v/>
      </c>
      <c r="R973" s="259" t="str">
        <f>IFERROR(__xludf.DUMMYFUNCTION("""COMPUTED_VALUE"""),"")</f>
        <v/>
      </c>
      <c r="S973" s="250" t="str">
        <f t="shared" si="5"/>
        <v/>
      </c>
      <c r="T973" s="254" t="str">
        <f>IFERROR(__xludf.DUMMYFUNCTION("""COMPUTED_VALUE"""),"")</f>
        <v/>
      </c>
      <c r="U973" s="246" t="str">
        <f>IFERROR(__xludf.DUMMYFUNCTION("""COMPUTED_VALUE"""),"")</f>
        <v/>
      </c>
      <c r="V973" s="247" t="str">
        <f t="shared" si="6"/>
        <v/>
      </c>
      <c r="W973" s="255" t="str">
        <f>IFERROR(__xludf.DUMMYFUNCTION("""COMPUTED_VALUE"""),"")</f>
        <v/>
      </c>
      <c r="X973" s="249" t="str">
        <f>IFERROR(__xludf.DUMMYFUNCTION("""COMPUTED_VALUE"""),"")</f>
        <v/>
      </c>
      <c r="Y973" s="250" t="str">
        <f t="shared" si="7"/>
        <v/>
      </c>
    </row>
    <row r="974">
      <c r="A974" s="136" t="s">
        <v>133</v>
      </c>
      <c r="B974" s="136"/>
      <c r="C974" s="136" t="s">
        <v>133</v>
      </c>
      <c r="D974" s="136"/>
      <c r="E974" s="256" t="str">
        <f>IFERROR(__xludf.DUMMYFUNCTION("""COMPUTED_VALUE"""),"")</f>
        <v/>
      </c>
      <c r="F974" s="257" t="str">
        <f>IFERROR(__xludf.DUMMYFUNCTION("""COMPUTED_VALUE"""),"")</f>
        <v/>
      </c>
      <c r="G974" s="247" t="str">
        <f t="shared" si="1"/>
        <v/>
      </c>
      <c r="H974" s="258" t="str">
        <f>IFERROR(__xludf.DUMMYFUNCTION("""COMPUTED_VALUE"""),"")</f>
        <v/>
      </c>
      <c r="I974" s="259" t="str">
        <f>IFERROR(__xludf.DUMMYFUNCTION("""COMPUTED_VALUE"""),"")</f>
        <v/>
      </c>
      <c r="J974" s="250" t="str">
        <f t="shared" si="2"/>
        <v/>
      </c>
      <c r="K974" s="317" t="str">
        <f>IFERROR(__xludf.DUMMYFUNCTION("""COMPUTED_VALUE"""),"")</f>
        <v/>
      </c>
      <c r="L974" s="318" t="str">
        <f>IFERROR(__xludf.DUMMYFUNCTION("""COMPUTED_VALUE"""),"")</f>
        <v/>
      </c>
      <c r="M974" s="253" t="str">
        <f t="shared" si="3"/>
        <v/>
      </c>
      <c r="N974" s="319" t="str">
        <f>IFERROR(__xludf.DUMMYFUNCTION("""COMPUTED_VALUE"""),"")</f>
        <v/>
      </c>
      <c r="O974" s="257" t="str">
        <f>IFERROR(__xludf.DUMMYFUNCTION("""COMPUTED_VALUE"""),"")</f>
        <v/>
      </c>
      <c r="P974" s="247" t="str">
        <f t="shared" si="4"/>
        <v/>
      </c>
      <c r="Q974" s="320" t="str">
        <f>IFERROR(__xludf.DUMMYFUNCTION("""COMPUTED_VALUE"""),"")</f>
        <v/>
      </c>
      <c r="R974" s="259" t="str">
        <f>IFERROR(__xludf.DUMMYFUNCTION("""COMPUTED_VALUE"""),"")</f>
        <v/>
      </c>
      <c r="S974" s="250" t="str">
        <f t="shared" si="5"/>
        <v/>
      </c>
      <c r="T974" s="254" t="str">
        <f>IFERROR(__xludf.DUMMYFUNCTION("""COMPUTED_VALUE"""),"")</f>
        <v/>
      </c>
      <c r="U974" s="246" t="str">
        <f>IFERROR(__xludf.DUMMYFUNCTION("""COMPUTED_VALUE"""),"")</f>
        <v/>
      </c>
      <c r="V974" s="247" t="str">
        <f t="shared" si="6"/>
        <v/>
      </c>
      <c r="W974" s="255" t="str">
        <f>IFERROR(__xludf.DUMMYFUNCTION("""COMPUTED_VALUE"""),"")</f>
        <v/>
      </c>
      <c r="X974" s="249" t="str">
        <f>IFERROR(__xludf.DUMMYFUNCTION("""COMPUTED_VALUE"""),"")</f>
        <v/>
      </c>
      <c r="Y974" s="250" t="str">
        <f t="shared" si="7"/>
        <v/>
      </c>
    </row>
    <row r="975">
      <c r="A975" s="136" t="s">
        <v>133</v>
      </c>
      <c r="B975" s="136"/>
      <c r="C975" s="136" t="s">
        <v>133</v>
      </c>
      <c r="D975" s="136"/>
      <c r="E975" s="256" t="str">
        <f>IFERROR(__xludf.DUMMYFUNCTION("""COMPUTED_VALUE"""),"")</f>
        <v/>
      </c>
      <c r="F975" s="257" t="str">
        <f>IFERROR(__xludf.DUMMYFUNCTION("""COMPUTED_VALUE"""),"")</f>
        <v/>
      </c>
      <c r="G975" s="247" t="str">
        <f t="shared" si="1"/>
        <v/>
      </c>
      <c r="H975" s="258" t="str">
        <f>IFERROR(__xludf.DUMMYFUNCTION("""COMPUTED_VALUE"""),"")</f>
        <v/>
      </c>
      <c r="I975" s="259" t="str">
        <f>IFERROR(__xludf.DUMMYFUNCTION("""COMPUTED_VALUE"""),"")</f>
        <v/>
      </c>
      <c r="J975" s="250" t="str">
        <f t="shared" si="2"/>
        <v/>
      </c>
      <c r="K975" s="317" t="str">
        <f>IFERROR(__xludf.DUMMYFUNCTION("""COMPUTED_VALUE"""),"")</f>
        <v/>
      </c>
      <c r="L975" s="318" t="str">
        <f>IFERROR(__xludf.DUMMYFUNCTION("""COMPUTED_VALUE"""),"")</f>
        <v/>
      </c>
      <c r="M975" s="253" t="str">
        <f t="shared" si="3"/>
        <v/>
      </c>
      <c r="N975" s="319" t="str">
        <f>IFERROR(__xludf.DUMMYFUNCTION("""COMPUTED_VALUE"""),"")</f>
        <v/>
      </c>
      <c r="O975" s="257" t="str">
        <f>IFERROR(__xludf.DUMMYFUNCTION("""COMPUTED_VALUE"""),"")</f>
        <v/>
      </c>
      <c r="P975" s="247" t="str">
        <f t="shared" si="4"/>
        <v/>
      </c>
      <c r="Q975" s="320" t="str">
        <f>IFERROR(__xludf.DUMMYFUNCTION("""COMPUTED_VALUE"""),"")</f>
        <v/>
      </c>
      <c r="R975" s="259" t="str">
        <f>IFERROR(__xludf.DUMMYFUNCTION("""COMPUTED_VALUE"""),"")</f>
        <v/>
      </c>
      <c r="S975" s="250" t="str">
        <f t="shared" si="5"/>
        <v/>
      </c>
      <c r="T975" s="254" t="str">
        <f>IFERROR(__xludf.DUMMYFUNCTION("""COMPUTED_VALUE"""),"")</f>
        <v/>
      </c>
      <c r="U975" s="246" t="str">
        <f>IFERROR(__xludf.DUMMYFUNCTION("""COMPUTED_VALUE"""),"")</f>
        <v/>
      </c>
      <c r="V975" s="247" t="str">
        <f t="shared" si="6"/>
        <v/>
      </c>
      <c r="W975" s="255" t="str">
        <f>IFERROR(__xludf.DUMMYFUNCTION("""COMPUTED_VALUE"""),"")</f>
        <v/>
      </c>
      <c r="X975" s="249" t="str">
        <f>IFERROR(__xludf.DUMMYFUNCTION("""COMPUTED_VALUE"""),"")</f>
        <v/>
      </c>
      <c r="Y975" s="250" t="str">
        <f t="shared" si="7"/>
        <v/>
      </c>
    </row>
    <row r="976">
      <c r="A976" s="136" t="s">
        <v>133</v>
      </c>
      <c r="B976" s="136"/>
      <c r="C976" s="136" t="s">
        <v>133</v>
      </c>
      <c r="D976" s="136"/>
      <c r="E976" s="256" t="str">
        <f>IFERROR(__xludf.DUMMYFUNCTION("""COMPUTED_VALUE"""),"")</f>
        <v/>
      </c>
      <c r="F976" s="257" t="str">
        <f>IFERROR(__xludf.DUMMYFUNCTION("""COMPUTED_VALUE"""),"")</f>
        <v/>
      </c>
      <c r="G976" s="247" t="str">
        <f t="shared" si="1"/>
        <v/>
      </c>
      <c r="H976" s="258" t="str">
        <f>IFERROR(__xludf.DUMMYFUNCTION("""COMPUTED_VALUE"""),"")</f>
        <v/>
      </c>
      <c r="I976" s="259" t="str">
        <f>IFERROR(__xludf.DUMMYFUNCTION("""COMPUTED_VALUE"""),"")</f>
        <v/>
      </c>
      <c r="J976" s="250" t="str">
        <f t="shared" si="2"/>
        <v/>
      </c>
      <c r="K976" s="317" t="str">
        <f>IFERROR(__xludf.DUMMYFUNCTION("""COMPUTED_VALUE"""),"")</f>
        <v/>
      </c>
      <c r="L976" s="318" t="str">
        <f>IFERROR(__xludf.DUMMYFUNCTION("""COMPUTED_VALUE"""),"")</f>
        <v/>
      </c>
      <c r="M976" s="253" t="str">
        <f t="shared" si="3"/>
        <v/>
      </c>
      <c r="N976" s="319" t="str">
        <f>IFERROR(__xludf.DUMMYFUNCTION("""COMPUTED_VALUE"""),"")</f>
        <v/>
      </c>
      <c r="O976" s="257" t="str">
        <f>IFERROR(__xludf.DUMMYFUNCTION("""COMPUTED_VALUE"""),"")</f>
        <v/>
      </c>
      <c r="P976" s="247" t="str">
        <f t="shared" si="4"/>
        <v/>
      </c>
      <c r="Q976" s="320" t="str">
        <f>IFERROR(__xludf.DUMMYFUNCTION("""COMPUTED_VALUE"""),"")</f>
        <v/>
      </c>
      <c r="R976" s="259" t="str">
        <f>IFERROR(__xludf.DUMMYFUNCTION("""COMPUTED_VALUE"""),"")</f>
        <v/>
      </c>
      <c r="S976" s="250" t="str">
        <f t="shared" si="5"/>
        <v/>
      </c>
      <c r="T976" s="254" t="str">
        <f>IFERROR(__xludf.DUMMYFUNCTION("""COMPUTED_VALUE"""),"")</f>
        <v/>
      </c>
      <c r="U976" s="246" t="str">
        <f>IFERROR(__xludf.DUMMYFUNCTION("""COMPUTED_VALUE"""),"")</f>
        <v/>
      </c>
      <c r="V976" s="247" t="str">
        <f t="shared" si="6"/>
        <v/>
      </c>
      <c r="W976" s="255" t="str">
        <f>IFERROR(__xludf.DUMMYFUNCTION("""COMPUTED_VALUE"""),"")</f>
        <v/>
      </c>
      <c r="X976" s="249" t="str">
        <f>IFERROR(__xludf.DUMMYFUNCTION("""COMPUTED_VALUE"""),"")</f>
        <v/>
      </c>
      <c r="Y976" s="250" t="str">
        <f t="shared" si="7"/>
        <v/>
      </c>
    </row>
    <row r="977">
      <c r="A977" s="136" t="s">
        <v>133</v>
      </c>
      <c r="B977" s="136"/>
      <c r="C977" s="136" t="s">
        <v>133</v>
      </c>
      <c r="D977" s="136"/>
      <c r="E977" s="256" t="str">
        <f>IFERROR(__xludf.DUMMYFUNCTION("""COMPUTED_VALUE"""),"")</f>
        <v/>
      </c>
      <c r="F977" s="257" t="str">
        <f>IFERROR(__xludf.DUMMYFUNCTION("""COMPUTED_VALUE"""),"")</f>
        <v/>
      </c>
      <c r="G977" s="247" t="str">
        <f t="shared" si="1"/>
        <v/>
      </c>
      <c r="H977" s="258" t="str">
        <f>IFERROR(__xludf.DUMMYFUNCTION("""COMPUTED_VALUE"""),"")</f>
        <v/>
      </c>
      <c r="I977" s="259" t="str">
        <f>IFERROR(__xludf.DUMMYFUNCTION("""COMPUTED_VALUE"""),"")</f>
        <v/>
      </c>
      <c r="J977" s="250" t="str">
        <f t="shared" si="2"/>
        <v/>
      </c>
      <c r="K977" s="317" t="str">
        <f>IFERROR(__xludf.DUMMYFUNCTION("""COMPUTED_VALUE"""),"")</f>
        <v/>
      </c>
      <c r="L977" s="318" t="str">
        <f>IFERROR(__xludf.DUMMYFUNCTION("""COMPUTED_VALUE"""),"")</f>
        <v/>
      </c>
      <c r="M977" s="253" t="str">
        <f t="shared" si="3"/>
        <v/>
      </c>
      <c r="N977" s="319" t="str">
        <f>IFERROR(__xludf.DUMMYFUNCTION("""COMPUTED_VALUE"""),"")</f>
        <v/>
      </c>
      <c r="O977" s="257" t="str">
        <f>IFERROR(__xludf.DUMMYFUNCTION("""COMPUTED_VALUE"""),"")</f>
        <v/>
      </c>
      <c r="P977" s="247" t="str">
        <f t="shared" si="4"/>
        <v/>
      </c>
      <c r="Q977" s="320" t="str">
        <f>IFERROR(__xludf.DUMMYFUNCTION("""COMPUTED_VALUE"""),"")</f>
        <v/>
      </c>
      <c r="R977" s="259" t="str">
        <f>IFERROR(__xludf.DUMMYFUNCTION("""COMPUTED_VALUE"""),"")</f>
        <v/>
      </c>
      <c r="S977" s="250" t="str">
        <f t="shared" si="5"/>
        <v/>
      </c>
      <c r="T977" s="254" t="str">
        <f>IFERROR(__xludf.DUMMYFUNCTION("""COMPUTED_VALUE"""),"")</f>
        <v/>
      </c>
      <c r="U977" s="246" t="str">
        <f>IFERROR(__xludf.DUMMYFUNCTION("""COMPUTED_VALUE"""),"")</f>
        <v/>
      </c>
      <c r="V977" s="247" t="str">
        <f t="shared" si="6"/>
        <v/>
      </c>
      <c r="W977" s="255" t="str">
        <f>IFERROR(__xludf.DUMMYFUNCTION("""COMPUTED_VALUE"""),"")</f>
        <v/>
      </c>
      <c r="X977" s="249" t="str">
        <f>IFERROR(__xludf.DUMMYFUNCTION("""COMPUTED_VALUE"""),"")</f>
        <v/>
      </c>
      <c r="Y977" s="250" t="str">
        <f t="shared" si="7"/>
        <v/>
      </c>
    </row>
    <row r="978">
      <c r="A978" s="136" t="s">
        <v>133</v>
      </c>
      <c r="B978" s="136"/>
      <c r="C978" s="136" t="s">
        <v>133</v>
      </c>
      <c r="D978" s="136"/>
      <c r="E978" s="256" t="str">
        <f>IFERROR(__xludf.DUMMYFUNCTION("""COMPUTED_VALUE"""),"")</f>
        <v/>
      </c>
      <c r="F978" s="257" t="str">
        <f>IFERROR(__xludf.DUMMYFUNCTION("""COMPUTED_VALUE"""),"")</f>
        <v/>
      </c>
      <c r="G978" s="247" t="str">
        <f t="shared" si="1"/>
        <v/>
      </c>
      <c r="H978" s="258" t="str">
        <f>IFERROR(__xludf.DUMMYFUNCTION("""COMPUTED_VALUE"""),"")</f>
        <v/>
      </c>
      <c r="I978" s="259" t="str">
        <f>IFERROR(__xludf.DUMMYFUNCTION("""COMPUTED_VALUE"""),"")</f>
        <v/>
      </c>
      <c r="J978" s="250" t="str">
        <f t="shared" si="2"/>
        <v/>
      </c>
      <c r="K978" s="317" t="str">
        <f>IFERROR(__xludf.DUMMYFUNCTION("""COMPUTED_VALUE"""),"")</f>
        <v/>
      </c>
      <c r="L978" s="318" t="str">
        <f>IFERROR(__xludf.DUMMYFUNCTION("""COMPUTED_VALUE"""),"")</f>
        <v/>
      </c>
      <c r="M978" s="253" t="str">
        <f t="shared" si="3"/>
        <v/>
      </c>
      <c r="N978" s="319" t="str">
        <f>IFERROR(__xludf.DUMMYFUNCTION("""COMPUTED_VALUE"""),"")</f>
        <v/>
      </c>
      <c r="O978" s="257" t="str">
        <f>IFERROR(__xludf.DUMMYFUNCTION("""COMPUTED_VALUE"""),"")</f>
        <v/>
      </c>
      <c r="P978" s="247" t="str">
        <f t="shared" si="4"/>
        <v/>
      </c>
      <c r="Q978" s="320" t="str">
        <f>IFERROR(__xludf.DUMMYFUNCTION("""COMPUTED_VALUE"""),"")</f>
        <v/>
      </c>
      <c r="R978" s="259" t="str">
        <f>IFERROR(__xludf.DUMMYFUNCTION("""COMPUTED_VALUE"""),"")</f>
        <v/>
      </c>
      <c r="S978" s="250" t="str">
        <f t="shared" si="5"/>
        <v/>
      </c>
      <c r="T978" s="254" t="str">
        <f>IFERROR(__xludf.DUMMYFUNCTION("""COMPUTED_VALUE"""),"")</f>
        <v/>
      </c>
      <c r="U978" s="246" t="str">
        <f>IFERROR(__xludf.DUMMYFUNCTION("""COMPUTED_VALUE"""),"")</f>
        <v/>
      </c>
      <c r="V978" s="247" t="str">
        <f t="shared" si="6"/>
        <v/>
      </c>
      <c r="W978" s="255" t="str">
        <f>IFERROR(__xludf.DUMMYFUNCTION("""COMPUTED_VALUE"""),"")</f>
        <v/>
      </c>
      <c r="X978" s="249" t="str">
        <f>IFERROR(__xludf.DUMMYFUNCTION("""COMPUTED_VALUE"""),"")</f>
        <v/>
      </c>
      <c r="Y978" s="250" t="str">
        <f t="shared" si="7"/>
        <v/>
      </c>
    </row>
    <row r="979">
      <c r="A979" s="136" t="s">
        <v>133</v>
      </c>
      <c r="B979" s="136"/>
      <c r="C979" s="136" t="s">
        <v>133</v>
      </c>
      <c r="D979" s="136"/>
      <c r="E979" s="256" t="str">
        <f>IFERROR(__xludf.DUMMYFUNCTION("""COMPUTED_VALUE"""),"")</f>
        <v/>
      </c>
      <c r="F979" s="257" t="str">
        <f>IFERROR(__xludf.DUMMYFUNCTION("""COMPUTED_VALUE"""),"")</f>
        <v/>
      </c>
      <c r="G979" s="247" t="str">
        <f t="shared" si="1"/>
        <v/>
      </c>
      <c r="H979" s="258" t="str">
        <f>IFERROR(__xludf.DUMMYFUNCTION("""COMPUTED_VALUE"""),"")</f>
        <v/>
      </c>
      <c r="I979" s="259" t="str">
        <f>IFERROR(__xludf.DUMMYFUNCTION("""COMPUTED_VALUE"""),"")</f>
        <v/>
      </c>
      <c r="J979" s="250" t="str">
        <f t="shared" si="2"/>
        <v/>
      </c>
      <c r="K979" s="317" t="str">
        <f>IFERROR(__xludf.DUMMYFUNCTION("""COMPUTED_VALUE"""),"")</f>
        <v/>
      </c>
      <c r="L979" s="318" t="str">
        <f>IFERROR(__xludf.DUMMYFUNCTION("""COMPUTED_VALUE"""),"")</f>
        <v/>
      </c>
      <c r="M979" s="253" t="str">
        <f t="shared" si="3"/>
        <v/>
      </c>
      <c r="N979" s="319" t="str">
        <f>IFERROR(__xludf.DUMMYFUNCTION("""COMPUTED_VALUE"""),"")</f>
        <v/>
      </c>
      <c r="O979" s="257" t="str">
        <f>IFERROR(__xludf.DUMMYFUNCTION("""COMPUTED_VALUE"""),"")</f>
        <v/>
      </c>
      <c r="P979" s="247" t="str">
        <f t="shared" si="4"/>
        <v/>
      </c>
      <c r="Q979" s="320" t="str">
        <f>IFERROR(__xludf.DUMMYFUNCTION("""COMPUTED_VALUE"""),"")</f>
        <v/>
      </c>
      <c r="R979" s="259" t="str">
        <f>IFERROR(__xludf.DUMMYFUNCTION("""COMPUTED_VALUE"""),"")</f>
        <v/>
      </c>
      <c r="S979" s="250" t="str">
        <f t="shared" si="5"/>
        <v/>
      </c>
      <c r="T979" s="254" t="str">
        <f>IFERROR(__xludf.DUMMYFUNCTION("""COMPUTED_VALUE"""),"")</f>
        <v/>
      </c>
      <c r="U979" s="246" t="str">
        <f>IFERROR(__xludf.DUMMYFUNCTION("""COMPUTED_VALUE"""),"")</f>
        <v/>
      </c>
      <c r="V979" s="247" t="str">
        <f t="shared" si="6"/>
        <v/>
      </c>
      <c r="W979" s="255" t="str">
        <f>IFERROR(__xludf.DUMMYFUNCTION("""COMPUTED_VALUE"""),"")</f>
        <v/>
      </c>
      <c r="X979" s="249" t="str">
        <f>IFERROR(__xludf.DUMMYFUNCTION("""COMPUTED_VALUE"""),"")</f>
        <v/>
      </c>
      <c r="Y979" s="250" t="str">
        <f t="shared" si="7"/>
        <v/>
      </c>
    </row>
    <row r="980">
      <c r="A980" s="136" t="s">
        <v>133</v>
      </c>
      <c r="B980" s="136"/>
      <c r="C980" s="136" t="s">
        <v>133</v>
      </c>
      <c r="D980" s="136"/>
      <c r="E980" s="256" t="str">
        <f>IFERROR(__xludf.DUMMYFUNCTION("""COMPUTED_VALUE"""),"")</f>
        <v/>
      </c>
      <c r="F980" s="257" t="str">
        <f>IFERROR(__xludf.DUMMYFUNCTION("""COMPUTED_VALUE"""),"")</f>
        <v/>
      </c>
      <c r="G980" s="247" t="str">
        <f t="shared" si="1"/>
        <v/>
      </c>
      <c r="H980" s="258" t="str">
        <f>IFERROR(__xludf.DUMMYFUNCTION("""COMPUTED_VALUE"""),"")</f>
        <v/>
      </c>
      <c r="I980" s="259" t="str">
        <f>IFERROR(__xludf.DUMMYFUNCTION("""COMPUTED_VALUE"""),"")</f>
        <v/>
      </c>
      <c r="J980" s="250" t="str">
        <f t="shared" si="2"/>
        <v/>
      </c>
      <c r="K980" s="317" t="str">
        <f>IFERROR(__xludf.DUMMYFUNCTION("""COMPUTED_VALUE"""),"")</f>
        <v/>
      </c>
      <c r="L980" s="318" t="str">
        <f>IFERROR(__xludf.DUMMYFUNCTION("""COMPUTED_VALUE"""),"")</f>
        <v/>
      </c>
      <c r="M980" s="253" t="str">
        <f t="shared" si="3"/>
        <v/>
      </c>
      <c r="N980" s="319" t="str">
        <f>IFERROR(__xludf.DUMMYFUNCTION("""COMPUTED_VALUE"""),"")</f>
        <v/>
      </c>
      <c r="O980" s="257" t="str">
        <f>IFERROR(__xludf.DUMMYFUNCTION("""COMPUTED_VALUE"""),"")</f>
        <v/>
      </c>
      <c r="P980" s="247" t="str">
        <f t="shared" si="4"/>
        <v/>
      </c>
      <c r="Q980" s="320" t="str">
        <f>IFERROR(__xludf.DUMMYFUNCTION("""COMPUTED_VALUE"""),"")</f>
        <v/>
      </c>
      <c r="R980" s="259" t="str">
        <f>IFERROR(__xludf.DUMMYFUNCTION("""COMPUTED_VALUE"""),"")</f>
        <v/>
      </c>
      <c r="S980" s="250" t="str">
        <f t="shared" si="5"/>
        <v/>
      </c>
      <c r="T980" s="254" t="str">
        <f>IFERROR(__xludf.DUMMYFUNCTION("""COMPUTED_VALUE"""),"")</f>
        <v/>
      </c>
      <c r="U980" s="246" t="str">
        <f>IFERROR(__xludf.DUMMYFUNCTION("""COMPUTED_VALUE"""),"")</f>
        <v/>
      </c>
      <c r="V980" s="247" t="str">
        <f t="shared" si="6"/>
        <v/>
      </c>
      <c r="W980" s="255" t="str">
        <f>IFERROR(__xludf.DUMMYFUNCTION("""COMPUTED_VALUE"""),"")</f>
        <v/>
      </c>
      <c r="X980" s="249" t="str">
        <f>IFERROR(__xludf.DUMMYFUNCTION("""COMPUTED_VALUE"""),"")</f>
        <v/>
      </c>
      <c r="Y980" s="250" t="str">
        <f t="shared" si="7"/>
        <v/>
      </c>
    </row>
    <row r="981">
      <c r="A981" s="136" t="s">
        <v>133</v>
      </c>
      <c r="B981" s="136"/>
      <c r="C981" s="136" t="s">
        <v>133</v>
      </c>
      <c r="D981" s="136"/>
      <c r="E981" s="256" t="str">
        <f>IFERROR(__xludf.DUMMYFUNCTION("""COMPUTED_VALUE"""),"")</f>
        <v/>
      </c>
      <c r="F981" s="257" t="str">
        <f>IFERROR(__xludf.DUMMYFUNCTION("""COMPUTED_VALUE"""),"")</f>
        <v/>
      </c>
      <c r="G981" s="247" t="str">
        <f t="shared" si="1"/>
        <v/>
      </c>
      <c r="H981" s="258" t="str">
        <f>IFERROR(__xludf.DUMMYFUNCTION("""COMPUTED_VALUE"""),"")</f>
        <v/>
      </c>
      <c r="I981" s="259" t="str">
        <f>IFERROR(__xludf.DUMMYFUNCTION("""COMPUTED_VALUE"""),"")</f>
        <v/>
      </c>
      <c r="J981" s="250" t="str">
        <f t="shared" si="2"/>
        <v/>
      </c>
      <c r="K981" s="317" t="str">
        <f>IFERROR(__xludf.DUMMYFUNCTION("""COMPUTED_VALUE"""),"")</f>
        <v/>
      </c>
      <c r="L981" s="318" t="str">
        <f>IFERROR(__xludf.DUMMYFUNCTION("""COMPUTED_VALUE"""),"")</f>
        <v/>
      </c>
      <c r="M981" s="253" t="str">
        <f t="shared" si="3"/>
        <v/>
      </c>
      <c r="N981" s="319" t="str">
        <f>IFERROR(__xludf.DUMMYFUNCTION("""COMPUTED_VALUE"""),"")</f>
        <v/>
      </c>
      <c r="O981" s="257" t="str">
        <f>IFERROR(__xludf.DUMMYFUNCTION("""COMPUTED_VALUE"""),"")</f>
        <v/>
      </c>
      <c r="P981" s="247" t="str">
        <f t="shared" si="4"/>
        <v/>
      </c>
      <c r="Q981" s="320" t="str">
        <f>IFERROR(__xludf.DUMMYFUNCTION("""COMPUTED_VALUE"""),"")</f>
        <v/>
      </c>
      <c r="R981" s="259" t="str">
        <f>IFERROR(__xludf.DUMMYFUNCTION("""COMPUTED_VALUE"""),"")</f>
        <v/>
      </c>
      <c r="S981" s="250" t="str">
        <f t="shared" si="5"/>
        <v/>
      </c>
      <c r="T981" s="254" t="str">
        <f>IFERROR(__xludf.DUMMYFUNCTION("""COMPUTED_VALUE"""),"")</f>
        <v/>
      </c>
      <c r="U981" s="246" t="str">
        <f>IFERROR(__xludf.DUMMYFUNCTION("""COMPUTED_VALUE"""),"")</f>
        <v/>
      </c>
      <c r="V981" s="247" t="str">
        <f t="shared" si="6"/>
        <v/>
      </c>
      <c r="W981" s="255" t="str">
        <f>IFERROR(__xludf.DUMMYFUNCTION("""COMPUTED_VALUE"""),"")</f>
        <v/>
      </c>
      <c r="X981" s="249" t="str">
        <f>IFERROR(__xludf.DUMMYFUNCTION("""COMPUTED_VALUE"""),"")</f>
        <v/>
      </c>
      <c r="Y981" s="250" t="str">
        <f t="shared" si="7"/>
        <v/>
      </c>
    </row>
    <row r="982">
      <c r="A982" s="136" t="s">
        <v>133</v>
      </c>
      <c r="B982" s="136"/>
      <c r="C982" s="136" t="s">
        <v>133</v>
      </c>
      <c r="D982" s="136"/>
      <c r="E982" s="256" t="str">
        <f>IFERROR(__xludf.DUMMYFUNCTION("""COMPUTED_VALUE"""),"")</f>
        <v/>
      </c>
      <c r="F982" s="257" t="str">
        <f>IFERROR(__xludf.DUMMYFUNCTION("""COMPUTED_VALUE"""),"")</f>
        <v/>
      </c>
      <c r="G982" s="247" t="str">
        <f t="shared" si="1"/>
        <v/>
      </c>
      <c r="H982" s="258" t="str">
        <f>IFERROR(__xludf.DUMMYFUNCTION("""COMPUTED_VALUE"""),"")</f>
        <v/>
      </c>
      <c r="I982" s="259" t="str">
        <f>IFERROR(__xludf.DUMMYFUNCTION("""COMPUTED_VALUE"""),"")</f>
        <v/>
      </c>
      <c r="J982" s="250" t="str">
        <f t="shared" si="2"/>
        <v/>
      </c>
      <c r="K982" s="317" t="str">
        <f>IFERROR(__xludf.DUMMYFUNCTION("""COMPUTED_VALUE"""),"")</f>
        <v/>
      </c>
      <c r="L982" s="318" t="str">
        <f>IFERROR(__xludf.DUMMYFUNCTION("""COMPUTED_VALUE"""),"")</f>
        <v/>
      </c>
      <c r="M982" s="253" t="str">
        <f t="shared" si="3"/>
        <v/>
      </c>
      <c r="N982" s="319" t="str">
        <f>IFERROR(__xludf.DUMMYFUNCTION("""COMPUTED_VALUE"""),"")</f>
        <v/>
      </c>
      <c r="O982" s="257" t="str">
        <f>IFERROR(__xludf.DUMMYFUNCTION("""COMPUTED_VALUE"""),"")</f>
        <v/>
      </c>
      <c r="P982" s="247" t="str">
        <f t="shared" si="4"/>
        <v/>
      </c>
      <c r="Q982" s="320" t="str">
        <f>IFERROR(__xludf.DUMMYFUNCTION("""COMPUTED_VALUE"""),"")</f>
        <v/>
      </c>
      <c r="R982" s="259" t="str">
        <f>IFERROR(__xludf.DUMMYFUNCTION("""COMPUTED_VALUE"""),"")</f>
        <v/>
      </c>
      <c r="S982" s="250" t="str">
        <f t="shared" si="5"/>
        <v/>
      </c>
      <c r="T982" s="254" t="str">
        <f>IFERROR(__xludf.DUMMYFUNCTION("""COMPUTED_VALUE"""),"")</f>
        <v/>
      </c>
      <c r="U982" s="246" t="str">
        <f>IFERROR(__xludf.DUMMYFUNCTION("""COMPUTED_VALUE"""),"")</f>
        <v/>
      </c>
      <c r="V982" s="247" t="str">
        <f t="shared" si="6"/>
        <v/>
      </c>
      <c r="W982" s="255" t="str">
        <f>IFERROR(__xludf.DUMMYFUNCTION("""COMPUTED_VALUE"""),"")</f>
        <v/>
      </c>
      <c r="X982" s="249" t="str">
        <f>IFERROR(__xludf.DUMMYFUNCTION("""COMPUTED_VALUE"""),"")</f>
        <v/>
      </c>
      <c r="Y982" s="250" t="str">
        <f t="shared" si="7"/>
        <v/>
      </c>
    </row>
    <row r="983">
      <c r="A983" s="136" t="s">
        <v>133</v>
      </c>
      <c r="B983" s="136"/>
      <c r="C983" s="136" t="s">
        <v>133</v>
      </c>
      <c r="D983" s="136"/>
      <c r="E983" s="256" t="str">
        <f>IFERROR(__xludf.DUMMYFUNCTION("""COMPUTED_VALUE"""),"")</f>
        <v/>
      </c>
      <c r="F983" s="257" t="str">
        <f>IFERROR(__xludf.DUMMYFUNCTION("""COMPUTED_VALUE"""),"")</f>
        <v/>
      </c>
      <c r="G983" s="247" t="str">
        <f t="shared" si="1"/>
        <v/>
      </c>
      <c r="H983" s="258" t="str">
        <f>IFERROR(__xludf.DUMMYFUNCTION("""COMPUTED_VALUE"""),"")</f>
        <v/>
      </c>
      <c r="I983" s="259" t="str">
        <f>IFERROR(__xludf.DUMMYFUNCTION("""COMPUTED_VALUE"""),"")</f>
        <v/>
      </c>
      <c r="J983" s="250" t="str">
        <f t="shared" si="2"/>
        <v/>
      </c>
      <c r="K983" s="317" t="str">
        <f>IFERROR(__xludf.DUMMYFUNCTION("""COMPUTED_VALUE"""),"")</f>
        <v/>
      </c>
      <c r="L983" s="318" t="str">
        <f>IFERROR(__xludf.DUMMYFUNCTION("""COMPUTED_VALUE"""),"")</f>
        <v/>
      </c>
      <c r="M983" s="253" t="str">
        <f t="shared" si="3"/>
        <v/>
      </c>
      <c r="N983" s="319" t="str">
        <f>IFERROR(__xludf.DUMMYFUNCTION("""COMPUTED_VALUE"""),"")</f>
        <v/>
      </c>
      <c r="O983" s="257" t="str">
        <f>IFERROR(__xludf.DUMMYFUNCTION("""COMPUTED_VALUE"""),"")</f>
        <v/>
      </c>
      <c r="P983" s="247" t="str">
        <f t="shared" si="4"/>
        <v/>
      </c>
      <c r="Q983" s="320" t="str">
        <f>IFERROR(__xludf.DUMMYFUNCTION("""COMPUTED_VALUE"""),"")</f>
        <v/>
      </c>
      <c r="R983" s="259" t="str">
        <f>IFERROR(__xludf.DUMMYFUNCTION("""COMPUTED_VALUE"""),"")</f>
        <v/>
      </c>
      <c r="S983" s="250" t="str">
        <f t="shared" si="5"/>
        <v/>
      </c>
      <c r="T983" s="254" t="str">
        <f>IFERROR(__xludf.DUMMYFUNCTION("""COMPUTED_VALUE"""),"")</f>
        <v/>
      </c>
      <c r="U983" s="246" t="str">
        <f>IFERROR(__xludf.DUMMYFUNCTION("""COMPUTED_VALUE"""),"")</f>
        <v/>
      </c>
      <c r="V983" s="247" t="str">
        <f t="shared" si="6"/>
        <v/>
      </c>
      <c r="W983" s="255" t="str">
        <f>IFERROR(__xludf.DUMMYFUNCTION("""COMPUTED_VALUE"""),"")</f>
        <v/>
      </c>
      <c r="X983" s="249" t="str">
        <f>IFERROR(__xludf.DUMMYFUNCTION("""COMPUTED_VALUE"""),"")</f>
        <v/>
      </c>
      <c r="Y983" s="250" t="str">
        <f t="shared" si="7"/>
        <v/>
      </c>
    </row>
    <row r="984">
      <c r="A984" s="136" t="s">
        <v>133</v>
      </c>
      <c r="B984" s="136"/>
      <c r="C984" s="136" t="s">
        <v>133</v>
      </c>
      <c r="D984" s="136"/>
      <c r="E984" s="256" t="str">
        <f>IFERROR(__xludf.DUMMYFUNCTION("""COMPUTED_VALUE"""),"")</f>
        <v/>
      </c>
      <c r="F984" s="257" t="str">
        <f>IFERROR(__xludf.DUMMYFUNCTION("""COMPUTED_VALUE"""),"")</f>
        <v/>
      </c>
      <c r="G984" s="247" t="str">
        <f t="shared" si="1"/>
        <v/>
      </c>
      <c r="H984" s="258" t="str">
        <f>IFERROR(__xludf.DUMMYFUNCTION("""COMPUTED_VALUE"""),"")</f>
        <v/>
      </c>
      <c r="I984" s="259" t="str">
        <f>IFERROR(__xludf.DUMMYFUNCTION("""COMPUTED_VALUE"""),"")</f>
        <v/>
      </c>
      <c r="J984" s="250" t="str">
        <f t="shared" si="2"/>
        <v/>
      </c>
      <c r="K984" s="317" t="str">
        <f>IFERROR(__xludf.DUMMYFUNCTION("""COMPUTED_VALUE"""),"")</f>
        <v/>
      </c>
      <c r="L984" s="318" t="str">
        <f>IFERROR(__xludf.DUMMYFUNCTION("""COMPUTED_VALUE"""),"")</f>
        <v/>
      </c>
      <c r="M984" s="253" t="str">
        <f t="shared" si="3"/>
        <v/>
      </c>
      <c r="N984" s="319" t="str">
        <f>IFERROR(__xludf.DUMMYFUNCTION("""COMPUTED_VALUE"""),"")</f>
        <v/>
      </c>
      <c r="O984" s="257" t="str">
        <f>IFERROR(__xludf.DUMMYFUNCTION("""COMPUTED_VALUE"""),"")</f>
        <v/>
      </c>
      <c r="P984" s="247" t="str">
        <f t="shared" si="4"/>
        <v/>
      </c>
      <c r="Q984" s="320" t="str">
        <f>IFERROR(__xludf.DUMMYFUNCTION("""COMPUTED_VALUE"""),"")</f>
        <v/>
      </c>
      <c r="R984" s="259" t="str">
        <f>IFERROR(__xludf.DUMMYFUNCTION("""COMPUTED_VALUE"""),"")</f>
        <v/>
      </c>
      <c r="S984" s="250" t="str">
        <f t="shared" si="5"/>
        <v/>
      </c>
      <c r="T984" s="254" t="str">
        <f>IFERROR(__xludf.DUMMYFUNCTION("""COMPUTED_VALUE"""),"")</f>
        <v/>
      </c>
      <c r="U984" s="246" t="str">
        <f>IFERROR(__xludf.DUMMYFUNCTION("""COMPUTED_VALUE"""),"")</f>
        <v/>
      </c>
      <c r="V984" s="247" t="str">
        <f t="shared" si="6"/>
        <v/>
      </c>
      <c r="W984" s="255" t="str">
        <f>IFERROR(__xludf.DUMMYFUNCTION("""COMPUTED_VALUE"""),"")</f>
        <v/>
      </c>
      <c r="X984" s="249" t="str">
        <f>IFERROR(__xludf.DUMMYFUNCTION("""COMPUTED_VALUE"""),"")</f>
        <v/>
      </c>
      <c r="Y984" s="250" t="str">
        <f t="shared" si="7"/>
        <v/>
      </c>
    </row>
    <row r="985">
      <c r="A985" s="136" t="s">
        <v>133</v>
      </c>
      <c r="B985" s="136"/>
      <c r="C985" s="136" t="s">
        <v>133</v>
      </c>
      <c r="D985" s="136"/>
      <c r="E985" s="256" t="str">
        <f>IFERROR(__xludf.DUMMYFUNCTION("""COMPUTED_VALUE"""),"")</f>
        <v/>
      </c>
      <c r="F985" s="257" t="str">
        <f>IFERROR(__xludf.DUMMYFUNCTION("""COMPUTED_VALUE"""),"")</f>
        <v/>
      </c>
      <c r="G985" s="247" t="str">
        <f t="shared" si="1"/>
        <v/>
      </c>
      <c r="H985" s="258" t="str">
        <f>IFERROR(__xludf.DUMMYFUNCTION("""COMPUTED_VALUE"""),"")</f>
        <v/>
      </c>
      <c r="I985" s="259" t="str">
        <f>IFERROR(__xludf.DUMMYFUNCTION("""COMPUTED_VALUE"""),"")</f>
        <v/>
      </c>
      <c r="J985" s="250" t="str">
        <f t="shared" si="2"/>
        <v/>
      </c>
      <c r="K985" s="317" t="str">
        <f>IFERROR(__xludf.DUMMYFUNCTION("""COMPUTED_VALUE"""),"")</f>
        <v/>
      </c>
      <c r="L985" s="318" t="str">
        <f>IFERROR(__xludf.DUMMYFUNCTION("""COMPUTED_VALUE"""),"")</f>
        <v/>
      </c>
      <c r="M985" s="253" t="str">
        <f t="shared" si="3"/>
        <v/>
      </c>
      <c r="N985" s="319" t="str">
        <f>IFERROR(__xludf.DUMMYFUNCTION("""COMPUTED_VALUE"""),"")</f>
        <v/>
      </c>
      <c r="O985" s="257" t="str">
        <f>IFERROR(__xludf.DUMMYFUNCTION("""COMPUTED_VALUE"""),"")</f>
        <v/>
      </c>
      <c r="P985" s="247" t="str">
        <f t="shared" si="4"/>
        <v/>
      </c>
      <c r="Q985" s="320" t="str">
        <f>IFERROR(__xludf.DUMMYFUNCTION("""COMPUTED_VALUE"""),"")</f>
        <v/>
      </c>
      <c r="R985" s="259" t="str">
        <f>IFERROR(__xludf.DUMMYFUNCTION("""COMPUTED_VALUE"""),"")</f>
        <v/>
      </c>
      <c r="S985" s="250" t="str">
        <f t="shared" si="5"/>
        <v/>
      </c>
      <c r="T985" s="254" t="str">
        <f>IFERROR(__xludf.DUMMYFUNCTION("""COMPUTED_VALUE"""),"")</f>
        <v/>
      </c>
      <c r="U985" s="246" t="str">
        <f>IFERROR(__xludf.DUMMYFUNCTION("""COMPUTED_VALUE"""),"")</f>
        <v/>
      </c>
      <c r="V985" s="247" t="str">
        <f t="shared" si="6"/>
        <v/>
      </c>
      <c r="W985" s="255" t="str">
        <f>IFERROR(__xludf.DUMMYFUNCTION("""COMPUTED_VALUE"""),"")</f>
        <v/>
      </c>
      <c r="X985" s="249" t="str">
        <f>IFERROR(__xludf.DUMMYFUNCTION("""COMPUTED_VALUE"""),"")</f>
        <v/>
      </c>
      <c r="Y985" s="250" t="str">
        <f t="shared" si="7"/>
        <v/>
      </c>
    </row>
    <row r="986">
      <c r="A986" s="136" t="s">
        <v>133</v>
      </c>
      <c r="B986" s="136"/>
      <c r="C986" s="136" t="s">
        <v>133</v>
      </c>
      <c r="D986" s="136"/>
      <c r="E986" s="256"/>
      <c r="F986" s="257"/>
      <c r="G986" s="247" t="str">
        <f t="shared" si="1"/>
        <v/>
      </c>
      <c r="H986" s="258"/>
      <c r="I986" s="259"/>
      <c r="J986" s="250" t="str">
        <f t="shared" si="2"/>
        <v/>
      </c>
      <c r="K986" s="317"/>
      <c r="L986" s="318"/>
      <c r="M986" s="253" t="str">
        <f t="shared" si="3"/>
        <v/>
      </c>
      <c r="N986" s="319"/>
      <c r="O986" s="257"/>
      <c r="P986" s="247" t="str">
        <f t="shared" si="4"/>
        <v/>
      </c>
      <c r="Q986" s="320"/>
      <c r="R986" s="259"/>
      <c r="S986" s="250" t="str">
        <f t="shared" si="5"/>
        <v/>
      </c>
      <c r="T986" s="254"/>
      <c r="U986" s="246"/>
      <c r="V986" s="247" t="str">
        <f t="shared" si="6"/>
        <v/>
      </c>
      <c r="W986" s="255"/>
      <c r="X986" s="249"/>
      <c r="Y986" s="250" t="str">
        <f t="shared" si="7"/>
        <v/>
      </c>
    </row>
    <row r="987">
      <c r="B987" s="136"/>
      <c r="E987" s="256"/>
      <c r="F987" s="257"/>
      <c r="G987" s="247" t="str">
        <f t="shared" si="1"/>
        <v/>
      </c>
      <c r="H987" s="258"/>
      <c r="I987" s="259"/>
      <c r="J987" s="250" t="str">
        <f t="shared" si="2"/>
        <v/>
      </c>
      <c r="K987" s="317"/>
      <c r="L987" s="318"/>
      <c r="M987" s="253" t="str">
        <f t="shared" si="3"/>
        <v/>
      </c>
      <c r="N987" s="319"/>
      <c r="O987" s="257"/>
      <c r="P987" s="247" t="str">
        <f t="shared" si="4"/>
        <v/>
      </c>
      <c r="Q987" s="320"/>
      <c r="R987" s="259"/>
      <c r="S987" s="250" t="str">
        <f t="shared" si="5"/>
        <v/>
      </c>
      <c r="T987" s="254"/>
      <c r="U987" s="246"/>
      <c r="V987" s="247" t="str">
        <f t="shared" si="6"/>
        <v/>
      </c>
      <c r="W987" s="255"/>
      <c r="X987" s="249"/>
      <c r="Y987" s="250" t="str">
        <f t="shared" si="7"/>
        <v/>
      </c>
    </row>
    <row r="988">
      <c r="B988" s="136"/>
      <c r="E988" s="256"/>
      <c r="F988" s="257"/>
      <c r="G988" s="247" t="str">
        <f t="shared" si="1"/>
        <v/>
      </c>
      <c r="H988" s="258"/>
      <c r="I988" s="259"/>
      <c r="J988" s="250" t="str">
        <f t="shared" si="2"/>
        <v/>
      </c>
      <c r="K988" s="317"/>
      <c r="L988" s="318"/>
      <c r="M988" s="253" t="str">
        <f t="shared" si="3"/>
        <v/>
      </c>
      <c r="N988" s="319"/>
      <c r="O988" s="257"/>
      <c r="P988" s="247" t="str">
        <f t="shared" si="4"/>
        <v/>
      </c>
      <c r="Q988" s="320"/>
      <c r="R988" s="259"/>
      <c r="S988" s="250" t="str">
        <f t="shared" si="5"/>
        <v/>
      </c>
      <c r="T988" s="254"/>
      <c r="U988" s="246"/>
      <c r="V988" s="247" t="str">
        <f t="shared" si="6"/>
        <v/>
      </c>
      <c r="W988" s="255"/>
      <c r="X988" s="249"/>
      <c r="Y988" s="250" t="str">
        <f t="shared" si="7"/>
        <v/>
      </c>
    </row>
    <row r="989">
      <c r="B989" s="136"/>
      <c r="E989" s="256"/>
      <c r="F989" s="257"/>
      <c r="G989" s="247" t="str">
        <f t="shared" si="1"/>
        <v/>
      </c>
      <c r="H989" s="258"/>
      <c r="I989" s="259"/>
      <c r="J989" s="250" t="str">
        <f t="shared" si="2"/>
        <v/>
      </c>
      <c r="K989" s="317"/>
      <c r="L989" s="318"/>
      <c r="M989" s="253" t="str">
        <f t="shared" si="3"/>
        <v/>
      </c>
      <c r="N989" s="319"/>
      <c r="O989" s="257"/>
      <c r="P989" s="247" t="str">
        <f t="shared" si="4"/>
        <v/>
      </c>
      <c r="Q989" s="320"/>
      <c r="R989" s="259"/>
      <c r="S989" s="250" t="str">
        <f t="shared" si="5"/>
        <v/>
      </c>
      <c r="T989" s="254"/>
      <c r="U989" s="246"/>
      <c r="V989" s="247" t="str">
        <f t="shared" si="6"/>
        <v/>
      </c>
      <c r="W989" s="255"/>
      <c r="X989" s="249"/>
      <c r="Y989" s="250" t="str">
        <f t="shared" si="7"/>
        <v/>
      </c>
    </row>
    <row r="990">
      <c r="B990" s="136"/>
      <c r="E990" s="256"/>
      <c r="F990" s="257"/>
      <c r="G990" s="247" t="str">
        <f t="shared" si="1"/>
        <v/>
      </c>
      <c r="H990" s="258"/>
      <c r="I990" s="259"/>
      <c r="J990" s="250" t="str">
        <f t="shared" si="2"/>
        <v/>
      </c>
      <c r="K990" s="317"/>
      <c r="L990" s="318"/>
      <c r="M990" s="253" t="str">
        <f t="shared" si="3"/>
        <v/>
      </c>
      <c r="N990" s="319"/>
      <c r="O990" s="257"/>
      <c r="P990" s="247" t="str">
        <f t="shared" si="4"/>
        <v/>
      </c>
      <c r="Q990" s="320"/>
      <c r="R990" s="259"/>
      <c r="S990" s="250" t="str">
        <f t="shared" si="5"/>
        <v/>
      </c>
      <c r="T990" s="254"/>
      <c r="U990" s="246"/>
      <c r="V990" s="247" t="str">
        <f t="shared" si="6"/>
        <v/>
      </c>
      <c r="W990" s="255"/>
      <c r="X990" s="249"/>
      <c r="Y990" s="250" t="str">
        <f t="shared" si="7"/>
        <v/>
      </c>
    </row>
    <row r="991">
      <c r="B991" s="136"/>
      <c r="E991" s="256"/>
      <c r="F991" s="257"/>
      <c r="G991" s="247" t="str">
        <f t="shared" si="1"/>
        <v/>
      </c>
      <c r="H991" s="258"/>
      <c r="I991" s="259"/>
      <c r="J991" s="250" t="str">
        <f t="shared" si="2"/>
        <v/>
      </c>
      <c r="K991" s="317"/>
      <c r="L991" s="318"/>
      <c r="M991" s="253" t="str">
        <f t="shared" si="3"/>
        <v/>
      </c>
      <c r="N991" s="319"/>
      <c r="O991" s="257"/>
      <c r="P991" s="247" t="str">
        <f t="shared" si="4"/>
        <v/>
      </c>
      <c r="Q991" s="320"/>
      <c r="R991" s="259"/>
      <c r="S991" s="250" t="str">
        <f t="shared" si="5"/>
        <v/>
      </c>
      <c r="T991" s="254"/>
      <c r="U991" s="246"/>
      <c r="V991" s="247" t="str">
        <f t="shared" si="6"/>
        <v/>
      </c>
      <c r="W991" s="255"/>
      <c r="X991" s="249"/>
      <c r="Y991" s="250" t="str">
        <f t="shared" si="7"/>
        <v/>
      </c>
    </row>
    <row r="992">
      <c r="B992" s="136"/>
      <c r="E992" s="256"/>
      <c r="F992" s="257"/>
      <c r="G992" s="247" t="str">
        <f t="shared" si="1"/>
        <v/>
      </c>
      <c r="H992" s="258"/>
      <c r="I992" s="259"/>
      <c r="J992" s="250" t="str">
        <f t="shared" si="2"/>
        <v/>
      </c>
      <c r="K992" s="317"/>
      <c r="L992" s="318"/>
      <c r="M992" s="253" t="str">
        <f t="shared" si="3"/>
        <v/>
      </c>
      <c r="N992" s="319"/>
      <c r="O992" s="257"/>
      <c r="P992" s="247" t="str">
        <f t="shared" si="4"/>
        <v/>
      </c>
      <c r="Q992" s="320"/>
      <c r="R992" s="259"/>
      <c r="S992" s="250" t="str">
        <f t="shared" si="5"/>
        <v/>
      </c>
      <c r="T992" s="254"/>
      <c r="U992" s="246"/>
      <c r="V992" s="247" t="str">
        <f t="shared" si="6"/>
        <v/>
      </c>
      <c r="W992" s="255"/>
      <c r="X992" s="249"/>
      <c r="Y992" s="250" t="str">
        <f t="shared" si="7"/>
        <v/>
      </c>
    </row>
    <row r="993">
      <c r="B993" s="136"/>
      <c r="E993" s="256"/>
      <c r="F993" s="257"/>
      <c r="G993" s="247" t="str">
        <f t="shared" si="1"/>
        <v/>
      </c>
      <c r="H993" s="258"/>
      <c r="I993" s="259"/>
      <c r="J993" s="250" t="str">
        <f t="shared" si="2"/>
        <v/>
      </c>
      <c r="K993" s="317"/>
      <c r="L993" s="318"/>
      <c r="M993" s="253" t="str">
        <f t="shared" si="3"/>
        <v/>
      </c>
      <c r="N993" s="319"/>
      <c r="O993" s="257"/>
      <c r="P993" s="247" t="str">
        <f t="shared" si="4"/>
        <v/>
      </c>
      <c r="Q993" s="320"/>
      <c r="R993" s="259"/>
      <c r="S993" s="250" t="str">
        <f t="shared" si="5"/>
        <v/>
      </c>
      <c r="T993" s="254"/>
      <c r="U993" s="246"/>
      <c r="V993" s="247" t="str">
        <f t="shared" si="6"/>
        <v/>
      </c>
      <c r="W993" s="255"/>
      <c r="X993" s="249"/>
      <c r="Y993" s="250" t="str">
        <f t="shared" si="7"/>
        <v/>
      </c>
    </row>
    <row r="994">
      <c r="B994" s="136"/>
      <c r="E994" s="256"/>
      <c r="F994" s="257"/>
      <c r="G994" s="247" t="str">
        <f t="shared" si="1"/>
        <v/>
      </c>
      <c r="H994" s="258"/>
      <c r="I994" s="259"/>
      <c r="J994" s="250" t="str">
        <f t="shared" si="2"/>
        <v/>
      </c>
      <c r="K994" s="317"/>
      <c r="L994" s="318"/>
      <c r="M994" s="253" t="str">
        <f t="shared" si="3"/>
        <v/>
      </c>
      <c r="N994" s="319"/>
      <c r="O994" s="257"/>
      <c r="P994" s="247" t="str">
        <f t="shared" si="4"/>
        <v/>
      </c>
      <c r="Q994" s="320"/>
      <c r="R994" s="259"/>
      <c r="S994" s="250" t="str">
        <f t="shared" si="5"/>
        <v/>
      </c>
      <c r="T994" s="254"/>
      <c r="U994" s="246"/>
      <c r="V994" s="247" t="str">
        <f t="shared" si="6"/>
        <v/>
      </c>
      <c r="W994" s="255"/>
      <c r="X994" s="249"/>
      <c r="Y994" s="250" t="str">
        <f t="shared" si="7"/>
        <v/>
      </c>
    </row>
    <row r="995">
      <c r="B995" s="136"/>
      <c r="E995" s="256"/>
      <c r="F995" s="257"/>
      <c r="G995" s="247" t="str">
        <f t="shared" si="1"/>
        <v/>
      </c>
      <c r="H995" s="258"/>
      <c r="I995" s="259"/>
      <c r="J995" s="250" t="str">
        <f t="shared" si="2"/>
        <v/>
      </c>
      <c r="K995" s="317"/>
      <c r="L995" s="318"/>
      <c r="M995" s="253" t="str">
        <f t="shared" si="3"/>
        <v/>
      </c>
      <c r="N995" s="319"/>
      <c r="O995" s="257"/>
      <c r="P995" s="247" t="str">
        <f t="shared" si="4"/>
        <v/>
      </c>
      <c r="Q995" s="320"/>
      <c r="R995" s="259"/>
      <c r="S995" s="250" t="str">
        <f t="shared" si="5"/>
        <v/>
      </c>
      <c r="T995" s="254"/>
      <c r="U995" s="246"/>
      <c r="V995" s="247" t="str">
        <f t="shared" si="6"/>
        <v/>
      </c>
      <c r="W995" s="255"/>
      <c r="X995" s="249"/>
      <c r="Y995" s="250" t="str">
        <f t="shared" si="7"/>
        <v/>
      </c>
    </row>
    <row r="996">
      <c r="B996" s="136"/>
      <c r="E996" s="256"/>
      <c r="F996" s="257"/>
      <c r="G996" s="247" t="str">
        <f t="shared" si="1"/>
        <v/>
      </c>
      <c r="H996" s="258"/>
      <c r="I996" s="259"/>
      <c r="J996" s="250" t="str">
        <f t="shared" si="2"/>
        <v/>
      </c>
      <c r="K996" s="317"/>
      <c r="L996" s="318"/>
      <c r="M996" s="253" t="str">
        <f t="shared" si="3"/>
        <v/>
      </c>
      <c r="N996" s="319"/>
      <c r="O996" s="257"/>
      <c r="P996" s="247" t="str">
        <f t="shared" si="4"/>
        <v/>
      </c>
      <c r="Q996" s="320"/>
      <c r="R996" s="259"/>
      <c r="S996" s="250" t="str">
        <f t="shared" si="5"/>
        <v/>
      </c>
      <c r="T996" s="254"/>
      <c r="U996" s="246"/>
      <c r="V996" s="247" t="str">
        <f t="shared" si="6"/>
        <v/>
      </c>
      <c r="W996" s="255"/>
      <c r="X996" s="249"/>
      <c r="Y996" s="250" t="str">
        <f t="shared" si="7"/>
        <v/>
      </c>
    </row>
    <row r="997">
      <c r="B997" s="136"/>
      <c r="E997" s="256"/>
      <c r="F997" s="257"/>
      <c r="G997" s="247" t="str">
        <f t="shared" si="1"/>
        <v/>
      </c>
      <c r="H997" s="258"/>
      <c r="I997" s="259"/>
      <c r="J997" s="250" t="str">
        <f t="shared" si="2"/>
        <v/>
      </c>
      <c r="K997" s="317"/>
      <c r="L997" s="318"/>
      <c r="M997" s="253" t="str">
        <f t="shared" si="3"/>
        <v/>
      </c>
      <c r="N997" s="319"/>
      <c r="O997" s="257"/>
      <c r="P997" s="247" t="str">
        <f t="shared" si="4"/>
        <v/>
      </c>
      <c r="Q997" s="320"/>
      <c r="R997" s="259"/>
      <c r="S997" s="250" t="str">
        <f t="shared" si="5"/>
        <v/>
      </c>
      <c r="T997" s="254"/>
      <c r="U997" s="246"/>
      <c r="V997" s="247" t="str">
        <f t="shared" si="6"/>
        <v/>
      </c>
      <c r="W997" s="255"/>
      <c r="X997" s="249"/>
      <c r="Y997" s="250" t="str">
        <f t="shared" si="7"/>
        <v/>
      </c>
    </row>
    <row r="998">
      <c r="B998" s="136"/>
      <c r="E998" s="256"/>
      <c r="F998" s="257"/>
      <c r="G998" s="247" t="str">
        <f t="shared" si="1"/>
        <v/>
      </c>
      <c r="H998" s="258"/>
      <c r="I998" s="259"/>
      <c r="J998" s="250" t="str">
        <f t="shared" si="2"/>
        <v/>
      </c>
      <c r="K998" s="317"/>
      <c r="L998" s="318"/>
      <c r="M998" s="253" t="str">
        <f t="shared" si="3"/>
        <v/>
      </c>
      <c r="N998" s="319"/>
      <c r="O998" s="257"/>
      <c r="P998" s="247" t="str">
        <f t="shared" si="4"/>
        <v/>
      </c>
      <c r="Q998" s="320"/>
      <c r="R998" s="259"/>
      <c r="S998" s="250" t="str">
        <f t="shared" si="5"/>
        <v/>
      </c>
      <c r="T998" s="254"/>
      <c r="U998" s="246"/>
      <c r="V998" s="247" t="str">
        <f t="shared" si="6"/>
        <v/>
      </c>
      <c r="W998" s="255"/>
      <c r="X998" s="249"/>
      <c r="Y998" s="250" t="str">
        <f t="shared" si="7"/>
        <v/>
      </c>
    </row>
    <row r="999">
      <c r="B999" s="136"/>
      <c r="E999" s="256"/>
      <c r="F999" s="257"/>
      <c r="G999" s="247" t="str">
        <f t="shared" si="1"/>
        <v/>
      </c>
      <c r="H999" s="258"/>
      <c r="I999" s="259"/>
      <c r="J999" s="250" t="str">
        <f t="shared" si="2"/>
        <v/>
      </c>
      <c r="K999" s="317"/>
      <c r="L999" s="318"/>
      <c r="M999" s="253" t="str">
        <f t="shared" si="3"/>
        <v/>
      </c>
      <c r="N999" s="319"/>
      <c r="O999" s="257"/>
      <c r="P999" s="247" t="str">
        <f t="shared" si="4"/>
        <v/>
      </c>
      <c r="Q999" s="320"/>
      <c r="R999" s="259"/>
      <c r="S999" s="250" t="str">
        <f t="shared" si="5"/>
        <v/>
      </c>
      <c r="T999" s="254"/>
      <c r="U999" s="246"/>
      <c r="V999" s="247" t="str">
        <f t="shared" si="6"/>
        <v/>
      </c>
      <c r="W999" s="255"/>
      <c r="X999" s="249"/>
      <c r="Y999" s="250" t="str">
        <f t="shared" si="7"/>
        <v/>
      </c>
    </row>
    <row r="1000">
      <c r="B1000" s="136"/>
      <c r="E1000" s="256"/>
      <c r="F1000" s="257"/>
      <c r="G1000" s="247" t="str">
        <f t="shared" si="1"/>
        <v/>
      </c>
      <c r="H1000" s="258"/>
      <c r="I1000" s="259"/>
      <c r="J1000" s="250" t="str">
        <f t="shared" si="2"/>
        <v/>
      </c>
      <c r="K1000" s="317"/>
      <c r="L1000" s="318"/>
      <c r="M1000" s="253" t="str">
        <f t="shared" si="3"/>
        <v/>
      </c>
      <c r="N1000" s="319"/>
      <c r="O1000" s="257"/>
      <c r="P1000" s="247" t="str">
        <f t="shared" si="4"/>
        <v/>
      </c>
      <c r="Q1000" s="320"/>
      <c r="R1000" s="259"/>
      <c r="S1000" s="250" t="str">
        <f t="shared" si="5"/>
        <v/>
      </c>
      <c r="T1000" s="254"/>
      <c r="U1000" s="246"/>
      <c r="V1000" s="247" t="str">
        <f t="shared" si="6"/>
        <v/>
      </c>
      <c r="W1000" s="255"/>
      <c r="X1000" s="249"/>
      <c r="Y1000" s="250" t="str">
        <f t="shared" si="7"/>
        <v/>
      </c>
    </row>
  </sheetData>
  <mergeCells count="18">
    <mergeCell ref="AD29:AE29"/>
    <mergeCell ref="AF29:AG29"/>
    <mergeCell ref="AB39:AC39"/>
    <mergeCell ref="AD39:AE39"/>
    <mergeCell ref="AF39:AG39"/>
    <mergeCell ref="AH39:AI39"/>
    <mergeCell ref="AL39:AM39"/>
    <mergeCell ref="AN39:AO39"/>
    <mergeCell ref="AH29:AI29"/>
    <mergeCell ref="AL29:AM29"/>
    <mergeCell ref="E2:J2"/>
    <mergeCell ref="K2:S2"/>
    <mergeCell ref="T2:Y2"/>
    <mergeCell ref="AU6:AV6"/>
    <mergeCell ref="AF19:AG19"/>
    <mergeCell ref="AH19:AI19"/>
    <mergeCell ref="AB29:AC29"/>
    <mergeCell ref="AN29:AO29"/>
  </mergeCells>
  <conditionalFormatting sqref="A1:A1000">
    <cfRule type="cellIs" dxfId="1" priority="1" operator="equal">
      <formula>"Breakfast"</formula>
    </cfRule>
  </conditionalFormatting>
  <conditionalFormatting sqref="A1:A1000">
    <cfRule type="cellIs" dxfId="1" priority="2" operator="equal">
      <formula>"Breakfast"</formula>
    </cfRule>
  </conditionalFormatting>
  <conditionalFormatting sqref="A1:A1000">
    <cfRule type="cellIs" dxfId="2" priority="3" operator="equal">
      <formula>"Breakfast/Lunch"</formula>
    </cfRule>
  </conditionalFormatting>
  <conditionalFormatting sqref="A1:A1000">
    <cfRule type="cellIs" dxfId="3" priority="4" operator="equal">
      <formula>"Lunch"</formula>
    </cfRule>
  </conditionalFormatting>
  <conditionalFormatting sqref="A1:A1000">
    <cfRule type="cellIs" dxfId="22" priority="5" operator="equal">
      <formula>"Lunch/Dinner"</formula>
    </cfRule>
  </conditionalFormatting>
  <conditionalFormatting sqref="A1:A1000">
    <cfRule type="cellIs" dxfId="5" priority="6" operator="equal">
      <formula>"Dinner"</formula>
    </cfRule>
  </conditionalFormatting>
  <conditionalFormatting sqref="B4:B1000">
    <cfRule type="expression" dxfId="19" priority="7">
      <formula>AND(B4&lt;&gt;"", ISEVEN(SUMPRODUCT((B$4:B4&lt;&gt;OFFSET(B$4:B4,-1,0))*(B$4:B4&lt;&gt;""))))</formula>
    </cfRule>
  </conditionalFormatting>
  <conditionalFormatting sqref="D1:D1000">
    <cfRule type="cellIs" dxfId="11" priority="8" operator="equal">
      <formula>"MF"</formula>
    </cfRule>
  </conditionalFormatting>
  <conditionalFormatting sqref="D1:D1000">
    <cfRule type="cellIs" dxfId="12" priority="9" operator="equal">
      <formula>"BF"</formula>
    </cfRule>
  </conditionalFormatting>
  <conditionalFormatting sqref="AG21:AG28 AI21:AI28 AG31:AG38 AI31:AI38 AG41:AG48 AI41:AI48 AJ41:AJ46 AJ31:AJ36 AJ21:AJ26">
    <cfRule type="cellIs" dxfId="12" priority="10" operator="equal">
      <formula>0.00</formula>
    </cfRule>
  </conditionalFormatting>
  <conditionalFormatting sqref="AG21:AG28 AI21:AI28 AG31:AG38 AI31:AI38 AG41:AG48 AI41:AI48 AJ41:AJ46 AJ31:AJ36 AJ21:AJ26">
    <cfRule type="cellIs" dxfId="12" priority="11" operator="equal">
      <formula>0</formula>
    </cfRule>
  </conditionalFormatting>
  <conditionalFormatting sqref="AG21:AG28 AI21:AI28 AG31:AG38 AI31:AI38 AG41:AG48 AI41:AI48 AJ31:AJ36 AJ41:AJ46 AJ21:AJ26">
    <cfRule type="notContainsBlanks" dxfId="23" priority="12">
      <formula>LEN(TRIM(AG21))&gt;0</formula>
    </cfRule>
  </conditionalFormatting>
  <conditionalFormatting sqref="AC31:AC38 AE31:AE38 AC41:AC48 AE41:AE48 AA31:AA38 AA41:AA48">
    <cfRule type="cellIs" dxfId="11" priority="13" operator="equal">
      <formula>0.00</formula>
    </cfRule>
  </conditionalFormatting>
  <conditionalFormatting sqref="AC31:AC38 AE31:AE38 AC41:AC48 AE41:AE48 AA31:AA38 AA41:AA48">
    <cfRule type="notContainsBlanks" dxfId="24" priority="14">
      <formula>LEN(TRIM(AC31))&gt;0</formula>
    </cfRule>
  </conditionalFormatting>
  <conditionalFormatting sqref="G4:G1000 J4:J1000 M4:M1000 P4:P1000 S4:S1000 V4:V1000 Y4:Y1000">
    <cfRule type="containsBlanks" dxfId="19" priority="15">
      <formula>LEN(TRIM(G4))=0</formula>
    </cfRule>
  </conditionalFormatting>
  <conditionalFormatting sqref="E4:Y1000">
    <cfRule type="containsBlanks" dxfId="25" priority="16">
      <formula>LEN(TRIM(E4))=0</formula>
    </cfRule>
  </conditionalFormatting>
  <conditionalFormatting sqref="E4:Y1000">
    <cfRule type="cellIs" dxfId="26" priority="17" operator="equal">
      <formula>0</formula>
    </cfRule>
  </conditionalFormatting>
  <conditionalFormatting sqref="G4:G1000">
    <cfRule type="colorScale" priority="18">
      <colorScale>
        <cfvo type="min"/>
        <cfvo type="percentile" val="50"/>
        <cfvo type="max"/>
        <color rgb="FFD9EAD3"/>
        <color rgb="FF93C47D"/>
        <color rgb="FF38761D"/>
      </colorScale>
    </cfRule>
  </conditionalFormatting>
  <conditionalFormatting sqref="J4:J1000">
    <cfRule type="colorScale" priority="19">
      <colorScale>
        <cfvo type="min"/>
        <cfvo type="percent" val="50"/>
        <cfvo type="max"/>
        <color rgb="FFF4CCCC"/>
        <color rgb="FFE06666"/>
        <color rgb="FF990000"/>
      </colorScale>
    </cfRule>
  </conditionalFormatting>
  <conditionalFormatting sqref="M4:M1000">
    <cfRule type="colorScale" priority="20">
      <colorScale>
        <cfvo type="min"/>
        <cfvo type="percentile" val="50"/>
        <cfvo type="max"/>
        <color rgb="FFFFF2CC"/>
        <color rgb="FFFFD966"/>
        <color rgb="FFF1C232"/>
      </colorScale>
    </cfRule>
  </conditionalFormatting>
  <conditionalFormatting sqref="P4:P1000 V4:V1000">
    <cfRule type="colorScale" priority="21">
      <colorScale>
        <cfvo type="min"/>
        <cfvo type="percentile" val="50"/>
        <cfvo type="max"/>
        <color rgb="FFD9EAD3"/>
        <color rgb="FF93C47D"/>
        <color rgb="FF38761D"/>
      </colorScale>
    </cfRule>
  </conditionalFormatting>
  <conditionalFormatting sqref="S4:S1000 Y4:Y1000">
    <cfRule type="colorScale" priority="22">
      <colorScale>
        <cfvo type="min"/>
        <cfvo type="percentile" val="50"/>
        <cfvo type="max"/>
        <color rgb="FFF4CCCC"/>
        <color rgb="FFE06666"/>
        <color rgb="FF990000"/>
      </colorScale>
    </cfRule>
  </conditionalFormatting>
  <conditionalFormatting sqref="AM31:AM38 AO31:AO38 AP31:AP36 AM41:AM48 AO41:AO48 AP41:AP46">
    <cfRule type="cellIs" dxfId="13" priority="23" operator="equal">
      <formula>0.00</formula>
    </cfRule>
  </conditionalFormatting>
  <conditionalFormatting sqref="AM31:AM38 AO31:AO38 AP31:AP36 AM41:AM48 AO41:AO48 AP41:AP46">
    <cfRule type="notContainsBlanks" dxfId="27" priority="24">
      <formula>LEN(TRIM(AM31))&gt;0</formula>
    </cfRule>
  </conditionalFormatting>
  <drawing r:id="rId1"/>
</worksheet>
</file>